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Tracker" sheetId="2" state="visible" r:id="rId4"/>
    <sheet name="BTEC Business" sheetId="3" state="visible" r:id="rId5"/>
    <sheet name="Assessments" sheetId="4" state="visible" r:id="rId6"/>
    <sheet name="Boundaries" sheetId="5" state="visible" r:id="rId7"/>
    <sheet name="Lists" sheetId="6" state="visible" r:id="rId8"/>
  </sheets>
  <definedNames>
    <definedName function="false" hidden="true" localSheetId="3" name="_xlnm._FilterDatabase" vbProcedure="false">Assessments!$A$1:$J$286</definedName>
    <definedName function="false" hidden="true" localSheetId="2" name="_xlnm._FilterDatabase" vbProcedure="false">'BTEC Business'!$A$4:$O$64</definedName>
    <definedName function="false" hidden="true" localSheetId="1" name="_xlnm._FilterDatabase" vbProcedure="false">Tracker!$A$10:$BT$610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<sst xmlns="http://schemas.openxmlformats.org/spreadsheetml/2006/main" count="4286" uniqueCount="842">
  <si>
    <t xml:space="preserve">How to use the tracker</t>
  </si>
  <si>
    <t xml:space="preserve">1. Tracker sheet: one row per student per subject. Type in the cream cells only (name, group, teacher, ALIS, TG, support, year group, subject, level, marks).</t>
  </si>
  <si>
    <t xml:space="preserve">2. Year group, Subject, Level and Support are drop-downs. Marks are checked against the maximum mark for that test.</t>
  </si>
  <si>
    <t xml:space="preserve">3. Choose the year group, subject and level in the boxes at the top - the test names, max marks and the status counts update. Level "SL/HL" shows both classes: headings then show the HL test name on the first line and the SL test name on the second, with both max marks.</t>
  </si>
  <si>
    <t xml:space="preserve">4. Use the filter arrows on the header row (Year group, Subject, Level, Teacher, Group) to show just that class. Rows that do not match the boxes at the top are greyed out.</t>
  </si>
  <si>
    <t xml:space="preserve">5. Everything else calculates: %, grade (from the Boundaries sheet), vs ALIS, weighted average %, overall grade, progress from 1st and previous test, and progress status.</t>
  </si>
  <si>
    <t xml:space="preserve">Progress status rules</t>
  </si>
  <si>
    <t xml:space="preserve">   On/above target - overall grade minus ALIS is 0 or more</t>
  </si>
  <si>
    <t xml:space="preserve">   Improving towards target - below ALIS, but latest grade is at least 0.5 above the first</t>
  </si>
  <si>
    <t xml:space="preserve">   Declining - below ALIS and latest grade is at least 0.5 below the previous one</t>
  </si>
  <si>
    <t xml:space="preserve">   Stable below target - below ALIS otherwise</t>
  </si>
  <si>
    <t xml:space="preserve">Assessments sheet: one row per test (year group, subject, level, slot 1-14, name, when, max mark, boundary set, weight). Edit names/max marks here; add a row to add a test. Mid course papers have weight 2.</t>
  </si>
  <si>
    <t xml:space="preserve">Boundaries sheet: lowest % for each grade, copied from the old tracker (History uses its Paper 1 / Paper 2 / Paper 3 / Overall tables). Grade 0 = U.</t>
  </si>
  <si>
    <t xml:space="preserve">Admin control: only the Assessments and Boundaries sheets decide which tests exist and how they are graded. Adding a test = adding a row there (up to 14 per subject and level) - no new columns are needed on the Tracker. Protect those two sheets with a password (Review &gt; Protect Sheet) so only admin can change them.</t>
  </si>
  <si>
    <t xml:space="preserve">The Tracker sheet is protected (no password) so formulas cannot be overwritten by accident; typing, filtering and sorting still work. Review &gt; Unprotect Sheet if you need to change the layout.</t>
  </si>
  <si>
    <t xml:space="preserve">SharePoint / Excel online: upload the file to a SharePoint folder and open it in Excel for the web - several teachers can enter marks at the same time.</t>
  </si>
  <si>
    <t xml:space="preserve">BTEC sheet: P / M / D drop-downs for each unit.</t>
  </si>
  <si>
    <t xml:space="preserve">Hidden columns to the right of the marks do the working - please do not delete them.</t>
  </si>
  <si>
    <t xml:space="preserve">Humanities Tracking</t>
  </si>
  <si>
    <t xml:space="preserve">Pick a year group, subject and level, then filter the table to match (arrows on the header row). Type in the cream cells only; everything else calculates.</t>
  </si>
  <si>
    <t xml:space="preserve">YEAR GROUP</t>
  </si>
  <si>
    <t xml:space="preserve">SUBJECT</t>
  </si>
  <si>
    <t xml:space="preserve">LEVEL</t>
  </si>
  <si>
    <t xml:space="preserve">Grad 2027</t>
  </si>
  <si>
    <t xml:space="preserve">IB Geography</t>
  </si>
  <si>
    <t xml:space="preserve">HL</t>
  </si>
  <si>
    <t xml:space="preserve">vs ALIS:</t>
  </si>
  <si>
    <t xml:space="preserve">on or above</t>
  </si>
  <si>
    <t xml:space="preserve">just below</t>
  </si>
  <si>
    <t xml:space="preserve">1 grade below</t>
  </si>
  <si>
    <t xml:space="preserve">2+ grades below</t>
  </si>
  <si>
    <t xml:space="preserve">Student</t>
  </si>
  <si>
    <t xml:space="preserve">Overall tracking</t>
  </si>
  <si>
    <t xml:space="preserve">First name</t>
  </si>
  <si>
    <t xml:space="preserve">Surname</t>
  </si>
  <si>
    <t xml:space="preserve">Group</t>
  </si>
  <si>
    <t xml:space="preserve">Teacher</t>
  </si>
  <si>
    <t xml:space="preserve">ALIS</t>
  </si>
  <si>
    <t xml:space="preserve">TG</t>
  </si>
  <si>
    <t xml:space="preserve">Support</t>
  </si>
  <si>
    <t xml:space="preserve">Year group</t>
  </si>
  <si>
    <t xml:space="preserve">Subject</t>
  </si>
  <si>
    <t xml:space="preserve">Level</t>
  </si>
  <si>
    <t xml:space="preserve">Avg vs ALIS</t>
  </si>
  <si>
    <t xml:space="preserve">Avg %</t>
  </si>
  <si>
    <t xml:space="preserve">Grade</t>
  </si>
  <si>
    <t xml:space="preserve">From 1st</t>
  </si>
  <si>
    <t xml:space="preserve">From prev.</t>
  </si>
  <si>
    <t xml:space="preserve">Progress status</t>
  </si>
  <si>
    <t xml:space="preserve">%</t>
  </si>
  <si>
    <t xml:space="preserve">vs ALIS</t>
  </si>
  <si>
    <t xml:space="preserve">Max1</t>
  </si>
  <si>
    <t xml:space="preserve">Max2</t>
  </si>
  <si>
    <t xml:space="preserve">Max3</t>
  </si>
  <si>
    <t xml:space="preserve">Max4</t>
  </si>
  <si>
    <t xml:space="preserve">Max5</t>
  </si>
  <si>
    <t xml:space="preserve">Max6</t>
  </si>
  <si>
    <t xml:space="preserve">Max7</t>
  </si>
  <si>
    <t xml:space="preserve">Max8</t>
  </si>
  <si>
    <t xml:space="preserve">Max9</t>
  </si>
  <si>
    <t xml:space="preserve">Max10</t>
  </si>
  <si>
    <t xml:space="preserve">Max11</t>
  </si>
  <si>
    <t xml:space="preserve">Max12</t>
  </si>
  <si>
    <t xml:space="preserve">Max13</t>
  </si>
  <si>
    <t xml:space="preserve">Max14</t>
  </si>
  <si>
    <t xml:space="preserve">Set1</t>
  </si>
  <si>
    <t xml:space="preserve">Set2</t>
  </si>
  <si>
    <t xml:space="preserve">Set3</t>
  </si>
  <si>
    <t xml:space="preserve">Set4</t>
  </si>
  <si>
    <t xml:space="preserve">Set5</t>
  </si>
  <si>
    <t xml:space="preserve">Set6</t>
  </si>
  <si>
    <t xml:space="preserve">Set7</t>
  </si>
  <si>
    <t xml:space="preserve">Set8</t>
  </si>
  <si>
    <t xml:space="preserve">Set9</t>
  </si>
  <si>
    <t xml:space="preserve">Set10</t>
  </si>
  <si>
    <t xml:space="preserve">Set11</t>
  </si>
  <si>
    <t xml:space="preserve">Set12</t>
  </si>
  <si>
    <t xml:space="preserve">Set13</t>
  </si>
  <si>
    <t xml:space="preserve">Set14</t>
  </si>
  <si>
    <t xml:space="preserve">W1</t>
  </si>
  <si>
    <t xml:space="preserve">W2</t>
  </si>
  <si>
    <t xml:space="preserve">W3</t>
  </si>
  <si>
    <t xml:space="preserve">W4</t>
  </si>
  <si>
    <t xml:space="preserve">W5</t>
  </si>
  <si>
    <t xml:space="preserve">W6</t>
  </si>
  <si>
    <t xml:space="preserve">W7</t>
  </si>
  <si>
    <t xml:space="preserve">W8</t>
  </si>
  <si>
    <t xml:space="preserve">W9</t>
  </si>
  <si>
    <t xml:space="preserve">W10</t>
  </si>
  <si>
    <t xml:space="preserve">W11</t>
  </si>
  <si>
    <t xml:space="preserve">W12</t>
  </si>
  <si>
    <t xml:space="preserve">W13</t>
  </si>
  <si>
    <t xml:space="preserve">W14</t>
  </si>
  <si>
    <t xml:space="preserve">G1</t>
  </si>
  <si>
    <t xml:space="preserve">G2</t>
  </si>
  <si>
    <t xml:space="preserve">G3</t>
  </si>
  <si>
    <t xml:space="preserve">G4</t>
  </si>
  <si>
    <t xml:space="preserve">G5</t>
  </si>
  <si>
    <t xml:space="preserve">G6</t>
  </si>
  <si>
    <t xml:space="preserve">G7</t>
  </si>
  <si>
    <t xml:space="preserve">G8</t>
  </si>
  <si>
    <t xml:space="preserve">G9</t>
  </si>
  <si>
    <t xml:space="preserve">G10</t>
  </si>
  <si>
    <t xml:space="preserve">G11</t>
  </si>
  <si>
    <t xml:space="preserve">G12</t>
  </si>
  <si>
    <t xml:space="preserve">G13</t>
  </si>
  <si>
    <t xml:space="preserve">G14</t>
  </si>
  <si>
    <t xml:space="preserve">Pos1</t>
  </si>
  <si>
    <t xml:space="preserve">Pos2</t>
  </si>
  <si>
    <t xml:space="preserve">Pos3</t>
  </si>
  <si>
    <t xml:space="preserve">Pos4</t>
  </si>
  <si>
    <t xml:space="preserve">Pos5</t>
  </si>
  <si>
    <t xml:space="preserve">Pos6</t>
  </si>
  <si>
    <t xml:space="preserve">Pos7</t>
  </si>
  <si>
    <t xml:space="preserve">Pos8</t>
  </si>
  <si>
    <t xml:space="preserve">Pos9</t>
  </si>
  <si>
    <t xml:space="preserve">Pos10</t>
  </si>
  <si>
    <t xml:space="preserve">Pos11</t>
  </si>
  <si>
    <t xml:space="preserve">Pos12</t>
  </si>
  <si>
    <t xml:space="preserve">Pos13</t>
  </si>
  <si>
    <t xml:space="preserve">Pos14</t>
  </si>
  <si>
    <t xml:space="preserve">PW1</t>
  </si>
  <si>
    <t xml:space="preserve">PW2</t>
  </si>
  <si>
    <t xml:space="preserve">PW3</t>
  </si>
  <si>
    <t xml:space="preserve">PW4</t>
  </si>
  <si>
    <t xml:space="preserve">PW5</t>
  </si>
  <si>
    <t xml:space="preserve">PW6</t>
  </si>
  <si>
    <t xml:space="preserve">PW7</t>
  </si>
  <si>
    <t xml:space="preserve">PW8</t>
  </si>
  <si>
    <t xml:space="preserve">PW9</t>
  </si>
  <si>
    <t xml:space="preserve">PW10</t>
  </si>
  <si>
    <t xml:space="preserve">PW11</t>
  </si>
  <si>
    <t xml:space="preserve">PW12</t>
  </si>
  <si>
    <t xml:space="preserve">PW13</t>
  </si>
  <si>
    <t xml:space="preserve">PW14</t>
  </si>
  <si>
    <t xml:space="preserve">WE1</t>
  </si>
  <si>
    <t xml:space="preserve">WE2</t>
  </si>
  <si>
    <t xml:space="preserve">WE3</t>
  </si>
  <si>
    <t xml:space="preserve">WE4</t>
  </si>
  <si>
    <t xml:space="preserve">WE5</t>
  </si>
  <si>
    <t xml:space="preserve">WE6</t>
  </si>
  <si>
    <t xml:space="preserve">WE7</t>
  </si>
  <si>
    <t xml:space="preserve">WE8</t>
  </si>
  <si>
    <t xml:space="preserve">WE9</t>
  </si>
  <si>
    <t xml:space="preserve">WE10</t>
  </si>
  <si>
    <t xml:space="preserve">WE11</t>
  </si>
  <si>
    <t xml:space="preserve">WE12</t>
  </si>
  <si>
    <t xml:space="preserve">WE13</t>
  </si>
  <si>
    <t xml:space="preserve">WE14</t>
  </si>
  <si>
    <t xml:space="preserve">OverallSet</t>
  </si>
  <si>
    <t xml:space="preserve">Sira (KK)</t>
  </si>
  <si>
    <t xml:space="preserve">Anuras</t>
  </si>
  <si>
    <t xml:space="preserve">12.3</t>
  </si>
  <si>
    <t xml:space="preserve">KEWR</t>
  </si>
  <si>
    <t xml:space="preserve">Y</t>
  </si>
  <si>
    <t xml:space="preserve">Maxwell</t>
  </si>
  <si>
    <t xml:space="preserve">Barta</t>
  </si>
  <si>
    <t xml:space="preserve">Anyssa</t>
  </si>
  <si>
    <t xml:space="preserve">Bunnag</t>
  </si>
  <si>
    <t xml:space="preserve">Penelope</t>
  </si>
  <si>
    <t xml:space="preserve">Dever</t>
  </si>
  <si>
    <t xml:space="preserve">David</t>
  </si>
  <si>
    <t xml:space="preserve">Gschliesser</t>
  </si>
  <si>
    <t xml:space="preserve">Campbell</t>
  </si>
  <si>
    <t xml:space="preserve">Park</t>
  </si>
  <si>
    <t xml:space="preserve">Paro</t>
  </si>
  <si>
    <t xml:space="preserve">Phornprapha</t>
  </si>
  <si>
    <t xml:space="preserve">Praopat</t>
  </si>
  <si>
    <t xml:space="preserve">Ruengcharungpong</t>
  </si>
  <si>
    <t xml:space="preserve">Khadeejah</t>
  </si>
  <si>
    <t xml:space="preserve">Saboor Khilji</t>
  </si>
  <si>
    <t xml:space="preserve">Vivaan</t>
  </si>
  <si>
    <t xml:space="preserve">Sehgal</t>
  </si>
  <si>
    <t xml:space="preserve">Kezang</t>
  </si>
  <si>
    <t xml:space="preserve">Wangchuck</t>
  </si>
  <si>
    <t xml:space="preserve">Eleanor</t>
  </si>
  <si>
    <t xml:space="preserve">Artpradid</t>
  </si>
  <si>
    <t xml:space="preserve">REBO</t>
  </si>
  <si>
    <t xml:space="preserve">Talia</t>
  </si>
  <si>
    <t xml:space="preserve">Conroy</t>
  </si>
  <si>
    <t xml:space="preserve">Philip</t>
  </si>
  <si>
    <t xml:space="preserve">Duckworth</t>
  </si>
  <si>
    <t xml:space="preserve">Nishka</t>
  </si>
  <si>
    <t xml:space="preserve">Dusad *</t>
  </si>
  <si>
    <t xml:space="preserve">Rebecca</t>
  </si>
  <si>
    <t xml:space="preserve">Oliveira</t>
  </si>
  <si>
    <t xml:space="preserve">Amy</t>
  </si>
  <si>
    <t xml:space="preserve">Soukvilay</t>
  </si>
  <si>
    <t xml:space="preserve">Lancelot</t>
  </si>
  <si>
    <t xml:space="preserve">Wallin</t>
  </si>
  <si>
    <t xml:space="preserve">Jasmine</t>
  </si>
  <si>
    <t xml:space="preserve">Beroud</t>
  </si>
  <si>
    <t xml:space="preserve">12.6</t>
  </si>
  <si>
    <t xml:space="preserve">SUHO</t>
  </si>
  <si>
    <t xml:space="preserve">Noparooj</t>
  </si>
  <si>
    <t xml:space="preserve">Chotima</t>
  </si>
  <si>
    <t xml:space="preserve">Aidan</t>
  </si>
  <si>
    <t xml:space="preserve">Firth</t>
  </si>
  <si>
    <t xml:space="preserve">Mei</t>
  </si>
  <si>
    <t xml:space="preserve">Fuseno</t>
  </si>
  <si>
    <t xml:space="preserve">Aya</t>
  </si>
  <si>
    <t xml:space="preserve">Haviv Buck</t>
  </si>
  <si>
    <t xml:space="preserve">Sofia</t>
  </si>
  <si>
    <t xml:space="preserve">Hilgert</t>
  </si>
  <si>
    <t xml:space="preserve">Natasha</t>
  </si>
  <si>
    <t xml:space="preserve">Hjellegjerde</t>
  </si>
  <si>
    <t xml:space="preserve">Irissa</t>
  </si>
  <si>
    <t xml:space="preserve">Lemke</t>
  </si>
  <si>
    <t xml:space="preserve">Rintaro</t>
  </si>
  <si>
    <t xml:space="preserve">Minami</t>
  </si>
  <si>
    <t xml:space="preserve">Krishna</t>
  </si>
  <si>
    <t xml:space="preserve">Mittal</t>
  </si>
  <si>
    <t xml:space="preserve">London</t>
  </si>
  <si>
    <t xml:space="preserve">Redinger *</t>
  </si>
  <si>
    <t xml:space="preserve">Anya</t>
  </si>
  <si>
    <t xml:space="preserve">Schroeder</t>
  </si>
  <si>
    <t xml:space="preserve">James</t>
  </si>
  <si>
    <t xml:space="preserve">Tonkin</t>
  </si>
  <si>
    <t xml:space="preserve">Luomeng (Baobao)</t>
  </si>
  <si>
    <t xml:space="preserve">Zhang</t>
  </si>
  <si>
    <t xml:space="preserve">Rentai (Oscar)</t>
  </si>
  <si>
    <t xml:space="preserve">Tanna</t>
  </si>
  <si>
    <t xml:space="preserve">Chou</t>
  </si>
  <si>
    <t xml:space="preserve">SL</t>
  </si>
  <si>
    <t xml:space="preserve">Sorawit (Al)</t>
  </si>
  <si>
    <t xml:space="preserve">Limvatanayingyong</t>
  </si>
  <si>
    <t xml:space="preserve">Teoman</t>
  </si>
  <si>
    <t xml:space="preserve">Girard</t>
  </si>
  <si>
    <t xml:space="preserve">NIFI</t>
  </si>
  <si>
    <t xml:space="preserve">IB Economics</t>
  </si>
  <si>
    <t xml:space="preserve">Arissara</t>
  </si>
  <si>
    <t xml:space="preserve">Hutchinson</t>
  </si>
  <si>
    <t xml:space="preserve">Sara</t>
  </si>
  <si>
    <t xml:space="preserve">Naheta</t>
  </si>
  <si>
    <t xml:space="preserve">Janya</t>
  </si>
  <si>
    <t xml:space="preserve">Phlaphongphanich</t>
  </si>
  <si>
    <t xml:space="preserve">Suphakorn</t>
  </si>
  <si>
    <t xml:space="preserve">Srisakulchawla</t>
  </si>
  <si>
    <t xml:space="preserve">Teerin</t>
  </si>
  <si>
    <t xml:space="preserve">Thanunmanee</t>
  </si>
  <si>
    <t xml:space="preserve">Yuanxia</t>
  </si>
  <si>
    <t xml:space="preserve">Xu</t>
  </si>
  <si>
    <t xml:space="preserve">Wynn</t>
  </si>
  <si>
    <t xml:space="preserve">Yangchana</t>
  </si>
  <si>
    <t xml:space="preserve">Luomeng</t>
  </si>
  <si>
    <t xml:space="preserve">Sra</t>
  </si>
  <si>
    <t xml:space="preserve">SIWR</t>
  </si>
  <si>
    <t xml:space="preserve">Samaira</t>
  </si>
  <si>
    <t xml:space="preserve">Chansrichawla</t>
  </si>
  <si>
    <t xml:space="preserve">Narida</t>
  </si>
  <si>
    <t xml:space="preserve">Charanachitta</t>
  </si>
  <si>
    <t xml:space="preserve">Rosalie</t>
  </si>
  <si>
    <t xml:space="preserve">Clapp</t>
  </si>
  <si>
    <t xml:space="preserve">Jinansh</t>
  </si>
  <si>
    <t xml:space="preserve">Jain</t>
  </si>
  <si>
    <t xml:space="preserve">Tristan</t>
  </si>
  <si>
    <t xml:space="preserve">Kanjanapas</t>
  </si>
  <si>
    <t xml:space="preserve">Neil</t>
  </si>
  <si>
    <t xml:space="preserve">Kumar</t>
  </si>
  <si>
    <t xml:space="preserve">Korntad</t>
  </si>
  <si>
    <t xml:space="preserve">Manavutiveth</t>
  </si>
  <si>
    <t xml:space="preserve">Oliver</t>
  </si>
  <si>
    <t xml:space="preserve">O'Moore</t>
  </si>
  <si>
    <t xml:space="preserve">Maximilian</t>
  </si>
  <si>
    <t xml:space="preserve">Smith *</t>
  </si>
  <si>
    <t xml:space="preserve">Naphisa</t>
  </si>
  <si>
    <t xml:space="preserve">Songthong</t>
  </si>
  <si>
    <t xml:space="preserve">Shin</t>
  </si>
  <si>
    <t xml:space="preserve">Tangkaravakoon</t>
  </si>
  <si>
    <t xml:space="preserve">Selma</t>
  </si>
  <si>
    <t xml:space="preserve">Anderson *</t>
  </si>
  <si>
    <t xml:space="preserve">HAGH</t>
  </si>
  <si>
    <t xml:space="preserve">Zhewen</t>
  </si>
  <si>
    <t xml:space="preserve">Cao</t>
  </si>
  <si>
    <t xml:space="preserve">Rajul</t>
  </si>
  <si>
    <t xml:space="preserve">Grover</t>
  </si>
  <si>
    <t xml:space="preserve">Sorawit</t>
  </si>
  <si>
    <t xml:space="preserve">Meet</t>
  </si>
  <si>
    <t xml:space="preserve">Patel</t>
  </si>
  <si>
    <t xml:space="preserve">Cheng-An</t>
  </si>
  <si>
    <t xml:space="preserve">Peng</t>
  </si>
  <si>
    <t xml:space="preserve">Axel</t>
  </si>
  <si>
    <t xml:space="preserve">Power</t>
  </si>
  <si>
    <t xml:space="preserve">Darsh</t>
  </si>
  <si>
    <t xml:space="preserve">Rawat</t>
  </si>
  <si>
    <t xml:space="preserve">Cameron</t>
  </si>
  <si>
    <t xml:space="preserve">Tan</t>
  </si>
  <si>
    <t xml:space="preserve">Mustafa</t>
  </si>
  <si>
    <t xml:space="preserve">Usman</t>
  </si>
  <si>
    <t xml:space="preserve">Takeyoshi</t>
  </si>
  <si>
    <t xml:space="preserve">Aiyama</t>
  </si>
  <si>
    <t xml:space="preserve">MAST</t>
  </si>
  <si>
    <t xml:space="preserve">Sira</t>
  </si>
  <si>
    <t xml:space="preserve">Bhikadia</t>
  </si>
  <si>
    <t xml:space="preserve">Rithik</t>
  </si>
  <si>
    <t xml:space="preserve">Parisa</t>
  </si>
  <si>
    <t xml:space="preserve">Kaocharern</t>
  </si>
  <si>
    <t xml:space="preserve">Namfah</t>
  </si>
  <si>
    <t xml:space="preserve">Pibulsonggram</t>
  </si>
  <si>
    <t xml:space="preserve">Charles</t>
  </si>
  <si>
    <t xml:space="preserve">Pitcher</t>
  </si>
  <si>
    <t xml:space="preserve">Alisa</t>
  </si>
  <si>
    <t xml:space="preserve">Sangiambut</t>
  </si>
  <si>
    <t xml:space="preserve">Swasakorn</t>
  </si>
  <si>
    <t xml:space="preserve">Sapayanon</t>
  </si>
  <si>
    <t xml:space="preserve">Sebastian</t>
  </si>
  <si>
    <t xml:space="preserve">Schrader</t>
  </si>
  <si>
    <t xml:space="preserve">Tobias</t>
  </si>
  <si>
    <t xml:space="preserve">Woessner</t>
  </si>
  <si>
    <t xml:space="preserve">Arsh</t>
  </si>
  <si>
    <t xml:space="preserve">Agrawal</t>
  </si>
  <si>
    <t xml:space="preserve">Ananda</t>
  </si>
  <si>
    <t xml:space="preserve">Isaac</t>
  </si>
  <si>
    <t xml:space="preserve">Max</t>
  </si>
  <si>
    <t xml:space="preserve">Lai</t>
  </si>
  <si>
    <t xml:space="preserve">Sean</t>
  </si>
  <si>
    <t xml:space="preserve">Lertpisitkul</t>
  </si>
  <si>
    <t xml:space="preserve">Misha</t>
  </si>
  <si>
    <t xml:space="preserve">Parker</t>
  </si>
  <si>
    <t xml:space="preserve">Wadeeladda</t>
  </si>
  <si>
    <t xml:space="preserve">Satrulee</t>
  </si>
  <si>
    <t xml:space="preserve">Shlok</t>
  </si>
  <si>
    <t xml:space="preserve">Somani</t>
  </si>
  <si>
    <t xml:space="preserve">Dingchen</t>
  </si>
  <si>
    <t xml:space="preserve">Sun</t>
  </si>
  <si>
    <t xml:space="preserve">Minako</t>
  </si>
  <si>
    <t xml:space="preserve">Takahashi</t>
  </si>
  <si>
    <t xml:space="preserve">Techatat</t>
  </si>
  <si>
    <t xml:space="preserve">Techasukij</t>
  </si>
  <si>
    <t xml:space="preserve">Dolrit</t>
  </si>
  <si>
    <t xml:space="preserve">Thebpatipat</t>
  </si>
  <si>
    <t xml:space="preserve">Jira</t>
  </si>
  <si>
    <t xml:space="preserve">Wongswan</t>
  </si>
  <si>
    <t xml:space="preserve">Jynna</t>
  </si>
  <si>
    <t xml:space="preserve">Rinka</t>
  </si>
  <si>
    <t xml:space="preserve">Bunsokuwan</t>
  </si>
  <si>
    <t xml:space="preserve">Nga Lam</t>
  </si>
  <si>
    <t xml:space="preserve">Ching</t>
  </si>
  <si>
    <t xml:space="preserve">Nantikarn</t>
  </si>
  <si>
    <t xml:space="preserve">Dhiranusornkit</t>
  </si>
  <si>
    <t xml:space="preserve">Zachary</t>
  </si>
  <si>
    <t xml:space="preserve">Goh</t>
  </si>
  <si>
    <t xml:space="preserve">Jhanvi</t>
  </si>
  <si>
    <t xml:space="preserve">Golechha</t>
  </si>
  <si>
    <t xml:space="preserve">Veer</t>
  </si>
  <si>
    <t xml:space="preserve">Asama</t>
  </si>
  <si>
    <t xml:space="preserve">Jittachalodhorn</t>
  </si>
  <si>
    <t xml:space="preserve">Dongjae</t>
  </si>
  <si>
    <t xml:space="preserve">Kim</t>
  </si>
  <si>
    <t xml:space="preserve">Chaiyanat</t>
  </si>
  <si>
    <t xml:space="preserve">Kuptivej</t>
  </si>
  <si>
    <t xml:space="preserve">Naphol</t>
  </si>
  <si>
    <t xml:space="preserve">Lalai</t>
  </si>
  <si>
    <t xml:space="preserve">Seunghyo</t>
  </si>
  <si>
    <t xml:space="preserve">Lee</t>
  </si>
  <si>
    <t xml:space="preserve">Yeonjae</t>
  </si>
  <si>
    <t xml:space="preserve">Adam</t>
  </si>
  <si>
    <t xml:space="preserve">Lo</t>
  </si>
  <si>
    <t xml:space="preserve">Robin</t>
  </si>
  <si>
    <t xml:space="preserve">Theaud</t>
  </si>
  <si>
    <t xml:space="preserve">Quinn</t>
  </si>
  <si>
    <t xml:space="preserve">van der Linden</t>
  </si>
  <si>
    <t xml:space="preserve">Amelie</t>
  </si>
  <si>
    <t xml:space="preserve">Ashbee</t>
  </si>
  <si>
    <t xml:space="preserve">DADA</t>
  </si>
  <si>
    <t xml:space="preserve">IB Business Management</t>
  </si>
  <si>
    <t xml:space="preserve">Pinnchada</t>
  </si>
  <si>
    <t xml:space="preserve">Bohren</t>
  </si>
  <si>
    <t xml:space="preserve">Apichana</t>
  </si>
  <si>
    <t xml:space="preserve">Dai</t>
  </si>
  <si>
    <t xml:space="preserve">Raichah</t>
  </si>
  <si>
    <t xml:space="preserve">de Sousa-Huynen</t>
  </si>
  <si>
    <t xml:space="preserve">Sonja</t>
  </si>
  <si>
    <t xml:space="preserve">Jokinen</t>
  </si>
  <si>
    <t xml:space="preserve">Rui Ying</t>
  </si>
  <si>
    <t xml:space="preserve">Loo</t>
  </si>
  <si>
    <t xml:space="preserve">Ethan</t>
  </si>
  <si>
    <t xml:space="preserve">Mak</t>
  </si>
  <si>
    <t xml:space="preserve">Akarin</t>
  </si>
  <si>
    <t xml:space="preserve">Na Thalang</t>
  </si>
  <si>
    <t xml:space="preserve">Alexandra</t>
  </si>
  <si>
    <t xml:space="preserve">Jui-Chi</t>
  </si>
  <si>
    <t xml:space="preserve">Wang</t>
  </si>
  <si>
    <t xml:space="preserve">RYTH</t>
  </si>
  <si>
    <t xml:space="preserve">Isabelle</t>
  </si>
  <si>
    <t xml:space="preserve">Graindorge</t>
  </si>
  <si>
    <t xml:space="preserve">Thom</t>
  </si>
  <si>
    <t xml:space="preserve">Greener *</t>
  </si>
  <si>
    <t xml:space="preserve">Esther</t>
  </si>
  <si>
    <t xml:space="preserve">Lauren</t>
  </si>
  <si>
    <t xml:space="preserve">Cong Ying</t>
  </si>
  <si>
    <t xml:space="preserve">Lim</t>
  </si>
  <si>
    <t xml:space="preserve">Adrien</t>
  </si>
  <si>
    <t xml:space="preserve">Lombard</t>
  </si>
  <si>
    <t xml:space="preserve">Arish</t>
  </si>
  <si>
    <t xml:space="preserve">Sachdev</t>
  </si>
  <si>
    <t xml:space="preserve">Tresco</t>
  </si>
  <si>
    <t xml:space="preserve">Tatam</t>
  </si>
  <si>
    <t xml:space="preserve">Zanco</t>
  </si>
  <si>
    <t xml:space="preserve">Rentai</t>
  </si>
  <si>
    <t xml:space="preserve">Zi Yu</t>
  </si>
  <si>
    <t xml:space="preserve">Chong</t>
  </si>
  <si>
    <t xml:space="preserve">Anaiya</t>
  </si>
  <si>
    <t xml:space="preserve">Malhotra</t>
  </si>
  <si>
    <t xml:space="preserve">Myatt</t>
  </si>
  <si>
    <t xml:space="preserve">Stuart-Smith</t>
  </si>
  <si>
    <t xml:space="preserve">Chanya</t>
  </si>
  <si>
    <t xml:space="preserve">Thienthong</t>
  </si>
  <si>
    <t xml:space="preserve">KRME</t>
  </si>
  <si>
    <t xml:space="preserve">William</t>
  </si>
  <si>
    <t xml:space="preserve">Bell</t>
  </si>
  <si>
    <t xml:space="preserve">Alexandria</t>
  </si>
  <si>
    <t xml:space="preserve">Melling</t>
  </si>
  <si>
    <t xml:space="preserve">Alin</t>
  </si>
  <si>
    <t xml:space="preserve">Sae-Be</t>
  </si>
  <si>
    <t xml:space="preserve">ELRI</t>
  </si>
  <si>
    <t xml:space="preserve">IB History</t>
  </si>
  <si>
    <t xml:space="preserve">Violet</t>
  </si>
  <si>
    <t xml:space="preserve">Stephan</t>
  </si>
  <si>
    <t xml:space="preserve">Advika</t>
  </si>
  <si>
    <t xml:space="preserve">Agarwal</t>
  </si>
  <si>
    <t xml:space="preserve">13.3</t>
  </si>
  <si>
    <t xml:space="preserve">JOOS</t>
  </si>
  <si>
    <t xml:space="preserve">Sophia</t>
  </si>
  <si>
    <t xml:space="preserve">Wey Coelho</t>
  </si>
  <si>
    <t xml:space="preserve">Arisyan</t>
  </si>
  <si>
    <t xml:space="preserve">Bagnuoli</t>
  </si>
  <si>
    <t xml:space="preserve">DAMI</t>
  </si>
  <si>
    <t xml:space="preserve">Grad 2028</t>
  </si>
  <si>
    <t xml:space="preserve">Suzanna</t>
  </si>
  <si>
    <t xml:space="preserve">Bickford</t>
  </si>
  <si>
    <t xml:space="preserve">Smithi</t>
  </si>
  <si>
    <t xml:space="preserve">Gilroy</t>
  </si>
  <si>
    <t xml:space="preserve">Emily</t>
  </si>
  <si>
    <t xml:space="preserve">Jones</t>
  </si>
  <si>
    <t xml:space="preserve">Evan</t>
  </si>
  <si>
    <t xml:space="preserve">Ewan</t>
  </si>
  <si>
    <t xml:space="preserve">Michael-St Clair</t>
  </si>
  <si>
    <t xml:space="preserve">Nehir</t>
  </si>
  <si>
    <t xml:space="preserve">Topdagi</t>
  </si>
  <si>
    <t xml:space="preserve">Ruoan</t>
  </si>
  <si>
    <t xml:space="preserve">Mila</t>
  </si>
  <si>
    <t xml:space="preserve">Chakrabandhu</t>
  </si>
  <si>
    <t xml:space="preserve">Varsha</t>
  </si>
  <si>
    <t xml:space="preserve">Dahiya</t>
  </si>
  <si>
    <t xml:space="preserve">Marco</t>
  </si>
  <si>
    <t xml:space="preserve">Elston</t>
  </si>
  <si>
    <t xml:space="preserve">Zhien</t>
  </si>
  <si>
    <t xml:space="preserve">Fang</t>
  </si>
  <si>
    <t xml:space="preserve">Jinwoo</t>
  </si>
  <si>
    <t xml:space="preserve">Vanissa</t>
  </si>
  <si>
    <t xml:space="preserve">Phromvanich</t>
  </si>
  <si>
    <t xml:space="preserve">Pincock-Jones</t>
  </si>
  <si>
    <t xml:space="preserve">Sanja</t>
  </si>
  <si>
    <t xml:space="preserve">Rodel</t>
  </si>
  <si>
    <t xml:space="preserve">Rhys</t>
  </si>
  <si>
    <t xml:space="preserve">Tweedie</t>
  </si>
  <si>
    <t xml:space="preserve">Naomi</t>
  </si>
  <si>
    <t xml:space="preserve">Alpern</t>
  </si>
  <si>
    <t xml:space="preserve">Junho</t>
  </si>
  <si>
    <t xml:space="preserve">Yintong</t>
  </si>
  <si>
    <t xml:space="preserve">Liao</t>
  </si>
  <si>
    <t xml:space="preserve">Mae</t>
  </si>
  <si>
    <t xml:space="preserve">Meyer</t>
  </si>
  <si>
    <t xml:space="preserve">Nabhat</t>
  </si>
  <si>
    <t xml:space="preserve">Ngamtrakulpanit</t>
  </si>
  <si>
    <t xml:space="preserve">Arkin</t>
  </si>
  <si>
    <t xml:space="preserve">Sorakraikitikul</t>
  </si>
  <si>
    <t xml:space="preserve">Natalia</t>
  </si>
  <si>
    <t xml:space="preserve">Suthiwongsunthorn</t>
  </si>
  <si>
    <t xml:space="preserve">Ya Fang</t>
  </si>
  <si>
    <t xml:space="preserve">Yeo</t>
  </si>
  <si>
    <t xml:space="preserve">Alison</t>
  </si>
  <si>
    <t xml:space="preserve">Bryn</t>
  </si>
  <si>
    <t xml:space="preserve">Boonvisut</t>
  </si>
  <si>
    <t xml:space="preserve">Annetta</t>
  </si>
  <si>
    <t xml:space="preserve">Jagota</t>
  </si>
  <si>
    <t xml:space="preserve">Kenzo</t>
  </si>
  <si>
    <t xml:space="preserve">Eva</t>
  </si>
  <si>
    <t xml:space="preserve">Reuven</t>
  </si>
  <si>
    <t xml:space="preserve">Oluwatobiloba</t>
  </si>
  <si>
    <t xml:space="preserve">Sanusi</t>
  </si>
  <si>
    <t xml:space="preserve">Ayaan</t>
  </si>
  <si>
    <t xml:space="preserve">Shah</t>
  </si>
  <si>
    <t xml:space="preserve">Diya</t>
  </si>
  <si>
    <t xml:space="preserve">Singhsachathet</t>
  </si>
  <si>
    <t xml:space="preserve">Matthew</t>
  </si>
  <si>
    <t xml:space="preserve">Skilbeck</t>
  </si>
  <si>
    <t xml:space="preserve">Tomi</t>
  </si>
  <si>
    <t xml:space="preserve">Tam</t>
  </si>
  <si>
    <t xml:space="preserve">van Ek</t>
  </si>
  <si>
    <t xml:space="preserve">Annika</t>
  </si>
  <si>
    <t xml:space="preserve">Vigoda</t>
  </si>
  <si>
    <t xml:space="preserve">Daniel</t>
  </si>
  <si>
    <t xml:space="preserve">Vogelsanger</t>
  </si>
  <si>
    <t xml:space="preserve">Aloysius</t>
  </si>
  <si>
    <t xml:space="preserve">Sahiem</t>
  </si>
  <si>
    <t xml:space="preserve">Anand</t>
  </si>
  <si>
    <t xml:space="preserve">Vichayut</t>
  </si>
  <si>
    <t xml:space="preserve">Chatthamrak</t>
  </si>
  <si>
    <t xml:space="preserve">Atisha</t>
  </si>
  <si>
    <t xml:space="preserve">Chermjutidham</t>
  </si>
  <si>
    <t xml:space="preserve">Nadia</t>
  </si>
  <si>
    <t xml:space="preserve">Chevangkul</t>
  </si>
  <si>
    <t xml:space="preserve">Caleb</t>
  </si>
  <si>
    <t xml:space="preserve">Combrinck</t>
  </si>
  <si>
    <t xml:space="preserve">Mabel</t>
  </si>
  <si>
    <t xml:space="preserve">Griffiths</t>
  </si>
  <si>
    <t xml:space="preserve">Nysha</t>
  </si>
  <si>
    <t xml:space="preserve">Gupta</t>
  </si>
  <si>
    <t xml:space="preserve">Troy</t>
  </si>
  <si>
    <t xml:space="preserve">Hunt</t>
  </si>
  <si>
    <t xml:space="preserve">Nikhyl</t>
  </si>
  <si>
    <t xml:space="preserve">Kogar</t>
  </si>
  <si>
    <t xml:space="preserve">Frank</t>
  </si>
  <si>
    <t xml:space="preserve">Myers</t>
  </si>
  <si>
    <t xml:space="preserve">Navina</t>
  </si>
  <si>
    <t xml:space="preserve">Ongvasith</t>
  </si>
  <si>
    <t xml:space="preserve">Qiliang</t>
  </si>
  <si>
    <t xml:space="preserve">Xiang</t>
  </si>
  <si>
    <t xml:space="preserve">Stuti</t>
  </si>
  <si>
    <t xml:space="preserve">Ryan</t>
  </si>
  <si>
    <t xml:space="preserve">Kapur</t>
  </si>
  <si>
    <t xml:space="preserve">Jacob</t>
  </si>
  <si>
    <t xml:space="preserve">Chanampa</t>
  </si>
  <si>
    <t xml:space="preserve">Maleenont</t>
  </si>
  <si>
    <t xml:space="preserve">Mallika</t>
  </si>
  <si>
    <t xml:space="preserve">Moo-Ming</t>
  </si>
  <si>
    <t xml:space="preserve">Samrit</t>
  </si>
  <si>
    <t xml:space="preserve">Singh</t>
  </si>
  <si>
    <t xml:space="preserve">Skelcher</t>
  </si>
  <si>
    <t xml:space="preserve">Ceylin</t>
  </si>
  <si>
    <t xml:space="preserve">Uvez</t>
  </si>
  <si>
    <t xml:space="preserve">Hugo</t>
  </si>
  <si>
    <t xml:space="preserve">Verdon *</t>
  </si>
  <si>
    <t xml:space="preserve">Hei Yeung Wesley</t>
  </si>
  <si>
    <t xml:space="preserve">Wu *</t>
  </si>
  <si>
    <t xml:space="preserve">Tyler</t>
  </si>
  <si>
    <t xml:space="preserve">Yang</t>
  </si>
  <si>
    <t xml:space="preserve">Chaisrisawatsuk</t>
  </si>
  <si>
    <t xml:space="preserve">Iwarin</t>
  </si>
  <si>
    <t xml:space="preserve">Charatkulangkun</t>
  </si>
  <si>
    <t xml:space="preserve">Nutsha</t>
  </si>
  <si>
    <t xml:space="preserve">Dansiri</t>
  </si>
  <si>
    <t xml:space="preserve">Rachapol</t>
  </si>
  <si>
    <t xml:space="preserve">Guo</t>
  </si>
  <si>
    <t xml:space="preserve">Zi Xuan</t>
  </si>
  <si>
    <t xml:space="preserve">Hoppenbrouwers</t>
  </si>
  <si>
    <t xml:space="preserve">Leonor</t>
  </si>
  <si>
    <t xml:space="preserve">Larmer-Beech</t>
  </si>
  <si>
    <t xml:space="preserve">Phineas</t>
  </si>
  <si>
    <t xml:space="preserve">Luenganantakul</t>
  </si>
  <si>
    <t xml:space="preserve">Thanataj</t>
  </si>
  <si>
    <t xml:space="preserve">Miller</t>
  </si>
  <si>
    <t xml:space="preserve">Justin</t>
  </si>
  <si>
    <t xml:space="preserve">Sanaa</t>
  </si>
  <si>
    <t xml:space="preserve">Maegan Si Hwei</t>
  </si>
  <si>
    <t xml:space="preserve">Unger</t>
  </si>
  <si>
    <t xml:space="preserve">Otys</t>
  </si>
  <si>
    <t xml:space="preserve">Yuanheng</t>
  </si>
  <si>
    <t xml:space="preserve">Jack</t>
  </si>
  <si>
    <t xml:space="preserve">Frazier</t>
  </si>
  <si>
    <t xml:space="preserve">Arnob</t>
  </si>
  <si>
    <t xml:space="preserve">Ghosh</t>
  </si>
  <si>
    <t xml:space="preserve">Remy</t>
  </si>
  <si>
    <t xml:space="preserve">Hartayo</t>
  </si>
  <si>
    <t xml:space="preserve">Changyuan</t>
  </si>
  <si>
    <t xml:space="preserve">Jiang</t>
  </si>
  <si>
    <t xml:space="preserve">Irisa</t>
  </si>
  <si>
    <t xml:space="preserve">Juangroongruangkit *</t>
  </si>
  <si>
    <t xml:space="preserve">Knox</t>
  </si>
  <si>
    <t xml:space="preserve">Beomseok</t>
  </si>
  <si>
    <t xml:space="preserve">Ko</t>
  </si>
  <si>
    <t xml:space="preserve">Oscar</t>
  </si>
  <si>
    <t xml:space="preserve">Chayada</t>
  </si>
  <si>
    <t xml:space="preserve">Leeswadtrakul</t>
  </si>
  <si>
    <t xml:space="preserve">Louis</t>
  </si>
  <si>
    <t xml:space="preserve">Lemoine</t>
  </si>
  <si>
    <t xml:space="preserve">Hailynn</t>
  </si>
  <si>
    <t xml:space="preserve">Tang</t>
  </si>
  <si>
    <t xml:space="preserve">Tanwaar</t>
  </si>
  <si>
    <t xml:space="preserve">Taylor</t>
  </si>
  <si>
    <t xml:space="preserve">Katherine</t>
  </si>
  <si>
    <t xml:space="preserve">Madden</t>
  </si>
  <si>
    <t xml:space="preserve">Praefah</t>
  </si>
  <si>
    <t xml:space="preserve">Cohen *</t>
  </si>
  <si>
    <t xml:space="preserve">Cooper</t>
  </si>
  <si>
    <t xml:space="preserve">Ellem</t>
  </si>
  <si>
    <t xml:space="preserve">Arjan</t>
  </si>
  <si>
    <t xml:space="preserve">Hora</t>
  </si>
  <si>
    <t xml:space="preserve">Tritania</t>
  </si>
  <si>
    <t xml:space="preserve">Jantarach</t>
  </si>
  <si>
    <t xml:space="preserve">Londo</t>
  </si>
  <si>
    <t xml:space="preserve">Kawasaki</t>
  </si>
  <si>
    <t xml:space="preserve">Rahima</t>
  </si>
  <si>
    <t xml:space="preserve">Khan *</t>
  </si>
  <si>
    <t xml:space="preserve">Naomie</t>
  </si>
  <si>
    <t xml:space="preserve">Loux</t>
  </si>
  <si>
    <t xml:space="preserve">Rigby</t>
  </si>
  <si>
    <t xml:space="preserve">Giorgia</t>
  </si>
  <si>
    <t xml:space="preserve">Romei</t>
  </si>
  <si>
    <t xml:space="preserve">Proudpalin</t>
  </si>
  <si>
    <t xml:space="preserve">Suriyabhivadh</t>
  </si>
  <si>
    <t xml:space="preserve">Bapna</t>
  </si>
  <si>
    <t xml:space="preserve">Zahira</t>
  </si>
  <si>
    <t xml:space="preserve">Choksiri</t>
  </si>
  <si>
    <t xml:space="preserve">Ilda</t>
  </si>
  <si>
    <t xml:space="preserve">Erdal</t>
  </si>
  <si>
    <t xml:space="preserve">Lila</t>
  </si>
  <si>
    <t xml:space="preserve">Hsieh</t>
  </si>
  <si>
    <t xml:space="preserve">Martha</t>
  </si>
  <si>
    <t xml:space="preserve">Katja</t>
  </si>
  <si>
    <t xml:space="preserve">Lauffer</t>
  </si>
  <si>
    <t xml:space="preserve">Samiksha</t>
  </si>
  <si>
    <t xml:space="preserve">Mahesh</t>
  </si>
  <si>
    <t xml:space="preserve">Lievi</t>
  </si>
  <si>
    <t xml:space="preserve">Menniken</t>
  </si>
  <si>
    <t xml:space="preserve">Saba</t>
  </si>
  <si>
    <t xml:space="preserve">Piller</t>
  </si>
  <si>
    <t xml:space="preserve">Sasipa</t>
  </si>
  <si>
    <t xml:space="preserve">Sirichamroonvit</t>
  </si>
  <si>
    <t xml:space="preserve">Siramongkol</t>
  </si>
  <si>
    <t xml:space="preserve">Sonakul Na Ayudhaya</t>
  </si>
  <si>
    <t xml:space="preserve">Emma</t>
  </si>
  <si>
    <t xml:space="preserve">Turchetti</t>
  </si>
  <si>
    <t xml:space="preserve">AAMU</t>
  </si>
  <si>
    <t xml:space="preserve">Vanista</t>
  </si>
  <si>
    <t xml:space="preserve">Charoonsmith</t>
  </si>
  <si>
    <t xml:space="preserve">Lily</t>
  </si>
  <si>
    <t xml:space="preserve">Grosic</t>
  </si>
  <si>
    <t xml:space="preserve">Maryam</t>
  </si>
  <si>
    <t xml:space="preserve">Limbada</t>
  </si>
  <si>
    <t xml:space="preserve">Arjun</t>
  </si>
  <si>
    <t xml:space="preserve">Nair</t>
  </si>
  <si>
    <t xml:space="preserve">Paporn</t>
  </si>
  <si>
    <t xml:space="preserve">Phetsinthopchai</t>
  </si>
  <si>
    <t xml:space="preserve">Jakob</t>
  </si>
  <si>
    <t xml:space="preserve">Baraka</t>
  </si>
  <si>
    <t xml:space="preserve">Franz</t>
  </si>
  <si>
    <t xml:space="preserve">Bodenheimer</t>
  </si>
  <si>
    <t xml:space="preserve">Chenxi</t>
  </si>
  <si>
    <t xml:space="preserve">Hu</t>
  </si>
  <si>
    <t xml:space="preserve">Aarush</t>
  </si>
  <si>
    <t xml:space="preserve">Jhanwar</t>
  </si>
  <si>
    <t xml:space="preserve">Naarin</t>
  </si>
  <si>
    <t xml:space="preserve">Prasarttongosoth</t>
  </si>
  <si>
    <t xml:space="preserve">Edward</t>
  </si>
  <si>
    <t xml:space="preserve">Tantapakul</t>
  </si>
  <si>
    <t xml:space="preserve">Thea</t>
  </si>
  <si>
    <t xml:space="preserve">Marieke</t>
  </si>
  <si>
    <t xml:space="preserve">van Neerven *</t>
  </si>
  <si>
    <t xml:space="preserve">Maya</t>
  </si>
  <si>
    <t xml:space="preserve">Wawrzyniak</t>
  </si>
  <si>
    <t xml:space="preserve">Jeanne</t>
  </si>
  <si>
    <t xml:space="preserve">Webert</t>
  </si>
  <si>
    <t xml:space="preserve">Howard</t>
  </si>
  <si>
    <t xml:space="preserve">Yeh</t>
  </si>
  <si>
    <t xml:space="preserve">Pana</t>
  </si>
  <si>
    <t xml:space="preserve">Farnworth</t>
  </si>
  <si>
    <t xml:space="preserve">Lamb</t>
  </si>
  <si>
    <t xml:space="preserve">Dhevraj</t>
  </si>
  <si>
    <t xml:space="preserve">Prachaseri</t>
  </si>
  <si>
    <t xml:space="preserve">Lochlain</t>
  </si>
  <si>
    <t xml:space="preserve">Van Gorph</t>
  </si>
  <si>
    <t xml:space="preserve">Penaree</t>
  </si>
  <si>
    <t xml:space="preserve">Chindahporn</t>
  </si>
  <si>
    <t xml:space="preserve">Kataleeya</t>
  </si>
  <si>
    <t xml:space="preserve">Collier</t>
  </si>
  <si>
    <t xml:space="preserve">Khudeja</t>
  </si>
  <si>
    <t xml:space="preserve">Irfan</t>
  </si>
  <si>
    <t xml:space="preserve">Phin</t>
  </si>
  <si>
    <t xml:space="preserve">Liv</t>
  </si>
  <si>
    <t xml:space="preserve">Alice</t>
  </si>
  <si>
    <t xml:space="preserve">Mimi</t>
  </si>
  <si>
    <t xml:space="preserve">Eliana</t>
  </si>
  <si>
    <t xml:space="preserve">Maruniak</t>
  </si>
  <si>
    <t xml:space="preserve">Elisa</t>
  </si>
  <si>
    <t xml:space="preserve">Reis Faraco *</t>
  </si>
  <si>
    <t xml:space="preserve">Kaka</t>
  </si>
  <si>
    <t xml:space="preserve">Shi</t>
  </si>
  <si>
    <t xml:space="preserve">Hickox</t>
  </si>
  <si>
    <t xml:space="preserve">BTEC Business</t>
  </si>
  <si>
    <t xml:space="preserve">Choose P, M or D for each unit. Counts at the bottom of each column update automatically.</t>
  </si>
  <si>
    <t xml:space="preserve">Unit 1 AB</t>
  </si>
  <si>
    <t xml:space="preserve">Unit 1 C</t>
  </si>
  <si>
    <t xml:space="preserve">Unit 2 AB</t>
  </si>
  <si>
    <t xml:space="preserve">Unit 2 C</t>
  </si>
  <si>
    <t xml:space="preserve">Unit 19 AB</t>
  </si>
  <si>
    <t xml:space="preserve">Unit 19 C</t>
  </si>
  <si>
    <t xml:space="preserve">Unit 30 AB</t>
  </si>
  <si>
    <t xml:space="preserve">Unit 30 C</t>
  </si>
  <si>
    <t xml:space="preserve">Unit 23 AB</t>
  </si>
  <si>
    <t xml:space="preserve">Unit 23 C</t>
  </si>
  <si>
    <t xml:space="preserve">Freddy</t>
  </si>
  <si>
    <t xml:space="preserve">Minchin</t>
  </si>
  <si>
    <t xml:space="preserve">M</t>
  </si>
  <si>
    <t xml:space="preserve">P</t>
  </si>
  <si>
    <t xml:space="preserve">D</t>
  </si>
  <si>
    <t xml:space="preserve">Teddy</t>
  </si>
  <si>
    <t xml:space="preserve">Diskul</t>
  </si>
  <si>
    <t xml:space="preserve">Distinction</t>
  </si>
  <si>
    <t xml:space="preserve">Merit</t>
  </si>
  <si>
    <t xml:space="preserve">Pass</t>
  </si>
  <si>
    <t xml:space="preserve">Key</t>
  </si>
  <si>
    <t xml:space="preserve">Slot</t>
  </si>
  <si>
    <t xml:space="preserve">Assessment name</t>
  </si>
  <si>
    <t xml:space="preserve">When</t>
  </si>
  <si>
    <t xml:space="preserve">Max mark</t>
  </si>
  <si>
    <t xml:space="preserve">Boundary set</t>
  </si>
  <si>
    <t xml:space="preserve">Weight</t>
  </si>
  <si>
    <t xml:space="preserve">Population</t>
  </si>
  <si>
    <t xml:space="preserve">Y12 T1 Wk 8</t>
  </si>
  <si>
    <t xml:space="preserve">Geog Paper 1</t>
  </si>
  <si>
    <t xml:space="preserve">Food &amp; health</t>
  </si>
  <si>
    <t xml:space="preserve">Y12 T1 Wk 13</t>
  </si>
  <si>
    <t xml:space="preserve">Population (P2)</t>
  </si>
  <si>
    <t xml:space="preserve">Geog Paper 2</t>
  </si>
  <si>
    <t xml:space="preserve">Freshwater</t>
  </si>
  <si>
    <t xml:space="preserve">Y12 T2 Wk 6</t>
  </si>
  <si>
    <t xml:space="preserve">Y12 T2 Wk 9</t>
  </si>
  <si>
    <t xml:space="preserve">Mid course P1</t>
  </si>
  <si>
    <t xml:space="preserve">Y12 T3</t>
  </si>
  <si>
    <t xml:space="preserve">Mid course P2</t>
  </si>
  <si>
    <t xml:space="preserve">IA</t>
  </si>
  <si>
    <t xml:space="preserve">Y13 T1 Wk 4</t>
  </si>
  <si>
    <t xml:space="preserve">HL essay</t>
  </si>
  <si>
    <t xml:space="preserve">Y13 T1 Wk 5</t>
  </si>
  <si>
    <t xml:space="preserve">Geog Paper 3</t>
  </si>
  <si>
    <t xml:space="preserve">Climate change</t>
  </si>
  <si>
    <t xml:space="preserve">Population test</t>
  </si>
  <si>
    <t xml:space="preserve">Population (EOU)</t>
  </si>
  <si>
    <t xml:space="preserve">Freshwater test</t>
  </si>
  <si>
    <t xml:space="preserve">Y13 T1</t>
  </si>
  <si>
    <t xml:space="preserve">Y13 T1 Wk 6</t>
  </si>
  <si>
    <t xml:space="preserve">Unit 1.1 test</t>
  </si>
  <si>
    <t xml:space="preserve">Y12 T1</t>
  </si>
  <si>
    <t xml:space="preserve">Econ Test</t>
  </si>
  <si>
    <t xml:space="preserve">Unit test 2.1-2.5</t>
  </si>
  <si>
    <t xml:space="preserve">Unit test 2.7-2.8</t>
  </si>
  <si>
    <t xml:space="preserve">Y12 T2</t>
  </si>
  <si>
    <t xml:space="preserve">Unit test 2.1-2.8</t>
  </si>
  <si>
    <t xml:space="preserve">Mid course P1+P3</t>
  </si>
  <si>
    <t xml:space="preserve">Econ Exam</t>
  </si>
  <si>
    <t xml:space="preserve">Unit test 3.1</t>
  </si>
  <si>
    <t xml:space="preserve">Y13</t>
  </si>
  <si>
    <t xml:space="preserve">Trial exam P1+P2+P3</t>
  </si>
  <si>
    <t xml:space="preserve">Unit test 1.1 &amp; 1.2</t>
  </si>
  <si>
    <t xml:space="preserve">Unit test 2.7 + 2.8</t>
  </si>
  <si>
    <t xml:space="preserve">Mid course</t>
  </si>
  <si>
    <t xml:space="preserve">Unit test 3.2</t>
  </si>
  <si>
    <t xml:space="preserve">Trial exam P1+P2</t>
  </si>
  <si>
    <t xml:space="preserve">Unit 1.1-1.3</t>
  </si>
  <si>
    <t xml:space="preserve">Y12 Sep</t>
  </si>
  <si>
    <t xml:space="preserve">BM Test</t>
  </si>
  <si>
    <t xml:space="preserve">Unit 1</t>
  </si>
  <si>
    <t xml:space="preserve">Y12 Nov</t>
  </si>
  <si>
    <t xml:space="preserve">Unit 4</t>
  </si>
  <si>
    <t xml:space="preserve">Y12 Feb</t>
  </si>
  <si>
    <t xml:space="preserve">BM Exam</t>
  </si>
  <si>
    <t xml:space="preserve">Finance</t>
  </si>
  <si>
    <t xml:space="preserve">Y13 Sep</t>
  </si>
  <si>
    <t xml:space="preserve">HRM</t>
  </si>
  <si>
    <t xml:space="preserve">Y13 Nov</t>
  </si>
  <si>
    <t xml:space="preserve">Trial exam (grade)</t>
  </si>
  <si>
    <t xml:space="preserve">Y13 Jan</t>
  </si>
  <si>
    <t xml:space="preserve">Grade entered</t>
  </si>
  <si>
    <t xml:space="preserve">Unit test 1.1</t>
  </si>
  <si>
    <t xml:space="preserve">Unit test 1.3</t>
  </si>
  <si>
    <t xml:space="preserve">Unit 3</t>
  </si>
  <si>
    <t xml:space="preserve">Trial exam</t>
  </si>
  <si>
    <t xml:space="preserve">1st checkpoint: P1</t>
  </si>
  <si>
    <t xml:space="preserve">Hist Paper 1</t>
  </si>
  <si>
    <t xml:space="preserve">2nd checkpoint: P3 (SJ impact)</t>
  </si>
  <si>
    <t xml:space="preserve">Hist P3 essay</t>
  </si>
  <si>
    <t xml:space="preserve">2nd checkpoint: P1</t>
  </si>
  <si>
    <t xml:space="preserve">3rd checkpoint: P2 Auth. States</t>
  </si>
  <si>
    <t xml:space="preserve">Hist P2 partial</t>
  </si>
  <si>
    <t xml:space="preserve">3rd checkpoint: P3 Nat. identity</t>
  </si>
  <si>
    <t xml:space="preserve">Mid course P1 SJ War</t>
  </si>
  <si>
    <t xml:space="preserve">Mid course P2 AS + CW</t>
  </si>
  <si>
    <t xml:space="preserve">Hist P2 full</t>
  </si>
  <si>
    <t xml:space="preserve">Mid course P3</t>
  </si>
  <si>
    <t xml:space="preserve">Hist P3 full</t>
  </si>
  <si>
    <t xml:space="preserve">4th checkpoint: P1</t>
  </si>
  <si>
    <t xml:space="preserve">Y13 Oct</t>
  </si>
  <si>
    <t xml:space="preserve">5th checkpoint: P2</t>
  </si>
  <si>
    <t xml:space="preserve">5th checkpoint: P3</t>
  </si>
  <si>
    <t xml:space="preserve">P3 knowledge test (%)</t>
  </si>
  <si>
    <t xml:space="preserve">Extra assessment</t>
  </si>
  <si>
    <t xml:space="preserve">1st checkpoint: P1 Japan</t>
  </si>
  <si>
    <t xml:space="preserve">2nd checkpoint: P1 Appeasement</t>
  </si>
  <si>
    <t xml:space="preserve">6th checkpoint: P2</t>
  </si>
  <si>
    <t xml:space="preserve">T1 Wk 8</t>
  </si>
  <si>
    <t xml:space="preserve">T1 Wk 13</t>
  </si>
  <si>
    <t xml:space="preserve">T2 Wk 6</t>
  </si>
  <si>
    <t xml:space="preserve">T2 Wk 9</t>
  </si>
  <si>
    <t xml:space="preserve">T3</t>
  </si>
  <si>
    <t xml:space="preserve">T1</t>
  </si>
  <si>
    <t xml:space="preserve">T2</t>
  </si>
  <si>
    <t xml:space="preserve">Unit test 2.11</t>
  </si>
  <si>
    <t xml:space="preserve">Unit test 3.1-3.2</t>
  </si>
  <si>
    <t xml:space="preserve">Sep</t>
  </si>
  <si>
    <t xml:space="preserve">Nov</t>
  </si>
  <si>
    <t xml:space="preserve">Feb</t>
  </si>
  <si>
    <t xml:space="preserve">Sept checkpoint: P3 essay</t>
  </si>
  <si>
    <t xml:space="preserve">Sept checkpoint: partial P2</t>
  </si>
  <si>
    <t xml:space="preserve">Nov checkpoint: P2</t>
  </si>
  <si>
    <t xml:space="preserve">Nov checkpoint: P3 essay</t>
  </si>
  <si>
    <t xml:space="preserve">Feb checkpoint: P3 essay</t>
  </si>
  <si>
    <t xml:space="preserve">Feb checkpoint (2)</t>
  </si>
  <si>
    <t xml:space="preserve">Nov checkpoint</t>
  </si>
  <si>
    <t xml:space="preserve">Feb checkpoint</t>
  </si>
  <si>
    <t xml:space="preserve">Grad 2029</t>
  </si>
  <si>
    <t xml:space="preserve">Grad 2030</t>
  </si>
  <si>
    <t xml:space="preserve">Grade 0</t>
  </si>
  <si>
    <t xml:space="preserve">Grade 1</t>
  </si>
  <si>
    <t xml:space="preserve">Grade 2</t>
  </si>
  <si>
    <t xml:space="preserve">Grade 3</t>
  </si>
  <si>
    <t xml:space="preserve">Grade 4</t>
  </si>
  <si>
    <t xml:space="preserve">Grade 5</t>
  </si>
  <si>
    <t xml:space="preserve">Grade 6</t>
  </si>
  <si>
    <t xml:space="preserve">Grade 7</t>
  </si>
  <si>
    <t xml:space="preserve">Lowest % needed for each grade. Geography, Economics and Business copied from the old tracker; History row is an example to replace.</t>
  </si>
  <si>
    <t xml:space="preserve">Geog Overall HL</t>
  </si>
  <si>
    <t xml:space="preserve">Geog Overall SL</t>
  </si>
  <si>
    <t xml:space="preserve">Hist Overall SL</t>
  </si>
  <si>
    <t xml:space="preserve">Hist Overall HL</t>
  </si>
  <si>
    <t xml:space="preserve">Subject|Level</t>
  </si>
  <si>
    <t xml:space="preserve">Overall boundaries</t>
  </si>
  <si>
    <t xml:space="preserve">IB Geography|HL</t>
  </si>
  <si>
    <t xml:space="preserve">EAL</t>
  </si>
  <si>
    <t xml:space="preserve">IB Geography|SL</t>
  </si>
  <si>
    <t xml:space="preserve">SL/HL</t>
  </si>
  <si>
    <t xml:space="preserve">LS</t>
  </si>
  <si>
    <t xml:space="preserve">IB Economics|HL</t>
  </si>
  <si>
    <t xml:space="preserve">Access arr.</t>
  </si>
  <si>
    <t xml:space="preserve">IB Economics|SL</t>
  </si>
  <si>
    <t xml:space="preserve">Wellbeing</t>
  </si>
  <si>
    <t xml:space="preserve">IB Business Management|HL</t>
  </si>
  <si>
    <t xml:space="preserve">IB Business Management|SL</t>
  </si>
  <si>
    <t xml:space="preserve">IB History|HL</t>
  </si>
  <si>
    <t xml:space="preserve">IB History|SL</t>
  </si>
</sst>
</file>

<file path=xl/styles.xml><?xml version="1.0" encoding="utf-8"?>
<styleSheet xmlns="http://schemas.openxmlformats.org/spreadsheetml/2006/main">
  <numFmts count="6">
    <numFmt numFmtId="164" formatCode="General"/>
    <numFmt numFmtId="165" formatCode="0.0"/>
    <numFmt numFmtId="166" formatCode="\+0.0;\-0.0;0"/>
    <numFmt numFmtId="167" formatCode="0"/>
    <numFmt numFmtId="168" formatCode="General"/>
    <numFmt numFmtId="169" formatCode="\+0;\-0;0"/>
  </numFmts>
  <fonts count="30">
    <font>
      <sz val="11"/>
      <color theme="1"/>
      <name val="Calibri"/>
      <family val="2"/>
      <charset val="1"/>
    </font>
    <font>
      <sz val="10"/>
      <name val="Arial"/>
      <family val="0"/>
    </font>
    <font>
      <sz val="10"/>
      <name val="Arial"/>
      <family val="0"/>
    </font>
    <font>
      <sz val="10"/>
      <name val="Arial"/>
      <family val="0"/>
    </font>
    <font>
      <b val="true"/>
      <sz val="16"/>
      <color rgb="FF1D2430"/>
      <name val="Arial"/>
      <family val="0"/>
      <charset val="1"/>
    </font>
    <font>
      <sz val="10"/>
      <color rgb="FF1D2430"/>
      <name val="Arial"/>
      <family val="0"/>
      <charset val="1"/>
    </font>
    <font>
      <b val="true"/>
      <sz val="10"/>
      <color rgb="FF1D2430"/>
      <name val="Arial"/>
      <family val="0"/>
      <charset val="1"/>
    </font>
    <font>
      <b val="true"/>
      <sz val="18"/>
      <color rgb="FF1D2430"/>
      <name val="Arial"/>
      <family val="0"/>
      <charset val="1"/>
    </font>
    <font>
      <sz val="10"/>
      <color rgb="FF667085"/>
      <name val="Arial"/>
      <family val="0"/>
      <charset val="1"/>
    </font>
    <font>
      <b val="true"/>
      <sz val="8"/>
      <color rgb="FF667085"/>
      <name val="Arial"/>
      <family val="0"/>
      <charset val="1"/>
    </font>
    <font>
      <b val="true"/>
      <sz val="11"/>
      <color rgb="FF1D2430"/>
      <name val="Arial"/>
      <family val="0"/>
      <charset val="1"/>
    </font>
    <font>
      <b val="true"/>
      <sz val="10"/>
      <color rgb="FF475467"/>
      <name val="Arial"/>
      <family val="0"/>
      <charset val="1"/>
    </font>
    <font>
      <b val="true"/>
      <sz val="10"/>
      <color rgb="FF145C3A"/>
      <name val="Arial"/>
      <family val="0"/>
      <charset val="1"/>
    </font>
    <font>
      <b val="true"/>
      <sz val="10"/>
      <color rgb="FF1D4F91"/>
      <name val="Arial"/>
      <family val="0"/>
      <charset val="1"/>
    </font>
    <font>
      <b val="true"/>
      <sz val="10"/>
      <color rgb="FF8A1F17"/>
      <name val="Arial"/>
      <family val="0"/>
      <charset val="1"/>
    </font>
    <font>
      <b val="true"/>
      <sz val="9"/>
      <color rgb="FF667085"/>
      <name val="Arial"/>
      <family val="0"/>
      <charset val="1"/>
    </font>
    <font>
      <sz val="9"/>
      <color rgb="FF145C3A"/>
      <name val="Arial"/>
      <family val="0"/>
      <charset val="1"/>
    </font>
    <font>
      <sz val="9"/>
      <color rgb="FF7A4A21"/>
      <name val="Arial"/>
      <family val="0"/>
      <charset val="1"/>
    </font>
    <font>
      <sz val="9"/>
      <color rgb="FF6B4E00"/>
      <name val="Arial"/>
      <family val="0"/>
      <charset val="1"/>
    </font>
    <font>
      <sz val="9"/>
      <color rgb="FF8A1F17"/>
      <name val="Arial"/>
      <family val="0"/>
      <charset val="1"/>
    </font>
    <font>
      <sz val="9"/>
      <color rgb="FF667085"/>
      <name val="Arial"/>
      <family val="0"/>
      <charset val="1"/>
    </font>
    <font>
      <b val="true"/>
      <sz val="9"/>
      <color rgb="FF1D2430"/>
      <name val="Arial"/>
      <family val="0"/>
      <charset val="1"/>
    </font>
    <font>
      <b val="true"/>
      <sz val="8"/>
      <color rgb="FF1D2430"/>
      <name val="Arial"/>
      <family val="0"/>
      <charset val="1"/>
    </font>
    <font>
      <sz val="8"/>
      <color rgb="FF98A2B3"/>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name val="Arial"/>
      <family val="0"/>
      <charset val="1"/>
    </font>
    <font>
      <b val="true"/>
      <sz val="11"/>
      <name val="Arial"/>
      <family val="0"/>
      <charset val="1"/>
    </font>
    <font>
      <i val="true"/>
      <sz val="11"/>
      <color rgb="FF667085"/>
      <name val="Arial"/>
      <family val="0"/>
      <charset val="1"/>
    </font>
  </fonts>
  <fills count="14">
    <fill>
      <patternFill patternType="none"/>
    </fill>
    <fill>
      <patternFill patternType="gray125"/>
    </fill>
    <fill>
      <patternFill patternType="solid">
        <fgColor rgb="FFFFFFFF"/>
        <bgColor rgb="FFFFFCF2"/>
      </patternFill>
    </fill>
    <fill>
      <patternFill patternType="solid">
        <fgColor rgb="FFECEEF1"/>
        <bgColor rgb="FFF0F2F5"/>
      </patternFill>
    </fill>
    <fill>
      <patternFill patternType="solid">
        <fgColor rgb="FFD6EFE2"/>
        <bgColor rgb="FFDBE8FB"/>
      </patternFill>
    </fill>
    <fill>
      <patternFill patternType="solid">
        <fgColor rgb="FFDBE8FB"/>
        <bgColor rgb="FFE3E6EB"/>
      </patternFill>
    </fill>
    <fill>
      <patternFill patternType="solid">
        <fgColor rgb="FFF4C7C3"/>
        <bgColor rgb="FFFCE8B2"/>
      </patternFill>
    </fill>
    <fill>
      <patternFill patternType="solid">
        <fgColor rgb="FFFBE9D9"/>
        <bgColor rgb="FFFFF8DB"/>
      </patternFill>
    </fill>
    <fill>
      <patternFill patternType="solid">
        <fgColor rgb="FFFCE8B2"/>
        <bgColor rgb="FFFBE9D9"/>
      </patternFill>
    </fill>
    <fill>
      <patternFill patternType="solid">
        <fgColor rgb="FFF0F2F5"/>
        <bgColor rgb="FFEEF6F2"/>
      </patternFill>
    </fill>
    <fill>
      <patternFill patternType="solid">
        <fgColor rgb="FFEEF6F2"/>
        <bgColor rgb="FFF0F2F5"/>
      </patternFill>
    </fill>
    <fill>
      <patternFill patternType="solid">
        <fgColor rgb="FFFFFCF2"/>
        <bgColor rgb="FFFAFAFB"/>
      </patternFill>
    </fill>
    <fill>
      <patternFill patternType="solid">
        <fgColor rgb="FF1F6F5C"/>
        <bgColor rgb="FF145C3A"/>
      </patternFill>
    </fill>
    <fill>
      <patternFill patternType="solid">
        <fgColor rgb="FFFFF8DB"/>
        <bgColor rgb="FFFFFCF2"/>
      </patternFill>
    </fill>
  </fills>
  <borders count="6">
    <border diagonalUp="false" diagonalDown="false">
      <left/>
      <right/>
      <top/>
      <bottom/>
      <diagonal/>
    </border>
    <border diagonalUp="false" diagonalDown="false">
      <left style="thin">
        <color rgb="FFB8C0CC"/>
      </left>
      <right style="thin">
        <color rgb="FFB8C0CC"/>
      </right>
      <top style="thin">
        <color rgb="FFB8C0CC"/>
      </top>
      <bottom style="thin">
        <color rgb="FFB8C0CC"/>
      </bottom>
      <diagonal/>
    </border>
    <border diagonalUp="false" diagonalDown="false">
      <left style="thick">
        <color rgb="FFFFFFFF"/>
      </left>
      <right style="thick">
        <color rgb="FFFFFFFF"/>
      </right>
      <top style="thick">
        <color rgb="FFFFFFFF"/>
      </top>
      <bottom style="thick">
        <color rgb="FFFFFFFF"/>
      </bottom>
      <diagonal/>
    </border>
    <border diagonalUp="false" diagonalDown="false">
      <left style="thin">
        <color rgb="FFE3E6EB"/>
      </left>
      <right style="thin">
        <color rgb="FFE3E6EB"/>
      </right>
      <top style="thin">
        <color rgb="FFE3E6EB"/>
      </top>
      <bottom style="thin">
        <color rgb="FFE3E6EB"/>
      </bottom>
      <diagonal/>
    </border>
    <border diagonalUp="false" diagonalDown="false">
      <left style="medium">
        <color rgb="FFC3C9D2"/>
      </left>
      <right style="thin">
        <color rgb="FFE3E6EB"/>
      </right>
      <top style="thin">
        <color rgb="FFE3E6EB"/>
      </top>
      <bottom style="thin">
        <color rgb="FFE3E6EB"/>
      </bottom>
      <diagonal/>
    </border>
    <border diagonalUp="false" diagonalDown="false">
      <left/>
      <right/>
      <top/>
      <bottom style="thin">
        <color rgb="FFE3E6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true">
      <alignment horizontal="left" vertical="center" textRotation="0" wrapText="false" indent="1" shrinkToFit="false"/>
      <protection locked="false" hidden="false"/>
    </xf>
    <xf numFmtId="164" fontId="11" fillId="3" borderId="2"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false" indent="0" shrinkToFit="false"/>
      <protection locked="true" hidden="false"/>
    </xf>
    <xf numFmtId="164" fontId="13" fillId="5" borderId="2" xfId="0" applyFont="true" applyBorder="true" applyAlignment="true" applyProtection="false">
      <alignment horizontal="center" vertical="center" textRotation="0" wrapText="false" indent="0" shrinkToFit="false"/>
      <protection locked="true" hidden="false"/>
    </xf>
    <xf numFmtId="164" fontId="14" fillId="6" borderId="2"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false" indent="0" shrinkToFit="false"/>
      <protection locked="true" hidden="false"/>
    </xf>
    <xf numFmtId="164" fontId="17" fillId="7" borderId="2" xfId="0" applyFont="true" applyBorder="true" applyAlignment="true" applyProtection="false">
      <alignment horizontal="center" vertical="center" textRotation="0" wrapText="false" indent="0" shrinkToFit="false"/>
      <protection locked="true" hidden="false"/>
    </xf>
    <xf numFmtId="164" fontId="18" fillId="8" borderId="2" xfId="0" applyFont="true" applyBorder="true" applyAlignment="true" applyProtection="false">
      <alignment horizontal="center" vertical="center" textRotation="0" wrapText="false" indent="0" shrinkToFit="false"/>
      <protection locked="true" hidden="false"/>
    </xf>
    <xf numFmtId="164" fontId="19" fillId="6" borderId="2" xfId="0" applyFont="true" applyBorder="true" applyAlignment="true" applyProtection="false">
      <alignment horizontal="center" vertical="center" textRotation="0" wrapText="false" indent="0" shrinkToFit="false"/>
      <protection locked="true" hidden="false"/>
    </xf>
    <xf numFmtId="164" fontId="6" fillId="9" borderId="3" xfId="0" applyFont="true" applyBorder="true" applyAlignment="true" applyProtection="false">
      <alignment horizontal="center" vertical="center" textRotation="0" wrapText="false" indent="0" shrinkToFit="false"/>
      <protection locked="true" hidden="false"/>
    </xf>
    <xf numFmtId="164" fontId="10" fillId="10" borderId="4" xfId="0" applyFont="true" applyBorder="true" applyAlignment="true" applyProtection="false">
      <alignment horizontal="center" vertical="center" textRotation="0" wrapText="false" indent="0" shrinkToFit="false"/>
      <protection locked="true" hidden="false"/>
    </xf>
    <xf numFmtId="164" fontId="10" fillId="9" borderId="4" xfId="0" applyFont="true" applyBorder="true" applyAlignment="true" applyProtection="false">
      <alignment horizontal="center" vertical="center" textRotation="0" wrapText="false" indent="0" shrinkToFit="false"/>
      <protection locked="true" hidden="false"/>
    </xf>
    <xf numFmtId="164" fontId="20" fillId="10" borderId="4" xfId="0" applyFont="true" applyBorder="true" applyAlignment="true" applyProtection="false">
      <alignment horizontal="center" vertical="center" textRotation="0" wrapText="false" indent="0" shrinkToFit="false"/>
      <protection locked="true" hidden="false"/>
    </xf>
    <xf numFmtId="164" fontId="20" fillId="9" borderId="4" xfId="0" applyFont="true" applyBorder="true" applyAlignment="true" applyProtection="false">
      <alignment horizontal="center" vertical="center" textRotation="0" wrapText="false" indent="0" shrinkToFit="false"/>
      <protection locked="true" hidden="false"/>
    </xf>
    <xf numFmtId="164" fontId="21" fillId="9" borderId="3" xfId="0" applyFont="true" applyBorder="true" applyAlignment="true" applyProtection="false">
      <alignment horizontal="center" vertical="center" textRotation="0" wrapText="true" indent="0" shrinkToFit="false"/>
      <protection locked="true" hidden="false"/>
    </xf>
    <xf numFmtId="164" fontId="21" fillId="10" borderId="4" xfId="0" applyFont="true" applyBorder="true" applyAlignment="true" applyProtection="false">
      <alignment horizontal="center" vertical="center" textRotation="0" wrapText="true" indent="0" shrinkToFit="false"/>
      <protection locked="true" hidden="false"/>
    </xf>
    <xf numFmtId="164" fontId="21" fillId="10" borderId="3" xfId="0" applyFont="true" applyBorder="true" applyAlignment="true" applyProtection="false">
      <alignment horizontal="center" vertical="center" textRotation="0" wrapText="true" indent="0" shrinkToFit="false"/>
      <protection locked="true" hidden="false"/>
    </xf>
    <xf numFmtId="164" fontId="22" fillId="9" borderId="4" xfId="0" applyFont="true" applyBorder="true" applyAlignment="true" applyProtection="false">
      <alignment horizontal="center" vertical="center" textRotation="0" wrapText="true" indent="0" shrinkToFit="false"/>
      <protection locked="true" hidden="false"/>
    </xf>
    <xf numFmtId="164" fontId="21" fillId="9" borderId="3"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5" fillId="11" borderId="3" xfId="0" applyFont="true" applyBorder="true" applyAlignment="true" applyProtection="true">
      <alignment horizontal="left" vertical="center" textRotation="0" wrapText="false" indent="1" shrinkToFit="false"/>
      <protection locked="false" hidden="false"/>
    </xf>
    <xf numFmtId="164" fontId="5" fillId="11" borderId="3" xfId="0" applyFont="true" applyBorder="true" applyAlignment="true" applyProtection="true">
      <alignment horizontal="center" vertical="center" textRotation="0" wrapText="false" indent="0" shrinkToFit="false"/>
      <protection locked="false" hidden="false"/>
    </xf>
    <xf numFmtId="165" fontId="5" fillId="11" borderId="3" xfId="0" applyFont="true" applyBorder="true" applyAlignment="true" applyProtection="true">
      <alignment horizontal="center" vertical="center" textRotation="0" wrapText="false" indent="0" shrinkToFit="false"/>
      <protection locked="false" hidden="false"/>
    </xf>
    <xf numFmtId="164" fontId="8" fillId="11" borderId="3" xfId="0" applyFont="true" applyBorder="true" applyAlignment="true" applyProtection="true">
      <alignment horizontal="center" vertical="center" textRotation="0" wrapText="false" indent="0" shrinkToFit="false"/>
      <protection locked="false" hidden="false"/>
    </xf>
    <xf numFmtId="164" fontId="8" fillId="11" borderId="3" xfId="0" applyFont="true" applyBorder="true" applyAlignment="true" applyProtection="true">
      <alignment horizontal="left" vertical="center" textRotation="0" wrapText="false" indent="1" shrinkToFit="false"/>
      <protection locked="false" hidden="false"/>
    </xf>
    <xf numFmtId="166" fontId="5" fillId="10" borderId="4" xfId="0" applyFont="true" applyBorder="true" applyAlignment="true" applyProtection="false">
      <alignment horizontal="center" vertical="center" textRotation="0" wrapText="false" indent="0" shrinkToFit="false"/>
      <protection locked="true" hidden="false"/>
    </xf>
    <xf numFmtId="167" fontId="5" fillId="10" borderId="3" xfId="0" applyFont="true" applyBorder="true" applyAlignment="true" applyProtection="false">
      <alignment horizontal="center" vertical="center" textRotation="0" wrapText="false" indent="0" shrinkToFit="false"/>
      <protection locked="true" hidden="false"/>
    </xf>
    <xf numFmtId="168" fontId="6" fillId="10" borderId="3" xfId="0" applyFont="true" applyBorder="true" applyAlignment="true" applyProtection="false">
      <alignment horizontal="center" vertical="center" textRotation="0" wrapText="false" indent="0" shrinkToFit="false"/>
      <protection locked="true" hidden="false"/>
    </xf>
    <xf numFmtId="169" fontId="5" fillId="10" borderId="3" xfId="0" applyFont="true" applyBorder="true" applyAlignment="true" applyProtection="false">
      <alignment horizontal="center" vertical="center" textRotation="0" wrapText="false" indent="0" shrinkToFit="false"/>
      <protection locked="true" hidden="false"/>
    </xf>
    <xf numFmtId="164" fontId="5" fillId="10" borderId="3" xfId="0" applyFont="true" applyBorder="true" applyAlignment="true" applyProtection="false">
      <alignment horizontal="center" vertical="center" textRotation="0" wrapText="false" indent="0" shrinkToFit="false"/>
      <protection locked="true" hidden="false"/>
    </xf>
    <xf numFmtId="164" fontId="5" fillId="11" borderId="4" xfId="0" applyFont="true" applyBorder="true" applyAlignment="true" applyProtection="true">
      <alignment horizontal="center" vertical="center" textRotation="0" wrapText="false" indent="0" shrinkToFit="false"/>
      <protection locked="false" hidden="false"/>
    </xf>
    <xf numFmtId="167" fontId="5" fillId="2" borderId="3" xfId="0" applyFont="true" applyBorder="true" applyAlignment="true" applyProtection="false">
      <alignment horizontal="center" vertical="center" textRotation="0" wrapText="false" indent="0" shrinkToFit="false"/>
      <protection locked="true" hidden="false"/>
    </xf>
    <xf numFmtId="168" fontId="6" fillId="2" borderId="3" xfId="0" applyFont="true" applyBorder="true" applyAlignment="true" applyProtection="false">
      <alignment horizontal="center" vertical="center" textRotation="0" wrapText="false" indent="0" shrinkToFit="false"/>
      <protection locked="true" hidden="false"/>
    </xf>
    <xf numFmtId="166" fontId="5" fillId="2" borderId="3" xfId="0" applyFont="true" applyBorder="true" applyAlignment="true" applyProtection="false">
      <alignment horizontal="center" vertical="center" textRotation="0" wrapText="false" indent="0" shrinkToFit="false"/>
      <protection locked="true" hidden="false"/>
    </xf>
    <xf numFmtId="164" fontId="5" fillId="11" borderId="3" xfId="0" applyFont="true" applyBorder="true" applyAlignment="true" applyProtection="false">
      <alignment horizontal="left" vertical="center" textRotation="0" wrapText="false" indent="1" shrinkToFit="false"/>
      <protection locked="true" hidden="false"/>
    </xf>
    <xf numFmtId="164" fontId="5" fillId="11" borderId="3"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center" vertical="bottom" textRotation="0" wrapText="false" indent="0" shrinkToFit="false"/>
      <protection locked="true" hidden="false"/>
    </xf>
    <xf numFmtId="164" fontId="24" fillId="12" borderId="0" xfId="0" applyFont="true" applyBorder="false" applyAlignment="false" applyProtection="false">
      <alignment horizontal="general" vertical="bottom" textRotation="0" wrapText="false" indent="0" shrinkToFit="false"/>
      <protection locked="true" hidden="false"/>
    </xf>
    <xf numFmtId="164" fontId="25" fillId="0" borderId="5" xfId="0" applyFont="true" applyBorder="true" applyAlignment="false" applyProtection="false">
      <alignment horizontal="general" vertical="bottom" textRotation="0" wrapText="false" indent="0" shrinkToFit="false"/>
      <protection locked="true" hidden="false"/>
    </xf>
    <xf numFmtId="164" fontId="26" fillId="0" borderId="5" xfId="0" applyFont="true" applyBorder="true" applyAlignment="false" applyProtection="false">
      <alignment horizontal="general" vertical="bottom" textRotation="0" wrapText="false" indent="0" shrinkToFit="false"/>
      <protection locked="true" hidden="false"/>
    </xf>
    <xf numFmtId="164" fontId="27" fillId="0" borderId="5"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26" fillId="13" borderId="5"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1">
    <dxf>
      <fill>
        <patternFill patternType="solid">
          <fgColor rgb="FFF0F2F5"/>
          <bgColor rgb="FF000000"/>
        </patternFill>
      </fill>
    </dxf>
    <dxf>
      <fill>
        <patternFill patternType="solid">
          <fgColor rgb="FFFAFAFB"/>
          <bgColor rgb="FF000000"/>
        </patternFill>
      </fill>
    </dxf>
    <dxf>
      <fill>
        <patternFill patternType="solid">
          <fgColor rgb="FFFFFCF2"/>
          <bgColor rgb="FF000000"/>
        </patternFill>
      </fill>
    </dxf>
    <dxf>
      <fill>
        <patternFill patternType="solid">
          <fgColor rgb="FF1D2430"/>
          <bgColor rgb="FF000000"/>
        </patternFill>
      </fill>
    </dxf>
    <dxf>
      <fill>
        <patternFill patternType="solid">
          <fgColor rgb="FFC0C6CF"/>
          <bgColor rgb="FF000000"/>
        </patternFill>
      </fill>
    </dxf>
    <dxf>
      <fill>
        <patternFill patternType="solid">
          <fgColor rgb="FF667085"/>
          <bgColor rgb="FF000000"/>
        </patternFill>
      </fill>
    </dxf>
    <dxf>
      <fill>
        <patternFill patternType="solid">
          <fgColor rgb="FFD6EFE2"/>
          <bgColor rgb="FF000000"/>
        </patternFill>
      </fill>
    </dxf>
    <dxf>
      <fill>
        <patternFill patternType="solid">
          <fgColor rgb="FFEEF6F2"/>
          <bgColor rgb="FF000000"/>
        </patternFill>
      </fill>
    </dxf>
    <dxf>
      <fill>
        <patternFill patternType="solid">
          <fgColor rgb="FFFBE9D9"/>
          <bgColor rgb="FF000000"/>
        </patternFill>
      </fill>
    </dxf>
    <dxf>
      <fill>
        <patternFill patternType="solid">
          <fgColor rgb="FFFCE8B2"/>
          <bgColor rgb="FF000000"/>
        </patternFill>
      </fill>
    </dxf>
    <dxf>
      <fill>
        <patternFill patternType="solid">
          <fgColor rgb="FF145C3A"/>
          <bgColor rgb="FF000000"/>
        </patternFill>
      </fill>
    </dxf>
    <dxf>
      <fill>
        <patternFill patternType="solid">
          <fgColor rgb="FF6B4E00"/>
          <bgColor rgb="FF000000"/>
        </patternFill>
      </fill>
    </dxf>
    <dxf>
      <fill>
        <patternFill patternType="solid">
          <fgColor rgb="FF7A4A21"/>
          <bgColor rgb="FF000000"/>
        </patternFill>
      </fill>
    </dxf>
    <dxf>
      <fill>
        <patternFill patternType="solid">
          <fgColor rgb="FFDBE8FB"/>
          <bgColor rgb="FF000000"/>
        </patternFill>
      </fill>
    </dxf>
    <dxf>
      <fill>
        <patternFill patternType="solid">
          <fgColor rgb="FFECEEF1"/>
          <bgColor rgb="FF000000"/>
        </patternFill>
      </fill>
    </dxf>
    <dxf>
      <fill>
        <patternFill patternType="solid">
          <fgColor rgb="FFF4C7C3"/>
          <bgColor rgb="FF000000"/>
        </patternFill>
      </fill>
    </dxf>
    <dxf>
      <fill>
        <patternFill patternType="solid">
          <fgColor rgb="FF1D4F91"/>
          <bgColor rgb="FF000000"/>
        </patternFill>
      </fill>
    </dxf>
    <dxf>
      <fill>
        <patternFill patternType="solid">
          <fgColor rgb="FF475467"/>
          <bgColor rgb="FF000000"/>
        </patternFill>
      </fill>
    </dxf>
    <dxf>
      <fill>
        <patternFill patternType="solid">
          <fgColor rgb="FF8A1F17"/>
          <bgColor rgb="FF000000"/>
        </patternFill>
      </fill>
    </dxf>
    <dxf>
      <fill>
        <patternFill patternType="solid">
          <fgColor rgb="FFFFFFFF"/>
          <bgColor rgb="FF000000"/>
        </patternFill>
      </fill>
    </dxf>
    <dxf>
      <font>
        <color rgb="FFC0C6CF"/>
      </font>
      <fill>
        <patternFill>
          <bgColor rgb="FFFAFAFB"/>
        </patternFill>
      </fill>
    </dxf>
    <dxf>
      <font>
        <b val="1"/>
        <color rgb="FF145C3A"/>
      </font>
      <fill>
        <patternFill>
          <bgColor rgb="FFD6EFE2"/>
        </patternFill>
      </fill>
    </dxf>
    <dxf>
      <font>
        <b val="1"/>
        <color rgb="FF8A1F17"/>
      </font>
      <fill>
        <patternFill>
          <bgColor rgb="FFF4C7C3"/>
        </patternFill>
      </fill>
    </dxf>
    <dxf>
      <font>
        <b val="1"/>
        <color rgb="FF6B4E00"/>
      </font>
      <fill>
        <patternFill>
          <bgColor rgb="FFFCE8B2"/>
        </patternFill>
      </fill>
    </dxf>
    <dxf>
      <font>
        <b val="1"/>
        <color rgb="FF7A4A21"/>
      </font>
      <fill>
        <patternFill>
          <bgColor rgb="FFFBE9D9"/>
        </patternFill>
      </fill>
    </dxf>
    <dxf>
      <font>
        <b val="1"/>
        <color rgb="FF1D4F91"/>
      </font>
      <fill>
        <patternFill>
          <bgColor rgb="FFDBE8FB"/>
        </patternFill>
      </fill>
    </dxf>
    <dxf>
      <font>
        <b val="1"/>
        <color rgb="FF475467"/>
      </font>
      <fill>
        <patternFill>
          <bgColor rgb="FFECEEF1"/>
        </patternFill>
      </fill>
    </dxf>
    <dxf>
      <fill>
        <patternFill patternType="solid">
          <fgColor rgb="FF1F6F5C"/>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CF2"/>
      <rgbColor rgb="FFFF00FF"/>
      <rgbColor rgb="FF00FFFF"/>
      <rgbColor rgb="FF800000"/>
      <rgbColor rgb="FF145C3A"/>
      <rgbColor rgb="FF000080"/>
      <rgbColor rgb="FF808000"/>
      <rgbColor rgb="FF800080"/>
      <rgbColor rgb="FF1F6F5C"/>
      <rgbColor rgb="FFB8C0CC"/>
      <rgbColor rgb="FF808080"/>
      <rgbColor rgb="FFECEEF1"/>
      <rgbColor rgb="FF7A4A21"/>
      <rgbColor rgb="FFFFF8DB"/>
      <rgbColor rgb="FFDBE8FB"/>
      <rgbColor rgb="FF660066"/>
      <rgbColor rgb="FFFF8080"/>
      <rgbColor rgb="FF0066CC"/>
      <rgbColor rgb="FFC3C9D2"/>
      <rgbColor rgb="FF000080"/>
      <rgbColor rgb="FFFF00FF"/>
      <rgbColor rgb="FFF0F2F5"/>
      <rgbColor rgb="FF00FFFF"/>
      <rgbColor rgb="FF800080"/>
      <rgbColor rgb="FF800000"/>
      <rgbColor rgb="FF008080"/>
      <rgbColor rgb="FF0000FF"/>
      <rgbColor rgb="FF00CCFF"/>
      <rgbColor rgb="FFEEF6F2"/>
      <rgbColor rgb="FFD6EFE2"/>
      <rgbColor rgb="FFFCE8B2"/>
      <rgbColor rgb="FFC0C6CF"/>
      <rgbColor rgb="FFFBE9D9"/>
      <rgbColor rgb="FFE3E6EB"/>
      <rgbColor rgb="FFF4C7C3"/>
      <rgbColor rgb="FF3366FF"/>
      <rgbColor rgb="FF33CCCC"/>
      <rgbColor rgb="FF99CC00"/>
      <rgbColor rgb="FFFAFAFB"/>
      <rgbColor rgb="FFFF9900"/>
      <rgbColor rgb="FFFF6600"/>
      <rgbColor rgb="FF667085"/>
      <rgbColor rgb="FF98A2B3"/>
      <rgbColor rgb="FF475467"/>
      <rgbColor rgb="FF339966"/>
      <rgbColor rgb="FF003300"/>
      <rgbColor rgb="FF6B4E00"/>
      <rgbColor rgb="FF8A1F17"/>
      <rgbColor rgb="FF993366"/>
      <rgbColor rgb="FF1D4F91"/>
      <rgbColor rgb="FF1D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O6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7"/>
    <col collapsed="false" customWidth="true" hidden="false" outlineLevel="0" max="4" min="4" style="0" width="8"/>
    <col collapsed="false" customWidth="true" hidden="false" outlineLevel="0" max="5" min="5" style="0" width="6"/>
    <col collapsed="false" customWidth="true" hidden="false" outlineLevel="0" max="6" min="6" style="0" width="5"/>
    <col collapsed="false" customWidth="true" hidden="false" outlineLevel="0" max="8" min="7" style="0" width="11"/>
    <col collapsed="false" customWidth="true" hidden="false" outlineLevel="0" max="9" min="9" style="0" width="19"/>
    <col collapsed="false" customWidth="true" hidden="false" outlineLevel="0" max="10" min="10" style="0" width="6"/>
    <col collapsed="false" customWidth="true" hidden="false" outlineLevel="0" max="11" min="11" style="0" width="9"/>
    <col collapsed="false" customWidth="true" hidden="false" outlineLevel="0" max="13" min="12" style="0" width="7"/>
    <col collapsed="false" customWidth="true" hidden="false" outlineLevel="0" max="14" min="14" style="0" width="8"/>
    <col collapsed="false" customWidth="true" hidden="false" outlineLevel="0" max="15" min="15" style="0" width="9"/>
    <col collapsed="false" customWidth="true" hidden="false" outlineLevel="0" max="16" min="16" style="0" width="25"/>
    <col collapsed="false" customWidth="true" hidden="false" outlineLevel="0" max="17" min="17" style="0" width="7"/>
    <col collapsed="false" customWidth="true" hidden="false" outlineLevel="0" max="18" min="18" style="0" width="6"/>
    <col collapsed="false" customWidth="true" hidden="false" outlineLevel="0" max="19" min="19" style="0" width="7"/>
    <col collapsed="false" customWidth="true" hidden="false" outlineLevel="0" max="20" min="20" style="0" width="8"/>
    <col collapsed="false" customWidth="true" hidden="false" outlineLevel="0" max="21" min="21" style="0" width="7"/>
    <col collapsed="false" customWidth="true" hidden="false" outlineLevel="0" max="22" min="22" style="0" width="6"/>
    <col collapsed="false" customWidth="true" hidden="false" outlineLevel="0" max="23" min="23" style="0" width="7"/>
    <col collapsed="false" customWidth="true" hidden="false" outlineLevel="0" max="24" min="24" style="0" width="8"/>
    <col collapsed="false" customWidth="true" hidden="false" outlineLevel="0" max="25" min="25" style="0" width="7"/>
    <col collapsed="false" customWidth="true" hidden="false" outlineLevel="0" max="26" min="26" style="0" width="6"/>
    <col collapsed="false" customWidth="true" hidden="false" outlineLevel="0" max="27" min="27" style="0" width="7"/>
    <col collapsed="false" customWidth="true" hidden="false" outlineLevel="0" max="28" min="28" style="0" width="8"/>
    <col collapsed="false" customWidth="true" hidden="false" outlineLevel="0" max="29" min="29" style="0" width="7"/>
    <col collapsed="false" customWidth="true" hidden="false" outlineLevel="0" max="30" min="30" style="0" width="6"/>
    <col collapsed="false" customWidth="true" hidden="false" outlineLevel="0" max="31" min="31" style="0" width="7"/>
    <col collapsed="false" customWidth="true" hidden="false" outlineLevel="0" max="32" min="32" style="0" width="8"/>
    <col collapsed="false" customWidth="true" hidden="false" outlineLevel="0" max="33" min="33" style="0" width="7"/>
    <col collapsed="false" customWidth="true" hidden="false" outlineLevel="0" max="34" min="34" style="0" width="6"/>
    <col collapsed="false" customWidth="true" hidden="false" outlineLevel="0" max="35" min="35" style="0" width="7"/>
    <col collapsed="false" customWidth="true" hidden="false" outlineLevel="0" max="36" min="36" style="0" width="8"/>
    <col collapsed="false" customWidth="true" hidden="false" outlineLevel="0" max="37" min="37" style="0" width="7"/>
    <col collapsed="false" customWidth="true" hidden="false" outlineLevel="0" max="38" min="38" style="0" width="6"/>
    <col collapsed="false" customWidth="true" hidden="false" outlineLevel="0" max="39" min="39" style="0" width="7"/>
    <col collapsed="false" customWidth="true" hidden="false" outlineLevel="0" max="40" min="40" style="0" width="8"/>
    <col collapsed="false" customWidth="true" hidden="false" outlineLevel="0" max="41" min="41" style="0" width="7"/>
    <col collapsed="false" customWidth="true" hidden="false" outlineLevel="0" max="42" min="42" style="0" width="6"/>
    <col collapsed="false" customWidth="true" hidden="false" outlineLevel="0" max="43" min="43" style="0" width="7"/>
    <col collapsed="false" customWidth="true" hidden="false" outlineLevel="0" max="44" min="44" style="0" width="8"/>
    <col collapsed="false" customWidth="true" hidden="false" outlineLevel="0" max="45" min="45" style="0" width="7"/>
    <col collapsed="false" customWidth="true" hidden="false" outlineLevel="0" max="46" min="46" style="0" width="6"/>
    <col collapsed="false" customWidth="true" hidden="false" outlineLevel="0" max="47" min="47" style="0" width="7"/>
    <col collapsed="false" customWidth="true" hidden="false" outlineLevel="0" max="48" min="48" style="0" width="8"/>
    <col collapsed="false" customWidth="true" hidden="false" outlineLevel="0" max="49" min="49" style="0" width="7"/>
    <col collapsed="false" customWidth="true" hidden="false" outlineLevel="0" max="50" min="50" style="0" width="6"/>
    <col collapsed="false" customWidth="true" hidden="false" outlineLevel="0" max="51" min="51" style="0" width="7"/>
    <col collapsed="false" customWidth="true" hidden="false" outlineLevel="0" max="52" min="52" style="0" width="8"/>
    <col collapsed="false" customWidth="true" hidden="false" outlineLevel="0" max="53" min="53" style="0" width="7"/>
    <col collapsed="false" customWidth="true" hidden="false" outlineLevel="0" max="54" min="54" style="0" width="6"/>
    <col collapsed="false" customWidth="true" hidden="false" outlineLevel="0" max="55" min="55" style="0" width="7"/>
    <col collapsed="false" customWidth="true" hidden="false" outlineLevel="0" max="56" min="56" style="0" width="8"/>
    <col collapsed="false" customWidth="true" hidden="false" outlineLevel="0" max="57" min="57" style="0" width="7"/>
    <col collapsed="false" customWidth="true" hidden="false" outlineLevel="0" max="58" min="58" style="0" width="6"/>
    <col collapsed="false" customWidth="true" hidden="false" outlineLevel="0" max="59" min="59" style="0" width="7"/>
    <col collapsed="false" customWidth="true" hidden="false" outlineLevel="0" max="60" min="60" style="0" width="8"/>
    <col collapsed="false" customWidth="true" hidden="false" outlineLevel="0" max="61" min="61" style="0" width="7"/>
    <col collapsed="false" customWidth="true" hidden="false" outlineLevel="0" max="62" min="62" style="0" width="6"/>
    <col collapsed="false" customWidth="true" hidden="false" outlineLevel="0" max="63" min="63" style="0" width="7"/>
    <col collapsed="false" customWidth="true" hidden="false" outlineLevel="0" max="64" min="64" style="0" width="8"/>
    <col collapsed="false" customWidth="true" hidden="false" outlineLevel="0" max="65" min="65" style="0" width="7"/>
    <col collapsed="false" customWidth="true" hidden="false" outlineLevel="0" max="66" min="66" style="0" width="6"/>
    <col collapsed="false" customWidth="true" hidden="false" outlineLevel="0" max="67" min="67" style="0" width="7"/>
    <col collapsed="false" customWidth="true" hidden="false" outlineLevel="0" max="68" min="68" style="0" width="8"/>
    <col collapsed="false" customWidth="true" hidden="false" outlineLevel="0" max="69" min="69" style="0" width="7"/>
    <col collapsed="false" customWidth="true" hidden="false" outlineLevel="0" max="70" min="70" style="0" width="6"/>
    <col collapsed="false" customWidth="true" hidden="false" outlineLevel="0" max="71" min="71" style="0" width="7"/>
    <col collapsed="false" customWidth="true" hidden="false" outlineLevel="0" max="72" min="72" style="0" width="8"/>
    <col collapsed="false" customWidth="true" hidden="true" outlineLevel="0" max="171" min="73" style="0" width="13"/>
  </cols>
  <sheetData>
    <row r="1" customFormat="false" ht="30" hidden="false" customHeight="true" outlineLevel="0" collapsed="false">
      <c r="A1" s="4" t="s">
        <v>18</v>
      </c>
    </row>
    <row r="2" customFormat="false" ht="15" hidden="false" customHeight="false" outlineLevel="0" collapsed="false">
      <c r="A2" s="5" t="s">
        <v>19</v>
      </c>
    </row>
    <row r="3" customFormat="false" ht="15.75" hidden="false" customHeight="true" outlineLevel="0" collapsed="false">
      <c r="A3" s="6" t="s">
        <v>20</v>
      </c>
      <c r="B3" s="6"/>
      <c r="C3" s="6" t="s">
        <v>21</v>
      </c>
      <c r="D3" s="6"/>
      <c r="E3" s="6"/>
      <c r="F3" s="6"/>
      <c r="G3" s="7" t="s">
        <v>22</v>
      </c>
    </row>
    <row r="4" customFormat="false" ht="25.5" hidden="false" customHeight="true" outlineLevel="0" collapsed="false">
      <c r="A4" s="8" t="s">
        <v>23</v>
      </c>
      <c r="B4" s="8"/>
      <c r="C4" s="8" t="s">
        <v>24</v>
      </c>
      <c r="D4" s="8"/>
      <c r="E4" s="8"/>
      <c r="F4" s="8"/>
      <c r="G4" s="8" t="s">
        <v>25</v>
      </c>
    </row>
    <row r="5" customFormat="false" ht="25.5" hidden="false" customHeight="true" outlineLevel="0" collapsed="false">
      <c r="A5" s="9" t="str">
        <f aca="false">"All ("&amp;COUNTIFS($H$11:$H$610,$A$4,$I$11:$I$610,$C$4,$J$11:$J$610,IF($G$4="SL/HL","*",$G$4),$A$11:$A$610,"&lt;&gt;")&amp;")"</f>
        <v>All (33)</v>
      </c>
      <c r="B5" s="9"/>
      <c r="C5" s="10" t="str">
        <f aca="false">"On/above target ("&amp;COUNTIFS($H$11:$H$610,$A$4,$I$11:$I$610,$C$4,$J$11:$J$610,IF($G$4="SL/HL","*",$G$4),$P$11:$P$610,"On/above target")&amp;")"</f>
        <v>On/above target (17)</v>
      </c>
      <c r="D5" s="10"/>
      <c r="E5" s="10"/>
      <c r="F5" s="10"/>
      <c r="G5" s="11" t="str">
        <f aca="false">"Improving towards target ("&amp;COUNTIFS($H$11:$H$610,$A$4,$I$11:$I$610,$C$4,$J$11:$J$610,IF($G$4="SL/HL","*",$G$4),$P$11:$P$610,"Improving towards target")&amp;")"</f>
        <v>Improving towards target (3)</v>
      </c>
      <c r="H5" s="11"/>
      <c r="I5" s="11"/>
      <c r="J5" s="9" t="str">
        <f aca="false">"Stable below target ("&amp;COUNTIFS($H$11:$H$610,$A$4,$I$11:$I$610,$C$4,$J$11:$J$610,IF($G$4="SL/HL","*",$G$4),$P$11:$P$610,"Stable below target")&amp;")"</f>
        <v>Stable below target (11)</v>
      </c>
      <c r="K5" s="9"/>
      <c r="L5" s="9"/>
      <c r="M5" s="9"/>
      <c r="N5" s="12" t="str">
        <f aca="false">"Declining ("&amp;COUNTIFS($H$11:$H$610,$A$4,$I$11:$I$610,$C$4,$J$11:$J$610,IF($G$4="SL/HL","*",$G$4),$P$11:$P$610,"Declining")&amp;")"</f>
        <v>Declining (2)</v>
      </c>
      <c r="O5" s="12"/>
      <c r="P5" s="12"/>
    </row>
    <row r="6" customFormat="false" ht="18" hidden="false" customHeight="true" outlineLevel="0" collapsed="false">
      <c r="A6" s="13" t="s">
        <v>26</v>
      </c>
      <c r="B6" s="14" t="s">
        <v>27</v>
      </c>
      <c r="C6" s="15" t="s">
        <v>28</v>
      </c>
      <c r="D6" s="15"/>
      <c r="E6" s="16" t="s">
        <v>29</v>
      </c>
      <c r="F6" s="16"/>
      <c r="G6" s="16"/>
      <c r="H6" s="17" t="s">
        <v>30</v>
      </c>
      <c r="I6" s="17"/>
    </row>
    <row r="7" customFormat="false" ht="9.75" hidden="false" customHeight="true" outlineLevel="0" collapsed="false"/>
    <row r="8" customFormat="false" ht="24" hidden="false" customHeight="true" outlineLevel="0" collapsed="false">
      <c r="A8" s="18" t="s">
        <v>31</v>
      </c>
      <c r="B8" s="18"/>
      <c r="C8" s="18"/>
      <c r="D8" s="18"/>
      <c r="E8" s="18"/>
      <c r="F8" s="18"/>
      <c r="G8" s="18"/>
      <c r="H8" s="18"/>
      <c r="I8" s="18"/>
      <c r="J8" s="18"/>
      <c r="K8" s="19" t="s">
        <v>32</v>
      </c>
      <c r="L8" s="19"/>
      <c r="M8" s="19"/>
      <c r="N8" s="19"/>
      <c r="O8" s="19"/>
      <c r="P8" s="19"/>
      <c r="Q8" s="20" t="str">
        <f aca="false">IF($G$4="SL/HL","HL: "&amp;IFERROR(INDEX(Assessments!$F$2:$F$600,MATCH($A$4&amp;"|"&amp;$C$4&amp;"|HL|"&amp;1,Assessments!$A$2:$A$600,0)),"—"),IFERROR(INDEX(Assessments!$F$2:$F$600,MATCH($A$4&amp;"|"&amp;$C$4&amp;"|"&amp;$G$4&amp;"|"&amp;1,Assessments!$A$2:$A$600,0)),"—"))</f>
        <v>Population</v>
      </c>
      <c r="R8" s="20"/>
      <c r="S8" s="20"/>
      <c r="T8" s="20"/>
      <c r="U8" s="20" t="str">
        <f aca="false">IF($G$4="SL/HL","HL: "&amp;IFERROR(INDEX(Assessments!$F$2:$F$600,MATCH($A$4&amp;"|"&amp;$C$4&amp;"|HL|"&amp;2,Assessments!$A$2:$A$600,0)),"—"),IFERROR(INDEX(Assessments!$F$2:$F$600,MATCH($A$4&amp;"|"&amp;$C$4&amp;"|"&amp;$G$4&amp;"|"&amp;2,Assessments!$A$2:$A$600,0)),"—"))</f>
        <v>Food &amp; health</v>
      </c>
      <c r="V8" s="20"/>
      <c r="W8" s="20"/>
      <c r="X8" s="20"/>
      <c r="Y8" s="20" t="str">
        <f aca="false">IF($G$4="SL/HL","HL: "&amp;IFERROR(INDEX(Assessments!$F$2:$F$600,MATCH($A$4&amp;"|"&amp;$C$4&amp;"|HL|"&amp;3,Assessments!$A$2:$A$600,0)),"—"),IFERROR(INDEX(Assessments!$F$2:$F$600,MATCH($A$4&amp;"|"&amp;$C$4&amp;"|"&amp;$G$4&amp;"|"&amp;3,Assessments!$A$2:$A$600,0)),"—"))</f>
        <v>Population (P2)</v>
      </c>
      <c r="Z8" s="20"/>
      <c r="AA8" s="20"/>
      <c r="AB8" s="20"/>
      <c r="AC8" s="20" t="str">
        <f aca="false">IF($G$4="SL/HL","HL: "&amp;IFERROR(INDEX(Assessments!$F$2:$F$600,MATCH($A$4&amp;"|"&amp;$C$4&amp;"|HL|"&amp;4,Assessments!$A$2:$A$600,0)),"—"),IFERROR(INDEX(Assessments!$F$2:$F$600,MATCH($A$4&amp;"|"&amp;$C$4&amp;"|"&amp;$G$4&amp;"|"&amp;4,Assessments!$A$2:$A$600,0)),"—"))</f>
        <v>Freshwater</v>
      </c>
      <c r="AD8" s="20"/>
      <c r="AE8" s="20"/>
      <c r="AF8" s="20"/>
      <c r="AG8" s="20" t="str">
        <f aca="false">IF($G$4="SL/HL","HL: "&amp;IFERROR(INDEX(Assessments!$F$2:$F$600,MATCH($A$4&amp;"|"&amp;$C$4&amp;"|HL|"&amp;5,Assessments!$A$2:$A$600,0)),"—"),IFERROR(INDEX(Assessments!$F$2:$F$600,MATCH($A$4&amp;"|"&amp;$C$4&amp;"|"&amp;$G$4&amp;"|"&amp;5,Assessments!$A$2:$A$600,0)),"—"))</f>
        <v>Food &amp; health</v>
      </c>
      <c r="AH8" s="20"/>
      <c r="AI8" s="20"/>
      <c r="AJ8" s="20"/>
      <c r="AK8" s="20" t="str">
        <f aca="false">IF($G$4="SL/HL","HL: "&amp;IFERROR(INDEX(Assessments!$F$2:$F$600,MATCH($A$4&amp;"|"&amp;$C$4&amp;"|HL|"&amp;6,Assessments!$A$2:$A$600,0)),"—"),IFERROR(INDEX(Assessments!$F$2:$F$600,MATCH($A$4&amp;"|"&amp;$C$4&amp;"|"&amp;$G$4&amp;"|"&amp;6,Assessments!$A$2:$A$600,0)),"—"))</f>
        <v>Mid course P1</v>
      </c>
      <c r="AL8" s="20"/>
      <c r="AM8" s="20"/>
      <c r="AN8" s="20"/>
      <c r="AO8" s="20" t="str">
        <f aca="false">IF($G$4="SL/HL","HL: "&amp;IFERROR(INDEX(Assessments!$F$2:$F$600,MATCH($A$4&amp;"|"&amp;$C$4&amp;"|HL|"&amp;7,Assessments!$A$2:$A$600,0)),"—"),IFERROR(INDEX(Assessments!$F$2:$F$600,MATCH($A$4&amp;"|"&amp;$C$4&amp;"|"&amp;$G$4&amp;"|"&amp;7,Assessments!$A$2:$A$600,0)),"—"))</f>
        <v>Mid course P2</v>
      </c>
      <c r="AP8" s="20"/>
      <c r="AQ8" s="20"/>
      <c r="AR8" s="20"/>
      <c r="AS8" s="20" t="str">
        <f aca="false">IF($G$4="SL/HL","HL: "&amp;IFERROR(INDEX(Assessments!$F$2:$F$600,MATCH($A$4&amp;"|"&amp;$C$4&amp;"|HL|"&amp;8,Assessments!$A$2:$A$600,0)),"—"),IFERROR(INDEX(Assessments!$F$2:$F$600,MATCH($A$4&amp;"|"&amp;$C$4&amp;"|"&amp;$G$4&amp;"|"&amp;8,Assessments!$A$2:$A$600,0)),"—"))</f>
        <v>IA</v>
      </c>
      <c r="AT8" s="20"/>
      <c r="AU8" s="20"/>
      <c r="AV8" s="20"/>
      <c r="AW8" s="20" t="str">
        <f aca="false">IF($G$4="SL/HL","HL: "&amp;IFERROR(INDEX(Assessments!$F$2:$F$600,MATCH($A$4&amp;"|"&amp;$C$4&amp;"|HL|"&amp;9,Assessments!$A$2:$A$600,0)),"—"),IFERROR(INDEX(Assessments!$F$2:$F$600,MATCH($A$4&amp;"|"&amp;$C$4&amp;"|"&amp;$G$4&amp;"|"&amp;9,Assessments!$A$2:$A$600,0)),"—"))</f>
        <v>HL essay</v>
      </c>
      <c r="AX8" s="20"/>
      <c r="AY8" s="20"/>
      <c r="AZ8" s="20"/>
      <c r="BA8" s="20" t="str">
        <f aca="false">IF($G$4="SL/HL","HL: "&amp;IFERROR(INDEX(Assessments!$F$2:$F$600,MATCH($A$4&amp;"|"&amp;$C$4&amp;"|HL|"&amp;10,Assessments!$A$2:$A$600,0)),"—"),IFERROR(INDEX(Assessments!$F$2:$F$600,MATCH($A$4&amp;"|"&amp;$C$4&amp;"|"&amp;$G$4&amp;"|"&amp;10,Assessments!$A$2:$A$600,0)),"—"))</f>
        <v>Climate change</v>
      </c>
      <c r="BB8" s="20"/>
      <c r="BC8" s="20"/>
      <c r="BD8" s="20"/>
      <c r="BE8" s="20" t="str">
        <f aca="false">IF($G$4="SL/HL","HL: "&amp;IFERROR(INDEX(Assessments!$F$2:$F$600,MATCH($A$4&amp;"|"&amp;$C$4&amp;"|HL|"&amp;11,Assessments!$A$2:$A$600,0)),"—"),IFERROR(INDEX(Assessments!$F$2:$F$600,MATCH($A$4&amp;"|"&amp;$C$4&amp;"|"&amp;$G$4&amp;"|"&amp;11,Assessments!$A$2:$A$600,0)),"—"))</f>
        <v>—</v>
      </c>
      <c r="BF8" s="20"/>
      <c r="BG8" s="20"/>
      <c r="BH8" s="20"/>
      <c r="BI8" s="20" t="str">
        <f aca="false">IF($G$4="SL/HL","HL: "&amp;IFERROR(INDEX(Assessments!$F$2:$F$600,MATCH($A$4&amp;"|"&amp;$C$4&amp;"|HL|"&amp;12,Assessments!$A$2:$A$600,0)),"—"),IFERROR(INDEX(Assessments!$F$2:$F$600,MATCH($A$4&amp;"|"&amp;$C$4&amp;"|"&amp;$G$4&amp;"|"&amp;12,Assessments!$A$2:$A$600,0)),"—"))</f>
        <v>—</v>
      </c>
      <c r="BJ8" s="20"/>
      <c r="BK8" s="20"/>
      <c r="BL8" s="20"/>
      <c r="BM8" s="20" t="str">
        <f aca="false">IF($G$4="SL/HL","HL: "&amp;IFERROR(INDEX(Assessments!$F$2:$F$600,MATCH($A$4&amp;"|"&amp;$C$4&amp;"|HL|"&amp;13,Assessments!$A$2:$A$600,0)),"—"),IFERROR(INDEX(Assessments!$F$2:$F$600,MATCH($A$4&amp;"|"&amp;$C$4&amp;"|"&amp;$G$4&amp;"|"&amp;13,Assessments!$A$2:$A$600,0)),"—"))</f>
        <v>—</v>
      </c>
      <c r="BN8" s="20"/>
      <c r="BO8" s="20"/>
      <c r="BP8" s="20"/>
      <c r="BQ8" s="20" t="str">
        <f aca="false">IF($G$4="SL/HL","HL: "&amp;IFERROR(INDEX(Assessments!$F$2:$F$600,MATCH($A$4&amp;"|"&amp;$C$4&amp;"|HL|"&amp;14,Assessments!$A$2:$A$600,0)),"—"),IFERROR(INDEX(Assessments!$F$2:$F$600,MATCH($A$4&amp;"|"&amp;$C$4&amp;"|"&amp;$G$4&amp;"|"&amp;14,Assessments!$A$2:$A$600,0)),"—"))</f>
        <v>—</v>
      </c>
      <c r="BR8" s="20"/>
      <c r="BS8" s="20"/>
      <c r="BT8" s="20"/>
    </row>
    <row r="9" customFormat="false" ht="18" hidden="false" customHeight="true" outlineLevel="0" collapsed="false">
      <c r="A9" s="18"/>
      <c r="B9" s="18"/>
      <c r="C9" s="18"/>
      <c r="D9" s="18"/>
      <c r="E9" s="18"/>
      <c r="F9" s="18"/>
      <c r="G9" s="18"/>
      <c r="H9" s="18"/>
      <c r="I9" s="18"/>
      <c r="J9" s="18"/>
      <c r="K9" s="21" t="str">
        <f aca="false">IFERROR(IF($G$4="SL/HL","HL: "&amp;INDEX(Lists!$G$2:$G$20,MATCH($C$4&amp;"|"&amp;"HL",Lists!$F$2:$F$20,0))&amp;"  ·  SL: "&amp;INDEX(Lists!$G$2:$G$20,MATCH($C$4&amp;"|"&amp;"SL",Lists!$F$2:$F$20,0)),INDEX(Lists!$G$2:$G$20,MATCH($C$4&amp;"|"&amp;$G$4,Lists!$F$2:$F$20,0))&amp;" boundaries"),"")</f>
        <v>Geog Overall HL boundaries</v>
      </c>
      <c r="L9" s="21"/>
      <c r="M9" s="21"/>
      <c r="N9" s="21"/>
      <c r="O9" s="21"/>
      <c r="P9" s="21"/>
      <c r="Q9" s="22" t="str">
        <f aca="false">IF($G$4="SL/HL","SL: "&amp;IFERROR(INDEX(Assessments!$F$2:$F$600,MATCH($A$4&amp;"|"&amp;$C$4&amp;"|SL|"&amp;1,Assessments!$A$2:$A$600,0)),"—"),IFERROR(INDEX(Assessments!$G$2:$G$600,MATCH($A$4&amp;"|"&amp;$C$4&amp;"|"&amp;$G$4&amp;"|"&amp;1,Assessments!$A$2:$A$600,0))&amp;IF(INDEX(Assessments!$J$2:$J$600,MATCH($A$4&amp;"|"&amp;$C$4&amp;"|"&amp;$G$4&amp;"|"&amp;1,Assessments!$A$2:$A$600,0))&gt;1,"  ·  ×"&amp;INDEX(Assessments!$J$2:$J$600,MATCH($A$4&amp;"|"&amp;$C$4&amp;"|"&amp;$G$4&amp;"|"&amp;1,Assessments!$A$2:$A$600,0)),""),""))</f>
        <v>Y12 T1 Wk 8</v>
      </c>
      <c r="R9" s="22"/>
      <c r="S9" s="22"/>
      <c r="T9" s="22"/>
      <c r="U9" s="22" t="str">
        <f aca="false">IF($G$4="SL/HL","SL: "&amp;IFERROR(INDEX(Assessments!$F$2:$F$600,MATCH($A$4&amp;"|"&amp;$C$4&amp;"|SL|"&amp;2,Assessments!$A$2:$A$600,0)),"—"),IFERROR(INDEX(Assessments!$G$2:$G$600,MATCH($A$4&amp;"|"&amp;$C$4&amp;"|"&amp;$G$4&amp;"|"&amp;2,Assessments!$A$2:$A$600,0))&amp;IF(INDEX(Assessments!$J$2:$J$600,MATCH($A$4&amp;"|"&amp;$C$4&amp;"|"&amp;$G$4&amp;"|"&amp;2,Assessments!$A$2:$A$600,0))&gt;1,"  ·  ×"&amp;INDEX(Assessments!$J$2:$J$600,MATCH($A$4&amp;"|"&amp;$C$4&amp;"|"&amp;$G$4&amp;"|"&amp;2,Assessments!$A$2:$A$600,0)),""),""))</f>
        <v>Y12 T1 Wk 13</v>
      </c>
      <c r="V9" s="22"/>
      <c r="W9" s="22"/>
      <c r="X9" s="22"/>
      <c r="Y9" s="22" t="str">
        <f aca="false">IF($G$4="SL/HL","SL: "&amp;IFERROR(INDEX(Assessments!$F$2:$F$600,MATCH($A$4&amp;"|"&amp;$C$4&amp;"|SL|"&amp;3,Assessments!$A$2:$A$600,0)),"—"),IFERROR(INDEX(Assessments!$G$2:$G$600,MATCH($A$4&amp;"|"&amp;$C$4&amp;"|"&amp;$G$4&amp;"|"&amp;3,Assessments!$A$2:$A$600,0))&amp;IF(INDEX(Assessments!$J$2:$J$600,MATCH($A$4&amp;"|"&amp;$C$4&amp;"|"&amp;$G$4&amp;"|"&amp;3,Assessments!$A$2:$A$600,0))&gt;1,"  ·  ×"&amp;INDEX(Assessments!$J$2:$J$600,MATCH($A$4&amp;"|"&amp;$C$4&amp;"|"&amp;$G$4&amp;"|"&amp;3,Assessments!$A$2:$A$600,0)),""),""))</f>
        <v>Y12 T1 Wk 13</v>
      </c>
      <c r="Z9" s="22"/>
      <c r="AA9" s="22"/>
      <c r="AB9" s="22"/>
      <c r="AC9" s="22" t="str">
        <f aca="false">IF($G$4="SL/HL","SL: "&amp;IFERROR(INDEX(Assessments!$F$2:$F$600,MATCH($A$4&amp;"|"&amp;$C$4&amp;"|SL|"&amp;4,Assessments!$A$2:$A$600,0)),"—"),IFERROR(INDEX(Assessments!$G$2:$G$600,MATCH($A$4&amp;"|"&amp;$C$4&amp;"|"&amp;$G$4&amp;"|"&amp;4,Assessments!$A$2:$A$600,0))&amp;IF(INDEX(Assessments!$J$2:$J$600,MATCH($A$4&amp;"|"&amp;$C$4&amp;"|"&amp;$G$4&amp;"|"&amp;4,Assessments!$A$2:$A$600,0))&gt;1,"  ·  ×"&amp;INDEX(Assessments!$J$2:$J$600,MATCH($A$4&amp;"|"&amp;$C$4&amp;"|"&amp;$G$4&amp;"|"&amp;4,Assessments!$A$2:$A$600,0)),""),""))</f>
        <v>Y12 T2 Wk 6</v>
      </c>
      <c r="AD9" s="22"/>
      <c r="AE9" s="22"/>
      <c r="AF9" s="22"/>
      <c r="AG9" s="22" t="str">
        <f aca="false">IF($G$4="SL/HL","SL: "&amp;IFERROR(INDEX(Assessments!$F$2:$F$600,MATCH($A$4&amp;"|"&amp;$C$4&amp;"|SL|"&amp;5,Assessments!$A$2:$A$600,0)),"—"),IFERROR(INDEX(Assessments!$G$2:$G$600,MATCH($A$4&amp;"|"&amp;$C$4&amp;"|"&amp;$G$4&amp;"|"&amp;5,Assessments!$A$2:$A$600,0))&amp;IF(INDEX(Assessments!$J$2:$J$600,MATCH($A$4&amp;"|"&amp;$C$4&amp;"|"&amp;$G$4&amp;"|"&amp;5,Assessments!$A$2:$A$600,0))&gt;1,"  ·  ×"&amp;INDEX(Assessments!$J$2:$J$600,MATCH($A$4&amp;"|"&amp;$C$4&amp;"|"&amp;$G$4&amp;"|"&amp;5,Assessments!$A$2:$A$600,0)),""),""))</f>
        <v>Y12 T2 Wk 9</v>
      </c>
      <c r="AH9" s="22"/>
      <c r="AI9" s="22"/>
      <c r="AJ9" s="22"/>
      <c r="AK9" s="22" t="str">
        <f aca="false">IF($G$4="SL/HL","SL: "&amp;IFERROR(INDEX(Assessments!$F$2:$F$600,MATCH($A$4&amp;"|"&amp;$C$4&amp;"|SL|"&amp;6,Assessments!$A$2:$A$600,0)),"—"),IFERROR(INDEX(Assessments!$G$2:$G$600,MATCH($A$4&amp;"|"&amp;$C$4&amp;"|"&amp;$G$4&amp;"|"&amp;6,Assessments!$A$2:$A$600,0))&amp;IF(INDEX(Assessments!$J$2:$J$600,MATCH($A$4&amp;"|"&amp;$C$4&amp;"|"&amp;$G$4&amp;"|"&amp;6,Assessments!$A$2:$A$600,0))&gt;1,"  ·  ×"&amp;INDEX(Assessments!$J$2:$J$600,MATCH($A$4&amp;"|"&amp;$C$4&amp;"|"&amp;$G$4&amp;"|"&amp;6,Assessments!$A$2:$A$600,0)),""),""))</f>
        <v>Y12 T3  ·  ×2</v>
      </c>
      <c r="AL9" s="22"/>
      <c r="AM9" s="22"/>
      <c r="AN9" s="22"/>
      <c r="AO9" s="22" t="str">
        <f aca="false">IF($G$4="SL/HL","SL: "&amp;IFERROR(INDEX(Assessments!$F$2:$F$600,MATCH($A$4&amp;"|"&amp;$C$4&amp;"|SL|"&amp;7,Assessments!$A$2:$A$600,0)),"—"),IFERROR(INDEX(Assessments!$G$2:$G$600,MATCH($A$4&amp;"|"&amp;$C$4&amp;"|"&amp;$G$4&amp;"|"&amp;7,Assessments!$A$2:$A$600,0))&amp;IF(INDEX(Assessments!$J$2:$J$600,MATCH($A$4&amp;"|"&amp;$C$4&amp;"|"&amp;$G$4&amp;"|"&amp;7,Assessments!$A$2:$A$600,0))&gt;1,"  ·  ×"&amp;INDEX(Assessments!$J$2:$J$600,MATCH($A$4&amp;"|"&amp;$C$4&amp;"|"&amp;$G$4&amp;"|"&amp;7,Assessments!$A$2:$A$600,0)),""),""))</f>
        <v>Y12 T3  ·  ×2</v>
      </c>
      <c r="AP9" s="22"/>
      <c r="AQ9" s="22"/>
      <c r="AR9" s="22"/>
      <c r="AS9" s="22" t="str">
        <f aca="false">IF($G$4="SL/HL","SL: "&amp;IFERROR(INDEX(Assessments!$F$2:$F$600,MATCH($A$4&amp;"|"&amp;$C$4&amp;"|SL|"&amp;8,Assessments!$A$2:$A$600,0)),"—"),IFERROR(INDEX(Assessments!$G$2:$G$600,MATCH($A$4&amp;"|"&amp;$C$4&amp;"|"&amp;$G$4&amp;"|"&amp;8,Assessments!$A$2:$A$600,0))&amp;IF(INDEX(Assessments!$J$2:$J$600,MATCH($A$4&amp;"|"&amp;$C$4&amp;"|"&amp;$G$4&amp;"|"&amp;8,Assessments!$A$2:$A$600,0))&gt;1,"  ·  ×"&amp;INDEX(Assessments!$J$2:$J$600,MATCH($A$4&amp;"|"&amp;$C$4&amp;"|"&amp;$G$4&amp;"|"&amp;8,Assessments!$A$2:$A$600,0)),""),""))</f>
        <v>Y13 T1 Wk 4</v>
      </c>
      <c r="AT9" s="22"/>
      <c r="AU9" s="22"/>
      <c r="AV9" s="22"/>
      <c r="AW9" s="22" t="str">
        <f aca="false">IF($G$4="SL/HL","SL: "&amp;IFERROR(INDEX(Assessments!$F$2:$F$600,MATCH($A$4&amp;"|"&amp;$C$4&amp;"|SL|"&amp;9,Assessments!$A$2:$A$600,0)),"—"),IFERROR(INDEX(Assessments!$G$2:$G$600,MATCH($A$4&amp;"|"&amp;$C$4&amp;"|"&amp;$G$4&amp;"|"&amp;9,Assessments!$A$2:$A$600,0))&amp;IF(INDEX(Assessments!$J$2:$J$600,MATCH($A$4&amp;"|"&amp;$C$4&amp;"|"&amp;$G$4&amp;"|"&amp;9,Assessments!$A$2:$A$600,0))&gt;1,"  ·  ×"&amp;INDEX(Assessments!$J$2:$J$600,MATCH($A$4&amp;"|"&amp;$C$4&amp;"|"&amp;$G$4&amp;"|"&amp;9,Assessments!$A$2:$A$600,0)),""),""))</f>
        <v>Y13 T1 Wk 5</v>
      </c>
      <c r="AX9" s="22"/>
      <c r="AY9" s="22"/>
      <c r="AZ9" s="22"/>
      <c r="BA9" s="22" t="str">
        <f aca="false">IF($G$4="SL/HL","SL: "&amp;IFERROR(INDEX(Assessments!$F$2:$F$600,MATCH($A$4&amp;"|"&amp;$C$4&amp;"|SL|"&amp;10,Assessments!$A$2:$A$600,0)),"—"),IFERROR(INDEX(Assessments!$G$2:$G$600,MATCH($A$4&amp;"|"&amp;$C$4&amp;"|"&amp;$G$4&amp;"|"&amp;10,Assessments!$A$2:$A$600,0))&amp;IF(INDEX(Assessments!$J$2:$J$600,MATCH($A$4&amp;"|"&amp;$C$4&amp;"|"&amp;$G$4&amp;"|"&amp;10,Assessments!$A$2:$A$600,0))&gt;1,"  ·  ×"&amp;INDEX(Assessments!$J$2:$J$600,MATCH($A$4&amp;"|"&amp;$C$4&amp;"|"&amp;$G$4&amp;"|"&amp;10,Assessments!$A$2:$A$600,0)),""),""))</f>
        <v>Y13 T1 Wk 5</v>
      </c>
      <c r="BB9" s="22"/>
      <c r="BC9" s="22"/>
      <c r="BD9" s="22"/>
      <c r="BE9" s="22" t="str">
        <f aca="false">IF($G$4="SL/HL","SL: "&amp;IFERROR(INDEX(Assessments!$F$2:$F$600,MATCH($A$4&amp;"|"&amp;$C$4&amp;"|SL|"&amp;11,Assessments!$A$2:$A$600,0)),"—"),IFERROR(INDEX(Assessments!$G$2:$G$600,MATCH($A$4&amp;"|"&amp;$C$4&amp;"|"&amp;$G$4&amp;"|"&amp;11,Assessments!$A$2:$A$600,0))&amp;IF(INDEX(Assessments!$J$2:$J$600,MATCH($A$4&amp;"|"&amp;$C$4&amp;"|"&amp;$G$4&amp;"|"&amp;11,Assessments!$A$2:$A$600,0))&gt;1,"  ·  ×"&amp;INDEX(Assessments!$J$2:$J$600,MATCH($A$4&amp;"|"&amp;$C$4&amp;"|"&amp;$G$4&amp;"|"&amp;11,Assessments!$A$2:$A$600,0)),""),""))</f>
        <v/>
      </c>
      <c r="BF9" s="22"/>
      <c r="BG9" s="22"/>
      <c r="BH9" s="22"/>
      <c r="BI9" s="22" t="str">
        <f aca="false">IF($G$4="SL/HL","SL: "&amp;IFERROR(INDEX(Assessments!$F$2:$F$600,MATCH($A$4&amp;"|"&amp;$C$4&amp;"|SL|"&amp;12,Assessments!$A$2:$A$600,0)),"—"),IFERROR(INDEX(Assessments!$G$2:$G$600,MATCH($A$4&amp;"|"&amp;$C$4&amp;"|"&amp;$G$4&amp;"|"&amp;12,Assessments!$A$2:$A$600,0))&amp;IF(INDEX(Assessments!$J$2:$J$600,MATCH($A$4&amp;"|"&amp;$C$4&amp;"|"&amp;$G$4&amp;"|"&amp;12,Assessments!$A$2:$A$600,0))&gt;1,"  ·  ×"&amp;INDEX(Assessments!$J$2:$J$600,MATCH($A$4&amp;"|"&amp;$C$4&amp;"|"&amp;$G$4&amp;"|"&amp;12,Assessments!$A$2:$A$600,0)),""),""))</f>
        <v/>
      </c>
      <c r="BJ9" s="22"/>
      <c r="BK9" s="22"/>
      <c r="BL9" s="22"/>
      <c r="BM9" s="22" t="str">
        <f aca="false">IF($G$4="SL/HL","SL: "&amp;IFERROR(INDEX(Assessments!$F$2:$F$600,MATCH($A$4&amp;"|"&amp;$C$4&amp;"|SL|"&amp;13,Assessments!$A$2:$A$600,0)),"—"),IFERROR(INDEX(Assessments!$G$2:$G$600,MATCH($A$4&amp;"|"&amp;$C$4&amp;"|"&amp;$G$4&amp;"|"&amp;13,Assessments!$A$2:$A$600,0))&amp;IF(INDEX(Assessments!$J$2:$J$600,MATCH($A$4&amp;"|"&amp;$C$4&amp;"|"&amp;$G$4&amp;"|"&amp;13,Assessments!$A$2:$A$600,0))&gt;1,"  ·  ×"&amp;INDEX(Assessments!$J$2:$J$600,MATCH($A$4&amp;"|"&amp;$C$4&amp;"|"&amp;$G$4&amp;"|"&amp;13,Assessments!$A$2:$A$600,0)),""),""))</f>
        <v/>
      </c>
      <c r="BN9" s="22"/>
      <c r="BO9" s="22"/>
      <c r="BP9" s="22"/>
      <c r="BQ9" s="22" t="str">
        <f aca="false">IF($G$4="SL/HL","SL: "&amp;IFERROR(INDEX(Assessments!$F$2:$F$600,MATCH($A$4&amp;"|"&amp;$C$4&amp;"|SL|"&amp;14,Assessments!$A$2:$A$600,0)),"—"),IFERROR(INDEX(Assessments!$G$2:$G$600,MATCH($A$4&amp;"|"&amp;$C$4&amp;"|"&amp;$G$4&amp;"|"&amp;14,Assessments!$A$2:$A$600,0))&amp;IF(INDEX(Assessments!$J$2:$J$600,MATCH($A$4&amp;"|"&amp;$C$4&amp;"|"&amp;$G$4&amp;"|"&amp;14,Assessments!$A$2:$A$600,0))&gt;1,"  ·  ×"&amp;INDEX(Assessments!$J$2:$J$600,MATCH($A$4&amp;"|"&amp;$C$4&amp;"|"&amp;$G$4&amp;"|"&amp;14,Assessments!$A$2:$A$600,0)),""),""))</f>
        <v/>
      </c>
      <c r="BR9" s="22"/>
      <c r="BS9" s="22"/>
      <c r="BT9" s="22"/>
    </row>
    <row r="10" customFormat="false" ht="30" hidden="false" customHeight="true" outlineLevel="0" collapsed="false">
      <c r="A10" s="23" t="s">
        <v>33</v>
      </c>
      <c r="B10" s="23" t="s">
        <v>34</v>
      </c>
      <c r="C10" s="23" t="s">
        <v>35</v>
      </c>
      <c r="D10" s="23" t="s">
        <v>36</v>
      </c>
      <c r="E10" s="23" t="s">
        <v>37</v>
      </c>
      <c r="F10" s="23" t="s">
        <v>38</v>
      </c>
      <c r="G10" s="23" t="s">
        <v>39</v>
      </c>
      <c r="H10" s="23" t="s">
        <v>40</v>
      </c>
      <c r="I10" s="23" t="s">
        <v>41</v>
      </c>
      <c r="J10" s="23" t="s">
        <v>42</v>
      </c>
      <c r="K10" s="24" t="s">
        <v>43</v>
      </c>
      <c r="L10" s="25" t="s">
        <v>44</v>
      </c>
      <c r="M10" s="25" t="s">
        <v>45</v>
      </c>
      <c r="N10" s="25" t="s">
        <v>46</v>
      </c>
      <c r="O10" s="25" t="s">
        <v>47</v>
      </c>
      <c r="P10" s="25" t="s">
        <v>48</v>
      </c>
      <c r="Q10" s="26" t="str">
        <f aca="false">IF($G$4="SL/HL",IFERROR("/"&amp;INDEX(Assessments!$H$2:$H$600,MATCH($A$4&amp;"|"&amp;$C$4&amp;"|HL|"&amp;1,Assessments!$A$2:$A$600,0)),"–")&amp;" | "&amp;IFERROR("/"&amp;INDEX(Assessments!$H$2:$H$600,MATCH($A$4&amp;"|"&amp;$C$4&amp;"|SL|"&amp;1,Assessments!$A$2:$A$600,0)),"–"),IFERROR("/"&amp;INDEX(Assessments!$H$2:$H$600,MATCH($A$4&amp;"|"&amp;$C$4&amp;"|"&amp;$G$4&amp;"|"&amp;1,Assessments!$A$2:$A$600,0)),"Mark"))</f>
        <v>/20</v>
      </c>
      <c r="R10" s="27" t="s">
        <v>49</v>
      </c>
      <c r="S10" s="27" t="s">
        <v>45</v>
      </c>
      <c r="T10" s="27" t="s">
        <v>50</v>
      </c>
      <c r="U10" s="26" t="str">
        <f aca="false">IF($G$4="SL/HL",IFERROR("/"&amp;INDEX(Assessments!$H$2:$H$600,MATCH($A$4&amp;"|"&amp;$C$4&amp;"|HL|"&amp;2,Assessments!$A$2:$A$600,0)),"–")&amp;" | "&amp;IFERROR("/"&amp;INDEX(Assessments!$H$2:$H$600,MATCH($A$4&amp;"|"&amp;$C$4&amp;"|SL|"&amp;2,Assessments!$A$2:$A$600,0)),"–"),IFERROR("/"&amp;INDEX(Assessments!$H$2:$H$600,MATCH($A$4&amp;"|"&amp;$C$4&amp;"|"&amp;$G$4&amp;"|"&amp;2,Assessments!$A$2:$A$600,0)),"Mark"))</f>
        <v>/20</v>
      </c>
      <c r="V10" s="27" t="s">
        <v>49</v>
      </c>
      <c r="W10" s="27" t="s">
        <v>45</v>
      </c>
      <c r="X10" s="27" t="s">
        <v>50</v>
      </c>
      <c r="Y10" s="26" t="str">
        <f aca="false">IF($G$4="SL/HL",IFERROR("/"&amp;INDEX(Assessments!$H$2:$H$600,MATCH($A$4&amp;"|"&amp;$C$4&amp;"|HL|"&amp;3,Assessments!$A$2:$A$600,0)),"–")&amp;" | "&amp;IFERROR("/"&amp;INDEX(Assessments!$H$2:$H$600,MATCH($A$4&amp;"|"&amp;$C$4&amp;"|SL|"&amp;3,Assessments!$A$2:$A$600,0)),"–"),IFERROR("/"&amp;INDEX(Assessments!$H$2:$H$600,MATCH($A$4&amp;"|"&amp;$C$4&amp;"|"&amp;$G$4&amp;"|"&amp;3,Assessments!$A$2:$A$600,0)),"Mark"))</f>
        <v>/20</v>
      </c>
      <c r="Z10" s="27" t="s">
        <v>49</v>
      </c>
      <c r="AA10" s="27" t="s">
        <v>45</v>
      </c>
      <c r="AB10" s="27" t="s">
        <v>50</v>
      </c>
      <c r="AC10" s="26" t="str">
        <f aca="false">IF($G$4="SL/HL",IFERROR("/"&amp;INDEX(Assessments!$H$2:$H$600,MATCH($A$4&amp;"|"&amp;$C$4&amp;"|HL|"&amp;4,Assessments!$A$2:$A$600,0)),"–")&amp;" | "&amp;IFERROR("/"&amp;INDEX(Assessments!$H$2:$H$600,MATCH($A$4&amp;"|"&amp;$C$4&amp;"|SL|"&amp;4,Assessments!$A$2:$A$600,0)),"–"),IFERROR("/"&amp;INDEX(Assessments!$H$2:$H$600,MATCH($A$4&amp;"|"&amp;$C$4&amp;"|"&amp;$G$4&amp;"|"&amp;4,Assessments!$A$2:$A$600,0)),"Mark"))</f>
        <v>/20</v>
      </c>
      <c r="AD10" s="27" t="s">
        <v>49</v>
      </c>
      <c r="AE10" s="27" t="s">
        <v>45</v>
      </c>
      <c r="AF10" s="27" t="s">
        <v>50</v>
      </c>
      <c r="AG10" s="26" t="str">
        <f aca="false">IF($G$4="SL/HL",IFERROR("/"&amp;INDEX(Assessments!$H$2:$H$600,MATCH($A$4&amp;"|"&amp;$C$4&amp;"|HL|"&amp;5,Assessments!$A$2:$A$600,0)),"–")&amp;" | "&amp;IFERROR("/"&amp;INDEX(Assessments!$H$2:$H$600,MATCH($A$4&amp;"|"&amp;$C$4&amp;"|SL|"&amp;5,Assessments!$A$2:$A$600,0)),"–"),IFERROR("/"&amp;INDEX(Assessments!$H$2:$H$600,MATCH($A$4&amp;"|"&amp;$C$4&amp;"|"&amp;$G$4&amp;"|"&amp;5,Assessments!$A$2:$A$600,0)),"Mark"))</f>
        <v>/20</v>
      </c>
      <c r="AH10" s="27" t="s">
        <v>49</v>
      </c>
      <c r="AI10" s="27" t="s">
        <v>45</v>
      </c>
      <c r="AJ10" s="27" t="s">
        <v>50</v>
      </c>
      <c r="AK10" s="26" t="str">
        <f aca="false">IF($G$4="SL/HL",IFERROR("/"&amp;INDEX(Assessments!$H$2:$H$600,MATCH($A$4&amp;"|"&amp;$C$4&amp;"|HL|"&amp;6,Assessments!$A$2:$A$600,0)),"–")&amp;" | "&amp;IFERROR("/"&amp;INDEX(Assessments!$H$2:$H$600,MATCH($A$4&amp;"|"&amp;$C$4&amp;"|SL|"&amp;6,Assessments!$A$2:$A$600,0)),"–"),IFERROR("/"&amp;INDEX(Assessments!$H$2:$H$600,MATCH($A$4&amp;"|"&amp;$C$4&amp;"|"&amp;$G$4&amp;"|"&amp;6,Assessments!$A$2:$A$600,0)),"Mark"))</f>
        <v>/40</v>
      </c>
      <c r="AL10" s="27" t="s">
        <v>49</v>
      </c>
      <c r="AM10" s="27" t="s">
        <v>45</v>
      </c>
      <c r="AN10" s="27" t="s">
        <v>50</v>
      </c>
      <c r="AO10" s="26" t="str">
        <f aca="false">IF($G$4="SL/HL",IFERROR("/"&amp;INDEX(Assessments!$H$2:$H$600,MATCH($A$4&amp;"|"&amp;$C$4&amp;"|HL|"&amp;7,Assessments!$A$2:$A$600,0)),"–")&amp;" | "&amp;IFERROR("/"&amp;INDEX(Assessments!$H$2:$H$600,MATCH($A$4&amp;"|"&amp;$C$4&amp;"|SL|"&amp;7,Assessments!$A$2:$A$600,0)),"–"),IFERROR("/"&amp;INDEX(Assessments!$H$2:$H$600,MATCH($A$4&amp;"|"&amp;$C$4&amp;"|"&amp;$G$4&amp;"|"&amp;7,Assessments!$A$2:$A$600,0)),"Mark"))</f>
        <v>/50</v>
      </c>
      <c r="AP10" s="27" t="s">
        <v>49</v>
      </c>
      <c r="AQ10" s="27" t="s">
        <v>45</v>
      </c>
      <c r="AR10" s="27" t="s">
        <v>50</v>
      </c>
      <c r="AS10" s="26" t="str">
        <f aca="false">IF($G$4="SL/HL",IFERROR("/"&amp;INDEX(Assessments!$H$2:$H$600,MATCH($A$4&amp;"|"&amp;$C$4&amp;"|HL|"&amp;8,Assessments!$A$2:$A$600,0)),"–")&amp;" | "&amp;IFERROR("/"&amp;INDEX(Assessments!$H$2:$H$600,MATCH($A$4&amp;"|"&amp;$C$4&amp;"|SL|"&amp;8,Assessments!$A$2:$A$600,0)),"–"),IFERROR("/"&amp;INDEX(Assessments!$H$2:$H$600,MATCH($A$4&amp;"|"&amp;$C$4&amp;"|"&amp;$G$4&amp;"|"&amp;8,Assessments!$A$2:$A$600,0)),"Mark"))</f>
        <v>/25</v>
      </c>
      <c r="AT10" s="27" t="s">
        <v>49</v>
      </c>
      <c r="AU10" s="27" t="s">
        <v>45</v>
      </c>
      <c r="AV10" s="27" t="s">
        <v>50</v>
      </c>
      <c r="AW10" s="26" t="str">
        <f aca="false">IF($G$4="SL/HL",IFERROR("/"&amp;INDEX(Assessments!$H$2:$H$600,MATCH($A$4&amp;"|"&amp;$C$4&amp;"|HL|"&amp;9,Assessments!$A$2:$A$600,0)),"–")&amp;" | "&amp;IFERROR("/"&amp;INDEX(Assessments!$H$2:$H$600,MATCH($A$4&amp;"|"&amp;$C$4&amp;"|SL|"&amp;9,Assessments!$A$2:$A$600,0)),"–"),IFERROR("/"&amp;INDEX(Assessments!$H$2:$H$600,MATCH($A$4&amp;"|"&amp;$C$4&amp;"|"&amp;$G$4&amp;"|"&amp;9,Assessments!$A$2:$A$600,0)),"Mark"))</f>
        <v>/16</v>
      </c>
      <c r="AX10" s="27" t="s">
        <v>49</v>
      </c>
      <c r="AY10" s="27" t="s">
        <v>45</v>
      </c>
      <c r="AZ10" s="27" t="s">
        <v>50</v>
      </c>
      <c r="BA10" s="26" t="str">
        <f aca="false">IF($G$4="SL/HL",IFERROR("/"&amp;INDEX(Assessments!$H$2:$H$600,MATCH($A$4&amp;"|"&amp;$C$4&amp;"|HL|"&amp;10,Assessments!$A$2:$A$600,0)),"–")&amp;" | "&amp;IFERROR("/"&amp;INDEX(Assessments!$H$2:$H$600,MATCH($A$4&amp;"|"&amp;$C$4&amp;"|SL|"&amp;10,Assessments!$A$2:$A$600,0)),"–"),IFERROR("/"&amp;INDEX(Assessments!$H$2:$H$600,MATCH($A$4&amp;"|"&amp;$C$4&amp;"|"&amp;$G$4&amp;"|"&amp;10,Assessments!$A$2:$A$600,0)),"Mark"))</f>
        <v>/30</v>
      </c>
      <c r="BB10" s="27" t="s">
        <v>49</v>
      </c>
      <c r="BC10" s="27" t="s">
        <v>45</v>
      </c>
      <c r="BD10" s="27" t="s">
        <v>50</v>
      </c>
      <c r="BE10" s="26" t="str">
        <f aca="false">IF($G$4="SL/HL",IFERROR("/"&amp;INDEX(Assessments!$H$2:$H$600,MATCH($A$4&amp;"|"&amp;$C$4&amp;"|HL|"&amp;11,Assessments!$A$2:$A$600,0)),"–")&amp;" | "&amp;IFERROR("/"&amp;INDEX(Assessments!$H$2:$H$600,MATCH($A$4&amp;"|"&amp;$C$4&amp;"|SL|"&amp;11,Assessments!$A$2:$A$600,0)),"–"),IFERROR("/"&amp;INDEX(Assessments!$H$2:$H$600,MATCH($A$4&amp;"|"&amp;$C$4&amp;"|"&amp;$G$4&amp;"|"&amp;11,Assessments!$A$2:$A$600,0)),"Mark"))</f>
        <v>Mark</v>
      </c>
      <c r="BF10" s="27" t="s">
        <v>49</v>
      </c>
      <c r="BG10" s="27" t="s">
        <v>45</v>
      </c>
      <c r="BH10" s="27" t="s">
        <v>50</v>
      </c>
      <c r="BI10" s="26" t="str">
        <f aca="false">IF($G$4="SL/HL",IFERROR("/"&amp;INDEX(Assessments!$H$2:$H$600,MATCH($A$4&amp;"|"&amp;$C$4&amp;"|HL|"&amp;12,Assessments!$A$2:$A$600,0)),"–")&amp;" | "&amp;IFERROR("/"&amp;INDEX(Assessments!$H$2:$H$600,MATCH($A$4&amp;"|"&amp;$C$4&amp;"|SL|"&amp;12,Assessments!$A$2:$A$600,0)),"–"),IFERROR("/"&amp;INDEX(Assessments!$H$2:$H$600,MATCH($A$4&amp;"|"&amp;$C$4&amp;"|"&amp;$G$4&amp;"|"&amp;12,Assessments!$A$2:$A$600,0)),"Mark"))</f>
        <v>Mark</v>
      </c>
      <c r="BJ10" s="27" t="s">
        <v>49</v>
      </c>
      <c r="BK10" s="27" t="s">
        <v>45</v>
      </c>
      <c r="BL10" s="27" t="s">
        <v>50</v>
      </c>
      <c r="BM10" s="26" t="str">
        <f aca="false">IF($G$4="SL/HL",IFERROR("/"&amp;INDEX(Assessments!$H$2:$H$600,MATCH($A$4&amp;"|"&amp;$C$4&amp;"|HL|"&amp;13,Assessments!$A$2:$A$600,0)),"–")&amp;" | "&amp;IFERROR("/"&amp;INDEX(Assessments!$H$2:$H$600,MATCH($A$4&amp;"|"&amp;$C$4&amp;"|SL|"&amp;13,Assessments!$A$2:$A$600,0)),"–"),IFERROR("/"&amp;INDEX(Assessments!$H$2:$H$600,MATCH($A$4&amp;"|"&amp;$C$4&amp;"|"&amp;$G$4&amp;"|"&amp;13,Assessments!$A$2:$A$600,0)),"Mark"))</f>
        <v>Mark</v>
      </c>
      <c r="BN10" s="27" t="s">
        <v>49</v>
      </c>
      <c r="BO10" s="27" t="s">
        <v>45</v>
      </c>
      <c r="BP10" s="27" t="s">
        <v>50</v>
      </c>
      <c r="BQ10" s="26" t="str">
        <f aca="false">IF($G$4="SL/HL",IFERROR("/"&amp;INDEX(Assessments!$H$2:$H$600,MATCH($A$4&amp;"|"&amp;$C$4&amp;"|HL|"&amp;14,Assessments!$A$2:$A$600,0)),"–")&amp;" | "&amp;IFERROR("/"&amp;INDEX(Assessments!$H$2:$H$600,MATCH($A$4&amp;"|"&amp;$C$4&amp;"|SL|"&amp;14,Assessments!$A$2:$A$600,0)),"–"),IFERROR("/"&amp;INDEX(Assessments!$H$2:$H$600,MATCH($A$4&amp;"|"&amp;$C$4&amp;"|"&amp;$G$4&amp;"|"&amp;14,Assessments!$A$2:$A$600,0)),"Mark"))</f>
        <v>Mark</v>
      </c>
      <c r="BR10" s="27" t="s">
        <v>49</v>
      </c>
      <c r="BS10" s="27" t="s">
        <v>45</v>
      </c>
      <c r="BT10" s="27" t="s">
        <v>50</v>
      </c>
      <c r="BU10" s="28" t="s">
        <v>51</v>
      </c>
      <c r="BV10" s="28" t="s">
        <v>52</v>
      </c>
      <c r="BW10" s="28" t="s">
        <v>53</v>
      </c>
      <c r="BX10" s="28" t="s">
        <v>54</v>
      </c>
      <c r="BY10" s="28" t="s">
        <v>55</v>
      </c>
      <c r="BZ10" s="28" t="s">
        <v>56</v>
      </c>
      <c r="CA10" s="28" t="s">
        <v>57</v>
      </c>
      <c r="CB10" s="28" t="s">
        <v>58</v>
      </c>
      <c r="CC10" s="28" t="s">
        <v>59</v>
      </c>
      <c r="CD10" s="28" t="s">
        <v>60</v>
      </c>
      <c r="CE10" s="28" t="s">
        <v>61</v>
      </c>
      <c r="CF10" s="28" t="s">
        <v>62</v>
      </c>
      <c r="CG10" s="28" t="s">
        <v>63</v>
      </c>
      <c r="CH10" s="28" t="s">
        <v>64</v>
      </c>
      <c r="CI10" s="28" t="s">
        <v>65</v>
      </c>
      <c r="CJ10" s="28" t="s">
        <v>66</v>
      </c>
      <c r="CK10" s="28" t="s">
        <v>67</v>
      </c>
      <c r="CL10" s="28" t="s">
        <v>68</v>
      </c>
      <c r="CM10" s="28" t="s">
        <v>69</v>
      </c>
      <c r="CN10" s="28" t="s">
        <v>70</v>
      </c>
      <c r="CO10" s="28" t="s">
        <v>71</v>
      </c>
      <c r="CP10" s="28" t="s">
        <v>72</v>
      </c>
      <c r="CQ10" s="28" t="s">
        <v>73</v>
      </c>
      <c r="CR10" s="28" t="s">
        <v>74</v>
      </c>
      <c r="CS10" s="28" t="s">
        <v>75</v>
      </c>
      <c r="CT10" s="28" t="s">
        <v>76</v>
      </c>
      <c r="CU10" s="28" t="s">
        <v>77</v>
      </c>
      <c r="CV10" s="28" t="s">
        <v>78</v>
      </c>
      <c r="CW10" s="28" t="s">
        <v>79</v>
      </c>
      <c r="CX10" s="28" t="s">
        <v>80</v>
      </c>
      <c r="CY10" s="28" t="s">
        <v>81</v>
      </c>
      <c r="CZ10" s="28" t="s">
        <v>82</v>
      </c>
      <c r="DA10" s="28" t="s">
        <v>83</v>
      </c>
      <c r="DB10" s="28" t="s">
        <v>84</v>
      </c>
      <c r="DC10" s="28" t="s">
        <v>85</v>
      </c>
      <c r="DD10" s="28" t="s">
        <v>86</v>
      </c>
      <c r="DE10" s="28" t="s">
        <v>87</v>
      </c>
      <c r="DF10" s="28" t="s">
        <v>88</v>
      </c>
      <c r="DG10" s="28" t="s">
        <v>89</v>
      </c>
      <c r="DH10" s="28" t="s">
        <v>90</v>
      </c>
      <c r="DI10" s="28" t="s">
        <v>91</v>
      </c>
      <c r="DJ10" s="28" t="s">
        <v>92</v>
      </c>
      <c r="DK10" s="28" t="s">
        <v>93</v>
      </c>
      <c r="DL10" s="28" t="s">
        <v>94</v>
      </c>
      <c r="DM10" s="28" t="s">
        <v>95</v>
      </c>
      <c r="DN10" s="28" t="s">
        <v>96</v>
      </c>
      <c r="DO10" s="28" t="s">
        <v>97</v>
      </c>
      <c r="DP10" s="28" t="s">
        <v>98</v>
      </c>
      <c r="DQ10" s="28" t="s">
        <v>99</v>
      </c>
      <c r="DR10" s="28" t="s">
        <v>100</v>
      </c>
      <c r="DS10" s="28" t="s">
        <v>101</v>
      </c>
      <c r="DT10" s="28" t="s">
        <v>102</v>
      </c>
      <c r="DU10" s="28" t="s">
        <v>103</v>
      </c>
      <c r="DV10" s="28" t="s">
        <v>104</v>
      </c>
      <c r="DW10" s="28" t="s">
        <v>105</v>
      </c>
      <c r="DX10" s="28" t="s">
        <v>106</v>
      </c>
      <c r="DY10" s="28" t="s">
        <v>107</v>
      </c>
      <c r="DZ10" s="28" t="s">
        <v>108</v>
      </c>
      <c r="EA10" s="28" t="s">
        <v>109</v>
      </c>
      <c r="EB10" s="28" t="s">
        <v>110</v>
      </c>
      <c r="EC10" s="28" t="s">
        <v>111</v>
      </c>
      <c r="ED10" s="28" t="s">
        <v>112</v>
      </c>
      <c r="EE10" s="28" t="s">
        <v>113</v>
      </c>
      <c r="EF10" s="28" t="s">
        <v>114</v>
      </c>
      <c r="EG10" s="28" t="s">
        <v>115</v>
      </c>
      <c r="EH10" s="28" t="s">
        <v>116</v>
      </c>
      <c r="EI10" s="28" t="s">
        <v>117</v>
      </c>
      <c r="EJ10" s="28" t="s">
        <v>118</v>
      </c>
      <c r="EK10" s="28" t="s">
        <v>119</v>
      </c>
      <c r="EL10" s="28" t="s">
        <v>120</v>
      </c>
      <c r="EM10" s="28" t="s">
        <v>121</v>
      </c>
      <c r="EN10" s="28" t="s">
        <v>122</v>
      </c>
      <c r="EO10" s="28" t="s">
        <v>123</v>
      </c>
      <c r="EP10" s="28" t="s">
        <v>124</v>
      </c>
      <c r="EQ10" s="28" t="s">
        <v>125</v>
      </c>
      <c r="ER10" s="28" t="s">
        <v>126</v>
      </c>
      <c r="ES10" s="28" t="s">
        <v>127</v>
      </c>
      <c r="ET10" s="28" t="s">
        <v>128</v>
      </c>
      <c r="EU10" s="28" t="s">
        <v>129</v>
      </c>
      <c r="EV10" s="28" t="s">
        <v>130</v>
      </c>
      <c r="EW10" s="28" t="s">
        <v>131</v>
      </c>
      <c r="EX10" s="28" t="s">
        <v>132</v>
      </c>
      <c r="EY10" s="28" t="s">
        <v>133</v>
      </c>
      <c r="EZ10" s="28" t="s">
        <v>134</v>
      </c>
      <c r="FA10" s="28" t="s">
        <v>135</v>
      </c>
      <c r="FB10" s="28" t="s">
        <v>136</v>
      </c>
      <c r="FC10" s="28" t="s">
        <v>137</v>
      </c>
      <c r="FD10" s="28" t="s">
        <v>138</v>
      </c>
      <c r="FE10" s="28" t="s">
        <v>139</v>
      </c>
      <c r="FF10" s="28" t="s">
        <v>140</v>
      </c>
      <c r="FG10" s="28" t="s">
        <v>141</v>
      </c>
      <c r="FH10" s="28" t="s">
        <v>142</v>
      </c>
      <c r="FI10" s="28" t="s">
        <v>143</v>
      </c>
      <c r="FJ10" s="28" t="s">
        <v>144</v>
      </c>
      <c r="FK10" s="28" t="s">
        <v>145</v>
      </c>
      <c r="FL10" s="28" t="s">
        <v>146</v>
      </c>
      <c r="FM10" s="28" t="s">
        <v>147</v>
      </c>
      <c r="FN10" s="28" t="s">
        <v>148</v>
      </c>
      <c r="FO10" s="28" t="s">
        <v>149</v>
      </c>
    </row>
    <row r="11" customFormat="false" ht="19.5" hidden="false" customHeight="true" outlineLevel="0" collapsed="false">
      <c r="A11" s="29" t="s">
        <v>150</v>
      </c>
      <c r="B11" s="29" t="s">
        <v>151</v>
      </c>
      <c r="C11" s="30" t="s">
        <v>152</v>
      </c>
      <c r="D11" s="30" t="s">
        <v>153</v>
      </c>
      <c r="E11" s="31" t="n">
        <v>6.8</v>
      </c>
      <c r="F11" s="30" t="n">
        <v>7</v>
      </c>
      <c r="G11" s="30" t="s">
        <v>154</v>
      </c>
      <c r="H11" s="32" t="s">
        <v>23</v>
      </c>
      <c r="I11" s="33" t="s">
        <v>24</v>
      </c>
      <c r="J11" s="32" t="s">
        <v>25</v>
      </c>
      <c r="K11" s="34" t="n">
        <f aca="false">IF(OR(M11="",$E11=""),"",M11-$E11)</f>
        <v>-0.8</v>
      </c>
      <c r="L11" s="35" t="n">
        <f aca="false">IF(SUM(FA11:FN11)=0,"",SUM(EM11:EZ11)/SUM(FA11:FN11))</f>
        <v>70.6666666666667</v>
      </c>
      <c r="M11" s="36" t="n">
        <f aca="false">IF(OR(L11="",FO11=""),"",IFERROR(MATCH(L11,INDEX(Boundaries!$B$2:$I$30,MATCH(FO11,Boundaries!$A$2:$A$30,0),0),1)-1,""))</f>
        <v>6</v>
      </c>
      <c r="N11" s="37" t="n">
        <f aca="false">IF(COUNT($DY11:$EL11)&lt;2,"",INDEX($DK11:$DX11,MAX($DY11:$EL11))-INDEX($DK11:$DX11,MIN($DY11:$EL11)))</f>
        <v>0</v>
      </c>
      <c r="O11" s="37" t="n">
        <f aca="false">IF(COUNT($DY11:$EL11)&lt;2,"",INDEX($DK11:$DX11,MAX($DY11:$EL11))-INDEX($DK11:$DX11,LARGE($DY11:$EL11,2)))</f>
        <v>0</v>
      </c>
      <c r="P11" s="38" t="str">
        <f aca="false">IF(K11="","",IF(K11&gt;=0,"On/above target",IF(AND(N11&lt;&gt;"",N11&gt;=0.5),"Improving towards target",IF(AND(O11&lt;&gt;"",O11&lt;=-0.5),"Declining","Stable below target"))))</f>
        <v>Stable below target</v>
      </c>
      <c r="Q11" s="39" t="n">
        <v>13</v>
      </c>
      <c r="R11" s="40" t="n">
        <f aca="false">IF(OR(Q11="",BU11=""),"",Q11/BU11*100)</f>
        <v>65</v>
      </c>
      <c r="S11" s="41" t="n">
        <f aca="false">IF(R11="","",IFERROR(MATCH(R11,INDEX(Boundaries!$B$2:$I$30,MATCH(CI11,Boundaries!$A$2:$A$30,0),0),1)-1,""))</f>
        <v>6</v>
      </c>
      <c r="T11" s="42" t="n">
        <f aca="false">IF(OR(S11="",$E11=""),"",S11-$E11)</f>
        <v>-0.8</v>
      </c>
      <c r="U11" s="39" t="n">
        <v>13</v>
      </c>
      <c r="V11" s="40" t="n">
        <f aca="false">IF(OR(U11="",BV11=""),"",U11/BV11*100)</f>
        <v>65</v>
      </c>
      <c r="W11" s="41" t="n">
        <f aca="false">IF(V11="","",IFERROR(MATCH(V11,INDEX(Boundaries!$B$2:$I$30,MATCH(CJ11,Boundaries!$A$2:$A$30,0),0),1)-1,""))</f>
        <v>6</v>
      </c>
      <c r="X11" s="42" t="n">
        <f aca="false">IF(OR(W11="",$E11=""),"",W11-$E11)</f>
        <v>-0.8</v>
      </c>
      <c r="Y11" s="39" t="n">
        <v>13</v>
      </c>
      <c r="Z11" s="40" t="n">
        <f aca="false">IF(OR(Y11="",BW11=""),"",Y11/BW11*100)</f>
        <v>65</v>
      </c>
      <c r="AA11" s="41" t="n">
        <f aca="false">IF(Z11="","",IFERROR(MATCH(Z11,INDEX(Boundaries!$B$2:$I$30,MATCH(CK11,Boundaries!$A$2:$A$30,0),0),1)-1,""))</f>
        <v>5</v>
      </c>
      <c r="AB11" s="42" t="n">
        <f aca="false">IF(OR(AA11="",$E11=""),"",AA11-$E11)</f>
        <v>-1.8</v>
      </c>
      <c r="AC11" s="39" t="n">
        <v>18</v>
      </c>
      <c r="AD11" s="40" t="n">
        <f aca="false">IF(OR(AC11="",BX11=""),"",AC11/BX11*100)</f>
        <v>90</v>
      </c>
      <c r="AE11" s="41" t="n">
        <f aca="false">IF(AD11="","",IFERROR(MATCH(AD11,INDEX(Boundaries!$B$2:$I$30,MATCH(CL11,Boundaries!$A$2:$A$30,0),0),1)-1,""))</f>
        <v>7</v>
      </c>
      <c r="AF11" s="42" t="n">
        <f aca="false">IF(OR(AE11="",$E11=""),"",AE11-$E11)</f>
        <v>0.2</v>
      </c>
      <c r="AG11" s="39" t="n">
        <v>18</v>
      </c>
      <c r="AH11" s="40" t="n">
        <f aca="false">IF(OR(AG11="",BY11=""),"",AG11/BY11*100)</f>
        <v>90</v>
      </c>
      <c r="AI11" s="41" t="n">
        <f aca="false">IF(AH11="","",IFERROR(MATCH(AH11,INDEX(Boundaries!$B$2:$I$30,MATCH(CM11,Boundaries!$A$2:$A$30,0),0),1)-1,""))</f>
        <v>7</v>
      </c>
      <c r="AJ11" s="42" t="n">
        <f aca="false">IF(OR(AI11="",$E11=""),"",AI11-$E11)</f>
        <v>0.2</v>
      </c>
      <c r="AK11" s="39" t="n">
        <v>25</v>
      </c>
      <c r="AL11" s="40" t="n">
        <f aca="false">IF(OR(AK11="",BZ11=""),"",AK11/BZ11*100)</f>
        <v>62.5</v>
      </c>
      <c r="AM11" s="41" t="n">
        <f aca="false">IF(AL11="","",IFERROR(MATCH(AL11,INDEX(Boundaries!$B$2:$I$30,MATCH(CN11,Boundaries!$A$2:$A$30,0),0),1)-1,""))</f>
        <v>6</v>
      </c>
      <c r="AN11" s="42" t="n">
        <f aca="false">IF(OR(AM11="",$E11=""),"",AM11-$E11)</f>
        <v>-0.8</v>
      </c>
      <c r="AO11" s="39" t="n">
        <v>34</v>
      </c>
      <c r="AP11" s="40" t="n">
        <f aca="false">IF(OR(AO11="",CA11=""),"",AO11/CA11*100)</f>
        <v>68</v>
      </c>
      <c r="AQ11" s="41" t="n">
        <f aca="false">IF(AP11="","",IFERROR(MATCH(AP11,INDEX(Boundaries!$B$2:$I$30,MATCH(CO11,Boundaries!$A$2:$A$30,0),0),1)-1,""))</f>
        <v>6</v>
      </c>
      <c r="AR11" s="42" t="n">
        <f aca="false">IF(OR(AQ11="",$E11=""),"",AQ11-$E11)</f>
        <v>-0.8</v>
      </c>
      <c r="AS11" s="39"/>
      <c r="AT11" s="40" t="str">
        <f aca="false">IF(OR(AS11="",CB11=""),"",AS11/CB11*100)</f>
        <v/>
      </c>
      <c r="AU11" s="41" t="str">
        <f aca="false">IF(AT11="","",IFERROR(MATCH(AT11,INDEX(Boundaries!$B$2:$I$30,MATCH(CP11,Boundaries!$A$2:$A$30,0),0),1)-1,""))</f>
        <v/>
      </c>
      <c r="AV11" s="42" t="str">
        <f aca="false">IF(OR(AU11="",$E11=""),"",AU11-$E11)</f>
        <v/>
      </c>
      <c r="AW11" s="39"/>
      <c r="AX11" s="40" t="str">
        <f aca="false">IF(OR(AW11="",CC11=""),"",AW11/CC11*100)</f>
        <v/>
      </c>
      <c r="AY11" s="41" t="str">
        <f aca="false">IF(AX11="","",IFERROR(MATCH(AX11,INDEX(Boundaries!$B$2:$I$30,MATCH(CQ11,Boundaries!$A$2:$A$30,0),0),1)-1,""))</f>
        <v/>
      </c>
      <c r="AZ11" s="42" t="str">
        <f aca="false">IF(OR(AY11="",$E11=""),"",AY11-$E11)</f>
        <v/>
      </c>
      <c r="BA11" s="39"/>
      <c r="BB11" s="40" t="str">
        <f aca="false">IF(OR(BA11="",CD11=""),"",BA11/CD11*100)</f>
        <v/>
      </c>
      <c r="BC11" s="41" t="str">
        <f aca="false">IF(BB11="","",IFERROR(MATCH(BB11,INDEX(Boundaries!$B$2:$I$30,MATCH(CR11,Boundaries!$A$2:$A$30,0),0),1)-1,""))</f>
        <v/>
      </c>
      <c r="BD11" s="42" t="str">
        <f aca="false">IF(OR(BC11="",$E11=""),"",BC11-$E11)</f>
        <v/>
      </c>
      <c r="BE11" s="39"/>
      <c r="BF11" s="40" t="str">
        <f aca="false">IF(OR(BE11="",CE11=""),"",BE11/CE11*100)</f>
        <v/>
      </c>
      <c r="BG11" s="41" t="str">
        <f aca="false">IF(BF11="","",IFERROR(MATCH(BF11,INDEX(Boundaries!$B$2:$I$30,MATCH(CS11,Boundaries!$A$2:$A$30,0),0),1)-1,""))</f>
        <v/>
      </c>
      <c r="BH11" s="42" t="str">
        <f aca="false">IF(OR(BG11="",$E11=""),"",BG11-$E11)</f>
        <v/>
      </c>
      <c r="BI11" s="39"/>
      <c r="BJ11" s="40" t="str">
        <f aca="false">IF(OR(BI11="",CF11=""),"",BI11/CF11*100)</f>
        <v/>
      </c>
      <c r="BK11" s="41" t="str">
        <f aca="false">IF(BJ11="","",IFERROR(MATCH(BJ11,INDEX(Boundaries!$B$2:$I$30,MATCH(CT11,Boundaries!$A$2:$A$30,0),0),1)-1,""))</f>
        <v/>
      </c>
      <c r="BL11" s="42" t="str">
        <f aca="false">IF(OR(BK11="",$E11=""),"",BK11-$E11)</f>
        <v/>
      </c>
      <c r="BM11" s="39"/>
      <c r="BN11" s="40" t="str">
        <f aca="false">IF(OR(BM11="",CG11=""),"",BM11/CG11*100)</f>
        <v/>
      </c>
      <c r="BO11" s="41" t="str">
        <f aca="false">IF(BN11="","",IFERROR(MATCH(BN11,INDEX(Boundaries!$B$2:$I$30,MATCH(CU11,Boundaries!$A$2:$A$30,0),0),1)-1,""))</f>
        <v/>
      </c>
      <c r="BP11" s="42" t="str">
        <f aca="false">IF(OR(BO11="",$E11=""),"",BO11-$E11)</f>
        <v/>
      </c>
      <c r="BQ11" s="39"/>
      <c r="BR11" s="40" t="str">
        <f aca="false">IF(OR(BQ11="",CH11=""),"",BQ11/CH11*100)</f>
        <v/>
      </c>
      <c r="BS11" s="41" t="str">
        <f aca="false">IF(BR11="","",IFERROR(MATCH(BR11,INDEX(Boundaries!$B$2:$I$30,MATCH(CV11,Boundaries!$A$2:$A$30,0),0),1)-1,""))</f>
        <v/>
      </c>
      <c r="BT11" s="42" t="str">
        <f aca="false">IF(OR(BS11="",$E11=""),"",BS11-$E11)</f>
        <v/>
      </c>
      <c r="BU11" s="28" t="n">
        <f aca="false">IFERROR(INDEX(Assessments!$H$2:$H$600,MATCH($H11&amp;"|"&amp;$I11&amp;"|"&amp;$J11&amp;"|"&amp;1,Assessments!$A$2:$A$600,0)),"")</f>
        <v>20</v>
      </c>
      <c r="BV11" s="28" t="n">
        <f aca="false">IFERROR(INDEX(Assessments!$H$2:$H$600,MATCH($H11&amp;"|"&amp;$I11&amp;"|"&amp;$J11&amp;"|"&amp;2,Assessments!$A$2:$A$600,0)),"")</f>
        <v>20</v>
      </c>
      <c r="BW11" s="28" t="n">
        <f aca="false">IFERROR(INDEX(Assessments!$H$2:$H$600,MATCH($H11&amp;"|"&amp;$I11&amp;"|"&amp;$J11&amp;"|"&amp;3,Assessments!$A$2:$A$600,0)),"")</f>
        <v>20</v>
      </c>
      <c r="BX11" s="28" t="n">
        <f aca="false">IFERROR(INDEX(Assessments!$H$2:$H$600,MATCH($H11&amp;"|"&amp;$I11&amp;"|"&amp;$J11&amp;"|"&amp;4,Assessments!$A$2:$A$600,0)),"")</f>
        <v>20</v>
      </c>
      <c r="BY11" s="28" t="n">
        <f aca="false">IFERROR(INDEX(Assessments!$H$2:$H$600,MATCH($H11&amp;"|"&amp;$I11&amp;"|"&amp;$J11&amp;"|"&amp;5,Assessments!$A$2:$A$600,0)),"")</f>
        <v>20</v>
      </c>
      <c r="BZ11" s="28" t="n">
        <f aca="false">IFERROR(INDEX(Assessments!$H$2:$H$600,MATCH($H11&amp;"|"&amp;$I11&amp;"|"&amp;$J11&amp;"|"&amp;6,Assessments!$A$2:$A$600,0)),"")</f>
        <v>40</v>
      </c>
      <c r="CA11" s="28" t="n">
        <f aca="false">IFERROR(INDEX(Assessments!$H$2:$H$600,MATCH($H11&amp;"|"&amp;$I11&amp;"|"&amp;$J11&amp;"|"&amp;7,Assessments!$A$2:$A$600,0)),"")</f>
        <v>50</v>
      </c>
      <c r="CB11" s="28" t="n">
        <f aca="false">IFERROR(INDEX(Assessments!$H$2:$H$600,MATCH($H11&amp;"|"&amp;$I11&amp;"|"&amp;$J11&amp;"|"&amp;8,Assessments!$A$2:$A$600,0)),"")</f>
        <v>25</v>
      </c>
      <c r="CC11" s="28" t="n">
        <f aca="false">IFERROR(INDEX(Assessments!$H$2:$H$600,MATCH($H11&amp;"|"&amp;$I11&amp;"|"&amp;$J11&amp;"|"&amp;9,Assessments!$A$2:$A$600,0)),"")</f>
        <v>16</v>
      </c>
      <c r="CD11" s="28" t="n">
        <f aca="false">IFERROR(INDEX(Assessments!$H$2:$H$600,MATCH($H11&amp;"|"&amp;$I11&amp;"|"&amp;$J11&amp;"|"&amp;10,Assessments!$A$2:$A$600,0)),"")</f>
        <v>30</v>
      </c>
      <c r="CE11" s="28" t="str">
        <f aca="false">IFERROR(INDEX(Assessments!$H$2:$H$600,MATCH($H11&amp;"|"&amp;$I11&amp;"|"&amp;$J11&amp;"|"&amp;11,Assessments!$A$2:$A$600,0)),"")</f>
        <v/>
      </c>
      <c r="CF11" s="28" t="str">
        <f aca="false">IFERROR(INDEX(Assessments!$H$2:$H$600,MATCH($H11&amp;"|"&amp;$I11&amp;"|"&amp;$J11&amp;"|"&amp;12,Assessments!$A$2:$A$600,0)),"")</f>
        <v/>
      </c>
      <c r="CG11" s="28" t="str">
        <f aca="false">IFERROR(INDEX(Assessments!$H$2:$H$600,MATCH($H11&amp;"|"&amp;$I11&amp;"|"&amp;$J11&amp;"|"&amp;13,Assessments!$A$2:$A$600,0)),"")</f>
        <v/>
      </c>
      <c r="CH11" s="28" t="str">
        <f aca="false">IFERROR(INDEX(Assessments!$H$2:$H$600,MATCH($H11&amp;"|"&amp;$I11&amp;"|"&amp;$J11&amp;"|"&amp;14,Assessments!$A$2:$A$600,0)),"")</f>
        <v/>
      </c>
      <c r="CI11" s="28" t="str">
        <f aca="false">IFERROR(INDEX(Assessments!$I$2:$I$600,MATCH($H11&amp;"|"&amp;$I11&amp;"|"&amp;$J11&amp;"|"&amp;1,Assessments!$A$2:$A$600,0)),"")</f>
        <v>Geog Paper 1</v>
      </c>
      <c r="CJ11" s="28" t="str">
        <f aca="false">IFERROR(INDEX(Assessments!$I$2:$I$600,MATCH($H11&amp;"|"&amp;$I11&amp;"|"&amp;$J11&amp;"|"&amp;2,Assessments!$A$2:$A$600,0)),"")</f>
        <v>Geog Paper 1</v>
      </c>
      <c r="CK11" s="28" t="str">
        <f aca="false">IFERROR(INDEX(Assessments!$I$2:$I$600,MATCH($H11&amp;"|"&amp;$I11&amp;"|"&amp;$J11&amp;"|"&amp;3,Assessments!$A$2:$A$600,0)),"")</f>
        <v>Geog Paper 2</v>
      </c>
      <c r="CL11" s="28" t="str">
        <f aca="false">IFERROR(INDEX(Assessments!$I$2:$I$600,MATCH($H11&amp;"|"&amp;$I11&amp;"|"&amp;$J11&amp;"|"&amp;4,Assessments!$A$2:$A$600,0)),"")</f>
        <v>Geog Paper 1</v>
      </c>
      <c r="CM11" s="28" t="str">
        <f aca="false">IFERROR(INDEX(Assessments!$I$2:$I$600,MATCH($H11&amp;"|"&amp;$I11&amp;"|"&amp;$J11&amp;"|"&amp;5,Assessments!$A$2:$A$600,0)),"")</f>
        <v>Geog Paper 1</v>
      </c>
      <c r="CN11" s="28" t="str">
        <f aca="false">IFERROR(INDEX(Assessments!$I$2:$I$600,MATCH($H11&amp;"|"&amp;$I11&amp;"|"&amp;$J11&amp;"|"&amp;6,Assessments!$A$2:$A$600,0)),"")</f>
        <v>Geog Paper 1</v>
      </c>
      <c r="CO11" s="28" t="str">
        <f aca="false">IFERROR(INDEX(Assessments!$I$2:$I$600,MATCH($H11&amp;"|"&amp;$I11&amp;"|"&amp;$J11&amp;"|"&amp;7,Assessments!$A$2:$A$600,0)),"")</f>
        <v>Geog Paper 2</v>
      </c>
      <c r="CP11" s="28" t="str">
        <f aca="false">IFERROR(INDEX(Assessments!$I$2:$I$600,MATCH($H11&amp;"|"&amp;$I11&amp;"|"&amp;$J11&amp;"|"&amp;8,Assessments!$A$2:$A$600,0)),"")</f>
        <v>Geog Paper 2</v>
      </c>
      <c r="CQ11" s="28" t="str">
        <f aca="false">IFERROR(INDEX(Assessments!$I$2:$I$600,MATCH($H11&amp;"|"&amp;$I11&amp;"|"&amp;$J11&amp;"|"&amp;9,Assessments!$A$2:$A$600,0)),"")</f>
        <v>Geog Paper 3</v>
      </c>
      <c r="CR11" s="28" t="str">
        <f aca="false">IFERROR(INDEX(Assessments!$I$2:$I$600,MATCH($H11&amp;"|"&amp;$I11&amp;"|"&amp;$J11&amp;"|"&amp;10,Assessments!$A$2:$A$600,0)),"")</f>
        <v>Geog Paper 2</v>
      </c>
      <c r="CS11" s="28" t="str">
        <f aca="false">IFERROR(INDEX(Assessments!$I$2:$I$600,MATCH($H11&amp;"|"&amp;$I11&amp;"|"&amp;$J11&amp;"|"&amp;11,Assessments!$A$2:$A$600,0)),"")</f>
        <v/>
      </c>
      <c r="CT11" s="28" t="str">
        <f aca="false">IFERROR(INDEX(Assessments!$I$2:$I$600,MATCH($H11&amp;"|"&amp;$I11&amp;"|"&amp;$J11&amp;"|"&amp;12,Assessments!$A$2:$A$600,0)),"")</f>
        <v/>
      </c>
      <c r="CU11" s="28" t="str">
        <f aca="false">IFERROR(INDEX(Assessments!$I$2:$I$600,MATCH($H11&amp;"|"&amp;$I11&amp;"|"&amp;$J11&amp;"|"&amp;13,Assessments!$A$2:$A$600,0)),"")</f>
        <v/>
      </c>
      <c r="CV11" s="28" t="str">
        <f aca="false">IFERROR(INDEX(Assessments!$I$2:$I$600,MATCH($H11&amp;"|"&amp;$I11&amp;"|"&amp;$J11&amp;"|"&amp;14,Assessments!$A$2:$A$600,0)),"")</f>
        <v/>
      </c>
      <c r="CW11" s="28" t="n">
        <f aca="false">IFERROR(INDEX(Assessments!$J$2:$J$600,MATCH($H11&amp;"|"&amp;$I11&amp;"|"&amp;$J11&amp;"|"&amp;1,Assessments!$A$2:$A$600,0)),0)</f>
        <v>1</v>
      </c>
      <c r="CX11" s="28" t="n">
        <f aca="false">IFERROR(INDEX(Assessments!$J$2:$J$600,MATCH($H11&amp;"|"&amp;$I11&amp;"|"&amp;$J11&amp;"|"&amp;2,Assessments!$A$2:$A$600,0)),0)</f>
        <v>1</v>
      </c>
      <c r="CY11" s="28" t="n">
        <f aca="false">IFERROR(INDEX(Assessments!$J$2:$J$600,MATCH($H11&amp;"|"&amp;$I11&amp;"|"&amp;$J11&amp;"|"&amp;3,Assessments!$A$2:$A$600,0)),0)</f>
        <v>1</v>
      </c>
      <c r="CZ11" s="28" t="n">
        <f aca="false">IFERROR(INDEX(Assessments!$J$2:$J$600,MATCH($H11&amp;"|"&amp;$I11&amp;"|"&amp;$J11&amp;"|"&amp;4,Assessments!$A$2:$A$600,0)),0)</f>
        <v>1</v>
      </c>
      <c r="DA11" s="28" t="n">
        <f aca="false">IFERROR(INDEX(Assessments!$J$2:$J$600,MATCH($H11&amp;"|"&amp;$I11&amp;"|"&amp;$J11&amp;"|"&amp;5,Assessments!$A$2:$A$600,0)),0)</f>
        <v>1</v>
      </c>
      <c r="DB11" s="28" t="n">
        <f aca="false">IFERROR(INDEX(Assessments!$J$2:$J$600,MATCH($H11&amp;"|"&amp;$I11&amp;"|"&amp;$J11&amp;"|"&amp;6,Assessments!$A$2:$A$600,0)),0)</f>
        <v>2</v>
      </c>
      <c r="DC11" s="28" t="n">
        <f aca="false">IFERROR(INDEX(Assessments!$J$2:$J$600,MATCH($H11&amp;"|"&amp;$I11&amp;"|"&amp;$J11&amp;"|"&amp;7,Assessments!$A$2:$A$600,0)),0)</f>
        <v>2</v>
      </c>
      <c r="DD11" s="28" t="n">
        <f aca="false">IFERROR(INDEX(Assessments!$J$2:$J$600,MATCH($H11&amp;"|"&amp;$I11&amp;"|"&amp;$J11&amp;"|"&amp;8,Assessments!$A$2:$A$600,0)),0)</f>
        <v>1</v>
      </c>
      <c r="DE11" s="28" t="n">
        <f aca="false">IFERROR(INDEX(Assessments!$J$2:$J$600,MATCH($H11&amp;"|"&amp;$I11&amp;"|"&amp;$J11&amp;"|"&amp;9,Assessments!$A$2:$A$600,0)),0)</f>
        <v>1</v>
      </c>
      <c r="DF11" s="28" t="n">
        <f aca="false">IFERROR(INDEX(Assessments!$J$2:$J$600,MATCH($H11&amp;"|"&amp;$I11&amp;"|"&amp;$J11&amp;"|"&amp;10,Assessments!$A$2:$A$600,0)),0)</f>
        <v>1</v>
      </c>
      <c r="DG11" s="28" t="n">
        <f aca="false">IFERROR(INDEX(Assessments!$J$2:$J$600,MATCH($H11&amp;"|"&amp;$I11&amp;"|"&amp;$J11&amp;"|"&amp;11,Assessments!$A$2:$A$600,0)),0)</f>
        <v>0</v>
      </c>
      <c r="DH11" s="28" t="n">
        <f aca="false">IFERROR(INDEX(Assessments!$J$2:$J$600,MATCH($H11&amp;"|"&amp;$I11&amp;"|"&amp;$J11&amp;"|"&amp;12,Assessments!$A$2:$A$600,0)),0)</f>
        <v>0</v>
      </c>
      <c r="DI11" s="28" t="n">
        <f aca="false">IFERROR(INDEX(Assessments!$J$2:$J$600,MATCH($H11&amp;"|"&amp;$I11&amp;"|"&amp;$J11&amp;"|"&amp;13,Assessments!$A$2:$A$600,0)),0)</f>
        <v>0</v>
      </c>
      <c r="DJ11" s="28" t="n">
        <f aca="false">IFERROR(INDEX(Assessments!$J$2:$J$600,MATCH($H11&amp;"|"&amp;$I11&amp;"|"&amp;$J11&amp;"|"&amp;14,Assessments!$A$2:$A$600,0)),0)</f>
        <v>0</v>
      </c>
      <c r="DK11" s="28" t="n">
        <f aca="false">S11</f>
        <v>6</v>
      </c>
      <c r="DL11" s="28" t="n">
        <f aca="false">W11</f>
        <v>6</v>
      </c>
      <c r="DM11" s="28" t="n">
        <f aca="false">AA11</f>
        <v>5</v>
      </c>
      <c r="DN11" s="28" t="n">
        <f aca="false">AE11</f>
        <v>7</v>
      </c>
      <c r="DO11" s="28" t="n">
        <f aca="false">AI11</f>
        <v>7</v>
      </c>
      <c r="DP11" s="28" t="n">
        <f aca="false">AM11</f>
        <v>6</v>
      </c>
      <c r="DQ11" s="28" t="n">
        <f aca="false">AQ11</f>
        <v>6</v>
      </c>
      <c r="DR11" s="28" t="str">
        <f aca="false">AU11</f>
        <v/>
      </c>
      <c r="DS11" s="28" t="str">
        <f aca="false">AY11</f>
        <v/>
      </c>
      <c r="DT11" s="28" t="str">
        <f aca="false">BC11</f>
        <v/>
      </c>
      <c r="DU11" s="28" t="str">
        <f aca="false">BG11</f>
        <v/>
      </c>
      <c r="DV11" s="28" t="str">
        <f aca="false">BK11</f>
        <v/>
      </c>
      <c r="DW11" s="28" t="str">
        <f aca="false">BO11</f>
        <v/>
      </c>
      <c r="DX11" s="28" t="str">
        <f aca="false">BS11</f>
        <v/>
      </c>
      <c r="DY11" s="28" t="n">
        <f aca="false">IF(ISNUMBER(S11),1,"")</f>
        <v>1</v>
      </c>
      <c r="DZ11" s="28" t="n">
        <f aca="false">IF(ISNUMBER(W11),2,"")</f>
        <v>2</v>
      </c>
      <c r="EA11" s="28" t="n">
        <f aca="false">IF(ISNUMBER(AA11),3,"")</f>
        <v>3</v>
      </c>
      <c r="EB11" s="28" t="n">
        <f aca="false">IF(ISNUMBER(AE11),4,"")</f>
        <v>4</v>
      </c>
      <c r="EC11" s="28" t="n">
        <f aca="false">IF(ISNUMBER(AI11),5,"")</f>
        <v>5</v>
      </c>
      <c r="ED11" s="28" t="n">
        <f aca="false">IF(ISNUMBER(AM11),6,"")</f>
        <v>6</v>
      </c>
      <c r="EE11" s="28" t="n">
        <f aca="false">IF(ISNUMBER(AQ11),7,"")</f>
        <v>7</v>
      </c>
      <c r="EF11" s="28" t="str">
        <f aca="false">IF(ISNUMBER(AU11),8,"")</f>
        <v/>
      </c>
      <c r="EG11" s="28" t="str">
        <f aca="false">IF(ISNUMBER(AY11),9,"")</f>
        <v/>
      </c>
      <c r="EH11" s="28" t="str">
        <f aca="false">IF(ISNUMBER(BC11),10,"")</f>
        <v/>
      </c>
      <c r="EI11" s="28" t="str">
        <f aca="false">IF(ISNUMBER(BG11),11,"")</f>
        <v/>
      </c>
      <c r="EJ11" s="28" t="str">
        <f aca="false">IF(ISNUMBER(BK11),12,"")</f>
        <v/>
      </c>
      <c r="EK11" s="28" t="str">
        <f aca="false">IF(ISNUMBER(BO11),13,"")</f>
        <v/>
      </c>
      <c r="EL11" s="28" t="str">
        <f aca="false">IF(ISNUMBER(BS11),14,"")</f>
        <v/>
      </c>
      <c r="EM11" s="28" t="n">
        <f aca="false">IF(ISNUMBER(R11),R11*CW11,0)</f>
        <v>65</v>
      </c>
      <c r="EN11" s="28" t="n">
        <f aca="false">IF(ISNUMBER(V11),V11*CX11,0)</f>
        <v>65</v>
      </c>
      <c r="EO11" s="28" t="n">
        <f aca="false">IF(ISNUMBER(Z11),Z11*CY11,0)</f>
        <v>65</v>
      </c>
      <c r="EP11" s="28" t="n">
        <f aca="false">IF(ISNUMBER(AD11),AD11*CZ11,0)</f>
        <v>90</v>
      </c>
      <c r="EQ11" s="28" t="n">
        <f aca="false">IF(ISNUMBER(AH11),AH11*DA11,0)</f>
        <v>90</v>
      </c>
      <c r="ER11" s="28" t="n">
        <f aca="false">IF(ISNUMBER(AL11),AL11*DB11,0)</f>
        <v>125</v>
      </c>
      <c r="ES11" s="28" t="n">
        <f aca="false">IF(ISNUMBER(AP11),AP11*DC11,0)</f>
        <v>136</v>
      </c>
      <c r="ET11" s="28" t="n">
        <f aca="false">IF(ISNUMBER(AT11),AT11*DD11,0)</f>
        <v>0</v>
      </c>
      <c r="EU11" s="28" t="n">
        <f aca="false">IF(ISNUMBER(AX11),AX11*DE11,0)</f>
        <v>0</v>
      </c>
      <c r="EV11" s="28" t="n">
        <f aca="false">IF(ISNUMBER(BB11),BB11*DF11,0)</f>
        <v>0</v>
      </c>
      <c r="EW11" s="28" t="n">
        <f aca="false">IF(ISNUMBER(BF11),BF11*DG11,0)</f>
        <v>0</v>
      </c>
      <c r="EX11" s="28" t="n">
        <f aca="false">IF(ISNUMBER(BJ11),BJ11*DH11,0)</f>
        <v>0</v>
      </c>
      <c r="EY11" s="28" t="n">
        <f aca="false">IF(ISNUMBER(BN11),BN11*DI11,0)</f>
        <v>0</v>
      </c>
      <c r="EZ11" s="28" t="n">
        <f aca="false">IF(ISNUMBER(BR11),BR11*DJ11,0)</f>
        <v>0</v>
      </c>
      <c r="FA11" s="28" t="n">
        <f aca="false">IF(ISNUMBER(R11),CW11,0)</f>
        <v>1</v>
      </c>
      <c r="FB11" s="28" t="n">
        <f aca="false">IF(ISNUMBER(V11),CX11,0)</f>
        <v>1</v>
      </c>
      <c r="FC11" s="28" t="n">
        <f aca="false">IF(ISNUMBER(Z11),CY11,0)</f>
        <v>1</v>
      </c>
      <c r="FD11" s="28" t="n">
        <f aca="false">IF(ISNUMBER(AD11),CZ11,0)</f>
        <v>1</v>
      </c>
      <c r="FE11" s="28" t="n">
        <f aca="false">IF(ISNUMBER(AH11),DA11,0)</f>
        <v>1</v>
      </c>
      <c r="FF11" s="28" t="n">
        <f aca="false">IF(ISNUMBER(AL11),DB11,0)</f>
        <v>2</v>
      </c>
      <c r="FG11" s="28" t="n">
        <f aca="false">IF(ISNUMBER(AP11),DC11,0)</f>
        <v>2</v>
      </c>
      <c r="FH11" s="28" t="n">
        <f aca="false">IF(ISNUMBER(AT11),DD11,0)</f>
        <v>0</v>
      </c>
      <c r="FI11" s="28" t="n">
        <f aca="false">IF(ISNUMBER(AX11),DE11,0)</f>
        <v>0</v>
      </c>
      <c r="FJ11" s="28" t="n">
        <f aca="false">IF(ISNUMBER(BB11),DF11,0)</f>
        <v>0</v>
      </c>
      <c r="FK11" s="28" t="n">
        <f aca="false">IF(ISNUMBER(BF11),DG11,0)</f>
        <v>0</v>
      </c>
      <c r="FL11" s="28" t="n">
        <f aca="false">IF(ISNUMBER(BJ11),DH11,0)</f>
        <v>0</v>
      </c>
      <c r="FM11" s="28" t="n">
        <f aca="false">IF(ISNUMBER(BN11),DI11,0)</f>
        <v>0</v>
      </c>
      <c r="FN11" s="28" t="n">
        <f aca="false">IF(ISNUMBER(BR11),DJ11,0)</f>
        <v>0</v>
      </c>
      <c r="FO11" s="28" t="str">
        <f aca="false">IFERROR(INDEX(Lists!$G$2:$G$20,MATCH($I11&amp;"|"&amp;$J11,Lists!$F$2:$F$20,0)),"")</f>
        <v>Geog Overall HL</v>
      </c>
    </row>
    <row r="12" customFormat="false" ht="19.5" hidden="false" customHeight="true" outlineLevel="0" collapsed="false">
      <c r="A12" s="29" t="s">
        <v>155</v>
      </c>
      <c r="B12" s="29" t="s">
        <v>156</v>
      </c>
      <c r="C12" s="30" t="s">
        <v>152</v>
      </c>
      <c r="D12" s="30" t="s">
        <v>153</v>
      </c>
      <c r="E12" s="31" t="n">
        <v>5.2</v>
      </c>
      <c r="F12" s="30" t="n">
        <v>6</v>
      </c>
      <c r="G12" s="30"/>
      <c r="H12" s="32" t="s">
        <v>23</v>
      </c>
      <c r="I12" s="33" t="s">
        <v>24</v>
      </c>
      <c r="J12" s="32" t="s">
        <v>25</v>
      </c>
      <c r="K12" s="34" t="n">
        <f aca="false">IF(OR(M12="",$E12=""),"",M12-$E12)</f>
        <v>-0.2</v>
      </c>
      <c r="L12" s="35" t="n">
        <f aca="false">IF(SUM(FA12:FN12)=0,"",SUM(EM12:EZ12)/SUM(FA12:FN12))</f>
        <v>60.7777777777778</v>
      </c>
      <c r="M12" s="36" t="n">
        <f aca="false">IF(OR(L12="",FO12=""),"",IFERROR(MATCH(L12,INDEX(Boundaries!$B$2:$I$30,MATCH(FO12,Boundaries!$A$2:$A$30,0),0),1)-1,""))</f>
        <v>5</v>
      </c>
      <c r="N12" s="37" t="n">
        <f aca="false">IF(COUNT($DY12:$EL12)&lt;2,"",INDEX($DK12:$DX12,MAX($DY12:$EL12))-INDEX($DK12:$DX12,MIN($DY12:$EL12)))</f>
        <v>0</v>
      </c>
      <c r="O12" s="37" t="n">
        <f aca="false">IF(COUNT($DY12:$EL12)&lt;2,"",INDEX($DK12:$DX12,MAX($DY12:$EL12))-INDEX($DK12:$DX12,LARGE($DY12:$EL12,2)))</f>
        <v>-1</v>
      </c>
      <c r="P12" s="38" t="str">
        <f aca="false">IF(K12="","",IF(K12&gt;=0,"On/above target",IF(AND(N12&lt;&gt;"",N12&gt;=0.5),"Improving towards target",IF(AND(O12&lt;&gt;"",O12&lt;=-0.5),"Declining","Stable below target"))))</f>
        <v>Declining</v>
      </c>
      <c r="Q12" s="39" t="n">
        <v>12</v>
      </c>
      <c r="R12" s="40" t="n">
        <f aca="false">IF(OR(Q12="",BU12=""),"",Q12/BU12*100)</f>
        <v>60</v>
      </c>
      <c r="S12" s="41" t="n">
        <f aca="false">IF(R12="","",IFERROR(MATCH(R12,INDEX(Boundaries!$B$2:$I$30,MATCH(CI12,Boundaries!$A$2:$A$30,0),0),1)-1,""))</f>
        <v>5</v>
      </c>
      <c r="T12" s="42" t="n">
        <f aca="false">IF(OR(S12="",$E12=""),"",S12-$E12)</f>
        <v>-0.2</v>
      </c>
      <c r="U12" s="39" t="n">
        <v>12</v>
      </c>
      <c r="V12" s="40" t="n">
        <f aca="false">IF(OR(U12="",BV12=""),"",U12/BV12*100)</f>
        <v>60</v>
      </c>
      <c r="W12" s="41" t="n">
        <f aca="false">IF(V12="","",IFERROR(MATCH(V12,INDEX(Boundaries!$B$2:$I$30,MATCH(CJ12,Boundaries!$A$2:$A$30,0),0),1)-1,""))</f>
        <v>5</v>
      </c>
      <c r="X12" s="42" t="n">
        <f aca="false">IF(OR(W12="",$E12=""),"",W12-$E12)</f>
        <v>-0.2</v>
      </c>
      <c r="Y12" s="39" t="n">
        <v>12</v>
      </c>
      <c r="Z12" s="40" t="n">
        <f aca="false">IF(OR(Y12="",BW12=""),"",Y12/BW12*100)</f>
        <v>60</v>
      </c>
      <c r="AA12" s="41" t="n">
        <f aca="false">IF(Z12="","",IFERROR(MATCH(Z12,INDEX(Boundaries!$B$2:$I$30,MATCH(CK12,Boundaries!$A$2:$A$30,0),0),1)-1,""))</f>
        <v>5</v>
      </c>
      <c r="AB12" s="42" t="n">
        <f aca="false">IF(OR(AA12="",$E12=""),"",AA12-$E12)</f>
        <v>-0.2</v>
      </c>
      <c r="AC12" s="39" t="n">
        <v>13</v>
      </c>
      <c r="AD12" s="40" t="n">
        <f aca="false">IF(OR(AC12="",BX12=""),"",AC12/BX12*100)</f>
        <v>65</v>
      </c>
      <c r="AE12" s="41" t="n">
        <f aca="false">IF(AD12="","",IFERROR(MATCH(AD12,INDEX(Boundaries!$B$2:$I$30,MATCH(CL12,Boundaries!$A$2:$A$30,0),0),1)-1,""))</f>
        <v>6</v>
      </c>
      <c r="AF12" s="42" t="n">
        <f aca="false">IF(OR(AE12="",$E12=""),"",AE12-$E12)</f>
        <v>0.8</v>
      </c>
      <c r="AG12" s="39" t="n">
        <v>13</v>
      </c>
      <c r="AH12" s="40" t="n">
        <f aca="false">IF(OR(AG12="",BY12=""),"",AG12/BY12*100)</f>
        <v>65</v>
      </c>
      <c r="AI12" s="41" t="n">
        <f aca="false">IF(AH12="","",IFERROR(MATCH(AH12,INDEX(Boundaries!$B$2:$I$30,MATCH(CM12,Boundaries!$A$2:$A$30,0),0),1)-1,""))</f>
        <v>6</v>
      </c>
      <c r="AJ12" s="42" t="n">
        <f aca="false">IF(OR(AI12="",$E12=""),"",AI12-$E12)</f>
        <v>0.8</v>
      </c>
      <c r="AK12" s="39" t="n">
        <v>25</v>
      </c>
      <c r="AL12" s="40" t="n">
        <f aca="false">IF(OR(AK12="",BZ12=""),"",AK12/BZ12*100)</f>
        <v>62.5</v>
      </c>
      <c r="AM12" s="41" t="n">
        <f aca="false">IF(AL12="","",IFERROR(MATCH(AL12,INDEX(Boundaries!$B$2:$I$30,MATCH(CN12,Boundaries!$A$2:$A$30,0),0),1)-1,""))</f>
        <v>6</v>
      </c>
      <c r="AN12" s="42" t="n">
        <f aca="false">IF(OR(AM12="",$E12=""),"",AM12-$E12)</f>
        <v>0.8</v>
      </c>
      <c r="AO12" s="39" t="n">
        <v>28</v>
      </c>
      <c r="AP12" s="40" t="n">
        <f aca="false">IF(OR(AO12="",CA12=""),"",AO12/CA12*100)</f>
        <v>56</v>
      </c>
      <c r="AQ12" s="41" t="n">
        <f aca="false">IF(AP12="","",IFERROR(MATCH(AP12,INDEX(Boundaries!$B$2:$I$30,MATCH(CO12,Boundaries!$A$2:$A$30,0),0),1)-1,""))</f>
        <v>5</v>
      </c>
      <c r="AR12" s="42" t="n">
        <f aca="false">IF(OR(AQ12="",$E12=""),"",AQ12-$E12)</f>
        <v>-0.2</v>
      </c>
      <c r="AS12" s="39"/>
      <c r="AT12" s="40" t="str">
        <f aca="false">IF(OR(AS12="",CB12=""),"",AS12/CB12*100)</f>
        <v/>
      </c>
      <c r="AU12" s="41" t="str">
        <f aca="false">IF(AT12="","",IFERROR(MATCH(AT12,INDEX(Boundaries!$B$2:$I$30,MATCH(CP12,Boundaries!$A$2:$A$30,0),0),1)-1,""))</f>
        <v/>
      </c>
      <c r="AV12" s="42" t="str">
        <f aca="false">IF(OR(AU12="",$E12=""),"",AU12-$E12)</f>
        <v/>
      </c>
      <c r="AW12" s="39"/>
      <c r="AX12" s="40" t="str">
        <f aca="false">IF(OR(AW12="",CC12=""),"",AW12/CC12*100)</f>
        <v/>
      </c>
      <c r="AY12" s="41" t="str">
        <f aca="false">IF(AX12="","",IFERROR(MATCH(AX12,INDEX(Boundaries!$B$2:$I$30,MATCH(CQ12,Boundaries!$A$2:$A$30,0),0),1)-1,""))</f>
        <v/>
      </c>
      <c r="AZ12" s="42" t="str">
        <f aca="false">IF(OR(AY12="",$E12=""),"",AY12-$E12)</f>
        <v/>
      </c>
      <c r="BA12" s="39"/>
      <c r="BB12" s="40" t="str">
        <f aca="false">IF(OR(BA12="",CD12=""),"",BA12/CD12*100)</f>
        <v/>
      </c>
      <c r="BC12" s="41" t="str">
        <f aca="false">IF(BB12="","",IFERROR(MATCH(BB12,INDEX(Boundaries!$B$2:$I$30,MATCH(CR12,Boundaries!$A$2:$A$30,0),0),1)-1,""))</f>
        <v/>
      </c>
      <c r="BD12" s="42" t="str">
        <f aca="false">IF(OR(BC12="",$E12=""),"",BC12-$E12)</f>
        <v/>
      </c>
      <c r="BE12" s="39"/>
      <c r="BF12" s="40" t="str">
        <f aca="false">IF(OR(BE12="",CE12=""),"",BE12/CE12*100)</f>
        <v/>
      </c>
      <c r="BG12" s="41" t="str">
        <f aca="false">IF(BF12="","",IFERROR(MATCH(BF12,INDEX(Boundaries!$B$2:$I$30,MATCH(CS12,Boundaries!$A$2:$A$30,0),0),1)-1,""))</f>
        <v/>
      </c>
      <c r="BH12" s="42" t="str">
        <f aca="false">IF(OR(BG12="",$E12=""),"",BG12-$E12)</f>
        <v/>
      </c>
      <c r="BI12" s="39"/>
      <c r="BJ12" s="40" t="str">
        <f aca="false">IF(OR(BI12="",CF12=""),"",BI12/CF12*100)</f>
        <v/>
      </c>
      <c r="BK12" s="41" t="str">
        <f aca="false">IF(BJ12="","",IFERROR(MATCH(BJ12,INDEX(Boundaries!$B$2:$I$30,MATCH(CT12,Boundaries!$A$2:$A$30,0),0),1)-1,""))</f>
        <v/>
      </c>
      <c r="BL12" s="42" t="str">
        <f aca="false">IF(OR(BK12="",$E12=""),"",BK12-$E12)</f>
        <v/>
      </c>
      <c r="BM12" s="39"/>
      <c r="BN12" s="40" t="str">
        <f aca="false">IF(OR(BM12="",CG12=""),"",BM12/CG12*100)</f>
        <v/>
      </c>
      <c r="BO12" s="41" t="str">
        <f aca="false">IF(BN12="","",IFERROR(MATCH(BN12,INDEX(Boundaries!$B$2:$I$30,MATCH(CU12,Boundaries!$A$2:$A$30,0),0),1)-1,""))</f>
        <v/>
      </c>
      <c r="BP12" s="42" t="str">
        <f aca="false">IF(OR(BO12="",$E12=""),"",BO12-$E12)</f>
        <v/>
      </c>
      <c r="BQ12" s="39"/>
      <c r="BR12" s="40" t="str">
        <f aca="false">IF(OR(BQ12="",CH12=""),"",BQ12/CH12*100)</f>
        <v/>
      </c>
      <c r="BS12" s="41" t="str">
        <f aca="false">IF(BR12="","",IFERROR(MATCH(BR12,INDEX(Boundaries!$B$2:$I$30,MATCH(CV12,Boundaries!$A$2:$A$30,0),0),1)-1,""))</f>
        <v/>
      </c>
      <c r="BT12" s="42" t="str">
        <f aca="false">IF(OR(BS12="",$E12=""),"",BS12-$E12)</f>
        <v/>
      </c>
      <c r="BU12" s="28" t="n">
        <f aca="false">IFERROR(INDEX(Assessments!$H$2:$H$600,MATCH($H12&amp;"|"&amp;$I12&amp;"|"&amp;$J12&amp;"|"&amp;1,Assessments!$A$2:$A$600,0)),"")</f>
        <v>20</v>
      </c>
      <c r="BV12" s="28" t="n">
        <f aca="false">IFERROR(INDEX(Assessments!$H$2:$H$600,MATCH($H12&amp;"|"&amp;$I12&amp;"|"&amp;$J12&amp;"|"&amp;2,Assessments!$A$2:$A$600,0)),"")</f>
        <v>20</v>
      </c>
      <c r="BW12" s="28" t="n">
        <f aca="false">IFERROR(INDEX(Assessments!$H$2:$H$600,MATCH($H12&amp;"|"&amp;$I12&amp;"|"&amp;$J12&amp;"|"&amp;3,Assessments!$A$2:$A$600,0)),"")</f>
        <v>20</v>
      </c>
      <c r="BX12" s="28" t="n">
        <f aca="false">IFERROR(INDEX(Assessments!$H$2:$H$600,MATCH($H12&amp;"|"&amp;$I12&amp;"|"&amp;$J12&amp;"|"&amp;4,Assessments!$A$2:$A$600,0)),"")</f>
        <v>20</v>
      </c>
      <c r="BY12" s="28" t="n">
        <f aca="false">IFERROR(INDEX(Assessments!$H$2:$H$600,MATCH($H12&amp;"|"&amp;$I12&amp;"|"&amp;$J12&amp;"|"&amp;5,Assessments!$A$2:$A$600,0)),"")</f>
        <v>20</v>
      </c>
      <c r="BZ12" s="28" t="n">
        <f aca="false">IFERROR(INDEX(Assessments!$H$2:$H$600,MATCH($H12&amp;"|"&amp;$I12&amp;"|"&amp;$J12&amp;"|"&amp;6,Assessments!$A$2:$A$600,0)),"")</f>
        <v>40</v>
      </c>
      <c r="CA12" s="28" t="n">
        <f aca="false">IFERROR(INDEX(Assessments!$H$2:$H$600,MATCH($H12&amp;"|"&amp;$I12&amp;"|"&amp;$J12&amp;"|"&amp;7,Assessments!$A$2:$A$600,0)),"")</f>
        <v>50</v>
      </c>
      <c r="CB12" s="28" t="n">
        <f aca="false">IFERROR(INDEX(Assessments!$H$2:$H$600,MATCH($H12&amp;"|"&amp;$I12&amp;"|"&amp;$J12&amp;"|"&amp;8,Assessments!$A$2:$A$600,0)),"")</f>
        <v>25</v>
      </c>
      <c r="CC12" s="28" t="n">
        <f aca="false">IFERROR(INDEX(Assessments!$H$2:$H$600,MATCH($H12&amp;"|"&amp;$I12&amp;"|"&amp;$J12&amp;"|"&amp;9,Assessments!$A$2:$A$600,0)),"")</f>
        <v>16</v>
      </c>
      <c r="CD12" s="28" t="n">
        <f aca="false">IFERROR(INDEX(Assessments!$H$2:$H$600,MATCH($H12&amp;"|"&amp;$I12&amp;"|"&amp;$J12&amp;"|"&amp;10,Assessments!$A$2:$A$600,0)),"")</f>
        <v>30</v>
      </c>
      <c r="CE12" s="28" t="str">
        <f aca="false">IFERROR(INDEX(Assessments!$H$2:$H$600,MATCH($H12&amp;"|"&amp;$I12&amp;"|"&amp;$J12&amp;"|"&amp;11,Assessments!$A$2:$A$600,0)),"")</f>
        <v/>
      </c>
      <c r="CF12" s="28" t="str">
        <f aca="false">IFERROR(INDEX(Assessments!$H$2:$H$600,MATCH($H12&amp;"|"&amp;$I12&amp;"|"&amp;$J12&amp;"|"&amp;12,Assessments!$A$2:$A$600,0)),"")</f>
        <v/>
      </c>
      <c r="CG12" s="28" t="str">
        <f aca="false">IFERROR(INDEX(Assessments!$H$2:$H$600,MATCH($H12&amp;"|"&amp;$I12&amp;"|"&amp;$J12&amp;"|"&amp;13,Assessments!$A$2:$A$600,0)),"")</f>
        <v/>
      </c>
      <c r="CH12" s="28" t="str">
        <f aca="false">IFERROR(INDEX(Assessments!$H$2:$H$600,MATCH($H12&amp;"|"&amp;$I12&amp;"|"&amp;$J12&amp;"|"&amp;14,Assessments!$A$2:$A$600,0)),"")</f>
        <v/>
      </c>
      <c r="CI12" s="28" t="str">
        <f aca="false">IFERROR(INDEX(Assessments!$I$2:$I$600,MATCH($H12&amp;"|"&amp;$I12&amp;"|"&amp;$J12&amp;"|"&amp;1,Assessments!$A$2:$A$600,0)),"")</f>
        <v>Geog Paper 1</v>
      </c>
      <c r="CJ12" s="28" t="str">
        <f aca="false">IFERROR(INDEX(Assessments!$I$2:$I$600,MATCH($H12&amp;"|"&amp;$I12&amp;"|"&amp;$J12&amp;"|"&amp;2,Assessments!$A$2:$A$600,0)),"")</f>
        <v>Geog Paper 1</v>
      </c>
      <c r="CK12" s="28" t="str">
        <f aca="false">IFERROR(INDEX(Assessments!$I$2:$I$600,MATCH($H12&amp;"|"&amp;$I12&amp;"|"&amp;$J12&amp;"|"&amp;3,Assessments!$A$2:$A$600,0)),"")</f>
        <v>Geog Paper 2</v>
      </c>
      <c r="CL12" s="28" t="str">
        <f aca="false">IFERROR(INDEX(Assessments!$I$2:$I$600,MATCH($H12&amp;"|"&amp;$I12&amp;"|"&amp;$J12&amp;"|"&amp;4,Assessments!$A$2:$A$600,0)),"")</f>
        <v>Geog Paper 1</v>
      </c>
      <c r="CM12" s="28" t="str">
        <f aca="false">IFERROR(INDEX(Assessments!$I$2:$I$600,MATCH($H12&amp;"|"&amp;$I12&amp;"|"&amp;$J12&amp;"|"&amp;5,Assessments!$A$2:$A$600,0)),"")</f>
        <v>Geog Paper 1</v>
      </c>
      <c r="CN12" s="28" t="str">
        <f aca="false">IFERROR(INDEX(Assessments!$I$2:$I$600,MATCH($H12&amp;"|"&amp;$I12&amp;"|"&amp;$J12&amp;"|"&amp;6,Assessments!$A$2:$A$600,0)),"")</f>
        <v>Geog Paper 1</v>
      </c>
      <c r="CO12" s="28" t="str">
        <f aca="false">IFERROR(INDEX(Assessments!$I$2:$I$600,MATCH($H12&amp;"|"&amp;$I12&amp;"|"&amp;$J12&amp;"|"&amp;7,Assessments!$A$2:$A$600,0)),"")</f>
        <v>Geog Paper 2</v>
      </c>
      <c r="CP12" s="28" t="str">
        <f aca="false">IFERROR(INDEX(Assessments!$I$2:$I$600,MATCH($H12&amp;"|"&amp;$I12&amp;"|"&amp;$J12&amp;"|"&amp;8,Assessments!$A$2:$A$600,0)),"")</f>
        <v>Geog Paper 2</v>
      </c>
      <c r="CQ12" s="28" t="str">
        <f aca="false">IFERROR(INDEX(Assessments!$I$2:$I$600,MATCH($H12&amp;"|"&amp;$I12&amp;"|"&amp;$J12&amp;"|"&amp;9,Assessments!$A$2:$A$600,0)),"")</f>
        <v>Geog Paper 3</v>
      </c>
      <c r="CR12" s="28" t="str">
        <f aca="false">IFERROR(INDEX(Assessments!$I$2:$I$600,MATCH($H12&amp;"|"&amp;$I12&amp;"|"&amp;$J12&amp;"|"&amp;10,Assessments!$A$2:$A$600,0)),"")</f>
        <v>Geog Paper 2</v>
      </c>
      <c r="CS12" s="28" t="str">
        <f aca="false">IFERROR(INDEX(Assessments!$I$2:$I$600,MATCH($H12&amp;"|"&amp;$I12&amp;"|"&amp;$J12&amp;"|"&amp;11,Assessments!$A$2:$A$600,0)),"")</f>
        <v/>
      </c>
      <c r="CT12" s="28" t="str">
        <f aca="false">IFERROR(INDEX(Assessments!$I$2:$I$600,MATCH($H12&amp;"|"&amp;$I12&amp;"|"&amp;$J12&amp;"|"&amp;12,Assessments!$A$2:$A$600,0)),"")</f>
        <v/>
      </c>
      <c r="CU12" s="28" t="str">
        <f aca="false">IFERROR(INDEX(Assessments!$I$2:$I$600,MATCH($H12&amp;"|"&amp;$I12&amp;"|"&amp;$J12&amp;"|"&amp;13,Assessments!$A$2:$A$600,0)),"")</f>
        <v/>
      </c>
      <c r="CV12" s="28" t="str">
        <f aca="false">IFERROR(INDEX(Assessments!$I$2:$I$600,MATCH($H12&amp;"|"&amp;$I12&amp;"|"&amp;$J12&amp;"|"&amp;14,Assessments!$A$2:$A$600,0)),"")</f>
        <v/>
      </c>
      <c r="CW12" s="28" t="n">
        <f aca="false">IFERROR(INDEX(Assessments!$J$2:$J$600,MATCH($H12&amp;"|"&amp;$I12&amp;"|"&amp;$J12&amp;"|"&amp;1,Assessments!$A$2:$A$600,0)),0)</f>
        <v>1</v>
      </c>
      <c r="CX12" s="28" t="n">
        <f aca="false">IFERROR(INDEX(Assessments!$J$2:$J$600,MATCH($H12&amp;"|"&amp;$I12&amp;"|"&amp;$J12&amp;"|"&amp;2,Assessments!$A$2:$A$600,0)),0)</f>
        <v>1</v>
      </c>
      <c r="CY12" s="28" t="n">
        <f aca="false">IFERROR(INDEX(Assessments!$J$2:$J$600,MATCH($H12&amp;"|"&amp;$I12&amp;"|"&amp;$J12&amp;"|"&amp;3,Assessments!$A$2:$A$600,0)),0)</f>
        <v>1</v>
      </c>
      <c r="CZ12" s="28" t="n">
        <f aca="false">IFERROR(INDEX(Assessments!$J$2:$J$600,MATCH($H12&amp;"|"&amp;$I12&amp;"|"&amp;$J12&amp;"|"&amp;4,Assessments!$A$2:$A$600,0)),0)</f>
        <v>1</v>
      </c>
      <c r="DA12" s="28" t="n">
        <f aca="false">IFERROR(INDEX(Assessments!$J$2:$J$600,MATCH($H12&amp;"|"&amp;$I12&amp;"|"&amp;$J12&amp;"|"&amp;5,Assessments!$A$2:$A$600,0)),0)</f>
        <v>1</v>
      </c>
      <c r="DB12" s="28" t="n">
        <f aca="false">IFERROR(INDEX(Assessments!$J$2:$J$600,MATCH($H12&amp;"|"&amp;$I12&amp;"|"&amp;$J12&amp;"|"&amp;6,Assessments!$A$2:$A$600,0)),0)</f>
        <v>2</v>
      </c>
      <c r="DC12" s="28" t="n">
        <f aca="false">IFERROR(INDEX(Assessments!$J$2:$J$600,MATCH($H12&amp;"|"&amp;$I12&amp;"|"&amp;$J12&amp;"|"&amp;7,Assessments!$A$2:$A$600,0)),0)</f>
        <v>2</v>
      </c>
      <c r="DD12" s="28" t="n">
        <f aca="false">IFERROR(INDEX(Assessments!$J$2:$J$600,MATCH($H12&amp;"|"&amp;$I12&amp;"|"&amp;$J12&amp;"|"&amp;8,Assessments!$A$2:$A$600,0)),0)</f>
        <v>1</v>
      </c>
      <c r="DE12" s="28" t="n">
        <f aca="false">IFERROR(INDEX(Assessments!$J$2:$J$600,MATCH($H12&amp;"|"&amp;$I12&amp;"|"&amp;$J12&amp;"|"&amp;9,Assessments!$A$2:$A$600,0)),0)</f>
        <v>1</v>
      </c>
      <c r="DF12" s="28" t="n">
        <f aca="false">IFERROR(INDEX(Assessments!$J$2:$J$600,MATCH($H12&amp;"|"&amp;$I12&amp;"|"&amp;$J12&amp;"|"&amp;10,Assessments!$A$2:$A$600,0)),0)</f>
        <v>1</v>
      </c>
      <c r="DG12" s="28" t="n">
        <f aca="false">IFERROR(INDEX(Assessments!$J$2:$J$600,MATCH($H12&amp;"|"&amp;$I12&amp;"|"&amp;$J12&amp;"|"&amp;11,Assessments!$A$2:$A$600,0)),0)</f>
        <v>0</v>
      </c>
      <c r="DH12" s="28" t="n">
        <f aca="false">IFERROR(INDEX(Assessments!$J$2:$J$600,MATCH($H12&amp;"|"&amp;$I12&amp;"|"&amp;$J12&amp;"|"&amp;12,Assessments!$A$2:$A$600,0)),0)</f>
        <v>0</v>
      </c>
      <c r="DI12" s="28" t="n">
        <f aca="false">IFERROR(INDEX(Assessments!$J$2:$J$600,MATCH($H12&amp;"|"&amp;$I12&amp;"|"&amp;$J12&amp;"|"&amp;13,Assessments!$A$2:$A$600,0)),0)</f>
        <v>0</v>
      </c>
      <c r="DJ12" s="28" t="n">
        <f aca="false">IFERROR(INDEX(Assessments!$J$2:$J$600,MATCH($H12&amp;"|"&amp;$I12&amp;"|"&amp;$J12&amp;"|"&amp;14,Assessments!$A$2:$A$600,0)),0)</f>
        <v>0</v>
      </c>
      <c r="DK12" s="28" t="n">
        <f aca="false">S12</f>
        <v>5</v>
      </c>
      <c r="DL12" s="28" t="n">
        <f aca="false">W12</f>
        <v>5</v>
      </c>
      <c r="DM12" s="28" t="n">
        <f aca="false">AA12</f>
        <v>5</v>
      </c>
      <c r="DN12" s="28" t="n">
        <f aca="false">AE12</f>
        <v>6</v>
      </c>
      <c r="DO12" s="28" t="n">
        <f aca="false">AI12</f>
        <v>6</v>
      </c>
      <c r="DP12" s="28" t="n">
        <f aca="false">AM12</f>
        <v>6</v>
      </c>
      <c r="DQ12" s="28" t="n">
        <f aca="false">AQ12</f>
        <v>5</v>
      </c>
      <c r="DR12" s="28" t="str">
        <f aca="false">AU12</f>
        <v/>
      </c>
      <c r="DS12" s="28" t="str">
        <f aca="false">AY12</f>
        <v/>
      </c>
      <c r="DT12" s="28" t="str">
        <f aca="false">BC12</f>
        <v/>
      </c>
      <c r="DU12" s="28" t="str">
        <f aca="false">BG12</f>
        <v/>
      </c>
      <c r="DV12" s="28" t="str">
        <f aca="false">BK12</f>
        <v/>
      </c>
      <c r="DW12" s="28" t="str">
        <f aca="false">BO12</f>
        <v/>
      </c>
      <c r="DX12" s="28" t="str">
        <f aca="false">BS12</f>
        <v/>
      </c>
      <c r="DY12" s="28" t="n">
        <f aca="false">IF(ISNUMBER(S12),1,"")</f>
        <v>1</v>
      </c>
      <c r="DZ12" s="28" t="n">
        <f aca="false">IF(ISNUMBER(W12),2,"")</f>
        <v>2</v>
      </c>
      <c r="EA12" s="28" t="n">
        <f aca="false">IF(ISNUMBER(AA12),3,"")</f>
        <v>3</v>
      </c>
      <c r="EB12" s="28" t="n">
        <f aca="false">IF(ISNUMBER(AE12),4,"")</f>
        <v>4</v>
      </c>
      <c r="EC12" s="28" t="n">
        <f aca="false">IF(ISNUMBER(AI12),5,"")</f>
        <v>5</v>
      </c>
      <c r="ED12" s="28" t="n">
        <f aca="false">IF(ISNUMBER(AM12),6,"")</f>
        <v>6</v>
      </c>
      <c r="EE12" s="28" t="n">
        <f aca="false">IF(ISNUMBER(AQ12),7,"")</f>
        <v>7</v>
      </c>
      <c r="EF12" s="28" t="str">
        <f aca="false">IF(ISNUMBER(AU12),8,"")</f>
        <v/>
      </c>
      <c r="EG12" s="28" t="str">
        <f aca="false">IF(ISNUMBER(AY12),9,"")</f>
        <v/>
      </c>
      <c r="EH12" s="28" t="str">
        <f aca="false">IF(ISNUMBER(BC12),10,"")</f>
        <v/>
      </c>
      <c r="EI12" s="28" t="str">
        <f aca="false">IF(ISNUMBER(BG12),11,"")</f>
        <v/>
      </c>
      <c r="EJ12" s="28" t="str">
        <f aca="false">IF(ISNUMBER(BK12),12,"")</f>
        <v/>
      </c>
      <c r="EK12" s="28" t="str">
        <f aca="false">IF(ISNUMBER(BO12),13,"")</f>
        <v/>
      </c>
      <c r="EL12" s="28" t="str">
        <f aca="false">IF(ISNUMBER(BS12),14,"")</f>
        <v/>
      </c>
      <c r="EM12" s="28" t="n">
        <f aca="false">IF(ISNUMBER(R12),R12*CW12,0)</f>
        <v>60</v>
      </c>
      <c r="EN12" s="28" t="n">
        <f aca="false">IF(ISNUMBER(V12),V12*CX12,0)</f>
        <v>60</v>
      </c>
      <c r="EO12" s="28" t="n">
        <f aca="false">IF(ISNUMBER(Z12),Z12*CY12,0)</f>
        <v>60</v>
      </c>
      <c r="EP12" s="28" t="n">
        <f aca="false">IF(ISNUMBER(AD12),AD12*CZ12,0)</f>
        <v>65</v>
      </c>
      <c r="EQ12" s="28" t="n">
        <f aca="false">IF(ISNUMBER(AH12),AH12*DA12,0)</f>
        <v>65</v>
      </c>
      <c r="ER12" s="28" t="n">
        <f aca="false">IF(ISNUMBER(AL12),AL12*DB12,0)</f>
        <v>125</v>
      </c>
      <c r="ES12" s="28" t="n">
        <f aca="false">IF(ISNUMBER(AP12),AP12*DC12,0)</f>
        <v>112</v>
      </c>
      <c r="ET12" s="28" t="n">
        <f aca="false">IF(ISNUMBER(AT12),AT12*DD12,0)</f>
        <v>0</v>
      </c>
      <c r="EU12" s="28" t="n">
        <f aca="false">IF(ISNUMBER(AX12),AX12*DE12,0)</f>
        <v>0</v>
      </c>
      <c r="EV12" s="28" t="n">
        <f aca="false">IF(ISNUMBER(BB12),BB12*DF12,0)</f>
        <v>0</v>
      </c>
      <c r="EW12" s="28" t="n">
        <f aca="false">IF(ISNUMBER(BF12),BF12*DG12,0)</f>
        <v>0</v>
      </c>
      <c r="EX12" s="28" t="n">
        <f aca="false">IF(ISNUMBER(BJ12),BJ12*DH12,0)</f>
        <v>0</v>
      </c>
      <c r="EY12" s="28" t="n">
        <f aca="false">IF(ISNUMBER(BN12),BN12*DI12,0)</f>
        <v>0</v>
      </c>
      <c r="EZ12" s="28" t="n">
        <f aca="false">IF(ISNUMBER(BR12),BR12*DJ12,0)</f>
        <v>0</v>
      </c>
      <c r="FA12" s="28" t="n">
        <f aca="false">IF(ISNUMBER(R12),CW12,0)</f>
        <v>1</v>
      </c>
      <c r="FB12" s="28" t="n">
        <f aca="false">IF(ISNUMBER(V12),CX12,0)</f>
        <v>1</v>
      </c>
      <c r="FC12" s="28" t="n">
        <f aca="false">IF(ISNUMBER(Z12),CY12,0)</f>
        <v>1</v>
      </c>
      <c r="FD12" s="28" t="n">
        <f aca="false">IF(ISNUMBER(AD12),CZ12,0)</f>
        <v>1</v>
      </c>
      <c r="FE12" s="28" t="n">
        <f aca="false">IF(ISNUMBER(AH12),DA12,0)</f>
        <v>1</v>
      </c>
      <c r="FF12" s="28" t="n">
        <f aca="false">IF(ISNUMBER(AL12),DB12,0)</f>
        <v>2</v>
      </c>
      <c r="FG12" s="28" t="n">
        <f aca="false">IF(ISNUMBER(AP12),DC12,0)</f>
        <v>2</v>
      </c>
      <c r="FH12" s="28" t="n">
        <f aca="false">IF(ISNUMBER(AT12),DD12,0)</f>
        <v>0</v>
      </c>
      <c r="FI12" s="28" t="n">
        <f aca="false">IF(ISNUMBER(AX12),DE12,0)</f>
        <v>0</v>
      </c>
      <c r="FJ12" s="28" t="n">
        <f aca="false">IF(ISNUMBER(BB12),DF12,0)</f>
        <v>0</v>
      </c>
      <c r="FK12" s="28" t="n">
        <f aca="false">IF(ISNUMBER(BF12),DG12,0)</f>
        <v>0</v>
      </c>
      <c r="FL12" s="28" t="n">
        <f aca="false">IF(ISNUMBER(BJ12),DH12,0)</f>
        <v>0</v>
      </c>
      <c r="FM12" s="28" t="n">
        <f aca="false">IF(ISNUMBER(BN12),DI12,0)</f>
        <v>0</v>
      </c>
      <c r="FN12" s="28" t="n">
        <f aca="false">IF(ISNUMBER(BR12),DJ12,0)</f>
        <v>0</v>
      </c>
      <c r="FO12" s="28" t="str">
        <f aca="false">IFERROR(INDEX(Lists!$G$2:$G$20,MATCH($I12&amp;"|"&amp;$J12,Lists!$F$2:$F$20,0)),"")</f>
        <v>Geog Overall HL</v>
      </c>
    </row>
    <row r="13" customFormat="false" ht="19.5" hidden="false" customHeight="true" outlineLevel="0" collapsed="false">
      <c r="A13" s="29" t="s">
        <v>157</v>
      </c>
      <c r="B13" s="29" t="s">
        <v>158</v>
      </c>
      <c r="C13" s="30" t="s">
        <v>152</v>
      </c>
      <c r="D13" s="30" t="s">
        <v>153</v>
      </c>
      <c r="E13" s="31" t="n">
        <v>6.5</v>
      </c>
      <c r="F13" s="30" t="n">
        <v>7</v>
      </c>
      <c r="G13" s="30"/>
      <c r="H13" s="32" t="s">
        <v>23</v>
      </c>
      <c r="I13" s="33" t="s">
        <v>24</v>
      </c>
      <c r="J13" s="32" t="s">
        <v>25</v>
      </c>
      <c r="K13" s="34" t="n">
        <f aca="false">IF(OR(M13="",$E13=""),"",M13-$E13)</f>
        <v>-0.5</v>
      </c>
      <c r="L13" s="35" t="n">
        <f aca="false">IF(SUM(FA13:FN13)=0,"",SUM(EM13:EZ13)/SUM(FA13:FN13))</f>
        <v>68.7777777777778</v>
      </c>
      <c r="M13" s="36" t="n">
        <f aca="false">IF(OR(L13="",FO13=""),"",IFERROR(MATCH(L13,INDEX(Boundaries!$B$2:$I$30,MATCH(FO13,Boundaries!$A$2:$A$30,0),0),1)-1,""))</f>
        <v>6</v>
      </c>
      <c r="N13" s="37" t="n">
        <f aca="false">IF(COUNT($DY13:$EL13)&lt;2,"",INDEX($DK13:$DX13,MAX($DY13:$EL13))-INDEX($DK13:$DX13,MIN($DY13:$EL13)))</f>
        <v>-2</v>
      </c>
      <c r="O13" s="37" t="n">
        <f aca="false">IF(COUNT($DY13:$EL13)&lt;2,"",INDEX($DK13:$DX13,MAX($DY13:$EL13))-INDEX($DK13:$DX13,LARGE($DY13:$EL13,2)))</f>
        <v>0</v>
      </c>
      <c r="P13" s="38" t="str">
        <f aca="false">IF(K13="","",IF(K13&gt;=0,"On/above target",IF(AND(N13&lt;&gt;"",N13&gt;=0.5),"Improving towards target",IF(AND(O13&lt;&gt;"",O13&lt;=-0.5),"Declining","Stable below target"))))</f>
        <v>Stable below target</v>
      </c>
      <c r="Q13" s="39" t="n">
        <v>15</v>
      </c>
      <c r="R13" s="40" t="n">
        <f aca="false">IF(OR(Q13="",BU13=""),"",Q13/BU13*100)</f>
        <v>75</v>
      </c>
      <c r="S13" s="41" t="n">
        <f aca="false">IF(R13="","",IFERROR(MATCH(R13,INDEX(Boundaries!$B$2:$I$30,MATCH(CI13,Boundaries!$A$2:$A$30,0),0),1)-1,""))</f>
        <v>7</v>
      </c>
      <c r="T13" s="42" t="n">
        <f aca="false">IF(OR(S13="",$E13=""),"",S13-$E13)</f>
        <v>0.5</v>
      </c>
      <c r="U13" s="39" t="n">
        <v>13</v>
      </c>
      <c r="V13" s="40" t="n">
        <f aca="false">IF(OR(U13="",BV13=""),"",U13/BV13*100)</f>
        <v>65</v>
      </c>
      <c r="W13" s="41" t="n">
        <f aca="false">IF(V13="","",IFERROR(MATCH(V13,INDEX(Boundaries!$B$2:$I$30,MATCH(CJ13,Boundaries!$A$2:$A$30,0),0),1)-1,""))</f>
        <v>6</v>
      </c>
      <c r="X13" s="42" t="n">
        <f aca="false">IF(OR(W13="",$E13=""),"",W13-$E13)</f>
        <v>-0.5</v>
      </c>
      <c r="Y13" s="39" t="n">
        <v>17</v>
      </c>
      <c r="Z13" s="40" t="n">
        <f aca="false">IF(OR(Y13="",BW13=""),"",Y13/BW13*100)</f>
        <v>85</v>
      </c>
      <c r="AA13" s="41" t="n">
        <f aca="false">IF(Z13="","",IFERROR(MATCH(Z13,INDEX(Boundaries!$B$2:$I$30,MATCH(CK13,Boundaries!$A$2:$A$30,0),0),1)-1,""))</f>
        <v>7</v>
      </c>
      <c r="AB13" s="42" t="n">
        <f aca="false">IF(OR(AA13="",$E13=""),"",AA13-$E13)</f>
        <v>0.5</v>
      </c>
      <c r="AC13" s="39" t="n">
        <v>15</v>
      </c>
      <c r="AD13" s="40" t="n">
        <f aca="false">IF(OR(AC13="",BX13=""),"",AC13/BX13*100)</f>
        <v>75</v>
      </c>
      <c r="AE13" s="41" t="n">
        <f aca="false">IF(AD13="","",IFERROR(MATCH(AD13,INDEX(Boundaries!$B$2:$I$30,MATCH(CL13,Boundaries!$A$2:$A$30,0),0),1)-1,""))</f>
        <v>7</v>
      </c>
      <c r="AF13" s="42" t="n">
        <f aca="false">IF(OR(AE13="",$E13=""),"",AE13-$E13)</f>
        <v>0.5</v>
      </c>
      <c r="AG13" s="39" t="n">
        <v>15</v>
      </c>
      <c r="AH13" s="40" t="n">
        <f aca="false">IF(OR(AG13="",BY13=""),"",AG13/BY13*100)</f>
        <v>75</v>
      </c>
      <c r="AI13" s="41" t="n">
        <f aca="false">IF(AH13="","",IFERROR(MATCH(AH13,INDEX(Boundaries!$B$2:$I$30,MATCH(CM13,Boundaries!$A$2:$A$30,0),0),1)-1,""))</f>
        <v>7</v>
      </c>
      <c r="AJ13" s="42" t="n">
        <f aca="false">IF(OR(AI13="",$E13=""),"",AI13-$E13)</f>
        <v>0.5</v>
      </c>
      <c r="AK13" s="39" t="n">
        <v>24</v>
      </c>
      <c r="AL13" s="40" t="n">
        <f aca="false">IF(OR(AK13="",BZ13=""),"",AK13/BZ13*100)</f>
        <v>60</v>
      </c>
      <c r="AM13" s="41" t="n">
        <f aca="false">IF(AL13="","",IFERROR(MATCH(AL13,INDEX(Boundaries!$B$2:$I$30,MATCH(CN13,Boundaries!$A$2:$A$30,0),0),1)-1,""))</f>
        <v>5</v>
      </c>
      <c r="AN13" s="42" t="n">
        <f aca="false">IF(OR(AM13="",$E13=""),"",AM13-$E13)</f>
        <v>-1.5</v>
      </c>
      <c r="AO13" s="39" t="n">
        <v>31</v>
      </c>
      <c r="AP13" s="40" t="n">
        <f aca="false">IF(OR(AO13="",CA13=""),"",AO13/CA13*100)</f>
        <v>62</v>
      </c>
      <c r="AQ13" s="41" t="n">
        <f aca="false">IF(AP13="","",IFERROR(MATCH(AP13,INDEX(Boundaries!$B$2:$I$30,MATCH(CO13,Boundaries!$A$2:$A$30,0),0),1)-1,""))</f>
        <v>5</v>
      </c>
      <c r="AR13" s="42" t="n">
        <f aca="false">IF(OR(AQ13="",$E13=""),"",AQ13-$E13)</f>
        <v>-1.5</v>
      </c>
      <c r="AS13" s="39"/>
      <c r="AT13" s="40" t="str">
        <f aca="false">IF(OR(AS13="",CB13=""),"",AS13/CB13*100)</f>
        <v/>
      </c>
      <c r="AU13" s="41" t="str">
        <f aca="false">IF(AT13="","",IFERROR(MATCH(AT13,INDEX(Boundaries!$B$2:$I$30,MATCH(CP13,Boundaries!$A$2:$A$30,0),0),1)-1,""))</f>
        <v/>
      </c>
      <c r="AV13" s="42" t="str">
        <f aca="false">IF(OR(AU13="",$E13=""),"",AU13-$E13)</f>
        <v/>
      </c>
      <c r="AW13" s="39"/>
      <c r="AX13" s="40" t="str">
        <f aca="false">IF(OR(AW13="",CC13=""),"",AW13/CC13*100)</f>
        <v/>
      </c>
      <c r="AY13" s="41" t="str">
        <f aca="false">IF(AX13="","",IFERROR(MATCH(AX13,INDEX(Boundaries!$B$2:$I$30,MATCH(CQ13,Boundaries!$A$2:$A$30,0),0),1)-1,""))</f>
        <v/>
      </c>
      <c r="AZ13" s="42" t="str">
        <f aca="false">IF(OR(AY13="",$E13=""),"",AY13-$E13)</f>
        <v/>
      </c>
      <c r="BA13" s="39"/>
      <c r="BB13" s="40" t="str">
        <f aca="false">IF(OR(BA13="",CD13=""),"",BA13/CD13*100)</f>
        <v/>
      </c>
      <c r="BC13" s="41" t="str">
        <f aca="false">IF(BB13="","",IFERROR(MATCH(BB13,INDEX(Boundaries!$B$2:$I$30,MATCH(CR13,Boundaries!$A$2:$A$30,0),0),1)-1,""))</f>
        <v/>
      </c>
      <c r="BD13" s="42" t="str">
        <f aca="false">IF(OR(BC13="",$E13=""),"",BC13-$E13)</f>
        <v/>
      </c>
      <c r="BE13" s="39"/>
      <c r="BF13" s="40" t="str">
        <f aca="false">IF(OR(BE13="",CE13=""),"",BE13/CE13*100)</f>
        <v/>
      </c>
      <c r="BG13" s="41" t="str">
        <f aca="false">IF(BF13="","",IFERROR(MATCH(BF13,INDEX(Boundaries!$B$2:$I$30,MATCH(CS13,Boundaries!$A$2:$A$30,0),0),1)-1,""))</f>
        <v/>
      </c>
      <c r="BH13" s="42" t="str">
        <f aca="false">IF(OR(BG13="",$E13=""),"",BG13-$E13)</f>
        <v/>
      </c>
      <c r="BI13" s="39"/>
      <c r="BJ13" s="40" t="str">
        <f aca="false">IF(OR(BI13="",CF13=""),"",BI13/CF13*100)</f>
        <v/>
      </c>
      <c r="BK13" s="41" t="str">
        <f aca="false">IF(BJ13="","",IFERROR(MATCH(BJ13,INDEX(Boundaries!$B$2:$I$30,MATCH(CT13,Boundaries!$A$2:$A$30,0),0),1)-1,""))</f>
        <v/>
      </c>
      <c r="BL13" s="42" t="str">
        <f aca="false">IF(OR(BK13="",$E13=""),"",BK13-$E13)</f>
        <v/>
      </c>
      <c r="BM13" s="39"/>
      <c r="BN13" s="40" t="str">
        <f aca="false">IF(OR(BM13="",CG13=""),"",BM13/CG13*100)</f>
        <v/>
      </c>
      <c r="BO13" s="41" t="str">
        <f aca="false">IF(BN13="","",IFERROR(MATCH(BN13,INDEX(Boundaries!$B$2:$I$30,MATCH(CU13,Boundaries!$A$2:$A$30,0),0),1)-1,""))</f>
        <v/>
      </c>
      <c r="BP13" s="42" t="str">
        <f aca="false">IF(OR(BO13="",$E13=""),"",BO13-$E13)</f>
        <v/>
      </c>
      <c r="BQ13" s="39"/>
      <c r="BR13" s="40" t="str">
        <f aca="false">IF(OR(BQ13="",CH13=""),"",BQ13/CH13*100)</f>
        <v/>
      </c>
      <c r="BS13" s="41" t="str">
        <f aca="false">IF(BR13="","",IFERROR(MATCH(BR13,INDEX(Boundaries!$B$2:$I$30,MATCH(CV13,Boundaries!$A$2:$A$30,0),0),1)-1,""))</f>
        <v/>
      </c>
      <c r="BT13" s="42" t="str">
        <f aca="false">IF(OR(BS13="",$E13=""),"",BS13-$E13)</f>
        <v/>
      </c>
      <c r="BU13" s="28" t="n">
        <f aca="false">IFERROR(INDEX(Assessments!$H$2:$H$600,MATCH($H13&amp;"|"&amp;$I13&amp;"|"&amp;$J13&amp;"|"&amp;1,Assessments!$A$2:$A$600,0)),"")</f>
        <v>20</v>
      </c>
      <c r="BV13" s="28" t="n">
        <f aca="false">IFERROR(INDEX(Assessments!$H$2:$H$600,MATCH($H13&amp;"|"&amp;$I13&amp;"|"&amp;$J13&amp;"|"&amp;2,Assessments!$A$2:$A$600,0)),"")</f>
        <v>20</v>
      </c>
      <c r="BW13" s="28" t="n">
        <f aca="false">IFERROR(INDEX(Assessments!$H$2:$H$600,MATCH($H13&amp;"|"&amp;$I13&amp;"|"&amp;$J13&amp;"|"&amp;3,Assessments!$A$2:$A$600,0)),"")</f>
        <v>20</v>
      </c>
      <c r="BX13" s="28" t="n">
        <f aca="false">IFERROR(INDEX(Assessments!$H$2:$H$600,MATCH($H13&amp;"|"&amp;$I13&amp;"|"&amp;$J13&amp;"|"&amp;4,Assessments!$A$2:$A$600,0)),"")</f>
        <v>20</v>
      </c>
      <c r="BY13" s="28" t="n">
        <f aca="false">IFERROR(INDEX(Assessments!$H$2:$H$600,MATCH($H13&amp;"|"&amp;$I13&amp;"|"&amp;$J13&amp;"|"&amp;5,Assessments!$A$2:$A$600,0)),"")</f>
        <v>20</v>
      </c>
      <c r="BZ13" s="28" t="n">
        <f aca="false">IFERROR(INDEX(Assessments!$H$2:$H$600,MATCH($H13&amp;"|"&amp;$I13&amp;"|"&amp;$J13&amp;"|"&amp;6,Assessments!$A$2:$A$600,0)),"")</f>
        <v>40</v>
      </c>
      <c r="CA13" s="28" t="n">
        <f aca="false">IFERROR(INDEX(Assessments!$H$2:$H$600,MATCH($H13&amp;"|"&amp;$I13&amp;"|"&amp;$J13&amp;"|"&amp;7,Assessments!$A$2:$A$600,0)),"")</f>
        <v>50</v>
      </c>
      <c r="CB13" s="28" t="n">
        <f aca="false">IFERROR(INDEX(Assessments!$H$2:$H$600,MATCH($H13&amp;"|"&amp;$I13&amp;"|"&amp;$J13&amp;"|"&amp;8,Assessments!$A$2:$A$600,0)),"")</f>
        <v>25</v>
      </c>
      <c r="CC13" s="28" t="n">
        <f aca="false">IFERROR(INDEX(Assessments!$H$2:$H$600,MATCH($H13&amp;"|"&amp;$I13&amp;"|"&amp;$J13&amp;"|"&amp;9,Assessments!$A$2:$A$600,0)),"")</f>
        <v>16</v>
      </c>
      <c r="CD13" s="28" t="n">
        <f aca="false">IFERROR(INDEX(Assessments!$H$2:$H$600,MATCH($H13&amp;"|"&amp;$I13&amp;"|"&amp;$J13&amp;"|"&amp;10,Assessments!$A$2:$A$600,0)),"")</f>
        <v>30</v>
      </c>
      <c r="CE13" s="28" t="str">
        <f aca="false">IFERROR(INDEX(Assessments!$H$2:$H$600,MATCH($H13&amp;"|"&amp;$I13&amp;"|"&amp;$J13&amp;"|"&amp;11,Assessments!$A$2:$A$600,0)),"")</f>
        <v/>
      </c>
      <c r="CF13" s="28" t="str">
        <f aca="false">IFERROR(INDEX(Assessments!$H$2:$H$600,MATCH($H13&amp;"|"&amp;$I13&amp;"|"&amp;$J13&amp;"|"&amp;12,Assessments!$A$2:$A$600,0)),"")</f>
        <v/>
      </c>
      <c r="CG13" s="28" t="str">
        <f aca="false">IFERROR(INDEX(Assessments!$H$2:$H$600,MATCH($H13&amp;"|"&amp;$I13&amp;"|"&amp;$J13&amp;"|"&amp;13,Assessments!$A$2:$A$600,0)),"")</f>
        <v/>
      </c>
      <c r="CH13" s="28" t="str">
        <f aca="false">IFERROR(INDEX(Assessments!$H$2:$H$600,MATCH($H13&amp;"|"&amp;$I13&amp;"|"&amp;$J13&amp;"|"&amp;14,Assessments!$A$2:$A$600,0)),"")</f>
        <v/>
      </c>
      <c r="CI13" s="28" t="str">
        <f aca="false">IFERROR(INDEX(Assessments!$I$2:$I$600,MATCH($H13&amp;"|"&amp;$I13&amp;"|"&amp;$J13&amp;"|"&amp;1,Assessments!$A$2:$A$600,0)),"")</f>
        <v>Geog Paper 1</v>
      </c>
      <c r="CJ13" s="28" t="str">
        <f aca="false">IFERROR(INDEX(Assessments!$I$2:$I$600,MATCH($H13&amp;"|"&amp;$I13&amp;"|"&amp;$J13&amp;"|"&amp;2,Assessments!$A$2:$A$600,0)),"")</f>
        <v>Geog Paper 1</v>
      </c>
      <c r="CK13" s="28" t="str">
        <f aca="false">IFERROR(INDEX(Assessments!$I$2:$I$600,MATCH($H13&amp;"|"&amp;$I13&amp;"|"&amp;$J13&amp;"|"&amp;3,Assessments!$A$2:$A$600,0)),"")</f>
        <v>Geog Paper 2</v>
      </c>
      <c r="CL13" s="28" t="str">
        <f aca="false">IFERROR(INDEX(Assessments!$I$2:$I$600,MATCH($H13&amp;"|"&amp;$I13&amp;"|"&amp;$J13&amp;"|"&amp;4,Assessments!$A$2:$A$600,0)),"")</f>
        <v>Geog Paper 1</v>
      </c>
      <c r="CM13" s="28" t="str">
        <f aca="false">IFERROR(INDEX(Assessments!$I$2:$I$600,MATCH($H13&amp;"|"&amp;$I13&amp;"|"&amp;$J13&amp;"|"&amp;5,Assessments!$A$2:$A$600,0)),"")</f>
        <v>Geog Paper 1</v>
      </c>
      <c r="CN13" s="28" t="str">
        <f aca="false">IFERROR(INDEX(Assessments!$I$2:$I$600,MATCH($H13&amp;"|"&amp;$I13&amp;"|"&amp;$J13&amp;"|"&amp;6,Assessments!$A$2:$A$600,0)),"")</f>
        <v>Geog Paper 1</v>
      </c>
      <c r="CO13" s="28" t="str">
        <f aca="false">IFERROR(INDEX(Assessments!$I$2:$I$600,MATCH($H13&amp;"|"&amp;$I13&amp;"|"&amp;$J13&amp;"|"&amp;7,Assessments!$A$2:$A$600,0)),"")</f>
        <v>Geog Paper 2</v>
      </c>
      <c r="CP13" s="28" t="str">
        <f aca="false">IFERROR(INDEX(Assessments!$I$2:$I$600,MATCH($H13&amp;"|"&amp;$I13&amp;"|"&amp;$J13&amp;"|"&amp;8,Assessments!$A$2:$A$600,0)),"")</f>
        <v>Geog Paper 2</v>
      </c>
      <c r="CQ13" s="28" t="str">
        <f aca="false">IFERROR(INDEX(Assessments!$I$2:$I$600,MATCH($H13&amp;"|"&amp;$I13&amp;"|"&amp;$J13&amp;"|"&amp;9,Assessments!$A$2:$A$600,0)),"")</f>
        <v>Geog Paper 3</v>
      </c>
      <c r="CR13" s="28" t="str">
        <f aca="false">IFERROR(INDEX(Assessments!$I$2:$I$600,MATCH($H13&amp;"|"&amp;$I13&amp;"|"&amp;$J13&amp;"|"&amp;10,Assessments!$A$2:$A$600,0)),"")</f>
        <v>Geog Paper 2</v>
      </c>
      <c r="CS13" s="28" t="str">
        <f aca="false">IFERROR(INDEX(Assessments!$I$2:$I$600,MATCH($H13&amp;"|"&amp;$I13&amp;"|"&amp;$J13&amp;"|"&amp;11,Assessments!$A$2:$A$600,0)),"")</f>
        <v/>
      </c>
      <c r="CT13" s="28" t="str">
        <f aca="false">IFERROR(INDEX(Assessments!$I$2:$I$600,MATCH($H13&amp;"|"&amp;$I13&amp;"|"&amp;$J13&amp;"|"&amp;12,Assessments!$A$2:$A$600,0)),"")</f>
        <v/>
      </c>
      <c r="CU13" s="28" t="str">
        <f aca="false">IFERROR(INDEX(Assessments!$I$2:$I$600,MATCH($H13&amp;"|"&amp;$I13&amp;"|"&amp;$J13&amp;"|"&amp;13,Assessments!$A$2:$A$600,0)),"")</f>
        <v/>
      </c>
      <c r="CV13" s="28" t="str">
        <f aca="false">IFERROR(INDEX(Assessments!$I$2:$I$600,MATCH($H13&amp;"|"&amp;$I13&amp;"|"&amp;$J13&amp;"|"&amp;14,Assessments!$A$2:$A$600,0)),"")</f>
        <v/>
      </c>
      <c r="CW13" s="28" t="n">
        <f aca="false">IFERROR(INDEX(Assessments!$J$2:$J$600,MATCH($H13&amp;"|"&amp;$I13&amp;"|"&amp;$J13&amp;"|"&amp;1,Assessments!$A$2:$A$600,0)),0)</f>
        <v>1</v>
      </c>
      <c r="CX13" s="28" t="n">
        <f aca="false">IFERROR(INDEX(Assessments!$J$2:$J$600,MATCH($H13&amp;"|"&amp;$I13&amp;"|"&amp;$J13&amp;"|"&amp;2,Assessments!$A$2:$A$600,0)),0)</f>
        <v>1</v>
      </c>
      <c r="CY13" s="28" t="n">
        <f aca="false">IFERROR(INDEX(Assessments!$J$2:$J$600,MATCH($H13&amp;"|"&amp;$I13&amp;"|"&amp;$J13&amp;"|"&amp;3,Assessments!$A$2:$A$600,0)),0)</f>
        <v>1</v>
      </c>
      <c r="CZ13" s="28" t="n">
        <f aca="false">IFERROR(INDEX(Assessments!$J$2:$J$600,MATCH($H13&amp;"|"&amp;$I13&amp;"|"&amp;$J13&amp;"|"&amp;4,Assessments!$A$2:$A$600,0)),0)</f>
        <v>1</v>
      </c>
      <c r="DA13" s="28" t="n">
        <f aca="false">IFERROR(INDEX(Assessments!$J$2:$J$600,MATCH($H13&amp;"|"&amp;$I13&amp;"|"&amp;$J13&amp;"|"&amp;5,Assessments!$A$2:$A$600,0)),0)</f>
        <v>1</v>
      </c>
      <c r="DB13" s="28" t="n">
        <f aca="false">IFERROR(INDEX(Assessments!$J$2:$J$600,MATCH($H13&amp;"|"&amp;$I13&amp;"|"&amp;$J13&amp;"|"&amp;6,Assessments!$A$2:$A$600,0)),0)</f>
        <v>2</v>
      </c>
      <c r="DC13" s="28" t="n">
        <f aca="false">IFERROR(INDEX(Assessments!$J$2:$J$600,MATCH($H13&amp;"|"&amp;$I13&amp;"|"&amp;$J13&amp;"|"&amp;7,Assessments!$A$2:$A$600,0)),0)</f>
        <v>2</v>
      </c>
      <c r="DD13" s="28" t="n">
        <f aca="false">IFERROR(INDEX(Assessments!$J$2:$J$600,MATCH($H13&amp;"|"&amp;$I13&amp;"|"&amp;$J13&amp;"|"&amp;8,Assessments!$A$2:$A$600,0)),0)</f>
        <v>1</v>
      </c>
      <c r="DE13" s="28" t="n">
        <f aca="false">IFERROR(INDEX(Assessments!$J$2:$J$600,MATCH($H13&amp;"|"&amp;$I13&amp;"|"&amp;$J13&amp;"|"&amp;9,Assessments!$A$2:$A$600,0)),0)</f>
        <v>1</v>
      </c>
      <c r="DF13" s="28" t="n">
        <f aca="false">IFERROR(INDEX(Assessments!$J$2:$J$600,MATCH($H13&amp;"|"&amp;$I13&amp;"|"&amp;$J13&amp;"|"&amp;10,Assessments!$A$2:$A$600,0)),0)</f>
        <v>1</v>
      </c>
      <c r="DG13" s="28" t="n">
        <f aca="false">IFERROR(INDEX(Assessments!$J$2:$J$600,MATCH($H13&amp;"|"&amp;$I13&amp;"|"&amp;$J13&amp;"|"&amp;11,Assessments!$A$2:$A$600,0)),0)</f>
        <v>0</v>
      </c>
      <c r="DH13" s="28" t="n">
        <f aca="false">IFERROR(INDEX(Assessments!$J$2:$J$600,MATCH($H13&amp;"|"&amp;$I13&amp;"|"&amp;$J13&amp;"|"&amp;12,Assessments!$A$2:$A$600,0)),0)</f>
        <v>0</v>
      </c>
      <c r="DI13" s="28" t="n">
        <f aca="false">IFERROR(INDEX(Assessments!$J$2:$J$600,MATCH($H13&amp;"|"&amp;$I13&amp;"|"&amp;$J13&amp;"|"&amp;13,Assessments!$A$2:$A$600,0)),0)</f>
        <v>0</v>
      </c>
      <c r="DJ13" s="28" t="n">
        <f aca="false">IFERROR(INDEX(Assessments!$J$2:$J$600,MATCH($H13&amp;"|"&amp;$I13&amp;"|"&amp;$J13&amp;"|"&amp;14,Assessments!$A$2:$A$600,0)),0)</f>
        <v>0</v>
      </c>
      <c r="DK13" s="28" t="n">
        <f aca="false">S13</f>
        <v>7</v>
      </c>
      <c r="DL13" s="28" t="n">
        <f aca="false">W13</f>
        <v>6</v>
      </c>
      <c r="DM13" s="28" t="n">
        <f aca="false">AA13</f>
        <v>7</v>
      </c>
      <c r="DN13" s="28" t="n">
        <f aca="false">AE13</f>
        <v>7</v>
      </c>
      <c r="DO13" s="28" t="n">
        <f aca="false">AI13</f>
        <v>7</v>
      </c>
      <c r="DP13" s="28" t="n">
        <f aca="false">AM13</f>
        <v>5</v>
      </c>
      <c r="DQ13" s="28" t="n">
        <f aca="false">AQ13</f>
        <v>5</v>
      </c>
      <c r="DR13" s="28" t="str">
        <f aca="false">AU13</f>
        <v/>
      </c>
      <c r="DS13" s="28" t="str">
        <f aca="false">AY13</f>
        <v/>
      </c>
      <c r="DT13" s="28" t="str">
        <f aca="false">BC13</f>
        <v/>
      </c>
      <c r="DU13" s="28" t="str">
        <f aca="false">BG13</f>
        <v/>
      </c>
      <c r="DV13" s="28" t="str">
        <f aca="false">BK13</f>
        <v/>
      </c>
      <c r="DW13" s="28" t="str">
        <f aca="false">BO13</f>
        <v/>
      </c>
      <c r="DX13" s="28" t="str">
        <f aca="false">BS13</f>
        <v/>
      </c>
      <c r="DY13" s="28" t="n">
        <f aca="false">IF(ISNUMBER(S13),1,"")</f>
        <v>1</v>
      </c>
      <c r="DZ13" s="28" t="n">
        <f aca="false">IF(ISNUMBER(W13),2,"")</f>
        <v>2</v>
      </c>
      <c r="EA13" s="28" t="n">
        <f aca="false">IF(ISNUMBER(AA13),3,"")</f>
        <v>3</v>
      </c>
      <c r="EB13" s="28" t="n">
        <f aca="false">IF(ISNUMBER(AE13),4,"")</f>
        <v>4</v>
      </c>
      <c r="EC13" s="28" t="n">
        <f aca="false">IF(ISNUMBER(AI13),5,"")</f>
        <v>5</v>
      </c>
      <c r="ED13" s="28" t="n">
        <f aca="false">IF(ISNUMBER(AM13),6,"")</f>
        <v>6</v>
      </c>
      <c r="EE13" s="28" t="n">
        <f aca="false">IF(ISNUMBER(AQ13),7,"")</f>
        <v>7</v>
      </c>
      <c r="EF13" s="28" t="str">
        <f aca="false">IF(ISNUMBER(AU13),8,"")</f>
        <v/>
      </c>
      <c r="EG13" s="28" t="str">
        <f aca="false">IF(ISNUMBER(AY13),9,"")</f>
        <v/>
      </c>
      <c r="EH13" s="28" t="str">
        <f aca="false">IF(ISNUMBER(BC13),10,"")</f>
        <v/>
      </c>
      <c r="EI13" s="28" t="str">
        <f aca="false">IF(ISNUMBER(BG13),11,"")</f>
        <v/>
      </c>
      <c r="EJ13" s="28" t="str">
        <f aca="false">IF(ISNUMBER(BK13),12,"")</f>
        <v/>
      </c>
      <c r="EK13" s="28" t="str">
        <f aca="false">IF(ISNUMBER(BO13),13,"")</f>
        <v/>
      </c>
      <c r="EL13" s="28" t="str">
        <f aca="false">IF(ISNUMBER(BS13),14,"")</f>
        <v/>
      </c>
      <c r="EM13" s="28" t="n">
        <f aca="false">IF(ISNUMBER(R13),R13*CW13,0)</f>
        <v>75</v>
      </c>
      <c r="EN13" s="28" t="n">
        <f aca="false">IF(ISNUMBER(V13),V13*CX13,0)</f>
        <v>65</v>
      </c>
      <c r="EO13" s="28" t="n">
        <f aca="false">IF(ISNUMBER(Z13),Z13*CY13,0)</f>
        <v>85</v>
      </c>
      <c r="EP13" s="28" t="n">
        <f aca="false">IF(ISNUMBER(AD13),AD13*CZ13,0)</f>
        <v>75</v>
      </c>
      <c r="EQ13" s="28" t="n">
        <f aca="false">IF(ISNUMBER(AH13),AH13*DA13,0)</f>
        <v>75</v>
      </c>
      <c r="ER13" s="28" t="n">
        <f aca="false">IF(ISNUMBER(AL13),AL13*DB13,0)</f>
        <v>120</v>
      </c>
      <c r="ES13" s="28" t="n">
        <f aca="false">IF(ISNUMBER(AP13),AP13*DC13,0)</f>
        <v>124</v>
      </c>
      <c r="ET13" s="28" t="n">
        <f aca="false">IF(ISNUMBER(AT13),AT13*DD13,0)</f>
        <v>0</v>
      </c>
      <c r="EU13" s="28" t="n">
        <f aca="false">IF(ISNUMBER(AX13),AX13*DE13,0)</f>
        <v>0</v>
      </c>
      <c r="EV13" s="28" t="n">
        <f aca="false">IF(ISNUMBER(BB13),BB13*DF13,0)</f>
        <v>0</v>
      </c>
      <c r="EW13" s="28" t="n">
        <f aca="false">IF(ISNUMBER(BF13),BF13*DG13,0)</f>
        <v>0</v>
      </c>
      <c r="EX13" s="28" t="n">
        <f aca="false">IF(ISNUMBER(BJ13),BJ13*DH13,0)</f>
        <v>0</v>
      </c>
      <c r="EY13" s="28" t="n">
        <f aca="false">IF(ISNUMBER(BN13),BN13*DI13,0)</f>
        <v>0</v>
      </c>
      <c r="EZ13" s="28" t="n">
        <f aca="false">IF(ISNUMBER(BR13),BR13*DJ13,0)</f>
        <v>0</v>
      </c>
      <c r="FA13" s="28" t="n">
        <f aca="false">IF(ISNUMBER(R13),CW13,0)</f>
        <v>1</v>
      </c>
      <c r="FB13" s="28" t="n">
        <f aca="false">IF(ISNUMBER(V13),CX13,0)</f>
        <v>1</v>
      </c>
      <c r="FC13" s="28" t="n">
        <f aca="false">IF(ISNUMBER(Z13),CY13,0)</f>
        <v>1</v>
      </c>
      <c r="FD13" s="28" t="n">
        <f aca="false">IF(ISNUMBER(AD13),CZ13,0)</f>
        <v>1</v>
      </c>
      <c r="FE13" s="28" t="n">
        <f aca="false">IF(ISNUMBER(AH13),DA13,0)</f>
        <v>1</v>
      </c>
      <c r="FF13" s="28" t="n">
        <f aca="false">IF(ISNUMBER(AL13),DB13,0)</f>
        <v>2</v>
      </c>
      <c r="FG13" s="28" t="n">
        <f aca="false">IF(ISNUMBER(AP13),DC13,0)</f>
        <v>2</v>
      </c>
      <c r="FH13" s="28" t="n">
        <f aca="false">IF(ISNUMBER(AT13),DD13,0)</f>
        <v>0</v>
      </c>
      <c r="FI13" s="28" t="n">
        <f aca="false">IF(ISNUMBER(AX13),DE13,0)</f>
        <v>0</v>
      </c>
      <c r="FJ13" s="28" t="n">
        <f aca="false">IF(ISNUMBER(BB13),DF13,0)</f>
        <v>0</v>
      </c>
      <c r="FK13" s="28" t="n">
        <f aca="false">IF(ISNUMBER(BF13),DG13,0)</f>
        <v>0</v>
      </c>
      <c r="FL13" s="28" t="n">
        <f aca="false">IF(ISNUMBER(BJ13),DH13,0)</f>
        <v>0</v>
      </c>
      <c r="FM13" s="28" t="n">
        <f aca="false">IF(ISNUMBER(BN13),DI13,0)</f>
        <v>0</v>
      </c>
      <c r="FN13" s="28" t="n">
        <f aca="false">IF(ISNUMBER(BR13),DJ13,0)</f>
        <v>0</v>
      </c>
      <c r="FO13" s="28" t="str">
        <f aca="false">IFERROR(INDEX(Lists!$G$2:$G$20,MATCH($I13&amp;"|"&amp;$J13,Lists!$F$2:$F$20,0)),"")</f>
        <v>Geog Overall HL</v>
      </c>
    </row>
    <row r="14" customFormat="false" ht="19.5" hidden="false" customHeight="true" outlineLevel="0" collapsed="false">
      <c r="A14" s="29" t="s">
        <v>159</v>
      </c>
      <c r="B14" s="29" t="s">
        <v>160</v>
      </c>
      <c r="C14" s="30" t="s">
        <v>152</v>
      </c>
      <c r="D14" s="30" t="s">
        <v>153</v>
      </c>
      <c r="E14" s="31" t="n">
        <v>5.9</v>
      </c>
      <c r="F14" s="30" t="n">
        <v>6</v>
      </c>
      <c r="G14" s="30"/>
      <c r="H14" s="32" t="s">
        <v>23</v>
      </c>
      <c r="I14" s="33" t="s">
        <v>24</v>
      </c>
      <c r="J14" s="32" t="s">
        <v>25</v>
      </c>
      <c r="K14" s="34" t="n">
        <f aca="false">IF(OR(M14="",$E14=""),"",M14-$E14)</f>
        <v>0.0999999999999996</v>
      </c>
      <c r="L14" s="35" t="n">
        <f aca="false">IF(SUM(FA14:FN14)=0,"",SUM(EM14:EZ14)/SUM(FA14:FN14))</f>
        <v>68.2222222222222</v>
      </c>
      <c r="M14" s="36" t="n">
        <f aca="false">IF(OR(L14="",FO14=""),"",IFERROR(MATCH(L14,INDEX(Boundaries!$B$2:$I$30,MATCH(FO14,Boundaries!$A$2:$A$30,0),0),1)-1,""))</f>
        <v>6</v>
      </c>
      <c r="N14" s="37" t="n">
        <f aca="false">IF(COUNT($DY14:$EL14)&lt;2,"",INDEX($DK14:$DX14,MAX($DY14:$EL14))-INDEX($DK14:$DX14,MIN($DY14:$EL14)))</f>
        <v>-3</v>
      </c>
      <c r="O14" s="37" t="n">
        <f aca="false">IF(COUNT($DY14:$EL14)&lt;2,"",INDEX($DK14:$DX14,MAX($DY14:$EL14))-INDEX($DK14:$DX14,LARGE($DY14:$EL14,2)))</f>
        <v>-1</v>
      </c>
      <c r="P14" s="38" t="str">
        <f aca="false">IF(K14="","",IF(K14&gt;=0,"On/above target",IF(AND(N14&lt;&gt;"",N14&gt;=0.5),"Improving towards target",IF(AND(O14&lt;&gt;"",O14&lt;=-0.5),"Declining","Stable below target"))))</f>
        <v>On/above target</v>
      </c>
      <c r="Q14" s="39" t="n">
        <v>19</v>
      </c>
      <c r="R14" s="40" t="n">
        <f aca="false">IF(OR(Q14="",BU14=""),"",Q14/BU14*100)</f>
        <v>95</v>
      </c>
      <c r="S14" s="41" t="n">
        <f aca="false">IF(R14="","",IFERROR(MATCH(R14,INDEX(Boundaries!$B$2:$I$30,MATCH(CI14,Boundaries!$A$2:$A$30,0),0),1)-1,""))</f>
        <v>7</v>
      </c>
      <c r="T14" s="42" t="n">
        <f aca="false">IF(OR(S14="",$E14=""),"",S14-$E14)</f>
        <v>1.1</v>
      </c>
      <c r="U14" s="39" t="n">
        <v>15</v>
      </c>
      <c r="V14" s="40" t="n">
        <f aca="false">IF(OR(U14="",BV14=""),"",U14/BV14*100)</f>
        <v>75</v>
      </c>
      <c r="W14" s="41" t="n">
        <f aca="false">IF(V14="","",IFERROR(MATCH(V14,INDEX(Boundaries!$B$2:$I$30,MATCH(CJ14,Boundaries!$A$2:$A$30,0),0),1)-1,""))</f>
        <v>7</v>
      </c>
      <c r="X14" s="42" t="n">
        <f aca="false">IF(OR(W14="",$E14=""),"",W14-$E14)</f>
        <v>1.1</v>
      </c>
      <c r="Y14" s="39" t="n">
        <v>14</v>
      </c>
      <c r="Z14" s="40" t="n">
        <f aca="false">IF(OR(Y14="",BW14=""),"",Y14/BW14*100)</f>
        <v>70</v>
      </c>
      <c r="AA14" s="41" t="n">
        <f aca="false">IF(Z14="","",IFERROR(MATCH(Z14,INDEX(Boundaries!$B$2:$I$30,MATCH(CK14,Boundaries!$A$2:$A$30,0),0),1)-1,""))</f>
        <v>6</v>
      </c>
      <c r="AB14" s="42" t="n">
        <f aca="false">IF(OR(AA14="",$E14=""),"",AA14-$E14)</f>
        <v>0.0999999999999996</v>
      </c>
      <c r="AC14" s="39" t="n">
        <v>14</v>
      </c>
      <c r="AD14" s="40" t="n">
        <f aca="false">IF(OR(AC14="",BX14=""),"",AC14/BX14*100)</f>
        <v>70</v>
      </c>
      <c r="AE14" s="41" t="n">
        <f aca="false">IF(AD14="","",IFERROR(MATCH(AD14,INDEX(Boundaries!$B$2:$I$30,MATCH(CL14,Boundaries!$A$2:$A$30,0),0),1)-1,""))</f>
        <v>6</v>
      </c>
      <c r="AF14" s="42" t="n">
        <f aca="false">IF(OR(AE14="",$E14=""),"",AE14-$E14)</f>
        <v>0.0999999999999996</v>
      </c>
      <c r="AG14" s="39" t="n">
        <v>16</v>
      </c>
      <c r="AH14" s="40" t="n">
        <f aca="false">IF(OR(AG14="",BY14=""),"",AG14/BY14*100)</f>
        <v>80</v>
      </c>
      <c r="AI14" s="41" t="n">
        <f aca="false">IF(AH14="","",IFERROR(MATCH(AH14,INDEX(Boundaries!$B$2:$I$30,MATCH(CM14,Boundaries!$A$2:$A$30,0),0),1)-1,""))</f>
        <v>7</v>
      </c>
      <c r="AJ14" s="42" t="n">
        <f aca="false">IF(OR(AI14="",$E14=""),"",AI14-$E14)</f>
        <v>1.1</v>
      </c>
      <c r="AK14" s="39" t="n">
        <v>24</v>
      </c>
      <c r="AL14" s="40" t="n">
        <f aca="false">IF(OR(AK14="",BZ14=""),"",AK14/BZ14*100)</f>
        <v>60</v>
      </c>
      <c r="AM14" s="41" t="n">
        <f aca="false">IF(AL14="","",IFERROR(MATCH(AL14,INDEX(Boundaries!$B$2:$I$30,MATCH(CN14,Boundaries!$A$2:$A$30,0),0),1)-1,""))</f>
        <v>5</v>
      </c>
      <c r="AN14" s="42" t="n">
        <f aca="false">IF(OR(AM14="",$E14=""),"",AM14-$E14)</f>
        <v>-0.9</v>
      </c>
      <c r="AO14" s="39" t="n">
        <v>26</v>
      </c>
      <c r="AP14" s="40" t="n">
        <f aca="false">IF(OR(AO14="",CA14=""),"",AO14/CA14*100)</f>
        <v>52</v>
      </c>
      <c r="AQ14" s="41" t="n">
        <f aca="false">IF(AP14="","",IFERROR(MATCH(AP14,INDEX(Boundaries!$B$2:$I$30,MATCH(CO14,Boundaries!$A$2:$A$30,0),0),1)-1,""))</f>
        <v>4</v>
      </c>
      <c r="AR14" s="42" t="n">
        <f aca="false">IF(OR(AQ14="",$E14=""),"",AQ14-$E14)</f>
        <v>-1.9</v>
      </c>
      <c r="AS14" s="39"/>
      <c r="AT14" s="40" t="str">
        <f aca="false">IF(OR(AS14="",CB14=""),"",AS14/CB14*100)</f>
        <v/>
      </c>
      <c r="AU14" s="41" t="str">
        <f aca="false">IF(AT14="","",IFERROR(MATCH(AT14,INDEX(Boundaries!$B$2:$I$30,MATCH(CP14,Boundaries!$A$2:$A$30,0),0),1)-1,""))</f>
        <v/>
      </c>
      <c r="AV14" s="42" t="str">
        <f aca="false">IF(OR(AU14="",$E14=""),"",AU14-$E14)</f>
        <v/>
      </c>
      <c r="AW14" s="39"/>
      <c r="AX14" s="40" t="str">
        <f aca="false">IF(OR(AW14="",CC14=""),"",AW14/CC14*100)</f>
        <v/>
      </c>
      <c r="AY14" s="41" t="str">
        <f aca="false">IF(AX14="","",IFERROR(MATCH(AX14,INDEX(Boundaries!$B$2:$I$30,MATCH(CQ14,Boundaries!$A$2:$A$30,0),0),1)-1,""))</f>
        <v/>
      </c>
      <c r="AZ14" s="42" t="str">
        <f aca="false">IF(OR(AY14="",$E14=""),"",AY14-$E14)</f>
        <v/>
      </c>
      <c r="BA14" s="39"/>
      <c r="BB14" s="40" t="str">
        <f aca="false">IF(OR(BA14="",CD14=""),"",BA14/CD14*100)</f>
        <v/>
      </c>
      <c r="BC14" s="41" t="str">
        <f aca="false">IF(BB14="","",IFERROR(MATCH(BB14,INDEX(Boundaries!$B$2:$I$30,MATCH(CR14,Boundaries!$A$2:$A$30,0),0),1)-1,""))</f>
        <v/>
      </c>
      <c r="BD14" s="42" t="str">
        <f aca="false">IF(OR(BC14="",$E14=""),"",BC14-$E14)</f>
        <v/>
      </c>
      <c r="BE14" s="39"/>
      <c r="BF14" s="40" t="str">
        <f aca="false">IF(OR(BE14="",CE14=""),"",BE14/CE14*100)</f>
        <v/>
      </c>
      <c r="BG14" s="41" t="str">
        <f aca="false">IF(BF14="","",IFERROR(MATCH(BF14,INDEX(Boundaries!$B$2:$I$30,MATCH(CS14,Boundaries!$A$2:$A$30,0),0),1)-1,""))</f>
        <v/>
      </c>
      <c r="BH14" s="42" t="str">
        <f aca="false">IF(OR(BG14="",$E14=""),"",BG14-$E14)</f>
        <v/>
      </c>
      <c r="BI14" s="39"/>
      <c r="BJ14" s="40" t="str">
        <f aca="false">IF(OR(BI14="",CF14=""),"",BI14/CF14*100)</f>
        <v/>
      </c>
      <c r="BK14" s="41" t="str">
        <f aca="false">IF(BJ14="","",IFERROR(MATCH(BJ14,INDEX(Boundaries!$B$2:$I$30,MATCH(CT14,Boundaries!$A$2:$A$30,0),0),1)-1,""))</f>
        <v/>
      </c>
      <c r="BL14" s="42" t="str">
        <f aca="false">IF(OR(BK14="",$E14=""),"",BK14-$E14)</f>
        <v/>
      </c>
      <c r="BM14" s="39"/>
      <c r="BN14" s="40" t="str">
        <f aca="false">IF(OR(BM14="",CG14=""),"",BM14/CG14*100)</f>
        <v/>
      </c>
      <c r="BO14" s="41" t="str">
        <f aca="false">IF(BN14="","",IFERROR(MATCH(BN14,INDEX(Boundaries!$B$2:$I$30,MATCH(CU14,Boundaries!$A$2:$A$30,0),0),1)-1,""))</f>
        <v/>
      </c>
      <c r="BP14" s="42" t="str">
        <f aca="false">IF(OR(BO14="",$E14=""),"",BO14-$E14)</f>
        <v/>
      </c>
      <c r="BQ14" s="39"/>
      <c r="BR14" s="40" t="str">
        <f aca="false">IF(OR(BQ14="",CH14=""),"",BQ14/CH14*100)</f>
        <v/>
      </c>
      <c r="BS14" s="41" t="str">
        <f aca="false">IF(BR14="","",IFERROR(MATCH(BR14,INDEX(Boundaries!$B$2:$I$30,MATCH(CV14,Boundaries!$A$2:$A$30,0),0),1)-1,""))</f>
        <v/>
      </c>
      <c r="BT14" s="42" t="str">
        <f aca="false">IF(OR(BS14="",$E14=""),"",BS14-$E14)</f>
        <v/>
      </c>
      <c r="BU14" s="28" t="n">
        <f aca="false">IFERROR(INDEX(Assessments!$H$2:$H$600,MATCH($H14&amp;"|"&amp;$I14&amp;"|"&amp;$J14&amp;"|"&amp;1,Assessments!$A$2:$A$600,0)),"")</f>
        <v>20</v>
      </c>
      <c r="BV14" s="28" t="n">
        <f aca="false">IFERROR(INDEX(Assessments!$H$2:$H$600,MATCH($H14&amp;"|"&amp;$I14&amp;"|"&amp;$J14&amp;"|"&amp;2,Assessments!$A$2:$A$600,0)),"")</f>
        <v>20</v>
      </c>
      <c r="BW14" s="28" t="n">
        <f aca="false">IFERROR(INDEX(Assessments!$H$2:$H$600,MATCH($H14&amp;"|"&amp;$I14&amp;"|"&amp;$J14&amp;"|"&amp;3,Assessments!$A$2:$A$600,0)),"")</f>
        <v>20</v>
      </c>
      <c r="BX14" s="28" t="n">
        <f aca="false">IFERROR(INDEX(Assessments!$H$2:$H$600,MATCH($H14&amp;"|"&amp;$I14&amp;"|"&amp;$J14&amp;"|"&amp;4,Assessments!$A$2:$A$600,0)),"")</f>
        <v>20</v>
      </c>
      <c r="BY14" s="28" t="n">
        <f aca="false">IFERROR(INDEX(Assessments!$H$2:$H$600,MATCH($H14&amp;"|"&amp;$I14&amp;"|"&amp;$J14&amp;"|"&amp;5,Assessments!$A$2:$A$600,0)),"")</f>
        <v>20</v>
      </c>
      <c r="BZ14" s="28" t="n">
        <f aca="false">IFERROR(INDEX(Assessments!$H$2:$H$600,MATCH($H14&amp;"|"&amp;$I14&amp;"|"&amp;$J14&amp;"|"&amp;6,Assessments!$A$2:$A$600,0)),"")</f>
        <v>40</v>
      </c>
      <c r="CA14" s="28" t="n">
        <f aca="false">IFERROR(INDEX(Assessments!$H$2:$H$600,MATCH($H14&amp;"|"&amp;$I14&amp;"|"&amp;$J14&amp;"|"&amp;7,Assessments!$A$2:$A$600,0)),"")</f>
        <v>50</v>
      </c>
      <c r="CB14" s="28" t="n">
        <f aca="false">IFERROR(INDEX(Assessments!$H$2:$H$600,MATCH($H14&amp;"|"&amp;$I14&amp;"|"&amp;$J14&amp;"|"&amp;8,Assessments!$A$2:$A$600,0)),"")</f>
        <v>25</v>
      </c>
      <c r="CC14" s="28" t="n">
        <f aca="false">IFERROR(INDEX(Assessments!$H$2:$H$600,MATCH($H14&amp;"|"&amp;$I14&amp;"|"&amp;$J14&amp;"|"&amp;9,Assessments!$A$2:$A$600,0)),"")</f>
        <v>16</v>
      </c>
      <c r="CD14" s="28" t="n">
        <f aca="false">IFERROR(INDEX(Assessments!$H$2:$H$600,MATCH($H14&amp;"|"&amp;$I14&amp;"|"&amp;$J14&amp;"|"&amp;10,Assessments!$A$2:$A$600,0)),"")</f>
        <v>30</v>
      </c>
      <c r="CE14" s="28" t="str">
        <f aca="false">IFERROR(INDEX(Assessments!$H$2:$H$600,MATCH($H14&amp;"|"&amp;$I14&amp;"|"&amp;$J14&amp;"|"&amp;11,Assessments!$A$2:$A$600,0)),"")</f>
        <v/>
      </c>
      <c r="CF14" s="28" t="str">
        <f aca="false">IFERROR(INDEX(Assessments!$H$2:$H$600,MATCH($H14&amp;"|"&amp;$I14&amp;"|"&amp;$J14&amp;"|"&amp;12,Assessments!$A$2:$A$600,0)),"")</f>
        <v/>
      </c>
      <c r="CG14" s="28" t="str">
        <f aca="false">IFERROR(INDEX(Assessments!$H$2:$H$600,MATCH($H14&amp;"|"&amp;$I14&amp;"|"&amp;$J14&amp;"|"&amp;13,Assessments!$A$2:$A$600,0)),"")</f>
        <v/>
      </c>
      <c r="CH14" s="28" t="str">
        <f aca="false">IFERROR(INDEX(Assessments!$H$2:$H$600,MATCH($H14&amp;"|"&amp;$I14&amp;"|"&amp;$J14&amp;"|"&amp;14,Assessments!$A$2:$A$600,0)),"")</f>
        <v/>
      </c>
      <c r="CI14" s="28" t="str">
        <f aca="false">IFERROR(INDEX(Assessments!$I$2:$I$600,MATCH($H14&amp;"|"&amp;$I14&amp;"|"&amp;$J14&amp;"|"&amp;1,Assessments!$A$2:$A$600,0)),"")</f>
        <v>Geog Paper 1</v>
      </c>
      <c r="CJ14" s="28" t="str">
        <f aca="false">IFERROR(INDEX(Assessments!$I$2:$I$600,MATCH($H14&amp;"|"&amp;$I14&amp;"|"&amp;$J14&amp;"|"&amp;2,Assessments!$A$2:$A$600,0)),"")</f>
        <v>Geog Paper 1</v>
      </c>
      <c r="CK14" s="28" t="str">
        <f aca="false">IFERROR(INDEX(Assessments!$I$2:$I$600,MATCH($H14&amp;"|"&amp;$I14&amp;"|"&amp;$J14&amp;"|"&amp;3,Assessments!$A$2:$A$600,0)),"")</f>
        <v>Geog Paper 2</v>
      </c>
      <c r="CL14" s="28" t="str">
        <f aca="false">IFERROR(INDEX(Assessments!$I$2:$I$600,MATCH($H14&amp;"|"&amp;$I14&amp;"|"&amp;$J14&amp;"|"&amp;4,Assessments!$A$2:$A$600,0)),"")</f>
        <v>Geog Paper 1</v>
      </c>
      <c r="CM14" s="28" t="str">
        <f aca="false">IFERROR(INDEX(Assessments!$I$2:$I$600,MATCH($H14&amp;"|"&amp;$I14&amp;"|"&amp;$J14&amp;"|"&amp;5,Assessments!$A$2:$A$600,0)),"")</f>
        <v>Geog Paper 1</v>
      </c>
      <c r="CN14" s="28" t="str">
        <f aca="false">IFERROR(INDEX(Assessments!$I$2:$I$600,MATCH($H14&amp;"|"&amp;$I14&amp;"|"&amp;$J14&amp;"|"&amp;6,Assessments!$A$2:$A$600,0)),"")</f>
        <v>Geog Paper 1</v>
      </c>
      <c r="CO14" s="28" t="str">
        <f aca="false">IFERROR(INDEX(Assessments!$I$2:$I$600,MATCH($H14&amp;"|"&amp;$I14&amp;"|"&amp;$J14&amp;"|"&amp;7,Assessments!$A$2:$A$600,0)),"")</f>
        <v>Geog Paper 2</v>
      </c>
      <c r="CP14" s="28" t="str">
        <f aca="false">IFERROR(INDEX(Assessments!$I$2:$I$600,MATCH($H14&amp;"|"&amp;$I14&amp;"|"&amp;$J14&amp;"|"&amp;8,Assessments!$A$2:$A$600,0)),"")</f>
        <v>Geog Paper 2</v>
      </c>
      <c r="CQ14" s="28" t="str">
        <f aca="false">IFERROR(INDEX(Assessments!$I$2:$I$600,MATCH($H14&amp;"|"&amp;$I14&amp;"|"&amp;$J14&amp;"|"&amp;9,Assessments!$A$2:$A$600,0)),"")</f>
        <v>Geog Paper 3</v>
      </c>
      <c r="CR14" s="28" t="str">
        <f aca="false">IFERROR(INDEX(Assessments!$I$2:$I$600,MATCH($H14&amp;"|"&amp;$I14&amp;"|"&amp;$J14&amp;"|"&amp;10,Assessments!$A$2:$A$600,0)),"")</f>
        <v>Geog Paper 2</v>
      </c>
      <c r="CS14" s="28" t="str">
        <f aca="false">IFERROR(INDEX(Assessments!$I$2:$I$600,MATCH($H14&amp;"|"&amp;$I14&amp;"|"&amp;$J14&amp;"|"&amp;11,Assessments!$A$2:$A$600,0)),"")</f>
        <v/>
      </c>
      <c r="CT14" s="28" t="str">
        <f aca="false">IFERROR(INDEX(Assessments!$I$2:$I$600,MATCH($H14&amp;"|"&amp;$I14&amp;"|"&amp;$J14&amp;"|"&amp;12,Assessments!$A$2:$A$600,0)),"")</f>
        <v/>
      </c>
      <c r="CU14" s="28" t="str">
        <f aca="false">IFERROR(INDEX(Assessments!$I$2:$I$600,MATCH($H14&amp;"|"&amp;$I14&amp;"|"&amp;$J14&amp;"|"&amp;13,Assessments!$A$2:$A$600,0)),"")</f>
        <v/>
      </c>
      <c r="CV14" s="28" t="str">
        <f aca="false">IFERROR(INDEX(Assessments!$I$2:$I$600,MATCH($H14&amp;"|"&amp;$I14&amp;"|"&amp;$J14&amp;"|"&amp;14,Assessments!$A$2:$A$600,0)),"")</f>
        <v/>
      </c>
      <c r="CW14" s="28" t="n">
        <f aca="false">IFERROR(INDEX(Assessments!$J$2:$J$600,MATCH($H14&amp;"|"&amp;$I14&amp;"|"&amp;$J14&amp;"|"&amp;1,Assessments!$A$2:$A$600,0)),0)</f>
        <v>1</v>
      </c>
      <c r="CX14" s="28" t="n">
        <f aca="false">IFERROR(INDEX(Assessments!$J$2:$J$600,MATCH($H14&amp;"|"&amp;$I14&amp;"|"&amp;$J14&amp;"|"&amp;2,Assessments!$A$2:$A$600,0)),0)</f>
        <v>1</v>
      </c>
      <c r="CY14" s="28" t="n">
        <f aca="false">IFERROR(INDEX(Assessments!$J$2:$J$600,MATCH($H14&amp;"|"&amp;$I14&amp;"|"&amp;$J14&amp;"|"&amp;3,Assessments!$A$2:$A$600,0)),0)</f>
        <v>1</v>
      </c>
      <c r="CZ14" s="28" t="n">
        <f aca="false">IFERROR(INDEX(Assessments!$J$2:$J$600,MATCH($H14&amp;"|"&amp;$I14&amp;"|"&amp;$J14&amp;"|"&amp;4,Assessments!$A$2:$A$600,0)),0)</f>
        <v>1</v>
      </c>
      <c r="DA14" s="28" t="n">
        <f aca="false">IFERROR(INDEX(Assessments!$J$2:$J$600,MATCH($H14&amp;"|"&amp;$I14&amp;"|"&amp;$J14&amp;"|"&amp;5,Assessments!$A$2:$A$600,0)),0)</f>
        <v>1</v>
      </c>
      <c r="DB14" s="28" t="n">
        <f aca="false">IFERROR(INDEX(Assessments!$J$2:$J$600,MATCH($H14&amp;"|"&amp;$I14&amp;"|"&amp;$J14&amp;"|"&amp;6,Assessments!$A$2:$A$600,0)),0)</f>
        <v>2</v>
      </c>
      <c r="DC14" s="28" t="n">
        <f aca="false">IFERROR(INDEX(Assessments!$J$2:$J$600,MATCH($H14&amp;"|"&amp;$I14&amp;"|"&amp;$J14&amp;"|"&amp;7,Assessments!$A$2:$A$600,0)),0)</f>
        <v>2</v>
      </c>
      <c r="DD14" s="28" t="n">
        <f aca="false">IFERROR(INDEX(Assessments!$J$2:$J$600,MATCH($H14&amp;"|"&amp;$I14&amp;"|"&amp;$J14&amp;"|"&amp;8,Assessments!$A$2:$A$600,0)),0)</f>
        <v>1</v>
      </c>
      <c r="DE14" s="28" t="n">
        <f aca="false">IFERROR(INDEX(Assessments!$J$2:$J$600,MATCH($H14&amp;"|"&amp;$I14&amp;"|"&amp;$J14&amp;"|"&amp;9,Assessments!$A$2:$A$600,0)),0)</f>
        <v>1</v>
      </c>
      <c r="DF14" s="28" t="n">
        <f aca="false">IFERROR(INDEX(Assessments!$J$2:$J$600,MATCH($H14&amp;"|"&amp;$I14&amp;"|"&amp;$J14&amp;"|"&amp;10,Assessments!$A$2:$A$600,0)),0)</f>
        <v>1</v>
      </c>
      <c r="DG14" s="28" t="n">
        <f aca="false">IFERROR(INDEX(Assessments!$J$2:$J$600,MATCH($H14&amp;"|"&amp;$I14&amp;"|"&amp;$J14&amp;"|"&amp;11,Assessments!$A$2:$A$600,0)),0)</f>
        <v>0</v>
      </c>
      <c r="DH14" s="28" t="n">
        <f aca="false">IFERROR(INDEX(Assessments!$J$2:$J$600,MATCH($H14&amp;"|"&amp;$I14&amp;"|"&amp;$J14&amp;"|"&amp;12,Assessments!$A$2:$A$600,0)),0)</f>
        <v>0</v>
      </c>
      <c r="DI14" s="28" t="n">
        <f aca="false">IFERROR(INDEX(Assessments!$J$2:$J$600,MATCH($H14&amp;"|"&amp;$I14&amp;"|"&amp;$J14&amp;"|"&amp;13,Assessments!$A$2:$A$600,0)),0)</f>
        <v>0</v>
      </c>
      <c r="DJ14" s="28" t="n">
        <f aca="false">IFERROR(INDEX(Assessments!$J$2:$J$600,MATCH($H14&amp;"|"&amp;$I14&amp;"|"&amp;$J14&amp;"|"&amp;14,Assessments!$A$2:$A$600,0)),0)</f>
        <v>0</v>
      </c>
      <c r="DK14" s="28" t="n">
        <f aca="false">S14</f>
        <v>7</v>
      </c>
      <c r="DL14" s="28" t="n">
        <f aca="false">W14</f>
        <v>7</v>
      </c>
      <c r="DM14" s="28" t="n">
        <f aca="false">AA14</f>
        <v>6</v>
      </c>
      <c r="DN14" s="28" t="n">
        <f aca="false">AE14</f>
        <v>6</v>
      </c>
      <c r="DO14" s="28" t="n">
        <f aca="false">AI14</f>
        <v>7</v>
      </c>
      <c r="DP14" s="28" t="n">
        <f aca="false">AM14</f>
        <v>5</v>
      </c>
      <c r="DQ14" s="28" t="n">
        <f aca="false">AQ14</f>
        <v>4</v>
      </c>
      <c r="DR14" s="28" t="str">
        <f aca="false">AU14</f>
        <v/>
      </c>
      <c r="DS14" s="28" t="str">
        <f aca="false">AY14</f>
        <v/>
      </c>
      <c r="DT14" s="28" t="str">
        <f aca="false">BC14</f>
        <v/>
      </c>
      <c r="DU14" s="28" t="str">
        <f aca="false">BG14</f>
        <v/>
      </c>
      <c r="DV14" s="28" t="str">
        <f aca="false">BK14</f>
        <v/>
      </c>
      <c r="DW14" s="28" t="str">
        <f aca="false">BO14</f>
        <v/>
      </c>
      <c r="DX14" s="28" t="str">
        <f aca="false">BS14</f>
        <v/>
      </c>
      <c r="DY14" s="28" t="n">
        <f aca="false">IF(ISNUMBER(S14),1,"")</f>
        <v>1</v>
      </c>
      <c r="DZ14" s="28" t="n">
        <f aca="false">IF(ISNUMBER(W14),2,"")</f>
        <v>2</v>
      </c>
      <c r="EA14" s="28" t="n">
        <f aca="false">IF(ISNUMBER(AA14),3,"")</f>
        <v>3</v>
      </c>
      <c r="EB14" s="28" t="n">
        <f aca="false">IF(ISNUMBER(AE14),4,"")</f>
        <v>4</v>
      </c>
      <c r="EC14" s="28" t="n">
        <f aca="false">IF(ISNUMBER(AI14),5,"")</f>
        <v>5</v>
      </c>
      <c r="ED14" s="28" t="n">
        <f aca="false">IF(ISNUMBER(AM14),6,"")</f>
        <v>6</v>
      </c>
      <c r="EE14" s="28" t="n">
        <f aca="false">IF(ISNUMBER(AQ14),7,"")</f>
        <v>7</v>
      </c>
      <c r="EF14" s="28" t="str">
        <f aca="false">IF(ISNUMBER(AU14),8,"")</f>
        <v/>
      </c>
      <c r="EG14" s="28" t="str">
        <f aca="false">IF(ISNUMBER(AY14),9,"")</f>
        <v/>
      </c>
      <c r="EH14" s="28" t="str">
        <f aca="false">IF(ISNUMBER(BC14),10,"")</f>
        <v/>
      </c>
      <c r="EI14" s="28" t="str">
        <f aca="false">IF(ISNUMBER(BG14),11,"")</f>
        <v/>
      </c>
      <c r="EJ14" s="28" t="str">
        <f aca="false">IF(ISNUMBER(BK14),12,"")</f>
        <v/>
      </c>
      <c r="EK14" s="28" t="str">
        <f aca="false">IF(ISNUMBER(BO14),13,"")</f>
        <v/>
      </c>
      <c r="EL14" s="28" t="str">
        <f aca="false">IF(ISNUMBER(BS14),14,"")</f>
        <v/>
      </c>
      <c r="EM14" s="28" t="n">
        <f aca="false">IF(ISNUMBER(R14),R14*CW14,0)</f>
        <v>95</v>
      </c>
      <c r="EN14" s="28" t="n">
        <f aca="false">IF(ISNUMBER(V14),V14*CX14,0)</f>
        <v>75</v>
      </c>
      <c r="EO14" s="28" t="n">
        <f aca="false">IF(ISNUMBER(Z14),Z14*CY14,0)</f>
        <v>70</v>
      </c>
      <c r="EP14" s="28" t="n">
        <f aca="false">IF(ISNUMBER(AD14),AD14*CZ14,0)</f>
        <v>70</v>
      </c>
      <c r="EQ14" s="28" t="n">
        <f aca="false">IF(ISNUMBER(AH14),AH14*DA14,0)</f>
        <v>80</v>
      </c>
      <c r="ER14" s="28" t="n">
        <f aca="false">IF(ISNUMBER(AL14),AL14*DB14,0)</f>
        <v>120</v>
      </c>
      <c r="ES14" s="28" t="n">
        <f aca="false">IF(ISNUMBER(AP14),AP14*DC14,0)</f>
        <v>104</v>
      </c>
      <c r="ET14" s="28" t="n">
        <f aca="false">IF(ISNUMBER(AT14),AT14*DD14,0)</f>
        <v>0</v>
      </c>
      <c r="EU14" s="28" t="n">
        <f aca="false">IF(ISNUMBER(AX14),AX14*DE14,0)</f>
        <v>0</v>
      </c>
      <c r="EV14" s="28" t="n">
        <f aca="false">IF(ISNUMBER(BB14),BB14*DF14,0)</f>
        <v>0</v>
      </c>
      <c r="EW14" s="28" t="n">
        <f aca="false">IF(ISNUMBER(BF14),BF14*DG14,0)</f>
        <v>0</v>
      </c>
      <c r="EX14" s="28" t="n">
        <f aca="false">IF(ISNUMBER(BJ14),BJ14*DH14,0)</f>
        <v>0</v>
      </c>
      <c r="EY14" s="28" t="n">
        <f aca="false">IF(ISNUMBER(BN14),BN14*DI14,0)</f>
        <v>0</v>
      </c>
      <c r="EZ14" s="28" t="n">
        <f aca="false">IF(ISNUMBER(BR14),BR14*DJ14,0)</f>
        <v>0</v>
      </c>
      <c r="FA14" s="28" t="n">
        <f aca="false">IF(ISNUMBER(R14),CW14,0)</f>
        <v>1</v>
      </c>
      <c r="FB14" s="28" t="n">
        <f aca="false">IF(ISNUMBER(V14),CX14,0)</f>
        <v>1</v>
      </c>
      <c r="FC14" s="28" t="n">
        <f aca="false">IF(ISNUMBER(Z14),CY14,0)</f>
        <v>1</v>
      </c>
      <c r="FD14" s="28" t="n">
        <f aca="false">IF(ISNUMBER(AD14),CZ14,0)</f>
        <v>1</v>
      </c>
      <c r="FE14" s="28" t="n">
        <f aca="false">IF(ISNUMBER(AH14),DA14,0)</f>
        <v>1</v>
      </c>
      <c r="FF14" s="28" t="n">
        <f aca="false">IF(ISNUMBER(AL14),DB14,0)</f>
        <v>2</v>
      </c>
      <c r="FG14" s="28" t="n">
        <f aca="false">IF(ISNUMBER(AP14),DC14,0)</f>
        <v>2</v>
      </c>
      <c r="FH14" s="28" t="n">
        <f aca="false">IF(ISNUMBER(AT14),DD14,0)</f>
        <v>0</v>
      </c>
      <c r="FI14" s="28" t="n">
        <f aca="false">IF(ISNUMBER(AX14),DE14,0)</f>
        <v>0</v>
      </c>
      <c r="FJ14" s="28" t="n">
        <f aca="false">IF(ISNUMBER(BB14),DF14,0)</f>
        <v>0</v>
      </c>
      <c r="FK14" s="28" t="n">
        <f aca="false">IF(ISNUMBER(BF14),DG14,0)</f>
        <v>0</v>
      </c>
      <c r="FL14" s="28" t="n">
        <f aca="false">IF(ISNUMBER(BJ14),DH14,0)</f>
        <v>0</v>
      </c>
      <c r="FM14" s="28" t="n">
        <f aca="false">IF(ISNUMBER(BN14),DI14,0)</f>
        <v>0</v>
      </c>
      <c r="FN14" s="28" t="n">
        <f aca="false">IF(ISNUMBER(BR14),DJ14,0)</f>
        <v>0</v>
      </c>
      <c r="FO14" s="28" t="str">
        <f aca="false">IFERROR(INDEX(Lists!$G$2:$G$20,MATCH($I14&amp;"|"&amp;$J14,Lists!$F$2:$F$20,0)),"")</f>
        <v>Geog Overall HL</v>
      </c>
    </row>
    <row r="15" customFormat="false" ht="19.5" hidden="false" customHeight="true" outlineLevel="0" collapsed="false">
      <c r="A15" s="29" t="s">
        <v>161</v>
      </c>
      <c r="B15" s="29" t="s">
        <v>162</v>
      </c>
      <c r="C15" s="30" t="s">
        <v>152</v>
      </c>
      <c r="D15" s="30" t="s">
        <v>153</v>
      </c>
      <c r="E15" s="31" t="n">
        <v>5.1</v>
      </c>
      <c r="F15" s="30" t="n">
        <v>5</v>
      </c>
      <c r="G15" s="30" t="s">
        <v>154</v>
      </c>
      <c r="H15" s="32" t="s">
        <v>23</v>
      </c>
      <c r="I15" s="33" t="s">
        <v>24</v>
      </c>
      <c r="J15" s="32" t="s">
        <v>25</v>
      </c>
      <c r="K15" s="34" t="n">
        <f aca="false">IF(OR(M15="",$E15=""),"",M15-$E15)</f>
        <v>-1.1</v>
      </c>
      <c r="L15" s="35" t="n">
        <f aca="false">IF(SUM(FA15:FN15)=0,"",SUM(EM15:EZ15)/SUM(FA15:FN15))</f>
        <v>48.4444444444444</v>
      </c>
      <c r="M15" s="36" t="n">
        <f aca="false">IF(OR(L15="",FO15=""),"",IFERROR(MATCH(L15,INDEX(Boundaries!$B$2:$I$30,MATCH(FO15,Boundaries!$A$2:$A$30,0),0),1)-1,""))</f>
        <v>4</v>
      </c>
      <c r="N15" s="37" t="n">
        <f aca="false">IF(COUNT($DY15:$EL15)&lt;2,"",INDEX($DK15:$DX15,MAX($DY15:$EL15))-INDEX($DK15:$DX15,MIN($DY15:$EL15)))</f>
        <v>-1</v>
      </c>
      <c r="O15" s="37" t="n">
        <f aca="false">IF(COUNT($DY15:$EL15)&lt;2,"",INDEX($DK15:$DX15,MAX($DY15:$EL15))-INDEX($DK15:$DX15,LARGE($DY15:$EL15,2)))</f>
        <v>-1</v>
      </c>
      <c r="P15" s="38" t="str">
        <f aca="false">IF(K15="","",IF(K15&gt;=0,"On/above target",IF(AND(N15&lt;&gt;"",N15&gt;=0.5),"Improving towards target",IF(AND(O15&lt;&gt;"",O15&lt;=-0.5),"Declining","Stable below target"))))</f>
        <v>Declining</v>
      </c>
      <c r="Q15" s="39" t="n">
        <v>9</v>
      </c>
      <c r="R15" s="40" t="n">
        <f aca="false">IF(OR(Q15="",BU15=""),"",Q15/BU15*100)</f>
        <v>45</v>
      </c>
      <c r="S15" s="41" t="n">
        <f aca="false">IF(R15="","",IFERROR(MATCH(R15,INDEX(Boundaries!$B$2:$I$30,MATCH(CI15,Boundaries!$A$2:$A$30,0),0),1)-1,""))</f>
        <v>4</v>
      </c>
      <c r="T15" s="42" t="n">
        <f aca="false">IF(OR(S15="",$E15=""),"",S15-$E15)</f>
        <v>-1.1</v>
      </c>
      <c r="U15" s="39" t="n">
        <v>13</v>
      </c>
      <c r="V15" s="40" t="n">
        <f aca="false">IF(OR(U15="",BV15=""),"",U15/BV15*100)</f>
        <v>65</v>
      </c>
      <c r="W15" s="41" t="n">
        <f aca="false">IF(V15="","",IFERROR(MATCH(V15,INDEX(Boundaries!$B$2:$I$30,MATCH(CJ15,Boundaries!$A$2:$A$30,0),0),1)-1,""))</f>
        <v>6</v>
      </c>
      <c r="X15" s="42" t="n">
        <f aca="false">IF(OR(W15="",$E15=""),"",W15-$E15)</f>
        <v>0.9</v>
      </c>
      <c r="Y15" s="39" t="n">
        <v>12</v>
      </c>
      <c r="Z15" s="40" t="n">
        <f aca="false">IF(OR(Y15="",BW15=""),"",Y15/BW15*100)</f>
        <v>60</v>
      </c>
      <c r="AA15" s="41" t="n">
        <f aca="false">IF(Z15="","",IFERROR(MATCH(Z15,INDEX(Boundaries!$B$2:$I$30,MATCH(CK15,Boundaries!$A$2:$A$30,0),0),1)-1,""))</f>
        <v>5</v>
      </c>
      <c r="AB15" s="42" t="n">
        <f aca="false">IF(OR(AA15="",$E15=""),"",AA15-$E15)</f>
        <v>-0.0999999999999996</v>
      </c>
      <c r="AC15" s="39" t="n">
        <v>8</v>
      </c>
      <c r="AD15" s="40" t="n">
        <f aca="false">IF(OR(AC15="",BX15=""),"",AC15/BX15*100)</f>
        <v>40</v>
      </c>
      <c r="AE15" s="41" t="n">
        <f aca="false">IF(AD15="","",IFERROR(MATCH(AD15,INDEX(Boundaries!$B$2:$I$30,MATCH(CL15,Boundaries!$A$2:$A$30,0),0),1)-1,""))</f>
        <v>3</v>
      </c>
      <c r="AF15" s="42" t="n">
        <f aca="false">IF(OR(AE15="",$E15=""),"",AE15-$E15)</f>
        <v>-2.1</v>
      </c>
      <c r="AG15" s="39" t="n">
        <v>11</v>
      </c>
      <c r="AH15" s="40" t="n">
        <f aca="false">IF(OR(AG15="",BY15=""),"",AG15/BY15*100)</f>
        <v>55</v>
      </c>
      <c r="AI15" s="41" t="n">
        <f aca="false">IF(AH15="","",IFERROR(MATCH(AH15,INDEX(Boundaries!$B$2:$I$30,MATCH(CM15,Boundaries!$A$2:$A$30,0),0),1)-1,""))</f>
        <v>5</v>
      </c>
      <c r="AJ15" s="42" t="n">
        <f aca="false">IF(OR(AI15="",$E15=""),"",AI15-$E15)</f>
        <v>-0.0999999999999996</v>
      </c>
      <c r="AK15" s="39" t="n">
        <v>19</v>
      </c>
      <c r="AL15" s="40" t="n">
        <f aca="false">IF(OR(AK15="",BZ15=""),"",AK15/BZ15*100)</f>
        <v>47.5</v>
      </c>
      <c r="AM15" s="41" t="n">
        <f aca="false">IF(AL15="","",IFERROR(MATCH(AL15,INDEX(Boundaries!$B$2:$I$30,MATCH(CN15,Boundaries!$A$2:$A$30,0),0),1)-1,""))</f>
        <v>4</v>
      </c>
      <c r="AN15" s="42" t="n">
        <f aca="false">IF(OR(AM15="",$E15=""),"",AM15-$E15)</f>
        <v>-1.1</v>
      </c>
      <c r="AO15" s="39" t="n">
        <v>19</v>
      </c>
      <c r="AP15" s="40" t="n">
        <f aca="false">IF(OR(AO15="",CA15=""),"",AO15/CA15*100)</f>
        <v>38</v>
      </c>
      <c r="AQ15" s="41" t="n">
        <f aca="false">IF(AP15="","",IFERROR(MATCH(AP15,INDEX(Boundaries!$B$2:$I$30,MATCH(CO15,Boundaries!$A$2:$A$30,0),0),1)-1,""))</f>
        <v>3</v>
      </c>
      <c r="AR15" s="42" t="n">
        <f aca="false">IF(OR(AQ15="",$E15=""),"",AQ15-$E15)</f>
        <v>-2.1</v>
      </c>
      <c r="AS15" s="39"/>
      <c r="AT15" s="40" t="str">
        <f aca="false">IF(OR(AS15="",CB15=""),"",AS15/CB15*100)</f>
        <v/>
      </c>
      <c r="AU15" s="41" t="str">
        <f aca="false">IF(AT15="","",IFERROR(MATCH(AT15,INDEX(Boundaries!$B$2:$I$30,MATCH(CP15,Boundaries!$A$2:$A$30,0),0),1)-1,""))</f>
        <v/>
      </c>
      <c r="AV15" s="42" t="str">
        <f aca="false">IF(OR(AU15="",$E15=""),"",AU15-$E15)</f>
        <v/>
      </c>
      <c r="AW15" s="39"/>
      <c r="AX15" s="40" t="str">
        <f aca="false">IF(OR(AW15="",CC15=""),"",AW15/CC15*100)</f>
        <v/>
      </c>
      <c r="AY15" s="41" t="str">
        <f aca="false">IF(AX15="","",IFERROR(MATCH(AX15,INDEX(Boundaries!$B$2:$I$30,MATCH(CQ15,Boundaries!$A$2:$A$30,0),0),1)-1,""))</f>
        <v/>
      </c>
      <c r="AZ15" s="42" t="str">
        <f aca="false">IF(OR(AY15="",$E15=""),"",AY15-$E15)</f>
        <v/>
      </c>
      <c r="BA15" s="39"/>
      <c r="BB15" s="40" t="str">
        <f aca="false">IF(OR(BA15="",CD15=""),"",BA15/CD15*100)</f>
        <v/>
      </c>
      <c r="BC15" s="41" t="str">
        <f aca="false">IF(BB15="","",IFERROR(MATCH(BB15,INDEX(Boundaries!$B$2:$I$30,MATCH(CR15,Boundaries!$A$2:$A$30,0),0),1)-1,""))</f>
        <v/>
      </c>
      <c r="BD15" s="42" t="str">
        <f aca="false">IF(OR(BC15="",$E15=""),"",BC15-$E15)</f>
        <v/>
      </c>
      <c r="BE15" s="39"/>
      <c r="BF15" s="40" t="str">
        <f aca="false">IF(OR(BE15="",CE15=""),"",BE15/CE15*100)</f>
        <v/>
      </c>
      <c r="BG15" s="41" t="str">
        <f aca="false">IF(BF15="","",IFERROR(MATCH(BF15,INDEX(Boundaries!$B$2:$I$30,MATCH(CS15,Boundaries!$A$2:$A$30,0),0),1)-1,""))</f>
        <v/>
      </c>
      <c r="BH15" s="42" t="str">
        <f aca="false">IF(OR(BG15="",$E15=""),"",BG15-$E15)</f>
        <v/>
      </c>
      <c r="BI15" s="39"/>
      <c r="BJ15" s="40" t="str">
        <f aca="false">IF(OR(BI15="",CF15=""),"",BI15/CF15*100)</f>
        <v/>
      </c>
      <c r="BK15" s="41" t="str">
        <f aca="false">IF(BJ15="","",IFERROR(MATCH(BJ15,INDEX(Boundaries!$B$2:$I$30,MATCH(CT15,Boundaries!$A$2:$A$30,0),0),1)-1,""))</f>
        <v/>
      </c>
      <c r="BL15" s="42" t="str">
        <f aca="false">IF(OR(BK15="",$E15=""),"",BK15-$E15)</f>
        <v/>
      </c>
      <c r="BM15" s="39"/>
      <c r="BN15" s="40" t="str">
        <f aca="false">IF(OR(BM15="",CG15=""),"",BM15/CG15*100)</f>
        <v/>
      </c>
      <c r="BO15" s="41" t="str">
        <f aca="false">IF(BN15="","",IFERROR(MATCH(BN15,INDEX(Boundaries!$B$2:$I$30,MATCH(CU15,Boundaries!$A$2:$A$30,0),0),1)-1,""))</f>
        <v/>
      </c>
      <c r="BP15" s="42" t="str">
        <f aca="false">IF(OR(BO15="",$E15=""),"",BO15-$E15)</f>
        <v/>
      </c>
      <c r="BQ15" s="39"/>
      <c r="BR15" s="40" t="str">
        <f aca="false">IF(OR(BQ15="",CH15=""),"",BQ15/CH15*100)</f>
        <v/>
      </c>
      <c r="BS15" s="41" t="str">
        <f aca="false">IF(BR15="","",IFERROR(MATCH(BR15,INDEX(Boundaries!$B$2:$I$30,MATCH(CV15,Boundaries!$A$2:$A$30,0),0),1)-1,""))</f>
        <v/>
      </c>
      <c r="BT15" s="42" t="str">
        <f aca="false">IF(OR(BS15="",$E15=""),"",BS15-$E15)</f>
        <v/>
      </c>
      <c r="BU15" s="28" t="n">
        <f aca="false">IFERROR(INDEX(Assessments!$H$2:$H$600,MATCH($H15&amp;"|"&amp;$I15&amp;"|"&amp;$J15&amp;"|"&amp;1,Assessments!$A$2:$A$600,0)),"")</f>
        <v>20</v>
      </c>
      <c r="BV15" s="28" t="n">
        <f aca="false">IFERROR(INDEX(Assessments!$H$2:$H$600,MATCH($H15&amp;"|"&amp;$I15&amp;"|"&amp;$J15&amp;"|"&amp;2,Assessments!$A$2:$A$600,0)),"")</f>
        <v>20</v>
      </c>
      <c r="BW15" s="28" t="n">
        <f aca="false">IFERROR(INDEX(Assessments!$H$2:$H$600,MATCH($H15&amp;"|"&amp;$I15&amp;"|"&amp;$J15&amp;"|"&amp;3,Assessments!$A$2:$A$600,0)),"")</f>
        <v>20</v>
      </c>
      <c r="BX15" s="28" t="n">
        <f aca="false">IFERROR(INDEX(Assessments!$H$2:$H$600,MATCH($H15&amp;"|"&amp;$I15&amp;"|"&amp;$J15&amp;"|"&amp;4,Assessments!$A$2:$A$600,0)),"")</f>
        <v>20</v>
      </c>
      <c r="BY15" s="28" t="n">
        <f aca="false">IFERROR(INDEX(Assessments!$H$2:$H$600,MATCH($H15&amp;"|"&amp;$I15&amp;"|"&amp;$J15&amp;"|"&amp;5,Assessments!$A$2:$A$600,0)),"")</f>
        <v>20</v>
      </c>
      <c r="BZ15" s="28" t="n">
        <f aca="false">IFERROR(INDEX(Assessments!$H$2:$H$600,MATCH($H15&amp;"|"&amp;$I15&amp;"|"&amp;$J15&amp;"|"&amp;6,Assessments!$A$2:$A$600,0)),"")</f>
        <v>40</v>
      </c>
      <c r="CA15" s="28" t="n">
        <f aca="false">IFERROR(INDEX(Assessments!$H$2:$H$600,MATCH($H15&amp;"|"&amp;$I15&amp;"|"&amp;$J15&amp;"|"&amp;7,Assessments!$A$2:$A$600,0)),"")</f>
        <v>50</v>
      </c>
      <c r="CB15" s="28" t="n">
        <f aca="false">IFERROR(INDEX(Assessments!$H$2:$H$600,MATCH($H15&amp;"|"&amp;$I15&amp;"|"&amp;$J15&amp;"|"&amp;8,Assessments!$A$2:$A$600,0)),"")</f>
        <v>25</v>
      </c>
      <c r="CC15" s="28" t="n">
        <f aca="false">IFERROR(INDEX(Assessments!$H$2:$H$600,MATCH($H15&amp;"|"&amp;$I15&amp;"|"&amp;$J15&amp;"|"&amp;9,Assessments!$A$2:$A$600,0)),"")</f>
        <v>16</v>
      </c>
      <c r="CD15" s="28" t="n">
        <f aca="false">IFERROR(INDEX(Assessments!$H$2:$H$600,MATCH($H15&amp;"|"&amp;$I15&amp;"|"&amp;$J15&amp;"|"&amp;10,Assessments!$A$2:$A$600,0)),"")</f>
        <v>30</v>
      </c>
      <c r="CE15" s="28" t="str">
        <f aca="false">IFERROR(INDEX(Assessments!$H$2:$H$600,MATCH($H15&amp;"|"&amp;$I15&amp;"|"&amp;$J15&amp;"|"&amp;11,Assessments!$A$2:$A$600,0)),"")</f>
        <v/>
      </c>
      <c r="CF15" s="28" t="str">
        <f aca="false">IFERROR(INDEX(Assessments!$H$2:$H$600,MATCH($H15&amp;"|"&amp;$I15&amp;"|"&amp;$J15&amp;"|"&amp;12,Assessments!$A$2:$A$600,0)),"")</f>
        <v/>
      </c>
      <c r="CG15" s="28" t="str">
        <f aca="false">IFERROR(INDEX(Assessments!$H$2:$H$600,MATCH($H15&amp;"|"&amp;$I15&amp;"|"&amp;$J15&amp;"|"&amp;13,Assessments!$A$2:$A$600,0)),"")</f>
        <v/>
      </c>
      <c r="CH15" s="28" t="str">
        <f aca="false">IFERROR(INDEX(Assessments!$H$2:$H$600,MATCH($H15&amp;"|"&amp;$I15&amp;"|"&amp;$J15&amp;"|"&amp;14,Assessments!$A$2:$A$600,0)),"")</f>
        <v/>
      </c>
      <c r="CI15" s="28" t="str">
        <f aca="false">IFERROR(INDEX(Assessments!$I$2:$I$600,MATCH($H15&amp;"|"&amp;$I15&amp;"|"&amp;$J15&amp;"|"&amp;1,Assessments!$A$2:$A$600,0)),"")</f>
        <v>Geog Paper 1</v>
      </c>
      <c r="CJ15" s="28" t="str">
        <f aca="false">IFERROR(INDEX(Assessments!$I$2:$I$600,MATCH($H15&amp;"|"&amp;$I15&amp;"|"&amp;$J15&amp;"|"&amp;2,Assessments!$A$2:$A$600,0)),"")</f>
        <v>Geog Paper 1</v>
      </c>
      <c r="CK15" s="28" t="str">
        <f aca="false">IFERROR(INDEX(Assessments!$I$2:$I$600,MATCH($H15&amp;"|"&amp;$I15&amp;"|"&amp;$J15&amp;"|"&amp;3,Assessments!$A$2:$A$600,0)),"")</f>
        <v>Geog Paper 2</v>
      </c>
      <c r="CL15" s="28" t="str">
        <f aca="false">IFERROR(INDEX(Assessments!$I$2:$I$600,MATCH($H15&amp;"|"&amp;$I15&amp;"|"&amp;$J15&amp;"|"&amp;4,Assessments!$A$2:$A$600,0)),"")</f>
        <v>Geog Paper 1</v>
      </c>
      <c r="CM15" s="28" t="str">
        <f aca="false">IFERROR(INDEX(Assessments!$I$2:$I$600,MATCH($H15&amp;"|"&amp;$I15&amp;"|"&amp;$J15&amp;"|"&amp;5,Assessments!$A$2:$A$600,0)),"")</f>
        <v>Geog Paper 1</v>
      </c>
      <c r="CN15" s="28" t="str">
        <f aca="false">IFERROR(INDEX(Assessments!$I$2:$I$600,MATCH($H15&amp;"|"&amp;$I15&amp;"|"&amp;$J15&amp;"|"&amp;6,Assessments!$A$2:$A$600,0)),"")</f>
        <v>Geog Paper 1</v>
      </c>
      <c r="CO15" s="28" t="str">
        <f aca="false">IFERROR(INDEX(Assessments!$I$2:$I$600,MATCH($H15&amp;"|"&amp;$I15&amp;"|"&amp;$J15&amp;"|"&amp;7,Assessments!$A$2:$A$600,0)),"")</f>
        <v>Geog Paper 2</v>
      </c>
      <c r="CP15" s="28" t="str">
        <f aca="false">IFERROR(INDEX(Assessments!$I$2:$I$600,MATCH($H15&amp;"|"&amp;$I15&amp;"|"&amp;$J15&amp;"|"&amp;8,Assessments!$A$2:$A$600,0)),"")</f>
        <v>Geog Paper 2</v>
      </c>
      <c r="CQ15" s="28" t="str">
        <f aca="false">IFERROR(INDEX(Assessments!$I$2:$I$600,MATCH($H15&amp;"|"&amp;$I15&amp;"|"&amp;$J15&amp;"|"&amp;9,Assessments!$A$2:$A$600,0)),"")</f>
        <v>Geog Paper 3</v>
      </c>
      <c r="CR15" s="28" t="str">
        <f aca="false">IFERROR(INDEX(Assessments!$I$2:$I$600,MATCH($H15&amp;"|"&amp;$I15&amp;"|"&amp;$J15&amp;"|"&amp;10,Assessments!$A$2:$A$600,0)),"")</f>
        <v>Geog Paper 2</v>
      </c>
      <c r="CS15" s="28" t="str">
        <f aca="false">IFERROR(INDEX(Assessments!$I$2:$I$600,MATCH($H15&amp;"|"&amp;$I15&amp;"|"&amp;$J15&amp;"|"&amp;11,Assessments!$A$2:$A$600,0)),"")</f>
        <v/>
      </c>
      <c r="CT15" s="28" t="str">
        <f aca="false">IFERROR(INDEX(Assessments!$I$2:$I$600,MATCH($H15&amp;"|"&amp;$I15&amp;"|"&amp;$J15&amp;"|"&amp;12,Assessments!$A$2:$A$600,0)),"")</f>
        <v/>
      </c>
      <c r="CU15" s="28" t="str">
        <f aca="false">IFERROR(INDEX(Assessments!$I$2:$I$600,MATCH($H15&amp;"|"&amp;$I15&amp;"|"&amp;$J15&amp;"|"&amp;13,Assessments!$A$2:$A$600,0)),"")</f>
        <v/>
      </c>
      <c r="CV15" s="28" t="str">
        <f aca="false">IFERROR(INDEX(Assessments!$I$2:$I$600,MATCH($H15&amp;"|"&amp;$I15&amp;"|"&amp;$J15&amp;"|"&amp;14,Assessments!$A$2:$A$600,0)),"")</f>
        <v/>
      </c>
      <c r="CW15" s="28" t="n">
        <f aca="false">IFERROR(INDEX(Assessments!$J$2:$J$600,MATCH($H15&amp;"|"&amp;$I15&amp;"|"&amp;$J15&amp;"|"&amp;1,Assessments!$A$2:$A$600,0)),0)</f>
        <v>1</v>
      </c>
      <c r="CX15" s="28" t="n">
        <f aca="false">IFERROR(INDEX(Assessments!$J$2:$J$600,MATCH($H15&amp;"|"&amp;$I15&amp;"|"&amp;$J15&amp;"|"&amp;2,Assessments!$A$2:$A$600,0)),0)</f>
        <v>1</v>
      </c>
      <c r="CY15" s="28" t="n">
        <f aca="false">IFERROR(INDEX(Assessments!$J$2:$J$600,MATCH($H15&amp;"|"&amp;$I15&amp;"|"&amp;$J15&amp;"|"&amp;3,Assessments!$A$2:$A$600,0)),0)</f>
        <v>1</v>
      </c>
      <c r="CZ15" s="28" t="n">
        <f aca="false">IFERROR(INDEX(Assessments!$J$2:$J$600,MATCH($H15&amp;"|"&amp;$I15&amp;"|"&amp;$J15&amp;"|"&amp;4,Assessments!$A$2:$A$600,0)),0)</f>
        <v>1</v>
      </c>
      <c r="DA15" s="28" t="n">
        <f aca="false">IFERROR(INDEX(Assessments!$J$2:$J$600,MATCH($H15&amp;"|"&amp;$I15&amp;"|"&amp;$J15&amp;"|"&amp;5,Assessments!$A$2:$A$600,0)),0)</f>
        <v>1</v>
      </c>
      <c r="DB15" s="28" t="n">
        <f aca="false">IFERROR(INDEX(Assessments!$J$2:$J$600,MATCH($H15&amp;"|"&amp;$I15&amp;"|"&amp;$J15&amp;"|"&amp;6,Assessments!$A$2:$A$600,0)),0)</f>
        <v>2</v>
      </c>
      <c r="DC15" s="28" t="n">
        <f aca="false">IFERROR(INDEX(Assessments!$J$2:$J$600,MATCH($H15&amp;"|"&amp;$I15&amp;"|"&amp;$J15&amp;"|"&amp;7,Assessments!$A$2:$A$600,0)),0)</f>
        <v>2</v>
      </c>
      <c r="DD15" s="28" t="n">
        <f aca="false">IFERROR(INDEX(Assessments!$J$2:$J$600,MATCH($H15&amp;"|"&amp;$I15&amp;"|"&amp;$J15&amp;"|"&amp;8,Assessments!$A$2:$A$600,0)),0)</f>
        <v>1</v>
      </c>
      <c r="DE15" s="28" t="n">
        <f aca="false">IFERROR(INDEX(Assessments!$J$2:$J$600,MATCH($H15&amp;"|"&amp;$I15&amp;"|"&amp;$J15&amp;"|"&amp;9,Assessments!$A$2:$A$600,0)),0)</f>
        <v>1</v>
      </c>
      <c r="DF15" s="28" t="n">
        <f aca="false">IFERROR(INDEX(Assessments!$J$2:$J$600,MATCH($H15&amp;"|"&amp;$I15&amp;"|"&amp;$J15&amp;"|"&amp;10,Assessments!$A$2:$A$600,0)),0)</f>
        <v>1</v>
      </c>
      <c r="DG15" s="28" t="n">
        <f aca="false">IFERROR(INDEX(Assessments!$J$2:$J$600,MATCH($H15&amp;"|"&amp;$I15&amp;"|"&amp;$J15&amp;"|"&amp;11,Assessments!$A$2:$A$600,0)),0)</f>
        <v>0</v>
      </c>
      <c r="DH15" s="28" t="n">
        <f aca="false">IFERROR(INDEX(Assessments!$J$2:$J$600,MATCH($H15&amp;"|"&amp;$I15&amp;"|"&amp;$J15&amp;"|"&amp;12,Assessments!$A$2:$A$600,0)),0)</f>
        <v>0</v>
      </c>
      <c r="DI15" s="28" t="n">
        <f aca="false">IFERROR(INDEX(Assessments!$J$2:$J$600,MATCH($H15&amp;"|"&amp;$I15&amp;"|"&amp;$J15&amp;"|"&amp;13,Assessments!$A$2:$A$600,0)),0)</f>
        <v>0</v>
      </c>
      <c r="DJ15" s="28" t="n">
        <f aca="false">IFERROR(INDEX(Assessments!$J$2:$J$600,MATCH($H15&amp;"|"&amp;$I15&amp;"|"&amp;$J15&amp;"|"&amp;14,Assessments!$A$2:$A$600,0)),0)</f>
        <v>0</v>
      </c>
      <c r="DK15" s="28" t="n">
        <f aca="false">S15</f>
        <v>4</v>
      </c>
      <c r="DL15" s="28" t="n">
        <f aca="false">W15</f>
        <v>6</v>
      </c>
      <c r="DM15" s="28" t="n">
        <f aca="false">AA15</f>
        <v>5</v>
      </c>
      <c r="DN15" s="28" t="n">
        <f aca="false">AE15</f>
        <v>3</v>
      </c>
      <c r="DO15" s="28" t="n">
        <f aca="false">AI15</f>
        <v>5</v>
      </c>
      <c r="DP15" s="28" t="n">
        <f aca="false">AM15</f>
        <v>4</v>
      </c>
      <c r="DQ15" s="28" t="n">
        <f aca="false">AQ15</f>
        <v>3</v>
      </c>
      <c r="DR15" s="28" t="str">
        <f aca="false">AU15</f>
        <v/>
      </c>
      <c r="DS15" s="28" t="str">
        <f aca="false">AY15</f>
        <v/>
      </c>
      <c r="DT15" s="28" t="str">
        <f aca="false">BC15</f>
        <v/>
      </c>
      <c r="DU15" s="28" t="str">
        <f aca="false">BG15</f>
        <v/>
      </c>
      <c r="DV15" s="28" t="str">
        <f aca="false">BK15</f>
        <v/>
      </c>
      <c r="DW15" s="28" t="str">
        <f aca="false">BO15</f>
        <v/>
      </c>
      <c r="DX15" s="28" t="str">
        <f aca="false">BS15</f>
        <v/>
      </c>
      <c r="DY15" s="28" t="n">
        <f aca="false">IF(ISNUMBER(S15),1,"")</f>
        <v>1</v>
      </c>
      <c r="DZ15" s="28" t="n">
        <f aca="false">IF(ISNUMBER(W15),2,"")</f>
        <v>2</v>
      </c>
      <c r="EA15" s="28" t="n">
        <f aca="false">IF(ISNUMBER(AA15),3,"")</f>
        <v>3</v>
      </c>
      <c r="EB15" s="28" t="n">
        <f aca="false">IF(ISNUMBER(AE15),4,"")</f>
        <v>4</v>
      </c>
      <c r="EC15" s="28" t="n">
        <f aca="false">IF(ISNUMBER(AI15),5,"")</f>
        <v>5</v>
      </c>
      <c r="ED15" s="28" t="n">
        <f aca="false">IF(ISNUMBER(AM15),6,"")</f>
        <v>6</v>
      </c>
      <c r="EE15" s="28" t="n">
        <f aca="false">IF(ISNUMBER(AQ15),7,"")</f>
        <v>7</v>
      </c>
      <c r="EF15" s="28" t="str">
        <f aca="false">IF(ISNUMBER(AU15),8,"")</f>
        <v/>
      </c>
      <c r="EG15" s="28" t="str">
        <f aca="false">IF(ISNUMBER(AY15),9,"")</f>
        <v/>
      </c>
      <c r="EH15" s="28" t="str">
        <f aca="false">IF(ISNUMBER(BC15),10,"")</f>
        <v/>
      </c>
      <c r="EI15" s="28" t="str">
        <f aca="false">IF(ISNUMBER(BG15),11,"")</f>
        <v/>
      </c>
      <c r="EJ15" s="28" t="str">
        <f aca="false">IF(ISNUMBER(BK15),12,"")</f>
        <v/>
      </c>
      <c r="EK15" s="28" t="str">
        <f aca="false">IF(ISNUMBER(BO15),13,"")</f>
        <v/>
      </c>
      <c r="EL15" s="28" t="str">
        <f aca="false">IF(ISNUMBER(BS15),14,"")</f>
        <v/>
      </c>
      <c r="EM15" s="28" t="n">
        <f aca="false">IF(ISNUMBER(R15),R15*CW15,0)</f>
        <v>45</v>
      </c>
      <c r="EN15" s="28" t="n">
        <f aca="false">IF(ISNUMBER(V15),V15*CX15,0)</f>
        <v>65</v>
      </c>
      <c r="EO15" s="28" t="n">
        <f aca="false">IF(ISNUMBER(Z15),Z15*CY15,0)</f>
        <v>60</v>
      </c>
      <c r="EP15" s="28" t="n">
        <f aca="false">IF(ISNUMBER(AD15),AD15*CZ15,0)</f>
        <v>40</v>
      </c>
      <c r="EQ15" s="28" t="n">
        <f aca="false">IF(ISNUMBER(AH15),AH15*DA15,0)</f>
        <v>55</v>
      </c>
      <c r="ER15" s="28" t="n">
        <f aca="false">IF(ISNUMBER(AL15),AL15*DB15,0)</f>
        <v>95</v>
      </c>
      <c r="ES15" s="28" t="n">
        <f aca="false">IF(ISNUMBER(AP15),AP15*DC15,0)</f>
        <v>76</v>
      </c>
      <c r="ET15" s="28" t="n">
        <f aca="false">IF(ISNUMBER(AT15),AT15*DD15,0)</f>
        <v>0</v>
      </c>
      <c r="EU15" s="28" t="n">
        <f aca="false">IF(ISNUMBER(AX15),AX15*DE15,0)</f>
        <v>0</v>
      </c>
      <c r="EV15" s="28" t="n">
        <f aca="false">IF(ISNUMBER(BB15),BB15*DF15,0)</f>
        <v>0</v>
      </c>
      <c r="EW15" s="28" t="n">
        <f aca="false">IF(ISNUMBER(BF15),BF15*DG15,0)</f>
        <v>0</v>
      </c>
      <c r="EX15" s="28" t="n">
        <f aca="false">IF(ISNUMBER(BJ15),BJ15*DH15,0)</f>
        <v>0</v>
      </c>
      <c r="EY15" s="28" t="n">
        <f aca="false">IF(ISNUMBER(BN15),BN15*DI15,0)</f>
        <v>0</v>
      </c>
      <c r="EZ15" s="28" t="n">
        <f aca="false">IF(ISNUMBER(BR15),BR15*DJ15,0)</f>
        <v>0</v>
      </c>
      <c r="FA15" s="28" t="n">
        <f aca="false">IF(ISNUMBER(R15),CW15,0)</f>
        <v>1</v>
      </c>
      <c r="FB15" s="28" t="n">
        <f aca="false">IF(ISNUMBER(V15),CX15,0)</f>
        <v>1</v>
      </c>
      <c r="FC15" s="28" t="n">
        <f aca="false">IF(ISNUMBER(Z15),CY15,0)</f>
        <v>1</v>
      </c>
      <c r="FD15" s="28" t="n">
        <f aca="false">IF(ISNUMBER(AD15),CZ15,0)</f>
        <v>1</v>
      </c>
      <c r="FE15" s="28" t="n">
        <f aca="false">IF(ISNUMBER(AH15),DA15,0)</f>
        <v>1</v>
      </c>
      <c r="FF15" s="28" t="n">
        <f aca="false">IF(ISNUMBER(AL15),DB15,0)</f>
        <v>2</v>
      </c>
      <c r="FG15" s="28" t="n">
        <f aca="false">IF(ISNUMBER(AP15),DC15,0)</f>
        <v>2</v>
      </c>
      <c r="FH15" s="28" t="n">
        <f aca="false">IF(ISNUMBER(AT15),DD15,0)</f>
        <v>0</v>
      </c>
      <c r="FI15" s="28" t="n">
        <f aca="false">IF(ISNUMBER(AX15),DE15,0)</f>
        <v>0</v>
      </c>
      <c r="FJ15" s="28" t="n">
        <f aca="false">IF(ISNUMBER(BB15),DF15,0)</f>
        <v>0</v>
      </c>
      <c r="FK15" s="28" t="n">
        <f aca="false">IF(ISNUMBER(BF15),DG15,0)</f>
        <v>0</v>
      </c>
      <c r="FL15" s="28" t="n">
        <f aca="false">IF(ISNUMBER(BJ15),DH15,0)</f>
        <v>0</v>
      </c>
      <c r="FM15" s="28" t="n">
        <f aca="false">IF(ISNUMBER(BN15),DI15,0)</f>
        <v>0</v>
      </c>
      <c r="FN15" s="28" t="n">
        <f aca="false">IF(ISNUMBER(BR15),DJ15,0)</f>
        <v>0</v>
      </c>
      <c r="FO15" s="28" t="str">
        <f aca="false">IFERROR(INDEX(Lists!$G$2:$G$20,MATCH($I15&amp;"|"&amp;$J15,Lists!$F$2:$F$20,0)),"")</f>
        <v>Geog Overall HL</v>
      </c>
    </row>
    <row r="16" customFormat="false" ht="19.5" hidden="false" customHeight="true" outlineLevel="0" collapsed="false">
      <c r="A16" s="29" t="s">
        <v>163</v>
      </c>
      <c r="B16" s="29" t="s">
        <v>164</v>
      </c>
      <c r="C16" s="30" t="s">
        <v>152</v>
      </c>
      <c r="D16" s="30" t="s">
        <v>153</v>
      </c>
      <c r="E16" s="31" t="n">
        <v>5.8</v>
      </c>
      <c r="F16" s="30" t="n">
        <v>6</v>
      </c>
      <c r="G16" s="30"/>
      <c r="H16" s="32" t="s">
        <v>23</v>
      </c>
      <c r="I16" s="33" t="s">
        <v>24</v>
      </c>
      <c r="J16" s="32" t="s">
        <v>25</v>
      </c>
      <c r="K16" s="34" t="n">
        <f aca="false">IF(OR(M16="",$E16=""),"",M16-$E16)</f>
        <v>0.2</v>
      </c>
      <c r="L16" s="35" t="n">
        <f aca="false">IF(SUM(FA16:FN16)=0,"",SUM(EM16:EZ16)/SUM(FA16:FN16))</f>
        <v>66.125</v>
      </c>
      <c r="M16" s="36" t="n">
        <f aca="false">IF(OR(L16="",FO16=""),"",IFERROR(MATCH(L16,INDEX(Boundaries!$B$2:$I$30,MATCH(FO16,Boundaries!$A$2:$A$30,0),0),1)-1,""))</f>
        <v>6</v>
      </c>
      <c r="N16" s="37" t="n">
        <f aca="false">IF(COUNT($DY16:$EL16)&lt;2,"",INDEX($DK16:$DX16,MAX($DY16:$EL16))-INDEX($DK16:$DX16,MIN($DY16:$EL16)))</f>
        <v>-1</v>
      </c>
      <c r="O16" s="37" t="n">
        <f aca="false">IF(COUNT($DY16:$EL16)&lt;2,"",INDEX($DK16:$DX16,MAX($DY16:$EL16))-INDEX($DK16:$DX16,LARGE($DY16:$EL16,2)))</f>
        <v>-1</v>
      </c>
      <c r="P16" s="38" t="str">
        <f aca="false">IF(K16="","",IF(K16&gt;=0,"On/above target",IF(AND(N16&lt;&gt;"",N16&gt;=0.5),"Improving towards target",IF(AND(O16&lt;&gt;"",O16&lt;=-0.5),"Declining","Stable below target"))))</f>
        <v>On/above target</v>
      </c>
      <c r="Q16" s="39" t="n">
        <v>13</v>
      </c>
      <c r="R16" s="40" t="n">
        <f aca="false">IF(OR(Q16="",BU16=""),"",Q16/BU16*100)</f>
        <v>65</v>
      </c>
      <c r="S16" s="41" t="n">
        <f aca="false">IF(R16="","",IFERROR(MATCH(R16,INDEX(Boundaries!$B$2:$I$30,MATCH(CI16,Boundaries!$A$2:$A$30,0),0),1)-1,""))</f>
        <v>6</v>
      </c>
      <c r="T16" s="42" t="n">
        <f aca="false">IF(OR(S16="",$E16=""),"",S16-$E16)</f>
        <v>0.2</v>
      </c>
      <c r="U16" s="39" t="n">
        <v>13</v>
      </c>
      <c r="V16" s="40" t="n">
        <f aca="false">IF(OR(U16="",BV16=""),"",U16/BV16*100)</f>
        <v>65</v>
      </c>
      <c r="W16" s="41" t="n">
        <f aca="false">IF(V16="","",IFERROR(MATCH(V16,INDEX(Boundaries!$B$2:$I$30,MATCH(CJ16,Boundaries!$A$2:$A$30,0),0),1)-1,""))</f>
        <v>6</v>
      </c>
      <c r="X16" s="42" t="n">
        <f aca="false">IF(OR(W16="",$E16=""),"",W16-$E16)</f>
        <v>0.2</v>
      </c>
      <c r="Y16" s="39" t="n">
        <v>14</v>
      </c>
      <c r="Z16" s="40" t="n">
        <f aca="false">IF(OR(Y16="",BW16=""),"",Y16/BW16*100)</f>
        <v>70</v>
      </c>
      <c r="AA16" s="41" t="n">
        <f aca="false">IF(Z16="","",IFERROR(MATCH(Z16,INDEX(Boundaries!$B$2:$I$30,MATCH(CK16,Boundaries!$A$2:$A$30,0),0),1)-1,""))</f>
        <v>6</v>
      </c>
      <c r="AB16" s="42" t="n">
        <f aca="false">IF(OR(AA16="",$E16=""),"",AA16-$E16)</f>
        <v>0.2</v>
      </c>
      <c r="AC16" s="39" t="n">
        <v>15</v>
      </c>
      <c r="AD16" s="40" t="n">
        <f aca="false">IF(OR(AC16="",BX16=""),"",AC16/BX16*100)</f>
        <v>75</v>
      </c>
      <c r="AE16" s="41" t="n">
        <f aca="false">IF(AD16="","",IFERROR(MATCH(AD16,INDEX(Boundaries!$B$2:$I$30,MATCH(CL16,Boundaries!$A$2:$A$30,0),0),1)-1,""))</f>
        <v>7</v>
      </c>
      <c r="AF16" s="42" t="n">
        <f aca="false">IF(OR(AE16="",$E16=""),"",AE16-$E16)</f>
        <v>1.2</v>
      </c>
      <c r="AG16" s="39"/>
      <c r="AH16" s="40" t="str">
        <f aca="false">IF(OR(AG16="",BY16=""),"",AG16/BY16*100)</f>
        <v/>
      </c>
      <c r="AI16" s="41" t="str">
        <f aca="false">IF(AH16="","",IFERROR(MATCH(AH16,INDEX(Boundaries!$B$2:$I$30,MATCH(CM16,Boundaries!$A$2:$A$30,0),0),1)-1,""))</f>
        <v/>
      </c>
      <c r="AJ16" s="42" t="str">
        <f aca="false">IF(OR(AI16="",$E16=""),"",AI16-$E16)</f>
        <v/>
      </c>
      <c r="AK16" s="39" t="n">
        <v>26</v>
      </c>
      <c r="AL16" s="40" t="n">
        <f aca="false">IF(OR(AK16="",BZ16=""),"",AK16/BZ16*100)</f>
        <v>65</v>
      </c>
      <c r="AM16" s="41" t="n">
        <f aca="false">IF(AL16="","",IFERROR(MATCH(AL16,INDEX(Boundaries!$B$2:$I$30,MATCH(CN16,Boundaries!$A$2:$A$30,0),0),1)-1,""))</f>
        <v>6</v>
      </c>
      <c r="AN16" s="42" t="n">
        <f aca="false">IF(OR(AM16="",$E16=""),"",AM16-$E16)</f>
        <v>0.2</v>
      </c>
      <c r="AO16" s="39" t="n">
        <v>31</v>
      </c>
      <c r="AP16" s="40" t="n">
        <f aca="false">IF(OR(AO16="",CA16=""),"",AO16/CA16*100)</f>
        <v>62</v>
      </c>
      <c r="AQ16" s="41" t="n">
        <f aca="false">IF(AP16="","",IFERROR(MATCH(AP16,INDEX(Boundaries!$B$2:$I$30,MATCH(CO16,Boundaries!$A$2:$A$30,0),0),1)-1,""))</f>
        <v>5</v>
      </c>
      <c r="AR16" s="42" t="n">
        <f aca="false">IF(OR(AQ16="",$E16=""),"",AQ16-$E16)</f>
        <v>-0.8</v>
      </c>
      <c r="AS16" s="39"/>
      <c r="AT16" s="40" t="str">
        <f aca="false">IF(OR(AS16="",CB16=""),"",AS16/CB16*100)</f>
        <v/>
      </c>
      <c r="AU16" s="41" t="str">
        <f aca="false">IF(AT16="","",IFERROR(MATCH(AT16,INDEX(Boundaries!$B$2:$I$30,MATCH(CP16,Boundaries!$A$2:$A$30,0),0),1)-1,""))</f>
        <v/>
      </c>
      <c r="AV16" s="42" t="str">
        <f aca="false">IF(OR(AU16="",$E16=""),"",AU16-$E16)</f>
        <v/>
      </c>
      <c r="AW16" s="39"/>
      <c r="AX16" s="40" t="str">
        <f aca="false">IF(OR(AW16="",CC16=""),"",AW16/CC16*100)</f>
        <v/>
      </c>
      <c r="AY16" s="41" t="str">
        <f aca="false">IF(AX16="","",IFERROR(MATCH(AX16,INDEX(Boundaries!$B$2:$I$30,MATCH(CQ16,Boundaries!$A$2:$A$30,0),0),1)-1,""))</f>
        <v/>
      </c>
      <c r="AZ16" s="42" t="str">
        <f aca="false">IF(OR(AY16="",$E16=""),"",AY16-$E16)</f>
        <v/>
      </c>
      <c r="BA16" s="39"/>
      <c r="BB16" s="40" t="str">
        <f aca="false">IF(OR(BA16="",CD16=""),"",BA16/CD16*100)</f>
        <v/>
      </c>
      <c r="BC16" s="41" t="str">
        <f aca="false">IF(BB16="","",IFERROR(MATCH(BB16,INDEX(Boundaries!$B$2:$I$30,MATCH(CR16,Boundaries!$A$2:$A$30,0),0),1)-1,""))</f>
        <v/>
      </c>
      <c r="BD16" s="42" t="str">
        <f aca="false">IF(OR(BC16="",$E16=""),"",BC16-$E16)</f>
        <v/>
      </c>
      <c r="BE16" s="39"/>
      <c r="BF16" s="40" t="str">
        <f aca="false">IF(OR(BE16="",CE16=""),"",BE16/CE16*100)</f>
        <v/>
      </c>
      <c r="BG16" s="41" t="str">
        <f aca="false">IF(BF16="","",IFERROR(MATCH(BF16,INDEX(Boundaries!$B$2:$I$30,MATCH(CS16,Boundaries!$A$2:$A$30,0),0),1)-1,""))</f>
        <v/>
      </c>
      <c r="BH16" s="42" t="str">
        <f aca="false">IF(OR(BG16="",$E16=""),"",BG16-$E16)</f>
        <v/>
      </c>
      <c r="BI16" s="39"/>
      <c r="BJ16" s="40" t="str">
        <f aca="false">IF(OR(BI16="",CF16=""),"",BI16/CF16*100)</f>
        <v/>
      </c>
      <c r="BK16" s="41" t="str">
        <f aca="false">IF(BJ16="","",IFERROR(MATCH(BJ16,INDEX(Boundaries!$B$2:$I$30,MATCH(CT16,Boundaries!$A$2:$A$30,0),0),1)-1,""))</f>
        <v/>
      </c>
      <c r="BL16" s="42" t="str">
        <f aca="false">IF(OR(BK16="",$E16=""),"",BK16-$E16)</f>
        <v/>
      </c>
      <c r="BM16" s="39"/>
      <c r="BN16" s="40" t="str">
        <f aca="false">IF(OR(BM16="",CG16=""),"",BM16/CG16*100)</f>
        <v/>
      </c>
      <c r="BO16" s="41" t="str">
        <f aca="false">IF(BN16="","",IFERROR(MATCH(BN16,INDEX(Boundaries!$B$2:$I$30,MATCH(CU16,Boundaries!$A$2:$A$30,0),0),1)-1,""))</f>
        <v/>
      </c>
      <c r="BP16" s="42" t="str">
        <f aca="false">IF(OR(BO16="",$E16=""),"",BO16-$E16)</f>
        <v/>
      </c>
      <c r="BQ16" s="39"/>
      <c r="BR16" s="40" t="str">
        <f aca="false">IF(OR(BQ16="",CH16=""),"",BQ16/CH16*100)</f>
        <v/>
      </c>
      <c r="BS16" s="41" t="str">
        <f aca="false">IF(BR16="","",IFERROR(MATCH(BR16,INDEX(Boundaries!$B$2:$I$30,MATCH(CV16,Boundaries!$A$2:$A$30,0),0),1)-1,""))</f>
        <v/>
      </c>
      <c r="BT16" s="42" t="str">
        <f aca="false">IF(OR(BS16="",$E16=""),"",BS16-$E16)</f>
        <v/>
      </c>
      <c r="BU16" s="28" t="n">
        <f aca="false">IFERROR(INDEX(Assessments!$H$2:$H$600,MATCH($H16&amp;"|"&amp;$I16&amp;"|"&amp;$J16&amp;"|"&amp;1,Assessments!$A$2:$A$600,0)),"")</f>
        <v>20</v>
      </c>
      <c r="BV16" s="28" t="n">
        <f aca="false">IFERROR(INDEX(Assessments!$H$2:$H$600,MATCH($H16&amp;"|"&amp;$I16&amp;"|"&amp;$J16&amp;"|"&amp;2,Assessments!$A$2:$A$600,0)),"")</f>
        <v>20</v>
      </c>
      <c r="BW16" s="28" t="n">
        <f aca="false">IFERROR(INDEX(Assessments!$H$2:$H$600,MATCH($H16&amp;"|"&amp;$I16&amp;"|"&amp;$J16&amp;"|"&amp;3,Assessments!$A$2:$A$600,0)),"")</f>
        <v>20</v>
      </c>
      <c r="BX16" s="28" t="n">
        <f aca="false">IFERROR(INDEX(Assessments!$H$2:$H$600,MATCH($H16&amp;"|"&amp;$I16&amp;"|"&amp;$J16&amp;"|"&amp;4,Assessments!$A$2:$A$600,0)),"")</f>
        <v>20</v>
      </c>
      <c r="BY16" s="28" t="n">
        <f aca="false">IFERROR(INDEX(Assessments!$H$2:$H$600,MATCH($H16&amp;"|"&amp;$I16&amp;"|"&amp;$J16&amp;"|"&amp;5,Assessments!$A$2:$A$600,0)),"")</f>
        <v>20</v>
      </c>
      <c r="BZ16" s="28" t="n">
        <f aca="false">IFERROR(INDEX(Assessments!$H$2:$H$600,MATCH($H16&amp;"|"&amp;$I16&amp;"|"&amp;$J16&amp;"|"&amp;6,Assessments!$A$2:$A$600,0)),"")</f>
        <v>40</v>
      </c>
      <c r="CA16" s="28" t="n">
        <f aca="false">IFERROR(INDEX(Assessments!$H$2:$H$600,MATCH($H16&amp;"|"&amp;$I16&amp;"|"&amp;$J16&amp;"|"&amp;7,Assessments!$A$2:$A$600,0)),"")</f>
        <v>50</v>
      </c>
      <c r="CB16" s="28" t="n">
        <f aca="false">IFERROR(INDEX(Assessments!$H$2:$H$600,MATCH($H16&amp;"|"&amp;$I16&amp;"|"&amp;$J16&amp;"|"&amp;8,Assessments!$A$2:$A$600,0)),"")</f>
        <v>25</v>
      </c>
      <c r="CC16" s="28" t="n">
        <f aca="false">IFERROR(INDEX(Assessments!$H$2:$H$600,MATCH($H16&amp;"|"&amp;$I16&amp;"|"&amp;$J16&amp;"|"&amp;9,Assessments!$A$2:$A$600,0)),"")</f>
        <v>16</v>
      </c>
      <c r="CD16" s="28" t="n">
        <f aca="false">IFERROR(INDEX(Assessments!$H$2:$H$600,MATCH($H16&amp;"|"&amp;$I16&amp;"|"&amp;$J16&amp;"|"&amp;10,Assessments!$A$2:$A$600,0)),"")</f>
        <v>30</v>
      </c>
      <c r="CE16" s="28" t="str">
        <f aca="false">IFERROR(INDEX(Assessments!$H$2:$H$600,MATCH($H16&amp;"|"&amp;$I16&amp;"|"&amp;$J16&amp;"|"&amp;11,Assessments!$A$2:$A$600,0)),"")</f>
        <v/>
      </c>
      <c r="CF16" s="28" t="str">
        <f aca="false">IFERROR(INDEX(Assessments!$H$2:$H$600,MATCH($H16&amp;"|"&amp;$I16&amp;"|"&amp;$J16&amp;"|"&amp;12,Assessments!$A$2:$A$600,0)),"")</f>
        <v/>
      </c>
      <c r="CG16" s="28" t="str">
        <f aca="false">IFERROR(INDEX(Assessments!$H$2:$H$600,MATCH($H16&amp;"|"&amp;$I16&amp;"|"&amp;$J16&amp;"|"&amp;13,Assessments!$A$2:$A$600,0)),"")</f>
        <v/>
      </c>
      <c r="CH16" s="28" t="str">
        <f aca="false">IFERROR(INDEX(Assessments!$H$2:$H$600,MATCH($H16&amp;"|"&amp;$I16&amp;"|"&amp;$J16&amp;"|"&amp;14,Assessments!$A$2:$A$600,0)),"")</f>
        <v/>
      </c>
      <c r="CI16" s="28" t="str">
        <f aca="false">IFERROR(INDEX(Assessments!$I$2:$I$600,MATCH($H16&amp;"|"&amp;$I16&amp;"|"&amp;$J16&amp;"|"&amp;1,Assessments!$A$2:$A$600,0)),"")</f>
        <v>Geog Paper 1</v>
      </c>
      <c r="CJ16" s="28" t="str">
        <f aca="false">IFERROR(INDEX(Assessments!$I$2:$I$600,MATCH($H16&amp;"|"&amp;$I16&amp;"|"&amp;$J16&amp;"|"&amp;2,Assessments!$A$2:$A$600,0)),"")</f>
        <v>Geog Paper 1</v>
      </c>
      <c r="CK16" s="28" t="str">
        <f aca="false">IFERROR(INDEX(Assessments!$I$2:$I$600,MATCH($H16&amp;"|"&amp;$I16&amp;"|"&amp;$J16&amp;"|"&amp;3,Assessments!$A$2:$A$600,0)),"")</f>
        <v>Geog Paper 2</v>
      </c>
      <c r="CL16" s="28" t="str">
        <f aca="false">IFERROR(INDEX(Assessments!$I$2:$I$600,MATCH($H16&amp;"|"&amp;$I16&amp;"|"&amp;$J16&amp;"|"&amp;4,Assessments!$A$2:$A$600,0)),"")</f>
        <v>Geog Paper 1</v>
      </c>
      <c r="CM16" s="28" t="str">
        <f aca="false">IFERROR(INDEX(Assessments!$I$2:$I$600,MATCH($H16&amp;"|"&amp;$I16&amp;"|"&amp;$J16&amp;"|"&amp;5,Assessments!$A$2:$A$600,0)),"")</f>
        <v>Geog Paper 1</v>
      </c>
      <c r="CN16" s="28" t="str">
        <f aca="false">IFERROR(INDEX(Assessments!$I$2:$I$600,MATCH($H16&amp;"|"&amp;$I16&amp;"|"&amp;$J16&amp;"|"&amp;6,Assessments!$A$2:$A$600,0)),"")</f>
        <v>Geog Paper 1</v>
      </c>
      <c r="CO16" s="28" t="str">
        <f aca="false">IFERROR(INDEX(Assessments!$I$2:$I$600,MATCH($H16&amp;"|"&amp;$I16&amp;"|"&amp;$J16&amp;"|"&amp;7,Assessments!$A$2:$A$600,0)),"")</f>
        <v>Geog Paper 2</v>
      </c>
      <c r="CP16" s="28" t="str">
        <f aca="false">IFERROR(INDEX(Assessments!$I$2:$I$600,MATCH($H16&amp;"|"&amp;$I16&amp;"|"&amp;$J16&amp;"|"&amp;8,Assessments!$A$2:$A$600,0)),"")</f>
        <v>Geog Paper 2</v>
      </c>
      <c r="CQ16" s="28" t="str">
        <f aca="false">IFERROR(INDEX(Assessments!$I$2:$I$600,MATCH($H16&amp;"|"&amp;$I16&amp;"|"&amp;$J16&amp;"|"&amp;9,Assessments!$A$2:$A$600,0)),"")</f>
        <v>Geog Paper 3</v>
      </c>
      <c r="CR16" s="28" t="str">
        <f aca="false">IFERROR(INDEX(Assessments!$I$2:$I$600,MATCH($H16&amp;"|"&amp;$I16&amp;"|"&amp;$J16&amp;"|"&amp;10,Assessments!$A$2:$A$600,0)),"")</f>
        <v>Geog Paper 2</v>
      </c>
      <c r="CS16" s="28" t="str">
        <f aca="false">IFERROR(INDEX(Assessments!$I$2:$I$600,MATCH($H16&amp;"|"&amp;$I16&amp;"|"&amp;$J16&amp;"|"&amp;11,Assessments!$A$2:$A$600,0)),"")</f>
        <v/>
      </c>
      <c r="CT16" s="28" t="str">
        <f aca="false">IFERROR(INDEX(Assessments!$I$2:$I$600,MATCH($H16&amp;"|"&amp;$I16&amp;"|"&amp;$J16&amp;"|"&amp;12,Assessments!$A$2:$A$600,0)),"")</f>
        <v/>
      </c>
      <c r="CU16" s="28" t="str">
        <f aca="false">IFERROR(INDEX(Assessments!$I$2:$I$600,MATCH($H16&amp;"|"&amp;$I16&amp;"|"&amp;$J16&amp;"|"&amp;13,Assessments!$A$2:$A$600,0)),"")</f>
        <v/>
      </c>
      <c r="CV16" s="28" t="str">
        <f aca="false">IFERROR(INDEX(Assessments!$I$2:$I$600,MATCH($H16&amp;"|"&amp;$I16&amp;"|"&amp;$J16&amp;"|"&amp;14,Assessments!$A$2:$A$600,0)),"")</f>
        <v/>
      </c>
      <c r="CW16" s="28" t="n">
        <f aca="false">IFERROR(INDEX(Assessments!$J$2:$J$600,MATCH($H16&amp;"|"&amp;$I16&amp;"|"&amp;$J16&amp;"|"&amp;1,Assessments!$A$2:$A$600,0)),0)</f>
        <v>1</v>
      </c>
      <c r="CX16" s="28" t="n">
        <f aca="false">IFERROR(INDEX(Assessments!$J$2:$J$600,MATCH($H16&amp;"|"&amp;$I16&amp;"|"&amp;$J16&amp;"|"&amp;2,Assessments!$A$2:$A$600,0)),0)</f>
        <v>1</v>
      </c>
      <c r="CY16" s="28" t="n">
        <f aca="false">IFERROR(INDEX(Assessments!$J$2:$J$600,MATCH($H16&amp;"|"&amp;$I16&amp;"|"&amp;$J16&amp;"|"&amp;3,Assessments!$A$2:$A$600,0)),0)</f>
        <v>1</v>
      </c>
      <c r="CZ16" s="28" t="n">
        <f aca="false">IFERROR(INDEX(Assessments!$J$2:$J$600,MATCH($H16&amp;"|"&amp;$I16&amp;"|"&amp;$J16&amp;"|"&amp;4,Assessments!$A$2:$A$600,0)),0)</f>
        <v>1</v>
      </c>
      <c r="DA16" s="28" t="n">
        <f aca="false">IFERROR(INDEX(Assessments!$J$2:$J$600,MATCH($H16&amp;"|"&amp;$I16&amp;"|"&amp;$J16&amp;"|"&amp;5,Assessments!$A$2:$A$600,0)),0)</f>
        <v>1</v>
      </c>
      <c r="DB16" s="28" t="n">
        <f aca="false">IFERROR(INDEX(Assessments!$J$2:$J$600,MATCH($H16&amp;"|"&amp;$I16&amp;"|"&amp;$J16&amp;"|"&amp;6,Assessments!$A$2:$A$600,0)),0)</f>
        <v>2</v>
      </c>
      <c r="DC16" s="28" t="n">
        <f aca="false">IFERROR(INDEX(Assessments!$J$2:$J$600,MATCH($H16&amp;"|"&amp;$I16&amp;"|"&amp;$J16&amp;"|"&amp;7,Assessments!$A$2:$A$600,0)),0)</f>
        <v>2</v>
      </c>
      <c r="DD16" s="28" t="n">
        <f aca="false">IFERROR(INDEX(Assessments!$J$2:$J$600,MATCH($H16&amp;"|"&amp;$I16&amp;"|"&amp;$J16&amp;"|"&amp;8,Assessments!$A$2:$A$600,0)),0)</f>
        <v>1</v>
      </c>
      <c r="DE16" s="28" t="n">
        <f aca="false">IFERROR(INDEX(Assessments!$J$2:$J$600,MATCH($H16&amp;"|"&amp;$I16&amp;"|"&amp;$J16&amp;"|"&amp;9,Assessments!$A$2:$A$600,0)),0)</f>
        <v>1</v>
      </c>
      <c r="DF16" s="28" t="n">
        <f aca="false">IFERROR(INDEX(Assessments!$J$2:$J$600,MATCH($H16&amp;"|"&amp;$I16&amp;"|"&amp;$J16&amp;"|"&amp;10,Assessments!$A$2:$A$600,0)),0)</f>
        <v>1</v>
      </c>
      <c r="DG16" s="28" t="n">
        <f aca="false">IFERROR(INDEX(Assessments!$J$2:$J$600,MATCH($H16&amp;"|"&amp;$I16&amp;"|"&amp;$J16&amp;"|"&amp;11,Assessments!$A$2:$A$600,0)),0)</f>
        <v>0</v>
      </c>
      <c r="DH16" s="28" t="n">
        <f aca="false">IFERROR(INDEX(Assessments!$J$2:$J$600,MATCH($H16&amp;"|"&amp;$I16&amp;"|"&amp;$J16&amp;"|"&amp;12,Assessments!$A$2:$A$600,0)),0)</f>
        <v>0</v>
      </c>
      <c r="DI16" s="28" t="n">
        <f aca="false">IFERROR(INDEX(Assessments!$J$2:$J$600,MATCH($H16&amp;"|"&amp;$I16&amp;"|"&amp;$J16&amp;"|"&amp;13,Assessments!$A$2:$A$600,0)),0)</f>
        <v>0</v>
      </c>
      <c r="DJ16" s="28" t="n">
        <f aca="false">IFERROR(INDEX(Assessments!$J$2:$J$600,MATCH($H16&amp;"|"&amp;$I16&amp;"|"&amp;$J16&amp;"|"&amp;14,Assessments!$A$2:$A$600,0)),0)</f>
        <v>0</v>
      </c>
      <c r="DK16" s="28" t="n">
        <f aca="false">S16</f>
        <v>6</v>
      </c>
      <c r="DL16" s="28" t="n">
        <f aca="false">W16</f>
        <v>6</v>
      </c>
      <c r="DM16" s="28" t="n">
        <f aca="false">AA16</f>
        <v>6</v>
      </c>
      <c r="DN16" s="28" t="n">
        <f aca="false">AE16</f>
        <v>7</v>
      </c>
      <c r="DO16" s="28" t="str">
        <f aca="false">AI16</f>
        <v/>
      </c>
      <c r="DP16" s="28" t="n">
        <f aca="false">AM16</f>
        <v>6</v>
      </c>
      <c r="DQ16" s="28" t="n">
        <f aca="false">AQ16</f>
        <v>5</v>
      </c>
      <c r="DR16" s="28" t="str">
        <f aca="false">AU16</f>
        <v/>
      </c>
      <c r="DS16" s="28" t="str">
        <f aca="false">AY16</f>
        <v/>
      </c>
      <c r="DT16" s="28" t="str">
        <f aca="false">BC16</f>
        <v/>
      </c>
      <c r="DU16" s="28" t="str">
        <f aca="false">BG16</f>
        <v/>
      </c>
      <c r="DV16" s="28" t="str">
        <f aca="false">BK16</f>
        <v/>
      </c>
      <c r="DW16" s="28" t="str">
        <f aca="false">BO16</f>
        <v/>
      </c>
      <c r="DX16" s="28" t="str">
        <f aca="false">BS16</f>
        <v/>
      </c>
      <c r="DY16" s="28" t="n">
        <f aca="false">IF(ISNUMBER(S16),1,"")</f>
        <v>1</v>
      </c>
      <c r="DZ16" s="28" t="n">
        <f aca="false">IF(ISNUMBER(W16),2,"")</f>
        <v>2</v>
      </c>
      <c r="EA16" s="28" t="n">
        <f aca="false">IF(ISNUMBER(AA16),3,"")</f>
        <v>3</v>
      </c>
      <c r="EB16" s="28" t="n">
        <f aca="false">IF(ISNUMBER(AE16),4,"")</f>
        <v>4</v>
      </c>
      <c r="EC16" s="28" t="str">
        <f aca="false">IF(ISNUMBER(AI16),5,"")</f>
        <v/>
      </c>
      <c r="ED16" s="28" t="n">
        <f aca="false">IF(ISNUMBER(AM16),6,"")</f>
        <v>6</v>
      </c>
      <c r="EE16" s="28" t="n">
        <f aca="false">IF(ISNUMBER(AQ16),7,"")</f>
        <v>7</v>
      </c>
      <c r="EF16" s="28" t="str">
        <f aca="false">IF(ISNUMBER(AU16),8,"")</f>
        <v/>
      </c>
      <c r="EG16" s="28" t="str">
        <f aca="false">IF(ISNUMBER(AY16),9,"")</f>
        <v/>
      </c>
      <c r="EH16" s="28" t="str">
        <f aca="false">IF(ISNUMBER(BC16),10,"")</f>
        <v/>
      </c>
      <c r="EI16" s="28" t="str">
        <f aca="false">IF(ISNUMBER(BG16),11,"")</f>
        <v/>
      </c>
      <c r="EJ16" s="28" t="str">
        <f aca="false">IF(ISNUMBER(BK16),12,"")</f>
        <v/>
      </c>
      <c r="EK16" s="28" t="str">
        <f aca="false">IF(ISNUMBER(BO16),13,"")</f>
        <v/>
      </c>
      <c r="EL16" s="28" t="str">
        <f aca="false">IF(ISNUMBER(BS16),14,"")</f>
        <v/>
      </c>
      <c r="EM16" s="28" t="n">
        <f aca="false">IF(ISNUMBER(R16),R16*CW16,0)</f>
        <v>65</v>
      </c>
      <c r="EN16" s="28" t="n">
        <f aca="false">IF(ISNUMBER(V16),V16*CX16,0)</f>
        <v>65</v>
      </c>
      <c r="EO16" s="28" t="n">
        <f aca="false">IF(ISNUMBER(Z16),Z16*CY16,0)</f>
        <v>70</v>
      </c>
      <c r="EP16" s="28" t="n">
        <f aca="false">IF(ISNUMBER(AD16),AD16*CZ16,0)</f>
        <v>75</v>
      </c>
      <c r="EQ16" s="28" t="n">
        <f aca="false">IF(ISNUMBER(AH16),AH16*DA16,0)</f>
        <v>0</v>
      </c>
      <c r="ER16" s="28" t="n">
        <f aca="false">IF(ISNUMBER(AL16),AL16*DB16,0)</f>
        <v>130</v>
      </c>
      <c r="ES16" s="28" t="n">
        <f aca="false">IF(ISNUMBER(AP16),AP16*DC16,0)</f>
        <v>124</v>
      </c>
      <c r="ET16" s="28" t="n">
        <f aca="false">IF(ISNUMBER(AT16),AT16*DD16,0)</f>
        <v>0</v>
      </c>
      <c r="EU16" s="28" t="n">
        <f aca="false">IF(ISNUMBER(AX16),AX16*DE16,0)</f>
        <v>0</v>
      </c>
      <c r="EV16" s="28" t="n">
        <f aca="false">IF(ISNUMBER(BB16),BB16*DF16,0)</f>
        <v>0</v>
      </c>
      <c r="EW16" s="28" t="n">
        <f aca="false">IF(ISNUMBER(BF16),BF16*DG16,0)</f>
        <v>0</v>
      </c>
      <c r="EX16" s="28" t="n">
        <f aca="false">IF(ISNUMBER(BJ16),BJ16*DH16,0)</f>
        <v>0</v>
      </c>
      <c r="EY16" s="28" t="n">
        <f aca="false">IF(ISNUMBER(BN16),BN16*DI16,0)</f>
        <v>0</v>
      </c>
      <c r="EZ16" s="28" t="n">
        <f aca="false">IF(ISNUMBER(BR16),BR16*DJ16,0)</f>
        <v>0</v>
      </c>
      <c r="FA16" s="28" t="n">
        <f aca="false">IF(ISNUMBER(R16),CW16,0)</f>
        <v>1</v>
      </c>
      <c r="FB16" s="28" t="n">
        <f aca="false">IF(ISNUMBER(V16),CX16,0)</f>
        <v>1</v>
      </c>
      <c r="FC16" s="28" t="n">
        <f aca="false">IF(ISNUMBER(Z16),CY16,0)</f>
        <v>1</v>
      </c>
      <c r="FD16" s="28" t="n">
        <f aca="false">IF(ISNUMBER(AD16),CZ16,0)</f>
        <v>1</v>
      </c>
      <c r="FE16" s="28" t="n">
        <f aca="false">IF(ISNUMBER(AH16),DA16,0)</f>
        <v>0</v>
      </c>
      <c r="FF16" s="28" t="n">
        <f aca="false">IF(ISNUMBER(AL16),DB16,0)</f>
        <v>2</v>
      </c>
      <c r="FG16" s="28" t="n">
        <f aca="false">IF(ISNUMBER(AP16),DC16,0)</f>
        <v>2</v>
      </c>
      <c r="FH16" s="28" t="n">
        <f aca="false">IF(ISNUMBER(AT16),DD16,0)</f>
        <v>0</v>
      </c>
      <c r="FI16" s="28" t="n">
        <f aca="false">IF(ISNUMBER(AX16),DE16,0)</f>
        <v>0</v>
      </c>
      <c r="FJ16" s="28" t="n">
        <f aca="false">IF(ISNUMBER(BB16),DF16,0)</f>
        <v>0</v>
      </c>
      <c r="FK16" s="28" t="n">
        <f aca="false">IF(ISNUMBER(BF16),DG16,0)</f>
        <v>0</v>
      </c>
      <c r="FL16" s="28" t="n">
        <f aca="false">IF(ISNUMBER(BJ16),DH16,0)</f>
        <v>0</v>
      </c>
      <c r="FM16" s="28" t="n">
        <f aca="false">IF(ISNUMBER(BN16),DI16,0)</f>
        <v>0</v>
      </c>
      <c r="FN16" s="28" t="n">
        <f aca="false">IF(ISNUMBER(BR16),DJ16,0)</f>
        <v>0</v>
      </c>
      <c r="FO16" s="28" t="str">
        <f aca="false">IFERROR(INDEX(Lists!$G$2:$G$20,MATCH($I16&amp;"|"&amp;$J16,Lists!$F$2:$F$20,0)),"")</f>
        <v>Geog Overall HL</v>
      </c>
    </row>
    <row r="17" customFormat="false" ht="19.5" hidden="false" customHeight="true" outlineLevel="0" collapsed="false">
      <c r="A17" s="29" t="s">
        <v>165</v>
      </c>
      <c r="B17" s="29" t="s">
        <v>166</v>
      </c>
      <c r="C17" s="30" t="s">
        <v>152</v>
      </c>
      <c r="D17" s="30" t="s">
        <v>153</v>
      </c>
      <c r="E17" s="31" t="n">
        <v>5.5</v>
      </c>
      <c r="F17" s="30" t="n">
        <v>6</v>
      </c>
      <c r="G17" s="30"/>
      <c r="H17" s="32" t="s">
        <v>23</v>
      </c>
      <c r="I17" s="33" t="s">
        <v>24</v>
      </c>
      <c r="J17" s="32" t="s">
        <v>25</v>
      </c>
      <c r="K17" s="34" t="n">
        <f aca="false">IF(OR(M17="",$E17=""),"",M17-$E17)</f>
        <v>-0.5</v>
      </c>
      <c r="L17" s="35" t="n">
        <f aca="false">IF(SUM(FA17:FN17)=0,"",SUM(EM17:EZ17)/SUM(FA17:FN17))</f>
        <v>61.3333333333333</v>
      </c>
      <c r="M17" s="36" t="n">
        <f aca="false">IF(OR(L17="",FO17=""),"",IFERROR(MATCH(L17,INDEX(Boundaries!$B$2:$I$30,MATCH(FO17,Boundaries!$A$2:$A$30,0),0),1)-1,""))</f>
        <v>5</v>
      </c>
      <c r="N17" s="37" t="n">
        <f aca="false">IF(COUNT($DY17:$EL17)&lt;2,"",INDEX($DK17:$DX17,MAX($DY17:$EL17))-INDEX($DK17:$DX17,MIN($DY17:$EL17)))</f>
        <v>0</v>
      </c>
      <c r="O17" s="37" t="n">
        <f aca="false">IF(COUNT($DY17:$EL17)&lt;2,"",INDEX($DK17:$DX17,MAX($DY17:$EL17))-INDEX($DK17:$DX17,LARGE($DY17:$EL17,2)))</f>
        <v>0</v>
      </c>
      <c r="P17" s="38" t="str">
        <f aca="false">IF(K17="","",IF(K17&gt;=0,"On/above target",IF(AND(N17&lt;&gt;"",N17&gt;=0.5),"Improving towards target",IF(AND(O17&lt;&gt;"",O17&lt;=-0.5),"Declining","Stable below target"))))</f>
        <v>Stable below target</v>
      </c>
      <c r="Q17" s="39" t="n">
        <v>11</v>
      </c>
      <c r="R17" s="40" t="n">
        <f aca="false">IF(OR(Q17="",BU17=""),"",Q17/BU17*100)</f>
        <v>55</v>
      </c>
      <c r="S17" s="41" t="n">
        <f aca="false">IF(R17="","",IFERROR(MATCH(R17,INDEX(Boundaries!$B$2:$I$30,MATCH(CI17,Boundaries!$A$2:$A$30,0),0),1)-1,""))</f>
        <v>5</v>
      </c>
      <c r="T17" s="42" t="n">
        <f aca="false">IF(OR(S17="",$E17=""),"",S17-$E17)</f>
        <v>-0.5</v>
      </c>
      <c r="U17" s="39" t="n">
        <v>15</v>
      </c>
      <c r="V17" s="40" t="n">
        <f aca="false">IF(OR(U17="",BV17=""),"",U17/BV17*100)</f>
        <v>75</v>
      </c>
      <c r="W17" s="41" t="n">
        <f aca="false">IF(V17="","",IFERROR(MATCH(V17,INDEX(Boundaries!$B$2:$I$30,MATCH(CJ17,Boundaries!$A$2:$A$30,0),0),1)-1,""))</f>
        <v>7</v>
      </c>
      <c r="X17" s="42" t="n">
        <f aca="false">IF(OR(W17="",$E17=""),"",W17-$E17)</f>
        <v>1.5</v>
      </c>
      <c r="Y17" s="39" t="n">
        <v>14</v>
      </c>
      <c r="Z17" s="40" t="n">
        <f aca="false">IF(OR(Y17="",BW17=""),"",Y17/BW17*100)</f>
        <v>70</v>
      </c>
      <c r="AA17" s="41" t="n">
        <f aca="false">IF(Z17="","",IFERROR(MATCH(Z17,INDEX(Boundaries!$B$2:$I$30,MATCH(CK17,Boundaries!$A$2:$A$30,0),0),1)-1,""))</f>
        <v>6</v>
      </c>
      <c r="AB17" s="42" t="n">
        <f aca="false">IF(OR(AA17="",$E17=""),"",AA17-$E17)</f>
        <v>0.5</v>
      </c>
      <c r="AC17" s="39" t="n">
        <v>9</v>
      </c>
      <c r="AD17" s="40" t="n">
        <f aca="false">IF(OR(AC17="",BX17=""),"",AC17/BX17*100)</f>
        <v>45</v>
      </c>
      <c r="AE17" s="41" t="n">
        <f aca="false">IF(AD17="","",IFERROR(MATCH(AD17,INDEX(Boundaries!$B$2:$I$30,MATCH(CL17,Boundaries!$A$2:$A$30,0),0),1)-1,""))</f>
        <v>4</v>
      </c>
      <c r="AF17" s="42" t="n">
        <f aca="false">IF(OR(AE17="",$E17=""),"",AE17-$E17)</f>
        <v>-1.5</v>
      </c>
      <c r="AG17" s="39" t="n">
        <v>11</v>
      </c>
      <c r="AH17" s="40" t="n">
        <f aca="false">IF(OR(AG17="",BY17=""),"",AG17/BY17*100)</f>
        <v>55</v>
      </c>
      <c r="AI17" s="41" t="n">
        <f aca="false">IF(AH17="","",IFERROR(MATCH(AH17,INDEX(Boundaries!$B$2:$I$30,MATCH(CM17,Boundaries!$A$2:$A$30,0),0),1)-1,""))</f>
        <v>5</v>
      </c>
      <c r="AJ17" s="42" t="n">
        <f aca="false">IF(OR(AI17="",$E17=""),"",AI17-$E17)</f>
        <v>-0.5</v>
      </c>
      <c r="AK17" s="39" t="n">
        <v>24</v>
      </c>
      <c r="AL17" s="40" t="n">
        <f aca="false">IF(OR(AK17="",BZ17=""),"",AK17/BZ17*100)</f>
        <v>60</v>
      </c>
      <c r="AM17" s="41" t="n">
        <f aca="false">IF(AL17="","",IFERROR(MATCH(AL17,INDEX(Boundaries!$B$2:$I$30,MATCH(CN17,Boundaries!$A$2:$A$30,0),0),1)-1,""))</f>
        <v>5</v>
      </c>
      <c r="AN17" s="42" t="n">
        <f aca="false">IF(OR(AM17="",$E17=""),"",AM17-$E17)</f>
        <v>-0.5</v>
      </c>
      <c r="AO17" s="39" t="n">
        <v>33</v>
      </c>
      <c r="AP17" s="40" t="n">
        <f aca="false">IF(OR(AO17="",CA17=""),"",AO17/CA17*100)</f>
        <v>66</v>
      </c>
      <c r="AQ17" s="41" t="n">
        <f aca="false">IF(AP17="","",IFERROR(MATCH(AP17,INDEX(Boundaries!$B$2:$I$30,MATCH(CO17,Boundaries!$A$2:$A$30,0),0),1)-1,""))</f>
        <v>5</v>
      </c>
      <c r="AR17" s="42" t="n">
        <f aca="false">IF(OR(AQ17="",$E17=""),"",AQ17-$E17)</f>
        <v>-0.5</v>
      </c>
      <c r="AS17" s="39"/>
      <c r="AT17" s="40" t="str">
        <f aca="false">IF(OR(AS17="",CB17=""),"",AS17/CB17*100)</f>
        <v/>
      </c>
      <c r="AU17" s="41" t="str">
        <f aca="false">IF(AT17="","",IFERROR(MATCH(AT17,INDEX(Boundaries!$B$2:$I$30,MATCH(CP17,Boundaries!$A$2:$A$30,0),0),1)-1,""))</f>
        <v/>
      </c>
      <c r="AV17" s="42" t="str">
        <f aca="false">IF(OR(AU17="",$E17=""),"",AU17-$E17)</f>
        <v/>
      </c>
      <c r="AW17" s="39"/>
      <c r="AX17" s="40" t="str">
        <f aca="false">IF(OR(AW17="",CC17=""),"",AW17/CC17*100)</f>
        <v/>
      </c>
      <c r="AY17" s="41" t="str">
        <f aca="false">IF(AX17="","",IFERROR(MATCH(AX17,INDEX(Boundaries!$B$2:$I$30,MATCH(CQ17,Boundaries!$A$2:$A$30,0),0),1)-1,""))</f>
        <v/>
      </c>
      <c r="AZ17" s="42" t="str">
        <f aca="false">IF(OR(AY17="",$E17=""),"",AY17-$E17)</f>
        <v/>
      </c>
      <c r="BA17" s="39"/>
      <c r="BB17" s="40" t="str">
        <f aca="false">IF(OR(BA17="",CD17=""),"",BA17/CD17*100)</f>
        <v/>
      </c>
      <c r="BC17" s="41" t="str">
        <f aca="false">IF(BB17="","",IFERROR(MATCH(BB17,INDEX(Boundaries!$B$2:$I$30,MATCH(CR17,Boundaries!$A$2:$A$30,0),0),1)-1,""))</f>
        <v/>
      </c>
      <c r="BD17" s="42" t="str">
        <f aca="false">IF(OR(BC17="",$E17=""),"",BC17-$E17)</f>
        <v/>
      </c>
      <c r="BE17" s="39"/>
      <c r="BF17" s="40" t="str">
        <f aca="false">IF(OR(BE17="",CE17=""),"",BE17/CE17*100)</f>
        <v/>
      </c>
      <c r="BG17" s="41" t="str">
        <f aca="false">IF(BF17="","",IFERROR(MATCH(BF17,INDEX(Boundaries!$B$2:$I$30,MATCH(CS17,Boundaries!$A$2:$A$30,0),0),1)-1,""))</f>
        <v/>
      </c>
      <c r="BH17" s="42" t="str">
        <f aca="false">IF(OR(BG17="",$E17=""),"",BG17-$E17)</f>
        <v/>
      </c>
      <c r="BI17" s="39"/>
      <c r="BJ17" s="40" t="str">
        <f aca="false">IF(OR(BI17="",CF17=""),"",BI17/CF17*100)</f>
        <v/>
      </c>
      <c r="BK17" s="41" t="str">
        <f aca="false">IF(BJ17="","",IFERROR(MATCH(BJ17,INDEX(Boundaries!$B$2:$I$30,MATCH(CT17,Boundaries!$A$2:$A$30,0),0),1)-1,""))</f>
        <v/>
      </c>
      <c r="BL17" s="42" t="str">
        <f aca="false">IF(OR(BK17="",$E17=""),"",BK17-$E17)</f>
        <v/>
      </c>
      <c r="BM17" s="39"/>
      <c r="BN17" s="40" t="str">
        <f aca="false">IF(OR(BM17="",CG17=""),"",BM17/CG17*100)</f>
        <v/>
      </c>
      <c r="BO17" s="41" t="str">
        <f aca="false">IF(BN17="","",IFERROR(MATCH(BN17,INDEX(Boundaries!$B$2:$I$30,MATCH(CU17,Boundaries!$A$2:$A$30,0),0),1)-1,""))</f>
        <v/>
      </c>
      <c r="BP17" s="42" t="str">
        <f aca="false">IF(OR(BO17="",$E17=""),"",BO17-$E17)</f>
        <v/>
      </c>
      <c r="BQ17" s="39"/>
      <c r="BR17" s="40" t="str">
        <f aca="false">IF(OR(BQ17="",CH17=""),"",BQ17/CH17*100)</f>
        <v/>
      </c>
      <c r="BS17" s="41" t="str">
        <f aca="false">IF(BR17="","",IFERROR(MATCH(BR17,INDEX(Boundaries!$B$2:$I$30,MATCH(CV17,Boundaries!$A$2:$A$30,0),0),1)-1,""))</f>
        <v/>
      </c>
      <c r="BT17" s="42" t="str">
        <f aca="false">IF(OR(BS17="",$E17=""),"",BS17-$E17)</f>
        <v/>
      </c>
      <c r="BU17" s="28" t="n">
        <f aca="false">IFERROR(INDEX(Assessments!$H$2:$H$600,MATCH($H17&amp;"|"&amp;$I17&amp;"|"&amp;$J17&amp;"|"&amp;1,Assessments!$A$2:$A$600,0)),"")</f>
        <v>20</v>
      </c>
      <c r="BV17" s="28" t="n">
        <f aca="false">IFERROR(INDEX(Assessments!$H$2:$H$600,MATCH($H17&amp;"|"&amp;$I17&amp;"|"&amp;$J17&amp;"|"&amp;2,Assessments!$A$2:$A$600,0)),"")</f>
        <v>20</v>
      </c>
      <c r="BW17" s="28" t="n">
        <f aca="false">IFERROR(INDEX(Assessments!$H$2:$H$600,MATCH($H17&amp;"|"&amp;$I17&amp;"|"&amp;$J17&amp;"|"&amp;3,Assessments!$A$2:$A$600,0)),"")</f>
        <v>20</v>
      </c>
      <c r="BX17" s="28" t="n">
        <f aca="false">IFERROR(INDEX(Assessments!$H$2:$H$600,MATCH($H17&amp;"|"&amp;$I17&amp;"|"&amp;$J17&amp;"|"&amp;4,Assessments!$A$2:$A$600,0)),"")</f>
        <v>20</v>
      </c>
      <c r="BY17" s="28" t="n">
        <f aca="false">IFERROR(INDEX(Assessments!$H$2:$H$600,MATCH($H17&amp;"|"&amp;$I17&amp;"|"&amp;$J17&amp;"|"&amp;5,Assessments!$A$2:$A$600,0)),"")</f>
        <v>20</v>
      </c>
      <c r="BZ17" s="28" t="n">
        <f aca="false">IFERROR(INDEX(Assessments!$H$2:$H$600,MATCH($H17&amp;"|"&amp;$I17&amp;"|"&amp;$J17&amp;"|"&amp;6,Assessments!$A$2:$A$600,0)),"")</f>
        <v>40</v>
      </c>
      <c r="CA17" s="28" t="n">
        <f aca="false">IFERROR(INDEX(Assessments!$H$2:$H$600,MATCH($H17&amp;"|"&amp;$I17&amp;"|"&amp;$J17&amp;"|"&amp;7,Assessments!$A$2:$A$600,0)),"")</f>
        <v>50</v>
      </c>
      <c r="CB17" s="28" t="n">
        <f aca="false">IFERROR(INDEX(Assessments!$H$2:$H$600,MATCH($H17&amp;"|"&amp;$I17&amp;"|"&amp;$J17&amp;"|"&amp;8,Assessments!$A$2:$A$600,0)),"")</f>
        <v>25</v>
      </c>
      <c r="CC17" s="28" t="n">
        <f aca="false">IFERROR(INDEX(Assessments!$H$2:$H$600,MATCH($H17&amp;"|"&amp;$I17&amp;"|"&amp;$J17&amp;"|"&amp;9,Assessments!$A$2:$A$600,0)),"")</f>
        <v>16</v>
      </c>
      <c r="CD17" s="28" t="n">
        <f aca="false">IFERROR(INDEX(Assessments!$H$2:$H$600,MATCH($H17&amp;"|"&amp;$I17&amp;"|"&amp;$J17&amp;"|"&amp;10,Assessments!$A$2:$A$600,0)),"")</f>
        <v>30</v>
      </c>
      <c r="CE17" s="28" t="str">
        <f aca="false">IFERROR(INDEX(Assessments!$H$2:$H$600,MATCH($H17&amp;"|"&amp;$I17&amp;"|"&amp;$J17&amp;"|"&amp;11,Assessments!$A$2:$A$600,0)),"")</f>
        <v/>
      </c>
      <c r="CF17" s="28" t="str">
        <f aca="false">IFERROR(INDEX(Assessments!$H$2:$H$600,MATCH($H17&amp;"|"&amp;$I17&amp;"|"&amp;$J17&amp;"|"&amp;12,Assessments!$A$2:$A$600,0)),"")</f>
        <v/>
      </c>
      <c r="CG17" s="28" t="str">
        <f aca="false">IFERROR(INDEX(Assessments!$H$2:$H$600,MATCH($H17&amp;"|"&amp;$I17&amp;"|"&amp;$J17&amp;"|"&amp;13,Assessments!$A$2:$A$600,0)),"")</f>
        <v/>
      </c>
      <c r="CH17" s="28" t="str">
        <f aca="false">IFERROR(INDEX(Assessments!$H$2:$H$600,MATCH($H17&amp;"|"&amp;$I17&amp;"|"&amp;$J17&amp;"|"&amp;14,Assessments!$A$2:$A$600,0)),"")</f>
        <v/>
      </c>
      <c r="CI17" s="28" t="str">
        <f aca="false">IFERROR(INDEX(Assessments!$I$2:$I$600,MATCH($H17&amp;"|"&amp;$I17&amp;"|"&amp;$J17&amp;"|"&amp;1,Assessments!$A$2:$A$600,0)),"")</f>
        <v>Geog Paper 1</v>
      </c>
      <c r="CJ17" s="28" t="str">
        <f aca="false">IFERROR(INDEX(Assessments!$I$2:$I$600,MATCH($H17&amp;"|"&amp;$I17&amp;"|"&amp;$J17&amp;"|"&amp;2,Assessments!$A$2:$A$600,0)),"")</f>
        <v>Geog Paper 1</v>
      </c>
      <c r="CK17" s="28" t="str">
        <f aca="false">IFERROR(INDEX(Assessments!$I$2:$I$600,MATCH($H17&amp;"|"&amp;$I17&amp;"|"&amp;$J17&amp;"|"&amp;3,Assessments!$A$2:$A$600,0)),"")</f>
        <v>Geog Paper 2</v>
      </c>
      <c r="CL17" s="28" t="str">
        <f aca="false">IFERROR(INDEX(Assessments!$I$2:$I$600,MATCH($H17&amp;"|"&amp;$I17&amp;"|"&amp;$J17&amp;"|"&amp;4,Assessments!$A$2:$A$600,0)),"")</f>
        <v>Geog Paper 1</v>
      </c>
      <c r="CM17" s="28" t="str">
        <f aca="false">IFERROR(INDEX(Assessments!$I$2:$I$600,MATCH($H17&amp;"|"&amp;$I17&amp;"|"&amp;$J17&amp;"|"&amp;5,Assessments!$A$2:$A$600,0)),"")</f>
        <v>Geog Paper 1</v>
      </c>
      <c r="CN17" s="28" t="str">
        <f aca="false">IFERROR(INDEX(Assessments!$I$2:$I$600,MATCH($H17&amp;"|"&amp;$I17&amp;"|"&amp;$J17&amp;"|"&amp;6,Assessments!$A$2:$A$600,0)),"")</f>
        <v>Geog Paper 1</v>
      </c>
      <c r="CO17" s="28" t="str">
        <f aca="false">IFERROR(INDEX(Assessments!$I$2:$I$600,MATCH($H17&amp;"|"&amp;$I17&amp;"|"&amp;$J17&amp;"|"&amp;7,Assessments!$A$2:$A$600,0)),"")</f>
        <v>Geog Paper 2</v>
      </c>
      <c r="CP17" s="28" t="str">
        <f aca="false">IFERROR(INDEX(Assessments!$I$2:$I$600,MATCH($H17&amp;"|"&amp;$I17&amp;"|"&amp;$J17&amp;"|"&amp;8,Assessments!$A$2:$A$600,0)),"")</f>
        <v>Geog Paper 2</v>
      </c>
      <c r="CQ17" s="28" t="str">
        <f aca="false">IFERROR(INDEX(Assessments!$I$2:$I$600,MATCH($H17&amp;"|"&amp;$I17&amp;"|"&amp;$J17&amp;"|"&amp;9,Assessments!$A$2:$A$600,0)),"")</f>
        <v>Geog Paper 3</v>
      </c>
      <c r="CR17" s="28" t="str">
        <f aca="false">IFERROR(INDEX(Assessments!$I$2:$I$600,MATCH($H17&amp;"|"&amp;$I17&amp;"|"&amp;$J17&amp;"|"&amp;10,Assessments!$A$2:$A$600,0)),"")</f>
        <v>Geog Paper 2</v>
      </c>
      <c r="CS17" s="28" t="str">
        <f aca="false">IFERROR(INDEX(Assessments!$I$2:$I$600,MATCH($H17&amp;"|"&amp;$I17&amp;"|"&amp;$J17&amp;"|"&amp;11,Assessments!$A$2:$A$600,0)),"")</f>
        <v/>
      </c>
      <c r="CT17" s="28" t="str">
        <f aca="false">IFERROR(INDEX(Assessments!$I$2:$I$600,MATCH($H17&amp;"|"&amp;$I17&amp;"|"&amp;$J17&amp;"|"&amp;12,Assessments!$A$2:$A$600,0)),"")</f>
        <v/>
      </c>
      <c r="CU17" s="28" t="str">
        <f aca="false">IFERROR(INDEX(Assessments!$I$2:$I$600,MATCH($H17&amp;"|"&amp;$I17&amp;"|"&amp;$J17&amp;"|"&amp;13,Assessments!$A$2:$A$600,0)),"")</f>
        <v/>
      </c>
      <c r="CV17" s="28" t="str">
        <f aca="false">IFERROR(INDEX(Assessments!$I$2:$I$600,MATCH($H17&amp;"|"&amp;$I17&amp;"|"&amp;$J17&amp;"|"&amp;14,Assessments!$A$2:$A$600,0)),"")</f>
        <v/>
      </c>
      <c r="CW17" s="28" t="n">
        <f aca="false">IFERROR(INDEX(Assessments!$J$2:$J$600,MATCH($H17&amp;"|"&amp;$I17&amp;"|"&amp;$J17&amp;"|"&amp;1,Assessments!$A$2:$A$600,0)),0)</f>
        <v>1</v>
      </c>
      <c r="CX17" s="28" t="n">
        <f aca="false">IFERROR(INDEX(Assessments!$J$2:$J$600,MATCH($H17&amp;"|"&amp;$I17&amp;"|"&amp;$J17&amp;"|"&amp;2,Assessments!$A$2:$A$600,0)),0)</f>
        <v>1</v>
      </c>
      <c r="CY17" s="28" t="n">
        <f aca="false">IFERROR(INDEX(Assessments!$J$2:$J$600,MATCH($H17&amp;"|"&amp;$I17&amp;"|"&amp;$J17&amp;"|"&amp;3,Assessments!$A$2:$A$600,0)),0)</f>
        <v>1</v>
      </c>
      <c r="CZ17" s="28" t="n">
        <f aca="false">IFERROR(INDEX(Assessments!$J$2:$J$600,MATCH($H17&amp;"|"&amp;$I17&amp;"|"&amp;$J17&amp;"|"&amp;4,Assessments!$A$2:$A$600,0)),0)</f>
        <v>1</v>
      </c>
      <c r="DA17" s="28" t="n">
        <f aca="false">IFERROR(INDEX(Assessments!$J$2:$J$600,MATCH($H17&amp;"|"&amp;$I17&amp;"|"&amp;$J17&amp;"|"&amp;5,Assessments!$A$2:$A$600,0)),0)</f>
        <v>1</v>
      </c>
      <c r="DB17" s="28" t="n">
        <f aca="false">IFERROR(INDEX(Assessments!$J$2:$J$600,MATCH($H17&amp;"|"&amp;$I17&amp;"|"&amp;$J17&amp;"|"&amp;6,Assessments!$A$2:$A$600,0)),0)</f>
        <v>2</v>
      </c>
      <c r="DC17" s="28" t="n">
        <f aca="false">IFERROR(INDEX(Assessments!$J$2:$J$600,MATCH($H17&amp;"|"&amp;$I17&amp;"|"&amp;$J17&amp;"|"&amp;7,Assessments!$A$2:$A$600,0)),0)</f>
        <v>2</v>
      </c>
      <c r="DD17" s="28" t="n">
        <f aca="false">IFERROR(INDEX(Assessments!$J$2:$J$600,MATCH($H17&amp;"|"&amp;$I17&amp;"|"&amp;$J17&amp;"|"&amp;8,Assessments!$A$2:$A$600,0)),0)</f>
        <v>1</v>
      </c>
      <c r="DE17" s="28" t="n">
        <f aca="false">IFERROR(INDEX(Assessments!$J$2:$J$600,MATCH($H17&amp;"|"&amp;$I17&amp;"|"&amp;$J17&amp;"|"&amp;9,Assessments!$A$2:$A$600,0)),0)</f>
        <v>1</v>
      </c>
      <c r="DF17" s="28" t="n">
        <f aca="false">IFERROR(INDEX(Assessments!$J$2:$J$600,MATCH($H17&amp;"|"&amp;$I17&amp;"|"&amp;$J17&amp;"|"&amp;10,Assessments!$A$2:$A$600,0)),0)</f>
        <v>1</v>
      </c>
      <c r="DG17" s="28" t="n">
        <f aca="false">IFERROR(INDEX(Assessments!$J$2:$J$600,MATCH($H17&amp;"|"&amp;$I17&amp;"|"&amp;$J17&amp;"|"&amp;11,Assessments!$A$2:$A$600,0)),0)</f>
        <v>0</v>
      </c>
      <c r="DH17" s="28" t="n">
        <f aca="false">IFERROR(INDEX(Assessments!$J$2:$J$600,MATCH($H17&amp;"|"&amp;$I17&amp;"|"&amp;$J17&amp;"|"&amp;12,Assessments!$A$2:$A$600,0)),0)</f>
        <v>0</v>
      </c>
      <c r="DI17" s="28" t="n">
        <f aca="false">IFERROR(INDEX(Assessments!$J$2:$J$600,MATCH($H17&amp;"|"&amp;$I17&amp;"|"&amp;$J17&amp;"|"&amp;13,Assessments!$A$2:$A$600,0)),0)</f>
        <v>0</v>
      </c>
      <c r="DJ17" s="28" t="n">
        <f aca="false">IFERROR(INDEX(Assessments!$J$2:$J$600,MATCH($H17&amp;"|"&amp;$I17&amp;"|"&amp;$J17&amp;"|"&amp;14,Assessments!$A$2:$A$600,0)),0)</f>
        <v>0</v>
      </c>
      <c r="DK17" s="28" t="n">
        <f aca="false">S17</f>
        <v>5</v>
      </c>
      <c r="DL17" s="28" t="n">
        <f aca="false">W17</f>
        <v>7</v>
      </c>
      <c r="DM17" s="28" t="n">
        <f aca="false">AA17</f>
        <v>6</v>
      </c>
      <c r="DN17" s="28" t="n">
        <f aca="false">AE17</f>
        <v>4</v>
      </c>
      <c r="DO17" s="28" t="n">
        <f aca="false">AI17</f>
        <v>5</v>
      </c>
      <c r="DP17" s="28" t="n">
        <f aca="false">AM17</f>
        <v>5</v>
      </c>
      <c r="DQ17" s="28" t="n">
        <f aca="false">AQ17</f>
        <v>5</v>
      </c>
      <c r="DR17" s="28" t="str">
        <f aca="false">AU17</f>
        <v/>
      </c>
      <c r="DS17" s="28" t="str">
        <f aca="false">AY17</f>
        <v/>
      </c>
      <c r="DT17" s="28" t="str">
        <f aca="false">BC17</f>
        <v/>
      </c>
      <c r="DU17" s="28" t="str">
        <f aca="false">BG17</f>
        <v/>
      </c>
      <c r="DV17" s="28" t="str">
        <f aca="false">BK17</f>
        <v/>
      </c>
      <c r="DW17" s="28" t="str">
        <f aca="false">BO17</f>
        <v/>
      </c>
      <c r="DX17" s="28" t="str">
        <f aca="false">BS17</f>
        <v/>
      </c>
      <c r="DY17" s="28" t="n">
        <f aca="false">IF(ISNUMBER(S17),1,"")</f>
        <v>1</v>
      </c>
      <c r="DZ17" s="28" t="n">
        <f aca="false">IF(ISNUMBER(W17),2,"")</f>
        <v>2</v>
      </c>
      <c r="EA17" s="28" t="n">
        <f aca="false">IF(ISNUMBER(AA17),3,"")</f>
        <v>3</v>
      </c>
      <c r="EB17" s="28" t="n">
        <f aca="false">IF(ISNUMBER(AE17),4,"")</f>
        <v>4</v>
      </c>
      <c r="EC17" s="28" t="n">
        <f aca="false">IF(ISNUMBER(AI17),5,"")</f>
        <v>5</v>
      </c>
      <c r="ED17" s="28" t="n">
        <f aca="false">IF(ISNUMBER(AM17),6,"")</f>
        <v>6</v>
      </c>
      <c r="EE17" s="28" t="n">
        <f aca="false">IF(ISNUMBER(AQ17),7,"")</f>
        <v>7</v>
      </c>
      <c r="EF17" s="28" t="str">
        <f aca="false">IF(ISNUMBER(AU17),8,"")</f>
        <v/>
      </c>
      <c r="EG17" s="28" t="str">
        <f aca="false">IF(ISNUMBER(AY17),9,"")</f>
        <v/>
      </c>
      <c r="EH17" s="28" t="str">
        <f aca="false">IF(ISNUMBER(BC17),10,"")</f>
        <v/>
      </c>
      <c r="EI17" s="28" t="str">
        <f aca="false">IF(ISNUMBER(BG17),11,"")</f>
        <v/>
      </c>
      <c r="EJ17" s="28" t="str">
        <f aca="false">IF(ISNUMBER(BK17),12,"")</f>
        <v/>
      </c>
      <c r="EK17" s="28" t="str">
        <f aca="false">IF(ISNUMBER(BO17),13,"")</f>
        <v/>
      </c>
      <c r="EL17" s="28" t="str">
        <f aca="false">IF(ISNUMBER(BS17),14,"")</f>
        <v/>
      </c>
      <c r="EM17" s="28" t="n">
        <f aca="false">IF(ISNUMBER(R17),R17*CW17,0)</f>
        <v>55</v>
      </c>
      <c r="EN17" s="28" t="n">
        <f aca="false">IF(ISNUMBER(V17),V17*CX17,0)</f>
        <v>75</v>
      </c>
      <c r="EO17" s="28" t="n">
        <f aca="false">IF(ISNUMBER(Z17),Z17*CY17,0)</f>
        <v>70</v>
      </c>
      <c r="EP17" s="28" t="n">
        <f aca="false">IF(ISNUMBER(AD17),AD17*CZ17,0)</f>
        <v>45</v>
      </c>
      <c r="EQ17" s="28" t="n">
        <f aca="false">IF(ISNUMBER(AH17),AH17*DA17,0)</f>
        <v>55</v>
      </c>
      <c r="ER17" s="28" t="n">
        <f aca="false">IF(ISNUMBER(AL17),AL17*DB17,0)</f>
        <v>120</v>
      </c>
      <c r="ES17" s="28" t="n">
        <f aca="false">IF(ISNUMBER(AP17),AP17*DC17,0)</f>
        <v>132</v>
      </c>
      <c r="ET17" s="28" t="n">
        <f aca="false">IF(ISNUMBER(AT17),AT17*DD17,0)</f>
        <v>0</v>
      </c>
      <c r="EU17" s="28" t="n">
        <f aca="false">IF(ISNUMBER(AX17),AX17*DE17,0)</f>
        <v>0</v>
      </c>
      <c r="EV17" s="28" t="n">
        <f aca="false">IF(ISNUMBER(BB17),BB17*DF17,0)</f>
        <v>0</v>
      </c>
      <c r="EW17" s="28" t="n">
        <f aca="false">IF(ISNUMBER(BF17),BF17*DG17,0)</f>
        <v>0</v>
      </c>
      <c r="EX17" s="28" t="n">
        <f aca="false">IF(ISNUMBER(BJ17),BJ17*DH17,0)</f>
        <v>0</v>
      </c>
      <c r="EY17" s="28" t="n">
        <f aca="false">IF(ISNUMBER(BN17),BN17*DI17,0)</f>
        <v>0</v>
      </c>
      <c r="EZ17" s="28" t="n">
        <f aca="false">IF(ISNUMBER(BR17),BR17*DJ17,0)</f>
        <v>0</v>
      </c>
      <c r="FA17" s="28" t="n">
        <f aca="false">IF(ISNUMBER(R17),CW17,0)</f>
        <v>1</v>
      </c>
      <c r="FB17" s="28" t="n">
        <f aca="false">IF(ISNUMBER(V17),CX17,0)</f>
        <v>1</v>
      </c>
      <c r="FC17" s="28" t="n">
        <f aca="false">IF(ISNUMBER(Z17),CY17,0)</f>
        <v>1</v>
      </c>
      <c r="FD17" s="28" t="n">
        <f aca="false">IF(ISNUMBER(AD17),CZ17,0)</f>
        <v>1</v>
      </c>
      <c r="FE17" s="28" t="n">
        <f aca="false">IF(ISNUMBER(AH17),DA17,0)</f>
        <v>1</v>
      </c>
      <c r="FF17" s="28" t="n">
        <f aca="false">IF(ISNUMBER(AL17),DB17,0)</f>
        <v>2</v>
      </c>
      <c r="FG17" s="28" t="n">
        <f aca="false">IF(ISNUMBER(AP17),DC17,0)</f>
        <v>2</v>
      </c>
      <c r="FH17" s="28" t="n">
        <f aca="false">IF(ISNUMBER(AT17),DD17,0)</f>
        <v>0</v>
      </c>
      <c r="FI17" s="28" t="n">
        <f aca="false">IF(ISNUMBER(AX17),DE17,0)</f>
        <v>0</v>
      </c>
      <c r="FJ17" s="28" t="n">
        <f aca="false">IF(ISNUMBER(BB17),DF17,0)</f>
        <v>0</v>
      </c>
      <c r="FK17" s="28" t="n">
        <f aca="false">IF(ISNUMBER(BF17),DG17,0)</f>
        <v>0</v>
      </c>
      <c r="FL17" s="28" t="n">
        <f aca="false">IF(ISNUMBER(BJ17),DH17,0)</f>
        <v>0</v>
      </c>
      <c r="FM17" s="28" t="n">
        <f aca="false">IF(ISNUMBER(BN17),DI17,0)</f>
        <v>0</v>
      </c>
      <c r="FN17" s="28" t="n">
        <f aca="false">IF(ISNUMBER(BR17),DJ17,0)</f>
        <v>0</v>
      </c>
      <c r="FO17" s="28" t="str">
        <f aca="false">IFERROR(INDEX(Lists!$G$2:$G$20,MATCH($I17&amp;"|"&amp;$J17,Lists!$F$2:$F$20,0)),"")</f>
        <v>Geog Overall HL</v>
      </c>
    </row>
    <row r="18" customFormat="false" ht="19.5" hidden="false" customHeight="true" outlineLevel="0" collapsed="false">
      <c r="A18" s="29" t="s">
        <v>167</v>
      </c>
      <c r="B18" s="29" t="s">
        <v>168</v>
      </c>
      <c r="C18" s="30" t="s">
        <v>152</v>
      </c>
      <c r="D18" s="30" t="s">
        <v>153</v>
      </c>
      <c r="E18" s="31" t="n">
        <v>6.2</v>
      </c>
      <c r="F18" s="30" t="n">
        <v>7</v>
      </c>
      <c r="G18" s="30"/>
      <c r="H18" s="32" t="s">
        <v>23</v>
      </c>
      <c r="I18" s="33" t="s">
        <v>24</v>
      </c>
      <c r="J18" s="32" t="s">
        <v>25</v>
      </c>
      <c r="K18" s="34" t="n">
        <f aca="false">IF(OR(M18="",$E18=""),"",M18-$E18)</f>
        <v>0.8</v>
      </c>
      <c r="L18" s="35" t="n">
        <f aca="false">IF(SUM(FA18:FN18)=0,"",SUM(EM18:EZ18)/SUM(FA18:FN18))</f>
        <v>75.5555555555556</v>
      </c>
      <c r="M18" s="36" t="n">
        <f aca="false">IF(OR(L18="",FO18=""),"",IFERROR(MATCH(L18,INDEX(Boundaries!$B$2:$I$30,MATCH(FO18,Boundaries!$A$2:$A$30,0),0),1)-1,""))</f>
        <v>7</v>
      </c>
      <c r="N18" s="37" t="n">
        <f aca="false">IF(COUNT($DY18:$EL18)&lt;2,"",INDEX($DK18:$DX18,MAX($DY18:$EL18))-INDEX($DK18:$DX18,MIN($DY18:$EL18)))</f>
        <v>1</v>
      </c>
      <c r="O18" s="37" t="n">
        <f aca="false">IF(COUNT($DY18:$EL18)&lt;2,"",INDEX($DK18:$DX18,MAX($DY18:$EL18))-INDEX($DK18:$DX18,LARGE($DY18:$EL18,2)))</f>
        <v>0</v>
      </c>
      <c r="P18" s="38" t="str">
        <f aca="false">IF(K18="","",IF(K18&gt;=0,"On/above target",IF(AND(N18&lt;&gt;"",N18&gt;=0.5),"Improving towards target",IF(AND(O18&lt;&gt;"",O18&lt;=-0.5),"Declining","Stable below target"))))</f>
        <v>On/above target</v>
      </c>
      <c r="Q18" s="39" t="n">
        <v>14</v>
      </c>
      <c r="R18" s="40" t="n">
        <f aca="false">IF(OR(Q18="",BU18=""),"",Q18/BU18*100)</f>
        <v>70</v>
      </c>
      <c r="S18" s="41" t="n">
        <f aca="false">IF(R18="","",IFERROR(MATCH(R18,INDEX(Boundaries!$B$2:$I$30,MATCH(CI18,Boundaries!$A$2:$A$30,0),0),1)-1,""))</f>
        <v>6</v>
      </c>
      <c r="T18" s="42" t="n">
        <f aca="false">IF(OR(S18="",$E18=""),"",S18-$E18)</f>
        <v>-0.2</v>
      </c>
      <c r="U18" s="39" t="n">
        <v>15</v>
      </c>
      <c r="V18" s="40" t="n">
        <f aca="false">IF(OR(U18="",BV18=""),"",U18/BV18*100)</f>
        <v>75</v>
      </c>
      <c r="W18" s="41" t="n">
        <f aca="false">IF(V18="","",IFERROR(MATCH(V18,INDEX(Boundaries!$B$2:$I$30,MATCH(CJ18,Boundaries!$A$2:$A$30,0),0),1)-1,""))</f>
        <v>7</v>
      </c>
      <c r="X18" s="42" t="n">
        <f aca="false">IF(OR(W18="",$E18=""),"",W18-$E18)</f>
        <v>0.8</v>
      </c>
      <c r="Y18" s="39" t="n">
        <v>16</v>
      </c>
      <c r="Z18" s="40" t="n">
        <f aca="false">IF(OR(Y18="",BW18=""),"",Y18/BW18*100)</f>
        <v>80</v>
      </c>
      <c r="AA18" s="41" t="n">
        <f aca="false">IF(Z18="","",IFERROR(MATCH(Z18,INDEX(Boundaries!$B$2:$I$30,MATCH(CK18,Boundaries!$A$2:$A$30,0),0),1)-1,""))</f>
        <v>7</v>
      </c>
      <c r="AB18" s="42" t="n">
        <f aca="false">IF(OR(AA18="",$E18=""),"",AA18-$E18)</f>
        <v>0.8</v>
      </c>
      <c r="AC18" s="39" t="n">
        <v>16</v>
      </c>
      <c r="AD18" s="40" t="n">
        <f aca="false">IF(OR(AC18="",BX18=""),"",AC18/BX18*100)</f>
        <v>80</v>
      </c>
      <c r="AE18" s="41" t="n">
        <f aca="false">IF(AD18="","",IFERROR(MATCH(AD18,INDEX(Boundaries!$B$2:$I$30,MATCH(CL18,Boundaries!$A$2:$A$30,0),0),1)-1,""))</f>
        <v>7</v>
      </c>
      <c r="AF18" s="42" t="n">
        <f aca="false">IF(OR(AE18="",$E18=""),"",AE18-$E18)</f>
        <v>0.8</v>
      </c>
      <c r="AG18" s="39" t="n">
        <v>14</v>
      </c>
      <c r="AH18" s="40" t="n">
        <f aca="false">IF(OR(AG18="",BY18=""),"",AG18/BY18*100)</f>
        <v>70</v>
      </c>
      <c r="AI18" s="41" t="n">
        <f aca="false">IF(AH18="","",IFERROR(MATCH(AH18,INDEX(Boundaries!$B$2:$I$30,MATCH(CM18,Boundaries!$A$2:$A$30,0),0),1)-1,""))</f>
        <v>6</v>
      </c>
      <c r="AJ18" s="42" t="n">
        <f aca="false">IF(OR(AI18="",$E18=""),"",AI18-$E18)</f>
        <v>-0.2</v>
      </c>
      <c r="AK18" s="39" t="n">
        <v>29</v>
      </c>
      <c r="AL18" s="40" t="n">
        <f aca="false">IF(OR(AK18="",BZ18=""),"",AK18/BZ18*100)</f>
        <v>72.5</v>
      </c>
      <c r="AM18" s="41" t="n">
        <f aca="false">IF(AL18="","",IFERROR(MATCH(AL18,INDEX(Boundaries!$B$2:$I$30,MATCH(CN18,Boundaries!$A$2:$A$30,0),0),1)-1,""))</f>
        <v>7</v>
      </c>
      <c r="AN18" s="42" t="n">
        <f aca="false">IF(OR(AM18="",$E18=""),"",AM18-$E18)</f>
        <v>0.8</v>
      </c>
      <c r="AO18" s="39" t="n">
        <v>40</v>
      </c>
      <c r="AP18" s="40" t="n">
        <f aca="false">IF(OR(AO18="",CA18=""),"",AO18/CA18*100)</f>
        <v>80</v>
      </c>
      <c r="AQ18" s="41" t="n">
        <f aca="false">IF(AP18="","",IFERROR(MATCH(AP18,INDEX(Boundaries!$B$2:$I$30,MATCH(CO18,Boundaries!$A$2:$A$30,0),0),1)-1,""))</f>
        <v>7</v>
      </c>
      <c r="AR18" s="42" t="n">
        <f aca="false">IF(OR(AQ18="",$E18=""),"",AQ18-$E18)</f>
        <v>0.8</v>
      </c>
      <c r="AS18" s="39"/>
      <c r="AT18" s="40" t="str">
        <f aca="false">IF(OR(AS18="",CB18=""),"",AS18/CB18*100)</f>
        <v/>
      </c>
      <c r="AU18" s="41" t="str">
        <f aca="false">IF(AT18="","",IFERROR(MATCH(AT18,INDEX(Boundaries!$B$2:$I$30,MATCH(CP18,Boundaries!$A$2:$A$30,0),0),1)-1,""))</f>
        <v/>
      </c>
      <c r="AV18" s="42" t="str">
        <f aca="false">IF(OR(AU18="",$E18=""),"",AU18-$E18)</f>
        <v/>
      </c>
      <c r="AW18" s="39"/>
      <c r="AX18" s="40" t="str">
        <f aca="false">IF(OR(AW18="",CC18=""),"",AW18/CC18*100)</f>
        <v/>
      </c>
      <c r="AY18" s="41" t="str">
        <f aca="false">IF(AX18="","",IFERROR(MATCH(AX18,INDEX(Boundaries!$B$2:$I$30,MATCH(CQ18,Boundaries!$A$2:$A$30,0),0),1)-1,""))</f>
        <v/>
      </c>
      <c r="AZ18" s="42" t="str">
        <f aca="false">IF(OR(AY18="",$E18=""),"",AY18-$E18)</f>
        <v/>
      </c>
      <c r="BA18" s="39"/>
      <c r="BB18" s="40" t="str">
        <f aca="false">IF(OR(BA18="",CD18=""),"",BA18/CD18*100)</f>
        <v/>
      </c>
      <c r="BC18" s="41" t="str">
        <f aca="false">IF(BB18="","",IFERROR(MATCH(BB18,INDEX(Boundaries!$B$2:$I$30,MATCH(CR18,Boundaries!$A$2:$A$30,0),0),1)-1,""))</f>
        <v/>
      </c>
      <c r="BD18" s="42" t="str">
        <f aca="false">IF(OR(BC18="",$E18=""),"",BC18-$E18)</f>
        <v/>
      </c>
      <c r="BE18" s="39"/>
      <c r="BF18" s="40" t="str">
        <f aca="false">IF(OR(BE18="",CE18=""),"",BE18/CE18*100)</f>
        <v/>
      </c>
      <c r="BG18" s="41" t="str">
        <f aca="false">IF(BF18="","",IFERROR(MATCH(BF18,INDEX(Boundaries!$B$2:$I$30,MATCH(CS18,Boundaries!$A$2:$A$30,0),0),1)-1,""))</f>
        <v/>
      </c>
      <c r="BH18" s="42" t="str">
        <f aca="false">IF(OR(BG18="",$E18=""),"",BG18-$E18)</f>
        <v/>
      </c>
      <c r="BI18" s="39"/>
      <c r="BJ18" s="40" t="str">
        <f aca="false">IF(OR(BI18="",CF18=""),"",BI18/CF18*100)</f>
        <v/>
      </c>
      <c r="BK18" s="41" t="str">
        <f aca="false">IF(BJ18="","",IFERROR(MATCH(BJ18,INDEX(Boundaries!$B$2:$I$30,MATCH(CT18,Boundaries!$A$2:$A$30,0),0),1)-1,""))</f>
        <v/>
      </c>
      <c r="BL18" s="42" t="str">
        <f aca="false">IF(OR(BK18="",$E18=""),"",BK18-$E18)</f>
        <v/>
      </c>
      <c r="BM18" s="39"/>
      <c r="BN18" s="40" t="str">
        <f aca="false">IF(OR(BM18="",CG18=""),"",BM18/CG18*100)</f>
        <v/>
      </c>
      <c r="BO18" s="41" t="str">
        <f aca="false">IF(BN18="","",IFERROR(MATCH(BN18,INDEX(Boundaries!$B$2:$I$30,MATCH(CU18,Boundaries!$A$2:$A$30,0),0),1)-1,""))</f>
        <v/>
      </c>
      <c r="BP18" s="42" t="str">
        <f aca="false">IF(OR(BO18="",$E18=""),"",BO18-$E18)</f>
        <v/>
      </c>
      <c r="BQ18" s="39"/>
      <c r="BR18" s="40" t="str">
        <f aca="false">IF(OR(BQ18="",CH18=""),"",BQ18/CH18*100)</f>
        <v/>
      </c>
      <c r="BS18" s="41" t="str">
        <f aca="false">IF(BR18="","",IFERROR(MATCH(BR18,INDEX(Boundaries!$B$2:$I$30,MATCH(CV18,Boundaries!$A$2:$A$30,0),0),1)-1,""))</f>
        <v/>
      </c>
      <c r="BT18" s="42" t="str">
        <f aca="false">IF(OR(BS18="",$E18=""),"",BS18-$E18)</f>
        <v/>
      </c>
      <c r="BU18" s="28" t="n">
        <f aca="false">IFERROR(INDEX(Assessments!$H$2:$H$600,MATCH($H18&amp;"|"&amp;$I18&amp;"|"&amp;$J18&amp;"|"&amp;1,Assessments!$A$2:$A$600,0)),"")</f>
        <v>20</v>
      </c>
      <c r="BV18" s="28" t="n">
        <f aca="false">IFERROR(INDEX(Assessments!$H$2:$H$600,MATCH($H18&amp;"|"&amp;$I18&amp;"|"&amp;$J18&amp;"|"&amp;2,Assessments!$A$2:$A$600,0)),"")</f>
        <v>20</v>
      </c>
      <c r="BW18" s="28" t="n">
        <f aca="false">IFERROR(INDEX(Assessments!$H$2:$H$600,MATCH($H18&amp;"|"&amp;$I18&amp;"|"&amp;$J18&amp;"|"&amp;3,Assessments!$A$2:$A$600,0)),"")</f>
        <v>20</v>
      </c>
      <c r="BX18" s="28" t="n">
        <f aca="false">IFERROR(INDEX(Assessments!$H$2:$H$600,MATCH($H18&amp;"|"&amp;$I18&amp;"|"&amp;$J18&amp;"|"&amp;4,Assessments!$A$2:$A$600,0)),"")</f>
        <v>20</v>
      </c>
      <c r="BY18" s="28" t="n">
        <f aca="false">IFERROR(INDEX(Assessments!$H$2:$H$600,MATCH($H18&amp;"|"&amp;$I18&amp;"|"&amp;$J18&amp;"|"&amp;5,Assessments!$A$2:$A$600,0)),"")</f>
        <v>20</v>
      </c>
      <c r="BZ18" s="28" t="n">
        <f aca="false">IFERROR(INDEX(Assessments!$H$2:$H$600,MATCH($H18&amp;"|"&amp;$I18&amp;"|"&amp;$J18&amp;"|"&amp;6,Assessments!$A$2:$A$600,0)),"")</f>
        <v>40</v>
      </c>
      <c r="CA18" s="28" t="n">
        <f aca="false">IFERROR(INDEX(Assessments!$H$2:$H$600,MATCH($H18&amp;"|"&amp;$I18&amp;"|"&amp;$J18&amp;"|"&amp;7,Assessments!$A$2:$A$600,0)),"")</f>
        <v>50</v>
      </c>
      <c r="CB18" s="28" t="n">
        <f aca="false">IFERROR(INDEX(Assessments!$H$2:$H$600,MATCH($H18&amp;"|"&amp;$I18&amp;"|"&amp;$J18&amp;"|"&amp;8,Assessments!$A$2:$A$600,0)),"")</f>
        <v>25</v>
      </c>
      <c r="CC18" s="28" t="n">
        <f aca="false">IFERROR(INDEX(Assessments!$H$2:$H$600,MATCH($H18&amp;"|"&amp;$I18&amp;"|"&amp;$J18&amp;"|"&amp;9,Assessments!$A$2:$A$600,0)),"")</f>
        <v>16</v>
      </c>
      <c r="CD18" s="28" t="n">
        <f aca="false">IFERROR(INDEX(Assessments!$H$2:$H$600,MATCH($H18&amp;"|"&amp;$I18&amp;"|"&amp;$J18&amp;"|"&amp;10,Assessments!$A$2:$A$600,0)),"")</f>
        <v>30</v>
      </c>
      <c r="CE18" s="28" t="str">
        <f aca="false">IFERROR(INDEX(Assessments!$H$2:$H$600,MATCH($H18&amp;"|"&amp;$I18&amp;"|"&amp;$J18&amp;"|"&amp;11,Assessments!$A$2:$A$600,0)),"")</f>
        <v/>
      </c>
      <c r="CF18" s="28" t="str">
        <f aca="false">IFERROR(INDEX(Assessments!$H$2:$H$600,MATCH($H18&amp;"|"&amp;$I18&amp;"|"&amp;$J18&amp;"|"&amp;12,Assessments!$A$2:$A$600,0)),"")</f>
        <v/>
      </c>
      <c r="CG18" s="28" t="str">
        <f aca="false">IFERROR(INDEX(Assessments!$H$2:$H$600,MATCH($H18&amp;"|"&amp;$I18&amp;"|"&amp;$J18&amp;"|"&amp;13,Assessments!$A$2:$A$600,0)),"")</f>
        <v/>
      </c>
      <c r="CH18" s="28" t="str">
        <f aca="false">IFERROR(INDEX(Assessments!$H$2:$H$600,MATCH($H18&amp;"|"&amp;$I18&amp;"|"&amp;$J18&amp;"|"&amp;14,Assessments!$A$2:$A$600,0)),"")</f>
        <v/>
      </c>
      <c r="CI18" s="28" t="str">
        <f aca="false">IFERROR(INDEX(Assessments!$I$2:$I$600,MATCH($H18&amp;"|"&amp;$I18&amp;"|"&amp;$J18&amp;"|"&amp;1,Assessments!$A$2:$A$600,0)),"")</f>
        <v>Geog Paper 1</v>
      </c>
      <c r="CJ18" s="28" t="str">
        <f aca="false">IFERROR(INDEX(Assessments!$I$2:$I$600,MATCH($H18&amp;"|"&amp;$I18&amp;"|"&amp;$J18&amp;"|"&amp;2,Assessments!$A$2:$A$600,0)),"")</f>
        <v>Geog Paper 1</v>
      </c>
      <c r="CK18" s="28" t="str">
        <f aca="false">IFERROR(INDEX(Assessments!$I$2:$I$600,MATCH($H18&amp;"|"&amp;$I18&amp;"|"&amp;$J18&amp;"|"&amp;3,Assessments!$A$2:$A$600,0)),"")</f>
        <v>Geog Paper 2</v>
      </c>
      <c r="CL18" s="28" t="str">
        <f aca="false">IFERROR(INDEX(Assessments!$I$2:$I$600,MATCH($H18&amp;"|"&amp;$I18&amp;"|"&amp;$J18&amp;"|"&amp;4,Assessments!$A$2:$A$600,0)),"")</f>
        <v>Geog Paper 1</v>
      </c>
      <c r="CM18" s="28" t="str">
        <f aca="false">IFERROR(INDEX(Assessments!$I$2:$I$600,MATCH($H18&amp;"|"&amp;$I18&amp;"|"&amp;$J18&amp;"|"&amp;5,Assessments!$A$2:$A$600,0)),"")</f>
        <v>Geog Paper 1</v>
      </c>
      <c r="CN18" s="28" t="str">
        <f aca="false">IFERROR(INDEX(Assessments!$I$2:$I$600,MATCH($H18&amp;"|"&amp;$I18&amp;"|"&amp;$J18&amp;"|"&amp;6,Assessments!$A$2:$A$600,0)),"")</f>
        <v>Geog Paper 1</v>
      </c>
      <c r="CO18" s="28" t="str">
        <f aca="false">IFERROR(INDEX(Assessments!$I$2:$I$600,MATCH($H18&amp;"|"&amp;$I18&amp;"|"&amp;$J18&amp;"|"&amp;7,Assessments!$A$2:$A$600,0)),"")</f>
        <v>Geog Paper 2</v>
      </c>
      <c r="CP18" s="28" t="str">
        <f aca="false">IFERROR(INDEX(Assessments!$I$2:$I$600,MATCH($H18&amp;"|"&amp;$I18&amp;"|"&amp;$J18&amp;"|"&amp;8,Assessments!$A$2:$A$600,0)),"")</f>
        <v>Geog Paper 2</v>
      </c>
      <c r="CQ18" s="28" t="str">
        <f aca="false">IFERROR(INDEX(Assessments!$I$2:$I$600,MATCH($H18&amp;"|"&amp;$I18&amp;"|"&amp;$J18&amp;"|"&amp;9,Assessments!$A$2:$A$600,0)),"")</f>
        <v>Geog Paper 3</v>
      </c>
      <c r="CR18" s="28" t="str">
        <f aca="false">IFERROR(INDEX(Assessments!$I$2:$I$600,MATCH($H18&amp;"|"&amp;$I18&amp;"|"&amp;$J18&amp;"|"&amp;10,Assessments!$A$2:$A$600,0)),"")</f>
        <v>Geog Paper 2</v>
      </c>
      <c r="CS18" s="28" t="str">
        <f aca="false">IFERROR(INDEX(Assessments!$I$2:$I$600,MATCH($H18&amp;"|"&amp;$I18&amp;"|"&amp;$J18&amp;"|"&amp;11,Assessments!$A$2:$A$600,0)),"")</f>
        <v/>
      </c>
      <c r="CT18" s="28" t="str">
        <f aca="false">IFERROR(INDEX(Assessments!$I$2:$I$600,MATCH($H18&amp;"|"&amp;$I18&amp;"|"&amp;$J18&amp;"|"&amp;12,Assessments!$A$2:$A$600,0)),"")</f>
        <v/>
      </c>
      <c r="CU18" s="28" t="str">
        <f aca="false">IFERROR(INDEX(Assessments!$I$2:$I$600,MATCH($H18&amp;"|"&amp;$I18&amp;"|"&amp;$J18&amp;"|"&amp;13,Assessments!$A$2:$A$600,0)),"")</f>
        <v/>
      </c>
      <c r="CV18" s="28" t="str">
        <f aca="false">IFERROR(INDEX(Assessments!$I$2:$I$600,MATCH($H18&amp;"|"&amp;$I18&amp;"|"&amp;$J18&amp;"|"&amp;14,Assessments!$A$2:$A$600,0)),"")</f>
        <v/>
      </c>
      <c r="CW18" s="28" t="n">
        <f aca="false">IFERROR(INDEX(Assessments!$J$2:$J$600,MATCH($H18&amp;"|"&amp;$I18&amp;"|"&amp;$J18&amp;"|"&amp;1,Assessments!$A$2:$A$600,0)),0)</f>
        <v>1</v>
      </c>
      <c r="CX18" s="28" t="n">
        <f aca="false">IFERROR(INDEX(Assessments!$J$2:$J$600,MATCH($H18&amp;"|"&amp;$I18&amp;"|"&amp;$J18&amp;"|"&amp;2,Assessments!$A$2:$A$600,0)),0)</f>
        <v>1</v>
      </c>
      <c r="CY18" s="28" t="n">
        <f aca="false">IFERROR(INDEX(Assessments!$J$2:$J$600,MATCH($H18&amp;"|"&amp;$I18&amp;"|"&amp;$J18&amp;"|"&amp;3,Assessments!$A$2:$A$600,0)),0)</f>
        <v>1</v>
      </c>
      <c r="CZ18" s="28" t="n">
        <f aca="false">IFERROR(INDEX(Assessments!$J$2:$J$600,MATCH($H18&amp;"|"&amp;$I18&amp;"|"&amp;$J18&amp;"|"&amp;4,Assessments!$A$2:$A$600,0)),0)</f>
        <v>1</v>
      </c>
      <c r="DA18" s="28" t="n">
        <f aca="false">IFERROR(INDEX(Assessments!$J$2:$J$600,MATCH($H18&amp;"|"&amp;$I18&amp;"|"&amp;$J18&amp;"|"&amp;5,Assessments!$A$2:$A$600,0)),0)</f>
        <v>1</v>
      </c>
      <c r="DB18" s="28" t="n">
        <f aca="false">IFERROR(INDEX(Assessments!$J$2:$J$600,MATCH($H18&amp;"|"&amp;$I18&amp;"|"&amp;$J18&amp;"|"&amp;6,Assessments!$A$2:$A$600,0)),0)</f>
        <v>2</v>
      </c>
      <c r="DC18" s="28" t="n">
        <f aca="false">IFERROR(INDEX(Assessments!$J$2:$J$600,MATCH($H18&amp;"|"&amp;$I18&amp;"|"&amp;$J18&amp;"|"&amp;7,Assessments!$A$2:$A$600,0)),0)</f>
        <v>2</v>
      </c>
      <c r="DD18" s="28" t="n">
        <f aca="false">IFERROR(INDEX(Assessments!$J$2:$J$600,MATCH($H18&amp;"|"&amp;$I18&amp;"|"&amp;$J18&amp;"|"&amp;8,Assessments!$A$2:$A$600,0)),0)</f>
        <v>1</v>
      </c>
      <c r="DE18" s="28" t="n">
        <f aca="false">IFERROR(INDEX(Assessments!$J$2:$J$600,MATCH($H18&amp;"|"&amp;$I18&amp;"|"&amp;$J18&amp;"|"&amp;9,Assessments!$A$2:$A$600,0)),0)</f>
        <v>1</v>
      </c>
      <c r="DF18" s="28" t="n">
        <f aca="false">IFERROR(INDEX(Assessments!$J$2:$J$600,MATCH($H18&amp;"|"&amp;$I18&amp;"|"&amp;$J18&amp;"|"&amp;10,Assessments!$A$2:$A$600,0)),0)</f>
        <v>1</v>
      </c>
      <c r="DG18" s="28" t="n">
        <f aca="false">IFERROR(INDEX(Assessments!$J$2:$J$600,MATCH($H18&amp;"|"&amp;$I18&amp;"|"&amp;$J18&amp;"|"&amp;11,Assessments!$A$2:$A$600,0)),0)</f>
        <v>0</v>
      </c>
      <c r="DH18" s="28" t="n">
        <f aca="false">IFERROR(INDEX(Assessments!$J$2:$J$600,MATCH($H18&amp;"|"&amp;$I18&amp;"|"&amp;$J18&amp;"|"&amp;12,Assessments!$A$2:$A$600,0)),0)</f>
        <v>0</v>
      </c>
      <c r="DI18" s="28" t="n">
        <f aca="false">IFERROR(INDEX(Assessments!$J$2:$J$600,MATCH($H18&amp;"|"&amp;$I18&amp;"|"&amp;$J18&amp;"|"&amp;13,Assessments!$A$2:$A$600,0)),0)</f>
        <v>0</v>
      </c>
      <c r="DJ18" s="28" t="n">
        <f aca="false">IFERROR(INDEX(Assessments!$J$2:$J$600,MATCH($H18&amp;"|"&amp;$I18&amp;"|"&amp;$J18&amp;"|"&amp;14,Assessments!$A$2:$A$600,0)),0)</f>
        <v>0</v>
      </c>
      <c r="DK18" s="28" t="n">
        <f aca="false">S18</f>
        <v>6</v>
      </c>
      <c r="DL18" s="28" t="n">
        <f aca="false">W18</f>
        <v>7</v>
      </c>
      <c r="DM18" s="28" t="n">
        <f aca="false">AA18</f>
        <v>7</v>
      </c>
      <c r="DN18" s="28" t="n">
        <f aca="false">AE18</f>
        <v>7</v>
      </c>
      <c r="DO18" s="28" t="n">
        <f aca="false">AI18</f>
        <v>6</v>
      </c>
      <c r="DP18" s="28" t="n">
        <f aca="false">AM18</f>
        <v>7</v>
      </c>
      <c r="DQ18" s="28" t="n">
        <f aca="false">AQ18</f>
        <v>7</v>
      </c>
      <c r="DR18" s="28" t="str">
        <f aca="false">AU18</f>
        <v/>
      </c>
      <c r="DS18" s="28" t="str">
        <f aca="false">AY18</f>
        <v/>
      </c>
      <c r="DT18" s="28" t="str">
        <f aca="false">BC18</f>
        <v/>
      </c>
      <c r="DU18" s="28" t="str">
        <f aca="false">BG18</f>
        <v/>
      </c>
      <c r="DV18" s="28" t="str">
        <f aca="false">BK18</f>
        <v/>
      </c>
      <c r="DW18" s="28" t="str">
        <f aca="false">BO18</f>
        <v/>
      </c>
      <c r="DX18" s="28" t="str">
        <f aca="false">BS18</f>
        <v/>
      </c>
      <c r="DY18" s="28" t="n">
        <f aca="false">IF(ISNUMBER(S18),1,"")</f>
        <v>1</v>
      </c>
      <c r="DZ18" s="28" t="n">
        <f aca="false">IF(ISNUMBER(W18),2,"")</f>
        <v>2</v>
      </c>
      <c r="EA18" s="28" t="n">
        <f aca="false">IF(ISNUMBER(AA18),3,"")</f>
        <v>3</v>
      </c>
      <c r="EB18" s="28" t="n">
        <f aca="false">IF(ISNUMBER(AE18),4,"")</f>
        <v>4</v>
      </c>
      <c r="EC18" s="28" t="n">
        <f aca="false">IF(ISNUMBER(AI18),5,"")</f>
        <v>5</v>
      </c>
      <c r="ED18" s="28" t="n">
        <f aca="false">IF(ISNUMBER(AM18),6,"")</f>
        <v>6</v>
      </c>
      <c r="EE18" s="28" t="n">
        <f aca="false">IF(ISNUMBER(AQ18),7,"")</f>
        <v>7</v>
      </c>
      <c r="EF18" s="28" t="str">
        <f aca="false">IF(ISNUMBER(AU18),8,"")</f>
        <v/>
      </c>
      <c r="EG18" s="28" t="str">
        <f aca="false">IF(ISNUMBER(AY18),9,"")</f>
        <v/>
      </c>
      <c r="EH18" s="28" t="str">
        <f aca="false">IF(ISNUMBER(BC18),10,"")</f>
        <v/>
      </c>
      <c r="EI18" s="28" t="str">
        <f aca="false">IF(ISNUMBER(BG18),11,"")</f>
        <v/>
      </c>
      <c r="EJ18" s="28" t="str">
        <f aca="false">IF(ISNUMBER(BK18),12,"")</f>
        <v/>
      </c>
      <c r="EK18" s="28" t="str">
        <f aca="false">IF(ISNUMBER(BO18),13,"")</f>
        <v/>
      </c>
      <c r="EL18" s="28" t="str">
        <f aca="false">IF(ISNUMBER(BS18),14,"")</f>
        <v/>
      </c>
      <c r="EM18" s="28" t="n">
        <f aca="false">IF(ISNUMBER(R18),R18*CW18,0)</f>
        <v>70</v>
      </c>
      <c r="EN18" s="28" t="n">
        <f aca="false">IF(ISNUMBER(V18),V18*CX18,0)</f>
        <v>75</v>
      </c>
      <c r="EO18" s="28" t="n">
        <f aca="false">IF(ISNUMBER(Z18),Z18*CY18,0)</f>
        <v>80</v>
      </c>
      <c r="EP18" s="28" t="n">
        <f aca="false">IF(ISNUMBER(AD18),AD18*CZ18,0)</f>
        <v>80</v>
      </c>
      <c r="EQ18" s="28" t="n">
        <f aca="false">IF(ISNUMBER(AH18),AH18*DA18,0)</f>
        <v>70</v>
      </c>
      <c r="ER18" s="28" t="n">
        <f aca="false">IF(ISNUMBER(AL18),AL18*DB18,0)</f>
        <v>145</v>
      </c>
      <c r="ES18" s="28" t="n">
        <f aca="false">IF(ISNUMBER(AP18),AP18*DC18,0)</f>
        <v>160</v>
      </c>
      <c r="ET18" s="28" t="n">
        <f aca="false">IF(ISNUMBER(AT18),AT18*DD18,0)</f>
        <v>0</v>
      </c>
      <c r="EU18" s="28" t="n">
        <f aca="false">IF(ISNUMBER(AX18),AX18*DE18,0)</f>
        <v>0</v>
      </c>
      <c r="EV18" s="28" t="n">
        <f aca="false">IF(ISNUMBER(BB18),BB18*DF18,0)</f>
        <v>0</v>
      </c>
      <c r="EW18" s="28" t="n">
        <f aca="false">IF(ISNUMBER(BF18),BF18*DG18,0)</f>
        <v>0</v>
      </c>
      <c r="EX18" s="28" t="n">
        <f aca="false">IF(ISNUMBER(BJ18),BJ18*DH18,0)</f>
        <v>0</v>
      </c>
      <c r="EY18" s="28" t="n">
        <f aca="false">IF(ISNUMBER(BN18),BN18*DI18,0)</f>
        <v>0</v>
      </c>
      <c r="EZ18" s="28" t="n">
        <f aca="false">IF(ISNUMBER(BR18),BR18*DJ18,0)</f>
        <v>0</v>
      </c>
      <c r="FA18" s="28" t="n">
        <f aca="false">IF(ISNUMBER(R18),CW18,0)</f>
        <v>1</v>
      </c>
      <c r="FB18" s="28" t="n">
        <f aca="false">IF(ISNUMBER(V18),CX18,0)</f>
        <v>1</v>
      </c>
      <c r="FC18" s="28" t="n">
        <f aca="false">IF(ISNUMBER(Z18),CY18,0)</f>
        <v>1</v>
      </c>
      <c r="FD18" s="28" t="n">
        <f aca="false">IF(ISNUMBER(AD18),CZ18,0)</f>
        <v>1</v>
      </c>
      <c r="FE18" s="28" t="n">
        <f aca="false">IF(ISNUMBER(AH18),DA18,0)</f>
        <v>1</v>
      </c>
      <c r="FF18" s="28" t="n">
        <f aca="false">IF(ISNUMBER(AL18),DB18,0)</f>
        <v>2</v>
      </c>
      <c r="FG18" s="28" t="n">
        <f aca="false">IF(ISNUMBER(AP18),DC18,0)</f>
        <v>2</v>
      </c>
      <c r="FH18" s="28" t="n">
        <f aca="false">IF(ISNUMBER(AT18),DD18,0)</f>
        <v>0</v>
      </c>
      <c r="FI18" s="28" t="n">
        <f aca="false">IF(ISNUMBER(AX18),DE18,0)</f>
        <v>0</v>
      </c>
      <c r="FJ18" s="28" t="n">
        <f aca="false">IF(ISNUMBER(BB18),DF18,0)</f>
        <v>0</v>
      </c>
      <c r="FK18" s="28" t="n">
        <f aca="false">IF(ISNUMBER(BF18),DG18,0)</f>
        <v>0</v>
      </c>
      <c r="FL18" s="28" t="n">
        <f aca="false">IF(ISNUMBER(BJ18),DH18,0)</f>
        <v>0</v>
      </c>
      <c r="FM18" s="28" t="n">
        <f aca="false">IF(ISNUMBER(BN18),DI18,0)</f>
        <v>0</v>
      </c>
      <c r="FN18" s="28" t="n">
        <f aca="false">IF(ISNUMBER(BR18),DJ18,0)</f>
        <v>0</v>
      </c>
      <c r="FO18" s="28" t="str">
        <f aca="false">IFERROR(INDEX(Lists!$G$2:$G$20,MATCH($I18&amp;"|"&amp;$J18,Lists!$F$2:$F$20,0)),"")</f>
        <v>Geog Overall HL</v>
      </c>
    </row>
    <row r="19" customFormat="false" ht="19.5" hidden="false" customHeight="true" outlineLevel="0" collapsed="false">
      <c r="A19" s="29" t="s">
        <v>169</v>
      </c>
      <c r="B19" s="29" t="s">
        <v>170</v>
      </c>
      <c r="C19" s="30" t="s">
        <v>152</v>
      </c>
      <c r="D19" s="30" t="s">
        <v>153</v>
      </c>
      <c r="E19" s="31" t="n">
        <v>5.8</v>
      </c>
      <c r="F19" s="30" t="n">
        <v>6</v>
      </c>
      <c r="G19" s="30"/>
      <c r="H19" s="32" t="s">
        <v>23</v>
      </c>
      <c r="I19" s="33" t="s">
        <v>24</v>
      </c>
      <c r="J19" s="32" t="s">
        <v>25</v>
      </c>
      <c r="K19" s="34" t="n">
        <f aca="false">IF(OR(M19="",$E19=""),"",M19-$E19)</f>
        <v>0.2</v>
      </c>
      <c r="L19" s="35" t="n">
        <f aca="false">IF(SUM(FA19:FN19)=0,"",SUM(EM19:EZ19)/SUM(FA19:FN19))</f>
        <v>71.8888888888889</v>
      </c>
      <c r="M19" s="36" t="n">
        <f aca="false">IF(OR(L19="",FO19=""),"",IFERROR(MATCH(L19,INDEX(Boundaries!$B$2:$I$30,MATCH(FO19,Boundaries!$A$2:$A$30,0),0),1)-1,""))</f>
        <v>6</v>
      </c>
      <c r="N19" s="37" t="n">
        <f aca="false">IF(COUNT($DY19:$EL19)&lt;2,"",INDEX($DK19:$DX19,MAX($DY19:$EL19))-INDEX($DK19:$DX19,MIN($DY19:$EL19)))</f>
        <v>1</v>
      </c>
      <c r="O19" s="37" t="n">
        <f aca="false">IF(COUNT($DY19:$EL19)&lt;2,"",INDEX($DK19:$DX19,MAX($DY19:$EL19))-INDEX($DK19:$DX19,LARGE($DY19:$EL19,2)))</f>
        <v>0</v>
      </c>
      <c r="P19" s="38" t="str">
        <f aca="false">IF(K19="","",IF(K19&gt;=0,"On/above target",IF(AND(N19&lt;&gt;"",N19&gt;=0.5),"Improving towards target",IF(AND(O19&lt;&gt;"",O19&lt;=-0.5),"Declining","Stable below target"))))</f>
        <v>On/above target</v>
      </c>
      <c r="Q19" s="39" t="n">
        <v>11</v>
      </c>
      <c r="R19" s="40" t="n">
        <f aca="false">IF(OR(Q19="",BU19=""),"",Q19/BU19*100)</f>
        <v>55</v>
      </c>
      <c r="S19" s="41" t="n">
        <f aca="false">IF(R19="","",IFERROR(MATCH(R19,INDEX(Boundaries!$B$2:$I$30,MATCH(CI19,Boundaries!$A$2:$A$30,0),0),1)-1,""))</f>
        <v>5</v>
      </c>
      <c r="T19" s="42" t="n">
        <f aca="false">IF(OR(S19="",$E19=""),"",S19-$E19)</f>
        <v>-0.8</v>
      </c>
      <c r="U19" s="39" t="n">
        <v>16</v>
      </c>
      <c r="V19" s="40" t="n">
        <f aca="false">IF(OR(U19="",BV19=""),"",U19/BV19*100)</f>
        <v>80</v>
      </c>
      <c r="W19" s="41" t="n">
        <f aca="false">IF(V19="","",IFERROR(MATCH(V19,INDEX(Boundaries!$B$2:$I$30,MATCH(CJ19,Boundaries!$A$2:$A$30,0),0),1)-1,""))</f>
        <v>7</v>
      </c>
      <c r="X19" s="42" t="n">
        <f aca="false">IF(OR(W19="",$E19=""),"",W19-$E19)</f>
        <v>1.2</v>
      </c>
      <c r="Y19" s="39" t="n">
        <v>15</v>
      </c>
      <c r="Z19" s="40" t="n">
        <f aca="false">IF(OR(Y19="",BW19=""),"",Y19/BW19*100)</f>
        <v>75</v>
      </c>
      <c r="AA19" s="41" t="n">
        <f aca="false">IF(Z19="","",IFERROR(MATCH(Z19,INDEX(Boundaries!$B$2:$I$30,MATCH(CK19,Boundaries!$A$2:$A$30,0),0),1)-1,""))</f>
        <v>6</v>
      </c>
      <c r="AB19" s="42" t="n">
        <f aca="false">IF(OR(AA19="",$E19=""),"",AA19-$E19)</f>
        <v>0.2</v>
      </c>
      <c r="AC19" s="39" t="n">
        <v>13</v>
      </c>
      <c r="AD19" s="40" t="n">
        <f aca="false">IF(OR(AC19="",BX19=""),"",AC19/BX19*100)</f>
        <v>65</v>
      </c>
      <c r="AE19" s="41" t="n">
        <f aca="false">IF(AD19="","",IFERROR(MATCH(AD19,INDEX(Boundaries!$B$2:$I$30,MATCH(CL19,Boundaries!$A$2:$A$30,0),0),1)-1,""))</f>
        <v>6</v>
      </c>
      <c r="AF19" s="42" t="n">
        <f aca="false">IF(OR(AE19="",$E19=""),"",AE19-$E19)</f>
        <v>0.2</v>
      </c>
      <c r="AG19" s="39" t="n">
        <v>17</v>
      </c>
      <c r="AH19" s="40" t="n">
        <f aca="false">IF(OR(AG19="",BY19=""),"",AG19/BY19*100)</f>
        <v>85</v>
      </c>
      <c r="AI19" s="41" t="n">
        <f aca="false">IF(AH19="","",IFERROR(MATCH(AH19,INDEX(Boundaries!$B$2:$I$30,MATCH(CM19,Boundaries!$A$2:$A$30,0),0),1)-1,""))</f>
        <v>7</v>
      </c>
      <c r="AJ19" s="42" t="n">
        <f aca="false">IF(OR(AI19="",$E19=""),"",AI19-$E19)</f>
        <v>1.2</v>
      </c>
      <c r="AK19" s="39" t="n">
        <v>27</v>
      </c>
      <c r="AL19" s="40" t="n">
        <f aca="false">IF(OR(AK19="",BZ19=""),"",AK19/BZ19*100)</f>
        <v>67.5</v>
      </c>
      <c r="AM19" s="41" t="n">
        <f aca="false">IF(AL19="","",IFERROR(MATCH(AL19,INDEX(Boundaries!$B$2:$I$30,MATCH(CN19,Boundaries!$A$2:$A$30,0),0),1)-1,""))</f>
        <v>6</v>
      </c>
      <c r="AN19" s="42" t="n">
        <f aca="false">IF(OR(AM19="",$E19=""),"",AM19-$E19)</f>
        <v>0.2</v>
      </c>
      <c r="AO19" s="39" t="n">
        <v>38</v>
      </c>
      <c r="AP19" s="40" t="n">
        <f aca="false">IF(OR(AO19="",CA19=""),"",AO19/CA19*100)</f>
        <v>76</v>
      </c>
      <c r="AQ19" s="41" t="n">
        <f aca="false">IF(AP19="","",IFERROR(MATCH(AP19,INDEX(Boundaries!$B$2:$I$30,MATCH(CO19,Boundaries!$A$2:$A$30,0),0),1)-1,""))</f>
        <v>6</v>
      </c>
      <c r="AR19" s="42" t="n">
        <f aca="false">IF(OR(AQ19="",$E19=""),"",AQ19-$E19)</f>
        <v>0.2</v>
      </c>
      <c r="AS19" s="39"/>
      <c r="AT19" s="40" t="str">
        <f aca="false">IF(OR(AS19="",CB19=""),"",AS19/CB19*100)</f>
        <v/>
      </c>
      <c r="AU19" s="41" t="str">
        <f aca="false">IF(AT19="","",IFERROR(MATCH(AT19,INDEX(Boundaries!$B$2:$I$30,MATCH(CP19,Boundaries!$A$2:$A$30,0),0),1)-1,""))</f>
        <v/>
      </c>
      <c r="AV19" s="42" t="str">
        <f aca="false">IF(OR(AU19="",$E19=""),"",AU19-$E19)</f>
        <v/>
      </c>
      <c r="AW19" s="39"/>
      <c r="AX19" s="40" t="str">
        <f aca="false">IF(OR(AW19="",CC19=""),"",AW19/CC19*100)</f>
        <v/>
      </c>
      <c r="AY19" s="41" t="str">
        <f aca="false">IF(AX19="","",IFERROR(MATCH(AX19,INDEX(Boundaries!$B$2:$I$30,MATCH(CQ19,Boundaries!$A$2:$A$30,0),0),1)-1,""))</f>
        <v/>
      </c>
      <c r="AZ19" s="42" t="str">
        <f aca="false">IF(OR(AY19="",$E19=""),"",AY19-$E19)</f>
        <v/>
      </c>
      <c r="BA19" s="39"/>
      <c r="BB19" s="40" t="str">
        <f aca="false">IF(OR(BA19="",CD19=""),"",BA19/CD19*100)</f>
        <v/>
      </c>
      <c r="BC19" s="41" t="str">
        <f aca="false">IF(BB19="","",IFERROR(MATCH(BB19,INDEX(Boundaries!$B$2:$I$30,MATCH(CR19,Boundaries!$A$2:$A$30,0),0),1)-1,""))</f>
        <v/>
      </c>
      <c r="BD19" s="42" t="str">
        <f aca="false">IF(OR(BC19="",$E19=""),"",BC19-$E19)</f>
        <v/>
      </c>
      <c r="BE19" s="39"/>
      <c r="BF19" s="40" t="str">
        <f aca="false">IF(OR(BE19="",CE19=""),"",BE19/CE19*100)</f>
        <v/>
      </c>
      <c r="BG19" s="41" t="str">
        <f aca="false">IF(BF19="","",IFERROR(MATCH(BF19,INDEX(Boundaries!$B$2:$I$30,MATCH(CS19,Boundaries!$A$2:$A$30,0),0),1)-1,""))</f>
        <v/>
      </c>
      <c r="BH19" s="42" t="str">
        <f aca="false">IF(OR(BG19="",$E19=""),"",BG19-$E19)</f>
        <v/>
      </c>
      <c r="BI19" s="39"/>
      <c r="BJ19" s="40" t="str">
        <f aca="false">IF(OR(BI19="",CF19=""),"",BI19/CF19*100)</f>
        <v/>
      </c>
      <c r="BK19" s="41" t="str">
        <f aca="false">IF(BJ19="","",IFERROR(MATCH(BJ19,INDEX(Boundaries!$B$2:$I$30,MATCH(CT19,Boundaries!$A$2:$A$30,0),0),1)-1,""))</f>
        <v/>
      </c>
      <c r="BL19" s="42" t="str">
        <f aca="false">IF(OR(BK19="",$E19=""),"",BK19-$E19)</f>
        <v/>
      </c>
      <c r="BM19" s="39"/>
      <c r="BN19" s="40" t="str">
        <f aca="false">IF(OR(BM19="",CG19=""),"",BM19/CG19*100)</f>
        <v/>
      </c>
      <c r="BO19" s="41" t="str">
        <f aca="false">IF(BN19="","",IFERROR(MATCH(BN19,INDEX(Boundaries!$B$2:$I$30,MATCH(CU19,Boundaries!$A$2:$A$30,0),0),1)-1,""))</f>
        <v/>
      </c>
      <c r="BP19" s="42" t="str">
        <f aca="false">IF(OR(BO19="",$E19=""),"",BO19-$E19)</f>
        <v/>
      </c>
      <c r="BQ19" s="39"/>
      <c r="BR19" s="40" t="str">
        <f aca="false">IF(OR(BQ19="",CH19=""),"",BQ19/CH19*100)</f>
        <v/>
      </c>
      <c r="BS19" s="41" t="str">
        <f aca="false">IF(BR19="","",IFERROR(MATCH(BR19,INDEX(Boundaries!$B$2:$I$30,MATCH(CV19,Boundaries!$A$2:$A$30,0),0),1)-1,""))</f>
        <v/>
      </c>
      <c r="BT19" s="42" t="str">
        <f aca="false">IF(OR(BS19="",$E19=""),"",BS19-$E19)</f>
        <v/>
      </c>
      <c r="BU19" s="28" t="n">
        <f aca="false">IFERROR(INDEX(Assessments!$H$2:$H$600,MATCH($H19&amp;"|"&amp;$I19&amp;"|"&amp;$J19&amp;"|"&amp;1,Assessments!$A$2:$A$600,0)),"")</f>
        <v>20</v>
      </c>
      <c r="BV19" s="28" t="n">
        <f aca="false">IFERROR(INDEX(Assessments!$H$2:$H$600,MATCH($H19&amp;"|"&amp;$I19&amp;"|"&amp;$J19&amp;"|"&amp;2,Assessments!$A$2:$A$600,0)),"")</f>
        <v>20</v>
      </c>
      <c r="BW19" s="28" t="n">
        <f aca="false">IFERROR(INDEX(Assessments!$H$2:$H$600,MATCH($H19&amp;"|"&amp;$I19&amp;"|"&amp;$J19&amp;"|"&amp;3,Assessments!$A$2:$A$600,0)),"")</f>
        <v>20</v>
      </c>
      <c r="BX19" s="28" t="n">
        <f aca="false">IFERROR(INDEX(Assessments!$H$2:$H$600,MATCH($H19&amp;"|"&amp;$I19&amp;"|"&amp;$J19&amp;"|"&amp;4,Assessments!$A$2:$A$600,0)),"")</f>
        <v>20</v>
      </c>
      <c r="BY19" s="28" t="n">
        <f aca="false">IFERROR(INDEX(Assessments!$H$2:$H$600,MATCH($H19&amp;"|"&amp;$I19&amp;"|"&amp;$J19&amp;"|"&amp;5,Assessments!$A$2:$A$600,0)),"")</f>
        <v>20</v>
      </c>
      <c r="BZ19" s="28" t="n">
        <f aca="false">IFERROR(INDEX(Assessments!$H$2:$H$600,MATCH($H19&amp;"|"&amp;$I19&amp;"|"&amp;$J19&amp;"|"&amp;6,Assessments!$A$2:$A$600,0)),"")</f>
        <v>40</v>
      </c>
      <c r="CA19" s="28" t="n">
        <f aca="false">IFERROR(INDEX(Assessments!$H$2:$H$600,MATCH($H19&amp;"|"&amp;$I19&amp;"|"&amp;$J19&amp;"|"&amp;7,Assessments!$A$2:$A$600,0)),"")</f>
        <v>50</v>
      </c>
      <c r="CB19" s="28" t="n">
        <f aca="false">IFERROR(INDEX(Assessments!$H$2:$H$600,MATCH($H19&amp;"|"&amp;$I19&amp;"|"&amp;$J19&amp;"|"&amp;8,Assessments!$A$2:$A$600,0)),"")</f>
        <v>25</v>
      </c>
      <c r="CC19" s="28" t="n">
        <f aca="false">IFERROR(INDEX(Assessments!$H$2:$H$600,MATCH($H19&amp;"|"&amp;$I19&amp;"|"&amp;$J19&amp;"|"&amp;9,Assessments!$A$2:$A$600,0)),"")</f>
        <v>16</v>
      </c>
      <c r="CD19" s="28" t="n">
        <f aca="false">IFERROR(INDEX(Assessments!$H$2:$H$600,MATCH($H19&amp;"|"&amp;$I19&amp;"|"&amp;$J19&amp;"|"&amp;10,Assessments!$A$2:$A$600,0)),"")</f>
        <v>30</v>
      </c>
      <c r="CE19" s="28" t="str">
        <f aca="false">IFERROR(INDEX(Assessments!$H$2:$H$600,MATCH($H19&amp;"|"&amp;$I19&amp;"|"&amp;$J19&amp;"|"&amp;11,Assessments!$A$2:$A$600,0)),"")</f>
        <v/>
      </c>
      <c r="CF19" s="28" t="str">
        <f aca="false">IFERROR(INDEX(Assessments!$H$2:$H$600,MATCH($H19&amp;"|"&amp;$I19&amp;"|"&amp;$J19&amp;"|"&amp;12,Assessments!$A$2:$A$600,0)),"")</f>
        <v/>
      </c>
      <c r="CG19" s="28" t="str">
        <f aca="false">IFERROR(INDEX(Assessments!$H$2:$H$600,MATCH($H19&amp;"|"&amp;$I19&amp;"|"&amp;$J19&amp;"|"&amp;13,Assessments!$A$2:$A$600,0)),"")</f>
        <v/>
      </c>
      <c r="CH19" s="28" t="str">
        <f aca="false">IFERROR(INDEX(Assessments!$H$2:$H$600,MATCH($H19&amp;"|"&amp;$I19&amp;"|"&amp;$J19&amp;"|"&amp;14,Assessments!$A$2:$A$600,0)),"")</f>
        <v/>
      </c>
      <c r="CI19" s="28" t="str">
        <f aca="false">IFERROR(INDEX(Assessments!$I$2:$I$600,MATCH($H19&amp;"|"&amp;$I19&amp;"|"&amp;$J19&amp;"|"&amp;1,Assessments!$A$2:$A$600,0)),"")</f>
        <v>Geog Paper 1</v>
      </c>
      <c r="CJ19" s="28" t="str">
        <f aca="false">IFERROR(INDEX(Assessments!$I$2:$I$600,MATCH($H19&amp;"|"&amp;$I19&amp;"|"&amp;$J19&amp;"|"&amp;2,Assessments!$A$2:$A$600,0)),"")</f>
        <v>Geog Paper 1</v>
      </c>
      <c r="CK19" s="28" t="str">
        <f aca="false">IFERROR(INDEX(Assessments!$I$2:$I$600,MATCH($H19&amp;"|"&amp;$I19&amp;"|"&amp;$J19&amp;"|"&amp;3,Assessments!$A$2:$A$600,0)),"")</f>
        <v>Geog Paper 2</v>
      </c>
      <c r="CL19" s="28" t="str">
        <f aca="false">IFERROR(INDEX(Assessments!$I$2:$I$600,MATCH($H19&amp;"|"&amp;$I19&amp;"|"&amp;$J19&amp;"|"&amp;4,Assessments!$A$2:$A$600,0)),"")</f>
        <v>Geog Paper 1</v>
      </c>
      <c r="CM19" s="28" t="str">
        <f aca="false">IFERROR(INDEX(Assessments!$I$2:$I$600,MATCH($H19&amp;"|"&amp;$I19&amp;"|"&amp;$J19&amp;"|"&amp;5,Assessments!$A$2:$A$600,0)),"")</f>
        <v>Geog Paper 1</v>
      </c>
      <c r="CN19" s="28" t="str">
        <f aca="false">IFERROR(INDEX(Assessments!$I$2:$I$600,MATCH($H19&amp;"|"&amp;$I19&amp;"|"&amp;$J19&amp;"|"&amp;6,Assessments!$A$2:$A$600,0)),"")</f>
        <v>Geog Paper 1</v>
      </c>
      <c r="CO19" s="28" t="str">
        <f aca="false">IFERROR(INDEX(Assessments!$I$2:$I$600,MATCH($H19&amp;"|"&amp;$I19&amp;"|"&amp;$J19&amp;"|"&amp;7,Assessments!$A$2:$A$600,0)),"")</f>
        <v>Geog Paper 2</v>
      </c>
      <c r="CP19" s="28" t="str">
        <f aca="false">IFERROR(INDEX(Assessments!$I$2:$I$600,MATCH($H19&amp;"|"&amp;$I19&amp;"|"&amp;$J19&amp;"|"&amp;8,Assessments!$A$2:$A$600,0)),"")</f>
        <v>Geog Paper 2</v>
      </c>
      <c r="CQ19" s="28" t="str">
        <f aca="false">IFERROR(INDEX(Assessments!$I$2:$I$600,MATCH($H19&amp;"|"&amp;$I19&amp;"|"&amp;$J19&amp;"|"&amp;9,Assessments!$A$2:$A$600,0)),"")</f>
        <v>Geog Paper 3</v>
      </c>
      <c r="CR19" s="28" t="str">
        <f aca="false">IFERROR(INDEX(Assessments!$I$2:$I$600,MATCH($H19&amp;"|"&amp;$I19&amp;"|"&amp;$J19&amp;"|"&amp;10,Assessments!$A$2:$A$600,0)),"")</f>
        <v>Geog Paper 2</v>
      </c>
      <c r="CS19" s="28" t="str">
        <f aca="false">IFERROR(INDEX(Assessments!$I$2:$I$600,MATCH($H19&amp;"|"&amp;$I19&amp;"|"&amp;$J19&amp;"|"&amp;11,Assessments!$A$2:$A$600,0)),"")</f>
        <v/>
      </c>
      <c r="CT19" s="28" t="str">
        <f aca="false">IFERROR(INDEX(Assessments!$I$2:$I$600,MATCH($H19&amp;"|"&amp;$I19&amp;"|"&amp;$J19&amp;"|"&amp;12,Assessments!$A$2:$A$600,0)),"")</f>
        <v/>
      </c>
      <c r="CU19" s="28" t="str">
        <f aca="false">IFERROR(INDEX(Assessments!$I$2:$I$600,MATCH($H19&amp;"|"&amp;$I19&amp;"|"&amp;$J19&amp;"|"&amp;13,Assessments!$A$2:$A$600,0)),"")</f>
        <v/>
      </c>
      <c r="CV19" s="28" t="str">
        <f aca="false">IFERROR(INDEX(Assessments!$I$2:$I$600,MATCH($H19&amp;"|"&amp;$I19&amp;"|"&amp;$J19&amp;"|"&amp;14,Assessments!$A$2:$A$600,0)),"")</f>
        <v/>
      </c>
      <c r="CW19" s="28" t="n">
        <f aca="false">IFERROR(INDEX(Assessments!$J$2:$J$600,MATCH($H19&amp;"|"&amp;$I19&amp;"|"&amp;$J19&amp;"|"&amp;1,Assessments!$A$2:$A$600,0)),0)</f>
        <v>1</v>
      </c>
      <c r="CX19" s="28" t="n">
        <f aca="false">IFERROR(INDEX(Assessments!$J$2:$J$600,MATCH($H19&amp;"|"&amp;$I19&amp;"|"&amp;$J19&amp;"|"&amp;2,Assessments!$A$2:$A$600,0)),0)</f>
        <v>1</v>
      </c>
      <c r="CY19" s="28" t="n">
        <f aca="false">IFERROR(INDEX(Assessments!$J$2:$J$600,MATCH($H19&amp;"|"&amp;$I19&amp;"|"&amp;$J19&amp;"|"&amp;3,Assessments!$A$2:$A$600,0)),0)</f>
        <v>1</v>
      </c>
      <c r="CZ19" s="28" t="n">
        <f aca="false">IFERROR(INDEX(Assessments!$J$2:$J$600,MATCH($H19&amp;"|"&amp;$I19&amp;"|"&amp;$J19&amp;"|"&amp;4,Assessments!$A$2:$A$600,0)),0)</f>
        <v>1</v>
      </c>
      <c r="DA19" s="28" t="n">
        <f aca="false">IFERROR(INDEX(Assessments!$J$2:$J$600,MATCH($H19&amp;"|"&amp;$I19&amp;"|"&amp;$J19&amp;"|"&amp;5,Assessments!$A$2:$A$600,0)),0)</f>
        <v>1</v>
      </c>
      <c r="DB19" s="28" t="n">
        <f aca="false">IFERROR(INDEX(Assessments!$J$2:$J$600,MATCH($H19&amp;"|"&amp;$I19&amp;"|"&amp;$J19&amp;"|"&amp;6,Assessments!$A$2:$A$600,0)),0)</f>
        <v>2</v>
      </c>
      <c r="DC19" s="28" t="n">
        <f aca="false">IFERROR(INDEX(Assessments!$J$2:$J$600,MATCH($H19&amp;"|"&amp;$I19&amp;"|"&amp;$J19&amp;"|"&amp;7,Assessments!$A$2:$A$600,0)),0)</f>
        <v>2</v>
      </c>
      <c r="DD19" s="28" t="n">
        <f aca="false">IFERROR(INDEX(Assessments!$J$2:$J$600,MATCH($H19&amp;"|"&amp;$I19&amp;"|"&amp;$J19&amp;"|"&amp;8,Assessments!$A$2:$A$600,0)),0)</f>
        <v>1</v>
      </c>
      <c r="DE19" s="28" t="n">
        <f aca="false">IFERROR(INDEX(Assessments!$J$2:$J$600,MATCH($H19&amp;"|"&amp;$I19&amp;"|"&amp;$J19&amp;"|"&amp;9,Assessments!$A$2:$A$600,0)),0)</f>
        <v>1</v>
      </c>
      <c r="DF19" s="28" t="n">
        <f aca="false">IFERROR(INDEX(Assessments!$J$2:$J$600,MATCH($H19&amp;"|"&amp;$I19&amp;"|"&amp;$J19&amp;"|"&amp;10,Assessments!$A$2:$A$600,0)),0)</f>
        <v>1</v>
      </c>
      <c r="DG19" s="28" t="n">
        <f aca="false">IFERROR(INDEX(Assessments!$J$2:$J$600,MATCH($H19&amp;"|"&amp;$I19&amp;"|"&amp;$J19&amp;"|"&amp;11,Assessments!$A$2:$A$600,0)),0)</f>
        <v>0</v>
      </c>
      <c r="DH19" s="28" t="n">
        <f aca="false">IFERROR(INDEX(Assessments!$J$2:$J$600,MATCH($H19&amp;"|"&amp;$I19&amp;"|"&amp;$J19&amp;"|"&amp;12,Assessments!$A$2:$A$600,0)),0)</f>
        <v>0</v>
      </c>
      <c r="DI19" s="28" t="n">
        <f aca="false">IFERROR(INDEX(Assessments!$J$2:$J$600,MATCH($H19&amp;"|"&amp;$I19&amp;"|"&amp;$J19&amp;"|"&amp;13,Assessments!$A$2:$A$600,0)),0)</f>
        <v>0</v>
      </c>
      <c r="DJ19" s="28" t="n">
        <f aca="false">IFERROR(INDEX(Assessments!$J$2:$J$600,MATCH($H19&amp;"|"&amp;$I19&amp;"|"&amp;$J19&amp;"|"&amp;14,Assessments!$A$2:$A$600,0)),0)</f>
        <v>0</v>
      </c>
      <c r="DK19" s="28" t="n">
        <f aca="false">S19</f>
        <v>5</v>
      </c>
      <c r="DL19" s="28" t="n">
        <f aca="false">W19</f>
        <v>7</v>
      </c>
      <c r="DM19" s="28" t="n">
        <f aca="false">AA19</f>
        <v>6</v>
      </c>
      <c r="DN19" s="28" t="n">
        <f aca="false">AE19</f>
        <v>6</v>
      </c>
      <c r="DO19" s="28" t="n">
        <f aca="false">AI19</f>
        <v>7</v>
      </c>
      <c r="DP19" s="28" t="n">
        <f aca="false">AM19</f>
        <v>6</v>
      </c>
      <c r="DQ19" s="28" t="n">
        <f aca="false">AQ19</f>
        <v>6</v>
      </c>
      <c r="DR19" s="28" t="str">
        <f aca="false">AU19</f>
        <v/>
      </c>
      <c r="DS19" s="28" t="str">
        <f aca="false">AY19</f>
        <v/>
      </c>
      <c r="DT19" s="28" t="str">
        <f aca="false">BC19</f>
        <v/>
      </c>
      <c r="DU19" s="28" t="str">
        <f aca="false">BG19</f>
        <v/>
      </c>
      <c r="DV19" s="28" t="str">
        <f aca="false">BK19</f>
        <v/>
      </c>
      <c r="DW19" s="28" t="str">
        <f aca="false">BO19</f>
        <v/>
      </c>
      <c r="DX19" s="28" t="str">
        <f aca="false">BS19</f>
        <v/>
      </c>
      <c r="DY19" s="28" t="n">
        <f aca="false">IF(ISNUMBER(S19),1,"")</f>
        <v>1</v>
      </c>
      <c r="DZ19" s="28" t="n">
        <f aca="false">IF(ISNUMBER(W19),2,"")</f>
        <v>2</v>
      </c>
      <c r="EA19" s="28" t="n">
        <f aca="false">IF(ISNUMBER(AA19),3,"")</f>
        <v>3</v>
      </c>
      <c r="EB19" s="28" t="n">
        <f aca="false">IF(ISNUMBER(AE19),4,"")</f>
        <v>4</v>
      </c>
      <c r="EC19" s="28" t="n">
        <f aca="false">IF(ISNUMBER(AI19),5,"")</f>
        <v>5</v>
      </c>
      <c r="ED19" s="28" t="n">
        <f aca="false">IF(ISNUMBER(AM19),6,"")</f>
        <v>6</v>
      </c>
      <c r="EE19" s="28" t="n">
        <f aca="false">IF(ISNUMBER(AQ19),7,"")</f>
        <v>7</v>
      </c>
      <c r="EF19" s="28" t="str">
        <f aca="false">IF(ISNUMBER(AU19),8,"")</f>
        <v/>
      </c>
      <c r="EG19" s="28" t="str">
        <f aca="false">IF(ISNUMBER(AY19),9,"")</f>
        <v/>
      </c>
      <c r="EH19" s="28" t="str">
        <f aca="false">IF(ISNUMBER(BC19),10,"")</f>
        <v/>
      </c>
      <c r="EI19" s="28" t="str">
        <f aca="false">IF(ISNUMBER(BG19),11,"")</f>
        <v/>
      </c>
      <c r="EJ19" s="28" t="str">
        <f aca="false">IF(ISNUMBER(BK19),12,"")</f>
        <v/>
      </c>
      <c r="EK19" s="28" t="str">
        <f aca="false">IF(ISNUMBER(BO19),13,"")</f>
        <v/>
      </c>
      <c r="EL19" s="28" t="str">
        <f aca="false">IF(ISNUMBER(BS19),14,"")</f>
        <v/>
      </c>
      <c r="EM19" s="28" t="n">
        <f aca="false">IF(ISNUMBER(R19),R19*CW19,0)</f>
        <v>55</v>
      </c>
      <c r="EN19" s="28" t="n">
        <f aca="false">IF(ISNUMBER(V19),V19*CX19,0)</f>
        <v>80</v>
      </c>
      <c r="EO19" s="28" t="n">
        <f aca="false">IF(ISNUMBER(Z19),Z19*CY19,0)</f>
        <v>75</v>
      </c>
      <c r="EP19" s="28" t="n">
        <f aca="false">IF(ISNUMBER(AD19),AD19*CZ19,0)</f>
        <v>65</v>
      </c>
      <c r="EQ19" s="28" t="n">
        <f aca="false">IF(ISNUMBER(AH19),AH19*DA19,0)</f>
        <v>85</v>
      </c>
      <c r="ER19" s="28" t="n">
        <f aca="false">IF(ISNUMBER(AL19),AL19*DB19,0)</f>
        <v>135</v>
      </c>
      <c r="ES19" s="28" t="n">
        <f aca="false">IF(ISNUMBER(AP19),AP19*DC19,0)</f>
        <v>152</v>
      </c>
      <c r="ET19" s="28" t="n">
        <f aca="false">IF(ISNUMBER(AT19),AT19*DD19,0)</f>
        <v>0</v>
      </c>
      <c r="EU19" s="28" t="n">
        <f aca="false">IF(ISNUMBER(AX19),AX19*DE19,0)</f>
        <v>0</v>
      </c>
      <c r="EV19" s="28" t="n">
        <f aca="false">IF(ISNUMBER(BB19),BB19*DF19,0)</f>
        <v>0</v>
      </c>
      <c r="EW19" s="28" t="n">
        <f aca="false">IF(ISNUMBER(BF19),BF19*DG19,0)</f>
        <v>0</v>
      </c>
      <c r="EX19" s="28" t="n">
        <f aca="false">IF(ISNUMBER(BJ19),BJ19*DH19,0)</f>
        <v>0</v>
      </c>
      <c r="EY19" s="28" t="n">
        <f aca="false">IF(ISNUMBER(BN19),BN19*DI19,0)</f>
        <v>0</v>
      </c>
      <c r="EZ19" s="28" t="n">
        <f aca="false">IF(ISNUMBER(BR19),BR19*DJ19,0)</f>
        <v>0</v>
      </c>
      <c r="FA19" s="28" t="n">
        <f aca="false">IF(ISNUMBER(R19),CW19,0)</f>
        <v>1</v>
      </c>
      <c r="FB19" s="28" t="n">
        <f aca="false">IF(ISNUMBER(V19),CX19,0)</f>
        <v>1</v>
      </c>
      <c r="FC19" s="28" t="n">
        <f aca="false">IF(ISNUMBER(Z19),CY19,0)</f>
        <v>1</v>
      </c>
      <c r="FD19" s="28" t="n">
        <f aca="false">IF(ISNUMBER(AD19),CZ19,0)</f>
        <v>1</v>
      </c>
      <c r="FE19" s="28" t="n">
        <f aca="false">IF(ISNUMBER(AH19),DA19,0)</f>
        <v>1</v>
      </c>
      <c r="FF19" s="28" t="n">
        <f aca="false">IF(ISNUMBER(AL19),DB19,0)</f>
        <v>2</v>
      </c>
      <c r="FG19" s="28" t="n">
        <f aca="false">IF(ISNUMBER(AP19),DC19,0)</f>
        <v>2</v>
      </c>
      <c r="FH19" s="28" t="n">
        <f aca="false">IF(ISNUMBER(AT19),DD19,0)</f>
        <v>0</v>
      </c>
      <c r="FI19" s="28" t="n">
        <f aca="false">IF(ISNUMBER(AX19),DE19,0)</f>
        <v>0</v>
      </c>
      <c r="FJ19" s="28" t="n">
        <f aca="false">IF(ISNUMBER(BB19),DF19,0)</f>
        <v>0</v>
      </c>
      <c r="FK19" s="28" t="n">
        <f aca="false">IF(ISNUMBER(BF19),DG19,0)</f>
        <v>0</v>
      </c>
      <c r="FL19" s="28" t="n">
        <f aca="false">IF(ISNUMBER(BJ19),DH19,0)</f>
        <v>0</v>
      </c>
      <c r="FM19" s="28" t="n">
        <f aca="false">IF(ISNUMBER(BN19),DI19,0)</f>
        <v>0</v>
      </c>
      <c r="FN19" s="28" t="n">
        <f aca="false">IF(ISNUMBER(BR19),DJ19,0)</f>
        <v>0</v>
      </c>
      <c r="FO19" s="28" t="str">
        <f aca="false">IFERROR(INDEX(Lists!$G$2:$G$20,MATCH($I19&amp;"|"&amp;$J19,Lists!$F$2:$F$20,0)),"")</f>
        <v>Geog Overall HL</v>
      </c>
    </row>
    <row r="20" customFormat="false" ht="19.5" hidden="false" customHeight="true" outlineLevel="0" collapsed="false">
      <c r="A20" s="29" t="s">
        <v>171</v>
      </c>
      <c r="B20" s="29" t="s">
        <v>172</v>
      </c>
      <c r="C20" s="30" t="s">
        <v>152</v>
      </c>
      <c r="D20" s="30" t="s">
        <v>153</v>
      </c>
      <c r="E20" s="31" t="n">
        <v>6.4</v>
      </c>
      <c r="F20" s="30" t="n">
        <v>7</v>
      </c>
      <c r="G20" s="30"/>
      <c r="H20" s="32" t="s">
        <v>23</v>
      </c>
      <c r="I20" s="33" t="s">
        <v>24</v>
      </c>
      <c r="J20" s="32" t="s">
        <v>25</v>
      </c>
      <c r="K20" s="34" t="n">
        <f aca="false">IF(OR(M20="",$E20=""),"",M20-$E20)</f>
        <v>0.6</v>
      </c>
      <c r="L20" s="35" t="n">
        <f aca="false">IF(SUM(FA20:FN20)=0,"",SUM(EM20:EZ20)/SUM(FA20:FN20))</f>
        <v>76.3333333333333</v>
      </c>
      <c r="M20" s="36" t="n">
        <f aca="false">IF(OR(L20="",FO20=""),"",IFERROR(MATCH(L20,INDEX(Boundaries!$B$2:$I$30,MATCH(FO20,Boundaries!$A$2:$A$30,0),0),1)-1,""))</f>
        <v>7</v>
      </c>
      <c r="N20" s="37" t="n">
        <f aca="false">IF(COUNT($DY20:$EL20)&lt;2,"",INDEX($DK20:$DX20,MAX($DY20:$EL20))-INDEX($DK20:$DX20,MIN($DY20:$EL20)))</f>
        <v>0</v>
      </c>
      <c r="O20" s="37" t="n">
        <f aca="false">IF(COUNT($DY20:$EL20)&lt;2,"",INDEX($DK20:$DX20,MAX($DY20:$EL20))-INDEX($DK20:$DX20,LARGE($DY20:$EL20,2)))</f>
        <v>0</v>
      </c>
      <c r="P20" s="38" t="str">
        <f aca="false">IF(K20="","",IF(K20&gt;=0,"On/above target",IF(AND(N20&lt;&gt;"",N20&gt;=0.5),"Improving towards target",IF(AND(O20&lt;&gt;"",O20&lt;=-0.5),"Declining","Stable below target"))))</f>
        <v>On/above target</v>
      </c>
      <c r="Q20" s="39" t="n">
        <v>16</v>
      </c>
      <c r="R20" s="40" t="n">
        <f aca="false">IF(OR(Q20="",BU20=""),"",Q20/BU20*100)</f>
        <v>80</v>
      </c>
      <c r="S20" s="41" t="n">
        <f aca="false">IF(R20="","",IFERROR(MATCH(R20,INDEX(Boundaries!$B$2:$I$30,MATCH(CI20,Boundaries!$A$2:$A$30,0),0),1)-1,""))</f>
        <v>7</v>
      </c>
      <c r="T20" s="42" t="n">
        <f aca="false">IF(OR(S20="",$E20=""),"",S20-$E20)</f>
        <v>0.6</v>
      </c>
      <c r="U20" s="39" t="n">
        <v>16</v>
      </c>
      <c r="V20" s="40" t="n">
        <f aca="false">IF(OR(U20="",BV20=""),"",U20/BV20*100)</f>
        <v>80</v>
      </c>
      <c r="W20" s="41" t="n">
        <f aca="false">IF(V20="","",IFERROR(MATCH(V20,INDEX(Boundaries!$B$2:$I$30,MATCH(CJ20,Boundaries!$A$2:$A$30,0),0),1)-1,""))</f>
        <v>7</v>
      </c>
      <c r="X20" s="42" t="n">
        <f aca="false">IF(OR(W20="",$E20=""),"",W20-$E20)</f>
        <v>0.6</v>
      </c>
      <c r="Y20" s="39" t="n">
        <v>14</v>
      </c>
      <c r="Z20" s="40" t="n">
        <f aca="false">IF(OR(Y20="",BW20=""),"",Y20/BW20*100)</f>
        <v>70</v>
      </c>
      <c r="AA20" s="41" t="n">
        <f aca="false">IF(Z20="","",IFERROR(MATCH(Z20,INDEX(Boundaries!$B$2:$I$30,MATCH(CK20,Boundaries!$A$2:$A$30,0),0),1)-1,""))</f>
        <v>6</v>
      </c>
      <c r="AB20" s="42" t="n">
        <f aca="false">IF(OR(AA20="",$E20=""),"",AA20-$E20)</f>
        <v>-0.4</v>
      </c>
      <c r="AC20" s="39" t="n">
        <v>10</v>
      </c>
      <c r="AD20" s="40" t="n">
        <f aca="false">IF(OR(AC20="",BX20=""),"",AC20/BX20*100)</f>
        <v>50</v>
      </c>
      <c r="AE20" s="41" t="n">
        <f aca="false">IF(AD20="","",IFERROR(MATCH(AD20,INDEX(Boundaries!$B$2:$I$30,MATCH(CL20,Boundaries!$A$2:$A$30,0),0),1)-1,""))</f>
        <v>4</v>
      </c>
      <c r="AF20" s="42" t="n">
        <f aca="false">IF(OR(AE20="",$E20=""),"",AE20-$E20)</f>
        <v>-2.4</v>
      </c>
      <c r="AG20" s="39" t="n">
        <v>16</v>
      </c>
      <c r="AH20" s="40" t="n">
        <f aca="false">IF(OR(AG20="",BY20=""),"",AG20/BY20*100)</f>
        <v>80</v>
      </c>
      <c r="AI20" s="41" t="n">
        <f aca="false">IF(AH20="","",IFERROR(MATCH(AH20,INDEX(Boundaries!$B$2:$I$30,MATCH(CM20,Boundaries!$A$2:$A$30,0),0),1)-1,""))</f>
        <v>7</v>
      </c>
      <c r="AJ20" s="42" t="n">
        <f aca="false">IF(OR(AI20="",$E20=""),"",AI20-$E20)</f>
        <v>0.6</v>
      </c>
      <c r="AK20" s="39" t="n">
        <v>31</v>
      </c>
      <c r="AL20" s="40" t="n">
        <f aca="false">IF(OR(AK20="",BZ20=""),"",AK20/BZ20*100)</f>
        <v>77.5</v>
      </c>
      <c r="AM20" s="41" t="n">
        <f aca="false">IF(AL20="","",IFERROR(MATCH(AL20,INDEX(Boundaries!$B$2:$I$30,MATCH(CN20,Boundaries!$A$2:$A$30,0),0),1)-1,""))</f>
        <v>7</v>
      </c>
      <c r="AN20" s="42" t="n">
        <f aca="false">IF(OR(AM20="",$E20=""),"",AM20-$E20)</f>
        <v>0.6</v>
      </c>
      <c r="AO20" s="39" t="n">
        <v>43</v>
      </c>
      <c r="AP20" s="40" t="n">
        <f aca="false">IF(OR(AO20="",CA20=""),"",AO20/CA20*100)</f>
        <v>86</v>
      </c>
      <c r="AQ20" s="41" t="n">
        <f aca="false">IF(AP20="","",IFERROR(MATCH(AP20,INDEX(Boundaries!$B$2:$I$30,MATCH(CO20,Boundaries!$A$2:$A$30,0),0),1)-1,""))</f>
        <v>7</v>
      </c>
      <c r="AR20" s="42" t="n">
        <f aca="false">IF(OR(AQ20="",$E20=""),"",AQ20-$E20)</f>
        <v>0.6</v>
      </c>
      <c r="AS20" s="39"/>
      <c r="AT20" s="40" t="str">
        <f aca="false">IF(OR(AS20="",CB20=""),"",AS20/CB20*100)</f>
        <v/>
      </c>
      <c r="AU20" s="41" t="str">
        <f aca="false">IF(AT20="","",IFERROR(MATCH(AT20,INDEX(Boundaries!$B$2:$I$30,MATCH(CP20,Boundaries!$A$2:$A$30,0),0),1)-1,""))</f>
        <v/>
      </c>
      <c r="AV20" s="42" t="str">
        <f aca="false">IF(OR(AU20="",$E20=""),"",AU20-$E20)</f>
        <v/>
      </c>
      <c r="AW20" s="39"/>
      <c r="AX20" s="40" t="str">
        <f aca="false">IF(OR(AW20="",CC20=""),"",AW20/CC20*100)</f>
        <v/>
      </c>
      <c r="AY20" s="41" t="str">
        <f aca="false">IF(AX20="","",IFERROR(MATCH(AX20,INDEX(Boundaries!$B$2:$I$30,MATCH(CQ20,Boundaries!$A$2:$A$30,0),0),1)-1,""))</f>
        <v/>
      </c>
      <c r="AZ20" s="42" t="str">
        <f aca="false">IF(OR(AY20="",$E20=""),"",AY20-$E20)</f>
        <v/>
      </c>
      <c r="BA20" s="39"/>
      <c r="BB20" s="40" t="str">
        <f aca="false">IF(OR(BA20="",CD20=""),"",BA20/CD20*100)</f>
        <v/>
      </c>
      <c r="BC20" s="41" t="str">
        <f aca="false">IF(BB20="","",IFERROR(MATCH(BB20,INDEX(Boundaries!$B$2:$I$30,MATCH(CR20,Boundaries!$A$2:$A$30,0),0),1)-1,""))</f>
        <v/>
      </c>
      <c r="BD20" s="42" t="str">
        <f aca="false">IF(OR(BC20="",$E20=""),"",BC20-$E20)</f>
        <v/>
      </c>
      <c r="BE20" s="39"/>
      <c r="BF20" s="40" t="str">
        <f aca="false">IF(OR(BE20="",CE20=""),"",BE20/CE20*100)</f>
        <v/>
      </c>
      <c r="BG20" s="41" t="str">
        <f aca="false">IF(BF20="","",IFERROR(MATCH(BF20,INDEX(Boundaries!$B$2:$I$30,MATCH(CS20,Boundaries!$A$2:$A$30,0),0),1)-1,""))</f>
        <v/>
      </c>
      <c r="BH20" s="42" t="str">
        <f aca="false">IF(OR(BG20="",$E20=""),"",BG20-$E20)</f>
        <v/>
      </c>
      <c r="BI20" s="39"/>
      <c r="BJ20" s="40" t="str">
        <f aca="false">IF(OR(BI20="",CF20=""),"",BI20/CF20*100)</f>
        <v/>
      </c>
      <c r="BK20" s="41" t="str">
        <f aca="false">IF(BJ20="","",IFERROR(MATCH(BJ20,INDEX(Boundaries!$B$2:$I$30,MATCH(CT20,Boundaries!$A$2:$A$30,0),0),1)-1,""))</f>
        <v/>
      </c>
      <c r="BL20" s="42" t="str">
        <f aca="false">IF(OR(BK20="",$E20=""),"",BK20-$E20)</f>
        <v/>
      </c>
      <c r="BM20" s="39"/>
      <c r="BN20" s="40" t="str">
        <f aca="false">IF(OR(BM20="",CG20=""),"",BM20/CG20*100)</f>
        <v/>
      </c>
      <c r="BO20" s="41" t="str">
        <f aca="false">IF(BN20="","",IFERROR(MATCH(BN20,INDEX(Boundaries!$B$2:$I$30,MATCH(CU20,Boundaries!$A$2:$A$30,0),0),1)-1,""))</f>
        <v/>
      </c>
      <c r="BP20" s="42" t="str">
        <f aca="false">IF(OR(BO20="",$E20=""),"",BO20-$E20)</f>
        <v/>
      </c>
      <c r="BQ20" s="39"/>
      <c r="BR20" s="40" t="str">
        <f aca="false">IF(OR(BQ20="",CH20=""),"",BQ20/CH20*100)</f>
        <v/>
      </c>
      <c r="BS20" s="41" t="str">
        <f aca="false">IF(BR20="","",IFERROR(MATCH(BR20,INDEX(Boundaries!$B$2:$I$30,MATCH(CV20,Boundaries!$A$2:$A$30,0),0),1)-1,""))</f>
        <v/>
      </c>
      <c r="BT20" s="42" t="str">
        <f aca="false">IF(OR(BS20="",$E20=""),"",BS20-$E20)</f>
        <v/>
      </c>
      <c r="BU20" s="28" t="n">
        <f aca="false">IFERROR(INDEX(Assessments!$H$2:$H$600,MATCH($H20&amp;"|"&amp;$I20&amp;"|"&amp;$J20&amp;"|"&amp;1,Assessments!$A$2:$A$600,0)),"")</f>
        <v>20</v>
      </c>
      <c r="BV20" s="28" t="n">
        <f aca="false">IFERROR(INDEX(Assessments!$H$2:$H$600,MATCH($H20&amp;"|"&amp;$I20&amp;"|"&amp;$J20&amp;"|"&amp;2,Assessments!$A$2:$A$600,0)),"")</f>
        <v>20</v>
      </c>
      <c r="BW20" s="28" t="n">
        <f aca="false">IFERROR(INDEX(Assessments!$H$2:$H$600,MATCH($H20&amp;"|"&amp;$I20&amp;"|"&amp;$J20&amp;"|"&amp;3,Assessments!$A$2:$A$600,0)),"")</f>
        <v>20</v>
      </c>
      <c r="BX20" s="28" t="n">
        <f aca="false">IFERROR(INDEX(Assessments!$H$2:$H$600,MATCH($H20&amp;"|"&amp;$I20&amp;"|"&amp;$J20&amp;"|"&amp;4,Assessments!$A$2:$A$600,0)),"")</f>
        <v>20</v>
      </c>
      <c r="BY20" s="28" t="n">
        <f aca="false">IFERROR(INDEX(Assessments!$H$2:$H$600,MATCH($H20&amp;"|"&amp;$I20&amp;"|"&amp;$J20&amp;"|"&amp;5,Assessments!$A$2:$A$600,0)),"")</f>
        <v>20</v>
      </c>
      <c r="BZ20" s="28" t="n">
        <f aca="false">IFERROR(INDEX(Assessments!$H$2:$H$600,MATCH($H20&amp;"|"&amp;$I20&amp;"|"&amp;$J20&amp;"|"&amp;6,Assessments!$A$2:$A$600,0)),"")</f>
        <v>40</v>
      </c>
      <c r="CA20" s="28" t="n">
        <f aca="false">IFERROR(INDEX(Assessments!$H$2:$H$600,MATCH($H20&amp;"|"&amp;$I20&amp;"|"&amp;$J20&amp;"|"&amp;7,Assessments!$A$2:$A$600,0)),"")</f>
        <v>50</v>
      </c>
      <c r="CB20" s="28" t="n">
        <f aca="false">IFERROR(INDEX(Assessments!$H$2:$H$600,MATCH($H20&amp;"|"&amp;$I20&amp;"|"&amp;$J20&amp;"|"&amp;8,Assessments!$A$2:$A$600,0)),"")</f>
        <v>25</v>
      </c>
      <c r="CC20" s="28" t="n">
        <f aca="false">IFERROR(INDEX(Assessments!$H$2:$H$600,MATCH($H20&amp;"|"&amp;$I20&amp;"|"&amp;$J20&amp;"|"&amp;9,Assessments!$A$2:$A$600,0)),"")</f>
        <v>16</v>
      </c>
      <c r="CD20" s="28" t="n">
        <f aca="false">IFERROR(INDEX(Assessments!$H$2:$H$600,MATCH($H20&amp;"|"&amp;$I20&amp;"|"&amp;$J20&amp;"|"&amp;10,Assessments!$A$2:$A$600,0)),"")</f>
        <v>30</v>
      </c>
      <c r="CE20" s="28" t="str">
        <f aca="false">IFERROR(INDEX(Assessments!$H$2:$H$600,MATCH($H20&amp;"|"&amp;$I20&amp;"|"&amp;$J20&amp;"|"&amp;11,Assessments!$A$2:$A$600,0)),"")</f>
        <v/>
      </c>
      <c r="CF20" s="28" t="str">
        <f aca="false">IFERROR(INDEX(Assessments!$H$2:$H$600,MATCH($H20&amp;"|"&amp;$I20&amp;"|"&amp;$J20&amp;"|"&amp;12,Assessments!$A$2:$A$600,0)),"")</f>
        <v/>
      </c>
      <c r="CG20" s="28" t="str">
        <f aca="false">IFERROR(INDEX(Assessments!$H$2:$H$600,MATCH($H20&amp;"|"&amp;$I20&amp;"|"&amp;$J20&amp;"|"&amp;13,Assessments!$A$2:$A$600,0)),"")</f>
        <v/>
      </c>
      <c r="CH20" s="28" t="str">
        <f aca="false">IFERROR(INDEX(Assessments!$H$2:$H$600,MATCH($H20&amp;"|"&amp;$I20&amp;"|"&amp;$J20&amp;"|"&amp;14,Assessments!$A$2:$A$600,0)),"")</f>
        <v/>
      </c>
      <c r="CI20" s="28" t="str">
        <f aca="false">IFERROR(INDEX(Assessments!$I$2:$I$600,MATCH($H20&amp;"|"&amp;$I20&amp;"|"&amp;$J20&amp;"|"&amp;1,Assessments!$A$2:$A$600,0)),"")</f>
        <v>Geog Paper 1</v>
      </c>
      <c r="CJ20" s="28" t="str">
        <f aca="false">IFERROR(INDEX(Assessments!$I$2:$I$600,MATCH($H20&amp;"|"&amp;$I20&amp;"|"&amp;$J20&amp;"|"&amp;2,Assessments!$A$2:$A$600,0)),"")</f>
        <v>Geog Paper 1</v>
      </c>
      <c r="CK20" s="28" t="str">
        <f aca="false">IFERROR(INDEX(Assessments!$I$2:$I$600,MATCH($H20&amp;"|"&amp;$I20&amp;"|"&amp;$J20&amp;"|"&amp;3,Assessments!$A$2:$A$600,0)),"")</f>
        <v>Geog Paper 2</v>
      </c>
      <c r="CL20" s="28" t="str">
        <f aca="false">IFERROR(INDEX(Assessments!$I$2:$I$600,MATCH($H20&amp;"|"&amp;$I20&amp;"|"&amp;$J20&amp;"|"&amp;4,Assessments!$A$2:$A$600,0)),"")</f>
        <v>Geog Paper 1</v>
      </c>
      <c r="CM20" s="28" t="str">
        <f aca="false">IFERROR(INDEX(Assessments!$I$2:$I$600,MATCH($H20&amp;"|"&amp;$I20&amp;"|"&amp;$J20&amp;"|"&amp;5,Assessments!$A$2:$A$600,0)),"")</f>
        <v>Geog Paper 1</v>
      </c>
      <c r="CN20" s="28" t="str">
        <f aca="false">IFERROR(INDEX(Assessments!$I$2:$I$600,MATCH($H20&amp;"|"&amp;$I20&amp;"|"&amp;$J20&amp;"|"&amp;6,Assessments!$A$2:$A$600,0)),"")</f>
        <v>Geog Paper 1</v>
      </c>
      <c r="CO20" s="28" t="str">
        <f aca="false">IFERROR(INDEX(Assessments!$I$2:$I$600,MATCH($H20&amp;"|"&amp;$I20&amp;"|"&amp;$J20&amp;"|"&amp;7,Assessments!$A$2:$A$600,0)),"")</f>
        <v>Geog Paper 2</v>
      </c>
      <c r="CP20" s="28" t="str">
        <f aca="false">IFERROR(INDEX(Assessments!$I$2:$I$600,MATCH($H20&amp;"|"&amp;$I20&amp;"|"&amp;$J20&amp;"|"&amp;8,Assessments!$A$2:$A$600,0)),"")</f>
        <v>Geog Paper 2</v>
      </c>
      <c r="CQ20" s="28" t="str">
        <f aca="false">IFERROR(INDEX(Assessments!$I$2:$I$600,MATCH($H20&amp;"|"&amp;$I20&amp;"|"&amp;$J20&amp;"|"&amp;9,Assessments!$A$2:$A$600,0)),"")</f>
        <v>Geog Paper 3</v>
      </c>
      <c r="CR20" s="28" t="str">
        <f aca="false">IFERROR(INDEX(Assessments!$I$2:$I$600,MATCH($H20&amp;"|"&amp;$I20&amp;"|"&amp;$J20&amp;"|"&amp;10,Assessments!$A$2:$A$600,0)),"")</f>
        <v>Geog Paper 2</v>
      </c>
      <c r="CS20" s="28" t="str">
        <f aca="false">IFERROR(INDEX(Assessments!$I$2:$I$600,MATCH($H20&amp;"|"&amp;$I20&amp;"|"&amp;$J20&amp;"|"&amp;11,Assessments!$A$2:$A$600,0)),"")</f>
        <v/>
      </c>
      <c r="CT20" s="28" t="str">
        <f aca="false">IFERROR(INDEX(Assessments!$I$2:$I$600,MATCH($H20&amp;"|"&amp;$I20&amp;"|"&amp;$J20&amp;"|"&amp;12,Assessments!$A$2:$A$600,0)),"")</f>
        <v/>
      </c>
      <c r="CU20" s="28" t="str">
        <f aca="false">IFERROR(INDEX(Assessments!$I$2:$I$600,MATCH($H20&amp;"|"&amp;$I20&amp;"|"&amp;$J20&amp;"|"&amp;13,Assessments!$A$2:$A$600,0)),"")</f>
        <v/>
      </c>
      <c r="CV20" s="28" t="str">
        <f aca="false">IFERROR(INDEX(Assessments!$I$2:$I$600,MATCH($H20&amp;"|"&amp;$I20&amp;"|"&amp;$J20&amp;"|"&amp;14,Assessments!$A$2:$A$600,0)),"")</f>
        <v/>
      </c>
      <c r="CW20" s="28" t="n">
        <f aca="false">IFERROR(INDEX(Assessments!$J$2:$J$600,MATCH($H20&amp;"|"&amp;$I20&amp;"|"&amp;$J20&amp;"|"&amp;1,Assessments!$A$2:$A$600,0)),0)</f>
        <v>1</v>
      </c>
      <c r="CX20" s="28" t="n">
        <f aca="false">IFERROR(INDEX(Assessments!$J$2:$J$600,MATCH($H20&amp;"|"&amp;$I20&amp;"|"&amp;$J20&amp;"|"&amp;2,Assessments!$A$2:$A$600,0)),0)</f>
        <v>1</v>
      </c>
      <c r="CY20" s="28" t="n">
        <f aca="false">IFERROR(INDEX(Assessments!$J$2:$J$600,MATCH($H20&amp;"|"&amp;$I20&amp;"|"&amp;$J20&amp;"|"&amp;3,Assessments!$A$2:$A$600,0)),0)</f>
        <v>1</v>
      </c>
      <c r="CZ20" s="28" t="n">
        <f aca="false">IFERROR(INDEX(Assessments!$J$2:$J$600,MATCH($H20&amp;"|"&amp;$I20&amp;"|"&amp;$J20&amp;"|"&amp;4,Assessments!$A$2:$A$600,0)),0)</f>
        <v>1</v>
      </c>
      <c r="DA20" s="28" t="n">
        <f aca="false">IFERROR(INDEX(Assessments!$J$2:$J$600,MATCH($H20&amp;"|"&amp;$I20&amp;"|"&amp;$J20&amp;"|"&amp;5,Assessments!$A$2:$A$600,0)),0)</f>
        <v>1</v>
      </c>
      <c r="DB20" s="28" t="n">
        <f aca="false">IFERROR(INDEX(Assessments!$J$2:$J$600,MATCH($H20&amp;"|"&amp;$I20&amp;"|"&amp;$J20&amp;"|"&amp;6,Assessments!$A$2:$A$600,0)),0)</f>
        <v>2</v>
      </c>
      <c r="DC20" s="28" t="n">
        <f aca="false">IFERROR(INDEX(Assessments!$J$2:$J$600,MATCH($H20&amp;"|"&amp;$I20&amp;"|"&amp;$J20&amp;"|"&amp;7,Assessments!$A$2:$A$600,0)),0)</f>
        <v>2</v>
      </c>
      <c r="DD20" s="28" t="n">
        <f aca="false">IFERROR(INDEX(Assessments!$J$2:$J$600,MATCH($H20&amp;"|"&amp;$I20&amp;"|"&amp;$J20&amp;"|"&amp;8,Assessments!$A$2:$A$600,0)),0)</f>
        <v>1</v>
      </c>
      <c r="DE20" s="28" t="n">
        <f aca="false">IFERROR(INDEX(Assessments!$J$2:$J$600,MATCH($H20&amp;"|"&amp;$I20&amp;"|"&amp;$J20&amp;"|"&amp;9,Assessments!$A$2:$A$600,0)),0)</f>
        <v>1</v>
      </c>
      <c r="DF20" s="28" t="n">
        <f aca="false">IFERROR(INDEX(Assessments!$J$2:$J$600,MATCH($H20&amp;"|"&amp;$I20&amp;"|"&amp;$J20&amp;"|"&amp;10,Assessments!$A$2:$A$600,0)),0)</f>
        <v>1</v>
      </c>
      <c r="DG20" s="28" t="n">
        <f aca="false">IFERROR(INDEX(Assessments!$J$2:$J$600,MATCH($H20&amp;"|"&amp;$I20&amp;"|"&amp;$J20&amp;"|"&amp;11,Assessments!$A$2:$A$600,0)),0)</f>
        <v>0</v>
      </c>
      <c r="DH20" s="28" t="n">
        <f aca="false">IFERROR(INDEX(Assessments!$J$2:$J$600,MATCH($H20&amp;"|"&amp;$I20&amp;"|"&amp;$J20&amp;"|"&amp;12,Assessments!$A$2:$A$600,0)),0)</f>
        <v>0</v>
      </c>
      <c r="DI20" s="28" t="n">
        <f aca="false">IFERROR(INDEX(Assessments!$J$2:$J$600,MATCH($H20&amp;"|"&amp;$I20&amp;"|"&amp;$J20&amp;"|"&amp;13,Assessments!$A$2:$A$600,0)),0)</f>
        <v>0</v>
      </c>
      <c r="DJ20" s="28" t="n">
        <f aca="false">IFERROR(INDEX(Assessments!$J$2:$J$600,MATCH($H20&amp;"|"&amp;$I20&amp;"|"&amp;$J20&amp;"|"&amp;14,Assessments!$A$2:$A$600,0)),0)</f>
        <v>0</v>
      </c>
      <c r="DK20" s="28" t="n">
        <f aca="false">S20</f>
        <v>7</v>
      </c>
      <c r="DL20" s="28" t="n">
        <f aca="false">W20</f>
        <v>7</v>
      </c>
      <c r="DM20" s="28" t="n">
        <f aca="false">AA20</f>
        <v>6</v>
      </c>
      <c r="DN20" s="28" t="n">
        <f aca="false">AE20</f>
        <v>4</v>
      </c>
      <c r="DO20" s="28" t="n">
        <f aca="false">AI20</f>
        <v>7</v>
      </c>
      <c r="DP20" s="28" t="n">
        <f aca="false">AM20</f>
        <v>7</v>
      </c>
      <c r="DQ20" s="28" t="n">
        <f aca="false">AQ20</f>
        <v>7</v>
      </c>
      <c r="DR20" s="28" t="str">
        <f aca="false">AU20</f>
        <v/>
      </c>
      <c r="DS20" s="28" t="str">
        <f aca="false">AY20</f>
        <v/>
      </c>
      <c r="DT20" s="28" t="str">
        <f aca="false">BC20</f>
        <v/>
      </c>
      <c r="DU20" s="28" t="str">
        <f aca="false">BG20</f>
        <v/>
      </c>
      <c r="DV20" s="28" t="str">
        <f aca="false">BK20</f>
        <v/>
      </c>
      <c r="DW20" s="28" t="str">
        <f aca="false">BO20</f>
        <v/>
      </c>
      <c r="DX20" s="28" t="str">
        <f aca="false">BS20</f>
        <v/>
      </c>
      <c r="DY20" s="28" t="n">
        <f aca="false">IF(ISNUMBER(S20),1,"")</f>
        <v>1</v>
      </c>
      <c r="DZ20" s="28" t="n">
        <f aca="false">IF(ISNUMBER(W20),2,"")</f>
        <v>2</v>
      </c>
      <c r="EA20" s="28" t="n">
        <f aca="false">IF(ISNUMBER(AA20),3,"")</f>
        <v>3</v>
      </c>
      <c r="EB20" s="28" t="n">
        <f aca="false">IF(ISNUMBER(AE20),4,"")</f>
        <v>4</v>
      </c>
      <c r="EC20" s="28" t="n">
        <f aca="false">IF(ISNUMBER(AI20),5,"")</f>
        <v>5</v>
      </c>
      <c r="ED20" s="28" t="n">
        <f aca="false">IF(ISNUMBER(AM20),6,"")</f>
        <v>6</v>
      </c>
      <c r="EE20" s="28" t="n">
        <f aca="false">IF(ISNUMBER(AQ20),7,"")</f>
        <v>7</v>
      </c>
      <c r="EF20" s="28" t="str">
        <f aca="false">IF(ISNUMBER(AU20),8,"")</f>
        <v/>
      </c>
      <c r="EG20" s="28" t="str">
        <f aca="false">IF(ISNUMBER(AY20),9,"")</f>
        <v/>
      </c>
      <c r="EH20" s="28" t="str">
        <f aca="false">IF(ISNUMBER(BC20),10,"")</f>
        <v/>
      </c>
      <c r="EI20" s="28" t="str">
        <f aca="false">IF(ISNUMBER(BG20),11,"")</f>
        <v/>
      </c>
      <c r="EJ20" s="28" t="str">
        <f aca="false">IF(ISNUMBER(BK20),12,"")</f>
        <v/>
      </c>
      <c r="EK20" s="28" t="str">
        <f aca="false">IF(ISNUMBER(BO20),13,"")</f>
        <v/>
      </c>
      <c r="EL20" s="28" t="str">
        <f aca="false">IF(ISNUMBER(BS20),14,"")</f>
        <v/>
      </c>
      <c r="EM20" s="28" t="n">
        <f aca="false">IF(ISNUMBER(R20),R20*CW20,0)</f>
        <v>80</v>
      </c>
      <c r="EN20" s="28" t="n">
        <f aca="false">IF(ISNUMBER(V20),V20*CX20,0)</f>
        <v>80</v>
      </c>
      <c r="EO20" s="28" t="n">
        <f aca="false">IF(ISNUMBER(Z20),Z20*CY20,0)</f>
        <v>70</v>
      </c>
      <c r="EP20" s="28" t="n">
        <f aca="false">IF(ISNUMBER(AD20),AD20*CZ20,0)</f>
        <v>50</v>
      </c>
      <c r="EQ20" s="28" t="n">
        <f aca="false">IF(ISNUMBER(AH20),AH20*DA20,0)</f>
        <v>80</v>
      </c>
      <c r="ER20" s="28" t="n">
        <f aca="false">IF(ISNUMBER(AL20),AL20*DB20,0)</f>
        <v>155</v>
      </c>
      <c r="ES20" s="28" t="n">
        <f aca="false">IF(ISNUMBER(AP20),AP20*DC20,0)</f>
        <v>172</v>
      </c>
      <c r="ET20" s="28" t="n">
        <f aca="false">IF(ISNUMBER(AT20),AT20*DD20,0)</f>
        <v>0</v>
      </c>
      <c r="EU20" s="28" t="n">
        <f aca="false">IF(ISNUMBER(AX20),AX20*DE20,0)</f>
        <v>0</v>
      </c>
      <c r="EV20" s="28" t="n">
        <f aca="false">IF(ISNUMBER(BB20),BB20*DF20,0)</f>
        <v>0</v>
      </c>
      <c r="EW20" s="28" t="n">
        <f aca="false">IF(ISNUMBER(BF20),BF20*DG20,0)</f>
        <v>0</v>
      </c>
      <c r="EX20" s="28" t="n">
        <f aca="false">IF(ISNUMBER(BJ20),BJ20*DH20,0)</f>
        <v>0</v>
      </c>
      <c r="EY20" s="28" t="n">
        <f aca="false">IF(ISNUMBER(BN20),BN20*DI20,0)</f>
        <v>0</v>
      </c>
      <c r="EZ20" s="28" t="n">
        <f aca="false">IF(ISNUMBER(BR20),BR20*DJ20,0)</f>
        <v>0</v>
      </c>
      <c r="FA20" s="28" t="n">
        <f aca="false">IF(ISNUMBER(R20),CW20,0)</f>
        <v>1</v>
      </c>
      <c r="FB20" s="28" t="n">
        <f aca="false">IF(ISNUMBER(V20),CX20,0)</f>
        <v>1</v>
      </c>
      <c r="FC20" s="28" t="n">
        <f aca="false">IF(ISNUMBER(Z20),CY20,0)</f>
        <v>1</v>
      </c>
      <c r="FD20" s="28" t="n">
        <f aca="false">IF(ISNUMBER(AD20),CZ20,0)</f>
        <v>1</v>
      </c>
      <c r="FE20" s="28" t="n">
        <f aca="false">IF(ISNUMBER(AH20),DA20,0)</f>
        <v>1</v>
      </c>
      <c r="FF20" s="28" t="n">
        <f aca="false">IF(ISNUMBER(AL20),DB20,0)</f>
        <v>2</v>
      </c>
      <c r="FG20" s="28" t="n">
        <f aca="false">IF(ISNUMBER(AP20),DC20,0)</f>
        <v>2</v>
      </c>
      <c r="FH20" s="28" t="n">
        <f aca="false">IF(ISNUMBER(AT20),DD20,0)</f>
        <v>0</v>
      </c>
      <c r="FI20" s="28" t="n">
        <f aca="false">IF(ISNUMBER(AX20),DE20,0)</f>
        <v>0</v>
      </c>
      <c r="FJ20" s="28" t="n">
        <f aca="false">IF(ISNUMBER(BB20),DF20,0)</f>
        <v>0</v>
      </c>
      <c r="FK20" s="28" t="n">
        <f aca="false">IF(ISNUMBER(BF20),DG20,0)</f>
        <v>0</v>
      </c>
      <c r="FL20" s="28" t="n">
        <f aca="false">IF(ISNUMBER(BJ20),DH20,0)</f>
        <v>0</v>
      </c>
      <c r="FM20" s="28" t="n">
        <f aca="false">IF(ISNUMBER(BN20),DI20,0)</f>
        <v>0</v>
      </c>
      <c r="FN20" s="28" t="n">
        <f aca="false">IF(ISNUMBER(BR20),DJ20,0)</f>
        <v>0</v>
      </c>
      <c r="FO20" s="28" t="str">
        <f aca="false">IFERROR(INDEX(Lists!$G$2:$G$20,MATCH($I20&amp;"|"&amp;$J20,Lists!$F$2:$F$20,0)),"")</f>
        <v>Geog Overall HL</v>
      </c>
    </row>
    <row r="21" customFormat="false" ht="19.5" hidden="false" customHeight="true" outlineLevel="0" collapsed="false">
      <c r="A21" s="29" t="s">
        <v>173</v>
      </c>
      <c r="B21" s="29" t="s">
        <v>174</v>
      </c>
      <c r="C21" s="30" t="s">
        <v>152</v>
      </c>
      <c r="D21" s="30" t="s">
        <v>153</v>
      </c>
      <c r="E21" s="31" t="n">
        <v>5.3</v>
      </c>
      <c r="F21" s="30" t="n">
        <v>6</v>
      </c>
      <c r="G21" s="30"/>
      <c r="H21" s="32" t="s">
        <v>23</v>
      </c>
      <c r="I21" s="33" t="s">
        <v>24</v>
      </c>
      <c r="J21" s="32" t="s">
        <v>25</v>
      </c>
      <c r="K21" s="34" t="n">
        <f aca="false">IF(OR(M21="",$E21=""),"",M21-$E21)</f>
        <v>0.7</v>
      </c>
      <c r="L21" s="35" t="n">
        <f aca="false">IF(SUM(FA21:FN21)=0,"",SUM(EM21:EZ21)/SUM(FA21:FN21))</f>
        <v>66.1111111111111</v>
      </c>
      <c r="M21" s="36" t="n">
        <f aca="false">IF(OR(L21="",FO21=""),"",IFERROR(MATCH(L21,INDEX(Boundaries!$B$2:$I$30,MATCH(FO21,Boundaries!$A$2:$A$30,0),0),1)-1,""))</f>
        <v>6</v>
      </c>
      <c r="N21" s="37" t="n">
        <f aca="false">IF(COUNT($DY21:$EL21)&lt;2,"",INDEX($DK21:$DX21,MAX($DY21:$EL21))-INDEX($DK21:$DX21,MIN($DY21:$EL21)))</f>
        <v>0</v>
      </c>
      <c r="O21" s="37" t="n">
        <f aca="false">IF(COUNT($DY21:$EL21)&lt;2,"",INDEX($DK21:$DX21,MAX($DY21:$EL21))-INDEX($DK21:$DX21,LARGE($DY21:$EL21,2)))</f>
        <v>0</v>
      </c>
      <c r="P21" s="38" t="str">
        <f aca="false">IF(K21="","",IF(K21&gt;=0,"On/above target",IF(AND(N21&lt;&gt;"",N21&gt;=0.5),"Improving towards target",IF(AND(O21&lt;&gt;"",O21&lt;=-0.5),"Declining","Stable below target"))))</f>
        <v>On/above target</v>
      </c>
      <c r="Q21" s="39" t="n">
        <v>13</v>
      </c>
      <c r="R21" s="40" t="n">
        <f aca="false">IF(OR(Q21="",BU21=""),"",Q21/BU21*100)</f>
        <v>65</v>
      </c>
      <c r="S21" s="41" t="n">
        <f aca="false">IF(R21="","",IFERROR(MATCH(R21,INDEX(Boundaries!$B$2:$I$30,MATCH(CI21,Boundaries!$A$2:$A$30,0),0),1)-1,""))</f>
        <v>6</v>
      </c>
      <c r="T21" s="42" t="n">
        <f aca="false">IF(OR(S21="",$E21=""),"",S21-$E21)</f>
        <v>0.7</v>
      </c>
      <c r="U21" s="39" t="n">
        <v>12</v>
      </c>
      <c r="V21" s="40" t="n">
        <f aca="false">IF(OR(U21="",BV21=""),"",U21/BV21*100)</f>
        <v>60</v>
      </c>
      <c r="W21" s="41" t="n">
        <f aca="false">IF(V21="","",IFERROR(MATCH(V21,INDEX(Boundaries!$B$2:$I$30,MATCH(CJ21,Boundaries!$A$2:$A$30,0),0),1)-1,""))</f>
        <v>5</v>
      </c>
      <c r="X21" s="42" t="n">
        <f aca="false">IF(OR(W21="",$E21=""),"",W21-$E21)</f>
        <v>-0.3</v>
      </c>
      <c r="Y21" s="39" t="n">
        <v>14</v>
      </c>
      <c r="Z21" s="40" t="n">
        <f aca="false">IF(OR(Y21="",BW21=""),"",Y21/BW21*100)</f>
        <v>70</v>
      </c>
      <c r="AA21" s="41" t="n">
        <f aca="false">IF(Z21="","",IFERROR(MATCH(Z21,INDEX(Boundaries!$B$2:$I$30,MATCH(CK21,Boundaries!$A$2:$A$30,0),0),1)-1,""))</f>
        <v>6</v>
      </c>
      <c r="AB21" s="42" t="n">
        <f aca="false">IF(OR(AA21="",$E21=""),"",AA21-$E21)</f>
        <v>0.7</v>
      </c>
      <c r="AC21" s="39" t="n">
        <v>11</v>
      </c>
      <c r="AD21" s="40" t="n">
        <f aca="false">IF(OR(AC21="",BX21=""),"",AC21/BX21*100)</f>
        <v>55</v>
      </c>
      <c r="AE21" s="41" t="n">
        <f aca="false">IF(AD21="","",IFERROR(MATCH(AD21,INDEX(Boundaries!$B$2:$I$30,MATCH(CL21,Boundaries!$A$2:$A$30,0),0),1)-1,""))</f>
        <v>5</v>
      </c>
      <c r="AF21" s="42" t="n">
        <f aca="false">IF(OR(AE21="",$E21=""),"",AE21-$E21)</f>
        <v>-0.3</v>
      </c>
      <c r="AG21" s="39" t="n">
        <v>16</v>
      </c>
      <c r="AH21" s="40" t="n">
        <f aca="false">IF(OR(AG21="",BY21=""),"",AG21/BY21*100)</f>
        <v>80</v>
      </c>
      <c r="AI21" s="41" t="n">
        <f aca="false">IF(AH21="","",IFERROR(MATCH(AH21,INDEX(Boundaries!$B$2:$I$30,MATCH(CM21,Boundaries!$A$2:$A$30,0),0),1)-1,""))</f>
        <v>7</v>
      </c>
      <c r="AJ21" s="42" t="n">
        <f aca="false">IF(OR(AI21="",$E21=""),"",AI21-$E21)</f>
        <v>1.7</v>
      </c>
      <c r="AK21" s="39" t="n">
        <v>25</v>
      </c>
      <c r="AL21" s="40" t="n">
        <f aca="false">IF(OR(AK21="",BZ21=""),"",AK21/BZ21*100)</f>
        <v>62.5</v>
      </c>
      <c r="AM21" s="41" t="n">
        <f aca="false">IF(AL21="","",IFERROR(MATCH(AL21,INDEX(Boundaries!$B$2:$I$30,MATCH(CN21,Boundaries!$A$2:$A$30,0),0),1)-1,""))</f>
        <v>6</v>
      </c>
      <c r="AN21" s="42" t="n">
        <f aca="false">IF(OR(AM21="",$E21=""),"",AM21-$E21)</f>
        <v>0.7</v>
      </c>
      <c r="AO21" s="39" t="n">
        <v>35</v>
      </c>
      <c r="AP21" s="40" t="n">
        <f aca="false">IF(OR(AO21="",CA21=""),"",AO21/CA21*100)</f>
        <v>70</v>
      </c>
      <c r="AQ21" s="41" t="n">
        <f aca="false">IF(AP21="","",IFERROR(MATCH(AP21,INDEX(Boundaries!$B$2:$I$30,MATCH(CO21,Boundaries!$A$2:$A$30,0),0),1)-1,""))</f>
        <v>6</v>
      </c>
      <c r="AR21" s="42" t="n">
        <f aca="false">IF(OR(AQ21="",$E21=""),"",AQ21-$E21)</f>
        <v>0.7</v>
      </c>
      <c r="AS21" s="39"/>
      <c r="AT21" s="40" t="str">
        <f aca="false">IF(OR(AS21="",CB21=""),"",AS21/CB21*100)</f>
        <v/>
      </c>
      <c r="AU21" s="41" t="str">
        <f aca="false">IF(AT21="","",IFERROR(MATCH(AT21,INDEX(Boundaries!$B$2:$I$30,MATCH(CP21,Boundaries!$A$2:$A$30,0),0),1)-1,""))</f>
        <v/>
      </c>
      <c r="AV21" s="42" t="str">
        <f aca="false">IF(OR(AU21="",$E21=""),"",AU21-$E21)</f>
        <v/>
      </c>
      <c r="AW21" s="39"/>
      <c r="AX21" s="40" t="str">
        <f aca="false">IF(OR(AW21="",CC21=""),"",AW21/CC21*100)</f>
        <v/>
      </c>
      <c r="AY21" s="41" t="str">
        <f aca="false">IF(AX21="","",IFERROR(MATCH(AX21,INDEX(Boundaries!$B$2:$I$30,MATCH(CQ21,Boundaries!$A$2:$A$30,0),0),1)-1,""))</f>
        <v/>
      </c>
      <c r="AZ21" s="42" t="str">
        <f aca="false">IF(OR(AY21="",$E21=""),"",AY21-$E21)</f>
        <v/>
      </c>
      <c r="BA21" s="39"/>
      <c r="BB21" s="40" t="str">
        <f aca="false">IF(OR(BA21="",CD21=""),"",BA21/CD21*100)</f>
        <v/>
      </c>
      <c r="BC21" s="41" t="str">
        <f aca="false">IF(BB21="","",IFERROR(MATCH(BB21,INDEX(Boundaries!$B$2:$I$30,MATCH(CR21,Boundaries!$A$2:$A$30,0),0),1)-1,""))</f>
        <v/>
      </c>
      <c r="BD21" s="42" t="str">
        <f aca="false">IF(OR(BC21="",$E21=""),"",BC21-$E21)</f>
        <v/>
      </c>
      <c r="BE21" s="39"/>
      <c r="BF21" s="40" t="str">
        <f aca="false">IF(OR(BE21="",CE21=""),"",BE21/CE21*100)</f>
        <v/>
      </c>
      <c r="BG21" s="41" t="str">
        <f aca="false">IF(BF21="","",IFERROR(MATCH(BF21,INDEX(Boundaries!$B$2:$I$30,MATCH(CS21,Boundaries!$A$2:$A$30,0),0),1)-1,""))</f>
        <v/>
      </c>
      <c r="BH21" s="42" t="str">
        <f aca="false">IF(OR(BG21="",$E21=""),"",BG21-$E21)</f>
        <v/>
      </c>
      <c r="BI21" s="39"/>
      <c r="BJ21" s="40" t="str">
        <f aca="false">IF(OR(BI21="",CF21=""),"",BI21/CF21*100)</f>
        <v/>
      </c>
      <c r="BK21" s="41" t="str">
        <f aca="false">IF(BJ21="","",IFERROR(MATCH(BJ21,INDEX(Boundaries!$B$2:$I$30,MATCH(CT21,Boundaries!$A$2:$A$30,0),0),1)-1,""))</f>
        <v/>
      </c>
      <c r="BL21" s="42" t="str">
        <f aca="false">IF(OR(BK21="",$E21=""),"",BK21-$E21)</f>
        <v/>
      </c>
      <c r="BM21" s="39"/>
      <c r="BN21" s="40" t="str">
        <f aca="false">IF(OR(BM21="",CG21=""),"",BM21/CG21*100)</f>
        <v/>
      </c>
      <c r="BO21" s="41" t="str">
        <f aca="false">IF(BN21="","",IFERROR(MATCH(BN21,INDEX(Boundaries!$B$2:$I$30,MATCH(CU21,Boundaries!$A$2:$A$30,0),0),1)-1,""))</f>
        <v/>
      </c>
      <c r="BP21" s="42" t="str">
        <f aca="false">IF(OR(BO21="",$E21=""),"",BO21-$E21)</f>
        <v/>
      </c>
      <c r="BQ21" s="39"/>
      <c r="BR21" s="40" t="str">
        <f aca="false">IF(OR(BQ21="",CH21=""),"",BQ21/CH21*100)</f>
        <v/>
      </c>
      <c r="BS21" s="41" t="str">
        <f aca="false">IF(BR21="","",IFERROR(MATCH(BR21,INDEX(Boundaries!$B$2:$I$30,MATCH(CV21,Boundaries!$A$2:$A$30,0),0),1)-1,""))</f>
        <v/>
      </c>
      <c r="BT21" s="42" t="str">
        <f aca="false">IF(OR(BS21="",$E21=""),"",BS21-$E21)</f>
        <v/>
      </c>
      <c r="BU21" s="28" t="n">
        <f aca="false">IFERROR(INDEX(Assessments!$H$2:$H$600,MATCH($H21&amp;"|"&amp;$I21&amp;"|"&amp;$J21&amp;"|"&amp;1,Assessments!$A$2:$A$600,0)),"")</f>
        <v>20</v>
      </c>
      <c r="BV21" s="28" t="n">
        <f aca="false">IFERROR(INDEX(Assessments!$H$2:$H$600,MATCH($H21&amp;"|"&amp;$I21&amp;"|"&amp;$J21&amp;"|"&amp;2,Assessments!$A$2:$A$600,0)),"")</f>
        <v>20</v>
      </c>
      <c r="BW21" s="28" t="n">
        <f aca="false">IFERROR(INDEX(Assessments!$H$2:$H$600,MATCH($H21&amp;"|"&amp;$I21&amp;"|"&amp;$J21&amp;"|"&amp;3,Assessments!$A$2:$A$600,0)),"")</f>
        <v>20</v>
      </c>
      <c r="BX21" s="28" t="n">
        <f aca="false">IFERROR(INDEX(Assessments!$H$2:$H$600,MATCH($H21&amp;"|"&amp;$I21&amp;"|"&amp;$J21&amp;"|"&amp;4,Assessments!$A$2:$A$600,0)),"")</f>
        <v>20</v>
      </c>
      <c r="BY21" s="28" t="n">
        <f aca="false">IFERROR(INDEX(Assessments!$H$2:$H$600,MATCH($H21&amp;"|"&amp;$I21&amp;"|"&amp;$J21&amp;"|"&amp;5,Assessments!$A$2:$A$600,0)),"")</f>
        <v>20</v>
      </c>
      <c r="BZ21" s="28" t="n">
        <f aca="false">IFERROR(INDEX(Assessments!$H$2:$H$600,MATCH($H21&amp;"|"&amp;$I21&amp;"|"&amp;$J21&amp;"|"&amp;6,Assessments!$A$2:$A$600,0)),"")</f>
        <v>40</v>
      </c>
      <c r="CA21" s="28" t="n">
        <f aca="false">IFERROR(INDEX(Assessments!$H$2:$H$600,MATCH($H21&amp;"|"&amp;$I21&amp;"|"&amp;$J21&amp;"|"&amp;7,Assessments!$A$2:$A$600,0)),"")</f>
        <v>50</v>
      </c>
      <c r="CB21" s="28" t="n">
        <f aca="false">IFERROR(INDEX(Assessments!$H$2:$H$600,MATCH($H21&amp;"|"&amp;$I21&amp;"|"&amp;$J21&amp;"|"&amp;8,Assessments!$A$2:$A$600,0)),"")</f>
        <v>25</v>
      </c>
      <c r="CC21" s="28" t="n">
        <f aca="false">IFERROR(INDEX(Assessments!$H$2:$H$600,MATCH($H21&amp;"|"&amp;$I21&amp;"|"&amp;$J21&amp;"|"&amp;9,Assessments!$A$2:$A$600,0)),"")</f>
        <v>16</v>
      </c>
      <c r="CD21" s="28" t="n">
        <f aca="false">IFERROR(INDEX(Assessments!$H$2:$H$600,MATCH($H21&amp;"|"&amp;$I21&amp;"|"&amp;$J21&amp;"|"&amp;10,Assessments!$A$2:$A$600,0)),"")</f>
        <v>30</v>
      </c>
      <c r="CE21" s="28" t="str">
        <f aca="false">IFERROR(INDEX(Assessments!$H$2:$H$600,MATCH($H21&amp;"|"&amp;$I21&amp;"|"&amp;$J21&amp;"|"&amp;11,Assessments!$A$2:$A$600,0)),"")</f>
        <v/>
      </c>
      <c r="CF21" s="28" t="str">
        <f aca="false">IFERROR(INDEX(Assessments!$H$2:$H$600,MATCH($H21&amp;"|"&amp;$I21&amp;"|"&amp;$J21&amp;"|"&amp;12,Assessments!$A$2:$A$600,0)),"")</f>
        <v/>
      </c>
      <c r="CG21" s="28" t="str">
        <f aca="false">IFERROR(INDEX(Assessments!$H$2:$H$600,MATCH($H21&amp;"|"&amp;$I21&amp;"|"&amp;$J21&amp;"|"&amp;13,Assessments!$A$2:$A$600,0)),"")</f>
        <v/>
      </c>
      <c r="CH21" s="28" t="str">
        <f aca="false">IFERROR(INDEX(Assessments!$H$2:$H$600,MATCH($H21&amp;"|"&amp;$I21&amp;"|"&amp;$J21&amp;"|"&amp;14,Assessments!$A$2:$A$600,0)),"")</f>
        <v/>
      </c>
      <c r="CI21" s="28" t="str">
        <f aca="false">IFERROR(INDEX(Assessments!$I$2:$I$600,MATCH($H21&amp;"|"&amp;$I21&amp;"|"&amp;$J21&amp;"|"&amp;1,Assessments!$A$2:$A$600,0)),"")</f>
        <v>Geog Paper 1</v>
      </c>
      <c r="CJ21" s="28" t="str">
        <f aca="false">IFERROR(INDEX(Assessments!$I$2:$I$600,MATCH($H21&amp;"|"&amp;$I21&amp;"|"&amp;$J21&amp;"|"&amp;2,Assessments!$A$2:$A$600,0)),"")</f>
        <v>Geog Paper 1</v>
      </c>
      <c r="CK21" s="28" t="str">
        <f aca="false">IFERROR(INDEX(Assessments!$I$2:$I$600,MATCH($H21&amp;"|"&amp;$I21&amp;"|"&amp;$J21&amp;"|"&amp;3,Assessments!$A$2:$A$600,0)),"")</f>
        <v>Geog Paper 2</v>
      </c>
      <c r="CL21" s="28" t="str">
        <f aca="false">IFERROR(INDEX(Assessments!$I$2:$I$600,MATCH($H21&amp;"|"&amp;$I21&amp;"|"&amp;$J21&amp;"|"&amp;4,Assessments!$A$2:$A$600,0)),"")</f>
        <v>Geog Paper 1</v>
      </c>
      <c r="CM21" s="28" t="str">
        <f aca="false">IFERROR(INDEX(Assessments!$I$2:$I$600,MATCH($H21&amp;"|"&amp;$I21&amp;"|"&amp;$J21&amp;"|"&amp;5,Assessments!$A$2:$A$600,0)),"")</f>
        <v>Geog Paper 1</v>
      </c>
      <c r="CN21" s="28" t="str">
        <f aca="false">IFERROR(INDEX(Assessments!$I$2:$I$600,MATCH($H21&amp;"|"&amp;$I21&amp;"|"&amp;$J21&amp;"|"&amp;6,Assessments!$A$2:$A$600,0)),"")</f>
        <v>Geog Paper 1</v>
      </c>
      <c r="CO21" s="28" t="str">
        <f aca="false">IFERROR(INDEX(Assessments!$I$2:$I$600,MATCH($H21&amp;"|"&amp;$I21&amp;"|"&amp;$J21&amp;"|"&amp;7,Assessments!$A$2:$A$600,0)),"")</f>
        <v>Geog Paper 2</v>
      </c>
      <c r="CP21" s="28" t="str">
        <f aca="false">IFERROR(INDEX(Assessments!$I$2:$I$600,MATCH($H21&amp;"|"&amp;$I21&amp;"|"&amp;$J21&amp;"|"&amp;8,Assessments!$A$2:$A$600,0)),"")</f>
        <v>Geog Paper 2</v>
      </c>
      <c r="CQ21" s="28" t="str">
        <f aca="false">IFERROR(INDEX(Assessments!$I$2:$I$600,MATCH($H21&amp;"|"&amp;$I21&amp;"|"&amp;$J21&amp;"|"&amp;9,Assessments!$A$2:$A$600,0)),"")</f>
        <v>Geog Paper 3</v>
      </c>
      <c r="CR21" s="28" t="str">
        <f aca="false">IFERROR(INDEX(Assessments!$I$2:$I$600,MATCH($H21&amp;"|"&amp;$I21&amp;"|"&amp;$J21&amp;"|"&amp;10,Assessments!$A$2:$A$600,0)),"")</f>
        <v>Geog Paper 2</v>
      </c>
      <c r="CS21" s="28" t="str">
        <f aca="false">IFERROR(INDEX(Assessments!$I$2:$I$600,MATCH($H21&amp;"|"&amp;$I21&amp;"|"&amp;$J21&amp;"|"&amp;11,Assessments!$A$2:$A$600,0)),"")</f>
        <v/>
      </c>
      <c r="CT21" s="28" t="str">
        <f aca="false">IFERROR(INDEX(Assessments!$I$2:$I$600,MATCH($H21&amp;"|"&amp;$I21&amp;"|"&amp;$J21&amp;"|"&amp;12,Assessments!$A$2:$A$600,0)),"")</f>
        <v/>
      </c>
      <c r="CU21" s="28" t="str">
        <f aca="false">IFERROR(INDEX(Assessments!$I$2:$I$600,MATCH($H21&amp;"|"&amp;$I21&amp;"|"&amp;$J21&amp;"|"&amp;13,Assessments!$A$2:$A$600,0)),"")</f>
        <v/>
      </c>
      <c r="CV21" s="28" t="str">
        <f aca="false">IFERROR(INDEX(Assessments!$I$2:$I$600,MATCH($H21&amp;"|"&amp;$I21&amp;"|"&amp;$J21&amp;"|"&amp;14,Assessments!$A$2:$A$600,0)),"")</f>
        <v/>
      </c>
      <c r="CW21" s="28" t="n">
        <f aca="false">IFERROR(INDEX(Assessments!$J$2:$J$600,MATCH($H21&amp;"|"&amp;$I21&amp;"|"&amp;$J21&amp;"|"&amp;1,Assessments!$A$2:$A$600,0)),0)</f>
        <v>1</v>
      </c>
      <c r="CX21" s="28" t="n">
        <f aca="false">IFERROR(INDEX(Assessments!$J$2:$J$600,MATCH($H21&amp;"|"&amp;$I21&amp;"|"&amp;$J21&amp;"|"&amp;2,Assessments!$A$2:$A$600,0)),0)</f>
        <v>1</v>
      </c>
      <c r="CY21" s="28" t="n">
        <f aca="false">IFERROR(INDEX(Assessments!$J$2:$J$600,MATCH($H21&amp;"|"&amp;$I21&amp;"|"&amp;$J21&amp;"|"&amp;3,Assessments!$A$2:$A$600,0)),0)</f>
        <v>1</v>
      </c>
      <c r="CZ21" s="28" t="n">
        <f aca="false">IFERROR(INDEX(Assessments!$J$2:$J$600,MATCH($H21&amp;"|"&amp;$I21&amp;"|"&amp;$J21&amp;"|"&amp;4,Assessments!$A$2:$A$600,0)),0)</f>
        <v>1</v>
      </c>
      <c r="DA21" s="28" t="n">
        <f aca="false">IFERROR(INDEX(Assessments!$J$2:$J$600,MATCH($H21&amp;"|"&amp;$I21&amp;"|"&amp;$J21&amp;"|"&amp;5,Assessments!$A$2:$A$600,0)),0)</f>
        <v>1</v>
      </c>
      <c r="DB21" s="28" t="n">
        <f aca="false">IFERROR(INDEX(Assessments!$J$2:$J$600,MATCH($H21&amp;"|"&amp;$I21&amp;"|"&amp;$J21&amp;"|"&amp;6,Assessments!$A$2:$A$600,0)),0)</f>
        <v>2</v>
      </c>
      <c r="DC21" s="28" t="n">
        <f aca="false">IFERROR(INDEX(Assessments!$J$2:$J$600,MATCH($H21&amp;"|"&amp;$I21&amp;"|"&amp;$J21&amp;"|"&amp;7,Assessments!$A$2:$A$600,0)),0)</f>
        <v>2</v>
      </c>
      <c r="DD21" s="28" t="n">
        <f aca="false">IFERROR(INDEX(Assessments!$J$2:$J$600,MATCH($H21&amp;"|"&amp;$I21&amp;"|"&amp;$J21&amp;"|"&amp;8,Assessments!$A$2:$A$600,0)),0)</f>
        <v>1</v>
      </c>
      <c r="DE21" s="28" t="n">
        <f aca="false">IFERROR(INDEX(Assessments!$J$2:$J$600,MATCH($H21&amp;"|"&amp;$I21&amp;"|"&amp;$J21&amp;"|"&amp;9,Assessments!$A$2:$A$600,0)),0)</f>
        <v>1</v>
      </c>
      <c r="DF21" s="28" t="n">
        <f aca="false">IFERROR(INDEX(Assessments!$J$2:$J$600,MATCH($H21&amp;"|"&amp;$I21&amp;"|"&amp;$J21&amp;"|"&amp;10,Assessments!$A$2:$A$600,0)),0)</f>
        <v>1</v>
      </c>
      <c r="DG21" s="28" t="n">
        <f aca="false">IFERROR(INDEX(Assessments!$J$2:$J$600,MATCH($H21&amp;"|"&amp;$I21&amp;"|"&amp;$J21&amp;"|"&amp;11,Assessments!$A$2:$A$600,0)),0)</f>
        <v>0</v>
      </c>
      <c r="DH21" s="28" t="n">
        <f aca="false">IFERROR(INDEX(Assessments!$J$2:$J$600,MATCH($H21&amp;"|"&amp;$I21&amp;"|"&amp;$J21&amp;"|"&amp;12,Assessments!$A$2:$A$600,0)),0)</f>
        <v>0</v>
      </c>
      <c r="DI21" s="28" t="n">
        <f aca="false">IFERROR(INDEX(Assessments!$J$2:$J$600,MATCH($H21&amp;"|"&amp;$I21&amp;"|"&amp;$J21&amp;"|"&amp;13,Assessments!$A$2:$A$600,0)),0)</f>
        <v>0</v>
      </c>
      <c r="DJ21" s="28" t="n">
        <f aca="false">IFERROR(INDEX(Assessments!$J$2:$J$600,MATCH($H21&amp;"|"&amp;$I21&amp;"|"&amp;$J21&amp;"|"&amp;14,Assessments!$A$2:$A$600,0)),0)</f>
        <v>0</v>
      </c>
      <c r="DK21" s="28" t="n">
        <f aca="false">S21</f>
        <v>6</v>
      </c>
      <c r="DL21" s="28" t="n">
        <f aca="false">W21</f>
        <v>5</v>
      </c>
      <c r="DM21" s="28" t="n">
        <f aca="false">AA21</f>
        <v>6</v>
      </c>
      <c r="DN21" s="28" t="n">
        <f aca="false">AE21</f>
        <v>5</v>
      </c>
      <c r="DO21" s="28" t="n">
        <f aca="false">AI21</f>
        <v>7</v>
      </c>
      <c r="DP21" s="28" t="n">
        <f aca="false">AM21</f>
        <v>6</v>
      </c>
      <c r="DQ21" s="28" t="n">
        <f aca="false">AQ21</f>
        <v>6</v>
      </c>
      <c r="DR21" s="28" t="str">
        <f aca="false">AU21</f>
        <v/>
      </c>
      <c r="DS21" s="28" t="str">
        <f aca="false">AY21</f>
        <v/>
      </c>
      <c r="DT21" s="28" t="str">
        <f aca="false">BC21</f>
        <v/>
      </c>
      <c r="DU21" s="28" t="str">
        <f aca="false">BG21</f>
        <v/>
      </c>
      <c r="DV21" s="28" t="str">
        <f aca="false">BK21</f>
        <v/>
      </c>
      <c r="DW21" s="28" t="str">
        <f aca="false">BO21</f>
        <v/>
      </c>
      <c r="DX21" s="28" t="str">
        <f aca="false">BS21</f>
        <v/>
      </c>
      <c r="DY21" s="28" t="n">
        <f aca="false">IF(ISNUMBER(S21),1,"")</f>
        <v>1</v>
      </c>
      <c r="DZ21" s="28" t="n">
        <f aca="false">IF(ISNUMBER(W21),2,"")</f>
        <v>2</v>
      </c>
      <c r="EA21" s="28" t="n">
        <f aca="false">IF(ISNUMBER(AA21),3,"")</f>
        <v>3</v>
      </c>
      <c r="EB21" s="28" t="n">
        <f aca="false">IF(ISNUMBER(AE21),4,"")</f>
        <v>4</v>
      </c>
      <c r="EC21" s="28" t="n">
        <f aca="false">IF(ISNUMBER(AI21),5,"")</f>
        <v>5</v>
      </c>
      <c r="ED21" s="28" t="n">
        <f aca="false">IF(ISNUMBER(AM21),6,"")</f>
        <v>6</v>
      </c>
      <c r="EE21" s="28" t="n">
        <f aca="false">IF(ISNUMBER(AQ21),7,"")</f>
        <v>7</v>
      </c>
      <c r="EF21" s="28" t="str">
        <f aca="false">IF(ISNUMBER(AU21),8,"")</f>
        <v/>
      </c>
      <c r="EG21" s="28" t="str">
        <f aca="false">IF(ISNUMBER(AY21),9,"")</f>
        <v/>
      </c>
      <c r="EH21" s="28" t="str">
        <f aca="false">IF(ISNUMBER(BC21),10,"")</f>
        <v/>
      </c>
      <c r="EI21" s="28" t="str">
        <f aca="false">IF(ISNUMBER(BG21),11,"")</f>
        <v/>
      </c>
      <c r="EJ21" s="28" t="str">
        <f aca="false">IF(ISNUMBER(BK21),12,"")</f>
        <v/>
      </c>
      <c r="EK21" s="28" t="str">
        <f aca="false">IF(ISNUMBER(BO21),13,"")</f>
        <v/>
      </c>
      <c r="EL21" s="28" t="str">
        <f aca="false">IF(ISNUMBER(BS21),14,"")</f>
        <v/>
      </c>
      <c r="EM21" s="28" t="n">
        <f aca="false">IF(ISNUMBER(R21),R21*CW21,0)</f>
        <v>65</v>
      </c>
      <c r="EN21" s="28" t="n">
        <f aca="false">IF(ISNUMBER(V21),V21*CX21,0)</f>
        <v>60</v>
      </c>
      <c r="EO21" s="28" t="n">
        <f aca="false">IF(ISNUMBER(Z21),Z21*CY21,0)</f>
        <v>70</v>
      </c>
      <c r="EP21" s="28" t="n">
        <f aca="false">IF(ISNUMBER(AD21),AD21*CZ21,0)</f>
        <v>55</v>
      </c>
      <c r="EQ21" s="28" t="n">
        <f aca="false">IF(ISNUMBER(AH21),AH21*DA21,0)</f>
        <v>80</v>
      </c>
      <c r="ER21" s="28" t="n">
        <f aca="false">IF(ISNUMBER(AL21),AL21*DB21,0)</f>
        <v>125</v>
      </c>
      <c r="ES21" s="28" t="n">
        <f aca="false">IF(ISNUMBER(AP21),AP21*DC21,0)</f>
        <v>140</v>
      </c>
      <c r="ET21" s="28" t="n">
        <f aca="false">IF(ISNUMBER(AT21),AT21*DD21,0)</f>
        <v>0</v>
      </c>
      <c r="EU21" s="28" t="n">
        <f aca="false">IF(ISNUMBER(AX21),AX21*DE21,0)</f>
        <v>0</v>
      </c>
      <c r="EV21" s="28" t="n">
        <f aca="false">IF(ISNUMBER(BB21),BB21*DF21,0)</f>
        <v>0</v>
      </c>
      <c r="EW21" s="28" t="n">
        <f aca="false">IF(ISNUMBER(BF21),BF21*DG21,0)</f>
        <v>0</v>
      </c>
      <c r="EX21" s="28" t="n">
        <f aca="false">IF(ISNUMBER(BJ21),BJ21*DH21,0)</f>
        <v>0</v>
      </c>
      <c r="EY21" s="28" t="n">
        <f aca="false">IF(ISNUMBER(BN21),BN21*DI21,0)</f>
        <v>0</v>
      </c>
      <c r="EZ21" s="28" t="n">
        <f aca="false">IF(ISNUMBER(BR21),BR21*DJ21,0)</f>
        <v>0</v>
      </c>
      <c r="FA21" s="28" t="n">
        <f aca="false">IF(ISNUMBER(R21),CW21,0)</f>
        <v>1</v>
      </c>
      <c r="FB21" s="28" t="n">
        <f aca="false">IF(ISNUMBER(V21),CX21,0)</f>
        <v>1</v>
      </c>
      <c r="FC21" s="28" t="n">
        <f aca="false">IF(ISNUMBER(Z21),CY21,0)</f>
        <v>1</v>
      </c>
      <c r="FD21" s="28" t="n">
        <f aca="false">IF(ISNUMBER(AD21),CZ21,0)</f>
        <v>1</v>
      </c>
      <c r="FE21" s="28" t="n">
        <f aca="false">IF(ISNUMBER(AH21),DA21,0)</f>
        <v>1</v>
      </c>
      <c r="FF21" s="28" t="n">
        <f aca="false">IF(ISNUMBER(AL21),DB21,0)</f>
        <v>2</v>
      </c>
      <c r="FG21" s="28" t="n">
        <f aca="false">IF(ISNUMBER(AP21),DC21,0)</f>
        <v>2</v>
      </c>
      <c r="FH21" s="28" t="n">
        <f aca="false">IF(ISNUMBER(AT21),DD21,0)</f>
        <v>0</v>
      </c>
      <c r="FI21" s="28" t="n">
        <f aca="false">IF(ISNUMBER(AX21),DE21,0)</f>
        <v>0</v>
      </c>
      <c r="FJ21" s="28" t="n">
        <f aca="false">IF(ISNUMBER(BB21),DF21,0)</f>
        <v>0</v>
      </c>
      <c r="FK21" s="28" t="n">
        <f aca="false">IF(ISNUMBER(BF21),DG21,0)</f>
        <v>0</v>
      </c>
      <c r="FL21" s="28" t="n">
        <f aca="false">IF(ISNUMBER(BJ21),DH21,0)</f>
        <v>0</v>
      </c>
      <c r="FM21" s="28" t="n">
        <f aca="false">IF(ISNUMBER(BN21),DI21,0)</f>
        <v>0</v>
      </c>
      <c r="FN21" s="28" t="n">
        <f aca="false">IF(ISNUMBER(BR21),DJ21,0)</f>
        <v>0</v>
      </c>
      <c r="FO21" s="28" t="str">
        <f aca="false">IFERROR(INDEX(Lists!$G$2:$G$20,MATCH($I21&amp;"|"&amp;$J21,Lists!$F$2:$F$20,0)),"")</f>
        <v>Geog Overall HL</v>
      </c>
    </row>
    <row r="22" customFormat="false" ht="19.5" hidden="false" customHeight="true" outlineLevel="0" collapsed="false">
      <c r="A22" s="29" t="s">
        <v>175</v>
      </c>
      <c r="B22" s="29" t="s">
        <v>176</v>
      </c>
      <c r="C22" s="30" t="s">
        <v>152</v>
      </c>
      <c r="D22" s="30" t="s">
        <v>177</v>
      </c>
      <c r="E22" s="31" t="n">
        <v>6.1</v>
      </c>
      <c r="F22" s="30" t="n">
        <v>6</v>
      </c>
      <c r="G22" s="30"/>
      <c r="H22" s="32" t="s">
        <v>23</v>
      </c>
      <c r="I22" s="33" t="s">
        <v>24</v>
      </c>
      <c r="J22" s="32" t="s">
        <v>25</v>
      </c>
      <c r="K22" s="34" t="n">
        <f aca="false">IF(OR(M22="",$E22=""),"",M22-$E22)</f>
        <v>0.9</v>
      </c>
      <c r="L22" s="35" t="n">
        <f aca="false">IF(SUM(FA22:FN22)=0,"",SUM(EM22:EZ22)/SUM(FA22:FN22))</f>
        <v>80.3333333333333</v>
      </c>
      <c r="M22" s="36" t="n">
        <f aca="false">IF(OR(L22="",FO22=""),"",IFERROR(MATCH(L22,INDEX(Boundaries!$B$2:$I$30,MATCH(FO22,Boundaries!$A$2:$A$30,0),0),1)-1,""))</f>
        <v>7</v>
      </c>
      <c r="N22" s="37" t="n">
        <f aca="false">IF(COUNT($DY22:$EL22)&lt;2,"",INDEX($DK22:$DX22,MAX($DY22:$EL22))-INDEX($DK22:$DX22,MIN($DY22:$EL22)))</f>
        <v>1</v>
      </c>
      <c r="O22" s="37" t="n">
        <f aca="false">IF(COUNT($DY22:$EL22)&lt;2,"",INDEX($DK22:$DX22,MAX($DY22:$EL22))-INDEX($DK22:$DX22,LARGE($DY22:$EL22,2)))</f>
        <v>0</v>
      </c>
      <c r="P22" s="38" t="str">
        <f aca="false">IF(K22="","",IF(K22&gt;=0,"On/above target",IF(AND(N22&lt;&gt;"",N22&gt;=0.5),"Improving towards target",IF(AND(O22&lt;&gt;"",O22&lt;=-0.5),"Declining","Stable below target"))))</f>
        <v>On/above target</v>
      </c>
      <c r="Q22" s="39" t="n">
        <v>14</v>
      </c>
      <c r="R22" s="40" t="n">
        <f aca="false">IF(OR(Q22="",BU22=""),"",Q22/BU22*100)</f>
        <v>70</v>
      </c>
      <c r="S22" s="41" t="n">
        <f aca="false">IF(R22="","",IFERROR(MATCH(R22,INDEX(Boundaries!$B$2:$I$30,MATCH(CI22,Boundaries!$A$2:$A$30,0),0),1)-1,""))</f>
        <v>6</v>
      </c>
      <c r="T22" s="42" t="n">
        <f aca="false">IF(OR(S22="",$E22=""),"",S22-$E22)</f>
        <v>-0.0999999999999996</v>
      </c>
      <c r="U22" s="39" t="n">
        <v>17</v>
      </c>
      <c r="V22" s="40" t="n">
        <f aca="false">IF(OR(U22="",BV22=""),"",U22/BV22*100)</f>
        <v>85</v>
      </c>
      <c r="W22" s="41" t="n">
        <f aca="false">IF(V22="","",IFERROR(MATCH(V22,INDEX(Boundaries!$B$2:$I$30,MATCH(CJ22,Boundaries!$A$2:$A$30,0),0),1)-1,""))</f>
        <v>7</v>
      </c>
      <c r="X22" s="42" t="n">
        <f aca="false">IF(OR(W22="",$E22=""),"",W22-$E22)</f>
        <v>0.9</v>
      </c>
      <c r="Y22" s="39" t="n">
        <v>15</v>
      </c>
      <c r="Z22" s="40" t="n">
        <f aca="false">IF(OR(Y22="",BW22=""),"",Y22/BW22*100)</f>
        <v>75</v>
      </c>
      <c r="AA22" s="41" t="n">
        <f aca="false">IF(Z22="","",IFERROR(MATCH(Z22,INDEX(Boundaries!$B$2:$I$30,MATCH(CK22,Boundaries!$A$2:$A$30,0),0),1)-1,""))</f>
        <v>6</v>
      </c>
      <c r="AB22" s="42" t="n">
        <f aca="false">IF(OR(AA22="",$E22=""),"",AA22-$E22)</f>
        <v>-0.0999999999999996</v>
      </c>
      <c r="AC22" s="39" t="n">
        <v>17</v>
      </c>
      <c r="AD22" s="40" t="n">
        <f aca="false">IF(OR(AC22="",BX22=""),"",AC22/BX22*100)</f>
        <v>85</v>
      </c>
      <c r="AE22" s="41" t="n">
        <f aca="false">IF(AD22="","",IFERROR(MATCH(AD22,INDEX(Boundaries!$B$2:$I$30,MATCH(CL22,Boundaries!$A$2:$A$30,0),0),1)-1,""))</f>
        <v>7</v>
      </c>
      <c r="AF22" s="42" t="n">
        <f aca="false">IF(OR(AE22="",$E22=""),"",AE22-$E22)</f>
        <v>0.9</v>
      </c>
      <c r="AG22" s="39" t="n">
        <v>14</v>
      </c>
      <c r="AH22" s="40" t="n">
        <f aca="false">IF(OR(AG22="",BY22=""),"",AG22/BY22*100)</f>
        <v>70</v>
      </c>
      <c r="AI22" s="41" t="n">
        <f aca="false">IF(AH22="","",IFERROR(MATCH(AH22,INDEX(Boundaries!$B$2:$I$30,MATCH(CM22,Boundaries!$A$2:$A$30,0),0),1)-1,""))</f>
        <v>6</v>
      </c>
      <c r="AJ22" s="42" t="n">
        <f aca="false">IF(OR(AI22="",$E22=""),"",AI22-$E22)</f>
        <v>-0.0999999999999996</v>
      </c>
      <c r="AK22" s="39" t="n">
        <v>32</v>
      </c>
      <c r="AL22" s="40" t="n">
        <f aca="false">IF(OR(AK22="",BZ22=""),"",AK22/BZ22*100)</f>
        <v>80</v>
      </c>
      <c r="AM22" s="41" t="n">
        <f aca="false">IF(AL22="","",IFERROR(MATCH(AL22,INDEX(Boundaries!$B$2:$I$30,MATCH(CN22,Boundaries!$A$2:$A$30,0),0),1)-1,""))</f>
        <v>7</v>
      </c>
      <c r="AN22" s="42" t="n">
        <f aca="false">IF(OR(AM22="",$E22=""),"",AM22-$E22)</f>
        <v>0.9</v>
      </c>
      <c r="AO22" s="39" t="n">
        <v>43</v>
      </c>
      <c r="AP22" s="40" t="n">
        <f aca="false">IF(OR(AO22="",CA22=""),"",AO22/CA22*100)</f>
        <v>86</v>
      </c>
      <c r="AQ22" s="41" t="n">
        <f aca="false">IF(AP22="","",IFERROR(MATCH(AP22,INDEX(Boundaries!$B$2:$I$30,MATCH(CO22,Boundaries!$A$2:$A$30,0),0),1)-1,""))</f>
        <v>7</v>
      </c>
      <c r="AR22" s="42" t="n">
        <f aca="false">IF(OR(AQ22="",$E22=""),"",AQ22-$E22)</f>
        <v>0.9</v>
      </c>
      <c r="AS22" s="39" t="n">
        <v>23</v>
      </c>
      <c r="AT22" s="40" t="n">
        <f aca="false">IF(OR(AS22="",CB22=""),"",AS22/CB22*100)</f>
        <v>92</v>
      </c>
      <c r="AU22" s="41" t="n">
        <f aca="false">IF(AT22="","",IFERROR(MATCH(AT22,INDEX(Boundaries!$B$2:$I$30,MATCH(CP22,Boundaries!$A$2:$A$30,0),0),1)-1,""))</f>
        <v>7</v>
      </c>
      <c r="AV22" s="42" t="n">
        <f aca="false">IF(OR(AU22="",$E22=""),"",AU22-$E22)</f>
        <v>0.9</v>
      </c>
      <c r="AW22" s="39" t="n">
        <v>12</v>
      </c>
      <c r="AX22" s="40" t="n">
        <f aca="false">IF(OR(AW22="",CC22=""),"",AW22/CC22*100)</f>
        <v>75</v>
      </c>
      <c r="AY22" s="41" t="n">
        <f aca="false">IF(AX22="","",IFERROR(MATCH(AX22,INDEX(Boundaries!$B$2:$I$30,MATCH(CQ22,Boundaries!$A$2:$A$30,0),0),1)-1,""))</f>
        <v>7</v>
      </c>
      <c r="AZ22" s="42" t="n">
        <f aca="false">IF(OR(AY22="",$E22=""),"",AY22-$E22)</f>
        <v>0.9</v>
      </c>
      <c r="BA22" s="39" t="n">
        <v>24</v>
      </c>
      <c r="BB22" s="40" t="n">
        <f aca="false">IF(OR(BA22="",CD22=""),"",BA22/CD22*100)</f>
        <v>80</v>
      </c>
      <c r="BC22" s="41" t="n">
        <f aca="false">IF(BB22="","",IFERROR(MATCH(BB22,INDEX(Boundaries!$B$2:$I$30,MATCH(CR22,Boundaries!$A$2:$A$30,0),0),1)-1,""))</f>
        <v>7</v>
      </c>
      <c r="BD22" s="42" t="n">
        <f aca="false">IF(OR(BC22="",$E22=""),"",BC22-$E22)</f>
        <v>0.9</v>
      </c>
      <c r="BE22" s="39"/>
      <c r="BF22" s="40" t="str">
        <f aca="false">IF(OR(BE22="",CE22=""),"",BE22/CE22*100)</f>
        <v/>
      </c>
      <c r="BG22" s="41" t="str">
        <f aca="false">IF(BF22="","",IFERROR(MATCH(BF22,INDEX(Boundaries!$B$2:$I$30,MATCH(CS22,Boundaries!$A$2:$A$30,0),0),1)-1,""))</f>
        <v/>
      </c>
      <c r="BH22" s="42" t="str">
        <f aca="false">IF(OR(BG22="",$E22=""),"",BG22-$E22)</f>
        <v/>
      </c>
      <c r="BI22" s="39"/>
      <c r="BJ22" s="40" t="str">
        <f aca="false">IF(OR(BI22="",CF22=""),"",BI22/CF22*100)</f>
        <v/>
      </c>
      <c r="BK22" s="41" t="str">
        <f aca="false">IF(BJ22="","",IFERROR(MATCH(BJ22,INDEX(Boundaries!$B$2:$I$30,MATCH(CT22,Boundaries!$A$2:$A$30,0),0),1)-1,""))</f>
        <v/>
      </c>
      <c r="BL22" s="42" t="str">
        <f aca="false">IF(OR(BK22="",$E22=""),"",BK22-$E22)</f>
        <v/>
      </c>
      <c r="BM22" s="39"/>
      <c r="BN22" s="40" t="str">
        <f aca="false">IF(OR(BM22="",CG22=""),"",BM22/CG22*100)</f>
        <v/>
      </c>
      <c r="BO22" s="41" t="str">
        <f aca="false">IF(BN22="","",IFERROR(MATCH(BN22,INDEX(Boundaries!$B$2:$I$30,MATCH(CU22,Boundaries!$A$2:$A$30,0),0),1)-1,""))</f>
        <v/>
      </c>
      <c r="BP22" s="42" t="str">
        <f aca="false">IF(OR(BO22="",$E22=""),"",BO22-$E22)</f>
        <v/>
      </c>
      <c r="BQ22" s="39"/>
      <c r="BR22" s="40" t="str">
        <f aca="false">IF(OR(BQ22="",CH22=""),"",BQ22/CH22*100)</f>
        <v/>
      </c>
      <c r="BS22" s="41" t="str">
        <f aca="false">IF(BR22="","",IFERROR(MATCH(BR22,INDEX(Boundaries!$B$2:$I$30,MATCH(CV22,Boundaries!$A$2:$A$30,0),0),1)-1,""))</f>
        <v/>
      </c>
      <c r="BT22" s="42" t="str">
        <f aca="false">IF(OR(BS22="",$E22=""),"",BS22-$E22)</f>
        <v/>
      </c>
      <c r="BU22" s="28" t="n">
        <f aca="false">IFERROR(INDEX(Assessments!$H$2:$H$600,MATCH($H22&amp;"|"&amp;$I22&amp;"|"&amp;$J22&amp;"|"&amp;1,Assessments!$A$2:$A$600,0)),"")</f>
        <v>20</v>
      </c>
      <c r="BV22" s="28" t="n">
        <f aca="false">IFERROR(INDEX(Assessments!$H$2:$H$600,MATCH($H22&amp;"|"&amp;$I22&amp;"|"&amp;$J22&amp;"|"&amp;2,Assessments!$A$2:$A$600,0)),"")</f>
        <v>20</v>
      </c>
      <c r="BW22" s="28" t="n">
        <f aca="false">IFERROR(INDEX(Assessments!$H$2:$H$600,MATCH($H22&amp;"|"&amp;$I22&amp;"|"&amp;$J22&amp;"|"&amp;3,Assessments!$A$2:$A$600,0)),"")</f>
        <v>20</v>
      </c>
      <c r="BX22" s="28" t="n">
        <f aca="false">IFERROR(INDEX(Assessments!$H$2:$H$600,MATCH($H22&amp;"|"&amp;$I22&amp;"|"&amp;$J22&amp;"|"&amp;4,Assessments!$A$2:$A$600,0)),"")</f>
        <v>20</v>
      </c>
      <c r="BY22" s="28" t="n">
        <f aca="false">IFERROR(INDEX(Assessments!$H$2:$H$600,MATCH($H22&amp;"|"&amp;$I22&amp;"|"&amp;$J22&amp;"|"&amp;5,Assessments!$A$2:$A$600,0)),"")</f>
        <v>20</v>
      </c>
      <c r="BZ22" s="28" t="n">
        <f aca="false">IFERROR(INDEX(Assessments!$H$2:$H$600,MATCH($H22&amp;"|"&amp;$I22&amp;"|"&amp;$J22&amp;"|"&amp;6,Assessments!$A$2:$A$600,0)),"")</f>
        <v>40</v>
      </c>
      <c r="CA22" s="28" t="n">
        <f aca="false">IFERROR(INDEX(Assessments!$H$2:$H$600,MATCH($H22&amp;"|"&amp;$I22&amp;"|"&amp;$J22&amp;"|"&amp;7,Assessments!$A$2:$A$600,0)),"")</f>
        <v>50</v>
      </c>
      <c r="CB22" s="28" t="n">
        <f aca="false">IFERROR(INDEX(Assessments!$H$2:$H$600,MATCH($H22&amp;"|"&amp;$I22&amp;"|"&amp;$J22&amp;"|"&amp;8,Assessments!$A$2:$A$600,0)),"")</f>
        <v>25</v>
      </c>
      <c r="CC22" s="28" t="n">
        <f aca="false">IFERROR(INDEX(Assessments!$H$2:$H$600,MATCH($H22&amp;"|"&amp;$I22&amp;"|"&amp;$J22&amp;"|"&amp;9,Assessments!$A$2:$A$600,0)),"")</f>
        <v>16</v>
      </c>
      <c r="CD22" s="28" t="n">
        <f aca="false">IFERROR(INDEX(Assessments!$H$2:$H$600,MATCH($H22&amp;"|"&amp;$I22&amp;"|"&amp;$J22&amp;"|"&amp;10,Assessments!$A$2:$A$600,0)),"")</f>
        <v>30</v>
      </c>
      <c r="CE22" s="28" t="str">
        <f aca="false">IFERROR(INDEX(Assessments!$H$2:$H$600,MATCH($H22&amp;"|"&amp;$I22&amp;"|"&amp;$J22&amp;"|"&amp;11,Assessments!$A$2:$A$600,0)),"")</f>
        <v/>
      </c>
      <c r="CF22" s="28" t="str">
        <f aca="false">IFERROR(INDEX(Assessments!$H$2:$H$600,MATCH($H22&amp;"|"&amp;$I22&amp;"|"&amp;$J22&amp;"|"&amp;12,Assessments!$A$2:$A$600,0)),"")</f>
        <v/>
      </c>
      <c r="CG22" s="28" t="str">
        <f aca="false">IFERROR(INDEX(Assessments!$H$2:$H$600,MATCH($H22&amp;"|"&amp;$I22&amp;"|"&amp;$J22&amp;"|"&amp;13,Assessments!$A$2:$A$600,0)),"")</f>
        <v/>
      </c>
      <c r="CH22" s="28" t="str">
        <f aca="false">IFERROR(INDEX(Assessments!$H$2:$H$600,MATCH($H22&amp;"|"&amp;$I22&amp;"|"&amp;$J22&amp;"|"&amp;14,Assessments!$A$2:$A$600,0)),"")</f>
        <v/>
      </c>
      <c r="CI22" s="28" t="str">
        <f aca="false">IFERROR(INDEX(Assessments!$I$2:$I$600,MATCH($H22&amp;"|"&amp;$I22&amp;"|"&amp;$J22&amp;"|"&amp;1,Assessments!$A$2:$A$600,0)),"")</f>
        <v>Geog Paper 1</v>
      </c>
      <c r="CJ22" s="28" t="str">
        <f aca="false">IFERROR(INDEX(Assessments!$I$2:$I$600,MATCH($H22&amp;"|"&amp;$I22&amp;"|"&amp;$J22&amp;"|"&amp;2,Assessments!$A$2:$A$600,0)),"")</f>
        <v>Geog Paper 1</v>
      </c>
      <c r="CK22" s="28" t="str">
        <f aca="false">IFERROR(INDEX(Assessments!$I$2:$I$600,MATCH($H22&amp;"|"&amp;$I22&amp;"|"&amp;$J22&amp;"|"&amp;3,Assessments!$A$2:$A$600,0)),"")</f>
        <v>Geog Paper 2</v>
      </c>
      <c r="CL22" s="28" t="str">
        <f aca="false">IFERROR(INDEX(Assessments!$I$2:$I$600,MATCH($H22&amp;"|"&amp;$I22&amp;"|"&amp;$J22&amp;"|"&amp;4,Assessments!$A$2:$A$600,0)),"")</f>
        <v>Geog Paper 1</v>
      </c>
      <c r="CM22" s="28" t="str">
        <f aca="false">IFERROR(INDEX(Assessments!$I$2:$I$600,MATCH($H22&amp;"|"&amp;$I22&amp;"|"&amp;$J22&amp;"|"&amp;5,Assessments!$A$2:$A$600,0)),"")</f>
        <v>Geog Paper 1</v>
      </c>
      <c r="CN22" s="28" t="str">
        <f aca="false">IFERROR(INDEX(Assessments!$I$2:$I$600,MATCH($H22&amp;"|"&amp;$I22&amp;"|"&amp;$J22&amp;"|"&amp;6,Assessments!$A$2:$A$600,0)),"")</f>
        <v>Geog Paper 1</v>
      </c>
      <c r="CO22" s="28" t="str">
        <f aca="false">IFERROR(INDEX(Assessments!$I$2:$I$600,MATCH($H22&amp;"|"&amp;$I22&amp;"|"&amp;$J22&amp;"|"&amp;7,Assessments!$A$2:$A$600,0)),"")</f>
        <v>Geog Paper 2</v>
      </c>
      <c r="CP22" s="28" t="str">
        <f aca="false">IFERROR(INDEX(Assessments!$I$2:$I$600,MATCH($H22&amp;"|"&amp;$I22&amp;"|"&amp;$J22&amp;"|"&amp;8,Assessments!$A$2:$A$600,0)),"")</f>
        <v>Geog Paper 2</v>
      </c>
      <c r="CQ22" s="28" t="str">
        <f aca="false">IFERROR(INDEX(Assessments!$I$2:$I$600,MATCH($H22&amp;"|"&amp;$I22&amp;"|"&amp;$J22&amp;"|"&amp;9,Assessments!$A$2:$A$600,0)),"")</f>
        <v>Geog Paper 3</v>
      </c>
      <c r="CR22" s="28" t="str">
        <f aca="false">IFERROR(INDEX(Assessments!$I$2:$I$600,MATCH($H22&amp;"|"&amp;$I22&amp;"|"&amp;$J22&amp;"|"&amp;10,Assessments!$A$2:$A$600,0)),"")</f>
        <v>Geog Paper 2</v>
      </c>
      <c r="CS22" s="28" t="str">
        <f aca="false">IFERROR(INDEX(Assessments!$I$2:$I$600,MATCH($H22&amp;"|"&amp;$I22&amp;"|"&amp;$J22&amp;"|"&amp;11,Assessments!$A$2:$A$600,0)),"")</f>
        <v/>
      </c>
      <c r="CT22" s="28" t="str">
        <f aca="false">IFERROR(INDEX(Assessments!$I$2:$I$600,MATCH($H22&amp;"|"&amp;$I22&amp;"|"&amp;$J22&amp;"|"&amp;12,Assessments!$A$2:$A$600,0)),"")</f>
        <v/>
      </c>
      <c r="CU22" s="28" t="str">
        <f aca="false">IFERROR(INDEX(Assessments!$I$2:$I$600,MATCH($H22&amp;"|"&amp;$I22&amp;"|"&amp;$J22&amp;"|"&amp;13,Assessments!$A$2:$A$600,0)),"")</f>
        <v/>
      </c>
      <c r="CV22" s="28" t="str">
        <f aca="false">IFERROR(INDEX(Assessments!$I$2:$I$600,MATCH($H22&amp;"|"&amp;$I22&amp;"|"&amp;$J22&amp;"|"&amp;14,Assessments!$A$2:$A$600,0)),"")</f>
        <v/>
      </c>
      <c r="CW22" s="28" t="n">
        <f aca="false">IFERROR(INDEX(Assessments!$J$2:$J$600,MATCH($H22&amp;"|"&amp;$I22&amp;"|"&amp;$J22&amp;"|"&amp;1,Assessments!$A$2:$A$600,0)),0)</f>
        <v>1</v>
      </c>
      <c r="CX22" s="28" t="n">
        <f aca="false">IFERROR(INDEX(Assessments!$J$2:$J$600,MATCH($H22&amp;"|"&amp;$I22&amp;"|"&amp;$J22&amp;"|"&amp;2,Assessments!$A$2:$A$600,0)),0)</f>
        <v>1</v>
      </c>
      <c r="CY22" s="28" t="n">
        <f aca="false">IFERROR(INDEX(Assessments!$J$2:$J$600,MATCH($H22&amp;"|"&amp;$I22&amp;"|"&amp;$J22&amp;"|"&amp;3,Assessments!$A$2:$A$600,0)),0)</f>
        <v>1</v>
      </c>
      <c r="CZ22" s="28" t="n">
        <f aca="false">IFERROR(INDEX(Assessments!$J$2:$J$600,MATCH($H22&amp;"|"&amp;$I22&amp;"|"&amp;$J22&amp;"|"&amp;4,Assessments!$A$2:$A$600,0)),0)</f>
        <v>1</v>
      </c>
      <c r="DA22" s="28" t="n">
        <f aca="false">IFERROR(INDEX(Assessments!$J$2:$J$600,MATCH($H22&amp;"|"&amp;$I22&amp;"|"&amp;$J22&amp;"|"&amp;5,Assessments!$A$2:$A$600,0)),0)</f>
        <v>1</v>
      </c>
      <c r="DB22" s="28" t="n">
        <f aca="false">IFERROR(INDEX(Assessments!$J$2:$J$600,MATCH($H22&amp;"|"&amp;$I22&amp;"|"&amp;$J22&amp;"|"&amp;6,Assessments!$A$2:$A$600,0)),0)</f>
        <v>2</v>
      </c>
      <c r="DC22" s="28" t="n">
        <f aca="false">IFERROR(INDEX(Assessments!$J$2:$J$600,MATCH($H22&amp;"|"&amp;$I22&amp;"|"&amp;$J22&amp;"|"&amp;7,Assessments!$A$2:$A$600,0)),0)</f>
        <v>2</v>
      </c>
      <c r="DD22" s="28" t="n">
        <f aca="false">IFERROR(INDEX(Assessments!$J$2:$J$600,MATCH($H22&amp;"|"&amp;$I22&amp;"|"&amp;$J22&amp;"|"&amp;8,Assessments!$A$2:$A$600,0)),0)</f>
        <v>1</v>
      </c>
      <c r="DE22" s="28" t="n">
        <f aca="false">IFERROR(INDEX(Assessments!$J$2:$J$600,MATCH($H22&amp;"|"&amp;$I22&amp;"|"&amp;$J22&amp;"|"&amp;9,Assessments!$A$2:$A$600,0)),0)</f>
        <v>1</v>
      </c>
      <c r="DF22" s="28" t="n">
        <f aca="false">IFERROR(INDEX(Assessments!$J$2:$J$600,MATCH($H22&amp;"|"&amp;$I22&amp;"|"&amp;$J22&amp;"|"&amp;10,Assessments!$A$2:$A$600,0)),0)</f>
        <v>1</v>
      </c>
      <c r="DG22" s="28" t="n">
        <f aca="false">IFERROR(INDEX(Assessments!$J$2:$J$600,MATCH($H22&amp;"|"&amp;$I22&amp;"|"&amp;$J22&amp;"|"&amp;11,Assessments!$A$2:$A$600,0)),0)</f>
        <v>0</v>
      </c>
      <c r="DH22" s="28" t="n">
        <f aca="false">IFERROR(INDEX(Assessments!$J$2:$J$600,MATCH($H22&amp;"|"&amp;$I22&amp;"|"&amp;$J22&amp;"|"&amp;12,Assessments!$A$2:$A$600,0)),0)</f>
        <v>0</v>
      </c>
      <c r="DI22" s="28" t="n">
        <f aca="false">IFERROR(INDEX(Assessments!$J$2:$J$600,MATCH($H22&amp;"|"&amp;$I22&amp;"|"&amp;$J22&amp;"|"&amp;13,Assessments!$A$2:$A$600,0)),0)</f>
        <v>0</v>
      </c>
      <c r="DJ22" s="28" t="n">
        <f aca="false">IFERROR(INDEX(Assessments!$J$2:$J$600,MATCH($H22&amp;"|"&amp;$I22&amp;"|"&amp;$J22&amp;"|"&amp;14,Assessments!$A$2:$A$600,0)),0)</f>
        <v>0</v>
      </c>
      <c r="DK22" s="28" t="n">
        <f aca="false">S22</f>
        <v>6</v>
      </c>
      <c r="DL22" s="28" t="n">
        <f aca="false">W22</f>
        <v>7</v>
      </c>
      <c r="DM22" s="28" t="n">
        <f aca="false">AA22</f>
        <v>6</v>
      </c>
      <c r="DN22" s="28" t="n">
        <f aca="false">AE22</f>
        <v>7</v>
      </c>
      <c r="DO22" s="28" t="n">
        <f aca="false">AI22</f>
        <v>6</v>
      </c>
      <c r="DP22" s="28" t="n">
        <f aca="false">AM22</f>
        <v>7</v>
      </c>
      <c r="DQ22" s="28" t="n">
        <f aca="false">AQ22</f>
        <v>7</v>
      </c>
      <c r="DR22" s="28" t="n">
        <f aca="false">AU22</f>
        <v>7</v>
      </c>
      <c r="DS22" s="28" t="n">
        <f aca="false">AY22</f>
        <v>7</v>
      </c>
      <c r="DT22" s="28" t="n">
        <f aca="false">BC22</f>
        <v>7</v>
      </c>
      <c r="DU22" s="28" t="str">
        <f aca="false">BG22</f>
        <v/>
      </c>
      <c r="DV22" s="28" t="str">
        <f aca="false">BK22</f>
        <v/>
      </c>
      <c r="DW22" s="28" t="str">
        <f aca="false">BO22</f>
        <v/>
      </c>
      <c r="DX22" s="28" t="str">
        <f aca="false">BS22</f>
        <v/>
      </c>
      <c r="DY22" s="28" t="n">
        <f aca="false">IF(ISNUMBER(S22),1,"")</f>
        <v>1</v>
      </c>
      <c r="DZ22" s="28" t="n">
        <f aca="false">IF(ISNUMBER(W22),2,"")</f>
        <v>2</v>
      </c>
      <c r="EA22" s="28" t="n">
        <f aca="false">IF(ISNUMBER(AA22),3,"")</f>
        <v>3</v>
      </c>
      <c r="EB22" s="28" t="n">
        <f aca="false">IF(ISNUMBER(AE22),4,"")</f>
        <v>4</v>
      </c>
      <c r="EC22" s="28" t="n">
        <f aca="false">IF(ISNUMBER(AI22),5,"")</f>
        <v>5</v>
      </c>
      <c r="ED22" s="28" t="n">
        <f aca="false">IF(ISNUMBER(AM22),6,"")</f>
        <v>6</v>
      </c>
      <c r="EE22" s="28" t="n">
        <f aca="false">IF(ISNUMBER(AQ22),7,"")</f>
        <v>7</v>
      </c>
      <c r="EF22" s="28" t="n">
        <f aca="false">IF(ISNUMBER(AU22),8,"")</f>
        <v>8</v>
      </c>
      <c r="EG22" s="28" t="n">
        <f aca="false">IF(ISNUMBER(AY22),9,"")</f>
        <v>9</v>
      </c>
      <c r="EH22" s="28" t="n">
        <f aca="false">IF(ISNUMBER(BC22),10,"")</f>
        <v>10</v>
      </c>
      <c r="EI22" s="28" t="str">
        <f aca="false">IF(ISNUMBER(BG22),11,"")</f>
        <v/>
      </c>
      <c r="EJ22" s="28" t="str">
        <f aca="false">IF(ISNUMBER(BK22),12,"")</f>
        <v/>
      </c>
      <c r="EK22" s="28" t="str">
        <f aca="false">IF(ISNUMBER(BO22),13,"")</f>
        <v/>
      </c>
      <c r="EL22" s="28" t="str">
        <f aca="false">IF(ISNUMBER(BS22),14,"")</f>
        <v/>
      </c>
      <c r="EM22" s="28" t="n">
        <f aca="false">IF(ISNUMBER(R22),R22*CW22,0)</f>
        <v>70</v>
      </c>
      <c r="EN22" s="28" t="n">
        <f aca="false">IF(ISNUMBER(V22),V22*CX22,0)</f>
        <v>85</v>
      </c>
      <c r="EO22" s="28" t="n">
        <f aca="false">IF(ISNUMBER(Z22),Z22*CY22,0)</f>
        <v>75</v>
      </c>
      <c r="EP22" s="28" t="n">
        <f aca="false">IF(ISNUMBER(AD22),AD22*CZ22,0)</f>
        <v>85</v>
      </c>
      <c r="EQ22" s="28" t="n">
        <f aca="false">IF(ISNUMBER(AH22),AH22*DA22,0)</f>
        <v>70</v>
      </c>
      <c r="ER22" s="28" t="n">
        <f aca="false">IF(ISNUMBER(AL22),AL22*DB22,0)</f>
        <v>160</v>
      </c>
      <c r="ES22" s="28" t="n">
        <f aca="false">IF(ISNUMBER(AP22),AP22*DC22,0)</f>
        <v>172</v>
      </c>
      <c r="ET22" s="28" t="n">
        <f aca="false">IF(ISNUMBER(AT22),AT22*DD22,0)</f>
        <v>92</v>
      </c>
      <c r="EU22" s="28" t="n">
        <f aca="false">IF(ISNUMBER(AX22),AX22*DE22,0)</f>
        <v>75</v>
      </c>
      <c r="EV22" s="28" t="n">
        <f aca="false">IF(ISNUMBER(BB22),BB22*DF22,0)</f>
        <v>80</v>
      </c>
      <c r="EW22" s="28" t="n">
        <f aca="false">IF(ISNUMBER(BF22),BF22*DG22,0)</f>
        <v>0</v>
      </c>
      <c r="EX22" s="28" t="n">
        <f aca="false">IF(ISNUMBER(BJ22),BJ22*DH22,0)</f>
        <v>0</v>
      </c>
      <c r="EY22" s="28" t="n">
        <f aca="false">IF(ISNUMBER(BN22),BN22*DI22,0)</f>
        <v>0</v>
      </c>
      <c r="EZ22" s="28" t="n">
        <f aca="false">IF(ISNUMBER(BR22),BR22*DJ22,0)</f>
        <v>0</v>
      </c>
      <c r="FA22" s="28" t="n">
        <f aca="false">IF(ISNUMBER(R22),CW22,0)</f>
        <v>1</v>
      </c>
      <c r="FB22" s="28" t="n">
        <f aca="false">IF(ISNUMBER(V22),CX22,0)</f>
        <v>1</v>
      </c>
      <c r="FC22" s="28" t="n">
        <f aca="false">IF(ISNUMBER(Z22),CY22,0)</f>
        <v>1</v>
      </c>
      <c r="FD22" s="28" t="n">
        <f aca="false">IF(ISNUMBER(AD22),CZ22,0)</f>
        <v>1</v>
      </c>
      <c r="FE22" s="28" t="n">
        <f aca="false">IF(ISNUMBER(AH22),DA22,0)</f>
        <v>1</v>
      </c>
      <c r="FF22" s="28" t="n">
        <f aca="false">IF(ISNUMBER(AL22),DB22,0)</f>
        <v>2</v>
      </c>
      <c r="FG22" s="28" t="n">
        <f aca="false">IF(ISNUMBER(AP22),DC22,0)</f>
        <v>2</v>
      </c>
      <c r="FH22" s="28" t="n">
        <f aca="false">IF(ISNUMBER(AT22),DD22,0)</f>
        <v>1</v>
      </c>
      <c r="FI22" s="28" t="n">
        <f aca="false">IF(ISNUMBER(AX22),DE22,0)</f>
        <v>1</v>
      </c>
      <c r="FJ22" s="28" t="n">
        <f aca="false">IF(ISNUMBER(BB22),DF22,0)</f>
        <v>1</v>
      </c>
      <c r="FK22" s="28" t="n">
        <f aca="false">IF(ISNUMBER(BF22),DG22,0)</f>
        <v>0</v>
      </c>
      <c r="FL22" s="28" t="n">
        <f aca="false">IF(ISNUMBER(BJ22),DH22,0)</f>
        <v>0</v>
      </c>
      <c r="FM22" s="28" t="n">
        <f aca="false">IF(ISNUMBER(BN22),DI22,0)</f>
        <v>0</v>
      </c>
      <c r="FN22" s="28" t="n">
        <f aca="false">IF(ISNUMBER(BR22),DJ22,0)</f>
        <v>0</v>
      </c>
      <c r="FO22" s="28" t="str">
        <f aca="false">IFERROR(INDEX(Lists!$G$2:$G$20,MATCH($I22&amp;"|"&amp;$J22,Lists!$F$2:$F$20,0)),"")</f>
        <v>Geog Overall HL</v>
      </c>
    </row>
    <row r="23" customFormat="false" ht="19.5" hidden="false" customHeight="true" outlineLevel="0" collapsed="false">
      <c r="A23" s="29" t="s">
        <v>178</v>
      </c>
      <c r="B23" s="29" t="s">
        <v>179</v>
      </c>
      <c r="C23" s="30" t="s">
        <v>152</v>
      </c>
      <c r="D23" s="30" t="s">
        <v>177</v>
      </c>
      <c r="E23" s="31" t="n">
        <v>4.9</v>
      </c>
      <c r="F23" s="30" t="n">
        <v>5</v>
      </c>
      <c r="G23" s="30"/>
      <c r="H23" s="32" t="s">
        <v>23</v>
      </c>
      <c r="I23" s="33" t="s">
        <v>24</v>
      </c>
      <c r="J23" s="32" t="s">
        <v>25</v>
      </c>
      <c r="K23" s="34" t="n">
        <f aca="false">IF(OR(M23="",$E23=""),"",M23-$E23)</f>
        <v>1.1</v>
      </c>
      <c r="L23" s="35" t="n">
        <f aca="false">IF(SUM(FA23:FN23)=0,"",SUM(EM23:EZ23)/SUM(FA23:FN23))</f>
        <v>65.0555555555556</v>
      </c>
      <c r="M23" s="36" t="n">
        <f aca="false">IF(OR(L23="",FO23=""),"",IFERROR(MATCH(L23,INDEX(Boundaries!$B$2:$I$30,MATCH(FO23,Boundaries!$A$2:$A$30,0),0),1)-1,""))</f>
        <v>6</v>
      </c>
      <c r="N23" s="37" t="n">
        <f aca="false">IF(COUNT($DY23:$EL23)&lt;2,"",INDEX($DK23:$DX23,MAX($DY23:$EL23))-INDEX($DK23:$DX23,MIN($DY23:$EL23)))</f>
        <v>-1</v>
      </c>
      <c r="O23" s="37" t="n">
        <f aca="false">IF(COUNT($DY23:$EL23)&lt;2,"",INDEX($DK23:$DX23,MAX($DY23:$EL23))-INDEX($DK23:$DX23,LARGE($DY23:$EL23,2)))</f>
        <v>2</v>
      </c>
      <c r="P23" s="38" t="str">
        <f aca="false">IF(K23="","",IF(K23&gt;=0,"On/above target",IF(AND(N23&lt;&gt;"",N23&gt;=0.5),"Improving towards target",IF(AND(O23&lt;&gt;"",O23&lt;=-0.5),"Declining","Stable below target"))))</f>
        <v>On/above target</v>
      </c>
      <c r="Q23" s="39" t="n">
        <v>14</v>
      </c>
      <c r="R23" s="40" t="n">
        <f aca="false">IF(OR(Q23="",BU23=""),"",Q23/BU23*100)</f>
        <v>70</v>
      </c>
      <c r="S23" s="41" t="n">
        <f aca="false">IF(R23="","",IFERROR(MATCH(R23,INDEX(Boundaries!$B$2:$I$30,MATCH(CI23,Boundaries!$A$2:$A$30,0),0),1)-1,""))</f>
        <v>6</v>
      </c>
      <c r="T23" s="42" t="n">
        <f aca="false">IF(OR(S23="",$E23=""),"",S23-$E23)</f>
        <v>1.1</v>
      </c>
      <c r="U23" s="39" t="n">
        <v>11</v>
      </c>
      <c r="V23" s="40" t="n">
        <f aca="false">IF(OR(U23="",BV23=""),"",U23/BV23*100)</f>
        <v>55</v>
      </c>
      <c r="W23" s="41" t="n">
        <f aca="false">IF(V23="","",IFERROR(MATCH(V23,INDEX(Boundaries!$B$2:$I$30,MATCH(CJ23,Boundaries!$A$2:$A$30,0),0),1)-1,""))</f>
        <v>5</v>
      </c>
      <c r="X23" s="42" t="n">
        <f aca="false">IF(OR(W23="",$E23=""),"",W23-$E23)</f>
        <v>0.0999999999999996</v>
      </c>
      <c r="Y23" s="39" t="n">
        <v>15</v>
      </c>
      <c r="Z23" s="40" t="n">
        <f aca="false">IF(OR(Y23="",BW23=""),"",Y23/BW23*100)</f>
        <v>75</v>
      </c>
      <c r="AA23" s="41" t="n">
        <f aca="false">IF(Z23="","",IFERROR(MATCH(Z23,INDEX(Boundaries!$B$2:$I$30,MATCH(CK23,Boundaries!$A$2:$A$30,0),0),1)-1,""))</f>
        <v>6</v>
      </c>
      <c r="AB23" s="42" t="n">
        <f aca="false">IF(OR(AA23="",$E23=""),"",AA23-$E23)</f>
        <v>1.1</v>
      </c>
      <c r="AC23" s="39" t="n">
        <v>14</v>
      </c>
      <c r="AD23" s="40" t="n">
        <f aca="false">IF(OR(AC23="",BX23=""),"",AC23/BX23*100)</f>
        <v>70</v>
      </c>
      <c r="AE23" s="41" t="n">
        <f aca="false">IF(AD23="","",IFERROR(MATCH(AD23,INDEX(Boundaries!$B$2:$I$30,MATCH(CL23,Boundaries!$A$2:$A$30,0),0),1)-1,""))</f>
        <v>6</v>
      </c>
      <c r="AF23" s="42" t="n">
        <f aca="false">IF(OR(AE23="",$E23=""),"",AE23-$E23)</f>
        <v>1.1</v>
      </c>
      <c r="AG23" s="39" t="n">
        <v>14</v>
      </c>
      <c r="AH23" s="40" t="n">
        <f aca="false">IF(OR(AG23="",BY23=""),"",AG23/BY23*100)</f>
        <v>70</v>
      </c>
      <c r="AI23" s="41" t="n">
        <f aca="false">IF(AH23="","",IFERROR(MATCH(AH23,INDEX(Boundaries!$B$2:$I$30,MATCH(CM23,Boundaries!$A$2:$A$30,0),0),1)-1,""))</f>
        <v>6</v>
      </c>
      <c r="AJ23" s="42" t="n">
        <f aca="false">IF(OR(AI23="",$E23=""),"",AI23-$E23)</f>
        <v>1.1</v>
      </c>
      <c r="AK23" s="39" t="n">
        <v>26</v>
      </c>
      <c r="AL23" s="40" t="n">
        <f aca="false">IF(OR(AK23="",BZ23=""),"",AK23/BZ23*100)</f>
        <v>65</v>
      </c>
      <c r="AM23" s="41" t="n">
        <f aca="false">IF(AL23="","",IFERROR(MATCH(AL23,INDEX(Boundaries!$B$2:$I$30,MATCH(CN23,Boundaries!$A$2:$A$30,0),0),1)-1,""))</f>
        <v>6</v>
      </c>
      <c r="AN23" s="42" t="n">
        <f aca="false">IF(OR(AM23="",$E23=""),"",AM23-$E23)</f>
        <v>1.1</v>
      </c>
      <c r="AO23" s="39" t="n">
        <v>32</v>
      </c>
      <c r="AP23" s="40" t="n">
        <f aca="false">IF(OR(AO23="",CA23=""),"",AO23/CA23*100)</f>
        <v>64</v>
      </c>
      <c r="AQ23" s="41" t="n">
        <f aca="false">IF(AP23="","",IFERROR(MATCH(AP23,INDEX(Boundaries!$B$2:$I$30,MATCH(CO23,Boundaries!$A$2:$A$30,0),0),1)-1,""))</f>
        <v>5</v>
      </c>
      <c r="AR23" s="42" t="n">
        <f aca="false">IF(OR(AQ23="",$E23=""),"",AQ23-$E23)</f>
        <v>0.0999999999999996</v>
      </c>
      <c r="AS23" s="39" t="n">
        <v>19</v>
      </c>
      <c r="AT23" s="40" t="n">
        <f aca="false">IF(OR(AS23="",CB23=""),"",AS23/CB23*100)</f>
        <v>76</v>
      </c>
      <c r="AU23" s="41" t="n">
        <f aca="false">IF(AT23="","",IFERROR(MATCH(AT23,INDEX(Boundaries!$B$2:$I$30,MATCH(CP23,Boundaries!$A$2:$A$30,0),0),1)-1,""))</f>
        <v>6</v>
      </c>
      <c r="AV23" s="42" t="n">
        <f aca="false">IF(OR(AU23="",$E23=""),"",AU23-$E23)</f>
        <v>1.1</v>
      </c>
      <c r="AW23" s="39" t="n">
        <v>8</v>
      </c>
      <c r="AX23" s="40" t="n">
        <f aca="false">IF(OR(AW23="",CC23=""),"",AW23/CC23*100)</f>
        <v>50</v>
      </c>
      <c r="AY23" s="41" t="n">
        <f aca="false">IF(AX23="","",IFERROR(MATCH(AX23,INDEX(Boundaries!$B$2:$I$30,MATCH(CQ23,Boundaries!$A$2:$A$30,0),0),1)-1,""))</f>
        <v>3</v>
      </c>
      <c r="AZ23" s="42" t="n">
        <f aca="false">IF(OR(AY23="",$E23=""),"",AY23-$E23)</f>
        <v>-1.9</v>
      </c>
      <c r="BA23" s="39" t="n">
        <v>17</v>
      </c>
      <c r="BB23" s="40" t="n">
        <f aca="false">IF(OR(BA23="",CD23=""),"",BA23/CD23*100)</f>
        <v>56.6666666666667</v>
      </c>
      <c r="BC23" s="41" t="n">
        <f aca="false">IF(BB23="","",IFERROR(MATCH(BB23,INDEX(Boundaries!$B$2:$I$30,MATCH(CR23,Boundaries!$A$2:$A$30,0),0),1)-1,""))</f>
        <v>5</v>
      </c>
      <c r="BD23" s="42" t="n">
        <f aca="false">IF(OR(BC23="",$E23=""),"",BC23-$E23)</f>
        <v>0.0999999999999996</v>
      </c>
      <c r="BE23" s="39"/>
      <c r="BF23" s="40" t="str">
        <f aca="false">IF(OR(BE23="",CE23=""),"",BE23/CE23*100)</f>
        <v/>
      </c>
      <c r="BG23" s="41" t="str">
        <f aca="false">IF(BF23="","",IFERROR(MATCH(BF23,INDEX(Boundaries!$B$2:$I$30,MATCH(CS23,Boundaries!$A$2:$A$30,0),0),1)-1,""))</f>
        <v/>
      </c>
      <c r="BH23" s="42" t="str">
        <f aca="false">IF(OR(BG23="",$E23=""),"",BG23-$E23)</f>
        <v/>
      </c>
      <c r="BI23" s="39"/>
      <c r="BJ23" s="40" t="str">
        <f aca="false">IF(OR(BI23="",CF23=""),"",BI23/CF23*100)</f>
        <v/>
      </c>
      <c r="BK23" s="41" t="str">
        <f aca="false">IF(BJ23="","",IFERROR(MATCH(BJ23,INDEX(Boundaries!$B$2:$I$30,MATCH(CT23,Boundaries!$A$2:$A$30,0),0),1)-1,""))</f>
        <v/>
      </c>
      <c r="BL23" s="42" t="str">
        <f aca="false">IF(OR(BK23="",$E23=""),"",BK23-$E23)</f>
        <v/>
      </c>
      <c r="BM23" s="39"/>
      <c r="BN23" s="40" t="str">
        <f aca="false">IF(OR(BM23="",CG23=""),"",BM23/CG23*100)</f>
        <v/>
      </c>
      <c r="BO23" s="41" t="str">
        <f aca="false">IF(BN23="","",IFERROR(MATCH(BN23,INDEX(Boundaries!$B$2:$I$30,MATCH(CU23,Boundaries!$A$2:$A$30,0),0),1)-1,""))</f>
        <v/>
      </c>
      <c r="BP23" s="42" t="str">
        <f aca="false">IF(OR(BO23="",$E23=""),"",BO23-$E23)</f>
        <v/>
      </c>
      <c r="BQ23" s="39"/>
      <c r="BR23" s="40" t="str">
        <f aca="false">IF(OR(BQ23="",CH23=""),"",BQ23/CH23*100)</f>
        <v/>
      </c>
      <c r="BS23" s="41" t="str">
        <f aca="false">IF(BR23="","",IFERROR(MATCH(BR23,INDEX(Boundaries!$B$2:$I$30,MATCH(CV23,Boundaries!$A$2:$A$30,0),0),1)-1,""))</f>
        <v/>
      </c>
      <c r="BT23" s="42" t="str">
        <f aca="false">IF(OR(BS23="",$E23=""),"",BS23-$E23)</f>
        <v/>
      </c>
      <c r="BU23" s="28" t="n">
        <f aca="false">IFERROR(INDEX(Assessments!$H$2:$H$600,MATCH($H23&amp;"|"&amp;$I23&amp;"|"&amp;$J23&amp;"|"&amp;1,Assessments!$A$2:$A$600,0)),"")</f>
        <v>20</v>
      </c>
      <c r="BV23" s="28" t="n">
        <f aca="false">IFERROR(INDEX(Assessments!$H$2:$H$600,MATCH($H23&amp;"|"&amp;$I23&amp;"|"&amp;$J23&amp;"|"&amp;2,Assessments!$A$2:$A$600,0)),"")</f>
        <v>20</v>
      </c>
      <c r="BW23" s="28" t="n">
        <f aca="false">IFERROR(INDEX(Assessments!$H$2:$H$600,MATCH($H23&amp;"|"&amp;$I23&amp;"|"&amp;$J23&amp;"|"&amp;3,Assessments!$A$2:$A$600,0)),"")</f>
        <v>20</v>
      </c>
      <c r="BX23" s="28" t="n">
        <f aca="false">IFERROR(INDEX(Assessments!$H$2:$H$600,MATCH($H23&amp;"|"&amp;$I23&amp;"|"&amp;$J23&amp;"|"&amp;4,Assessments!$A$2:$A$600,0)),"")</f>
        <v>20</v>
      </c>
      <c r="BY23" s="28" t="n">
        <f aca="false">IFERROR(INDEX(Assessments!$H$2:$H$600,MATCH($H23&amp;"|"&amp;$I23&amp;"|"&amp;$J23&amp;"|"&amp;5,Assessments!$A$2:$A$600,0)),"")</f>
        <v>20</v>
      </c>
      <c r="BZ23" s="28" t="n">
        <f aca="false">IFERROR(INDEX(Assessments!$H$2:$H$600,MATCH($H23&amp;"|"&amp;$I23&amp;"|"&amp;$J23&amp;"|"&amp;6,Assessments!$A$2:$A$600,0)),"")</f>
        <v>40</v>
      </c>
      <c r="CA23" s="28" t="n">
        <f aca="false">IFERROR(INDEX(Assessments!$H$2:$H$600,MATCH($H23&amp;"|"&amp;$I23&amp;"|"&amp;$J23&amp;"|"&amp;7,Assessments!$A$2:$A$600,0)),"")</f>
        <v>50</v>
      </c>
      <c r="CB23" s="28" t="n">
        <f aca="false">IFERROR(INDEX(Assessments!$H$2:$H$600,MATCH($H23&amp;"|"&amp;$I23&amp;"|"&amp;$J23&amp;"|"&amp;8,Assessments!$A$2:$A$600,0)),"")</f>
        <v>25</v>
      </c>
      <c r="CC23" s="28" t="n">
        <f aca="false">IFERROR(INDEX(Assessments!$H$2:$H$600,MATCH($H23&amp;"|"&amp;$I23&amp;"|"&amp;$J23&amp;"|"&amp;9,Assessments!$A$2:$A$600,0)),"")</f>
        <v>16</v>
      </c>
      <c r="CD23" s="28" t="n">
        <f aca="false">IFERROR(INDEX(Assessments!$H$2:$H$600,MATCH($H23&amp;"|"&amp;$I23&amp;"|"&amp;$J23&amp;"|"&amp;10,Assessments!$A$2:$A$600,0)),"")</f>
        <v>30</v>
      </c>
      <c r="CE23" s="28" t="str">
        <f aca="false">IFERROR(INDEX(Assessments!$H$2:$H$600,MATCH($H23&amp;"|"&amp;$I23&amp;"|"&amp;$J23&amp;"|"&amp;11,Assessments!$A$2:$A$600,0)),"")</f>
        <v/>
      </c>
      <c r="CF23" s="28" t="str">
        <f aca="false">IFERROR(INDEX(Assessments!$H$2:$H$600,MATCH($H23&amp;"|"&amp;$I23&amp;"|"&amp;$J23&amp;"|"&amp;12,Assessments!$A$2:$A$600,0)),"")</f>
        <v/>
      </c>
      <c r="CG23" s="28" t="str">
        <f aca="false">IFERROR(INDEX(Assessments!$H$2:$H$600,MATCH($H23&amp;"|"&amp;$I23&amp;"|"&amp;$J23&amp;"|"&amp;13,Assessments!$A$2:$A$600,0)),"")</f>
        <v/>
      </c>
      <c r="CH23" s="28" t="str">
        <f aca="false">IFERROR(INDEX(Assessments!$H$2:$H$600,MATCH($H23&amp;"|"&amp;$I23&amp;"|"&amp;$J23&amp;"|"&amp;14,Assessments!$A$2:$A$600,0)),"")</f>
        <v/>
      </c>
      <c r="CI23" s="28" t="str">
        <f aca="false">IFERROR(INDEX(Assessments!$I$2:$I$600,MATCH($H23&amp;"|"&amp;$I23&amp;"|"&amp;$J23&amp;"|"&amp;1,Assessments!$A$2:$A$600,0)),"")</f>
        <v>Geog Paper 1</v>
      </c>
      <c r="CJ23" s="28" t="str">
        <f aca="false">IFERROR(INDEX(Assessments!$I$2:$I$600,MATCH($H23&amp;"|"&amp;$I23&amp;"|"&amp;$J23&amp;"|"&amp;2,Assessments!$A$2:$A$600,0)),"")</f>
        <v>Geog Paper 1</v>
      </c>
      <c r="CK23" s="28" t="str">
        <f aca="false">IFERROR(INDEX(Assessments!$I$2:$I$600,MATCH($H23&amp;"|"&amp;$I23&amp;"|"&amp;$J23&amp;"|"&amp;3,Assessments!$A$2:$A$600,0)),"")</f>
        <v>Geog Paper 2</v>
      </c>
      <c r="CL23" s="28" t="str">
        <f aca="false">IFERROR(INDEX(Assessments!$I$2:$I$600,MATCH($H23&amp;"|"&amp;$I23&amp;"|"&amp;$J23&amp;"|"&amp;4,Assessments!$A$2:$A$600,0)),"")</f>
        <v>Geog Paper 1</v>
      </c>
      <c r="CM23" s="28" t="str">
        <f aca="false">IFERROR(INDEX(Assessments!$I$2:$I$600,MATCH($H23&amp;"|"&amp;$I23&amp;"|"&amp;$J23&amp;"|"&amp;5,Assessments!$A$2:$A$600,0)),"")</f>
        <v>Geog Paper 1</v>
      </c>
      <c r="CN23" s="28" t="str">
        <f aca="false">IFERROR(INDEX(Assessments!$I$2:$I$600,MATCH($H23&amp;"|"&amp;$I23&amp;"|"&amp;$J23&amp;"|"&amp;6,Assessments!$A$2:$A$600,0)),"")</f>
        <v>Geog Paper 1</v>
      </c>
      <c r="CO23" s="28" t="str">
        <f aca="false">IFERROR(INDEX(Assessments!$I$2:$I$600,MATCH($H23&amp;"|"&amp;$I23&amp;"|"&amp;$J23&amp;"|"&amp;7,Assessments!$A$2:$A$600,0)),"")</f>
        <v>Geog Paper 2</v>
      </c>
      <c r="CP23" s="28" t="str">
        <f aca="false">IFERROR(INDEX(Assessments!$I$2:$I$600,MATCH($H23&amp;"|"&amp;$I23&amp;"|"&amp;$J23&amp;"|"&amp;8,Assessments!$A$2:$A$600,0)),"")</f>
        <v>Geog Paper 2</v>
      </c>
      <c r="CQ23" s="28" t="str">
        <f aca="false">IFERROR(INDEX(Assessments!$I$2:$I$600,MATCH($H23&amp;"|"&amp;$I23&amp;"|"&amp;$J23&amp;"|"&amp;9,Assessments!$A$2:$A$600,0)),"")</f>
        <v>Geog Paper 3</v>
      </c>
      <c r="CR23" s="28" t="str">
        <f aca="false">IFERROR(INDEX(Assessments!$I$2:$I$600,MATCH($H23&amp;"|"&amp;$I23&amp;"|"&amp;$J23&amp;"|"&amp;10,Assessments!$A$2:$A$600,0)),"")</f>
        <v>Geog Paper 2</v>
      </c>
      <c r="CS23" s="28" t="str">
        <f aca="false">IFERROR(INDEX(Assessments!$I$2:$I$600,MATCH($H23&amp;"|"&amp;$I23&amp;"|"&amp;$J23&amp;"|"&amp;11,Assessments!$A$2:$A$600,0)),"")</f>
        <v/>
      </c>
      <c r="CT23" s="28" t="str">
        <f aca="false">IFERROR(INDEX(Assessments!$I$2:$I$600,MATCH($H23&amp;"|"&amp;$I23&amp;"|"&amp;$J23&amp;"|"&amp;12,Assessments!$A$2:$A$600,0)),"")</f>
        <v/>
      </c>
      <c r="CU23" s="28" t="str">
        <f aca="false">IFERROR(INDEX(Assessments!$I$2:$I$600,MATCH($H23&amp;"|"&amp;$I23&amp;"|"&amp;$J23&amp;"|"&amp;13,Assessments!$A$2:$A$600,0)),"")</f>
        <v/>
      </c>
      <c r="CV23" s="28" t="str">
        <f aca="false">IFERROR(INDEX(Assessments!$I$2:$I$600,MATCH($H23&amp;"|"&amp;$I23&amp;"|"&amp;$J23&amp;"|"&amp;14,Assessments!$A$2:$A$600,0)),"")</f>
        <v/>
      </c>
      <c r="CW23" s="28" t="n">
        <f aca="false">IFERROR(INDEX(Assessments!$J$2:$J$600,MATCH($H23&amp;"|"&amp;$I23&amp;"|"&amp;$J23&amp;"|"&amp;1,Assessments!$A$2:$A$600,0)),0)</f>
        <v>1</v>
      </c>
      <c r="CX23" s="28" t="n">
        <f aca="false">IFERROR(INDEX(Assessments!$J$2:$J$600,MATCH($H23&amp;"|"&amp;$I23&amp;"|"&amp;$J23&amp;"|"&amp;2,Assessments!$A$2:$A$600,0)),0)</f>
        <v>1</v>
      </c>
      <c r="CY23" s="28" t="n">
        <f aca="false">IFERROR(INDEX(Assessments!$J$2:$J$600,MATCH($H23&amp;"|"&amp;$I23&amp;"|"&amp;$J23&amp;"|"&amp;3,Assessments!$A$2:$A$600,0)),0)</f>
        <v>1</v>
      </c>
      <c r="CZ23" s="28" t="n">
        <f aca="false">IFERROR(INDEX(Assessments!$J$2:$J$600,MATCH($H23&amp;"|"&amp;$I23&amp;"|"&amp;$J23&amp;"|"&amp;4,Assessments!$A$2:$A$600,0)),0)</f>
        <v>1</v>
      </c>
      <c r="DA23" s="28" t="n">
        <f aca="false">IFERROR(INDEX(Assessments!$J$2:$J$600,MATCH($H23&amp;"|"&amp;$I23&amp;"|"&amp;$J23&amp;"|"&amp;5,Assessments!$A$2:$A$600,0)),0)</f>
        <v>1</v>
      </c>
      <c r="DB23" s="28" t="n">
        <f aca="false">IFERROR(INDEX(Assessments!$J$2:$J$600,MATCH($H23&amp;"|"&amp;$I23&amp;"|"&amp;$J23&amp;"|"&amp;6,Assessments!$A$2:$A$600,0)),0)</f>
        <v>2</v>
      </c>
      <c r="DC23" s="28" t="n">
        <f aca="false">IFERROR(INDEX(Assessments!$J$2:$J$600,MATCH($H23&amp;"|"&amp;$I23&amp;"|"&amp;$J23&amp;"|"&amp;7,Assessments!$A$2:$A$600,0)),0)</f>
        <v>2</v>
      </c>
      <c r="DD23" s="28" t="n">
        <f aca="false">IFERROR(INDEX(Assessments!$J$2:$J$600,MATCH($H23&amp;"|"&amp;$I23&amp;"|"&amp;$J23&amp;"|"&amp;8,Assessments!$A$2:$A$600,0)),0)</f>
        <v>1</v>
      </c>
      <c r="DE23" s="28" t="n">
        <f aca="false">IFERROR(INDEX(Assessments!$J$2:$J$600,MATCH($H23&amp;"|"&amp;$I23&amp;"|"&amp;$J23&amp;"|"&amp;9,Assessments!$A$2:$A$600,0)),0)</f>
        <v>1</v>
      </c>
      <c r="DF23" s="28" t="n">
        <f aca="false">IFERROR(INDEX(Assessments!$J$2:$J$600,MATCH($H23&amp;"|"&amp;$I23&amp;"|"&amp;$J23&amp;"|"&amp;10,Assessments!$A$2:$A$600,0)),0)</f>
        <v>1</v>
      </c>
      <c r="DG23" s="28" t="n">
        <f aca="false">IFERROR(INDEX(Assessments!$J$2:$J$600,MATCH($H23&amp;"|"&amp;$I23&amp;"|"&amp;$J23&amp;"|"&amp;11,Assessments!$A$2:$A$600,0)),0)</f>
        <v>0</v>
      </c>
      <c r="DH23" s="28" t="n">
        <f aca="false">IFERROR(INDEX(Assessments!$J$2:$J$600,MATCH($H23&amp;"|"&amp;$I23&amp;"|"&amp;$J23&amp;"|"&amp;12,Assessments!$A$2:$A$600,0)),0)</f>
        <v>0</v>
      </c>
      <c r="DI23" s="28" t="n">
        <f aca="false">IFERROR(INDEX(Assessments!$J$2:$J$600,MATCH($H23&amp;"|"&amp;$I23&amp;"|"&amp;$J23&amp;"|"&amp;13,Assessments!$A$2:$A$600,0)),0)</f>
        <v>0</v>
      </c>
      <c r="DJ23" s="28" t="n">
        <f aca="false">IFERROR(INDEX(Assessments!$J$2:$J$600,MATCH($H23&amp;"|"&amp;$I23&amp;"|"&amp;$J23&amp;"|"&amp;14,Assessments!$A$2:$A$600,0)),0)</f>
        <v>0</v>
      </c>
      <c r="DK23" s="28" t="n">
        <f aca="false">S23</f>
        <v>6</v>
      </c>
      <c r="DL23" s="28" t="n">
        <f aca="false">W23</f>
        <v>5</v>
      </c>
      <c r="DM23" s="28" t="n">
        <f aca="false">AA23</f>
        <v>6</v>
      </c>
      <c r="DN23" s="28" t="n">
        <f aca="false">AE23</f>
        <v>6</v>
      </c>
      <c r="DO23" s="28" t="n">
        <f aca="false">AI23</f>
        <v>6</v>
      </c>
      <c r="DP23" s="28" t="n">
        <f aca="false">AM23</f>
        <v>6</v>
      </c>
      <c r="DQ23" s="28" t="n">
        <f aca="false">AQ23</f>
        <v>5</v>
      </c>
      <c r="DR23" s="28" t="n">
        <f aca="false">AU23</f>
        <v>6</v>
      </c>
      <c r="DS23" s="28" t="n">
        <f aca="false">AY23</f>
        <v>3</v>
      </c>
      <c r="DT23" s="28" t="n">
        <f aca="false">BC23</f>
        <v>5</v>
      </c>
      <c r="DU23" s="28" t="str">
        <f aca="false">BG23</f>
        <v/>
      </c>
      <c r="DV23" s="28" t="str">
        <f aca="false">BK23</f>
        <v/>
      </c>
      <c r="DW23" s="28" t="str">
        <f aca="false">BO23</f>
        <v/>
      </c>
      <c r="DX23" s="28" t="str">
        <f aca="false">BS23</f>
        <v/>
      </c>
      <c r="DY23" s="28" t="n">
        <f aca="false">IF(ISNUMBER(S23),1,"")</f>
        <v>1</v>
      </c>
      <c r="DZ23" s="28" t="n">
        <f aca="false">IF(ISNUMBER(W23),2,"")</f>
        <v>2</v>
      </c>
      <c r="EA23" s="28" t="n">
        <f aca="false">IF(ISNUMBER(AA23),3,"")</f>
        <v>3</v>
      </c>
      <c r="EB23" s="28" t="n">
        <f aca="false">IF(ISNUMBER(AE23),4,"")</f>
        <v>4</v>
      </c>
      <c r="EC23" s="28" t="n">
        <f aca="false">IF(ISNUMBER(AI23),5,"")</f>
        <v>5</v>
      </c>
      <c r="ED23" s="28" t="n">
        <f aca="false">IF(ISNUMBER(AM23),6,"")</f>
        <v>6</v>
      </c>
      <c r="EE23" s="28" t="n">
        <f aca="false">IF(ISNUMBER(AQ23),7,"")</f>
        <v>7</v>
      </c>
      <c r="EF23" s="28" t="n">
        <f aca="false">IF(ISNUMBER(AU23),8,"")</f>
        <v>8</v>
      </c>
      <c r="EG23" s="28" t="n">
        <f aca="false">IF(ISNUMBER(AY23),9,"")</f>
        <v>9</v>
      </c>
      <c r="EH23" s="28" t="n">
        <f aca="false">IF(ISNUMBER(BC23),10,"")</f>
        <v>10</v>
      </c>
      <c r="EI23" s="28" t="str">
        <f aca="false">IF(ISNUMBER(BG23),11,"")</f>
        <v/>
      </c>
      <c r="EJ23" s="28" t="str">
        <f aca="false">IF(ISNUMBER(BK23),12,"")</f>
        <v/>
      </c>
      <c r="EK23" s="28" t="str">
        <f aca="false">IF(ISNUMBER(BO23),13,"")</f>
        <v/>
      </c>
      <c r="EL23" s="28" t="str">
        <f aca="false">IF(ISNUMBER(BS23),14,"")</f>
        <v/>
      </c>
      <c r="EM23" s="28" t="n">
        <f aca="false">IF(ISNUMBER(R23),R23*CW23,0)</f>
        <v>70</v>
      </c>
      <c r="EN23" s="28" t="n">
        <f aca="false">IF(ISNUMBER(V23),V23*CX23,0)</f>
        <v>55</v>
      </c>
      <c r="EO23" s="28" t="n">
        <f aca="false">IF(ISNUMBER(Z23),Z23*CY23,0)</f>
        <v>75</v>
      </c>
      <c r="EP23" s="28" t="n">
        <f aca="false">IF(ISNUMBER(AD23),AD23*CZ23,0)</f>
        <v>70</v>
      </c>
      <c r="EQ23" s="28" t="n">
        <f aca="false">IF(ISNUMBER(AH23),AH23*DA23,0)</f>
        <v>70</v>
      </c>
      <c r="ER23" s="28" t="n">
        <f aca="false">IF(ISNUMBER(AL23),AL23*DB23,0)</f>
        <v>130</v>
      </c>
      <c r="ES23" s="28" t="n">
        <f aca="false">IF(ISNUMBER(AP23),AP23*DC23,0)</f>
        <v>128</v>
      </c>
      <c r="ET23" s="28" t="n">
        <f aca="false">IF(ISNUMBER(AT23),AT23*DD23,0)</f>
        <v>76</v>
      </c>
      <c r="EU23" s="28" t="n">
        <f aca="false">IF(ISNUMBER(AX23),AX23*DE23,0)</f>
        <v>50</v>
      </c>
      <c r="EV23" s="28" t="n">
        <f aca="false">IF(ISNUMBER(BB23),BB23*DF23,0)</f>
        <v>56.6666666666667</v>
      </c>
      <c r="EW23" s="28" t="n">
        <f aca="false">IF(ISNUMBER(BF23),BF23*DG23,0)</f>
        <v>0</v>
      </c>
      <c r="EX23" s="28" t="n">
        <f aca="false">IF(ISNUMBER(BJ23),BJ23*DH23,0)</f>
        <v>0</v>
      </c>
      <c r="EY23" s="28" t="n">
        <f aca="false">IF(ISNUMBER(BN23),BN23*DI23,0)</f>
        <v>0</v>
      </c>
      <c r="EZ23" s="28" t="n">
        <f aca="false">IF(ISNUMBER(BR23),BR23*DJ23,0)</f>
        <v>0</v>
      </c>
      <c r="FA23" s="28" t="n">
        <f aca="false">IF(ISNUMBER(R23),CW23,0)</f>
        <v>1</v>
      </c>
      <c r="FB23" s="28" t="n">
        <f aca="false">IF(ISNUMBER(V23),CX23,0)</f>
        <v>1</v>
      </c>
      <c r="FC23" s="28" t="n">
        <f aca="false">IF(ISNUMBER(Z23),CY23,0)</f>
        <v>1</v>
      </c>
      <c r="FD23" s="28" t="n">
        <f aca="false">IF(ISNUMBER(AD23),CZ23,0)</f>
        <v>1</v>
      </c>
      <c r="FE23" s="28" t="n">
        <f aca="false">IF(ISNUMBER(AH23),DA23,0)</f>
        <v>1</v>
      </c>
      <c r="FF23" s="28" t="n">
        <f aca="false">IF(ISNUMBER(AL23),DB23,0)</f>
        <v>2</v>
      </c>
      <c r="FG23" s="28" t="n">
        <f aca="false">IF(ISNUMBER(AP23),DC23,0)</f>
        <v>2</v>
      </c>
      <c r="FH23" s="28" t="n">
        <f aca="false">IF(ISNUMBER(AT23),DD23,0)</f>
        <v>1</v>
      </c>
      <c r="FI23" s="28" t="n">
        <f aca="false">IF(ISNUMBER(AX23),DE23,0)</f>
        <v>1</v>
      </c>
      <c r="FJ23" s="28" t="n">
        <f aca="false">IF(ISNUMBER(BB23),DF23,0)</f>
        <v>1</v>
      </c>
      <c r="FK23" s="28" t="n">
        <f aca="false">IF(ISNUMBER(BF23),DG23,0)</f>
        <v>0</v>
      </c>
      <c r="FL23" s="28" t="n">
        <f aca="false">IF(ISNUMBER(BJ23),DH23,0)</f>
        <v>0</v>
      </c>
      <c r="FM23" s="28" t="n">
        <f aca="false">IF(ISNUMBER(BN23),DI23,0)</f>
        <v>0</v>
      </c>
      <c r="FN23" s="28" t="n">
        <f aca="false">IF(ISNUMBER(BR23),DJ23,0)</f>
        <v>0</v>
      </c>
      <c r="FO23" s="28" t="str">
        <f aca="false">IFERROR(INDEX(Lists!$G$2:$G$20,MATCH($I23&amp;"|"&amp;$J23,Lists!$F$2:$F$20,0)),"")</f>
        <v>Geog Overall HL</v>
      </c>
    </row>
    <row r="24" customFormat="false" ht="19.5" hidden="false" customHeight="true" outlineLevel="0" collapsed="false">
      <c r="A24" s="29" t="s">
        <v>180</v>
      </c>
      <c r="B24" s="29" t="s">
        <v>181</v>
      </c>
      <c r="C24" s="30" t="s">
        <v>152</v>
      </c>
      <c r="D24" s="30" t="s">
        <v>177</v>
      </c>
      <c r="E24" s="31" t="n">
        <v>5.7</v>
      </c>
      <c r="F24" s="30" t="n">
        <v>6</v>
      </c>
      <c r="G24" s="30" t="s">
        <v>154</v>
      </c>
      <c r="H24" s="32" t="s">
        <v>23</v>
      </c>
      <c r="I24" s="33" t="s">
        <v>24</v>
      </c>
      <c r="J24" s="32" t="s">
        <v>25</v>
      </c>
      <c r="K24" s="34" t="n">
        <f aca="false">IF(OR(M24="",$E24=""),"",M24-$E24)</f>
        <v>-0.7</v>
      </c>
      <c r="L24" s="35" t="n">
        <f aca="false">IF(SUM(FA24:FN24)=0,"",SUM(EM24:EZ24)/SUM(FA24:FN24))</f>
        <v>57.4027777777778</v>
      </c>
      <c r="M24" s="36" t="n">
        <f aca="false">IF(OR(L24="",FO24=""),"",IFERROR(MATCH(L24,INDEX(Boundaries!$B$2:$I$30,MATCH(FO24,Boundaries!$A$2:$A$30,0),0),1)-1,""))</f>
        <v>5</v>
      </c>
      <c r="N24" s="37" t="n">
        <f aca="false">IF(COUNT($DY24:$EL24)&lt;2,"",INDEX($DK24:$DX24,MAX($DY24:$EL24))-INDEX($DK24:$DX24,MIN($DY24:$EL24)))</f>
        <v>-1</v>
      </c>
      <c r="O24" s="37" t="n">
        <f aca="false">IF(COUNT($DY24:$EL24)&lt;2,"",INDEX($DK24:$DX24,MAX($DY24:$EL24))-INDEX($DK24:$DX24,LARGE($DY24:$EL24,2)))</f>
        <v>1</v>
      </c>
      <c r="P24" s="38" t="str">
        <f aca="false">IF(K24="","",IF(K24&gt;=0,"On/above target",IF(AND(N24&lt;&gt;"",N24&gt;=0.5),"Improving towards target",IF(AND(O24&lt;&gt;"",O24&lt;=-0.5),"Declining","Stable below target"))))</f>
        <v>Stable below target</v>
      </c>
      <c r="Q24" s="39" t="n">
        <v>12</v>
      </c>
      <c r="R24" s="40" t="n">
        <f aca="false">IF(OR(Q24="",BU24=""),"",Q24/BU24*100)</f>
        <v>60</v>
      </c>
      <c r="S24" s="41" t="n">
        <f aca="false">IF(R24="","",IFERROR(MATCH(R24,INDEX(Boundaries!$B$2:$I$30,MATCH(CI24,Boundaries!$A$2:$A$30,0),0),1)-1,""))</f>
        <v>5</v>
      </c>
      <c r="T24" s="42" t="n">
        <f aca="false">IF(OR(S24="",$E24=""),"",S24-$E24)</f>
        <v>-0.7</v>
      </c>
      <c r="U24" s="39" t="n">
        <v>12</v>
      </c>
      <c r="V24" s="40" t="n">
        <f aca="false">IF(OR(U24="",BV24=""),"",U24/BV24*100)</f>
        <v>60</v>
      </c>
      <c r="W24" s="41" t="n">
        <f aca="false">IF(V24="","",IFERROR(MATCH(V24,INDEX(Boundaries!$B$2:$I$30,MATCH(CJ24,Boundaries!$A$2:$A$30,0),0),1)-1,""))</f>
        <v>5</v>
      </c>
      <c r="X24" s="42" t="n">
        <f aca="false">IF(OR(W24="",$E24=""),"",W24-$E24)</f>
        <v>-0.7</v>
      </c>
      <c r="Y24" s="39" t="n">
        <v>16</v>
      </c>
      <c r="Z24" s="40" t="n">
        <f aca="false">IF(OR(Y24="",BW24=""),"",Y24/BW24*100)</f>
        <v>80</v>
      </c>
      <c r="AA24" s="41" t="n">
        <f aca="false">IF(Z24="","",IFERROR(MATCH(Z24,INDEX(Boundaries!$B$2:$I$30,MATCH(CK24,Boundaries!$A$2:$A$30,0),0),1)-1,""))</f>
        <v>7</v>
      </c>
      <c r="AB24" s="42" t="n">
        <f aca="false">IF(OR(AA24="",$E24=""),"",AA24-$E24)</f>
        <v>1.3</v>
      </c>
      <c r="AC24" s="39" t="n">
        <v>8</v>
      </c>
      <c r="AD24" s="40" t="n">
        <f aca="false">IF(OR(AC24="",BX24=""),"",AC24/BX24*100)</f>
        <v>40</v>
      </c>
      <c r="AE24" s="41" t="n">
        <f aca="false">IF(AD24="","",IFERROR(MATCH(AD24,INDEX(Boundaries!$B$2:$I$30,MATCH(CL24,Boundaries!$A$2:$A$30,0),0),1)-1,""))</f>
        <v>3</v>
      </c>
      <c r="AF24" s="42" t="n">
        <f aca="false">IF(OR(AE24="",$E24=""),"",AE24-$E24)</f>
        <v>-2.7</v>
      </c>
      <c r="AG24" s="39" t="n">
        <v>15</v>
      </c>
      <c r="AH24" s="40" t="n">
        <f aca="false">IF(OR(AG24="",BY24=""),"",AG24/BY24*100)</f>
        <v>75</v>
      </c>
      <c r="AI24" s="41" t="n">
        <f aca="false">IF(AH24="","",IFERROR(MATCH(AH24,INDEX(Boundaries!$B$2:$I$30,MATCH(CM24,Boundaries!$A$2:$A$30,0),0),1)-1,""))</f>
        <v>7</v>
      </c>
      <c r="AJ24" s="42" t="n">
        <f aca="false">IF(OR(AI24="",$E24=""),"",AI24-$E24)</f>
        <v>1.3</v>
      </c>
      <c r="AK24" s="39" t="n">
        <v>25</v>
      </c>
      <c r="AL24" s="40" t="n">
        <f aca="false">IF(OR(AK24="",BZ24=""),"",AK24/BZ24*100)</f>
        <v>62.5</v>
      </c>
      <c r="AM24" s="41" t="n">
        <f aca="false">IF(AL24="","",IFERROR(MATCH(AL24,INDEX(Boundaries!$B$2:$I$30,MATCH(CN24,Boundaries!$A$2:$A$30,0),0),1)-1,""))</f>
        <v>6</v>
      </c>
      <c r="AN24" s="42" t="n">
        <f aca="false">IF(OR(AM24="",$E24=""),"",AM24-$E24)</f>
        <v>0.3</v>
      </c>
      <c r="AO24" s="39" t="n">
        <v>25</v>
      </c>
      <c r="AP24" s="40" t="n">
        <f aca="false">IF(OR(AO24="",CA24=""),"",AO24/CA24*100)</f>
        <v>50</v>
      </c>
      <c r="AQ24" s="41" t="n">
        <f aca="false">IF(AP24="","",IFERROR(MATCH(AP24,INDEX(Boundaries!$B$2:$I$30,MATCH(CO24,Boundaries!$A$2:$A$30,0),0),1)-1,""))</f>
        <v>4</v>
      </c>
      <c r="AR24" s="42" t="n">
        <f aca="false">IF(OR(AQ24="",$E24=""),"",AQ24-$E24)</f>
        <v>-1.7</v>
      </c>
      <c r="AS24" s="39" t="n">
        <v>17</v>
      </c>
      <c r="AT24" s="40" t="n">
        <f aca="false">IF(OR(AS24="",CB24=""),"",AS24/CB24*100)</f>
        <v>68</v>
      </c>
      <c r="AU24" s="41" t="n">
        <f aca="false">IF(AT24="","",IFERROR(MATCH(AT24,INDEX(Boundaries!$B$2:$I$30,MATCH(CP24,Boundaries!$A$2:$A$30,0),0),1)-1,""))</f>
        <v>6</v>
      </c>
      <c r="AV24" s="42" t="n">
        <f aca="false">IF(OR(AU24="",$E24=""),"",AU24-$E24)</f>
        <v>0.3</v>
      </c>
      <c r="AW24" s="39" t="n">
        <v>6</v>
      </c>
      <c r="AX24" s="40" t="n">
        <f aca="false">IF(OR(AW24="",CC24=""),"",AW24/CC24*100)</f>
        <v>37.5</v>
      </c>
      <c r="AY24" s="41" t="n">
        <f aca="false">IF(AX24="","",IFERROR(MATCH(AX24,INDEX(Boundaries!$B$2:$I$30,MATCH(CQ24,Boundaries!$A$2:$A$30,0),0),1)-1,""))</f>
        <v>3</v>
      </c>
      <c r="AZ24" s="42" t="n">
        <f aca="false">IF(OR(AY24="",$E24=""),"",AY24-$E24)</f>
        <v>-2.7</v>
      </c>
      <c r="BA24" s="39" t="n">
        <v>13</v>
      </c>
      <c r="BB24" s="40" t="n">
        <f aca="false">IF(OR(BA24="",CD24=""),"",BA24/CD24*100)</f>
        <v>43.3333333333333</v>
      </c>
      <c r="BC24" s="41" t="n">
        <f aca="false">IF(BB24="","",IFERROR(MATCH(BB24,INDEX(Boundaries!$B$2:$I$30,MATCH(CR24,Boundaries!$A$2:$A$30,0),0),1)-1,""))</f>
        <v>4</v>
      </c>
      <c r="BD24" s="42" t="n">
        <f aca="false">IF(OR(BC24="",$E24=""),"",BC24-$E24)</f>
        <v>-1.7</v>
      </c>
      <c r="BE24" s="39"/>
      <c r="BF24" s="40" t="str">
        <f aca="false">IF(OR(BE24="",CE24=""),"",BE24/CE24*100)</f>
        <v/>
      </c>
      <c r="BG24" s="41" t="str">
        <f aca="false">IF(BF24="","",IFERROR(MATCH(BF24,INDEX(Boundaries!$B$2:$I$30,MATCH(CS24,Boundaries!$A$2:$A$30,0),0),1)-1,""))</f>
        <v/>
      </c>
      <c r="BH24" s="42" t="str">
        <f aca="false">IF(OR(BG24="",$E24=""),"",BG24-$E24)</f>
        <v/>
      </c>
      <c r="BI24" s="39"/>
      <c r="BJ24" s="40" t="str">
        <f aca="false">IF(OR(BI24="",CF24=""),"",BI24/CF24*100)</f>
        <v/>
      </c>
      <c r="BK24" s="41" t="str">
        <f aca="false">IF(BJ24="","",IFERROR(MATCH(BJ24,INDEX(Boundaries!$B$2:$I$30,MATCH(CT24,Boundaries!$A$2:$A$30,0),0),1)-1,""))</f>
        <v/>
      </c>
      <c r="BL24" s="42" t="str">
        <f aca="false">IF(OR(BK24="",$E24=""),"",BK24-$E24)</f>
        <v/>
      </c>
      <c r="BM24" s="39"/>
      <c r="BN24" s="40" t="str">
        <f aca="false">IF(OR(BM24="",CG24=""),"",BM24/CG24*100)</f>
        <v/>
      </c>
      <c r="BO24" s="41" t="str">
        <f aca="false">IF(BN24="","",IFERROR(MATCH(BN24,INDEX(Boundaries!$B$2:$I$30,MATCH(CU24,Boundaries!$A$2:$A$30,0),0),1)-1,""))</f>
        <v/>
      </c>
      <c r="BP24" s="42" t="str">
        <f aca="false">IF(OR(BO24="",$E24=""),"",BO24-$E24)</f>
        <v/>
      </c>
      <c r="BQ24" s="39"/>
      <c r="BR24" s="40" t="str">
        <f aca="false">IF(OR(BQ24="",CH24=""),"",BQ24/CH24*100)</f>
        <v/>
      </c>
      <c r="BS24" s="41" t="str">
        <f aca="false">IF(BR24="","",IFERROR(MATCH(BR24,INDEX(Boundaries!$B$2:$I$30,MATCH(CV24,Boundaries!$A$2:$A$30,0),0),1)-1,""))</f>
        <v/>
      </c>
      <c r="BT24" s="42" t="str">
        <f aca="false">IF(OR(BS24="",$E24=""),"",BS24-$E24)</f>
        <v/>
      </c>
      <c r="BU24" s="28" t="n">
        <f aca="false">IFERROR(INDEX(Assessments!$H$2:$H$600,MATCH($H24&amp;"|"&amp;$I24&amp;"|"&amp;$J24&amp;"|"&amp;1,Assessments!$A$2:$A$600,0)),"")</f>
        <v>20</v>
      </c>
      <c r="BV24" s="28" t="n">
        <f aca="false">IFERROR(INDEX(Assessments!$H$2:$H$600,MATCH($H24&amp;"|"&amp;$I24&amp;"|"&amp;$J24&amp;"|"&amp;2,Assessments!$A$2:$A$600,0)),"")</f>
        <v>20</v>
      </c>
      <c r="BW24" s="28" t="n">
        <f aca="false">IFERROR(INDEX(Assessments!$H$2:$H$600,MATCH($H24&amp;"|"&amp;$I24&amp;"|"&amp;$J24&amp;"|"&amp;3,Assessments!$A$2:$A$600,0)),"")</f>
        <v>20</v>
      </c>
      <c r="BX24" s="28" t="n">
        <f aca="false">IFERROR(INDEX(Assessments!$H$2:$H$600,MATCH($H24&amp;"|"&amp;$I24&amp;"|"&amp;$J24&amp;"|"&amp;4,Assessments!$A$2:$A$600,0)),"")</f>
        <v>20</v>
      </c>
      <c r="BY24" s="28" t="n">
        <f aca="false">IFERROR(INDEX(Assessments!$H$2:$H$600,MATCH($H24&amp;"|"&amp;$I24&amp;"|"&amp;$J24&amp;"|"&amp;5,Assessments!$A$2:$A$600,0)),"")</f>
        <v>20</v>
      </c>
      <c r="BZ24" s="28" t="n">
        <f aca="false">IFERROR(INDEX(Assessments!$H$2:$H$600,MATCH($H24&amp;"|"&amp;$I24&amp;"|"&amp;$J24&amp;"|"&amp;6,Assessments!$A$2:$A$600,0)),"")</f>
        <v>40</v>
      </c>
      <c r="CA24" s="28" t="n">
        <f aca="false">IFERROR(INDEX(Assessments!$H$2:$H$600,MATCH($H24&amp;"|"&amp;$I24&amp;"|"&amp;$J24&amp;"|"&amp;7,Assessments!$A$2:$A$600,0)),"")</f>
        <v>50</v>
      </c>
      <c r="CB24" s="28" t="n">
        <f aca="false">IFERROR(INDEX(Assessments!$H$2:$H$600,MATCH($H24&amp;"|"&amp;$I24&amp;"|"&amp;$J24&amp;"|"&amp;8,Assessments!$A$2:$A$600,0)),"")</f>
        <v>25</v>
      </c>
      <c r="CC24" s="28" t="n">
        <f aca="false">IFERROR(INDEX(Assessments!$H$2:$H$600,MATCH($H24&amp;"|"&amp;$I24&amp;"|"&amp;$J24&amp;"|"&amp;9,Assessments!$A$2:$A$600,0)),"")</f>
        <v>16</v>
      </c>
      <c r="CD24" s="28" t="n">
        <f aca="false">IFERROR(INDEX(Assessments!$H$2:$H$600,MATCH($H24&amp;"|"&amp;$I24&amp;"|"&amp;$J24&amp;"|"&amp;10,Assessments!$A$2:$A$600,0)),"")</f>
        <v>30</v>
      </c>
      <c r="CE24" s="28" t="str">
        <f aca="false">IFERROR(INDEX(Assessments!$H$2:$H$600,MATCH($H24&amp;"|"&amp;$I24&amp;"|"&amp;$J24&amp;"|"&amp;11,Assessments!$A$2:$A$600,0)),"")</f>
        <v/>
      </c>
      <c r="CF24" s="28" t="str">
        <f aca="false">IFERROR(INDEX(Assessments!$H$2:$H$600,MATCH($H24&amp;"|"&amp;$I24&amp;"|"&amp;$J24&amp;"|"&amp;12,Assessments!$A$2:$A$600,0)),"")</f>
        <v/>
      </c>
      <c r="CG24" s="28" t="str">
        <f aca="false">IFERROR(INDEX(Assessments!$H$2:$H$600,MATCH($H24&amp;"|"&amp;$I24&amp;"|"&amp;$J24&amp;"|"&amp;13,Assessments!$A$2:$A$600,0)),"")</f>
        <v/>
      </c>
      <c r="CH24" s="28" t="str">
        <f aca="false">IFERROR(INDEX(Assessments!$H$2:$H$600,MATCH($H24&amp;"|"&amp;$I24&amp;"|"&amp;$J24&amp;"|"&amp;14,Assessments!$A$2:$A$600,0)),"")</f>
        <v/>
      </c>
      <c r="CI24" s="28" t="str">
        <f aca="false">IFERROR(INDEX(Assessments!$I$2:$I$600,MATCH($H24&amp;"|"&amp;$I24&amp;"|"&amp;$J24&amp;"|"&amp;1,Assessments!$A$2:$A$600,0)),"")</f>
        <v>Geog Paper 1</v>
      </c>
      <c r="CJ24" s="28" t="str">
        <f aca="false">IFERROR(INDEX(Assessments!$I$2:$I$600,MATCH($H24&amp;"|"&amp;$I24&amp;"|"&amp;$J24&amp;"|"&amp;2,Assessments!$A$2:$A$600,0)),"")</f>
        <v>Geog Paper 1</v>
      </c>
      <c r="CK24" s="28" t="str">
        <f aca="false">IFERROR(INDEX(Assessments!$I$2:$I$600,MATCH($H24&amp;"|"&amp;$I24&amp;"|"&amp;$J24&amp;"|"&amp;3,Assessments!$A$2:$A$600,0)),"")</f>
        <v>Geog Paper 2</v>
      </c>
      <c r="CL24" s="28" t="str">
        <f aca="false">IFERROR(INDEX(Assessments!$I$2:$I$600,MATCH($H24&amp;"|"&amp;$I24&amp;"|"&amp;$J24&amp;"|"&amp;4,Assessments!$A$2:$A$600,0)),"")</f>
        <v>Geog Paper 1</v>
      </c>
      <c r="CM24" s="28" t="str">
        <f aca="false">IFERROR(INDEX(Assessments!$I$2:$I$600,MATCH($H24&amp;"|"&amp;$I24&amp;"|"&amp;$J24&amp;"|"&amp;5,Assessments!$A$2:$A$600,0)),"")</f>
        <v>Geog Paper 1</v>
      </c>
      <c r="CN24" s="28" t="str">
        <f aca="false">IFERROR(INDEX(Assessments!$I$2:$I$600,MATCH($H24&amp;"|"&amp;$I24&amp;"|"&amp;$J24&amp;"|"&amp;6,Assessments!$A$2:$A$600,0)),"")</f>
        <v>Geog Paper 1</v>
      </c>
      <c r="CO24" s="28" t="str">
        <f aca="false">IFERROR(INDEX(Assessments!$I$2:$I$600,MATCH($H24&amp;"|"&amp;$I24&amp;"|"&amp;$J24&amp;"|"&amp;7,Assessments!$A$2:$A$600,0)),"")</f>
        <v>Geog Paper 2</v>
      </c>
      <c r="CP24" s="28" t="str">
        <f aca="false">IFERROR(INDEX(Assessments!$I$2:$I$600,MATCH($H24&amp;"|"&amp;$I24&amp;"|"&amp;$J24&amp;"|"&amp;8,Assessments!$A$2:$A$600,0)),"")</f>
        <v>Geog Paper 2</v>
      </c>
      <c r="CQ24" s="28" t="str">
        <f aca="false">IFERROR(INDEX(Assessments!$I$2:$I$600,MATCH($H24&amp;"|"&amp;$I24&amp;"|"&amp;$J24&amp;"|"&amp;9,Assessments!$A$2:$A$600,0)),"")</f>
        <v>Geog Paper 3</v>
      </c>
      <c r="CR24" s="28" t="str">
        <f aca="false">IFERROR(INDEX(Assessments!$I$2:$I$600,MATCH($H24&amp;"|"&amp;$I24&amp;"|"&amp;$J24&amp;"|"&amp;10,Assessments!$A$2:$A$600,0)),"")</f>
        <v>Geog Paper 2</v>
      </c>
      <c r="CS24" s="28" t="str">
        <f aca="false">IFERROR(INDEX(Assessments!$I$2:$I$600,MATCH($H24&amp;"|"&amp;$I24&amp;"|"&amp;$J24&amp;"|"&amp;11,Assessments!$A$2:$A$600,0)),"")</f>
        <v/>
      </c>
      <c r="CT24" s="28" t="str">
        <f aca="false">IFERROR(INDEX(Assessments!$I$2:$I$600,MATCH($H24&amp;"|"&amp;$I24&amp;"|"&amp;$J24&amp;"|"&amp;12,Assessments!$A$2:$A$600,0)),"")</f>
        <v/>
      </c>
      <c r="CU24" s="28" t="str">
        <f aca="false">IFERROR(INDEX(Assessments!$I$2:$I$600,MATCH($H24&amp;"|"&amp;$I24&amp;"|"&amp;$J24&amp;"|"&amp;13,Assessments!$A$2:$A$600,0)),"")</f>
        <v/>
      </c>
      <c r="CV24" s="28" t="str">
        <f aca="false">IFERROR(INDEX(Assessments!$I$2:$I$600,MATCH($H24&amp;"|"&amp;$I24&amp;"|"&amp;$J24&amp;"|"&amp;14,Assessments!$A$2:$A$600,0)),"")</f>
        <v/>
      </c>
      <c r="CW24" s="28" t="n">
        <f aca="false">IFERROR(INDEX(Assessments!$J$2:$J$600,MATCH($H24&amp;"|"&amp;$I24&amp;"|"&amp;$J24&amp;"|"&amp;1,Assessments!$A$2:$A$600,0)),0)</f>
        <v>1</v>
      </c>
      <c r="CX24" s="28" t="n">
        <f aca="false">IFERROR(INDEX(Assessments!$J$2:$J$600,MATCH($H24&amp;"|"&amp;$I24&amp;"|"&amp;$J24&amp;"|"&amp;2,Assessments!$A$2:$A$600,0)),0)</f>
        <v>1</v>
      </c>
      <c r="CY24" s="28" t="n">
        <f aca="false">IFERROR(INDEX(Assessments!$J$2:$J$600,MATCH($H24&amp;"|"&amp;$I24&amp;"|"&amp;$J24&amp;"|"&amp;3,Assessments!$A$2:$A$600,0)),0)</f>
        <v>1</v>
      </c>
      <c r="CZ24" s="28" t="n">
        <f aca="false">IFERROR(INDEX(Assessments!$J$2:$J$600,MATCH($H24&amp;"|"&amp;$I24&amp;"|"&amp;$J24&amp;"|"&amp;4,Assessments!$A$2:$A$600,0)),0)</f>
        <v>1</v>
      </c>
      <c r="DA24" s="28" t="n">
        <f aca="false">IFERROR(INDEX(Assessments!$J$2:$J$600,MATCH($H24&amp;"|"&amp;$I24&amp;"|"&amp;$J24&amp;"|"&amp;5,Assessments!$A$2:$A$600,0)),0)</f>
        <v>1</v>
      </c>
      <c r="DB24" s="28" t="n">
        <f aca="false">IFERROR(INDEX(Assessments!$J$2:$J$600,MATCH($H24&amp;"|"&amp;$I24&amp;"|"&amp;$J24&amp;"|"&amp;6,Assessments!$A$2:$A$600,0)),0)</f>
        <v>2</v>
      </c>
      <c r="DC24" s="28" t="n">
        <f aca="false">IFERROR(INDEX(Assessments!$J$2:$J$600,MATCH($H24&amp;"|"&amp;$I24&amp;"|"&amp;$J24&amp;"|"&amp;7,Assessments!$A$2:$A$600,0)),0)</f>
        <v>2</v>
      </c>
      <c r="DD24" s="28" t="n">
        <f aca="false">IFERROR(INDEX(Assessments!$J$2:$J$600,MATCH($H24&amp;"|"&amp;$I24&amp;"|"&amp;$J24&amp;"|"&amp;8,Assessments!$A$2:$A$600,0)),0)</f>
        <v>1</v>
      </c>
      <c r="DE24" s="28" t="n">
        <f aca="false">IFERROR(INDEX(Assessments!$J$2:$J$600,MATCH($H24&amp;"|"&amp;$I24&amp;"|"&amp;$J24&amp;"|"&amp;9,Assessments!$A$2:$A$600,0)),0)</f>
        <v>1</v>
      </c>
      <c r="DF24" s="28" t="n">
        <f aca="false">IFERROR(INDEX(Assessments!$J$2:$J$600,MATCH($H24&amp;"|"&amp;$I24&amp;"|"&amp;$J24&amp;"|"&amp;10,Assessments!$A$2:$A$600,0)),0)</f>
        <v>1</v>
      </c>
      <c r="DG24" s="28" t="n">
        <f aca="false">IFERROR(INDEX(Assessments!$J$2:$J$600,MATCH($H24&amp;"|"&amp;$I24&amp;"|"&amp;$J24&amp;"|"&amp;11,Assessments!$A$2:$A$600,0)),0)</f>
        <v>0</v>
      </c>
      <c r="DH24" s="28" t="n">
        <f aca="false">IFERROR(INDEX(Assessments!$J$2:$J$600,MATCH($H24&amp;"|"&amp;$I24&amp;"|"&amp;$J24&amp;"|"&amp;12,Assessments!$A$2:$A$600,0)),0)</f>
        <v>0</v>
      </c>
      <c r="DI24" s="28" t="n">
        <f aca="false">IFERROR(INDEX(Assessments!$J$2:$J$600,MATCH($H24&amp;"|"&amp;$I24&amp;"|"&amp;$J24&amp;"|"&amp;13,Assessments!$A$2:$A$600,0)),0)</f>
        <v>0</v>
      </c>
      <c r="DJ24" s="28" t="n">
        <f aca="false">IFERROR(INDEX(Assessments!$J$2:$J$600,MATCH($H24&amp;"|"&amp;$I24&amp;"|"&amp;$J24&amp;"|"&amp;14,Assessments!$A$2:$A$600,0)),0)</f>
        <v>0</v>
      </c>
      <c r="DK24" s="28" t="n">
        <f aca="false">S24</f>
        <v>5</v>
      </c>
      <c r="DL24" s="28" t="n">
        <f aca="false">W24</f>
        <v>5</v>
      </c>
      <c r="DM24" s="28" t="n">
        <f aca="false">AA24</f>
        <v>7</v>
      </c>
      <c r="DN24" s="28" t="n">
        <f aca="false">AE24</f>
        <v>3</v>
      </c>
      <c r="DO24" s="28" t="n">
        <f aca="false">AI24</f>
        <v>7</v>
      </c>
      <c r="DP24" s="28" t="n">
        <f aca="false">AM24</f>
        <v>6</v>
      </c>
      <c r="DQ24" s="28" t="n">
        <f aca="false">AQ24</f>
        <v>4</v>
      </c>
      <c r="DR24" s="28" t="n">
        <f aca="false">AU24</f>
        <v>6</v>
      </c>
      <c r="DS24" s="28" t="n">
        <f aca="false">AY24</f>
        <v>3</v>
      </c>
      <c r="DT24" s="28" t="n">
        <f aca="false">BC24</f>
        <v>4</v>
      </c>
      <c r="DU24" s="28" t="str">
        <f aca="false">BG24</f>
        <v/>
      </c>
      <c r="DV24" s="28" t="str">
        <f aca="false">BK24</f>
        <v/>
      </c>
      <c r="DW24" s="28" t="str">
        <f aca="false">BO24</f>
        <v/>
      </c>
      <c r="DX24" s="28" t="str">
        <f aca="false">BS24</f>
        <v/>
      </c>
      <c r="DY24" s="28" t="n">
        <f aca="false">IF(ISNUMBER(S24),1,"")</f>
        <v>1</v>
      </c>
      <c r="DZ24" s="28" t="n">
        <f aca="false">IF(ISNUMBER(W24),2,"")</f>
        <v>2</v>
      </c>
      <c r="EA24" s="28" t="n">
        <f aca="false">IF(ISNUMBER(AA24),3,"")</f>
        <v>3</v>
      </c>
      <c r="EB24" s="28" t="n">
        <f aca="false">IF(ISNUMBER(AE24),4,"")</f>
        <v>4</v>
      </c>
      <c r="EC24" s="28" t="n">
        <f aca="false">IF(ISNUMBER(AI24),5,"")</f>
        <v>5</v>
      </c>
      <c r="ED24" s="28" t="n">
        <f aca="false">IF(ISNUMBER(AM24),6,"")</f>
        <v>6</v>
      </c>
      <c r="EE24" s="28" t="n">
        <f aca="false">IF(ISNUMBER(AQ24),7,"")</f>
        <v>7</v>
      </c>
      <c r="EF24" s="28" t="n">
        <f aca="false">IF(ISNUMBER(AU24),8,"")</f>
        <v>8</v>
      </c>
      <c r="EG24" s="28" t="n">
        <f aca="false">IF(ISNUMBER(AY24),9,"")</f>
        <v>9</v>
      </c>
      <c r="EH24" s="28" t="n">
        <f aca="false">IF(ISNUMBER(BC24),10,"")</f>
        <v>10</v>
      </c>
      <c r="EI24" s="28" t="str">
        <f aca="false">IF(ISNUMBER(BG24),11,"")</f>
        <v/>
      </c>
      <c r="EJ24" s="28" t="str">
        <f aca="false">IF(ISNUMBER(BK24),12,"")</f>
        <v/>
      </c>
      <c r="EK24" s="28" t="str">
        <f aca="false">IF(ISNUMBER(BO24),13,"")</f>
        <v/>
      </c>
      <c r="EL24" s="28" t="str">
        <f aca="false">IF(ISNUMBER(BS24),14,"")</f>
        <v/>
      </c>
      <c r="EM24" s="28" t="n">
        <f aca="false">IF(ISNUMBER(R24),R24*CW24,0)</f>
        <v>60</v>
      </c>
      <c r="EN24" s="28" t="n">
        <f aca="false">IF(ISNUMBER(V24),V24*CX24,0)</f>
        <v>60</v>
      </c>
      <c r="EO24" s="28" t="n">
        <f aca="false">IF(ISNUMBER(Z24),Z24*CY24,0)</f>
        <v>80</v>
      </c>
      <c r="EP24" s="28" t="n">
        <f aca="false">IF(ISNUMBER(AD24),AD24*CZ24,0)</f>
        <v>40</v>
      </c>
      <c r="EQ24" s="28" t="n">
        <f aca="false">IF(ISNUMBER(AH24),AH24*DA24,0)</f>
        <v>75</v>
      </c>
      <c r="ER24" s="28" t="n">
        <f aca="false">IF(ISNUMBER(AL24),AL24*DB24,0)</f>
        <v>125</v>
      </c>
      <c r="ES24" s="28" t="n">
        <f aca="false">IF(ISNUMBER(AP24),AP24*DC24,0)</f>
        <v>100</v>
      </c>
      <c r="ET24" s="28" t="n">
        <f aca="false">IF(ISNUMBER(AT24),AT24*DD24,0)</f>
        <v>68</v>
      </c>
      <c r="EU24" s="28" t="n">
        <f aca="false">IF(ISNUMBER(AX24),AX24*DE24,0)</f>
        <v>37.5</v>
      </c>
      <c r="EV24" s="28" t="n">
        <f aca="false">IF(ISNUMBER(BB24),BB24*DF24,0)</f>
        <v>43.3333333333333</v>
      </c>
      <c r="EW24" s="28" t="n">
        <f aca="false">IF(ISNUMBER(BF24),BF24*DG24,0)</f>
        <v>0</v>
      </c>
      <c r="EX24" s="28" t="n">
        <f aca="false">IF(ISNUMBER(BJ24),BJ24*DH24,0)</f>
        <v>0</v>
      </c>
      <c r="EY24" s="28" t="n">
        <f aca="false">IF(ISNUMBER(BN24),BN24*DI24,0)</f>
        <v>0</v>
      </c>
      <c r="EZ24" s="28" t="n">
        <f aca="false">IF(ISNUMBER(BR24),BR24*DJ24,0)</f>
        <v>0</v>
      </c>
      <c r="FA24" s="28" t="n">
        <f aca="false">IF(ISNUMBER(R24),CW24,0)</f>
        <v>1</v>
      </c>
      <c r="FB24" s="28" t="n">
        <f aca="false">IF(ISNUMBER(V24),CX24,0)</f>
        <v>1</v>
      </c>
      <c r="FC24" s="28" t="n">
        <f aca="false">IF(ISNUMBER(Z24),CY24,0)</f>
        <v>1</v>
      </c>
      <c r="FD24" s="28" t="n">
        <f aca="false">IF(ISNUMBER(AD24),CZ24,0)</f>
        <v>1</v>
      </c>
      <c r="FE24" s="28" t="n">
        <f aca="false">IF(ISNUMBER(AH24),DA24,0)</f>
        <v>1</v>
      </c>
      <c r="FF24" s="28" t="n">
        <f aca="false">IF(ISNUMBER(AL24),DB24,0)</f>
        <v>2</v>
      </c>
      <c r="FG24" s="28" t="n">
        <f aca="false">IF(ISNUMBER(AP24),DC24,0)</f>
        <v>2</v>
      </c>
      <c r="FH24" s="28" t="n">
        <f aca="false">IF(ISNUMBER(AT24),DD24,0)</f>
        <v>1</v>
      </c>
      <c r="FI24" s="28" t="n">
        <f aca="false">IF(ISNUMBER(AX24),DE24,0)</f>
        <v>1</v>
      </c>
      <c r="FJ24" s="28" t="n">
        <f aca="false">IF(ISNUMBER(BB24),DF24,0)</f>
        <v>1</v>
      </c>
      <c r="FK24" s="28" t="n">
        <f aca="false">IF(ISNUMBER(BF24),DG24,0)</f>
        <v>0</v>
      </c>
      <c r="FL24" s="28" t="n">
        <f aca="false">IF(ISNUMBER(BJ24),DH24,0)</f>
        <v>0</v>
      </c>
      <c r="FM24" s="28" t="n">
        <f aca="false">IF(ISNUMBER(BN24),DI24,0)</f>
        <v>0</v>
      </c>
      <c r="FN24" s="28" t="n">
        <f aca="false">IF(ISNUMBER(BR24),DJ24,0)</f>
        <v>0</v>
      </c>
      <c r="FO24" s="28" t="str">
        <f aca="false">IFERROR(INDEX(Lists!$G$2:$G$20,MATCH($I24&amp;"|"&amp;$J24,Lists!$F$2:$F$20,0)),"")</f>
        <v>Geog Overall HL</v>
      </c>
    </row>
    <row r="25" customFormat="false" ht="19.5" hidden="false" customHeight="true" outlineLevel="0" collapsed="false">
      <c r="A25" s="29" t="s">
        <v>182</v>
      </c>
      <c r="B25" s="29" t="s">
        <v>183</v>
      </c>
      <c r="C25" s="30" t="s">
        <v>152</v>
      </c>
      <c r="D25" s="30" t="s">
        <v>177</v>
      </c>
      <c r="E25" s="31" t="n">
        <v>5.5</v>
      </c>
      <c r="F25" s="30" t="n">
        <v>6</v>
      </c>
      <c r="G25" s="30"/>
      <c r="H25" s="32" t="s">
        <v>23</v>
      </c>
      <c r="I25" s="33" t="s">
        <v>24</v>
      </c>
      <c r="J25" s="32" t="s">
        <v>25</v>
      </c>
      <c r="K25" s="34" t="n">
        <f aca="false">IF(OR(M25="",$E25=""),"",M25-$E25)</f>
        <v>0.5</v>
      </c>
      <c r="L25" s="35" t="n">
        <f aca="false">IF(SUM(FA25:FN25)=0,"",SUM(EM25:EZ25)/SUM(FA25:FN25))</f>
        <v>72.7986111111111</v>
      </c>
      <c r="M25" s="36" t="n">
        <f aca="false">IF(OR(L25="",FO25=""),"",IFERROR(MATCH(L25,INDEX(Boundaries!$B$2:$I$30,MATCH(FO25,Boundaries!$A$2:$A$30,0),0),1)-1,""))</f>
        <v>6</v>
      </c>
      <c r="N25" s="37" t="n">
        <f aca="false">IF(COUNT($DY25:$EL25)&lt;2,"",INDEX($DK25:$DX25,MAX($DY25:$EL25))-INDEX($DK25:$DX25,MIN($DY25:$EL25)))</f>
        <v>-1</v>
      </c>
      <c r="O25" s="37" t="n">
        <f aca="false">IF(COUNT($DY25:$EL25)&lt;2,"",INDEX($DK25:$DX25,MAX($DY25:$EL25))-INDEX($DK25:$DX25,LARGE($DY25:$EL25,2)))</f>
        <v>2</v>
      </c>
      <c r="P25" s="38" t="str">
        <f aca="false">IF(K25="","",IF(K25&gt;=0,"On/above target",IF(AND(N25&lt;&gt;"",N25&gt;=0.5),"Improving towards target",IF(AND(O25&lt;&gt;"",O25&lt;=-0.5),"Declining","Stable below target"))))</f>
        <v>On/above target</v>
      </c>
      <c r="Q25" s="39" t="n">
        <v>15</v>
      </c>
      <c r="R25" s="40" t="n">
        <f aca="false">IF(OR(Q25="",BU25=""),"",Q25/BU25*100)</f>
        <v>75</v>
      </c>
      <c r="S25" s="41" t="n">
        <f aca="false">IF(R25="","",IFERROR(MATCH(R25,INDEX(Boundaries!$B$2:$I$30,MATCH(CI25,Boundaries!$A$2:$A$30,0),0),1)-1,""))</f>
        <v>7</v>
      </c>
      <c r="T25" s="42" t="n">
        <f aca="false">IF(OR(S25="",$E25=""),"",S25-$E25)</f>
        <v>1.5</v>
      </c>
      <c r="U25" s="39" t="n">
        <v>11</v>
      </c>
      <c r="V25" s="40" t="n">
        <f aca="false">IF(OR(U25="",BV25=""),"",U25/BV25*100)</f>
        <v>55</v>
      </c>
      <c r="W25" s="41" t="n">
        <f aca="false">IF(V25="","",IFERROR(MATCH(V25,INDEX(Boundaries!$B$2:$I$30,MATCH(CJ25,Boundaries!$A$2:$A$30,0),0),1)-1,""))</f>
        <v>5</v>
      </c>
      <c r="X25" s="42" t="n">
        <f aca="false">IF(OR(W25="",$E25=""),"",W25-$E25)</f>
        <v>-0.5</v>
      </c>
      <c r="Y25" s="39" t="n">
        <v>14</v>
      </c>
      <c r="Z25" s="40" t="n">
        <f aca="false">IF(OR(Y25="",BW25=""),"",Y25/BW25*100)</f>
        <v>70</v>
      </c>
      <c r="AA25" s="41" t="n">
        <f aca="false">IF(Z25="","",IFERROR(MATCH(Z25,INDEX(Boundaries!$B$2:$I$30,MATCH(CK25,Boundaries!$A$2:$A$30,0),0),1)-1,""))</f>
        <v>6</v>
      </c>
      <c r="AB25" s="42" t="n">
        <f aca="false">IF(OR(AA25="",$E25=""),"",AA25-$E25)</f>
        <v>0.5</v>
      </c>
      <c r="AC25" s="39" t="n">
        <v>16</v>
      </c>
      <c r="AD25" s="40" t="n">
        <f aca="false">IF(OR(AC25="",BX25=""),"",AC25/BX25*100)</f>
        <v>80</v>
      </c>
      <c r="AE25" s="41" t="n">
        <f aca="false">IF(AD25="","",IFERROR(MATCH(AD25,INDEX(Boundaries!$B$2:$I$30,MATCH(CL25,Boundaries!$A$2:$A$30,0),0),1)-1,""))</f>
        <v>7</v>
      </c>
      <c r="AF25" s="42" t="n">
        <f aca="false">IF(OR(AE25="",$E25=""),"",AE25-$E25)</f>
        <v>1.5</v>
      </c>
      <c r="AG25" s="39" t="n">
        <v>16</v>
      </c>
      <c r="AH25" s="40" t="n">
        <f aca="false">IF(OR(AG25="",BY25=""),"",AG25/BY25*100)</f>
        <v>80</v>
      </c>
      <c r="AI25" s="41" t="n">
        <f aca="false">IF(AH25="","",IFERROR(MATCH(AH25,INDEX(Boundaries!$B$2:$I$30,MATCH(CM25,Boundaries!$A$2:$A$30,0),0),1)-1,""))</f>
        <v>7</v>
      </c>
      <c r="AJ25" s="42" t="n">
        <f aca="false">IF(OR(AI25="",$E25=""),"",AI25-$E25)</f>
        <v>1.5</v>
      </c>
      <c r="AK25" s="39" t="n">
        <v>36</v>
      </c>
      <c r="AL25" s="40" t="n">
        <f aca="false">IF(OR(AK25="",BZ25=""),"",AK25/BZ25*100)</f>
        <v>90</v>
      </c>
      <c r="AM25" s="41" t="n">
        <f aca="false">IF(AL25="","",IFERROR(MATCH(AL25,INDEX(Boundaries!$B$2:$I$30,MATCH(CN25,Boundaries!$A$2:$A$30,0),0),1)-1,""))</f>
        <v>7</v>
      </c>
      <c r="AN25" s="42" t="n">
        <f aca="false">IF(OR(AM25="",$E25=""),"",AM25-$E25)</f>
        <v>1.5</v>
      </c>
      <c r="AO25" s="39" t="n">
        <v>36</v>
      </c>
      <c r="AP25" s="40" t="n">
        <f aca="false">IF(OR(AO25="",CA25=""),"",AO25/CA25*100)</f>
        <v>72</v>
      </c>
      <c r="AQ25" s="41" t="n">
        <f aca="false">IF(AP25="","",IFERROR(MATCH(AP25,INDEX(Boundaries!$B$2:$I$30,MATCH(CO25,Boundaries!$A$2:$A$30,0),0),1)-1,""))</f>
        <v>6</v>
      </c>
      <c r="AR25" s="42" t="n">
        <f aca="false">IF(OR(AQ25="",$E25=""),"",AQ25-$E25)</f>
        <v>0.5</v>
      </c>
      <c r="AS25" s="39" t="n">
        <v>15</v>
      </c>
      <c r="AT25" s="40" t="n">
        <f aca="false">IF(OR(AS25="",CB25=""),"",AS25/CB25*100)</f>
        <v>60</v>
      </c>
      <c r="AU25" s="41" t="n">
        <f aca="false">IF(AT25="","",IFERROR(MATCH(AT25,INDEX(Boundaries!$B$2:$I$30,MATCH(CP25,Boundaries!$A$2:$A$30,0),0),1)-1,""))</f>
        <v>5</v>
      </c>
      <c r="AV25" s="42" t="n">
        <f aca="false">IF(OR(AU25="",$E25=""),"",AU25-$E25)</f>
        <v>-0.5</v>
      </c>
      <c r="AW25" s="39" t="n">
        <v>9</v>
      </c>
      <c r="AX25" s="40" t="n">
        <f aca="false">IF(OR(AW25="",CC25=""),"",AW25/CC25*100)</f>
        <v>56.25</v>
      </c>
      <c r="AY25" s="41" t="n">
        <f aca="false">IF(AX25="","",IFERROR(MATCH(AX25,INDEX(Boundaries!$B$2:$I$30,MATCH(CQ25,Boundaries!$A$2:$A$30,0),0),1)-1,""))</f>
        <v>4</v>
      </c>
      <c r="AZ25" s="42" t="n">
        <f aca="false">IF(OR(AY25="",$E25=""),"",AY25-$E25)</f>
        <v>-1.5</v>
      </c>
      <c r="BA25" s="39" t="n">
        <v>22</v>
      </c>
      <c r="BB25" s="40" t="n">
        <f aca="false">IF(OR(BA25="",CD25=""),"",BA25/CD25*100)</f>
        <v>73.3333333333333</v>
      </c>
      <c r="BC25" s="41" t="n">
        <f aca="false">IF(BB25="","",IFERROR(MATCH(BB25,INDEX(Boundaries!$B$2:$I$30,MATCH(CR25,Boundaries!$A$2:$A$30,0),0),1)-1,""))</f>
        <v>6</v>
      </c>
      <c r="BD25" s="42" t="n">
        <f aca="false">IF(OR(BC25="",$E25=""),"",BC25-$E25)</f>
        <v>0.5</v>
      </c>
      <c r="BE25" s="39"/>
      <c r="BF25" s="40" t="str">
        <f aca="false">IF(OR(BE25="",CE25=""),"",BE25/CE25*100)</f>
        <v/>
      </c>
      <c r="BG25" s="41" t="str">
        <f aca="false">IF(BF25="","",IFERROR(MATCH(BF25,INDEX(Boundaries!$B$2:$I$30,MATCH(CS25,Boundaries!$A$2:$A$30,0),0),1)-1,""))</f>
        <v/>
      </c>
      <c r="BH25" s="42" t="str">
        <f aca="false">IF(OR(BG25="",$E25=""),"",BG25-$E25)</f>
        <v/>
      </c>
      <c r="BI25" s="39"/>
      <c r="BJ25" s="40" t="str">
        <f aca="false">IF(OR(BI25="",CF25=""),"",BI25/CF25*100)</f>
        <v/>
      </c>
      <c r="BK25" s="41" t="str">
        <f aca="false">IF(BJ25="","",IFERROR(MATCH(BJ25,INDEX(Boundaries!$B$2:$I$30,MATCH(CT25,Boundaries!$A$2:$A$30,0),0),1)-1,""))</f>
        <v/>
      </c>
      <c r="BL25" s="42" t="str">
        <f aca="false">IF(OR(BK25="",$E25=""),"",BK25-$E25)</f>
        <v/>
      </c>
      <c r="BM25" s="39"/>
      <c r="BN25" s="40" t="str">
        <f aca="false">IF(OR(BM25="",CG25=""),"",BM25/CG25*100)</f>
        <v/>
      </c>
      <c r="BO25" s="41" t="str">
        <f aca="false">IF(BN25="","",IFERROR(MATCH(BN25,INDEX(Boundaries!$B$2:$I$30,MATCH(CU25,Boundaries!$A$2:$A$30,0),0),1)-1,""))</f>
        <v/>
      </c>
      <c r="BP25" s="42" t="str">
        <f aca="false">IF(OR(BO25="",$E25=""),"",BO25-$E25)</f>
        <v/>
      </c>
      <c r="BQ25" s="39"/>
      <c r="BR25" s="40" t="str">
        <f aca="false">IF(OR(BQ25="",CH25=""),"",BQ25/CH25*100)</f>
        <v/>
      </c>
      <c r="BS25" s="41" t="str">
        <f aca="false">IF(BR25="","",IFERROR(MATCH(BR25,INDEX(Boundaries!$B$2:$I$30,MATCH(CV25,Boundaries!$A$2:$A$30,0),0),1)-1,""))</f>
        <v/>
      </c>
      <c r="BT25" s="42" t="str">
        <f aca="false">IF(OR(BS25="",$E25=""),"",BS25-$E25)</f>
        <v/>
      </c>
      <c r="BU25" s="28" t="n">
        <f aca="false">IFERROR(INDEX(Assessments!$H$2:$H$600,MATCH($H25&amp;"|"&amp;$I25&amp;"|"&amp;$J25&amp;"|"&amp;1,Assessments!$A$2:$A$600,0)),"")</f>
        <v>20</v>
      </c>
      <c r="BV25" s="28" t="n">
        <f aca="false">IFERROR(INDEX(Assessments!$H$2:$H$600,MATCH($H25&amp;"|"&amp;$I25&amp;"|"&amp;$J25&amp;"|"&amp;2,Assessments!$A$2:$A$600,0)),"")</f>
        <v>20</v>
      </c>
      <c r="BW25" s="28" t="n">
        <f aca="false">IFERROR(INDEX(Assessments!$H$2:$H$600,MATCH($H25&amp;"|"&amp;$I25&amp;"|"&amp;$J25&amp;"|"&amp;3,Assessments!$A$2:$A$600,0)),"")</f>
        <v>20</v>
      </c>
      <c r="BX25" s="28" t="n">
        <f aca="false">IFERROR(INDEX(Assessments!$H$2:$H$600,MATCH($H25&amp;"|"&amp;$I25&amp;"|"&amp;$J25&amp;"|"&amp;4,Assessments!$A$2:$A$600,0)),"")</f>
        <v>20</v>
      </c>
      <c r="BY25" s="28" t="n">
        <f aca="false">IFERROR(INDEX(Assessments!$H$2:$H$600,MATCH($H25&amp;"|"&amp;$I25&amp;"|"&amp;$J25&amp;"|"&amp;5,Assessments!$A$2:$A$600,0)),"")</f>
        <v>20</v>
      </c>
      <c r="BZ25" s="28" t="n">
        <f aca="false">IFERROR(INDEX(Assessments!$H$2:$H$600,MATCH($H25&amp;"|"&amp;$I25&amp;"|"&amp;$J25&amp;"|"&amp;6,Assessments!$A$2:$A$600,0)),"")</f>
        <v>40</v>
      </c>
      <c r="CA25" s="28" t="n">
        <f aca="false">IFERROR(INDEX(Assessments!$H$2:$H$600,MATCH($H25&amp;"|"&amp;$I25&amp;"|"&amp;$J25&amp;"|"&amp;7,Assessments!$A$2:$A$600,0)),"")</f>
        <v>50</v>
      </c>
      <c r="CB25" s="28" t="n">
        <f aca="false">IFERROR(INDEX(Assessments!$H$2:$H$600,MATCH($H25&amp;"|"&amp;$I25&amp;"|"&amp;$J25&amp;"|"&amp;8,Assessments!$A$2:$A$600,0)),"")</f>
        <v>25</v>
      </c>
      <c r="CC25" s="28" t="n">
        <f aca="false">IFERROR(INDEX(Assessments!$H$2:$H$600,MATCH($H25&amp;"|"&amp;$I25&amp;"|"&amp;$J25&amp;"|"&amp;9,Assessments!$A$2:$A$600,0)),"")</f>
        <v>16</v>
      </c>
      <c r="CD25" s="28" t="n">
        <f aca="false">IFERROR(INDEX(Assessments!$H$2:$H$600,MATCH($H25&amp;"|"&amp;$I25&amp;"|"&amp;$J25&amp;"|"&amp;10,Assessments!$A$2:$A$600,0)),"")</f>
        <v>30</v>
      </c>
      <c r="CE25" s="28" t="str">
        <f aca="false">IFERROR(INDEX(Assessments!$H$2:$H$600,MATCH($H25&amp;"|"&amp;$I25&amp;"|"&amp;$J25&amp;"|"&amp;11,Assessments!$A$2:$A$600,0)),"")</f>
        <v/>
      </c>
      <c r="CF25" s="28" t="str">
        <f aca="false">IFERROR(INDEX(Assessments!$H$2:$H$600,MATCH($H25&amp;"|"&amp;$I25&amp;"|"&amp;$J25&amp;"|"&amp;12,Assessments!$A$2:$A$600,0)),"")</f>
        <v/>
      </c>
      <c r="CG25" s="28" t="str">
        <f aca="false">IFERROR(INDEX(Assessments!$H$2:$H$600,MATCH($H25&amp;"|"&amp;$I25&amp;"|"&amp;$J25&amp;"|"&amp;13,Assessments!$A$2:$A$600,0)),"")</f>
        <v/>
      </c>
      <c r="CH25" s="28" t="str">
        <f aca="false">IFERROR(INDEX(Assessments!$H$2:$H$600,MATCH($H25&amp;"|"&amp;$I25&amp;"|"&amp;$J25&amp;"|"&amp;14,Assessments!$A$2:$A$600,0)),"")</f>
        <v/>
      </c>
      <c r="CI25" s="28" t="str">
        <f aca="false">IFERROR(INDEX(Assessments!$I$2:$I$600,MATCH($H25&amp;"|"&amp;$I25&amp;"|"&amp;$J25&amp;"|"&amp;1,Assessments!$A$2:$A$600,0)),"")</f>
        <v>Geog Paper 1</v>
      </c>
      <c r="CJ25" s="28" t="str">
        <f aca="false">IFERROR(INDEX(Assessments!$I$2:$I$600,MATCH($H25&amp;"|"&amp;$I25&amp;"|"&amp;$J25&amp;"|"&amp;2,Assessments!$A$2:$A$600,0)),"")</f>
        <v>Geog Paper 1</v>
      </c>
      <c r="CK25" s="28" t="str">
        <f aca="false">IFERROR(INDEX(Assessments!$I$2:$I$600,MATCH($H25&amp;"|"&amp;$I25&amp;"|"&amp;$J25&amp;"|"&amp;3,Assessments!$A$2:$A$600,0)),"")</f>
        <v>Geog Paper 2</v>
      </c>
      <c r="CL25" s="28" t="str">
        <f aca="false">IFERROR(INDEX(Assessments!$I$2:$I$600,MATCH($H25&amp;"|"&amp;$I25&amp;"|"&amp;$J25&amp;"|"&amp;4,Assessments!$A$2:$A$600,0)),"")</f>
        <v>Geog Paper 1</v>
      </c>
      <c r="CM25" s="28" t="str">
        <f aca="false">IFERROR(INDEX(Assessments!$I$2:$I$600,MATCH($H25&amp;"|"&amp;$I25&amp;"|"&amp;$J25&amp;"|"&amp;5,Assessments!$A$2:$A$600,0)),"")</f>
        <v>Geog Paper 1</v>
      </c>
      <c r="CN25" s="28" t="str">
        <f aca="false">IFERROR(INDEX(Assessments!$I$2:$I$600,MATCH($H25&amp;"|"&amp;$I25&amp;"|"&amp;$J25&amp;"|"&amp;6,Assessments!$A$2:$A$600,0)),"")</f>
        <v>Geog Paper 1</v>
      </c>
      <c r="CO25" s="28" t="str">
        <f aca="false">IFERROR(INDEX(Assessments!$I$2:$I$600,MATCH($H25&amp;"|"&amp;$I25&amp;"|"&amp;$J25&amp;"|"&amp;7,Assessments!$A$2:$A$600,0)),"")</f>
        <v>Geog Paper 2</v>
      </c>
      <c r="CP25" s="28" t="str">
        <f aca="false">IFERROR(INDEX(Assessments!$I$2:$I$600,MATCH($H25&amp;"|"&amp;$I25&amp;"|"&amp;$J25&amp;"|"&amp;8,Assessments!$A$2:$A$600,0)),"")</f>
        <v>Geog Paper 2</v>
      </c>
      <c r="CQ25" s="28" t="str">
        <f aca="false">IFERROR(INDEX(Assessments!$I$2:$I$600,MATCH($H25&amp;"|"&amp;$I25&amp;"|"&amp;$J25&amp;"|"&amp;9,Assessments!$A$2:$A$600,0)),"")</f>
        <v>Geog Paper 3</v>
      </c>
      <c r="CR25" s="28" t="str">
        <f aca="false">IFERROR(INDEX(Assessments!$I$2:$I$600,MATCH($H25&amp;"|"&amp;$I25&amp;"|"&amp;$J25&amp;"|"&amp;10,Assessments!$A$2:$A$600,0)),"")</f>
        <v>Geog Paper 2</v>
      </c>
      <c r="CS25" s="28" t="str">
        <f aca="false">IFERROR(INDEX(Assessments!$I$2:$I$600,MATCH($H25&amp;"|"&amp;$I25&amp;"|"&amp;$J25&amp;"|"&amp;11,Assessments!$A$2:$A$600,0)),"")</f>
        <v/>
      </c>
      <c r="CT25" s="28" t="str">
        <f aca="false">IFERROR(INDEX(Assessments!$I$2:$I$600,MATCH($H25&amp;"|"&amp;$I25&amp;"|"&amp;$J25&amp;"|"&amp;12,Assessments!$A$2:$A$600,0)),"")</f>
        <v/>
      </c>
      <c r="CU25" s="28" t="str">
        <f aca="false">IFERROR(INDEX(Assessments!$I$2:$I$600,MATCH($H25&amp;"|"&amp;$I25&amp;"|"&amp;$J25&amp;"|"&amp;13,Assessments!$A$2:$A$600,0)),"")</f>
        <v/>
      </c>
      <c r="CV25" s="28" t="str">
        <f aca="false">IFERROR(INDEX(Assessments!$I$2:$I$600,MATCH($H25&amp;"|"&amp;$I25&amp;"|"&amp;$J25&amp;"|"&amp;14,Assessments!$A$2:$A$600,0)),"")</f>
        <v/>
      </c>
      <c r="CW25" s="28" t="n">
        <f aca="false">IFERROR(INDEX(Assessments!$J$2:$J$600,MATCH($H25&amp;"|"&amp;$I25&amp;"|"&amp;$J25&amp;"|"&amp;1,Assessments!$A$2:$A$600,0)),0)</f>
        <v>1</v>
      </c>
      <c r="CX25" s="28" t="n">
        <f aca="false">IFERROR(INDEX(Assessments!$J$2:$J$600,MATCH($H25&amp;"|"&amp;$I25&amp;"|"&amp;$J25&amp;"|"&amp;2,Assessments!$A$2:$A$600,0)),0)</f>
        <v>1</v>
      </c>
      <c r="CY25" s="28" t="n">
        <f aca="false">IFERROR(INDEX(Assessments!$J$2:$J$600,MATCH($H25&amp;"|"&amp;$I25&amp;"|"&amp;$J25&amp;"|"&amp;3,Assessments!$A$2:$A$600,0)),0)</f>
        <v>1</v>
      </c>
      <c r="CZ25" s="28" t="n">
        <f aca="false">IFERROR(INDEX(Assessments!$J$2:$J$600,MATCH($H25&amp;"|"&amp;$I25&amp;"|"&amp;$J25&amp;"|"&amp;4,Assessments!$A$2:$A$600,0)),0)</f>
        <v>1</v>
      </c>
      <c r="DA25" s="28" t="n">
        <f aca="false">IFERROR(INDEX(Assessments!$J$2:$J$600,MATCH($H25&amp;"|"&amp;$I25&amp;"|"&amp;$J25&amp;"|"&amp;5,Assessments!$A$2:$A$600,0)),0)</f>
        <v>1</v>
      </c>
      <c r="DB25" s="28" t="n">
        <f aca="false">IFERROR(INDEX(Assessments!$J$2:$J$600,MATCH($H25&amp;"|"&amp;$I25&amp;"|"&amp;$J25&amp;"|"&amp;6,Assessments!$A$2:$A$600,0)),0)</f>
        <v>2</v>
      </c>
      <c r="DC25" s="28" t="n">
        <f aca="false">IFERROR(INDEX(Assessments!$J$2:$J$600,MATCH($H25&amp;"|"&amp;$I25&amp;"|"&amp;$J25&amp;"|"&amp;7,Assessments!$A$2:$A$600,0)),0)</f>
        <v>2</v>
      </c>
      <c r="DD25" s="28" t="n">
        <f aca="false">IFERROR(INDEX(Assessments!$J$2:$J$600,MATCH($H25&amp;"|"&amp;$I25&amp;"|"&amp;$J25&amp;"|"&amp;8,Assessments!$A$2:$A$600,0)),0)</f>
        <v>1</v>
      </c>
      <c r="DE25" s="28" t="n">
        <f aca="false">IFERROR(INDEX(Assessments!$J$2:$J$600,MATCH($H25&amp;"|"&amp;$I25&amp;"|"&amp;$J25&amp;"|"&amp;9,Assessments!$A$2:$A$600,0)),0)</f>
        <v>1</v>
      </c>
      <c r="DF25" s="28" t="n">
        <f aca="false">IFERROR(INDEX(Assessments!$J$2:$J$600,MATCH($H25&amp;"|"&amp;$I25&amp;"|"&amp;$J25&amp;"|"&amp;10,Assessments!$A$2:$A$600,0)),0)</f>
        <v>1</v>
      </c>
      <c r="DG25" s="28" t="n">
        <f aca="false">IFERROR(INDEX(Assessments!$J$2:$J$600,MATCH($H25&amp;"|"&amp;$I25&amp;"|"&amp;$J25&amp;"|"&amp;11,Assessments!$A$2:$A$600,0)),0)</f>
        <v>0</v>
      </c>
      <c r="DH25" s="28" t="n">
        <f aca="false">IFERROR(INDEX(Assessments!$J$2:$J$600,MATCH($H25&amp;"|"&amp;$I25&amp;"|"&amp;$J25&amp;"|"&amp;12,Assessments!$A$2:$A$600,0)),0)</f>
        <v>0</v>
      </c>
      <c r="DI25" s="28" t="n">
        <f aca="false">IFERROR(INDEX(Assessments!$J$2:$J$600,MATCH($H25&amp;"|"&amp;$I25&amp;"|"&amp;$J25&amp;"|"&amp;13,Assessments!$A$2:$A$600,0)),0)</f>
        <v>0</v>
      </c>
      <c r="DJ25" s="28" t="n">
        <f aca="false">IFERROR(INDEX(Assessments!$J$2:$J$600,MATCH($H25&amp;"|"&amp;$I25&amp;"|"&amp;$J25&amp;"|"&amp;14,Assessments!$A$2:$A$600,0)),0)</f>
        <v>0</v>
      </c>
      <c r="DK25" s="28" t="n">
        <f aca="false">S25</f>
        <v>7</v>
      </c>
      <c r="DL25" s="28" t="n">
        <f aca="false">W25</f>
        <v>5</v>
      </c>
      <c r="DM25" s="28" t="n">
        <f aca="false">AA25</f>
        <v>6</v>
      </c>
      <c r="DN25" s="28" t="n">
        <f aca="false">AE25</f>
        <v>7</v>
      </c>
      <c r="DO25" s="28" t="n">
        <f aca="false">AI25</f>
        <v>7</v>
      </c>
      <c r="DP25" s="28" t="n">
        <f aca="false">AM25</f>
        <v>7</v>
      </c>
      <c r="DQ25" s="28" t="n">
        <f aca="false">AQ25</f>
        <v>6</v>
      </c>
      <c r="DR25" s="28" t="n">
        <f aca="false">AU25</f>
        <v>5</v>
      </c>
      <c r="DS25" s="28" t="n">
        <f aca="false">AY25</f>
        <v>4</v>
      </c>
      <c r="DT25" s="28" t="n">
        <f aca="false">BC25</f>
        <v>6</v>
      </c>
      <c r="DU25" s="28" t="str">
        <f aca="false">BG25</f>
        <v/>
      </c>
      <c r="DV25" s="28" t="str">
        <f aca="false">BK25</f>
        <v/>
      </c>
      <c r="DW25" s="28" t="str">
        <f aca="false">BO25</f>
        <v/>
      </c>
      <c r="DX25" s="28" t="str">
        <f aca="false">BS25</f>
        <v/>
      </c>
      <c r="DY25" s="28" t="n">
        <f aca="false">IF(ISNUMBER(S25),1,"")</f>
        <v>1</v>
      </c>
      <c r="DZ25" s="28" t="n">
        <f aca="false">IF(ISNUMBER(W25),2,"")</f>
        <v>2</v>
      </c>
      <c r="EA25" s="28" t="n">
        <f aca="false">IF(ISNUMBER(AA25),3,"")</f>
        <v>3</v>
      </c>
      <c r="EB25" s="28" t="n">
        <f aca="false">IF(ISNUMBER(AE25),4,"")</f>
        <v>4</v>
      </c>
      <c r="EC25" s="28" t="n">
        <f aca="false">IF(ISNUMBER(AI25),5,"")</f>
        <v>5</v>
      </c>
      <c r="ED25" s="28" t="n">
        <f aca="false">IF(ISNUMBER(AM25),6,"")</f>
        <v>6</v>
      </c>
      <c r="EE25" s="28" t="n">
        <f aca="false">IF(ISNUMBER(AQ25),7,"")</f>
        <v>7</v>
      </c>
      <c r="EF25" s="28" t="n">
        <f aca="false">IF(ISNUMBER(AU25),8,"")</f>
        <v>8</v>
      </c>
      <c r="EG25" s="28" t="n">
        <f aca="false">IF(ISNUMBER(AY25),9,"")</f>
        <v>9</v>
      </c>
      <c r="EH25" s="28" t="n">
        <f aca="false">IF(ISNUMBER(BC25),10,"")</f>
        <v>10</v>
      </c>
      <c r="EI25" s="28" t="str">
        <f aca="false">IF(ISNUMBER(BG25),11,"")</f>
        <v/>
      </c>
      <c r="EJ25" s="28" t="str">
        <f aca="false">IF(ISNUMBER(BK25),12,"")</f>
        <v/>
      </c>
      <c r="EK25" s="28" t="str">
        <f aca="false">IF(ISNUMBER(BO25),13,"")</f>
        <v/>
      </c>
      <c r="EL25" s="28" t="str">
        <f aca="false">IF(ISNUMBER(BS25),14,"")</f>
        <v/>
      </c>
      <c r="EM25" s="28" t="n">
        <f aca="false">IF(ISNUMBER(R25),R25*CW25,0)</f>
        <v>75</v>
      </c>
      <c r="EN25" s="28" t="n">
        <f aca="false">IF(ISNUMBER(V25),V25*CX25,0)</f>
        <v>55</v>
      </c>
      <c r="EO25" s="28" t="n">
        <f aca="false">IF(ISNUMBER(Z25),Z25*CY25,0)</f>
        <v>70</v>
      </c>
      <c r="EP25" s="28" t="n">
        <f aca="false">IF(ISNUMBER(AD25),AD25*CZ25,0)</f>
        <v>80</v>
      </c>
      <c r="EQ25" s="28" t="n">
        <f aca="false">IF(ISNUMBER(AH25),AH25*DA25,0)</f>
        <v>80</v>
      </c>
      <c r="ER25" s="28" t="n">
        <f aca="false">IF(ISNUMBER(AL25),AL25*DB25,0)</f>
        <v>180</v>
      </c>
      <c r="ES25" s="28" t="n">
        <f aca="false">IF(ISNUMBER(AP25),AP25*DC25,0)</f>
        <v>144</v>
      </c>
      <c r="ET25" s="28" t="n">
        <f aca="false">IF(ISNUMBER(AT25),AT25*DD25,0)</f>
        <v>60</v>
      </c>
      <c r="EU25" s="28" t="n">
        <f aca="false">IF(ISNUMBER(AX25),AX25*DE25,0)</f>
        <v>56.25</v>
      </c>
      <c r="EV25" s="28" t="n">
        <f aca="false">IF(ISNUMBER(BB25),BB25*DF25,0)</f>
        <v>73.3333333333333</v>
      </c>
      <c r="EW25" s="28" t="n">
        <f aca="false">IF(ISNUMBER(BF25),BF25*DG25,0)</f>
        <v>0</v>
      </c>
      <c r="EX25" s="28" t="n">
        <f aca="false">IF(ISNUMBER(BJ25),BJ25*DH25,0)</f>
        <v>0</v>
      </c>
      <c r="EY25" s="28" t="n">
        <f aca="false">IF(ISNUMBER(BN25),BN25*DI25,0)</f>
        <v>0</v>
      </c>
      <c r="EZ25" s="28" t="n">
        <f aca="false">IF(ISNUMBER(BR25),BR25*DJ25,0)</f>
        <v>0</v>
      </c>
      <c r="FA25" s="28" t="n">
        <f aca="false">IF(ISNUMBER(R25),CW25,0)</f>
        <v>1</v>
      </c>
      <c r="FB25" s="28" t="n">
        <f aca="false">IF(ISNUMBER(V25),CX25,0)</f>
        <v>1</v>
      </c>
      <c r="FC25" s="28" t="n">
        <f aca="false">IF(ISNUMBER(Z25),CY25,0)</f>
        <v>1</v>
      </c>
      <c r="FD25" s="28" t="n">
        <f aca="false">IF(ISNUMBER(AD25),CZ25,0)</f>
        <v>1</v>
      </c>
      <c r="FE25" s="28" t="n">
        <f aca="false">IF(ISNUMBER(AH25),DA25,0)</f>
        <v>1</v>
      </c>
      <c r="FF25" s="28" t="n">
        <f aca="false">IF(ISNUMBER(AL25),DB25,0)</f>
        <v>2</v>
      </c>
      <c r="FG25" s="28" t="n">
        <f aca="false">IF(ISNUMBER(AP25),DC25,0)</f>
        <v>2</v>
      </c>
      <c r="FH25" s="28" t="n">
        <f aca="false">IF(ISNUMBER(AT25),DD25,0)</f>
        <v>1</v>
      </c>
      <c r="FI25" s="28" t="n">
        <f aca="false">IF(ISNUMBER(AX25),DE25,0)</f>
        <v>1</v>
      </c>
      <c r="FJ25" s="28" t="n">
        <f aca="false">IF(ISNUMBER(BB25),DF25,0)</f>
        <v>1</v>
      </c>
      <c r="FK25" s="28" t="n">
        <f aca="false">IF(ISNUMBER(BF25),DG25,0)</f>
        <v>0</v>
      </c>
      <c r="FL25" s="28" t="n">
        <f aca="false">IF(ISNUMBER(BJ25),DH25,0)</f>
        <v>0</v>
      </c>
      <c r="FM25" s="28" t="n">
        <f aca="false">IF(ISNUMBER(BN25),DI25,0)</f>
        <v>0</v>
      </c>
      <c r="FN25" s="28" t="n">
        <f aca="false">IF(ISNUMBER(BR25),DJ25,0)</f>
        <v>0</v>
      </c>
      <c r="FO25" s="28" t="str">
        <f aca="false">IFERROR(INDEX(Lists!$G$2:$G$20,MATCH($I25&amp;"|"&amp;$J25,Lists!$F$2:$F$20,0)),"")</f>
        <v>Geog Overall HL</v>
      </c>
    </row>
    <row r="26" customFormat="false" ht="19.5" hidden="false" customHeight="true" outlineLevel="0" collapsed="false">
      <c r="A26" s="29" t="s">
        <v>184</v>
      </c>
      <c r="B26" s="29" t="s">
        <v>185</v>
      </c>
      <c r="C26" s="30" t="s">
        <v>152</v>
      </c>
      <c r="D26" s="30" t="s">
        <v>177</v>
      </c>
      <c r="E26" s="31" t="n">
        <v>5.1</v>
      </c>
      <c r="F26" s="30" t="n">
        <v>5</v>
      </c>
      <c r="G26" s="30"/>
      <c r="H26" s="32" t="s">
        <v>23</v>
      </c>
      <c r="I26" s="33" t="s">
        <v>24</v>
      </c>
      <c r="J26" s="32" t="s">
        <v>25</v>
      </c>
      <c r="K26" s="34" t="n">
        <f aca="false">IF(OR(M26="",$E26=""),"",M26-$E26)</f>
        <v>-0.0999999999999996</v>
      </c>
      <c r="L26" s="35" t="n">
        <f aca="false">IF(SUM(FA26:FN26)=0,"",SUM(EM26:EZ26)/SUM(FA26:FN26))</f>
        <v>59.75</v>
      </c>
      <c r="M26" s="36" t="n">
        <f aca="false">IF(OR(L26="",FO26=""),"",IFERROR(MATCH(L26,INDEX(Boundaries!$B$2:$I$30,MATCH(FO26,Boundaries!$A$2:$A$30,0),0),1)-1,""))</f>
        <v>5</v>
      </c>
      <c r="N26" s="37" t="n">
        <f aca="false">IF(COUNT($DY26:$EL26)&lt;2,"",INDEX($DK26:$DX26,MAX($DY26:$EL26))-INDEX($DK26:$DX26,MIN($DY26:$EL26)))</f>
        <v>2</v>
      </c>
      <c r="O26" s="37" t="n">
        <f aca="false">IF(COUNT($DY26:$EL26)&lt;2,"",INDEX($DK26:$DX26,MAX($DY26:$EL26))-INDEX($DK26:$DX26,LARGE($DY26:$EL26,2)))</f>
        <v>3</v>
      </c>
      <c r="P26" s="38" t="str">
        <f aca="false">IF(K26="","",IF(K26&gt;=0,"On/above target",IF(AND(N26&lt;&gt;"",N26&gt;=0.5),"Improving towards target",IF(AND(O26&lt;&gt;"",O26&lt;=-0.5),"Declining","Stable below target"))))</f>
        <v>Improving towards target</v>
      </c>
      <c r="Q26" s="39" t="n">
        <v>9</v>
      </c>
      <c r="R26" s="40" t="n">
        <f aca="false">IF(OR(Q26="",BU26=""),"",Q26/BU26*100)</f>
        <v>45</v>
      </c>
      <c r="S26" s="41" t="n">
        <f aca="false">IF(R26="","",IFERROR(MATCH(R26,INDEX(Boundaries!$B$2:$I$30,MATCH(CI26,Boundaries!$A$2:$A$30,0),0),1)-1,""))</f>
        <v>4</v>
      </c>
      <c r="T26" s="42" t="n">
        <f aca="false">IF(OR(S26="",$E26=""),"",S26-$E26)</f>
        <v>-1.1</v>
      </c>
      <c r="U26" s="39" t="n">
        <v>10</v>
      </c>
      <c r="V26" s="40" t="n">
        <f aca="false">IF(OR(U26="",BV26=""),"",U26/BV26*100)</f>
        <v>50</v>
      </c>
      <c r="W26" s="41" t="n">
        <f aca="false">IF(V26="","",IFERROR(MATCH(V26,INDEX(Boundaries!$B$2:$I$30,MATCH(CJ26,Boundaries!$A$2:$A$30,0),0),1)-1,""))</f>
        <v>4</v>
      </c>
      <c r="X26" s="42" t="n">
        <f aca="false">IF(OR(W26="",$E26=""),"",W26-$E26)</f>
        <v>-1.1</v>
      </c>
      <c r="Y26" s="39" t="n">
        <v>13</v>
      </c>
      <c r="Z26" s="40" t="n">
        <f aca="false">IF(OR(Y26="",BW26=""),"",Y26/BW26*100)</f>
        <v>65</v>
      </c>
      <c r="AA26" s="41" t="n">
        <f aca="false">IF(Z26="","",IFERROR(MATCH(Z26,INDEX(Boundaries!$B$2:$I$30,MATCH(CK26,Boundaries!$A$2:$A$30,0),0),1)-1,""))</f>
        <v>5</v>
      </c>
      <c r="AB26" s="42" t="n">
        <f aca="false">IF(OR(AA26="",$E26=""),"",AA26-$E26)</f>
        <v>-0.0999999999999996</v>
      </c>
      <c r="AC26" s="39" t="n">
        <v>13</v>
      </c>
      <c r="AD26" s="40" t="n">
        <f aca="false">IF(OR(AC26="",BX26=""),"",AC26/BX26*100)</f>
        <v>65</v>
      </c>
      <c r="AE26" s="41" t="n">
        <f aca="false">IF(AD26="","",IFERROR(MATCH(AD26,INDEX(Boundaries!$B$2:$I$30,MATCH(CL26,Boundaries!$A$2:$A$30,0),0),1)-1,""))</f>
        <v>6</v>
      </c>
      <c r="AF26" s="42" t="n">
        <f aca="false">IF(OR(AE26="",$E26=""),"",AE26-$E26)</f>
        <v>0.9</v>
      </c>
      <c r="AG26" s="39" t="n">
        <v>16</v>
      </c>
      <c r="AH26" s="40" t="n">
        <f aca="false">IF(OR(AG26="",BY26=""),"",AG26/BY26*100)</f>
        <v>80</v>
      </c>
      <c r="AI26" s="41" t="n">
        <f aca="false">IF(AH26="","",IFERROR(MATCH(AH26,INDEX(Boundaries!$B$2:$I$30,MATCH(CM26,Boundaries!$A$2:$A$30,0),0),1)-1,""))</f>
        <v>7</v>
      </c>
      <c r="AJ26" s="42" t="n">
        <f aca="false">IF(OR(AI26="",$E26=""),"",AI26-$E26)</f>
        <v>1.9</v>
      </c>
      <c r="AK26" s="39" t="n">
        <v>24</v>
      </c>
      <c r="AL26" s="40" t="n">
        <f aca="false">IF(OR(AK26="",BZ26=""),"",AK26/BZ26*100)</f>
        <v>60</v>
      </c>
      <c r="AM26" s="41" t="n">
        <f aca="false">IF(AL26="","",IFERROR(MATCH(AL26,INDEX(Boundaries!$B$2:$I$30,MATCH(CN26,Boundaries!$A$2:$A$30,0),0),1)-1,""))</f>
        <v>5</v>
      </c>
      <c r="AN26" s="42" t="n">
        <f aca="false">IF(OR(AM26="",$E26=""),"",AM26-$E26)</f>
        <v>-0.0999999999999996</v>
      </c>
      <c r="AO26" s="39" t="n">
        <v>29</v>
      </c>
      <c r="AP26" s="40" t="n">
        <f aca="false">IF(OR(AO26="",CA26=""),"",AO26/CA26*100)</f>
        <v>58</v>
      </c>
      <c r="AQ26" s="41" t="n">
        <f aca="false">IF(AP26="","",IFERROR(MATCH(AP26,INDEX(Boundaries!$B$2:$I$30,MATCH(CO26,Boundaries!$A$2:$A$30,0),0),1)-1,""))</f>
        <v>5</v>
      </c>
      <c r="AR26" s="42" t="n">
        <f aca="false">IF(OR(AQ26="",$E26=""),"",AQ26-$E26)</f>
        <v>-0.0999999999999996</v>
      </c>
      <c r="AS26" s="39" t="n">
        <v>14</v>
      </c>
      <c r="AT26" s="40" t="n">
        <f aca="false">IF(OR(AS26="",CB26=""),"",AS26/CB26*100)</f>
        <v>56</v>
      </c>
      <c r="AU26" s="41" t="n">
        <f aca="false">IF(AT26="","",IFERROR(MATCH(AT26,INDEX(Boundaries!$B$2:$I$30,MATCH(CP26,Boundaries!$A$2:$A$30,0),0),1)-1,""))</f>
        <v>5</v>
      </c>
      <c r="AV26" s="42" t="n">
        <f aca="false">IF(OR(AU26="",$E26=""),"",AU26-$E26)</f>
        <v>-0.0999999999999996</v>
      </c>
      <c r="AW26" s="39" t="n">
        <v>8</v>
      </c>
      <c r="AX26" s="40" t="n">
        <f aca="false">IF(OR(AW26="",CC26=""),"",AW26/CC26*100)</f>
        <v>50</v>
      </c>
      <c r="AY26" s="41" t="n">
        <f aca="false">IF(AX26="","",IFERROR(MATCH(AX26,INDEX(Boundaries!$B$2:$I$30,MATCH(CQ26,Boundaries!$A$2:$A$30,0),0),1)-1,""))</f>
        <v>3</v>
      </c>
      <c r="AZ26" s="42" t="n">
        <f aca="false">IF(OR(AY26="",$E26=""),"",AY26-$E26)</f>
        <v>-2.1</v>
      </c>
      <c r="BA26" s="39" t="n">
        <v>21</v>
      </c>
      <c r="BB26" s="40" t="n">
        <f aca="false">IF(OR(BA26="",CD26=""),"",BA26/CD26*100)</f>
        <v>70</v>
      </c>
      <c r="BC26" s="41" t="n">
        <f aca="false">IF(BB26="","",IFERROR(MATCH(BB26,INDEX(Boundaries!$B$2:$I$30,MATCH(CR26,Boundaries!$A$2:$A$30,0),0),1)-1,""))</f>
        <v>6</v>
      </c>
      <c r="BD26" s="42" t="n">
        <f aca="false">IF(OR(BC26="",$E26=""),"",BC26-$E26)</f>
        <v>0.9</v>
      </c>
      <c r="BE26" s="39"/>
      <c r="BF26" s="40" t="str">
        <f aca="false">IF(OR(BE26="",CE26=""),"",BE26/CE26*100)</f>
        <v/>
      </c>
      <c r="BG26" s="41" t="str">
        <f aca="false">IF(BF26="","",IFERROR(MATCH(BF26,INDEX(Boundaries!$B$2:$I$30,MATCH(CS26,Boundaries!$A$2:$A$30,0),0),1)-1,""))</f>
        <v/>
      </c>
      <c r="BH26" s="42" t="str">
        <f aca="false">IF(OR(BG26="",$E26=""),"",BG26-$E26)</f>
        <v/>
      </c>
      <c r="BI26" s="39"/>
      <c r="BJ26" s="40" t="str">
        <f aca="false">IF(OR(BI26="",CF26=""),"",BI26/CF26*100)</f>
        <v/>
      </c>
      <c r="BK26" s="41" t="str">
        <f aca="false">IF(BJ26="","",IFERROR(MATCH(BJ26,INDEX(Boundaries!$B$2:$I$30,MATCH(CT26,Boundaries!$A$2:$A$30,0),0),1)-1,""))</f>
        <v/>
      </c>
      <c r="BL26" s="42" t="str">
        <f aca="false">IF(OR(BK26="",$E26=""),"",BK26-$E26)</f>
        <v/>
      </c>
      <c r="BM26" s="39"/>
      <c r="BN26" s="40" t="str">
        <f aca="false">IF(OR(BM26="",CG26=""),"",BM26/CG26*100)</f>
        <v/>
      </c>
      <c r="BO26" s="41" t="str">
        <f aca="false">IF(BN26="","",IFERROR(MATCH(BN26,INDEX(Boundaries!$B$2:$I$30,MATCH(CU26,Boundaries!$A$2:$A$30,0),0),1)-1,""))</f>
        <v/>
      </c>
      <c r="BP26" s="42" t="str">
        <f aca="false">IF(OR(BO26="",$E26=""),"",BO26-$E26)</f>
        <v/>
      </c>
      <c r="BQ26" s="39"/>
      <c r="BR26" s="40" t="str">
        <f aca="false">IF(OR(BQ26="",CH26=""),"",BQ26/CH26*100)</f>
        <v/>
      </c>
      <c r="BS26" s="41" t="str">
        <f aca="false">IF(BR26="","",IFERROR(MATCH(BR26,INDEX(Boundaries!$B$2:$I$30,MATCH(CV26,Boundaries!$A$2:$A$30,0),0),1)-1,""))</f>
        <v/>
      </c>
      <c r="BT26" s="42" t="str">
        <f aca="false">IF(OR(BS26="",$E26=""),"",BS26-$E26)</f>
        <v/>
      </c>
      <c r="BU26" s="28" t="n">
        <f aca="false">IFERROR(INDEX(Assessments!$H$2:$H$600,MATCH($H26&amp;"|"&amp;$I26&amp;"|"&amp;$J26&amp;"|"&amp;1,Assessments!$A$2:$A$600,0)),"")</f>
        <v>20</v>
      </c>
      <c r="BV26" s="28" t="n">
        <f aca="false">IFERROR(INDEX(Assessments!$H$2:$H$600,MATCH($H26&amp;"|"&amp;$I26&amp;"|"&amp;$J26&amp;"|"&amp;2,Assessments!$A$2:$A$600,0)),"")</f>
        <v>20</v>
      </c>
      <c r="BW26" s="28" t="n">
        <f aca="false">IFERROR(INDEX(Assessments!$H$2:$H$600,MATCH($H26&amp;"|"&amp;$I26&amp;"|"&amp;$J26&amp;"|"&amp;3,Assessments!$A$2:$A$600,0)),"")</f>
        <v>20</v>
      </c>
      <c r="BX26" s="28" t="n">
        <f aca="false">IFERROR(INDEX(Assessments!$H$2:$H$600,MATCH($H26&amp;"|"&amp;$I26&amp;"|"&amp;$J26&amp;"|"&amp;4,Assessments!$A$2:$A$600,0)),"")</f>
        <v>20</v>
      </c>
      <c r="BY26" s="28" t="n">
        <f aca="false">IFERROR(INDEX(Assessments!$H$2:$H$600,MATCH($H26&amp;"|"&amp;$I26&amp;"|"&amp;$J26&amp;"|"&amp;5,Assessments!$A$2:$A$600,0)),"")</f>
        <v>20</v>
      </c>
      <c r="BZ26" s="28" t="n">
        <f aca="false">IFERROR(INDEX(Assessments!$H$2:$H$600,MATCH($H26&amp;"|"&amp;$I26&amp;"|"&amp;$J26&amp;"|"&amp;6,Assessments!$A$2:$A$600,0)),"")</f>
        <v>40</v>
      </c>
      <c r="CA26" s="28" t="n">
        <f aca="false">IFERROR(INDEX(Assessments!$H$2:$H$600,MATCH($H26&amp;"|"&amp;$I26&amp;"|"&amp;$J26&amp;"|"&amp;7,Assessments!$A$2:$A$600,0)),"")</f>
        <v>50</v>
      </c>
      <c r="CB26" s="28" t="n">
        <f aca="false">IFERROR(INDEX(Assessments!$H$2:$H$600,MATCH($H26&amp;"|"&amp;$I26&amp;"|"&amp;$J26&amp;"|"&amp;8,Assessments!$A$2:$A$600,0)),"")</f>
        <v>25</v>
      </c>
      <c r="CC26" s="28" t="n">
        <f aca="false">IFERROR(INDEX(Assessments!$H$2:$H$600,MATCH($H26&amp;"|"&amp;$I26&amp;"|"&amp;$J26&amp;"|"&amp;9,Assessments!$A$2:$A$600,0)),"")</f>
        <v>16</v>
      </c>
      <c r="CD26" s="28" t="n">
        <f aca="false">IFERROR(INDEX(Assessments!$H$2:$H$600,MATCH($H26&amp;"|"&amp;$I26&amp;"|"&amp;$J26&amp;"|"&amp;10,Assessments!$A$2:$A$600,0)),"")</f>
        <v>30</v>
      </c>
      <c r="CE26" s="28" t="str">
        <f aca="false">IFERROR(INDEX(Assessments!$H$2:$H$600,MATCH($H26&amp;"|"&amp;$I26&amp;"|"&amp;$J26&amp;"|"&amp;11,Assessments!$A$2:$A$600,0)),"")</f>
        <v/>
      </c>
      <c r="CF26" s="28" t="str">
        <f aca="false">IFERROR(INDEX(Assessments!$H$2:$H$600,MATCH($H26&amp;"|"&amp;$I26&amp;"|"&amp;$J26&amp;"|"&amp;12,Assessments!$A$2:$A$600,0)),"")</f>
        <v/>
      </c>
      <c r="CG26" s="28" t="str">
        <f aca="false">IFERROR(INDEX(Assessments!$H$2:$H$600,MATCH($H26&amp;"|"&amp;$I26&amp;"|"&amp;$J26&amp;"|"&amp;13,Assessments!$A$2:$A$600,0)),"")</f>
        <v/>
      </c>
      <c r="CH26" s="28" t="str">
        <f aca="false">IFERROR(INDEX(Assessments!$H$2:$H$600,MATCH($H26&amp;"|"&amp;$I26&amp;"|"&amp;$J26&amp;"|"&amp;14,Assessments!$A$2:$A$600,0)),"")</f>
        <v/>
      </c>
      <c r="CI26" s="28" t="str">
        <f aca="false">IFERROR(INDEX(Assessments!$I$2:$I$600,MATCH($H26&amp;"|"&amp;$I26&amp;"|"&amp;$J26&amp;"|"&amp;1,Assessments!$A$2:$A$600,0)),"")</f>
        <v>Geog Paper 1</v>
      </c>
      <c r="CJ26" s="28" t="str">
        <f aca="false">IFERROR(INDEX(Assessments!$I$2:$I$600,MATCH($H26&amp;"|"&amp;$I26&amp;"|"&amp;$J26&amp;"|"&amp;2,Assessments!$A$2:$A$600,0)),"")</f>
        <v>Geog Paper 1</v>
      </c>
      <c r="CK26" s="28" t="str">
        <f aca="false">IFERROR(INDEX(Assessments!$I$2:$I$600,MATCH($H26&amp;"|"&amp;$I26&amp;"|"&amp;$J26&amp;"|"&amp;3,Assessments!$A$2:$A$600,0)),"")</f>
        <v>Geog Paper 2</v>
      </c>
      <c r="CL26" s="28" t="str">
        <f aca="false">IFERROR(INDEX(Assessments!$I$2:$I$600,MATCH($H26&amp;"|"&amp;$I26&amp;"|"&amp;$J26&amp;"|"&amp;4,Assessments!$A$2:$A$600,0)),"")</f>
        <v>Geog Paper 1</v>
      </c>
      <c r="CM26" s="28" t="str">
        <f aca="false">IFERROR(INDEX(Assessments!$I$2:$I$600,MATCH($H26&amp;"|"&amp;$I26&amp;"|"&amp;$J26&amp;"|"&amp;5,Assessments!$A$2:$A$600,0)),"")</f>
        <v>Geog Paper 1</v>
      </c>
      <c r="CN26" s="28" t="str">
        <f aca="false">IFERROR(INDEX(Assessments!$I$2:$I$600,MATCH($H26&amp;"|"&amp;$I26&amp;"|"&amp;$J26&amp;"|"&amp;6,Assessments!$A$2:$A$600,0)),"")</f>
        <v>Geog Paper 1</v>
      </c>
      <c r="CO26" s="28" t="str">
        <f aca="false">IFERROR(INDEX(Assessments!$I$2:$I$600,MATCH($H26&amp;"|"&amp;$I26&amp;"|"&amp;$J26&amp;"|"&amp;7,Assessments!$A$2:$A$600,0)),"")</f>
        <v>Geog Paper 2</v>
      </c>
      <c r="CP26" s="28" t="str">
        <f aca="false">IFERROR(INDEX(Assessments!$I$2:$I$600,MATCH($H26&amp;"|"&amp;$I26&amp;"|"&amp;$J26&amp;"|"&amp;8,Assessments!$A$2:$A$600,0)),"")</f>
        <v>Geog Paper 2</v>
      </c>
      <c r="CQ26" s="28" t="str">
        <f aca="false">IFERROR(INDEX(Assessments!$I$2:$I$600,MATCH($H26&amp;"|"&amp;$I26&amp;"|"&amp;$J26&amp;"|"&amp;9,Assessments!$A$2:$A$600,0)),"")</f>
        <v>Geog Paper 3</v>
      </c>
      <c r="CR26" s="28" t="str">
        <f aca="false">IFERROR(INDEX(Assessments!$I$2:$I$600,MATCH($H26&amp;"|"&amp;$I26&amp;"|"&amp;$J26&amp;"|"&amp;10,Assessments!$A$2:$A$600,0)),"")</f>
        <v>Geog Paper 2</v>
      </c>
      <c r="CS26" s="28" t="str">
        <f aca="false">IFERROR(INDEX(Assessments!$I$2:$I$600,MATCH($H26&amp;"|"&amp;$I26&amp;"|"&amp;$J26&amp;"|"&amp;11,Assessments!$A$2:$A$600,0)),"")</f>
        <v/>
      </c>
      <c r="CT26" s="28" t="str">
        <f aca="false">IFERROR(INDEX(Assessments!$I$2:$I$600,MATCH($H26&amp;"|"&amp;$I26&amp;"|"&amp;$J26&amp;"|"&amp;12,Assessments!$A$2:$A$600,0)),"")</f>
        <v/>
      </c>
      <c r="CU26" s="28" t="str">
        <f aca="false">IFERROR(INDEX(Assessments!$I$2:$I$600,MATCH($H26&amp;"|"&amp;$I26&amp;"|"&amp;$J26&amp;"|"&amp;13,Assessments!$A$2:$A$600,0)),"")</f>
        <v/>
      </c>
      <c r="CV26" s="28" t="str">
        <f aca="false">IFERROR(INDEX(Assessments!$I$2:$I$600,MATCH($H26&amp;"|"&amp;$I26&amp;"|"&amp;$J26&amp;"|"&amp;14,Assessments!$A$2:$A$600,0)),"")</f>
        <v/>
      </c>
      <c r="CW26" s="28" t="n">
        <f aca="false">IFERROR(INDEX(Assessments!$J$2:$J$600,MATCH($H26&amp;"|"&amp;$I26&amp;"|"&amp;$J26&amp;"|"&amp;1,Assessments!$A$2:$A$600,0)),0)</f>
        <v>1</v>
      </c>
      <c r="CX26" s="28" t="n">
        <f aca="false">IFERROR(INDEX(Assessments!$J$2:$J$600,MATCH($H26&amp;"|"&amp;$I26&amp;"|"&amp;$J26&amp;"|"&amp;2,Assessments!$A$2:$A$600,0)),0)</f>
        <v>1</v>
      </c>
      <c r="CY26" s="28" t="n">
        <f aca="false">IFERROR(INDEX(Assessments!$J$2:$J$600,MATCH($H26&amp;"|"&amp;$I26&amp;"|"&amp;$J26&amp;"|"&amp;3,Assessments!$A$2:$A$600,0)),0)</f>
        <v>1</v>
      </c>
      <c r="CZ26" s="28" t="n">
        <f aca="false">IFERROR(INDEX(Assessments!$J$2:$J$600,MATCH($H26&amp;"|"&amp;$I26&amp;"|"&amp;$J26&amp;"|"&amp;4,Assessments!$A$2:$A$600,0)),0)</f>
        <v>1</v>
      </c>
      <c r="DA26" s="28" t="n">
        <f aca="false">IFERROR(INDEX(Assessments!$J$2:$J$600,MATCH($H26&amp;"|"&amp;$I26&amp;"|"&amp;$J26&amp;"|"&amp;5,Assessments!$A$2:$A$600,0)),0)</f>
        <v>1</v>
      </c>
      <c r="DB26" s="28" t="n">
        <f aca="false">IFERROR(INDEX(Assessments!$J$2:$J$600,MATCH($H26&amp;"|"&amp;$I26&amp;"|"&amp;$J26&amp;"|"&amp;6,Assessments!$A$2:$A$600,0)),0)</f>
        <v>2</v>
      </c>
      <c r="DC26" s="28" t="n">
        <f aca="false">IFERROR(INDEX(Assessments!$J$2:$J$600,MATCH($H26&amp;"|"&amp;$I26&amp;"|"&amp;$J26&amp;"|"&amp;7,Assessments!$A$2:$A$600,0)),0)</f>
        <v>2</v>
      </c>
      <c r="DD26" s="28" t="n">
        <f aca="false">IFERROR(INDEX(Assessments!$J$2:$J$600,MATCH($H26&amp;"|"&amp;$I26&amp;"|"&amp;$J26&amp;"|"&amp;8,Assessments!$A$2:$A$600,0)),0)</f>
        <v>1</v>
      </c>
      <c r="DE26" s="28" t="n">
        <f aca="false">IFERROR(INDEX(Assessments!$J$2:$J$600,MATCH($H26&amp;"|"&amp;$I26&amp;"|"&amp;$J26&amp;"|"&amp;9,Assessments!$A$2:$A$600,0)),0)</f>
        <v>1</v>
      </c>
      <c r="DF26" s="28" t="n">
        <f aca="false">IFERROR(INDEX(Assessments!$J$2:$J$600,MATCH($H26&amp;"|"&amp;$I26&amp;"|"&amp;$J26&amp;"|"&amp;10,Assessments!$A$2:$A$600,0)),0)</f>
        <v>1</v>
      </c>
      <c r="DG26" s="28" t="n">
        <f aca="false">IFERROR(INDEX(Assessments!$J$2:$J$600,MATCH($H26&amp;"|"&amp;$I26&amp;"|"&amp;$J26&amp;"|"&amp;11,Assessments!$A$2:$A$600,0)),0)</f>
        <v>0</v>
      </c>
      <c r="DH26" s="28" t="n">
        <f aca="false">IFERROR(INDEX(Assessments!$J$2:$J$600,MATCH($H26&amp;"|"&amp;$I26&amp;"|"&amp;$J26&amp;"|"&amp;12,Assessments!$A$2:$A$600,0)),0)</f>
        <v>0</v>
      </c>
      <c r="DI26" s="28" t="n">
        <f aca="false">IFERROR(INDEX(Assessments!$J$2:$J$600,MATCH($H26&amp;"|"&amp;$I26&amp;"|"&amp;$J26&amp;"|"&amp;13,Assessments!$A$2:$A$600,0)),0)</f>
        <v>0</v>
      </c>
      <c r="DJ26" s="28" t="n">
        <f aca="false">IFERROR(INDEX(Assessments!$J$2:$J$600,MATCH($H26&amp;"|"&amp;$I26&amp;"|"&amp;$J26&amp;"|"&amp;14,Assessments!$A$2:$A$600,0)),0)</f>
        <v>0</v>
      </c>
      <c r="DK26" s="28" t="n">
        <f aca="false">S26</f>
        <v>4</v>
      </c>
      <c r="DL26" s="28" t="n">
        <f aca="false">W26</f>
        <v>4</v>
      </c>
      <c r="DM26" s="28" t="n">
        <f aca="false">AA26</f>
        <v>5</v>
      </c>
      <c r="DN26" s="28" t="n">
        <f aca="false">AE26</f>
        <v>6</v>
      </c>
      <c r="DO26" s="28" t="n">
        <f aca="false">AI26</f>
        <v>7</v>
      </c>
      <c r="DP26" s="28" t="n">
        <f aca="false">AM26</f>
        <v>5</v>
      </c>
      <c r="DQ26" s="28" t="n">
        <f aca="false">AQ26</f>
        <v>5</v>
      </c>
      <c r="DR26" s="28" t="n">
        <f aca="false">AU26</f>
        <v>5</v>
      </c>
      <c r="DS26" s="28" t="n">
        <f aca="false">AY26</f>
        <v>3</v>
      </c>
      <c r="DT26" s="28" t="n">
        <f aca="false">BC26</f>
        <v>6</v>
      </c>
      <c r="DU26" s="28" t="str">
        <f aca="false">BG26</f>
        <v/>
      </c>
      <c r="DV26" s="28" t="str">
        <f aca="false">BK26</f>
        <v/>
      </c>
      <c r="DW26" s="28" t="str">
        <f aca="false">BO26</f>
        <v/>
      </c>
      <c r="DX26" s="28" t="str">
        <f aca="false">BS26</f>
        <v/>
      </c>
      <c r="DY26" s="28" t="n">
        <f aca="false">IF(ISNUMBER(S26),1,"")</f>
        <v>1</v>
      </c>
      <c r="DZ26" s="28" t="n">
        <f aca="false">IF(ISNUMBER(W26),2,"")</f>
        <v>2</v>
      </c>
      <c r="EA26" s="28" t="n">
        <f aca="false">IF(ISNUMBER(AA26),3,"")</f>
        <v>3</v>
      </c>
      <c r="EB26" s="28" t="n">
        <f aca="false">IF(ISNUMBER(AE26),4,"")</f>
        <v>4</v>
      </c>
      <c r="EC26" s="28" t="n">
        <f aca="false">IF(ISNUMBER(AI26),5,"")</f>
        <v>5</v>
      </c>
      <c r="ED26" s="28" t="n">
        <f aca="false">IF(ISNUMBER(AM26),6,"")</f>
        <v>6</v>
      </c>
      <c r="EE26" s="28" t="n">
        <f aca="false">IF(ISNUMBER(AQ26),7,"")</f>
        <v>7</v>
      </c>
      <c r="EF26" s="28" t="n">
        <f aca="false">IF(ISNUMBER(AU26),8,"")</f>
        <v>8</v>
      </c>
      <c r="EG26" s="28" t="n">
        <f aca="false">IF(ISNUMBER(AY26),9,"")</f>
        <v>9</v>
      </c>
      <c r="EH26" s="28" t="n">
        <f aca="false">IF(ISNUMBER(BC26),10,"")</f>
        <v>10</v>
      </c>
      <c r="EI26" s="28" t="str">
        <f aca="false">IF(ISNUMBER(BG26),11,"")</f>
        <v/>
      </c>
      <c r="EJ26" s="28" t="str">
        <f aca="false">IF(ISNUMBER(BK26),12,"")</f>
        <v/>
      </c>
      <c r="EK26" s="28" t="str">
        <f aca="false">IF(ISNUMBER(BO26),13,"")</f>
        <v/>
      </c>
      <c r="EL26" s="28" t="str">
        <f aca="false">IF(ISNUMBER(BS26),14,"")</f>
        <v/>
      </c>
      <c r="EM26" s="28" t="n">
        <f aca="false">IF(ISNUMBER(R26),R26*CW26,0)</f>
        <v>45</v>
      </c>
      <c r="EN26" s="28" t="n">
        <f aca="false">IF(ISNUMBER(V26),V26*CX26,0)</f>
        <v>50</v>
      </c>
      <c r="EO26" s="28" t="n">
        <f aca="false">IF(ISNUMBER(Z26),Z26*CY26,0)</f>
        <v>65</v>
      </c>
      <c r="EP26" s="28" t="n">
        <f aca="false">IF(ISNUMBER(AD26),AD26*CZ26,0)</f>
        <v>65</v>
      </c>
      <c r="EQ26" s="28" t="n">
        <f aca="false">IF(ISNUMBER(AH26),AH26*DA26,0)</f>
        <v>80</v>
      </c>
      <c r="ER26" s="28" t="n">
        <f aca="false">IF(ISNUMBER(AL26),AL26*DB26,0)</f>
        <v>120</v>
      </c>
      <c r="ES26" s="28" t="n">
        <f aca="false">IF(ISNUMBER(AP26),AP26*DC26,0)</f>
        <v>116</v>
      </c>
      <c r="ET26" s="28" t="n">
        <f aca="false">IF(ISNUMBER(AT26),AT26*DD26,0)</f>
        <v>56</v>
      </c>
      <c r="EU26" s="28" t="n">
        <f aca="false">IF(ISNUMBER(AX26),AX26*DE26,0)</f>
        <v>50</v>
      </c>
      <c r="EV26" s="28" t="n">
        <f aca="false">IF(ISNUMBER(BB26),BB26*DF26,0)</f>
        <v>70</v>
      </c>
      <c r="EW26" s="28" t="n">
        <f aca="false">IF(ISNUMBER(BF26),BF26*DG26,0)</f>
        <v>0</v>
      </c>
      <c r="EX26" s="28" t="n">
        <f aca="false">IF(ISNUMBER(BJ26),BJ26*DH26,0)</f>
        <v>0</v>
      </c>
      <c r="EY26" s="28" t="n">
        <f aca="false">IF(ISNUMBER(BN26),BN26*DI26,0)</f>
        <v>0</v>
      </c>
      <c r="EZ26" s="28" t="n">
        <f aca="false">IF(ISNUMBER(BR26),BR26*DJ26,0)</f>
        <v>0</v>
      </c>
      <c r="FA26" s="28" t="n">
        <f aca="false">IF(ISNUMBER(R26),CW26,0)</f>
        <v>1</v>
      </c>
      <c r="FB26" s="28" t="n">
        <f aca="false">IF(ISNUMBER(V26),CX26,0)</f>
        <v>1</v>
      </c>
      <c r="FC26" s="28" t="n">
        <f aca="false">IF(ISNUMBER(Z26),CY26,0)</f>
        <v>1</v>
      </c>
      <c r="FD26" s="28" t="n">
        <f aca="false">IF(ISNUMBER(AD26),CZ26,0)</f>
        <v>1</v>
      </c>
      <c r="FE26" s="28" t="n">
        <f aca="false">IF(ISNUMBER(AH26),DA26,0)</f>
        <v>1</v>
      </c>
      <c r="FF26" s="28" t="n">
        <f aca="false">IF(ISNUMBER(AL26),DB26,0)</f>
        <v>2</v>
      </c>
      <c r="FG26" s="28" t="n">
        <f aca="false">IF(ISNUMBER(AP26),DC26,0)</f>
        <v>2</v>
      </c>
      <c r="FH26" s="28" t="n">
        <f aca="false">IF(ISNUMBER(AT26),DD26,0)</f>
        <v>1</v>
      </c>
      <c r="FI26" s="28" t="n">
        <f aca="false">IF(ISNUMBER(AX26),DE26,0)</f>
        <v>1</v>
      </c>
      <c r="FJ26" s="28" t="n">
        <f aca="false">IF(ISNUMBER(BB26),DF26,0)</f>
        <v>1</v>
      </c>
      <c r="FK26" s="28" t="n">
        <f aca="false">IF(ISNUMBER(BF26),DG26,0)</f>
        <v>0</v>
      </c>
      <c r="FL26" s="28" t="n">
        <f aca="false">IF(ISNUMBER(BJ26),DH26,0)</f>
        <v>0</v>
      </c>
      <c r="FM26" s="28" t="n">
        <f aca="false">IF(ISNUMBER(BN26),DI26,0)</f>
        <v>0</v>
      </c>
      <c r="FN26" s="28" t="n">
        <f aca="false">IF(ISNUMBER(BR26),DJ26,0)</f>
        <v>0</v>
      </c>
      <c r="FO26" s="28" t="str">
        <f aca="false">IFERROR(INDEX(Lists!$G$2:$G$20,MATCH($I26&amp;"|"&amp;$J26,Lists!$F$2:$F$20,0)),"")</f>
        <v>Geog Overall HL</v>
      </c>
    </row>
    <row r="27" customFormat="false" ht="19.5" hidden="false" customHeight="true" outlineLevel="0" collapsed="false">
      <c r="A27" s="29" t="s">
        <v>186</v>
      </c>
      <c r="B27" s="29" t="s">
        <v>187</v>
      </c>
      <c r="C27" s="30" t="s">
        <v>152</v>
      </c>
      <c r="D27" s="30" t="s">
        <v>177</v>
      </c>
      <c r="E27" s="31" t="n">
        <v>5.8</v>
      </c>
      <c r="F27" s="30" t="n">
        <v>6</v>
      </c>
      <c r="G27" s="30"/>
      <c r="H27" s="32" t="s">
        <v>23</v>
      </c>
      <c r="I27" s="33" t="s">
        <v>24</v>
      </c>
      <c r="J27" s="32" t="s">
        <v>25</v>
      </c>
      <c r="K27" s="34" t="n">
        <f aca="false">IF(OR(M27="",$E27=""),"",M27-$E27)</f>
        <v>1.2</v>
      </c>
      <c r="L27" s="35" t="n">
        <f aca="false">IF(SUM(FA27:FN27)=0,"",SUM(EM27:EZ27)/SUM(FA27:FN27))</f>
        <v>81.3541666666667</v>
      </c>
      <c r="M27" s="36" t="n">
        <f aca="false">IF(OR(L27="",FO27=""),"",IFERROR(MATCH(L27,INDEX(Boundaries!$B$2:$I$30,MATCH(FO27,Boundaries!$A$2:$A$30,0),0),1)-1,""))</f>
        <v>7</v>
      </c>
      <c r="N27" s="37" t="n">
        <f aca="false">IF(COUNT($DY27:$EL27)&lt;2,"",INDEX($DK27:$DX27,MAX($DY27:$EL27))-INDEX($DK27:$DX27,MIN($DY27:$EL27)))</f>
        <v>0</v>
      </c>
      <c r="O27" s="37" t="n">
        <f aca="false">IF(COUNT($DY27:$EL27)&lt;2,"",INDEX($DK27:$DX27,MAX($DY27:$EL27))-INDEX($DK27:$DX27,LARGE($DY27:$EL27,2)))</f>
        <v>0</v>
      </c>
      <c r="P27" s="38" t="str">
        <f aca="false">IF(K27="","",IF(K27&gt;=0,"On/above target",IF(AND(N27&lt;&gt;"",N27&gt;=0.5),"Improving towards target",IF(AND(O27&lt;&gt;"",O27&lt;=-0.5),"Declining","Stable below target"))))</f>
        <v>On/above target</v>
      </c>
      <c r="Q27" s="39" t="n">
        <v>18</v>
      </c>
      <c r="R27" s="40" t="n">
        <f aca="false">IF(OR(Q27="",BU27=""),"",Q27/BU27*100)</f>
        <v>90</v>
      </c>
      <c r="S27" s="41" t="n">
        <f aca="false">IF(R27="","",IFERROR(MATCH(R27,INDEX(Boundaries!$B$2:$I$30,MATCH(CI27,Boundaries!$A$2:$A$30,0),0),1)-1,""))</f>
        <v>7</v>
      </c>
      <c r="T27" s="42" t="n">
        <f aca="false">IF(OR(S27="",$E27=""),"",S27-$E27)</f>
        <v>1.2</v>
      </c>
      <c r="U27" s="39" t="n">
        <v>15</v>
      </c>
      <c r="V27" s="40" t="n">
        <f aca="false">IF(OR(U27="",BV27=""),"",U27/BV27*100)</f>
        <v>75</v>
      </c>
      <c r="W27" s="41" t="n">
        <f aca="false">IF(V27="","",IFERROR(MATCH(V27,INDEX(Boundaries!$B$2:$I$30,MATCH(CJ27,Boundaries!$A$2:$A$30,0),0),1)-1,""))</f>
        <v>7</v>
      </c>
      <c r="X27" s="42" t="n">
        <f aca="false">IF(OR(W27="",$E27=""),"",W27-$E27)</f>
        <v>1.2</v>
      </c>
      <c r="Y27" s="39" t="n">
        <v>15</v>
      </c>
      <c r="Z27" s="40" t="n">
        <f aca="false">IF(OR(Y27="",BW27=""),"",Y27/BW27*100)</f>
        <v>75</v>
      </c>
      <c r="AA27" s="41" t="n">
        <f aca="false">IF(Z27="","",IFERROR(MATCH(Z27,INDEX(Boundaries!$B$2:$I$30,MATCH(CK27,Boundaries!$A$2:$A$30,0),0),1)-1,""))</f>
        <v>6</v>
      </c>
      <c r="AB27" s="42" t="n">
        <f aca="false">IF(OR(AA27="",$E27=""),"",AA27-$E27)</f>
        <v>0.2</v>
      </c>
      <c r="AC27" s="39" t="n">
        <v>16</v>
      </c>
      <c r="AD27" s="40" t="n">
        <f aca="false">IF(OR(AC27="",BX27=""),"",AC27/BX27*100)</f>
        <v>80</v>
      </c>
      <c r="AE27" s="41" t="n">
        <f aca="false">IF(AD27="","",IFERROR(MATCH(AD27,INDEX(Boundaries!$B$2:$I$30,MATCH(CL27,Boundaries!$A$2:$A$30,0),0),1)-1,""))</f>
        <v>7</v>
      </c>
      <c r="AF27" s="42" t="n">
        <f aca="false">IF(OR(AE27="",$E27=""),"",AE27-$E27)</f>
        <v>1.2</v>
      </c>
      <c r="AG27" s="39" t="n">
        <v>18</v>
      </c>
      <c r="AH27" s="40" t="n">
        <f aca="false">IF(OR(AG27="",BY27=""),"",AG27/BY27*100)</f>
        <v>90</v>
      </c>
      <c r="AI27" s="41" t="n">
        <f aca="false">IF(AH27="","",IFERROR(MATCH(AH27,INDEX(Boundaries!$B$2:$I$30,MATCH(CM27,Boundaries!$A$2:$A$30,0),0),1)-1,""))</f>
        <v>7</v>
      </c>
      <c r="AJ27" s="42" t="n">
        <f aca="false">IF(OR(AI27="",$E27=""),"",AI27-$E27)</f>
        <v>1.2</v>
      </c>
      <c r="AK27" s="39" t="n">
        <v>33</v>
      </c>
      <c r="AL27" s="40" t="n">
        <f aca="false">IF(OR(AK27="",BZ27=""),"",AK27/BZ27*100)</f>
        <v>82.5</v>
      </c>
      <c r="AM27" s="41" t="n">
        <f aca="false">IF(AL27="","",IFERROR(MATCH(AL27,INDEX(Boundaries!$B$2:$I$30,MATCH(CN27,Boundaries!$A$2:$A$30,0),0),1)-1,""))</f>
        <v>7</v>
      </c>
      <c r="AN27" s="42" t="n">
        <f aca="false">IF(OR(AM27="",$E27=""),"",AM27-$E27)</f>
        <v>1.2</v>
      </c>
      <c r="AO27" s="39" t="n">
        <v>42</v>
      </c>
      <c r="AP27" s="40" t="n">
        <f aca="false">IF(OR(AO27="",CA27=""),"",AO27/CA27*100)</f>
        <v>84</v>
      </c>
      <c r="AQ27" s="41" t="n">
        <f aca="false">IF(AP27="","",IFERROR(MATCH(AP27,INDEX(Boundaries!$B$2:$I$30,MATCH(CO27,Boundaries!$A$2:$A$30,0),0),1)-1,""))</f>
        <v>7</v>
      </c>
      <c r="AR27" s="42" t="n">
        <f aca="false">IF(OR(AQ27="",$E27=""),"",AQ27-$E27)</f>
        <v>1.2</v>
      </c>
      <c r="AS27" s="39" t="n">
        <v>18</v>
      </c>
      <c r="AT27" s="40" t="n">
        <f aca="false">IF(OR(AS27="",CB27=""),"",AS27/CB27*100)</f>
        <v>72</v>
      </c>
      <c r="AU27" s="41" t="n">
        <f aca="false">IF(AT27="","",IFERROR(MATCH(AT27,INDEX(Boundaries!$B$2:$I$30,MATCH(CP27,Boundaries!$A$2:$A$30,0),0),1)-1,""))</f>
        <v>6</v>
      </c>
      <c r="AV27" s="42" t="n">
        <f aca="false">IF(OR(AU27="",$E27=""),"",AU27-$E27)</f>
        <v>0.2</v>
      </c>
      <c r="AW27" s="39" t="n">
        <v>13</v>
      </c>
      <c r="AX27" s="40" t="n">
        <f aca="false">IF(OR(AW27="",CC27=""),"",AW27/CC27*100)</f>
        <v>81.25</v>
      </c>
      <c r="AY27" s="41" t="n">
        <f aca="false">IF(AX27="","",IFERROR(MATCH(AX27,INDEX(Boundaries!$B$2:$I$30,MATCH(CQ27,Boundaries!$A$2:$A$30,0),0),1)-1,""))</f>
        <v>7</v>
      </c>
      <c r="AZ27" s="42" t="n">
        <f aca="false">IF(OR(AY27="",$E27=""),"",AY27-$E27)</f>
        <v>1.2</v>
      </c>
      <c r="BA27" s="39" t="n">
        <v>24</v>
      </c>
      <c r="BB27" s="40" t="n">
        <f aca="false">IF(OR(BA27="",CD27=""),"",BA27/CD27*100)</f>
        <v>80</v>
      </c>
      <c r="BC27" s="41" t="n">
        <f aca="false">IF(BB27="","",IFERROR(MATCH(BB27,INDEX(Boundaries!$B$2:$I$30,MATCH(CR27,Boundaries!$A$2:$A$30,0),0),1)-1,""))</f>
        <v>7</v>
      </c>
      <c r="BD27" s="42" t="n">
        <f aca="false">IF(OR(BC27="",$E27=""),"",BC27-$E27)</f>
        <v>1.2</v>
      </c>
      <c r="BE27" s="39"/>
      <c r="BF27" s="40" t="str">
        <f aca="false">IF(OR(BE27="",CE27=""),"",BE27/CE27*100)</f>
        <v/>
      </c>
      <c r="BG27" s="41" t="str">
        <f aca="false">IF(BF27="","",IFERROR(MATCH(BF27,INDEX(Boundaries!$B$2:$I$30,MATCH(CS27,Boundaries!$A$2:$A$30,0),0),1)-1,""))</f>
        <v/>
      </c>
      <c r="BH27" s="42" t="str">
        <f aca="false">IF(OR(BG27="",$E27=""),"",BG27-$E27)</f>
        <v/>
      </c>
      <c r="BI27" s="39"/>
      <c r="BJ27" s="40" t="str">
        <f aca="false">IF(OR(BI27="",CF27=""),"",BI27/CF27*100)</f>
        <v/>
      </c>
      <c r="BK27" s="41" t="str">
        <f aca="false">IF(BJ27="","",IFERROR(MATCH(BJ27,INDEX(Boundaries!$B$2:$I$30,MATCH(CT27,Boundaries!$A$2:$A$30,0),0),1)-1,""))</f>
        <v/>
      </c>
      <c r="BL27" s="42" t="str">
        <f aca="false">IF(OR(BK27="",$E27=""),"",BK27-$E27)</f>
        <v/>
      </c>
      <c r="BM27" s="39"/>
      <c r="BN27" s="40" t="str">
        <f aca="false">IF(OR(BM27="",CG27=""),"",BM27/CG27*100)</f>
        <v/>
      </c>
      <c r="BO27" s="41" t="str">
        <f aca="false">IF(BN27="","",IFERROR(MATCH(BN27,INDEX(Boundaries!$B$2:$I$30,MATCH(CU27,Boundaries!$A$2:$A$30,0),0),1)-1,""))</f>
        <v/>
      </c>
      <c r="BP27" s="42" t="str">
        <f aca="false">IF(OR(BO27="",$E27=""),"",BO27-$E27)</f>
        <v/>
      </c>
      <c r="BQ27" s="39"/>
      <c r="BR27" s="40" t="str">
        <f aca="false">IF(OR(BQ27="",CH27=""),"",BQ27/CH27*100)</f>
        <v/>
      </c>
      <c r="BS27" s="41" t="str">
        <f aca="false">IF(BR27="","",IFERROR(MATCH(BR27,INDEX(Boundaries!$B$2:$I$30,MATCH(CV27,Boundaries!$A$2:$A$30,0),0),1)-1,""))</f>
        <v/>
      </c>
      <c r="BT27" s="42" t="str">
        <f aca="false">IF(OR(BS27="",$E27=""),"",BS27-$E27)</f>
        <v/>
      </c>
      <c r="BU27" s="28" t="n">
        <f aca="false">IFERROR(INDEX(Assessments!$H$2:$H$600,MATCH($H27&amp;"|"&amp;$I27&amp;"|"&amp;$J27&amp;"|"&amp;1,Assessments!$A$2:$A$600,0)),"")</f>
        <v>20</v>
      </c>
      <c r="BV27" s="28" t="n">
        <f aca="false">IFERROR(INDEX(Assessments!$H$2:$H$600,MATCH($H27&amp;"|"&amp;$I27&amp;"|"&amp;$J27&amp;"|"&amp;2,Assessments!$A$2:$A$600,0)),"")</f>
        <v>20</v>
      </c>
      <c r="BW27" s="28" t="n">
        <f aca="false">IFERROR(INDEX(Assessments!$H$2:$H$600,MATCH($H27&amp;"|"&amp;$I27&amp;"|"&amp;$J27&amp;"|"&amp;3,Assessments!$A$2:$A$600,0)),"")</f>
        <v>20</v>
      </c>
      <c r="BX27" s="28" t="n">
        <f aca="false">IFERROR(INDEX(Assessments!$H$2:$H$600,MATCH($H27&amp;"|"&amp;$I27&amp;"|"&amp;$J27&amp;"|"&amp;4,Assessments!$A$2:$A$600,0)),"")</f>
        <v>20</v>
      </c>
      <c r="BY27" s="28" t="n">
        <f aca="false">IFERROR(INDEX(Assessments!$H$2:$H$600,MATCH($H27&amp;"|"&amp;$I27&amp;"|"&amp;$J27&amp;"|"&amp;5,Assessments!$A$2:$A$600,0)),"")</f>
        <v>20</v>
      </c>
      <c r="BZ27" s="28" t="n">
        <f aca="false">IFERROR(INDEX(Assessments!$H$2:$H$600,MATCH($H27&amp;"|"&amp;$I27&amp;"|"&amp;$J27&amp;"|"&amp;6,Assessments!$A$2:$A$600,0)),"")</f>
        <v>40</v>
      </c>
      <c r="CA27" s="28" t="n">
        <f aca="false">IFERROR(INDEX(Assessments!$H$2:$H$600,MATCH($H27&amp;"|"&amp;$I27&amp;"|"&amp;$J27&amp;"|"&amp;7,Assessments!$A$2:$A$600,0)),"")</f>
        <v>50</v>
      </c>
      <c r="CB27" s="28" t="n">
        <f aca="false">IFERROR(INDEX(Assessments!$H$2:$H$600,MATCH($H27&amp;"|"&amp;$I27&amp;"|"&amp;$J27&amp;"|"&amp;8,Assessments!$A$2:$A$600,0)),"")</f>
        <v>25</v>
      </c>
      <c r="CC27" s="28" t="n">
        <f aca="false">IFERROR(INDEX(Assessments!$H$2:$H$600,MATCH($H27&amp;"|"&amp;$I27&amp;"|"&amp;$J27&amp;"|"&amp;9,Assessments!$A$2:$A$600,0)),"")</f>
        <v>16</v>
      </c>
      <c r="CD27" s="28" t="n">
        <f aca="false">IFERROR(INDEX(Assessments!$H$2:$H$600,MATCH($H27&amp;"|"&amp;$I27&amp;"|"&amp;$J27&amp;"|"&amp;10,Assessments!$A$2:$A$600,0)),"")</f>
        <v>30</v>
      </c>
      <c r="CE27" s="28" t="str">
        <f aca="false">IFERROR(INDEX(Assessments!$H$2:$H$600,MATCH($H27&amp;"|"&amp;$I27&amp;"|"&amp;$J27&amp;"|"&amp;11,Assessments!$A$2:$A$600,0)),"")</f>
        <v/>
      </c>
      <c r="CF27" s="28" t="str">
        <f aca="false">IFERROR(INDEX(Assessments!$H$2:$H$600,MATCH($H27&amp;"|"&amp;$I27&amp;"|"&amp;$J27&amp;"|"&amp;12,Assessments!$A$2:$A$600,0)),"")</f>
        <v/>
      </c>
      <c r="CG27" s="28" t="str">
        <f aca="false">IFERROR(INDEX(Assessments!$H$2:$H$600,MATCH($H27&amp;"|"&amp;$I27&amp;"|"&amp;$J27&amp;"|"&amp;13,Assessments!$A$2:$A$600,0)),"")</f>
        <v/>
      </c>
      <c r="CH27" s="28" t="str">
        <f aca="false">IFERROR(INDEX(Assessments!$H$2:$H$600,MATCH($H27&amp;"|"&amp;$I27&amp;"|"&amp;$J27&amp;"|"&amp;14,Assessments!$A$2:$A$600,0)),"")</f>
        <v/>
      </c>
      <c r="CI27" s="28" t="str">
        <f aca="false">IFERROR(INDEX(Assessments!$I$2:$I$600,MATCH($H27&amp;"|"&amp;$I27&amp;"|"&amp;$J27&amp;"|"&amp;1,Assessments!$A$2:$A$600,0)),"")</f>
        <v>Geog Paper 1</v>
      </c>
      <c r="CJ27" s="28" t="str">
        <f aca="false">IFERROR(INDEX(Assessments!$I$2:$I$600,MATCH($H27&amp;"|"&amp;$I27&amp;"|"&amp;$J27&amp;"|"&amp;2,Assessments!$A$2:$A$600,0)),"")</f>
        <v>Geog Paper 1</v>
      </c>
      <c r="CK27" s="28" t="str">
        <f aca="false">IFERROR(INDEX(Assessments!$I$2:$I$600,MATCH($H27&amp;"|"&amp;$I27&amp;"|"&amp;$J27&amp;"|"&amp;3,Assessments!$A$2:$A$600,0)),"")</f>
        <v>Geog Paper 2</v>
      </c>
      <c r="CL27" s="28" t="str">
        <f aca="false">IFERROR(INDEX(Assessments!$I$2:$I$600,MATCH($H27&amp;"|"&amp;$I27&amp;"|"&amp;$J27&amp;"|"&amp;4,Assessments!$A$2:$A$600,0)),"")</f>
        <v>Geog Paper 1</v>
      </c>
      <c r="CM27" s="28" t="str">
        <f aca="false">IFERROR(INDEX(Assessments!$I$2:$I$600,MATCH($H27&amp;"|"&amp;$I27&amp;"|"&amp;$J27&amp;"|"&amp;5,Assessments!$A$2:$A$600,0)),"")</f>
        <v>Geog Paper 1</v>
      </c>
      <c r="CN27" s="28" t="str">
        <f aca="false">IFERROR(INDEX(Assessments!$I$2:$I$600,MATCH($H27&amp;"|"&amp;$I27&amp;"|"&amp;$J27&amp;"|"&amp;6,Assessments!$A$2:$A$600,0)),"")</f>
        <v>Geog Paper 1</v>
      </c>
      <c r="CO27" s="28" t="str">
        <f aca="false">IFERROR(INDEX(Assessments!$I$2:$I$600,MATCH($H27&amp;"|"&amp;$I27&amp;"|"&amp;$J27&amp;"|"&amp;7,Assessments!$A$2:$A$600,0)),"")</f>
        <v>Geog Paper 2</v>
      </c>
      <c r="CP27" s="28" t="str">
        <f aca="false">IFERROR(INDEX(Assessments!$I$2:$I$600,MATCH($H27&amp;"|"&amp;$I27&amp;"|"&amp;$J27&amp;"|"&amp;8,Assessments!$A$2:$A$600,0)),"")</f>
        <v>Geog Paper 2</v>
      </c>
      <c r="CQ27" s="28" t="str">
        <f aca="false">IFERROR(INDEX(Assessments!$I$2:$I$600,MATCH($H27&amp;"|"&amp;$I27&amp;"|"&amp;$J27&amp;"|"&amp;9,Assessments!$A$2:$A$600,0)),"")</f>
        <v>Geog Paper 3</v>
      </c>
      <c r="CR27" s="28" t="str">
        <f aca="false">IFERROR(INDEX(Assessments!$I$2:$I$600,MATCH($H27&amp;"|"&amp;$I27&amp;"|"&amp;$J27&amp;"|"&amp;10,Assessments!$A$2:$A$600,0)),"")</f>
        <v>Geog Paper 2</v>
      </c>
      <c r="CS27" s="28" t="str">
        <f aca="false">IFERROR(INDEX(Assessments!$I$2:$I$600,MATCH($H27&amp;"|"&amp;$I27&amp;"|"&amp;$J27&amp;"|"&amp;11,Assessments!$A$2:$A$600,0)),"")</f>
        <v/>
      </c>
      <c r="CT27" s="28" t="str">
        <f aca="false">IFERROR(INDEX(Assessments!$I$2:$I$600,MATCH($H27&amp;"|"&amp;$I27&amp;"|"&amp;$J27&amp;"|"&amp;12,Assessments!$A$2:$A$600,0)),"")</f>
        <v/>
      </c>
      <c r="CU27" s="28" t="str">
        <f aca="false">IFERROR(INDEX(Assessments!$I$2:$I$600,MATCH($H27&amp;"|"&amp;$I27&amp;"|"&amp;$J27&amp;"|"&amp;13,Assessments!$A$2:$A$600,0)),"")</f>
        <v/>
      </c>
      <c r="CV27" s="28" t="str">
        <f aca="false">IFERROR(INDEX(Assessments!$I$2:$I$600,MATCH($H27&amp;"|"&amp;$I27&amp;"|"&amp;$J27&amp;"|"&amp;14,Assessments!$A$2:$A$600,0)),"")</f>
        <v/>
      </c>
      <c r="CW27" s="28" t="n">
        <f aca="false">IFERROR(INDEX(Assessments!$J$2:$J$600,MATCH($H27&amp;"|"&amp;$I27&amp;"|"&amp;$J27&amp;"|"&amp;1,Assessments!$A$2:$A$600,0)),0)</f>
        <v>1</v>
      </c>
      <c r="CX27" s="28" t="n">
        <f aca="false">IFERROR(INDEX(Assessments!$J$2:$J$600,MATCH($H27&amp;"|"&amp;$I27&amp;"|"&amp;$J27&amp;"|"&amp;2,Assessments!$A$2:$A$600,0)),0)</f>
        <v>1</v>
      </c>
      <c r="CY27" s="28" t="n">
        <f aca="false">IFERROR(INDEX(Assessments!$J$2:$J$600,MATCH($H27&amp;"|"&amp;$I27&amp;"|"&amp;$J27&amp;"|"&amp;3,Assessments!$A$2:$A$600,0)),0)</f>
        <v>1</v>
      </c>
      <c r="CZ27" s="28" t="n">
        <f aca="false">IFERROR(INDEX(Assessments!$J$2:$J$600,MATCH($H27&amp;"|"&amp;$I27&amp;"|"&amp;$J27&amp;"|"&amp;4,Assessments!$A$2:$A$600,0)),0)</f>
        <v>1</v>
      </c>
      <c r="DA27" s="28" t="n">
        <f aca="false">IFERROR(INDEX(Assessments!$J$2:$J$600,MATCH($H27&amp;"|"&amp;$I27&amp;"|"&amp;$J27&amp;"|"&amp;5,Assessments!$A$2:$A$600,0)),0)</f>
        <v>1</v>
      </c>
      <c r="DB27" s="28" t="n">
        <f aca="false">IFERROR(INDEX(Assessments!$J$2:$J$600,MATCH($H27&amp;"|"&amp;$I27&amp;"|"&amp;$J27&amp;"|"&amp;6,Assessments!$A$2:$A$600,0)),0)</f>
        <v>2</v>
      </c>
      <c r="DC27" s="28" t="n">
        <f aca="false">IFERROR(INDEX(Assessments!$J$2:$J$600,MATCH($H27&amp;"|"&amp;$I27&amp;"|"&amp;$J27&amp;"|"&amp;7,Assessments!$A$2:$A$600,0)),0)</f>
        <v>2</v>
      </c>
      <c r="DD27" s="28" t="n">
        <f aca="false">IFERROR(INDEX(Assessments!$J$2:$J$600,MATCH($H27&amp;"|"&amp;$I27&amp;"|"&amp;$J27&amp;"|"&amp;8,Assessments!$A$2:$A$600,0)),0)</f>
        <v>1</v>
      </c>
      <c r="DE27" s="28" t="n">
        <f aca="false">IFERROR(INDEX(Assessments!$J$2:$J$600,MATCH($H27&amp;"|"&amp;$I27&amp;"|"&amp;$J27&amp;"|"&amp;9,Assessments!$A$2:$A$600,0)),0)</f>
        <v>1</v>
      </c>
      <c r="DF27" s="28" t="n">
        <f aca="false">IFERROR(INDEX(Assessments!$J$2:$J$600,MATCH($H27&amp;"|"&amp;$I27&amp;"|"&amp;$J27&amp;"|"&amp;10,Assessments!$A$2:$A$600,0)),0)</f>
        <v>1</v>
      </c>
      <c r="DG27" s="28" t="n">
        <f aca="false">IFERROR(INDEX(Assessments!$J$2:$J$600,MATCH($H27&amp;"|"&amp;$I27&amp;"|"&amp;$J27&amp;"|"&amp;11,Assessments!$A$2:$A$600,0)),0)</f>
        <v>0</v>
      </c>
      <c r="DH27" s="28" t="n">
        <f aca="false">IFERROR(INDEX(Assessments!$J$2:$J$600,MATCH($H27&amp;"|"&amp;$I27&amp;"|"&amp;$J27&amp;"|"&amp;12,Assessments!$A$2:$A$600,0)),0)</f>
        <v>0</v>
      </c>
      <c r="DI27" s="28" t="n">
        <f aca="false">IFERROR(INDEX(Assessments!$J$2:$J$600,MATCH($H27&amp;"|"&amp;$I27&amp;"|"&amp;$J27&amp;"|"&amp;13,Assessments!$A$2:$A$600,0)),0)</f>
        <v>0</v>
      </c>
      <c r="DJ27" s="28" t="n">
        <f aca="false">IFERROR(INDEX(Assessments!$J$2:$J$600,MATCH($H27&amp;"|"&amp;$I27&amp;"|"&amp;$J27&amp;"|"&amp;14,Assessments!$A$2:$A$600,0)),0)</f>
        <v>0</v>
      </c>
      <c r="DK27" s="28" t="n">
        <f aca="false">S27</f>
        <v>7</v>
      </c>
      <c r="DL27" s="28" t="n">
        <f aca="false">W27</f>
        <v>7</v>
      </c>
      <c r="DM27" s="28" t="n">
        <f aca="false">AA27</f>
        <v>6</v>
      </c>
      <c r="DN27" s="28" t="n">
        <f aca="false">AE27</f>
        <v>7</v>
      </c>
      <c r="DO27" s="28" t="n">
        <f aca="false">AI27</f>
        <v>7</v>
      </c>
      <c r="DP27" s="28" t="n">
        <f aca="false">AM27</f>
        <v>7</v>
      </c>
      <c r="DQ27" s="28" t="n">
        <f aca="false">AQ27</f>
        <v>7</v>
      </c>
      <c r="DR27" s="28" t="n">
        <f aca="false">AU27</f>
        <v>6</v>
      </c>
      <c r="DS27" s="28" t="n">
        <f aca="false">AY27</f>
        <v>7</v>
      </c>
      <c r="DT27" s="28" t="n">
        <f aca="false">BC27</f>
        <v>7</v>
      </c>
      <c r="DU27" s="28" t="str">
        <f aca="false">BG27</f>
        <v/>
      </c>
      <c r="DV27" s="28" t="str">
        <f aca="false">BK27</f>
        <v/>
      </c>
      <c r="DW27" s="28" t="str">
        <f aca="false">BO27</f>
        <v/>
      </c>
      <c r="DX27" s="28" t="str">
        <f aca="false">BS27</f>
        <v/>
      </c>
      <c r="DY27" s="28" t="n">
        <f aca="false">IF(ISNUMBER(S27),1,"")</f>
        <v>1</v>
      </c>
      <c r="DZ27" s="28" t="n">
        <f aca="false">IF(ISNUMBER(W27),2,"")</f>
        <v>2</v>
      </c>
      <c r="EA27" s="28" t="n">
        <f aca="false">IF(ISNUMBER(AA27),3,"")</f>
        <v>3</v>
      </c>
      <c r="EB27" s="28" t="n">
        <f aca="false">IF(ISNUMBER(AE27),4,"")</f>
        <v>4</v>
      </c>
      <c r="EC27" s="28" t="n">
        <f aca="false">IF(ISNUMBER(AI27),5,"")</f>
        <v>5</v>
      </c>
      <c r="ED27" s="28" t="n">
        <f aca="false">IF(ISNUMBER(AM27),6,"")</f>
        <v>6</v>
      </c>
      <c r="EE27" s="28" t="n">
        <f aca="false">IF(ISNUMBER(AQ27),7,"")</f>
        <v>7</v>
      </c>
      <c r="EF27" s="28" t="n">
        <f aca="false">IF(ISNUMBER(AU27),8,"")</f>
        <v>8</v>
      </c>
      <c r="EG27" s="28" t="n">
        <f aca="false">IF(ISNUMBER(AY27),9,"")</f>
        <v>9</v>
      </c>
      <c r="EH27" s="28" t="n">
        <f aca="false">IF(ISNUMBER(BC27),10,"")</f>
        <v>10</v>
      </c>
      <c r="EI27" s="28" t="str">
        <f aca="false">IF(ISNUMBER(BG27),11,"")</f>
        <v/>
      </c>
      <c r="EJ27" s="28" t="str">
        <f aca="false">IF(ISNUMBER(BK27),12,"")</f>
        <v/>
      </c>
      <c r="EK27" s="28" t="str">
        <f aca="false">IF(ISNUMBER(BO27),13,"")</f>
        <v/>
      </c>
      <c r="EL27" s="28" t="str">
        <f aca="false">IF(ISNUMBER(BS27),14,"")</f>
        <v/>
      </c>
      <c r="EM27" s="28" t="n">
        <f aca="false">IF(ISNUMBER(R27),R27*CW27,0)</f>
        <v>90</v>
      </c>
      <c r="EN27" s="28" t="n">
        <f aca="false">IF(ISNUMBER(V27),V27*CX27,0)</f>
        <v>75</v>
      </c>
      <c r="EO27" s="28" t="n">
        <f aca="false">IF(ISNUMBER(Z27),Z27*CY27,0)</f>
        <v>75</v>
      </c>
      <c r="EP27" s="28" t="n">
        <f aca="false">IF(ISNUMBER(AD27),AD27*CZ27,0)</f>
        <v>80</v>
      </c>
      <c r="EQ27" s="28" t="n">
        <f aca="false">IF(ISNUMBER(AH27),AH27*DA27,0)</f>
        <v>90</v>
      </c>
      <c r="ER27" s="28" t="n">
        <f aca="false">IF(ISNUMBER(AL27),AL27*DB27,0)</f>
        <v>165</v>
      </c>
      <c r="ES27" s="28" t="n">
        <f aca="false">IF(ISNUMBER(AP27),AP27*DC27,0)</f>
        <v>168</v>
      </c>
      <c r="ET27" s="28" t="n">
        <f aca="false">IF(ISNUMBER(AT27),AT27*DD27,0)</f>
        <v>72</v>
      </c>
      <c r="EU27" s="28" t="n">
        <f aca="false">IF(ISNUMBER(AX27),AX27*DE27,0)</f>
        <v>81.25</v>
      </c>
      <c r="EV27" s="28" t="n">
        <f aca="false">IF(ISNUMBER(BB27),BB27*DF27,0)</f>
        <v>80</v>
      </c>
      <c r="EW27" s="28" t="n">
        <f aca="false">IF(ISNUMBER(BF27),BF27*DG27,0)</f>
        <v>0</v>
      </c>
      <c r="EX27" s="28" t="n">
        <f aca="false">IF(ISNUMBER(BJ27),BJ27*DH27,0)</f>
        <v>0</v>
      </c>
      <c r="EY27" s="28" t="n">
        <f aca="false">IF(ISNUMBER(BN27),BN27*DI27,0)</f>
        <v>0</v>
      </c>
      <c r="EZ27" s="28" t="n">
        <f aca="false">IF(ISNUMBER(BR27),BR27*DJ27,0)</f>
        <v>0</v>
      </c>
      <c r="FA27" s="28" t="n">
        <f aca="false">IF(ISNUMBER(R27),CW27,0)</f>
        <v>1</v>
      </c>
      <c r="FB27" s="28" t="n">
        <f aca="false">IF(ISNUMBER(V27),CX27,0)</f>
        <v>1</v>
      </c>
      <c r="FC27" s="28" t="n">
        <f aca="false">IF(ISNUMBER(Z27),CY27,0)</f>
        <v>1</v>
      </c>
      <c r="FD27" s="28" t="n">
        <f aca="false">IF(ISNUMBER(AD27),CZ27,0)</f>
        <v>1</v>
      </c>
      <c r="FE27" s="28" t="n">
        <f aca="false">IF(ISNUMBER(AH27),DA27,0)</f>
        <v>1</v>
      </c>
      <c r="FF27" s="28" t="n">
        <f aca="false">IF(ISNUMBER(AL27),DB27,0)</f>
        <v>2</v>
      </c>
      <c r="FG27" s="28" t="n">
        <f aca="false">IF(ISNUMBER(AP27),DC27,0)</f>
        <v>2</v>
      </c>
      <c r="FH27" s="28" t="n">
        <f aca="false">IF(ISNUMBER(AT27),DD27,0)</f>
        <v>1</v>
      </c>
      <c r="FI27" s="28" t="n">
        <f aca="false">IF(ISNUMBER(AX27),DE27,0)</f>
        <v>1</v>
      </c>
      <c r="FJ27" s="28" t="n">
        <f aca="false">IF(ISNUMBER(BB27),DF27,0)</f>
        <v>1</v>
      </c>
      <c r="FK27" s="28" t="n">
        <f aca="false">IF(ISNUMBER(BF27),DG27,0)</f>
        <v>0</v>
      </c>
      <c r="FL27" s="28" t="n">
        <f aca="false">IF(ISNUMBER(BJ27),DH27,0)</f>
        <v>0</v>
      </c>
      <c r="FM27" s="28" t="n">
        <f aca="false">IF(ISNUMBER(BN27),DI27,0)</f>
        <v>0</v>
      </c>
      <c r="FN27" s="28" t="n">
        <f aca="false">IF(ISNUMBER(BR27),DJ27,0)</f>
        <v>0</v>
      </c>
      <c r="FO27" s="28" t="str">
        <f aca="false">IFERROR(INDEX(Lists!$G$2:$G$20,MATCH($I27&amp;"|"&amp;$J27,Lists!$F$2:$F$20,0)),"")</f>
        <v>Geog Overall HL</v>
      </c>
    </row>
    <row r="28" customFormat="false" ht="19.5" hidden="false" customHeight="true" outlineLevel="0" collapsed="false">
      <c r="A28" s="29" t="s">
        <v>188</v>
      </c>
      <c r="B28" s="29" t="s">
        <v>189</v>
      </c>
      <c r="C28" s="30" t="s">
        <v>152</v>
      </c>
      <c r="D28" s="30" t="s">
        <v>177</v>
      </c>
      <c r="E28" s="31" t="n">
        <v>5.5</v>
      </c>
      <c r="F28" s="30" t="n">
        <v>6</v>
      </c>
      <c r="G28" s="30" t="s">
        <v>154</v>
      </c>
      <c r="H28" s="32" t="s">
        <v>23</v>
      </c>
      <c r="I28" s="33" t="s">
        <v>24</v>
      </c>
      <c r="J28" s="32" t="s">
        <v>25</v>
      </c>
      <c r="K28" s="34" t="n">
        <f aca="false">IF(OR(M28="",$E28=""),"",M28-$E28)</f>
        <v>-0.5</v>
      </c>
      <c r="L28" s="35" t="n">
        <f aca="false">IF(SUM(FA28:FN28)=0,"",SUM(EM28:EZ28)/SUM(FA28:FN28))</f>
        <v>62.4861111111111</v>
      </c>
      <c r="M28" s="36" t="n">
        <f aca="false">IF(OR(L28="",FO28=""),"",IFERROR(MATCH(L28,INDEX(Boundaries!$B$2:$I$30,MATCH(FO28,Boundaries!$A$2:$A$30,0),0),1)-1,""))</f>
        <v>5</v>
      </c>
      <c r="N28" s="37" t="n">
        <f aca="false">IF(COUNT($DY28:$EL28)&lt;2,"",INDEX($DK28:$DX28,MAX($DY28:$EL28))-INDEX($DK28:$DX28,MIN($DY28:$EL28)))</f>
        <v>-1</v>
      </c>
      <c r="O28" s="37" t="n">
        <f aca="false">IF(COUNT($DY28:$EL28)&lt;2,"",INDEX($DK28:$DX28,MAX($DY28:$EL28))-INDEX($DK28:$DX28,LARGE($DY28:$EL28,2)))</f>
        <v>0</v>
      </c>
      <c r="P28" s="38" t="str">
        <f aca="false">IF(K28="","",IF(K28&gt;=0,"On/above target",IF(AND(N28&lt;&gt;"",N28&gt;=0.5),"Improving towards target",IF(AND(O28&lt;&gt;"",O28&lt;=-0.5),"Declining","Stable below target"))))</f>
        <v>Stable below target</v>
      </c>
      <c r="Q28" s="39" t="n">
        <v>13</v>
      </c>
      <c r="R28" s="40" t="n">
        <f aca="false">IF(OR(Q28="",BU28=""),"",Q28/BU28*100)</f>
        <v>65</v>
      </c>
      <c r="S28" s="41" t="n">
        <f aca="false">IF(R28="","",IFERROR(MATCH(R28,INDEX(Boundaries!$B$2:$I$30,MATCH(CI28,Boundaries!$A$2:$A$30,0),0),1)-1,""))</f>
        <v>6</v>
      </c>
      <c r="T28" s="42" t="n">
        <f aca="false">IF(OR(S28="",$E28=""),"",S28-$E28)</f>
        <v>0.5</v>
      </c>
      <c r="U28" s="39" t="n">
        <v>14</v>
      </c>
      <c r="V28" s="40" t="n">
        <f aca="false">IF(OR(U28="",BV28=""),"",U28/BV28*100)</f>
        <v>70</v>
      </c>
      <c r="W28" s="41" t="n">
        <f aca="false">IF(V28="","",IFERROR(MATCH(V28,INDEX(Boundaries!$B$2:$I$30,MATCH(CJ28,Boundaries!$A$2:$A$30,0),0),1)-1,""))</f>
        <v>6</v>
      </c>
      <c r="X28" s="42" t="n">
        <f aca="false">IF(OR(W28="",$E28=""),"",W28-$E28)</f>
        <v>0.5</v>
      </c>
      <c r="Y28" s="39" t="n">
        <v>14</v>
      </c>
      <c r="Z28" s="40" t="n">
        <f aca="false">IF(OR(Y28="",BW28=""),"",Y28/BW28*100)</f>
        <v>70</v>
      </c>
      <c r="AA28" s="41" t="n">
        <f aca="false">IF(Z28="","",IFERROR(MATCH(Z28,INDEX(Boundaries!$B$2:$I$30,MATCH(CK28,Boundaries!$A$2:$A$30,0),0),1)-1,""))</f>
        <v>6</v>
      </c>
      <c r="AB28" s="42" t="n">
        <f aca="false">IF(OR(AA28="",$E28=""),"",AA28-$E28)</f>
        <v>0.5</v>
      </c>
      <c r="AC28" s="39" t="n">
        <v>16</v>
      </c>
      <c r="AD28" s="40" t="n">
        <f aca="false">IF(OR(AC28="",BX28=""),"",AC28/BX28*100)</f>
        <v>80</v>
      </c>
      <c r="AE28" s="41" t="n">
        <f aca="false">IF(AD28="","",IFERROR(MATCH(AD28,INDEX(Boundaries!$B$2:$I$30,MATCH(CL28,Boundaries!$A$2:$A$30,0),0),1)-1,""))</f>
        <v>7</v>
      </c>
      <c r="AF28" s="42" t="n">
        <f aca="false">IF(OR(AE28="",$E28=""),"",AE28-$E28)</f>
        <v>1.5</v>
      </c>
      <c r="AG28" s="39" t="n">
        <v>11</v>
      </c>
      <c r="AH28" s="40" t="n">
        <f aca="false">IF(OR(AG28="",BY28=""),"",AG28/BY28*100)</f>
        <v>55</v>
      </c>
      <c r="AI28" s="41" t="n">
        <f aca="false">IF(AH28="","",IFERROR(MATCH(AH28,INDEX(Boundaries!$B$2:$I$30,MATCH(CM28,Boundaries!$A$2:$A$30,0),0),1)-1,""))</f>
        <v>5</v>
      </c>
      <c r="AJ28" s="42" t="n">
        <f aca="false">IF(OR(AI28="",$E28=""),"",AI28-$E28)</f>
        <v>-0.5</v>
      </c>
      <c r="AK28" s="39" t="n">
        <v>28</v>
      </c>
      <c r="AL28" s="40" t="n">
        <f aca="false">IF(OR(AK28="",BZ28=""),"",AK28/BZ28*100)</f>
        <v>70</v>
      </c>
      <c r="AM28" s="41" t="n">
        <f aca="false">IF(AL28="","",IFERROR(MATCH(AL28,INDEX(Boundaries!$B$2:$I$30,MATCH(CN28,Boundaries!$A$2:$A$30,0),0),1)-1,""))</f>
        <v>6</v>
      </c>
      <c r="AN28" s="42" t="n">
        <f aca="false">IF(OR(AM28="",$E28=""),"",AM28-$E28)</f>
        <v>0.5</v>
      </c>
      <c r="AO28" s="39" t="n">
        <v>21</v>
      </c>
      <c r="AP28" s="40" t="n">
        <f aca="false">IF(OR(AO28="",CA28=""),"",AO28/CA28*100)</f>
        <v>42</v>
      </c>
      <c r="AQ28" s="41" t="n">
        <f aca="false">IF(AP28="","",IFERROR(MATCH(AP28,INDEX(Boundaries!$B$2:$I$30,MATCH(CO28,Boundaries!$A$2:$A$30,0),0),1)-1,""))</f>
        <v>4</v>
      </c>
      <c r="AR28" s="42" t="n">
        <f aca="false">IF(OR(AQ28="",$E28=""),"",AQ28-$E28)</f>
        <v>-1.5</v>
      </c>
      <c r="AS28" s="39" t="n">
        <v>15</v>
      </c>
      <c r="AT28" s="40" t="n">
        <f aca="false">IF(OR(AS28="",CB28=""),"",AS28/CB28*100)</f>
        <v>60</v>
      </c>
      <c r="AU28" s="41" t="n">
        <f aca="false">IF(AT28="","",IFERROR(MATCH(AT28,INDEX(Boundaries!$B$2:$I$30,MATCH(CP28,Boundaries!$A$2:$A$30,0),0),1)-1,""))</f>
        <v>5</v>
      </c>
      <c r="AV28" s="42" t="n">
        <f aca="false">IF(OR(AU28="",$E28=""),"",AU28-$E28)</f>
        <v>-0.5</v>
      </c>
      <c r="AW28" s="39" t="n">
        <v>10</v>
      </c>
      <c r="AX28" s="40" t="n">
        <f aca="false">IF(OR(AW28="",CC28=""),"",AW28/CC28*100)</f>
        <v>62.5</v>
      </c>
      <c r="AY28" s="41" t="n">
        <f aca="false">IF(AX28="","",IFERROR(MATCH(AX28,INDEX(Boundaries!$B$2:$I$30,MATCH(CQ28,Boundaries!$A$2:$A$30,0),0),1)-1,""))</f>
        <v>5</v>
      </c>
      <c r="AZ28" s="42" t="n">
        <f aca="false">IF(OR(AY28="",$E28=""),"",AY28-$E28)</f>
        <v>-0.5</v>
      </c>
      <c r="BA28" s="39" t="n">
        <v>19</v>
      </c>
      <c r="BB28" s="40" t="n">
        <f aca="false">IF(OR(BA28="",CD28=""),"",BA28/CD28*100)</f>
        <v>63.3333333333333</v>
      </c>
      <c r="BC28" s="41" t="n">
        <f aca="false">IF(BB28="","",IFERROR(MATCH(BB28,INDEX(Boundaries!$B$2:$I$30,MATCH(CR28,Boundaries!$A$2:$A$30,0),0),1)-1,""))</f>
        <v>5</v>
      </c>
      <c r="BD28" s="42" t="n">
        <f aca="false">IF(OR(BC28="",$E28=""),"",BC28-$E28)</f>
        <v>-0.5</v>
      </c>
      <c r="BE28" s="39"/>
      <c r="BF28" s="40" t="str">
        <f aca="false">IF(OR(BE28="",CE28=""),"",BE28/CE28*100)</f>
        <v/>
      </c>
      <c r="BG28" s="41" t="str">
        <f aca="false">IF(BF28="","",IFERROR(MATCH(BF28,INDEX(Boundaries!$B$2:$I$30,MATCH(CS28,Boundaries!$A$2:$A$30,0),0),1)-1,""))</f>
        <v/>
      </c>
      <c r="BH28" s="42" t="str">
        <f aca="false">IF(OR(BG28="",$E28=""),"",BG28-$E28)</f>
        <v/>
      </c>
      <c r="BI28" s="39"/>
      <c r="BJ28" s="40" t="str">
        <f aca="false">IF(OR(BI28="",CF28=""),"",BI28/CF28*100)</f>
        <v/>
      </c>
      <c r="BK28" s="41" t="str">
        <f aca="false">IF(BJ28="","",IFERROR(MATCH(BJ28,INDEX(Boundaries!$B$2:$I$30,MATCH(CT28,Boundaries!$A$2:$A$30,0),0),1)-1,""))</f>
        <v/>
      </c>
      <c r="BL28" s="42" t="str">
        <f aca="false">IF(OR(BK28="",$E28=""),"",BK28-$E28)</f>
        <v/>
      </c>
      <c r="BM28" s="39"/>
      <c r="BN28" s="40" t="str">
        <f aca="false">IF(OR(BM28="",CG28=""),"",BM28/CG28*100)</f>
        <v/>
      </c>
      <c r="BO28" s="41" t="str">
        <f aca="false">IF(BN28="","",IFERROR(MATCH(BN28,INDEX(Boundaries!$B$2:$I$30,MATCH(CU28,Boundaries!$A$2:$A$30,0),0),1)-1,""))</f>
        <v/>
      </c>
      <c r="BP28" s="42" t="str">
        <f aca="false">IF(OR(BO28="",$E28=""),"",BO28-$E28)</f>
        <v/>
      </c>
      <c r="BQ28" s="39"/>
      <c r="BR28" s="40" t="str">
        <f aca="false">IF(OR(BQ28="",CH28=""),"",BQ28/CH28*100)</f>
        <v/>
      </c>
      <c r="BS28" s="41" t="str">
        <f aca="false">IF(BR28="","",IFERROR(MATCH(BR28,INDEX(Boundaries!$B$2:$I$30,MATCH(CV28,Boundaries!$A$2:$A$30,0),0),1)-1,""))</f>
        <v/>
      </c>
      <c r="BT28" s="42" t="str">
        <f aca="false">IF(OR(BS28="",$E28=""),"",BS28-$E28)</f>
        <v/>
      </c>
      <c r="BU28" s="28" t="n">
        <f aca="false">IFERROR(INDEX(Assessments!$H$2:$H$600,MATCH($H28&amp;"|"&amp;$I28&amp;"|"&amp;$J28&amp;"|"&amp;1,Assessments!$A$2:$A$600,0)),"")</f>
        <v>20</v>
      </c>
      <c r="BV28" s="28" t="n">
        <f aca="false">IFERROR(INDEX(Assessments!$H$2:$H$600,MATCH($H28&amp;"|"&amp;$I28&amp;"|"&amp;$J28&amp;"|"&amp;2,Assessments!$A$2:$A$600,0)),"")</f>
        <v>20</v>
      </c>
      <c r="BW28" s="28" t="n">
        <f aca="false">IFERROR(INDEX(Assessments!$H$2:$H$600,MATCH($H28&amp;"|"&amp;$I28&amp;"|"&amp;$J28&amp;"|"&amp;3,Assessments!$A$2:$A$600,0)),"")</f>
        <v>20</v>
      </c>
      <c r="BX28" s="28" t="n">
        <f aca="false">IFERROR(INDEX(Assessments!$H$2:$H$600,MATCH($H28&amp;"|"&amp;$I28&amp;"|"&amp;$J28&amp;"|"&amp;4,Assessments!$A$2:$A$600,0)),"")</f>
        <v>20</v>
      </c>
      <c r="BY28" s="28" t="n">
        <f aca="false">IFERROR(INDEX(Assessments!$H$2:$H$600,MATCH($H28&amp;"|"&amp;$I28&amp;"|"&amp;$J28&amp;"|"&amp;5,Assessments!$A$2:$A$600,0)),"")</f>
        <v>20</v>
      </c>
      <c r="BZ28" s="28" t="n">
        <f aca="false">IFERROR(INDEX(Assessments!$H$2:$H$600,MATCH($H28&amp;"|"&amp;$I28&amp;"|"&amp;$J28&amp;"|"&amp;6,Assessments!$A$2:$A$600,0)),"")</f>
        <v>40</v>
      </c>
      <c r="CA28" s="28" t="n">
        <f aca="false">IFERROR(INDEX(Assessments!$H$2:$H$600,MATCH($H28&amp;"|"&amp;$I28&amp;"|"&amp;$J28&amp;"|"&amp;7,Assessments!$A$2:$A$600,0)),"")</f>
        <v>50</v>
      </c>
      <c r="CB28" s="28" t="n">
        <f aca="false">IFERROR(INDEX(Assessments!$H$2:$H$600,MATCH($H28&amp;"|"&amp;$I28&amp;"|"&amp;$J28&amp;"|"&amp;8,Assessments!$A$2:$A$600,0)),"")</f>
        <v>25</v>
      </c>
      <c r="CC28" s="28" t="n">
        <f aca="false">IFERROR(INDEX(Assessments!$H$2:$H$600,MATCH($H28&amp;"|"&amp;$I28&amp;"|"&amp;$J28&amp;"|"&amp;9,Assessments!$A$2:$A$600,0)),"")</f>
        <v>16</v>
      </c>
      <c r="CD28" s="28" t="n">
        <f aca="false">IFERROR(INDEX(Assessments!$H$2:$H$600,MATCH($H28&amp;"|"&amp;$I28&amp;"|"&amp;$J28&amp;"|"&amp;10,Assessments!$A$2:$A$600,0)),"")</f>
        <v>30</v>
      </c>
      <c r="CE28" s="28" t="str">
        <f aca="false">IFERROR(INDEX(Assessments!$H$2:$H$600,MATCH($H28&amp;"|"&amp;$I28&amp;"|"&amp;$J28&amp;"|"&amp;11,Assessments!$A$2:$A$600,0)),"")</f>
        <v/>
      </c>
      <c r="CF28" s="28" t="str">
        <f aca="false">IFERROR(INDEX(Assessments!$H$2:$H$600,MATCH($H28&amp;"|"&amp;$I28&amp;"|"&amp;$J28&amp;"|"&amp;12,Assessments!$A$2:$A$600,0)),"")</f>
        <v/>
      </c>
      <c r="CG28" s="28" t="str">
        <f aca="false">IFERROR(INDEX(Assessments!$H$2:$H$600,MATCH($H28&amp;"|"&amp;$I28&amp;"|"&amp;$J28&amp;"|"&amp;13,Assessments!$A$2:$A$600,0)),"")</f>
        <v/>
      </c>
      <c r="CH28" s="28" t="str">
        <f aca="false">IFERROR(INDEX(Assessments!$H$2:$H$600,MATCH($H28&amp;"|"&amp;$I28&amp;"|"&amp;$J28&amp;"|"&amp;14,Assessments!$A$2:$A$600,0)),"")</f>
        <v/>
      </c>
      <c r="CI28" s="28" t="str">
        <f aca="false">IFERROR(INDEX(Assessments!$I$2:$I$600,MATCH($H28&amp;"|"&amp;$I28&amp;"|"&amp;$J28&amp;"|"&amp;1,Assessments!$A$2:$A$600,0)),"")</f>
        <v>Geog Paper 1</v>
      </c>
      <c r="CJ28" s="28" t="str">
        <f aca="false">IFERROR(INDEX(Assessments!$I$2:$I$600,MATCH($H28&amp;"|"&amp;$I28&amp;"|"&amp;$J28&amp;"|"&amp;2,Assessments!$A$2:$A$600,0)),"")</f>
        <v>Geog Paper 1</v>
      </c>
      <c r="CK28" s="28" t="str">
        <f aca="false">IFERROR(INDEX(Assessments!$I$2:$I$600,MATCH($H28&amp;"|"&amp;$I28&amp;"|"&amp;$J28&amp;"|"&amp;3,Assessments!$A$2:$A$600,0)),"")</f>
        <v>Geog Paper 2</v>
      </c>
      <c r="CL28" s="28" t="str">
        <f aca="false">IFERROR(INDEX(Assessments!$I$2:$I$600,MATCH($H28&amp;"|"&amp;$I28&amp;"|"&amp;$J28&amp;"|"&amp;4,Assessments!$A$2:$A$600,0)),"")</f>
        <v>Geog Paper 1</v>
      </c>
      <c r="CM28" s="28" t="str">
        <f aca="false">IFERROR(INDEX(Assessments!$I$2:$I$600,MATCH($H28&amp;"|"&amp;$I28&amp;"|"&amp;$J28&amp;"|"&amp;5,Assessments!$A$2:$A$600,0)),"")</f>
        <v>Geog Paper 1</v>
      </c>
      <c r="CN28" s="28" t="str">
        <f aca="false">IFERROR(INDEX(Assessments!$I$2:$I$600,MATCH($H28&amp;"|"&amp;$I28&amp;"|"&amp;$J28&amp;"|"&amp;6,Assessments!$A$2:$A$600,0)),"")</f>
        <v>Geog Paper 1</v>
      </c>
      <c r="CO28" s="28" t="str">
        <f aca="false">IFERROR(INDEX(Assessments!$I$2:$I$600,MATCH($H28&amp;"|"&amp;$I28&amp;"|"&amp;$J28&amp;"|"&amp;7,Assessments!$A$2:$A$600,0)),"")</f>
        <v>Geog Paper 2</v>
      </c>
      <c r="CP28" s="28" t="str">
        <f aca="false">IFERROR(INDEX(Assessments!$I$2:$I$600,MATCH($H28&amp;"|"&amp;$I28&amp;"|"&amp;$J28&amp;"|"&amp;8,Assessments!$A$2:$A$600,0)),"")</f>
        <v>Geog Paper 2</v>
      </c>
      <c r="CQ28" s="28" t="str">
        <f aca="false">IFERROR(INDEX(Assessments!$I$2:$I$600,MATCH($H28&amp;"|"&amp;$I28&amp;"|"&amp;$J28&amp;"|"&amp;9,Assessments!$A$2:$A$600,0)),"")</f>
        <v>Geog Paper 3</v>
      </c>
      <c r="CR28" s="28" t="str">
        <f aca="false">IFERROR(INDEX(Assessments!$I$2:$I$600,MATCH($H28&amp;"|"&amp;$I28&amp;"|"&amp;$J28&amp;"|"&amp;10,Assessments!$A$2:$A$600,0)),"")</f>
        <v>Geog Paper 2</v>
      </c>
      <c r="CS28" s="28" t="str">
        <f aca="false">IFERROR(INDEX(Assessments!$I$2:$I$600,MATCH($H28&amp;"|"&amp;$I28&amp;"|"&amp;$J28&amp;"|"&amp;11,Assessments!$A$2:$A$600,0)),"")</f>
        <v/>
      </c>
      <c r="CT28" s="28" t="str">
        <f aca="false">IFERROR(INDEX(Assessments!$I$2:$I$600,MATCH($H28&amp;"|"&amp;$I28&amp;"|"&amp;$J28&amp;"|"&amp;12,Assessments!$A$2:$A$600,0)),"")</f>
        <v/>
      </c>
      <c r="CU28" s="28" t="str">
        <f aca="false">IFERROR(INDEX(Assessments!$I$2:$I$600,MATCH($H28&amp;"|"&amp;$I28&amp;"|"&amp;$J28&amp;"|"&amp;13,Assessments!$A$2:$A$600,0)),"")</f>
        <v/>
      </c>
      <c r="CV28" s="28" t="str">
        <f aca="false">IFERROR(INDEX(Assessments!$I$2:$I$600,MATCH($H28&amp;"|"&amp;$I28&amp;"|"&amp;$J28&amp;"|"&amp;14,Assessments!$A$2:$A$600,0)),"")</f>
        <v/>
      </c>
      <c r="CW28" s="28" t="n">
        <f aca="false">IFERROR(INDEX(Assessments!$J$2:$J$600,MATCH($H28&amp;"|"&amp;$I28&amp;"|"&amp;$J28&amp;"|"&amp;1,Assessments!$A$2:$A$600,0)),0)</f>
        <v>1</v>
      </c>
      <c r="CX28" s="28" t="n">
        <f aca="false">IFERROR(INDEX(Assessments!$J$2:$J$600,MATCH($H28&amp;"|"&amp;$I28&amp;"|"&amp;$J28&amp;"|"&amp;2,Assessments!$A$2:$A$600,0)),0)</f>
        <v>1</v>
      </c>
      <c r="CY28" s="28" t="n">
        <f aca="false">IFERROR(INDEX(Assessments!$J$2:$J$600,MATCH($H28&amp;"|"&amp;$I28&amp;"|"&amp;$J28&amp;"|"&amp;3,Assessments!$A$2:$A$600,0)),0)</f>
        <v>1</v>
      </c>
      <c r="CZ28" s="28" t="n">
        <f aca="false">IFERROR(INDEX(Assessments!$J$2:$J$600,MATCH($H28&amp;"|"&amp;$I28&amp;"|"&amp;$J28&amp;"|"&amp;4,Assessments!$A$2:$A$600,0)),0)</f>
        <v>1</v>
      </c>
      <c r="DA28" s="28" t="n">
        <f aca="false">IFERROR(INDEX(Assessments!$J$2:$J$600,MATCH($H28&amp;"|"&amp;$I28&amp;"|"&amp;$J28&amp;"|"&amp;5,Assessments!$A$2:$A$600,0)),0)</f>
        <v>1</v>
      </c>
      <c r="DB28" s="28" t="n">
        <f aca="false">IFERROR(INDEX(Assessments!$J$2:$J$600,MATCH($H28&amp;"|"&amp;$I28&amp;"|"&amp;$J28&amp;"|"&amp;6,Assessments!$A$2:$A$600,0)),0)</f>
        <v>2</v>
      </c>
      <c r="DC28" s="28" t="n">
        <f aca="false">IFERROR(INDEX(Assessments!$J$2:$J$600,MATCH($H28&amp;"|"&amp;$I28&amp;"|"&amp;$J28&amp;"|"&amp;7,Assessments!$A$2:$A$600,0)),0)</f>
        <v>2</v>
      </c>
      <c r="DD28" s="28" t="n">
        <f aca="false">IFERROR(INDEX(Assessments!$J$2:$J$600,MATCH($H28&amp;"|"&amp;$I28&amp;"|"&amp;$J28&amp;"|"&amp;8,Assessments!$A$2:$A$600,0)),0)</f>
        <v>1</v>
      </c>
      <c r="DE28" s="28" t="n">
        <f aca="false">IFERROR(INDEX(Assessments!$J$2:$J$600,MATCH($H28&amp;"|"&amp;$I28&amp;"|"&amp;$J28&amp;"|"&amp;9,Assessments!$A$2:$A$600,0)),0)</f>
        <v>1</v>
      </c>
      <c r="DF28" s="28" t="n">
        <f aca="false">IFERROR(INDEX(Assessments!$J$2:$J$600,MATCH($H28&amp;"|"&amp;$I28&amp;"|"&amp;$J28&amp;"|"&amp;10,Assessments!$A$2:$A$600,0)),0)</f>
        <v>1</v>
      </c>
      <c r="DG28" s="28" t="n">
        <f aca="false">IFERROR(INDEX(Assessments!$J$2:$J$600,MATCH($H28&amp;"|"&amp;$I28&amp;"|"&amp;$J28&amp;"|"&amp;11,Assessments!$A$2:$A$600,0)),0)</f>
        <v>0</v>
      </c>
      <c r="DH28" s="28" t="n">
        <f aca="false">IFERROR(INDEX(Assessments!$J$2:$J$600,MATCH($H28&amp;"|"&amp;$I28&amp;"|"&amp;$J28&amp;"|"&amp;12,Assessments!$A$2:$A$600,0)),0)</f>
        <v>0</v>
      </c>
      <c r="DI28" s="28" t="n">
        <f aca="false">IFERROR(INDEX(Assessments!$J$2:$J$600,MATCH($H28&amp;"|"&amp;$I28&amp;"|"&amp;$J28&amp;"|"&amp;13,Assessments!$A$2:$A$600,0)),0)</f>
        <v>0</v>
      </c>
      <c r="DJ28" s="28" t="n">
        <f aca="false">IFERROR(INDEX(Assessments!$J$2:$J$600,MATCH($H28&amp;"|"&amp;$I28&amp;"|"&amp;$J28&amp;"|"&amp;14,Assessments!$A$2:$A$600,0)),0)</f>
        <v>0</v>
      </c>
      <c r="DK28" s="28" t="n">
        <f aca="false">S28</f>
        <v>6</v>
      </c>
      <c r="DL28" s="28" t="n">
        <f aca="false">W28</f>
        <v>6</v>
      </c>
      <c r="DM28" s="28" t="n">
        <f aca="false">AA28</f>
        <v>6</v>
      </c>
      <c r="DN28" s="28" t="n">
        <f aca="false">AE28</f>
        <v>7</v>
      </c>
      <c r="DO28" s="28" t="n">
        <f aca="false">AI28</f>
        <v>5</v>
      </c>
      <c r="DP28" s="28" t="n">
        <f aca="false">AM28</f>
        <v>6</v>
      </c>
      <c r="DQ28" s="28" t="n">
        <f aca="false">AQ28</f>
        <v>4</v>
      </c>
      <c r="DR28" s="28" t="n">
        <f aca="false">AU28</f>
        <v>5</v>
      </c>
      <c r="DS28" s="28" t="n">
        <f aca="false">AY28</f>
        <v>5</v>
      </c>
      <c r="DT28" s="28" t="n">
        <f aca="false">BC28</f>
        <v>5</v>
      </c>
      <c r="DU28" s="28" t="str">
        <f aca="false">BG28</f>
        <v/>
      </c>
      <c r="DV28" s="28" t="str">
        <f aca="false">BK28</f>
        <v/>
      </c>
      <c r="DW28" s="28" t="str">
        <f aca="false">BO28</f>
        <v/>
      </c>
      <c r="DX28" s="28" t="str">
        <f aca="false">BS28</f>
        <v/>
      </c>
      <c r="DY28" s="28" t="n">
        <f aca="false">IF(ISNUMBER(S28),1,"")</f>
        <v>1</v>
      </c>
      <c r="DZ28" s="28" t="n">
        <f aca="false">IF(ISNUMBER(W28),2,"")</f>
        <v>2</v>
      </c>
      <c r="EA28" s="28" t="n">
        <f aca="false">IF(ISNUMBER(AA28),3,"")</f>
        <v>3</v>
      </c>
      <c r="EB28" s="28" t="n">
        <f aca="false">IF(ISNUMBER(AE28),4,"")</f>
        <v>4</v>
      </c>
      <c r="EC28" s="28" t="n">
        <f aca="false">IF(ISNUMBER(AI28),5,"")</f>
        <v>5</v>
      </c>
      <c r="ED28" s="28" t="n">
        <f aca="false">IF(ISNUMBER(AM28),6,"")</f>
        <v>6</v>
      </c>
      <c r="EE28" s="28" t="n">
        <f aca="false">IF(ISNUMBER(AQ28),7,"")</f>
        <v>7</v>
      </c>
      <c r="EF28" s="28" t="n">
        <f aca="false">IF(ISNUMBER(AU28),8,"")</f>
        <v>8</v>
      </c>
      <c r="EG28" s="28" t="n">
        <f aca="false">IF(ISNUMBER(AY28),9,"")</f>
        <v>9</v>
      </c>
      <c r="EH28" s="28" t="n">
        <f aca="false">IF(ISNUMBER(BC28),10,"")</f>
        <v>10</v>
      </c>
      <c r="EI28" s="28" t="str">
        <f aca="false">IF(ISNUMBER(BG28),11,"")</f>
        <v/>
      </c>
      <c r="EJ28" s="28" t="str">
        <f aca="false">IF(ISNUMBER(BK28),12,"")</f>
        <v/>
      </c>
      <c r="EK28" s="28" t="str">
        <f aca="false">IF(ISNUMBER(BO28),13,"")</f>
        <v/>
      </c>
      <c r="EL28" s="28" t="str">
        <f aca="false">IF(ISNUMBER(BS28),14,"")</f>
        <v/>
      </c>
      <c r="EM28" s="28" t="n">
        <f aca="false">IF(ISNUMBER(R28),R28*CW28,0)</f>
        <v>65</v>
      </c>
      <c r="EN28" s="28" t="n">
        <f aca="false">IF(ISNUMBER(V28),V28*CX28,0)</f>
        <v>70</v>
      </c>
      <c r="EO28" s="28" t="n">
        <f aca="false">IF(ISNUMBER(Z28),Z28*CY28,0)</f>
        <v>70</v>
      </c>
      <c r="EP28" s="28" t="n">
        <f aca="false">IF(ISNUMBER(AD28),AD28*CZ28,0)</f>
        <v>80</v>
      </c>
      <c r="EQ28" s="28" t="n">
        <f aca="false">IF(ISNUMBER(AH28),AH28*DA28,0)</f>
        <v>55</v>
      </c>
      <c r="ER28" s="28" t="n">
        <f aca="false">IF(ISNUMBER(AL28),AL28*DB28,0)</f>
        <v>140</v>
      </c>
      <c r="ES28" s="28" t="n">
        <f aca="false">IF(ISNUMBER(AP28),AP28*DC28,0)</f>
        <v>84</v>
      </c>
      <c r="ET28" s="28" t="n">
        <f aca="false">IF(ISNUMBER(AT28),AT28*DD28,0)</f>
        <v>60</v>
      </c>
      <c r="EU28" s="28" t="n">
        <f aca="false">IF(ISNUMBER(AX28),AX28*DE28,0)</f>
        <v>62.5</v>
      </c>
      <c r="EV28" s="28" t="n">
        <f aca="false">IF(ISNUMBER(BB28),BB28*DF28,0)</f>
        <v>63.3333333333333</v>
      </c>
      <c r="EW28" s="28" t="n">
        <f aca="false">IF(ISNUMBER(BF28),BF28*DG28,0)</f>
        <v>0</v>
      </c>
      <c r="EX28" s="28" t="n">
        <f aca="false">IF(ISNUMBER(BJ28),BJ28*DH28,0)</f>
        <v>0</v>
      </c>
      <c r="EY28" s="28" t="n">
        <f aca="false">IF(ISNUMBER(BN28),BN28*DI28,0)</f>
        <v>0</v>
      </c>
      <c r="EZ28" s="28" t="n">
        <f aca="false">IF(ISNUMBER(BR28),BR28*DJ28,0)</f>
        <v>0</v>
      </c>
      <c r="FA28" s="28" t="n">
        <f aca="false">IF(ISNUMBER(R28),CW28,0)</f>
        <v>1</v>
      </c>
      <c r="FB28" s="28" t="n">
        <f aca="false">IF(ISNUMBER(V28),CX28,0)</f>
        <v>1</v>
      </c>
      <c r="FC28" s="28" t="n">
        <f aca="false">IF(ISNUMBER(Z28),CY28,0)</f>
        <v>1</v>
      </c>
      <c r="FD28" s="28" t="n">
        <f aca="false">IF(ISNUMBER(AD28),CZ28,0)</f>
        <v>1</v>
      </c>
      <c r="FE28" s="28" t="n">
        <f aca="false">IF(ISNUMBER(AH28),DA28,0)</f>
        <v>1</v>
      </c>
      <c r="FF28" s="28" t="n">
        <f aca="false">IF(ISNUMBER(AL28),DB28,0)</f>
        <v>2</v>
      </c>
      <c r="FG28" s="28" t="n">
        <f aca="false">IF(ISNUMBER(AP28),DC28,0)</f>
        <v>2</v>
      </c>
      <c r="FH28" s="28" t="n">
        <f aca="false">IF(ISNUMBER(AT28),DD28,0)</f>
        <v>1</v>
      </c>
      <c r="FI28" s="28" t="n">
        <f aca="false">IF(ISNUMBER(AX28),DE28,0)</f>
        <v>1</v>
      </c>
      <c r="FJ28" s="28" t="n">
        <f aca="false">IF(ISNUMBER(BB28),DF28,0)</f>
        <v>1</v>
      </c>
      <c r="FK28" s="28" t="n">
        <f aca="false">IF(ISNUMBER(BF28),DG28,0)</f>
        <v>0</v>
      </c>
      <c r="FL28" s="28" t="n">
        <f aca="false">IF(ISNUMBER(BJ28),DH28,0)</f>
        <v>0</v>
      </c>
      <c r="FM28" s="28" t="n">
        <f aca="false">IF(ISNUMBER(BN28),DI28,0)</f>
        <v>0</v>
      </c>
      <c r="FN28" s="28" t="n">
        <f aca="false">IF(ISNUMBER(BR28),DJ28,0)</f>
        <v>0</v>
      </c>
      <c r="FO28" s="28" t="str">
        <f aca="false">IFERROR(INDEX(Lists!$G$2:$G$20,MATCH($I28&amp;"|"&amp;$J28,Lists!$F$2:$F$20,0)),"")</f>
        <v>Geog Overall HL</v>
      </c>
    </row>
    <row r="29" customFormat="false" ht="19.5" hidden="false" customHeight="true" outlineLevel="0" collapsed="false">
      <c r="A29" s="29" t="s">
        <v>190</v>
      </c>
      <c r="B29" s="29" t="s">
        <v>191</v>
      </c>
      <c r="C29" s="30" t="s">
        <v>192</v>
      </c>
      <c r="D29" s="30" t="s">
        <v>193</v>
      </c>
      <c r="E29" s="31" t="n">
        <v>5.3</v>
      </c>
      <c r="F29" s="30" t="n">
        <v>6</v>
      </c>
      <c r="G29" s="30" t="s">
        <v>154</v>
      </c>
      <c r="H29" s="32" t="s">
        <v>23</v>
      </c>
      <c r="I29" s="33" t="s">
        <v>24</v>
      </c>
      <c r="J29" s="32" t="s">
        <v>25</v>
      </c>
      <c r="K29" s="34" t="n">
        <f aca="false">IF(OR(M29="",$E29=""),"",M29-$E29)</f>
        <v>-1.3</v>
      </c>
      <c r="L29" s="35" t="n">
        <f aca="false">IF(SUM(FA29:FN29)=0,"",SUM(EM29:EZ29)/SUM(FA29:FN29))</f>
        <v>48.8484848484849</v>
      </c>
      <c r="M29" s="36" t="n">
        <f aca="false">IF(OR(L29="",FO29=""),"",IFERROR(MATCH(L29,INDEX(Boundaries!$B$2:$I$30,MATCH(FO29,Boundaries!$A$2:$A$30,0),0),1)-1,""))</f>
        <v>4</v>
      </c>
      <c r="N29" s="37" t="n">
        <f aca="false">IF(COUNT($DY29:$EL29)&lt;2,"",INDEX($DK29:$DX29,MAX($DY29:$EL29))-INDEX($DK29:$DX29,MIN($DY29:$EL29)))</f>
        <v>3</v>
      </c>
      <c r="O29" s="37" t="n">
        <f aca="false">IF(COUNT($DY29:$EL29)&lt;2,"",INDEX($DK29:$DX29,MAX($DY29:$EL29))-INDEX($DK29:$DX29,LARGE($DY29:$EL29,2)))</f>
        <v>3</v>
      </c>
      <c r="P29" s="38" t="str">
        <f aca="false">IF(K29="","",IF(K29&gt;=0,"On/above target",IF(AND(N29&lt;&gt;"",N29&gt;=0.5),"Improving towards target",IF(AND(O29&lt;&gt;"",O29&lt;=-0.5),"Declining","Stable below target"))))</f>
        <v>Improving towards target</v>
      </c>
      <c r="Q29" s="39" t="n">
        <v>7</v>
      </c>
      <c r="R29" s="40" t="n">
        <f aca="false">IF(OR(Q29="",BU29=""),"",Q29/BU29*100)</f>
        <v>35</v>
      </c>
      <c r="S29" s="41" t="n">
        <f aca="false">IF(R29="","",IFERROR(MATCH(R29,INDEX(Boundaries!$B$2:$I$30,MATCH(CI29,Boundaries!$A$2:$A$30,0),0),1)-1,""))</f>
        <v>3</v>
      </c>
      <c r="T29" s="42" t="n">
        <f aca="false">IF(OR(S29="",$E29=""),"",S29-$E29)</f>
        <v>-2.3</v>
      </c>
      <c r="U29" s="39" t="n">
        <v>8</v>
      </c>
      <c r="V29" s="40" t="n">
        <f aca="false">IF(OR(U29="",BV29=""),"",U29/BV29*100)</f>
        <v>40</v>
      </c>
      <c r="W29" s="41" t="n">
        <f aca="false">IF(V29="","",IFERROR(MATCH(V29,INDEX(Boundaries!$B$2:$I$30,MATCH(CJ29,Boundaries!$A$2:$A$30,0),0),1)-1,""))</f>
        <v>3</v>
      </c>
      <c r="X29" s="42" t="n">
        <f aca="false">IF(OR(W29="",$E29=""),"",W29-$E29)</f>
        <v>-2.3</v>
      </c>
      <c r="Y29" s="39" t="n">
        <v>6</v>
      </c>
      <c r="Z29" s="40" t="n">
        <f aca="false">IF(OR(Y29="",BW29=""),"",Y29/BW29*100)</f>
        <v>30</v>
      </c>
      <c r="AA29" s="41" t="n">
        <f aca="false">IF(Z29="","",IFERROR(MATCH(Z29,INDEX(Boundaries!$B$2:$I$30,MATCH(CK29,Boundaries!$A$2:$A$30,0),0),1)-1,""))</f>
        <v>3</v>
      </c>
      <c r="AB29" s="42" t="n">
        <f aca="false">IF(OR(AA29="",$E29=""),"",AA29-$E29)</f>
        <v>-2.3</v>
      </c>
      <c r="AC29" s="39" t="n">
        <v>11</v>
      </c>
      <c r="AD29" s="40" t="n">
        <f aca="false">IF(OR(AC29="",BX29=""),"",AC29/BX29*100)</f>
        <v>55</v>
      </c>
      <c r="AE29" s="41" t="n">
        <f aca="false">IF(AD29="","",IFERROR(MATCH(AD29,INDEX(Boundaries!$B$2:$I$30,MATCH(CL29,Boundaries!$A$2:$A$30,0),0),1)-1,""))</f>
        <v>5</v>
      </c>
      <c r="AF29" s="42" t="n">
        <f aca="false">IF(OR(AE29="",$E29=""),"",AE29-$E29)</f>
        <v>-0.3</v>
      </c>
      <c r="AG29" s="39" t="n">
        <v>12</v>
      </c>
      <c r="AH29" s="40" t="n">
        <f aca="false">IF(OR(AG29="",BY29=""),"",AG29/BY29*100)</f>
        <v>60</v>
      </c>
      <c r="AI29" s="41" t="n">
        <f aca="false">IF(AH29="","",IFERROR(MATCH(AH29,INDEX(Boundaries!$B$2:$I$30,MATCH(CM29,Boundaries!$A$2:$A$30,0),0),1)-1,""))</f>
        <v>5</v>
      </c>
      <c r="AJ29" s="42" t="n">
        <f aca="false">IF(OR(AI29="",$E29=""),"",AI29-$E29)</f>
        <v>-0.3</v>
      </c>
      <c r="AK29" s="39" t="n">
        <v>22</v>
      </c>
      <c r="AL29" s="40" t="n">
        <f aca="false">IF(OR(AK29="",BZ29=""),"",AK29/BZ29*100)</f>
        <v>55</v>
      </c>
      <c r="AM29" s="41" t="n">
        <f aca="false">IF(AL29="","",IFERROR(MATCH(AL29,INDEX(Boundaries!$B$2:$I$30,MATCH(CN29,Boundaries!$A$2:$A$30,0),0),1)-1,""))</f>
        <v>5</v>
      </c>
      <c r="AN29" s="42" t="n">
        <f aca="false">IF(OR(AM29="",$E29=""),"",AM29-$E29)</f>
        <v>-0.3</v>
      </c>
      <c r="AO29" s="39" t="n">
        <v>21</v>
      </c>
      <c r="AP29" s="40" t="n">
        <f aca="false">IF(OR(AO29="",CA29=""),"",AO29/CA29*100)</f>
        <v>42</v>
      </c>
      <c r="AQ29" s="41" t="n">
        <f aca="false">IF(AP29="","",IFERROR(MATCH(AP29,INDEX(Boundaries!$B$2:$I$30,MATCH(CO29,Boundaries!$A$2:$A$30,0),0),1)-1,""))</f>
        <v>4</v>
      </c>
      <c r="AR29" s="42" t="n">
        <f aca="false">IF(OR(AQ29="",$E29=""),"",AQ29-$E29)</f>
        <v>-1.3</v>
      </c>
      <c r="AS29" s="39"/>
      <c r="AT29" s="40" t="str">
        <f aca="false">IF(OR(AS29="",CB29=""),"",AS29/CB29*100)</f>
        <v/>
      </c>
      <c r="AU29" s="41" t="str">
        <f aca="false">IF(AT29="","",IFERROR(MATCH(AT29,INDEX(Boundaries!$B$2:$I$30,MATCH(CP29,Boundaries!$A$2:$A$30,0),0),1)-1,""))</f>
        <v/>
      </c>
      <c r="AV29" s="42" t="str">
        <f aca="false">IF(OR(AU29="",$E29=""),"",AU29-$E29)</f>
        <v/>
      </c>
      <c r="AW29" s="39" t="n">
        <v>8</v>
      </c>
      <c r="AX29" s="40" t="n">
        <f aca="false">IF(OR(AW29="",CC29=""),"",AW29/CC29*100)</f>
        <v>50</v>
      </c>
      <c r="AY29" s="41" t="n">
        <f aca="false">IF(AX29="","",IFERROR(MATCH(AX29,INDEX(Boundaries!$B$2:$I$30,MATCH(CQ29,Boundaries!$A$2:$A$30,0),0),1)-1,""))</f>
        <v>3</v>
      </c>
      <c r="AZ29" s="42" t="n">
        <f aca="false">IF(OR(AY29="",$E29=""),"",AY29-$E29)</f>
        <v>-2.3</v>
      </c>
      <c r="BA29" s="39" t="n">
        <v>22</v>
      </c>
      <c r="BB29" s="40" t="n">
        <f aca="false">IF(OR(BA29="",CD29=""),"",BA29/CD29*100)</f>
        <v>73.3333333333333</v>
      </c>
      <c r="BC29" s="41" t="n">
        <f aca="false">IF(BB29="","",IFERROR(MATCH(BB29,INDEX(Boundaries!$B$2:$I$30,MATCH(CR29,Boundaries!$A$2:$A$30,0),0),1)-1,""))</f>
        <v>6</v>
      </c>
      <c r="BD29" s="42" t="n">
        <f aca="false">IF(OR(BC29="",$E29=""),"",BC29-$E29)</f>
        <v>0.7</v>
      </c>
      <c r="BE29" s="39"/>
      <c r="BF29" s="40" t="str">
        <f aca="false">IF(OR(BE29="",CE29=""),"",BE29/CE29*100)</f>
        <v/>
      </c>
      <c r="BG29" s="41" t="str">
        <f aca="false">IF(BF29="","",IFERROR(MATCH(BF29,INDEX(Boundaries!$B$2:$I$30,MATCH(CS29,Boundaries!$A$2:$A$30,0),0),1)-1,""))</f>
        <v/>
      </c>
      <c r="BH29" s="42" t="str">
        <f aca="false">IF(OR(BG29="",$E29=""),"",BG29-$E29)</f>
        <v/>
      </c>
      <c r="BI29" s="39"/>
      <c r="BJ29" s="40" t="str">
        <f aca="false">IF(OR(BI29="",CF29=""),"",BI29/CF29*100)</f>
        <v/>
      </c>
      <c r="BK29" s="41" t="str">
        <f aca="false">IF(BJ29="","",IFERROR(MATCH(BJ29,INDEX(Boundaries!$B$2:$I$30,MATCH(CT29,Boundaries!$A$2:$A$30,0),0),1)-1,""))</f>
        <v/>
      </c>
      <c r="BL29" s="42" t="str">
        <f aca="false">IF(OR(BK29="",$E29=""),"",BK29-$E29)</f>
        <v/>
      </c>
      <c r="BM29" s="39"/>
      <c r="BN29" s="40" t="str">
        <f aca="false">IF(OR(BM29="",CG29=""),"",BM29/CG29*100)</f>
        <v/>
      </c>
      <c r="BO29" s="41" t="str">
        <f aca="false">IF(BN29="","",IFERROR(MATCH(BN29,INDEX(Boundaries!$B$2:$I$30,MATCH(CU29,Boundaries!$A$2:$A$30,0),0),1)-1,""))</f>
        <v/>
      </c>
      <c r="BP29" s="42" t="str">
        <f aca="false">IF(OR(BO29="",$E29=""),"",BO29-$E29)</f>
        <v/>
      </c>
      <c r="BQ29" s="39"/>
      <c r="BR29" s="40" t="str">
        <f aca="false">IF(OR(BQ29="",CH29=""),"",BQ29/CH29*100)</f>
        <v/>
      </c>
      <c r="BS29" s="41" t="str">
        <f aca="false">IF(BR29="","",IFERROR(MATCH(BR29,INDEX(Boundaries!$B$2:$I$30,MATCH(CV29,Boundaries!$A$2:$A$30,0),0),1)-1,""))</f>
        <v/>
      </c>
      <c r="BT29" s="42" t="str">
        <f aca="false">IF(OR(BS29="",$E29=""),"",BS29-$E29)</f>
        <v/>
      </c>
      <c r="BU29" s="28" t="n">
        <f aca="false">IFERROR(INDEX(Assessments!$H$2:$H$600,MATCH($H29&amp;"|"&amp;$I29&amp;"|"&amp;$J29&amp;"|"&amp;1,Assessments!$A$2:$A$600,0)),"")</f>
        <v>20</v>
      </c>
      <c r="BV29" s="28" t="n">
        <f aca="false">IFERROR(INDEX(Assessments!$H$2:$H$600,MATCH($H29&amp;"|"&amp;$I29&amp;"|"&amp;$J29&amp;"|"&amp;2,Assessments!$A$2:$A$600,0)),"")</f>
        <v>20</v>
      </c>
      <c r="BW29" s="28" t="n">
        <f aca="false">IFERROR(INDEX(Assessments!$H$2:$H$600,MATCH($H29&amp;"|"&amp;$I29&amp;"|"&amp;$J29&amp;"|"&amp;3,Assessments!$A$2:$A$600,0)),"")</f>
        <v>20</v>
      </c>
      <c r="BX29" s="28" t="n">
        <f aca="false">IFERROR(INDEX(Assessments!$H$2:$H$600,MATCH($H29&amp;"|"&amp;$I29&amp;"|"&amp;$J29&amp;"|"&amp;4,Assessments!$A$2:$A$600,0)),"")</f>
        <v>20</v>
      </c>
      <c r="BY29" s="28" t="n">
        <f aca="false">IFERROR(INDEX(Assessments!$H$2:$H$600,MATCH($H29&amp;"|"&amp;$I29&amp;"|"&amp;$J29&amp;"|"&amp;5,Assessments!$A$2:$A$600,0)),"")</f>
        <v>20</v>
      </c>
      <c r="BZ29" s="28" t="n">
        <f aca="false">IFERROR(INDEX(Assessments!$H$2:$H$600,MATCH($H29&amp;"|"&amp;$I29&amp;"|"&amp;$J29&amp;"|"&amp;6,Assessments!$A$2:$A$600,0)),"")</f>
        <v>40</v>
      </c>
      <c r="CA29" s="28" t="n">
        <f aca="false">IFERROR(INDEX(Assessments!$H$2:$H$600,MATCH($H29&amp;"|"&amp;$I29&amp;"|"&amp;$J29&amp;"|"&amp;7,Assessments!$A$2:$A$600,0)),"")</f>
        <v>50</v>
      </c>
      <c r="CB29" s="28" t="n">
        <f aca="false">IFERROR(INDEX(Assessments!$H$2:$H$600,MATCH($H29&amp;"|"&amp;$I29&amp;"|"&amp;$J29&amp;"|"&amp;8,Assessments!$A$2:$A$600,0)),"")</f>
        <v>25</v>
      </c>
      <c r="CC29" s="28" t="n">
        <f aca="false">IFERROR(INDEX(Assessments!$H$2:$H$600,MATCH($H29&amp;"|"&amp;$I29&amp;"|"&amp;$J29&amp;"|"&amp;9,Assessments!$A$2:$A$600,0)),"")</f>
        <v>16</v>
      </c>
      <c r="CD29" s="28" t="n">
        <f aca="false">IFERROR(INDEX(Assessments!$H$2:$H$600,MATCH($H29&amp;"|"&amp;$I29&amp;"|"&amp;$J29&amp;"|"&amp;10,Assessments!$A$2:$A$600,0)),"")</f>
        <v>30</v>
      </c>
      <c r="CE29" s="28" t="str">
        <f aca="false">IFERROR(INDEX(Assessments!$H$2:$H$600,MATCH($H29&amp;"|"&amp;$I29&amp;"|"&amp;$J29&amp;"|"&amp;11,Assessments!$A$2:$A$600,0)),"")</f>
        <v/>
      </c>
      <c r="CF29" s="28" t="str">
        <f aca="false">IFERROR(INDEX(Assessments!$H$2:$H$600,MATCH($H29&amp;"|"&amp;$I29&amp;"|"&amp;$J29&amp;"|"&amp;12,Assessments!$A$2:$A$600,0)),"")</f>
        <v/>
      </c>
      <c r="CG29" s="28" t="str">
        <f aca="false">IFERROR(INDEX(Assessments!$H$2:$H$600,MATCH($H29&amp;"|"&amp;$I29&amp;"|"&amp;$J29&amp;"|"&amp;13,Assessments!$A$2:$A$600,0)),"")</f>
        <v/>
      </c>
      <c r="CH29" s="28" t="str">
        <f aca="false">IFERROR(INDEX(Assessments!$H$2:$H$600,MATCH($H29&amp;"|"&amp;$I29&amp;"|"&amp;$J29&amp;"|"&amp;14,Assessments!$A$2:$A$600,0)),"")</f>
        <v/>
      </c>
      <c r="CI29" s="28" t="str">
        <f aca="false">IFERROR(INDEX(Assessments!$I$2:$I$600,MATCH($H29&amp;"|"&amp;$I29&amp;"|"&amp;$J29&amp;"|"&amp;1,Assessments!$A$2:$A$600,0)),"")</f>
        <v>Geog Paper 1</v>
      </c>
      <c r="CJ29" s="28" t="str">
        <f aca="false">IFERROR(INDEX(Assessments!$I$2:$I$600,MATCH($H29&amp;"|"&amp;$I29&amp;"|"&amp;$J29&amp;"|"&amp;2,Assessments!$A$2:$A$600,0)),"")</f>
        <v>Geog Paper 1</v>
      </c>
      <c r="CK29" s="28" t="str">
        <f aca="false">IFERROR(INDEX(Assessments!$I$2:$I$600,MATCH($H29&amp;"|"&amp;$I29&amp;"|"&amp;$J29&amp;"|"&amp;3,Assessments!$A$2:$A$600,0)),"")</f>
        <v>Geog Paper 2</v>
      </c>
      <c r="CL29" s="28" t="str">
        <f aca="false">IFERROR(INDEX(Assessments!$I$2:$I$600,MATCH($H29&amp;"|"&amp;$I29&amp;"|"&amp;$J29&amp;"|"&amp;4,Assessments!$A$2:$A$600,0)),"")</f>
        <v>Geog Paper 1</v>
      </c>
      <c r="CM29" s="28" t="str">
        <f aca="false">IFERROR(INDEX(Assessments!$I$2:$I$600,MATCH($H29&amp;"|"&amp;$I29&amp;"|"&amp;$J29&amp;"|"&amp;5,Assessments!$A$2:$A$600,0)),"")</f>
        <v>Geog Paper 1</v>
      </c>
      <c r="CN29" s="28" t="str">
        <f aca="false">IFERROR(INDEX(Assessments!$I$2:$I$600,MATCH($H29&amp;"|"&amp;$I29&amp;"|"&amp;$J29&amp;"|"&amp;6,Assessments!$A$2:$A$600,0)),"")</f>
        <v>Geog Paper 1</v>
      </c>
      <c r="CO29" s="28" t="str">
        <f aca="false">IFERROR(INDEX(Assessments!$I$2:$I$600,MATCH($H29&amp;"|"&amp;$I29&amp;"|"&amp;$J29&amp;"|"&amp;7,Assessments!$A$2:$A$600,0)),"")</f>
        <v>Geog Paper 2</v>
      </c>
      <c r="CP29" s="28" t="str">
        <f aca="false">IFERROR(INDEX(Assessments!$I$2:$I$600,MATCH($H29&amp;"|"&amp;$I29&amp;"|"&amp;$J29&amp;"|"&amp;8,Assessments!$A$2:$A$600,0)),"")</f>
        <v>Geog Paper 2</v>
      </c>
      <c r="CQ29" s="28" t="str">
        <f aca="false">IFERROR(INDEX(Assessments!$I$2:$I$600,MATCH($H29&amp;"|"&amp;$I29&amp;"|"&amp;$J29&amp;"|"&amp;9,Assessments!$A$2:$A$600,0)),"")</f>
        <v>Geog Paper 3</v>
      </c>
      <c r="CR29" s="28" t="str">
        <f aca="false">IFERROR(INDEX(Assessments!$I$2:$I$600,MATCH($H29&amp;"|"&amp;$I29&amp;"|"&amp;$J29&amp;"|"&amp;10,Assessments!$A$2:$A$600,0)),"")</f>
        <v>Geog Paper 2</v>
      </c>
      <c r="CS29" s="28" t="str">
        <f aca="false">IFERROR(INDEX(Assessments!$I$2:$I$600,MATCH($H29&amp;"|"&amp;$I29&amp;"|"&amp;$J29&amp;"|"&amp;11,Assessments!$A$2:$A$600,0)),"")</f>
        <v/>
      </c>
      <c r="CT29" s="28" t="str">
        <f aca="false">IFERROR(INDEX(Assessments!$I$2:$I$600,MATCH($H29&amp;"|"&amp;$I29&amp;"|"&amp;$J29&amp;"|"&amp;12,Assessments!$A$2:$A$600,0)),"")</f>
        <v/>
      </c>
      <c r="CU29" s="28" t="str">
        <f aca="false">IFERROR(INDEX(Assessments!$I$2:$I$600,MATCH($H29&amp;"|"&amp;$I29&amp;"|"&amp;$J29&amp;"|"&amp;13,Assessments!$A$2:$A$600,0)),"")</f>
        <v/>
      </c>
      <c r="CV29" s="28" t="str">
        <f aca="false">IFERROR(INDEX(Assessments!$I$2:$I$600,MATCH($H29&amp;"|"&amp;$I29&amp;"|"&amp;$J29&amp;"|"&amp;14,Assessments!$A$2:$A$600,0)),"")</f>
        <v/>
      </c>
      <c r="CW29" s="28" t="n">
        <f aca="false">IFERROR(INDEX(Assessments!$J$2:$J$600,MATCH($H29&amp;"|"&amp;$I29&amp;"|"&amp;$J29&amp;"|"&amp;1,Assessments!$A$2:$A$600,0)),0)</f>
        <v>1</v>
      </c>
      <c r="CX29" s="28" t="n">
        <f aca="false">IFERROR(INDEX(Assessments!$J$2:$J$600,MATCH($H29&amp;"|"&amp;$I29&amp;"|"&amp;$J29&amp;"|"&amp;2,Assessments!$A$2:$A$600,0)),0)</f>
        <v>1</v>
      </c>
      <c r="CY29" s="28" t="n">
        <f aca="false">IFERROR(INDEX(Assessments!$J$2:$J$600,MATCH($H29&amp;"|"&amp;$I29&amp;"|"&amp;$J29&amp;"|"&amp;3,Assessments!$A$2:$A$600,0)),0)</f>
        <v>1</v>
      </c>
      <c r="CZ29" s="28" t="n">
        <f aca="false">IFERROR(INDEX(Assessments!$J$2:$J$600,MATCH($H29&amp;"|"&amp;$I29&amp;"|"&amp;$J29&amp;"|"&amp;4,Assessments!$A$2:$A$600,0)),0)</f>
        <v>1</v>
      </c>
      <c r="DA29" s="28" t="n">
        <f aca="false">IFERROR(INDEX(Assessments!$J$2:$J$600,MATCH($H29&amp;"|"&amp;$I29&amp;"|"&amp;$J29&amp;"|"&amp;5,Assessments!$A$2:$A$600,0)),0)</f>
        <v>1</v>
      </c>
      <c r="DB29" s="28" t="n">
        <f aca="false">IFERROR(INDEX(Assessments!$J$2:$J$600,MATCH($H29&amp;"|"&amp;$I29&amp;"|"&amp;$J29&amp;"|"&amp;6,Assessments!$A$2:$A$600,0)),0)</f>
        <v>2</v>
      </c>
      <c r="DC29" s="28" t="n">
        <f aca="false">IFERROR(INDEX(Assessments!$J$2:$J$600,MATCH($H29&amp;"|"&amp;$I29&amp;"|"&amp;$J29&amp;"|"&amp;7,Assessments!$A$2:$A$600,0)),0)</f>
        <v>2</v>
      </c>
      <c r="DD29" s="28" t="n">
        <f aca="false">IFERROR(INDEX(Assessments!$J$2:$J$600,MATCH($H29&amp;"|"&amp;$I29&amp;"|"&amp;$J29&amp;"|"&amp;8,Assessments!$A$2:$A$600,0)),0)</f>
        <v>1</v>
      </c>
      <c r="DE29" s="28" t="n">
        <f aca="false">IFERROR(INDEX(Assessments!$J$2:$J$600,MATCH($H29&amp;"|"&amp;$I29&amp;"|"&amp;$J29&amp;"|"&amp;9,Assessments!$A$2:$A$600,0)),0)</f>
        <v>1</v>
      </c>
      <c r="DF29" s="28" t="n">
        <f aca="false">IFERROR(INDEX(Assessments!$J$2:$J$600,MATCH($H29&amp;"|"&amp;$I29&amp;"|"&amp;$J29&amp;"|"&amp;10,Assessments!$A$2:$A$600,0)),0)</f>
        <v>1</v>
      </c>
      <c r="DG29" s="28" t="n">
        <f aca="false">IFERROR(INDEX(Assessments!$J$2:$J$600,MATCH($H29&amp;"|"&amp;$I29&amp;"|"&amp;$J29&amp;"|"&amp;11,Assessments!$A$2:$A$600,0)),0)</f>
        <v>0</v>
      </c>
      <c r="DH29" s="28" t="n">
        <f aca="false">IFERROR(INDEX(Assessments!$J$2:$J$600,MATCH($H29&amp;"|"&amp;$I29&amp;"|"&amp;$J29&amp;"|"&amp;12,Assessments!$A$2:$A$600,0)),0)</f>
        <v>0</v>
      </c>
      <c r="DI29" s="28" t="n">
        <f aca="false">IFERROR(INDEX(Assessments!$J$2:$J$600,MATCH($H29&amp;"|"&amp;$I29&amp;"|"&amp;$J29&amp;"|"&amp;13,Assessments!$A$2:$A$600,0)),0)</f>
        <v>0</v>
      </c>
      <c r="DJ29" s="28" t="n">
        <f aca="false">IFERROR(INDEX(Assessments!$J$2:$J$600,MATCH($H29&amp;"|"&amp;$I29&amp;"|"&amp;$J29&amp;"|"&amp;14,Assessments!$A$2:$A$600,0)),0)</f>
        <v>0</v>
      </c>
      <c r="DK29" s="28" t="n">
        <f aca="false">S29</f>
        <v>3</v>
      </c>
      <c r="DL29" s="28" t="n">
        <f aca="false">W29</f>
        <v>3</v>
      </c>
      <c r="DM29" s="28" t="n">
        <f aca="false">AA29</f>
        <v>3</v>
      </c>
      <c r="DN29" s="28" t="n">
        <f aca="false">AE29</f>
        <v>5</v>
      </c>
      <c r="DO29" s="28" t="n">
        <f aca="false">AI29</f>
        <v>5</v>
      </c>
      <c r="DP29" s="28" t="n">
        <f aca="false">AM29</f>
        <v>5</v>
      </c>
      <c r="DQ29" s="28" t="n">
        <f aca="false">AQ29</f>
        <v>4</v>
      </c>
      <c r="DR29" s="28" t="str">
        <f aca="false">AU29</f>
        <v/>
      </c>
      <c r="DS29" s="28" t="n">
        <f aca="false">AY29</f>
        <v>3</v>
      </c>
      <c r="DT29" s="28" t="n">
        <f aca="false">BC29</f>
        <v>6</v>
      </c>
      <c r="DU29" s="28" t="str">
        <f aca="false">BG29</f>
        <v/>
      </c>
      <c r="DV29" s="28" t="str">
        <f aca="false">BK29</f>
        <v/>
      </c>
      <c r="DW29" s="28" t="str">
        <f aca="false">BO29</f>
        <v/>
      </c>
      <c r="DX29" s="28" t="str">
        <f aca="false">BS29</f>
        <v/>
      </c>
      <c r="DY29" s="28" t="n">
        <f aca="false">IF(ISNUMBER(S29),1,"")</f>
        <v>1</v>
      </c>
      <c r="DZ29" s="28" t="n">
        <f aca="false">IF(ISNUMBER(W29),2,"")</f>
        <v>2</v>
      </c>
      <c r="EA29" s="28" t="n">
        <f aca="false">IF(ISNUMBER(AA29),3,"")</f>
        <v>3</v>
      </c>
      <c r="EB29" s="28" t="n">
        <f aca="false">IF(ISNUMBER(AE29),4,"")</f>
        <v>4</v>
      </c>
      <c r="EC29" s="28" t="n">
        <f aca="false">IF(ISNUMBER(AI29),5,"")</f>
        <v>5</v>
      </c>
      <c r="ED29" s="28" t="n">
        <f aca="false">IF(ISNUMBER(AM29),6,"")</f>
        <v>6</v>
      </c>
      <c r="EE29" s="28" t="n">
        <f aca="false">IF(ISNUMBER(AQ29),7,"")</f>
        <v>7</v>
      </c>
      <c r="EF29" s="28" t="str">
        <f aca="false">IF(ISNUMBER(AU29),8,"")</f>
        <v/>
      </c>
      <c r="EG29" s="28" t="n">
        <f aca="false">IF(ISNUMBER(AY29),9,"")</f>
        <v>9</v>
      </c>
      <c r="EH29" s="28" t="n">
        <f aca="false">IF(ISNUMBER(BC29),10,"")</f>
        <v>10</v>
      </c>
      <c r="EI29" s="28" t="str">
        <f aca="false">IF(ISNUMBER(BG29),11,"")</f>
        <v/>
      </c>
      <c r="EJ29" s="28" t="str">
        <f aca="false">IF(ISNUMBER(BK29),12,"")</f>
        <v/>
      </c>
      <c r="EK29" s="28" t="str">
        <f aca="false">IF(ISNUMBER(BO29),13,"")</f>
        <v/>
      </c>
      <c r="EL29" s="28" t="str">
        <f aca="false">IF(ISNUMBER(BS29),14,"")</f>
        <v/>
      </c>
      <c r="EM29" s="28" t="n">
        <f aca="false">IF(ISNUMBER(R29),R29*CW29,0)</f>
        <v>35</v>
      </c>
      <c r="EN29" s="28" t="n">
        <f aca="false">IF(ISNUMBER(V29),V29*CX29,0)</f>
        <v>40</v>
      </c>
      <c r="EO29" s="28" t="n">
        <f aca="false">IF(ISNUMBER(Z29),Z29*CY29,0)</f>
        <v>30</v>
      </c>
      <c r="EP29" s="28" t="n">
        <f aca="false">IF(ISNUMBER(AD29),AD29*CZ29,0)</f>
        <v>55</v>
      </c>
      <c r="EQ29" s="28" t="n">
        <f aca="false">IF(ISNUMBER(AH29),AH29*DA29,0)</f>
        <v>60</v>
      </c>
      <c r="ER29" s="28" t="n">
        <f aca="false">IF(ISNUMBER(AL29),AL29*DB29,0)</f>
        <v>110</v>
      </c>
      <c r="ES29" s="28" t="n">
        <f aca="false">IF(ISNUMBER(AP29),AP29*DC29,0)</f>
        <v>84</v>
      </c>
      <c r="ET29" s="28" t="n">
        <f aca="false">IF(ISNUMBER(AT29),AT29*DD29,0)</f>
        <v>0</v>
      </c>
      <c r="EU29" s="28" t="n">
        <f aca="false">IF(ISNUMBER(AX29),AX29*DE29,0)</f>
        <v>50</v>
      </c>
      <c r="EV29" s="28" t="n">
        <f aca="false">IF(ISNUMBER(BB29),BB29*DF29,0)</f>
        <v>73.3333333333333</v>
      </c>
      <c r="EW29" s="28" t="n">
        <f aca="false">IF(ISNUMBER(BF29),BF29*DG29,0)</f>
        <v>0</v>
      </c>
      <c r="EX29" s="28" t="n">
        <f aca="false">IF(ISNUMBER(BJ29),BJ29*DH29,0)</f>
        <v>0</v>
      </c>
      <c r="EY29" s="28" t="n">
        <f aca="false">IF(ISNUMBER(BN29),BN29*DI29,0)</f>
        <v>0</v>
      </c>
      <c r="EZ29" s="28" t="n">
        <f aca="false">IF(ISNUMBER(BR29),BR29*DJ29,0)</f>
        <v>0</v>
      </c>
      <c r="FA29" s="28" t="n">
        <f aca="false">IF(ISNUMBER(R29),CW29,0)</f>
        <v>1</v>
      </c>
      <c r="FB29" s="28" t="n">
        <f aca="false">IF(ISNUMBER(V29),CX29,0)</f>
        <v>1</v>
      </c>
      <c r="FC29" s="28" t="n">
        <f aca="false">IF(ISNUMBER(Z29),CY29,0)</f>
        <v>1</v>
      </c>
      <c r="FD29" s="28" t="n">
        <f aca="false">IF(ISNUMBER(AD29),CZ29,0)</f>
        <v>1</v>
      </c>
      <c r="FE29" s="28" t="n">
        <f aca="false">IF(ISNUMBER(AH29),DA29,0)</f>
        <v>1</v>
      </c>
      <c r="FF29" s="28" t="n">
        <f aca="false">IF(ISNUMBER(AL29),DB29,0)</f>
        <v>2</v>
      </c>
      <c r="FG29" s="28" t="n">
        <f aca="false">IF(ISNUMBER(AP29),DC29,0)</f>
        <v>2</v>
      </c>
      <c r="FH29" s="28" t="n">
        <f aca="false">IF(ISNUMBER(AT29),DD29,0)</f>
        <v>0</v>
      </c>
      <c r="FI29" s="28" t="n">
        <f aca="false">IF(ISNUMBER(AX29),DE29,0)</f>
        <v>1</v>
      </c>
      <c r="FJ29" s="28" t="n">
        <f aca="false">IF(ISNUMBER(BB29),DF29,0)</f>
        <v>1</v>
      </c>
      <c r="FK29" s="28" t="n">
        <f aca="false">IF(ISNUMBER(BF29),DG29,0)</f>
        <v>0</v>
      </c>
      <c r="FL29" s="28" t="n">
        <f aca="false">IF(ISNUMBER(BJ29),DH29,0)</f>
        <v>0</v>
      </c>
      <c r="FM29" s="28" t="n">
        <f aca="false">IF(ISNUMBER(BN29),DI29,0)</f>
        <v>0</v>
      </c>
      <c r="FN29" s="28" t="n">
        <f aca="false">IF(ISNUMBER(BR29),DJ29,0)</f>
        <v>0</v>
      </c>
      <c r="FO29" s="28" t="str">
        <f aca="false">IFERROR(INDEX(Lists!$G$2:$G$20,MATCH($I29&amp;"|"&amp;$J29,Lists!$F$2:$F$20,0)),"")</f>
        <v>Geog Overall HL</v>
      </c>
    </row>
    <row r="30" customFormat="false" ht="19.5" hidden="false" customHeight="true" outlineLevel="0" collapsed="false">
      <c r="A30" s="29" t="s">
        <v>194</v>
      </c>
      <c r="B30" s="29" t="s">
        <v>195</v>
      </c>
      <c r="C30" s="30" t="s">
        <v>192</v>
      </c>
      <c r="D30" s="30" t="s">
        <v>193</v>
      </c>
      <c r="E30" s="31" t="n">
        <v>5.7</v>
      </c>
      <c r="F30" s="30" t="n">
        <v>6</v>
      </c>
      <c r="G30" s="30" t="s">
        <v>154</v>
      </c>
      <c r="H30" s="32" t="s">
        <v>23</v>
      </c>
      <c r="I30" s="33" t="s">
        <v>24</v>
      </c>
      <c r="J30" s="32" t="s">
        <v>25</v>
      </c>
      <c r="K30" s="34" t="n">
        <f aca="false">IF(OR(M30="",$E30=""),"",M30-$E30)</f>
        <v>-1.7</v>
      </c>
      <c r="L30" s="35" t="n">
        <f aca="false">IF(SUM(FA30:FN30)=0,"",SUM(EM30:EZ30)/SUM(FA30:FN30))</f>
        <v>50.5583333333333</v>
      </c>
      <c r="M30" s="36" t="n">
        <f aca="false">IF(OR(L30="",FO30=""),"",IFERROR(MATCH(L30,INDEX(Boundaries!$B$2:$I$30,MATCH(FO30,Boundaries!$A$2:$A$30,0),0),1)-1,""))</f>
        <v>4</v>
      </c>
      <c r="N30" s="37" t="n">
        <f aca="false">IF(COUNT($DY30:$EL30)&lt;2,"",INDEX($DK30:$DX30,MAX($DY30:$EL30))-INDEX($DK30:$DX30,MIN($DY30:$EL30)))</f>
        <v>1</v>
      </c>
      <c r="O30" s="37" t="n">
        <f aca="false">IF(COUNT($DY30:$EL30)&lt;2,"",INDEX($DK30:$DX30,MAX($DY30:$EL30))-INDEX($DK30:$DX30,LARGE($DY30:$EL30,2)))</f>
        <v>3</v>
      </c>
      <c r="P30" s="38" t="str">
        <f aca="false">IF(K30="","",IF(K30&gt;=0,"On/above target",IF(AND(N30&lt;&gt;"",N30&gt;=0.5),"Improving towards target",IF(AND(O30&lt;&gt;"",O30&lt;=-0.5),"Declining","Stable below target"))))</f>
        <v>Improving towards target</v>
      </c>
      <c r="Q30" s="39" t="n">
        <v>9</v>
      </c>
      <c r="R30" s="40" t="n">
        <f aca="false">IF(OR(Q30="",BU30=""),"",Q30/BU30*100)</f>
        <v>45</v>
      </c>
      <c r="S30" s="41" t="n">
        <f aca="false">IF(R30="","",IFERROR(MATCH(R30,INDEX(Boundaries!$B$2:$I$30,MATCH(CI30,Boundaries!$A$2:$A$30,0),0),1)-1,""))</f>
        <v>4</v>
      </c>
      <c r="T30" s="42" t="n">
        <f aca="false">IF(OR(S30="",$E30=""),"",S30-$E30)</f>
        <v>-1.7</v>
      </c>
      <c r="U30" s="39"/>
      <c r="V30" s="40" t="str">
        <f aca="false">IF(OR(U30="",BV30=""),"",U30/BV30*100)</f>
        <v/>
      </c>
      <c r="W30" s="41" t="str">
        <f aca="false">IF(V30="","",IFERROR(MATCH(V30,INDEX(Boundaries!$B$2:$I$30,MATCH(CJ30,Boundaries!$A$2:$A$30,0),0),1)-1,""))</f>
        <v/>
      </c>
      <c r="X30" s="42" t="str">
        <f aca="false">IF(OR(W30="",$E30=""),"",W30-$E30)</f>
        <v/>
      </c>
      <c r="Y30" s="39" t="n">
        <v>11</v>
      </c>
      <c r="Z30" s="40" t="n">
        <f aca="false">IF(OR(Y30="",BW30=""),"",Y30/BW30*100)</f>
        <v>55</v>
      </c>
      <c r="AA30" s="41" t="n">
        <f aca="false">IF(Z30="","",IFERROR(MATCH(Z30,INDEX(Boundaries!$B$2:$I$30,MATCH(CK30,Boundaries!$A$2:$A$30,0),0),1)-1,""))</f>
        <v>5</v>
      </c>
      <c r="AB30" s="42" t="n">
        <f aca="false">IF(OR(AA30="",$E30=""),"",AA30-$E30)</f>
        <v>-0.7</v>
      </c>
      <c r="AC30" s="39" t="n">
        <v>15</v>
      </c>
      <c r="AD30" s="40" t="n">
        <f aca="false">IF(OR(AC30="",BX30=""),"",AC30/BX30*100)</f>
        <v>75</v>
      </c>
      <c r="AE30" s="41" t="n">
        <f aca="false">IF(AD30="","",IFERROR(MATCH(AD30,INDEX(Boundaries!$B$2:$I$30,MATCH(CL30,Boundaries!$A$2:$A$30,0),0),1)-1,""))</f>
        <v>7</v>
      </c>
      <c r="AF30" s="42" t="n">
        <f aca="false">IF(OR(AE30="",$E30=""),"",AE30-$E30)</f>
        <v>1.3</v>
      </c>
      <c r="AG30" s="39" t="n">
        <v>12</v>
      </c>
      <c r="AH30" s="40" t="n">
        <f aca="false">IF(OR(AG30="",BY30=""),"",AG30/BY30*100)</f>
        <v>60</v>
      </c>
      <c r="AI30" s="41" t="n">
        <f aca="false">IF(AH30="","",IFERROR(MATCH(AH30,INDEX(Boundaries!$B$2:$I$30,MATCH(CM30,Boundaries!$A$2:$A$30,0),0),1)-1,""))</f>
        <v>5</v>
      </c>
      <c r="AJ30" s="42" t="n">
        <f aca="false">IF(OR(AI30="",$E30=""),"",AI30-$E30)</f>
        <v>-0.7</v>
      </c>
      <c r="AK30" s="39" t="n">
        <v>20</v>
      </c>
      <c r="AL30" s="40" t="n">
        <f aca="false">IF(OR(AK30="",BZ30=""),"",AK30/BZ30*100)</f>
        <v>50</v>
      </c>
      <c r="AM30" s="41" t="n">
        <f aca="false">IF(AL30="","",IFERROR(MATCH(AL30,INDEX(Boundaries!$B$2:$I$30,MATCH(CN30,Boundaries!$A$2:$A$30,0),0),1)-1,""))</f>
        <v>4</v>
      </c>
      <c r="AN30" s="42" t="n">
        <f aca="false">IF(OR(AM30="",$E30=""),"",AM30-$E30)</f>
        <v>-1.7</v>
      </c>
      <c r="AO30" s="39" t="n">
        <v>19</v>
      </c>
      <c r="AP30" s="40" t="n">
        <f aca="false">IF(OR(AO30="",CA30=""),"",AO30/CA30*100)</f>
        <v>38</v>
      </c>
      <c r="AQ30" s="41" t="n">
        <f aca="false">IF(AP30="","",IFERROR(MATCH(AP30,INDEX(Boundaries!$B$2:$I$30,MATCH(CO30,Boundaries!$A$2:$A$30,0),0),1)-1,""))</f>
        <v>3</v>
      </c>
      <c r="AR30" s="42" t="n">
        <f aca="false">IF(OR(AQ30="",$E30=""),"",AQ30-$E30)</f>
        <v>-2.7</v>
      </c>
      <c r="AS30" s="39"/>
      <c r="AT30" s="40" t="str">
        <f aca="false">IF(OR(AS30="",CB30=""),"",AS30/CB30*100)</f>
        <v/>
      </c>
      <c r="AU30" s="41" t="str">
        <f aca="false">IF(AT30="","",IFERROR(MATCH(AT30,INDEX(Boundaries!$B$2:$I$30,MATCH(CP30,Boundaries!$A$2:$A$30,0),0),1)-1,""))</f>
        <v/>
      </c>
      <c r="AV30" s="42" t="str">
        <f aca="false">IF(OR(AU30="",$E30=""),"",AU30-$E30)</f>
        <v/>
      </c>
      <c r="AW30" s="39" t="n">
        <v>5</v>
      </c>
      <c r="AX30" s="40" t="n">
        <f aca="false">IF(OR(AW30="",CC30=""),"",AW30/CC30*100)</f>
        <v>31.25</v>
      </c>
      <c r="AY30" s="41" t="n">
        <f aca="false">IF(AX30="","",IFERROR(MATCH(AX30,INDEX(Boundaries!$B$2:$I$30,MATCH(CQ30,Boundaries!$A$2:$A$30,0),0),1)-1,""))</f>
        <v>2</v>
      </c>
      <c r="AZ30" s="42" t="n">
        <f aca="false">IF(OR(AY30="",$E30=""),"",AY30-$E30)</f>
        <v>-3.7</v>
      </c>
      <c r="BA30" s="39" t="n">
        <v>19</v>
      </c>
      <c r="BB30" s="40" t="n">
        <f aca="false">IF(OR(BA30="",CD30=""),"",BA30/CD30*100)</f>
        <v>63.3333333333333</v>
      </c>
      <c r="BC30" s="41" t="n">
        <f aca="false">IF(BB30="","",IFERROR(MATCH(BB30,INDEX(Boundaries!$B$2:$I$30,MATCH(CR30,Boundaries!$A$2:$A$30,0),0),1)-1,""))</f>
        <v>5</v>
      </c>
      <c r="BD30" s="42" t="n">
        <f aca="false">IF(OR(BC30="",$E30=""),"",BC30-$E30)</f>
        <v>-0.7</v>
      </c>
      <c r="BE30" s="39"/>
      <c r="BF30" s="40" t="str">
        <f aca="false">IF(OR(BE30="",CE30=""),"",BE30/CE30*100)</f>
        <v/>
      </c>
      <c r="BG30" s="41" t="str">
        <f aca="false">IF(BF30="","",IFERROR(MATCH(BF30,INDEX(Boundaries!$B$2:$I$30,MATCH(CS30,Boundaries!$A$2:$A$30,0),0),1)-1,""))</f>
        <v/>
      </c>
      <c r="BH30" s="42" t="str">
        <f aca="false">IF(OR(BG30="",$E30=""),"",BG30-$E30)</f>
        <v/>
      </c>
      <c r="BI30" s="39"/>
      <c r="BJ30" s="40" t="str">
        <f aca="false">IF(OR(BI30="",CF30=""),"",BI30/CF30*100)</f>
        <v/>
      </c>
      <c r="BK30" s="41" t="str">
        <f aca="false">IF(BJ30="","",IFERROR(MATCH(BJ30,INDEX(Boundaries!$B$2:$I$30,MATCH(CT30,Boundaries!$A$2:$A$30,0),0),1)-1,""))</f>
        <v/>
      </c>
      <c r="BL30" s="42" t="str">
        <f aca="false">IF(OR(BK30="",$E30=""),"",BK30-$E30)</f>
        <v/>
      </c>
      <c r="BM30" s="39"/>
      <c r="BN30" s="40" t="str">
        <f aca="false">IF(OR(BM30="",CG30=""),"",BM30/CG30*100)</f>
        <v/>
      </c>
      <c r="BO30" s="41" t="str">
        <f aca="false">IF(BN30="","",IFERROR(MATCH(BN30,INDEX(Boundaries!$B$2:$I$30,MATCH(CU30,Boundaries!$A$2:$A$30,0),0),1)-1,""))</f>
        <v/>
      </c>
      <c r="BP30" s="42" t="str">
        <f aca="false">IF(OR(BO30="",$E30=""),"",BO30-$E30)</f>
        <v/>
      </c>
      <c r="BQ30" s="39"/>
      <c r="BR30" s="40" t="str">
        <f aca="false">IF(OR(BQ30="",CH30=""),"",BQ30/CH30*100)</f>
        <v/>
      </c>
      <c r="BS30" s="41" t="str">
        <f aca="false">IF(BR30="","",IFERROR(MATCH(BR30,INDEX(Boundaries!$B$2:$I$30,MATCH(CV30,Boundaries!$A$2:$A$30,0),0),1)-1,""))</f>
        <v/>
      </c>
      <c r="BT30" s="42" t="str">
        <f aca="false">IF(OR(BS30="",$E30=""),"",BS30-$E30)</f>
        <v/>
      </c>
      <c r="BU30" s="28" t="n">
        <f aca="false">IFERROR(INDEX(Assessments!$H$2:$H$600,MATCH($H30&amp;"|"&amp;$I30&amp;"|"&amp;$J30&amp;"|"&amp;1,Assessments!$A$2:$A$600,0)),"")</f>
        <v>20</v>
      </c>
      <c r="BV30" s="28" t="n">
        <f aca="false">IFERROR(INDEX(Assessments!$H$2:$H$600,MATCH($H30&amp;"|"&amp;$I30&amp;"|"&amp;$J30&amp;"|"&amp;2,Assessments!$A$2:$A$600,0)),"")</f>
        <v>20</v>
      </c>
      <c r="BW30" s="28" t="n">
        <f aca="false">IFERROR(INDEX(Assessments!$H$2:$H$600,MATCH($H30&amp;"|"&amp;$I30&amp;"|"&amp;$J30&amp;"|"&amp;3,Assessments!$A$2:$A$600,0)),"")</f>
        <v>20</v>
      </c>
      <c r="BX30" s="28" t="n">
        <f aca="false">IFERROR(INDEX(Assessments!$H$2:$H$600,MATCH($H30&amp;"|"&amp;$I30&amp;"|"&amp;$J30&amp;"|"&amp;4,Assessments!$A$2:$A$600,0)),"")</f>
        <v>20</v>
      </c>
      <c r="BY30" s="28" t="n">
        <f aca="false">IFERROR(INDEX(Assessments!$H$2:$H$600,MATCH($H30&amp;"|"&amp;$I30&amp;"|"&amp;$J30&amp;"|"&amp;5,Assessments!$A$2:$A$600,0)),"")</f>
        <v>20</v>
      </c>
      <c r="BZ30" s="28" t="n">
        <f aca="false">IFERROR(INDEX(Assessments!$H$2:$H$600,MATCH($H30&amp;"|"&amp;$I30&amp;"|"&amp;$J30&amp;"|"&amp;6,Assessments!$A$2:$A$600,0)),"")</f>
        <v>40</v>
      </c>
      <c r="CA30" s="28" t="n">
        <f aca="false">IFERROR(INDEX(Assessments!$H$2:$H$600,MATCH($H30&amp;"|"&amp;$I30&amp;"|"&amp;$J30&amp;"|"&amp;7,Assessments!$A$2:$A$600,0)),"")</f>
        <v>50</v>
      </c>
      <c r="CB30" s="28" t="n">
        <f aca="false">IFERROR(INDEX(Assessments!$H$2:$H$600,MATCH($H30&amp;"|"&amp;$I30&amp;"|"&amp;$J30&amp;"|"&amp;8,Assessments!$A$2:$A$600,0)),"")</f>
        <v>25</v>
      </c>
      <c r="CC30" s="28" t="n">
        <f aca="false">IFERROR(INDEX(Assessments!$H$2:$H$600,MATCH($H30&amp;"|"&amp;$I30&amp;"|"&amp;$J30&amp;"|"&amp;9,Assessments!$A$2:$A$600,0)),"")</f>
        <v>16</v>
      </c>
      <c r="CD30" s="28" t="n">
        <f aca="false">IFERROR(INDEX(Assessments!$H$2:$H$600,MATCH($H30&amp;"|"&amp;$I30&amp;"|"&amp;$J30&amp;"|"&amp;10,Assessments!$A$2:$A$600,0)),"")</f>
        <v>30</v>
      </c>
      <c r="CE30" s="28" t="str">
        <f aca="false">IFERROR(INDEX(Assessments!$H$2:$H$600,MATCH($H30&amp;"|"&amp;$I30&amp;"|"&amp;$J30&amp;"|"&amp;11,Assessments!$A$2:$A$600,0)),"")</f>
        <v/>
      </c>
      <c r="CF30" s="28" t="str">
        <f aca="false">IFERROR(INDEX(Assessments!$H$2:$H$600,MATCH($H30&amp;"|"&amp;$I30&amp;"|"&amp;$J30&amp;"|"&amp;12,Assessments!$A$2:$A$600,0)),"")</f>
        <v/>
      </c>
      <c r="CG30" s="28" t="str">
        <f aca="false">IFERROR(INDEX(Assessments!$H$2:$H$600,MATCH($H30&amp;"|"&amp;$I30&amp;"|"&amp;$J30&amp;"|"&amp;13,Assessments!$A$2:$A$600,0)),"")</f>
        <v/>
      </c>
      <c r="CH30" s="28" t="str">
        <f aca="false">IFERROR(INDEX(Assessments!$H$2:$H$600,MATCH($H30&amp;"|"&amp;$I30&amp;"|"&amp;$J30&amp;"|"&amp;14,Assessments!$A$2:$A$600,0)),"")</f>
        <v/>
      </c>
      <c r="CI30" s="28" t="str">
        <f aca="false">IFERROR(INDEX(Assessments!$I$2:$I$600,MATCH($H30&amp;"|"&amp;$I30&amp;"|"&amp;$J30&amp;"|"&amp;1,Assessments!$A$2:$A$600,0)),"")</f>
        <v>Geog Paper 1</v>
      </c>
      <c r="CJ30" s="28" t="str">
        <f aca="false">IFERROR(INDEX(Assessments!$I$2:$I$600,MATCH($H30&amp;"|"&amp;$I30&amp;"|"&amp;$J30&amp;"|"&amp;2,Assessments!$A$2:$A$600,0)),"")</f>
        <v>Geog Paper 1</v>
      </c>
      <c r="CK30" s="28" t="str">
        <f aca="false">IFERROR(INDEX(Assessments!$I$2:$I$600,MATCH($H30&amp;"|"&amp;$I30&amp;"|"&amp;$J30&amp;"|"&amp;3,Assessments!$A$2:$A$600,0)),"")</f>
        <v>Geog Paper 2</v>
      </c>
      <c r="CL30" s="28" t="str">
        <f aca="false">IFERROR(INDEX(Assessments!$I$2:$I$600,MATCH($H30&amp;"|"&amp;$I30&amp;"|"&amp;$J30&amp;"|"&amp;4,Assessments!$A$2:$A$600,0)),"")</f>
        <v>Geog Paper 1</v>
      </c>
      <c r="CM30" s="28" t="str">
        <f aca="false">IFERROR(INDEX(Assessments!$I$2:$I$600,MATCH($H30&amp;"|"&amp;$I30&amp;"|"&amp;$J30&amp;"|"&amp;5,Assessments!$A$2:$A$600,0)),"")</f>
        <v>Geog Paper 1</v>
      </c>
      <c r="CN30" s="28" t="str">
        <f aca="false">IFERROR(INDEX(Assessments!$I$2:$I$600,MATCH($H30&amp;"|"&amp;$I30&amp;"|"&amp;$J30&amp;"|"&amp;6,Assessments!$A$2:$A$600,0)),"")</f>
        <v>Geog Paper 1</v>
      </c>
      <c r="CO30" s="28" t="str">
        <f aca="false">IFERROR(INDEX(Assessments!$I$2:$I$600,MATCH($H30&amp;"|"&amp;$I30&amp;"|"&amp;$J30&amp;"|"&amp;7,Assessments!$A$2:$A$600,0)),"")</f>
        <v>Geog Paper 2</v>
      </c>
      <c r="CP30" s="28" t="str">
        <f aca="false">IFERROR(INDEX(Assessments!$I$2:$I$600,MATCH($H30&amp;"|"&amp;$I30&amp;"|"&amp;$J30&amp;"|"&amp;8,Assessments!$A$2:$A$600,0)),"")</f>
        <v>Geog Paper 2</v>
      </c>
      <c r="CQ30" s="28" t="str">
        <f aca="false">IFERROR(INDEX(Assessments!$I$2:$I$600,MATCH($H30&amp;"|"&amp;$I30&amp;"|"&amp;$J30&amp;"|"&amp;9,Assessments!$A$2:$A$600,0)),"")</f>
        <v>Geog Paper 3</v>
      </c>
      <c r="CR30" s="28" t="str">
        <f aca="false">IFERROR(INDEX(Assessments!$I$2:$I$600,MATCH($H30&amp;"|"&amp;$I30&amp;"|"&amp;$J30&amp;"|"&amp;10,Assessments!$A$2:$A$600,0)),"")</f>
        <v>Geog Paper 2</v>
      </c>
      <c r="CS30" s="28" t="str">
        <f aca="false">IFERROR(INDEX(Assessments!$I$2:$I$600,MATCH($H30&amp;"|"&amp;$I30&amp;"|"&amp;$J30&amp;"|"&amp;11,Assessments!$A$2:$A$600,0)),"")</f>
        <v/>
      </c>
      <c r="CT30" s="28" t="str">
        <f aca="false">IFERROR(INDEX(Assessments!$I$2:$I$600,MATCH($H30&amp;"|"&amp;$I30&amp;"|"&amp;$J30&amp;"|"&amp;12,Assessments!$A$2:$A$600,0)),"")</f>
        <v/>
      </c>
      <c r="CU30" s="28" t="str">
        <f aca="false">IFERROR(INDEX(Assessments!$I$2:$I$600,MATCH($H30&amp;"|"&amp;$I30&amp;"|"&amp;$J30&amp;"|"&amp;13,Assessments!$A$2:$A$600,0)),"")</f>
        <v/>
      </c>
      <c r="CV30" s="28" t="str">
        <f aca="false">IFERROR(INDEX(Assessments!$I$2:$I$600,MATCH($H30&amp;"|"&amp;$I30&amp;"|"&amp;$J30&amp;"|"&amp;14,Assessments!$A$2:$A$600,0)),"")</f>
        <v/>
      </c>
      <c r="CW30" s="28" t="n">
        <f aca="false">IFERROR(INDEX(Assessments!$J$2:$J$600,MATCH($H30&amp;"|"&amp;$I30&amp;"|"&amp;$J30&amp;"|"&amp;1,Assessments!$A$2:$A$600,0)),0)</f>
        <v>1</v>
      </c>
      <c r="CX30" s="28" t="n">
        <f aca="false">IFERROR(INDEX(Assessments!$J$2:$J$600,MATCH($H30&amp;"|"&amp;$I30&amp;"|"&amp;$J30&amp;"|"&amp;2,Assessments!$A$2:$A$600,0)),0)</f>
        <v>1</v>
      </c>
      <c r="CY30" s="28" t="n">
        <f aca="false">IFERROR(INDEX(Assessments!$J$2:$J$600,MATCH($H30&amp;"|"&amp;$I30&amp;"|"&amp;$J30&amp;"|"&amp;3,Assessments!$A$2:$A$600,0)),0)</f>
        <v>1</v>
      </c>
      <c r="CZ30" s="28" t="n">
        <f aca="false">IFERROR(INDEX(Assessments!$J$2:$J$600,MATCH($H30&amp;"|"&amp;$I30&amp;"|"&amp;$J30&amp;"|"&amp;4,Assessments!$A$2:$A$600,0)),0)</f>
        <v>1</v>
      </c>
      <c r="DA30" s="28" t="n">
        <f aca="false">IFERROR(INDEX(Assessments!$J$2:$J$600,MATCH($H30&amp;"|"&amp;$I30&amp;"|"&amp;$J30&amp;"|"&amp;5,Assessments!$A$2:$A$600,0)),0)</f>
        <v>1</v>
      </c>
      <c r="DB30" s="28" t="n">
        <f aca="false">IFERROR(INDEX(Assessments!$J$2:$J$600,MATCH($H30&amp;"|"&amp;$I30&amp;"|"&amp;$J30&amp;"|"&amp;6,Assessments!$A$2:$A$600,0)),0)</f>
        <v>2</v>
      </c>
      <c r="DC30" s="28" t="n">
        <f aca="false">IFERROR(INDEX(Assessments!$J$2:$J$600,MATCH($H30&amp;"|"&amp;$I30&amp;"|"&amp;$J30&amp;"|"&amp;7,Assessments!$A$2:$A$600,0)),0)</f>
        <v>2</v>
      </c>
      <c r="DD30" s="28" t="n">
        <f aca="false">IFERROR(INDEX(Assessments!$J$2:$J$600,MATCH($H30&amp;"|"&amp;$I30&amp;"|"&amp;$J30&amp;"|"&amp;8,Assessments!$A$2:$A$600,0)),0)</f>
        <v>1</v>
      </c>
      <c r="DE30" s="28" t="n">
        <f aca="false">IFERROR(INDEX(Assessments!$J$2:$J$600,MATCH($H30&amp;"|"&amp;$I30&amp;"|"&amp;$J30&amp;"|"&amp;9,Assessments!$A$2:$A$600,0)),0)</f>
        <v>1</v>
      </c>
      <c r="DF30" s="28" t="n">
        <f aca="false">IFERROR(INDEX(Assessments!$J$2:$J$600,MATCH($H30&amp;"|"&amp;$I30&amp;"|"&amp;$J30&amp;"|"&amp;10,Assessments!$A$2:$A$600,0)),0)</f>
        <v>1</v>
      </c>
      <c r="DG30" s="28" t="n">
        <f aca="false">IFERROR(INDEX(Assessments!$J$2:$J$600,MATCH($H30&amp;"|"&amp;$I30&amp;"|"&amp;$J30&amp;"|"&amp;11,Assessments!$A$2:$A$600,0)),0)</f>
        <v>0</v>
      </c>
      <c r="DH30" s="28" t="n">
        <f aca="false">IFERROR(INDEX(Assessments!$J$2:$J$600,MATCH($H30&amp;"|"&amp;$I30&amp;"|"&amp;$J30&amp;"|"&amp;12,Assessments!$A$2:$A$600,0)),0)</f>
        <v>0</v>
      </c>
      <c r="DI30" s="28" t="n">
        <f aca="false">IFERROR(INDEX(Assessments!$J$2:$J$600,MATCH($H30&amp;"|"&amp;$I30&amp;"|"&amp;$J30&amp;"|"&amp;13,Assessments!$A$2:$A$600,0)),0)</f>
        <v>0</v>
      </c>
      <c r="DJ30" s="28" t="n">
        <f aca="false">IFERROR(INDEX(Assessments!$J$2:$J$600,MATCH($H30&amp;"|"&amp;$I30&amp;"|"&amp;$J30&amp;"|"&amp;14,Assessments!$A$2:$A$600,0)),0)</f>
        <v>0</v>
      </c>
      <c r="DK30" s="28" t="n">
        <f aca="false">S30</f>
        <v>4</v>
      </c>
      <c r="DL30" s="28" t="str">
        <f aca="false">W30</f>
        <v/>
      </c>
      <c r="DM30" s="28" t="n">
        <f aca="false">AA30</f>
        <v>5</v>
      </c>
      <c r="DN30" s="28" t="n">
        <f aca="false">AE30</f>
        <v>7</v>
      </c>
      <c r="DO30" s="28" t="n">
        <f aca="false">AI30</f>
        <v>5</v>
      </c>
      <c r="DP30" s="28" t="n">
        <f aca="false">AM30</f>
        <v>4</v>
      </c>
      <c r="DQ30" s="28" t="n">
        <f aca="false">AQ30</f>
        <v>3</v>
      </c>
      <c r="DR30" s="28" t="str">
        <f aca="false">AU30</f>
        <v/>
      </c>
      <c r="DS30" s="28" t="n">
        <f aca="false">AY30</f>
        <v>2</v>
      </c>
      <c r="DT30" s="28" t="n">
        <f aca="false">BC30</f>
        <v>5</v>
      </c>
      <c r="DU30" s="28" t="str">
        <f aca="false">BG30</f>
        <v/>
      </c>
      <c r="DV30" s="28" t="str">
        <f aca="false">BK30</f>
        <v/>
      </c>
      <c r="DW30" s="28" t="str">
        <f aca="false">BO30</f>
        <v/>
      </c>
      <c r="DX30" s="28" t="str">
        <f aca="false">BS30</f>
        <v/>
      </c>
      <c r="DY30" s="28" t="n">
        <f aca="false">IF(ISNUMBER(S30),1,"")</f>
        <v>1</v>
      </c>
      <c r="DZ30" s="28" t="str">
        <f aca="false">IF(ISNUMBER(W30),2,"")</f>
        <v/>
      </c>
      <c r="EA30" s="28" t="n">
        <f aca="false">IF(ISNUMBER(AA30),3,"")</f>
        <v>3</v>
      </c>
      <c r="EB30" s="28" t="n">
        <f aca="false">IF(ISNUMBER(AE30),4,"")</f>
        <v>4</v>
      </c>
      <c r="EC30" s="28" t="n">
        <f aca="false">IF(ISNUMBER(AI30),5,"")</f>
        <v>5</v>
      </c>
      <c r="ED30" s="28" t="n">
        <f aca="false">IF(ISNUMBER(AM30),6,"")</f>
        <v>6</v>
      </c>
      <c r="EE30" s="28" t="n">
        <f aca="false">IF(ISNUMBER(AQ30),7,"")</f>
        <v>7</v>
      </c>
      <c r="EF30" s="28" t="str">
        <f aca="false">IF(ISNUMBER(AU30),8,"")</f>
        <v/>
      </c>
      <c r="EG30" s="28" t="n">
        <f aca="false">IF(ISNUMBER(AY30),9,"")</f>
        <v>9</v>
      </c>
      <c r="EH30" s="28" t="n">
        <f aca="false">IF(ISNUMBER(BC30),10,"")</f>
        <v>10</v>
      </c>
      <c r="EI30" s="28" t="str">
        <f aca="false">IF(ISNUMBER(BG30),11,"")</f>
        <v/>
      </c>
      <c r="EJ30" s="28" t="str">
        <f aca="false">IF(ISNUMBER(BK30),12,"")</f>
        <v/>
      </c>
      <c r="EK30" s="28" t="str">
        <f aca="false">IF(ISNUMBER(BO30),13,"")</f>
        <v/>
      </c>
      <c r="EL30" s="28" t="str">
        <f aca="false">IF(ISNUMBER(BS30),14,"")</f>
        <v/>
      </c>
      <c r="EM30" s="28" t="n">
        <f aca="false">IF(ISNUMBER(R30),R30*CW30,0)</f>
        <v>45</v>
      </c>
      <c r="EN30" s="28" t="n">
        <f aca="false">IF(ISNUMBER(V30),V30*CX30,0)</f>
        <v>0</v>
      </c>
      <c r="EO30" s="28" t="n">
        <f aca="false">IF(ISNUMBER(Z30),Z30*CY30,0)</f>
        <v>55</v>
      </c>
      <c r="EP30" s="28" t="n">
        <f aca="false">IF(ISNUMBER(AD30),AD30*CZ30,0)</f>
        <v>75</v>
      </c>
      <c r="EQ30" s="28" t="n">
        <f aca="false">IF(ISNUMBER(AH30),AH30*DA30,0)</f>
        <v>60</v>
      </c>
      <c r="ER30" s="28" t="n">
        <f aca="false">IF(ISNUMBER(AL30),AL30*DB30,0)</f>
        <v>100</v>
      </c>
      <c r="ES30" s="28" t="n">
        <f aca="false">IF(ISNUMBER(AP30),AP30*DC30,0)</f>
        <v>76</v>
      </c>
      <c r="ET30" s="28" t="n">
        <f aca="false">IF(ISNUMBER(AT30),AT30*DD30,0)</f>
        <v>0</v>
      </c>
      <c r="EU30" s="28" t="n">
        <f aca="false">IF(ISNUMBER(AX30),AX30*DE30,0)</f>
        <v>31.25</v>
      </c>
      <c r="EV30" s="28" t="n">
        <f aca="false">IF(ISNUMBER(BB30),BB30*DF30,0)</f>
        <v>63.3333333333333</v>
      </c>
      <c r="EW30" s="28" t="n">
        <f aca="false">IF(ISNUMBER(BF30),BF30*DG30,0)</f>
        <v>0</v>
      </c>
      <c r="EX30" s="28" t="n">
        <f aca="false">IF(ISNUMBER(BJ30),BJ30*DH30,0)</f>
        <v>0</v>
      </c>
      <c r="EY30" s="28" t="n">
        <f aca="false">IF(ISNUMBER(BN30),BN30*DI30,0)</f>
        <v>0</v>
      </c>
      <c r="EZ30" s="28" t="n">
        <f aca="false">IF(ISNUMBER(BR30),BR30*DJ30,0)</f>
        <v>0</v>
      </c>
      <c r="FA30" s="28" t="n">
        <f aca="false">IF(ISNUMBER(R30),CW30,0)</f>
        <v>1</v>
      </c>
      <c r="FB30" s="28" t="n">
        <f aca="false">IF(ISNUMBER(V30),CX30,0)</f>
        <v>0</v>
      </c>
      <c r="FC30" s="28" t="n">
        <f aca="false">IF(ISNUMBER(Z30),CY30,0)</f>
        <v>1</v>
      </c>
      <c r="FD30" s="28" t="n">
        <f aca="false">IF(ISNUMBER(AD30),CZ30,0)</f>
        <v>1</v>
      </c>
      <c r="FE30" s="28" t="n">
        <f aca="false">IF(ISNUMBER(AH30),DA30,0)</f>
        <v>1</v>
      </c>
      <c r="FF30" s="28" t="n">
        <f aca="false">IF(ISNUMBER(AL30),DB30,0)</f>
        <v>2</v>
      </c>
      <c r="FG30" s="28" t="n">
        <f aca="false">IF(ISNUMBER(AP30),DC30,0)</f>
        <v>2</v>
      </c>
      <c r="FH30" s="28" t="n">
        <f aca="false">IF(ISNUMBER(AT30),DD30,0)</f>
        <v>0</v>
      </c>
      <c r="FI30" s="28" t="n">
        <f aca="false">IF(ISNUMBER(AX30),DE30,0)</f>
        <v>1</v>
      </c>
      <c r="FJ30" s="28" t="n">
        <f aca="false">IF(ISNUMBER(BB30),DF30,0)</f>
        <v>1</v>
      </c>
      <c r="FK30" s="28" t="n">
        <f aca="false">IF(ISNUMBER(BF30),DG30,0)</f>
        <v>0</v>
      </c>
      <c r="FL30" s="28" t="n">
        <f aca="false">IF(ISNUMBER(BJ30),DH30,0)</f>
        <v>0</v>
      </c>
      <c r="FM30" s="28" t="n">
        <f aca="false">IF(ISNUMBER(BN30),DI30,0)</f>
        <v>0</v>
      </c>
      <c r="FN30" s="28" t="n">
        <f aca="false">IF(ISNUMBER(BR30),DJ30,0)</f>
        <v>0</v>
      </c>
      <c r="FO30" s="28" t="str">
        <f aca="false">IFERROR(INDEX(Lists!$G$2:$G$20,MATCH($I30&amp;"|"&amp;$J30,Lists!$F$2:$F$20,0)),"")</f>
        <v>Geog Overall HL</v>
      </c>
    </row>
    <row r="31" customFormat="false" ht="19.5" hidden="false" customHeight="true" outlineLevel="0" collapsed="false">
      <c r="A31" s="29" t="s">
        <v>196</v>
      </c>
      <c r="B31" s="29" t="s">
        <v>197</v>
      </c>
      <c r="C31" s="30" t="s">
        <v>192</v>
      </c>
      <c r="D31" s="30" t="s">
        <v>193</v>
      </c>
      <c r="E31" s="31" t="n">
        <v>6.2</v>
      </c>
      <c r="F31" s="30" t="n">
        <v>7</v>
      </c>
      <c r="G31" s="30"/>
      <c r="H31" s="32" t="s">
        <v>23</v>
      </c>
      <c r="I31" s="33" t="s">
        <v>24</v>
      </c>
      <c r="J31" s="32" t="s">
        <v>25</v>
      </c>
      <c r="K31" s="34" t="n">
        <f aca="false">IF(OR(M31="",$E31=""),"",M31-$E31)</f>
        <v>-0.2</v>
      </c>
      <c r="L31" s="35" t="n">
        <f aca="false">IF(SUM(FA31:FN31)=0,"",SUM(EM31:EZ31)/SUM(FA31:FN31))</f>
        <v>64.2583333333333</v>
      </c>
      <c r="M31" s="36" t="n">
        <f aca="false">IF(OR(L31="",FO31=""),"",IFERROR(MATCH(L31,INDEX(Boundaries!$B$2:$I$30,MATCH(FO31,Boundaries!$A$2:$A$30,0),0),1)-1,""))</f>
        <v>6</v>
      </c>
      <c r="N31" s="37" t="n">
        <f aca="false">IF(COUNT($DY31:$EL31)&lt;2,"",INDEX($DK31:$DX31,MAX($DY31:$EL31))-INDEX($DK31:$DX31,MIN($DY31:$EL31)))</f>
        <v>0</v>
      </c>
      <c r="O31" s="37" t="n">
        <f aca="false">IF(COUNT($DY31:$EL31)&lt;2,"",INDEX($DK31:$DX31,MAX($DY31:$EL31))-INDEX($DK31:$DX31,LARGE($DY31:$EL31,2)))</f>
        <v>2</v>
      </c>
      <c r="P31" s="38" t="str">
        <f aca="false">IF(K31="","",IF(K31&gt;=0,"On/above target",IF(AND(N31&lt;&gt;"",N31&gt;=0.5),"Improving towards target",IF(AND(O31&lt;&gt;"",O31&lt;=-0.5),"Declining","Stable below target"))))</f>
        <v>Stable below target</v>
      </c>
      <c r="Q31" s="39" t="n">
        <v>14</v>
      </c>
      <c r="R31" s="40" t="n">
        <f aca="false">IF(OR(Q31="",BU31=""),"",Q31/BU31*100)</f>
        <v>70</v>
      </c>
      <c r="S31" s="41" t="n">
        <f aca="false">IF(R31="","",IFERROR(MATCH(R31,INDEX(Boundaries!$B$2:$I$30,MATCH(CI31,Boundaries!$A$2:$A$30,0),0),1)-1,""))</f>
        <v>6</v>
      </c>
      <c r="T31" s="42" t="n">
        <f aca="false">IF(OR(S31="",$E31=""),"",S31-$E31)</f>
        <v>-0.2</v>
      </c>
      <c r="U31" s="39"/>
      <c r="V31" s="40" t="str">
        <f aca="false">IF(OR(U31="",BV31=""),"",U31/BV31*100)</f>
        <v/>
      </c>
      <c r="W31" s="41" t="str">
        <f aca="false">IF(V31="","",IFERROR(MATCH(V31,INDEX(Boundaries!$B$2:$I$30,MATCH(CJ31,Boundaries!$A$2:$A$30,0),0),1)-1,""))</f>
        <v/>
      </c>
      <c r="X31" s="42" t="str">
        <f aca="false">IF(OR(W31="",$E31=""),"",W31-$E31)</f>
        <v/>
      </c>
      <c r="Y31" s="39" t="n">
        <v>9</v>
      </c>
      <c r="Z31" s="40" t="n">
        <f aca="false">IF(OR(Y31="",BW31=""),"",Y31/BW31*100)</f>
        <v>45</v>
      </c>
      <c r="AA31" s="41" t="n">
        <f aca="false">IF(Z31="","",IFERROR(MATCH(Z31,INDEX(Boundaries!$B$2:$I$30,MATCH(CK31,Boundaries!$A$2:$A$30,0),0),1)-1,""))</f>
        <v>4</v>
      </c>
      <c r="AB31" s="42" t="n">
        <f aca="false">IF(OR(AA31="",$E31=""),"",AA31-$E31)</f>
        <v>-2.2</v>
      </c>
      <c r="AC31" s="39" t="n">
        <v>12</v>
      </c>
      <c r="AD31" s="40" t="n">
        <f aca="false">IF(OR(AC31="",BX31=""),"",AC31/BX31*100)</f>
        <v>60</v>
      </c>
      <c r="AE31" s="41" t="n">
        <f aca="false">IF(AD31="","",IFERROR(MATCH(AD31,INDEX(Boundaries!$B$2:$I$30,MATCH(CL31,Boundaries!$A$2:$A$30,0),0),1)-1,""))</f>
        <v>5</v>
      </c>
      <c r="AF31" s="42" t="n">
        <f aca="false">IF(OR(AE31="",$E31=""),"",AE31-$E31)</f>
        <v>-1.2</v>
      </c>
      <c r="AG31" s="39" t="n">
        <v>17</v>
      </c>
      <c r="AH31" s="40" t="n">
        <f aca="false">IF(OR(AG31="",BY31=""),"",AG31/BY31*100)</f>
        <v>85</v>
      </c>
      <c r="AI31" s="41" t="n">
        <f aca="false">IF(AH31="","",IFERROR(MATCH(AH31,INDEX(Boundaries!$B$2:$I$30,MATCH(CM31,Boundaries!$A$2:$A$30,0),0),1)-1,""))</f>
        <v>7</v>
      </c>
      <c r="AJ31" s="42" t="n">
        <f aca="false">IF(OR(AI31="",$E31=""),"",AI31-$E31)</f>
        <v>0.8</v>
      </c>
      <c r="AK31" s="39" t="n">
        <v>29</v>
      </c>
      <c r="AL31" s="40" t="n">
        <f aca="false">IF(OR(AK31="",BZ31=""),"",AK31/BZ31*100)</f>
        <v>72.5</v>
      </c>
      <c r="AM31" s="41" t="n">
        <f aca="false">IF(AL31="","",IFERROR(MATCH(AL31,INDEX(Boundaries!$B$2:$I$30,MATCH(CN31,Boundaries!$A$2:$A$30,0),0),1)-1,""))</f>
        <v>7</v>
      </c>
      <c r="AN31" s="42" t="n">
        <f aca="false">IF(OR(AM31="",$E31=""),"",AM31-$E31)</f>
        <v>0.8</v>
      </c>
      <c r="AO31" s="39" t="n">
        <v>27</v>
      </c>
      <c r="AP31" s="40" t="n">
        <f aca="false">IF(OR(AO31="",CA31=""),"",AO31/CA31*100)</f>
        <v>54</v>
      </c>
      <c r="AQ31" s="41" t="n">
        <f aca="false">IF(AP31="","",IFERROR(MATCH(AP31,INDEX(Boundaries!$B$2:$I$30,MATCH(CO31,Boundaries!$A$2:$A$30,0),0),1)-1,""))</f>
        <v>5</v>
      </c>
      <c r="AR31" s="42" t="n">
        <f aca="false">IF(OR(AQ31="",$E31=""),"",AQ31-$E31)</f>
        <v>-1.2</v>
      </c>
      <c r="AS31" s="39"/>
      <c r="AT31" s="40" t="str">
        <f aca="false">IF(OR(AS31="",CB31=""),"",AS31/CB31*100)</f>
        <v/>
      </c>
      <c r="AU31" s="41" t="str">
        <f aca="false">IF(AT31="","",IFERROR(MATCH(AT31,INDEX(Boundaries!$B$2:$I$30,MATCH(CP31,Boundaries!$A$2:$A$30,0),0),1)-1,""))</f>
        <v/>
      </c>
      <c r="AV31" s="42" t="str">
        <f aca="false">IF(OR(AU31="",$E31=""),"",AU31-$E31)</f>
        <v/>
      </c>
      <c r="AW31" s="39" t="n">
        <v>9</v>
      </c>
      <c r="AX31" s="40" t="n">
        <f aca="false">IF(OR(AW31="",CC31=""),"",AW31/CC31*100)</f>
        <v>56.25</v>
      </c>
      <c r="AY31" s="41" t="n">
        <f aca="false">IF(AX31="","",IFERROR(MATCH(AX31,INDEX(Boundaries!$B$2:$I$30,MATCH(CQ31,Boundaries!$A$2:$A$30,0),0),1)-1,""))</f>
        <v>4</v>
      </c>
      <c r="AZ31" s="42" t="n">
        <f aca="false">IF(OR(AY31="",$E31=""),"",AY31-$E31)</f>
        <v>-2.2</v>
      </c>
      <c r="BA31" s="39" t="n">
        <v>22</v>
      </c>
      <c r="BB31" s="40" t="n">
        <f aca="false">IF(OR(BA31="",CD31=""),"",BA31/CD31*100)</f>
        <v>73.3333333333333</v>
      </c>
      <c r="BC31" s="41" t="n">
        <f aca="false">IF(BB31="","",IFERROR(MATCH(BB31,INDEX(Boundaries!$B$2:$I$30,MATCH(CR31,Boundaries!$A$2:$A$30,0),0),1)-1,""))</f>
        <v>6</v>
      </c>
      <c r="BD31" s="42" t="n">
        <f aca="false">IF(OR(BC31="",$E31=""),"",BC31-$E31)</f>
        <v>-0.2</v>
      </c>
      <c r="BE31" s="39"/>
      <c r="BF31" s="40" t="str">
        <f aca="false">IF(OR(BE31="",CE31=""),"",BE31/CE31*100)</f>
        <v/>
      </c>
      <c r="BG31" s="41" t="str">
        <f aca="false">IF(BF31="","",IFERROR(MATCH(BF31,INDEX(Boundaries!$B$2:$I$30,MATCH(CS31,Boundaries!$A$2:$A$30,0),0),1)-1,""))</f>
        <v/>
      </c>
      <c r="BH31" s="42" t="str">
        <f aca="false">IF(OR(BG31="",$E31=""),"",BG31-$E31)</f>
        <v/>
      </c>
      <c r="BI31" s="39"/>
      <c r="BJ31" s="40" t="str">
        <f aca="false">IF(OR(BI31="",CF31=""),"",BI31/CF31*100)</f>
        <v/>
      </c>
      <c r="BK31" s="41" t="str">
        <f aca="false">IF(BJ31="","",IFERROR(MATCH(BJ31,INDEX(Boundaries!$B$2:$I$30,MATCH(CT31,Boundaries!$A$2:$A$30,0),0),1)-1,""))</f>
        <v/>
      </c>
      <c r="BL31" s="42" t="str">
        <f aca="false">IF(OR(BK31="",$E31=""),"",BK31-$E31)</f>
        <v/>
      </c>
      <c r="BM31" s="39"/>
      <c r="BN31" s="40" t="str">
        <f aca="false">IF(OR(BM31="",CG31=""),"",BM31/CG31*100)</f>
        <v/>
      </c>
      <c r="BO31" s="41" t="str">
        <f aca="false">IF(BN31="","",IFERROR(MATCH(BN31,INDEX(Boundaries!$B$2:$I$30,MATCH(CU31,Boundaries!$A$2:$A$30,0),0),1)-1,""))</f>
        <v/>
      </c>
      <c r="BP31" s="42" t="str">
        <f aca="false">IF(OR(BO31="",$E31=""),"",BO31-$E31)</f>
        <v/>
      </c>
      <c r="BQ31" s="39"/>
      <c r="BR31" s="40" t="str">
        <f aca="false">IF(OR(BQ31="",CH31=""),"",BQ31/CH31*100)</f>
        <v/>
      </c>
      <c r="BS31" s="41" t="str">
        <f aca="false">IF(BR31="","",IFERROR(MATCH(BR31,INDEX(Boundaries!$B$2:$I$30,MATCH(CV31,Boundaries!$A$2:$A$30,0),0),1)-1,""))</f>
        <v/>
      </c>
      <c r="BT31" s="42" t="str">
        <f aca="false">IF(OR(BS31="",$E31=""),"",BS31-$E31)</f>
        <v/>
      </c>
      <c r="BU31" s="28" t="n">
        <f aca="false">IFERROR(INDEX(Assessments!$H$2:$H$600,MATCH($H31&amp;"|"&amp;$I31&amp;"|"&amp;$J31&amp;"|"&amp;1,Assessments!$A$2:$A$600,0)),"")</f>
        <v>20</v>
      </c>
      <c r="BV31" s="28" t="n">
        <f aca="false">IFERROR(INDEX(Assessments!$H$2:$H$600,MATCH($H31&amp;"|"&amp;$I31&amp;"|"&amp;$J31&amp;"|"&amp;2,Assessments!$A$2:$A$600,0)),"")</f>
        <v>20</v>
      </c>
      <c r="BW31" s="28" t="n">
        <f aca="false">IFERROR(INDEX(Assessments!$H$2:$H$600,MATCH($H31&amp;"|"&amp;$I31&amp;"|"&amp;$J31&amp;"|"&amp;3,Assessments!$A$2:$A$600,0)),"")</f>
        <v>20</v>
      </c>
      <c r="BX31" s="28" t="n">
        <f aca="false">IFERROR(INDEX(Assessments!$H$2:$H$600,MATCH($H31&amp;"|"&amp;$I31&amp;"|"&amp;$J31&amp;"|"&amp;4,Assessments!$A$2:$A$600,0)),"")</f>
        <v>20</v>
      </c>
      <c r="BY31" s="28" t="n">
        <f aca="false">IFERROR(INDEX(Assessments!$H$2:$H$600,MATCH($H31&amp;"|"&amp;$I31&amp;"|"&amp;$J31&amp;"|"&amp;5,Assessments!$A$2:$A$600,0)),"")</f>
        <v>20</v>
      </c>
      <c r="BZ31" s="28" t="n">
        <f aca="false">IFERROR(INDEX(Assessments!$H$2:$H$600,MATCH($H31&amp;"|"&amp;$I31&amp;"|"&amp;$J31&amp;"|"&amp;6,Assessments!$A$2:$A$600,0)),"")</f>
        <v>40</v>
      </c>
      <c r="CA31" s="28" t="n">
        <f aca="false">IFERROR(INDEX(Assessments!$H$2:$H$600,MATCH($H31&amp;"|"&amp;$I31&amp;"|"&amp;$J31&amp;"|"&amp;7,Assessments!$A$2:$A$600,0)),"")</f>
        <v>50</v>
      </c>
      <c r="CB31" s="28" t="n">
        <f aca="false">IFERROR(INDEX(Assessments!$H$2:$H$600,MATCH($H31&amp;"|"&amp;$I31&amp;"|"&amp;$J31&amp;"|"&amp;8,Assessments!$A$2:$A$600,0)),"")</f>
        <v>25</v>
      </c>
      <c r="CC31" s="28" t="n">
        <f aca="false">IFERROR(INDEX(Assessments!$H$2:$H$600,MATCH($H31&amp;"|"&amp;$I31&amp;"|"&amp;$J31&amp;"|"&amp;9,Assessments!$A$2:$A$600,0)),"")</f>
        <v>16</v>
      </c>
      <c r="CD31" s="28" t="n">
        <f aca="false">IFERROR(INDEX(Assessments!$H$2:$H$600,MATCH($H31&amp;"|"&amp;$I31&amp;"|"&amp;$J31&amp;"|"&amp;10,Assessments!$A$2:$A$600,0)),"")</f>
        <v>30</v>
      </c>
      <c r="CE31" s="28" t="str">
        <f aca="false">IFERROR(INDEX(Assessments!$H$2:$H$600,MATCH($H31&amp;"|"&amp;$I31&amp;"|"&amp;$J31&amp;"|"&amp;11,Assessments!$A$2:$A$600,0)),"")</f>
        <v/>
      </c>
      <c r="CF31" s="28" t="str">
        <f aca="false">IFERROR(INDEX(Assessments!$H$2:$H$600,MATCH($H31&amp;"|"&amp;$I31&amp;"|"&amp;$J31&amp;"|"&amp;12,Assessments!$A$2:$A$600,0)),"")</f>
        <v/>
      </c>
      <c r="CG31" s="28" t="str">
        <f aca="false">IFERROR(INDEX(Assessments!$H$2:$H$600,MATCH($H31&amp;"|"&amp;$I31&amp;"|"&amp;$J31&amp;"|"&amp;13,Assessments!$A$2:$A$600,0)),"")</f>
        <v/>
      </c>
      <c r="CH31" s="28" t="str">
        <f aca="false">IFERROR(INDEX(Assessments!$H$2:$H$600,MATCH($H31&amp;"|"&amp;$I31&amp;"|"&amp;$J31&amp;"|"&amp;14,Assessments!$A$2:$A$600,0)),"")</f>
        <v/>
      </c>
      <c r="CI31" s="28" t="str">
        <f aca="false">IFERROR(INDEX(Assessments!$I$2:$I$600,MATCH($H31&amp;"|"&amp;$I31&amp;"|"&amp;$J31&amp;"|"&amp;1,Assessments!$A$2:$A$600,0)),"")</f>
        <v>Geog Paper 1</v>
      </c>
      <c r="CJ31" s="28" t="str">
        <f aca="false">IFERROR(INDEX(Assessments!$I$2:$I$600,MATCH($H31&amp;"|"&amp;$I31&amp;"|"&amp;$J31&amp;"|"&amp;2,Assessments!$A$2:$A$600,0)),"")</f>
        <v>Geog Paper 1</v>
      </c>
      <c r="CK31" s="28" t="str">
        <f aca="false">IFERROR(INDEX(Assessments!$I$2:$I$600,MATCH($H31&amp;"|"&amp;$I31&amp;"|"&amp;$J31&amp;"|"&amp;3,Assessments!$A$2:$A$600,0)),"")</f>
        <v>Geog Paper 2</v>
      </c>
      <c r="CL31" s="28" t="str">
        <f aca="false">IFERROR(INDEX(Assessments!$I$2:$I$600,MATCH($H31&amp;"|"&amp;$I31&amp;"|"&amp;$J31&amp;"|"&amp;4,Assessments!$A$2:$A$600,0)),"")</f>
        <v>Geog Paper 1</v>
      </c>
      <c r="CM31" s="28" t="str">
        <f aca="false">IFERROR(INDEX(Assessments!$I$2:$I$600,MATCH($H31&amp;"|"&amp;$I31&amp;"|"&amp;$J31&amp;"|"&amp;5,Assessments!$A$2:$A$600,0)),"")</f>
        <v>Geog Paper 1</v>
      </c>
      <c r="CN31" s="28" t="str">
        <f aca="false">IFERROR(INDEX(Assessments!$I$2:$I$600,MATCH($H31&amp;"|"&amp;$I31&amp;"|"&amp;$J31&amp;"|"&amp;6,Assessments!$A$2:$A$600,0)),"")</f>
        <v>Geog Paper 1</v>
      </c>
      <c r="CO31" s="28" t="str">
        <f aca="false">IFERROR(INDEX(Assessments!$I$2:$I$600,MATCH($H31&amp;"|"&amp;$I31&amp;"|"&amp;$J31&amp;"|"&amp;7,Assessments!$A$2:$A$600,0)),"")</f>
        <v>Geog Paper 2</v>
      </c>
      <c r="CP31" s="28" t="str">
        <f aca="false">IFERROR(INDEX(Assessments!$I$2:$I$600,MATCH($H31&amp;"|"&amp;$I31&amp;"|"&amp;$J31&amp;"|"&amp;8,Assessments!$A$2:$A$600,0)),"")</f>
        <v>Geog Paper 2</v>
      </c>
      <c r="CQ31" s="28" t="str">
        <f aca="false">IFERROR(INDEX(Assessments!$I$2:$I$600,MATCH($H31&amp;"|"&amp;$I31&amp;"|"&amp;$J31&amp;"|"&amp;9,Assessments!$A$2:$A$600,0)),"")</f>
        <v>Geog Paper 3</v>
      </c>
      <c r="CR31" s="28" t="str">
        <f aca="false">IFERROR(INDEX(Assessments!$I$2:$I$600,MATCH($H31&amp;"|"&amp;$I31&amp;"|"&amp;$J31&amp;"|"&amp;10,Assessments!$A$2:$A$600,0)),"")</f>
        <v>Geog Paper 2</v>
      </c>
      <c r="CS31" s="28" t="str">
        <f aca="false">IFERROR(INDEX(Assessments!$I$2:$I$600,MATCH($H31&amp;"|"&amp;$I31&amp;"|"&amp;$J31&amp;"|"&amp;11,Assessments!$A$2:$A$600,0)),"")</f>
        <v/>
      </c>
      <c r="CT31" s="28" t="str">
        <f aca="false">IFERROR(INDEX(Assessments!$I$2:$I$600,MATCH($H31&amp;"|"&amp;$I31&amp;"|"&amp;$J31&amp;"|"&amp;12,Assessments!$A$2:$A$600,0)),"")</f>
        <v/>
      </c>
      <c r="CU31" s="28" t="str">
        <f aca="false">IFERROR(INDEX(Assessments!$I$2:$I$600,MATCH($H31&amp;"|"&amp;$I31&amp;"|"&amp;$J31&amp;"|"&amp;13,Assessments!$A$2:$A$600,0)),"")</f>
        <v/>
      </c>
      <c r="CV31" s="28" t="str">
        <f aca="false">IFERROR(INDEX(Assessments!$I$2:$I$600,MATCH($H31&amp;"|"&amp;$I31&amp;"|"&amp;$J31&amp;"|"&amp;14,Assessments!$A$2:$A$600,0)),"")</f>
        <v/>
      </c>
      <c r="CW31" s="28" t="n">
        <f aca="false">IFERROR(INDEX(Assessments!$J$2:$J$600,MATCH($H31&amp;"|"&amp;$I31&amp;"|"&amp;$J31&amp;"|"&amp;1,Assessments!$A$2:$A$600,0)),0)</f>
        <v>1</v>
      </c>
      <c r="CX31" s="28" t="n">
        <f aca="false">IFERROR(INDEX(Assessments!$J$2:$J$600,MATCH($H31&amp;"|"&amp;$I31&amp;"|"&amp;$J31&amp;"|"&amp;2,Assessments!$A$2:$A$600,0)),0)</f>
        <v>1</v>
      </c>
      <c r="CY31" s="28" t="n">
        <f aca="false">IFERROR(INDEX(Assessments!$J$2:$J$600,MATCH($H31&amp;"|"&amp;$I31&amp;"|"&amp;$J31&amp;"|"&amp;3,Assessments!$A$2:$A$600,0)),0)</f>
        <v>1</v>
      </c>
      <c r="CZ31" s="28" t="n">
        <f aca="false">IFERROR(INDEX(Assessments!$J$2:$J$600,MATCH($H31&amp;"|"&amp;$I31&amp;"|"&amp;$J31&amp;"|"&amp;4,Assessments!$A$2:$A$600,0)),0)</f>
        <v>1</v>
      </c>
      <c r="DA31" s="28" t="n">
        <f aca="false">IFERROR(INDEX(Assessments!$J$2:$J$600,MATCH($H31&amp;"|"&amp;$I31&amp;"|"&amp;$J31&amp;"|"&amp;5,Assessments!$A$2:$A$600,0)),0)</f>
        <v>1</v>
      </c>
      <c r="DB31" s="28" t="n">
        <f aca="false">IFERROR(INDEX(Assessments!$J$2:$J$600,MATCH($H31&amp;"|"&amp;$I31&amp;"|"&amp;$J31&amp;"|"&amp;6,Assessments!$A$2:$A$600,0)),0)</f>
        <v>2</v>
      </c>
      <c r="DC31" s="28" t="n">
        <f aca="false">IFERROR(INDEX(Assessments!$J$2:$J$600,MATCH($H31&amp;"|"&amp;$I31&amp;"|"&amp;$J31&amp;"|"&amp;7,Assessments!$A$2:$A$600,0)),0)</f>
        <v>2</v>
      </c>
      <c r="DD31" s="28" t="n">
        <f aca="false">IFERROR(INDEX(Assessments!$J$2:$J$600,MATCH($H31&amp;"|"&amp;$I31&amp;"|"&amp;$J31&amp;"|"&amp;8,Assessments!$A$2:$A$600,0)),0)</f>
        <v>1</v>
      </c>
      <c r="DE31" s="28" t="n">
        <f aca="false">IFERROR(INDEX(Assessments!$J$2:$J$600,MATCH($H31&amp;"|"&amp;$I31&amp;"|"&amp;$J31&amp;"|"&amp;9,Assessments!$A$2:$A$600,0)),0)</f>
        <v>1</v>
      </c>
      <c r="DF31" s="28" t="n">
        <f aca="false">IFERROR(INDEX(Assessments!$J$2:$J$600,MATCH($H31&amp;"|"&amp;$I31&amp;"|"&amp;$J31&amp;"|"&amp;10,Assessments!$A$2:$A$600,0)),0)</f>
        <v>1</v>
      </c>
      <c r="DG31" s="28" t="n">
        <f aca="false">IFERROR(INDEX(Assessments!$J$2:$J$600,MATCH($H31&amp;"|"&amp;$I31&amp;"|"&amp;$J31&amp;"|"&amp;11,Assessments!$A$2:$A$600,0)),0)</f>
        <v>0</v>
      </c>
      <c r="DH31" s="28" t="n">
        <f aca="false">IFERROR(INDEX(Assessments!$J$2:$J$600,MATCH($H31&amp;"|"&amp;$I31&amp;"|"&amp;$J31&amp;"|"&amp;12,Assessments!$A$2:$A$600,0)),0)</f>
        <v>0</v>
      </c>
      <c r="DI31" s="28" t="n">
        <f aca="false">IFERROR(INDEX(Assessments!$J$2:$J$600,MATCH($H31&amp;"|"&amp;$I31&amp;"|"&amp;$J31&amp;"|"&amp;13,Assessments!$A$2:$A$600,0)),0)</f>
        <v>0</v>
      </c>
      <c r="DJ31" s="28" t="n">
        <f aca="false">IFERROR(INDEX(Assessments!$J$2:$J$600,MATCH($H31&amp;"|"&amp;$I31&amp;"|"&amp;$J31&amp;"|"&amp;14,Assessments!$A$2:$A$600,0)),0)</f>
        <v>0</v>
      </c>
      <c r="DK31" s="28" t="n">
        <f aca="false">S31</f>
        <v>6</v>
      </c>
      <c r="DL31" s="28" t="str">
        <f aca="false">W31</f>
        <v/>
      </c>
      <c r="DM31" s="28" t="n">
        <f aca="false">AA31</f>
        <v>4</v>
      </c>
      <c r="DN31" s="28" t="n">
        <f aca="false">AE31</f>
        <v>5</v>
      </c>
      <c r="DO31" s="28" t="n">
        <f aca="false">AI31</f>
        <v>7</v>
      </c>
      <c r="DP31" s="28" t="n">
        <f aca="false">AM31</f>
        <v>7</v>
      </c>
      <c r="DQ31" s="28" t="n">
        <f aca="false">AQ31</f>
        <v>5</v>
      </c>
      <c r="DR31" s="28" t="str">
        <f aca="false">AU31</f>
        <v/>
      </c>
      <c r="DS31" s="28" t="n">
        <f aca="false">AY31</f>
        <v>4</v>
      </c>
      <c r="DT31" s="28" t="n">
        <f aca="false">BC31</f>
        <v>6</v>
      </c>
      <c r="DU31" s="28" t="str">
        <f aca="false">BG31</f>
        <v/>
      </c>
      <c r="DV31" s="28" t="str">
        <f aca="false">BK31</f>
        <v/>
      </c>
      <c r="DW31" s="28" t="str">
        <f aca="false">BO31</f>
        <v/>
      </c>
      <c r="DX31" s="28" t="str">
        <f aca="false">BS31</f>
        <v/>
      </c>
      <c r="DY31" s="28" t="n">
        <f aca="false">IF(ISNUMBER(S31),1,"")</f>
        <v>1</v>
      </c>
      <c r="DZ31" s="28" t="str">
        <f aca="false">IF(ISNUMBER(W31),2,"")</f>
        <v/>
      </c>
      <c r="EA31" s="28" t="n">
        <f aca="false">IF(ISNUMBER(AA31),3,"")</f>
        <v>3</v>
      </c>
      <c r="EB31" s="28" t="n">
        <f aca="false">IF(ISNUMBER(AE31),4,"")</f>
        <v>4</v>
      </c>
      <c r="EC31" s="28" t="n">
        <f aca="false">IF(ISNUMBER(AI31),5,"")</f>
        <v>5</v>
      </c>
      <c r="ED31" s="28" t="n">
        <f aca="false">IF(ISNUMBER(AM31),6,"")</f>
        <v>6</v>
      </c>
      <c r="EE31" s="28" t="n">
        <f aca="false">IF(ISNUMBER(AQ31),7,"")</f>
        <v>7</v>
      </c>
      <c r="EF31" s="28" t="str">
        <f aca="false">IF(ISNUMBER(AU31),8,"")</f>
        <v/>
      </c>
      <c r="EG31" s="28" t="n">
        <f aca="false">IF(ISNUMBER(AY31),9,"")</f>
        <v>9</v>
      </c>
      <c r="EH31" s="28" t="n">
        <f aca="false">IF(ISNUMBER(BC31),10,"")</f>
        <v>10</v>
      </c>
      <c r="EI31" s="28" t="str">
        <f aca="false">IF(ISNUMBER(BG31),11,"")</f>
        <v/>
      </c>
      <c r="EJ31" s="28" t="str">
        <f aca="false">IF(ISNUMBER(BK31),12,"")</f>
        <v/>
      </c>
      <c r="EK31" s="28" t="str">
        <f aca="false">IF(ISNUMBER(BO31),13,"")</f>
        <v/>
      </c>
      <c r="EL31" s="28" t="str">
        <f aca="false">IF(ISNUMBER(BS31),14,"")</f>
        <v/>
      </c>
      <c r="EM31" s="28" t="n">
        <f aca="false">IF(ISNUMBER(R31),R31*CW31,0)</f>
        <v>70</v>
      </c>
      <c r="EN31" s="28" t="n">
        <f aca="false">IF(ISNUMBER(V31),V31*CX31,0)</f>
        <v>0</v>
      </c>
      <c r="EO31" s="28" t="n">
        <f aca="false">IF(ISNUMBER(Z31),Z31*CY31,0)</f>
        <v>45</v>
      </c>
      <c r="EP31" s="28" t="n">
        <f aca="false">IF(ISNUMBER(AD31),AD31*CZ31,0)</f>
        <v>60</v>
      </c>
      <c r="EQ31" s="28" t="n">
        <f aca="false">IF(ISNUMBER(AH31),AH31*DA31,0)</f>
        <v>85</v>
      </c>
      <c r="ER31" s="28" t="n">
        <f aca="false">IF(ISNUMBER(AL31),AL31*DB31,0)</f>
        <v>145</v>
      </c>
      <c r="ES31" s="28" t="n">
        <f aca="false">IF(ISNUMBER(AP31),AP31*DC31,0)</f>
        <v>108</v>
      </c>
      <c r="ET31" s="28" t="n">
        <f aca="false">IF(ISNUMBER(AT31),AT31*DD31,0)</f>
        <v>0</v>
      </c>
      <c r="EU31" s="28" t="n">
        <f aca="false">IF(ISNUMBER(AX31),AX31*DE31,0)</f>
        <v>56.25</v>
      </c>
      <c r="EV31" s="28" t="n">
        <f aca="false">IF(ISNUMBER(BB31),BB31*DF31,0)</f>
        <v>73.3333333333333</v>
      </c>
      <c r="EW31" s="28" t="n">
        <f aca="false">IF(ISNUMBER(BF31),BF31*DG31,0)</f>
        <v>0</v>
      </c>
      <c r="EX31" s="28" t="n">
        <f aca="false">IF(ISNUMBER(BJ31),BJ31*DH31,0)</f>
        <v>0</v>
      </c>
      <c r="EY31" s="28" t="n">
        <f aca="false">IF(ISNUMBER(BN31),BN31*DI31,0)</f>
        <v>0</v>
      </c>
      <c r="EZ31" s="28" t="n">
        <f aca="false">IF(ISNUMBER(BR31),BR31*DJ31,0)</f>
        <v>0</v>
      </c>
      <c r="FA31" s="28" t="n">
        <f aca="false">IF(ISNUMBER(R31),CW31,0)</f>
        <v>1</v>
      </c>
      <c r="FB31" s="28" t="n">
        <f aca="false">IF(ISNUMBER(V31),CX31,0)</f>
        <v>0</v>
      </c>
      <c r="FC31" s="28" t="n">
        <f aca="false">IF(ISNUMBER(Z31),CY31,0)</f>
        <v>1</v>
      </c>
      <c r="FD31" s="28" t="n">
        <f aca="false">IF(ISNUMBER(AD31),CZ31,0)</f>
        <v>1</v>
      </c>
      <c r="FE31" s="28" t="n">
        <f aca="false">IF(ISNUMBER(AH31),DA31,0)</f>
        <v>1</v>
      </c>
      <c r="FF31" s="28" t="n">
        <f aca="false">IF(ISNUMBER(AL31),DB31,0)</f>
        <v>2</v>
      </c>
      <c r="FG31" s="28" t="n">
        <f aca="false">IF(ISNUMBER(AP31),DC31,0)</f>
        <v>2</v>
      </c>
      <c r="FH31" s="28" t="n">
        <f aca="false">IF(ISNUMBER(AT31),DD31,0)</f>
        <v>0</v>
      </c>
      <c r="FI31" s="28" t="n">
        <f aca="false">IF(ISNUMBER(AX31),DE31,0)</f>
        <v>1</v>
      </c>
      <c r="FJ31" s="28" t="n">
        <f aca="false">IF(ISNUMBER(BB31),DF31,0)</f>
        <v>1</v>
      </c>
      <c r="FK31" s="28" t="n">
        <f aca="false">IF(ISNUMBER(BF31),DG31,0)</f>
        <v>0</v>
      </c>
      <c r="FL31" s="28" t="n">
        <f aca="false">IF(ISNUMBER(BJ31),DH31,0)</f>
        <v>0</v>
      </c>
      <c r="FM31" s="28" t="n">
        <f aca="false">IF(ISNUMBER(BN31),DI31,0)</f>
        <v>0</v>
      </c>
      <c r="FN31" s="28" t="n">
        <f aca="false">IF(ISNUMBER(BR31),DJ31,0)</f>
        <v>0</v>
      </c>
      <c r="FO31" s="28" t="str">
        <f aca="false">IFERROR(INDEX(Lists!$G$2:$G$20,MATCH($I31&amp;"|"&amp;$J31,Lists!$F$2:$F$20,0)),"")</f>
        <v>Geog Overall HL</v>
      </c>
    </row>
    <row r="32" customFormat="false" ht="19.5" hidden="false" customHeight="true" outlineLevel="0" collapsed="false">
      <c r="A32" s="29" t="s">
        <v>198</v>
      </c>
      <c r="B32" s="29" t="s">
        <v>199</v>
      </c>
      <c r="C32" s="30" t="s">
        <v>192</v>
      </c>
      <c r="D32" s="30" t="s">
        <v>193</v>
      </c>
      <c r="E32" s="31" t="n">
        <v>5.4</v>
      </c>
      <c r="F32" s="30" t="n">
        <v>6</v>
      </c>
      <c r="G32" s="30"/>
      <c r="H32" s="32" t="s">
        <v>23</v>
      </c>
      <c r="I32" s="33" t="s">
        <v>24</v>
      </c>
      <c r="J32" s="32" t="s">
        <v>25</v>
      </c>
      <c r="K32" s="34" t="n">
        <f aca="false">IF(OR(M32="",$E32=""),"",M32-$E32)</f>
        <v>0.6</v>
      </c>
      <c r="L32" s="35" t="n">
        <f aca="false">IF(SUM(FA32:FN32)=0,"",SUM(EM32:EZ32)/SUM(FA32:FN32))</f>
        <v>68.6060606060606</v>
      </c>
      <c r="M32" s="36" t="n">
        <f aca="false">IF(OR(L32="",FO32=""),"",IFERROR(MATCH(L32,INDEX(Boundaries!$B$2:$I$30,MATCH(FO32,Boundaries!$A$2:$A$30,0),0),1)-1,""))</f>
        <v>6</v>
      </c>
      <c r="N32" s="37" t="n">
        <f aca="false">IF(COUNT($DY32:$EL32)&lt;2,"",INDEX($DK32:$DX32,MAX($DY32:$EL32))-INDEX($DK32:$DX32,MIN($DY32:$EL32)))</f>
        <v>2</v>
      </c>
      <c r="O32" s="37" t="n">
        <f aca="false">IF(COUNT($DY32:$EL32)&lt;2,"",INDEX($DK32:$DX32,MAX($DY32:$EL32))-INDEX($DK32:$DX32,LARGE($DY32:$EL32,2)))</f>
        <v>4</v>
      </c>
      <c r="P32" s="38" t="str">
        <f aca="false">IF(K32="","",IF(K32&gt;=0,"On/above target",IF(AND(N32&lt;&gt;"",N32&gt;=0.5),"Improving towards target",IF(AND(O32&lt;&gt;"",O32&lt;=-0.5),"Declining","Stable below target"))))</f>
        <v>On/above target</v>
      </c>
      <c r="Q32" s="39" t="n">
        <v>12</v>
      </c>
      <c r="R32" s="40" t="n">
        <f aca="false">IF(OR(Q32="",BU32=""),"",Q32/BU32*100)</f>
        <v>60</v>
      </c>
      <c r="S32" s="41" t="n">
        <f aca="false">IF(R32="","",IFERROR(MATCH(R32,INDEX(Boundaries!$B$2:$I$30,MATCH(CI32,Boundaries!$A$2:$A$30,0),0),1)-1,""))</f>
        <v>5</v>
      </c>
      <c r="T32" s="42" t="n">
        <f aca="false">IF(OR(S32="",$E32=""),"",S32-$E32)</f>
        <v>-0.4</v>
      </c>
      <c r="U32" s="39" t="n">
        <v>15</v>
      </c>
      <c r="V32" s="40" t="n">
        <f aca="false">IF(OR(U32="",BV32=""),"",U32/BV32*100)</f>
        <v>75</v>
      </c>
      <c r="W32" s="41" t="n">
        <f aca="false">IF(V32="","",IFERROR(MATCH(V32,INDEX(Boundaries!$B$2:$I$30,MATCH(CJ32,Boundaries!$A$2:$A$30,0),0),1)-1,""))</f>
        <v>7</v>
      </c>
      <c r="X32" s="42" t="n">
        <f aca="false">IF(OR(W32="",$E32=""),"",W32-$E32)</f>
        <v>1.6</v>
      </c>
      <c r="Y32" s="39" t="n">
        <v>14</v>
      </c>
      <c r="Z32" s="40" t="n">
        <f aca="false">IF(OR(Y32="",BW32=""),"",Y32/BW32*100)</f>
        <v>70</v>
      </c>
      <c r="AA32" s="41" t="n">
        <f aca="false">IF(Z32="","",IFERROR(MATCH(Z32,INDEX(Boundaries!$B$2:$I$30,MATCH(CK32,Boundaries!$A$2:$A$30,0),0),1)-1,""))</f>
        <v>6</v>
      </c>
      <c r="AB32" s="42" t="n">
        <f aca="false">IF(OR(AA32="",$E32=""),"",AA32-$E32)</f>
        <v>0.6</v>
      </c>
      <c r="AC32" s="39" t="n">
        <v>14</v>
      </c>
      <c r="AD32" s="40" t="n">
        <f aca="false">IF(OR(AC32="",BX32=""),"",AC32/BX32*100)</f>
        <v>70</v>
      </c>
      <c r="AE32" s="41" t="n">
        <f aca="false">IF(AD32="","",IFERROR(MATCH(AD32,INDEX(Boundaries!$B$2:$I$30,MATCH(CL32,Boundaries!$A$2:$A$30,0),0),1)-1,""))</f>
        <v>6</v>
      </c>
      <c r="AF32" s="42" t="n">
        <f aca="false">IF(OR(AE32="",$E32=""),"",AE32-$E32)</f>
        <v>0.6</v>
      </c>
      <c r="AG32" s="39" t="n">
        <v>17</v>
      </c>
      <c r="AH32" s="40" t="n">
        <f aca="false">IF(OR(AG32="",BY32=""),"",AG32/BY32*100)</f>
        <v>85</v>
      </c>
      <c r="AI32" s="41" t="n">
        <f aca="false">IF(AH32="","",IFERROR(MATCH(AH32,INDEX(Boundaries!$B$2:$I$30,MATCH(CM32,Boundaries!$A$2:$A$30,0),0),1)-1,""))</f>
        <v>7</v>
      </c>
      <c r="AJ32" s="42" t="n">
        <f aca="false">IF(OR(AI32="",$E32=""),"",AI32-$E32)</f>
        <v>1.6</v>
      </c>
      <c r="AK32" s="39" t="n">
        <v>26</v>
      </c>
      <c r="AL32" s="40" t="n">
        <f aca="false">IF(OR(AK32="",BZ32=""),"",AK32/BZ32*100)</f>
        <v>65</v>
      </c>
      <c r="AM32" s="41" t="n">
        <f aca="false">IF(AL32="","",IFERROR(MATCH(AL32,INDEX(Boundaries!$B$2:$I$30,MATCH(CN32,Boundaries!$A$2:$A$30,0),0),1)-1,""))</f>
        <v>6</v>
      </c>
      <c r="AN32" s="42" t="n">
        <f aca="false">IF(OR(AM32="",$E32=""),"",AM32-$E32)</f>
        <v>0.6</v>
      </c>
      <c r="AO32" s="39" t="n">
        <v>32</v>
      </c>
      <c r="AP32" s="40" t="n">
        <f aca="false">IF(OR(AO32="",CA32=""),"",AO32/CA32*100)</f>
        <v>64</v>
      </c>
      <c r="AQ32" s="41" t="n">
        <f aca="false">IF(AP32="","",IFERROR(MATCH(AP32,INDEX(Boundaries!$B$2:$I$30,MATCH(CO32,Boundaries!$A$2:$A$30,0),0),1)-1,""))</f>
        <v>5</v>
      </c>
      <c r="AR32" s="42" t="n">
        <f aca="false">IF(OR(AQ32="",$E32=""),"",AQ32-$E32)</f>
        <v>-0.4</v>
      </c>
      <c r="AS32" s="39"/>
      <c r="AT32" s="40" t="str">
        <f aca="false">IF(OR(AS32="",CB32=""),"",AS32/CB32*100)</f>
        <v/>
      </c>
      <c r="AU32" s="41" t="str">
        <f aca="false">IF(AT32="","",IFERROR(MATCH(AT32,INDEX(Boundaries!$B$2:$I$30,MATCH(CP32,Boundaries!$A$2:$A$30,0),0),1)-1,""))</f>
        <v/>
      </c>
      <c r="AV32" s="42" t="str">
        <f aca="false">IF(OR(AU32="",$E32=""),"",AU32-$E32)</f>
        <v/>
      </c>
      <c r="AW32" s="39" t="n">
        <v>8</v>
      </c>
      <c r="AX32" s="40" t="n">
        <f aca="false">IF(OR(AW32="",CC32=""),"",AW32/CC32*100)</f>
        <v>50</v>
      </c>
      <c r="AY32" s="41" t="n">
        <f aca="false">IF(AX32="","",IFERROR(MATCH(AX32,INDEX(Boundaries!$B$2:$I$30,MATCH(CQ32,Boundaries!$A$2:$A$30,0),0),1)-1,""))</f>
        <v>3</v>
      </c>
      <c r="AZ32" s="42" t="n">
        <f aca="false">IF(OR(AY32="",$E32=""),"",AY32-$E32)</f>
        <v>-2.4</v>
      </c>
      <c r="BA32" s="39" t="n">
        <v>26</v>
      </c>
      <c r="BB32" s="40" t="n">
        <f aca="false">IF(OR(BA32="",CD32=""),"",BA32/CD32*100)</f>
        <v>86.6666666666667</v>
      </c>
      <c r="BC32" s="41" t="n">
        <f aca="false">IF(BB32="","",IFERROR(MATCH(BB32,INDEX(Boundaries!$B$2:$I$30,MATCH(CR32,Boundaries!$A$2:$A$30,0),0),1)-1,""))</f>
        <v>7</v>
      </c>
      <c r="BD32" s="42" t="n">
        <f aca="false">IF(OR(BC32="",$E32=""),"",BC32-$E32)</f>
        <v>1.6</v>
      </c>
      <c r="BE32" s="39"/>
      <c r="BF32" s="40" t="str">
        <f aca="false">IF(OR(BE32="",CE32=""),"",BE32/CE32*100)</f>
        <v/>
      </c>
      <c r="BG32" s="41" t="str">
        <f aca="false">IF(BF32="","",IFERROR(MATCH(BF32,INDEX(Boundaries!$B$2:$I$30,MATCH(CS32,Boundaries!$A$2:$A$30,0),0),1)-1,""))</f>
        <v/>
      </c>
      <c r="BH32" s="42" t="str">
        <f aca="false">IF(OR(BG32="",$E32=""),"",BG32-$E32)</f>
        <v/>
      </c>
      <c r="BI32" s="39"/>
      <c r="BJ32" s="40" t="str">
        <f aca="false">IF(OR(BI32="",CF32=""),"",BI32/CF32*100)</f>
        <v/>
      </c>
      <c r="BK32" s="41" t="str">
        <f aca="false">IF(BJ32="","",IFERROR(MATCH(BJ32,INDEX(Boundaries!$B$2:$I$30,MATCH(CT32,Boundaries!$A$2:$A$30,0),0),1)-1,""))</f>
        <v/>
      </c>
      <c r="BL32" s="42" t="str">
        <f aca="false">IF(OR(BK32="",$E32=""),"",BK32-$E32)</f>
        <v/>
      </c>
      <c r="BM32" s="39"/>
      <c r="BN32" s="40" t="str">
        <f aca="false">IF(OR(BM32="",CG32=""),"",BM32/CG32*100)</f>
        <v/>
      </c>
      <c r="BO32" s="41" t="str">
        <f aca="false">IF(BN32="","",IFERROR(MATCH(BN32,INDEX(Boundaries!$B$2:$I$30,MATCH(CU32,Boundaries!$A$2:$A$30,0),0),1)-1,""))</f>
        <v/>
      </c>
      <c r="BP32" s="42" t="str">
        <f aca="false">IF(OR(BO32="",$E32=""),"",BO32-$E32)</f>
        <v/>
      </c>
      <c r="BQ32" s="39"/>
      <c r="BR32" s="40" t="str">
        <f aca="false">IF(OR(BQ32="",CH32=""),"",BQ32/CH32*100)</f>
        <v/>
      </c>
      <c r="BS32" s="41" t="str">
        <f aca="false">IF(BR32="","",IFERROR(MATCH(BR32,INDEX(Boundaries!$B$2:$I$30,MATCH(CV32,Boundaries!$A$2:$A$30,0),0),1)-1,""))</f>
        <v/>
      </c>
      <c r="BT32" s="42" t="str">
        <f aca="false">IF(OR(BS32="",$E32=""),"",BS32-$E32)</f>
        <v/>
      </c>
      <c r="BU32" s="28" t="n">
        <f aca="false">IFERROR(INDEX(Assessments!$H$2:$H$600,MATCH($H32&amp;"|"&amp;$I32&amp;"|"&amp;$J32&amp;"|"&amp;1,Assessments!$A$2:$A$600,0)),"")</f>
        <v>20</v>
      </c>
      <c r="BV32" s="28" t="n">
        <f aca="false">IFERROR(INDEX(Assessments!$H$2:$H$600,MATCH($H32&amp;"|"&amp;$I32&amp;"|"&amp;$J32&amp;"|"&amp;2,Assessments!$A$2:$A$600,0)),"")</f>
        <v>20</v>
      </c>
      <c r="BW32" s="28" t="n">
        <f aca="false">IFERROR(INDEX(Assessments!$H$2:$H$600,MATCH($H32&amp;"|"&amp;$I32&amp;"|"&amp;$J32&amp;"|"&amp;3,Assessments!$A$2:$A$600,0)),"")</f>
        <v>20</v>
      </c>
      <c r="BX32" s="28" t="n">
        <f aca="false">IFERROR(INDEX(Assessments!$H$2:$H$600,MATCH($H32&amp;"|"&amp;$I32&amp;"|"&amp;$J32&amp;"|"&amp;4,Assessments!$A$2:$A$600,0)),"")</f>
        <v>20</v>
      </c>
      <c r="BY32" s="28" t="n">
        <f aca="false">IFERROR(INDEX(Assessments!$H$2:$H$600,MATCH($H32&amp;"|"&amp;$I32&amp;"|"&amp;$J32&amp;"|"&amp;5,Assessments!$A$2:$A$600,0)),"")</f>
        <v>20</v>
      </c>
      <c r="BZ32" s="28" t="n">
        <f aca="false">IFERROR(INDEX(Assessments!$H$2:$H$600,MATCH($H32&amp;"|"&amp;$I32&amp;"|"&amp;$J32&amp;"|"&amp;6,Assessments!$A$2:$A$600,0)),"")</f>
        <v>40</v>
      </c>
      <c r="CA32" s="28" t="n">
        <f aca="false">IFERROR(INDEX(Assessments!$H$2:$H$600,MATCH($H32&amp;"|"&amp;$I32&amp;"|"&amp;$J32&amp;"|"&amp;7,Assessments!$A$2:$A$600,0)),"")</f>
        <v>50</v>
      </c>
      <c r="CB32" s="28" t="n">
        <f aca="false">IFERROR(INDEX(Assessments!$H$2:$H$600,MATCH($H32&amp;"|"&amp;$I32&amp;"|"&amp;$J32&amp;"|"&amp;8,Assessments!$A$2:$A$600,0)),"")</f>
        <v>25</v>
      </c>
      <c r="CC32" s="28" t="n">
        <f aca="false">IFERROR(INDEX(Assessments!$H$2:$H$600,MATCH($H32&amp;"|"&amp;$I32&amp;"|"&amp;$J32&amp;"|"&amp;9,Assessments!$A$2:$A$600,0)),"")</f>
        <v>16</v>
      </c>
      <c r="CD32" s="28" t="n">
        <f aca="false">IFERROR(INDEX(Assessments!$H$2:$H$600,MATCH($H32&amp;"|"&amp;$I32&amp;"|"&amp;$J32&amp;"|"&amp;10,Assessments!$A$2:$A$600,0)),"")</f>
        <v>30</v>
      </c>
      <c r="CE32" s="28" t="str">
        <f aca="false">IFERROR(INDEX(Assessments!$H$2:$H$600,MATCH($H32&amp;"|"&amp;$I32&amp;"|"&amp;$J32&amp;"|"&amp;11,Assessments!$A$2:$A$600,0)),"")</f>
        <v/>
      </c>
      <c r="CF32" s="28" t="str">
        <f aca="false">IFERROR(INDEX(Assessments!$H$2:$H$600,MATCH($H32&amp;"|"&amp;$I32&amp;"|"&amp;$J32&amp;"|"&amp;12,Assessments!$A$2:$A$600,0)),"")</f>
        <v/>
      </c>
      <c r="CG32" s="28" t="str">
        <f aca="false">IFERROR(INDEX(Assessments!$H$2:$H$600,MATCH($H32&amp;"|"&amp;$I32&amp;"|"&amp;$J32&amp;"|"&amp;13,Assessments!$A$2:$A$600,0)),"")</f>
        <v/>
      </c>
      <c r="CH32" s="28" t="str">
        <f aca="false">IFERROR(INDEX(Assessments!$H$2:$H$600,MATCH($H32&amp;"|"&amp;$I32&amp;"|"&amp;$J32&amp;"|"&amp;14,Assessments!$A$2:$A$600,0)),"")</f>
        <v/>
      </c>
      <c r="CI32" s="28" t="str">
        <f aca="false">IFERROR(INDEX(Assessments!$I$2:$I$600,MATCH($H32&amp;"|"&amp;$I32&amp;"|"&amp;$J32&amp;"|"&amp;1,Assessments!$A$2:$A$600,0)),"")</f>
        <v>Geog Paper 1</v>
      </c>
      <c r="CJ32" s="28" t="str">
        <f aca="false">IFERROR(INDEX(Assessments!$I$2:$I$600,MATCH($H32&amp;"|"&amp;$I32&amp;"|"&amp;$J32&amp;"|"&amp;2,Assessments!$A$2:$A$600,0)),"")</f>
        <v>Geog Paper 1</v>
      </c>
      <c r="CK32" s="28" t="str">
        <f aca="false">IFERROR(INDEX(Assessments!$I$2:$I$600,MATCH($H32&amp;"|"&amp;$I32&amp;"|"&amp;$J32&amp;"|"&amp;3,Assessments!$A$2:$A$600,0)),"")</f>
        <v>Geog Paper 2</v>
      </c>
      <c r="CL32" s="28" t="str">
        <f aca="false">IFERROR(INDEX(Assessments!$I$2:$I$600,MATCH($H32&amp;"|"&amp;$I32&amp;"|"&amp;$J32&amp;"|"&amp;4,Assessments!$A$2:$A$600,0)),"")</f>
        <v>Geog Paper 1</v>
      </c>
      <c r="CM32" s="28" t="str">
        <f aca="false">IFERROR(INDEX(Assessments!$I$2:$I$600,MATCH($H32&amp;"|"&amp;$I32&amp;"|"&amp;$J32&amp;"|"&amp;5,Assessments!$A$2:$A$600,0)),"")</f>
        <v>Geog Paper 1</v>
      </c>
      <c r="CN32" s="28" t="str">
        <f aca="false">IFERROR(INDEX(Assessments!$I$2:$I$600,MATCH($H32&amp;"|"&amp;$I32&amp;"|"&amp;$J32&amp;"|"&amp;6,Assessments!$A$2:$A$600,0)),"")</f>
        <v>Geog Paper 1</v>
      </c>
      <c r="CO32" s="28" t="str">
        <f aca="false">IFERROR(INDEX(Assessments!$I$2:$I$600,MATCH($H32&amp;"|"&amp;$I32&amp;"|"&amp;$J32&amp;"|"&amp;7,Assessments!$A$2:$A$600,0)),"")</f>
        <v>Geog Paper 2</v>
      </c>
      <c r="CP32" s="28" t="str">
        <f aca="false">IFERROR(INDEX(Assessments!$I$2:$I$600,MATCH($H32&amp;"|"&amp;$I32&amp;"|"&amp;$J32&amp;"|"&amp;8,Assessments!$A$2:$A$600,0)),"")</f>
        <v>Geog Paper 2</v>
      </c>
      <c r="CQ32" s="28" t="str">
        <f aca="false">IFERROR(INDEX(Assessments!$I$2:$I$600,MATCH($H32&amp;"|"&amp;$I32&amp;"|"&amp;$J32&amp;"|"&amp;9,Assessments!$A$2:$A$600,0)),"")</f>
        <v>Geog Paper 3</v>
      </c>
      <c r="CR32" s="28" t="str">
        <f aca="false">IFERROR(INDEX(Assessments!$I$2:$I$600,MATCH($H32&amp;"|"&amp;$I32&amp;"|"&amp;$J32&amp;"|"&amp;10,Assessments!$A$2:$A$600,0)),"")</f>
        <v>Geog Paper 2</v>
      </c>
      <c r="CS32" s="28" t="str">
        <f aca="false">IFERROR(INDEX(Assessments!$I$2:$I$600,MATCH($H32&amp;"|"&amp;$I32&amp;"|"&amp;$J32&amp;"|"&amp;11,Assessments!$A$2:$A$600,0)),"")</f>
        <v/>
      </c>
      <c r="CT32" s="28" t="str">
        <f aca="false">IFERROR(INDEX(Assessments!$I$2:$I$600,MATCH($H32&amp;"|"&amp;$I32&amp;"|"&amp;$J32&amp;"|"&amp;12,Assessments!$A$2:$A$600,0)),"")</f>
        <v/>
      </c>
      <c r="CU32" s="28" t="str">
        <f aca="false">IFERROR(INDEX(Assessments!$I$2:$I$600,MATCH($H32&amp;"|"&amp;$I32&amp;"|"&amp;$J32&amp;"|"&amp;13,Assessments!$A$2:$A$600,0)),"")</f>
        <v/>
      </c>
      <c r="CV32" s="28" t="str">
        <f aca="false">IFERROR(INDEX(Assessments!$I$2:$I$600,MATCH($H32&amp;"|"&amp;$I32&amp;"|"&amp;$J32&amp;"|"&amp;14,Assessments!$A$2:$A$600,0)),"")</f>
        <v/>
      </c>
      <c r="CW32" s="28" t="n">
        <f aca="false">IFERROR(INDEX(Assessments!$J$2:$J$600,MATCH($H32&amp;"|"&amp;$I32&amp;"|"&amp;$J32&amp;"|"&amp;1,Assessments!$A$2:$A$600,0)),0)</f>
        <v>1</v>
      </c>
      <c r="CX32" s="28" t="n">
        <f aca="false">IFERROR(INDEX(Assessments!$J$2:$J$600,MATCH($H32&amp;"|"&amp;$I32&amp;"|"&amp;$J32&amp;"|"&amp;2,Assessments!$A$2:$A$600,0)),0)</f>
        <v>1</v>
      </c>
      <c r="CY32" s="28" t="n">
        <f aca="false">IFERROR(INDEX(Assessments!$J$2:$J$600,MATCH($H32&amp;"|"&amp;$I32&amp;"|"&amp;$J32&amp;"|"&amp;3,Assessments!$A$2:$A$600,0)),0)</f>
        <v>1</v>
      </c>
      <c r="CZ32" s="28" t="n">
        <f aca="false">IFERROR(INDEX(Assessments!$J$2:$J$600,MATCH($H32&amp;"|"&amp;$I32&amp;"|"&amp;$J32&amp;"|"&amp;4,Assessments!$A$2:$A$600,0)),0)</f>
        <v>1</v>
      </c>
      <c r="DA32" s="28" t="n">
        <f aca="false">IFERROR(INDEX(Assessments!$J$2:$J$600,MATCH($H32&amp;"|"&amp;$I32&amp;"|"&amp;$J32&amp;"|"&amp;5,Assessments!$A$2:$A$600,0)),0)</f>
        <v>1</v>
      </c>
      <c r="DB32" s="28" t="n">
        <f aca="false">IFERROR(INDEX(Assessments!$J$2:$J$600,MATCH($H32&amp;"|"&amp;$I32&amp;"|"&amp;$J32&amp;"|"&amp;6,Assessments!$A$2:$A$600,0)),0)</f>
        <v>2</v>
      </c>
      <c r="DC32" s="28" t="n">
        <f aca="false">IFERROR(INDEX(Assessments!$J$2:$J$600,MATCH($H32&amp;"|"&amp;$I32&amp;"|"&amp;$J32&amp;"|"&amp;7,Assessments!$A$2:$A$600,0)),0)</f>
        <v>2</v>
      </c>
      <c r="DD32" s="28" t="n">
        <f aca="false">IFERROR(INDEX(Assessments!$J$2:$J$600,MATCH($H32&amp;"|"&amp;$I32&amp;"|"&amp;$J32&amp;"|"&amp;8,Assessments!$A$2:$A$600,0)),0)</f>
        <v>1</v>
      </c>
      <c r="DE32" s="28" t="n">
        <f aca="false">IFERROR(INDEX(Assessments!$J$2:$J$600,MATCH($H32&amp;"|"&amp;$I32&amp;"|"&amp;$J32&amp;"|"&amp;9,Assessments!$A$2:$A$600,0)),0)</f>
        <v>1</v>
      </c>
      <c r="DF32" s="28" t="n">
        <f aca="false">IFERROR(INDEX(Assessments!$J$2:$J$600,MATCH($H32&amp;"|"&amp;$I32&amp;"|"&amp;$J32&amp;"|"&amp;10,Assessments!$A$2:$A$600,0)),0)</f>
        <v>1</v>
      </c>
      <c r="DG32" s="28" t="n">
        <f aca="false">IFERROR(INDEX(Assessments!$J$2:$J$600,MATCH($H32&amp;"|"&amp;$I32&amp;"|"&amp;$J32&amp;"|"&amp;11,Assessments!$A$2:$A$600,0)),0)</f>
        <v>0</v>
      </c>
      <c r="DH32" s="28" t="n">
        <f aca="false">IFERROR(INDEX(Assessments!$J$2:$J$600,MATCH($H32&amp;"|"&amp;$I32&amp;"|"&amp;$J32&amp;"|"&amp;12,Assessments!$A$2:$A$600,0)),0)</f>
        <v>0</v>
      </c>
      <c r="DI32" s="28" t="n">
        <f aca="false">IFERROR(INDEX(Assessments!$J$2:$J$600,MATCH($H32&amp;"|"&amp;$I32&amp;"|"&amp;$J32&amp;"|"&amp;13,Assessments!$A$2:$A$600,0)),0)</f>
        <v>0</v>
      </c>
      <c r="DJ32" s="28" t="n">
        <f aca="false">IFERROR(INDEX(Assessments!$J$2:$J$600,MATCH($H32&amp;"|"&amp;$I32&amp;"|"&amp;$J32&amp;"|"&amp;14,Assessments!$A$2:$A$600,0)),0)</f>
        <v>0</v>
      </c>
      <c r="DK32" s="28" t="n">
        <f aca="false">S32</f>
        <v>5</v>
      </c>
      <c r="DL32" s="28" t="n">
        <f aca="false">W32</f>
        <v>7</v>
      </c>
      <c r="DM32" s="28" t="n">
        <f aca="false">AA32</f>
        <v>6</v>
      </c>
      <c r="DN32" s="28" t="n">
        <f aca="false">AE32</f>
        <v>6</v>
      </c>
      <c r="DO32" s="28" t="n">
        <f aca="false">AI32</f>
        <v>7</v>
      </c>
      <c r="DP32" s="28" t="n">
        <f aca="false">AM32</f>
        <v>6</v>
      </c>
      <c r="DQ32" s="28" t="n">
        <f aca="false">AQ32</f>
        <v>5</v>
      </c>
      <c r="DR32" s="28" t="str">
        <f aca="false">AU32</f>
        <v/>
      </c>
      <c r="DS32" s="28" t="n">
        <f aca="false">AY32</f>
        <v>3</v>
      </c>
      <c r="DT32" s="28" t="n">
        <f aca="false">BC32</f>
        <v>7</v>
      </c>
      <c r="DU32" s="28" t="str">
        <f aca="false">BG32</f>
        <v/>
      </c>
      <c r="DV32" s="28" t="str">
        <f aca="false">BK32</f>
        <v/>
      </c>
      <c r="DW32" s="28" t="str">
        <f aca="false">BO32</f>
        <v/>
      </c>
      <c r="DX32" s="28" t="str">
        <f aca="false">BS32</f>
        <v/>
      </c>
      <c r="DY32" s="28" t="n">
        <f aca="false">IF(ISNUMBER(S32),1,"")</f>
        <v>1</v>
      </c>
      <c r="DZ32" s="28" t="n">
        <f aca="false">IF(ISNUMBER(W32),2,"")</f>
        <v>2</v>
      </c>
      <c r="EA32" s="28" t="n">
        <f aca="false">IF(ISNUMBER(AA32),3,"")</f>
        <v>3</v>
      </c>
      <c r="EB32" s="28" t="n">
        <f aca="false">IF(ISNUMBER(AE32),4,"")</f>
        <v>4</v>
      </c>
      <c r="EC32" s="28" t="n">
        <f aca="false">IF(ISNUMBER(AI32),5,"")</f>
        <v>5</v>
      </c>
      <c r="ED32" s="28" t="n">
        <f aca="false">IF(ISNUMBER(AM32),6,"")</f>
        <v>6</v>
      </c>
      <c r="EE32" s="28" t="n">
        <f aca="false">IF(ISNUMBER(AQ32),7,"")</f>
        <v>7</v>
      </c>
      <c r="EF32" s="28" t="str">
        <f aca="false">IF(ISNUMBER(AU32),8,"")</f>
        <v/>
      </c>
      <c r="EG32" s="28" t="n">
        <f aca="false">IF(ISNUMBER(AY32),9,"")</f>
        <v>9</v>
      </c>
      <c r="EH32" s="28" t="n">
        <f aca="false">IF(ISNUMBER(BC32),10,"")</f>
        <v>10</v>
      </c>
      <c r="EI32" s="28" t="str">
        <f aca="false">IF(ISNUMBER(BG32),11,"")</f>
        <v/>
      </c>
      <c r="EJ32" s="28" t="str">
        <f aca="false">IF(ISNUMBER(BK32),12,"")</f>
        <v/>
      </c>
      <c r="EK32" s="28" t="str">
        <f aca="false">IF(ISNUMBER(BO32),13,"")</f>
        <v/>
      </c>
      <c r="EL32" s="28" t="str">
        <f aca="false">IF(ISNUMBER(BS32),14,"")</f>
        <v/>
      </c>
      <c r="EM32" s="28" t="n">
        <f aca="false">IF(ISNUMBER(R32),R32*CW32,0)</f>
        <v>60</v>
      </c>
      <c r="EN32" s="28" t="n">
        <f aca="false">IF(ISNUMBER(V32),V32*CX32,0)</f>
        <v>75</v>
      </c>
      <c r="EO32" s="28" t="n">
        <f aca="false">IF(ISNUMBER(Z32),Z32*CY32,0)</f>
        <v>70</v>
      </c>
      <c r="EP32" s="28" t="n">
        <f aca="false">IF(ISNUMBER(AD32),AD32*CZ32,0)</f>
        <v>70</v>
      </c>
      <c r="EQ32" s="28" t="n">
        <f aca="false">IF(ISNUMBER(AH32),AH32*DA32,0)</f>
        <v>85</v>
      </c>
      <c r="ER32" s="28" t="n">
        <f aca="false">IF(ISNUMBER(AL32),AL32*DB32,0)</f>
        <v>130</v>
      </c>
      <c r="ES32" s="28" t="n">
        <f aca="false">IF(ISNUMBER(AP32),AP32*DC32,0)</f>
        <v>128</v>
      </c>
      <c r="ET32" s="28" t="n">
        <f aca="false">IF(ISNUMBER(AT32),AT32*DD32,0)</f>
        <v>0</v>
      </c>
      <c r="EU32" s="28" t="n">
        <f aca="false">IF(ISNUMBER(AX32),AX32*DE32,0)</f>
        <v>50</v>
      </c>
      <c r="EV32" s="28" t="n">
        <f aca="false">IF(ISNUMBER(BB32),BB32*DF32,0)</f>
        <v>86.6666666666667</v>
      </c>
      <c r="EW32" s="28" t="n">
        <f aca="false">IF(ISNUMBER(BF32),BF32*DG32,0)</f>
        <v>0</v>
      </c>
      <c r="EX32" s="28" t="n">
        <f aca="false">IF(ISNUMBER(BJ32),BJ32*DH32,0)</f>
        <v>0</v>
      </c>
      <c r="EY32" s="28" t="n">
        <f aca="false">IF(ISNUMBER(BN32),BN32*DI32,0)</f>
        <v>0</v>
      </c>
      <c r="EZ32" s="28" t="n">
        <f aca="false">IF(ISNUMBER(BR32),BR32*DJ32,0)</f>
        <v>0</v>
      </c>
      <c r="FA32" s="28" t="n">
        <f aca="false">IF(ISNUMBER(R32),CW32,0)</f>
        <v>1</v>
      </c>
      <c r="FB32" s="28" t="n">
        <f aca="false">IF(ISNUMBER(V32),CX32,0)</f>
        <v>1</v>
      </c>
      <c r="FC32" s="28" t="n">
        <f aca="false">IF(ISNUMBER(Z32),CY32,0)</f>
        <v>1</v>
      </c>
      <c r="FD32" s="28" t="n">
        <f aca="false">IF(ISNUMBER(AD32),CZ32,0)</f>
        <v>1</v>
      </c>
      <c r="FE32" s="28" t="n">
        <f aca="false">IF(ISNUMBER(AH32),DA32,0)</f>
        <v>1</v>
      </c>
      <c r="FF32" s="28" t="n">
        <f aca="false">IF(ISNUMBER(AL32),DB32,0)</f>
        <v>2</v>
      </c>
      <c r="FG32" s="28" t="n">
        <f aca="false">IF(ISNUMBER(AP32),DC32,0)</f>
        <v>2</v>
      </c>
      <c r="FH32" s="28" t="n">
        <f aca="false">IF(ISNUMBER(AT32),DD32,0)</f>
        <v>0</v>
      </c>
      <c r="FI32" s="28" t="n">
        <f aca="false">IF(ISNUMBER(AX32),DE32,0)</f>
        <v>1</v>
      </c>
      <c r="FJ32" s="28" t="n">
        <f aca="false">IF(ISNUMBER(BB32),DF32,0)</f>
        <v>1</v>
      </c>
      <c r="FK32" s="28" t="n">
        <f aca="false">IF(ISNUMBER(BF32),DG32,0)</f>
        <v>0</v>
      </c>
      <c r="FL32" s="28" t="n">
        <f aca="false">IF(ISNUMBER(BJ32),DH32,0)</f>
        <v>0</v>
      </c>
      <c r="FM32" s="28" t="n">
        <f aca="false">IF(ISNUMBER(BN32),DI32,0)</f>
        <v>0</v>
      </c>
      <c r="FN32" s="28" t="n">
        <f aca="false">IF(ISNUMBER(BR32),DJ32,0)</f>
        <v>0</v>
      </c>
      <c r="FO32" s="28" t="str">
        <f aca="false">IFERROR(INDEX(Lists!$G$2:$G$20,MATCH($I32&amp;"|"&amp;$J32,Lists!$F$2:$F$20,0)),"")</f>
        <v>Geog Overall HL</v>
      </c>
    </row>
    <row r="33" customFormat="false" ht="19.5" hidden="false" customHeight="true" outlineLevel="0" collapsed="false">
      <c r="A33" s="29" t="s">
        <v>200</v>
      </c>
      <c r="B33" s="29" t="s">
        <v>201</v>
      </c>
      <c r="C33" s="30" t="s">
        <v>192</v>
      </c>
      <c r="D33" s="30" t="s">
        <v>193</v>
      </c>
      <c r="E33" s="31" t="n">
        <v>5.9</v>
      </c>
      <c r="F33" s="30" t="n">
        <v>6</v>
      </c>
      <c r="G33" s="30"/>
      <c r="H33" s="32" t="s">
        <v>23</v>
      </c>
      <c r="I33" s="33" t="s">
        <v>24</v>
      </c>
      <c r="J33" s="32" t="s">
        <v>25</v>
      </c>
      <c r="K33" s="34" t="n">
        <f aca="false">IF(OR(M33="",$E33=""),"",M33-$E33)</f>
        <v>1.1</v>
      </c>
      <c r="L33" s="35" t="n">
        <f aca="false">IF(SUM(FA33:FN33)=0,"",SUM(EM33:EZ33)/SUM(FA33:FN33))</f>
        <v>77.5909090909091</v>
      </c>
      <c r="M33" s="36" t="n">
        <f aca="false">IF(OR(L33="",FO33=""),"",IFERROR(MATCH(L33,INDEX(Boundaries!$B$2:$I$30,MATCH(FO33,Boundaries!$A$2:$A$30,0),0),1)-1,""))</f>
        <v>7</v>
      </c>
      <c r="N33" s="37" t="n">
        <f aca="false">IF(COUNT($DY33:$EL33)&lt;2,"",INDEX($DK33:$DX33,MAX($DY33:$EL33))-INDEX($DK33:$DX33,MIN($DY33:$EL33)))</f>
        <v>0</v>
      </c>
      <c r="O33" s="37" t="n">
        <f aca="false">IF(COUNT($DY33:$EL33)&lt;2,"",INDEX($DK33:$DX33,MAX($DY33:$EL33))-INDEX($DK33:$DX33,LARGE($DY33:$EL33,2)))</f>
        <v>2</v>
      </c>
      <c r="P33" s="38" t="str">
        <f aca="false">IF(K33="","",IF(K33&gt;=0,"On/above target",IF(AND(N33&lt;&gt;"",N33&gt;=0.5),"Improving towards target",IF(AND(O33&lt;&gt;"",O33&lt;=-0.5),"Declining","Stable below target"))))</f>
        <v>On/above target</v>
      </c>
      <c r="Q33" s="39" t="n">
        <v>18</v>
      </c>
      <c r="R33" s="40" t="n">
        <f aca="false">IF(OR(Q33="",BU33=""),"",Q33/BU33*100)</f>
        <v>90</v>
      </c>
      <c r="S33" s="41" t="n">
        <f aca="false">IF(R33="","",IFERROR(MATCH(R33,INDEX(Boundaries!$B$2:$I$30,MATCH(CI33,Boundaries!$A$2:$A$30,0),0),1)-1,""))</f>
        <v>7</v>
      </c>
      <c r="T33" s="42" t="n">
        <f aca="false">IF(OR(S33="",$E33=""),"",S33-$E33)</f>
        <v>1.1</v>
      </c>
      <c r="U33" s="39" t="n">
        <v>15</v>
      </c>
      <c r="V33" s="40" t="n">
        <f aca="false">IF(OR(U33="",BV33=""),"",U33/BV33*100)</f>
        <v>75</v>
      </c>
      <c r="W33" s="41" t="n">
        <f aca="false">IF(V33="","",IFERROR(MATCH(V33,INDEX(Boundaries!$B$2:$I$30,MATCH(CJ33,Boundaries!$A$2:$A$30,0),0),1)-1,""))</f>
        <v>7</v>
      </c>
      <c r="X33" s="42" t="n">
        <f aca="false">IF(OR(W33="",$E33=""),"",W33-$E33)</f>
        <v>1.1</v>
      </c>
      <c r="Y33" s="39" t="n">
        <v>16</v>
      </c>
      <c r="Z33" s="40" t="n">
        <f aca="false">IF(OR(Y33="",BW33=""),"",Y33/BW33*100)</f>
        <v>80</v>
      </c>
      <c r="AA33" s="41" t="n">
        <f aca="false">IF(Z33="","",IFERROR(MATCH(Z33,INDEX(Boundaries!$B$2:$I$30,MATCH(CK33,Boundaries!$A$2:$A$30,0),0),1)-1,""))</f>
        <v>7</v>
      </c>
      <c r="AB33" s="42" t="n">
        <f aca="false">IF(OR(AA33="",$E33=""),"",AA33-$E33)</f>
        <v>1.1</v>
      </c>
      <c r="AC33" s="39" t="n">
        <v>17</v>
      </c>
      <c r="AD33" s="40" t="n">
        <f aca="false">IF(OR(AC33="",BX33=""),"",AC33/BX33*100)</f>
        <v>85</v>
      </c>
      <c r="AE33" s="41" t="n">
        <f aca="false">IF(AD33="","",IFERROR(MATCH(AD33,INDEX(Boundaries!$B$2:$I$30,MATCH(CL33,Boundaries!$A$2:$A$30,0),0),1)-1,""))</f>
        <v>7</v>
      </c>
      <c r="AF33" s="42" t="n">
        <f aca="false">IF(OR(AE33="",$E33=""),"",AE33-$E33)</f>
        <v>1.1</v>
      </c>
      <c r="AG33" s="39" t="n">
        <v>18</v>
      </c>
      <c r="AH33" s="40" t="n">
        <f aca="false">IF(OR(AG33="",BY33=""),"",AG33/BY33*100)</f>
        <v>90</v>
      </c>
      <c r="AI33" s="41" t="n">
        <f aca="false">IF(AH33="","",IFERROR(MATCH(AH33,INDEX(Boundaries!$B$2:$I$30,MATCH(CM33,Boundaries!$A$2:$A$30,0),0),1)-1,""))</f>
        <v>7</v>
      </c>
      <c r="AJ33" s="42" t="n">
        <f aca="false">IF(OR(AI33="",$E33=""),"",AI33-$E33)</f>
        <v>1.1</v>
      </c>
      <c r="AK33" s="39" t="n">
        <v>27</v>
      </c>
      <c r="AL33" s="40" t="n">
        <f aca="false">IF(OR(AK33="",BZ33=""),"",AK33/BZ33*100)</f>
        <v>67.5</v>
      </c>
      <c r="AM33" s="41" t="n">
        <f aca="false">IF(AL33="","",IFERROR(MATCH(AL33,INDEX(Boundaries!$B$2:$I$30,MATCH(CN33,Boundaries!$A$2:$A$30,0),0),1)-1,""))</f>
        <v>6</v>
      </c>
      <c r="AN33" s="42" t="n">
        <f aca="false">IF(OR(AM33="",$E33=""),"",AM33-$E33)</f>
        <v>0.0999999999999996</v>
      </c>
      <c r="AO33" s="39" t="n">
        <v>39</v>
      </c>
      <c r="AP33" s="40" t="n">
        <f aca="false">IF(OR(AO33="",CA33=""),"",AO33/CA33*100)</f>
        <v>78</v>
      </c>
      <c r="AQ33" s="41" t="n">
        <f aca="false">IF(AP33="","",IFERROR(MATCH(AP33,INDEX(Boundaries!$B$2:$I$30,MATCH(CO33,Boundaries!$A$2:$A$30,0),0),1)-1,""))</f>
        <v>6</v>
      </c>
      <c r="AR33" s="42" t="n">
        <f aca="false">IF(OR(AQ33="",$E33=""),"",AQ33-$E33)</f>
        <v>0.0999999999999996</v>
      </c>
      <c r="AS33" s="39"/>
      <c r="AT33" s="40" t="str">
        <f aca="false">IF(OR(AS33="",CB33=""),"",AS33/CB33*100)</f>
        <v/>
      </c>
      <c r="AU33" s="41" t="str">
        <f aca="false">IF(AT33="","",IFERROR(MATCH(AT33,INDEX(Boundaries!$B$2:$I$30,MATCH(CP33,Boundaries!$A$2:$A$30,0),0),1)-1,""))</f>
        <v/>
      </c>
      <c r="AV33" s="42" t="str">
        <f aca="false">IF(OR(AU33="",$E33=""),"",AU33-$E33)</f>
        <v/>
      </c>
      <c r="AW33" s="39" t="n">
        <v>10</v>
      </c>
      <c r="AX33" s="40" t="n">
        <f aca="false">IF(OR(AW33="",CC33=""),"",AW33/CC33*100)</f>
        <v>62.5</v>
      </c>
      <c r="AY33" s="41" t="n">
        <f aca="false">IF(AX33="","",IFERROR(MATCH(AX33,INDEX(Boundaries!$B$2:$I$30,MATCH(CQ33,Boundaries!$A$2:$A$30,0),0),1)-1,""))</f>
        <v>5</v>
      </c>
      <c r="AZ33" s="42" t="n">
        <f aca="false">IF(OR(AY33="",$E33=""),"",AY33-$E33)</f>
        <v>-0.9</v>
      </c>
      <c r="BA33" s="39" t="n">
        <v>24</v>
      </c>
      <c r="BB33" s="40" t="n">
        <f aca="false">IF(OR(BA33="",CD33=""),"",BA33/CD33*100)</f>
        <v>80</v>
      </c>
      <c r="BC33" s="41" t="n">
        <f aca="false">IF(BB33="","",IFERROR(MATCH(BB33,INDEX(Boundaries!$B$2:$I$30,MATCH(CR33,Boundaries!$A$2:$A$30,0),0),1)-1,""))</f>
        <v>7</v>
      </c>
      <c r="BD33" s="42" t="n">
        <f aca="false">IF(OR(BC33="",$E33=""),"",BC33-$E33)</f>
        <v>1.1</v>
      </c>
      <c r="BE33" s="39"/>
      <c r="BF33" s="40" t="str">
        <f aca="false">IF(OR(BE33="",CE33=""),"",BE33/CE33*100)</f>
        <v/>
      </c>
      <c r="BG33" s="41" t="str">
        <f aca="false">IF(BF33="","",IFERROR(MATCH(BF33,INDEX(Boundaries!$B$2:$I$30,MATCH(CS33,Boundaries!$A$2:$A$30,0),0),1)-1,""))</f>
        <v/>
      </c>
      <c r="BH33" s="42" t="str">
        <f aca="false">IF(OR(BG33="",$E33=""),"",BG33-$E33)</f>
        <v/>
      </c>
      <c r="BI33" s="39"/>
      <c r="BJ33" s="40" t="str">
        <f aca="false">IF(OR(BI33="",CF33=""),"",BI33/CF33*100)</f>
        <v/>
      </c>
      <c r="BK33" s="41" t="str">
        <f aca="false">IF(BJ33="","",IFERROR(MATCH(BJ33,INDEX(Boundaries!$B$2:$I$30,MATCH(CT33,Boundaries!$A$2:$A$30,0),0),1)-1,""))</f>
        <v/>
      </c>
      <c r="BL33" s="42" t="str">
        <f aca="false">IF(OR(BK33="",$E33=""),"",BK33-$E33)</f>
        <v/>
      </c>
      <c r="BM33" s="39"/>
      <c r="BN33" s="40" t="str">
        <f aca="false">IF(OR(BM33="",CG33=""),"",BM33/CG33*100)</f>
        <v/>
      </c>
      <c r="BO33" s="41" t="str">
        <f aca="false">IF(BN33="","",IFERROR(MATCH(BN33,INDEX(Boundaries!$B$2:$I$30,MATCH(CU33,Boundaries!$A$2:$A$30,0),0),1)-1,""))</f>
        <v/>
      </c>
      <c r="BP33" s="42" t="str">
        <f aca="false">IF(OR(BO33="",$E33=""),"",BO33-$E33)</f>
        <v/>
      </c>
      <c r="BQ33" s="39"/>
      <c r="BR33" s="40" t="str">
        <f aca="false">IF(OR(BQ33="",CH33=""),"",BQ33/CH33*100)</f>
        <v/>
      </c>
      <c r="BS33" s="41" t="str">
        <f aca="false">IF(BR33="","",IFERROR(MATCH(BR33,INDEX(Boundaries!$B$2:$I$30,MATCH(CV33,Boundaries!$A$2:$A$30,0),0),1)-1,""))</f>
        <v/>
      </c>
      <c r="BT33" s="42" t="str">
        <f aca="false">IF(OR(BS33="",$E33=""),"",BS33-$E33)</f>
        <v/>
      </c>
      <c r="BU33" s="28" t="n">
        <f aca="false">IFERROR(INDEX(Assessments!$H$2:$H$600,MATCH($H33&amp;"|"&amp;$I33&amp;"|"&amp;$J33&amp;"|"&amp;1,Assessments!$A$2:$A$600,0)),"")</f>
        <v>20</v>
      </c>
      <c r="BV33" s="28" t="n">
        <f aca="false">IFERROR(INDEX(Assessments!$H$2:$H$600,MATCH($H33&amp;"|"&amp;$I33&amp;"|"&amp;$J33&amp;"|"&amp;2,Assessments!$A$2:$A$600,0)),"")</f>
        <v>20</v>
      </c>
      <c r="BW33" s="28" t="n">
        <f aca="false">IFERROR(INDEX(Assessments!$H$2:$H$600,MATCH($H33&amp;"|"&amp;$I33&amp;"|"&amp;$J33&amp;"|"&amp;3,Assessments!$A$2:$A$600,0)),"")</f>
        <v>20</v>
      </c>
      <c r="BX33" s="28" t="n">
        <f aca="false">IFERROR(INDEX(Assessments!$H$2:$H$600,MATCH($H33&amp;"|"&amp;$I33&amp;"|"&amp;$J33&amp;"|"&amp;4,Assessments!$A$2:$A$600,0)),"")</f>
        <v>20</v>
      </c>
      <c r="BY33" s="28" t="n">
        <f aca="false">IFERROR(INDEX(Assessments!$H$2:$H$600,MATCH($H33&amp;"|"&amp;$I33&amp;"|"&amp;$J33&amp;"|"&amp;5,Assessments!$A$2:$A$600,0)),"")</f>
        <v>20</v>
      </c>
      <c r="BZ33" s="28" t="n">
        <f aca="false">IFERROR(INDEX(Assessments!$H$2:$H$600,MATCH($H33&amp;"|"&amp;$I33&amp;"|"&amp;$J33&amp;"|"&amp;6,Assessments!$A$2:$A$600,0)),"")</f>
        <v>40</v>
      </c>
      <c r="CA33" s="28" t="n">
        <f aca="false">IFERROR(INDEX(Assessments!$H$2:$H$600,MATCH($H33&amp;"|"&amp;$I33&amp;"|"&amp;$J33&amp;"|"&amp;7,Assessments!$A$2:$A$600,0)),"")</f>
        <v>50</v>
      </c>
      <c r="CB33" s="28" t="n">
        <f aca="false">IFERROR(INDEX(Assessments!$H$2:$H$600,MATCH($H33&amp;"|"&amp;$I33&amp;"|"&amp;$J33&amp;"|"&amp;8,Assessments!$A$2:$A$600,0)),"")</f>
        <v>25</v>
      </c>
      <c r="CC33" s="28" t="n">
        <f aca="false">IFERROR(INDEX(Assessments!$H$2:$H$600,MATCH($H33&amp;"|"&amp;$I33&amp;"|"&amp;$J33&amp;"|"&amp;9,Assessments!$A$2:$A$600,0)),"")</f>
        <v>16</v>
      </c>
      <c r="CD33" s="28" t="n">
        <f aca="false">IFERROR(INDEX(Assessments!$H$2:$H$600,MATCH($H33&amp;"|"&amp;$I33&amp;"|"&amp;$J33&amp;"|"&amp;10,Assessments!$A$2:$A$600,0)),"")</f>
        <v>30</v>
      </c>
      <c r="CE33" s="28" t="str">
        <f aca="false">IFERROR(INDEX(Assessments!$H$2:$H$600,MATCH($H33&amp;"|"&amp;$I33&amp;"|"&amp;$J33&amp;"|"&amp;11,Assessments!$A$2:$A$600,0)),"")</f>
        <v/>
      </c>
      <c r="CF33" s="28" t="str">
        <f aca="false">IFERROR(INDEX(Assessments!$H$2:$H$600,MATCH($H33&amp;"|"&amp;$I33&amp;"|"&amp;$J33&amp;"|"&amp;12,Assessments!$A$2:$A$600,0)),"")</f>
        <v/>
      </c>
      <c r="CG33" s="28" t="str">
        <f aca="false">IFERROR(INDEX(Assessments!$H$2:$H$600,MATCH($H33&amp;"|"&amp;$I33&amp;"|"&amp;$J33&amp;"|"&amp;13,Assessments!$A$2:$A$600,0)),"")</f>
        <v/>
      </c>
      <c r="CH33" s="28" t="str">
        <f aca="false">IFERROR(INDEX(Assessments!$H$2:$H$600,MATCH($H33&amp;"|"&amp;$I33&amp;"|"&amp;$J33&amp;"|"&amp;14,Assessments!$A$2:$A$600,0)),"")</f>
        <v/>
      </c>
      <c r="CI33" s="28" t="str">
        <f aca="false">IFERROR(INDEX(Assessments!$I$2:$I$600,MATCH($H33&amp;"|"&amp;$I33&amp;"|"&amp;$J33&amp;"|"&amp;1,Assessments!$A$2:$A$600,0)),"")</f>
        <v>Geog Paper 1</v>
      </c>
      <c r="CJ33" s="28" t="str">
        <f aca="false">IFERROR(INDEX(Assessments!$I$2:$I$600,MATCH($H33&amp;"|"&amp;$I33&amp;"|"&amp;$J33&amp;"|"&amp;2,Assessments!$A$2:$A$600,0)),"")</f>
        <v>Geog Paper 1</v>
      </c>
      <c r="CK33" s="28" t="str">
        <f aca="false">IFERROR(INDEX(Assessments!$I$2:$I$600,MATCH($H33&amp;"|"&amp;$I33&amp;"|"&amp;$J33&amp;"|"&amp;3,Assessments!$A$2:$A$600,0)),"")</f>
        <v>Geog Paper 2</v>
      </c>
      <c r="CL33" s="28" t="str">
        <f aca="false">IFERROR(INDEX(Assessments!$I$2:$I$600,MATCH($H33&amp;"|"&amp;$I33&amp;"|"&amp;$J33&amp;"|"&amp;4,Assessments!$A$2:$A$600,0)),"")</f>
        <v>Geog Paper 1</v>
      </c>
      <c r="CM33" s="28" t="str">
        <f aca="false">IFERROR(INDEX(Assessments!$I$2:$I$600,MATCH($H33&amp;"|"&amp;$I33&amp;"|"&amp;$J33&amp;"|"&amp;5,Assessments!$A$2:$A$600,0)),"")</f>
        <v>Geog Paper 1</v>
      </c>
      <c r="CN33" s="28" t="str">
        <f aca="false">IFERROR(INDEX(Assessments!$I$2:$I$600,MATCH($H33&amp;"|"&amp;$I33&amp;"|"&amp;$J33&amp;"|"&amp;6,Assessments!$A$2:$A$600,0)),"")</f>
        <v>Geog Paper 1</v>
      </c>
      <c r="CO33" s="28" t="str">
        <f aca="false">IFERROR(INDEX(Assessments!$I$2:$I$600,MATCH($H33&amp;"|"&amp;$I33&amp;"|"&amp;$J33&amp;"|"&amp;7,Assessments!$A$2:$A$600,0)),"")</f>
        <v>Geog Paper 2</v>
      </c>
      <c r="CP33" s="28" t="str">
        <f aca="false">IFERROR(INDEX(Assessments!$I$2:$I$600,MATCH($H33&amp;"|"&amp;$I33&amp;"|"&amp;$J33&amp;"|"&amp;8,Assessments!$A$2:$A$600,0)),"")</f>
        <v>Geog Paper 2</v>
      </c>
      <c r="CQ33" s="28" t="str">
        <f aca="false">IFERROR(INDEX(Assessments!$I$2:$I$600,MATCH($H33&amp;"|"&amp;$I33&amp;"|"&amp;$J33&amp;"|"&amp;9,Assessments!$A$2:$A$600,0)),"")</f>
        <v>Geog Paper 3</v>
      </c>
      <c r="CR33" s="28" t="str">
        <f aca="false">IFERROR(INDEX(Assessments!$I$2:$I$600,MATCH($H33&amp;"|"&amp;$I33&amp;"|"&amp;$J33&amp;"|"&amp;10,Assessments!$A$2:$A$600,0)),"")</f>
        <v>Geog Paper 2</v>
      </c>
      <c r="CS33" s="28" t="str">
        <f aca="false">IFERROR(INDEX(Assessments!$I$2:$I$600,MATCH($H33&amp;"|"&amp;$I33&amp;"|"&amp;$J33&amp;"|"&amp;11,Assessments!$A$2:$A$600,0)),"")</f>
        <v/>
      </c>
      <c r="CT33" s="28" t="str">
        <f aca="false">IFERROR(INDEX(Assessments!$I$2:$I$600,MATCH($H33&amp;"|"&amp;$I33&amp;"|"&amp;$J33&amp;"|"&amp;12,Assessments!$A$2:$A$600,0)),"")</f>
        <v/>
      </c>
      <c r="CU33" s="28" t="str">
        <f aca="false">IFERROR(INDEX(Assessments!$I$2:$I$600,MATCH($H33&amp;"|"&amp;$I33&amp;"|"&amp;$J33&amp;"|"&amp;13,Assessments!$A$2:$A$600,0)),"")</f>
        <v/>
      </c>
      <c r="CV33" s="28" t="str">
        <f aca="false">IFERROR(INDEX(Assessments!$I$2:$I$600,MATCH($H33&amp;"|"&amp;$I33&amp;"|"&amp;$J33&amp;"|"&amp;14,Assessments!$A$2:$A$600,0)),"")</f>
        <v/>
      </c>
      <c r="CW33" s="28" t="n">
        <f aca="false">IFERROR(INDEX(Assessments!$J$2:$J$600,MATCH($H33&amp;"|"&amp;$I33&amp;"|"&amp;$J33&amp;"|"&amp;1,Assessments!$A$2:$A$600,0)),0)</f>
        <v>1</v>
      </c>
      <c r="CX33" s="28" t="n">
        <f aca="false">IFERROR(INDEX(Assessments!$J$2:$J$600,MATCH($H33&amp;"|"&amp;$I33&amp;"|"&amp;$J33&amp;"|"&amp;2,Assessments!$A$2:$A$600,0)),0)</f>
        <v>1</v>
      </c>
      <c r="CY33" s="28" t="n">
        <f aca="false">IFERROR(INDEX(Assessments!$J$2:$J$600,MATCH($H33&amp;"|"&amp;$I33&amp;"|"&amp;$J33&amp;"|"&amp;3,Assessments!$A$2:$A$600,0)),0)</f>
        <v>1</v>
      </c>
      <c r="CZ33" s="28" t="n">
        <f aca="false">IFERROR(INDEX(Assessments!$J$2:$J$600,MATCH($H33&amp;"|"&amp;$I33&amp;"|"&amp;$J33&amp;"|"&amp;4,Assessments!$A$2:$A$600,0)),0)</f>
        <v>1</v>
      </c>
      <c r="DA33" s="28" t="n">
        <f aca="false">IFERROR(INDEX(Assessments!$J$2:$J$600,MATCH($H33&amp;"|"&amp;$I33&amp;"|"&amp;$J33&amp;"|"&amp;5,Assessments!$A$2:$A$600,0)),0)</f>
        <v>1</v>
      </c>
      <c r="DB33" s="28" t="n">
        <f aca="false">IFERROR(INDEX(Assessments!$J$2:$J$600,MATCH($H33&amp;"|"&amp;$I33&amp;"|"&amp;$J33&amp;"|"&amp;6,Assessments!$A$2:$A$600,0)),0)</f>
        <v>2</v>
      </c>
      <c r="DC33" s="28" t="n">
        <f aca="false">IFERROR(INDEX(Assessments!$J$2:$J$600,MATCH($H33&amp;"|"&amp;$I33&amp;"|"&amp;$J33&amp;"|"&amp;7,Assessments!$A$2:$A$600,0)),0)</f>
        <v>2</v>
      </c>
      <c r="DD33" s="28" t="n">
        <f aca="false">IFERROR(INDEX(Assessments!$J$2:$J$600,MATCH($H33&amp;"|"&amp;$I33&amp;"|"&amp;$J33&amp;"|"&amp;8,Assessments!$A$2:$A$600,0)),0)</f>
        <v>1</v>
      </c>
      <c r="DE33" s="28" t="n">
        <f aca="false">IFERROR(INDEX(Assessments!$J$2:$J$600,MATCH($H33&amp;"|"&amp;$I33&amp;"|"&amp;$J33&amp;"|"&amp;9,Assessments!$A$2:$A$600,0)),0)</f>
        <v>1</v>
      </c>
      <c r="DF33" s="28" t="n">
        <f aca="false">IFERROR(INDEX(Assessments!$J$2:$J$600,MATCH($H33&amp;"|"&amp;$I33&amp;"|"&amp;$J33&amp;"|"&amp;10,Assessments!$A$2:$A$600,0)),0)</f>
        <v>1</v>
      </c>
      <c r="DG33" s="28" t="n">
        <f aca="false">IFERROR(INDEX(Assessments!$J$2:$J$600,MATCH($H33&amp;"|"&amp;$I33&amp;"|"&amp;$J33&amp;"|"&amp;11,Assessments!$A$2:$A$600,0)),0)</f>
        <v>0</v>
      </c>
      <c r="DH33" s="28" t="n">
        <f aca="false">IFERROR(INDEX(Assessments!$J$2:$J$600,MATCH($H33&amp;"|"&amp;$I33&amp;"|"&amp;$J33&amp;"|"&amp;12,Assessments!$A$2:$A$600,0)),0)</f>
        <v>0</v>
      </c>
      <c r="DI33" s="28" t="n">
        <f aca="false">IFERROR(INDEX(Assessments!$J$2:$J$600,MATCH($H33&amp;"|"&amp;$I33&amp;"|"&amp;$J33&amp;"|"&amp;13,Assessments!$A$2:$A$600,0)),0)</f>
        <v>0</v>
      </c>
      <c r="DJ33" s="28" t="n">
        <f aca="false">IFERROR(INDEX(Assessments!$J$2:$J$600,MATCH($H33&amp;"|"&amp;$I33&amp;"|"&amp;$J33&amp;"|"&amp;14,Assessments!$A$2:$A$600,0)),0)</f>
        <v>0</v>
      </c>
      <c r="DK33" s="28" t="n">
        <f aca="false">S33</f>
        <v>7</v>
      </c>
      <c r="DL33" s="28" t="n">
        <f aca="false">W33</f>
        <v>7</v>
      </c>
      <c r="DM33" s="28" t="n">
        <f aca="false">AA33</f>
        <v>7</v>
      </c>
      <c r="DN33" s="28" t="n">
        <f aca="false">AE33</f>
        <v>7</v>
      </c>
      <c r="DO33" s="28" t="n">
        <f aca="false">AI33</f>
        <v>7</v>
      </c>
      <c r="DP33" s="28" t="n">
        <f aca="false">AM33</f>
        <v>6</v>
      </c>
      <c r="DQ33" s="28" t="n">
        <f aca="false">AQ33</f>
        <v>6</v>
      </c>
      <c r="DR33" s="28" t="str">
        <f aca="false">AU33</f>
        <v/>
      </c>
      <c r="DS33" s="28" t="n">
        <f aca="false">AY33</f>
        <v>5</v>
      </c>
      <c r="DT33" s="28" t="n">
        <f aca="false">BC33</f>
        <v>7</v>
      </c>
      <c r="DU33" s="28" t="str">
        <f aca="false">BG33</f>
        <v/>
      </c>
      <c r="DV33" s="28" t="str">
        <f aca="false">BK33</f>
        <v/>
      </c>
      <c r="DW33" s="28" t="str">
        <f aca="false">BO33</f>
        <v/>
      </c>
      <c r="DX33" s="28" t="str">
        <f aca="false">BS33</f>
        <v/>
      </c>
      <c r="DY33" s="28" t="n">
        <f aca="false">IF(ISNUMBER(S33),1,"")</f>
        <v>1</v>
      </c>
      <c r="DZ33" s="28" t="n">
        <f aca="false">IF(ISNUMBER(W33),2,"")</f>
        <v>2</v>
      </c>
      <c r="EA33" s="28" t="n">
        <f aca="false">IF(ISNUMBER(AA33),3,"")</f>
        <v>3</v>
      </c>
      <c r="EB33" s="28" t="n">
        <f aca="false">IF(ISNUMBER(AE33),4,"")</f>
        <v>4</v>
      </c>
      <c r="EC33" s="28" t="n">
        <f aca="false">IF(ISNUMBER(AI33),5,"")</f>
        <v>5</v>
      </c>
      <c r="ED33" s="28" t="n">
        <f aca="false">IF(ISNUMBER(AM33),6,"")</f>
        <v>6</v>
      </c>
      <c r="EE33" s="28" t="n">
        <f aca="false">IF(ISNUMBER(AQ33),7,"")</f>
        <v>7</v>
      </c>
      <c r="EF33" s="28" t="str">
        <f aca="false">IF(ISNUMBER(AU33),8,"")</f>
        <v/>
      </c>
      <c r="EG33" s="28" t="n">
        <f aca="false">IF(ISNUMBER(AY33),9,"")</f>
        <v>9</v>
      </c>
      <c r="EH33" s="28" t="n">
        <f aca="false">IF(ISNUMBER(BC33),10,"")</f>
        <v>10</v>
      </c>
      <c r="EI33" s="28" t="str">
        <f aca="false">IF(ISNUMBER(BG33),11,"")</f>
        <v/>
      </c>
      <c r="EJ33" s="28" t="str">
        <f aca="false">IF(ISNUMBER(BK33),12,"")</f>
        <v/>
      </c>
      <c r="EK33" s="28" t="str">
        <f aca="false">IF(ISNUMBER(BO33),13,"")</f>
        <v/>
      </c>
      <c r="EL33" s="28" t="str">
        <f aca="false">IF(ISNUMBER(BS33),14,"")</f>
        <v/>
      </c>
      <c r="EM33" s="28" t="n">
        <f aca="false">IF(ISNUMBER(R33),R33*CW33,0)</f>
        <v>90</v>
      </c>
      <c r="EN33" s="28" t="n">
        <f aca="false">IF(ISNUMBER(V33),V33*CX33,0)</f>
        <v>75</v>
      </c>
      <c r="EO33" s="28" t="n">
        <f aca="false">IF(ISNUMBER(Z33),Z33*CY33,0)</f>
        <v>80</v>
      </c>
      <c r="EP33" s="28" t="n">
        <f aca="false">IF(ISNUMBER(AD33),AD33*CZ33,0)</f>
        <v>85</v>
      </c>
      <c r="EQ33" s="28" t="n">
        <f aca="false">IF(ISNUMBER(AH33),AH33*DA33,0)</f>
        <v>90</v>
      </c>
      <c r="ER33" s="28" t="n">
        <f aca="false">IF(ISNUMBER(AL33),AL33*DB33,0)</f>
        <v>135</v>
      </c>
      <c r="ES33" s="28" t="n">
        <f aca="false">IF(ISNUMBER(AP33),AP33*DC33,0)</f>
        <v>156</v>
      </c>
      <c r="ET33" s="28" t="n">
        <f aca="false">IF(ISNUMBER(AT33),AT33*DD33,0)</f>
        <v>0</v>
      </c>
      <c r="EU33" s="28" t="n">
        <f aca="false">IF(ISNUMBER(AX33),AX33*DE33,0)</f>
        <v>62.5</v>
      </c>
      <c r="EV33" s="28" t="n">
        <f aca="false">IF(ISNUMBER(BB33),BB33*DF33,0)</f>
        <v>80</v>
      </c>
      <c r="EW33" s="28" t="n">
        <f aca="false">IF(ISNUMBER(BF33),BF33*DG33,0)</f>
        <v>0</v>
      </c>
      <c r="EX33" s="28" t="n">
        <f aca="false">IF(ISNUMBER(BJ33),BJ33*DH33,0)</f>
        <v>0</v>
      </c>
      <c r="EY33" s="28" t="n">
        <f aca="false">IF(ISNUMBER(BN33),BN33*DI33,0)</f>
        <v>0</v>
      </c>
      <c r="EZ33" s="28" t="n">
        <f aca="false">IF(ISNUMBER(BR33),BR33*DJ33,0)</f>
        <v>0</v>
      </c>
      <c r="FA33" s="28" t="n">
        <f aca="false">IF(ISNUMBER(R33),CW33,0)</f>
        <v>1</v>
      </c>
      <c r="FB33" s="28" t="n">
        <f aca="false">IF(ISNUMBER(V33),CX33,0)</f>
        <v>1</v>
      </c>
      <c r="FC33" s="28" t="n">
        <f aca="false">IF(ISNUMBER(Z33),CY33,0)</f>
        <v>1</v>
      </c>
      <c r="FD33" s="28" t="n">
        <f aca="false">IF(ISNUMBER(AD33),CZ33,0)</f>
        <v>1</v>
      </c>
      <c r="FE33" s="28" t="n">
        <f aca="false">IF(ISNUMBER(AH33),DA33,0)</f>
        <v>1</v>
      </c>
      <c r="FF33" s="28" t="n">
        <f aca="false">IF(ISNUMBER(AL33),DB33,0)</f>
        <v>2</v>
      </c>
      <c r="FG33" s="28" t="n">
        <f aca="false">IF(ISNUMBER(AP33),DC33,0)</f>
        <v>2</v>
      </c>
      <c r="FH33" s="28" t="n">
        <f aca="false">IF(ISNUMBER(AT33),DD33,0)</f>
        <v>0</v>
      </c>
      <c r="FI33" s="28" t="n">
        <f aca="false">IF(ISNUMBER(AX33),DE33,0)</f>
        <v>1</v>
      </c>
      <c r="FJ33" s="28" t="n">
        <f aca="false">IF(ISNUMBER(BB33),DF33,0)</f>
        <v>1</v>
      </c>
      <c r="FK33" s="28" t="n">
        <f aca="false">IF(ISNUMBER(BF33),DG33,0)</f>
        <v>0</v>
      </c>
      <c r="FL33" s="28" t="n">
        <f aca="false">IF(ISNUMBER(BJ33),DH33,0)</f>
        <v>0</v>
      </c>
      <c r="FM33" s="28" t="n">
        <f aca="false">IF(ISNUMBER(BN33),DI33,0)</f>
        <v>0</v>
      </c>
      <c r="FN33" s="28" t="n">
        <f aca="false">IF(ISNUMBER(BR33),DJ33,0)</f>
        <v>0</v>
      </c>
      <c r="FO33" s="28" t="str">
        <f aca="false">IFERROR(INDEX(Lists!$G$2:$G$20,MATCH($I33&amp;"|"&amp;$J33,Lists!$F$2:$F$20,0)),"")</f>
        <v>Geog Overall HL</v>
      </c>
    </row>
    <row r="34" customFormat="false" ht="19.5" hidden="false" customHeight="true" outlineLevel="0" collapsed="false">
      <c r="A34" s="29" t="s">
        <v>202</v>
      </c>
      <c r="B34" s="29" t="s">
        <v>203</v>
      </c>
      <c r="C34" s="30" t="s">
        <v>192</v>
      </c>
      <c r="D34" s="30" t="s">
        <v>193</v>
      </c>
      <c r="E34" s="31" t="n">
        <v>5</v>
      </c>
      <c r="F34" s="30" t="n">
        <v>5</v>
      </c>
      <c r="G34" s="30"/>
      <c r="H34" s="32" t="s">
        <v>23</v>
      </c>
      <c r="I34" s="33" t="s">
        <v>24</v>
      </c>
      <c r="J34" s="32" t="s">
        <v>25</v>
      </c>
      <c r="K34" s="34" t="n">
        <f aca="false">IF(OR(M34="",$E34=""),"",M34-$E34)</f>
        <v>0</v>
      </c>
      <c r="L34" s="35" t="n">
        <f aca="false">IF(SUM(FA34:FN34)=0,"",SUM(EM34:EZ34)/SUM(FA34:FN34))</f>
        <v>59.1666666666667</v>
      </c>
      <c r="M34" s="36" t="n">
        <f aca="false">IF(OR(L34="",FO34=""),"",IFERROR(MATCH(L34,INDEX(Boundaries!$B$2:$I$30,MATCH(FO34,Boundaries!$A$2:$A$30,0),0),1)-1,""))</f>
        <v>5</v>
      </c>
      <c r="N34" s="37" t="n">
        <f aca="false">IF(COUNT($DY34:$EL34)&lt;2,"",INDEX($DK34:$DX34,MAX($DY34:$EL34))-INDEX($DK34:$DX34,MIN($DY34:$EL34)))</f>
        <v>-1</v>
      </c>
      <c r="O34" s="37" t="n">
        <f aca="false">IF(COUNT($DY34:$EL34)&lt;2,"",INDEX($DK34:$DX34,MAX($DY34:$EL34))-INDEX($DK34:$DX34,LARGE($DY34:$EL34,2)))</f>
        <v>2</v>
      </c>
      <c r="P34" s="38" t="str">
        <f aca="false">IF(K34="","",IF(K34&gt;=0,"On/above target",IF(AND(N34&lt;&gt;"",N34&gt;=0.5),"Improving towards target",IF(AND(O34&lt;&gt;"",O34&lt;=-0.5),"Declining","Stable below target"))))</f>
        <v>On/above target</v>
      </c>
      <c r="Q34" s="39" t="n">
        <v>13</v>
      </c>
      <c r="R34" s="40" t="n">
        <f aca="false">IF(OR(Q34="",BU34=""),"",Q34/BU34*100)</f>
        <v>65</v>
      </c>
      <c r="S34" s="41" t="n">
        <f aca="false">IF(R34="","",IFERROR(MATCH(R34,INDEX(Boundaries!$B$2:$I$30,MATCH(CI34,Boundaries!$A$2:$A$30,0),0),1)-1,""))</f>
        <v>6</v>
      </c>
      <c r="T34" s="42" t="n">
        <f aca="false">IF(OR(S34="",$E34=""),"",S34-$E34)</f>
        <v>1</v>
      </c>
      <c r="U34" s="39" t="n">
        <v>12</v>
      </c>
      <c r="V34" s="40" t="n">
        <f aca="false">IF(OR(U34="",BV34=""),"",U34/BV34*100)</f>
        <v>60</v>
      </c>
      <c r="W34" s="41" t="n">
        <f aca="false">IF(V34="","",IFERROR(MATCH(V34,INDEX(Boundaries!$B$2:$I$30,MATCH(CJ34,Boundaries!$A$2:$A$30,0),0),1)-1,""))</f>
        <v>5</v>
      </c>
      <c r="X34" s="42" t="n">
        <f aca="false">IF(OR(W34="",$E34=""),"",W34-$E34)</f>
        <v>0</v>
      </c>
      <c r="Y34" s="39" t="n">
        <v>14</v>
      </c>
      <c r="Z34" s="40" t="n">
        <f aca="false">IF(OR(Y34="",BW34=""),"",Y34/BW34*100)</f>
        <v>70</v>
      </c>
      <c r="AA34" s="41" t="n">
        <f aca="false">IF(Z34="","",IFERROR(MATCH(Z34,INDEX(Boundaries!$B$2:$I$30,MATCH(CK34,Boundaries!$A$2:$A$30,0),0),1)-1,""))</f>
        <v>6</v>
      </c>
      <c r="AB34" s="42" t="n">
        <f aca="false">IF(OR(AA34="",$E34=""),"",AA34-$E34)</f>
        <v>1</v>
      </c>
      <c r="AC34" s="39" t="n">
        <v>14</v>
      </c>
      <c r="AD34" s="40" t="n">
        <f aca="false">IF(OR(AC34="",BX34=""),"",AC34/BX34*100)</f>
        <v>70</v>
      </c>
      <c r="AE34" s="41" t="n">
        <f aca="false">IF(AD34="","",IFERROR(MATCH(AD34,INDEX(Boundaries!$B$2:$I$30,MATCH(CL34,Boundaries!$A$2:$A$30,0),0),1)-1,""))</f>
        <v>6</v>
      </c>
      <c r="AF34" s="42" t="n">
        <f aca="false">IF(OR(AE34="",$E34=""),"",AE34-$E34)</f>
        <v>1</v>
      </c>
      <c r="AG34" s="39" t="n">
        <v>13</v>
      </c>
      <c r="AH34" s="40" t="n">
        <f aca="false">IF(OR(AG34="",BY34=""),"",AG34/BY34*100)</f>
        <v>65</v>
      </c>
      <c r="AI34" s="41" t="n">
        <f aca="false">IF(AH34="","",IFERROR(MATCH(AH34,INDEX(Boundaries!$B$2:$I$30,MATCH(CM34,Boundaries!$A$2:$A$30,0),0),1)-1,""))</f>
        <v>6</v>
      </c>
      <c r="AJ34" s="42" t="n">
        <f aca="false">IF(OR(AI34="",$E34=""),"",AI34-$E34)</f>
        <v>1</v>
      </c>
      <c r="AK34" s="39" t="n">
        <v>24</v>
      </c>
      <c r="AL34" s="40" t="n">
        <f aca="false">IF(OR(AK34="",BZ34=""),"",AK34/BZ34*100)</f>
        <v>60</v>
      </c>
      <c r="AM34" s="41" t="n">
        <f aca="false">IF(AL34="","",IFERROR(MATCH(AL34,INDEX(Boundaries!$B$2:$I$30,MATCH(CN34,Boundaries!$A$2:$A$30,0),0),1)-1,""))</f>
        <v>5</v>
      </c>
      <c r="AN34" s="42" t="n">
        <f aca="false">IF(OR(AM34="",$E34=""),"",AM34-$E34)</f>
        <v>0</v>
      </c>
      <c r="AO34" s="39" t="n">
        <v>25</v>
      </c>
      <c r="AP34" s="40" t="n">
        <f aca="false">IF(OR(AO34="",CA34=""),"",AO34/CA34*100)</f>
        <v>50</v>
      </c>
      <c r="AQ34" s="41" t="n">
        <f aca="false">IF(AP34="","",IFERROR(MATCH(AP34,INDEX(Boundaries!$B$2:$I$30,MATCH(CO34,Boundaries!$A$2:$A$30,0),0),1)-1,""))</f>
        <v>4</v>
      </c>
      <c r="AR34" s="42" t="n">
        <f aca="false">IF(OR(AQ34="",$E34=""),"",AQ34-$E34)</f>
        <v>-1</v>
      </c>
      <c r="AS34" s="39"/>
      <c r="AT34" s="40" t="str">
        <f aca="false">IF(OR(AS34="",CB34=""),"",AS34/CB34*100)</f>
        <v/>
      </c>
      <c r="AU34" s="41" t="str">
        <f aca="false">IF(AT34="","",IFERROR(MATCH(AT34,INDEX(Boundaries!$B$2:$I$30,MATCH(CP34,Boundaries!$A$2:$A$30,0),0),1)-1,""))</f>
        <v/>
      </c>
      <c r="AV34" s="42" t="str">
        <f aca="false">IF(OR(AU34="",$E34=""),"",AU34-$E34)</f>
        <v/>
      </c>
      <c r="AW34" s="39" t="n">
        <v>6</v>
      </c>
      <c r="AX34" s="40" t="n">
        <f aca="false">IF(OR(AW34="",CC34=""),"",AW34/CC34*100)</f>
        <v>37.5</v>
      </c>
      <c r="AY34" s="41" t="n">
        <f aca="false">IF(AX34="","",IFERROR(MATCH(AX34,INDEX(Boundaries!$B$2:$I$30,MATCH(CQ34,Boundaries!$A$2:$A$30,0),0),1)-1,""))</f>
        <v>3</v>
      </c>
      <c r="AZ34" s="42" t="n">
        <f aca="false">IF(OR(AY34="",$E34=""),"",AY34-$E34)</f>
        <v>-2</v>
      </c>
      <c r="BA34" s="39" t="n">
        <v>19</v>
      </c>
      <c r="BB34" s="40" t="n">
        <f aca="false">IF(OR(BA34="",CD34=""),"",BA34/CD34*100)</f>
        <v>63.3333333333333</v>
      </c>
      <c r="BC34" s="41" t="n">
        <f aca="false">IF(BB34="","",IFERROR(MATCH(BB34,INDEX(Boundaries!$B$2:$I$30,MATCH(CR34,Boundaries!$A$2:$A$30,0),0),1)-1,""))</f>
        <v>5</v>
      </c>
      <c r="BD34" s="42" t="n">
        <f aca="false">IF(OR(BC34="",$E34=""),"",BC34-$E34)</f>
        <v>0</v>
      </c>
      <c r="BE34" s="39"/>
      <c r="BF34" s="40" t="str">
        <f aca="false">IF(OR(BE34="",CE34=""),"",BE34/CE34*100)</f>
        <v/>
      </c>
      <c r="BG34" s="41" t="str">
        <f aca="false">IF(BF34="","",IFERROR(MATCH(BF34,INDEX(Boundaries!$B$2:$I$30,MATCH(CS34,Boundaries!$A$2:$A$30,0),0),1)-1,""))</f>
        <v/>
      </c>
      <c r="BH34" s="42" t="str">
        <f aca="false">IF(OR(BG34="",$E34=""),"",BG34-$E34)</f>
        <v/>
      </c>
      <c r="BI34" s="39"/>
      <c r="BJ34" s="40" t="str">
        <f aca="false">IF(OR(BI34="",CF34=""),"",BI34/CF34*100)</f>
        <v/>
      </c>
      <c r="BK34" s="41" t="str">
        <f aca="false">IF(BJ34="","",IFERROR(MATCH(BJ34,INDEX(Boundaries!$B$2:$I$30,MATCH(CT34,Boundaries!$A$2:$A$30,0),0),1)-1,""))</f>
        <v/>
      </c>
      <c r="BL34" s="42" t="str">
        <f aca="false">IF(OR(BK34="",$E34=""),"",BK34-$E34)</f>
        <v/>
      </c>
      <c r="BM34" s="39"/>
      <c r="BN34" s="40" t="str">
        <f aca="false">IF(OR(BM34="",CG34=""),"",BM34/CG34*100)</f>
        <v/>
      </c>
      <c r="BO34" s="41" t="str">
        <f aca="false">IF(BN34="","",IFERROR(MATCH(BN34,INDEX(Boundaries!$B$2:$I$30,MATCH(CU34,Boundaries!$A$2:$A$30,0),0),1)-1,""))</f>
        <v/>
      </c>
      <c r="BP34" s="42" t="str">
        <f aca="false">IF(OR(BO34="",$E34=""),"",BO34-$E34)</f>
        <v/>
      </c>
      <c r="BQ34" s="39"/>
      <c r="BR34" s="40" t="str">
        <f aca="false">IF(OR(BQ34="",CH34=""),"",BQ34/CH34*100)</f>
        <v/>
      </c>
      <c r="BS34" s="41" t="str">
        <f aca="false">IF(BR34="","",IFERROR(MATCH(BR34,INDEX(Boundaries!$B$2:$I$30,MATCH(CV34,Boundaries!$A$2:$A$30,0),0),1)-1,""))</f>
        <v/>
      </c>
      <c r="BT34" s="42" t="str">
        <f aca="false">IF(OR(BS34="",$E34=""),"",BS34-$E34)</f>
        <v/>
      </c>
      <c r="BU34" s="28" t="n">
        <f aca="false">IFERROR(INDEX(Assessments!$H$2:$H$600,MATCH($H34&amp;"|"&amp;$I34&amp;"|"&amp;$J34&amp;"|"&amp;1,Assessments!$A$2:$A$600,0)),"")</f>
        <v>20</v>
      </c>
      <c r="BV34" s="28" t="n">
        <f aca="false">IFERROR(INDEX(Assessments!$H$2:$H$600,MATCH($H34&amp;"|"&amp;$I34&amp;"|"&amp;$J34&amp;"|"&amp;2,Assessments!$A$2:$A$600,0)),"")</f>
        <v>20</v>
      </c>
      <c r="BW34" s="28" t="n">
        <f aca="false">IFERROR(INDEX(Assessments!$H$2:$H$600,MATCH($H34&amp;"|"&amp;$I34&amp;"|"&amp;$J34&amp;"|"&amp;3,Assessments!$A$2:$A$600,0)),"")</f>
        <v>20</v>
      </c>
      <c r="BX34" s="28" t="n">
        <f aca="false">IFERROR(INDEX(Assessments!$H$2:$H$600,MATCH($H34&amp;"|"&amp;$I34&amp;"|"&amp;$J34&amp;"|"&amp;4,Assessments!$A$2:$A$600,0)),"")</f>
        <v>20</v>
      </c>
      <c r="BY34" s="28" t="n">
        <f aca="false">IFERROR(INDEX(Assessments!$H$2:$H$600,MATCH($H34&amp;"|"&amp;$I34&amp;"|"&amp;$J34&amp;"|"&amp;5,Assessments!$A$2:$A$600,0)),"")</f>
        <v>20</v>
      </c>
      <c r="BZ34" s="28" t="n">
        <f aca="false">IFERROR(INDEX(Assessments!$H$2:$H$600,MATCH($H34&amp;"|"&amp;$I34&amp;"|"&amp;$J34&amp;"|"&amp;6,Assessments!$A$2:$A$600,0)),"")</f>
        <v>40</v>
      </c>
      <c r="CA34" s="28" t="n">
        <f aca="false">IFERROR(INDEX(Assessments!$H$2:$H$600,MATCH($H34&amp;"|"&amp;$I34&amp;"|"&amp;$J34&amp;"|"&amp;7,Assessments!$A$2:$A$600,0)),"")</f>
        <v>50</v>
      </c>
      <c r="CB34" s="28" t="n">
        <f aca="false">IFERROR(INDEX(Assessments!$H$2:$H$600,MATCH($H34&amp;"|"&amp;$I34&amp;"|"&amp;$J34&amp;"|"&amp;8,Assessments!$A$2:$A$600,0)),"")</f>
        <v>25</v>
      </c>
      <c r="CC34" s="28" t="n">
        <f aca="false">IFERROR(INDEX(Assessments!$H$2:$H$600,MATCH($H34&amp;"|"&amp;$I34&amp;"|"&amp;$J34&amp;"|"&amp;9,Assessments!$A$2:$A$600,0)),"")</f>
        <v>16</v>
      </c>
      <c r="CD34" s="28" t="n">
        <f aca="false">IFERROR(INDEX(Assessments!$H$2:$H$600,MATCH($H34&amp;"|"&amp;$I34&amp;"|"&amp;$J34&amp;"|"&amp;10,Assessments!$A$2:$A$600,0)),"")</f>
        <v>30</v>
      </c>
      <c r="CE34" s="28" t="str">
        <f aca="false">IFERROR(INDEX(Assessments!$H$2:$H$600,MATCH($H34&amp;"|"&amp;$I34&amp;"|"&amp;$J34&amp;"|"&amp;11,Assessments!$A$2:$A$600,0)),"")</f>
        <v/>
      </c>
      <c r="CF34" s="28" t="str">
        <f aca="false">IFERROR(INDEX(Assessments!$H$2:$H$600,MATCH($H34&amp;"|"&amp;$I34&amp;"|"&amp;$J34&amp;"|"&amp;12,Assessments!$A$2:$A$600,0)),"")</f>
        <v/>
      </c>
      <c r="CG34" s="28" t="str">
        <f aca="false">IFERROR(INDEX(Assessments!$H$2:$H$600,MATCH($H34&amp;"|"&amp;$I34&amp;"|"&amp;$J34&amp;"|"&amp;13,Assessments!$A$2:$A$600,0)),"")</f>
        <v/>
      </c>
      <c r="CH34" s="28" t="str">
        <f aca="false">IFERROR(INDEX(Assessments!$H$2:$H$600,MATCH($H34&amp;"|"&amp;$I34&amp;"|"&amp;$J34&amp;"|"&amp;14,Assessments!$A$2:$A$600,0)),"")</f>
        <v/>
      </c>
      <c r="CI34" s="28" t="str">
        <f aca="false">IFERROR(INDEX(Assessments!$I$2:$I$600,MATCH($H34&amp;"|"&amp;$I34&amp;"|"&amp;$J34&amp;"|"&amp;1,Assessments!$A$2:$A$600,0)),"")</f>
        <v>Geog Paper 1</v>
      </c>
      <c r="CJ34" s="28" t="str">
        <f aca="false">IFERROR(INDEX(Assessments!$I$2:$I$600,MATCH($H34&amp;"|"&amp;$I34&amp;"|"&amp;$J34&amp;"|"&amp;2,Assessments!$A$2:$A$600,0)),"")</f>
        <v>Geog Paper 1</v>
      </c>
      <c r="CK34" s="28" t="str">
        <f aca="false">IFERROR(INDEX(Assessments!$I$2:$I$600,MATCH($H34&amp;"|"&amp;$I34&amp;"|"&amp;$J34&amp;"|"&amp;3,Assessments!$A$2:$A$600,0)),"")</f>
        <v>Geog Paper 2</v>
      </c>
      <c r="CL34" s="28" t="str">
        <f aca="false">IFERROR(INDEX(Assessments!$I$2:$I$600,MATCH($H34&amp;"|"&amp;$I34&amp;"|"&amp;$J34&amp;"|"&amp;4,Assessments!$A$2:$A$600,0)),"")</f>
        <v>Geog Paper 1</v>
      </c>
      <c r="CM34" s="28" t="str">
        <f aca="false">IFERROR(INDEX(Assessments!$I$2:$I$600,MATCH($H34&amp;"|"&amp;$I34&amp;"|"&amp;$J34&amp;"|"&amp;5,Assessments!$A$2:$A$600,0)),"")</f>
        <v>Geog Paper 1</v>
      </c>
      <c r="CN34" s="28" t="str">
        <f aca="false">IFERROR(INDEX(Assessments!$I$2:$I$600,MATCH($H34&amp;"|"&amp;$I34&amp;"|"&amp;$J34&amp;"|"&amp;6,Assessments!$A$2:$A$600,0)),"")</f>
        <v>Geog Paper 1</v>
      </c>
      <c r="CO34" s="28" t="str">
        <f aca="false">IFERROR(INDEX(Assessments!$I$2:$I$600,MATCH($H34&amp;"|"&amp;$I34&amp;"|"&amp;$J34&amp;"|"&amp;7,Assessments!$A$2:$A$600,0)),"")</f>
        <v>Geog Paper 2</v>
      </c>
      <c r="CP34" s="28" t="str">
        <f aca="false">IFERROR(INDEX(Assessments!$I$2:$I$600,MATCH($H34&amp;"|"&amp;$I34&amp;"|"&amp;$J34&amp;"|"&amp;8,Assessments!$A$2:$A$600,0)),"")</f>
        <v>Geog Paper 2</v>
      </c>
      <c r="CQ34" s="28" t="str">
        <f aca="false">IFERROR(INDEX(Assessments!$I$2:$I$600,MATCH($H34&amp;"|"&amp;$I34&amp;"|"&amp;$J34&amp;"|"&amp;9,Assessments!$A$2:$A$600,0)),"")</f>
        <v>Geog Paper 3</v>
      </c>
      <c r="CR34" s="28" t="str">
        <f aca="false">IFERROR(INDEX(Assessments!$I$2:$I$600,MATCH($H34&amp;"|"&amp;$I34&amp;"|"&amp;$J34&amp;"|"&amp;10,Assessments!$A$2:$A$600,0)),"")</f>
        <v>Geog Paper 2</v>
      </c>
      <c r="CS34" s="28" t="str">
        <f aca="false">IFERROR(INDEX(Assessments!$I$2:$I$600,MATCH($H34&amp;"|"&amp;$I34&amp;"|"&amp;$J34&amp;"|"&amp;11,Assessments!$A$2:$A$600,0)),"")</f>
        <v/>
      </c>
      <c r="CT34" s="28" t="str">
        <f aca="false">IFERROR(INDEX(Assessments!$I$2:$I$600,MATCH($H34&amp;"|"&amp;$I34&amp;"|"&amp;$J34&amp;"|"&amp;12,Assessments!$A$2:$A$600,0)),"")</f>
        <v/>
      </c>
      <c r="CU34" s="28" t="str">
        <f aca="false">IFERROR(INDEX(Assessments!$I$2:$I$600,MATCH($H34&amp;"|"&amp;$I34&amp;"|"&amp;$J34&amp;"|"&amp;13,Assessments!$A$2:$A$600,0)),"")</f>
        <v/>
      </c>
      <c r="CV34" s="28" t="str">
        <f aca="false">IFERROR(INDEX(Assessments!$I$2:$I$600,MATCH($H34&amp;"|"&amp;$I34&amp;"|"&amp;$J34&amp;"|"&amp;14,Assessments!$A$2:$A$600,0)),"")</f>
        <v/>
      </c>
      <c r="CW34" s="28" t="n">
        <f aca="false">IFERROR(INDEX(Assessments!$J$2:$J$600,MATCH($H34&amp;"|"&amp;$I34&amp;"|"&amp;$J34&amp;"|"&amp;1,Assessments!$A$2:$A$600,0)),0)</f>
        <v>1</v>
      </c>
      <c r="CX34" s="28" t="n">
        <f aca="false">IFERROR(INDEX(Assessments!$J$2:$J$600,MATCH($H34&amp;"|"&amp;$I34&amp;"|"&amp;$J34&amp;"|"&amp;2,Assessments!$A$2:$A$600,0)),0)</f>
        <v>1</v>
      </c>
      <c r="CY34" s="28" t="n">
        <f aca="false">IFERROR(INDEX(Assessments!$J$2:$J$600,MATCH($H34&amp;"|"&amp;$I34&amp;"|"&amp;$J34&amp;"|"&amp;3,Assessments!$A$2:$A$600,0)),0)</f>
        <v>1</v>
      </c>
      <c r="CZ34" s="28" t="n">
        <f aca="false">IFERROR(INDEX(Assessments!$J$2:$J$600,MATCH($H34&amp;"|"&amp;$I34&amp;"|"&amp;$J34&amp;"|"&amp;4,Assessments!$A$2:$A$600,0)),0)</f>
        <v>1</v>
      </c>
      <c r="DA34" s="28" t="n">
        <f aca="false">IFERROR(INDEX(Assessments!$J$2:$J$600,MATCH($H34&amp;"|"&amp;$I34&amp;"|"&amp;$J34&amp;"|"&amp;5,Assessments!$A$2:$A$600,0)),0)</f>
        <v>1</v>
      </c>
      <c r="DB34" s="28" t="n">
        <f aca="false">IFERROR(INDEX(Assessments!$J$2:$J$600,MATCH($H34&amp;"|"&amp;$I34&amp;"|"&amp;$J34&amp;"|"&amp;6,Assessments!$A$2:$A$600,0)),0)</f>
        <v>2</v>
      </c>
      <c r="DC34" s="28" t="n">
        <f aca="false">IFERROR(INDEX(Assessments!$J$2:$J$600,MATCH($H34&amp;"|"&amp;$I34&amp;"|"&amp;$J34&amp;"|"&amp;7,Assessments!$A$2:$A$600,0)),0)</f>
        <v>2</v>
      </c>
      <c r="DD34" s="28" t="n">
        <f aca="false">IFERROR(INDEX(Assessments!$J$2:$J$600,MATCH($H34&amp;"|"&amp;$I34&amp;"|"&amp;$J34&amp;"|"&amp;8,Assessments!$A$2:$A$600,0)),0)</f>
        <v>1</v>
      </c>
      <c r="DE34" s="28" t="n">
        <f aca="false">IFERROR(INDEX(Assessments!$J$2:$J$600,MATCH($H34&amp;"|"&amp;$I34&amp;"|"&amp;$J34&amp;"|"&amp;9,Assessments!$A$2:$A$600,0)),0)</f>
        <v>1</v>
      </c>
      <c r="DF34" s="28" t="n">
        <f aca="false">IFERROR(INDEX(Assessments!$J$2:$J$600,MATCH($H34&amp;"|"&amp;$I34&amp;"|"&amp;$J34&amp;"|"&amp;10,Assessments!$A$2:$A$600,0)),0)</f>
        <v>1</v>
      </c>
      <c r="DG34" s="28" t="n">
        <f aca="false">IFERROR(INDEX(Assessments!$J$2:$J$600,MATCH($H34&amp;"|"&amp;$I34&amp;"|"&amp;$J34&amp;"|"&amp;11,Assessments!$A$2:$A$600,0)),0)</f>
        <v>0</v>
      </c>
      <c r="DH34" s="28" t="n">
        <f aca="false">IFERROR(INDEX(Assessments!$J$2:$J$600,MATCH($H34&amp;"|"&amp;$I34&amp;"|"&amp;$J34&amp;"|"&amp;12,Assessments!$A$2:$A$600,0)),0)</f>
        <v>0</v>
      </c>
      <c r="DI34" s="28" t="n">
        <f aca="false">IFERROR(INDEX(Assessments!$J$2:$J$600,MATCH($H34&amp;"|"&amp;$I34&amp;"|"&amp;$J34&amp;"|"&amp;13,Assessments!$A$2:$A$600,0)),0)</f>
        <v>0</v>
      </c>
      <c r="DJ34" s="28" t="n">
        <f aca="false">IFERROR(INDEX(Assessments!$J$2:$J$600,MATCH($H34&amp;"|"&amp;$I34&amp;"|"&amp;$J34&amp;"|"&amp;14,Assessments!$A$2:$A$600,0)),0)</f>
        <v>0</v>
      </c>
      <c r="DK34" s="28" t="n">
        <f aca="false">S34</f>
        <v>6</v>
      </c>
      <c r="DL34" s="28" t="n">
        <f aca="false">W34</f>
        <v>5</v>
      </c>
      <c r="DM34" s="28" t="n">
        <f aca="false">AA34</f>
        <v>6</v>
      </c>
      <c r="DN34" s="28" t="n">
        <f aca="false">AE34</f>
        <v>6</v>
      </c>
      <c r="DO34" s="28" t="n">
        <f aca="false">AI34</f>
        <v>6</v>
      </c>
      <c r="DP34" s="28" t="n">
        <f aca="false">AM34</f>
        <v>5</v>
      </c>
      <c r="DQ34" s="28" t="n">
        <f aca="false">AQ34</f>
        <v>4</v>
      </c>
      <c r="DR34" s="28" t="str">
        <f aca="false">AU34</f>
        <v/>
      </c>
      <c r="DS34" s="28" t="n">
        <f aca="false">AY34</f>
        <v>3</v>
      </c>
      <c r="DT34" s="28" t="n">
        <f aca="false">BC34</f>
        <v>5</v>
      </c>
      <c r="DU34" s="28" t="str">
        <f aca="false">BG34</f>
        <v/>
      </c>
      <c r="DV34" s="28" t="str">
        <f aca="false">BK34</f>
        <v/>
      </c>
      <c r="DW34" s="28" t="str">
        <f aca="false">BO34</f>
        <v/>
      </c>
      <c r="DX34" s="28" t="str">
        <f aca="false">BS34</f>
        <v/>
      </c>
      <c r="DY34" s="28" t="n">
        <f aca="false">IF(ISNUMBER(S34),1,"")</f>
        <v>1</v>
      </c>
      <c r="DZ34" s="28" t="n">
        <f aca="false">IF(ISNUMBER(W34),2,"")</f>
        <v>2</v>
      </c>
      <c r="EA34" s="28" t="n">
        <f aca="false">IF(ISNUMBER(AA34),3,"")</f>
        <v>3</v>
      </c>
      <c r="EB34" s="28" t="n">
        <f aca="false">IF(ISNUMBER(AE34),4,"")</f>
        <v>4</v>
      </c>
      <c r="EC34" s="28" t="n">
        <f aca="false">IF(ISNUMBER(AI34),5,"")</f>
        <v>5</v>
      </c>
      <c r="ED34" s="28" t="n">
        <f aca="false">IF(ISNUMBER(AM34),6,"")</f>
        <v>6</v>
      </c>
      <c r="EE34" s="28" t="n">
        <f aca="false">IF(ISNUMBER(AQ34),7,"")</f>
        <v>7</v>
      </c>
      <c r="EF34" s="28" t="str">
        <f aca="false">IF(ISNUMBER(AU34),8,"")</f>
        <v/>
      </c>
      <c r="EG34" s="28" t="n">
        <f aca="false">IF(ISNUMBER(AY34),9,"")</f>
        <v>9</v>
      </c>
      <c r="EH34" s="28" t="n">
        <f aca="false">IF(ISNUMBER(BC34),10,"")</f>
        <v>10</v>
      </c>
      <c r="EI34" s="28" t="str">
        <f aca="false">IF(ISNUMBER(BG34),11,"")</f>
        <v/>
      </c>
      <c r="EJ34" s="28" t="str">
        <f aca="false">IF(ISNUMBER(BK34),12,"")</f>
        <v/>
      </c>
      <c r="EK34" s="28" t="str">
        <f aca="false">IF(ISNUMBER(BO34),13,"")</f>
        <v/>
      </c>
      <c r="EL34" s="28" t="str">
        <f aca="false">IF(ISNUMBER(BS34),14,"")</f>
        <v/>
      </c>
      <c r="EM34" s="28" t="n">
        <f aca="false">IF(ISNUMBER(R34),R34*CW34,0)</f>
        <v>65</v>
      </c>
      <c r="EN34" s="28" t="n">
        <f aca="false">IF(ISNUMBER(V34),V34*CX34,0)</f>
        <v>60</v>
      </c>
      <c r="EO34" s="28" t="n">
        <f aca="false">IF(ISNUMBER(Z34),Z34*CY34,0)</f>
        <v>70</v>
      </c>
      <c r="EP34" s="28" t="n">
        <f aca="false">IF(ISNUMBER(AD34),AD34*CZ34,0)</f>
        <v>70</v>
      </c>
      <c r="EQ34" s="28" t="n">
        <f aca="false">IF(ISNUMBER(AH34),AH34*DA34,0)</f>
        <v>65</v>
      </c>
      <c r="ER34" s="28" t="n">
        <f aca="false">IF(ISNUMBER(AL34),AL34*DB34,0)</f>
        <v>120</v>
      </c>
      <c r="ES34" s="28" t="n">
        <f aca="false">IF(ISNUMBER(AP34),AP34*DC34,0)</f>
        <v>100</v>
      </c>
      <c r="ET34" s="28" t="n">
        <f aca="false">IF(ISNUMBER(AT34),AT34*DD34,0)</f>
        <v>0</v>
      </c>
      <c r="EU34" s="28" t="n">
        <f aca="false">IF(ISNUMBER(AX34),AX34*DE34,0)</f>
        <v>37.5</v>
      </c>
      <c r="EV34" s="28" t="n">
        <f aca="false">IF(ISNUMBER(BB34),BB34*DF34,0)</f>
        <v>63.3333333333333</v>
      </c>
      <c r="EW34" s="28" t="n">
        <f aca="false">IF(ISNUMBER(BF34),BF34*DG34,0)</f>
        <v>0</v>
      </c>
      <c r="EX34" s="28" t="n">
        <f aca="false">IF(ISNUMBER(BJ34),BJ34*DH34,0)</f>
        <v>0</v>
      </c>
      <c r="EY34" s="28" t="n">
        <f aca="false">IF(ISNUMBER(BN34),BN34*DI34,0)</f>
        <v>0</v>
      </c>
      <c r="EZ34" s="28" t="n">
        <f aca="false">IF(ISNUMBER(BR34),BR34*DJ34,0)</f>
        <v>0</v>
      </c>
      <c r="FA34" s="28" t="n">
        <f aca="false">IF(ISNUMBER(R34),CW34,0)</f>
        <v>1</v>
      </c>
      <c r="FB34" s="28" t="n">
        <f aca="false">IF(ISNUMBER(V34),CX34,0)</f>
        <v>1</v>
      </c>
      <c r="FC34" s="28" t="n">
        <f aca="false">IF(ISNUMBER(Z34),CY34,0)</f>
        <v>1</v>
      </c>
      <c r="FD34" s="28" t="n">
        <f aca="false">IF(ISNUMBER(AD34),CZ34,0)</f>
        <v>1</v>
      </c>
      <c r="FE34" s="28" t="n">
        <f aca="false">IF(ISNUMBER(AH34),DA34,0)</f>
        <v>1</v>
      </c>
      <c r="FF34" s="28" t="n">
        <f aca="false">IF(ISNUMBER(AL34),DB34,0)</f>
        <v>2</v>
      </c>
      <c r="FG34" s="28" t="n">
        <f aca="false">IF(ISNUMBER(AP34),DC34,0)</f>
        <v>2</v>
      </c>
      <c r="FH34" s="28" t="n">
        <f aca="false">IF(ISNUMBER(AT34),DD34,0)</f>
        <v>0</v>
      </c>
      <c r="FI34" s="28" t="n">
        <f aca="false">IF(ISNUMBER(AX34),DE34,0)</f>
        <v>1</v>
      </c>
      <c r="FJ34" s="28" t="n">
        <f aca="false">IF(ISNUMBER(BB34),DF34,0)</f>
        <v>1</v>
      </c>
      <c r="FK34" s="28" t="n">
        <f aca="false">IF(ISNUMBER(BF34),DG34,0)</f>
        <v>0</v>
      </c>
      <c r="FL34" s="28" t="n">
        <f aca="false">IF(ISNUMBER(BJ34),DH34,0)</f>
        <v>0</v>
      </c>
      <c r="FM34" s="28" t="n">
        <f aca="false">IF(ISNUMBER(BN34),DI34,0)</f>
        <v>0</v>
      </c>
      <c r="FN34" s="28" t="n">
        <f aca="false">IF(ISNUMBER(BR34),DJ34,0)</f>
        <v>0</v>
      </c>
      <c r="FO34" s="28" t="str">
        <f aca="false">IFERROR(INDEX(Lists!$G$2:$G$20,MATCH($I34&amp;"|"&amp;$J34,Lists!$F$2:$F$20,0)),"")</f>
        <v>Geog Overall HL</v>
      </c>
    </row>
    <row r="35" customFormat="false" ht="19.5" hidden="false" customHeight="true" outlineLevel="0" collapsed="false">
      <c r="A35" s="29" t="s">
        <v>204</v>
      </c>
      <c r="B35" s="29" t="s">
        <v>205</v>
      </c>
      <c r="C35" s="30" t="s">
        <v>192</v>
      </c>
      <c r="D35" s="30" t="s">
        <v>193</v>
      </c>
      <c r="E35" s="31" t="n">
        <v>5.3</v>
      </c>
      <c r="F35" s="30" t="n">
        <v>6</v>
      </c>
      <c r="G35" s="30"/>
      <c r="H35" s="32" t="s">
        <v>23</v>
      </c>
      <c r="I35" s="33" t="s">
        <v>24</v>
      </c>
      <c r="J35" s="32" t="s">
        <v>25</v>
      </c>
      <c r="K35" s="34" t="n">
        <f aca="false">IF(OR(M35="",$E35=""),"",M35-$E35)</f>
        <v>0.7</v>
      </c>
      <c r="L35" s="35" t="n">
        <f aca="false">IF(SUM(FA35:FN35)=0,"",SUM(EM35:EZ35)/SUM(FA35:FN35))</f>
        <v>70.5909090909091</v>
      </c>
      <c r="M35" s="36" t="n">
        <f aca="false">IF(OR(L35="",FO35=""),"",IFERROR(MATCH(L35,INDEX(Boundaries!$B$2:$I$30,MATCH(FO35,Boundaries!$A$2:$A$30,0),0),1)-1,""))</f>
        <v>6</v>
      </c>
      <c r="N35" s="37" t="n">
        <f aca="false">IF(COUNT($DY35:$EL35)&lt;2,"",INDEX($DK35:$DX35,MAX($DY35:$EL35))-INDEX($DK35:$DX35,MIN($DY35:$EL35)))</f>
        <v>-1</v>
      </c>
      <c r="O35" s="37" t="n">
        <f aca="false">IF(COUNT($DY35:$EL35)&lt;2,"",INDEX($DK35:$DX35,MAX($DY35:$EL35))-INDEX($DK35:$DX35,LARGE($DY35:$EL35,2)))</f>
        <v>1</v>
      </c>
      <c r="P35" s="38" t="str">
        <f aca="false">IF(K35="","",IF(K35&gt;=0,"On/above target",IF(AND(N35&lt;&gt;"",N35&gt;=0.5),"Improving towards target",IF(AND(O35&lt;&gt;"",O35&lt;=-0.5),"Declining","Stable below target"))))</f>
        <v>On/above target</v>
      </c>
      <c r="Q35" s="39" t="n">
        <v>16</v>
      </c>
      <c r="R35" s="40" t="n">
        <f aca="false">IF(OR(Q35="",BU35=""),"",Q35/BU35*100)</f>
        <v>80</v>
      </c>
      <c r="S35" s="41" t="n">
        <f aca="false">IF(R35="","",IFERROR(MATCH(R35,INDEX(Boundaries!$B$2:$I$30,MATCH(CI35,Boundaries!$A$2:$A$30,0),0),1)-1,""))</f>
        <v>7</v>
      </c>
      <c r="T35" s="42" t="n">
        <f aca="false">IF(OR(S35="",$E35=""),"",S35-$E35)</f>
        <v>1.7</v>
      </c>
      <c r="U35" s="39" t="n">
        <v>11</v>
      </c>
      <c r="V35" s="40" t="n">
        <f aca="false">IF(OR(U35="",BV35=""),"",U35/BV35*100)</f>
        <v>55</v>
      </c>
      <c r="W35" s="41" t="n">
        <f aca="false">IF(V35="","",IFERROR(MATCH(V35,INDEX(Boundaries!$B$2:$I$30,MATCH(CJ35,Boundaries!$A$2:$A$30,0),0),1)-1,""))</f>
        <v>5</v>
      </c>
      <c r="X35" s="42" t="n">
        <f aca="false">IF(OR(W35="",$E35=""),"",W35-$E35)</f>
        <v>-0.3</v>
      </c>
      <c r="Y35" s="39" t="n">
        <v>10</v>
      </c>
      <c r="Z35" s="40" t="n">
        <f aca="false">IF(OR(Y35="",BW35=""),"",Y35/BW35*100)</f>
        <v>50</v>
      </c>
      <c r="AA35" s="41" t="n">
        <f aca="false">IF(Z35="","",IFERROR(MATCH(Z35,INDEX(Boundaries!$B$2:$I$30,MATCH(CK35,Boundaries!$A$2:$A$30,0),0),1)-1,""))</f>
        <v>4</v>
      </c>
      <c r="AB35" s="42" t="n">
        <f aca="false">IF(OR(AA35="",$E35=""),"",AA35-$E35)</f>
        <v>-1.3</v>
      </c>
      <c r="AC35" s="39" t="n">
        <v>16</v>
      </c>
      <c r="AD35" s="40" t="n">
        <f aca="false">IF(OR(AC35="",BX35=""),"",AC35/BX35*100)</f>
        <v>80</v>
      </c>
      <c r="AE35" s="41" t="n">
        <f aca="false">IF(AD35="","",IFERROR(MATCH(AD35,INDEX(Boundaries!$B$2:$I$30,MATCH(CL35,Boundaries!$A$2:$A$30,0),0),1)-1,""))</f>
        <v>7</v>
      </c>
      <c r="AF35" s="42" t="n">
        <f aca="false">IF(OR(AE35="",$E35=""),"",AE35-$E35)</f>
        <v>1.7</v>
      </c>
      <c r="AG35" s="39" t="n">
        <v>14</v>
      </c>
      <c r="AH35" s="40" t="n">
        <f aca="false">IF(OR(AG35="",BY35=""),"",AG35/BY35*100)</f>
        <v>70</v>
      </c>
      <c r="AI35" s="41" t="n">
        <f aca="false">IF(AH35="","",IFERROR(MATCH(AH35,INDEX(Boundaries!$B$2:$I$30,MATCH(CM35,Boundaries!$A$2:$A$30,0),0),1)-1,""))</f>
        <v>6</v>
      </c>
      <c r="AJ35" s="42" t="n">
        <f aca="false">IF(OR(AI35="",$E35=""),"",AI35-$E35)</f>
        <v>0.7</v>
      </c>
      <c r="AK35" s="39" t="n">
        <v>29</v>
      </c>
      <c r="AL35" s="40" t="n">
        <f aca="false">IF(OR(AK35="",BZ35=""),"",AK35/BZ35*100)</f>
        <v>72.5</v>
      </c>
      <c r="AM35" s="41" t="n">
        <f aca="false">IF(AL35="","",IFERROR(MATCH(AL35,INDEX(Boundaries!$B$2:$I$30,MATCH(CN35,Boundaries!$A$2:$A$30,0),0),1)-1,""))</f>
        <v>7</v>
      </c>
      <c r="AN35" s="42" t="n">
        <f aca="false">IF(OR(AM35="",$E35=""),"",AM35-$E35)</f>
        <v>1.7</v>
      </c>
      <c r="AO35" s="39" t="n">
        <v>41</v>
      </c>
      <c r="AP35" s="40" t="n">
        <f aca="false">IF(OR(AO35="",CA35=""),"",AO35/CA35*100)</f>
        <v>82</v>
      </c>
      <c r="AQ35" s="41" t="n">
        <f aca="false">IF(AP35="","",IFERROR(MATCH(AP35,INDEX(Boundaries!$B$2:$I$30,MATCH(CO35,Boundaries!$A$2:$A$30,0),0),1)-1,""))</f>
        <v>7</v>
      </c>
      <c r="AR35" s="42" t="n">
        <f aca="false">IF(OR(AQ35="",$E35=""),"",AQ35-$E35)</f>
        <v>1.7</v>
      </c>
      <c r="AS35" s="39"/>
      <c r="AT35" s="40" t="str">
        <f aca="false">IF(OR(AS35="",CB35=""),"",AS35/CB35*100)</f>
        <v/>
      </c>
      <c r="AU35" s="41" t="str">
        <f aca="false">IF(AT35="","",IFERROR(MATCH(AT35,INDEX(Boundaries!$B$2:$I$30,MATCH(CP35,Boundaries!$A$2:$A$30,0),0),1)-1,""))</f>
        <v/>
      </c>
      <c r="AV35" s="42" t="str">
        <f aca="false">IF(OR(AU35="",$E35=""),"",AU35-$E35)</f>
        <v/>
      </c>
      <c r="AW35" s="39" t="n">
        <v>10</v>
      </c>
      <c r="AX35" s="40" t="n">
        <f aca="false">IF(OR(AW35="",CC35=""),"",AW35/CC35*100)</f>
        <v>62.5</v>
      </c>
      <c r="AY35" s="41" t="n">
        <f aca="false">IF(AX35="","",IFERROR(MATCH(AX35,INDEX(Boundaries!$B$2:$I$30,MATCH(CQ35,Boundaries!$A$2:$A$30,0),0),1)-1,""))</f>
        <v>5</v>
      </c>
      <c r="AZ35" s="42" t="n">
        <f aca="false">IF(OR(AY35="",$E35=""),"",AY35-$E35)</f>
        <v>-0.3</v>
      </c>
      <c r="BA35" s="39" t="n">
        <v>21</v>
      </c>
      <c r="BB35" s="40" t="n">
        <f aca="false">IF(OR(BA35="",CD35=""),"",BA35/CD35*100)</f>
        <v>70</v>
      </c>
      <c r="BC35" s="41" t="n">
        <f aca="false">IF(BB35="","",IFERROR(MATCH(BB35,INDEX(Boundaries!$B$2:$I$30,MATCH(CR35,Boundaries!$A$2:$A$30,0),0),1)-1,""))</f>
        <v>6</v>
      </c>
      <c r="BD35" s="42" t="n">
        <f aca="false">IF(OR(BC35="",$E35=""),"",BC35-$E35)</f>
        <v>0.7</v>
      </c>
      <c r="BE35" s="39"/>
      <c r="BF35" s="40" t="str">
        <f aca="false">IF(OR(BE35="",CE35=""),"",BE35/CE35*100)</f>
        <v/>
      </c>
      <c r="BG35" s="41" t="str">
        <f aca="false">IF(BF35="","",IFERROR(MATCH(BF35,INDEX(Boundaries!$B$2:$I$30,MATCH(CS35,Boundaries!$A$2:$A$30,0),0),1)-1,""))</f>
        <v/>
      </c>
      <c r="BH35" s="42" t="str">
        <f aca="false">IF(OR(BG35="",$E35=""),"",BG35-$E35)</f>
        <v/>
      </c>
      <c r="BI35" s="39"/>
      <c r="BJ35" s="40" t="str">
        <f aca="false">IF(OR(BI35="",CF35=""),"",BI35/CF35*100)</f>
        <v/>
      </c>
      <c r="BK35" s="41" t="str">
        <f aca="false">IF(BJ35="","",IFERROR(MATCH(BJ35,INDEX(Boundaries!$B$2:$I$30,MATCH(CT35,Boundaries!$A$2:$A$30,0),0),1)-1,""))</f>
        <v/>
      </c>
      <c r="BL35" s="42" t="str">
        <f aca="false">IF(OR(BK35="",$E35=""),"",BK35-$E35)</f>
        <v/>
      </c>
      <c r="BM35" s="39"/>
      <c r="BN35" s="40" t="str">
        <f aca="false">IF(OR(BM35="",CG35=""),"",BM35/CG35*100)</f>
        <v/>
      </c>
      <c r="BO35" s="41" t="str">
        <f aca="false">IF(BN35="","",IFERROR(MATCH(BN35,INDEX(Boundaries!$B$2:$I$30,MATCH(CU35,Boundaries!$A$2:$A$30,0),0),1)-1,""))</f>
        <v/>
      </c>
      <c r="BP35" s="42" t="str">
        <f aca="false">IF(OR(BO35="",$E35=""),"",BO35-$E35)</f>
        <v/>
      </c>
      <c r="BQ35" s="39"/>
      <c r="BR35" s="40" t="str">
        <f aca="false">IF(OR(BQ35="",CH35=""),"",BQ35/CH35*100)</f>
        <v/>
      </c>
      <c r="BS35" s="41" t="str">
        <f aca="false">IF(BR35="","",IFERROR(MATCH(BR35,INDEX(Boundaries!$B$2:$I$30,MATCH(CV35,Boundaries!$A$2:$A$30,0),0),1)-1,""))</f>
        <v/>
      </c>
      <c r="BT35" s="42" t="str">
        <f aca="false">IF(OR(BS35="",$E35=""),"",BS35-$E35)</f>
        <v/>
      </c>
      <c r="BU35" s="28" t="n">
        <f aca="false">IFERROR(INDEX(Assessments!$H$2:$H$600,MATCH($H35&amp;"|"&amp;$I35&amp;"|"&amp;$J35&amp;"|"&amp;1,Assessments!$A$2:$A$600,0)),"")</f>
        <v>20</v>
      </c>
      <c r="BV35" s="28" t="n">
        <f aca="false">IFERROR(INDEX(Assessments!$H$2:$H$600,MATCH($H35&amp;"|"&amp;$I35&amp;"|"&amp;$J35&amp;"|"&amp;2,Assessments!$A$2:$A$600,0)),"")</f>
        <v>20</v>
      </c>
      <c r="BW35" s="28" t="n">
        <f aca="false">IFERROR(INDEX(Assessments!$H$2:$H$600,MATCH($H35&amp;"|"&amp;$I35&amp;"|"&amp;$J35&amp;"|"&amp;3,Assessments!$A$2:$A$600,0)),"")</f>
        <v>20</v>
      </c>
      <c r="BX35" s="28" t="n">
        <f aca="false">IFERROR(INDEX(Assessments!$H$2:$H$600,MATCH($H35&amp;"|"&amp;$I35&amp;"|"&amp;$J35&amp;"|"&amp;4,Assessments!$A$2:$A$600,0)),"")</f>
        <v>20</v>
      </c>
      <c r="BY35" s="28" t="n">
        <f aca="false">IFERROR(INDEX(Assessments!$H$2:$H$600,MATCH($H35&amp;"|"&amp;$I35&amp;"|"&amp;$J35&amp;"|"&amp;5,Assessments!$A$2:$A$600,0)),"")</f>
        <v>20</v>
      </c>
      <c r="BZ35" s="28" t="n">
        <f aca="false">IFERROR(INDEX(Assessments!$H$2:$H$600,MATCH($H35&amp;"|"&amp;$I35&amp;"|"&amp;$J35&amp;"|"&amp;6,Assessments!$A$2:$A$600,0)),"")</f>
        <v>40</v>
      </c>
      <c r="CA35" s="28" t="n">
        <f aca="false">IFERROR(INDEX(Assessments!$H$2:$H$600,MATCH($H35&amp;"|"&amp;$I35&amp;"|"&amp;$J35&amp;"|"&amp;7,Assessments!$A$2:$A$600,0)),"")</f>
        <v>50</v>
      </c>
      <c r="CB35" s="28" t="n">
        <f aca="false">IFERROR(INDEX(Assessments!$H$2:$H$600,MATCH($H35&amp;"|"&amp;$I35&amp;"|"&amp;$J35&amp;"|"&amp;8,Assessments!$A$2:$A$600,0)),"")</f>
        <v>25</v>
      </c>
      <c r="CC35" s="28" t="n">
        <f aca="false">IFERROR(INDEX(Assessments!$H$2:$H$600,MATCH($H35&amp;"|"&amp;$I35&amp;"|"&amp;$J35&amp;"|"&amp;9,Assessments!$A$2:$A$600,0)),"")</f>
        <v>16</v>
      </c>
      <c r="CD35" s="28" t="n">
        <f aca="false">IFERROR(INDEX(Assessments!$H$2:$H$600,MATCH($H35&amp;"|"&amp;$I35&amp;"|"&amp;$J35&amp;"|"&amp;10,Assessments!$A$2:$A$600,0)),"")</f>
        <v>30</v>
      </c>
      <c r="CE35" s="28" t="str">
        <f aca="false">IFERROR(INDEX(Assessments!$H$2:$H$600,MATCH($H35&amp;"|"&amp;$I35&amp;"|"&amp;$J35&amp;"|"&amp;11,Assessments!$A$2:$A$600,0)),"")</f>
        <v/>
      </c>
      <c r="CF35" s="28" t="str">
        <f aca="false">IFERROR(INDEX(Assessments!$H$2:$H$600,MATCH($H35&amp;"|"&amp;$I35&amp;"|"&amp;$J35&amp;"|"&amp;12,Assessments!$A$2:$A$600,0)),"")</f>
        <v/>
      </c>
      <c r="CG35" s="28" t="str">
        <f aca="false">IFERROR(INDEX(Assessments!$H$2:$H$600,MATCH($H35&amp;"|"&amp;$I35&amp;"|"&amp;$J35&amp;"|"&amp;13,Assessments!$A$2:$A$600,0)),"")</f>
        <v/>
      </c>
      <c r="CH35" s="28" t="str">
        <f aca="false">IFERROR(INDEX(Assessments!$H$2:$H$600,MATCH($H35&amp;"|"&amp;$I35&amp;"|"&amp;$J35&amp;"|"&amp;14,Assessments!$A$2:$A$600,0)),"")</f>
        <v/>
      </c>
      <c r="CI35" s="28" t="str">
        <f aca="false">IFERROR(INDEX(Assessments!$I$2:$I$600,MATCH($H35&amp;"|"&amp;$I35&amp;"|"&amp;$J35&amp;"|"&amp;1,Assessments!$A$2:$A$600,0)),"")</f>
        <v>Geog Paper 1</v>
      </c>
      <c r="CJ35" s="28" t="str">
        <f aca="false">IFERROR(INDEX(Assessments!$I$2:$I$600,MATCH($H35&amp;"|"&amp;$I35&amp;"|"&amp;$J35&amp;"|"&amp;2,Assessments!$A$2:$A$600,0)),"")</f>
        <v>Geog Paper 1</v>
      </c>
      <c r="CK35" s="28" t="str">
        <f aca="false">IFERROR(INDEX(Assessments!$I$2:$I$600,MATCH($H35&amp;"|"&amp;$I35&amp;"|"&amp;$J35&amp;"|"&amp;3,Assessments!$A$2:$A$600,0)),"")</f>
        <v>Geog Paper 2</v>
      </c>
      <c r="CL35" s="28" t="str">
        <f aca="false">IFERROR(INDEX(Assessments!$I$2:$I$600,MATCH($H35&amp;"|"&amp;$I35&amp;"|"&amp;$J35&amp;"|"&amp;4,Assessments!$A$2:$A$600,0)),"")</f>
        <v>Geog Paper 1</v>
      </c>
      <c r="CM35" s="28" t="str">
        <f aca="false">IFERROR(INDEX(Assessments!$I$2:$I$600,MATCH($H35&amp;"|"&amp;$I35&amp;"|"&amp;$J35&amp;"|"&amp;5,Assessments!$A$2:$A$600,0)),"")</f>
        <v>Geog Paper 1</v>
      </c>
      <c r="CN35" s="28" t="str">
        <f aca="false">IFERROR(INDEX(Assessments!$I$2:$I$600,MATCH($H35&amp;"|"&amp;$I35&amp;"|"&amp;$J35&amp;"|"&amp;6,Assessments!$A$2:$A$600,0)),"")</f>
        <v>Geog Paper 1</v>
      </c>
      <c r="CO35" s="28" t="str">
        <f aca="false">IFERROR(INDEX(Assessments!$I$2:$I$600,MATCH($H35&amp;"|"&amp;$I35&amp;"|"&amp;$J35&amp;"|"&amp;7,Assessments!$A$2:$A$600,0)),"")</f>
        <v>Geog Paper 2</v>
      </c>
      <c r="CP35" s="28" t="str">
        <f aca="false">IFERROR(INDEX(Assessments!$I$2:$I$600,MATCH($H35&amp;"|"&amp;$I35&amp;"|"&amp;$J35&amp;"|"&amp;8,Assessments!$A$2:$A$600,0)),"")</f>
        <v>Geog Paper 2</v>
      </c>
      <c r="CQ35" s="28" t="str">
        <f aca="false">IFERROR(INDEX(Assessments!$I$2:$I$600,MATCH($H35&amp;"|"&amp;$I35&amp;"|"&amp;$J35&amp;"|"&amp;9,Assessments!$A$2:$A$600,0)),"")</f>
        <v>Geog Paper 3</v>
      </c>
      <c r="CR35" s="28" t="str">
        <f aca="false">IFERROR(INDEX(Assessments!$I$2:$I$600,MATCH($H35&amp;"|"&amp;$I35&amp;"|"&amp;$J35&amp;"|"&amp;10,Assessments!$A$2:$A$600,0)),"")</f>
        <v>Geog Paper 2</v>
      </c>
      <c r="CS35" s="28" t="str">
        <f aca="false">IFERROR(INDEX(Assessments!$I$2:$I$600,MATCH($H35&amp;"|"&amp;$I35&amp;"|"&amp;$J35&amp;"|"&amp;11,Assessments!$A$2:$A$600,0)),"")</f>
        <v/>
      </c>
      <c r="CT35" s="28" t="str">
        <f aca="false">IFERROR(INDEX(Assessments!$I$2:$I$600,MATCH($H35&amp;"|"&amp;$I35&amp;"|"&amp;$J35&amp;"|"&amp;12,Assessments!$A$2:$A$600,0)),"")</f>
        <v/>
      </c>
      <c r="CU35" s="28" t="str">
        <f aca="false">IFERROR(INDEX(Assessments!$I$2:$I$600,MATCH($H35&amp;"|"&amp;$I35&amp;"|"&amp;$J35&amp;"|"&amp;13,Assessments!$A$2:$A$600,0)),"")</f>
        <v/>
      </c>
      <c r="CV35" s="28" t="str">
        <f aca="false">IFERROR(INDEX(Assessments!$I$2:$I$600,MATCH($H35&amp;"|"&amp;$I35&amp;"|"&amp;$J35&amp;"|"&amp;14,Assessments!$A$2:$A$600,0)),"")</f>
        <v/>
      </c>
      <c r="CW35" s="28" t="n">
        <f aca="false">IFERROR(INDEX(Assessments!$J$2:$J$600,MATCH($H35&amp;"|"&amp;$I35&amp;"|"&amp;$J35&amp;"|"&amp;1,Assessments!$A$2:$A$600,0)),0)</f>
        <v>1</v>
      </c>
      <c r="CX35" s="28" t="n">
        <f aca="false">IFERROR(INDEX(Assessments!$J$2:$J$600,MATCH($H35&amp;"|"&amp;$I35&amp;"|"&amp;$J35&amp;"|"&amp;2,Assessments!$A$2:$A$600,0)),0)</f>
        <v>1</v>
      </c>
      <c r="CY35" s="28" t="n">
        <f aca="false">IFERROR(INDEX(Assessments!$J$2:$J$600,MATCH($H35&amp;"|"&amp;$I35&amp;"|"&amp;$J35&amp;"|"&amp;3,Assessments!$A$2:$A$600,0)),0)</f>
        <v>1</v>
      </c>
      <c r="CZ35" s="28" t="n">
        <f aca="false">IFERROR(INDEX(Assessments!$J$2:$J$600,MATCH($H35&amp;"|"&amp;$I35&amp;"|"&amp;$J35&amp;"|"&amp;4,Assessments!$A$2:$A$600,0)),0)</f>
        <v>1</v>
      </c>
      <c r="DA35" s="28" t="n">
        <f aca="false">IFERROR(INDEX(Assessments!$J$2:$J$600,MATCH($H35&amp;"|"&amp;$I35&amp;"|"&amp;$J35&amp;"|"&amp;5,Assessments!$A$2:$A$600,0)),0)</f>
        <v>1</v>
      </c>
      <c r="DB35" s="28" t="n">
        <f aca="false">IFERROR(INDEX(Assessments!$J$2:$J$600,MATCH($H35&amp;"|"&amp;$I35&amp;"|"&amp;$J35&amp;"|"&amp;6,Assessments!$A$2:$A$600,0)),0)</f>
        <v>2</v>
      </c>
      <c r="DC35" s="28" t="n">
        <f aca="false">IFERROR(INDEX(Assessments!$J$2:$J$600,MATCH($H35&amp;"|"&amp;$I35&amp;"|"&amp;$J35&amp;"|"&amp;7,Assessments!$A$2:$A$600,0)),0)</f>
        <v>2</v>
      </c>
      <c r="DD35" s="28" t="n">
        <f aca="false">IFERROR(INDEX(Assessments!$J$2:$J$600,MATCH($H35&amp;"|"&amp;$I35&amp;"|"&amp;$J35&amp;"|"&amp;8,Assessments!$A$2:$A$600,0)),0)</f>
        <v>1</v>
      </c>
      <c r="DE35" s="28" t="n">
        <f aca="false">IFERROR(INDEX(Assessments!$J$2:$J$600,MATCH($H35&amp;"|"&amp;$I35&amp;"|"&amp;$J35&amp;"|"&amp;9,Assessments!$A$2:$A$600,0)),0)</f>
        <v>1</v>
      </c>
      <c r="DF35" s="28" t="n">
        <f aca="false">IFERROR(INDEX(Assessments!$J$2:$J$600,MATCH($H35&amp;"|"&amp;$I35&amp;"|"&amp;$J35&amp;"|"&amp;10,Assessments!$A$2:$A$600,0)),0)</f>
        <v>1</v>
      </c>
      <c r="DG35" s="28" t="n">
        <f aca="false">IFERROR(INDEX(Assessments!$J$2:$J$600,MATCH($H35&amp;"|"&amp;$I35&amp;"|"&amp;$J35&amp;"|"&amp;11,Assessments!$A$2:$A$600,0)),0)</f>
        <v>0</v>
      </c>
      <c r="DH35" s="28" t="n">
        <f aca="false">IFERROR(INDEX(Assessments!$J$2:$J$600,MATCH($H35&amp;"|"&amp;$I35&amp;"|"&amp;$J35&amp;"|"&amp;12,Assessments!$A$2:$A$600,0)),0)</f>
        <v>0</v>
      </c>
      <c r="DI35" s="28" t="n">
        <f aca="false">IFERROR(INDEX(Assessments!$J$2:$J$600,MATCH($H35&amp;"|"&amp;$I35&amp;"|"&amp;$J35&amp;"|"&amp;13,Assessments!$A$2:$A$600,0)),0)</f>
        <v>0</v>
      </c>
      <c r="DJ35" s="28" t="n">
        <f aca="false">IFERROR(INDEX(Assessments!$J$2:$J$600,MATCH($H35&amp;"|"&amp;$I35&amp;"|"&amp;$J35&amp;"|"&amp;14,Assessments!$A$2:$A$600,0)),0)</f>
        <v>0</v>
      </c>
      <c r="DK35" s="28" t="n">
        <f aca="false">S35</f>
        <v>7</v>
      </c>
      <c r="DL35" s="28" t="n">
        <f aca="false">W35</f>
        <v>5</v>
      </c>
      <c r="DM35" s="28" t="n">
        <f aca="false">AA35</f>
        <v>4</v>
      </c>
      <c r="DN35" s="28" t="n">
        <f aca="false">AE35</f>
        <v>7</v>
      </c>
      <c r="DO35" s="28" t="n">
        <f aca="false">AI35</f>
        <v>6</v>
      </c>
      <c r="DP35" s="28" t="n">
        <f aca="false">AM35</f>
        <v>7</v>
      </c>
      <c r="DQ35" s="28" t="n">
        <f aca="false">AQ35</f>
        <v>7</v>
      </c>
      <c r="DR35" s="28" t="str">
        <f aca="false">AU35</f>
        <v/>
      </c>
      <c r="DS35" s="28" t="n">
        <f aca="false">AY35</f>
        <v>5</v>
      </c>
      <c r="DT35" s="28" t="n">
        <f aca="false">BC35</f>
        <v>6</v>
      </c>
      <c r="DU35" s="28" t="str">
        <f aca="false">BG35</f>
        <v/>
      </c>
      <c r="DV35" s="28" t="str">
        <f aca="false">BK35</f>
        <v/>
      </c>
      <c r="DW35" s="28" t="str">
        <f aca="false">BO35</f>
        <v/>
      </c>
      <c r="DX35" s="28" t="str">
        <f aca="false">BS35</f>
        <v/>
      </c>
      <c r="DY35" s="28" t="n">
        <f aca="false">IF(ISNUMBER(S35),1,"")</f>
        <v>1</v>
      </c>
      <c r="DZ35" s="28" t="n">
        <f aca="false">IF(ISNUMBER(W35),2,"")</f>
        <v>2</v>
      </c>
      <c r="EA35" s="28" t="n">
        <f aca="false">IF(ISNUMBER(AA35),3,"")</f>
        <v>3</v>
      </c>
      <c r="EB35" s="28" t="n">
        <f aca="false">IF(ISNUMBER(AE35),4,"")</f>
        <v>4</v>
      </c>
      <c r="EC35" s="28" t="n">
        <f aca="false">IF(ISNUMBER(AI35),5,"")</f>
        <v>5</v>
      </c>
      <c r="ED35" s="28" t="n">
        <f aca="false">IF(ISNUMBER(AM35),6,"")</f>
        <v>6</v>
      </c>
      <c r="EE35" s="28" t="n">
        <f aca="false">IF(ISNUMBER(AQ35),7,"")</f>
        <v>7</v>
      </c>
      <c r="EF35" s="28" t="str">
        <f aca="false">IF(ISNUMBER(AU35),8,"")</f>
        <v/>
      </c>
      <c r="EG35" s="28" t="n">
        <f aca="false">IF(ISNUMBER(AY35),9,"")</f>
        <v>9</v>
      </c>
      <c r="EH35" s="28" t="n">
        <f aca="false">IF(ISNUMBER(BC35),10,"")</f>
        <v>10</v>
      </c>
      <c r="EI35" s="28" t="str">
        <f aca="false">IF(ISNUMBER(BG35),11,"")</f>
        <v/>
      </c>
      <c r="EJ35" s="28" t="str">
        <f aca="false">IF(ISNUMBER(BK35),12,"")</f>
        <v/>
      </c>
      <c r="EK35" s="28" t="str">
        <f aca="false">IF(ISNUMBER(BO35),13,"")</f>
        <v/>
      </c>
      <c r="EL35" s="28" t="str">
        <f aca="false">IF(ISNUMBER(BS35),14,"")</f>
        <v/>
      </c>
      <c r="EM35" s="28" t="n">
        <f aca="false">IF(ISNUMBER(R35),R35*CW35,0)</f>
        <v>80</v>
      </c>
      <c r="EN35" s="28" t="n">
        <f aca="false">IF(ISNUMBER(V35),V35*CX35,0)</f>
        <v>55</v>
      </c>
      <c r="EO35" s="28" t="n">
        <f aca="false">IF(ISNUMBER(Z35),Z35*CY35,0)</f>
        <v>50</v>
      </c>
      <c r="EP35" s="28" t="n">
        <f aca="false">IF(ISNUMBER(AD35),AD35*CZ35,0)</f>
        <v>80</v>
      </c>
      <c r="EQ35" s="28" t="n">
        <f aca="false">IF(ISNUMBER(AH35),AH35*DA35,0)</f>
        <v>70</v>
      </c>
      <c r="ER35" s="28" t="n">
        <f aca="false">IF(ISNUMBER(AL35),AL35*DB35,0)</f>
        <v>145</v>
      </c>
      <c r="ES35" s="28" t="n">
        <f aca="false">IF(ISNUMBER(AP35),AP35*DC35,0)</f>
        <v>164</v>
      </c>
      <c r="ET35" s="28" t="n">
        <f aca="false">IF(ISNUMBER(AT35),AT35*DD35,0)</f>
        <v>0</v>
      </c>
      <c r="EU35" s="28" t="n">
        <f aca="false">IF(ISNUMBER(AX35),AX35*DE35,0)</f>
        <v>62.5</v>
      </c>
      <c r="EV35" s="28" t="n">
        <f aca="false">IF(ISNUMBER(BB35),BB35*DF35,0)</f>
        <v>70</v>
      </c>
      <c r="EW35" s="28" t="n">
        <f aca="false">IF(ISNUMBER(BF35),BF35*DG35,0)</f>
        <v>0</v>
      </c>
      <c r="EX35" s="28" t="n">
        <f aca="false">IF(ISNUMBER(BJ35),BJ35*DH35,0)</f>
        <v>0</v>
      </c>
      <c r="EY35" s="28" t="n">
        <f aca="false">IF(ISNUMBER(BN35),BN35*DI35,0)</f>
        <v>0</v>
      </c>
      <c r="EZ35" s="28" t="n">
        <f aca="false">IF(ISNUMBER(BR35),BR35*DJ35,0)</f>
        <v>0</v>
      </c>
      <c r="FA35" s="28" t="n">
        <f aca="false">IF(ISNUMBER(R35),CW35,0)</f>
        <v>1</v>
      </c>
      <c r="FB35" s="28" t="n">
        <f aca="false">IF(ISNUMBER(V35),CX35,0)</f>
        <v>1</v>
      </c>
      <c r="FC35" s="28" t="n">
        <f aca="false">IF(ISNUMBER(Z35),CY35,0)</f>
        <v>1</v>
      </c>
      <c r="FD35" s="28" t="n">
        <f aca="false">IF(ISNUMBER(AD35),CZ35,0)</f>
        <v>1</v>
      </c>
      <c r="FE35" s="28" t="n">
        <f aca="false">IF(ISNUMBER(AH35),DA35,0)</f>
        <v>1</v>
      </c>
      <c r="FF35" s="28" t="n">
        <f aca="false">IF(ISNUMBER(AL35),DB35,0)</f>
        <v>2</v>
      </c>
      <c r="FG35" s="28" t="n">
        <f aca="false">IF(ISNUMBER(AP35),DC35,0)</f>
        <v>2</v>
      </c>
      <c r="FH35" s="28" t="n">
        <f aca="false">IF(ISNUMBER(AT35),DD35,0)</f>
        <v>0</v>
      </c>
      <c r="FI35" s="28" t="n">
        <f aca="false">IF(ISNUMBER(AX35),DE35,0)</f>
        <v>1</v>
      </c>
      <c r="FJ35" s="28" t="n">
        <f aca="false">IF(ISNUMBER(BB35),DF35,0)</f>
        <v>1</v>
      </c>
      <c r="FK35" s="28" t="n">
        <f aca="false">IF(ISNUMBER(BF35),DG35,0)</f>
        <v>0</v>
      </c>
      <c r="FL35" s="28" t="n">
        <f aca="false">IF(ISNUMBER(BJ35),DH35,0)</f>
        <v>0</v>
      </c>
      <c r="FM35" s="28" t="n">
        <f aca="false">IF(ISNUMBER(BN35),DI35,0)</f>
        <v>0</v>
      </c>
      <c r="FN35" s="28" t="n">
        <f aca="false">IF(ISNUMBER(BR35),DJ35,0)</f>
        <v>0</v>
      </c>
      <c r="FO35" s="28" t="str">
        <f aca="false">IFERROR(INDEX(Lists!$G$2:$G$20,MATCH($I35&amp;"|"&amp;$J35,Lists!$F$2:$F$20,0)),"")</f>
        <v>Geog Overall HL</v>
      </c>
    </row>
    <row r="36" customFormat="false" ht="19.5" hidden="false" customHeight="true" outlineLevel="0" collapsed="false">
      <c r="A36" s="29" t="s">
        <v>206</v>
      </c>
      <c r="B36" s="29" t="s">
        <v>207</v>
      </c>
      <c r="C36" s="30" t="s">
        <v>192</v>
      </c>
      <c r="D36" s="30" t="s">
        <v>193</v>
      </c>
      <c r="E36" s="31" t="n">
        <v>5.4</v>
      </c>
      <c r="F36" s="30" t="n">
        <v>6</v>
      </c>
      <c r="G36" s="30"/>
      <c r="H36" s="32" t="s">
        <v>23</v>
      </c>
      <c r="I36" s="33" t="s">
        <v>24</v>
      </c>
      <c r="J36" s="32" t="s">
        <v>25</v>
      </c>
      <c r="K36" s="34" t="n">
        <f aca="false">IF(OR(M36="",$E36=""),"",M36-$E36)</f>
        <v>-0.4</v>
      </c>
      <c r="L36" s="35" t="n">
        <f aca="false">IF(SUM(FA36:FN36)=0,"",SUM(EM36:EZ36)/SUM(FA36:FN36))</f>
        <v>52.9848484848485</v>
      </c>
      <c r="M36" s="36" t="n">
        <f aca="false">IF(OR(L36="",FO36=""),"",IFERROR(MATCH(L36,INDEX(Boundaries!$B$2:$I$30,MATCH(FO36,Boundaries!$A$2:$A$30,0),0),1)-1,""))</f>
        <v>5</v>
      </c>
      <c r="N36" s="37" t="n">
        <f aca="false">IF(COUNT($DY36:$EL36)&lt;2,"",INDEX($DK36:$DX36,MAX($DY36:$EL36))-INDEX($DK36:$DX36,MIN($DY36:$EL36)))</f>
        <v>-1</v>
      </c>
      <c r="O36" s="37" t="n">
        <f aca="false">IF(COUNT($DY36:$EL36)&lt;2,"",INDEX($DK36:$DX36,MAX($DY36:$EL36))-INDEX($DK36:$DX36,LARGE($DY36:$EL36,2)))</f>
        <v>1</v>
      </c>
      <c r="P36" s="38" t="str">
        <f aca="false">IF(K36="","",IF(K36&gt;=0,"On/above target",IF(AND(N36&lt;&gt;"",N36&gt;=0.5),"Improving towards target",IF(AND(O36&lt;&gt;"",O36&lt;=-0.5),"Declining","Stable below target"))))</f>
        <v>Stable below target</v>
      </c>
      <c r="Q36" s="39" t="n">
        <v>12</v>
      </c>
      <c r="R36" s="40" t="n">
        <f aca="false">IF(OR(Q36="",BU36=""),"",Q36/BU36*100)</f>
        <v>60</v>
      </c>
      <c r="S36" s="41" t="n">
        <f aca="false">IF(R36="","",IFERROR(MATCH(R36,INDEX(Boundaries!$B$2:$I$30,MATCH(CI36,Boundaries!$A$2:$A$30,0),0),1)-1,""))</f>
        <v>5</v>
      </c>
      <c r="T36" s="42" t="n">
        <f aca="false">IF(OR(S36="",$E36=""),"",S36-$E36)</f>
        <v>-0.4</v>
      </c>
      <c r="U36" s="39" t="n">
        <v>9</v>
      </c>
      <c r="V36" s="40" t="n">
        <f aca="false">IF(OR(U36="",BV36=""),"",U36/BV36*100)</f>
        <v>45</v>
      </c>
      <c r="W36" s="41" t="n">
        <f aca="false">IF(V36="","",IFERROR(MATCH(V36,INDEX(Boundaries!$B$2:$I$30,MATCH(CJ36,Boundaries!$A$2:$A$30,0),0),1)-1,""))</f>
        <v>4</v>
      </c>
      <c r="X36" s="42" t="n">
        <f aca="false">IF(OR(W36="",$E36=""),"",W36-$E36)</f>
        <v>-1.4</v>
      </c>
      <c r="Y36" s="39" t="n">
        <v>7</v>
      </c>
      <c r="Z36" s="40" t="n">
        <f aca="false">IF(OR(Y36="",BW36=""),"",Y36/BW36*100)</f>
        <v>35</v>
      </c>
      <c r="AA36" s="41" t="n">
        <f aca="false">IF(Z36="","",IFERROR(MATCH(Z36,INDEX(Boundaries!$B$2:$I$30,MATCH(CK36,Boundaries!$A$2:$A$30,0),0),1)-1,""))</f>
        <v>3</v>
      </c>
      <c r="AB36" s="42" t="n">
        <f aca="false">IF(OR(AA36="",$E36=""),"",AA36-$E36)</f>
        <v>-2.4</v>
      </c>
      <c r="AC36" s="39" t="n">
        <v>12</v>
      </c>
      <c r="AD36" s="40" t="n">
        <f aca="false">IF(OR(AC36="",BX36=""),"",AC36/BX36*100)</f>
        <v>60</v>
      </c>
      <c r="AE36" s="41" t="n">
        <f aca="false">IF(AD36="","",IFERROR(MATCH(AD36,INDEX(Boundaries!$B$2:$I$30,MATCH(CL36,Boundaries!$A$2:$A$30,0),0),1)-1,""))</f>
        <v>5</v>
      </c>
      <c r="AF36" s="42" t="n">
        <f aca="false">IF(OR(AE36="",$E36=""),"",AE36-$E36)</f>
        <v>-0.4</v>
      </c>
      <c r="AG36" s="39" t="n">
        <v>12</v>
      </c>
      <c r="AH36" s="40" t="n">
        <f aca="false">IF(OR(AG36="",BY36=""),"",AG36/BY36*100)</f>
        <v>60</v>
      </c>
      <c r="AI36" s="41" t="n">
        <f aca="false">IF(AH36="","",IFERROR(MATCH(AH36,INDEX(Boundaries!$B$2:$I$30,MATCH(CM36,Boundaries!$A$2:$A$30,0),0),1)-1,""))</f>
        <v>5</v>
      </c>
      <c r="AJ36" s="42" t="n">
        <f aca="false">IF(OR(AI36="",$E36=""),"",AI36-$E36)</f>
        <v>-0.4</v>
      </c>
      <c r="AK36" s="39" t="n">
        <v>24</v>
      </c>
      <c r="AL36" s="40" t="n">
        <f aca="false">IF(OR(AK36="",BZ36=""),"",AK36/BZ36*100)</f>
        <v>60</v>
      </c>
      <c r="AM36" s="41" t="n">
        <f aca="false">IF(AL36="","",IFERROR(MATCH(AL36,INDEX(Boundaries!$B$2:$I$30,MATCH(CN36,Boundaries!$A$2:$A$30,0),0),1)-1,""))</f>
        <v>5</v>
      </c>
      <c r="AN36" s="42" t="n">
        <f aca="false">IF(OR(AM36="",$E36=""),"",AM36-$E36)</f>
        <v>-0.4</v>
      </c>
      <c r="AO36" s="39" t="n">
        <v>28</v>
      </c>
      <c r="AP36" s="40" t="n">
        <f aca="false">IF(OR(AO36="",CA36=""),"",AO36/CA36*100)</f>
        <v>56</v>
      </c>
      <c r="AQ36" s="41" t="n">
        <f aca="false">IF(AP36="","",IFERROR(MATCH(AP36,INDEX(Boundaries!$B$2:$I$30,MATCH(CO36,Boundaries!$A$2:$A$30,0),0),1)-1,""))</f>
        <v>5</v>
      </c>
      <c r="AR36" s="42" t="n">
        <f aca="false">IF(OR(AQ36="",$E36=""),"",AQ36-$E36)</f>
        <v>-0.4</v>
      </c>
      <c r="AS36" s="39"/>
      <c r="AT36" s="40" t="str">
        <f aca="false">IF(OR(AS36="",CB36=""),"",AS36/CB36*100)</f>
        <v/>
      </c>
      <c r="AU36" s="41" t="str">
        <f aca="false">IF(AT36="","",IFERROR(MATCH(AT36,INDEX(Boundaries!$B$2:$I$30,MATCH(CP36,Boundaries!$A$2:$A$30,0),0),1)-1,""))</f>
        <v/>
      </c>
      <c r="AV36" s="42" t="str">
        <f aca="false">IF(OR(AU36="",$E36=""),"",AU36-$E36)</f>
        <v/>
      </c>
      <c r="AW36" s="39" t="n">
        <v>6</v>
      </c>
      <c r="AX36" s="40" t="n">
        <f aca="false">IF(OR(AW36="",CC36=""),"",AW36/CC36*100)</f>
        <v>37.5</v>
      </c>
      <c r="AY36" s="41" t="n">
        <f aca="false">IF(AX36="","",IFERROR(MATCH(AX36,INDEX(Boundaries!$B$2:$I$30,MATCH(CQ36,Boundaries!$A$2:$A$30,0),0),1)-1,""))</f>
        <v>3</v>
      </c>
      <c r="AZ36" s="42" t="n">
        <f aca="false">IF(OR(AY36="",$E36=""),"",AY36-$E36)</f>
        <v>-2.4</v>
      </c>
      <c r="BA36" s="39" t="n">
        <v>16</v>
      </c>
      <c r="BB36" s="40" t="n">
        <f aca="false">IF(OR(BA36="",CD36=""),"",BA36/CD36*100)</f>
        <v>53.3333333333333</v>
      </c>
      <c r="BC36" s="41" t="n">
        <f aca="false">IF(BB36="","",IFERROR(MATCH(BB36,INDEX(Boundaries!$B$2:$I$30,MATCH(CR36,Boundaries!$A$2:$A$30,0),0),1)-1,""))</f>
        <v>4</v>
      </c>
      <c r="BD36" s="42" t="n">
        <f aca="false">IF(OR(BC36="",$E36=""),"",BC36-$E36)</f>
        <v>-1.4</v>
      </c>
      <c r="BE36" s="39"/>
      <c r="BF36" s="40" t="str">
        <f aca="false">IF(OR(BE36="",CE36=""),"",BE36/CE36*100)</f>
        <v/>
      </c>
      <c r="BG36" s="41" t="str">
        <f aca="false">IF(BF36="","",IFERROR(MATCH(BF36,INDEX(Boundaries!$B$2:$I$30,MATCH(CS36,Boundaries!$A$2:$A$30,0),0),1)-1,""))</f>
        <v/>
      </c>
      <c r="BH36" s="42" t="str">
        <f aca="false">IF(OR(BG36="",$E36=""),"",BG36-$E36)</f>
        <v/>
      </c>
      <c r="BI36" s="39"/>
      <c r="BJ36" s="40" t="str">
        <f aca="false">IF(OR(BI36="",CF36=""),"",BI36/CF36*100)</f>
        <v/>
      </c>
      <c r="BK36" s="41" t="str">
        <f aca="false">IF(BJ36="","",IFERROR(MATCH(BJ36,INDEX(Boundaries!$B$2:$I$30,MATCH(CT36,Boundaries!$A$2:$A$30,0),0),1)-1,""))</f>
        <v/>
      </c>
      <c r="BL36" s="42" t="str">
        <f aca="false">IF(OR(BK36="",$E36=""),"",BK36-$E36)</f>
        <v/>
      </c>
      <c r="BM36" s="39"/>
      <c r="BN36" s="40" t="str">
        <f aca="false">IF(OR(BM36="",CG36=""),"",BM36/CG36*100)</f>
        <v/>
      </c>
      <c r="BO36" s="41" t="str">
        <f aca="false">IF(BN36="","",IFERROR(MATCH(BN36,INDEX(Boundaries!$B$2:$I$30,MATCH(CU36,Boundaries!$A$2:$A$30,0),0),1)-1,""))</f>
        <v/>
      </c>
      <c r="BP36" s="42" t="str">
        <f aca="false">IF(OR(BO36="",$E36=""),"",BO36-$E36)</f>
        <v/>
      </c>
      <c r="BQ36" s="39"/>
      <c r="BR36" s="40" t="str">
        <f aca="false">IF(OR(BQ36="",CH36=""),"",BQ36/CH36*100)</f>
        <v/>
      </c>
      <c r="BS36" s="41" t="str">
        <f aca="false">IF(BR36="","",IFERROR(MATCH(BR36,INDEX(Boundaries!$B$2:$I$30,MATCH(CV36,Boundaries!$A$2:$A$30,0),0),1)-1,""))</f>
        <v/>
      </c>
      <c r="BT36" s="42" t="str">
        <f aca="false">IF(OR(BS36="",$E36=""),"",BS36-$E36)</f>
        <v/>
      </c>
      <c r="BU36" s="28" t="n">
        <f aca="false">IFERROR(INDEX(Assessments!$H$2:$H$600,MATCH($H36&amp;"|"&amp;$I36&amp;"|"&amp;$J36&amp;"|"&amp;1,Assessments!$A$2:$A$600,0)),"")</f>
        <v>20</v>
      </c>
      <c r="BV36" s="28" t="n">
        <f aca="false">IFERROR(INDEX(Assessments!$H$2:$H$600,MATCH($H36&amp;"|"&amp;$I36&amp;"|"&amp;$J36&amp;"|"&amp;2,Assessments!$A$2:$A$600,0)),"")</f>
        <v>20</v>
      </c>
      <c r="BW36" s="28" t="n">
        <f aca="false">IFERROR(INDEX(Assessments!$H$2:$H$600,MATCH($H36&amp;"|"&amp;$I36&amp;"|"&amp;$J36&amp;"|"&amp;3,Assessments!$A$2:$A$600,0)),"")</f>
        <v>20</v>
      </c>
      <c r="BX36" s="28" t="n">
        <f aca="false">IFERROR(INDEX(Assessments!$H$2:$H$600,MATCH($H36&amp;"|"&amp;$I36&amp;"|"&amp;$J36&amp;"|"&amp;4,Assessments!$A$2:$A$600,0)),"")</f>
        <v>20</v>
      </c>
      <c r="BY36" s="28" t="n">
        <f aca="false">IFERROR(INDEX(Assessments!$H$2:$H$600,MATCH($H36&amp;"|"&amp;$I36&amp;"|"&amp;$J36&amp;"|"&amp;5,Assessments!$A$2:$A$600,0)),"")</f>
        <v>20</v>
      </c>
      <c r="BZ36" s="28" t="n">
        <f aca="false">IFERROR(INDEX(Assessments!$H$2:$H$600,MATCH($H36&amp;"|"&amp;$I36&amp;"|"&amp;$J36&amp;"|"&amp;6,Assessments!$A$2:$A$600,0)),"")</f>
        <v>40</v>
      </c>
      <c r="CA36" s="28" t="n">
        <f aca="false">IFERROR(INDEX(Assessments!$H$2:$H$600,MATCH($H36&amp;"|"&amp;$I36&amp;"|"&amp;$J36&amp;"|"&amp;7,Assessments!$A$2:$A$600,0)),"")</f>
        <v>50</v>
      </c>
      <c r="CB36" s="28" t="n">
        <f aca="false">IFERROR(INDEX(Assessments!$H$2:$H$600,MATCH($H36&amp;"|"&amp;$I36&amp;"|"&amp;$J36&amp;"|"&amp;8,Assessments!$A$2:$A$600,0)),"")</f>
        <v>25</v>
      </c>
      <c r="CC36" s="28" t="n">
        <f aca="false">IFERROR(INDEX(Assessments!$H$2:$H$600,MATCH($H36&amp;"|"&amp;$I36&amp;"|"&amp;$J36&amp;"|"&amp;9,Assessments!$A$2:$A$600,0)),"")</f>
        <v>16</v>
      </c>
      <c r="CD36" s="28" t="n">
        <f aca="false">IFERROR(INDEX(Assessments!$H$2:$H$600,MATCH($H36&amp;"|"&amp;$I36&amp;"|"&amp;$J36&amp;"|"&amp;10,Assessments!$A$2:$A$600,0)),"")</f>
        <v>30</v>
      </c>
      <c r="CE36" s="28" t="str">
        <f aca="false">IFERROR(INDEX(Assessments!$H$2:$H$600,MATCH($H36&amp;"|"&amp;$I36&amp;"|"&amp;$J36&amp;"|"&amp;11,Assessments!$A$2:$A$600,0)),"")</f>
        <v/>
      </c>
      <c r="CF36" s="28" t="str">
        <f aca="false">IFERROR(INDEX(Assessments!$H$2:$H$600,MATCH($H36&amp;"|"&amp;$I36&amp;"|"&amp;$J36&amp;"|"&amp;12,Assessments!$A$2:$A$600,0)),"")</f>
        <v/>
      </c>
      <c r="CG36" s="28" t="str">
        <f aca="false">IFERROR(INDEX(Assessments!$H$2:$H$600,MATCH($H36&amp;"|"&amp;$I36&amp;"|"&amp;$J36&amp;"|"&amp;13,Assessments!$A$2:$A$600,0)),"")</f>
        <v/>
      </c>
      <c r="CH36" s="28" t="str">
        <f aca="false">IFERROR(INDEX(Assessments!$H$2:$H$600,MATCH($H36&amp;"|"&amp;$I36&amp;"|"&amp;$J36&amp;"|"&amp;14,Assessments!$A$2:$A$600,0)),"")</f>
        <v/>
      </c>
      <c r="CI36" s="28" t="str">
        <f aca="false">IFERROR(INDEX(Assessments!$I$2:$I$600,MATCH($H36&amp;"|"&amp;$I36&amp;"|"&amp;$J36&amp;"|"&amp;1,Assessments!$A$2:$A$600,0)),"")</f>
        <v>Geog Paper 1</v>
      </c>
      <c r="CJ36" s="28" t="str">
        <f aca="false">IFERROR(INDEX(Assessments!$I$2:$I$600,MATCH($H36&amp;"|"&amp;$I36&amp;"|"&amp;$J36&amp;"|"&amp;2,Assessments!$A$2:$A$600,0)),"")</f>
        <v>Geog Paper 1</v>
      </c>
      <c r="CK36" s="28" t="str">
        <f aca="false">IFERROR(INDEX(Assessments!$I$2:$I$600,MATCH($H36&amp;"|"&amp;$I36&amp;"|"&amp;$J36&amp;"|"&amp;3,Assessments!$A$2:$A$600,0)),"")</f>
        <v>Geog Paper 2</v>
      </c>
      <c r="CL36" s="28" t="str">
        <f aca="false">IFERROR(INDEX(Assessments!$I$2:$I$600,MATCH($H36&amp;"|"&amp;$I36&amp;"|"&amp;$J36&amp;"|"&amp;4,Assessments!$A$2:$A$600,0)),"")</f>
        <v>Geog Paper 1</v>
      </c>
      <c r="CM36" s="28" t="str">
        <f aca="false">IFERROR(INDEX(Assessments!$I$2:$I$600,MATCH($H36&amp;"|"&amp;$I36&amp;"|"&amp;$J36&amp;"|"&amp;5,Assessments!$A$2:$A$600,0)),"")</f>
        <v>Geog Paper 1</v>
      </c>
      <c r="CN36" s="28" t="str">
        <f aca="false">IFERROR(INDEX(Assessments!$I$2:$I$600,MATCH($H36&amp;"|"&amp;$I36&amp;"|"&amp;$J36&amp;"|"&amp;6,Assessments!$A$2:$A$600,0)),"")</f>
        <v>Geog Paper 1</v>
      </c>
      <c r="CO36" s="28" t="str">
        <f aca="false">IFERROR(INDEX(Assessments!$I$2:$I$600,MATCH($H36&amp;"|"&amp;$I36&amp;"|"&amp;$J36&amp;"|"&amp;7,Assessments!$A$2:$A$600,0)),"")</f>
        <v>Geog Paper 2</v>
      </c>
      <c r="CP36" s="28" t="str">
        <f aca="false">IFERROR(INDEX(Assessments!$I$2:$I$600,MATCH($H36&amp;"|"&amp;$I36&amp;"|"&amp;$J36&amp;"|"&amp;8,Assessments!$A$2:$A$600,0)),"")</f>
        <v>Geog Paper 2</v>
      </c>
      <c r="CQ36" s="28" t="str">
        <f aca="false">IFERROR(INDEX(Assessments!$I$2:$I$600,MATCH($H36&amp;"|"&amp;$I36&amp;"|"&amp;$J36&amp;"|"&amp;9,Assessments!$A$2:$A$600,0)),"")</f>
        <v>Geog Paper 3</v>
      </c>
      <c r="CR36" s="28" t="str">
        <f aca="false">IFERROR(INDEX(Assessments!$I$2:$I$600,MATCH($H36&amp;"|"&amp;$I36&amp;"|"&amp;$J36&amp;"|"&amp;10,Assessments!$A$2:$A$600,0)),"")</f>
        <v>Geog Paper 2</v>
      </c>
      <c r="CS36" s="28" t="str">
        <f aca="false">IFERROR(INDEX(Assessments!$I$2:$I$600,MATCH($H36&amp;"|"&amp;$I36&amp;"|"&amp;$J36&amp;"|"&amp;11,Assessments!$A$2:$A$600,0)),"")</f>
        <v/>
      </c>
      <c r="CT36" s="28" t="str">
        <f aca="false">IFERROR(INDEX(Assessments!$I$2:$I$600,MATCH($H36&amp;"|"&amp;$I36&amp;"|"&amp;$J36&amp;"|"&amp;12,Assessments!$A$2:$A$600,0)),"")</f>
        <v/>
      </c>
      <c r="CU36" s="28" t="str">
        <f aca="false">IFERROR(INDEX(Assessments!$I$2:$I$600,MATCH($H36&amp;"|"&amp;$I36&amp;"|"&amp;$J36&amp;"|"&amp;13,Assessments!$A$2:$A$600,0)),"")</f>
        <v/>
      </c>
      <c r="CV36" s="28" t="str">
        <f aca="false">IFERROR(INDEX(Assessments!$I$2:$I$600,MATCH($H36&amp;"|"&amp;$I36&amp;"|"&amp;$J36&amp;"|"&amp;14,Assessments!$A$2:$A$600,0)),"")</f>
        <v/>
      </c>
      <c r="CW36" s="28" t="n">
        <f aca="false">IFERROR(INDEX(Assessments!$J$2:$J$600,MATCH($H36&amp;"|"&amp;$I36&amp;"|"&amp;$J36&amp;"|"&amp;1,Assessments!$A$2:$A$600,0)),0)</f>
        <v>1</v>
      </c>
      <c r="CX36" s="28" t="n">
        <f aca="false">IFERROR(INDEX(Assessments!$J$2:$J$600,MATCH($H36&amp;"|"&amp;$I36&amp;"|"&amp;$J36&amp;"|"&amp;2,Assessments!$A$2:$A$600,0)),0)</f>
        <v>1</v>
      </c>
      <c r="CY36" s="28" t="n">
        <f aca="false">IFERROR(INDEX(Assessments!$J$2:$J$600,MATCH($H36&amp;"|"&amp;$I36&amp;"|"&amp;$J36&amp;"|"&amp;3,Assessments!$A$2:$A$600,0)),0)</f>
        <v>1</v>
      </c>
      <c r="CZ36" s="28" t="n">
        <f aca="false">IFERROR(INDEX(Assessments!$J$2:$J$600,MATCH($H36&amp;"|"&amp;$I36&amp;"|"&amp;$J36&amp;"|"&amp;4,Assessments!$A$2:$A$600,0)),0)</f>
        <v>1</v>
      </c>
      <c r="DA36" s="28" t="n">
        <f aca="false">IFERROR(INDEX(Assessments!$J$2:$J$600,MATCH($H36&amp;"|"&amp;$I36&amp;"|"&amp;$J36&amp;"|"&amp;5,Assessments!$A$2:$A$600,0)),0)</f>
        <v>1</v>
      </c>
      <c r="DB36" s="28" t="n">
        <f aca="false">IFERROR(INDEX(Assessments!$J$2:$J$600,MATCH($H36&amp;"|"&amp;$I36&amp;"|"&amp;$J36&amp;"|"&amp;6,Assessments!$A$2:$A$600,0)),0)</f>
        <v>2</v>
      </c>
      <c r="DC36" s="28" t="n">
        <f aca="false">IFERROR(INDEX(Assessments!$J$2:$J$600,MATCH($H36&amp;"|"&amp;$I36&amp;"|"&amp;$J36&amp;"|"&amp;7,Assessments!$A$2:$A$600,0)),0)</f>
        <v>2</v>
      </c>
      <c r="DD36" s="28" t="n">
        <f aca="false">IFERROR(INDEX(Assessments!$J$2:$J$600,MATCH($H36&amp;"|"&amp;$I36&amp;"|"&amp;$J36&amp;"|"&amp;8,Assessments!$A$2:$A$600,0)),0)</f>
        <v>1</v>
      </c>
      <c r="DE36" s="28" t="n">
        <f aca="false">IFERROR(INDEX(Assessments!$J$2:$J$600,MATCH($H36&amp;"|"&amp;$I36&amp;"|"&amp;$J36&amp;"|"&amp;9,Assessments!$A$2:$A$600,0)),0)</f>
        <v>1</v>
      </c>
      <c r="DF36" s="28" t="n">
        <f aca="false">IFERROR(INDEX(Assessments!$J$2:$J$600,MATCH($H36&amp;"|"&amp;$I36&amp;"|"&amp;$J36&amp;"|"&amp;10,Assessments!$A$2:$A$600,0)),0)</f>
        <v>1</v>
      </c>
      <c r="DG36" s="28" t="n">
        <f aca="false">IFERROR(INDEX(Assessments!$J$2:$J$600,MATCH($H36&amp;"|"&amp;$I36&amp;"|"&amp;$J36&amp;"|"&amp;11,Assessments!$A$2:$A$600,0)),0)</f>
        <v>0</v>
      </c>
      <c r="DH36" s="28" t="n">
        <f aca="false">IFERROR(INDEX(Assessments!$J$2:$J$600,MATCH($H36&amp;"|"&amp;$I36&amp;"|"&amp;$J36&amp;"|"&amp;12,Assessments!$A$2:$A$600,0)),0)</f>
        <v>0</v>
      </c>
      <c r="DI36" s="28" t="n">
        <f aca="false">IFERROR(INDEX(Assessments!$J$2:$J$600,MATCH($H36&amp;"|"&amp;$I36&amp;"|"&amp;$J36&amp;"|"&amp;13,Assessments!$A$2:$A$600,0)),0)</f>
        <v>0</v>
      </c>
      <c r="DJ36" s="28" t="n">
        <f aca="false">IFERROR(INDEX(Assessments!$J$2:$J$600,MATCH($H36&amp;"|"&amp;$I36&amp;"|"&amp;$J36&amp;"|"&amp;14,Assessments!$A$2:$A$600,0)),0)</f>
        <v>0</v>
      </c>
      <c r="DK36" s="28" t="n">
        <f aca="false">S36</f>
        <v>5</v>
      </c>
      <c r="DL36" s="28" t="n">
        <f aca="false">W36</f>
        <v>4</v>
      </c>
      <c r="DM36" s="28" t="n">
        <f aca="false">AA36</f>
        <v>3</v>
      </c>
      <c r="DN36" s="28" t="n">
        <f aca="false">AE36</f>
        <v>5</v>
      </c>
      <c r="DO36" s="28" t="n">
        <f aca="false">AI36</f>
        <v>5</v>
      </c>
      <c r="DP36" s="28" t="n">
        <f aca="false">AM36</f>
        <v>5</v>
      </c>
      <c r="DQ36" s="28" t="n">
        <f aca="false">AQ36</f>
        <v>5</v>
      </c>
      <c r="DR36" s="28" t="str">
        <f aca="false">AU36</f>
        <v/>
      </c>
      <c r="DS36" s="28" t="n">
        <f aca="false">AY36</f>
        <v>3</v>
      </c>
      <c r="DT36" s="28" t="n">
        <f aca="false">BC36</f>
        <v>4</v>
      </c>
      <c r="DU36" s="28" t="str">
        <f aca="false">BG36</f>
        <v/>
      </c>
      <c r="DV36" s="28" t="str">
        <f aca="false">BK36</f>
        <v/>
      </c>
      <c r="DW36" s="28" t="str">
        <f aca="false">BO36</f>
        <v/>
      </c>
      <c r="DX36" s="28" t="str">
        <f aca="false">BS36</f>
        <v/>
      </c>
      <c r="DY36" s="28" t="n">
        <f aca="false">IF(ISNUMBER(S36),1,"")</f>
        <v>1</v>
      </c>
      <c r="DZ36" s="28" t="n">
        <f aca="false">IF(ISNUMBER(W36),2,"")</f>
        <v>2</v>
      </c>
      <c r="EA36" s="28" t="n">
        <f aca="false">IF(ISNUMBER(AA36),3,"")</f>
        <v>3</v>
      </c>
      <c r="EB36" s="28" t="n">
        <f aca="false">IF(ISNUMBER(AE36),4,"")</f>
        <v>4</v>
      </c>
      <c r="EC36" s="28" t="n">
        <f aca="false">IF(ISNUMBER(AI36),5,"")</f>
        <v>5</v>
      </c>
      <c r="ED36" s="28" t="n">
        <f aca="false">IF(ISNUMBER(AM36),6,"")</f>
        <v>6</v>
      </c>
      <c r="EE36" s="28" t="n">
        <f aca="false">IF(ISNUMBER(AQ36),7,"")</f>
        <v>7</v>
      </c>
      <c r="EF36" s="28" t="str">
        <f aca="false">IF(ISNUMBER(AU36),8,"")</f>
        <v/>
      </c>
      <c r="EG36" s="28" t="n">
        <f aca="false">IF(ISNUMBER(AY36),9,"")</f>
        <v>9</v>
      </c>
      <c r="EH36" s="28" t="n">
        <f aca="false">IF(ISNUMBER(BC36),10,"")</f>
        <v>10</v>
      </c>
      <c r="EI36" s="28" t="str">
        <f aca="false">IF(ISNUMBER(BG36),11,"")</f>
        <v/>
      </c>
      <c r="EJ36" s="28" t="str">
        <f aca="false">IF(ISNUMBER(BK36),12,"")</f>
        <v/>
      </c>
      <c r="EK36" s="28" t="str">
        <f aca="false">IF(ISNUMBER(BO36),13,"")</f>
        <v/>
      </c>
      <c r="EL36" s="28" t="str">
        <f aca="false">IF(ISNUMBER(BS36),14,"")</f>
        <v/>
      </c>
      <c r="EM36" s="28" t="n">
        <f aca="false">IF(ISNUMBER(R36),R36*CW36,0)</f>
        <v>60</v>
      </c>
      <c r="EN36" s="28" t="n">
        <f aca="false">IF(ISNUMBER(V36),V36*CX36,0)</f>
        <v>45</v>
      </c>
      <c r="EO36" s="28" t="n">
        <f aca="false">IF(ISNUMBER(Z36),Z36*CY36,0)</f>
        <v>35</v>
      </c>
      <c r="EP36" s="28" t="n">
        <f aca="false">IF(ISNUMBER(AD36),AD36*CZ36,0)</f>
        <v>60</v>
      </c>
      <c r="EQ36" s="28" t="n">
        <f aca="false">IF(ISNUMBER(AH36),AH36*DA36,0)</f>
        <v>60</v>
      </c>
      <c r="ER36" s="28" t="n">
        <f aca="false">IF(ISNUMBER(AL36),AL36*DB36,0)</f>
        <v>120</v>
      </c>
      <c r="ES36" s="28" t="n">
        <f aca="false">IF(ISNUMBER(AP36),AP36*DC36,0)</f>
        <v>112</v>
      </c>
      <c r="ET36" s="28" t="n">
        <f aca="false">IF(ISNUMBER(AT36),AT36*DD36,0)</f>
        <v>0</v>
      </c>
      <c r="EU36" s="28" t="n">
        <f aca="false">IF(ISNUMBER(AX36),AX36*DE36,0)</f>
        <v>37.5</v>
      </c>
      <c r="EV36" s="28" t="n">
        <f aca="false">IF(ISNUMBER(BB36),BB36*DF36,0)</f>
        <v>53.3333333333333</v>
      </c>
      <c r="EW36" s="28" t="n">
        <f aca="false">IF(ISNUMBER(BF36),BF36*DG36,0)</f>
        <v>0</v>
      </c>
      <c r="EX36" s="28" t="n">
        <f aca="false">IF(ISNUMBER(BJ36),BJ36*DH36,0)</f>
        <v>0</v>
      </c>
      <c r="EY36" s="28" t="n">
        <f aca="false">IF(ISNUMBER(BN36),BN36*DI36,0)</f>
        <v>0</v>
      </c>
      <c r="EZ36" s="28" t="n">
        <f aca="false">IF(ISNUMBER(BR36),BR36*DJ36,0)</f>
        <v>0</v>
      </c>
      <c r="FA36" s="28" t="n">
        <f aca="false">IF(ISNUMBER(R36),CW36,0)</f>
        <v>1</v>
      </c>
      <c r="FB36" s="28" t="n">
        <f aca="false">IF(ISNUMBER(V36),CX36,0)</f>
        <v>1</v>
      </c>
      <c r="FC36" s="28" t="n">
        <f aca="false">IF(ISNUMBER(Z36),CY36,0)</f>
        <v>1</v>
      </c>
      <c r="FD36" s="28" t="n">
        <f aca="false">IF(ISNUMBER(AD36),CZ36,0)</f>
        <v>1</v>
      </c>
      <c r="FE36" s="28" t="n">
        <f aca="false">IF(ISNUMBER(AH36),DA36,0)</f>
        <v>1</v>
      </c>
      <c r="FF36" s="28" t="n">
        <f aca="false">IF(ISNUMBER(AL36),DB36,0)</f>
        <v>2</v>
      </c>
      <c r="FG36" s="28" t="n">
        <f aca="false">IF(ISNUMBER(AP36),DC36,0)</f>
        <v>2</v>
      </c>
      <c r="FH36" s="28" t="n">
        <f aca="false">IF(ISNUMBER(AT36),DD36,0)</f>
        <v>0</v>
      </c>
      <c r="FI36" s="28" t="n">
        <f aca="false">IF(ISNUMBER(AX36),DE36,0)</f>
        <v>1</v>
      </c>
      <c r="FJ36" s="28" t="n">
        <f aca="false">IF(ISNUMBER(BB36),DF36,0)</f>
        <v>1</v>
      </c>
      <c r="FK36" s="28" t="n">
        <f aca="false">IF(ISNUMBER(BF36),DG36,0)</f>
        <v>0</v>
      </c>
      <c r="FL36" s="28" t="n">
        <f aca="false">IF(ISNUMBER(BJ36),DH36,0)</f>
        <v>0</v>
      </c>
      <c r="FM36" s="28" t="n">
        <f aca="false">IF(ISNUMBER(BN36),DI36,0)</f>
        <v>0</v>
      </c>
      <c r="FN36" s="28" t="n">
        <f aca="false">IF(ISNUMBER(BR36),DJ36,0)</f>
        <v>0</v>
      </c>
      <c r="FO36" s="28" t="str">
        <f aca="false">IFERROR(INDEX(Lists!$G$2:$G$20,MATCH($I36&amp;"|"&amp;$J36,Lists!$F$2:$F$20,0)),"")</f>
        <v>Geog Overall HL</v>
      </c>
    </row>
    <row r="37" customFormat="false" ht="19.5" hidden="false" customHeight="true" outlineLevel="0" collapsed="false">
      <c r="A37" s="29" t="s">
        <v>208</v>
      </c>
      <c r="B37" s="29" t="s">
        <v>209</v>
      </c>
      <c r="C37" s="30" t="s">
        <v>192</v>
      </c>
      <c r="D37" s="30" t="s">
        <v>193</v>
      </c>
      <c r="E37" s="31" t="n">
        <v>6.3</v>
      </c>
      <c r="F37" s="30" t="n">
        <v>7</v>
      </c>
      <c r="G37" s="30"/>
      <c r="H37" s="32" t="s">
        <v>23</v>
      </c>
      <c r="I37" s="33" t="s">
        <v>24</v>
      </c>
      <c r="J37" s="32" t="s">
        <v>25</v>
      </c>
      <c r="K37" s="34" t="n">
        <f aca="false">IF(OR(M37="",$E37=""),"",M37-$E37)</f>
        <v>-0.3</v>
      </c>
      <c r="L37" s="35" t="n">
        <f aca="false">IF(SUM(FA37:FN37)=0,"",SUM(EM37:EZ37)/SUM(FA37:FN37))</f>
        <v>68.9015151515151</v>
      </c>
      <c r="M37" s="36" t="n">
        <f aca="false">IF(OR(L37="",FO37=""),"",IFERROR(MATCH(L37,INDEX(Boundaries!$B$2:$I$30,MATCH(FO37,Boundaries!$A$2:$A$30,0),0),1)-1,""))</f>
        <v>6</v>
      </c>
      <c r="N37" s="37" t="n">
        <f aca="false">IF(COUNT($DY37:$EL37)&lt;2,"",INDEX($DK37:$DX37,MAX($DY37:$EL37))-INDEX($DK37:$DX37,MIN($DY37:$EL37)))</f>
        <v>0</v>
      </c>
      <c r="O37" s="37" t="n">
        <f aca="false">IF(COUNT($DY37:$EL37)&lt;2,"",INDEX($DK37:$DX37,MAX($DY37:$EL37))-INDEX($DK37:$DX37,LARGE($DY37:$EL37,2)))</f>
        <v>2</v>
      </c>
      <c r="P37" s="38" t="str">
        <f aca="false">IF(K37="","",IF(K37&gt;=0,"On/above target",IF(AND(N37&lt;&gt;"",N37&gt;=0.5),"Improving towards target",IF(AND(O37&lt;&gt;"",O37&lt;=-0.5),"Declining","Stable below target"))))</f>
        <v>Stable below target</v>
      </c>
      <c r="Q37" s="39" t="n">
        <v>14</v>
      </c>
      <c r="R37" s="40" t="n">
        <f aca="false">IF(OR(Q37="",BU37=""),"",Q37/BU37*100)</f>
        <v>70</v>
      </c>
      <c r="S37" s="41" t="n">
        <f aca="false">IF(R37="","",IFERROR(MATCH(R37,INDEX(Boundaries!$B$2:$I$30,MATCH(CI37,Boundaries!$A$2:$A$30,0),0),1)-1,""))</f>
        <v>6</v>
      </c>
      <c r="T37" s="42" t="n">
        <f aca="false">IF(OR(S37="",$E37=""),"",S37-$E37)</f>
        <v>-0.3</v>
      </c>
      <c r="U37" s="39" t="n">
        <v>11</v>
      </c>
      <c r="V37" s="40" t="n">
        <f aca="false">IF(OR(U37="",BV37=""),"",U37/BV37*100)</f>
        <v>55</v>
      </c>
      <c r="W37" s="41" t="n">
        <f aca="false">IF(V37="","",IFERROR(MATCH(V37,INDEX(Boundaries!$B$2:$I$30,MATCH(CJ37,Boundaries!$A$2:$A$30,0),0),1)-1,""))</f>
        <v>5</v>
      </c>
      <c r="X37" s="42" t="n">
        <f aca="false">IF(OR(W37="",$E37=""),"",W37-$E37)</f>
        <v>-1.3</v>
      </c>
      <c r="Y37" s="39" t="n">
        <v>11</v>
      </c>
      <c r="Z37" s="40" t="n">
        <f aca="false">IF(OR(Y37="",BW37=""),"",Y37/BW37*100)</f>
        <v>55</v>
      </c>
      <c r="AA37" s="41" t="n">
        <f aca="false">IF(Z37="","",IFERROR(MATCH(Z37,INDEX(Boundaries!$B$2:$I$30,MATCH(CK37,Boundaries!$A$2:$A$30,0),0),1)-1,""))</f>
        <v>5</v>
      </c>
      <c r="AB37" s="42" t="n">
        <f aca="false">IF(OR(AA37="",$E37=""),"",AA37-$E37)</f>
        <v>-1.3</v>
      </c>
      <c r="AC37" s="39" t="n">
        <v>15</v>
      </c>
      <c r="AD37" s="40" t="n">
        <f aca="false">IF(OR(AC37="",BX37=""),"",AC37/BX37*100)</f>
        <v>75</v>
      </c>
      <c r="AE37" s="41" t="n">
        <f aca="false">IF(AD37="","",IFERROR(MATCH(AD37,INDEX(Boundaries!$B$2:$I$30,MATCH(CL37,Boundaries!$A$2:$A$30,0),0),1)-1,""))</f>
        <v>7</v>
      </c>
      <c r="AF37" s="42" t="n">
        <f aca="false">IF(OR(AE37="",$E37=""),"",AE37-$E37)</f>
        <v>0.7</v>
      </c>
      <c r="AG37" s="39" t="n">
        <v>16</v>
      </c>
      <c r="AH37" s="40" t="n">
        <f aca="false">IF(OR(AG37="",BY37=""),"",AG37/BY37*100)</f>
        <v>80</v>
      </c>
      <c r="AI37" s="41" t="n">
        <f aca="false">IF(AH37="","",IFERROR(MATCH(AH37,INDEX(Boundaries!$B$2:$I$30,MATCH(CM37,Boundaries!$A$2:$A$30,0),0),1)-1,""))</f>
        <v>7</v>
      </c>
      <c r="AJ37" s="42" t="n">
        <f aca="false">IF(OR(AI37="",$E37=""),"",AI37-$E37)</f>
        <v>0.7</v>
      </c>
      <c r="AK37" s="39" t="n">
        <v>26</v>
      </c>
      <c r="AL37" s="40" t="n">
        <f aca="false">IF(OR(AK37="",BZ37=""),"",AK37/BZ37*100)</f>
        <v>65</v>
      </c>
      <c r="AM37" s="41" t="n">
        <f aca="false">IF(AL37="","",IFERROR(MATCH(AL37,INDEX(Boundaries!$B$2:$I$30,MATCH(CN37,Boundaries!$A$2:$A$30,0),0),1)-1,""))</f>
        <v>6</v>
      </c>
      <c r="AN37" s="42" t="n">
        <f aca="false">IF(OR(AM37="",$E37=""),"",AM37-$E37)</f>
        <v>-0.3</v>
      </c>
      <c r="AO37" s="39" t="n">
        <v>40</v>
      </c>
      <c r="AP37" s="40" t="n">
        <f aca="false">IF(OR(AO37="",CA37=""),"",AO37/CA37*100)</f>
        <v>80</v>
      </c>
      <c r="AQ37" s="41" t="n">
        <f aca="false">IF(AP37="","",IFERROR(MATCH(AP37,INDEX(Boundaries!$B$2:$I$30,MATCH(CO37,Boundaries!$A$2:$A$30,0),0),1)-1,""))</f>
        <v>7</v>
      </c>
      <c r="AR37" s="42" t="n">
        <f aca="false">IF(OR(AQ37="",$E37=""),"",AQ37-$E37)</f>
        <v>0.7</v>
      </c>
      <c r="AS37" s="39"/>
      <c r="AT37" s="40" t="str">
        <f aca="false">IF(OR(AS37="",CB37=""),"",AS37/CB37*100)</f>
        <v/>
      </c>
      <c r="AU37" s="41" t="str">
        <f aca="false">IF(AT37="","",IFERROR(MATCH(AT37,INDEX(Boundaries!$B$2:$I$30,MATCH(CP37,Boundaries!$A$2:$A$30,0),0),1)-1,""))</f>
        <v/>
      </c>
      <c r="AV37" s="42" t="str">
        <f aca="false">IF(OR(AU37="",$E37=""),"",AU37-$E37)</f>
        <v/>
      </c>
      <c r="AW37" s="39" t="n">
        <v>9</v>
      </c>
      <c r="AX37" s="40" t="n">
        <f aca="false">IF(OR(AW37="",CC37=""),"",AW37/CC37*100)</f>
        <v>56.25</v>
      </c>
      <c r="AY37" s="41" t="n">
        <f aca="false">IF(AX37="","",IFERROR(MATCH(AX37,INDEX(Boundaries!$B$2:$I$30,MATCH(CQ37,Boundaries!$A$2:$A$30,0),0),1)-1,""))</f>
        <v>4</v>
      </c>
      <c r="AZ37" s="42" t="n">
        <f aca="false">IF(OR(AY37="",$E37=""),"",AY37-$E37)</f>
        <v>-2.3</v>
      </c>
      <c r="BA37" s="39" t="n">
        <v>23</v>
      </c>
      <c r="BB37" s="40" t="n">
        <f aca="false">IF(OR(BA37="",CD37=""),"",BA37/CD37*100)</f>
        <v>76.6666666666667</v>
      </c>
      <c r="BC37" s="41" t="n">
        <f aca="false">IF(BB37="","",IFERROR(MATCH(BB37,INDEX(Boundaries!$B$2:$I$30,MATCH(CR37,Boundaries!$A$2:$A$30,0),0),1)-1,""))</f>
        <v>6</v>
      </c>
      <c r="BD37" s="42" t="n">
        <f aca="false">IF(OR(BC37="",$E37=""),"",BC37-$E37)</f>
        <v>-0.3</v>
      </c>
      <c r="BE37" s="39"/>
      <c r="BF37" s="40" t="str">
        <f aca="false">IF(OR(BE37="",CE37=""),"",BE37/CE37*100)</f>
        <v/>
      </c>
      <c r="BG37" s="41" t="str">
        <f aca="false">IF(BF37="","",IFERROR(MATCH(BF37,INDEX(Boundaries!$B$2:$I$30,MATCH(CS37,Boundaries!$A$2:$A$30,0),0),1)-1,""))</f>
        <v/>
      </c>
      <c r="BH37" s="42" t="str">
        <f aca="false">IF(OR(BG37="",$E37=""),"",BG37-$E37)</f>
        <v/>
      </c>
      <c r="BI37" s="39"/>
      <c r="BJ37" s="40" t="str">
        <f aca="false">IF(OR(BI37="",CF37=""),"",BI37/CF37*100)</f>
        <v/>
      </c>
      <c r="BK37" s="41" t="str">
        <f aca="false">IF(BJ37="","",IFERROR(MATCH(BJ37,INDEX(Boundaries!$B$2:$I$30,MATCH(CT37,Boundaries!$A$2:$A$30,0),0),1)-1,""))</f>
        <v/>
      </c>
      <c r="BL37" s="42" t="str">
        <f aca="false">IF(OR(BK37="",$E37=""),"",BK37-$E37)</f>
        <v/>
      </c>
      <c r="BM37" s="39"/>
      <c r="BN37" s="40" t="str">
        <f aca="false">IF(OR(BM37="",CG37=""),"",BM37/CG37*100)</f>
        <v/>
      </c>
      <c r="BO37" s="41" t="str">
        <f aca="false">IF(BN37="","",IFERROR(MATCH(BN37,INDEX(Boundaries!$B$2:$I$30,MATCH(CU37,Boundaries!$A$2:$A$30,0),0),1)-1,""))</f>
        <v/>
      </c>
      <c r="BP37" s="42" t="str">
        <f aca="false">IF(OR(BO37="",$E37=""),"",BO37-$E37)</f>
        <v/>
      </c>
      <c r="BQ37" s="39"/>
      <c r="BR37" s="40" t="str">
        <f aca="false">IF(OR(BQ37="",CH37=""),"",BQ37/CH37*100)</f>
        <v/>
      </c>
      <c r="BS37" s="41" t="str">
        <f aca="false">IF(BR37="","",IFERROR(MATCH(BR37,INDEX(Boundaries!$B$2:$I$30,MATCH(CV37,Boundaries!$A$2:$A$30,0),0),1)-1,""))</f>
        <v/>
      </c>
      <c r="BT37" s="42" t="str">
        <f aca="false">IF(OR(BS37="",$E37=""),"",BS37-$E37)</f>
        <v/>
      </c>
      <c r="BU37" s="28" t="n">
        <f aca="false">IFERROR(INDEX(Assessments!$H$2:$H$600,MATCH($H37&amp;"|"&amp;$I37&amp;"|"&amp;$J37&amp;"|"&amp;1,Assessments!$A$2:$A$600,0)),"")</f>
        <v>20</v>
      </c>
      <c r="BV37" s="28" t="n">
        <f aca="false">IFERROR(INDEX(Assessments!$H$2:$H$600,MATCH($H37&amp;"|"&amp;$I37&amp;"|"&amp;$J37&amp;"|"&amp;2,Assessments!$A$2:$A$600,0)),"")</f>
        <v>20</v>
      </c>
      <c r="BW37" s="28" t="n">
        <f aca="false">IFERROR(INDEX(Assessments!$H$2:$H$600,MATCH($H37&amp;"|"&amp;$I37&amp;"|"&amp;$J37&amp;"|"&amp;3,Assessments!$A$2:$A$600,0)),"")</f>
        <v>20</v>
      </c>
      <c r="BX37" s="28" t="n">
        <f aca="false">IFERROR(INDEX(Assessments!$H$2:$H$600,MATCH($H37&amp;"|"&amp;$I37&amp;"|"&amp;$J37&amp;"|"&amp;4,Assessments!$A$2:$A$600,0)),"")</f>
        <v>20</v>
      </c>
      <c r="BY37" s="28" t="n">
        <f aca="false">IFERROR(INDEX(Assessments!$H$2:$H$600,MATCH($H37&amp;"|"&amp;$I37&amp;"|"&amp;$J37&amp;"|"&amp;5,Assessments!$A$2:$A$600,0)),"")</f>
        <v>20</v>
      </c>
      <c r="BZ37" s="28" t="n">
        <f aca="false">IFERROR(INDEX(Assessments!$H$2:$H$600,MATCH($H37&amp;"|"&amp;$I37&amp;"|"&amp;$J37&amp;"|"&amp;6,Assessments!$A$2:$A$600,0)),"")</f>
        <v>40</v>
      </c>
      <c r="CA37" s="28" t="n">
        <f aca="false">IFERROR(INDEX(Assessments!$H$2:$H$600,MATCH($H37&amp;"|"&amp;$I37&amp;"|"&amp;$J37&amp;"|"&amp;7,Assessments!$A$2:$A$600,0)),"")</f>
        <v>50</v>
      </c>
      <c r="CB37" s="28" t="n">
        <f aca="false">IFERROR(INDEX(Assessments!$H$2:$H$600,MATCH($H37&amp;"|"&amp;$I37&amp;"|"&amp;$J37&amp;"|"&amp;8,Assessments!$A$2:$A$600,0)),"")</f>
        <v>25</v>
      </c>
      <c r="CC37" s="28" t="n">
        <f aca="false">IFERROR(INDEX(Assessments!$H$2:$H$600,MATCH($H37&amp;"|"&amp;$I37&amp;"|"&amp;$J37&amp;"|"&amp;9,Assessments!$A$2:$A$600,0)),"")</f>
        <v>16</v>
      </c>
      <c r="CD37" s="28" t="n">
        <f aca="false">IFERROR(INDEX(Assessments!$H$2:$H$600,MATCH($H37&amp;"|"&amp;$I37&amp;"|"&amp;$J37&amp;"|"&amp;10,Assessments!$A$2:$A$600,0)),"")</f>
        <v>30</v>
      </c>
      <c r="CE37" s="28" t="str">
        <f aca="false">IFERROR(INDEX(Assessments!$H$2:$H$600,MATCH($H37&amp;"|"&amp;$I37&amp;"|"&amp;$J37&amp;"|"&amp;11,Assessments!$A$2:$A$600,0)),"")</f>
        <v/>
      </c>
      <c r="CF37" s="28" t="str">
        <f aca="false">IFERROR(INDEX(Assessments!$H$2:$H$600,MATCH($H37&amp;"|"&amp;$I37&amp;"|"&amp;$J37&amp;"|"&amp;12,Assessments!$A$2:$A$600,0)),"")</f>
        <v/>
      </c>
      <c r="CG37" s="28" t="str">
        <f aca="false">IFERROR(INDEX(Assessments!$H$2:$H$600,MATCH($H37&amp;"|"&amp;$I37&amp;"|"&amp;$J37&amp;"|"&amp;13,Assessments!$A$2:$A$600,0)),"")</f>
        <v/>
      </c>
      <c r="CH37" s="28" t="str">
        <f aca="false">IFERROR(INDEX(Assessments!$H$2:$H$600,MATCH($H37&amp;"|"&amp;$I37&amp;"|"&amp;$J37&amp;"|"&amp;14,Assessments!$A$2:$A$600,0)),"")</f>
        <v/>
      </c>
      <c r="CI37" s="28" t="str">
        <f aca="false">IFERROR(INDEX(Assessments!$I$2:$I$600,MATCH($H37&amp;"|"&amp;$I37&amp;"|"&amp;$J37&amp;"|"&amp;1,Assessments!$A$2:$A$600,0)),"")</f>
        <v>Geog Paper 1</v>
      </c>
      <c r="CJ37" s="28" t="str">
        <f aca="false">IFERROR(INDEX(Assessments!$I$2:$I$600,MATCH($H37&amp;"|"&amp;$I37&amp;"|"&amp;$J37&amp;"|"&amp;2,Assessments!$A$2:$A$600,0)),"")</f>
        <v>Geog Paper 1</v>
      </c>
      <c r="CK37" s="28" t="str">
        <f aca="false">IFERROR(INDEX(Assessments!$I$2:$I$600,MATCH($H37&amp;"|"&amp;$I37&amp;"|"&amp;$J37&amp;"|"&amp;3,Assessments!$A$2:$A$600,0)),"")</f>
        <v>Geog Paper 2</v>
      </c>
      <c r="CL37" s="28" t="str">
        <f aca="false">IFERROR(INDEX(Assessments!$I$2:$I$600,MATCH($H37&amp;"|"&amp;$I37&amp;"|"&amp;$J37&amp;"|"&amp;4,Assessments!$A$2:$A$600,0)),"")</f>
        <v>Geog Paper 1</v>
      </c>
      <c r="CM37" s="28" t="str">
        <f aca="false">IFERROR(INDEX(Assessments!$I$2:$I$600,MATCH($H37&amp;"|"&amp;$I37&amp;"|"&amp;$J37&amp;"|"&amp;5,Assessments!$A$2:$A$600,0)),"")</f>
        <v>Geog Paper 1</v>
      </c>
      <c r="CN37" s="28" t="str">
        <f aca="false">IFERROR(INDEX(Assessments!$I$2:$I$600,MATCH($H37&amp;"|"&amp;$I37&amp;"|"&amp;$J37&amp;"|"&amp;6,Assessments!$A$2:$A$600,0)),"")</f>
        <v>Geog Paper 1</v>
      </c>
      <c r="CO37" s="28" t="str">
        <f aca="false">IFERROR(INDEX(Assessments!$I$2:$I$600,MATCH($H37&amp;"|"&amp;$I37&amp;"|"&amp;$J37&amp;"|"&amp;7,Assessments!$A$2:$A$600,0)),"")</f>
        <v>Geog Paper 2</v>
      </c>
      <c r="CP37" s="28" t="str">
        <f aca="false">IFERROR(INDEX(Assessments!$I$2:$I$600,MATCH($H37&amp;"|"&amp;$I37&amp;"|"&amp;$J37&amp;"|"&amp;8,Assessments!$A$2:$A$600,0)),"")</f>
        <v>Geog Paper 2</v>
      </c>
      <c r="CQ37" s="28" t="str">
        <f aca="false">IFERROR(INDEX(Assessments!$I$2:$I$600,MATCH($H37&amp;"|"&amp;$I37&amp;"|"&amp;$J37&amp;"|"&amp;9,Assessments!$A$2:$A$600,0)),"")</f>
        <v>Geog Paper 3</v>
      </c>
      <c r="CR37" s="28" t="str">
        <f aca="false">IFERROR(INDEX(Assessments!$I$2:$I$600,MATCH($H37&amp;"|"&amp;$I37&amp;"|"&amp;$J37&amp;"|"&amp;10,Assessments!$A$2:$A$600,0)),"")</f>
        <v>Geog Paper 2</v>
      </c>
      <c r="CS37" s="28" t="str">
        <f aca="false">IFERROR(INDEX(Assessments!$I$2:$I$600,MATCH($H37&amp;"|"&amp;$I37&amp;"|"&amp;$J37&amp;"|"&amp;11,Assessments!$A$2:$A$600,0)),"")</f>
        <v/>
      </c>
      <c r="CT37" s="28" t="str">
        <f aca="false">IFERROR(INDEX(Assessments!$I$2:$I$600,MATCH($H37&amp;"|"&amp;$I37&amp;"|"&amp;$J37&amp;"|"&amp;12,Assessments!$A$2:$A$600,0)),"")</f>
        <v/>
      </c>
      <c r="CU37" s="28" t="str">
        <f aca="false">IFERROR(INDEX(Assessments!$I$2:$I$600,MATCH($H37&amp;"|"&amp;$I37&amp;"|"&amp;$J37&amp;"|"&amp;13,Assessments!$A$2:$A$600,0)),"")</f>
        <v/>
      </c>
      <c r="CV37" s="28" t="str">
        <f aca="false">IFERROR(INDEX(Assessments!$I$2:$I$600,MATCH($H37&amp;"|"&amp;$I37&amp;"|"&amp;$J37&amp;"|"&amp;14,Assessments!$A$2:$A$600,0)),"")</f>
        <v/>
      </c>
      <c r="CW37" s="28" t="n">
        <f aca="false">IFERROR(INDEX(Assessments!$J$2:$J$600,MATCH($H37&amp;"|"&amp;$I37&amp;"|"&amp;$J37&amp;"|"&amp;1,Assessments!$A$2:$A$600,0)),0)</f>
        <v>1</v>
      </c>
      <c r="CX37" s="28" t="n">
        <f aca="false">IFERROR(INDEX(Assessments!$J$2:$J$600,MATCH($H37&amp;"|"&amp;$I37&amp;"|"&amp;$J37&amp;"|"&amp;2,Assessments!$A$2:$A$600,0)),0)</f>
        <v>1</v>
      </c>
      <c r="CY37" s="28" t="n">
        <f aca="false">IFERROR(INDEX(Assessments!$J$2:$J$600,MATCH($H37&amp;"|"&amp;$I37&amp;"|"&amp;$J37&amp;"|"&amp;3,Assessments!$A$2:$A$600,0)),0)</f>
        <v>1</v>
      </c>
      <c r="CZ37" s="28" t="n">
        <f aca="false">IFERROR(INDEX(Assessments!$J$2:$J$600,MATCH($H37&amp;"|"&amp;$I37&amp;"|"&amp;$J37&amp;"|"&amp;4,Assessments!$A$2:$A$600,0)),0)</f>
        <v>1</v>
      </c>
      <c r="DA37" s="28" t="n">
        <f aca="false">IFERROR(INDEX(Assessments!$J$2:$J$600,MATCH($H37&amp;"|"&amp;$I37&amp;"|"&amp;$J37&amp;"|"&amp;5,Assessments!$A$2:$A$600,0)),0)</f>
        <v>1</v>
      </c>
      <c r="DB37" s="28" t="n">
        <f aca="false">IFERROR(INDEX(Assessments!$J$2:$J$600,MATCH($H37&amp;"|"&amp;$I37&amp;"|"&amp;$J37&amp;"|"&amp;6,Assessments!$A$2:$A$600,0)),0)</f>
        <v>2</v>
      </c>
      <c r="DC37" s="28" t="n">
        <f aca="false">IFERROR(INDEX(Assessments!$J$2:$J$600,MATCH($H37&amp;"|"&amp;$I37&amp;"|"&amp;$J37&amp;"|"&amp;7,Assessments!$A$2:$A$600,0)),0)</f>
        <v>2</v>
      </c>
      <c r="DD37" s="28" t="n">
        <f aca="false">IFERROR(INDEX(Assessments!$J$2:$J$600,MATCH($H37&amp;"|"&amp;$I37&amp;"|"&amp;$J37&amp;"|"&amp;8,Assessments!$A$2:$A$600,0)),0)</f>
        <v>1</v>
      </c>
      <c r="DE37" s="28" t="n">
        <f aca="false">IFERROR(INDEX(Assessments!$J$2:$J$600,MATCH($H37&amp;"|"&amp;$I37&amp;"|"&amp;$J37&amp;"|"&amp;9,Assessments!$A$2:$A$600,0)),0)</f>
        <v>1</v>
      </c>
      <c r="DF37" s="28" t="n">
        <f aca="false">IFERROR(INDEX(Assessments!$J$2:$J$600,MATCH($H37&amp;"|"&amp;$I37&amp;"|"&amp;$J37&amp;"|"&amp;10,Assessments!$A$2:$A$600,0)),0)</f>
        <v>1</v>
      </c>
      <c r="DG37" s="28" t="n">
        <f aca="false">IFERROR(INDEX(Assessments!$J$2:$J$600,MATCH($H37&amp;"|"&amp;$I37&amp;"|"&amp;$J37&amp;"|"&amp;11,Assessments!$A$2:$A$600,0)),0)</f>
        <v>0</v>
      </c>
      <c r="DH37" s="28" t="n">
        <f aca="false">IFERROR(INDEX(Assessments!$J$2:$J$600,MATCH($H37&amp;"|"&amp;$I37&amp;"|"&amp;$J37&amp;"|"&amp;12,Assessments!$A$2:$A$600,0)),0)</f>
        <v>0</v>
      </c>
      <c r="DI37" s="28" t="n">
        <f aca="false">IFERROR(INDEX(Assessments!$J$2:$J$600,MATCH($H37&amp;"|"&amp;$I37&amp;"|"&amp;$J37&amp;"|"&amp;13,Assessments!$A$2:$A$600,0)),0)</f>
        <v>0</v>
      </c>
      <c r="DJ37" s="28" t="n">
        <f aca="false">IFERROR(INDEX(Assessments!$J$2:$J$600,MATCH($H37&amp;"|"&amp;$I37&amp;"|"&amp;$J37&amp;"|"&amp;14,Assessments!$A$2:$A$600,0)),0)</f>
        <v>0</v>
      </c>
      <c r="DK37" s="28" t="n">
        <f aca="false">S37</f>
        <v>6</v>
      </c>
      <c r="DL37" s="28" t="n">
        <f aca="false">W37</f>
        <v>5</v>
      </c>
      <c r="DM37" s="28" t="n">
        <f aca="false">AA37</f>
        <v>5</v>
      </c>
      <c r="DN37" s="28" t="n">
        <f aca="false">AE37</f>
        <v>7</v>
      </c>
      <c r="DO37" s="28" t="n">
        <f aca="false">AI37</f>
        <v>7</v>
      </c>
      <c r="DP37" s="28" t="n">
        <f aca="false">AM37</f>
        <v>6</v>
      </c>
      <c r="DQ37" s="28" t="n">
        <f aca="false">AQ37</f>
        <v>7</v>
      </c>
      <c r="DR37" s="28" t="str">
        <f aca="false">AU37</f>
        <v/>
      </c>
      <c r="DS37" s="28" t="n">
        <f aca="false">AY37</f>
        <v>4</v>
      </c>
      <c r="DT37" s="28" t="n">
        <f aca="false">BC37</f>
        <v>6</v>
      </c>
      <c r="DU37" s="28" t="str">
        <f aca="false">BG37</f>
        <v/>
      </c>
      <c r="DV37" s="28" t="str">
        <f aca="false">BK37</f>
        <v/>
      </c>
      <c r="DW37" s="28" t="str">
        <f aca="false">BO37</f>
        <v/>
      </c>
      <c r="DX37" s="28" t="str">
        <f aca="false">BS37</f>
        <v/>
      </c>
      <c r="DY37" s="28" t="n">
        <f aca="false">IF(ISNUMBER(S37),1,"")</f>
        <v>1</v>
      </c>
      <c r="DZ37" s="28" t="n">
        <f aca="false">IF(ISNUMBER(W37),2,"")</f>
        <v>2</v>
      </c>
      <c r="EA37" s="28" t="n">
        <f aca="false">IF(ISNUMBER(AA37),3,"")</f>
        <v>3</v>
      </c>
      <c r="EB37" s="28" t="n">
        <f aca="false">IF(ISNUMBER(AE37),4,"")</f>
        <v>4</v>
      </c>
      <c r="EC37" s="28" t="n">
        <f aca="false">IF(ISNUMBER(AI37),5,"")</f>
        <v>5</v>
      </c>
      <c r="ED37" s="28" t="n">
        <f aca="false">IF(ISNUMBER(AM37),6,"")</f>
        <v>6</v>
      </c>
      <c r="EE37" s="28" t="n">
        <f aca="false">IF(ISNUMBER(AQ37),7,"")</f>
        <v>7</v>
      </c>
      <c r="EF37" s="28" t="str">
        <f aca="false">IF(ISNUMBER(AU37),8,"")</f>
        <v/>
      </c>
      <c r="EG37" s="28" t="n">
        <f aca="false">IF(ISNUMBER(AY37),9,"")</f>
        <v>9</v>
      </c>
      <c r="EH37" s="28" t="n">
        <f aca="false">IF(ISNUMBER(BC37),10,"")</f>
        <v>10</v>
      </c>
      <c r="EI37" s="28" t="str">
        <f aca="false">IF(ISNUMBER(BG37),11,"")</f>
        <v/>
      </c>
      <c r="EJ37" s="28" t="str">
        <f aca="false">IF(ISNUMBER(BK37),12,"")</f>
        <v/>
      </c>
      <c r="EK37" s="28" t="str">
        <f aca="false">IF(ISNUMBER(BO37),13,"")</f>
        <v/>
      </c>
      <c r="EL37" s="28" t="str">
        <f aca="false">IF(ISNUMBER(BS37),14,"")</f>
        <v/>
      </c>
      <c r="EM37" s="28" t="n">
        <f aca="false">IF(ISNUMBER(R37),R37*CW37,0)</f>
        <v>70</v>
      </c>
      <c r="EN37" s="28" t="n">
        <f aca="false">IF(ISNUMBER(V37),V37*CX37,0)</f>
        <v>55</v>
      </c>
      <c r="EO37" s="28" t="n">
        <f aca="false">IF(ISNUMBER(Z37),Z37*CY37,0)</f>
        <v>55</v>
      </c>
      <c r="EP37" s="28" t="n">
        <f aca="false">IF(ISNUMBER(AD37),AD37*CZ37,0)</f>
        <v>75</v>
      </c>
      <c r="EQ37" s="28" t="n">
        <f aca="false">IF(ISNUMBER(AH37),AH37*DA37,0)</f>
        <v>80</v>
      </c>
      <c r="ER37" s="28" t="n">
        <f aca="false">IF(ISNUMBER(AL37),AL37*DB37,0)</f>
        <v>130</v>
      </c>
      <c r="ES37" s="28" t="n">
        <f aca="false">IF(ISNUMBER(AP37),AP37*DC37,0)</f>
        <v>160</v>
      </c>
      <c r="ET37" s="28" t="n">
        <f aca="false">IF(ISNUMBER(AT37),AT37*DD37,0)</f>
        <v>0</v>
      </c>
      <c r="EU37" s="28" t="n">
        <f aca="false">IF(ISNUMBER(AX37),AX37*DE37,0)</f>
        <v>56.25</v>
      </c>
      <c r="EV37" s="28" t="n">
        <f aca="false">IF(ISNUMBER(BB37),BB37*DF37,0)</f>
        <v>76.6666666666667</v>
      </c>
      <c r="EW37" s="28" t="n">
        <f aca="false">IF(ISNUMBER(BF37),BF37*DG37,0)</f>
        <v>0</v>
      </c>
      <c r="EX37" s="28" t="n">
        <f aca="false">IF(ISNUMBER(BJ37),BJ37*DH37,0)</f>
        <v>0</v>
      </c>
      <c r="EY37" s="28" t="n">
        <f aca="false">IF(ISNUMBER(BN37),BN37*DI37,0)</f>
        <v>0</v>
      </c>
      <c r="EZ37" s="28" t="n">
        <f aca="false">IF(ISNUMBER(BR37),BR37*DJ37,0)</f>
        <v>0</v>
      </c>
      <c r="FA37" s="28" t="n">
        <f aca="false">IF(ISNUMBER(R37),CW37,0)</f>
        <v>1</v>
      </c>
      <c r="FB37" s="28" t="n">
        <f aca="false">IF(ISNUMBER(V37),CX37,0)</f>
        <v>1</v>
      </c>
      <c r="FC37" s="28" t="n">
        <f aca="false">IF(ISNUMBER(Z37),CY37,0)</f>
        <v>1</v>
      </c>
      <c r="FD37" s="28" t="n">
        <f aca="false">IF(ISNUMBER(AD37),CZ37,0)</f>
        <v>1</v>
      </c>
      <c r="FE37" s="28" t="n">
        <f aca="false">IF(ISNUMBER(AH37),DA37,0)</f>
        <v>1</v>
      </c>
      <c r="FF37" s="28" t="n">
        <f aca="false">IF(ISNUMBER(AL37),DB37,0)</f>
        <v>2</v>
      </c>
      <c r="FG37" s="28" t="n">
        <f aca="false">IF(ISNUMBER(AP37),DC37,0)</f>
        <v>2</v>
      </c>
      <c r="FH37" s="28" t="n">
        <f aca="false">IF(ISNUMBER(AT37),DD37,0)</f>
        <v>0</v>
      </c>
      <c r="FI37" s="28" t="n">
        <f aca="false">IF(ISNUMBER(AX37),DE37,0)</f>
        <v>1</v>
      </c>
      <c r="FJ37" s="28" t="n">
        <f aca="false">IF(ISNUMBER(BB37),DF37,0)</f>
        <v>1</v>
      </c>
      <c r="FK37" s="28" t="n">
        <f aca="false">IF(ISNUMBER(BF37),DG37,0)</f>
        <v>0</v>
      </c>
      <c r="FL37" s="28" t="n">
        <f aca="false">IF(ISNUMBER(BJ37),DH37,0)</f>
        <v>0</v>
      </c>
      <c r="FM37" s="28" t="n">
        <f aca="false">IF(ISNUMBER(BN37),DI37,0)</f>
        <v>0</v>
      </c>
      <c r="FN37" s="28" t="n">
        <f aca="false">IF(ISNUMBER(BR37),DJ37,0)</f>
        <v>0</v>
      </c>
      <c r="FO37" s="28" t="str">
        <f aca="false">IFERROR(INDEX(Lists!$G$2:$G$20,MATCH($I37&amp;"|"&amp;$J37,Lists!$F$2:$F$20,0)),"")</f>
        <v>Geog Overall HL</v>
      </c>
    </row>
    <row r="38" customFormat="false" ht="19.5" hidden="false" customHeight="true" outlineLevel="0" collapsed="false">
      <c r="A38" s="29" t="s">
        <v>210</v>
      </c>
      <c r="B38" s="29" t="s">
        <v>211</v>
      </c>
      <c r="C38" s="30" t="s">
        <v>192</v>
      </c>
      <c r="D38" s="30" t="s">
        <v>193</v>
      </c>
      <c r="E38" s="31" t="n">
        <v>6</v>
      </c>
      <c r="F38" s="30" t="n">
        <v>6</v>
      </c>
      <c r="G38" s="30" t="s">
        <v>154</v>
      </c>
      <c r="H38" s="32" t="s">
        <v>23</v>
      </c>
      <c r="I38" s="33" t="s">
        <v>24</v>
      </c>
      <c r="J38" s="32" t="s">
        <v>25</v>
      </c>
      <c r="K38" s="34" t="n">
        <f aca="false">IF(OR(M38="",$E38=""),"",M38-$E38)</f>
        <v>-1</v>
      </c>
      <c r="L38" s="35" t="n">
        <f aca="false">IF(SUM(FA38:FN38)=0,"",SUM(EM38:EZ38)/SUM(FA38:FN38))</f>
        <v>58.8333333333333</v>
      </c>
      <c r="M38" s="36" t="n">
        <f aca="false">IF(OR(L38="",FO38=""),"",IFERROR(MATCH(L38,INDEX(Boundaries!$B$2:$I$30,MATCH(FO38,Boundaries!$A$2:$A$30,0),0),1)-1,""))</f>
        <v>5</v>
      </c>
      <c r="N38" s="37" t="n">
        <f aca="false">IF(COUNT($DY38:$EL38)&lt;2,"",INDEX($DK38:$DX38,MAX($DY38:$EL38))-INDEX($DK38:$DX38,MIN($DY38:$EL38)))</f>
        <v>0</v>
      </c>
      <c r="O38" s="37" t="n">
        <f aca="false">IF(COUNT($DY38:$EL38)&lt;2,"",INDEX($DK38:$DX38,MAX($DY38:$EL38))-INDEX($DK38:$DX38,LARGE($DY38:$EL38,2)))</f>
        <v>3</v>
      </c>
      <c r="P38" s="38" t="str">
        <f aca="false">IF(K38="","",IF(K38&gt;=0,"On/above target",IF(AND(N38&lt;&gt;"",N38&gt;=0.5),"Improving towards target",IF(AND(O38&lt;&gt;"",O38&lt;=-0.5),"Declining","Stable below target"))))</f>
        <v>Stable below target</v>
      </c>
      <c r="Q38" s="39" t="n">
        <v>14</v>
      </c>
      <c r="R38" s="40" t="n">
        <f aca="false">IF(OR(Q38="",BU38=""),"",Q38/BU38*100)</f>
        <v>70</v>
      </c>
      <c r="S38" s="41" t="n">
        <f aca="false">IF(R38="","",IFERROR(MATCH(R38,INDEX(Boundaries!$B$2:$I$30,MATCH(CI38,Boundaries!$A$2:$A$30,0),0),1)-1,""))</f>
        <v>6</v>
      </c>
      <c r="T38" s="42" t="n">
        <f aca="false">IF(OR(S38="",$E38=""),"",S38-$E38)</f>
        <v>0</v>
      </c>
      <c r="U38" s="39" t="n">
        <v>9</v>
      </c>
      <c r="V38" s="40" t="n">
        <f aca="false">IF(OR(U38="",BV38=""),"",U38/BV38*100)</f>
        <v>45</v>
      </c>
      <c r="W38" s="41" t="n">
        <f aca="false">IF(V38="","",IFERROR(MATCH(V38,INDEX(Boundaries!$B$2:$I$30,MATCH(CJ38,Boundaries!$A$2:$A$30,0),0),1)-1,""))</f>
        <v>4</v>
      </c>
      <c r="X38" s="42" t="n">
        <f aca="false">IF(OR(W38="",$E38=""),"",W38-$E38)</f>
        <v>-2</v>
      </c>
      <c r="Y38" s="39" t="n">
        <v>14</v>
      </c>
      <c r="Z38" s="40" t="n">
        <f aca="false">IF(OR(Y38="",BW38=""),"",Y38/BW38*100)</f>
        <v>70</v>
      </c>
      <c r="AA38" s="41" t="n">
        <f aca="false">IF(Z38="","",IFERROR(MATCH(Z38,INDEX(Boundaries!$B$2:$I$30,MATCH(CK38,Boundaries!$A$2:$A$30,0),0),1)-1,""))</f>
        <v>6</v>
      </c>
      <c r="AB38" s="42" t="n">
        <f aca="false">IF(OR(AA38="",$E38=""),"",AA38-$E38)</f>
        <v>0</v>
      </c>
      <c r="AC38" s="39" t="n">
        <v>11</v>
      </c>
      <c r="AD38" s="40" t="n">
        <f aca="false">IF(OR(AC38="",BX38=""),"",AC38/BX38*100)</f>
        <v>55</v>
      </c>
      <c r="AE38" s="41" t="n">
        <f aca="false">IF(AD38="","",IFERROR(MATCH(AD38,INDEX(Boundaries!$B$2:$I$30,MATCH(CL38,Boundaries!$A$2:$A$30,0),0),1)-1,""))</f>
        <v>5</v>
      </c>
      <c r="AF38" s="42" t="n">
        <f aca="false">IF(OR(AE38="",$E38=""),"",AE38-$E38)</f>
        <v>-1</v>
      </c>
      <c r="AG38" s="39" t="n">
        <v>13</v>
      </c>
      <c r="AH38" s="40" t="n">
        <f aca="false">IF(OR(AG38="",BY38=""),"",AG38/BY38*100)</f>
        <v>65</v>
      </c>
      <c r="AI38" s="41" t="n">
        <f aca="false">IF(AH38="","",IFERROR(MATCH(AH38,INDEX(Boundaries!$B$2:$I$30,MATCH(CM38,Boundaries!$A$2:$A$30,0),0),1)-1,""))</f>
        <v>6</v>
      </c>
      <c r="AJ38" s="42" t="n">
        <f aca="false">IF(OR(AI38="",$E38=""),"",AI38-$E38)</f>
        <v>0</v>
      </c>
      <c r="AK38" s="39" t="n">
        <v>24</v>
      </c>
      <c r="AL38" s="40" t="n">
        <f aca="false">IF(OR(AK38="",BZ38=""),"",AK38/BZ38*100)</f>
        <v>60</v>
      </c>
      <c r="AM38" s="41" t="n">
        <f aca="false">IF(AL38="","",IFERROR(MATCH(AL38,INDEX(Boundaries!$B$2:$I$30,MATCH(CN38,Boundaries!$A$2:$A$30,0),0),1)-1,""))</f>
        <v>5</v>
      </c>
      <c r="AN38" s="42" t="n">
        <f aca="false">IF(OR(AM38="",$E38=""),"",AM38-$E38)</f>
        <v>-1</v>
      </c>
      <c r="AO38" s="39" t="n">
        <v>27</v>
      </c>
      <c r="AP38" s="40" t="n">
        <f aca="false">IF(OR(AO38="",CA38=""),"",AO38/CA38*100)</f>
        <v>54</v>
      </c>
      <c r="AQ38" s="41" t="n">
        <f aca="false">IF(AP38="","",IFERROR(MATCH(AP38,INDEX(Boundaries!$B$2:$I$30,MATCH(CO38,Boundaries!$A$2:$A$30,0),0),1)-1,""))</f>
        <v>5</v>
      </c>
      <c r="AR38" s="42" t="n">
        <f aca="false">IF(OR(AQ38="",$E38=""),"",AQ38-$E38)</f>
        <v>-1</v>
      </c>
      <c r="AS38" s="39"/>
      <c r="AT38" s="40" t="str">
        <f aca="false">IF(OR(AS38="",CB38=""),"",AS38/CB38*100)</f>
        <v/>
      </c>
      <c r="AU38" s="41" t="str">
        <f aca="false">IF(AT38="","",IFERROR(MATCH(AT38,INDEX(Boundaries!$B$2:$I$30,MATCH(CP38,Boundaries!$A$2:$A$30,0),0),1)-1,""))</f>
        <v/>
      </c>
      <c r="AV38" s="42" t="str">
        <f aca="false">IF(OR(AU38="",$E38=""),"",AU38-$E38)</f>
        <v/>
      </c>
      <c r="AW38" s="39" t="n">
        <v>6</v>
      </c>
      <c r="AX38" s="40" t="n">
        <f aca="false">IF(OR(AW38="",CC38=""),"",AW38/CC38*100)</f>
        <v>37.5</v>
      </c>
      <c r="AY38" s="41" t="n">
        <f aca="false">IF(AX38="","",IFERROR(MATCH(AX38,INDEX(Boundaries!$B$2:$I$30,MATCH(CQ38,Boundaries!$A$2:$A$30,0),0),1)-1,""))</f>
        <v>3</v>
      </c>
      <c r="AZ38" s="42" t="n">
        <f aca="false">IF(OR(AY38="",$E38=""),"",AY38-$E38)</f>
        <v>-3</v>
      </c>
      <c r="BA38" s="39" t="n">
        <v>23</v>
      </c>
      <c r="BB38" s="40" t="n">
        <f aca="false">IF(OR(BA38="",CD38=""),"",BA38/CD38*100)</f>
        <v>76.6666666666667</v>
      </c>
      <c r="BC38" s="41" t="n">
        <f aca="false">IF(BB38="","",IFERROR(MATCH(BB38,INDEX(Boundaries!$B$2:$I$30,MATCH(CR38,Boundaries!$A$2:$A$30,0),0),1)-1,""))</f>
        <v>6</v>
      </c>
      <c r="BD38" s="42" t="n">
        <f aca="false">IF(OR(BC38="",$E38=""),"",BC38-$E38)</f>
        <v>0</v>
      </c>
      <c r="BE38" s="39"/>
      <c r="BF38" s="40" t="str">
        <f aca="false">IF(OR(BE38="",CE38=""),"",BE38/CE38*100)</f>
        <v/>
      </c>
      <c r="BG38" s="41" t="str">
        <f aca="false">IF(BF38="","",IFERROR(MATCH(BF38,INDEX(Boundaries!$B$2:$I$30,MATCH(CS38,Boundaries!$A$2:$A$30,0),0),1)-1,""))</f>
        <v/>
      </c>
      <c r="BH38" s="42" t="str">
        <f aca="false">IF(OR(BG38="",$E38=""),"",BG38-$E38)</f>
        <v/>
      </c>
      <c r="BI38" s="39"/>
      <c r="BJ38" s="40" t="str">
        <f aca="false">IF(OR(BI38="",CF38=""),"",BI38/CF38*100)</f>
        <v/>
      </c>
      <c r="BK38" s="41" t="str">
        <f aca="false">IF(BJ38="","",IFERROR(MATCH(BJ38,INDEX(Boundaries!$B$2:$I$30,MATCH(CT38,Boundaries!$A$2:$A$30,0),0),1)-1,""))</f>
        <v/>
      </c>
      <c r="BL38" s="42" t="str">
        <f aca="false">IF(OR(BK38="",$E38=""),"",BK38-$E38)</f>
        <v/>
      </c>
      <c r="BM38" s="39"/>
      <c r="BN38" s="40" t="str">
        <f aca="false">IF(OR(BM38="",CG38=""),"",BM38/CG38*100)</f>
        <v/>
      </c>
      <c r="BO38" s="41" t="str">
        <f aca="false">IF(BN38="","",IFERROR(MATCH(BN38,INDEX(Boundaries!$B$2:$I$30,MATCH(CU38,Boundaries!$A$2:$A$30,0),0),1)-1,""))</f>
        <v/>
      </c>
      <c r="BP38" s="42" t="str">
        <f aca="false">IF(OR(BO38="",$E38=""),"",BO38-$E38)</f>
        <v/>
      </c>
      <c r="BQ38" s="39"/>
      <c r="BR38" s="40" t="str">
        <f aca="false">IF(OR(BQ38="",CH38=""),"",BQ38/CH38*100)</f>
        <v/>
      </c>
      <c r="BS38" s="41" t="str">
        <f aca="false">IF(BR38="","",IFERROR(MATCH(BR38,INDEX(Boundaries!$B$2:$I$30,MATCH(CV38,Boundaries!$A$2:$A$30,0),0),1)-1,""))</f>
        <v/>
      </c>
      <c r="BT38" s="42" t="str">
        <f aca="false">IF(OR(BS38="",$E38=""),"",BS38-$E38)</f>
        <v/>
      </c>
      <c r="BU38" s="28" t="n">
        <f aca="false">IFERROR(INDEX(Assessments!$H$2:$H$600,MATCH($H38&amp;"|"&amp;$I38&amp;"|"&amp;$J38&amp;"|"&amp;1,Assessments!$A$2:$A$600,0)),"")</f>
        <v>20</v>
      </c>
      <c r="BV38" s="28" t="n">
        <f aca="false">IFERROR(INDEX(Assessments!$H$2:$H$600,MATCH($H38&amp;"|"&amp;$I38&amp;"|"&amp;$J38&amp;"|"&amp;2,Assessments!$A$2:$A$600,0)),"")</f>
        <v>20</v>
      </c>
      <c r="BW38" s="28" t="n">
        <f aca="false">IFERROR(INDEX(Assessments!$H$2:$H$600,MATCH($H38&amp;"|"&amp;$I38&amp;"|"&amp;$J38&amp;"|"&amp;3,Assessments!$A$2:$A$600,0)),"")</f>
        <v>20</v>
      </c>
      <c r="BX38" s="28" t="n">
        <f aca="false">IFERROR(INDEX(Assessments!$H$2:$H$600,MATCH($H38&amp;"|"&amp;$I38&amp;"|"&amp;$J38&amp;"|"&amp;4,Assessments!$A$2:$A$600,0)),"")</f>
        <v>20</v>
      </c>
      <c r="BY38" s="28" t="n">
        <f aca="false">IFERROR(INDEX(Assessments!$H$2:$H$600,MATCH($H38&amp;"|"&amp;$I38&amp;"|"&amp;$J38&amp;"|"&amp;5,Assessments!$A$2:$A$600,0)),"")</f>
        <v>20</v>
      </c>
      <c r="BZ38" s="28" t="n">
        <f aca="false">IFERROR(INDEX(Assessments!$H$2:$H$600,MATCH($H38&amp;"|"&amp;$I38&amp;"|"&amp;$J38&amp;"|"&amp;6,Assessments!$A$2:$A$600,0)),"")</f>
        <v>40</v>
      </c>
      <c r="CA38" s="28" t="n">
        <f aca="false">IFERROR(INDEX(Assessments!$H$2:$H$600,MATCH($H38&amp;"|"&amp;$I38&amp;"|"&amp;$J38&amp;"|"&amp;7,Assessments!$A$2:$A$600,0)),"")</f>
        <v>50</v>
      </c>
      <c r="CB38" s="28" t="n">
        <f aca="false">IFERROR(INDEX(Assessments!$H$2:$H$600,MATCH($H38&amp;"|"&amp;$I38&amp;"|"&amp;$J38&amp;"|"&amp;8,Assessments!$A$2:$A$600,0)),"")</f>
        <v>25</v>
      </c>
      <c r="CC38" s="28" t="n">
        <f aca="false">IFERROR(INDEX(Assessments!$H$2:$H$600,MATCH($H38&amp;"|"&amp;$I38&amp;"|"&amp;$J38&amp;"|"&amp;9,Assessments!$A$2:$A$600,0)),"")</f>
        <v>16</v>
      </c>
      <c r="CD38" s="28" t="n">
        <f aca="false">IFERROR(INDEX(Assessments!$H$2:$H$600,MATCH($H38&amp;"|"&amp;$I38&amp;"|"&amp;$J38&amp;"|"&amp;10,Assessments!$A$2:$A$600,0)),"")</f>
        <v>30</v>
      </c>
      <c r="CE38" s="28" t="str">
        <f aca="false">IFERROR(INDEX(Assessments!$H$2:$H$600,MATCH($H38&amp;"|"&amp;$I38&amp;"|"&amp;$J38&amp;"|"&amp;11,Assessments!$A$2:$A$600,0)),"")</f>
        <v/>
      </c>
      <c r="CF38" s="28" t="str">
        <f aca="false">IFERROR(INDEX(Assessments!$H$2:$H$600,MATCH($H38&amp;"|"&amp;$I38&amp;"|"&amp;$J38&amp;"|"&amp;12,Assessments!$A$2:$A$600,0)),"")</f>
        <v/>
      </c>
      <c r="CG38" s="28" t="str">
        <f aca="false">IFERROR(INDEX(Assessments!$H$2:$H$600,MATCH($H38&amp;"|"&amp;$I38&amp;"|"&amp;$J38&amp;"|"&amp;13,Assessments!$A$2:$A$600,0)),"")</f>
        <v/>
      </c>
      <c r="CH38" s="28" t="str">
        <f aca="false">IFERROR(INDEX(Assessments!$H$2:$H$600,MATCH($H38&amp;"|"&amp;$I38&amp;"|"&amp;$J38&amp;"|"&amp;14,Assessments!$A$2:$A$600,0)),"")</f>
        <v/>
      </c>
      <c r="CI38" s="28" t="str">
        <f aca="false">IFERROR(INDEX(Assessments!$I$2:$I$600,MATCH($H38&amp;"|"&amp;$I38&amp;"|"&amp;$J38&amp;"|"&amp;1,Assessments!$A$2:$A$600,0)),"")</f>
        <v>Geog Paper 1</v>
      </c>
      <c r="CJ38" s="28" t="str">
        <f aca="false">IFERROR(INDEX(Assessments!$I$2:$I$600,MATCH($H38&amp;"|"&amp;$I38&amp;"|"&amp;$J38&amp;"|"&amp;2,Assessments!$A$2:$A$600,0)),"")</f>
        <v>Geog Paper 1</v>
      </c>
      <c r="CK38" s="28" t="str">
        <f aca="false">IFERROR(INDEX(Assessments!$I$2:$I$600,MATCH($H38&amp;"|"&amp;$I38&amp;"|"&amp;$J38&amp;"|"&amp;3,Assessments!$A$2:$A$600,0)),"")</f>
        <v>Geog Paper 2</v>
      </c>
      <c r="CL38" s="28" t="str">
        <f aca="false">IFERROR(INDEX(Assessments!$I$2:$I$600,MATCH($H38&amp;"|"&amp;$I38&amp;"|"&amp;$J38&amp;"|"&amp;4,Assessments!$A$2:$A$600,0)),"")</f>
        <v>Geog Paper 1</v>
      </c>
      <c r="CM38" s="28" t="str">
        <f aca="false">IFERROR(INDEX(Assessments!$I$2:$I$600,MATCH($H38&amp;"|"&amp;$I38&amp;"|"&amp;$J38&amp;"|"&amp;5,Assessments!$A$2:$A$600,0)),"")</f>
        <v>Geog Paper 1</v>
      </c>
      <c r="CN38" s="28" t="str">
        <f aca="false">IFERROR(INDEX(Assessments!$I$2:$I$600,MATCH($H38&amp;"|"&amp;$I38&amp;"|"&amp;$J38&amp;"|"&amp;6,Assessments!$A$2:$A$600,0)),"")</f>
        <v>Geog Paper 1</v>
      </c>
      <c r="CO38" s="28" t="str">
        <f aca="false">IFERROR(INDEX(Assessments!$I$2:$I$600,MATCH($H38&amp;"|"&amp;$I38&amp;"|"&amp;$J38&amp;"|"&amp;7,Assessments!$A$2:$A$600,0)),"")</f>
        <v>Geog Paper 2</v>
      </c>
      <c r="CP38" s="28" t="str">
        <f aca="false">IFERROR(INDEX(Assessments!$I$2:$I$600,MATCH($H38&amp;"|"&amp;$I38&amp;"|"&amp;$J38&amp;"|"&amp;8,Assessments!$A$2:$A$600,0)),"")</f>
        <v>Geog Paper 2</v>
      </c>
      <c r="CQ38" s="28" t="str">
        <f aca="false">IFERROR(INDEX(Assessments!$I$2:$I$600,MATCH($H38&amp;"|"&amp;$I38&amp;"|"&amp;$J38&amp;"|"&amp;9,Assessments!$A$2:$A$600,0)),"")</f>
        <v>Geog Paper 3</v>
      </c>
      <c r="CR38" s="28" t="str">
        <f aca="false">IFERROR(INDEX(Assessments!$I$2:$I$600,MATCH($H38&amp;"|"&amp;$I38&amp;"|"&amp;$J38&amp;"|"&amp;10,Assessments!$A$2:$A$600,0)),"")</f>
        <v>Geog Paper 2</v>
      </c>
      <c r="CS38" s="28" t="str">
        <f aca="false">IFERROR(INDEX(Assessments!$I$2:$I$600,MATCH($H38&amp;"|"&amp;$I38&amp;"|"&amp;$J38&amp;"|"&amp;11,Assessments!$A$2:$A$600,0)),"")</f>
        <v/>
      </c>
      <c r="CT38" s="28" t="str">
        <f aca="false">IFERROR(INDEX(Assessments!$I$2:$I$600,MATCH($H38&amp;"|"&amp;$I38&amp;"|"&amp;$J38&amp;"|"&amp;12,Assessments!$A$2:$A$600,0)),"")</f>
        <v/>
      </c>
      <c r="CU38" s="28" t="str">
        <f aca="false">IFERROR(INDEX(Assessments!$I$2:$I$600,MATCH($H38&amp;"|"&amp;$I38&amp;"|"&amp;$J38&amp;"|"&amp;13,Assessments!$A$2:$A$600,0)),"")</f>
        <v/>
      </c>
      <c r="CV38" s="28" t="str">
        <f aca="false">IFERROR(INDEX(Assessments!$I$2:$I$600,MATCH($H38&amp;"|"&amp;$I38&amp;"|"&amp;$J38&amp;"|"&amp;14,Assessments!$A$2:$A$600,0)),"")</f>
        <v/>
      </c>
      <c r="CW38" s="28" t="n">
        <f aca="false">IFERROR(INDEX(Assessments!$J$2:$J$600,MATCH($H38&amp;"|"&amp;$I38&amp;"|"&amp;$J38&amp;"|"&amp;1,Assessments!$A$2:$A$600,0)),0)</f>
        <v>1</v>
      </c>
      <c r="CX38" s="28" t="n">
        <f aca="false">IFERROR(INDEX(Assessments!$J$2:$J$600,MATCH($H38&amp;"|"&amp;$I38&amp;"|"&amp;$J38&amp;"|"&amp;2,Assessments!$A$2:$A$600,0)),0)</f>
        <v>1</v>
      </c>
      <c r="CY38" s="28" t="n">
        <f aca="false">IFERROR(INDEX(Assessments!$J$2:$J$600,MATCH($H38&amp;"|"&amp;$I38&amp;"|"&amp;$J38&amp;"|"&amp;3,Assessments!$A$2:$A$600,0)),0)</f>
        <v>1</v>
      </c>
      <c r="CZ38" s="28" t="n">
        <f aca="false">IFERROR(INDEX(Assessments!$J$2:$J$600,MATCH($H38&amp;"|"&amp;$I38&amp;"|"&amp;$J38&amp;"|"&amp;4,Assessments!$A$2:$A$600,0)),0)</f>
        <v>1</v>
      </c>
      <c r="DA38" s="28" t="n">
        <f aca="false">IFERROR(INDEX(Assessments!$J$2:$J$600,MATCH($H38&amp;"|"&amp;$I38&amp;"|"&amp;$J38&amp;"|"&amp;5,Assessments!$A$2:$A$600,0)),0)</f>
        <v>1</v>
      </c>
      <c r="DB38" s="28" t="n">
        <f aca="false">IFERROR(INDEX(Assessments!$J$2:$J$600,MATCH($H38&amp;"|"&amp;$I38&amp;"|"&amp;$J38&amp;"|"&amp;6,Assessments!$A$2:$A$600,0)),0)</f>
        <v>2</v>
      </c>
      <c r="DC38" s="28" t="n">
        <f aca="false">IFERROR(INDEX(Assessments!$J$2:$J$600,MATCH($H38&amp;"|"&amp;$I38&amp;"|"&amp;$J38&amp;"|"&amp;7,Assessments!$A$2:$A$600,0)),0)</f>
        <v>2</v>
      </c>
      <c r="DD38" s="28" t="n">
        <f aca="false">IFERROR(INDEX(Assessments!$J$2:$J$600,MATCH($H38&amp;"|"&amp;$I38&amp;"|"&amp;$J38&amp;"|"&amp;8,Assessments!$A$2:$A$600,0)),0)</f>
        <v>1</v>
      </c>
      <c r="DE38" s="28" t="n">
        <f aca="false">IFERROR(INDEX(Assessments!$J$2:$J$600,MATCH($H38&amp;"|"&amp;$I38&amp;"|"&amp;$J38&amp;"|"&amp;9,Assessments!$A$2:$A$600,0)),0)</f>
        <v>1</v>
      </c>
      <c r="DF38" s="28" t="n">
        <f aca="false">IFERROR(INDEX(Assessments!$J$2:$J$600,MATCH($H38&amp;"|"&amp;$I38&amp;"|"&amp;$J38&amp;"|"&amp;10,Assessments!$A$2:$A$600,0)),0)</f>
        <v>1</v>
      </c>
      <c r="DG38" s="28" t="n">
        <f aca="false">IFERROR(INDEX(Assessments!$J$2:$J$600,MATCH($H38&amp;"|"&amp;$I38&amp;"|"&amp;$J38&amp;"|"&amp;11,Assessments!$A$2:$A$600,0)),0)</f>
        <v>0</v>
      </c>
      <c r="DH38" s="28" t="n">
        <f aca="false">IFERROR(INDEX(Assessments!$J$2:$J$600,MATCH($H38&amp;"|"&amp;$I38&amp;"|"&amp;$J38&amp;"|"&amp;12,Assessments!$A$2:$A$600,0)),0)</f>
        <v>0</v>
      </c>
      <c r="DI38" s="28" t="n">
        <f aca="false">IFERROR(INDEX(Assessments!$J$2:$J$600,MATCH($H38&amp;"|"&amp;$I38&amp;"|"&amp;$J38&amp;"|"&amp;13,Assessments!$A$2:$A$600,0)),0)</f>
        <v>0</v>
      </c>
      <c r="DJ38" s="28" t="n">
        <f aca="false">IFERROR(INDEX(Assessments!$J$2:$J$600,MATCH($H38&amp;"|"&amp;$I38&amp;"|"&amp;$J38&amp;"|"&amp;14,Assessments!$A$2:$A$600,0)),0)</f>
        <v>0</v>
      </c>
      <c r="DK38" s="28" t="n">
        <f aca="false">S38</f>
        <v>6</v>
      </c>
      <c r="DL38" s="28" t="n">
        <f aca="false">W38</f>
        <v>4</v>
      </c>
      <c r="DM38" s="28" t="n">
        <f aca="false">AA38</f>
        <v>6</v>
      </c>
      <c r="DN38" s="28" t="n">
        <f aca="false">AE38</f>
        <v>5</v>
      </c>
      <c r="DO38" s="28" t="n">
        <f aca="false">AI38</f>
        <v>6</v>
      </c>
      <c r="DP38" s="28" t="n">
        <f aca="false">AM38</f>
        <v>5</v>
      </c>
      <c r="DQ38" s="28" t="n">
        <f aca="false">AQ38</f>
        <v>5</v>
      </c>
      <c r="DR38" s="28" t="str">
        <f aca="false">AU38</f>
        <v/>
      </c>
      <c r="DS38" s="28" t="n">
        <f aca="false">AY38</f>
        <v>3</v>
      </c>
      <c r="DT38" s="28" t="n">
        <f aca="false">BC38</f>
        <v>6</v>
      </c>
      <c r="DU38" s="28" t="str">
        <f aca="false">BG38</f>
        <v/>
      </c>
      <c r="DV38" s="28" t="str">
        <f aca="false">BK38</f>
        <v/>
      </c>
      <c r="DW38" s="28" t="str">
        <f aca="false">BO38</f>
        <v/>
      </c>
      <c r="DX38" s="28" t="str">
        <f aca="false">BS38</f>
        <v/>
      </c>
      <c r="DY38" s="28" t="n">
        <f aca="false">IF(ISNUMBER(S38),1,"")</f>
        <v>1</v>
      </c>
      <c r="DZ38" s="28" t="n">
        <f aca="false">IF(ISNUMBER(W38),2,"")</f>
        <v>2</v>
      </c>
      <c r="EA38" s="28" t="n">
        <f aca="false">IF(ISNUMBER(AA38),3,"")</f>
        <v>3</v>
      </c>
      <c r="EB38" s="28" t="n">
        <f aca="false">IF(ISNUMBER(AE38),4,"")</f>
        <v>4</v>
      </c>
      <c r="EC38" s="28" t="n">
        <f aca="false">IF(ISNUMBER(AI38),5,"")</f>
        <v>5</v>
      </c>
      <c r="ED38" s="28" t="n">
        <f aca="false">IF(ISNUMBER(AM38),6,"")</f>
        <v>6</v>
      </c>
      <c r="EE38" s="28" t="n">
        <f aca="false">IF(ISNUMBER(AQ38),7,"")</f>
        <v>7</v>
      </c>
      <c r="EF38" s="28" t="str">
        <f aca="false">IF(ISNUMBER(AU38),8,"")</f>
        <v/>
      </c>
      <c r="EG38" s="28" t="n">
        <f aca="false">IF(ISNUMBER(AY38),9,"")</f>
        <v>9</v>
      </c>
      <c r="EH38" s="28" t="n">
        <f aca="false">IF(ISNUMBER(BC38),10,"")</f>
        <v>10</v>
      </c>
      <c r="EI38" s="28" t="str">
        <f aca="false">IF(ISNUMBER(BG38),11,"")</f>
        <v/>
      </c>
      <c r="EJ38" s="28" t="str">
        <f aca="false">IF(ISNUMBER(BK38),12,"")</f>
        <v/>
      </c>
      <c r="EK38" s="28" t="str">
        <f aca="false">IF(ISNUMBER(BO38),13,"")</f>
        <v/>
      </c>
      <c r="EL38" s="28" t="str">
        <f aca="false">IF(ISNUMBER(BS38),14,"")</f>
        <v/>
      </c>
      <c r="EM38" s="28" t="n">
        <f aca="false">IF(ISNUMBER(R38),R38*CW38,0)</f>
        <v>70</v>
      </c>
      <c r="EN38" s="28" t="n">
        <f aca="false">IF(ISNUMBER(V38),V38*CX38,0)</f>
        <v>45</v>
      </c>
      <c r="EO38" s="28" t="n">
        <f aca="false">IF(ISNUMBER(Z38),Z38*CY38,0)</f>
        <v>70</v>
      </c>
      <c r="EP38" s="28" t="n">
        <f aca="false">IF(ISNUMBER(AD38),AD38*CZ38,0)</f>
        <v>55</v>
      </c>
      <c r="EQ38" s="28" t="n">
        <f aca="false">IF(ISNUMBER(AH38),AH38*DA38,0)</f>
        <v>65</v>
      </c>
      <c r="ER38" s="28" t="n">
        <f aca="false">IF(ISNUMBER(AL38),AL38*DB38,0)</f>
        <v>120</v>
      </c>
      <c r="ES38" s="28" t="n">
        <f aca="false">IF(ISNUMBER(AP38),AP38*DC38,0)</f>
        <v>108</v>
      </c>
      <c r="ET38" s="28" t="n">
        <f aca="false">IF(ISNUMBER(AT38),AT38*DD38,0)</f>
        <v>0</v>
      </c>
      <c r="EU38" s="28" t="n">
        <f aca="false">IF(ISNUMBER(AX38),AX38*DE38,0)</f>
        <v>37.5</v>
      </c>
      <c r="EV38" s="28" t="n">
        <f aca="false">IF(ISNUMBER(BB38),BB38*DF38,0)</f>
        <v>76.6666666666667</v>
      </c>
      <c r="EW38" s="28" t="n">
        <f aca="false">IF(ISNUMBER(BF38),BF38*DG38,0)</f>
        <v>0</v>
      </c>
      <c r="EX38" s="28" t="n">
        <f aca="false">IF(ISNUMBER(BJ38),BJ38*DH38,0)</f>
        <v>0</v>
      </c>
      <c r="EY38" s="28" t="n">
        <f aca="false">IF(ISNUMBER(BN38),BN38*DI38,0)</f>
        <v>0</v>
      </c>
      <c r="EZ38" s="28" t="n">
        <f aca="false">IF(ISNUMBER(BR38),BR38*DJ38,0)</f>
        <v>0</v>
      </c>
      <c r="FA38" s="28" t="n">
        <f aca="false">IF(ISNUMBER(R38),CW38,0)</f>
        <v>1</v>
      </c>
      <c r="FB38" s="28" t="n">
        <f aca="false">IF(ISNUMBER(V38),CX38,0)</f>
        <v>1</v>
      </c>
      <c r="FC38" s="28" t="n">
        <f aca="false">IF(ISNUMBER(Z38),CY38,0)</f>
        <v>1</v>
      </c>
      <c r="FD38" s="28" t="n">
        <f aca="false">IF(ISNUMBER(AD38),CZ38,0)</f>
        <v>1</v>
      </c>
      <c r="FE38" s="28" t="n">
        <f aca="false">IF(ISNUMBER(AH38),DA38,0)</f>
        <v>1</v>
      </c>
      <c r="FF38" s="28" t="n">
        <f aca="false">IF(ISNUMBER(AL38),DB38,0)</f>
        <v>2</v>
      </c>
      <c r="FG38" s="28" t="n">
        <f aca="false">IF(ISNUMBER(AP38),DC38,0)</f>
        <v>2</v>
      </c>
      <c r="FH38" s="28" t="n">
        <f aca="false">IF(ISNUMBER(AT38),DD38,0)</f>
        <v>0</v>
      </c>
      <c r="FI38" s="28" t="n">
        <f aca="false">IF(ISNUMBER(AX38),DE38,0)</f>
        <v>1</v>
      </c>
      <c r="FJ38" s="28" t="n">
        <f aca="false">IF(ISNUMBER(BB38),DF38,0)</f>
        <v>1</v>
      </c>
      <c r="FK38" s="28" t="n">
        <f aca="false">IF(ISNUMBER(BF38),DG38,0)</f>
        <v>0</v>
      </c>
      <c r="FL38" s="28" t="n">
        <f aca="false">IF(ISNUMBER(BJ38),DH38,0)</f>
        <v>0</v>
      </c>
      <c r="FM38" s="28" t="n">
        <f aca="false">IF(ISNUMBER(BN38),DI38,0)</f>
        <v>0</v>
      </c>
      <c r="FN38" s="28" t="n">
        <f aca="false">IF(ISNUMBER(BR38),DJ38,0)</f>
        <v>0</v>
      </c>
      <c r="FO38" s="28" t="str">
        <f aca="false">IFERROR(INDEX(Lists!$G$2:$G$20,MATCH($I38&amp;"|"&amp;$J38,Lists!$F$2:$F$20,0)),"")</f>
        <v>Geog Overall HL</v>
      </c>
    </row>
    <row r="39" customFormat="false" ht="19.5" hidden="false" customHeight="true" outlineLevel="0" collapsed="false">
      <c r="A39" s="29" t="s">
        <v>212</v>
      </c>
      <c r="B39" s="29" t="s">
        <v>213</v>
      </c>
      <c r="C39" s="30" t="s">
        <v>192</v>
      </c>
      <c r="D39" s="30" t="s">
        <v>193</v>
      </c>
      <c r="E39" s="31" t="n">
        <v>5.4</v>
      </c>
      <c r="F39" s="30" t="n">
        <v>6</v>
      </c>
      <c r="G39" s="30"/>
      <c r="H39" s="32" t="s">
        <v>23</v>
      </c>
      <c r="I39" s="33" t="s">
        <v>24</v>
      </c>
      <c r="J39" s="32" t="s">
        <v>25</v>
      </c>
      <c r="K39" s="34" t="n">
        <f aca="false">IF(OR(M39="",$E39=""),"",M39-$E39)</f>
        <v>-0.4</v>
      </c>
      <c r="L39" s="35" t="n">
        <f aca="false">IF(SUM(FA39:FN39)=0,"",SUM(EM39:EZ39)/SUM(FA39:FN39))</f>
        <v>58.0075757575758</v>
      </c>
      <c r="M39" s="36" t="n">
        <f aca="false">IF(OR(L39="",FO39=""),"",IFERROR(MATCH(L39,INDEX(Boundaries!$B$2:$I$30,MATCH(FO39,Boundaries!$A$2:$A$30,0),0),1)-1,""))</f>
        <v>5</v>
      </c>
      <c r="N39" s="37" t="n">
        <f aca="false">IF(COUNT($DY39:$EL39)&lt;2,"",INDEX($DK39:$DX39,MAX($DY39:$EL39))-INDEX($DK39:$DX39,MIN($DY39:$EL39)))</f>
        <v>0</v>
      </c>
      <c r="O39" s="37" t="n">
        <f aca="false">IF(COUNT($DY39:$EL39)&lt;2,"",INDEX($DK39:$DX39,MAX($DY39:$EL39))-INDEX($DK39:$DX39,LARGE($DY39:$EL39,2)))</f>
        <v>2</v>
      </c>
      <c r="P39" s="38" t="str">
        <f aca="false">IF(K39="","",IF(K39&gt;=0,"On/above target",IF(AND(N39&lt;&gt;"",N39&gt;=0.5),"Improving towards target",IF(AND(O39&lt;&gt;"",O39&lt;=-0.5),"Declining","Stable below target"))))</f>
        <v>Stable below target</v>
      </c>
      <c r="Q39" s="39" t="n">
        <v>11</v>
      </c>
      <c r="R39" s="40" t="n">
        <f aca="false">IF(OR(Q39="",BU39=""),"",Q39/BU39*100)</f>
        <v>55</v>
      </c>
      <c r="S39" s="41" t="n">
        <f aca="false">IF(R39="","",IFERROR(MATCH(R39,INDEX(Boundaries!$B$2:$I$30,MATCH(CI39,Boundaries!$A$2:$A$30,0),0),1)-1,""))</f>
        <v>5</v>
      </c>
      <c r="T39" s="42" t="n">
        <f aca="false">IF(OR(S39="",$E39=""),"",S39-$E39)</f>
        <v>-0.4</v>
      </c>
      <c r="U39" s="39" t="n">
        <v>11</v>
      </c>
      <c r="V39" s="40" t="n">
        <f aca="false">IF(OR(U39="",BV39=""),"",U39/BV39*100)</f>
        <v>55</v>
      </c>
      <c r="W39" s="41" t="n">
        <f aca="false">IF(V39="","",IFERROR(MATCH(V39,INDEX(Boundaries!$B$2:$I$30,MATCH(CJ39,Boundaries!$A$2:$A$30,0),0),1)-1,""))</f>
        <v>5</v>
      </c>
      <c r="X39" s="42" t="n">
        <f aca="false">IF(OR(W39="",$E39=""),"",W39-$E39)</f>
        <v>-0.4</v>
      </c>
      <c r="Y39" s="39" t="n">
        <v>12</v>
      </c>
      <c r="Z39" s="40" t="n">
        <f aca="false">IF(OR(Y39="",BW39=""),"",Y39/BW39*100)</f>
        <v>60</v>
      </c>
      <c r="AA39" s="41" t="n">
        <f aca="false">IF(Z39="","",IFERROR(MATCH(Z39,INDEX(Boundaries!$B$2:$I$30,MATCH(CK39,Boundaries!$A$2:$A$30,0),0),1)-1,""))</f>
        <v>5</v>
      </c>
      <c r="AB39" s="42" t="n">
        <f aca="false">IF(OR(AA39="",$E39=""),"",AA39-$E39)</f>
        <v>-0.4</v>
      </c>
      <c r="AC39" s="39" t="n">
        <v>13</v>
      </c>
      <c r="AD39" s="40" t="n">
        <f aca="false">IF(OR(AC39="",BX39=""),"",AC39/BX39*100)</f>
        <v>65</v>
      </c>
      <c r="AE39" s="41" t="n">
        <f aca="false">IF(AD39="","",IFERROR(MATCH(AD39,INDEX(Boundaries!$B$2:$I$30,MATCH(CL39,Boundaries!$A$2:$A$30,0),0),1)-1,""))</f>
        <v>6</v>
      </c>
      <c r="AF39" s="42" t="n">
        <f aca="false">IF(OR(AE39="",$E39=""),"",AE39-$E39)</f>
        <v>0.6</v>
      </c>
      <c r="AG39" s="39" t="n">
        <v>14</v>
      </c>
      <c r="AH39" s="40" t="n">
        <f aca="false">IF(OR(AG39="",BY39=""),"",AG39/BY39*100)</f>
        <v>70</v>
      </c>
      <c r="AI39" s="41" t="n">
        <f aca="false">IF(AH39="","",IFERROR(MATCH(AH39,INDEX(Boundaries!$B$2:$I$30,MATCH(CM39,Boundaries!$A$2:$A$30,0),0),1)-1,""))</f>
        <v>6</v>
      </c>
      <c r="AJ39" s="42" t="n">
        <f aca="false">IF(OR(AI39="",$E39=""),"",AI39-$E39)</f>
        <v>0.6</v>
      </c>
      <c r="AK39" s="39" t="n">
        <v>22</v>
      </c>
      <c r="AL39" s="40" t="n">
        <f aca="false">IF(OR(AK39="",BZ39=""),"",AK39/BZ39*100)</f>
        <v>55</v>
      </c>
      <c r="AM39" s="41" t="n">
        <f aca="false">IF(AL39="","",IFERROR(MATCH(AL39,INDEX(Boundaries!$B$2:$I$30,MATCH(CN39,Boundaries!$A$2:$A$30,0),0),1)-1,""))</f>
        <v>5</v>
      </c>
      <c r="AN39" s="42" t="n">
        <f aca="false">IF(OR(AM39="",$E39=""),"",AM39-$E39)</f>
        <v>-0.4</v>
      </c>
      <c r="AO39" s="39" t="n">
        <v>29</v>
      </c>
      <c r="AP39" s="40" t="n">
        <f aca="false">IF(OR(AO39="",CA39=""),"",AO39/CA39*100)</f>
        <v>58</v>
      </c>
      <c r="AQ39" s="41" t="n">
        <f aca="false">IF(AP39="","",IFERROR(MATCH(AP39,INDEX(Boundaries!$B$2:$I$30,MATCH(CO39,Boundaries!$A$2:$A$30,0),0),1)-1,""))</f>
        <v>5</v>
      </c>
      <c r="AR39" s="42" t="n">
        <f aca="false">IF(OR(AQ39="",$E39=""),"",AQ39-$E39)</f>
        <v>-0.4</v>
      </c>
      <c r="AS39" s="39"/>
      <c r="AT39" s="40" t="str">
        <f aca="false">IF(OR(AS39="",CB39=""),"",AS39/CB39*100)</f>
        <v/>
      </c>
      <c r="AU39" s="41" t="str">
        <f aca="false">IF(AT39="","",IFERROR(MATCH(AT39,INDEX(Boundaries!$B$2:$I$30,MATCH(CP39,Boundaries!$A$2:$A$30,0),0),1)-1,""))</f>
        <v/>
      </c>
      <c r="AV39" s="42" t="str">
        <f aca="false">IF(OR(AU39="",$E39=""),"",AU39-$E39)</f>
        <v/>
      </c>
      <c r="AW39" s="39" t="n">
        <v>7</v>
      </c>
      <c r="AX39" s="40" t="n">
        <f aca="false">IF(OR(AW39="",CC39=""),"",AW39/CC39*100)</f>
        <v>43.75</v>
      </c>
      <c r="AY39" s="41" t="n">
        <f aca="false">IF(AX39="","",IFERROR(MATCH(AX39,INDEX(Boundaries!$B$2:$I$30,MATCH(CQ39,Boundaries!$A$2:$A$30,0),0),1)-1,""))</f>
        <v>3</v>
      </c>
      <c r="AZ39" s="42" t="n">
        <f aca="false">IF(OR(AY39="",$E39=""),"",AY39-$E39)</f>
        <v>-2.4</v>
      </c>
      <c r="BA39" s="39" t="n">
        <v>19</v>
      </c>
      <c r="BB39" s="40" t="n">
        <f aca="false">IF(OR(BA39="",CD39=""),"",BA39/CD39*100)</f>
        <v>63.3333333333333</v>
      </c>
      <c r="BC39" s="41" t="n">
        <f aca="false">IF(BB39="","",IFERROR(MATCH(BB39,INDEX(Boundaries!$B$2:$I$30,MATCH(CR39,Boundaries!$A$2:$A$30,0),0),1)-1,""))</f>
        <v>5</v>
      </c>
      <c r="BD39" s="42" t="n">
        <f aca="false">IF(OR(BC39="",$E39=""),"",BC39-$E39)</f>
        <v>-0.4</v>
      </c>
      <c r="BE39" s="39"/>
      <c r="BF39" s="40" t="str">
        <f aca="false">IF(OR(BE39="",CE39=""),"",BE39/CE39*100)</f>
        <v/>
      </c>
      <c r="BG39" s="41" t="str">
        <f aca="false">IF(BF39="","",IFERROR(MATCH(BF39,INDEX(Boundaries!$B$2:$I$30,MATCH(CS39,Boundaries!$A$2:$A$30,0),0),1)-1,""))</f>
        <v/>
      </c>
      <c r="BH39" s="42" t="str">
        <f aca="false">IF(OR(BG39="",$E39=""),"",BG39-$E39)</f>
        <v/>
      </c>
      <c r="BI39" s="39"/>
      <c r="BJ39" s="40" t="str">
        <f aca="false">IF(OR(BI39="",CF39=""),"",BI39/CF39*100)</f>
        <v/>
      </c>
      <c r="BK39" s="41" t="str">
        <f aca="false">IF(BJ39="","",IFERROR(MATCH(BJ39,INDEX(Boundaries!$B$2:$I$30,MATCH(CT39,Boundaries!$A$2:$A$30,0),0),1)-1,""))</f>
        <v/>
      </c>
      <c r="BL39" s="42" t="str">
        <f aca="false">IF(OR(BK39="",$E39=""),"",BK39-$E39)</f>
        <v/>
      </c>
      <c r="BM39" s="39"/>
      <c r="BN39" s="40" t="str">
        <f aca="false">IF(OR(BM39="",CG39=""),"",BM39/CG39*100)</f>
        <v/>
      </c>
      <c r="BO39" s="41" t="str">
        <f aca="false">IF(BN39="","",IFERROR(MATCH(BN39,INDEX(Boundaries!$B$2:$I$30,MATCH(CU39,Boundaries!$A$2:$A$30,0),0),1)-1,""))</f>
        <v/>
      </c>
      <c r="BP39" s="42" t="str">
        <f aca="false">IF(OR(BO39="",$E39=""),"",BO39-$E39)</f>
        <v/>
      </c>
      <c r="BQ39" s="39"/>
      <c r="BR39" s="40" t="str">
        <f aca="false">IF(OR(BQ39="",CH39=""),"",BQ39/CH39*100)</f>
        <v/>
      </c>
      <c r="BS39" s="41" t="str">
        <f aca="false">IF(BR39="","",IFERROR(MATCH(BR39,INDEX(Boundaries!$B$2:$I$30,MATCH(CV39,Boundaries!$A$2:$A$30,0),0),1)-1,""))</f>
        <v/>
      </c>
      <c r="BT39" s="42" t="str">
        <f aca="false">IF(OR(BS39="",$E39=""),"",BS39-$E39)</f>
        <v/>
      </c>
      <c r="BU39" s="28" t="n">
        <f aca="false">IFERROR(INDEX(Assessments!$H$2:$H$600,MATCH($H39&amp;"|"&amp;$I39&amp;"|"&amp;$J39&amp;"|"&amp;1,Assessments!$A$2:$A$600,0)),"")</f>
        <v>20</v>
      </c>
      <c r="BV39" s="28" t="n">
        <f aca="false">IFERROR(INDEX(Assessments!$H$2:$H$600,MATCH($H39&amp;"|"&amp;$I39&amp;"|"&amp;$J39&amp;"|"&amp;2,Assessments!$A$2:$A$600,0)),"")</f>
        <v>20</v>
      </c>
      <c r="BW39" s="28" t="n">
        <f aca="false">IFERROR(INDEX(Assessments!$H$2:$H$600,MATCH($H39&amp;"|"&amp;$I39&amp;"|"&amp;$J39&amp;"|"&amp;3,Assessments!$A$2:$A$600,0)),"")</f>
        <v>20</v>
      </c>
      <c r="BX39" s="28" t="n">
        <f aca="false">IFERROR(INDEX(Assessments!$H$2:$H$600,MATCH($H39&amp;"|"&amp;$I39&amp;"|"&amp;$J39&amp;"|"&amp;4,Assessments!$A$2:$A$600,0)),"")</f>
        <v>20</v>
      </c>
      <c r="BY39" s="28" t="n">
        <f aca="false">IFERROR(INDEX(Assessments!$H$2:$H$600,MATCH($H39&amp;"|"&amp;$I39&amp;"|"&amp;$J39&amp;"|"&amp;5,Assessments!$A$2:$A$600,0)),"")</f>
        <v>20</v>
      </c>
      <c r="BZ39" s="28" t="n">
        <f aca="false">IFERROR(INDEX(Assessments!$H$2:$H$600,MATCH($H39&amp;"|"&amp;$I39&amp;"|"&amp;$J39&amp;"|"&amp;6,Assessments!$A$2:$A$600,0)),"")</f>
        <v>40</v>
      </c>
      <c r="CA39" s="28" t="n">
        <f aca="false">IFERROR(INDEX(Assessments!$H$2:$H$600,MATCH($H39&amp;"|"&amp;$I39&amp;"|"&amp;$J39&amp;"|"&amp;7,Assessments!$A$2:$A$600,0)),"")</f>
        <v>50</v>
      </c>
      <c r="CB39" s="28" t="n">
        <f aca="false">IFERROR(INDEX(Assessments!$H$2:$H$600,MATCH($H39&amp;"|"&amp;$I39&amp;"|"&amp;$J39&amp;"|"&amp;8,Assessments!$A$2:$A$600,0)),"")</f>
        <v>25</v>
      </c>
      <c r="CC39" s="28" t="n">
        <f aca="false">IFERROR(INDEX(Assessments!$H$2:$H$600,MATCH($H39&amp;"|"&amp;$I39&amp;"|"&amp;$J39&amp;"|"&amp;9,Assessments!$A$2:$A$600,0)),"")</f>
        <v>16</v>
      </c>
      <c r="CD39" s="28" t="n">
        <f aca="false">IFERROR(INDEX(Assessments!$H$2:$H$600,MATCH($H39&amp;"|"&amp;$I39&amp;"|"&amp;$J39&amp;"|"&amp;10,Assessments!$A$2:$A$600,0)),"")</f>
        <v>30</v>
      </c>
      <c r="CE39" s="28" t="str">
        <f aca="false">IFERROR(INDEX(Assessments!$H$2:$H$600,MATCH($H39&amp;"|"&amp;$I39&amp;"|"&amp;$J39&amp;"|"&amp;11,Assessments!$A$2:$A$600,0)),"")</f>
        <v/>
      </c>
      <c r="CF39" s="28" t="str">
        <f aca="false">IFERROR(INDEX(Assessments!$H$2:$H$600,MATCH($H39&amp;"|"&amp;$I39&amp;"|"&amp;$J39&amp;"|"&amp;12,Assessments!$A$2:$A$600,0)),"")</f>
        <v/>
      </c>
      <c r="CG39" s="28" t="str">
        <f aca="false">IFERROR(INDEX(Assessments!$H$2:$H$600,MATCH($H39&amp;"|"&amp;$I39&amp;"|"&amp;$J39&amp;"|"&amp;13,Assessments!$A$2:$A$600,0)),"")</f>
        <v/>
      </c>
      <c r="CH39" s="28" t="str">
        <f aca="false">IFERROR(INDEX(Assessments!$H$2:$H$600,MATCH($H39&amp;"|"&amp;$I39&amp;"|"&amp;$J39&amp;"|"&amp;14,Assessments!$A$2:$A$600,0)),"")</f>
        <v/>
      </c>
      <c r="CI39" s="28" t="str">
        <f aca="false">IFERROR(INDEX(Assessments!$I$2:$I$600,MATCH($H39&amp;"|"&amp;$I39&amp;"|"&amp;$J39&amp;"|"&amp;1,Assessments!$A$2:$A$600,0)),"")</f>
        <v>Geog Paper 1</v>
      </c>
      <c r="CJ39" s="28" t="str">
        <f aca="false">IFERROR(INDEX(Assessments!$I$2:$I$600,MATCH($H39&amp;"|"&amp;$I39&amp;"|"&amp;$J39&amp;"|"&amp;2,Assessments!$A$2:$A$600,0)),"")</f>
        <v>Geog Paper 1</v>
      </c>
      <c r="CK39" s="28" t="str">
        <f aca="false">IFERROR(INDEX(Assessments!$I$2:$I$600,MATCH($H39&amp;"|"&amp;$I39&amp;"|"&amp;$J39&amp;"|"&amp;3,Assessments!$A$2:$A$600,0)),"")</f>
        <v>Geog Paper 2</v>
      </c>
      <c r="CL39" s="28" t="str">
        <f aca="false">IFERROR(INDEX(Assessments!$I$2:$I$600,MATCH($H39&amp;"|"&amp;$I39&amp;"|"&amp;$J39&amp;"|"&amp;4,Assessments!$A$2:$A$600,0)),"")</f>
        <v>Geog Paper 1</v>
      </c>
      <c r="CM39" s="28" t="str">
        <f aca="false">IFERROR(INDEX(Assessments!$I$2:$I$600,MATCH($H39&amp;"|"&amp;$I39&amp;"|"&amp;$J39&amp;"|"&amp;5,Assessments!$A$2:$A$600,0)),"")</f>
        <v>Geog Paper 1</v>
      </c>
      <c r="CN39" s="28" t="str">
        <f aca="false">IFERROR(INDEX(Assessments!$I$2:$I$600,MATCH($H39&amp;"|"&amp;$I39&amp;"|"&amp;$J39&amp;"|"&amp;6,Assessments!$A$2:$A$600,0)),"")</f>
        <v>Geog Paper 1</v>
      </c>
      <c r="CO39" s="28" t="str">
        <f aca="false">IFERROR(INDEX(Assessments!$I$2:$I$600,MATCH($H39&amp;"|"&amp;$I39&amp;"|"&amp;$J39&amp;"|"&amp;7,Assessments!$A$2:$A$600,0)),"")</f>
        <v>Geog Paper 2</v>
      </c>
      <c r="CP39" s="28" t="str">
        <f aca="false">IFERROR(INDEX(Assessments!$I$2:$I$600,MATCH($H39&amp;"|"&amp;$I39&amp;"|"&amp;$J39&amp;"|"&amp;8,Assessments!$A$2:$A$600,0)),"")</f>
        <v>Geog Paper 2</v>
      </c>
      <c r="CQ39" s="28" t="str">
        <f aca="false">IFERROR(INDEX(Assessments!$I$2:$I$600,MATCH($H39&amp;"|"&amp;$I39&amp;"|"&amp;$J39&amp;"|"&amp;9,Assessments!$A$2:$A$600,0)),"")</f>
        <v>Geog Paper 3</v>
      </c>
      <c r="CR39" s="28" t="str">
        <f aca="false">IFERROR(INDEX(Assessments!$I$2:$I$600,MATCH($H39&amp;"|"&amp;$I39&amp;"|"&amp;$J39&amp;"|"&amp;10,Assessments!$A$2:$A$600,0)),"")</f>
        <v>Geog Paper 2</v>
      </c>
      <c r="CS39" s="28" t="str">
        <f aca="false">IFERROR(INDEX(Assessments!$I$2:$I$600,MATCH($H39&amp;"|"&amp;$I39&amp;"|"&amp;$J39&amp;"|"&amp;11,Assessments!$A$2:$A$600,0)),"")</f>
        <v/>
      </c>
      <c r="CT39" s="28" t="str">
        <f aca="false">IFERROR(INDEX(Assessments!$I$2:$I$600,MATCH($H39&amp;"|"&amp;$I39&amp;"|"&amp;$J39&amp;"|"&amp;12,Assessments!$A$2:$A$600,0)),"")</f>
        <v/>
      </c>
      <c r="CU39" s="28" t="str">
        <f aca="false">IFERROR(INDEX(Assessments!$I$2:$I$600,MATCH($H39&amp;"|"&amp;$I39&amp;"|"&amp;$J39&amp;"|"&amp;13,Assessments!$A$2:$A$600,0)),"")</f>
        <v/>
      </c>
      <c r="CV39" s="28" t="str">
        <f aca="false">IFERROR(INDEX(Assessments!$I$2:$I$600,MATCH($H39&amp;"|"&amp;$I39&amp;"|"&amp;$J39&amp;"|"&amp;14,Assessments!$A$2:$A$600,0)),"")</f>
        <v/>
      </c>
      <c r="CW39" s="28" t="n">
        <f aca="false">IFERROR(INDEX(Assessments!$J$2:$J$600,MATCH($H39&amp;"|"&amp;$I39&amp;"|"&amp;$J39&amp;"|"&amp;1,Assessments!$A$2:$A$600,0)),0)</f>
        <v>1</v>
      </c>
      <c r="CX39" s="28" t="n">
        <f aca="false">IFERROR(INDEX(Assessments!$J$2:$J$600,MATCH($H39&amp;"|"&amp;$I39&amp;"|"&amp;$J39&amp;"|"&amp;2,Assessments!$A$2:$A$600,0)),0)</f>
        <v>1</v>
      </c>
      <c r="CY39" s="28" t="n">
        <f aca="false">IFERROR(INDEX(Assessments!$J$2:$J$600,MATCH($H39&amp;"|"&amp;$I39&amp;"|"&amp;$J39&amp;"|"&amp;3,Assessments!$A$2:$A$600,0)),0)</f>
        <v>1</v>
      </c>
      <c r="CZ39" s="28" t="n">
        <f aca="false">IFERROR(INDEX(Assessments!$J$2:$J$600,MATCH($H39&amp;"|"&amp;$I39&amp;"|"&amp;$J39&amp;"|"&amp;4,Assessments!$A$2:$A$600,0)),0)</f>
        <v>1</v>
      </c>
      <c r="DA39" s="28" t="n">
        <f aca="false">IFERROR(INDEX(Assessments!$J$2:$J$600,MATCH($H39&amp;"|"&amp;$I39&amp;"|"&amp;$J39&amp;"|"&amp;5,Assessments!$A$2:$A$600,0)),0)</f>
        <v>1</v>
      </c>
      <c r="DB39" s="28" t="n">
        <f aca="false">IFERROR(INDEX(Assessments!$J$2:$J$600,MATCH($H39&amp;"|"&amp;$I39&amp;"|"&amp;$J39&amp;"|"&amp;6,Assessments!$A$2:$A$600,0)),0)</f>
        <v>2</v>
      </c>
      <c r="DC39" s="28" t="n">
        <f aca="false">IFERROR(INDEX(Assessments!$J$2:$J$600,MATCH($H39&amp;"|"&amp;$I39&amp;"|"&amp;$J39&amp;"|"&amp;7,Assessments!$A$2:$A$600,0)),0)</f>
        <v>2</v>
      </c>
      <c r="DD39" s="28" t="n">
        <f aca="false">IFERROR(INDEX(Assessments!$J$2:$J$600,MATCH($H39&amp;"|"&amp;$I39&amp;"|"&amp;$J39&amp;"|"&amp;8,Assessments!$A$2:$A$600,0)),0)</f>
        <v>1</v>
      </c>
      <c r="DE39" s="28" t="n">
        <f aca="false">IFERROR(INDEX(Assessments!$J$2:$J$600,MATCH($H39&amp;"|"&amp;$I39&amp;"|"&amp;$J39&amp;"|"&amp;9,Assessments!$A$2:$A$600,0)),0)</f>
        <v>1</v>
      </c>
      <c r="DF39" s="28" t="n">
        <f aca="false">IFERROR(INDEX(Assessments!$J$2:$J$600,MATCH($H39&amp;"|"&amp;$I39&amp;"|"&amp;$J39&amp;"|"&amp;10,Assessments!$A$2:$A$600,0)),0)</f>
        <v>1</v>
      </c>
      <c r="DG39" s="28" t="n">
        <f aca="false">IFERROR(INDEX(Assessments!$J$2:$J$600,MATCH($H39&amp;"|"&amp;$I39&amp;"|"&amp;$J39&amp;"|"&amp;11,Assessments!$A$2:$A$600,0)),0)</f>
        <v>0</v>
      </c>
      <c r="DH39" s="28" t="n">
        <f aca="false">IFERROR(INDEX(Assessments!$J$2:$J$600,MATCH($H39&amp;"|"&amp;$I39&amp;"|"&amp;$J39&amp;"|"&amp;12,Assessments!$A$2:$A$600,0)),0)</f>
        <v>0</v>
      </c>
      <c r="DI39" s="28" t="n">
        <f aca="false">IFERROR(INDEX(Assessments!$J$2:$J$600,MATCH($H39&amp;"|"&amp;$I39&amp;"|"&amp;$J39&amp;"|"&amp;13,Assessments!$A$2:$A$600,0)),0)</f>
        <v>0</v>
      </c>
      <c r="DJ39" s="28" t="n">
        <f aca="false">IFERROR(INDEX(Assessments!$J$2:$J$600,MATCH($H39&amp;"|"&amp;$I39&amp;"|"&amp;$J39&amp;"|"&amp;14,Assessments!$A$2:$A$600,0)),0)</f>
        <v>0</v>
      </c>
      <c r="DK39" s="28" t="n">
        <f aca="false">S39</f>
        <v>5</v>
      </c>
      <c r="DL39" s="28" t="n">
        <f aca="false">W39</f>
        <v>5</v>
      </c>
      <c r="DM39" s="28" t="n">
        <f aca="false">AA39</f>
        <v>5</v>
      </c>
      <c r="DN39" s="28" t="n">
        <f aca="false">AE39</f>
        <v>6</v>
      </c>
      <c r="DO39" s="28" t="n">
        <f aca="false">AI39</f>
        <v>6</v>
      </c>
      <c r="DP39" s="28" t="n">
        <f aca="false">AM39</f>
        <v>5</v>
      </c>
      <c r="DQ39" s="28" t="n">
        <f aca="false">AQ39</f>
        <v>5</v>
      </c>
      <c r="DR39" s="28" t="str">
        <f aca="false">AU39</f>
        <v/>
      </c>
      <c r="DS39" s="28" t="n">
        <f aca="false">AY39</f>
        <v>3</v>
      </c>
      <c r="DT39" s="28" t="n">
        <f aca="false">BC39</f>
        <v>5</v>
      </c>
      <c r="DU39" s="28" t="str">
        <f aca="false">BG39</f>
        <v/>
      </c>
      <c r="DV39" s="28" t="str">
        <f aca="false">BK39</f>
        <v/>
      </c>
      <c r="DW39" s="28" t="str">
        <f aca="false">BO39</f>
        <v/>
      </c>
      <c r="DX39" s="28" t="str">
        <f aca="false">BS39</f>
        <v/>
      </c>
      <c r="DY39" s="28" t="n">
        <f aca="false">IF(ISNUMBER(S39),1,"")</f>
        <v>1</v>
      </c>
      <c r="DZ39" s="28" t="n">
        <f aca="false">IF(ISNUMBER(W39),2,"")</f>
        <v>2</v>
      </c>
      <c r="EA39" s="28" t="n">
        <f aca="false">IF(ISNUMBER(AA39),3,"")</f>
        <v>3</v>
      </c>
      <c r="EB39" s="28" t="n">
        <f aca="false">IF(ISNUMBER(AE39),4,"")</f>
        <v>4</v>
      </c>
      <c r="EC39" s="28" t="n">
        <f aca="false">IF(ISNUMBER(AI39),5,"")</f>
        <v>5</v>
      </c>
      <c r="ED39" s="28" t="n">
        <f aca="false">IF(ISNUMBER(AM39),6,"")</f>
        <v>6</v>
      </c>
      <c r="EE39" s="28" t="n">
        <f aca="false">IF(ISNUMBER(AQ39),7,"")</f>
        <v>7</v>
      </c>
      <c r="EF39" s="28" t="str">
        <f aca="false">IF(ISNUMBER(AU39),8,"")</f>
        <v/>
      </c>
      <c r="EG39" s="28" t="n">
        <f aca="false">IF(ISNUMBER(AY39),9,"")</f>
        <v>9</v>
      </c>
      <c r="EH39" s="28" t="n">
        <f aca="false">IF(ISNUMBER(BC39),10,"")</f>
        <v>10</v>
      </c>
      <c r="EI39" s="28" t="str">
        <f aca="false">IF(ISNUMBER(BG39),11,"")</f>
        <v/>
      </c>
      <c r="EJ39" s="28" t="str">
        <f aca="false">IF(ISNUMBER(BK39),12,"")</f>
        <v/>
      </c>
      <c r="EK39" s="28" t="str">
        <f aca="false">IF(ISNUMBER(BO39),13,"")</f>
        <v/>
      </c>
      <c r="EL39" s="28" t="str">
        <f aca="false">IF(ISNUMBER(BS39),14,"")</f>
        <v/>
      </c>
      <c r="EM39" s="28" t="n">
        <f aca="false">IF(ISNUMBER(R39),R39*CW39,0)</f>
        <v>55</v>
      </c>
      <c r="EN39" s="28" t="n">
        <f aca="false">IF(ISNUMBER(V39),V39*CX39,0)</f>
        <v>55</v>
      </c>
      <c r="EO39" s="28" t="n">
        <f aca="false">IF(ISNUMBER(Z39),Z39*CY39,0)</f>
        <v>60</v>
      </c>
      <c r="EP39" s="28" t="n">
        <f aca="false">IF(ISNUMBER(AD39),AD39*CZ39,0)</f>
        <v>65</v>
      </c>
      <c r="EQ39" s="28" t="n">
        <f aca="false">IF(ISNUMBER(AH39),AH39*DA39,0)</f>
        <v>70</v>
      </c>
      <c r="ER39" s="28" t="n">
        <f aca="false">IF(ISNUMBER(AL39),AL39*DB39,0)</f>
        <v>110</v>
      </c>
      <c r="ES39" s="28" t="n">
        <f aca="false">IF(ISNUMBER(AP39),AP39*DC39,0)</f>
        <v>116</v>
      </c>
      <c r="ET39" s="28" t="n">
        <f aca="false">IF(ISNUMBER(AT39),AT39*DD39,0)</f>
        <v>0</v>
      </c>
      <c r="EU39" s="28" t="n">
        <f aca="false">IF(ISNUMBER(AX39),AX39*DE39,0)</f>
        <v>43.75</v>
      </c>
      <c r="EV39" s="28" t="n">
        <f aca="false">IF(ISNUMBER(BB39),BB39*DF39,0)</f>
        <v>63.3333333333333</v>
      </c>
      <c r="EW39" s="28" t="n">
        <f aca="false">IF(ISNUMBER(BF39),BF39*DG39,0)</f>
        <v>0</v>
      </c>
      <c r="EX39" s="28" t="n">
        <f aca="false">IF(ISNUMBER(BJ39),BJ39*DH39,0)</f>
        <v>0</v>
      </c>
      <c r="EY39" s="28" t="n">
        <f aca="false">IF(ISNUMBER(BN39),BN39*DI39,0)</f>
        <v>0</v>
      </c>
      <c r="EZ39" s="28" t="n">
        <f aca="false">IF(ISNUMBER(BR39),BR39*DJ39,0)</f>
        <v>0</v>
      </c>
      <c r="FA39" s="28" t="n">
        <f aca="false">IF(ISNUMBER(R39),CW39,0)</f>
        <v>1</v>
      </c>
      <c r="FB39" s="28" t="n">
        <f aca="false">IF(ISNUMBER(V39),CX39,0)</f>
        <v>1</v>
      </c>
      <c r="FC39" s="28" t="n">
        <f aca="false">IF(ISNUMBER(Z39),CY39,0)</f>
        <v>1</v>
      </c>
      <c r="FD39" s="28" t="n">
        <f aca="false">IF(ISNUMBER(AD39),CZ39,0)</f>
        <v>1</v>
      </c>
      <c r="FE39" s="28" t="n">
        <f aca="false">IF(ISNUMBER(AH39),DA39,0)</f>
        <v>1</v>
      </c>
      <c r="FF39" s="28" t="n">
        <f aca="false">IF(ISNUMBER(AL39),DB39,0)</f>
        <v>2</v>
      </c>
      <c r="FG39" s="28" t="n">
        <f aca="false">IF(ISNUMBER(AP39),DC39,0)</f>
        <v>2</v>
      </c>
      <c r="FH39" s="28" t="n">
        <f aca="false">IF(ISNUMBER(AT39),DD39,0)</f>
        <v>0</v>
      </c>
      <c r="FI39" s="28" t="n">
        <f aca="false">IF(ISNUMBER(AX39),DE39,0)</f>
        <v>1</v>
      </c>
      <c r="FJ39" s="28" t="n">
        <f aca="false">IF(ISNUMBER(BB39),DF39,0)</f>
        <v>1</v>
      </c>
      <c r="FK39" s="28" t="n">
        <f aca="false">IF(ISNUMBER(BF39),DG39,0)</f>
        <v>0</v>
      </c>
      <c r="FL39" s="28" t="n">
        <f aca="false">IF(ISNUMBER(BJ39),DH39,0)</f>
        <v>0</v>
      </c>
      <c r="FM39" s="28" t="n">
        <f aca="false">IF(ISNUMBER(BN39),DI39,0)</f>
        <v>0</v>
      </c>
      <c r="FN39" s="28" t="n">
        <f aca="false">IF(ISNUMBER(BR39),DJ39,0)</f>
        <v>0</v>
      </c>
      <c r="FO39" s="28" t="str">
        <f aca="false">IFERROR(INDEX(Lists!$G$2:$G$20,MATCH($I39&amp;"|"&amp;$J39,Lists!$F$2:$F$20,0)),"")</f>
        <v>Geog Overall HL</v>
      </c>
    </row>
    <row r="40" customFormat="false" ht="19.5" hidden="false" customHeight="true" outlineLevel="0" collapsed="false">
      <c r="A40" s="29" t="s">
        <v>214</v>
      </c>
      <c r="B40" s="29" t="s">
        <v>215</v>
      </c>
      <c r="C40" s="30" t="s">
        <v>192</v>
      </c>
      <c r="D40" s="30" t="s">
        <v>193</v>
      </c>
      <c r="E40" s="31" t="n">
        <v>5.9</v>
      </c>
      <c r="F40" s="30" t="n">
        <v>6</v>
      </c>
      <c r="G40" s="30"/>
      <c r="H40" s="32" t="s">
        <v>23</v>
      </c>
      <c r="I40" s="33" t="s">
        <v>24</v>
      </c>
      <c r="J40" s="32" t="s">
        <v>25</v>
      </c>
      <c r="K40" s="34" t="n">
        <f aca="false">IF(OR(M40="",$E40=""),"",M40-$E40)</f>
        <v>0.0999999999999996</v>
      </c>
      <c r="L40" s="35" t="n">
        <f aca="false">IF(SUM(FA40:FN40)=0,"",SUM(EM40:EZ40)/SUM(FA40:FN40))</f>
        <v>68.6515151515151</v>
      </c>
      <c r="M40" s="36" t="n">
        <f aca="false">IF(OR(L40="",FO40=""),"",IFERROR(MATCH(L40,INDEX(Boundaries!$B$2:$I$30,MATCH(FO40,Boundaries!$A$2:$A$30,0),0),1)-1,""))</f>
        <v>6</v>
      </c>
      <c r="N40" s="37" t="n">
        <f aca="false">IF(COUNT($DY40:$EL40)&lt;2,"",INDEX($DK40:$DX40,MAX($DY40:$EL40))-INDEX($DK40:$DX40,MIN($DY40:$EL40)))</f>
        <v>2</v>
      </c>
      <c r="O40" s="37" t="n">
        <f aca="false">IF(COUNT($DY40:$EL40)&lt;2,"",INDEX($DK40:$DX40,MAX($DY40:$EL40))-INDEX($DK40:$DX40,LARGE($DY40:$EL40,2)))</f>
        <v>2</v>
      </c>
      <c r="P40" s="38" t="str">
        <f aca="false">IF(K40="","",IF(K40&gt;=0,"On/above target",IF(AND(N40&lt;&gt;"",N40&gt;=0.5),"Improving towards target",IF(AND(O40&lt;&gt;"",O40&lt;=-0.5),"Declining","Stable below target"))))</f>
        <v>On/above target</v>
      </c>
      <c r="Q40" s="39" t="n">
        <v>11</v>
      </c>
      <c r="R40" s="40" t="n">
        <f aca="false">IF(OR(Q40="",BU40=""),"",Q40/BU40*100)</f>
        <v>55</v>
      </c>
      <c r="S40" s="41" t="n">
        <f aca="false">IF(R40="","",IFERROR(MATCH(R40,INDEX(Boundaries!$B$2:$I$30,MATCH(CI40,Boundaries!$A$2:$A$30,0),0),1)-1,""))</f>
        <v>5</v>
      </c>
      <c r="T40" s="42" t="n">
        <f aca="false">IF(OR(S40="",$E40=""),"",S40-$E40)</f>
        <v>-0.9</v>
      </c>
      <c r="U40" s="39" t="n">
        <v>10</v>
      </c>
      <c r="V40" s="40" t="n">
        <f aca="false">IF(OR(U40="",BV40=""),"",U40/BV40*100)</f>
        <v>50</v>
      </c>
      <c r="W40" s="41" t="n">
        <f aca="false">IF(V40="","",IFERROR(MATCH(V40,INDEX(Boundaries!$B$2:$I$30,MATCH(CJ40,Boundaries!$A$2:$A$30,0),0),1)-1,""))</f>
        <v>4</v>
      </c>
      <c r="X40" s="42" t="n">
        <f aca="false">IF(OR(W40="",$E40=""),"",W40-$E40)</f>
        <v>-1.9</v>
      </c>
      <c r="Y40" s="39" t="n">
        <v>15</v>
      </c>
      <c r="Z40" s="40" t="n">
        <f aca="false">IF(OR(Y40="",BW40=""),"",Y40/BW40*100)</f>
        <v>75</v>
      </c>
      <c r="AA40" s="41" t="n">
        <f aca="false">IF(Z40="","",IFERROR(MATCH(Z40,INDEX(Boundaries!$B$2:$I$30,MATCH(CK40,Boundaries!$A$2:$A$30,0),0),1)-1,""))</f>
        <v>6</v>
      </c>
      <c r="AB40" s="42" t="n">
        <f aca="false">IF(OR(AA40="",$E40=""),"",AA40-$E40)</f>
        <v>0.0999999999999996</v>
      </c>
      <c r="AC40" s="39" t="n">
        <v>13</v>
      </c>
      <c r="AD40" s="40" t="n">
        <f aca="false">IF(OR(AC40="",BX40=""),"",AC40/BX40*100)</f>
        <v>65</v>
      </c>
      <c r="AE40" s="41" t="n">
        <f aca="false">IF(AD40="","",IFERROR(MATCH(AD40,INDEX(Boundaries!$B$2:$I$30,MATCH(CL40,Boundaries!$A$2:$A$30,0),0),1)-1,""))</f>
        <v>6</v>
      </c>
      <c r="AF40" s="42" t="n">
        <f aca="false">IF(OR(AE40="",$E40=""),"",AE40-$E40)</f>
        <v>0.0999999999999996</v>
      </c>
      <c r="AG40" s="39" t="n">
        <v>14</v>
      </c>
      <c r="AH40" s="40" t="n">
        <f aca="false">IF(OR(AG40="",BY40=""),"",AG40/BY40*100)</f>
        <v>70</v>
      </c>
      <c r="AI40" s="41" t="n">
        <f aca="false">IF(AH40="","",IFERROR(MATCH(AH40,INDEX(Boundaries!$B$2:$I$30,MATCH(CM40,Boundaries!$A$2:$A$30,0),0),1)-1,""))</f>
        <v>6</v>
      </c>
      <c r="AJ40" s="42" t="n">
        <f aca="false">IF(OR(AI40="",$E40=""),"",AI40-$E40)</f>
        <v>0.0999999999999996</v>
      </c>
      <c r="AK40" s="39" t="n">
        <v>27</v>
      </c>
      <c r="AL40" s="40" t="n">
        <f aca="false">IF(OR(AK40="",BZ40=""),"",AK40/BZ40*100)</f>
        <v>67.5</v>
      </c>
      <c r="AM40" s="41" t="n">
        <f aca="false">IF(AL40="","",IFERROR(MATCH(AL40,INDEX(Boundaries!$B$2:$I$30,MATCH(CN40,Boundaries!$A$2:$A$30,0),0),1)-1,""))</f>
        <v>6</v>
      </c>
      <c r="AN40" s="42" t="n">
        <f aca="false">IF(OR(AM40="",$E40=""),"",AM40-$E40)</f>
        <v>0.0999999999999996</v>
      </c>
      <c r="AO40" s="39" t="n">
        <v>39</v>
      </c>
      <c r="AP40" s="40" t="n">
        <f aca="false">IF(OR(AO40="",CA40=""),"",AO40/CA40*100)</f>
        <v>78</v>
      </c>
      <c r="AQ40" s="41" t="n">
        <f aca="false">IF(AP40="","",IFERROR(MATCH(AP40,INDEX(Boundaries!$B$2:$I$30,MATCH(CO40,Boundaries!$A$2:$A$30,0),0),1)-1,""))</f>
        <v>6</v>
      </c>
      <c r="AR40" s="42" t="n">
        <f aca="false">IF(OR(AQ40="",$E40=""),"",AQ40-$E40)</f>
        <v>0.0999999999999996</v>
      </c>
      <c r="AS40" s="39"/>
      <c r="AT40" s="40" t="str">
        <f aca="false">IF(OR(AS40="",CB40=""),"",AS40/CB40*100)</f>
        <v/>
      </c>
      <c r="AU40" s="41" t="str">
        <f aca="false">IF(AT40="","",IFERROR(MATCH(AT40,INDEX(Boundaries!$B$2:$I$30,MATCH(CP40,Boundaries!$A$2:$A$30,0),0),1)-1,""))</f>
        <v/>
      </c>
      <c r="AV40" s="42" t="str">
        <f aca="false">IF(OR(AU40="",$E40=""),"",AU40-$E40)</f>
        <v/>
      </c>
      <c r="AW40" s="39" t="n">
        <v>10</v>
      </c>
      <c r="AX40" s="40" t="n">
        <f aca="false">IF(OR(AW40="",CC40=""),"",AW40/CC40*100)</f>
        <v>62.5</v>
      </c>
      <c r="AY40" s="41" t="n">
        <f aca="false">IF(AX40="","",IFERROR(MATCH(AX40,INDEX(Boundaries!$B$2:$I$30,MATCH(CQ40,Boundaries!$A$2:$A$30,0),0),1)-1,""))</f>
        <v>5</v>
      </c>
      <c r="AZ40" s="42" t="n">
        <f aca="false">IF(OR(AY40="",$E40=""),"",AY40-$E40)</f>
        <v>-0.9</v>
      </c>
      <c r="BA40" s="39" t="n">
        <v>26</v>
      </c>
      <c r="BB40" s="40" t="n">
        <f aca="false">IF(OR(BA40="",CD40=""),"",BA40/CD40*100)</f>
        <v>86.6666666666667</v>
      </c>
      <c r="BC40" s="41" t="n">
        <f aca="false">IF(BB40="","",IFERROR(MATCH(BB40,INDEX(Boundaries!$B$2:$I$30,MATCH(CR40,Boundaries!$A$2:$A$30,0),0),1)-1,""))</f>
        <v>7</v>
      </c>
      <c r="BD40" s="42" t="n">
        <f aca="false">IF(OR(BC40="",$E40=""),"",BC40-$E40)</f>
        <v>1.1</v>
      </c>
      <c r="BE40" s="39"/>
      <c r="BF40" s="40" t="str">
        <f aca="false">IF(OR(BE40="",CE40=""),"",BE40/CE40*100)</f>
        <v/>
      </c>
      <c r="BG40" s="41" t="str">
        <f aca="false">IF(BF40="","",IFERROR(MATCH(BF40,INDEX(Boundaries!$B$2:$I$30,MATCH(CS40,Boundaries!$A$2:$A$30,0),0),1)-1,""))</f>
        <v/>
      </c>
      <c r="BH40" s="42" t="str">
        <f aca="false">IF(OR(BG40="",$E40=""),"",BG40-$E40)</f>
        <v/>
      </c>
      <c r="BI40" s="39"/>
      <c r="BJ40" s="40" t="str">
        <f aca="false">IF(OR(BI40="",CF40=""),"",BI40/CF40*100)</f>
        <v/>
      </c>
      <c r="BK40" s="41" t="str">
        <f aca="false">IF(BJ40="","",IFERROR(MATCH(BJ40,INDEX(Boundaries!$B$2:$I$30,MATCH(CT40,Boundaries!$A$2:$A$30,0),0),1)-1,""))</f>
        <v/>
      </c>
      <c r="BL40" s="42" t="str">
        <f aca="false">IF(OR(BK40="",$E40=""),"",BK40-$E40)</f>
        <v/>
      </c>
      <c r="BM40" s="39"/>
      <c r="BN40" s="40" t="str">
        <f aca="false">IF(OR(BM40="",CG40=""),"",BM40/CG40*100)</f>
        <v/>
      </c>
      <c r="BO40" s="41" t="str">
        <f aca="false">IF(BN40="","",IFERROR(MATCH(BN40,INDEX(Boundaries!$B$2:$I$30,MATCH(CU40,Boundaries!$A$2:$A$30,0),0),1)-1,""))</f>
        <v/>
      </c>
      <c r="BP40" s="42" t="str">
        <f aca="false">IF(OR(BO40="",$E40=""),"",BO40-$E40)</f>
        <v/>
      </c>
      <c r="BQ40" s="39"/>
      <c r="BR40" s="40" t="str">
        <f aca="false">IF(OR(BQ40="",CH40=""),"",BQ40/CH40*100)</f>
        <v/>
      </c>
      <c r="BS40" s="41" t="str">
        <f aca="false">IF(BR40="","",IFERROR(MATCH(BR40,INDEX(Boundaries!$B$2:$I$30,MATCH(CV40,Boundaries!$A$2:$A$30,0),0),1)-1,""))</f>
        <v/>
      </c>
      <c r="BT40" s="42" t="str">
        <f aca="false">IF(OR(BS40="",$E40=""),"",BS40-$E40)</f>
        <v/>
      </c>
      <c r="BU40" s="28" t="n">
        <f aca="false">IFERROR(INDEX(Assessments!$H$2:$H$600,MATCH($H40&amp;"|"&amp;$I40&amp;"|"&amp;$J40&amp;"|"&amp;1,Assessments!$A$2:$A$600,0)),"")</f>
        <v>20</v>
      </c>
      <c r="BV40" s="28" t="n">
        <f aca="false">IFERROR(INDEX(Assessments!$H$2:$H$600,MATCH($H40&amp;"|"&amp;$I40&amp;"|"&amp;$J40&amp;"|"&amp;2,Assessments!$A$2:$A$600,0)),"")</f>
        <v>20</v>
      </c>
      <c r="BW40" s="28" t="n">
        <f aca="false">IFERROR(INDEX(Assessments!$H$2:$H$600,MATCH($H40&amp;"|"&amp;$I40&amp;"|"&amp;$J40&amp;"|"&amp;3,Assessments!$A$2:$A$600,0)),"")</f>
        <v>20</v>
      </c>
      <c r="BX40" s="28" t="n">
        <f aca="false">IFERROR(INDEX(Assessments!$H$2:$H$600,MATCH($H40&amp;"|"&amp;$I40&amp;"|"&amp;$J40&amp;"|"&amp;4,Assessments!$A$2:$A$600,0)),"")</f>
        <v>20</v>
      </c>
      <c r="BY40" s="28" t="n">
        <f aca="false">IFERROR(INDEX(Assessments!$H$2:$H$600,MATCH($H40&amp;"|"&amp;$I40&amp;"|"&amp;$J40&amp;"|"&amp;5,Assessments!$A$2:$A$600,0)),"")</f>
        <v>20</v>
      </c>
      <c r="BZ40" s="28" t="n">
        <f aca="false">IFERROR(INDEX(Assessments!$H$2:$H$600,MATCH($H40&amp;"|"&amp;$I40&amp;"|"&amp;$J40&amp;"|"&amp;6,Assessments!$A$2:$A$600,0)),"")</f>
        <v>40</v>
      </c>
      <c r="CA40" s="28" t="n">
        <f aca="false">IFERROR(INDEX(Assessments!$H$2:$H$600,MATCH($H40&amp;"|"&amp;$I40&amp;"|"&amp;$J40&amp;"|"&amp;7,Assessments!$A$2:$A$600,0)),"")</f>
        <v>50</v>
      </c>
      <c r="CB40" s="28" t="n">
        <f aca="false">IFERROR(INDEX(Assessments!$H$2:$H$600,MATCH($H40&amp;"|"&amp;$I40&amp;"|"&amp;$J40&amp;"|"&amp;8,Assessments!$A$2:$A$600,0)),"")</f>
        <v>25</v>
      </c>
      <c r="CC40" s="28" t="n">
        <f aca="false">IFERROR(INDEX(Assessments!$H$2:$H$600,MATCH($H40&amp;"|"&amp;$I40&amp;"|"&amp;$J40&amp;"|"&amp;9,Assessments!$A$2:$A$600,0)),"")</f>
        <v>16</v>
      </c>
      <c r="CD40" s="28" t="n">
        <f aca="false">IFERROR(INDEX(Assessments!$H$2:$H$600,MATCH($H40&amp;"|"&amp;$I40&amp;"|"&amp;$J40&amp;"|"&amp;10,Assessments!$A$2:$A$600,0)),"")</f>
        <v>30</v>
      </c>
      <c r="CE40" s="28" t="str">
        <f aca="false">IFERROR(INDEX(Assessments!$H$2:$H$600,MATCH($H40&amp;"|"&amp;$I40&amp;"|"&amp;$J40&amp;"|"&amp;11,Assessments!$A$2:$A$600,0)),"")</f>
        <v/>
      </c>
      <c r="CF40" s="28" t="str">
        <f aca="false">IFERROR(INDEX(Assessments!$H$2:$H$600,MATCH($H40&amp;"|"&amp;$I40&amp;"|"&amp;$J40&amp;"|"&amp;12,Assessments!$A$2:$A$600,0)),"")</f>
        <v/>
      </c>
      <c r="CG40" s="28" t="str">
        <f aca="false">IFERROR(INDEX(Assessments!$H$2:$H$600,MATCH($H40&amp;"|"&amp;$I40&amp;"|"&amp;$J40&amp;"|"&amp;13,Assessments!$A$2:$A$600,0)),"")</f>
        <v/>
      </c>
      <c r="CH40" s="28" t="str">
        <f aca="false">IFERROR(INDEX(Assessments!$H$2:$H$600,MATCH($H40&amp;"|"&amp;$I40&amp;"|"&amp;$J40&amp;"|"&amp;14,Assessments!$A$2:$A$600,0)),"")</f>
        <v/>
      </c>
      <c r="CI40" s="28" t="str">
        <f aca="false">IFERROR(INDEX(Assessments!$I$2:$I$600,MATCH($H40&amp;"|"&amp;$I40&amp;"|"&amp;$J40&amp;"|"&amp;1,Assessments!$A$2:$A$600,0)),"")</f>
        <v>Geog Paper 1</v>
      </c>
      <c r="CJ40" s="28" t="str">
        <f aca="false">IFERROR(INDEX(Assessments!$I$2:$I$600,MATCH($H40&amp;"|"&amp;$I40&amp;"|"&amp;$J40&amp;"|"&amp;2,Assessments!$A$2:$A$600,0)),"")</f>
        <v>Geog Paper 1</v>
      </c>
      <c r="CK40" s="28" t="str">
        <f aca="false">IFERROR(INDEX(Assessments!$I$2:$I$600,MATCH($H40&amp;"|"&amp;$I40&amp;"|"&amp;$J40&amp;"|"&amp;3,Assessments!$A$2:$A$600,0)),"")</f>
        <v>Geog Paper 2</v>
      </c>
      <c r="CL40" s="28" t="str">
        <f aca="false">IFERROR(INDEX(Assessments!$I$2:$I$600,MATCH($H40&amp;"|"&amp;$I40&amp;"|"&amp;$J40&amp;"|"&amp;4,Assessments!$A$2:$A$600,0)),"")</f>
        <v>Geog Paper 1</v>
      </c>
      <c r="CM40" s="28" t="str">
        <f aca="false">IFERROR(INDEX(Assessments!$I$2:$I$600,MATCH($H40&amp;"|"&amp;$I40&amp;"|"&amp;$J40&amp;"|"&amp;5,Assessments!$A$2:$A$600,0)),"")</f>
        <v>Geog Paper 1</v>
      </c>
      <c r="CN40" s="28" t="str">
        <f aca="false">IFERROR(INDEX(Assessments!$I$2:$I$600,MATCH($H40&amp;"|"&amp;$I40&amp;"|"&amp;$J40&amp;"|"&amp;6,Assessments!$A$2:$A$600,0)),"")</f>
        <v>Geog Paper 1</v>
      </c>
      <c r="CO40" s="28" t="str">
        <f aca="false">IFERROR(INDEX(Assessments!$I$2:$I$600,MATCH($H40&amp;"|"&amp;$I40&amp;"|"&amp;$J40&amp;"|"&amp;7,Assessments!$A$2:$A$600,0)),"")</f>
        <v>Geog Paper 2</v>
      </c>
      <c r="CP40" s="28" t="str">
        <f aca="false">IFERROR(INDEX(Assessments!$I$2:$I$600,MATCH($H40&amp;"|"&amp;$I40&amp;"|"&amp;$J40&amp;"|"&amp;8,Assessments!$A$2:$A$600,0)),"")</f>
        <v>Geog Paper 2</v>
      </c>
      <c r="CQ40" s="28" t="str">
        <f aca="false">IFERROR(INDEX(Assessments!$I$2:$I$600,MATCH($H40&amp;"|"&amp;$I40&amp;"|"&amp;$J40&amp;"|"&amp;9,Assessments!$A$2:$A$600,0)),"")</f>
        <v>Geog Paper 3</v>
      </c>
      <c r="CR40" s="28" t="str">
        <f aca="false">IFERROR(INDEX(Assessments!$I$2:$I$600,MATCH($H40&amp;"|"&amp;$I40&amp;"|"&amp;$J40&amp;"|"&amp;10,Assessments!$A$2:$A$600,0)),"")</f>
        <v>Geog Paper 2</v>
      </c>
      <c r="CS40" s="28" t="str">
        <f aca="false">IFERROR(INDEX(Assessments!$I$2:$I$600,MATCH($H40&amp;"|"&amp;$I40&amp;"|"&amp;$J40&amp;"|"&amp;11,Assessments!$A$2:$A$600,0)),"")</f>
        <v/>
      </c>
      <c r="CT40" s="28" t="str">
        <f aca="false">IFERROR(INDEX(Assessments!$I$2:$I$600,MATCH($H40&amp;"|"&amp;$I40&amp;"|"&amp;$J40&amp;"|"&amp;12,Assessments!$A$2:$A$600,0)),"")</f>
        <v/>
      </c>
      <c r="CU40" s="28" t="str">
        <f aca="false">IFERROR(INDEX(Assessments!$I$2:$I$600,MATCH($H40&amp;"|"&amp;$I40&amp;"|"&amp;$J40&amp;"|"&amp;13,Assessments!$A$2:$A$600,0)),"")</f>
        <v/>
      </c>
      <c r="CV40" s="28" t="str">
        <f aca="false">IFERROR(INDEX(Assessments!$I$2:$I$600,MATCH($H40&amp;"|"&amp;$I40&amp;"|"&amp;$J40&amp;"|"&amp;14,Assessments!$A$2:$A$600,0)),"")</f>
        <v/>
      </c>
      <c r="CW40" s="28" t="n">
        <f aca="false">IFERROR(INDEX(Assessments!$J$2:$J$600,MATCH($H40&amp;"|"&amp;$I40&amp;"|"&amp;$J40&amp;"|"&amp;1,Assessments!$A$2:$A$600,0)),0)</f>
        <v>1</v>
      </c>
      <c r="CX40" s="28" t="n">
        <f aca="false">IFERROR(INDEX(Assessments!$J$2:$J$600,MATCH($H40&amp;"|"&amp;$I40&amp;"|"&amp;$J40&amp;"|"&amp;2,Assessments!$A$2:$A$600,0)),0)</f>
        <v>1</v>
      </c>
      <c r="CY40" s="28" t="n">
        <f aca="false">IFERROR(INDEX(Assessments!$J$2:$J$600,MATCH($H40&amp;"|"&amp;$I40&amp;"|"&amp;$J40&amp;"|"&amp;3,Assessments!$A$2:$A$600,0)),0)</f>
        <v>1</v>
      </c>
      <c r="CZ40" s="28" t="n">
        <f aca="false">IFERROR(INDEX(Assessments!$J$2:$J$600,MATCH($H40&amp;"|"&amp;$I40&amp;"|"&amp;$J40&amp;"|"&amp;4,Assessments!$A$2:$A$600,0)),0)</f>
        <v>1</v>
      </c>
      <c r="DA40" s="28" t="n">
        <f aca="false">IFERROR(INDEX(Assessments!$J$2:$J$600,MATCH($H40&amp;"|"&amp;$I40&amp;"|"&amp;$J40&amp;"|"&amp;5,Assessments!$A$2:$A$600,0)),0)</f>
        <v>1</v>
      </c>
      <c r="DB40" s="28" t="n">
        <f aca="false">IFERROR(INDEX(Assessments!$J$2:$J$600,MATCH($H40&amp;"|"&amp;$I40&amp;"|"&amp;$J40&amp;"|"&amp;6,Assessments!$A$2:$A$600,0)),0)</f>
        <v>2</v>
      </c>
      <c r="DC40" s="28" t="n">
        <f aca="false">IFERROR(INDEX(Assessments!$J$2:$J$600,MATCH($H40&amp;"|"&amp;$I40&amp;"|"&amp;$J40&amp;"|"&amp;7,Assessments!$A$2:$A$600,0)),0)</f>
        <v>2</v>
      </c>
      <c r="DD40" s="28" t="n">
        <f aca="false">IFERROR(INDEX(Assessments!$J$2:$J$600,MATCH($H40&amp;"|"&amp;$I40&amp;"|"&amp;$J40&amp;"|"&amp;8,Assessments!$A$2:$A$600,0)),0)</f>
        <v>1</v>
      </c>
      <c r="DE40" s="28" t="n">
        <f aca="false">IFERROR(INDEX(Assessments!$J$2:$J$600,MATCH($H40&amp;"|"&amp;$I40&amp;"|"&amp;$J40&amp;"|"&amp;9,Assessments!$A$2:$A$600,0)),0)</f>
        <v>1</v>
      </c>
      <c r="DF40" s="28" t="n">
        <f aca="false">IFERROR(INDEX(Assessments!$J$2:$J$600,MATCH($H40&amp;"|"&amp;$I40&amp;"|"&amp;$J40&amp;"|"&amp;10,Assessments!$A$2:$A$600,0)),0)</f>
        <v>1</v>
      </c>
      <c r="DG40" s="28" t="n">
        <f aca="false">IFERROR(INDEX(Assessments!$J$2:$J$600,MATCH($H40&amp;"|"&amp;$I40&amp;"|"&amp;$J40&amp;"|"&amp;11,Assessments!$A$2:$A$600,0)),0)</f>
        <v>0</v>
      </c>
      <c r="DH40" s="28" t="n">
        <f aca="false">IFERROR(INDEX(Assessments!$J$2:$J$600,MATCH($H40&amp;"|"&amp;$I40&amp;"|"&amp;$J40&amp;"|"&amp;12,Assessments!$A$2:$A$600,0)),0)</f>
        <v>0</v>
      </c>
      <c r="DI40" s="28" t="n">
        <f aca="false">IFERROR(INDEX(Assessments!$J$2:$J$600,MATCH($H40&amp;"|"&amp;$I40&amp;"|"&amp;$J40&amp;"|"&amp;13,Assessments!$A$2:$A$600,0)),0)</f>
        <v>0</v>
      </c>
      <c r="DJ40" s="28" t="n">
        <f aca="false">IFERROR(INDEX(Assessments!$J$2:$J$600,MATCH($H40&amp;"|"&amp;$I40&amp;"|"&amp;$J40&amp;"|"&amp;14,Assessments!$A$2:$A$600,0)),0)</f>
        <v>0</v>
      </c>
      <c r="DK40" s="28" t="n">
        <f aca="false">S40</f>
        <v>5</v>
      </c>
      <c r="DL40" s="28" t="n">
        <f aca="false">W40</f>
        <v>4</v>
      </c>
      <c r="DM40" s="28" t="n">
        <f aca="false">AA40</f>
        <v>6</v>
      </c>
      <c r="DN40" s="28" t="n">
        <f aca="false">AE40</f>
        <v>6</v>
      </c>
      <c r="DO40" s="28" t="n">
        <f aca="false">AI40</f>
        <v>6</v>
      </c>
      <c r="DP40" s="28" t="n">
        <f aca="false">AM40</f>
        <v>6</v>
      </c>
      <c r="DQ40" s="28" t="n">
        <f aca="false">AQ40</f>
        <v>6</v>
      </c>
      <c r="DR40" s="28" t="str">
        <f aca="false">AU40</f>
        <v/>
      </c>
      <c r="DS40" s="28" t="n">
        <f aca="false">AY40</f>
        <v>5</v>
      </c>
      <c r="DT40" s="28" t="n">
        <f aca="false">BC40</f>
        <v>7</v>
      </c>
      <c r="DU40" s="28" t="str">
        <f aca="false">BG40</f>
        <v/>
      </c>
      <c r="DV40" s="28" t="str">
        <f aca="false">BK40</f>
        <v/>
      </c>
      <c r="DW40" s="28" t="str">
        <f aca="false">BO40</f>
        <v/>
      </c>
      <c r="DX40" s="28" t="str">
        <f aca="false">BS40</f>
        <v/>
      </c>
      <c r="DY40" s="28" t="n">
        <f aca="false">IF(ISNUMBER(S40),1,"")</f>
        <v>1</v>
      </c>
      <c r="DZ40" s="28" t="n">
        <f aca="false">IF(ISNUMBER(W40),2,"")</f>
        <v>2</v>
      </c>
      <c r="EA40" s="28" t="n">
        <f aca="false">IF(ISNUMBER(AA40),3,"")</f>
        <v>3</v>
      </c>
      <c r="EB40" s="28" t="n">
        <f aca="false">IF(ISNUMBER(AE40),4,"")</f>
        <v>4</v>
      </c>
      <c r="EC40" s="28" t="n">
        <f aca="false">IF(ISNUMBER(AI40),5,"")</f>
        <v>5</v>
      </c>
      <c r="ED40" s="28" t="n">
        <f aca="false">IF(ISNUMBER(AM40),6,"")</f>
        <v>6</v>
      </c>
      <c r="EE40" s="28" t="n">
        <f aca="false">IF(ISNUMBER(AQ40),7,"")</f>
        <v>7</v>
      </c>
      <c r="EF40" s="28" t="str">
        <f aca="false">IF(ISNUMBER(AU40),8,"")</f>
        <v/>
      </c>
      <c r="EG40" s="28" t="n">
        <f aca="false">IF(ISNUMBER(AY40),9,"")</f>
        <v>9</v>
      </c>
      <c r="EH40" s="28" t="n">
        <f aca="false">IF(ISNUMBER(BC40),10,"")</f>
        <v>10</v>
      </c>
      <c r="EI40" s="28" t="str">
        <f aca="false">IF(ISNUMBER(BG40),11,"")</f>
        <v/>
      </c>
      <c r="EJ40" s="28" t="str">
        <f aca="false">IF(ISNUMBER(BK40),12,"")</f>
        <v/>
      </c>
      <c r="EK40" s="28" t="str">
        <f aca="false">IF(ISNUMBER(BO40),13,"")</f>
        <v/>
      </c>
      <c r="EL40" s="28" t="str">
        <f aca="false">IF(ISNUMBER(BS40),14,"")</f>
        <v/>
      </c>
      <c r="EM40" s="28" t="n">
        <f aca="false">IF(ISNUMBER(R40),R40*CW40,0)</f>
        <v>55</v>
      </c>
      <c r="EN40" s="28" t="n">
        <f aca="false">IF(ISNUMBER(V40),V40*CX40,0)</f>
        <v>50</v>
      </c>
      <c r="EO40" s="28" t="n">
        <f aca="false">IF(ISNUMBER(Z40),Z40*CY40,0)</f>
        <v>75</v>
      </c>
      <c r="EP40" s="28" t="n">
        <f aca="false">IF(ISNUMBER(AD40),AD40*CZ40,0)</f>
        <v>65</v>
      </c>
      <c r="EQ40" s="28" t="n">
        <f aca="false">IF(ISNUMBER(AH40),AH40*DA40,0)</f>
        <v>70</v>
      </c>
      <c r="ER40" s="28" t="n">
        <f aca="false">IF(ISNUMBER(AL40),AL40*DB40,0)</f>
        <v>135</v>
      </c>
      <c r="ES40" s="28" t="n">
        <f aca="false">IF(ISNUMBER(AP40),AP40*DC40,0)</f>
        <v>156</v>
      </c>
      <c r="ET40" s="28" t="n">
        <f aca="false">IF(ISNUMBER(AT40),AT40*DD40,0)</f>
        <v>0</v>
      </c>
      <c r="EU40" s="28" t="n">
        <f aca="false">IF(ISNUMBER(AX40),AX40*DE40,0)</f>
        <v>62.5</v>
      </c>
      <c r="EV40" s="28" t="n">
        <f aca="false">IF(ISNUMBER(BB40),BB40*DF40,0)</f>
        <v>86.6666666666667</v>
      </c>
      <c r="EW40" s="28" t="n">
        <f aca="false">IF(ISNUMBER(BF40),BF40*DG40,0)</f>
        <v>0</v>
      </c>
      <c r="EX40" s="28" t="n">
        <f aca="false">IF(ISNUMBER(BJ40),BJ40*DH40,0)</f>
        <v>0</v>
      </c>
      <c r="EY40" s="28" t="n">
        <f aca="false">IF(ISNUMBER(BN40),BN40*DI40,0)</f>
        <v>0</v>
      </c>
      <c r="EZ40" s="28" t="n">
        <f aca="false">IF(ISNUMBER(BR40),BR40*DJ40,0)</f>
        <v>0</v>
      </c>
      <c r="FA40" s="28" t="n">
        <f aca="false">IF(ISNUMBER(R40),CW40,0)</f>
        <v>1</v>
      </c>
      <c r="FB40" s="28" t="n">
        <f aca="false">IF(ISNUMBER(V40),CX40,0)</f>
        <v>1</v>
      </c>
      <c r="FC40" s="28" t="n">
        <f aca="false">IF(ISNUMBER(Z40),CY40,0)</f>
        <v>1</v>
      </c>
      <c r="FD40" s="28" t="n">
        <f aca="false">IF(ISNUMBER(AD40),CZ40,0)</f>
        <v>1</v>
      </c>
      <c r="FE40" s="28" t="n">
        <f aca="false">IF(ISNUMBER(AH40),DA40,0)</f>
        <v>1</v>
      </c>
      <c r="FF40" s="28" t="n">
        <f aca="false">IF(ISNUMBER(AL40),DB40,0)</f>
        <v>2</v>
      </c>
      <c r="FG40" s="28" t="n">
        <f aca="false">IF(ISNUMBER(AP40),DC40,0)</f>
        <v>2</v>
      </c>
      <c r="FH40" s="28" t="n">
        <f aca="false">IF(ISNUMBER(AT40),DD40,0)</f>
        <v>0</v>
      </c>
      <c r="FI40" s="28" t="n">
        <f aca="false">IF(ISNUMBER(AX40),DE40,0)</f>
        <v>1</v>
      </c>
      <c r="FJ40" s="28" t="n">
        <f aca="false">IF(ISNUMBER(BB40),DF40,0)</f>
        <v>1</v>
      </c>
      <c r="FK40" s="28" t="n">
        <f aca="false">IF(ISNUMBER(BF40),DG40,0)</f>
        <v>0</v>
      </c>
      <c r="FL40" s="28" t="n">
        <f aca="false">IF(ISNUMBER(BJ40),DH40,0)</f>
        <v>0</v>
      </c>
      <c r="FM40" s="28" t="n">
        <f aca="false">IF(ISNUMBER(BN40),DI40,0)</f>
        <v>0</v>
      </c>
      <c r="FN40" s="28" t="n">
        <f aca="false">IF(ISNUMBER(BR40),DJ40,0)</f>
        <v>0</v>
      </c>
      <c r="FO40" s="28" t="str">
        <f aca="false">IFERROR(INDEX(Lists!$G$2:$G$20,MATCH($I40&amp;"|"&amp;$J40,Lists!$F$2:$F$20,0)),"")</f>
        <v>Geog Overall HL</v>
      </c>
    </row>
    <row r="41" customFormat="false" ht="19.5" hidden="false" customHeight="true" outlineLevel="0" collapsed="false">
      <c r="A41" s="29" t="s">
        <v>216</v>
      </c>
      <c r="B41" s="29" t="s">
        <v>217</v>
      </c>
      <c r="C41" s="30" t="s">
        <v>192</v>
      </c>
      <c r="D41" s="30" t="s">
        <v>193</v>
      </c>
      <c r="E41" s="31" t="n">
        <v>6</v>
      </c>
      <c r="F41" s="30" t="n">
        <v>6</v>
      </c>
      <c r="G41" s="30"/>
      <c r="H41" s="32" t="s">
        <v>23</v>
      </c>
      <c r="I41" s="33" t="s">
        <v>24</v>
      </c>
      <c r="J41" s="32" t="s">
        <v>25</v>
      </c>
      <c r="K41" s="34" t="n">
        <f aca="false">IF(OR(M41="",$E41=""),"",M41-$E41)</f>
        <v>0</v>
      </c>
      <c r="L41" s="35" t="n">
        <f aca="false">IF(SUM(FA41:FN41)=0,"",SUM(EM41:EZ41)/SUM(FA41:FN41))</f>
        <v>66.1515151515151</v>
      </c>
      <c r="M41" s="36" t="n">
        <f aca="false">IF(OR(L41="",FO41=""),"",IFERROR(MATCH(L41,INDEX(Boundaries!$B$2:$I$30,MATCH(FO41,Boundaries!$A$2:$A$30,0),0),1)-1,""))</f>
        <v>6</v>
      </c>
      <c r="N41" s="37" t="n">
        <f aca="false">IF(COUNT($DY41:$EL41)&lt;2,"",INDEX($DK41:$DX41,MAX($DY41:$EL41))-INDEX($DK41:$DX41,MIN($DY41:$EL41)))</f>
        <v>1</v>
      </c>
      <c r="O41" s="37" t="n">
        <f aca="false">IF(COUNT($DY41:$EL41)&lt;2,"",INDEX($DK41:$DX41,MAX($DY41:$EL41))-INDEX($DK41:$DX41,LARGE($DY41:$EL41,2)))</f>
        <v>3</v>
      </c>
      <c r="P41" s="38" t="str">
        <f aca="false">IF(K41="","",IF(K41&gt;=0,"On/above target",IF(AND(N41&lt;&gt;"",N41&gt;=0.5),"Improving towards target",IF(AND(O41&lt;&gt;"",O41&lt;=-0.5),"Declining","Stable below target"))))</f>
        <v>On/above target</v>
      </c>
      <c r="Q41" s="39" t="n">
        <v>12</v>
      </c>
      <c r="R41" s="40" t="n">
        <f aca="false">IF(OR(Q41="",BU41=""),"",Q41/BU41*100)</f>
        <v>60</v>
      </c>
      <c r="S41" s="41" t="n">
        <f aca="false">IF(R41="","",IFERROR(MATCH(R41,INDEX(Boundaries!$B$2:$I$30,MATCH(CI41,Boundaries!$A$2:$A$30,0),0),1)-1,""))</f>
        <v>5</v>
      </c>
      <c r="T41" s="42" t="n">
        <f aca="false">IF(OR(S41="",$E41=""),"",S41-$E41)</f>
        <v>-1</v>
      </c>
      <c r="U41" s="39" t="n">
        <v>11</v>
      </c>
      <c r="V41" s="40" t="n">
        <f aca="false">IF(OR(U41="",BV41=""),"",U41/BV41*100)</f>
        <v>55</v>
      </c>
      <c r="W41" s="41" t="n">
        <f aca="false">IF(V41="","",IFERROR(MATCH(V41,INDEX(Boundaries!$B$2:$I$30,MATCH(CJ41,Boundaries!$A$2:$A$30,0),0),1)-1,""))</f>
        <v>5</v>
      </c>
      <c r="X41" s="42" t="n">
        <f aca="false">IF(OR(W41="",$E41=""),"",W41-$E41)</f>
        <v>-1</v>
      </c>
      <c r="Y41" s="39" t="n">
        <v>11</v>
      </c>
      <c r="Z41" s="40" t="n">
        <f aca="false">IF(OR(Y41="",BW41=""),"",Y41/BW41*100)</f>
        <v>55</v>
      </c>
      <c r="AA41" s="41" t="n">
        <f aca="false">IF(Z41="","",IFERROR(MATCH(Z41,INDEX(Boundaries!$B$2:$I$30,MATCH(CK41,Boundaries!$A$2:$A$30,0),0),1)-1,""))</f>
        <v>5</v>
      </c>
      <c r="AB41" s="42" t="n">
        <f aca="false">IF(OR(AA41="",$E41=""),"",AA41-$E41)</f>
        <v>-1</v>
      </c>
      <c r="AC41" s="39" t="n">
        <v>16</v>
      </c>
      <c r="AD41" s="40" t="n">
        <f aca="false">IF(OR(AC41="",BX41=""),"",AC41/BX41*100)</f>
        <v>80</v>
      </c>
      <c r="AE41" s="41" t="n">
        <f aca="false">IF(AD41="","",IFERROR(MATCH(AD41,INDEX(Boundaries!$B$2:$I$30,MATCH(CL41,Boundaries!$A$2:$A$30,0),0),1)-1,""))</f>
        <v>7</v>
      </c>
      <c r="AF41" s="42" t="n">
        <f aca="false">IF(OR(AE41="",$E41=""),"",AE41-$E41)</f>
        <v>1</v>
      </c>
      <c r="AG41" s="39" t="n">
        <v>15</v>
      </c>
      <c r="AH41" s="40" t="n">
        <f aca="false">IF(OR(AG41="",BY41=""),"",AG41/BY41*100)</f>
        <v>75</v>
      </c>
      <c r="AI41" s="41" t="n">
        <f aca="false">IF(AH41="","",IFERROR(MATCH(AH41,INDEX(Boundaries!$B$2:$I$30,MATCH(CM41,Boundaries!$A$2:$A$30,0),0),1)-1,""))</f>
        <v>7</v>
      </c>
      <c r="AJ41" s="42" t="n">
        <f aca="false">IF(OR(AI41="",$E41=""),"",AI41-$E41)</f>
        <v>1</v>
      </c>
      <c r="AK41" s="39" t="n">
        <v>28</v>
      </c>
      <c r="AL41" s="40" t="n">
        <f aca="false">IF(OR(AK41="",BZ41=""),"",AK41/BZ41*100)</f>
        <v>70</v>
      </c>
      <c r="AM41" s="41" t="n">
        <f aca="false">IF(AL41="","",IFERROR(MATCH(AL41,INDEX(Boundaries!$B$2:$I$30,MATCH(CN41,Boundaries!$A$2:$A$30,0),0),1)-1,""))</f>
        <v>6</v>
      </c>
      <c r="AN41" s="42" t="n">
        <f aca="false">IF(OR(AM41="",$E41=""),"",AM41-$E41)</f>
        <v>0</v>
      </c>
      <c r="AO41" s="39" t="n">
        <v>34</v>
      </c>
      <c r="AP41" s="40" t="n">
        <f aca="false">IF(OR(AO41="",CA41=""),"",AO41/CA41*100)</f>
        <v>68</v>
      </c>
      <c r="AQ41" s="41" t="n">
        <f aca="false">IF(AP41="","",IFERROR(MATCH(AP41,INDEX(Boundaries!$B$2:$I$30,MATCH(CO41,Boundaries!$A$2:$A$30,0),0),1)-1,""))</f>
        <v>6</v>
      </c>
      <c r="AR41" s="42" t="n">
        <f aca="false">IF(OR(AQ41="",$E41=""),"",AQ41-$E41)</f>
        <v>0</v>
      </c>
      <c r="AS41" s="39"/>
      <c r="AT41" s="40" t="str">
        <f aca="false">IF(OR(AS41="",CB41=""),"",AS41/CB41*100)</f>
        <v/>
      </c>
      <c r="AU41" s="41" t="str">
        <f aca="false">IF(AT41="","",IFERROR(MATCH(AT41,INDEX(Boundaries!$B$2:$I$30,MATCH(CP41,Boundaries!$A$2:$A$30,0),0),1)-1,""))</f>
        <v/>
      </c>
      <c r="AV41" s="42" t="str">
        <f aca="false">IF(OR(AU41="",$E41=""),"",AU41-$E41)</f>
        <v/>
      </c>
      <c r="AW41" s="39" t="n">
        <v>8</v>
      </c>
      <c r="AX41" s="40" t="n">
        <f aca="false">IF(OR(AW41="",CC41=""),"",AW41/CC41*100)</f>
        <v>50</v>
      </c>
      <c r="AY41" s="41" t="n">
        <f aca="false">IF(AX41="","",IFERROR(MATCH(AX41,INDEX(Boundaries!$B$2:$I$30,MATCH(CQ41,Boundaries!$A$2:$A$30,0),0),1)-1,""))</f>
        <v>3</v>
      </c>
      <c r="AZ41" s="42" t="n">
        <f aca="false">IF(OR(AY41="",$E41=""),"",AY41-$E41)</f>
        <v>-3</v>
      </c>
      <c r="BA41" s="39" t="n">
        <v>23</v>
      </c>
      <c r="BB41" s="40" t="n">
        <f aca="false">IF(OR(BA41="",CD41=""),"",BA41/CD41*100)</f>
        <v>76.6666666666667</v>
      </c>
      <c r="BC41" s="41" t="n">
        <f aca="false">IF(BB41="","",IFERROR(MATCH(BB41,INDEX(Boundaries!$B$2:$I$30,MATCH(CR41,Boundaries!$A$2:$A$30,0),0),1)-1,""))</f>
        <v>6</v>
      </c>
      <c r="BD41" s="42" t="n">
        <f aca="false">IF(OR(BC41="",$E41=""),"",BC41-$E41)</f>
        <v>0</v>
      </c>
      <c r="BE41" s="39"/>
      <c r="BF41" s="40" t="str">
        <f aca="false">IF(OR(BE41="",CE41=""),"",BE41/CE41*100)</f>
        <v/>
      </c>
      <c r="BG41" s="41" t="str">
        <f aca="false">IF(BF41="","",IFERROR(MATCH(BF41,INDEX(Boundaries!$B$2:$I$30,MATCH(CS41,Boundaries!$A$2:$A$30,0),0),1)-1,""))</f>
        <v/>
      </c>
      <c r="BH41" s="42" t="str">
        <f aca="false">IF(OR(BG41="",$E41=""),"",BG41-$E41)</f>
        <v/>
      </c>
      <c r="BI41" s="39"/>
      <c r="BJ41" s="40" t="str">
        <f aca="false">IF(OR(BI41="",CF41=""),"",BI41/CF41*100)</f>
        <v/>
      </c>
      <c r="BK41" s="41" t="str">
        <f aca="false">IF(BJ41="","",IFERROR(MATCH(BJ41,INDEX(Boundaries!$B$2:$I$30,MATCH(CT41,Boundaries!$A$2:$A$30,0),0),1)-1,""))</f>
        <v/>
      </c>
      <c r="BL41" s="42" t="str">
        <f aca="false">IF(OR(BK41="",$E41=""),"",BK41-$E41)</f>
        <v/>
      </c>
      <c r="BM41" s="39"/>
      <c r="BN41" s="40" t="str">
        <f aca="false">IF(OR(BM41="",CG41=""),"",BM41/CG41*100)</f>
        <v/>
      </c>
      <c r="BO41" s="41" t="str">
        <f aca="false">IF(BN41="","",IFERROR(MATCH(BN41,INDEX(Boundaries!$B$2:$I$30,MATCH(CU41,Boundaries!$A$2:$A$30,0),0),1)-1,""))</f>
        <v/>
      </c>
      <c r="BP41" s="42" t="str">
        <f aca="false">IF(OR(BO41="",$E41=""),"",BO41-$E41)</f>
        <v/>
      </c>
      <c r="BQ41" s="39"/>
      <c r="BR41" s="40" t="str">
        <f aca="false">IF(OR(BQ41="",CH41=""),"",BQ41/CH41*100)</f>
        <v/>
      </c>
      <c r="BS41" s="41" t="str">
        <f aca="false">IF(BR41="","",IFERROR(MATCH(BR41,INDEX(Boundaries!$B$2:$I$30,MATCH(CV41,Boundaries!$A$2:$A$30,0),0),1)-1,""))</f>
        <v/>
      </c>
      <c r="BT41" s="42" t="str">
        <f aca="false">IF(OR(BS41="",$E41=""),"",BS41-$E41)</f>
        <v/>
      </c>
      <c r="BU41" s="28" t="n">
        <f aca="false">IFERROR(INDEX(Assessments!$H$2:$H$600,MATCH($H41&amp;"|"&amp;$I41&amp;"|"&amp;$J41&amp;"|"&amp;1,Assessments!$A$2:$A$600,0)),"")</f>
        <v>20</v>
      </c>
      <c r="BV41" s="28" t="n">
        <f aca="false">IFERROR(INDEX(Assessments!$H$2:$H$600,MATCH($H41&amp;"|"&amp;$I41&amp;"|"&amp;$J41&amp;"|"&amp;2,Assessments!$A$2:$A$600,0)),"")</f>
        <v>20</v>
      </c>
      <c r="BW41" s="28" t="n">
        <f aca="false">IFERROR(INDEX(Assessments!$H$2:$H$600,MATCH($H41&amp;"|"&amp;$I41&amp;"|"&amp;$J41&amp;"|"&amp;3,Assessments!$A$2:$A$600,0)),"")</f>
        <v>20</v>
      </c>
      <c r="BX41" s="28" t="n">
        <f aca="false">IFERROR(INDEX(Assessments!$H$2:$H$600,MATCH($H41&amp;"|"&amp;$I41&amp;"|"&amp;$J41&amp;"|"&amp;4,Assessments!$A$2:$A$600,0)),"")</f>
        <v>20</v>
      </c>
      <c r="BY41" s="28" t="n">
        <f aca="false">IFERROR(INDEX(Assessments!$H$2:$H$600,MATCH($H41&amp;"|"&amp;$I41&amp;"|"&amp;$J41&amp;"|"&amp;5,Assessments!$A$2:$A$600,0)),"")</f>
        <v>20</v>
      </c>
      <c r="BZ41" s="28" t="n">
        <f aca="false">IFERROR(INDEX(Assessments!$H$2:$H$600,MATCH($H41&amp;"|"&amp;$I41&amp;"|"&amp;$J41&amp;"|"&amp;6,Assessments!$A$2:$A$600,0)),"")</f>
        <v>40</v>
      </c>
      <c r="CA41" s="28" t="n">
        <f aca="false">IFERROR(INDEX(Assessments!$H$2:$H$600,MATCH($H41&amp;"|"&amp;$I41&amp;"|"&amp;$J41&amp;"|"&amp;7,Assessments!$A$2:$A$600,0)),"")</f>
        <v>50</v>
      </c>
      <c r="CB41" s="28" t="n">
        <f aca="false">IFERROR(INDEX(Assessments!$H$2:$H$600,MATCH($H41&amp;"|"&amp;$I41&amp;"|"&amp;$J41&amp;"|"&amp;8,Assessments!$A$2:$A$600,0)),"")</f>
        <v>25</v>
      </c>
      <c r="CC41" s="28" t="n">
        <f aca="false">IFERROR(INDEX(Assessments!$H$2:$H$600,MATCH($H41&amp;"|"&amp;$I41&amp;"|"&amp;$J41&amp;"|"&amp;9,Assessments!$A$2:$A$600,0)),"")</f>
        <v>16</v>
      </c>
      <c r="CD41" s="28" t="n">
        <f aca="false">IFERROR(INDEX(Assessments!$H$2:$H$600,MATCH($H41&amp;"|"&amp;$I41&amp;"|"&amp;$J41&amp;"|"&amp;10,Assessments!$A$2:$A$600,0)),"")</f>
        <v>30</v>
      </c>
      <c r="CE41" s="28" t="str">
        <f aca="false">IFERROR(INDEX(Assessments!$H$2:$H$600,MATCH($H41&amp;"|"&amp;$I41&amp;"|"&amp;$J41&amp;"|"&amp;11,Assessments!$A$2:$A$600,0)),"")</f>
        <v/>
      </c>
      <c r="CF41" s="28" t="str">
        <f aca="false">IFERROR(INDEX(Assessments!$H$2:$H$600,MATCH($H41&amp;"|"&amp;$I41&amp;"|"&amp;$J41&amp;"|"&amp;12,Assessments!$A$2:$A$600,0)),"")</f>
        <v/>
      </c>
      <c r="CG41" s="28" t="str">
        <f aca="false">IFERROR(INDEX(Assessments!$H$2:$H$600,MATCH($H41&amp;"|"&amp;$I41&amp;"|"&amp;$J41&amp;"|"&amp;13,Assessments!$A$2:$A$600,0)),"")</f>
        <v/>
      </c>
      <c r="CH41" s="28" t="str">
        <f aca="false">IFERROR(INDEX(Assessments!$H$2:$H$600,MATCH($H41&amp;"|"&amp;$I41&amp;"|"&amp;$J41&amp;"|"&amp;14,Assessments!$A$2:$A$600,0)),"")</f>
        <v/>
      </c>
      <c r="CI41" s="28" t="str">
        <f aca="false">IFERROR(INDEX(Assessments!$I$2:$I$600,MATCH($H41&amp;"|"&amp;$I41&amp;"|"&amp;$J41&amp;"|"&amp;1,Assessments!$A$2:$A$600,0)),"")</f>
        <v>Geog Paper 1</v>
      </c>
      <c r="CJ41" s="28" t="str">
        <f aca="false">IFERROR(INDEX(Assessments!$I$2:$I$600,MATCH($H41&amp;"|"&amp;$I41&amp;"|"&amp;$J41&amp;"|"&amp;2,Assessments!$A$2:$A$600,0)),"")</f>
        <v>Geog Paper 1</v>
      </c>
      <c r="CK41" s="28" t="str">
        <f aca="false">IFERROR(INDEX(Assessments!$I$2:$I$600,MATCH($H41&amp;"|"&amp;$I41&amp;"|"&amp;$J41&amp;"|"&amp;3,Assessments!$A$2:$A$600,0)),"")</f>
        <v>Geog Paper 2</v>
      </c>
      <c r="CL41" s="28" t="str">
        <f aca="false">IFERROR(INDEX(Assessments!$I$2:$I$600,MATCH($H41&amp;"|"&amp;$I41&amp;"|"&amp;$J41&amp;"|"&amp;4,Assessments!$A$2:$A$600,0)),"")</f>
        <v>Geog Paper 1</v>
      </c>
      <c r="CM41" s="28" t="str">
        <f aca="false">IFERROR(INDEX(Assessments!$I$2:$I$600,MATCH($H41&amp;"|"&amp;$I41&amp;"|"&amp;$J41&amp;"|"&amp;5,Assessments!$A$2:$A$600,0)),"")</f>
        <v>Geog Paper 1</v>
      </c>
      <c r="CN41" s="28" t="str">
        <f aca="false">IFERROR(INDEX(Assessments!$I$2:$I$600,MATCH($H41&amp;"|"&amp;$I41&amp;"|"&amp;$J41&amp;"|"&amp;6,Assessments!$A$2:$A$600,0)),"")</f>
        <v>Geog Paper 1</v>
      </c>
      <c r="CO41" s="28" t="str">
        <f aca="false">IFERROR(INDEX(Assessments!$I$2:$I$600,MATCH($H41&amp;"|"&amp;$I41&amp;"|"&amp;$J41&amp;"|"&amp;7,Assessments!$A$2:$A$600,0)),"")</f>
        <v>Geog Paper 2</v>
      </c>
      <c r="CP41" s="28" t="str">
        <f aca="false">IFERROR(INDEX(Assessments!$I$2:$I$600,MATCH($H41&amp;"|"&amp;$I41&amp;"|"&amp;$J41&amp;"|"&amp;8,Assessments!$A$2:$A$600,0)),"")</f>
        <v>Geog Paper 2</v>
      </c>
      <c r="CQ41" s="28" t="str">
        <f aca="false">IFERROR(INDEX(Assessments!$I$2:$I$600,MATCH($H41&amp;"|"&amp;$I41&amp;"|"&amp;$J41&amp;"|"&amp;9,Assessments!$A$2:$A$600,0)),"")</f>
        <v>Geog Paper 3</v>
      </c>
      <c r="CR41" s="28" t="str">
        <f aca="false">IFERROR(INDEX(Assessments!$I$2:$I$600,MATCH($H41&amp;"|"&amp;$I41&amp;"|"&amp;$J41&amp;"|"&amp;10,Assessments!$A$2:$A$600,0)),"")</f>
        <v>Geog Paper 2</v>
      </c>
      <c r="CS41" s="28" t="str">
        <f aca="false">IFERROR(INDEX(Assessments!$I$2:$I$600,MATCH($H41&amp;"|"&amp;$I41&amp;"|"&amp;$J41&amp;"|"&amp;11,Assessments!$A$2:$A$600,0)),"")</f>
        <v/>
      </c>
      <c r="CT41" s="28" t="str">
        <f aca="false">IFERROR(INDEX(Assessments!$I$2:$I$600,MATCH($H41&amp;"|"&amp;$I41&amp;"|"&amp;$J41&amp;"|"&amp;12,Assessments!$A$2:$A$600,0)),"")</f>
        <v/>
      </c>
      <c r="CU41" s="28" t="str">
        <f aca="false">IFERROR(INDEX(Assessments!$I$2:$I$600,MATCH($H41&amp;"|"&amp;$I41&amp;"|"&amp;$J41&amp;"|"&amp;13,Assessments!$A$2:$A$600,0)),"")</f>
        <v/>
      </c>
      <c r="CV41" s="28" t="str">
        <f aca="false">IFERROR(INDEX(Assessments!$I$2:$I$600,MATCH($H41&amp;"|"&amp;$I41&amp;"|"&amp;$J41&amp;"|"&amp;14,Assessments!$A$2:$A$600,0)),"")</f>
        <v/>
      </c>
      <c r="CW41" s="28" t="n">
        <f aca="false">IFERROR(INDEX(Assessments!$J$2:$J$600,MATCH($H41&amp;"|"&amp;$I41&amp;"|"&amp;$J41&amp;"|"&amp;1,Assessments!$A$2:$A$600,0)),0)</f>
        <v>1</v>
      </c>
      <c r="CX41" s="28" t="n">
        <f aca="false">IFERROR(INDEX(Assessments!$J$2:$J$600,MATCH($H41&amp;"|"&amp;$I41&amp;"|"&amp;$J41&amp;"|"&amp;2,Assessments!$A$2:$A$600,0)),0)</f>
        <v>1</v>
      </c>
      <c r="CY41" s="28" t="n">
        <f aca="false">IFERROR(INDEX(Assessments!$J$2:$J$600,MATCH($H41&amp;"|"&amp;$I41&amp;"|"&amp;$J41&amp;"|"&amp;3,Assessments!$A$2:$A$600,0)),0)</f>
        <v>1</v>
      </c>
      <c r="CZ41" s="28" t="n">
        <f aca="false">IFERROR(INDEX(Assessments!$J$2:$J$600,MATCH($H41&amp;"|"&amp;$I41&amp;"|"&amp;$J41&amp;"|"&amp;4,Assessments!$A$2:$A$600,0)),0)</f>
        <v>1</v>
      </c>
      <c r="DA41" s="28" t="n">
        <f aca="false">IFERROR(INDEX(Assessments!$J$2:$J$600,MATCH($H41&amp;"|"&amp;$I41&amp;"|"&amp;$J41&amp;"|"&amp;5,Assessments!$A$2:$A$600,0)),0)</f>
        <v>1</v>
      </c>
      <c r="DB41" s="28" t="n">
        <f aca="false">IFERROR(INDEX(Assessments!$J$2:$J$600,MATCH($H41&amp;"|"&amp;$I41&amp;"|"&amp;$J41&amp;"|"&amp;6,Assessments!$A$2:$A$600,0)),0)</f>
        <v>2</v>
      </c>
      <c r="DC41" s="28" t="n">
        <f aca="false">IFERROR(INDEX(Assessments!$J$2:$J$600,MATCH($H41&amp;"|"&amp;$I41&amp;"|"&amp;$J41&amp;"|"&amp;7,Assessments!$A$2:$A$600,0)),0)</f>
        <v>2</v>
      </c>
      <c r="DD41" s="28" t="n">
        <f aca="false">IFERROR(INDEX(Assessments!$J$2:$J$600,MATCH($H41&amp;"|"&amp;$I41&amp;"|"&amp;$J41&amp;"|"&amp;8,Assessments!$A$2:$A$600,0)),0)</f>
        <v>1</v>
      </c>
      <c r="DE41" s="28" t="n">
        <f aca="false">IFERROR(INDEX(Assessments!$J$2:$J$600,MATCH($H41&amp;"|"&amp;$I41&amp;"|"&amp;$J41&amp;"|"&amp;9,Assessments!$A$2:$A$600,0)),0)</f>
        <v>1</v>
      </c>
      <c r="DF41" s="28" t="n">
        <f aca="false">IFERROR(INDEX(Assessments!$J$2:$J$600,MATCH($H41&amp;"|"&amp;$I41&amp;"|"&amp;$J41&amp;"|"&amp;10,Assessments!$A$2:$A$600,0)),0)</f>
        <v>1</v>
      </c>
      <c r="DG41" s="28" t="n">
        <f aca="false">IFERROR(INDEX(Assessments!$J$2:$J$600,MATCH($H41&amp;"|"&amp;$I41&amp;"|"&amp;$J41&amp;"|"&amp;11,Assessments!$A$2:$A$600,0)),0)</f>
        <v>0</v>
      </c>
      <c r="DH41" s="28" t="n">
        <f aca="false">IFERROR(INDEX(Assessments!$J$2:$J$600,MATCH($H41&amp;"|"&amp;$I41&amp;"|"&amp;$J41&amp;"|"&amp;12,Assessments!$A$2:$A$600,0)),0)</f>
        <v>0</v>
      </c>
      <c r="DI41" s="28" t="n">
        <f aca="false">IFERROR(INDEX(Assessments!$J$2:$J$600,MATCH($H41&amp;"|"&amp;$I41&amp;"|"&amp;$J41&amp;"|"&amp;13,Assessments!$A$2:$A$600,0)),0)</f>
        <v>0</v>
      </c>
      <c r="DJ41" s="28" t="n">
        <f aca="false">IFERROR(INDEX(Assessments!$J$2:$J$600,MATCH($H41&amp;"|"&amp;$I41&amp;"|"&amp;$J41&amp;"|"&amp;14,Assessments!$A$2:$A$600,0)),0)</f>
        <v>0</v>
      </c>
      <c r="DK41" s="28" t="n">
        <f aca="false">S41</f>
        <v>5</v>
      </c>
      <c r="DL41" s="28" t="n">
        <f aca="false">W41</f>
        <v>5</v>
      </c>
      <c r="DM41" s="28" t="n">
        <f aca="false">AA41</f>
        <v>5</v>
      </c>
      <c r="DN41" s="28" t="n">
        <f aca="false">AE41</f>
        <v>7</v>
      </c>
      <c r="DO41" s="28" t="n">
        <f aca="false">AI41</f>
        <v>7</v>
      </c>
      <c r="DP41" s="28" t="n">
        <f aca="false">AM41</f>
        <v>6</v>
      </c>
      <c r="DQ41" s="28" t="n">
        <f aca="false">AQ41</f>
        <v>6</v>
      </c>
      <c r="DR41" s="28" t="str">
        <f aca="false">AU41</f>
        <v/>
      </c>
      <c r="DS41" s="28" t="n">
        <f aca="false">AY41</f>
        <v>3</v>
      </c>
      <c r="DT41" s="28" t="n">
        <f aca="false">BC41</f>
        <v>6</v>
      </c>
      <c r="DU41" s="28" t="str">
        <f aca="false">BG41</f>
        <v/>
      </c>
      <c r="DV41" s="28" t="str">
        <f aca="false">BK41</f>
        <v/>
      </c>
      <c r="DW41" s="28" t="str">
        <f aca="false">BO41</f>
        <v/>
      </c>
      <c r="DX41" s="28" t="str">
        <f aca="false">BS41</f>
        <v/>
      </c>
      <c r="DY41" s="28" t="n">
        <f aca="false">IF(ISNUMBER(S41),1,"")</f>
        <v>1</v>
      </c>
      <c r="DZ41" s="28" t="n">
        <f aca="false">IF(ISNUMBER(W41),2,"")</f>
        <v>2</v>
      </c>
      <c r="EA41" s="28" t="n">
        <f aca="false">IF(ISNUMBER(AA41),3,"")</f>
        <v>3</v>
      </c>
      <c r="EB41" s="28" t="n">
        <f aca="false">IF(ISNUMBER(AE41),4,"")</f>
        <v>4</v>
      </c>
      <c r="EC41" s="28" t="n">
        <f aca="false">IF(ISNUMBER(AI41),5,"")</f>
        <v>5</v>
      </c>
      <c r="ED41" s="28" t="n">
        <f aca="false">IF(ISNUMBER(AM41),6,"")</f>
        <v>6</v>
      </c>
      <c r="EE41" s="28" t="n">
        <f aca="false">IF(ISNUMBER(AQ41),7,"")</f>
        <v>7</v>
      </c>
      <c r="EF41" s="28" t="str">
        <f aca="false">IF(ISNUMBER(AU41),8,"")</f>
        <v/>
      </c>
      <c r="EG41" s="28" t="n">
        <f aca="false">IF(ISNUMBER(AY41),9,"")</f>
        <v>9</v>
      </c>
      <c r="EH41" s="28" t="n">
        <f aca="false">IF(ISNUMBER(BC41),10,"")</f>
        <v>10</v>
      </c>
      <c r="EI41" s="28" t="str">
        <f aca="false">IF(ISNUMBER(BG41),11,"")</f>
        <v/>
      </c>
      <c r="EJ41" s="28" t="str">
        <f aca="false">IF(ISNUMBER(BK41),12,"")</f>
        <v/>
      </c>
      <c r="EK41" s="28" t="str">
        <f aca="false">IF(ISNUMBER(BO41),13,"")</f>
        <v/>
      </c>
      <c r="EL41" s="28" t="str">
        <f aca="false">IF(ISNUMBER(BS41),14,"")</f>
        <v/>
      </c>
      <c r="EM41" s="28" t="n">
        <f aca="false">IF(ISNUMBER(R41),R41*CW41,0)</f>
        <v>60</v>
      </c>
      <c r="EN41" s="28" t="n">
        <f aca="false">IF(ISNUMBER(V41),V41*CX41,0)</f>
        <v>55</v>
      </c>
      <c r="EO41" s="28" t="n">
        <f aca="false">IF(ISNUMBER(Z41),Z41*CY41,0)</f>
        <v>55</v>
      </c>
      <c r="EP41" s="28" t="n">
        <f aca="false">IF(ISNUMBER(AD41),AD41*CZ41,0)</f>
        <v>80</v>
      </c>
      <c r="EQ41" s="28" t="n">
        <f aca="false">IF(ISNUMBER(AH41),AH41*DA41,0)</f>
        <v>75</v>
      </c>
      <c r="ER41" s="28" t="n">
        <f aca="false">IF(ISNUMBER(AL41),AL41*DB41,0)</f>
        <v>140</v>
      </c>
      <c r="ES41" s="28" t="n">
        <f aca="false">IF(ISNUMBER(AP41),AP41*DC41,0)</f>
        <v>136</v>
      </c>
      <c r="ET41" s="28" t="n">
        <f aca="false">IF(ISNUMBER(AT41),AT41*DD41,0)</f>
        <v>0</v>
      </c>
      <c r="EU41" s="28" t="n">
        <f aca="false">IF(ISNUMBER(AX41),AX41*DE41,0)</f>
        <v>50</v>
      </c>
      <c r="EV41" s="28" t="n">
        <f aca="false">IF(ISNUMBER(BB41),BB41*DF41,0)</f>
        <v>76.6666666666667</v>
      </c>
      <c r="EW41" s="28" t="n">
        <f aca="false">IF(ISNUMBER(BF41),BF41*DG41,0)</f>
        <v>0</v>
      </c>
      <c r="EX41" s="28" t="n">
        <f aca="false">IF(ISNUMBER(BJ41),BJ41*DH41,0)</f>
        <v>0</v>
      </c>
      <c r="EY41" s="28" t="n">
        <f aca="false">IF(ISNUMBER(BN41),BN41*DI41,0)</f>
        <v>0</v>
      </c>
      <c r="EZ41" s="28" t="n">
        <f aca="false">IF(ISNUMBER(BR41),BR41*DJ41,0)</f>
        <v>0</v>
      </c>
      <c r="FA41" s="28" t="n">
        <f aca="false">IF(ISNUMBER(R41),CW41,0)</f>
        <v>1</v>
      </c>
      <c r="FB41" s="28" t="n">
        <f aca="false">IF(ISNUMBER(V41),CX41,0)</f>
        <v>1</v>
      </c>
      <c r="FC41" s="28" t="n">
        <f aca="false">IF(ISNUMBER(Z41),CY41,0)</f>
        <v>1</v>
      </c>
      <c r="FD41" s="28" t="n">
        <f aca="false">IF(ISNUMBER(AD41),CZ41,0)</f>
        <v>1</v>
      </c>
      <c r="FE41" s="28" t="n">
        <f aca="false">IF(ISNUMBER(AH41),DA41,0)</f>
        <v>1</v>
      </c>
      <c r="FF41" s="28" t="n">
        <f aca="false">IF(ISNUMBER(AL41),DB41,0)</f>
        <v>2</v>
      </c>
      <c r="FG41" s="28" t="n">
        <f aca="false">IF(ISNUMBER(AP41),DC41,0)</f>
        <v>2</v>
      </c>
      <c r="FH41" s="28" t="n">
        <f aca="false">IF(ISNUMBER(AT41),DD41,0)</f>
        <v>0</v>
      </c>
      <c r="FI41" s="28" t="n">
        <f aca="false">IF(ISNUMBER(AX41),DE41,0)</f>
        <v>1</v>
      </c>
      <c r="FJ41" s="28" t="n">
        <f aca="false">IF(ISNUMBER(BB41),DF41,0)</f>
        <v>1</v>
      </c>
      <c r="FK41" s="28" t="n">
        <f aca="false">IF(ISNUMBER(BF41),DG41,0)</f>
        <v>0</v>
      </c>
      <c r="FL41" s="28" t="n">
        <f aca="false">IF(ISNUMBER(BJ41),DH41,0)</f>
        <v>0</v>
      </c>
      <c r="FM41" s="28" t="n">
        <f aca="false">IF(ISNUMBER(BN41),DI41,0)</f>
        <v>0</v>
      </c>
      <c r="FN41" s="28" t="n">
        <f aca="false">IF(ISNUMBER(BR41),DJ41,0)</f>
        <v>0</v>
      </c>
      <c r="FO41" s="28" t="str">
        <f aca="false">IFERROR(INDEX(Lists!$G$2:$G$20,MATCH($I41&amp;"|"&amp;$J41,Lists!$F$2:$F$20,0)),"")</f>
        <v>Geog Overall HL</v>
      </c>
    </row>
    <row r="42" customFormat="false" ht="19.5" hidden="false" customHeight="true" outlineLevel="0" collapsed="false">
      <c r="A42" s="29" t="s">
        <v>218</v>
      </c>
      <c r="B42" s="29" t="s">
        <v>219</v>
      </c>
      <c r="C42" s="30" t="s">
        <v>192</v>
      </c>
      <c r="D42" s="30" t="s">
        <v>193</v>
      </c>
      <c r="E42" s="31" t="n">
        <v>6.9</v>
      </c>
      <c r="F42" s="30" t="n">
        <v>7</v>
      </c>
      <c r="G42" s="30"/>
      <c r="H42" s="32" t="s">
        <v>23</v>
      </c>
      <c r="I42" s="33" t="s">
        <v>24</v>
      </c>
      <c r="J42" s="32" t="s">
        <v>25</v>
      </c>
      <c r="K42" s="34" t="n">
        <f aca="false">IF(OR(M42="",$E42=""),"",M42-$E42)</f>
        <v>0.0999999999999996</v>
      </c>
      <c r="L42" s="35" t="n">
        <f aca="false">IF(SUM(FA42:FN42)=0,"",SUM(EM42:EZ42)/SUM(FA42:FN42))</f>
        <v>76.7348484848485</v>
      </c>
      <c r="M42" s="36" t="n">
        <f aca="false">IF(OR(L42="",FO42=""),"",IFERROR(MATCH(L42,INDEX(Boundaries!$B$2:$I$30,MATCH(FO42,Boundaries!$A$2:$A$30,0),0),1)-1,""))</f>
        <v>7</v>
      </c>
      <c r="N42" s="37" t="n">
        <f aca="false">IF(COUNT($DY42:$EL42)&lt;2,"",INDEX($DK42:$DX42,MAX($DY42:$EL42))-INDEX($DK42:$DX42,MIN($DY42:$EL42)))</f>
        <v>0</v>
      </c>
      <c r="O42" s="37" t="n">
        <f aca="false">IF(COUNT($DY42:$EL42)&lt;2,"",INDEX($DK42:$DX42,MAX($DY42:$EL42))-INDEX($DK42:$DX42,LARGE($DY42:$EL42,2)))</f>
        <v>1</v>
      </c>
      <c r="P42" s="38" t="str">
        <f aca="false">IF(K42="","",IF(K42&gt;=0,"On/above target",IF(AND(N42&lt;&gt;"",N42&gt;=0.5),"Improving towards target",IF(AND(O42&lt;&gt;"",O42&lt;=-0.5),"Declining","Stable below target"))))</f>
        <v>On/above target</v>
      </c>
      <c r="Q42" s="39" t="n">
        <v>16</v>
      </c>
      <c r="R42" s="40" t="n">
        <f aca="false">IF(OR(Q42="",BU42=""),"",Q42/BU42*100)</f>
        <v>80</v>
      </c>
      <c r="S42" s="41" t="n">
        <f aca="false">IF(R42="","",IFERROR(MATCH(R42,INDEX(Boundaries!$B$2:$I$30,MATCH(CI42,Boundaries!$A$2:$A$30,0),0),1)-1,""))</f>
        <v>7</v>
      </c>
      <c r="T42" s="42" t="n">
        <f aca="false">IF(OR(S42="",$E42=""),"",S42-$E42)</f>
        <v>0.0999999999999996</v>
      </c>
      <c r="U42" s="39" t="n">
        <v>18</v>
      </c>
      <c r="V42" s="40" t="n">
        <f aca="false">IF(OR(U42="",BV42=""),"",U42/BV42*100)</f>
        <v>90</v>
      </c>
      <c r="W42" s="41" t="n">
        <f aca="false">IF(V42="","",IFERROR(MATCH(V42,INDEX(Boundaries!$B$2:$I$30,MATCH(CJ42,Boundaries!$A$2:$A$30,0),0),1)-1,""))</f>
        <v>7</v>
      </c>
      <c r="X42" s="42" t="n">
        <f aca="false">IF(OR(W42="",$E42=""),"",W42-$E42)</f>
        <v>0.0999999999999996</v>
      </c>
      <c r="Y42" s="39" t="n">
        <v>13</v>
      </c>
      <c r="Z42" s="40" t="n">
        <f aca="false">IF(OR(Y42="",BW42=""),"",Y42/BW42*100)</f>
        <v>65</v>
      </c>
      <c r="AA42" s="41" t="n">
        <f aca="false">IF(Z42="","",IFERROR(MATCH(Z42,INDEX(Boundaries!$B$2:$I$30,MATCH(CK42,Boundaries!$A$2:$A$30,0),0),1)-1,""))</f>
        <v>5</v>
      </c>
      <c r="AB42" s="42" t="n">
        <f aca="false">IF(OR(AA42="",$E42=""),"",AA42-$E42)</f>
        <v>-1.9</v>
      </c>
      <c r="AC42" s="39" t="n">
        <v>16</v>
      </c>
      <c r="AD42" s="40" t="n">
        <f aca="false">IF(OR(AC42="",BX42=""),"",AC42/BX42*100)</f>
        <v>80</v>
      </c>
      <c r="AE42" s="41" t="n">
        <f aca="false">IF(AD42="","",IFERROR(MATCH(AD42,INDEX(Boundaries!$B$2:$I$30,MATCH(CL42,Boundaries!$A$2:$A$30,0),0),1)-1,""))</f>
        <v>7</v>
      </c>
      <c r="AF42" s="42" t="n">
        <f aca="false">IF(OR(AE42="",$E42=""),"",AE42-$E42)</f>
        <v>0.0999999999999996</v>
      </c>
      <c r="AG42" s="39" t="n">
        <v>17</v>
      </c>
      <c r="AH42" s="40" t="n">
        <f aca="false">IF(OR(AG42="",BY42=""),"",AG42/BY42*100)</f>
        <v>85</v>
      </c>
      <c r="AI42" s="41" t="n">
        <f aca="false">IF(AH42="","",IFERROR(MATCH(AH42,INDEX(Boundaries!$B$2:$I$30,MATCH(CM42,Boundaries!$A$2:$A$30,0),0),1)-1,""))</f>
        <v>7</v>
      </c>
      <c r="AJ42" s="42" t="n">
        <f aca="false">IF(OR(AI42="",$E42=""),"",AI42-$E42)</f>
        <v>0.0999999999999996</v>
      </c>
      <c r="AK42" s="39" t="n">
        <v>30</v>
      </c>
      <c r="AL42" s="40" t="n">
        <f aca="false">IF(OR(AK42="",BZ42=""),"",AK42/BZ42*100)</f>
        <v>75</v>
      </c>
      <c r="AM42" s="41" t="n">
        <f aca="false">IF(AL42="","",IFERROR(MATCH(AL42,INDEX(Boundaries!$B$2:$I$30,MATCH(CN42,Boundaries!$A$2:$A$30,0),0),1)-1,""))</f>
        <v>7</v>
      </c>
      <c r="AN42" s="42" t="n">
        <f aca="false">IF(OR(AM42="",$E42=""),"",AM42-$E42)</f>
        <v>0.0999999999999996</v>
      </c>
      <c r="AO42" s="39" t="n">
        <v>33</v>
      </c>
      <c r="AP42" s="40" t="n">
        <f aca="false">IF(OR(AO42="",CA42=""),"",AO42/CA42*100)</f>
        <v>66</v>
      </c>
      <c r="AQ42" s="41" t="n">
        <f aca="false">IF(AP42="","",IFERROR(MATCH(AP42,INDEX(Boundaries!$B$2:$I$30,MATCH(CO42,Boundaries!$A$2:$A$30,0),0),1)-1,""))</f>
        <v>5</v>
      </c>
      <c r="AR42" s="42" t="n">
        <f aca="false">IF(OR(AQ42="",$E42=""),"",AQ42-$E42)</f>
        <v>-1.9</v>
      </c>
      <c r="AS42" s="39"/>
      <c r="AT42" s="40" t="str">
        <f aca="false">IF(OR(AS42="",CB42=""),"",AS42/CB42*100)</f>
        <v/>
      </c>
      <c r="AU42" s="41" t="str">
        <f aca="false">IF(AT42="","",IFERROR(MATCH(AT42,INDEX(Boundaries!$B$2:$I$30,MATCH(CP42,Boundaries!$A$2:$A$30,0),0),1)-1,""))</f>
        <v/>
      </c>
      <c r="AV42" s="42" t="str">
        <f aca="false">IF(OR(AU42="",$E42=""),"",AU42-$E42)</f>
        <v/>
      </c>
      <c r="AW42" s="39" t="n">
        <v>11</v>
      </c>
      <c r="AX42" s="40" t="n">
        <f aca="false">IF(OR(AW42="",CC42=""),"",AW42/CC42*100)</f>
        <v>68.75</v>
      </c>
      <c r="AY42" s="41" t="n">
        <f aca="false">IF(AX42="","",IFERROR(MATCH(AX42,INDEX(Boundaries!$B$2:$I$30,MATCH(CQ42,Boundaries!$A$2:$A$30,0),0),1)-1,""))</f>
        <v>6</v>
      </c>
      <c r="AZ42" s="42" t="n">
        <f aca="false">IF(OR(AY42="",$E42=""),"",AY42-$E42)</f>
        <v>-0.9</v>
      </c>
      <c r="BA42" s="39" t="n">
        <v>28</v>
      </c>
      <c r="BB42" s="40" t="n">
        <f aca="false">IF(OR(BA42="",CD42=""),"",BA42/CD42*100)</f>
        <v>93.3333333333333</v>
      </c>
      <c r="BC42" s="41" t="n">
        <f aca="false">IF(BB42="","",IFERROR(MATCH(BB42,INDEX(Boundaries!$B$2:$I$30,MATCH(CR42,Boundaries!$A$2:$A$30,0),0),1)-1,""))</f>
        <v>7</v>
      </c>
      <c r="BD42" s="42" t="n">
        <f aca="false">IF(OR(BC42="",$E42=""),"",BC42-$E42)</f>
        <v>0.0999999999999996</v>
      </c>
      <c r="BE42" s="39"/>
      <c r="BF42" s="40" t="str">
        <f aca="false">IF(OR(BE42="",CE42=""),"",BE42/CE42*100)</f>
        <v/>
      </c>
      <c r="BG42" s="41" t="str">
        <f aca="false">IF(BF42="","",IFERROR(MATCH(BF42,INDEX(Boundaries!$B$2:$I$30,MATCH(CS42,Boundaries!$A$2:$A$30,0),0),1)-1,""))</f>
        <v/>
      </c>
      <c r="BH42" s="42" t="str">
        <f aca="false">IF(OR(BG42="",$E42=""),"",BG42-$E42)</f>
        <v/>
      </c>
      <c r="BI42" s="39"/>
      <c r="BJ42" s="40" t="str">
        <f aca="false">IF(OR(BI42="",CF42=""),"",BI42/CF42*100)</f>
        <v/>
      </c>
      <c r="BK42" s="41" t="str">
        <f aca="false">IF(BJ42="","",IFERROR(MATCH(BJ42,INDEX(Boundaries!$B$2:$I$30,MATCH(CT42,Boundaries!$A$2:$A$30,0),0),1)-1,""))</f>
        <v/>
      </c>
      <c r="BL42" s="42" t="str">
        <f aca="false">IF(OR(BK42="",$E42=""),"",BK42-$E42)</f>
        <v/>
      </c>
      <c r="BM42" s="39"/>
      <c r="BN42" s="40" t="str">
        <f aca="false">IF(OR(BM42="",CG42=""),"",BM42/CG42*100)</f>
        <v/>
      </c>
      <c r="BO42" s="41" t="str">
        <f aca="false">IF(BN42="","",IFERROR(MATCH(BN42,INDEX(Boundaries!$B$2:$I$30,MATCH(CU42,Boundaries!$A$2:$A$30,0),0),1)-1,""))</f>
        <v/>
      </c>
      <c r="BP42" s="42" t="str">
        <f aca="false">IF(OR(BO42="",$E42=""),"",BO42-$E42)</f>
        <v/>
      </c>
      <c r="BQ42" s="39"/>
      <c r="BR42" s="40" t="str">
        <f aca="false">IF(OR(BQ42="",CH42=""),"",BQ42/CH42*100)</f>
        <v/>
      </c>
      <c r="BS42" s="41" t="str">
        <f aca="false">IF(BR42="","",IFERROR(MATCH(BR42,INDEX(Boundaries!$B$2:$I$30,MATCH(CV42,Boundaries!$A$2:$A$30,0),0),1)-1,""))</f>
        <v/>
      </c>
      <c r="BT42" s="42" t="str">
        <f aca="false">IF(OR(BS42="",$E42=""),"",BS42-$E42)</f>
        <v/>
      </c>
      <c r="BU42" s="28" t="n">
        <f aca="false">IFERROR(INDEX(Assessments!$H$2:$H$600,MATCH($H42&amp;"|"&amp;$I42&amp;"|"&amp;$J42&amp;"|"&amp;1,Assessments!$A$2:$A$600,0)),"")</f>
        <v>20</v>
      </c>
      <c r="BV42" s="28" t="n">
        <f aca="false">IFERROR(INDEX(Assessments!$H$2:$H$600,MATCH($H42&amp;"|"&amp;$I42&amp;"|"&amp;$J42&amp;"|"&amp;2,Assessments!$A$2:$A$600,0)),"")</f>
        <v>20</v>
      </c>
      <c r="BW42" s="28" t="n">
        <f aca="false">IFERROR(INDEX(Assessments!$H$2:$H$600,MATCH($H42&amp;"|"&amp;$I42&amp;"|"&amp;$J42&amp;"|"&amp;3,Assessments!$A$2:$A$600,0)),"")</f>
        <v>20</v>
      </c>
      <c r="BX42" s="28" t="n">
        <f aca="false">IFERROR(INDEX(Assessments!$H$2:$H$600,MATCH($H42&amp;"|"&amp;$I42&amp;"|"&amp;$J42&amp;"|"&amp;4,Assessments!$A$2:$A$600,0)),"")</f>
        <v>20</v>
      </c>
      <c r="BY42" s="28" t="n">
        <f aca="false">IFERROR(INDEX(Assessments!$H$2:$H$600,MATCH($H42&amp;"|"&amp;$I42&amp;"|"&amp;$J42&amp;"|"&amp;5,Assessments!$A$2:$A$600,0)),"")</f>
        <v>20</v>
      </c>
      <c r="BZ42" s="28" t="n">
        <f aca="false">IFERROR(INDEX(Assessments!$H$2:$H$600,MATCH($H42&amp;"|"&amp;$I42&amp;"|"&amp;$J42&amp;"|"&amp;6,Assessments!$A$2:$A$600,0)),"")</f>
        <v>40</v>
      </c>
      <c r="CA42" s="28" t="n">
        <f aca="false">IFERROR(INDEX(Assessments!$H$2:$H$600,MATCH($H42&amp;"|"&amp;$I42&amp;"|"&amp;$J42&amp;"|"&amp;7,Assessments!$A$2:$A$600,0)),"")</f>
        <v>50</v>
      </c>
      <c r="CB42" s="28" t="n">
        <f aca="false">IFERROR(INDEX(Assessments!$H$2:$H$600,MATCH($H42&amp;"|"&amp;$I42&amp;"|"&amp;$J42&amp;"|"&amp;8,Assessments!$A$2:$A$600,0)),"")</f>
        <v>25</v>
      </c>
      <c r="CC42" s="28" t="n">
        <f aca="false">IFERROR(INDEX(Assessments!$H$2:$H$600,MATCH($H42&amp;"|"&amp;$I42&amp;"|"&amp;$J42&amp;"|"&amp;9,Assessments!$A$2:$A$600,0)),"")</f>
        <v>16</v>
      </c>
      <c r="CD42" s="28" t="n">
        <f aca="false">IFERROR(INDEX(Assessments!$H$2:$H$600,MATCH($H42&amp;"|"&amp;$I42&amp;"|"&amp;$J42&amp;"|"&amp;10,Assessments!$A$2:$A$600,0)),"")</f>
        <v>30</v>
      </c>
      <c r="CE42" s="28" t="str">
        <f aca="false">IFERROR(INDEX(Assessments!$H$2:$H$600,MATCH($H42&amp;"|"&amp;$I42&amp;"|"&amp;$J42&amp;"|"&amp;11,Assessments!$A$2:$A$600,0)),"")</f>
        <v/>
      </c>
      <c r="CF42" s="28" t="str">
        <f aca="false">IFERROR(INDEX(Assessments!$H$2:$H$600,MATCH($H42&amp;"|"&amp;$I42&amp;"|"&amp;$J42&amp;"|"&amp;12,Assessments!$A$2:$A$600,0)),"")</f>
        <v/>
      </c>
      <c r="CG42" s="28" t="str">
        <f aca="false">IFERROR(INDEX(Assessments!$H$2:$H$600,MATCH($H42&amp;"|"&amp;$I42&amp;"|"&amp;$J42&amp;"|"&amp;13,Assessments!$A$2:$A$600,0)),"")</f>
        <v/>
      </c>
      <c r="CH42" s="28" t="str">
        <f aca="false">IFERROR(INDEX(Assessments!$H$2:$H$600,MATCH($H42&amp;"|"&amp;$I42&amp;"|"&amp;$J42&amp;"|"&amp;14,Assessments!$A$2:$A$600,0)),"")</f>
        <v/>
      </c>
      <c r="CI42" s="28" t="str">
        <f aca="false">IFERROR(INDEX(Assessments!$I$2:$I$600,MATCH($H42&amp;"|"&amp;$I42&amp;"|"&amp;$J42&amp;"|"&amp;1,Assessments!$A$2:$A$600,0)),"")</f>
        <v>Geog Paper 1</v>
      </c>
      <c r="CJ42" s="28" t="str">
        <f aca="false">IFERROR(INDEX(Assessments!$I$2:$I$600,MATCH($H42&amp;"|"&amp;$I42&amp;"|"&amp;$J42&amp;"|"&amp;2,Assessments!$A$2:$A$600,0)),"")</f>
        <v>Geog Paper 1</v>
      </c>
      <c r="CK42" s="28" t="str">
        <f aca="false">IFERROR(INDEX(Assessments!$I$2:$I$600,MATCH($H42&amp;"|"&amp;$I42&amp;"|"&amp;$J42&amp;"|"&amp;3,Assessments!$A$2:$A$600,0)),"")</f>
        <v>Geog Paper 2</v>
      </c>
      <c r="CL42" s="28" t="str">
        <f aca="false">IFERROR(INDEX(Assessments!$I$2:$I$600,MATCH($H42&amp;"|"&amp;$I42&amp;"|"&amp;$J42&amp;"|"&amp;4,Assessments!$A$2:$A$600,0)),"")</f>
        <v>Geog Paper 1</v>
      </c>
      <c r="CM42" s="28" t="str">
        <f aca="false">IFERROR(INDEX(Assessments!$I$2:$I$600,MATCH($H42&amp;"|"&amp;$I42&amp;"|"&amp;$J42&amp;"|"&amp;5,Assessments!$A$2:$A$600,0)),"")</f>
        <v>Geog Paper 1</v>
      </c>
      <c r="CN42" s="28" t="str">
        <f aca="false">IFERROR(INDEX(Assessments!$I$2:$I$600,MATCH($H42&amp;"|"&amp;$I42&amp;"|"&amp;$J42&amp;"|"&amp;6,Assessments!$A$2:$A$600,0)),"")</f>
        <v>Geog Paper 1</v>
      </c>
      <c r="CO42" s="28" t="str">
        <f aca="false">IFERROR(INDEX(Assessments!$I$2:$I$600,MATCH($H42&amp;"|"&amp;$I42&amp;"|"&amp;$J42&amp;"|"&amp;7,Assessments!$A$2:$A$600,0)),"")</f>
        <v>Geog Paper 2</v>
      </c>
      <c r="CP42" s="28" t="str">
        <f aca="false">IFERROR(INDEX(Assessments!$I$2:$I$600,MATCH($H42&amp;"|"&amp;$I42&amp;"|"&amp;$J42&amp;"|"&amp;8,Assessments!$A$2:$A$600,0)),"")</f>
        <v>Geog Paper 2</v>
      </c>
      <c r="CQ42" s="28" t="str">
        <f aca="false">IFERROR(INDEX(Assessments!$I$2:$I$600,MATCH($H42&amp;"|"&amp;$I42&amp;"|"&amp;$J42&amp;"|"&amp;9,Assessments!$A$2:$A$600,0)),"")</f>
        <v>Geog Paper 3</v>
      </c>
      <c r="CR42" s="28" t="str">
        <f aca="false">IFERROR(INDEX(Assessments!$I$2:$I$600,MATCH($H42&amp;"|"&amp;$I42&amp;"|"&amp;$J42&amp;"|"&amp;10,Assessments!$A$2:$A$600,0)),"")</f>
        <v>Geog Paper 2</v>
      </c>
      <c r="CS42" s="28" t="str">
        <f aca="false">IFERROR(INDEX(Assessments!$I$2:$I$600,MATCH($H42&amp;"|"&amp;$I42&amp;"|"&amp;$J42&amp;"|"&amp;11,Assessments!$A$2:$A$600,0)),"")</f>
        <v/>
      </c>
      <c r="CT42" s="28" t="str">
        <f aca="false">IFERROR(INDEX(Assessments!$I$2:$I$600,MATCH($H42&amp;"|"&amp;$I42&amp;"|"&amp;$J42&amp;"|"&amp;12,Assessments!$A$2:$A$600,0)),"")</f>
        <v/>
      </c>
      <c r="CU42" s="28" t="str">
        <f aca="false">IFERROR(INDEX(Assessments!$I$2:$I$600,MATCH($H42&amp;"|"&amp;$I42&amp;"|"&amp;$J42&amp;"|"&amp;13,Assessments!$A$2:$A$600,0)),"")</f>
        <v/>
      </c>
      <c r="CV42" s="28" t="str">
        <f aca="false">IFERROR(INDEX(Assessments!$I$2:$I$600,MATCH($H42&amp;"|"&amp;$I42&amp;"|"&amp;$J42&amp;"|"&amp;14,Assessments!$A$2:$A$600,0)),"")</f>
        <v/>
      </c>
      <c r="CW42" s="28" t="n">
        <f aca="false">IFERROR(INDEX(Assessments!$J$2:$J$600,MATCH($H42&amp;"|"&amp;$I42&amp;"|"&amp;$J42&amp;"|"&amp;1,Assessments!$A$2:$A$600,0)),0)</f>
        <v>1</v>
      </c>
      <c r="CX42" s="28" t="n">
        <f aca="false">IFERROR(INDEX(Assessments!$J$2:$J$600,MATCH($H42&amp;"|"&amp;$I42&amp;"|"&amp;$J42&amp;"|"&amp;2,Assessments!$A$2:$A$600,0)),0)</f>
        <v>1</v>
      </c>
      <c r="CY42" s="28" t="n">
        <f aca="false">IFERROR(INDEX(Assessments!$J$2:$J$600,MATCH($H42&amp;"|"&amp;$I42&amp;"|"&amp;$J42&amp;"|"&amp;3,Assessments!$A$2:$A$600,0)),0)</f>
        <v>1</v>
      </c>
      <c r="CZ42" s="28" t="n">
        <f aca="false">IFERROR(INDEX(Assessments!$J$2:$J$600,MATCH($H42&amp;"|"&amp;$I42&amp;"|"&amp;$J42&amp;"|"&amp;4,Assessments!$A$2:$A$600,0)),0)</f>
        <v>1</v>
      </c>
      <c r="DA42" s="28" t="n">
        <f aca="false">IFERROR(INDEX(Assessments!$J$2:$J$600,MATCH($H42&amp;"|"&amp;$I42&amp;"|"&amp;$J42&amp;"|"&amp;5,Assessments!$A$2:$A$600,0)),0)</f>
        <v>1</v>
      </c>
      <c r="DB42" s="28" t="n">
        <f aca="false">IFERROR(INDEX(Assessments!$J$2:$J$600,MATCH($H42&amp;"|"&amp;$I42&amp;"|"&amp;$J42&amp;"|"&amp;6,Assessments!$A$2:$A$600,0)),0)</f>
        <v>2</v>
      </c>
      <c r="DC42" s="28" t="n">
        <f aca="false">IFERROR(INDEX(Assessments!$J$2:$J$600,MATCH($H42&amp;"|"&amp;$I42&amp;"|"&amp;$J42&amp;"|"&amp;7,Assessments!$A$2:$A$600,0)),0)</f>
        <v>2</v>
      </c>
      <c r="DD42" s="28" t="n">
        <f aca="false">IFERROR(INDEX(Assessments!$J$2:$J$600,MATCH($H42&amp;"|"&amp;$I42&amp;"|"&amp;$J42&amp;"|"&amp;8,Assessments!$A$2:$A$600,0)),0)</f>
        <v>1</v>
      </c>
      <c r="DE42" s="28" t="n">
        <f aca="false">IFERROR(INDEX(Assessments!$J$2:$J$600,MATCH($H42&amp;"|"&amp;$I42&amp;"|"&amp;$J42&amp;"|"&amp;9,Assessments!$A$2:$A$600,0)),0)</f>
        <v>1</v>
      </c>
      <c r="DF42" s="28" t="n">
        <f aca="false">IFERROR(INDEX(Assessments!$J$2:$J$600,MATCH($H42&amp;"|"&amp;$I42&amp;"|"&amp;$J42&amp;"|"&amp;10,Assessments!$A$2:$A$600,0)),0)</f>
        <v>1</v>
      </c>
      <c r="DG42" s="28" t="n">
        <f aca="false">IFERROR(INDEX(Assessments!$J$2:$J$600,MATCH($H42&amp;"|"&amp;$I42&amp;"|"&amp;$J42&amp;"|"&amp;11,Assessments!$A$2:$A$600,0)),0)</f>
        <v>0</v>
      </c>
      <c r="DH42" s="28" t="n">
        <f aca="false">IFERROR(INDEX(Assessments!$J$2:$J$600,MATCH($H42&amp;"|"&amp;$I42&amp;"|"&amp;$J42&amp;"|"&amp;12,Assessments!$A$2:$A$600,0)),0)</f>
        <v>0</v>
      </c>
      <c r="DI42" s="28" t="n">
        <f aca="false">IFERROR(INDEX(Assessments!$J$2:$J$600,MATCH($H42&amp;"|"&amp;$I42&amp;"|"&amp;$J42&amp;"|"&amp;13,Assessments!$A$2:$A$600,0)),0)</f>
        <v>0</v>
      </c>
      <c r="DJ42" s="28" t="n">
        <f aca="false">IFERROR(INDEX(Assessments!$J$2:$J$600,MATCH($H42&amp;"|"&amp;$I42&amp;"|"&amp;$J42&amp;"|"&amp;14,Assessments!$A$2:$A$600,0)),0)</f>
        <v>0</v>
      </c>
      <c r="DK42" s="28" t="n">
        <f aca="false">S42</f>
        <v>7</v>
      </c>
      <c r="DL42" s="28" t="n">
        <f aca="false">W42</f>
        <v>7</v>
      </c>
      <c r="DM42" s="28" t="n">
        <f aca="false">AA42</f>
        <v>5</v>
      </c>
      <c r="DN42" s="28" t="n">
        <f aca="false">AE42</f>
        <v>7</v>
      </c>
      <c r="DO42" s="28" t="n">
        <f aca="false">AI42</f>
        <v>7</v>
      </c>
      <c r="DP42" s="28" t="n">
        <f aca="false">AM42</f>
        <v>7</v>
      </c>
      <c r="DQ42" s="28" t="n">
        <f aca="false">AQ42</f>
        <v>5</v>
      </c>
      <c r="DR42" s="28" t="str">
        <f aca="false">AU42</f>
        <v/>
      </c>
      <c r="DS42" s="28" t="n">
        <f aca="false">AY42</f>
        <v>6</v>
      </c>
      <c r="DT42" s="28" t="n">
        <f aca="false">BC42</f>
        <v>7</v>
      </c>
      <c r="DU42" s="28" t="str">
        <f aca="false">BG42</f>
        <v/>
      </c>
      <c r="DV42" s="28" t="str">
        <f aca="false">BK42</f>
        <v/>
      </c>
      <c r="DW42" s="28" t="str">
        <f aca="false">BO42</f>
        <v/>
      </c>
      <c r="DX42" s="28" t="str">
        <f aca="false">BS42</f>
        <v/>
      </c>
      <c r="DY42" s="28" t="n">
        <f aca="false">IF(ISNUMBER(S42),1,"")</f>
        <v>1</v>
      </c>
      <c r="DZ42" s="28" t="n">
        <f aca="false">IF(ISNUMBER(W42),2,"")</f>
        <v>2</v>
      </c>
      <c r="EA42" s="28" t="n">
        <f aca="false">IF(ISNUMBER(AA42),3,"")</f>
        <v>3</v>
      </c>
      <c r="EB42" s="28" t="n">
        <f aca="false">IF(ISNUMBER(AE42),4,"")</f>
        <v>4</v>
      </c>
      <c r="EC42" s="28" t="n">
        <f aca="false">IF(ISNUMBER(AI42),5,"")</f>
        <v>5</v>
      </c>
      <c r="ED42" s="28" t="n">
        <f aca="false">IF(ISNUMBER(AM42),6,"")</f>
        <v>6</v>
      </c>
      <c r="EE42" s="28" t="n">
        <f aca="false">IF(ISNUMBER(AQ42),7,"")</f>
        <v>7</v>
      </c>
      <c r="EF42" s="28" t="str">
        <f aca="false">IF(ISNUMBER(AU42),8,"")</f>
        <v/>
      </c>
      <c r="EG42" s="28" t="n">
        <f aca="false">IF(ISNUMBER(AY42),9,"")</f>
        <v>9</v>
      </c>
      <c r="EH42" s="28" t="n">
        <f aca="false">IF(ISNUMBER(BC42),10,"")</f>
        <v>10</v>
      </c>
      <c r="EI42" s="28" t="str">
        <f aca="false">IF(ISNUMBER(BG42),11,"")</f>
        <v/>
      </c>
      <c r="EJ42" s="28" t="str">
        <f aca="false">IF(ISNUMBER(BK42),12,"")</f>
        <v/>
      </c>
      <c r="EK42" s="28" t="str">
        <f aca="false">IF(ISNUMBER(BO42),13,"")</f>
        <v/>
      </c>
      <c r="EL42" s="28" t="str">
        <f aca="false">IF(ISNUMBER(BS42),14,"")</f>
        <v/>
      </c>
      <c r="EM42" s="28" t="n">
        <f aca="false">IF(ISNUMBER(R42),R42*CW42,0)</f>
        <v>80</v>
      </c>
      <c r="EN42" s="28" t="n">
        <f aca="false">IF(ISNUMBER(V42),V42*CX42,0)</f>
        <v>90</v>
      </c>
      <c r="EO42" s="28" t="n">
        <f aca="false">IF(ISNUMBER(Z42),Z42*CY42,0)</f>
        <v>65</v>
      </c>
      <c r="EP42" s="28" t="n">
        <f aca="false">IF(ISNUMBER(AD42),AD42*CZ42,0)</f>
        <v>80</v>
      </c>
      <c r="EQ42" s="28" t="n">
        <f aca="false">IF(ISNUMBER(AH42),AH42*DA42,0)</f>
        <v>85</v>
      </c>
      <c r="ER42" s="28" t="n">
        <f aca="false">IF(ISNUMBER(AL42),AL42*DB42,0)</f>
        <v>150</v>
      </c>
      <c r="ES42" s="28" t="n">
        <f aca="false">IF(ISNUMBER(AP42),AP42*DC42,0)</f>
        <v>132</v>
      </c>
      <c r="ET42" s="28" t="n">
        <f aca="false">IF(ISNUMBER(AT42),AT42*DD42,0)</f>
        <v>0</v>
      </c>
      <c r="EU42" s="28" t="n">
        <f aca="false">IF(ISNUMBER(AX42),AX42*DE42,0)</f>
        <v>68.75</v>
      </c>
      <c r="EV42" s="28" t="n">
        <f aca="false">IF(ISNUMBER(BB42),BB42*DF42,0)</f>
        <v>93.3333333333333</v>
      </c>
      <c r="EW42" s="28" t="n">
        <f aca="false">IF(ISNUMBER(BF42),BF42*DG42,0)</f>
        <v>0</v>
      </c>
      <c r="EX42" s="28" t="n">
        <f aca="false">IF(ISNUMBER(BJ42),BJ42*DH42,0)</f>
        <v>0</v>
      </c>
      <c r="EY42" s="28" t="n">
        <f aca="false">IF(ISNUMBER(BN42),BN42*DI42,0)</f>
        <v>0</v>
      </c>
      <c r="EZ42" s="28" t="n">
        <f aca="false">IF(ISNUMBER(BR42),BR42*DJ42,0)</f>
        <v>0</v>
      </c>
      <c r="FA42" s="28" t="n">
        <f aca="false">IF(ISNUMBER(R42),CW42,0)</f>
        <v>1</v>
      </c>
      <c r="FB42" s="28" t="n">
        <f aca="false">IF(ISNUMBER(V42),CX42,0)</f>
        <v>1</v>
      </c>
      <c r="FC42" s="28" t="n">
        <f aca="false">IF(ISNUMBER(Z42),CY42,0)</f>
        <v>1</v>
      </c>
      <c r="FD42" s="28" t="n">
        <f aca="false">IF(ISNUMBER(AD42),CZ42,0)</f>
        <v>1</v>
      </c>
      <c r="FE42" s="28" t="n">
        <f aca="false">IF(ISNUMBER(AH42),DA42,0)</f>
        <v>1</v>
      </c>
      <c r="FF42" s="28" t="n">
        <f aca="false">IF(ISNUMBER(AL42),DB42,0)</f>
        <v>2</v>
      </c>
      <c r="FG42" s="28" t="n">
        <f aca="false">IF(ISNUMBER(AP42),DC42,0)</f>
        <v>2</v>
      </c>
      <c r="FH42" s="28" t="n">
        <f aca="false">IF(ISNUMBER(AT42),DD42,0)</f>
        <v>0</v>
      </c>
      <c r="FI42" s="28" t="n">
        <f aca="false">IF(ISNUMBER(AX42),DE42,0)</f>
        <v>1</v>
      </c>
      <c r="FJ42" s="28" t="n">
        <f aca="false">IF(ISNUMBER(BB42),DF42,0)</f>
        <v>1</v>
      </c>
      <c r="FK42" s="28" t="n">
        <f aca="false">IF(ISNUMBER(BF42),DG42,0)</f>
        <v>0</v>
      </c>
      <c r="FL42" s="28" t="n">
        <f aca="false">IF(ISNUMBER(BJ42),DH42,0)</f>
        <v>0</v>
      </c>
      <c r="FM42" s="28" t="n">
        <f aca="false">IF(ISNUMBER(BN42),DI42,0)</f>
        <v>0</v>
      </c>
      <c r="FN42" s="28" t="n">
        <f aca="false">IF(ISNUMBER(BR42),DJ42,0)</f>
        <v>0</v>
      </c>
      <c r="FO42" s="28" t="str">
        <f aca="false">IFERROR(INDEX(Lists!$G$2:$G$20,MATCH($I42&amp;"|"&amp;$J42,Lists!$F$2:$F$20,0)),"")</f>
        <v>Geog Overall HL</v>
      </c>
    </row>
    <row r="43" customFormat="false" ht="19.5" hidden="false" customHeight="true" outlineLevel="0" collapsed="false">
      <c r="A43" s="29" t="s">
        <v>220</v>
      </c>
      <c r="B43" s="29" t="s">
        <v>219</v>
      </c>
      <c r="C43" s="30" t="s">
        <v>192</v>
      </c>
      <c r="D43" s="30" t="s">
        <v>193</v>
      </c>
      <c r="E43" s="31" t="n">
        <v>5.9</v>
      </c>
      <c r="F43" s="30" t="n">
        <v>6</v>
      </c>
      <c r="G43" s="30" t="s">
        <v>154</v>
      </c>
      <c r="H43" s="32" t="s">
        <v>23</v>
      </c>
      <c r="I43" s="33" t="s">
        <v>24</v>
      </c>
      <c r="J43" s="32" t="s">
        <v>25</v>
      </c>
      <c r="K43" s="34" t="n">
        <f aca="false">IF(OR(M43="",$E43=""),"",M43-$E43)</f>
        <v>-1.9</v>
      </c>
      <c r="L43" s="35" t="n">
        <f aca="false">IF(SUM(FA43:FN43)=0,"",SUM(EM43:EZ43)/SUM(FA43:FN43))</f>
        <v>50.9015151515152</v>
      </c>
      <c r="M43" s="36" t="n">
        <f aca="false">IF(OR(L43="",FO43=""),"",IFERROR(MATCH(L43,INDEX(Boundaries!$B$2:$I$30,MATCH(FO43,Boundaries!$A$2:$A$30,0),0),1)-1,""))</f>
        <v>4</v>
      </c>
      <c r="N43" s="37" t="n">
        <f aca="false">IF(COUNT($DY43:$EL43)&lt;2,"",INDEX($DK43:$DX43,MAX($DY43:$EL43))-INDEX($DK43:$DX43,MIN($DY43:$EL43)))</f>
        <v>0</v>
      </c>
      <c r="O43" s="37" t="n">
        <f aca="false">IF(COUNT($DY43:$EL43)&lt;2,"",INDEX($DK43:$DX43,MAX($DY43:$EL43))-INDEX($DK43:$DX43,LARGE($DY43:$EL43,2)))</f>
        <v>1</v>
      </c>
      <c r="P43" s="38" t="str">
        <f aca="false">IF(K43="","",IF(K43&gt;=0,"On/above target",IF(AND(N43&lt;&gt;"",N43&gt;=0.5),"Improving towards target",IF(AND(O43&lt;&gt;"",O43&lt;=-0.5),"Declining","Stable below target"))))</f>
        <v>Stable below target</v>
      </c>
      <c r="Q43" s="39" t="n">
        <v>8</v>
      </c>
      <c r="R43" s="40" t="n">
        <f aca="false">IF(OR(Q43="",BU43=""),"",Q43/BU43*100)</f>
        <v>40</v>
      </c>
      <c r="S43" s="41" t="n">
        <f aca="false">IF(R43="","",IFERROR(MATCH(R43,INDEX(Boundaries!$B$2:$I$30,MATCH(CI43,Boundaries!$A$2:$A$30,0),0),1)-1,""))</f>
        <v>3</v>
      </c>
      <c r="T43" s="42" t="n">
        <f aca="false">IF(OR(S43="",$E43=""),"",S43-$E43)</f>
        <v>-2.9</v>
      </c>
      <c r="U43" s="39" t="n">
        <v>12</v>
      </c>
      <c r="V43" s="40" t="n">
        <f aca="false">IF(OR(U43="",BV43=""),"",U43/BV43*100)</f>
        <v>60</v>
      </c>
      <c r="W43" s="41" t="n">
        <f aca="false">IF(V43="","",IFERROR(MATCH(V43,INDEX(Boundaries!$B$2:$I$30,MATCH(CJ43,Boundaries!$A$2:$A$30,0),0),1)-1,""))</f>
        <v>5</v>
      </c>
      <c r="X43" s="42" t="n">
        <f aca="false">IF(OR(W43="",$E43=""),"",W43-$E43)</f>
        <v>-0.9</v>
      </c>
      <c r="Y43" s="39" t="n">
        <v>10</v>
      </c>
      <c r="Z43" s="40" t="n">
        <f aca="false">IF(OR(Y43="",BW43=""),"",Y43/BW43*100)</f>
        <v>50</v>
      </c>
      <c r="AA43" s="41" t="n">
        <f aca="false">IF(Z43="","",IFERROR(MATCH(Z43,INDEX(Boundaries!$B$2:$I$30,MATCH(CK43,Boundaries!$A$2:$A$30,0),0),1)-1,""))</f>
        <v>4</v>
      </c>
      <c r="AB43" s="42" t="n">
        <f aca="false">IF(OR(AA43="",$E43=""),"",AA43-$E43)</f>
        <v>-1.9</v>
      </c>
      <c r="AC43" s="39" t="n">
        <v>13</v>
      </c>
      <c r="AD43" s="40" t="n">
        <f aca="false">IF(OR(AC43="",BX43=""),"",AC43/BX43*100)</f>
        <v>65</v>
      </c>
      <c r="AE43" s="41" t="n">
        <f aca="false">IF(AD43="","",IFERROR(MATCH(AD43,INDEX(Boundaries!$B$2:$I$30,MATCH(CL43,Boundaries!$A$2:$A$30,0),0),1)-1,""))</f>
        <v>6</v>
      </c>
      <c r="AF43" s="42" t="n">
        <f aca="false">IF(OR(AE43="",$E43=""),"",AE43-$E43)</f>
        <v>0.0999999999999996</v>
      </c>
      <c r="AG43" s="39" t="n">
        <v>12</v>
      </c>
      <c r="AH43" s="40" t="n">
        <f aca="false">IF(OR(AG43="",BY43=""),"",AG43/BY43*100)</f>
        <v>60</v>
      </c>
      <c r="AI43" s="41" t="n">
        <f aca="false">IF(AH43="","",IFERROR(MATCH(AH43,INDEX(Boundaries!$B$2:$I$30,MATCH(CM43,Boundaries!$A$2:$A$30,0),0),1)-1,""))</f>
        <v>5</v>
      </c>
      <c r="AJ43" s="42" t="n">
        <f aca="false">IF(OR(AI43="",$E43=""),"",AI43-$E43)</f>
        <v>-0.9</v>
      </c>
      <c r="AK43" s="39" t="n">
        <v>21</v>
      </c>
      <c r="AL43" s="40" t="n">
        <f aca="false">IF(OR(AK43="",BZ43=""),"",AK43/BZ43*100)</f>
        <v>52.5</v>
      </c>
      <c r="AM43" s="41" t="n">
        <f aca="false">IF(AL43="","",IFERROR(MATCH(AL43,INDEX(Boundaries!$B$2:$I$30,MATCH(CN43,Boundaries!$A$2:$A$30,0),0),1)-1,""))</f>
        <v>4</v>
      </c>
      <c r="AN43" s="42" t="n">
        <f aca="false">IF(OR(AM43="",$E43=""),"",AM43-$E43)</f>
        <v>-1.9</v>
      </c>
      <c r="AO43" s="39" t="n">
        <v>28</v>
      </c>
      <c r="AP43" s="40" t="n">
        <f aca="false">IF(OR(AO43="",CA43=""),"",AO43/CA43*100)</f>
        <v>56</v>
      </c>
      <c r="AQ43" s="41" t="n">
        <f aca="false">IF(AP43="","",IFERROR(MATCH(AP43,INDEX(Boundaries!$B$2:$I$30,MATCH(CO43,Boundaries!$A$2:$A$30,0),0),1)-1,""))</f>
        <v>5</v>
      </c>
      <c r="AR43" s="42" t="n">
        <f aca="false">IF(OR(AQ43="",$E43=""),"",AQ43-$E43)</f>
        <v>-0.9</v>
      </c>
      <c r="AS43" s="39"/>
      <c r="AT43" s="40" t="str">
        <f aca="false">IF(OR(AS43="",CB43=""),"",AS43/CB43*100)</f>
        <v/>
      </c>
      <c r="AU43" s="41" t="str">
        <f aca="false">IF(AT43="","",IFERROR(MATCH(AT43,INDEX(Boundaries!$B$2:$I$30,MATCH(CP43,Boundaries!$A$2:$A$30,0),0),1)-1,""))</f>
        <v/>
      </c>
      <c r="AV43" s="42" t="str">
        <f aca="false">IF(OR(AU43="",$E43=""),"",AU43-$E43)</f>
        <v/>
      </c>
      <c r="AW43" s="39" t="n">
        <v>5</v>
      </c>
      <c r="AX43" s="40" t="n">
        <f aca="false">IF(OR(AW43="",CC43=""),"",AW43/CC43*100)</f>
        <v>31.25</v>
      </c>
      <c r="AY43" s="41" t="n">
        <f aca="false">IF(AX43="","",IFERROR(MATCH(AX43,INDEX(Boundaries!$B$2:$I$30,MATCH(CQ43,Boundaries!$A$2:$A$30,0),0),1)-1,""))</f>
        <v>2</v>
      </c>
      <c r="AZ43" s="42" t="n">
        <f aca="false">IF(OR(AY43="",$E43=""),"",AY43-$E43)</f>
        <v>-3.9</v>
      </c>
      <c r="BA43" s="39" t="n">
        <v>11</v>
      </c>
      <c r="BB43" s="40" t="n">
        <f aca="false">IF(OR(BA43="",CD43=""),"",BA43/CD43*100)</f>
        <v>36.6666666666667</v>
      </c>
      <c r="BC43" s="41" t="n">
        <f aca="false">IF(BB43="","",IFERROR(MATCH(BB43,INDEX(Boundaries!$B$2:$I$30,MATCH(CR43,Boundaries!$A$2:$A$30,0),0),1)-1,""))</f>
        <v>3</v>
      </c>
      <c r="BD43" s="42" t="n">
        <f aca="false">IF(OR(BC43="",$E43=""),"",BC43-$E43)</f>
        <v>-2.9</v>
      </c>
      <c r="BE43" s="39"/>
      <c r="BF43" s="40" t="str">
        <f aca="false">IF(OR(BE43="",CE43=""),"",BE43/CE43*100)</f>
        <v/>
      </c>
      <c r="BG43" s="41" t="str">
        <f aca="false">IF(BF43="","",IFERROR(MATCH(BF43,INDEX(Boundaries!$B$2:$I$30,MATCH(CS43,Boundaries!$A$2:$A$30,0),0),1)-1,""))</f>
        <v/>
      </c>
      <c r="BH43" s="42" t="str">
        <f aca="false">IF(OR(BG43="",$E43=""),"",BG43-$E43)</f>
        <v/>
      </c>
      <c r="BI43" s="39"/>
      <c r="BJ43" s="40" t="str">
        <f aca="false">IF(OR(BI43="",CF43=""),"",BI43/CF43*100)</f>
        <v/>
      </c>
      <c r="BK43" s="41" t="str">
        <f aca="false">IF(BJ43="","",IFERROR(MATCH(BJ43,INDEX(Boundaries!$B$2:$I$30,MATCH(CT43,Boundaries!$A$2:$A$30,0),0),1)-1,""))</f>
        <v/>
      </c>
      <c r="BL43" s="42" t="str">
        <f aca="false">IF(OR(BK43="",$E43=""),"",BK43-$E43)</f>
        <v/>
      </c>
      <c r="BM43" s="39"/>
      <c r="BN43" s="40" t="str">
        <f aca="false">IF(OR(BM43="",CG43=""),"",BM43/CG43*100)</f>
        <v/>
      </c>
      <c r="BO43" s="41" t="str">
        <f aca="false">IF(BN43="","",IFERROR(MATCH(BN43,INDEX(Boundaries!$B$2:$I$30,MATCH(CU43,Boundaries!$A$2:$A$30,0),0),1)-1,""))</f>
        <v/>
      </c>
      <c r="BP43" s="42" t="str">
        <f aca="false">IF(OR(BO43="",$E43=""),"",BO43-$E43)</f>
        <v/>
      </c>
      <c r="BQ43" s="39"/>
      <c r="BR43" s="40" t="str">
        <f aca="false">IF(OR(BQ43="",CH43=""),"",BQ43/CH43*100)</f>
        <v/>
      </c>
      <c r="BS43" s="41" t="str">
        <f aca="false">IF(BR43="","",IFERROR(MATCH(BR43,INDEX(Boundaries!$B$2:$I$30,MATCH(CV43,Boundaries!$A$2:$A$30,0),0),1)-1,""))</f>
        <v/>
      </c>
      <c r="BT43" s="42" t="str">
        <f aca="false">IF(OR(BS43="",$E43=""),"",BS43-$E43)</f>
        <v/>
      </c>
      <c r="BU43" s="28" t="n">
        <f aca="false">IFERROR(INDEX(Assessments!$H$2:$H$600,MATCH($H43&amp;"|"&amp;$I43&amp;"|"&amp;$J43&amp;"|"&amp;1,Assessments!$A$2:$A$600,0)),"")</f>
        <v>20</v>
      </c>
      <c r="BV43" s="28" t="n">
        <f aca="false">IFERROR(INDEX(Assessments!$H$2:$H$600,MATCH($H43&amp;"|"&amp;$I43&amp;"|"&amp;$J43&amp;"|"&amp;2,Assessments!$A$2:$A$600,0)),"")</f>
        <v>20</v>
      </c>
      <c r="BW43" s="28" t="n">
        <f aca="false">IFERROR(INDEX(Assessments!$H$2:$H$600,MATCH($H43&amp;"|"&amp;$I43&amp;"|"&amp;$J43&amp;"|"&amp;3,Assessments!$A$2:$A$600,0)),"")</f>
        <v>20</v>
      </c>
      <c r="BX43" s="28" t="n">
        <f aca="false">IFERROR(INDEX(Assessments!$H$2:$H$600,MATCH($H43&amp;"|"&amp;$I43&amp;"|"&amp;$J43&amp;"|"&amp;4,Assessments!$A$2:$A$600,0)),"")</f>
        <v>20</v>
      </c>
      <c r="BY43" s="28" t="n">
        <f aca="false">IFERROR(INDEX(Assessments!$H$2:$H$600,MATCH($H43&amp;"|"&amp;$I43&amp;"|"&amp;$J43&amp;"|"&amp;5,Assessments!$A$2:$A$600,0)),"")</f>
        <v>20</v>
      </c>
      <c r="BZ43" s="28" t="n">
        <f aca="false">IFERROR(INDEX(Assessments!$H$2:$H$600,MATCH($H43&amp;"|"&amp;$I43&amp;"|"&amp;$J43&amp;"|"&amp;6,Assessments!$A$2:$A$600,0)),"")</f>
        <v>40</v>
      </c>
      <c r="CA43" s="28" t="n">
        <f aca="false">IFERROR(INDEX(Assessments!$H$2:$H$600,MATCH($H43&amp;"|"&amp;$I43&amp;"|"&amp;$J43&amp;"|"&amp;7,Assessments!$A$2:$A$600,0)),"")</f>
        <v>50</v>
      </c>
      <c r="CB43" s="28" t="n">
        <f aca="false">IFERROR(INDEX(Assessments!$H$2:$H$600,MATCH($H43&amp;"|"&amp;$I43&amp;"|"&amp;$J43&amp;"|"&amp;8,Assessments!$A$2:$A$600,0)),"")</f>
        <v>25</v>
      </c>
      <c r="CC43" s="28" t="n">
        <f aca="false">IFERROR(INDEX(Assessments!$H$2:$H$600,MATCH($H43&amp;"|"&amp;$I43&amp;"|"&amp;$J43&amp;"|"&amp;9,Assessments!$A$2:$A$600,0)),"")</f>
        <v>16</v>
      </c>
      <c r="CD43" s="28" t="n">
        <f aca="false">IFERROR(INDEX(Assessments!$H$2:$H$600,MATCH($H43&amp;"|"&amp;$I43&amp;"|"&amp;$J43&amp;"|"&amp;10,Assessments!$A$2:$A$600,0)),"")</f>
        <v>30</v>
      </c>
      <c r="CE43" s="28" t="str">
        <f aca="false">IFERROR(INDEX(Assessments!$H$2:$H$600,MATCH($H43&amp;"|"&amp;$I43&amp;"|"&amp;$J43&amp;"|"&amp;11,Assessments!$A$2:$A$600,0)),"")</f>
        <v/>
      </c>
      <c r="CF43" s="28" t="str">
        <f aca="false">IFERROR(INDEX(Assessments!$H$2:$H$600,MATCH($H43&amp;"|"&amp;$I43&amp;"|"&amp;$J43&amp;"|"&amp;12,Assessments!$A$2:$A$600,0)),"")</f>
        <v/>
      </c>
      <c r="CG43" s="28" t="str">
        <f aca="false">IFERROR(INDEX(Assessments!$H$2:$H$600,MATCH($H43&amp;"|"&amp;$I43&amp;"|"&amp;$J43&amp;"|"&amp;13,Assessments!$A$2:$A$600,0)),"")</f>
        <v/>
      </c>
      <c r="CH43" s="28" t="str">
        <f aca="false">IFERROR(INDEX(Assessments!$H$2:$H$600,MATCH($H43&amp;"|"&amp;$I43&amp;"|"&amp;$J43&amp;"|"&amp;14,Assessments!$A$2:$A$600,0)),"")</f>
        <v/>
      </c>
      <c r="CI43" s="28" t="str">
        <f aca="false">IFERROR(INDEX(Assessments!$I$2:$I$600,MATCH($H43&amp;"|"&amp;$I43&amp;"|"&amp;$J43&amp;"|"&amp;1,Assessments!$A$2:$A$600,0)),"")</f>
        <v>Geog Paper 1</v>
      </c>
      <c r="CJ43" s="28" t="str">
        <f aca="false">IFERROR(INDEX(Assessments!$I$2:$I$600,MATCH($H43&amp;"|"&amp;$I43&amp;"|"&amp;$J43&amp;"|"&amp;2,Assessments!$A$2:$A$600,0)),"")</f>
        <v>Geog Paper 1</v>
      </c>
      <c r="CK43" s="28" t="str">
        <f aca="false">IFERROR(INDEX(Assessments!$I$2:$I$600,MATCH($H43&amp;"|"&amp;$I43&amp;"|"&amp;$J43&amp;"|"&amp;3,Assessments!$A$2:$A$600,0)),"")</f>
        <v>Geog Paper 2</v>
      </c>
      <c r="CL43" s="28" t="str">
        <f aca="false">IFERROR(INDEX(Assessments!$I$2:$I$600,MATCH($H43&amp;"|"&amp;$I43&amp;"|"&amp;$J43&amp;"|"&amp;4,Assessments!$A$2:$A$600,0)),"")</f>
        <v>Geog Paper 1</v>
      </c>
      <c r="CM43" s="28" t="str">
        <f aca="false">IFERROR(INDEX(Assessments!$I$2:$I$600,MATCH($H43&amp;"|"&amp;$I43&amp;"|"&amp;$J43&amp;"|"&amp;5,Assessments!$A$2:$A$600,0)),"")</f>
        <v>Geog Paper 1</v>
      </c>
      <c r="CN43" s="28" t="str">
        <f aca="false">IFERROR(INDEX(Assessments!$I$2:$I$600,MATCH($H43&amp;"|"&amp;$I43&amp;"|"&amp;$J43&amp;"|"&amp;6,Assessments!$A$2:$A$600,0)),"")</f>
        <v>Geog Paper 1</v>
      </c>
      <c r="CO43" s="28" t="str">
        <f aca="false">IFERROR(INDEX(Assessments!$I$2:$I$600,MATCH($H43&amp;"|"&amp;$I43&amp;"|"&amp;$J43&amp;"|"&amp;7,Assessments!$A$2:$A$600,0)),"")</f>
        <v>Geog Paper 2</v>
      </c>
      <c r="CP43" s="28" t="str">
        <f aca="false">IFERROR(INDEX(Assessments!$I$2:$I$600,MATCH($H43&amp;"|"&amp;$I43&amp;"|"&amp;$J43&amp;"|"&amp;8,Assessments!$A$2:$A$600,0)),"")</f>
        <v>Geog Paper 2</v>
      </c>
      <c r="CQ43" s="28" t="str">
        <f aca="false">IFERROR(INDEX(Assessments!$I$2:$I$600,MATCH($H43&amp;"|"&amp;$I43&amp;"|"&amp;$J43&amp;"|"&amp;9,Assessments!$A$2:$A$600,0)),"")</f>
        <v>Geog Paper 3</v>
      </c>
      <c r="CR43" s="28" t="str">
        <f aca="false">IFERROR(INDEX(Assessments!$I$2:$I$600,MATCH($H43&amp;"|"&amp;$I43&amp;"|"&amp;$J43&amp;"|"&amp;10,Assessments!$A$2:$A$600,0)),"")</f>
        <v>Geog Paper 2</v>
      </c>
      <c r="CS43" s="28" t="str">
        <f aca="false">IFERROR(INDEX(Assessments!$I$2:$I$600,MATCH($H43&amp;"|"&amp;$I43&amp;"|"&amp;$J43&amp;"|"&amp;11,Assessments!$A$2:$A$600,0)),"")</f>
        <v/>
      </c>
      <c r="CT43" s="28" t="str">
        <f aca="false">IFERROR(INDEX(Assessments!$I$2:$I$600,MATCH($H43&amp;"|"&amp;$I43&amp;"|"&amp;$J43&amp;"|"&amp;12,Assessments!$A$2:$A$600,0)),"")</f>
        <v/>
      </c>
      <c r="CU43" s="28" t="str">
        <f aca="false">IFERROR(INDEX(Assessments!$I$2:$I$600,MATCH($H43&amp;"|"&amp;$I43&amp;"|"&amp;$J43&amp;"|"&amp;13,Assessments!$A$2:$A$600,0)),"")</f>
        <v/>
      </c>
      <c r="CV43" s="28" t="str">
        <f aca="false">IFERROR(INDEX(Assessments!$I$2:$I$600,MATCH($H43&amp;"|"&amp;$I43&amp;"|"&amp;$J43&amp;"|"&amp;14,Assessments!$A$2:$A$600,0)),"")</f>
        <v/>
      </c>
      <c r="CW43" s="28" t="n">
        <f aca="false">IFERROR(INDEX(Assessments!$J$2:$J$600,MATCH($H43&amp;"|"&amp;$I43&amp;"|"&amp;$J43&amp;"|"&amp;1,Assessments!$A$2:$A$600,0)),0)</f>
        <v>1</v>
      </c>
      <c r="CX43" s="28" t="n">
        <f aca="false">IFERROR(INDEX(Assessments!$J$2:$J$600,MATCH($H43&amp;"|"&amp;$I43&amp;"|"&amp;$J43&amp;"|"&amp;2,Assessments!$A$2:$A$600,0)),0)</f>
        <v>1</v>
      </c>
      <c r="CY43" s="28" t="n">
        <f aca="false">IFERROR(INDEX(Assessments!$J$2:$J$600,MATCH($H43&amp;"|"&amp;$I43&amp;"|"&amp;$J43&amp;"|"&amp;3,Assessments!$A$2:$A$600,0)),0)</f>
        <v>1</v>
      </c>
      <c r="CZ43" s="28" t="n">
        <f aca="false">IFERROR(INDEX(Assessments!$J$2:$J$600,MATCH($H43&amp;"|"&amp;$I43&amp;"|"&amp;$J43&amp;"|"&amp;4,Assessments!$A$2:$A$600,0)),0)</f>
        <v>1</v>
      </c>
      <c r="DA43" s="28" t="n">
        <f aca="false">IFERROR(INDEX(Assessments!$J$2:$J$600,MATCH($H43&amp;"|"&amp;$I43&amp;"|"&amp;$J43&amp;"|"&amp;5,Assessments!$A$2:$A$600,0)),0)</f>
        <v>1</v>
      </c>
      <c r="DB43" s="28" t="n">
        <f aca="false">IFERROR(INDEX(Assessments!$J$2:$J$600,MATCH($H43&amp;"|"&amp;$I43&amp;"|"&amp;$J43&amp;"|"&amp;6,Assessments!$A$2:$A$600,0)),0)</f>
        <v>2</v>
      </c>
      <c r="DC43" s="28" t="n">
        <f aca="false">IFERROR(INDEX(Assessments!$J$2:$J$600,MATCH($H43&amp;"|"&amp;$I43&amp;"|"&amp;$J43&amp;"|"&amp;7,Assessments!$A$2:$A$600,0)),0)</f>
        <v>2</v>
      </c>
      <c r="DD43" s="28" t="n">
        <f aca="false">IFERROR(INDEX(Assessments!$J$2:$J$600,MATCH($H43&amp;"|"&amp;$I43&amp;"|"&amp;$J43&amp;"|"&amp;8,Assessments!$A$2:$A$600,0)),0)</f>
        <v>1</v>
      </c>
      <c r="DE43" s="28" t="n">
        <f aca="false">IFERROR(INDEX(Assessments!$J$2:$J$600,MATCH($H43&amp;"|"&amp;$I43&amp;"|"&amp;$J43&amp;"|"&amp;9,Assessments!$A$2:$A$600,0)),0)</f>
        <v>1</v>
      </c>
      <c r="DF43" s="28" t="n">
        <f aca="false">IFERROR(INDEX(Assessments!$J$2:$J$600,MATCH($H43&amp;"|"&amp;$I43&amp;"|"&amp;$J43&amp;"|"&amp;10,Assessments!$A$2:$A$600,0)),0)</f>
        <v>1</v>
      </c>
      <c r="DG43" s="28" t="n">
        <f aca="false">IFERROR(INDEX(Assessments!$J$2:$J$600,MATCH($H43&amp;"|"&amp;$I43&amp;"|"&amp;$J43&amp;"|"&amp;11,Assessments!$A$2:$A$600,0)),0)</f>
        <v>0</v>
      </c>
      <c r="DH43" s="28" t="n">
        <f aca="false">IFERROR(INDEX(Assessments!$J$2:$J$600,MATCH($H43&amp;"|"&amp;$I43&amp;"|"&amp;$J43&amp;"|"&amp;12,Assessments!$A$2:$A$600,0)),0)</f>
        <v>0</v>
      </c>
      <c r="DI43" s="28" t="n">
        <f aca="false">IFERROR(INDEX(Assessments!$J$2:$J$600,MATCH($H43&amp;"|"&amp;$I43&amp;"|"&amp;$J43&amp;"|"&amp;13,Assessments!$A$2:$A$600,0)),0)</f>
        <v>0</v>
      </c>
      <c r="DJ43" s="28" t="n">
        <f aca="false">IFERROR(INDEX(Assessments!$J$2:$J$600,MATCH($H43&amp;"|"&amp;$I43&amp;"|"&amp;$J43&amp;"|"&amp;14,Assessments!$A$2:$A$600,0)),0)</f>
        <v>0</v>
      </c>
      <c r="DK43" s="28" t="n">
        <f aca="false">S43</f>
        <v>3</v>
      </c>
      <c r="DL43" s="28" t="n">
        <f aca="false">W43</f>
        <v>5</v>
      </c>
      <c r="DM43" s="28" t="n">
        <f aca="false">AA43</f>
        <v>4</v>
      </c>
      <c r="DN43" s="28" t="n">
        <f aca="false">AE43</f>
        <v>6</v>
      </c>
      <c r="DO43" s="28" t="n">
        <f aca="false">AI43</f>
        <v>5</v>
      </c>
      <c r="DP43" s="28" t="n">
        <f aca="false">AM43</f>
        <v>4</v>
      </c>
      <c r="DQ43" s="28" t="n">
        <f aca="false">AQ43</f>
        <v>5</v>
      </c>
      <c r="DR43" s="28" t="str">
        <f aca="false">AU43</f>
        <v/>
      </c>
      <c r="DS43" s="28" t="n">
        <f aca="false">AY43</f>
        <v>2</v>
      </c>
      <c r="DT43" s="28" t="n">
        <f aca="false">BC43</f>
        <v>3</v>
      </c>
      <c r="DU43" s="28" t="str">
        <f aca="false">BG43</f>
        <v/>
      </c>
      <c r="DV43" s="28" t="str">
        <f aca="false">BK43</f>
        <v/>
      </c>
      <c r="DW43" s="28" t="str">
        <f aca="false">BO43</f>
        <v/>
      </c>
      <c r="DX43" s="28" t="str">
        <f aca="false">BS43</f>
        <v/>
      </c>
      <c r="DY43" s="28" t="n">
        <f aca="false">IF(ISNUMBER(S43),1,"")</f>
        <v>1</v>
      </c>
      <c r="DZ43" s="28" t="n">
        <f aca="false">IF(ISNUMBER(W43),2,"")</f>
        <v>2</v>
      </c>
      <c r="EA43" s="28" t="n">
        <f aca="false">IF(ISNUMBER(AA43),3,"")</f>
        <v>3</v>
      </c>
      <c r="EB43" s="28" t="n">
        <f aca="false">IF(ISNUMBER(AE43),4,"")</f>
        <v>4</v>
      </c>
      <c r="EC43" s="28" t="n">
        <f aca="false">IF(ISNUMBER(AI43),5,"")</f>
        <v>5</v>
      </c>
      <c r="ED43" s="28" t="n">
        <f aca="false">IF(ISNUMBER(AM43),6,"")</f>
        <v>6</v>
      </c>
      <c r="EE43" s="28" t="n">
        <f aca="false">IF(ISNUMBER(AQ43),7,"")</f>
        <v>7</v>
      </c>
      <c r="EF43" s="28" t="str">
        <f aca="false">IF(ISNUMBER(AU43),8,"")</f>
        <v/>
      </c>
      <c r="EG43" s="28" t="n">
        <f aca="false">IF(ISNUMBER(AY43),9,"")</f>
        <v>9</v>
      </c>
      <c r="EH43" s="28" t="n">
        <f aca="false">IF(ISNUMBER(BC43),10,"")</f>
        <v>10</v>
      </c>
      <c r="EI43" s="28" t="str">
        <f aca="false">IF(ISNUMBER(BG43),11,"")</f>
        <v/>
      </c>
      <c r="EJ43" s="28" t="str">
        <f aca="false">IF(ISNUMBER(BK43),12,"")</f>
        <v/>
      </c>
      <c r="EK43" s="28" t="str">
        <f aca="false">IF(ISNUMBER(BO43),13,"")</f>
        <v/>
      </c>
      <c r="EL43" s="28" t="str">
        <f aca="false">IF(ISNUMBER(BS43),14,"")</f>
        <v/>
      </c>
      <c r="EM43" s="28" t="n">
        <f aca="false">IF(ISNUMBER(R43),R43*CW43,0)</f>
        <v>40</v>
      </c>
      <c r="EN43" s="28" t="n">
        <f aca="false">IF(ISNUMBER(V43),V43*CX43,0)</f>
        <v>60</v>
      </c>
      <c r="EO43" s="28" t="n">
        <f aca="false">IF(ISNUMBER(Z43),Z43*CY43,0)</f>
        <v>50</v>
      </c>
      <c r="EP43" s="28" t="n">
        <f aca="false">IF(ISNUMBER(AD43),AD43*CZ43,0)</f>
        <v>65</v>
      </c>
      <c r="EQ43" s="28" t="n">
        <f aca="false">IF(ISNUMBER(AH43),AH43*DA43,0)</f>
        <v>60</v>
      </c>
      <c r="ER43" s="28" t="n">
        <f aca="false">IF(ISNUMBER(AL43),AL43*DB43,0)</f>
        <v>105</v>
      </c>
      <c r="ES43" s="28" t="n">
        <f aca="false">IF(ISNUMBER(AP43),AP43*DC43,0)</f>
        <v>112</v>
      </c>
      <c r="ET43" s="28" t="n">
        <f aca="false">IF(ISNUMBER(AT43),AT43*DD43,0)</f>
        <v>0</v>
      </c>
      <c r="EU43" s="28" t="n">
        <f aca="false">IF(ISNUMBER(AX43),AX43*DE43,0)</f>
        <v>31.25</v>
      </c>
      <c r="EV43" s="28" t="n">
        <f aca="false">IF(ISNUMBER(BB43),BB43*DF43,0)</f>
        <v>36.6666666666667</v>
      </c>
      <c r="EW43" s="28" t="n">
        <f aca="false">IF(ISNUMBER(BF43),BF43*DG43,0)</f>
        <v>0</v>
      </c>
      <c r="EX43" s="28" t="n">
        <f aca="false">IF(ISNUMBER(BJ43),BJ43*DH43,0)</f>
        <v>0</v>
      </c>
      <c r="EY43" s="28" t="n">
        <f aca="false">IF(ISNUMBER(BN43),BN43*DI43,0)</f>
        <v>0</v>
      </c>
      <c r="EZ43" s="28" t="n">
        <f aca="false">IF(ISNUMBER(BR43),BR43*DJ43,0)</f>
        <v>0</v>
      </c>
      <c r="FA43" s="28" t="n">
        <f aca="false">IF(ISNUMBER(R43),CW43,0)</f>
        <v>1</v>
      </c>
      <c r="FB43" s="28" t="n">
        <f aca="false">IF(ISNUMBER(V43),CX43,0)</f>
        <v>1</v>
      </c>
      <c r="FC43" s="28" t="n">
        <f aca="false">IF(ISNUMBER(Z43),CY43,0)</f>
        <v>1</v>
      </c>
      <c r="FD43" s="28" t="n">
        <f aca="false">IF(ISNUMBER(AD43),CZ43,0)</f>
        <v>1</v>
      </c>
      <c r="FE43" s="28" t="n">
        <f aca="false">IF(ISNUMBER(AH43),DA43,0)</f>
        <v>1</v>
      </c>
      <c r="FF43" s="28" t="n">
        <f aca="false">IF(ISNUMBER(AL43),DB43,0)</f>
        <v>2</v>
      </c>
      <c r="FG43" s="28" t="n">
        <f aca="false">IF(ISNUMBER(AP43),DC43,0)</f>
        <v>2</v>
      </c>
      <c r="FH43" s="28" t="n">
        <f aca="false">IF(ISNUMBER(AT43),DD43,0)</f>
        <v>0</v>
      </c>
      <c r="FI43" s="28" t="n">
        <f aca="false">IF(ISNUMBER(AX43),DE43,0)</f>
        <v>1</v>
      </c>
      <c r="FJ43" s="28" t="n">
        <f aca="false">IF(ISNUMBER(BB43),DF43,0)</f>
        <v>1</v>
      </c>
      <c r="FK43" s="28" t="n">
        <f aca="false">IF(ISNUMBER(BF43),DG43,0)</f>
        <v>0</v>
      </c>
      <c r="FL43" s="28" t="n">
        <f aca="false">IF(ISNUMBER(BJ43),DH43,0)</f>
        <v>0</v>
      </c>
      <c r="FM43" s="28" t="n">
        <f aca="false">IF(ISNUMBER(BN43),DI43,0)</f>
        <v>0</v>
      </c>
      <c r="FN43" s="28" t="n">
        <f aca="false">IF(ISNUMBER(BR43),DJ43,0)</f>
        <v>0</v>
      </c>
      <c r="FO43" s="28" t="str">
        <f aca="false">IFERROR(INDEX(Lists!$G$2:$G$20,MATCH($I43&amp;"|"&amp;$J43,Lists!$F$2:$F$20,0)),"")</f>
        <v>Geog Overall HL</v>
      </c>
    </row>
    <row r="44" customFormat="false" ht="19.5" hidden="false" customHeight="true" outlineLevel="0" collapsed="false">
      <c r="A44" s="29" t="s">
        <v>221</v>
      </c>
      <c r="B44" s="29" t="s">
        <v>222</v>
      </c>
      <c r="C44" s="30" t="s">
        <v>152</v>
      </c>
      <c r="D44" s="30" t="s">
        <v>153</v>
      </c>
      <c r="E44" s="31" t="n">
        <v>6.3</v>
      </c>
      <c r="F44" s="30" t="n">
        <v>7</v>
      </c>
      <c r="G44" s="30"/>
      <c r="H44" s="32" t="s">
        <v>23</v>
      </c>
      <c r="I44" s="33" t="s">
        <v>24</v>
      </c>
      <c r="J44" s="32" t="s">
        <v>223</v>
      </c>
      <c r="K44" s="34" t="n">
        <f aca="false">IF(OR(M44="",$E44=""),"",M44-$E44)</f>
        <v>0.7</v>
      </c>
      <c r="L44" s="35" t="n">
        <f aca="false">IF(SUM(FA44:FN44)=0,"",SUM(EM44:EZ44)/SUM(FA44:FN44))</f>
        <v>82.4285714285714</v>
      </c>
      <c r="M44" s="36" t="n">
        <f aca="false">IF(OR(L44="",FO44=""),"",IFERROR(MATCH(L44,INDEX(Boundaries!$B$2:$I$30,MATCH(FO44,Boundaries!$A$2:$A$30,0),0),1)-1,""))</f>
        <v>7</v>
      </c>
      <c r="N44" s="37" t="n">
        <f aca="false">IF(COUNT($DY44:$EL44)&lt;2,"",INDEX($DK44:$DX44,MAX($DY44:$EL44))-INDEX($DK44:$DX44,MIN($DY44:$EL44)))</f>
        <v>-1</v>
      </c>
      <c r="O44" s="37" t="n">
        <f aca="false">IF(COUNT($DY44:$EL44)&lt;2,"",INDEX($DK44:$DX44,MAX($DY44:$EL44))-INDEX($DK44:$DX44,LARGE($DY44:$EL44,2)))</f>
        <v>-1</v>
      </c>
      <c r="P44" s="38" t="str">
        <f aca="false">IF(K44="","",IF(K44&gt;=0,"On/above target",IF(AND(N44&lt;&gt;"",N44&gt;=0.5),"Improving towards target",IF(AND(O44&lt;&gt;"",O44&lt;=-0.5),"Declining","Stable below target"))))</f>
        <v>On/above target</v>
      </c>
      <c r="Q44" s="39" t="n">
        <v>19</v>
      </c>
      <c r="R44" s="40" t="n">
        <f aca="false">IF(OR(Q44="",BU44=""),"",Q44/BU44*100)</f>
        <v>95</v>
      </c>
      <c r="S44" s="41" t="n">
        <f aca="false">IF(R44="","",IFERROR(MATCH(R44,INDEX(Boundaries!$B$2:$I$30,MATCH(CI44,Boundaries!$A$2:$A$30,0),0),1)-1,""))</f>
        <v>7</v>
      </c>
      <c r="T44" s="42" t="n">
        <f aca="false">IF(OR(S44="",$E44=""),"",S44-$E44)</f>
        <v>0.7</v>
      </c>
      <c r="U44" s="39" t="n">
        <v>14</v>
      </c>
      <c r="V44" s="40" t="n">
        <f aca="false">IF(OR(U44="",BV44=""),"",U44/BV44*100)</f>
        <v>70</v>
      </c>
      <c r="W44" s="41" t="n">
        <f aca="false">IF(V44="","",IFERROR(MATCH(V44,INDEX(Boundaries!$B$2:$I$30,MATCH(CJ44,Boundaries!$A$2:$A$30,0),0),1)-1,""))</f>
        <v>6</v>
      </c>
      <c r="X44" s="42" t="n">
        <f aca="false">IF(OR(W44="",$E44=""),"",W44-$E44)</f>
        <v>-0.3</v>
      </c>
      <c r="Y44" s="39" t="n">
        <v>16</v>
      </c>
      <c r="Z44" s="40" t="n">
        <f aca="false">IF(OR(Y44="",BW44=""),"",Y44/BW44*100)</f>
        <v>80</v>
      </c>
      <c r="AA44" s="41" t="n">
        <f aca="false">IF(Z44="","",IFERROR(MATCH(Z44,INDEX(Boundaries!$B$2:$I$30,MATCH(CK44,Boundaries!$A$2:$A$30,0),0),1)-1,""))</f>
        <v>7</v>
      </c>
      <c r="AB44" s="42" t="n">
        <f aca="false">IF(OR(AA44="",$E44=""),"",AA44-$E44)</f>
        <v>0.7</v>
      </c>
      <c r="AC44" s="39" t="n">
        <v>18</v>
      </c>
      <c r="AD44" s="40" t="n">
        <f aca="false">IF(OR(AC44="",BX44=""),"",AC44/BX44*100)</f>
        <v>90</v>
      </c>
      <c r="AE44" s="41" t="n">
        <f aca="false">IF(AD44="","",IFERROR(MATCH(AD44,INDEX(Boundaries!$B$2:$I$30,MATCH(CL44,Boundaries!$A$2:$A$30,0),0),1)-1,""))</f>
        <v>7</v>
      </c>
      <c r="AF44" s="42" t="n">
        <f aca="false">IF(OR(AE44="",$E44=""),"",AE44-$E44)</f>
        <v>0.7</v>
      </c>
      <c r="AG44" s="39" t="n">
        <v>38</v>
      </c>
      <c r="AH44" s="40" t="n">
        <f aca="false">IF(OR(AG44="",BY44=""),"",AG44/BY44*100)</f>
        <v>76</v>
      </c>
      <c r="AI44" s="41" t="n">
        <f aca="false">IF(AH44="","",IFERROR(MATCH(AH44,INDEX(Boundaries!$B$2:$I$30,MATCH(CM44,Boundaries!$A$2:$A$30,0),0),1)-1,""))</f>
        <v>6</v>
      </c>
      <c r="AJ44" s="42" t="n">
        <f aca="false">IF(OR(AI44="",$E44=""),"",AI44-$E44)</f>
        <v>-0.3</v>
      </c>
      <c r="AK44" s="39"/>
      <c r="AL44" s="40" t="str">
        <f aca="false">IF(OR(AK44="",BZ44=""),"",AK44/BZ44*100)</f>
        <v/>
      </c>
      <c r="AM44" s="41" t="str">
        <f aca="false">IF(AL44="","",IFERROR(MATCH(AL44,INDEX(Boundaries!$B$2:$I$30,MATCH(CN44,Boundaries!$A$2:$A$30,0),0),1)-1,""))</f>
        <v/>
      </c>
      <c r="AN44" s="42" t="str">
        <f aca="false">IF(OR(AM44="",$E44=""),"",AM44-$E44)</f>
        <v/>
      </c>
      <c r="AO44" s="39"/>
      <c r="AP44" s="40" t="str">
        <f aca="false">IF(OR(AO44="",CA44=""),"",AO44/CA44*100)</f>
        <v/>
      </c>
      <c r="AQ44" s="41" t="str">
        <f aca="false">IF(AP44="","",IFERROR(MATCH(AP44,INDEX(Boundaries!$B$2:$I$30,MATCH(CO44,Boundaries!$A$2:$A$30,0),0),1)-1,""))</f>
        <v/>
      </c>
      <c r="AR44" s="42" t="str">
        <f aca="false">IF(OR(AQ44="",$E44=""),"",AQ44-$E44)</f>
        <v/>
      </c>
      <c r="AS44" s="39"/>
      <c r="AT44" s="40" t="str">
        <f aca="false">IF(OR(AS44="",CB44=""),"",AS44/CB44*100)</f>
        <v/>
      </c>
      <c r="AU44" s="41" t="str">
        <f aca="false">IF(AT44="","",IFERROR(MATCH(AT44,INDEX(Boundaries!$B$2:$I$30,MATCH(CP44,Boundaries!$A$2:$A$30,0),0),1)-1,""))</f>
        <v/>
      </c>
      <c r="AV44" s="42" t="str">
        <f aca="false">IF(OR(AU44="",$E44=""),"",AU44-$E44)</f>
        <v/>
      </c>
      <c r="AW44" s="39"/>
      <c r="AX44" s="40" t="str">
        <f aca="false">IF(OR(AW44="",CC44=""),"",AW44/CC44*100)</f>
        <v/>
      </c>
      <c r="AY44" s="41" t="str">
        <f aca="false">IF(AX44="","",IFERROR(MATCH(AX44,INDEX(Boundaries!$B$2:$I$30,MATCH(CQ44,Boundaries!$A$2:$A$30,0),0),1)-1,""))</f>
        <v/>
      </c>
      <c r="AZ44" s="42" t="str">
        <f aca="false">IF(OR(AY44="",$E44=""),"",AY44-$E44)</f>
        <v/>
      </c>
      <c r="BA44" s="39"/>
      <c r="BB44" s="40" t="str">
        <f aca="false">IF(OR(BA44="",CD44=""),"",BA44/CD44*100)</f>
        <v/>
      </c>
      <c r="BC44" s="41" t="str">
        <f aca="false">IF(BB44="","",IFERROR(MATCH(BB44,INDEX(Boundaries!$B$2:$I$30,MATCH(CR44,Boundaries!$A$2:$A$30,0),0),1)-1,""))</f>
        <v/>
      </c>
      <c r="BD44" s="42" t="str">
        <f aca="false">IF(OR(BC44="",$E44=""),"",BC44-$E44)</f>
        <v/>
      </c>
      <c r="BE44" s="39"/>
      <c r="BF44" s="40" t="str">
        <f aca="false">IF(OR(BE44="",CE44=""),"",BE44/CE44*100)</f>
        <v/>
      </c>
      <c r="BG44" s="41" t="str">
        <f aca="false">IF(BF44="","",IFERROR(MATCH(BF44,INDEX(Boundaries!$B$2:$I$30,MATCH(CS44,Boundaries!$A$2:$A$30,0),0),1)-1,""))</f>
        <v/>
      </c>
      <c r="BH44" s="42" t="str">
        <f aca="false">IF(OR(BG44="",$E44=""),"",BG44-$E44)</f>
        <v/>
      </c>
      <c r="BI44" s="39"/>
      <c r="BJ44" s="40" t="str">
        <f aca="false">IF(OR(BI44="",CF44=""),"",BI44/CF44*100)</f>
        <v/>
      </c>
      <c r="BK44" s="41" t="str">
        <f aca="false">IF(BJ44="","",IFERROR(MATCH(BJ44,INDEX(Boundaries!$B$2:$I$30,MATCH(CT44,Boundaries!$A$2:$A$30,0),0),1)-1,""))</f>
        <v/>
      </c>
      <c r="BL44" s="42" t="str">
        <f aca="false">IF(OR(BK44="",$E44=""),"",BK44-$E44)</f>
        <v/>
      </c>
      <c r="BM44" s="39"/>
      <c r="BN44" s="40" t="str">
        <f aca="false">IF(OR(BM44="",CG44=""),"",BM44/CG44*100)</f>
        <v/>
      </c>
      <c r="BO44" s="41" t="str">
        <f aca="false">IF(BN44="","",IFERROR(MATCH(BN44,INDEX(Boundaries!$B$2:$I$30,MATCH(CU44,Boundaries!$A$2:$A$30,0),0),1)-1,""))</f>
        <v/>
      </c>
      <c r="BP44" s="42" t="str">
        <f aca="false">IF(OR(BO44="",$E44=""),"",BO44-$E44)</f>
        <v/>
      </c>
      <c r="BQ44" s="39"/>
      <c r="BR44" s="40" t="str">
        <f aca="false">IF(OR(BQ44="",CH44=""),"",BQ44/CH44*100)</f>
        <v/>
      </c>
      <c r="BS44" s="41" t="str">
        <f aca="false">IF(BR44="","",IFERROR(MATCH(BR44,INDEX(Boundaries!$B$2:$I$30,MATCH(CV44,Boundaries!$A$2:$A$30,0),0),1)-1,""))</f>
        <v/>
      </c>
      <c r="BT44" s="42" t="str">
        <f aca="false">IF(OR(BS44="",$E44=""),"",BS44-$E44)</f>
        <v/>
      </c>
      <c r="BU44" s="28" t="n">
        <f aca="false">IFERROR(INDEX(Assessments!$H$2:$H$600,MATCH($H44&amp;"|"&amp;$I44&amp;"|"&amp;$J44&amp;"|"&amp;1,Assessments!$A$2:$A$600,0)),"")</f>
        <v>20</v>
      </c>
      <c r="BV44" s="28" t="n">
        <f aca="false">IFERROR(INDEX(Assessments!$H$2:$H$600,MATCH($H44&amp;"|"&amp;$I44&amp;"|"&amp;$J44&amp;"|"&amp;2,Assessments!$A$2:$A$600,0)),"")</f>
        <v>20</v>
      </c>
      <c r="BW44" s="28" t="n">
        <f aca="false">IFERROR(INDEX(Assessments!$H$2:$H$600,MATCH($H44&amp;"|"&amp;$I44&amp;"|"&amp;$J44&amp;"|"&amp;3,Assessments!$A$2:$A$600,0)),"")</f>
        <v>20</v>
      </c>
      <c r="BX44" s="28" t="n">
        <f aca="false">IFERROR(INDEX(Assessments!$H$2:$H$600,MATCH($H44&amp;"|"&amp;$I44&amp;"|"&amp;$J44&amp;"|"&amp;4,Assessments!$A$2:$A$600,0)),"")</f>
        <v>20</v>
      </c>
      <c r="BY44" s="28" t="n">
        <f aca="false">IFERROR(INDEX(Assessments!$H$2:$H$600,MATCH($H44&amp;"|"&amp;$I44&amp;"|"&amp;$J44&amp;"|"&amp;5,Assessments!$A$2:$A$600,0)),"")</f>
        <v>50</v>
      </c>
      <c r="BZ44" s="28" t="n">
        <f aca="false">IFERROR(INDEX(Assessments!$H$2:$H$600,MATCH($H44&amp;"|"&amp;$I44&amp;"|"&amp;$J44&amp;"|"&amp;6,Assessments!$A$2:$A$600,0)),"")</f>
        <v>25</v>
      </c>
      <c r="CA44" s="28" t="n">
        <f aca="false">IFERROR(INDEX(Assessments!$H$2:$H$600,MATCH($H44&amp;"|"&amp;$I44&amp;"|"&amp;$J44&amp;"|"&amp;7,Assessments!$A$2:$A$600,0)),"")</f>
        <v>30</v>
      </c>
      <c r="CB44" s="28" t="str">
        <f aca="false">IFERROR(INDEX(Assessments!$H$2:$H$600,MATCH($H44&amp;"|"&amp;$I44&amp;"|"&amp;$J44&amp;"|"&amp;8,Assessments!$A$2:$A$600,0)),"")</f>
        <v/>
      </c>
      <c r="CC44" s="28" t="str">
        <f aca="false">IFERROR(INDEX(Assessments!$H$2:$H$600,MATCH($H44&amp;"|"&amp;$I44&amp;"|"&amp;$J44&amp;"|"&amp;9,Assessments!$A$2:$A$600,0)),"")</f>
        <v/>
      </c>
      <c r="CD44" s="28" t="str">
        <f aca="false">IFERROR(INDEX(Assessments!$H$2:$H$600,MATCH($H44&amp;"|"&amp;$I44&amp;"|"&amp;$J44&amp;"|"&amp;10,Assessments!$A$2:$A$600,0)),"")</f>
        <v/>
      </c>
      <c r="CE44" s="28" t="str">
        <f aca="false">IFERROR(INDEX(Assessments!$H$2:$H$600,MATCH($H44&amp;"|"&amp;$I44&amp;"|"&amp;$J44&amp;"|"&amp;11,Assessments!$A$2:$A$600,0)),"")</f>
        <v/>
      </c>
      <c r="CF44" s="28" t="str">
        <f aca="false">IFERROR(INDEX(Assessments!$H$2:$H$600,MATCH($H44&amp;"|"&amp;$I44&amp;"|"&amp;$J44&amp;"|"&amp;12,Assessments!$A$2:$A$600,0)),"")</f>
        <v/>
      </c>
      <c r="CG44" s="28" t="str">
        <f aca="false">IFERROR(INDEX(Assessments!$H$2:$H$600,MATCH($H44&amp;"|"&amp;$I44&amp;"|"&amp;$J44&amp;"|"&amp;13,Assessments!$A$2:$A$600,0)),"")</f>
        <v/>
      </c>
      <c r="CH44" s="28" t="str">
        <f aca="false">IFERROR(INDEX(Assessments!$H$2:$H$600,MATCH($H44&amp;"|"&amp;$I44&amp;"|"&amp;$J44&amp;"|"&amp;14,Assessments!$A$2:$A$600,0)),"")</f>
        <v/>
      </c>
      <c r="CI44" s="28" t="str">
        <f aca="false">IFERROR(INDEX(Assessments!$I$2:$I$600,MATCH($H44&amp;"|"&amp;$I44&amp;"|"&amp;$J44&amp;"|"&amp;1,Assessments!$A$2:$A$600,0)),"")</f>
        <v>Geog Paper 2</v>
      </c>
      <c r="CJ44" s="28" t="str">
        <f aca="false">IFERROR(INDEX(Assessments!$I$2:$I$600,MATCH($H44&amp;"|"&amp;$I44&amp;"|"&amp;$J44&amp;"|"&amp;2,Assessments!$A$2:$A$600,0)),"")</f>
        <v>Geog Paper 2</v>
      </c>
      <c r="CK44" s="28" t="str">
        <f aca="false">IFERROR(INDEX(Assessments!$I$2:$I$600,MATCH($H44&amp;"|"&amp;$I44&amp;"|"&amp;$J44&amp;"|"&amp;3,Assessments!$A$2:$A$600,0)),"")</f>
        <v>Geog Paper 1</v>
      </c>
      <c r="CL44" s="28" t="str">
        <f aca="false">IFERROR(INDEX(Assessments!$I$2:$I$600,MATCH($H44&amp;"|"&amp;$I44&amp;"|"&amp;$J44&amp;"|"&amp;4,Assessments!$A$2:$A$600,0)),"")</f>
        <v>Geog Paper 1</v>
      </c>
      <c r="CM44" s="28" t="str">
        <f aca="false">IFERROR(INDEX(Assessments!$I$2:$I$600,MATCH($H44&amp;"|"&amp;$I44&amp;"|"&amp;$J44&amp;"|"&amp;5,Assessments!$A$2:$A$600,0)),"")</f>
        <v>Geog Paper 2</v>
      </c>
      <c r="CN44" s="28" t="str">
        <f aca="false">IFERROR(INDEX(Assessments!$I$2:$I$600,MATCH($H44&amp;"|"&amp;$I44&amp;"|"&amp;$J44&amp;"|"&amp;6,Assessments!$A$2:$A$600,0)),"")</f>
        <v>Geog Paper 2</v>
      </c>
      <c r="CO44" s="28" t="str">
        <f aca="false">IFERROR(INDEX(Assessments!$I$2:$I$600,MATCH($H44&amp;"|"&amp;$I44&amp;"|"&amp;$J44&amp;"|"&amp;7,Assessments!$A$2:$A$600,0)),"")</f>
        <v>Geog Paper 2</v>
      </c>
      <c r="CP44" s="28" t="str">
        <f aca="false">IFERROR(INDEX(Assessments!$I$2:$I$600,MATCH($H44&amp;"|"&amp;$I44&amp;"|"&amp;$J44&amp;"|"&amp;8,Assessments!$A$2:$A$600,0)),"")</f>
        <v/>
      </c>
      <c r="CQ44" s="28" t="str">
        <f aca="false">IFERROR(INDEX(Assessments!$I$2:$I$600,MATCH($H44&amp;"|"&amp;$I44&amp;"|"&amp;$J44&amp;"|"&amp;9,Assessments!$A$2:$A$600,0)),"")</f>
        <v/>
      </c>
      <c r="CR44" s="28" t="str">
        <f aca="false">IFERROR(INDEX(Assessments!$I$2:$I$600,MATCH($H44&amp;"|"&amp;$I44&amp;"|"&amp;$J44&amp;"|"&amp;10,Assessments!$A$2:$A$600,0)),"")</f>
        <v/>
      </c>
      <c r="CS44" s="28" t="str">
        <f aca="false">IFERROR(INDEX(Assessments!$I$2:$I$600,MATCH($H44&amp;"|"&amp;$I44&amp;"|"&amp;$J44&amp;"|"&amp;11,Assessments!$A$2:$A$600,0)),"")</f>
        <v/>
      </c>
      <c r="CT44" s="28" t="str">
        <f aca="false">IFERROR(INDEX(Assessments!$I$2:$I$600,MATCH($H44&amp;"|"&amp;$I44&amp;"|"&amp;$J44&amp;"|"&amp;12,Assessments!$A$2:$A$600,0)),"")</f>
        <v/>
      </c>
      <c r="CU44" s="28" t="str">
        <f aca="false">IFERROR(INDEX(Assessments!$I$2:$I$600,MATCH($H44&amp;"|"&amp;$I44&amp;"|"&amp;$J44&amp;"|"&amp;13,Assessments!$A$2:$A$600,0)),"")</f>
        <v/>
      </c>
      <c r="CV44" s="28" t="str">
        <f aca="false">IFERROR(INDEX(Assessments!$I$2:$I$600,MATCH($H44&amp;"|"&amp;$I44&amp;"|"&amp;$J44&amp;"|"&amp;14,Assessments!$A$2:$A$600,0)),"")</f>
        <v/>
      </c>
      <c r="CW44" s="28" t="n">
        <f aca="false">IFERROR(INDEX(Assessments!$J$2:$J$600,MATCH($H44&amp;"|"&amp;$I44&amp;"|"&amp;$J44&amp;"|"&amp;1,Assessments!$A$2:$A$600,0)),0)</f>
        <v>1</v>
      </c>
      <c r="CX44" s="28" t="n">
        <f aca="false">IFERROR(INDEX(Assessments!$J$2:$J$600,MATCH($H44&amp;"|"&amp;$I44&amp;"|"&amp;$J44&amp;"|"&amp;2,Assessments!$A$2:$A$600,0)),0)</f>
        <v>1</v>
      </c>
      <c r="CY44" s="28" t="n">
        <f aca="false">IFERROR(INDEX(Assessments!$J$2:$J$600,MATCH($H44&amp;"|"&amp;$I44&amp;"|"&amp;$J44&amp;"|"&amp;3,Assessments!$A$2:$A$600,0)),0)</f>
        <v>1</v>
      </c>
      <c r="CZ44" s="28" t="n">
        <f aca="false">IFERROR(INDEX(Assessments!$J$2:$J$600,MATCH($H44&amp;"|"&amp;$I44&amp;"|"&amp;$J44&amp;"|"&amp;4,Assessments!$A$2:$A$600,0)),0)</f>
        <v>2</v>
      </c>
      <c r="DA44" s="28" t="n">
        <f aca="false">IFERROR(INDEX(Assessments!$J$2:$J$600,MATCH($H44&amp;"|"&amp;$I44&amp;"|"&amp;$J44&amp;"|"&amp;5,Assessments!$A$2:$A$600,0)),0)</f>
        <v>2</v>
      </c>
      <c r="DB44" s="28" t="n">
        <f aca="false">IFERROR(INDEX(Assessments!$J$2:$J$600,MATCH($H44&amp;"|"&amp;$I44&amp;"|"&amp;$J44&amp;"|"&amp;6,Assessments!$A$2:$A$600,0)),0)</f>
        <v>1</v>
      </c>
      <c r="DC44" s="28" t="n">
        <f aca="false">IFERROR(INDEX(Assessments!$J$2:$J$600,MATCH($H44&amp;"|"&amp;$I44&amp;"|"&amp;$J44&amp;"|"&amp;7,Assessments!$A$2:$A$600,0)),0)</f>
        <v>1</v>
      </c>
      <c r="DD44" s="28" t="n">
        <f aca="false">IFERROR(INDEX(Assessments!$J$2:$J$600,MATCH($H44&amp;"|"&amp;$I44&amp;"|"&amp;$J44&amp;"|"&amp;8,Assessments!$A$2:$A$600,0)),0)</f>
        <v>0</v>
      </c>
      <c r="DE44" s="28" t="n">
        <f aca="false">IFERROR(INDEX(Assessments!$J$2:$J$600,MATCH($H44&amp;"|"&amp;$I44&amp;"|"&amp;$J44&amp;"|"&amp;9,Assessments!$A$2:$A$600,0)),0)</f>
        <v>0</v>
      </c>
      <c r="DF44" s="28" t="n">
        <f aca="false">IFERROR(INDEX(Assessments!$J$2:$J$600,MATCH($H44&amp;"|"&amp;$I44&amp;"|"&amp;$J44&amp;"|"&amp;10,Assessments!$A$2:$A$600,0)),0)</f>
        <v>0</v>
      </c>
      <c r="DG44" s="28" t="n">
        <f aca="false">IFERROR(INDEX(Assessments!$J$2:$J$600,MATCH($H44&amp;"|"&amp;$I44&amp;"|"&amp;$J44&amp;"|"&amp;11,Assessments!$A$2:$A$600,0)),0)</f>
        <v>0</v>
      </c>
      <c r="DH44" s="28" t="n">
        <f aca="false">IFERROR(INDEX(Assessments!$J$2:$J$600,MATCH($H44&amp;"|"&amp;$I44&amp;"|"&amp;$J44&amp;"|"&amp;12,Assessments!$A$2:$A$600,0)),0)</f>
        <v>0</v>
      </c>
      <c r="DI44" s="28" t="n">
        <f aca="false">IFERROR(INDEX(Assessments!$J$2:$J$600,MATCH($H44&amp;"|"&amp;$I44&amp;"|"&amp;$J44&amp;"|"&amp;13,Assessments!$A$2:$A$600,0)),0)</f>
        <v>0</v>
      </c>
      <c r="DJ44" s="28" t="n">
        <f aca="false">IFERROR(INDEX(Assessments!$J$2:$J$600,MATCH($H44&amp;"|"&amp;$I44&amp;"|"&amp;$J44&amp;"|"&amp;14,Assessments!$A$2:$A$600,0)),0)</f>
        <v>0</v>
      </c>
      <c r="DK44" s="28" t="n">
        <f aca="false">S44</f>
        <v>7</v>
      </c>
      <c r="DL44" s="28" t="n">
        <f aca="false">W44</f>
        <v>6</v>
      </c>
      <c r="DM44" s="28" t="n">
        <f aca="false">AA44</f>
        <v>7</v>
      </c>
      <c r="DN44" s="28" t="n">
        <f aca="false">AE44</f>
        <v>7</v>
      </c>
      <c r="DO44" s="28" t="n">
        <f aca="false">AI44</f>
        <v>6</v>
      </c>
      <c r="DP44" s="28" t="str">
        <f aca="false">AM44</f>
        <v/>
      </c>
      <c r="DQ44" s="28" t="str">
        <f aca="false">AQ44</f>
        <v/>
      </c>
      <c r="DR44" s="28" t="str">
        <f aca="false">AU44</f>
        <v/>
      </c>
      <c r="DS44" s="28" t="str">
        <f aca="false">AY44</f>
        <v/>
      </c>
      <c r="DT44" s="28" t="str">
        <f aca="false">BC44</f>
        <v/>
      </c>
      <c r="DU44" s="28" t="str">
        <f aca="false">BG44</f>
        <v/>
      </c>
      <c r="DV44" s="28" t="str">
        <f aca="false">BK44</f>
        <v/>
      </c>
      <c r="DW44" s="28" t="str">
        <f aca="false">BO44</f>
        <v/>
      </c>
      <c r="DX44" s="28" t="str">
        <f aca="false">BS44</f>
        <v/>
      </c>
      <c r="DY44" s="28" t="n">
        <f aca="false">IF(ISNUMBER(S44),1,"")</f>
        <v>1</v>
      </c>
      <c r="DZ44" s="28" t="n">
        <f aca="false">IF(ISNUMBER(W44),2,"")</f>
        <v>2</v>
      </c>
      <c r="EA44" s="28" t="n">
        <f aca="false">IF(ISNUMBER(AA44),3,"")</f>
        <v>3</v>
      </c>
      <c r="EB44" s="28" t="n">
        <f aca="false">IF(ISNUMBER(AE44),4,"")</f>
        <v>4</v>
      </c>
      <c r="EC44" s="28" t="n">
        <f aca="false">IF(ISNUMBER(AI44),5,"")</f>
        <v>5</v>
      </c>
      <c r="ED44" s="28" t="str">
        <f aca="false">IF(ISNUMBER(AM44),6,"")</f>
        <v/>
      </c>
      <c r="EE44" s="28" t="str">
        <f aca="false">IF(ISNUMBER(AQ44),7,"")</f>
        <v/>
      </c>
      <c r="EF44" s="28" t="str">
        <f aca="false">IF(ISNUMBER(AU44),8,"")</f>
        <v/>
      </c>
      <c r="EG44" s="28" t="str">
        <f aca="false">IF(ISNUMBER(AY44),9,"")</f>
        <v/>
      </c>
      <c r="EH44" s="28" t="str">
        <f aca="false">IF(ISNUMBER(BC44),10,"")</f>
        <v/>
      </c>
      <c r="EI44" s="28" t="str">
        <f aca="false">IF(ISNUMBER(BG44),11,"")</f>
        <v/>
      </c>
      <c r="EJ44" s="28" t="str">
        <f aca="false">IF(ISNUMBER(BK44),12,"")</f>
        <v/>
      </c>
      <c r="EK44" s="28" t="str">
        <f aca="false">IF(ISNUMBER(BO44),13,"")</f>
        <v/>
      </c>
      <c r="EL44" s="28" t="str">
        <f aca="false">IF(ISNUMBER(BS44),14,"")</f>
        <v/>
      </c>
      <c r="EM44" s="28" t="n">
        <f aca="false">IF(ISNUMBER(R44),R44*CW44,0)</f>
        <v>95</v>
      </c>
      <c r="EN44" s="28" t="n">
        <f aca="false">IF(ISNUMBER(V44),V44*CX44,0)</f>
        <v>70</v>
      </c>
      <c r="EO44" s="28" t="n">
        <f aca="false">IF(ISNUMBER(Z44),Z44*CY44,0)</f>
        <v>80</v>
      </c>
      <c r="EP44" s="28" t="n">
        <f aca="false">IF(ISNUMBER(AD44),AD44*CZ44,0)</f>
        <v>180</v>
      </c>
      <c r="EQ44" s="28" t="n">
        <f aca="false">IF(ISNUMBER(AH44),AH44*DA44,0)</f>
        <v>152</v>
      </c>
      <c r="ER44" s="28" t="n">
        <f aca="false">IF(ISNUMBER(AL44),AL44*DB44,0)</f>
        <v>0</v>
      </c>
      <c r="ES44" s="28" t="n">
        <f aca="false">IF(ISNUMBER(AP44),AP44*DC44,0)</f>
        <v>0</v>
      </c>
      <c r="ET44" s="28" t="n">
        <f aca="false">IF(ISNUMBER(AT44),AT44*DD44,0)</f>
        <v>0</v>
      </c>
      <c r="EU44" s="28" t="n">
        <f aca="false">IF(ISNUMBER(AX44),AX44*DE44,0)</f>
        <v>0</v>
      </c>
      <c r="EV44" s="28" t="n">
        <f aca="false">IF(ISNUMBER(BB44),BB44*DF44,0)</f>
        <v>0</v>
      </c>
      <c r="EW44" s="28" t="n">
        <f aca="false">IF(ISNUMBER(BF44),BF44*DG44,0)</f>
        <v>0</v>
      </c>
      <c r="EX44" s="28" t="n">
        <f aca="false">IF(ISNUMBER(BJ44),BJ44*DH44,0)</f>
        <v>0</v>
      </c>
      <c r="EY44" s="28" t="n">
        <f aca="false">IF(ISNUMBER(BN44),BN44*DI44,0)</f>
        <v>0</v>
      </c>
      <c r="EZ44" s="28" t="n">
        <f aca="false">IF(ISNUMBER(BR44),BR44*DJ44,0)</f>
        <v>0</v>
      </c>
      <c r="FA44" s="28" t="n">
        <f aca="false">IF(ISNUMBER(R44),CW44,0)</f>
        <v>1</v>
      </c>
      <c r="FB44" s="28" t="n">
        <f aca="false">IF(ISNUMBER(V44),CX44,0)</f>
        <v>1</v>
      </c>
      <c r="FC44" s="28" t="n">
        <f aca="false">IF(ISNUMBER(Z44),CY44,0)</f>
        <v>1</v>
      </c>
      <c r="FD44" s="28" t="n">
        <f aca="false">IF(ISNUMBER(AD44),CZ44,0)</f>
        <v>2</v>
      </c>
      <c r="FE44" s="28" t="n">
        <f aca="false">IF(ISNUMBER(AH44),DA44,0)</f>
        <v>2</v>
      </c>
      <c r="FF44" s="28" t="n">
        <f aca="false">IF(ISNUMBER(AL44),DB44,0)</f>
        <v>0</v>
      </c>
      <c r="FG44" s="28" t="n">
        <f aca="false">IF(ISNUMBER(AP44),DC44,0)</f>
        <v>0</v>
      </c>
      <c r="FH44" s="28" t="n">
        <f aca="false">IF(ISNUMBER(AT44),DD44,0)</f>
        <v>0</v>
      </c>
      <c r="FI44" s="28" t="n">
        <f aca="false">IF(ISNUMBER(AX44),DE44,0)</f>
        <v>0</v>
      </c>
      <c r="FJ44" s="28" t="n">
        <f aca="false">IF(ISNUMBER(BB44),DF44,0)</f>
        <v>0</v>
      </c>
      <c r="FK44" s="28" t="n">
        <f aca="false">IF(ISNUMBER(BF44),DG44,0)</f>
        <v>0</v>
      </c>
      <c r="FL44" s="28" t="n">
        <f aca="false">IF(ISNUMBER(BJ44),DH44,0)</f>
        <v>0</v>
      </c>
      <c r="FM44" s="28" t="n">
        <f aca="false">IF(ISNUMBER(BN44),DI44,0)</f>
        <v>0</v>
      </c>
      <c r="FN44" s="28" t="n">
        <f aca="false">IF(ISNUMBER(BR44),DJ44,0)</f>
        <v>0</v>
      </c>
      <c r="FO44" s="28" t="str">
        <f aca="false">IFERROR(INDEX(Lists!$G$2:$G$20,MATCH($I44&amp;"|"&amp;$J44,Lists!$F$2:$F$20,0)),"")</f>
        <v>Geog Overall SL</v>
      </c>
    </row>
    <row r="45" customFormat="false" ht="19.5" hidden="false" customHeight="true" outlineLevel="0" collapsed="false">
      <c r="A45" s="29" t="s">
        <v>224</v>
      </c>
      <c r="B45" s="29" t="s">
        <v>225</v>
      </c>
      <c r="C45" s="30" t="s">
        <v>152</v>
      </c>
      <c r="D45" s="30" t="s">
        <v>177</v>
      </c>
      <c r="E45" s="31" t="n">
        <v>6.4</v>
      </c>
      <c r="F45" s="30" t="n">
        <v>7</v>
      </c>
      <c r="G45" s="30"/>
      <c r="H45" s="32" t="s">
        <v>23</v>
      </c>
      <c r="I45" s="33" t="s">
        <v>24</v>
      </c>
      <c r="J45" s="32" t="s">
        <v>223</v>
      </c>
      <c r="K45" s="34" t="n">
        <f aca="false">IF(OR(M45="",$E45=""),"",M45-$E45)</f>
        <v>-0.4</v>
      </c>
      <c r="L45" s="35" t="n">
        <f aca="false">IF(SUM(FA45:FN45)=0,"",SUM(EM45:EZ45)/SUM(FA45:FN45))</f>
        <v>73.7777777777778</v>
      </c>
      <c r="M45" s="36" t="n">
        <f aca="false">IF(OR(L45="",FO45=""),"",IFERROR(MATCH(L45,INDEX(Boundaries!$B$2:$I$30,MATCH(FO45,Boundaries!$A$2:$A$30,0),0),1)-1,""))</f>
        <v>6</v>
      </c>
      <c r="N45" s="37" t="n">
        <f aca="false">IF(COUNT($DY45:$EL45)&lt;2,"",INDEX($DK45:$DX45,MAX($DY45:$EL45))-INDEX($DK45:$DX45,MIN($DY45:$EL45)))</f>
        <v>1</v>
      </c>
      <c r="O45" s="37" t="n">
        <f aca="false">IF(COUNT($DY45:$EL45)&lt;2,"",INDEX($DK45:$DX45,MAX($DY45:$EL45))-INDEX($DK45:$DX45,LARGE($DY45:$EL45,2)))</f>
        <v>1</v>
      </c>
      <c r="P45" s="38" t="str">
        <f aca="false">IF(K45="","",IF(K45&gt;=0,"On/above target",IF(AND(N45&lt;&gt;"",N45&gt;=0.5),"Improving towards target",IF(AND(O45&lt;&gt;"",O45&lt;=-0.5),"Declining","Stable below target"))))</f>
        <v>Improving towards target</v>
      </c>
      <c r="Q45" s="39" t="n">
        <v>15</v>
      </c>
      <c r="R45" s="40" t="n">
        <f aca="false">IF(OR(Q45="",BU45=""),"",Q45/BU45*100)</f>
        <v>75</v>
      </c>
      <c r="S45" s="41" t="n">
        <f aca="false">IF(R45="","",IFERROR(MATCH(R45,INDEX(Boundaries!$B$2:$I$30,MATCH(CI45,Boundaries!$A$2:$A$30,0),0),1)-1,""))</f>
        <v>6</v>
      </c>
      <c r="T45" s="42" t="n">
        <f aca="false">IF(OR(S45="",$E45=""),"",S45-$E45)</f>
        <v>-0.4</v>
      </c>
      <c r="U45" s="39" t="n">
        <v>16</v>
      </c>
      <c r="V45" s="40" t="n">
        <f aca="false">IF(OR(U45="",BV45=""),"",U45/BV45*100)</f>
        <v>80</v>
      </c>
      <c r="W45" s="41" t="n">
        <f aca="false">IF(V45="","",IFERROR(MATCH(V45,INDEX(Boundaries!$B$2:$I$30,MATCH(CJ45,Boundaries!$A$2:$A$30,0),0),1)-1,""))</f>
        <v>7</v>
      </c>
      <c r="X45" s="42" t="n">
        <f aca="false">IF(OR(W45="",$E45=""),"",W45-$E45)</f>
        <v>0.6</v>
      </c>
      <c r="Y45" s="39" t="n">
        <v>17</v>
      </c>
      <c r="Z45" s="40" t="n">
        <f aca="false">IF(OR(Y45="",BW45=""),"",Y45/BW45*100)</f>
        <v>85</v>
      </c>
      <c r="AA45" s="41" t="n">
        <f aca="false">IF(Z45="","",IFERROR(MATCH(Z45,INDEX(Boundaries!$B$2:$I$30,MATCH(CK45,Boundaries!$A$2:$A$30,0),0),1)-1,""))</f>
        <v>7</v>
      </c>
      <c r="AB45" s="42" t="n">
        <f aca="false">IF(OR(AA45="",$E45=""),"",AA45-$E45)</f>
        <v>0.6</v>
      </c>
      <c r="AC45" s="39" t="n">
        <v>12</v>
      </c>
      <c r="AD45" s="40" t="n">
        <f aca="false">IF(OR(AC45="",BX45=""),"",AC45/BX45*100)</f>
        <v>60</v>
      </c>
      <c r="AE45" s="41" t="n">
        <f aca="false">IF(AD45="","",IFERROR(MATCH(AD45,INDEX(Boundaries!$B$2:$I$30,MATCH(CL45,Boundaries!$A$2:$A$30,0),0),1)-1,""))</f>
        <v>5</v>
      </c>
      <c r="AF45" s="42" t="n">
        <f aca="false">IF(OR(AE45="",$E45=""),"",AE45-$E45)</f>
        <v>-1.4</v>
      </c>
      <c r="AG45" s="39" t="n">
        <v>38</v>
      </c>
      <c r="AH45" s="40" t="n">
        <f aca="false">IF(OR(AG45="",BY45=""),"",AG45/BY45*100)</f>
        <v>76</v>
      </c>
      <c r="AI45" s="41" t="n">
        <f aca="false">IF(AH45="","",IFERROR(MATCH(AH45,INDEX(Boundaries!$B$2:$I$30,MATCH(CM45,Boundaries!$A$2:$A$30,0),0),1)-1,""))</f>
        <v>6</v>
      </c>
      <c r="AJ45" s="42" t="n">
        <f aca="false">IF(OR(AI45="",$E45=""),"",AI45-$E45)</f>
        <v>-0.4</v>
      </c>
      <c r="AK45" s="39" t="n">
        <v>18</v>
      </c>
      <c r="AL45" s="40" t="n">
        <f aca="false">IF(OR(AK45="",BZ45=""),"",AK45/BZ45*100)</f>
        <v>72</v>
      </c>
      <c r="AM45" s="41" t="n">
        <f aca="false">IF(AL45="","",IFERROR(MATCH(AL45,INDEX(Boundaries!$B$2:$I$30,MATCH(CN45,Boundaries!$A$2:$A$30,0),0),1)-1,""))</f>
        <v>6</v>
      </c>
      <c r="AN45" s="42" t="n">
        <f aca="false">IF(OR(AM45="",$E45=""),"",AM45-$E45)</f>
        <v>-0.4</v>
      </c>
      <c r="AO45" s="39" t="n">
        <v>24</v>
      </c>
      <c r="AP45" s="40" t="n">
        <f aca="false">IF(OR(AO45="",CA45=""),"",AO45/CA45*100)</f>
        <v>80</v>
      </c>
      <c r="AQ45" s="41" t="n">
        <f aca="false">IF(AP45="","",IFERROR(MATCH(AP45,INDEX(Boundaries!$B$2:$I$30,MATCH(CO45,Boundaries!$A$2:$A$30,0),0),1)-1,""))</f>
        <v>7</v>
      </c>
      <c r="AR45" s="42" t="n">
        <f aca="false">IF(OR(AQ45="",$E45=""),"",AQ45-$E45)</f>
        <v>0.6</v>
      </c>
      <c r="AS45" s="39"/>
      <c r="AT45" s="40" t="str">
        <f aca="false">IF(OR(AS45="",CB45=""),"",AS45/CB45*100)</f>
        <v/>
      </c>
      <c r="AU45" s="41" t="str">
        <f aca="false">IF(AT45="","",IFERROR(MATCH(AT45,INDEX(Boundaries!$B$2:$I$30,MATCH(CP45,Boundaries!$A$2:$A$30,0),0),1)-1,""))</f>
        <v/>
      </c>
      <c r="AV45" s="42" t="str">
        <f aca="false">IF(OR(AU45="",$E45=""),"",AU45-$E45)</f>
        <v/>
      </c>
      <c r="AW45" s="39"/>
      <c r="AX45" s="40" t="str">
        <f aca="false">IF(OR(AW45="",CC45=""),"",AW45/CC45*100)</f>
        <v/>
      </c>
      <c r="AY45" s="41" t="str">
        <f aca="false">IF(AX45="","",IFERROR(MATCH(AX45,INDEX(Boundaries!$B$2:$I$30,MATCH(CQ45,Boundaries!$A$2:$A$30,0),0),1)-1,""))</f>
        <v/>
      </c>
      <c r="AZ45" s="42" t="str">
        <f aca="false">IF(OR(AY45="",$E45=""),"",AY45-$E45)</f>
        <v/>
      </c>
      <c r="BA45" s="39"/>
      <c r="BB45" s="40" t="str">
        <f aca="false">IF(OR(BA45="",CD45=""),"",BA45/CD45*100)</f>
        <v/>
      </c>
      <c r="BC45" s="41" t="str">
        <f aca="false">IF(BB45="","",IFERROR(MATCH(BB45,INDEX(Boundaries!$B$2:$I$30,MATCH(CR45,Boundaries!$A$2:$A$30,0),0),1)-1,""))</f>
        <v/>
      </c>
      <c r="BD45" s="42" t="str">
        <f aca="false">IF(OR(BC45="",$E45=""),"",BC45-$E45)</f>
        <v/>
      </c>
      <c r="BE45" s="39"/>
      <c r="BF45" s="40" t="str">
        <f aca="false">IF(OR(BE45="",CE45=""),"",BE45/CE45*100)</f>
        <v/>
      </c>
      <c r="BG45" s="41" t="str">
        <f aca="false">IF(BF45="","",IFERROR(MATCH(BF45,INDEX(Boundaries!$B$2:$I$30,MATCH(CS45,Boundaries!$A$2:$A$30,0),0),1)-1,""))</f>
        <v/>
      </c>
      <c r="BH45" s="42" t="str">
        <f aca="false">IF(OR(BG45="",$E45=""),"",BG45-$E45)</f>
        <v/>
      </c>
      <c r="BI45" s="39"/>
      <c r="BJ45" s="40" t="str">
        <f aca="false">IF(OR(BI45="",CF45=""),"",BI45/CF45*100)</f>
        <v/>
      </c>
      <c r="BK45" s="41" t="str">
        <f aca="false">IF(BJ45="","",IFERROR(MATCH(BJ45,INDEX(Boundaries!$B$2:$I$30,MATCH(CT45,Boundaries!$A$2:$A$30,0),0),1)-1,""))</f>
        <v/>
      </c>
      <c r="BL45" s="42" t="str">
        <f aca="false">IF(OR(BK45="",$E45=""),"",BK45-$E45)</f>
        <v/>
      </c>
      <c r="BM45" s="39"/>
      <c r="BN45" s="40" t="str">
        <f aca="false">IF(OR(BM45="",CG45=""),"",BM45/CG45*100)</f>
        <v/>
      </c>
      <c r="BO45" s="41" t="str">
        <f aca="false">IF(BN45="","",IFERROR(MATCH(BN45,INDEX(Boundaries!$B$2:$I$30,MATCH(CU45,Boundaries!$A$2:$A$30,0),0),1)-1,""))</f>
        <v/>
      </c>
      <c r="BP45" s="42" t="str">
        <f aca="false">IF(OR(BO45="",$E45=""),"",BO45-$E45)</f>
        <v/>
      </c>
      <c r="BQ45" s="39"/>
      <c r="BR45" s="40" t="str">
        <f aca="false">IF(OR(BQ45="",CH45=""),"",BQ45/CH45*100)</f>
        <v/>
      </c>
      <c r="BS45" s="41" t="str">
        <f aca="false">IF(BR45="","",IFERROR(MATCH(BR45,INDEX(Boundaries!$B$2:$I$30,MATCH(CV45,Boundaries!$A$2:$A$30,0),0),1)-1,""))</f>
        <v/>
      </c>
      <c r="BT45" s="42" t="str">
        <f aca="false">IF(OR(BS45="",$E45=""),"",BS45-$E45)</f>
        <v/>
      </c>
      <c r="BU45" s="28" t="n">
        <f aca="false">IFERROR(INDEX(Assessments!$H$2:$H$600,MATCH($H45&amp;"|"&amp;$I45&amp;"|"&amp;$J45&amp;"|"&amp;1,Assessments!$A$2:$A$600,0)),"")</f>
        <v>20</v>
      </c>
      <c r="BV45" s="28" t="n">
        <f aca="false">IFERROR(INDEX(Assessments!$H$2:$H$600,MATCH($H45&amp;"|"&amp;$I45&amp;"|"&amp;$J45&amp;"|"&amp;2,Assessments!$A$2:$A$600,0)),"")</f>
        <v>20</v>
      </c>
      <c r="BW45" s="28" t="n">
        <f aca="false">IFERROR(INDEX(Assessments!$H$2:$H$600,MATCH($H45&amp;"|"&amp;$I45&amp;"|"&amp;$J45&amp;"|"&amp;3,Assessments!$A$2:$A$600,0)),"")</f>
        <v>20</v>
      </c>
      <c r="BX45" s="28" t="n">
        <f aca="false">IFERROR(INDEX(Assessments!$H$2:$H$600,MATCH($H45&amp;"|"&amp;$I45&amp;"|"&amp;$J45&amp;"|"&amp;4,Assessments!$A$2:$A$600,0)),"")</f>
        <v>20</v>
      </c>
      <c r="BY45" s="28" t="n">
        <f aca="false">IFERROR(INDEX(Assessments!$H$2:$H$600,MATCH($H45&amp;"|"&amp;$I45&amp;"|"&amp;$J45&amp;"|"&amp;5,Assessments!$A$2:$A$600,0)),"")</f>
        <v>50</v>
      </c>
      <c r="BZ45" s="28" t="n">
        <f aca="false">IFERROR(INDEX(Assessments!$H$2:$H$600,MATCH($H45&amp;"|"&amp;$I45&amp;"|"&amp;$J45&amp;"|"&amp;6,Assessments!$A$2:$A$600,0)),"")</f>
        <v>25</v>
      </c>
      <c r="CA45" s="28" t="n">
        <f aca="false">IFERROR(INDEX(Assessments!$H$2:$H$600,MATCH($H45&amp;"|"&amp;$I45&amp;"|"&amp;$J45&amp;"|"&amp;7,Assessments!$A$2:$A$600,0)),"")</f>
        <v>30</v>
      </c>
      <c r="CB45" s="28" t="str">
        <f aca="false">IFERROR(INDEX(Assessments!$H$2:$H$600,MATCH($H45&amp;"|"&amp;$I45&amp;"|"&amp;$J45&amp;"|"&amp;8,Assessments!$A$2:$A$600,0)),"")</f>
        <v/>
      </c>
      <c r="CC45" s="28" t="str">
        <f aca="false">IFERROR(INDEX(Assessments!$H$2:$H$600,MATCH($H45&amp;"|"&amp;$I45&amp;"|"&amp;$J45&amp;"|"&amp;9,Assessments!$A$2:$A$600,0)),"")</f>
        <v/>
      </c>
      <c r="CD45" s="28" t="str">
        <f aca="false">IFERROR(INDEX(Assessments!$H$2:$H$600,MATCH($H45&amp;"|"&amp;$I45&amp;"|"&amp;$J45&amp;"|"&amp;10,Assessments!$A$2:$A$600,0)),"")</f>
        <v/>
      </c>
      <c r="CE45" s="28" t="str">
        <f aca="false">IFERROR(INDEX(Assessments!$H$2:$H$600,MATCH($H45&amp;"|"&amp;$I45&amp;"|"&amp;$J45&amp;"|"&amp;11,Assessments!$A$2:$A$600,0)),"")</f>
        <v/>
      </c>
      <c r="CF45" s="28" t="str">
        <f aca="false">IFERROR(INDEX(Assessments!$H$2:$H$600,MATCH($H45&amp;"|"&amp;$I45&amp;"|"&amp;$J45&amp;"|"&amp;12,Assessments!$A$2:$A$600,0)),"")</f>
        <v/>
      </c>
      <c r="CG45" s="28" t="str">
        <f aca="false">IFERROR(INDEX(Assessments!$H$2:$H$600,MATCH($H45&amp;"|"&amp;$I45&amp;"|"&amp;$J45&amp;"|"&amp;13,Assessments!$A$2:$A$600,0)),"")</f>
        <v/>
      </c>
      <c r="CH45" s="28" t="str">
        <f aca="false">IFERROR(INDEX(Assessments!$H$2:$H$600,MATCH($H45&amp;"|"&amp;$I45&amp;"|"&amp;$J45&amp;"|"&amp;14,Assessments!$A$2:$A$600,0)),"")</f>
        <v/>
      </c>
      <c r="CI45" s="28" t="str">
        <f aca="false">IFERROR(INDEX(Assessments!$I$2:$I$600,MATCH($H45&amp;"|"&amp;$I45&amp;"|"&amp;$J45&amp;"|"&amp;1,Assessments!$A$2:$A$600,0)),"")</f>
        <v>Geog Paper 2</v>
      </c>
      <c r="CJ45" s="28" t="str">
        <f aca="false">IFERROR(INDEX(Assessments!$I$2:$I$600,MATCH($H45&amp;"|"&amp;$I45&amp;"|"&amp;$J45&amp;"|"&amp;2,Assessments!$A$2:$A$600,0)),"")</f>
        <v>Geog Paper 2</v>
      </c>
      <c r="CK45" s="28" t="str">
        <f aca="false">IFERROR(INDEX(Assessments!$I$2:$I$600,MATCH($H45&amp;"|"&amp;$I45&amp;"|"&amp;$J45&amp;"|"&amp;3,Assessments!$A$2:$A$600,0)),"")</f>
        <v>Geog Paper 1</v>
      </c>
      <c r="CL45" s="28" t="str">
        <f aca="false">IFERROR(INDEX(Assessments!$I$2:$I$600,MATCH($H45&amp;"|"&amp;$I45&amp;"|"&amp;$J45&amp;"|"&amp;4,Assessments!$A$2:$A$600,0)),"")</f>
        <v>Geog Paper 1</v>
      </c>
      <c r="CM45" s="28" t="str">
        <f aca="false">IFERROR(INDEX(Assessments!$I$2:$I$600,MATCH($H45&amp;"|"&amp;$I45&amp;"|"&amp;$J45&amp;"|"&amp;5,Assessments!$A$2:$A$600,0)),"")</f>
        <v>Geog Paper 2</v>
      </c>
      <c r="CN45" s="28" t="str">
        <f aca="false">IFERROR(INDEX(Assessments!$I$2:$I$600,MATCH($H45&amp;"|"&amp;$I45&amp;"|"&amp;$J45&amp;"|"&amp;6,Assessments!$A$2:$A$600,0)),"")</f>
        <v>Geog Paper 2</v>
      </c>
      <c r="CO45" s="28" t="str">
        <f aca="false">IFERROR(INDEX(Assessments!$I$2:$I$600,MATCH($H45&amp;"|"&amp;$I45&amp;"|"&amp;$J45&amp;"|"&amp;7,Assessments!$A$2:$A$600,0)),"")</f>
        <v>Geog Paper 2</v>
      </c>
      <c r="CP45" s="28" t="str">
        <f aca="false">IFERROR(INDEX(Assessments!$I$2:$I$600,MATCH($H45&amp;"|"&amp;$I45&amp;"|"&amp;$J45&amp;"|"&amp;8,Assessments!$A$2:$A$600,0)),"")</f>
        <v/>
      </c>
      <c r="CQ45" s="28" t="str">
        <f aca="false">IFERROR(INDEX(Assessments!$I$2:$I$600,MATCH($H45&amp;"|"&amp;$I45&amp;"|"&amp;$J45&amp;"|"&amp;9,Assessments!$A$2:$A$600,0)),"")</f>
        <v/>
      </c>
      <c r="CR45" s="28" t="str">
        <f aca="false">IFERROR(INDEX(Assessments!$I$2:$I$600,MATCH($H45&amp;"|"&amp;$I45&amp;"|"&amp;$J45&amp;"|"&amp;10,Assessments!$A$2:$A$600,0)),"")</f>
        <v/>
      </c>
      <c r="CS45" s="28" t="str">
        <f aca="false">IFERROR(INDEX(Assessments!$I$2:$I$600,MATCH($H45&amp;"|"&amp;$I45&amp;"|"&amp;$J45&amp;"|"&amp;11,Assessments!$A$2:$A$600,0)),"")</f>
        <v/>
      </c>
      <c r="CT45" s="28" t="str">
        <f aca="false">IFERROR(INDEX(Assessments!$I$2:$I$600,MATCH($H45&amp;"|"&amp;$I45&amp;"|"&amp;$J45&amp;"|"&amp;12,Assessments!$A$2:$A$600,0)),"")</f>
        <v/>
      </c>
      <c r="CU45" s="28" t="str">
        <f aca="false">IFERROR(INDEX(Assessments!$I$2:$I$600,MATCH($H45&amp;"|"&amp;$I45&amp;"|"&amp;$J45&amp;"|"&amp;13,Assessments!$A$2:$A$600,0)),"")</f>
        <v/>
      </c>
      <c r="CV45" s="28" t="str">
        <f aca="false">IFERROR(INDEX(Assessments!$I$2:$I$600,MATCH($H45&amp;"|"&amp;$I45&amp;"|"&amp;$J45&amp;"|"&amp;14,Assessments!$A$2:$A$600,0)),"")</f>
        <v/>
      </c>
      <c r="CW45" s="28" t="n">
        <f aca="false">IFERROR(INDEX(Assessments!$J$2:$J$600,MATCH($H45&amp;"|"&amp;$I45&amp;"|"&amp;$J45&amp;"|"&amp;1,Assessments!$A$2:$A$600,0)),0)</f>
        <v>1</v>
      </c>
      <c r="CX45" s="28" t="n">
        <f aca="false">IFERROR(INDEX(Assessments!$J$2:$J$600,MATCH($H45&amp;"|"&amp;$I45&amp;"|"&amp;$J45&amp;"|"&amp;2,Assessments!$A$2:$A$600,0)),0)</f>
        <v>1</v>
      </c>
      <c r="CY45" s="28" t="n">
        <f aca="false">IFERROR(INDEX(Assessments!$J$2:$J$600,MATCH($H45&amp;"|"&amp;$I45&amp;"|"&amp;$J45&amp;"|"&amp;3,Assessments!$A$2:$A$600,0)),0)</f>
        <v>1</v>
      </c>
      <c r="CZ45" s="28" t="n">
        <f aca="false">IFERROR(INDEX(Assessments!$J$2:$J$600,MATCH($H45&amp;"|"&amp;$I45&amp;"|"&amp;$J45&amp;"|"&amp;4,Assessments!$A$2:$A$600,0)),0)</f>
        <v>2</v>
      </c>
      <c r="DA45" s="28" t="n">
        <f aca="false">IFERROR(INDEX(Assessments!$J$2:$J$600,MATCH($H45&amp;"|"&amp;$I45&amp;"|"&amp;$J45&amp;"|"&amp;5,Assessments!$A$2:$A$600,0)),0)</f>
        <v>2</v>
      </c>
      <c r="DB45" s="28" t="n">
        <f aca="false">IFERROR(INDEX(Assessments!$J$2:$J$600,MATCH($H45&amp;"|"&amp;$I45&amp;"|"&amp;$J45&amp;"|"&amp;6,Assessments!$A$2:$A$600,0)),0)</f>
        <v>1</v>
      </c>
      <c r="DC45" s="28" t="n">
        <f aca="false">IFERROR(INDEX(Assessments!$J$2:$J$600,MATCH($H45&amp;"|"&amp;$I45&amp;"|"&amp;$J45&amp;"|"&amp;7,Assessments!$A$2:$A$600,0)),0)</f>
        <v>1</v>
      </c>
      <c r="DD45" s="28" t="n">
        <f aca="false">IFERROR(INDEX(Assessments!$J$2:$J$600,MATCH($H45&amp;"|"&amp;$I45&amp;"|"&amp;$J45&amp;"|"&amp;8,Assessments!$A$2:$A$600,0)),0)</f>
        <v>0</v>
      </c>
      <c r="DE45" s="28" t="n">
        <f aca="false">IFERROR(INDEX(Assessments!$J$2:$J$600,MATCH($H45&amp;"|"&amp;$I45&amp;"|"&amp;$J45&amp;"|"&amp;9,Assessments!$A$2:$A$600,0)),0)</f>
        <v>0</v>
      </c>
      <c r="DF45" s="28" t="n">
        <f aca="false">IFERROR(INDEX(Assessments!$J$2:$J$600,MATCH($H45&amp;"|"&amp;$I45&amp;"|"&amp;$J45&amp;"|"&amp;10,Assessments!$A$2:$A$600,0)),0)</f>
        <v>0</v>
      </c>
      <c r="DG45" s="28" t="n">
        <f aca="false">IFERROR(INDEX(Assessments!$J$2:$J$600,MATCH($H45&amp;"|"&amp;$I45&amp;"|"&amp;$J45&amp;"|"&amp;11,Assessments!$A$2:$A$600,0)),0)</f>
        <v>0</v>
      </c>
      <c r="DH45" s="28" t="n">
        <f aca="false">IFERROR(INDEX(Assessments!$J$2:$J$600,MATCH($H45&amp;"|"&amp;$I45&amp;"|"&amp;$J45&amp;"|"&amp;12,Assessments!$A$2:$A$600,0)),0)</f>
        <v>0</v>
      </c>
      <c r="DI45" s="28" t="n">
        <f aca="false">IFERROR(INDEX(Assessments!$J$2:$J$600,MATCH($H45&amp;"|"&amp;$I45&amp;"|"&amp;$J45&amp;"|"&amp;13,Assessments!$A$2:$A$600,0)),0)</f>
        <v>0</v>
      </c>
      <c r="DJ45" s="28" t="n">
        <f aca="false">IFERROR(INDEX(Assessments!$J$2:$J$600,MATCH($H45&amp;"|"&amp;$I45&amp;"|"&amp;$J45&amp;"|"&amp;14,Assessments!$A$2:$A$600,0)),0)</f>
        <v>0</v>
      </c>
      <c r="DK45" s="28" t="n">
        <f aca="false">S45</f>
        <v>6</v>
      </c>
      <c r="DL45" s="28" t="n">
        <f aca="false">W45</f>
        <v>7</v>
      </c>
      <c r="DM45" s="28" t="n">
        <f aca="false">AA45</f>
        <v>7</v>
      </c>
      <c r="DN45" s="28" t="n">
        <f aca="false">AE45</f>
        <v>5</v>
      </c>
      <c r="DO45" s="28" t="n">
        <f aca="false">AI45</f>
        <v>6</v>
      </c>
      <c r="DP45" s="28" t="n">
        <f aca="false">AM45</f>
        <v>6</v>
      </c>
      <c r="DQ45" s="28" t="n">
        <f aca="false">AQ45</f>
        <v>7</v>
      </c>
      <c r="DR45" s="28" t="str">
        <f aca="false">AU45</f>
        <v/>
      </c>
      <c r="DS45" s="28" t="str">
        <f aca="false">AY45</f>
        <v/>
      </c>
      <c r="DT45" s="28" t="str">
        <f aca="false">BC45</f>
        <v/>
      </c>
      <c r="DU45" s="28" t="str">
        <f aca="false">BG45</f>
        <v/>
      </c>
      <c r="DV45" s="28" t="str">
        <f aca="false">BK45</f>
        <v/>
      </c>
      <c r="DW45" s="28" t="str">
        <f aca="false">BO45</f>
        <v/>
      </c>
      <c r="DX45" s="28" t="str">
        <f aca="false">BS45</f>
        <v/>
      </c>
      <c r="DY45" s="28" t="n">
        <f aca="false">IF(ISNUMBER(S45),1,"")</f>
        <v>1</v>
      </c>
      <c r="DZ45" s="28" t="n">
        <f aca="false">IF(ISNUMBER(W45),2,"")</f>
        <v>2</v>
      </c>
      <c r="EA45" s="28" t="n">
        <f aca="false">IF(ISNUMBER(AA45),3,"")</f>
        <v>3</v>
      </c>
      <c r="EB45" s="28" t="n">
        <f aca="false">IF(ISNUMBER(AE45),4,"")</f>
        <v>4</v>
      </c>
      <c r="EC45" s="28" t="n">
        <f aca="false">IF(ISNUMBER(AI45),5,"")</f>
        <v>5</v>
      </c>
      <c r="ED45" s="28" t="n">
        <f aca="false">IF(ISNUMBER(AM45),6,"")</f>
        <v>6</v>
      </c>
      <c r="EE45" s="28" t="n">
        <f aca="false">IF(ISNUMBER(AQ45),7,"")</f>
        <v>7</v>
      </c>
      <c r="EF45" s="28" t="str">
        <f aca="false">IF(ISNUMBER(AU45),8,"")</f>
        <v/>
      </c>
      <c r="EG45" s="28" t="str">
        <f aca="false">IF(ISNUMBER(AY45),9,"")</f>
        <v/>
      </c>
      <c r="EH45" s="28" t="str">
        <f aca="false">IF(ISNUMBER(BC45),10,"")</f>
        <v/>
      </c>
      <c r="EI45" s="28" t="str">
        <f aca="false">IF(ISNUMBER(BG45),11,"")</f>
        <v/>
      </c>
      <c r="EJ45" s="28" t="str">
        <f aca="false">IF(ISNUMBER(BK45),12,"")</f>
        <v/>
      </c>
      <c r="EK45" s="28" t="str">
        <f aca="false">IF(ISNUMBER(BO45),13,"")</f>
        <v/>
      </c>
      <c r="EL45" s="28" t="str">
        <f aca="false">IF(ISNUMBER(BS45),14,"")</f>
        <v/>
      </c>
      <c r="EM45" s="28" t="n">
        <f aca="false">IF(ISNUMBER(R45),R45*CW45,0)</f>
        <v>75</v>
      </c>
      <c r="EN45" s="28" t="n">
        <f aca="false">IF(ISNUMBER(V45),V45*CX45,0)</f>
        <v>80</v>
      </c>
      <c r="EO45" s="28" t="n">
        <f aca="false">IF(ISNUMBER(Z45),Z45*CY45,0)</f>
        <v>85</v>
      </c>
      <c r="EP45" s="28" t="n">
        <f aca="false">IF(ISNUMBER(AD45),AD45*CZ45,0)</f>
        <v>120</v>
      </c>
      <c r="EQ45" s="28" t="n">
        <f aca="false">IF(ISNUMBER(AH45),AH45*DA45,0)</f>
        <v>152</v>
      </c>
      <c r="ER45" s="28" t="n">
        <f aca="false">IF(ISNUMBER(AL45),AL45*DB45,0)</f>
        <v>72</v>
      </c>
      <c r="ES45" s="28" t="n">
        <f aca="false">IF(ISNUMBER(AP45),AP45*DC45,0)</f>
        <v>80</v>
      </c>
      <c r="ET45" s="28" t="n">
        <f aca="false">IF(ISNUMBER(AT45),AT45*DD45,0)</f>
        <v>0</v>
      </c>
      <c r="EU45" s="28" t="n">
        <f aca="false">IF(ISNUMBER(AX45),AX45*DE45,0)</f>
        <v>0</v>
      </c>
      <c r="EV45" s="28" t="n">
        <f aca="false">IF(ISNUMBER(BB45),BB45*DF45,0)</f>
        <v>0</v>
      </c>
      <c r="EW45" s="28" t="n">
        <f aca="false">IF(ISNUMBER(BF45),BF45*DG45,0)</f>
        <v>0</v>
      </c>
      <c r="EX45" s="28" t="n">
        <f aca="false">IF(ISNUMBER(BJ45),BJ45*DH45,0)</f>
        <v>0</v>
      </c>
      <c r="EY45" s="28" t="n">
        <f aca="false">IF(ISNUMBER(BN45),BN45*DI45,0)</f>
        <v>0</v>
      </c>
      <c r="EZ45" s="28" t="n">
        <f aca="false">IF(ISNUMBER(BR45),BR45*DJ45,0)</f>
        <v>0</v>
      </c>
      <c r="FA45" s="28" t="n">
        <f aca="false">IF(ISNUMBER(R45),CW45,0)</f>
        <v>1</v>
      </c>
      <c r="FB45" s="28" t="n">
        <f aca="false">IF(ISNUMBER(V45),CX45,0)</f>
        <v>1</v>
      </c>
      <c r="FC45" s="28" t="n">
        <f aca="false">IF(ISNUMBER(Z45),CY45,0)</f>
        <v>1</v>
      </c>
      <c r="FD45" s="28" t="n">
        <f aca="false">IF(ISNUMBER(AD45),CZ45,0)</f>
        <v>2</v>
      </c>
      <c r="FE45" s="28" t="n">
        <f aca="false">IF(ISNUMBER(AH45),DA45,0)</f>
        <v>2</v>
      </c>
      <c r="FF45" s="28" t="n">
        <f aca="false">IF(ISNUMBER(AL45),DB45,0)</f>
        <v>1</v>
      </c>
      <c r="FG45" s="28" t="n">
        <f aca="false">IF(ISNUMBER(AP45),DC45,0)</f>
        <v>1</v>
      </c>
      <c r="FH45" s="28" t="n">
        <f aca="false">IF(ISNUMBER(AT45),DD45,0)</f>
        <v>0</v>
      </c>
      <c r="FI45" s="28" t="n">
        <f aca="false">IF(ISNUMBER(AX45),DE45,0)</f>
        <v>0</v>
      </c>
      <c r="FJ45" s="28" t="n">
        <f aca="false">IF(ISNUMBER(BB45),DF45,0)</f>
        <v>0</v>
      </c>
      <c r="FK45" s="28" t="n">
        <f aca="false">IF(ISNUMBER(BF45),DG45,0)</f>
        <v>0</v>
      </c>
      <c r="FL45" s="28" t="n">
        <f aca="false">IF(ISNUMBER(BJ45),DH45,0)</f>
        <v>0</v>
      </c>
      <c r="FM45" s="28" t="n">
        <f aca="false">IF(ISNUMBER(BN45),DI45,0)</f>
        <v>0</v>
      </c>
      <c r="FN45" s="28" t="n">
        <f aca="false">IF(ISNUMBER(BR45),DJ45,0)</f>
        <v>0</v>
      </c>
      <c r="FO45" s="28" t="str">
        <f aca="false">IFERROR(INDEX(Lists!$G$2:$G$20,MATCH($I45&amp;"|"&amp;$J45,Lists!$F$2:$F$20,0)),"")</f>
        <v>Geog Overall SL</v>
      </c>
    </row>
    <row r="46" customFormat="false" ht="19.5" hidden="false" customHeight="true" outlineLevel="0" collapsed="false">
      <c r="A46" s="29" t="s">
        <v>226</v>
      </c>
      <c r="B46" s="29" t="s">
        <v>227</v>
      </c>
      <c r="C46" s="30" t="s">
        <v>152</v>
      </c>
      <c r="D46" s="30" t="s">
        <v>228</v>
      </c>
      <c r="E46" s="31" t="n">
        <v>6.1</v>
      </c>
      <c r="F46" s="30" t="n">
        <v>6</v>
      </c>
      <c r="G46" s="30"/>
      <c r="H46" s="32" t="s">
        <v>23</v>
      </c>
      <c r="I46" s="33" t="s">
        <v>229</v>
      </c>
      <c r="J46" s="32" t="s">
        <v>25</v>
      </c>
      <c r="K46" s="34" t="n">
        <f aca="false">IF(OR(M46="",$E46=""),"",M46-$E46)</f>
        <v>0.9</v>
      </c>
      <c r="L46" s="35" t="n">
        <f aca="false">IF(SUM(FA46:FN46)=0,"",SUM(EM46:EZ46)/SUM(FA46:FN46))</f>
        <v>80.213924963925</v>
      </c>
      <c r="M46" s="36" t="n">
        <f aca="false">IF(OR(L46="",FO46=""),"",IFERROR(MATCH(L46,INDEX(Boundaries!$B$2:$I$30,MATCH(FO46,Boundaries!$A$2:$A$30,0),0),1)-1,""))</f>
        <v>7</v>
      </c>
      <c r="N46" s="37" t="n">
        <f aca="false">IF(COUNT($DY46:$EL46)&lt;2,"",INDEX($DK46:$DX46,MAX($DY46:$EL46))-INDEX($DK46:$DX46,MIN($DY46:$EL46)))</f>
        <v>0</v>
      </c>
      <c r="O46" s="37" t="n">
        <f aca="false">IF(COUNT($DY46:$EL46)&lt;2,"",INDEX($DK46:$DX46,MAX($DY46:$EL46))-INDEX($DK46:$DX46,LARGE($DY46:$EL46,2)))</f>
        <v>4</v>
      </c>
      <c r="P46" s="38" t="str">
        <f aca="false">IF(K46="","",IF(K46&gt;=0,"On/above target",IF(AND(N46&lt;&gt;"",N46&gt;=0.5),"Improving towards target",IF(AND(O46&lt;&gt;"",O46&lt;=-0.5),"Declining","Stable below target"))))</f>
        <v>On/above target</v>
      </c>
      <c r="Q46" s="39" t="n">
        <v>26</v>
      </c>
      <c r="R46" s="40" t="n">
        <f aca="false">IF(OR(Q46="",BU46=""),"",Q46/BU46*100)</f>
        <v>86.6666666666667</v>
      </c>
      <c r="S46" s="41" t="n">
        <f aca="false">IF(R46="","",IFERROR(MATCH(R46,INDEX(Boundaries!$B$2:$I$30,MATCH(CI46,Boundaries!$A$2:$A$30,0),0),1)-1,""))</f>
        <v>7</v>
      </c>
      <c r="T46" s="42" t="n">
        <f aca="false">IF(OR(S46="",$E46=""),"",S46-$E46)</f>
        <v>0.9</v>
      </c>
      <c r="U46" s="39" t="n">
        <v>21</v>
      </c>
      <c r="V46" s="40" t="n">
        <f aca="false">IF(OR(U46="",BV46=""),"",U46/BV46*100)</f>
        <v>87.5</v>
      </c>
      <c r="W46" s="41" t="n">
        <f aca="false">IF(V46="","",IFERROR(MATCH(V46,INDEX(Boundaries!$B$2:$I$30,MATCH(CJ46,Boundaries!$A$2:$A$30,0),0),1)-1,""))</f>
        <v>7</v>
      </c>
      <c r="X46" s="42" t="n">
        <f aca="false">IF(OR(W46="",$E46=""),"",W46-$E46)</f>
        <v>0.9</v>
      </c>
      <c r="Y46" s="39" t="n">
        <v>21</v>
      </c>
      <c r="Z46" s="40" t="n">
        <f aca="false">IF(OR(Y46="",BW46=""),"",Y46/BW46*100)</f>
        <v>84</v>
      </c>
      <c r="AA46" s="41" t="n">
        <f aca="false">IF(Z46="","",IFERROR(MATCH(Z46,INDEX(Boundaries!$B$2:$I$30,MATCH(CK46,Boundaries!$A$2:$A$30,0),0),1)-1,""))</f>
        <v>6</v>
      </c>
      <c r="AB46" s="42" t="n">
        <f aca="false">IF(OR(AA46="",$E46=""),"",AA46-$E46)</f>
        <v>-0.0999999999999996</v>
      </c>
      <c r="AC46" s="39" t="n">
        <v>17</v>
      </c>
      <c r="AD46" s="40" t="n">
        <f aca="false">IF(OR(AC46="",BX46=""),"",AC46/BX46*100)</f>
        <v>48.5714285714286</v>
      </c>
      <c r="AE46" s="41" t="n">
        <f aca="false">IF(AD46="","",IFERROR(MATCH(AD46,INDEX(Boundaries!$B$2:$I$30,MATCH(CL46,Boundaries!$A$2:$A$30,0),0),1)-1,""))</f>
        <v>3</v>
      </c>
      <c r="AF46" s="42" t="n">
        <f aca="false">IF(OR(AE46="",$E46=""),"",AE46-$E46)</f>
        <v>-3.1</v>
      </c>
      <c r="AG46" s="39" t="n">
        <v>48</v>
      </c>
      <c r="AH46" s="40" t="n">
        <f aca="false">IF(OR(AG46="",BY46=""),"",AG46/BY46*100)</f>
        <v>87.2727272727273</v>
      </c>
      <c r="AI46" s="41" t="n">
        <f aca="false">IF(AH46="","",IFERROR(MATCH(AH46,INDEX(Boundaries!$B$2:$I$30,MATCH(CM46,Boundaries!$A$2:$A$30,0),0),1)-1,""))</f>
        <v>7</v>
      </c>
      <c r="AJ46" s="42" t="n">
        <f aca="false">IF(OR(AI46="",$E46=""),"",AI46-$E46)</f>
        <v>0.9</v>
      </c>
      <c r="AK46" s="39"/>
      <c r="AL46" s="40" t="str">
        <f aca="false">IF(OR(AK46="",BZ46=""),"",AK46/BZ46*100)</f>
        <v/>
      </c>
      <c r="AM46" s="41" t="str">
        <f aca="false">IF(AL46="","",IFERROR(MATCH(AL46,INDEX(Boundaries!$B$2:$I$30,MATCH(CN46,Boundaries!$A$2:$A$30,0),0),1)-1,""))</f>
        <v/>
      </c>
      <c r="AN46" s="42" t="str">
        <f aca="false">IF(OR(AM46="",$E46=""),"",AM46-$E46)</f>
        <v/>
      </c>
      <c r="AO46" s="39"/>
      <c r="AP46" s="40" t="str">
        <f aca="false">IF(OR(AO46="",CA46=""),"",AO46/CA46*100)</f>
        <v/>
      </c>
      <c r="AQ46" s="41" t="str">
        <f aca="false">IF(AP46="","",IFERROR(MATCH(AP46,INDEX(Boundaries!$B$2:$I$30,MATCH(CO46,Boundaries!$A$2:$A$30,0),0),1)-1,""))</f>
        <v/>
      </c>
      <c r="AR46" s="42" t="str">
        <f aca="false">IF(OR(AQ46="",$E46=""),"",AQ46-$E46)</f>
        <v/>
      </c>
      <c r="AS46" s="39"/>
      <c r="AT46" s="40" t="str">
        <f aca="false">IF(OR(AS46="",CB46=""),"",AS46/CB46*100)</f>
        <v/>
      </c>
      <c r="AU46" s="41" t="str">
        <f aca="false">IF(AT46="","",IFERROR(MATCH(AT46,INDEX(Boundaries!$B$2:$I$30,MATCH(CP46,Boundaries!$A$2:$A$30,0),0),1)-1,""))</f>
        <v/>
      </c>
      <c r="AV46" s="42" t="str">
        <f aca="false">IF(OR(AU46="",$E46=""),"",AU46-$E46)</f>
        <v/>
      </c>
      <c r="AW46" s="39"/>
      <c r="AX46" s="40" t="str">
        <f aca="false">IF(OR(AW46="",CC46=""),"",AW46/CC46*100)</f>
        <v/>
      </c>
      <c r="AY46" s="41" t="str">
        <f aca="false">IF(AX46="","",IFERROR(MATCH(AX46,INDEX(Boundaries!$B$2:$I$30,MATCH(CQ46,Boundaries!$A$2:$A$30,0),0),1)-1,""))</f>
        <v/>
      </c>
      <c r="AZ46" s="42" t="str">
        <f aca="false">IF(OR(AY46="",$E46=""),"",AY46-$E46)</f>
        <v/>
      </c>
      <c r="BA46" s="39"/>
      <c r="BB46" s="40" t="str">
        <f aca="false">IF(OR(BA46="",CD46=""),"",BA46/CD46*100)</f>
        <v/>
      </c>
      <c r="BC46" s="41" t="str">
        <f aca="false">IF(BB46="","",IFERROR(MATCH(BB46,INDEX(Boundaries!$B$2:$I$30,MATCH(CR46,Boundaries!$A$2:$A$30,0),0),1)-1,""))</f>
        <v/>
      </c>
      <c r="BD46" s="42" t="str">
        <f aca="false">IF(OR(BC46="",$E46=""),"",BC46-$E46)</f>
        <v/>
      </c>
      <c r="BE46" s="39"/>
      <c r="BF46" s="40" t="str">
        <f aca="false">IF(OR(BE46="",CE46=""),"",BE46/CE46*100)</f>
        <v/>
      </c>
      <c r="BG46" s="41" t="str">
        <f aca="false">IF(BF46="","",IFERROR(MATCH(BF46,INDEX(Boundaries!$B$2:$I$30,MATCH(CS46,Boundaries!$A$2:$A$30,0),0),1)-1,""))</f>
        <v/>
      </c>
      <c r="BH46" s="42" t="str">
        <f aca="false">IF(OR(BG46="",$E46=""),"",BG46-$E46)</f>
        <v/>
      </c>
      <c r="BI46" s="39"/>
      <c r="BJ46" s="40" t="str">
        <f aca="false">IF(OR(BI46="",CF46=""),"",BI46/CF46*100)</f>
        <v/>
      </c>
      <c r="BK46" s="41" t="str">
        <f aca="false">IF(BJ46="","",IFERROR(MATCH(BJ46,INDEX(Boundaries!$B$2:$I$30,MATCH(CT46,Boundaries!$A$2:$A$30,0),0),1)-1,""))</f>
        <v/>
      </c>
      <c r="BL46" s="42" t="str">
        <f aca="false">IF(OR(BK46="",$E46=""),"",BK46-$E46)</f>
        <v/>
      </c>
      <c r="BM46" s="39"/>
      <c r="BN46" s="40" t="str">
        <f aca="false">IF(OR(BM46="",CG46=""),"",BM46/CG46*100)</f>
        <v/>
      </c>
      <c r="BO46" s="41" t="str">
        <f aca="false">IF(BN46="","",IFERROR(MATCH(BN46,INDEX(Boundaries!$B$2:$I$30,MATCH(CU46,Boundaries!$A$2:$A$30,0),0),1)-1,""))</f>
        <v/>
      </c>
      <c r="BP46" s="42" t="str">
        <f aca="false">IF(OR(BO46="",$E46=""),"",BO46-$E46)</f>
        <v/>
      </c>
      <c r="BQ46" s="39"/>
      <c r="BR46" s="40" t="str">
        <f aca="false">IF(OR(BQ46="",CH46=""),"",BQ46/CH46*100)</f>
        <v/>
      </c>
      <c r="BS46" s="41" t="str">
        <f aca="false">IF(BR46="","",IFERROR(MATCH(BR46,INDEX(Boundaries!$B$2:$I$30,MATCH(CV46,Boundaries!$A$2:$A$30,0),0),1)-1,""))</f>
        <v/>
      </c>
      <c r="BT46" s="42" t="str">
        <f aca="false">IF(OR(BS46="",$E46=""),"",BS46-$E46)</f>
        <v/>
      </c>
      <c r="BU46" s="28" t="n">
        <f aca="false">IFERROR(INDEX(Assessments!$H$2:$H$600,MATCH($H46&amp;"|"&amp;$I46&amp;"|"&amp;$J46&amp;"|"&amp;1,Assessments!$A$2:$A$600,0)),"")</f>
        <v>30</v>
      </c>
      <c r="BV46" s="28" t="n">
        <f aca="false">IFERROR(INDEX(Assessments!$H$2:$H$600,MATCH($H46&amp;"|"&amp;$I46&amp;"|"&amp;$J46&amp;"|"&amp;2,Assessments!$A$2:$A$600,0)),"")</f>
        <v>24</v>
      </c>
      <c r="BW46" s="28" t="n">
        <f aca="false">IFERROR(INDEX(Assessments!$H$2:$H$600,MATCH($H46&amp;"|"&amp;$I46&amp;"|"&amp;$J46&amp;"|"&amp;3,Assessments!$A$2:$A$600,0)),"")</f>
        <v>25</v>
      </c>
      <c r="BX46" s="28" t="n">
        <f aca="false">IFERROR(INDEX(Assessments!$H$2:$H$600,MATCH($H46&amp;"|"&amp;$I46&amp;"|"&amp;$J46&amp;"|"&amp;4,Assessments!$A$2:$A$600,0)),"")</f>
        <v>35</v>
      </c>
      <c r="BY46" s="28" t="n">
        <f aca="false">IFERROR(INDEX(Assessments!$H$2:$H$600,MATCH($H46&amp;"|"&amp;$I46&amp;"|"&amp;$J46&amp;"|"&amp;5,Assessments!$A$2:$A$600,0)),"")</f>
        <v>55</v>
      </c>
      <c r="BZ46" s="28" t="n">
        <f aca="false">IFERROR(INDEX(Assessments!$H$2:$H$600,MATCH($H46&amp;"|"&amp;$I46&amp;"|"&amp;$J46&amp;"|"&amp;6,Assessments!$A$2:$A$600,0)),"")</f>
        <v>30</v>
      </c>
      <c r="CA46" s="28" t="n">
        <f aca="false">IFERROR(INDEX(Assessments!$H$2:$H$600,MATCH($H46&amp;"|"&amp;$I46&amp;"|"&amp;$J46&amp;"|"&amp;7,Assessments!$A$2:$A$600,0)),"")</f>
        <v>95</v>
      </c>
      <c r="CB46" s="28" t="str">
        <f aca="false">IFERROR(INDEX(Assessments!$H$2:$H$600,MATCH($H46&amp;"|"&amp;$I46&amp;"|"&amp;$J46&amp;"|"&amp;8,Assessments!$A$2:$A$600,0)),"")</f>
        <v/>
      </c>
      <c r="CC46" s="28" t="str">
        <f aca="false">IFERROR(INDEX(Assessments!$H$2:$H$600,MATCH($H46&amp;"|"&amp;$I46&amp;"|"&amp;$J46&amp;"|"&amp;9,Assessments!$A$2:$A$600,0)),"")</f>
        <v/>
      </c>
      <c r="CD46" s="28" t="str">
        <f aca="false">IFERROR(INDEX(Assessments!$H$2:$H$600,MATCH($H46&amp;"|"&amp;$I46&amp;"|"&amp;$J46&amp;"|"&amp;10,Assessments!$A$2:$A$600,0)),"")</f>
        <v/>
      </c>
      <c r="CE46" s="28" t="str">
        <f aca="false">IFERROR(INDEX(Assessments!$H$2:$H$600,MATCH($H46&amp;"|"&amp;$I46&amp;"|"&amp;$J46&amp;"|"&amp;11,Assessments!$A$2:$A$600,0)),"")</f>
        <v/>
      </c>
      <c r="CF46" s="28" t="str">
        <f aca="false">IFERROR(INDEX(Assessments!$H$2:$H$600,MATCH($H46&amp;"|"&amp;$I46&amp;"|"&amp;$J46&amp;"|"&amp;12,Assessments!$A$2:$A$600,0)),"")</f>
        <v/>
      </c>
      <c r="CG46" s="28" t="str">
        <f aca="false">IFERROR(INDEX(Assessments!$H$2:$H$600,MATCH($H46&amp;"|"&amp;$I46&amp;"|"&amp;$J46&amp;"|"&amp;13,Assessments!$A$2:$A$600,0)),"")</f>
        <v/>
      </c>
      <c r="CH46" s="28" t="str">
        <f aca="false">IFERROR(INDEX(Assessments!$H$2:$H$600,MATCH($H46&amp;"|"&amp;$I46&amp;"|"&amp;$J46&amp;"|"&amp;14,Assessments!$A$2:$A$600,0)),"")</f>
        <v/>
      </c>
      <c r="CI46" s="28" t="str">
        <f aca="false">IFERROR(INDEX(Assessments!$I$2:$I$600,MATCH($H46&amp;"|"&amp;$I46&amp;"|"&amp;$J46&amp;"|"&amp;1,Assessments!$A$2:$A$600,0)),"")</f>
        <v>Econ Test</v>
      </c>
      <c r="CJ46" s="28" t="str">
        <f aca="false">IFERROR(INDEX(Assessments!$I$2:$I$600,MATCH($H46&amp;"|"&amp;$I46&amp;"|"&amp;$J46&amp;"|"&amp;2,Assessments!$A$2:$A$600,0)),"")</f>
        <v>Econ Test</v>
      </c>
      <c r="CK46" s="28" t="str">
        <f aca="false">IFERROR(INDEX(Assessments!$I$2:$I$600,MATCH($H46&amp;"|"&amp;$I46&amp;"|"&amp;$J46&amp;"|"&amp;3,Assessments!$A$2:$A$600,0)),"")</f>
        <v>Econ Test</v>
      </c>
      <c r="CL46" s="28" t="str">
        <f aca="false">IFERROR(INDEX(Assessments!$I$2:$I$600,MATCH($H46&amp;"|"&amp;$I46&amp;"|"&amp;$J46&amp;"|"&amp;4,Assessments!$A$2:$A$600,0)),"")</f>
        <v>Econ Test</v>
      </c>
      <c r="CM46" s="28" t="str">
        <f aca="false">IFERROR(INDEX(Assessments!$I$2:$I$600,MATCH($H46&amp;"|"&amp;$I46&amp;"|"&amp;$J46&amp;"|"&amp;5,Assessments!$A$2:$A$600,0)),"")</f>
        <v>Econ Exam</v>
      </c>
      <c r="CN46" s="28" t="str">
        <f aca="false">IFERROR(INDEX(Assessments!$I$2:$I$600,MATCH($H46&amp;"|"&amp;$I46&amp;"|"&amp;$J46&amp;"|"&amp;6,Assessments!$A$2:$A$600,0)),"")</f>
        <v>Econ Test</v>
      </c>
      <c r="CO46" s="28" t="str">
        <f aca="false">IFERROR(INDEX(Assessments!$I$2:$I$600,MATCH($H46&amp;"|"&amp;$I46&amp;"|"&amp;$J46&amp;"|"&amp;7,Assessments!$A$2:$A$600,0)),"")</f>
        <v>Econ Exam</v>
      </c>
      <c r="CP46" s="28" t="str">
        <f aca="false">IFERROR(INDEX(Assessments!$I$2:$I$600,MATCH($H46&amp;"|"&amp;$I46&amp;"|"&amp;$J46&amp;"|"&amp;8,Assessments!$A$2:$A$600,0)),"")</f>
        <v/>
      </c>
      <c r="CQ46" s="28" t="str">
        <f aca="false">IFERROR(INDEX(Assessments!$I$2:$I$600,MATCH($H46&amp;"|"&amp;$I46&amp;"|"&amp;$J46&amp;"|"&amp;9,Assessments!$A$2:$A$600,0)),"")</f>
        <v/>
      </c>
      <c r="CR46" s="28" t="str">
        <f aca="false">IFERROR(INDEX(Assessments!$I$2:$I$600,MATCH($H46&amp;"|"&amp;$I46&amp;"|"&amp;$J46&amp;"|"&amp;10,Assessments!$A$2:$A$600,0)),"")</f>
        <v/>
      </c>
      <c r="CS46" s="28" t="str">
        <f aca="false">IFERROR(INDEX(Assessments!$I$2:$I$600,MATCH($H46&amp;"|"&amp;$I46&amp;"|"&amp;$J46&amp;"|"&amp;11,Assessments!$A$2:$A$600,0)),"")</f>
        <v/>
      </c>
      <c r="CT46" s="28" t="str">
        <f aca="false">IFERROR(INDEX(Assessments!$I$2:$I$600,MATCH($H46&amp;"|"&amp;$I46&amp;"|"&amp;$J46&amp;"|"&amp;12,Assessments!$A$2:$A$600,0)),"")</f>
        <v/>
      </c>
      <c r="CU46" s="28" t="str">
        <f aca="false">IFERROR(INDEX(Assessments!$I$2:$I$600,MATCH($H46&amp;"|"&amp;$I46&amp;"|"&amp;$J46&amp;"|"&amp;13,Assessments!$A$2:$A$600,0)),"")</f>
        <v/>
      </c>
      <c r="CV46" s="28" t="str">
        <f aca="false">IFERROR(INDEX(Assessments!$I$2:$I$600,MATCH($H46&amp;"|"&amp;$I46&amp;"|"&amp;$J46&amp;"|"&amp;14,Assessments!$A$2:$A$600,0)),"")</f>
        <v/>
      </c>
      <c r="CW46" s="28" t="n">
        <f aca="false">IFERROR(INDEX(Assessments!$J$2:$J$600,MATCH($H46&amp;"|"&amp;$I46&amp;"|"&amp;$J46&amp;"|"&amp;1,Assessments!$A$2:$A$600,0)),0)</f>
        <v>1</v>
      </c>
      <c r="CX46" s="28" t="n">
        <f aca="false">IFERROR(INDEX(Assessments!$J$2:$J$600,MATCH($H46&amp;"|"&amp;$I46&amp;"|"&amp;$J46&amp;"|"&amp;2,Assessments!$A$2:$A$600,0)),0)</f>
        <v>1</v>
      </c>
      <c r="CY46" s="28" t="n">
        <f aca="false">IFERROR(INDEX(Assessments!$J$2:$J$600,MATCH($H46&amp;"|"&amp;$I46&amp;"|"&amp;$J46&amp;"|"&amp;3,Assessments!$A$2:$A$600,0)),0)</f>
        <v>1</v>
      </c>
      <c r="CZ46" s="28" t="n">
        <f aca="false">IFERROR(INDEX(Assessments!$J$2:$J$600,MATCH($H46&amp;"|"&amp;$I46&amp;"|"&amp;$J46&amp;"|"&amp;4,Assessments!$A$2:$A$600,0)),0)</f>
        <v>1</v>
      </c>
      <c r="DA46" s="28" t="n">
        <f aca="false">IFERROR(INDEX(Assessments!$J$2:$J$600,MATCH($H46&amp;"|"&amp;$I46&amp;"|"&amp;$J46&amp;"|"&amp;5,Assessments!$A$2:$A$600,0)),0)</f>
        <v>2</v>
      </c>
      <c r="DB46" s="28" t="n">
        <f aca="false">IFERROR(INDEX(Assessments!$J$2:$J$600,MATCH($H46&amp;"|"&amp;$I46&amp;"|"&amp;$J46&amp;"|"&amp;6,Assessments!$A$2:$A$600,0)),0)</f>
        <v>1</v>
      </c>
      <c r="DC46" s="28" t="n">
        <f aca="false">IFERROR(INDEX(Assessments!$J$2:$J$600,MATCH($H46&amp;"|"&amp;$I46&amp;"|"&amp;$J46&amp;"|"&amp;7,Assessments!$A$2:$A$600,0)),0)</f>
        <v>2</v>
      </c>
      <c r="DD46" s="28" t="n">
        <f aca="false">IFERROR(INDEX(Assessments!$J$2:$J$600,MATCH($H46&amp;"|"&amp;$I46&amp;"|"&amp;$J46&amp;"|"&amp;8,Assessments!$A$2:$A$600,0)),0)</f>
        <v>0</v>
      </c>
      <c r="DE46" s="28" t="n">
        <f aca="false">IFERROR(INDEX(Assessments!$J$2:$J$600,MATCH($H46&amp;"|"&amp;$I46&amp;"|"&amp;$J46&amp;"|"&amp;9,Assessments!$A$2:$A$600,0)),0)</f>
        <v>0</v>
      </c>
      <c r="DF46" s="28" t="n">
        <f aca="false">IFERROR(INDEX(Assessments!$J$2:$J$600,MATCH($H46&amp;"|"&amp;$I46&amp;"|"&amp;$J46&amp;"|"&amp;10,Assessments!$A$2:$A$600,0)),0)</f>
        <v>0</v>
      </c>
      <c r="DG46" s="28" t="n">
        <f aca="false">IFERROR(INDEX(Assessments!$J$2:$J$600,MATCH($H46&amp;"|"&amp;$I46&amp;"|"&amp;$J46&amp;"|"&amp;11,Assessments!$A$2:$A$600,0)),0)</f>
        <v>0</v>
      </c>
      <c r="DH46" s="28" t="n">
        <f aca="false">IFERROR(INDEX(Assessments!$J$2:$J$600,MATCH($H46&amp;"|"&amp;$I46&amp;"|"&amp;$J46&amp;"|"&amp;12,Assessments!$A$2:$A$600,0)),0)</f>
        <v>0</v>
      </c>
      <c r="DI46" s="28" t="n">
        <f aca="false">IFERROR(INDEX(Assessments!$J$2:$J$600,MATCH($H46&amp;"|"&amp;$I46&amp;"|"&amp;$J46&amp;"|"&amp;13,Assessments!$A$2:$A$600,0)),0)</f>
        <v>0</v>
      </c>
      <c r="DJ46" s="28" t="n">
        <f aca="false">IFERROR(INDEX(Assessments!$J$2:$J$600,MATCH($H46&amp;"|"&amp;$I46&amp;"|"&amp;$J46&amp;"|"&amp;14,Assessments!$A$2:$A$600,0)),0)</f>
        <v>0</v>
      </c>
      <c r="DK46" s="28" t="n">
        <f aca="false">S46</f>
        <v>7</v>
      </c>
      <c r="DL46" s="28" t="n">
        <f aca="false">W46</f>
        <v>7</v>
      </c>
      <c r="DM46" s="28" t="n">
        <f aca="false">AA46</f>
        <v>6</v>
      </c>
      <c r="DN46" s="28" t="n">
        <f aca="false">AE46</f>
        <v>3</v>
      </c>
      <c r="DO46" s="28" t="n">
        <f aca="false">AI46</f>
        <v>7</v>
      </c>
      <c r="DP46" s="28" t="str">
        <f aca="false">AM46</f>
        <v/>
      </c>
      <c r="DQ46" s="28" t="str">
        <f aca="false">AQ46</f>
        <v/>
      </c>
      <c r="DR46" s="28" t="str">
        <f aca="false">AU46</f>
        <v/>
      </c>
      <c r="DS46" s="28" t="str">
        <f aca="false">AY46</f>
        <v/>
      </c>
      <c r="DT46" s="28" t="str">
        <f aca="false">BC46</f>
        <v/>
      </c>
      <c r="DU46" s="28" t="str">
        <f aca="false">BG46</f>
        <v/>
      </c>
      <c r="DV46" s="28" t="str">
        <f aca="false">BK46</f>
        <v/>
      </c>
      <c r="DW46" s="28" t="str">
        <f aca="false">BO46</f>
        <v/>
      </c>
      <c r="DX46" s="28" t="str">
        <f aca="false">BS46</f>
        <v/>
      </c>
      <c r="DY46" s="28" t="n">
        <f aca="false">IF(ISNUMBER(S46),1,"")</f>
        <v>1</v>
      </c>
      <c r="DZ46" s="28" t="n">
        <f aca="false">IF(ISNUMBER(W46),2,"")</f>
        <v>2</v>
      </c>
      <c r="EA46" s="28" t="n">
        <f aca="false">IF(ISNUMBER(AA46),3,"")</f>
        <v>3</v>
      </c>
      <c r="EB46" s="28" t="n">
        <f aca="false">IF(ISNUMBER(AE46),4,"")</f>
        <v>4</v>
      </c>
      <c r="EC46" s="28" t="n">
        <f aca="false">IF(ISNUMBER(AI46),5,"")</f>
        <v>5</v>
      </c>
      <c r="ED46" s="28" t="str">
        <f aca="false">IF(ISNUMBER(AM46),6,"")</f>
        <v/>
      </c>
      <c r="EE46" s="28" t="str">
        <f aca="false">IF(ISNUMBER(AQ46),7,"")</f>
        <v/>
      </c>
      <c r="EF46" s="28" t="str">
        <f aca="false">IF(ISNUMBER(AU46),8,"")</f>
        <v/>
      </c>
      <c r="EG46" s="28" t="str">
        <f aca="false">IF(ISNUMBER(AY46),9,"")</f>
        <v/>
      </c>
      <c r="EH46" s="28" t="str">
        <f aca="false">IF(ISNUMBER(BC46),10,"")</f>
        <v/>
      </c>
      <c r="EI46" s="28" t="str">
        <f aca="false">IF(ISNUMBER(BG46),11,"")</f>
        <v/>
      </c>
      <c r="EJ46" s="28" t="str">
        <f aca="false">IF(ISNUMBER(BK46),12,"")</f>
        <v/>
      </c>
      <c r="EK46" s="28" t="str">
        <f aca="false">IF(ISNUMBER(BO46),13,"")</f>
        <v/>
      </c>
      <c r="EL46" s="28" t="str">
        <f aca="false">IF(ISNUMBER(BS46),14,"")</f>
        <v/>
      </c>
      <c r="EM46" s="28" t="n">
        <f aca="false">IF(ISNUMBER(R46),R46*CW46,0)</f>
        <v>86.6666666666667</v>
      </c>
      <c r="EN46" s="28" t="n">
        <f aca="false">IF(ISNUMBER(V46),V46*CX46,0)</f>
        <v>87.5</v>
      </c>
      <c r="EO46" s="28" t="n">
        <f aca="false">IF(ISNUMBER(Z46),Z46*CY46,0)</f>
        <v>84</v>
      </c>
      <c r="EP46" s="28" t="n">
        <f aca="false">IF(ISNUMBER(AD46),AD46*CZ46,0)</f>
        <v>48.5714285714286</v>
      </c>
      <c r="EQ46" s="28" t="n">
        <f aca="false">IF(ISNUMBER(AH46),AH46*DA46,0)</f>
        <v>174.545454545455</v>
      </c>
      <c r="ER46" s="28" t="n">
        <f aca="false">IF(ISNUMBER(AL46),AL46*DB46,0)</f>
        <v>0</v>
      </c>
      <c r="ES46" s="28" t="n">
        <f aca="false">IF(ISNUMBER(AP46),AP46*DC46,0)</f>
        <v>0</v>
      </c>
      <c r="ET46" s="28" t="n">
        <f aca="false">IF(ISNUMBER(AT46),AT46*DD46,0)</f>
        <v>0</v>
      </c>
      <c r="EU46" s="28" t="n">
        <f aca="false">IF(ISNUMBER(AX46),AX46*DE46,0)</f>
        <v>0</v>
      </c>
      <c r="EV46" s="28" t="n">
        <f aca="false">IF(ISNUMBER(BB46),BB46*DF46,0)</f>
        <v>0</v>
      </c>
      <c r="EW46" s="28" t="n">
        <f aca="false">IF(ISNUMBER(BF46),BF46*DG46,0)</f>
        <v>0</v>
      </c>
      <c r="EX46" s="28" t="n">
        <f aca="false">IF(ISNUMBER(BJ46),BJ46*DH46,0)</f>
        <v>0</v>
      </c>
      <c r="EY46" s="28" t="n">
        <f aca="false">IF(ISNUMBER(BN46),BN46*DI46,0)</f>
        <v>0</v>
      </c>
      <c r="EZ46" s="28" t="n">
        <f aca="false">IF(ISNUMBER(BR46),BR46*DJ46,0)</f>
        <v>0</v>
      </c>
      <c r="FA46" s="28" t="n">
        <f aca="false">IF(ISNUMBER(R46),CW46,0)</f>
        <v>1</v>
      </c>
      <c r="FB46" s="28" t="n">
        <f aca="false">IF(ISNUMBER(V46),CX46,0)</f>
        <v>1</v>
      </c>
      <c r="FC46" s="28" t="n">
        <f aca="false">IF(ISNUMBER(Z46),CY46,0)</f>
        <v>1</v>
      </c>
      <c r="FD46" s="28" t="n">
        <f aca="false">IF(ISNUMBER(AD46),CZ46,0)</f>
        <v>1</v>
      </c>
      <c r="FE46" s="28" t="n">
        <f aca="false">IF(ISNUMBER(AH46),DA46,0)</f>
        <v>2</v>
      </c>
      <c r="FF46" s="28" t="n">
        <f aca="false">IF(ISNUMBER(AL46),DB46,0)</f>
        <v>0</v>
      </c>
      <c r="FG46" s="28" t="n">
        <f aca="false">IF(ISNUMBER(AP46),DC46,0)</f>
        <v>0</v>
      </c>
      <c r="FH46" s="28" t="n">
        <f aca="false">IF(ISNUMBER(AT46),DD46,0)</f>
        <v>0</v>
      </c>
      <c r="FI46" s="28" t="n">
        <f aca="false">IF(ISNUMBER(AX46),DE46,0)</f>
        <v>0</v>
      </c>
      <c r="FJ46" s="28" t="n">
        <f aca="false">IF(ISNUMBER(BB46),DF46,0)</f>
        <v>0</v>
      </c>
      <c r="FK46" s="28" t="n">
        <f aca="false">IF(ISNUMBER(BF46),DG46,0)</f>
        <v>0</v>
      </c>
      <c r="FL46" s="28" t="n">
        <f aca="false">IF(ISNUMBER(BJ46),DH46,0)</f>
        <v>0</v>
      </c>
      <c r="FM46" s="28" t="n">
        <f aca="false">IF(ISNUMBER(BN46),DI46,0)</f>
        <v>0</v>
      </c>
      <c r="FN46" s="28" t="n">
        <f aca="false">IF(ISNUMBER(BR46),DJ46,0)</f>
        <v>0</v>
      </c>
      <c r="FO46" s="28" t="str">
        <f aca="false">IFERROR(INDEX(Lists!$G$2:$G$20,MATCH($I46&amp;"|"&amp;$J46,Lists!$F$2:$F$20,0)),"")</f>
        <v>Econ Exam</v>
      </c>
    </row>
    <row r="47" customFormat="false" ht="19.5" hidden="false" customHeight="true" outlineLevel="0" collapsed="false">
      <c r="A47" s="29" t="s">
        <v>230</v>
      </c>
      <c r="B47" s="29" t="s">
        <v>231</v>
      </c>
      <c r="C47" s="30" t="s">
        <v>152</v>
      </c>
      <c r="D47" s="30" t="s">
        <v>228</v>
      </c>
      <c r="E47" s="31" t="n">
        <v>6.3</v>
      </c>
      <c r="F47" s="30" t="n">
        <v>7</v>
      </c>
      <c r="G47" s="30"/>
      <c r="H47" s="32" t="s">
        <v>23</v>
      </c>
      <c r="I47" s="33" t="s">
        <v>229</v>
      </c>
      <c r="J47" s="32" t="s">
        <v>25</v>
      </c>
      <c r="K47" s="34" t="n">
        <f aca="false">IF(OR(M47="",$E47=""),"",M47-$E47)</f>
        <v>-0.3</v>
      </c>
      <c r="L47" s="35" t="n">
        <f aca="false">IF(SUM(FA47:FN47)=0,"",SUM(EM47:EZ47)/SUM(FA47:FN47))</f>
        <v>73.4891774891775</v>
      </c>
      <c r="M47" s="36" t="n">
        <f aca="false">IF(OR(L47="",FO47=""),"",IFERROR(MATCH(L47,INDEX(Boundaries!$B$2:$I$30,MATCH(FO47,Boundaries!$A$2:$A$30,0),0),1)-1,""))</f>
        <v>6</v>
      </c>
      <c r="N47" s="37" t="n">
        <f aca="false">IF(COUNT($DY47:$EL47)&lt;2,"",INDEX($DK47:$DX47,MAX($DY47:$EL47))-INDEX($DK47:$DX47,MIN($DY47:$EL47)))</f>
        <v>0</v>
      </c>
      <c r="O47" s="37" t="n">
        <f aca="false">IF(COUNT($DY47:$EL47)&lt;2,"",INDEX($DK47:$DX47,MAX($DY47:$EL47))-INDEX($DK47:$DX47,LARGE($DY47:$EL47,2)))</f>
        <v>3</v>
      </c>
      <c r="P47" s="38" t="str">
        <f aca="false">IF(K47="","",IF(K47&gt;=0,"On/above target",IF(AND(N47&lt;&gt;"",N47&gt;=0.5),"Improving towards target",IF(AND(O47&lt;&gt;"",O47&lt;=-0.5),"Declining","Stable below target"))))</f>
        <v>Stable below target</v>
      </c>
      <c r="Q47" s="39" t="n">
        <v>23</v>
      </c>
      <c r="R47" s="40" t="n">
        <f aca="false">IF(OR(Q47="",BU47=""),"",Q47/BU47*100)</f>
        <v>76.6666666666667</v>
      </c>
      <c r="S47" s="41" t="n">
        <f aca="false">IF(R47="","",IFERROR(MATCH(R47,INDEX(Boundaries!$B$2:$I$30,MATCH(CI47,Boundaries!$A$2:$A$30,0),0),1)-1,""))</f>
        <v>6</v>
      </c>
      <c r="T47" s="42" t="n">
        <f aca="false">IF(OR(S47="",$E47=""),"",S47-$E47)</f>
        <v>-0.3</v>
      </c>
      <c r="U47" s="39" t="n">
        <v>20</v>
      </c>
      <c r="V47" s="40" t="n">
        <f aca="false">IF(OR(U47="",BV47=""),"",U47/BV47*100)</f>
        <v>83.3333333333333</v>
      </c>
      <c r="W47" s="41" t="n">
        <f aca="false">IF(V47="","",IFERROR(MATCH(V47,INDEX(Boundaries!$B$2:$I$30,MATCH(CJ47,Boundaries!$A$2:$A$30,0),0),1)-1,""))</f>
        <v>6</v>
      </c>
      <c r="X47" s="42" t="n">
        <f aca="false">IF(OR(W47="",$E47=""),"",W47-$E47)</f>
        <v>-0.3</v>
      </c>
      <c r="Y47" s="39" t="n">
        <v>19</v>
      </c>
      <c r="Z47" s="40" t="n">
        <f aca="false">IF(OR(Y47="",BW47=""),"",Y47/BW47*100)</f>
        <v>76</v>
      </c>
      <c r="AA47" s="41" t="n">
        <f aca="false">IF(Z47="","",IFERROR(MATCH(Z47,INDEX(Boundaries!$B$2:$I$30,MATCH(CK47,Boundaries!$A$2:$A$30,0),0),1)-1,""))</f>
        <v>6</v>
      </c>
      <c r="AB47" s="42" t="n">
        <f aca="false">IF(OR(AA47="",$E47=""),"",AA47-$E47)</f>
        <v>-0.3</v>
      </c>
      <c r="AC47" s="39" t="n">
        <v>17</v>
      </c>
      <c r="AD47" s="40" t="n">
        <f aca="false">IF(OR(AC47="",BX47=""),"",AC47/BX47*100)</f>
        <v>48.5714285714286</v>
      </c>
      <c r="AE47" s="41" t="n">
        <f aca="false">IF(AD47="","",IFERROR(MATCH(AD47,INDEX(Boundaries!$B$2:$I$30,MATCH(CL47,Boundaries!$A$2:$A$30,0),0),1)-1,""))</f>
        <v>3</v>
      </c>
      <c r="AF47" s="42" t="n">
        <f aca="false">IF(OR(AE47="",$E47=""),"",AE47-$E47)</f>
        <v>-3.3</v>
      </c>
      <c r="AG47" s="39" t="n">
        <v>43</v>
      </c>
      <c r="AH47" s="40" t="n">
        <f aca="false">IF(OR(AG47="",BY47=""),"",AG47/BY47*100)</f>
        <v>78.1818181818182</v>
      </c>
      <c r="AI47" s="41" t="n">
        <f aca="false">IF(AH47="","",IFERROR(MATCH(AH47,INDEX(Boundaries!$B$2:$I$30,MATCH(CM47,Boundaries!$A$2:$A$30,0),0),1)-1,""))</f>
        <v>6</v>
      </c>
      <c r="AJ47" s="42" t="n">
        <f aca="false">IF(OR(AI47="",$E47=""),"",AI47-$E47)</f>
        <v>-0.3</v>
      </c>
      <c r="AK47" s="39"/>
      <c r="AL47" s="40" t="str">
        <f aca="false">IF(OR(AK47="",BZ47=""),"",AK47/BZ47*100)</f>
        <v/>
      </c>
      <c r="AM47" s="41" t="str">
        <f aca="false">IF(AL47="","",IFERROR(MATCH(AL47,INDEX(Boundaries!$B$2:$I$30,MATCH(CN47,Boundaries!$A$2:$A$30,0),0),1)-1,""))</f>
        <v/>
      </c>
      <c r="AN47" s="42" t="str">
        <f aca="false">IF(OR(AM47="",$E47=""),"",AM47-$E47)</f>
        <v/>
      </c>
      <c r="AO47" s="39"/>
      <c r="AP47" s="40" t="str">
        <f aca="false">IF(OR(AO47="",CA47=""),"",AO47/CA47*100)</f>
        <v/>
      </c>
      <c r="AQ47" s="41" t="str">
        <f aca="false">IF(AP47="","",IFERROR(MATCH(AP47,INDEX(Boundaries!$B$2:$I$30,MATCH(CO47,Boundaries!$A$2:$A$30,0),0),1)-1,""))</f>
        <v/>
      </c>
      <c r="AR47" s="42" t="str">
        <f aca="false">IF(OR(AQ47="",$E47=""),"",AQ47-$E47)</f>
        <v/>
      </c>
      <c r="AS47" s="39"/>
      <c r="AT47" s="40" t="str">
        <f aca="false">IF(OR(AS47="",CB47=""),"",AS47/CB47*100)</f>
        <v/>
      </c>
      <c r="AU47" s="41" t="str">
        <f aca="false">IF(AT47="","",IFERROR(MATCH(AT47,INDEX(Boundaries!$B$2:$I$30,MATCH(CP47,Boundaries!$A$2:$A$30,0),0),1)-1,""))</f>
        <v/>
      </c>
      <c r="AV47" s="42" t="str">
        <f aca="false">IF(OR(AU47="",$E47=""),"",AU47-$E47)</f>
        <v/>
      </c>
      <c r="AW47" s="39"/>
      <c r="AX47" s="40" t="str">
        <f aca="false">IF(OR(AW47="",CC47=""),"",AW47/CC47*100)</f>
        <v/>
      </c>
      <c r="AY47" s="41" t="str">
        <f aca="false">IF(AX47="","",IFERROR(MATCH(AX47,INDEX(Boundaries!$B$2:$I$30,MATCH(CQ47,Boundaries!$A$2:$A$30,0),0),1)-1,""))</f>
        <v/>
      </c>
      <c r="AZ47" s="42" t="str">
        <f aca="false">IF(OR(AY47="",$E47=""),"",AY47-$E47)</f>
        <v/>
      </c>
      <c r="BA47" s="39"/>
      <c r="BB47" s="40" t="str">
        <f aca="false">IF(OR(BA47="",CD47=""),"",BA47/CD47*100)</f>
        <v/>
      </c>
      <c r="BC47" s="41" t="str">
        <f aca="false">IF(BB47="","",IFERROR(MATCH(BB47,INDEX(Boundaries!$B$2:$I$30,MATCH(CR47,Boundaries!$A$2:$A$30,0),0),1)-1,""))</f>
        <v/>
      </c>
      <c r="BD47" s="42" t="str">
        <f aca="false">IF(OR(BC47="",$E47=""),"",BC47-$E47)</f>
        <v/>
      </c>
      <c r="BE47" s="39"/>
      <c r="BF47" s="40" t="str">
        <f aca="false">IF(OR(BE47="",CE47=""),"",BE47/CE47*100)</f>
        <v/>
      </c>
      <c r="BG47" s="41" t="str">
        <f aca="false">IF(BF47="","",IFERROR(MATCH(BF47,INDEX(Boundaries!$B$2:$I$30,MATCH(CS47,Boundaries!$A$2:$A$30,0),0),1)-1,""))</f>
        <v/>
      </c>
      <c r="BH47" s="42" t="str">
        <f aca="false">IF(OR(BG47="",$E47=""),"",BG47-$E47)</f>
        <v/>
      </c>
      <c r="BI47" s="39"/>
      <c r="BJ47" s="40" t="str">
        <f aca="false">IF(OR(BI47="",CF47=""),"",BI47/CF47*100)</f>
        <v/>
      </c>
      <c r="BK47" s="41" t="str">
        <f aca="false">IF(BJ47="","",IFERROR(MATCH(BJ47,INDEX(Boundaries!$B$2:$I$30,MATCH(CT47,Boundaries!$A$2:$A$30,0),0),1)-1,""))</f>
        <v/>
      </c>
      <c r="BL47" s="42" t="str">
        <f aca="false">IF(OR(BK47="",$E47=""),"",BK47-$E47)</f>
        <v/>
      </c>
      <c r="BM47" s="39"/>
      <c r="BN47" s="40" t="str">
        <f aca="false">IF(OR(BM47="",CG47=""),"",BM47/CG47*100)</f>
        <v/>
      </c>
      <c r="BO47" s="41" t="str">
        <f aca="false">IF(BN47="","",IFERROR(MATCH(BN47,INDEX(Boundaries!$B$2:$I$30,MATCH(CU47,Boundaries!$A$2:$A$30,0),0),1)-1,""))</f>
        <v/>
      </c>
      <c r="BP47" s="42" t="str">
        <f aca="false">IF(OR(BO47="",$E47=""),"",BO47-$E47)</f>
        <v/>
      </c>
      <c r="BQ47" s="39"/>
      <c r="BR47" s="40" t="str">
        <f aca="false">IF(OR(BQ47="",CH47=""),"",BQ47/CH47*100)</f>
        <v/>
      </c>
      <c r="BS47" s="41" t="str">
        <f aca="false">IF(BR47="","",IFERROR(MATCH(BR47,INDEX(Boundaries!$B$2:$I$30,MATCH(CV47,Boundaries!$A$2:$A$30,0),0),1)-1,""))</f>
        <v/>
      </c>
      <c r="BT47" s="42" t="str">
        <f aca="false">IF(OR(BS47="",$E47=""),"",BS47-$E47)</f>
        <v/>
      </c>
      <c r="BU47" s="28" t="n">
        <f aca="false">IFERROR(INDEX(Assessments!$H$2:$H$600,MATCH($H47&amp;"|"&amp;$I47&amp;"|"&amp;$J47&amp;"|"&amp;1,Assessments!$A$2:$A$600,0)),"")</f>
        <v>30</v>
      </c>
      <c r="BV47" s="28" t="n">
        <f aca="false">IFERROR(INDEX(Assessments!$H$2:$H$600,MATCH($H47&amp;"|"&amp;$I47&amp;"|"&amp;$J47&amp;"|"&amp;2,Assessments!$A$2:$A$600,0)),"")</f>
        <v>24</v>
      </c>
      <c r="BW47" s="28" t="n">
        <f aca="false">IFERROR(INDEX(Assessments!$H$2:$H$600,MATCH($H47&amp;"|"&amp;$I47&amp;"|"&amp;$J47&amp;"|"&amp;3,Assessments!$A$2:$A$600,0)),"")</f>
        <v>25</v>
      </c>
      <c r="BX47" s="28" t="n">
        <f aca="false">IFERROR(INDEX(Assessments!$H$2:$H$600,MATCH($H47&amp;"|"&amp;$I47&amp;"|"&amp;$J47&amp;"|"&amp;4,Assessments!$A$2:$A$600,0)),"")</f>
        <v>35</v>
      </c>
      <c r="BY47" s="28" t="n">
        <f aca="false">IFERROR(INDEX(Assessments!$H$2:$H$600,MATCH($H47&amp;"|"&amp;$I47&amp;"|"&amp;$J47&amp;"|"&amp;5,Assessments!$A$2:$A$600,0)),"")</f>
        <v>55</v>
      </c>
      <c r="BZ47" s="28" t="n">
        <f aca="false">IFERROR(INDEX(Assessments!$H$2:$H$600,MATCH($H47&amp;"|"&amp;$I47&amp;"|"&amp;$J47&amp;"|"&amp;6,Assessments!$A$2:$A$600,0)),"")</f>
        <v>30</v>
      </c>
      <c r="CA47" s="28" t="n">
        <f aca="false">IFERROR(INDEX(Assessments!$H$2:$H$600,MATCH($H47&amp;"|"&amp;$I47&amp;"|"&amp;$J47&amp;"|"&amp;7,Assessments!$A$2:$A$600,0)),"")</f>
        <v>95</v>
      </c>
      <c r="CB47" s="28" t="str">
        <f aca="false">IFERROR(INDEX(Assessments!$H$2:$H$600,MATCH($H47&amp;"|"&amp;$I47&amp;"|"&amp;$J47&amp;"|"&amp;8,Assessments!$A$2:$A$600,0)),"")</f>
        <v/>
      </c>
      <c r="CC47" s="28" t="str">
        <f aca="false">IFERROR(INDEX(Assessments!$H$2:$H$600,MATCH($H47&amp;"|"&amp;$I47&amp;"|"&amp;$J47&amp;"|"&amp;9,Assessments!$A$2:$A$600,0)),"")</f>
        <v/>
      </c>
      <c r="CD47" s="28" t="str">
        <f aca="false">IFERROR(INDEX(Assessments!$H$2:$H$600,MATCH($H47&amp;"|"&amp;$I47&amp;"|"&amp;$J47&amp;"|"&amp;10,Assessments!$A$2:$A$600,0)),"")</f>
        <v/>
      </c>
      <c r="CE47" s="28" t="str">
        <f aca="false">IFERROR(INDEX(Assessments!$H$2:$H$600,MATCH($H47&amp;"|"&amp;$I47&amp;"|"&amp;$J47&amp;"|"&amp;11,Assessments!$A$2:$A$600,0)),"")</f>
        <v/>
      </c>
      <c r="CF47" s="28" t="str">
        <f aca="false">IFERROR(INDEX(Assessments!$H$2:$H$600,MATCH($H47&amp;"|"&amp;$I47&amp;"|"&amp;$J47&amp;"|"&amp;12,Assessments!$A$2:$A$600,0)),"")</f>
        <v/>
      </c>
      <c r="CG47" s="28" t="str">
        <f aca="false">IFERROR(INDEX(Assessments!$H$2:$H$600,MATCH($H47&amp;"|"&amp;$I47&amp;"|"&amp;$J47&amp;"|"&amp;13,Assessments!$A$2:$A$600,0)),"")</f>
        <v/>
      </c>
      <c r="CH47" s="28" t="str">
        <f aca="false">IFERROR(INDEX(Assessments!$H$2:$H$600,MATCH($H47&amp;"|"&amp;$I47&amp;"|"&amp;$J47&amp;"|"&amp;14,Assessments!$A$2:$A$600,0)),"")</f>
        <v/>
      </c>
      <c r="CI47" s="28" t="str">
        <f aca="false">IFERROR(INDEX(Assessments!$I$2:$I$600,MATCH($H47&amp;"|"&amp;$I47&amp;"|"&amp;$J47&amp;"|"&amp;1,Assessments!$A$2:$A$600,0)),"")</f>
        <v>Econ Test</v>
      </c>
      <c r="CJ47" s="28" t="str">
        <f aca="false">IFERROR(INDEX(Assessments!$I$2:$I$600,MATCH($H47&amp;"|"&amp;$I47&amp;"|"&amp;$J47&amp;"|"&amp;2,Assessments!$A$2:$A$600,0)),"")</f>
        <v>Econ Test</v>
      </c>
      <c r="CK47" s="28" t="str">
        <f aca="false">IFERROR(INDEX(Assessments!$I$2:$I$600,MATCH($H47&amp;"|"&amp;$I47&amp;"|"&amp;$J47&amp;"|"&amp;3,Assessments!$A$2:$A$600,0)),"")</f>
        <v>Econ Test</v>
      </c>
      <c r="CL47" s="28" t="str">
        <f aca="false">IFERROR(INDEX(Assessments!$I$2:$I$600,MATCH($H47&amp;"|"&amp;$I47&amp;"|"&amp;$J47&amp;"|"&amp;4,Assessments!$A$2:$A$600,0)),"")</f>
        <v>Econ Test</v>
      </c>
      <c r="CM47" s="28" t="str">
        <f aca="false">IFERROR(INDEX(Assessments!$I$2:$I$600,MATCH($H47&amp;"|"&amp;$I47&amp;"|"&amp;$J47&amp;"|"&amp;5,Assessments!$A$2:$A$600,0)),"")</f>
        <v>Econ Exam</v>
      </c>
      <c r="CN47" s="28" t="str">
        <f aca="false">IFERROR(INDEX(Assessments!$I$2:$I$600,MATCH($H47&amp;"|"&amp;$I47&amp;"|"&amp;$J47&amp;"|"&amp;6,Assessments!$A$2:$A$600,0)),"")</f>
        <v>Econ Test</v>
      </c>
      <c r="CO47" s="28" t="str">
        <f aca="false">IFERROR(INDEX(Assessments!$I$2:$I$600,MATCH($H47&amp;"|"&amp;$I47&amp;"|"&amp;$J47&amp;"|"&amp;7,Assessments!$A$2:$A$600,0)),"")</f>
        <v>Econ Exam</v>
      </c>
      <c r="CP47" s="28" t="str">
        <f aca="false">IFERROR(INDEX(Assessments!$I$2:$I$600,MATCH($H47&amp;"|"&amp;$I47&amp;"|"&amp;$J47&amp;"|"&amp;8,Assessments!$A$2:$A$600,0)),"")</f>
        <v/>
      </c>
      <c r="CQ47" s="28" t="str">
        <f aca="false">IFERROR(INDEX(Assessments!$I$2:$I$600,MATCH($H47&amp;"|"&amp;$I47&amp;"|"&amp;$J47&amp;"|"&amp;9,Assessments!$A$2:$A$600,0)),"")</f>
        <v/>
      </c>
      <c r="CR47" s="28" t="str">
        <f aca="false">IFERROR(INDEX(Assessments!$I$2:$I$600,MATCH($H47&amp;"|"&amp;$I47&amp;"|"&amp;$J47&amp;"|"&amp;10,Assessments!$A$2:$A$600,0)),"")</f>
        <v/>
      </c>
      <c r="CS47" s="28" t="str">
        <f aca="false">IFERROR(INDEX(Assessments!$I$2:$I$600,MATCH($H47&amp;"|"&amp;$I47&amp;"|"&amp;$J47&amp;"|"&amp;11,Assessments!$A$2:$A$600,0)),"")</f>
        <v/>
      </c>
      <c r="CT47" s="28" t="str">
        <f aca="false">IFERROR(INDEX(Assessments!$I$2:$I$600,MATCH($H47&amp;"|"&amp;$I47&amp;"|"&amp;$J47&amp;"|"&amp;12,Assessments!$A$2:$A$600,0)),"")</f>
        <v/>
      </c>
      <c r="CU47" s="28" t="str">
        <f aca="false">IFERROR(INDEX(Assessments!$I$2:$I$600,MATCH($H47&amp;"|"&amp;$I47&amp;"|"&amp;$J47&amp;"|"&amp;13,Assessments!$A$2:$A$600,0)),"")</f>
        <v/>
      </c>
      <c r="CV47" s="28" t="str">
        <f aca="false">IFERROR(INDEX(Assessments!$I$2:$I$600,MATCH($H47&amp;"|"&amp;$I47&amp;"|"&amp;$J47&amp;"|"&amp;14,Assessments!$A$2:$A$600,0)),"")</f>
        <v/>
      </c>
      <c r="CW47" s="28" t="n">
        <f aca="false">IFERROR(INDEX(Assessments!$J$2:$J$600,MATCH($H47&amp;"|"&amp;$I47&amp;"|"&amp;$J47&amp;"|"&amp;1,Assessments!$A$2:$A$600,0)),0)</f>
        <v>1</v>
      </c>
      <c r="CX47" s="28" t="n">
        <f aca="false">IFERROR(INDEX(Assessments!$J$2:$J$600,MATCH($H47&amp;"|"&amp;$I47&amp;"|"&amp;$J47&amp;"|"&amp;2,Assessments!$A$2:$A$600,0)),0)</f>
        <v>1</v>
      </c>
      <c r="CY47" s="28" t="n">
        <f aca="false">IFERROR(INDEX(Assessments!$J$2:$J$600,MATCH($H47&amp;"|"&amp;$I47&amp;"|"&amp;$J47&amp;"|"&amp;3,Assessments!$A$2:$A$600,0)),0)</f>
        <v>1</v>
      </c>
      <c r="CZ47" s="28" t="n">
        <f aca="false">IFERROR(INDEX(Assessments!$J$2:$J$600,MATCH($H47&amp;"|"&amp;$I47&amp;"|"&amp;$J47&amp;"|"&amp;4,Assessments!$A$2:$A$600,0)),0)</f>
        <v>1</v>
      </c>
      <c r="DA47" s="28" t="n">
        <f aca="false">IFERROR(INDEX(Assessments!$J$2:$J$600,MATCH($H47&amp;"|"&amp;$I47&amp;"|"&amp;$J47&amp;"|"&amp;5,Assessments!$A$2:$A$600,0)),0)</f>
        <v>2</v>
      </c>
      <c r="DB47" s="28" t="n">
        <f aca="false">IFERROR(INDEX(Assessments!$J$2:$J$600,MATCH($H47&amp;"|"&amp;$I47&amp;"|"&amp;$J47&amp;"|"&amp;6,Assessments!$A$2:$A$600,0)),0)</f>
        <v>1</v>
      </c>
      <c r="DC47" s="28" t="n">
        <f aca="false">IFERROR(INDEX(Assessments!$J$2:$J$600,MATCH($H47&amp;"|"&amp;$I47&amp;"|"&amp;$J47&amp;"|"&amp;7,Assessments!$A$2:$A$600,0)),0)</f>
        <v>2</v>
      </c>
      <c r="DD47" s="28" t="n">
        <f aca="false">IFERROR(INDEX(Assessments!$J$2:$J$600,MATCH($H47&amp;"|"&amp;$I47&amp;"|"&amp;$J47&amp;"|"&amp;8,Assessments!$A$2:$A$600,0)),0)</f>
        <v>0</v>
      </c>
      <c r="DE47" s="28" t="n">
        <f aca="false">IFERROR(INDEX(Assessments!$J$2:$J$600,MATCH($H47&amp;"|"&amp;$I47&amp;"|"&amp;$J47&amp;"|"&amp;9,Assessments!$A$2:$A$600,0)),0)</f>
        <v>0</v>
      </c>
      <c r="DF47" s="28" t="n">
        <f aca="false">IFERROR(INDEX(Assessments!$J$2:$J$600,MATCH($H47&amp;"|"&amp;$I47&amp;"|"&amp;$J47&amp;"|"&amp;10,Assessments!$A$2:$A$600,0)),0)</f>
        <v>0</v>
      </c>
      <c r="DG47" s="28" t="n">
        <f aca="false">IFERROR(INDEX(Assessments!$J$2:$J$600,MATCH($H47&amp;"|"&amp;$I47&amp;"|"&amp;$J47&amp;"|"&amp;11,Assessments!$A$2:$A$600,0)),0)</f>
        <v>0</v>
      </c>
      <c r="DH47" s="28" t="n">
        <f aca="false">IFERROR(INDEX(Assessments!$J$2:$J$600,MATCH($H47&amp;"|"&amp;$I47&amp;"|"&amp;$J47&amp;"|"&amp;12,Assessments!$A$2:$A$600,0)),0)</f>
        <v>0</v>
      </c>
      <c r="DI47" s="28" t="n">
        <f aca="false">IFERROR(INDEX(Assessments!$J$2:$J$600,MATCH($H47&amp;"|"&amp;$I47&amp;"|"&amp;$J47&amp;"|"&amp;13,Assessments!$A$2:$A$600,0)),0)</f>
        <v>0</v>
      </c>
      <c r="DJ47" s="28" t="n">
        <f aca="false">IFERROR(INDEX(Assessments!$J$2:$J$600,MATCH($H47&amp;"|"&amp;$I47&amp;"|"&amp;$J47&amp;"|"&amp;14,Assessments!$A$2:$A$600,0)),0)</f>
        <v>0</v>
      </c>
      <c r="DK47" s="28" t="n">
        <f aca="false">S47</f>
        <v>6</v>
      </c>
      <c r="DL47" s="28" t="n">
        <f aca="false">W47</f>
        <v>6</v>
      </c>
      <c r="DM47" s="28" t="n">
        <f aca="false">AA47</f>
        <v>6</v>
      </c>
      <c r="DN47" s="28" t="n">
        <f aca="false">AE47</f>
        <v>3</v>
      </c>
      <c r="DO47" s="28" t="n">
        <f aca="false">AI47</f>
        <v>6</v>
      </c>
      <c r="DP47" s="28" t="str">
        <f aca="false">AM47</f>
        <v/>
      </c>
      <c r="DQ47" s="28" t="str">
        <f aca="false">AQ47</f>
        <v/>
      </c>
      <c r="DR47" s="28" t="str">
        <f aca="false">AU47</f>
        <v/>
      </c>
      <c r="DS47" s="28" t="str">
        <f aca="false">AY47</f>
        <v/>
      </c>
      <c r="DT47" s="28" t="str">
        <f aca="false">BC47</f>
        <v/>
      </c>
      <c r="DU47" s="28" t="str">
        <f aca="false">BG47</f>
        <v/>
      </c>
      <c r="DV47" s="28" t="str">
        <f aca="false">BK47</f>
        <v/>
      </c>
      <c r="DW47" s="28" t="str">
        <f aca="false">BO47</f>
        <v/>
      </c>
      <c r="DX47" s="28" t="str">
        <f aca="false">BS47</f>
        <v/>
      </c>
      <c r="DY47" s="28" t="n">
        <f aca="false">IF(ISNUMBER(S47),1,"")</f>
        <v>1</v>
      </c>
      <c r="DZ47" s="28" t="n">
        <f aca="false">IF(ISNUMBER(W47),2,"")</f>
        <v>2</v>
      </c>
      <c r="EA47" s="28" t="n">
        <f aca="false">IF(ISNUMBER(AA47),3,"")</f>
        <v>3</v>
      </c>
      <c r="EB47" s="28" t="n">
        <f aca="false">IF(ISNUMBER(AE47),4,"")</f>
        <v>4</v>
      </c>
      <c r="EC47" s="28" t="n">
        <f aca="false">IF(ISNUMBER(AI47),5,"")</f>
        <v>5</v>
      </c>
      <c r="ED47" s="28" t="str">
        <f aca="false">IF(ISNUMBER(AM47),6,"")</f>
        <v/>
      </c>
      <c r="EE47" s="28" t="str">
        <f aca="false">IF(ISNUMBER(AQ47),7,"")</f>
        <v/>
      </c>
      <c r="EF47" s="28" t="str">
        <f aca="false">IF(ISNUMBER(AU47),8,"")</f>
        <v/>
      </c>
      <c r="EG47" s="28" t="str">
        <f aca="false">IF(ISNUMBER(AY47),9,"")</f>
        <v/>
      </c>
      <c r="EH47" s="28" t="str">
        <f aca="false">IF(ISNUMBER(BC47),10,"")</f>
        <v/>
      </c>
      <c r="EI47" s="28" t="str">
        <f aca="false">IF(ISNUMBER(BG47),11,"")</f>
        <v/>
      </c>
      <c r="EJ47" s="28" t="str">
        <f aca="false">IF(ISNUMBER(BK47),12,"")</f>
        <v/>
      </c>
      <c r="EK47" s="28" t="str">
        <f aca="false">IF(ISNUMBER(BO47),13,"")</f>
        <v/>
      </c>
      <c r="EL47" s="28" t="str">
        <f aca="false">IF(ISNUMBER(BS47),14,"")</f>
        <v/>
      </c>
      <c r="EM47" s="28" t="n">
        <f aca="false">IF(ISNUMBER(R47),R47*CW47,0)</f>
        <v>76.6666666666667</v>
      </c>
      <c r="EN47" s="28" t="n">
        <f aca="false">IF(ISNUMBER(V47),V47*CX47,0)</f>
        <v>83.3333333333333</v>
      </c>
      <c r="EO47" s="28" t="n">
        <f aca="false">IF(ISNUMBER(Z47),Z47*CY47,0)</f>
        <v>76</v>
      </c>
      <c r="EP47" s="28" t="n">
        <f aca="false">IF(ISNUMBER(AD47),AD47*CZ47,0)</f>
        <v>48.5714285714286</v>
      </c>
      <c r="EQ47" s="28" t="n">
        <f aca="false">IF(ISNUMBER(AH47),AH47*DA47,0)</f>
        <v>156.363636363636</v>
      </c>
      <c r="ER47" s="28" t="n">
        <f aca="false">IF(ISNUMBER(AL47),AL47*DB47,0)</f>
        <v>0</v>
      </c>
      <c r="ES47" s="28" t="n">
        <f aca="false">IF(ISNUMBER(AP47),AP47*DC47,0)</f>
        <v>0</v>
      </c>
      <c r="ET47" s="28" t="n">
        <f aca="false">IF(ISNUMBER(AT47),AT47*DD47,0)</f>
        <v>0</v>
      </c>
      <c r="EU47" s="28" t="n">
        <f aca="false">IF(ISNUMBER(AX47),AX47*DE47,0)</f>
        <v>0</v>
      </c>
      <c r="EV47" s="28" t="n">
        <f aca="false">IF(ISNUMBER(BB47),BB47*DF47,0)</f>
        <v>0</v>
      </c>
      <c r="EW47" s="28" t="n">
        <f aca="false">IF(ISNUMBER(BF47),BF47*DG47,0)</f>
        <v>0</v>
      </c>
      <c r="EX47" s="28" t="n">
        <f aca="false">IF(ISNUMBER(BJ47),BJ47*DH47,0)</f>
        <v>0</v>
      </c>
      <c r="EY47" s="28" t="n">
        <f aca="false">IF(ISNUMBER(BN47),BN47*DI47,0)</f>
        <v>0</v>
      </c>
      <c r="EZ47" s="28" t="n">
        <f aca="false">IF(ISNUMBER(BR47),BR47*DJ47,0)</f>
        <v>0</v>
      </c>
      <c r="FA47" s="28" t="n">
        <f aca="false">IF(ISNUMBER(R47),CW47,0)</f>
        <v>1</v>
      </c>
      <c r="FB47" s="28" t="n">
        <f aca="false">IF(ISNUMBER(V47),CX47,0)</f>
        <v>1</v>
      </c>
      <c r="FC47" s="28" t="n">
        <f aca="false">IF(ISNUMBER(Z47),CY47,0)</f>
        <v>1</v>
      </c>
      <c r="FD47" s="28" t="n">
        <f aca="false">IF(ISNUMBER(AD47),CZ47,0)</f>
        <v>1</v>
      </c>
      <c r="FE47" s="28" t="n">
        <f aca="false">IF(ISNUMBER(AH47),DA47,0)</f>
        <v>2</v>
      </c>
      <c r="FF47" s="28" t="n">
        <f aca="false">IF(ISNUMBER(AL47),DB47,0)</f>
        <v>0</v>
      </c>
      <c r="FG47" s="28" t="n">
        <f aca="false">IF(ISNUMBER(AP47),DC47,0)</f>
        <v>0</v>
      </c>
      <c r="FH47" s="28" t="n">
        <f aca="false">IF(ISNUMBER(AT47),DD47,0)</f>
        <v>0</v>
      </c>
      <c r="FI47" s="28" t="n">
        <f aca="false">IF(ISNUMBER(AX47),DE47,0)</f>
        <v>0</v>
      </c>
      <c r="FJ47" s="28" t="n">
        <f aca="false">IF(ISNUMBER(BB47),DF47,0)</f>
        <v>0</v>
      </c>
      <c r="FK47" s="28" t="n">
        <f aca="false">IF(ISNUMBER(BF47),DG47,0)</f>
        <v>0</v>
      </c>
      <c r="FL47" s="28" t="n">
        <f aca="false">IF(ISNUMBER(BJ47),DH47,0)</f>
        <v>0</v>
      </c>
      <c r="FM47" s="28" t="n">
        <f aca="false">IF(ISNUMBER(BN47),DI47,0)</f>
        <v>0</v>
      </c>
      <c r="FN47" s="28" t="n">
        <f aca="false">IF(ISNUMBER(BR47),DJ47,0)</f>
        <v>0</v>
      </c>
      <c r="FO47" s="28" t="str">
        <f aca="false">IFERROR(INDEX(Lists!$G$2:$G$20,MATCH($I47&amp;"|"&amp;$J47,Lists!$F$2:$F$20,0)),"")</f>
        <v>Econ Exam</v>
      </c>
    </row>
    <row r="48" customFormat="false" ht="19.5" hidden="false" customHeight="true" outlineLevel="0" collapsed="false">
      <c r="A48" s="29" t="s">
        <v>232</v>
      </c>
      <c r="B48" s="29" t="s">
        <v>233</v>
      </c>
      <c r="C48" s="30" t="s">
        <v>152</v>
      </c>
      <c r="D48" s="30" t="s">
        <v>228</v>
      </c>
      <c r="E48" s="31" t="n">
        <v>5.5</v>
      </c>
      <c r="F48" s="30" t="n">
        <v>6</v>
      </c>
      <c r="G48" s="30"/>
      <c r="H48" s="32" t="s">
        <v>23</v>
      </c>
      <c r="I48" s="33" t="s">
        <v>229</v>
      </c>
      <c r="J48" s="32" t="s">
        <v>25</v>
      </c>
      <c r="K48" s="34" t="n">
        <f aca="false">IF(OR(M48="",$E48=""),"",M48-$E48)</f>
        <v>-0.5</v>
      </c>
      <c r="L48" s="35" t="n">
        <f aca="false">IF(SUM(FA48:FN48)=0,"",SUM(EM48:EZ48)/SUM(FA48:FN48))</f>
        <v>64.6868686868687</v>
      </c>
      <c r="M48" s="36" t="n">
        <f aca="false">IF(OR(L48="",FO48=""),"",IFERROR(MATCH(L48,INDEX(Boundaries!$B$2:$I$30,MATCH(FO48,Boundaries!$A$2:$A$30,0),0),1)-1,""))</f>
        <v>5</v>
      </c>
      <c r="N48" s="37" t="n">
        <f aca="false">IF(COUNT($DY48:$EL48)&lt;2,"",INDEX($DK48:$DX48,MAX($DY48:$EL48))-INDEX($DK48:$DX48,MIN($DY48:$EL48)))</f>
        <v>0</v>
      </c>
      <c r="O48" s="37" t="n">
        <f aca="false">IF(COUNT($DY48:$EL48)&lt;2,"",INDEX($DK48:$DX48,MAX($DY48:$EL48))-INDEX($DK48:$DX48,LARGE($DY48:$EL48,2)))</f>
        <v>5</v>
      </c>
      <c r="P48" s="38" t="str">
        <f aca="false">IF(K48="","",IF(K48&gt;=0,"On/above target",IF(AND(N48&lt;&gt;"",N48&gt;=0.5),"Improving towards target",IF(AND(O48&lt;&gt;"",O48&lt;=-0.5),"Declining","Stable below target"))))</f>
        <v>Stable below target</v>
      </c>
      <c r="Q48" s="39" t="n">
        <v>24</v>
      </c>
      <c r="R48" s="40" t="n">
        <f aca="false">IF(OR(Q48="",BU48=""),"",Q48/BU48*100)</f>
        <v>80</v>
      </c>
      <c r="S48" s="41" t="n">
        <f aca="false">IF(R48="","",IFERROR(MATCH(R48,INDEX(Boundaries!$B$2:$I$30,MATCH(CI48,Boundaries!$A$2:$A$30,0),0),1)-1,""))</f>
        <v>6</v>
      </c>
      <c r="T48" s="42" t="n">
        <f aca="false">IF(OR(S48="",$E48=""),"",S48-$E48)</f>
        <v>0.5</v>
      </c>
      <c r="U48" s="39" t="n">
        <v>16</v>
      </c>
      <c r="V48" s="40" t="n">
        <f aca="false">IF(OR(U48="",BV48=""),"",U48/BV48*100)</f>
        <v>66.6666666666667</v>
      </c>
      <c r="W48" s="41" t="n">
        <f aca="false">IF(V48="","",IFERROR(MATCH(V48,INDEX(Boundaries!$B$2:$I$30,MATCH(CJ48,Boundaries!$A$2:$A$30,0),0),1)-1,""))</f>
        <v>5</v>
      </c>
      <c r="X48" s="42" t="n">
        <f aca="false">IF(OR(W48="",$E48=""),"",W48-$E48)</f>
        <v>-0.5</v>
      </c>
      <c r="Y48" s="39" t="n">
        <v>19</v>
      </c>
      <c r="Z48" s="40" t="n">
        <f aca="false">IF(OR(Y48="",BW48=""),"",Y48/BW48*100)</f>
        <v>76</v>
      </c>
      <c r="AA48" s="41" t="n">
        <f aca="false">IF(Z48="","",IFERROR(MATCH(Z48,INDEX(Boundaries!$B$2:$I$30,MATCH(CK48,Boundaries!$A$2:$A$30,0),0),1)-1,""))</f>
        <v>6</v>
      </c>
      <c r="AB48" s="42" t="n">
        <f aca="false">IF(OR(AA48="",$E48=""),"",AA48-$E48)</f>
        <v>0.5</v>
      </c>
      <c r="AC48" s="39" t="n">
        <v>7</v>
      </c>
      <c r="AD48" s="40" t="n">
        <f aca="false">IF(OR(AC48="",BX48=""),"",AC48/BX48*100)</f>
        <v>20</v>
      </c>
      <c r="AE48" s="41" t="n">
        <f aca="false">IF(AD48="","",IFERROR(MATCH(AD48,INDEX(Boundaries!$B$2:$I$30,MATCH(CL48,Boundaries!$A$2:$A$30,0),0),1)-1,""))</f>
        <v>1</v>
      </c>
      <c r="AF48" s="42" t="n">
        <f aca="false">IF(OR(AE48="",$E48=""),"",AE48-$E48)</f>
        <v>-4.5</v>
      </c>
      <c r="AG48" s="39" t="n">
        <v>40</v>
      </c>
      <c r="AH48" s="40" t="n">
        <f aca="false">IF(OR(AG48="",BY48=""),"",AG48/BY48*100)</f>
        <v>72.7272727272727</v>
      </c>
      <c r="AI48" s="41" t="n">
        <f aca="false">IF(AH48="","",IFERROR(MATCH(AH48,INDEX(Boundaries!$B$2:$I$30,MATCH(CM48,Boundaries!$A$2:$A$30,0),0),1)-1,""))</f>
        <v>6</v>
      </c>
      <c r="AJ48" s="42" t="n">
        <f aca="false">IF(OR(AI48="",$E48=""),"",AI48-$E48)</f>
        <v>0.5</v>
      </c>
      <c r="AK48" s="39"/>
      <c r="AL48" s="40" t="str">
        <f aca="false">IF(OR(AK48="",BZ48=""),"",AK48/BZ48*100)</f>
        <v/>
      </c>
      <c r="AM48" s="41" t="str">
        <f aca="false">IF(AL48="","",IFERROR(MATCH(AL48,INDEX(Boundaries!$B$2:$I$30,MATCH(CN48,Boundaries!$A$2:$A$30,0),0),1)-1,""))</f>
        <v/>
      </c>
      <c r="AN48" s="42" t="str">
        <f aca="false">IF(OR(AM48="",$E48=""),"",AM48-$E48)</f>
        <v/>
      </c>
      <c r="AO48" s="39"/>
      <c r="AP48" s="40" t="str">
        <f aca="false">IF(OR(AO48="",CA48=""),"",AO48/CA48*100)</f>
        <v/>
      </c>
      <c r="AQ48" s="41" t="str">
        <f aca="false">IF(AP48="","",IFERROR(MATCH(AP48,INDEX(Boundaries!$B$2:$I$30,MATCH(CO48,Boundaries!$A$2:$A$30,0),0),1)-1,""))</f>
        <v/>
      </c>
      <c r="AR48" s="42" t="str">
        <f aca="false">IF(OR(AQ48="",$E48=""),"",AQ48-$E48)</f>
        <v/>
      </c>
      <c r="AS48" s="39"/>
      <c r="AT48" s="40" t="str">
        <f aca="false">IF(OR(AS48="",CB48=""),"",AS48/CB48*100)</f>
        <v/>
      </c>
      <c r="AU48" s="41" t="str">
        <f aca="false">IF(AT48="","",IFERROR(MATCH(AT48,INDEX(Boundaries!$B$2:$I$30,MATCH(CP48,Boundaries!$A$2:$A$30,0),0),1)-1,""))</f>
        <v/>
      </c>
      <c r="AV48" s="42" t="str">
        <f aca="false">IF(OR(AU48="",$E48=""),"",AU48-$E48)</f>
        <v/>
      </c>
      <c r="AW48" s="39"/>
      <c r="AX48" s="40" t="str">
        <f aca="false">IF(OR(AW48="",CC48=""),"",AW48/CC48*100)</f>
        <v/>
      </c>
      <c r="AY48" s="41" t="str">
        <f aca="false">IF(AX48="","",IFERROR(MATCH(AX48,INDEX(Boundaries!$B$2:$I$30,MATCH(CQ48,Boundaries!$A$2:$A$30,0),0),1)-1,""))</f>
        <v/>
      </c>
      <c r="AZ48" s="42" t="str">
        <f aca="false">IF(OR(AY48="",$E48=""),"",AY48-$E48)</f>
        <v/>
      </c>
      <c r="BA48" s="39"/>
      <c r="BB48" s="40" t="str">
        <f aca="false">IF(OR(BA48="",CD48=""),"",BA48/CD48*100)</f>
        <v/>
      </c>
      <c r="BC48" s="41" t="str">
        <f aca="false">IF(BB48="","",IFERROR(MATCH(BB48,INDEX(Boundaries!$B$2:$I$30,MATCH(CR48,Boundaries!$A$2:$A$30,0),0),1)-1,""))</f>
        <v/>
      </c>
      <c r="BD48" s="42" t="str">
        <f aca="false">IF(OR(BC48="",$E48=""),"",BC48-$E48)</f>
        <v/>
      </c>
      <c r="BE48" s="39"/>
      <c r="BF48" s="40" t="str">
        <f aca="false">IF(OR(BE48="",CE48=""),"",BE48/CE48*100)</f>
        <v/>
      </c>
      <c r="BG48" s="41" t="str">
        <f aca="false">IF(BF48="","",IFERROR(MATCH(BF48,INDEX(Boundaries!$B$2:$I$30,MATCH(CS48,Boundaries!$A$2:$A$30,0),0),1)-1,""))</f>
        <v/>
      </c>
      <c r="BH48" s="42" t="str">
        <f aca="false">IF(OR(BG48="",$E48=""),"",BG48-$E48)</f>
        <v/>
      </c>
      <c r="BI48" s="39"/>
      <c r="BJ48" s="40" t="str">
        <f aca="false">IF(OR(BI48="",CF48=""),"",BI48/CF48*100)</f>
        <v/>
      </c>
      <c r="BK48" s="41" t="str">
        <f aca="false">IF(BJ48="","",IFERROR(MATCH(BJ48,INDEX(Boundaries!$B$2:$I$30,MATCH(CT48,Boundaries!$A$2:$A$30,0),0),1)-1,""))</f>
        <v/>
      </c>
      <c r="BL48" s="42" t="str">
        <f aca="false">IF(OR(BK48="",$E48=""),"",BK48-$E48)</f>
        <v/>
      </c>
      <c r="BM48" s="39"/>
      <c r="BN48" s="40" t="str">
        <f aca="false">IF(OR(BM48="",CG48=""),"",BM48/CG48*100)</f>
        <v/>
      </c>
      <c r="BO48" s="41" t="str">
        <f aca="false">IF(BN48="","",IFERROR(MATCH(BN48,INDEX(Boundaries!$B$2:$I$30,MATCH(CU48,Boundaries!$A$2:$A$30,0),0),1)-1,""))</f>
        <v/>
      </c>
      <c r="BP48" s="42" t="str">
        <f aca="false">IF(OR(BO48="",$E48=""),"",BO48-$E48)</f>
        <v/>
      </c>
      <c r="BQ48" s="39"/>
      <c r="BR48" s="40" t="str">
        <f aca="false">IF(OR(BQ48="",CH48=""),"",BQ48/CH48*100)</f>
        <v/>
      </c>
      <c r="BS48" s="41" t="str">
        <f aca="false">IF(BR48="","",IFERROR(MATCH(BR48,INDEX(Boundaries!$B$2:$I$30,MATCH(CV48,Boundaries!$A$2:$A$30,0),0),1)-1,""))</f>
        <v/>
      </c>
      <c r="BT48" s="42" t="str">
        <f aca="false">IF(OR(BS48="",$E48=""),"",BS48-$E48)</f>
        <v/>
      </c>
      <c r="BU48" s="28" t="n">
        <f aca="false">IFERROR(INDEX(Assessments!$H$2:$H$600,MATCH($H48&amp;"|"&amp;$I48&amp;"|"&amp;$J48&amp;"|"&amp;1,Assessments!$A$2:$A$600,0)),"")</f>
        <v>30</v>
      </c>
      <c r="BV48" s="28" t="n">
        <f aca="false">IFERROR(INDEX(Assessments!$H$2:$H$600,MATCH($H48&amp;"|"&amp;$I48&amp;"|"&amp;$J48&amp;"|"&amp;2,Assessments!$A$2:$A$600,0)),"")</f>
        <v>24</v>
      </c>
      <c r="BW48" s="28" t="n">
        <f aca="false">IFERROR(INDEX(Assessments!$H$2:$H$600,MATCH($H48&amp;"|"&amp;$I48&amp;"|"&amp;$J48&amp;"|"&amp;3,Assessments!$A$2:$A$600,0)),"")</f>
        <v>25</v>
      </c>
      <c r="BX48" s="28" t="n">
        <f aca="false">IFERROR(INDEX(Assessments!$H$2:$H$600,MATCH($H48&amp;"|"&amp;$I48&amp;"|"&amp;$J48&amp;"|"&amp;4,Assessments!$A$2:$A$600,0)),"")</f>
        <v>35</v>
      </c>
      <c r="BY48" s="28" t="n">
        <f aca="false">IFERROR(INDEX(Assessments!$H$2:$H$600,MATCH($H48&amp;"|"&amp;$I48&amp;"|"&amp;$J48&amp;"|"&amp;5,Assessments!$A$2:$A$600,0)),"")</f>
        <v>55</v>
      </c>
      <c r="BZ48" s="28" t="n">
        <f aca="false">IFERROR(INDEX(Assessments!$H$2:$H$600,MATCH($H48&amp;"|"&amp;$I48&amp;"|"&amp;$J48&amp;"|"&amp;6,Assessments!$A$2:$A$600,0)),"")</f>
        <v>30</v>
      </c>
      <c r="CA48" s="28" t="n">
        <f aca="false">IFERROR(INDEX(Assessments!$H$2:$H$600,MATCH($H48&amp;"|"&amp;$I48&amp;"|"&amp;$J48&amp;"|"&amp;7,Assessments!$A$2:$A$600,0)),"")</f>
        <v>95</v>
      </c>
      <c r="CB48" s="28" t="str">
        <f aca="false">IFERROR(INDEX(Assessments!$H$2:$H$600,MATCH($H48&amp;"|"&amp;$I48&amp;"|"&amp;$J48&amp;"|"&amp;8,Assessments!$A$2:$A$600,0)),"")</f>
        <v/>
      </c>
      <c r="CC48" s="28" t="str">
        <f aca="false">IFERROR(INDEX(Assessments!$H$2:$H$600,MATCH($H48&amp;"|"&amp;$I48&amp;"|"&amp;$J48&amp;"|"&amp;9,Assessments!$A$2:$A$600,0)),"")</f>
        <v/>
      </c>
      <c r="CD48" s="28" t="str">
        <f aca="false">IFERROR(INDEX(Assessments!$H$2:$H$600,MATCH($H48&amp;"|"&amp;$I48&amp;"|"&amp;$J48&amp;"|"&amp;10,Assessments!$A$2:$A$600,0)),"")</f>
        <v/>
      </c>
      <c r="CE48" s="28" t="str">
        <f aca="false">IFERROR(INDEX(Assessments!$H$2:$H$600,MATCH($H48&amp;"|"&amp;$I48&amp;"|"&amp;$J48&amp;"|"&amp;11,Assessments!$A$2:$A$600,0)),"")</f>
        <v/>
      </c>
      <c r="CF48" s="28" t="str">
        <f aca="false">IFERROR(INDEX(Assessments!$H$2:$H$600,MATCH($H48&amp;"|"&amp;$I48&amp;"|"&amp;$J48&amp;"|"&amp;12,Assessments!$A$2:$A$600,0)),"")</f>
        <v/>
      </c>
      <c r="CG48" s="28" t="str">
        <f aca="false">IFERROR(INDEX(Assessments!$H$2:$H$600,MATCH($H48&amp;"|"&amp;$I48&amp;"|"&amp;$J48&amp;"|"&amp;13,Assessments!$A$2:$A$600,0)),"")</f>
        <v/>
      </c>
      <c r="CH48" s="28" t="str">
        <f aca="false">IFERROR(INDEX(Assessments!$H$2:$H$600,MATCH($H48&amp;"|"&amp;$I48&amp;"|"&amp;$J48&amp;"|"&amp;14,Assessments!$A$2:$A$600,0)),"")</f>
        <v/>
      </c>
      <c r="CI48" s="28" t="str">
        <f aca="false">IFERROR(INDEX(Assessments!$I$2:$I$600,MATCH($H48&amp;"|"&amp;$I48&amp;"|"&amp;$J48&amp;"|"&amp;1,Assessments!$A$2:$A$600,0)),"")</f>
        <v>Econ Test</v>
      </c>
      <c r="CJ48" s="28" t="str">
        <f aca="false">IFERROR(INDEX(Assessments!$I$2:$I$600,MATCH($H48&amp;"|"&amp;$I48&amp;"|"&amp;$J48&amp;"|"&amp;2,Assessments!$A$2:$A$600,0)),"")</f>
        <v>Econ Test</v>
      </c>
      <c r="CK48" s="28" t="str">
        <f aca="false">IFERROR(INDEX(Assessments!$I$2:$I$600,MATCH($H48&amp;"|"&amp;$I48&amp;"|"&amp;$J48&amp;"|"&amp;3,Assessments!$A$2:$A$600,0)),"")</f>
        <v>Econ Test</v>
      </c>
      <c r="CL48" s="28" t="str">
        <f aca="false">IFERROR(INDEX(Assessments!$I$2:$I$600,MATCH($H48&amp;"|"&amp;$I48&amp;"|"&amp;$J48&amp;"|"&amp;4,Assessments!$A$2:$A$600,0)),"")</f>
        <v>Econ Test</v>
      </c>
      <c r="CM48" s="28" t="str">
        <f aca="false">IFERROR(INDEX(Assessments!$I$2:$I$600,MATCH($H48&amp;"|"&amp;$I48&amp;"|"&amp;$J48&amp;"|"&amp;5,Assessments!$A$2:$A$600,0)),"")</f>
        <v>Econ Exam</v>
      </c>
      <c r="CN48" s="28" t="str">
        <f aca="false">IFERROR(INDEX(Assessments!$I$2:$I$600,MATCH($H48&amp;"|"&amp;$I48&amp;"|"&amp;$J48&amp;"|"&amp;6,Assessments!$A$2:$A$600,0)),"")</f>
        <v>Econ Test</v>
      </c>
      <c r="CO48" s="28" t="str">
        <f aca="false">IFERROR(INDEX(Assessments!$I$2:$I$600,MATCH($H48&amp;"|"&amp;$I48&amp;"|"&amp;$J48&amp;"|"&amp;7,Assessments!$A$2:$A$600,0)),"")</f>
        <v>Econ Exam</v>
      </c>
      <c r="CP48" s="28" t="str">
        <f aca="false">IFERROR(INDEX(Assessments!$I$2:$I$600,MATCH($H48&amp;"|"&amp;$I48&amp;"|"&amp;$J48&amp;"|"&amp;8,Assessments!$A$2:$A$600,0)),"")</f>
        <v/>
      </c>
      <c r="CQ48" s="28" t="str">
        <f aca="false">IFERROR(INDEX(Assessments!$I$2:$I$600,MATCH($H48&amp;"|"&amp;$I48&amp;"|"&amp;$J48&amp;"|"&amp;9,Assessments!$A$2:$A$600,0)),"")</f>
        <v/>
      </c>
      <c r="CR48" s="28" t="str">
        <f aca="false">IFERROR(INDEX(Assessments!$I$2:$I$600,MATCH($H48&amp;"|"&amp;$I48&amp;"|"&amp;$J48&amp;"|"&amp;10,Assessments!$A$2:$A$600,0)),"")</f>
        <v/>
      </c>
      <c r="CS48" s="28" t="str">
        <f aca="false">IFERROR(INDEX(Assessments!$I$2:$I$600,MATCH($H48&amp;"|"&amp;$I48&amp;"|"&amp;$J48&amp;"|"&amp;11,Assessments!$A$2:$A$600,0)),"")</f>
        <v/>
      </c>
      <c r="CT48" s="28" t="str">
        <f aca="false">IFERROR(INDEX(Assessments!$I$2:$I$600,MATCH($H48&amp;"|"&amp;$I48&amp;"|"&amp;$J48&amp;"|"&amp;12,Assessments!$A$2:$A$600,0)),"")</f>
        <v/>
      </c>
      <c r="CU48" s="28" t="str">
        <f aca="false">IFERROR(INDEX(Assessments!$I$2:$I$600,MATCH($H48&amp;"|"&amp;$I48&amp;"|"&amp;$J48&amp;"|"&amp;13,Assessments!$A$2:$A$600,0)),"")</f>
        <v/>
      </c>
      <c r="CV48" s="28" t="str">
        <f aca="false">IFERROR(INDEX(Assessments!$I$2:$I$600,MATCH($H48&amp;"|"&amp;$I48&amp;"|"&amp;$J48&amp;"|"&amp;14,Assessments!$A$2:$A$600,0)),"")</f>
        <v/>
      </c>
      <c r="CW48" s="28" t="n">
        <f aca="false">IFERROR(INDEX(Assessments!$J$2:$J$600,MATCH($H48&amp;"|"&amp;$I48&amp;"|"&amp;$J48&amp;"|"&amp;1,Assessments!$A$2:$A$600,0)),0)</f>
        <v>1</v>
      </c>
      <c r="CX48" s="28" t="n">
        <f aca="false">IFERROR(INDEX(Assessments!$J$2:$J$600,MATCH($H48&amp;"|"&amp;$I48&amp;"|"&amp;$J48&amp;"|"&amp;2,Assessments!$A$2:$A$600,0)),0)</f>
        <v>1</v>
      </c>
      <c r="CY48" s="28" t="n">
        <f aca="false">IFERROR(INDEX(Assessments!$J$2:$J$600,MATCH($H48&amp;"|"&amp;$I48&amp;"|"&amp;$J48&amp;"|"&amp;3,Assessments!$A$2:$A$600,0)),0)</f>
        <v>1</v>
      </c>
      <c r="CZ48" s="28" t="n">
        <f aca="false">IFERROR(INDEX(Assessments!$J$2:$J$600,MATCH($H48&amp;"|"&amp;$I48&amp;"|"&amp;$J48&amp;"|"&amp;4,Assessments!$A$2:$A$600,0)),0)</f>
        <v>1</v>
      </c>
      <c r="DA48" s="28" t="n">
        <f aca="false">IFERROR(INDEX(Assessments!$J$2:$J$600,MATCH($H48&amp;"|"&amp;$I48&amp;"|"&amp;$J48&amp;"|"&amp;5,Assessments!$A$2:$A$600,0)),0)</f>
        <v>2</v>
      </c>
      <c r="DB48" s="28" t="n">
        <f aca="false">IFERROR(INDEX(Assessments!$J$2:$J$600,MATCH($H48&amp;"|"&amp;$I48&amp;"|"&amp;$J48&amp;"|"&amp;6,Assessments!$A$2:$A$600,0)),0)</f>
        <v>1</v>
      </c>
      <c r="DC48" s="28" t="n">
        <f aca="false">IFERROR(INDEX(Assessments!$J$2:$J$600,MATCH($H48&amp;"|"&amp;$I48&amp;"|"&amp;$J48&amp;"|"&amp;7,Assessments!$A$2:$A$600,0)),0)</f>
        <v>2</v>
      </c>
      <c r="DD48" s="28" t="n">
        <f aca="false">IFERROR(INDEX(Assessments!$J$2:$J$600,MATCH($H48&amp;"|"&amp;$I48&amp;"|"&amp;$J48&amp;"|"&amp;8,Assessments!$A$2:$A$600,0)),0)</f>
        <v>0</v>
      </c>
      <c r="DE48" s="28" t="n">
        <f aca="false">IFERROR(INDEX(Assessments!$J$2:$J$600,MATCH($H48&amp;"|"&amp;$I48&amp;"|"&amp;$J48&amp;"|"&amp;9,Assessments!$A$2:$A$600,0)),0)</f>
        <v>0</v>
      </c>
      <c r="DF48" s="28" t="n">
        <f aca="false">IFERROR(INDEX(Assessments!$J$2:$J$600,MATCH($H48&amp;"|"&amp;$I48&amp;"|"&amp;$J48&amp;"|"&amp;10,Assessments!$A$2:$A$600,0)),0)</f>
        <v>0</v>
      </c>
      <c r="DG48" s="28" t="n">
        <f aca="false">IFERROR(INDEX(Assessments!$J$2:$J$600,MATCH($H48&amp;"|"&amp;$I48&amp;"|"&amp;$J48&amp;"|"&amp;11,Assessments!$A$2:$A$600,0)),0)</f>
        <v>0</v>
      </c>
      <c r="DH48" s="28" t="n">
        <f aca="false">IFERROR(INDEX(Assessments!$J$2:$J$600,MATCH($H48&amp;"|"&amp;$I48&amp;"|"&amp;$J48&amp;"|"&amp;12,Assessments!$A$2:$A$600,0)),0)</f>
        <v>0</v>
      </c>
      <c r="DI48" s="28" t="n">
        <f aca="false">IFERROR(INDEX(Assessments!$J$2:$J$600,MATCH($H48&amp;"|"&amp;$I48&amp;"|"&amp;$J48&amp;"|"&amp;13,Assessments!$A$2:$A$600,0)),0)</f>
        <v>0</v>
      </c>
      <c r="DJ48" s="28" t="n">
        <f aca="false">IFERROR(INDEX(Assessments!$J$2:$J$600,MATCH($H48&amp;"|"&amp;$I48&amp;"|"&amp;$J48&amp;"|"&amp;14,Assessments!$A$2:$A$600,0)),0)</f>
        <v>0</v>
      </c>
      <c r="DK48" s="28" t="n">
        <f aca="false">S48</f>
        <v>6</v>
      </c>
      <c r="DL48" s="28" t="n">
        <f aca="false">W48</f>
        <v>5</v>
      </c>
      <c r="DM48" s="28" t="n">
        <f aca="false">AA48</f>
        <v>6</v>
      </c>
      <c r="DN48" s="28" t="n">
        <f aca="false">AE48</f>
        <v>1</v>
      </c>
      <c r="DO48" s="28" t="n">
        <f aca="false">AI48</f>
        <v>6</v>
      </c>
      <c r="DP48" s="28" t="str">
        <f aca="false">AM48</f>
        <v/>
      </c>
      <c r="DQ48" s="28" t="str">
        <f aca="false">AQ48</f>
        <v/>
      </c>
      <c r="DR48" s="28" t="str">
        <f aca="false">AU48</f>
        <v/>
      </c>
      <c r="DS48" s="28" t="str">
        <f aca="false">AY48</f>
        <v/>
      </c>
      <c r="DT48" s="28" t="str">
        <f aca="false">BC48</f>
        <v/>
      </c>
      <c r="DU48" s="28" t="str">
        <f aca="false">BG48</f>
        <v/>
      </c>
      <c r="DV48" s="28" t="str">
        <f aca="false">BK48</f>
        <v/>
      </c>
      <c r="DW48" s="28" t="str">
        <f aca="false">BO48</f>
        <v/>
      </c>
      <c r="DX48" s="28" t="str">
        <f aca="false">BS48</f>
        <v/>
      </c>
      <c r="DY48" s="28" t="n">
        <f aca="false">IF(ISNUMBER(S48),1,"")</f>
        <v>1</v>
      </c>
      <c r="DZ48" s="28" t="n">
        <f aca="false">IF(ISNUMBER(W48),2,"")</f>
        <v>2</v>
      </c>
      <c r="EA48" s="28" t="n">
        <f aca="false">IF(ISNUMBER(AA48),3,"")</f>
        <v>3</v>
      </c>
      <c r="EB48" s="28" t="n">
        <f aca="false">IF(ISNUMBER(AE48),4,"")</f>
        <v>4</v>
      </c>
      <c r="EC48" s="28" t="n">
        <f aca="false">IF(ISNUMBER(AI48),5,"")</f>
        <v>5</v>
      </c>
      <c r="ED48" s="28" t="str">
        <f aca="false">IF(ISNUMBER(AM48),6,"")</f>
        <v/>
      </c>
      <c r="EE48" s="28" t="str">
        <f aca="false">IF(ISNUMBER(AQ48),7,"")</f>
        <v/>
      </c>
      <c r="EF48" s="28" t="str">
        <f aca="false">IF(ISNUMBER(AU48),8,"")</f>
        <v/>
      </c>
      <c r="EG48" s="28" t="str">
        <f aca="false">IF(ISNUMBER(AY48),9,"")</f>
        <v/>
      </c>
      <c r="EH48" s="28" t="str">
        <f aca="false">IF(ISNUMBER(BC48),10,"")</f>
        <v/>
      </c>
      <c r="EI48" s="28" t="str">
        <f aca="false">IF(ISNUMBER(BG48),11,"")</f>
        <v/>
      </c>
      <c r="EJ48" s="28" t="str">
        <f aca="false">IF(ISNUMBER(BK48),12,"")</f>
        <v/>
      </c>
      <c r="EK48" s="28" t="str">
        <f aca="false">IF(ISNUMBER(BO48),13,"")</f>
        <v/>
      </c>
      <c r="EL48" s="28" t="str">
        <f aca="false">IF(ISNUMBER(BS48),14,"")</f>
        <v/>
      </c>
      <c r="EM48" s="28" t="n">
        <f aca="false">IF(ISNUMBER(R48),R48*CW48,0)</f>
        <v>80</v>
      </c>
      <c r="EN48" s="28" t="n">
        <f aca="false">IF(ISNUMBER(V48),V48*CX48,0)</f>
        <v>66.6666666666667</v>
      </c>
      <c r="EO48" s="28" t="n">
        <f aca="false">IF(ISNUMBER(Z48),Z48*CY48,0)</f>
        <v>76</v>
      </c>
      <c r="EP48" s="28" t="n">
        <f aca="false">IF(ISNUMBER(AD48),AD48*CZ48,0)</f>
        <v>20</v>
      </c>
      <c r="EQ48" s="28" t="n">
        <f aca="false">IF(ISNUMBER(AH48),AH48*DA48,0)</f>
        <v>145.454545454545</v>
      </c>
      <c r="ER48" s="28" t="n">
        <f aca="false">IF(ISNUMBER(AL48),AL48*DB48,0)</f>
        <v>0</v>
      </c>
      <c r="ES48" s="28" t="n">
        <f aca="false">IF(ISNUMBER(AP48),AP48*DC48,0)</f>
        <v>0</v>
      </c>
      <c r="ET48" s="28" t="n">
        <f aca="false">IF(ISNUMBER(AT48),AT48*DD48,0)</f>
        <v>0</v>
      </c>
      <c r="EU48" s="28" t="n">
        <f aca="false">IF(ISNUMBER(AX48),AX48*DE48,0)</f>
        <v>0</v>
      </c>
      <c r="EV48" s="28" t="n">
        <f aca="false">IF(ISNUMBER(BB48),BB48*DF48,0)</f>
        <v>0</v>
      </c>
      <c r="EW48" s="28" t="n">
        <f aca="false">IF(ISNUMBER(BF48),BF48*DG48,0)</f>
        <v>0</v>
      </c>
      <c r="EX48" s="28" t="n">
        <f aca="false">IF(ISNUMBER(BJ48),BJ48*DH48,0)</f>
        <v>0</v>
      </c>
      <c r="EY48" s="28" t="n">
        <f aca="false">IF(ISNUMBER(BN48),BN48*DI48,0)</f>
        <v>0</v>
      </c>
      <c r="EZ48" s="28" t="n">
        <f aca="false">IF(ISNUMBER(BR48),BR48*DJ48,0)</f>
        <v>0</v>
      </c>
      <c r="FA48" s="28" t="n">
        <f aca="false">IF(ISNUMBER(R48),CW48,0)</f>
        <v>1</v>
      </c>
      <c r="FB48" s="28" t="n">
        <f aca="false">IF(ISNUMBER(V48),CX48,0)</f>
        <v>1</v>
      </c>
      <c r="FC48" s="28" t="n">
        <f aca="false">IF(ISNUMBER(Z48),CY48,0)</f>
        <v>1</v>
      </c>
      <c r="FD48" s="28" t="n">
        <f aca="false">IF(ISNUMBER(AD48),CZ48,0)</f>
        <v>1</v>
      </c>
      <c r="FE48" s="28" t="n">
        <f aca="false">IF(ISNUMBER(AH48),DA48,0)</f>
        <v>2</v>
      </c>
      <c r="FF48" s="28" t="n">
        <f aca="false">IF(ISNUMBER(AL48),DB48,0)</f>
        <v>0</v>
      </c>
      <c r="FG48" s="28" t="n">
        <f aca="false">IF(ISNUMBER(AP48),DC48,0)</f>
        <v>0</v>
      </c>
      <c r="FH48" s="28" t="n">
        <f aca="false">IF(ISNUMBER(AT48),DD48,0)</f>
        <v>0</v>
      </c>
      <c r="FI48" s="28" t="n">
        <f aca="false">IF(ISNUMBER(AX48),DE48,0)</f>
        <v>0</v>
      </c>
      <c r="FJ48" s="28" t="n">
        <f aca="false">IF(ISNUMBER(BB48),DF48,0)</f>
        <v>0</v>
      </c>
      <c r="FK48" s="28" t="n">
        <f aca="false">IF(ISNUMBER(BF48),DG48,0)</f>
        <v>0</v>
      </c>
      <c r="FL48" s="28" t="n">
        <f aca="false">IF(ISNUMBER(BJ48),DH48,0)</f>
        <v>0</v>
      </c>
      <c r="FM48" s="28" t="n">
        <f aca="false">IF(ISNUMBER(BN48),DI48,0)</f>
        <v>0</v>
      </c>
      <c r="FN48" s="28" t="n">
        <f aca="false">IF(ISNUMBER(BR48),DJ48,0)</f>
        <v>0</v>
      </c>
      <c r="FO48" s="28" t="str">
        <f aca="false">IFERROR(INDEX(Lists!$G$2:$G$20,MATCH($I48&amp;"|"&amp;$J48,Lists!$F$2:$F$20,0)),"")</f>
        <v>Econ Exam</v>
      </c>
    </row>
    <row r="49" customFormat="false" ht="19.5" hidden="false" customHeight="true" outlineLevel="0" collapsed="false">
      <c r="A49" s="29" t="s">
        <v>234</v>
      </c>
      <c r="B49" s="29" t="s">
        <v>235</v>
      </c>
      <c r="C49" s="30" t="s">
        <v>152</v>
      </c>
      <c r="D49" s="30" t="s">
        <v>228</v>
      </c>
      <c r="E49" s="31" t="n">
        <v>5.9</v>
      </c>
      <c r="F49" s="30" t="n">
        <v>6</v>
      </c>
      <c r="G49" s="30"/>
      <c r="H49" s="32" t="s">
        <v>23</v>
      </c>
      <c r="I49" s="33" t="s">
        <v>229</v>
      </c>
      <c r="J49" s="32" t="s">
        <v>25</v>
      </c>
      <c r="K49" s="34" t="n">
        <f aca="false">IF(OR(M49="",$E49=""),"",M49-$E49)</f>
        <v>0.0999999999999996</v>
      </c>
      <c r="L49" s="35" t="n">
        <f aca="false">IF(SUM(FA49:FN49)=0,"",SUM(EM49:EZ49)/SUM(FA49:FN49))</f>
        <v>78.6096681096681</v>
      </c>
      <c r="M49" s="36" t="n">
        <f aca="false">IF(OR(L49="",FO49=""),"",IFERROR(MATCH(L49,INDEX(Boundaries!$B$2:$I$30,MATCH(FO49,Boundaries!$A$2:$A$30,0),0),1)-1,""))</f>
        <v>6</v>
      </c>
      <c r="N49" s="37" t="n">
        <f aca="false">IF(COUNT($DY49:$EL49)&lt;2,"",INDEX($DK49:$DX49,MAX($DY49:$EL49))-INDEX($DK49:$DX49,MIN($DY49:$EL49)))</f>
        <v>1</v>
      </c>
      <c r="O49" s="37" t="n">
        <f aca="false">IF(COUNT($DY49:$EL49)&lt;2,"",INDEX($DK49:$DX49,MAX($DY49:$EL49))-INDEX($DK49:$DX49,LARGE($DY49:$EL49,2)))</f>
        <v>5</v>
      </c>
      <c r="P49" s="38" t="str">
        <f aca="false">IF(K49="","",IF(K49&gt;=0,"On/above target",IF(AND(N49&lt;&gt;"",N49&gt;=0.5),"Improving towards target",IF(AND(O49&lt;&gt;"",O49&lt;=-0.5),"Declining","Stable below target"))))</f>
        <v>On/above target</v>
      </c>
      <c r="Q49" s="39" t="n">
        <v>23</v>
      </c>
      <c r="R49" s="40" t="n">
        <f aca="false">IF(OR(Q49="",BU49=""),"",Q49/BU49*100)</f>
        <v>76.6666666666667</v>
      </c>
      <c r="S49" s="41" t="n">
        <f aca="false">IF(R49="","",IFERROR(MATCH(R49,INDEX(Boundaries!$B$2:$I$30,MATCH(CI49,Boundaries!$A$2:$A$30,0),0),1)-1,""))</f>
        <v>6</v>
      </c>
      <c r="T49" s="42" t="n">
        <f aca="false">IF(OR(S49="",$E49=""),"",S49-$E49)</f>
        <v>0.0999999999999996</v>
      </c>
      <c r="U49" s="39" t="n">
        <v>22</v>
      </c>
      <c r="V49" s="40" t="n">
        <f aca="false">IF(OR(U49="",BV49=""),"",U49/BV49*100)</f>
        <v>91.6666666666667</v>
      </c>
      <c r="W49" s="41" t="n">
        <f aca="false">IF(V49="","",IFERROR(MATCH(V49,INDEX(Boundaries!$B$2:$I$30,MATCH(CJ49,Boundaries!$A$2:$A$30,0),0),1)-1,""))</f>
        <v>7</v>
      </c>
      <c r="X49" s="42" t="n">
        <f aca="false">IF(OR(W49="",$E49=""),"",W49-$E49)</f>
        <v>1.1</v>
      </c>
      <c r="Y49" s="39" t="n">
        <v>22</v>
      </c>
      <c r="Z49" s="40" t="n">
        <f aca="false">IF(OR(Y49="",BW49=""),"",Y49/BW49*100)</f>
        <v>88</v>
      </c>
      <c r="AA49" s="41" t="n">
        <f aca="false">IF(Z49="","",IFERROR(MATCH(Z49,INDEX(Boundaries!$B$2:$I$30,MATCH(CK49,Boundaries!$A$2:$A$30,0),0),1)-1,""))</f>
        <v>7</v>
      </c>
      <c r="AB49" s="42" t="n">
        <f aca="false">IF(OR(AA49="",$E49=""),"",AA49-$E49)</f>
        <v>1.1</v>
      </c>
      <c r="AC49" s="39" t="n">
        <v>13</v>
      </c>
      <c r="AD49" s="40" t="n">
        <f aca="false">IF(OR(AC49="",BX49=""),"",AC49/BX49*100)</f>
        <v>37.1428571428571</v>
      </c>
      <c r="AE49" s="41" t="n">
        <f aca="false">IF(AD49="","",IFERROR(MATCH(AD49,INDEX(Boundaries!$B$2:$I$30,MATCH(CL49,Boundaries!$A$2:$A$30,0),0),1)-1,""))</f>
        <v>2</v>
      </c>
      <c r="AF49" s="42" t="n">
        <f aca="false">IF(OR(AE49="",$E49=""),"",AE49-$E49)</f>
        <v>-3.9</v>
      </c>
      <c r="AG49" s="39" t="n">
        <v>49</v>
      </c>
      <c r="AH49" s="40" t="n">
        <f aca="false">IF(OR(AG49="",BY49=""),"",AG49/BY49*100)</f>
        <v>89.0909090909091</v>
      </c>
      <c r="AI49" s="41" t="n">
        <f aca="false">IF(AH49="","",IFERROR(MATCH(AH49,INDEX(Boundaries!$B$2:$I$30,MATCH(CM49,Boundaries!$A$2:$A$30,0),0),1)-1,""))</f>
        <v>7</v>
      </c>
      <c r="AJ49" s="42" t="n">
        <f aca="false">IF(OR(AI49="",$E49=""),"",AI49-$E49)</f>
        <v>1.1</v>
      </c>
      <c r="AK49" s="39"/>
      <c r="AL49" s="40" t="str">
        <f aca="false">IF(OR(AK49="",BZ49=""),"",AK49/BZ49*100)</f>
        <v/>
      </c>
      <c r="AM49" s="41" t="str">
        <f aca="false">IF(AL49="","",IFERROR(MATCH(AL49,INDEX(Boundaries!$B$2:$I$30,MATCH(CN49,Boundaries!$A$2:$A$30,0),0),1)-1,""))</f>
        <v/>
      </c>
      <c r="AN49" s="42" t="str">
        <f aca="false">IF(OR(AM49="",$E49=""),"",AM49-$E49)</f>
        <v/>
      </c>
      <c r="AO49" s="39"/>
      <c r="AP49" s="40" t="str">
        <f aca="false">IF(OR(AO49="",CA49=""),"",AO49/CA49*100)</f>
        <v/>
      </c>
      <c r="AQ49" s="41" t="str">
        <f aca="false">IF(AP49="","",IFERROR(MATCH(AP49,INDEX(Boundaries!$B$2:$I$30,MATCH(CO49,Boundaries!$A$2:$A$30,0),0),1)-1,""))</f>
        <v/>
      </c>
      <c r="AR49" s="42" t="str">
        <f aca="false">IF(OR(AQ49="",$E49=""),"",AQ49-$E49)</f>
        <v/>
      </c>
      <c r="AS49" s="39"/>
      <c r="AT49" s="40" t="str">
        <f aca="false">IF(OR(AS49="",CB49=""),"",AS49/CB49*100)</f>
        <v/>
      </c>
      <c r="AU49" s="41" t="str">
        <f aca="false">IF(AT49="","",IFERROR(MATCH(AT49,INDEX(Boundaries!$B$2:$I$30,MATCH(CP49,Boundaries!$A$2:$A$30,0),0),1)-1,""))</f>
        <v/>
      </c>
      <c r="AV49" s="42" t="str">
        <f aca="false">IF(OR(AU49="",$E49=""),"",AU49-$E49)</f>
        <v/>
      </c>
      <c r="AW49" s="39"/>
      <c r="AX49" s="40" t="str">
        <f aca="false">IF(OR(AW49="",CC49=""),"",AW49/CC49*100)</f>
        <v/>
      </c>
      <c r="AY49" s="41" t="str">
        <f aca="false">IF(AX49="","",IFERROR(MATCH(AX49,INDEX(Boundaries!$B$2:$I$30,MATCH(CQ49,Boundaries!$A$2:$A$30,0),0),1)-1,""))</f>
        <v/>
      </c>
      <c r="AZ49" s="42" t="str">
        <f aca="false">IF(OR(AY49="",$E49=""),"",AY49-$E49)</f>
        <v/>
      </c>
      <c r="BA49" s="39"/>
      <c r="BB49" s="40" t="str">
        <f aca="false">IF(OR(BA49="",CD49=""),"",BA49/CD49*100)</f>
        <v/>
      </c>
      <c r="BC49" s="41" t="str">
        <f aca="false">IF(BB49="","",IFERROR(MATCH(BB49,INDEX(Boundaries!$B$2:$I$30,MATCH(CR49,Boundaries!$A$2:$A$30,0),0),1)-1,""))</f>
        <v/>
      </c>
      <c r="BD49" s="42" t="str">
        <f aca="false">IF(OR(BC49="",$E49=""),"",BC49-$E49)</f>
        <v/>
      </c>
      <c r="BE49" s="39"/>
      <c r="BF49" s="40" t="str">
        <f aca="false">IF(OR(BE49="",CE49=""),"",BE49/CE49*100)</f>
        <v/>
      </c>
      <c r="BG49" s="41" t="str">
        <f aca="false">IF(BF49="","",IFERROR(MATCH(BF49,INDEX(Boundaries!$B$2:$I$30,MATCH(CS49,Boundaries!$A$2:$A$30,0),0),1)-1,""))</f>
        <v/>
      </c>
      <c r="BH49" s="42" t="str">
        <f aca="false">IF(OR(BG49="",$E49=""),"",BG49-$E49)</f>
        <v/>
      </c>
      <c r="BI49" s="39"/>
      <c r="BJ49" s="40" t="str">
        <f aca="false">IF(OR(BI49="",CF49=""),"",BI49/CF49*100)</f>
        <v/>
      </c>
      <c r="BK49" s="41" t="str">
        <f aca="false">IF(BJ49="","",IFERROR(MATCH(BJ49,INDEX(Boundaries!$B$2:$I$30,MATCH(CT49,Boundaries!$A$2:$A$30,0),0),1)-1,""))</f>
        <v/>
      </c>
      <c r="BL49" s="42" t="str">
        <f aca="false">IF(OR(BK49="",$E49=""),"",BK49-$E49)</f>
        <v/>
      </c>
      <c r="BM49" s="39"/>
      <c r="BN49" s="40" t="str">
        <f aca="false">IF(OR(BM49="",CG49=""),"",BM49/CG49*100)</f>
        <v/>
      </c>
      <c r="BO49" s="41" t="str">
        <f aca="false">IF(BN49="","",IFERROR(MATCH(BN49,INDEX(Boundaries!$B$2:$I$30,MATCH(CU49,Boundaries!$A$2:$A$30,0),0),1)-1,""))</f>
        <v/>
      </c>
      <c r="BP49" s="42" t="str">
        <f aca="false">IF(OR(BO49="",$E49=""),"",BO49-$E49)</f>
        <v/>
      </c>
      <c r="BQ49" s="39"/>
      <c r="BR49" s="40" t="str">
        <f aca="false">IF(OR(BQ49="",CH49=""),"",BQ49/CH49*100)</f>
        <v/>
      </c>
      <c r="BS49" s="41" t="str">
        <f aca="false">IF(BR49="","",IFERROR(MATCH(BR49,INDEX(Boundaries!$B$2:$I$30,MATCH(CV49,Boundaries!$A$2:$A$30,0),0),1)-1,""))</f>
        <v/>
      </c>
      <c r="BT49" s="42" t="str">
        <f aca="false">IF(OR(BS49="",$E49=""),"",BS49-$E49)</f>
        <v/>
      </c>
      <c r="BU49" s="28" t="n">
        <f aca="false">IFERROR(INDEX(Assessments!$H$2:$H$600,MATCH($H49&amp;"|"&amp;$I49&amp;"|"&amp;$J49&amp;"|"&amp;1,Assessments!$A$2:$A$600,0)),"")</f>
        <v>30</v>
      </c>
      <c r="BV49" s="28" t="n">
        <f aca="false">IFERROR(INDEX(Assessments!$H$2:$H$600,MATCH($H49&amp;"|"&amp;$I49&amp;"|"&amp;$J49&amp;"|"&amp;2,Assessments!$A$2:$A$600,0)),"")</f>
        <v>24</v>
      </c>
      <c r="BW49" s="28" t="n">
        <f aca="false">IFERROR(INDEX(Assessments!$H$2:$H$600,MATCH($H49&amp;"|"&amp;$I49&amp;"|"&amp;$J49&amp;"|"&amp;3,Assessments!$A$2:$A$600,0)),"")</f>
        <v>25</v>
      </c>
      <c r="BX49" s="28" t="n">
        <f aca="false">IFERROR(INDEX(Assessments!$H$2:$H$600,MATCH($H49&amp;"|"&amp;$I49&amp;"|"&amp;$J49&amp;"|"&amp;4,Assessments!$A$2:$A$600,0)),"")</f>
        <v>35</v>
      </c>
      <c r="BY49" s="28" t="n">
        <f aca="false">IFERROR(INDEX(Assessments!$H$2:$H$600,MATCH($H49&amp;"|"&amp;$I49&amp;"|"&amp;$J49&amp;"|"&amp;5,Assessments!$A$2:$A$600,0)),"")</f>
        <v>55</v>
      </c>
      <c r="BZ49" s="28" t="n">
        <f aca="false">IFERROR(INDEX(Assessments!$H$2:$H$600,MATCH($H49&amp;"|"&amp;$I49&amp;"|"&amp;$J49&amp;"|"&amp;6,Assessments!$A$2:$A$600,0)),"")</f>
        <v>30</v>
      </c>
      <c r="CA49" s="28" t="n">
        <f aca="false">IFERROR(INDEX(Assessments!$H$2:$H$600,MATCH($H49&amp;"|"&amp;$I49&amp;"|"&amp;$J49&amp;"|"&amp;7,Assessments!$A$2:$A$600,0)),"")</f>
        <v>95</v>
      </c>
      <c r="CB49" s="28" t="str">
        <f aca="false">IFERROR(INDEX(Assessments!$H$2:$H$600,MATCH($H49&amp;"|"&amp;$I49&amp;"|"&amp;$J49&amp;"|"&amp;8,Assessments!$A$2:$A$600,0)),"")</f>
        <v/>
      </c>
      <c r="CC49" s="28" t="str">
        <f aca="false">IFERROR(INDEX(Assessments!$H$2:$H$600,MATCH($H49&amp;"|"&amp;$I49&amp;"|"&amp;$J49&amp;"|"&amp;9,Assessments!$A$2:$A$600,0)),"")</f>
        <v/>
      </c>
      <c r="CD49" s="28" t="str">
        <f aca="false">IFERROR(INDEX(Assessments!$H$2:$H$600,MATCH($H49&amp;"|"&amp;$I49&amp;"|"&amp;$J49&amp;"|"&amp;10,Assessments!$A$2:$A$600,0)),"")</f>
        <v/>
      </c>
      <c r="CE49" s="28" t="str">
        <f aca="false">IFERROR(INDEX(Assessments!$H$2:$H$600,MATCH($H49&amp;"|"&amp;$I49&amp;"|"&amp;$J49&amp;"|"&amp;11,Assessments!$A$2:$A$600,0)),"")</f>
        <v/>
      </c>
      <c r="CF49" s="28" t="str">
        <f aca="false">IFERROR(INDEX(Assessments!$H$2:$H$600,MATCH($H49&amp;"|"&amp;$I49&amp;"|"&amp;$J49&amp;"|"&amp;12,Assessments!$A$2:$A$600,0)),"")</f>
        <v/>
      </c>
      <c r="CG49" s="28" t="str">
        <f aca="false">IFERROR(INDEX(Assessments!$H$2:$H$600,MATCH($H49&amp;"|"&amp;$I49&amp;"|"&amp;$J49&amp;"|"&amp;13,Assessments!$A$2:$A$600,0)),"")</f>
        <v/>
      </c>
      <c r="CH49" s="28" t="str">
        <f aca="false">IFERROR(INDEX(Assessments!$H$2:$H$600,MATCH($H49&amp;"|"&amp;$I49&amp;"|"&amp;$J49&amp;"|"&amp;14,Assessments!$A$2:$A$600,0)),"")</f>
        <v/>
      </c>
      <c r="CI49" s="28" t="str">
        <f aca="false">IFERROR(INDEX(Assessments!$I$2:$I$600,MATCH($H49&amp;"|"&amp;$I49&amp;"|"&amp;$J49&amp;"|"&amp;1,Assessments!$A$2:$A$600,0)),"")</f>
        <v>Econ Test</v>
      </c>
      <c r="CJ49" s="28" t="str">
        <f aca="false">IFERROR(INDEX(Assessments!$I$2:$I$600,MATCH($H49&amp;"|"&amp;$I49&amp;"|"&amp;$J49&amp;"|"&amp;2,Assessments!$A$2:$A$600,0)),"")</f>
        <v>Econ Test</v>
      </c>
      <c r="CK49" s="28" t="str">
        <f aca="false">IFERROR(INDEX(Assessments!$I$2:$I$600,MATCH($H49&amp;"|"&amp;$I49&amp;"|"&amp;$J49&amp;"|"&amp;3,Assessments!$A$2:$A$600,0)),"")</f>
        <v>Econ Test</v>
      </c>
      <c r="CL49" s="28" t="str">
        <f aca="false">IFERROR(INDEX(Assessments!$I$2:$I$600,MATCH($H49&amp;"|"&amp;$I49&amp;"|"&amp;$J49&amp;"|"&amp;4,Assessments!$A$2:$A$600,0)),"")</f>
        <v>Econ Test</v>
      </c>
      <c r="CM49" s="28" t="str">
        <f aca="false">IFERROR(INDEX(Assessments!$I$2:$I$600,MATCH($H49&amp;"|"&amp;$I49&amp;"|"&amp;$J49&amp;"|"&amp;5,Assessments!$A$2:$A$600,0)),"")</f>
        <v>Econ Exam</v>
      </c>
      <c r="CN49" s="28" t="str">
        <f aca="false">IFERROR(INDEX(Assessments!$I$2:$I$600,MATCH($H49&amp;"|"&amp;$I49&amp;"|"&amp;$J49&amp;"|"&amp;6,Assessments!$A$2:$A$600,0)),"")</f>
        <v>Econ Test</v>
      </c>
      <c r="CO49" s="28" t="str">
        <f aca="false">IFERROR(INDEX(Assessments!$I$2:$I$600,MATCH($H49&amp;"|"&amp;$I49&amp;"|"&amp;$J49&amp;"|"&amp;7,Assessments!$A$2:$A$600,0)),"")</f>
        <v>Econ Exam</v>
      </c>
      <c r="CP49" s="28" t="str">
        <f aca="false">IFERROR(INDEX(Assessments!$I$2:$I$600,MATCH($H49&amp;"|"&amp;$I49&amp;"|"&amp;$J49&amp;"|"&amp;8,Assessments!$A$2:$A$600,0)),"")</f>
        <v/>
      </c>
      <c r="CQ49" s="28" t="str">
        <f aca="false">IFERROR(INDEX(Assessments!$I$2:$I$600,MATCH($H49&amp;"|"&amp;$I49&amp;"|"&amp;$J49&amp;"|"&amp;9,Assessments!$A$2:$A$600,0)),"")</f>
        <v/>
      </c>
      <c r="CR49" s="28" t="str">
        <f aca="false">IFERROR(INDEX(Assessments!$I$2:$I$600,MATCH($H49&amp;"|"&amp;$I49&amp;"|"&amp;$J49&amp;"|"&amp;10,Assessments!$A$2:$A$600,0)),"")</f>
        <v/>
      </c>
      <c r="CS49" s="28" t="str">
        <f aca="false">IFERROR(INDEX(Assessments!$I$2:$I$600,MATCH($H49&amp;"|"&amp;$I49&amp;"|"&amp;$J49&amp;"|"&amp;11,Assessments!$A$2:$A$600,0)),"")</f>
        <v/>
      </c>
      <c r="CT49" s="28" t="str">
        <f aca="false">IFERROR(INDEX(Assessments!$I$2:$I$600,MATCH($H49&amp;"|"&amp;$I49&amp;"|"&amp;$J49&amp;"|"&amp;12,Assessments!$A$2:$A$600,0)),"")</f>
        <v/>
      </c>
      <c r="CU49" s="28" t="str">
        <f aca="false">IFERROR(INDEX(Assessments!$I$2:$I$600,MATCH($H49&amp;"|"&amp;$I49&amp;"|"&amp;$J49&amp;"|"&amp;13,Assessments!$A$2:$A$600,0)),"")</f>
        <v/>
      </c>
      <c r="CV49" s="28" t="str">
        <f aca="false">IFERROR(INDEX(Assessments!$I$2:$I$600,MATCH($H49&amp;"|"&amp;$I49&amp;"|"&amp;$J49&amp;"|"&amp;14,Assessments!$A$2:$A$600,0)),"")</f>
        <v/>
      </c>
      <c r="CW49" s="28" t="n">
        <f aca="false">IFERROR(INDEX(Assessments!$J$2:$J$600,MATCH($H49&amp;"|"&amp;$I49&amp;"|"&amp;$J49&amp;"|"&amp;1,Assessments!$A$2:$A$600,0)),0)</f>
        <v>1</v>
      </c>
      <c r="CX49" s="28" t="n">
        <f aca="false">IFERROR(INDEX(Assessments!$J$2:$J$600,MATCH($H49&amp;"|"&amp;$I49&amp;"|"&amp;$J49&amp;"|"&amp;2,Assessments!$A$2:$A$600,0)),0)</f>
        <v>1</v>
      </c>
      <c r="CY49" s="28" t="n">
        <f aca="false">IFERROR(INDEX(Assessments!$J$2:$J$600,MATCH($H49&amp;"|"&amp;$I49&amp;"|"&amp;$J49&amp;"|"&amp;3,Assessments!$A$2:$A$600,0)),0)</f>
        <v>1</v>
      </c>
      <c r="CZ49" s="28" t="n">
        <f aca="false">IFERROR(INDEX(Assessments!$J$2:$J$600,MATCH($H49&amp;"|"&amp;$I49&amp;"|"&amp;$J49&amp;"|"&amp;4,Assessments!$A$2:$A$600,0)),0)</f>
        <v>1</v>
      </c>
      <c r="DA49" s="28" t="n">
        <f aca="false">IFERROR(INDEX(Assessments!$J$2:$J$600,MATCH($H49&amp;"|"&amp;$I49&amp;"|"&amp;$J49&amp;"|"&amp;5,Assessments!$A$2:$A$600,0)),0)</f>
        <v>2</v>
      </c>
      <c r="DB49" s="28" t="n">
        <f aca="false">IFERROR(INDEX(Assessments!$J$2:$J$600,MATCH($H49&amp;"|"&amp;$I49&amp;"|"&amp;$J49&amp;"|"&amp;6,Assessments!$A$2:$A$600,0)),0)</f>
        <v>1</v>
      </c>
      <c r="DC49" s="28" t="n">
        <f aca="false">IFERROR(INDEX(Assessments!$J$2:$J$600,MATCH($H49&amp;"|"&amp;$I49&amp;"|"&amp;$J49&amp;"|"&amp;7,Assessments!$A$2:$A$600,0)),0)</f>
        <v>2</v>
      </c>
      <c r="DD49" s="28" t="n">
        <f aca="false">IFERROR(INDEX(Assessments!$J$2:$J$600,MATCH($H49&amp;"|"&amp;$I49&amp;"|"&amp;$J49&amp;"|"&amp;8,Assessments!$A$2:$A$600,0)),0)</f>
        <v>0</v>
      </c>
      <c r="DE49" s="28" t="n">
        <f aca="false">IFERROR(INDEX(Assessments!$J$2:$J$600,MATCH($H49&amp;"|"&amp;$I49&amp;"|"&amp;$J49&amp;"|"&amp;9,Assessments!$A$2:$A$600,0)),0)</f>
        <v>0</v>
      </c>
      <c r="DF49" s="28" t="n">
        <f aca="false">IFERROR(INDEX(Assessments!$J$2:$J$600,MATCH($H49&amp;"|"&amp;$I49&amp;"|"&amp;$J49&amp;"|"&amp;10,Assessments!$A$2:$A$600,0)),0)</f>
        <v>0</v>
      </c>
      <c r="DG49" s="28" t="n">
        <f aca="false">IFERROR(INDEX(Assessments!$J$2:$J$600,MATCH($H49&amp;"|"&amp;$I49&amp;"|"&amp;$J49&amp;"|"&amp;11,Assessments!$A$2:$A$600,0)),0)</f>
        <v>0</v>
      </c>
      <c r="DH49" s="28" t="n">
        <f aca="false">IFERROR(INDEX(Assessments!$J$2:$J$600,MATCH($H49&amp;"|"&amp;$I49&amp;"|"&amp;$J49&amp;"|"&amp;12,Assessments!$A$2:$A$600,0)),0)</f>
        <v>0</v>
      </c>
      <c r="DI49" s="28" t="n">
        <f aca="false">IFERROR(INDEX(Assessments!$J$2:$J$600,MATCH($H49&amp;"|"&amp;$I49&amp;"|"&amp;$J49&amp;"|"&amp;13,Assessments!$A$2:$A$600,0)),0)</f>
        <v>0</v>
      </c>
      <c r="DJ49" s="28" t="n">
        <f aca="false">IFERROR(INDEX(Assessments!$J$2:$J$600,MATCH($H49&amp;"|"&amp;$I49&amp;"|"&amp;$J49&amp;"|"&amp;14,Assessments!$A$2:$A$600,0)),0)</f>
        <v>0</v>
      </c>
      <c r="DK49" s="28" t="n">
        <f aca="false">S49</f>
        <v>6</v>
      </c>
      <c r="DL49" s="28" t="n">
        <f aca="false">W49</f>
        <v>7</v>
      </c>
      <c r="DM49" s="28" t="n">
        <f aca="false">AA49</f>
        <v>7</v>
      </c>
      <c r="DN49" s="28" t="n">
        <f aca="false">AE49</f>
        <v>2</v>
      </c>
      <c r="DO49" s="28" t="n">
        <f aca="false">AI49</f>
        <v>7</v>
      </c>
      <c r="DP49" s="28" t="str">
        <f aca="false">AM49</f>
        <v/>
      </c>
      <c r="DQ49" s="28" t="str">
        <f aca="false">AQ49</f>
        <v/>
      </c>
      <c r="DR49" s="28" t="str">
        <f aca="false">AU49</f>
        <v/>
      </c>
      <c r="DS49" s="28" t="str">
        <f aca="false">AY49</f>
        <v/>
      </c>
      <c r="DT49" s="28" t="str">
        <f aca="false">BC49</f>
        <v/>
      </c>
      <c r="DU49" s="28" t="str">
        <f aca="false">BG49</f>
        <v/>
      </c>
      <c r="DV49" s="28" t="str">
        <f aca="false">BK49</f>
        <v/>
      </c>
      <c r="DW49" s="28" t="str">
        <f aca="false">BO49</f>
        <v/>
      </c>
      <c r="DX49" s="28" t="str">
        <f aca="false">BS49</f>
        <v/>
      </c>
      <c r="DY49" s="28" t="n">
        <f aca="false">IF(ISNUMBER(S49),1,"")</f>
        <v>1</v>
      </c>
      <c r="DZ49" s="28" t="n">
        <f aca="false">IF(ISNUMBER(W49),2,"")</f>
        <v>2</v>
      </c>
      <c r="EA49" s="28" t="n">
        <f aca="false">IF(ISNUMBER(AA49),3,"")</f>
        <v>3</v>
      </c>
      <c r="EB49" s="28" t="n">
        <f aca="false">IF(ISNUMBER(AE49),4,"")</f>
        <v>4</v>
      </c>
      <c r="EC49" s="28" t="n">
        <f aca="false">IF(ISNUMBER(AI49),5,"")</f>
        <v>5</v>
      </c>
      <c r="ED49" s="28" t="str">
        <f aca="false">IF(ISNUMBER(AM49),6,"")</f>
        <v/>
      </c>
      <c r="EE49" s="28" t="str">
        <f aca="false">IF(ISNUMBER(AQ49),7,"")</f>
        <v/>
      </c>
      <c r="EF49" s="28" t="str">
        <f aca="false">IF(ISNUMBER(AU49),8,"")</f>
        <v/>
      </c>
      <c r="EG49" s="28" t="str">
        <f aca="false">IF(ISNUMBER(AY49),9,"")</f>
        <v/>
      </c>
      <c r="EH49" s="28" t="str">
        <f aca="false">IF(ISNUMBER(BC49),10,"")</f>
        <v/>
      </c>
      <c r="EI49" s="28" t="str">
        <f aca="false">IF(ISNUMBER(BG49),11,"")</f>
        <v/>
      </c>
      <c r="EJ49" s="28" t="str">
        <f aca="false">IF(ISNUMBER(BK49),12,"")</f>
        <v/>
      </c>
      <c r="EK49" s="28" t="str">
        <f aca="false">IF(ISNUMBER(BO49),13,"")</f>
        <v/>
      </c>
      <c r="EL49" s="28" t="str">
        <f aca="false">IF(ISNUMBER(BS49),14,"")</f>
        <v/>
      </c>
      <c r="EM49" s="28" t="n">
        <f aca="false">IF(ISNUMBER(R49),R49*CW49,0)</f>
        <v>76.6666666666667</v>
      </c>
      <c r="EN49" s="28" t="n">
        <f aca="false">IF(ISNUMBER(V49),V49*CX49,0)</f>
        <v>91.6666666666667</v>
      </c>
      <c r="EO49" s="28" t="n">
        <f aca="false">IF(ISNUMBER(Z49),Z49*CY49,0)</f>
        <v>88</v>
      </c>
      <c r="EP49" s="28" t="n">
        <f aca="false">IF(ISNUMBER(AD49),AD49*CZ49,0)</f>
        <v>37.1428571428571</v>
      </c>
      <c r="EQ49" s="28" t="n">
        <f aca="false">IF(ISNUMBER(AH49),AH49*DA49,0)</f>
        <v>178.181818181818</v>
      </c>
      <c r="ER49" s="28" t="n">
        <f aca="false">IF(ISNUMBER(AL49),AL49*DB49,0)</f>
        <v>0</v>
      </c>
      <c r="ES49" s="28" t="n">
        <f aca="false">IF(ISNUMBER(AP49),AP49*DC49,0)</f>
        <v>0</v>
      </c>
      <c r="ET49" s="28" t="n">
        <f aca="false">IF(ISNUMBER(AT49),AT49*DD49,0)</f>
        <v>0</v>
      </c>
      <c r="EU49" s="28" t="n">
        <f aca="false">IF(ISNUMBER(AX49),AX49*DE49,0)</f>
        <v>0</v>
      </c>
      <c r="EV49" s="28" t="n">
        <f aca="false">IF(ISNUMBER(BB49),BB49*DF49,0)</f>
        <v>0</v>
      </c>
      <c r="EW49" s="28" t="n">
        <f aca="false">IF(ISNUMBER(BF49),BF49*DG49,0)</f>
        <v>0</v>
      </c>
      <c r="EX49" s="28" t="n">
        <f aca="false">IF(ISNUMBER(BJ49),BJ49*DH49,0)</f>
        <v>0</v>
      </c>
      <c r="EY49" s="28" t="n">
        <f aca="false">IF(ISNUMBER(BN49),BN49*DI49,0)</f>
        <v>0</v>
      </c>
      <c r="EZ49" s="28" t="n">
        <f aca="false">IF(ISNUMBER(BR49),BR49*DJ49,0)</f>
        <v>0</v>
      </c>
      <c r="FA49" s="28" t="n">
        <f aca="false">IF(ISNUMBER(R49),CW49,0)</f>
        <v>1</v>
      </c>
      <c r="FB49" s="28" t="n">
        <f aca="false">IF(ISNUMBER(V49),CX49,0)</f>
        <v>1</v>
      </c>
      <c r="FC49" s="28" t="n">
        <f aca="false">IF(ISNUMBER(Z49),CY49,0)</f>
        <v>1</v>
      </c>
      <c r="FD49" s="28" t="n">
        <f aca="false">IF(ISNUMBER(AD49),CZ49,0)</f>
        <v>1</v>
      </c>
      <c r="FE49" s="28" t="n">
        <f aca="false">IF(ISNUMBER(AH49),DA49,0)</f>
        <v>2</v>
      </c>
      <c r="FF49" s="28" t="n">
        <f aca="false">IF(ISNUMBER(AL49),DB49,0)</f>
        <v>0</v>
      </c>
      <c r="FG49" s="28" t="n">
        <f aca="false">IF(ISNUMBER(AP49),DC49,0)</f>
        <v>0</v>
      </c>
      <c r="FH49" s="28" t="n">
        <f aca="false">IF(ISNUMBER(AT49),DD49,0)</f>
        <v>0</v>
      </c>
      <c r="FI49" s="28" t="n">
        <f aca="false">IF(ISNUMBER(AX49),DE49,0)</f>
        <v>0</v>
      </c>
      <c r="FJ49" s="28" t="n">
        <f aca="false">IF(ISNUMBER(BB49),DF49,0)</f>
        <v>0</v>
      </c>
      <c r="FK49" s="28" t="n">
        <f aca="false">IF(ISNUMBER(BF49),DG49,0)</f>
        <v>0</v>
      </c>
      <c r="FL49" s="28" t="n">
        <f aca="false">IF(ISNUMBER(BJ49),DH49,0)</f>
        <v>0</v>
      </c>
      <c r="FM49" s="28" t="n">
        <f aca="false">IF(ISNUMBER(BN49),DI49,0)</f>
        <v>0</v>
      </c>
      <c r="FN49" s="28" t="n">
        <f aca="false">IF(ISNUMBER(BR49),DJ49,0)</f>
        <v>0</v>
      </c>
      <c r="FO49" s="28" t="str">
        <f aca="false">IFERROR(INDEX(Lists!$G$2:$G$20,MATCH($I49&amp;"|"&amp;$J49,Lists!$F$2:$F$20,0)),"")</f>
        <v>Econ Exam</v>
      </c>
    </row>
    <row r="50" customFormat="false" ht="19.5" hidden="false" customHeight="true" outlineLevel="0" collapsed="false">
      <c r="A50" s="29" t="s">
        <v>214</v>
      </c>
      <c r="B50" s="29" t="s">
        <v>215</v>
      </c>
      <c r="C50" s="30" t="s">
        <v>152</v>
      </c>
      <c r="D50" s="30" t="s">
        <v>228</v>
      </c>
      <c r="E50" s="31" t="n">
        <v>5.7</v>
      </c>
      <c r="F50" s="30" t="n">
        <v>6</v>
      </c>
      <c r="G50" s="30"/>
      <c r="H50" s="32" t="s">
        <v>23</v>
      </c>
      <c r="I50" s="33" t="s">
        <v>229</v>
      </c>
      <c r="J50" s="32" t="s">
        <v>25</v>
      </c>
      <c r="K50" s="34" t="n">
        <f aca="false">IF(OR(M50="",$E50=""),"",M50-$E50)</f>
        <v>0.3</v>
      </c>
      <c r="L50" s="35" t="n">
        <f aca="false">IF(SUM(FA50:FN50)=0,"",SUM(EM50:EZ50)/SUM(FA50:FN50))</f>
        <v>73.0050505050505</v>
      </c>
      <c r="M50" s="36" t="n">
        <f aca="false">IF(OR(L50="",FO50=""),"",IFERROR(MATCH(L50,INDEX(Boundaries!$B$2:$I$30,MATCH(FO50,Boundaries!$A$2:$A$30,0),0),1)-1,""))</f>
        <v>6</v>
      </c>
      <c r="N50" s="37" t="n">
        <f aca="false">IF(COUNT($DY50:$EL50)&lt;2,"",INDEX($DK50:$DX50,MAX($DY50:$EL50))-INDEX($DK50:$DX50,MIN($DY50:$EL50)))</f>
        <v>-1</v>
      </c>
      <c r="O50" s="37" t="n">
        <f aca="false">IF(COUNT($DY50:$EL50)&lt;2,"",INDEX($DK50:$DX50,MAX($DY50:$EL50))-INDEX($DK50:$DX50,LARGE($DY50:$EL50,2)))</f>
        <v>5</v>
      </c>
      <c r="P50" s="38" t="str">
        <f aca="false">IF(K50="","",IF(K50&gt;=0,"On/above target",IF(AND(N50&lt;&gt;"",N50&gt;=0.5),"Improving towards target",IF(AND(O50&lt;&gt;"",O50&lt;=-0.5),"Declining","Stable below target"))))</f>
        <v>On/above target</v>
      </c>
      <c r="Q50" s="39" t="n">
        <v>27</v>
      </c>
      <c r="R50" s="40" t="n">
        <f aca="false">IF(OR(Q50="",BU50=""),"",Q50/BU50*100)</f>
        <v>90</v>
      </c>
      <c r="S50" s="41" t="n">
        <f aca="false">IF(R50="","",IFERROR(MATCH(R50,INDEX(Boundaries!$B$2:$I$30,MATCH(CI50,Boundaries!$A$2:$A$30,0),0),1)-1,""))</f>
        <v>7</v>
      </c>
      <c r="T50" s="42" t="n">
        <f aca="false">IF(OR(S50="",$E50=""),"",S50-$E50)</f>
        <v>1.3</v>
      </c>
      <c r="U50" s="39" t="n">
        <v>22</v>
      </c>
      <c r="V50" s="40" t="n">
        <f aca="false">IF(OR(U50="",BV50=""),"",U50/BV50*100)</f>
        <v>91.6666666666667</v>
      </c>
      <c r="W50" s="41" t="n">
        <f aca="false">IF(V50="","",IFERROR(MATCH(V50,INDEX(Boundaries!$B$2:$I$30,MATCH(CJ50,Boundaries!$A$2:$A$30,0),0),1)-1,""))</f>
        <v>7</v>
      </c>
      <c r="X50" s="42" t="n">
        <f aca="false">IF(OR(W50="",$E50=""),"",W50-$E50)</f>
        <v>1.3</v>
      </c>
      <c r="Y50" s="39" t="n">
        <v>20</v>
      </c>
      <c r="Z50" s="40" t="n">
        <f aca="false">IF(OR(Y50="",BW50=""),"",Y50/BW50*100)</f>
        <v>80</v>
      </c>
      <c r="AA50" s="41" t="n">
        <f aca="false">IF(Z50="","",IFERROR(MATCH(Z50,INDEX(Boundaries!$B$2:$I$30,MATCH(CK50,Boundaries!$A$2:$A$30,0),0),1)-1,""))</f>
        <v>6</v>
      </c>
      <c r="AB50" s="42" t="n">
        <f aca="false">IF(OR(AA50="",$E50=""),"",AA50-$E50)</f>
        <v>0.3</v>
      </c>
      <c r="AC50" s="39" t="n">
        <v>7</v>
      </c>
      <c r="AD50" s="40" t="n">
        <f aca="false">IF(OR(AC50="",BX50=""),"",AC50/BX50*100)</f>
        <v>20</v>
      </c>
      <c r="AE50" s="41" t="n">
        <f aca="false">IF(AD50="","",IFERROR(MATCH(AD50,INDEX(Boundaries!$B$2:$I$30,MATCH(CL50,Boundaries!$A$2:$A$30,0),0),1)-1,""))</f>
        <v>1</v>
      </c>
      <c r="AF50" s="42" t="n">
        <f aca="false">IF(OR(AE50="",$E50=""),"",AE50-$E50)</f>
        <v>-4.7</v>
      </c>
      <c r="AG50" s="39" t="n">
        <v>43</v>
      </c>
      <c r="AH50" s="40" t="n">
        <f aca="false">IF(OR(AG50="",BY50=""),"",AG50/BY50*100)</f>
        <v>78.1818181818182</v>
      </c>
      <c r="AI50" s="41" t="n">
        <f aca="false">IF(AH50="","",IFERROR(MATCH(AH50,INDEX(Boundaries!$B$2:$I$30,MATCH(CM50,Boundaries!$A$2:$A$30,0),0),1)-1,""))</f>
        <v>6</v>
      </c>
      <c r="AJ50" s="42" t="n">
        <f aca="false">IF(OR(AI50="",$E50=""),"",AI50-$E50)</f>
        <v>0.3</v>
      </c>
      <c r="AK50" s="39"/>
      <c r="AL50" s="40" t="str">
        <f aca="false">IF(OR(AK50="",BZ50=""),"",AK50/BZ50*100)</f>
        <v/>
      </c>
      <c r="AM50" s="41" t="str">
        <f aca="false">IF(AL50="","",IFERROR(MATCH(AL50,INDEX(Boundaries!$B$2:$I$30,MATCH(CN50,Boundaries!$A$2:$A$30,0),0),1)-1,""))</f>
        <v/>
      </c>
      <c r="AN50" s="42" t="str">
        <f aca="false">IF(OR(AM50="",$E50=""),"",AM50-$E50)</f>
        <v/>
      </c>
      <c r="AO50" s="39"/>
      <c r="AP50" s="40" t="str">
        <f aca="false">IF(OR(AO50="",CA50=""),"",AO50/CA50*100)</f>
        <v/>
      </c>
      <c r="AQ50" s="41" t="str">
        <f aca="false">IF(AP50="","",IFERROR(MATCH(AP50,INDEX(Boundaries!$B$2:$I$30,MATCH(CO50,Boundaries!$A$2:$A$30,0),0),1)-1,""))</f>
        <v/>
      </c>
      <c r="AR50" s="42" t="str">
        <f aca="false">IF(OR(AQ50="",$E50=""),"",AQ50-$E50)</f>
        <v/>
      </c>
      <c r="AS50" s="39"/>
      <c r="AT50" s="40" t="str">
        <f aca="false">IF(OR(AS50="",CB50=""),"",AS50/CB50*100)</f>
        <v/>
      </c>
      <c r="AU50" s="41" t="str">
        <f aca="false">IF(AT50="","",IFERROR(MATCH(AT50,INDEX(Boundaries!$B$2:$I$30,MATCH(CP50,Boundaries!$A$2:$A$30,0),0),1)-1,""))</f>
        <v/>
      </c>
      <c r="AV50" s="42" t="str">
        <f aca="false">IF(OR(AU50="",$E50=""),"",AU50-$E50)</f>
        <v/>
      </c>
      <c r="AW50" s="39"/>
      <c r="AX50" s="40" t="str">
        <f aca="false">IF(OR(AW50="",CC50=""),"",AW50/CC50*100)</f>
        <v/>
      </c>
      <c r="AY50" s="41" t="str">
        <f aca="false">IF(AX50="","",IFERROR(MATCH(AX50,INDEX(Boundaries!$B$2:$I$30,MATCH(CQ50,Boundaries!$A$2:$A$30,0),0),1)-1,""))</f>
        <v/>
      </c>
      <c r="AZ50" s="42" t="str">
        <f aca="false">IF(OR(AY50="",$E50=""),"",AY50-$E50)</f>
        <v/>
      </c>
      <c r="BA50" s="39"/>
      <c r="BB50" s="40" t="str">
        <f aca="false">IF(OR(BA50="",CD50=""),"",BA50/CD50*100)</f>
        <v/>
      </c>
      <c r="BC50" s="41" t="str">
        <f aca="false">IF(BB50="","",IFERROR(MATCH(BB50,INDEX(Boundaries!$B$2:$I$30,MATCH(CR50,Boundaries!$A$2:$A$30,0),0),1)-1,""))</f>
        <v/>
      </c>
      <c r="BD50" s="42" t="str">
        <f aca="false">IF(OR(BC50="",$E50=""),"",BC50-$E50)</f>
        <v/>
      </c>
      <c r="BE50" s="39"/>
      <c r="BF50" s="40" t="str">
        <f aca="false">IF(OR(BE50="",CE50=""),"",BE50/CE50*100)</f>
        <v/>
      </c>
      <c r="BG50" s="41" t="str">
        <f aca="false">IF(BF50="","",IFERROR(MATCH(BF50,INDEX(Boundaries!$B$2:$I$30,MATCH(CS50,Boundaries!$A$2:$A$30,0),0),1)-1,""))</f>
        <v/>
      </c>
      <c r="BH50" s="42" t="str">
        <f aca="false">IF(OR(BG50="",$E50=""),"",BG50-$E50)</f>
        <v/>
      </c>
      <c r="BI50" s="39"/>
      <c r="BJ50" s="40" t="str">
        <f aca="false">IF(OR(BI50="",CF50=""),"",BI50/CF50*100)</f>
        <v/>
      </c>
      <c r="BK50" s="41" t="str">
        <f aca="false">IF(BJ50="","",IFERROR(MATCH(BJ50,INDEX(Boundaries!$B$2:$I$30,MATCH(CT50,Boundaries!$A$2:$A$30,0),0),1)-1,""))</f>
        <v/>
      </c>
      <c r="BL50" s="42" t="str">
        <f aca="false">IF(OR(BK50="",$E50=""),"",BK50-$E50)</f>
        <v/>
      </c>
      <c r="BM50" s="39"/>
      <c r="BN50" s="40" t="str">
        <f aca="false">IF(OR(BM50="",CG50=""),"",BM50/CG50*100)</f>
        <v/>
      </c>
      <c r="BO50" s="41" t="str">
        <f aca="false">IF(BN50="","",IFERROR(MATCH(BN50,INDEX(Boundaries!$B$2:$I$30,MATCH(CU50,Boundaries!$A$2:$A$30,0),0),1)-1,""))</f>
        <v/>
      </c>
      <c r="BP50" s="42" t="str">
        <f aca="false">IF(OR(BO50="",$E50=""),"",BO50-$E50)</f>
        <v/>
      </c>
      <c r="BQ50" s="39"/>
      <c r="BR50" s="40" t="str">
        <f aca="false">IF(OR(BQ50="",CH50=""),"",BQ50/CH50*100)</f>
        <v/>
      </c>
      <c r="BS50" s="41" t="str">
        <f aca="false">IF(BR50="","",IFERROR(MATCH(BR50,INDEX(Boundaries!$B$2:$I$30,MATCH(CV50,Boundaries!$A$2:$A$30,0),0),1)-1,""))</f>
        <v/>
      </c>
      <c r="BT50" s="42" t="str">
        <f aca="false">IF(OR(BS50="",$E50=""),"",BS50-$E50)</f>
        <v/>
      </c>
      <c r="BU50" s="28" t="n">
        <f aca="false">IFERROR(INDEX(Assessments!$H$2:$H$600,MATCH($H50&amp;"|"&amp;$I50&amp;"|"&amp;$J50&amp;"|"&amp;1,Assessments!$A$2:$A$600,0)),"")</f>
        <v>30</v>
      </c>
      <c r="BV50" s="28" t="n">
        <f aca="false">IFERROR(INDEX(Assessments!$H$2:$H$600,MATCH($H50&amp;"|"&amp;$I50&amp;"|"&amp;$J50&amp;"|"&amp;2,Assessments!$A$2:$A$600,0)),"")</f>
        <v>24</v>
      </c>
      <c r="BW50" s="28" t="n">
        <f aca="false">IFERROR(INDEX(Assessments!$H$2:$H$600,MATCH($H50&amp;"|"&amp;$I50&amp;"|"&amp;$J50&amp;"|"&amp;3,Assessments!$A$2:$A$600,0)),"")</f>
        <v>25</v>
      </c>
      <c r="BX50" s="28" t="n">
        <f aca="false">IFERROR(INDEX(Assessments!$H$2:$H$600,MATCH($H50&amp;"|"&amp;$I50&amp;"|"&amp;$J50&amp;"|"&amp;4,Assessments!$A$2:$A$600,0)),"")</f>
        <v>35</v>
      </c>
      <c r="BY50" s="28" t="n">
        <f aca="false">IFERROR(INDEX(Assessments!$H$2:$H$600,MATCH($H50&amp;"|"&amp;$I50&amp;"|"&amp;$J50&amp;"|"&amp;5,Assessments!$A$2:$A$600,0)),"")</f>
        <v>55</v>
      </c>
      <c r="BZ50" s="28" t="n">
        <f aca="false">IFERROR(INDEX(Assessments!$H$2:$H$600,MATCH($H50&amp;"|"&amp;$I50&amp;"|"&amp;$J50&amp;"|"&amp;6,Assessments!$A$2:$A$600,0)),"")</f>
        <v>30</v>
      </c>
      <c r="CA50" s="28" t="n">
        <f aca="false">IFERROR(INDEX(Assessments!$H$2:$H$600,MATCH($H50&amp;"|"&amp;$I50&amp;"|"&amp;$J50&amp;"|"&amp;7,Assessments!$A$2:$A$600,0)),"")</f>
        <v>95</v>
      </c>
      <c r="CB50" s="28" t="str">
        <f aca="false">IFERROR(INDEX(Assessments!$H$2:$H$600,MATCH($H50&amp;"|"&amp;$I50&amp;"|"&amp;$J50&amp;"|"&amp;8,Assessments!$A$2:$A$600,0)),"")</f>
        <v/>
      </c>
      <c r="CC50" s="28" t="str">
        <f aca="false">IFERROR(INDEX(Assessments!$H$2:$H$600,MATCH($H50&amp;"|"&amp;$I50&amp;"|"&amp;$J50&amp;"|"&amp;9,Assessments!$A$2:$A$600,0)),"")</f>
        <v/>
      </c>
      <c r="CD50" s="28" t="str">
        <f aca="false">IFERROR(INDEX(Assessments!$H$2:$H$600,MATCH($H50&amp;"|"&amp;$I50&amp;"|"&amp;$J50&amp;"|"&amp;10,Assessments!$A$2:$A$600,0)),"")</f>
        <v/>
      </c>
      <c r="CE50" s="28" t="str">
        <f aca="false">IFERROR(INDEX(Assessments!$H$2:$H$600,MATCH($H50&amp;"|"&amp;$I50&amp;"|"&amp;$J50&amp;"|"&amp;11,Assessments!$A$2:$A$600,0)),"")</f>
        <v/>
      </c>
      <c r="CF50" s="28" t="str">
        <f aca="false">IFERROR(INDEX(Assessments!$H$2:$H$600,MATCH($H50&amp;"|"&amp;$I50&amp;"|"&amp;$J50&amp;"|"&amp;12,Assessments!$A$2:$A$600,0)),"")</f>
        <v/>
      </c>
      <c r="CG50" s="28" t="str">
        <f aca="false">IFERROR(INDEX(Assessments!$H$2:$H$600,MATCH($H50&amp;"|"&amp;$I50&amp;"|"&amp;$J50&amp;"|"&amp;13,Assessments!$A$2:$A$600,0)),"")</f>
        <v/>
      </c>
      <c r="CH50" s="28" t="str">
        <f aca="false">IFERROR(INDEX(Assessments!$H$2:$H$600,MATCH($H50&amp;"|"&amp;$I50&amp;"|"&amp;$J50&amp;"|"&amp;14,Assessments!$A$2:$A$600,0)),"")</f>
        <v/>
      </c>
      <c r="CI50" s="28" t="str">
        <f aca="false">IFERROR(INDEX(Assessments!$I$2:$I$600,MATCH($H50&amp;"|"&amp;$I50&amp;"|"&amp;$J50&amp;"|"&amp;1,Assessments!$A$2:$A$600,0)),"")</f>
        <v>Econ Test</v>
      </c>
      <c r="CJ50" s="28" t="str">
        <f aca="false">IFERROR(INDEX(Assessments!$I$2:$I$600,MATCH($H50&amp;"|"&amp;$I50&amp;"|"&amp;$J50&amp;"|"&amp;2,Assessments!$A$2:$A$600,0)),"")</f>
        <v>Econ Test</v>
      </c>
      <c r="CK50" s="28" t="str">
        <f aca="false">IFERROR(INDEX(Assessments!$I$2:$I$600,MATCH($H50&amp;"|"&amp;$I50&amp;"|"&amp;$J50&amp;"|"&amp;3,Assessments!$A$2:$A$600,0)),"")</f>
        <v>Econ Test</v>
      </c>
      <c r="CL50" s="28" t="str">
        <f aca="false">IFERROR(INDEX(Assessments!$I$2:$I$600,MATCH($H50&amp;"|"&amp;$I50&amp;"|"&amp;$J50&amp;"|"&amp;4,Assessments!$A$2:$A$600,0)),"")</f>
        <v>Econ Test</v>
      </c>
      <c r="CM50" s="28" t="str">
        <f aca="false">IFERROR(INDEX(Assessments!$I$2:$I$600,MATCH($H50&amp;"|"&amp;$I50&amp;"|"&amp;$J50&amp;"|"&amp;5,Assessments!$A$2:$A$600,0)),"")</f>
        <v>Econ Exam</v>
      </c>
      <c r="CN50" s="28" t="str">
        <f aca="false">IFERROR(INDEX(Assessments!$I$2:$I$600,MATCH($H50&amp;"|"&amp;$I50&amp;"|"&amp;$J50&amp;"|"&amp;6,Assessments!$A$2:$A$600,0)),"")</f>
        <v>Econ Test</v>
      </c>
      <c r="CO50" s="28" t="str">
        <f aca="false">IFERROR(INDEX(Assessments!$I$2:$I$600,MATCH($H50&amp;"|"&amp;$I50&amp;"|"&amp;$J50&amp;"|"&amp;7,Assessments!$A$2:$A$600,0)),"")</f>
        <v>Econ Exam</v>
      </c>
      <c r="CP50" s="28" t="str">
        <f aca="false">IFERROR(INDEX(Assessments!$I$2:$I$600,MATCH($H50&amp;"|"&amp;$I50&amp;"|"&amp;$J50&amp;"|"&amp;8,Assessments!$A$2:$A$600,0)),"")</f>
        <v/>
      </c>
      <c r="CQ50" s="28" t="str">
        <f aca="false">IFERROR(INDEX(Assessments!$I$2:$I$600,MATCH($H50&amp;"|"&amp;$I50&amp;"|"&amp;$J50&amp;"|"&amp;9,Assessments!$A$2:$A$600,0)),"")</f>
        <v/>
      </c>
      <c r="CR50" s="28" t="str">
        <f aca="false">IFERROR(INDEX(Assessments!$I$2:$I$600,MATCH($H50&amp;"|"&amp;$I50&amp;"|"&amp;$J50&amp;"|"&amp;10,Assessments!$A$2:$A$600,0)),"")</f>
        <v/>
      </c>
      <c r="CS50" s="28" t="str">
        <f aca="false">IFERROR(INDEX(Assessments!$I$2:$I$600,MATCH($H50&amp;"|"&amp;$I50&amp;"|"&amp;$J50&amp;"|"&amp;11,Assessments!$A$2:$A$600,0)),"")</f>
        <v/>
      </c>
      <c r="CT50" s="28" t="str">
        <f aca="false">IFERROR(INDEX(Assessments!$I$2:$I$600,MATCH($H50&amp;"|"&amp;$I50&amp;"|"&amp;$J50&amp;"|"&amp;12,Assessments!$A$2:$A$600,0)),"")</f>
        <v/>
      </c>
      <c r="CU50" s="28" t="str">
        <f aca="false">IFERROR(INDEX(Assessments!$I$2:$I$600,MATCH($H50&amp;"|"&amp;$I50&amp;"|"&amp;$J50&amp;"|"&amp;13,Assessments!$A$2:$A$600,0)),"")</f>
        <v/>
      </c>
      <c r="CV50" s="28" t="str">
        <f aca="false">IFERROR(INDEX(Assessments!$I$2:$I$600,MATCH($H50&amp;"|"&amp;$I50&amp;"|"&amp;$J50&amp;"|"&amp;14,Assessments!$A$2:$A$600,0)),"")</f>
        <v/>
      </c>
      <c r="CW50" s="28" t="n">
        <f aca="false">IFERROR(INDEX(Assessments!$J$2:$J$600,MATCH($H50&amp;"|"&amp;$I50&amp;"|"&amp;$J50&amp;"|"&amp;1,Assessments!$A$2:$A$600,0)),0)</f>
        <v>1</v>
      </c>
      <c r="CX50" s="28" t="n">
        <f aca="false">IFERROR(INDEX(Assessments!$J$2:$J$600,MATCH($H50&amp;"|"&amp;$I50&amp;"|"&amp;$J50&amp;"|"&amp;2,Assessments!$A$2:$A$600,0)),0)</f>
        <v>1</v>
      </c>
      <c r="CY50" s="28" t="n">
        <f aca="false">IFERROR(INDEX(Assessments!$J$2:$J$600,MATCH($H50&amp;"|"&amp;$I50&amp;"|"&amp;$J50&amp;"|"&amp;3,Assessments!$A$2:$A$600,0)),0)</f>
        <v>1</v>
      </c>
      <c r="CZ50" s="28" t="n">
        <f aca="false">IFERROR(INDEX(Assessments!$J$2:$J$600,MATCH($H50&amp;"|"&amp;$I50&amp;"|"&amp;$J50&amp;"|"&amp;4,Assessments!$A$2:$A$600,0)),0)</f>
        <v>1</v>
      </c>
      <c r="DA50" s="28" t="n">
        <f aca="false">IFERROR(INDEX(Assessments!$J$2:$J$600,MATCH($H50&amp;"|"&amp;$I50&amp;"|"&amp;$J50&amp;"|"&amp;5,Assessments!$A$2:$A$600,0)),0)</f>
        <v>2</v>
      </c>
      <c r="DB50" s="28" t="n">
        <f aca="false">IFERROR(INDEX(Assessments!$J$2:$J$600,MATCH($H50&amp;"|"&amp;$I50&amp;"|"&amp;$J50&amp;"|"&amp;6,Assessments!$A$2:$A$600,0)),0)</f>
        <v>1</v>
      </c>
      <c r="DC50" s="28" t="n">
        <f aca="false">IFERROR(INDEX(Assessments!$J$2:$J$600,MATCH($H50&amp;"|"&amp;$I50&amp;"|"&amp;$J50&amp;"|"&amp;7,Assessments!$A$2:$A$600,0)),0)</f>
        <v>2</v>
      </c>
      <c r="DD50" s="28" t="n">
        <f aca="false">IFERROR(INDEX(Assessments!$J$2:$J$600,MATCH($H50&amp;"|"&amp;$I50&amp;"|"&amp;$J50&amp;"|"&amp;8,Assessments!$A$2:$A$600,0)),0)</f>
        <v>0</v>
      </c>
      <c r="DE50" s="28" t="n">
        <f aca="false">IFERROR(INDEX(Assessments!$J$2:$J$600,MATCH($H50&amp;"|"&amp;$I50&amp;"|"&amp;$J50&amp;"|"&amp;9,Assessments!$A$2:$A$600,0)),0)</f>
        <v>0</v>
      </c>
      <c r="DF50" s="28" t="n">
        <f aca="false">IFERROR(INDEX(Assessments!$J$2:$J$600,MATCH($H50&amp;"|"&amp;$I50&amp;"|"&amp;$J50&amp;"|"&amp;10,Assessments!$A$2:$A$600,0)),0)</f>
        <v>0</v>
      </c>
      <c r="DG50" s="28" t="n">
        <f aca="false">IFERROR(INDEX(Assessments!$J$2:$J$600,MATCH($H50&amp;"|"&amp;$I50&amp;"|"&amp;$J50&amp;"|"&amp;11,Assessments!$A$2:$A$600,0)),0)</f>
        <v>0</v>
      </c>
      <c r="DH50" s="28" t="n">
        <f aca="false">IFERROR(INDEX(Assessments!$J$2:$J$600,MATCH($H50&amp;"|"&amp;$I50&amp;"|"&amp;$J50&amp;"|"&amp;12,Assessments!$A$2:$A$600,0)),0)</f>
        <v>0</v>
      </c>
      <c r="DI50" s="28" t="n">
        <f aca="false">IFERROR(INDEX(Assessments!$J$2:$J$600,MATCH($H50&amp;"|"&amp;$I50&amp;"|"&amp;$J50&amp;"|"&amp;13,Assessments!$A$2:$A$600,0)),0)</f>
        <v>0</v>
      </c>
      <c r="DJ50" s="28" t="n">
        <f aca="false">IFERROR(INDEX(Assessments!$J$2:$J$600,MATCH($H50&amp;"|"&amp;$I50&amp;"|"&amp;$J50&amp;"|"&amp;14,Assessments!$A$2:$A$600,0)),0)</f>
        <v>0</v>
      </c>
      <c r="DK50" s="28" t="n">
        <f aca="false">S50</f>
        <v>7</v>
      </c>
      <c r="DL50" s="28" t="n">
        <f aca="false">W50</f>
        <v>7</v>
      </c>
      <c r="DM50" s="28" t="n">
        <f aca="false">AA50</f>
        <v>6</v>
      </c>
      <c r="DN50" s="28" t="n">
        <f aca="false">AE50</f>
        <v>1</v>
      </c>
      <c r="DO50" s="28" t="n">
        <f aca="false">AI50</f>
        <v>6</v>
      </c>
      <c r="DP50" s="28" t="str">
        <f aca="false">AM50</f>
        <v/>
      </c>
      <c r="DQ50" s="28" t="str">
        <f aca="false">AQ50</f>
        <v/>
      </c>
      <c r="DR50" s="28" t="str">
        <f aca="false">AU50</f>
        <v/>
      </c>
      <c r="DS50" s="28" t="str">
        <f aca="false">AY50</f>
        <v/>
      </c>
      <c r="DT50" s="28" t="str">
        <f aca="false">BC50</f>
        <v/>
      </c>
      <c r="DU50" s="28" t="str">
        <f aca="false">BG50</f>
        <v/>
      </c>
      <c r="DV50" s="28" t="str">
        <f aca="false">BK50</f>
        <v/>
      </c>
      <c r="DW50" s="28" t="str">
        <f aca="false">BO50</f>
        <v/>
      </c>
      <c r="DX50" s="28" t="str">
        <f aca="false">BS50</f>
        <v/>
      </c>
      <c r="DY50" s="28" t="n">
        <f aca="false">IF(ISNUMBER(S50),1,"")</f>
        <v>1</v>
      </c>
      <c r="DZ50" s="28" t="n">
        <f aca="false">IF(ISNUMBER(W50),2,"")</f>
        <v>2</v>
      </c>
      <c r="EA50" s="28" t="n">
        <f aca="false">IF(ISNUMBER(AA50),3,"")</f>
        <v>3</v>
      </c>
      <c r="EB50" s="28" t="n">
        <f aca="false">IF(ISNUMBER(AE50),4,"")</f>
        <v>4</v>
      </c>
      <c r="EC50" s="28" t="n">
        <f aca="false">IF(ISNUMBER(AI50),5,"")</f>
        <v>5</v>
      </c>
      <c r="ED50" s="28" t="str">
        <f aca="false">IF(ISNUMBER(AM50),6,"")</f>
        <v/>
      </c>
      <c r="EE50" s="28" t="str">
        <f aca="false">IF(ISNUMBER(AQ50),7,"")</f>
        <v/>
      </c>
      <c r="EF50" s="28" t="str">
        <f aca="false">IF(ISNUMBER(AU50),8,"")</f>
        <v/>
      </c>
      <c r="EG50" s="28" t="str">
        <f aca="false">IF(ISNUMBER(AY50),9,"")</f>
        <v/>
      </c>
      <c r="EH50" s="28" t="str">
        <f aca="false">IF(ISNUMBER(BC50),10,"")</f>
        <v/>
      </c>
      <c r="EI50" s="28" t="str">
        <f aca="false">IF(ISNUMBER(BG50),11,"")</f>
        <v/>
      </c>
      <c r="EJ50" s="28" t="str">
        <f aca="false">IF(ISNUMBER(BK50),12,"")</f>
        <v/>
      </c>
      <c r="EK50" s="28" t="str">
        <f aca="false">IF(ISNUMBER(BO50),13,"")</f>
        <v/>
      </c>
      <c r="EL50" s="28" t="str">
        <f aca="false">IF(ISNUMBER(BS50),14,"")</f>
        <v/>
      </c>
      <c r="EM50" s="28" t="n">
        <f aca="false">IF(ISNUMBER(R50),R50*CW50,0)</f>
        <v>90</v>
      </c>
      <c r="EN50" s="28" t="n">
        <f aca="false">IF(ISNUMBER(V50),V50*CX50,0)</f>
        <v>91.6666666666667</v>
      </c>
      <c r="EO50" s="28" t="n">
        <f aca="false">IF(ISNUMBER(Z50),Z50*CY50,0)</f>
        <v>80</v>
      </c>
      <c r="EP50" s="28" t="n">
        <f aca="false">IF(ISNUMBER(AD50),AD50*CZ50,0)</f>
        <v>20</v>
      </c>
      <c r="EQ50" s="28" t="n">
        <f aca="false">IF(ISNUMBER(AH50),AH50*DA50,0)</f>
        <v>156.363636363636</v>
      </c>
      <c r="ER50" s="28" t="n">
        <f aca="false">IF(ISNUMBER(AL50),AL50*DB50,0)</f>
        <v>0</v>
      </c>
      <c r="ES50" s="28" t="n">
        <f aca="false">IF(ISNUMBER(AP50),AP50*DC50,0)</f>
        <v>0</v>
      </c>
      <c r="ET50" s="28" t="n">
        <f aca="false">IF(ISNUMBER(AT50),AT50*DD50,0)</f>
        <v>0</v>
      </c>
      <c r="EU50" s="28" t="n">
        <f aca="false">IF(ISNUMBER(AX50),AX50*DE50,0)</f>
        <v>0</v>
      </c>
      <c r="EV50" s="28" t="n">
        <f aca="false">IF(ISNUMBER(BB50),BB50*DF50,0)</f>
        <v>0</v>
      </c>
      <c r="EW50" s="28" t="n">
        <f aca="false">IF(ISNUMBER(BF50),BF50*DG50,0)</f>
        <v>0</v>
      </c>
      <c r="EX50" s="28" t="n">
        <f aca="false">IF(ISNUMBER(BJ50),BJ50*DH50,0)</f>
        <v>0</v>
      </c>
      <c r="EY50" s="28" t="n">
        <f aca="false">IF(ISNUMBER(BN50),BN50*DI50,0)</f>
        <v>0</v>
      </c>
      <c r="EZ50" s="28" t="n">
        <f aca="false">IF(ISNUMBER(BR50),BR50*DJ50,0)</f>
        <v>0</v>
      </c>
      <c r="FA50" s="28" t="n">
        <f aca="false">IF(ISNUMBER(R50),CW50,0)</f>
        <v>1</v>
      </c>
      <c r="FB50" s="28" t="n">
        <f aca="false">IF(ISNUMBER(V50),CX50,0)</f>
        <v>1</v>
      </c>
      <c r="FC50" s="28" t="n">
        <f aca="false">IF(ISNUMBER(Z50),CY50,0)</f>
        <v>1</v>
      </c>
      <c r="FD50" s="28" t="n">
        <f aca="false">IF(ISNUMBER(AD50),CZ50,0)</f>
        <v>1</v>
      </c>
      <c r="FE50" s="28" t="n">
        <f aca="false">IF(ISNUMBER(AH50),DA50,0)</f>
        <v>2</v>
      </c>
      <c r="FF50" s="28" t="n">
        <f aca="false">IF(ISNUMBER(AL50),DB50,0)</f>
        <v>0</v>
      </c>
      <c r="FG50" s="28" t="n">
        <f aca="false">IF(ISNUMBER(AP50),DC50,0)</f>
        <v>0</v>
      </c>
      <c r="FH50" s="28" t="n">
        <f aca="false">IF(ISNUMBER(AT50),DD50,0)</f>
        <v>0</v>
      </c>
      <c r="FI50" s="28" t="n">
        <f aca="false">IF(ISNUMBER(AX50),DE50,0)</f>
        <v>0</v>
      </c>
      <c r="FJ50" s="28" t="n">
        <f aca="false">IF(ISNUMBER(BB50),DF50,0)</f>
        <v>0</v>
      </c>
      <c r="FK50" s="28" t="n">
        <f aca="false">IF(ISNUMBER(BF50),DG50,0)</f>
        <v>0</v>
      </c>
      <c r="FL50" s="28" t="n">
        <f aca="false">IF(ISNUMBER(BJ50),DH50,0)</f>
        <v>0</v>
      </c>
      <c r="FM50" s="28" t="n">
        <f aca="false">IF(ISNUMBER(BN50),DI50,0)</f>
        <v>0</v>
      </c>
      <c r="FN50" s="28" t="n">
        <f aca="false">IF(ISNUMBER(BR50),DJ50,0)</f>
        <v>0</v>
      </c>
      <c r="FO50" s="28" t="str">
        <f aca="false">IFERROR(INDEX(Lists!$G$2:$G$20,MATCH($I50&amp;"|"&amp;$J50,Lists!$F$2:$F$20,0)),"")</f>
        <v>Econ Exam</v>
      </c>
    </row>
    <row r="51" customFormat="false" ht="19.5" hidden="false" customHeight="true" outlineLevel="0" collapsed="false">
      <c r="A51" s="29" t="s">
        <v>236</v>
      </c>
      <c r="B51" s="29" t="s">
        <v>237</v>
      </c>
      <c r="C51" s="30" t="s">
        <v>152</v>
      </c>
      <c r="D51" s="30" t="s">
        <v>228</v>
      </c>
      <c r="E51" s="31" t="n">
        <v>6.2</v>
      </c>
      <c r="F51" s="30" t="n">
        <v>7</v>
      </c>
      <c r="G51" s="30"/>
      <c r="H51" s="32" t="s">
        <v>23</v>
      </c>
      <c r="I51" s="33" t="s">
        <v>229</v>
      </c>
      <c r="J51" s="32" t="s">
        <v>25</v>
      </c>
      <c r="K51" s="34" t="n">
        <f aca="false">IF(OR(M51="",$E51=""),"",M51-$E51)</f>
        <v>-0.2</v>
      </c>
      <c r="L51" s="35" t="n">
        <f aca="false">IF(SUM(FA51:FN51)=0,"",SUM(EM51:EZ51)/SUM(FA51:FN51))</f>
        <v>71.0198412698413</v>
      </c>
      <c r="M51" s="36" t="n">
        <f aca="false">IF(OR(L51="",FO51=""),"",IFERROR(MATCH(L51,INDEX(Boundaries!$B$2:$I$30,MATCH(FO51,Boundaries!$A$2:$A$30,0),0),1)-1,""))</f>
        <v>6</v>
      </c>
      <c r="N51" s="37" t="n">
        <f aca="false">IF(COUNT($DY51:$EL51)&lt;2,"",INDEX($DK51:$DX51,MAX($DY51:$EL51))-INDEX($DK51:$DX51,MIN($DY51:$EL51)))</f>
        <v>2</v>
      </c>
      <c r="O51" s="37" t="n">
        <f aca="false">IF(COUNT($DY51:$EL51)&lt;2,"",INDEX($DK51:$DX51,MAX($DY51:$EL51))-INDEX($DK51:$DX51,LARGE($DY51:$EL51,2)))</f>
        <v>3</v>
      </c>
      <c r="P51" s="38" t="str">
        <f aca="false">IF(K51="","",IF(K51&gt;=0,"On/above target",IF(AND(N51&lt;&gt;"",N51&gt;=0.5),"Improving towards target",IF(AND(O51&lt;&gt;"",O51&lt;=-0.5),"Declining","Stable below target"))))</f>
        <v>Improving towards target</v>
      </c>
      <c r="Q51" s="39" t="n">
        <v>22</v>
      </c>
      <c r="R51" s="40" t="n">
        <f aca="false">IF(OR(Q51="",BU51=""),"",Q51/BU51*100)</f>
        <v>73.3333333333333</v>
      </c>
      <c r="S51" s="41" t="n">
        <f aca="false">IF(R51="","",IFERROR(MATCH(R51,INDEX(Boundaries!$B$2:$I$30,MATCH(CI51,Boundaries!$A$2:$A$30,0),0),1)-1,""))</f>
        <v>5</v>
      </c>
      <c r="T51" s="42" t="n">
        <f aca="false">IF(OR(S51="",$E51=""),"",S51-$E51)</f>
        <v>-1.2</v>
      </c>
      <c r="U51" s="39" t="n">
        <v>15</v>
      </c>
      <c r="V51" s="40" t="n">
        <f aca="false">IF(OR(U51="",BV51=""),"",U51/BV51*100)</f>
        <v>62.5</v>
      </c>
      <c r="W51" s="41" t="n">
        <f aca="false">IF(V51="","",IFERROR(MATCH(V51,INDEX(Boundaries!$B$2:$I$30,MATCH(CJ51,Boundaries!$A$2:$A$30,0),0),1)-1,""))</f>
        <v>4</v>
      </c>
      <c r="X51" s="42" t="n">
        <f aca="false">IF(OR(W51="",$E51=""),"",W51-$E51)</f>
        <v>-2.2</v>
      </c>
      <c r="Y51" s="39" t="n">
        <v>19</v>
      </c>
      <c r="Z51" s="40" t="n">
        <f aca="false">IF(OR(Y51="",BW51=""),"",Y51/BW51*100)</f>
        <v>76</v>
      </c>
      <c r="AA51" s="41" t="n">
        <f aca="false">IF(Z51="","",IFERROR(MATCH(Z51,INDEX(Boundaries!$B$2:$I$30,MATCH(CK51,Boundaries!$A$2:$A$30,0),0),1)-1,""))</f>
        <v>6</v>
      </c>
      <c r="AB51" s="42" t="n">
        <f aca="false">IF(OR(AA51="",$E51=""),"",AA51-$E51)</f>
        <v>-0.2</v>
      </c>
      <c r="AC51" s="39" t="n">
        <v>19</v>
      </c>
      <c r="AD51" s="40" t="n">
        <f aca="false">IF(OR(AC51="",BX51=""),"",AC51/BX51*100)</f>
        <v>54.2857142857143</v>
      </c>
      <c r="AE51" s="41" t="n">
        <f aca="false">IF(AD51="","",IFERROR(MATCH(AD51,INDEX(Boundaries!$B$2:$I$30,MATCH(CL51,Boundaries!$A$2:$A$30,0),0),1)-1,""))</f>
        <v>4</v>
      </c>
      <c r="AF51" s="42" t="n">
        <f aca="false">IF(OR(AE51="",$E51=""),"",AE51-$E51)</f>
        <v>-2.2</v>
      </c>
      <c r="AG51" s="39" t="n">
        <v>44</v>
      </c>
      <c r="AH51" s="40" t="n">
        <f aca="false">IF(OR(AG51="",BY51=""),"",AG51/BY51*100)</f>
        <v>80</v>
      </c>
      <c r="AI51" s="41" t="n">
        <f aca="false">IF(AH51="","",IFERROR(MATCH(AH51,INDEX(Boundaries!$B$2:$I$30,MATCH(CM51,Boundaries!$A$2:$A$30,0),0),1)-1,""))</f>
        <v>7</v>
      </c>
      <c r="AJ51" s="42" t="n">
        <f aca="false">IF(OR(AI51="",$E51=""),"",AI51-$E51)</f>
        <v>0.8</v>
      </c>
      <c r="AK51" s="39"/>
      <c r="AL51" s="40" t="str">
        <f aca="false">IF(OR(AK51="",BZ51=""),"",AK51/BZ51*100)</f>
        <v/>
      </c>
      <c r="AM51" s="41" t="str">
        <f aca="false">IF(AL51="","",IFERROR(MATCH(AL51,INDEX(Boundaries!$B$2:$I$30,MATCH(CN51,Boundaries!$A$2:$A$30,0),0),1)-1,""))</f>
        <v/>
      </c>
      <c r="AN51" s="42" t="str">
        <f aca="false">IF(OR(AM51="",$E51=""),"",AM51-$E51)</f>
        <v/>
      </c>
      <c r="AO51" s="39"/>
      <c r="AP51" s="40" t="str">
        <f aca="false">IF(OR(AO51="",CA51=""),"",AO51/CA51*100)</f>
        <v/>
      </c>
      <c r="AQ51" s="41" t="str">
        <f aca="false">IF(AP51="","",IFERROR(MATCH(AP51,INDEX(Boundaries!$B$2:$I$30,MATCH(CO51,Boundaries!$A$2:$A$30,0),0),1)-1,""))</f>
        <v/>
      </c>
      <c r="AR51" s="42" t="str">
        <f aca="false">IF(OR(AQ51="",$E51=""),"",AQ51-$E51)</f>
        <v/>
      </c>
      <c r="AS51" s="39"/>
      <c r="AT51" s="40" t="str">
        <f aca="false">IF(OR(AS51="",CB51=""),"",AS51/CB51*100)</f>
        <v/>
      </c>
      <c r="AU51" s="41" t="str">
        <f aca="false">IF(AT51="","",IFERROR(MATCH(AT51,INDEX(Boundaries!$B$2:$I$30,MATCH(CP51,Boundaries!$A$2:$A$30,0),0),1)-1,""))</f>
        <v/>
      </c>
      <c r="AV51" s="42" t="str">
        <f aca="false">IF(OR(AU51="",$E51=""),"",AU51-$E51)</f>
        <v/>
      </c>
      <c r="AW51" s="39"/>
      <c r="AX51" s="40" t="str">
        <f aca="false">IF(OR(AW51="",CC51=""),"",AW51/CC51*100)</f>
        <v/>
      </c>
      <c r="AY51" s="41" t="str">
        <f aca="false">IF(AX51="","",IFERROR(MATCH(AX51,INDEX(Boundaries!$B$2:$I$30,MATCH(CQ51,Boundaries!$A$2:$A$30,0),0),1)-1,""))</f>
        <v/>
      </c>
      <c r="AZ51" s="42" t="str">
        <f aca="false">IF(OR(AY51="",$E51=""),"",AY51-$E51)</f>
        <v/>
      </c>
      <c r="BA51" s="39"/>
      <c r="BB51" s="40" t="str">
        <f aca="false">IF(OR(BA51="",CD51=""),"",BA51/CD51*100)</f>
        <v/>
      </c>
      <c r="BC51" s="41" t="str">
        <f aca="false">IF(BB51="","",IFERROR(MATCH(BB51,INDEX(Boundaries!$B$2:$I$30,MATCH(CR51,Boundaries!$A$2:$A$30,0),0),1)-1,""))</f>
        <v/>
      </c>
      <c r="BD51" s="42" t="str">
        <f aca="false">IF(OR(BC51="",$E51=""),"",BC51-$E51)</f>
        <v/>
      </c>
      <c r="BE51" s="39"/>
      <c r="BF51" s="40" t="str">
        <f aca="false">IF(OR(BE51="",CE51=""),"",BE51/CE51*100)</f>
        <v/>
      </c>
      <c r="BG51" s="41" t="str">
        <f aca="false">IF(BF51="","",IFERROR(MATCH(BF51,INDEX(Boundaries!$B$2:$I$30,MATCH(CS51,Boundaries!$A$2:$A$30,0),0),1)-1,""))</f>
        <v/>
      </c>
      <c r="BH51" s="42" t="str">
        <f aca="false">IF(OR(BG51="",$E51=""),"",BG51-$E51)</f>
        <v/>
      </c>
      <c r="BI51" s="39"/>
      <c r="BJ51" s="40" t="str">
        <f aca="false">IF(OR(BI51="",CF51=""),"",BI51/CF51*100)</f>
        <v/>
      </c>
      <c r="BK51" s="41" t="str">
        <f aca="false">IF(BJ51="","",IFERROR(MATCH(BJ51,INDEX(Boundaries!$B$2:$I$30,MATCH(CT51,Boundaries!$A$2:$A$30,0),0),1)-1,""))</f>
        <v/>
      </c>
      <c r="BL51" s="42" t="str">
        <f aca="false">IF(OR(BK51="",$E51=""),"",BK51-$E51)</f>
        <v/>
      </c>
      <c r="BM51" s="39"/>
      <c r="BN51" s="40" t="str">
        <f aca="false">IF(OR(BM51="",CG51=""),"",BM51/CG51*100)</f>
        <v/>
      </c>
      <c r="BO51" s="41" t="str">
        <f aca="false">IF(BN51="","",IFERROR(MATCH(BN51,INDEX(Boundaries!$B$2:$I$30,MATCH(CU51,Boundaries!$A$2:$A$30,0),0),1)-1,""))</f>
        <v/>
      </c>
      <c r="BP51" s="42" t="str">
        <f aca="false">IF(OR(BO51="",$E51=""),"",BO51-$E51)</f>
        <v/>
      </c>
      <c r="BQ51" s="39"/>
      <c r="BR51" s="40" t="str">
        <f aca="false">IF(OR(BQ51="",CH51=""),"",BQ51/CH51*100)</f>
        <v/>
      </c>
      <c r="BS51" s="41" t="str">
        <f aca="false">IF(BR51="","",IFERROR(MATCH(BR51,INDEX(Boundaries!$B$2:$I$30,MATCH(CV51,Boundaries!$A$2:$A$30,0),0),1)-1,""))</f>
        <v/>
      </c>
      <c r="BT51" s="42" t="str">
        <f aca="false">IF(OR(BS51="",$E51=""),"",BS51-$E51)</f>
        <v/>
      </c>
      <c r="BU51" s="28" t="n">
        <f aca="false">IFERROR(INDEX(Assessments!$H$2:$H$600,MATCH($H51&amp;"|"&amp;$I51&amp;"|"&amp;$J51&amp;"|"&amp;1,Assessments!$A$2:$A$600,0)),"")</f>
        <v>30</v>
      </c>
      <c r="BV51" s="28" t="n">
        <f aca="false">IFERROR(INDEX(Assessments!$H$2:$H$600,MATCH($H51&amp;"|"&amp;$I51&amp;"|"&amp;$J51&amp;"|"&amp;2,Assessments!$A$2:$A$600,0)),"")</f>
        <v>24</v>
      </c>
      <c r="BW51" s="28" t="n">
        <f aca="false">IFERROR(INDEX(Assessments!$H$2:$H$600,MATCH($H51&amp;"|"&amp;$I51&amp;"|"&amp;$J51&amp;"|"&amp;3,Assessments!$A$2:$A$600,0)),"")</f>
        <v>25</v>
      </c>
      <c r="BX51" s="28" t="n">
        <f aca="false">IFERROR(INDEX(Assessments!$H$2:$H$600,MATCH($H51&amp;"|"&amp;$I51&amp;"|"&amp;$J51&amp;"|"&amp;4,Assessments!$A$2:$A$600,0)),"")</f>
        <v>35</v>
      </c>
      <c r="BY51" s="28" t="n">
        <f aca="false">IFERROR(INDEX(Assessments!$H$2:$H$600,MATCH($H51&amp;"|"&amp;$I51&amp;"|"&amp;$J51&amp;"|"&amp;5,Assessments!$A$2:$A$600,0)),"")</f>
        <v>55</v>
      </c>
      <c r="BZ51" s="28" t="n">
        <f aca="false">IFERROR(INDEX(Assessments!$H$2:$H$600,MATCH($H51&amp;"|"&amp;$I51&amp;"|"&amp;$J51&amp;"|"&amp;6,Assessments!$A$2:$A$600,0)),"")</f>
        <v>30</v>
      </c>
      <c r="CA51" s="28" t="n">
        <f aca="false">IFERROR(INDEX(Assessments!$H$2:$H$600,MATCH($H51&amp;"|"&amp;$I51&amp;"|"&amp;$J51&amp;"|"&amp;7,Assessments!$A$2:$A$600,0)),"")</f>
        <v>95</v>
      </c>
      <c r="CB51" s="28" t="str">
        <f aca="false">IFERROR(INDEX(Assessments!$H$2:$H$600,MATCH($H51&amp;"|"&amp;$I51&amp;"|"&amp;$J51&amp;"|"&amp;8,Assessments!$A$2:$A$600,0)),"")</f>
        <v/>
      </c>
      <c r="CC51" s="28" t="str">
        <f aca="false">IFERROR(INDEX(Assessments!$H$2:$H$600,MATCH($H51&amp;"|"&amp;$I51&amp;"|"&amp;$J51&amp;"|"&amp;9,Assessments!$A$2:$A$600,0)),"")</f>
        <v/>
      </c>
      <c r="CD51" s="28" t="str">
        <f aca="false">IFERROR(INDEX(Assessments!$H$2:$H$600,MATCH($H51&amp;"|"&amp;$I51&amp;"|"&amp;$J51&amp;"|"&amp;10,Assessments!$A$2:$A$600,0)),"")</f>
        <v/>
      </c>
      <c r="CE51" s="28" t="str">
        <f aca="false">IFERROR(INDEX(Assessments!$H$2:$H$600,MATCH($H51&amp;"|"&amp;$I51&amp;"|"&amp;$J51&amp;"|"&amp;11,Assessments!$A$2:$A$600,0)),"")</f>
        <v/>
      </c>
      <c r="CF51" s="28" t="str">
        <f aca="false">IFERROR(INDEX(Assessments!$H$2:$H$600,MATCH($H51&amp;"|"&amp;$I51&amp;"|"&amp;$J51&amp;"|"&amp;12,Assessments!$A$2:$A$600,0)),"")</f>
        <v/>
      </c>
      <c r="CG51" s="28" t="str">
        <f aca="false">IFERROR(INDEX(Assessments!$H$2:$H$600,MATCH($H51&amp;"|"&amp;$I51&amp;"|"&amp;$J51&amp;"|"&amp;13,Assessments!$A$2:$A$600,0)),"")</f>
        <v/>
      </c>
      <c r="CH51" s="28" t="str">
        <f aca="false">IFERROR(INDEX(Assessments!$H$2:$H$600,MATCH($H51&amp;"|"&amp;$I51&amp;"|"&amp;$J51&amp;"|"&amp;14,Assessments!$A$2:$A$600,0)),"")</f>
        <v/>
      </c>
      <c r="CI51" s="28" t="str">
        <f aca="false">IFERROR(INDEX(Assessments!$I$2:$I$600,MATCH($H51&amp;"|"&amp;$I51&amp;"|"&amp;$J51&amp;"|"&amp;1,Assessments!$A$2:$A$600,0)),"")</f>
        <v>Econ Test</v>
      </c>
      <c r="CJ51" s="28" t="str">
        <f aca="false">IFERROR(INDEX(Assessments!$I$2:$I$600,MATCH($H51&amp;"|"&amp;$I51&amp;"|"&amp;$J51&amp;"|"&amp;2,Assessments!$A$2:$A$600,0)),"")</f>
        <v>Econ Test</v>
      </c>
      <c r="CK51" s="28" t="str">
        <f aca="false">IFERROR(INDEX(Assessments!$I$2:$I$600,MATCH($H51&amp;"|"&amp;$I51&amp;"|"&amp;$J51&amp;"|"&amp;3,Assessments!$A$2:$A$600,0)),"")</f>
        <v>Econ Test</v>
      </c>
      <c r="CL51" s="28" t="str">
        <f aca="false">IFERROR(INDEX(Assessments!$I$2:$I$600,MATCH($H51&amp;"|"&amp;$I51&amp;"|"&amp;$J51&amp;"|"&amp;4,Assessments!$A$2:$A$600,0)),"")</f>
        <v>Econ Test</v>
      </c>
      <c r="CM51" s="28" t="str">
        <f aca="false">IFERROR(INDEX(Assessments!$I$2:$I$600,MATCH($H51&amp;"|"&amp;$I51&amp;"|"&amp;$J51&amp;"|"&amp;5,Assessments!$A$2:$A$600,0)),"")</f>
        <v>Econ Exam</v>
      </c>
      <c r="CN51" s="28" t="str">
        <f aca="false">IFERROR(INDEX(Assessments!$I$2:$I$600,MATCH($H51&amp;"|"&amp;$I51&amp;"|"&amp;$J51&amp;"|"&amp;6,Assessments!$A$2:$A$600,0)),"")</f>
        <v>Econ Test</v>
      </c>
      <c r="CO51" s="28" t="str">
        <f aca="false">IFERROR(INDEX(Assessments!$I$2:$I$600,MATCH($H51&amp;"|"&amp;$I51&amp;"|"&amp;$J51&amp;"|"&amp;7,Assessments!$A$2:$A$600,0)),"")</f>
        <v>Econ Exam</v>
      </c>
      <c r="CP51" s="28" t="str">
        <f aca="false">IFERROR(INDEX(Assessments!$I$2:$I$600,MATCH($H51&amp;"|"&amp;$I51&amp;"|"&amp;$J51&amp;"|"&amp;8,Assessments!$A$2:$A$600,0)),"")</f>
        <v/>
      </c>
      <c r="CQ51" s="28" t="str">
        <f aca="false">IFERROR(INDEX(Assessments!$I$2:$I$600,MATCH($H51&amp;"|"&amp;$I51&amp;"|"&amp;$J51&amp;"|"&amp;9,Assessments!$A$2:$A$600,0)),"")</f>
        <v/>
      </c>
      <c r="CR51" s="28" t="str">
        <f aca="false">IFERROR(INDEX(Assessments!$I$2:$I$600,MATCH($H51&amp;"|"&amp;$I51&amp;"|"&amp;$J51&amp;"|"&amp;10,Assessments!$A$2:$A$600,0)),"")</f>
        <v/>
      </c>
      <c r="CS51" s="28" t="str">
        <f aca="false">IFERROR(INDEX(Assessments!$I$2:$I$600,MATCH($H51&amp;"|"&amp;$I51&amp;"|"&amp;$J51&amp;"|"&amp;11,Assessments!$A$2:$A$600,0)),"")</f>
        <v/>
      </c>
      <c r="CT51" s="28" t="str">
        <f aca="false">IFERROR(INDEX(Assessments!$I$2:$I$600,MATCH($H51&amp;"|"&amp;$I51&amp;"|"&amp;$J51&amp;"|"&amp;12,Assessments!$A$2:$A$600,0)),"")</f>
        <v/>
      </c>
      <c r="CU51" s="28" t="str">
        <f aca="false">IFERROR(INDEX(Assessments!$I$2:$I$600,MATCH($H51&amp;"|"&amp;$I51&amp;"|"&amp;$J51&amp;"|"&amp;13,Assessments!$A$2:$A$600,0)),"")</f>
        <v/>
      </c>
      <c r="CV51" s="28" t="str">
        <f aca="false">IFERROR(INDEX(Assessments!$I$2:$I$600,MATCH($H51&amp;"|"&amp;$I51&amp;"|"&amp;$J51&amp;"|"&amp;14,Assessments!$A$2:$A$600,0)),"")</f>
        <v/>
      </c>
      <c r="CW51" s="28" t="n">
        <f aca="false">IFERROR(INDEX(Assessments!$J$2:$J$600,MATCH($H51&amp;"|"&amp;$I51&amp;"|"&amp;$J51&amp;"|"&amp;1,Assessments!$A$2:$A$600,0)),0)</f>
        <v>1</v>
      </c>
      <c r="CX51" s="28" t="n">
        <f aca="false">IFERROR(INDEX(Assessments!$J$2:$J$600,MATCH($H51&amp;"|"&amp;$I51&amp;"|"&amp;$J51&amp;"|"&amp;2,Assessments!$A$2:$A$600,0)),0)</f>
        <v>1</v>
      </c>
      <c r="CY51" s="28" t="n">
        <f aca="false">IFERROR(INDEX(Assessments!$J$2:$J$600,MATCH($H51&amp;"|"&amp;$I51&amp;"|"&amp;$J51&amp;"|"&amp;3,Assessments!$A$2:$A$600,0)),0)</f>
        <v>1</v>
      </c>
      <c r="CZ51" s="28" t="n">
        <f aca="false">IFERROR(INDEX(Assessments!$J$2:$J$600,MATCH($H51&amp;"|"&amp;$I51&amp;"|"&amp;$J51&amp;"|"&amp;4,Assessments!$A$2:$A$600,0)),0)</f>
        <v>1</v>
      </c>
      <c r="DA51" s="28" t="n">
        <f aca="false">IFERROR(INDEX(Assessments!$J$2:$J$600,MATCH($H51&amp;"|"&amp;$I51&amp;"|"&amp;$J51&amp;"|"&amp;5,Assessments!$A$2:$A$600,0)),0)</f>
        <v>2</v>
      </c>
      <c r="DB51" s="28" t="n">
        <f aca="false">IFERROR(INDEX(Assessments!$J$2:$J$600,MATCH($H51&amp;"|"&amp;$I51&amp;"|"&amp;$J51&amp;"|"&amp;6,Assessments!$A$2:$A$600,0)),0)</f>
        <v>1</v>
      </c>
      <c r="DC51" s="28" t="n">
        <f aca="false">IFERROR(INDEX(Assessments!$J$2:$J$600,MATCH($H51&amp;"|"&amp;$I51&amp;"|"&amp;$J51&amp;"|"&amp;7,Assessments!$A$2:$A$600,0)),0)</f>
        <v>2</v>
      </c>
      <c r="DD51" s="28" t="n">
        <f aca="false">IFERROR(INDEX(Assessments!$J$2:$J$600,MATCH($H51&amp;"|"&amp;$I51&amp;"|"&amp;$J51&amp;"|"&amp;8,Assessments!$A$2:$A$600,0)),0)</f>
        <v>0</v>
      </c>
      <c r="DE51" s="28" t="n">
        <f aca="false">IFERROR(INDEX(Assessments!$J$2:$J$600,MATCH($H51&amp;"|"&amp;$I51&amp;"|"&amp;$J51&amp;"|"&amp;9,Assessments!$A$2:$A$600,0)),0)</f>
        <v>0</v>
      </c>
      <c r="DF51" s="28" t="n">
        <f aca="false">IFERROR(INDEX(Assessments!$J$2:$J$600,MATCH($H51&amp;"|"&amp;$I51&amp;"|"&amp;$J51&amp;"|"&amp;10,Assessments!$A$2:$A$600,0)),0)</f>
        <v>0</v>
      </c>
      <c r="DG51" s="28" t="n">
        <f aca="false">IFERROR(INDEX(Assessments!$J$2:$J$600,MATCH($H51&amp;"|"&amp;$I51&amp;"|"&amp;$J51&amp;"|"&amp;11,Assessments!$A$2:$A$600,0)),0)</f>
        <v>0</v>
      </c>
      <c r="DH51" s="28" t="n">
        <f aca="false">IFERROR(INDEX(Assessments!$J$2:$J$600,MATCH($H51&amp;"|"&amp;$I51&amp;"|"&amp;$J51&amp;"|"&amp;12,Assessments!$A$2:$A$600,0)),0)</f>
        <v>0</v>
      </c>
      <c r="DI51" s="28" t="n">
        <f aca="false">IFERROR(INDEX(Assessments!$J$2:$J$600,MATCH($H51&amp;"|"&amp;$I51&amp;"|"&amp;$J51&amp;"|"&amp;13,Assessments!$A$2:$A$600,0)),0)</f>
        <v>0</v>
      </c>
      <c r="DJ51" s="28" t="n">
        <f aca="false">IFERROR(INDEX(Assessments!$J$2:$J$600,MATCH($H51&amp;"|"&amp;$I51&amp;"|"&amp;$J51&amp;"|"&amp;14,Assessments!$A$2:$A$600,0)),0)</f>
        <v>0</v>
      </c>
      <c r="DK51" s="28" t="n">
        <f aca="false">S51</f>
        <v>5</v>
      </c>
      <c r="DL51" s="28" t="n">
        <f aca="false">W51</f>
        <v>4</v>
      </c>
      <c r="DM51" s="28" t="n">
        <f aca="false">AA51</f>
        <v>6</v>
      </c>
      <c r="DN51" s="28" t="n">
        <f aca="false">AE51</f>
        <v>4</v>
      </c>
      <c r="DO51" s="28" t="n">
        <f aca="false">AI51</f>
        <v>7</v>
      </c>
      <c r="DP51" s="28" t="str">
        <f aca="false">AM51</f>
        <v/>
      </c>
      <c r="DQ51" s="28" t="str">
        <f aca="false">AQ51</f>
        <v/>
      </c>
      <c r="DR51" s="28" t="str">
        <f aca="false">AU51</f>
        <v/>
      </c>
      <c r="DS51" s="28" t="str">
        <f aca="false">AY51</f>
        <v/>
      </c>
      <c r="DT51" s="28" t="str">
        <f aca="false">BC51</f>
        <v/>
      </c>
      <c r="DU51" s="28" t="str">
        <f aca="false">BG51</f>
        <v/>
      </c>
      <c r="DV51" s="28" t="str">
        <f aca="false">BK51</f>
        <v/>
      </c>
      <c r="DW51" s="28" t="str">
        <f aca="false">BO51</f>
        <v/>
      </c>
      <c r="DX51" s="28" t="str">
        <f aca="false">BS51</f>
        <v/>
      </c>
      <c r="DY51" s="28" t="n">
        <f aca="false">IF(ISNUMBER(S51),1,"")</f>
        <v>1</v>
      </c>
      <c r="DZ51" s="28" t="n">
        <f aca="false">IF(ISNUMBER(W51),2,"")</f>
        <v>2</v>
      </c>
      <c r="EA51" s="28" t="n">
        <f aca="false">IF(ISNUMBER(AA51),3,"")</f>
        <v>3</v>
      </c>
      <c r="EB51" s="28" t="n">
        <f aca="false">IF(ISNUMBER(AE51),4,"")</f>
        <v>4</v>
      </c>
      <c r="EC51" s="28" t="n">
        <f aca="false">IF(ISNUMBER(AI51),5,"")</f>
        <v>5</v>
      </c>
      <c r="ED51" s="28" t="str">
        <f aca="false">IF(ISNUMBER(AM51),6,"")</f>
        <v/>
      </c>
      <c r="EE51" s="28" t="str">
        <f aca="false">IF(ISNUMBER(AQ51),7,"")</f>
        <v/>
      </c>
      <c r="EF51" s="28" t="str">
        <f aca="false">IF(ISNUMBER(AU51),8,"")</f>
        <v/>
      </c>
      <c r="EG51" s="28" t="str">
        <f aca="false">IF(ISNUMBER(AY51),9,"")</f>
        <v/>
      </c>
      <c r="EH51" s="28" t="str">
        <f aca="false">IF(ISNUMBER(BC51),10,"")</f>
        <v/>
      </c>
      <c r="EI51" s="28" t="str">
        <f aca="false">IF(ISNUMBER(BG51),11,"")</f>
        <v/>
      </c>
      <c r="EJ51" s="28" t="str">
        <f aca="false">IF(ISNUMBER(BK51),12,"")</f>
        <v/>
      </c>
      <c r="EK51" s="28" t="str">
        <f aca="false">IF(ISNUMBER(BO51),13,"")</f>
        <v/>
      </c>
      <c r="EL51" s="28" t="str">
        <f aca="false">IF(ISNUMBER(BS51),14,"")</f>
        <v/>
      </c>
      <c r="EM51" s="28" t="n">
        <f aca="false">IF(ISNUMBER(R51),R51*CW51,0)</f>
        <v>73.3333333333333</v>
      </c>
      <c r="EN51" s="28" t="n">
        <f aca="false">IF(ISNUMBER(V51),V51*CX51,0)</f>
        <v>62.5</v>
      </c>
      <c r="EO51" s="28" t="n">
        <f aca="false">IF(ISNUMBER(Z51),Z51*CY51,0)</f>
        <v>76</v>
      </c>
      <c r="EP51" s="28" t="n">
        <f aca="false">IF(ISNUMBER(AD51),AD51*CZ51,0)</f>
        <v>54.2857142857143</v>
      </c>
      <c r="EQ51" s="28" t="n">
        <f aca="false">IF(ISNUMBER(AH51),AH51*DA51,0)</f>
        <v>160</v>
      </c>
      <c r="ER51" s="28" t="n">
        <f aca="false">IF(ISNUMBER(AL51),AL51*DB51,0)</f>
        <v>0</v>
      </c>
      <c r="ES51" s="28" t="n">
        <f aca="false">IF(ISNUMBER(AP51),AP51*DC51,0)</f>
        <v>0</v>
      </c>
      <c r="ET51" s="28" t="n">
        <f aca="false">IF(ISNUMBER(AT51),AT51*DD51,0)</f>
        <v>0</v>
      </c>
      <c r="EU51" s="28" t="n">
        <f aca="false">IF(ISNUMBER(AX51),AX51*DE51,0)</f>
        <v>0</v>
      </c>
      <c r="EV51" s="28" t="n">
        <f aca="false">IF(ISNUMBER(BB51),BB51*DF51,0)</f>
        <v>0</v>
      </c>
      <c r="EW51" s="28" t="n">
        <f aca="false">IF(ISNUMBER(BF51),BF51*DG51,0)</f>
        <v>0</v>
      </c>
      <c r="EX51" s="28" t="n">
        <f aca="false">IF(ISNUMBER(BJ51),BJ51*DH51,0)</f>
        <v>0</v>
      </c>
      <c r="EY51" s="28" t="n">
        <f aca="false">IF(ISNUMBER(BN51),BN51*DI51,0)</f>
        <v>0</v>
      </c>
      <c r="EZ51" s="28" t="n">
        <f aca="false">IF(ISNUMBER(BR51),BR51*DJ51,0)</f>
        <v>0</v>
      </c>
      <c r="FA51" s="28" t="n">
        <f aca="false">IF(ISNUMBER(R51),CW51,0)</f>
        <v>1</v>
      </c>
      <c r="FB51" s="28" t="n">
        <f aca="false">IF(ISNUMBER(V51),CX51,0)</f>
        <v>1</v>
      </c>
      <c r="FC51" s="28" t="n">
        <f aca="false">IF(ISNUMBER(Z51),CY51,0)</f>
        <v>1</v>
      </c>
      <c r="FD51" s="28" t="n">
        <f aca="false">IF(ISNUMBER(AD51),CZ51,0)</f>
        <v>1</v>
      </c>
      <c r="FE51" s="28" t="n">
        <f aca="false">IF(ISNUMBER(AH51),DA51,0)</f>
        <v>2</v>
      </c>
      <c r="FF51" s="28" t="n">
        <f aca="false">IF(ISNUMBER(AL51),DB51,0)</f>
        <v>0</v>
      </c>
      <c r="FG51" s="28" t="n">
        <f aca="false">IF(ISNUMBER(AP51),DC51,0)</f>
        <v>0</v>
      </c>
      <c r="FH51" s="28" t="n">
        <f aca="false">IF(ISNUMBER(AT51),DD51,0)</f>
        <v>0</v>
      </c>
      <c r="FI51" s="28" t="n">
        <f aca="false">IF(ISNUMBER(AX51),DE51,0)</f>
        <v>0</v>
      </c>
      <c r="FJ51" s="28" t="n">
        <f aca="false">IF(ISNUMBER(BB51),DF51,0)</f>
        <v>0</v>
      </c>
      <c r="FK51" s="28" t="n">
        <f aca="false">IF(ISNUMBER(BF51),DG51,0)</f>
        <v>0</v>
      </c>
      <c r="FL51" s="28" t="n">
        <f aca="false">IF(ISNUMBER(BJ51),DH51,0)</f>
        <v>0</v>
      </c>
      <c r="FM51" s="28" t="n">
        <f aca="false">IF(ISNUMBER(BN51),DI51,0)</f>
        <v>0</v>
      </c>
      <c r="FN51" s="28" t="n">
        <f aca="false">IF(ISNUMBER(BR51),DJ51,0)</f>
        <v>0</v>
      </c>
      <c r="FO51" s="28" t="str">
        <f aca="false">IFERROR(INDEX(Lists!$G$2:$G$20,MATCH($I51&amp;"|"&amp;$J51,Lists!$F$2:$F$20,0)),"")</f>
        <v>Econ Exam</v>
      </c>
    </row>
    <row r="52" customFormat="false" ht="19.5" hidden="false" customHeight="true" outlineLevel="0" collapsed="false">
      <c r="A52" s="29" t="s">
        <v>238</v>
      </c>
      <c r="B52" s="29" t="s">
        <v>239</v>
      </c>
      <c r="C52" s="30" t="s">
        <v>152</v>
      </c>
      <c r="D52" s="30" t="s">
        <v>228</v>
      </c>
      <c r="E52" s="31" t="n">
        <v>5.3</v>
      </c>
      <c r="F52" s="30" t="n">
        <v>6</v>
      </c>
      <c r="G52" s="30"/>
      <c r="H52" s="32" t="s">
        <v>23</v>
      </c>
      <c r="I52" s="33" t="s">
        <v>229</v>
      </c>
      <c r="J52" s="32" t="s">
        <v>25</v>
      </c>
      <c r="K52" s="34" t="n">
        <f aca="false">IF(OR(M52="",$E52=""),"",M52-$E52)</f>
        <v>0.7</v>
      </c>
      <c r="L52" s="35" t="n">
        <f aca="false">IF(SUM(FA52:FN52)=0,"",SUM(EM52:EZ52)/SUM(FA52:FN52))</f>
        <v>79.6607142857143</v>
      </c>
      <c r="M52" s="36" t="n">
        <f aca="false">IF(OR(L52="",FO52=""),"",IFERROR(MATCH(L52,INDEX(Boundaries!$B$2:$I$30,MATCH(FO52,Boundaries!$A$2:$A$30,0),0),1)-1,""))</f>
        <v>6</v>
      </c>
      <c r="N52" s="37" t="n">
        <f aca="false">IF(COUNT($DY52:$EL52)&lt;2,"",INDEX($DK52:$DX52,MAX($DY52:$EL52))-INDEX($DK52:$DX52,MIN($DY52:$EL52)))</f>
        <v>-3</v>
      </c>
      <c r="O52" s="37" t="n">
        <f aca="false">IF(COUNT($DY52:$EL52)&lt;2,"",INDEX($DK52:$DX52,MAX($DY52:$EL52))-INDEX($DK52:$DX52,LARGE($DY52:$EL52,2)))</f>
        <v>-2</v>
      </c>
      <c r="P52" s="38" t="str">
        <f aca="false">IF(K52="","",IF(K52&gt;=0,"On/above target",IF(AND(N52&lt;&gt;"",N52&gt;=0.5),"Improving towards target",IF(AND(O52&lt;&gt;"",O52&lt;=-0.5),"Declining","Stable below target"))))</f>
        <v>On/above target</v>
      </c>
      <c r="Q52" s="39" t="n">
        <v>27</v>
      </c>
      <c r="R52" s="40" t="n">
        <f aca="false">IF(OR(Q52="",BU52=""),"",Q52/BU52*100)</f>
        <v>90</v>
      </c>
      <c r="S52" s="41" t="n">
        <f aca="false">IF(R52="","",IFERROR(MATCH(R52,INDEX(Boundaries!$B$2:$I$30,MATCH(CI52,Boundaries!$A$2:$A$30,0),0),1)-1,""))</f>
        <v>7</v>
      </c>
      <c r="T52" s="42" t="n">
        <f aca="false">IF(OR(S52="",$E52=""),"",S52-$E52)</f>
        <v>1.7</v>
      </c>
      <c r="U52" s="39" t="n">
        <v>21</v>
      </c>
      <c r="V52" s="40" t="n">
        <f aca="false">IF(OR(U52="",BV52=""),"",U52/BV52*100)</f>
        <v>87.5</v>
      </c>
      <c r="W52" s="41" t="n">
        <f aca="false">IF(V52="","",IFERROR(MATCH(V52,INDEX(Boundaries!$B$2:$I$30,MATCH(CJ52,Boundaries!$A$2:$A$30,0),0),1)-1,""))</f>
        <v>7</v>
      </c>
      <c r="X52" s="42" t="n">
        <f aca="false">IF(OR(W52="",$E52=""),"",W52-$E52)</f>
        <v>1.7</v>
      </c>
      <c r="Y52" s="39" t="n">
        <v>21</v>
      </c>
      <c r="Z52" s="40" t="n">
        <f aca="false">IF(OR(Y52="",BW52=""),"",Y52/BW52*100)</f>
        <v>84</v>
      </c>
      <c r="AA52" s="41" t="n">
        <f aca="false">IF(Z52="","",IFERROR(MATCH(Z52,INDEX(Boundaries!$B$2:$I$30,MATCH(CK52,Boundaries!$A$2:$A$30,0),0),1)-1,""))</f>
        <v>6</v>
      </c>
      <c r="AB52" s="42" t="n">
        <f aca="false">IF(OR(AA52="",$E52=""),"",AA52-$E52)</f>
        <v>0.7</v>
      </c>
      <c r="AC52" s="39" t="n">
        <v>20</v>
      </c>
      <c r="AD52" s="40" t="n">
        <f aca="false">IF(OR(AC52="",BX52=""),"",AC52/BX52*100)</f>
        <v>57.1428571428571</v>
      </c>
      <c r="AE52" s="41" t="n">
        <f aca="false">IF(AD52="","",IFERROR(MATCH(AD52,INDEX(Boundaries!$B$2:$I$30,MATCH(CL52,Boundaries!$A$2:$A$30,0),0),1)-1,""))</f>
        <v>4</v>
      </c>
      <c r="AF52" s="42" t="n">
        <f aca="false">IF(OR(AE52="",$E52=""),"",AE52-$E52)</f>
        <v>-1.3</v>
      </c>
      <c r="AG52" s="39"/>
      <c r="AH52" s="40" t="str">
        <f aca="false">IF(OR(AG52="",BY52=""),"",AG52/BY52*100)</f>
        <v/>
      </c>
      <c r="AI52" s="41" t="str">
        <f aca="false">IF(AH52="","",IFERROR(MATCH(AH52,INDEX(Boundaries!$B$2:$I$30,MATCH(CM52,Boundaries!$A$2:$A$30,0),0),1)-1,""))</f>
        <v/>
      </c>
      <c r="AJ52" s="42" t="str">
        <f aca="false">IF(OR(AI52="",$E52=""),"",AI52-$E52)</f>
        <v/>
      </c>
      <c r="AK52" s="39"/>
      <c r="AL52" s="40" t="str">
        <f aca="false">IF(OR(AK52="",BZ52=""),"",AK52/BZ52*100)</f>
        <v/>
      </c>
      <c r="AM52" s="41" t="str">
        <f aca="false">IF(AL52="","",IFERROR(MATCH(AL52,INDEX(Boundaries!$B$2:$I$30,MATCH(CN52,Boundaries!$A$2:$A$30,0),0),1)-1,""))</f>
        <v/>
      </c>
      <c r="AN52" s="42" t="str">
        <f aca="false">IF(OR(AM52="",$E52=""),"",AM52-$E52)</f>
        <v/>
      </c>
      <c r="AO52" s="39"/>
      <c r="AP52" s="40" t="str">
        <f aca="false">IF(OR(AO52="",CA52=""),"",AO52/CA52*100)</f>
        <v/>
      </c>
      <c r="AQ52" s="41" t="str">
        <f aca="false">IF(AP52="","",IFERROR(MATCH(AP52,INDEX(Boundaries!$B$2:$I$30,MATCH(CO52,Boundaries!$A$2:$A$30,0),0),1)-1,""))</f>
        <v/>
      </c>
      <c r="AR52" s="42" t="str">
        <f aca="false">IF(OR(AQ52="",$E52=""),"",AQ52-$E52)</f>
        <v/>
      </c>
      <c r="AS52" s="39"/>
      <c r="AT52" s="40" t="str">
        <f aca="false">IF(OR(AS52="",CB52=""),"",AS52/CB52*100)</f>
        <v/>
      </c>
      <c r="AU52" s="41" t="str">
        <f aca="false">IF(AT52="","",IFERROR(MATCH(AT52,INDEX(Boundaries!$B$2:$I$30,MATCH(CP52,Boundaries!$A$2:$A$30,0),0),1)-1,""))</f>
        <v/>
      </c>
      <c r="AV52" s="42" t="str">
        <f aca="false">IF(OR(AU52="",$E52=""),"",AU52-$E52)</f>
        <v/>
      </c>
      <c r="AW52" s="39"/>
      <c r="AX52" s="40" t="str">
        <f aca="false">IF(OR(AW52="",CC52=""),"",AW52/CC52*100)</f>
        <v/>
      </c>
      <c r="AY52" s="41" t="str">
        <f aca="false">IF(AX52="","",IFERROR(MATCH(AX52,INDEX(Boundaries!$B$2:$I$30,MATCH(CQ52,Boundaries!$A$2:$A$30,0),0),1)-1,""))</f>
        <v/>
      </c>
      <c r="AZ52" s="42" t="str">
        <f aca="false">IF(OR(AY52="",$E52=""),"",AY52-$E52)</f>
        <v/>
      </c>
      <c r="BA52" s="39"/>
      <c r="BB52" s="40" t="str">
        <f aca="false">IF(OR(BA52="",CD52=""),"",BA52/CD52*100)</f>
        <v/>
      </c>
      <c r="BC52" s="41" t="str">
        <f aca="false">IF(BB52="","",IFERROR(MATCH(BB52,INDEX(Boundaries!$B$2:$I$30,MATCH(CR52,Boundaries!$A$2:$A$30,0),0),1)-1,""))</f>
        <v/>
      </c>
      <c r="BD52" s="42" t="str">
        <f aca="false">IF(OR(BC52="",$E52=""),"",BC52-$E52)</f>
        <v/>
      </c>
      <c r="BE52" s="39"/>
      <c r="BF52" s="40" t="str">
        <f aca="false">IF(OR(BE52="",CE52=""),"",BE52/CE52*100)</f>
        <v/>
      </c>
      <c r="BG52" s="41" t="str">
        <f aca="false">IF(BF52="","",IFERROR(MATCH(BF52,INDEX(Boundaries!$B$2:$I$30,MATCH(CS52,Boundaries!$A$2:$A$30,0),0),1)-1,""))</f>
        <v/>
      </c>
      <c r="BH52" s="42" t="str">
        <f aca="false">IF(OR(BG52="",$E52=""),"",BG52-$E52)</f>
        <v/>
      </c>
      <c r="BI52" s="39"/>
      <c r="BJ52" s="40" t="str">
        <f aca="false">IF(OR(BI52="",CF52=""),"",BI52/CF52*100)</f>
        <v/>
      </c>
      <c r="BK52" s="41" t="str">
        <f aca="false">IF(BJ52="","",IFERROR(MATCH(BJ52,INDEX(Boundaries!$B$2:$I$30,MATCH(CT52,Boundaries!$A$2:$A$30,0),0),1)-1,""))</f>
        <v/>
      </c>
      <c r="BL52" s="42" t="str">
        <f aca="false">IF(OR(BK52="",$E52=""),"",BK52-$E52)</f>
        <v/>
      </c>
      <c r="BM52" s="39"/>
      <c r="BN52" s="40" t="str">
        <f aca="false">IF(OR(BM52="",CG52=""),"",BM52/CG52*100)</f>
        <v/>
      </c>
      <c r="BO52" s="41" t="str">
        <f aca="false">IF(BN52="","",IFERROR(MATCH(BN52,INDEX(Boundaries!$B$2:$I$30,MATCH(CU52,Boundaries!$A$2:$A$30,0),0),1)-1,""))</f>
        <v/>
      </c>
      <c r="BP52" s="42" t="str">
        <f aca="false">IF(OR(BO52="",$E52=""),"",BO52-$E52)</f>
        <v/>
      </c>
      <c r="BQ52" s="39"/>
      <c r="BR52" s="40" t="str">
        <f aca="false">IF(OR(BQ52="",CH52=""),"",BQ52/CH52*100)</f>
        <v/>
      </c>
      <c r="BS52" s="41" t="str">
        <f aca="false">IF(BR52="","",IFERROR(MATCH(BR52,INDEX(Boundaries!$B$2:$I$30,MATCH(CV52,Boundaries!$A$2:$A$30,0),0),1)-1,""))</f>
        <v/>
      </c>
      <c r="BT52" s="42" t="str">
        <f aca="false">IF(OR(BS52="",$E52=""),"",BS52-$E52)</f>
        <v/>
      </c>
      <c r="BU52" s="28" t="n">
        <f aca="false">IFERROR(INDEX(Assessments!$H$2:$H$600,MATCH($H52&amp;"|"&amp;$I52&amp;"|"&amp;$J52&amp;"|"&amp;1,Assessments!$A$2:$A$600,0)),"")</f>
        <v>30</v>
      </c>
      <c r="BV52" s="28" t="n">
        <f aca="false">IFERROR(INDEX(Assessments!$H$2:$H$600,MATCH($H52&amp;"|"&amp;$I52&amp;"|"&amp;$J52&amp;"|"&amp;2,Assessments!$A$2:$A$600,0)),"")</f>
        <v>24</v>
      </c>
      <c r="BW52" s="28" t="n">
        <f aca="false">IFERROR(INDEX(Assessments!$H$2:$H$600,MATCH($H52&amp;"|"&amp;$I52&amp;"|"&amp;$J52&amp;"|"&amp;3,Assessments!$A$2:$A$600,0)),"")</f>
        <v>25</v>
      </c>
      <c r="BX52" s="28" t="n">
        <f aca="false">IFERROR(INDEX(Assessments!$H$2:$H$600,MATCH($H52&amp;"|"&amp;$I52&amp;"|"&amp;$J52&amp;"|"&amp;4,Assessments!$A$2:$A$600,0)),"")</f>
        <v>35</v>
      </c>
      <c r="BY52" s="28" t="n">
        <f aca="false">IFERROR(INDEX(Assessments!$H$2:$H$600,MATCH($H52&amp;"|"&amp;$I52&amp;"|"&amp;$J52&amp;"|"&amp;5,Assessments!$A$2:$A$600,0)),"")</f>
        <v>55</v>
      </c>
      <c r="BZ52" s="28" t="n">
        <f aca="false">IFERROR(INDEX(Assessments!$H$2:$H$600,MATCH($H52&amp;"|"&amp;$I52&amp;"|"&amp;$J52&amp;"|"&amp;6,Assessments!$A$2:$A$600,0)),"")</f>
        <v>30</v>
      </c>
      <c r="CA52" s="28" t="n">
        <f aca="false">IFERROR(INDEX(Assessments!$H$2:$H$600,MATCH($H52&amp;"|"&amp;$I52&amp;"|"&amp;$J52&amp;"|"&amp;7,Assessments!$A$2:$A$600,0)),"")</f>
        <v>95</v>
      </c>
      <c r="CB52" s="28" t="str">
        <f aca="false">IFERROR(INDEX(Assessments!$H$2:$H$600,MATCH($H52&amp;"|"&amp;$I52&amp;"|"&amp;$J52&amp;"|"&amp;8,Assessments!$A$2:$A$600,0)),"")</f>
        <v/>
      </c>
      <c r="CC52" s="28" t="str">
        <f aca="false">IFERROR(INDEX(Assessments!$H$2:$H$600,MATCH($H52&amp;"|"&amp;$I52&amp;"|"&amp;$J52&amp;"|"&amp;9,Assessments!$A$2:$A$600,0)),"")</f>
        <v/>
      </c>
      <c r="CD52" s="28" t="str">
        <f aca="false">IFERROR(INDEX(Assessments!$H$2:$H$600,MATCH($H52&amp;"|"&amp;$I52&amp;"|"&amp;$J52&amp;"|"&amp;10,Assessments!$A$2:$A$600,0)),"")</f>
        <v/>
      </c>
      <c r="CE52" s="28" t="str">
        <f aca="false">IFERROR(INDEX(Assessments!$H$2:$H$600,MATCH($H52&amp;"|"&amp;$I52&amp;"|"&amp;$J52&amp;"|"&amp;11,Assessments!$A$2:$A$600,0)),"")</f>
        <v/>
      </c>
      <c r="CF52" s="28" t="str">
        <f aca="false">IFERROR(INDEX(Assessments!$H$2:$H$600,MATCH($H52&amp;"|"&amp;$I52&amp;"|"&amp;$J52&amp;"|"&amp;12,Assessments!$A$2:$A$600,0)),"")</f>
        <v/>
      </c>
      <c r="CG52" s="28" t="str">
        <f aca="false">IFERROR(INDEX(Assessments!$H$2:$H$600,MATCH($H52&amp;"|"&amp;$I52&amp;"|"&amp;$J52&amp;"|"&amp;13,Assessments!$A$2:$A$600,0)),"")</f>
        <v/>
      </c>
      <c r="CH52" s="28" t="str">
        <f aca="false">IFERROR(INDEX(Assessments!$H$2:$H$600,MATCH($H52&amp;"|"&amp;$I52&amp;"|"&amp;$J52&amp;"|"&amp;14,Assessments!$A$2:$A$600,0)),"")</f>
        <v/>
      </c>
      <c r="CI52" s="28" t="str">
        <f aca="false">IFERROR(INDEX(Assessments!$I$2:$I$600,MATCH($H52&amp;"|"&amp;$I52&amp;"|"&amp;$J52&amp;"|"&amp;1,Assessments!$A$2:$A$600,0)),"")</f>
        <v>Econ Test</v>
      </c>
      <c r="CJ52" s="28" t="str">
        <f aca="false">IFERROR(INDEX(Assessments!$I$2:$I$600,MATCH($H52&amp;"|"&amp;$I52&amp;"|"&amp;$J52&amp;"|"&amp;2,Assessments!$A$2:$A$600,0)),"")</f>
        <v>Econ Test</v>
      </c>
      <c r="CK52" s="28" t="str">
        <f aca="false">IFERROR(INDEX(Assessments!$I$2:$I$600,MATCH($H52&amp;"|"&amp;$I52&amp;"|"&amp;$J52&amp;"|"&amp;3,Assessments!$A$2:$A$600,0)),"")</f>
        <v>Econ Test</v>
      </c>
      <c r="CL52" s="28" t="str">
        <f aca="false">IFERROR(INDEX(Assessments!$I$2:$I$600,MATCH($H52&amp;"|"&amp;$I52&amp;"|"&amp;$J52&amp;"|"&amp;4,Assessments!$A$2:$A$600,0)),"")</f>
        <v>Econ Test</v>
      </c>
      <c r="CM52" s="28" t="str">
        <f aca="false">IFERROR(INDEX(Assessments!$I$2:$I$600,MATCH($H52&amp;"|"&amp;$I52&amp;"|"&amp;$J52&amp;"|"&amp;5,Assessments!$A$2:$A$600,0)),"")</f>
        <v>Econ Exam</v>
      </c>
      <c r="CN52" s="28" t="str">
        <f aca="false">IFERROR(INDEX(Assessments!$I$2:$I$600,MATCH($H52&amp;"|"&amp;$I52&amp;"|"&amp;$J52&amp;"|"&amp;6,Assessments!$A$2:$A$600,0)),"")</f>
        <v>Econ Test</v>
      </c>
      <c r="CO52" s="28" t="str">
        <f aca="false">IFERROR(INDEX(Assessments!$I$2:$I$600,MATCH($H52&amp;"|"&amp;$I52&amp;"|"&amp;$J52&amp;"|"&amp;7,Assessments!$A$2:$A$600,0)),"")</f>
        <v>Econ Exam</v>
      </c>
      <c r="CP52" s="28" t="str">
        <f aca="false">IFERROR(INDEX(Assessments!$I$2:$I$600,MATCH($H52&amp;"|"&amp;$I52&amp;"|"&amp;$J52&amp;"|"&amp;8,Assessments!$A$2:$A$600,0)),"")</f>
        <v/>
      </c>
      <c r="CQ52" s="28" t="str">
        <f aca="false">IFERROR(INDEX(Assessments!$I$2:$I$600,MATCH($H52&amp;"|"&amp;$I52&amp;"|"&amp;$J52&amp;"|"&amp;9,Assessments!$A$2:$A$600,0)),"")</f>
        <v/>
      </c>
      <c r="CR52" s="28" t="str">
        <f aca="false">IFERROR(INDEX(Assessments!$I$2:$I$600,MATCH($H52&amp;"|"&amp;$I52&amp;"|"&amp;$J52&amp;"|"&amp;10,Assessments!$A$2:$A$600,0)),"")</f>
        <v/>
      </c>
      <c r="CS52" s="28" t="str">
        <f aca="false">IFERROR(INDEX(Assessments!$I$2:$I$600,MATCH($H52&amp;"|"&amp;$I52&amp;"|"&amp;$J52&amp;"|"&amp;11,Assessments!$A$2:$A$600,0)),"")</f>
        <v/>
      </c>
      <c r="CT52" s="28" t="str">
        <f aca="false">IFERROR(INDEX(Assessments!$I$2:$I$600,MATCH($H52&amp;"|"&amp;$I52&amp;"|"&amp;$J52&amp;"|"&amp;12,Assessments!$A$2:$A$600,0)),"")</f>
        <v/>
      </c>
      <c r="CU52" s="28" t="str">
        <f aca="false">IFERROR(INDEX(Assessments!$I$2:$I$600,MATCH($H52&amp;"|"&amp;$I52&amp;"|"&amp;$J52&amp;"|"&amp;13,Assessments!$A$2:$A$600,0)),"")</f>
        <v/>
      </c>
      <c r="CV52" s="28" t="str">
        <f aca="false">IFERROR(INDEX(Assessments!$I$2:$I$600,MATCH($H52&amp;"|"&amp;$I52&amp;"|"&amp;$J52&amp;"|"&amp;14,Assessments!$A$2:$A$600,0)),"")</f>
        <v/>
      </c>
      <c r="CW52" s="28" t="n">
        <f aca="false">IFERROR(INDEX(Assessments!$J$2:$J$600,MATCH($H52&amp;"|"&amp;$I52&amp;"|"&amp;$J52&amp;"|"&amp;1,Assessments!$A$2:$A$600,0)),0)</f>
        <v>1</v>
      </c>
      <c r="CX52" s="28" t="n">
        <f aca="false">IFERROR(INDEX(Assessments!$J$2:$J$600,MATCH($H52&amp;"|"&amp;$I52&amp;"|"&amp;$J52&amp;"|"&amp;2,Assessments!$A$2:$A$600,0)),0)</f>
        <v>1</v>
      </c>
      <c r="CY52" s="28" t="n">
        <f aca="false">IFERROR(INDEX(Assessments!$J$2:$J$600,MATCH($H52&amp;"|"&amp;$I52&amp;"|"&amp;$J52&amp;"|"&amp;3,Assessments!$A$2:$A$600,0)),0)</f>
        <v>1</v>
      </c>
      <c r="CZ52" s="28" t="n">
        <f aca="false">IFERROR(INDEX(Assessments!$J$2:$J$600,MATCH($H52&amp;"|"&amp;$I52&amp;"|"&amp;$J52&amp;"|"&amp;4,Assessments!$A$2:$A$600,0)),0)</f>
        <v>1</v>
      </c>
      <c r="DA52" s="28" t="n">
        <f aca="false">IFERROR(INDEX(Assessments!$J$2:$J$600,MATCH($H52&amp;"|"&amp;$I52&amp;"|"&amp;$J52&amp;"|"&amp;5,Assessments!$A$2:$A$600,0)),0)</f>
        <v>2</v>
      </c>
      <c r="DB52" s="28" t="n">
        <f aca="false">IFERROR(INDEX(Assessments!$J$2:$J$600,MATCH($H52&amp;"|"&amp;$I52&amp;"|"&amp;$J52&amp;"|"&amp;6,Assessments!$A$2:$A$600,0)),0)</f>
        <v>1</v>
      </c>
      <c r="DC52" s="28" t="n">
        <f aca="false">IFERROR(INDEX(Assessments!$J$2:$J$600,MATCH($H52&amp;"|"&amp;$I52&amp;"|"&amp;$J52&amp;"|"&amp;7,Assessments!$A$2:$A$600,0)),0)</f>
        <v>2</v>
      </c>
      <c r="DD52" s="28" t="n">
        <f aca="false">IFERROR(INDEX(Assessments!$J$2:$J$600,MATCH($H52&amp;"|"&amp;$I52&amp;"|"&amp;$J52&amp;"|"&amp;8,Assessments!$A$2:$A$600,0)),0)</f>
        <v>0</v>
      </c>
      <c r="DE52" s="28" t="n">
        <f aca="false">IFERROR(INDEX(Assessments!$J$2:$J$600,MATCH($H52&amp;"|"&amp;$I52&amp;"|"&amp;$J52&amp;"|"&amp;9,Assessments!$A$2:$A$600,0)),0)</f>
        <v>0</v>
      </c>
      <c r="DF52" s="28" t="n">
        <f aca="false">IFERROR(INDEX(Assessments!$J$2:$J$600,MATCH($H52&amp;"|"&amp;$I52&amp;"|"&amp;$J52&amp;"|"&amp;10,Assessments!$A$2:$A$600,0)),0)</f>
        <v>0</v>
      </c>
      <c r="DG52" s="28" t="n">
        <f aca="false">IFERROR(INDEX(Assessments!$J$2:$J$600,MATCH($H52&amp;"|"&amp;$I52&amp;"|"&amp;$J52&amp;"|"&amp;11,Assessments!$A$2:$A$600,0)),0)</f>
        <v>0</v>
      </c>
      <c r="DH52" s="28" t="n">
        <f aca="false">IFERROR(INDEX(Assessments!$J$2:$J$600,MATCH($H52&amp;"|"&amp;$I52&amp;"|"&amp;$J52&amp;"|"&amp;12,Assessments!$A$2:$A$600,0)),0)</f>
        <v>0</v>
      </c>
      <c r="DI52" s="28" t="n">
        <f aca="false">IFERROR(INDEX(Assessments!$J$2:$J$600,MATCH($H52&amp;"|"&amp;$I52&amp;"|"&amp;$J52&amp;"|"&amp;13,Assessments!$A$2:$A$600,0)),0)</f>
        <v>0</v>
      </c>
      <c r="DJ52" s="28" t="n">
        <f aca="false">IFERROR(INDEX(Assessments!$J$2:$J$600,MATCH($H52&amp;"|"&amp;$I52&amp;"|"&amp;$J52&amp;"|"&amp;14,Assessments!$A$2:$A$600,0)),0)</f>
        <v>0</v>
      </c>
      <c r="DK52" s="28" t="n">
        <f aca="false">S52</f>
        <v>7</v>
      </c>
      <c r="DL52" s="28" t="n">
        <f aca="false">W52</f>
        <v>7</v>
      </c>
      <c r="DM52" s="28" t="n">
        <f aca="false">AA52</f>
        <v>6</v>
      </c>
      <c r="DN52" s="28" t="n">
        <f aca="false">AE52</f>
        <v>4</v>
      </c>
      <c r="DO52" s="28" t="str">
        <f aca="false">AI52</f>
        <v/>
      </c>
      <c r="DP52" s="28" t="str">
        <f aca="false">AM52</f>
        <v/>
      </c>
      <c r="DQ52" s="28" t="str">
        <f aca="false">AQ52</f>
        <v/>
      </c>
      <c r="DR52" s="28" t="str">
        <f aca="false">AU52</f>
        <v/>
      </c>
      <c r="DS52" s="28" t="str">
        <f aca="false">AY52</f>
        <v/>
      </c>
      <c r="DT52" s="28" t="str">
        <f aca="false">BC52</f>
        <v/>
      </c>
      <c r="DU52" s="28" t="str">
        <f aca="false">BG52</f>
        <v/>
      </c>
      <c r="DV52" s="28" t="str">
        <f aca="false">BK52</f>
        <v/>
      </c>
      <c r="DW52" s="28" t="str">
        <f aca="false">BO52</f>
        <v/>
      </c>
      <c r="DX52" s="28" t="str">
        <f aca="false">BS52</f>
        <v/>
      </c>
      <c r="DY52" s="28" t="n">
        <f aca="false">IF(ISNUMBER(S52),1,"")</f>
        <v>1</v>
      </c>
      <c r="DZ52" s="28" t="n">
        <f aca="false">IF(ISNUMBER(W52),2,"")</f>
        <v>2</v>
      </c>
      <c r="EA52" s="28" t="n">
        <f aca="false">IF(ISNUMBER(AA52),3,"")</f>
        <v>3</v>
      </c>
      <c r="EB52" s="28" t="n">
        <f aca="false">IF(ISNUMBER(AE52),4,"")</f>
        <v>4</v>
      </c>
      <c r="EC52" s="28" t="str">
        <f aca="false">IF(ISNUMBER(AI52),5,"")</f>
        <v/>
      </c>
      <c r="ED52" s="28" t="str">
        <f aca="false">IF(ISNUMBER(AM52),6,"")</f>
        <v/>
      </c>
      <c r="EE52" s="28" t="str">
        <f aca="false">IF(ISNUMBER(AQ52),7,"")</f>
        <v/>
      </c>
      <c r="EF52" s="28" t="str">
        <f aca="false">IF(ISNUMBER(AU52),8,"")</f>
        <v/>
      </c>
      <c r="EG52" s="28" t="str">
        <f aca="false">IF(ISNUMBER(AY52),9,"")</f>
        <v/>
      </c>
      <c r="EH52" s="28" t="str">
        <f aca="false">IF(ISNUMBER(BC52),10,"")</f>
        <v/>
      </c>
      <c r="EI52" s="28" t="str">
        <f aca="false">IF(ISNUMBER(BG52),11,"")</f>
        <v/>
      </c>
      <c r="EJ52" s="28" t="str">
        <f aca="false">IF(ISNUMBER(BK52),12,"")</f>
        <v/>
      </c>
      <c r="EK52" s="28" t="str">
        <f aca="false">IF(ISNUMBER(BO52),13,"")</f>
        <v/>
      </c>
      <c r="EL52" s="28" t="str">
        <f aca="false">IF(ISNUMBER(BS52),14,"")</f>
        <v/>
      </c>
      <c r="EM52" s="28" t="n">
        <f aca="false">IF(ISNUMBER(R52),R52*CW52,0)</f>
        <v>90</v>
      </c>
      <c r="EN52" s="28" t="n">
        <f aca="false">IF(ISNUMBER(V52),V52*CX52,0)</f>
        <v>87.5</v>
      </c>
      <c r="EO52" s="28" t="n">
        <f aca="false">IF(ISNUMBER(Z52),Z52*CY52,0)</f>
        <v>84</v>
      </c>
      <c r="EP52" s="28" t="n">
        <f aca="false">IF(ISNUMBER(AD52),AD52*CZ52,0)</f>
        <v>57.1428571428571</v>
      </c>
      <c r="EQ52" s="28" t="n">
        <f aca="false">IF(ISNUMBER(AH52),AH52*DA52,0)</f>
        <v>0</v>
      </c>
      <c r="ER52" s="28" t="n">
        <f aca="false">IF(ISNUMBER(AL52),AL52*DB52,0)</f>
        <v>0</v>
      </c>
      <c r="ES52" s="28" t="n">
        <f aca="false">IF(ISNUMBER(AP52),AP52*DC52,0)</f>
        <v>0</v>
      </c>
      <c r="ET52" s="28" t="n">
        <f aca="false">IF(ISNUMBER(AT52),AT52*DD52,0)</f>
        <v>0</v>
      </c>
      <c r="EU52" s="28" t="n">
        <f aca="false">IF(ISNUMBER(AX52),AX52*DE52,0)</f>
        <v>0</v>
      </c>
      <c r="EV52" s="28" t="n">
        <f aca="false">IF(ISNUMBER(BB52),BB52*DF52,0)</f>
        <v>0</v>
      </c>
      <c r="EW52" s="28" t="n">
        <f aca="false">IF(ISNUMBER(BF52),BF52*DG52,0)</f>
        <v>0</v>
      </c>
      <c r="EX52" s="28" t="n">
        <f aca="false">IF(ISNUMBER(BJ52),BJ52*DH52,0)</f>
        <v>0</v>
      </c>
      <c r="EY52" s="28" t="n">
        <f aca="false">IF(ISNUMBER(BN52),BN52*DI52,0)</f>
        <v>0</v>
      </c>
      <c r="EZ52" s="28" t="n">
        <f aca="false">IF(ISNUMBER(BR52),BR52*DJ52,0)</f>
        <v>0</v>
      </c>
      <c r="FA52" s="28" t="n">
        <f aca="false">IF(ISNUMBER(R52),CW52,0)</f>
        <v>1</v>
      </c>
      <c r="FB52" s="28" t="n">
        <f aca="false">IF(ISNUMBER(V52),CX52,0)</f>
        <v>1</v>
      </c>
      <c r="FC52" s="28" t="n">
        <f aca="false">IF(ISNUMBER(Z52),CY52,0)</f>
        <v>1</v>
      </c>
      <c r="FD52" s="28" t="n">
        <f aca="false">IF(ISNUMBER(AD52),CZ52,0)</f>
        <v>1</v>
      </c>
      <c r="FE52" s="28" t="n">
        <f aca="false">IF(ISNUMBER(AH52),DA52,0)</f>
        <v>0</v>
      </c>
      <c r="FF52" s="28" t="n">
        <f aca="false">IF(ISNUMBER(AL52),DB52,0)</f>
        <v>0</v>
      </c>
      <c r="FG52" s="28" t="n">
        <f aca="false">IF(ISNUMBER(AP52),DC52,0)</f>
        <v>0</v>
      </c>
      <c r="FH52" s="28" t="n">
        <f aca="false">IF(ISNUMBER(AT52),DD52,0)</f>
        <v>0</v>
      </c>
      <c r="FI52" s="28" t="n">
        <f aca="false">IF(ISNUMBER(AX52),DE52,0)</f>
        <v>0</v>
      </c>
      <c r="FJ52" s="28" t="n">
        <f aca="false">IF(ISNUMBER(BB52),DF52,0)</f>
        <v>0</v>
      </c>
      <c r="FK52" s="28" t="n">
        <f aca="false">IF(ISNUMBER(BF52),DG52,0)</f>
        <v>0</v>
      </c>
      <c r="FL52" s="28" t="n">
        <f aca="false">IF(ISNUMBER(BJ52),DH52,0)</f>
        <v>0</v>
      </c>
      <c r="FM52" s="28" t="n">
        <f aca="false">IF(ISNUMBER(BN52),DI52,0)</f>
        <v>0</v>
      </c>
      <c r="FN52" s="28" t="n">
        <f aca="false">IF(ISNUMBER(BR52),DJ52,0)</f>
        <v>0</v>
      </c>
      <c r="FO52" s="28" t="str">
        <f aca="false">IFERROR(INDEX(Lists!$G$2:$G$20,MATCH($I52&amp;"|"&amp;$J52,Lists!$F$2:$F$20,0)),"")</f>
        <v>Econ Exam</v>
      </c>
    </row>
    <row r="53" customFormat="false" ht="19.5" hidden="false" customHeight="true" outlineLevel="0" collapsed="false">
      <c r="A53" s="29" t="s">
        <v>240</v>
      </c>
      <c r="B53" s="29" t="s">
        <v>241</v>
      </c>
      <c r="C53" s="30" t="s">
        <v>152</v>
      </c>
      <c r="D53" s="30" t="s">
        <v>228</v>
      </c>
      <c r="E53" s="31" t="n">
        <v>6.9</v>
      </c>
      <c r="F53" s="30" t="n">
        <v>7</v>
      </c>
      <c r="G53" s="30"/>
      <c r="H53" s="32" t="s">
        <v>23</v>
      </c>
      <c r="I53" s="33" t="s">
        <v>229</v>
      </c>
      <c r="J53" s="32" t="s">
        <v>25</v>
      </c>
      <c r="K53" s="34" t="n">
        <f aca="false">IF(OR(M53="",$E53=""),"",M53-$E53)</f>
        <v>0.0999999999999996</v>
      </c>
      <c r="L53" s="35" t="n">
        <f aca="false">IF(SUM(FA53:FN53)=0,"",SUM(EM53:EZ53)/SUM(FA53:FN53))</f>
        <v>82.4440836940837</v>
      </c>
      <c r="M53" s="36" t="n">
        <f aca="false">IF(OR(L53="",FO53=""),"",IFERROR(MATCH(L53,INDEX(Boundaries!$B$2:$I$30,MATCH(FO53,Boundaries!$A$2:$A$30,0),0),1)-1,""))</f>
        <v>7</v>
      </c>
      <c r="N53" s="37" t="n">
        <f aca="false">IF(COUNT($DY53:$EL53)&lt;2,"",INDEX($DK53:$DX53,MAX($DY53:$EL53))-INDEX($DK53:$DX53,MIN($DY53:$EL53)))</f>
        <v>0</v>
      </c>
      <c r="O53" s="37" t="n">
        <f aca="false">IF(COUNT($DY53:$EL53)&lt;2,"",INDEX($DK53:$DX53,MAX($DY53:$EL53))-INDEX($DK53:$DX53,LARGE($DY53:$EL53,2)))</f>
        <v>3</v>
      </c>
      <c r="P53" s="38" t="str">
        <f aca="false">IF(K53="","",IF(K53&gt;=0,"On/above target",IF(AND(N53&lt;&gt;"",N53&gt;=0.5),"Improving towards target",IF(AND(O53&lt;&gt;"",O53&lt;=-0.5),"Declining","Stable below target"))))</f>
        <v>On/above target</v>
      </c>
      <c r="Q53" s="39" t="n">
        <v>27</v>
      </c>
      <c r="R53" s="40" t="n">
        <f aca="false">IF(OR(Q53="",BU53=""),"",Q53/BU53*100)</f>
        <v>90</v>
      </c>
      <c r="S53" s="41" t="n">
        <f aca="false">IF(R53="","",IFERROR(MATCH(R53,INDEX(Boundaries!$B$2:$I$30,MATCH(CI53,Boundaries!$A$2:$A$30,0),0),1)-1,""))</f>
        <v>7</v>
      </c>
      <c r="T53" s="42" t="n">
        <f aca="false">IF(OR(S53="",$E53=""),"",S53-$E53)</f>
        <v>0.0999999999999996</v>
      </c>
      <c r="U53" s="39" t="n">
        <v>23</v>
      </c>
      <c r="V53" s="40" t="n">
        <f aca="false">IF(OR(U53="",BV53=""),"",U53/BV53*100)</f>
        <v>95.8333333333333</v>
      </c>
      <c r="W53" s="41" t="n">
        <f aca="false">IF(V53="","",IFERROR(MATCH(V53,INDEX(Boundaries!$B$2:$I$30,MATCH(CJ53,Boundaries!$A$2:$A$30,0),0),1)-1,""))</f>
        <v>7</v>
      </c>
      <c r="X53" s="42" t="n">
        <f aca="false">IF(OR(W53="",$E53=""),"",W53-$E53)</f>
        <v>0.0999999999999996</v>
      </c>
      <c r="Y53" s="39" t="n">
        <v>20</v>
      </c>
      <c r="Z53" s="40" t="n">
        <f aca="false">IF(OR(Y53="",BW53=""),"",Y53/BW53*100)</f>
        <v>80</v>
      </c>
      <c r="AA53" s="41" t="n">
        <f aca="false">IF(Z53="","",IFERROR(MATCH(Z53,INDEX(Boundaries!$B$2:$I$30,MATCH(CK53,Boundaries!$A$2:$A$30,0),0),1)-1,""))</f>
        <v>6</v>
      </c>
      <c r="AB53" s="42" t="n">
        <f aca="false">IF(OR(AA53="",$E53=""),"",AA53-$E53)</f>
        <v>-0.9</v>
      </c>
      <c r="AC53" s="39" t="n">
        <v>19</v>
      </c>
      <c r="AD53" s="40" t="n">
        <f aca="false">IF(OR(AC53="",BX53=""),"",AC53/BX53*100)</f>
        <v>54.2857142857143</v>
      </c>
      <c r="AE53" s="41" t="n">
        <f aca="false">IF(AD53="","",IFERROR(MATCH(AD53,INDEX(Boundaries!$B$2:$I$30,MATCH(CL53,Boundaries!$A$2:$A$30,0),0),1)-1,""))</f>
        <v>4</v>
      </c>
      <c r="AF53" s="42" t="n">
        <f aca="false">IF(OR(AE53="",$E53=""),"",AE53-$E53)</f>
        <v>-2.9</v>
      </c>
      <c r="AG53" s="39" t="n">
        <v>48</v>
      </c>
      <c r="AH53" s="40" t="n">
        <f aca="false">IF(OR(AG53="",BY53=""),"",AG53/BY53*100)</f>
        <v>87.2727272727273</v>
      </c>
      <c r="AI53" s="41" t="n">
        <f aca="false">IF(AH53="","",IFERROR(MATCH(AH53,INDEX(Boundaries!$B$2:$I$30,MATCH(CM53,Boundaries!$A$2:$A$30,0),0),1)-1,""))</f>
        <v>7</v>
      </c>
      <c r="AJ53" s="42" t="n">
        <f aca="false">IF(OR(AI53="",$E53=""),"",AI53-$E53)</f>
        <v>0.0999999999999996</v>
      </c>
      <c r="AK53" s="39"/>
      <c r="AL53" s="40" t="str">
        <f aca="false">IF(OR(AK53="",BZ53=""),"",AK53/BZ53*100)</f>
        <v/>
      </c>
      <c r="AM53" s="41" t="str">
        <f aca="false">IF(AL53="","",IFERROR(MATCH(AL53,INDEX(Boundaries!$B$2:$I$30,MATCH(CN53,Boundaries!$A$2:$A$30,0),0),1)-1,""))</f>
        <v/>
      </c>
      <c r="AN53" s="42" t="str">
        <f aca="false">IF(OR(AM53="",$E53=""),"",AM53-$E53)</f>
        <v/>
      </c>
      <c r="AO53" s="39"/>
      <c r="AP53" s="40" t="str">
        <f aca="false">IF(OR(AO53="",CA53=""),"",AO53/CA53*100)</f>
        <v/>
      </c>
      <c r="AQ53" s="41" t="str">
        <f aca="false">IF(AP53="","",IFERROR(MATCH(AP53,INDEX(Boundaries!$B$2:$I$30,MATCH(CO53,Boundaries!$A$2:$A$30,0),0),1)-1,""))</f>
        <v/>
      </c>
      <c r="AR53" s="42" t="str">
        <f aca="false">IF(OR(AQ53="",$E53=""),"",AQ53-$E53)</f>
        <v/>
      </c>
      <c r="AS53" s="39"/>
      <c r="AT53" s="40" t="str">
        <f aca="false">IF(OR(AS53="",CB53=""),"",AS53/CB53*100)</f>
        <v/>
      </c>
      <c r="AU53" s="41" t="str">
        <f aca="false">IF(AT53="","",IFERROR(MATCH(AT53,INDEX(Boundaries!$B$2:$I$30,MATCH(CP53,Boundaries!$A$2:$A$30,0),0),1)-1,""))</f>
        <v/>
      </c>
      <c r="AV53" s="42" t="str">
        <f aca="false">IF(OR(AU53="",$E53=""),"",AU53-$E53)</f>
        <v/>
      </c>
      <c r="AW53" s="39"/>
      <c r="AX53" s="40" t="str">
        <f aca="false">IF(OR(AW53="",CC53=""),"",AW53/CC53*100)</f>
        <v/>
      </c>
      <c r="AY53" s="41" t="str">
        <f aca="false">IF(AX53="","",IFERROR(MATCH(AX53,INDEX(Boundaries!$B$2:$I$30,MATCH(CQ53,Boundaries!$A$2:$A$30,0),0),1)-1,""))</f>
        <v/>
      </c>
      <c r="AZ53" s="42" t="str">
        <f aca="false">IF(OR(AY53="",$E53=""),"",AY53-$E53)</f>
        <v/>
      </c>
      <c r="BA53" s="39"/>
      <c r="BB53" s="40" t="str">
        <f aca="false">IF(OR(BA53="",CD53=""),"",BA53/CD53*100)</f>
        <v/>
      </c>
      <c r="BC53" s="41" t="str">
        <f aca="false">IF(BB53="","",IFERROR(MATCH(BB53,INDEX(Boundaries!$B$2:$I$30,MATCH(CR53,Boundaries!$A$2:$A$30,0),0),1)-1,""))</f>
        <v/>
      </c>
      <c r="BD53" s="42" t="str">
        <f aca="false">IF(OR(BC53="",$E53=""),"",BC53-$E53)</f>
        <v/>
      </c>
      <c r="BE53" s="39"/>
      <c r="BF53" s="40" t="str">
        <f aca="false">IF(OR(BE53="",CE53=""),"",BE53/CE53*100)</f>
        <v/>
      </c>
      <c r="BG53" s="41" t="str">
        <f aca="false">IF(BF53="","",IFERROR(MATCH(BF53,INDEX(Boundaries!$B$2:$I$30,MATCH(CS53,Boundaries!$A$2:$A$30,0),0),1)-1,""))</f>
        <v/>
      </c>
      <c r="BH53" s="42" t="str">
        <f aca="false">IF(OR(BG53="",$E53=""),"",BG53-$E53)</f>
        <v/>
      </c>
      <c r="BI53" s="39"/>
      <c r="BJ53" s="40" t="str">
        <f aca="false">IF(OR(BI53="",CF53=""),"",BI53/CF53*100)</f>
        <v/>
      </c>
      <c r="BK53" s="41" t="str">
        <f aca="false">IF(BJ53="","",IFERROR(MATCH(BJ53,INDEX(Boundaries!$B$2:$I$30,MATCH(CT53,Boundaries!$A$2:$A$30,0),0),1)-1,""))</f>
        <v/>
      </c>
      <c r="BL53" s="42" t="str">
        <f aca="false">IF(OR(BK53="",$E53=""),"",BK53-$E53)</f>
        <v/>
      </c>
      <c r="BM53" s="39"/>
      <c r="BN53" s="40" t="str">
        <f aca="false">IF(OR(BM53="",CG53=""),"",BM53/CG53*100)</f>
        <v/>
      </c>
      <c r="BO53" s="41" t="str">
        <f aca="false">IF(BN53="","",IFERROR(MATCH(BN53,INDEX(Boundaries!$B$2:$I$30,MATCH(CU53,Boundaries!$A$2:$A$30,0),0),1)-1,""))</f>
        <v/>
      </c>
      <c r="BP53" s="42" t="str">
        <f aca="false">IF(OR(BO53="",$E53=""),"",BO53-$E53)</f>
        <v/>
      </c>
      <c r="BQ53" s="39"/>
      <c r="BR53" s="40" t="str">
        <f aca="false">IF(OR(BQ53="",CH53=""),"",BQ53/CH53*100)</f>
        <v/>
      </c>
      <c r="BS53" s="41" t="str">
        <f aca="false">IF(BR53="","",IFERROR(MATCH(BR53,INDEX(Boundaries!$B$2:$I$30,MATCH(CV53,Boundaries!$A$2:$A$30,0),0),1)-1,""))</f>
        <v/>
      </c>
      <c r="BT53" s="42" t="str">
        <f aca="false">IF(OR(BS53="",$E53=""),"",BS53-$E53)</f>
        <v/>
      </c>
      <c r="BU53" s="28" t="n">
        <f aca="false">IFERROR(INDEX(Assessments!$H$2:$H$600,MATCH($H53&amp;"|"&amp;$I53&amp;"|"&amp;$J53&amp;"|"&amp;1,Assessments!$A$2:$A$600,0)),"")</f>
        <v>30</v>
      </c>
      <c r="BV53" s="28" t="n">
        <f aca="false">IFERROR(INDEX(Assessments!$H$2:$H$600,MATCH($H53&amp;"|"&amp;$I53&amp;"|"&amp;$J53&amp;"|"&amp;2,Assessments!$A$2:$A$600,0)),"")</f>
        <v>24</v>
      </c>
      <c r="BW53" s="28" t="n">
        <f aca="false">IFERROR(INDEX(Assessments!$H$2:$H$600,MATCH($H53&amp;"|"&amp;$I53&amp;"|"&amp;$J53&amp;"|"&amp;3,Assessments!$A$2:$A$600,0)),"")</f>
        <v>25</v>
      </c>
      <c r="BX53" s="28" t="n">
        <f aca="false">IFERROR(INDEX(Assessments!$H$2:$H$600,MATCH($H53&amp;"|"&amp;$I53&amp;"|"&amp;$J53&amp;"|"&amp;4,Assessments!$A$2:$A$600,0)),"")</f>
        <v>35</v>
      </c>
      <c r="BY53" s="28" t="n">
        <f aca="false">IFERROR(INDEX(Assessments!$H$2:$H$600,MATCH($H53&amp;"|"&amp;$I53&amp;"|"&amp;$J53&amp;"|"&amp;5,Assessments!$A$2:$A$600,0)),"")</f>
        <v>55</v>
      </c>
      <c r="BZ53" s="28" t="n">
        <f aca="false">IFERROR(INDEX(Assessments!$H$2:$H$600,MATCH($H53&amp;"|"&amp;$I53&amp;"|"&amp;$J53&amp;"|"&amp;6,Assessments!$A$2:$A$600,0)),"")</f>
        <v>30</v>
      </c>
      <c r="CA53" s="28" t="n">
        <f aca="false">IFERROR(INDEX(Assessments!$H$2:$H$600,MATCH($H53&amp;"|"&amp;$I53&amp;"|"&amp;$J53&amp;"|"&amp;7,Assessments!$A$2:$A$600,0)),"")</f>
        <v>95</v>
      </c>
      <c r="CB53" s="28" t="str">
        <f aca="false">IFERROR(INDEX(Assessments!$H$2:$H$600,MATCH($H53&amp;"|"&amp;$I53&amp;"|"&amp;$J53&amp;"|"&amp;8,Assessments!$A$2:$A$600,0)),"")</f>
        <v/>
      </c>
      <c r="CC53" s="28" t="str">
        <f aca="false">IFERROR(INDEX(Assessments!$H$2:$H$600,MATCH($H53&amp;"|"&amp;$I53&amp;"|"&amp;$J53&amp;"|"&amp;9,Assessments!$A$2:$A$600,0)),"")</f>
        <v/>
      </c>
      <c r="CD53" s="28" t="str">
        <f aca="false">IFERROR(INDEX(Assessments!$H$2:$H$600,MATCH($H53&amp;"|"&amp;$I53&amp;"|"&amp;$J53&amp;"|"&amp;10,Assessments!$A$2:$A$600,0)),"")</f>
        <v/>
      </c>
      <c r="CE53" s="28" t="str">
        <f aca="false">IFERROR(INDEX(Assessments!$H$2:$H$600,MATCH($H53&amp;"|"&amp;$I53&amp;"|"&amp;$J53&amp;"|"&amp;11,Assessments!$A$2:$A$600,0)),"")</f>
        <v/>
      </c>
      <c r="CF53" s="28" t="str">
        <f aca="false">IFERROR(INDEX(Assessments!$H$2:$H$600,MATCH($H53&amp;"|"&amp;$I53&amp;"|"&amp;$J53&amp;"|"&amp;12,Assessments!$A$2:$A$600,0)),"")</f>
        <v/>
      </c>
      <c r="CG53" s="28" t="str">
        <f aca="false">IFERROR(INDEX(Assessments!$H$2:$H$600,MATCH($H53&amp;"|"&amp;$I53&amp;"|"&amp;$J53&amp;"|"&amp;13,Assessments!$A$2:$A$600,0)),"")</f>
        <v/>
      </c>
      <c r="CH53" s="28" t="str">
        <f aca="false">IFERROR(INDEX(Assessments!$H$2:$H$600,MATCH($H53&amp;"|"&amp;$I53&amp;"|"&amp;$J53&amp;"|"&amp;14,Assessments!$A$2:$A$600,0)),"")</f>
        <v/>
      </c>
      <c r="CI53" s="28" t="str">
        <f aca="false">IFERROR(INDEX(Assessments!$I$2:$I$600,MATCH($H53&amp;"|"&amp;$I53&amp;"|"&amp;$J53&amp;"|"&amp;1,Assessments!$A$2:$A$600,0)),"")</f>
        <v>Econ Test</v>
      </c>
      <c r="CJ53" s="28" t="str">
        <f aca="false">IFERROR(INDEX(Assessments!$I$2:$I$600,MATCH($H53&amp;"|"&amp;$I53&amp;"|"&amp;$J53&amp;"|"&amp;2,Assessments!$A$2:$A$600,0)),"")</f>
        <v>Econ Test</v>
      </c>
      <c r="CK53" s="28" t="str">
        <f aca="false">IFERROR(INDEX(Assessments!$I$2:$I$600,MATCH($H53&amp;"|"&amp;$I53&amp;"|"&amp;$J53&amp;"|"&amp;3,Assessments!$A$2:$A$600,0)),"")</f>
        <v>Econ Test</v>
      </c>
      <c r="CL53" s="28" t="str">
        <f aca="false">IFERROR(INDEX(Assessments!$I$2:$I$600,MATCH($H53&amp;"|"&amp;$I53&amp;"|"&amp;$J53&amp;"|"&amp;4,Assessments!$A$2:$A$600,0)),"")</f>
        <v>Econ Test</v>
      </c>
      <c r="CM53" s="28" t="str">
        <f aca="false">IFERROR(INDEX(Assessments!$I$2:$I$600,MATCH($H53&amp;"|"&amp;$I53&amp;"|"&amp;$J53&amp;"|"&amp;5,Assessments!$A$2:$A$600,0)),"")</f>
        <v>Econ Exam</v>
      </c>
      <c r="CN53" s="28" t="str">
        <f aca="false">IFERROR(INDEX(Assessments!$I$2:$I$600,MATCH($H53&amp;"|"&amp;$I53&amp;"|"&amp;$J53&amp;"|"&amp;6,Assessments!$A$2:$A$600,0)),"")</f>
        <v>Econ Test</v>
      </c>
      <c r="CO53" s="28" t="str">
        <f aca="false">IFERROR(INDEX(Assessments!$I$2:$I$600,MATCH($H53&amp;"|"&amp;$I53&amp;"|"&amp;$J53&amp;"|"&amp;7,Assessments!$A$2:$A$600,0)),"")</f>
        <v>Econ Exam</v>
      </c>
      <c r="CP53" s="28" t="str">
        <f aca="false">IFERROR(INDEX(Assessments!$I$2:$I$600,MATCH($H53&amp;"|"&amp;$I53&amp;"|"&amp;$J53&amp;"|"&amp;8,Assessments!$A$2:$A$600,0)),"")</f>
        <v/>
      </c>
      <c r="CQ53" s="28" t="str">
        <f aca="false">IFERROR(INDEX(Assessments!$I$2:$I$600,MATCH($H53&amp;"|"&amp;$I53&amp;"|"&amp;$J53&amp;"|"&amp;9,Assessments!$A$2:$A$600,0)),"")</f>
        <v/>
      </c>
      <c r="CR53" s="28" t="str">
        <f aca="false">IFERROR(INDEX(Assessments!$I$2:$I$600,MATCH($H53&amp;"|"&amp;$I53&amp;"|"&amp;$J53&amp;"|"&amp;10,Assessments!$A$2:$A$600,0)),"")</f>
        <v/>
      </c>
      <c r="CS53" s="28" t="str">
        <f aca="false">IFERROR(INDEX(Assessments!$I$2:$I$600,MATCH($H53&amp;"|"&amp;$I53&amp;"|"&amp;$J53&amp;"|"&amp;11,Assessments!$A$2:$A$600,0)),"")</f>
        <v/>
      </c>
      <c r="CT53" s="28" t="str">
        <f aca="false">IFERROR(INDEX(Assessments!$I$2:$I$600,MATCH($H53&amp;"|"&amp;$I53&amp;"|"&amp;$J53&amp;"|"&amp;12,Assessments!$A$2:$A$600,0)),"")</f>
        <v/>
      </c>
      <c r="CU53" s="28" t="str">
        <f aca="false">IFERROR(INDEX(Assessments!$I$2:$I$600,MATCH($H53&amp;"|"&amp;$I53&amp;"|"&amp;$J53&amp;"|"&amp;13,Assessments!$A$2:$A$600,0)),"")</f>
        <v/>
      </c>
      <c r="CV53" s="28" t="str">
        <f aca="false">IFERROR(INDEX(Assessments!$I$2:$I$600,MATCH($H53&amp;"|"&amp;$I53&amp;"|"&amp;$J53&amp;"|"&amp;14,Assessments!$A$2:$A$600,0)),"")</f>
        <v/>
      </c>
      <c r="CW53" s="28" t="n">
        <f aca="false">IFERROR(INDEX(Assessments!$J$2:$J$600,MATCH($H53&amp;"|"&amp;$I53&amp;"|"&amp;$J53&amp;"|"&amp;1,Assessments!$A$2:$A$600,0)),0)</f>
        <v>1</v>
      </c>
      <c r="CX53" s="28" t="n">
        <f aca="false">IFERROR(INDEX(Assessments!$J$2:$J$600,MATCH($H53&amp;"|"&amp;$I53&amp;"|"&amp;$J53&amp;"|"&amp;2,Assessments!$A$2:$A$600,0)),0)</f>
        <v>1</v>
      </c>
      <c r="CY53" s="28" t="n">
        <f aca="false">IFERROR(INDEX(Assessments!$J$2:$J$600,MATCH($H53&amp;"|"&amp;$I53&amp;"|"&amp;$J53&amp;"|"&amp;3,Assessments!$A$2:$A$600,0)),0)</f>
        <v>1</v>
      </c>
      <c r="CZ53" s="28" t="n">
        <f aca="false">IFERROR(INDEX(Assessments!$J$2:$J$600,MATCH($H53&amp;"|"&amp;$I53&amp;"|"&amp;$J53&amp;"|"&amp;4,Assessments!$A$2:$A$600,0)),0)</f>
        <v>1</v>
      </c>
      <c r="DA53" s="28" t="n">
        <f aca="false">IFERROR(INDEX(Assessments!$J$2:$J$600,MATCH($H53&amp;"|"&amp;$I53&amp;"|"&amp;$J53&amp;"|"&amp;5,Assessments!$A$2:$A$600,0)),0)</f>
        <v>2</v>
      </c>
      <c r="DB53" s="28" t="n">
        <f aca="false">IFERROR(INDEX(Assessments!$J$2:$J$600,MATCH($H53&amp;"|"&amp;$I53&amp;"|"&amp;$J53&amp;"|"&amp;6,Assessments!$A$2:$A$600,0)),0)</f>
        <v>1</v>
      </c>
      <c r="DC53" s="28" t="n">
        <f aca="false">IFERROR(INDEX(Assessments!$J$2:$J$600,MATCH($H53&amp;"|"&amp;$I53&amp;"|"&amp;$J53&amp;"|"&amp;7,Assessments!$A$2:$A$600,0)),0)</f>
        <v>2</v>
      </c>
      <c r="DD53" s="28" t="n">
        <f aca="false">IFERROR(INDEX(Assessments!$J$2:$J$600,MATCH($H53&amp;"|"&amp;$I53&amp;"|"&amp;$J53&amp;"|"&amp;8,Assessments!$A$2:$A$600,0)),0)</f>
        <v>0</v>
      </c>
      <c r="DE53" s="28" t="n">
        <f aca="false">IFERROR(INDEX(Assessments!$J$2:$J$600,MATCH($H53&amp;"|"&amp;$I53&amp;"|"&amp;$J53&amp;"|"&amp;9,Assessments!$A$2:$A$600,0)),0)</f>
        <v>0</v>
      </c>
      <c r="DF53" s="28" t="n">
        <f aca="false">IFERROR(INDEX(Assessments!$J$2:$J$600,MATCH($H53&amp;"|"&amp;$I53&amp;"|"&amp;$J53&amp;"|"&amp;10,Assessments!$A$2:$A$600,0)),0)</f>
        <v>0</v>
      </c>
      <c r="DG53" s="28" t="n">
        <f aca="false">IFERROR(INDEX(Assessments!$J$2:$J$600,MATCH($H53&amp;"|"&amp;$I53&amp;"|"&amp;$J53&amp;"|"&amp;11,Assessments!$A$2:$A$600,0)),0)</f>
        <v>0</v>
      </c>
      <c r="DH53" s="28" t="n">
        <f aca="false">IFERROR(INDEX(Assessments!$J$2:$J$600,MATCH($H53&amp;"|"&amp;$I53&amp;"|"&amp;$J53&amp;"|"&amp;12,Assessments!$A$2:$A$600,0)),0)</f>
        <v>0</v>
      </c>
      <c r="DI53" s="28" t="n">
        <f aca="false">IFERROR(INDEX(Assessments!$J$2:$J$600,MATCH($H53&amp;"|"&amp;$I53&amp;"|"&amp;$J53&amp;"|"&amp;13,Assessments!$A$2:$A$600,0)),0)</f>
        <v>0</v>
      </c>
      <c r="DJ53" s="28" t="n">
        <f aca="false">IFERROR(INDEX(Assessments!$J$2:$J$600,MATCH($H53&amp;"|"&amp;$I53&amp;"|"&amp;$J53&amp;"|"&amp;14,Assessments!$A$2:$A$600,0)),0)</f>
        <v>0</v>
      </c>
      <c r="DK53" s="28" t="n">
        <f aca="false">S53</f>
        <v>7</v>
      </c>
      <c r="DL53" s="28" t="n">
        <f aca="false">W53</f>
        <v>7</v>
      </c>
      <c r="DM53" s="28" t="n">
        <f aca="false">AA53</f>
        <v>6</v>
      </c>
      <c r="DN53" s="28" t="n">
        <f aca="false">AE53</f>
        <v>4</v>
      </c>
      <c r="DO53" s="28" t="n">
        <f aca="false">AI53</f>
        <v>7</v>
      </c>
      <c r="DP53" s="28" t="str">
        <f aca="false">AM53</f>
        <v/>
      </c>
      <c r="DQ53" s="28" t="str">
        <f aca="false">AQ53</f>
        <v/>
      </c>
      <c r="DR53" s="28" t="str">
        <f aca="false">AU53</f>
        <v/>
      </c>
      <c r="DS53" s="28" t="str">
        <f aca="false">AY53</f>
        <v/>
      </c>
      <c r="DT53" s="28" t="str">
        <f aca="false">BC53</f>
        <v/>
      </c>
      <c r="DU53" s="28" t="str">
        <f aca="false">BG53</f>
        <v/>
      </c>
      <c r="DV53" s="28" t="str">
        <f aca="false">BK53</f>
        <v/>
      </c>
      <c r="DW53" s="28" t="str">
        <f aca="false">BO53</f>
        <v/>
      </c>
      <c r="DX53" s="28" t="str">
        <f aca="false">BS53</f>
        <v/>
      </c>
      <c r="DY53" s="28" t="n">
        <f aca="false">IF(ISNUMBER(S53),1,"")</f>
        <v>1</v>
      </c>
      <c r="DZ53" s="28" t="n">
        <f aca="false">IF(ISNUMBER(W53),2,"")</f>
        <v>2</v>
      </c>
      <c r="EA53" s="28" t="n">
        <f aca="false">IF(ISNUMBER(AA53),3,"")</f>
        <v>3</v>
      </c>
      <c r="EB53" s="28" t="n">
        <f aca="false">IF(ISNUMBER(AE53),4,"")</f>
        <v>4</v>
      </c>
      <c r="EC53" s="28" t="n">
        <f aca="false">IF(ISNUMBER(AI53),5,"")</f>
        <v>5</v>
      </c>
      <c r="ED53" s="28" t="str">
        <f aca="false">IF(ISNUMBER(AM53),6,"")</f>
        <v/>
      </c>
      <c r="EE53" s="28" t="str">
        <f aca="false">IF(ISNUMBER(AQ53),7,"")</f>
        <v/>
      </c>
      <c r="EF53" s="28" t="str">
        <f aca="false">IF(ISNUMBER(AU53),8,"")</f>
        <v/>
      </c>
      <c r="EG53" s="28" t="str">
        <f aca="false">IF(ISNUMBER(AY53),9,"")</f>
        <v/>
      </c>
      <c r="EH53" s="28" t="str">
        <f aca="false">IF(ISNUMBER(BC53),10,"")</f>
        <v/>
      </c>
      <c r="EI53" s="28" t="str">
        <f aca="false">IF(ISNUMBER(BG53),11,"")</f>
        <v/>
      </c>
      <c r="EJ53" s="28" t="str">
        <f aca="false">IF(ISNUMBER(BK53),12,"")</f>
        <v/>
      </c>
      <c r="EK53" s="28" t="str">
        <f aca="false">IF(ISNUMBER(BO53),13,"")</f>
        <v/>
      </c>
      <c r="EL53" s="28" t="str">
        <f aca="false">IF(ISNUMBER(BS53),14,"")</f>
        <v/>
      </c>
      <c r="EM53" s="28" t="n">
        <f aca="false">IF(ISNUMBER(R53),R53*CW53,0)</f>
        <v>90</v>
      </c>
      <c r="EN53" s="28" t="n">
        <f aca="false">IF(ISNUMBER(V53),V53*CX53,0)</f>
        <v>95.8333333333333</v>
      </c>
      <c r="EO53" s="28" t="n">
        <f aca="false">IF(ISNUMBER(Z53),Z53*CY53,0)</f>
        <v>80</v>
      </c>
      <c r="EP53" s="28" t="n">
        <f aca="false">IF(ISNUMBER(AD53),AD53*CZ53,0)</f>
        <v>54.2857142857143</v>
      </c>
      <c r="EQ53" s="28" t="n">
        <f aca="false">IF(ISNUMBER(AH53),AH53*DA53,0)</f>
        <v>174.545454545455</v>
      </c>
      <c r="ER53" s="28" t="n">
        <f aca="false">IF(ISNUMBER(AL53),AL53*DB53,0)</f>
        <v>0</v>
      </c>
      <c r="ES53" s="28" t="n">
        <f aca="false">IF(ISNUMBER(AP53),AP53*DC53,0)</f>
        <v>0</v>
      </c>
      <c r="ET53" s="28" t="n">
        <f aca="false">IF(ISNUMBER(AT53),AT53*DD53,0)</f>
        <v>0</v>
      </c>
      <c r="EU53" s="28" t="n">
        <f aca="false">IF(ISNUMBER(AX53),AX53*DE53,0)</f>
        <v>0</v>
      </c>
      <c r="EV53" s="28" t="n">
        <f aca="false">IF(ISNUMBER(BB53),BB53*DF53,0)</f>
        <v>0</v>
      </c>
      <c r="EW53" s="28" t="n">
        <f aca="false">IF(ISNUMBER(BF53),BF53*DG53,0)</f>
        <v>0</v>
      </c>
      <c r="EX53" s="28" t="n">
        <f aca="false">IF(ISNUMBER(BJ53),BJ53*DH53,0)</f>
        <v>0</v>
      </c>
      <c r="EY53" s="28" t="n">
        <f aca="false">IF(ISNUMBER(BN53),BN53*DI53,0)</f>
        <v>0</v>
      </c>
      <c r="EZ53" s="28" t="n">
        <f aca="false">IF(ISNUMBER(BR53),BR53*DJ53,0)</f>
        <v>0</v>
      </c>
      <c r="FA53" s="28" t="n">
        <f aca="false">IF(ISNUMBER(R53),CW53,0)</f>
        <v>1</v>
      </c>
      <c r="FB53" s="28" t="n">
        <f aca="false">IF(ISNUMBER(V53),CX53,0)</f>
        <v>1</v>
      </c>
      <c r="FC53" s="28" t="n">
        <f aca="false">IF(ISNUMBER(Z53),CY53,0)</f>
        <v>1</v>
      </c>
      <c r="FD53" s="28" t="n">
        <f aca="false">IF(ISNUMBER(AD53),CZ53,0)</f>
        <v>1</v>
      </c>
      <c r="FE53" s="28" t="n">
        <f aca="false">IF(ISNUMBER(AH53),DA53,0)</f>
        <v>2</v>
      </c>
      <c r="FF53" s="28" t="n">
        <f aca="false">IF(ISNUMBER(AL53),DB53,0)</f>
        <v>0</v>
      </c>
      <c r="FG53" s="28" t="n">
        <f aca="false">IF(ISNUMBER(AP53),DC53,0)</f>
        <v>0</v>
      </c>
      <c r="FH53" s="28" t="n">
        <f aca="false">IF(ISNUMBER(AT53),DD53,0)</f>
        <v>0</v>
      </c>
      <c r="FI53" s="28" t="n">
        <f aca="false">IF(ISNUMBER(AX53),DE53,0)</f>
        <v>0</v>
      </c>
      <c r="FJ53" s="28" t="n">
        <f aca="false">IF(ISNUMBER(BB53),DF53,0)</f>
        <v>0</v>
      </c>
      <c r="FK53" s="28" t="n">
        <f aca="false">IF(ISNUMBER(BF53),DG53,0)</f>
        <v>0</v>
      </c>
      <c r="FL53" s="28" t="n">
        <f aca="false">IF(ISNUMBER(BJ53),DH53,0)</f>
        <v>0</v>
      </c>
      <c r="FM53" s="28" t="n">
        <f aca="false">IF(ISNUMBER(BN53),DI53,0)</f>
        <v>0</v>
      </c>
      <c r="FN53" s="28" t="n">
        <f aca="false">IF(ISNUMBER(BR53),DJ53,0)</f>
        <v>0</v>
      </c>
      <c r="FO53" s="28" t="str">
        <f aca="false">IFERROR(INDEX(Lists!$G$2:$G$20,MATCH($I53&amp;"|"&amp;$J53,Lists!$F$2:$F$20,0)),"")</f>
        <v>Econ Exam</v>
      </c>
    </row>
    <row r="54" customFormat="false" ht="19.5" hidden="false" customHeight="true" outlineLevel="0" collapsed="false">
      <c r="A54" s="29" t="s">
        <v>242</v>
      </c>
      <c r="B54" s="29" t="s">
        <v>243</v>
      </c>
      <c r="C54" s="30" t="s">
        <v>152</v>
      </c>
      <c r="D54" s="30" t="s">
        <v>228</v>
      </c>
      <c r="E54" s="31" t="n">
        <v>6.4</v>
      </c>
      <c r="F54" s="30" t="n">
        <v>7</v>
      </c>
      <c r="G54" s="30"/>
      <c r="H54" s="32" t="s">
        <v>23</v>
      </c>
      <c r="I54" s="33" t="s">
        <v>229</v>
      </c>
      <c r="J54" s="32" t="s">
        <v>25</v>
      </c>
      <c r="K54" s="34" t="n">
        <f aca="false">IF(OR(M54="",$E54=""),"",M54-$E54)</f>
        <v>0.6</v>
      </c>
      <c r="L54" s="35" t="n">
        <f aca="false">IF(SUM(FA54:FN54)=0,"",SUM(EM54:EZ54)/SUM(FA54:FN54))</f>
        <v>81.5649350649351</v>
      </c>
      <c r="M54" s="36" t="n">
        <f aca="false">IF(OR(L54="",FO54=""),"",IFERROR(MATCH(L54,INDEX(Boundaries!$B$2:$I$30,MATCH(FO54,Boundaries!$A$2:$A$30,0),0),1)-1,""))</f>
        <v>7</v>
      </c>
      <c r="N54" s="37" t="n">
        <f aca="false">IF(COUNT($DY54:$EL54)&lt;2,"",INDEX($DK54:$DX54,MAX($DY54:$EL54))-INDEX($DK54:$DX54,MIN($DY54:$EL54)))</f>
        <v>1</v>
      </c>
      <c r="O54" s="37" t="n">
        <f aca="false">IF(COUNT($DY54:$EL54)&lt;2,"",INDEX($DK54:$DX54,MAX($DY54:$EL54))-INDEX($DK54:$DX54,LARGE($DY54:$EL54,2)))</f>
        <v>4</v>
      </c>
      <c r="P54" s="38" t="str">
        <f aca="false">IF(K54="","",IF(K54&gt;=0,"On/above target",IF(AND(N54&lt;&gt;"",N54&gt;=0.5),"Improving towards target",IF(AND(O54&lt;&gt;"",O54&lt;=-0.5),"Declining","Stable below target"))))</f>
        <v>On/above target</v>
      </c>
      <c r="Q54" s="39" t="n">
        <v>25</v>
      </c>
      <c r="R54" s="40" t="n">
        <f aca="false">IF(OR(Q54="",BU54=""),"",Q54/BU54*100)</f>
        <v>83.3333333333333</v>
      </c>
      <c r="S54" s="41" t="n">
        <f aca="false">IF(R54="","",IFERROR(MATCH(R54,INDEX(Boundaries!$B$2:$I$30,MATCH(CI54,Boundaries!$A$2:$A$30,0),0),1)-1,""))</f>
        <v>6</v>
      </c>
      <c r="T54" s="42" t="n">
        <f aca="false">IF(OR(S54="",$E54=""),"",S54-$E54)</f>
        <v>-0.4</v>
      </c>
      <c r="U54" s="39" t="n">
        <v>22</v>
      </c>
      <c r="V54" s="40" t="n">
        <f aca="false">IF(OR(U54="",BV54=""),"",U54/BV54*100)</f>
        <v>91.6666666666667</v>
      </c>
      <c r="W54" s="41" t="n">
        <f aca="false">IF(V54="","",IFERROR(MATCH(V54,INDEX(Boundaries!$B$2:$I$30,MATCH(CJ54,Boundaries!$A$2:$A$30,0),0),1)-1,""))</f>
        <v>7</v>
      </c>
      <c r="X54" s="42" t="n">
        <f aca="false">IF(OR(W54="",$E54=""),"",W54-$E54)</f>
        <v>0.6</v>
      </c>
      <c r="Y54" s="39" t="n">
        <v>21</v>
      </c>
      <c r="Z54" s="40" t="n">
        <f aca="false">IF(OR(Y54="",BW54=""),"",Y54/BW54*100)</f>
        <v>84</v>
      </c>
      <c r="AA54" s="41" t="n">
        <f aca="false">IF(Z54="","",IFERROR(MATCH(Z54,INDEX(Boundaries!$B$2:$I$30,MATCH(CK54,Boundaries!$A$2:$A$30,0),0),1)-1,""))</f>
        <v>6</v>
      </c>
      <c r="AB54" s="42" t="n">
        <f aca="false">IF(OR(AA54="",$E54=""),"",AA54-$E54)</f>
        <v>-0.4</v>
      </c>
      <c r="AC54" s="39" t="n">
        <v>17</v>
      </c>
      <c r="AD54" s="40" t="n">
        <f aca="false">IF(OR(AC54="",BX54=""),"",AC54/BX54*100)</f>
        <v>48.5714285714286</v>
      </c>
      <c r="AE54" s="41" t="n">
        <f aca="false">IF(AD54="","",IFERROR(MATCH(AD54,INDEX(Boundaries!$B$2:$I$30,MATCH(CL54,Boundaries!$A$2:$A$30,0),0),1)-1,""))</f>
        <v>3</v>
      </c>
      <c r="AF54" s="42" t="n">
        <f aca="false">IF(OR(AE54="",$E54=""),"",AE54-$E54)</f>
        <v>-3.4</v>
      </c>
      <c r="AG54" s="39" t="n">
        <v>50</v>
      </c>
      <c r="AH54" s="40" t="n">
        <f aca="false">IF(OR(AG54="",BY54=""),"",AG54/BY54*100)</f>
        <v>90.9090909090909</v>
      </c>
      <c r="AI54" s="41" t="n">
        <f aca="false">IF(AH54="","",IFERROR(MATCH(AH54,INDEX(Boundaries!$B$2:$I$30,MATCH(CM54,Boundaries!$A$2:$A$30,0),0),1)-1,""))</f>
        <v>7</v>
      </c>
      <c r="AJ54" s="42" t="n">
        <f aca="false">IF(OR(AI54="",$E54=""),"",AI54-$E54)</f>
        <v>0.6</v>
      </c>
      <c r="AK54" s="39"/>
      <c r="AL54" s="40" t="str">
        <f aca="false">IF(OR(AK54="",BZ54=""),"",AK54/BZ54*100)</f>
        <v/>
      </c>
      <c r="AM54" s="41" t="str">
        <f aca="false">IF(AL54="","",IFERROR(MATCH(AL54,INDEX(Boundaries!$B$2:$I$30,MATCH(CN54,Boundaries!$A$2:$A$30,0),0),1)-1,""))</f>
        <v/>
      </c>
      <c r="AN54" s="42" t="str">
        <f aca="false">IF(OR(AM54="",$E54=""),"",AM54-$E54)</f>
        <v/>
      </c>
      <c r="AO54" s="39"/>
      <c r="AP54" s="40" t="str">
        <f aca="false">IF(OR(AO54="",CA54=""),"",AO54/CA54*100)</f>
        <v/>
      </c>
      <c r="AQ54" s="41" t="str">
        <f aca="false">IF(AP54="","",IFERROR(MATCH(AP54,INDEX(Boundaries!$B$2:$I$30,MATCH(CO54,Boundaries!$A$2:$A$30,0),0),1)-1,""))</f>
        <v/>
      </c>
      <c r="AR54" s="42" t="str">
        <f aca="false">IF(OR(AQ54="",$E54=""),"",AQ54-$E54)</f>
        <v/>
      </c>
      <c r="AS54" s="39"/>
      <c r="AT54" s="40" t="str">
        <f aca="false">IF(OR(AS54="",CB54=""),"",AS54/CB54*100)</f>
        <v/>
      </c>
      <c r="AU54" s="41" t="str">
        <f aca="false">IF(AT54="","",IFERROR(MATCH(AT54,INDEX(Boundaries!$B$2:$I$30,MATCH(CP54,Boundaries!$A$2:$A$30,0),0),1)-1,""))</f>
        <v/>
      </c>
      <c r="AV54" s="42" t="str">
        <f aca="false">IF(OR(AU54="",$E54=""),"",AU54-$E54)</f>
        <v/>
      </c>
      <c r="AW54" s="39"/>
      <c r="AX54" s="40" t="str">
        <f aca="false">IF(OR(AW54="",CC54=""),"",AW54/CC54*100)</f>
        <v/>
      </c>
      <c r="AY54" s="41" t="str">
        <f aca="false">IF(AX54="","",IFERROR(MATCH(AX54,INDEX(Boundaries!$B$2:$I$30,MATCH(CQ54,Boundaries!$A$2:$A$30,0),0),1)-1,""))</f>
        <v/>
      </c>
      <c r="AZ54" s="42" t="str">
        <f aca="false">IF(OR(AY54="",$E54=""),"",AY54-$E54)</f>
        <v/>
      </c>
      <c r="BA54" s="39"/>
      <c r="BB54" s="40" t="str">
        <f aca="false">IF(OR(BA54="",CD54=""),"",BA54/CD54*100)</f>
        <v/>
      </c>
      <c r="BC54" s="41" t="str">
        <f aca="false">IF(BB54="","",IFERROR(MATCH(BB54,INDEX(Boundaries!$B$2:$I$30,MATCH(CR54,Boundaries!$A$2:$A$30,0),0),1)-1,""))</f>
        <v/>
      </c>
      <c r="BD54" s="42" t="str">
        <f aca="false">IF(OR(BC54="",$E54=""),"",BC54-$E54)</f>
        <v/>
      </c>
      <c r="BE54" s="39"/>
      <c r="BF54" s="40" t="str">
        <f aca="false">IF(OR(BE54="",CE54=""),"",BE54/CE54*100)</f>
        <v/>
      </c>
      <c r="BG54" s="41" t="str">
        <f aca="false">IF(BF54="","",IFERROR(MATCH(BF54,INDEX(Boundaries!$B$2:$I$30,MATCH(CS54,Boundaries!$A$2:$A$30,0),0),1)-1,""))</f>
        <v/>
      </c>
      <c r="BH54" s="42" t="str">
        <f aca="false">IF(OR(BG54="",$E54=""),"",BG54-$E54)</f>
        <v/>
      </c>
      <c r="BI54" s="39"/>
      <c r="BJ54" s="40" t="str">
        <f aca="false">IF(OR(BI54="",CF54=""),"",BI54/CF54*100)</f>
        <v/>
      </c>
      <c r="BK54" s="41" t="str">
        <f aca="false">IF(BJ54="","",IFERROR(MATCH(BJ54,INDEX(Boundaries!$B$2:$I$30,MATCH(CT54,Boundaries!$A$2:$A$30,0),0),1)-1,""))</f>
        <v/>
      </c>
      <c r="BL54" s="42" t="str">
        <f aca="false">IF(OR(BK54="",$E54=""),"",BK54-$E54)</f>
        <v/>
      </c>
      <c r="BM54" s="39"/>
      <c r="BN54" s="40" t="str">
        <f aca="false">IF(OR(BM54="",CG54=""),"",BM54/CG54*100)</f>
        <v/>
      </c>
      <c r="BO54" s="41" t="str">
        <f aca="false">IF(BN54="","",IFERROR(MATCH(BN54,INDEX(Boundaries!$B$2:$I$30,MATCH(CU54,Boundaries!$A$2:$A$30,0),0),1)-1,""))</f>
        <v/>
      </c>
      <c r="BP54" s="42" t="str">
        <f aca="false">IF(OR(BO54="",$E54=""),"",BO54-$E54)</f>
        <v/>
      </c>
      <c r="BQ54" s="39"/>
      <c r="BR54" s="40" t="str">
        <f aca="false">IF(OR(BQ54="",CH54=""),"",BQ54/CH54*100)</f>
        <v/>
      </c>
      <c r="BS54" s="41" t="str">
        <f aca="false">IF(BR54="","",IFERROR(MATCH(BR54,INDEX(Boundaries!$B$2:$I$30,MATCH(CV54,Boundaries!$A$2:$A$30,0),0),1)-1,""))</f>
        <v/>
      </c>
      <c r="BT54" s="42" t="str">
        <f aca="false">IF(OR(BS54="",$E54=""),"",BS54-$E54)</f>
        <v/>
      </c>
      <c r="BU54" s="28" t="n">
        <f aca="false">IFERROR(INDEX(Assessments!$H$2:$H$600,MATCH($H54&amp;"|"&amp;$I54&amp;"|"&amp;$J54&amp;"|"&amp;1,Assessments!$A$2:$A$600,0)),"")</f>
        <v>30</v>
      </c>
      <c r="BV54" s="28" t="n">
        <f aca="false">IFERROR(INDEX(Assessments!$H$2:$H$600,MATCH($H54&amp;"|"&amp;$I54&amp;"|"&amp;$J54&amp;"|"&amp;2,Assessments!$A$2:$A$600,0)),"")</f>
        <v>24</v>
      </c>
      <c r="BW54" s="28" t="n">
        <f aca="false">IFERROR(INDEX(Assessments!$H$2:$H$600,MATCH($H54&amp;"|"&amp;$I54&amp;"|"&amp;$J54&amp;"|"&amp;3,Assessments!$A$2:$A$600,0)),"")</f>
        <v>25</v>
      </c>
      <c r="BX54" s="28" t="n">
        <f aca="false">IFERROR(INDEX(Assessments!$H$2:$H$600,MATCH($H54&amp;"|"&amp;$I54&amp;"|"&amp;$J54&amp;"|"&amp;4,Assessments!$A$2:$A$600,0)),"")</f>
        <v>35</v>
      </c>
      <c r="BY54" s="28" t="n">
        <f aca="false">IFERROR(INDEX(Assessments!$H$2:$H$600,MATCH($H54&amp;"|"&amp;$I54&amp;"|"&amp;$J54&amp;"|"&amp;5,Assessments!$A$2:$A$600,0)),"")</f>
        <v>55</v>
      </c>
      <c r="BZ54" s="28" t="n">
        <f aca="false">IFERROR(INDEX(Assessments!$H$2:$H$600,MATCH($H54&amp;"|"&amp;$I54&amp;"|"&amp;$J54&amp;"|"&amp;6,Assessments!$A$2:$A$600,0)),"")</f>
        <v>30</v>
      </c>
      <c r="CA54" s="28" t="n">
        <f aca="false">IFERROR(INDEX(Assessments!$H$2:$H$600,MATCH($H54&amp;"|"&amp;$I54&amp;"|"&amp;$J54&amp;"|"&amp;7,Assessments!$A$2:$A$600,0)),"")</f>
        <v>95</v>
      </c>
      <c r="CB54" s="28" t="str">
        <f aca="false">IFERROR(INDEX(Assessments!$H$2:$H$600,MATCH($H54&amp;"|"&amp;$I54&amp;"|"&amp;$J54&amp;"|"&amp;8,Assessments!$A$2:$A$600,0)),"")</f>
        <v/>
      </c>
      <c r="CC54" s="28" t="str">
        <f aca="false">IFERROR(INDEX(Assessments!$H$2:$H$600,MATCH($H54&amp;"|"&amp;$I54&amp;"|"&amp;$J54&amp;"|"&amp;9,Assessments!$A$2:$A$600,0)),"")</f>
        <v/>
      </c>
      <c r="CD54" s="28" t="str">
        <f aca="false">IFERROR(INDEX(Assessments!$H$2:$H$600,MATCH($H54&amp;"|"&amp;$I54&amp;"|"&amp;$J54&amp;"|"&amp;10,Assessments!$A$2:$A$600,0)),"")</f>
        <v/>
      </c>
      <c r="CE54" s="28" t="str">
        <f aca="false">IFERROR(INDEX(Assessments!$H$2:$H$600,MATCH($H54&amp;"|"&amp;$I54&amp;"|"&amp;$J54&amp;"|"&amp;11,Assessments!$A$2:$A$600,0)),"")</f>
        <v/>
      </c>
      <c r="CF54" s="28" t="str">
        <f aca="false">IFERROR(INDEX(Assessments!$H$2:$H$600,MATCH($H54&amp;"|"&amp;$I54&amp;"|"&amp;$J54&amp;"|"&amp;12,Assessments!$A$2:$A$600,0)),"")</f>
        <v/>
      </c>
      <c r="CG54" s="28" t="str">
        <f aca="false">IFERROR(INDEX(Assessments!$H$2:$H$600,MATCH($H54&amp;"|"&amp;$I54&amp;"|"&amp;$J54&amp;"|"&amp;13,Assessments!$A$2:$A$600,0)),"")</f>
        <v/>
      </c>
      <c r="CH54" s="28" t="str">
        <f aca="false">IFERROR(INDEX(Assessments!$H$2:$H$600,MATCH($H54&amp;"|"&amp;$I54&amp;"|"&amp;$J54&amp;"|"&amp;14,Assessments!$A$2:$A$600,0)),"")</f>
        <v/>
      </c>
      <c r="CI54" s="28" t="str">
        <f aca="false">IFERROR(INDEX(Assessments!$I$2:$I$600,MATCH($H54&amp;"|"&amp;$I54&amp;"|"&amp;$J54&amp;"|"&amp;1,Assessments!$A$2:$A$600,0)),"")</f>
        <v>Econ Test</v>
      </c>
      <c r="CJ54" s="28" t="str">
        <f aca="false">IFERROR(INDEX(Assessments!$I$2:$I$600,MATCH($H54&amp;"|"&amp;$I54&amp;"|"&amp;$J54&amp;"|"&amp;2,Assessments!$A$2:$A$600,0)),"")</f>
        <v>Econ Test</v>
      </c>
      <c r="CK54" s="28" t="str">
        <f aca="false">IFERROR(INDEX(Assessments!$I$2:$I$600,MATCH($H54&amp;"|"&amp;$I54&amp;"|"&amp;$J54&amp;"|"&amp;3,Assessments!$A$2:$A$600,0)),"")</f>
        <v>Econ Test</v>
      </c>
      <c r="CL54" s="28" t="str">
        <f aca="false">IFERROR(INDEX(Assessments!$I$2:$I$600,MATCH($H54&amp;"|"&amp;$I54&amp;"|"&amp;$J54&amp;"|"&amp;4,Assessments!$A$2:$A$600,0)),"")</f>
        <v>Econ Test</v>
      </c>
      <c r="CM54" s="28" t="str">
        <f aca="false">IFERROR(INDEX(Assessments!$I$2:$I$600,MATCH($H54&amp;"|"&amp;$I54&amp;"|"&amp;$J54&amp;"|"&amp;5,Assessments!$A$2:$A$600,0)),"")</f>
        <v>Econ Exam</v>
      </c>
      <c r="CN54" s="28" t="str">
        <f aca="false">IFERROR(INDEX(Assessments!$I$2:$I$600,MATCH($H54&amp;"|"&amp;$I54&amp;"|"&amp;$J54&amp;"|"&amp;6,Assessments!$A$2:$A$600,0)),"")</f>
        <v>Econ Test</v>
      </c>
      <c r="CO54" s="28" t="str">
        <f aca="false">IFERROR(INDEX(Assessments!$I$2:$I$600,MATCH($H54&amp;"|"&amp;$I54&amp;"|"&amp;$J54&amp;"|"&amp;7,Assessments!$A$2:$A$600,0)),"")</f>
        <v>Econ Exam</v>
      </c>
      <c r="CP54" s="28" t="str">
        <f aca="false">IFERROR(INDEX(Assessments!$I$2:$I$600,MATCH($H54&amp;"|"&amp;$I54&amp;"|"&amp;$J54&amp;"|"&amp;8,Assessments!$A$2:$A$600,0)),"")</f>
        <v/>
      </c>
      <c r="CQ54" s="28" t="str">
        <f aca="false">IFERROR(INDEX(Assessments!$I$2:$I$600,MATCH($H54&amp;"|"&amp;$I54&amp;"|"&amp;$J54&amp;"|"&amp;9,Assessments!$A$2:$A$600,0)),"")</f>
        <v/>
      </c>
      <c r="CR54" s="28" t="str">
        <f aca="false">IFERROR(INDEX(Assessments!$I$2:$I$600,MATCH($H54&amp;"|"&amp;$I54&amp;"|"&amp;$J54&amp;"|"&amp;10,Assessments!$A$2:$A$600,0)),"")</f>
        <v/>
      </c>
      <c r="CS54" s="28" t="str">
        <f aca="false">IFERROR(INDEX(Assessments!$I$2:$I$600,MATCH($H54&amp;"|"&amp;$I54&amp;"|"&amp;$J54&amp;"|"&amp;11,Assessments!$A$2:$A$600,0)),"")</f>
        <v/>
      </c>
      <c r="CT54" s="28" t="str">
        <f aca="false">IFERROR(INDEX(Assessments!$I$2:$I$600,MATCH($H54&amp;"|"&amp;$I54&amp;"|"&amp;$J54&amp;"|"&amp;12,Assessments!$A$2:$A$600,0)),"")</f>
        <v/>
      </c>
      <c r="CU54" s="28" t="str">
        <f aca="false">IFERROR(INDEX(Assessments!$I$2:$I$600,MATCH($H54&amp;"|"&amp;$I54&amp;"|"&amp;$J54&amp;"|"&amp;13,Assessments!$A$2:$A$600,0)),"")</f>
        <v/>
      </c>
      <c r="CV54" s="28" t="str">
        <f aca="false">IFERROR(INDEX(Assessments!$I$2:$I$600,MATCH($H54&amp;"|"&amp;$I54&amp;"|"&amp;$J54&amp;"|"&amp;14,Assessments!$A$2:$A$600,0)),"")</f>
        <v/>
      </c>
      <c r="CW54" s="28" t="n">
        <f aca="false">IFERROR(INDEX(Assessments!$J$2:$J$600,MATCH($H54&amp;"|"&amp;$I54&amp;"|"&amp;$J54&amp;"|"&amp;1,Assessments!$A$2:$A$600,0)),0)</f>
        <v>1</v>
      </c>
      <c r="CX54" s="28" t="n">
        <f aca="false">IFERROR(INDEX(Assessments!$J$2:$J$600,MATCH($H54&amp;"|"&amp;$I54&amp;"|"&amp;$J54&amp;"|"&amp;2,Assessments!$A$2:$A$600,0)),0)</f>
        <v>1</v>
      </c>
      <c r="CY54" s="28" t="n">
        <f aca="false">IFERROR(INDEX(Assessments!$J$2:$J$600,MATCH($H54&amp;"|"&amp;$I54&amp;"|"&amp;$J54&amp;"|"&amp;3,Assessments!$A$2:$A$600,0)),0)</f>
        <v>1</v>
      </c>
      <c r="CZ54" s="28" t="n">
        <f aca="false">IFERROR(INDEX(Assessments!$J$2:$J$600,MATCH($H54&amp;"|"&amp;$I54&amp;"|"&amp;$J54&amp;"|"&amp;4,Assessments!$A$2:$A$600,0)),0)</f>
        <v>1</v>
      </c>
      <c r="DA54" s="28" t="n">
        <f aca="false">IFERROR(INDEX(Assessments!$J$2:$J$600,MATCH($H54&amp;"|"&amp;$I54&amp;"|"&amp;$J54&amp;"|"&amp;5,Assessments!$A$2:$A$600,0)),0)</f>
        <v>2</v>
      </c>
      <c r="DB54" s="28" t="n">
        <f aca="false">IFERROR(INDEX(Assessments!$J$2:$J$600,MATCH($H54&amp;"|"&amp;$I54&amp;"|"&amp;$J54&amp;"|"&amp;6,Assessments!$A$2:$A$600,0)),0)</f>
        <v>1</v>
      </c>
      <c r="DC54" s="28" t="n">
        <f aca="false">IFERROR(INDEX(Assessments!$J$2:$J$600,MATCH($H54&amp;"|"&amp;$I54&amp;"|"&amp;$J54&amp;"|"&amp;7,Assessments!$A$2:$A$600,0)),0)</f>
        <v>2</v>
      </c>
      <c r="DD54" s="28" t="n">
        <f aca="false">IFERROR(INDEX(Assessments!$J$2:$J$600,MATCH($H54&amp;"|"&amp;$I54&amp;"|"&amp;$J54&amp;"|"&amp;8,Assessments!$A$2:$A$600,0)),0)</f>
        <v>0</v>
      </c>
      <c r="DE54" s="28" t="n">
        <f aca="false">IFERROR(INDEX(Assessments!$J$2:$J$600,MATCH($H54&amp;"|"&amp;$I54&amp;"|"&amp;$J54&amp;"|"&amp;9,Assessments!$A$2:$A$600,0)),0)</f>
        <v>0</v>
      </c>
      <c r="DF54" s="28" t="n">
        <f aca="false">IFERROR(INDEX(Assessments!$J$2:$J$600,MATCH($H54&amp;"|"&amp;$I54&amp;"|"&amp;$J54&amp;"|"&amp;10,Assessments!$A$2:$A$600,0)),0)</f>
        <v>0</v>
      </c>
      <c r="DG54" s="28" t="n">
        <f aca="false">IFERROR(INDEX(Assessments!$J$2:$J$600,MATCH($H54&amp;"|"&amp;$I54&amp;"|"&amp;$J54&amp;"|"&amp;11,Assessments!$A$2:$A$600,0)),0)</f>
        <v>0</v>
      </c>
      <c r="DH54" s="28" t="n">
        <f aca="false">IFERROR(INDEX(Assessments!$J$2:$J$600,MATCH($H54&amp;"|"&amp;$I54&amp;"|"&amp;$J54&amp;"|"&amp;12,Assessments!$A$2:$A$600,0)),0)</f>
        <v>0</v>
      </c>
      <c r="DI54" s="28" t="n">
        <f aca="false">IFERROR(INDEX(Assessments!$J$2:$J$600,MATCH($H54&amp;"|"&amp;$I54&amp;"|"&amp;$J54&amp;"|"&amp;13,Assessments!$A$2:$A$600,0)),0)</f>
        <v>0</v>
      </c>
      <c r="DJ54" s="28" t="n">
        <f aca="false">IFERROR(INDEX(Assessments!$J$2:$J$600,MATCH($H54&amp;"|"&amp;$I54&amp;"|"&amp;$J54&amp;"|"&amp;14,Assessments!$A$2:$A$600,0)),0)</f>
        <v>0</v>
      </c>
      <c r="DK54" s="28" t="n">
        <f aca="false">S54</f>
        <v>6</v>
      </c>
      <c r="DL54" s="28" t="n">
        <f aca="false">W54</f>
        <v>7</v>
      </c>
      <c r="DM54" s="28" t="n">
        <f aca="false">AA54</f>
        <v>6</v>
      </c>
      <c r="DN54" s="28" t="n">
        <f aca="false">AE54</f>
        <v>3</v>
      </c>
      <c r="DO54" s="28" t="n">
        <f aca="false">AI54</f>
        <v>7</v>
      </c>
      <c r="DP54" s="28" t="str">
        <f aca="false">AM54</f>
        <v/>
      </c>
      <c r="DQ54" s="28" t="str">
        <f aca="false">AQ54</f>
        <v/>
      </c>
      <c r="DR54" s="28" t="str">
        <f aca="false">AU54</f>
        <v/>
      </c>
      <c r="DS54" s="28" t="str">
        <f aca="false">AY54</f>
        <v/>
      </c>
      <c r="DT54" s="28" t="str">
        <f aca="false">BC54</f>
        <v/>
      </c>
      <c r="DU54" s="28" t="str">
        <f aca="false">BG54</f>
        <v/>
      </c>
      <c r="DV54" s="28" t="str">
        <f aca="false">BK54</f>
        <v/>
      </c>
      <c r="DW54" s="28" t="str">
        <f aca="false">BO54</f>
        <v/>
      </c>
      <c r="DX54" s="28" t="str">
        <f aca="false">BS54</f>
        <v/>
      </c>
      <c r="DY54" s="28" t="n">
        <f aca="false">IF(ISNUMBER(S54),1,"")</f>
        <v>1</v>
      </c>
      <c r="DZ54" s="28" t="n">
        <f aca="false">IF(ISNUMBER(W54),2,"")</f>
        <v>2</v>
      </c>
      <c r="EA54" s="28" t="n">
        <f aca="false">IF(ISNUMBER(AA54),3,"")</f>
        <v>3</v>
      </c>
      <c r="EB54" s="28" t="n">
        <f aca="false">IF(ISNUMBER(AE54),4,"")</f>
        <v>4</v>
      </c>
      <c r="EC54" s="28" t="n">
        <f aca="false">IF(ISNUMBER(AI54),5,"")</f>
        <v>5</v>
      </c>
      <c r="ED54" s="28" t="str">
        <f aca="false">IF(ISNUMBER(AM54),6,"")</f>
        <v/>
      </c>
      <c r="EE54" s="28" t="str">
        <f aca="false">IF(ISNUMBER(AQ54),7,"")</f>
        <v/>
      </c>
      <c r="EF54" s="28" t="str">
        <f aca="false">IF(ISNUMBER(AU54),8,"")</f>
        <v/>
      </c>
      <c r="EG54" s="28" t="str">
        <f aca="false">IF(ISNUMBER(AY54),9,"")</f>
        <v/>
      </c>
      <c r="EH54" s="28" t="str">
        <f aca="false">IF(ISNUMBER(BC54),10,"")</f>
        <v/>
      </c>
      <c r="EI54" s="28" t="str">
        <f aca="false">IF(ISNUMBER(BG54),11,"")</f>
        <v/>
      </c>
      <c r="EJ54" s="28" t="str">
        <f aca="false">IF(ISNUMBER(BK54),12,"")</f>
        <v/>
      </c>
      <c r="EK54" s="28" t="str">
        <f aca="false">IF(ISNUMBER(BO54),13,"")</f>
        <v/>
      </c>
      <c r="EL54" s="28" t="str">
        <f aca="false">IF(ISNUMBER(BS54),14,"")</f>
        <v/>
      </c>
      <c r="EM54" s="28" t="n">
        <f aca="false">IF(ISNUMBER(R54),R54*CW54,0)</f>
        <v>83.3333333333333</v>
      </c>
      <c r="EN54" s="28" t="n">
        <f aca="false">IF(ISNUMBER(V54),V54*CX54,0)</f>
        <v>91.6666666666667</v>
      </c>
      <c r="EO54" s="28" t="n">
        <f aca="false">IF(ISNUMBER(Z54),Z54*CY54,0)</f>
        <v>84</v>
      </c>
      <c r="EP54" s="28" t="n">
        <f aca="false">IF(ISNUMBER(AD54),AD54*CZ54,0)</f>
        <v>48.5714285714286</v>
      </c>
      <c r="EQ54" s="28" t="n">
        <f aca="false">IF(ISNUMBER(AH54),AH54*DA54,0)</f>
        <v>181.818181818182</v>
      </c>
      <c r="ER54" s="28" t="n">
        <f aca="false">IF(ISNUMBER(AL54),AL54*DB54,0)</f>
        <v>0</v>
      </c>
      <c r="ES54" s="28" t="n">
        <f aca="false">IF(ISNUMBER(AP54),AP54*DC54,0)</f>
        <v>0</v>
      </c>
      <c r="ET54" s="28" t="n">
        <f aca="false">IF(ISNUMBER(AT54),AT54*DD54,0)</f>
        <v>0</v>
      </c>
      <c r="EU54" s="28" t="n">
        <f aca="false">IF(ISNUMBER(AX54),AX54*DE54,0)</f>
        <v>0</v>
      </c>
      <c r="EV54" s="28" t="n">
        <f aca="false">IF(ISNUMBER(BB54),BB54*DF54,0)</f>
        <v>0</v>
      </c>
      <c r="EW54" s="28" t="n">
        <f aca="false">IF(ISNUMBER(BF54),BF54*DG54,0)</f>
        <v>0</v>
      </c>
      <c r="EX54" s="28" t="n">
        <f aca="false">IF(ISNUMBER(BJ54),BJ54*DH54,0)</f>
        <v>0</v>
      </c>
      <c r="EY54" s="28" t="n">
        <f aca="false">IF(ISNUMBER(BN54),BN54*DI54,0)</f>
        <v>0</v>
      </c>
      <c r="EZ54" s="28" t="n">
        <f aca="false">IF(ISNUMBER(BR54),BR54*DJ54,0)</f>
        <v>0</v>
      </c>
      <c r="FA54" s="28" t="n">
        <f aca="false">IF(ISNUMBER(R54),CW54,0)</f>
        <v>1</v>
      </c>
      <c r="FB54" s="28" t="n">
        <f aca="false">IF(ISNUMBER(V54),CX54,0)</f>
        <v>1</v>
      </c>
      <c r="FC54" s="28" t="n">
        <f aca="false">IF(ISNUMBER(Z54),CY54,0)</f>
        <v>1</v>
      </c>
      <c r="FD54" s="28" t="n">
        <f aca="false">IF(ISNUMBER(AD54),CZ54,0)</f>
        <v>1</v>
      </c>
      <c r="FE54" s="28" t="n">
        <f aca="false">IF(ISNUMBER(AH54),DA54,0)</f>
        <v>2</v>
      </c>
      <c r="FF54" s="28" t="n">
        <f aca="false">IF(ISNUMBER(AL54),DB54,0)</f>
        <v>0</v>
      </c>
      <c r="FG54" s="28" t="n">
        <f aca="false">IF(ISNUMBER(AP54),DC54,0)</f>
        <v>0</v>
      </c>
      <c r="FH54" s="28" t="n">
        <f aca="false">IF(ISNUMBER(AT54),DD54,0)</f>
        <v>0</v>
      </c>
      <c r="FI54" s="28" t="n">
        <f aca="false">IF(ISNUMBER(AX54),DE54,0)</f>
        <v>0</v>
      </c>
      <c r="FJ54" s="28" t="n">
        <f aca="false">IF(ISNUMBER(BB54),DF54,0)</f>
        <v>0</v>
      </c>
      <c r="FK54" s="28" t="n">
        <f aca="false">IF(ISNUMBER(BF54),DG54,0)</f>
        <v>0</v>
      </c>
      <c r="FL54" s="28" t="n">
        <f aca="false">IF(ISNUMBER(BJ54),DH54,0)</f>
        <v>0</v>
      </c>
      <c r="FM54" s="28" t="n">
        <f aca="false">IF(ISNUMBER(BN54),DI54,0)</f>
        <v>0</v>
      </c>
      <c r="FN54" s="28" t="n">
        <f aca="false">IF(ISNUMBER(BR54),DJ54,0)</f>
        <v>0</v>
      </c>
      <c r="FO54" s="28" t="str">
        <f aca="false">IFERROR(INDEX(Lists!$G$2:$G$20,MATCH($I54&amp;"|"&amp;$J54,Lists!$F$2:$F$20,0)),"")</f>
        <v>Econ Exam</v>
      </c>
    </row>
    <row r="55" customFormat="false" ht="19.5" hidden="false" customHeight="true" outlineLevel="0" collapsed="false">
      <c r="A55" s="29" t="s">
        <v>244</v>
      </c>
      <c r="B55" s="29" t="s">
        <v>219</v>
      </c>
      <c r="C55" s="30" t="s">
        <v>152</v>
      </c>
      <c r="D55" s="30" t="s">
        <v>228</v>
      </c>
      <c r="E55" s="31" t="n">
        <v>6.6</v>
      </c>
      <c r="F55" s="30" t="n">
        <v>7</v>
      </c>
      <c r="G55" s="30"/>
      <c r="H55" s="32" t="s">
        <v>23</v>
      </c>
      <c r="I55" s="33" t="s">
        <v>229</v>
      </c>
      <c r="J55" s="32" t="s">
        <v>25</v>
      </c>
      <c r="K55" s="34" t="n">
        <f aca="false">IF(OR(M55="",$E55=""),"",M55-$E55)</f>
        <v>-0.6</v>
      </c>
      <c r="L55" s="35" t="n">
        <f aca="false">IF(SUM(FA55:FN55)=0,"",SUM(EM55:EZ55)/SUM(FA55:FN55))</f>
        <v>75.4365079365079</v>
      </c>
      <c r="M55" s="36" t="n">
        <f aca="false">IF(OR(L55="",FO55=""),"",IFERROR(MATCH(L55,INDEX(Boundaries!$B$2:$I$30,MATCH(FO55,Boundaries!$A$2:$A$30,0),0),1)-1,""))</f>
        <v>6</v>
      </c>
      <c r="N55" s="37" t="n">
        <f aca="false">IF(COUNT($DY55:$EL55)&lt;2,"",INDEX($DK55:$DX55,MAX($DY55:$EL55))-INDEX($DK55:$DX55,MIN($DY55:$EL55)))</f>
        <v>0</v>
      </c>
      <c r="O55" s="37" t="n">
        <f aca="false">IF(COUNT($DY55:$EL55)&lt;2,"",INDEX($DK55:$DX55,MAX($DY55:$EL55))-INDEX($DK55:$DX55,LARGE($DY55:$EL55,2)))</f>
        <v>5</v>
      </c>
      <c r="P55" s="38" t="str">
        <f aca="false">IF(K55="","",IF(K55&gt;=0,"On/above target",IF(AND(N55&lt;&gt;"",N55&gt;=0.5),"Improving towards target",IF(AND(O55&lt;&gt;"",O55&lt;=-0.5),"Declining","Stable below target"))))</f>
        <v>Stable below target</v>
      </c>
      <c r="Q55" s="39" t="n">
        <v>26</v>
      </c>
      <c r="R55" s="40" t="n">
        <f aca="false">IF(OR(Q55="",BU55=""),"",Q55/BU55*100)</f>
        <v>86.6666666666667</v>
      </c>
      <c r="S55" s="41" t="n">
        <f aca="false">IF(R55="","",IFERROR(MATCH(R55,INDEX(Boundaries!$B$2:$I$30,MATCH(CI55,Boundaries!$A$2:$A$30,0),0),1)-1,""))</f>
        <v>7</v>
      </c>
      <c r="T55" s="42" t="n">
        <f aca="false">IF(OR(S55="",$E55=""),"",S55-$E55)</f>
        <v>0.4</v>
      </c>
      <c r="U55" s="39" t="n">
        <v>22</v>
      </c>
      <c r="V55" s="40" t="n">
        <f aca="false">IF(OR(U55="",BV55=""),"",U55/BV55*100)</f>
        <v>91.6666666666667</v>
      </c>
      <c r="W55" s="41" t="n">
        <f aca="false">IF(V55="","",IFERROR(MATCH(V55,INDEX(Boundaries!$B$2:$I$30,MATCH(CJ55,Boundaries!$A$2:$A$30,0),0),1)-1,""))</f>
        <v>7</v>
      </c>
      <c r="X55" s="42" t="n">
        <f aca="false">IF(OR(W55="",$E55=""),"",W55-$E55)</f>
        <v>0.4</v>
      </c>
      <c r="Y55" s="39" t="n">
        <v>20</v>
      </c>
      <c r="Z55" s="40" t="n">
        <f aca="false">IF(OR(Y55="",BW55=""),"",Y55/BW55*100)</f>
        <v>80</v>
      </c>
      <c r="AA55" s="41" t="n">
        <f aca="false">IF(Z55="","",IFERROR(MATCH(Z55,INDEX(Boundaries!$B$2:$I$30,MATCH(CK55,Boundaries!$A$2:$A$30,0),0),1)-1,""))</f>
        <v>6</v>
      </c>
      <c r="AB55" s="42" t="n">
        <f aca="false">IF(OR(AA55="",$E55=""),"",AA55-$E55)</f>
        <v>-0.6</v>
      </c>
      <c r="AC55" s="39" t="n">
        <v>12</v>
      </c>
      <c r="AD55" s="40" t="n">
        <f aca="false">IF(OR(AC55="",BX55=""),"",AC55/BX55*100)</f>
        <v>34.2857142857143</v>
      </c>
      <c r="AE55" s="41" t="n">
        <f aca="false">IF(AD55="","",IFERROR(MATCH(AD55,INDEX(Boundaries!$B$2:$I$30,MATCH(CL55,Boundaries!$A$2:$A$30,0),0),1)-1,""))</f>
        <v>2</v>
      </c>
      <c r="AF55" s="42" t="n">
        <f aca="false">IF(OR(AE55="",$E55=""),"",AE55-$E55)</f>
        <v>-4.6</v>
      </c>
      <c r="AG55" s="39" t="n">
        <v>44</v>
      </c>
      <c r="AH55" s="40" t="n">
        <f aca="false">IF(OR(AG55="",BY55=""),"",AG55/BY55*100)</f>
        <v>80</v>
      </c>
      <c r="AI55" s="41" t="n">
        <f aca="false">IF(AH55="","",IFERROR(MATCH(AH55,INDEX(Boundaries!$B$2:$I$30,MATCH(CM55,Boundaries!$A$2:$A$30,0),0),1)-1,""))</f>
        <v>7</v>
      </c>
      <c r="AJ55" s="42" t="n">
        <f aca="false">IF(OR(AI55="",$E55=""),"",AI55-$E55)</f>
        <v>0.4</v>
      </c>
      <c r="AK55" s="39"/>
      <c r="AL55" s="40" t="str">
        <f aca="false">IF(OR(AK55="",BZ55=""),"",AK55/BZ55*100)</f>
        <v/>
      </c>
      <c r="AM55" s="41" t="str">
        <f aca="false">IF(AL55="","",IFERROR(MATCH(AL55,INDEX(Boundaries!$B$2:$I$30,MATCH(CN55,Boundaries!$A$2:$A$30,0),0),1)-1,""))</f>
        <v/>
      </c>
      <c r="AN55" s="42" t="str">
        <f aca="false">IF(OR(AM55="",$E55=""),"",AM55-$E55)</f>
        <v/>
      </c>
      <c r="AO55" s="39"/>
      <c r="AP55" s="40" t="str">
        <f aca="false">IF(OR(AO55="",CA55=""),"",AO55/CA55*100)</f>
        <v/>
      </c>
      <c r="AQ55" s="41" t="str">
        <f aca="false">IF(AP55="","",IFERROR(MATCH(AP55,INDEX(Boundaries!$B$2:$I$30,MATCH(CO55,Boundaries!$A$2:$A$30,0),0),1)-1,""))</f>
        <v/>
      </c>
      <c r="AR55" s="42" t="str">
        <f aca="false">IF(OR(AQ55="",$E55=""),"",AQ55-$E55)</f>
        <v/>
      </c>
      <c r="AS55" s="39"/>
      <c r="AT55" s="40" t="str">
        <f aca="false">IF(OR(AS55="",CB55=""),"",AS55/CB55*100)</f>
        <v/>
      </c>
      <c r="AU55" s="41" t="str">
        <f aca="false">IF(AT55="","",IFERROR(MATCH(AT55,INDEX(Boundaries!$B$2:$I$30,MATCH(CP55,Boundaries!$A$2:$A$30,0),0),1)-1,""))</f>
        <v/>
      </c>
      <c r="AV55" s="42" t="str">
        <f aca="false">IF(OR(AU55="",$E55=""),"",AU55-$E55)</f>
        <v/>
      </c>
      <c r="AW55" s="39"/>
      <c r="AX55" s="40" t="str">
        <f aca="false">IF(OR(AW55="",CC55=""),"",AW55/CC55*100)</f>
        <v/>
      </c>
      <c r="AY55" s="41" t="str">
        <f aca="false">IF(AX55="","",IFERROR(MATCH(AX55,INDEX(Boundaries!$B$2:$I$30,MATCH(CQ55,Boundaries!$A$2:$A$30,0),0),1)-1,""))</f>
        <v/>
      </c>
      <c r="AZ55" s="42" t="str">
        <f aca="false">IF(OR(AY55="",$E55=""),"",AY55-$E55)</f>
        <v/>
      </c>
      <c r="BA55" s="39"/>
      <c r="BB55" s="40" t="str">
        <f aca="false">IF(OR(BA55="",CD55=""),"",BA55/CD55*100)</f>
        <v/>
      </c>
      <c r="BC55" s="41" t="str">
        <f aca="false">IF(BB55="","",IFERROR(MATCH(BB55,INDEX(Boundaries!$B$2:$I$30,MATCH(CR55,Boundaries!$A$2:$A$30,0),0),1)-1,""))</f>
        <v/>
      </c>
      <c r="BD55" s="42" t="str">
        <f aca="false">IF(OR(BC55="",$E55=""),"",BC55-$E55)</f>
        <v/>
      </c>
      <c r="BE55" s="39"/>
      <c r="BF55" s="40" t="str">
        <f aca="false">IF(OR(BE55="",CE55=""),"",BE55/CE55*100)</f>
        <v/>
      </c>
      <c r="BG55" s="41" t="str">
        <f aca="false">IF(BF55="","",IFERROR(MATCH(BF55,INDEX(Boundaries!$B$2:$I$30,MATCH(CS55,Boundaries!$A$2:$A$30,0),0),1)-1,""))</f>
        <v/>
      </c>
      <c r="BH55" s="42" t="str">
        <f aca="false">IF(OR(BG55="",$E55=""),"",BG55-$E55)</f>
        <v/>
      </c>
      <c r="BI55" s="39"/>
      <c r="BJ55" s="40" t="str">
        <f aca="false">IF(OR(BI55="",CF55=""),"",BI55/CF55*100)</f>
        <v/>
      </c>
      <c r="BK55" s="41" t="str">
        <f aca="false">IF(BJ55="","",IFERROR(MATCH(BJ55,INDEX(Boundaries!$B$2:$I$30,MATCH(CT55,Boundaries!$A$2:$A$30,0),0),1)-1,""))</f>
        <v/>
      </c>
      <c r="BL55" s="42" t="str">
        <f aca="false">IF(OR(BK55="",$E55=""),"",BK55-$E55)</f>
        <v/>
      </c>
      <c r="BM55" s="39"/>
      <c r="BN55" s="40" t="str">
        <f aca="false">IF(OR(BM55="",CG55=""),"",BM55/CG55*100)</f>
        <v/>
      </c>
      <c r="BO55" s="41" t="str">
        <f aca="false">IF(BN55="","",IFERROR(MATCH(BN55,INDEX(Boundaries!$B$2:$I$30,MATCH(CU55,Boundaries!$A$2:$A$30,0),0),1)-1,""))</f>
        <v/>
      </c>
      <c r="BP55" s="42" t="str">
        <f aca="false">IF(OR(BO55="",$E55=""),"",BO55-$E55)</f>
        <v/>
      </c>
      <c r="BQ55" s="39"/>
      <c r="BR55" s="40" t="str">
        <f aca="false">IF(OR(BQ55="",CH55=""),"",BQ55/CH55*100)</f>
        <v/>
      </c>
      <c r="BS55" s="41" t="str">
        <f aca="false">IF(BR55="","",IFERROR(MATCH(BR55,INDEX(Boundaries!$B$2:$I$30,MATCH(CV55,Boundaries!$A$2:$A$30,0),0),1)-1,""))</f>
        <v/>
      </c>
      <c r="BT55" s="42" t="str">
        <f aca="false">IF(OR(BS55="",$E55=""),"",BS55-$E55)</f>
        <v/>
      </c>
      <c r="BU55" s="28" t="n">
        <f aca="false">IFERROR(INDEX(Assessments!$H$2:$H$600,MATCH($H55&amp;"|"&amp;$I55&amp;"|"&amp;$J55&amp;"|"&amp;1,Assessments!$A$2:$A$600,0)),"")</f>
        <v>30</v>
      </c>
      <c r="BV55" s="28" t="n">
        <f aca="false">IFERROR(INDEX(Assessments!$H$2:$H$600,MATCH($H55&amp;"|"&amp;$I55&amp;"|"&amp;$J55&amp;"|"&amp;2,Assessments!$A$2:$A$600,0)),"")</f>
        <v>24</v>
      </c>
      <c r="BW55" s="28" t="n">
        <f aca="false">IFERROR(INDEX(Assessments!$H$2:$H$600,MATCH($H55&amp;"|"&amp;$I55&amp;"|"&amp;$J55&amp;"|"&amp;3,Assessments!$A$2:$A$600,0)),"")</f>
        <v>25</v>
      </c>
      <c r="BX55" s="28" t="n">
        <f aca="false">IFERROR(INDEX(Assessments!$H$2:$H$600,MATCH($H55&amp;"|"&amp;$I55&amp;"|"&amp;$J55&amp;"|"&amp;4,Assessments!$A$2:$A$600,0)),"")</f>
        <v>35</v>
      </c>
      <c r="BY55" s="28" t="n">
        <f aca="false">IFERROR(INDEX(Assessments!$H$2:$H$600,MATCH($H55&amp;"|"&amp;$I55&amp;"|"&amp;$J55&amp;"|"&amp;5,Assessments!$A$2:$A$600,0)),"")</f>
        <v>55</v>
      </c>
      <c r="BZ55" s="28" t="n">
        <f aca="false">IFERROR(INDEX(Assessments!$H$2:$H$600,MATCH($H55&amp;"|"&amp;$I55&amp;"|"&amp;$J55&amp;"|"&amp;6,Assessments!$A$2:$A$600,0)),"")</f>
        <v>30</v>
      </c>
      <c r="CA55" s="28" t="n">
        <f aca="false">IFERROR(INDEX(Assessments!$H$2:$H$600,MATCH($H55&amp;"|"&amp;$I55&amp;"|"&amp;$J55&amp;"|"&amp;7,Assessments!$A$2:$A$600,0)),"")</f>
        <v>95</v>
      </c>
      <c r="CB55" s="28" t="str">
        <f aca="false">IFERROR(INDEX(Assessments!$H$2:$H$600,MATCH($H55&amp;"|"&amp;$I55&amp;"|"&amp;$J55&amp;"|"&amp;8,Assessments!$A$2:$A$600,0)),"")</f>
        <v/>
      </c>
      <c r="CC55" s="28" t="str">
        <f aca="false">IFERROR(INDEX(Assessments!$H$2:$H$600,MATCH($H55&amp;"|"&amp;$I55&amp;"|"&amp;$J55&amp;"|"&amp;9,Assessments!$A$2:$A$600,0)),"")</f>
        <v/>
      </c>
      <c r="CD55" s="28" t="str">
        <f aca="false">IFERROR(INDEX(Assessments!$H$2:$H$600,MATCH($H55&amp;"|"&amp;$I55&amp;"|"&amp;$J55&amp;"|"&amp;10,Assessments!$A$2:$A$600,0)),"")</f>
        <v/>
      </c>
      <c r="CE55" s="28" t="str">
        <f aca="false">IFERROR(INDEX(Assessments!$H$2:$H$600,MATCH($H55&amp;"|"&amp;$I55&amp;"|"&amp;$J55&amp;"|"&amp;11,Assessments!$A$2:$A$600,0)),"")</f>
        <v/>
      </c>
      <c r="CF55" s="28" t="str">
        <f aca="false">IFERROR(INDEX(Assessments!$H$2:$H$600,MATCH($H55&amp;"|"&amp;$I55&amp;"|"&amp;$J55&amp;"|"&amp;12,Assessments!$A$2:$A$600,0)),"")</f>
        <v/>
      </c>
      <c r="CG55" s="28" t="str">
        <f aca="false">IFERROR(INDEX(Assessments!$H$2:$H$600,MATCH($H55&amp;"|"&amp;$I55&amp;"|"&amp;$J55&amp;"|"&amp;13,Assessments!$A$2:$A$600,0)),"")</f>
        <v/>
      </c>
      <c r="CH55" s="28" t="str">
        <f aca="false">IFERROR(INDEX(Assessments!$H$2:$H$600,MATCH($H55&amp;"|"&amp;$I55&amp;"|"&amp;$J55&amp;"|"&amp;14,Assessments!$A$2:$A$600,0)),"")</f>
        <v/>
      </c>
      <c r="CI55" s="28" t="str">
        <f aca="false">IFERROR(INDEX(Assessments!$I$2:$I$600,MATCH($H55&amp;"|"&amp;$I55&amp;"|"&amp;$J55&amp;"|"&amp;1,Assessments!$A$2:$A$600,0)),"")</f>
        <v>Econ Test</v>
      </c>
      <c r="CJ55" s="28" t="str">
        <f aca="false">IFERROR(INDEX(Assessments!$I$2:$I$600,MATCH($H55&amp;"|"&amp;$I55&amp;"|"&amp;$J55&amp;"|"&amp;2,Assessments!$A$2:$A$600,0)),"")</f>
        <v>Econ Test</v>
      </c>
      <c r="CK55" s="28" t="str">
        <f aca="false">IFERROR(INDEX(Assessments!$I$2:$I$600,MATCH($H55&amp;"|"&amp;$I55&amp;"|"&amp;$J55&amp;"|"&amp;3,Assessments!$A$2:$A$600,0)),"")</f>
        <v>Econ Test</v>
      </c>
      <c r="CL55" s="28" t="str">
        <f aca="false">IFERROR(INDEX(Assessments!$I$2:$I$600,MATCH($H55&amp;"|"&amp;$I55&amp;"|"&amp;$J55&amp;"|"&amp;4,Assessments!$A$2:$A$600,0)),"")</f>
        <v>Econ Test</v>
      </c>
      <c r="CM55" s="28" t="str">
        <f aca="false">IFERROR(INDEX(Assessments!$I$2:$I$600,MATCH($H55&amp;"|"&amp;$I55&amp;"|"&amp;$J55&amp;"|"&amp;5,Assessments!$A$2:$A$600,0)),"")</f>
        <v>Econ Exam</v>
      </c>
      <c r="CN55" s="28" t="str">
        <f aca="false">IFERROR(INDEX(Assessments!$I$2:$I$600,MATCH($H55&amp;"|"&amp;$I55&amp;"|"&amp;$J55&amp;"|"&amp;6,Assessments!$A$2:$A$600,0)),"")</f>
        <v>Econ Test</v>
      </c>
      <c r="CO55" s="28" t="str">
        <f aca="false">IFERROR(INDEX(Assessments!$I$2:$I$600,MATCH($H55&amp;"|"&amp;$I55&amp;"|"&amp;$J55&amp;"|"&amp;7,Assessments!$A$2:$A$600,0)),"")</f>
        <v>Econ Exam</v>
      </c>
      <c r="CP55" s="28" t="str">
        <f aca="false">IFERROR(INDEX(Assessments!$I$2:$I$600,MATCH($H55&amp;"|"&amp;$I55&amp;"|"&amp;$J55&amp;"|"&amp;8,Assessments!$A$2:$A$600,0)),"")</f>
        <v/>
      </c>
      <c r="CQ55" s="28" t="str">
        <f aca="false">IFERROR(INDEX(Assessments!$I$2:$I$600,MATCH($H55&amp;"|"&amp;$I55&amp;"|"&amp;$J55&amp;"|"&amp;9,Assessments!$A$2:$A$600,0)),"")</f>
        <v/>
      </c>
      <c r="CR55" s="28" t="str">
        <f aca="false">IFERROR(INDEX(Assessments!$I$2:$I$600,MATCH($H55&amp;"|"&amp;$I55&amp;"|"&amp;$J55&amp;"|"&amp;10,Assessments!$A$2:$A$600,0)),"")</f>
        <v/>
      </c>
      <c r="CS55" s="28" t="str">
        <f aca="false">IFERROR(INDEX(Assessments!$I$2:$I$600,MATCH($H55&amp;"|"&amp;$I55&amp;"|"&amp;$J55&amp;"|"&amp;11,Assessments!$A$2:$A$600,0)),"")</f>
        <v/>
      </c>
      <c r="CT55" s="28" t="str">
        <f aca="false">IFERROR(INDEX(Assessments!$I$2:$I$600,MATCH($H55&amp;"|"&amp;$I55&amp;"|"&amp;$J55&amp;"|"&amp;12,Assessments!$A$2:$A$600,0)),"")</f>
        <v/>
      </c>
      <c r="CU55" s="28" t="str">
        <f aca="false">IFERROR(INDEX(Assessments!$I$2:$I$600,MATCH($H55&amp;"|"&amp;$I55&amp;"|"&amp;$J55&amp;"|"&amp;13,Assessments!$A$2:$A$600,0)),"")</f>
        <v/>
      </c>
      <c r="CV55" s="28" t="str">
        <f aca="false">IFERROR(INDEX(Assessments!$I$2:$I$600,MATCH($H55&amp;"|"&amp;$I55&amp;"|"&amp;$J55&amp;"|"&amp;14,Assessments!$A$2:$A$600,0)),"")</f>
        <v/>
      </c>
      <c r="CW55" s="28" t="n">
        <f aca="false">IFERROR(INDEX(Assessments!$J$2:$J$600,MATCH($H55&amp;"|"&amp;$I55&amp;"|"&amp;$J55&amp;"|"&amp;1,Assessments!$A$2:$A$600,0)),0)</f>
        <v>1</v>
      </c>
      <c r="CX55" s="28" t="n">
        <f aca="false">IFERROR(INDEX(Assessments!$J$2:$J$600,MATCH($H55&amp;"|"&amp;$I55&amp;"|"&amp;$J55&amp;"|"&amp;2,Assessments!$A$2:$A$600,0)),0)</f>
        <v>1</v>
      </c>
      <c r="CY55" s="28" t="n">
        <f aca="false">IFERROR(INDEX(Assessments!$J$2:$J$600,MATCH($H55&amp;"|"&amp;$I55&amp;"|"&amp;$J55&amp;"|"&amp;3,Assessments!$A$2:$A$600,0)),0)</f>
        <v>1</v>
      </c>
      <c r="CZ55" s="28" t="n">
        <f aca="false">IFERROR(INDEX(Assessments!$J$2:$J$600,MATCH($H55&amp;"|"&amp;$I55&amp;"|"&amp;$J55&amp;"|"&amp;4,Assessments!$A$2:$A$600,0)),0)</f>
        <v>1</v>
      </c>
      <c r="DA55" s="28" t="n">
        <f aca="false">IFERROR(INDEX(Assessments!$J$2:$J$600,MATCH($H55&amp;"|"&amp;$I55&amp;"|"&amp;$J55&amp;"|"&amp;5,Assessments!$A$2:$A$600,0)),0)</f>
        <v>2</v>
      </c>
      <c r="DB55" s="28" t="n">
        <f aca="false">IFERROR(INDEX(Assessments!$J$2:$J$600,MATCH($H55&amp;"|"&amp;$I55&amp;"|"&amp;$J55&amp;"|"&amp;6,Assessments!$A$2:$A$600,0)),0)</f>
        <v>1</v>
      </c>
      <c r="DC55" s="28" t="n">
        <f aca="false">IFERROR(INDEX(Assessments!$J$2:$J$600,MATCH($H55&amp;"|"&amp;$I55&amp;"|"&amp;$J55&amp;"|"&amp;7,Assessments!$A$2:$A$600,0)),0)</f>
        <v>2</v>
      </c>
      <c r="DD55" s="28" t="n">
        <f aca="false">IFERROR(INDEX(Assessments!$J$2:$J$600,MATCH($H55&amp;"|"&amp;$I55&amp;"|"&amp;$J55&amp;"|"&amp;8,Assessments!$A$2:$A$600,0)),0)</f>
        <v>0</v>
      </c>
      <c r="DE55" s="28" t="n">
        <f aca="false">IFERROR(INDEX(Assessments!$J$2:$J$600,MATCH($H55&amp;"|"&amp;$I55&amp;"|"&amp;$J55&amp;"|"&amp;9,Assessments!$A$2:$A$600,0)),0)</f>
        <v>0</v>
      </c>
      <c r="DF55" s="28" t="n">
        <f aca="false">IFERROR(INDEX(Assessments!$J$2:$J$600,MATCH($H55&amp;"|"&amp;$I55&amp;"|"&amp;$J55&amp;"|"&amp;10,Assessments!$A$2:$A$600,0)),0)</f>
        <v>0</v>
      </c>
      <c r="DG55" s="28" t="n">
        <f aca="false">IFERROR(INDEX(Assessments!$J$2:$J$600,MATCH($H55&amp;"|"&amp;$I55&amp;"|"&amp;$J55&amp;"|"&amp;11,Assessments!$A$2:$A$600,0)),0)</f>
        <v>0</v>
      </c>
      <c r="DH55" s="28" t="n">
        <f aca="false">IFERROR(INDEX(Assessments!$J$2:$J$600,MATCH($H55&amp;"|"&amp;$I55&amp;"|"&amp;$J55&amp;"|"&amp;12,Assessments!$A$2:$A$600,0)),0)</f>
        <v>0</v>
      </c>
      <c r="DI55" s="28" t="n">
        <f aca="false">IFERROR(INDEX(Assessments!$J$2:$J$600,MATCH($H55&amp;"|"&amp;$I55&amp;"|"&amp;$J55&amp;"|"&amp;13,Assessments!$A$2:$A$600,0)),0)</f>
        <v>0</v>
      </c>
      <c r="DJ55" s="28" t="n">
        <f aca="false">IFERROR(INDEX(Assessments!$J$2:$J$600,MATCH($H55&amp;"|"&amp;$I55&amp;"|"&amp;$J55&amp;"|"&amp;14,Assessments!$A$2:$A$600,0)),0)</f>
        <v>0</v>
      </c>
      <c r="DK55" s="28" t="n">
        <f aca="false">S55</f>
        <v>7</v>
      </c>
      <c r="DL55" s="28" t="n">
        <f aca="false">W55</f>
        <v>7</v>
      </c>
      <c r="DM55" s="28" t="n">
        <f aca="false">AA55</f>
        <v>6</v>
      </c>
      <c r="DN55" s="28" t="n">
        <f aca="false">AE55</f>
        <v>2</v>
      </c>
      <c r="DO55" s="28" t="n">
        <f aca="false">AI55</f>
        <v>7</v>
      </c>
      <c r="DP55" s="28" t="str">
        <f aca="false">AM55</f>
        <v/>
      </c>
      <c r="DQ55" s="28" t="str">
        <f aca="false">AQ55</f>
        <v/>
      </c>
      <c r="DR55" s="28" t="str">
        <f aca="false">AU55</f>
        <v/>
      </c>
      <c r="DS55" s="28" t="str">
        <f aca="false">AY55</f>
        <v/>
      </c>
      <c r="DT55" s="28" t="str">
        <f aca="false">BC55</f>
        <v/>
      </c>
      <c r="DU55" s="28" t="str">
        <f aca="false">BG55</f>
        <v/>
      </c>
      <c r="DV55" s="28" t="str">
        <f aca="false">BK55</f>
        <v/>
      </c>
      <c r="DW55" s="28" t="str">
        <f aca="false">BO55</f>
        <v/>
      </c>
      <c r="DX55" s="28" t="str">
        <f aca="false">BS55</f>
        <v/>
      </c>
      <c r="DY55" s="28" t="n">
        <f aca="false">IF(ISNUMBER(S55),1,"")</f>
        <v>1</v>
      </c>
      <c r="DZ55" s="28" t="n">
        <f aca="false">IF(ISNUMBER(W55),2,"")</f>
        <v>2</v>
      </c>
      <c r="EA55" s="28" t="n">
        <f aca="false">IF(ISNUMBER(AA55),3,"")</f>
        <v>3</v>
      </c>
      <c r="EB55" s="28" t="n">
        <f aca="false">IF(ISNUMBER(AE55),4,"")</f>
        <v>4</v>
      </c>
      <c r="EC55" s="28" t="n">
        <f aca="false">IF(ISNUMBER(AI55),5,"")</f>
        <v>5</v>
      </c>
      <c r="ED55" s="28" t="str">
        <f aca="false">IF(ISNUMBER(AM55),6,"")</f>
        <v/>
      </c>
      <c r="EE55" s="28" t="str">
        <f aca="false">IF(ISNUMBER(AQ55),7,"")</f>
        <v/>
      </c>
      <c r="EF55" s="28" t="str">
        <f aca="false">IF(ISNUMBER(AU55),8,"")</f>
        <v/>
      </c>
      <c r="EG55" s="28" t="str">
        <f aca="false">IF(ISNUMBER(AY55),9,"")</f>
        <v/>
      </c>
      <c r="EH55" s="28" t="str">
        <f aca="false">IF(ISNUMBER(BC55),10,"")</f>
        <v/>
      </c>
      <c r="EI55" s="28" t="str">
        <f aca="false">IF(ISNUMBER(BG55),11,"")</f>
        <v/>
      </c>
      <c r="EJ55" s="28" t="str">
        <f aca="false">IF(ISNUMBER(BK55),12,"")</f>
        <v/>
      </c>
      <c r="EK55" s="28" t="str">
        <f aca="false">IF(ISNUMBER(BO55),13,"")</f>
        <v/>
      </c>
      <c r="EL55" s="28" t="str">
        <f aca="false">IF(ISNUMBER(BS55),14,"")</f>
        <v/>
      </c>
      <c r="EM55" s="28" t="n">
        <f aca="false">IF(ISNUMBER(R55),R55*CW55,0)</f>
        <v>86.6666666666667</v>
      </c>
      <c r="EN55" s="28" t="n">
        <f aca="false">IF(ISNUMBER(V55),V55*CX55,0)</f>
        <v>91.6666666666667</v>
      </c>
      <c r="EO55" s="28" t="n">
        <f aca="false">IF(ISNUMBER(Z55),Z55*CY55,0)</f>
        <v>80</v>
      </c>
      <c r="EP55" s="28" t="n">
        <f aca="false">IF(ISNUMBER(AD55),AD55*CZ55,0)</f>
        <v>34.2857142857143</v>
      </c>
      <c r="EQ55" s="28" t="n">
        <f aca="false">IF(ISNUMBER(AH55),AH55*DA55,0)</f>
        <v>160</v>
      </c>
      <c r="ER55" s="28" t="n">
        <f aca="false">IF(ISNUMBER(AL55),AL55*DB55,0)</f>
        <v>0</v>
      </c>
      <c r="ES55" s="28" t="n">
        <f aca="false">IF(ISNUMBER(AP55),AP55*DC55,0)</f>
        <v>0</v>
      </c>
      <c r="ET55" s="28" t="n">
        <f aca="false">IF(ISNUMBER(AT55),AT55*DD55,0)</f>
        <v>0</v>
      </c>
      <c r="EU55" s="28" t="n">
        <f aca="false">IF(ISNUMBER(AX55),AX55*DE55,0)</f>
        <v>0</v>
      </c>
      <c r="EV55" s="28" t="n">
        <f aca="false">IF(ISNUMBER(BB55),BB55*DF55,0)</f>
        <v>0</v>
      </c>
      <c r="EW55" s="28" t="n">
        <f aca="false">IF(ISNUMBER(BF55),BF55*DG55,0)</f>
        <v>0</v>
      </c>
      <c r="EX55" s="28" t="n">
        <f aca="false">IF(ISNUMBER(BJ55),BJ55*DH55,0)</f>
        <v>0</v>
      </c>
      <c r="EY55" s="28" t="n">
        <f aca="false">IF(ISNUMBER(BN55),BN55*DI55,0)</f>
        <v>0</v>
      </c>
      <c r="EZ55" s="28" t="n">
        <f aca="false">IF(ISNUMBER(BR55),BR55*DJ55,0)</f>
        <v>0</v>
      </c>
      <c r="FA55" s="28" t="n">
        <f aca="false">IF(ISNUMBER(R55),CW55,0)</f>
        <v>1</v>
      </c>
      <c r="FB55" s="28" t="n">
        <f aca="false">IF(ISNUMBER(V55),CX55,0)</f>
        <v>1</v>
      </c>
      <c r="FC55" s="28" t="n">
        <f aca="false">IF(ISNUMBER(Z55),CY55,0)</f>
        <v>1</v>
      </c>
      <c r="FD55" s="28" t="n">
        <f aca="false">IF(ISNUMBER(AD55),CZ55,0)</f>
        <v>1</v>
      </c>
      <c r="FE55" s="28" t="n">
        <f aca="false">IF(ISNUMBER(AH55),DA55,0)</f>
        <v>2</v>
      </c>
      <c r="FF55" s="28" t="n">
        <f aca="false">IF(ISNUMBER(AL55),DB55,0)</f>
        <v>0</v>
      </c>
      <c r="FG55" s="28" t="n">
        <f aca="false">IF(ISNUMBER(AP55),DC55,0)</f>
        <v>0</v>
      </c>
      <c r="FH55" s="28" t="n">
        <f aca="false">IF(ISNUMBER(AT55),DD55,0)</f>
        <v>0</v>
      </c>
      <c r="FI55" s="28" t="n">
        <f aca="false">IF(ISNUMBER(AX55),DE55,0)</f>
        <v>0</v>
      </c>
      <c r="FJ55" s="28" t="n">
        <f aca="false">IF(ISNUMBER(BB55),DF55,0)</f>
        <v>0</v>
      </c>
      <c r="FK55" s="28" t="n">
        <f aca="false">IF(ISNUMBER(BF55),DG55,0)</f>
        <v>0</v>
      </c>
      <c r="FL55" s="28" t="n">
        <f aca="false">IF(ISNUMBER(BJ55),DH55,0)</f>
        <v>0</v>
      </c>
      <c r="FM55" s="28" t="n">
        <f aca="false">IF(ISNUMBER(BN55),DI55,0)</f>
        <v>0</v>
      </c>
      <c r="FN55" s="28" t="n">
        <f aca="false">IF(ISNUMBER(BR55),DJ55,0)</f>
        <v>0</v>
      </c>
      <c r="FO55" s="28" t="str">
        <f aca="false">IFERROR(INDEX(Lists!$G$2:$G$20,MATCH($I55&amp;"|"&amp;$J55,Lists!$F$2:$F$20,0)),"")</f>
        <v>Econ Exam</v>
      </c>
    </row>
    <row r="56" customFormat="false" ht="19.5" hidden="false" customHeight="true" outlineLevel="0" collapsed="false">
      <c r="A56" s="29" t="s">
        <v>245</v>
      </c>
      <c r="B56" s="29" t="s">
        <v>151</v>
      </c>
      <c r="C56" s="30" t="s">
        <v>152</v>
      </c>
      <c r="D56" s="30" t="s">
        <v>246</v>
      </c>
      <c r="E56" s="31" t="n">
        <v>5.7</v>
      </c>
      <c r="F56" s="30" t="n">
        <v>6</v>
      </c>
      <c r="G56" s="30"/>
      <c r="H56" s="32" t="s">
        <v>23</v>
      </c>
      <c r="I56" s="33" t="s">
        <v>229</v>
      </c>
      <c r="J56" s="32" t="s">
        <v>25</v>
      </c>
      <c r="K56" s="34" t="n">
        <f aca="false">IF(OR(M56="",$E56=""),"",M56-$E56)</f>
        <v>-0.7</v>
      </c>
      <c r="L56" s="35" t="n">
        <f aca="false">IF(SUM(FA56:FN56)=0,"",SUM(EM56:EZ56)/SUM(FA56:FN56))</f>
        <v>69.4386724386724</v>
      </c>
      <c r="M56" s="36" t="n">
        <f aca="false">IF(OR(L56="",FO56=""),"",IFERROR(MATCH(L56,INDEX(Boundaries!$B$2:$I$30,MATCH(FO56,Boundaries!$A$2:$A$30,0),0),1)-1,""))</f>
        <v>5</v>
      </c>
      <c r="N56" s="37" t="n">
        <f aca="false">IF(COUNT($DY56:$EL56)&lt;2,"",INDEX($DK56:$DX56,MAX($DY56:$EL56))-INDEX($DK56:$DX56,MIN($DY56:$EL56)))</f>
        <v>0</v>
      </c>
      <c r="O56" s="37" t="n">
        <f aca="false">IF(COUNT($DY56:$EL56)&lt;2,"",INDEX($DK56:$DX56,MAX($DY56:$EL56))-INDEX($DK56:$DX56,LARGE($DY56:$EL56,2)))</f>
        <v>1</v>
      </c>
      <c r="P56" s="38" t="str">
        <f aca="false">IF(K56="","",IF(K56&gt;=0,"On/above target",IF(AND(N56&lt;&gt;"",N56&gt;=0.5),"Improving towards target",IF(AND(O56&lt;&gt;"",O56&lt;=-0.5),"Declining","Stable below target"))))</f>
        <v>Stable below target</v>
      </c>
      <c r="Q56" s="39" t="n">
        <v>23</v>
      </c>
      <c r="R56" s="40" t="n">
        <f aca="false">IF(OR(Q56="",BU56=""),"",Q56/BU56*100)</f>
        <v>76.6666666666667</v>
      </c>
      <c r="S56" s="41" t="n">
        <f aca="false">IF(R56="","",IFERROR(MATCH(R56,INDEX(Boundaries!$B$2:$I$30,MATCH(CI56,Boundaries!$A$2:$A$30,0),0),1)-1,""))</f>
        <v>6</v>
      </c>
      <c r="T56" s="42" t="n">
        <f aca="false">IF(OR(S56="",$E56=""),"",S56-$E56)</f>
        <v>0.3</v>
      </c>
      <c r="U56" s="39" t="n">
        <v>16</v>
      </c>
      <c r="V56" s="40" t="n">
        <f aca="false">IF(OR(U56="",BV56=""),"",U56/BV56*100)</f>
        <v>66.6666666666667</v>
      </c>
      <c r="W56" s="41" t="n">
        <f aca="false">IF(V56="","",IFERROR(MATCH(V56,INDEX(Boundaries!$B$2:$I$30,MATCH(CJ56,Boundaries!$A$2:$A$30,0),0),1)-1,""))</f>
        <v>5</v>
      </c>
      <c r="X56" s="42" t="n">
        <f aca="false">IF(OR(W56="",$E56=""),"",W56-$E56)</f>
        <v>-0.7</v>
      </c>
      <c r="Y56" s="39" t="n">
        <v>13</v>
      </c>
      <c r="Z56" s="40" t="n">
        <f aca="false">IF(OR(Y56="",BW56=""),"",Y56/BW56*100)</f>
        <v>52</v>
      </c>
      <c r="AA56" s="41" t="n">
        <f aca="false">IF(Z56="","",IFERROR(MATCH(Z56,INDEX(Boundaries!$B$2:$I$30,MATCH(CK56,Boundaries!$A$2:$A$30,0),0),1)-1,""))</f>
        <v>4</v>
      </c>
      <c r="AB56" s="42" t="n">
        <f aca="false">IF(OR(AA56="",$E56=""),"",AA56-$E56)</f>
        <v>-1.7</v>
      </c>
      <c r="AC56" s="39" t="n">
        <v>24</v>
      </c>
      <c r="AD56" s="40" t="n">
        <f aca="false">IF(OR(AC56="",BX56=""),"",AC56/BX56*100)</f>
        <v>68.5714285714286</v>
      </c>
      <c r="AE56" s="41" t="n">
        <f aca="false">IF(AD56="","",IFERROR(MATCH(AD56,INDEX(Boundaries!$B$2:$I$30,MATCH(CL56,Boundaries!$A$2:$A$30,0),0),1)-1,""))</f>
        <v>5</v>
      </c>
      <c r="AF56" s="42" t="n">
        <f aca="false">IF(OR(AE56="",$E56=""),"",AE56-$E56)</f>
        <v>-0.7</v>
      </c>
      <c r="AG56" s="39" t="n">
        <v>42</v>
      </c>
      <c r="AH56" s="40" t="n">
        <f aca="false">IF(OR(AG56="",BY56=""),"",AG56/BY56*100)</f>
        <v>76.3636363636364</v>
      </c>
      <c r="AI56" s="41" t="n">
        <f aca="false">IF(AH56="","",IFERROR(MATCH(AH56,INDEX(Boundaries!$B$2:$I$30,MATCH(CM56,Boundaries!$A$2:$A$30,0),0),1)-1,""))</f>
        <v>6</v>
      </c>
      <c r="AJ56" s="42" t="n">
        <f aca="false">IF(OR(AI56="",$E56=""),"",AI56-$E56)</f>
        <v>0.3</v>
      </c>
      <c r="AK56" s="39"/>
      <c r="AL56" s="40" t="str">
        <f aca="false">IF(OR(AK56="",BZ56=""),"",AK56/BZ56*100)</f>
        <v/>
      </c>
      <c r="AM56" s="41" t="str">
        <f aca="false">IF(AL56="","",IFERROR(MATCH(AL56,INDEX(Boundaries!$B$2:$I$30,MATCH(CN56,Boundaries!$A$2:$A$30,0),0),1)-1,""))</f>
        <v/>
      </c>
      <c r="AN56" s="42" t="str">
        <f aca="false">IF(OR(AM56="",$E56=""),"",AM56-$E56)</f>
        <v/>
      </c>
      <c r="AO56" s="39"/>
      <c r="AP56" s="40" t="str">
        <f aca="false">IF(OR(AO56="",CA56=""),"",AO56/CA56*100)</f>
        <v/>
      </c>
      <c r="AQ56" s="41" t="str">
        <f aca="false">IF(AP56="","",IFERROR(MATCH(AP56,INDEX(Boundaries!$B$2:$I$30,MATCH(CO56,Boundaries!$A$2:$A$30,0),0),1)-1,""))</f>
        <v/>
      </c>
      <c r="AR56" s="42" t="str">
        <f aca="false">IF(OR(AQ56="",$E56=""),"",AQ56-$E56)</f>
        <v/>
      </c>
      <c r="AS56" s="39"/>
      <c r="AT56" s="40" t="str">
        <f aca="false">IF(OR(AS56="",CB56=""),"",AS56/CB56*100)</f>
        <v/>
      </c>
      <c r="AU56" s="41" t="str">
        <f aca="false">IF(AT56="","",IFERROR(MATCH(AT56,INDEX(Boundaries!$B$2:$I$30,MATCH(CP56,Boundaries!$A$2:$A$30,0),0),1)-1,""))</f>
        <v/>
      </c>
      <c r="AV56" s="42" t="str">
        <f aca="false">IF(OR(AU56="",$E56=""),"",AU56-$E56)</f>
        <v/>
      </c>
      <c r="AW56" s="39"/>
      <c r="AX56" s="40" t="str">
        <f aca="false">IF(OR(AW56="",CC56=""),"",AW56/CC56*100)</f>
        <v/>
      </c>
      <c r="AY56" s="41" t="str">
        <f aca="false">IF(AX56="","",IFERROR(MATCH(AX56,INDEX(Boundaries!$B$2:$I$30,MATCH(CQ56,Boundaries!$A$2:$A$30,0),0),1)-1,""))</f>
        <v/>
      </c>
      <c r="AZ56" s="42" t="str">
        <f aca="false">IF(OR(AY56="",$E56=""),"",AY56-$E56)</f>
        <v/>
      </c>
      <c r="BA56" s="39"/>
      <c r="BB56" s="40" t="str">
        <f aca="false">IF(OR(BA56="",CD56=""),"",BA56/CD56*100)</f>
        <v/>
      </c>
      <c r="BC56" s="41" t="str">
        <f aca="false">IF(BB56="","",IFERROR(MATCH(BB56,INDEX(Boundaries!$B$2:$I$30,MATCH(CR56,Boundaries!$A$2:$A$30,0),0),1)-1,""))</f>
        <v/>
      </c>
      <c r="BD56" s="42" t="str">
        <f aca="false">IF(OR(BC56="",$E56=""),"",BC56-$E56)</f>
        <v/>
      </c>
      <c r="BE56" s="39"/>
      <c r="BF56" s="40" t="str">
        <f aca="false">IF(OR(BE56="",CE56=""),"",BE56/CE56*100)</f>
        <v/>
      </c>
      <c r="BG56" s="41" t="str">
        <f aca="false">IF(BF56="","",IFERROR(MATCH(BF56,INDEX(Boundaries!$B$2:$I$30,MATCH(CS56,Boundaries!$A$2:$A$30,0),0),1)-1,""))</f>
        <v/>
      </c>
      <c r="BH56" s="42" t="str">
        <f aca="false">IF(OR(BG56="",$E56=""),"",BG56-$E56)</f>
        <v/>
      </c>
      <c r="BI56" s="39"/>
      <c r="BJ56" s="40" t="str">
        <f aca="false">IF(OR(BI56="",CF56=""),"",BI56/CF56*100)</f>
        <v/>
      </c>
      <c r="BK56" s="41" t="str">
        <f aca="false">IF(BJ56="","",IFERROR(MATCH(BJ56,INDEX(Boundaries!$B$2:$I$30,MATCH(CT56,Boundaries!$A$2:$A$30,0),0),1)-1,""))</f>
        <v/>
      </c>
      <c r="BL56" s="42" t="str">
        <f aca="false">IF(OR(BK56="",$E56=""),"",BK56-$E56)</f>
        <v/>
      </c>
      <c r="BM56" s="39"/>
      <c r="BN56" s="40" t="str">
        <f aca="false">IF(OR(BM56="",CG56=""),"",BM56/CG56*100)</f>
        <v/>
      </c>
      <c r="BO56" s="41" t="str">
        <f aca="false">IF(BN56="","",IFERROR(MATCH(BN56,INDEX(Boundaries!$B$2:$I$30,MATCH(CU56,Boundaries!$A$2:$A$30,0),0),1)-1,""))</f>
        <v/>
      </c>
      <c r="BP56" s="42" t="str">
        <f aca="false">IF(OR(BO56="",$E56=""),"",BO56-$E56)</f>
        <v/>
      </c>
      <c r="BQ56" s="39"/>
      <c r="BR56" s="40" t="str">
        <f aca="false">IF(OR(BQ56="",CH56=""),"",BQ56/CH56*100)</f>
        <v/>
      </c>
      <c r="BS56" s="41" t="str">
        <f aca="false">IF(BR56="","",IFERROR(MATCH(BR56,INDEX(Boundaries!$B$2:$I$30,MATCH(CV56,Boundaries!$A$2:$A$30,0),0),1)-1,""))</f>
        <v/>
      </c>
      <c r="BT56" s="42" t="str">
        <f aca="false">IF(OR(BS56="",$E56=""),"",BS56-$E56)</f>
        <v/>
      </c>
      <c r="BU56" s="28" t="n">
        <f aca="false">IFERROR(INDEX(Assessments!$H$2:$H$600,MATCH($H56&amp;"|"&amp;$I56&amp;"|"&amp;$J56&amp;"|"&amp;1,Assessments!$A$2:$A$600,0)),"")</f>
        <v>30</v>
      </c>
      <c r="BV56" s="28" t="n">
        <f aca="false">IFERROR(INDEX(Assessments!$H$2:$H$600,MATCH($H56&amp;"|"&amp;$I56&amp;"|"&amp;$J56&amp;"|"&amp;2,Assessments!$A$2:$A$600,0)),"")</f>
        <v>24</v>
      </c>
      <c r="BW56" s="28" t="n">
        <f aca="false">IFERROR(INDEX(Assessments!$H$2:$H$600,MATCH($H56&amp;"|"&amp;$I56&amp;"|"&amp;$J56&amp;"|"&amp;3,Assessments!$A$2:$A$600,0)),"")</f>
        <v>25</v>
      </c>
      <c r="BX56" s="28" t="n">
        <f aca="false">IFERROR(INDEX(Assessments!$H$2:$H$600,MATCH($H56&amp;"|"&amp;$I56&amp;"|"&amp;$J56&amp;"|"&amp;4,Assessments!$A$2:$A$600,0)),"")</f>
        <v>35</v>
      </c>
      <c r="BY56" s="28" t="n">
        <f aca="false">IFERROR(INDEX(Assessments!$H$2:$H$600,MATCH($H56&amp;"|"&amp;$I56&amp;"|"&amp;$J56&amp;"|"&amp;5,Assessments!$A$2:$A$600,0)),"")</f>
        <v>55</v>
      </c>
      <c r="BZ56" s="28" t="n">
        <f aca="false">IFERROR(INDEX(Assessments!$H$2:$H$600,MATCH($H56&amp;"|"&amp;$I56&amp;"|"&amp;$J56&amp;"|"&amp;6,Assessments!$A$2:$A$600,0)),"")</f>
        <v>30</v>
      </c>
      <c r="CA56" s="28" t="n">
        <f aca="false">IFERROR(INDEX(Assessments!$H$2:$H$600,MATCH($H56&amp;"|"&amp;$I56&amp;"|"&amp;$J56&amp;"|"&amp;7,Assessments!$A$2:$A$600,0)),"")</f>
        <v>95</v>
      </c>
      <c r="CB56" s="28" t="str">
        <f aca="false">IFERROR(INDEX(Assessments!$H$2:$H$600,MATCH($H56&amp;"|"&amp;$I56&amp;"|"&amp;$J56&amp;"|"&amp;8,Assessments!$A$2:$A$600,0)),"")</f>
        <v/>
      </c>
      <c r="CC56" s="28" t="str">
        <f aca="false">IFERROR(INDEX(Assessments!$H$2:$H$600,MATCH($H56&amp;"|"&amp;$I56&amp;"|"&amp;$J56&amp;"|"&amp;9,Assessments!$A$2:$A$600,0)),"")</f>
        <v/>
      </c>
      <c r="CD56" s="28" t="str">
        <f aca="false">IFERROR(INDEX(Assessments!$H$2:$H$600,MATCH($H56&amp;"|"&amp;$I56&amp;"|"&amp;$J56&amp;"|"&amp;10,Assessments!$A$2:$A$600,0)),"")</f>
        <v/>
      </c>
      <c r="CE56" s="28" t="str">
        <f aca="false">IFERROR(INDEX(Assessments!$H$2:$H$600,MATCH($H56&amp;"|"&amp;$I56&amp;"|"&amp;$J56&amp;"|"&amp;11,Assessments!$A$2:$A$600,0)),"")</f>
        <v/>
      </c>
      <c r="CF56" s="28" t="str">
        <f aca="false">IFERROR(INDEX(Assessments!$H$2:$H$600,MATCH($H56&amp;"|"&amp;$I56&amp;"|"&amp;$J56&amp;"|"&amp;12,Assessments!$A$2:$A$600,0)),"")</f>
        <v/>
      </c>
      <c r="CG56" s="28" t="str">
        <f aca="false">IFERROR(INDEX(Assessments!$H$2:$H$600,MATCH($H56&amp;"|"&amp;$I56&amp;"|"&amp;$J56&amp;"|"&amp;13,Assessments!$A$2:$A$600,0)),"")</f>
        <v/>
      </c>
      <c r="CH56" s="28" t="str">
        <f aca="false">IFERROR(INDEX(Assessments!$H$2:$H$600,MATCH($H56&amp;"|"&amp;$I56&amp;"|"&amp;$J56&amp;"|"&amp;14,Assessments!$A$2:$A$600,0)),"")</f>
        <v/>
      </c>
      <c r="CI56" s="28" t="str">
        <f aca="false">IFERROR(INDEX(Assessments!$I$2:$I$600,MATCH($H56&amp;"|"&amp;$I56&amp;"|"&amp;$J56&amp;"|"&amp;1,Assessments!$A$2:$A$600,0)),"")</f>
        <v>Econ Test</v>
      </c>
      <c r="CJ56" s="28" t="str">
        <f aca="false">IFERROR(INDEX(Assessments!$I$2:$I$600,MATCH($H56&amp;"|"&amp;$I56&amp;"|"&amp;$J56&amp;"|"&amp;2,Assessments!$A$2:$A$600,0)),"")</f>
        <v>Econ Test</v>
      </c>
      <c r="CK56" s="28" t="str">
        <f aca="false">IFERROR(INDEX(Assessments!$I$2:$I$600,MATCH($H56&amp;"|"&amp;$I56&amp;"|"&amp;$J56&amp;"|"&amp;3,Assessments!$A$2:$A$600,0)),"")</f>
        <v>Econ Test</v>
      </c>
      <c r="CL56" s="28" t="str">
        <f aca="false">IFERROR(INDEX(Assessments!$I$2:$I$600,MATCH($H56&amp;"|"&amp;$I56&amp;"|"&amp;$J56&amp;"|"&amp;4,Assessments!$A$2:$A$600,0)),"")</f>
        <v>Econ Test</v>
      </c>
      <c r="CM56" s="28" t="str">
        <f aca="false">IFERROR(INDEX(Assessments!$I$2:$I$600,MATCH($H56&amp;"|"&amp;$I56&amp;"|"&amp;$J56&amp;"|"&amp;5,Assessments!$A$2:$A$600,0)),"")</f>
        <v>Econ Exam</v>
      </c>
      <c r="CN56" s="28" t="str">
        <f aca="false">IFERROR(INDEX(Assessments!$I$2:$I$600,MATCH($H56&amp;"|"&amp;$I56&amp;"|"&amp;$J56&amp;"|"&amp;6,Assessments!$A$2:$A$600,0)),"")</f>
        <v>Econ Test</v>
      </c>
      <c r="CO56" s="28" t="str">
        <f aca="false">IFERROR(INDEX(Assessments!$I$2:$I$600,MATCH($H56&amp;"|"&amp;$I56&amp;"|"&amp;$J56&amp;"|"&amp;7,Assessments!$A$2:$A$600,0)),"")</f>
        <v>Econ Exam</v>
      </c>
      <c r="CP56" s="28" t="str">
        <f aca="false">IFERROR(INDEX(Assessments!$I$2:$I$600,MATCH($H56&amp;"|"&amp;$I56&amp;"|"&amp;$J56&amp;"|"&amp;8,Assessments!$A$2:$A$600,0)),"")</f>
        <v/>
      </c>
      <c r="CQ56" s="28" t="str">
        <f aca="false">IFERROR(INDEX(Assessments!$I$2:$I$600,MATCH($H56&amp;"|"&amp;$I56&amp;"|"&amp;$J56&amp;"|"&amp;9,Assessments!$A$2:$A$600,0)),"")</f>
        <v/>
      </c>
      <c r="CR56" s="28" t="str">
        <f aca="false">IFERROR(INDEX(Assessments!$I$2:$I$600,MATCH($H56&amp;"|"&amp;$I56&amp;"|"&amp;$J56&amp;"|"&amp;10,Assessments!$A$2:$A$600,0)),"")</f>
        <v/>
      </c>
      <c r="CS56" s="28" t="str">
        <f aca="false">IFERROR(INDEX(Assessments!$I$2:$I$600,MATCH($H56&amp;"|"&amp;$I56&amp;"|"&amp;$J56&amp;"|"&amp;11,Assessments!$A$2:$A$600,0)),"")</f>
        <v/>
      </c>
      <c r="CT56" s="28" t="str">
        <f aca="false">IFERROR(INDEX(Assessments!$I$2:$I$600,MATCH($H56&amp;"|"&amp;$I56&amp;"|"&amp;$J56&amp;"|"&amp;12,Assessments!$A$2:$A$600,0)),"")</f>
        <v/>
      </c>
      <c r="CU56" s="28" t="str">
        <f aca="false">IFERROR(INDEX(Assessments!$I$2:$I$600,MATCH($H56&amp;"|"&amp;$I56&amp;"|"&amp;$J56&amp;"|"&amp;13,Assessments!$A$2:$A$600,0)),"")</f>
        <v/>
      </c>
      <c r="CV56" s="28" t="str">
        <f aca="false">IFERROR(INDEX(Assessments!$I$2:$I$600,MATCH($H56&amp;"|"&amp;$I56&amp;"|"&amp;$J56&amp;"|"&amp;14,Assessments!$A$2:$A$600,0)),"")</f>
        <v/>
      </c>
      <c r="CW56" s="28" t="n">
        <f aca="false">IFERROR(INDEX(Assessments!$J$2:$J$600,MATCH($H56&amp;"|"&amp;$I56&amp;"|"&amp;$J56&amp;"|"&amp;1,Assessments!$A$2:$A$600,0)),0)</f>
        <v>1</v>
      </c>
      <c r="CX56" s="28" t="n">
        <f aca="false">IFERROR(INDEX(Assessments!$J$2:$J$600,MATCH($H56&amp;"|"&amp;$I56&amp;"|"&amp;$J56&amp;"|"&amp;2,Assessments!$A$2:$A$600,0)),0)</f>
        <v>1</v>
      </c>
      <c r="CY56" s="28" t="n">
        <f aca="false">IFERROR(INDEX(Assessments!$J$2:$J$600,MATCH($H56&amp;"|"&amp;$I56&amp;"|"&amp;$J56&amp;"|"&amp;3,Assessments!$A$2:$A$600,0)),0)</f>
        <v>1</v>
      </c>
      <c r="CZ56" s="28" t="n">
        <f aca="false">IFERROR(INDEX(Assessments!$J$2:$J$600,MATCH($H56&amp;"|"&amp;$I56&amp;"|"&amp;$J56&amp;"|"&amp;4,Assessments!$A$2:$A$600,0)),0)</f>
        <v>1</v>
      </c>
      <c r="DA56" s="28" t="n">
        <f aca="false">IFERROR(INDEX(Assessments!$J$2:$J$600,MATCH($H56&amp;"|"&amp;$I56&amp;"|"&amp;$J56&amp;"|"&amp;5,Assessments!$A$2:$A$600,0)),0)</f>
        <v>2</v>
      </c>
      <c r="DB56" s="28" t="n">
        <f aca="false">IFERROR(INDEX(Assessments!$J$2:$J$600,MATCH($H56&amp;"|"&amp;$I56&amp;"|"&amp;$J56&amp;"|"&amp;6,Assessments!$A$2:$A$600,0)),0)</f>
        <v>1</v>
      </c>
      <c r="DC56" s="28" t="n">
        <f aca="false">IFERROR(INDEX(Assessments!$J$2:$J$600,MATCH($H56&amp;"|"&amp;$I56&amp;"|"&amp;$J56&amp;"|"&amp;7,Assessments!$A$2:$A$600,0)),0)</f>
        <v>2</v>
      </c>
      <c r="DD56" s="28" t="n">
        <f aca="false">IFERROR(INDEX(Assessments!$J$2:$J$600,MATCH($H56&amp;"|"&amp;$I56&amp;"|"&amp;$J56&amp;"|"&amp;8,Assessments!$A$2:$A$600,0)),0)</f>
        <v>0</v>
      </c>
      <c r="DE56" s="28" t="n">
        <f aca="false">IFERROR(INDEX(Assessments!$J$2:$J$600,MATCH($H56&amp;"|"&amp;$I56&amp;"|"&amp;$J56&amp;"|"&amp;9,Assessments!$A$2:$A$600,0)),0)</f>
        <v>0</v>
      </c>
      <c r="DF56" s="28" t="n">
        <f aca="false">IFERROR(INDEX(Assessments!$J$2:$J$600,MATCH($H56&amp;"|"&amp;$I56&amp;"|"&amp;$J56&amp;"|"&amp;10,Assessments!$A$2:$A$600,0)),0)</f>
        <v>0</v>
      </c>
      <c r="DG56" s="28" t="n">
        <f aca="false">IFERROR(INDEX(Assessments!$J$2:$J$600,MATCH($H56&amp;"|"&amp;$I56&amp;"|"&amp;$J56&amp;"|"&amp;11,Assessments!$A$2:$A$600,0)),0)</f>
        <v>0</v>
      </c>
      <c r="DH56" s="28" t="n">
        <f aca="false">IFERROR(INDEX(Assessments!$J$2:$J$600,MATCH($H56&amp;"|"&amp;$I56&amp;"|"&amp;$J56&amp;"|"&amp;12,Assessments!$A$2:$A$600,0)),0)</f>
        <v>0</v>
      </c>
      <c r="DI56" s="28" t="n">
        <f aca="false">IFERROR(INDEX(Assessments!$J$2:$J$600,MATCH($H56&amp;"|"&amp;$I56&amp;"|"&amp;$J56&amp;"|"&amp;13,Assessments!$A$2:$A$600,0)),0)</f>
        <v>0</v>
      </c>
      <c r="DJ56" s="28" t="n">
        <f aca="false">IFERROR(INDEX(Assessments!$J$2:$J$600,MATCH($H56&amp;"|"&amp;$I56&amp;"|"&amp;$J56&amp;"|"&amp;14,Assessments!$A$2:$A$600,0)),0)</f>
        <v>0</v>
      </c>
      <c r="DK56" s="28" t="n">
        <f aca="false">S56</f>
        <v>6</v>
      </c>
      <c r="DL56" s="28" t="n">
        <f aca="false">W56</f>
        <v>5</v>
      </c>
      <c r="DM56" s="28" t="n">
        <f aca="false">AA56</f>
        <v>4</v>
      </c>
      <c r="DN56" s="28" t="n">
        <f aca="false">AE56</f>
        <v>5</v>
      </c>
      <c r="DO56" s="28" t="n">
        <f aca="false">AI56</f>
        <v>6</v>
      </c>
      <c r="DP56" s="28" t="str">
        <f aca="false">AM56</f>
        <v/>
      </c>
      <c r="DQ56" s="28" t="str">
        <f aca="false">AQ56</f>
        <v/>
      </c>
      <c r="DR56" s="28" t="str">
        <f aca="false">AU56</f>
        <v/>
      </c>
      <c r="DS56" s="28" t="str">
        <f aca="false">AY56</f>
        <v/>
      </c>
      <c r="DT56" s="28" t="str">
        <f aca="false">BC56</f>
        <v/>
      </c>
      <c r="DU56" s="28" t="str">
        <f aca="false">BG56</f>
        <v/>
      </c>
      <c r="DV56" s="28" t="str">
        <f aca="false">BK56</f>
        <v/>
      </c>
      <c r="DW56" s="28" t="str">
        <f aca="false">BO56</f>
        <v/>
      </c>
      <c r="DX56" s="28" t="str">
        <f aca="false">BS56</f>
        <v/>
      </c>
      <c r="DY56" s="28" t="n">
        <f aca="false">IF(ISNUMBER(S56),1,"")</f>
        <v>1</v>
      </c>
      <c r="DZ56" s="28" t="n">
        <f aca="false">IF(ISNUMBER(W56),2,"")</f>
        <v>2</v>
      </c>
      <c r="EA56" s="28" t="n">
        <f aca="false">IF(ISNUMBER(AA56),3,"")</f>
        <v>3</v>
      </c>
      <c r="EB56" s="28" t="n">
        <f aca="false">IF(ISNUMBER(AE56),4,"")</f>
        <v>4</v>
      </c>
      <c r="EC56" s="28" t="n">
        <f aca="false">IF(ISNUMBER(AI56),5,"")</f>
        <v>5</v>
      </c>
      <c r="ED56" s="28" t="str">
        <f aca="false">IF(ISNUMBER(AM56),6,"")</f>
        <v/>
      </c>
      <c r="EE56" s="28" t="str">
        <f aca="false">IF(ISNUMBER(AQ56),7,"")</f>
        <v/>
      </c>
      <c r="EF56" s="28" t="str">
        <f aca="false">IF(ISNUMBER(AU56),8,"")</f>
        <v/>
      </c>
      <c r="EG56" s="28" t="str">
        <f aca="false">IF(ISNUMBER(AY56),9,"")</f>
        <v/>
      </c>
      <c r="EH56" s="28" t="str">
        <f aca="false">IF(ISNUMBER(BC56),10,"")</f>
        <v/>
      </c>
      <c r="EI56" s="28" t="str">
        <f aca="false">IF(ISNUMBER(BG56),11,"")</f>
        <v/>
      </c>
      <c r="EJ56" s="28" t="str">
        <f aca="false">IF(ISNUMBER(BK56),12,"")</f>
        <v/>
      </c>
      <c r="EK56" s="28" t="str">
        <f aca="false">IF(ISNUMBER(BO56),13,"")</f>
        <v/>
      </c>
      <c r="EL56" s="28" t="str">
        <f aca="false">IF(ISNUMBER(BS56),14,"")</f>
        <v/>
      </c>
      <c r="EM56" s="28" t="n">
        <f aca="false">IF(ISNUMBER(R56),R56*CW56,0)</f>
        <v>76.6666666666667</v>
      </c>
      <c r="EN56" s="28" t="n">
        <f aca="false">IF(ISNUMBER(V56),V56*CX56,0)</f>
        <v>66.6666666666667</v>
      </c>
      <c r="EO56" s="28" t="n">
        <f aca="false">IF(ISNUMBER(Z56),Z56*CY56,0)</f>
        <v>52</v>
      </c>
      <c r="EP56" s="28" t="n">
        <f aca="false">IF(ISNUMBER(AD56),AD56*CZ56,0)</f>
        <v>68.5714285714286</v>
      </c>
      <c r="EQ56" s="28" t="n">
        <f aca="false">IF(ISNUMBER(AH56),AH56*DA56,0)</f>
        <v>152.727272727273</v>
      </c>
      <c r="ER56" s="28" t="n">
        <f aca="false">IF(ISNUMBER(AL56),AL56*DB56,0)</f>
        <v>0</v>
      </c>
      <c r="ES56" s="28" t="n">
        <f aca="false">IF(ISNUMBER(AP56),AP56*DC56,0)</f>
        <v>0</v>
      </c>
      <c r="ET56" s="28" t="n">
        <f aca="false">IF(ISNUMBER(AT56),AT56*DD56,0)</f>
        <v>0</v>
      </c>
      <c r="EU56" s="28" t="n">
        <f aca="false">IF(ISNUMBER(AX56),AX56*DE56,0)</f>
        <v>0</v>
      </c>
      <c r="EV56" s="28" t="n">
        <f aca="false">IF(ISNUMBER(BB56),BB56*DF56,0)</f>
        <v>0</v>
      </c>
      <c r="EW56" s="28" t="n">
        <f aca="false">IF(ISNUMBER(BF56),BF56*DG56,0)</f>
        <v>0</v>
      </c>
      <c r="EX56" s="28" t="n">
        <f aca="false">IF(ISNUMBER(BJ56),BJ56*DH56,0)</f>
        <v>0</v>
      </c>
      <c r="EY56" s="28" t="n">
        <f aca="false">IF(ISNUMBER(BN56),BN56*DI56,0)</f>
        <v>0</v>
      </c>
      <c r="EZ56" s="28" t="n">
        <f aca="false">IF(ISNUMBER(BR56),BR56*DJ56,0)</f>
        <v>0</v>
      </c>
      <c r="FA56" s="28" t="n">
        <f aca="false">IF(ISNUMBER(R56),CW56,0)</f>
        <v>1</v>
      </c>
      <c r="FB56" s="28" t="n">
        <f aca="false">IF(ISNUMBER(V56),CX56,0)</f>
        <v>1</v>
      </c>
      <c r="FC56" s="28" t="n">
        <f aca="false">IF(ISNUMBER(Z56),CY56,0)</f>
        <v>1</v>
      </c>
      <c r="FD56" s="28" t="n">
        <f aca="false">IF(ISNUMBER(AD56),CZ56,0)</f>
        <v>1</v>
      </c>
      <c r="FE56" s="28" t="n">
        <f aca="false">IF(ISNUMBER(AH56),DA56,0)</f>
        <v>2</v>
      </c>
      <c r="FF56" s="28" t="n">
        <f aca="false">IF(ISNUMBER(AL56),DB56,0)</f>
        <v>0</v>
      </c>
      <c r="FG56" s="28" t="n">
        <f aca="false">IF(ISNUMBER(AP56),DC56,0)</f>
        <v>0</v>
      </c>
      <c r="FH56" s="28" t="n">
        <f aca="false">IF(ISNUMBER(AT56),DD56,0)</f>
        <v>0</v>
      </c>
      <c r="FI56" s="28" t="n">
        <f aca="false">IF(ISNUMBER(AX56),DE56,0)</f>
        <v>0</v>
      </c>
      <c r="FJ56" s="28" t="n">
        <f aca="false">IF(ISNUMBER(BB56),DF56,0)</f>
        <v>0</v>
      </c>
      <c r="FK56" s="28" t="n">
        <f aca="false">IF(ISNUMBER(BF56),DG56,0)</f>
        <v>0</v>
      </c>
      <c r="FL56" s="28" t="n">
        <f aca="false">IF(ISNUMBER(BJ56),DH56,0)</f>
        <v>0</v>
      </c>
      <c r="FM56" s="28" t="n">
        <f aca="false">IF(ISNUMBER(BN56),DI56,0)</f>
        <v>0</v>
      </c>
      <c r="FN56" s="28" t="n">
        <f aca="false">IF(ISNUMBER(BR56),DJ56,0)</f>
        <v>0</v>
      </c>
      <c r="FO56" s="28" t="str">
        <f aca="false">IFERROR(INDEX(Lists!$G$2:$G$20,MATCH($I56&amp;"|"&amp;$J56,Lists!$F$2:$F$20,0)),"")</f>
        <v>Econ Exam</v>
      </c>
    </row>
    <row r="57" customFormat="false" ht="19.5" hidden="false" customHeight="true" outlineLevel="0" collapsed="false">
      <c r="A57" s="29" t="s">
        <v>247</v>
      </c>
      <c r="B57" s="29" t="s">
        <v>248</v>
      </c>
      <c r="C57" s="30" t="s">
        <v>152</v>
      </c>
      <c r="D57" s="30" t="s">
        <v>246</v>
      </c>
      <c r="E57" s="31" t="n">
        <v>5.5</v>
      </c>
      <c r="F57" s="30" t="n">
        <v>6</v>
      </c>
      <c r="G57" s="30"/>
      <c r="H57" s="32" t="s">
        <v>23</v>
      </c>
      <c r="I57" s="33" t="s">
        <v>229</v>
      </c>
      <c r="J57" s="32" t="s">
        <v>25</v>
      </c>
      <c r="K57" s="34" t="n">
        <f aca="false">IF(OR(M57="",$E57=""),"",M57-$E57)</f>
        <v>1.5</v>
      </c>
      <c r="L57" s="35" t="n">
        <f aca="false">IF(SUM(FA57:FN57)=0,"",SUM(EM57:EZ57)/SUM(FA57:FN57))</f>
        <v>86.95670995671</v>
      </c>
      <c r="M57" s="36" t="n">
        <f aca="false">IF(OR(L57="",FO57=""),"",IFERROR(MATCH(L57,INDEX(Boundaries!$B$2:$I$30,MATCH(FO57,Boundaries!$A$2:$A$30,0),0),1)-1,""))</f>
        <v>7</v>
      </c>
      <c r="N57" s="37" t="n">
        <f aca="false">IF(COUNT($DY57:$EL57)&lt;2,"",INDEX($DK57:$DX57,MAX($DY57:$EL57))-INDEX($DK57:$DX57,MIN($DY57:$EL57)))</f>
        <v>0</v>
      </c>
      <c r="O57" s="37" t="n">
        <f aca="false">IF(COUNT($DY57:$EL57)&lt;2,"",INDEX($DK57:$DX57,MAX($DY57:$EL57))-INDEX($DK57:$DX57,LARGE($DY57:$EL57,2)))</f>
        <v>0</v>
      </c>
      <c r="P57" s="38" t="str">
        <f aca="false">IF(K57="","",IF(K57&gt;=0,"On/above target",IF(AND(N57&lt;&gt;"",N57&gt;=0.5),"Improving towards target",IF(AND(O57&lt;&gt;"",O57&lt;=-0.5),"Declining","Stable below target"))))</f>
        <v>On/above target</v>
      </c>
      <c r="Q57" s="39" t="n">
        <v>26</v>
      </c>
      <c r="R57" s="40" t="n">
        <f aca="false">IF(OR(Q57="",BU57=""),"",Q57/BU57*100)</f>
        <v>86.6666666666667</v>
      </c>
      <c r="S57" s="41" t="n">
        <f aca="false">IF(R57="","",IFERROR(MATCH(R57,INDEX(Boundaries!$B$2:$I$30,MATCH(CI57,Boundaries!$A$2:$A$30,0),0),1)-1,""))</f>
        <v>7</v>
      </c>
      <c r="T57" s="42" t="n">
        <f aca="false">IF(OR(S57="",$E57=""),"",S57-$E57)</f>
        <v>1.5</v>
      </c>
      <c r="U57" s="39" t="n">
        <v>20</v>
      </c>
      <c r="V57" s="40" t="n">
        <f aca="false">IF(OR(U57="",BV57=""),"",U57/BV57*100)</f>
        <v>83.3333333333333</v>
      </c>
      <c r="W57" s="41" t="n">
        <f aca="false">IF(V57="","",IFERROR(MATCH(V57,INDEX(Boundaries!$B$2:$I$30,MATCH(CJ57,Boundaries!$A$2:$A$30,0),0),1)-1,""))</f>
        <v>6</v>
      </c>
      <c r="X57" s="42" t="n">
        <f aca="false">IF(OR(W57="",$E57=""),"",W57-$E57)</f>
        <v>0.5</v>
      </c>
      <c r="Y57" s="39" t="n">
        <v>18</v>
      </c>
      <c r="Z57" s="40" t="n">
        <f aca="false">IF(OR(Y57="",BW57=""),"",Y57/BW57*100)</f>
        <v>72</v>
      </c>
      <c r="AA57" s="41" t="n">
        <f aca="false">IF(Z57="","",IFERROR(MATCH(Z57,INDEX(Boundaries!$B$2:$I$30,MATCH(CK57,Boundaries!$A$2:$A$30,0),0),1)-1,""))</f>
        <v>5</v>
      </c>
      <c r="AB57" s="42" t="n">
        <f aca="false">IF(OR(AA57="",$E57=""),"",AA57-$E57)</f>
        <v>-0.5</v>
      </c>
      <c r="AC57" s="39" t="n">
        <v>33</v>
      </c>
      <c r="AD57" s="40" t="n">
        <f aca="false">IF(OR(AC57="",BX57=""),"",AC57/BX57*100)</f>
        <v>94.2857142857143</v>
      </c>
      <c r="AE57" s="41" t="n">
        <f aca="false">IF(AD57="","",IFERROR(MATCH(AD57,INDEX(Boundaries!$B$2:$I$30,MATCH(CL57,Boundaries!$A$2:$A$30,0),0),1)-1,""))</f>
        <v>7</v>
      </c>
      <c r="AF57" s="42" t="n">
        <f aca="false">IF(OR(AE57="",$E57=""),"",AE57-$E57)</f>
        <v>1.5</v>
      </c>
      <c r="AG57" s="39" t="n">
        <v>51</v>
      </c>
      <c r="AH57" s="40" t="n">
        <f aca="false">IF(OR(AG57="",BY57=""),"",AG57/BY57*100)</f>
        <v>92.7272727272727</v>
      </c>
      <c r="AI57" s="41" t="n">
        <f aca="false">IF(AH57="","",IFERROR(MATCH(AH57,INDEX(Boundaries!$B$2:$I$30,MATCH(CM57,Boundaries!$A$2:$A$30,0),0),1)-1,""))</f>
        <v>7</v>
      </c>
      <c r="AJ57" s="42" t="n">
        <f aca="false">IF(OR(AI57="",$E57=""),"",AI57-$E57)</f>
        <v>1.5</v>
      </c>
      <c r="AK57" s="39"/>
      <c r="AL57" s="40" t="str">
        <f aca="false">IF(OR(AK57="",BZ57=""),"",AK57/BZ57*100)</f>
        <v/>
      </c>
      <c r="AM57" s="41" t="str">
        <f aca="false">IF(AL57="","",IFERROR(MATCH(AL57,INDEX(Boundaries!$B$2:$I$30,MATCH(CN57,Boundaries!$A$2:$A$30,0),0),1)-1,""))</f>
        <v/>
      </c>
      <c r="AN57" s="42" t="str">
        <f aca="false">IF(OR(AM57="",$E57=""),"",AM57-$E57)</f>
        <v/>
      </c>
      <c r="AO57" s="39"/>
      <c r="AP57" s="40" t="str">
        <f aca="false">IF(OR(AO57="",CA57=""),"",AO57/CA57*100)</f>
        <v/>
      </c>
      <c r="AQ57" s="41" t="str">
        <f aca="false">IF(AP57="","",IFERROR(MATCH(AP57,INDEX(Boundaries!$B$2:$I$30,MATCH(CO57,Boundaries!$A$2:$A$30,0),0),1)-1,""))</f>
        <v/>
      </c>
      <c r="AR57" s="42" t="str">
        <f aca="false">IF(OR(AQ57="",$E57=""),"",AQ57-$E57)</f>
        <v/>
      </c>
      <c r="AS57" s="39"/>
      <c r="AT57" s="40" t="str">
        <f aca="false">IF(OR(AS57="",CB57=""),"",AS57/CB57*100)</f>
        <v/>
      </c>
      <c r="AU57" s="41" t="str">
        <f aca="false">IF(AT57="","",IFERROR(MATCH(AT57,INDEX(Boundaries!$B$2:$I$30,MATCH(CP57,Boundaries!$A$2:$A$30,0),0),1)-1,""))</f>
        <v/>
      </c>
      <c r="AV57" s="42" t="str">
        <f aca="false">IF(OR(AU57="",$E57=""),"",AU57-$E57)</f>
        <v/>
      </c>
      <c r="AW57" s="39"/>
      <c r="AX57" s="40" t="str">
        <f aca="false">IF(OR(AW57="",CC57=""),"",AW57/CC57*100)</f>
        <v/>
      </c>
      <c r="AY57" s="41" t="str">
        <f aca="false">IF(AX57="","",IFERROR(MATCH(AX57,INDEX(Boundaries!$B$2:$I$30,MATCH(CQ57,Boundaries!$A$2:$A$30,0),0),1)-1,""))</f>
        <v/>
      </c>
      <c r="AZ57" s="42" t="str">
        <f aca="false">IF(OR(AY57="",$E57=""),"",AY57-$E57)</f>
        <v/>
      </c>
      <c r="BA57" s="39"/>
      <c r="BB57" s="40" t="str">
        <f aca="false">IF(OR(BA57="",CD57=""),"",BA57/CD57*100)</f>
        <v/>
      </c>
      <c r="BC57" s="41" t="str">
        <f aca="false">IF(BB57="","",IFERROR(MATCH(BB57,INDEX(Boundaries!$B$2:$I$30,MATCH(CR57,Boundaries!$A$2:$A$30,0),0),1)-1,""))</f>
        <v/>
      </c>
      <c r="BD57" s="42" t="str">
        <f aca="false">IF(OR(BC57="",$E57=""),"",BC57-$E57)</f>
        <v/>
      </c>
      <c r="BE57" s="39"/>
      <c r="BF57" s="40" t="str">
        <f aca="false">IF(OR(BE57="",CE57=""),"",BE57/CE57*100)</f>
        <v/>
      </c>
      <c r="BG57" s="41" t="str">
        <f aca="false">IF(BF57="","",IFERROR(MATCH(BF57,INDEX(Boundaries!$B$2:$I$30,MATCH(CS57,Boundaries!$A$2:$A$30,0),0),1)-1,""))</f>
        <v/>
      </c>
      <c r="BH57" s="42" t="str">
        <f aca="false">IF(OR(BG57="",$E57=""),"",BG57-$E57)</f>
        <v/>
      </c>
      <c r="BI57" s="39"/>
      <c r="BJ57" s="40" t="str">
        <f aca="false">IF(OR(BI57="",CF57=""),"",BI57/CF57*100)</f>
        <v/>
      </c>
      <c r="BK57" s="41" t="str">
        <f aca="false">IF(BJ57="","",IFERROR(MATCH(BJ57,INDEX(Boundaries!$B$2:$I$30,MATCH(CT57,Boundaries!$A$2:$A$30,0),0),1)-1,""))</f>
        <v/>
      </c>
      <c r="BL57" s="42" t="str">
        <f aca="false">IF(OR(BK57="",$E57=""),"",BK57-$E57)</f>
        <v/>
      </c>
      <c r="BM57" s="39"/>
      <c r="BN57" s="40" t="str">
        <f aca="false">IF(OR(BM57="",CG57=""),"",BM57/CG57*100)</f>
        <v/>
      </c>
      <c r="BO57" s="41" t="str">
        <f aca="false">IF(BN57="","",IFERROR(MATCH(BN57,INDEX(Boundaries!$B$2:$I$30,MATCH(CU57,Boundaries!$A$2:$A$30,0),0),1)-1,""))</f>
        <v/>
      </c>
      <c r="BP57" s="42" t="str">
        <f aca="false">IF(OR(BO57="",$E57=""),"",BO57-$E57)</f>
        <v/>
      </c>
      <c r="BQ57" s="39"/>
      <c r="BR57" s="40" t="str">
        <f aca="false">IF(OR(BQ57="",CH57=""),"",BQ57/CH57*100)</f>
        <v/>
      </c>
      <c r="BS57" s="41" t="str">
        <f aca="false">IF(BR57="","",IFERROR(MATCH(BR57,INDEX(Boundaries!$B$2:$I$30,MATCH(CV57,Boundaries!$A$2:$A$30,0),0),1)-1,""))</f>
        <v/>
      </c>
      <c r="BT57" s="42" t="str">
        <f aca="false">IF(OR(BS57="",$E57=""),"",BS57-$E57)</f>
        <v/>
      </c>
      <c r="BU57" s="28" t="n">
        <f aca="false">IFERROR(INDEX(Assessments!$H$2:$H$600,MATCH($H57&amp;"|"&amp;$I57&amp;"|"&amp;$J57&amp;"|"&amp;1,Assessments!$A$2:$A$600,0)),"")</f>
        <v>30</v>
      </c>
      <c r="BV57" s="28" t="n">
        <f aca="false">IFERROR(INDEX(Assessments!$H$2:$H$600,MATCH($H57&amp;"|"&amp;$I57&amp;"|"&amp;$J57&amp;"|"&amp;2,Assessments!$A$2:$A$600,0)),"")</f>
        <v>24</v>
      </c>
      <c r="BW57" s="28" t="n">
        <f aca="false">IFERROR(INDEX(Assessments!$H$2:$H$600,MATCH($H57&amp;"|"&amp;$I57&amp;"|"&amp;$J57&amp;"|"&amp;3,Assessments!$A$2:$A$600,0)),"")</f>
        <v>25</v>
      </c>
      <c r="BX57" s="28" t="n">
        <f aca="false">IFERROR(INDEX(Assessments!$H$2:$H$600,MATCH($H57&amp;"|"&amp;$I57&amp;"|"&amp;$J57&amp;"|"&amp;4,Assessments!$A$2:$A$600,0)),"")</f>
        <v>35</v>
      </c>
      <c r="BY57" s="28" t="n">
        <f aca="false">IFERROR(INDEX(Assessments!$H$2:$H$600,MATCH($H57&amp;"|"&amp;$I57&amp;"|"&amp;$J57&amp;"|"&amp;5,Assessments!$A$2:$A$600,0)),"")</f>
        <v>55</v>
      </c>
      <c r="BZ57" s="28" t="n">
        <f aca="false">IFERROR(INDEX(Assessments!$H$2:$H$600,MATCH($H57&amp;"|"&amp;$I57&amp;"|"&amp;$J57&amp;"|"&amp;6,Assessments!$A$2:$A$600,0)),"")</f>
        <v>30</v>
      </c>
      <c r="CA57" s="28" t="n">
        <f aca="false">IFERROR(INDEX(Assessments!$H$2:$H$600,MATCH($H57&amp;"|"&amp;$I57&amp;"|"&amp;$J57&amp;"|"&amp;7,Assessments!$A$2:$A$600,0)),"")</f>
        <v>95</v>
      </c>
      <c r="CB57" s="28" t="str">
        <f aca="false">IFERROR(INDEX(Assessments!$H$2:$H$600,MATCH($H57&amp;"|"&amp;$I57&amp;"|"&amp;$J57&amp;"|"&amp;8,Assessments!$A$2:$A$600,0)),"")</f>
        <v/>
      </c>
      <c r="CC57" s="28" t="str">
        <f aca="false">IFERROR(INDEX(Assessments!$H$2:$H$600,MATCH($H57&amp;"|"&amp;$I57&amp;"|"&amp;$J57&amp;"|"&amp;9,Assessments!$A$2:$A$600,0)),"")</f>
        <v/>
      </c>
      <c r="CD57" s="28" t="str">
        <f aca="false">IFERROR(INDEX(Assessments!$H$2:$H$600,MATCH($H57&amp;"|"&amp;$I57&amp;"|"&amp;$J57&amp;"|"&amp;10,Assessments!$A$2:$A$600,0)),"")</f>
        <v/>
      </c>
      <c r="CE57" s="28" t="str">
        <f aca="false">IFERROR(INDEX(Assessments!$H$2:$H$600,MATCH($H57&amp;"|"&amp;$I57&amp;"|"&amp;$J57&amp;"|"&amp;11,Assessments!$A$2:$A$600,0)),"")</f>
        <v/>
      </c>
      <c r="CF57" s="28" t="str">
        <f aca="false">IFERROR(INDEX(Assessments!$H$2:$H$600,MATCH($H57&amp;"|"&amp;$I57&amp;"|"&amp;$J57&amp;"|"&amp;12,Assessments!$A$2:$A$600,0)),"")</f>
        <v/>
      </c>
      <c r="CG57" s="28" t="str">
        <f aca="false">IFERROR(INDEX(Assessments!$H$2:$H$600,MATCH($H57&amp;"|"&amp;$I57&amp;"|"&amp;$J57&amp;"|"&amp;13,Assessments!$A$2:$A$600,0)),"")</f>
        <v/>
      </c>
      <c r="CH57" s="28" t="str">
        <f aca="false">IFERROR(INDEX(Assessments!$H$2:$H$600,MATCH($H57&amp;"|"&amp;$I57&amp;"|"&amp;$J57&amp;"|"&amp;14,Assessments!$A$2:$A$600,0)),"")</f>
        <v/>
      </c>
      <c r="CI57" s="28" t="str">
        <f aca="false">IFERROR(INDEX(Assessments!$I$2:$I$600,MATCH($H57&amp;"|"&amp;$I57&amp;"|"&amp;$J57&amp;"|"&amp;1,Assessments!$A$2:$A$600,0)),"")</f>
        <v>Econ Test</v>
      </c>
      <c r="CJ57" s="28" t="str">
        <f aca="false">IFERROR(INDEX(Assessments!$I$2:$I$600,MATCH($H57&amp;"|"&amp;$I57&amp;"|"&amp;$J57&amp;"|"&amp;2,Assessments!$A$2:$A$600,0)),"")</f>
        <v>Econ Test</v>
      </c>
      <c r="CK57" s="28" t="str">
        <f aca="false">IFERROR(INDEX(Assessments!$I$2:$I$600,MATCH($H57&amp;"|"&amp;$I57&amp;"|"&amp;$J57&amp;"|"&amp;3,Assessments!$A$2:$A$600,0)),"")</f>
        <v>Econ Test</v>
      </c>
      <c r="CL57" s="28" t="str">
        <f aca="false">IFERROR(INDEX(Assessments!$I$2:$I$600,MATCH($H57&amp;"|"&amp;$I57&amp;"|"&amp;$J57&amp;"|"&amp;4,Assessments!$A$2:$A$600,0)),"")</f>
        <v>Econ Test</v>
      </c>
      <c r="CM57" s="28" t="str">
        <f aca="false">IFERROR(INDEX(Assessments!$I$2:$I$600,MATCH($H57&amp;"|"&amp;$I57&amp;"|"&amp;$J57&amp;"|"&amp;5,Assessments!$A$2:$A$600,0)),"")</f>
        <v>Econ Exam</v>
      </c>
      <c r="CN57" s="28" t="str">
        <f aca="false">IFERROR(INDEX(Assessments!$I$2:$I$600,MATCH($H57&amp;"|"&amp;$I57&amp;"|"&amp;$J57&amp;"|"&amp;6,Assessments!$A$2:$A$600,0)),"")</f>
        <v>Econ Test</v>
      </c>
      <c r="CO57" s="28" t="str">
        <f aca="false">IFERROR(INDEX(Assessments!$I$2:$I$600,MATCH($H57&amp;"|"&amp;$I57&amp;"|"&amp;$J57&amp;"|"&amp;7,Assessments!$A$2:$A$600,0)),"")</f>
        <v>Econ Exam</v>
      </c>
      <c r="CP57" s="28" t="str">
        <f aca="false">IFERROR(INDEX(Assessments!$I$2:$I$600,MATCH($H57&amp;"|"&amp;$I57&amp;"|"&amp;$J57&amp;"|"&amp;8,Assessments!$A$2:$A$600,0)),"")</f>
        <v/>
      </c>
      <c r="CQ57" s="28" t="str">
        <f aca="false">IFERROR(INDEX(Assessments!$I$2:$I$600,MATCH($H57&amp;"|"&amp;$I57&amp;"|"&amp;$J57&amp;"|"&amp;9,Assessments!$A$2:$A$600,0)),"")</f>
        <v/>
      </c>
      <c r="CR57" s="28" t="str">
        <f aca="false">IFERROR(INDEX(Assessments!$I$2:$I$600,MATCH($H57&amp;"|"&amp;$I57&amp;"|"&amp;$J57&amp;"|"&amp;10,Assessments!$A$2:$A$600,0)),"")</f>
        <v/>
      </c>
      <c r="CS57" s="28" t="str">
        <f aca="false">IFERROR(INDEX(Assessments!$I$2:$I$600,MATCH($H57&amp;"|"&amp;$I57&amp;"|"&amp;$J57&amp;"|"&amp;11,Assessments!$A$2:$A$600,0)),"")</f>
        <v/>
      </c>
      <c r="CT57" s="28" t="str">
        <f aca="false">IFERROR(INDEX(Assessments!$I$2:$I$600,MATCH($H57&amp;"|"&amp;$I57&amp;"|"&amp;$J57&amp;"|"&amp;12,Assessments!$A$2:$A$600,0)),"")</f>
        <v/>
      </c>
      <c r="CU57" s="28" t="str">
        <f aca="false">IFERROR(INDEX(Assessments!$I$2:$I$600,MATCH($H57&amp;"|"&amp;$I57&amp;"|"&amp;$J57&amp;"|"&amp;13,Assessments!$A$2:$A$600,0)),"")</f>
        <v/>
      </c>
      <c r="CV57" s="28" t="str">
        <f aca="false">IFERROR(INDEX(Assessments!$I$2:$I$600,MATCH($H57&amp;"|"&amp;$I57&amp;"|"&amp;$J57&amp;"|"&amp;14,Assessments!$A$2:$A$600,0)),"")</f>
        <v/>
      </c>
      <c r="CW57" s="28" t="n">
        <f aca="false">IFERROR(INDEX(Assessments!$J$2:$J$600,MATCH($H57&amp;"|"&amp;$I57&amp;"|"&amp;$J57&amp;"|"&amp;1,Assessments!$A$2:$A$600,0)),0)</f>
        <v>1</v>
      </c>
      <c r="CX57" s="28" t="n">
        <f aca="false">IFERROR(INDEX(Assessments!$J$2:$J$600,MATCH($H57&amp;"|"&amp;$I57&amp;"|"&amp;$J57&amp;"|"&amp;2,Assessments!$A$2:$A$600,0)),0)</f>
        <v>1</v>
      </c>
      <c r="CY57" s="28" t="n">
        <f aca="false">IFERROR(INDEX(Assessments!$J$2:$J$600,MATCH($H57&amp;"|"&amp;$I57&amp;"|"&amp;$J57&amp;"|"&amp;3,Assessments!$A$2:$A$600,0)),0)</f>
        <v>1</v>
      </c>
      <c r="CZ57" s="28" t="n">
        <f aca="false">IFERROR(INDEX(Assessments!$J$2:$J$600,MATCH($H57&amp;"|"&amp;$I57&amp;"|"&amp;$J57&amp;"|"&amp;4,Assessments!$A$2:$A$600,0)),0)</f>
        <v>1</v>
      </c>
      <c r="DA57" s="28" t="n">
        <f aca="false">IFERROR(INDEX(Assessments!$J$2:$J$600,MATCH($H57&amp;"|"&amp;$I57&amp;"|"&amp;$J57&amp;"|"&amp;5,Assessments!$A$2:$A$600,0)),0)</f>
        <v>2</v>
      </c>
      <c r="DB57" s="28" t="n">
        <f aca="false">IFERROR(INDEX(Assessments!$J$2:$J$600,MATCH($H57&amp;"|"&amp;$I57&amp;"|"&amp;$J57&amp;"|"&amp;6,Assessments!$A$2:$A$600,0)),0)</f>
        <v>1</v>
      </c>
      <c r="DC57" s="28" t="n">
        <f aca="false">IFERROR(INDEX(Assessments!$J$2:$J$600,MATCH($H57&amp;"|"&amp;$I57&amp;"|"&amp;$J57&amp;"|"&amp;7,Assessments!$A$2:$A$600,0)),0)</f>
        <v>2</v>
      </c>
      <c r="DD57" s="28" t="n">
        <f aca="false">IFERROR(INDEX(Assessments!$J$2:$J$600,MATCH($H57&amp;"|"&amp;$I57&amp;"|"&amp;$J57&amp;"|"&amp;8,Assessments!$A$2:$A$600,0)),0)</f>
        <v>0</v>
      </c>
      <c r="DE57" s="28" t="n">
        <f aca="false">IFERROR(INDEX(Assessments!$J$2:$J$600,MATCH($H57&amp;"|"&amp;$I57&amp;"|"&amp;$J57&amp;"|"&amp;9,Assessments!$A$2:$A$600,0)),0)</f>
        <v>0</v>
      </c>
      <c r="DF57" s="28" t="n">
        <f aca="false">IFERROR(INDEX(Assessments!$J$2:$J$600,MATCH($H57&amp;"|"&amp;$I57&amp;"|"&amp;$J57&amp;"|"&amp;10,Assessments!$A$2:$A$600,0)),0)</f>
        <v>0</v>
      </c>
      <c r="DG57" s="28" t="n">
        <f aca="false">IFERROR(INDEX(Assessments!$J$2:$J$600,MATCH($H57&amp;"|"&amp;$I57&amp;"|"&amp;$J57&amp;"|"&amp;11,Assessments!$A$2:$A$600,0)),0)</f>
        <v>0</v>
      </c>
      <c r="DH57" s="28" t="n">
        <f aca="false">IFERROR(INDEX(Assessments!$J$2:$J$600,MATCH($H57&amp;"|"&amp;$I57&amp;"|"&amp;$J57&amp;"|"&amp;12,Assessments!$A$2:$A$600,0)),0)</f>
        <v>0</v>
      </c>
      <c r="DI57" s="28" t="n">
        <f aca="false">IFERROR(INDEX(Assessments!$J$2:$J$600,MATCH($H57&amp;"|"&amp;$I57&amp;"|"&amp;$J57&amp;"|"&amp;13,Assessments!$A$2:$A$600,0)),0)</f>
        <v>0</v>
      </c>
      <c r="DJ57" s="28" t="n">
        <f aca="false">IFERROR(INDEX(Assessments!$J$2:$J$600,MATCH($H57&amp;"|"&amp;$I57&amp;"|"&amp;$J57&amp;"|"&amp;14,Assessments!$A$2:$A$600,0)),0)</f>
        <v>0</v>
      </c>
      <c r="DK57" s="28" t="n">
        <f aca="false">S57</f>
        <v>7</v>
      </c>
      <c r="DL57" s="28" t="n">
        <f aca="false">W57</f>
        <v>6</v>
      </c>
      <c r="DM57" s="28" t="n">
        <f aca="false">AA57</f>
        <v>5</v>
      </c>
      <c r="DN57" s="28" t="n">
        <f aca="false">AE57</f>
        <v>7</v>
      </c>
      <c r="DO57" s="28" t="n">
        <f aca="false">AI57</f>
        <v>7</v>
      </c>
      <c r="DP57" s="28" t="str">
        <f aca="false">AM57</f>
        <v/>
      </c>
      <c r="DQ57" s="28" t="str">
        <f aca="false">AQ57</f>
        <v/>
      </c>
      <c r="DR57" s="28" t="str">
        <f aca="false">AU57</f>
        <v/>
      </c>
      <c r="DS57" s="28" t="str">
        <f aca="false">AY57</f>
        <v/>
      </c>
      <c r="DT57" s="28" t="str">
        <f aca="false">BC57</f>
        <v/>
      </c>
      <c r="DU57" s="28" t="str">
        <f aca="false">BG57</f>
        <v/>
      </c>
      <c r="DV57" s="28" t="str">
        <f aca="false">BK57</f>
        <v/>
      </c>
      <c r="DW57" s="28" t="str">
        <f aca="false">BO57</f>
        <v/>
      </c>
      <c r="DX57" s="28" t="str">
        <f aca="false">BS57</f>
        <v/>
      </c>
      <c r="DY57" s="28" t="n">
        <f aca="false">IF(ISNUMBER(S57),1,"")</f>
        <v>1</v>
      </c>
      <c r="DZ57" s="28" t="n">
        <f aca="false">IF(ISNUMBER(W57),2,"")</f>
        <v>2</v>
      </c>
      <c r="EA57" s="28" t="n">
        <f aca="false">IF(ISNUMBER(AA57),3,"")</f>
        <v>3</v>
      </c>
      <c r="EB57" s="28" t="n">
        <f aca="false">IF(ISNUMBER(AE57),4,"")</f>
        <v>4</v>
      </c>
      <c r="EC57" s="28" t="n">
        <f aca="false">IF(ISNUMBER(AI57),5,"")</f>
        <v>5</v>
      </c>
      <c r="ED57" s="28" t="str">
        <f aca="false">IF(ISNUMBER(AM57),6,"")</f>
        <v/>
      </c>
      <c r="EE57" s="28" t="str">
        <f aca="false">IF(ISNUMBER(AQ57),7,"")</f>
        <v/>
      </c>
      <c r="EF57" s="28" t="str">
        <f aca="false">IF(ISNUMBER(AU57),8,"")</f>
        <v/>
      </c>
      <c r="EG57" s="28" t="str">
        <f aca="false">IF(ISNUMBER(AY57),9,"")</f>
        <v/>
      </c>
      <c r="EH57" s="28" t="str">
        <f aca="false">IF(ISNUMBER(BC57),10,"")</f>
        <v/>
      </c>
      <c r="EI57" s="28" t="str">
        <f aca="false">IF(ISNUMBER(BG57),11,"")</f>
        <v/>
      </c>
      <c r="EJ57" s="28" t="str">
        <f aca="false">IF(ISNUMBER(BK57),12,"")</f>
        <v/>
      </c>
      <c r="EK57" s="28" t="str">
        <f aca="false">IF(ISNUMBER(BO57),13,"")</f>
        <v/>
      </c>
      <c r="EL57" s="28" t="str">
        <f aca="false">IF(ISNUMBER(BS57),14,"")</f>
        <v/>
      </c>
      <c r="EM57" s="28" t="n">
        <f aca="false">IF(ISNUMBER(R57),R57*CW57,0)</f>
        <v>86.6666666666667</v>
      </c>
      <c r="EN57" s="28" t="n">
        <f aca="false">IF(ISNUMBER(V57),V57*CX57,0)</f>
        <v>83.3333333333333</v>
      </c>
      <c r="EO57" s="28" t="n">
        <f aca="false">IF(ISNUMBER(Z57),Z57*CY57,0)</f>
        <v>72</v>
      </c>
      <c r="EP57" s="28" t="n">
        <f aca="false">IF(ISNUMBER(AD57),AD57*CZ57,0)</f>
        <v>94.2857142857143</v>
      </c>
      <c r="EQ57" s="28" t="n">
        <f aca="false">IF(ISNUMBER(AH57),AH57*DA57,0)</f>
        <v>185.454545454545</v>
      </c>
      <c r="ER57" s="28" t="n">
        <f aca="false">IF(ISNUMBER(AL57),AL57*DB57,0)</f>
        <v>0</v>
      </c>
      <c r="ES57" s="28" t="n">
        <f aca="false">IF(ISNUMBER(AP57),AP57*DC57,0)</f>
        <v>0</v>
      </c>
      <c r="ET57" s="28" t="n">
        <f aca="false">IF(ISNUMBER(AT57),AT57*DD57,0)</f>
        <v>0</v>
      </c>
      <c r="EU57" s="28" t="n">
        <f aca="false">IF(ISNUMBER(AX57),AX57*DE57,0)</f>
        <v>0</v>
      </c>
      <c r="EV57" s="28" t="n">
        <f aca="false">IF(ISNUMBER(BB57),BB57*DF57,0)</f>
        <v>0</v>
      </c>
      <c r="EW57" s="28" t="n">
        <f aca="false">IF(ISNUMBER(BF57),BF57*DG57,0)</f>
        <v>0</v>
      </c>
      <c r="EX57" s="28" t="n">
        <f aca="false">IF(ISNUMBER(BJ57),BJ57*DH57,0)</f>
        <v>0</v>
      </c>
      <c r="EY57" s="28" t="n">
        <f aca="false">IF(ISNUMBER(BN57),BN57*DI57,0)</f>
        <v>0</v>
      </c>
      <c r="EZ57" s="28" t="n">
        <f aca="false">IF(ISNUMBER(BR57),BR57*DJ57,0)</f>
        <v>0</v>
      </c>
      <c r="FA57" s="28" t="n">
        <f aca="false">IF(ISNUMBER(R57),CW57,0)</f>
        <v>1</v>
      </c>
      <c r="FB57" s="28" t="n">
        <f aca="false">IF(ISNUMBER(V57),CX57,0)</f>
        <v>1</v>
      </c>
      <c r="FC57" s="28" t="n">
        <f aca="false">IF(ISNUMBER(Z57),CY57,0)</f>
        <v>1</v>
      </c>
      <c r="FD57" s="28" t="n">
        <f aca="false">IF(ISNUMBER(AD57),CZ57,0)</f>
        <v>1</v>
      </c>
      <c r="FE57" s="28" t="n">
        <f aca="false">IF(ISNUMBER(AH57),DA57,0)</f>
        <v>2</v>
      </c>
      <c r="FF57" s="28" t="n">
        <f aca="false">IF(ISNUMBER(AL57),DB57,0)</f>
        <v>0</v>
      </c>
      <c r="FG57" s="28" t="n">
        <f aca="false">IF(ISNUMBER(AP57),DC57,0)</f>
        <v>0</v>
      </c>
      <c r="FH57" s="28" t="n">
        <f aca="false">IF(ISNUMBER(AT57),DD57,0)</f>
        <v>0</v>
      </c>
      <c r="FI57" s="28" t="n">
        <f aca="false">IF(ISNUMBER(AX57),DE57,0)</f>
        <v>0</v>
      </c>
      <c r="FJ57" s="28" t="n">
        <f aca="false">IF(ISNUMBER(BB57),DF57,0)</f>
        <v>0</v>
      </c>
      <c r="FK57" s="28" t="n">
        <f aca="false">IF(ISNUMBER(BF57),DG57,0)</f>
        <v>0</v>
      </c>
      <c r="FL57" s="28" t="n">
        <f aca="false">IF(ISNUMBER(BJ57),DH57,0)</f>
        <v>0</v>
      </c>
      <c r="FM57" s="28" t="n">
        <f aca="false">IF(ISNUMBER(BN57),DI57,0)</f>
        <v>0</v>
      </c>
      <c r="FN57" s="28" t="n">
        <f aca="false">IF(ISNUMBER(BR57),DJ57,0)</f>
        <v>0</v>
      </c>
      <c r="FO57" s="28" t="str">
        <f aca="false">IFERROR(INDEX(Lists!$G$2:$G$20,MATCH($I57&amp;"|"&amp;$J57,Lists!$F$2:$F$20,0)),"")</f>
        <v>Econ Exam</v>
      </c>
    </row>
    <row r="58" customFormat="false" ht="19.5" hidden="false" customHeight="true" outlineLevel="0" collapsed="false">
      <c r="A58" s="29" t="s">
        <v>249</v>
      </c>
      <c r="B58" s="29" t="s">
        <v>250</v>
      </c>
      <c r="C58" s="30" t="s">
        <v>152</v>
      </c>
      <c r="D58" s="30" t="s">
        <v>246</v>
      </c>
      <c r="E58" s="31" t="n">
        <v>5.8</v>
      </c>
      <c r="F58" s="30" t="n">
        <v>6</v>
      </c>
      <c r="G58" s="30"/>
      <c r="H58" s="32" t="s">
        <v>23</v>
      </c>
      <c r="I58" s="33" t="s">
        <v>229</v>
      </c>
      <c r="J58" s="32" t="s">
        <v>25</v>
      </c>
      <c r="K58" s="34" t="n">
        <f aca="false">IF(OR(M58="",$E58=""),"",M58-$E58)</f>
        <v>0.2</v>
      </c>
      <c r="L58" s="35" t="n">
        <f aca="false">IF(SUM(FA58:FN58)=0,"",SUM(EM58:EZ58)/SUM(FA58:FN58))</f>
        <v>73.8694083694084</v>
      </c>
      <c r="M58" s="36" t="n">
        <f aca="false">IF(OR(L58="",FO58=""),"",IFERROR(MATCH(L58,INDEX(Boundaries!$B$2:$I$30,MATCH(FO58,Boundaries!$A$2:$A$30,0),0),1)-1,""))</f>
        <v>6</v>
      </c>
      <c r="N58" s="37" t="n">
        <f aca="false">IF(COUNT($DY58:$EL58)&lt;2,"",INDEX($DK58:$DX58,MAX($DY58:$EL58))-INDEX($DK58:$DX58,MIN($DY58:$EL58)))</f>
        <v>1</v>
      </c>
      <c r="O58" s="37" t="n">
        <f aca="false">IF(COUNT($DY58:$EL58)&lt;2,"",INDEX($DK58:$DX58,MAX($DY58:$EL58))-INDEX($DK58:$DX58,LARGE($DY58:$EL58,2)))</f>
        <v>1</v>
      </c>
      <c r="P58" s="38" t="str">
        <f aca="false">IF(K58="","",IF(K58&gt;=0,"On/above target",IF(AND(N58&lt;&gt;"",N58&gt;=0.5),"Improving towards target",IF(AND(O58&lt;&gt;"",O58&lt;=-0.5),"Declining","Stable below target"))))</f>
        <v>On/above target</v>
      </c>
      <c r="Q58" s="39" t="n">
        <v>20</v>
      </c>
      <c r="R58" s="40" t="n">
        <f aca="false">IF(OR(Q58="",BU58=""),"",Q58/BU58*100)</f>
        <v>66.6666666666667</v>
      </c>
      <c r="S58" s="41" t="n">
        <f aca="false">IF(R58="","",IFERROR(MATCH(R58,INDEX(Boundaries!$B$2:$I$30,MATCH(CI58,Boundaries!$A$2:$A$30,0),0),1)-1,""))</f>
        <v>5</v>
      </c>
      <c r="T58" s="42" t="n">
        <f aca="false">IF(OR(S58="",$E58=""),"",S58-$E58)</f>
        <v>-0.8</v>
      </c>
      <c r="U58" s="39" t="n">
        <v>22</v>
      </c>
      <c r="V58" s="40" t="n">
        <f aca="false">IF(OR(U58="",BV58=""),"",U58/BV58*100)</f>
        <v>91.6666666666667</v>
      </c>
      <c r="W58" s="41" t="n">
        <f aca="false">IF(V58="","",IFERROR(MATCH(V58,INDEX(Boundaries!$B$2:$I$30,MATCH(CJ58,Boundaries!$A$2:$A$30,0),0),1)-1,""))</f>
        <v>7</v>
      </c>
      <c r="X58" s="42" t="n">
        <f aca="false">IF(OR(W58="",$E58=""),"",W58-$E58)</f>
        <v>1.2</v>
      </c>
      <c r="Y58" s="39" t="n">
        <v>17</v>
      </c>
      <c r="Z58" s="40" t="n">
        <f aca="false">IF(OR(Y58="",BW58=""),"",Y58/BW58*100)</f>
        <v>68</v>
      </c>
      <c r="AA58" s="41" t="n">
        <f aca="false">IF(Z58="","",IFERROR(MATCH(Z58,INDEX(Boundaries!$B$2:$I$30,MATCH(CK58,Boundaries!$A$2:$A$30,0),0),1)-1,""))</f>
        <v>5</v>
      </c>
      <c r="AB58" s="42" t="n">
        <f aca="false">IF(OR(AA58="",$E58=""),"",AA58-$E58)</f>
        <v>-0.8</v>
      </c>
      <c r="AC58" s="39" t="n">
        <v>25</v>
      </c>
      <c r="AD58" s="40" t="n">
        <f aca="false">IF(OR(AC58="",BX58=""),"",AC58/BX58*100)</f>
        <v>71.4285714285714</v>
      </c>
      <c r="AE58" s="41" t="n">
        <f aca="false">IF(AD58="","",IFERROR(MATCH(AD58,INDEX(Boundaries!$B$2:$I$30,MATCH(CL58,Boundaries!$A$2:$A$30,0),0),1)-1,""))</f>
        <v>5</v>
      </c>
      <c r="AF58" s="42" t="n">
        <f aca="false">IF(OR(AE58="",$E58=""),"",AE58-$E58)</f>
        <v>-0.8</v>
      </c>
      <c r="AG58" s="39" t="n">
        <v>40</v>
      </c>
      <c r="AH58" s="40" t="n">
        <f aca="false">IF(OR(AG58="",BY58=""),"",AG58/BY58*100)</f>
        <v>72.7272727272727</v>
      </c>
      <c r="AI58" s="41" t="n">
        <f aca="false">IF(AH58="","",IFERROR(MATCH(AH58,INDEX(Boundaries!$B$2:$I$30,MATCH(CM58,Boundaries!$A$2:$A$30,0),0),1)-1,""))</f>
        <v>6</v>
      </c>
      <c r="AJ58" s="42" t="n">
        <f aca="false">IF(OR(AI58="",$E58=""),"",AI58-$E58)</f>
        <v>0.2</v>
      </c>
      <c r="AK58" s="39"/>
      <c r="AL58" s="40" t="str">
        <f aca="false">IF(OR(AK58="",BZ58=""),"",AK58/BZ58*100)</f>
        <v/>
      </c>
      <c r="AM58" s="41" t="str">
        <f aca="false">IF(AL58="","",IFERROR(MATCH(AL58,INDEX(Boundaries!$B$2:$I$30,MATCH(CN58,Boundaries!$A$2:$A$30,0),0),1)-1,""))</f>
        <v/>
      </c>
      <c r="AN58" s="42" t="str">
        <f aca="false">IF(OR(AM58="",$E58=""),"",AM58-$E58)</f>
        <v/>
      </c>
      <c r="AO58" s="39"/>
      <c r="AP58" s="40" t="str">
        <f aca="false">IF(OR(AO58="",CA58=""),"",AO58/CA58*100)</f>
        <v/>
      </c>
      <c r="AQ58" s="41" t="str">
        <f aca="false">IF(AP58="","",IFERROR(MATCH(AP58,INDEX(Boundaries!$B$2:$I$30,MATCH(CO58,Boundaries!$A$2:$A$30,0),0),1)-1,""))</f>
        <v/>
      </c>
      <c r="AR58" s="42" t="str">
        <f aca="false">IF(OR(AQ58="",$E58=""),"",AQ58-$E58)</f>
        <v/>
      </c>
      <c r="AS58" s="39"/>
      <c r="AT58" s="40" t="str">
        <f aca="false">IF(OR(AS58="",CB58=""),"",AS58/CB58*100)</f>
        <v/>
      </c>
      <c r="AU58" s="41" t="str">
        <f aca="false">IF(AT58="","",IFERROR(MATCH(AT58,INDEX(Boundaries!$B$2:$I$30,MATCH(CP58,Boundaries!$A$2:$A$30,0),0),1)-1,""))</f>
        <v/>
      </c>
      <c r="AV58" s="42" t="str">
        <f aca="false">IF(OR(AU58="",$E58=""),"",AU58-$E58)</f>
        <v/>
      </c>
      <c r="AW58" s="39"/>
      <c r="AX58" s="40" t="str">
        <f aca="false">IF(OR(AW58="",CC58=""),"",AW58/CC58*100)</f>
        <v/>
      </c>
      <c r="AY58" s="41" t="str">
        <f aca="false">IF(AX58="","",IFERROR(MATCH(AX58,INDEX(Boundaries!$B$2:$I$30,MATCH(CQ58,Boundaries!$A$2:$A$30,0),0),1)-1,""))</f>
        <v/>
      </c>
      <c r="AZ58" s="42" t="str">
        <f aca="false">IF(OR(AY58="",$E58=""),"",AY58-$E58)</f>
        <v/>
      </c>
      <c r="BA58" s="39"/>
      <c r="BB58" s="40" t="str">
        <f aca="false">IF(OR(BA58="",CD58=""),"",BA58/CD58*100)</f>
        <v/>
      </c>
      <c r="BC58" s="41" t="str">
        <f aca="false">IF(BB58="","",IFERROR(MATCH(BB58,INDEX(Boundaries!$B$2:$I$30,MATCH(CR58,Boundaries!$A$2:$A$30,0),0),1)-1,""))</f>
        <v/>
      </c>
      <c r="BD58" s="42" t="str">
        <f aca="false">IF(OR(BC58="",$E58=""),"",BC58-$E58)</f>
        <v/>
      </c>
      <c r="BE58" s="39"/>
      <c r="BF58" s="40" t="str">
        <f aca="false">IF(OR(BE58="",CE58=""),"",BE58/CE58*100)</f>
        <v/>
      </c>
      <c r="BG58" s="41" t="str">
        <f aca="false">IF(BF58="","",IFERROR(MATCH(BF58,INDEX(Boundaries!$B$2:$I$30,MATCH(CS58,Boundaries!$A$2:$A$30,0),0),1)-1,""))</f>
        <v/>
      </c>
      <c r="BH58" s="42" t="str">
        <f aca="false">IF(OR(BG58="",$E58=""),"",BG58-$E58)</f>
        <v/>
      </c>
      <c r="BI58" s="39"/>
      <c r="BJ58" s="40" t="str">
        <f aca="false">IF(OR(BI58="",CF58=""),"",BI58/CF58*100)</f>
        <v/>
      </c>
      <c r="BK58" s="41" t="str">
        <f aca="false">IF(BJ58="","",IFERROR(MATCH(BJ58,INDEX(Boundaries!$B$2:$I$30,MATCH(CT58,Boundaries!$A$2:$A$30,0),0),1)-1,""))</f>
        <v/>
      </c>
      <c r="BL58" s="42" t="str">
        <f aca="false">IF(OR(BK58="",$E58=""),"",BK58-$E58)</f>
        <v/>
      </c>
      <c r="BM58" s="39"/>
      <c r="BN58" s="40" t="str">
        <f aca="false">IF(OR(BM58="",CG58=""),"",BM58/CG58*100)</f>
        <v/>
      </c>
      <c r="BO58" s="41" t="str">
        <f aca="false">IF(BN58="","",IFERROR(MATCH(BN58,INDEX(Boundaries!$B$2:$I$30,MATCH(CU58,Boundaries!$A$2:$A$30,0),0),1)-1,""))</f>
        <v/>
      </c>
      <c r="BP58" s="42" t="str">
        <f aca="false">IF(OR(BO58="",$E58=""),"",BO58-$E58)</f>
        <v/>
      </c>
      <c r="BQ58" s="39"/>
      <c r="BR58" s="40" t="str">
        <f aca="false">IF(OR(BQ58="",CH58=""),"",BQ58/CH58*100)</f>
        <v/>
      </c>
      <c r="BS58" s="41" t="str">
        <f aca="false">IF(BR58="","",IFERROR(MATCH(BR58,INDEX(Boundaries!$B$2:$I$30,MATCH(CV58,Boundaries!$A$2:$A$30,0),0),1)-1,""))</f>
        <v/>
      </c>
      <c r="BT58" s="42" t="str">
        <f aca="false">IF(OR(BS58="",$E58=""),"",BS58-$E58)</f>
        <v/>
      </c>
      <c r="BU58" s="28" t="n">
        <f aca="false">IFERROR(INDEX(Assessments!$H$2:$H$600,MATCH($H58&amp;"|"&amp;$I58&amp;"|"&amp;$J58&amp;"|"&amp;1,Assessments!$A$2:$A$600,0)),"")</f>
        <v>30</v>
      </c>
      <c r="BV58" s="28" t="n">
        <f aca="false">IFERROR(INDEX(Assessments!$H$2:$H$600,MATCH($H58&amp;"|"&amp;$I58&amp;"|"&amp;$J58&amp;"|"&amp;2,Assessments!$A$2:$A$600,0)),"")</f>
        <v>24</v>
      </c>
      <c r="BW58" s="28" t="n">
        <f aca="false">IFERROR(INDEX(Assessments!$H$2:$H$600,MATCH($H58&amp;"|"&amp;$I58&amp;"|"&amp;$J58&amp;"|"&amp;3,Assessments!$A$2:$A$600,0)),"")</f>
        <v>25</v>
      </c>
      <c r="BX58" s="28" t="n">
        <f aca="false">IFERROR(INDEX(Assessments!$H$2:$H$600,MATCH($H58&amp;"|"&amp;$I58&amp;"|"&amp;$J58&amp;"|"&amp;4,Assessments!$A$2:$A$600,0)),"")</f>
        <v>35</v>
      </c>
      <c r="BY58" s="28" t="n">
        <f aca="false">IFERROR(INDEX(Assessments!$H$2:$H$600,MATCH($H58&amp;"|"&amp;$I58&amp;"|"&amp;$J58&amp;"|"&amp;5,Assessments!$A$2:$A$600,0)),"")</f>
        <v>55</v>
      </c>
      <c r="BZ58" s="28" t="n">
        <f aca="false">IFERROR(INDEX(Assessments!$H$2:$H$600,MATCH($H58&amp;"|"&amp;$I58&amp;"|"&amp;$J58&amp;"|"&amp;6,Assessments!$A$2:$A$600,0)),"")</f>
        <v>30</v>
      </c>
      <c r="CA58" s="28" t="n">
        <f aca="false">IFERROR(INDEX(Assessments!$H$2:$H$600,MATCH($H58&amp;"|"&amp;$I58&amp;"|"&amp;$J58&amp;"|"&amp;7,Assessments!$A$2:$A$600,0)),"")</f>
        <v>95</v>
      </c>
      <c r="CB58" s="28" t="str">
        <f aca="false">IFERROR(INDEX(Assessments!$H$2:$H$600,MATCH($H58&amp;"|"&amp;$I58&amp;"|"&amp;$J58&amp;"|"&amp;8,Assessments!$A$2:$A$600,0)),"")</f>
        <v/>
      </c>
      <c r="CC58" s="28" t="str">
        <f aca="false">IFERROR(INDEX(Assessments!$H$2:$H$600,MATCH($H58&amp;"|"&amp;$I58&amp;"|"&amp;$J58&amp;"|"&amp;9,Assessments!$A$2:$A$600,0)),"")</f>
        <v/>
      </c>
      <c r="CD58" s="28" t="str">
        <f aca="false">IFERROR(INDEX(Assessments!$H$2:$H$600,MATCH($H58&amp;"|"&amp;$I58&amp;"|"&amp;$J58&amp;"|"&amp;10,Assessments!$A$2:$A$600,0)),"")</f>
        <v/>
      </c>
      <c r="CE58" s="28" t="str">
        <f aca="false">IFERROR(INDEX(Assessments!$H$2:$H$600,MATCH($H58&amp;"|"&amp;$I58&amp;"|"&amp;$J58&amp;"|"&amp;11,Assessments!$A$2:$A$600,0)),"")</f>
        <v/>
      </c>
      <c r="CF58" s="28" t="str">
        <f aca="false">IFERROR(INDEX(Assessments!$H$2:$H$600,MATCH($H58&amp;"|"&amp;$I58&amp;"|"&amp;$J58&amp;"|"&amp;12,Assessments!$A$2:$A$600,0)),"")</f>
        <v/>
      </c>
      <c r="CG58" s="28" t="str">
        <f aca="false">IFERROR(INDEX(Assessments!$H$2:$H$600,MATCH($H58&amp;"|"&amp;$I58&amp;"|"&amp;$J58&amp;"|"&amp;13,Assessments!$A$2:$A$600,0)),"")</f>
        <v/>
      </c>
      <c r="CH58" s="28" t="str">
        <f aca="false">IFERROR(INDEX(Assessments!$H$2:$H$600,MATCH($H58&amp;"|"&amp;$I58&amp;"|"&amp;$J58&amp;"|"&amp;14,Assessments!$A$2:$A$600,0)),"")</f>
        <v/>
      </c>
      <c r="CI58" s="28" t="str">
        <f aca="false">IFERROR(INDEX(Assessments!$I$2:$I$600,MATCH($H58&amp;"|"&amp;$I58&amp;"|"&amp;$J58&amp;"|"&amp;1,Assessments!$A$2:$A$600,0)),"")</f>
        <v>Econ Test</v>
      </c>
      <c r="CJ58" s="28" t="str">
        <f aca="false">IFERROR(INDEX(Assessments!$I$2:$I$600,MATCH($H58&amp;"|"&amp;$I58&amp;"|"&amp;$J58&amp;"|"&amp;2,Assessments!$A$2:$A$600,0)),"")</f>
        <v>Econ Test</v>
      </c>
      <c r="CK58" s="28" t="str">
        <f aca="false">IFERROR(INDEX(Assessments!$I$2:$I$600,MATCH($H58&amp;"|"&amp;$I58&amp;"|"&amp;$J58&amp;"|"&amp;3,Assessments!$A$2:$A$600,0)),"")</f>
        <v>Econ Test</v>
      </c>
      <c r="CL58" s="28" t="str">
        <f aca="false">IFERROR(INDEX(Assessments!$I$2:$I$600,MATCH($H58&amp;"|"&amp;$I58&amp;"|"&amp;$J58&amp;"|"&amp;4,Assessments!$A$2:$A$600,0)),"")</f>
        <v>Econ Test</v>
      </c>
      <c r="CM58" s="28" t="str">
        <f aca="false">IFERROR(INDEX(Assessments!$I$2:$I$600,MATCH($H58&amp;"|"&amp;$I58&amp;"|"&amp;$J58&amp;"|"&amp;5,Assessments!$A$2:$A$600,0)),"")</f>
        <v>Econ Exam</v>
      </c>
      <c r="CN58" s="28" t="str">
        <f aca="false">IFERROR(INDEX(Assessments!$I$2:$I$600,MATCH($H58&amp;"|"&amp;$I58&amp;"|"&amp;$J58&amp;"|"&amp;6,Assessments!$A$2:$A$600,0)),"")</f>
        <v>Econ Test</v>
      </c>
      <c r="CO58" s="28" t="str">
        <f aca="false">IFERROR(INDEX(Assessments!$I$2:$I$600,MATCH($H58&amp;"|"&amp;$I58&amp;"|"&amp;$J58&amp;"|"&amp;7,Assessments!$A$2:$A$600,0)),"")</f>
        <v>Econ Exam</v>
      </c>
      <c r="CP58" s="28" t="str">
        <f aca="false">IFERROR(INDEX(Assessments!$I$2:$I$600,MATCH($H58&amp;"|"&amp;$I58&amp;"|"&amp;$J58&amp;"|"&amp;8,Assessments!$A$2:$A$600,0)),"")</f>
        <v/>
      </c>
      <c r="CQ58" s="28" t="str">
        <f aca="false">IFERROR(INDEX(Assessments!$I$2:$I$600,MATCH($H58&amp;"|"&amp;$I58&amp;"|"&amp;$J58&amp;"|"&amp;9,Assessments!$A$2:$A$600,0)),"")</f>
        <v/>
      </c>
      <c r="CR58" s="28" t="str">
        <f aca="false">IFERROR(INDEX(Assessments!$I$2:$I$600,MATCH($H58&amp;"|"&amp;$I58&amp;"|"&amp;$J58&amp;"|"&amp;10,Assessments!$A$2:$A$600,0)),"")</f>
        <v/>
      </c>
      <c r="CS58" s="28" t="str">
        <f aca="false">IFERROR(INDEX(Assessments!$I$2:$I$600,MATCH($H58&amp;"|"&amp;$I58&amp;"|"&amp;$J58&amp;"|"&amp;11,Assessments!$A$2:$A$600,0)),"")</f>
        <v/>
      </c>
      <c r="CT58" s="28" t="str">
        <f aca="false">IFERROR(INDEX(Assessments!$I$2:$I$600,MATCH($H58&amp;"|"&amp;$I58&amp;"|"&amp;$J58&amp;"|"&amp;12,Assessments!$A$2:$A$600,0)),"")</f>
        <v/>
      </c>
      <c r="CU58" s="28" t="str">
        <f aca="false">IFERROR(INDEX(Assessments!$I$2:$I$600,MATCH($H58&amp;"|"&amp;$I58&amp;"|"&amp;$J58&amp;"|"&amp;13,Assessments!$A$2:$A$600,0)),"")</f>
        <v/>
      </c>
      <c r="CV58" s="28" t="str">
        <f aca="false">IFERROR(INDEX(Assessments!$I$2:$I$600,MATCH($H58&amp;"|"&amp;$I58&amp;"|"&amp;$J58&amp;"|"&amp;14,Assessments!$A$2:$A$600,0)),"")</f>
        <v/>
      </c>
      <c r="CW58" s="28" t="n">
        <f aca="false">IFERROR(INDEX(Assessments!$J$2:$J$600,MATCH($H58&amp;"|"&amp;$I58&amp;"|"&amp;$J58&amp;"|"&amp;1,Assessments!$A$2:$A$600,0)),0)</f>
        <v>1</v>
      </c>
      <c r="CX58" s="28" t="n">
        <f aca="false">IFERROR(INDEX(Assessments!$J$2:$J$600,MATCH($H58&amp;"|"&amp;$I58&amp;"|"&amp;$J58&amp;"|"&amp;2,Assessments!$A$2:$A$600,0)),0)</f>
        <v>1</v>
      </c>
      <c r="CY58" s="28" t="n">
        <f aca="false">IFERROR(INDEX(Assessments!$J$2:$J$600,MATCH($H58&amp;"|"&amp;$I58&amp;"|"&amp;$J58&amp;"|"&amp;3,Assessments!$A$2:$A$600,0)),0)</f>
        <v>1</v>
      </c>
      <c r="CZ58" s="28" t="n">
        <f aca="false">IFERROR(INDEX(Assessments!$J$2:$J$600,MATCH($H58&amp;"|"&amp;$I58&amp;"|"&amp;$J58&amp;"|"&amp;4,Assessments!$A$2:$A$600,0)),0)</f>
        <v>1</v>
      </c>
      <c r="DA58" s="28" t="n">
        <f aca="false">IFERROR(INDEX(Assessments!$J$2:$J$600,MATCH($H58&amp;"|"&amp;$I58&amp;"|"&amp;$J58&amp;"|"&amp;5,Assessments!$A$2:$A$600,0)),0)</f>
        <v>2</v>
      </c>
      <c r="DB58" s="28" t="n">
        <f aca="false">IFERROR(INDEX(Assessments!$J$2:$J$600,MATCH($H58&amp;"|"&amp;$I58&amp;"|"&amp;$J58&amp;"|"&amp;6,Assessments!$A$2:$A$600,0)),0)</f>
        <v>1</v>
      </c>
      <c r="DC58" s="28" t="n">
        <f aca="false">IFERROR(INDEX(Assessments!$J$2:$J$600,MATCH($H58&amp;"|"&amp;$I58&amp;"|"&amp;$J58&amp;"|"&amp;7,Assessments!$A$2:$A$600,0)),0)</f>
        <v>2</v>
      </c>
      <c r="DD58" s="28" t="n">
        <f aca="false">IFERROR(INDEX(Assessments!$J$2:$J$600,MATCH($H58&amp;"|"&amp;$I58&amp;"|"&amp;$J58&amp;"|"&amp;8,Assessments!$A$2:$A$600,0)),0)</f>
        <v>0</v>
      </c>
      <c r="DE58" s="28" t="n">
        <f aca="false">IFERROR(INDEX(Assessments!$J$2:$J$600,MATCH($H58&amp;"|"&amp;$I58&amp;"|"&amp;$J58&amp;"|"&amp;9,Assessments!$A$2:$A$600,0)),0)</f>
        <v>0</v>
      </c>
      <c r="DF58" s="28" t="n">
        <f aca="false">IFERROR(INDEX(Assessments!$J$2:$J$600,MATCH($H58&amp;"|"&amp;$I58&amp;"|"&amp;$J58&amp;"|"&amp;10,Assessments!$A$2:$A$600,0)),0)</f>
        <v>0</v>
      </c>
      <c r="DG58" s="28" t="n">
        <f aca="false">IFERROR(INDEX(Assessments!$J$2:$J$600,MATCH($H58&amp;"|"&amp;$I58&amp;"|"&amp;$J58&amp;"|"&amp;11,Assessments!$A$2:$A$600,0)),0)</f>
        <v>0</v>
      </c>
      <c r="DH58" s="28" t="n">
        <f aca="false">IFERROR(INDEX(Assessments!$J$2:$J$600,MATCH($H58&amp;"|"&amp;$I58&amp;"|"&amp;$J58&amp;"|"&amp;12,Assessments!$A$2:$A$600,0)),0)</f>
        <v>0</v>
      </c>
      <c r="DI58" s="28" t="n">
        <f aca="false">IFERROR(INDEX(Assessments!$J$2:$J$600,MATCH($H58&amp;"|"&amp;$I58&amp;"|"&amp;$J58&amp;"|"&amp;13,Assessments!$A$2:$A$600,0)),0)</f>
        <v>0</v>
      </c>
      <c r="DJ58" s="28" t="n">
        <f aca="false">IFERROR(INDEX(Assessments!$J$2:$J$600,MATCH($H58&amp;"|"&amp;$I58&amp;"|"&amp;$J58&amp;"|"&amp;14,Assessments!$A$2:$A$600,0)),0)</f>
        <v>0</v>
      </c>
      <c r="DK58" s="28" t="n">
        <f aca="false">S58</f>
        <v>5</v>
      </c>
      <c r="DL58" s="28" t="n">
        <f aca="false">W58</f>
        <v>7</v>
      </c>
      <c r="DM58" s="28" t="n">
        <f aca="false">AA58</f>
        <v>5</v>
      </c>
      <c r="DN58" s="28" t="n">
        <f aca="false">AE58</f>
        <v>5</v>
      </c>
      <c r="DO58" s="28" t="n">
        <f aca="false">AI58</f>
        <v>6</v>
      </c>
      <c r="DP58" s="28" t="str">
        <f aca="false">AM58</f>
        <v/>
      </c>
      <c r="DQ58" s="28" t="str">
        <f aca="false">AQ58</f>
        <v/>
      </c>
      <c r="DR58" s="28" t="str">
        <f aca="false">AU58</f>
        <v/>
      </c>
      <c r="DS58" s="28" t="str">
        <f aca="false">AY58</f>
        <v/>
      </c>
      <c r="DT58" s="28" t="str">
        <f aca="false">BC58</f>
        <v/>
      </c>
      <c r="DU58" s="28" t="str">
        <f aca="false">BG58</f>
        <v/>
      </c>
      <c r="DV58" s="28" t="str">
        <f aca="false">BK58</f>
        <v/>
      </c>
      <c r="DW58" s="28" t="str">
        <f aca="false">BO58</f>
        <v/>
      </c>
      <c r="DX58" s="28" t="str">
        <f aca="false">BS58</f>
        <v/>
      </c>
      <c r="DY58" s="28" t="n">
        <f aca="false">IF(ISNUMBER(S58),1,"")</f>
        <v>1</v>
      </c>
      <c r="DZ58" s="28" t="n">
        <f aca="false">IF(ISNUMBER(W58),2,"")</f>
        <v>2</v>
      </c>
      <c r="EA58" s="28" t="n">
        <f aca="false">IF(ISNUMBER(AA58),3,"")</f>
        <v>3</v>
      </c>
      <c r="EB58" s="28" t="n">
        <f aca="false">IF(ISNUMBER(AE58),4,"")</f>
        <v>4</v>
      </c>
      <c r="EC58" s="28" t="n">
        <f aca="false">IF(ISNUMBER(AI58),5,"")</f>
        <v>5</v>
      </c>
      <c r="ED58" s="28" t="str">
        <f aca="false">IF(ISNUMBER(AM58),6,"")</f>
        <v/>
      </c>
      <c r="EE58" s="28" t="str">
        <f aca="false">IF(ISNUMBER(AQ58),7,"")</f>
        <v/>
      </c>
      <c r="EF58" s="28" t="str">
        <f aca="false">IF(ISNUMBER(AU58),8,"")</f>
        <v/>
      </c>
      <c r="EG58" s="28" t="str">
        <f aca="false">IF(ISNUMBER(AY58),9,"")</f>
        <v/>
      </c>
      <c r="EH58" s="28" t="str">
        <f aca="false">IF(ISNUMBER(BC58),10,"")</f>
        <v/>
      </c>
      <c r="EI58" s="28" t="str">
        <f aca="false">IF(ISNUMBER(BG58),11,"")</f>
        <v/>
      </c>
      <c r="EJ58" s="28" t="str">
        <f aca="false">IF(ISNUMBER(BK58),12,"")</f>
        <v/>
      </c>
      <c r="EK58" s="28" t="str">
        <f aca="false">IF(ISNUMBER(BO58),13,"")</f>
        <v/>
      </c>
      <c r="EL58" s="28" t="str">
        <f aca="false">IF(ISNUMBER(BS58),14,"")</f>
        <v/>
      </c>
      <c r="EM58" s="28" t="n">
        <f aca="false">IF(ISNUMBER(R58),R58*CW58,0)</f>
        <v>66.6666666666667</v>
      </c>
      <c r="EN58" s="28" t="n">
        <f aca="false">IF(ISNUMBER(V58),V58*CX58,0)</f>
        <v>91.6666666666667</v>
      </c>
      <c r="EO58" s="28" t="n">
        <f aca="false">IF(ISNUMBER(Z58),Z58*CY58,0)</f>
        <v>68</v>
      </c>
      <c r="EP58" s="28" t="n">
        <f aca="false">IF(ISNUMBER(AD58),AD58*CZ58,0)</f>
        <v>71.4285714285714</v>
      </c>
      <c r="EQ58" s="28" t="n">
        <f aca="false">IF(ISNUMBER(AH58),AH58*DA58,0)</f>
        <v>145.454545454545</v>
      </c>
      <c r="ER58" s="28" t="n">
        <f aca="false">IF(ISNUMBER(AL58),AL58*DB58,0)</f>
        <v>0</v>
      </c>
      <c r="ES58" s="28" t="n">
        <f aca="false">IF(ISNUMBER(AP58),AP58*DC58,0)</f>
        <v>0</v>
      </c>
      <c r="ET58" s="28" t="n">
        <f aca="false">IF(ISNUMBER(AT58),AT58*DD58,0)</f>
        <v>0</v>
      </c>
      <c r="EU58" s="28" t="n">
        <f aca="false">IF(ISNUMBER(AX58),AX58*DE58,0)</f>
        <v>0</v>
      </c>
      <c r="EV58" s="28" t="n">
        <f aca="false">IF(ISNUMBER(BB58),BB58*DF58,0)</f>
        <v>0</v>
      </c>
      <c r="EW58" s="28" t="n">
        <f aca="false">IF(ISNUMBER(BF58),BF58*DG58,0)</f>
        <v>0</v>
      </c>
      <c r="EX58" s="28" t="n">
        <f aca="false">IF(ISNUMBER(BJ58),BJ58*DH58,0)</f>
        <v>0</v>
      </c>
      <c r="EY58" s="28" t="n">
        <f aca="false">IF(ISNUMBER(BN58),BN58*DI58,0)</f>
        <v>0</v>
      </c>
      <c r="EZ58" s="28" t="n">
        <f aca="false">IF(ISNUMBER(BR58),BR58*DJ58,0)</f>
        <v>0</v>
      </c>
      <c r="FA58" s="28" t="n">
        <f aca="false">IF(ISNUMBER(R58),CW58,0)</f>
        <v>1</v>
      </c>
      <c r="FB58" s="28" t="n">
        <f aca="false">IF(ISNUMBER(V58),CX58,0)</f>
        <v>1</v>
      </c>
      <c r="FC58" s="28" t="n">
        <f aca="false">IF(ISNUMBER(Z58),CY58,0)</f>
        <v>1</v>
      </c>
      <c r="FD58" s="28" t="n">
        <f aca="false">IF(ISNUMBER(AD58),CZ58,0)</f>
        <v>1</v>
      </c>
      <c r="FE58" s="28" t="n">
        <f aca="false">IF(ISNUMBER(AH58),DA58,0)</f>
        <v>2</v>
      </c>
      <c r="FF58" s="28" t="n">
        <f aca="false">IF(ISNUMBER(AL58),DB58,0)</f>
        <v>0</v>
      </c>
      <c r="FG58" s="28" t="n">
        <f aca="false">IF(ISNUMBER(AP58),DC58,0)</f>
        <v>0</v>
      </c>
      <c r="FH58" s="28" t="n">
        <f aca="false">IF(ISNUMBER(AT58),DD58,0)</f>
        <v>0</v>
      </c>
      <c r="FI58" s="28" t="n">
        <f aca="false">IF(ISNUMBER(AX58),DE58,0)</f>
        <v>0</v>
      </c>
      <c r="FJ58" s="28" t="n">
        <f aca="false">IF(ISNUMBER(BB58),DF58,0)</f>
        <v>0</v>
      </c>
      <c r="FK58" s="28" t="n">
        <f aca="false">IF(ISNUMBER(BF58),DG58,0)</f>
        <v>0</v>
      </c>
      <c r="FL58" s="28" t="n">
        <f aca="false">IF(ISNUMBER(BJ58),DH58,0)</f>
        <v>0</v>
      </c>
      <c r="FM58" s="28" t="n">
        <f aca="false">IF(ISNUMBER(BN58),DI58,0)</f>
        <v>0</v>
      </c>
      <c r="FN58" s="28" t="n">
        <f aca="false">IF(ISNUMBER(BR58),DJ58,0)</f>
        <v>0</v>
      </c>
      <c r="FO58" s="28" t="str">
        <f aca="false">IFERROR(INDEX(Lists!$G$2:$G$20,MATCH($I58&amp;"|"&amp;$J58,Lists!$F$2:$F$20,0)),"")</f>
        <v>Econ Exam</v>
      </c>
    </row>
    <row r="59" customFormat="false" ht="19.5" hidden="false" customHeight="true" outlineLevel="0" collapsed="false">
      <c r="A59" s="29" t="s">
        <v>251</v>
      </c>
      <c r="B59" s="29" t="s">
        <v>252</v>
      </c>
      <c r="C59" s="30" t="s">
        <v>152</v>
      </c>
      <c r="D59" s="30" t="s">
        <v>246</v>
      </c>
      <c r="E59" s="31" t="n">
        <v>5.4</v>
      </c>
      <c r="F59" s="30" t="n">
        <v>6</v>
      </c>
      <c r="G59" s="30"/>
      <c r="H59" s="32" t="s">
        <v>23</v>
      </c>
      <c r="I59" s="33" t="s">
        <v>229</v>
      </c>
      <c r="J59" s="32" t="s">
        <v>25</v>
      </c>
      <c r="K59" s="34" t="n">
        <f aca="false">IF(OR(M59="",$E59=""),"",M59-$E59)</f>
        <v>-0.4</v>
      </c>
      <c r="L59" s="35" t="n">
        <f aca="false">IF(SUM(FA59:FN59)=0,"",SUM(EM59:EZ59)/SUM(FA59:FN59))</f>
        <v>65.6385281385281</v>
      </c>
      <c r="M59" s="36" t="n">
        <f aca="false">IF(OR(L59="",FO59=""),"",IFERROR(MATCH(L59,INDEX(Boundaries!$B$2:$I$30,MATCH(FO59,Boundaries!$A$2:$A$30,0),0),1)-1,""))</f>
        <v>5</v>
      </c>
      <c r="N59" s="37" t="n">
        <f aca="false">IF(COUNT($DY59:$EL59)&lt;2,"",INDEX($DK59:$DX59,MAX($DY59:$EL59))-INDEX($DK59:$DX59,MIN($DY59:$EL59)))</f>
        <v>1</v>
      </c>
      <c r="O59" s="37" t="n">
        <f aca="false">IF(COUNT($DY59:$EL59)&lt;2,"",INDEX($DK59:$DX59,MAX($DY59:$EL59))-INDEX($DK59:$DX59,LARGE($DY59:$EL59,2)))</f>
        <v>0</v>
      </c>
      <c r="P59" s="38" t="str">
        <f aca="false">IF(K59="","",IF(K59&gt;=0,"On/above target",IF(AND(N59&lt;&gt;"",N59&gt;=0.5),"Improving towards target",IF(AND(O59&lt;&gt;"",O59&lt;=-0.5),"Declining","Stable below target"))))</f>
        <v>Improving towards target</v>
      </c>
      <c r="Q59" s="39" t="n">
        <v>15</v>
      </c>
      <c r="R59" s="40" t="n">
        <f aca="false">IF(OR(Q59="",BU59=""),"",Q59/BU59*100)</f>
        <v>50</v>
      </c>
      <c r="S59" s="41" t="n">
        <f aca="false">IF(R59="","",IFERROR(MATCH(R59,INDEX(Boundaries!$B$2:$I$30,MATCH(CI59,Boundaries!$A$2:$A$30,0),0),1)-1,""))</f>
        <v>4</v>
      </c>
      <c r="T59" s="42" t="n">
        <f aca="false">IF(OR(S59="",$E59=""),"",S59-$E59)</f>
        <v>-1.4</v>
      </c>
      <c r="U59" s="39" t="n">
        <v>18</v>
      </c>
      <c r="V59" s="40" t="n">
        <f aca="false">IF(OR(U59="",BV59=""),"",U59/BV59*100)</f>
        <v>75</v>
      </c>
      <c r="W59" s="41" t="n">
        <f aca="false">IF(V59="","",IFERROR(MATCH(V59,INDEX(Boundaries!$B$2:$I$30,MATCH(CJ59,Boundaries!$A$2:$A$30,0),0),1)-1,""))</f>
        <v>6</v>
      </c>
      <c r="X59" s="42" t="n">
        <f aca="false">IF(OR(W59="",$E59=""),"",W59-$E59)</f>
        <v>0.6</v>
      </c>
      <c r="Y59" s="39" t="n">
        <v>15</v>
      </c>
      <c r="Z59" s="40" t="n">
        <f aca="false">IF(OR(Y59="",BW59=""),"",Y59/BW59*100)</f>
        <v>60</v>
      </c>
      <c r="AA59" s="41" t="n">
        <f aca="false">IF(Z59="","",IFERROR(MATCH(Z59,INDEX(Boundaries!$B$2:$I$30,MATCH(CK59,Boundaries!$A$2:$A$30,0),0),1)-1,""))</f>
        <v>4</v>
      </c>
      <c r="AB59" s="42" t="n">
        <f aca="false">IF(OR(AA59="",$E59=""),"",AA59-$E59)</f>
        <v>-1.4</v>
      </c>
      <c r="AC59" s="39" t="n">
        <v>26</v>
      </c>
      <c r="AD59" s="40" t="n">
        <f aca="false">IF(OR(AC59="",BX59=""),"",AC59/BX59*100)</f>
        <v>74.2857142857143</v>
      </c>
      <c r="AE59" s="41" t="n">
        <f aca="false">IF(AD59="","",IFERROR(MATCH(AD59,INDEX(Boundaries!$B$2:$I$30,MATCH(CL59,Boundaries!$A$2:$A$30,0),0),1)-1,""))</f>
        <v>5</v>
      </c>
      <c r="AF59" s="42" t="n">
        <f aca="false">IF(OR(AE59="",$E59=""),"",AE59-$E59)</f>
        <v>-0.4</v>
      </c>
      <c r="AG59" s="39" t="n">
        <v>37</v>
      </c>
      <c r="AH59" s="40" t="n">
        <f aca="false">IF(OR(AG59="",BY59=""),"",AG59/BY59*100)</f>
        <v>67.2727272727273</v>
      </c>
      <c r="AI59" s="41" t="n">
        <f aca="false">IF(AH59="","",IFERROR(MATCH(AH59,INDEX(Boundaries!$B$2:$I$30,MATCH(CM59,Boundaries!$A$2:$A$30,0),0),1)-1,""))</f>
        <v>5</v>
      </c>
      <c r="AJ59" s="42" t="n">
        <f aca="false">IF(OR(AI59="",$E59=""),"",AI59-$E59)</f>
        <v>-0.4</v>
      </c>
      <c r="AK59" s="39"/>
      <c r="AL59" s="40" t="str">
        <f aca="false">IF(OR(AK59="",BZ59=""),"",AK59/BZ59*100)</f>
        <v/>
      </c>
      <c r="AM59" s="41" t="str">
        <f aca="false">IF(AL59="","",IFERROR(MATCH(AL59,INDEX(Boundaries!$B$2:$I$30,MATCH(CN59,Boundaries!$A$2:$A$30,0),0),1)-1,""))</f>
        <v/>
      </c>
      <c r="AN59" s="42" t="str">
        <f aca="false">IF(OR(AM59="",$E59=""),"",AM59-$E59)</f>
        <v/>
      </c>
      <c r="AO59" s="39"/>
      <c r="AP59" s="40" t="str">
        <f aca="false">IF(OR(AO59="",CA59=""),"",AO59/CA59*100)</f>
        <v/>
      </c>
      <c r="AQ59" s="41" t="str">
        <f aca="false">IF(AP59="","",IFERROR(MATCH(AP59,INDEX(Boundaries!$B$2:$I$30,MATCH(CO59,Boundaries!$A$2:$A$30,0),0),1)-1,""))</f>
        <v/>
      </c>
      <c r="AR59" s="42" t="str">
        <f aca="false">IF(OR(AQ59="",$E59=""),"",AQ59-$E59)</f>
        <v/>
      </c>
      <c r="AS59" s="39"/>
      <c r="AT59" s="40" t="str">
        <f aca="false">IF(OR(AS59="",CB59=""),"",AS59/CB59*100)</f>
        <v/>
      </c>
      <c r="AU59" s="41" t="str">
        <f aca="false">IF(AT59="","",IFERROR(MATCH(AT59,INDEX(Boundaries!$B$2:$I$30,MATCH(CP59,Boundaries!$A$2:$A$30,0),0),1)-1,""))</f>
        <v/>
      </c>
      <c r="AV59" s="42" t="str">
        <f aca="false">IF(OR(AU59="",$E59=""),"",AU59-$E59)</f>
        <v/>
      </c>
      <c r="AW59" s="39"/>
      <c r="AX59" s="40" t="str">
        <f aca="false">IF(OR(AW59="",CC59=""),"",AW59/CC59*100)</f>
        <v/>
      </c>
      <c r="AY59" s="41" t="str">
        <f aca="false">IF(AX59="","",IFERROR(MATCH(AX59,INDEX(Boundaries!$B$2:$I$30,MATCH(CQ59,Boundaries!$A$2:$A$30,0),0),1)-1,""))</f>
        <v/>
      </c>
      <c r="AZ59" s="42" t="str">
        <f aca="false">IF(OR(AY59="",$E59=""),"",AY59-$E59)</f>
        <v/>
      </c>
      <c r="BA59" s="39"/>
      <c r="BB59" s="40" t="str">
        <f aca="false">IF(OR(BA59="",CD59=""),"",BA59/CD59*100)</f>
        <v/>
      </c>
      <c r="BC59" s="41" t="str">
        <f aca="false">IF(BB59="","",IFERROR(MATCH(BB59,INDEX(Boundaries!$B$2:$I$30,MATCH(CR59,Boundaries!$A$2:$A$30,0),0),1)-1,""))</f>
        <v/>
      </c>
      <c r="BD59" s="42" t="str">
        <f aca="false">IF(OR(BC59="",$E59=""),"",BC59-$E59)</f>
        <v/>
      </c>
      <c r="BE59" s="39"/>
      <c r="BF59" s="40" t="str">
        <f aca="false">IF(OR(BE59="",CE59=""),"",BE59/CE59*100)</f>
        <v/>
      </c>
      <c r="BG59" s="41" t="str">
        <f aca="false">IF(BF59="","",IFERROR(MATCH(BF59,INDEX(Boundaries!$B$2:$I$30,MATCH(CS59,Boundaries!$A$2:$A$30,0),0),1)-1,""))</f>
        <v/>
      </c>
      <c r="BH59" s="42" t="str">
        <f aca="false">IF(OR(BG59="",$E59=""),"",BG59-$E59)</f>
        <v/>
      </c>
      <c r="BI59" s="39"/>
      <c r="BJ59" s="40" t="str">
        <f aca="false">IF(OR(BI59="",CF59=""),"",BI59/CF59*100)</f>
        <v/>
      </c>
      <c r="BK59" s="41" t="str">
        <f aca="false">IF(BJ59="","",IFERROR(MATCH(BJ59,INDEX(Boundaries!$B$2:$I$30,MATCH(CT59,Boundaries!$A$2:$A$30,0),0),1)-1,""))</f>
        <v/>
      </c>
      <c r="BL59" s="42" t="str">
        <f aca="false">IF(OR(BK59="",$E59=""),"",BK59-$E59)</f>
        <v/>
      </c>
      <c r="BM59" s="39"/>
      <c r="BN59" s="40" t="str">
        <f aca="false">IF(OR(BM59="",CG59=""),"",BM59/CG59*100)</f>
        <v/>
      </c>
      <c r="BO59" s="41" t="str">
        <f aca="false">IF(BN59="","",IFERROR(MATCH(BN59,INDEX(Boundaries!$B$2:$I$30,MATCH(CU59,Boundaries!$A$2:$A$30,0),0),1)-1,""))</f>
        <v/>
      </c>
      <c r="BP59" s="42" t="str">
        <f aca="false">IF(OR(BO59="",$E59=""),"",BO59-$E59)</f>
        <v/>
      </c>
      <c r="BQ59" s="39"/>
      <c r="BR59" s="40" t="str">
        <f aca="false">IF(OR(BQ59="",CH59=""),"",BQ59/CH59*100)</f>
        <v/>
      </c>
      <c r="BS59" s="41" t="str">
        <f aca="false">IF(BR59="","",IFERROR(MATCH(BR59,INDEX(Boundaries!$B$2:$I$30,MATCH(CV59,Boundaries!$A$2:$A$30,0),0),1)-1,""))</f>
        <v/>
      </c>
      <c r="BT59" s="42" t="str">
        <f aca="false">IF(OR(BS59="",$E59=""),"",BS59-$E59)</f>
        <v/>
      </c>
      <c r="BU59" s="28" t="n">
        <f aca="false">IFERROR(INDEX(Assessments!$H$2:$H$600,MATCH($H59&amp;"|"&amp;$I59&amp;"|"&amp;$J59&amp;"|"&amp;1,Assessments!$A$2:$A$600,0)),"")</f>
        <v>30</v>
      </c>
      <c r="BV59" s="28" t="n">
        <f aca="false">IFERROR(INDEX(Assessments!$H$2:$H$600,MATCH($H59&amp;"|"&amp;$I59&amp;"|"&amp;$J59&amp;"|"&amp;2,Assessments!$A$2:$A$600,0)),"")</f>
        <v>24</v>
      </c>
      <c r="BW59" s="28" t="n">
        <f aca="false">IFERROR(INDEX(Assessments!$H$2:$H$600,MATCH($H59&amp;"|"&amp;$I59&amp;"|"&amp;$J59&amp;"|"&amp;3,Assessments!$A$2:$A$600,0)),"")</f>
        <v>25</v>
      </c>
      <c r="BX59" s="28" t="n">
        <f aca="false">IFERROR(INDEX(Assessments!$H$2:$H$600,MATCH($H59&amp;"|"&amp;$I59&amp;"|"&amp;$J59&amp;"|"&amp;4,Assessments!$A$2:$A$600,0)),"")</f>
        <v>35</v>
      </c>
      <c r="BY59" s="28" t="n">
        <f aca="false">IFERROR(INDEX(Assessments!$H$2:$H$600,MATCH($H59&amp;"|"&amp;$I59&amp;"|"&amp;$J59&amp;"|"&amp;5,Assessments!$A$2:$A$600,0)),"")</f>
        <v>55</v>
      </c>
      <c r="BZ59" s="28" t="n">
        <f aca="false">IFERROR(INDEX(Assessments!$H$2:$H$600,MATCH($H59&amp;"|"&amp;$I59&amp;"|"&amp;$J59&amp;"|"&amp;6,Assessments!$A$2:$A$600,0)),"")</f>
        <v>30</v>
      </c>
      <c r="CA59" s="28" t="n">
        <f aca="false">IFERROR(INDEX(Assessments!$H$2:$H$600,MATCH($H59&amp;"|"&amp;$I59&amp;"|"&amp;$J59&amp;"|"&amp;7,Assessments!$A$2:$A$600,0)),"")</f>
        <v>95</v>
      </c>
      <c r="CB59" s="28" t="str">
        <f aca="false">IFERROR(INDEX(Assessments!$H$2:$H$600,MATCH($H59&amp;"|"&amp;$I59&amp;"|"&amp;$J59&amp;"|"&amp;8,Assessments!$A$2:$A$600,0)),"")</f>
        <v/>
      </c>
      <c r="CC59" s="28" t="str">
        <f aca="false">IFERROR(INDEX(Assessments!$H$2:$H$600,MATCH($H59&amp;"|"&amp;$I59&amp;"|"&amp;$J59&amp;"|"&amp;9,Assessments!$A$2:$A$600,0)),"")</f>
        <v/>
      </c>
      <c r="CD59" s="28" t="str">
        <f aca="false">IFERROR(INDEX(Assessments!$H$2:$H$600,MATCH($H59&amp;"|"&amp;$I59&amp;"|"&amp;$J59&amp;"|"&amp;10,Assessments!$A$2:$A$600,0)),"")</f>
        <v/>
      </c>
      <c r="CE59" s="28" t="str">
        <f aca="false">IFERROR(INDEX(Assessments!$H$2:$H$600,MATCH($H59&amp;"|"&amp;$I59&amp;"|"&amp;$J59&amp;"|"&amp;11,Assessments!$A$2:$A$600,0)),"")</f>
        <v/>
      </c>
      <c r="CF59" s="28" t="str">
        <f aca="false">IFERROR(INDEX(Assessments!$H$2:$H$600,MATCH($H59&amp;"|"&amp;$I59&amp;"|"&amp;$J59&amp;"|"&amp;12,Assessments!$A$2:$A$600,0)),"")</f>
        <v/>
      </c>
      <c r="CG59" s="28" t="str">
        <f aca="false">IFERROR(INDEX(Assessments!$H$2:$H$600,MATCH($H59&amp;"|"&amp;$I59&amp;"|"&amp;$J59&amp;"|"&amp;13,Assessments!$A$2:$A$600,0)),"")</f>
        <v/>
      </c>
      <c r="CH59" s="28" t="str">
        <f aca="false">IFERROR(INDEX(Assessments!$H$2:$H$600,MATCH($H59&amp;"|"&amp;$I59&amp;"|"&amp;$J59&amp;"|"&amp;14,Assessments!$A$2:$A$600,0)),"")</f>
        <v/>
      </c>
      <c r="CI59" s="28" t="str">
        <f aca="false">IFERROR(INDEX(Assessments!$I$2:$I$600,MATCH($H59&amp;"|"&amp;$I59&amp;"|"&amp;$J59&amp;"|"&amp;1,Assessments!$A$2:$A$600,0)),"")</f>
        <v>Econ Test</v>
      </c>
      <c r="CJ59" s="28" t="str">
        <f aca="false">IFERROR(INDEX(Assessments!$I$2:$I$600,MATCH($H59&amp;"|"&amp;$I59&amp;"|"&amp;$J59&amp;"|"&amp;2,Assessments!$A$2:$A$600,0)),"")</f>
        <v>Econ Test</v>
      </c>
      <c r="CK59" s="28" t="str">
        <f aca="false">IFERROR(INDEX(Assessments!$I$2:$I$600,MATCH($H59&amp;"|"&amp;$I59&amp;"|"&amp;$J59&amp;"|"&amp;3,Assessments!$A$2:$A$600,0)),"")</f>
        <v>Econ Test</v>
      </c>
      <c r="CL59" s="28" t="str">
        <f aca="false">IFERROR(INDEX(Assessments!$I$2:$I$600,MATCH($H59&amp;"|"&amp;$I59&amp;"|"&amp;$J59&amp;"|"&amp;4,Assessments!$A$2:$A$600,0)),"")</f>
        <v>Econ Test</v>
      </c>
      <c r="CM59" s="28" t="str">
        <f aca="false">IFERROR(INDEX(Assessments!$I$2:$I$600,MATCH($H59&amp;"|"&amp;$I59&amp;"|"&amp;$J59&amp;"|"&amp;5,Assessments!$A$2:$A$600,0)),"")</f>
        <v>Econ Exam</v>
      </c>
      <c r="CN59" s="28" t="str">
        <f aca="false">IFERROR(INDEX(Assessments!$I$2:$I$600,MATCH($H59&amp;"|"&amp;$I59&amp;"|"&amp;$J59&amp;"|"&amp;6,Assessments!$A$2:$A$600,0)),"")</f>
        <v>Econ Test</v>
      </c>
      <c r="CO59" s="28" t="str">
        <f aca="false">IFERROR(INDEX(Assessments!$I$2:$I$600,MATCH($H59&amp;"|"&amp;$I59&amp;"|"&amp;$J59&amp;"|"&amp;7,Assessments!$A$2:$A$600,0)),"")</f>
        <v>Econ Exam</v>
      </c>
      <c r="CP59" s="28" t="str">
        <f aca="false">IFERROR(INDEX(Assessments!$I$2:$I$600,MATCH($H59&amp;"|"&amp;$I59&amp;"|"&amp;$J59&amp;"|"&amp;8,Assessments!$A$2:$A$600,0)),"")</f>
        <v/>
      </c>
      <c r="CQ59" s="28" t="str">
        <f aca="false">IFERROR(INDEX(Assessments!$I$2:$I$600,MATCH($H59&amp;"|"&amp;$I59&amp;"|"&amp;$J59&amp;"|"&amp;9,Assessments!$A$2:$A$600,0)),"")</f>
        <v/>
      </c>
      <c r="CR59" s="28" t="str">
        <f aca="false">IFERROR(INDEX(Assessments!$I$2:$I$600,MATCH($H59&amp;"|"&amp;$I59&amp;"|"&amp;$J59&amp;"|"&amp;10,Assessments!$A$2:$A$600,0)),"")</f>
        <v/>
      </c>
      <c r="CS59" s="28" t="str">
        <f aca="false">IFERROR(INDEX(Assessments!$I$2:$I$600,MATCH($H59&amp;"|"&amp;$I59&amp;"|"&amp;$J59&amp;"|"&amp;11,Assessments!$A$2:$A$600,0)),"")</f>
        <v/>
      </c>
      <c r="CT59" s="28" t="str">
        <f aca="false">IFERROR(INDEX(Assessments!$I$2:$I$600,MATCH($H59&amp;"|"&amp;$I59&amp;"|"&amp;$J59&amp;"|"&amp;12,Assessments!$A$2:$A$600,0)),"")</f>
        <v/>
      </c>
      <c r="CU59" s="28" t="str">
        <f aca="false">IFERROR(INDEX(Assessments!$I$2:$I$600,MATCH($H59&amp;"|"&amp;$I59&amp;"|"&amp;$J59&amp;"|"&amp;13,Assessments!$A$2:$A$600,0)),"")</f>
        <v/>
      </c>
      <c r="CV59" s="28" t="str">
        <f aca="false">IFERROR(INDEX(Assessments!$I$2:$I$600,MATCH($H59&amp;"|"&amp;$I59&amp;"|"&amp;$J59&amp;"|"&amp;14,Assessments!$A$2:$A$600,0)),"")</f>
        <v/>
      </c>
      <c r="CW59" s="28" t="n">
        <f aca="false">IFERROR(INDEX(Assessments!$J$2:$J$600,MATCH($H59&amp;"|"&amp;$I59&amp;"|"&amp;$J59&amp;"|"&amp;1,Assessments!$A$2:$A$600,0)),0)</f>
        <v>1</v>
      </c>
      <c r="CX59" s="28" t="n">
        <f aca="false">IFERROR(INDEX(Assessments!$J$2:$J$600,MATCH($H59&amp;"|"&amp;$I59&amp;"|"&amp;$J59&amp;"|"&amp;2,Assessments!$A$2:$A$600,0)),0)</f>
        <v>1</v>
      </c>
      <c r="CY59" s="28" t="n">
        <f aca="false">IFERROR(INDEX(Assessments!$J$2:$J$600,MATCH($H59&amp;"|"&amp;$I59&amp;"|"&amp;$J59&amp;"|"&amp;3,Assessments!$A$2:$A$600,0)),0)</f>
        <v>1</v>
      </c>
      <c r="CZ59" s="28" t="n">
        <f aca="false">IFERROR(INDEX(Assessments!$J$2:$J$600,MATCH($H59&amp;"|"&amp;$I59&amp;"|"&amp;$J59&amp;"|"&amp;4,Assessments!$A$2:$A$600,0)),0)</f>
        <v>1</v>
      </c>
      <c r="DA59" s="28" t="n">
        <f aca="false">IFERROR(INDEX(Assessments!$J$2:$J$600,MATCH($H59&amp;"|"&amp;$I59&amp;"|"&amp;$J59&amp;"|"&amp;5,Assessments!$A$2:$A$600,0)),0)</f>
        <v>2</v>
      </c>
      <c r="DB59" s="28" t="n">
        <f aca="false">IFERROR(INDEX(Assessments!$J$2:$J$600,MATCH($H59&amp;"|"&amp;$I59&amp;"|"&amp;$J59&amp;"|"&amp;6,Assessments!$A$2:$A$600,0)),0)</f>
        <v>1</v>
      </c>
      <c r="DC59" s="28" t="n">
        <f aca="false">IFERROR(INDEX(Assessments!$J$2:$J$600,MATCH($H59&amp;"|"&amp;$I59&amp;"|"&amp;$J59&amp;"|"&amp;7,Assessments!$A$2:$A$600,0)),0)</f>
        <v>2</v>
      </c>
      <c r="DD59" s="28" t="n">
        <f aca="false">IFERROR(INDEX(Assessments!$J$2:$J$600,MATCH($H59&amp;"|"&amp;$I59&amp;"|"&amp;$J59&amp;"|"&amp;8,Assessments!$A$2:$A$600,0)),0)</f>
        <v>0</v>
      </c>
      <c r="DE59" s="28" t="n">
        <f aca="false">IFERROR(INDEX(Assessments!$J$2:$J$600,MATCH($H59&amp;"|"&amp;$I59&amp;"|"&amp;$J59&amp;"|"&amp;9,Assessments!$A$2:$A$600,0)),0)</f>
        <v>0</v>
      </c>
      <c r="DF59" s="28" t="n">
        <f aca="false">IFERROR(INDEX(Assessments!$J$2:$J$600,MATCH($H59&amp;"|"&amp;$I59&amp;"|"&amp;$J59&amp;"|"&amp;10,Assessments!$A$2:$A$600,0)),0)</f>
        <v>0</v>
      </c>
      <c r="DG59" s="28" t="n">
        <f aca="false">IFERROR(INDEX(Assessments!$J$2:$J$600,MATCH($H59&amp;"|"&amp;$I59&amp;"|"&amp;$J59&amp;"|"&amp;11,Assessments!$A$2:$A$600,0)),0)</f>
        <v>0</v>
      </c>
      <c r="DH59" s="28" t="n">
        <f aca="false">IFERROR(INDEX(Assessments!$J$2:$J$600,MATCH($H59&amp;"|"&amp;$I59&amp;"|"&amp;$J59&amp;"|"&amp;12,Assessments!$A$2:$A$600,0)),0)</f>
        <v>0</v>
      </c>
      <c r="DI59" s="28" t="n">
        <f aca="false">IFERROR(INDEX(Assessments!$J$2:$J$600,MATCH($H59&amp;"|"&amp;$I59&amp;"|"&amp;$J59&amp;"|"&amp;13,Assessments!$A$2:$A$600,0)),0)</f>
        <v>0</v>
      </c>
      <c r="DJ59" s="28" t="n">
        <f aca="false">IFERROR(INDEX(Assessments!$J$2:$J$600,MATCH($H59&amp;"|"&amp;$I59&amp;"|"&amp;$J59&amp;"|"&amp;14,Assessments!$A$2:$A$600,0)),0)</f>
        <v>0</v>
      </c>
      <c r="DK59" s="28" t="n">
        <f aca="false">S59</f>
        <v>4</v>
      </c>
      <c r="DL59" s="28" t="n">
        <f aca="false">W59</f>
        <v>6</v>
      </c>
      <c r="DM59" s="28" t="n">
        <f aca="false">AA59</f>
        <v>4</v>
      </c>
      <c r="DN59" s="28" t="n">
        <f aca="false">AE59</f>
        <v>5</v>
      </c>
      <c r="DO59" s="28" t="n">
        <f aca="false">AI59</f>
        <v>5</v>
      </c>
      <c r="DP59" s="28" t="str">
        <f aca="false">AM59</f>
        <v/>
      </c>
      <c r="DQ59" s="28" t="str">
        <f aca="false">AQ59</f>
        <v/>
      </c>
      <c r="DR59" s="28" t="str">
        <f aca="false">AU59</f>
        <v/>
      </c>
      <c r="DS59" s="28" t="str">
        <f aca="false">AY59</f>
        <v/>
      </c>
      <c r="DT59" s="28" t="str">
        <f aca="false">BC59</f>
        <v/>
      </c>
      <c r="DU59" s="28" t="str">
        <f aca="false">BG59</f>
        <v/>
      </c>
      <c r="DV59" s="28" t="str">
        <f aca="false">BK59</f>
        <v/>
      </c>
      <c r="DW59" s="28" t="str">
        <f aca="false">BO59</f>
        <v/>
      </c>
      <c r="DX59" s="28" t="str">
        <f aca="false">BS59</f>
        <v/>
      </c>
      <c r="DY59" s="28" t="n">
        <f aca="false">IF(ISNUMBER(S59),1,"")</f>
        <v>1</v>
      </c>
      <c r="DZ59" s="28" t="n">
        <f aca="false">IF(ISNUMBER(W59),2,"")</f>
        <v>2</v>
      </c>
      <c r="EA59" s="28" t="n">
        <f aca="false">IF(ISNUMBER(AA59),3,"")</f>
        <v>3</v>
      </c>
      <c r="EB59" s="28" t="n">
        <f aca="false">IF(ISNUMBER(AE59),4,"")</f>
        <v>4</v>
      </c>
      <c r="EC59" s="28" t="n">
        <f aca="false">IF(ISNUMBER(AI59),5,"")</f>
        <v>5</v>
      </c>
      <c r="ED59" s="28" t="str">
        <f aca="false">IF(ISNUMBER(AM59),6,"")</f>
        <v/>
      </c>
      <c r="EE59" s="28" t="str">
        <f aca="false">IF(ISNUMBER(AQ59),7,"")</f>
        <v/>
      </c>
      <c r="EF59" s="28" t="str">
        <f aca="false">IF(ISNUMBER(AU59),8,"")</f>
        <v/>
      </c>
      <c r="EG59" s="28" t="str">
        <f aca="false">IF(ISNUMBER(AY59),9,"")</f>
        <v/>
      </c>
      <c r="EH59" s="28" t="str">
        <f aca="false">IF(ISNUMBER(BC59),10,"")</f>
        <v/>
      </c>
      <c r="EI59" s="28" t="str">
        <f aca="false">IF(ISNUMBER(BG59),11,"")</f>
        <v/>
      </c>
      <c r="EJ59" s="28" t="str">
        <f aca="false">IF(ISNUMBER(BK59),12,"")</f>
        <v/>
      </c>
      <c r="EK59" s="28" t="str">
        <f aca="false">IF(ISNUMBER(BO59),13,"")</f>
        <v/>
      </c>
      <c r="EL59" s="28" t="str">
        <f aca="false">IF(ISNUMBER(BS59),14,"")</f>
        <v/>
      </c>
      <c r="EM59" s="28" t="n">
        <f aca="false">IF(ISNUMBER(R59),R59*CW59,0)</f>
        <v>50</v>
      </c>
      <c r="EN59" s="28" t="n">
        <f aca="false">IF(ISNUMBER(V59),V59*CX59,0)</f>
        <v>75</v>
      </c>
      <c r="EO59" s="28" t="n">
        <f aca="false">IF(ISNUMBER(Z59),Z59*CY59,0)</f>
        <v>60</v>
      </c>
      <c r="EP59" s="28" t="n">
        <f aca="false">IF(ISNUMBER(AD59),AD59*CZ59,0)</f>
        <v>74.2857142857143</v>
      </c>
      <c r="EQ59" s="28" t="n">
        <f aca="false">IF(ISNUMBER(AH59),AH59*DA59,0)</f>
        <v>134.545454545455</v>
      </c>
      <c r="ER59" s="28" t="n">
        <f aca="false">IF(ISNUMBER(AL59),AL59*DB59,0)</f>
        <v>0</v>
      </c>
      <c r="ES59" s="28" t="n">
        <f aca="false">IF(ISNUMBER(AP59),AP59*DC59,0)</f>
        <v>0</v>
      </c>
      <c r="ET59" s="28" t="n">
        <f aca="false">IF(ISNUMBER(AT59),AT59*DD59,0)</f>
        <v>0</v>
      </c>
      <c r="EU59" s="28" t="n">
        <f aca="false">IF(ISNUMBER(AX59),AX59*DE59,0)</f>
        <v>0</v>
      </c>
      <c r="EV59" s="28" t="n">
        <f aca="false">IF(ISNUMBER(BB59),BB59*DF59,0)</f>
        <v>0</v>
      </c>
      <c r="EW59" s="28" t="n">
        <f aca="false">IF(ISNUMBER(BF59),BF59*DG59,0)</f>
        <v>0</v>
      </c>
      <c r="EX59" s="28" t="n">
        <f aca="false">IF(ISNUMBER(BJ59),BJ59*DH59,0)</f>
        <v>0</v>
      </c>
      <c r="EY59" s="28" t="n">
        <f aca="false">IF(ISNUMBER(BN59),BN59*DI59,0)</f>
        <v>0</v>
      </c>
      <c r="EZ59" s="28" t="n">
        <f aca="false">IF(ISNUMBER(BR59),BR59*DJ59,0)</f>
        <v>0</v>
      </c>
      <c r="FA59" s="28" t="n">
        <f aca="false">IF(ISNUMBER(R59),CW59,0)</f>
        <v>1</v>
      </c>
      <c r="FB59" s="28" t="n">
        <f aca="false">IF(ISNUMBER(V59),CX59,0)</f>
        <v>1</v>
      </c>
      <c r="FC59" s="28" t="n">
        <f aca="false">IF(ISNUMBER(Z59),CY59,0)</f>
        <v>1</v>
      </c>
      <c r="FD59" s="28" t="n">
        <f aca="false">IF(ISNUMBER(AD59),CZ59,0)</f>
        <v>1</v>
      </c>
      <c r="FE59" s="28" t="n">
        <f aca="false">IF(ISNUMBER(AH59),DA59,0)</f>
        <v>2</v>
      </c>
      <c r="FF59" s="28" t="n">
        <f aca="false">IF(ISNUMBER(AL59),DB59,0)</f>
        <v>0</v>
      </c>
      <c r="FG59" s="28" t="n">
        <f aca="false">IF(ISNUMBER(AP59),DC59,0)</f>
        <v>0</v>
      </c>
      <c r="FH59" s="28" t="n">
        <f aca="false">IF(ISNUMBER(AT59),DD59,0)</f>
        <v>0</v>
      </c>
      <c r="FI59" s="28" t="n">
        <f aca="false">IF(ISNUMBER(AX59),DE59,0)</f>
        <v>0</v>
      </c>
      <c r="FJ59" s="28" t="n">
        <f aca="false">IF(ISNUMBER(BB59),DF59,0)</f>
        <v>0</v>
      </c>
      <c r="FK59" s="28" t="n">
        <f aca="false">IF(ISNUMBER(BF59),DG59,0)</f>
        <v>0</v>
      </c>
      <c r="FL59" s="28" t="n">
        <f aca="false">IF(ISNUMBER(BJ59),DH59,0)</f>
        <v>0</v>
      </c>
      <c r="FM59" s="28" t="n">
        <f aca="false">IF(ISNUMBER(BN59),DI59,0)</f>
        <v>0</v>
      </c>
      <c r="FN59" s="28" t="n">
        <f aca="false">IF(ISNUMBER(BR59),DJ59,0)</f>
        <v>0</v>
      </c>
      <c r="FO59" s="28" t="str">
        <f aca="false">IFERROR(INDEX(Lists!$G$2:$G$20,MATCH($I59&amp;"|"&amp;$J59,Lists!$F$2:$F$20,0)),"")</f>
        <v>Econ Exam</v>
      </c>
    </row>
    <row r="60" customFormat="false" ht="19.5" hidden="false" customHeight="true" outlineLevel="0" collapsed="false">
      <c r="A60" s="29" t="s">
        <v>196</v>
      </c>
      <c r="B60" s="29" t="s">
        <v>197</v>
      </c>
      <c r="C60" s="30" t="s">
        <v>152</v>
      </c>
      <c r="D60" s="30" t="s">
        <v>246</v>
      </c>
      <c r="E60" s="31" t="n">
        <v>6.1</v>
      </c>
      <c r="F60" s="30" t="n">
        <v>6</v>
      </c>
      <c r="G60" s="30" t="s">
        <v>154</v>
      </c>
      <c r="H60" s="32" t="s">
        <v>23</v>
      </c>
      <c r="I60" s="33" t="s">
        <v>229</v>
      </c>
      <c r="J60" s="32" t="s">
        <v>25</v>
      </c>
      <c r="K60" s="34" t="n">
        <f aca="false">IF(OR(M60="",$E60=""),"",M60-$E60)</f>
        <v>-1.1</v>
      </c>
      <c r="L60" s="35" t="n">
        <f aca="false">IF(SUM(FA60:FN60)=0,"",SUM(EM60:EZ60)/SUM(FA60:FN60))</f>
        <v>61.9848484848485</v>
      </c>
      <c r="M60" s="36" t="n">
        <f aca="false">IF(OR(L60="",FO60=""),"",IFERROR(MATCH(L60,INDEX(Boundaries!$B$2:$I$30,MATCH(FO60,Boundaries!$A$2:$A$30,0),0),1)-1,""))</f>
        <v>5</v>
      </c>
      <c r="N60" s="37" t="n">
        <f aca="false">IF(COUNT($DY60:$EL60)&lt;2,"",INDEX($DK60:$DX60,MAX($DY60:$EL60))-INDEX($DK60:$DX60,MIN($DY60:$EL60)))</f>
        <v>2</v>
      </c>
      <c r="O60" s="37" t="n">
        <f aca="false">IF(COUNT($DY60:$EL60)&lt;2,"",INDEX($DK60:$DX60,MAX($DY60:$EL60))-INDEX($DK60:$DX60,LARGE($DY60:$EL60,2)))</f>
        <v>1</v>
      </c>
      <c r="P60" s="38" t="str">
        <f aca="false">IF(K60="","",IF(K60&gt;=0,"On/above target",IF(AND(N60&lt;&gt;"",N60&gt;=0.5),"Improving towards target",IF(AND(O60&lt;&gt;"",O60&lt;=-0.5),"Declining","Stable below target"))))</f>
        <v>Improving towards target</v>
      </c>
      <c r="Q60" s="39" t="n">
        <v>14</v>
      </c>
      <c r="R60" s="40" t="n">
        <f aca="false">IF(OR(Q60="",BU60=""),"",Q60/BU60*100)</f>
        <v>46.6666666666667</v>
      </c>
      <c r="S60" s="41" t="n">
        <f aca="false">IF(R60="","",IFERROR(MATCH(R60,INDEX(Boundaries!$B$2:$I$30,MATCH(CI60,Boundaries!$A$2:$A$30,0),0),1)-1,""))</f>
        <v>3</v>
      </c>
      <c r="T60" s="42" t="n">
        <f aca="false">IF(OR(S60="",$E60=""),"",S60-$E60)</f>
        <v>-3.1</v>
      </c>
      <c r="U60" s="39" t="n">
        <v>14</v>
      </c>
      <c r="V60" s="40" t="n">
        <f aca="false">IF(OR(U60="",BV60=""),"",U60/BV60*100)</f>
        <v>58.3333333333333</v>
      </c>
      <c r="W60" s="41" t="n">
        <f aca="false">IF(V60="","",IFERROR(MATCH(V60,INDEX(Boundaries!$B$2:$I$30,MATCH(CJ60,Boundaries!$A$2:$A$30,0),0),1)-1,""))</f>
        <v>4</v>
      </c>
      <c r="X60" s="42" t="n">
        <f aca="false">IF(OR(W60="",$E60=""),"",W60-$E60)</f>
        <v>-2.1</v>
      </c>
      <c r="Y60" s="39" t="n">
        <v>19</v>
      </c>
      <c r="Z60" s="40" t="n">
        <f aca="false">IF(OR(Y60="",BW60=""),"",Y60/BW60*100)</f>
        <v>76</v>
      </c>
      <c r="AA60" s="41" t="n">
        <f aca="false">IF(Z60="","",IFERROR(MATCH(Z60,INDEX(Boundaries!$B$2:$I$30,MATCH(CK60,Boundaries!$A$2:$A$30,0),0),1)-1,""))</f>
        <v>6</v>
      </c>
      <c r="AB60" s="42" t="n">
        <f aca="false">IF(OR(AA60="",$E60=""),"",AA60-$E60)</f>
        <v>-0.0999999999999996</v>
      </c>
      <c r="AC60" s="39" t="n">
        <v>21</v>
      </c>
      <c r="AD60" s="40" t="n">
        <f aca="false">IF(OR(AC60="",BX60=""),"",AC60/BX60*100)</f>
        <v>60</v>
      </c>
      <c r="AE60" s="41" t="n">
        <f aca="false">IF(AD60="","",IFERROR(MATCH(AD60,INDEX(Boundaries!$B$2:$I$30,MATCH(CL60,Boundaries!$A$2:$A$30,0),0),1)-1,""))</f>
        <v>4</v>
      </c>
      <c r="AF60" s="42" t="n">
        <f aca="false">IF(OR(AE60="",$E60=""),"",AE60-$E60)</f>
        <v>-2.1</v>
      </c>
      <c r="AG60" s="39" t="n">
        <v>36</v>
      </c>
      <c r="AH60" s="40" t="n">
        <f aca="false">IF(OR(AG60="",BY60=""),"",AG60/BY60*100)</f>
        <v>65.4545454545455</v>
      </c>
      <c r="AI60" s="41" t="n">
        <f aca="false">IF(AH60="","",IFERROR(MATCH(AH60,INDEX(Boundaries!$B$2:$I$30,MATCH(CM60,Boundaries!$A$2:$A$30,0),0),1)-1,""))</f>
        <v>5</v>
      </c>
      <c r="AJ60" s="42" t="n">
        <f aca="false">IF(OR(AI60="",$E60=""),"",AI60-$E60)</f>
        <v>-1.1</v>
      </c>
      <c r="AK60" s="39"/>
      <c r="AL60" s="40" t="str">
        <f aca="false">IF(OR(AK60="",BZ60=""),"",AK60/BZ60*100)</f>
        <v/>
      </c>
      <c r="AM60" s="41" t="str">
        <f aca="false">IF(AL60="","",IFERROR(MATCH(AL60,INDEX(Boundaries!$B$2:$I$30,MATCH(CN60,Boundaries!$A$2:$A$30,0),0),1)-1,""))</f>
        <v/>
      </c>
      <c r="AN60" s="42" t="str">
        <f aca="false">IF(OR(AM60="",$E60=""),"",AM60-$E60)</f>
        <v/>
      </c>
      <c r="AO60" s="39"/>
      <c r="AP60" s="40" t="str">
        <f aca="false">IF(OR(AO60="",CA60=""),"",AO60/CA60*100)</f>
        <v/>
      </c>
      <c r="AQ60" s="41" t="str">
        <f aca="false">IF(AP60="","",IFERROR(MATCH(AP60,INDEX(Boundaries!$B$2:$I$30,MATCH(CO60,Boundaries!$A$2:$A$30,0),0),1)-1,""))</f>
        <v/>
      </c>
      <c r="AR60" s="42" t="str">
        <f aca="false">IF(OR(AQ60="",$E60=""),"",AQ60-$E60)</f>
        <v/>
      </c>
      <c r="AS60" s="39"/>
      <c r="AT60" s="40" t="str">
        <f aca="false">IF(OR(AS60="",CB60=""),"",AS60/CB60*100)</f>
        <v/>
      </c>
      <c r="AU60" s="41" t="str">
        <f aca="false">IF(AT60="","",IFERROR(MATCH(AT60,INDEX(Boundaries!$B$2:$I$30,MATCH(CP60,Boundaries!$A$2:$A$30,0),0),1)-1,""))</f>
        <v/>
      </c>
      <c r="AV60" s="42" t="str">
        <f aca="false">IF(OR(AU60="",$E60=""),"",AU60-$E60)</f>
        <v/>
      </c>
      <c r="AW60" s="39"/>
      <c r="AX60" s="40" t="str">
        <f aca="false">IF(OR(AW60="",CC60=""),"",AW60/CC60*100)</f>
        <v/>
      </c>
      <c r="AY60" s="41" t="str">
        <f aca="false">IF(AX60="","",IFERROR(MATCH(AX60,INDEX(Boundaries!$B$2:$I$30,MATCH(CQ60,Boundaries!$A$2:$A$30,0),0),1)-1,""))</f>
        <v/>
      </c>
      <c r="AZ60" s="42" t="str">
        <f aca="false">IF(OR(AY60="",$E60=""),"",AY60-$E60)</f>
        <v/>
      </c>
      <c r="BA60" s="39"/>
      <c r="BB60" s="40" t="str">
        <f aca="false">IF(OR(BA60="",CD60=""),"",BA60/CD60*100)</f>
        <v/>
      </c>
      <c r="BC60" s="41" t="str">
        <f aca="false">IF(BB60="","",IFERROR(MATCH(BB60,INDEX(Boundaries!$B$2:$I$30,MATCH(CR60,Boundaries!$A$2:$A$30,0),0),1)-1,""))</f>
        <v/>
      </c>
      <c r="BD60" s="42" t="str">
        <f aca="false">IF(OR(BC60="",$E60=""),"",BC60-$E60)</f>
        <v/>
      </c>
      <c r="BE60" s="39"/>
      <c r="BF60" s="40" t="str">
        <f aca="false">IF(OR(BE60="",CE60=""),"",BE60/CE60*100)</f>
        <v/>
      </c>
      <c r="BG60" s="41" t="str">
        <f aca="false">IF(BF60="","",IFERROR(MATCH(BF60,INDEX(Boundaries!$B$2:$I$30,MATCH(CS60,Boundaries!$A$2:$A$30,0),0),1)-1,""))</f>
        <v/>
      </c>
      <c r="BH60" s="42" t="str">
        <f aca="false">IF(OR(BG60="",$E60=""),"",BG60-$E60)</f>
        <v/>
      </c>
      <c r="BI60" s="39"/>
      <c r="BJ60" s="40" t="str">
        <f aca="false">IF(OR(BI60="",CF60=""),"",BI60/CF60*100)</f>
        <v/>
      </c>
      <c r="BK60" s="41" t="str">
        <f aca="false">IF(BJ60="","",IFERROR(MATCH(BJ60,INDEX(Boundaries!$B$2:$I$30,MATCH(CT60,Boundaries!$A$2:$A$30,0),0),1)-1,""))</f>
        <v/>
      </c>
      <c r="BL60" s="42" t="str">
        <f aca="false">IF(OR(BK60="",$E60=""),"",BK60-$E60)</f>
        <v/>
      </c>
      <c r="BM60" s="39"/>
      <c r="BN60" s="40" t="str">
        <f aca="false">IF(OR(BM60="",CG60=""),"",BM60/CG60*100)</f>
        <v/>
      </c>
      <c r="BO60" s="41" t="str">
        <f aca="false">IF(BN60="","",IFERROR(MATCH(BN60,INDEX(Boundaries!$B$2:$I$30,MATCH(CU60,Boundaries!$A$2:$A$30,0),0),1)-1,""))</f>
        <v/>
      </c>
      <c r="BP60" s="42" t="str">
        <f aca="false">IF(OR(BO60="",$E60=""),"",BO60-$E60)</f>
        <v/>
      </c>
      <c r="BQ60" s="39"/>
      <c r="BR60" s="40" t="str">
        <f aca="false">IF(OR(BQ60="",CH60=""),"",BQ60/CH60*100)</f>
        <v/>
      </c>
      <c r="BS60" s="41" t="str">
        <f aca="false">IF(BR60="","",IFERROR(MATCH(BR60,INDEX(Boundaries!$B$2:$I$30,MATCH(CV60,Boundaries!$A$2:$A$30,0),0),1)-1,""))</f>
        <v/>
      </c>
      <c r="BT60" s="42" t="str">
        <f aca="false">IF(OR(BS60="",$E60=""),"",BS60-$E60)</f>
        <v/>
      </c>
      <c r="BU60" s="28" t="n">
        <f aca="false">IFERROR(INDEX(Assessments!$H$2:$H$600,MATCH($H60&amp;"|"&amp;$I60&amp;"|"&amp;$J60&amp;"|"&amp;1,Assessments!$A$2:$A$600,0)),"")</f>
        <v>30</v>
      </c>
      <c r="BV60" s="28" t="n">
        <f aca="false">IFERROR(INDEX(Assessments!$H$2:$H$600,MATCH($H60&amp;"|"&amp;$I60&amp;"|"&amp;$J60&amp;"|"&amp;2,Assessments!$A$2:$A$600,0)),"")</f>
        <v>24</v>
      </c>
      <c r="BW60" s="28" t="n">
        <f aca="false">IFERROR(INDEX(Assessments!$H$2:$H$600,MATCH($H60&amp;"|"&amp;$I60&amp;"|"&amp;$J60&amp;"|"&amp;3,Assessments!$A$2:$A$600,0)),"")</f>
        <v>25</v>
      </c>
      <c r="BX60" s="28" t="n">
        <f aca="false">IFERROR(INDEX(Assessments!$H$2:$H$600,MATCH($H60&amp;"|"&amp;$I60&amp;"|"&amp;$J60&amp;"|"&amp;4,Assessments!$A$2:$A$600,0)),"")</f>
        <v>35</v>
      </c>
      <c r="BY60" s="28" t="n">
        <f aca="false">IFERROR(INDEX(Assessments!$H$2:$H$600,MATCH($H60&amp;"|"&amp;$I60&amp;"|"&amp;$J60&amp;"|"&amp;5,Assessments!$A$2:$A$600,0)),"")</f>
        <v>55</v>
      </c>
      <c r="BZ60" s="28" t="n">
        <f aca="false">IFERROR(INDEX(Assessments!$H$2:$H$600,MATCH($H60&amp;"|"&amp;$I60&amp;"|"&amp;$J60&amp;"|"&amp;6,Assessments!$A$2:$A$600,0)),"")</f>
        <v>30</v>
      </c>
      <c r="CA60" s="28" t="n">
        <f aca="false">IFERROR(INDEX(Assessments!$H$2:$H$600,MATCH($H60&amp;"|"&amp;$I60&amp;"|"&amp;$J60&amp;"|"&amp;7,Assessments!$A$2:$A$600,0)),"")</f>
        <v>95</v>
      </c>
      <c r="CB60" s="28" t="str">
        <f aca="false">IFERROR(INDEX(Assessments!$H$2:$H$600,MATCH($H60&amp;"|"&amp;$I60&amp;"|"&amp;$J60&amp;"|"&amp;8,Assessments!$A$2:$A$600,0)),"")</f>
        <v/>
      </c>
      <c r="CC60" s="28" t="str">
        <f aca="false">IFERROR(INDEX(Assessments!$H$2:$H$600,MATCH($H60&amp;"|"&amp;$I60&amp;"|"&amp;$J60&amp;"|"&amp;9,Assessments!$A$2:$A$600,0)),"")</f>
        <v/>
      </c>
      <c r="CD60" s="28" t="str">
        <f aca="false">IFERROR(INDEX(Assessments!$H$2:$H$600,MATCH($H60&amp;"|"&amp;$I60&amp;"|"&amp;$J60&amp;"|"&amp;10,Assessments!$A$2:$A$600,0)),"")</f>
        <v/>
      </c>
      <c r="CE60" s="28" t="str">
        <f aca="false">IFERROR(INDEX(Assessments!$H$2:$H$600,MATCH($H60&amp;"|"&amp;$I60&amp;"|"&amp;$J60&amp;"|"&amp;11,Assessments!$A$2:$A$600,0)),"")</f>
        <v/>
      </c>
      <c r="CF60" s="28" t="str">
        <f aca="false">IFERROR(INDEX(Assessments!$H$2:$H$600,MATCH($H60&amp;"|"&amp;$I60&amp;"|"&amp;$J60&amp;"|"&amp;12,Assessments!$A$2:$A$600,0)),"")</f>
        <v/>
      </c>
      <c r="CG60" s="28" t="str">
        <f aca="false">IFERROR(INDEX(Assessments!$H$2:$H$600,MATCH($H60&amp;"|"&amp;$I60&amp;"|"&amp;$J60&amp;"|"&amp;13,Assessments!$A$2:$A$600,0)),"")</f>
        <v/>
      </c>
      <c r="CH60" s="28" t="str">
        <f aca="false">IFERROR(INDEX(Assessments!$H$2:$H$600,MATCH($H60&amp;"|"&amp;$I60&amp;"|"&amp;$J60&amp;"|"&amp;14,Assessments!$A$2:$A$600,0)),"")</f>
        <v/>
      </c>
      <c r="CI60" s="28" t="str">
        <f aca="false">IFERROR(INDEX(Assessments!$I$2:$I$600,MATCH($H60&amp;"|"&amp;$I60&amp;"|"&amp;$J60&amp;"|"&amp;1,Assessments!$A$2:$A$600,0)),"")</f>
        <v>Econ Test</v>
      </c>
      <c r="CJ60" s="28" t="str">
        <f aca="false">IFERROR(INDEX(Assessments!$I$2:$I$600,MATCH($H60&amp;"|"&amp;$I60&amp;"|"&amp;$J60&amp;"|"&amp;2,Assessments!$A$2:$A$600,0)),"")</f>
        <v>Econ Test</v>
      </c>
      <c r="CK60" s="28" t="str">
        <f aca="false">IFERROR(INDEX(Assessments!$I$2:$I$600,MATCH($H60&amp;"|"&amp;$I60&amp;"|"&amp;$J60&amp;"|"&amp;3,Assessments!$A$2:$A$600,0)),"")</f>
        <v>Econ Test</v>
      </c>
      <c r="CL60" s="28" t="str">
        <f aca="false">IFERROR(INDEX(Assessments!$I$2:$I$600,MATCH($H60&amp;"|"&amp;$I60&amp;"|"&amp;$J60&amp;"|"&amp;4,Assessments!$A$2:$A$600,0)),"")</f>
        <v>Econ Test</v>
      </c>
      <c r="CM60" s="28" t="str">
        <f aca="false">IFERROR(INDEX(Assessments!$I$2:$I$600,MATCH($H60&amp;"|"&amp;$I60&amp;"|"&amp;$J60&amp;"|"&amp;5,Assessments!$A$2:$A$600,0)),"")</f>
        <v>Econ Exam</v>
      </c>
      <c r="CN60" s="28" t="str">
        <f aca="false">IFERROR(INDEX(Assessments!$I$2:$I$600,MATCH($H60&amp;"|"&amp;$I60&amp;"|"&amp;$J60&amp;"|"&amp;6,Assessments!$A$2:$A$600,0)),"")</f>
        <v>Econ Test</v>
      </c>
      <c r="CO60" s="28" t="str">
        <f aca="false">IFERROR(INDEX(Assessments!$I$2:$I$600,MATCH($H60&amp;"|"&amp;$I60&amp;"|"&amp;$J60&amp;"|"&amp;7,Assessments!$A$2:$A$600,0)),"")</f>
        <v>Econ Exam</v>
      </c>
      <c r="CP60" s="28" t="str">
        <f aca="false">IFERROR(INDEX(Assessments!$I$2:$I$600,MATCH($H60&amp;"|"&amp;$I60&amp;"|"&amp;$J60&amp;"|"&amp;8,Assessments!$A$2:$A$600,0)),"")</f>
        <v/>
      </c>
      <c r="CQ60" s="28" t="str">
        <f aca="false">IFERROR(INDEX(Assessments!$I$2:$I$600,MATCH($H60&amp;"|"&amp;$I60&amp;"|"&amp;$J60&amp;"|"&amp;9,Assessments!$A$2:$A$600,0)),"")</f>
        <v/>
      </c>
      <c r="CR60" s="28" t="str">
        <f aca="false">IFERROR(INDEX(Assessments!$I$2:$I$600,MATCH($H60&amp;"|"&amp;$I60&amp;"|"&amp;$J60&amp;"|"&amp;10,Assessments!$A$2:$A$600,0)),"")</f>
        <v/>
      </c>
      <c r="CS60" s="28" t="str">
        <f aca="false">IFERROR(INDEX(Assessments!$I$2:$I$600,MATCH($H60&amp;"|"&amp;$I60&amp;"|"&amp;$J60&amp;"|"&amp;11,Assessments!$A$2:$A$600,0)),"")</f>
        <v/>
      </c>
      <c r="CT60" s="28" t="str">
        <f aca="false">IFERROR(INDEX(Assessments!$I$2:$I$600,MATCH($H60&amp;"|"&amp;$I60&amp;"|"&amp;$J60&amp;"|"&amp;12,Assessments!$A$2:$A$600,0)),"")</f>
        <v/>
      </c>
      <c r="CU60" s="28" t="str">
        <f aca="false">IFERROR(INDEX(Assessments!$I$2:$I$600,MATCH($H60&amp;"|"&amp;$I60&amp;"|"&amp;$J60&amp;"|"&amp;13,Assessments!$A$2:$A$600,0)),"")</f>
        <v/>
      </c>
      <c r="CV60" s="28" t="str">
        <f aca="false">IFERROR(INDEX(Assessments!$I$2:$I$600,MATCH($H60&amp;"|"&amp;$I60&amp;"|"&amp;$J60&amp;"|"&amp;14,Assessments!$A$2:$A$600,0)),"")</f>
        <v/>
      </c>
      <c r="CW60" s="28" t="n">
        <f aca="false">IFERROR(INDEX(Assessments!$J$2:$J$600,MATCH($H60&amp;"|"&amp;$I60&amp;"|"&amp;$J60&amp;"|"&amp;1,Assessments!$A$2:$A$600,0)),0)</f>
        <v>1</v>
      </c>
      <c r="CX60" s="28" t="n">
        <f aca="false">IFERROR(INDEX(Assessments!$J$2:$J$600,MATCH($H60&amp;"|"&amp;$I60&amp;"|"&amp;$J60&amp;"|"&amp;2,Assessments!$A$2:$A$600,0)),0)</f>
        <v>1</v>
      </c>
      <c r="CY60" s="28" t="n">
        <f aca="false">IFERROR(INDEX(Assessments!$J$2:$J$600,MATCH($H60&amp;"|"&amp;$I60&amp;"|"&amp;$J60&amp;"|"&amp;3,Assessments!$A$2:$A$600,0)),0)</f>
        <v>1</v>
      </c>
      <c r="CZ60" s="28" t="n">
        <f aca="false">IFERROR(INDEX(Assessments!$J$2:$J$600,MATCH($H60&amp;"|"&amp;$I60&amp;"|"&amp;$J60&amp;"|"&amp;4,Assessments!$A$2:$A$600,0)),0)</f>
        <v>1</v>
      </c>
      <c r="DA60" s="28" t="n">
        <f aca="false">IFERROR(INDEX(Assessments!$J$2:$J$600,MATCH($H60&amp;"|"&amp;$I60&amp;"|"&amp;$J60&amp;"|"&amp;5,Assessments!$A$2:$A$600,0)),0)</f>
        <v>2</v>
      </c>
      <c r="DB60" s="28" t="n">
        <f aca="false">IFERROR(INDEX(Assessments!$J$2:$J$600,MATCH($H60&amp;"|"&amp;$I60&amp;"|"&amp;$J60&amp;"|"&amp;6,Assessments!$A$2:$A$600,0)),0)</f>
        <v>1</v>
      </c>
      <c r="DC60" s="28" t="n">
        <f aca="false">IFERROR(INDEX(Assessments!$J$2:$J$600,MATCH($H60&amp;"|"&amp;$I60&amp;"|"&amp;$J60&amp;"|"&amp;7,Assessments!$A$2:$A$600,0)),0)</f>
        <v>2</v>
      </c>
      <c r="DD60" s="28" t="n">
        <f aca="false">IFERROR(INDEX(Assessments!$J$2:$J$600,MATCH($H60&amp;"|"&amp;$I60&amp;"|"&amp;$J60&amp;"|"&amp;8,Assessments!$A$2:$A$600,0)),0)</f>
        <v>0</v>
      </c>
      <c r="DE60" s="28" t="n">
        <f aca="false">IFERROR(INDEX(Assessments!$J$2:$J$600,MATCH($H60&amp;"|"&amp;$I60&amp;"|"&amp;$J60&amp;"|"&amp;9,Assessments!$A$2:$A$600,0)),0)</f>
        <v>0</v>
      </c>
      <c r="DF60" s="28" t="n">
        <f aca="false">IFERROR(INDEX(Assessments!$J$2:$J$600,MATCH($H60&amp;"|"&amp;$I60&amp;"|"&amp;$J60&amp;"|"&amp;10,Assessments!$A$2:$A$600,0)),0)</f>
        <v>0</v>
      </c>
      <c r="DG60" s="28" t="n">
        <f aca="false">IFERROR(INDEX(Assessments!$J$2:$J$600,MATCH($H60&amp;"|"&amp;$I60&amp;"|"&amp;$J60&amp;"|"&amp;11,Assessments!$A$2:$A$600,0)),0)</f>
        <v>0</v>
      </c>
      <c r="DH60" s="28" t="n">
        <f aca="false">IFERROR(INDEX(Assessments!$J$2:$J$600,MATCH($H60&amp;"|"&amp;$I60&amp;"|"&amp;$J60&amp;"|"&amp;12,Assessments!$A$2:$A$600,0)),0)</f>
        <v>0</v>
      </c>
      <c r="DI60" s="28" t="n">
        <f aca="false">IFERROR(INDEX(Assessments!$J$2:$J$600,MATCH($H60&amp;"|"&amp;$I60&amp;"|"&amp;$J60&amp;"|"&amp;13,Assessments!$A$2:$A$600,0)),0)</f>
        <v>0</v>
      </c>
      <c r="DJ60" s="28" t="n">
        <f aca="false">IFERROR(INDEX(Assessments!$J$2:$J$600,MATCH($H60&amp;"|"&amp;$I60&amp;"|"&amp;$J60&amp;"|"&amp;14,Assessments!$A$2:$A$600,0)),0)</f>
        <v>0</v>
      </c>
      <c r="DK60" s="28" t="n">
        <f aca="false">S60</f>
        <v>3</v>
      </c>
      <c r="DL60" s="28" t="n">
        <f aca="false">W60</f>
        <v>4</v>
      </c>
      <c r="DM60" s="28" t="n">
        <f aca="false">AA60</f>
        <v>6</v>
      </c>
      <c r="DN60" s="28" t="n">
        <f aca="false">AE60</f>
        <v>4</v>
      </c>
      <c r="DO60" s="28" t="n">
        <f aca="false">AI60</f>
        <v>5</v>
      </c>
      <c r="DP60" s="28" t="str">
        <f aca="false">AM60</f>
        <v/>
      </c>
      <c r="DQ60" s="28" t="str">
        <f aca="false">AQ60</f>
        <v/>
      </c>
      <c r="DR60" s="28" t="str">
        <f aca="false">AU60</f>
        <v/>
      </c>
      <c r="DS60" s="28" t="str">
        <f aca="false">AY60</f>
        <v/>
      </c>
      <c r="DT60" s="28" t="str">
        <f aca="false">BC60</f>
        <v/>
      </c>
      <c r="DU60" s="28" t="str">
        <f aca="false">BG60</f>
        <v/>
      </c>
      <c r="DV60" s="28" t="str">
        <f aca="false">BK60</f>
        <v/>
      </c>
      <c r="DW60" s="28" t="str">
        <f aca="false">BO60</f>
        <v/>
      </c>
      <c r="DX60" s="28" t="str">
        <f aca="false">BS60</f>
        <v/>
      </c>
      <c r="DY60" s="28" t="n">
        <f aca="false">IF(ISNUMBER(S60),1,"")</f>
        <v>1</v>
      </c>
      <c r="DZ60" s="28" t="n">
        <f aca="false">IF(ISNUMBER(W60),2,"")</f>
        <v>2</v>
      </c>
      <c r="EA60" s="28" t="n">
        <f aca="false">IF(ISNUMBER(AA60),3,"")</f>
        <v>3</v>
      </c>
      <c r="EB60" s="28" t="n">
        <f aca="false">IF(ISNUMBER(AE60),4,"")</f>
        <v>4</v>
      </c>
      <c r="EC60" s="28" t="n">
        <f aca="false">IF(ISNUMBER(AI60),5,"")</f>
        <v>5</v>
      </c>
      <c r="ED60" s="28" t="str">
        <f aca="false">IF(ISNUMBER(AM60),6,"")</f>
        <v/>
      </c>
      <c r="EE60" s="28" t="str">
        <f aca="false">IF(ISNUMBER(AQ60),7,"")</f>
        <v/>
      </c>
      <c r="EF60" s="28" t="str">
        <f aca="false">IF(ISNUMBER(AU60),8,"")</f>
        <v/>
      </c>
      <c r="EG60" s="28" t="str">
        <f aca="false">IF(ISNUMBER(AY60),9,"")</f>
        <v/>
      </c>
      <c r="EH60" s="28" t="str">
        <f aca="false">IF(ISNUMBER(BC60),10,"")</f>
        <v/>
      </c>
      <c r="EI60" s="28" t="str">
        <f aca="false">IF(ISNUMBER(BG60),11,"")</f>
        <v/>
      </c>
      <c r="EJ60" s="28" t="str">
        <f aca="false">IF(ISNUMBER(BK60),12,"")</f>
        <v/>
      </c>
      <c r="EK60" s="28" t="str">
        <f aca="false">IF(ISNUMBER(BO60),13,"")</f>
        <v/>
      </c>
      <c r="EL60" s="28" t="str">
        <f aca="false">IF(ISNUMBER(BS60),14,"")</f>
        <v/>
      </c>
      <c r="EM60" s="28" t="n">
        <f aca="false">IF(ISNUMBER(R60),R60*CW60,0)</f>
        <v>46.6666666666667</v>
      </c>
      <c r="EN60" s="28" t="n">
        <f aca="false">IF(ISNUMBER(V60),V60*CX60,0)</f>
        <v>58.3333333333333</v>
      </c>
      <c r="EO60" s="28" t="n">
        <f aca="false">IF(ISNUMBER(Z60),Z60*CY60,0)</f>
        <v>76</v>
      </c>
      <c r="EP60" s="28" t="n">
        <f aca="false">IF(ISNUMBER(AD60),AD60*CZ60,0)</f>
        <v>60</v>
      </c>
      <c r="EQ60" s="28" t="n">
        <f aca="false">IF(ISNUMBER(AH60),AH60*DA60,0)</f>
        <v>130.909090909091</v>
      </c>
      <c r="ER60" s="28" t="n">
        <f aca="false">IF(ISNUMBER(AL60),AL60*DB60,0)</f>
        <v>0</v>
      </c>
      <c r="ES60" s="28" t="n">
        <f aca="false">IF(ISNUMBER(AP60),AP60*DC60,0)</f>
        <v>0</v>
      </c>
      <c r="ET60" s="28" t="n">
        <f aca="false">IF(ISNUMBER(AT60),AT60*DD60,0)</f>
        <v>0</v>
      </c>
      <c r="EU60" s="28" t="n">
        <f aca="false">IF(ISNUMBER(AX60),AX60*DE60,0)</f>
        <v>0</v>
      </c>
      <c r="EV60" s="28" t="n">
        <f aca="false">IF(ISNUMBER(BB60),BB60*DF60,0)</f>
        <v>0</v>
      </c>
      <c r="EW60" s="28" t="n">
        <f aca="false">IF(ISNUMBER(BF60),BF60*DG60,0)</f>
        <v>0</v>
      </c>
      <c r="EX60" s="28" t="n">
        <f aca="false">IF(ISNUMBER(BJ60),BJ60*DH60,0)</f>
        <v>0</v>
      </c>
      <c r="EY60" s="28" t="n">
        <f aca="false">IF(ISNUMBER(BN60),BN60*DI60,0)</f>
        <v>0</v>
      </c>
      <c r="EZ60" s="28" t="n">
        <f aca="false">IF(ISNUMBER(BR60),BR60*DJ60,0)</f>
        <v>0</v>
      </c>
      <c r="FA60" s="28" t="n">
        <f aca="false">IF(ISNUMBER(R60),CW60,0)</f>
        <v>1</v>
      </c>
      <c r="FB60" s="28" t="n">
        <f aca="false">IF(ISNUMBER(V60),CX60,0)</f>
        <v>1</v>
      </c>
      <c r="FC60" s="28" t="n">
        <f aca="false">IF(ISNUMBER(Z60),CY60,0)</f>
        <v>1</v>
      </c>
      <c r="FD60" s="28" t="n">
        <f aca="false">IF(ISNUMBER(AD60),CZ60,0)</f>
        <v>1</v>
      </c>
      <c r="FE60" s="28" t="n">
        <f aca="false">IF(ISNUMBER(AH60),DA60,0)</f>
        <v>2</v>
      </c>
      <c r="FF60" s="28" t="n">
        <f aca="false">IF(ISNUMBER(AL60),DB60,0)</f>
        <v>0</v>
      </c>
      <c r="FG60" s="28" t="n">
        <f aca="false">IF(ISNUMBER(AP60),DC60,0)</f>
        <v>0</v>
      </c>
      <c r="FH60" s="28" t="n">
        <f aca="false">IF(ISNUMBER(AT60),DD60,0)</f>
        <v>0</v>
      </c>
      <c r="FI60" s="28" t="n">
        <f aca="false">IF(ISNUMBER(AX60),DE60,0)</f>
        <v>0</v>
      </c>
      <c r="FJ60" s="28" t="n">
        <f aca="false">IF(ISNUMBER(BB60),DF60,0)</f>
        <v>0</v>
      </c>
      <c r="FK60" s="28" t="n">
        <f aca="false">IF(ISNUMBER(BF60),DG60,0)</f>
        <v>0</v>
      </c>
      <c r="FL60" s="28" t="n">
        <f aca="false">IF(ISNUMBER(BJ60),DH60,0)</f>
        <v>0</v>
      </c>
      <c r="FM60" s="28" t="n">
        <f aca="false">IF(ISNUMBER(BN60),DI60,0)</f>
        <v>0</v>
      </c>
      <c r="FN60" s="28" t="n">
        <f aca="false">IF(ISNUMBER(BR60),DJ60,0)</f>
        <v>0</v>
      </c>
      <c r="FO60" s="28" t="str">
        <f aca="false">IFERROR(INDEX(Lists!$G$2:$G$20,MATCH($I60&amp;"|"&amp;$J60,Lists!$F$2:$F$20,0)),"")</f>
        <v>Econ Exam</v>
      </c>
    </row>
    <row r="61" customFormat="false" ht="19.5" hidden="false" customHeight="true" outlineLevel="0" collapsed="false">
      <c r="A61" s="29" t="s">
        <v>253</v>
      </c>
      <c r="B61" s="29" t="s">
        <v>254</v>
      </c>
      <c r="C61" s="30" t="s">
        <v>152</v>
      </c>
      <c r="D61" s="30" t="s">
        <v>246</v>
      </c>
      <c r="E61" s="31" t="n">
        <v>5.9</v>
      </c>
      <c r="F61" s="30" t="n">
        <v>6</v>
      </c>
      <c r="G61" s="30"/>
      <c r="H61" s="32" t="s">
        <v>23</v>
      </c>
      <c r="I61" s="33" t="s">
        <v>229</v>
      </c>
      <c r="J61" s="32" t="s">
        <v>25</v>
      </c>
      <c r="K61" s="34" t="n">
        <f aca="false">IF(OR(M61="",$E61=""),"",M61-$E61)</f>
        <v>0.0999999999999996</v>
      </c>
      <c r="L61" s="35" t="n">
        <f aca="false">IF(SUM(FA61:FN61)=0,"",SUM(EM61:EZ61)/SUM(FA61:FN61))</f>
        <v>76.5093795093795</v>
      </c>
      <c r="M61" s="36" t="n">
        <f aca="false">IF(OR(L61="",FO61=""),"",IFERROR(MATCH(L61,INDEX(Boundaries!$B$2:$I$30,MATCH(FO61,Boundaries!$A$2:$A$30,0),0),1)-1,""))</f>
        <v>6</v>
      </c>
      <c r="N61" s="37" t="n">
        <f aca="false">IF(COUNT($DY61:$EL61)&lt;2,"",INDEX($DK61:$DX61,MAX($DY61:$EL61))-INDEX($DK61:$DX61,MIN($DY61:$EL61)))</f>
        <v>2</v>
      </c>
      <c r="O61" s="37" t="n">
        <f aca="false">IF(COUNT($DY61:$EL61)&lt;2,"",INDEX($DK61:$DX61,MAX($DY61:$EL61))-INDEX($DK61:$DX61,LARGE($DY61:$EL61,2)))</f>
        <v>2</v>
      </c>
      <c r="P61" s="38" t="str">
        <f aca="false">IF(K61="","",IF(K61&gt;=0,"On/above target",IF(AND(N61&lt;&gt;"",N61&gt;=0.5),"Improving towards target",IF(AND(O61&lt;&gt;"",O61&lt;=-0.5),"Declining","Stable below target"))))</f>
        <v>On/above target</v>
      </c>
      <c r="Q61" s="39" t="n">
        <v>22</v>
      </c>
      <c r="R61" s="40" t="n">
        <f aca="false">IF(OR(Q61="",BU61=""),"",Q61/BU61*100)</f>
        <v>73.3333333333333</v>
      </c>
      <c r="S61" s="41" t="n">
        <f aca="false">IF(R61="","",IFERROR(MATCH(R61,INDEX(Boundaries!$B$2:$I$30,MATCH(CI61,Boundaries!$A$2:$A$30,0),0),1)-1,""))</f>
        <v>5</v>
      </c>
      <c r="T61" s="42" t="n">
        <f aca="false">IF(OR(S61="",$E61=""),"",S61-$E61)</f>
        <v>-0.9</v>
      </c>
      <c r="U61" s="39" t="n">
        <v>20</v>
      </c>
      <c r="V61" s="40" t="n">
        <f aca="false">IF(OR(U61="",BV61=""),"",U61/BV61*100)</f>
        <v>83.3333333333333</v>
      </c>
      <c r="W61" s="41" t="n">
        <f aca="false">IF(V61="","",IFERROR(MATCH(V61,INDEX(Boundaries!$B$2:$I$30,MATCH(CJ61,Boundaries!$A$2:$A$30,0),0),1)-1,""))</f>
        <v>6</v>
      </c>
      <c r="X61" s="42" t="n">
        <f aca="false">IF(OR(W61="",$E61=""),"",W61-$E61)</f>
        <v>0.0999999999999996</v>
      </c>
      <c r="Y61" s="39" t="n">
        <v>13</v>
      </c>
      <c r="Z61" s="40" t="n">
        <f aca="false">IF(OR(Y61="",BW61=""),"",Y61/BW61*100)</f>
        <v>52</v>
      </c>
      <c r="AA61" s="41" t="n">
        <f aca="false">IF(Z61="","",IFERROR(MATCH(Z61,INDEX(Boundaries!$B$2:$I$30,MATCH(CK61,Boundaries!$A$2:$A$30,0),0),1)-1,""))</f>
        <v>4</v>
      </c>
      <c r="AB61" s="42" t="n">
        <f aca="false">IF(OR(AA61="",$E61=""),"",AA61-$E61)</f>
        <v>-1.9</v>
      </c>
      <c r="AC61" s="39" t="n">
        <v>24</v>
      </c>
      <c r="AD61" s="40" t="n">
        <f aca="false">IF(OR(AC61="",BX61=""),"",AC61/BX61*100)</f>
        <v>68.5714285714286</v>
      </c>
      <c r="AE61" s="41" t="n">
        <f aca="false">IF(AD61="","",IFERROR(MATCH(AD61,INDEX(Boundaries!$B$2:$I$30,MATCH(CL61,Boundaries!$A$2:$A$30,0),0),1)-1,""))</f>
        <v>5</v>
      </c>
      <c r="AF61" s="42" t="n">
        <f aca="false">IF(OR(AE61="",$E61=""),"",AE61-$E61)</f>
        <v>-0.9</v>
      </c>
      <c r="AG61" s="39" t="n">
        <v>50</v>
      </c>
      <c r="AH61" s="40" t="n">
        <f aca="false">IF(OR(AG61="",BY61=""),"",AG61/BY61*100)</f>
        <v>90.9090909090909</v>
      </c>
      <c r="AI61" s="41" t="n">
        <f aca="false">IF(AH61="","",IFERROR(MATCH(AH61,INDEX(Boundaries!$B$2:$I$30,MATCH(CM61,Boundaries!$A$2:$A$30,0),0),1)-1,""))</f>
        <v>7</v>
      </c>
      <c r="AJ61" s="42" t="n">
        <f aca="false">IF(OR(AI61="",$E61=""),"",AI61-$E61)</f>
        <v>1.1</v>
      </c>
      <c r="AK61" s="39"/>
      <c r="AL61" s="40" t="str">
        <f aca="false">IF(OR(AK61="",BZ61=""),"",AK61/BZ61*100)</f>
        <v/>
      </c>
      <c r="AM61" s="41" t="str">
        <f aca="false">IF(AL61="","",IFERROR(MATCH(AL61,INDEX(Boundaries!$B$2:$I$30,MATCH(CN61,Boundaries!$A$2:$A$30,0),0),1)-1,""))</f>
        <v/>
      </c>
      <c r="AN61" s="42" t="str">
        <f aca="false">IF(OR(AM61="",$E61=""),"",AM61-$E61)</f>
        <v/>
      </c>
      <c r="AO61" s="39"/>
      <c r="AP61" s="40" t="str">
        <f aca="false">IF(OR(AO61="",CA61=""),"",AO61/CA61*100)</f>
        <v/>
      </c>
      <c r="AQ61" s="41" t="str">
        <f aca="false">IF(AP61="","",IFERROR(MATCH(AP61,INDEX(Boundaries!$B$2:$I$30,MATCH(CO61,Boundaries!$A$2:$A$30,0),0),1)-1,""))</f>
        <v/>
      </c>
      <c r="AR61" s="42" t="str">
        <f aca="false">IF(OR(AQ61="",$E61=""),"",AQ61-$E61)</f>
        <v/>
      </c>
      <c r="AS61" s="39"/>
      <c r="AT61" s="40" t="str">
        <f aca="false">IF(OR(AS61="",CB61=""),"",AS61/CB61*100)</f>
        <v/>
      </c>
      <c r="AU61" s="41" t="str">
        <f aca="false">IF(AT61="","",IFERROR(MATCH(AT61,INDEX(Boundaries!$B$2:$I$30,MATCH(CP61,Boundaries!$A$2:$A$30,0),0),1)-1,""))</f>
        <v/>
      </c>
      <c r="AV61" s="42" t="str">
        <f aca="false">IF(OR(AU61="",$E61=""),"",AU61-$E61)</f>
        <v/>
      </c>
      <c r="AW61" s="39"/>
      <c r="AX61" s="40" t="str">
        <f aca="false">IF(OR(AW61="",CC61=""),"",AW61/CC61*100)</f>
        <v/>
      </c>
      <c r="AY61" s="41" t="str">
        <f aca="false">IF(AX61="","",IFERROR(MATCH(AX61,INDEX(Boundaries!$B$2:$I$30,MATCH(CQ61,Boundaries!$A$2:$A$30,0),0),1)-1,""))</f>
        <v/>
      </c>
      <c r="AZ61" s="42" t="str">
        <f aca="false">IF(OR(AY61="",$E61=""),"",AY61-$E61)</f>
        <v/>
      </c>
      <c r="BA61" s="39"/>
      <c r="BB61" s="40" t="str">
        <f aca="false">IF(OR(BA61="",CD61=""),"",BA61/CD61*100)</f>
        <v/>
      </c>
      <c r="BC61" s="41" t="str">
        <f aca="false">IF(BB61="","",IFERROR(MATCH(BB61,INDEX(Boundaries!$B$2:$I$30,MATCH(CR61,Boundaries!$A$2:$A$30,0),0),1)-1,""))</f>
        <v/>
      </c>
      <c r="BD61" s="42" t="str">
        <f aca="false">IF(OR(BC61="",$E61=""),"",BC61-$E61)</f>
        <v/>
      </c>
      <c r="BE61" s="39"/>
      <c r="BF61" s="40" t="str">
        <f aca="false">IF(OR(BE61="",CE61=""),"",BE61/CE61*100)</f>
        <v/>
      </c>
      <c r="BG61" s="41" t="str">
        <f aca="false">IF(BF61="","",IFERROR(MATCH(BF61,INDEX(Boundaries!$B$2:$I$30,MATCH(CS61,Boundaries!$A$2:$A$30,0),0),1)-1,""))</f>
        <v/>
      </c>
      <c r="BH61" s="42" t="str">
        <f aca="false">IF(OR(BG61="",$E61=""),"",BG61-$E61)</f>
        <v/>
      </c>
      <c r="BI61" s="39"/>
      <c r="BJ61" s="40" t="str">
        <f aca="false">IF(OR(BI61="",CF61=""),"",BI61/CF61*100)</f>
        <v/>
      </c>
      <c r="BK61" s="41" t="str">
        <f aca="false">IF(BJ61="","",IFERROR(MATCH(BJ61,INDEX(Boundaries!$B$2:$I$30,MATCH(CT61,Boundaries!$A$2:$A$30,0),0),1)-1,""))</f>
        <v/>
      </c>
      <c r="BL61" s="42" t="str">
        <f aca="false">IF(OR(BK61="",$E61=""),"",BK61-$E61)</f>
        <v/>
      </c>
      <c r="BM61" s="39"/>
      <c r="BN61" s="40" t="str">
        <f aca="false">IF(OR(BM61="",CG61=""),"",BM61/CG61*100)</f>
        <v/>
      </c>
      <c r="BO61" s="41" t="str">
        <f aca="false">IF(BN61="","",IFERROR(MATCH(BN61,INDEX(Boundaries!$B$2:$I$30,MATCH(CU61,Boundaries!$A$2:$A$30,0),0),1)-1,""))</f>
        <v/>
      </c>
      <c r="BP61" s="42" t="str">
        <f aca="false">IF(OR(BO61="",$E61=""),"",BO61-$E61)</f>
        <v/>
      </c>
      <c r="BQ61" s="39"/>
      <c r="BR61" s="40" t="str">
        <f aca="false">IF(OR(BQ61="",CH61=""),"",BQ61/CH61*100)</f>
        <v/>
      </c>
      <c r="BS61" s="41" t="str">
        <f aca="false">IF(BR61="","",IFERROR(MATCH(BR61,INDEX(Boundaries!$B$2:$I$30,MATCH(CV61,Boundaries!$A$2:$A$30,0),0),1)-1,""))</f>
        <v/>
      </c>
      <c r="BT61" s="42" t="str">
        <f aca="false">IF(OR(BS61="",$E61=""),"",BS61-$E61)</f>
        <v/>
      </c>
      <c r="BU61" s="28" t="n">
        <f aca="false">IFERROR(INDEX(Assessments!$H$2:$H$600,MATCH($H61&amp;"|"&amp;$I61&amp;"|"&amp;$J61&amp;"|"&amp;1,Assessments!$A$2:$A$600,0)),"")</f>
        <v>30</v>
      </c>
      <c r="BV61" s="28" t="n">
        <f aca="false">IFERROR(INDEX(Assessments!$H$2:$H$600,MATCH($H61&amp;"|"&amp;$I61&amp;"|"&amp;$J61&amp;"|"&amp;2,Assessments!$A$2:$A$600,0)),"")</f>
        <v>24</v>
      </c>
      <c r="BW61" s="28" t="n">
        <f aca="false">IFERROR(INDEX(Assessments!$H$2:$H$600,MATCH($H61&amp;"|"&amp;$I61&amp;"|"&amp;$J61&amp;"|"&amp;3,Assessments!$A$2:$A$600,0)),"")</f>
        <v>25</v>
      </c>
      <c r="BX61" s="28" t="n">
        <f aca="false">IFERROR(INDEX(Assessments!$H$2:$H$600,MATCH($H61&amp;"|"&amp;$I61&amp;"|"&amp;$J61&amp;"|"&amp;4,Assessments!$A$2:$A$600,0)),"")</f>
        <v>35</v>
      </c>
      <c r="BY61" s="28" t="n">
        <f aca="false">IFERROR(INDEX(Assessments!$H$2:$H$600,MATCH($H61&amp;"|"&amp;$I61&amp;"|"&amp;$J61&amp;"|"&amp;5,Assessments!$A$2:$A$600,0)),"")</f>
        <v>55</v>
      </c>
      <c r="BZ61" s="28" t="n">
        <f aca="false">IFERROR(INDEX(Assessments!$H$2:$H$600,MATCH($H61&amp;"|"&amp;$I61&amp;"|"&amp;$J61&amp;"|"&amp;6,Assessments!$A$2:$A$600,0)),"")</f>
        <v>30</v>
      </c>
      <c r="CA61" s="28" t="n">
        <f aca="false">IFERROR(INDEX(Assessments!$H$2:$H$600,MATCH($H61&amp;"|"&amp;$I61&amp;"|"&amp;$J61&amp;"|"&amp;7,Assessments!$A$2:$A$600,0)),"")</f>
        <v>95</v>
      </c>
      <c r="CB61" s="28" t="str">
        <f aca="false">IFERROR(INDEX(Assessments!$H$2:$H$600,MATCH($H61&amp;"|"&amp;$I61&amp;"|"&amp;$J61&amp;"|"&amp;8,Assessments!$A$2:$A$600,0)),"")</f>
        <v/>
      </c>
      <c r="CC61" s="28" t="str">
        <f aca="false">IFERROR(INDEX(Assessments!$H$2:$H$600,MATCH($H61&amp;"|"&amp;$I61&amp;"|"&amp;$J61&amp;"|"&amp;9,Assessments!$A$2:$A$600,0)),"")</f>
        <v/>
      </c>
      <c r="CD61" s="28" t="str">
        <f aca="false">IFERROR(INDEX(Assessments!$H$2:$H$600,MATCH($H61&amp;"|"&amp;$I61&amp;"|"&amp;$J61&amp;"|"&amp;10,Assessments!$A$2:$A$600,0)),"")</f>
        <v/>
      </c>
      <c r="CE61" s="28" t="str">
        <f aca="false">IFERROR(INDEX(Assessments!$H$2:$H$600,MATCH($H61&amp;"|"&amp;$I61&amp;"|"&amp;$J61&amp;"|"&amp;11,Assessments!$A$2:$A$600,0)),"")</f>
        <v/>
      </c>
      <c r="CF61" s="28" t="str">
        <f aca="false">IFERROR(INDEX(Assessments!$H$2:$H$600,MATCH($H61&amp;"|"&amp;$I61&amp;"|"&amp;$J61&amp;"|"&amp;12,Assessments!$A$2:$A$600,0)),"")</f>
        <v/>
      </c>
      <c r="CG61" s="28" t="str">
        <f aca="false">IFERROR(INDEX(Assessments!$H$2:$H$600,MATCH($H61&amp;"|"&amp;$I61&amp;"|"&amp;$J61&amp;"|"&amp;13,Assessments!$A$2:$A$600,0)),"")</f>
        <v/>
      </c>
      <c r="CH61" s="28" t="str">
        <f aca="false">IFERROR(INDEX(Assessments!$H$2:$H$600,MATCH($H61&amp;"|"&amp;$I61&amp;"|"&amp;$J61&amp;"|"&amp;14,Assessments!$A$2:$A$600,0)),"")</f>
        <v/>
      </c>
      <c r="CI61" s="28" t="str">
        <f aca="false">IFERROR(INDEX(Assessments!$I$2:$I$600,MATCH($H61&amp;"|"&amp;$I61&amp;"|"&amp;$J61&amp;"|"&amp;1,Assessments!$A$2:$A$600,0)),"")</f>
        <v>Econ Test</v>
      </c>
      <c r="CJ61" s="28" t="str">
        <f aca="false">IFERROR(INDEX(Assessments!$I$2:$I$600,MATCH($H61&amp;"|"&amp;$I61&amp;"|"&amp;$J61&amp;"|"&amp;2,Assessments!$A$2:$A$600,0)),"")</f>
        <v>Econ Test</v>
      </c>
      <c r="CK61" s="28" t="str">
        <f aca="false">IFERROR(INDEX(Assessments!$I$2:$I$600,MATCH($H61&amp;"|"&amp;$I61&amp;"|"&amp;$J61&amp;"|"&amp;3,Assessments!$A$2:$A$600,0)),"")</f>
        <v>Econ Test</v>
      </c>
      <c r="CL61" s="28" t="str">
        <f aca="false">IFERROR(INDEX(Assessments!$I$2:$I$600,MATCH($H61&amp;"|"&amp;$I61&amp;"|"&amp;$J61&amp;"|"&amp;4,Assessments!$A$2:$A$600,0)),"")</f>
        <v>Econ Test</v>
      </c>
      <c r="CM61" s="28" t="str">
        <f aca="false">IFERROR(INDEX(Assessments!$I$2:$I$600,MATCH($H61&amp;"|"&amp;$I61&amp;"|"&amp;$J61&amp;"|"&amp;5,Assessments!$A$2:$A$600,0)),"")</f>
        <v>Econ Exam</v>
      </c>
      <c r="CN61" s="28" t="str">
        <f aca="false">IFERROR(INDEX(Assessments!$I$2:$I$600,MATCH($H61&amp;"|"&amp;$I61&amp;"|"&amp;$J61&amp;"|"&amp;6,Assessments!$A$2:$A$600,0)),"")</f>
        <v>Econ Test</v>
      </c>
      <c r="CO61" s="28" t="str">
        <f aca="false">IFERROR(INDEX(Assessments!$I$2:$I$600,MATCH($H61&amp;"|"&amp;$I61&amp;"|"&amp;$J61&amp;"|"&amp;7,Assessments!$A$2:$A$600,0)),"")</f>
        <v>Econ Exam</v>
      </c>
      <c r="CP61" s="28" t="str">
        <f aca="false">IFERROR(INDEX(Assessments!$I$2:$I$600,MATCH($H61&amp;"|"&amp;$I61&amp;"|"&amp;$J61&amp;"|"&amp;8,Assessments!$A$2:$A$600,0)),"")</f>
        <v/>
      </c>
      <c r="CQ61" s="28" t="str">
        <f aca="false">IFERROR(INDEX(Assessments!$I$2:$I$600,MATCH($H61&amp;"|"&amp;$I61&amp;"|"&amp;$J61&amp;"|"&amp;9,Assessments!$A$2:$A$600,0)),"")</f>
        <v/>
      </c>
      <c r="CR61" s="28" t="str">
        <f aca="false">IFERROR(INDEX(Assessments!$I$2:$I$600,MATCH($H61&amp;"|"&amp;$I61&amp;"|"&amp;$J61&amp;"|"&amp;10,Assessments!$A$2:$A$600,0)),"")</f>
        <v/>
      </c>
      <c r="CS61" s="28" t="str">
        <f aca="false">IFERROR(INDEX(Assessments!$I$2:$I$600,MATCH($H61&amp;"|"&amp;$I61&amp;"|"&amp;$J61&amp;"|"&amp;11,Assessments!$A$2:$A$600,0)),"")</f>
        <v/>
      </c>
      <c r="CT61" s="28" t="str">
        <f aca="false">IFERROR(INDEX(Assessments!$I$2:$I$600,MATCH($H61&amp;"|"&amp;$I61&amp;"|"&amp;$J61&amp;"|"&amp;12,Assessments!$A$2:$A$600,0)),"")</f>
        <v/>
      </c>
      <c r="CU61" s="28" t="str">
        <f aca="false">IFERROR(INDEX(Assessments!$I$2:$I$600,MATCH($H61&amp;"|"&amp;$I61&amp;"|"&amp;$J61&amp;"|"&amp;13,Assessments!$A$2:$A$600,0)),"")</f>
        <v/>
      </c>
      <c r="CV61" s="28" t="str">
        <f aca="false">IFERROR(INDEX(Assessments!$I$2:$I$600,MATCH($H61&amp;"|"&amp;$I61&amp;"|"&amp;$J61&amp;"|"&amp;14,Assessments!$A$2:$A$600,0)),"")</f>
        <v/>
      </c>
      <c r="CW61" s="28" t="n">
        <f aca="false">IFERROR(INDEX(Assessments!$J$2:$J$600,MATCH($H61&amp;"|"&amp;$I61&amp;"|"&amp;$J61&amp;"|"&amp;1,Assessments!$A$2:$A$600,0)),0)</f>
        <v>1</v>
      </c>
      <c r="CX61" s="28" t="n">
        <f aca="false">IFERROR(INDEX(Assessments!$J$2:$J$600,MATCH($H61&amp;"|"&amp;$I61&amp;"|"&amp;$J61&amp;"|"&amp;2,Assessments!$A$2:$A$600,0)),0)</f>
        <v>1</v>
      </c>
      <c r="CY61" s="28" t="n">
        <f aca="false">IFERROR(INDEX(Assessments!$J$2:$J$600,MATCH($H61&amp;"|"&amp;$I61&amp;"|"&amp;$J61&amp;"|"&amp;3,Assessments!$A$2:$A$600,0)),0)</f>
        <v>1</v>
      </c>
      <c r="CZ61" s="28" t="n">
        <f aca="false">IFERROR(INDEX(Assessments!$J$2:$J$600,MATCH($H61&amp;"|"&amp;$I61&amp;"|"&amp;$J61&amp;"|"&amp;4,Assessments!$A$2:$A$600,0)),0)</f>
        <v>1</v>
      </c>
      <c r="DA61" s="28" t="n">
        <f aca="false">IFERROR(INDEX(Assessments!$J$2:$J$600,MATCH($H61&amp;"|"&amp;$I61&amp;"|"&amp;$J61&amp;"|"&amp;5,Assessments!$A$2:$A$600,0)),0)</f>
        <v>2</v>
      </c>
      <c r="DB61" s="28" t="n">
        <f aca="false">IFERROR(INDEX(Assessments!$J$2:$J$600,MATCH($H61&amp;"|"&amp;$I61&amp;"|"&amp;$J61&amp;"|"&amp;6,Assessments!$A$2:$A$600,0)),0)</f>
        <v>1</v>
      </c>
      <c r="DC61" s="28" t="n">
        <f aca="false">IFERROR(INDEX(Assessments!$J$2:$J$600,MATCH($H61&amp;"|"&amp;$I61&amp;"|"&amp;$J61&amp;"|"&amp;7,Assessments!$A$2:$A$600,0)),0)</f>
        <v>2</v>
      </c>
      <c r="DD61" s="28" t="n">
        <f aca="false">IFERROR(INDEX(Assessments!$J$2:$J$600,MATCH($H61&amp;"|"&amp;$I61&amp;"|"&amp;$J61&amp;"|"&amp;8,Assessments!$A$2:$A$600,0)),0)</f>
        <v>0</v>
      </c>
      <c r="DE61" s="28" t="n">
        <f aca="false">IFERROR(INDEX(Assessments!$J$2:$J$600,MATCH($H61&amp;"|"&amp;$I61&amp;"|"&amp;$J61&amp;"|"&amp;9,Assessments!$A$2:$A$600,0)),0)</f>
        <v>0</v>
      </c>
      <c r="DF61" s="28" t="n">
        <f aca="false">IFERROR(INDEX(Assessments!$J$2:$J$600,MATCH($H61&amp;"|"&amp;$I61&amp;"|"&amp;$J61&amp;"|"&amp;10,Assessments!$A$2:$A$600,0)),0)</f>
        <v>0</v>
      </c>
      <c r="DG61" s="28" t="n">
        <f aca="false">IFERROR(INDEX(Assessments!$J$2:$J$600,MATCH($H61&amp;"|"&amp;$I61&amp;"|"&amp;$J61&amp;"|"&amp;11,Assessments!$A$2:$A$600,0)),0)</f>
        <v>0</v>
      </c>
      <c r="DH61" s="28" t="n">
        <f aca="false">IFERROR(INDEX(Assessments!$J$2:$J$600,MATCH($H61&amp;"|"&amp;$I61&amp;"|"&amp;$J61&amp;"|"&amp;12,Assessments!$A$2:$A$600,0)),0)</f>
        <v>0</v>
      </c>
      <c r="DI61" s="28" t="n">
        <f aca="false">IFERROR(INDEX(Assessments!$J$2:$J$600,MATCH($H61&amp;"|"&amp;$I61&amp;"|"&amp;$J61&amp;"|"&amp;13,Assessments!$A$2:$A$600,0)),0)</f>
        <v>0</v>
      </c>
      <c r="DJ61" s="28" t="n">
        <f aca="false">IFERROR(INDEX(Assessments!$J$2:$J$600,MATCH($H61&amp;"|"&amp;$I61&amp;"|"&amp;$J61&amp;"|"&amp;14,Assessments!$A$2:$A$600,0)),0)</f>
        <v>0</v>
      </c>
      <c r="DK61" s="28" t="n">
        <f aca="false">S61</f>
        <v>5</v>
      </c>
      <c r="DL61" s="28" t="n">
        <f aca="false">W61</f>
        <v>6</v>
      </c>
      <c r="DM61" s="28" t="n">
        <f aca="false">AA61</f>
        <v>4</v>
      </c>
      <c r="DN61" s="28" t="n">
        <f aca="false">AE61</f>
        <v>5</v>
      </c>
      <c r="DO61" s="28" t="n">
        <f aca="false">AI61</f>
        <v>7</v>
      </c>
      <c r="DP61" s="28" t="str">
        <f aca="false">AM61</f>
        <v/>
      </c>
      <c r="DQ61" s="28" t="str">
        <f aca="false">AQ61</f>
        <v/>
      </c>
      <c r="DR61" s="28" t="str">
        <f aca="false">AU61</f>
        <v/>
      </c>
      <c r="DS61" s="28" t="str">
        <f aca="false">AY61</f>
        <v/>
      </c>
      <c r="DT61" s="28" t="str">
        <f aca="false">BC61</f>
        <v/>
      </c>
      <c r="DU61" s="28" t="str">
        <f aca="false">BG61</f>
        <v/>
      </c>
      <c r="DV61" s="28" t="str">
        <f aca="false">BK61</f>
        <v/>
      </c>
      <c r="DW61" s="28" t="str">
        <f aca="false">BO61</f>
        <v/>
      </c>
      <c r="DX61" s="28" t="str">
        <f aca="false">BS61</f>
        <v/>
      </c>
      <c r="DY61" s="28" t="n">
        <f aca="false">IF(ISNUMBER(S61),1,"")</f>
        <v>1</v>
      </c>
      <c r="DZ61" s="28" t="n">
        <f aca="false">IF(ISNUMBER(W61),2,"")</f>
        <v>2</v>
      </c>
      <c r="EA61" s="28" t="n">
        <f aca="false">IF(ISNUMBER(AA61),3,"")</f>
        <v>3</v>
      </c>
      <c r="EB61" s="28" t="n">
        <f aca="false">IF(ISNUMBER(AE61),4,"")</f>
        <v>4</v>
      </c>
      <c r="EC61" s="28" t="n">
        <f aca="false">IF(ISNUMBER(AI61),5,"")</f>
        <v>5</v>
      </c>
      <c r="ED61" s="28" t="str">
        <f aca="false">IF(ISNUMBER(AM61),6,"")</f>
        <v/>
      </c>
      <c r="EE61" s="28" t="str">
        <f aca="false">IF(ISNUMBER(AQ61),7,"")</f>
        <v/>
      </c>
      <c r="EF61" s="28" t="str">
        <f aca="false">IF(ISNUMBER(AU61),8,"")</f>
        <v/>
      </c>
      <c r="EG61" s="28" t="str">
        <f aca="false">IF(ISNUMBER(AY61),9,"")</f>
        <v/>
      </c>
      <c r="EH61" s="28" t="str">
        <f aca="false">IF(ISNUMBER(BC61),10,"")</f>
        <v/>
      </c>
      <c r="EI61" s="28" t="str">
        <f aca="false">IF(ISNUMBER(BG61),11,"")</f>
        <v/>
      </c>
      <c r="EJ61" s="28" t="str">
        <f aca="false">IF(ISNUMBER(BK61),12,"")</f>
        <v/>
      </c>
      <c r="EK61" s="28" t="str">
        <f aca="false">IF(ISNUMBER(BO61),13,"")</f>
        <v/>
      </c>
      <c r="EL61" s="28" t="str">
        <f aca="false">IF(ISNUMBER(BS61),14,"")</f>
        <v/>
      </c>
      <c r="EM61" s="28" t="n">
        <f aca="false">IF(ISNUMBER(R61),R61*CW61,0)</f>
        <v>73.3333333333333</v>
      </c>
      <c r="EN61" s="28" t="n">
        <f aca="false">IF(ISNUMBER(V61),V61*CX61,0)</f>
        <v>83.3333333333333</v>
      </c>
      <c r="EO61" s="28" t="n">
        <f aca="false">IF(ISNUMBER(Z61),Z61*CY61,0)</f>
        <v>52</v>
      </c>
      <c r="EP61" s="28" t="n">
        <f aca="false">IF(ISNUMBER(AD61),AD61*CZ61,0)</f>
        <v>68.5714285714286</v>
      </c>
      <c r="EQ61" s="28" t="n">
        <f aca="false">IF(ISNUMBER(AH61),AH61*DA61,0)</f>
        <v>181.818181818182</v>
      </c>
      <c r="ER61" s="28" t="n">
        <f aca="false">IF(ISNUMBER(AL61),AL61*DB61,0)</f>
        <v>0</v>
      </c>
      <c r="ES61" s="28" t="n">
        <f aca="false">IF(ISNUMBER(AP61),AP61*DC61,0)</f>
        <v>0</v>
      </c>
      <c r="ET61" s="28" t="n">
        <f aca="false">IF(ISNUMBER(AT61),AT61*DD61,0)</f>
        <v>0</v>
      </c>
      <c r="EU61" s="28" t="n">
        <f aca="false">IF(ISNUMBER(AX61),AX61*DE61,0)</f>
        <v>0</v>
      </c>
      <c r="EV61" s="28" t="n">
        <f aca="false">IF(ISNUMBER(BB61),BB61*DF61,0)</f>
        <v>0</v>
      </c>
      <c r="EW61" s="28" t="n">
        <f aca="false">IF(ISNUMBER(BF61),BF61*DG61,0)</f>
        <v>0</v>
      </c>
      <c r="EX61" s="28" t="n">
        <f aca="false">IF(ISNUMBER(BJ61),BJ61*DH61,0)</f>
        <v>0</v>
      </c>
      <c r="EY61" s="28" t="n">
        <f aca="false">IF(ISNUMBER(BN61),BN61*DI61,0)</f>
        <v>0</v>
      </c>
      <c r="EZ61" s="28" t="n">
        <f aca="false">IF(ISNUMBER(BR61),BR61*DJ61,0)</f>
        <v>0</v>
      </c>
      <c r="FA61" s="28" t="n">
        <f aca="false">IF(ISNUMBER(R61),CW61,0)</f>
        <v>1</v>
      </c>
      <c r="FB61" s="28" t="n">
        <f aca="false">IF(ISNUMBER(V61),CX61,0)</f>
        <v>1</v>
      </c>
      <c r="FC61" s="28" t="n">
        <f aca="false">IF(ISNUMBER(Z61),CY61,0)</f>
        <v>1</v>
      </c>
      <c r="FD61" s="28" t="n">
        <f aca="false">IF(ISNUMBER(AD61),CZ61,0)</f>
        <v>1</v>
      </c>
      <c r="FE61" s="28" t="n">
        <f aca="false">IF(ISNUMBER(AH61),DA61,0)</f>
        <v>2</v>
      </c>
      <c r="FF61" s="28" t="n">
        <f aca="false">IF(ISNUMBER(AL61),DB61,0)</f>
        <v>0</v>
      </c>
      <c r="FG61" s="28" t="n">
        <f aca="false">IF(ISNUMBER(AP61),DC61,0)</f>
        <v>0</v>
      </c>
      <c r="FH61" s="28" t="n">
        <f aca="false">IF(ISNUMBER(AT61),DD61,0)</f>
        <v>0</v>
      </c>
      <c r="FI61" s="28" t="n">
        <f aca="false">IF(ISNUMBER(AX61),DE61,0)</f>
        <v>0</v>
      </c>
      <c r="FJ61" s="28" t="n">
        <f aca="false">IF(ISNUMBER(BB61),DF61,0)</f>
        <v>0</v>
      </c>
      <c r="FK61" s="28" t="n">
        <f aca="false">IF(ISNUMBER(BF61),DG61,0)</f>
        <v>0</v>
      </c>
      <c r="FL61" s="28" t="n">
        <f aca="false">IF(ISNUMBER(BJ61),DH61,0)</f>
        <v>0</v>
      </c>
      <c r="FM61" s="28" t="n">
        <f aca="false">IF(ISNUMBER(BN61),DI61,0)</f>
        <v>0</v>
      </c>
      <c r="FN61" s="28" t="n">
        <f aca="false">IF(ISNUMBER(BR61),DJ61,0)</f>
        <v>0</v>
      </c>
      <c r="FO61" s="28" t="str">
        <f aca="false">IFERROR(INDEX(Lists!$G$2:$G$20,MATCH($I61&amp;"|"&amp;$J61,Lists!$F$2:$F$20,0)),"")</f>
        <v>Econ Exam</v>
      </c>
    </row>
    <row r="62" customFormat="false" ht="19.5" hidden="false" customHeight="true" outlineLevel="0" collapsed="false">
      <c r="A62" s="29" t="s">
        <v>255</v>
      </c>
      <c r="B62" s="29" t="s">
        <v>256</v>
      </c>
      <c r="C62" s="30" t="s">
        <v>152</v>
      </c>
      <c r="D62" s="30" t="s">
        <v>246</v>
      </c>
      <c r="E62" s="31" t="n">
        <v>6</v>
      </c>
      <c r="F62" s="30" t="n">
        <v>6</v>
      </c>
      <c r="G62" s="30"/>
      <c r="H62" s="32" t="s">
        <v>23</v>
      </c>
      <c r="I62" s="33" t="s">
        <v>229</v>
      </c>
      <c r="J62" s="32" t="s">
        <v>25</v>
      </c>
      <c r="K62" s="34" t="n">
        <f aca="false">IF(OR(M62="",$E62=""),"",M62-$E62)</f>
        <v>0</v>
      </c>
      <c r="L62" s="35" t="n">
        <f aca="false">IF(SUM(FA62:FN62)=0,"",SUM(EM62:EZ62)/SUM(FA62:FN62))</f>
        <v>72.9033189033189</v>
      </c>
      <c r="M62" s="36" t="n">
        <f aca="false">IF(OR(L62="",FO62=""),"",IFERROR(MATCH(L62,INDEX(Boundaries!$B$2:$I$30,MATCH(FO62,Boundaries!$A$2:$A$30,0),0),1)-1,""))</f>
        <v>6</v>
      </c>
      <c r="N62" s="37" t="n">
        <f aca="false">IF(COUNT($DY62:$EL62)&lt;2,"",INDEX($DK62:$DX62,MAX($DY62:$EL62))-INDEX($DK62:$DX62,MIN($DY62:$EL62)))</f>
        <v>1</v>
      </c>
      <c r="O62" s="37" t="n">
        <f aca="false">IF(COUNT($DY62:$EL62)&lt;2,"",INDEX($DK62:$DX62,MAX($DY62:$EL62))-INDEX($DK62:$DX62,LARGE($DY62:$EL62,2)))</f>
        <v>-2</v>
      </c>
      <c r="P62" s="38" t="str">
        <f aca="false">IF(K62="","",IF(K62&gt;=0,"On/above target",IF(AND(N62&lt;&gt;"",N62&gt;=0.5),"Improving towards target",IF(AND(O62&lt;&gt;"",O62&lt;=-0.5),"Declining","Stable below target"))))</f>
        <v>On/above target</v>
      </c>
      <c r="Q62" s="39" t="n">
        <v>19</v>
      </c>
      <c r="R62" s="40" t="n">
        <f aca="false">IF(OR(Q62="",BU62=""),"",Q62/BU62*100)</f>
        <v>63.3333333333333</v>
      </c>
      <c r="S62" s="41" t="n">
        <f aca="false">IF(R62="","",IFERROR(MATCH(R62,INDEX(Boundaries!$B$2:$I$30,MATCH(CI62,Boundaries!$A$2:$A$30,0),0),1)-1,""))</f>
        <v>4</v>
      </c>
      <c r="T62" s="42" t="n">
        <f aca="false">IF(OR(S62="",$E62=""),"",S62-$E62)</f>
        <v>-2</v>
      </c>
      <c r="U62" s="39" t="n">
        <v>20</v>
      </c>
      <c r="V62" s="40" t="n">
        <f aca="false">IF(OR(U62="",BV62=""),"",U62/BV62*100)</f>
        <v>83.3333333333333</v>
      </c>
      <c r="W62" s="41" t="n">
        <f aca="false">IF(V62="","",IFERROR(MATCH(V62,INDEX(Boundaries!$B$2:$I$30,MATCH(CJ62,Boundaries!$A$2:$A$30,0),0),1)-1,""))</f>
        <v>6</v>
      </c>
      <c r="X62" s="42" t="n">
        <f aca="false">IF(OR(W62="",$E62=""),"",W62-$E62)</f>
        <v>0</v>
      </c>
      <c r="Y62" s="39" t="n">
        <v>16</v>
      </c>
      <c r="Z62" s="40" t="n">
        <f aca="false">IF(OR(Y62="",BW62=""),"",Y62/BW62*100)</f>
        <v>64</v>
      </c>
      <c r="AA62" s="41" t="n">
        <f aca="false">IF(Z62="","",IFERROR(MATCH(Z62,INDEX(Boundaries!$B$2:$I$30,MATCH(CK62,Boundaries!$A$2:$A$30,0),0),1)-1,""))</f>
        <v>4</v>
      </c>
      <c r="AB62" s="42" t="n">
        <f aca="false">IF(OR(AA62="",$E62=""),"",AA62-$E62)</f>
        <v>-2</v>
      </c>
      <c r="AC62" s="39" t="n">
        <v>31</v>
      </c>
      <c r="AD62" s="40" t="n">
        <f aca="false">IF(OR(AC62="",BX62=""),"",AC62/BX62*100)</f>
        <v>88.5714285714286</v>
      </c>
      <c r="AE62" s="41" t="n">
        <f aca="false">IF(AD62="","",IFERROR(MATCH(AD62,INDEX(Boundaries!$B$2:$I$30,MATCH(CL62,Boundaries!$A$2:$A$30,0),0),1)-1,""))</f>
        <v>7</v>
      </c>
      <c r="AF62" s="42" t="n">
        <f aca="false">IF(OR(AE62="",$E62=""),"",AE62-$E62)</f>
        <v>1</v>
      </c>
      <c r="AG62" s="39" t="n">
        <v>38</v>
      </c>
      <c r="AH62" s="40" t="n">
        <f aca="false">IF(OR(AG62="",BY62=""),"",AG62/BY62*100)</f>
        <v>69.0909090909091</v>
      </c>
      <c r="AI62" s="41" t="n">
        <f aca="false">IF(AH62="","",IFERROR(MATCH(AH62,INDEX(Boundaries!$B$2:$I$30,MATCH(CM62,Boundaries!$A$2:$A$30,0),0),1)-1,""))</f>
        <v>5</v>
      </c>
      <c r="AJ62" s="42" t="n">
        <f aca="false">IF(OR(AI62="",$E62=""),"",AI62-$E62)</f>
        <v>-1</v>
      </c>
      <c r="AK62" s="39"/>
      <c r="AL62" s="40" t="str">
        <f aca="false">IF(OR(AK62="",BZ62=""),"",AK62/BZ62*100)</f>
        <v/>
      </c>
      <c r="AM62" s="41" t="str">
        <f aca="false">IF(AL62="","",IFERROR(MATCH(AL62,INDEX(Boundaries!$B$2:$I$30,MATCH(CN62,Boundaries!$A$2:$A$30,0),0),1)-1,""))</f>
        <v/>
      </c>
      <c r="AN62" s="42" t="str">
        <f aca="false">IF(OR(AM62="",$E62=""),"",AM62-$E62)</f>
        <v/>
      </c>
      <c r="AO62" s="39"/>
      <c r="AP62" s="40" t="str">
        <f aca="false">IF(OR(AO62="",CA62=""),"",AO62/CA62*100)</f>
        <v/>
      </c>
      <c r="AQ62" s="41" t="str">
        <f aca="false">IF(AP62="","",IFERROR(MATCH(AP62,INDEX(Boundaries!$B$2:$I$30,MATCH(CO62,Boundaries!$A$2:$A$30,0),0),1)-1,""))</f>
        <v/>
      </c>
      <c r="AR62" s="42" t="str">
        <f aca="false">IF(OR(AQ62="",$E62=""),"",AQ62-$E62)</f>
        <v/>
      </c>
      <c r="AS62" s="39"/>
      <c r="AT62" s="40" t="str">
        <f aca="false">IF(OR(AS62="",CB62=""),"",AS62/CB62*100)</f>
        <v/>
      </c>
      <c r="AU62" s="41" t="str">
        <f aca="false">IF(AT62="","",IFERROR(MATCH(AT62,INDEX(Boundaries!$B$2:$I$30,MATCH(CP62,Boundaries!$A$2:$A$30,0),0),1)-1,""))</f>
        <v/>
      </c>
      <c r="AV62" s="42" t="str">
        <f aca="false">IF(OR(AU62="",$E62=""),"",AU62-$E62)</f>
        <v/>
      </c>
      <c r="AW62" s="39"/>
      <c r="AX62" s="40" t="str">
        <f aca="false">IF(OR(AW62="",CC62=""),"",AW62/CC62*100)</f>
        <v/>
      </c>
      <c r="AY62" s="41" t="str">
        <f aca="false">IF(AX62="","",IFERROR(MATCH(AX62,INDEX(Boundaries!$B$2:$I$30,MATCH(CQ62,Boundaries!$A$2:$A$30,0),0),1)-1,""))</f>
        <v/>
      </c>
      <c r="AZ62" s="42" t="str">
        <f aca="false">IF(OR(AY62="",$E62=""),"",AY62-$E62)</f>
        <v/>
      </c>
      <c r="BA62" s="39"/>
      <c r="BB62" s="40" t="str">
        <f aca="false">IF(OR(BA62="",CD62=""),"",BA62/CD62*100)</f>
        <v/>
      </c>
      <c r="BC62" s="41" t="str">
        <f aca="false">IF(BB62="","",IFERROR(MATCH(BB62,INDEX(Boundaries!$B$2:$I$30,MATCH(CR62,Boundaries!$A$2:$A$30,0),0),1)-1,""))</f>
        <v/>
      </c>
      <c r="BD62" s="42" t="str">
        <f aca="false">IF(OR(BC62="",$E62=""),"",BC62-$E62)</f>
        <v/>
      </c>
      <c r="BE62" s="39"/>
      <c r="BF62" s="40" t="str">
        <f aca="false">IF(OR(BE62="",CE62=""),"",BE62/CE62*100)</f>
        <v/>
      </c>
      <c r="BG62" s="41" t="str">
        <f aca="false">IF(BF62="","",IFERROR(MATCH(BF62,INDEX(Boundaries!$B$2:$I$30,MATCH(CS62,Boundaries!$A$2:$A$30,0),0),1)-1,""))</f>
        <v/>
      </c>
      <c r="BH62" s="42" t="str">
        <f aca="false">IF(OR(BG62="",$E62=""),"",BG62-$E62)</f>
        <v/>
      </c>
      <c r="BI62" s="39"/>
      <c r="BJ62" s="40" t="str">
        <f aca="false">IF(OR(BI62="",CF62=""),"",BI62/CF62*100)</f>
        <v/>
      </c>
      <c r="BK62" s="41" t="str">
        <f aca="false">IF(BJ62="","",IFERROR(MATCH(BJ62,INDEX(Boundaries!$B$2:$I$30,MATCH(CT62,Boundaries!$A$2:$A$30,0),0),1)-1,""))</f>
        <v/>
      </c>
      <c r="BL62" s="42" t="str">
        <f aca="false">IF(OR(BK62="",$E62=""),"",BK62-$E62)</f>
        <v/>
      </c>
      <c r="BM62" s="39"/>
      <c r="BN62" s="40" t="str">
        <f aca="false">IF(OR(BM62="",CG62=""),"",BM62/CG62*100)</f>
        <v/>
      </c>
      <c r="BO62" s="41" t="str">
        <f aca="false">IF(BN62="","",IFERROR(MATCH(BN62,INDEX(Boundaries!$B$2:$I$30,MATCH(CU62,Boundaries!$A$2:$A$30,0),0),1)-1,""))</f>
        <v/>
      </c>
      <c r="BP62" s="42" t="str">
        <f aca="false">IF(OR(BO62="",$E62=""),"",BO62-$E62)</f>
        <v/>
      </c>
      <c r="BQ62" s="39"/>
      <c r="BR62" s="40" t="str">
        <f aca="false">IF(OR(BQ62="",CH62=""),"",BQ62/CH62*100)</f>
        <v/>
      </c>
      <c r="BS62" s="41" t="str">
        <f aca="false">IF(BR62="","",IFERROR(MATCH(BR62,INDEX(Boundaries!$B$2:$I$30,MATCH(CV62,Boundaries!$A$2:$A$30,0),0),1)-1,""))</f>
        <v/>
      </c>
      <c r="BT62" s="42" t="str">
        <f aca="false">IF(OR(BS62="",$E62=""),"",BS62-$E62)</f>
        <v/>
      </c>
      <c r="BU62" s="28" t="n">
        <f aca="false">IFERROR(INDEX(Assessments!$H$2:$H$600,MATCH($H62&amp;"|"&amp;$I62&amp;"|"&amp;$J62&amp;"|"&amp;1,Assessments!$A$2:$A$600,0)),"")</f>
        <v>30</v>
      </c>
      <c r="BV62" s="28" t="n">
        <f aca="false">IFERROR(INDEX(Assessments!$H$2:$H$600,MATCH($H62&amp;"|"&amp;$I62&amp;"|"&amp;$J62&amp;"|"&amp;2,Assessments!$A$2:$A$600,0)),"")</f>
        <v>24</v>
      </c>
      <c r="BW62" s="28" t="n">
        <f aca="false">IFERROR(INDEX(Assessments!$H$2:$H$600,MATCH($H62&amp;"|"&amp;$I62&amp;"|"&amp;$J62&amp;"|"&amp;3,Assessments!$A$2:$A$600,0)),"")</f>
        <v>25</v>
      </c>
      <c r="BX62" s="28" t="n">
        <f aca="false">IFERROR(INDEX(Assessments!$H$2:$H$600,MATCH($H62&amp;"|"&amp;$I62&amp;"|"&amp;$J62&amp;"|"&amp;4,Assessments!$A$2:$A$600,0)),"")</f>
        <v>35</v>
      </c>
      <c r="BY62" s="28" t="n">
        <f aca="false">IFERROR(INDEX(Assessments!$H$2:$H$600,MATCH($H62&amp;"|"&amp;$I62&amp;"|"&amp;$J62&amp;"|"&amp;5,Assessments!$A$2:$A$600,0)),"")</f>
        <v>55</v>
      </c>
      <c r="BZ62" s="28" t="n">
        <f aca="false">IFERROR(INDEX(Assessments!$H$2:$H$600,MATCH($H62&amp;"|"&amp;$I62&amp;"|"&amp;$J62&amp;"|"&amp;6,Assessments!$A$2:$A$600,0)),"")</f>
        <v>30</v>
      </c>
      <c r="CA62" s="28" t="n">
        <f aca="false">IFERROR(INDEX(Assessments!$H$2:$H$600,MATCH($H62&amp;"|"&amp;$I62&amp;"|"&amp;$J62&amp;"|"&amp;7,Assessments!$A$2:$A$600,0)),"")</f>
        <v>95</v>
      </c>
      <c r="CB62" s="28" t="str">
        <f aca="false">IFERROR(INDEX(Assessments!$H$2:$H$600,MATCH($H62&amp;"|"&amp;$I62&amp;"|"&amp;$J62&amp;"|"&amp;8,Assessments!$A$2:$A$600,0)),"")</f>
        <v/>
      </c>
      <c r="CC62" s="28" t="str">
        <f aca="false">IFERROR(INDEX(Assessments!$H$2:$H$600,MATCH($H62&amp;"|"&amp;$I62&amp;"|"&amp;$J62&amp;"|"&amp;9,Assessments!$A$2:$A$600,0)),"")</f>
        <v/>
      </c>
      <c r="CD62" s="28" t="str">
        <f aca="false">IFERROR(INDEX(Assessments!$H$2:$H$600,MATCH($H62&amp;"|"&amp;$I62&amp;"|"&amp;$J62&amp;"|"&amp;10,Assessments!$A$2:$A$600,0)),"")</f>
        <v/>
      </c>
      <c r="CE62" s="28" t="str">
        <f aca="false">IFERROR(INDEX(Assessments!$H$2:$H$600,MATCH($H62&amp;"|"&amp;$I62&amp;"|"&amp;$J62&amp;"|"&amp;11,Assessments!$A$2:$A$600,0)),"")</f>
        <v/>
      </c>
      <c r="CF62" s="28" t="str">
        <f aca="false">IFERROR(INDEX(Assessments!$H$2:$H$600,MATCH($H62&amp;"|"&amp;$I62&amp;"|"&amp;$J62&amp;"|"&amp;12,Assessments!$A$2:$A$600,0)),"")</f>
        <v/>
      </c>
      <c r="CG62" s="28" t="str">
        <f aca="false">IFERROR(INDEX(Assessments!$H$2:$H$600,MATCH($H62&amp;"|"&amp;$I62&amp;"|"&amp;$J62&amp;"|"&amp;13,Assessments!$A$2:$A$600,0)),"")</f>
        <v/>
      </c>
      <c r="CH62" s="28" t="str">
        <f aca="false">IFERROR(INDEX(Assessments!$H$2:$H$600,MATCH($H62&amp;"|"&amp;$I62&amp;"|"&amp;$J62&amp;"|"&amp;14,Assessments!$A$2:$A$600,0)),"")</f>
        <v/>
      </c>
      <c r="CI62" s="28" t="str">
        <f aca="false">IFERROR(INDEX(Assessments!$I$2:$I$600,MATCH($H62&amp;"|"&amp;$I62&amp;"|"&amp;$J62&amp;"|"&amp;1,Assessments!$A$2:$A$600,0)),"")</f>
        <v>Econ Test</v>
      </c>
      <c r="CJ62" s="28" t="str">
        <f aca="false">IFERROR(INDEX(Assessments!$I$2:$I$600,MATCH($H62&amp;"|"&amp;$I62&amp;"|"&amp;$J62&amp;"|"&amp;2,Assessments!$A$2:$A$600,0)),"")</f>
        <v>Econ Test</v>
      </c>
      <c r="CK62" s="28" t="str">
        <f aca="false">IFERROR(INDEX(Assessments!$I$2:$I$600,MATCH($H62&amp;"|"&amp;$I62&amp;"|"&amp;$J62&amp;"|"&amp;3,Assessments!$A$2:$A$600,0)),"")</f>
        <v>Econ Test</v>
      </c>
      <c r="CL62" s="28" t="str">
        <f aca="false">IFERROR(INDEX(Assessments!$I$2:$I$600,MATCH($H62&amp;"|"&amp;$I62&amp;"|"&amp;$J62&amp;"|"&amp;4,Assessments!$A$2:$A$600,0)),"")</f>
        <v>Econ Test</v>
      </c>
      <c r="CM62" s="28" t="str">
        <f aca="false">IFERROR(INDEX(Assessments!$I$2:$I$600,MATCH($H62&amp;"|"&amp;$I62&amp;"|"&amp;$J62&amp;"|"&amp;5,Assessments!$A$2:$A$600,0)),"")</f>
        <v>Econ Exam</v>
      </c>
      <c r="CN62" s="28" t="str">
        <f aca="false">IFERROR(INDEX(Assessments!$I$2:$I$600,MATCH($H62&amp;"|"&amp;$I62&amp;"|"&amp;$J62&amp;"|"&amp;6,Assessments!$A$2:$A$600,0)),"")</f>
        <v>Econ Test</v>
      </c>
      <c r="CO62" s="28" t="str">
        <f aca="false">IFERROR(INDEX(Assessments!$I$2:$I$600,MATCH($H62&amp;"|"&amp;$I62&amp;"|"&amp;$J62&amp;"|"&amp;7,Assessments!$A$2:$A$600,0)),"")</f>
        <v>Econ Exam</v>
      </c>
      <c r="CP62" s="28" t="str">
        <f aca="false">IFERROR(INDEX(Assessments!$I$2:$I$600,MATCH($H62&amp;"|"&amp;$I62&amp;"|"&amp;$J62&amp;"|"&amp;8,Assessments!$A$2:$A$600,0)),"")</f>
        <v/>
      </c>
      <c r="CQ62" s="28" t="str">
        <f aca="false">IFERROR(INDEX(Assessments!$I$2:$I$600,MATCH($H62&amp;"|"&amp;$I62&amp;"|"&amp;$J62&amp;"|"&amp;9,Assessments!$A$2:$A$600,0)),"")</f>
        <v/>
      </c>
      <c r="CR62" s="28" t="str">
        <f aca="false">IFERROR(INDEX(Assessments!$I$2:$I$600,MATCH($H62&amp;"|"&amp;$I62&amp;"|"&amp;$J62&amp;"|"&amp;10,Assessments!$A$2:$A$600,0)),"")</f>
        <v/>
      </c>
      <c r="CS62" s="28" t="str">
        <f aca="false">IFERROR(INDEX(Assessments!$I$2:$I$600,MATCH($H62&amp;"|"&amp;$I62&amp;"|"&amp;$J62&amp;"|"&amp;11,Assessments!$A$2:$A$600,0)),"")</f>
        <v/>
      </c>
      <c r="CT62" s="28" t="str">
        <f aca="false">IFERROR(INDEX(Assessments!$I$2:$I$600,MATCH($H62&amp;"|"&amp;$I62&amp;"|"&amp;$J62&amp;"|"&amp;12,Assessments!$A$2:$A$600,0)),"")</f>
        <v/>
      </c>
      <c r="CU62" s="28" t="str">
        <f aca="false">IFERROR(INDEX(Assessments!$I$2:$I$600,MATCH($H62&amp;"|"&amp;$I62&amp;"|"&amp;$J62&amp;"|"&amp;13,Assessments!$A$2:$A$600,0)),"")</f>
        <v/>
      </c>
      <c r="CV62" s="28" t="str">
        <f aca="false">IFERROR(INDEX(Assessments!$I$2:$I$600,MATCH($H62&amp;"|"&amp;$I62&amp;"|"&amp;$J62&amp;"|"&amp;14,Assessments!$A$2:$A$600,0)),"")</f>
        <v/>
      </c>
      <c r="CW62" s="28" t="n">
        <f aca="false">IFERROR(INDEX(Assessments!$J$2:$J$600,MATCH($H62&amp;"|"&amp;$I62&amp;"|"&amp;$J62&amp;"|"&amp;1,Assessments!$A$2:$A$600,0)),0)</f>
        <v>1</v>
      </c>
      <c r="CX62" s="28" t="n">
        <f aca="false">IFERROR(INDEX(Assessments!$J$2:$J$600,MATCH($H62&amp;"|"&amp;$I62&amp;"|"&amp;$J62&amp;"|"&amp;2,Assessments!$A$2:$A$600,0)),0)</f>
        <v>1</v>
      </c>
      <c r="CY62" s="28" t="n">
        <f aca="false">IFERROR(INDEX(Assessments!$J$2:$J$600,MATCH($H62&amp;"|"&amp;$I62&amp;"|"&amp;$J62&amp;"|"&amp;3,Assessments!$A$2:$A$600,0)),0)</f>
        <v>1</v>
      </c>
      <c r="CZ62" s="28" t="n">
        <f aca="false">IFERROR(INDEX(Assessments!$J$2:$J$600,MATCH($H62&amp;"|"&amp;$I62&amp;"|"&amp;$J62&amp;"|"&amp;4,Assessments!$A$2:$A$600,0)),0)</f>
        <v>1</v>
      </c>
      <c r="DA62" s="28" t="n">
        <f aca="false">IFERROR(INDEX(Assessments!$J$2:$J$600,MATCH($H62&amp;"|"&amp;$I62&amp;"|"&amp;$J62&amp;"|"&amp;5,Assessments!$A$2:$A$600,0)),0)</f>
        <v>2</v>
      </c>
      <c r="DB62" s="28" t="n">
        <f aca="false">IFERROR(INDEX(Assessments!$J$2:$J$600,MATCH($H62&amp;"|"&amp;$I62&amp;"|"&amp;$J62&amp;"|"&amp;6,Assessments!$A$2:$A$600,0)),0)</f>
        <v>1</v>
      </c>
      <c r="DC62" s="28" t="n">
        <f aca="false">IFERROR(INDEX(Assessments!$J$2:$J$600,MATCH($H62&amp;"|"&amp;$I62&amp;"|"&amp;$J62&amp;"|"&amp;7,Assessments!$A$2:$A$600,0)),0)</f>
        <v>2</v>
      </c>
      <c r="DD62" s="28" t="n">
        <f aca="false">IFERROR(INDEX(Assessments!$J$2:$J$600,MATCH($H62&amp;"|"&amp;$I62&amp;"|"&amp;$J62&amp;"|"&amp;8,Assessments!$A$2:$A$600,0)),0)</f>
        <v>0</v>
      </c>
      <c r="DE62" s="28" t="n">
        <f aca="false">IFERROR(INDEX(Assessments!$J$2:$J$600,MATCH($H62&amp;"|"&amp;$I62&amp;"|"&amp;$J62&amp;"|"&amp;9,Assessments!$A$2:$A$600,0)),0)</f>
        <v>0</v>
      </c>
      <c r="DF62" s="28" t="n">
        <f aca="false">IFERROR(INDEX(Assessments!$J$2:$J$600,MATCH($H62&amp;"|"&amp;$I62&amp;"|"&amp;$J62&amp;"|"&amp;10,Assessments!$A$2:$A$600,0)),0)</f>
        <v>0</v>
      </c>
      <c r="DG62" s="28" t="n">
        <f aca="false">IFERROR(INDEX(Assessments!$J$2:$J$600,MATCH($H62&amp;"|"&amp;$I62&amp;"|"&amp;$J62&amp;"|"&amp;11,Assessments!$A$2:$A$600,0)),0)</f>
        <v>0</v>
      </c>
      <c r="DH62" s="28" t="n">
        <f aca="false">IFERROR(INDEX(Assessments!$J$2:$J$600,MATCH($H62&amp;"|"&amp;$I62&amp;"|"&amp;$J62&amp;"|"&amp;12,Assessments!$A$2:$A$600,0)),0)</f>
        <v>0</v>
      </c>
      <c r="DI62" s="28" t="n">
        <f aca="false">IFERROR(INDEX(Assessments!$J$2:$J$600,MATCH($H62&amp;"|"&amp;$I62&amp;"|"&amp;$J62&amp;"|"&amp;13,Assessments!$A$2:$A$600,0)),0)</f>
        <v>0</v>
      </c>
      <c r="DJ62" s="28" t="n">
        <f aca="false">IFERROR(INDEX(Assessments!$J$2:$J$600,MATCH($H62&amp;"|"&amp;$I62&amp;"|"&amp;$J62&amp;"|"&amp;14,Assessments!$A$2:$A$600,0)),0)</f>
        <v>0</v>
      </c>
      <c r="DK62" s="28" t="n">
        <f aca="false">S62</f>
        <v>4</v>
      </c>
      <c r="DL62" s="28" t="n">
        <f aca="false">W62</f>
        <v>6</v>
      </c>
      <c r="DM62" s="28" t="n">
        <f aca="false">AA62</f>
        <v>4</v>
      </c>
      <c r="DN62" s="28" t="n">
        <f aca="false">AE62</f>
        <v>7</v>
      </c>
      <c r="DO62" s="28" t="n">
        <f aca="false">AI62</f>
        <v>5</v>
      </c>
      <c r="DP62" s="28" t="str">
        <f aca="false">AM62</f>
        <v/>
      </c>
      <c r="DQ62" s="28" t="str">
        <f aca="false">AQ62</f>
        <v/>
      </c>
      <c r="DR62" s="28" t="str">
        <f aca="false">AU62</f>
        <v/>
      </c>
      <c r="DS62" s="28" t="str">
        <f aca="false">AY62</f>
        <v/>
      </c>
      <c r="DT62" s="28" t="str">
        <f aca="false">BC62</f>
        <v/>
      </c>
      <c r="DU62" s="28" t="str">
        <f aca="false">BG62</f>
        <v/>
      </c>
      <c r="DV62" s="28" t="str">
        <f aca="false">BK62</f>
        <v/>
      </c>
      <c r="DW62" s="28" t="str">
        <f aca="false">BO62</f>
        <v/>
      </c>
      <c r="DX62" s="28" t="str">
        <f aca="false">BS62</f>
        <v/>
      </c>
      <c r="DY62" s="28" t="n">
        <f aca="false">IF(ISNUMBER(S62),1,"")</f>
        <v>1</v>
      </c>
      <c r="DZ62" s="28" t="n">
        <f aca="false">IF(ISNUMBER(W62),2,"")</f>
        <v>2</v>
      </c>
      <c r="EA62" s="28" t="n">
        <f aca="false">IF(ISNUMBER(AA62),3,"")</f>
        <v>3</v>
      </c>
      <c r="EB62" s="28" t="n">
        <f aca="false">IF(ISNUMBER(AE62),4,"")</f>
        <v>4</v>
      </c>
      <c r="EC62" s="28" t="n">
        <f aca="false">IF(ISNUMBER(AI62),5,"")</f>
        <v>5</v>
      </c>
      <c r="ED62" s="28" t="str">
        <f aca="false">IF(ISNUMBER(AM62),6,"")</f>
        <v/>
      </c>
      <c r="EE62" s="28" t="str">
        <f aca="false">IF(ISNUMBER(AQ62),7,"")</f>
        <v/>
      </c>
      <c r="EF62" s="28" t="str">
        <f aca="false">IF(ISNUMBER(AU62),8,"")</f>
        <v/>
      </c>
      <c r="EG62" s="28" t="str">
        <f aca="false">IF(ISNUMBER(AY62),9,"")</f>
        <v/>
      </c>
      <c r="EH62" s="28" t="str">
        <f aca="false">IF(ISNUMBER(BC62),10,"")</f>
        <v/>
      </c>
      <c r="EI62" s="28" t="str">
        <f aca="false">IF(ISNUMBER(BG62),11,"")</f>
        <v/>
      </c>
      <c r="EJ62" s="28" t="str">
        <f aca="false">IF(ISNUMBER(BK62),12,"")</f>
        <v/>
      </c>
      <c r="EK62" s="28" t="str">
        <f aca="false">IF(ISNUMBER(BO62),13,"")</f>
        <v/>
      </c>
      <c r="EL62" s="28" t="str">
        <f aca="false">IF(ISNUMBER(BS62),14,"")</f>
        <v/>
      </c>
      <c r="EM62" s="28" t="n">
        <f aca="false">IF(ISNUMBER(R62),R62*CW62,0)</f>
        <v>63.3333333333333</v>
      </c>
      <c r="EN62" s="28" t="n">
        <f aca="false">IF(ISNUMBER(V62),V62*CX62,0)</f>
        <v>83.3333333333333</v>
      </c>
      <c r="EO62" s="28" t="n">
        <f aca="false">IF(ISNUMBER(Z62),Z62*CY62,0)</f>
        <v>64</v>
      </c>
      <c r="EP62" s="28" t="n">
        <f aca="false">IF(ISNUMBER(AD62),AD62*CZ62,0)</f>
        <v>88.5714285714286</v>
      </c>
      <c r="EQ62" s="28" t="n">
        <f aca="false">IF(ISNUMBER(AH62),AH62*DA62,0)</f>
        <v>138.181818181818</v>
      </c>
      <c r="ER62" s="28" t="n">
        <f aca="false">IF(ISNUMBER(AL62),AL62*DB62,0)</f>
        <v>0</v>
      </c>
      <c r="ES62" s="28" t="n">
        <f aca="false">IF(ISNUMBER(AP62),AP62*DC62,0)</f>
        <v>0</v>
      </c>
      <c r="ET62" s="28" t="n">
        <f aca="false">IF(ISNUMBER(AT62),AT62*DD62,0)</f>
        <v>0</v>
      </c>
      <c r="EU62" s="28" t="n">
        <f aca="false">IF(ISNUMBER(AX62),AX62*DE62,0)</f>
        <v>0</v>
      </c>
      <c r="EV62" s="28" t="n">
        <f aca="false">IF(ISNUMBER(BB62),BB62*DF62,0)</f>
        <v>0</v>
      </c>
      <c r="EW62" s="28" t="n">
        <f aca="false">IF(ISNUMBER(BF62),BF62*DG62,0)</f>
        <v>0</v>
      </c>
      <c r="EX62" s="28" t="n">
        <f aca="false">IF(ISNUMBER(BJ62),BJ62*DH62,0)</f>
        <v>0</v>
      </c>
      <c r="EY62" s="28" t="n">
        <f aca="false">IF(ISNUMBER(BN62),BN62*DI62,0)</f>
        <v>0</v>
      </c>
      <c r="EZ62" s="28" t="n">
        <f aca="false">IF(ISNUMBER(BR62),BR62*DJ62,0)</f>
        <v>0</v>
      </c>
      <c r="FA62" s="28" t="n">
        <f aca="false">IF(ISNUMBER(R62),CW62,0)</f>
        <v>1</v>
      </c>
      <c r="FB62" s="28" t="n">
        <f aca="false">IF(ISNUMBER(V62),CX62,0)</f>
        <v>1</v>
      </c>
      <c r="FC62" s="28" t="n">
        <f aca="false">IF(ISNUMBER(Z62),CY62,0)</f>
        <v>1</v>
      </c>
      <c r="FD62" s="28" t="n">
        <f aca="false">IF(ISNUMBER(AD62),CZ62,0)</f>
        <v>1</v>
      </c>
      <c r="FE62" s="28" t="n">
        <f aca="false">IF(ISNUMBER(AH62),DA62,0)</f>
        <v>2</v>
      </c>
      <c r="FF62" s="28" t="n">
        <f aca="false">IF(ISNUMBER(AL62),DB62,0)</f>
        <v>0</v>
      </c>
      <c r="FG62" s="28" t="n">
        <f aca="false">IF(ISNUMBER(AP62),DC62,0)</f>
        <v>0</v>
      </c>
      <c r="FH62" s="28" t="n">
        <f aca="false">IF(ISNUMBER(AT62),DD62,0)</f>
        <v>0</v>
      </c>
      <c r="FI62" s="28" t="n">
        <f aca="false">IF(ISNUMBER(AX62),DE62,0)</f>
        <v>0</v>
      </c>
      <c r="FJ62" s="28" t="n">
        <f aca="false">IF(ISNUMBER(BB62),DF62,0)</f>
        <v>0</v>
      </c>
      <c r="FK62" s="28" t="n">
        <f aca="false">IF(ISNUMBER(BF62),DG62,0)</f>
        <v>0</v>
      </c>
      <c r="FL62" s="28" t="n">
        <f aca="false">IF(ISNUMBER(BJ62),DH62,0)</f>
        <v>0</v>
      </c>
      <c r="FM62" s="28" t="n">
        <f aca="false">IF(ISNUMBER(BN62),DI62,0)</f>
        <v>0</v>
      </c>
      <c r="FN62" s="28" t="n">
        <f aca="false">IF(ISNUMBER(BR62),DJ62,0)</f>
        <v>0</v>
      </c>
      <c r="FO62" s="28" t="str">
        <f aca="false">IFERROR(INDEX(Lists!$G$2:$G$20,MATCH($I62&amp;"|"&amp;$J62,Lists!$F$2:$F$20,0)),"")</f>
        <v>Econ Exam</v>
      </c>
    </row>
    <row r="63" customFormat="false" ht="19.5" hidden="false" customHeight="true" outlineLevel="0" collapsed="false">
      <c r="A63" s="29" t="s">
        <v>257</v>
      </c>
      <c r="B63" s="29" t="s">
        <v>258</v>
      </c>
      <c r="C63" s="30" t="s">
        <v>152</v>
      </c>
      <c r="D63" s="30" t="s">
        <v>246</v>
      </c>
      <c r="E63" s="31" t="n">
        <v>6.3</v>
      </c>
      <c r="F63" s="30" t="n">
        <v>7</v>
      </c>
      <c r="G63" s="30"/>
      <c r="H63" s="32" t="s">
        <v>23</v>
      </c>
      <c r="I63" s="33" t="s">
        <v>229</v>
      </c>
      <c r="J63" s="32" t="s">
        <v>25</v>
      </c>
      <c r="K63" s="34" t="n">
        <f aca="false">IF(OR(M63="",$E63=""),"",M63-$E63)</f>
        <v>0.7</v>
      </c>
      <c r="L63" s="35" t="n">
        <f aca="false">IF(SUM(FA63:FN63)=0,"",SUM(EM63:EZ63)/SUM(FA63:FN63))</f>
        <v>85.1821789321789</v>
      </c>
      <c r="M63" s="36" t="n">
        <f aca="false">IF(OR(L63="",FO63=""),"",IFERROR(MATCH(L63,INDEX(Boundaries!$B$2:$I$30,MATCH(FO63,Boundaries!$A$2:$A$30,0),0),1)-1,""))</f>
        <v>7</v>
      </c>
      <c r="N63" s="37" t="n">
        <f aca="false">IF(COUNT($DY63:$EL63)&lt;2,"",INDEX($DK63:$DX63,MAX($DY63:$EL63))-INDEX($DK63:$DX63,MIN($DY63:$EL63)))</f>
        <v>1</v>
      </c>
      <c r="O63" s="37" t="n">
        <f aca="false">IF(COUNT($DY63:$EL63)&lt;2,"",INDEX($DK63:$DX63,MAX($DY63:$EL63))-INDEX($DK63:$DX63,LARGE($DY63:$EL63,2)))</f>
        <v>0</v>
      </c>
      <c r="P63" s="38" t="str">
        <f aca="false">IF(K63="","",IF(K63&gt;=0,"On/above target",IF(AND(N63&lt;&gt;"",N63&gt;=0.5),"Improving towards target",IF(AND(O63&lt;&gt;"",O63&lt;=-0.5),"Declining","Stable below target"))))</f>
        <v>On/above target</v>
      </c>
      <c r="Q63" s="39" t="n">
        <v>25</v>
      </c>
      <c r="R63" s="40" t="n">
        <f aca="false">IF(OR(Q63="",BU63=""),"",Q63/BU63*100)</f>
        <v>83.3333333333333</v>
      </c>
      <c r="S63" s="41" t="n">
        <f aca="false">IF(R63="","",IFERROR(MATCH(R63,INDEX(Boundaries!$B$2:$I$30,MATCH(CI63,Boundaries!$A$2:$A$30,0),0),1)-1,""))</f>
        <v>6</v>
      </c>
      <c r="T63" s="42" t="n">
        <f aca="false">IF(OR(S63="",$E63=""),"",S63-$E63)</f>
        <v>-0.3</v>
      </c>
      <c r="U63" s="39" t="n">
        <v>21</v>
      </c>
      <c r="V63" s="40" t="n">
        <f aca="false">IF(OR(U63="",BV63=""),"",U63/BV63*100)</f>
        <v>87.5</v>
      </c>
      <c r="W63" s="41" t="n">
        <f aca="false">IF(V63="","",IFERROR(MATCH(V63,INDEX(Boundaries!$B$2:$I$30,MATCH(CJ63,Boundaries!$A$2:$A$30,0),0),1)-1,""))</f>
        <v>7</v>
      </c>
      <c r="X63" s="42" t="n">
        <f aca="false">IF(OR(W63="",$E63=""),"",W63-$E63)</f>
        <v>0.7</v>
      </c>
      <c r="Y63" s="39" t="n">
        <v>20</v>
      </c>
      <c r="Z63" s="40" t="n">
        <f aca="false">IF(OR(Y63="",BW63=""),"",Y63/BW63*100)</f>
        <v>80</v>
      </c>
      <c r="AA63" s="41" t="n">
        <f aca="false">IF(Z63="","",IFERROR(MATCH(Z63,INDEX(Boundaries!$B$2:$I$30,MATCH(CK63,Boundaries!$A$2:$A$30,0),0),1)-1,""))</f>
        <v>6</v>
      </c>
      <c r="AB63" s="42" t="n">
        <f aca="false">IF(OR(AA63="",$E63=""),"",AA63-$E63)</f>
        <v>-0.3</v>
      </c>
      <c r="AC63" s="39" t="n">
        <v>30</v>
      </c>
      <c r="AD63" s="40" t="n">
        <f aca="false">IF(OR(AC63="",BX63=""),"",AC63/BX63*100)</f>
        <v>85.7142857142857</v>
      </c>
      <c r="AE63" s="41" t="n">
        <f aca="false">IF(AD63="","",IFERROR(MATCH(AD63,INDEX(Boundaries!$B$2:$I$30,MATCH(CL63,Boundaries!$A$2:$A$30,0),0),1)-1,""))</f>
        <v>7</v>
      </c>
      <c r="AF63" s="42" t="n">
        <f aca="false">IF(OR(AE63="",$E63=""),"",AE63-$E63)</f>
        <v>0.7</v>
      </c>
      <c r="AG63" s="39" t="n">
        <v>48</v>
      </c>
      <c r="AH63" s="40" t="n">
        <f aca="false">IF(OR(AG63="",BY63=""),"",AG63/BY63*100)</f>
        <v>87.2727272727273</v>
      </c>
      <c r="AI63" s="41" t="n">
        <f aca="false">IF(AH63="","",IFERROR(MATCH(AH63,INDEX(Boundaries!$B$2:$I$30,MATCH(CM63,Boundaries!$A$2:$A$30,0),0),1)-1,""))</f>
        <v>7</v>
      </c>
      <c r="AJ63" s="42" t="n">
        <f aca="false">IF(OR(AI63="",$E63=""),"",AI63-$E63)</f>
        <v>0.7</v>
      </c>
      <c r="AK63" s="39"/>
      <c r="AL63" s="40" t="str">
        <f aca="false">IF(OR(AK63="",BZ63=""),"",AK63/BZ63*100)</f>
        <v/>
      </c>
      <c r="AM63" s="41" t="str">
        <f aca="false">IF(AL63="","",IFERROR(MATCH(AL63,INDEX(Boundaries!$B$2:$I$30,MATCH(CN63,Boundaries!$A$2:$A$30,0),0),1)-1,""))</f>
        <v/>
      </c>
      <c r="AN63" s="42" t="str">
        <f aca="false">IF(OR(AM63="",$E63=""),"",AM63-$E63)</f>
        <v/>
      </c>
      <c r="AO63" s="39"/>
      <c r="AP63" s="40" t="str">
        <f aca="false">IF(OR(AO63="",CA63=""),"",AO63/CA63*100)</f>
        <v/>
      </c>
      <c r="AQ63" s="41" t="str">
        <f aca="false">IF(AP63="","",IFERROR(MATCH(AP63,INDEX(Boundaries!$B$2:$I$30,MATCH(CO63,Boundaries!$A$2:$A$30,0),0),1)-1,""))</f>
        <v/>
      </c>
      <c r="AR63" s="42" t="str">
        <f aca="false">IF(OR(AQ63="",$E63=""),"",AQ63-$E63)</f>
        <v/>
      </c>
      <c r="AS63" s="39"/>
      <c r="AT63" s="40" t="str">
        <f aca="false">IF(OR(AS63="",CB63=""),"",AS63/CB63*100)</f>
        <v/>
      </c>
      <c r="AU63" s="41" t="str">
        <f aca="false">IF(AT63="","",IFERROR(MATCH(AT63,INDEX(Boundaries!$B$2:$I$30,MATCH(CP63,Boundaries!$A$2:$A$30,0),0),1)-1,""))</f>
        <v/>
      </c>
      <c r="AV63" s="42" t="str">
        <f aca="false">IF(OR(AU63="",$E63=""),"",AU63-$E63)</f>
        <v/>
      </c>
      <c r="AW63" s="39"/>
      <c r="AX63" s="40" t="str">
        <f aca="false">IF(OR(AW63="",CC63=""),"",AW63/CC63*100)</f>
        <v/>
      </c>
      <c r="AY63" s="41" t="str">
        <f aca="false">IF(AX63="","",IFERROR(MATCH(AX63,INDEX(Boundaries!$B$2:$I$30,MATCH(CQ63,Boundaries!$A$2:$A$30,0),0),1)-1,""))</f>
        <v/>
      </c>
      <c r="AZ63" s="42" t="str">
        <f aca="false">IF(OR(AY63="",$E63=""),"",AY63-$E63)</f>
        <v/>
      </c>
      <c r="BA63" s="39"/>
      <c r="BB63" s="40" t="str">
        <f aca="false">IF(OR(BA63="",CD63=""),"",BA63/CD63*100)</f>
        <v/>
      </c>
      <c r="BC63" s="41" t="str">
        <f aca="false">IF(BB63="","",IFERROR(MATCH(BB63,INDEX(Boundaries!$B$2:$I$30,MATCH(CR63,Boundaries!$A$2:$A$30,0),0),1)-1,""))</f>
        <v/>
      </c>
      <c r="BD63" s="42" t="str">
        <f aca="false">IF(OR(BC63="",$E63=""),"",BC63-$E63)</f>
        <v/>
      </c>
      <c r="BE63" s="39"/>
      <c r="BF63" s="40" t="str">
        <f aca="false">IF(OR(BE63="",CE63=""),"",BE63/CE63*100)</f>
        <v/>
      </c>
      <c r="BG63" s="41" t="str">
        <f aca="false">IF(BF63="","",IFERROR(MATCH(BF63,INDEX(Boundaries!$B$2:$I$30,MATCH(CS63,Boundaries!$A$2:$A$30,0),0),1)-1,""))</f>
        <v/>
      </c>
      <c r="BH63" s="42" t="str">
        <f aca="false">IF(OR(BG63="",$E63=""),"",BG63-$E63)</f>
        <v/>
      </c>
      <c r="BI63" s="39"/>
      <c r="BJ63" s="40" t="str">
        <f aca="false">IF(OR(BI63="",CF63=""),"",BI63/CF63*100)</f>
        <v/>
      </c>
      <c r="BK63" s="41" t="str">
        <f aca="false">IF(BJ63="","",IFERROR(MATCH(BJ63,INDEX(Boundaries!$B$2:$I$30,MATCH(CT63,Boundaries!$A$2:$A$30,0),0),1)-1,""))</f>
        <v/>
      </c>
      <c r="BL63" s="42" t="str">
        <f aca="false">IF(OR(BK63="",$E63=""),"",BK63-$E63)</f>
        <v/>
      </c>
      <c r="BM63" s="39"/>
      <c r="BN63" s="40" t="str">
        <f aca="false">IF(OR(BM63="",CG63=""),"",BM63/CG63*100)</f>
        <v/>
      </c>
      <c r="BO63" s="41" t="str">
        <f aca="false">IF(BN63="","",IFERROR(MATCH(BN63,INDEX(Boundaries!$B$2:$I$30,MATCH(CU63,Boundaries!$A$2:$A$30,0),0),1)-1,""))</f>
        <v/>
      </c>
      <c r="BP63" s="42" t="str">
        <f aca="false">IF(OR(BO63="",$E63=""),"",BO63-$E63)</f>
        <v/>
      </c>
      <c r="BQ63" s="39"/>
      <c r="BR63" s="40" t="str">
        <f aca="false">IF(OR(BQ63="",CH63=""),"",BQ63/CH63*100)</f>
        <v/>
      </c>
      <c r="BS63" s="41" t="str">
        <f aca="false">IF(BR63="","",IFERROR(MATCH(BR63,INDEX(Boundaries!$B$2:$I$30,MATCH(CV63,Boundaries!$A$2:$A$30,0),0),1)-1,""))</f>
        <v/>
      </c>
      <c r="BT63" s="42" t="str">
        <f aca="false">IF(OR(BS63="",$E63=""),"",BS63-$E63)</f>
        <v/>
      </c>
      <c r="BU63" s="28" t="n">
        <f aca="false">IFERROR(INDEX(Assessments!$H$2:$H$600,MATCH($H63&amp;"|"&amp;$I63&amp;"|"&amp;$J63&amp;"|"&amp;1,Assessments!$A$2:$A$600,0)),"")</f>
        <v>30</v>
      </c>
      <c r="BV63" s="28" t="n">
        <f aca="false">IFERROR(INDEX(Assessments!$H$2:$H$600,MATCH($H63&amp;"|"&amp;$I63&amp;"|"&amp;$J63&amp;"|"&amp;2,Assessments!$A$2:$A$600,0)),"")</f>
        <v>24</v>
      </c>
      <c r="BW63" s="28" t="n">
        <f aca="false">IFERROR(INDEX(Assessments!$H$2:$H$600,MATCH($H63&amp;"|"&amp;$I63&amp;"|"&amp;$J63&amp;"|"&amp;3,Assessments!$A$2:$A$600,0)),"")</f>
        <v>25</v>
      </c>
      <c r="BX63" s="28" t="n">
        <f aca="false">IFERROR(INDEX(Assessments!$H$2:$H$600,MATCH($H63&amp;"|"&amp;$I63&amp;"|"&amp;$J63&amp;"|"&amp;4,Assessments!$A$2:$A$600,0)),"")</f>
        <v>35</v>
      </c>
      <c r="BY63" s="28" t="n">
        <f aca="false">IFERROR(INDEX(Assessments!$H$2:$H$600,MATCH($H63&amp;"|"&amp;$I63&amp;"|"&amp;$J63&amp;"|"&amp;5,Assessments!$A$2:$A$600,0)),"")</f>
        <v>55</v>
      </c>
      <c r="BZ63" s="28" t="n">
        <f aca="false">IFERROR(INDEX(Assessments!$H$2:$H$600,MATCH($H63&amp;"|"&amp;$I63&amp;"|"&amp;$J63&amp;"|"&amp;6,Assessments!$A$2:$A$600,0)),"")</f>
        <v>30</v>
      </c>
      <c r="CA63" s="28" t="n">
        <f aca="false">IFERROR(INDEX(Assessments!$H$2:$H$600,MATCH($H63&amp;"|"&amp;$I63&amp;"|"&amp;$J63&amp;"|"&amp;7,Assessments!$A$2:$A$600,0)),"")</f>
        <v>95</v>
      </c>
      <c r="CB63" s="28" t="str">
        <f aca="false">IFERROR(INDEX(Assessments!$H$2:$H$600,MATCH($H63&amp;"|"&amp;$I63&amp;"|"&amp;$J63&amp;"|"&amp;8,Assessments!$A$2:$A$600,0)),"")</f>
        <v/>
      </c>
      <c r="CC63" s="28" t="str">
        <f aca="false">IFERROR(INDEX(Assessments!$H$2:$H$600,MATCH($H63&amp;"|"&amp;$I63&amp;"|"&amp;$J63&amp;"|"&amp;9,Assessments!$A$2:$A$600,0)),"")</f>
        <v/>
      </c>
      <c r="CD63" s="28" t="str">
        <f aca="false">IFERROR(INDEX(Assessments!$H$2:$H$600,MATCH($H63&amp;"|"&amp;$I63&amp;"|"&amp;$J63&amp;"|"&amp;10,Assessments!$A$2:$A$600,0)),"")</f>
        <v/>
      </c>
      <c r="CE63" s="28" t="str">
        <f aca="false">IFERROR(INDEX(Assessments!$H$2:$H$600,MATCH($H63&amp;"|"&amp;$I63&amp;"|"&amp;$J63&amp;"|"&amp;11,Assessments!$A$2:$A$600,0)),"")</f>
        <v/>
      </c>
      <c r="CF63" s="28" t="str">
        <f aca="false">IFERROR(INDEX(Assessments!$H$2:$H$600,MATCH($H63&amp;"|"&amp;$I63&amp;"|"&amp;$J63&amp;"|"&amp;12,Assessments!$A$2:$A$600,0)),"")</f>
        <v/>
      </c>
      <c r="CG63" s="28" t="str">
        <f aca="false">IFERROR(INDEX(Assessments!$H$2:$H$600,MATCH($H63&amp;"|"&amp;$I63&amp;"|"&amp;$J63&amp;"|"&amp;13,Assessments!$A$2:$A$600,0)),"")</f>
        <v/>
      </c>
      <c r="CH63" s="28" t="str">
        <f aca="false">IFERROR(INDEX(Assessments!$H$2:$H$600,MATCH($H63&amp;"|"&amp;$I63&amp;"|"&amp;$J63&amp;"|"&amp;14,Assessments!$A$2:$A$600,0)),"")</f>
        <v/>
      </c>
      <c r="CI63" s="28" t="str">
        <f aca="false">IFERROR(INDEX(Assessments!$I$2:$I$600,MATCH($H63&amp;"|"&amp;$I63&amp;"|"&amp;$J63&amp;"|"&amp;1,Assessments!$A$2:$A$600,0)),"")</f>
        <v>Econ Test</v>
      </c>
      <c r="CJ63" s="28" t="str">
        <f aca="false">IFERROR(INDEX(Assessments!$I$2:$I$600,MATCH($H63&amp;"|"&amp;$I63&amp;"|"&amp;$J63&amp;"|"&amp;2,Assessments!$A$2:$A$600,0)),"")</f>
        <v>Econ Test</v>
      </c>
      <c r="CK63" s="28" t="str">
        <f aca="false">IFERROR(INDEX(Assessments!$I$2:$I$600,MATCH($H63&amp;"|"&amp;$I63&amp;"|"&amp;$J63&amp;"|"&amp;3,Assessments!$A$2:$A$600,0)),"")</f>
        <v>Econ Test</v>
      </c>
      <c r="CL63" s="28" t="str">
        <f aca="false">IFERROR(INDEX(Assessments!$I$2:$I$600,MATCH($H63&amp;"|"&amp;$I63&amp;"|"&amp;$J63&amp;"|"&amp;4,Assessments!$A$2:$A$600,0)),"")</f>
        <v>Econ Test</v>
      </c>
      <c r="CM63" s="28" t="str">
        <f aca="false">IFERROR(INDEX(Assessments!$I$2:$I$600,MATCH($H63&amp;"|"&amp;$I63&amp;"|"&amp;$J63&amp;"|"&amp;5,Assessments!$A$2:$A$600,0)),"")</f>
        <v>Econ Exam</v>
      </c>
      <c r="CN63" s="28" t="str">
        <f aca="false">IFERROR(INDEX(Assessments!$I$2:$I$600,MATCH($H63&amp;"|"&amp;$I63&amp;"|"&amp;$J63&amp;"|"&amp;6,Assessments!$A$2:$A$600,0)),"")</f>
        <v>Econ Test</v>
      </c>
      <c r="CO63" s="28" t="str">
        <f aca="false">IFERROR(INDEX(Assessments!$I$2:$I$600,MATCH($H63&amp;"|"&amp;$I63&amp;"|"&amp;$J63&amp;"|"&amp;7,Assessments!$A$2:$A$600,0)),"")</f>
        <v>Econ Exam</v>
      </c>
      <c r="CP63" s="28" t="str">
        <f aca="false">IFERROR(INDEX(Assessments!$I$2:$I$600,MATCH($H63&amp;"|"&amp;$I63&amp;"|"&amp;$J63&amp;"|"&amp;8,Assessments!$A$2:$A$600,0)),"")</f>
        <v/>
      </c>
      <c r="CQ63" s="28" t="str">
        <f aca="false">IFERROR(INDEX(Assessments!$I$2:$I$600,MATCH($H63&amp;"|"&amp;$I63&amp;"|"&amp;$J63&amp;"|"&amp;9,Assessments!$A$2:$A$600,0)),"")</f>
        <v/>
      </c>
      <c r="CR63" s="28" t="str">
        <f aca="false">IFERROR(INDEX(Assessments!$I$2:$I$600,MATCH($H63&amp;"|"&amp;$I63&amp;"|"&amp;$J63&amp;"|"&amp;10,Assessments!$A$2:$A$600,0)),"")</f>
        <v/>
      </c>
      <c r="CS63" s="28" t="str">
        <f aca="false">IFERROR(INDEX(Assessments!$I$2:$I$600,MATCH($H63&amp;"|"&amp;$I63&amp;"|"&amp;$J63&amp;"|"&amp;11,Assessments!$A$2:$A$600,0)),"")</f>
        <v/>
      </c>
      <c r="CT63" s="28" t="str">
        <f aca="false">IFERROR(INDEX(Assessments!$I$2:$I$600,MATCH($H63&amp;"|"&amp;$I63&amp;"|"&amp;$J63&amp;"|"&amp;12,Assessments!$A$2:$A$600,0)),"")</f>
        <v/>
      </c>
      <c r="CU63" s="28" t="str">
        <f aca="false">IFERROR(INDEX(Assessments!$I$2:$I$600,MATCH($H63&amp;"|"&amp;$I63&amp;"|"&amp;$J63&amp;"|"&amp;13,Assessments!$A$2:$A$600,0)),"")</f>
        <v/>
      </c>
      <c r="CV63" s="28" t="str">
        <f aca="false">IFERROR(INDEX(Assessments!$I$2:$I$600,MATCH($H63&amp;"|"&amp;$I63&amp;"|"&amp;$J63&amp;"|"&amp;14,Assessments!$A$2:$A$600,0)),"")</f>
        <v/>
      </c>
      <c r="CW63" s="28" t="n">
        <f aca="false">IFERROR(INDEX(Assessments!$J$2:$J$600,MATCH($H63&amp;"|"&amp;$I63&amp;"|"&amp;$J63&amp;"|"&amp;1,Assessments!$A$2:$A$600,0)),0)</f>
        <v>1</v>
      </c>
      <c r="CX63" s="28" t="n">
        <f aca="false">IFERROR(INDEX(Assessments!$J$2:$J$600,MATCH($H63&amp;"|"&amp;$I63&amp;"|"&amp;$J63&amp;"|"&amp;2,Assessments!$A$2:$A$600,0)),0)</f>
        <v>1</v>
      </c>
      <c r="CY63" s="28" t="n">
        <f aca="false">IFERROR(INDEX(Assessments!$J$2:$J$600,MATCH($H63&amp;"|"&amp;$I63&amp;"|"&amp;$J63&amp;"|"&amp;3,Assessments!$A$2:$A$600,0)),0)</f>
        <v>1</v>
      </c>
      <c r="CZ63" s="28" t="n">
        <f aca="false">IFERROR(INDEX(Assessments!$J$2:$J$600,MATCH($H63&amp;"|"&amp;$I63&amp;"|"&amp;$J63&amp;"|"&amp;4,Assessments!$A$2:$A$600,0)),0)</f>
        <v>1</v>
      </c>
      <c r="DA63" s="28" t="n">
        <f aca="false">IFERROR(INDEX(Assessments!$J$2:$J$600,MATCH($H63&amp;"|"&amp;$I63&amp;"|"&amp;$J63&amp;"|"&amp;5,Assessments!$A$2:$A$600,0)),0)</f>
        <v>2</v>
      </c>
      <c r="DB63" s="28" t="n">
        <f aca="false">IFERROR(INDEX(Assessments!$J$2:$J$600,MATCH($H63&amp;"|"&amp;$I63&amp;"|"&amp;$J63&amp;"|"&amp;6,Assessments!$A$2:$A$600,0)),0)</f>
        <v>1</v>
      </c>
      <c r="DC63" s="28" t="n">
        <f aca="false">IFERROR(INDEX(Assessments!$J$2:$J$600,MATCH($H63&amp;"|"&amp;$I63&amp;"|"&amp;$J63&amp;"|"&amp;7,Assessments!$A$2:$A$600,0)),0)</f>
        <v>2</v>
      </c>
      <c r="DD63" s="28" t="n">
        <f aca="false">IFERROR(INDEX(Assessments!$J$2:$J$600,MATCH($H63&amp;"|"&amp;$I63&amp;"|"&amp;$J63&amp;"|"&amp;8,Assessments!$A$2:$A$600,0)),0)</f>
        <v>0</v>
      </c>
      <c r="DE63" s="28" t="n">
        <f aca="false">IFERROR(INDEX(Assessments!$J$2:$J$600,MATCH($H63&amp;"|"&amp;$I63&amp;"|"&amp;$J63&amp;"|"&amp;9,Assessments!$A$2:$A$600,0)),0)</f>
        <v>0</v>
      </c>
      <c r="DF63" s="28" t="n">
        <f aca="false">IFERROR(INDEX(Assessments!$J$2:$J$600,MATCH($H63&amp;"|"&amp;$I63&amp;"|"&amp;$J63&amp;"|"&amp;10,Assessments!$A$2:$A$600,0)),0)</f>
        <v>0</v>
      </c>
      <c r="DG63" s="28" t="n">
        <f aca="false">IFERROR(INDEX(Assessments!$J$2:$J$600,MATCH($H63&amp;"|"&amp;$I63&amp;"|"&amp;$J63&amp;"|"&amp;11,Assessments!$A$2:$A$600,0)),0)</f>
        <v>0</v>
      </c>
      <c r="DH63" s="28" t="n">
        <f aca="false">IFERROR(INDEX(Assessments!$J$2:$J$600,MATCH($H63&amp;"|"&amp;$I63&amp;"|"&amp;$J63&amp;"|"&amp;12,Assessments!$A$2:$A$600,0)),0)</f>
        <v>0</v>
      </c>
      <c r="DI63" s="28" t="n">
        <f aca="false">IFERROR(INDEX(Assessments!$J$2:$J$600,MATCH($H63&amp;"|"&amp;$I63&amp;"|"&amp;$J63&amp;"|"&amp;13,Assessments!$A$2:$A$600,0)),0)</f>
        <v>0</v>
      </c>
      <c r="DJ63" s="28" t="n">
        <f aca="false">IFERROR(INDEX(Assessments!$J$2:$J$600,MATCH($H63&amp;"|"&amp;$I63&amp;"|"&amp;$J63&amp;"|"&amp;14,Assessments!$A$2:$A$600,0)),0)</f>
        <v>0</v>
      </c>
      <c r="DK63" s="28" t="n">
        <f aca="false">S63</f>
        <v>6</v>
      </c>
      <c r="DL63" s="28" t="n">
        <f aca="false">W63</f>
        <v>7</v>
      </c>
      <c r="DM63" s="28" t="n">
        <f aca="false">AA63</f>
        <v>6</v>
      </c>
      <c r="DN63" s="28" t="n">
        <f aca="false">AE63</f>
        <v>7</v>
      </c>
      <c r="DO63" s="28" t="n">
        <f aca="false">AI63</f>
        <v>7</v>
      </c>
      <c r="DP63" s="28" t="str">
        <f aca="false">AM63</f>
        <v/>
      </c>
      <c r="DQ63" s="28" t="str">
        <f aca="false">AQ63</f>
        <v/>
      </c>
      <c r="DR63" s="28" t="str">
        <f aca="false">AU63</f>
        <v/>
      </c>
      <c r="DS63" s="28" t="str">
        <f aca="false">AY63</f>
        <v/>
      </c>
      <c r="DT63" s="28" t="str">
        <f aca="false">BC63</f>
        <v/>
      </c>
      <c r="DU63" s="28" t="str">
        <f aca="false">BG63</f>
        <v/>
      </c>
      <c r="DV63" s="28" t="str">
        <f aca="false">BK63</f>
        <v/>
      </c>
      <c r="DW63" s="28" t="str">
        <f aca="false">BO63</f>
        <v/>
      </c>
      <c r="DX63" s="28" t="str">
        <f aca="false">BS63</f>
        <v/>
      </c>
      <c r="DY63" s="28" t="n">
        <f aca="false">IF(ISNUMBER(S63),1,"")</f>
        <v>1</v>
      </c>
      <c r="DZ63" s="28" t="n">
        <f aca="false">IF(ISNUMBER(W63),2,"")</f>
        <v>2</v>
      </c>
      <c r="EA63" s="28" t="n">
        <f aca="false">IF(ISNUMBER(AA63),3,"")</f>
        <v>3</v>
      </c>
      <c r="EB63" s="28" t="n">
        <f aca="false">IF(ISNUMBER(AE63),4,"")</f>
        <v>4</v>
      </c>
      <c r="EC63" s="28" t="n">
        <f aca="false">IF(ISNUMBER(AI63),5,"")</f>
        <v>5</v>
      </c>
      <c r="ED63" s="28" t="str">
        <f aca="false">IF(ISNUMBER(AM63),6,"")</f>
        <v/>
      </c>
      <c r="EE63" s="28" t="str">
        <f aca="false">IF(ISNUMBER(AQ63),7,"")</f>
        <v/>
      </c>
      <c r="EF63" s="28" t="str">
        <f aca="false">IF(ISNUMBER(AU63),8,"")</f>
        <v/>
      </c>
      <c r="EG63" s="28" t="str">
        <f aca="false">IF(ISNUMBER(AY63),9,"")</f>
        <v/>
      </c>
      <c r="EH63" s="28" t="str">
        <f aca="false">IF(ISNUMBER(BC63),10,"")</f>
        <v/>
      </c>
      <c r="EI63" s="28" t="str">
        <f aca="false">IF(ISNUMBER(BG63),11,"")</f>
        <v/>
      </c>
      <c r="EJ63" s="28" t="str">
        <f aca="false">IF(ISNUMBER(BK63),12,"")</f>
        <v/>
      </c>
      <c r="EK63" s="28" t="str">
        <f aca="false">IF(ISNUMBER(BO63),13,"")</f>
        <v/>
      </c>
      <c r="EL63" s="28" t="str">
        <f aca="false">IF(ISNUMBER(BS63),14,"")</f>
        <v/>
      </c>
      <c r="EM63" s="28" t="n">
        <f aca="false">IF(ISNUMBER(R63),R63*CW63,0)</f>
        <v>83.3333333333333</v>
      </c>
      <c r="EN63" s="28" t="n">
        <f aca="false">IF(ISNUMBER(V63),V63*CX63,0)</f>
        <v>87.5</v>
      </c>
      <c r="EO63" s="28" t="n">
        <f aca="false">IF(ISNUMBER(Z63),Z63*CY63,0)</f>
        <v>80</v>
      </c>
      <c r="EP63" s="28" t="n">
        <f aca="false">IF(ISNUMBER(AD63),AD63*CZ63,0)</f>
        <v>85.7142857142857</v>
      </c>
      <c r="EQ63" s="28" t="n">
        <f aca="false">IF(ISNUMBER(AH63),AH63*DA63,0)</f>
        <v>174.545454545455</v>
      </c>
      <c r="ER63" s="28" t="n">
        <f aca="false">IF(ISNUMBER(AL63),AL63*DB63,0)</f>
        <v>0</v>
      </c>
      <c r="ES63" s="28" t="n">
        <f aca="false">IF(ISNUMBER(AP63),AP63*DC63,0)</f>
        <v>0</v>
      </c>
      <c r="ET63" s="28" t="n">
        <f aca="false">IF(ISNUMBER(AT63),AT63*DD63,0)</f>
        <v>0</v>
      </c>
      <c r="EU63" s="28" t="n">
        <f aca="false">IF(ISNUMBER(AX63),AX63*DE63,0)</f>
        <v>0</v>
      </c>
      <c r="EV63" s="28" t="n">
        <f aca="false">IF(ISNUMBER(BB63),BB63*DF63,0)</f>
        <v>0</v>
      </c>
      <c r="EW63" s="28" t="n">
        <f aca="false">IF(ISNUMBER(BF63),BF63*DG63,0)</f>
        <v>0</v>
      </c>
      <c r="EX63" s="28" t="n">
        <f aca="false">IF(ISNUMBER(BJ63),BJ63*DH63,0)</f>
        <v>0</v>
      </c>
      <c r="EY63" s="28" t="n">
        <f aca="false">IF(ISNUMBER(BN63),BN63*DI63,0)</f>
        <v>0</v>
      </c>
      <c r="EZ63" s="28" t="n">
        <f aca="false">IF(ISNUMBER(BR63),BR63*DJ63,0)</f>
        <v>0</v>
      </c>
      <c r="FA63" s="28" t="n">
        <f aca="false">IF(ISNUMBER(R63),CW63,0)</f>
        <v>1</v>
      </c>
      <c r="FB63" s="28" t="n">
        <f aca="false">IF(ISNUMBER(V63),CX63,0)</f>
        <v>1</v>
      </c>
      <c r="FC63" s="28" t="n">
        <f aca="false">IF(ISNUMBER(Z63),CY63,0)</f>
        <v>1</v>
      </c>
      <c r="FD63" s="28" t="n">
        <f aca="false">IF(ISNUMBER(AD63),CZ63,0)</f>
        <v>1</v>
      </c>
      <c r="FE63" s="28" t="n">
        <f aca="false">IF(ISNUMBER(AH63),DA63,0)</f>
        <v>2</v>
      </c>
      <c r="FF63" s="28" t="n">
        <f aca="false">IF(ISNUMBER(AL63),DB63,0)</f>
        <v>0</v>
      </c>
      <c r="FG63" s="28" t="n">
        <f aca="false">IF(ISNUMBER(AP63),DC63,0)</f>
        <v>0</v>
      </c>
      <c r="FH63" s="28" t="n">
        <f aca="false">IF(ISNUMBER(AT63),DD63,0)</f>
        <v>0</v>
      </c>
      <c r="FI63" s="28" t="n">
        <f aca="false">IF(ISNUMBER(AX63),DE63,0)</f>
        <v>0</v>
      </c>
      <c r="FJ63" s="28" t="n">
        <f aca="false">IF(ISNUMBER(BB63),DF63,0)</f>
        <v>0</v>
      </c>
      <c r="FK63" s="28" t="n">
        <f aca="false">IF(ISNUMBER(BF63),DG63,0)</f>
        <v>0</v>
      </c>
      <c r="FL63" s="28" t="n">
        <f aca="false">IF(ISNUMBER(BJ63),DH63,0)</f>
        <v>0</v>
      </c>
      <c r="FM63" s="28" t="n">
        <f aca="false">IF(ISNUMBER(BN63),DI63,0)</f>
        <v>0</v>
      </c>
      <c r="FN63" s="28" t="n">
        <f aca="false">IF(ISNUMBER(BR63),DJ63,0)</f>
        <v>0</v>
      </c>
      <c r="FO63" s="28" t="str">
        <f aca="false">IFERROR(INDEX(Lists!$G$2:$G$20,MATCH($I63&amp;"|"&amp;$J63,Lists!$F$2:$F$20,0)),"")</f>
        <v>Econ Exam</v>
      </c>
    </row>
    <row r="64" customFormat="false" ht="19.5" hidden="false" customHeight="true" outlineLevel="0" collapsed="false">
      <c r="A64" s="29" t="s">
        <v>259</v>
      </c>
      <c r="B64" s="29" t="s">
        <v>260</v>
      </c>
      <c r="C64" s="30" t="s">
        <v>152</v>
      </c>
      <c r="D64" s="30" t="s">
        <v>246</v>
      </c>
      <c r="E64" s="31" t="n">
        <v>6.5</v>
      </c>
      <c r="F64" s="30" t="n">
        <v>7</v>
      </c>
      <c r="G64" s="30"/>
      <c r="H64" s="32" t="s">
        <v>23</v>
      </c>
      <c r="I64" s="33" t="s">
        <v>229</v>
      </c>
      <c r="J64" s="32" t="s">
        <v>25</v>
      </c>
      <c r="K64" s="34" t="n">
        <f aca="false">IF(OR(M64="",$E64=""),"",M64-$E64)</f>
        <v>-0.5</v>
      </c>
      <c r="L64" s="35" t="n">
        <f aca="false">IF(SUM(FA64:FN64)=0,"",SUM(EM64:EZ64)/SUM(FA64:FN64))</f>
        <v>78.8816738816739</v>
      </c>
      <c r="M64" s="36" t="n">
        <f aca="false">IF(OR(L64="",FO64=""),"",IFERROR(MATCH(L64,INDEX(Boundaries!$B$2:$I$30,MATCH(FO64,Boundaries!$A$2:$A$30,0),0),1)-1,""))</f>
        <v>6</v>
      </c>
      <c r="N64" s="37" t="n">
        <f aca="false">IF(COUNT($DY64:$EL64)&lt;2,"",INDEX($DK64:$DX64,MAX($DY64:$EL64))-INDEX($DK64:$DX64,MIN($DY64:$EL64)))</f>
        <v>2</v>
      </c>
      <c r="O64" s="37" t="n">
        <f aca="false">IF(COUNT($DY64:$EL64)&lt;2,"",INDEX($DK64:$DX64,MAX($DY64:$EL64))-INDEX($DK64:$DX64,LARGE($DY64:$EL64,2)))</f>
        <v>0</v>
      </c>
      <c r="P64" s="38" t="str">
        <f aca="false">IF(K64="","",IF(K64&gt;=0,"On/above target",IF(AND(N64&lt;&gt;"",N64&gt;=0.5),"Improving towards target",IF(AND(O64&lt;&gt;"",O64&lt;=-0.5),"Declining","Stable below target"))))</f>
        <v>Improving towards target</v>
      </c>
      <c r="Q64" s="39" t="n">
        <v>21</v>
      </c>
      <c r="R64" s="40" t="n">
        <f aca="false">IF(OR(Q64="",BU64=""),"",Q64/BU64*100)</f>
        <v>70</v>
      </c>
      <c r="S64" s="41" t="n">
        <f aca="false">IF(R64="","",IFERROR(MATCH(R64,INDEX(Boundaries!$B$2:$I$30,MATCH(CI64,Boundaries!$A$2:$A$30,0),0),1)-1,""))</f>
        <v>5</v>
      </c>
      <c r="T64" s="42" t="n">
        <f aca="false">IF(OR(S64="",$E64=""),"",S64-$E64)</f>
        <v>-1.5</v>
      </c>
      <c r="U64" s="39" t="n">
        <v>16</v>
      </c>
      <c r="V64" s="40" t="n">
        <f aca="false">IF(OR(U64="",BV64=""),"",U64/BV64*100)</f>
        <v>66.6666666666667</v>
      </c>
      <c r="W64" s="41" t="n">
        <f aca="false">IF(V64="","",IFERROR(MATCH(V64,INDEX(Boundaries!$B$2:$I$30,MATCH(CJ64,Boundaries!$A$2:$A$30,0),0),1)-1,""))</f>
        <v>5</v>
      </c>
      <c r="X64" s="42" t="n">
        <f aca="false">IF(OR(W64="",$E64=""),"",W64-$E64)</f>
        <v>-1.5</v>
      </c>
      <c r="Y64" s="39" t="n">
        <v>20</v>
      </c>
      <c r="Z64" s="40" t="n">
        <f aca="false">IF(OR(Y64="",BW64=""),"",Y64/BW64*100)</f>
        <v>80</v>
      </c>
      <c r="AA64" s="41" t="n">
        <f aca="false">IF(Z64="","",IFERROR(MATCH(Z64,INDEX(Boundaries!$B$2:$I$30,MATCH(CK64,Boundaries!$A$2:$A$30,0),0),1)-1,""))</f>
        <v>6</v>
      </c>
      <c r="AB64" s="42" t="n">
        <f aca="false">IF(OR(AA64="",$E64=""),"",AA64-$E64)</f>
        <v>-0.5</v>
      </c>
      <c r="AC64" s="39" t="n">
        <v>30</v>
      </c>
      <c r="AD64" s="40" t="n">
        <f aca="false">IF(OR(AC64="",BX64=""),"",AC64/BX64*100)</f>
        <v>85.7142857142857</v>
      </c>
      <c r="AE64" s="41" t="n">
        <f aca="false">IF(AD64="","",IFERROR(MATCH(AD64,INDEX(Boundaries!$B$2:$I$30,MATCH(CL64,Boundaries!$A$2:$A$30,0),0),1)-1,""))</f>
        <v>7</v>
      </c>
      <c r="AF64" s="42" t="n">
        <f aca="false">IF(OR(AE64="",$E64=""),"",AE64-$E64)</f>
        <v>0.5</v>
      </c>
      <c r="AG64" s="39" t="n">
        <v>47</v>
      </c>
      <c r="AH64" s="40" t="n">
        <f aca="false">IF(OR(AG64="",BY64=""),"",AG64/BY64*100)</f>
        <v>85.4545454545455</v>
      </c>
      <c r="AI64" s="41" t="n">
        <f aca="false">IF(AH64="","",IFERROR(MATCH(AH64,INDEX(Boundaries!$B$2:$I$30,MATCH(CM64,Boundaries!$A$2:$A$30,0),0),1)-1,""))</f>
        <v>7</v>
      </c>
      <c r="AJ64" s="42" t="n">
        <f aca="false">IF(OR(AI64="",$E64=""),"",AI64-$E64)</f>
        <v>0.5</v>
      </c>
      <c r="AK64" s="39"/>
      <c r="AL64" s="40" t="str">
        <f aca="false">IF(OR(AK64="",BZ64=""),"",AK64/BZ64*100)</f>
        <v/>
      </c>
      <c r="AM64" s="41" t="str">
        <f aca="false">IF(AL64="","",IFERROR(MATCH(AL64,INDEX(Boundaries!$B$2:$I$30,MATCH(CN64,Boundaries!$A$2:$A$30,0),0),1)-1,""))</f>
        <v/>
      </c>
      <c r="AN64" s="42" t="str">
        <f aca="false">IF(OR(AM64="",$E64=""),"",AM64-$E64)</f>
        <v/>
      </c>
      <c r="AO64" s="39"/>
      <c r="AP64" s="40" t="str">
        <f aca="false">IF(OR(AO64="",CA64=""),"",AO64/CA64*100)</f>
        <v/>
      </c>
      <c r="AQ64" s="41" t="str">
        <f aca="false">IF(AP64="","",IFERROR(MATCH(AP64,INDEX(Boundaries!$B$2:$I$30,MATCH(CO64,Boundaries!$A$2:$A$30,0),0),1)-1,""))</f>
        <v/>
      </c>
      <c r="AR64" s="42" t="str">
        <f aca="false">IF(OR(AQ64="",$E64=""),"",AQ64-$E64)</f>
        <v/>
      </c>
      <c r="AS64" s="39"/>
      <c r="AT64" s="40" t="str">
        <f aca="false">IF(OR(AS64="",CB64=""),"",AS64/CB64*100)</f>
        <v/>
      </c>
      <c r="AU64" s="41" t="str">
        <f aca="false">IF(AT64="","",IFERROR(MATCH(AT64,INDEX(Boundaries!$B$2:$I$30,MATCH(CP64,Boundaries!$A$2:$A$30,0),0),1)-1,""))</f>
        <v/>
      </c>
      <c r="AV64" s="42" t="str">
        <f aca="false">IF(OR(AU64="",$E64=""),"",AU64-$E64)</f>
        <v/>
      </c>
      <c r="AW64" s="39"/>
      <c r="AX64" s="40" t="str">
        <f aca="false">IF(OR(AW64="",CC64=""),"",AW64/CC64*100)</f>
        <v/>
      </c>
      <c r="AY64" s="41" t="str">
        <f aca="false">IF(AX64="","",IFERROR(MATCH(AX64,INDEX(Boundaries!$B$2:$I$30,MATCH(CQ64,Boundaries!$A$2:$A$30,0),0),1)-1,""))</f>
        <v/>
      </c>
      <c r="AZ64" s="42" t="str">
        <f aca="false">IF(OR(AY64="",$E64=""),"",AY64-$E64)</f>
        <v/>
      </c>
      <c r="BA64" s="39"/>
      <c r="BB64" s="40" t="str">
        <f aca="false">IF(OR(BA64="",CD64=""),"",BA64/CD64*100)</f>
        <v/>
      </c>
      <c r="BC64" s="41" t="str">
        <f aca="false">IF(BB64="","",IFERROR(MATCH(BB64,INDEX(Boundaries!$B$2:$I$30,MATCH(CR64,Boundaries!$A$2:$A$30,0),0),1)-1,""))</f>
        <v/>
      </c>
      <c r="BD64" s="42" t="str">
        <f aca="false">IF(OR(BC64="",$E64=""),"",BC64-$E64)</f>
        <v/>
      </c>
      <c r="BE64" s="39"/>
      <c r="BF64" s="40" t="str">
        <f aca="false">IF(OR(BE64="",CE64=""),"",BE64/CE64*100)</f>
        <v/>
      </c>
      <c r="BG64" s="41" t="str">
        <f aca="false">IF(BF64="","",IFERROR(MATCH(BF64,INDEX(Boundaries!$B$2:$I$30,MATCH(CS64,Boundaries!$A$2:$A$30,0),0),1)-1,""))</f>
        <v/>
      </c>
      <c r="BH64" s="42" t="str">
        <f aca="false">IF(OR(BG64="",$E64=""),"",BG64-$E64)</f>
        <v/>
      </c>
      <c r="BI64" s="39"/>
      <c r="BJ64" s="40" t="str">
        <f aca="false">IF(OR(BI64="",CF64=""),"",BI64/CF64*100)</f>
        <v/>
      </c>
      <c r="BK64" s="41" t="str">
        <f aca="false">IF(BJ64="","",IFERROR(MATCH(BJ64,INDEX(Boundaries!$B$2:$I$30,MATCH(CT64,Boundaries!$A$2:$A$30,0),0),1)-1,""))</f>
        <v/>
      </c>
      <c r="BL64" s="42" t="str">
        <f aca="false">IF(OR(BK64="",$E64=""),"",BK64-$E64)</f>
        <v/>
      </c>
      <c r="BM64" s="39"/>
      <c r="BN64" s="40" t="str">
        <f aca="false">IF(OR(BM64="",CG64=""),"",BM64/CG64*100)</f>
        <v/>
      </c>
      <c r="BO64" s="41" t="str">
        <f aca="false">IF(BN64="","",IFERROR(MATCH(BN64,INDEX(Boundaries!$B$2:$I$30,MATCH(CU64,Boundaries!$A$2:$A$30,0),0),1)-1,""))</f>
        <v/>
      </c>
      <c r="BP64" s="42" t="str">
        <f aca="false">IF(OR(BO64="",$E64=""),"",BO64-$E64)</f>
        <v/>
      </c>
      <c r="BQ64" s="39"/>
      <c r="BR64" s="40" t="str">
        <f aca="false">IF(OR(BQ64="",CH64=""),"",BQ64/CH64*100)</f>
        <v/>
      </c>
      <c r="BS64" s="41" t="str">
        <f aca="false">IF(BR64="","",IFERROR(MATCH(BR64,INDEX(Boundaries!$B$2:$I$30,MATCH(CV64,Boundaries!$A$2:$A$30,0),0),1)-1,""))</f>
        <v/>
      </c>
      <c r="BT64" s="42" t="str">
        <f aca="false">IF(OR(BS64="",$E64=""),"",BS64-$E64)</f>
        <v/>
      </c>
      <c r="BU64" s="28" t="n">
        <f aca="false">IFERROR(INDEX(Assessments!$H$2:$H$600,MATCH($H64&amp;"|"&amp;$I64&amp;"|"&amp;$J64&amp;"|"&amp;1,Assessments!$A$2:$A$600,0)),"")</f>
        <v>30</v>
      </c>
      <c r="BV64" s="28" t="n">
        <f aca="false">IFERROR(INDEX(Assessments!$H$2:$H$600,MATCH($H64&amp;"|"&amp;$I64&amp;"|"&amp;$J64&amp;"|"&amp;2,Assessments!$A$2:$A$600,0)),"")</f>
        <v>24</v>
      </c>
      <c r="BW64" s="28" t="n">
        <f aca="false">IFERROR(INDEX(Assessments!$H$2:$H$600,MATCH($H64&amp;"|"&amp;$I64&amp;"|"&amp;$J64&amp;"|"&amp;3,Assessments!$A$2:$A$600,0)),"")</f>
        <v>25</v>
      </c>
      <c r="BX64" s="28" t="n">
        <f aca="false">IFERROR(INDEX(Assessments!$H$2:$H$600,MATCH($H64&amp;"|"&amp;$I64&amp;"|"&amp;$J64&amp;"|"&amp;4,Assessments!$A$2:$A$600,0)),"")</f>
        <v>35</v>
      </c>
      <c r="BY64" s="28" t="n">
        <f aca="false">IFERROR(INDEX(Assessments!$H$2:$H$600,MATCH($H64&amp;"|"&amp;$I64&amp;"|"&amp;$J64&amp;"|"&amp;5,Assessments!$A$2:$A$600,0)),"")</f>
        <v>55</v>
      </c>
      <c r="BZ64" s="28" t="n">
        <f aca="false">IFERROR(INDEX(Assessments!$H$2:$H$600,MATCH($H64&amp;"|"&amp;$I64&amp;"|"&amp;$J64&amp;"|"&amp;6,Assessments!$A$2:$A$600,0)),"")</f>
        <v>30</v>
      </c>
      <c r="CA64" s="28" t="n">
        <f aca="false">IFERROR(INDEX(Assessments!$H$2:$H$600,MATCH($H64&amp;"|"&amp;$I64&amp;"|"&amp;$J64&amp;"|"&amp;7,Assessments!$A$2:$A$600,0)),"")</f>
        <v>95</v>
      </c>
      <c r="CB64" s="28" t="str">
        <f aca="false">IFERROR(INDEX(Assessments!$H$2:$H$600,MATCH($H64&amp;"|"&amp;$I64&amp;"|"&amp;$J64&amp;"|"&amp;8,Assessments!$A$2:$A$600,0)),"")</f>
        <v/>
      </c>
      <c r="CC64" s="28" t="str">
        <f aca="false">IFERROR(INDEX(Assessments!$H$2:$H$600,MATCH($H64&amp;"|"&amp;$I64&amp;"|"&amp;$J64&amp;"|"&amp;9,Assessments!$A$2:$A$600,0)),"")</f>
        <v/>
      </c>
      <c r="CD64" s="28" t="str">
        <f aca="false">IFERROR(INDEX(Assessments!$H$2:$H$600,MATCH($H64&amp;"|"&amp;$I64&amp;"|"&amp;$J64&amp;"|"&amp;10,Assessments!$A$2:$A$600,0)),"")</f>
        <v/>
      </c>
      <c r="CE64" s="28" t="str">
        <f aca="false">IFERROR(INDEX(Assessments!$H$2:$H$600,MATCH($H64&amp;"|"&amp;$I64&amp;"|"&amp;$J64&amp;"|"&amp;11,Assessments!$A$2:$A$600,0)),"")</f>
        <v/>
      </c>
      <c r="CF64" s="28" t="str">
        <f aca="false">IFERROR(INDEX(Assessments!$H$2:$H$600,MATCH($H64&amp;"|"&amp;$I64&amp;"|"&amp;$J64&amp;"|"&amp;12,Assessments!$A$2:$A$600,0)),"")</f>
        <v/>
      </c>
      <c r="CG64" s="28" t="str">
        <f aca="false">IFERROR(INDEX(Assessments!$H$2:$H$600,MATCH($H64&amp;"|"&amp;$I64&amp;"|"&amp;$J64&amp;"|"&amp;13,Assessments!$A$2:$A$600,0)),"")</f>
        <v/>
      </c>
      <c r="CH64" s="28" t="str">
        <f aca="false">IFERROR(INDEX(Assessments!$H$2:$H$600,MATCH($H64&amp;"|"&amp;$I64&amp;"|"&amp;$J64&amp;"|"&amp;14,Assessments!$A$2:$A$600,0)),"")</f>
        <v/>
      </c>
      <c r="CI64" s="28" t="str">
        <f aca="false">IFERROR(INDEX(Assessments!$I$2:$I$600,MATCH($H64&amp;"|"&amp;$I64&amp;"|"&amp;$J64&amp;"|"&amp;1,Assessments!$A$2:$A$600,0)),"")</f>
        <v>Econ Test</v>
      </c>
      <c r="CJ64" s="28" t="str">
        <f aca="false">IFERROR(INDEX(Assessments!$I$2:$I$600,MATCH($H64&amp;"|"&amp;$I64&amp;"|"&amp;$J64&amp;"|"&amp;2,Assessments!$A$2:$A$600,0)),"")</f>
        <v>Econ Test</v>
      </c>
      <c r="CK64" s="28" t="str">
        <f aca="false">IFERROR(INDEX(Assessments!$I$2:$I$600,MATCH($H64&amp;"|"&amp;$I64&amp;"|"&amp;$J64&amp;"|"&amp;3,Assessments!$A$2:$A$600,0)),"")</f>
        <v>Econ Test</v>
      </c>
      <c r="CL64" s="28" t="str">
        <f aca="false">IFERROR(INDEX(Assessments!$I$2:$I$600,MATCH($H64&amp;"|"&amp;$I64&amp;"|"&amp;$J64&amp;"|"&amp;4,Assessments!$A$2:$A$600,0)),"")</f>
        <v>Econ Test</v>
      </c>
      <c r="CM64" s="28" t="str">
        <f aca="false">IFERROR(INDEX(Assessments!$I$2:$I$600,MATCH($H64&amp;"|"&amp;$I64&amp;"|"&amp;$J64&amp;"|"&amp;5,Assessments!$A$2:$A$600,0)),"")</f>
        <v>Econ Exam</v>
      </c>
      <c r="CN64" s="28" t="str">
        <f aca="false">IFERROR(INDEX(Assessments!$I$2:$I$600,MATCH($H64&amp;"|"&amp;$I64&amp;"|"&amp;$J64&amp;"|"&amp;6,Assessments!$A$2:$A$600,0)),"")</f>
        <v>Econ Test</v>
      </c>
      <c r="CO64" s="28" t="str">
        <f aca="false">IFERROR(INDEX(Assessments!$I$2:$I$600,MATCH($H64&amp;"|"&amp;$I64&amp;"|"&amp;$J64&amp;"|"&amp;7,Assessments!$A$2:$A$600,0)),"")</f>
        <v>Econ Exam</v>
      </c>
      <c r="CP64" s="28" t="str">
        <f aca="false">IFERROR(INDEX(Assessments!$I$2:$I$600,MATCH($H64&amp;"|"&amp;$I64&amp;"|"&amp;$J64&amp;"|"&amp;8,Assessments!$A$2:$A$600,0)),"")</f>
        <v/>
      </c>
      <c r="CQ64" s="28" t="str">
        <f aca="false">IFERROR(INDEX(Assessments!$I$2:$I$600,MATCH($H64&amp;"|"&amp;$I64&amp;"|"&amp;$J64&amp;"|"&amp;9,Assessments!$A$2:$A$600,0)),"")</f>
        <v/>
      </c>
      <c r="CR64" s="28" t="str">
        <f aca="false">IFERROR(INDEX(Assessments!$I$2:$I$600,MATCH($H64&amp;"|"&amp;$I64&amp;"|"&amp;$J64&amp;"|"&amp;10,Assessments!$A$2:$A$600,0)),"")</f>
        <v/>
      </c>
      <c r="CS64" s="28" t="str">
        <f aca="false">IFERROR(INDEX(Assessments!$I$2:$I$600,MATCH($H64&amp;"|"&amp;$I64&amp;"|"&amp;$J64&amp;"|"&amp;11,Assessments!$A$2:$A$600,0)),"")</f>
        <v/>
      </c>
      <c r="CT64" s="28" t="str">
        <f aca="false">IFERROR(INDEX(Assessments!$I$2:$I$600,MATCH($H64&amp;"|"&amp;$I64&amp;"|"&amp;$J64&amp;"|"&amp;12,Assessments!$A$2:$A$600,0)),"")</f>
        <v/>
      </c>
      <c r="CU64" s="28" t="str">
        <f aca="false">IFERROR(INDEX(Assessments!$I$2:$I$600,MATCH($H64&amp;"|"&amp;$I64&amp;"|"&amp;$J64&amp;"|"&amp;13,Assessments!$A$2:$A$600,0)),"")</f>
        <v/>
      </c>
      <c r="CV64" s="28" t="str">
        <f aca="false">IFERROR(INDEX(Assessments!$I$2:$I$600,MATCH($H64&amp;"|"&amp;$I64&amp;"|"&amp;$J64&amp;"|"&amp;14,Assessments!$A$2:$A$600,0)),"")</f>
        <v/>
      </c>
      <c r="CW64" s="28" t="n">
        <f aca="false">IFERROR(INDEX(Assessments!$J$2:$J$600,MATCH($H64&amp;"|"&amp;$I64&amp;"|"&amp;$J64&amp;"|"&amp;1,Assessments!$A$2:$A$600,0)),0)</f>
        <v>1</v>
      </c>
      <c r="CX64" s="28" t="n">
        <f aca="false">IFERROR(INDEX(Assessments!$J$2:$J$600,MATCH($H64&amp;"|"&amp;$I64&amp;"|"&amp;$J64&amp;"|"&amp;2,Assessments!$A$2:$A$600,0)),0)</f>
        <v>1</v>
      </c>
      <c r="CY64" s="28" t="n">
        <f aca="false">IFERROR(INDEX(Assessments!$J$2:$J$600,MATCH($H64&amp;"|"&amp;$I64&amp;"|"&amp;$J64&amp;"|"&amp;3,Assessments!$A$2:$A$600,0)),0)</f>
        <v>1</v>
      </c>
      <c r="CZ64" s="28" t="n">
        <f aca="false">IFERROR(INDEX(Assessments!$J$2:$J$600,MATCH($H64&amp;"|"&amp;$I64&amp;"|"&amp;$J64&amp;"|"&amp;4,Assessments!$A$2:$A$600,0)),0)</f>
        <v>1</v>
      </c>
      <c r="DA64" s="28" t="n">
        <f aca="false">IFERROR(INDEX(Assessments!$J$2:$J$600,MATCH($H64&amp;"|"&amp;$I64&amp;"|"&amp;$J64&amp;"|"&amp;5,Assessments!$A$2:$A$600,0)),0)</f>
        <v>2</v>
      </c>
      <c r="DB64" s="28" t="n">
        <f aca="false">IFERROR(INDEX(Assessments!$J$2:$J$600,MATCH($H64&amp;"|"&amp;$I64&amp;"|"&amp;$J64&amp;"|"&amp;6,Assessments!$A$2:$A$600,0)),0)</f>
        <v>1</v>
      </c>
      <c r="DC64" s="28" t="n">
        <f aca="false">IFERROR(INDEX(Assessments!$J$2:$J$600,MATCH($H64&amp;"|"&amp;$I64&amp;"|"&amp;$J64&amp;"|"&amp;7,Assessments!$A$2:$A$600,0)),0)</f>
        <v>2</v>
      </c>
      <c r="DD64" s="28" t="n">
        <f aca="false">IFERROR(INDEX(Assessments!$J$2:$J$600,MATCH($H64&amp;"|"&amp;$I64&amp;"|"&amp;$J64&amp;"|"&amp;8,Assessments!$A$2:$A$600,0)),0)</f>
        <v>0</v>
      </c>
      <c r="DE64" s="28" t="n">
        <f aca="false">IFERROR(INDEX(Assessments!$J$2:$J$600,MATCH($H64&amp;"|"&amp;$I64&amp;"|"&amp;$J64&amp;"|"&amp;9,Assessments!$A$2:$A$600,0)),0)</f>
        <v>0</v>
      </c>
      <c r="DF64" s="28" t="n">
        <f aca="false">IFERROR(INDEX(Assessments!$J$2:$J$600,MATCH($H64&amp;"|"&amp;$I64&amp;"|"&amp;$J64&amp;"|"&amp;10,Assessments!$A$2:$A$600,0)),0)</f>
        <v>0</v>
      </c>
      <c r="DG64" s="28" t="n">
        <f aca="false">IFERROR(INDEX(Assessments!$J$2:$J$600,MATCH($H64&amp;"|"&amp;$I64&amp;"|"&amp;$J64&amp;"|"&amp;11,Assessments!$A$2:$A$600,0)),0)</f>
        <v>0</v>
      </c>
      <c r="DH64" s="28" t="n">
        <f aca="false">IFERROR(INDEX(Assessments!$J$2:$J$600,MATCH($H64&amp;"|"&amp;$I64&amp;"|"&amp;$J64&amp;"|"&amp;12,Assessments!$A$2:$A$600,0)),0)</f>
        <v>0</v>
      </c>
      <c r="DI64" s="28" t="n">
        <f aca="false">IFERROR(INDEX(Assessments!$J$2:$J$600,MATCH($H64&amp;"|"&amp;$I64&amp;"|"&amp;$J64&amp;"|"&amp;13,Assessments!$A$2:$A$600,0)),0)</f>
        <v>0</v>
      </c>
      <c r="DJ64" s="28" t="n">
        <f aca="false">IFERROR(INDEX(Assessments!$J$2:$J$600,MATCH($H64&amp;"|"&amp;$I64&amp;"|"&amp;$J64&amp;"|"&amp;14,Assessments!$A$2:$A$600,0)),0)</f>
        <v>0</v>
      </c>
      <c r="DK64" s="28" t="n">
        <f aca="false">S64</f>
        <v>5</v>
      </c>
      <c r="DL64" s="28" t="n">
        <f aca="false">W64</f>
        <v>5</v>
      </c>
      <c r="DM64" s="28" t="n">
        <f aca="false">AA64</f>
        <v>6</v>
      </c>
      <c r="DN64" s="28" t="n">
        <f aca="false">AE64</f>
        <v>7</v>
      </c>
      <c r="DO64" s="28" t="n">
        <f aca="false">AI64</f>
        <v>7</v>
      </c>
      <c r="DP64" s="28" t="str">
        <f aca="false">AM64</f>
        <v/>
      </c>
      <c r="DQ64" s="28" t="str">
        <f aca="false">AQ64</f>
        <v/>
      </c>
      <c r="DR64" s="28" t="str">
        <f aca="false">AU64</f>
        <v/>
      </c>
      <c r="DS64" s="28" t="str">
        <f aca="false">AY64</f>
        <v/>
      </c>
      <c r="DT64" s="28" t="str">
        <f aca="false">BC64</f>
        <v/>
      </c>
      <c r="DU64" s="28" t="str">
        <f aca="false">BG64</f>
        <v/>
      </c>
      <c r="DV64" s="28" t="str">
        <f aca="false">BK64</f>
        <v/>
      </c>
      <c r="DW64" s="28" t="str">
        <f aca="false">BO64</f>
        <v/>
      </c>
      <c r="DX64" s="28" t="str">
        <f aca="false">BS64</f>
        <v/>
      </c>
      <c r="DY64" s="28" t="n">
        <f aca="false">IF(ISNUMBER(S64),1,"")</f>
        <v>1</v>
      </c>
      <c r="DZ64" s="28" t="n">
        <f aca="false">IF(ISNUMBER(W64),2,"")</f>
        <v>2</v>
      </c>
      <c r="EA64" s="28" t="n">
        <f aca="false">IF(ISNUMBER(AA64),3,"")</f>
        <v>3</v>
      </c>
      <c r="EB64" s="28" t="n">
        <f aca="false">IF(ISNUMBER(AE64),4,"")</f>
        <v>4</v>
      </c>
      <c r="EC64" s="28" t="n">
        <f aca="false">IF(ISNUMBER(AI64),5,"")</f>
        <v>5</v>
      </c>
      <c r="ED64" s="28" t="str">
        <f aca="false">IF(ISNUMBER(AM64),6,"")</f>
        <v/>
      </c>
      <c r="EE64" s="28" t="str">
        <f aca="false">IF(ISNUMBER(AQ64),7,"")</f>
        <v/>
      </c>
      <c r="EF64" s="28" t="str">
        <f aca="false">IF(ISNUMBER(AU64),8,"")</f>
        <v/>
      </c>
      <c r="EG64" s="28" t="str">
        <f aca="false">IF(ISNUMBER(AY64),9,"")</f>
        <v/>
      </c>
      <c r="EH64" s="28" t="str">
        <f aca="false">IF(ISNUMBER(BC64),10,"")</f>
        <v/>
      </c>
      <c r="EI64" s="28" t="str">
        <f aca="false">IF(ISNUMBER(BG64),11,"")</f>
        <v/>
      </c>
      <c r="EJ64" s="28" t="str">
        <f aca="false">IF(ISNUMBER(BK64),12,"")</f>
        <v/>
      </c>
      <c r="EK64" s="28" t="str">
        <f aca="false">IF(ISNUMBER(BO64),13,"")</f>
        <v/>
      </c>
      <c r="EL64" s="28" t="str">
        <f aca="false">IF(ISNUMBER(BS64),14,"")</f>
        <v/>
      </c>
      <c r="EM64" s="28" t="n">
        <f aca="false">IF(ISNUMBER(R64),R64*CW64,0)</f>
        <v>70</v>
      </c>
      <c r="EN64" s="28" t="n">
        <f aca="false">IF(ISNUMBER(V64),V64*CX64,0)</f>
        <v>66.6666666666667</v>
      </c>
      <c r="EO64" s="28" t="n">
        <f aca="false">IF(ISNUMBER(Z64),Z64*CY64,0)</f>
        <v>80</v>
      </c>
      <c r="EP64" s="28" t="n">
        <f aca="false">IF(ISNUMBER(AD64),AD64*CZ64,0)</f>
        <v>85.7142857142857</v>
      </c>
      <c r="EQ64" s="28" t="n">
        <f aca="false">IF(ISNUMBER(AH64),AH64*DA64,0)</f>
        <v>170.909090909091</v>
      </c>
      <c r="ER64" s="28" t="n">
        <f aca="false">IF(ISNUMBER(AL64),AL64*DB64,0)</f>
        <v>0</v>
      </c>
      <c r="ES64" s="28" t="n">
        <f aca="false">IF(ISNUMBER(AP64),AP64*DC64,0)</f>
        <v>0</v>
      </c>
      <c r="ET64" s="28" t="n">
        <f aca="false">IF(ISNUMBER(AT64),AT64*DD64,0)</f>
        <v>0</v>
      </c>
      <c r="EU64" s="28" t="n">
        <f aca="false">IF(ISNUMBER(AX64),AX64*DE64,0)</f>
        <v>0</v>
      </c>
      <c r="EV64" s="28" t="n">
        <f aca="false">IF(ISNUMBER(BB64),BB64*DF64,0)</f>
        <v>0</v>
      </c>
      <c r="EW64" s="28" t="n">
        <f aca="false">IF(ISNUMBER(BF64),BF64*DG64,0)</f>
        <v>0</v>
      </c>
      <c r="EX64" s="28" t="n">
        <f aca="false">IF(ISNUMBER(BJ64),BJ64*DH64,0)</f>
        <v>0</v>
      </c>
      <c r="EY64" s="28" t="n">
        <f aca="false">IF(ISNUMBER(BN64),BN64*DI64,0)</f>
        <v>0</v>
      </c>
      <c r="EZ64" s="28" t="n">
        <f aca="false">IF(ISNUMBER(BR64),BR64*DJ64,0)</f>
        <v>0</v>
      </c>
      <c r="FA64" s="28" t="n">
        <f aca="false">IF(ISNUMBER(R64),CW64,0)</f>
        <v>1</v>
      </c>
      <c r="FB64" s="28" t="n">
        <f aca="false">IF(ISNUMBER(V64),CX64,0)</f>
        <v>1</v>
      </c>
      <c r="FC64" s="28" t="n">
        <f aca="false">IF(ISNUMBER(Z64),CY64,0)</f>
        <v>1</v>
      </c>
      <c r="FD64" s="28" t="n">
        <f aca="false">IF(ISNUMBER(AD64),CZ64,0)</f>
        <v>1</v>
      </c>
      <c r="FE64" s="28" t="n">
        <f aca="false">IF(ISNUMBER(AH64),DA64,0)</f>
        <v>2</v>
      </c>
      <c r="FF64" s="28" t="n">
        <f aca="false">IF(ISNUMBER(AL64),DB64,0)</f>
        <v>0</v>
      </c>
      <c r="FG64" s="28" t="n">
        <f aca="false">IF(ISNUMBER(AP64),DC64,0)</f>
        <v>0</v>
      </c>
      <c r="FH64" s="28" t="n">
        <f aca="false">IF(ISNUMBER(AT64),DD64,0)</f>
        <v>0</v>
      </c>
      <c r="FI64" s="28" t="n">
        <f aca="false">IF(ISNUMBER(AX64),DE64,0)</f>
        <v>0</v>
      </c>
      <c r="FJ64" s="28" t="n">
        <f aca="false">IF(ISNUMBER(BB64),DF64,0)</f>
        <v>0</v>
      </c>
      <c r="FK64" s="28" t="n">
        <f aca="false">IF(ISNUMBER(BF64),DG64,0)</f>
        <v>0</v>
      </c>
      <c r="FL64" s="28" t="n">
        <f aca="false">IF(ISNUMBER(BJ64),DH64,0)</f>
        <v>0</v>
      </c>
      <c r="FM64" s="28" t="n">
        <f aca="false">IF(ISNUMBER(BN64),DI64,0)</f>
        <v>0</v>
      </c>
      <c r="FN64" s="28" t="n">
        <f aca="false">IF(ISNUMBER(BR64),DJ64,0)</f>
        <v>0</v>
      </c>
      <c r="FO64" s="28" t="str">
        <f aca="false">IFERROR(INDEX(Lists!$G$2:$G$20,MATCH($I64&amp;"|"&amp;$J64,Lists!$F$2:$F$20,0)),"")</f>
        <v>Econ Exam</v>
      </c>
    </row>
    <row r="65" customFormat="false" ht="19.5" hidden="false" customHeight="true" outlineLevel="0" collapsed="false">
      <c r="A65" s="29" t="s">
        <v>261</v>
      </c>
      <c r="B65" s="29" t="s">
        <v>262</v>
      </c>
      <c r="C65" s="30" t="s">
        <v>152</v>
      </c>
      <c r="D65" s="30" t="s">
        <v>246</v>
      </c>
      <c r="E65" s="31" t="n">
        <v>6.5</v>
      </c>
      <c r="F65" s="30" t="n">
        <v>7</v>
      </c>
      <c r="G65" s="30"/>
      <c r="H65" s="32" t="s">
        <v>23</v>
      </c>
      <c r="I65" s="33" t="s">
        <v>229</v>
      </c>
      <c r="J65" s="32" t="s">
        <v>25</v>
      </c>
      <c r="K65" s="34" t="n">
        <f aca="false">IF(OR(M65="",$E65=""),"",M65-$E65)</f>
        <v>0.5</v>
      </c>
      <c r="L65" s="35" t="n">
        <f aca="false">IF(SUM(FA65:FN65)=0,"",SUM(EM65:EZ65)/SUM(FA65:FN65))</f>
        <v>88.5075757575758</v>
      </c>
      <c r="M65" s="36" t="n">
        <f aca="false">IF(OR(L65="",FO65=""),"",IFERROR(MATCH(L65,INDEX(Boundaries!$B$2:$I$30,MATCH(FO65,Boundaries!$A$2:$A$30,0),0),1)-1,""))</f>
        <v>7</v>
      </c>
      <c r="N65" s="37" t="n">
        <f aca="false">IF(COUNT($DY65:$EL65)&lt;2,"",INDEX($DK65:$DX65,MAX($DY65:$EL65))-INDEX($DK65:$DX65,MIN($DY65:$EL65)))</f>
        <v>1</v>
      </c>
      <c r="O65" s="37" t="n">
        <f aca="false">IF(COUNT($DY65:$EL65)&lt;2,"",INDEX($DK65:$DX65,MAX($DY65:$EL65))-INDEX($DK65:$DX65,LARGE($DY65:$EL65,2)))</f>
        <v>0</v>
      </c>
      <c r="P65" s="38" t="str">
        <f aca="false">IF(K65="","",IF(K65&gt;=0,"On/above target",IF(AND(N65&lt;&gt;"",N65&gt;=0.5),"Improving towards target",IF(AND(O65&lt;&gt;"",O65&lt;=-0.5),"Declining","Stable below target"))))</f>
        <v>On/above target</v>
      </c>
      <c r="Q65" s="39" t="n">
        <v>23</v>
      </c>
      <c r="R65" s="40" t="n">
        <f aca="false">IF(OR(Q65="",BU65=""),"",Q65/BU65*100)</f>
        <v>76.6666666666667</v>
      </c>
      <c r="S65" s="41" t="n">
        <f aca="false">IF(R65="","",IFERROR(MATCH(R65,INDEX(Boundaries!$B$2:$I$30,MATCH(CI65,Boundaries!$A$2:$A$30,0),0),1)-1,""))</f>
        <v>6</v>
      </c>
      <c r="T65" s="42" t="n">
        <f aca="false">IF(OR(S65="",$E65=""),"",S65-$E65)</f>
        <v>-0.5</v>
      </c>
      <c r="U65" s="39" t="n">
        <v>23</v>
      </c>
      <c r="V65" s="40" t="n">
        <f aca="false">IF(OR(U65="",BV65=""),"",U65/BV65*100)</f>
        <v>95.8333333333333</v>
      </c>
      <c r="W65" s="41" t="n">
        <f aca="false">IF(V65="","",IFERROR(MATCH(V65,INDEX(Boundaries!$B$2:$I$30,MATCH(CJ65,Boundaries!$A$2:$A$30,0),0),1)-1,""))</f>
        <v>7</v>
      </c>
      <c r="X65" s="42" t="n">
        <f aca="false">IF(OR(W65="",$E65=""),"",W65-$E65)</f>
        <v>0.5</v>
      </c>
      <c r="Y65" s="39" t="n">
        <v>21</v>
      </c>
      <c r="Z65" s="40" t="n">
        <f aca="false">IF(OR(Y65="",BW65=""),"",Y65/BW65*100)</f>
        <v>84</v>
      </c>
      <c r="AA65" s="41" t="n">
        <f aca="false">IF(Z65="","",IFERROR(MATCH(Z65,INDEX(Boundaries!$B$2:$I$30,MATCH(CK65,Boundaries!$A$2:$A$30,0),0),1)-1,""))</f>
        <v>6</v>
      </c>
      <c r="AB65" s="42" t="n">
        <f aca="false">IF(OR(AA65="",$E65=""),"",AA65-$E65)</f>
        <v>-0.5</v>
      </c>
      <c r="AC65" s="39" t="n">
        <v>35</v>
      </c>
      <c r="AD65" s="40" t="n">
        <f aca="false">IF(OR(AC65="",BX65=""),"",AC65/BX65*100)</f>
        <v>100</v>
      </c>
      <c r="AE65" s="41" t="n">
        <f aca="false">IF(AD65="","",IFERROR(MATCH(AD65,INDEX(Boundaries!$B$2:$I$30,MATCH(CL65,Boundaries!$A$2:$A$30,0),0),1)-1,""))</f>
        <v>7</v>
      </c>
      <c r="AF65" s="42" t="n">
        <f aca="false">IF(OR(AE65="",$E65=""),"",AE65-$E65)</f>
        <v>0.5</v>
      </c>
      <c r="AG65" s="39" t="n">
        <v>48</v>
      </c>
      <c r="AH65" s="40" t="n">
        <f aca="false">IF(OR(AG65="",BY65=""),"",AG65/BY65*100)</f>
        <v>87.2727272727273</v>
      </c>
      <c r="AI65" s="41" t="n">
        <f aca="false">IF(AH65="","",IFERROR(MATCH(AH65,INDEX(Boundaries!$B$2:$I$30,MATCH(CM65,Boundaries!$A$2:$A$30,0),0),1)-1,""))</f>
        <v>7</v>
      </c>
      <c r="AJ65" s="42" t="n">
        <f aca="false">IF(OR(AI65="",$E65=""),"",AI65-$E65)</f>
        <v>0.5</v>
      </c>
      <c r="AK65" s="39"/>
      <c r="AL65" s="40" t="str">
        <f aca="false">IF(OR(AK65="",BZ65=""),"",AK65/BZ65*100)</f>
        <v/>
      </c>
      <c r="AM65" s="41" t="str">
        <f aca="false">IF(AL65="","",IFERROR(MATCH(AL65,INDEX(Boundaries!$B$2:$I$30,MATCH(CN65,Boundaries!$A$2:$A$30,0),0),1)-1,""))</f>
        <v/>
      </c>
      <c r="AN65" s="42" t="str">
        <f aca="false">IF(OR(AM65="",$E65=""),"",AM65-$E65)</f>
        <v/>
      </c>
      <c r="AO65" s="39"/>
      <c r="AP65" s="40" t="str">
        <f aca="false">IF(OR(AO65="",CA65=""),"",AO65/CA65*100)</f>
        <v/>
      </c>
      <c r="AQ65" s="41" t="str">
        <f aca="false">IF(AP65="","",IFERROR(MATCH(AP65,INDEX(Boundaries!$B$2:$I$30,MATCH(CO65,Boundaries!$A$2:$A$30,0),0),1)-1,""))</f>
        <v/>
      </c>
      <c r="AR65" s="42" t="str">
        <f aca="false">IF(OR(AQ65="",$E65=""),"",AQ65-$E65)</f>
        <v/>
      </c>
      <c r="AS65" s="39"/>
      <c r="AT65" s="40" t="str">
        <f aca="false">IF(OR(AS65="",CB65=""),"",AS65/CB65*100)</f>
        <v/>
      </c>
      <c r="AU65" s="41" t="str">
        <f aca="false">IF(AT65="","",IFERROR(MATCH(AT65,INDEX(Boundaries!$B$2:$I$30,MATCH(CP65,Boundaries!$A$2:$A$30,0),0),1)-1,""))</f>
        <v/>
      </c>
      <c r="AV65" s="42" t="str">
        <f aca="false">IF(OR(AU65="",$E65=""),"",AU65-$E65)</f>
        <v/>
      </c>
      <c r="AW65" s="39"/>
      <c r="AX65" s="40" t="str">
        <f aca="false">IF(OR(AW65="",CC65=""),"",AW65/CC65*100)</f>
        <v/>
      </c>
      <c r="AY65" s="41" t="str">
        <f aca="false">IF(AX65="","",IFERROR(MATCH(AX65,INDEX(Boundaries!$B$2:$I$30,MATCH(CQ65,Boundaries!$A$2:$A$30,0),0),1)-1,""))</f>
        <v/>
      </c>
      <c r="AZ65" s="42" t="str">
        <f aca="false">IF(OR(AY65="",$E65=""),"",AY65-$E65)</f>
        <v/>
      </c>
      <c r="BA65" s="39"/>
      <c r="BB65" s="40" t="str">
        <f aca="false">IF(OR(BA65="",CD65=""),"",BA65/CD65*100)</f>
        <v/>
      </c>
      <c r="BC65" s="41" t="str">
        <f aca="false">IF(BB65="","",IFERROR(MATCH(BB65,INDEX(Boundaries!$B$2:$I$30,MATCH(CR65,Boundaries!$A$2:$A$30,0),0),1)-1,""))</f>
        <v/>
      </c>
      <c r="BD65" s="42" t="str">
        <f aca="false">IF(OR(BC65="",$E65=""),"",BC65-$E65)</f>
        <v/>
      </c>
      <c r="BE65" s="39"/>
      <c r="BF65" s="40" t="str">
        <f aca="false">IF(OR(BE65="",CE65=""),"",BE65/CE65*100)</f>
        <v/>
      </c>
      <c r="BG65" s="41" t="str">
        <f aca="false">IF(BF65="","",IFERROR(MATCH(BF65,INDEX(Boundaries!$B$2:$I$30,MATCH(CS65,Boundaries!$A$2:$A$30,0),0),1)-1,""))</f>
        <v/>
      </c>
      <c r="BH65" s="42" t="str">
        <f aca="false">IF(OR(BG65="",$E65=""),"",BG65-$E65)</f>
        <v/>
      </c>
      <c r="BI65" s="39"/>
      <c r="BJ65" s="40" t="str">
        <f aca="false">IF(OR(BI65="",CF65=""),"",BI65/CF65*100)</f>
        <v/>
      </c>
      <c r="BK65" s="41" t="str">
        <f aca="false">IF(BJ65="","",IFERROR(MATCH(BJ65,INDEX(Boundaries!$B$2:$I$30,MATCH(CT65,Boundaries!$A$2:$A$30,0),0),1)-1,""))</f>
        <v/>
      </c>
      <c r="BL65" s="42" t="str">
        <f aca="false">IF(OR(BK65="",$E65=""),"",BK65-$E65)</f>
        <v/>
      </c>
      <c r="BM65" s="39"/>
      <c r="BN65" s="40" t="str">
        <f aca="false">IF(OR(BM65="",CG65=""),"",BM65/CG65*100)</f>
        <v/>
      </c>
      <c r="BO65" s="41" t="str">
        <f aca="false">IF(BN65="","",IFERROR(MATCH(BN65,INDEX(Boundaries!$B$2:$I$30,MATCH(CU65,Boundaries!$A$2:$A$30,0),0),1)-1,""))</f>
        <v/>
      </c>
      <c r="BP65" s="42" t="str">
        <f aca="false">IF(OR(BO65="",$E65=""),"",BO65-$E65)</f>
        <v/>
      </c>
      <c r="BQ65" s="39"/>
      <c r="BR65" s="40" t="str">
        <f aca="false">IF(OR(BQ65="",CH65=""),"",BQ65/CH65*100)</f>
        <v/>
      </c>
      <c r="BS65" s="41" t="str">
        <f aca="false">IF(BR65="","",IFERROR(MATCH(BR65,INDEX(Boundaries!$B$2:$I$30,MATCH(CV65,Boundaries!$A$2:$A$30,0),0),1)-1,""))</f>
        <v/>
      </c>
      <c r="BT65" s="42" t="str">
        <f aca="false">IF(OR(BS65="",$E65=""),"",BS65-$E65)</f>
        <v/>
      </c>
      <c r="BU65" s="28" t="n">
        <f aca="false">IFERROR(INDEX(Assessments!$H$2:$H$600,MATCH($H65&amp;"|"&amp;$I65&amp;"|"&amp;$J65&amp;"|"&amp;1,Assessments!$A$2:$A$600,0)),"")</f>
        <v>30</v>
      </c>
      <c r="BV65" s="28" t="n">
        <f aca="false">IFERROR(INDEX(Assessments!$H$2:$H$600,MATCH($H65&amp;"|"&amp;$I65&amp;"|"&amp;$J65&amp;"|"&amp;2,Assessments!$A$2:$A$600,0)),"")</f>
        <v>24</v>
      </c>
      <c r="BW65" s="28" t="n">
        <f aca="false">IFERROR(INDEX(Assessments!$H$2:$H$600,MATCH($H65&amp;"|"&amp;$I65&amp;"|"&amp;$J65&amp;"|"&amp;3,Assessments!$A$2:$A$600,0)),"")</f>
        <v>25</v>
      </c>
      <c r="BX65" s="28" t="n">
        <f aca="false">IFERROR(INDEX(Assessments!$H$2:$H$600,MATCH($H65&amp;"|"&amp;$I65&amp;"|"&amp;$J65&amp;"|"&amp;4,Assessments!$A$2:$A$600,0)),"")</f>
        <v>35</v>
      </c>
      <c r="BY65" s="28" t="n">
        <f aca="false">IFERROR(INDEX(Assessments!$H$2:$H$600,MATCH($H65&amp;"|"&amp;$I65&amp;"|"&amp;$J65&amp;"|"&amp;5,Assessments!$A$2:$A$600,0)),"")</f>
        <v>55</v>
      </c>
      <c r="BZ65" s="28" t="n">
        <f aca="false">IFERROR(INDEX(Assessments!$H$2:$H$600,MATCH($H65&amp;"|"&amp;$I65&amp;"|"&amp;$J65&amp;"|"&amp;6,Assessments!$A$2:$A$600,0)),"")</f>
        <v>30</v>
      </c>
      <c r="CA65" s="28" t="n">
        <f aca="false">IFERROR(INDEX(Assessments!$H$2:$H$600,MATCH($H65&amp;"|"&amp;$I65&amp;"|"&amp;$J65&amp;"|"&amp;7,Assessments!$A$2:$A$600,0)),"")</f>
        <v>95</v>
      </c>
      <c r="CB65" s="28" t="str">
        <f aca="false">IFERROR(INDEX(Assessments!$H$2:$H$600,MATCH($H65&amp;"|"&amp;$I65&amp;"|"&amp;$J65&amp;"|"&amp;8,Assessments!$A$2:$A$600,0)),"")</f>
        <v/>
      </c>
      <c r="CC65" s="28" t="str">
        <f aca="false">IFERROR(INDEX(Assessments!$H$2:$H$600,MATCH($H65&amp;"|"&amp;$I65&amp;"|"&amp;$J65&amp;"|"&amp;9,Assessments!$A$2:$A$600,0)),"")</f>
        <v/>
      </c>
      <c r="CD65" s="28" t="str">
        <f aca="false">IFERROR(INDEX(Assessments!$H$2:$H$600,MATCH($H65&amp;"|"&amp;$I65&amp;"|"&amp;$J65&amp;"|"&amp;10,Assessments!$A$2:$A$600,0)),"")</f>
        <v/>
      </c>
      <c r="CE65" s="28" t="str">
        <f aca="false">IFERROR(INDEX(Assessments!$H$2:$H$600,MATCH($H65&amp;"|"&amp;$I65&amp;"|"&amp;$J65&amp;"|"&amp;11,Assessments!$A$2:$A$600,0)),"")</f>
        <v/>
      </c>
      <c r="CF65" s="28" t="str">
        <f aca="false">IFERROR(INDEX(Assessments!$H$2:$H$600,MATCH($H65&amp;"|"&amp;$I65&amp;"|"&amp;$J65&amp;"|"&amp;12,Assessments!$A$2:$A$600,0)),"")</f>
        <v/>
      </c>
      <c r="CG65" s="28" t="str">
        <f aca="false">IFERROR(INDEX(Assessments!$H$2:$H$600,MATCH($H65&amp;"|"&amp;$I65&amp;"|"&amp;$J65&amp;"|"&amp;13,Assessments!$A$2:$A$600,0)),"")</f>
        <v/>
      </c>
      <c r="CH65" s="28" t="str">
        <f aca="false">IFERROR(INDEX(Assessments!$H$2:$H$600,MATCH($H65&amp;"|"&amp;$I65&amp;"|"&amp;$J65&amp;"|"&amp;14,Assessments!$A$2:$A$600,0)),"")</f>
        <v/>
      </c>
      <c r="CI65" s="28" t="str">
        <f aca="false">IFERROR(INDEX(Assessments!$I$2:$I$600,MATCH($H65&amp;"|"&amp;$I65&amp;"|"&amp;$J65&amp;"|"&amp;1,Assessments!$A$2:$A$600,0)),"")</f>
        <v>Econ Test</v>
      </c>
      <c r="CJ65" s="28" t="str">
        <f aca="false">IFERROR(INDEX(Assessments!$I$2:$I$600,MATCH($H65&amp;"|"&amp;$I65&amp;"|"&amp;$J65&amp;"|"&amp;2,Assessments!$A$2:$A$600,0)),"")</f>
        <v>Econ Test</v>
      </c>
      <c r="CK65" s="28" t="str">
        <f aca="false">IFERROR(INDEX(Assessments!$I$2:$I$600,MATCH($H65&amp;"|"&amp;$I65&amp;"|"&amp;$J65&amp;"|"&amp;3,Assessments!$A$2:$A$600,0)),"")</f>
        <v>Econ Test</v>
      </c>
      <c r="CL65" s="28" t="str">
        <f aca="false">IFERROR(INDEX(Assessments!$I$2:$I$600,MATCH($H65&amp;"|"&amp;$I65&amp;"|"&amp;$J65&amp;"|"&amp;4,Assessments!$A$2:$A$600,0)),"")</f>
        <v>Econ Test</v>
      </c>
      <c r="CM65" s="28" t="str">
        <f aca="false">IFERROR(INDEX(Assessments!$I$2:$I$600,MATCH($H65&amp;"|"&amp;$I65&amp;"|"&amp;$J65&amp;"|"&amp;5,Assessments!$A$2:$A$600,0)),"")</f>
        <v>Econ Exam</v>
      </c>
      <c r="CN65" s="28" t="str">
        <f aca="false">IFERROR(INDEX(Assessments!$I$2:$I$600,MATCH($H65&amp;"|"&amp;$I65&amp;"|"&amp;$J65&amp;"|"&amp;6,Assessments!$A$2:$A$600,0)),"")</f>
        <v>Econ Test</v>
      </c>
      <c r="CO65" s="28" t="str">
        <f aca="false">IFERROR(INDEX(Assessments!$I$2:$I$600,MATCH($H65&amp;"|"&amp;$I65&amp;"|"&amp;$J65&amp;"|"&amp;7,Assessments!$A$2:$A$600,0)),"")</f>
        <v>Econ Exam</v>
      </c>
      <c r="CP65" s="28" t="str">
        <f aca="false">IFERROR(INDEX(Assessments!$I$2:$I$600,MATCH($H65&amp;"|"&amp;$I65&amp;"|"&amp;$J65&amp;"|"&amp;8,Assessments!$A$2:$A$600,0)),"")</f>
        <v/>
      </c>
      <c r="CQ65" s="28" t="str">
        <f aca="false">IFERROR(INDEX(Assessments!$I$2:$I$600,MATCH($H65&amp;"|"&amp;$I65&amp;"|"&amp;$J65&amp;"|"&amp;9,Assessments!$A$2:$A$600,0)),"")</f>
        <v/>
      </c>
      <c r="CR65" s="28" t="str">
        <f aca="false">IFERROR(INDEX(Assessments!$I$2:$I$600,MATCH($H65&amp;"|"&amp;$I65&amp;"|"&amp;$J65&amp;"|"&amp;10,Assessments!$A$2:$A$600,0)),"")</f>
        <v/>
      </c>
      <c r="CS65" s="28" t="str">
        <f aca="false">IFERROR(INDEX(Assessments!$I$2:$I$600,MATCH($H65&amp;"|"&amp;$I65&amp;"|"&amp;$J65&amp;"|"&amp;11,Assessments!$A$2:$A$600,0)),"")</f>
        <v/>
      </c>
      <c r="CT65" s="28" t="str">
        <f aca="false">IFERROR(INDEX(Assessments!$I$2:$I$600,MATCH($H65&amp;"|"&amp;$I65&amp;"|"&amp;$J65&amp;"|"&amp;12,Assessments!$A$2:$A$600,0)),"")</f>
        <v/>
      </c>
      <c r="CU65" s="28" t="str">
        <f aca="false">IFERROR(INDEX(Assessments!$I$2:$I$600,MATCH($H65&amp;"|"&amp;$I65&amp;"|"&amp;$J65&amp;"|"&amp;13,Assessments!$A$2:$A$600,0)),"")</f>
        <v/>
      </c>
      <c r="CV65" s="28" t="str">
        <f aca="false">IFERROR(INDEX(Assessments!$I$2:$I$600,MATCH($H65&amp;"|"&amp;$I65&amp;"|"&amp;$J65&amp;"|"&amp;14,Assessments!$A$2:$A$600,0)),"")</f>
        <v/>
      </c>
      <c r="CW65" s="28" t="n">
        <f aca="false">IFERROR(INDEX(Assessments!$J$2:$J$600,MATCH($H65&amp;"|"&amp;$I65&amp;"|"&amp;$J65&amp;"|"&amp;1,Assessments!$A$2:$A$600,0)),0)</f>
        <v>1</v>
      </c>
      <c r="CX65" s="28" t="n">
        <f aca="false">IFERROR(INDEX(Assessments!$J$2:$J$600,MATCH($H65&amp;"|"&amp;$I65&amp;"|"&amp;$J65&amp;"|"&amp;2,Assessments!$A$2:$A$600,0)),0)</f>
        <v>1</v>
      </c>
      <c r="CY65" s="28" t="n">
        <f aca="false">IFERROR(INDEX(Assessments!$J$2:$J$600,MATCH($H65&amp;"|"&amp;$I65&amp;"|"&amp;$J65&amp;"|"&amp;3,Assessments!$A$2:$A$600,0)),0)</f>
        <v>1</v>
      </c>
      <c r="CZ65" s="28" t="n">
        <f aca="false">IFERROR(INDEX(Assessments!$J$2:$J$600,MATCH($H65&amp;"|"&amp;$I65&amp;"|"&amp;$J65&amp;"|"&amp;4,Assessments!$A$2:$A$600,0)),0)</f>
        <v>1</v>
      </c>
      <c r="DA65" s="28" t="n">
        <f aca="false">IFERROR(INDEX(Assessments!$J$2:$J$600,MATCH($H65&amp;"|"&amp;$I65&amp;"|"&amp;$J65&amp;"|"&amp;5,Assessments!$A$2:$A$600,0)),0)</f>
        <v>2</v>
      </c>
      <c r="DB65" s="28" t="n">
        <f aca="false">IFERROR(INDEX(Assessments!$J$2:$J$600,MATCH($H65&amp;"|"&amp;$I65&amp;"|"&amp;$J65&amp;"|"&amp;6,Assessments!$A$2:$A$600,0)),0)</f>
        <v>1</v>
      </c>
      <c r="DC65" s="28" t="n">
        <f aca="false">IFERROR(INDEX(Assessments!$J$2:$J$600,MATCH($H65&amp;"|"&amp;$I65&amp;"|"&amp;$J65&amp;"|"&amp;7,Assessments!$A$2:$A$600,0)),0)</f>
        <v>2</v>
      </c>
      <c r="DD65" s="28" t="n">
        <f aca="false">IFERROR(INDEX(Assessments!$J$2:$J$600,MATCH($H65&amp;"|"&amp;$I65&amp;"|"&amp;$J65&amp;"|"&amp;8,Assessments!$A$2:$A$600,0)),0)</f>
        <v>0</v>
      </c>
      <c r="DE65" s="28" t="n">
        <f aca="false">IFERROR(INDEX(Assessments!$J$2:$J$600,MATCH($H65&amp;"|"&amp;$I65&amp;"|"&amp;$J65&amp;"|"&amp;9,Assessments!$A$2:$A$600,0)),0)</f>
        <v>0</v>
      </c>
      <c r="DF65" s="28" t="n">
        <f aca="false">IFERROR(INDEX(Assessments!$J$2:$J$600,MATCH($H65&amp;"|"&amp;$I65&amp;"|"&amp;$J65&amp;"|"&amp;10,Assessments!$A$2:$A$600,0)),0)</f>
        <v>0</v>
      </c>
      <c r="DG65" s="28" t="n">
        <f aca="false">IFERROR(INDEX(Assessments!$J$2:$J$600,MATCH($H65&amp;"|"&amp;$I65&amp;"|"&amp;$J65&amp;"|"&amp;11,Assessments!$A$2:$A$600,0)),0)</f>
        <v>0</v>
      </c>
      <c r="DH65" s="28" t="n">
        <f aca="false">IFERROR(INDEX(Assessments!$J$2:$J$600,MATCH($H65&amp;"|"&amp;$I65&amp;"|"&amp;$J65&amp;"|"&amp;12,Assessments!$A$2:$A$600,0)),0)</f>
        <v>0</v>
      </c>
      <c r="DI65" s="28" t="n">
        <f aca="false">IFERROR(INDEX(Assessments!$J$2:$J$600,MATCH($H65&amp;"|"&amp;$I65&amp;"|"&amp;$J65&amp;"|"&amp;13,Assessments!$A$2:$A$600,0)),0)</f>
        <v>0</v>
      </c>
      <c r="DJ65" s="28" t="n">
        <f aca="false">IFERROR(INDEX(Assessments!$J$2:$J$600,MATCH($H65&amp;"|"&amp;$I65&amp;"|"&amp;$J65&amp;"|"&amp;14,Assessments!$A$2:$A$600,0)),0)</f>
        <v>0</v>
      </c>
      <c r="DK65" s="28" t="n">
        <f aca="false">S65</f>
        <v>6</v>
      </c>
      <c r="DL65" s="28" t="n">
        <f aca="false">W65</f>
        <v>7</v>
      </c>
      <c r="DM65" s="28" t="n">
        <f aca="false">AA65</f>
        <v>6</v>
      </c>
      <c r="DN65" s="28" t="n">
        <f aca="false">AE65</f>
        <v>7</v>
      </c>
      <c r="DO65" s="28" t="n">
        <f aca="false">AI65</f>
        <v>7</v>
      </c>
      <c r="DP65" s="28" t="str">
        <f aca="false">AM65</f>
        <v/>
      </c>
      <c r="DQ65" s="28" t="str">
        <f aca="false">AQ65</f>
        <v/>
      </c>
      <c r="DR65" s="28" t="str">
        <f aca="false">AU65</f>
        <v/>
      </c>
      <c r="DS65" s="28" t="str">
        <f aca="false">AY65</f>
        <v/>
      </c>
      <c r="DT65" s="28" t="str">
        <f aca="false">BC65</f>
        <v/>
      </c>
      <c r="DU65" s="28" t="str">
        <f aca="false">BG65</f>
        <v/>
      </c>
      <c r="DV65" s="28" t="str">
        <f aca="false">BK65</f>
        <v/>
      </c>
      <c r="DW65" s="28" t="str">
        <f aca="false">BO65</f>
        <v/>
      </c>
      <c r="DX65" s="28" t="str">
        <f aca="false">BS65</f>
        <v/>
      </c>
      <c r="DY65" s="28" t="n">
        <f aca="false">IF(ISNUMBER(S65),1,"")</f>
        <v>1</v>
      </c>
      <c r="DZ65" s="28" t="n">
        <f aca="false">IF(ISNUMBER(W65),2,"")</f>
        <v>2</v>
      </c>
      <c r="EA65" s="28" t="n">
        <f aca="false">IF(ISNUMBER(AA65),3,"")</f>
        <v>3</v>
      </c>
      <c r="EB65" s="28" t="n">
        <f aca="false">IF(ISNUMBER(AE65),4,"")</f>
        <v>4</v>
      </c>
      <c r="EC65" s="28" t="n">
        <f aca="false">IF(ISNUMBER(AI65),5,"")</f>
        <v>5</v>
      </c>
      <c r="ED65" s="28" t="str">
        <f aca="false">IF(ISNUMBER(AM65),6,"")</f>
        <v/>
      </c>
      <c r="EE65" s="28" t="str">
        <f aca="false">IF(ISNUMBER(AQ65),7,"")</f>
        <v/>
      </c>
      <c r="EF65" s="28" t="str">
        <f aca="false">IF(ISNUMBER(AU65),8,"")</f>
        <v/>
      </c>
      <c r="EG65" s="28" t="str">
        <f aca="false">IF(ISNUMBER(AY65),9,"")</f>
        <v/>
      </c>
      <c r="EH65" s="28" t="str">
        <f aca="false">IF(ISNUMBER(BC65),10,"")</f>
        <v/>
      </c>
      <c r="EI65" s="28" t="str">
        <f aca="false">IF(ISNUMBER(BG65),11,"")</f>
        <v/>
      </c>
      <c r="EJ65" s="28" t="str">
        <f aca="false">IF(ISNUMBER(BK65),12,"")</f>
        <v/>
      </c>
      <c r="EK65" s="28" t="str">
        <f aca="false">IF(ISNUMBER(BO65),13,"")</f>
        <v/>
      </c>
      <c r="EL65" s="28" t="str">
        <f aca="false">IF(ISNUMBER(BS65),14,"")</f>
        <v/>
      </c>
      <c r="EM65" s="28" t="n">
        <f aca="false">IF(ISNUMBER(R65),R65*CW65,0)</f>
        <v>76.6666666666667</v>
      </c>
      <c r="EN65" s="28" t="n">
        <f aca="false">IF(ISNUMBER(V65),V65*CX65,0)</f>
        <v>95.8333333333333</v>
      </c>
      <c r="EO65" s="28" t="n">
        <f aca="false">IF(ISNUMBER(Z65),Z65*CY65,0)</f>
        <v>84</v>
      </c>
      <c r="EP65" s="28" t="n">
        <f aca="false">IF(ISNUMBER(AD65),AD65*CZ65,0)</f>
        <v>100</v>
      </c>
      <c r="EQ65" s="28" t="n">
        <f aca="false">IF(ISNUMBER(AH65),AH65*DA65,0)</f>
        <v>174.545454545455</v>
      </c>
      <c r="ER65" s="28" t="n">
        <f aca="false">IF(ISNUMBER(AL65),AL65*DB65,0)</f>
        <v>0</v>
      </c>
      <c r="ES65" s="28" t="n">
        <f aca="false">IF(ISNUMBER(AP65),AP65*DC65,0)</f>
        <v>0</v>
      </c>
      <c r="ET65" s="28" t="n">
        <f aca="false">IF(ISNUMBER(AT65),AT65*DD65,0)</f>
        <v>0</v>
      </c>
      <c r="EU65" s="28" t="n">
        <f aca="false">IF(ISNUMBER(AX65),AX65*DE65,0)</f>
        <v>0</v>
      </c>
      <c r="EV65" s="28" t="n">
        <f aca="false">IF(ISNUMBER(BB65),BB65*DF65,0)</f>
        <v>0</v>
      </c>
      <c r="EW65" s="28" t="n">
        <f aca="false">IF(ISNUMBER(BF65),BF65*DG65,0)</f>
        <v>0</v>
      </c>
      <c r="EX65" s="28" t="n">
        <f aca="false">IF(ISNUMBER(BJ65),BJ65*DH65,0)</f>
        <v>0</v>
      </c>
      <c r="EY65" s="28" t="n">
        <f aca="false">IF(ISNUMBER(BN65),BN65*DI65,0)</f>
        <v>0</v>
      </c>
      <c r="EZ65" s="28" t="n">
        <f aca="false">IF(ISNUMBER(BR65),BR65*DJ65,0)</f>
        <v>0</v>
      </c>
      <c r="FA65" s="28" t="n">
        <f aca="false">IF(ISNUMBER(R65),CW65,0)</f>
        <v>1</v>
      </c>
      <c r="FB65" s="28" t="n">
        <f aca="false">IF(ISNUMBER(V65),CX65,0)</f>
        <v>1</v>
      </c>
      <c r="FC65" s="28" t="n">
        <f aca="false">IF(ISNUMBER(Z65),CY65,0)</f>
        <v>1</v>
      </c>
      <c r="FD65" s="28" t="n">
        <f aca="false">IF(ISNUMBER(AD65),CZ65,0)</f>
        <v>1</v>
      </c>
      <c r="FE65" s="28" t="n">
        <f aca="false">IF(ISNUMBER(AH65),DA65,0)</f>
        <v>2</v>
      </c>
      <c r="FF65" s="28" t="n">
        <f aca="false">IF(ISNUMBER(AL65),DB65,0)</f>
        <v>0</v>
      </c>
      <c r="FG65" s="28" t="n">
        <f aca="false">IF(ISNUMBER(AP65),DC65,0)</f>
        <v>0</v>
      </c>
      <c r="FH65" s="28" t="n">
        <f aca="false">IF(ISNUMBER(AT65),DD65,0)</f>
        <v>0</v>
      </c>
      <c r="FI65" s="28" t="n">
        <f aca="false">IF(ISNUMBER(AX65),DE65,0)</f>
        <v>0</v>
      </c>
      <c r="FJ65" s="28" t="n">
        <f aca="false">IF(ISNUMBER(BB65),DF65,0)</f>
        <v>0</v>
      </c>
      <c r="FK65" s="28" t="n">
        <f aca="false">IF(ISNUMBER(BF65),DG65,0)</f>
        <v>0</v>
      </c>
      <c r="FL65" s="28" t="n">
        <f aca="false">IF(ISNUMBER(BJ65),DH65,0)</f>
        <v>0</v>
      </c>
      <c r="FM65" s="28" t="n">
        <f aca="false">IF(ISNUMBER(BN65),DI65,0)</f>
        <v>0</v>
      </c>
      <c r="FN65" s="28" t="n">
        <f aca="false">IF(ISNUMBER(BR65),DJ65,0)</f>
        <v>0</v>
      </c>
      <c r="FO65" s="28" t="str">
        <f aca="false">IFERROR(INDEX(Lists!$G$2:$G$20,MATCH($I65&amp;"|"&amp;$J65,Lists!$F$2:$F$20,0)),"")</f>
        <v>Econ Exam</v>
      </c>
    </row>
    <row r="66" customFormat="false" ht="19.5" hidden="false" customHeight="true" outlineLevel="0" collapsed="false">
      <c r="A66" s="29" t="s">
        <v>263</v>
      </c>
      <c r="B66" s="29" t="s">
        <v>264</v>
      </c>
      <c r="C66" s="30" t="s">
        <v>152</v>
      </c>
      <c r="D66" s="30" t="s">
        <v>246</v>
      </c>
      <c r="E66" s="31" t="n">
        <v>5.9</v>
      </c>
      <c r="F66" s="30" t="n">
        <v>6</v>
      </c>
      <c r="G66" s="30"/>
      <c r="H66" s="32" t="s">
        <v>23</v>
      </c>
      <c r="I66" s="33" t="s">
        <v>229</v>
      </c>
      <c r="J66" s="32" t="s">
        <v>25</v>
      </c>
      <c r="K66" s="34" t="n">
        <f aca="false">IF(OR(M66="",$E66=""),"",M66-$E66)</f>
        <v>-0.9</v>
      </c>
      <c r="L66" s="35" t="n">
        <f aca="false">IF(SUM(FA66:FN66)=0,"",SUM(EM66:EZ66)/SUM(FA66:FN66))</f>
        <v>66.6197691197691</v>
      </c>
      <c r="M66" s="36" t="n">
        <f aca="false">IF(OR(L66="",FO66=""),"",IFERROR(MATCH(L66,INDEX(Boundaries!$B$2:$I$30,MATCH(FO66,Boundaries!$A$2:$A$30,0),0),1)-1,""))</f>
        <v>5</v>
      </c>
      <c r="N66" s="37" t="n">
        <f aca="false">IF(COUNT($DY66:$EL66)&lt;2,"",INDEX($DK66:$DX66,MAX($DY66:$EL66))-INDEX($DK66:$DX66,MIN($DY66:$EL66)))</f>
        <v>1</v>
      </c>
      <c r="O66" s="37" t="n">
        <f aca="false">IF(COUNT($DY66:$EL66)&lt;2,"",INDEX($DK66:$DX66,MAX($DY66:$EL66))-INDEX($DK66:$DX66,LARGE($DY66:$EL66,2)))</f>
        <v>1</v>
      </c>
      <c r="P66" s="38" t="str">
        <f aca="false">IF(K66="","",IF(K66&gt;=0,"On/above target",IF(AND(N66&lt;&gt;"",N66&gt;=0.5),"Improving towards target",IF(AND(O66&lt;&gt;"",O66&lt;=-0.5),"Declining","Stable below target"))))</f>
        <v>Improving towards target</v>
      </c>
      <c r="Q66" s="39" t="n">
        <v>17</v>
      </c>
      <c r="R66" s="40" t="n">
        <f aca="false">IF(OR(Q66="",BU66=""),"",Q66/BU66*100)</f>
        <v>56.6666666666667</v>
      </c>
      <c r="S66" s="41" t="n">
        <f aca="false">IF(R66="","",IFERROR(MATCH(R66,INDEX(Boundaries!$B$2:$I$30,MATCH(CI66,Boundaries!$A$2:$A$30,0),0),1)-1,""))</f>
        <v>4</v>
      </c>
      <c r="T66" s="42" t="n">
        <f aca="false">IF(OR(S66="",$E66=""),"",S66-$E66)</f>
        <v>-1.9</v>
      </c>
      <c r="U66" s="39" t="n">
        <v>18</v>
      </c>
      <c r="V66" s="40" t="n">
        <f aca="false">IF(OR(U66="",BV66=""),"",U66/BV66*100)</f>
        <v>75</v>
      </c>
      <c r="W66" s="41" t="n">
        <f aca="false">IF(V66="","",IFERROR(MATCH(V66,INDEX(Boundaries!$B$2:$I$30,MATCH(CJ66,Boundaries!$A$2:$A$30,0),0),1)-1,""))</f>
        <v>6</v>
      </c>
      <c r="X66" s="42" t="n">
        <f aca="false">IF(OR(W66="",$E66=""),"",W66-$E66)</f>
        <v>0.0999999999999996</v>
      </c>
      <c r="Y66" s="39" t="n">
        <v>20</v>
      </c>
      <c r="Z66" s="40" t="n">
        <f aca="false">IF(OR(Y66="",BW66=""),"",Y66/BW66*100)</f>
        <v>80</v>
      </c>
      <c r="AA66" s="41" t="n">
        <f aca="false">IF(Z66="","",IFERROR(MATCH(Z66,INDEX(Boundaries!$B$2:$I$30,MATCH(CK66,Boundaries!$A$2:$A$30,0),0),1)-1,""))</f>
        <v>6</v>
      </c>
      <c r="AB66" s="42" t="n">
        <f aca="false">IF(OR(AA66="",$E66=""),"",AA66-$E66)</f>
        <v>0.0999999999999996</v>
      </c>
      <c r="AC66" s="39" t="n">
        <v>20</v>
      </c>
      <c r="AD66" s="40" t="n">
        <f aca="false">IF(OR(AC66="",BX66=""),"",AC66/BX66*100)</f>
        <v>57.1428571428571</v>
      </c>
      <c r="AE66" s="41" t="n">
        <f aca="false">IF(AD66="","",IFERROR(MATCH(AD66,INDEX(Boundaries!$B$2:$I$30,MATCH(CL66,Boundaries!$A$2:$A$30,0),0),1)-1,""))</f>
        <v>4</v>
      </c>
      <c r="AF66" s="42" t="n">
        <f aca="false">IF(OR(AE66="",$E66=""),"",AE66-$E66)</f>
        <v>-1.9</v>
      </c>
      <c r="AG66" s="39" t="n">
        <v>36</v>
      </c>
      <c r="AH66" s="40" t="n">
        <f aca="false">IF(OR(AG66="",BY66=""),"",AG66/BY66*100)</f>
        <v>65.4545454545455</v>
      </c>
      <c r="AI66" s="41" t="n">
        <f aca="false">IF(AH66="","",IFERROR(MATCH(AH66,INDEX(Boundaries!$B$2:$I$30,MATCH(CM66,Boundaries!$A$2:$A$30,0),0),1)-1,""))</f>
        <v>5</v>
      </c>
      <c r="AJ66" s="42" t="n">
        <f aca="false">IF(OR(AI66="",$E66=""),"",AI66-$E66)</f>
        <v>-0.9</v>
      </c>
      <c r="AK66" s="39"/>
      <c r="AL66" s="40" t="str">
        <f aca="false">IF(OR(AK66="",BZ66=""),"",AK66/BZ66*100)</f>
        <v/>
      </c>
      <c r="AM66" s="41" t="str">
        <f aca="false">IF(AL66="","",IFERROR(MATCH(AL66,INDEX(Boundaries!$B$2:$I$30,MATCH(CN66,Boundaries!$A$2:$A$30,0),0),1)-1,""))</f>
        <v/>
      </c>
      <c r="AN66" s="42" t="str">
        <f aca="false">IF(OR(AM66="",$E66=""),"",AM66-$E66)</f>
        <v/>
      </c>
      <c r="AO66" s="39"/>
      <c r="AP66" s="40" t="str">
        <f aca="false">IF(OR(AO66="",CA66=""),"",AO66/CA66*100)</f>
        <v/>
      </c>
      <c r="AQ66" s="41" t="str">
        <f aca="false">IF(AP66="","",IFERROR(MATCH(AP66,INDEX(Boundaries!$B$2:$I$30,MATCH(CO66,Boundaries!$A$2:$A$30,0),0),1)-1,""))</f>
        <v/>
      </c>
      <c r="AR66" s="42" t="str">
        <f aca="false">IF(OR(AQ66="",$E66=""),"",AQ66-$E66)</f>
        <v/>
      </c>
      <c r="AS66" s="39"/>
      <c r="AT66" s="40" t="str">
        <f aca="false">IF(OR(AS66="",CB66=""),"",AS66/CB66*100)</f>
        <v/>
      </c>
      <c r="AU66" s="41" t="str">
        <f aca="false">IF(AT66="","",IFERROR(MATCH(AT66,INDEX(Boundaries!$B$2:$I$30,MATCH(CP66,Boundaries!$A$2:$A$30,0),0),1)-1,""))</f>
        <v/>
      </c>
      <c r="AV66" s="42" t="str">
        <f aca="false">IF(OR(AU66="",$E66=""),"",AU66-$E66)</f>
        <v/>
      </c>
      <c r="AW66" s="39"/>
      <c r="AX66" s="40" t="str">
        <f aca="false">IF(OR(AW66="",CC66=""),"",AW66/CC66*100)</f>
        <v/>
      </c>
      <c r="AY66" s="41" t="str">
        <f aca="false">IF(AX66="","",IFERROR(MATCH(AX66,INDEX(Boundaries!$B$2:$I$30,MATCH(CQ66,Boundaries!$A$2:$A$30,0),0),1)-1,""))</f>
        <v/>
      </c>
      <c r="AZ66" s="42" t="str">
        <f aca="false">IF(OR(AY66="",$E66=""),"",AY66-$E66)</f>
        <v/>
      </c>
      <c r="BA66" s="39"/>
      <c r="BB66" s="40" t="str">
        <f aca="false">IF(OR(BA66="",CD66=""),"",BA66/CD66*100)</f>
        <v/>
      </c>
      <c r="BC66" s="41" t="str">
        <f aca="false">IF(BB66="","",IFERROR(MATCH(BB66,INDEX(Boundaries!$B$2:$I$30,MATCH(CR66,Boundaries!$A$2:$A$30,0),0),1)-1,""))</f>
        <v/>
      </c>
      <c r="BD66" s="42" t="str">
        <f aca="false">IF(OR(BC66="",$E66=""),"",BC66-$E66)</f>
        <v/>
      </c>
      <c r="BE66" s="39"/>
      <c r="BF66" s="40" t="str">
        <f aca="false">IF(OR(BE66="",CE66=""),"",BE66/CE66*100)</f>
        <v/>
      </c>
      <c r="BG66" s="41" t="str">
        <f aca="false">IF(BF66="","",IFERROR(MATCH(BF66,INDEX(Boundaries!$B$2:$I$30,MATCH(CS66,Boundaries!$A$2:$A$30,0),0),1)-1,""))</f>
        <v/>
      </c>
      <c r="BH66" s="42" t="str">
        <f aca="false">IF(OR(BG66="",$E66=""),"",BG66-$E66)</f>
        <v/>
      </c>
      <c r="BI66" s="39"/>
      <c r="BJ66" s="40" t="str">
        <f aca="false">IF(OR(BI66="",CF66=""),"",BI66/CF66*100)</f>
        <v/>
      </c>
      <c r="BK66" s="41" t="str">
        <f aca="false">IF(BJ66="","",IFERROR(MATCH(BJ66,INDEX(Boundaries!$B$2:$I$30,MATCH(CT66,Boundaries!$A$2:$A$30,0),0),1)-1,""))</f>
        <v/>
      </c>
      <c r="BL66" s="42" t="str">
        <f aca="false">IF(OR(BK66="",$E66=""),"",BK66-$E66)</f>
        <v/>
      </c>
      <c r="BM66" s="39"/>
      <c r="BN66" s="40" t="str">
        <f aca="false">IF(OR(BM66="",CG66=""),"",BM66/CG66*100)</f>
        <v/>
      </c>
      <c r="BO66" s="41" t="str">
        <f aca="false">IF(BN66="","",IFERROR(MATCH(BN66,INDEX(Boundaries!$B$2:$I$30,MATCH(CU66,Boundaries!$A$2:$A$30,0),0),1)-1,""))</f>
        <v/>
      </c>
      <c r="BP66" s="42" t="str">
        <f aca="false">IF(OR(BO66="",$E66=""),"",BO66-$E66)</f>
        <v/>
      </c>
      <c r="BQ66" s="39"/>
      <c r="BR66" s="40" t="str">
        <f aca="false">IF(OR(BQ66="",CH66=""),"",BQ66/CH66*100)</f>
        <v/>
      </c>
      <c r="BS66" s="41" t="str">
        <f aca="false">IF(BR66="","",IFERROR(MATCH(BR66,INDEX(Boundaries!$B$2:$I$30,MATCH(CV66,Boundaries!$A$2:$A$30,0),0),1)-1,""))</f>
        <v/>
      </c>
      <c r="BT66" s="42" t="str">
        <f aca="false">IF(OR(BS66="",$E66=""),"",BS66-$E66)</f>
        <v/>
      </c>
      <c r="BU66" s="28" t="n">
        <f aca="false">IFERROR(INDEX(Assessments!$H$2:$H$600,MATCH($H66&amp;"|"&amp;$I66&amp;"|"&amp;$J66&amp;"|"&amp;1,Assessments!$A$2:$A$600,0)),"")</f>
        <v>30</v>
      </c>
      <c r="BV66" s="28" t="n">
        <f aca="false">IFERROR(INDEX(Assessments!$H$2:$H$600,MATCH($H66&amp;"|"&amp;$I66&amp;"|"&amp;$J66&amp;"|"&amp;2,Assessments!$A$2:$A$600,0)),"")</f>
        <v>24</v>
      </c>
      <c r="BW66" s="28" t="n">
        <f aca="false">IFERROR(INDEX(Assessments!$H$2:$H$600,MATCH($H66&amp;"|"&amp;$I66&amp;"|"&amp;$J66&amp;"|"&amp;3,Assessments!$A$2:$A$600,0)),"")</f>
        <v>25</v>
      </c>
      <c r="BX66" s="28" t="n">
        <f aca="false">IFERROR(INDEX(Assessments!$H$2:$H$600,MATCH($H66&amp;"|"&amp;$I66&amp;"|"&amp;$J66&amp;"|"&amp;4,Assessments!$A$2:$A$600,0)),"")</f>
        <v>35</v>
      </c>
      <c r="BY66" s="28" t="n">
        <f aca="false">IFERROR(INDEX(Assessments!$H$2:$H$600,MATCH($H66&amp;"|"&amp;$I66&amp;"|"&amp;$J66&amp;"|"&amp;5,Assessments!$A$2:$A$600,0)),"")</f>
        <v>55</v>
      </c>
      <c r="BZ66" s="28" t="n">
        <f aca="false">IFERROR(INDEX(Assessments!$H$2:$H$600,MATCH($H66&amp;"|"&amp;$I66&amp;"|"&amp;$J66&amp;"|"&amp;6,Assessments!$A$2:$A$600,0)),"")</f>
        <v>30</v>
      </c>
      <c r="CA66" s="28" t="n">
        <f aca="false">IFERROR(INDEX(Assessments!$H$2:$H$600,MATCH($H66&amp;"|"&amp;$I66&amp;"|"&amp;$J66&amp;"|"&amp;7,Assessments!$A$2:$A$600,0)),"")</f>
        <v>95</v>
      </c>
      <c r="CB66" s="28" t="str">
        <f aca="false">IFERROR(INDEX(Assessments!$H$2:$H$600,MATCH($H66&amp;"|"&amp;$I66&amp;"|"&amp;$J66&amp;"|"&amp;8,Assessments!$A$2:$A$600,0)),"")</f>
        <v/>
      </c>
      <c r="CC66" s="28" t="str">
        <f aca="false">IFERROR(INDEX(Assessments!$H$2:$H$600,MATCH($H66&amp;"|"&amp;$I66&amp;"|"&amp;$J66&amp;"|"&amp;9,Assessments!$A$2:$A$600,0)),"")</f>
        <v/>
      </c>
      <c r="CD66" s="28" t="str">
        <f aca="false">IFERROR(INDEX(Assessments!$H$2:$H$600,MATCH($H66&amp;"|"&amp;$I66&amp;"|"&amp;$J66&amp;"|"&amp;10,Assessments!$A$2:$A$600,0)),"")</f>
        <v/>
      </c>
      <c r="CE66" s="28" t="str">
        <f aca="false">IFERROR(INDEX(Assessments!$H$2:$H$600,MATCH($H66&amp;"|"&amp;$I66&amp;"|"&amp;$J66&amp;"|"&amp;11,Assessments!$A$2:$A$600,0)),"")</f>
        <v/>
      </c>
      <c r="CF66" s="28" t="str">
        <f aca="false">IFERROR(INDEX(Assessments!$H$2:$H$600,MATCH($H66&amp;"|"&amp;$I66&amp;"|"&amp;$J66&amp;"|"&amp;12,Assessments!$A$2:$A$600,0)),"")</f>
        <v/>
      </c>
      <c r="CG66" s="28" t="str">
        <f aca="false">IFERROR(INDEX(Assessments!$H$2:$H$600,MATCH($H66&amp;"|"&amp;$I66&amp;"|"&amp;$J66&amp;"|"&amp;13,Assessments!$A$2:$A$600,0)),"")</f>
        <v/>
      </c>
      <c r="CH66" s="28" t="str">
        <f aca="false">IFERROR(INDEX(Assessments!$H$2:$H$600,MATCH($H66&amp;"|"&amp;$I66&amp;"|"&amp;$J66&amp;"|"&amp;14,Assessments!$A$2:$A$600,0)),"")</f>
        <v/>
      </c>
      <c r="CI66" s="28" t="str">
        <f aca="false">IFERROR(INDEX(Assessments!$I$2:$I$600,MATCH($H66&amp;"|"&amp;$I66&amp;"|"&amp;$J66&amp;"|"&amp;1,Assessments!$A$2:$A$600,0)),"")</f>
        <v>Econ Test</v>
      </c>
      <c r="CJ66" s="28" t="str">
        <f aca="false">IFERROR(INDEX(Assessments!$I$2:$I$600,MATCH($H66&amp;"|"&amp;$I66&amp;"|"&amp;$J66&amp;"|"&amp;2,Assessments!$A$2:$A$600,0)),"")</f>
        <v>Econ Test</v>
      </c>
      <c r="CK66" s="28" t="str">
        <f aca="false">IFERROR(INDEX(Assessments!$I$2:$I$600,MATCH($H66&amp;"|"&amp;$I66&amp;"|"&amp;$J66&amp;"|"&amp;3,Assessments!$A$2:$A$600,0)),"")</f>
        <v>Econ Test</v>
      </c>
      <c r="CL66" s="28" t="str">
        <f aca="false">IFERROR(INDEX(Assessments!$I$2:$I$600,MATCH($H66&amp;"|"&amp;$I66&amp;"|"&amp;$J66&amp;"|"&amp;4,Assessments!$A$2:$A$600,0)),"")</f>
        <v>Econ Test</v>
      </c>
      <c r="CM66" s="28" t="str">
        <f aca="false">IFERROR(INDEX(Assessments!$I$2:$I$600,MATCH($H66&amp;"|"&amp;$I66&amp;"|"&amp;$J66&amp;"|"&amp;5,Assessments!$A$2:$A$600,0)),"")</f>
        <v>Econ Exam</v>
      </c>
      <c r="CN66" s="28" t="str">
        <f aca="false">IFERROR(INDEX(Assessments!$I$2:$I$600,MATCH($H66&amp;"|"&amp;$I66&amp;"|"&amp;$J66&amp;"|"&amp;6,Assessments!$A$2:$A$600,0)),"")</f>
        <v>Econ Test</v>
      </c>
      <c r="CO66" s="28" t="str">
        <f aca="false">IFERROR(INDEX(Assessments!$I$2:$I$600,MATCH($H66&amp;"|"&amp;$I66&amp;"|"&amp;$J66&amp;"|"&amp;7,Assessments!$A$2:$A$600,0)),"")</f>
        <v>Econ Exam</v>
      </c>
      <c r="CP66" s="28" t="str">
        <f aca="false">IFERROR(INDEX(Assessments!$I$2:$I$600,MATCH($H66&amp;"|"&amp;$I66&amp;"|"&amp;$J66&amp;"|"&amp;8,Assessments!$A$2:$A$600,0)),"")</f>
        <v/>
      </c>
      <c r="CQ66" s="28" t="str">
        <f aca="false">IFERROR(INDEX(Assessments!$I$2:$I$600,MATCH($H66&amp;"|"&amp;$I66&amp;"|"&amp;$J66&amp;"|"&amp;9,Assessments!$A$2:$A$600,0)),"")</f>
        <v/>
      </c>
      <c r="CR66" s="28" t="str">
        <f aca="false">IFERROR(INDEX(Assessments!$I$2:$I$600,MATCH($H66&amp;"|"&amp;$I66&amp;"|"&amp;$J66&amp;"|"&amp;10,Assessments!$A$2:$A$600,0)),"")</f>
        <v/>
      </c>
      <c r="CS66" s="28" t="str">
        <f aca="false">IFERROR(INDEX(Assessments!$I$2:$I$600,MATCH($H66&amp;"|"&amp;$I66&amp;"|"&amp;$J66&amp;"|"&amp;11,Assessments!$A$2:$A$600,0)),"")</f>
        <v/>
      </c>
      <c r="CT66" s="28" t="str">
        <f aca="false">IFERROR(INDEX(Assessments!$I$2:$I$600,MATCH($H66&amp;"|"&amp;$I66&amp;"|"&amp;$J66&amp;"|"&amp;12,Assessments!$A$2:$A$600,0)),"")</f>
        <v/>
      </c>
      <c r="CU66" s="28" t="str">
        <f aca="false">IFERROR(INDEX(Assessments!$I$2:$I$600,MATCH($H66&amp;"|"&amp;$I66&amp;"|"&amp;$J66&amp;"|"&amp;13,Assessments!$A$2:$A$600,0)),"")</f>
        <v/>
      </c>
      <c r="CV66" s="28" t="str">
        <f aca="false">IFERROR(INDEX(Assessments!$I$2:$I$600,MATCH($H66&amp;"|"&amp;$I66&amp;"|"&amp;$J66&amp;"|"&amp;14,Assessments!$A$2:$A$600,0)),"")</f>
        <v/>
      </c>
      <c r="CW66" s="28" t="n">
        <f aca="false">IFERROR(INDEX(Assessments!$J$2:$J$600,MATCH($H66&amp;"|"&amp;$I66&amp;"|"&amp;$J66&amp;"|"&amp;1,Assessments!$A$2:$A$600,0)),0)</f>
        <v>1</v>
      </c>
      <c r="CX66" s="28" t="n">
        <f aca="false">IFERROR(INDEX(Assessments!$J$2:$J$600,MATCH($H66&amp;"|"&amp;$I66&amp;"|"&amp;$J66&amp;"|"&amp;2,Assessments!$A$2:$A$600,0)),0)</f>
        <v>1</v>
      </c>
      <c r="CY66" s="28" t="n">
        <f aca="false">IFERROR(INDEX(Assessments!$J$2:$J$600,MATCH($H66&amp;"|"&amp;$I66&amp;"|"&amp;$J66&amp;"|"&amp;3,Assessments!$A$2:$A$600,0)),0)</f>
        <v>1</v>
      </c>
      <c r="CZ66" s="28" t="n">
        <f aca="false">IFERROR(INDEX(Assessments!$J$2:$J$600,MATCH($H66&amp;"|"&amp;$I66&amp;"|"&amp;$J66&amp;"|"&amp;4,Assessments!$A$2:$A$600,0)),0)</f>
        <v>1</v>
      </c>
      <c r="DA66" s="28" t="n">
        <f aca="false">IFERROR(INDEX(Assessments!$J$2:$J$600,MATCH($H66&amp;"|"&amp;$I66&amp;"|"&amp;$J66&amp;"|"&amp;5,Assessments!$A$2:$A$600,0)),0)</f>
        <v>2</v>
      </c>
      <c r="DB66" s="28" t="n">
        <f aca="false">IFERROR(INDEX(Assessments!$J$2:$J$600,MATCH($H66&amp;"|"&amp;$I66&amp;"|"&amp;$J66&amp;"|"&amp;6,Assessments!$A$2:$A$600,0)),0)</f>
        <v>1</v>
      </c>
      <c r="DC66" s="28" t="n">
        <f aca="false">IFERROR(INDEX(Assessments!$J$2:$J$600,MATCH($H66&amp;"|"&amp;$I66&amp;"|"&amp;$J66&amp;"|"&amp;7,Assessments!$A$2:$A$600,0)),0)</f>
        <v>2</v>
      </c>
      <c r="DD66" s="28" t="n">
        <f aca="false">IFERROR(INDEX(Assessments!$J$2:$J$600,MATCH($H66&amp;"|"&amp;$I66&amp;"|"&amp;$J66&amp;"|"&amp;8,Assessments!$A$2:$A$600,0)),0)</f>
        <v>0</v>
      </c>
      <c r="DE66" s="28" t="n">
        <f aca="false">IFERROR(INDEX(Assessments!$J$2:$J$600,MATCH($H66&amp;"|"&amp;$I66&amp;"|"&amp;$J66&amp;"|"&amp;9,Assessments!$A$2:$A$600,0)),0)</f>
        <v>0</v>
      </c>
      <c r="DF66" s="28" t="n">
        <f aca="false">IFERROR(INDEX(Assessments!$J$2:$J$600,MATCH($H66&amp;"|"&amp;$I66&amp;"|"&amp;$J66&amp;"|"&amp;10,Assessments!$A$2:$A$600,0)),0)</f>
        <v>0</v>
      </c>
      <c r="DG66" s="28" t="n">
        <f aca="false">IFERROR(INDEX(Assessments!$J$2:$J$600,MATCH($H66&amp;"|"&amp;$I66&amp;"|"&amp;$J66&amp;"|"&amp;11,Assessments!$A$2:$A$600,0)),0)</f>
        <v>0</v>
      </c>
      <c r="DH66" s="28" t="n">
        <f aca="false">IFERROR(INDEX(Assessments!$J$2:$J$600,MATCH($H66&amp;"|"&amp;$I66&amp;"|"&amp;$J66&amp;"|"&amp;12,Assessments!$A$2:$A$600,0)),0)</f>
        <v>0</v>
      </c>
      <c r="DI66" s="28" t="n">
        <f aca="false">IFERROR(INDEX(Assessments!$J$2:$J$600,MATCH($H66&amp;"|"&amp;$I66&amp;"|"&amp;$J66&amp;"|"&amp;13,Assessments!$A$2:$A$600,0)),0)</f>
        <v>0</v>
      </c>
      <c r="DJ66" s="28" t="n">
        <f aca="false">IFERROR(INDEX(Assessments!$J$2:$J$600,MATCH($H66&amp;"|"&amp;$I66&amp;"|"&amp;$J66&amp;"|"&amp;14,Assessments!$A$2:$A$600,0)),0)</f>
        <v>0</v>
      </c>
      <c r="DK66" s="28" t="n">
        <f aca="false">S66</f>
        <v>4</v>
      </c>
      <c r="DL66" s="28" t="n">
        <f aca="false">W66</f>
        <v>6</v>
      </c>
      <c r="DM66" s="28" t="n">
        <f aca="false">AA66</f>
        <v>6</v>
      </c>
      <c r="DN66" s="28" t="n">
        <f aca="false">AE66</f>
        <v>4</v>
      </c>
      <c r="DO66" s="28" t="n">
        <f aca="false">AI66</f>
        <v>5</v>
      </c>
      <c r="DP66" s="28" t="str">
        <f aca="false">AM66</f>
        <v/>
      </c>
      <c r="DQ66" s="28" t="str">
        <f aca="false">AQ66</f>
        <v/>
      </c>
      <c r="DR66" s="28" t="str">
        <f aca="false">AU66</f>
        <v/>
      </c>
      <c r="DS66" s="28" t="str">
        <f aca="false">AY66</f>
        <v/>
      </c>
      <c r="DT66" s="28" t="str">
        <f aca="false">BC66</f>
        <v/>
      </c>
      <c r="DU66" s="28" t="str">
        <f aca="false">BG66</f>
        <v/>
      </c>
      <c r="DV66" s="28" t="str">
        <f aca="false">BK66</f>
        <v/>
      </c>
      <c r="DW66" s="28" t="str">
        <f aca="false">BO66</f>
        <v/>
      </c>
      <c r="DX66" s="28" t="str">
        <f aca="false">BS66</f>
        <v/>
      </c>
      <c r="DY66" s="28" t="n">
        <f aca="false">IF(ISNUMBER(S66),1,"")</f>
        <v>1</v>
      </c>
      <c r="DZ66" s="28" t="n">
        <f aca="false">IF(ISNUMBER(W66),2,"")</f>
        <v>2</v>
      </c>
      <c r="EA66" s="28" t="n">
        <f aca="false">IF(ISNUMBER(AA66),3,"")</f>
        <v>3</v>
      </c>
      <c r="EB66" s="28" t="n">
        <f aca="false">IF(ISNUMBER(AE66),4,"")</f>
        <v>4</v>
      </c>
      <c r="EC66" s="28" t="n">
        <f aca="false">IF(ISNUMBER(AI66),5,"")</f>
        <v>5</v>
      </c>
      <c r="ED66" s="28" t="str">
        <f aca="false">IF(ISNUMBER(AM66),6,"")</f>
        <v/>
      </c>
      <c r="EE66" s="28" t="str">
        <f aca="false">IF(ISNUMBER(AQ66),7,"")</f>
        <v/>
      </c>
      <c r="EF66" s="28" t="str">
        <f aca="false">IF(ISNUMBER(AU66),8,"")</f>
        <v/>
      </c>
      <c r="EG66" s="28" t="str">
        <f aca="false">IF(ISNUMBER(AY66),9,"")</f>
        <v/>
      </c>
      <c r="EH66" s="28" t="str">
        <f aca="false">IF(ISNUMBER(BC66),10,"")</f>
        <v/>
      </c>
      <c r="EI66" s="28" t="str">
        <f aca="false">IF(ISNUMBER(BG66),11,"")</f>
        <v/>
      </c>
      <c r="EJ66" s="28" t="str">
        <f aca="false">IF(ISNUMBER(BK66),12,"")</f>
        <v/>
      </c>
      <c r="EK66" s="28" t="str">
        <f aca="false">IF(ISNUMBER(BO66),13,"")</f>
        <v/>
      </c>
      <c r="EL66" s="28" t="str">
        <f aca="false">IF(ISNUMBER(BS66),14,"")</f>
        <v/>
      </c>
      <c r="EM66" s="28" t="n">
        <f aca="false">IF(ISNUMBER(R66),R66*CW66,0)</f>
        <v>56.6666666666667</v>
      </c>
      <c r="EN66" s="28" t="n">
        <f aca="false">IF(ISNUMBER(V66),V66*CX66,0)</f>
        <v>75</v>
      </c>
      <c r="EO66" s="28" t="n">
        <f aca="false">IF(ISNUMBER(Z66),Z66*CY66,0)</f>
        <v>80</v>
      </c>
      <c r="EP66" s="28" t="n">
        <f aca="false">IF(ISNUMBER(AD66),AD66*CZ66,0)</f>
        <v>57.1428571428571</v>
      </c>
      <c r="EQ66" s="28" t="n">
        <f aca="false">IF(ISNUMBER(AH66),AH66*DA66,0)</f>
        <v>130.909090909091</v>
      </c>
      <c r="ER66" s="28" t="n">
        <f aca="false">IF(ISNUMBER(AL66),AL66*DB66,0)</f>
        <v>0</v>
      </c>
      <c r="ES66" s="28" t="n">
        <f aca="false">IF(ISNUMBER(AP66),AP66*DC66,0)</f>
        <v>0</v>
      </c>
      <c r="ET66" s="28" t="n">
        <f aca="false">IF(ISNUMBER(AT66),AT66*DD66,0)</f>
        <v>0</v>
      </c>
      <c r="EU66" s="28" t="n">
        <f aca="false">IF(ISNUMBER(AX66),AX66*DE66,0)</f>
        <v>0</v>
      </c>
      <c r="EV66" s="28" t="n">
        <f aca="false">IF(ISNUMBER(BB66),BB66*DF66,0)</f>
        <v>0</v>
      </c>
      <c r="EW66" s="28" t="n">
        <f aca="false">IF(ISNUMBER(BF66),BF66*DG66,0)</f>
        <v>0</v>
      </c>
      <c r="EX66" s="28" t="n">
        <f aca="false">IF(ISNUMBER(BJ66),BJ66*DH66,0)</f>
        <v>0</v>
      </c>
      <c r="EY66" s="28" t="n">
        <f aca="false">IF(ISNUMBER(BN66),BN66*DI66,0)</f>
        <v>0</v>
      </c>
      <c r="EZ66" s="28" t="n">
        <f aca="false">IF(ISNUMBER(BR66),BR66*DJ66,0)</f>
        <v>0</v>
      </c>
      <c r="FA66" s="28" t="n">
        <f aca="false">IF(ISNUMBER(R66),CW66,0)</f>
        <v>1</v>
      </c>
      <c r="FB66" s="28" t="n">
        <f aca="false">IF(ISNUMBER(V66),CX66,0)</f>
        <v>1</v>
      </c>
      <c r="FC66" s="28" t="n">
        <f aca="false">IF(ISNUMBER(Z66),CY66,0)</f>
        <v>1</v>
      </c>
      <c r="FD66" s="28" t="n">
        <f aca="false">IF(ISNUMBER(AD66),CZ66,0)</f>
        <v>1</v>
      </c>
      <c r="FE66" s="28" t="n">
        <f aca="false">IF(ISNUMBER(AH66),DA66,0)</f>
        <v>2</v>
      </c>
      <c r="FF66" s="28" t="n">
        <f aca="false">IF(ISNUMBER(AL66),DB66,0)</f>
        <v>0</v>
      </c>
      <c r="FG66" s="28" t="n">
        <f aca="false">IF(ISNUMBER(AP66),DC66,0)</f>
        <v>0</v>
      </c>
      <c r="FH66" s="28" t="n">
        <f aca="false">IF(ISNUMBER(AT66),DD66,0)</f>
        <v>0</v>
      </c>
      <c r="FI66" s="28" t="n">
        <f aca="false">IF(ISNUMBER(AX66),DE66,0)</f>
        <v>0</v>
      </c>
      <c r="FJ66" s="28" t="n">
        <f aca="false">IF(ISNUMBER(BB66),DF66,0)</f>
        <v>0</v>
      </c>
      <c r="FK66" s="28" t="n">
        <f aca="false">IF(ISNUMBER(BF66),DG66,0)</f>
        <v>0</v>
      </c>
      <c r="FL66" s="28" t="n">
        <f aca="false">IF(ISNUMBER(BJ66),DH66,0)</f>
        <v>0</v>
      </c>
      <c r="FM66" s="28" t="n">
        <f aca="false">IF(ISNUMBER(BN66),DI66,0)</f>
        <v>0</v>
      </c>
      <c r="FN66" s="28" t="n">
        <f aca="false">IF(ISNUMBER(BR66),DJ66,0)</f>
        <v>0</v>
      </c>
      <c r="FO66" s="28" t="str">
        <f aca="false">IFERROR(INDEX(Lists!$G$2:$G$20,MATCH($I66&amp;"|"&amp;$J66,Lists!$F$2:$F$20,0)),"")</f>
        <v>Econ Exam</v>
      </c>
    </row>
    <row r="67" customFormat="false" ht="19.5" hidden="false" customHeight="true" outlineLevel="0" collapsed="false">
      <c r="A67" s="29" t="s">
        <v>265</v>
      </c>
      <c r="B67" s="29" t="s">
        <v>266</v>
      </c>
      <c r="C67" s="30" t="s">
        <v>152</v>
      </c>
      <c r="D67" s="30" t="s">
        <v>246</v>
      </c>
      <c r="E67" s="31" t="n">
        <v>5.7</v>
      </c>
      <c r="F67" s="30" t="n">
        <v>6</v>
      </c>
      <c r="G67" s="30"/>
      <c r="H67" s="32" t="s">
        <v>23</v>
      </c>
      <c r="I67" s="33" t="s">
        <v>229</v>
      </c>
      <c r="J67" s="32" t="s">
        <v>25</v>
      </c>
      <c r="K67" s="34" t="n">
        <f aca="false">IF(OR(M67="",$E67=""),"",M67-$E67)</f>
        <v>0.3</v>
      </c>
      <c r="L67" s="35" t="n">
        <f aca="false">IF(SUM(FA67:FN67)=0,"",SUM(EM67:EZ67)/SUM(FA67:FN67))</f>
        <v>78.5939393939394</v>
      </c>
      <c r="M67" s="36" t="n">
        <f aca="false">IF(OR(L67="",FO67=""),"",IFERROR(MATCH(L67,INDEX(Boundaries!$B$2:$I$30,MATCH(FO67,Boundaries!$A$2:$A$30,0),0),1)-1,""))</f>
        <v>6</v>
      </c>
      <c r="N67" s="37" t="n">
        <f aca="false">IF(COUNT($DY67:$EL67)&lt;2,"",INDEX($DK67:$DX67,MAX($DY67:$EL67))-INDEX($DK67:$DX67,MIN($DY67:$EL67)))</f>
        <v>3</v>
      </c>
      <c r="O67" s="37" t="n">
        <f aca="false">IF(COUNT($DY67:$EL67)&lt;2,"",INDEX($DK67:$DX67,MAX($DY67:$EL67))-INDEX($DK67:$DX67,LARGE($DY67:$EL67,2)))</f>
        <v>1</v>
      </c>
      <c r="P67" s="38" t="str">
        <f aca="false">IF(K67="","",IF(K67&gt;=0,"On/above target",IF(AND(N67&lt;&gt;"",N67&gt;=0.5),"Improving towards target",IF(AND(O67&lt;&gt;"",O67&lt;=-0.5),"Declining","Stable below target"))))</f>
        <v>On/above target</v>
      </c>
      <c r="Q67" s="39" t="n">
        <v>16</v>
      </c>
      <c r="R67" s="40" t="n">
        <f aca="false">IF(OR(Q67="",BU67=""),"",Q67/BU67*100)</f>
        <v>53.3333333333333</v>
      </c>
      <c r="S67" s="41" t="n">
        <f aca="false">IF(R67="","",IFERROR(MATCH(R67,INDEX(Boundaries!$B$2:$I$30,MATCH(CI67,Boundaries!$A$2:$A$30,0),0),1)-1,""))</f>
        <v>4</v>
      </c>
      <c r="T67" s="42" t="n">
        <f aca="false">IF(OR(S67="",$E67=""),"",S67-$E67)</f>
        <v>-1.7</v>
      </c>
      <c r="U67" s="39" t="n">
        <v>24</v>
      </c>
      <c r="V67" s="40" t="n">
        <f aca="false">IF(OR(U67="",BV67=""),"",U67/BV67*100)</f>
        <v>100</v>
      </c>
      <c r="W67" s="41" t="n">
        <f aca="false">IF(V67="","",IFERROR(MATCH(V67,INDEX(Boundaries!$B$2:$I$30,MATCH(CJ67,Boundaries!$A$2:$A$30,0),0),1)-1,""))</f>
        <v>7</v>
      </c>
      <c r="X67" s="42" t="n">
        <f aca="false">IF(OR(W67="",$E67=""),"",W67-$E67)</f>
        <v>1.3</v>
      </c>
      <c r="Y67" s="39" t="n">
        <v>19</v>
      </c>
      <c r="Z67" s="40" t="n">
        <f aca="false">IF(OR(Y67="",BW67=""),"",Y67/BW67*100)</f>
        <v>76</v>
      </c>
      <c r="AA67" s="41" t="n">
        <f aca="false">IF(Z67="","",IFERROR(MATCH(Z67,INDEX(Boundaries!$B$2:$I$30,MATCH(CK67,Boundaries!$A$2:$A$30,0),0),1)-1,""))</f>
        <v>6</v>
      </c>
      <c r="AB67" s="42" t="n">
        <f aca="false">IF(OR(AA67="",$E67=""),"",AA67-$E67)</f>
        <v>0.3</v>
      </c>
      <c r="AC67" s="39"/>
      <c r="AD67" s="40" t="str">
        <f aca="false">IF(OR(AC67="",BX67=""),"",AC67/BX67*100)</f>
        <v/>
      </c>
      <c r="AE67" s="41" t="str">
        <f aca="false">IF(AD67="","",IFERROR(MATCH(AD67,INDEX(Boundaries!$B$2:$I$30,MATCH(CL67,Boundaries!$A$2:$A$30,0),0),1)-1,""))</f>
        <v/>
      </c>
      <c r="AF67" s="42" t="str">
        <f aca="false">IF(OR(AE67="",$E67=""),"",AE67-$E67)</f>
        <v/>
      </c>
      <c r="AG67" s="39" t="n">
        <v>45</v>
      </c>
      <c r="AH67" s="40" t="n">
        <f aca="false">IF(OR(AG67="",BY67=""),"",AG67/BY67*100)</f>
        <v>81.8181818181818</v>
      </c>
      <c r="AI67" s="41" t="n">
        <f aca="false">IF(AH67="","",IFERROR(MATCH(AH67,INDEX(Boundaries!$B$2:$I$30,MATCH(CM67,Boundaries!$A$2:$A$30,0),0),1)-1,""))</f>
        <v>7</v>
      </c>
      <c r="AJ67" s="42" t="n">
        <f aca="false">IF(OR(AI67="",$E67=""),"",AI67-$E67)</f>
        <v>1.3</v>
      </c>
      <c r="AK67" s="39"/>
      <c r="AL67" s="40" t="str">
        <f aca="false">IF(OR(AK67="",BZ67=""),"",AK67/BZ67*100)</f>
        <v/>
      </c>
      <c r="AM67" s="41" t="str">
        <f aca="false">IF(AL67="","",IFERROR(MATCH(AL67,INDEX(Boundaries!$B$2:$I$30,MATCH(CN67,Boundaries!$A$2:$A$30,0),0),1)-1,""))</f>
        <v/>
      </c>
      <c r="AN67" s="42" t="str">
        <f aca="false">IF(OR(AM67="",$E67=""),"",AM67-$E67)</f>
        <v/>
      </c>
      <c r="AO67" s="39"/>
      <c r="AP67" s="40" t="str">
        <f aca="false">IF(OR(AO67="",CA67=""),"",AO67/CA67*100)</f>
        <v/>
      </c>
      <c r="AQ67" s="41" t="str">
        <f aca="false">IF(AP67="","",IFERROR(MATCH(AP67,INDEX(Boundaries!$B$2:$I$30,MATCH(CO67,Boundaries!$A$2:$A$30,0),0),1)-1,""))</f>
        <v/>
      </c>
      <c r="AR67" s="42" t="str">
        <f aca="false">IF(OR(AQ67="",$E67=""),"",AQ67-$E67)</f>
        <v/>
      </c>
      <c r="AS67" s="39"/>
      <c r="AT67" s="40" t="str">
        <f aca="false">IF(OR(AS67="",CB67=""),"",AS67/CB67*100)</f>
        <v/>
      </c>
      <c r="AU67" s="41" t="str">
        <f aca="false">IF(AT67="","",IFERROR(MATCH(AT67,INDEX(Boundaries!$B$2:$I$30,MATCH(CP67,Boundaries!$A$2:$A$30,0),0),1)-1,""))</f>
        <v/>
      </c>
      <c r="AV67" s="42" t="str">
        <f aca="false">IF(OR(AU67="",$E67=""),"",AU67-$E67)</f>
        <v/>
      </c>
      <c r="AW67" s="39"/>
      <c r="AX67" s="40" t="str">
        <f aca="false">IF(OR(AW67="",CC67=""),"",AW67/CC67*100)</f>
        <v/>
      </c>
      <c r="AY67" s="41" t="str">
        <f aca="false">IF(AX67="","",IFERROR(MATCH(AX67,INDEX(Boundaries!$B$2:$I$30,MATCH(CQ67,Boundaries!$A$2:$A$30,0),0),1)-1,""))</f>
        <v/>
      </c>
      <c r="AZ67" s="42" t="str">
        <f aca="false">IF(OR(AY67="",$E67=""),"",AY67-$E67)</f>
        <v/>
      </c>
      <c r="BA67" s="39"/>
      <c r="BB67" s="40" t="str">
        <f aca="false">IF(OR(BA67="",CD67=""),"",BA67/CD67*100)</f>
        <v/>
      </c>
      <c r="BC67" s="41" t="str">
        <f aca="false">IF(BB67="","",IFERROR(MATCH(BB67,INDEX(Boundaries!$B$2:$I$30,MATCH(CR67,Boundaries!$A$2:$A$30,0),0),1)-1,""))</f>
        <v/>
      </c>
      <c r="BD67" s="42" t="str">
        <f aca="false">IF(OR(BC67="",$E67=""),"",BC67-$E67)</f>
        <v/>
      </c>
      <c r="BE67" s="39"/>
      <c r="BF67" s="40" t="str">
        <f aca="false">IF(OR(BE67="",CE67=""),"",BE67/CE67*100)</f>
        <v/>
      </c>
      <c r="BG67" s="41" t="str">
        <f aca="false">IF(BF67="","",IFERROR(MATCH(BF67,INDEX(Boundaries!$B$2:$I$30,MATCH(CS67,Boundaries!$A$2:$A$30,0),0),1)-1,""))</f>
        <v/>
      </c>
      <c r="BH67" s="42" t="str">
        <f aca="false">IF(OR(BG67="",$E67=""),"",BG67-$E67)</f>
        <v/>
      </c>
      <c r="BI67" s="39"/>
      <c r="BJ67" s="40" t="str">
        <f aca="false">IF(OR(BI67="",CF67=""),"",BI67/CF67*100)</f>
        <v/>
      </c>
      <c r="BK67" s="41" t="str">
        <f aca="false">IF(BJ67="","",IFERROR(MATCH(BJ67,INDEX(Boundaries!$B$2:$I$30,MATCH(CT67,Boundaries!$A$2:$A$30,0),0),1)-1,""))</f>
        <v/>
      </c>
      <c r="BL67" s="42" t="str">
        <f aca="false">IF(OR(BK67="",$E67=""),"",BK67-$E67)</f>
        <v/>
      </c>
      <c r="BM67" s="39"/>
      <c r="BN67" s="40" t="str">
        <f aca="false">IF(OR(BM67="",CG67=""),"",BM67/CG67*100)</f>
        <v/>
      </c>
      <c r="BO67" s="41" t="str">
        <f aca="false">IF(BN67="","",IFERROR(MATCH(BN67,INDEX(Boundaries!$B$2:$I$30,MATCH(CU67,Boundaries!$A$2:$A$30,0),0),1)-1,""))</f>
        <v/>
      </c>
      <c r="BP67" s="42" t="str">
        <f aca="false">IF(OR(BO67="",$E67=""),"",BO67-$E67)</f>
        <v/>
      </c>
      <c r="BQ67" s="39"/>
      <c r="BR67" s="40" t="str">
        <f aca="false">IF(OR(BQ67="",CH67=""),"",BQ67/CH67*100)</f>
        <v/>
      </c>
      <c r="BS67" s="41" t="str">
        <f aca="false">IF(BR67="","",IFERROR(MATCH(BR67,INDEX(Boundaries!$B$2:$I$30,MATCH(CV67,Boundaries!$A$2:$A$30,0),0),1)-1,""))</f>
        <v/>
      </c>
      <c r="BT67" s="42" t="str">
        <f aca="false">IF(OR(BS67="",$E67=""),"",BS67-$E67)</f>
        <v/>
      </c>
      <c r="BU67" s="28" t="n">
        <f aca="false">IFERROR(INDEX(Assessments!$H$2:$H$600,MATCH($H67&amp;"|"&amp;$I67&amp;"|"&amp;$J67&amp;"|"&amp;1,Assessments!$A$2:$A$600,0)),"")</f>
        <v>30</v>
      </c>
      <c r="BV67" s="28" t="n">
        <f aca="false">IFERROR(INDEX(Assessments!$H$2:$H$600,MATCH($H67&amp;"|"&amp;$I67&amp;"|"&amp;$J67&amp;"|"&amp;2,Assessments!$A$2:$A$600,0)),"")</f>
        <v>24</v>
      </c>
      <c r="BW67" s="28" t="n">
        <f aca="false">IFERROR(INDEX(Assessments!$H$2:$H$600,MATCH($H67&amp;"|"&amp;$I67&amp;"|"&amp;$J67&amp;"|"&amp;3,Assessments!$A$2:$A$600,0)),"")</f>
        <v>25</v>
      </c>
      <c r="BX67" s="28" t="n">
        <f aca="false">IFERROR(INDEX(Assessments!$H$2:$H$600,MATCH($H67&amp;"|"&amp;$I67&amp;"|"&amp;$J67&amp;"|"&amp;4,Assessments!$A$2:$A$600,0)),"")</f>
        <v>35</v>
      </c>
      <c r="BY67" s="28" t="n">
        <f aca="false">IFERROR(INDEX(Assessments!$H$2:$H$600,MATCH($H67&amp;"|"&amp;$I67&amp;"|"&amp;$J67&amp;"|"&amp;5,Assessments!$A$2:$A$600,0)),"")</f>
        <v>55</v>
      </c>
      <c r="BZ67" s="28" t="n">
        <f aca="false">IFERROR(INDEX(Assessments!$H$2:$H$600,MATCH($H67&amp;"|"&amp;$I67&amp;"|"&amp;$J67&amp;"|"&amp;6,Assessments!$A$2:$A$600,0)),"")</f>
        <v>30</v>
      </c>
      <c r="CA67" s="28" t="n">
        <f aca="false">IFERROR(INDEX(Assessments!$H$2:$H$600,MATCH($H67&amp;"|"&amp;$I67&amp;"|"&amp;$J67&amp;"|"&amp;7,Assessments!$A$2:$A$600,0)),"")</f>
        <v>95</v>
      </c>
      <c r="CB67" s="28" t="str">
        <f aca="false">IFERROR(INDEX(Assessments!$H$2:$H$600,MATCH($H67&amp;"|"&amp;$I67&amp;"|"&amp;$J67&amp;"|"&amp;8,Assessments!$A$2:$A$600,0)),"")</f>
        <v/>
      </c>
      <c r="CC67" s="28" t="str">
        <f aca="false">IFERROR(INDEX(Assessments!$H$2:$H$600,MATCH($H67&amp;"|"&amp;$I67&amp;"|"&amp;$J67&amp;"|"&amp;9,Assessments!$A$2:$A$600,0)),"")</f>
        <v/>
      </c>
      <c r="CD67" s="28" t="str">
        <f aca="false">IFERROR(INDEX(Assessments!$H$2:$H$600,MATCH($H67&amp;"|"&amp;$I67&amp;"|"&amp;$J67&amp;"|"&amp;10,Assessments!$A$2:$A$600,0)),"")</f>
        <v/>
      </c>
      <c r="CE67" s="28" t="str">
        <f aca="false">IFERROR(INDEX(Assessments!$H$2:$H$600,MATCH($H67&amp;"|"&amp;$I67&amp;"|"&amp;$J67&amp;"|"&amp;11,Assessments!$A$2:$A$600,0)),"")</f>
        <v/>
      </c>
      <c r="CF67" s="28" t="str">
        <f aca="false">IFERROR(INDEX(Assessments!$H$2:$H$600,MATCH($H67&amp;"|"&amp;$I67&amp;"|"&amp;$J67&amp;"|"&amp;12,Assessments!$A$2:$A$600,0)),"")</f>
        <v/>
      </c>
      <c r="CG67" s="28" t="str">
        <f aca="false">IFERROR(INDEX(Assessments!$H$2:$H$600,MATCH($H67&amp;"|"&amp;$I67&amp;"|"&amp;$J67&amp;"|"&amp;13,Assessments!$A$2:$A$600,0)),"")</f>
        <v/>
      </c>
      <c r="CH67" s="28" t="str">
        <f aca="false">IFERROR(INDEX(Assessments!$H$2:$H$600,MATCH($H67&amp;"|"&amp;$I67&amp;"|"&amp;$J67&amp;"|"&amp;14,Assessments!$A$2:$A$600,0)),"")</f>
        <v/>
      </c>
      <c r="CI67" s="28" t="str">
        <f aca="false">IFERROR(INDEX(Assessments!$I$2:$I$600,MATCH($H67&amp;"|"&amp;$I67&amp;"|"&amp;$J67&amp;"|"&amp;1,Assessments!$A$2:$A$600,0)),"")</f>
        <v>Econ Test</v>
      </c>
      <c r="CJ67" s="28" t="str">
        <f aca="false">IFERROR(INDEX(Assessments!$I$2:$I$600,MATCH($H67&amp;"|"&amp;$I67&amp;"|"&amp;$J67&amp;"|"&amp;2,Assessments!$A$2:$A$600,0)),"")</f>
        <v>Econ Test</v>
      </c>
      <c r="CK67" s="28" t="str">
        <f aca="false">IFERROR(INDEX(Assessments!$I$2:$I$600,MATCH($H67&amp;"|"&amp;$I67&amp;"|"&amp;$J67&amp;"|"&amp;3,Assessments!$A$2:$A$600,0)),"")</f>
        <v>Econ Test</v>
      </c>
      <c r="CL67" s="28" t="str">
        <f aca="false">IFERROR(INDEX(Assessments!$I$2:$I$600,MATCH($H67&amp;"|"&amp;$I67&amp;"|"&amp;$J67&amp;"|"&amp;4,Assessments!$A$2:$A$600,0)),"")</f>
        <v>Econ Test</v>
      </c>
      <c r="CM67" s="28" t="str">
        <f aca="false">IFERROR(INDEX(Assessments!$I$2:$I$600,MATCH($H67&amp;"|"&amp;$I67&amp;"|"&amp;$J67&amp;"|"&amp;5,Assessments!$A$2:$A$600,0)),"")</f>
        <v>Econ Exam</v>
      </c>
      <c r="CN67" s="28" t="str">
        <f aca="false">IFERROR(INDEX(Assessments!$I$2:$I$600,MATCH($H67&amp;"|"&amp;$I67&amp;"|"&amp;$J67&amp;"|"&amp;6,Assessments!$A$2:$A$600,0)),"")</f>
        <v>Econ Test</v>
      </c>
      <c r="CO67" s="28" t="str">
        <f aca="false">IFERROR(INDEX(Assessments!$I$2:$I$600,MATCH($H67&amp;"|"&amp;$I67&amp;"|"&amp;$J67&amp;"|"&amp;7,Assessments!$A$2:$A$600,0)),"")</f>
        <v>Econ Exam</v>
      </c>
      <c r="CP67" s="28" t="str">
        <f aca="false">IFERROR(INDEX(Assessments!$I$2:$I$600,MATCH($H67&amp;"|"&amp;$I67&amp;"|"&amp;$J67&amp;"|"&amp;8,Assessments!$A$2:$A$600,0)),"")</f>
        <v/>
      </c>
      <c r="CQ67" s="28" t="str">
        <f aca="false">IFERROR(INDEX(Assessments!$I$2:$I$600,MATCH($H67&amp;"|"&amp;$I67&amp;"|"&amp;$J67&amp;"|"&amp;9,Assessments!$A$2:$A$600,0)),"")</f>
        <v/>
      </c>
      <c r="CR67" s="28" t="str">
        <f aca="false">IFERROR(INDEX(Assessments!$I$2:$I$600,MATCH($H67&amp;"|"&amp;$I67&amp;"|"&amp;$J67&amp;"|"&amp;10,Assessments!$A$2:$A$600,0)),"")</f>
        <v/>
      </c>
      <c r="CS67" s="28" t="str">
        <f aca="false">IFERROR(INDEX(Assessments!$I$2:$I$600,MATCH($H67&amp;"|"&amp;$I67&amp;"|"&amp;$J67&amp;"|"&amp;11,Assessments!$A$2:$A$600,0)),"")</f>
        <v/>
      </c>
      <c r="CT67" s="28" t="str">
        <f aca="false">IFERROR(INDEX(Assessments!$I$2:$I$600,MATCH($H67&amp;"|"&amp;$I67&amp;"|"&amp;$J67&amp;"|"&amp;12,Assessments!$A$2:$A$600,0)),"")</f>
        <v/>
      </c>
      <c r="CU67" s="28" t="str">
        <f aca="false">IFERROR(INDEX(Assessments!$I$2:$I$600,MATCH($H67&amp;"|"&amp;$I67&amp;"|"&amp;$J67&amp;"|"&amp;13,Assessments!$A$2:$A$600,0)),"")</f>
        <v/>
      </c>
      <c r="CV67" s="28" t="str">
        <f aca="false">IFERROR(INDEX(Assessments!$I$2:$I$600,MATCH($H67&amp;"|"&amp;$I67&amp;"|"&amp;$J67&amp;"|"&amp;14,Assessments!$A$2:$A$600,0)),"")</f>
        <v/>
      </c>
      <c r="CW67" s="28" t="n">
        <f aca="false">IFERROR(INDEX(Assessments!$J$2:$J$600,MATCH($H67&amp;"|"&amp;$I67&amp;"|"&amp;$J67&amp;"|"&amp;1,Assessments!$A$2:$A$600,0)),0)</f>
        <v>1</v>
      </c>
      <c r="CX67" s="28" t="n">
        <f aca="false">IFERROR(INDEX(Assessments!$J$2:$J$600,MATCH($H67&amp;"|"&amp;$I67&amp;"|"&amp;$J67&amp;"|"&amp;2,Assessments!$A$2:$A$600,0)),0)</f>
        <v>1</v>
      </c>
      <c r="CY67" s="28" t="n">
        <f aca="false">IFERROR(INDEX(Assessments!$J$2:$J$600,MATCH($H67&amp;"|"&amp;$I67&amp;"|"&amp;$J67&amp;"|"&amp;3,Assessments!$A$2:$A$600,0)),0)</f>
        <v>1</v>
      </c>
      <c r="CZ67" s="28" t="n">
        <f aca="false">IFERROR(INDEX(Assessments!$J$2:$J$600,MATCH($H67&amp;"|"&amp;$I67&amp;"|"&amp;$J67&amp;"|"&amp;4,Assessments!$A$2:$A$600,0)),0)</f>
        <v>1</v>
      </c>
      <c r="DA67" s="28" t="n">
        <f aca="false">IFERROR(INDEX(Assessments!$J$2:$J$600,MATCH($H67&amp;"|"&amp;$I67&amp;"|"&amp;$J67&amp;"|"&amp;5,Assessments!$A$2:$A$600,0)),0)</f>
        <v>2</v>
      </c>
      <c r="DB67" s="28" t="n">
        <f aca="false">IFERROR(INDEX(Assessments!$J$2:$J$600,MATCH($H67&amp;"|"&amp;$I67&amp;"|"&amp;$J67&amp;"|"&amp;6,Assessments!$A$2:$A$600,0)),0)</f>
        <v>1</v>
      </c>
      <c r="DC67" s="28" t="n">
        <f aca="false">IFERROR(INDEX(Assessments!$J$2:$J$600,MATCH($H67&amp;"|"&amp;$I67&amp;"|"&amp;$J67&amp;"|"&amp;7,Assessments!$A$2:$A$600,0)),0)</f>
        <v>2</v>
      </c>
      <c r="DD67" s="28" t="n">
        <f aca="false">IFERROR(INDEX(Assessments!$J$2:$J$600,MATCH($H67&amp;"|"&amp;$I67&amp;"|"&amp;$J67&amp;"|"&amp;8,Assessments!$A$2:$A$600,0)),0)</f>
        <v>0</v>
      </c>
      <c r="DE67" s="28" t="n">
        <f aca="false">IFERROR(INDEX(Assessments!$J$2:$J$600,MATCH($H67&amp;"|"&amp;$I67&amp;"|"&amp;$J67&amp;"|"&amp;9,Assessments!$A$2:$A$600,0)),0)</f>
        <v>0</v>
      </c>
      <c r="DF67" s="28" t="n">
        <f aca="false">IFERROR(INDEX(Assessments!$J$2:$J$600,MATCH($H67&amp;"|"&amp;$I67&amp;"|"&amp;$J67&amp;"|"&amp;10,Assessments!$A$2:$A$600,0)),0)</f>
        <v>0</v>
      </c>
      <c r="DG67" s="28" t="n">
        <f aca="false">IFERROR(INDEX(Assessments!$J$2:$J$600,MATCH($H67&amp;"|"&amp;$I67&amp;"|"&amp;$J67&amp;"|"&amp;11,Assessments!$A$2:$A$600,0)),0)</f>
        <v>0</v>
      </c>
      <c r="DH67" s="28" t="n">
        <f aca="false">IFERROR(INDEX(Assessments!$J$2:$J$600,MATCH($H67&amp;"|"&amp;$I67&amp;"|"&amp;$J67&amp;"|"&amp;12,Assessments!$A$2:$A$600,0)),0)</f>
        <v>0</v>
      </c>
      <c r="DI67" s="28" t="n">
        <f aca="false">IFERROR(INDEX(Assessments!$J$2:$J$600,MATCH($H67&amp;"|"&amp;$I67&amp;"|"&amp;$J67&amp;"|"&amp;13,Assessments!$A$2:$A$600,0)),0)</f>
        <v>0</v>
      </c>
      <c r="DJ67" s="28" t="n">
        <f aca="false">IFERROR(INDEX(Assessments!$J$2:$J$600,MATCH($H67&amp;"|"&amp;$I67&amp;"|"&amp;$J67&amp;"|"&amp;14,Assessments!$A$2:$A$600,0)),0)</f>
        <v>0</v>
      </c>
      <c r="DK67" s="28" t="n">
        <f aca="false">S67</f>
        <v>4</v>
      </c>
      <c r="DL67" s="28" t="n">
        <f aca="false">W67</f>
        <v>7</v>
      </c>
      <c r="DM67" s="28" t="n">
        <f aca="false">AA67</f>
        <v>6</v>
      </c>
      <c r="DN67" s="28" t="str">
        <f aca="false">AE67</f>
        <v/>
      </c>
      <c r="DO67" s="28" t="n">
        <f aca="false">AI67</f>
        <v>7</v>
      </c>
      <c r="DP67" s="28" t="str">
        <f aca="false">AM67</f>
        <v/>
      </c>
      <c r="DQ67" s="28" t="str">
        <f aca="false">AQ67</f>
        <v/>
      </c>
      <c r="DR67" s="28" t="str">
        <f aca="false">AU67</f>
        <v/>
      </c>
      <c r="DS67" s="28" t="str">
        <f aca="false">AY67</f>
        <v/>
      </c>
      <c r="DT67" s="28" t="str">
        <f aca="false">BC67</f>
        <v/>
      </c>
      <c r="DU67" s="28" t="str">
        <f aca="false">BG67</f>
        <v/>
      </c>
      <c r="DV67" s="28" t="str">
        <f aca="false">BK67</f>
        <v/>
      </c>
      <c r="DW67" s="28" t="str">
        <f aca="false">BO67</f>
        <v/>
      </c>
      <c r="DX67" s="28" t="str">
        <f aca="false">BS67</f>
        <v/>
      </c>
      <c r="DY67" s="28" t="n">
        <f aca="false">IF(ISNUMBER(S67),1,"")</f>
        <v>1</v>
      </c>
      <c r="DZ67" s="28" t="n">
        <f aca="false">IF(ISNUMBER(W67),2,"")</f>
        <v>2</v>
      </c>
      <c r="EA67" s="28" t="n">
        <f aca="false">IF(ISNUMBER(AA67),3,"")</f>
        <v>3</v>
      </c>
      <c r="EB67" s="28" t="str">
        <f aca="false">IF(ISNUMBER(AE67),4,"")</f>
        <v/>
      </c>
      <c r="EC67" s="28" t="n">
        <f aca="false">IF(ISNUMBER(AI67),5,"")</f>
        <v>5</v>
      </c>
      <c r="ED67" s="28" t="str">
        <f aca="false">IF(ISNUMBER(AM67),6,"")</f>
        <v/>
      </c>
      <c r="EE67" s="28" t="str">
        <f aca="false">IF(ISNUMBER(AQ67),7,"")</f>
        <v/>
      </c>
      <c r="EF67" s="28" t="str">
        <f aca="false">IF(ISNUMBER(AU67),8,"")</f>
        <v/>
      </c>
      <c r="EG67" s="28" t="str">
        <f aca="false">IF(ISNUMBER(AY67),9,"")</f>
        <v/>
      </c>
      <c r="EH67" s="28" t="str">
        <f aca="false">IF(ISNUMBER(BC67),10,"")</f>
        <v/>
      </c>
      <c r="EI67" s="28" t="str">
        <f aca="false">IF(ISNUMBER(BG67),11,"")</f>
        <v/>
      </c>
      <c r="EJ67" s="28" t="str">
        <f aca="false">IF(ISNUMBER(BK67),12,"")</f>
        <v/>
      </c>
      <c r="EK67" s="28" t="str">
        <f aca="false">IF(ISNUMBER(BO67),13,"")</f>
        <v/>
      </c>
      <c r="EL67" s="28" t="str">
        <f aca="false">IF(ISNUMBER(BS67),14,"")</f>
        <v/>
      </c>
      <c r="EM67" s="28" t="n">
        <f aca="false">IF(ISNUMBER(R67),R67*CW67,0)</f>
        <v>53.3333333333333</v>
      </c>
      <c r="EN67" s="28" t="n">
        <f aca="false">IF(ISNUMBER(V67),V67*CX67,0)</f>
        <v>100</v>
      </c>
      <c r="EO67" s="28" t="n">
        <f aca="false">IF(ISNUMBER(Z67),Z67*CY67,0)</f>
        <v>76</v>
      </c>
      <c r="EP67" s="28" t="n">
        <f aca="false">IF(ISNUMBER(AD67),AD67*CZ67,0)</f>
        <v>0</v>
      </c>
      <c r="EQ67" s="28" t="n">
        <f aca="false">IF(ISNUMBER(AH67),AH67*DA67,0)</f>
        <v>163.636363636364</v>
      </c>
      <c r="ER67" s="28" t="n">
        <f aca="false">IF(ISNUMBER(AL67),AL67*DB67,0)</f>
        <v>0</v>
      </c>
      <c r="ES67" s="28" t="n">
        <f aca="false">IF(ISNUMBER(AP67),AP67*DC67,0)</f>
        <v>0</v>
      </c>
      <c r="ET67" s="28" t="n">
        <f aca="false">IF(ISNUMBER(AT67),AT67*DD67,0)</f>
        <v>0</v>
      </c>
      <c r="EU67" s="28" t="n">
        <f aca="false">IF(ISNUMBER(AX67),AX67*DE67,0)</f>
        <v>0</v>
      </c>
      <c r="EV67" s="28" t="n">
        <f aca="false">IF(ISNUMBER(BB67),BB67*DF67,0)</f>
        <v>0</v>
      </c>
      <c r="EW67" s="28" t="n">
        <f aca="false">IF(ISNUMBER(BF67),BF67*DG67,0)</f>
        <v>0</v>
      </c>
      <c r="EX67" s="28" t="n">
        <f aca="false">IF(ISNUMBER(BJ67),BJ67*DH67,0)</f>
        <v>0</v>
      </c>
      <c r="EY67" s="28" t="n">
        <f aca="false">IF(ISNUMBER(BN67),BN67*DI67,0)</f>
        <v>0</v>
      </c>
      <c r="EZ67" s="28" t="n">
        <f aca="false">IF(ISNUMBER(BR67),BR67*DJ67,0)</f>
        <v>0</v>
      </c>
      <c r="FA67" s="28" t="n">
        <f aca="false">IF(ISNUMBER(R67),CW67,0)</f>
        <v>1</v>
      </c>
      <c r="FB67" s="28" t="n">
        <f aca="false">IF(ISNUMBER(V67),CX67,0)</f>
        <v>1</v>
      </c>
      <c r="FC67" s="28" t="n">
        <f aca="false">IF(ISNUMBER(Z67),CY67,0)</f>
        <v>1</v>
      </c>
      <c r="FD67" s="28" t="n">
        <f aca="false">IF(ISNUMBER(AD67),CZ67,0)</f>
        <v>0</v>
      </c>
      <c r="FE67" s="28" t="n">
        <f aca="false">IF(ISNUMBER(AH67),DA67,0)</f>
        <v>2</v>
      </c>
      <c r="FF67" s="28" t="n">
        <f aca="false">IF(ISNUMBER(AL67),DB67,0)</f>
        <v>0</v>
      </c>
      <c r="FG67" s="28" t="n">
        <f aca="false">IF(ISNUMBER(AP67),DC67,0)</f>
        <v>0</v>
      </c>
      <c r="FH67" s="28" t="n">
        <f aca="false">IF(ISNUMBER(AT67),DD67,0)</f>
        <v>0</v>
      </c>
      <c r="FI67" s="28" t="n">
        <f aca="false">IF(ISNUMBER(AX67),DE67,0)</f>
        <v>0</v>
      </c>
      <c r="FJ67" s="28" t="n">
        <f aca="false">IF(ISNUMBER(BB67),DF67,0)</f>
        <v>0</v>
      </c>
      <c r="FK67" s="28" t="n">
        <f aca="false">IF(ISNUMBER(BF67),DG67,0)</f>
        <v>0</v>
      </c>
      <c r="FL67" s="28" t="n">
        <f aca="false">IF(ISNUMBER(BJ67),DH67,0)</f>
        <v>0</v>
      </c>
      <c r="FM67" s="28" t="n">
        <f aca="false">IF(ISNUMBER(BN67),DI67,0)</f>
        <v>0</v>
      </c>
      <c r="FN67" s="28" t="n">
        <f aca="false">IF(ISNUMBER(BR67),DJ67,0)</f>
        <v>0</v>
      </c>
      <c r="FO67" s="28" t="str">
        <f aca="false">IFERROR(INDEX(Lists!$G$2:$G$20,MATCH($I67&amp;"|"&amp;$J67,Lists!$F$2:$F$20,0)),"")</f>
        <v>Econ Exam</v>
      </c>
    </row>
    <row r="68" customFormat="false" ht="19.5" hidden="false" customHeight="true" outlineLevel="0" collapsed="false">
      <c r="A68" s="29" t="s">
        <v>267</v>
      </c>
      <c r="B68" s="29" t="s">
        <v>268</v>
      </c>
      <c r="C68" s="30" t="s">
        <v>152</v>
      </c>
      <c r="D68" s="30" t="s">
        <v>246</v>
      </c>
      <c r="E68" s="31" t="n">
        <v>6.3</v>
      </c>
      <c r="F68" s="30" t="n">
        <v>7</v>
      </c>
      <c r="G68" s="30"/>
      <c r="H68" s="32" t="s">
        <v>23</v>
      </c>
      <c r="I68" s="33" t="s">
        <v>229</v>
      </c>
      <c r="J68" s="32" t="s">
        <v>25</v>
      </c>
      <c r="K68" s="34" t="n">
        <f aca="false">IF(OR(M68="",$E68=""),"",M68-$E68)</f>
        <v>-1.3</v>
      </c>
      <c r="L68" s="35" t="n">
        <f aca="false">IF(SUM(FA68:FN68)=0,"",SUM(EM68:EZ68)/SUM(FA68:FN68))</f>
        <v>68.7261904761905</v>
      </c>
      <c r="M68" s="36" t="n">
        <f aca="false">IF(OR(L68="",FO68=""),"",IFERROR(MATCH(L68,INDEX(Boundaries!$B$2:$I$30,MATCH(FO68,Boundaries!$A$2:$A$30,0),0),1)-1,""))</f>
        <v>5</v>
      </c>
      <c r="N68" s="37" t="n">
        <f aca="false">IF(COUNT($DY68:$EL68)&lt;2,"",INDEX($DK68:$DX68,MAX($DY68:$EL68))-INDEX($DK68:$DX68,MIN($DY68:$EL68)))</f>
        <v>0</v>
      </c>
      <c r="O68" s="37" t="n">
        <f aca="false">IF(COUNT($DY68:$EL68)&lt;2,"",INDEX($DK68:$DX68,MAX($DY68:$EL68))-INDEX($DK68:$DX68,LARGE($DY68:$EL68,2)))</f>
        <v>-1</v>
      </c>
      <c r="P68" s="38" t="str">
        <f aca="false">IF(K68="","",IF(K68&gt;=0,"On/above target",IF(AND(N68&lt;&gt;"",N68&gt;=0.5),"Improving towards target",IF(AND(O68&lt;&gt;"",O68&lt;=-0.5),"Declining","Stable below target"))))</f>
        <v>Declining</v>
      </c>
      <c r="Q68" s="39" t="n">
        <v>20</v>
      </c>
      <c r="R68" s="40" t="n">
        <f aca="false">IF(OR(Q68="",BU68=""),"",Q68/BU68*100)</f>
        <v>66.6666666666667</v>
      </c>
      <c r="S68" s="41" t="n">
        <f aca="false">IF(R68="","",IFERROR(MATCH(R68,INDEX(Boundaries!$B$2:$I$30,MATCH(CI68,Boundaries!$A$2:$A$30,0),0),1)-1,""))</f>
        <v>5</v>
      </c>
      <c r="T68" s="42" t="n">
        <f aca="false">IF(OR(S68="",$E68=""),"",S68-$E68)</f>
        <v>-1.3</v>
      </c>
      <c r="U68" s="39" t="n">
        <v>17</v>
      </c>
      <c r="V68" s="40" t="n">
        <f aca="false">IF(OR(U68="",BV68=""),"",U68/BV68*100)</f>
        <v>70.8333333333333</v>
      </c>
      <c r="W68" s="41" t="n">
        <f aca="false">IF(V68="","",IFERROR(MATCH(V68,INDEX(Boundaries!$B$2:$I$30,MATCH(CJ68,Boundaries!$A$2:$A$30,0),0),1)-1,""))</f>
        <v>5</v>
      </c>
      <c r="X68" s="42" t="n">
        <f aca="false">IF(OR(W68="",$E68=""),"",W68-$E68)</f>
        <v>-1.3</v>
      </c>
      <c r="Y68" s="39" t="n">
        <v>18</v>
      </c>
      <c r="Z68" s="40" t="n">
        <f aca="false">IF(OR(Y68="",BW68=""),"",Y68/BW68*100)</f>
        <v>72</v>
      </c>
      <c r="AA68" s="41" t="n">
        <f aca="false">IF(Z68="","",IFERROR(MATCH(Z68,INDEX(Boundaries!$B$2:$I$30,MATCH(CK68,Boundaries!$A$2:$A$30,0),0),1)-1,""))</f>
        <v>5</v>
      </c>
      <c r="AB68" s="42" t="n">
        <f aca="false">IF(OR(AA68="",$E68=""),"",AA68-$E68)</f>
        <v>-1.3</v>
      </c>
      <c r="AC68" s="39" t="n">
        <v>29</v>
      </c>
      <c r="AD68" s="40" t="n">
        <f aca="false">IF(OR(AC68="",BX68=""),"",AC68/BX68*100)</f>
        <v>82.8571428571429</v>
      </c>
      <c r="AE68" s="41" t="n">
        <f aca="false">IF(AD68="","",IFERROR(MATCH(AD68,INDEX(Boundaries!$B$2:$I$30,MATCH(CL68,Boundaries!$A$2:$A$30,0),0),1)-1,""))</f>
        <v>6</v>
      </c>
      <c r="AF68" s="42" t="n">
        <f aca="false">IF(OR(AE68="",$E68=""),"",AE68-$E68)</f>
        <v>-0.3</v>
      </c>
      <c r="AG68" s="39" t="n">
        <v>33</v>
      </c>
      <c r="AH68" s="40" t="n">
        <f aca="false">IF(OR(AG68="",BY68=""),"",AG68/BY68*100)</f>
        <v>60</v>
      </c>
      <c r="AI68" s="41" t="n">
        <f aca="false">IF(AH68="","",IFERROR(MATCH(AH68,INDEX(Boundaries!$B$2:$I$30,MATCH(CM68,Boundaries!$A$2:$A$30,0),0),1)-1,""))</f>
        <v>5</v>
      </c>
      <c r="AJ68" s="42" t="n">
        <f aca="false">IF(OR(AI68="",$E68=""),"",AI68-$E68)</f>
        <v>-1.3</v>
      </c>
      <c r="AK68" s="39"/>
      <c r="AL68" s="40" t="str">
        <f aca="false">IF(OR(AK68="",BZ68=""),"",AK68/BZ68*100)</f>
        <v/>
      </c>
      <c r="AM68" s="41" t="str">
        <f aca="false">IF(AL68="","",IFERROR(MATCH(AL68,INDEX(Boundaries!$B$2:$I$30,MATCH(CN68,Boundaries!$A$2:$A$30,0),0),1)-1,""))</f>
        <v/>
      </c>
      <c r="AN68" s="42" t="str">
        <f aca="false">IF(OR(AM68="",$E68=""),"",AM68-$E68)</f>
        <v/>
      </c>
      <c r="AO68" s="39"/>
      <c r="AP68" s="40" t="str">
        <f aca="false">IF(OR(AO68="",CA68=""),"",AO68/CA68*100)</f>
        <v/>
      </c>
      <c r="AQ68" s="41" t="str">
        <f aca="false">IF(AP68="","",IFERROR(MATCH(AP68,INDEX(Boundaries!$B$2:$I$30,MATCH(CO68,Boundaries!$A$2:$A$30,0),0),1)-1,""))</f>
        <v/>
      </c>
      <c r="AR68" s="42" t="str">
        <f aca="false">IF(OR(AQ68="",$E68=""),"",AQ68-$E68)</f>
        <v/>
      </c>
      <c r="AS68" s="39"/>
      <c r="AT68" s="40" t="str">
        <f aca="false">IF(OR(AS68="",CB68=""),"",AS68/CB68*100)</f>
        <v/>
      </c>
      <c r="AU68" s="41" t="str">
        <f aca="false">IF(AT68="","",IFERROR(MATCH(AT68,INDEX(Boundaries!$B$2:$I$30,MATCH(CP68,Boundaries!$A$2:$A$30,0),0),1)-1,""))</f>
        <v/>
      </c>
      <c r="AV68" s="42" t="str">
        <f aca="false">IF(OR(AU68="",$E68=""),"",AU68-$E68)</f>
        <v/>
      </c>
      <c r="AW68" s="39"/>
      <c r="AX68" s="40" t="str">
        <f aca="false">IF(OR(AW68="",CC68=""),"",AW68/CC68*100)</f>
        <v/>
      </c>
      <c r="AY68" s="41" t="str">
        <f aca="false">IF(AX68="","",IFERROR(MATCH(AX68,INDEX(Boundaries!$B$2:$I$30,MATCH(CQ68,Boundaries!$A$2:$A$30,0),0),1)-1,""))</f>
        <v/>
      </c>
      <c r="AZ68" s="42" t="str">
        <f aca="false">IF(OR(AY68="",$E68=""),"",AY68-$E68)</f>
        <v/>
      </c>
      <c r="BA68" s="39"/>
      <c r="BB68" s="40" t="str">
        <f aca="false">IF(OR(BA68="",CD68=""),"",BA68/CD68*100)</f>
        <v/>
      </c>
      <c r="BC68" s="41" t="str">
        <f aca="false">IF(BB68="","",IFERROR(MATCH(BB68,INDEX(Boundaries!$B$2:$I$30,MATCH(CR68,Boundaries!$A$2:$A$30,0),0),1)-1,""))</f>
        <v/>
      </c>
      <c r="BD68" s="42" t="str">
        <f aca="false">IF(OR(BC68="",$E68=""),"",BC68-$E68)</f>
        <v/>
      </c>
      <c r="BE68" s="39"/>
      <c r="BF68" s="40" t="str">
        <f aca="false">IF(OR(BE68="",CE68=""),"",BE68/CE68*100)</f>
        <v/>
      </c>
      <c r="BG68" s="41" t="str">
        <f aca="false">IF(BF68="","",IFERROR(MATCH(BF68,INDEX(Boundaries!$B$2:$I$30,MATCH(CS68,Boundaries!$A$2:$A$30,0),0),1)-1,""))</f>
        <v/>
      </c>
      <c r="BH68" s="42" t="str">
        <f aca="false">IF(OR(BG68="",$E68=""),"",BG68-$E68)</f>
        <v/>
      </c>
      <c r="BI68" s="39"/>
      <c r="BJ68" s="40" t="str">
        <f aca="false">IF(OR(BI68="",CF68=""),"",BI68/CF68*100)</f>
        <v/>
      </c>
      <c r="BK68" s="41" t="str">
        <f aca="false">IF(BJ68="","",IFERROR(MATCH(BJ68,INDEX(Boundaries!$B$2:$I$30,MATCH(CT68,Boundaries!$A$2:$A$30,0),0),1)-1,""))</f>
        <v/>
      </c>
      <c r="BL68" s="42" t="str">
        <f aca="false">IF(OR(BK68="",$E68=""),"",BK68-$E68)</f>
        <v/>
      </c>
      <c r="BM68" s="39"/>
      <c r="BN68" s="40" t="str">
        <f aca="false">IF(OR(BM68="",CG68=""),"",BM68/CG68*100)</f>
        <v/>
      </c>
      <c r="BO68" s="41" t="str">
        <f aca="false">IF(BN68="","",IFERROR(MATCH(BN68,INDEX(Boundaries!$B$2:$I$30,MATCH(CU68,Boundaries!$A$2:$A$30,0),0),1)-1,""))</f>
        <v/>
      </c>
      <c r="BP68" s="42" t="str">
        <f aca="false">IF(OR(BO68="",$E68=""),"",BO68-$E68)</f>
        <v/>
      </c>
      <c r="BQ68" s="39"/>
      <c r="BR68" s="40" t="str">
        <f aca="false">IF(OR(BQ68="",CH68=""),"",BQ68/CH68*100)</f>
        <v/>
      </c>
      <c r="BS68" s="41" t="str">
        <f aca="false">IF(BR68="","",IFERROR(MATCH(BR68,INDEX(Boundaries!$B$2:$I$30,MATCH(CV68,Boundaries!$A$2:$A$30,0),0),1)-1,""))</f>
        <v/>
      </c>
      <c r="BT68" s="42" t="str">
        <f aca="false">IF(OR(BS68="",$E68=""),"",BS68-$E68)</f>
        <v/>
      </c>
      <c r="BU68" s="28" t="n">
        <f aca="false">IFERROR(INDEX(Assessments!$H$2:$H$600,MATCH($H68&amp;"|"&amp;$I68&amp;"|"&amp;$J68&amp;"|"&amp;1,Assessments!$A$2:$A$600,0)),"")</f>
        <v>30</v>
      </c>
      <c r="BV68" s="28" t="n">
        <f aca="false">IFERROR(INDEX(Assessments!$H$2:$H$600,MATCH($H68&amp;"|"&amp;$I68&amp;"|"&amp;$J68&amp;"|"&amp;2,Assessments!$A$2:$A$600,0)),"")</f>
        <v>24</v>
      </c>
      <c r="BW68" s="28" t="n">
        <f aca="false">IFERROR(INDEX(Assessments!$H$2:$H$600,MATCH($H68&amp;"|"&amp;$I68&amp;"|"&amp;$J68&amp;"|"&amp;3,Assessments!$A$2:$A$600,0)),"")</f>
        <v>25</v>
      </c>
      <c r="BX68" s="28" t="n">
        <f aca="false">IFERROR(INDEX(Assessments!$H$2:$H$600,MATCH($H68&amp;"|"&amp;$I68&amp;"|"&amp;$J68&amp;"|"&amp;4,Assessments!$A$2:$A$600,0)),"")</f>
        <v>35</v>
      </c>
      <c r="BY68" s="28" t="n">
        <f aca="false">IFERROR(INDEX(Assessments!$H$2:$H$600,MATCH($H68&amp;"|"&amp;$I68&amp;"|"&amp;$J68&amp;"|"&amp;5,Assessments!$A$2:$A$600,0)),"")</f>
        <v>55</v>
      </c>
      <c r="BZ68" s="28" t="n">
        <f aca="false">IFERROR(INDEX(Assessments!$H$2:$H$600,MATCH($H68&amp;"|"&amp;$I68&amp;"|"&amp;$J68&amp;"|"&amp;6,Assessments!$A$2:$A$600,0)),"")</f>
        <v>30</v>
      </c>
      <c r="CA68" s="28" t="n">
        <f aca="false">IFERROR(INDEX(Assessments!$H$2:$H$600,MATCH($H68&amp;"|"&amp;$I68&amp;"|"&amp;$J68&amp;"|"&amp;7,Assessments!$A$2:$A$600,0)),"")</f>
        <v>95</v>
      </c>
      <c r="CB68" s="28" t="str">
        <f aca="false">IFERROR(INDEX(Assessments!$H$2:$H$600,MATCH($H68&amp;"|"&amp;$I68&amp;"|"&amp;$J68&amp;"|"&amp;8,Assessments!$A$2:$A$600,0)),"")</f>
        <v/>
      </c>
      <c r="CC68" s="28" t="str">
        <f aca="false">IFERROR(INDEX(Assessments!$H$2:$H$600,MATCH($H68&amp;"|"&amp;$I68&amp;"|"&amp;$J68&amp;"|"&amp;9,Assessments!$A$2:$A$600,0)),"")</f>
        <v/>
      </c>
      <c r="CD68" s="28" t="str">
        <f aca="false">IFERROR(INDEX(Assessments!$H$2:$H$600,MATCH($H68&amp;"|"&amp;$I68&amp;"|"&amp;$J68&amp;"|"&amp;10,Assessments!$A$2:$A$600,0)),"")</f>
        <v/>
      </c>
      <c r="CE68" s="28" t="str">
        <f aca="false">IFERROR(INDEX(Assessments!$H$2:$H$600,MATCH($H68&amp;"|"&amp;$I68&amp;"|"&amp;$J68&amp;"|"&amp;11,Assessments!$A$2:$A$600,0)),"")</f>
        <v/>
      </c>
      <c r="CF68" s="28" t="str">
        <f aca="false">IFERROR(INDEX(Assessments!$H$2:$H$600,MATCH($H68&amp;"|"&amp;$I68&amp;"|"&amp;$J68&amp;"|"&amp;12,Assessments!$A$2:$A$600,0)),"")</f>
        <v/>
      </c>
      <c r="CG68" s="28" t="str">
        <f aca="false">IFERROR(INDEX(Assessments!$H$2:$H$600,MATCH($H68&amp;"|"&amp;$I68&amp;"|"&amp;$J68&amp;"|"&amp;13,Assessments!$A$2:$A$600,0)),"")</f>
        <v/>
      </c>
      <c r="CH68" s="28" t="str">
        <f aca="false">IFERROR(INDEX(Assessments!$H$2:$H$600,MATCH($H68&amp;"|"&amp;$I68&amp;"|"&amp;$J68&amp;"|"&amp;14,Assessments!$A$2:$A$600,0)),"")</f>
        <v/>
      </c>
      <c r="CI68" s="28" t="str">
        <f aca="false">IFERROR(INDEX(Assessments!$I$2:$I$600,MATCH($H68&amp;"|"&amp;$I68&amp;"|"&amp;$J68&amp;"|"&amp;1,Assessments!$A$2:$A$600,0)),"")</f>
        <v>Econ Test</v>
      </c>
      <c r="CJ68" s="28" t="str">
        <f aca="false">IFERROR(INDEX(Assessments!$I$2:$I$600,MATCH($H68&amp;"|"&amp;$I68&amp;"|"&amp;$J68&amp;"|"&amp;2,Assessments!$A$2:$A$600,0)),"")</f>
        <v>Econ Test</v>
      </c>
      <c r="CK68" s="28" t="str">
        <f aca="false">IFERROR(INDEX(Assessments!$I$2:$I$600,MATCH($H68&amp;"|"&amp;$I68&amp;"|"&amp;$J68&amp;"|"&amp;3,Assessments!$A$2:$A$600,0)),"")</f>
        <v>Econ Test</v>
      </c>
      <c r="CL68" s="28" t="str">
        <f aca="false">IFERROR(INDEX(Assessments!$I$2:$I$600,MATCH($H68&amp;"|"&amp;$I68&amp;"|"&amp;$J68&amp;"|"&amp;4,Assessments!$A$2:$A$600,0)),"")</f>
        <v>Econ Test</v>
      </c>
      <c r="CM68" s="28" t="str">
        <f aca="false">IFERROR(INDEX(Assessments!$I$2:$I$600,MATCH($H68&amp;"|"&amp;$I68&amp;"|"&amp;$J68&amp;"|"&amp;5,Assessments!$A$2:$A$600,0)),"")</f>
        <v>Econ Exam</v>
      </c>
      <c r="CN68" s="28" t="str">
        <f aca="false">IFERROR(INDEX(Assessments!$I$2:$I$600,MATCH($H68&amp;"|"&amp;$I68&amp;"|"&amp;$J68&amp;"|"&amp;6,Assessments!$A$2:$A$600,0)),"")</f>
        <v>Econ Test</v>
      </c>
      <c r="CO68" s="28" t="str">
        <f aca="false">IFERROR(INDEX(Assessments!$I$2:$I$600,MATCH($H68&amp;"|"&amp;$I68&amp;"|"&amp;$J68&amp;"|"&amp;7,Assessments!$A$2:$A$600,0)),"")</f>
        <v>Econ Exam</v>
      </c>
      <c r="CP68" s="28" t="str">
        <f aca="false">IFERROR(INDEX(Assessments!$I$2:$I$600,MATCH($H68&amp;"|"&amp;$I68&amp;"|"&amp;$J68&amp;"|"&amp;8,Assessments!$A$2:$A$600,0)),"")</f>
        <v/>
      </c>
      <c r="CQ68" s="28" t="str">
        <f aca="false">IFERROR(INDEX(Assessments!$I$2:$I$600,MATCH($H68&amp;"|"&amp;$I68&amp;"|"&amp;$J68&amp;"|"&amp;9,Assessments!$A$2:$A$600,0)),"")</f>
        <v/>
      </c>
      <c r="CR68" s="28" t="str">
        <f aca="false">IFERROR(INDEX(Assessments!$I$2:$I$600,MATCH($H68&amp;"|"&amp;$I68&amp;"|"&amp;$J68&amp;"|"&amp;10,Assessments!$A$2:$A$600,0)),"")</f>
        <v/>
      </c>
      <c r="CS68" s="28" t="str">
        <f aca="false">IFERROR(INDEX(Assessments!$I$2:$I$600,MATCH($H68&amp;"|"&amp;$I68&amp;"|"&amp;$J68&amp;"|"&amp;11,Assessments!$A$2:$A$600,0)),"")</f>
        <v/>
      </c>
      <c r="CT68" s="28" t="str">
        <f aca="false">IFERROR(INDEX(Assessments!$I$2:$I$600,MATCH($H68&amp;"|"&amp;$I68&amp;"|"&amp;$J68&amp;"|"&amp;12,Assessments!$A$2:$A$600,0)),"")</f>
        <v/>
      </c>
      <c r="CU68" s="28" t="str">
        <f aca="false">IFERROR(INDEX(Assessments!$I$2:$I$600,MATCH($H68&amp;"|"&amp;$I68&amp;"|"&amp;$J68&amp;"|"&amp;13,Assessments!$A$2:$A$600,0)),"")</f>
        <v/>
      </c>
      <c r="CV68" s="28" t="str">
        <f aca="false">IFERROR(INDEX(Assessments!$I$2:$I$600,MATCH($H68&amp;"|"&amp;$I68&amp;"|"&amp;$J68&amp;"|"&amp;14,Assessments!$A$2:$A$600,0)),"")</f>
        <v/>
      </c>
      <c r="CW68" s="28" t="n">
        <f aca="false">IFERROR(INDEX(Assessments!$J$2:$J$600,MATCH($H68&amp;"|"&amp;$I68&amp;"|"&amp;$J68&amp;"|"&amp;1,Assessments!$A$2:$A$600,0)),0)</f>
        <v>1</v>
      </c>
      <c r="CX68" s="28" t="n">
        <f aca="false">IFERROR(INDEX(Assessments!$J$2:$J$600,MATCH($H68&amp;"|"&amp;$I68&amp;"|"&amp;$J68&amp;"|"&amp;2,Assessments!$A$2:$A$600,0)),0)</f>
        <v>1</v>
      </c>
      <c r="CY68" s="28" t="n">
        <f aca="false">IFERROR(INDEX(Assessments!$J$2:$J$600,MATCH($H68&amp;"|"&amp;$I68&amp;"|"&amp;$J68&amp;"|"&amp;3,Assessments!$A$2:$A$600,0)),0)</f>
        <v>1</v>
      </c>
      <c r="CZ68" s="28" t="n">
        <f aca="false">IFERROR(INDEX(Assessments!$J$2:$J$600,MATCH($H68&amp;"|"&amp;$I68&amp;"|"&amp;$J68&amp;"|"&amp;4,Assessments!$A$2:$A$600,0)),0)</f>
        <v>1</v>
      </c>
      <c r="DA68" s="28" t="n">
        <f aca="false">IFERROR(INDEX(Assessments!$J$2:$J$600,MATCH($H68&amp;"|"&amp;$I68&amp;"|"&amp;$J68&amp;"|"&amp;5,Assessments!$A$2:$A$600,0)),0)</f>
        <v>2</v>
      </c>
      <c r="DB68" s="28" t="n">
        <f aca="false">IFERROR(INDEX(Assessments!$J$2:$J$600,MATCH($H68&amp;"|"&amp;$I68&amp;"|"&amp;$J68&amp;"|"&amp;6,Assessments!$A$2:$A$600,0)),0)</f>
        <v>1</v>
      </c>
      <c r="DC68" s="28" t="n">
        <f aca="false">IFERROR(INDEX(Assessments!$J$2:$J$600,MATCH($H68&amp;"|"&amp;$I68&amp;"|"&amp;$J68&amp;"|"&amp;7,Assessments!$A$2:$A$600,0)),0)</f>
        <v>2</v>
      </c>
      <c r="DD68" s="28" t="n">
        <f aca="false">IFERROR(INDEX(Assessments!$J$2:$J$600,MATCH($H68&amp;"|"&amp;$I68&amp;"|"&amp;$J68&amp;"|"&amp;8,Assessments!$A$2:$A$600,0)),0)</f>
        <v>0</v>
      </c>
      <c r="DE68" s="28" t="n">
        <f aca="false">IFERROR(INDEX(Assessments!$J$2:$J$600,MATCH($H68&amp;"|"&amp;$I68&amp;"|"&amp;$J68&amp;"|"&amp;9,Assessments!$A$2:$A$600,0)),0)</f>
        <v>0</v>
      </c>
      <c r="DF68" s="28" t="n">
        <f aca="false">IFERROR(INDEX(Assessments!$J$2:$J$600,MATCH($H68&amp;"|"&amp;$I68&amp;"|"&amp;$J68&amp;"|"&amp;10,Assessments!$A$2:$A$600,0)),0)</f>
        <v>0</v>
      </c>
      <c r="DG68" s="28" t="n">
        <f aca="false">IFERROR(INDEX(Assessments!$J$2:$J$600,MATCH($H68&amp;"|"&amp;$I68&amp;"|"&amp;$J68&amp;"|"&amp;11,Assessments!$A$2:$A$600,0)),0)</f>
        <v>0</v>
      </c>
      <c r="DH68" s="28" t="n">
        <f aca="false">IFERROR(INDEX(Assessments!$J$2:$J$600,MATCH($H68&amp;"|"&amp;$I68&amp;"|"&amp;$J68&amp;"|"&amp;12,Assessments!$A$2:$A$600,0)),0)</f>
        <v>0</v>
      </c>
      <c r="DI68" s="28" t="n">
        <f aca="false">IFERROR(INDEX(Assessments!$J$2:$J$600,MATCH($H68&amp;"|"&amp;$I68&amp;"|"&amp;$J68&amp;"|"&amp;13,Assessments!$A$2:$A$600,0)),0)</f>
        <v>0</v>
      </c>
      <c r="DJ68" s="28" t="n">
        <f aca="false">IFERROR(INDEX(Assessments!$J$2:$J$600,MATCH($H68&amp;"|"&amp;$I68&amp;"|"&amp;$J68&amp;"|"&amp;14,Assessments!$A$2:$A$600,0)),0)</f>
        <v>0</v>
      </c>
      <c r="DK68" s="28" t="n">
        <f aca="false">S68</f>
        <v>5</v>
      </c>
      <c r="DL68" s="28" t="n">
        <f aca="false">W68</f>
        <v>5</v>
      </c>
      <c r="DM68" s="28" t="n">
        <f aca="false">AA68</f>
        <v>5</v>
      </c>
      <c r="DN68" s="28" t="n">
        <f aca="false">AE68</f>
        <v>6</v>
      </c>
      <c r="DO68" s="28" t="n">
        <f aca="false">AI68</f>
        <v>5</v>
      </c>
      <c r="DP68" s="28" t="str">
        <f aca="false">AM68</f>
        <v/>
      </c>
      <c r="DQ68" s="28" t="str">
        <f aca="false">AQ68</f>
        <v/>
      </c>
      <c r="DR68" s="28" t="str">
        <f aca="false">AU68</f>
        <v/>
      </c>
      <c r="DS68" s="28" t="str">
        <f aca="false">AY68</f>
        <v/>
      </c>
      <c r="DT68" s="28" t="str">
        <f aca="false">BC68</f>
        <v/>
      </c>
      <c r="DU68" s="28" t="str">
        <f aca="false">BG68</f>
        <v/>
      </c>
      <c r="DV68" s="28" t="str">
        <f aca="false">BK68</f>
        <v/>
      </c>
      <c r="DW68" s="28" t="str">
        <f aca="false">BO68</f>
        <v/>
      </c>
      <c r="DX68" s="28" t="str">
        <f aca="false">BS68</f>
        <v/>
      </c>
      <c r="DY68" s="28" t="n">
        <f aca="false">IF(ISNUMBER(S68),1,"")</f>
        <v>1</v>
      </c>
      <c r="DZ68" s="28" t="n">
        <f aca="false">IF(ISNUMBER(W68),2,"")</f>
        <v>2</v>
      </c>
      <c r="EA68" s="28" t="n">
        <f aca="false">IF(ISNUMBER(AA68),3,"")</f>
        <v>3</v>
      </c>
      <c r="EB68" s="28" t="n">
        <f aca="false">IF(ISNUMBER(AE68),4,"")</f>
        <v>4</v>
      </c>
      <c r="EC68" s="28" t="n">
        <f aca="false">IF(ISNUMBER(AI68),5,"")</f>
        <v>5</v>
      </c>
      <c r="ED68" s="28" t="str">
        <f aca="false">IF(ISNUMBER(AM68),6,"")</f>
        <v/>
      </c>
      <c r="EE68" s="28" t="str">
        <f aca="false">IF(ISNUMBER(AQ68),7,"")</f>
        <v/>
      </c>
      <c r="EF68" s="28" t="str">
        <f aca="false">IF(ISNUMBER(AU68),8,"")</f>
        <v/>
      </c>
      <c r="EG68" s="28" t="str">
        <f aca="false">IF(ISNUMBER(AY68),9,"")</f>
        <v/>
      </c>
      <c r="EH68" s="28" t="str">
        <f aca="false">IF(ISNUMBER(BC68),10,"")</f>
        <v/>
      </c>
      <c r="EI68" s="28" t="str">
        <f aca="false">IF(ISNUMBER(BG68),11,"")</f>
        <v/>
      </c>
      <c r="EJ68" s="28" t="str">
        <f aca="false">IF(ISNUMBER(BK68),12,"")</f>
        <v/>
      </c>
      <c r="EK68" s="28" t="str">
        <f aca="false">IF(ISNUMBER(BO68),13,"")</f>
        <v/>
      </c>
      <c r="EL68" s="28" t="str">
        <f aca="false">IF(ISNUMBER(BS68),14,"")</f>
        <v/>
      </c>
      <c r="EM68" s="28" t="n">
        <f aca="false">IF(ISNUMBER(R68),R68*CW68,0)</f>
        <v>66.6666666666667</v>
      </c>
      <c r="EN68" s="28" t="n">
        <f aca="false">IF(ISNUMBER(V68),V68*CX68,0)</f>
        <v>70.8333333333333</v>
      </c>
      <c r="EO68" s="28" t="n">
        <f aca="false">IF(ISNUMBER(Z68),Z68*CY68,0)</f>
        <v>72</v>
      </c>
      <c r="EP68" s="28" t="n">
        <f aca="false">IF(ISNUMBER(AD68),AD68*CZ68,0)</f>
        <v>82.8571428571429</v>
      </c>
      <c r="EQ68" s="28" t="n">
        <f aca="false">IF(ISNUMBER(AH68),AH68*DA68,0)</f>
        <v>120</v>
      </c>
      <c r="ER68" s="28" t="n">
        <f aca="false">IF(ISNUMBER(AL68),AL68*DB68,0)</f>
        <v>0</v>
      </c>
      <c r="ES68" s="28" t="n">
        <f aca="false">IF(ISNUMBER(AP68),AP68*DC68,0)</f>
        <v>0</v>
      </c>
      <c r="ET68" s="28" t="n">
        <f aca="false">IF(ISNUMBER(AT68),AT68*DD68,0)</f>
        <v>0</v>
      </c>
      <c r="EU68" s="28" t="n">
        <f aca="false">IF(ISNUMBER(AX68),AX68*DE68,0)</f>
        <v>0</v>
      </c>
      <c r="EV68" s="28" t="n">
        <f aca="false">IF(ISNUMBER(BB68),BB68*DF68,0)</f>
        <v>0</v>
      </c>
      <c r="EW68" s="28" t="n">
        <f aca="false">IF(ISNUMBER(BF68),BF68*DG68,0)</f>
        <v>0</v>
      </c>
      <c r="EX68" s="28" t="n">
        <f aca="false">IF(ISNUMBER(BJ68),BJ68*DH68,0)</f>
        <v>0</v>
      </c>
      <c r="EY68" s="28" t="n">
        <f aca="false">IF(ISNUMBER(BN68),BN68*DI68,0)</f>
        <v>0</v>
      </c>
      <c r="EZ68" s="28" t="n">
        <f aca="false">IF(ISNUMBER(BR68),BR68*DJ68,0)</f>
        <v>0</v>
      </c>
      <c r="FA68" s="28" t="n">
        <f aca="false">IF(ISNUMBER(R68),CW68,0)</f>
        <v>1</v>
      </c>
      <c r="FB68" s="28" t="n">
        <f aca="false">IF(ISNUMBER(V68),CX68,0)</f>
        <v>1</v>
      </c>
      <c r="FC68" s="28" t="n">
        <f aca="false">IF(ISNUMBER(Z68),CY68,0)</f>
        <v>1</v>
      </c>
      <c r="FD68" s="28" t="n">
        <f aca="false">IF(ISNUMBER(AD68),CZ68,0)</f>
        <v>1</v>
      </c>
      <c r="FE68" s="28" t="n">
        <f aca="false">IF(ISNUMBER(AH68),DA68,0)</f>
        <v>2</v>
      </c>
      <c r="FF68" s="28" t="n">
        <f aca="false">IF(ISNUMBER(AL68),DB68,0)</f>
        <v>0</v>
      </c>
      <c r="FG68" s="28" t="n">
        <f aca="false">IF(ISNUMBER(AP68),DC68,0)</f>
        <v>0</v>
      </c>
      <c r="FH68" s="28" t="n">
        <f aca="false">IF(ISNUMBER(AT68),DD68,0)</f>
        <v>0</v>
      </c>
      <c r="FI68" s="28" t="n">
        <f aca="false">IF(ISNUMBER(AX68),DE68,0)</f>
        <v>0</v>
      </c>
      <c r="FJ68" s="28" t="n">
        <f aca="false">IF(ISNUMBER(BB68),DF68,0)</f>
        <v>0</v>
      </c>
      <c r="FK68" s="28" t="n">
        <f aca="false">IF(ISNUMBER(BF68),DG68,0)</f>
        <v>0</v>
      </c>
      <c r="FL68" s="28" t="n">
        <f aca="false">IF(ISNUMBER(BJ68),DH68,0)</f>
        <v>0</v>
      </c>
      <c r="FM68" s="28" t="n">
        <f aca="false">IF(ISNUMBER(BN68),DI68,0)</f>
        <v>0</v>
      </c>
      <c r="FN68" s="28" t="n">
        <f aca="false">IF(ISNUMBER(BR68),DJ68,0)</f>
        <v>0</v>
      </c>
      <c r="FO68" s="28" t="str">
        <f aca="false">IFERROR(INDEX(Lists!$G$2:$G$20,MATCH($I68&amp;"|"&amp;$J68,Lists!$F$2:$F$20,0)),"")</f>
        <v>Econ Exam</v>
      </c>
    </row>
    <row r="69" customFormat="false" ht="19.5" hidden="false" customHeight="true" outlineLevel="0" collapsed="false">
      <c r="A69" s="29" t="s">
        <v>269</v>
      </c>
      <c r="B69" s="29" t="s">
        <v>270</v>
      </c>
      <c r="C69" s="30" t="s">
        <v>192</v>
      </c>
      <c r="D69" s="30" t="s">
        <v>271</v>
      </c>
      <c r="E69" s="31" t="n">
        <v>5.9</v>
      </c>
      <c r="F69" s="30" t="n">
        <v>6</v>
      </c>
      <c r="G69" s="30"/>
      <c r="H69" s="32" t="s">
        <v>23</v>
      </c>
      <c r="I69" s="33" t="s">
        <v>229</v>
      </c>
      <c r="J69" s="32" t="s">
        <v>25</v>
      </c>
      <c r="K69" s="34" t="n">
        <f aca="false">IF(OR(M69="",$E69=""),"",M69-$E69)</f>
        <v>-0.9</v>
      </c>
      <c r="L69" s="35" t="n">
        <f aca="false">IF(SUM(FA69:FN69)=0,"",SUM(EM69:EZ69)/SUM(FA69:FN69))</f>
        <v>61.2460317460318</v>
      </c>
      <c r="M69" s="36" t="n">
        <f aca="false">IF(OR(L69="",FO69=""),"",IFERROR(MATCH(L69,INDEX(Boundaries!$B$2:$I$30,MATCH(FO69,Boundaries!$A$2:$A$30,0),0),1)-1,""))</f>
        <v>5</v>
      </c>
      <c r="N69" s="37" t="n">
        <f aca="false">IF(COUNT($DY69:$EL69)&lt;2,"",INDEX($DK69:$DX69,MAX($DY69:$EL69))-INDEX($DK69:$DX69,MIN($DY69:$EL69)))</f>
        <v>-3</v>
      </c>
      <c r="O69" s="37" t="n">
        <f aca="false">IF(COUNT($DY69:$EL69)&lt;2,"",INDEX($DK69:$DX69,MAX($DY69:$EL69))-INDEX($DK69:$DX69,LARGE($DY69:$EL69,2)))</f>
        <v>-3</v>
      </c>
      <c r="P69" s="38" t="str">
        <f aca="false">IF(K69="","",IF(K69&gt;=0,"On/above target",IF(AND(N69&lt;&gt;"",N69&gt;=0.5),"Improving towards target",IF(AND(O69&lt;&gt;"",O69&lt;=-0.5),"Declining","Stable below target"))))</f>
        <v>Declining</v>
      </c>
      <c r="Q69" s="39" t="n">
        <v>25</v>
      </c>
      <c r="R69" s="40" t="n">
        <f aca="false">IF(OR(Q69="",BU69=""),"",Q69/BU69*100)</f>
        <v>83.3333333333333</v>
      </c>
      <c r="S69" s="41" t="n">
        <f aca="false">IF(R69="","",IFERROR(MATCH(R69,INDEX(Boundaries!$B$2:$I$30,MATCH(CI69,Boundaries!$A$2:$A$30,0),0),1)-1,""))</f>
        <v>6</v>
      </c>
      <c r="T69" s="42" t="n">
        <f aca="false">IF(OR(S69="",$E69=""),"",S69-$E69)</f>
        <v>0.0999999999999996</v>
      </c>
      <c r="U69" s="39" t="n">
        <v>18</v>
      </c>
      <c r="V69" s="40" t="n">
        <f aca="false">IF(OR(U69="",BV69=""),"",U69/BV69*100)</f>
        <v>75</v>
      </c>
      <c r="W69" s="41" t="n">
        <f aca="false">IF(V69="","",IFERROR(MATCH(V69,INDEX(Boundaries!$B$2:$I$30,MATCH(CJ69,Boundaries!$A$2:$A$30,0),0),1)-1,""))</f>
        <v>6</v>
      </c>
      <c r="X69" s="42" t="n">
        <f aca="false">IF(OR(W69="",$E69=""),"",W69-$E69)</f>
        <v>0.0999999999999996</v>
      </c>
      <c r="Y69" s="39" t="n">
        <v>13</v>
      </c>
      <c r="Z69" s="40" t="n">
        <f aca="false">IF(OR(Y69="",BW69=""),"",Y69/BW69*100)</f>
        <v>52</v>
      </c>
      <c r="AA69" s="41" t="n">
        <f aca="false">IF(Z69="","",IFERROR(MATCH(Z69,INDEX(Boundaries!$B$2:$I$30,MATCH(CK69,Boundaries!$A$2:$A$30,0),0),1)-1,""))</f>
        <v>4</v>
      </c>
      <c r="AB69" s="42" t="n">
        <f aca="false">IF(OR(AA69="",$E69=""),"",AA69-$E69)</f>
        <v>-1.9</v>
      </c>
      <c r="AC69" s="39" t="n">
        <v>27</v>
      </c>
      <c r="AD69" s="40" t="n">
        <f aca="false">IF(OR(AC69="",BX69=""),"",AC69/BX69*100)</f>
        <v>77.1428571428572</v>
      </c>
      <c r="AE69" s="41" t="n">
        <f aca="false">IF(AD69="","",IFERROR(MATCH(AD69,INDEX(Boundaries!$B$2:$I$30,MATCH(CL69,Boundaries!$A$2:$A$30,0),0),1)-1,""))</f>
        <v>6</v>
      </c>
      <c r="AF69" s="42" t="n">
        <f aca="false">IF(OR(AE69="",$E69=""),"",AE69-$E69)</f>
        <v>0.0999999999999996</v>
      </c>
      <c r="AG69" s="39" t="n">
        <v>22</v>
      </c>
      <c r="AH69" s="40" t="n">
        <f aca="false">IF(OR(AG69="",BY69=""),"",AG69/BY69*100)</f>
        <v>40</v>
      </c>
      <c r="AI69" s="41" t="n">
        <f aca="false">IF(AH69="","",IFERROR(MATCH(AH69,INDEX(Boundaries!$B$2:$I$30,MATCH(CM69,Boundaries!$A$2:$A$30,0),0),1)-1,""))</f>
        <v>3</v>
      </c>
      <c r="AJ69" s="42" t="n">
        <f aca="false">IF(OR(AI69="",$E69=""),"",AI69-$E69)</f>
        <v>-2.9</v>
      </c>
      <c r="AK69" s="39"/>
      <c r="AL69" s="40" t="str">
        <f aca="false">IF(OR(AK69="",BZ69=""),"",AK69/BZ69*100)</f>
        <v/>
      </c>
      <c r="AM69" s="41" t="str">
        <f aca="false">IF(AL69="","",IFERROR(MATCH(AL69,INDEX(Boundaries!$B$2:$I$30,MATCH(CN69,Boundaries!$A$2:$A$30,0),0),1)-1,""))</f>
        <v/>
      </c>
      <c r="AN69" s="42" t="str">
        <f aca="false">IF(OR(AM69="",$E69=""),"",AM69-$E69)</f>
        <v/>
      </c>
      <c r="AO69" s="39"/>
      <c r="AP69" s="40" t="str">
        <f aca="false">IF(OR(AO69="",CA69=""),"",AO69/CA69*100)</f>
        <v/>
      </c>
      <c r="AQ69" s="41" t="str">
        <f aca="false">IF(AP69="","",IFERROR(MATCH(AP69,INDEX(Boundaries!$B$2:$I$30,MATCH(CO69,Boundaries!$A$2:$A$30,0),0),1)-1,""))</f>
        <v/>
      </c>
      <c r="AR69" s="42" t="str">
        <f aca="false">IF(OR(AQ69="",$E69=""),"",AQ69-$E69)</f>
        <v/>
      </c>
      <c r="AS69" s="39"/>
      <c r="AT69" s="40" t="str">
        <f aca="false">IF(OR(AS69="",CB69=""),"",AS69/CB69*100)</f>
        <v/>
      </c>
      <c r="AU69" s="41" t="str">
        <f aca="false">IF(AT69="","",IFERROR(MATCH(AT69,INDEX(Boundaries!$B$2:$I$30,MATCH(CP69,Boundaries!$A$2:$A$30,0),0),1)-1,""))</f>
        <v/>
      </c>
      <c r="AV69" s="42" t="str">
        <f aca="false">IF(OR(AU69="",$E69=""),"",AU69-$E69)</f>
        <v/>
      </c>
      <c r="AW69" s="39"/>
      <c r="AX69" s="40" t="str">
        <f aca="false">IF(OR(AW69="",CC69=""),"",AW69/CC69*100)</f>
        <v/>
      </c>
      <c r="AY69" s="41" t="str">
        <f aca="false">IF(AX69="","",IFERROR(MATCH(AX69,INDEX(Boundaries!$B$2:$I$30,MATCH(CQ69,Boundaries!$A$2:$A$30,0),0),1)-1,""))</f>
        <v/>
      </c>
      <c r="AZ69" s="42" t="str">
        <f aca="false">IF(OR(AY69="",$E69=""),"",AY69-$E69)</f>
        <v/>
      </c>
      <c r="BA69" s="39"/>
      <c r="BB69" s="40" t="str">
        <f aca="false">IF(OR(BA69="",CD69=""),"",BA69/CD69*100)</f>
        <v/>
      </c>
      <c r="BC69" s="41" t="str">
        <f aca="false">IF(BB69="","",IFERROR(MATCH(BB69,INDEX(Boundaries!$B$2:$I$30,MATCH(CR69,Boundaries!$A$2:$A$30,0),0),1)-1,""))</f>
        <v/>
      </c>
      <c r="BD69" s="42" t="str">
        <f aca="false">IF(OR(BC69="",$E69=""),"",BC69-$E69)</f>
        <v/>
      </c>
      <c r="BE69" s="39"/>
      <c r="BF69" s="40" t="str">
        <f aca="false">IF(OR(BE69="",CE69=""),"",BE69/CE69*100)</f>
        <v/>
      </c>
      <c r="BG69" s="41" t="str">
        <f aca="false">IF(BF69="","",IFERROR(MATCH(BF69,INDEX(Boundaries!$B$2:$I$30,MATCH(CS69,Boundaries!$A$2:$A$30,0),0),1)-1,""))</f>
        <v/>
      </c>
      <c r="BH69" s="42" t="str">
        <f aca="false">IF(OR(BG69="",$E69=""),"",BG69-$E69)</f>
        <v/>
      </c>
      <c r="BI69" s="39"/>
      <c r="BJ69" s="40" t="str">
        <f aca="false">IF(OR(BI69="",CF69=""),"",BI69/CF69*100)</f>
        <v/>
      </c>
      <c r="BK69" s="41" t="str">
        <f aca="false">IF(BJ69="","",IFERROR(MATCH(BJ69,INDEX(Boundaries!$B$2:$I$30,MATCH(CT69,Boundaries!$A$2:$A$30,0),0),1)-1,""))</f>
        <v/>
      </c>
      <c r="BL69" s="42" t="str">
        <f aca="false">IF(OR(BK69="",$E69=""),"",BK69-$E69)</f>
        <v/>
      </c>
      <c r="BM69" s="39"/>
      <c r="BN69" s="40" t="str">
        <f aca="false">IF(OR(BM69="",CG69=""),"",BM69/CG69*100)</f>
        <v/>
      </c>
      <c r="BO69" s="41" t="str">
        <f aca="false">IF(BN69="","",IFERROR(MATCH(BN69,INDEX(Boundaries!$B$2:$I$30,MATCH(CU69,Boundaries!$A$2:$A$30,0),0),1)-1,""))</f>
        <v/>
      </c>
      <c r="BP69" s="42" t="str">
        <f aca="false">IF(OR(BO69="",$E69=""),"",BO69-$E69)</f>
        <v/>
      </c>
      <c r="BQ69" s="39"/>
      <c r="BR69" s="40" t="str">
        <f aca="false">IF(OR(BQ69="",CH69=""),"",BQ69/CH69*100)</f>
        <v/>
      </c>
      <c r="BS69" s="41" t="str">
        <f aca="false">IF(BR69="","",IFERROR(MATCH(BR69,INDEX(Boundaries!$B$2:$I$30,MATCH(CV69,Boundaries!$A$2:$A$30,0),0),1)-1,""))</f>
        <v/>
      </c>
      <c r="BT69" s="42" t="str">
        <f aca="false">IF(OR(BS69="",$E69=""),"",BS69-$E69)</f>
        <v/>
      </c>
      <c r="BU69" s="28" t="n">
        <f aca="false">IFERROR(INDEX(Assessments!$H$2:$H$600,MATCH($H69&amp;"|"&amp;$I69&amp;"|"&amp;$J69&amp;"|"&amp;1,Assessments!$A$2:$A$600,0)),"")</f>
        <v>30</v>
      </c>
      <c r="BV69" s="28" t="n">
        <f aca="false">IFERROR(INDEX(Assessments!$H$2:$H$600,MATCH($H69&amp;"|"&amp;$I69&amp;"|"&amp;$J69&amp;"|"&amp;2,Assessments!$A$2:$A$600,0)),"")</f>
        <v>24</v>
      </c>
      <c r="BW69" s="28" t="n">
        <f aca="false">IFERROR(INDEX(Assessments!$H$2:$H$600,MATCH($H69&amp;"|"&amp;$I69&amp;"|"&amp;$J69&amp;"|"&amp;3,Assessments!$A$2:$A$600,0)),"")</f>
        <v>25</v>
      </c>
      <c r="BX69" s="28" t="n">
        <f aca="false">IFERROR(INDEX(Assessments!$H$2:$H$600,MATCH($H69&amp;"|"&amp;$I69&amp;"|"&amp;$J69&amp;"|"&amp;4,Assessments!$A$2:$A$600,0)),"")</f>
        <v>35</v>
      </c>
      <c r="BY69" s="28" t="n">
        <f aca="false">IFERROR(INDEX(Assessments!$H$2:$H$600,MATCH($H69&amp;"|"&amp;$I69&amp;"|"&amp;$J69&amp;"|"&amp;5,Assessments!$A$2:$A$600,0)),"")</f>
        <v>55</v>
      </c>
      <c r="BZ69" s="28" t="n">
        <f aca="false">IFERROR(INDEX(Assessments!$H$2:$H$600,MATCH($H69&amp;"|"&amp;$I69&amp;"|"&amp;$J69&amp;"|"&amp;6,Assessments!$A$2:$A$600,0)),"")</f>
        <v>30</v>
      </c>
      <c r="CA69" s="28" t="n">
        <f aca="false">IFERROR(INDEX(Assessments!$H$2:$H$600,MATCH($H69&amp;"|"&amp;$I69&amp;"|"&amp;$J69&amp;"|"&amp;7,Assessments!$A$2:$A$600,0)),"")</f>
        <v>95</v>
      </c>
      <c r="CB69" s="28" t="str">
        <f aca="false">IFERROR(INDEX(Assessments!$H$2:$H$600,MATCH($H69&amp;"|"&amp;$I69&amp;"|"&amp;$J69&amp;"|"&amp;8,Assessments!$A$2:$A$600,0)),"")</f>
        <v/>
      </c>
      <c r="CC69" s="28" t="str">
        <f aca="false">IFERROR(INDEX(Assessments!$H$2:$H$600,MATCH($H69&amp;"|"&amp;$I69&amp;"|"&amp;$J69&amp;"|"&amp;9,Assessments!$A$2:$A$600,0)),"")</f>
        <v/>
      </c>
      <c r="CD69" s="28" t="str">
        <f aca="false">IFERROR(INDEX(Assessments!$H$2:$H$600,MATCH($H69&amp;"|"&amp;$I69&amp;"|"&amp;$J69&amp;"|"&amp;10,Assessments!$A$2:$A$600,0)),"")</f>
        <v/>
      </c>
      <c r="CE69" s="28" t="str">
        <f aca="false">IFERROR(INDEX(Assessments!$H$2:$H$600,MATCH($H69&amp;"|"&amp;$I69&amp;"|"&amp;$J69&amp;"|"&amp;11,Assessments!$A$2:$A$600,0)),"")</f>
        <v/>
      </c>
      <c r="CF69" s="28" t="str">
        <f aca="false">IFERROR(INDEX(Assessments!$H$2:$H$600,MATCH($H69&amp;"|"&amp;$I69&amp;"|"&amp;$J69&amp;"|"&amp;12,Assessments!$A$2:$A$600,0)),"")</f>
        <v/>
      </c>
      <c r="CG69" s="28" t="str">
        <f aca="false">IFERROR(INDEX(Assessments!$H$2:$H$600,MATCH($H69&amp;"|"&amp;$I69&amp;"|"&amp;$J69&amp;"|"&amp;13,Assessments!$A$2:$A$600,0)),"")</f>
        <v/>
      </c>
      <c r="CH69" s="28" t="str">
        <f aca="false">IFERROR(INDEX(Assessments!$H$2:$H$600,MATCH($H69&amp;"|"&amp;$I69&amp;"|"&amp;$J69&amp;"|"&amp;14,Assessments!$A$2:$A$600,0)),"")</f>
        <v/>
      </c>
      <c r="CI69" s="28" t="str">
        <f aca="false">IFERROR(INDEX(Assessments!$I$2:$I$600,MATCH($H69&amp;"|"&amp;$I69&amp;"|"&amp;$J69&amp;"|"&amp;1,Assessments!$A$2:$A$600,0)),"")</f>
        <v>Econ Test</v>
      </c>
      <c r="CJ69" s="28" t="str">
        <f aca="false">IFERROR(INDEX(Assessments!$I$2:$I$600,MATCH($H69&amp;"|"&amp;$I69&amp;"|"&amp;$J69&amp;"|"&amp;2,Assessments!$A$2:$A$600,0)),"")</f>
        <v>Econ Test</v>
      </c>
      <c r="CK69" s="28" t="str">
        <f aca="false">IFERROR(INDEX(Assessments!$I$2:$I$600,MATCH($H69&amp;"|"&amp;$I69&amp;"|"&amp;$J69&amp;"|"&amp;3,Assessments!$A$2:$A$600,0)),"")</f>
        <v>Econ Test</v>
      </c>
      <c r="CL69" s="28" t="str">
        <f aca="false">IFERROR(INDEX(Assessments!$I$2:$I$600,MATCH($H69&amp;"|"&amp;$I69&amp;"|"&amp;$J69&amp;"|"&amp;4,Assessments!$A$2:$A$600,0)),"")</f>
        <v>Econ Test</v>
      </c>
      <c r="CM69" s="28" t="str">
        <f aca="false">IFERROR(INDEX(Assessments!$I$2:$I$600,MATCH($H69&amp;"|"&amp;$I69&amp;"|"&amp;$J69&amp;"|"&amp;5,Assessments!$A$2:$A$600,0)),"")</f>
        <v>Econ Exam</v>
      </c>
      <c r="CN69" s="28" t="str">
        <f aca="false">IFERROR(INDEX(Assessments!$I$2:$I$600,MATCH($H69&amp;"|"&amp;$I69&amp;"|"&amp;$J69&amp;"|"&amp;6,Assessments!$A$2:$A$600,0)),"")</f>
        <v>Econ Test</v>
      </c>
      <c r="CO69" s="28" t="str">
        <f aca="false">IFERROR(INDEX(Assessments!$I$2:$I$600,MATCH($H69&amp;"|"&amp;$I69&amp;"|"&amp;$J69&amp;"|"&amp;7,Assessments!$A$2:$A$600,0)),"")</f>
        <v>Econ Exam</v>
      </c>
      <c r="CP69" s="28" t="str">
        <f aca="false">IFERROR(INDEX(Assessments!$I$2:$I$600,MATCH($H69&amp;"|"&amp;$I69&amp;"|"&amp;$J69&amp;"|"&amp;8,Assessments!$A$2:$A$600,0)),"")</f>
        <v/>
      </c>
      <c r="CQ69" s="28" t="str">
        <f aca="false">IFERROR(INDEX(Assessments!$I$2:$I$600,MATCH($H69&amp;"|"&amp;$I69&amp;"|"&amp;$J69&amp;"|"&amp;9,Assessments!$A$2:$A$600,0)),"")</f>
        <v/>
      </c>
      <c r="CR69" s="28" t="str">
        <f aca="false">IFERROR(INDEX(Assessments!$I$2:$I$600,MATCH($H69&amp;"|"&amp;$I69&amp;"|"&amp;$J69&amp;"|"&amp;10,Assessments!$A$2:$A$600,0)),"")</f>
        <v/>
      </c>
      <c r="CS69" s="28" t="str">
        <f aca="false">IFERROR(INDEX(Assessments!$I$2:$I$600,MATCH($H69&amp;"|"&amp;$I69&amp;"|"&amp;$J69&amp;"|"&amp;11,Assessments!$A$2:$A$600,0)),"")</f>
        <v/>
      </c>
      <c r="CT69" s="28" t="str">
        <f aca="false">IFERROR(INDEX(Assessments!$I$2:$I$600,MATCH($H69&amp;"|"&amp;$I69&amp;"|"&amp;$J69&amp;"|"&amp;12,Assessments!$A$2:$A$600,0)),"")</f>
        <v/>
      </c>
      <c r="CU69" s="28" t="str">
        <f aca="false">IFERROR(INDEX(Assessments!$I$2:$I$600,MATCH($H69&amp;"|"&amp;$I69&amp;"|"&amp;$J69&amp;"|"&amp;13,Assessments!$A$2:$A$600,0)),"")</f>
        <v/>
      </c>
      <c r="CV69" s="28" t="str">
        <f aca="false">IFERROR(INDEX(Assessments!$I$2:$I$600,MATCH($H69&amp;"|"&amp;$I69&amp;"|"&amp;$J69&amp;"|"&amp;14,Assessments!$A$2:$A$600,0)),"")</f>
        <v/>
      </c>
      <c r="CW69" s="28" t="n">
        <f aca="false">IFERROR(INDEX(Assessments!$J$2:$J$600,MATCH($H69&amp;"|"&amp;$I69&amp;"|"&amp;$J69&amp;"|"&amp;1,Assessments!$A$2:$A$600,0)),0)</f>
        <v>1</v>
      </c>
      <c r="CX69" s="28" t="n">
        <f aca="false">IFERROR(INDEX(Assessments!$J$2:$J$600,MATCH($H69&amp;"|"&amp;$I69&amp;"|"&amp;$J69&amp;"|"&amp;2,Assessments!$A$2:$A$600,0)),0)</f>
        <v>1</v>
      </c>
      <c r="CY69" s="28" t="n">
        <f aca="false">IFERROR(INDEX(Assessments!$J$2:$J$600,MATCH($H69&amp;"|"&amp;$I69&amp;"|"&amp;$J69&amp;"|"&amp;3,Assessments!$A$2:$A$600,0)),0)</f>
        <v>1</v>
      </c>
      <c r="CZ69" s="28" t="n">
        <f aca="false">IFERROR(INDEX(Assessments!$J$2:$J$600,MATCH($H69&amp;"|"&amp;$I69&amp;"|"&amp;$J69&amp;"|"&amp;4,Assessments!$A$2:$A$600,0)),0)</f>
        <v>1</v>
      </c>
      <c r="DA69" s="28" t="n">
        <f aca="false">IFERROR(INDEX(Assessments!$J$2:$J$600,MATCH($H69&amp;"|"&amp;$I69&amp;"|"&amp;$J69&amp;"|"&amp;5,Assessments!$A$2:$A$600,0)),0)</f>
        <v>2</v>
      </c>
      <c r="DB69" s="28" t="n">
        <f aca="false">IFERROR(INDEX(Assessments!$J$2:$J$600,MATCH($H69&amp;"|"&amp;$I69&amp;"|"&amp;$J69&amp;"|"&amp;6,Assessments!$A$2:$A$600,0)),0)</f>
        <v>1</v>
      </c>
      <c r="DC69" s="28" t="n">
        <f aca="false">IFERROR(INDEX(Assessments!$J$2:$J$600,MATCH($H69&amp;"|"&amp;$I69&amp;"|"&amp;$J69&amp;"|"&amp;7,Assessments!$A$2:$A$600,0)),0)</f>
        <v>2</v>
      </c>
      <c r="DD69" s="28" t="n">
        <f aca="false">IFERROR(INDEX(Assessments!$J$2:$J$600,MATCH($H69&amp;"|"&amp;$I69&amp;"|"&amp;$J69&amp;"|"&amp;8,Assessments!$A$2:$A$600,0)),0)</f>
        <v>0</v>
      </c>
      <c r="DE69" s="28" t="n">
        <f aca="false">IFERROR(INDEX(Assessments!$J$2:$J$600,MATCH($H69&amp;"|"&amp;$I69&amp;"|"&amp;$J69&amp;"|"&amp;9,Assessments!$A$2:$A$600,0)),0)</f>
        <v>0</v>
      </c>
      <c r="DF69" s="28" t="n">
        <f aca="false">IFERROR(INDEX(Assessments!$J$2:$J$600,MATCH($H69&amp;"|"&amp;$I69&amp;"|"&amp;$J69&amp;"|"&amp;10,Assessments!$A$2:$A$600,0)),0)</f>
        <v>0</v>
      </c>
      <c r="DG69" s="28" t="n">
        <f aca="false">IFERROR(INDEX(Assessments!$J$2:$J$600,MATCH($H69&amp;"|"&amp;$I69&amp;"|"&amp;$J69&amp;"|"&amp;11,Assessments!$A$2:$A$600,0)),0)</f>
        <v>0</v>
      </c>
      <c r="DH69" s="28" t="n">
        <f aca="false">IFERROR(INDEX(Assessments!$J$2:$J$600,MATCH($H69&amp;"|"&amp;$I69&amp;"|"&amp;$J69&amp;"|"&amp;12,Assessments!$A$2:$A$600,0)),0)</f>
        <v>0</v>
      </c>
      <c r="DI69" s="28" t="n">
        <f aca="false">IFERROR(INDEX(Assessments!$J$2:$J$600,MATCH($H69&amp;"|"&amp;$I69&amp;"|"&amp;$J69&amp;"|"&amp;13,Assessments!$A$2:$A$600,0)),0)</f>
        <v>0</v>
      </c>
      <c r="DJ69" s="28" t="n">
        <f aca="false">IFERROR(INDEX(Assessments!$J$2:$J$600,MATCH($H69&amp;"|"&amp;$I69&amp;"|"&amp;$J69&amp;"|"&amp;14,Assessments!$A$2:$A$600,0)),0)</f>
        <v>0</v>
      </c>
      <c r="DK69" s="28" t="n">
        <f aca="false">S69</f>
        <v>6</v>
      </c>
      <c r="DL69" s="28" t="n">
        <f aca="false">W69</f>
        <v>6</v>
      </c>
      <c r="DM69" s="28" t="n">
        <f aca="false">AA69</f>
        <v>4</v>
      </c>
      <c r="DN69" s="28" t="n">
        <f aca="false">AE69</f>
        <v>6</v>
      </c>
      <c r="DO69" s="28" t="n">
        <f aca="false">AI69</f>
        <v>3</v>
      </c>
      <c r="DP69" s="28" t="str">
        <f aca="false">AM69</f>
        <v/>
      </c>
      <c r="DQ69" s="28" t="str">
        <f aca="false">AQ69</f>
        <v/>
      </c>
      <c r="DR69" s="28" t="str">
        <f aca="false">AU69</f>
        <v/>
      </c>
      <c r="DS69" s="28" t="str">
        <f aca="false">AY69</f>
        <v/>
      </c>
      <c r="DT69" s="28" t="str">
        <f aca="false">BC69</f>
        <v/>
      </c>
      <c r="DU69" s="28" t="str">
        <f aca="false">BG69</f>
        <v/>
      </c>
      <c r="DV69" s="28" t="str">
        <f aca="false">BK69</f>
        <v/>
      </c>
      <c r="DW69" s="28" t="str">
        <f aca="false">BO69</f>
        <v/>
      </c>
      <c r="DX69" s="28" t="str">
        <f aca="false">BS69</f>
        <v/>
      </c>
      <c r="DY69" s="28" t="n">
        <f aca="false">IF(ISNUMBER(S69),1,"")</f>
        <v>1</v>
      </c>
      <c r="DZ69" s="28" t="n">
        <f aca="false">IF(ISNUMBER(W69),2,"")</f>
        <v>2</v>
      </c>
      <c r="EA69" s="28" t="n">
        <f aca="false">IF(ISNUMBER(AA69),3,"")</f>
        <v>3</v>
      </c>
      <c r="EB69" s="28" t="n">
        <f aca="false">IF(ISNUMBER(AE69),4,"")</f>
        <v>4</v>
      </c>
      <c r="EC69" s="28" t="n">
        <f aca="false">IF(ISNUMBER(AI69),5,"")</f>
        <v>5</v>
      </c>
      <c r="ED69" s="28" t="str">
        <f aca="false">IF(ISNUMBER(AM69),6,"")</f>
        <v/>
      </c>
      <c r="EE69" s="28" t="str">
        <f aca="false">IF(ISNUMBER(AQ69),7,"")</f>
        <v/>
      </c>
      <c r="EF69" s="28" t="str">
        <f aca="false">IF(ISNUMBER(AU69),8,"")</f>
        <v/>
      </c>
      <c r="EG69" s="28" t="str">
        <f aca="false">IF(ISNUMBER(AY69),9,"")</f>
        <v/>
      </c>
      <c r="EH69" s="28" t="str">
        <f aca="false">IF(ISNUMBER(BC69),10,"")</f>
        <v/>
      </c>
      <c r="EI69" s="28" t="str">
        <f aca="false">IF(ISNUMBER(BG69),11,"")</f>
        <v/>
      </c>
      <c r="EJ69" s="28" t="str">
        <f aca="false">IF(ISNUMBER(BK69),12,"")</f>
        <v/>
      </c>
      <c r="EK69" s="28" t="str">
        <f aca="false">IF(ISNUMBER(BO69),13,"")</f>
        <v/>
      </c>
      <c r="EL69" s="28" t="str">
        <f aca="false">IF(ISNUMBER(BS69),14,"")</f>
        <v/>
      </c>
      <c r="EM69" s="28" t="n">
        <f aca="false">IF(ISNUMBER(R69),R69*CW69,0)</f>
        <v>83.3333333333333</v>
      </c>
      <c r="EN69" s="28" t="n">
        <f aca="false">IF(ISNUMBER(V69),V69*CX69,0)</f>
        <v>75</v>
      </c>
      <c r="EO69" s="28" t="n">
        <f aca="false">IF(ISNUMBER(Z69),Z69*CY69,0)</f>
        <v>52</v>
      </c>
      <c r="EP69" s="28" t="n">
        <f aca="false">IF(ISNUMBER(AD69),AD69*CZ69,0)</f>
        <v>77.1428571428572</v>
      </c>
      <c r="EQ69" s="28" t="n">
        <f aca="false">IF(ISNUMBER(AH69),AH69*DA69,0)</f>
        <v>80</v>
      </c>
      <c r="ER69" s="28" t="n">
        <f aca="false">IF(ISNUMBER(AL69),AL69*DB69,0)</f>
        <v>0</v>
      </c>
      <c r="ES69" s="28" t="n">
        <f aca="false">IF(ISNUMBER(AP69),AP69*DC69,0)</f>
        <v>0</v>
      </c>
      <c r="ET69" s="28" t="n">
        <f aca="false">IF(ISNUMBER(AT69),AT69*DD69,0)</f>
        <v>0</v>
      </c>
      <c r="EU69" s="28" t="n">
        <f aca="false">IF(ISNUMBER(AX69),AX69*DE69,0)</f>
        <v>0</v>
      </c>
      <c r="EV69" s="28" t="n">
        <f aca="false">IF(ISNUMBER(BB69),BB69*DF69,0)</f>
        <v>0</v>
      </c>
      <c r="EW69" s="28" t="n">
        <f aca="false">IF(ISNUMBER(BF69),BF69*DG69,0)</f>
        <v>0</v>
      </c>
      <c r="EX69" s="28" t="n">
        <f aca="false">IF(ISNUMBER(BJ69),BJ69*DH69,0)</f>
        <v>0</v>
      </c>
      <c r="EY69" s="28" t="n">
        <f aca="false">IF(ISNUMBER(BN69),BN69*DI69,0)</f>
        <v>0</v>
      </c>
      <c r="EZ69" s="28" t="n">
        <f aca="false">IF(ISNUMBER(BR69),BR69*DJ69,0)</f>
        <v>0</v>
      </c>
      <c r="FA69" s="28" t="n">
        <f aca="false">IF(ISNUMBER(R69),CW69,0)</f>
        <v>1</v>
      </c>
      <c r="FB69" s="28" t="n">
        <f aca="false">IF(ISNUMBER(V69),CX69,0)</f>
        <v>1</v>
      </c>
      <c r="FC69" s="28" t="n">
        <f aca="false">IF(ISNUMBER(Z69),CY69,0)</f>
        <v>1</v>
      </c>
      <c r="FD69" s="28" t="n">
        <f aca="false">IF(ISNUMBER(AD69),CZ69,0)</f>
        <v>1</v>
      </c>
      <c r="FE69" s="28" t="n">
        <f aca="false">IF(ISNUMBER(AH69),DA69,0)</f>
        <v>2</v>
      </c>
      <c r="FF69" s="28" t="n">
        <f aca="false">IF(ISNUMBER(AL69),DB69,0)</f>
        <v>0</v>
      </c>
      <c r="FG69" s="28" t="n">
        <f aca="false">IF(ISNUMBER(AP69),DC69,0)</f>
        <v>0</v>
      </c>
      <c r="FH69" s="28" t="n">
        <f aca="false">IF(ISNUMBER(AT69),DD69,0)</f>
        <v>0</v>
      </c>
      <c r="FI69" s="28" t="n">
        <f aca="false">IF(ISNUMBER(AX69),DE69,0)</f>
        <v>0</v>
      </c>
      <c r="FJ69" s="28" t="n">
        <f aca="false">IF(ISNUMBER(BB69),DF69,0)</f>
        <v>0</v>
      </c>
      <c r="FK69" s="28" t="n">
        <f aca="false">IF(ISNUMBER(BF69),DG69,0)</f>
        <v>0</v>
      </c>
      <c r="FL69" s="28" t="n">
        <f aca="false">IF(ISNUMBER(BJ69),DH69,0)</f>
        <v>0</v>
      </c>
      <c r="FM69" s="28" t="n">
        <f aca="false">IF(ISNUMBER(BN69),DI69,0)</f>
        <v>0</v>
      </c>
      <c r="FN69" s="28" t="n">
        <f aca="false">IF(ISNUMBER(BR69),DJ69,0)</f>
        <v>0</v>
      </c>
      <c r="FO69" s="28" t="str">
        <f aca="false">IFERROR(INDEX(Lists!$G$2:$G$20,MATCH($I69&amp;"|"&amp;$J69,Lists!$F$2:$F$20,0)),"")</f>
        <v>Econ Exam</v>
      </c>
    </row>
    <row r="70" customFormat="false" ht="19.5" hidden="false" customHeight="true" outlineLevel="0" collapsed="false">
      <c r="A70" s="29" t="s">
        <v>272</v>
      </c>
      <c r="B70" s="29" t="s">
        <v>273</v>
      </c>
      <c r="C70" s="30" t="s">
        <v>192</v>
      </c>
      <c r="D70" s="30" t="s">
        <v>271</v>
      </c>
      <c r="E70" s="31" t="n">
        <v>6.3</v>
      </c>
      <c r="F70" s="30" t="n">
        <v>7</v>
      </c>
      <c r="G70" s="30"/>
      <c r="H70" s="32" t="s">
        <v>23</v>
      </c>
      <c r="I70" s="33" t="s">
        <v>229</v>
      </c>
      <c r="J70" s="32" t="s">
        <v>25</v>
      </c>
      <c r="K70" s="34" t="n">
        <f aca="false">IF(OR(M70="",$E70=""),"",M70-$E70)</f>
        <v>-0.3</v>
      </c>
      <c r="L70" s="35" t="n">
        <f aca="false">IF(SUM(FA70:FN70)=0,"",SUM(EM70:EZ70)/SUM(FA70:FN70))</f>
        <v>77.9873737373737</v>
      </c>
      <c r="M70" s="36" t="n">
        <f aca="false">IF(OR(L70="",FO70=""),"",IFERROR(MATCH(L70,INDEX(Boundaries!$B$2:$I$30,MATCH(FO70,Boundaries!$A$2:$A$30,0),0),1)-1,""))</f>
        <v>6</v>
      </c>
      <c r="N70" s="37" t="n">
        <f aca="false">IF(COUNT($DY70:$EL70)&lt;2,"",INDEX($DK70:$DX70,MAX($DY70:$EL70))-INDEX($DK70:$DX70,MIN($DY70:$EL70)))</f>
        <v>0</v>
      </c>
      <c r="O70" s="37" t="n">
        <f aca="false">IF(COUNT($DY70:$EL70)&lt;2,"",INDEX($DK70:$DX70,MAX($DY70:$EL70))-INDEX($DK70:$DX70,LARGE($DY70:$EL70,2)))</f>
        <v>0</v>
      </c>
      <c r="P70" s="38" t="str">
        <f aca="false">IF(K70="","",IF(K70&gt;=0,"On/above target",IF(AND(N70&lt;&gt;"",N70&gt;=0.5),"Improving towards target",IF(AND(O70&lt;&gt;"",O70&lt;=-0.5),"Declining","Stable below target"))))</f>
        <v>Stable below target</v>
      </c>
      <c r="Q70" s="39" t="n">
        <v>24</v>
      </c>
      <c r="R70" s="40" t="n">
        <f aca="false">IF(OR(Q70="",BU70=""),"",Q70/BU70*100)</f>
        <v>80</v>
      </c>
      <c r="S70" s="41" t="n">
        <f aca="false">IF(R70="","",IFERROR(MATCH(R70,INDEX(Boundaries!$B$2:$I$30,MATCH(CI70,Boundaries!$A$2:$A$30,0),0),1)-1,""))</f>
        <v>6</v>
      </c>
      <c r="T70" s="42" t="n">
        <f aca="false">IF(OR(S70="",$E70=""),"",S70-$E70)</f>
        <v>-0.3</v>
      </c>
      <c r="U70" s="39" t="n">
        <v>17</v>
      </c>
      <c r="V70" s="40" t="n">
        <f aca="false">IF(OR(U70="",BV70=""),"",U70/BV70*100)</f>
        <v>70.8333333333333</v>
      </c>
      <c r="W70" s="41" t="n">
        <f aca="false">IF(V70="","",IFERROR(MATCH(V70,INDEX(Boundaries!$B$2:$I$30,MATCH(CJ70,Boundaries!$A$2:$A$30,0),0),1)-1,""))</f>
        <v>5</v>
      </c>
      <c r="X70" s="42" t="n">
        <f aca="false">IF(OR(W70="",$E70=""),"",W70-$E70)</f>
        <v>-1.3</v>
      </c>
      <c r="Y70" s="39" t="n">
        <v>22</v>
      </c>
      <c r="Z70" s="40" t="n">
        <f aca="false">IF(OR(Y70="",BW70=""),"",Y70/BW70*100)</f>
        <v>88</v>
      </c>
      <c r="AA70" s="41" t="n">
        <f aca="false">IF(Z70="","",IFERROR(MATCH(Z70,INDEX(Boundaries!$B$2:$I$30,MATCH(CK70,Boundaries!$A$2:$A$30,0),0),1)-1,""))</f>
        <v>7</v>
      </c>
      <c r="AB70" s="42" t="n">
        <f aca="false">IF(OR(AA70="",$E70=""),"",AA70-$E70)</f>
        <v>0.7</v>
      </c>
      <c r="AC70" s="39" t="n">
        <v>28</v>
      </c>
      <c r="AD70" s="40" t="n">
        <f aca="false">IF(OR(AC70="",BX70=""),"",AC70/BX70*100)</f>
        <v>80</v>
      </c>
      <c r="AE70" s="41" t="n">
        <f aca="false">IF(AD70="","",IFERROR(MATCH(AD70,INDEX(Boundaries!$B$2:$I$30,MATCH(CL70,Boundaries!$A$2:$A$30,0),0),1)-1,""))</f>
        <v>6</v>
      </c>
      <c r="AF70" s="42" t="n">
        <f aca="false">IF(OR(AE70="",$E70=""),"",AE70-$E70)</f>
        <v>-0.3</v>
      </c>
      <c r="AG70" s="39" t="n">
        <v>41</v>
      </c>
      <c r="AH70" s="40" t="n">
        <f aca="false">IF(OR(AG70="",BY70=""),"",AG70/BY70*100)</f>
        <v>74.5454545454546</v>
      </c>
      <c r="AI70" s="41" t="n">
        <f aca="false">IF(AH70="","",IFERROR(MATCH(AH70,INDEX(Boundaries!$B$2:$I$30,MATCH(CM70,Boundaries!$A$2:$A$30,0),0),1)-1,""))</f>
        <v>6</v>
      </c>
      <c r="AJ70" s="42" t="n">
        <f aca="false">IF(OR(AI70="",$E70=""),"",AI70-$E70)</f>
        <v>-0.3</v>
      </c>
      <c r="AK70" s="39"/>
      <c r="AL70" s="40" t="str">
        <f aca="false">IF(OR(AK70="",BZ70=""),"",AK70/BZ70*100)</f>
        <v/>
      </c>
      <c r="AM70" s="41" t="str">
        <f aca="false">IF(AL70="","",IFERROR(MATCH(AL70,INDEX(Boundaries!$B$2:$I$30,MATCH(CN70,Boundaries!$A$2:$A$30,0),0),1)-1,""))</f>
        <v/>
      </c>
      <c r="AN70" s="42" t="str">
        <f aca="false">IF(OR(AM70="",$E70=""),"",AM70-$E70)</f>
        <v/>
      </c>
      <c r="AO70" s="39"/>
      <c r="AP70" s="40" t="str">
        <f aca="false">IF(OR(AO70="",CA70=""),"",AO70/CA70*100)</f>
        <v/>
      </c>
      <c r="AQ70" s="41" t="str">
        <f aca="false">IF(AP70="","",IFERROR(MATCH(AP70,INDEX(Boundaries!$B$2:$I$30,MATCH(CO70,Boundaries!$A$2:$A$30,0),0),1)-1,""))</f>
        <v/>
      </c>
      <c r="AR70" s="42" t="str">
        <f aca="false">IF(OR(AQ70="",$E70=""),"",AQ70-$E70)</f>
        <v/>
      </c>
      <c r="AS70" s="39"/>
      <c r="AT70" s="40" t="str">
        <f aca="false">IF(OR(AS70="",CB70=""),"",AS70/CB70*100)</f>
        <v/>
      </c>
      <c r="AU70" s="41" t="str">
        <f aca="false">IF(AT70="","",IFERROR(MATCH(AT70,INDEX(Boundaries!$B$2:$I$30,MATCH(CP70,Boundaries!$A$2:$A$30,0),0),1)-1,""))</f>
        <v/>
      </c>
      <c r="AV70" s="42" t="str">
        <f aca="false">IF(OR(AU70="",$E70=""),"",AU70-$E70)</f>
        <v/>
      </c>
      <c r="AW70" s="39"/>
      <c r="AX70" s="40" t="str">
        <f aca="false">IF(OR(AW70="",CC70=""),"",AW70/CC70*100)</f>
        <v/>
      </c>
      <c r="AY70" s="41" t="str">
        <f aca="false">IF(AX70="","",IFERROR(MATCH(AX70,INDEX(Boundaries!$B$2:$I$30,MATCH(CQ70,Boundaries!$A$2:$A$30,0),0),1)-1,""))</f>
        <v/>
      </c>
      <c r="AZ70" s="42" t="str">
        <f aca="false">IF(OR(AY70="",$E70=""),"",AY70-$E70)</f>
        <v/>
      </c>
      <c r="BA70" s="39"/>
      <c r="BB70" s="40" t="str">
        <f aca="false">IF(OR(BA70="",CD70=""),"",BA70/CD70*100)</f>
        <v/>
      </c>
      <c r="BC70" s="41" t="str">
        <f aca="false">IF(BB70="","",IFERROR(MATCH(BB70,INDEX(Boundaries!$B$2:$I$30,MATCH(CR70,Boundaries!$A$2:$A$30,0),0),1)-1,""))</f>
        <v/>
      </c>
      <c r="BD70" s="42" t="str">
        <f aca="false">IF(OR(BC70="",$E70=""),"",BC70-$E70)</f>
        <v/>
      </c>
      <c r="BE70" s="39"/>
      <c r="BF70" s="40" t="str">
        <f aca="false">IF(OR(BE70="",CE70=""),"",BE70/CE70*100)</f>
        <v/>
      </c>
      <c r="BG70" s="41" t="str">
        <f aca="false">IF(BF70="","",IFERROR(MATCH(BF70,INDEX(Boundaries!$B$2:$I$30,MATCH(CS70,Boundaries!$A$2:$A$30,0),0),1)-1,""))</f>
        <v/>
      </c>
      <c r="BH70" s="42" t="str">
        <f aca="false">IF(OR(BG70="",$E70=""),"",BG70-$E70)</f>
        <v/>
      </c>
      <c r="BI70" s="39"/>
      <c r="BJ70" s="40" t="str">
        <f aca="false">IF(OR(BI70="",CF70=""),"",BI70/CF70*100)</f>
        <v/>
      </c>
      <c r="BK70" s="41" t="str">
        <f aca="false">IF(BJ70="","",IFERROR(MATCH(BJ70,INDEX(Boundaries!$B$2:$I$30,MATCH(CT70,Boundaries!$A$2:$A$30,0),0),1)-1,""))</f>
        <v/>
      </c>
      <c r="BL70" s="42" t="str">
        <f aca="false">IF(OR(BK70="",$E70=""),"",BK70-$E70)</f>
        <v/>
      </c>
      <c r="BM70" s="39"/>
      <c r="BN70" s="40" t="str">
        <f aca="false">IF(OR(BM70="",CG70=""),"",BM70/CG70*100)</f>
        <v/>
      </c>
      <c r="BO70" s="41" t="str">
        <f aca="false">IF(BN70="","",IFERROR(MATCH(BN70,INDEX(Boundaries!$B$2:$I$30,MATCH(CU70,Boundaries!$A$2:$A$30,0),0),1)-1,""))</f>
        <v/>
      </c>
      <c r="BP70" s="42" t="str">
        <f aca="false">IF(OR(BO70="",$E70=""),"",BO70-$E70)</f>
        <v/>
      </c>
      <c r="BQ70" s="39"/>
      <c r="BR70" s="40" t="str">
        <f aca="false">IF(OR(BQ70="",CH70=""),"",BQ70/CH70*100)</f>
        <v/>
      </c>
      <c r="BS70" s="41" t="str">
        <f aca="false">IF(BR70="","",IFERROR(MATCH(BR70,INDEX(Boundaries!$B$2:$I$30,MATCH(CV70,Boundaries!$A$2:$A$30,0),0),1)-1,""))</f>
        <v/>
      </c>
      <c r="BT70" s="42" t="str">
        <f aca="false">IF(OR(BS70="",$E70=""),"",BS70-$E70)</f>
        <v/>
      </c>
      <c r="BU70" s="28" t="n">
        <f aca="false">IFERROR(INDEX(Assessments!$H$2:$H$600,MATCH($H70&amp;"|"&amp;$I70&amp;"|"&amp;$J70&amp;"|"&amp;1,Assessments!$A$2:$A$600,0)),"")</f>
        <v>30</v>
      </c>
      <c r="BV70" s="28" t="n">
        <f aca="false">IFERROR(INDEX(Assessments!$H$2:$H$600,MATCH($H70&amp;"|"&amp;$I70&amp;"|"&amp;$J70&amp;"|"&amp;2,Assessments!$A$2:$A$600,0)),"")</f>
        <v>24</v>
      </c>
      <c r="BW70" s="28" t="n">
        <f aca="false">IFERROR(INDEX(Assessments!$H$2:$H$600,MATCH($H70&amp;"|"&amp;$I70&amp;"|"&amp;$J70&amp;"|"&amp;3,Assessments!$A$2:$A$600,0)),"")</f>
        <v>25</v>
      </c>
      <c r="BX70" s="28" t="n">
        <f aca="false">IFERROR(INDEX(Assessments!$H$2:$H$600,MATCH($H70&amp;"|"&amp;$I70&amp;"|"&amp;$J70&amp;"|"&amp;4,Assessments!$A$2:$A$600,0)),"")</f>
        <v>35</v>
      </c>
      <c r="BY70" s="28" t="n">
        <f aca="false">IFERROR(INDEX(Assessments!$H$2:$H$600,MATCH($H70&amp;"|"&amp;$I70&amp;"|"&amp;$J70&amp;"|"&amp;5,Assessments!$A$2:$A$600,0)),"")</f>
        <v>55</v>
      </c>
      <c r="BZ70" s="28" t="n">
        <f aca="false">IFERROR(INDEX(Assessments!$H$2:$H$600,MATCH($H70&amp;"|"&amp;$I70&amp;"|"&amp;$J70&amp;"|"&amp;6,Assessments!$A$2:$A$600,0)),"")</f>
        <v>30</v>
      </c>
      <c r="CA70" s="28" t="n">
        <f aca="false">IFERROR(INDEX(Assessments!$H$2:$H$600,MATCH($H70&amp;"|"&amp;$I70&amp;"|"&amp;$J70&amp;"|"&amp;7,Assessments!$A$2:$A$600,0)),"")</f>
        <v>95</v>
      </c>
      <c r="CB70" s="28" t="str">
        <f aca="false">IFERROR(INDEX(Assessments!$H$2:$H$600,MATCH($H70&amp;"|"&amp;$I70&amp;"|"&amp;$J70&amp;"|"&amp;8,Assessments!$A$2:$A$600,0)),"")</f>
        <v/>
      </c>
      <c r="CC70" s="28" t="str">
        <f aca="false">IFERROR(INDEX(Assessments!$H$2:$H$600,MATCH($H70&amp;"|"&amp;$I70&amp;"|"&amp;$J70&amp;"|"&amp;9,Assessments!$A$2:$A$600,0)),"")</f>
        <v/>
      </c>
      <c r="CD70" s="28" t="str">
        <f aca="false">IFERROR(INDEX(Assessments!$H$2:$H$600,MATCH($H70&amp;"|"&amp;$I70&amp;"|"&amp;$J70&amp;"|"&amp;10,Assessments!$A$2:$A$600,0)),"")</f>
        <v/>
      </c>
      <c r="CE70" s="28" t="str">
        <f aca="false">IFERROR(INDEX(Assessments!$H$2:$H$600,MATCH($H70&amp;"|"&amp;$I70&amp;"|"&amp;$J70&amp;"|"&amp;11,Assessments!$A$2:$A$600,0)),"")</f>
        <v/>
      </c>
      <c r="CF70" s="28" t="str">
        <f aca="false">IFERROR(INDEX(Assessments!$H$2:$H$600,MATCH($H70&amp;"|"&amp;$I70&amp;"|"&amp;$J70&amp;"|"&amp;12,Assessments!$A$2:$A$600,0)),"")</f>
        <v/>
      </c>
      <c r="CG70" s="28" t="str">
        <f aca="false">IFERROR(INDEX(Assessments!$H$2:$H$600,MATCH($H70&amp;"|"&amp;$I70&amp;"|"&amp;$J70&amp;"|"&amp;13,Assessments!$A$2:$A$600,0)),"")</f>
        <v/>
      </c>
      <c r="CH70" s="28" t="str">
        <f aca="false">IFERROR(INDEX(Assessments!$H$2:$H$600,MATCH($H70&amp;"|"&amp;$I70&amp;"|"&amp;$J70&amp;"|"&amp;14,Assessments!$A$2:$A$600,0)),"")</f>
        <v/>
      </c>
      <c r="CI70" s="28" t="str">
        <f aca="false">IFERROR(INDEX(Assessments!$I$2:$I$600,MATCH($H70&amp;"|"&amp;$I70&amp;"|"&amp;$J70&amp;"|"&amp;1,Assessments!$A$2:$A$600,0)),"")</f>
        <v>Econ Test</v>
      </c>
      <c r="CJ70" s="28" t="str">
        <f aca="false">IFERROR(INDEX(Assessments!$I$2:$I$600,MATCH($H70&amp;"|"&amp;$I70&amp;"|"&amp;$J70&amp;"|"&amp;2,Assessments!$A$2:$A$600,0)),"")</f>
        <v>Econ Test</v>
      </c>
      <c r="CK70" s="28" t="str">
        <f aca="false">IFERROR(INDEX(Assessments!$I$2:$I$600,MATCH($H70&amp;"|"&amp;$I70&amp;"|"&amp;$J70&amp;"|"&amp;3,Assessments!$A$2:$A$600,0)),"")</f>
        <v>Econ Test</v>
      </c>
      <c r="CL70" s="28" t="str">
        <f aca="false">IFERROR(INDEX(Assessments!$I$2:$I$600,MATCH($H70&amp;"|"&amp;$I70&amp;"|"&amp;$J70&amp;"|"&amp;4,Assessments!$A$2:$A$600,0)),"")</f>
        <v>Econ Test</v>
      </c>
      <c r="CM70" s="28" t="str">
        <f aca="false">IFERROR(INDEX(Assessments!$I$2:$I$600,MATCH($H70&amp;"|"&amp;$I70&amp;"|"&amp;$J70&amp;"|"&amp;5,Assessments!$A$2:$A$600,0)),"")</f>
        <v>Econ Exam</v>
      </c>
      <c r="CN70" s="28" t="str">
        <f aca="false">IFERROR(INDEX(Assessments!$I$2:$I$600,MATCH($H70&amp;"|"&amp;$I70&amp;"|"&amp;$J70&amp;"|"&amp;6,Assessments!$A$2:$A$600,0)),"")</f>
        <v>Econ Test</v>
      </c>
      <c r="CO70" s="28" t="str">
        <f aca="false">IFERROR(INDEX(Assessments!$I$2:$I$600,MATCH($H70&amp;"|"&amp;$I70&amp;"|"&amp;$J70&amp;"|"&amp;7,Assessments!$A$2:$A$600,0)),"")</f>
        <v>Econ Exam</v>
      </c>
      <c r="CP70" s="28" t="str">
        <f aca="false">IFERROR(INDEX(Assessments!$I$2:$I$600,MATCH($H70&amp;"|"&amp;$I70&amp;"|"&amp;$J70&amp;"|"&amp;8,Assessments!$A$2:$A$600,0)),"")</f>
        <v/>
      </c>
      <c r="CQ70" s="28" t="str">
        <f aca="false">IFERROR(INDEX(Assessments!$I$2:$I$600,MATCH($H70&amp;"|"&amp;$I70&amp;"|"&amp;$J70&amp;"|"&amp;9,Assessments!$A$2:$A$600,0)),"")</f>
        <v/>
      </c>
      <c r="CR70" s="28" t="str">
        <f aca="false">IFERROR(INDEX(Assessments!$I$2:$I$600,MATCH($H70&amp;"|"&amp;$I70&amp;"|"&amp;$J70&amp;"|"&amp;10,Assessments!$A$2:$A$600,0)),"")</f>
        <v/>
      </c>
      <c r="CS70" s="28" t="str">
        <f aca="false">IFERROR(INDEX(Assessments!$I$2:$I$600,MATCH($H70&amp;"|"&amp;$I70&amp;"|"&amp;$J70&amp;"|"&amp;11,Assessments!$A$2:$A$600,0)),"")</f>
        <v/>
      </c>
      <c r="CT70" s="28" t="str">
        <f aca="false">IFERROR(INDEX(Assessments!$I$2:$I$600,MATCH($H70&amp;"|"&amp;$I70&amp;"|"&amp;$J70&amp;"|"&amp;12,Assessments!$A$2:$A$600,0)),"")</f>
        <v/>
      </c>
      <c r="CU70" s="28" t="str">
        <f aca="false">IFERROR(INDEX(Assessments!$I$2:$I$600,MATCH($H70&amp;"|"&amp;$I70&amp;"|"&amp;$J70&amp;"|"&amp;13,Assessments!$A$2:$A$600,0)),"")</f>
        <v/>
      </c>
      <c r="CV70" s="28" t="str">
        <f aca="false">IFERROR(INDEX(Assessments!$I$2:$I$600,MATCH($H70&amp;"|"&amp;$I70&amp;"|"&amp;$J70&amp;"|"&amp;14,Assessments!$A$2:$A$600,0)),"")</f>
        <v/>
      </c>
      <c r="CW70" s="28" t="n">
        <f aca="false">IFERROR(INDEX(Assessments!$J$2:$J$600,MATCH($H70&amp;"|"&amp;$I70&amp;"|"&amp;$J70&amp;"|"&amp;1,Assessments!$A$2:$A$600,0)),0)</f>
        <v>1</v>
      </c>
      <c r="CX70" s="28" t="n">
        <f aca="false">IFERROR(INDEX(Assessments!$J$2:$J$600,MATCH($H70&amp;"|"&amp;$I70&amp;"|"&amp;$J70&amp;"|"&amp;2,Assessments!$A$2:$A$600,0)),0)</f>
        <v>1</v>
      </c>
      <c r="CY70" s="28" t="n">
        <f aca="false">IFERROR(INDEX(Assessments!$J$2:$J$600,MATCH($H70&amp;"|"&amp;$I70&amp;"|"&amp;$J70&amp;"|"&amp;3,Assessments!$A$2:$A$600,0)),0)</f>
        <v>1</v>
      </c>
      <c r="CZ70" s="28" t="n">
        <f aca="false">IFERROR(INDEX(Assessments!$J$2:$J$600,MATCH($H70&amp;"|"&amp;$I70&amp;"|"&amp;$J70&amp;"|"&amp;4,Assessments!$A$2:$A$600,0)),0)</f>
        <v>1</v>
      </c>
      <c r="DA70" s="28" t="n">
        <f aca="false">IFERROR(INDEX(Assessments!$J$2:$J$600,MATCH($H70&amp;"|"&amp;$I70&amp;"|"&amp;$J70&amp;"|"&amp;5,Assessments!$A$2:$A$600,0)),0)</f>
        <v>2</v>
      </c>
      <c r="DB70" s="28" t="n">
        <f aca="false">IFERROR(INDEX(Assessments!$J$2:$J$600,MATCH($H70&amp;"|"&amp;$I70&amp;"|"&amp;$J70&amp;"|"&amp;6,Assessments!$A$2:$A$600,0)),0)</f>
        <v>1</v>
      </c>
      <c r="DC70" s="28" t="n">
        <f aca="false">IFERROR(INDEX(Assessments!$J$2:$J$600,MATCH($H70&amp;"|"&amp;$I70&amp;"|"&amp;$J70&amp;"|"&amp;7,Assessments!$A$2:$A$600,0)),0)</f>
        <v>2</v>
      </c>
      <c r="DD70" s="28" t="n">
        <f aca="false">IFERROR(INDEX(Assessments!$J$2:$J$600,MATCH($H70&amp;"|"&amp;$I70&amp;"|"&amp;$J70&amp;"|"&amp;8,Assessments!$A$2:$A$600,0)),0)</f>
        <v>0</v>
      </c>
      <c r="DE70" s="28" t="n">
        <f aca="false">IFERROR(INDEX(Assessments!$J$2:$J$600,MATCH($H70&amp;"|"&amp;$I70&amp;"|"&amp;$J70&amp;"|"&amp;9,Assessments!$A$2:$A$600,0)),0)</f>
        <v>0</v>
      </c>
      <c r="DF70" s="28" t="n">
        <f aca="false">IFERROR(INDEX(Assessments!$J$2:$J$600,MATCH($H70&amp;"|"&amp;$I70&amp;"|"&amp;$J70&amp;"|"&amp;10,Assessments!$A$2:$A$600,0)),0)</f>
        <v>0</v>
      </c>
      <c r="DG70" s="28" t="n">
        <f aca="false">IFERROR(INDEX(Assessments!$J$2:$J$600,MATCH($H70&amp;"|"&amp;$I70&amp;"|"&amp;$J70&amp;"|"&amp;11,Assessments!$A$2:$A$600,0)),0)</f>
        <v>0</v>
      </c>
      <c r="DH70" s="28" t="n">
        <f aca="false">IFERROR(INDEX(Assessments!$J$2:$J$600,MATCH($H70&amp;"|"&amp;$I70&amp;"|"&amp;$J70&amp;"|"&amp;12,Assessments!$A$2:$A$600,0)),0)</f>
        <v>0</v>
      </c>
      <c r="DI70" s="28" t="n">
        <f aca="false">IFERROR(INDEX(Assessments!$J$2:$J$600,MATCH($H70&amp;"|"&amp;$I70&amp;"|"&amp;$J70&amp;"|"&amp;13,Assessments!$A$2:$A$600,0)),0)</f>
        <v>0</v>
      </c>
      <c r="DJ70" s="28" t="n">
        <f aca="false">IFERROR(INDEX(Assessments!$J$2:$J$600,MATCH($H70&amp;"|"&amp;$I70&amp;"|"&amp;$J70&amp;"|"&amp;14,Assessments!$A$2:$A$600,0)),0)</f>
        <v>0</v>
      </c>
      <c r="DK70" s="28" t="n">
        <f aca="false">S70</f>
        <v>6</v>
      </c>
      <c r="DL70" s="28" t="n">
        <f aca="false">W70</f>
        <v>5</v>
      </c>
      <c r="DM70" s="28" t="n">
        <f aca="false">AA70</f>
        <v>7</v>
      </c>
      <c r="DN70" s="28" t="n">
        <f aca="false">AE70</f>
        <v>6</v>
      </c>
      <c r="DO70" s="28" t="n">
        <f aca="false">AI70</f>
        <v>6</v>
      </c>
      <c r="DP70" s="28" t="str">
        <f aca="false">AM70</f>
        <v/>
      </c>
      <c r="DQ70" s="28" t="str">
        <f aca="false">AQ70</f>
        <v/>
      </c>
      <c r="DR70" s="28" t="str">
        <f aca="false">AU70</f>
        <v/>
      </c>
      <c r="DS70" s="28" t="str">
        <f aca="false">AY70</f>
        <v/>
      </c>
      <c r="DT70" s="28" t="str">
        <f aca="false">BC70</f>
        <v/>
      </c>
      <c r="DU70" s="28" t="str">
        <f aca="false">BG70</f>
        <v/>
      </c>
      <c r="DV70" s="28" t="str">
        <f aca="false">BK70</f>
        <v/>
      </c>
      <c r="DW70" s="28" t="str">
        <f aca="false">BO70</f>
        <v/>
      </c>
      <c r="DX70" s="28" t="str">
        <f aca="false">BS70</f>
        <v/>
      </c>
      <c r="DY70" s="28" t="n">
        <f aca="false">IF(ISNUMBER(S70),1,"")</f>
        <v>1</v>
      </c>
      <c r="DZ70" s="28" t="n">
        <f aca="false">IF(ISNUMBER(W70),2,"")</f>
        <v>2</v>
      </c>
      <c r="EA70" s="28" t="n">
        <f aca="false">IF(ISNUMBER(AA70),3,"")</f>
        <v>3</v>
      </c>
      <c r="EB70" s="28" t="n">
        <f aca="false">IF(ISNUMBER(AE70),4,"")</f>
        <v>4</v>
      </c>
      <c r="EC70" s="28" t="n">
        <f aca="false">IF(ISNUMBER(AI70),5,"")</f>
        <v>5</v>
      </c>
      <c r="ED70" s="28" t="str">
        <f aca="false">IF(ISNUMBER(AM70),6,"")</f>
        <v/>
      </c>
      <c r="EE70" s="28" t="str">
        <f aca="false">IF(ISNUMBER(AQ70),7,"")</f>
        <v/>
      </c>
      <c r="EF70" s="28" t="str">
        <f aca="false">IF(ISNUMBER(AU70),8,"")</f>
        <v/>
      </c>
      <c r="EG70" s="28" t="str">
        <f aca="false">IF(ISNUMBER(AY70),9,"")</f>
        <v/>
      </c>
      <c r="EH70" s="28" t="str">
        <f aca="false">IF(ISNUMBER(BC70),10,"")</f>
        <v/>
      </c>
      <c r="EI70" s="28" t="str">
        <f aca="false">IF(ISNUMBER(BG70),11,"")</f>
        <v/>
      </c>
      <c r="EJ70" s="28" t="str">
        <f aca="false">IF(ISNUMBER(BK70),12,"")</f>
        <v/>
      </c>
      <c r="EK70" s="28" t="str">
        <f aca="false">IF(ISNUMBER(BO70),13,"")</f>
        <v/>
      </c>
      <c r="EL70" s="28" t="str">
        <f aca="false">IF(ISNUMBER(BS70),14,"")</f>
        <v/>
      </c>
      <c r="EM70" s="28" t="n">
        <f aca="false">IF(ISNUMBER(R70),R70*CW70,0)</f>
        <v>80</v>
      </c>
      <c r="EN70" s="28" t="n">
        <f aca="false">IF(ISNUMBER(V70),V70*CX70,0)</f>
        <v>70.8333333333333</v>
      </c>
      <c r="EO70" s="28" t="n">
        <f aca="false">IF(ISNUMBER(Z70),Z70*CY70,0)</f>
        <v>88</v>
      </c>
      <c r="EP70" s="28" t="n">
        <f aca="false">IF(ISNUMBER(AD70),AD70*CZ70,0)</f>
        <v>80</v>
      </c>
      <c r="EQ70" s="28" t="n">
        <f aca="false">IF(ISNUMBER(AH70),AH70*DA70,0)</f>
        <v>149.090909090909</v>
      </c>
      <c r="ER70" s="28" t="n">
        <f aca="false">IF(ISNUMBER(AL70),AL70*DB70,0)</f>
        <v>0</v>
      </c>
      <c r="ES70" s="28" t="n">
        <f aca="false">IF(ISNUMBER(AP70),AP70*DC70,0)</f>
        <v>0</v>
      </c>
      <c r="ET70" s="28" t="n">
        <f aca="false">IF(ISNUMBER(AT70),AT70*DD70,0)</f>
        <v>0</v>
      </c>
      <c r="EU70" s="28" t="n">
        <f aca="false">IF(ISNUMBER(AX70),AX70*DE70,0)</f>
        <v>0</v>
      </c>
      <c r="EV70" s="28" t="n">
        <f aca="false">IF(ISNUMBER(BB70),BB70*DF70,0)</f>
        <v>0</v>
      </c>
      <c r="EW70" s="28" t="n">
        <f aca="false">IF(ISNUMBER(BF70),BF70*DG70,0)</f>
        <v>0</v>
      </c>
      <c r="EX70" s="28" t="n">
        <f aca="false">IF(ISNUMBER(BJ70),BJ70*DH70,0)</f>
        <v>0</v>
      </c>
      <c r="EY70" s="28" t="n">
        <f aca="false">IF(ISNUMBER(BN70),BN70*DI70,0)</f>
        <v>0</v>
      </c>
      <c r="EZ70" s="28" t="n">
        <f aca="false">IF(ISNUMBER(BR70),BR70*DJ70,0)</f>
        <v>0</v>
      </c>
      <c r="FA70" s="28" t="n">
        <f aca="false">IF(ISNUMBER(R70),CW70,0)</f>
        <v>1</v>
      </c>
      <c r="FB70" s="28" t="n">
        <f aca="false">IF(ISNUMBER(V70),CX70,0)</f>
        <v>1</v>
      </c>
      <c r="FC70" s="28" t="n">
        <f aca="false">IF(ISNUMBER(Z70),CY70,0)</f>
        <v>1</v>
      </c>
      <c r="FD70" s="28" t="n">
        <f aca="false">IF(ISNUMBER(AD70),CZ70,0)</f>
        <v>1</v>
      </c>
      <c r="FE70" s="28" t="n">
        <f aca="false">IF(ISNUMBER(AH70),DA70,0)</f>
        <v>2</v>
      </c>
      <c r="FF70" s="28" t="n">
        <f aca="false">IF(ISNUMBER(AL70),DB70,0)</f>
        <v>0</v>
      </c>
      <c r="FG70" s="28" t="n">
        <f aca="false">IF(ISNUMBER(AP70),DC70,0)</f>
        <v>0</v>
      </c>
      <c r="FH70" s="28" t="n">
        <f aca="false">IF(ISNUMBER(AT70),DD70,0)</f>
        <v>0</v>
      </c>
      <c r="FI70" s="28" t="n">
        <f aca="false">IF(ISNUMBER(AX70),DE70,0)</f>
        <v>0</v>
      </c>
      <c r="FJ70" s="28" t="n">
        <f aca="false">IF(ISNUMBER(BB70),DF70,0)</f>
        <v>0</v>
      </c>
      <c r="FK70" s="28" t="n">
        <f aca="false">IF(ISNUMBER(BF70),DG70,0)</f>
        <v>0</v>
      </c>
      <c r="FL70" s="28" t="n">
        <f aca="false">IF(ISNUMBER(BJ70),DH70,0)</f>
        <v>0</v>
      </c>
      <c r="FM70" s="28" t="n">
        <f aca="false">IF(ISNUMBER(BN70),DI70,0)</f>
        <v>0</v>
      </c>
      <c r="FN70" s="28" t="n">
        <f aca="false">IF(ISNUMBER(BR70),DJ70,0)</f>
        <v>0</v>
      </c>
      <c r="FO70" s="28" t="str">
        <f aca="false">IFERROR(INDEX(Lists!$G$2:$G$20,MATCH($I70&amp;"|"&amp;$J70,Lists!$F$2:$F$20,0)),"")</f>
        <v>Econ Exam</v>
      </c>
    </row>
    <row r="71" customFormat="false" ht="19.5" hidden="false" customHeight="true" outlineLevel="0" collapsed="false">
      <c r="A71" s="29" t="s">
        <v>182</v>
      </c>
      <c r="B71" s="29" t="s">
        <v>183</v>
      </c>
      <c r="C71" s="30" t="s">
        <v>192</v>
      </c>
      <c r="D71" s="30" t="s">
        <v>271</v>
      </c>
      <c r="E71" s="31" t="n">
        <v>5.3</v>
      </c>
      <c r="F71" s="30" t="n">
        <v>6</v>
      </c>
      <c r="G71" s="30"/>
      <c r="H71" s="32" t="s">
        <v>23</v>
      </c>
      <c r="I71" s="33" t="s">
        <v>229</v>
      </c>
      <c r="J71" s="32" t="s">
        <v>25</v>
      </c>
      <c r="K71" s="34" t="n">
        <f aca="false">IF(OR(M71="",$E71=""),"",M71-$E71)</f>
        <v>-0.3</v>
      </c>
      <c r="L71" s="35" t="n">
        <f aca="false">IF(SUM(FA71:FN71)=0,"",SUM(EM71:EZ71)/SUM(FA71:FN71))</f>
        <v>62.6006493506494</v>
      </c>
      <c r="M71" s="36" t="n">
        <f aca="false">IF(OR(L71="",FO71=""),"",IFERROR(MATCH(L71,INDEX(Boundaries!$B$2:$I$30,MATCH(FO71,Boundaries!$A$2:$A$30,0),0),1)-1,""))</f>
        <v>5</v>
      </c>
      <c r="N71" s="37" t="n">
        <f aca="false">IF(COUNT($DY71:$EL71)&lt;2,"",INDEX($DK71:$DX71,MAX($DY71:$EL71))-INDEX($DK71:$DX71,MIN($DY71:$EL71)))</f>
        <v>3</v>
      </c>
      <c r="O71" s="37" t="n">
        <f aca="false">IF(COUNT($DY71:$EL71)&lt;2,"",INDEX($DK71:$DX71,MAX($DY71:$EL71))-INDEX($DK71:$DX71,LARGE($DY71:$EL71,2)))</f>
        <v>2</v>
      </c>
      <c r="P71" s="38" t="str">
        <f aca="false">IF(K71="","",IF(K71&gt;=0,"On/above target",IF(AND(N71&lt;&gt;"",N71&gt;=0.5),"Improving towards target",IF(AND(O71&lt;&gt;"",O71&lt;=-0.5),"Declining","Stable below target"))))</f>
        <v>Improving towards target</v>
      </c>
      <c r="Q71" s="39" t="n">
        <v>12</v>
      </c>
      <c r="R71" s="40" t="n">
        <f aca="false">IF(OR(Q71="",BU71=""),"",Q71/BU71*100)</f>
        <v>40</v>
      </c>
      <c r="S71" s="41" t="n">
        <f aca="false">IF(R71="","",IFERROR(MATCH(R71,INDEX(Boundaries!$B$2:$I$30,MATCH(CI71,Boundaries!$A$2:$A$30,0),0),1)-1,""))</f>
        <v>3</v>
      </c>
      <c r="T71" s="42" t="n">
        <f aca="false">IF(OR(S71="",$E71=""),"",S71-$E71)</f>
        <v>-2.3</v>
      </c>
      <c r="U71" s="39" t="n">
        <v>21</v>
      </c>
      <c r="V71" s="40" t="n">
        <f aca="false">IF(OR(U71="",BV71=""),"",U71/BV71*100)</f>
        <v>87.5</v>
      </c>
      <c r="W71" s="41" t="n">
        <f aca="false">IF(V71="","",IFERROR(MATCH(V71,INDEX(Boundaries!$B$2:$I$30,MATCH(CJ71,Boundaries!$A$2:$A$30,0),0),1)-1,""))</f>
        <v>7</v>
      </c>
      <c r="X71" s="42" t="n">
        <f aca="false">IF(OR(W71="",$E71=""),"",W71-$E71)</f>
        <v>1.7</v>
      </c>
      <c r="Y71" s="39" t="n">
        <v>13</v>
      </c>
      <c r="Z71" s="40" t="n">
        <f aca="false">IF(OR(Y71="",BW71=""),"",Y71/BW71*100)</f>
        <v>52</v>
      </c>
      <c r="AA71" s="41" t="n">
        <f aca="false">IF(Z71="","",IFERROR(MATCH(Z71,INDEX(Boundaries!$B$2:$I$30,MATCH(CK71,Boundaries!$A$2:$A$30,0),0),1)-1,""))</f>
        <v>4</v>
      </c>
      <c r="AB71" s="42" t="n">
        <f aca="false">IF(OR(AA71="",$E71=""),"",AA71-$E71)</f>
        <v>-1.3</v>
      </c>
      <c r="AC71" s="39" t="n">
        <v>19</v>
      </c>
      <c r="AD71" s="40" t="n">
        <f aca="false">IF(OR(AC71="",BX71=""),"",AC71/BX71*100)</f>
        <v>54.2857142857143</v>
      </c>
      <c r="AE71" s="41" t="n">
        <f aca="false">IF(AD71="","",IFERROR(MATCH(AD71,INDEX(Boundaries!$B$2:$I$30,MATCH(CL71,Boundaries!$A$2:$A$30,0),0),1)-1,""))</f>
        <v>4</v>
      </c>
      <c r="AF71" s="42" t="n">
        <f aca="false">IF(OR(AE71="",$E71=""),"",AE71-$E71)</f>
        <v>-1.3</v>
      </c>
      <c r="AG71" s="39" t="n">
        <v>39</v>
      </c>
      <c r="AH71" s="40" t="n">
        <f aca="false">IF(OR(AG71="",BY71=""),"",AG71/BY71*100)</f>
        <v>70.9090909090909</v>
      </c>
      <c r="AI71" s="41" t="n">
        <f aca="false">IF(AH71="","",IFERROR(MATCH(AH71,INDEX(Boundaries!$B$2:$I$30,MATCH(CM71,Boundaries!$A$2:$A$30,0),0),1)-1,""))</f>
        <v>6</v>
      </c>
      <c r="AJ71" s="42" t="n">
        <f aca="false">IF(OR(AI71="",$E71=""),"",AI71-$E71)</f>
        <v>0.7</v>
      </c>
      <c r="AK71" s="39"/>
      <c r="AL71" s="40" t="str">
        <f aca="false">IF(OR(AK71="",BZ71=""),"",AK71/BZ71*100)</f>
        <v/>
      </c>
      <c r="AM71" s="41" t="str">
        <f aca="false">IF(AL71="","",IFERROR(MATCH(AL71,INDEX(Boundaries!$B$2:$I$30,MATCH(CN71,Boundaries!$A$2:$A$30,0),0),1)-1,""))</f>
        <v/>
      </c>
      <c r="AN71" s="42" t="str">
        <f aca="false">IF(OR(AM71="",$E71=""),"",AM71-$E71)</f>
        <v/>
      </c>
      <c r="AO71" s="39"/>
      <c r="AP71" s="40" t="str">
        <f aca="false">IF(OR(AO71="",CA71=""),"",AO71/CA71*100)</f>
        <v/>
      </c>
      <c r="AQ71" s="41" t="str">
        <f aca="false">IF(AP71="","",IFERROR(MATCH(AP71,INDEX(Boundaries!$B$2:$I$30,MATCH(CO71,Boundaries!$A$2:$A$30,0),0),1)-1,""))</f>
        <v/>
      </c>
      <c r="AR71" s="42" t="str">
        <f aca="false">IF(OR(AQ71="",$E71=""),"",AQ71-$E71)</f>
        <v/>
      </c>
      <c r="AS71" s="39"/>
      <c r="AT71" s="40" t="str">
        <f aca="false">IF(OR(AS71="",CB71=""),"",AS71/CB71*100)</f>
        <v/>
      </c>
      <c r="AU71" s="41" t="str">
        <f aca="false">IF(AT71="","",IFERROR(MATCH(AT71,INDEX(Boundaries!$B$2:$I$30,MATCH(CP71,Boundaries!$A$2:$A$30,0),0),1)-1,""))</f>
        <v/>
      </c>
      <c r="AV71" s="42" t="str">
        <f aca="false">IF(OR(AU71="",$E71=""),"",AU71-$E71)</f>
        <v/>
      </c>
      <c r="AW71" s="39"/>
      <c r="AX71" s="40" t="str">
        <f aca="false">IF(OR(AW71="",CC71=""),"",AW71/CC71*100)</f>
        <v/>
      </c>
      <c r="AY71" s="41" t="str">
        <f aca="false">IF(AX71="","",IFERROR(MATCH(AX71,INDEX(Boundaries!$B$2:$I$30,MATCH(CQ71,Boundaries!$A$2:$A$30,0),0),1)-1,""))</f>
        <v/>
      </c>
      <c r="AZ71" s="42" t="str">
        <f aca="false">IF(OR(AY71="",$E71=""),"",AY71-$E71)</f>
        <v/>
      </c>
      <c r="BA71" s="39"/>
      <c r="BB71" s="40" t="str">
        <f aca="false">IF(OR(BA71="",CD71=""),"",BA71/CD71*100)</f>
        <v/>
      </c>
      <c r="BC71" s="41" t="str">
        <f aca="false">IF(BB71="","",IFERROR(MATCH(BB71,INDEX(Boundaries!$B$2:$I$30,MATCH(CR71,Boundaries!$A$2:$A$30,0),0),1)-1,""))</f>
        <v/>
      </c>
      <c r="BD71" s="42" t="str">
        <f aca="false">IF(OR(BC71="",$E71=""),"",BC71-$E71)</f>
        <v/>
      </c>
      <c r="BE71" s="39"/>
      <c r="BF71" s="40" t="str">
        <f aca="false">IF(OR(BE71="",CE71=""),"",BE71/CE71*100)</f>
        <v/>
      </c>
      <c r="BG71" s="41" t="str">
        <f aca="false">IF(BF71="","",IFERROR(MATCH(BF71,INDEX(Boundaries!$B$2:$I$30,MATCH(CS71,Boundaries!$A$2:$A$30,0),0),1)-1,""))</f>
        <v/>
      </c>
      <c r="BH71" s="42" t="str">
        <f aca="false">IF(OR(BG71="",$E71=""),"",BG71-$E71)</f>
        <v/>
      </c>
      <c r="BI71" s="39"/>
      <c r="BJ71" s="40" t="str">
        <f aca="false">IF(OR(BI71="",CF71=""),"",BI71/CF71*100)</f>
        <v/>
      </c>
      <c r="BK71" s="41" t="str">
        <f aca="false">IF(BJ71="","",IFERROR(MATCH(BJ71,INDEX(Boundaries!$B$2:$I$30,MATCH(CT71,Boundaries!$A$2:$A$30,0),0),1)-1,""))</f>
        <v/>
      </c>
      <c r="BL71" s="42" t="str">
        <f aca="false">IF(OR(BK71="",$E71=""),"",BK71-$E71)</f>
        <v/>
      </c>
      <c r="BM71" s="39"/>
      <c r="BN71" s="40" t="str">
        <f aca="false">IF(OR(BM71="",CG71=""),"",BM71/CG71*100)</f>
        <v/>
      </c>
      <c r="BO71" s="41" t="str">
        <f aca="false">IF(BN71="","",IFERROR(MATCH(BN71,INDEX(Boundaries!$B$2:$I$30,MATCH(CU71,Boundaries!$A$2:$A$30,0),0),1)-1,""))</f>
        <v/>
      </c>
      <c r="BP71" s="42" t="str">
        <f aca="false">IF(OR(BO71="",$E71=""),"",BO71-$E71)</f>
        <v/>
      </c>
      <c r="BQ71" s="39"/>
      <c r="BR71" s="40" t="str">
        <f aca="false">IF(OR(BQ71="",CH71=""),"",BQ71/CH71*100)</f>
        <v/>
      </c>
      <c r="BS71" s="41" t="str">
        <f aca="false">IF(BR71="","",IFERROR(MATCH(BR71,INDEX(Boundaries!$B$2:$I$30,MATCH(CV71,Boundaries!$A$2:$A$30,0),0),1)-1,""))</f>
        <v/>
      </c>
      <c r="BT71" s="42" t="str">
        <f aca="false">IF(OR(BS71="",$E71=""),"",BS71-$E71)</f>
        <v/>
      </c>
      <c r="BU71" s="28" t="n">
        <f aca="false">IFERROR(INDEX(Assessments!$H$2:$H$600,MATCH($H71&amp;"|"&amp;$I71&amp;"|"&amp;$J71&amp;"|"&amp;1,Assessments!$A$2:$A$600,0)),"")</f>
        <v>30</v>
      </c>
      <c r="BV71" s="28" t="n">
        <f aca="false">IFERROR(INDEX(Assessments!$H$2:$H$600,MATCH($H71&amp;"|"&amp;$I71&amp;"|"&amp;$J71&amp;"|"&amp;2,Assessments!$A$2:$A$600,0)),"")</f>
        <v>24</v>
      </c>
      <c r="BW71" s="28" t="n">
        <f aca="false">IFERROR(INDEX(Assessments!$H$2:$H$600,MATCH($H71&amp;"|"&amp;$I71&amp;"|"&amp;$J71&amp;"|"&amp;3,Assessments!$A$2:$A$600,0)),"")</f>
        <v>25</v>
      </c>
      <c r="BX71" s="28" t="n">
        <f aca="false">IFERROR(INDEX(Assessments!$H$2:$H$600,MATCH($H71&amp;"|"&amp;$I71&amp;"|"&amp;$J71&amp;"|"&amp;4,Assessments!$A$2:$A$600,0)),"")</f>
        <v>35</v>
      </c>
      <c r="BY71" s="28" t="n">
        <f aca="false">IFERROR(INDEX(Assessments!$H$2:$H$600,MATCH($H71&amp;"|"&amp;$I71&amp;"|"&amp;$J71&amp;"|"&amp;5,Assessments!$A$2:$A$600,0)),"")</f>
        <v>55</v>
      </c>
      <c r="BZ71" s="28" t="n">
        <f aca="false">IFERROR(INDEX(Assessments!$H$2:$H$600,MATCH($H71&amp;"|"&amp;$I71&amp;"|"&amp;$J71&amp;"|"&amp;6,Assessments!$A$2:$A$600,0)),"")</f>
        <v>30</v>
      </c>
      <c r="CA71" s="28" t="n">
        <f aca="false">IFERROR(INDEX(Assessments!$H$2:$H$600,MATCH($H71&amp;"|"&amp;$I71&amp;"|"&amp;$J71&amp;"|"&amp;7,Assessments!$A$2:$A$600,0)),"")</f>
        <v>95</v>
      </c>
      <c r="CB71" s="28" t="str">
        <f aca="false">IFERROR(INDEX(Assessments!$H$2:$H$600,MATCH($H71&amp;"|"&amp;$I71&amp;"|"&amp;$J71&amp;"|"&amp;8,Assessments!$A$2:$A$600,0)),"")</f>
        <v/>
      </c>
      <c r="CC71" s="28" t="str">
        <f aca="false">IFERROR(INDEX(Assessments!$H$2:$H$600,MATCH($H71&amp;"|"&amp;$I71&amp;"|"&amp;$J71&amp;"|"&amp;9,Assessments!$A$2:$A$600,0)),"")</f>
        <v/>
      </c>
      <c r="CD71" s="28" t="str">
        <f aca="false">IFERROR(INDEX(Assessments!$H$2:$H$600,MATCH($H71&amp;"|"&amp;$I71&amp;"|"&amp;$J71&amp;"|"&amp;10,Assessments!$A$2:$A$600,0)),"")</f>
        <v/>
      </c>
      <c r="CE71" s="28" t="str">
        <f aca="false">IFERROR(INDEX(Assessments!$H$2:$H$600,MATCH($H71&amp;"|"&amp;$I71&amp;"|"&amp;$J71&amp;"|"&amp;11,Assessments!$A$2:$A$600,0)),"")</f>
        <v/>
      </c>
      <c r="CF71" s="28" t="str">
        <f aca="false">IFERROR(INDEX(Assessments!$H$2:$H$600,MATCH($H71&amp;"|"&amp;$I71&amp;"|"&amp;$J71&amp;"|"&amp;12,Assessments!$A$2:$A$600,0)),"")</f>
        <v/>
      </c>
      <c r="CG71" s="28" t="str">
        <f aca="false">IFERROR(INDEX(Assessments!$H$2:$H$600,MATCH($H71&amp;"|"&amp;$I71&amp;"|"&amp;$J71&amp;"|"&amp;13,Assessments!$A$2:$A$600,0)),"")</f>
        <v/>
      </c>
      <c r="CH71" s="28" t="str">
        <f aca="false">IFERROR(INDEX(Assessments!$H$2:$H$600,MATCH($H71&amp;"|"&amp;$I71&amp;"|"&amp;$J71&amp;"|"&amp;14,Assessments!$A$2:$A$600,0)),"")</f>
        <v/>
      </c>
      <c r="CI71" s="28" t="str">
        <f aca="false">IFERROR(INDEX(Assessments!$I$2:$I$600,MATCH($H71&amp;"|"&amp;$I71&amp;"|"&amp;$J71&amp;"|"&amp;1,Assessments!$A$2:$A$600,0)),"")</f>
        <v>Econ Test</v>
      </c>
      <c r="CJ71" s="28" t="str">
        <f aca="false">IFERROR(INDEX(Assessments!$I$2:$I$600,MATCH($H71&amp;"|"&amp;$I71&amp;"|"&amp;$J71&amp;"|"&amp;2,Assessments!$A$2:$A$600,0)),"")</f>
        <v>Econ Test</v>
      </c>
      <c r="CK71" s="28" t="str">
        <f aca="false">IFERROR(INDEX(Assessments!$I$2:$I$600,MATCH($H71&amp;"|"&amp;$I71&amp;"|"&amp;$J71&amp;"|"&amp;3,Assessments!$A$2:$A$600,0)),"")</f>
        <v>Econ Test</v>
      </c>
      <c r="CL71" s="28" t="str">
        <f aca="false">IFERROR(INDEX(Assessments!$I$2:$I$600,MATCH($H71&amp;"|"&amp;$I71&amp;"|"&amp;$J71&amp;"|"&amp;4,Assessments!$A$2:$A$600,0)),"")</f>
        <v>Econ Test</v>
      </c>
      <c r="CM71" s="28" t="str">
        <f aca="false">IFERROR(INDEX(Assessments!$I$2:$I$600,MATCH($H71&amp;"|"&amp;$I71&amp;"|"&amp;$J71&amp;"|"&amp;5,Assessments!$A$2:$A$600,0)),"")</f>
        <v>Econ Exam</v>
      </c>
      <c r="CN71" s="28" t="str">
        <f aca="false">IFERROR(INDEX(Assessments!$I$2:$I$600,MATCH($H71&amp;"|"&amp;$I71&amp;"|"&amp;$J71&amp;"|"&amp;6,Assessments!$A$2:$A$600,0)),"")</f>
        <v>Econ Test</v>
      </c>
      <c r="CO71" s="28" t="str">
        <f aca="false">IFERROR(INDEX(Assessments!$I$2:$I$600,MATCH($H71&amp;"|"&amp;$I71&amp;"|"&amp;$J71&amp;"|"&amp;7,Assessments!$A$2:$A$600,0)),"")</f>
        <v>Econ Exam</v>
      </c>
      <c r="CP71" s="28" t="str">
        <f aca="false">IFERROR(INDEX(Assessments!$I$2:$I$600,MATCH($H71&amp;"|"&amp;$I71&amp;"|"&amp;$J71&amp;"|"&amp;8,Assessments!$A$2:$A$600,0)),"")</f>
        <v/>
      </c>
      <c r="CQ71" s="28" t="str">
        <f aca="false">IFERROR(INDEX(Assessments!$I$2:$I$600,MATCH($H71&amp;"|"&amp;$I71&amp;"|"&amp;$J71&amp;"|"&amp;9,Assessments!$A$2:$A$600,0)),"")</f>
        <v/>
      </c>
      <c r="CR71" s="28" t="str">
        <f aca="false">IFERROR(INDEX(Assessments!$I$2:$I$600,MATCH($H71&amp;"|"&amp;$I71&amp;"|"&amp;$J71&amp;"|"&amp;10,Assessments!$A$2:$A$600,0)),"")</f>
        <v/>
      </c>
      <c r="CS71" s="28" t="str">
        <f aca="false">IFERROR(INDEX(Assessments!$I$2:$I$600,MATCH($H71&amp;"|"&amp;$I71&amp;"|"&amp;$J71&amp;"|"&amp;11,Assessments!$A$2:$A$600,0)),"")</f>
        <v/>
      </c>
      <c r="CT71" s="28" t="str">
        <f aca="false">IFERROR(INDEX(Assessments!$I$2:$I$600,MATCH($H71&amp;"|"&amp;$I71&amp;"|"&amp;$J71&amp;"|"&amp;12,Assessments!$A$2:$A$600,0)),"")</f>
        <v/>
      </c>
      <c r="CU71" s="28" t="str">
        <f aca="false">IFERROR(INDEX(Assessments!$I$2:$I$600,MATCH($H71&amp;"|"&amp;$I71&amp;"|"&amp;$J71&amp;"|"&amp;13,Assessments!$A$2:$A$600,0)),"")</f>
        <v/>
      </c>
      <c r="CV71" s="28" t="str">
        <f aca="false">IFERROR(INDEX(Assessments!$I$2:$I$600,MATCH($H71&amp;"|"&amp;$I71&amp;"|"&amp;$J71&amp;"|"&amp;14,Assessments!$A$2:$A$600,0)),"")</f>
        <v/>
      </c>
      <c r="CW71" s="28" t="n">
        <f aca="false">IFERROR(INDEX(Assessments!$J$2:$J$600,MATCH($H71&amp;"|"&amp;$I71&amp;"|"&amp;$J71&amp;"|"&amp;1,Assessments!$A$2:$A$600,0)),0)</f>
        <v>1</v>
      </c>
      <c r="CX71" s="28" t="n">
        <f aca="false">IFERROR(INDEX(Assessments!$J$2:$J$600,MATCH($H71&amp;"|"&amp;$I71&amp;"|"&amp;$J71&amp;"|"&amp;2,Assessments!$A$2:$A$600,0)),0)</f>
        <v>1</v>
      </c>
      <c r="CY71" s="28" t="n">
        <f aca="false">IFERROR(INDEX(Assessments!$J$2:$J$600,MATCH($H71&amp;"|"&amp;$I71&amp;"|"&amp;$J71&amp;"|"&amp;3,Assessments!$A$2:$A$600,0)),0)</f>
        <v>1</v>
      </c>
      <c r="CZ71" s="28" t="n">
        <f aca="false">IFERROR(INDEX(Assessments!$J$2:$J$600,MATCH($H71&amp;"|"&amp;$I71&amp;"|"&amp;$J71&amp;"|"&amp;4,Assessments!$A$2:$A$600,0)),0)</f>
        <v>1</v>
      </c>
      <c r="DA71" s="28" t="n">
        <f aca="false">IFERROR(INDEX(Assessments!$J$2:$J$600,MATCH($H71&amp;"|"&amp;$I71&amp;"|"&amp;$J71&amp;"|"&amp;5,Assessments!$A$2:$A$600,0)),0)</f>
        <v>2</v>
      </c>
      <c r="DB71" s="28" t="n">
        <f aca="false">IFERROR(INDEX(Assessments!$J$2:$J$600,MATCH($H71&amp;"|"&amp;$I71&amp;"|"&amp;$J71&amp;"|"&amp;6,Assessments!$A$2:$A$600,0)),0)</f>
        <v>1</v>
      </c>
      <c r="DC71" s="28" t="n">
        <f aca="false">IFERROR(INDEX(Assessments!$J$2:$J$600,MATCH($H71&amp;"|"&amp;$I71&amp;"|"&amp;$J71&amp;"|"&amp;7,Assessments!$A$2:$A$600,0)),0)</f>
        <v>2</v>
      </c>
      <c r="DD71" s="28" t="n">
        <f aca="false">IFERROR(INDEX(Assessments!$J$2:$J$600,MATCH($H71&amp;"|"&amp;$I71&amp;"|"&amp;$J71&amp;"|"&amp;8,Assessments!$A$2:$A$600,0)),0)</f>
        <v>0</v>
      </c>
      <c r="DE71" s="28" t="n">
        <f aca="false">IFERROR(INDEX(Assessments!$J$2:$J$600,MATCH($H71&amp;"|"&amp;$I71&amp;"|"&amp;$J71&amp;"|"&amp;9,Assessments!$A$2:$A$600,0)),0)</f>
        <v>0</v>
      </c>
      <c r="DF71" s="28" t="n">
        <f aca="false">IFERROR(INDEX(Assessments!$J$2:$J$600,MATCH($H71&amp;"|"&amp;$I71&amp;"|"&amp;$J71&amp;"|"&amp;10,Assessments!$A$2:$A$600,0)),0)</f>
        <v>0</v>
      </c>
      <c r="DG71" s="28" t="n">
        <f aca="false">IFERROR(INDEX(Assessments!$J$2:$J$600,MATCH($H71&amp;"|"&amp;$I71&amp;"|"&amp;$J71&amp;"|"&amp;11,Assessments!$A$2:$A$600,0)),0)</f>
        <v>0</v>
      </c>
      <c r="DH71" s="28" t="n">
        <f aca="false">IFERROR(INDEX(Assessments!$J$2:$J$600,MATCH($H71&amp;"|"&amp;$I71&amp;"|"&amp;$J71&amp;"|"&amp;12,Assessments!$A$2:$A$600,0)),0)</f>
        <v>0</v>
      </c>
      <c r="DI71" s="28" t="n">
        <f aca="false">IFERROR(INDEX(Assessments!$J$2:$J$600,MATCH($H71&amp;"|"&amp;$I71&amp;"|"&amp;$J71&amp;"|"&amp;13,Assessments!$A$2:$A$600,0)),0)</f>
        <v>0</v>
      </c>
      <c r="DJ71" s="28" t="n">
        <f aca="false">IFERROR(INDEX(Assessments!$J$2:$J$600,MATCH($H71&amp;"|"&amp;$I71&amp;"|"&amp;$J71&amp;"|"&amp;14,Assessments!$A$2:$A$600,0)),0)</f>
        <v>0</v>
      </c>
      <c r="DK71" s="28" t="n">
        <f aca="false">S71</f>
        <v>3</v>
      </c>
      <c r="DL71" s="28" t="n">
        <f aca="false">W71</f>
        <v>7</v>
      </c>
      <c r="DM71" s="28" t="n">
        <f aca="false">AA71</f>
        <v>4</v>
      </c>
      <c r="DN71" s="28" t="n">
        <f aca="false">AE71</f>
        <v>4</v>
      </c>
      <c r="DO71" s="28" t="n">
        <f aca="false">AI71</f>
        <v>6</v>
      </c>
      <c r="DP71" s="28" t="str">
        <f aca="false">AM71</f>
        <v/>
      </c>
      <c r="DQ71" s="28" t="str">
        <f aca="false">AQ71</f>
        <v/>
      </c>
      <c r="DR71" s="28" t="str">
        <f aca="false">AU71</f>
        <v/>
      </c>
      <c r="DS71" s="28" t="str">
        <f aca="false">AY71</f>
        <v/>
      </c>
      <c r="DT71" s="28" t="str">
        <f aca="false">BC71</f>
        <v/>
      </c>
      <c r="DU71" s="28" t="str">
        <f aca="false">BG71</f>
        <v/>
      </c>
      <c r="DV71" s="28" t="str">
        <f aca="false">BK71</f>
        <v/>
      </c>
      <c r="DW71" s="28" t="str">
        <f aca="false">BO71</f>
        <v/>
      </c>
      <c r="DX71" s="28" t="str">
        <f aca="false">BS71</f>
        <v/>
      </c>
      <c r="DY71" s="28" t="n">
        <f aca="false">IF(ISNUMBER(S71),1,"")</f>
        <v>1</v>
      </c>
      <c r="DZ71" s="28" t="n">
        <f aca="false">IF(ISNUMBER(W71),2,"")</f>
        <v>2</v>
      </c>
      <c r="EA71" s="28" t="n">
        <f aca="false">IF(ISNUMBER(AA71),3,"")</f>
        <v>3</v>
      </c>
      <c r="EB71" s="28" t="n">
        <f aca="false">IF(ISNUMBER(AE71),4,"")</f>
        <v>4</v>
      </c>
      <c r="EC71" s="28" t="n">
        <f aca="false">IF(ISNUMBER(AI71),5,"")</f>
        <v>5</v>
      </c>
      <c r="ED71" s="28" t="str">
        <f aca="false">IF(ISNUMBER(AM71),6,"")</f>
        <v/>
      </c>
      <c r="EE71" s="28" t="str">
        <f aca="false">IF(ISNUMBER(AQ71),7,"")</f>
        <v/>
      </c>
      <c r="EF71" s="28" t="str">
        <f aca="false">IF(ISNUMBER(AU71),8,"")</f>
        <v/>
      </c>
      <c r="EG71" s="28" t="str">
        <f aca="false">IF(ISNUMBER(AY71),9,"")</f>
        <v/>
      </c>
      <c r="EH71" s="28" t="str">
        <f aca="false">IF(ISNUMBER(BC71),10,"")</f>
        <v/>
      </c>
      <c r="EI71" s="28" t="str">
        <f aca="false">IF(ISNUMBER(BG71),11,"")</f>
        <v/>
      </c>
      <c r="EJ71" s="28" t="str">
        <f aca="false">IF(ISNUMBER(BK71),12,"")</f>
        <v/>
      </c>
      <c r="EK71" s="28" t="str">
        <f aca="false">IF(ISNUMBER(BO71),13,"")</f>
        <v/>
      </c>
      <c r="EL71" s="28" t="str">
        <f aca="false">IF(ISNUMBER(BS71),14,"")</f>
        <v/>
      </c>
      <c r="EM71" s="28" t="n">
        <f aca="false">IF(ISNUMBER(R71),R71*CW71,0)</f>
        <v>40</v>
      </c>
      <c r="EN71" s="28" t="n">
        <f aca="false">IF(ISNUMBER(V71),V71*CX71,0)</f>
        <v>87.5</v>
      </c>
      <c r="EO71" s="28" t="n">
        <f aca="false">IF(ISNUMBER(Z71),Z71*CY71,0)</f>
        <v>52</v>
      </c>
      <c r="EP71" s="28" t="n">
        <f aca="false">IF(ISNUMBER(AD71),AD71*CZ71,0)</f>
        <v>54.2857142857143</v>
      </c>
      <c r="EQ71" s="28" t="n">
        <f aca="false">IF(ISNUMBER(AH71),AH71*DA71,0)</f>
        <v>141.818181818182</v>
      </c>
      <c r="ER71" s="28" t="n">
        <f aca="false">IF(ISNUMBER(AL71),AL71*DB71,0)</f>
        <v>0</v>
      </c>
      <c r="ES71" s="28" t="n">
        <f aca="false">IF(ISNUMBER(AP71),AP71*DC71,0)</f>
        <v>0</v>
      </c>
      <c r="ET71" s="28" t="n">
        <f aca="false">IF(ISNUMBER(AT71),AT71*DD71,0)</f>
        <v>0</v>
      </c>
      <c r="EU71" s="28" t="n">
        <f aca="false">IF(ISNUMBER(AX71),AX71*DE71,0)</f>
        <v>0</v>
      </c>
      <c r="EV71" s="28" t="n">
        <f aca="false">IF(ISNUMBER(BB71),BB71*DF71,0)</f>
        <v>0</v>
      </c>
      <c r="EW71" s="28" t="n">
        <f aca="false">IF(ISNUMBER(BF71),BF71*DG71,0)</f>
        <v>0</v>
      </c>
      <c r="EX71" s="28" t="n">
        <f aca="false">IF(ISNUMBER(BJ71),BJ71*DH71,0)</f>
        <v>0</v>
      </c>
      <c r="EY71" s="28" t="n">
        <f aca="false">IF(ISNUMBER(BN71),BN71*DI71,0)</f>
        <v>0</v>
      </c>
      <c r="EZ71" s="28" t="n">
        <f aca="false">IF(ISNUMBER(BR71),BR71*DJ71,0)</f>
        <v>0</v>
      </c>
      <c r="FA71" s="28" t="n">
        <f aca="false">IF(ISNUMBER(R71),CW71,0)</f>
        <v>1</v>
      </c>
      <c r="FB71" s="28" t="n">
        <f aca="false">IF(ISNUMBER(V71),CX71,0)</f>
        <v>1</v>
      </c>
      <c r="FC71" s="28" t="n">
        <f aca="false">IF(ISNUMBER(Z71),CY71,0)</f>
        <v>1</v>
      </c>
      <c r="FD71" s="28" t="n">
        <f aca="false">IF(ISNUMBER(AD71),CZ71,0)</f>
        <v>1</v>
      </c>
      <c r="FE71" s="28" t="n">
        <f aca="false">IF(ISNUMBER(AH71),DA71,0)</f>
        <v>2</v>
      </c>
      <c r="FF71" s="28" t="n">
        <f aca="false">IF(ISNUMBER(AL71),DB71,0)</f>
        <v>0</v>
      </c>
      <c r="FG71" s="28" t="n">
        <f aca="false">IF(ISNUMBER(AP71),DC71,0)</f>
        <v>0</v>
      </c>
      <c r="FH71" s="28" t="n">
        <f aca="false">IF(ISNUMBER(AT71),DD71,0)</f>
        <v>0</v>
      </c>
      <c r="FI71" s="28" t="n">
        <f aca="false">IF(ISNUMBER(AX71),DE71,0)</f>
        <v>0</v>
      </c>
      <c r="FJ71" s="28" t="n">
        <f aca="false">IF(ISNUMBER(BB71),DF71,0)</f>
        <v>0</v>
      </c>
      <c r="FK71" s="28" t="n">
        <f aca="false">IF(ISNUMBER(BF71),DG71,0)</f>
        <v>0</v>
      </c>
      <c r="FL71" s="28" t="n">
        <f aca="false">IF(ISNUMBER(BJ71),DH71,0)</f>
        <v>0</v>
      </c>
      <c r="FM71" s="28" t="n">
        <f aca="false">IF(ISNUMBER(BN71),DI71,0)</f>
        <v>0</v>
      </c>
      <c r="FN71" s="28" t="n">
        <f aca="false">IF(ISNUMBER(BR71),DJ71,0)</f>
        <v>0</v>
      </c>
      <c r="FO71" s="28" t="str">
        <f aca="false">IFERROR(INDEX(Lists!$G$2:$G$20,MATCH($I71&amp;"|"&amp;$J71,Lists!$F$2:$F$20,0)),"")</f>
        <v>Econ Exam</v>
      </c>
    </row>
    <row r="72" customFormat="false" ht="19.5" hidden="false" customHeight="true" outlineLevel="0" collapsed="false">
      <c r="A72" s="29" t="s">
        <v>274</v>
      </c>
      <c r="B72" s="29" t="s">
        <v>275</v>
      </c>
      <c r="C72" s="30" t="s">
        <v>192</v>
      </c>
      <c r="D72" s="30" t="s">
        <v>271</v>
      </c>
      <c r="E72" s="31" t="n">
        <v>6</v>
      </c>
      <c r="F72" s="30" t="n">
        <v>6</v>
      </c>
      <c r="G72" s="30"/>
      <c r="H72" s="32" t="s">
        <v>23</v>
      </c>
      <c r="I72" s="33" t="s">
        <v>229</v>
      </c>
      <c r="J72" s="32" t="s">
        <v>25</v>
      </c>
      <c r="K72" s="34" t="n">
        <f aca="false">IF(OR(M72="",$E72=""),"",M72-$E72)</f>
        <v>1</v>
      </c>
      <c r="L72" s="35" t="n">
        <f aca="false">IF(SUM(FA72:FN72)=0,"",SUM(EM72:EZ72)/SUM(FA72:FN72))</f>
        <v>82.9632034632035</v>
      </c>
      <c r="M72" s="36" t="n">
        <f aca="false">IF(OR(L72="",FO72=""),"",IFERROR(MATCH(L72,INDEX(Boundaries!$B$2:$I$30,MATCH(FO72,Boundaries!$A$2:$A$30,0),0),1)-1,""))</f>
        <v>7</v>
      </c>
      <c r="N72" s="37" t="n">
        <f aca="false">IF(COUNT($DY72:$EL72)&lt;2,"",INDEX($DK72:$DX72,MAX($DY72:$EL72))-INDEX($DK72:$DX72,MIN($DY72:$EL72)))</f>
        <v>0</v>
      </c>
      <c r="O72" s="37" t="n">
        <f aca="false">IF(COUNT($DY72:$EL72)&lt;2,"",INDEX($DK72:$DX72,MAX($DY72:$EL72))-INDEX($DK72:$DX72,LARGE($DY72:$EL72,2)))</f>
        <v>1</v>
      </c>
      <c r="P72" s="38" t="str">
        <f aca="false">IF(K72="","",IF(K72&gt;=0,"On/above target",IF(AND(N72&lt;&gt;"",N72&gt;=0.5),"Improving towards target",IF(AND(O72&lt;&gt;"",O72&lt;=-0.5),"Declining","Stable below target"))))</f>
        <v>On/above target</v>
      </c>
      <c r="Q72" s="39" t="n">
        <v>28</v>
      </c>
      <c r="R72" s="40" t="n">
        <f aca="false">IF(OR(Q72="",BU72=""),"",Q72/BU72*100)</f>
        <v>93.3333333333333</v>
      </c>
      <c r="S72" s="41" t="n">
        <f aca="false">IF(R72="","",IFERROR(MATCH(R72,INDEX(Boundaries!$B$2:$I$30,MATCH(CI72,Boundaries!$A$2:$A$30,0),0),1)-1,""))</f>
        <v>7</v>
      </c>
      <c r="T72" s="42" t="n">
        <f aca="false">IF(OR(S72="",$E72=""),"",S72-$E72)</f>
        <v>1</v>
      </c>
      <c r="U72" s="39" t="n">
        <v>22</v>
      </c>
      <c r="V72" s="40" t="n">
        <f aca="false">IF(OR(U72="",BV72=""),"",U72/BV72*100)</f>
        <v>91.6666666666667</v>
      </c>
      <c r="W72" s="41" t="n">
        <f aca="false">IF(V72="","",IFERROR(MATCH(V72,INDEX(Boundaries!$B$2:$I$30,MATCH(CJ72,Boundaries!$A$2:$A$30,0),0),1)-1,""))</f>
        <v>7</v>
      </c>
      <c r="X72" s="42" t="n">
        <f aca="false">IF(OR(W72="",$E72=""),"",W72-$E72)</f>
        <v>1</v>
      </c>
      <c r="Y72" s="39" t="n">
        <v>18</v>
      </c>
      <c r="Z72" s="40" t="n">
        <f aca="false">IF(OR(Y72="",BW72=""),"",Y72/BW72*100)</f>
        <v>72</v>
      </c>
      <c r="AA72" s="41" t="n">
        <f aca="false">IF(Z72="","",IFERROR(MATCH(Z72,INDEX(Boundaries!$B$2:$I$30,MATCH(CK72,Boundaries!$A$2:$A$30,0),0),1)-1,""))</f>
        <v>5</v>
      </c>
      <c r="AB72" s="42" t="n">
        <f aca="false">IF(OR(AA72="",$E72=""),"",AA72-$E72)</f>
        <v>-1</v>
      </c>
      <c r="AC72" s="39" t="n">
        <v>27</v>
      </c>
      <c r="AD72" s="40" t="n">
        <f aca="false">IF(OR(AC72="",BX72=""),"",AC72/BX72*100)</f>
        <v>77.1428571428572</v>
      </c>
      <c r="AE72" s="41" t="n">
        <f aca="false">IF(AD72="","",IFERROR(MATCH(AD72,INDEX(Boundaries!$B$2:$I$30,MATCH(CL72,Boundaries!$A$2:$A$30,0),0),1)-1,""))</f>
        <v>6</v>
      </c>
      <c r="AF72" s="42" t="n">
        <f aca="false">IF(OR(AE72="",$E72=""),"",AE72-$E72)</f>
        <v>0</v>
      </c>
      <c r="AG72" s="39" t="n">
        <v>45</v>
      </c>
      <c r="AH72" s="40" t="n">
        <f aca="false">IF(OR(AG72="",BY72=""),"",AG72/BY72*100)</f>
        <v>81.8181818181818</v>
      </c>
      <c r="AI72" s="41" t="n">
        <f aca="false">IF(AH72="","",IFERROR(MATCH(AH72,INDEX(Boundaries!$B$2:$I$30,MATCH(CM72,Boundaries!$A$2:$A$30,0),0),1)-1,""))</f>
        <v>7</v>
      </c>
      <c r="AJ72" s="42" t="n">
        <f aca="false">IF(OR(AI72="",$E72=""),"",AI72-$E72)</f>
        <v>1</v>
      </c>
      <c r="AK72" s="39"/>
      <c r="AL72" s="40" t="str">
        <f aca="false">IF(OR(AK72="",BZ72=""),"",AK72/BZ72*100)</f>
        <v/>
      </c>
      <c r="AM72" s="41" t="str">
        <f aca="false">IF(AL72="","",IFERROR(MATCH(AL72,INDEX(Boundaries!$B$2:$I$30,MATCH(CN72,Boundaries!$A$2:$A$30,0),0),1)-1,""))</f>
        <v/>
      </c>
      <c r="AN72" s="42" t="str">
        <f aca="false">IF(OR(AM72="",$E72=""),"",AM72-$E72)</f>
        <v/>
      </c>
      <c r="AO72" s="39"/>
      <c r="AP72" s="40" t="str">
        <f aca="false">IF(OR(AO72="",CA72=""),"",AO72/CA72*100)</f>
        <v/>
      </c>
      <c r="AQ72" s="41" t="str">
        <f aca="false">IF(AP72="","",IFERROR(MATCH(AP72,INDEX(Boundaries!$B$2:$I$30,MATCH(CO72,Boundaries!$A$2:$A$30,0),0),1)-1,""))</f>
        <v/>
      </c>
      <c r="AR72" s="42" t="str">
        <f aca="false">IF(OR(AQ72="",$E72=""),"",AQ72-$E72)</f>
        <v/>
      </c>
      <c r="AS72" s="39"/>
      <c r="AT72" s="40" t="str">
        <f aca="false">IF(OR(AS72="",CB72=""),"",AS72/CB72*100)</f>
        <v/>
      </c>
      <c r="AU72" s="41" t="str">
        <f aca="false">IF(AT72="","",IFERROR(MATCH(AT72,INDEX(Boundaries!$B$2:$I$30,MATCH(CP72,Boundaries!$A$2:$A$30,0),0),1)-1,""))</f>
        <v/>
      </c>
      <c r="AV72" s="42" t="str">
        <f aca="false">IF(OR(AU72="",$E72=""),"",AU72-$E72)</f>
        <v/>
      </c>
      <c r="AW72" s="39"/>
      <c r="AX72" s="40" t="str">
        <f aca="false">IF(OR(AW72="",CC72=""),"",AW72/CC72*100)</f>
        <v/>
      </c>
      <c r="AY72" s="41" t="str">
        <f aca="false">IF(AX72="","",IFERROR(MATCH(AX72,INDEX(Boundaries!$B$2:$I$30,MATCH(CQ72,Boundaries!$A$2:$A$30,0),0),1)-1,""))</f>
        <v/>
      </c>
      <c r="AZ72" s="42" t="str">
        <f aca="false">IF(OR(AY72="",$E72=""),"",AY72-$E72)</f>
        <v/>
      </c>
      <c r="BA72" s="39"/>
      <c r="BB72" s="40" t="str">
        <f aca="false">IF(OR(BA72="",CD72=""),"",BA72/CD72*100)</f>
        <v/>
      </c>
      <c r="BC72" s="41" t="str">
        <f aca="false">IF(BB72="","",IFERROR(MATCH(BB72,INDEX(Boundaries!$B$2:$I$30,MATCH(CR72,Boundaries!$A$2:$A$30,0),0),1)-1,""))</f>
        <v/>
      </c>
      <c r="BD72" s="42" t="str">
        <f aca="false">IF(OR(BC72="",$E72=""),"",BC72-$E72)</f>
        <v/>
      </c>
      <c r="BE72" s="39"/>
      <c r="BF72" s="40" t="str">
        <f aca="false">IF(OR(BE72="",CE72=""),"",BE72/CE72*100)</f>
        <v/>
      </c>
      <c r="BG72" s="41" t="str">
        <f aca="false">IF(BF72="","",IFERROR(MATCH(BF72,INDEX(Boundaries!$B$2:$I$30,MATCH(CS72,Boundaries!$A$2:$A$30,0),0),1)-1,""))</f>
        <v/>
      </c>
      <c r="BH72" s="42" t="str">
        <f aca="false">IF(OR(BG72="",$E72=""),"",BG72-$E72)</f>
        <v/>
      </c>
      <c r="BI72" s="39"/>
      <c r="BJ72" s="40" t="str">
        <f aca="false">IF(OR(BI72="",CF72=""),"",BI72/CF72*100)</f>
        <v/>
      </c>
      <c r="BK72" s="41" t="str">
        <f aca="false">IF(BJ72="","",IFERROR(MATCH(BJ72,INDEX(Boundaries!$B$2:$I$30,MATCH(CT72,Boundaries!$A$2:$A$30,0),0),1)-1,""))</f>
        <v/>
      </c>
      <c r="BL72" s="42" t="str">
        <f aca="false">IF(OR(BK72="",$E72=""),"",BK72-$E72)</f>
        <v/>
      </c>
      <c r="BM72" s="39"/>
      <c r="BN72" s="40" t="str">
        <f aca="false">IF(OR(BM72="",CG72=""),"",BM72/CG72*100)</f>
        <v/>
      </c>
      <c r="BO72" s="41" t="str">
        <f aca="false">IF(BN72="","",IFERROR(MATCH(BN72,INDEX(Boundaries!$B$2:$I$30,MATCH(CU72,Boundaries!$A$2:$A$30,0),0),1)-1,""))</f>
        <v/>
      </c>
      <c r="BP72" s="42" t="str">
        <f aca="false">IF(OR(BO72="",$E72=""),"",BO72-$E72)</f>
        <v/>
      </c>
      <c r="BQ72" s="39"/>
      <c r="BR72" s="40" t="str">
        <f aca="false">IF(OR(BQ72="",CH72=""),"",BQ72/CH72*100)</f>
        <v/>
      </c>
      <c r="BS72" s="41" t="str">
        <f aca="false">IF(BR72="","",IFERROR(MATCH(BR72,INDEX(Boundaries!$B$2:$I$30,MATCH(CV72,Boundaries!$A$2:$A$30,0),0),1)-1,""))</f>
        <v/>
      </c>
      <c r="BT72" s="42" t="str">
        <f aca="false">IF(OR(BS72="",$E72=""),"",BS72-$E72)</f>
        <v/>
      </c>
      <c r="BU72" s="28" t="n">
        <f aca="false">IFERROR(INDEX(Assessments!$H$2:$H$600,MATCH($H72&amp;"|"&amp;$I72&amp;"|"&amp;$J72&amp;"|"&amp;1,Assessments!$A$2:$A$600,0)),"")</f>
        <v>30</v>
      </c>
      <c r="BV72" s="28" t="n">
        <f aca="false">IFERROR(INDEX(Assessments!$H$2:$H$600,MATCH($H72&amp;"|"&amp;$I72&amp;"|"&amp;$J72&amp;"|"&amp;2,Assessments!$A$2:$A$600,0)),"")</f>
        <v>24</v>
      </c>
      <c r="BW72" s="28" t="n">
        <f aca="false">IFERROR(INDEX(Assessments!$H$2:$H$600,MATCH($H72&amp;"|"&amp;$I72&amp;"|"&amp;$J72&amp;"|"&amp;3,Assessments!$A$2:$A$600,0)),"")</f>
        <v>25</v>
      </c>
      <c r="BX72" s="28" t="n">
        <f aca="false">IFERROR(INDEX(Assessments!$H$2:$H$600,MATCH($H72&amp;"|"&amp;$I72&amp;"|"&amp;$J72&amp;"|"&amp;4,Assessments!$A$2:$A$600,0)),"")</f>
        <v>35</v>
      </c>
      <c r="BY72" s="28" t="n">
        <f aca="false">IFERROR(INDEX(Assessments!$H$2:$H$600,MATCH($H72&amp;"|"&amp;$I72&amp;"|"&amp;$J72&amp;"|"&amp;5,Assessments!$A$2:$A$600,0)),"")</f>
        <v>55</v>
      </c>
      <c r="BZ72" s="28" t="n">
        <f aca="false">IFERROR(INDEX(Assessments!$H$2:$H$600,MATCH($H72&amp;"|"&amp;$I72&amp;"|"&amp;$J72&amp;"|"&amp;6,Assessments!$A$2:$A$600,0)),"")</f>
        <v>30</v>
      </c>
      <c r="CA72" s="28" t="n">
        <f aca="false">IFERROR(INDEX(Assessments!$H$2:$H$600,MATCH($H72&amp;"|"&amp;$I72&amp;"|"&amp;$J72&amp;"|"&amp;7,Assessments!$A$2:$A$600,0)),"")</f>
        <v>95</v>
      </c>
      <c r="CB72" s="28" t="str">
        <f aca="false">IFERROR(INDEX(Assessments!$H$2:$H$600,MATCH($H72&amp;"|"&amp;$I72&amp;"|"&amp;$J72&amp;"|"&amp;8,Assessments!$A$2:$A$600,0)),"")</f>
        <v/>
      </c>
      <c r="CC72" s="28" t="str">
        <f aca="false">IFERROR(INDEX(Assessments!$H$2:$H$600,MATCH($H72&amp;"|"&amp;$I72&amp;"|"&amp;$J72&amp;"|"&amp;9,Assessments!$A$2:$A$600,0)),"")</f>
        <v/>
      </c>
      <c r="CD72" s="28" t="str">
        <f aca="false">IFERROR(INDEX(Assessments!$H$2:$H$600,MATCH($H72&amp;"|"&amp;$I72&amp;"|"&amp;$J72&amp;"|"&amp;10,Assessments!$A$2:$A$600,0)),"")</f>
        <v/>
      </c>
      <c r="CE72" s="28" t="str">
        <f aca="false">IFERROR(INDEX(Assessments!$H$2:$H$600,MATCH($H72&amp;"|"&amp;$I72&amp;"|"&amp;$J72&amp;"|"&amp;11,Assessments!$A$2:$A$600,0)),"")</f>
        <v/>
      </c>
      <c r="CF72" s="28" t="str">
        <f aca="false">IFERROR(INDEX(Assessments!$H$2:$H$600,MATCH($H72&amp;"|"&amp;$I72&amp;"|"&amp;$J72&amp;"|"&amp;12,Assessments!$A$2:$A$600,0)),"")</f>
        <v/>
      </c>
      <c r="CG72" s="28" t="str">
        <f aca="false">IFERROR(INDEX(Assessments!$H$2:$H$600,MATCH($H72&amp;"|"&amp;$I72&amp;"|"&amp;$J72&amp;"|"&amp;13,Assessments!$A$2:$A$600,0)),"")</f>
        <v/>
      </c>
      <c r="CH72" s="28" t="str">
        <f aca="false">IFERROR(INDEX(Assessments!$H$2:$H$600,MATCH($H72&amp;"|"&amp;$I72&amp;"|"&amp;$J72&amp;"|"&amp;14,Assessments!$A$2:$A$600,0)),"")</f>
        <v/>
      </c>
      <c r="CI72" s="28" t="str">
        <f aca="false">IFERROR(INDEX(Assessments!$I$2:$I$600,MATCH($H72&amp;"|"&amp;$I72&amp;"|"&amp;$J72&amp;"|"&amp;1,Assessments!$A$2:$A$600,0)),"")</f>
        <v>Econ Test</v>
      </c>
      <c r="CJ72" s="28" t="str">
        <f aca="false">IFERROR(INDEX(Assessments!$I$2:$I$600,MATCH($H72&amp;"|"&amp;$I72&amp;"|"&amp;$J72&amp;"|"&amp;2,Assessments!$A$2:$A$600,0)),"")</f>
        <v>Econ Test</v>
      </c>
      <c r="CK72" s="28" t="str">
        <f aca="false">IFERROR(INDEX(Assessments!$I$2:$I$600,MATCH($H72&amp;"|"&amp;$I72&amp;"|"&amp;$J72&amp;"|"&amp;3,Assessments!$A$2:$A$600,0)),"")</f>
        <v>Econ Test</v>
      </c>
      <c r="CL72" s="28" t="str">
        <f aca="false">IFERROR(INDEX(Assessments!$I$2:$I$600,MATCH($H72&amp;"|"&amp;$I72&amp;"|"&amp;$J72&amp;"|"&amp;4,Assessments!$A$2:$A$600,0)),"")</f>
        <v>Econ Test</v>
      </c>
      <c r="CM72" s="28" t="str">
        <f aca="false">IFERROR(INDEX(Assessments!$I$2:$I$600,MATCH($H72&amp;"|"&amp;$I72&amp;"|"&amp;$J72&amp;"|"&amp;5,Assessments!$A$2:$A$600,0)),"")</f>
        <v>Econ Exam</v>
      </c>
      <c r="CN72" s="28" t="str">
        <f aca="false">IFERROR(INDEX(Assessments!$I$2:$I$600,MATCH($H72&amp;"|"&amp;$I72&amp;"|"&amp;$J72&amp;"|"&amp;6,Assessments!$A$2:$A$600,0)),"")</f>
        <v>Econ Test</v>
      </c>
      <c r="CO72" s="28" t="str">
        <f aca="false">IFERROR(INDEX(Assessments!$I$2:$I$600,MATCH($H72&amp;"|"&amp;$I72&amp;"|"&amp;$J72&amp;"|"&amp;7,Assessments!$A$2:$A$600,0)),"")</f>
        <v>Econ Exam</v>
      </c>
      <c r="CP72" s="28" t="str">
        <f aca="false">IFERROR(INDEX(Assessments!$I$2:$I$600,MATCH($H72&amp;"|"&amp;$I72&amp;"|"&amp;$J72&amp;"|"&amp;8,Assessments!$A$2:$A$600,0)),"")</f>
        <v/>
      </c>
      <c r="CQ72" s="28" t="str">
        <f aca="false">IFERROR(INDEX(Assessments!$I$2:$I$600,MATCH($H72&amp;"|"&amp;$I72&amp;"|"&amp;$J72&amp;"|"&amp;9,Assessments!$A$2:$A$600,0)),"")</f>
        <v/>
      </c>
      <c r="CR72" s="28" t="str">
        <f aca="false">IFERROR(INDEX(Assessments!$I$2:$I$600,MATCH($H72&amp;"|"&amp;$I72&amp;"|"&amp;$J72&amp;"|"&amp;10,Assessments!$A$2:$A$600,0)),"")</f>
        <v/>
      </c>
      <c r="CS72" s="28" t="str">
        <f aca="false">IFERROR(INDEX(Assessments!$I$2:$I$600,MATCH($H72&amp;"|"&amp;$I72&amp;"|"&amp;$J72&amp;"|"&amp;11,Assessments!$A$2:$A$600,0)),"")</f>
        <v/>
      </c>
      <c r="CT72" s="28" t="str">
        <f aca="false">IFERROR(INDEX(Assessments!$I$2:$I$600,MATCH($H72&amp;"|"&amp;$I72&amp;"|"&amp;$J72&amp;"|"&amp;12,Assessments!$A$2:$A$600,0)),"")</f>
        <v/>
      </c>
      <c r="CU72" s="28" t="str">
        <f aca="false">IFERROR(INDEX(Assessments!$I$2:$I$600,MATCH($H72&amp;"|"&amp;$I72&amp;"|"&amp;$J72&amp;"|"&amp;13,Assessments!$A$2:$A$600,0)),"")</f>
        <v/>
      </c>
      <c r="CV72" s="28" t="str">
        <f aca="false">IFERROR(INDEX(Assessments!$I$2:$I$600,MATCH($H72&amp;"|"&amp;$I72&amp;"|"&amp;$J72&amp;"|"&amp;14,Assessments!$A$2:$A$600,0)),"")</f>
        <v/>
      </c>
      <c r="CW72" s="28" t="n">
        <f aca="false">IFERROR(INDEX(Assessments!$J$2:$J$600,MATCH($H72&amp;"|"&amp;$I72&amp;"|"&amp;$J72&amp;"|"&amp;1,Assessments!$A$2:$A$600,0)),0)</f>
        <v>1</v>
      </c>
      <c r="CX72" s="28" t="n">
        <f aca="false">IFERROR(INDEX(Assessments!$J$2:$J$600,MATCH($H72&amp;"|"&amp;$I72&amp;"|"&amp;$J72&amp;"|"&amp;2,Assessments!$A$2:$A$600,0)),0)</f>
        <v>1</v>
      </c>
      <c r="CY72" s="28" t="n">
        <f aca="false">IFERROR(INDEX(Assessments!$J$2:$J$600,MATCH($H72&amp;"|"&amp;$I72&amp;"|"&amp;$J72&amp;"|"&amp;3,Assessments!$A$2:$A$600,0)),0)</f>
        <v>1</v>
      </c>
      <c r="CZ72" s="28" t="n">
        <f aca="false">IFERROR(INDEX(Assessments!$J$2:$J$600,MATCH($H72&amp;"|"&amp;$I72&amp;"|"&amp;$J72&amp;"|"&amp;4,Assessments!$A$2:$A$600,0)),0)</f>
        <v>1</v>
      </c>
      <c r="DA72" s="28" t="n">
        <f aca="false">IFERROR(INDEX(Assessments!$J$2:$J$600,MATCH($H72&amp;"|"&amp;$I72&amp;"|"&amp;$J72&amp;"|"&amp;5,Assessments!$A$2:$A$600,0)),0)</f>
        <v>2</v>
      </c>
      <c r="DB72" s="28" t="n">
        <f aca="false">IFERROR(INDEX(Assessments!$J$2:$J$600,MATCH($H72&amp;"|"&amp;$I72&amp;"|"&amp;$J72&amp;"|"&amp;6,Assessments!$A$2:$A$600,0)),0)</f>
        <v>1</v>
      </c>
      <c r="DC72" s="28" t="n">
        <f aca="false">IFERROR(INDEX(Assessments!$J$2:$J$600,MATCH($H72&amp;"|"&amp;$I72&amp;"|"&amp;$J72&amp;"|"&amp;7,Assessments!$A$2:$A$600,0)),0)</f>
        <v>2</v>
      </c>
      <c r="DD72" s="28" t="n">
        <f aca="false">IFERROR(INDEX(Assessments!$J$2:$J$600,MATCH($H72&amp;"|"&amp;$I72&amp;"|"&amp;$J72&amp;"|"&amp;8,Assessments!$A$2:$A$600,0)),0)</f>
        <v>0</v>
      </c>
      <c r="DE72" s="28" t="n">
        <f aca="false">IFERROR(INDEX(Assessments!$J$2:$J$600,MATCH($H72&amp;"|"&amp;$I72&amp;"|"&amp;$J72&amp;"|"&amp;9,Assessments!$A$2:$A$600,0)),0)</f>
        <v>0</v>
      </c>
      <c r="DF72" s="28" t="n">
        <f aca="false">IFERROR(INDEX(Assessments!$J$2:$J$600,MATCH($H72&amp;"|"&amp;$I72&amp;"|"&amp;$J72&amp;"|"&amp;10,Assessments!$A$2:$A$600,0)),0)</f>
        <v>0</v>
      </c>
      <c r="DG72" s="28" t="n">
        <f aca="false">IFERROR(INDEX(Assessments!$J$2:$J$600,MATCH($H72&amp;"|"&amp;$I72&amp;"|"&amp;$J72&amp;"|"&amp;11,Assessments!$A$2:$A$600,0)),0)</f>
        <v>0</v>
      </c>
      <c r="DH72" s="28" t="n">
        <f aca="false">IFERROR(INDEX(Assessments!$J$2:$J$600,MATCH($H72&amp;"|"&amp;$I72&amp;"|"&amp;$J72&amp;"|"&amp;12,Assessments!$A$2:$A$600,0)),0)</f>
        <v>0</v>
      </c>
      <c r="DI72" s="28" t="n">
        <f aca="false">IFERROR(INDEX(Assessments!$J$2:$J$600,MATCH($H72&amp;"|"&amp;$I72&amp;"|"&amp;$J72&amp;"|"&amp;13,Assessments!$A$2:$A$600,0)),0)</f>
        <v>0</v>
      </c>
      <c r="DJ72" s="28" t="n">
        <f aca="false">IFERROR(INDEX(Assessments!$J$2:$J$600,MATCH($H72&amp;"|"&amp;$I72&amp;"|"&amp;$J72&amp;"|"&amp;14,Assessments!$A$2:$A$600,0)),0)</f>
        <v>0</v>
      </c>
      <c r="DK72" s="28" t="n">
        <f aca="false">S72</f>
        <v>7</v>
      </c>
      <c r="DL72" s="28" t="n">
        <f aca="false">W72</f>
        <v>7</v>
      </c>
      <c r="DM72" s="28" t="n">
        <f aca="false">AA72</f>
        <v>5</v>
      </c>
      <c r="DN72" s="28" t="n">
        <f aca="false">AE72</f>
        <v>6</v>
      </c>
      <c r="DO72" s="28" t="n">
        <f aca="false">AI72</f>
        <v>7</v>
      </c>
      <c r="DP72" s="28" t="str">
        <f aca="false">AM72</f>
        <v/>
      </c>
      <c r="DQ72" s="28" t="str">
        <f aca="false">AQ72</f>
        <v/>
      </c>
      <c r="DR72" s="28" t="str">
        <f aca="false">AU72</f>
        <v/>
      </c>
      <c r="DS72" s="28" t="str">
        <f aca="false">AY72</f>
        <v/>
      </c>
      <c r="DT72" s="28" t="str">
        <f aca="false">BC72</f>
        <v/>
      </c>
      <c r="DU72" s="28" t="str">
        <f aca="false">BG72</f>
        <v/>
      </c>
      <c r="DV72" s="28" t="str">
        <f aca="false">BK72</f>
        <v/>
      </c>
      <c r="DW72" s="28" t="str">
        <f aca="false">BO72</f>
        <v/>
      </c>
      <c r="DX72" s="28" t="str">
        <f aca="false">BS72</f>
        <v/>
      </c>
      <c r="DY72" s="28" t="n">
        <f aca="false">IF(ISNUMBER(S72),1,"")</f>
        <v>1</v>
      </c>
      <c r="DZ72" s="28" t="n">
        <f aca="false">IF(ISNUMBER(W72),2,"")</f>
        <v>2</v>
      </c>
      <c r="EA72" s="28" t="n">
        <f aca="false">IF(ISNUMBER(AA72),3,"")</f>
        <v>3</v>
      </c>
      <c r="EB72" s="28" t="n">
        <f aca="false">IF(ISNUMBER(AE72),4,"")</f>
        <v>4</v>
      </c>
      <c r="EC72" s="28" t="n">
        <f aca="false">IF(ISNUMBER(AI72),5,"")</f>
        <v>5</v>
      </c>
      <c r="ED72" s="28" t="str">
        <f aca="false">IF(ISNUMBER(AM72),6,"")</f>
        <v/>
      </c>
      <c r="EE72" s="28" t="str">
        <f aca="false">IF(ISNUMBER(AQ72),7,"")</f>
        <v/>
      </c>
      <c r="EF72" s="28" t="str">
        <f aca="false">IF(ISNUMBER(AU72),8,"")</f>
        <v/>
      </c>
      <c r="EG72" s="28" t="str">
        <f aca="false">IF(ISNUMBER(AY72),9,"")</f>
        <v/>
      </c>
      <c r="EH72" s="28" t="str">
        <f aca="false">IF(ISNUMBER(BC72),10,"")</f>
        <v/>
      </c>
      <c r="EI72" s="28" t="str">
        <f aca="false">IF(ISNUMBER(BG72),11,"")</f>
        <v/>
      </c>
      <c r="EJ72" s="28" t="str">
        <f aca="false">IF(ISNUMBER(BK72),12,"")</f>
        <v/>
      </c>
      <c r="EK72" s="28" t="str">
        <f aca="false">IF(ISNUMBER(BO72),13,"")</f>
        <v/>
      </c>
      <c r="EL72" s="28" t="str">
        <f aca="false">IF(ISNUMBER(BS72),14,"")</f>
        <v/>
      </c>
      <c r="EM72" s="28" t="n">
        <f aca="false">IF(ISNUMBER(R72),R72*CW72,0)</f>
        <v>93.3333333333333</v>
      </c>
      <c r="EN72" s="28" t="n">
        <f aca="false">IF(ISNUMBER(V72),V72*CX72,0)</f>
        <v>91.6666666666667</v>
      </c>
      <c r="EO72" s="28" t="n">
        <f aca="false">IF(ISNUMBER(Z72),Z72*CY72,0)</f>
        <v>72</v>
      </c>
      <c r="EP72" s="28" t="n">
        <f aca="false">IF(ISNUMBER(AD72),AD72*CZ72,0)</f>
        <v>77.1428571428572</v>
      </c>
      <c r="EQ72" s="28" t="n">
        <f aca="false">IF(ISNUMBER(AH72),AH72*DA72,0)</f>
        <v>163.636363636364</v>
      </c>
      <c r="ER72" s="28" t="n">
        <f aca="false">IF(ISNUMBER(AL72),AL72*DB72,0)</f>
        <v>0</v>
      </c>
      <c r="ES72" s="28" t="n">
        <f aca="false">IF(ISNUMBER(AP72),AP72*DC72,0)</f>
        <v>0</v>
      </c>
      <c r="ET72" s="28" t="n">
        <f aca="false">IF(ISNUMBER(AT72),AT72*DD72,0)</f>
        <v>0</v>
      </c>
      <c r="EU72" s="28" t="n">
        <f aca="false">IF(ISNUMBER(AX72),AX72*DE72,0)</f>
        <v>0</v>
      </c>
      <c r="EV72" s="28" t="n">
        <f aca="false">IF(ISNUMBER(BB72),BB72*DF72,0)</f>
        <v>0</v>
      </c>
      <c r="EW72" s="28" t="n">
        <f aca="false">IF(ISNUMBER(BF72),BF72*DG72,0)</f>
        <v>0</v>
      </c>
      <c r="EX72" s="28" t="n">
        <f aca="false">IF(ISNUMBER(BJ72),BJ72*DH72,0)</f>
        <v>0</v>
      </c>
      <c r="EY72" s="28" t="n">
        <f aca="false">IF(ISNUMBER(BN72),BN72*DI72,0)</f>
        <v>0</v>
      </c>
      <c r="EZ72" s="28" t="n">
        <f aca="false">IF(ISNUMBER(BR72),BR72*DJ72,0)</f>
        <v>0</v>
      </c>
      <c r="FA72" s="28" t="n">
        <f aca="false">IF(ISNUMBER(R72),CW72,0)</f>
        <v>1</v>
      </c>
      <c r="FB72" s="28" t="n">
        <f aca="false">IF(ISNUMBER(V72),CX72,0)</f>
        <v>1</v>
      </c>
      <c r="FC72" s="28" t="n">
        <f aca="false">IF(ISNUMBER(Z72),CY72,0)</f>
        <v>1</v>
      </c>
      <c r="FD72" s="28" t="n">
        <f aca="false">IF(ISNUMBER(AD72),CZ72,0)</f>
        <v>1</v>
      </c>
      <c r="FE72" s="28" t="n">
        <f aca="false">IF(ISNUMBER(AH72),DA72,0)</f>
        <v>2</v>
      </c>
      <c r="FF72" s="28" t="n">
        <f aca="false">IF(ISNUMBER(AL72),DB72,0)</f>
        <v>0</v>
      </c>
      <c r="FG72" s="28" t="n">
        <f aca="false">IF(ISNUMBER(AP72),DC72,0)</f>
        <v>0</v>
      </c>
      <c r="FH72" s="28" t="n">
        <f aca="false">IF(ISNUMBER(AT72),DD72,0)</f>
        <v>0</v>
      </c>
      <c r="FI72" s="28" t="n">
        <f aca="false">IF(ISNUMBER(AX72),DE72,0)</f>
        <v>0</v>
      </c>
      <c r="FJ72" s="28" t="n">
        <f aca="false">IF(ISNUMBER(BB72),DF72,0)</f>
        <v>0</v>
      </c>
      <c r="FK72" s="28" t="n">
        <f aca="false">IF(ISNUMBER(BF72),DG72,0)</f>
        <v>0</v>
      </c>
      <c r="FL72" s="28" t="n">
        <f aca="false">IF(ISNUMBER(BJ72),DH72,0)</f>
        <v>0</v>
      </c>
      <c r="FM72" s="28" t="n">
        <f aca="false">IF(ISNUMBER(BN72),DI72,0)</f>
        <v>0</v>
      </c>
      <c r="FN72" s="28" t="n">
        <f aca="false">IF(ISNUMBER(BR72),DJ72,0)</f>
        <v>0</v>
      </c>
      <c r="FO72" s="28" t="str">
        <f aca="false">IFERROR(INDEX(Lists!$G$2:$G$20,MATCH($I72&amp;"|"&amp;$J72,Lists!$F$2:$F$20,0)),"")</f>
        <v>Econ Exam</v>
      </c>
    </row>
    <row r="73" customFormat="false" ht="19.5" hidden="false" customHeight="true" outlineLevel="0" collapsed="false">
      <c r="A73" s="29" t="s">
        <v>276</v>
      </c>
      <c r="B73" s="29" t="s">
        <v>225</v>
      </c>
      <c r="C73" s="30" t="s">
        <v>192</v>
      </c>
      <c r="D73" s="30" t="s">
        <v>271</v>
      </c>
      <c r="E73" s="31" t="n">
        <v>6.3</v>
      </c>
      <c r="F73" s="30" t="n">
        <v>7</v>
      </c>
      <c r="G73" s="30"/>
      <c r="H73" s="32" t="s">
        <v>23</v>
      </c>
      <c r="I73" s="33" t="s">
        <v>229</v>
      </c>
      <c r="J73" s="32" t="s">
        <v>25</v>
      </c>
      <c r="K73" s="34" t="n">
        <f aca="false">IF(OR(M73="",$E73=""),"",M73-$E73)</f>
        <v>0.7</v>
      </c>
      <c r="L73" s="35" t="n">
        <f aca="false">IF(SUM(FA73:FN73)=0,"",SUM(EM73:EZ73)/SUM(FA73:FN73))</f>
        <v>90.1861471861472</v>
      </c>
      <c r="M73" s="36" t="n">
        <f aca="false">IF(OR(L73="",FO73=""),"",IFERROR(MATCH(L73,INDEX(Boundaries!$B$2:$I$30,MATCH(FO73,Boundaries!$A$2:$A$30,0),0),1)-1,""))</f>
        <v>7</v>
      </c>
      <c r="N73" s="37" t="n">
        <f aca="false">IF(COUNT($DY73:$EL73)&lt;2,"",INDEX($DK73:$DX73,MAX($DY73:$EL73))-INDEX($DK73:$DX73,MIN($DY73:$EL73)))</f>
        <v>0</v>
      </c>
      <c r="O73" s="37" t="n">
        <f aca="false">IF(COUNT($DY73:$EL73)&lt;2,"",INDEX($DK73:$DX73,MAX($DY73:$EL73))-INDEX($DK73:$DX73,LARGE($DY73:$EL73,2)))</f>
        <v>0</v>
      </c>
      <c r="P73" s="38" t="str">
        <f aca="false">IF(K73="","",IF(K73&gt;=0,"On/above target",IF(AND(N73&lt;&gt;"",N73&gt;=0.5),"Improving towards target",IF(AND(O73&lt;&gt;"",O73&lt;=-0.5),"Declining","Stable below target"))))</f>
        <v>On/above target</v>
      </c>
      <c r="Q73" s="39" t="n">
        <v>27</v>
      </c>
      <c r="R73" s="40" t="n">
        <f aca="false">IF(OR(Q73="",BU73=""),"",Q73/BU73*100)</f>
        <v>90</v>
      </c>
      <c r="S73" s="41" t="n">
        <f aca="false">IF(R73="","",IFERROR(MATCH(R73,INDEX(Boundaries!$B$2:$I$30,MATCH(CI73,Boundaries!$A$2:$A$30,0),0),1)-1,""))</f>
        <v>7</v>
      </c>
      <c r="T73" s="42" t="n">
        <f aca="false">IF(OR(S73="",$E73=""),"",S73-$E73)</f>
        <v>0.7</v>
      </c>
      <c r="U73" s="39" t="n">
        <v>24</v>
      </c>
      <c r="V73" s="40" t="n">
        <f aca="false">IF(OR(U73="",BV73=""),"",U73/BV73*100)</f>
        <v>100</v>
      </c>
      <c r="W73" s="41" t="n">
        <f aca="false">IF(V73="","",IFERROR(MATCH(V73,INDEX(Boundaries!$B$2:$I$30,MATCH(CJ73,Boundaries!$A$2:$A$30,0),0),1)-1,""))</f>
        <v>7</v>
      </c>
      <c r="X73" s="42" t="n">
        <f aca="false">IF(OR(W73="",$E73=""),"",W73-$E73)</f>
        <v>0.7</v>
      </c>
      <c r="Y73" s="39" t="n">
        <v>22</v>
      </c>
      <c r="Z73" s="40" t="n">
        <f aca="false">IF(OR(Y73="",BW73=""),"",Y73/BW73*100)</f>
        <v>88</v>
      </c>
      <c r="AA73" s="41" t="n">
        <f aca="false">IF(Z73="","",IFERROR(MATCH(Z73,INDEX(Boundaries!$B$2:$I$30,MATCH(CK73,Boundaries!$A$2:$A$30,0),0),1)-1,""))</f>
        <v>7</v>
      </c>
      <c r="AB73" s="42" t="n">
        <f aca="false">IF(OR(AA73="",$E73=""),"",AA73-$E73)</f>
        <v>0.7</v>
      </c>
      <c r="AC73" s="39" t="n">
        <v>31</v>
      </c>
      <c r="AD73" s="40" t="n">
        <f aca="false">IF(OR(AC73="",BX73=""),"",AC73/BX73*100)</f>
        <v>88.5714285714286</v>
      </c>
      <c r="AE73" s="41" t="n">
        <f aca="false">IF(AD73="","",IFERROR(MATCH(AD73,INDEX(Boundaries!$B$2:$I$30,MATCH(CL73,Boundaries!$A$2:$A$30,0),0),1)-1,""))</f>
        <v>7</v>
      </c>
      <c r="AF73" s="42" t="n">
        <f aca="false">IF(OR(AE73="",$E73=""),"",AE73-$E73)</f>
        <v>0.7</v>
      </c>
      <c r="AG73" s="39" t="n">
        <v>48</v>
      </c>
      <c r="AH73" s="40" t="n">
        <f aca="false">IF(OR(AG73="",BY73=""),"",AG73/BY73*100)</f>
        <v>87.2727272727273</v>
      </c>
      <c r="AI73" s="41" t="n">
        <f aca="false">IF(AH73="","",IFERROR(MATCH(AH73,INDEX(Boundaries!$B$2:$I$30,MATCH(CM73,Boundaries!$A$2:$A$30,0),0),1)-1,""))</f>
        <v>7</v>
      </c>
      <c r="AJ73" s="42" t="n">
        <f aca="false">IF(OR(AI73="",$E73=""),"",AI73-$E73)</f>
        <v>0.7</v>
      </c>
      <c r="AK73" s="39"/>
      <c r="AL73" s="40" t="str">
        <f aca="false">IF(OR(AK73="",BZ73=""),"",AK73/BZ73*100)</f>
        <v/>
      </c>
      <c r="AM73" s="41" t="str">
        <f aca="false">IF(AL73="","",IFERROR(MATCH(AL73,INDEX(Boundaries!$B$2:$I$30,MATCH(CN73,Boundaries!$A$2:$A$30,0),0),1)-1,""))</f>
        <v/>
      </c>
      <c r="AN73" s="42" t="str">
        <f aca="false">IF(OR(AM73="",$E73=""),"",AM73-$E73)</f>
        <v/>
      </c>
      <c r="AO73" s="39"/>
      <c r="AP73" s="40" t="str">
        <f aca="false">IF(OR(AO73="",CA73=""),"",AO73/CA73*100)</f>
        <v/>
      </c>
      <c r="AQ73" s="41" t="str">
        <f aca="false">IF(AP73="","",IFERROR(MATCH(AP73,INDEX(Boundaries!$B$2:$I$30,MATCH(CO73,Boundaries!$A$2:$A$30,0),0),1)-1,""))</f>
        <v/>
      </c>
      <c r="AR73" s="42" t="str">
        <f aca="false">IF(OR(AQ73="",$E73=""),"",AQ73-$E73)</f>
        <v/>
      </c>
      <c r="AS73" s="39"/>
      <c r="AT73" s="40" t="str">
        <f aca="false">IF(OR(AS73="",CB73=""),"",AS73/CB73*100)</f>
        <v/>
      </c>
      <c r="AU73" s="41" t="str">
        <f aca="false">IF(AT73="","",IFERROR(MATCH(AT73,INDEX(Boundaries!$B$2:$I$30,MATCH(CP73,Boundaries!$A$2:$A$30,0),0),1)-1,""))</f>
        <v/>
      </c>
      <c r="AV73" s="42" t="str">
        <f aca="false">IF(OR(AU73="",$E73=""),"",AU73-$E73)</f>
        <v/>
      </c>
      <c r="AW73" s="39"/>
      <c r="AX73" s="40" t="str">
        <f aca="false">IF(OR(AW73="",CC73=""),"",AW73/CC73*100)</f>
        <v/>
      </c>
      <c r="AY73" s="41" t="str">
        <f aca="false">IF(AX73="","",IFERROR(MATCH(AX73,INDEX(Boundaries!$B$2:$I$30,MATCH(CQ73,Boundaries!$A$2:$A$30,0),0),1)-1,""))</f>
        <v/>
      </c>
      <c r="AZ73" s="42" t="str">
        <f aca="false">IF(OR(AY73="",$E73=""),"",AY73-$E73)</f>
        <v/>
      </c>
      <c r="BA73" s="39"/>
      <c r="BB73" s="40" t="str">
        <f aca="false">IF(OR(BA73="",CD73=""),"",BA73/CD73*100)</f>
        <v/>
      </c>
      <c r="BC73" s="41" t="str">
        <f aca="false">IF(BB73="","",IFERROR(MATCH(BB73,INDEX(Boundaries!$B$2:$I$30,MATCH(CR73,Boundaries!$A$2:$A$30,0),0),1)-1,""))</f>
        <v/>
      </c>
      <c r="BD73" s="42" t="str">
        <f aca="false">IF(OR(BC73="",$E73=""),"",BC73-$E73)</f>
        <v/>
      </c>
      <c r="BE73" s="39"/>
      <c r="BF73" s="40" t="str">
        <f aca="false">IF(OR(BE73="",CE73=""),"",BE73/CE73*100)</f>
        <v/>
      </c>
      <c r="BG73" s="41" t="str">
        <f aca="false">IF(BF73="","",IFERROR(MATCH(BF73,INDEX(Boundaries!$B$2:$I$30,MATCH(CS73,Boundaries!$A$2:$A$30,0),0),1)-1,""))</f>
        <v/>
      </c>
      <c r="BH73" s="42" t="str">
        <f aca="false">IF(OR(BG73="",$E73=""),"",BG73-$E73)</f>
        <v/>
      </c>
      <c r="BI73" s="39"/>
      <c r="BJ73" s="40" t="str">
        <f aca="false">IF(OR(BI73="",CF73=""),"",BI73/CF73*100)</f>
        <v/>
      </c>
      <c r="BK73" s="41" t="str">
        <f aca="false">IF(BJ73="","",IFERROR(MATCH(BJ73,INDEX(Boundaries!$B$2:$I$30,MATCH(CT73,Boundaries!$A$2:$A$30,0),0),1)-1,""))</f>
        <v/>
      </c>
      <c r="BL73" s="42" t="str">
        <f aca="false">IF(OR(BK73="",$E73=""),"",BK73-$E73)</f>
        <v/>
      </c>
      <c r="BM73" s="39"/>
      <c r="BN73" s="40" t="str">
        <f aca="false">IF(OR(BM73="",CG73=""),"",BM73/CG73*100)</f>
        <v/>
      </c>
      <c r="BO73" s="41" t="str">
        <f aca="false">IF(BN73="","",IFERROR(MATCH(BN73,INDEX(Boundaries!$B$2:$I$30,MATCH(CU73,Boundaries!$A$2:$A$30,0),0),1)-1,""))</f>
        <v/>
      </c>
      <c r="BP73" s="42" t="str">
        <f aca="false">IF(OR(BO73="",$E73=""),"",BO73-$E73)</f>
        <v/>
      </c>
      <c r="BQ73" s="39"/>
      <c r="BR73" s="40" t="str">
        <f aca="false">IF(OR(BQ73="",CH73=""),"",BQ73/CH73*100)</f>
        <v/>
      </c>
      <c r="BS73" s="41" t="str">
        <f aca="false">IF(BR73="","",IFERROR(MATCH(BR73,INDEX(Boundaries!$B$2:$I$30,MATCH(CV73,Boundaries!$A$2:$A$30,0),0),1)-1,""))</f>
        <v/>
      </c>
      <c r="BT73" s="42" t="str">
        <f aca="false">IF(OR(BS73="",$E73=""),"",BS73-$E73)</f>
        <v/>
      </c>
      <c r="BU73" s="28" t="n">
        <f aca="false">IFERROR(INDEX(Assessments!$H$2:$H$600,MATCH($H73&amp;"|"&amp;$I73&amp;"|"&amp;$J73&amp;"|"&amp;1,Assessments!$A$2:$A$600,0)),"")</f>
        <v>30</v>
      </c>
      <c r="BV73" s="28" t="n">
        <f aca="false">IFERROR(INDEX(Assessments!$H$2:$H$600,MATCH($H73&amp;"|"&amp;$I73&amp;"|"&amp;$J73&amp;"|"&amp;2,Assessments!$A$2:$A$600,0)),"")</f>
        <v>24</v>
      </c>
      <c r="BW73" s="28" t="n">
        <f aca="false">IFERROR(INDEX(Assessments!$H$2:$H$600,MATCH($H73&amp;"|"&amp;$I73&amp;"|"&amp;$J73&amp;"|"&amp;3,Assessments!$A$2:$A$600,0)),"")</f>
        <v>25</v>
      </c>
      <c r="BX73" s="28" t="n">
        <f aca="false">IFERROR(INDEX(Assessments!$H$2:$H$600,MATCH($H73&amp;"|"&amp;$I73&amp;"|"&amp;$J73&amp;"|"&amp;4,Assessments!$A$2:$A$600,0)),"")</f>
        <v>35</v>
      </c>
      <c r="BY73" s="28" t="n">
        <f aca="false">IFERROR(INDEX(Assessments!$H$2:$H$600,MATCH($H73&amp;"|"&amp;$I73&amp;"|"&amp;$J73&amp;"|"&amp;5,Assessments!$A$2:$A$600,0)),"")</f>
        <v>55</v>
      </c>
      <c r="BZ73" s="28" t="n">
        <f aca="false">IFERROR(INDEX(Assessments!$H$2:$H$600,MATCH($H73&amp;"|"&amp;$I73&amp;"|"&amp;$J73&amp;"|"&amp;6,Assessments!$A$2:$A$600,0)),"")</f>
        <v>30</v>
      </c>
      <c r="CA73" s="28" t="n">
        <f aca="false">IFERROR(INDEX(Assessments!$H$2:$H$600,MATCH($H73&amp;"|"&amp;$I73&amp;"|"&amp;$J73&amp;"|"&amp;7,Assessments!$A$2:$A$600,0)),"")</f>
        <v>95</v>
      </c>
      <c r="CB73" s="28" t="str">
        <f aca="false">IFERROR(INDEX(Assessments!$H$2:$H$600,MATCH($H73&amp;"|"&amp;$I73&amp;"|"&amp;$J73&amp;"|"&amp;8,Assessments!$A$2:$A$600,0)),"")</f>
        <v/>
      </c>
      <c r="CC73" s="28" t="str">
        <f aca="false">IFERROR(INDEX(Assessments!$H$2:$H$600,MATCH($H73&amp;"|"&amp;$I73&amp;"|"&amp;$J73&amp;"|"&amp;9,Assessments!$A$2:$A$600,0)),"")</f>
        <v/>
      </c>
      <c r="CD73" s="28" t="str">
        <f aca="false">IFERROR(INDEX(Assessments!$H$2:$H$600,MATCH($H73&amp;"|"&amp;$I73&amp;"|"&amp;$J73&amp;"|"&amp;10,Assessments!$A$2:$A$600,0)),"")</f>
        <v/>
      </c>
      <c r="CE73" s="28" t="str">
        <f aca="false">IFERROR(INDEX(Assessments!$H$2:$H$600,MATCH($H73&amp;"|"&amp;$I73&amp;"|"&amp;$J73&amp;"|"&amp;11,Assessments!$A$2:$A$600,0)),"")</f>
        <v/>
      </c>
      <c r="CF73" s="28" t="str">
        <f aca="false">IFERROR(INDEX(Assessments!$H$2:$H$600,MATCH($H73&amp;"|"&amp;$I73&amp;"|"&amp;$J73&amp;"|"&amp;12,Assessments!$A$2:$A$600,0)),"")</f>
        <v/>
      </c>
      <c r="CG73" s="28" t="str">
        <f aca="false">IFERROR(INDEX(Assessments!$H$2:$H$600,MATCH($H73&amp;"|"&amp;$I73&amp;"|"&amp;$J73&amp;"|"&amp;13,Assessments!$A$2:$A$600,0)),"")</f>
        <v/>
      </c>
      <c r="CH73" s="28" t="str">
        <f aca="false">IFERROR(INDEX(Assessments!$H$2:$H$600,MATCH($H73&amp;"|"&amp;$I73&amp;"|"&amp;$J73&amp;"|"&amp;14,Assessments!$A$2:$A$600,0)),"")</f>
        <v/>
      </c>
      <c r="CI73" s="28" t="str">
        <f aca="false">IFERROR(INDEX(Assessments!$I$2:$I$600,MATCH($H73&amp;"|"&amp;$I73&amp;"|"&amp;$J73&amp;"|"&amp;1,Assessments!$A$2:$A$600,0)),"")</f>
        <v>Econ Test</v>
      </c>
      <c r="CJ73" s="28" t="str">
        <f aca="false">IFERROR(INDEX(Assessments!$I$2:$I$600,MATCH($H73&amp;"|"&amp;$I73&amp;"|"&amp;$J73&amp;"|"&amp;2,Assessments!$A$2:$A$600,0)),"")</f>
        <v>Econ Test</v>
      </c>
      <c r="CK73" s="28" t="str">
        <f aca="false">IFERROR(INDEX(Assessments!$I$2:$I$600,MATCH($H73&amp;"|"&amp;$I73&amp;"|"&amp;$J73&amp;"|"&amp;3,Assessments!$A$2:$A$600,0)),"")</f>
        <v>Econ Test</v>
      </c>
      <c r="CL73" s="28" t="str">
        <f aca="false">IFERROR(INDEX(Assessments!$I$2:$I$600,MATCH($H73&amp;"|"&amp;$I73&amp;"|"&amp;$J73&amp;"|"&amp;4,Assessments!$A$2:$A$600,0)),"")</f>
        <v>Econ Test</v>
      </c>
      <c r="CM73" s="28" t="str">
        <f aca="false">IFERROR(INDEX(Assessments!$I$2:$I$600,MATCH($H73&amp;"|"&amp;$I73&amp;"|"&amp;$J73&amp;"|"&amp;5,Assessments!$A$2:$A$600,0)),"")</f>
        <v>Econ Exam</v>
      </c>
      <c r="CN73" s="28" t="str">
        <f aca="false">IFERROR(INDEX(Assessments!$I$2:$I$600,MATCH($H73&amp;"|"&amp;$I73&amp;"|"&amp;$J73&amp;"|"&amp;6,Assessments!$A$2:$A$600,0)),"")</f>
        <v>Econ Test</v>
      </c>
      <c r="CO73" s="28" t="str">
        <f aca="false">IFERROR(INDEX(Assessments!$I$2:$I$600,MATCH($H73&amp;"|"&amp;$I73&amp;"|"&amp;$J73&amp;"|"&amp;7,Assessments!$A$2:$A$600,0)),"")</f>
        <v>Econ Exam</v>
      </c>
      <c r="CP73" s="28" t="str">
        <f aca="false">IFERROR(INDEX(Assessments!$I$2:$I$600,MATCH($H73&amp;"|"&amp;$I73&amp;"|"&amp;$J73&amp;"|"&amp;8,Assessments!$A$2:$A$600,0)),"")</f>
        <v/>
      </c>
      <c r="CQ73" s="28" t="str">
        <f aca="false">IFERROR(INDEX(Assessments!$I$2:$I$600,MATCH($H73&amp;"|"&amp;$I73&amp;"|"&amp;$J73&amp;"|"&amp;9,Assessments!$A$2:$A$600,0)),"")</f>
        <v/>
      </c>
      <c r="CR73" s="28" t="str">
        <f aca="false">IFERROR(INDEX(Assessments!$I$2:$I$600,MATCH($H73&amp;"|"&amp;$I73&amp;"|"&amp;$J73&amp;"|"&amp;10,Assessments!$A$2:$A$600,0)),"")</f>
        <v/>
      </c>
      <c r="CS73" s="28" t="str">
        <f aca="false">IFERROR(INDEX(Assessments!$I$2:$I$600,MATCH($H73&amp;"|"&amp;$I73&amp;"|"&amp;$J73&amp;"|"&amp;11,Assessments!$A$2:$A$600,0)),"")</f>
        <v/>
      </c>
      <c r="CT73" s="28" t="str">
        <f aca="false">IFERROR(INDEX(Assessments!$I$2:$I$600,MATCH($H73&amp;"|"&amp;$I73&amp;"|"&amp;$J73&amp;"|"&amp;12,Assessments!$A$2:$A$600,0)),"")</f>
        <v/>
      </c>
      <c r="CU73" s="28" t="str">
        <f aca="false">IFERROR(INDEX(Assessments!$I$2:$I$600,MATCH($H73&amp;"|"&amp;$I73&amp;"|"&amp;$J73&amp;"|"&amp;13,Assessments!$A$2:$A$600,0)),"")</f>
        <v/>
      </c>
      <c r="CV73" s="28" t="str">
        <f aca="false">IFERROR(INDEX(Assessments!$I$2:$I$600,MATCH($H73&amp;"|"&amp;$I73&amp;"|"&amp;$J73&amp;"|"&amp;14,Assessments!$A$2:$A$600,0)),"")</f>
        <v/>
      </c>
      <c r="CW73" s="28" t="n">
        <f aca="false">IFERROR(INDEX(Assessments!$J$2:$J$600,MATCH($H73&amp;"|"&amp;$I73&amp;"|"&amp;$J73&amp;"|"&amp;1,Assessments!$A$2:$A$600,0)),0)</f>
        <v>1</v>
      </c>
      <c r="CX73" s="28" t="n">
        <f aca="false">IFERROR(INDEX(Assessments!$J$2:$J$600,MATCH($H73&amp;"|"&amp;$I73&amp;"|"&amp;$J73&amp;"|"&amp;2,Assessments!$A$2:$A$600,0)),0)</f>
        <v>1</v>
      </c>
      <c r="CY73" s="28" t="n">
        <f aca="false">IFERROR(INDEX(Assessments!$J$2:$J$600,MATCH($H73&amp;"|"&amp;$I73&amp;"|"&amp;$J73&amp;"|"&amp;3,Assessments!$A$2:$A$600,0)),0)</f>
        <v>1</v>
      </c>
      <c r="CZ73" s="28" t="n">
        <f aca="false">IFERROR(INDEX(Assessments!$J$2:$J$600,MATCH($H73&amp;"|"&amp;$I73&amp;"|"&amp;$J73&amp;"|"&amp;4,Assessments!$A$2:$A$600,0)),0)</f>
        <v>1</v>
      </c>
      <c r="DA73" s="28" t="n">
        <f aca="false">IFERROR(INDEX(Assessments!$J$2:$J$600,MATCH($H73&amp;"|"&amp;$I73&amp;"|"&amp;$J73&amp;"|"&amp;5,Assessments!$A$2:$A$600,0)),0)</f>
        <v>2</v>
      </c>
      <c r="DB73" s="28" t="n">
        <f aca="false">IFERROR(INDEX(Assessments!$J$2:$J$600,MATCH($H73&amp;"|"&amp;$I73&amp;"|"&amp;$J73&amp;"|"&amp;6,Assessments!$A$2:$A$600,0)),0)</f>
        <v>1</v>
      </c>
      <c r="DC73" s="28" t="n">
        <f aca="false">IFERROR(INDEX(Assessments!$J$2:$J$600,MATCH($H73&amp;"|"&amp;$I73&amp;"|"&amp;$J73&amp;"|"&amp;7,Assessments!$A$2:$A$600,0)),0)</f>
        <v>2</v>
      </c>
      <c r="DD73" s="28" t="n">
        <f aca="false">IFERROR(INDEX(Assessments!$J$2:$J$600,MATCH($H73&amp;"|"&amp;$I73&amp;"|"&amp;$J73&amp;"|"&amp;8,Assessments!$A$2:$A$600,0)),0)</f>
        <v>0</v>
      </c>
      <c r="DE73" s="28" t="n">
        <f aca="false">IFERROR(INDEX(Assessments!$J$2:$J$600,MATCH($H73&amp;"|"&amp;$I73&amp;"|"&amp;$J73&amp;"|"&amp;9,Assessments!$A$2:$A$600,0)),0)</f>
        <v>0</v>
      </c>
      <c r="DF73" s="28" t="n">
        <f aca="false">IFERROR(INDEX(Assessments!$J$2:$J$600,MATCH($H73&amp;"|"&amp;$I73&amp;"|"&amp;$J73&amp;"|"&amp;10,Assessments!$A$2:$A$600,0)),0)</f>
        <v>0</v>
      </c>
      <c r="DG73" s="28" t="n">
        <f aca="false">IFERROR(INDEX(Assessments!$J$2:$J$600,MATCH($H73&amp;"|"&amp;$I73&amp;"|"&amp;$J73&amp;"|"&amp;11,Assessments!$A$2:$A$600,0)),0)</f>
        <v>0</v>
      </c>
      <c r="DH73" s="28" t="n">
        <f aca="false">IFERROR(INDEX(Assessments!$J$2:$J$600,MATCH($H73&amp;"|"&amp;$I73&amp;"|"&amp;$J73&amp;"|"&amp;12,Assessments!$A$2:$A$600,0)),0)</f>
        <v>0</v>
      </c>
      <c r="DI73" s="28" t="n">
        <f aca="false">IFERROR(INDEX(Assessments!$J$2:$J$600,MATCH($H73&amp;"|"&amp;$I73&amp;"|"&amp;$J73&amp;"|"&amp;13,Assessments!$A$2:$A$600,0)),0)</f>
        <v>0</v>
      </c>
      <c r="DJ73" s="28" t="n">
        <f aca="false">IFERROR(INDEX(Assessments!$J$2:$J$600,MATCH($H73&amp;"|"&amp;$I73&amp;"|"&amp;$J73&amp;"|"&amp;14,Assessments!$A$2:$A$600,0)),0)</f>
        <v>0</v>
      </c>
      <c r="DK73" s="28" t="n">
        <f aca="false">S73</f>
        <v>7</v>
      </c>
      <c r="DL73" s="28" t="n">
        <f aca="false">W73</f>
        <v>7</v>
      </c>
      <c r="DM73" s="28" t="n">
        <f aca="false">AA73</f>
        <v>7</v>
      </c>
      <c r="DN73" s="28" t="n">
        <f aca="false">AE73</f>
        <v>7</v>
      </c>
      <c r="DO73" s="28" t="n">
        <f aca="false">AI73</f>
        <v>7</v>
      </c>
      <c r="DP73" s="28" t="str">
        <f aca="false">AM73</f>
        <v/>
      </c>
      <c r="DQ73" s="28" t="str">
        <f aca="false">AQ73</f>
        <v/>
      </c>
      <c r="DR73" s="28" t="str">
        <f aca="false">AU73</f>
        <v/>
      </c>
      <c r="DS73" s="28" t="str">
        <f aca="false">AY73</f>
        <v/>
      </c>
      <c r="DT73" s="28" t="str">
        <f aca="false">BC73</f>
        <v/>
      </c>
      <c r="DU73" s="28" t="str">
        <f aca="false">BG73</f>
        <v/>
      </c>
      <c r="DV73" s="28" t="str">
        <f aca="false">BK73</f>
        <v/>
      </c>
      <c r="DW73" s="28" t="str">
        <f aca="false">BO73</f>
        <v/>
      </c>
      <c r="DX73" s="28" t="str">
        <f aca="false">BS73</f>
        <v/>
      </c>
      <c r="DY73" s="28" t="n">
        <f aca="false">IF(ISNUMBER(S73),1,"")</f>
        <v>1</v>
      </c>
      <c r="DZ73" s="28" t="n">
        <f aca="false">IF(ISNUMBER(W73),2,"")</f>
        <v>2</v>
      </c>
      <c r="EA73" s="28" t="n">
        <f aca="false">IF(ISNUMBER(AA73),3,"")</f>
        <v>3</v>
      </c>
      <c r="EB73" s="28" t="n">
        <f aca="false">IF(ISNUMBER(AE73),4,"")</f>
        <v>4</v>
      </c>
      <c r="EC73" s="28" t="n">
        <f aca="false">IF(ISNUMBER(AI73),5,"")</f>
        <v>5</v>
      </c>
      <c r="ED73" s="28" t="str">
        <f aca="false">IF(ISNUMBER(AM73),6,"")</f>
        <v/>
      </c>
      <c r="EE73" s="28" t="str">
        <f aca="false">IF(ISNUMBER(AQ73),7,"")</f>
        <v/>
      </c>
      <c r="EF73" s="28" t="str">
        <f aca="false">IF(ISNUMBER(AU73),8,"")</f>
        <v/>
      </c>
      <c r="EG73" s="28" t="str">
        <f aca="false">IF(ISNUMBER(AY73),9,"")</f>
        <v/>
      </c>
      <c r="EH73" s="28" t="str">
        <f aca="false">IF(ISNUMBER(BC73),10,"")</f>
        <v/>
      </c>
      <c r="EI73" s="28" t="str">
        <f aca="false">IF(ISNUMBER(BG73),11,"")</f>
        <v/>
      </c>
      <c r="EJ73" s="28" t="str">
        <f aca="false">IF(ISNUMBER(BK73),12,"")</f>
        <v/>
      </c>
      <c r="EK73" s="28" t="str">
        <f aca="false">IF(ISNUMBER(BO73),13,"")</f>
        <v/>
      </c>
      <c r="EL73" s="28" t="str">
        <f aca="false">IF(ISNUMBER(BS73),14,"")</f>
        <v/>
      </c>
      <c r="EM73" s="28" t="n">
        <f aca="false">IF(ISNUMBER(R73),R73*CW73,0)</f>
        <v>90</v>
      </c>
      <c r="EN73" s="28" t="n">
        <f aca="false">IF(ISNUMBER(V73),V73*CX73,0)</f>
        <v>100</v>
      </c>
      <c r="EO73" s="28" t="n">
        <f aca="false">IF(ISNUMBER(Z73),Z73*CY73,0)</f>
        <v>88</v>
      </c>
      <c r="EP73" s="28" t="n">
        <f aca="false">IF(ISNUMBER(AD73),AD73*CZ73,0)</f>
        <v>88.5714285714286</v>
      </c>
      <c r="EQ73" s="28" t="n">
        <f aca="false">IF(ISNUMBER(AH73),AH73*DA73,0)</f>
        <v>174.545454545455</v>
      </c>
      <c r="ER73" s="28" t="n">
        <f aca="false">IF(ISNUMBER(AL73),AL73*DB73,0)</f>
        <v>0</v>
      </c>
      <c r="ES73" s="28" t="n">
        <f aca="false">IF(ISNUMBER(AP73),AP73*DC73,0)</f>
        <v>0</v>
      </c>
      <c r="ET73" s="28" t="n">
        <f aca="false">IF(ISNUMBER(AT73),AT73*DD73,0)</f>
        <v>0</v>
      </c>
      <c r="EU73" s="28" t="n">
        <f aca="false">IF(ISNUMBER(AX73),AX73*DE73,0)</f>
        <v>0</v>
      </c>
      <c r="EV73" s="28" t="n">
        <f aca="false">IF(ISNUMBER(BB73),BB73*DF73,0)</f>
        <v>0</v>
      </c>
      <c r="EW73" s="28" t="n">
        <f aca="false">IF(ISNUMBER(BF73),BF73*DG73,0)</f>
        <v>0</v>
      </c>
      <c r="EX73" s="28" t="n">
        <f aca="false">IF(ISNUMBER(BJ73),BJ73*DH73,0)</f>
        <v>0</v>
      </c>
      <c r="EY73" s="28" t="n">
        <f aca="false">IF(ISNUMBER(BN73),BN73*DI73,0)</f>
        <v>0</v>
      </c>
      <c r="EZ73" s="28" t="n">
        <f aca="false">IF(ISNUMBER(BR73),BR73*DJ73,0)</f>
        <v>0</v>
      </c>
      <c r="FA73" s="28" t="n">
        <f aca="false">IF(ISNUMBER(R73),CW73,0)</f>
        <v>1</v>
      </c>
      <c r="FB73" s="28" t="n">
        <f aca="false">IF(ISNUMBER(V73),CX73,0)</f>
        <v>1</v>
      </c>
      <c r="FC73" s="28" t="n">
        <f aca="false">IF(ISNUMBER(Z73),CY73,0)</f>
        <v>1</v>
      </c>
      <c r="FD73" s="28" t="n">
        <f aca="false">IF(ISNUMBER(AD73),CZ73,0)</f>
        <v>1</v>
      </c>
      <c r="FE73" s="28" t="n">
        <f aca="false">IF(ISNUMBER(AH73),DA73,0)</f>
        <v>2</v>
      </c>
      <c r="FF73" s="28" t="n">
        <f aca="false">IF(ISNUMBER(AL73),DB73,0)</f>
        <v>0</v>
      </c>
      <c r="FG73" s="28" t="n">
        <f aca="false">IF(ISNUMBER(AP73),DC73,0)</f>
        <v>0</v>
      </c>
      <c r="FH73" s="28" t="n">
        <f aca="false">IF(ISNUMBER(AT73),DD73,0)</f>
        <v>0</v>
      </c>
      <c r="FI73" s="28" t="n">
        <f aca="false">IF(ISNUMBER(AX73),DE73,0)</f>
        <v>0</v>
      </c>
      <c r="FJ73" s="28" t="n">
        <f aca="false">IF(ISNUMBER(BB73),DF73,0)</f>
        <v>0</v>
      </c>
      <c r="FK73" s="28" t="n">
        <f aca="false">IF(ISNUMBER(BF73),DG73,0)</f>
        <v>0</v>
      </c>
      <c r="FL73" s="28" t="n">
        <f aca="false">IF(ISNUMBER(BJ73),DH73,0)</f>
        <v>0</v>
      </c>
      <c r="FM73" s="28" t="n">
        <f aca="false">IF(ISNUMBER(BN73),DI73,0)</f>
        <v>0</v>
      </c>
      <c r="FN73" s="28" t="n">
        <f aca="false">IF(ISNUMBER(BR73),DJ73,0)</f>
        <v>0</v>
      </c>
      <c r="FO73" s="28" t="str">
        <f aca="false">IFERROR(INDEX(Lists!$G$2:$G$20,MATCH($I73&amp;"|"&amp;$J73,Lists!$F$2:$F$20,0)),"")</f>
        <v>Econ Exam</v>
      </c>
    </row>
    <row r="74" customFormat="false" ht="19.5" hidden="false" customHeight="true" outlineLevel="0" collapsed="false">
      <c r="A74" s="29" t="s">
        <v>277</v>
      </c>
      <c r="B74" s="29" t="s">
        <v>278</v>
      </c>
      <c r="C74" s="30" t="s">
        <v>192</v>
      </c>
      <c r="D74" s="30" t="s">
        <v>271</v>
      </c>
      <c r="E74" s="31" t="n">
        <v>6</v>
      </c>
      <c r="F74" s="30" t="n">
        <v>6</v>
      </c>
      <c r="G74" s="30"/>
      <c r="H74" s="32" t="s">
        <v>23</v>
      </c>
      <c r="I74" s="33" t="s">
        <v>229</v>
      </c>
      <c r="J74" s="32" t="s">
        <v>25</v>
      </c>
      <c r="K74" s="34" t="n">
        <f aca="false">IF(OR(M74="",$E74=""),"",M74-$E74)</f>
        <v>1</v>
      </c>
      <c r="L74" s="35" t="n">
        <f aca="false">IF(SUM(FA74:FN74)=0,"",SUM(EM74:EZ74)/SUM(FA74:FN74))</f>
        <v>84.9823232323232</v>
      </c>
      <c r="M74" s="36" t="n">
        <f aca="false">IF(OR(L74="",FO74=""),"",IFERROR(MATCH(L74,INDEX(Boundaries!$B$2:$I$30,MATCH(FO74,Boundaries!$A$2:$A$30,0),0),1)-1,""))</f>
        <v>7</v>
      </c>
      <c r="N74" s="37" t="n">
        <f aca="false">IF(COUNT($DY74:$EL74)&lt;2,"",INDEX($DK74:$DX74,MAX($DY74:$EL74))-INDEX($DK74:$DX74,MIN($DY74:$EL74)))</f>
        <v>-1</v>
      </c>
      <c r="O74" s="37" t="n">
        <f aca="false">IF(COUNT($DY74:$EL74)&lt;2,"",INDEX($DK74:$DX74,MAX($DY74:$EL74))-INDEX($DK74:$DX74,LARGE($DY74:$EL74,2)))</f>
        <v>0</v>
      </c>
      <c r="P74" s="38" t="str">
        <f aca="false">IF(K74="","",IF(K74&gt;=0,"On/above target",IF(AND(N74&lt;&gt;"",N74&gt;=0.5),"Improving towards target",IF(AND(O74&lt;&gt;"",O74&lt;=-0.5),"Declining","Stable below target"))))</f>
        <v>On/above target</v>
      </c>
      <c r="Q74" s="39" t="n">
        <v>28</v>
      </c>
      <c r="R74" s="40" t="n">
        <f aca="false">IF(OR(Q74="",BU74=""),"",Q74/BU74*100)</f>
        <v>93.3333333333333</v>
      </c>
      <c r="S74" s="41" t="n">
        <f aca="false">IF(R74="","",IFERROR(MATCH(R74,INDEX(Boundaries!$B$2:$I$30,MATCH(CI74,Boundaries!$A$2:$A$30,0),0),1)-1,""))</f>
        <v>7</v>
      </c>
      <c r="T74" s="42" t="n">
        <f aca="false">IF(OR(S74="",$E74=""),"",S74-$E74)</f>
        <v>1</v>
      </c>
      <c r="U74" s="39" t="n">
        <v>23</v>
      </c>
      <c r="V74" s="40" t="n">
        <f aca="false">IF(OR(U74="",BV74=""),"",U74/BV74*100)</f>
        <v>95.8333333333333</v>
      </c>
      <c r="W74" s="41" t="n">
        <f aca="false">IF(V74="","",IFERROR(MATCH(V74,INDEX(Boundaries!$B$2:$I$30,MATCH(CJ74,Boundaries!$A$2:$A$30,0),0),1)-1,""))</f>
        <v>7</v>
      </c>
      <c r="X74" s="42" t="n">
        <f aca="false">IF(OR(W74="",$E74=""),"",W74-$E74)</f>
        <v>1</v>
      </c>
      <c r="Y74" s="39" t="n">
        <v>22</v>
      </c>
      <c r="Z74" s="40" t="n">
        <f aca="false">IF(OR(Y74="",BW74=""),"",Y74/BW74*100)</f>
        <v>88</v>
      </c>
      <c r="AA74" s="41" t="n">
        <f aca="false">IF(Z74="","",IFERROR(MATCH(Z74,INDEX(Boundaries!$B$2:$I$30,MATCH(CK74,Boundaries!$A$2:$A$30,0),0),1)-1,""))</f>
        <v>7</v>
      </c>
      <c r="AB74" s="42" t="n">
        <f aca="false">IF(OR(AA74="",$E74=""),"",AA74-$E74)</f>
        <v>1</v>
      </c>
      <c r="AC74" s="39" t="n">
        <v>28</v>
      </c>
      <c r="AD74" s="40" t="n">
        <f aca="false">IF(OR(AC74="",BX74=""),"",AC74/BX74*100)</f>
        <v>80</v>
      </c>
      <c r="AE74" s="41" t="n">
        <f aca="false">IF(AD74="","",IFERROR(MATCH(AD74,INDEX(Boundaries!$B$2:$I$30,MATCH(CL74,Boundaries!$A$2:$A$30,0),0),1)-1,""))</f>
        <v>6</v>
      </c>
      <c r="AF74" s="42" t="n">
        <f aca="false">IF(OR(AE74="",$E74=""),"",AE74-$E74)</f>
        <v>0</v>
      </c>
      <c r="AG74" s="39" t="n">
        <v>42</v>
      </c>
      <c r="AH74" s="40" t="n">
        <f aca="false">IF(OR(AG74="",BY74=""),"",AG74/BY74*100)</f>
        <v>76.3636363636364</v>
      </c>
      <c r="AI74" s="41" t="n">
        <f aca="false">IF(AH74="","",IFERROR(MATCH(AH74,INDEX(Boundaries!$B$2:$I$30,MATCH(CM74,Boundaries!$A$2:$A$30,0),0),1)-1,""))</f>
        <v>6</v>
      </c>
      <c r="AJ74" s="42" t="n">
        <f aca="false">IF(OR(AI74="",$E74=""),"",AI74-$E74)</f>
        <v>0</v>
      </c>
      <c r="AK74" s="39"/>
      <c r="AL74" s="40" t="str">
        <f aca="false">IF(OR(AK74="",BZ74=""),"",AK74/BZ74*100)</f>
        <v/>
      </c>
      <c r="AM74" s="41" t="str">
        <f aca="false">IF(AL74="","",IFERROR(MATCH(AL74,INDEX(Boundaries!$B$2:$I$30,MATCH(CN74,Boundaries!$A$2:$A$30,0),0),1)-1,""))</f>
        <v/>
      </c>
      <c r="AN74" s="42" t="str">
        <f aca="false">IF(OR(AM74="",$E74=""),"",AM74-$E74)</f>
        <v/>
      </c>
      <c r="AO74" s="39"/>
      <c r="AP74" s="40" t="str">
        <f aca="false">IF(OR(AO74="",CA74=""),"",AO74/CA74*100)</f>
        <v/>
      </c>
      <c r="AQ74" s="41" t="str">
        <f aca="false">IF(AP74="","",IFERROR(MATCH(AP74,INDEX(Boundaries!$B$2:$I$30,MATCH(CO74,Boundaries!$A$2:$A$30,0),0),1)-1,""))</f>
        <v/>
      </c>
      <c r="AR74" s="42" t="str">
        <f aca="false">IF(OR(AQ74="",$E74=""),"",AQ74-$E74)</f>
        <v/>
      </c>
      <c r="AS74" s="39"/>
      <c r="AT74" s="40" t="str">
        <f aca="false">IF(OR(AS74="",CB74=""),"",AS74/CB74*100)</f>
        <v/>
      </c>
      <c r="AU74" s="41" t="str">
        <f aca="false">IF(AT74="","",IFERROR(MATCH(AT74,INDEX(Boundaries!$B$2:$I$30,MATCH(CP74,Boundaries!$A$2:$A$30,0),0),1)-1,""))</f>
        <v/>
      </c>
      <c r="AV74" s="42" t="str">
        <f aca="false">IF(OR(AU74="",$E74=""),"",AU74-$E74)</f>
        <v/>
      </c>
      <c r="AW74" s="39"/>
      <c r="AX74" s="40" t="str">
        <f aca="false">IF(OR(AW74="",CC74=""),"",AW74/CC74*100)</f>
        <v/>
      </c>
      <c r="AY74" s="41" t="str">
        <f aca="false">IF(AX74="","",IFERROR(MATCH(AX74,INDEX(Boundaries!$B$2:$I$30,MATCH(CQ74,Boundaries!$A$2:$A$30,0),0),1)-1,""))</f>
        <v/>
      </c>
      <c r="AZ74" s="42" t="str">
        <f aca="false">IF(OR(AY74="",$E74=""),"",AY74-$E74)</f>
        <v/>
      </c>
      <c r="BA74" s="39"/>
      <c r="BB74" s="40" t="str">
        <f aca="false">IF(OR(BA74="",CD74=""),"",BA74/CD74*100)</f>
        <v/>
      </c>
      <c r="BC74" s="41" t="str">
        <f aca="false">IF(BB74="","",IFERROR(MATCH(BB74,INDEX(Boundaries!$B$2:$I$30,MATCH(CR74,Boundaries!$A$2:$A$30,0),0),1)-1,""))</f>
        <v/>
      </c>
      <c r="BD74" s="42" t="str">
        <f aca="false">IF(OR(BC74="",$E74=""),"",BC74-$E74)</f>
        <v/>
      </c>
      <c r="BE74" s="39"/>
      <c r="BF74" s="40" t="str">
        <f aca="false">IF(OR(BE74="",CE74=""),"",BE74/CE74*100)</f>
        <v/>
      </c>
      <c r="BG74" s="41" t="str">
        <f aca="false">IF(BF74="","",IFERROR(MATCH(BF74,INDEX(Boundaries!$B$2:$I$30,MATCH(CS74,Boundaries!$A$2:$A$30,0),0),1)-1,""))</f>
        <v/>
      </c>
      <c r="BH74" s="42" t="str">
        <f aca="false">IF(OR(BG74="",$E74=""),"",BG74-$E74)</f>
        <v/>
      </c>
      <c r="BI74" s="39"/>
      <c r="BJ74" s="40" t="str">
        <f aca="false">IF(OR(BI74="",CF74=""),"",BI74/CF74*100)</f>
        <v/>
      </c>
      <c r="BK74" s="41" t="str">
        <f aca="false">IF(BJ74="","",IFERROR(MATCH(BJ74,INDEX(Boundaries!$B$2:$I$30,MATCH(CT74,Boundaries!$A$2:$A$30,0),0),1)-1,""))</f>
        <v/>
      </c>
      <c r="BL74" s="42" t="str">
        <f aca="false">IF(OR(BK74="",$E74=""),"",BK74-$E74)</f>
        <v/>
      </c>
      <c r="BM74" s="39"/>
      <c r="BN74" s="40" t="str">
        <f aca="false">IF(OR(BM74="",CG74=""),"",BM74/CG74*100)</f>
        <v/>
      </c>
      <c r="BO74" s="41" t="str">
        <f aca="false">IF(BN74="","",IFERROR(MATCH(BN74,INDEX(Boundaries!$B$2:$I$30,MATCH(CU74,Boundaries!$A$2:$A$30,0),0),1)-1,""))</f>
        <v/>
      </c>
      <c r="BP74" s="42" t="str">
        <f aca="false">IF(OR(BO74="",$E74=""),"",BO74-$E74)</f>
        <v/>
      </c>
      <c r="BQ74" s="39"/>
      <c r="BR74" s="40" t="str">
        <f aca="false">IF(OR(BQ74="",CH74=""),"",BQ74/CH74*100)</f>
        <v/>
      </c>
      <c r="BS74" s="41" t="str">
        <f aca="false">IF(BR74="","",IFERROR(MATCH(BR74,INDEX(Boundaries!$B$2:$I$30,MATCH(CV74,Boundaries!$A$2:$A$30,0),0),1)-1,""))</f>
        <v/>
      </c>
      <c r="BT74" s="42" t="str">
        <f aca="false">IF(OR(BS74="",$E74=""),"",BS74-$E74)</f>
        <v/>
      </c>
      <c r="BU74" s="28" t="n">
        <f aca="false">IFERROR(INDEX(Assessments!$H$2:$H$600,MATCH($H74&amp;"|"&amp;$I74&amp;"|"&amp;$J74&amp;"|"&amp;1,Assessments!$A$2:$A$600,0)),"")</f>
        <v>30</v>
      </c>
      <c r="BV74" s="28" t="n">
        <f aca="false">IFERROR(INDEX(Assessments!$H$2:$H$600,MATCH($H74&amp;"|"&amp;$I74&amp;"|"&amp;$J74&amp;"|"&amp;2,Assessments!$A$2:$A$600,0)),"")</f>
        <v>24</v>
      </c>
      <c r="BW74" s="28" t="n">
        <f aca="false">IFERROR(INDEX(Assessments!$H$2:$H$600,MATCH($H74&amp;"|"&amp;$I74&amp;"|"&amp;$J74&amp;"|"&amp;3,Assessments!$A$2:$A$600,0)),"")</f>
        <v>25</v>
      </c>
      <c r="BX74" s="28" t="n">
        <f aca="false">IFERROR(INDEX(Assessments!$H$2:$H$600,MATCH($H74&amp;"|"&amp;$I74&amp;"|"&amp;$J74&amp;"|"&amp;4,Assessments!$A$2:$A$600,0)),"")</f>
        <v>35</v>
      </c>
      <c r="BY74" s="28" t="n">
        <f aca="false">IFERROR(INDEX(Assessments!$H$2:$H$600,MATCH($H74&amp;"|"&amp;$I74&amp;"|"&amp;$J74&amp;"|"&amp;5,Assessments!$A$2:$A$600,0)),"")</f>
        <v>55</v>
      </c>
      <c r="BZ74" s="28" t="n">
        <f aca="false">IFERROR(INDEX(Assessments!$H$2:$H$600,MATCH($H74&amp;"|"&amp;$I74&amp;"|"&amp;$J74&amp;"|"&amp;6,Assessments!$A$2:$A$600,0)),"")</f>
        <v>30</v>
      </c>
      <c r="CA74" s="28" t="n">
        <f aca="false">IFERROR(INDEX(Assessments!$H$2:$H$600,MATCH($H74&amp;"|"&amp;$I74&amp;"|"&amp;$J74&amp;"|"&amp;7,Assessments!$A$2:$A$600,0)),"")</f>
        <v>95</v>
      </c>
      <c r="CB74" s="28" t="str">
        <f aca="false">IFERROR(INDEX(Assessments!$H$2:$H$600,MATCH($H74&amp;"|"&amp;$I74&amp;"|"&amp;$J74&amp;"|"&amp;8,Assessments!$A$2:$A$600,0)),"")</f>
        <v/>
      </c>
      <c r="CC74" s="28" t="str">
        <f aca="false">IFERROR(INDEX(Assessments!$H$2:$H$600,MATCH($H74&amp;"|"&amp;$I74&amp;"|"&amp;$J74&amp;"|"&amp;9,Assessments!$A$2:$A$600,0)),"")</f>
        <v/>
      </c>
      <c r="CD74" s="28" t="str">
        <f aca="false">IFERROR(INDEX(Assessments!$H$2:$H$600,MATCH($H74&amp;"|"&amp;$I74&amp;"|"&amp;$J74&amp;"|"&amp;10,Assessments!$A$2:$A$600,0)),"")</f>
        <v/>
      </c>
      <c r="CE74" s="28" t="str">
        <f aca="false">IFERROR(INDEX(Assessments!$H$2:$H$600,MATCH($H74&amp;"|"&amp;$I74&amp;"|"&amp;$J74&amp;"|"&amp;11,Assessments!$A$2:$A$600,0)),"")</f>
        <v/>
      </c>
      <c r="CF74" s="28" t="str">
        <f aca="false">IFERROR(INDEX(Assessments!$H$2:$H$600,MATCH($H74&amp;"|"&amp;$I74&amp;"|"&amp;$J74&amp;"|"&amp;12,Assessments!$A$2:$A$600,0)),"")</f>
        <v/>
      </c>
      <c r="CG74" s="28" t="str">
        <f aca="false">IFERROR(INDEX(Assessments!$H$2:$H$600,MATCH($H74&amp;"|"&amp;$I74&amp;"|"&amp;$J74&amp;"|"&amp;13,Assessments!$A$2:$A$600,0)),"")</f>
        <v/>
      </c>
      <c r="CH74" s="28" t="str">
        <f aca="false">IFERROR(INDEX(Assessments!$H$2:$H$600,MATCH($H74&amp;"|"&amp;$I74&amp;"|"&amp;$J74&amp;"|"&amp;14,Assessments!$A$2:$A$600,0)),"")</f>
        <v/>
      </c>
      <c r="CI74" s="28" t="str">
        <f aca="false">IFERROR(INDEX(Assessments!$I$2:$I$600,MATCH($H74&amp;"|"&amp;$I74&amp;"|"&amp;$J74&amp;"|"&amp;1,Assessments!$A$2:$A$600,0)),"")</f>
        <v>Econ Test</v>
      </c>
      <c r="CJ74" s="28" t="str">
        <f aca="false">IFERROR(INDEX(Assessments!$I$2:$I$600,MATCH($H74&amp;"|"&amp;$I74&amp;"|"&amp;$J74&amp;"|"&amp;2,Assessments!$A$2:$A$600,0)),"")</f>
        <v>Econ Test</v>
      </c>
      <c r="CK74" s="28" t="str">
        <f aca="false">IFERROR(INDEX(Assessments!$I$2:$I$600,MATCH($H74&amp;"|"&amp;$I74&amp;"|"&amp;$J74&amp;"|"&amp;3,Assessments!$A$2:$A$600,0)),"")</f>
        <v>Econ Test</v>
      </c>
      <c r="CL74" s="28" t="str">
        <f aca="false">IFERROR(INDEX(Assessments!$I$2:$I$600,MATCH($H74&amp;"|"&amp;$I74&amp;"|"&amp;$J74&amp;"|"&amp;4,Assessments!$A$2:$A$600,0)),"")</f>
        <v>Econ Test</v>
      </c>
      <c r="CM74" s="28" t="str">
        <f aca="false">IFERROR(INDEX(Assessments!$I$2:$I$600,MATCH($H74&amp;"|"&amp;$I74&amp;"|"&amp;$J74&amp;"|"&amp;5,Assessments!$A$2:$A$600,0)),"")</f>
        <v>Econ Exam</v>
      </c>
      <c r="CN74" s="28" t="str">
        <f aca="false">IFERROR(INDEX(Assessments!$I$2:$I$600,MATCH($H74&amp;"|"&amp;$I74&amp;"|"&amp;$J74&amp;"|"&amp;6,Assessments!$A$2:$A$600,0)),"")</f>
        <v>Econ Test</v>
      </c>
      <c r="CO74" s="28" t="str">
        <f aca="false">IFERROR(INDEX(Assessments!$I$2:$I$600,MATCH($H74&amp;"|"&amp;$I74&amp;"|"&amp;$J74&amp;"|"&amp;7,Assessments!$A$2:$A$600,0)),"")</f>
        <v>Econ Exam</v>
      </c>
      <c r="CP74" s="28" t="str">
        <f aca="false">IFERROR(INDEX(Assessments!$I$2:$I$600,MATCH($H74&amp;"|"&amp;$I74&amp;"|"&amp;$J74&amp;"|"&amp;8,Assessments!$A$2:$A$600,0)),"")</f>
        <v/>
      </c>
      <c r="CQ74" s="28" t="str">
        <f aca="false">IFERROR(INDEX(Assessments!$I$2:$I$600,MATCH($H74&amp;"|"&amp;$I74&amp;"|"&amp;$J74&amp;"|"&amp;9,Assessments!$A$2:$A$600,0)),"")</f>
        <v/>
      </c>
      <c r="CR74" s="28" t="str">
        <f aca="false">IFERROR(INDEX(Assessments!$I$2:$I$600,MATCH($H74&amp;"|"&amp;$I74&amp;"|"&amp;$J74&amp;"|"&amp;10,Assessments!$A$2:$A$600,0)),"")</f>
        <v/>
      </c>
      <c r="CS74" s="28" t="str">
        <f aca="false">IFERROR(INDEX(Assessments!$I$2:$I$600,MATCH($H74&amp;"|"&amp;$I74&amp;"|"&amp;$J74&amp;"|"&amp;11,Assessments!$A$2:$A$600,0)),"")</f>
        <v/>
      </c>
      <c r="CT74" s="28" t="str">
        <f aca="false">IFERROR(INDEX(Assessments!$I$2:$I$600,MATCH($H74&amp;"|"&amp;$I74&amp;"|"&amp;$J74&amp;"|"&amp;12,Assessments!$A$2:$A$600,0)),"")</f>
        <v/>
      </c>
      <c r="CU74" s="28" t="str">
        <f aca="false">IFERROR(INDEX(Assessments!$I$2:$I$600,MATCH($H74&amp;"|"&amp;$I74&amp;"|"&amp;$J74&amp;"|"&amp;13,Assessments!$A$2:$A$600,0)),"")</f>
        <v/>
      </c>
      <c r="CV74" s="28" t="str">
        <f aca="false">IFERROR(INDEX(Assessments!$I$2:$I$600,MATCH($H74&amp;"|"&amp;$I74&amp;"|"&amp;$J74&amp;"|"&amp;14,Assessments!$A$2:$A$600,0)),"")</f>
        <v/>
      </c>
      <c r="CW74" s="28" t="n">
        <f aca="false">IFERROR(INDEX(Assessments!$J$2:$J$600,MATCH($H74&amp;"|"&amp;$I74&amp;"|"&amp;$J74&amp;"|"&amp;1,Assessments!$A$2:$A$600,0)),0)</f>
        <v>1</v>
      </c>
      <c r="CX74" s="28" t="n">
        <f aca="false">IFERROR(INDEX(Assessments!$J$2:$J$600,MATCH($H74&amp;"|"&amp;$I74&amp;"|"&amp;$J74&amp;"|"&amp;2,Assessments!$A$2:$A$600,0)),0)</f>
        <v>1</v>
      </c>
      <c r="CY74" s="28" t="n">
        <f aca="false">IFERROR(INDEX(Assessments!$J$2:$J$600,MATCH($H74&amp;"|"&amp;$I74&amp;"|"&amp;$J74&amp;"|"&amp;3,Assessments!$A$2:$A$600,0)),0)</f>
        <v>1</v>
      </c>
      <c r="CZ74" s="28" t="n">
        <f aca="false">IFERROR(INDEX(Assessments!$J$2:$J$600,MATCH($H74&amp;"|"&amp;$I74&amp;"|"&amp;$J74&amp;"|"&amp;4,Assessments!$A$2:$A$600,0)),0)</f>
        <v>1</v>
      </c>
      <c r="DA74" s="28" t="n">
        <f aca="false">IFERROR(INDEX(Assessments!$J$2:$J$600,MATCH($H74&amp;"|"&amp;$I74&amp;"|"&amp;$J74&amp;"|"&amp;5,Assessments!$A$2:$A$600,0)),0)</f>
        <v>2</v>
      </c>
      <c r="DB74" s="28" t="n">
        <f aca="false">IFERROR(INDEX(Assessments!$J$2:$J$600,MATCH($H74&amp;"|"&amp;$I74&amp;"|"&amp;$J74&amp;"|"&amp;6,Assessments!$A$2:$A$600,0)),0)</f>
        <v>1</v>
      </c>
      <c r="DC74" s="28" t="n">
        <f aca="false">IFERROR(INDEX(Assessments!$J$2:$J$600,MATCH($H74&amp;"|"&amp;$I74&amp;"|"&amp;$J74&amp;"|"&amp;7,Assessments!$A$2:$A$600,0)),0)</f>
        <v>2</v>
      </c>
      <c r="DD74" s="28" t="n">
        <f aca="false">IFERROR(INDEX(Assessments!$J$2:$J$600,MATCH($H74&amp;"|"&amp;$I74&amp;"|"&amp;$J74&amp;"|"&amp;8,Assessments!$A$2:$A$600,0)),0)</f>
        <v>0</v>
      </c>
      <c r="DE74" s="28" t="n">
        <f aca="false">IFERROR(INDEX(Assessments!$J$2:$J$600,MATCH($H74&amp;"|"&amp;$I74&amp;"|"&amp;$J74&amp;"|"&amp;9,Assessments!$A$2:$A$600,0)),0)</f>
        <v>0</v>
      </c>
      <c r="DF74" s="28" t="n">
        <f aca="false">IFERROR(INDEX(Assessments!$J$2:$J$600,MATCH($H74&amp;"|"&amp;$I74&amp;"|"&amp;$J74&amp;"|"&amp;10,Assessments!$A$2:$A$600,0)),0)</f>
        <v>0</v>
      </c>
      <c r="DG74" s="28" t="n">
        <f aca="false">IFERROR(INDEX(Assessments!$J$2:$J$600,MATCH($H74&amp;"|"&amp;$I74&amp;"|"&amp;$J74&amp;"|"&amp;11,Assessments!$A$2:$A$600,0)),0)</f>
        <v>0</v>
      </c>
      <c r="DH74" s="28" t="n">
        <f aca="false">IFERROR(INDEX(Assessments!$J$2:$J$600,MATCH($H74&amp;"|"&amp;$I74&amp;"|"&amp;$J74&amp;"|"&amp;12,Assessments!$A$2:$A$600,0)),0)</f>
        <v>0</v>
      </c>
      <c r="DI74" s="28" t="n">
        <f aca="false">IFERROR(INDEX(Assessments!$J$2:$J$600,MATCH($H74&amp;"|"&amp;$I74&amp;"|"&amp;$J74&amp;"|"&amp;13,Assessments!$A$2:$A$600,0)),0)</f>
        <v>0</v>
      </c>
      <c r="DJ74" s="28" t="n">
        <f aca="false">IFERROR(INDEX(Assessments!$J$2:$J$600,MATCH($H74&amp;"|"&amp;$I74&amp;"|"&amp;$J74&amp;"|"&amp;14,Assessments!$A$2:$A$600,0)),0)</f>
        <v>0</v>
      </c>
      <c r="DK74" s="28" t="n">
        <f aca="false">S74</f>
        <v>7</v>
      </c>
      <c r="DL74" s="28" t="n">
        <f aca="false">W74</f>
        <v>7</v>
      </c>
      <c r="DM74" s="28" t="n">
        <f aca="false">AA74</f>
        <v>7</v>
      </c>
      <c r="DN74" s="28" t="n">
        <f aca="false">AE74</f>
        <v>6</v>
      </c>
      <c r="DO74" s="28" t="n">
        <f aca="false">AI74</f>
        <v>6</v>
      </c>
      <c r="DP74" s="28" t="str">
        <f aca="false">AM74</f>
        <v/>
      </c>
      <c r="DQ74" s="28" t="str">
        <f aca="false">AQ74</f>
        <v/>
      </c>
      <c r="DR74" s="28" t="str">
        <f aca="false">AU74</f>
        <v/>
      </c>
      <c r="DS74" s="28" t="str">
        <f aca="false">AY74</f>
        <v/>
      </c>
      <c r="DT74" s="28" t="str">
        <f aca="false">BC74</f>
        <v/>
      </c>
      <c r="DU74" s="28" t="str">
        <f aca="false">BG74</f>
        <v/>
      </c>
      <c r="DV74" s="28" t="str">
        <f aca="false">BK74</f>
        <v/>
      </c>
      <c r="DW74" s="28" t="str">
        <f aca="false">BO74</f>
        <v/>
      </c>
      <c r="DX74" s="28" t="str">
        <f aca="false">BS74</f>
        <v/>
      </c>
      <c r="DY74" s="28" t="n">
        <f aca="false">IF(ISNUMBER(S74),1,"")</f>
        <v>1</v>
      </c>
      <c r="DZ74" s="28" t="n">
        <f aca="false">IF(ISNUMBER(W74),2,"")</f>
        <v>2</v>
      </c>
      <c r="EA74" s="28" t="n">
        <f aca="false">IF(ISNUMBER(AA74),3,"")</f>
        <v>3</v>
      </c>
      <c r="EB74" s="28" t="n">
        <f aca="false">IF(ISNUMBER(AE74),4,"")</f>
        <v>4</v>
      </c>
      <c r="EC74" s="28" t="n">
        <f aca="false">IF(ISNUMBER(AI74),5,"")</f>
        <v>5</v>
      </c>
      <c r="ED74" s="28" t="str">
        <f aca="false">IF(ISNUMBER(AM74),6,"")</f>
        <v/>
      </c>
      <c r="EE74" s="28" t="str">
        <f aca="false">IF(ISNUMBER(AQ74),7,"")</f>
        <v/>
      </c>
      <c r="EF74" s="28" t="str">
        <f aca="false">IF(ISNUMBER(AU74),8,"")</f>
        <v/>
      </c>
      <c r="EG74" s="28" t="str">
        <f aca="false">IF(ISNUMBER(AY74),9,"")</f>
        <v/>
      </c>
      <c r="EH74" s="28" t="str">
        <f aca="false">IF(ISNUMBER(BC74),10,"")</f>
        <v/>
      </c>
      <c r="EI74" s="28" t="str">
        <f aca="false">IF(ISNUMBER(BG74),11,"")</f>
        <v/>
      </c>
      <c r="EJ74" s="28" t="str">
        <f aca="false">IF(ISNUMBER(BK74),12,"")</f>
        <v/>
      </c>
      <c r="EK74" s="28" t="str">
        <f aca="false">IF(ISNUMBER(BO74),13,"")</f>
        <v/>
      </c>
      <c r="EL74" s="28" t="str">
        <f aca="false">IF(ISNUMBER(BS74),14,"")</f>
        <v/>
      </c>
      <c r="EM74" s="28" t="n">
        <f aca="false">IF(ISNUMBER(R74),R74*CW74,0)</f>
        <v>93.3333333333333</v>
      </c>
      <c r="EN74" s="28" t="n">
        <f aca="false">IF(ISNUMBER(V74),V74*CX74,0)</f>
        <v>95.8333333333333</v>
      </c>
      <c r="EO74" s="28" t="n">
        <f aca="false">IF(ISNUMBER(Z74),Z74*CY74,0)</f>
        <v>88</v>
      </c>
      <c r="EP74" s="28" t="n">
        <f aca="false">IF(ISNUMBER(AD74),AD74*CZ74,0)</f>
        <v>80</v>
      </c>
      <c r="EQ74" s="28" t="n">
        <f aca="false">IF(ISNUMBER(AH74),AH74*DA74,0)</f>
        <v>152.727272727273</v>
      </c>
      <c r="ER74" s="28" t="n">
        <f aca="false">IF(ISNUMBER(AL74),AL74*DB74,0)</f>
        <v>0</v>
      </c>
      <c r="ES74" s="28" t="n">
        <f aca="false">IF(ISNUMBER(AP74),AP74*DC74,0)</f>
        <v>0</v>
      </c>
      <c r="ET74" s="28" t="n">
        <f aca="false">IF(ISNUMBER(AT74),AT74*DD74,0)</f>
        <v>0</v>
      </c>
      <c r="EU74" s="28" t="n">
        <f aca="false">IF(ISNUMBER(AX74),AX74*DE74,0)</f>
        <v>0</v>
      </c>
      <c r="EV74" s="28" t="n">
        <f aca="false">IF(ISNUMBER(BB74),BB74*DF74,0)</f>
        <v>0</v>
      </c>
      <c r="EW74" s="28" t="n">
        <f aca="false">IF(ISNUMBER(BF74),BF74*DG74,0)</f>
        <v>0</v>
      </c>
      <c r="EX74" s="28" t="n">
        <f aca="false">IF(ISNUMBER(BJ74),BJ74*DH74,0)</f>
        <v>0</v>
      </c>
      <c r="EY74" s="28" t="n">
        <f aca="false">IF(ISNUMBER(BN74),BN74*DI74,0)</f>
        <v>0</v>
      </c>
      <c r="EZ74" s="28" t="n">
        <f aca="false">IF(ISNUMBER(BR74),BR74*DJ74,0)</f>
        <v>0</v>
      </c>
      <c r="FA74" s="28" t="n">
        <f aca="false">IF(ISNUMBER(R74),CW74,0)</f>
        <v>1</v>
      </c>
      <c r="FB74" s="28" t="n">
        <f aca="false">IF(ISNUMBER(V74),CX74,0)</f>
        <v>1</v>
      </c>
      <c r="FC74" s="28" t="n">
        <f aca="false">IF(ISNUMBER(Z74),CY74,0)</f>
        <v>1</v>
      </c>
      <c r="FD74" s="28" t="n">
        <f aca="false">IF(ISNUMBER(AD74),CZ74,0)</f>
        <v>1</v>
      </c>
      <c r="FE74" s="28" t="n">
        <f aca="false">IF(ISNUMBER(AH74),DA74,0)</f>
        <v>2</v>
      </c>
      <c r="FF74" s="28" t="n">
        <f aca="false">IF(ISNUMBER(AL74),DB74,0)</f>
        <v>0</v>
      </c>
      <c r="FG74" s="28" t="n">
        <f aca="false">IF(ISNUMBER(AP74),DC74,0)</f>
        <v>0</v>
      </c>
      <c r="FH74" s="28" t="n">
        <f aca="false">IF(ISNUMBER(AT74),DD74,0)</f>
        <v>0</v>
      </c>
      <c r="FI74" s="28" t="n">
        <f aca="false">IF(ISNUMBER(AX74),DE74,0)</f>
        <v>0</v>
      </c>
      <c r="FJ74" s="28" t="n">
        <f aca="false">IF(ISNUMBER(BB74),DF74,0)</f>
        <v>0</v>
      </c>
      <c r="FK74" s="28" t="n">
        <f aca="false">IF(ISNUMBER(BF74),DG74,0)</f>
        <v>0</v>
      </c>
      <c r="FL74" s="28" t="n">
        <f aca="false">IF(ISNUMBER(BJ74),DH74,0)</f>
        <v>0</v>
      </c>
      <c r="FM74" s="28" t="n">
        <f aca="false">IF(ISNUMBER(BN74),DI74,0)</f>
        <v>0</v>
      </c>
      <c r="FN74" s="28" t="n">
        <f aca="false">IF(ISNUMBER(BR74),DJ74,0)</f>
        <v>0</v>
      </c>
      <c r="FO74" s="28" t="str">
        <f aca="false">IFERROR(INDEX(Lists!$G$2:$G$20,MATCH($I74&amp;"|"&amp;$J74,Lists!$F$2:$F$20,0)),"")</f>
        <v>Econ Exam</v>
      </c>
    </row>
    <row r="75" customFormat="false" ht="19.5" hidden="false" customHeight="true" outlineLevel="0" collapsed="false">
      <c r="A75" s="29" t="s">
        <v>279</v>
      </c>
      <c r="B75" s="29" t="s">
        <v>280</v>
      </c>
      <c r="C75" s="30" t="s">
        <v>192</v>
      </c>
      <c r="D75" s="30" t="s">
        <v>271</v>
      </c>
      <c r="E75" s="31" t="n">
        <v>5.3</v>
      </c>
      <c r="F75" s="30" t="n">
        <v>6</v>
      </c>
      <c r="G75" s="30"/>
      <c r="H75" s="32" t="s">
        <v>23</v>
      </c>
      <c r="I75" s="33" t="s">
        <v>229</v>
      </c>
      <c r="J75" s="32" t="s">
        <v>25</v>
      </c>
      <c r="K75" s="34" t="n">
        <f aca="false">IF(OR(M75="",$E75=""),"",M75-$E75)</f>
        <v>-0.3</v>
      </c>
      <c r="L75" s="35" t="n">
        <f aca="false">IF(SUM(FA75:FN75)=0,"",SUM(EM75:EZ75)/SUM(FA75:FN75))</f>
        <v>60.6363636363636</v>
      </c>
      <c r="M75" s="36" t="n">
        <f aca="false">IF(OR(L75="",FO75=""),"",IFERROR(MATCH(L75,INDEX(Boundaries!$B$2:$I$30,MATCH(FO75,Boundaries!$A$2:$A$30,0),0),1)-1,""))</f>
        <v>5</v>
      </c>
      <c r="N75" s="37" t="n">
        <f aca="false">IF(COUNT($DY75:$EL75)&lt;2,"",INDEX($DK75:$DX75,MAX($DY75:$EL75))-INDEX($DK75:$DX75,MIN($DY75:$EL75)))</f>
        <v>2</v>
      </c>
      <c r="O75" s="37" t="n">
        <f aca="false">IF(COUNT($DY75:$EL75)&lt;2,"",INDEX($DK75:$DX75,MAX($DY75:$EL75))-INDEX($DK75:$DX75,LARGE($DY75:$EL75,2)))</f>
        <v>2</v>
      </c>
      <c r="P75" s="38" t="str">
        <f aca="false">IF(K75="","",IF(K75&gt;=0,"On/above target",IF(AND(N75&lt;&gt;"",N75&gt;=0.5),"Improving towards target",IF(AND(O75&lt;&gt;"",O75&lt;=-0.5),"Declining","Stable below target"))))</f>
        <v>Improving towards target</v>
      </c>
      <c r="Q75" s="39" t="n">
        <v>17</v>
      </c>
      <c r="R75" s="40" t="n">
        <f aca="false">IF(OR(Q75="",BU75=""),"",Q75/BU75*100)</f>
        <v>56.6666666666667</v>
      </c>
      <c r="S75" s="41" t="n">
        <f aca="false">IF(R75="","",IFERROR(MATCH(R75,INDEX(Boundaries!$B$2:$I$30,MATCH(CI75,Boundaries!$A$2:$A$30,0),0),1)-1,""))</f>
        <v>4</v>
      </c>
      <c r="T75" s="42" t="n">
        <f aca="false">IF(OR(S75="",$E75=""),"",S75-$E75)</f>
        <v>-1.3</v>
      </c>
      <c r="U75" s="39" t="n">
        <v>8</v>
      </c>
      <c r="V75" s="40" t="n">
        <f aca="false">IF(OR(U75="",BV75=""),"",U75/BV75*100)</f>
        <v>33.3333333333333</v>
      </c>
      <c r="W75" s="41" t="n">
        <f aca="false">IF(V75="","",IFERROR(MATCH(V75,INDEX(Boundaries!$B$2:$I$30,MATCH(CJ75,Boundaries!$A$2:$A$30,0),0),1)-1,""))</f>
        <v>2</v>
      </c>
      <c r="X75" s="42" t="n">
        <f aca="false">IF(OR(W75="",$E75=""),"",W75-$E75)</f>
        <v>-3.3</v>
      </c>
      <c r="Y75" s="39" t="n">
        <v>18</v>
      </c>
      <c r="Z75" s="40" t="n">
        <f aca="false">IF(OR(Y75="",BW75=""),"",Y75/BW75*100)</f>
        <v>72</v>
      </c>
      <c r="AA75" s="41" t="n">
        <f aca="false">IF(Z75="","",IFERROR(MATCH(Z75,INDEX(Boundaries!$B$2:$I$30,MATCH(CK75,Boundaries!$A$2:$A$30,0),0),1)-1,""))</f>
        <v>5</v>
      </c>
      <c r="AB75" s="42" t="n">
        <f aca="false">IF(OR(AA75="",$E75=""),"",AA75-$E75)</f>
        <v>-0.3</v>
      </c>
      <c r="AC75" s="39" t="n">
        <v>21</v>
      </c>
      <c r="AD75" s="40" t="n">
        <f aca="false">IF(OR(AC75="",BX75=""),"",AC75/BX75*100)</f>
        <v>60</v>
      </c>
      <c r="AE75" s="41" t="n">
        <f aca="false">IF(AD75="","",IFERROR(MATCH(AD75,INDEX(Boundaries!$B$2:$I$30,MATCH(CL75,Boundaries!$A$2:$A$30,0),0),1)-1,""))</f>
        <v>4</v>
      </c>
      <c r="AF75" s="42" t="n">
        <f aca="false">IF(OR(AE75="",$E75=""),"",AE75-$E75)</f>
        <v>-1.3</v>
      </c>
      <c r="AG75" s="39" t="n">
        <v>39</v>
      </c>
      <c r="AH75" s="40" t="n">
        <f aca="false">IF(OR(AG75="",BY75=""),"",AG75/BY75*100)</f>
        <v>70.9090909090909</v>
      </c>
      <c r="AI75" s="41" t="n">
        <f aca="false">IF(AH75="","",IFERROR(MATCH(AH75,INDEX(Boundaries!$B$2:$I$30,MATCH(CM75,Boundaries!$A$2:$A$30,0),0),1)-1,""))</f>
        <v>6</v>
      </c>
      <c r="AJ75" s="42" t="n">
        <f aca="false">IF(OR(AI75="",$E75=""),"",AI75-$E75)</f>
        <v>0.7</v>
      </c>
      <c r="AK75" s="39"/>
      <c r="AL75" s="40" t="str">
        <f aca="false">IF(OR(AK75="",BZ75=""),"",AK75/BZ75*100)</f>
        <v/>
      </c>
      <c r="AM75" s="41" t="str">
        <f aca="false">IF(AL75="","",IFERROR(MATCH(AL75,INDEX(Boundaries!$B$2:$I$30,MATCH(CN75,Boundaries!$A$2:$A$30,0),0),1)-1,""))</f>
        <v/>
      </c>
      <c r="AN75" s="42" t="str">
        <f aca="false">IF(OR(AM75="",$E75=""),"",AM75-$E75)</f>
        <v/>
      </c>
      <c r="AO75" s="39"/>
      <c r="AP75" s="40" t="str">
        <f aca="false">IF(OR(AO75="",CA75=""),"",AO75/CA75*100)</f>
        <v/>
      </c>
      <c r="AQ75" s="41" t="str">
        <f aca="false">IF(AP75="","",IFERROR(MATCH(AP75,INDEX(Boundaries!$B$2:$I$30,MATCH(CO75,Boundaries!$A$2:$A$30,0),0),1)-1,""))</f>
        <v/>
      </c>
      <c r="AR75" s="42" t="str">
        <f aca="false">IF(OR(AQ75="",$E75=""),"",AQ75-$E75)</f>
        <v/>
      </c>
      <c r="AS75" s="39"/>
      <c r="AT75" s="40" t="str">
        <f aca="false">IF(OR(AS75="",CB75=""),"",AS75/CB75*100)</f>
        <v/>
      </c>
      <c r="AU75" s="41" t="str">
        <f aca="false">IF(AT75="","",IFERROR(MATCH(AT75,INDEX(Boundaries!$B$2:$I$30,MATCH(CP75,Boundaries!$A$2:$A$30,0),0),1)-1,""))</f>
        <v/>
      </c>
      <c r="AV75" s="42" t="str">
        <f aca="false">IF(OR(AU75="",$E75=""),"",AU75-$E75)</f>
        <v/>
      </c>
      <c r="AW75" s="39"/>
      <c r="AX75" s="40" t="str">
        <f aca="false">IF(OR(AW75="",CC75=""),"",AW75/CC75*100)</f>
        <v/>
      </c>
      <c r="AY75" s="41" t="str">
        <f aca="false">IF(AX75="","",IFERROR(MATCH(AX75,INDEX(Boundaries!$B$2:$I$30,MATCH(CQ75,Boundaries!$A$2:$A$30,0),0),1)-1,""))</f>
        <v/>
      </c>
      <c r="AZ75" s="42" t="str">
        <f aca="false">IF(OR(AY75="",$E75=""),"",AY75-$E75)</f>
        <v/>
      </c>
      <c r="BA75" s="39"/>
      <c r="BB75" s="40" t="str">
        <f aca="false">IF(OR(BA75="",CD75=""),"",BA75/CD75*100)</f>
        <v/>
      </c>
      <c r="BC75" s="41" t="str">
        <f aca="false">IF(BB75="","",IFERROR(MATCH(BB75,INDEX(Boundaries!$B$2:$I$30,MATCH(CR75,Boundaries!$A$2:$A$30,0),0),1)-1,""))</f>
        <v/>
      </c>
      <c r="BD75" s="42" t="str">
        <f aca="false">IF(OR(BC75="",$E75=""),"",BC75-$E75)</f>
        <v/>
      </c>
      <c r="BE75" s="39"/>
      <c r="BF75" s="40" t="str">
        <f aca="false">IF(OR(BE75="",CE75=""),"",BE75/CE75*100)</f>
        <v/>
      </c>
      <c r="BG75" s="41" t="str">
        <f aca="false">IF(BF75="","",IFERROR(MATCH(BF75,INDEX(Boundaries!$B$2:$I$30,MATCH(CS75,Boundaries!$A$2:$A$30,0),0),1)-1,""))</f>
        <v/>
      </c>
      <c r="BH75" s="42" t="str">
        <f aca="false">IF(OR(BG75="",$E75=""),"",BG75-$E75)</f>
        <v/>
      </c>
      <c r="BI75" s="39"/>
      <c r="BJ75" s="40" t="str">
        <f aca="false">IF(OR(BI75="",CF75=""),"",BI75/CF75*100)</f>
        <v/>
      </c>
      <c r="BK75" s="41" t="str">
        <f aca="false">IF(BJ75="","",IFERROR(MATCH(BJ75,INDEX(Boundaries!$B$2:$I$30,MATCH(CT75,Boundaries!$A$2:$A$30,0),0),1)-1,""))</f>
        <v/>
      </c>
      <c r="BL75" s="42" t="str">
        <f aca="false">IF(OR(BK75="",$E75=""),"",BK75-$E75)</f>
        <v/>
      </c>
      <c r="BM75" s="39"/>
      <c r="BN75" s="40" t="str">
        <f aca="false">IF(OR(BM75="",CG75=""),"",BM75/CG75*100)</f>
        <v/>
      </c>
      <c r="BO75" s="41" t="str">
        <f aca="false">IF(BN75="","",IFERROR(MATCH(BN75,INDEX(Boundaries!$B$2:$I$30,MATCH(CU75,Boundaries!$A$2:$A$30,0),0),1)-1,""))</f>
        <v/>
      </c>
      <c r="BP75" s="42" t="str">
        <f aca="false">IF(OR(BO75="",$E75=""),"",BO75-$E75)</f>
        <v/>
      </c>
      <c r="BQ75" s="39"/>
      <c r="BR75" s="40" t="str">
        <f aca="false">IF(OR(BQ75="",CH75=""),"",BQ75/CH75*100)</f>
        <v/>
      </c>
      <c r="BS75" s="41" t="str">
        <f aca="false">IF(BR75="","",IFERROR(MATCH(BR75,INDEX(Boundaries!$B$2:$I$30,MATCH(CV75,Boundaries!$A$2:$A$30,0),0),1)-1,""))</f>
        <v/>
      </c>
      <c r="BT75" s="42" t="str">
        <f aca="false">IF(OR(BS75="",$E75=""),"",BS75-$E75)</f>
        <v/>
      </c>
      <c r="BU75" s="28" t="n">
        <f aca="false">IFERROR(INDEX(Assessments!$H$2:$H$600,MATCH($H75&amp;"|"&amp;$I75&amp;"|"&amp;$J75&amp;"|"&amp;1,Assessments!$A$2:$A$600,0)),"")</f>
        <v>30</v>
      </c>
      <c r="BV75" s="28" t="n">
        <f aca="false">IFERROR(INDEX(Assessments!$H$2:$H$600,MATCH($H75&amp;"|"&amp;$I75&amp;"|"&amp;$J75&amp;"|"&amp;2,Assessments!$A$2:$A$600,0)),"")</f>
        <v>24</v>
      </c>
      <c r="BW75" s="28" t="n">
        <f aca="false">IFERROR(INDEX(Assessments!$H$2:$H$600,MATCH($H75&amp;"|"&amp;$I75&amp;"|"&amp;$J75&amp;"|"&amp;3,Assessments!$A$2:$A$600,0)),"")</f>
        <v>25</v>
      </c>
      <c r="BX75" s="28" t="n">
        <f aca="false">IFERROR(INDEX(Assessments!$H$2:$H$600,MATCH($H75&amp;"|"&amp;$I75&amp;"|"&amp;$J75&amp;"|"&amp;4,Assessments!$A$2:$A$600,0)),"")</f>
        <v>35</v>
      </c>
      <c r="BY75" s="28" t="n">
        <f aca="false">IFERROR(INDEX(Assessments!$H$2:$H$600,MATCH($H75&amp;"|"&amp;$I75&amp;"|"&amp;$J75&amp;"|"&amp;5,Assessments!$A$2:$A$600,0)),"")</f>
        <v>55</v>
      </c>
      <c r="BZ75" s="28" t="n">
        <f aca="false">IFERROR(INDEX(Assessments!$H$2:$H$600,MATCH($H75&amp;"|"&amp;$I75&amp;"|"&amp;$J75&amp;"|"&amp;6,Assessments!$A$2:$A$600,0)),"")</f>
        <v>30</v>
      </c>
      <c r="CA75" s="28" t="n">
        <f aca="false">IFERROR(INDEX(Assessments!$H$2:$H$600,MATCH($H75&amp;"|"&amp;$I75&amp;"|"&amp;$J75&amp;"|"&amp;7,Assessments!$A$2:$A$600,0)),"")</f>
        <v>95</v>
      </c>
      <c r="CB75" s="28" t="str">
        <f aca="false">IFERROR(INDEX(Assessments!$H$2:$H$600,MATCH($H75&amp;"|"&amp;$I75&amp;"|"&amp;$J75&amp;"|"&amp;8,Assessments!$A$2:$A$600,0)),"")</f>
        <v/>
      </c>
      <c r="CC75" s="28" t="str">
        <f aca="false">IFERROR(INDEX(Assessments!$H$2:$H$600,MATCH($H75&amp;"|"&amp;$I75&amp;"|"&amp;$J75&amp;"|"&amp;9,Assessments!$A$2:$A$600,0)),"")</f>
        <v/>
      </c>
      <c r="CD75" s="28" t="str">
        <f aca="false">IFERROR(INDEX(Assessments!$H$2:$H$600,MATCH($H75&amp;"|"&amp;$I75&amp;"|"&amp;$J75&amp;"|"&amp;10,Assessments!$A$2:$A$600,0)),"")</f>
        <v/>
      </c>
      <c r="CE75" s="28" t="str">
        <f aca="false">IFERROR(INDEX(Assessments!$H$2:$H$600,MATCH($H75&amp;"|"&amp;$I75&amp;"|"&amp;$J75&amp;"|"&amp;11,Assessments!$A$2:$A$600,0)),"")</f>
        <v/>
      </c>
      <c r="CF75" s="28" t="str">
        <f aca="false">IFERROR(INDEX(Assessments!$H$2:$H$600,MATCH($H75&amp;"|"&amp;$I75&amp;"|"&amp;$J75&amp;"|"&amp;12,Assessments!$A$2:$A$600,0)),"")</f>
        <v/>
      </c>
      <c r="CG75" s="28" t="str">
        <f aca="false">IFERROR(INDEX(Assessments!$H$2:$H$600,MATCH($H75&amp;"|"&amp;$I75&amp;"|"&amp;$J75&amp;"|"&amp;13,Assessments!$A$2:$A$600,0)),"")</f>
        <v/>
      </c>
      <c r="CH75" s="28" t="str">
        <f aca="false">IFERROR(INDEX(Assessments!$H$2:$H$600,MATCH($H75&amp;"|"&amp;$I75&amp;"|"&amp;$J75&amp;"|"&amp;14,Assessments!$A$2:$A$600,0)),"")</f>
        <v/>
      </c>
      <c r="CI75" s="28" t="str">
        <f aca="false">IFERROR(INDEX(Assessments!$I$2:$I$600,MATCH($H75&amp;"|"&amp;$I75&amp;"|"&amp;$J75&amp;"|"&amp;1,Assessments!$A$2:$A$600,0)),"")</f>
        <v>Econ Test</v>
      </c>
      <c r="CJ75" s="28" t="str">
        <f aca="false">IFERROR(INDEX(Assessments!$I$2:$I$600,MATCH($H75&amp;"|"&amp;$I75&amp;"|"&amp;$J75&amp;"|"&amp;2,Assessments!$A$2:$A$600,0)),"")</f>
        <v>Econ Test</v>
      </c>
      <c r="CK75" s="28" t="str">
        <f aca="false">IFERROR(INDEX(Assessments!$I$2:$I$600,MATCH($H75&amp;"|"&amp;$I75&amp;"|"&amp;$J75&amp;"|"&amp;3,Assessments!$A$2:$A$600,0)),"")</f>
        <v>Econ Test</v>
      </c>
      <c r="CL75" s="28" t="str">
        <f aca="false">IFERROR(INDEX(Assessments!$I$2:$I$600,MATCH($H75&amp;"|"&amp;$I75&amp;"|"&amp;$J75&amp;"|"&amp;4,Assessments!$A$2:$A$600,0)),"")</f>
        <v>Econ Test</v>
      </c>
      <c r="CM75" s="28" t="str">
        <f aca="false">IFERROR(INDEX(Assessments!$I$2:$I$600,MATCH($H75&amp;"|"&amp;$I75&amp;"|"&amp;$J75&amp;"|"&amp;5,Assessments!$A$2:$A$600,0)),"")</f>
        <v>Econ Exam</v>
      </c>
      <c r="CN75" s="28" t="str">
        <f aca="false">IFERROR(INDEX(Assessments!$I$2:$I$600,MATCH($H75&amp;"|"&amp;$I75&amp;"|"&amp;$J75&amp;"|"&amp;6,Assessments!$A$2:$A$600,0)),"")</f>
        <v>Econ Test</v>
      </c>
      <c r="CO75" s="28" t="str">
        <f aca="false">IFERROR(INDEX(Assessments!$I$2:$I$600,MATCH($H75&amp;"|"&amp;$I75&amp;"|"&amp;$J75&amp;"|"&amp;7,Assessments!$A$2:$A$600,0)),"")</f>
        <v>Econ Exam</v>
      </c>
      <c r="CP75" s="28" t="str">
        <f aca="false">IFERROR(INDEX(Assessments!$I$2:$I$600,MATCH($H75&amp;"|"&amp;$I75&amp;"|"&amp;$J75&amp;"|"&amp;8,Assessments!$A$2:$A$600,0)),"")</f>
        <v/>
      </c>
      <c r="CQ75" s="28" t="str">
        <f aca="false">IFERROR(INDEX(Assessments!$I$2:$I$600,MATCH($H75&amp;"|"&amp;$I75&amp;"|"&amp;$J75&amp;"|"&amp;9,Assessments!$A$2:$A$600,0)),"")</f>
        <v/>
      </c>
      <c r="CR75" s="28" t="str">
        <f aca="false">IFERROR(INDEX(Assessments!$I$2:$I$600,MATCH($H75&amp;"|"&amp;$I75&amp;"|"&amp;$J75&amp;"|"&amp;10,Assessments!$A$2:$A$600,0)),"")</f>
        <v/>
      </c>
      <c r="CS75" s="28" t="str">
        <f aca="false">IFERROR(INDEX(Assessments!$I$2:$I$600,MATCH($H75&amp;"|"&amp;$I75&amp;"|"&amp;$J75&amp;"|"&amp;11,Assessments!$A$2:$A$600,0)),"")</f>
        <v/>
      </c>
      <c r="CT75" s="28" t="str">
        <f aca="false">IFERROR(INDEX(Assessments!$I$2:$I$600,MATCH($H75&amp;"|"&amp;$I75&amp;"|"&amp;$J75&amp;"|"&amp;12,Assessments!$A$2:$A$600,0)),"")</f>
        <v/>
      </c>
      <c r="CU75" s="28" t="str">
        <f aca="false">IFERROR(INDEX(Assessments!$I$2:$I$600,MATCH($H75&amp;"|"&amp;$I75&amp;"|"&amp;$J75&amp;"|"&amp;13,Assessments!$A$2:$A$600,0)),"")</f>
        <v/>
      </c>
      <c r="CV75" s="28" t="str">
        <f aca="false">IFERROR(INDEX(Assessments!$I$2:$I$600,MATCH($H75&amp;"|"&amp;$I75&amp;"|"&amp;$J75&amp;"|"&amp;14,Assessments!$A$2:$A$600,0)),"")</f>
        <v/>
      </c>
      <c r="CW75" s="28" t="n">
        <f aca="false">IFERROR(INDEX(Assessments!$J$2:$J$600,MATCH($H75&amp;"|"&amp;$I75&amp;"|"&amp;$J75&amp;"|"&amp;1,Assessments!$A$2:$A$600,0)),0)</f>
        <v>1</v>
      </c>
      <c r="CX75" s="28" t="n">
        <f aca="false">IFERROR(INDEX(Assessments!$J$2:$J$600,MATCH($H75&amp;"|"&amp;$I75&amp;"|"&amp;$J75&amp;"|"&amp;2,Assessments!$A$2:$A$600,0)),0)</f>
        <v>1</v>
      </c>
      <c r="CY75" s="28" t="n">
        <f aca="false">IFERROR(INDEX(Assessments!$J$2:$J$600,MATCH($H75&amp;"|"&amp;$I75&amp;"|"&amp;$J75&amp;"|"&amp;3,Assessments!$A$2:$A$600,0)),0)</f>
        <v>1</v>
      </c>
      <c r="CZ75" s="28" t="n">
        <f aca="false">IFERROR(INDEX(Assessments!$J$2:$J$600,MATCH($H75&amp;"|"&amp;$I75&amp;"|"&amp;$J75&amp;"|"&amp;4,Assessments!$A$2:$A$600,0)),0)</f>
        <v>1</v>
      </c>
      <c r="DA75" s="28" t="n">
        <f aca="false">IFERROR(INDEX(Assessments!$J$2:$J$600,MATCH($H75&amp;"|"&amp;$I75&amp;"|"&amp;$J75&amp;"|"&amp;5,Assessments!$A$2:$A$600,0)),0)</f>
        <v>2</v>
      </c>
      <c r="DB75" s="28" t="n">
        <f aca="false">IFERROR(INDEX(Assessments!$J$2:$J$600,MATCH($H75&amp;"|"&amp;$I75&amp;"|"&amp;$J75&amp;"|"&amp;6,Assessments!$A$2:$A$600,0)),0)</f>
        <v>1</v>
      </c>
      <c r="DC75" s="28" t="n">
        <f aca="false">IFERROR(INDEX(Assessments!$J$2:$J$600,MATCH($H75&amp;"|"&amp;$I75&amp;"|"&amp;$J75&amp;"|"&amp;7,Assessments!$A$2:$A$600,0)),0)</f>
        <v>2</v>
      </c>
      <c r="DD75" s="28" t="n">
        <f aca="false">IFERROR(INDEX(Assessments!$J$2:$J$600,MATCH($H75&amp;"|"&amp;$I75&amp;"|"&amp;$J75&amp;"|"&amp;8,Assessments!$A$2:$A$600,0)),0)</f>
        <v>0</v>
      </c>
      <c r="DE75" s="28" t="n">
        <f aca="false">IFERROR(INDEX(Assessments!$J$2:$J$600,MATCH($H75&amp;"|"&amp;$I75&amp;"|"&amp;$J75&amp;"|"&amp;9,Assessments!$A$2:$A$600,0)),0)</f>
        <v>0</v>
      </c>
      <c r="DF75" s="28" t="n">
        <f aca="false">IFERROR(INDEX(Assessments!$J$2:$J$600,MATCH($H75&amp;"|"&amp;$I75&amp;"|"&amp;$J75&amp;"|"&amp;10,Assessments!$A$2:$A$600,0)),0)</f>
        <v>0</v>
      </c>
      <c r="DG75" s="28" t="n">
        <f aca="false">IFERROR(INDEX(Assessments!$J$2:$J$600,MATCH($H75&amp;"|"&amp;$I75&amp;"|"&amp;$J75&amp;"|"&amp;11,Assessments!$A$2:$A$600,0)),0)</f>
        <v>0</v>
      </c>
      <c r="DH75" s="28" t="n">
        <f aca="false">IFERROR(INDEX(Assessments!$J$2:$J$600,MATCH($H75&amp;"|"&amp;$I75&amp;"|"&amp;$J75&amp;"|"&amp;12,Assessments!$A$2:$A$600,0)),0)</f>
        <v>0</v>
      </c>
      <c r="DI75" s="28" t="n">
        <f aca="false">IFERROR(INDEX(Assessments!$J$2:$J$600,MATCH($H75&amp;"|"&amp;$I75&amp;"|"&amp;$J75&amp;"|"&amp;13,Assessments!$A$2:$A$600,0)),0)</f>
        <v>0</v>
      </c>
      <c r="DJ75" s="28" t="n">
        <f aca="false">IFERROR(INDEX(Assessments!$J$2:$J$600,MATCH($H75&amp;"|"&amp;$I75&amp;"|"&amp;$J75&amp;"|"&amp;14,Assessments!$A$2:$A$600,0)),0)</f>
        <v>0</v>
      </c>
      <c r="DK75" s="28" t="n">
        <f aca="false">S75</f>
        <v>4</v>
      </c>
      <c r="DL75" s="28" t="n">
        <f aca="false">W75</f>
        <v>2</v>
      </c>
      <c r="DM75" s="28" t="n">
        <f aca="false">AA75</f>
        <v>5</v>
      </c>
      <c r="DN75" s="28" t="n">
        <f aca="false">AE75</f>
        <v>4</v>
      </c>
      <c r="DO75" s="28" t="n">
        <f aca="false">AI75</f>
        <v>6</v>
      </c>
      <c r="DP75" s="28" t="str">
        <f aca="false">AM75</f>
        <v/>
      </c>
      <c r="DQ75" s="28" t="str">
        <f aca="false">AQ75</f>
        <v/>
      </c>
      <c r="DR75" s="28" t="str">
        <f aca="false">AU75</f>
        <v/>
      </c>
      <c r="DS75" s="28" t="str">
        <f aca="false">AY75</f>
        <v/>
      </c>
      <c r="DT75" s="28" t="str">
        <f aca="false">BC75</f>
        <v/>
      </c>
      <c r="DU75" s="28" t="str">
        <f aca="false">BG75</f>
        <v/>
      </c>
      <c r="DV75" s="28" t="str">
        <f aca="false">BK75</f>
        <v/>
      </c>
      <c r="DW75" s="28" t="str">
        <f aca="false">BO75</f>
        <v/>
      </c>
      <c r="DX75" s="28" t="str">
        <f aca="false">BS75</f>
        <v/>
      </c>
      <c r="DY75" s="28" t="n">
        <f aca="false">IF(ISNUMBER(S75),1,"")</f>
        <v>1</v>
      </c>
      <c r="DZ75" s="28" t="n">
        <f aca="false">IF(ISNUMBER(W75),2,"")</f>
        <v>2</v>
      </c>
      <c r="EA75" s="28" t="n">
        <f aca="false">IF(ISNUMBER(AA75),3,"")</f>
        <v>3</v>
      </c>
      <c r="EB75" s="28" t="n">
        <f aca="false">IF(ISNUMBER(AE75),4,"")</f>
        <v>4</v>
      </c>
      <c r="EC75" s="28" t="n">
        <f aca="false">IF(ISNUMBER(AI75),5,"")</f>
        <v>5</v>
      </c>
      <c r="ED75" s="28" t="str">
        <f aca="false">IF(ISNUMBER(AM75),6,"")</f>
        <v/>
      </c>
      <c r="EE75" s="28" t="str">
        <f aca="false">IF(ISNUMBER(AQ75),7,"")</f>
        <v/>
      </c>
      <c r="EF75" s="28" t="str">
        <f aca="false">IF(ISNUMBER(AU75),8,"")</f>
        <v/>
      </c>
      <c r="EG75" s="28" t="str">
        <f aca="false">IF(ISNUMBER(AY75),9,"")</f>
        <v/>
      </c>
      <c r="EH75" s="28" t="str">
        <f aca="false">IF(ISNUMBER(BC75),10,"")</f>
        <v/>
      </c>
      <c r="EI75" s="28" t="str">
        <f aca="false">IF(ISNUMBER(BG75),11,"")</f>
        <v/>
      </c>
      <c r="EJ75" s="28" t="str">
        <f aca="false">IF(ISNUMBER(BK75),12,"")</f>
        <v/>
      </c>
      <c r="EK75" s="28" t="str">
        <f aca="false">IF(ISNUMBER(BO75),13,"")</f>
        <v/>
      </c>
      <c r="EL75" s="28" t="str">
        <f aca="false">IF(ISNUMBER(BS75),14,"")</f>
        <v/>
      </c>
      <c r="EM75" s="28" t="n">
        <f aca="false">IF(ISNUMBER(R75),R75*CW75,0)</f>
        <v>56.6666666666667</v>
      </c>
      <c r="EN75" s="28" t="n">
        <f aca="false">IF(ISNUMBER(V75),V75*CX75,0)</f>
        <v>33.3333333333333</v>
      </c>
      <c r="EO75" s="28" t="n">
        <f aca="false">IF(ISNUMBER(Z75),Z75*CY75,0)</f>
        <v>72</v>
      </c>
      <c r="EP75" s="28" t="n">
        <f aca="false">IF(ISNUMBER(AD75),AD75*CZ75,0)</f>
        <v>60</v>
      </c>
      <c r="EQ75" s="28" t="n">
        <f aca="false">IF(ISNUMBER(AH75),AH75*DA75,0)</f>
        <v>141.818181818182</v>
      </c>
      <c r="ER75" s="28" t="n">
        <f aca="false">IF(ISNUMBER(AL75),AL75*DB75,0)</f>
        <v>0</v>
      </c>
      <c r="ES75" s="28" t="n">
        <f aca="false">IF(ISNUMBER(AP75),AP75*DC75,0)</f>
        <v>0</v>
      </c>
      <c r="ET75" s="28" t="n">
        <f aca="false">IF(ISNUMBER(AT75),AT75*DD75,0)</f>
        <v>0</v>
      </c>
      <c r="EU75" s="28" t="n">
        <f aca="false">IF(ISNUMBER(AX75),AX75*DE75,0)</f>
        <v>0</v>
      </c>
      <c r="EV75" s="28" t="n">
        <f aca="false">IF(ISNUMBER(BB75),BB75*DF75,0)</f>
        <v>0</v>
      </c>
      <c r="EW75" s="28" t="n">
        <f aca="false">IF(ISNUMBER(BF75),BF75*DG75,0)</f>
        <v>0</v>
      </c>
      <c r="EX75" s="28" t="n">
        <f aca="false">IF(ISNUMBER(BJ75),BJ75*DH75,0)</f>
        <v>0</v>
      </c>
      <c r="EY75" s="28" t="n">
        <f aca="false">IF(ISNUMBER(BN75),BN75*DI75,0)</f>
        <v>0</v>
      </c>
      <c r="EZ75" s="28" t="n">
        <f aca="false">IF(ISNUMBER(BR75),BR75*DJ75,0)</f>
        <v>0</v>
      </c>
      <c r="FA75" s="28" t="n">
        <f aca="false">IF(ISNUMBER(R75),CW75,0)</f>
        <v>1</v>
      </c>
      <c r="FB75" s="28" t="n">
        <f aca="false">IF(ISNUMBER(V75),CX75,0)</f>
        <v>1</v>
      </c>
      <c r="FC75" s="28" t="n">
        <f aca="false">IF(ISNUMBER(Z75),CY75,0)</f>
        <v>1</v>
      </c>
      <c r="FD75" s="28" t="n">
        <f aca="false">IF(ISNUMBER(AD75),CZ75,0)</f>
        <v>1</v>
      </c>
      <c r="FE75" s="28" t="n">
        <f aca="false">IF(ISNUMBER(AH75),DA75,0)</f>
        <v>2</v>
      </c>
      <c r="FF75" s="28" t="n">
        <f aca="false">IF(ISNUMBER(AL75),DB75,0)</f>
        <v>0</v>
      </c>
      <c r="FG75" s="28" t="n">
        <f aca="false">IF(ISNUMBER(AP75),DC75,0)</f>
        <v>0</v>
      </c>
      <c r="FH75" s="28" t="n">
        <f aca="false">IF(ISNUMBER(AT75),DD75,0)</f>
        <v>0</v>
      </c>
      <c r="FI75" s="28" t="n">
        <f aca="false">IF(ISNUMBER(AX75),DE75,0)</f>
        <v>0</v>
      </c>
      <c r="FJ75" s="28" t="n">
        <f aca="false">IF(ISNUMBER(BB75),DF75,0)</f>
        <v>0</v>
      </c>
      <c r="FK75" s="28" t="n">
        <f aca="false">IF(ISNUMBER(BF75),DG75,0)</f>
        <v>0</v>
      </c>
      <c r="FL75" s="28" t="n">
        <f aca="false">IF(ISNUMBER(BJ75),DH75,0)</f>
        <v>0</v>
      </c>
      <c r="FM75" s="28" t="n">
        <f aca="false">IF(ISNUMBER(BN75),DI75,0)</f>
        <v>0</v>
      </c>
      <c r="FN75" s="28" t="n">
        <f aca="false">IF(ISNUMBER(BR75),DJ75,0)</f>
        <v>0</v>
      </c>
      <c r="FO75" s="28" t="str">
        <f aca="false">IFERROR(INDEX(Lists!$G$2:$G$20,MATCH($I75&amp;"|"&amp;$J75,Lists!$F$2:$F$20,0)),"")</f>
        <v>Econ Exam</v>
      </c>
    </row>
    <row r="76" customFormat="false" ht="19.5" hidden="false" customHeight="true" outlineLevel="0" collapsed="false">
      <c r="A76" s="29" t="s">
        <v>281</v>
      </c>
      <c r="B76" s="29" t="s">
        <v>282</v>
      </c>
      <c r="C76" s="30" t="s">
        <v>192</v>
      </c>
      <c r="D76" s="30" t="s">
        <v>271</v>
      </c>
      <c r="E76" s="31" t="n">
        <v>5.9</v>
      </c>
      <c r="F76" s="30" t="n">
        <v>6</v>
      </c>
      <c r="G76" s="30"/>
      <c r="H76" s="32" t="s">
        <v>23</v>
      </c>
      <c r="I76" s="33" t="s">
        <v>229</v>
      </c>
      <c r="J76" s="32" t="s">
        <v>25</v>
      </c>
      <c r="K76" s="34" t="n">
        <f aca="false">IF(OR(M76="",$E76=""),"",M76-$E76)</f>
        <v>0.0999999999999996</v>
      </c>
      <c r="L76" s="35" t="n">
        <f aca="false">IF(SUM(FA76:FN76)=0,"",SUM(EM76:EZ76)/SUM(FA76:FN76))</f>
        <v>76.775974025974</v>
      </c>
      <c r="M76" s="36" t="n">
        <f aca="false">IF(OR(L76="",FO76=""),"",IFERROR(MATCH(L76,INDEX(Boundaries!$B$2:$I$30,MATCH(FO76,Boundaries!$A$2:$A$30,0),0),1)-1,""))</f>
        <v>6</v>
      </c>
      <c r="N76" s="37" t="n">
        <f aca="false">IF(COUNT($DY76:$EL76)&lt;2,"",INDEX($DK76:$DX76,MAX($DY76:$EL76))-INDEX($DK76:$DX76,MIN($DY76:$EL76)))</f>
        <v>1</v>
      </c>
      <c r="O76" s="37" t="n">
        <f aca="false">IF(COUNT($DY76:$EL76)&lt;2,"",INDEX($DK76:$DX76,MAX($DY76:$EL76))-INDEX($DK76:$DX76,LARGE($DY76:$EL76,2)))</f>
        <v>-1</v>
      </c>
      <c r="P76" s="38" t="str">
        <f aca="false">IF(K76="","",IF(K76&gt;=0,"On/above target",IF(AND(N76&lt;&gt;"",N76&gt;=0.5),"Improving towards target",IF(AND(O76&lt;&gt;"",O76&lt;=-0.5),"Declining","Stable below target"))))</f>
        <v>On/above target</v>
      </c>
      <c r="Q76" s="39" t="n">
        <v>22</v>
      </c>
      <c r="R76" s="40" t="n">
        <f aca="false">IF(OR(Q76="",BU76=""),"",Q76/BU76*100)</f>
        <v>73.3333333333333</v>
      </c>
      <c r="S76" s="41" t="n">
        <f aca="false">IF(R76="","",IFERROR(MATCH(R76,INDEX(Boundaries!$B$2:$I$30,MATCH(CI76,Boundaries!$A$2:$A$30,0),0),1)-1,""))</f>
        <v>5</v>
      </c>
      <c r="T76" s="42" t="n">
        <f aca="false">IF(OR(S76="",$E76=""),"",S76-$E76)</f>
        <v>-0.9</v>
      </c>
      <c r="U76" s="39" t="n">
        <v>19</v>
      </c>
      <c r="V76" s="40" t="n">
        <f aca="false">IF(OR(U76="",BV76=""),"",U76/BV76*100)</f>
        <v>79.1666666666667</v>
      </c>
      <c r="W76" s="41" t="n">
        <f aca="false">IF(V76="","",IFERROR(MATCH(V76,INDEX(Boundaries!$B$2:$I$30,MATCH(CJ76,Boundaries!$A$2:$A$30,0),0),1)-1,""))</f>
        <v>6</v>
      </c>
      <c r="X76" s="42" t="n">
        <f aca="false">IF(OR(W76="",$E76=""),"",W76-$E76)</f>
        <v>0.0999999999999996</v>
      </c>
      <c r="Y76" s="39" t="n">
        <v>16</v>
      </c>
      <c r="Z76" s="40" t="n">
        <f aca="false">IF(OR(Y76="",BW76=""),"",Y76/BW76*100)</f>
        <v>64</v>
      </c>
      <c r="AA76" s="41" t="n">
        <f aca="false">IF(Z76="","",IFERROR(MATCH(Z76,INDEX(Boundaries!$B$2:$I$30,MATCH(CK76,Boundaries!$A$2:$A$30,0),0),1)-1,""))</f>
        <v>4</v>
      </c>
      <c r="AB76" s="42" t="n">
        <f aca="false">IF(OR(AA76="",$E76=""),"",AA76-$E76)</f>
        <v>-1.9</v>
      </c>
      <c r="AC76" s="39" t="n">
        <v>32</v>
      </c>
      <c r="AD76" s="40" t="n">
        <f aca="false">IF(OR(AC76="",BX76=""),"",AC76/BX76*100)</f>
        <v>91.4285714285714</v>
      </c>
      <c r="AE76" s="41" t="n">
        <f aca="false">IF(AD76="","",IFERROR(MATCH(AD76,INDEX(Boundaries!$B$2:$I$30,MATCH(CL76,Boundaries!$A$2:$A$30,0),0),1)-1,""))</f>
        <v>7</v>
      </c>
      <c r="AF76" s="42" t="n">
        <f aca="false">IF(OR(AE76="",$E76=""),"",AE76-$E76)</f>
        <v>1.1</v>
      </c>
      <c r="AG76" s="39" t="n">
        <v>42</v>
      </c>
      <c r="AH76" s="40" t="n">
        <f aca="false">IF(OR(AG76="",BY76=""),"",AG76/BY76*100)</f>
        <v>76.3636363636364</v>
      </c>
      <c r="AI76" s="41" t="n">
        <f aca="false">IF(AH76="","",IFERROR(MATCH(AH76,INDEX(Boundaries!$B$2:$I$30,MATCH(CM76,Boundaries!$A$2:$A$30,0),0),1)-1,""))</f>
        <v>6</v>
      </c>
      <c r="AJ76" s="42" t="n">
        <f aca="false">IF(OR(AI76="",$E76=""),"",AI76-$E76)</f>
        <v>0.0999999999999996</v>
      </c>
      <c r="AK76" s="39"/>
      <c r="AL76" s="40" t="str">
        <f aca="false">IF(OR(AK76="",BZ76=""),"",AK76/BZ76*100)</f>
        <v/>
      </c>
      <c r="AM76" s="41" t="str">
        <f aca="false">IF(AL76="","",IFERROR(MATCH(AL76,INDEX(Boundaries!$B$2:$I$30,MATCH(CN76,Boundaries!$A$2:$A$30,0),0),1)-1,""))</f>
        <v/>
      </c>
      <c r="AN76" s="42" t="str">
        <f aca="false">IF(OR(AM76="",$E76=""),"",AM76-$E76)</f>
        <v/>
      </c>
      <c r="AO76" s="39"/>
      <c r="AP76" s="40" t="str">
        <f aca="false">IF(OR(AO76="",CA76=""),"",AO76/CA76*100)</f>
        <v/>
      </c>
      <c r="AQ76" s="41" t="str">
        <f aca="false">IF(AP76="","",IFERROR(MATCH(AP76,INDEX(Boundaries!$B$2:$I$30,MATCH(CO76,Boundaries!$A$2:$A$30,0),0),1)-1,""))</f>
        <v/>
      </c>
      <c r="AR76" s="42" t="str">
        <f aca="false">IF(OR(AQ76="",$E76=""),"",AQ76-$E76)</f>
        <v/>
      </c>
      <c r="AS76" s="39"/>
      <c r="AT76" s="40" t="str">
        <f aca="false">IF(OR(AS76="",CB76=""),"",AS76/CB76*100)</f>
        <v/>
      </c>
      <c r="AU76" s="41" t="str">
        <f aca="false">IF(AT76="","",IFERROR(MATCH(AT76,INDEX(Boundaries!$B$2:$I$30,MATCH(CP76,Boundaries!$A$2:$A$30,0),0),1)-1,""))</f>
        <v/>
      </c>
      <c r="AV76" s="42" t="str">
        <f aca="false">IF(OR(AU76="",$E76=""),"",AU76-$E76)</f>
        <v/>
      </c>
      <c r="AW76" s="39"/>
      <c r="AX76" s="40" t="str">
        <f aca="false">IF(OR(AW76="",CC76=""),"",AW76/CC76*100)</f>
        <v/>
      </c>
      <c r="AY76" s="41" t="str">
        <f aca="false">IF(AX76="","",IFERROR(MATCH(AX76,INDEX(Boundaries!$B$2:$I$30,MATCH(CQ76,Boundaries!$A$2:$A$30,0),0),1)-1,""))</f>
        <v/>
      </c>
      <c r="AZ76" s="42" t="str">
        <f aca="false">IF(OR(AY76="",$E76=""),"",AY76-$E76)</f>
        <v/>
      </c>
      <c r="BA76" s="39"/>
      <c r="BB76" s="40" t="str">
        <f aca="false">IF(OR(BA76="",CD76=""),"",BA76/CD76*100)</f>
        <v/>
      </c>
      <c r="BC76" s="41" t="str">
        <f aca="false">IF(BB76="","",IFERROR(MATCH(BB76,INDEX(Boundaries!$B$2:$I$30,MATCH(CR76,Boundaries!$A$2:$A$30,0),0),1)-1,""))</f>
        <v/>
      </c>
      <c r="BD76" s="42" t="str">
        <f aca="false">IF(OR(BC76="",$E76=""),"",BC76-$E76)</f>
        <v/>
      </c>
      <c r="BE76" s="39"/>
      <c r="BF76" s="40" t="str">
        <f aca="false">IF(OR(BE76="",CE76=""),"",BE76/CE76*100)</f>
        <v/>
      </c>
      <c r="BG76" s="41" t="str">
        <f aca="false">IF(BF76="","",IFERROR(MATCH(BF76,INDEX(Boundaries!$B$2:$I$30,MATCH(CS76,Boundaries!$A$2:$A$30,0),0),1)-1,""))</f>
        <v/>
      </c>
      <c r="BH76" s="42" t="str">
        <f aca="false">IF(OR(BG76="",$E76=""),"",BG76-$E76)</f>
        <v/>
      </c>
      <c r="BI76" s="39"/>
      <c r="BJ76" s="40" t="str">
        <f aca="false">IF(OR(BI76="",CF76=""),"",BI76/CF76*100)</f>
        <v/>
      </c>
      <c r="BK76" s="41" t="str">
        <f aca="false">IF(BJ76="","",IFERROR(MATCH(BJ76,INDEX(Boundaries!$B$2:$I$30,MATCH(CT76,Boundaries!$A$2:$A$30,0),0),1)-1,""))</f>
        <v/>
      </c>
      <c r="BL76" s="42" t="str">
        <f aca="false">IF(OR(BK76="",$E76=""),"",BK76-$E76)</f>
        <v/>
      </c>
      <c r="BM76" s="39"/>
      <c r="BN76" s="40" t="str">
        <f aca="false">IF(OR(BM76="",CG76=""),"",BM76/CG76*100)</f>
        <v/>
      </c>
      <c r="BO76" s="41" t="str">
        <f aca="false">IF(BN76="","",IFERROR(MATCH(BN76,INDEX(Boundaries!$B$2:$I$30,MATCH(CU76,Boundaries!$A$2:$A$30,0),0),1)-1,""))</f>
        <v/>
      </c>
      <c r="BP76" s="42" t="str">
        <f aca="false">IF(OR(BO76="",$E76=""),"",BO76-$E76)</f>
        <v/>
      </c>
      <c r="BQ76" s="39"/>
      <c r="BR76" s="40" t="str">
        <f aca="false">IF(OR(BQ76="",CH76=""),"",BQ76/CH76*100)</f>
        <v/>
      </c>
      <c r="BS76" s="41" t="str">
        <f aca="false">IF(BR76="","",IFERROR(MATCH(BR76,INDEX(Boundaries!$B$2:$I$30,MATCH(CV76,Boundaries!$A$2:$A$30,0),0),1)-1,""))</f>
        <v/>
      </c>
      <c r="BT76" s="42" t="str">
        <f aca="false">IF(OR(BS76="",$E76=""),"",BS76-$E76)</f>
        <v/>
      </c>
      <c r="BU76" s="28" t="n">
        <f aca="false">IFERROR(INDEX(Assessments!$H$2:$H$600,MATCH($H76&amp;"|"&amp;$I76&amp;"|"&amp;$J76&amp;"|"&amp;1,Assessments!$A$2:$A$600,0)),"")</f>
        <v>30</v>
      </c>
      <c r="BV76" s="28" t="n">
        <f aca="false">IFERROR(INDEX(Assessments!$H$2:$H$600,MATCH($H76&amp;"|"&amp;$I76&amp;"|"&amp;$J76&amp;"|"&amp;2,Assessments!$A$2:$A$600,0)),"")</f>
        <v>24</v>
      </c>
      <c r="BW76" s="28" t="n">
        <f aca="false">IFERROR(INDEX(Assessments!$H$2:$H$600,MATCH($H76&amp;"|"&amp;$I76&amp;"|"&amp;$J76&amp;"|"&amp;3,Assessments!$A$2:$A$600,0)),"")</f>
        <v>25</v>
      </c>
      <c r="BX76" s="28" t="n">
        <f aca="false">IFERROR(INDEX(Assessments!$H$2:$H$600,MATCH($H76&amp;"|"&amp;$I76&amp;"|"&amp;$J76&amp;"|"&amp;4,Assessments!$A$2:$A$600,0)),"")</f>
        <v>35</v>
      </c>
      <c r="BY76" s="28" t="n">
        <f aca="false">IFERROR(INDEX(Assessments!$H$2:$H$600,MATCH($H76&amp;"|"&amp;$I76&amp;"|"&amp;$J76&amp;"|"&amp;5,Assessments!$A$2:$A$600,0)),"")</f>
        <v>55</v>
      </c>
      <c r="BZ76" s="28" t="n">
        <f aca="false">IFERROR(INDEX(Assessments!$H$2:$H$600,MATCH($H76&amp;"|"&amp;$I76&amp;"|"&amp;$J76&amp;"|"&amp;6,Assessments!$A$2:$A$600,0)),"")</f>
        <v>30</v>
      </c>
      <c r="CA76" s="28" t="n">
        <f aca="false">IFERROR(INDEX(Assessments!$H$2:$H$600,MATCH($H76&amp;"|"&amp;$I76&amp;"|"&amp;$J76&amp;"|"&amp;7,Assessments!$A$2:$A$600,0)),"")</f>
        <v>95</v>
      </c>
      <c r="CB76" s="28" t="str">
        <f aca="false">IFERROR(INDEX(Assessments!$H$2:$H$600,MATCH($H76&amp;"|"&amp;$I76&amp;"|"&amp;$J76&amp;"|"&amp;8,Assessments!$A$2:$A$600,0)),"")</f>
        <v/>
      </c>
      <c r="CC76" s="28" t="str">
        <f aca="false">IFERROR(INDEX(Assessments!$H$2:$H$600,MATCH($H76&amp;"|"&amp;$I76&amp;"|"&amp;$J76&amp;"|"&amp;9,Assessments!$A$2:$A$600,0)),"")</f>
        <v/>
      </c>
      <c r="CD76" s="28" t="str">
        <f aca="false">IFERROR(INDEX(Assessments!$H$2:$H$600,MATCH($H76&amp;"|"&amp;$I76&amp;"|"&amp;$J76&amp;"|"&amp;10,Assessments!$A$2:$A$600,0)),"")</f>
        <v/>
      </c>
      <c r="CE76" s="28" t="str">
        <f aca="false">IFERROR(INDEX(Assessments!$H$2:$H$600,MATCH($H76&amp;"|"&amp;$I76&amp;"|"&amp;$J76&amp;"|"&amp;11,Assessments!$A$2:$A$600,0)),"")</f>
        <v/>
      </c>
      <c r="CF76" s="28" t="str">
        <f aca="false">IFERROR(INDEX(Assessments!$H$2:$H$600,MATCH($H76&amp;"|"&amp;$I76&amp;"|"&amp;$J76&amp;"|"&amp;12,Assessments!$A$2:$A$600,0)),"")</f>
        <v/>
      </c>
      <c r="CG76" s="28" t="str">
        <f aca="false">IFERROR(INDEX(Assessments!$H$2:$H$600,MATCH($H76&amp;"|"&amp;$I76&amp;"|"&amp;$J76&amp;"|"&amp;13,Assessments!$A$2:$A$600,0)),"")</f>
        <v/>
      </c>
      <c r="CH76" s="28" t="str">
        <f aca="false">IFERROR(INDEX(Assessments!$H$2:$H$600,MATCH($H76&amp;"|"&amp;$I76&amp;"|"&amp;$J76&amp;"|"&amp;14,Assessments!$A$2:$A$600,0)),"")</f>
        <v/>
      </c>
      <c r="CI76" s="28" t="str">
        <f aca="false">IFERROR(INDEX(Assessments!$I$2:$I$600,MATCH($H76&amp;"|"&amp;$I76&amp;"|"&amp;$J76&amp;"|"&amp;1,Assessments!$A$2:$A$600,0)),"")</f>
        <v>Econ Test</v>
      </c>
      <c r="CJ76" s="28" t="str">
        <f aca="false">IFERROR(INDEX(Assessments!$I$2:$I$600,MATCH($H76&amp;"|"&amp;$I76&amp;"|"&amp;$J76&amp;"|"&amp;2,Assessments!$A$2:$A$600,0)),"")</f>
        <v>Econ Test</v>
      </c>
      <c r="CK76" s="28" t="str">
        <f aca="false">IFERROR(INDEX(Assessments!$I$2:$I$600,MATCH($H76&amp;"|"&amp;$I76&amp;"|"&amp;$J76&amp;"|"&amp;3,Assessments!$A$2:$A$600,0)),"")</f>
        <v>Econ Test</v>
      </c>
      <c r="CL76" s="28" t="str">
        <f aca="false">IFERROR(INDEX(Assessments!$I$2:$I$600,MATCH($H76&amp;"|"&amp;$I76&amp;"|"&amp;$J76&amp;"|"&amp;4,Assessments!$A$2:$A$600,0)),"")</f>
        <v>Econ Test</v>
      </c>
      <c r="CM76" s="28" t="str">
        <f aca="false">IFERROR(INDEX(Assessments!$I$2:$I$600,MATCH($H76&amp;"|"&amp;$I76&amp;"|"&amp;$J76&amp;"|"&amp;5,Assessments!$A$2:$A$600,0)),"")</f>
        <v>Econ Exam</v>
      </c>
      <c r="CN76" s="28" t="str">
        <f aca="false">IFERROR(INDEX(Assessments!$I$2:$I$600,MATCH($H76&amp;"|"&amp;$I76&amp;"|"&amp;$J76&amp;"|"&amp;6,Assessments!$A$2:$A$600,0)),"")</f>
        <v>Econ Test</v>
      </c>
      <c r="CO76" s="28" t="str">
        <f aca="false">IFERROR(INDEX(Assessments!$I$2:$I$600,MATCH($H76&amp;"|"&amp;$I76&amp;"|"&amp;$J76&amp;"|"&amp;7,Assessments!$A$2:$A$600,0)),"")</f>
        <v>Econ Exam</v>
      </c>
      <c r="CP76" s="28" t="str">
        <f aca="false">IFERROR(INDEX(Assessments!$I$2:$I$600,MATCH($H76&amp;"|"&amp;$I76&amp;"|"&amp;$J76&amp;"|"&amp;8,Assessments!$A$2:$A$600,0)),"")</f>
        <v/>
      </c>
      <c r="CQ76" s="28" t="str">
        <f aca="false">IFERROR(INDEX(Assessments!$I$2:$I$600,MATCH($H76&amp;"|"&amp;$I76&amp;"|"&amp;$J76&amp;"|"&amp;9,Assessments!$A$2:$A$600,0)),"")</f>
        <v/>
      </c>
      <c r="CR76" s="28" t="str">
        <f aca="false">IFERROR(INDEX(Assessments!$I$2:$I$600,MATCH($H76&amp;"|"&amp;$I76&amp;"|"&amp;$J76&amp;"|"&amp;10,Assessments!$A$2:$A$600,0)),"")</f>
        <v/>
      </c>
      <c r="CS76" s="28" t="str">
        <f aca="false">IFERROR(INDEX(Assessments!$I$2:$I$600,MATCH($H76&amp;"|"&amp;$I76&amp;"|"&amp;$J76&amp;"|"&amp;11,Assessments!$A$2:$A$600,0)),"")</f>
        <v/>
      </c>
      <c r="CT76" s="28" t="str">
        <f aca="false">IFERROR(INDEX(Assessments!$I$2:$I$600,MATCH($H76&amp;"|"&amp;$I76&amp;"|"&amp;$J76&amp;"|"&amp;12,Assessments!$A$2:$A$600,0)),"")</f>
        <v/>
      </c>
      <c r="CU76" s="28" t="str">
        <f aca="false">IFERROR(INDEX(Assessments!$I$2:$I$600,MATCH($H76&amp;"|"&amp;$I76&amp;"|"&amp;$J76&amp;"|"&amp;13,Assessments!$A$2:$A$600,0)),"")</f>
        <v/>
      </c>
      <c r="CV76" s="28" t="str">
        <f aca="false">IFERROR(INDEX(Assessments!$I$2:$I$600,MATCH($H76&amp;"|"&amp;$I76&amp;"|"&amp;$J76&amp;"|"&amp;14,Assessments!$A$2:$A$600,0)),"")</f>
        <v/>
      </c>
      <c r="CW76" s="28" t="n">
        <f aca="false">IFERROR(INDEX(Assessments!$J$2:$J$600,MATCH($H76&amp;"|"&amp;$I76&amp;"|"&amp;$J76&amp;"|"&amp;1,Assessments!$A$2:$A$600,0)),0)</f>
        <v>1</v>
      </c>
      <c r="CX76" s="28" t="n">
        <f aca="false">IFERROR(INDEX(Assessments!$J$2:$J$600,MATCH($H76&amp;"|"&amp;$I76&amp;"|"&amp;$J76&amp;"|"&amp;2,Assessments!$A$2:$A$600,0)),0)</f>
        <v>1</v>
      </c>
      <c r="CY76" s="28" t="n">
        <f aca="false">IFERROR(INDEX(Assessments!$J$2:$J$600,MATCH($H76&amp;"|"&amp;$I76&amp;"|"&amp;$J76&amp;"|"&amp;3,Assessments!$A$2:$A$600,0)),0)</f>
        <v>1</v>
      </c>
      <c r="CZ76" s="28" t="n">
        <f aca="false">IFERROR(INDEX(Assessments!$J$2:$J$600,MATCH($H76&amp;"|"&amp;$I76&amp;"|"&amp;$J76&amp;"|"&amp;4,Assessments!$A$2:$A$600,0)),0)</f>
        <v>1</v>
      </c>
      <c r="DA76" s="28" t="n">
        <f aca="false">IFERROR(INDEX(Assessments!$J$2:$J$600,MATCH($H76&amp;"|"&amp;$I76&amp;"|"&amp;$J76&amp;"|"&amp;5,Assessments!$A$2:$A$600,0)),0)</f>
        <v>2</v>
      </c>
      <c r="DB76" s="28" t="n">
        <f aca="false">IFERROR(INDEX(Assessments!$J$2:$J$600,MATCH($H76&amp;"|"&amp;$I76&amp;"|"&amp;$J76&amp;"|"&amp;6,Assessments!$A$2:$A$600,0)),0)</f>
        <v>1</v>
      </c>
      <c r="DC76" s="28" t="n">
        <f aca="false">IFERROR(INDEX(Assessments!$J$2:$J$600,MATCH($H76&amp;"|"&amp;$I76&amp;"|"&amp;$J76&amp;"|"&amp;7,Assessments!$A$2:$A$600,0)),0)</f>
        <v>2</v>
      </c>
      <c r="DD76" s="28" t="n">
        <f aca="false">IFERROR(INDEX(Assessments!$J$2:$J$600,MATCH($H76&amp;"|"&amp;$I76&amp;"|"&amp;$J76&amp;"|"&amp;8,Assessments!$A$2:$A$600,0)),0)</f>
        <v>0</v>
      </c>
      <c r="DE76" s="28" t="n">
        <f aca="false">IFERROR(INDEX(Assessments!$J$2:$J$600,MATCH($H76&amp;"|"&amp;$I76&amp;"|"&amp;$J76&amp;"|"&amp;9,Assessments!$A$2:$A$600,0)),0)</f>
        <v>0</v>
      </c>
      <c r="DF76" s="28" t="n">
        <f aca="false">IFERROR(INDEX(Assessments!$J$2:$J$600,MATCH($H76&amp;"|"&amp;$I76&amp;"|"&amp;$J76&amp;"|"&amp;10,Assessments!$A$2:$A$600,0)),0)</f>
        <v>0</v>
      </c>
      <c r="DG76" s="28" t="n">
        <f aca="false">IFERROR(INDEX(Assessments!$J$2:$J$600,MATCH($H76&amp;"|"&amp;$I76&amp;"|"&amp;$J76&amp;"|"&amp;11,Assessments!$A$2:$A$600,0)),0)</f>
        <v>0</v>
      </c>
      <c r="DH76" s="28" t="n">
        <f aca="false">IFERROR(INDEX(Assessments!$J$2:$J$600,MATCH($H76&amp;"|"&amp;$I76&amp;"|"&amp;$J76&amp;"|"&amp;12,Assessments!$A$2:$A$600,0)),0)</f>
        <v>0</v>
      </c>
      <c r="DI76" s="28" t="n">
        <f aca="false">IFERROR(INDEX(Assessments!$J$2:$J$600,MATCH($H76&amp;"|"&amp;$I76&amp;"|"&amp;$J76&amp;"|"&amp;13,Assessments!$A$2:$A$600,0)),0)</f>
        <v>0</v>
      </c>
      <c r="DJ76" s="28" t="n">
        <f aca="false">IFERROR(INDEX(Assessments!$J$2:$J$600,MATCH($H76&amp;"|"&amp;$I76&amp;"|"&amp;$J76&amp;"|"&amp;14,Assessments!$A$2:$A$600,0)),0)</f>
        <v>0</v>
      </c>
      <c r="DK76" s="28" t="n">
        <f aca="false">S76</f>
        <v>5</v>
      </c>
      <c r="DL76" s="28" t="n">
        <f aca="false">W76</f>
        <v>6</v>
      </c>
      <c r="DM76" s="28" t="n">
        <f aca="false">AA76</f>
        <v>4</v>
      </c>
      <c r="DN76" s="28" t="n">
        <f aca="false">AE76</f>
        <v>7</v>
      </c>
      <c r="DO76" s="28" t="n">
        <f aca="false">AI76</f>
        <v>6</v>
      </c>
      <c r="DP76" s="28" t="str">
        <f aca="false">AM76</f>
        <v/>
      </c>
      <c r="DQ76" s="28" t="str">
        <f aca="false">AQ76</f>
        <v/>
      </c>
      <c r="DR76" s="28" t="str">
        <f aca="false">AU76</f>
        <v/>
      </c>
      <c r="DS76" s="28" t="str">
        <f aca="false">AY76</f>
        <v/>
      </c>
      <c r="DT76" s="28" t="str">
        <f aca="false">BC76</f>
        <v/>
      </c>
      <c r="DU76" s="28" t="str">
        <f aca="false">BG76</f>
        <v/>
      </c>
      <c r="DV76" s="28" t="str">
        <f aca="false">BK76</f>
        <v/>
      </c>
      <c r="DW76" s="28" t="str">
        <f aca="false">BO76</f>
        <v/>
      </c>
      <c r="DX76" s="28" t="str">
        <f aca="false">BS76</f>
        <v/>
      </c>
      <c r="DY76" s="28" t="n">
        <f aca="false">IF(ISNUMBER(S76),1,"")</f>
        <v>1</v>
      </c>
      <c r="DZ76" s="28" t="n">
        <f aca="false">IF(ISNUMBER(W76),2,"")</f>
        <v>2</v>
      </c>
      <c r="EA76" s="28" t="n">
        <f aca="false">IF(ISNUMBER(AA76),3,"")</f>
        <v>3</v>
      </c>
      <c r="EB76" s="28" t="n">
        <f aca="false">IF(ISNUMBER(AE76),4,"")</f>
        <v>4</v>
      </c>
      <c r="EC76" s="28" t="n">
        <f aca="false">IF(ISNUMBER(AI76),5,"")</f>
        <v>5</v>
      </c>
      <c r="ED76" s="28" t="str">
        <f aca="false">IF(ISNUMBER(AM76),6,"")</f>
        <v/>
      </c>
      <c r="EE76" s="28" t="str">
        <f aca="false">IF(ISNUMBER(AQ76),7,"")</f>
        <v/>
      </c>
      <c r="EF76" s="28" t="str">
        <f aca="false">IF(ISNUMBER(AU76),8,"")</f>
        <v/>
      </c>
      <c r="EG76" s="28" t="str">
        <f aca="false">IF(ISNUMBER(AY76),9,"")</f>
        <v/>
      </c>
      <c r="EH76" s="28" t="str">
        <f aca="false">IF(ISNUMBER(BC76),10,"")</f>
        <v/>
      </c>
      <c r="EI76" s="28" t="str">
        <f aca="false">IF(ISNUMBER(BG76),11,"")</f>
        <v/>
      </c>
      <c r="EJ76" s="28" t="str">
        <f aca="false">IF(ISNUMBER(BK76),12,"")</f>
        <v/>
      </c>
      <c r="EK76" s="28" t="str">
        <f aca="false">IF(ISNUMBER(BO76),13,"")</f>
        <v/>
      </c>
      <c r="EL76" s="28" t="str">
        <f aca="false">IF(ISNUMBER(BS76),14,"")</f>
        <v/>
      </c>
      <c r="EM76" s="28" t="n">
        <f aca="false">IF(ISNUMBER(R76),R76*CW76,0)</f>
        <v>73.3333333333333</v>
      </c>
      <c r="EN76" s="28" t="n">
        <f aca="false">IF(ISNUMBER(V76),V76*CX76,0)</f>
        <v>79.1666666666667</v>
      </c>
      <c r="EO76" s="28" t="n">
        <f aca="false">IF(ISNUMBER(Z76),Z76*CY76,0)</f>
        <v>64</v>
      </c>
      <c r="EP76" s="28" t="n">
        <f aca="false">IF(ISNUMBER(AD76),AD76*CZ76,0)</f>
        <v>91.4285714285714</v>
      </c>
      <c r="EQ76" s="28" t="n">
        <f aca="false">IF(ISNUMBER(AH76),AH76*DA76,0)</f>
        <v>152.727272727273</v>
      </c>
      <c r="ER76" s="28" t="n">
        <f aca="false">IF(ISNUMBER(AL76),AL76*DB76,0)</f>
        <v>0</v>
      </c>
      <c r="ES76" s="28" t="n">
        <f aca="false">IF(ISNUMBER(AP76),AP76*DC76,0)</f>
        <v>0</v>
      </c>
      <c r="ET76" s="28" t="n">
        <f aca="false">IF(ISNUMBER(AT76),AT76*DD76,0)</f>
        <v>0</v>
      </c>
      <c r="EU76" s="28" t="n">
        <f aca="false">IF(ISNUMBER(AX76),AX76*DE76,0)</f>
        <v>0</v>
      </c>
      <c r="EV76" s="28" t="n">
        <f aca="false">IF(ISNUMBER(BB76),BB76*DF76,0)</f>
        <v>0</v>
      </c>
      <c r="EW76" s="28" t="n">
        <f aca="false">IF(ISNUMBER(BF76),BF76*DG76,0)</f>
        <v>0</v>
      </c>
      <c r="EX76" s="28" t="n">
        <f aca="false">IF(ISNUMBER(BJ76),BJ76*DH76,0)</f>
        <v>0</v>
      </c>
      <c r="EY76" s="28" t="n">
        <f aca="false">IF(ISNUMBER(BN76),BN76*DI76,0)</f>
        <v>0</v>
      </c>
      <c r="EZ76" s="28" t="n">
        <f aca="false">IF(ISNUMBER(BR76),BR76*DJ76,0)</f>
        <v>0</v>
      </c>
      <c r="FA76" s="28" t="n">
        <f aca="false">IF(ISNUMBER(R76),CW76,0)</f>
        <v>1</v>
      </c>
      <c r="FB76" s="28" t="n">
        <f aca="false">IF(ISNUMBER(V76),CX76,0)</f>
        <v>1</v>
      </c>
      <c r="FC76" s="28" t="n">
        <f aca="false">IF(ISNUMBER(Z76),CY76,0)</f>
        <v>1</v>
      </c>
      <c r="FD76" s="28" t="n">
        <f aca="false">IF(ISNUMBER(AD76),CZ76,0)</f>
        <v>1</v>
      </c>
      <c r="FE76" s="28" t="n">
        <f aca="false">IF(ISNUMBER(AH76),DA76,0)</f>
        <v>2</v>
      </c>
      <c r="FF76" s="28" t="n">
        <f aca="false">IF(ISNUMBER(AL76),DB76,0)</f>
        <v>0</v>
      </c>
      <c r="FG76" s="28" t="n">
        <f aca="false">IF(ISNUMBER(AP76),DC76,0)</f>
        <v>0</v>
      </c>
      <c r="FH76" s="28" t="n">
        <f aca="false">IF(ISNUMBER(AT76),DD76,0)</f>
        <v>0</v>
      </c>
      <c r="FI76" s="28" t="n">
        <f aca="false">IF(ISNUMBER(AX76),DE76,0)</f>
        <v>0</v>
      </c>
      <c r="FJ76" s="28" t="n">
        <f aca="false">IF(ISNUMBER(BB76),DF76,0)</f>
        <v>0</v>
      </c>
      <c r="FK76" s="28" t="n">
        <f aca="false">IF(ISNUMBER(BF76),DG76,0)</f>
        <v>0</v>
      </c>
      <c r="FL76" s="28" t="n">
        <f aca="false">IF(ISNUMBER(BJ76),DH76,0)</f>
        <v>0</v>
      </c>
      <c r="FM76" s="28" t="n">
        <f aca="false">IF(ISNUMBER(BN76),DI76,0)</f>
        <v>0</v>
      </c>
      <c r="FN76" s="28" t="n">
        <f aca="false">IF(ISNUMBER(BR76),DJ76,0)</f>
        <v>0</v>
      </c>
      <c r="FO76" s="28" t="str">
        <f aca="false">IFERROR(INDEX(Lists!$G$2:$G$20,MATCH($I76&amp;"|"&amp;$J76,Lists!$F$2:$F$20,0)),"")</f>
        <v>Econ Exam</v>
      </c>
    </row>
    <row r="77" customFormat="false" ht="19.5" hidden="false" customHeight="true" outlineLevel="0" collapsed="false">
      <c r="A77" s="29" t="s">
        <v>283</v>
      </c>
      <c r="B77" s="29" t="s">
        <v>284</v>
      </c>
      <c r="C77" s="30" t="s">
        <v>192</v>
      </c>
      <c r="D77" s="30" t="s">
        <v>271</v>
      </c>
      <c r="E77" s="31" t="n">
        <v>6.1</v>
      </c>
      <c r="F77" s="30" t="n">
        <v>6</v>
      </c>
      <c r="G77" s="30"/>
      <c r="H77" s="32" t="s">
        <v>23</v>
      </c>
      <c r="I77" s="33" t="s">
        <v>229</v>
      </c>
      <c r="J77" s="32" t="s">
        <v>25</v>
      </c>
      <c r="K77" s="34" t="n">
        <f aca="false">IF(OR(M77="",$E77=""),"",M77-$E77)</f>
        <v>0.9</v>
      </c>
      <c r="L77" s="35" t="n">
        <f aca="false">IF(SUM(FA77:FN77)=0,"",SUM(EM77:EZ77)/SUM(FA77:FN77))</f>
        <v>86.458152958153</v>
      </c>
      <c r="M77" s="36" t="n">
        <f aca="false">IF(OR(L77="",FO77=""),"",IFERROR(MATCH(L77,INDEX(Boundaries!$B$2:$I$30,MATCH(FO77,Boundaries!$A$2:$A$30,0),0),1)-1,""))</f>
        <v>7</v>
      </c>
      <c r="N77" s="37" t="n">
        <f aca="false">IF(COUNT($DY77:$EL77)&lt;2,"",INDEX($DK77:$DX77,MAX($DY77:$EL77))-INDEX($DK77:$DX77,MIN($DY77:$EL77)))</f>
        <v>0</v>
      </c>
      <c r="O77" s="37" t="n">
        <f aca="false">IF(COUNT($DY77:$EL77)&lt;2,"",INDEX($DK77:$DX77,MAX($DY77:$EL77))-INDEX($DK77:$DX77,LARGE($DY77:$EL77,2)))</f>
        <v>0</v>
      </c>
      <c r="P77" s="38" t="str">
        <f aca="false">IF(K77="","",IF(K77&gt;=0,"On/above target",IF(AND(N77&lt;&gt;"",N77&gt;=0.5),"Improving towards target",IF(AND(O77&lt;&gt;"",O77&lt;=-0.5),"Declining","Stable below target"))))</f>
        <v>On/above target</v>
      </c>
      <c r="Q77" s="39" t="n">
        <v>26</v>
      </c>
      <c r="R77" s="40" t="n">
        <f aca="false">IF(OR(Q77="",BU77=""),"",Q77/BU77*100)</f>
        <v>86.6666666666667</v>
      </c>
      <c r="S77" s="41" t="n">
        <f aca="false">IF(R77="","",IFERROR(MATCH(R77,INDEX(Boundaries!$B$2:$I$30,MATCH(CI77,Boundaries!$A$2:$A$30,0),0),1)-1,""))</f>
        <v>7</v>
      </c>
      <c r="T77" s="42" t="n">
        <f aca="false">IF(OR(S77="",$E77=""),"",S77-$E77)</f>
        <v>0.9</v>
      </c>
      <c r="U77" s="39" t="n">
        <v>22</v>
      </c>
      <c r="V77" s="40" t="n">
        <f aca="false">IF(OR(U77="",BV77=""),"",U77/BV77*100)</f>
        <v>91.6666666666667</v>
      </c>
      <c r="W77" s="41" t="n">
        <f aca="false">IF(V77="","",IFERROR(MATCH(V77,INDEX(Boundaries!$B$2:$I$30,MATCH(CJ77,Boundaries!$A$2:$A$30,0),0),1)-1,""))</f>
        <v>7</v>
      </c>
      <c r="X77" s="42" t="n">
        <f aca="false">IF(OR(W77="",$E77=""),"",W77-$E77)</f>
        <v>0.9</v>
      </c>
      <c r="Y77" s="39" t="n">
        <v>19</v>
      </c>
      <c r="Z77" s="40" t="n">
        <f aca="false">IF(OR(Y77="",BW77=""),"",Y77/BW77*100)</f>
        <v>76</v>
      </c>
      <c r="AA77" s="41" t="n">
        <f aca="false">IF(Z77="","",IFERROR(MATCH(Z77,INDEX(Boundaries!$B$2:$I$30,MATCH(CK77,Boundaries!$A$2:$A$30,0),0),1)-1,""))</f>
        <v>6</v>
      </c>
      <c r="AB77" s="42" t="n">
        <f aca="false">IF(OR(AA77="",$E77=""),"",AA77-$E77)</f>
        <v>-0.0999999999999996</v>
      </c>
      <c r="AC77" s="39" t="n">
        <v>34</v>
      </c>
      <c r="AD77" s="40" t="n">
        <f aca="false">IF(OR(AC77="",BX77=""),"",AC77/BX77*100)</f>
        <v>97.1428571428571</v>
      </c>
      <c r="AE77" s="41" t="n">
        <f aca="false">IF(AD77="","",IFERROR(MATCH(AD77,INDEX(Boundaries!$B$2:$I$30,MATCH(CL77,Boundaries!$A$2:$A$30,0),0),1)-1,""))</f>
        <v>7</v>
      </c>
      <c r="AF77" s="42" t="n">
        <f aca="false">IF(OR(AE77="",$E77=""),"",AE77-$E77)</f>
        <v>0.9</v>
      </c>
      <c r="AG77" s="39" t="n">
        <v>46</v>
      </c>
      <c r="AH77" s="40" t="n">
        <f aca="false">IF(OR(AG77="",BY77=""),"",AG77/BY77*100)</f>
        <v>83.6363636363636</v>
      </c>
      <c r="AI77" s="41" t="n">
        <f aca="false">IF(AH77="","",IFERROR(MATCH(AH77,INDEX(Boundaries!$B$2:$I$30,MATCH(CM77,Boundaries!$A$2:$A$30,0),0),1)-1,""))</f>
        <v>7</v>
      </c>
      <c r="AJ77" s="42" t="n">
        <f aca="false">IF(OR(AI77="",$E77=""),"",AI77-$E77)</f>
        <v>0.9</v>
      </c>
      <c r="AK77" s="39"/>
      <c r="AL77" s="40" t="str">
        <f aca="false">IF(OR(AK77="",BZ77=""),"",AK77/BZ77*100)</f>
        <v/>
      </c>
      <c r="AM77" s="41" t="str">
        <f aca="false">IF(AL77="","",IFERROR(MATCH(AL77,INDEX(Boundaries!$B$2:$I$30,MATCH(CN77,Boundaries!$A$2:$A$30,0),0),1)-1,""))</f>
        <v/>
      </c>
      <c r="AN77" s="42" t="str">
        <f aca="false">IF(OR(AM77="",$E77=""),"",AM77-$E77)</f>
        <v/>
      </c>
      <c r="AO77" s="39"/>
      <c r="AP77" s="40" t="str">
        <f aca="false">IF(OR(AO77="",CA77=""),"",AO77/CA77*100)</f>
        <v/>
      </c>
      <c r="AQ77" s="41" t="str">
        <f aca="false">IF(AP77="","",IFERROR(MATCH(AP77,INDEX(Boundaries!$B$2:$I$30,MATCH(CO77,Boundaries!$A$2:$A$30,0),0),1)-1,""))</f>
        <v/>
      </c>
      <c r="AR77" s="42" t="str">
        <f aca="false">IF(OR(AQ77="",$E77=""),"",AQ77-$E77)</f>
        <v/>
      </c>
      <c r="AS77" s="39"/>
      <c r="AT77" s="40" t="str">
        <f aca="false">IF(OR(AS77="",CB77=""),"",AS77/CB77*100)</f>
        <v/>
      </c>
      <c r="AU77" s="41" t="str">
        <f aca="false">IF(AT77="","",IFERROR(MATCH(AT77,INDEX(Boundaries!$B$2:$I$30,MATCH(CP77,Boundaries!$A$2:$A$30,0),0),1)-1,""))</f>
        <v/>
      </c>
      <c r="AV77" s="42" t="str">
        <f aca="false">IF(OR(AU77="",$E77=""),"",AU77-$E77)</f>
        <v/>
      </c>
      <c r="AW77" s="39"/>
      <c r="AX77" s="40" t="str">
        <f aca="false">IF(OR(AW77="",CC77=""),"",AW77/CC77*100)</f>
        <v/>
      </c>
      <c r="AY77" s="41" t="str">
        <f aca="false">IF(AX77="","",IFERROR(MATCH(AX77,INDEX(Boundaries!$B$2:$I$30,MATCH(CQ77,Boundaries!$A$2:$A$30,0),0),1)-1,""))</f>
        <v/>
      </c>
      <c r="AZ77" s="42" t="str">
        <f aca="false">IF(OR(AY77="",$E77=""),"",AY77-$E77)</f>
        <v/>
      </c>
      <c r="BA77" s="39"/>
      <c r="BB77" s="40" t="str">
        <f aca="false">IF(OR(BA77="",CD77=""),"",BA77/CD77*100)</f>
        <v/>
      </c>
      <c r="BC77" s="41" t="str">
        <f aca="false">IF(BB77="","",IFERROR(MATCH(BB77,INDEX(Boundaries!$B$2:$I$30,MATCH(CR77,Boundaries!$A$2:$A$30,0),0),1)-1,""))</f>
        <v/>
      </c>
      <c r="BD77" s="42" t="str">
        <f aca="false">IF(OR(BC77="",$E77=""),"",BC77-$E77)</f>
        <v/>
      </c>
      <c r="BE77" s="39"/>
      <c r="BF77" s="40" t="str">
        <f aca="false">IF(OR(BE77="",CE77=""),"",BE77/CE77*100)</f>
        <v/>
      </c>
      <c r="BG77" s="41" t="str">
        <f aca="false">IF(BF77="","",IFERROR(MATCH(BF77,INDEX(Boundaries!$B$2:$I$30,MATCH(CS77,Boundaries!$A$2:$A$30,0),0),1)-1,""))</f>
        <v/>
      </c>
      <c r="BH77" s="42" t="str">
        <f aca="false">IF(OR(BG77="",$E77=""),"",BG77-$E77)</f>
        <v/>
      </c>
      <c r="BI77" s="39"/>
      <c r="BJ77" s="40" t="str">
        <f aca="false">IF(OR(BI77="",CF77=""),"",BI77/CF77*100)</f>
        <v/>
      </c>
      <c r="BK77" s="41" t="str">
        <f aca="false">IF(BJ77="","",IFERROR(MATCH(BJ77,INDEX(Boundaries!$B$2:$I$30,MATCH(CT77,Boundaries!$A$2:$A$30,0),0),1)-1,""))</f>
        <v/>
      </c>
      <c r="BL77" s="42" t="str">
        <f aca="false">IF(OR(BK77="",$E77=""),"",BK77-$E77)</f>
        <v/>
      </c>
      <c r="BM77" s="39"/>
      <c r="BN77" s="40" t="str">
        <f aca="false">IF(OR(BM77="",CG77=""),"",BM77/CG77*100)</f>
        <v/>
      </c>
      <c r="BO77" s="41" t="str">
        <f aca="false">IF(BN77="","",IFERROR(MATCH(BN77,INDEX(Boundaries!$B$2:$I$30,MATCH(CU77,Boundaries!$A$2:$A$30,0),0),1)-1,""))</f>
        <v/>
      </c>
      <c r="BP77" s="42" t="str">
        <f aca="false">IF(OR(BO77="",$E77=""),"",BO77-$E77)</f>
        <v/>
      </c>
      <c r="BQ77" s="39"/>
      <c r="BR77" s="40" t="str">
        <f aca="false">IF(OR(BQ77="",CH77=""),"",BQ77/CH77*100)</f>
        <v/>
      </c>
      <c r="BS77" s="41" t="str">
        <f aca="false">IF(BR77="","",IFERROR(MATCH(BR77,INDEX(Boundaries!$B$2:$I$30,MATCH(CV77,Boundaries!$A$2:$A$30,0),0),1)-1,""))</f>
        <v/>
      </c>
      <c r="BT77" s="42" t="str">
        <f aca="false">IF(OR(BS77="",$E77=""),"",BS77-$E77)</f>
        <v/>
      </c>
      <c r="BU77" s="28" t="n">
        <f aca="false">IFERROR(INDEX(Assessments!$H$2:$H$600,MATCH($H77&amp;"|"&amp;$I77&amp;"|"&amp;$J77&amp;"|"&amp;1,Assessments!$A$2:$A$600,0)),"")</f>
        <v>30</v>
      </c>
      <c r="BV77" s="28" t="n">
        <f aca="false">IFERROR(INDEX(Assessments!$H$2:$H$600,MATCH($H77&amp;"|"&amp;$I77&amp;"|"&amp;$J77&amp;"|"&amp;2,Assessments!$A$2:$A$600,0)),"")</f>
        <v>24</v>
      </c>
      <c r="BW77" s="28" t="n">
        <f aca="false">IFERROR(INDEX(Assessments!$H$2:$H$600,MATCH($H77&amp;"|"&amp;$I77&amp;"|"&amp;$J77&amp;"|"&amp;3,Assessments!$A$2:$A$600,0)),"")</f>
        <v>25</v>
      </c>
      <c r="BX77" s="28" t="n">
        <f aca="false">IFERROR(INDEX(Assessments!$H$2:$H$600,MATCH($H77&amp;"|"&amp;$I77&amp;"|"&amp;$J77&amp;"|"&amp;4,Assessments!$A$2:$A$600,0)),"")</f>
        <v>35</v>
      </c>
      <c r="BY77" s="28" t="n">
        <f aca="false">IFERROR(INDEX(Assessments!$H$2:$H$600,MATCH($H77&amp;"|"&amp;$I77&amp;"|"&amp;$J77&amp;"|"&amp;5,Assessments!$A$2:$A$600,0)),"")</f>
        <v>55</v>
      </c>
      <c r="BZ77" s="28" t="n">
        <f aca="false">IFERROR(INDEX(Assessments!$H$2:$H$600,MATCH($H77&amp;"|"&amp;$I77&amp;"|"&amp;$J77&amp;"|"&amp;6,Assessments!$A$2:$A$600,0)),"")</f>
        <v>30</v>
      </c>
      <c r="CA77" s="28" t="n">
        <f aca="false">IFERROR(INDEX(Assessments!$H$2:$H$600,MATCH($H77&amp;"|"&amp;$I77&amp;"|"&amp;$J77&amp;"|"&amp;7,Assessments!$A$2:$A$600,0)),"")</f>
        <v>95</v>
      </c>
      <c r="CB77" s="28" t="str">
        <f aca="false">IFERROR(INDEX(Assessments!$H$2:$H$600,MATCH($H77&amp;"|"&amp;$I77&amp;"|"&amp;$J77&amp;"|"&amp;8,Assessments!$A$2:$A$600,0)),"")</f>
        <v/>
      </c>
      <c r="CC77" s="28" t="str">
        <f aca="false">IFERROR(INDEX(Assessments!$H$2:$H$600,MATCH($H77&amp;"|"&amp;$I77&amp;"|"&amp;$J77&amp;"|"&amp;9,Assessments!$A$2:$A$600,0)),"")</f>
        <v/>
      </c>
      <c r="CD77" s="28" t="str">
        <f aca="false">IFERROR(INDEX(Assessments!$H$2:$H$600,MATCH($H77&amp;"|"&amp;$I77&amp;"|"&amp;$J77&amp;"|"&amp;10,Assessments!$A$2:$A$600,0)),"")</f>
        <v/>
      </c>
      <c r="CE77" s="28" t="str">
        <f aca="false">IFERROR(INDEX(Assessments!$H$2:$H$600,MATCH($H77&amp;"|"&amp;$I77&amp;"|"&amp;$J77&amp;"|"&amp;11,Assessments!$A$2:$A$600,0)),"")</f>
        <v/>
      </c>
      <c r="CF77" s="28" t="str">
        <f aca="false">IFERROR(INDEX(Assessments!$H$2:$H$600,MATCH($H77&amp;"|"&amp;$I77&amp;"|"&amp;$J77&amp;"|"&amp;12,Assessments!$A$2:$A$600,0)),"")</f>
        <v/>
      </c>
      <c r="CG77" s="28" t="str">
        <f aca="false">IFERROR(INDEX(Assessments!$H$2:$H$600,MATCH($H77&amp;"|"&amp;$I77&amp;"|"&amp;$J77&amp;"|"&amp;13,Assessments!$A$2:$A$600,0)),"")</f>
        <v/>
      </c>
      <c r="CH77" s="28" t="str">
        <f aca="false">IFERROR(INDEX(Assessments!$H$2:$H$600,MATCH($H77&amp;"|"&amp;$I77&amp;"|"&amp;$J77&amp;"|"&amp;14,Assessments!$A$2:$A$600,0)),"")</f>
        <v/>
      </c>
      <c r="CI77" s="28" t="str">
        <f aca="false">IFERROR(INDEX(Assessments!$I$2:$I$600,MATCH($H77&amp;"|"&amp;$I77&amp;"|"&amp;$J77&amp;"|"&amp;1,Assessments!$A$2:$A$600,0)),"")</f>
        <v>Econ Test</v>
      </c>
      <c r="CJ77" s="28" t="str">
        <f aca="false">IFERROR(INDEX(Assessments!$I$2:$I$600,MATCH($H77&amp;"|"&amp;$I77&amp;"|"&amp;$J77&amp;"|"&amp;2,Assessments!$A$2:$A$600,0)),"")</f>
        <v>Econ Test</v>
      </c>
      <c r="CK77" s="28" t="str">
        <f aca="false">IFERROR(INDEX(Assessments!$I$2:$I$600,MATCH($H77&amp;"|"&amp;$I77&amp;"|"&amp;$J77&amp;"|"&amp;3,Assessments!$A$2:$A$600,0)),"")</f>
        <v>Econ Test</v>
      </c>
      <c r="CL77" s="28" t="str">
        <f aca="false">IFERROR(INDEX(Assessments!$I$2:$I$600,MATCH($H77&amp;"|"&amp;$I77&amp;"|"&amp;$J77&amp;"|"&amp;4,Assessments!$A$2:$A$600,0)),"")</f>
        <v>Econ Test</v>
      </c>
      <c r="CM77" s="28" t="str">
        <f aca="false">IFERROR(INDEX(Assessments!$I$2:$I$600,MATCH($H77&amp;"|"&amp;$I77&amp;"|"&amp;$J77&amp;"|"&amp;5,Assessments!$A$2:$A$600,0)),"")</f>
        <v>Econ Exam</v>
      </c>
      <c r="CN77" s="28" t="str">
        <f aca="false">IFERROR(INDEX(Assessments!$I$2:$I$600,MATCH($H77&amp;"|"&amp;$I77&amp;"|"&amp;$J77&amp;"|"&amp;6,Assessments!$A$2:$A$600,0)),"")</f>
        <v>Econ Test</v>
      </c>
      <c r="CO77" s="28" t="str">
        <f aca="false">IFERROR(INDEX(Assessments!$I$2:$I$600,MATCH($H77&amp;"|"&amp;$I77&amp;"|"&amp;$J77&amp;"|"&amp;7,Assessments!$A$2:$A$600,0)),"")</f>
        <v>Econ Exam</v>
      </c>
      <c r="CP77" s="28" t="str">
        <f aca="false">IFERROR(INDEX(Assessments!$I$2:$I$600,MATCH($H77&amp;"|"&amp;$I77&amp;"|"&amp;$J77&amp;"|"&amp;8,Assessments!$A$2:$A$600,0)),"")</f>
        <v/>
      </c>
      <c r="CQ77" s="28" t="str">
        <f aca="false">IFERROR(INDEX(Assessments!$I$2:$I$600,MATCH($H77&amp;"|"&amp;$I77&amp;"|"&amp;$J77&amp;"|"&amp;9,Assessments!$A$2:$A$600,0)),"")</f>
        <v/>
      </c>
      <c r="CR77" s="28" t="str">
        <f aca="false">IFERROR(INDEX(Assessments!$I$2:$I$600,MATCH($H77&amp;"|"&amp;$I77&amp;"|"&amp;$J77&amp;"|"&amp;10,Assessments!$A$2:$A$600,0)),"")</f>
        <v/>
      </c>
      <c r="CS77" s="28" t="str">
        <f aca="false">IFERROR(INDEX(Assessments!$I$2:$I$600,MATCH($H77&amp;"|"&amp;$I77&amp;"|"&amp;$J77&amp;"|"&amp;11,Assessments!$A$2:$A$600,0)),"")</f>
        <v/>
      </c>
      <c r="CT77" s="28" t="str">
        <f aca="false">IFERROR(INDEX(Assessments!$I$2:$I$600,MATCH($H77&amp;"|"&amp;$I77&amp;"|"&amp;$J77&amp;"|"&amp;12,Assessments!$A$2:$A$600,0)),"")</f>
        <v/>
      </c>
      <c r="CU77" s="28" t="str">
        <f aca="false">IFERROR(INDEX(Assessments!$I$2:$I$600,MATCH($H77&amp;"|"&amp;$I77&amp;"|"&amp;$J77&amp;"|"&amp;13,Assessments!$A$2:$A$600,0)),"")</f>
        <v/>
      </c>
      <c r="CV77" s="28" t="str">
        <f aca="false">IFERROR(INDEX(Assessments!$I$2:$I$600,MATCH($H77&amp;"|"&amp;$I77&amp;"|"&amp;$J77&amp;"|"&amp;14,Assessments!$A$2:$A$600,0)),"")</f>
        <v/>
      </c>
      <c r="CW77" s="28" t="n">
        <f aca="false">IFERROR(INDEX(Assessments!$J$2:$J$600,MATCH($H77&amp;"|"&amp;$I77&amp;"|"&amp;$J77&amp;"|"&amp;1,Assessments!$A$2:$A$600,0)),0)</f>
        <v>1</v>
      </c>
      <c r="CX77" s="28" t="n">
        <f aca="false">IFERROR(INDEX(Assessments!$J$2:$J$600,MATCH($H77&amp;"|"&amp;$I77&amp;"|"&amp;$J77&amp;"|"&amp;2,Assessments!$A$2:$A$600,0)),0)</f>
        <v>1</v>
      </c>
      <c r="CY77" s="28" t="n">
        <f aca="false">IFERROR(INDEX(Assessments!$J$2:$J$600,MATCH($H77&amp;"|"&amp;$I77&amp;"|"&amp;$J77&amp;"|"&amp;3,Assessments!$A$2:$A$600,0)),0)</f>
        <v>1</v>
      </c>
      <c r="CZ77" s="28" t="n">
        <f aca="false">IFERROR(INDEX(Assessments!$J$2:$J$600,MATCH($H77&amp;"|"&amp;$I77&amp;"|"&amp;$J77&amp;"|"&amp;4,Assessments!$A$2:$A$600,0)),0)</f>
        <v>1</v>
      </c>
      <c r="DA77" s="28" t="n">
        <f aca="false">IFERROR(INDEX(Assessments!$J$2:$J$600,MATCH($H77&amp;"|"&amp;$I77&amp;"|"&amp;$J77&amp;"|"&amp;5,Assessments!$A$2:$A$600,0)),0)</f>
        <v>2</v>
      </c>
      <c r="DB77" s="28" t="n">
        <f aca="false">IFERROR(INDEX(Assessments!$J$2:$J$600,MATCH($H77&amp;"|"&amp;$I77&amp;"|"&amp;$J77&amp;"|"&amp;6,Assessments!$A$2:$A$600,0)),0)</f>
        <v>1</v>
      </c>
      <c r="DC77" s="28" t="n">
        <f aca="false">IFERROR(INDEX(Assessments!$J$2:$J$600,MATCH($H77&amp;"|"&amp;$I77&amp;"|"&amp;$J77&amp;"|"&amp;7,Assessments!$A$2:$A$600,0)),0)</f>
        <v>2</v>
      </c>
      <c r="DD77" s="28" t="n">
        <f aca="false">IFERROR(INDEX(Assessments!$J$2:$J$600,MATCH($H77&amp;"|"&amp;$I77&amp;"|"&amp;$J77&amp;"|"&amp;8,Assessments!$A$2:$A$600,0)),0)</f>
        <v>0</v>
      </c>
      <c r="DE77" s="28" t="n">
        <f aca="false">IFERROR(INDEX(Assessments!$J$2:$J$600,MATCH($H77&amp;"|"&amp;$I77&amp;"|"&amp;$J77&amp;"|"&amp;9,Assessments!$A$2:$A$600,0)),0)</f>
        <v>0</v>
      </c>
      <c r="DF77" s="28" t="n">
        <f aca="false">IFERROR(INDEX(Assessments!$J$2:$J$600,MATCH($H77&amp;"|"&amp;$I77&amp;"|"&amp;$J77&amp;"|"&amp;10,Assessments!$A$2:$A$600,0)),0)</f>
        <v>0</v>
      </c>
      <c r="DG77" s="28" t="n">
        <f aca="false">IFERROR(INDEX(Assessments!$J$2:$J$600,MATCH($H77&amp;"|"&amp;$I77&amp;"|"&amp;$J77&amp;"|"&amp;11,Assessments!$A$2:$A$600,0)),0)</f>
        <v>0</v>
      </c>
      <c r="DH77" s="28" t="n">
        <f aca="false">IFERROR(INDEX(Assessments!$J$2:$J$600,MATCH($H77&amp;"|"&amp;$I77&amp;"|"&amp;$J77&amp;"|"&amp;12,Assessments!$A$2:$A$600,0)),0)</f>
        <v>0</v>
      </c>
      <c r="DI77" s="28" t="n">
        <f aca="false">IFERROR(INDEX(Assessments!$J$2:$J$600,MATCH($H77&amp;"|"&amp;$I77&amp;"|"&amp;$J77&amp;"|"&amp;13,Assessments!$A$2:$A$600,0)),0)</f>
        <v>0</v>
      </c>
      <c r="DJ77" s="28" t="n">
        <f aca="false">IFERROR(INDEX(Assessments!$J$2:$J$600,MATCH($H77&amp;"|"&amp;$I77&amp;"|"&amp;$J77&amp;"|"&amp;14,Assessments!$A$2:$A$600,0)),0)</f>
        <v>0</v>
      </c>
      <c r="DK77" s="28" t="n">
        <f aca="false">S77</f>
        <v>7</v>
      </c>
      <c r="DL77" s="28" t="n">
        <f aca="false">W77</f>
        <v>7</v>
      </c>
      <c r="DM77" s="28" t="n">
        <f aca="false">AA77</f>
        <v>6</v>
      </c>
      <c r="DN77" s="28" t="n">
        <f aca="false">AE77</f>
        <v>7</v>
      </c>
      <c r="DO77" s="28" t="n">
        <f aca="false">AI77</f>
        <v>7</v>
      </c>
      <c r="DP77" s="28" t="str">
        <f aca="false">AM77</f>
        <v/>
      </c>
      <c r="DQ77" s="28" t="str">
        <f aca="false">AQ77</f>
        <v/>
      </c>
      <c r="DR77" s="28" t="str">
        <f aca="false">AU77</f>
        <v/>
      </c>
      <c r="DS77" s="28" t="str">
        <f aca="false">AY77</f>
        <v/>
      </c>
      <c r="DT77" s="28" t="str">
        <f aca="false">BC77</f>
        <v/>
      </c>
      <c r="DU77" s="28" t="str">
        <f aca="false">BG77</f>
        <v/>
      </c>
      <c r="DV77" s="28" t="str">
        <f aca="false">BK77</f>
        <v/>
      </c>
      <c r="DW77" s="28" t="str">
        <f aca="false">BO77</f>
        <v/>
      </c>
      <c r="DX77" s="28" t="str">
        <f aca="false">BS77</f>
        <v/>
      </c>
      <c r="DY77" s="28" t="n">
        <f aca="false">IF(ISNUMBER(S77),1,"")</f>
        <v>1</v>
      </c>
      <c r="DZ77" s="28" t="n">
        <f aca="false">IF(ISNUMBER(W77),2,"")</f>
        <v>2</v>
      </c>
      <c r="EA77" s="28" t="n">
        <f aca="false">IF(ISNUMBER(AA77),3,"")</f>
        <v>3</v>
      </c>
      <c r="EB77" s="28" t="n">
        <f aca="false">IF(ISNUMBER(AE77),4,"")</f>
        <v>4</v>
      </c>
      <c r="EC77" s="28" t="n">
        <f aca="false">IF(ISNUMBER(AI77),5,"")</f>
        <v>5</v>
      </c>
      <c r="ED77" s="28" t="str">
        <f aca="false">IF(ISNUMBER(AM77),6,"")</f>
        <v/>
      </c>
      <c r="EE77" s="28" t="str">
        <f aca="false">IF(ISNUMBER(AQ77),7,"")</f>
        <v/>
      </c>
      <c r="EF77" s="28" t="str">
        <f aca="false">IF(ISNUMBER(AU77),8,"")</f>
        <v/>
      </c>
      <c r="EG77" s="28" t="str">
        <f aca="false">IF(ISNUMBER(AY77),9,"")</f>
        <v/>
      </c>
      <c r="EH77" s="28" t="str">
        <f aca="false">IF(ISNUMBER(BC77),10,"")</f>
        <v/>
      </c>
      <c r="EI77" s="28" t="str">
        <f aca="false">IF(ISNUMBER(BG77),11,"")</f>
        <v/>
      </c>
      <c r="EJ77" s="28" t="str">
        <f aca="false">IF(ISNUMBER(BK77),12,"")</f>
        <v/>
      </c>
      <c r="EK77" s="28" t="str">
        <f aca="false">IF(ISNUMBER(BO77),13,"")</f>
        <v/>
      </c>
      <c r="EL77" s="28" t="str">
        <f aca="false">IF(ISNUMBER(BS77),14,"")</f>
        <v/>
      </c>
      <c r="EM77" s="28" t="n">
        <f aca="false">IF(ISNUMBER(R77),R77*CW77,0)</f>
        <v>86.6666666666667</v>
      </c>
      <c r="EN77" s="28" t="n">
        <f aca="false">IF(ISNUMBER(V77),V77*CX77,0)</f>
        <v>91.6666666666667</v>
      </c>
      <c r="EO77" s="28" t="n">
        <f aca="false">IF(ISNUMBER(Z77),Z77*CY77,0)</f>
        <v>76</v>
      </c>
      <c r="EP77" s="28" t="n">
        <f aca="false">IF(ISNUMBER(AD77),AD77*CZ77,0)</f>
        <v>97.1428571428571</v>
      </c>
      <c r="EQ77" s="28" t="n">
        <f aca="false">IF(ISNUMBER(AH77),AH77*DA77,0)</f>
        <v>167.272727272727</v>
      </c>
      <c r="ER77" s="28" t="n">
        <f aca="false">IF(ISNUMBER(AL77),AL77*DB77,0)</f>
        <v>0</v>
      </c>
      <c r="ES77" s="28" t="n">
        <f aca="false">IF(ISNUMBER(AP77),AP77*DC77,0)</f>
        <v>0</v>
      </c>
      <c r="ET77" s="28" t="n">
        <f aca="false">IF(ISNUMBER(AT77),AT77*DD77,0)</f>
        <v>0</v>
      </c>
      <c r="EU77" s="28" t="n">
        <f aca="false">IF(ISNUMBER(AX77),AX77*DE77,0)</f>
        <v>0</v>
      </c>
      <c r="EV77" s="28" t="n">
        <f aca="false">IF(ISNUMBER(BB77),BB77*DF77,0)</f>
        <v>0</v>
      </c>
      <c r="EW77" s="28" t="n">
        <f aca="false">IF(ISNUMBER(BF77),BF77*DG77,0)</f>
        <v>0</v>
      </c>
      <c r="EX77" s="28" t="n">
        <f aca="false">IF(ISNUMBER(BJ77),BJ77*DH77,0)</f>
        <v>0</v>
      </c>
      <c r="EY77" s="28" t="n">
        <f aca="false">IF(ISNUMBER(BN77),BN77*DI77,0)</f>
        <v>0</v>
      </c>
      <c r="EZ77" s="28" t="n">
        <f aca="false">IF(ISNUMBER(BR77),BR77*DJ77,0)</f>
        <v>0</v>
      </c>
      <c r="FA77" s="28" t="n">
        <f aca="false">IF(ISNUMBER(R77),CW77,0)</f>
        <v>1</v>
      </c>
      <c r="FB77" s="28" t="n">
        <f aca="false">IF(ISNUMBER(V77),CX77,0)</f>
        <v>1</v>
      </c>
      <c r="FC77" s="28" t="n">
        <f aca="false">IF(ISNUMBER(Z77),CY77,0)</f>
        <v>1</v>
      </c>
      <c r="FD77" s="28" t="n">
        <f aca="false">IF(ISNUMBER(AD77),CZ77,0)</f>
        <v>1</v>
      </c>
      <c r="FE77" s="28" t="n">
        <f aca="false">IF(ISNUMBER(AH77),DA77,0)</f>
        <v>2</v>
      </c>
      <c r="FF77" s="28" t="n">
        <f aca="false">IF(ISNUMBER(AL77),DB77,0)</f>
        <v>0</v>
      </c>
      <c r="FG77" s="28" t="n">
        <f aca="false">IF(ISNUMBER(AP77),DC77,0)</f>
        <v>0</v>
      </c>
      <c r="FH77" s="28" t="n">
        <f aca="false">IF(ISNUMBER(AT77),DD77,0)</f>
        <v>0</v>
      </c>
      <c r="FI77" s="28" t="n">
        <f aca="false">IF(ISNUMBER(AX77),DE77,0)</f>
        <v>0</v>
      </c>
      <c r="FJ77" s="28" t="n">
        <f aca="false">IF(ISNUMBER(BB77),DF77,0)</f>
        <v>0</v>
      </c>
      <c r="FK77" s="28" t="n">
        <f aca="false">IF(ISNUMBER(BF77),DG77,0)</f>
        <v>0</v>
      </c>
      <c r="FL77" s="28" t="n">
        <f aca="false">IF(ISNUMBER(BJ77),DH77,0)</f>
        <v>0</v>
      </c>
      <c r="FM77" s="28" t="n">
        <f aca="false">IF(ISNUMBER(BN77),DI77,0)</f>
        <v>0</v>
      </c>
      <c r="FN77" s="28" t="n">
        <f aca="false">IF(ISNUMBER(BR77),DJ77,0)</f>
        <v>0</v>
      </c>
      <c r="FO77" s="28" t="str">
        <f aca="false">IFERROR(INDEX(Lists!$G$2:$G$20,MATCH($I77&amp;"|"&amp;$J77,Lists!$F$2:$F$20,0)),"")</f>
        <v>Econ Exam</v>
      </c>
    </row>
    <row r="78" customFormat="false" ht="19.5" hidden="false" customHeight="true" outlineLevel="0" collapsed="false">
      <c r="A78" s="29" t="s">
        <v>285</v>
      </c>
      <c r="B78" s="29" t="s">
        <v>286</v>
      </c>
      <c r="C78" s="30" t="s">
        <v>192</v>
      </c>
      <c r="D78" s="30" t="s">
        <v>271</v>
      </c>
      <c r="E78" s="31" t="n">
        <v>6.5</v>
      </c>
      <c r="F78" s="30" t="n">
        <v>7</v>
      </c>
      <c r="G78" s="30"/>
      <c r="H78" s="32" t="s">
        <v>23</v>
      </c>
      <c r="I78" s="33" t="s">
        <v>229</v>
      </c>
      <c r="J78" s="32" t="s">
        <v>25</v>
      </c>
      <c r="K78" s="34" t="n">
        <f aca="false">IF(OR(M78="",$E78=""),"",M78-$E78)</f>
        <v>0.5</v>
      </c>
      <c r="L78" s="35" t="n">
        <f aca="false">IF(SUM(FA78:FN78)=0,"",SUM(EM78:EZ78)/SUM(FA78:FN78))</f>
        <v>83.9949494949495</v>
      </c>
      <c r="M78" s="36" t="n">
        <f aca="false">IF(OR(L78="",FO78=""),"",IFERROR(MATCH(L78,INDEX(Boundaries!$B$2:$I$30,MATCH(FO78,Boundaries!$A$2:$A$30,0),0),1)-1,""))</f>
        <v>7</v>
      </c>
      <c r="N78" s="37" t="n">
        <f aca="false">IF(COUNT($DY78:$EL78)&lt;2,"",INDEX($DK78:$DX78,MAX($DY78:$EL78))-INDEX($DK78:$DX78,MIN($DY78:$EL78)))</f>
        <v>0</v>
      </c>
      <c r="O78" s="37" t="n">
        <f aca="false">IF(COUNT($DY78:$EL78)&lt;2,"",INDEX($DK78:$DX78,MAX($DY78:$EL78))-INDEX($DK78:$DX78,LARGE($DY78:$EL78,2)))</f>
        <v>0</v>
      </c>
      <c r="P78" s="38" t="str">
        <f aca="false">IF(K78="","",IF(K78&gt;=0,"On/above target",IF(AND(N78&lt;&gt;"",N78&gt;=0.5),"Improving towards target",IF(AND(O78&lt;&gt;"",O78&lt;=-0.5),"Declining","Stable below target"))))</f>
        <v>On/above target</v>
      </c>
      <c r="Q78" s="39" t="n">
        <v>28</v>
      </c>
      <c r="R78" s="40" t="n">
        <f aca="false">IF(OR(Q78="",BU78=""),"",Q78/BU78*100)</f>
        <v>93.3333333333333</v>
      </c>
      <c r="S78" s="41" t="n">
        <f aca="false">IF(R78="","",IFERROR(MATCH(R78,INDEX(Boundaries!$B$2:$I$30,MATCH(CI78,Boundaries!$A$2:$A$30,0),0),1)-1,""))</f>
        <v>7</v>
      </c>
      <c r="T78" s="42" t="n">
        <f aca="false">IF(OR(S78="",$E78=""),"",S78-$E78)</f>
        <v>0.5</v>
      </c>
      <c r="U78" s="39" t="n">
        <v>18</v>
      </c>
      <c r="V78" s="40" t="n">
        <f aca="false">IF(OR(U78="",BV78=""),"",U78/BV78*100)</f>
        <v>75</v>
      </c>
      <c r="W78" s="41" t="n">
        <f aca="false">IF(V78="","",IFERROR(MATCH(V78,INDEX(Boundaries!$B$2:$I$30,MATCH(CJ78,Boundaries!$A$2:$A$30,0),0),1)-1,""))</f>
        <v>6</v>
      </c>
      <c r="X78" s="42" t="n">
        <f aca="false">IF(OR(W78="",$E78=""),"",W78-$E78)</f>
        <v>-0.5</v>
      </c>
      <c r="Y78" s="39" t="n">
        <v>18</v>
      </c>
      <c r="Z78" s="40" t="n">
        <f aca="false">IF(OR(Y78="",BW78=""),"",Y78/BW78*100)</f>
        <v>72</v>
      </c>
      <c r="AA78" s="41" t="n">
        <f aca="false">IF(Z78="","",IFERROR(MATCH(Z78,INDEX(Boundaries!$B$2:$I$30,MATCH(CK78,Boundaries!$A$2:$A$30,0),0),1)-1,""))</f>
        <v>5</v>
      </c>
      <c r="AB78" s="42" t="n">
        <f aca="false">IF(OR(AA78="",$E78=""),"",AA78-$E78)</f>
        <v>-1.5</v>
      </c>
      <c r="AC78" s="39" t="n">
        <v>35</v>
      </c>
      <c r="AD78" s="40" t="n">
        <f aca="false">IF(OR(AC78="",BX78=""),"",AC78/BX78*100)</f>
        <v>100</v>
      </c>
      <c r="AE78" s="41" t="n">
        <f aca="false">IF(AD78="","",IFERROR(MATCH(AD78,INDEX(Boundaries!$B$2:$I$30,MATCH(CL78,Boundaries!$A$2:$A$30,0),0),1)-1,""))</f>
        <v>7</v>
      </c>
      <c r="AF78" s="42" t="n">
        <f aca="false">IF(OR(AE78="",$E78=""),"",AE78-$E78)</f>
        <v>0.5</v>
      </c>
      <c r="AG78" s="39" t="n">
        <v>45</v>
      </c>
      <c r="AH78" s="40" t="n">
        <f aca="false">IF(OR(AG78="",BY78=""),"",AG78/BY78*100)</f>
        <v>81.8181818181818</v>
      </c>
      <c r="AI78" s="41" t="n">
        <f aca="false">IF(AH78="","",IFERROR(MATCH(AH78,INDEX(Boundaries!$B$2:$I$30,MATCH(CM78,Boundaries!$A$2:$A$30,0),0),1)-1,""))</f>
        <v>7</v>
      </c>
      <c r="AJ78" s="42" t="n">
        <f aca="false">IF(OR(AI78="",$E78=""),"",AI78-$E78)</f>
        <v>0.5</v>
      </c>
      <c r="AK78" s="39"/>
      <c r="AL78" s="40" t="str">
        <f aca="false">IF(OR(AK78="",BZ78=""),"",AK78/BZ78*100)</f>
        <v/>
      </c>
      <c r="AM78" s="41" t="str">
        <f aca="false">IF(AL78="","",IFERROR(MATCH(AL78,INDEX(Boundaries!$B$2:$I$30,MATCH(CN78,Boundaries!$A$2:$A$30,0),0),1)-1,""))</f>
        <v/>
      </c>
      <c r="AN78" s="42" t="str">
        <f aca="false">IF(OR(AM78="",$E78=""),"",AM78-$E78)</f>
        <v/>
      </c>
      <c r="AO78" s="39"/>
      <c r="AP78" s="40" t="str">
        <f aca="false">IF(OR(AO78="",CA78=""),"",AO78/CA78*100)</f>
        <v/>
      </c>
      <c r="AQ78" s="41" t="str">
        <f aca="false">IF(AP78="","",IFERROR(MATCH(AP78,INDEX(Boundaries!$B$2:$I$30,MATCH(CO78,Boundaries!$A$2:$A$30,0),0),1)-1,""))</f>
        <v/>
      </c>
      <c r="AR78" s="42" t="str">
        <f aca="false">IF(OR(AQ78="",$E78=""),"",AQ78-$E78)</f>
        <v/>
      </c>
      <c r="AS78" s="39"/>
      <c r="AT78" s="40" t="str">
        <f aca="false">IF(OR(AS78="",CB78=""),"",AS78/CB78*100)</f>
        <v/>
      </c>
      <c r="AU78" s="41" t="str">
        <f aca="false">IF(AT78="","",IFERROR(MATCH(AT78,INDEX(Boundaries!$B$2:$I$30,MATCH(CP78,Boundaries!$A$2:$A$30,0),0),1)-1,""))</f>
        <v/>
      </c>
      <c r="AV78" s="42" t="str">
        <f aca="false">IF(OR(AU78="",$E78=""),"",AU78-$E78)</f>
        <v/>
      </c>
      <c r="AW78" s="39"/>
      <c r="AX78" s="40" t="str">
        <f aca="false">IF(OR(AW78="",CC78=""),"",AW78/CC78*100)</f>
        <v/>
      </c>
      <c r="AY78" s="41" t="str">
        <f aca="false">IF(AX78="","",IFERROR(MATCH(AX78,INDEX(Boundaries!$B$2:$I$30,MATCH(CQ78,Boundaries!$A$2:$A$30,0),0),1)-1,""))</f>
        <v/>
      </c>
      <c r="AZ78" s="42" t="str">
        <f aca="false">IF(OR(AY78="",$E78=""),"",AY78-$E78)</f>
        <v/>
      </c>
      <c r="BA78" s="39"/>
      <c r="BB78" s="40" t="str">
        <f aca="false">IF(OR(BA78="",CD78=""),"",BA78/CD78*100)</f>
        <v/>
      </c>
      <c r="BC78" s="41" t="str">
        <f aca="false">IF(BB78="","",IFERROR(MATCH(BB78,INDEX(Boundaries!$B$2:$I$30,MATCH(CR78,Boundaries!$A$2:$A$30,0),0),1)-1,""))</f>
        <v/>
      </c>
      <c r="BD78" s="42" t="str">
        <f aca="false">IF(OR(BC78="",$E78=""),"",BC78-$E78)</f>
        <v/>
      </c>
      <c r="BE78" s="39"/>
      <c r="BF78" s="40" t="str">
        <f aca="false">IF(OR(BE78="",CE78=""),"",BE78/CE78*100)</f>
        <v/>
      </c>
      <c r="BG78" s="41" t="str">
        <f aca="false">IF(BF78="","",IFERROR(MATCH(BF78,INDEX(Boundaries!$B$2:$I$30,MATCH(CS78,Boundaries!$A$2:$A$30,0),0),1)-1,""))</f>
        <v/>
      </c>
      <c r="BH78" s="42" t="str">
        <f aca="false">IF(OR(BG78="",$E78=""),"",BG78-$E78)</f>
        <v/>
      </c>
      <c r="BI78" s="39"/>
      <c r="BJ78" s="40" t="str">
        <f aca="false">IF(OR(BI78="",CF78=""),"",BI78/CF78*100)</f>
        <v/>
      </c>
      <c r="BK78" s="41" t="str">
        <f aca="false">IF(BJ78="","",IFERROR(MATCH(BJ78,INDEX(Boundaries!$B$2:$I$30,MATCH(CT78,Boundaries!$A$2:$A$30,0),0),1)-1,""))</f>
        <v/>
      </c>
      <c r="BL78" s="42" t="str">
        <f aca="false">IF(OR(BK78="",$E78=""),"",BK78-$E78)</f>
        <v/>
      </c>
      <c r="BM78" s="39"/>
      <c r="BN78" s="40" t="str">
        <f aca="false">IF(OR(BM78="",CG78=""),"",BM78/CG78*100)</f>
        <v/>
      </c>
      <c r="BO78" s="41" t="str">
        <f aca="false">IF(BN78="","",IFERROR(MATCH(BN78,INDEX(Boundaries!$B$2:$I$30,MATCH(CU78,Boundaries!$A$2:$A$30,0),0),1)-1,""))</f>
        <v/>
      </c>
      <c r="BP78" s="42" t="str">
        <f aca="false">IF(OR(BO78="",$E78=""),"",BO78-$E78)</f>
        <v/>
      </c>
      <c r="BQ78" s="39"/>
      <c r="BR78" s="40" t="str">
        <f aca="false">IF(OR(BQ78="",CH78=""),"",BQ78/CH78*100)</f>
        <v/>
      </c>
      <c r="BS78" s="41" t="str">
        <f aca="false">IF(BR78="","",IFERROR(MATCH(BR78,INDEX(Boundaries!$B$2:$I$30,MATCH(CV78,Boundaries!$A$2:$A$30,0),0),1)-1,""))</f>
        <v/>
      </c>
      <c r="BT78" s="42" t="str">
        <f aca="false">IF(OR(BS78="",$E78=""),"",BS78-$E78)</f>
        <v/>
      </c>
      <c r="BU78" s="28" t="n">
        <f aca="false">IFERROR(INDEX(Assessments!$H$2:$H$600,MATCH($H78&amp;"|"&amp;$I78&amp;"|"&amp;$J78&amp;"|"&amp;1,Assessments!$A$2:$A$600,0)),"")</f>
        <v>30</v>
      </c>
      <c r="BV78" s="28" t="n">
        <f aca="false">IFERROR(INDEX(Assessments!$H$2:$H$600,MATCH($H78&amp;"|"&amp;$I78&amp;"|"&amp;$J78&amp;"|"&amp;2,Assessments!$A$2:$A$600,0)),"")</f>
        <v>24</v>
      </c>
      <c r="BW78" s="28" t="n">
        <f aca="false">IFERROR(INDEX(Assessments!$H$2:$H$600,MATCH($H78&amp;"|"&amp;$I78&amp;"|"&amp;$J78&amp;"|"&amp;3,Assessments!$A$2:$A$600,0)),"")</f>
        <v>25</v>
      </c>
      <c r="BX78" s="28" t="n">
        <f aca="false">IFERROR(INDEX(Assessments!$H$2:$H$600,MATCH($H78&amp;"|"&amp;$I78&amp;"|"&amp;$J78&amp;"|"&amp;4,Assessments!$A$2:$A$600,0)),"")</f>
        <v>35</v>
      </c>
      <c r="BY78" s="28" t="n">
        <f aca="false">IFERROR(INDEX(Assessments!$H$2:$H$600,MATCH($H78&amp;"|"&amp;$I78&amp;"|"&amp;$J78&amp;"|"&amp;5,Assessments!$A$2:$A$600,0)),"")</f>
        <v>55</v>
      </c>
      <c r="BZ78" s="28" t="n">
        <f aca="false">IFERROR(INDEX(Assessments!$H$2:$H$600,MATCH($H78&amp;"|"&amp;$I78&amp;"|"&amp;$J78&amp;"|"&amp;6,Assessments!$A$2:$A$600,0)),"")</f>
        <v>30</v>
      </c>
      <c r="CA78" s="28" t="n">
        <f aca="false">IFERROR(INDEX(Assessments!$H$2:$H$600,MATCH($H78&amp;"|"&amp;$I78&amp;"|"&amp;$J78&amp;"|"&amp;7,Assessments!$A$2:$A$600,0)),"")</f>
        <v>95</v>
      </c>
      <c r="CB78" s="28" t="str">
        <f aca="false">IFERROR(INDEX(Assessments!$H$2:$H$600,MATCH($H78&amp;"|"&amp;$I78&amp;"|"&amp;$J78&amp;"|"&amp;8,Assessments!$A$2:$A$600,0)),"")</f>
        <v/>
      </c>
      <c r="CC78" s="28" t="str">
        <f aca="false">IFERROR(INDEX(Assessments!$H$2:$H$600,MATCH($H78&amp;"|"&amp;$I78&amp;"|"&amp;$J78&amp;"|"&amp;9,Assessments!$A$2:$A$600,0)),"")</f>
        <v/>
      </c>
      <c r="CD78" s="28" t="str">
        <f aca="false">IFERROR(INDEX(Assessments!$H$2:$H$600,MATCH($H78&amp;"|"&amp;$I78&amp;"|"&amp;$J78&amp;"|"&amp;10,Assessments!$A$2:$A$600,0)),"")</f>
        <v/>
      </c>
      <c r="CE78" s="28" t="str">
        <f aca="false">IFERROR(INDEX(Assessments!$H$2:$H$600,MATCH($H78&amp;"|"&amp;$I78&amp;"|"&amp;$J78&amp;"|"&amp;11,Assessments!$A$2:$A$600,0)),"")</f>
        <v/>
      </c>
      <c r="CF78" s="28" t="str">
        <f aca="false">IFERROR(INDEX(Assessments!$H$2:$H$600,MATCH($H78&amp;"|"&amp;$I78&amp;"|"&amp;$J78&amp;"|"&amp;12,Assessments!$A$2:$A$600,0)),"")</f>
        <v/>
      </c>
      <c r="CG78" s="28" t="str">
        <f aca="false">IFERROR(INDEX(Assessments!$H$2:$H$600,MATCH($H78&amp;"|"&amp;$I78&amp;"|"&amp;$J78&amp;"|"&amp;13,Assessments!$A$2:$A$600,0)),"")</f>
        <v/>
      </c>
      <c r="CH78" s="28" t="str">
        <f aca="false">IFERROR(INDEX(Assessments!$H$2:$H$600,MATCH($H78&amp;"|"&amp;$I78&amp;"|"&amp;$J78&amp;"|"&amp;14,Assessments!$A$2:$A$600,0)),"")</f>
        <v/>
      </c>
      <c r="CI78" s="28" t="str">
        <f aca="false">IFERROR(INDEX(Assessments!$I$2:$I$600,MATCH($H78&amp;"|"&amp;$I78&amp;"|"&amp;$J78&amp;"|"&amp;1,Assessments!$A$2:$A$600,0)),"")</f>
        <v>Econ Test</v>
      </c>
      <c r="CJ78" s="28" t="str">
        <f aca="false">IFERROR(INDEX(Assessments!$I$2:$I$600,MATCH($H78&amp;"|"&amp;$I78&amp;"|"&amp;$J78&amp;"|"&amp;2,Assessments!$A$2:$A$600,0)),"")</f>
        <v>Econ Test</v>
      </c>
      <c r="CK78" s="28" t="str">
        <f aca="false">IFERROR(INDEX(Assessments!$I$2:$I$600,MATCH($H78&amp;"|"&amp;$I78&amp;"|"&amp;$J78&amp;"|"&amp;3,Assessments!$A$2:$A$600,0)),"")</f>
        <v>Econ Test</v>
      </c>
      <c r="CL78" s="28" t="str">
        <f aca="false">IFERROR(INDEX(Assessments!$I$2:$I$600,MATCH($H78&amp;"|"&amp;$I78&amp;"|"&amp;$J78&amp;"|"&amp;4,Assessments!$A$2:$A$600,0)),"")</f>
        <v>Econ Test</v>
      </c>
      <c r="CM78" s="28" t="str">
        <f aca="false">IFERROR(INDEX(Assessments!$I$2:$I$600,MATCH($H78&amp;"|"&amp;$I78&amp;"|"&amp;$J78&amp;"|"&amp;5,Assessments!$A$2:$A$600,0)),"")</f>
        <v>Econ Exam</v>
      </c>
      <c r="CN78" s="28" t="str">
        <f aca="false">IFERROR(INDEX(Assessments!$I$2:$I$600,MATCH($H78&amp;"|"&amp;$I78&amp;"|"&amp;$J78&amp;"|"&amp;6,Assessments!$A$2:$A$600,0)),"")</f>
        <v>Econ Test</v>
      </c>
      <c r="CO78" s="28" t="str">
        <f aca="false">IFERROR(INDEX(Assessments!$I$2:$I$600,MATCH($H78&amp;"|"&amp;$I78&amp;"|"&amp;$J78&amp;"|"&amp;7,Assessments!$A$2:$A$600,0)),"")</f>
        <v>Econ Exam</v>
      </c>
      <c r="CP78" s="28" t="str">
        <f aca="false">IFERROR(INDEX(Assessments!$I$2:$I$600,MATCH($H78&amp;"|"&amp;$I78&amp;"|"&amp;$J78&amp;"|"&amp;8,Assessments!$A$2:$A$600,0)),"")</f>
        <v/>
      </c>
      <c r="CQ78" s="28" t="str">
        <f aca="false">IFERROR(INDEX(Assessments!$I$2:$I$600,MATCH($H78&amp;"|"&amp;$I78&amp;"|"&amp;$J78&amp;"|"&amp;9,Assessments!$A$2:$A$600,0)),"")</f>
        <v/>
      </c>
      <c r="CR78" s="28" t="str">
        <f aca="false">IFERROR(INDEX(Assessments!$I$2:$I$600,MATCH($H78&amp;"|"&amp;$I78&amp;"|"&amp;$J78&amp;"|"&amp;10,Assessments!$A$2:$A$600,0)),"")</f>
        <v/>
      </c>
      <c r="CS78" s="28" t="str">
        <f aca="false">IFERROR(INDEX(Assessments!$I$2:$I$600,MATCH($H78&amp;"|"&amp;$I78&amp;"|"&amp;$J78&amp;"|"&amp;11,Assessments!$A$2:$A$600,0)),"")</f>
        <v/>
      </c>
      <c r="CT78" s="28" t="str">
        <f aca="false">IFERROR(INDEX(Assessments!$I$2:$I$600,MATCH($H78&amp;"|"&amp;$I78&amp;"|"&amp;$J78&amp;"|"&amp;12,Assessments!$A$2:$A$600,0)),"")</f>
        <v/>
      </c>
      <c r="CU78" s="28" t="str">
        <f aca="false">IFERROR(INDEX(Assessments!$I$2:$I$600,MATCH($H78&amp;"|"&amp;$I78&amp;"|"&amp;$J78&amp;"|"&amp;13,Assessments!$A$2:$A$600,0)),"")</f>
        <v/>
      </c>
      <c r="CV78" s="28" t="str">
        <f aca="false">IFERROR(INDEX(Assessments!$I$2:$I$600,MATCH($H78&amp;"|"&amp;$I78&amp;"|"&amp;$J78&amp;"|"&amp;14,Assessments!$A$2:$A$600,0)),"")</f>
        <v/>
      </c>
      <c r="CW78" s="28" t="n">
        <f aca="false">IFERROR(INDEX(Assessments!$J$2:$J$600,MATCH($H78&amp;"|"&amp;$I78&amp;"|"&amp;$J78&amp;"|"&amp;1,Assessments!$A$2:$A$600,0)),0)</f>
        <v>1</v>
      </c>
      <c r="CX78" s="28" t="n">
        <f aca="false">IFERROR(INDEX(Assessments!$J$2:$J$600,MATCH($H78&amp;"|"&amp;$I78&amp;"|"&amp;$J78&amp;"|"&amp;2,Assessments!$A$2:$A$600,0)),0)</f>
        <v>1</v>
      </c>
      <c r="CY78" s="28" t="n">
        <f aca="false">IFERROR(INDEX(Assessments!$J$2:$J$600,MATCH($H78&amp;"|"&amp;$I78&amp;"|"&amp;$J78&amp;"|"&amp;3,Assessments!$A$2:$A$600,0)),0)</f>
        <v>1</v>
      </c>
      <c r="CZ78" s="28" t="n">
        <f aca="false">IFERROR(INDEX(Assessments!$J$2:$J$600,MATCH($H78&amp;"|"&amp;$I78&amp;"|"&amp;$J78&amp;"|"&amp;4,Assessments!$A$2:$A$600,0)),0)</f>
        <v>1</v>
      </c>
      <c r="DA78" s="28" t="n">
        <f aca="false">IFERROR(INDEX(Assessments!$J$2:$J$600,MATCH($H78&amp;"|"&amp;$I78&amp;"|"&amp;$J78&amp;"|"&amp;5,Assessments!$A$2:$A$600,0)),0)</f>
        <v>2</v>
      </c>
      <c r="DB78" s="28" t="n">
        <f aca="false">IFERROR(INDEX(Assessments!$J$2:$J$600,MATCH($H78&amp;"|"&amp;$I78&amp;"|"&amp;$J78&amp;"|"&amp;6,Assessments!$A$2:$A$600,0)),0)</f>
        <v>1</v>
      </c>
      <c r="DC78" s="28" t="n">
        <f aca="false">IFERROR(INDEX(Assessments!$J$2:$J$600,MATCH($H78&amp;"|"&amp;$I78&amp;"|"&amp;$J78&amp;"|"&amp;7,Assessments!$A$2:$A$600,0)),0)</f>
        <v>2</v>
      </c>
      <c r="DD78" s="28" t="n">
        <f aca="false">IFERROR(INDEX(Assessments!$J$2:$J$600,MATCH($H78&amp;"|"&amp;$I78&amp;"|"&amp;$J78&amp;"|"&amp;8,Assessments!$A$2:$A$600,0)),0)</f>
        <v>0</v>
      </c>
      <c r="DE78" s="28" t="n">
        <f aca="false">IFERROR(INDEX(Assessments!$J$2:$J$600,MATCH($H78&amp;"|"&amp;$I78&amp;"|"&amp;$J78&amp;"|"&amp;9,Assessments!$A$2:$A$600,0)),0)</f>
        <v>0</v>
      </c>
      <c r="DF78" s="28" t="n">
        <f aca="false">IFERROR(INDEX(Assessments!$J$2:$J$600,MATCH($H78&amp;"|"&amp;$I78&amp;"|"&amp;$J78&amp;"|"&amp;10,Assessments!$A$2:$A$600,0)),0)</f>
        <v>0</v>
      </c>
      <c r="DG78" s="28" t="n">
        <f aca="false">IFERROR(INDEX(Assessments!$J$2:$J$600,MATCH($H78&amp;"|"&amp;$I78&amp;"|"&amp;$J78&amp;"|"&amp;11,Assessments!$A$2:$A$600,0)),0)</f>
        <v>0</v>
      </c>
      <c r="DH78" s="28" t="n">
        <f aca="false">IFERROR(INDEX(Assessments!$J$2:$J$600,MATCH($H78&amp;"|"&amp;$I78&amp;"|"&amp;$J78&amp;"|"&amp;12,Assessments!$A$2:$A$600,0)),0)</f>
        <v>0</v>
      </c>
      <c r="DI78" s="28" t="n">
        <f aca="false">IFERROR(INDEX(Assessments!$J$2:$J$600,MATCH($H78&amp;"|"&amp;$I78&amp;"|"&amp;$J78&amp;"|"&amp;13,Assessments!$A$2:$A$600,0)),0)</f>
        <v>0</v>
      </c>
      <c r="DJ78" s="28" t="n">
        <f aca="false">IFERROR(INDEX(Assessments!$J$2:$J$600,MATCH($H78&amp;"|"&amp;$I78&amp;"|"&amp;$J78&amp;"|"&amp;14,Assessments!$A$2:$A$600,0)),0)</f>
        <v>0</v>
      </c>
      <c r="DK78" s="28" t="n">
        <f aca="false">S78</f>
        <v>7</v>
      </c>
      <c r="DL78" s="28" t="n">
        <f aca="false">W78</f>
        <v>6</v>
      </c>
      <c r="DM78" s="28" t="n">
        <f aca="false">AA78</f>
        <v>5</v>
      </c>
      <c r="DN78" s="28" t="n">
        <f aca="false">AE78</f>
        <v>7</v>
      </c>
      <c r="DO78" s="28" t="n">
        <f aca="false">AI78</f>
        <v>7</v>
      </c>
      <c r="DP78" s="28" t="str">
        <f aca="false">AM78</f>
        <v/>
      </c>
      <c r="DQ78" s="28" t="str">
        <f aca="false">AQ78</f>
        <v/>
      </c>
      <c r="DR78" s="28" t="str">
        <f aca="false">AU78</f>
        <v/>
      </c>
      <c r="DS78" s="28" t="str">
        <f aca="false">AY78</f>
        <v/>
      </c>
      <c r="DT78" s="28" t="str">
        <f aca="false">BC78</f>
        <v/>
      </c>
      <c r="DU78" s="28" t="str">
        <f aca="false">BG78</f>
        <v/>
      </c>
      <c r="DV78" s="28" t="str">
        <f aca="false">BK78</f>
        <v/>
      </c>
      <c r="DW78" s="28" t="str">
        <f aca="false">BO78</f>
        <v/>
      </c>
      <c r="DX78" s="28" t="str">
        <f aca="false">BS78</f>
        <v/>
      </c>
      <c r="DY78" s="28" t="n">
        <f aca="false">IF(ISNUMBER(S78),1,"")</f>
        <v>1</v>
      </c>
      <c r="DZ78" s="28" t="n">
        <f aca="false">IF(ISNUMBER(W78),2,"")</f>
        <v>2</v>
      </c>
      <c r="EA78" s="28" t="n">
        <f aca="false">IF(ISNUMBER(AA78),3,"")</f>
        <v>3</v>
      </c>
      <c r="EB78" s="28" t="n">
        <f aca="false">IF(ISNUMBER(AE78),4,"")</f>
        <v>4</v>
      </c>
      <c r="EC78" s="28" t="n">
        <f aca="false">IF(ISNUMBER(AI78),5,"")</f>
        <v>5</v>
      </c>
      <c r="ED78" s="28" t="str">
        <f aca="false">IF(ISNUMBER(AM78),6,"")</f>
        <v/>
      </c>
      <c r="EE78" s="28" t="str">
        <f aca="false">IF(ISNUMBER(AQ78),7,"")</f>
        <v/>
      </c>
      <c r="EF78" s="28" t="str">
        <f aca="false">IF(ISNUMBER(AU78),8,"")</f>
        <v/>
      </c>
      <c r="EG78" s="28" t="str">
        <f aca="false">IF(ISNUMBER(AY78),9,"")</f>
        <v/>
      </c>
      <c r="EH78" s="28" t="str">
        <f aca="false">IF(ISNUMBER(BC78),10,"")</f>
        <v/>
      </c>
      <c r="EI78" s="28" t="str">
        <f aca="false">IF(ISNUMBER(BG78),11,"")</f>
        <v/>
      </c>
      <c r="EJ78" s="28" t="str">
        <f aca="false">IF(ISNUMBER(BK78),12,"")</f>
        <v/>
      </c>
      <c r="EK78" s="28" t="str">
        <f aca="false">IF(ISNUMBER(BO78),13,"")</f>
        <v/>
      </c>
      <c r="EL78" s="28" t="str">
        <f aca="false">IF(ISNUMBER(BS78),14,"")</f>
        <v/>
      </c>
      <c r="EM78" s="28" t="n">
        <f aca="false">IF(ISNUMBER(R78),R78*CW78,0)</f>
        <v>93.3333333333333</v>
      </c>
      <c r="EN78" s="28" t="n">
        <f aca="false">IF(ISNUMBER(V78),V78*CX78,0)</f>
        <v>75</v>
      </c>
      <c r="EO78" s="28" t="n">
        <f aca="false">IF(ISNUMBER(Z78),Z78*CY78,0)</f>
        <v>72</v>
      </c>
      <c r="EP78" s="28" t="n">
        <f aca="false">IF(ISNUMBER(AD78),AD78*CZ78,0)</f>
        <v>100</v>
      </c>
      <c r="EQ78" s="28" t="n">
        <f aca="false">IF(ISNUMBER(AH78),AH78*DA78,0)</f>
        <v>163.636363636364</v>
      </c>
      <c r="ER78" s="28" t="n">
        <f aca="false">IF(ISNUMBER(AL78),AL78*DB78,0)</f>
        <v>0</v>
      </c>
      <c r="ES78" s="28" t="n">
        <f aca="false">IF(ISNUMBER(AP78),AP78*DC78,0)</f>
        <v>0</v>
      </c>
      <c r="ET78" s="28" t="n">
        <f aca="false">IF(ISNUMBER(AT78),AT78*DD78,0)</f>
        <v>0</v>
      </c>
      <c r="EU78" s="28" t="n">
        <f aca="false">IF(ISNUMBER(AX78),AX78*DE78,0)</f>
        <v>0</v>
      </c>
      <c r="EV78" s="28" t="n">
        <f aca="false">IF(ISNUMBER(BB78),BB78*DF78,0)</f>
        <v>0</v>
      </c>
      <c r="EW78" s="28" t="n">
        <f aca="false">IF(ISNUMBER(BF78),BF78*DG78,0)</f>
        <v>0</v>
      </c>
      <c r="EX78" s="28" t="n">
        <f aca="false">IF(ISNUMBER(BJ78),BJ78*DH78,0)</f>
        <v>0</v>
      </c>
      <c r="EY78" s="28" t="n">
        <f aca="false">IF(ISNUMBER(BN78),BN78*DI78,0)</f>
        <v>0</v>
      </c>
      <c r="EZ78" s="28" t="n">
        <f aca="false">IF(ISNUMBER(BR78),BR78*DJ78,0)</f>
        <v>0</v>
      </c>
      <c r="FA78" s="28" t="n">
        <f aca="false">IF(ISNUMBER(R78),CW78,0)</f>
        <v>1</v>
      </c>
      <c r="FB78" s="28" t="n">
        <f aca="false">IF(ISNUMBER(V78),CX78,0)</f>
        <v>1</v>
      </c>
      <c r="FC78" s="28" t="n">
        <f aca="false">IF(ISNUMBER(Z78),CY78,0)</f>
        <v>1</v>
      </c>
      <c r="FD78" s="28" t="n">
        <f aca="false">IF(ISNUMBER(AD78),CZ78,0)</f>
        <v>1</v>
      </c>
      <c r="FE78" s="28" t="n">
        <f aca="false">IF(ISNUMBER(AH78),DA78,0)</f>
        <v>2</v>
      </c>
      <c r="FF78" s="28" t="n">
        <f aca="false">IF(ISNUMBER(AL78),DB78,0)</f>
        <v>0</v>
      </c>
      <c r="FG78" s="28" t="n">
        <f aca="false">IF(ISNUMBER(AP78),DC78,0)</f>
        <v>0</v>
      </c>
      <c r="FH78" s="28" t="n">
        <f aca="false">IF(ISNUMBER(AT78),DD78,0)</f>
        <v>0</v>
      </c>
      <c r="FI78" s="28" t="n">
        <f aca="false">IF(ISNUMBER(AX78),DE78,0)</f>
        <v>0</v>
      </c>
      <c r="FJ78" s="28" t="n">
        <f aca="false">IF(ISNUMBER(BB78),DF78,0)</f>
        <v>0</v>
      </c>
      <c r="FK78" s="28" t="n">
        <f aca="false">IF(ISNUMBER(BF78),DG78,0)</f>
        <v>0</v>
      </c>
      <c r="FL78" s="28" t="n">
        <f aca="false">IF(ISNUMBER(BJ78),DH78,0)</f>
        <v>0</v>
      </c>
      <c r="FM78" s="28" t="n">
        <f aca="false">IF(ISNUMBER(BN78),DI78,0)</f>
        <v>0</v>
      </c>
      <c r="FN78" s="28" t="n">
        <f aca="false">IF(ISNUMBER(BR78),DJ78,0)</f>
        <v>0</v>
      </c>
      <c r="FO78" s="28" t="str">
        <f aca="false">IFERROR(INDEX(Lists!$G$2:$G$20,MATCH($I78&amp;"|"&amp;$J78,Lists!$F$2:$F$20,0)),"")</f>
        <v>Econ Exam</v>
      </c>
    </row>
    <row r="79" customFormat="false" ht="19.5" hidden="false" customHeight="true" outlineLevel="0" collapsed="false">
      <c r="A79" s="29" t="s">
        <v>287</v>
      </c>
      <c r="B79" s="29" t="s">
        <v>288</v>
      </c>
      <c r="C79" s="30" t="s">
        <v>192</v>
      </c>
      <c r="D79" s="30" t="s">
        <v>271</v>
      </c>
      <c r="E79" s="31" t="n">
        <v>6</v>
      </c>
      <c r="F79" s="30" t="n">
        <v>6</v>
      </c>
      <c r="G79" s="30"/>
      <c r="H79" s="32" t="s">
        <v>23</v>
      </c>
      <c r="I79" s="33" t="s">
        <v>229</v>
      </c>
      <c r="J79" s="32" t="s">
        <v>25</v>
      </c>
      <c r="K79" s="34" t="n">
        <f aca="false">IF(OR(M79="",$E79=""),"",M79-$E79)</f>
        <v>1</v>
      </c>
      <c r="L79" s="35" t="n">
        <f aca="false">IF(SUM(FA79:FN79)=0,"",SUM(EM79:EZ79)/SUM(FA79:FN79))</f>
        <v>92.6666666666667</v>
      </c>
      <c r="M79" s="36" t="n">
        <f aca="false">IF(OR(L79="",FO79=""),"",IFERROR(MATCH(L79,INDEX(Boundaries!$B$2:$I$30,MATCH(FO79,Boundaries!$A$2:$A$30,0),0),1)-1,""))</f>
        <v>7</v>
      </c>
      <c r="N79" s="37" t="n">
        <f aca="false">IF(COUNT($DY79:$EL79)&lt;2,"",INDEX($DK79:$DX79,MAX($DY79:$EL79))-INDEX($DK79:$DX79,MIN($DY79:$EL79)))</f>
        <v>0</v>
      </c>
      <c r="O79" s="37" t="n">
        <f aca="false">IF(COUNT($DY79:$EL79)&lt;2,"",INDEX($DK79:$DX79,MAX($DY79:$EL79))-INDEX($DK79:$DX79,LARGE($DY79:$EL79,2)))</f>
        <v>1</v>
      </c>
      <c r="P79" s="38" t="str">
        <f aca="false">IF(K79="","",IF(K79&gt;=0,"On/above target",IF(AND(N79&lt;&gt;"",N79&gt;=0.5),"Improving towards target",IF(AND(O79&lt;&gt;"",O79&lt;=-0.5),"Declining","Stable below target"))))</f>
        <v>On/above target</v>
      </c>
      <c r="Q79" s="39" t="n">
        <v>26</v>
      </c>
      <c r="R79" s="40" t="n">
        <f aca="false">IF(OR(Q79="",BU79=""),"",Q79/BU79*100)</f>
        <v>86.6666666666667</v>
      </c>
      <c r="S79" s="41" t="n">
        <f aca="false">IF(R79="","",IFERROR(MATCH(R79,INDEX(Boundaries!$B$2:$I$30,MATCH(CI79,Boundaries!$A$2:$A$30,0),0),1)-1,""))</f>
        <v>7</v>
      </c>
      <c r="T79" s="42" t="n">
        <f aca="false">IF(OR(S79="",$E79=""),"",S79-$E79)</f>
        <v>1</v>
      </c>
      <c r="U79" s="39" t="n">
        <v>24</v>
      </c>
      <c r="V79" s="40" t="n">
        <f aca="false">IF(OR(U79="",BV79=""),"",U79/BV79*100)</f>
        <v>100</v>
      </c>
      <c r="W79" s="41" t="n">
        <f aca="false">IF(V79="","",IFERROR(MATCH(V79,INDEX(Boundaries!$B$2:$I$30,MATCH(CJ79,Boundaries!$A$2:$A$30,0),0),1)-1,""))</f>
        <v>7</v>
      </c>
      <c r="X79" s="42" t="n">
        <f aca="false">IF(OR(W79="",$E79=""),"",W79-$E79)</f>
        <v>1</v>
      </c>
      <c r="Y79" s="39" t="n">
        <v>21</v>
      </c>
      <c r="Z79" s="40" t="n">
        <f aca="false">IF(OR(Y79="",BW79=""),"",Y79/BW79*100)</f>
        <v>84</v>
      </c>
      <c r="AA79" s="41" t="n">
        <f aca="false">IF(Z79="","",IFERROR(MATCH(Z79,INDEX(Boundaries!$B$2:$I$30,MATCH(CK79,Boundaries!$A$2:$A$30,0),0),1)-1,""))</f>
        <v>6</v>
      </c>
      <c r="AB79" s="42" t="n">
        <f aca="false">IF(OR(AA79="",$E79=""),"",AA79-$E79)</f>
        <v>0</v>
      </c>
      <c r="AC79" s="39" t="n">
        <v>35</v>
      </c>
      <c r="AD79" s="40" t="n">
        <f aca="false">IF(OR(AC79="",BX79=""),"",AC79/BX79*100)</f>
        <v>100</v>
      </c>
      <c r="AE79" s="41" t="n">
        <f aca="false">IF(AD79="","",IFERROR(MATCH(AD79,INDEX(Boundaries!$B$2:$I$30,MATCH(CL79,Boundaries!$A$2:$A$30,0),0),1)-1,""))</f>
        <v>7</v>
      </c>
      <c r="AF79" s="42" t="n">
        <f aca="false">IF(OR(AE79="",$E79=""),"",AE79-$E79)</f>
        <v>1</v>
      </c>
      <c r="AG79" s="39"/>
      <c r="AH79" s="40" t="str">
        <f aca="false">IF(OR(AG79="",BY79=""),"",AG79/BY79*100)</f>
        <v/>
      </c>
      <c r="AI79" s="41" t="str">
        <f aca="false">IF(AH79="","",IFERROR(MATCH(AH79,INDEX(Boundaries!$B$2:$I$30,MATCH(CM79,Boundaries!$A$2:$A$30,0),0),1)-1,""))</f>
        <v/>
      </c>
      <c r="AJ79" s="42" t="str">
        <f aca="false">IF(OR(AI79="",$E79=""),"",AI79-$E79)</f>
        <v/>
      </c>
      <c r="AK79" s="39"/>
      <c r="AL79" s="40" t="str">
        <f aca="false">IF(OR(AK79="",BZ79=""),"",AK79/BZ79*100)</f>
        <v/>
      </c>
      <c r="AM79" s="41" t="str">
        <f aca="false">IF(AL79="","",IFERROR(MATCH(AL79,INDEX(Boundaries!$B$2:$I$30,MATCH(CN79,Boundaries!$A$2:$A$30,0),0),1)-1,""))</f>
        <v/>
      </c>
      <c r="AN79" s="42" t="str">
        <f aca="false">IF(OR(AM79="",$E79=""),"",AM79-$E79)</f>
        <v/>
      </c>
      <c r="AO79" s="39"/>
      <c r="AP79" s="40" t="str">
        <f aca="false">IF(OR(AO79="",CA79=""),"",AO79/CA79*100)</f>
        <v/>
      </c>
      <c r="AQ79" s="41" t="str">
        <f aca="false">IF(AP79="","",IFERROR(MATCH(AP79,INDEX(Boundaries!$B$2:$I$30,MATCH(CO79,Boundaries!$A$2:$A$30,0),0),1)-1,""))</f>
        <v/>
      </c>
      <c r="AR79" s="42" t="str">
        <f aca="false">IF(OR(AQ79="",$E79=""),"",AQ79-$E79)</f>
        <v/>
      </c>
      <c r="AS79" s="39"/>
      <c r="AT79" s="40" t="str">
        <f aca="false">IF(OR(AS79="",CB79=""),"",AS79/CB79*100)</f>
        <v/>
      </c>
      <c r="AU79" s="41" t="str">
        <f aca="false">IF(AT79="","",IFERROR(MATCH(AT79,INDEX(Boundaries!$B$2:$I$30,MATCH(CP79,Boundaries!$A$2:$A$30,0),0),1)-1,""))</f>
        <v/>
      </c>
      <c r="AV79" s="42" t="str">
        <f aca="false">IF(OR(AU79="",$E79=""),"",AU79-$E79)</f>
        <v/>
      </c>
      <c r="AW79" s="39"/>
      <c r="AX79" s="40" t="str">
        <f aca="false">IF(OR(AW79="",CC79=""),"",AW79/CC79*100)</f>
        <v/>
      </c>
      <c r="AY79" s="41" t="str">
        <f aca="false">IF(AX79="","",IFERROR(MATCH(AX79,INDEX(Boundaries!$B$2:$I$30,MATCH(CQ79,Boundaries!$A$2:$A$30,0),0),1)-1,""))</f>
        <v/>
      </c>
      <c r="AZ79" s="42" t="str">
        <f aca="false">IF(OR(AY79="",$E79=""),"",AY79-$E79)</f>
        <v/>
      </c>
      <c r="BA79" s="39"/>
      <c r="BB79" s="40" t="str">
        <f aca="false">IF(OR(BA79="",CD79=""),"",BA79/CD79*100)</f>
        <v/>
      </c>
      <c r="BC79" s="41" t="str">
        <f aca="false">IF(BB79="","",IFERROR(MATCH(BB79,INDEX(Boundaries!$B$2:$I$30,MATCH(CR79,Boundaries!$A$2:$A$30,0),0),1)-1,""))</f>
        <v/>
      </c>
      <c r="BD79" s="42" t="str">
        <f aca="false">IF(OR(BC79="",$E79=""),"",BC79-$E79)</f>
        <v/>
      </c>
      <c r="BE79" s="39"/>
      <c r="BF79" s="40" t="str">
        <f aca="false">IF(OR(BE79="",CE79=""),"",BE79/CE79*100)</f>
        <v/>
      </c>
      <c r="BG79" s="41" t="str">
        <f aca="false">IF(BF79="","",IFERROR(MATCH(BF79,INDEX(Boundaries!$B$2:$I$30,MATCH(CS79,Boundaries!$A$2:$A$30,0),0),1)-1,""))</f>
        <v/>
      </c>
      <c r="BH79" s="42" t="str">
        <f aca="false">IF(OR(BG79="",$E79=""),"",BG79-$E79)</f>
        <v/>
      </c>
      <c r="BI79" s="39"/>
      <c r="BJ79" s="40" t="str">
        <f aca="false">IF(OR(BI79="",CF79=""),"",BI79/CF79*100)</f>
        <v/>
      </c>
      <c r="BK79" s="41" t="str">
        <f aca="false">IF(BJ79="","",IFERROR(MATCH(BJ79,INDEX(Boundaries!$B$2:$I$30,MATCH(CT79,Boundaries!$A$2:$A$30,0),0),1)-1,""))</f>
        <v/>
      </c>
      <c r="BL79" s="42" t="str">
        <f aca="false">IF(OR(BK79="",$E79=""),"",BK79-$E79)</f>
        <v/>
      </c>
      <c r="BM79" s="39"/>
      <c r="BN79" s="40" t="str">
        <f aca="false">IF(OR(BM79="",CG79=""),"",BM79/CG79*100)</f>
        <v/>
      </c>
      <c r="BO79" s="41" t="str">
        <f aca="false">IF(BN79="","",IFERROR(MATCH(BN79,INDEX(Boundaries!$B$2:$I$30,MATCH(CU79,Boundaries!$A$2:$A$30,0),0),1)-1,""))</f>
        <v/>
      </c>
      <c r="BP79" s="42" t="str">
        <f aca="false">IF(OR(BO79="",$E79=""),"",BO79-$E79)</f>
        <v/>
      </c>
      <c r="BQ79" s="39"/>
      <c r="BR79" s="40" t="str">
        <f aca="false">IF(OR(BQ79="",CH79=""),"",BQ79/CH79*100)</f>
        <v/>
      </c>
      <c r="BS79" s="41" t="str">
        <f aca="false">IF(BR79="","",IFERROR(MATCH(BR79,INDEX(Boundaries!$B$2:$I$30,MATCH(CV79,Boundaries!$A$2:$A$30,0),0),1)-1,""))</f>
        <v/>
      </c>
      <c r="BT79" s="42" t="str">
        <f aca="false">IF(OR(BS79="",$E79=""),"",BS79-$E79)</f>
        <v/>
      </c>
      <c r="BU79" s="28" t="n">
        <f aca="false">IFERROR(INDEX(Assessments!$H$2:$H$600,MATCH($H79&amp;"|"&amp;$I79&amp;"|"&amp;$J79&amp;"|"&amp;1,Assessments!$A$2:$A$600,0)),"")</f>
        <v>30</v>
      </c>
      <c r="BV79" s="28" t="n">
        <f aca="false">IFERROR(INDEX(Assessments!$H$2:$H$600,MATCH($H79&amp;"|"&amp;$I79&amp;"|"&amp;$J79&amp;"|"&amp;2,Assessments!$A$2:$A$600,0)),"")</f>
        <v>24</v>
      </c>
      <c r="BW79" s="28" t="n">
        <f aca="false">IFERROR(INDEX(Assessments!$H$2:$H$600,MATCH($H79&amp;"|"&amp;$I79&amp;"|"&amp;$J79&amp;"|"&amp;3,Assessments!$A$2:$A$600,0)),"")</f>
        <v>25</v>
      </c>
      <c r="BX79" s="28" t="n">
        <f aca="false">IFERROR(INDEX(Assessments!$H$2:$H$600,MATCH($H79&amp;"|"&amp;$I79&amp;"|"&amp;$J79&amp;"|"&amp;4,Assessments!$A$2:$A$600,0)),"")</f>
        <v>35</v>
      </c>
      <c r="BY79" s="28" t="n">
        <f aca="false">IFERROR(INDEX(Assessments!$H$2:$H$600,MATCH($H79&amp;"|"&amp;$I79&amp;"|"&amp;$J79&amp;"|"&amp;5,Assessments!$A$2:$A$600,0)),"")</f>
        <v>55</v>
      </c>
      <c r="BZ79" s="28" t="n">
        <f aca="false">IFERROR(INDEX(Assessments!$H$2:$H$600,MATCH($H79&amp;"|"&amp;$I79&amp;"|"&amp;$J79&amp;"|"&amp;6,Assessments!$A$2:$A$600,0)),"")</f>
        <v>30</v>
      </c>
      <c r="CA79" s="28" t="n">
        <f aca="false">IFERROR(INDEX(Assessments!$H$2:$H$600,MATCH($H79&amp;"|"&amp;$I79&amp;"|"&amp;$J79&amp;"|"&amp;7,Assessments!$A$2:$A$600,0)),"")</f>
        <v>95</v>
      </c>
      <c r="CB79" s="28" t="str">
        <f aca="false">IFERROR(INDEX(Assessments!$H$2:$H$600,MATCH($H79&amp;"|"&amp;$I79&amp;"|"&amp;$J79&amp;"|"&amp;8,Assessments!$A$2:$A$600,0)),"")</f>
        <v/>
      </c>
      <c r="CC79" s="28" t="str">
        <f aca="false">IFERROR(INDEX(Assessments!$H$2:$H$600,MATCH($H79&amp;"|"&amp;$I79&amp;"|"&amp;$J79&amp;"|"&amp;9,Assessments!$A$2:$A$600,0)),"")</f>
        <v/>
      </c>
      <c r="CD79" s="28" t="str">
        <f aca="false">IFERROR(INDEX(Assessments!$H$2:$H$600,MATCH($H79&amp;"|"&amp;$I79&amp;"|"&amp;$J79&amp;"|"&amp;10,Assessments!$A$2:$A$600,0)),"")</f>
        <v/>
      </c>
      <c r="CE79" s="28" t="str">
        <f aca="false">IFERROR(INDEX(Assessments!$H$2:$H$600,MATCH($H79&amp;"|"&amp;$I79&amp;"|"&amp;$J79&amp;"|"&amp;11,Assessments!$A$2:$A$600,0)),"")</f>
        <v/>
      </c>
      <c r="CF79" s="28" t="str">
        <f aca="false">IFERROR(INDEX(Assessments!$H$2:$H$600,MATCH($H79&amp;"|"&amp;$I79&amp;"|"&amp;$J79&amp;"|"&amp;12,Assessments!$A$2:$A$600,0)),"")</f>
        <v/>
      </c>
      <c r="CG79" s="28" t="str">
        <f aca="false">IFERROR(INDEX(Assessments!$H$2:$H$600,MATCH($H79&amp;"|"&amp;$I79&amp;"|"&amp;$J79&amp;"|"&amp;13,Assessments!$A$2:$A$600,0)),"")</f>
        <v/>
      </c>
      <c r="CH79" s="28" t="str">
        <f aca="false">IFERROR(INDEX(Assessments!$H$2:$H$600,MATCH($H79&amp;"|"&amp;$I79&amp;"|"&amp;$J79&amp;"|"&amp;14,Assessments!$A$2:$A$600,0)),"")</f>
        <v/>
      </c>
      <c r="CI79" s="28" t="str">
        <f aca="false">IFERROR(INDEX(Assessments!$I$2:$I$600,MATCH($H79&amp;"|"&amp;$I79&amp;"|"&amp;$J79&amp;"|"&amp;1,Assessments!$A$2:$A$600,0)),"")</f>
        <v>Econ Test</v>
      </c>
      <c r="CJ79" s="28" t="str">
        <f aca="false">IFERROR(INDEX(Assessments!$I$2:$I$600,MATCH($H79&amp;"|"&amp;$I79&amp;"|"&amp;$J79&amp;"|"&amp;2,Assessments!$A$2:$A$600,0)),"")</f>
        <v>Econ Test</v>
      </c>
      <c r="CK79" s="28" t="str">
        <f aca="false">IFERROR(INDEX(Assessments!$I$2:$I$600,MATCH($H79&amp;"|"&amp;$I79&amp;"|"&amp;$J79&amp;"|"&amp;3,Assessments!$A$2:$A$600,0)),"")</f>
        <v>Econ Test</v>
      </c>
      <c r="CL79" s="28" t="str">
        <f aca="false">IFERROR(INDEX(Assessments!$I$2:$I$600,MATCH($H79&amp;"|"&amp;$I79&amp;"|"&amp;$J79&amp;"|"&amp;4,Assessments!$A$2:$A$600,0)),"")</f>
        <v>Econ Test</v>
      </c>
      <c r="CM79" s="28" t="str">
        <f aca="false">IFERROR(INDEX(Assessments!$I$2:$I$600,MATCH($H79&amp;"|"&amp;$I79&amp;"|"&amp;$J79&amp;"|"&amp;5,Assessments!$A$2:$A$600,0)),"")</f>
        <v>Econ Exam</v>
      </c>
      <c r="CN79" s="28" t="str">
        <f aca="false">IFERROR(INDEX(Assessments!$I$2:$I$600,MATCH($H79&amp;"|"&amp;$I79&amp;"|"&amp;$J79&amp;"|"&amp;6,Assessments!$A$2:$A$600,0)),"")</f>
        <v>Econ Test</v>
      </c>
      <c r="CO79" s="28" t="str">
        <f aca="false">IFERROR(INDEX(Assessments!$I$2:$I$600,MATCH($H79&amp;"|"&amp;$I79&amp;"|"&amp;$J79&amp;"|"&amp;7,Assessments!$A$2:$A$600,0)),"")</f>
        <v>Econ Exam</v>
      </c>
      <c r="CP79" s="28" t="str">
        <f aca="false">IFERROR(INDEX(Assessments!$I$2:$I$600,MATCH($H79&amp;"|"&amp;$I79&amp;"|"&amp;$J79&amp;"|"&amp;8,Assessments!$A$2:$A$600,0)),"")</f>
        <v/>
      </c>
      <c r="CQ79" s="28" t="str">
        <f aca="false">IFERROR(INDEX(Assessments!$I$2:$I$600,MATCH($H79&amp;"|"&amp;$I79&amp;"|"&amp;$J79&amp;"|"&amp;9,Assessments!$A$2:$A$600,0)),"")</f>
        <v/>
      </c>
      <c r="CR79" s="28" t="str">
        <f aca="false">IFERROR(INDEX(Assessments!$I$2:$I$600,MATCH($H79&amp;"|"&amp;$I79&amp;"|"&amp;$J79&amp;"|"&amp;10,Assessments!$A$2:$A$600,0)),"")</f>
        <v/>
      </c>
      <c r="CS79" s="28" t="str">
        <f aca="false">IFERROR(INDEX(Assessments!$I$2:$I$600,MATCH($H79&amp;"|"&amp;$I79&amp;"|"&amp;$J79&amp;"|"&amp;11,Assessments!$A$2:$A$600,0)),"")</f>
        <v/>
      </c>
      <c r="CT79" s="28" t="str">
        <f aca="false">IFERROR(INDEX(Assessments!$I$2:$I$600,MATCH($H79&amp;"|"&amp;$I79&amp;"|"&amp;$J79&amp;"|"&amp;12,Assessments!$A$2:$A$600,0)),"")</f>
        <v/>
      </c>
      <c r="CU79" s="28" t="str">
        <f aca="false">IFERROR(INDEX(Assessments!$I$2:$I$600,MATCH($H79&amp;"|"&amp;$I79&amp;"|"&amp;$J79&amp;"|"&amp;13,Assessments!$A$2:$A$600,0)),"")</f>
        <v/>
      </c>
      <c r="CV79" s="28" t="str">
        <f aca="false">IFERROR(INDEX(Assessments!$I$2:$I$600,MATCH($H79&amp;"|"&amp;$I79&amp;"|"&amp;$J79&amp;"|"&amp;14,Assessments!$A$2:$A$600,0)),"")</f>
        <v/>
      </c>
      <c r="CW79" s="28" t="n">
        <f aca="false">IFERROR(INDEX(Assessments!$J$2:$J$600,MATCH($H79&amp;"|"&amp;$I79&amp;"|"&amp;$J79&amp;"|"&amp;1,Assessments!$A$2:$A$600,0)),0)</f>
        <v>1</v>
      </c>
      <c r="CX79" s="28" t="n">
        <f aca="false">IFERROR(INDEX(Assessments!$J$2:$J$600,MATCH($H79&amp;"|"&amp;$I79&amp;"|"&amp;$J79&amp;"|"&amp;2,Assessments!$A$2:$A$600,0)),0)</f>
        <v>1</v>
      </c>
      <c r="CY79" s="28" t="n">
        <f aca="false">IFERROR(INDEX(Assessments!$J$2:$J$600,MATCH($H79&amp;"|"&amp;$I79&amp;"|"&amp;$J79&amp;"|"&amp;3,Assessments!$A$2:$A$600,0)),0)</f>
        <v>1</v>
      </c>
      <c r="CZ79" s="28" t="n">
        <f aca="false">IFERROR(INDEX(Assessments!$J$2:$J$600,MATCH($H79&amp;"|"&amp;$I79&amp;"|"&amp;$J79&amp;"|"&amp;4,Assessments!$A$2:$A$600,0)),0)</f>
        <v>1</v>
      </c>
      <c r="DA79" s="28" t="n">
        <f aca="false">IFERROR(INDEX(Assessments!$J$2:$J$600,MATCH($H79&amp;"|"&amp;$I79&amp;"|"&amp;$J79&amp;"|"&amp;5,Assessments!$A$2:$A$600,0)),0)</f>
        <v>2</v>
      </c>
      <c r="DB79" s="28" t="n">
        <f aca="false">IFERROR(INDEX(Assessments!$J$2:$J$600,MATCH($H79&amp;"|"&amp;$I79&amp;"|"&amp;$J79&amp;"|"&amp;6,Assessments!$A$2:$A$600,0)),0)</f>
        <v>1</v>
      </c>
      <c r="DC79" s="28" t="n">
        <f aca="false">IFERROR(INDEX(Assessments!$J$2:$J$600,MATCH($H79&amp;"|"&amp;$I79&amp;"|"&amp;$J79&amp;"|"&amp;7,Assessments!$A$2:$A$600,0)),0)</f>
        <v>2</v>
      </c>
      <c r="DD79" s="28" t="n">
        <f aca="false">IFERROR(INDEX(Assessments!$J$2:$J$600,MATCH($H79&amp;"|"&amp;$I79&amp;"|"&amp;$J79&amp;"|"&amp;8,Assessments!$A$2:$A$600,0)),0)</f>
        <v>0</v>
      </c>
      <c r="DE79" s="28" t="n">
        <f aca="false">IFERROR(INDEX(Assessments!$J$2:$J$600,MATCH($H79&amp;"|"&amp;$I79&amp;"|"&amp;$J79&amp;"|"&amp;9,Assessments!$A$2:$A$600,0)),0)</f>
        <v>0</v>
      </c>
      <c r="DF79" s="28" t="n">
        <f aca="false">IFERROR(INDEX(Assessments!$J$2:$J$600,MATCH($H79&amp;"|"&amp;$I79&amp;"|"&amp;$J79&amp;"|"&amp;10,Assessments!$A$2:$A$600,0)),0)</f>
        <v>0</v>
      </c>
      <c r="DG79" s="28" t="n">
        <f aca="false">IFERROR(INDEX(Assessments!$J$2:$J$600,MATCH($H79&amp;"|"&amp;$I79&amp;"|"&amp;$J79&amp;"|"&amp;11,Assessments!$A$2:$A$600,0)),0)</f>
        <v>0</v>
      </c>
      <c r="DH79" s="28" t="n">
        <f aca="false">IFERROR(INDEX(Assessments!$J$2:$J$600,MATCH($H79&amp;"|"&amp;$I79&amp;"|"&amp;$J79&amp;"|"&amp;12,Assessments!$A$2:$A$600,0)),0)</f>
        <v>0</v>
      </c>
      <c r="DI79" s="28" t="n">
        <f aca="false">IFERROR(INDEX(Assessments!$J$2:$J$600,MATCH($H79&amp;"|"&amp;$I79&amp;"|"&amp;$J79&amp;"|"&amp;13,Assessments!$A$2:$A$600,0)),0)</f>
        <v>0</v>
      </c>
      <c r="DJ79" s="28" t="n">
        <f aca="false">IFERROR(INDEX(Assessments!$J$2:$J$600,MATCH($H79&amp;"|"&amp;$I79&amp;"|"&amp;$J79&amp;"|"&amp;14,Assessments!$A$2:$A$600,0)),0)</f>
        <v>0</v>
      </c>
      <c r="DK79" s="28" t="n">
        <f aca="false">S79</f>
        <v>7</v>
      </c>
      <c r="DL79" s="28" t="n">
        <f aca="false">W79</f>
        <v>7</v>
      </c>
      <c r="DM79" s="28" t="n">
        <f aca="false">AA79</f>
        <v>6</v>
      </c>
      <c r="DN79" s="28" t="n">
        <f aca="false">AE79</f>
        <v>7</v>
      </c>
      <c r="DO79" s="28" t="str">
        <f aca="false">AI79</f>
        <v/>
      </c>
      <c r="DP79" s="28" t="str">
        <f aca="false">AM79</f>
        <v/>
      </c>
      <c r="DQ79" s="28" t="str">
        <f aca="false">AQ79</f>
        <v/>
      </c>
      <c r="DR79" s="28" t="str">
        <f aca="false">AU79</f>
        <v/>
      </c>
      <c r="DS79" s="28" t="str">
        <f aca="false">AY79</f>
        <v/>
      </c>
      <c r="DT79" s="28" t="str">
        <f aca="false">BC79</f>
        <v/>
      </c>
      <c r="DU79" s="28" t="str">
        <f aca="false">BG79</f>
        <v/>
      </c>
      <c r="DV79" s="28" t="str">
        <f aca="false">BK79</f>
        <v/>
      </c>
      <c r="DW79" s="28" t="str">
        <f aca="false">BO79</f>
        <v/>
      </c>
      <c r="DX79" s="28" t="str">
        <f aca="false">BS79</f>
        <v/>
      </c>
      <c r="DY79" s="28" t="n">
        <f aca="false">IF(ISNUMBER(S79),1,"")</f>
        <v>1</v>
      </c>
      <c r="DZ79" s="28" t="n">
        <f aca="false">IF(ISNUMBER(W79),2,"")</f>
        <v>2</v>
      </c>
      <c r="EA79" s="28" t="n">
        <f aca="false">IF(ISNUMBER(AA79),3,"")</f>
        <v>3</v>
      </c>
      <c r="EB79" s="28" t="n">
        <f aca="false">IF(ISNUMBER(AE79),4,"")</f>
        <v>4</v>
      </c>
      <c r="EC79" s="28" t="str">
        <f aca="false">IF(ISNUMBER(AI79),5,"")</f>
        <v/>
      </c>
      <c r="ED79" s="28" t="str">
        <f aca="false">IF(ISNUMBER(AM79),6,"")</f>
        <v/>
      </c>
      <c r="EE79" s="28" t="str">
        <f aca="false">IF(ISNUMBER(AQ79),7,"")</f>
        <v/>
      </c>
      <c r="EF79" s="28" t="str">
        <f aca="false">IF(ISNUMBER(AU79),8,"")</f>
        <v/>
      </c>
      <c r="EG79" s="28" t="str">
        <f aca="false">IF(ISNUMBER(AY79),9,"")</f>
        <v/>
      </c>
      <c r="EH79" s="28" t="str">
        <f aca="false">IF(ISNUMBER(BC79),10,"")</f>
        <v/>
      </c>
      <c r="EI79" s="28" t="str">
        <f aca="false">IF(ISNUMBER(BG79),11,"")</f>
        <v/>
      </c>
      <c r="EJ79" s="28" t="str">
        <f aca="false">IF(ISNUMBER(BK79),12,"")</f>
        <v/>
      </c>
      <c r="EK79" s="28" t="str">
        <f aca="false">IF(ISNUMBER(BO79),13,"")</f>
        <v/>
      </c>
      <c r="EL79" s="28" t="str">
        <f aca="false">IF(ISNUMBER(BS79),14,"")</f>
        <v/>
      </c>
      <c r="EM79" s="28" t="n">
        <f aca="false">IF(ISNUMBER(R79),R79*CW79,0)</f>
        <v>86.6666666666667</v>
      </c>
      <c r="EN79" s="28" t="n">
        <f aca="false">IF(ISNUMBER(V79),V79*CX79,0)</f>
        <v>100</v>
      </c>
      <c r="EO79" s="28" t="n">
        <f aca="false">IF(ISNUMBER(Z79),Z79*CY79,0)</f>
        <v>84</v>
      </c>
      <c r="EP79" s="28" t="n">
        <f aca="false">IF(ISNUMBER(AD79),AD79*CZ79,0)</f>
        <v>100</v>
      </c>
      <c r="EQ79" s="28" t="n">
        <f aca="false">IF(ISNUMBER(AH79),AH79*DA79,0)</f>
        <v>0</v>
      </c>
      <c r="ER79" s="28" t="n">
        <f aca="false">IF(ISNUMBER(AL79),AL79*DB79,0)</f>
        <v>0</v>
      </c>
      <c r="ES79" s="28" t="n">
        <f aca="false">IF(ISNUMBER(AP79),AP79*DC79,0)</f>
        <v>0</v>
      </c>
      <c r="ET79" s="28" t="n">
        <f aca="false">IF(ISNUMBER(AT79),AT79*DD79,0)</f>
        <v>0</v>
      </c>
      <c r="EU79" s="28" t="n">
        <f aca="false">IF(ISNUMBER(AX79),AX79*DE79,0)</f>
        <v>0</v>
      </c>
      <c r="EV79" s="28" t="n">
        <f aca="false">IF(ISNUMBER(BB79),BB79*DF79,0)</f>
        <v>0</v>
      </c>
      <c r="EW79" s="28" t="n">
        <f aca="false">IF(ISNUMBER(BF79),BF79*DG79,0)</f>
        <v>0</v>
      </c>
      <c r="EX79" s="28" t="n">
        <f aca="false">IF(ISNUMBER(BJ79),BJ79*DH79,0)</f>
        <v>0</v>
      </c>
      <c r="EY79" s="28" t="n">
        <f aca="false">IF(ISNUMBER(BN79),BN79*DI79,0)</f>
        <v>0</v>
      </c>
      <c r="EZ79" s="28" t="n">
        <f aca="false">IF(ISNUMBER(BR79),BR79*DJ79,0)</f>
        <v>0</v>
      </c>
      <c r="FA79" s="28" t="n">
        <f aca="false">IF(ISNUMBER(R79),CW79,0)</f>
        <v>1</v>
      </c>
      <c r="FB79" s="28" t="n">
        <f aca="false">IF(ISNUMBER(V79),CX79,0)</f>
        <v>1</v>
      </c>
      <c r="FC79" s="28" t="n">
        <f aca="false">IF(ISNUMBER(Z79),CY79,0)</f>
        <v>1</v>
      </c>
      <c r="FD79" s="28" t="n">
        <f aca="false">IF(ISNUMBER(AD79),CZ79,0)</f>
        <v>1</v>
      </c>
      <c r="FE79" s="28" t="n">
        <f aca="false">IF(ISNUMBER(AH79),DA79,0)</f>
        <v>0</v>
      </c>
      <c r="FF79" s="28" t="n">
        <f aca="false">IF(ISNUMBER(AL79),DB79,0)</f>
        <v>0</v>
      </c>
      <c r="FG79" s="28" t="n">
        <f aca="false">IF(ISNUMBER(AP79),DC79,0)</f>
        <v>0</v>
      </c>
      <c r="FH79" s="28" t="n">
        <f aca="false">IF(ISNUMBER(AT79),DD79,0)</f>
        <v>0</v>
      </c>
      <c r="FI79" s="28" t="n">
        <f aca="false">IF(ISNUMBER(AX79),DE79,0)</f>
        <v>0</v>
      </c>
      <c r="FJ79" s="28" t="n">
        <f aca="false">IF(ISNUMBER(BB79),DF79,0)</f>
        <v>0</v>
      </c>
      <c r="FK79" s="28" t="n">
        <f aca="false">IF(ISNUMBER(BF79),DG79,0)</f>
        <v>0</v>
      </c>
      <c r="FL79" s="28" t="n">
        <f aca="false">IF(ISNUMBER(BJ79),DH79,0)</f>
        <v>0</v>
      </c>
      <c r="FM79" s="28" t="n">
        <f aca="false">IF(ISNUMBER(BN79),DI79,0)</f>
        <v>0</v>
      </c>
      <c r="FN79" s="28" t="n">
        <f aca="false">IF(ISNUMBER(BR79),DJ79,0)</f>
        <v>0</v>
      </c>
      <c r="FO79" s="28" t="str">
        <f aca="false">IFERROR(INDEX(Lists!$G$2:$G$20,MATCH($I79&amp;"|"&amp;$J79,Lists!$F$2:$F$20,0)),"")</f>
        <v>Econ Exam</v>
      </c>
    </row>
    <row r="80" customFormat="false" ht="19.5" hidden="false" customHeight="true" outlineLevel="0" collapsed="false">
      <c r="A80" s="29" t="s">
        <v>188</v>
      </c>
      <c r="B80" s="29" t="s">
        <v>189</v>
      </c>
      <c r="C80" s="30" t="s">
        <v>192</v>
      </c>
      <c r="D80" s="30" t="s">
        <v>271</v>
      </c>
      <c r="E80" s="31" t="n">
        <v>5.2</v>
      </c>
      <c r="F80" s="30" t="n">
        <v>6</v>
      </c>
      <c r="G80" s="30"/>
      <c r="H80" s="32" t="s">
        <v>23</v>
      </c>
      <c r="I80" s="33" t="s">
        <v>229</v>
      </c>
      <c r="J80" s="32" t="s">
        <v>25</v>
      </c>
      <c r="K80" s="34" t="n">
        <f aca="false">IF(OR(M80="",$E80=""),"",M80-$E80)</f>
        <v>-0.2</v>
      </c>
      <c r="L80" s="35" t="n">
        <f aca="false">IF(SUM(FA80:FN80)=0,"",SUM(EM80:EZ80)/SUM(FA80:FN80))</f>
        <v>66.9779942279942</v>
      </c>
      <c r="M80" s="36" t="n">
        <f aca="false">IF(OR(L80="",FO80=""),"",IFERROR(MATCH(L80,INDEX(Boundaries!$B$2:$I$30,MATCH(FO80,Boundaries!$A$2:$A$30,0),0),1)-1,""))</f>
        <v>5</v>
      </c>
      <c r="N80" s="37" t="n">
        <f aca="false">IF(COUNT($DY80:$EL80)&lt;2,"",INDEX($DK80:$DX80,MAX($DY80:$EL80))-INDEX($DK80:$DX80,MIN($DY80:$EL80)))</f>
        <v>1</v>
      </c>
      <c r="O80" s="37" t="n">
        <f aca="false">IF(COUNT($DY80:$EL80)&lt;2,"",INDEX($DK80:$DX80,MAX($DY80:$EL80))-INDEX($DK80:$DX80,LARGE($DY80:$EL80,2)))</f>
        <v>1</v>
      </c>
      <c r="P80" s="38" t="str">
        <f aca="false">IF(K80="","",IF(K80&gt;=0,"On/above target",IF(AND(N80&lt;&gt;"",N80&gt;=0.5),"Improving towards target",IF(AND(O80&lt;&gt;"",O80&lt;=-0.5),"Declining","Stable below target"))))</f>
        <v>Improving towards target</v>
      </c>
      <c r="Q80" s="39" t="n">
        <v>19</v>
      </c>
      <c r="R80" s="40" t="n">
        <f aca="false">IF(OR(Q80="",BU80=""),"",Q80/BU80*100)</f>
        <v>63.3333333333333</v>
      </c>
      <c r="S80" s="41" t="n">
        <f aca="false">IF(R80="","",IFERROR(MATCH(R80,INDEX(Boundaries!$B$2:$I$30,MATCH(CI80,Boundaries!$A$2:$A$30,0),0),1)-1,""))</f>
        <v>4</v>
      </c>
      <c r="T80" s="42" t="n">
        <f aca="false">IF(OR(S80="",$E80=""),"",S80-$E80)</f>
        <v>-1.2</v>
      </c>
      <c r="U80" s="39" t="n">
        <v>23</v>
      </c>
      <c r="V80" s="40" t="n">
        <f aca="false">IF(OR(U80="",BV80=""),"",U80/BV80*100)</f>
        <v>95.8333333333333</v>
      </c>
      <c r="W80" s="41" t="n">
        <f aca="false">IF(V80="","",IFERROR(MATCH(V80,INDEX(Boundaries!$B$2:$I$30,MATCH(CJ80,Boundaries!$A$2:$A$30,0),0),1)-1,""))</f>
        <v>7</v>
      </c>
      <c r="X80" s="42" t="n">
        <f aca="false">IF(OR(W80="",$E80=""),"",W80-$E80)</f>
        <v>1.8</v>
      </c>
      <c r="Y80" s="39" t="n">
        <v>16</v>
      </c>
      <c r="Z80" s="40" t="n">
        <f aca="false">IF(OR(Y80="",BW80=""),"",Y80/BW80*100)</f>
        <v>64</v>
      </c>
      <c r="AA80" s="41" t="n">
        <f aca="false">IF(Z80="","",IFERROR(MATCH(Z80,INDEX(Boundaries!$B$2:$I$30,MATCH(CK80,Boundaries!$A$2:$A$30,0),0),1)-1,""))</f>
        <v>4</v>
      </c>
      <c r="AB80" s="42" t="n">
        <f aca="false">IF(OR(AA80="",$E80=""),"",AA80-$E80)</f>
        <v>-1.2</v>
      </c>
      <c r="AC80" s="39" t="n">
        <v>18</v>
      </c>
      <c r="AD80" s="40" t="n">
        <f aca="false">IF(OR(AC80="",BX80=""),"",AC80/BX80*100)</f>
        <v>51.4285714285714</v>
      </c>
      <c r="AE80" s="41" t="n">
        <f aca="false">IF(AD80="","",IFERROR(MATCH(AD80,INDEX(Boundaries!$B$2:$I$30,MATCH(CL80,Boundaries!$A$2:$A$30,0),0),1)-1,""))</f>
        <v>4</v>
      </c>
      <c r="AF80" s="42" t="n">
        <f aca="false">IF(OR(AE80="",$E80=""),"",AE80-$E80)</f>
        <v>-1.2</v>
      </c>
      <c r="AG80" s="39" t="n">
        <v>35</v>
      </c>
      <c r="AH80" s="40" t="n">
        <f aca="false">IF(OR(AG80="",BY80=""),"",AG80/BY80*100)</f>
        <v>63.6363636363636</v>
      </c>
      <c r="AI80" s="41" t="n">
        <f aca="false">IF(AH80="","",IFERROR(MATCH(AH80,INDEX(Boundaries!$B$2:$I$30,MATCH(CM80,Boundaries!$A$2:$A$30,0),0),1)-1,""))</f>
        <v>5</v>
      </c>
      <c r="AJ80" s="42" t="n">
        <f aca="false">IF(OR(AI80="",$E80=""),"",AI80-$E80)</f>
        <v>-0.2</v>
      </c>
      <c r="AK80" s="39"/>
      <c r="AL80" s="40" t="str">
        <f aca="false">IF(OR(AK80="",BZ80=""),"",AK80/BZ80*100)</f>
        <v/>
      </c>
      <c r="AM80" s="41" t="str">
        <f aca="false">IF(AL80="","",IFERROR(MATCH(AL80,INDEX(Boundaries!$B$2:$I$30,MATCH(CN80,Boundaries!$A$2:$A$30,0),0),1)-1,""))</f>
        <v/>
      </c>
      <c r="AN80" s="42" t="str">
        <f aca="false">IF(OR(AM80="",$E80=""),"",AM80-$E80)</f>
        <v/>
      </c>
      <c r="AO80" s="39"/>
      <c r="AP80" s="40" t="str">
        <f aca="false">IF(OR(AO80="",CA80=""),"",AO80/CA80*100)</f>
        <v/>
      </c>
      <c r="AQ80" s="41" t="str">
        <f aca="false">IF(AP80="","",IFERROR(MATCH(AP80,INDEX(Boundaries!$B$2:$I$30,MATCH(CO80,Boundaries!$A$2:$A$30,0),0),1)-1,""))</f>
        <v/>
      </c>
      <c r="AR80" s="42" t="str">
        <f aca="false">IF(OR(AQ80="",$E80=""),"",AQ80-$E80)</f>
        <v/>
      </c>
      <c r="AS80" s="39"/>
      <c r="AT80" s="40" t="str">
        <f aca="false">IF(OR(AS80="",CB80=""),"",AS80/CB80*100)</f>
        <v/>
      </c>
      <c r="AU80" s="41" t="str">
        <f aca="false">IF(AT80="","",IFERROR(MATCH(AT80,INDEX(Boundaries!$B$2:$I$30,MATCH(CP80,Boundaries!$A$2:$A$30,0),0),1)-1,""))</f>
        <v/>
      </c>
      <c r="AV80" s="42" t="str">
        <f aca="false">IF(OR(AU80="",$E80=""),"",AU80-$E80)</f>
        <v/>
      </c>
      <c r="AW80" s="39"/>
      <c r="AX80" s="40" t="str">
        <f aca="false">IF(OR(AW80="",CC80=""),"",AW80/CC80*100)</f>
        <v/>
      </c>
      <c r="AY80" s="41" t="str">
        <f aca="false">IF(AX80="","",IFERROR(MATCH(AX80,INDEX(Boundaries!$B$2:$I$30,MATCH(CQ80,Boundaries!$A$2:$A$30,0),0),1)-1,""))</f>
        <v/>
      </c>
      <c r="AZ80" s="42" t="str">
        <f aca="false">IF(OR(AY80="",$E80=""),"",AY80-$E80)</f>
        <v/>
      </c>
      <c r="BA80" s="39"/>
      <c r="BB80" s="40" t="str">
        <f aca="false">IF(OR(BA80="",CD80=""),"",BA80/CD80*100)</f>
        <v/>
      </c>
      <c r="BC80" s="41" t="str">
        <f aca="false">IF(BB80="","",IFERROR(MATCH(BB80,INDEX(Boundaries!$B$2:$I$30,MATCH(CR80,Boundaries!$A$2:$A$30,0),0),1)-1,""))</f>
        <v/>
      </c>
      <c r="BD80" s="42" t="str">
        <f aca="false">IF(OR(BC80="",$E80=""),"",BC80-$E80)</f>
        <v/>
      </c>
      <c r="BE80" s="39"/>
      <c r="BF80" s="40" t="str">
        <f aca="false">IF(OR(BE80="",CE80=""),"",BE80/CE80*100)</f>
        <v/>
      </c>
      <c r="BG80" s="41" t="str">
        <f aca="false">IF(BF80="","",IFERROR(MATCH(BF80,INDEX(Boundaries!$B$2:$I$30,MATCH(CS80,Boundaries!$A$2:$A$30,0),0),1)-1,""))</f>
        <v/>
      </c>
      <c r="BH80" s="42" t="str">
        <f aca="false">IF(OR(BG80="",$E80=""),"",BG80-$E80)</f>
        <v/>
      </c>
      <c r="BI80" s="39"/>
      <c r="BJ80" s="40" t="str">
        <f aca="false">IF(OR(BI80="",CF80=""),"",BI80/CF80*100)</f>
        <v/>
      </c>
      <c r="BK80" s="41" t="str">
        <f aca="false">IF(BJ80="","",IFERROR(MATCH(BJ80,INDEX(Boundaries!$B$2:$I$30,MATCH(CT80,Boundaries!$A$2:$A$30,0),0),1)-1,""))</f>
        <v/>
      </c>
      <c r="BL80" s="42" t="str">
        <f aca="false">IF(OR(BK80="",$E80=""),"",BK80-$E80)</f>
        <v/>
      </c>
      <c r="BM80" s="39"/>
      <c r="BN80" s="40" t="str">
        <f aca="false">IF(OR(BM80="",CG80=""),"",BM80/CG80*100)</f>
        <v/>
      </c>
      <c r="BO80" s="41" t="str">
        <f aca="false">IF(BN80="","",IFERROR(MATCH(BN80,INDEX(Boundaries!$B$2:$I$30,MATCH(CU80,Boundaries!$A$2:$A$30,0),0),1)-1,""))</f>
        <v/>
      </c>
      <c r="BP80" s="42" t="str">
        <f aca="false">IF(OR(BO80="",$E80=""),"",BO80-$E80)</f>
        <v/>
      </c>
      <c r="BQ80" s="39"/>
      <c r="BR80" s="40" t="str">
        <f aca="false">IF(OR(BQ80="",CH80=""),"",BQ80/CH80*100)</f>
        <v/>
      </c>
      <c r="BS80" s="41" t="str">
        <f aca="false">IF(BR80="","",IFERROR(MATCH(BR80,INDEX(Boundaries!$B$2:$I$30,MATCH(CV80,Boundaries!$A$2:$A$30,0),0),1)-1,""))</f>
        <v/>
      </c>
      <c r="BT80" s="42" t="str">
        <f aca="false">IF(OR(BS80="",$E80=""),"",BS80-$E80)</f>
        <v/>
      </c>
      <c r="BU80" s="28" t="n">
        <f aca="false">IFERROR(INDEX(Assessments!$H$2:$H$600,MATCH($H80&amp;"|"&amp;$I80&amp;"|"&amp;$J80&amp;"|"&amp;1,Assessments!$A$2:$A$600,0)),"")</f>
        <v>30</v>
      </c>
      <c r="BV80" s="28" t="n">
        <f aca="false">IFERROR(INDEX(Assessments!$H$2:$H$600,MATCH($H80&amp;"|"&amp;$I80&amp;"|"&amp;$J80&amp;"|"&amp;2,Assessments!$A$2:$A$600,0)),"")</f>
        <v>24</v>
      </c>
      <c r="BW80" s="28" t="n">
        <f aca="false">IFERROR(INDEX(Assessments!$H$2:$H$600,MATCH($H80&amp;"|"&amp;$I80&amp;"|"&amp;$J80&amp;"|"&amp;3,Assessments!$A$2:$A$600,0)),"")</f>
        <v>25</v>
      </c>
      <c r="BX80" s="28" t="n">
        <f aca="false">IFERROR(INDEX(Assessments!$H$2:$H$600,MATCH($H80&amp;"|"&amp;$I80&amp;"|"&amp;$J80&amp;"|"&amp;4,Assessments!$A$2:$A$600,0)),"")</f>
        <v>35</v>
      </c>
      <c r="BY80" s="28" t="n">
        <f aca="false">IFERROR(INDEX(Assessments!$H$2:$H$600,MATCH($H80&amp;"|"&amp;$I80&amp;"|"&amp;$J80&amp;"|"&amp;5,Assessments!$A$2:$A$600,0)),"")</f>
        <v>55</v>
      </c>
      <c r="BZ80" s="28" t="n">
        <f aca="false">IFERROR(INDEX(Assessments!$H$2:$H$600,MATCH($H80&amp;"|"&amp;$I80&amp;"|"&amp;$J80&amp;"|"&amp;6,Assessments!$A$2:$A$600,0)),"")</f>
        <v>30</v>
      </c>
      <c r="CA80" s="28" t="n">
        <f aca="false">IFERROR(INDEX(Assessments!$H$2:$H$600,MATCH($H80&amp;"|"&amp;$I80&amp;"|"&amp;$J80&amp;"|"&amp;7,Assessments!$A$2:$A$600,0)),"")</f>
        <v>95</v>
      </c>
      <c r="CB80" s="28" t="str">
        <f aca="false">IFERROR(INDEX(Assessments!$H$2:$H$600,MATCH($H80&amp;"|"&amp;$I80&amp;"|"&amp;$J80&amp;"|"&amp;8,Assessments!$A$2:$A$600,0)),"")</f>
        <v/>
      </c>
      <c r="CC80" s="28" t="str">
        <f aca="false">IFERROR(INDEX(Assessments!$H$2:$H$600,MATCH($H80&amp;"|"&amp;$I80&amp;"|"&amp;$J80&amp;"|"&amp;9,Assessments!$A$2:$A$600,0)),"")</f>
        <v/>
      </c>
      <c r="CD80" s="28" t="str">
        <f aca="false">IFERROR(INDEX(Assessments!$H$2:$H$600,MATCH($H80&amp;"|"&amp;$I80&amp;"|"&amp;$J80&amp;"|"&amp;10,Assessments!$A$2:$A$600,0)),"")</f>
        <v/>
      </c>
      <c r="CE80" s="28" t="str">
        <f aca="false">IFERROR(INDEX(Assessments!$H$2:$H$600,MATCH($H80&amp;"|"&amp;$I80&amp;"|"&amp;$J80&amp;"|"&amp;11,Assessments!$A$2:$A$600,0)),"")</f>
        <v/>
      </c>
      <c r="CF80" s="28" t="str">
        <f aca="false">IFERROR(INDEX(Assessments!$H$2:$H$600,MATCH($H80&amp;"|"&amp;$I80&amp;"|"&amp;$J80&amp;"|"&amp;12,Assessments!$A$2:$A$600,0)),"")</f>
        <v/>
      </c>
      <c r="CG80" s="28" t="str">
        <f aca="false">IFERROR(INDEX(Assessments!$H$2:$H$600,MATCH($H80&amp;"|"&amp;$I80&amp;"|"&amp;$J80&amp;"|"&amp;13,Assessments!$A$2:$A$600,0)),"")</f>
        <v/>
      </c>
      <c r="CH80" s="28" t="str">
        <f aca="false">IFERROR(INDEX(Assessments!$H$2:$H$600,MATCH($H80&amp;"|"&amp;$I80&amp;"|"&amp;$J80&amp;"|"&amp;14,Assessments!$A$2:$A$600,0)),"")</f>
        <v/>
      </c>
      <c r="CI80" s="28" t="str">
        <f aca="false">IFERROR(INDEX(Assessments!$I$2:$I$600,MATCH($H80&amp;"|"&amp;$I80&amp;"|"&amp;$J80&amp;"|"&amp;1,Assessments!$A$2:$A$600,0)),"")</f>
        <v>Econ Test</v>
      </c>
      <c r="CJ80" s="28" t="str">
        <f aca="false">IFERROR(INDEX(Assessments!$I$2:$I$600,MATCH($H80&amp;"|"&amp;$I80&amp;"|"&amp;$J80&amp;"|"&amp;2,Assessments!$A$2:$A$600,0)),"")</f>
        <v>Econ Test</v>
      </c>
      <c r="CK80" s="28" t="str">
        <f aca="false">IFERROR(INDEX(Assessments!$I$2:$I$600,MATCH($H80&amp;"|"&amp;$I80&amp;"|"&amp;$J80&amp;"|"&amp;3,Assessments!$A$2:$A$600,0)),"")</f>
        <v>Econ Test</v>
      </c>
      <c r="CL80" s="28" t="str">
        <f aca="false">IFERROR(INDEX(Assessments!$I$2:$I$600,MATCH($H80&amp;"|"&amp;$I80&amp;"|"&amp;$J80&amp;"|"&amp;4,Assessments!$A$2:$A$600,0)),"")</f>
        <v>Econ Test</v>
      </c>
      <c r="CM80" s="28" t="str">
        <f aca="false">IFERROR(INDEX(Assessments!$I$2:$I$600,MATCH($H80&amp;"|"&amp;$I80&amp;"|"&amp;$J80&amp;"|"&amp;5,Assessments!$A$2:$A$600,0)),"")</f>
        <v>Econ Exam</v>
      </c>
      <c r="CN80" s="28" t="str">
        <f aca="false">IFERROR(INDEX(Assessments!$I$2:$I$600,MATCH($H80&amp;"|"&amp;$I80&amp;"|"&amp;$J80&amp;"|"&amp;6,Assessments!$A$2:$A$600,0)),"")</f>
        <v>Econ Test</v>
      </c>
      <c r="CO80" s="28" t="str">
        <f aca="false">IFERROR(INDEX(Assessments!$I$2:$I$600,MATCH($H80&amp;"|"&amp;$I80&amp;"|"&amp;$J80&amp;"|"&amp;7,Assessments!$A$2:$A$600,0)),"")</f>
        <v>Econ Exam</v>
      </c>
      <c r="CP80" s="28" t="str">
        <f aca="false">IFERROR(INDEX(Assessments!$I$2:$I$600,MATCH($H80&amp;"|"&amp;$I80&amp;"|"&amp;$J80&amp;"|"&amp;8,Assessments!$A$2:$A$600,0)),"")</f>
        <v/>
      </c>
      <c r="CQ80" s="28" t="str">
        <f aca="false">IFERROR(INDEX(Assessments!$I$2:$I$600,MATCH($H80&amp;"|"&amp;$I80&amp;"|"&amp;$J80&amp;"|"&amp;9,Assessments!$A$2:$A$600,0)),"")</f>
        <v/>
      </c>
      <c r="CR80" s="28" t="str">
        <f aca="false">IFERROR(INDEX(Assessments!$I$2:$I$600,MATCH($H80&amp;"|"&amp;$I80&amp;"|"&amp;$J80&amp;"|"&amp;10,Assessments!$A$2:$A$600,0)),"")</f>
        <v/>
      </c>
      <c r="CS80" s="28" t="str">
        <f aca="false">IFERROR(INDEX(Assessments!$I$2:$I$600,MATCH($H80&amp;"|"&amp;$I80&amp;"|"&amp;$J80&amp;"|"&amp;11,Assessments!$A$2:$A$600,0)),"")</f>
        <v/>
      </c>
      <c r="CT80" s="28" t="str">
        <f aca="false">IFERROR(INDEX(Assessments!$I$2:$I$600,MATCH($H80&amp;"|"&amp;$I80&amp;"|"&amp;$J80&amp;"|"&amp;12,Assessments!$A$2:$A$600,0)),"")</f>
        <v/>
      </c>
      <c r="CU80" s="28" t="str">
        <f aca="false">IFERROR(INDEX(Assessments!$I$2:$I$600,MATCH($H80&amp;"|"&amp;$I80&amp;"|"&amp;$J80&amp;"|"&amp;13,Assessments!$A$2:$A$600,0)),"")</f>
        <v/>
      </c>
      <c r="CV80" s="28" t="str">
        <f aca="false">IFERROR(INDEX(Assessments!$I$2:$I$600,MATCH($H80&amp;"|"&amp;$I80&amp;"|"&amp;$J80&amp;"|"&amp;14,Assessments!$A$2:$A$600,0)),"")</f>
        <v/>
      </c>
      <c r="CW80" s="28" t="n">
        <f aca="false">IFERROR(INDEX(Assessments!$J$2:$J$600,MATCH($H80&amp;"|"&amp;$I80&amp;"|"&amp;$J80&amp;"|"&amp;1,Assessments!$A$2:$A$600,0)),0)</f>
        <v>1</v>
      </c>
      <c r="CX80" s="28" t="n">
        <f aca="false">IFERROR(INDEX(Assessments!$J$2:$J$600,MATCH($H80&amp;"|"&amp;$I80&amp;"|"&amp;$J80&amp;"|"&amp;2,Assessments!$A$2:$A$600,0)),0)</f>
        <v>1</v>
      </c>
      <c r="CY80" s="28" t="n">
        <f aca="false">IFERROR(INDEX(Assessments!$J$2:$J$600,MATCH($H80&amp;"|"&amp;$I80&amp;"|"&amp;$J80&amp;"|"&amp;3,Assessments!$A$2:$A$600,0)),0)</f>
        <v>1</v>
      </c>
      <c r="CZ80" s="28" t="n">
        <f aca="false">IFERROR(INDEX(Assessments!$J$2:$J$600,MATCH($H80&amp;"|"&amp;$I80&amp;"|"&amp;$J80&amp;"|"&amp;4,Assessments!$A$2:$A$600,0)),0)</f>
        <v>1</v>
      </c>
      <c r="DA80" s="28" t="n">
        <f aca="false">IFERROR(INDEX(Assessments!$J$2:$J$600,MATCH($H80&amp;"|"&amp;$I80&amp;"|"&amp;$J80&amp;"|"&amp;5,Assessments!$A$2:$A$600,0)),0)</f>
        <v>2</v>
      </c>
      <c r="DB80" s="28" t="n">
        <f aca="false">IFERROR(INDEX(Assessments!$J$2:$J$600,MATCH($H80&amp;"|"&amp;$I80&amp;"|"&amp;$J80&amp;"|"&amp;6,Assessments!$A$2:$A$600,0)),0)</f>
        <v>1</v>
      </c>
      <c r="DC80" s="28" t="n">
        <f aca="false">IFERROR(INDEX(Assessments!$J$2:$J$600,MATCH($H80&amp;"|"&amp;$I80&amp;"|"&amp;$J80&amp;"|"&amp;7,Assessments!$A$2:$A$600,0)),0)</f>
        <v>2</v>
      </c>
      <c r="DD80" s="28" t="n">
        <f aca="false">IFERROR(INDEX(Assessments!$J$2:$J$600,MATCH($H80&amp;"|"&amp;$I80&amp;"|"&amp;$J80&amp;"|"&amp;8,Assessments!$A$2:$A$600,0)),0)</f>
        <v>0</v>
      </c>
      <c r="DE80" s="28" t="n">
        <f aca="false">IFERROR(INDEX(Assessments!$J$2:$J$600,MATCH($H80&amp;"|"&amp;$I80&amp;"|"&amp;$J80&amp;"|"&amp;9,Assessments!$A$2:$A$600,0)),0)</f>
        <v>0</v>
      </c>
      <c r="DF80" s="28" t="n">
        <f aca="false">IFERROR(INDEX(Assessments!$J$2:$J$600,MATCH($H80&amp;"|"&amp;$I80&amp;"|"&amp;$J80&amp;"|"&amp;10,Assessments!$A$2:$A$600,0)),0)</f>
        <v>0</v>
      </c>
      <c r="DG80" s="28" t="n">
        <f aca="false">IFERROR(INDEX(Assessments!$J$2:$J$600,MATCH($H80&amp;"|"&amp;$I80&amp;"|"&amp;$J80&amp;"|"&amp;11,Assessments!$A$2:$A$600,0)),0)</f>
        <v>0</v>
      </c>
      <c r="DH80" s="28" t="n">
        <f aca="false">IFERROR(INDEX(Assessments!$J$2:$J$600,MATCH($H80&amp;"|"&amp;$I80&amp;"|"&amp;$J80&amp;"|"&amp;12,Assessments!$A$2:$A$600,0)),0)</f>
        <v>0</v>
      </c>
      <c r="DI80" s="28" t="n">
        <f aca="false">IFERROR(INDEX(Assessments!$J$2:$J$600,MATCH($H80&amp;"|"&amp;$I80&amp;"|"&amp;$J80&amp;"|"&amp;13,Assessments!$A$2:$A$600,0)),0)</f>
        <v>0</v>
      </c>
      <c r="DJ80" s="28" t="n">
        <f aca="false">IFERROR(INDEX(Assessments!$J$2:$J$600,MATCH($H80&amp;"|"&amp;$I80&amp;"|"&amp;$J80&amp;"|"&amp;14,Assessments!$A$2:$A$600,0)),0)</f>
        <v>0</v>
      </c>
      <c r="DK80" s="28" t="n">
        <f aca="false">S80</f>
        <v>4</v>
      </c>
      <c r="DL80" s="28" t="n">
        <f aca="false">W80</f>
        <v>7</v>
      </c>
      <c r="DM80" s="28" t="n">
        <f aca="false">AA80</f>
        <v>4</v>
      </c>
      <c r="DN80" s="28" t="n">
        <f aca="false">AE80</f>
        <v>4</v>
      </c>
      <c r="DO80" s="28" t="n">
        <f aca="false">AI80</f>
        <v>5</v>
      </c>
      <c r="DP80" s="28" t="str">
        <f aca="false">AM80</f>
        <v/>
      </c>
      <c r="DQ80" s="28" t="str">
        <f aca="false">AQ80</f>
        <v/>
      </c>
      <c r="DR80" s="28" t="str">
        <f aca="false">AU80</f>
        <v/>
      </c>
      <c r="DS80" s="28" t="str">
        <f aca="false">AY80</f>
        <v/>
      </c>
      <c r="DT80" s="28" t="str">
        <f aca="false">BC80</f>
        <v/>
      </c>
      <c r="DU80" s="28" t="str">
        <f aca="false">BG80</f>
        <v/>
      </c>
      <c r="DV80" s="28" t="str">
        <f aca="false">BK80</f>
        <v/>
      </c>
      <c r="DW80" s="28" t="str">
        <f aca="false">BO80</f>
        <v/>
      </c>
      <c r="DX80" s="28" t="str">
        <f aca="false">BS80</f>
        <v/>
      </c>
      <c r="DY80" s="28" t="n">
        <f aca="false">IF(ISNUMBER(S80),1,"")</f>
        <v>1</v>
      </c>
      <c r="DZ80" s="28" t="n">
        <f aca="false">IF(ISNUMBER(W80),2,"")</f>
        <v>2</v>
      </c>
      <c r="EA80" s="28" t="n">
        <f aca="false">IF(ISNUMBER(AA80),3,"")</f>
        <v>3</v>
      </c>
      <c r="EB80" s="28" t="n">
        <f aca="false">IF(ISNUMBER(AE80),4,"")</f>
        <v>4</v>
      </c>
      <c r="EC80" s="28" t="n">
        <f aca="false">IF(ISNUMBER(AI80),5,"")</f>
        <v>5</v>
      </c>
      <c r="ED80" s="28" t="str">
        <f aca="false">IF(ISNUMBER(AM80),6,"")</f>
        <v/>
      </c>
      <c r="EE80" s="28" t="str">
        <f aca="false">IF(ISNUMBER(AQ80),7,"")</f>
        <v/>
      </c>
      <c r="EF80" s="28" t="str">
        <f aca="false">IF(ISNUMBER(AU80),8,"")</f>
        <v/>
      </c>
      <c r="EG80" s="28" t="str">
        <f aca="false">IF(ISNUMBER(AY80),9,"")</f>
        <v/>
      </c>
      <c r="EH80" s="28" t="str">
        <f aca="false">IF(ISNUMBER(BC80),10,"")</f>
        <v/>
      </c>
      <c r="EI80" s="28" t="str">
        <f aca="false">IF(ISNUMBER(BG80),11,"")</f>
        <v/>
      </c>
      <c r="EJ80" s="28" t="str">
        <f aca="false">IF(ISNUMBER(BK80),12,"")</f>
        <v/>
      </c>
      <c r="EK80" s="28" t="str">
        <f aca="false">IF(ISNUMBER(BO80),13,"")</f>
        <v/>
      </c>
      <c r="EL80" s="28" t="str">
        <f aca="false">IF(ISNUMBER(BS80),14,"")</f>
        <v/>
      </c>
      <c r="EM80" s="28" t="n">
        <f aca="false">IF(ISNUMBER(R80),R80*CW80,0)</f>
        <v>63.3333333333333</v>
      </c>
      <c r="EN80" s="28" t="n">
        <f aca="false">IF(ISNUMBER(V80),V80*CX80,0)</f>
        <v>95.8333333333333</v>
      </c>
      <c r="EO80" s="28" t="n">
        <f aca="false">IF(ISNUMBER(Z80),Z80*CY80,0)</f>
        <v>64</v>
      </c>
      <c r="EP80" s="28" t="n">
        <f aca="false">IF(ISNUMBER(AD80),AD80*CZ80,0)</f>
        <v>51.4285714285714</v>
      </c>
      <c r="EQ80" s="28" t="n">
        <f aca="false">IF(ISNUMBER(AH80),AH80*DA80,0)</f>
        <v>127.272727272727</v>
      </c>
      <c r="ER80" s="28" t="n">
        <f aca="false">IF(ISNUMBER(AL80),AL80*DB80,0)</f>
        <v>0</v>
      </c>
      <c r="ES80" s="28" t="n">
        <f aca="false">IF(ISNUMBER(AP80),AP80*DC80,0)</f>
        <v>0</v>
      </c>
      <c r="ET80" s="28" t="n">
        <f aca="false">IF(ISNUMBER(AT80),AT80*DD80,0)</f>
        <v>0</v>
      </c>
      <c r="EU80" s="28" t="n">
        <f aca="false">IF(ISNUMBER(AX80),AX80*DE80,0)</f>
        <v>0</v>
      </c>
      <c r="EV80" s="28" t="n">
        <f aca="false">IF(ISNUMBER(BB80),BB80*DF80,0)</f>
        <v>0</v>
      </c>
      <c r="EW80" s="28" t="n">
        <f aca="false">IF(ISNUMBER(BF80),BF80*DG80,0)</f>
        <v>0</v>
      </c>
      <c r="EX80" s="28" t="n">
        <f aca="false">IF(ISNUMBER(BJ80),BJ80*DH80,0)</f>
        <v>0</v>
      </c>
      <c r="EY80" s="28" t="n">
        <f aca="false">IF(ISNUMBER(BN80),BN80*DI80,0)</f>
        <v>0</v>
      </c>
      <c r="EZ80" s="28" t="n">
        <f aca="false">IF(ISNUMBER(BR80),BR80*DJ80,0)</f>
        <v>0</v>
      </c>
      <c r="FA80" s="28" t="n">
        <f aca="false">IF(ISNUMBER(R80),CW80,0)</f>
        <v>1</v>
      </c>
      <c r="FB80" s="28" t="n">
        <f aca="false">IF(ISNUMBER(V80),CX80,0)</f>
        <v>1</v>
      </c>
      <c r="FC80" s="28" t="n">
        <f aca="false">IF(ISNUMBER(Z80),CY80,0)</f>
        <v>1</v>
      </c>
      <c r="FD80" s="28" t="n">
        <f aca="false">IF(ISNUMBER(AD80),CZ80,0)</f>
        <v>1</v>
      </c>
      <c r="FE80" s="28" t="n">
        <f aca="false">IF(ISNUMBER(AH80),DA80,0)</f>
        <v>2</v>
      </c>
      <c r="FF80" s="28" t="n">
        <f aca="false">IF(ISNUMBER(AL80),DB80,0)</f>
        <v>0</v>
      </c>
      <c r="FG80" s="28" t="n">
        <f aca="false">IF(ISNUMBER(AP80),DC80,0)</f>
        <v>0</v>
      </c>
      <c r="FH80" s="28" t="n">
        <f aca="false">IF(ISNUMBER(AT80),DD80,0)</f>
        <v>0</v>
      </c>
      <c r="FI80" s="28" t="n">
        <f aca="false">IF(ISNUMBER(AX80),DE80,0)</f>
        <v>0</v>
      </c>
      <c r="FJ80" s="28" t="n">
        <f aca="false">IF(ISNUMBER(BB80),DF80,0)</f>
        <v>0</v>
      </c>
      <c r="FK80" s="28" t="n">
        <f aca="false">IF(ISNUMBER(BF80),DG80,0)</f>
        <v>0</v>
      </c>
      <c r="FL80" s="28" t="n">
        <f aca="false">IF(ISNUMBER(BJ80),DH80,0)</f>
        <v>0</v>
      </c>
      <c r="FM80" s="28" t="n">
        <f aca="false">IF(ISNUMBER(BN80),DI80,0)</f>
        <v>0</v>
      </c>
      <c r="FN80" s="28" t="n">
        <f aca="false">IF(ISNUMBER(BR80),DJ80,0)</f>
        <v>0</v>
      </c>
      <c r="FO80" s="28" t="str">
        <f aca="false">IFERROR(INDEX(Lists!$G$2:$G$20,MATCH($I80&amp;"|"&amp;$J80,Lists!$F$2:$F$20,0)),"")</f>
        <v>Econ Exam</v>
      </c>
    </row>
    <row r="81" customFormat="false" ht="19.5" hidden="false" customHeight="true" outlineLevel="0" collapsed="false">
      <c r="A81" s="29" t="s">
        <v>289</v>
      </c>
      <c r="B81" s="29" t="s">
        <v>290</v>
      </c>
      <c r="C81" s="30" t="s">
        <v>192</v>
      </c>
      <c r="D81" s="30" t="s">
        <v>291</v>
      </c>
      <c r="E81" s="31" t="n">
        <v>5.7</v>
      </c>
      <c r="F81" s="30" t="n">
        <v>6</v>
      </c>
      <c r="G81" s="30"/>
      <c r="H81" s="32" t="s">
        <v>23</v>
      </c>
      <c r="I81" s="33" t="s">
        <v>229</v>
      </c>
      <c r="J81" s="32" t="s">
        <v>25</v>
      </c>
      <c r="K81" s="34" t="n">
        <f aca="false">IF(OR(M81="",$E81=""),"",M81-$E81)</f>
        <v>-2.7</v>
      </c>
      <c r="L81" s="35" t="n">
        <f aca="false">IF(SUM(FA81:FN81)=0,"",SUM(EM81:EZ81)/SUM(FA81:FN81))</f>
        <v>48.0988455988456</v>
      </c>
      <c r="M81" s="36" t="n">
        <f aca="false">IF(OR(L81="",FO81=""),"",IFERROR(MATCH(L81,INDEX(Boundaries!$B$2:$I$30,MATCH(FO81,Boundaries!$A$2:$A$30,0),0),1)-1,""))</f>
        <v>3</v>
      </c>
      <c r="N81" s="37" t="n">
        <f aca="false">IF(COUNT($DY81:$EL81)&lt;2,"",INDEX($DK81:$DX81,MAX($DY81:$EL81))-INDEX($DK81:$DX81,MIN($DY81:$EL81)))</f>
        <v>-1</v>
      </c>
      <c r="O81" s="37" t="n">
        <f aca="false">IF(COUNT($DY81:$EL81)&lt;2,"",INDEX($DK81:$DX81,MAX($DY81:$EL81))-INDEX($DK81:$DX81,LARGE($DY81:$EL81,2)))</f>
        <v>0</v>
      </c>
      <c r="P81" s="38" t="str">
        <f aca="false">IF(K81="","",IF(K81&gt;=0,"On/above target",IF(AND(N81&lt;&gt;"",N81&gt;=0.5),"Improving towards target",IF(AND(O81&lt;&gt;"",O81&lt;=-0.5),"Declining","Stable below target"))))</f>
        <v>Stable below target</v>
      </c>
      <c r="Q81" s="39" t="n">
        <v>15</v>
      </c>
      <c r="R81" s="40" t="n">
        <f aca="false">IF(OR(Q81="",BU81=""),"",Q81/BU81*100)</f>
        <v>50</v>
      </c>
      <c r="S81" s="41" t="n">
        <f aca="false">IF(R81="","",IFERROR(MATCH(R81,INDEX(Boundaries!$B$2:$I$30,MATCH(CI81,Boundaries!$A$2:$A$30,0),0),1)-1,""))</f>
        <v>4</v>
      </c>
      <c r="T81" s="42" t="n">
        <f aca="false">IF(OR(S81="",$E81=""),"",S81-$E81)</f>
        <v>-1.7</v>
      </c>
      <c r="U81" s="39" t="n">
        <v>14</v>
      </c>
      <c r="V81" s="40" t="n">
        <f aca="false">IF(OR(U81="",BV81=""),"",U81/BV81*100)</f>
        <v>58.3333333333333</v>
      </c>
      <c r="W81" s="41" t="n">
        <f aca="false">IF(V81="","",IFERROR(MATCH(V81,INDEX(Boundaries!$B$2:$I$30,MATCH(CJ81,Boundaries!$A$2:$A$30,0),0),1)-1,""))</f>
        <v>4</v>
      </c>
      <c r="X81" s="42" t="n">
        <f aca="false">IF(OR(W81="",$E81=""),"",W81-$E81)</f>
        <v>-1.7</v>
      </c>
      <c r="Y81" s="39" t="n">
        <v>10</v>
      </c>
      <c r="Z81" s="40" t="n">
        <f aca="false">IF(OR(Y81="",BW81=""),"",Y81/BW81*100)</f>
        <v>40</v>
      </c>
      <c r="AA81" s="41" t="n">
        <f aca="false">IF(Z81="","",IFERROR(MATCH(Z81,INDEX(Boundaries!$B$2:$I$30,MATCH(CK81,Boundaries!$A$2:$A$30,0),0),1)-1,""))</f>
        <v>3</v>
      </c>
      <c r="AB81" s="42" t="n">
        <f aca="false">IF(OR(AA81="",$E81=""),"",AA81-$E81)</f>
        <v>-2.7</v>
      </c>
      <c r="AC81" s="39" t="n">
        <v>16</v>
      </c>
      <c r="AD81" s="40" t="n">
        <f aca="false">IF(OR(AC81="",BX81=""),"",AC81/BX81*100)</f>
        <v>45.7142857142857</v>
      </c>
      <c r="AE81" s="41" t="n">
        <f aca="false">IF(AD81="","",IFERROR(MATCH(AD81,INDEX(Boundaries!$B$2:$I$30,MATCH(CL81,Boundaries!$A$2:$A$30,0),0),1)-1,""))</f>
        <v>3</v>
      </c>
      <c r="AF81" s="42" t="n">
        <f aca="false">IF(OR(AE81="",$E81=""),"",AE81-$E81)</f>
        <v>-2.7</v>
      </c>
      <c r="AG81" s="39" t="n">
        <v>26</v>
      </c>
      <c r="AH81" s="40" t="n">
        <f aca="false">IF(OR(AG81="",BY81=""),"",AG81/BY81*100)</f>
        <v>47.2727272727273</v>
      </c>
      <c r="AI81" s="41" t="n">
        <f aca="false">IF(AH81="","",IFERROR(MATCH(AH81,INDEX(Boundaries!$B$2:$I$30,MATCH(CM81,Boundaries!$A$2:$A$30,0),0),1)-1,""))</f>
        <v>3</v>
      </c>
      <c r="AJ81" s="42" t="n">
        <f aca="false">IF(OR(AI81="",$E81=""),"",AI81-$E81)</f>
        <v>-2.7</v>
      </c>
      <c r="AK81" s="39"/>
      <c r="AL81" s="40" t="str">
        <f aca="false">IF(OR(AK81="",BZ81=""),"",AK81/BZ81*100)</f>
        <v/>
      </c>
      <c r="AM81" s="41" t="str">
        <f aca="false">IF(AL81="","",IFERROR(MATCH(AL81,INDEX(Boundaries!$B$2:$I$30,MATCH(CN81,Boundaries!$A$2:$A$30,0),0),1)-1,""))</f>
        <v/>
      </c>
      <c r="AN81" s="42" t="str">
        <f aca="false">IF(OR(AM81="",$E81=""),"",AM81-$E81)</f>
        <v/>
      </c>
      <c r="AO81" s="39"/>
      <c r="AP81" s="40" t="str">
        <f aca="false">IF(OR(AO81="",CA81=""),"",AO81/CA81*100)</f>
        <v/>
      </c>
      <c r="AQ81" s="41" t="str">
        <f aca="false">IF(AP81="","",IFERROR(MATCH(AP81,INDEX(Boundaries!$B$2:$I$30,MATCH(CO81,Boundaries!$A$2:$A$30,0),0),1)-1,""))</f>
        <v/>
      </c>
      <c r="AR81" s="42" t="str">
        <f aca="false">IF(OR(AQ81="",$E81=""),"",AQ81-$E81)</f>
        <v/>
      </c>
      <c r="AS81" s="39"/>
      <c r="AT81" s="40" t="str">
        <f aca="false">IF(OR(AS81="",CB81=""),"",AS81/CB81*100)</f>
        <v/>
      </c>
      <c r="AU81" s="41" t="str">
        <f aca="false">IF(AT81="","",IFERROR(MATCH(AT81,INDEX(Boundaries!$B$2:$I$30,MATCH(CP81,Boundaries!$A$2:$A$30,0),0),1)-1,""))</f>
        <v/>
      </c>
      <c r="AV81" s="42" t="str">
        <f aca="false">IF(OR(AU81="",$E81=""),"",AU81-$E81)</f>
        <v/>
      </c>
      <c r="AW81" s="39"/>
      <c r="AX81" s="40" t="str">
        <f aca="false">IF(OR(AW81="",CC81=""),"",AW81/CC81*100)</f>
        <v/>
      </c>
      <c r="AY81" s="41" t="str">
        <f aca="false">IF(AX81="","",IFERROR(MATCH(AX81,INDEX(Boundaries!$B$2:$I$30,MATCH(CQ81,Boundaries!$A$2:$A$30,0),0),1)-1,""))</f>
        <v/>
      </c>
      <c r="AZ81" s="42" t="str">
        <f aca="false">IF(OR(AY81="",$E81=""),"",AY81-$E81)</f>
        <v/>
      </c>
      <c r="BA81" s="39"/>
      <c r="BB81" s="40" t="str">
        <f aca="false">IF(OR(BA81="",CD81=""),"",BA81/CD81*100)</f>
        <v/>
      </c>
      <c r="BC81" s="41" t="str">
        <f aca="false">IF(BB81="","",IFERROR(MATCH(BB81,INDEX(Boundaries!$B$2:$I$30,MATCH(CR81,Boundaries!$A$2:$A$30,0),0),1)-1,""))</f>
        <v/>
      </c>
      <c r="BD81" s="42" t="str">
        <f aca="false">IF(OR(BC81="",$E81=""),"",BC81-$E81)</f>
        <v/>
      </c>
      <c r="BE81" s="39"/>
      <c r="BF81" s="40" t="str">
        <f aca="false">IF(OR(BE81="",CE81=""),"",BE81/CE81*100)</f>
        <v/>
      </c>
      <c r="BG81" s="41" t="str">
        <f aca="false">IF(BF81="","",IFERROR(MATCH(BF81,INDEX(Boundaries!$B$2:$I$30,MATCH(CS81,Boundaries!$A$2:$A$30,0),0),1)-1,""))</f>
        <v/>
      </c>
      <c r="BH81" s="42" t="str">
        <f aca="false">IF(OR(BG81="",$E81=""),"",BG81-$E81)</f>
        <v/>
      </c>
      <c r="BI81" s="39"/>
      <c r="BJ81" s="40" t="str">
        <f aca="false">IF(OR(BI81="",CF81=""),"",BI81/CF81*100)</f>
        <v/>
      </c>
      <c r="BK81" s="41" t="str">
        <f aca="false">IF(BJ81="","",IFERROR(MATCH(BJ81,INDEX(Boundaries!$B$2:$I$30,MATCH(CT81,Boundaries!$A$2:$A$30,0),0),1)-1,""))</f>
        <v/>
      </c>
      <c r="BL81" s="42" t="str">
        <f aca="false">IF(OR(BK81="",$E81=""),"",BK81-$E81)</f>
        <v/>
      </c>
      <c r="BM81" s="39"/>
      <c r="BN81" s="40" t="str">
        <f aca="false">IF(OR(BM81="",CG81=""),"",BM81/CG81*100)</f>
        <v/>
      </c>
      <c r="BO81" s="41" t="str">
        <f aca="false">IF(BN81="","",IFERROR(MATCH(BN81,INDEX(Boundaries!$B$2:$I$30,MATCH(CU81,Boundaries!$A$2:$A$30,0),0),1)-1,""))</f>
        <v/>
      </c>
      <c r="BP81" s="42" t="str">
        <f aca="false">IF(OR(BO81="",$E81=""),"",BO81-$E81)</f>
        <v/>
      </c>
      <c r="BQ81" s="39"/>
      <c r="BR81" s="40" t="str">
        <f aca="false">IF(OR(BQ81="",CH81=""),"",BQ81/CH81*100)</f>
        <v/>
      </c>
      <c r="BS81" s="41" t="str">
        <f aca="false">IF(BR81="","",IFERROR(MATCH(BR81,INDEX(Boundaries!$B$2:$I$30,MATCH(CV81,Boundaries!$A$2:$A$30,0),0),1)-1,""))</f>
        <v/>
      </c>
      <c r="BT81" s="42" t="str">
        <f aca="false">IF(OR(BS81="",$E81=""),"",BS81-$E81)</f>
        <v/>
      </c>
      <c r="BU81" s="28" t="n">
        <f aca="false">IFERROR(INDEX(Assessments!$H$2:$H$600,MATCH($H81&amp;"|"&amp;$I81&amp;"|"&amp;$J81&amp;"|"&amp;1,Assessments!$A$2:$A$600,0)),"")</f>
        <v>30</v>
      </c>
      <c r="BV81" s="28" t="n">
        <f aca="false">IFERROR(INDEX(Assessments!$H$2:$H$600,MATCH($H81&amp;"|"&amp;$I81&amp;"|"&amp;$J81&amp;"|"&amp;2,Assessments!$A$2:$A$600,0)),"")</f>
        <v>24</v>
      </c>
      <c r="BW81" s="28" t="n">
        <f aca="false">IFERROR(INDEX(Assessments!$H$2:$H$600,MATCH($H81&amp;"|"&amp;$I81&amp;"|"&amp;$J81&amp;"|"&amp;3,Assessments!$A$2:$A$600,0)),"")</f>
        <v>25</v>
      </c>
      <c r="BX81" s="28" t="n">
        <f aca="false">IFERROR(INDEX(Assessments!$H$2:$H$600,MATCH($H81&amp;"|"&amp;$I81&amp;"|"&amp;$J81&amp;"|"&amp;4,Assessments!$A$2:$A$600,0)),"")</f>
        <v>35</v>
      </c>
      <c r="BY81" s="28" t="n">
        <f aca="false">IFERROR(INDEX(Assessments!$H$2:$H$600,MATCH($H81&amp;"|"&amp;$I81&amp;"|"&amp;$J81&amp;"|"&amp;5,Assessments!$A$2:$A$600,0)),"")</f>
        <v>55</v>
      </c>
      <c r="BZ81" s="28" t="n">
        <f aca="false">IFERROR(INDEX(Assessments!$H$2:$H$600,MATCH($H81&amp;"|"&amp;$I81&amp;"|"&amp;$J81&amp;"|"&amp;6,Assessments!$A$2:$A$600,0)),"")</f>
        <v>30</v>
      </c>
      <c r="CA81" s="28" t="n">
        <f aca="false">IFERROR(INDEX(Assessments!$H$2:$H$600,MATCH($H81&amp;"|"&amp;$I81&amp;"|"&amp;$J81&amp;"|"&amp;7,Assessments!$A$2:$A$600,0)),"")</f>
        <v>95</v>
      </c>
      <c r="CB81" s="28" t="str">
        <f aca="false">IFERROR(INDEX(Assessments!$H$2:$H$600,MATCH($H81&amp;"|"&amp;$I81&amp;"|"&amp;$J81&amp;"|"&amp;8,Assessments!$A$2:$A$600,0)),"")</f>
        <v/>
      </c>
      <c r="CC81" s="28" t="str">
        <f aca="false">IFERROR(INDEX(Assessments!$H$2:$H$600,MATCH($H81&amp;"|"&amp;$I81&amp;"|"&amp;$J81&amp;"|"&amp;9,Assessments!$A$2:$A$600,0)),"")</f>
        <v/>
      </c>
      <c r="CD81" s="28" t="str">
        <f aca="false">IFERROR(INDEX(Assessments!$H$2:$H$600,MATCH($H81&amp;"|"&amp;$I81&amp;"|"&amp;$J81&amp;"|"&amp;10,Assessments!$A$2:$A$600,0)),"")</f>
        <v/>
      </c>
      <c r="CE81" s="28" t="str">
        <f aca="false">IFERROR(INDEX(Assessments!$H$2:$H$600,MATCH($H81&amp;"|"&amp;$I81&amp;"|"&amp;$J81&amp;"|"&amp;11,Assessments!$A$2:$A$600,0)),"")</f>
        <v/>
      </c>
      <c r="CF81" s="28" t="str">
        <f aca="false">IFERROR(INDEX(Assessments!$H$2:$H$600,MATCH($H81&amp;"|"&amp;$I81&amp;"|"&amp;$J81&amp;"|"&amp;12,Assessments!$A$2:$A$600,0)),"")</f>
        <v/>
      </c>
      <c r="CG81" s="28" t="str">
        <f aca="false">IFERROR(INDEX(Assessments!$H$2:$H$600,MATCH($H81&amp;"|"&amp;$I81&amp;"|"&amp;$J81&amp;"|"&amp;13,Assessments!$A$2:$A$600,0)),"")</f>
        <v/>
      </c>
      <c r="CH81" s="28" t="str">
        <f aca="false">IFERROR(INDEX(Assessments!$H$2:$H$600,MATCH($H81&amp;"|"&amp;$I81&amp;"|"&amp;$J81&amp;"|"&amp;14,Assessments!$A$2:$A$600,0)),"")</f>
        <v/>
      </c>
      <c r="CI81" s="28" t="str">
        <f aca="false">IFERROR(INDEX(Assessments!$I$2:$I$600,MATCH($H81&amp;"|"&amp;$I81&amp;"|"&amp;$J81&amp;"|"&amp;1,Assessments!$A$2:$A$600,0)),"")</f>
        <v>Econ Test</v>
      </c>
      <c r="CJ81" s="28" t="str">
        <f aca="false">IFERROR(INDEX(Assessments!$I$2:$I$600,MATCH($H81&amp;"|"&amp;$I81&amp;"|"&amp;$J81&amp;"|"&amp;2,Assessments!$A$2:$A$600,0)),"")</f>
        <v>Econ Test</v>
      </c>
      <c r="CK81" s="28" t="str">
        <f aca="false">IFERROR(INDEX(Assessments!$I$2:$I$600,MATCH($H81&amp;"|"&amp;$I81&amp;"|"&amp;$J81&amp;"|"&amp;3,Assessments!$A$2:$A$600,0)),"")</f>
        <v>Econ Test</v>
      </c>
      <c r="CL81" s="28" t="str">
        <f aca="false">IFERROR(INDEX(Assessments!$I$2:$I$600,MATCH($H81&amp;"|"&amp;$I81&amp;"|"&amp;$J81&amp;"|"&amp;4,Assessments!$A$2:$A$600,0)),"")</f>
        <v>Econ Test</v>
      </c>
      <c r="CM81" s="28" t="str">
        <f aca="false">IFERROR(INDEX(Assessments!$I$2:$I$600,MATCH($H81&amp;"|"&amp;$I81&amp;"|"&amp;$J81&amp;"|"&amp;5,Assessments!$A$2:$A$600,0)),"")</f>
        <v>Econ Exam</v>
      </c>
      <c r="CN81" s="28" t="str">
        <f aca="false">IFERROR(INDEX(Assessments!$I$2:$I$600,MATCH($H81&amp;"|"&amp;$I81&amp;"|"&amp;$J81&amp;"|"&amp;6,Assessments!$A$2:$A$600,0)),"")</f>
        <v>Econ Test</v>
      </c>
      <c r="CO81" s="28" t="str">
        <f aca="false">IFERROR(INDEX(Assessments!$I$2:$I$600,MATCH($H81&amp;"|"&amp;$I81&amp;"|"&amp;$J81&amp;"|"&amp;7,Assessments!$A$2:$A$600,0)),"")</f>
        <v>Econ Exam</v>
      </c>
      <c r="CP81" s="28" t="str">
        <f aca="false">IFERROR(INDEX(Assessments!$I$2:$I$600,MATCH($H81&amp;"|"&amp;$I81&amp;"|"&amp;$J81&amp;"|"&amp;8,Assessments!$A$2:$A$600,0)),"")</f>
        <v/>
      </c>
      <c r="CQ81" s="28" t="str">
        <f aca="false">IFERROR(INDEX(Assessments!$I$2:$I$600,MATCH($H81&amp;"|"&amp;$I81&amp;"|"&amp;$J81&amp;"|"&amp;9,Assessments!$A$2:$A$600,0)),"")</f>
        <v/>
      </c>
      <c r="CR81" s="28" t="str">
        <f aca="false">IFERROR(INDEX(Assessments!$I$2:$I$600,MATCH($H81&amp;"|"&amp;$I81&amp;"|"&amp;$J81&amp;"|"&amp;10,Assessments!$A$2:$A$600,0)),"")</f>
        <v/>
      </c>
      <c r="CS81" s="28" t="str">
        <f aca="false">IFERROR(INDEX(Assessments!$I$2:$I$600,MATCH($H81&amp;"|"&amp;$I81&amp;"|"&amp;$J81&amp;"|"&amp;11,Assessments!$A$2:$A$600,0)),"")</f>
        <v/>
      </c>
      <c r="CT81" s="28" t="str">
        <f aca="false">IFERROR(INDEX(Assessments!$I$2:$I$600,MATCH($H81&amp;"|"&amp;$I81&amp;"|"&amp;$J81&amp;"|"&amp;12,Assessments!$A$2:$A$600,0)),"")</f>
        <v/>
      </c>
      <c r="CU81" s="28" t="str">
        <f aca="false">IFERROR(INDEX(Assessments!$I$2:$I$600,MATCH($H81&amp;"|"&amp;$I81&amp;"|"&amp;$J81&amp;"|"&amp;13,Assessments!$A$2:$A$600,0)),"")</f>
        <v/>
      </c>
      <c r="CV81" s="28" t="str">
        <f aca="false">IFERROR(INDEX(Assessments!$I$2:$I$600,MATCH($H81&amp;"|"&amp;$I81&amp;"|"&amp;$J81&amp;"|"&amp;14,Assessments!$A$2:$A$600,0)),"")</f>
        <v/>
      </c>
      <c r="CW81" s="28" t="n">
        <f aca="false">IFERROR(INDEX(Assessments!$J$2:$J$600,MATCH($H81&amp;"|"&amp;$I81&amp;"|"&amp;$J81&amp;"|"&amp;1,Assessments!$A$2:$A$600,0)),0)</f>
        <v>1</v>
      </c>
      <c r="CX81" s="28" t="n">
        <f aca="false">IFERROR(INDEX(Assessments!$J$2:$J$600,MATCH($H81&amp;"|"&amp;$I81&amp;"|"&amp;$J81&amp;"|"&amp;2,Assessments!$A$2:$A$600,0)),0)</f>
        <v>1</v>
      </c>
      <c r="CY81" s="28" t="n">
        <f aca="false">IFERROR(INDEX(Assessments!$J$2:$J$600,MATCH($H81&amp;"|"&amp;$I81&amp;"|"&amp;$J81&amp;"|"&amp;3,Assessments!$A$2:$A$600,0)),0)</f>
        <v>1</v>
      </c>
      <c r="CZ81" s="28" t="n">
        <f aca="false">IFERROR(INDEX(Assessments!$J$2:$J$600,MATCH($H81&amp;"|"&amp;$I81&amp;"|"&amp;$J81&amp;"|"&amp;4,Assessments!$A$2:$A$600,0)),0)</f>
        <v>1</v>
      </c>
      <c r="DA81" s="28" t="n">
        <f aca="false">IFERROR(INDEX(Assessments!$J$2:$J$600,MATCH($H81&amp;"|"&amp;$I81&amp;"|"&amp;$J81&amp;"|"&amp;5,Assessments!$A$2:$A$600,0)),0)</f>
        <v>2</v>
      </c>
      <c r="DB81" s="28" t="n">
        <f aca="false">IFERROR(INDEX(Assessments!$J$2:$J$600,MATCH($H81&amp;"|"&amp;$I81&amp;"|"&amp;$J81&amp;"|"&amp;6,Assessments!$A$2:$A$600,0)),0)</f>
        <v>1</v>
      </c>
      <c r="DC81" s="28" t="n">
        <f aca="false">IFERROR(INDEX(Assessments!$J$2:$J$600,MATCH($H81&amp;"|"&amp;$I81&amp;"|"&amp;$J81&amp;"|"&amp;7,Assessments!$A$2:$A$600,0)),0)</f>
        <v>2</v>
      </c>
      <c r="DD81" s="28" t="n">
        <f aca="false">IFERROR(INDEX(Assessments!$J$2:$J$600,MATCH($H81&amp;"|"&amp;$I81&amp;"|"&amp;$J81&amp;"|"&amp;8,Assessments!$A$2:$A$600,0)),0)</f>
        <v>0</v>
      </c>
      <c r="DE81" s="28" t="n">
        <f aca="false">IFERROR(INDEX(Assessments!$J$2:$J$600,MATCH($H81&amp;"|"&amp;$I81&amp;"|"&amp;$J81&amp;"|"&amp;9,Assessments!$A$2:$A$600,0)),0)</f>
        <v>0</v>
      </c>
      <c r="DF81" s="28" t="n">
        <f aca="false">IFERROR(INDEX(Assessments!$J$2:$J$600,MATCH($H81&amp;"|"&amp;$I81&amp;"|"&amp;$J81&amp;"|"&amp;10,Assessments!$A$2:$A$600,0)),0)</f>
        <v>0</v>
      </c>
      <c r="DG81" s="28" t="n">
        <f aca="false">IFERROR(INDEX(Assessments!$J$2:$J$600,MATCH($H81&amp;"|"&amp;$I81&amp;"|"&amp;$J81&amp;"|"&amp;11,Assessments!$A$2:$A$600,0)),0)</f>
        <v>0</v>
      </c>
      <c r="DH81" s="28" t="n">
        <f aca="false">IFERROR(INDEX(Assessments!$J$2:$J$600,MATCH($H81&amp;"|"&amp;$I81&amp;"|"&amp;$J81&amp;"|"&amp;12,Assessments!$A$2:$A$600,0)),0)</f>
        <v>0</v>
      </c>
      <c r="DI81" s="28" t="n">
        <f aca="false">IFERROR(INDEX(Assessments!$J$2:$J$600,MATCH($H81&amp;"|"&amp;$I81&amp;"|"&amp;$J81&amp;"|"&amp;13,Assessments!$A$2:$A$600,0)),0)</f>
        <v>0</v>
      </c>
      <c r="DJ81" s="28" t="n">
        <f aca="false">IFERROR(INDEX(Assessments!$J$2:$J$600,MATCH($H81&amp;"|"&amp;$I81&amp;"|"&amp;$J81&amp;"|"&amp;14,Assessments!$A$2:$A$600,0)),0)</f>
        <v>0</v>
      </c>
      <c r="DK81" s="28" t="n">
        <f aca="false">S81</f>
        <v>4</v>
      </c>
      <c r="DL81" s="28" t="n">
        <f aca="false">W81</f>
        <v>4</v>
      </c>
      <c r="DM81" s="28" t="n">
        <f aca="false">AA81</f>
        <v>3</v>
      </c>
      <c r="DN81" s="28" t="n">
        <f aca="false">AE81</f>
        <v>3</v>
      </c>
      <c r="DO81" s="28" t="n">
        <f aca="false">AI81</f>
        <v>3</v>
      </c>
      <c r="DP81" s="28" t="str">
        <f aca="false">AM81</f>
        <v/>
      </c>
      <c r="DQ81" s="28" t="str">
        <f aca="false">AQ81</f>
        <v/>
      </c>
      <c r="DR81" s="28" t="str">
        <f aca="false">AU81</f>
        <v/>
      </c>
      <c r="DS81" s="28" t="str">
        <f aca="false">AY81</f>
        <v/>
      </c>
      <c r="DT81" s="28" t="str">
        <f aca="false">BC81</f>
        <v/>
      </c>
      <c r="DU81" s="28" t="str">
        <f aca="false">BG81</f>
        <v/>
      </c>
      <c r="DV81" s="28" t="str">
        <f aca="false">BK81</f>
        <v/>
      </c>
      <c r="DW81" s="28" t="str">
        <f aca="false">BO81</f>
        <v/>
      </c>
      <c r="DX81" s="28" t="str">
        <f aca="false">BS81</f>
        <v/>
      </c>
      <c r="DY81" s="28" t="n">
        <f aca="false">IF(ISNUMBER(S81),1,"")</f>
        <v>1</v>
      </c>
      <c r="DZ81" s="28" t="n">
        <f aca="false">IF(ISNUMBER(W81),2,"")</f>
        <v>2</v>
      </c>
      <c r="EA81" s="28" t="n">
        <f aca="false">IF(ISNUMBER(AA81),3,"")</f>
        <v>3</v>
      </c>
      <c r="EB81" s="28" t="n">
        <f aca="false">IF(ISNUMBER(AE81),4,"")</f>
        <v>4</v>
      </c>
      <c r="EC81" s="28" t="n">
        <f aca="false">IF(ISNUMBER(AI81),5,"")</f>
        <v>5</v>
      </c>
      <c r="ED81" s="28" t="str">
        <f aca="false">IF(ISNUMBER(AM81),6,"")</f>
        <v/>
      </c>
      <c r="EE81" s="28" t="str">
        <f aca="false">IF(ISNUMBER(AQ81),7,"")</f>
        <v/>
      </c>
      <c r="EF81" s="28" t="str">
        <f aca="false">IF(ISNUMBER(AU81),8,"")</f>
        <v/>
      </c>
      <c r="EG81" s="28" t="str">
        <f aca="false">IF(ISNUMBER(AY81),9,"")</f>
        <v/>
      </c>
      <c r="EH81" s="28" t="str">
        <f aca="false">IF(ISNUMBER(BC81),10,"")</f>
        <v/>
      </c>
      <c r="EI81" s="28" t="str">
        <f aca="false">IF(ISNUMBER(BG81),11,"")</f>
        <v/>
      </c>
      <c r="EJ81" s="28" t="str">
        <f aca="false">IF(ISNUMBER(BK81),12,"")</f>
        <v/>
      </c>
      <c r="EK81" s="28" t="str">
        <f aca="false">IF(ISNUMBER(BO81),13,"")</f>
        <v/>
      </c>
      <c r="EL81" s="28" t="str">
        <f aca="false">IF(ISNUMBER(BS81),14,"")</f>
        <v/>
      </c>
      <c r="EM81" s="28" t="n">
        <f aca="false">IF(ISNUMBER(R81),R81*CW81,0)</f>
        <v>50</v>
      </c>
      <c r="EN81" s="28" t="n">
        <f aca="false">IF(ISNUMBER(V81),V81*CX81,0)</f>
        <v>58.3333333333333</v>
      </c>
      <c r="EO81" s="28" t="n">
        <f aca="false">IF(ISNUMBER(Z81),Z81*CY81,0)</f>
        <v>40</v>
      </c>
      <c r="EP81" s="28" t="n">
        <f aca="false">IF(ISNUMBER(AD81),AD81*CZ81,0)</f>
        <v>45.7142857142857</v>
      </c>
      <c r="EQ81" s="28" t="n">
        <f aca="false">IF(ISNUMBER(AH81),AH81*DA81,0)</f>
        <v>94.5454545454546</v>
      </c>
      <c r="ER81" s="28" t="n">
        <f aca="false">IF(ISNUMBER(AL81),AL81*DB81,0)</f>
        <v>0</v>
      </c>
      <c r="ES81" s="28" t="n">
        <f aca="false">IF(ISNUMBER(AP81),AP81*DC81,0)</f>
        <v>0</v>
      </c>
      <c r="ET81" s="28" t="n">
        <f aca="false">IF(ISNUMBER(AT81),AT81*DD81,0)</f>
        <v>0</v>
      </c>
      <c r="EU81" s="28" t="n">
        <f aca="false">IF(ISNUMBER(AX81),AX81*DE81,0)</f>
        <v>0</v>
      </c>
      <c r="EV81" s="28" t="n">
        <f aca="false">IF(ISNUMBER(BB81),BB81*DF81,0)</f>
        <v>0</v>
      </c>
      <c r="EW81" s="28" t="n">
        <f aca="false">IF(ISNUMBER(BF81),BF81*DG81,0)</f>
        <v>0</v>
      </c>
      <c r="EX81" s="28" t="n">
        <f aca="false">IF(ISNUMBER(BJ81),BJ81*DH81,0)</f>
        <v>0</v>
      </c>
      <c r="EY81" s="28" t="n">
        <f aca="false">IF(ISNUMBER(BN81),BN81*DI81,0)</f>
        <v>0</v>
      </c>
      <c r="EZ81" s="28" t="n">
        <f aca="false">IF(ISNUMBER(BR81),BR81*DJ81,0)</f>
        <v>0</v>
      </c>
      <c r="FA81" s="28" t="n">
        <f aca="false">IF(ISNUMBER(R81),CW81,0)</f>
        <v>1</v>
      </c>
      <c r="FB81" s="28" t="n">
        <f aca="false">IF(ISNUMBER(V81),CX81,0)</f>
        <v>1</v>
      </c>
      <c r="FC81" s="28" t="n">
        <f aca="false">IF(ISNUMBER(Z81),CY81,0)</f>
        <v>1</v>
      </c>
      <c r="FD81" s="28" t="n">
        <f aca="false">IF(ISNUMBER(AD81),CZ81,0)</f>
        <v>1</v>
      </c>
      <c r="FE81" s="28" t="n">
        <f aca="false">IF(ISNUMBER(AH81),DA81,0)</f>
        <v>2</v>
      </c>
      <c r="FF81" s="28" t="n">
        <f aca="false">IF(ISNUMBER(AL81),DB81,0)</f>
        <v>0</v>
      </c>
      <c r="FG81" s="28" t="n">
        <f aca="false">IF(ISNUMBER(AP81),DC81,0)</f>
        <v>0</v>
      </c>
      <c r="FH81" s="28" t="n">
        <f aca="false">IF(ISNUMBER(AT81),DD81,0)</f>
        <v>0</v>
      </c>
      <c r="FI81" s="28" t="n">
        <f aca="false">IF(ISNUMBER(AX81),DE81,0)</f>
        <v>0</v>
      </c>
      <c r="FJ81" s="28" t="n">
        <f aca="false">IF(ISNUMBER(BB81),DF81,0)</f>
        <v>0</v>
      </c>
      <c r="FK81" s="28" t="n">
        <f aca="false">IF(ISNUMBER(BF81),DG81,0)</f>
        <v>0</v>
      </c>
      <c r="FL81" s="28" t="n">
        <f aca="false">IF(ISNUMBER(BJ81),DH81,0)</f>
        <v>0</v>
      </c>
      <c r="FM81" s="28" t="n">
        <f aca="false">IF(ISNUMBER(BN81),DI81,0)</f>
        <v>0</v>
      </c>
      <c r="FN81" s="28" t="n">
        <f aca="false">IF(ISNUMBER(BR81),DJ81,0)</f>
        <v>0</v>
      </c>
      <c r="FO81" s="28" t="str">
        <f aca="false">IFERROR(INDEX(Lists!$G$2:$G$20,MATCH($I81&amp;"|"&amp;$J81,Lists!$F$2:$F$20,0)),"")</f>
        <v>Econ Exam</v>
      </c>
    </row>
    <row r="82" customFormat="false" ht="19.5" hidden="false" customHeight="true" outlineLevel="0" collapsed="false">
      <c r="A82" s="29" t="s">
        <v>292</v>
      </c>
      <c r="B82" s="29" t="s">
        <v>151</v>
      </c>
      <c r="C82" s="30" t="s">
        <v>192</v>
      </c>
      <c r="D82" s="30" t="s">
        <v>291</v>
      </c>
      <c r="E82" s="31" t="n">
        <v>6.6</v>
      </c>
      <c r="F82" s="30" t="n">
        <v>7</v>
      </c>
      <c r="G82" s="30"/>
      <c r="H82" s="32" t="s">
        <v>23</v>
      </c>
      <c r="I82" s="33" t="s">
        <v>229</v>
      </c>
      <c r="J82" s="32" t="s">
        <v>25</v>
      </c>
      <c r="K82" s="34" t="n">
        <f aca="false">IF(OR(M82="",$E82=""),"",M82-$E82)</f>
        <v>-0.6</v>
      </c>
      <c r="L82" s="35" t="n">
        <f aca="false">IF(SUM(FA82:FN82)=0,"",SUM(EM82:EZ82)/SUM(FA82:FN82))</f>
        <v>77.4361471861472</v>
      </c>
      <c r="M82" s="36" t="n">
        <f aca="false">IF(OR(L82="",FO82=""),"",IFERROR(MATCH(L82,INDEX(Boundaries!$B$2:$I$30,MATCH(FO82,Boundaries!$A$2:$A$30,0),0),1)-1,""))</f>
        <v>6</v>
      </c>
      <c r="N82" s="37" t="n">
        <f aca="false">IF(COUNT($DY82:$EL82)&lt;2,"",INDEX($DK82:$DX82,MAX($DY82:$EL82))-INDEX($DK82:$DX82,MIN($DY82:$EL82)))</f>
        <v>-2</v>
      </c>
      <c r="O82" s="37" t="n">
        <f aca="false">IF(COUNT($DY82:$EL82)&lt;2,"",INDEX($DK82:$DX82,MAX($DY82:$EL82))-INDEX($DK82:$DX82,LARGE($DY82:$EL82,2)))</f>
        <v>0</v>
      </c>
      <c r="P82" s="38" t="str">
        <f aca="false">IF(K82="","",IF(K82&gt;=0,"On/above target",IF(AND(N82&lt;&gt;"",N82&gt;=0.5),"Improving towards target",IF(AND(O82&lt;&gt;"",O82&lt;=-0.5),"Declining","Stable below target"))))</f>
        <v>Stable below target</v>
      </c>
      <c r="Q82" s="39" t="n">
        <v>27</v>
      </c>
      <c r="R82" s="40" t="n">
        <f aca="false">IF(OR(Q82="",BU82=""),"",Q82/BU82*100)</f>
        <v>90</v>
      </c>
      <c r="S82" s="41" t="n">
        <f aca="false">IF(R82="","",IFERROR(MATCH(R82,INDEX(Boundaries!$B$2:$I$30,MATCH(CI82,Boundaries!$A$2:$A$30,0),0),1)-1,""))</f>
        <v>7</v>
      </c>
      <c r="T82" s="42" t="n">
        <f aca="false">IF(OR(S82="",$E82=""),"",S82-$E82)</f>
        <v>0.4</v>
      </c>
      <c r="U82" s="39" t="n">
        <v>21</v>
      </c>
      <c r="V82" s="40" t="n">
        <f aca="false">IF(OR(U82="",BV82=""),"",U82/BV82*100)</f>
        <v>87.5</v>
      </c>
      <c r="W82" s="41" t="n">
        <f aca="false">IF(V82="","",IFERROR(MATCH(V82,INDEX(Boundaries!$B$2:$I$30,MATCH(CJ82,Boundaries!$A$2:$A$30,0),0),1)-1,""))</f>
        <v>7</v>
      </c>
      <c r="X82" s="42" t="n">
        <f aca="false">IF(OR(W82="",$E82=""),"",W82-$E82)</f>
        <v>0.4</v>
      </c>
      <c r="Y82" s="39" t="n">
        <v>21</v>
      </c>
      <c r="Z82" s="40" t="n">
        <f aca="false">IF(OR(Y82="",BW82=""),"",Y82/BW82*100)</f>
        <v>84</v>
      </c>
      <c r="AA82" s="41" t="n">
        <f aca="false">IF(Z82="","",IFERROR(MATCH(Z82,INDEX(Boundaries!$B$2:$I$30,MATCH(CK82,Boundaries!$A$2:$A$30,0),0),1)-1,""))</f>
        <v>6</v>
      </c>
      <c r="AB82" s="42" t="n">
        <f aca="false">IF(OR(AA82="",$E82=""),"",AA82-$E82)</f>
        <v>-0.6</v>
      </c>
      <c r="AC82" s="39" t="n">
        <v>24</v>
      </c>
      <c r="AD82" s="40" t="n">
        <f aca="false">IF(OR(AC82="",BX82=""),"",AC82/BX82*100)</f>
        <v>68.5714285714286</v>
      </c>
      <c r="AE82" s="41" t="n">
        <f aca="false">IF(AD82="","",IFERROR(MATCH(AD82,INDEX(Boundaries!$B$2:$I$30,MATCH(CL82,Boundaries!$A$2:$A$30,0),0),1)-1,""))</f>
        <v>5</v>
      </c>
      <c r="AF82" s="42" t="n">
        <f aca="false">IF(OR(AE82="",$E82=""),"",AE82-$E82)</f>
        <v>-1.6</v>
      </c>
      <c r="AG82" s="39" t="n">
        <v>37</v>
      </c>
      <c r="AH82" s="40" t="n">
        <f aca="false">IF(OR(AG82="",BY82=""),"",AG82/BY82*100)</f>
        <v>67.2727272727273</v>
      </c>
      <c r="AI82" s="41" t="n">
        <f aca="false">IF(AH82="","",IFERROR(MATCH(AH82,INDEX(Boundaries!$B$2:$I$30,MATCH(CM82,Boundaries!$A$2:$A$30,0),0),1)-1,""))</f>
        <v>5</v>
      </c>
      <c r="AJ82" s="42" t="n">
        <f aca="false">IF(OR(AI82="",$E82=""),"",AI82-$E82)</f>
        <v>-1.6</v>
      </c>
      <c r="AK82" s="39"/>
      <c r="AL82" s="40" t="str">
        <f aca="false">IF(OR(AK82="",BZ82=""),"",AK82/BZ82*100)</f>
        <v/>
      </c>
      <c r="AM82" s="41" t="str">
        <f aca="false">IF(AL82="","",IFERROR(MATCH(AL82,INDEX(Boundaries!$B$2:$I$30,MATCH(CN82,Boundaries!$A$2:$A$30,0),0),1)-1,""))</f>
        <v/>
      </c>
      <c r="AN82" s="42" t="str">
        <f aca="false">IF(OR(AM82="",$E82=""),"",AM82-$E82)</f>
        <v/>
      </c>
      <c r="AO82" s="39"/>
      <c r="AP82" s="40" t="str">
        <f aca="false">IF(OR(AO82="",CA82=""),"",AO82/CA82*100)</f>
        <v/>
      </c>
      <c r="AQ82" s="41" t="str">
        <f aca="false">IF(AP82="","",IFERROR(MATCH(AP82,INDEX(Boundaries!$B$2:$I$30,MATCH(CO82,Boundaries!$A$2:$A$30,0),0),1)-1,""))</f>
        <v/>
      </c>
      <c r="AR82" s="42" t="str">
        <f aca="false">IF(OR(AQ82="",$E82=""),"",AQ82-$E82)</f>
        <v/>
      </c>
      <c r="AS82" s="39"/>
      <c r="AT82" s="40" t="str">
        <f aca="false">IF(OR(AS82="",CB82=""),"",AS82/CB82*100)</f>
        <v/>
      </c>
      <c r="AU82" s="41" t="str">
        <f aca="false">IF(AT82="","",IFERROR(MATCH(AT82,INDEX(Boundaries!$B$2:$I$30,MATCH(CP82,Boundaries!$A$2:$A$30,0),0),1)-1,""))</f>
        <v/>
      </c>
      <c r="AV82" s="42" t="str">
        <f aca="false">IF(OR(AU82="",$E82=""),"",AU82-$E82)</f>
        <v/>
      </c>
      <c r="AW82" s="39"/>
      <c r="AX82" s="40" t="str">
        <f aca="false">IF(OR(AW82="",CC82=""),"",AW82/CC82*100)</f>
        <v/>
      </c>
      <c r="AY82" s="41" t="str">
        <f aca="false">IF(AX82="","",IFERROR(MATCH(AX82,INDEX(Boundaries!$B$2:$I$30,MATCH(CQ82,Boundaries!$A$2:$A$30,0),0),1)-1,""))</f>
        <v/>
      </c>
      <c r="AZ82" s="42" t="str">
        <f aca="false">IF(OR(AY82="",$E82=""),"",AY82-$E82)</f>
        <v/>
      </c>
      <c r="BA82" s="39"/>
      <c r="BB82" s="40" t="str">
        <f aca="false">IF(OR(BA82="",CD82=""),"",BA82/CD82*100)</f>
        <v/>
      </c>
      <c r="BC82" s="41" t="str">
        <f aca="false">IF(BB82="","",IFERROR(MATCH(BB82,INDEX(Boundaries!$B$2:$I$30,MATCH(CR82,Boundaries!$A$2:$A$30,0),0),1)-1,""))</f>
        <v/>
      </c>
      <c r="BD82" s="42" t="str">
        <f aca="false">IF(OR(BC82="",$E82=""),"",BC82-$E82)</f>
        <v/>
      </c>
      <c r="BE82" s="39"/>
      <c r="BF82" s="40" t="str">
        <f aca="false">IF(OR(BE82="",CE82=""),"",BE82/CE82*100)</f>
        <v/>
      </c>
      <c r="BG82" s="41" t="str">
        <f aca="false">IF(BF82="","",IFERROR(MATCH(BF82,INDEX(Boundaries!$B$2:$I$30,MATCH(CS82,Boundaries!$A$2:$A$30,0),0),1)-1,""))</f>
        <v/>
      </c>
      <c r="BH82" s="42" t="str">
        <f aca="false">IF(OR(BG82="",$E82=""),"",BG82-$E82)</f>
        <v/>
      </c>
      <c r="BI82" s="39"/>
      <c r="BJ82" s="40" t="str">
        <f aca="false">IF(OR(BI82="",CF82=""),"",BI82/CF82*100)</f>
        <v/>
      </c>
      <c r="BK82" s="41" t="str">
        <f aca="false">IF(BJ82="","",IFERROR(MATCH(BJ82,INDEX(Boundaries!$B$2:$I$30,MATCH(CT82,Boundaries!$A$2:$A$30,0),0),1)-1,""))</f>
        <v/>
      </c>
      <c r="BL82" s="42" t="str">
        <f aca="false">IF(OR(BK82="",$E82=""),"",BK82-$E82)</f>
        <v/>
      </c>
      <c r="BM82" s="39"/>
      <c r="BN82" s="40" t="str">
        <f aca="false">IF(OR(BM82="",CG82=""),"",BM82/CG82*100)</f>
        <v/>
      </c>
      <c r="BO82" s="41" t="str">
        <f aca="false">IF(BN82="","",IFERROR(MATCH(BN82,INDEX(Boundaries!$B$2:$I$30,MATCH(CU82,Boundaries!$A$2:$A$30,0),0),1)-1,""))</f>
        <v/>
      </c>
      <c r="BP82" s="42" t="str">
        <f aca="false">IF(OR(BO82="",$E82=""),"",BO82-$E82)</f>
        <v/>
      </c>
      <c r="BQ82" s="39"/>
      <c r="BR82" s="40" t="str">
        <f aca="false">IF(OR(BQ82="",CH82=""),"",BQ82/CH82*100)</f>
        <v/>
      </c>
      <c r="BS82" s="41" t="str">
        <f aca="false">IF(BR82="","",IFERROR(MATCH(BR82,INDEX(Boundaries!$B$2:$I$30,MATCH(CV82,Boundaries!$A$2:$A$30,0),0),1)-1,""))</f>
        <v/>
      </c>
      <c r="BT82" s="42" t="str">
        <f aca="false">IF(OR(BS82="",$E82=""),"",BS82-$E82)</f>
        <v/>
      </c>
      <c r="BU82" s="28" t="n">
        <f aca="false">IFERROR(INDEX(Assessments!$H$2:$H$600,MATCH($H82&amp;"|"&amp;$I82&amp;"|"&amp;$J82&amp;"|"&amp;1,Assessments!$A$2:$A$600,0)),"")</f>
        <v>30</v>
      </c>
      <c r="BV82" s="28" t="n">
        <f aca="false">IFERROR(INDEX(Assessments!$H$2:$H$600,MATCH($H82&amp;"|"&amp;$I82&amp;"|"&amp;$J82&amp;"|"&amp;2,Assessments!$A$2:$A$600,0)),"")</f>
        <v>24</v>
      </c>
      <c r="BW82" s="28" t="n">
        <f aca="false">IFERROR(INDEX(Assessments!$H$2:$H$600,MATCH($H82&amp;"|"&amp;$I82&amp;"|"&amp;$J82&amp;"|"&amp;3,Assessments!$A$2:$A$600,0)),"")</f>
        <v>25</v>
      </c>
      <c r="BX82" s="28" t="n">
        <f aca="false">IFERROR(INDEX(Assessments!$H$2:$H$600,MATCH($H82&amp;"|"&amp;$I82&amp;"|"&amp;$J82&amp;"|"&amp;4,Assessments!$A$2:$A$600,0)),"")</f>
        <v>35</v>
      </c>
      <c r="BY82" s="28" t="n">
        <f aca="false">IFERROR(INDEX(Assessments!$H$2:$H$600,MATCH($H82&amp;"|"&amp;$I82&amp;"|"&amp;$J82&amp;"|"&amp;5,Assessments!$A$2:$A$600,0)),"")</f>
        <v>55</v>
      </c>
      <c r="BZ82" s="28" t="n">
        <f aca="false">IFERROR(INDEX(Assessments!$H$2:$H$600,MATCH($H82&amp;"|"&amp;$I82&amp;"|"&amp;$J82&amp;"|"&amp;6,Assessments!$A$2:$A$600,0)),"")</f>
        <v>30</v>
      </c>
      <c r="CA82" s="28" t="n">
        <f aca="false">IFERROR(INDEX(Assessments!$H$2:$H$600,MATCH($H82&amp;"|"&amp;$I82&amp;"|"&amp;$J82&amp;"|"&amp;7,Assessments!$A$2:$A$600,0)),"")</f>
        <v>95</v>
      </c>
      <c r="CB82" s="28" t="str">
        <f aca="false">IFERROR(INDEX(Assessments!$H$2:$H$600,MATCH($H82&amp;"|"&amp;$I82&amp;"|"&amp;$J82&amp;"|"&amp;8,Assessments!$A$2:$A$600,0)),"")</f>
        <v/>
      </c>
      <c r="CC82" s="28" t="str">
        <f aca="false">IFERROR(INDEX(Assessments!$H$2:$H$600,MATCH($H82&amp;"|"&amp;$I82&amp;"|"&amp;$J82&amp;"|"&amp;9,Assessments!$A$2:$A$600,0)),"")</f>
        <v/>
      </c>
      <c r="CD82" s="28" t="str">
        <f aca="false">IFERROR(INDEX(Assessments!$H$2:$H$600,MATCH($H82&amp;"|"&amp;$I82&amp;"|"&amp;$J82&amp;"|"&amp;10,Assessments!$A$2:$A$600,0)),"")</f>
        <v/>
      </c>
      <c r="CE82" s="28" t="str">
        <f aca="false">IFERROR(INDEX(Assessments!$H$2:$H$600,MATCH($H82&amp;"|"&amp;$I82&amp;"|"&amp;$J82&amp;"|"&amp;11,Assessments!$A$2:$A$600,0)),"")</f>
        <v/>
      </c>
      <c r="CF82" s="28" t="str">
        <f aca="false">IFERROR(INDEX(Assessments!$H$2:$H$600,MATCH($H82&amp;"|"&amp;$I82&amp;"|"&amp;$J82&amp;"|"&amp;12,Assessments!$A$2:$A$600,0)),"")</f>
        <v/>
      </c>
      <c r="CG82" s="28" t="str">
        <f aca="false">IFERROR(INDEX(Assessments!$H$2:$H$600,MATCH($H82&amp;"|"&amp;$I82&amp;"|"&amp;$J82&amp;"|"&amp;13,Assessments!$A$2:$A$600,0)),"")</f>
        <v/>
      </c>
      <c r="CH82" s="28" t="str">
        <f aca="false">IFERROR(INDEX(Assessments!$H$2:$H$600,MATCH($H82&amp;"|"&amp;$I82&amp;"|"&amp;$J82&amp;"|"&amp;14,Assessments!$A$2:$A$600,0)),"")</f>
        <v/>
      </c>
      <c r="CI82" s="28" t="str">
        <f aca="false">IFERROR(INDEX(Assessments!$I$2:$I$600,MATCH($H82&amp;"|"&amp;$I82&amp;"|"&amp;$J82&amp;"|"&amp;1,Assessments!$A$2:$A$600,0)),"")</f>
        <v>Econ Test</v>
      </c>
      <c r="CJ82" s="28" t="str">
        <f aca="false">IFERROR(INDEX(Assessments!$I$2:$I$600,MATCH($H82&amp;"|"&amp;$I82&amp;"|"&amp;$J82&amp;"|"&amp;2,Assessments!$A$2:$A$600,0)),"")</f>
        <v>Econ Test</v>
      </c>
      <c r="CK82" s="28" t="str">
        <f aca="false">IFERROR(INDEX(Assessments!$I$2:$I$600,MATCH($H82&amp;"|"&amp;$I82&amp;"|"&amp;$J82&amp;"|"&amp;3,Assessments!$A$2:$A$600,0)),"")</f>
        <v>Econ Test</v>
      </c>
      <c r="CL82" s="28" t="str">
        <f aca="false">IFERROR(INDEX(Assessments!$I$2:$I$600,MATCH($H82&amp;"|"&amp;$I82&amp;"|"&amp;$J82&amp;"|"&amp;4,Assessments!$A$2:$A$600,0)),"")</f>
        <v>Econ Test</v>
      </c>
      <c r="CM82" s="28" t="str">
        <f aca="false">IFERROR(INDEX(Assessments!$I$2:$I$600,MATCH($H82&amp;"|"&amp;$I82&amp;"|"&amp;$J82&amp;"|"&amp;5,Assessments!$A$2:$A$600,0)),"")</f>
        <v>Econ Exam</v>
      </c>
      <c r="CN82" s="28" t="str">
        <f aca="false">IFERROR(INDEX(Assessments!$I$2:$I$600,MATCH($H82&amp;"|"&amp;$I82&amp;"|"&amp;$J82&amp;"|"&amp;6,Assessments!$A$2:$A$600,0)),"")</f>
        <v>Econ Test</v>
      </c>
      <c r="CO82" s="28" t="str">
        <f aca="false">IFERROR(INDEX(Assessments!$I$2:$I$600,MATCH($H82&amp;"|"&amp;$I82&amp;"|"&amp;$J82&amp;"|"&amp;7,Assessments!$A$2:$A$600,0)),"")</f>
        <v>Econ Exam</v>
      </c>
      <c r="CP82" s="28" t="str">
        <f aca="false">IFERROR(INDEX(Assessments!$I$2:$I$600,MATCH($H82&amp;"|"&amp;$I82&amp;"|"&amp;$J82&amp;"|"&amp;8,Assessments!$A$2:$A$600,0)),"")</f>
        <v/>
      </c>
      <c r="CQ82" s="28" t="str">
        <f aca="false">IFERROR(INDEX(Assessments!$I$2:$I$600,MATCH($H82&amp;"|"&amp;$I82&amp;"|"&amp;$J82&amp;"|"&amp;9,Assessments!$A$2:$A$600,0)),"")</f>
        <v/>
      </c>
      <c r="CR82" s="28" t="str">
        <f aca="false">IFERROR(INDEX(Assessments!$I$2:$I$600,MATCH($H82&amp;"|"&amp;$I82&amp;"|"&amp;$J82&amp;"|"&amp;10,Assessments!$A$2:$A$600,0)),"")</f>
        <v/>
      </c>
      <c r="CS82" s="28" t="str">
        <f aca="false">IFERROR(INDEX(Assessments!$I$2:$I$600,MATCH($H82&amp;"|"&amp;$I82&amp;"|"&amp;$J82&amp;"|"&amp;11,Assessments!$A$2:$A$600,0)),"")</f>
        <v/>
      </c>
      <c r="CT82" s="28" t="str">
        <f aca="false">IFERROR(INDEX(Assessments!$I$2:$I$600,MATCH($H82&amp;"|"&amp;$I82&amp;"|"&amp;$J82&amp;"|"&amp;12,Assessments!$A$2:$A$600,0)),"")</f>
        <v/>
      </c>
      <c r="CU82" s="28" t="str">
        <f aca="false">IFERROR(INDEX(Assessments!$I$2:$I$600,MATCH($H82&amp;"|"&amp;$I82&amp;"|"&amp;$J82&amp;"|"&amp;13,Assessments!$A$2:$A$600,0)),"")</f>
        <v/>
      </c>
      <c r="CV82" s="28" t="str">
        <f aca="false">IFERROR(INDEX(Assessments!$I$2:$I$600,MATCH($H82&amp;"|"&amp;$I82&amp;"|"&amp;$J82&amp;"|"&amp;14,Assessments!$A$2:$A$600,0)),"")</f>
        <v/>
      </c>
      <c r="CW82" s="28" t="n">
        <f aca="false">IFERROR(INDEX(Assessments!$J$2:$J$600,MATCH($H82&amp;"|"&amp;$I82&amp;"|"&amp;$J82&amp;"|"&amp;1,Assessments!$A$2:$A$600,0)),0)</f>
        <v>1</v>
      </c>
      <c r="CX82" s="28" t="n">
        <f aca="false">IFERROR(INDEX(Assessments!$J$2:$J$600,MATCH($H82&amp;"|"&amp;$I82&amp;"|"&amp;$J82&amp;"|"&amp;2,Assessments!$A$2:$A$600,0)),0)</f>
        <v>1</v>
      </c>
      <c r="CY82" s="28" t="n">
        <f aca="false">IFERROR(INDEX(Assessments!$J$2:$J$600,MATCH($H82&amp;"|"&amp;$I82&amp;"|"&amp;$J82&amp;"|"&amp;3,Assessments!$A$2:$A$600,0)),0)</f>
        <v>1</v>
      </c>
      <c r="CZ82" s="28" t="n">
        <f aca="false">IFERROR(INDEX(Assessments!$J$2:$J$600,MATCH($H82&amp;"|"&amp;$I82&amp;"|"&amp;$J82&amp;"|"&amp;4,Assessments!$A$2:$A$600,0)),0)</f>
        <v>1</v>
      </c>
      <c r="DA82" s="28" t="n">
        <f aca="false">IFERROR(INDEX(Assessments!$J$2:$J$600,MATCH($H82&amp;"|"&amp;$I82&amp;"|"&amp;$J82&amp;"|"&amp;5,Assessments!$A$2:$A$600,0)),0)</f>
        <v>2</v>
      </c>
      <c r="DB82" s="28" t="n">
        <f aca="false">IFERROR(INDEX(Assessments!$J$2:$J$600,MATCH($H82&amp;"|"&amp;$I82&amp;"|"&amp;$J82&amp;"|"&amp;6,Assessments!$A$2:$A$600,0)),0)</f>
        <v>1</v>
      </c>
      <c r="DC82" s="28" t="n">
        <f aca="false">IFERROR(INDEX(Assessments!$J$2:$J$600,MATCH($H82&amp;"|"&amp;$I82&amp;"|"&amp;$J82&amp;"|"&amp;7,Assessments!$A$2:$A$600,0)),0)</f>
        <v>2</v>
      </c>
      <c r="DD82" s="28" t="n">
        <f aca="false">IFERROR(INDEX(Assessments!$J$2:$J$600,MATCH($H82&amp;"|"&amp;$I82&amp;"|"&amp;$J82&amp;"|"&amp;8,Assessments!$A$2:$A$600,0)),0)</f>
        <v>0</v>
      </c>
      <c r="DE82" s="28" t="n">
        <f aca="false">IFERROR(INDEX(Assessments!$J$2:$J$600,MATCH($H82&amp;"|"&amp;$I82&amp;"|"&amp;$J82&amp;"|"&amp;9,Assessments!$A$2:$A$600,0)),0)</f>
        <v>0</v>
      </c>
      <c r="DF82" s="28" t="n">
        <f aca="false">IFERROR(INDEX(Assessments!$J$2:$J$600,MATCH($H82&amp;"|"&amp;$I82&amp;"|"&amp;$J82&amp;"|"&amp;10,Assessments!$A$2:$A$600,0)),0)</f>
        <v>0</v>
      </c>
      <c r="DG82" s="28" t="n">
        <f aca="false">IFERROR(INDEX(Assessments!$J$2:$J$600,MATCH($H82&amp;"|"&amp;$I82&amp;"|"&amp;$J82&amp;"|"&amp;11,Assessments!$A$2:$A$600,0)),0)</f>
        <v>0</v>
      </c>
      <c r="DH82" s="28" t="n">
        <f aca="false">IFERROR(INDEX(Assessments!$J$2:$J$600,MATCH($H82&amp;"|"&amp;$I82&amp;"|"&amp;$J82&amp;"|"&amp;12,Assessments!$A$2:$A$600,0)),0)</f>
        <v>0</v>
      </c>
      <c r="DI82" s="28" t="n">
        <f aca="false">IFERROR(INDEX(Assessments!$J$2:$J$600,MATCH($H82&amp;"|"&amp;$I82&amp;"|"&amp;$J82&amp;"|"&amp;13,Assessments!$A$2:$A$600,0)),0)</f>
        <v>0</v>
      </c>
      <c r="DJ82" s="28" t="n">
        <f aca="false">IFERROR(INDEX(Assessments!$J$2:$J$600,MATCH($H82&amp;"|"&amp;$I82&amp;"|"&amp;$J82&amp;"|"&amp;14,Assessments!$A$2:$A$600,0)),0)</f>
        <v>0</v>
      </c>
      <c r="DK82" s="28" t="n">
        <f aca="false">S82</f>
        <v>7</v>
      </c>
      <c r="DL82" s="28" t="n">
        <f aca="false">W82</f>
        <v>7</v>
      </c>
      <c r="DM82" s="28" t="n">
        <f aca="false">AA82</f>
        <v>6</v>
      </c>
      <c r="DN82" s="28" t="n">
        <f aca="false">AE82</f>
        <v>5</v>
      </c>
      <c r="DO82" s="28" t="n">
        <f aca="false">AI82</f>
        <v>5</v>
      </c>
      <c r="DP82" s="28" t="str">
        <f aca="false">AM82</f>
        <v/>
      </c>
      <c r="DQ82" s="28" t="str">
        <f aca="false">AQ82</f>
        <v/>
      </c>
      <c r="DR82" s="28" t="str">
        <f aca="false">AU82</f>
        <v/>
      </c>
      <c r="DS82" s="28" t="str">
        <f aca="false">AY82</f>
        <v/>
      </c>
      <c r="DT82" s="28" t="str">
        <f aca="false">BC82</f>
        <v/>
      </c>
      <c r="DU82" s="28" t="str">
        <f aca="false">BG82</f>
        <v/>
      </c>
      <c r="DV82" s="28" t="str">
        <f aca="false">BK82</f>
        <v/>
      </c>
      <c r="DW82" s="28" t="str">
        <f aca="false">BO82</f>
        <v/>
      </c>
      <c r="DX82" s="28" t="str">
        <f aca="false">BS82</f>
        <v/>
      </c>
      <c r="DY82" s="28" t="n">
        <f aca="false">IF(ISNUMBER(S82),1,"")</f>
        <v>1</v>
      </c>
      <c r="DZ82" s="28" t="n">
        <f aca="false">IF(ISNUMBER(W82),2,"")</f>
        <v>2</v>
      </c>
      <c r="EA82" s="28" t="n">
        <f aca="false">IF(ISNUMBER(AA82),3,"")</f>
        <v>3</v>
      </c>
      <c r="EB82" s="28" t="n">
        <f aca="false">IF(ISNUMBER(AE82),4,"")</f>
        <v>4</v>
      </c>
      <c r="EC82" s="28" t="n">
        <f aca="false">IF(ISNUMBER(AI82),5,"")</f>
        <v>5</v>
      </c>
      <c r="ED82" s="28" t="str">
        <f aca="false">IF(ISNUMBER(AM82),6,"")</f>
        <v/>
      </c>
      <c r="EE82" s="28" t="str">
        <f aca="false">IF(ISNUMBER(AQ82),7,"")</f>
        <v/>
      </c>
      <c r="EF82" s="28" t="str">
        <f aca="false">IF(ISNUMBER(AU82),8,"")</f>
        <v/>
      </c>
      <c r="EG82" s="28" t="str">
        <f aca="false">IF(ISNUMBER(AY82),9,"")</f>
        <v/>
      </c>
      <c r="EH82" s="28" t="str">
        <f aca="false">IF(ISNUMBER(BC82),10,"")</f>
        <v/>
      </c>
      <c r="EI82" s="28" t="str">
        <f aca="false">IF(ISNUMBER(BG82),11,"")</f>
        <v/>
      </c>
      <c r="EJ82" s="28" t="str">
        <f aca="false">IF(ISNUMBER(BK82),12,"")</f>
        <v/>
      </c>
      <c r="EK82" s="28" t="str">
        <f aca="false">IF(ISNUMBER(BO82),13,"")</f>
        <v/>
      </c>
      <c r="EL82" s="28" t="str">
        <f aca="false">IF(ISNUMBER(BS82),14,"")</f>
        <v/>
      </c>
      <c r="EM82" s="28" t="n">
        <f aca="false">IF(ISNUMBER(R82),R82*CW82,0)</f>
        <v>90</v>
      </c>
      <c r="EN82" s="28" t="n">
        <f aca="false">IF(ISNUMBER(V82),V82*CX82,0)</f>
        <v>87.5</v>
      </c>
      <c r="EO82" s="28" t="n">
        <f aca="false">IF(ISNUMBER(Z82),Z82*CY82,0)</f>
        <v>84</v>
      </c>
      <c r="EP82" s="28" t="n">
        <f aca="false">IF(ISNUMBER(AD82),AD82*CZ82,0)</f>
        <v>68.5714285714286</v>
      </c>
      <c r="EQ82" s="28" t="n">
        <f aca="false">IF(ISNUMBER(AH82),AH82*DA82,0)</f>
        <v>134.545454545455</v>
      </c>
      <c r="ER82" s="28" t="n">
        <f aca="false">IF(ISNUMBER(AL82),AL82*DB82,0)</f>
        <v>0</v>
      </c>
      <c r="ES82" s="28" t="n">
        <f aca="false">IF(ISNUMBER(AP82),AP82*DC82,0)</f>
        <v>0</v>
      </c>
      <c r="ET82" s="28" t="n">
        <f aca="false">IF(ISNUMBER(AT82),AT82*DD82,0)</f>
        <v>0</v>
      </c>
      <c r="EU82" s="28" t="n">
        <f aca="false">IF(ISNUMBER(AX82),AX82*DE82,0)</f>
        <v>0</v>
      </c>
      <c r="EV82" s="28" t="n">
        <f aca="false">IF(ISNUMBER(BB82),BB82*DF82,0)</f>
        <v>0</v>
      </c>
      <c r="EW82" s="28" t="n">
        <f aca="false">IF(ISNUMBER(BF82),BF82*DG82,0)</f>
        <v>0</v>
      </c>
      <c r="EX82" s="28" t="n">
        <f aca="false">IF(ISNUMBER(BJ82),BJ82*DH82,0)</f>
        <v>0</v>
      </c>
      <c r="EY82" s="28" t="n">
        <f aca="false">IF(ISNUMBER(BN82),BN82*DI82,0)</f>
        <v>0</v>
      </c>
      <c r="EZ82" s="28" t="n">
        <f aca="false">IF(ISNUMBER(BR82),BR82*DJ82,0)</f>
        <v>0</v>
      </c>
      <c r="FA82" s="28" t="n">
        <f aca="false">IF(ISNUMBER(R82),CW82,0)</f>
        <v>1</v>
      </c>
      <c r="FB82" s="28" t="n">
        <f aca="false">IF(ISNUMBER(V82),CX82,0)</f>
        <v>1</v>
      </c>
      <c r="FC82" s="28" t="n">
        <f aca="false">IF(ISNUMBER(Z82),CY82,0)</f>
        <v>1</v>
      </c>
      <c r="FD82" s="28" t="n">
        <f aca="false">IF(ISNUMBER(AD82),CZ82,0)</f>
        <v>1</v>
      </c>
      <c r="FE82" s="28" t="n">
        <f aca="false">IF(ISNUMBER(AH82),DA82,0)</f>
        <v>2</v>
      </c>
      <c r="FF82" s="28" t="n">
        <f aca="false">IF(ISNUMBER(AL82),DB82,0)</f>
        <v>0</v>
      </c>
      <c r="FG82" s="28" t="n">
        <f aca="false">IF(ISNUMBER(AP82),DC82,0)</f>
        <v>0</v>
      </c>
      <c r="FH82" s="28" t="n">
        <f aca="false">IF(ISNUMBER(AT82),DD82,0)</f>
        <v>0</v>
      </c>
      <c r="FI82" s="28" t="n">
        <f aca="false">IF(ISNUMBER(AX82),DE82,0)</f>
        <v>0</v>
      </c>
      <c r="FJ82" s="28" t="n">
        <f aca="false">IF(ISNUMBER(BB82),DF82,0)</f>
        <v>0</v>
      </c>
      <c r="FK82" s="28" t="n">
        <f aca="false">IF(ISNUMBER(BF82),DG82,0)</f>
        <v>0</v>
      </c>
      <c r="FL82" s="28" t="n">
        <f aca="false">IF(ISNUMBER(BJ82),DH82,0)</f>
        <v>0</v>
      </c>
      <c r="FM82" s="28" t="n">
        <f aca="false">IF(ISNUMBER(BN82),DI82,0)</f>
        <v>0</v>
      </c>
      <c r="FN82" s="28" t="n">
        <f aca="false">IF(ISNUMBER(BR82),DJ82,0)</f>
        <v>0</v>
      </c>
      <c r="FO82" s="28" t="str">
        <f aca="false">IFERROR(INDEX(Lists!$G$2:$G$20,MATCH($I82&amp;"|"&amp;$J82,Lists!$F$2:$F$20,0)),"")</f>
        <v>Econ Exam</v>
      </c>
    </row>
    <row r="83" customFormat="false" ht="19.5" hidden="false" customHeight="true" outlineLevel="0" collapsed="false">
      <c r="A83" s="29" t="s">
        <v>171</v>
      </c>
      <c r="B83" s="29" t="s">
        <v>293</v>
      </c>
      <c r="C83" s="30" t="s">
        <v>192</v>
      </c>
      <c r="D83" s="30" t="s">
        <v>291</v>
      </c>
      <c r="E83" s="31" t="n">
        <v>6.1</v>
      </c>
      <c r="F83" s="30" t="n">
        <v>6</v>
      </c>
      <c r="G83" s="30"/>
      <c r="H83" s="32" t="s">
        <v>23</v>
      </c>
      <c r="I83" s="33" t="s">
        <v>229</v>
      </c>
      <c r="J83" s="32" t="s">
        <v>25</v>
      </c>
      <c r="K83" s="34" t="n">
        <f aca="false">IF(OR(M83="",$E83=""),"",M83-$E83)</f>
        <v>-0.0999999999999996</v>
      </c>
      <c r="L83" s="35" t="n">
        <f aca="false">IF(SUM(FA83:FN83)=0,"",SUM(EM83:EZ83)/SUM(FA83:FN83))</f>
        <v>75.8401875901876</v>
      </c>
      <c r="M83" s="36" t="n">
        <f aca="false">IF(OR(L83="",FO83=""),"",IFERROR(MATCH(L83,INDEX(Boundaries!$B$2:$I$30,MATCH(FO83,Boundaries!$A$2:$A$30,0),0),1)-1,""))</f>
        <v>6</v>
      </c>
      <c r="N83" s="37" t="n">
        <f aca="false">IF(COUNT($DY83:$EL83)&lt;2,"",INDEX($DK83:$DX83,MAX($DY83:$EL83))-INDEX($DK83:$DX83,MIN($DY83:$EL83)))</f>
        <v>3</v>
      </c>
      <c r="O83" s="37" t="n">
        <f aca="false">IF(COUNT($DY83:$EL83)&lt;2,"",INDEX($DK83:$DX83,MAX($DY83:$EL83))-INDEX($DK83:$DX83,LARGE($DY83:$EL83,2)))</f>
        <v>2</v>
      </c>
      <c r="P83" s="38" t="str">
        <f aca="false">IF(K83="","",IF(K83&gt;=0,"On/above target",IF(AND(N83&lt;&gt;"",N83&gt;=0.5),"Improving towards target",IF(AND(O83&lt;&gt;"",O83&lt;=-0.5),"Declining","Stable below target"))))</f>
        <v>Improving towards target</v>
      </c>
      <c r="Q83" s="39" t="n">
        <v>18</v>
      </c>
      <c r="R83" s="40" t="n">
        <f aca="false">IF(OR(Q83="",BU83=""),"",Q83/BU83*100)</f>
        <v>60</v>
      </c>
      <c r="S83" s="41" t="n">
        <f aca="false">IF(R83="","",IFERROR(MATCH(R83,INDEX(Boundaries!$B$2:$I$30,MATCH(CI83,Boundaries!$A$2:$A$30,0),0),1)-1,""))</f>
        <v>4</v>
      </c>
      <c r="T83" s="42" t="n">
        <f aca="false">IF(OR(S83="",$E83=""),"",S83-$E83)</f>
        <v>-2.1</v>
      </c>
      <c r="U83" s="39" t="n">
        <v>17</v>
      </c>
      <c r="V83" s="40" t="n">
        <f aca="false">IF(OR(U83="",BV83=""),"",U83/BV83*100)</f>
        <v>70.8333333333333</v>
      </c>
      <c r="W83" s="41" t="n">
        <f aca="false">IF(V83="","",IFERROR(MATCH(V83,INDEX(Boundaries!$B$2:$I$30,MATCH(CJ83,Boundaries!$A$2:$A$30,0),0),1)-1,""))</f>
        <v>5</v>
      </c>
      <c r="X83" s="42" t="n">
        <f aca="false">IF(OR(W83="",$E83=""),"",W83-$E83)</f>
        <v>-1.1</v>
      </c>
      <c r="Y83" s="39" t="n">
        <v>23</v>
      </c>
      <c r="Z83" s="40" t="n">
        <f aca="false">IF(OR(Y83="",BW83=""),"",Y83/BW83*100)</f>
        <v>92</v>
      </c>
      <c r="AA83" s="41" t="n">
        <f aca="false">IF(Z83="","",IFERROR(MATCH(Z83,INDEX(Boundaries!$B$2:$I$30,MATCH(CK83,Boundaries!$A$2:$A$30,0),0),1)-1,""))</f>
        <v>7</v>
      </c>
      <c r="AB83" s="42" t="n">
        <f aca="false">IF(OR(AA83="",$E83=""),"",AA83-$E83)</f>
        <v>0.9</v>
      </c>
      <c r="AC83" s="39" t="n">
        <v>24</v>
      </c>
      <c r="AD83" s="40" t="n">
        <f aca="false">IF(OR(AC83="",BX83=""),"",AC83/BX83*100)</f>
        <v>68.5714285714286</v>
      </c>
      <c r="AE83" s="41" t="n">
        <f aca="false">IF(AD83="","",IFERROR(MATCH(AD83,INDEX(Boundaries!$B$2:$I$30,MATCH(CL83,Boundaries!$A$2:$A$30,0),0),1)-1,""))</f>
        <v>5</v>
      </c>
      <c r="AF83" s="42" t="n">
        <f aca="false">IF(OR(AE83="",$E83=""),"",AE83-$E83)</f>
        <v>-1.1</v>
      </c>
      <c r="AG83" s="39" t="n">
        <v>45</v>
      </c>
      <c r="AH83" s="40" t="n">
        <f aca="false">IF(OR(AG83="",BY83=""),"",AG83/BY83*100)</f>
        <v>81.8181818181818</v>
      </c>
      <c r="AI83" s="41" t="n">
        <f aca="false">IF(AH83="","",IFERROR(MATCH(AH83,INDEX(Boundaries!$B$2:$I$30,MATCH(CM83,Boundaries!$A$2:$A$30,0),0),1)-1,""))</f>
        <v>7</v>
      </c>
      <c r="AJ83" s="42" t="n">
        <f aca="false">IF(OR(AI83="",$E83=""),"",AI83-$E83)</f>
        <v>0.9</v>
      </c>
      <c r="AK83" s="39"/>
      <c r="AL83" s="40" t="str">
        <f aca="false">IF(OR(AK83="",BZ83=""),"",AK83/BZ83*100)</f>
        <v/>
      </c>
      <c r="AM83" s="41" t="str">
        <f aca="false">IF(AL83="","",IFERROR(MATCH(AL83,INDEX(Boundaries!$B$2:$I$30,MATCH(CN83,Boundaries!$A$2:$A$30,0),0),1)-1,""))</f>
        <v/>
      </c>
      <c r="AN83" s="42" t="str">
        <f aca="false">IF(OR(AM83="",$E83=""),"",AM83-$E83)</f>
        <v/>
      </c>
      <c r="AO83" s="39"/>
      <c r="AP83" s="40" t="str">
        <f aca="false">IF(OR(AO83="",CA83=""),"",AO83/CA83*100)</f>
        <v/>
      </c>
      <c r="AQ83" s="41" t="str">
        <f aca="false">IF(AP83="","",IFERROR(MATCH(AP83,INDEX(Boundaries!$B$2:$I$30,MATCH(CO83,Boundaries!$A$2:$A$30,0),0),1)-1,""))</f>
        <v/>
      </c>
      <c r="AR83" s="42" t="str">
        <f aca="false">IF(OR(AQ83="",$E83=""),"",AQ83-$E83)</f>
        <v/>
      </c>
      <c r="AS83" s="39"/>
      <c r="AT83" s="40" t="str">
        <f aca="false">IF(OR(AS83="",CB83=""),"",AS83/CB83*100)</f>
        <v/>
      </c>
      <c r="AU83" s="41" t="str">
        <f aca="false">IF(AT83="","",IFERROR(MATCH(AT83,INDEX(Boundaries!$B$2:$I$30,MATCH(CP83,Boundaries!$A$2:$A$30,0),0),1)-1,""))</f>
        <v/>
      </c>
      <c r="AV83" s="42" t="str">
        <f aca="false">IF(OR(AU83="",$E83=""),"",AU83-$E83)</f>
        <v/>
      </c>
      <c r="AW83" s="39"/>
      <c r="AX83" s="40" t="str">
        <f aca="false">IF(OR(AW83="",CC83=""),"",AW83/CC83*100)</f>
        <v/>
      </c>
      <c r="AY83" s="41" t="str">
        <f aca="false">IF(AX83="","",IFERROR(MATCH(AX83,INDEX(Boundaries!$B$2:$I$30,MATCH(CQ83,Boundaries!$A$2:$A$30,0),0),1)-1,""))</f>
        <v/>
      </c>
      <c r="AZ83" s="42" t="str">
        <f aca="false">IF(OR(AY83="",$E83=""),"",AY83-$E83)</f>
        <v/>
      </c>
      <c r="BA83" s="39"/>
      <c r="BB83" s="40" t="str">
        <f aca="false">IF(OR(BA83="",CD83=""),"",BA83/CD83*100)</f>
        <v/>
      </c>
      <c r="BC83" s="41" t="str">
        <f aca="false">IF(BB83="","",IFERROR(MATCH(BB83,INDEX(Boundaries!$B$2:$I$30,MATCH(CR83,Boundaries!$A$2:$A$30,0),0),1)-1,""))</f>
        <v/>
      </c>
      <c r="BD83" s="42" t="str">
        <f aca="false">IF(OR(BC83="",$E83=""),"",BC83-$E83)</f>
        <v/>
      </c>
      <c r="BE83" s="39"/>
      <c r="BF83" s="40" t="str">
        <f aca="false">IF(OR(BE83="",CE83=""),"",BE83/CE83*100)</f>
        <v/>
      </c>
      <c r="BG83" s="41" t="str">
        <f aca="false">IF(BF83="","",IFERROR(MATCH(BF83,INDEX(Boundaries!$B$2:$I$30,MATCH(CS83,Boundaries!$A$2:$A$30,0),0),1)-1,""))</f>
        <v/>
      </c>
      <c r="BH83" s="42" t="str">
        <f aca="false">IF(OR(BG83="",$E83=""),"",BG83-$E83)</f>
        <v/>
      </c>
      <c r="BI83" s="39"/>
      <c r="BJ83" s="40" t="str">
        <f aca="false">IF(OR(BI83="",CF83=""),"",BI83/CF83*100)</f>
        <v/>
      </c>
      <c r="BK83" s="41" t="str">
        <f aca="false">IF(BJ83="","",IFERROR(MATCH(BJ83,INDEX(Boundaries!$B$2:$I$30,MATCH(CT83,Boundaries!$A$2:$A$30,0),0),1)-1,""))</f>
        <v/>
      </c>
      <c r="BL83" s="42" t="str">
        <f aca="false">IF(OR(BK83="",$E83=""),"",BK83-$E83)</f>
        <v/>
      </c>
      <c r="BM83" s="39"/>
      <c r="BN83" s="40" t="str">
        <f aca="false">IF(OR(BM83="",CG83=""),"",BM83/CG83*100)</f>
        <v/>
      </c>
      <c r="BO83" s="41" t="str">
        <f aca="false">IF(BN83="","",IFERROR(MATCH(BN83,INDEX(Boundaries!$B$2:$I$30,MATCH(CU83,Boundaries!$A$2:$A$30,0),0),1)-1,""))</f>
        <v/>
      </c>
      <c r="BP83" s="42" t="str">
        <f aca="false">IF(OR(BO83="",$E83=""),"",BO83-$E83)</f>
        <v/>
      </c>
      <c r="BQ83" s="39"/>
      <c r="BR83" s="40" t="str">
        <f aca="false">IF(OR(BQ83="",CH83=""),"",BQ83/CH83*100)</f>
        <v/>
      </c>
      <c r="BS83" s="41" t="str">
        <f aca="false">IF(BR83="","",IFERROR(MATCH(BR83,INDEX(Boundaries!$B$2:$I$30,MATCH(CV83,Boundaries!$A$2:$A$30,0),0),1)-1,""))</f>
        <v/>
      </c>
      <c r="BT83" s="42" t="str">
        <f aca="false">IF(OR(BS83="",$E83=""),"",BS83-$E83)</f>
        <v/>
      </c>
      <c r="BU83" s="28" t="n">
        <f aca="false">IFERROR(INDEX(Assessments!$H$2:$H$600,MATCH($H83&amp;"|"&amp;$I83&amp;"|"&amp;$J83&amp;"|"&amp;1,Assessments!$A$2:$A$600,0)),"")</f>
        <v>30</v>
      </c>
      <c r="BV83" s="28" t="n">
        <f aca="false">IFERROR(INDEX(Assessments!$H$2:$H$600,MATCH($H83&amp;"|"&amp;$I83&amp;"|"&amp;$J83&amp;"|"&amp;2,Assessments!$A$2:$A$600,0)),"")</f>
        <v>24</v>
      </c>
      <c r="BW83" s="28" t="n">
        <f aca="false">IFERROR(INDEX(Assessments!$H$2:$H$600,MATCH($H83&amp;"|"&amp;$I83&amp;"|"&amp;$J83&amp;"|"&amp;3,Assessments!$A$2:$A$600,0)),"")</f>
        <v>25</v>
      </c>
      <c r="BX83" s="28" t="n">
        <f aca="false">IFERROR(INDEX(Assessments!$H$2:$H$600,MATCH($H83&amp;"|"&amp;$I83&amp;"|"&amp;$J83&amp;"|"&amp;4,Assessments!$A$2:$A$600,0)),"")</f>
        <v>35</v>
      </c>
      <c r="BY83" s="28" t="n">
        <f aca="false">IFERROR(INDEX(Assessments!$H$2:$H$600,MATCH($H83&amp;"|"&amp;$I83&amp;"|"&amp;$J83&amp;"|"&amp;5,Assessments!$A$2:$A$600,0)),"")</f>
        <v>55</v>
      </c>
      <c r="BZ83" s="28" t="n">
        <f aca="false">IFERROR(INDEX(Assessments!$H$2:$H$600,MATCH($H83&amp;"|"&amp;$I83&amp;"|"&amp;$J83&amp;"|"&amp;6,Assessments!$A$2:$A$600,0)),"")</f>
        <v>30</v>
      </c>
      <c r="CA83" s="28" t="n">
        <f aca="false">IFERROR(INDEX(Assessments!$H$2:$H$600,MATCH($H83&amp;"|"&amp;$I83&amp;"|"&amp;$J83&amp;"|"&amp;7,Assessments!$A$2:$A$600,0)),"")</f>
        <v>95</v>
      </c>
      <c r="CB83" s="28" t="str">
        <f aca="false">IFERROR(INDEX(Assessments!$H$2:$H$600,MATCH($H83&amp;"|"&amp;$I83&amp;"|"&amp;$J83&amp;"|"&amp;8,Assessments!$A$2:$A$600,0)),"")</f>
        <v/>
      </c>
      <c r="CC83" s="28" t="str">
        <f aca="false">IFERROR(INDEX(Assessments!$H$2:$H$600,MATCH($H83&amp;"|"&amp;$I83&amp;"|"&amp;$J83&amp;"|"&amp;9,Assessments!$A$2:$A$600,0)),"")</f>
        <v/>
      </c>
      <c r="CD83" s="28" t="str">
        <f aca="false">IFERROR(INDEX(Assessments!$H$2:$H$600,MATCH($H83&amp;"|"&amp;$I83&amp;"|"&amp;$J83&amp;"|"&amp;10,Assessments!$A$2:$A$600,0)),"")</f>
        <v/>
      </c>
      <c r="CE83" s="28" t="str">
        <f aca="false">IFERROR(INDEX(Assessments!$H$2:$H$600,MATCH($H83&amp;"|"&amp;$I83&amp;"|"&amp;$J83&amp;"|"&amp;11,Assessments!$A$2:$A$600,0)),"")</f>
        <v/>
      </c>
      <c r="CF83" s="28" t="str">
        <f aca="false">IFERROR(INDEX(Assessments!$H$2:$H$600,MATCH($H83&amp;"|"&amp;$I83&amp;"|"&amp;$J83&amp;"|"&amp;12,Assessments!$A$2:$A$600,0)),"")</f>
        <v/>
      </c>
      <c r="CG83" s="28" t="str">
        <f aca="false">IFERROR(INDEX(Assessments!$H$2:$H$600,MATCH($H83&amp;"|"&amp;$I83&amp;"|"&amp;$J83&amp;"|"&amp;13,Assessments!$A$2:$A$600,0)),"")</f>
        <v/>
      </c>
      <c r="CH83" s="28" t="str">
        <f aca="false">IFERROR(INDEX(Assessments!$H$2:$H$600,MATCH($H83&amp;"|"&amp;$I83&amp;"|"&amp;$J83&amp;"|"&amp;14,Assessments!$A$2:$A$600,0)),"")</f>
        <v/>
      </c>
      <c r="CI83" s="28" t="str">
        <f aca="false">IFERROR(INDEX(Assessments!$I$2:$I$600,MATCH($H83&amp;"|"&amp;$I83&amp;"|"&amp;$J83&amp;"|"&amp;1,Assessments!$A$2:$A$600,0)),"")</f>
        <v>Econ Test</v>
      </c>
      <c r="CJ83" s="28" t="str">
        <f aca="false">IFERROR(INDEX(Assessments!$I$2:$I$600,MATCH($H83&amp;"|"&amp;$I83&amp;"|"&amp;$J83&amp;"|"&amp;2,Assessments!$A$2:$A$600,0)),"")</f>
        <v>Econ Test</v>
      </c>
      <c r="CK83" s="28" t="str">
        <f aca="false">IFERROR(INDEX(Assessments!$I$2:$I$600,MATCH($H83&amp;"|"&amp;$I83&amp;"|"&amp;$J83&amp;"|"&amp;3,Assessments!$A$2:$A$600,0)),"")</f>
        <v>Econ Test</v>
      </c>
      <c r="CL83" s="28" t="str">
        <f aca="false">IFERROR(INDEX(Assessments!$I$2:$I$600,MATCH($H83&amp;"|"&amp;$I83&amp;"|"&amp;$J83&amp;"|"&amp;4,Assessments!$A$2:$A$600,0)),"")</f>
        <v>Econ Test</v>
      </c>
      <c r="CM83" s="28" t="str">
        <f aca="false">IFERROR(INDEX(Assessments!$I$2:$I$600,MATCH($H83&amp;"|"&amp;$I83&amp;"|"&amp;$J83&amp;"|"&amp;5,Assessments!$A$2:$A$600,0)),"")</f>
        <v>Econ Exam</v>
      </c>
      <c r="CN83" s="28" t="str">
        <f aca="false">IFERROR(INDEX(Assessments!$I$2:$I$600,MATCH($H83&amp;"|"&amp;$I83&amp;"|"&amp;$J83&amp;"|"&amp;6,Assessments!$A$2:$A$600,0)),"")</f>
        <v>Econ Test</v>
      </c>
      <c r="CO83" s="28" t="str">
        <f aca="false">IFERROR(INDEX(Assessments!$I$2:$I$600,MATCH($H83&amp;"|"&amp;$I83&amp;"|"&amp;$J83&amp;"|"&amp;7,Assessments!$A$2:$A$600,0)),"")</f>
        <v>Econ Exam</v>
      </c>
      <c r="CP83" s="28" t="str">
        <f aca="false">IFERROR(INDEX(Assessments!$I$2:$I$600,MATCH($H83&amp;"|"&amp;$I83&amp;"|"&amp;$J83&amp;"|"&amp;8,Assessments!$A$2:$A$600,0)),"")</f>
        <v/>
      </c>
      <c r="CQ83" s="28" t="str">
        <f aca="false">IFERROR(INDEX(Assessments!$I$2:$I$600,MATCH($H83&amp;"|"&amp;$I83&amp;"|"&amp;$J83&amp;"|"&amp;9,Assessments!$A$2:$A$600,0)),"")</f>
        <v/>
      </c>
      <c r="CR83" s="28" t="str">
        <f aca="false">IFERROR(INDEX(Assessments!$I$2:$I$600,MATCH($H83&amp;"|"&amp;$I83&amp;"|"&amp;$J83&amp;"|"&amp;10,Assessments!$A$2:$A$600,0)),"")</f>
        <v/>
      </c>
      <c r="CS83" s="28" t="str">
        <f aca="false">IFERROR(INDEX(Assessments!$I$2:$I$600,MATCH($H83&amp;"|"&amp;$I83&amp;"|"&amp;$J83&amp;"|"&amp;11,Assessments!$A$2:$A$600,0)),"")</f>
        <v/>
      </c>
      <c r="CT83" s="28" t="str">
        <f aca="false">IFERROR(INDEX(Assessments!$I$2:$I$600,MATCH($H83&amp;"|"&amp;$I83&amp;"|"&amp;$J83&amp;"|"&amp;12,Assessments!$A$2:$A$600,0)),"")</f>
        <v/>
      </c>
      <c r="CU83" s="28" t="str">
        <f aca="false">IFERROR(INDEX(Assessments!$I$2:$I$600,MATCH($H83&amp;"|"&amp;$I83&amp;"|"&amp;$J83&amp;"|"&amp;13,Assessments!$A$2:$A$600,0)),"")</f>
        <v/>
      </c>
      <c r="CV83" s="28" t="str">
        <f aca="false">IFERROR(INDEX(Assessments!$I$2:$I$600,MATCH($H83&amp;"|"&amp;$I83&amp;"|"&amp;$J83&amp;"|"&amp;14,Assessments!$A$2:$A$600,0)),"")</f>
        <v/>
      </c>
      <c r="CW83" s="28" t="n">
        <f aca="false">IFERROR(INDEX(Assessments!$J$2:$J$600,MATCH($H83&amp;"|"&amp;$I83&amp;"|"&amp;$J83&amp;"|"&amp;1,Assessments!$A$2:$A$600,0)),0)</f>
        <v>1</v>
      </c>
      <c r="CX83" s="28" t="n">
        <f aca="false">IFERROR(INDEX(Assessments!$J$2:$J$600,MATCH($H83&amp;"|"&amp;$I83&amp;"|"&amp;$J83&amp;"|"&amp;2,Assessments!$A$2:$A$600,0)),0)</f>
        <v>1</v>
      </c>
      <c r="CY83" s="28" t="n">
        <f aca="false">IFERROR(INDEX(Assessments!$J$2:$J$600,MATCH($H83&amp;"|"&amp;$I83&amp;"|"&amp;$J83&amp;"|"&amp;3,Assessments!$A$2:$A$600,0)),0)</f>
        <v>1</v>
      </c>
      <c r="CZ83" s="28" t="n">
        <f aca="false">IFERROR(INDEX(Assessments!$J$2:$J$600,MATCH($H83&amp;"|"&amp;$I83&amp;"|"&amp;$J83&amp;"|"&amp;4,Assessments!$A$2:$A$600,0)),0)</f>
        <v>1</v>
      </c>
      <c r="DA83" s="28" t="n">
        <f aca="false">IFERROR(INDEX(Assessments!$J$2:$J$600,MATCH($H83&amp;"|"&amp;$I83&amp;"|"&amp;$J83&amp;"|"&amp;5,Assessments!$A$2:$A$600,0)),0)</f>
        <v>2</v>
      </c>
      <c r="DB83" s="28" t="n">
        <f aca="false">IFERROR(INDEX(Assessments!$J$2:$J$600,MATCH($H83&amp;"|"&amp;$I83&amp;"|"&amp;$J83&amp;"|"&amp;6,Assessments!$A$2:$A$600,0)),0)</f>
        <v>1</v>
      </c>
      <c r="DC83" s="28" t="n">
        <f aca="false">IFERROR(INDEX(Assessments!$J$2:$J$600,MATCH($H83&amp;"|"&amp;$I83&amp;"|"&amp;$J83&amp;"|"&amp;7,Assessments!$A$2:$A$600,0)),0)</f>
        <v>2</v>
      </c>
      <c r="DD83" s="28" t="n">
        <f aca="false">IFERROR(INDEX(Assessments!$J$2:$J$600,MATCH($H83&amp;"|"&amp;$I83&amp;"|"&amp;$J83&amp;"|"&amp;8,Assessments!$A$2:$A$600,0)),0)</f>
        <v>0</v>
      </c>
      <c r="DE83" s="28" t="n">
        <f aca="false">IFERROR(INDEX(Assessments!$J$2:$J$600,MATCH($H83&amp;"|"&amp;$I83&amp;"|"&amp;$J83&amp;"|"&amp;9,Assessments!$A$2:$A$600,0)),0)</f>
        <v>0</v>
      </c>
      <c r="DF83" s="28" t="n">
        <f aca="false">IFERROR(INDEX(Assessments!$J$2:$J$600,MATCH($H83&amp;"|"&amp;$I83&amp;"|"&amp;$J83&amp;"|"&amp;10,Assessments!$A$2:$A$600,0)),0)</f>
        <v>0</v>
      </c>
      <c r="DG83" s="28" t="n">
        <f aca="false">IFERROR(INDEX(Assessments!$J$2:$J$600,MATCH($H83&amp;"|"&amp;$I83&amp;"|"&amp;$J83&amp;"|"&amp;11,Assessments!$A$2:$A$600,0)),0)</f>
        <v>0</v>
      </c>
      <c r="DH83" s="28" t="n">
        <f aca="false">IFERROR(INDEX(Assessments!$J$2:$J$600,MATCH($H83&amp;"|"&amp;$I83&amp;"|"&amp;$J83&amp;"|"&amp;12,Assessments!$A$2:$A$600,0)),0)</f>
        <v>0</v>
      </c>
      <c r="DI83" s="28" t="n">
        <f aca="false">IFERROR(INDEX(Assessments!$J$2:$J$600,MATCH($H83&amp;"|"&amp;$I83&amp;"|"&amp;$J83&amp;"|"&amp;13,Assessments!$A$2:$A$600,0)),0)</f>
        <v>0</v>
      </c>
      <c r="DJ83" s="28" t="n">
        <f aca="false">IFERROR(INDEX(Assessments!$J$2:$J$600,MATCH($H83&amp;"|"&amp;$I83&amp;"|"&amp;$J83&amp;"|"&amp;14,Assessments!$A$2:$A$600,0)),0)</f>
        <v>0</v>
      </c>
      <c r="DK83" s="28" t="n">
        <f aca="false">S83</f>
        <v>4</v>
      </c>
      <c r="DL83" s="28" t="n">
        <f aca="false">W83</f>
        <v>5</v>
      </c>
      <c r="DM83" s="28" t="n">
        <f aca="false">AA83</f>
        <v>7</v>
      </c>
      <c r="DN83" s="28" t="n">
        <f aca="false">AE83</f>
        <v>5</v>
      </c>
      <c r="DO83" s="28" t="n">
        <f aca="false">AI83</f>
        <v>7</v>
      </c>
      <c r="DP83" s="28" t="str">
        <f aca="false">AM83</f>
        <v/>
      </c>
      <c r="DQ83" s="28" t="str">
        <f aca="false">AQ83</f>
        <v/>
      </c>
      <c r="DR83" s="28" t="str">
        <f aca="false">AU83</f>
        <v/>
      </c>
      <c r="DS83" s="28" t="str">
        <f aca="false">AY83</f>
        <v/>
      </c>
      <c r="DT83" s="28" t="str">
        <f aca="false">BC83</f>
        <v/>
      </c>
      <c r="DU83" s="28" t="str">
        <f aca="false">BG83</f>
        <v/>
      </c>
      <c r="DV83" s="28" t="str">
        <f aca="false">BK83</f>
        <v/>
      </c>
      <c r="DW83" s="28" t="str">
        <f aca="false">BO83</f>
        <v/>
      </c>
      <c r="DX83" s="28" t="str">
        <f aca="false">BS83</f>
        <v/>
      </c>
      <c r="DY83" s="28" t="n">
        <f aca="false">IF(ISNUMBER(S83),1,"")</f>
        <v>1</v>
      </c>
      <c r="DZ83" s="28" t="n">
        <f aca="false">IF(ISNUMBER(W83),2,"")</f>
        <v>2</v>
      </c>
      <c r="EA83" s="28" t="n">
        <f aca="false">IF(ISNUMBER(AA83),3,"")</f>
        <v>3</v>
      </c>
      <c r="EB83" s="28" t="n">
        <f aca="false">IF(ISNUMBER(AE83),4,"")</f>
        <v>4</v>
      </c>
      <c r="EC83" s="28" t="n">
        <f aca="false">IF(ISNUMBER(AI83),5,"")</f>
        <v>5</v>
      </c>
      <c r="ED83" s="28" t="str">
        <f aca="false">IF(ISNUMBER(AM83),6,"")</f>
        <v/>
      </c>
      <c r="EE83" s="28" t="str">
        <f aca="false">IF(ISNUMBER(AQ83),7,"")</f>
        <v/>
      </c>
      <c r="EF83" s="28" t="str">
        <f aca="false">IF(ISNUMBER(AU83),8,"")</f>
        <v/>
      </c>
      <c r="EG83" s="28" t="str">
        <f aca="false">IF(ISNUMBER(AY83),9,"")</f>
        <v/>
      </c>
      <c r="EH83" s="28" t="str">
        <f aca="false">IF(ISNUMBER(BC83),10,"")</f>
        <v/>
      </c>
      <c r="EI83" s="28" t="str">
        <f aca="false">IF(ISNUMBER(BG83),11,"")</f>
        <v/>
      </c>
      <c r="EJ83" s="28" t="str">
        <f aca="false">IF(ISNUMBER(BK83),12,"")</f>
        <v/>
      </c>
      <c r="EK83" s="28" t="str">
        <f aca="false">IF(ISNUMBER(BO83),13,"")</f>
        <v/>
      </c>
      <c r="EL83" s="28" t="str">
        <f aca="false">IF(ISNUMBER(BS83),14,"")</f>
        <v/>
      </c>
      <c r="EM83" s="28" t="n">
        <f aca="false">IF(ISNUMBER(R83),R83*CW83,0)</f>
        <v>60</v>
      </c>
      <c r="EN83" s="28" t="n">
        <f aca="false">IF(ISNUMBER(V83),V83*CX83,0)</f>
        <v>70.8333333333333</v>
      </c>
      <c r="EO83" s="28" t="n">
        <f aca="false">IF(ISNUMBER(Z83),Z83*CY83,0)</f>
        <v>92</v>
      </c>
      <c r="EP83" s="28" t="n">
        <f aca="false">IF(ISNUMBER(AD83),AD83*CZ83,0)</f>
        <v>68.5714285714286</v>
      </c>
      <c r="EQ83" s="28" t="n">
        <f aca="false">IF(ISNUMBER(AH83),AH83*DA83,0)</f>
        <v>163.636363636364</v>
      </c>
      <c r="ER83" s="28" t="n">
        <f aca="false">IF(ISNUMBER(AL83),AL83*DB83,0)</f>
        <v>0</v>
      </c>
      <c r="ES83" s="28" t="n">
        <f aca="false">IF(ISNUMBER(AP83),AP83*DC83,0)</f>
        <v>0</v>
      </c>
      <c r="ET83" s="28" t="n">
        <f aca="false">IF(ISNUMBER(AT83),AT83*DD83,0)</f>
        <v>0</v>
      </c>
      <c r="EU83" s="28" t="n">
        <f aca="false">IF(ISNUMBER(AX83),AX83*DE83,0)</f>
        <v>0</v>
      </c>
      <c r="EV83" s="28" t="n">
        <f aca="false">IF(ISNUMBER(BB83),BB83*DF83,0)</f>
        <v>0</v>
      </c>
      <c r="EW83" s="28" t="n">
        <f aca="false">IF(ISNUMBER(BF83),BF83*DG83,0)</f>
        <v>0</v>
      </c>
      <c r="EX83" s="28" t="n">
        <f aca="false">IF(ISNUMBER(BJ83),BJ83*DH83,0)</f>
        <v>0</v>
      </c>
      <c r="EY83" s="28" t="n">
        <f aca="false">IF(ISNUMBER(BN83),BN83*DI83,0)</f>
        <v>0</v>
      </c>
      <c r="EZ83" s="28" t="n">
        <f aca="false">IF(ISNUMBER(BR83),BR83*DJ83,0)</f>
        <v>0</v>
      </c>
      <c r="FA83" s="28" t="n">
        <f aca="false">IF(ISNUMBER(R83),CW83,0)</f>
        <v>1</v>
      </c>
      <c r="FB83" s="28" t="n">
        <f aca="false">IF(ISNUMBER(V83),CX83,0)</f>
        <v>1</v>
      </c>
      <c r="FC83" s="28" t="n">
        <f aca="false">IF(ISNUMBER(Z83),CY83,0)</f>
        <v>1</v>
      </c>
      <c r="FD83" s="28" t="n">
        <f aca="false">IF(ISNUMBER(AD83),CZ83,0)</f>
        <v>1</v>
      </c>
      <c r="FE83" s="28" t="n">
        <f aca="false">IF(ISNUMBER(AH83),DA83,0)</f>
        <v>2</v>
      </c>
      <c r="FF83" s="28" t="n">
        <f aca="false">IF(ISNUMBER(AL83),DB83,0)</f>
        <v>0</v>
      </c>
      <c r="FG83" s="28" t="n">
        <f aca="false">IF(ISNUMBER(AP83),DC83,0)</f>
        <v>0</v>
      </c>
      <c r="FH83" s="28" t="n">
        <f aca="false">IF(ISNUMBER(AT83),DD83,0)</f>
        <v>0</v>
      </c>
      <c r="FI83" s="28" t="n">
        <f aca="false">IF(ISNUMBER(AX83),DE83,0)</f>
        <v>0</v>
      </c>
      <c r="FJ83" s="28" t="n">
        <f aca="false">IF(ISNUMBER(BB83),DF83,0)</f>
        <v>0</v>
      </c>
      <c r="FK83" s="28" t="n">
        <f aca="false">IF(ISNUMBER(BF83),DG83,0)</f>
        <v>0</v>
      </c>
      <c r="FL83" s="28" t="n">
        <f aca="false">IF(ISNUMBER(BJ83),DH83,0)</f>
        <v>0</v>
      </c>
      <c r="FM83" s="28" t="n">
        <f aca="false">IF(ISNUMBER(BN83),DI83,0)</f>
        <v>0</v>
      </c>
      <c r="FN83" s="28" t="n">
        <f aca="false">IF(ISNUMBER(BR83),DJ83,0)</f>
        <v>0</v>
      </c>
      <c r="FO83" s="28" t="str">
        <f aca="false">IFERROR(INDEX(Lists!$G$2:$G$20,MATCH($I83&amp;"|"&amp;$J83,Lists!$F$2:$F$20,0)),"")</f>
        <v>Econ Exam</v>
      </c>
    </row>
    <row r="84" customFormat="false" ht="19.5" hidden="false" customHeight="true" outlineLevel="0" collapsed="false">
      <c r="A84" s="29" t="s">
        <v>180</v>
      </c>
      <c r="B84" s="29" t="s">
        <v>181</v>
      </c>
      <c r="C84" s="30" t="s">
        <v>192</v>
      </c>
      <c r="D84" s="30" t="s">
        <v>291</v>
      </c>
      <c r="E84" s="31" t="n">
        <v>5.4</v>
      </c>
      <c r="F84" s="30" t="n">
        <v>6</v>
      </c>
      <c r="G84" s="30"/>
      <c r="H84" s="32" t="s">
        <v>23</v>
      </c>
      <c r="I84" s="33" t="s">
        <v>229</v>
      </c>
      <c r="J84" s="32" t="s">
        <v>25</v>
      </c>
      <c r="K84" s="34" t="n">
        <f aca="false">IF(OR(M84="",$E84=""),"",M84-$E84)</f>
        <v>-2.4</v>
      </c>
      <c r="L84" s="35" t="n">
        <f aca="false">IF(SUM(FA84:FN84)=0,"",SUM(EM84:EZ84)/SUM(FA84:FN84))</f>
        <v>48.4238816738817</v>
      </c>
      <c r="M84" s="36" t="n">
        <f aca="false">IF(OR(L84="",FO84=""),"",IFERROR(MATCH(L84,INDEX(Boundaries!$B$2:$I$30,MATCH(FO84,Boundaries!$A$2:$A$30,0),0),1)-1,""))</f>
        <v>3</v>
      </c>
      <c r="N84" s="37" t="n">
        <f aca="false">IF(COUNT($DY84:$EL84)&lt;2,"",INDEX($DK84:$DX84,MAX($DY84:$EL84))-INDEX($DK84:$DX84,MIN($DY84:$EL84)))</f>
        <v>0</v>
      </c>
      <c r="O84" s="37" t="n">
        <f aca="false">IF(COUNT($DY84:$EL84)&lt;2,"",INDEX($DK84:$DX84,MAX($DY84:$EL84))-INDEX($DK84:$DX84,LARGE($DY84:$EL84,2)))</f>
        <v>0</v>
      </c>
      <c r="P84" s="38" t="str">
        <f aca="false">IF(K84="","",IF(K84&gt;=0,"On/above target",IF(AND(N84&lt;&gt;"",N84&gt;=0.5),"Improving towards target",IF(AND(O84&lt;&gt;"",O84&lt;=-0.5),"Declining","Stable below target"))))</f>
        <v>Stable below target</v>
      </c>
      <c r="Q84" s="39" t="n">
        <v>15</v>
      </c>
      <c r="R84" s="40" t="n">
        <f aca="false">IF(OR(Q84="",BU84=""),"",Q84/BU84*100)</f>
        <v>50</v>
      </c>
      <c r="S84" s="41" t="n">
        <f aca="false">IF(R84="","",IFERROR(MATCH(R84,INDEX(Boundaries!$B$2:$I$30,MATCH(CI84,Boundaries!$A$2:$A$30,0),0),1)-1,""))</f>
        <v>4</v>
      </c>
      <c r="T84" s="42" t="n">
        <f aca="false">IF(OR(S84="",$E84=""),"",S84-$E84)</f>
        <v>-1.4</v>
      </c>
      <c r="U84" s="39" t="n">
        <v>7</v>
      </c>
      <c r="V84" s="40" t="n">
        <f aca="false">IF(OR(U84="",BV84=""),"",U84/BV84*100)</f>
        <v>29.1666666666667</v>
      </c>
      <c r="W84" s="41" t="n">
        <f aca="false">IF(V84="","",IFERROR(MATCH(V84,INDEX(Boundaries!$B$2:$I$30,MATCH(CJ84,Boundaries!$A$2:$A$30,0),0),1)-1,""))</f>
        <v>1</v>
      </c>
      <c r="X84" s="42" t="n">
        <f aca="false">IF(OR(W84="",$E84=""),"",W84-$E84)</f>
        <v>-4.4</v>
      </c>
      <c r="Y84" s="39" t="n">
        <v>12</v>
      </c>
      <c r="Z84" s="40" t="n">
        <f aca="false">IF(OR(Y84="",BW84=""),"",Y84/BW84*100)</f>
        <v>48</v>
      </c>
      <c r="AA84" s="41" t="n">
        <f aca="false">IF(Z84="","",IFERROR(MATCH(Z84,INDEX(Boundaries!$B$2:$I$30,MATCH(CK84,Boundaries!$A$2:$A$30,0),0),1)-1,""))</f>
        <v>3</v>
      </c>
      <c r="AB84" s="42" t="n">
        <f aca="false">IF(OR(AA84="",$E84=""),"",AA84-$E84)</f>
        <v>-2.4</v>
      </c>
      <c r="AC84" s="39" t="n">
        <v>19</v>
      </c>
      <c r="AD84" s="40" t="n">
        <f aca="false">IF(OR(AC84="",BX84=""),"",AC84/BX84*100)</f>
        <v>54.2857142857143</v>
      </c>
      <c r="AE84" s="41" t="n">
        <f aca="false">IF(AD84="","",IFERROR(MATCH(AD84,INDEX(Boundaries!$B$2:$I$30,MATCH(CL84,Boundaries!$A$2:$A$30,0),0),1)-1,""))</f>
        <v>4</v>
      </c>
      <c r="AF84" s="42" t="n">
        <f aca="false">IF(OR(AE84="",$E84=""),"",AE84-$E84)</f>
        <v>-1.4</v>
      </c>
      <c r="AG84" s="39" t="n">
        <v>30</v>
      </c>
      <c r="AH84" s="40" t="n">
        <f aca="false">IF(OR(AG84="",BY84=""),"",AG84/BY84*100)</f>
        <v>54.5454545454545</v>
      </c>
      <c r="AI84" s="41" t="n">
        <f aca="false">IF(AH84="","",IFERROR(MATCH(AH84,INDEX(Boundaries!$B$2:$I$30,MATCH(CM84,Boundaries!$A$2:$A$30,0),0),1)-1,""))</f>
        <v>4</v>
      </c>
      <c r="AJ84" s="42" t="n">
        <f aca="false">IF(OR(AI84="",$E84=""),"",AI84-$E84)</f>
        <v>-1.4</v>
      </c>
      <c r="AK84" s="39"/>
      <c r="AL84" s="40" t="str">
        <f aca="false">IF(OR(AK84="",BZ84=""),"",AK84/BZ84*100)</f>
        <v/>
      </c>
      <c r="AM84" s="41" t="str">
        <f aca="false">IF(AL84="","",IFERROR(MATCH(AL84,INDEX(Boundaries!$B$2:$I$30,MATCH(CN84,Boundaries!$A$2:$A$30,0),0),1)-1,""))</f>
        <v/>
      </c>
      <c r="AN84" s="42" t="str">
        <f aca="false">IF(OR(AM84="",$E84=""),"",AM84-$E84)</f>
        <v/>
      </c>
      <c r="AO84" s="39"/>
      <c r="AP84" s="40" t="str">
        <f aca="false">IF(OR(AO84="",CA84=""),"",AO84/CA84*100)</f>
        <v/>
      </c>
      <c r="AQ84" s="41" t="str">
        <f aca="false">IF(AP84="","",IFERROR(MATCH(AP84,INDEX(Boundaries!$B$2:$I$30,MATCH(CO84,Boundaries!$A$2:$A$30,0),0),1)-1,""))</f>
        <v/>
      </c>
      <c r="AR84" s="42" t="str">
        <f aca="false">IF(OR(AQ84="",$E84=""),"",AQ84-$E84)</f>
        <v/>
      </c>
      <c r="AS84" s="39"/>
      <c r="AT84" s="40" t="str">
        <f aca="false">IF(OR(AS84="",CB84=""),"",AS84/CB84*100)</f>
        <v/>
      </c>
      <c r="AU84" s="41" t="str">
        <f aca="false">IF(AT84="","",IFERROR(MATCH(AT84,INDEX(Boundaries!$B$2:$I$30,MATCH(CP84,Boundaries!$A$2:$A$30,0),0),1)-1,""))</f>
        <v/>
      </c>
      <c r="AV84" s="42" t="str">
        <f aca="false">IF(OR(AU84="",$E84=""),"",AU84-$E84)</f>
        <v/>
      </c>
      <c r="AW84" s="39"/>
      <c r="AX84" s="40" t="str">
        <f aca="false">IF(OR(AW84="",CC84=""),"",AW84/CC84*100)</f>
        <v/>
      </c>
      <c r="AY84" s="41" t="str">
        <f aca="false">IF(AX84="","",IFERROR(MATCH(AX84,INDEX(Boundaries!$B$2:$I$30,MATCH(CQ84,Boundaries!$A$2:$A$30,0),0),1)-1,""))</f>
        <v/>
      </c>
      <c r="AZ84" s="42" t="str">
        <f aca="false">IF(OR(AY84="",$E84=""),"",AY84-$E84)</f>
        <v/>
      </c>
      <c r="BA84" s="39"/>
      <c r="BB84" s="40" t="str">
        <f aca="false">IF(OR(BA84="",CD84=""),"",BA84/CD84*100)</f>
        <v/>
      </c>
      <c r="BC84" s="41" t="str">
        <f aca="false">IF(BB84="","",IFERROR(MATCH(BB84,INDEX(Boundaries!$B$2:$I$30,MATCH(CR84,Boundaries!$A$2:$A$30,0),0),1)-1,""))</f>
        <v/>
      </c>
      <c r="BD84" s="42" t="str">
        <f aca="false">IF(OR(BC84="",$E84=""),"",BC84-$E84)</f>
        <v/>
      </c>
      <c r="BE84" s="39"/>
      <c r="BF84" s="40" t="str">
        <f aca="false">IF(OR(BE84="",CE84=""),"",BE84/CE84*100)</f>
        <v/>
      </c>
      <c r="BG84" s="41" t="str">
        <f aca="false">IF(BF84="","",IFERROR(MATCH(BF84,INDEX(Boundaries!$B$2:$I$30,MATCH(CS84,Boundaries!$A$2:$A$30,0),0),1)-1,""))</f>
        <v/>
      </c>
      <c r="BH84" s="42" t="str">
        <f aca="false">IF(OR(BG84="",$E84=""),"",BG84-$E84)</f>
        <v/>
      </c>
      <c r="BI84" s="39"/>
      <c r="BJ84" s="40" t="str">
        <f aca="false">IF(OR(BI84="",CF84=""),"",BI84/CF84*100)</f>
        <v/>
      </c>
      <c r="BK84" s="41" t="str">
        <f aca="false">IF(BJ84="","",IFERROR(MATCH(BJ84,INDEX(Boundaries!$B$2:$I$30,MATCH(CT84,Boundaries!$A$2:$A$30,0),0),1)-1,""))</f>
        <v/>
      </c>
      <c r="BL84" s="42" t="str">
        <f aca="false">IF(OR(BK84="",$E84=""),"",BK84-$E84)</f>
        <v/>
      </c>
      <c r="BM84" s="39"/>
      <c r="BN84" s="40" t="str">
        <f aca="false">IF(OR(BM84="",CG84=""),"",BM84/CG84*100)</f>
        <v/>
      </c>
      <c r="BO84" s="41" t="str">
        <f aca="false">IF(BN84="","",IFERROR(MATCH(BN84,INDEX(Boundaries!$B$2:$I$30,MATCH(CU84,Boundaries!$A$2:$A$30,0),0),1)-1,""))</f>
        <v/>
      </c>
      <c r="BP84" s="42" t="str">
        <f aca="false">IF(OR(BO84="",$E84=""),"",BO84-$E84)</f>
        <v/>
      </c>
      <c r="BQ84" s="39"/>
      <c r="BR84" s="40" t="str">
        <f aca="false">IF(OR(BQ84="",CH84=""),"",BQ84/CH84*100)</f>
        <v/>
      </c>
      <c r="BS84" s="41" t="str">
        <f aca="false">IF(BR84="","",IFERROR(MATCH(BR84,INDEX(Boundaries!$B$2:$I$30,MATCH(CV84,Boundaries!$A$2:$A$30,0),0),1)-1,""))</f>
        <v/>
      </c>
      <c r="BT84" s="42" t="str">
        <f aca="false">IF(OR(BS84="",$E84=""),"",BS84-$E84)</f>
        <v/>
      </c>
      <c r="BU84" s="28" t="n">
        <f aca="false">IFERROR(INDEX(Assessments!$H$2:$H$600,MATCH($H84&amp;"|"&amp;$I84&amp;"|"&amp;$J84&amp;"|"&amp;1,Assessments!$A$2:$A$600,0)),"")</f>
        <v>30</v>
      </c>
      <c r="BV84" s="28" t="n">
        <f aca="false">IFERROR(INDEX(Assessments!$H$2:$H$600,MATCH($H84&amp;"|"&amp;$I84&amp;"|"&amp;$J84&amp;"|"&amp;2,Assessments!$A$2:$A$600,0)),"")</f>
        <v>24</v>
      </c>
      <c r="BW84" s="28" t="n">
        <f aca="false">IFERROR(INDEX(Assessments!$H$2:$H$600,MATCH($H84&amp;"|"&amp;$I84&amp;"|"&amp;$J84&amp;"|"&amp;3,Assessments!$A$2:$A$600,0)),"")</f>
        <v>25</v>
      </c>
      <c r="BX84" s="28" t="n">
        <f aca="false">IFERROR(INDEX(Assessments!$H$2:$H$600,MATCH($H84&amp;"|"&amp;$I84&amp;"|"&amp;$J84&amp;"|"&amp;4,Assessments!$A$2:$A$600,0)),"")</f>
        <v>35</v>
      </c>
      <c r="BY84" s="28" t="n">
        <f aca="false">IFERROR(INDEX(Assessments!$H$2:$H$600,MATCH($H84&amp;"|"&amp;$I84&amp;"|"&amp;$J84&amp;"|"&amp;5,Assessments!$A$2:$A$600,0)),"")</f>
        <v>55</v>
      </c>
      <c r="BZ84" s="28" t="n">
        <f aca="false">IFERROR(INDEX(Assessments!$H$2:$H$600,MATCH($H84&amp;"|"&amp;$I84&amp;"|"&amp;$J84&amp;"|"&amp;6,Assessments!$A$2:$A$600,0)),"")</f>
        <v>30</v>
      </c>
      <c r="CA84" s="28" t="n">
        <f aca="false">IFERROR(INDEX(Assessments!$H$2:$H$600,MATCH($H84&amp;"|"&amp;$I84&amp;"|"&amp;$J84&amp;"|"&amp;7,Assessments!$A$2:$A$600,0)),"")</f>
        <v>95</v>
      </c>
      <c r="CB84" s="28" t="str">
        <f aca="false">IFERROR(INDEX(Assessments!$H$2:$H$600,MATCH($H84&amp;"|"&amp;$I84&amp;"|"&amp;$J84&amp;"|"&amp;8,Assessments!$A$2:$A$600,0)),"")</f>
        <v/>
      </c>
      <c r="CC84" s="28" t="str">
        <f aca="false">IFERROR(INDEX(Assessments!$H$2:$H$600,MATCH($H84&amp;"|"&amp;$I84&amp;"|"&amp;$J84&amp;"|"&amp;9,Assessments!$A$2:$A$600,0)),"")</f>
        <v/>
      </c>
      <c r="CD84" s="28" t="str">
        <f aca="false">IFERROR(INDEX(Assessments!$H$2:$H$600,MATCH($H84&amp;"|"&amp;$I84&amp;"|"&amp;$J84&amp;"|"&amp;10,Assessments!$A$2:$A$600,0)),"")</f>
        <v/>
      </c>
      <c r="CE84" s="28" t="str">
        <f aca="false">IFERROR(INDEX(Assessments!$H$2:$H$600,MATCH($H84&amp;"|"&amp;$I84&amp;"|"&amp;$J84&amp;"|"&amp;11,Assessments!$A$2:$A$600,0)),"")</f>
        <v/>
      </c>
      <c r="CF84" s="28" t="str">
        <f aca="false">IFERROR(INDEX(Assessments!$H$2:$H$600,MATCH($H84&amp;"|"&amp;$I84&amp;"|"&amp;$J84&amp;"|"&amp;12,Assessments!$A$2:$A$600,0)),"")</f>
        <v/>
      </c>
      <c r="CG84" s="28" t="str">
        <f aca="false">IFERROR(INDEX(Assessments!$H$2:$H$600,MATCH($H84&amp;"|"&amp;$I84&amp;"|"&amp;$J84&amp;"|"&amp;13,Assessments!$A$2:$A$600,0)),"")</f>
        <v/>
      </c>
      <c r="CH84" s="28" t="str">
        <f aca="false">IFERROR(INDEX(Assessments!$H$2:$H$600,MATCH($H84&amp;"|"&amp;$I84&amp;"|"&amp;$J84&amp;"|"&amp;14,Assessments!$A$2:$A$600,0)),"")</f>
        <v/>
      </c>
      <c r="CI84" s="28" t="str">
        <f aca="false">IFERROR(INDEX(Assessments!$I$2:$I$600,MATCH($H84&amp;"|"&amp;$I84&amp;"|"&amp;$J84&amp;"|"&amp;1,Assessments!$A$2:$A$600,0)),"")</f>
        <v>Econ Test</v>
      </c>
      <c r="CJ84" s="28" t="str">
        <f aca="false">IFERROR(INDEX(Assessments!$I$2:$I$600,MATCH($H84&amp;"|"&amp;$I84&amp;"|"&amp;$J84&amp;"|"&amp;2,Assessments!$A$2:$A$600,0)),"")</f>
        <v>Econ Test</v>
      </c>
      <c r="CK84" s="28" t="str">
        <f aca="false">IFERROR(INDEX(Assessments!$I$2:$I$600,MATCH($H84&amp;"|"&amp;$I84&amp;"|"&amp;$J84&amp;"|"&amp;3,Assessments!$A$2:$A$600,0)),"")</f>
        <v>Econ Test</v>
      </c>
      <c r="CL84" s="28" t="str">
        <f aca="false">IFERROR(INDEX(Assessments!$I$2:$I$600,MATCH($H84&amp;"|"&amp;$I84&amp;"|"&amp;$J84&amp;"|"&amp;4,Assessments!$A$2:$A$600,0)),"")</f>
        <v>Econ Test</v>
      </c>
      <c r="CM84" s="28" t="str">
        <f aca="false">IFERROR(INDEX(Assessments!$I$2:$I$600,MATCH($H84&amp;"|"&amp;$I84&amp;"|"&amp;$J84&amp;"|"&amp;5,Assessments!$A$2:$A$600,0)),"")</f>
        <v>Econ Exam</v>
      </c>
      <c r="CN84" s="28" t="str">
        <f aca="false">IFERROR(INDEX(Assessments!$I$2:$I$600,MATCH($H84&amp;"|"&amp;$I84&amp;"|"&amp;$J84&amp;"|"&amp;6,Assessments!$A$2:$A$600,0)),"")</f>
        <v>Econ Test</v>
      </c>
      <c r="CO84" s="28" t="str">
        <f aca="false">IFERROR(INDEX(Assessments!$I$2:$I$600,MATCH($H84&amp;"|"&amp;$I84&amp;"|"&amp;$J84&amp;"|"&amp;7,Assessments!$A$2:$A$600,0)),"")</f>
        <v>Econ Exam</v>
      </c>
      <c r="CP84" s="28" t="str">
        <f aca="false">IFERROR(INDEX(Assessments!$I$2:$I$600,MATCH($H84&amp;"|"&amp;$I84&amp;"|"&amp;$J84&amp;"|"&amp;8,Assessments!$A$2:$A$600,0)),"")</f>
        <v/>
      </c>
      <c r="CQ84" s="28" t="str">
        <f aca="false">IFERROR(INDEX(Assessments!$I$2:$I$600,MATCH($H84&amp;"|"&amp;$I84&amp;"|"&amp;$J84&amp;"|"&amp;9,Assessments!$A$2:$A$600,0)),"")</f>
        <v/>
      </c>
      <c r="CR84" s="28" t="str">
        <f aca="false">IFERROR(INDEX(Assessments!$I$2:$I$600,MATCH($H84&amp;"|"&amp;$I84&amp;"|"&amp;$J84&amp;"|"&amp;10,Assessments!$A$2:$A$600,0)),"")</f>
        <v/>
      </c>
      <c r="CS84" s="28" t="str">
        <f aca="false">IFERROR(INDEX(Assessments!$I$2:$I$600,MATCH($H84&amp;"|"&amp;$I84&amp;"|"&amp;$J84&amp;"|"&amp;11,Assessments!$A$2:$A$600,0)),"")</f>
        <v/>
      </c>
      <c r="CT84" s="28" t="str">
        <f aca="false">IFERROR(INDEX(Assessments!$I$2:$I$600,MATCH($H84&amp;"|"&amp;$I84&amp;"|"&amp;$J84&amp;"|"&amp;12,Assessments!$A$2:$A$600,0)),"")</f>
        <v/>
      </c>
      <c r="CU84" s="28" t="str">
        <f aca="false">IFERROR(INDEX(Assessments!$I$2:$I$600,MATCH($H84&amp;"|"&amp;$I84&amp;"|"&amp;$J84&amp;"|"&amp;13,Assessments!$A$2:$A$600,0)),"")</f>
        <v/>
      </c>
      <c r="CV84" s="28" t="str">
        <f aca="false">IFERROR(INDEX(Assessments!$I$2:$I$600,MATCH($H84&amp;"|"&amp;$I84&amp;"|"&amp;$J84&amp;"|"&amp;14,Assessments!$A$2:$A$600,0)),"")</f>
        <v/>
      </c>
      <c r="CW84" s="28" t="n">
        <f aca="false">IFERROR(INDEX(Assessments!$J$2:$J$600,MATCH($H84&amp;"|"&amp;$I84&amp;"|"&amp;$J84&amp;"|"&amp;1,Assessments!$A$2:$A$600,0)),0)</f>
        <v>1</v>
      </c>
      <c r="CX84" s="28" t="n">
        <f aca="false">IFERROR(INDEX(Assessments!$J$2:$J$600,MATCH($H84&amp;"|"&amp;$I84&amp;"|"&amp;$J84&amp;"|"&amp;2,Assessments!$A$2:$A$600,0)),0)</f>
        <v>1</v>
      </c>
      <c r="CY84" s="28" t="n">
        <f aca="false">IFERROR(INDEX(Assessments!$J$2:$J$600,MATCH($H84&amp;"|"&amp;$I84&amp;"|"&amp;$J84&amp;"|"&amp;3,Assessments!$A$2:$A$600,0)),0)</f>
        <v>1</v>
      </c>
      <c r="CZ84" s="28" t="n">
        <f aca="false">IFERROR(INDEX(Assessments!$J$2:$J$600,MATCH($H84&amp;"|"&amp;$I84&amp;"|"&amp;$J84&amp;"|"&amp;4,Assessments!$A$2:$A$600,0)),0)</f>
        <v>1</v>
      </c>
      <c r="DA84" s="28" t="n">
        <f aca="false">IFERROR(INDEX(Assessments!$J$2:$J$600,MATCH($H84&amp;"|"&amp;$I84&amp;"|"&amp;$J84&amp;"|"&amp;5,Assessments!$A$2:$A$600,0)),0)</f>
        <v>2</v>
      </c>
      <c r="DB84" s="28" t="n">
        <f aca="false">IFERROR(INDEX(Assessments!$J$2:$J$600,MATCH($H84&amp;"|"&amp;$I84&amp;"|"&amp;$J84&amp;"|"&amp;6,Assessments!$A$2:$A$600,0)),0)</f>
        <v>1</v>
      </c>
      <c r="DC84" s="28" t="n">
        <f aca="false">IFERROR(INDEX(Assessments!$J$2:$J$600,MATCH($H84&amp;"|"&amp;$I84&amp;"|"&amp;$J84&amp;"|"&amp;7,Assessments!$A$2:$A$600,0)),0)</f>
        <v>2</v>
      </c>
      <c r="DD84" s="28" t="n">
        <f aca="false">IFERROR(INDEX(Assessments!$J$2:$J$600,MATCH($H84&amp;"|"&amp;$I84&amp;"|"&amp;$J84&amp;"|"&amp;8,Assessments!$A$2:$A$600,0)),0)</f>
        <v>0</v>
      </c>
      <c r="DE84" s="28" t="n">
        <f aca="false">IFERROR(INDEX(Assessments!$J$2:$J$600,MATCH($H84&amp;"|"&amp;$I84&amp;"|"&amp;$J84&amp;"|"&amp;9,Assessments!$A$2:$A$600,0)),0)</f>
        <v>0</v>
      </c>
      <c r="DF84" s="28" t="n">
        <f aca="false">IFERROR(INDEX(Assessments!$J$2:$J$600,MATCH($H84&amp;"|"&amp;$I84&amp;"|"&amp;$J84&amp;"|"&amp;10,Assessments!$A$2:$A$600,0)),0)</f>
        <v>0</v>
      </c>
      <c r="DG84" s="28" t="n">
        <f aca="false">IFERROR(INDEX(Assessments!$J$2:$J$600,MATCH($H84&amp;"|"&amp;$I84&amp;"|"&amp;$J84&amp;"|"&amp;11,Assessments!$A$2:$A$600,0)),0)</f>
        <v>0</v>
      </c>
      <c r="DH84" s="28" t="n">
        <f aca="false">IFERROR(INDEX(Assessments!$J$2:$J$600,MATCH($H84&amp;"|"&amp;$I84&amp;"|"&amp;$J84&amp;"|"&amp;12,Assessments!$A$2:$A$600,0)),0)</f>
        <v>0</v>
      </c>
      <c r="DI84" s="28" t="n">
        <f aca="false">IFERROR(INDEX(Assessments!$J$2:$J$600,MATCH($H84&amp;"|"&amp;$I84&amp;"|"&amp;$J84&amp;"|"&amp;13,Assessments!$A$2:$A$600,0)),0)</f>
        <v>0</v>
      </c>
      <c r="DJ84" s="28" t="n">
        <f aca="false">IFERROR(INDEX(Assessments!$J$2:$J$600,MATCH($H84&amp;"|"&amp;$I84&amp;"|"&amp;$J84&amp;"|"&amp;14,Assessments!$A$2:$A$600,0)),0)</f>
        <v>0</v>
      </c>
      <c r="DK84" s="28" t="n">
        <f aca="false">S84</f>
        <v>4</v>
      </c>
      <c r="DL84" s="28" t="n">
        <f aca="false">W84</f>
        <v>1</v>
      </c>
      <c r="DM84" s="28" t="n">
        <f aca="false">AA84</f>
        <v>3</v>
      </c>
      <c r="DN84" s="28" t="n">
        <f aca="false">AE84</f>
        <v>4</v>
      </c>
      <c r="DO84" s="28" t="n">
        <f aca="false">AI84</f>
        <v>4</v>
      </c>
      <c r="DP84" s="28" t="str">
        <f aca="false">AM84</f>
        <v/>
      </c>
      <c r="DQ84" s="28" t="str">
        <f aca="false">AQ84</f>
        <v/>
      </c>
      <c r="DR84" s="28" t="str">
        <f aca="false">AU84</f>
        <v/>
      </c>
      <c r="DS84" s="28" t="str">
        <f aca="false">AY84</f>
        <v/>
      </c>
      <c r="DT84" s="28" t="str">
        <f aca="false">BC84</f>
        <v/>
      </c>
      <c r="DU84" s="28" t="str">
        <f aca="false">BG84</f>
        <v/>
      </c>
      <c r="DV84" s="28" t="str">
        <f aca="false">BK84</f>
        <v/>
      </c>
      <c r="DW84" s="28" t="str">
        <f aca="false">BO84</f>
        <v/>
      </c>
      <c r="DX84" s="28" t="str">
        <f aca="false">BS84</f>
        <v/>
      </c>
      <c r="DY84" s="28" t="n">
        <f aca="false">IF(ISNUMBER(S84),1,"")</f>
        <v>1</v>
      </c>
      <c r="DZ84" s="28" t="n">
        <f aca="false">IF(ISNUMBER(W84),2,"")</f>
        <v>2</v>
      </c>
      <c r="EA84" s="28" t="n">
        <f aca="false">IF(ISNUMBER(AA84),3,"")</f>
        <v>3</v>
      </c>
      <c r="EB84" s="28" t="n">
        <f aca="false">IF(ISNUMBER(AE84),4,"")</f>
        <v>4</v>
      </c>
      <c r="EC84" s="28" t="n">
        <f aca="false">IF(ISNUMBER(AI84),5,"")</f>
        <v>5</v>
      </c>
      <c r="ED84" s="28" t="str">
        <f aca="false">IF(ISNUMBER(AM84),6,"")</f>
        <v/>
      </c>
      <c r="EE84" s="28" t="str">
        <f aca="false">IF(ISNUMBER(AQ84),7,"")</f>
        <v/>
      </c>
      <c r="EF84" s="28" t="str">
        <f aca="false">IF(ISNUMBER(AU84),8,"")</f>
        <v/>
      </c>
      <c r="EG84" s="28" t="str">
        <f aca="false">IF(ISNUMBER(AY84),9,"")</f>
        <v/>
      </c>
      <c r="EH84" s="28" t="str">
        <f aca="false">IF(ISNUMBER(BC84),10,"")</f>
        <v/>
      </c>
      <c r="EI84" s="28" t="str">
        <f aca="false">IF(ISNUMBER(BG84),11,"")</f>
        <v/>
      </c>
      <c r="EJ84" s="28" t="str">
        <f aca="false">IF(ISNUMBER(BK84),12,"")</f>
        <v/>
      </c>
      <c r="EK84" s="28" t="str">
        <f aca="false">IF(ISNUMBER(BO84),13,"")</f>
        <v/>
      </c>
      <c r="EL84" s="28" t="str">
        <f aca="false">IF(ISNUMBER(BS84),14,"")</f>
        <v/>
      </c>
      <c r="EM84" s="28" t="n">
        <f aca="false">IF(ISNUMBER(R84),R84*CW84,0)</f>
        <v>50</v>
      </c>
      <c r="EN84" s="28" t="n">
        <f aca="false">IF(ISNUMBER(V84),V84*CX84,0)</f>
        <v>29.1666666666667</v>
      </c>
      <c r="EO84" s="28" t="n">
        <f aca="false">IF(ISNUMBER(Z84),Z84*CY84,0)</f>
        <v>48</v>
      </c>
      <c r="EP84" s="28" t="n">
        <f aca="false">IF(ISNUMBER(AD84),AD84*CZ84,0)</f>
        <v>54.2857142857143</v>
      </c>
      <c r="EQ84" s="28" t="n">
        <f aca="false">IF(ISNUMBER(AH84),AH84*DA84,0)</f>
        <v>109.090909090909</v>
      </c>
      <c r="ER84" s="28" t="n">
        <f aca="false">IF(ISNUMBER(AL84),AL84*DB84,0)</f>
        <v>0</v>
      </c>
      <c r="ES84" s="28" t="n">
        <f aca="false">IF(ISNUMBER(AP84),AP84*DC84,0)</f>
        <v>0</v>
      </c>
      <c r="ET84" s="28" t="n">
        <f aca="false">IF(ISNUMBER(AT84),AT84*DD84,0)</f>
        <v>0</v>
      </c>
      <c r="EU84" s="28" t="n">
        <f aca="false">IF(ISNUMBER(AX84),AX84*DE84,0)</f>
        <v>0</v>
      </c>
      <c r="EV84" s="28" t="n">
        <f aca="false">IF(ISNUMBER(BB84),BB84*DF84,0)</f>
        <v>0</v>
      </c>
      <c r="EW84" s="28" t="n">
        <f aca="false">IF(ISNUMBER(BF84),BF84*DG84,0)</f>
        <v>0</v>
      </c>
      <c r="EX84" s="28" t="n">
        <f aca="false">IF(ISNUMBER(BJ84),BJ84*DH84,0)</f>
        <v>0</v>
      </c>
      <c r="EY84" s="28" t="n">
        <f aca="false">IF(ISNUMBER(BN84),BN84*DI84,0)</f>
        <v>0</v>
      </c>
      <c r="EZ84" s="28" t="n">
        <f aca="false">IF(ISNUMBER(BR84),BR84*DJ84,0)</f>
        <v>0</v>
      </c>
      <c r="FA84" s="28" t="n">
        <f aca="false">IF(ISNUMBER(R84),CW84,0)</f>
        <v>1</v>
      </c>
      <c r="FB84" s="28" t="n">
        <f aca="false">IF(ISNUMBER(V84),CX84,0)</f>
        <v>1</v>
      </c>
      <c r="FC84" s="28" t="n">
        <f aca="false">IF(ISNUMBER(Z84),CY84,0)</f>
        <v>1</v>
      </c>
      <c r="FD84" s="28" t="n">
        <f aca="false">IF(ISNUMBER(AD84),CZ84,0)</f>
        <v>1</v>
      </c>
      <c r="FE84" s="28" t="n">
        <f aca="false">IF(ISNUMBER(AH84),DA84,0)</f>
        <v>2</v>
      </c>
      <c r="FF84" s="28" t="n">
        <f aca="false">IF(ISNUMBER(AL84),DB84,0)</f>
        <v>0</v>
      </c>
      <c r="FG84" s="28" t="n">
        <f aca="false">IF(ISNUMBER(AP84),DC84,0)</f>
        <v>0</v>
      </c>
      <c r="FH84" s="28" t="n">
        <f aca="false">IF(ISNUMBER(AT84),DD84,0)</f>
        <v>0</v>
      </c>
      <c r="FI84" s="28" t="n">
        <f aca="false">IF(ISNUMBER(AX84),DE84,0)</f>
        <v>0</v>
      </c>
      <c r="FJ84" s="28" t="n">
        <f aca="false">IF(ISNUMBER(BB84),DF84,0)</f>
        <v>0</v>
      </c>
      <c r="FK84" s="28" t="n">
        <f aca="false">IF(ISNUMBER(BF84),DG84,0)</f>
        <v>0</v>
      </c>
      <c r="FL84" s="28" t="n">
        <f aca="false">IF(ISNUMBER(BJ84),DH84,0)</f>
        <v>0</v>
      </c>
      <c r="FM84" s="28" t="n">
        <f aca="false">IF(ISNUMBER(BN84),DI84,0)</f>
        <v>0</v>
      </c>
      <c r="FN84" s="28" t="n">
        <f aca="false">IF(ISNUMBER(BR84),DJ84,0)</f>
        <v>0</v>
      </c>
      <c r="FO84" s="28" t="str">
        <f aca="false">IFERROR(INDEX(Lists!$G$2:$G$20,MATCH($I84&amp;"|"&amp;$J84,Lists!$F$2:$F$20,0)),"")</f>
        <v>Econ Exam</v>
      </c>
    </row>
    <row r="85" customFormat="false" ht="19.5" hidden="false" customHeight="true" outlineLevel="0" collapsed="false">
      <c r="A85" s="29" t="s">
        <v>294</v>
      </c>
      <c r="B85" s="29" t="s">
        <v>254</v>
      </c>
      <c r="C85" s="30" t="s">
        <v>192</v>
      </c>
      <c r="D85" s="30" t="s">
        <v>291</v>
      </c>
      <c r="E85" s="31" t="n">
        <v>5.5</v>
      </c>
      <c r="F85" s="30" t="n">
        <v>6</v>
      </c>
      <c r="G85" s="30"/>
      <c r="H85" s="32" t="s">
        <v>23</v>
      </c>
      <c r="I85" s="33" t="s">
        <v>229</v>
      </c>
      <c r="J85" s="32" t="s">
        <v>25</v>
      </c>
      <c r="K85" s="34" t="n">
        <f aca="false">IF(OR(M85="",$E85=""),"",M85-$E85)</f>
        <v>-0.5</v>
      </c>
      <c r="L85" s="35" t="n">
        <f aca="false">IF(SUM(FA85:FN85)=0,"",SUM(EM85:EZ85)/SUM(FA85:FN85))</f>
        <v>67.9011544011544</v>
      </c>
      <c r="M85" s="36" t="n">
        <f aca="false">IF(OR(L85="",FO85=""),"",IFERROR(MATCH(L85,INDEX(Boundaries!$B$2:$I$30,MATCH(FO85,Boundaries!$A$2:$A$30,0),0),1)-1,""))</f>
        <v>5</v>
      </c>
      <c r="N85" s="37" t="n">
        <f aca="false">IF(COUNT($DY85:$EL85)&lt;2,"",INDEX($DK85:$DX85,MAX($DY85:$EL85))-INDEX($DK85:$DX85,MIN($DY85:$EL85)))</f>
        <v>1</v>
      </c>
      <c r="O85" s="37" t="n">
        <f aca="false">IF(COUNT($DY85:$EL85)&lt;2,"",INDEX($DK85:$DX85,MAX($DY85:$EL85))-INDEX($DK85:$DX85,LARGE($DY85:$EL85,2)))</f>
        <v>2</v>
      </c>
      <c r="P85" s="38" t="str">
        <f aca="false">IF(K85="","",IF(K85&gt;=0,"On/above target",IF(AND(N85&lt;&gt;"",N85&gt;=0.5),"Improving towards target",IF(AND(O85&lt;&gt;"",O85&lt;=-0.5),"Declining","Stable below target"))))</f>
        <v>Improving towards target</v>
      </c>
      <c r="Q85" s="39" t="n">
        <v>22</v>
      </c>
      <c r="R85" s="40" t="n">
        <f aca="false">IF(OR(Q85="",BU85=""),"",Q85/BU85*100)</f>
        <v>73.3333333333333</v>
      </c>
      <c r="S85" s="41" t="n">
        <f aca="false">IF(R85="","",IFERROR(MATCH(R85,INDEX(Boundaries!$B$2:$I$30,MATCH(CI85,Boundaries!$A$2:$A$30,0),0),1)-1,""))</f>
        <v>5</v>
      </c>
      <c r="T85" s="42" t="n">
        <f aca="false">IF(OR(S85="",$E85=""),"",S85-$E85)</f>
        <v>-0.5</v>
      </c>
      <c r="U85" s="39" t="n">
        <v>14</v>
      </c>
      <c r="V85" s="40" t="n">
        <f aca="false">IF(OR(U85="",BV85=""),"",U85/BV85*100)</f>
        <v>58.3333333333333</v>
      </c>
      <c r="W85" s="41" t="n">
        <f aca="false">IF(V85="","",IFERROR(MATCH(V85,INDEX(Boundaries!$B$2:$I$30,MATCH(CJ85,Boundaries!$A$2:$A$30,0),0),1)-1,""))</f>
        <v>4</v>
      </c>
      <c r="X85" s="42" t="n">
        <f aca="false">IF(OR(W85="",$E85=""),"",W85-$E85)</f>
        <v>-1.5</v>
      </c>
      <c r="Y85" s="39" t="n">
        <v>19</v>
      </c>
      <c r="Z85" s="40" t="n">
        <f aca="false">IF(OR(Y85="",BW85=""),"",Y85/BW85*100)</f>
        <v>76</v>
      </c>
      <c r="AA85" s="41" t="n">
        <f aca="false">IF(Z85="","",IFERROR(MATCH(Z85,INDEX(Boundaries!$B$2:$I$30,MATCH(CK85,Boundaries!$A$2:$A$30,0),0),1)-1,""))</f>
        <v>6</v>
      </c>
      <c r="AB85" s="42" t="n">
        <f aca="false">IF(OR(AA85="",$E85=""),"",AA85-$E85)</f>
        <v>0.5</v>
      </c>
      <c r="AC85" s="39" t="n">
        <v>19</v>
      </c>
      <c r="AD85" s="40" t="n">
        <f aca="false">IF(OR(AC85="",BX85=""),"",AC85/BX85*100)</f>
        <v>54.2857142857143</v>
      </c>
      <c r="AE85" s="41" t="n">
        <f aca="false">IF(AD85="","",IFERROR(MATCH(AD85,INDEX(Boundaries!$B$2:$I$30,MATCH(CL85,Boundaries!$A$2:$A$30,0),0),1)-1,""))</f>
        <v>4</v>
      </c>
      <c r="AF85" s="42" t="n">
        <f aca="false">IF(OR(AE85="",$E85=""),"",AE85-$E85)</f>
        <v>-1.5</v>
      </c>
      <c r="AG85" s="39" t="n">
        <v>40</v>
      </c>
      <c r="AH85" s="40" t="n">
        <f aca="false">IF(OR(AG85="",BY85=""),"",AG85/BY85*100)</f>
        <v>72.7272727272727</v>
      </c>
      <c r="AI85" s="41" t="n">
        <f aca="false">IF(AH85="","",IFERROR(MATCH(AH85,INDEX(Boundaries!$B$2:$I$30,MATCH(CM85,Boundaries!$A$2:$A$30,0),0),1)-1,""))</f>
        <v>6</v>
      </c>
      <c r="AJ85" s="42" t="n">
        <f aca="false">IF(OR(AI85="",$E85=""),"",AI85-$E85)</f>
        <v>0.5</v>
      </c>
      <c r="AK85" s="39"/>
      <c r="AL85" s="40" t="str">
        <f aca="false">IF(OR(AK85="",BZ85=""),"",AK85/BZ85*100)</f>
        <v/>
      </c>
      <c r="AM85" s="41" t="str">
        <f aca="false">IF(AL85="","",IFERROR(MATCH(AL85,INDEX(Boundaries!$B$2:$I$30,MATCH(CN85,Boundaries!$A$2:$A$30,0),0),1)-1,""))</f>
        <v/>
      </c>
      <c r="AN85" s="42" t="str">
        <f aca="false">IF(OR(AM85="",$E85=""),"",AM85-$E85)</f>
        <v/>
      </c>
      <c r="AO85" s="39"/>
      <c r="AP85" s="40" t="str">
        <f aca="false">IF(OR(AO85="",CA85=""),"",AO85/CA85*100)</f>
        <v/>
      </c>
      <c r="AQ85" s="41" t="str">
        <f aca="false">IF(AP85="","",IFERROR(MATCH(AP85,INDEX(Boundaries!$B$2:$I$30,MATCH(CO85,Boundaries!$A$2:$A$30,0),0),1)-1,""))</f>
        <v/>
      </c>
      <c r="AR85" s="42" t="str">
        <f aca="false">IF(OR(AQ85="",$E85=""),"",AQ85-$E85)</f>
        <v/>
      </c>
      <c r="AS85" s="39"/>
      <c r="AT85" s="40" t="str">
        <f aca="false">IF(OR(AS85="",CB85=""),"",AS85/CB85*100)</f>
        <v/>
      </c>
      <c r="AU85" s="41" t="str">
        <f aca="false">IF(AT85="","",IFERROR(MATCH(AT85,INDEX(Boundaries!$B$2:$I$30,MATCH(CP85,Boundaries!$A$2:$A$30,0),0),1)-1,""))</f>
        <v/>
      </c>
      <c r="AV85" s="42" t="str">
        <f aca="false">IF(OR(AU85="",$E85=""),"",AU85-$E85)</f>
        <v/>
      </c>
      <c r="AW85" s="39"/>
      <c r="AX85" s="40" t="str">
        <f aca="false">IF(OR(AW85="",CC85=""),"",AW85/CC85*100)</f>
        <v/>
      </c>
      <c r="AY85" s="41" t="str">
        <f aca="false">IF(AX85="","",IFERROR(MATCH(AX85,INDEX(Boundaries!$B$2:$I$30,MATCH(CQ85,Boundaries!$A$2:$A$30,0),0),1)-1,""))</f>
        <v/>
      </c>
      <c r="AZ85" s="42" t="str">
        <f aca="false">IF(OR(AY85="",$E85=""),"",AY85-$E85)</f>
        <v/>
      </c>
      <c r="BA85" s="39"/>
      <c r="BB85" s="40" t="str">
        <f aca="false">IF(OR(BA85="",CD85=""),"",BA85/CD85*100)</f>
        <v/>
      </c>
      <c r="BC85" s="41" t="str">
        <f aca="false">IF(BB85="","",IFERROR(MATCH(BB85,INDEX(Boundaries!$B$2:$I$30,MATCH(CR85,Boundaries!$A$2:$A$30,0),0),1)-1,""))</f>
        <v/>
      </c>
      <c r="BD85" s="42" t="str">
        <f aca="false">IF(OR(BC85="",$E85=""),"",BC85-$E85)</f>
        <v/>
      </c>
      <c r="BE85" s="39"/>
      <c r="BF85" s="40" t="str">
        <f aca="false">IF(OR(BE85="",CE85=""),"",BE85/CE85*100)</f>
        <v/>
      </c>
      <c r="BG85" s="41" t="str">
        <f aca="false">IF(BF85="","",IFERROR(MATCH(BF85,INDEX(Boundaries!$B$2:$I$30,MATCH(CS85,Boundaries!$A$2:$A$30,0),0),1)-1,""))</f>
        <v/>
      </c>
      <c r="BH85" s="42" t="str">
        <f aca="false">IF(OR(BG85="",$E85=""),"",BG85-$E85)</f>
        <v/>
      </c>
      <c r="BI85" s="39"/>
      <c r="BJ85" s="40" t="str">
        <f aca="false">IF(OR(BI85="",CF85=""),"",BI85/CF85*100)</f>
        <v/>
      </c>
      <c r="BK85" s="41" t="str">
        <f aca="false">IF(BJ85="","",IFERROR(MATCH(BJ85,INDEX(Boundaries!$B$2:$I$30,MATCH(CT85,Boundaries!$A$2:$A$30,0),0),1)-1,""))</f>
        <v/>
      </c>
      <c r="BL85" s="42" t="str">
        <f aca="false">IF(OR(BK85="",$E85=""),"",BK85-$E85)</f>
        <v/>
      </c>
      <c r="BM85" s="39"/>
      <c r="BN85" s="40" t="str">
        <f aca="false">IF(OR(BM85="",CG85=""),"",BM85/CG85*100)</f>
        <v/>
      </c>
      <c r="BO85" s="41" t="str">
        <f aca="false">IF(BN85="","",IFERROR(MATCH(BN85,INDEX(Boundaries!$B$2:$I$30,MATCH(CU85,Boundaries!$A$2:$A$30,0),0),1)-1,""))</f>
        <v/>
      </c>
      <c r="BP85" s="42" t="str">
        <f aca="false">IF(OR(BO85="",$E85=""),"",BO85-$E85)</f>
        <v/>
      </c>
      <c r="BQ85" s="39"/>
      <c r="BR85" s="40" t="str">
        <f aca="false">IF(OR(BQ85="",CH85=""),"",BQ85/CH85*100)</f>
        <v/>
      </c>
      <c r="BS85" s="41" t="str">
        <f aca="false">IF(BR85="","",IFERROR(MATCH(BR85,INDEX(Boundaries!$B$2:$I$30,MATCH(CV85,Boundaries!$A$2:$A$30,0),0),1)-1,""))</f>
        <v/>
      </c>
      <c r="BT85" s="42" t="str">
        <f aca="false">IF(OR(BS85="",$E85=""),"",BS85-$E85)</f>
        <v/>
      </c>
      <c r="BU85" s="28" t="n">
        <f aca="false">IFERROR(INDEX(Assessments!$H$2:$H$600,MATCH($H85&amp;"|"&amp;$I85&amp;"|"&amp;$J85&amp;"|"&amp;1,Assessments!$A$2:$A$600,0)),"")</f>
        <v>30</v>
      </c>
      <c r="BV85" s="28" t="n">
        <f aca="false">IFERROR(INDEX(Assessments!$H$2:$H$600,MATCH($H85&amp;"|"&amp;$I85&amp;"|"&amp;$J85&amp;"|"&amp;2,Assessments!$A$2:$A$600,0)),"")</f>
        <v>24</v>
      </c>
      <c r="BW85" s="28" t="n">
        <f aca="false">IFERROR(INDEX(Assessments!$H$2:$H$600,MATCH($H85&amp;"|"&amp;$I85&amp;"|"&amp;$J85&amp;"|"&amp;3,Assessments!$A$2:$A$600,0)),"")</f>
        <v>25</v>
      </c>
      <c r="BX85" s="28" t="n">
        <f aca="false">IFERROR(INDEX(Assessments!$H$2:$H$600,MATCH($H85&amp;"|"&amp;$I85&amp;"|"&amp;$J85&amp;"|"&amp;4,Assessments!$A$2:$A$600,0)),"")</f>
        <v>35</v>
      </c>
      <c r="BY85" s="28" t="n">
        <f aca="false">IFERROR(INDEX(Assessments!$H$2:$H$600,MATCH($H85&amp;"|"&amp;$I85&amp;"|"&amp;$J85&amp;"|"&amp;5,Assessments!$A$2:$A$600,0)),"")</f>
        <v>55</v>
      </c>
      <c r="BZ85" s="28" t="n">
        <f aca="false">IFERROR(INDEX(Assessments!$H$2:$H$600,MATCH($H85&amp;"|"&amp;$I85&amp;"|"&amp;$J85&amp;"|"&amp;6,Assessments!$A$2:$A$600,0)),"")</f>
        <v>30</v>
      </c>
      <c r="CA85" s="28" t="n">
        <f aca="false">IFERROR(INDEX(Assessments!$H$2:$H$600,MATCH($H85&amp;"|"&amp;$I85&amp;"|"&amp;$J85&amp;"|"&amp;7,Assessments!$A$2:$A$600,0)),"")</f>
        <v>95</v>
      </c>
      <c r="CB85" s="28" t="str">
        <f aca="false">IFERROR(INDEX(Assessments!$H$2:$H$600,MATCH($H85&amp;"|"&amp;$I85&amp;"|"&amp;$J85&amp;"|"&amp;8,Assessments!$A$2:$A$600,0)),"")</f>
        <v/>
      </c>
      <c r="CC85" s="28" t="str">
        <f aca="false">IFERROR(INDEX(Assessments!$H$2:$H$600,MATCH($H85&amp;"|"&amp;$I85&amp;"|"&amp;$J85&amp;"|"&amp;9,Assessments!$A$2:$A$600,0)),"")</f>
        <v/>
      </c>
      <c r="CD85" s="28" t="str">
        <f aca="false">IFERROR(INDEX(Assessments!$H$2:$H$600,MATCH($H85&amp;"|"&amp;$I85&amp;"|"&amp;$J85&amp;"|"&amp;10,Assessments!$A$2:$A$600,0)),"")</f>
        <v/>
      </c>
      <c r="CE85" s="28" t="str">
        <f aca="false">IFERROR(INDEX(Assessments!$H$2:$H$600,MATCH($H85&amp;"|"&amp;$I85&amp;"|"&amp;$J85&amp;"|"&amp;11,Assessments!$A$2:$A$600,0)),"")</f>
        <v/>
      </c>
      <c r="CF85" s="28" t="str">
        <f aca="false">IFERROR(INDEX(Assessments!$H$2:$H$600,MATCH($H85&amp;"|"&amp;$I85&amp;"|"&amp;$J85&amp;"|"&amp;12,Assessments!$A$2:$A$600,0)),"")</f>
        <v/>
      </c>
      <c r="CG85" s="28" t="str">
        <f aca="false">IFERROR(INDEX(Assessments!$H$2:$H$600,MATCH($H85&amp;"|"&amp;$I85&amp;"|"&amp;$J85&amp;"|"&amp;13,Assessments!$A$2:$A$600,0)),"")</f>
        <v/>
      </c>
      <c r="CH85" s="28" t="str">
        <f aca="false">IFERROR(INDEX(Assessments!$H$2:$H$600,MATCH($H85&amp;"|"&amp;$I85&amp;"|"&amp;$J85&amp;"|"&amp;14,Assessments!$A$2:$A$600,0)),"")</f>
        <v/>
      </c>
      <c r="CI85" s="28" t="str">
        <f aca="false">IFERROR(INDEX(Assessments!$I$2:$I$600,MATCH($H85&amp;"|"&amp;$I85&amp;"|"&amp;$J85&amp;"|"&amp;1,Assessments!$A$2:$A$600,0)),"")</f>
        <v>Econ Test</v>
      </c>
      <c r="CJ85" s="28" t="str">
        <f aca="false">IFERROR(INDEX(Assessments!$I$2:$I$600,MATCH($H85&amp;"|"&amp;$I85&amp;"|"&amp;$J85&amp;"|"&amp;2,Assessments!$A$2:$A$600,0)),"")</f>
        <v>Econ Test</v>
      </c>
      <c r="CK85" s="28" t="str">
        <f aca="false">IFERROR(INDEX(Assessments!$I$2:$I$600,MATCH($H85&amp;"|"&amp;$I85&amp;"|"&amp;$J85&amp;"|"&amp;3,Assessments!$A$2:$A$600,0)),"")</f>
        <v>Econ Test</v>
      </c>
      <c r="CL85" s="28" t="str">
        <f aca="false">IFERROR(INDEX(Assessments!$I$2:$I$600,MATCH($H85&amp;"|"&amp;$I85&amp;"|"&amp;$J85&amp;"|"&amp;4,Assessments!$A$2:$A$600,0)),"")</f>
        <v>Econ Test</v>
      </c>
      <c r="CM85" s="28" t="str">
        <f aca="false">IFERROR(INDEX(Assessments!$I$2:$I$600,MATCH($H85&amp;"|"&amp;$I85&amp;"|"&amp;$J85&amp;"|"&amp;5,Assessments!$A$2:$A$600,0)),"")</f>
        <v>Econ Exam</v>
      </c>
      <c r="CN85" s="28" t="str">
        <f aca="false">IFERROR(INDEX(Assessments!$I$2:$I$600,MATCH($H85&amp;"|"&amp;$I85&amp;"|"&amp;$J85&amp;"|"&amp;6,Assessments!$A$2:$A$600,0)),"")</f>
        <v>Econ Test</v>
      </c>
      <c r="CO85" s="28" t="str">
        <f aca="false">IFERROR(INDEX(Assessments!$I$2:$I$600,MATCH($H85&amp;"|"&amp;$I85&amp;"|"&amp;$J85&amp;"|"&amp;7,Assessments!$A$2:$A$600,0)),"")</f>
        <v>Econ Exam</v>
      </c>
      <c r="CP85" s="28" t="str">
        <f aca="false">IFERROR(INDEX(Assessments!$I$2:$I$600,MATCH($H85&amp;"|"&amp;$I85&amp;"|"&amp;$J85&amp;"|"&amp;8,Assessments!$A$2:$A$600,0)),"")</f>
        <v/>
      </c>
      <c r="CQ85" s="28" t="str">
        <f aca="false">IFERROR(INDEX(Assessments!$I$2:$I$600,MATCH($H85&amp;"|"&amp;$I85&amp;"|"&amp;$J85&amp;"|"&amp;9,Assessments!$A$2:$A$600,0)),"")</f>
        <v/>
      </c>
      <c r="CR85" s="28" t="str">
        <f aca="false">IFERROR(INDEX(Assessments!$I$2:$I$600,MATCH($H85&amp;"|"&amp;$I85&amp;"|"&amp;$J85&amp;"|"&amp;10,Assessments!$A$2:$A$600,0)),"")</f>
        <v/>
      </c>
      <c r="CS85" s="28" t="str">
        <f aca="false">IFERROR(INDEX(Assessments!$I$2:$I$600,MATCH($H85&amp;"|"&amp;$I85&amp;"|"&amp;$J85&amp;"|"&amp;11,Assessments!$A$2:$A$600,0)),"")</f>
        <v/>
      </c>
      <c r="CT85" s="28" t="str">
        <f aca="false">IFERROR(INDEX(Assessments!$I$2:$I$600,MATCH($H85&amp;"|"&amp;$I85&amp;"|"&amp;$J85&amp;"|"&amp;12,Assessments!$A$2:$A$600,0)),"")</f>
        <v/>
      </c>
      <c r="CU85" s="28" t="str">
        <f aca="false">IFERROR(INDEX(Assessments!$I$2:$I$600,MATCH($H85&amp;"|"&amp;$I85&amp;"|"&amp;$J85&amp;"|"&amp;13,Assessments!$A$2:$A$600,0)),"")</f>
        <v/>
      </c>
      <c r="CV85" s="28" t="str">
        <f aca="false">IFERROR(INDEX(Assessments!$I$2:$I$600,MATCH($H85&amp;"|"&amp;$I85&amp;"|"&amp;$J85&amp;"|"&amp;14,Assessments!$A$2:$A$600,0)),"")</f>
        <v/>
      </c>
      <c r="CW85" s="28" t="n">
        <f aca="false">IFERROR(INDEX(Assessments!$J$2:$J$600,MATCH($H85&amp;"|"&amp;$I85&amp;"|"&amp;$J85&amp;"|"&amp;1,Assessments!$A$2:$A$600,0)),0)</f>
        <v>1</v>
      </c>
      <c r="CX85" s="28" t="n">
        <f aca="false">IFERROR(INDEX(Assessments!$J$2:$J$600,MATCH($H85&amp;"|"&amp;$I85&amp;"|"&amp;$J85&amp;"|"&amp;2,Assessments!$A$2:$A$600,0)),0)</f>
        <v>1</v>
      </c>
      <c r="CY85" s="28" t="n">
        <f aca="false">IFERROR(INDEX(Assessments!$J$2:$J$600,MATCH($H85&amp;"|"&amp;$I85&amp;"|"&amp;$J85&amp;"|"&amp;3,Assessments!$A$2:$A$600,0)),0)</f>
        <v>1</v>
      </c>
      <c r="CZ85" s="28" t="n">
        <f aca="false">IFERROR(INDEX(Assessments!$J$2:$J$600,MATCH($H85&amp;"|"&amp;$I85&amp;"|"&amp;$J85&amp;"|"&amp;4,Assessments!$A$2:$A$600,0)),0)</f>
        <v>1</v>
      </c>
      <c r="DA85" s="28" t="n">
        <f aca="false">IFERROR(INDEX(Assessments!$J$2:$J$600,MATCH($H85&amp;"|"&amp;$I85&amp;"|"&amp;$J85&amp;"|"&amp;5,Assessments!$A$2:$A$600,0)),0)</f>
        <v>2</v>
      </c>
      <c r="DB85" s="28" t="n">
        <f aca="false">IFERROR(INDEX(Assessments!$J$2:$J$600,MATCH($H85&amp;"|"&amp;$I85&amp;"|"&amp;$J85&amp;"|"&amp;6,Assessments!$A$2:$A$600,0)),0)</f>
        <v>1</v>
      </c>
      <c r="DC85" s="28" t="n">
        <f aca="false">IFERROR(INDEX(Assessments!$J$2:$J$600,MATCH($H85&amp;"|"&amp;$I85&amp;"|"&amp;$J85&amp;"|"&amp;7,Assessments!$A$2:$A$600,0)),0)</f>
        <v>2</v>
      </c>
      <c r="DD85" s="28" t="n">
        <f aca="false">IFERROR(INDEX(Assessments!$J$2:$J$600,MATCH($H85&amp;"|"&amp;$I85&amp;"|"&amp;$J85&amp;"|"&amp;8,Assessments!$A$2:$A$600,0)),0)</f>
        <v>0</v>
      </c>
      <c r="DE85" s="28" t="n">
        <f aca="false">IFERROR(INDEX(Assessments!$J$2:$J$600,MATCH($H85&amp;"|"&amp;$I85&amp;"|"&amp;$J85&amp;"|"&amp;9,Assessments!$A$2:$A$600,0)),0)</f>
        <v>0</v>
      </c>
      <c r="DF85" s="28" t="n">
        <f aca="false">IFERROR(INDEX(Assessments!$J$2:$J$600,MATCH($H85&amp;"|"&amp;$I85&amp;"|"&amp;$J85&amp;"|"&amp;10,Assessments!$A$2:$A$600,0)),0)</f>
        <v>0</v>
      </c>
      <c r="DG85" s="28" t="n">
        <f aca="false">IFERROR(INDEX(Assessments!$J$2:$J$600,MATCH($H85&amp;"|"&amp;$I85&amp;"|"&amp;$J85&amp;"|"&amp;11,Assessments!$A$2:$A$600,0)),0)</f>
        <v>0</v>
      </c>
      <c r="DH85" s="28" t="n">
        <f aca="false">IFERROR(INDEX(Assessments!$J$2:$J$600,MATCH($H85&amp;"|"&amp;$I85&amp;"|"&amp;$J85&amp;"|"&amp;12,Assessments!$A$2:$A$600,0)),0)</f>
        <v>0</v>
      </c>
      <c r="DI85" s="28" t="n">
        <f aca="false">IFERROR(INDEX(Assessments!$J$2:$J$600,MATCH($H85&amp;"|"&amp;$I85&amp;"|"&amp;$J85&amp;"|"&amp;13,Assessments!$A$2:$A$600,0)),0)</f>
        <v>0</v>
      </c>
      <c r="DJ85" s="28" t="n">
        <f aca="false">IFERROR(INDEX(Assessments!$J$2:$J$600,MATCH($H85&amp;"|"&amp;$I85&amp;"|"&amp;$J85&amp;"|"&amp;14,Assessments!$A$2:$A$600,0)),0)</f>
        <v>0</v>
      </c>
      <c r="DK85" s="28" t="n">
        <f aca="false">S85</f>
        <v>5</v>
      </c>
      <c r="DL85" s="28" t="n">
        <f aca="false">W85</f>
        <v>4</v>
      </c>
      <c r="DM85" s="28" t="n">
        <f aca="false">AA85</f>
        <v>6</v>
      </c>
      <c r="DN85" s="28" t="n">
        <f aca="false">AE85</f>
        <v>4</v>
      </c>
      <c r="DO85" s="28" t="n">
        <f aca="false">AI85</f>
        <v>6</v>
      </c>
      <c r="DP85" s="28" t="str">
        <f aca="false">AM85</f>
        <v/>
      </c>
      <c r="DQ85" s="28" t="str">
        <f aca="false">AQ85</f>
        <v/>
      </c>
      <c r="DR85" s="28" t="str">
        <f aca="false">AU85</f>
        <v/>
      </c>
      <c r="DS85" s="28" t="str">
        <f aca="false">AY85</f>
        <v/>
      </c>
      <c r="DT85" s="28" t="str">
        <f aca="false">BC85</f>
        <v/>
      </c>
      <c r="DU85" s="28" t="str">
        <f aca="false">BG85</f>
        <v/>
      </c>
      <c r="DV85" s="28" t="str">
        <f aca="false">BK85</f>
        <v/>
      </c>
      <c r="DW85" s="28" t="str">
        <f aca="false">BO85</f>
        <v/>
      </c>
      <c r="DX85" s="28" t="str">
        <f aca="false">BS85</f>
        <v/>
      </c>
      <c r="DY85" s="28" t="n">
        <f aca="false">IF(ISNUMBER(S85),1,"")</f>
        <v>1</v>
      </c>
      <c r="DZ85" s="28" t="n">
        <f aca="false">IF(ISNUMBER(W85),2,"")</f>
        <v>2</v>
      </c>
      <c r="EA85" s="28" t="n">
        <f aca="false">IF(ISNUMBER(AA85),3,"")</f>
        <v>3</v>
      </c>
      <c r="EB85" s="28" t="n">
        <f aca="false">IF(ISNUMBER(AE85),4,"")</f>
        <v>4</v>
      </c>
      <c r="EC85" s="28" t="n">
        <f aca="false">IF(ISNUMBER(AI85),5,"")</f>
        <v>5</v>
      </c>
      <c r="ED85" s="28" t="str">
        <f aca="false">IF(ISNUMBER(AM85),6,"")</f>
        <v/>
      </c>
      <c r="EE85" s="28" t="str">
        <f aca="false">IF(ISNUMBER(AQ85),7,"")</f>
        <v/>
      </c>
      <c r="EF85" s="28" t="str">
        <f aca="false">IF(ISNUMBER(AU85),8,"")</f>
        <v/>
      </c>
      <c r="EG85" s="28" t="str">
        <f aca="false">IF(ISNUMBER(AY85),9,"")</f>
        <v/>
      </c>
      <c r="EH85" s="28" t="str">
        <f aca="false">IF(ISNUMBER(BC85),10,"")</f>
        <v/>
      </c>
      <c r="EI85" s="28" t="str">
        <f aca="false">IF(ISNUMBER(BG85),11,"")</f>
        <v/>
      </c>
      <c r="EJ85" s="28" t="str">
        <f aca="false">IF(ISNUMBER(BK85),12,"")</f>
        <v/>
      </c>
      <c r="EK85" s="28" t="str">
        <f aca="false">IF(ISNUMBER(BO85),13,"")</f>
        <v/>
      </c>
      <c r="EL85" s="28" t="str">
        <f aca="false">IF(ISNUMBER(BS85),14,"")</f>
        <v/>
      </c>
      <c r="EM85" s="28" t="n">
        <f aca="false">IF(ISNUMBER(R85),R85*CW85,0)</f>
        <v>73.3333333333333</v>
      </c>
      <c r="EN85" s="28" t="n">
        <f aca="false">IF(ISNUMBER(V85),V85*CX85,0)</f>
        <v>58.3333333333333</v>
      </c>
      <c r="EO85" s="28" t="n">
        <f aca="false">IF(ISNUMBER(Z85),Z85*CY85,0)</f>
        <v>76</v>
      </c>
      <c r="EP85" s="28" t="n">
        <f aca="false">IF(ISNUMBER(AD85),AD85*CZ85,0)</f>
        <v>54.2857142857143</v>
      </c>
      <c r="EQ85" s="28" t="n">
        <f aca="false">IF(ISNUMBER(AH85),AH85*DA85,0)</f>
        <v>145.454545454545</v>
      </c>
      <c r="ER85" s="28" t="n">
        <f aca="false">IF(ISNUMBER(AL85),AL85*DB85,0)</f>
        <v>0</v>
      </c>
      <c r="ES85" s="28" t="n">
        <f aca="false">IF(ISNUMBER(AP85),AP85*DC85,0)</f>
        <v>0</v>
      </c>
      <c r="ET85" s="28" t="n">
        <f aca="false">IF(ISNUMBER(AT85),AT85*DD85,0)</f>
        <v>0</v>
      </c>
      <c r="EU85" s="28" t="n">
        <f aca="false">IF(ISNUMBER(AX85),AX85*DE85,0)</f>
        <v>0</v>
      </c>
      <c r="EV85" s="28" t="n">
        <f aca="false">IF(ISNUMBER(BB85),BB85*DF85,0)</f>
        <v>0</v>
      </c>
      <c r="EW85" s="28" t="n">
        <f aca="false">IF(ISNUMBER(BF85),BF85*DG85,0)</f>
        <v>0</v>
      </c>
      <c r="EX85" s="28" t="n">
        <f aca="false">IF(ISNUMBER(BJ85),BJ85*DH85,0)</f>
        <v>0</v>
      </c>
      <c r="EY85" s="28" t="n">
        <f aca="false">IF(ISNUMBER(BN85),BN85*DI85,0)</f>
        <v>0</v>
      </c>
      <c r="EZ85" s="28" t="n">
        <f aca="false">IF(ISNUMBER(BR85),BR85*DJ85,0)</f>
        <v>0</v>
      </c>
      <c r="FA85" s="28" t="n">
        <f aca="false">IF(ISNUMBER(R85),CW85,0)</f>
        <v>1</v>
      </c>
      <c r="FB85" s="28" t="n">
        <f aca="false">IF(ISNUMBER(V85),CX85,0)</f>
        <v>1</v>
      </c>
      <c r="FC85" s="28" t="n">
        <f aca="false">IF(ISNUMBER(Z85),CY85,0)</f>
        <v>1</v>
      </c>
      <c r="FD85" s="28" t="n">
        <f aca="false">IF(ISNUMBER(AD85),CZ85,0)</f>
        <v>1</v>
      </c>
      <c r="FE85" s="28" t="n">
        <f aca="false">IF(ISNUMBER(AH85),DA85,0)</f>
        <v>2</v>
      </c>
      <c r="FF85" s="28" t="n">
        <f aca="false">IF(ISNUMBER(AL85),DB85,0)</f>
        <v>0</v>
      </c>
      <c r="FG85" s="28" t="n">
        <f aca="false">IF(ISNUMBER(AP85),DC85,0)</f>
        <v>0</v>
      </c>
      <c r="FH85" s="28" t="n">
        <f aca="false">IF(ISNUMBER(AT85),DD85,0)</f>
        <v>0</v>
      </c>
      <c r="FI85" s="28" t="n">
        <f aca="false">IF(ISNUMBER(AX85),DE85,0)</f>
        <v>0</v>
      </c>
      <c r="FJ85" s="28" t="n">
        <f aca="false">IF(ISNUMBER(BB85),DF85,0)</f>
        <v>0</v>
      </c>
      <c r="FK85" s="28" t="n">
        <f aca="false">IF(ISNUMBER(BF85),DG85,0)</f>
        <v>0</v>
      </c>
      <c r="FL85" s="28" t="n">
        <f aca="false">IF(ISNUMBER(BJ85),DH85,0)</f>
        <v>0</v>
      </c>
      <c r="FM85" s="28" t="n">
        <f aca="false">IF(ISNUMBER(BN85),DI85,0)</f>
        <v>0</v>
      </c>
      <c r="FN85" s="28" t="n">
        <f aca="false">IF(ISNUMBER(BR85),DJ85,0)</f>
        <v>0</v>
      </c>
      <c r="FO85" s="28" t="str">
        <f aca="false">IFERROR(INDEX(Lists!$G$2:$G$20,MATCH($I85&amp;"|"&amp;$J85,Lists!$F$2:$F$20,0)),"")</f>
        <v>Econ Exam</v>
      </c>
    </row>
    <row r="86" customFormat="false" ht="19.5" hidden="false" customHeight="true" outlineLevel="0" collapsed="false">
      <c r="A86" s="29" t="s">
        <v>295</v>
      </c>
      <c r="B86" s="29" t="s">
        <v>296</v>
      </c>
      <c r="C86" s="30" t="s">
        <v>192</v>
      </c>
      <c r="D86" s="30" t="s">
        <v>291</v>
      </c>
      <c r="E86" s="31" t="n">
        <v>5.8</v>
      </c>
      <c r="F86" s="30" t="n">
        <v>6</v>
      </c>
      <c r="G86" s="30"/>
      <c r="H86" s="32" t="s">
        <v>23</v>
      </c>
      <c r="I86" s="33" t="s">
        <v>229</v>
      </c>
      <c r="J86" s="32" t="s">
        <v>25</v>
      </c>
      <c r="K86" s="34" t="n">
        <f aca="false">IF(OR(M86="",$E86=""),"",M86-$E86)</f>
        <v>1.2</v>
      </c>
      <c r="L86" s="35" t="n">
        <f aca="false">IF(SUM(FA86:FN86)=0,"",SUM(EM86:EZ86)/SUM(FA86:FN86))</f>
        <v>85.9808802308802</v>
      </c>
      <c r="M86" s="36" t="n">
        <f aca="false">IF(OR(L86="",FO86=""),"",IFERROR(MATCH(L86,INDEX(Boundaries!$B$2:$I$30,MATCH(FO86,Boundaries!$A$2:$A$30,0),0),1)-1,""))</f>
        <v>7</v>
      </c>
      <c r="N86" s="37" t="n">
        <f aca="false">IF(COUNT($DY86:$EL86)&lt;2,"",INDEX($DK86:$DX86,MAX($DY86:$EL86))-INDEX($DK86:$DX86,MIN($DY86:$EL86)))</f>
        <v>1</v>
      </c>
      <c r="O86" s="37" t="n">
        <f aca="false">IF(COUNT($DY86:$EL86)&lt;2,"",INDEX($DK86:$DX86,MAX($DY86:$EL86))-INDEX($DK86:$DX86,LARGE($DY86:$EL86,2)))</f>
        <v>1</v>
      </c>
      <c r="P86" s="38" t="str">
        <f aca="false">IF(K86="","",IF(K86&gt;=0,"On/above target",IF(AND(N86&lt;&gt;"",N86&gt;=0.5),"Improving towards target",IF(AND(O86&lt;&gt;"",O86&lt;=-0.5),"Declining","Stable below target"))))</f>
        <v>On/above target</v>
      </c>
      <c r="Q86" s="39" t="n">
        <v>24</v>
      </c>
      <c r="R86" s="40" t="n">
        <f aca="false">IF(OR(Q86="",BU86=""),"",Q86/BU86*100)</f>
        <v>80</v>
      </c>
      <c r="S86" s="41" t="n">
        <f aca="false">IF(R86="","",IFERROR(MATCH(R86,INDEX(Boundaries!$B$2:$I$30,MATCH(CI86,Boundaries!$A$2:$A$30,0),0),1)-1,""))</f>
        <v>6</v>
      </c>
      <c r="T86" s="42" t="n">
        <f aca="false">IF(OR(S86="",$E86=""),"",S86-$E86)</f>
        <v>0.2</v>
      </c>
      <c r="U86" s="39" t="n">
        <v>23</v>
      </c>
      <c r="V86" s="40" t="n">
        <f aca="false">IF(OR(U86="",BV86=""),"",U86/BV86*100)</f>
        <v>95.8333333333333</v>
      </c>
      <c r="W86" s="41" t="n">
        <f aca="false">IF(V86="","",IFERROR(MATCH(V86,INDEX(Boundaries!$B$2:$I$30,MATCH(CJ86,Boundaries!$A$2:$A$30,0),0),1)-1,""))</f>
        <v>7</v>
      </c>
      <c r="X86" s="42" t="n">
        <f aca="false">IF(OR(W86="",$E86=""),"",W86-$E86)</f>
        <v>1.2</v>
      </c>
      <c r="Y86" s="39" t="n">
        <v>23</v>
      </c>
      <c r="Z86" s="40" t="n">
        <f aca="false">IF(OR(Y86="",BW86=""),"",Y86/BW86*100)</f>
        <v>92</v>
      </c>
      <c r="AA86" s="41" t="n">
        <f aca="false">IF(Z86="","",IFERROR(MATCH(Z86,INDEX(Boundaries!$B$2:$I$30,MATCH(CK86,Boundaries!$A$2:$A$30,0),0),1)-1,""))</f>
        <v>7</v>
      </c>
      <c r="AB86" s="42" t="n">
        <f aca="false">IF(OR(AA86="",$E86=""),"",AA86-$E86)</f>
        <v>1.2</v>
      </c>
      <c r="AC86" s="39" t="n">
        <v>27</v>
      </c>
      <c r="AD86" s="40" t="n">
        <f aca="false">IF(OR(AC86="",BX86=""),"",AC86/BX86*100)</f>
        <v>77.1428571428572</v>
      </c>
      <c r="AE86" s="41" t="n">
        <f aca="false">IF(AD86="","",IFERROR(MATCH(AD86,INDEX(Boundaries!$B$2:$I$30,MATCH(CL86,Boundaries!$A$2:$A$30,0),0),1)-1,""))</f>
        <v>6</v>
      </c>
      <c r="AF86" s="42" t="n">
        <f aca="false">IF(OR(AE86="",$E86=""),"",AE86-$E86)</f>
        <v>0.2</v>
      </c>
      <c r="AG86" s="39" t="n">
        <v>47</v>
      </c>
      <c r="AH86" s="40" t="n">
        <f aca="false">IF(OR(AG86="",BY86=""),"",AG86/BY86*100)</f>
        <v>85.4545454545455</v>
      </c>
      <c r="AI86" s="41" t="n">
        <f aca="false">IF(AH86="","",IFERROR(MATCH(AH86,INDEX(Boundaries!$B$2:$I$30,MATCH(CM86,Boundaries!$A$2:$A$30,0),0),1)-1,""))</f>
        <v>7</v>
      </c>
      <c r="AJ86" s="42" t="n">
        <f aca="false">IF(OR(AI86="",$E86=""),"",AI86-$E86)</f>
        <v>1.2</v>
      </c>
      <c r="AK86" s="39"/>
      <c r="AL86" s="40" t="str">
        <f aca="false">IF(OR(AK86="",BZ86=""),"",AK86/BZ86*100)</f>
        <v/>
      </c>
      <c r="AM86" s="41" t="str">
        <f aca="false">IF(AL86="","",IFERROR(MATCH(AL86,INDEX(Boundaries!$B$2:$I$30,MATCH(CN86,Boundaries!$A$2:$A$30,0),0),1)-1,""))</f>
        <v/>
      </c>
      <c r="AN86" s="42" t="str">
        <f aca="false">IF(OR(AM86="",$E86=""),"",AM86-$E86)</f>
        <v/>
      </c>
      <c r="AO86" s="39"/>
      <c r="AP86" s="40" t="str">
        <f aca="false">IF(OR(AO86="",CA86=""),"",AO86/CA86*100)</f>
        <v/>
      </c>
      <c r="AQ86" s="41" t="str">
        <f aca="false">IF(AP86="","",IFERROR(MATCH(AP86,INDEX(Boundaries!$B$2:$I$30,MATCH(CO86,Boundaries!$A$2:$A$30,0),0),1)-1,""))</f>
        <v/>
      </c>
      <c r="AR86" s="42" t="str">
        <f aca="false">IF(OR(AQ86="",$E86=""),"",AQ86-$E86)</f>
        <v/>
      </c>
      <c r="AS86" s="39"/>
      <c r="AT86" s="40" t="str">
        <f aca="false">IF(OR(AS86="",CB86=""),"",AS86/CB86*100)</f>
        <v/>
      </c>
      <c r="AU86" s="41" t="str">
        <f aca="false">IF(AT86="","",IFERROR(MATCH(AT86,INDEX(Boundaries!$B$2:$I$30,MATCH(CP86,Boundaries!$A$2:$A$30,0),0),1)-1,""))</f>
        <v/>
      </c>
      <c r="AV86" s="42" t="str">
        <f aca="false">IF(OR(AU86="",$E86=""),"",AU86-$E86)</f>
        <v/>
      </c>
      <c r="AW86" s="39"/>
      <c r="AX86" s="40" t="str">
        <f aca="false">IF(OR(AW86="",CC86=""),"",AW86/CC86*100)</f>
        <v/>
      </c>
      <c r="AY86" s="41" t="str">
        <f aca="false">IF(AX86="","",IFERROR(MATCH(AX86,INDEX(Boundaries!$B$2:$I$30,MATCH(CQ86,Boundaries!$A$2:$A$30,0),0),1)-1,""))</f>
        <v/>
      </c>
      <c r="AZ86" s="42" t="str">
        <f aca="false">IF(OR(AY86="",$E86=""),"",AY86-$E86)</f>
        <v/>
      </c>
      <c r="BA86" s="39"/>
      <c r="BB86" s="40" t="str">
        <f aca="false">IF(OR(BA86="",CD86=""),"",BA86/CD86*100)</f>
        <v/>
      </c>
      <c r="BC86" s="41" t="str">
        <f aca="false">IF(BB86="","",IFERROR(MATCH(BB86,INDEX(Boundaries!$B$2:$I$30,MATCH(CR86,Boundaries!$A$2:$A$30,0),0),1)-1,""))</f>
        <v/>
      </c>
      <c r="BD86" s="42" t="str">
        <f aca="false">IF(OR(BC86="",$E86=""),"",BC86-$E86)</f>
        <v/>
      </c>
      <c r="BE86" s="39"/>
      <c r="BF86" s="40" t="str">
        <f aca="false">IF(OR(BE86="",CE86=""),"",BE86/CE86*100)</f>
        <v/>
      </c>
      <c r="BG86" s="41" t="str">
        <f aca="false">IF(BF86="","",IFERROR(MATCH(BF86,INDEX(Boundaries!$B$2:$I$30,MATCH(CS86,Boundaries!$A$2:$A$30,0),0),1)-1,""))</f>
        <v/>
      </c>
      <c r="BH86" s="42" t="str">
        <f aca="false">IF(OR(BG86="",$E86=""),"",BG86-$E86)</f>
        <v/>
      </c>
      <c r="BI86" s="39"/>
      <c r="BJ86" s="40" t="str">
        <f aca="false">IF(OR(BI86="",CF86=""),"",BI86/CF86*100)</f>
        <v/>
      </c>
      <c r="BK86" s="41" t="str">
        <f aca="false">IF(BJ86="","",IFERROR(MATCH(BJ86,INDEX(Boundaries!$B$2:$I$30,MATCH(CT86,Boundaries!$A$2:$A$30,0),0),1)-1,""))</f>
        <v/>
      </c>
      <c r="BL86" s="42" t="str">
        <f aca="false">IF(OR(BK86="",$E86=""),"",BK86-$E86)</f>
        <v/>
      </c>
      <c r="BM86" s="39"/>
      <c r="BN86" s="40" t="str">
        <f aca="false">IF(OR(BM86="",CG86=""),"",BM86/CG86*100)</f>
        <v/>
      </c>
      <c r="BO86" s="41" t="str">
        <f aca="false">IF(BN86="","",IFERROR(MATCH(BN86,INDEX(Boundaries!$B$2:$I$30,MATCH(CU86,Boundaries!$A$2:$A$30,0),0),1)-1,""))</f>
        <v/>
      </c>
      <c r="BP86" s="42" t="str">
        <f aca="false">IF(OR(BO86="",$E86=""),"",BO86-$E86)</f>
        <v/>
      </c>
      <c r="BQ86" s="39"/>
      <c r="BR86" s="40" t="str">
        <f aca="false">IF(OR(BQ86="",CH86=""),"",BQ86/CH86*100)</f>
        <v/>
      </c>
      <c r="BS86" s="41" t="str">
        <f aca="false">IF(BR86="","",IFERROR(MATCH(BR86,INDEX(Boundaries!$B$2:$I$30,MATCH(CV86,Boundaries!$A$2:$A$30,0),0),1)-1,""))</f>
        <v/>
      </c>
      <c r="BT86" s="42" t="str">
        <f aca="false">IF(OR(BS86="",$E86=""),"",BS86-$E86)</f>
        <v/>
      </c>
      <c r="BU86" s="28" t="n">
        <f aca="false">IFERROR(INDEX(Assessments!$H$2:$H$600,MATCH($H86&amp;"|"&amp;$I86&amp;"|"&amp;$J86&amp;"|"&amp;1,Assessments!$A$2:$A$600,0)),"")</f>
        <v>30</v>
      </c>
      <c r="BV86" s="28" t="n">
        <f aca="false">IFERROR(INDEX(Assessments!$H$2:$H$600,MATCH($H86&amp;"|"&amp;$I86&amp;"|"&amp;$J86&amp;"|"&amp;2,Assessments!$A$2:$A$600,0)),"")</f>
        <v>24</v>
      </c>
      <c r="BW86" s="28" t="n">
        <f aca="false">IFERROR(INDEX(Assessments!$H$2:$H$600,MATCH($H86&amp;"|"&amp;$I86&amp;"|"&amp;$J86&amp;"|"&amp;3,Assessments!$A$2:$A$600,0)),"")</f>
        <v>25</v>
      </c>
      <c r="BX86" s="28" t="n">
        <f aca="false">IFERROR(INDEX(Assessments!$H$2:$H$600,MATCH($H86&amp;"|"&amp;$I86&amp;"|"&amp;$J86&amp;"|"&amp;4,Assessments!$A$2:$A$600,0)),"")</f>
        <v>35</v>
      </c>
      <c r="BY86" s="28" t="n">
        <f aca="false">IFERROR(INDEX(Assessments!$H$2:$H$600,MATCH($H86&amp;"|"&amp;$I86&amp;"|"&amp;$J86&amp;"|"&amp;5,Assessments!$A$2:$A$600,0)),"")</f>
        <v>55</v>
      </c>
      <c r="BZ86" s="28" t="n">
        <f aca="false">IFERROR(INDEX(Assessments!$H$2:$H$600,MATCH($H86&amp;"|"&amp;$I86&amp;"|"&amp;$J86&amp;"|"&amp;6,Assessments!$A$2:$A$600,0)),"")</f>
        <v>30</v>
      </c>
      <c r="CA86" s="28" t="n">
        <f aca="false">IFERROR(INDEX(Assessments!$H$2:$H$600,MATCH($H86&amp;"|"&amp;$I86&amp;"|"&amp;$J86&amp;"|"&amp;7,Assessments!$A$2:$A$600,0)),"")</f>
        <v>95</v>
      </c>
      <c r="CB86" s="28" t="str">
        <f aca="false">IFERROR(INDEX(Assessments!$H$2:$H$600,MATCH($H86&amp;"|"&amp;$I86&amp;"|"&amp;$J86&amp;"|"&amp;8,Assessments!$A$2:$A$600,0)),"")</f>
        <v/>
      </c>
      <c r="CC86" s="28" t="str">
        <f aca="false">IFERROR(INDEX(Assessments!$H$2:$H$600,MATCH($H86&amp;"|"&amp;$I86&amp;"|"&amp;$J86&amp;"|"&amp;9,Assessments!$A$2:$A$600,0)),"")</f>
        <v/>
      </c>
      <c r="CD86" s="28" t="str">
        <f aca="false">IFERROR(INDEX(Assessments!$H$2:$H$600,MATCH($H86&amp;"|"&amp;$I86&amp;"|"&amp;$J86&amp;"|"&amp;10,Assessments!$A$2:$A$600,0)),"")</f>
        <v/>
      </c>
      <c r="CE86" s="28" t="str">
        <f aca="false">IFERROR(INDEX(Assessments!$H$2:$H$600,MATCH($H86&amp;"|"&amp;$I86&amp;"|"&amp;$J86&amp;"|"&amp;11,Assessments!$A$2:$A$600,0)),"")</f>
        <v/>
      </c>
      <c r="CF86" s="28" t="str">
        <f aca="false">IFERROR(INDEX(Assessments!$H$2:$H$600,MATCH($H86&amp;"|"&amp;$I86&amp;"|"&amp;$J86&amp;"|"&amp;12,Assessments!$A$2:$A$600,0)),"")</f>
        <v/>
      </c>
      <c r="CG86" s="28" t="str">
        <f aca="false">IFERROR(INDEX(Assessments!$H$2:$H$600,MATCH($H86&amp;"|"&amp;$I86&amp;"|"&amp;$J86&amp;"|"&amp;13,Assessments!$A$2:$A$600,0)),"")</f>
        <v/>
      </c>
      <c r="CH86" s="28" t="str">
        <f aca="false">IFERROR(INDEX(Assessments!$H$2:$H$600,MATCH($H86&amp;"|"&amp;$I86&amp;"|"&amp;$J86&amp;"|"&amp;14,Assessments!$A$2:$A$600,0)),"")</f>
        <v/>
      </c>
      <c r="CI86" s="28" t="str">
        <f aca="false">IFERROR(INDEX(Assessments!$I$2:$I$600,MATCH($H86&amp;"|"&amp;$I86&amp;"|"&amp;$J86&amp;"|"&amp;1,Assessments!$A$2:$A$600,0)),"")</f>
        <v>Econ Test</v>
      </c>
      <c r="CJ86" s="28" t="str">
        <f aca="false">IFERROR(INDEX(Assessments!$I$2:$I$600,MATCH($H86&amp;"|"&amp;$I86&amp;"|"&amp;$J86&amp;"|"&amp;2,Assessments!$A$2:$A$600,0)),"")</f>
        <v>Econ Test</v>
      </c>
      <c r="CK86" s="28" t="str">
        <f aca="false">IFERROR(INDEX(Assessments!$I$2:$I$600,MATCH($H86&amp;"|"&amp;$I86&amp;"|"&amp;$J86&amp;"|"&amp;3,Assessments!$A$2:$A$600,0)),"")</f>
        <v>Econ Test</v>
      </c>
      <c r="CL86" s="28" t="str">
        <f aca="false">IFERROR(INDEX(Assessments!$I$2:$I$600,MATCH($H86&amp;"|"&amp;$I86&amp;"|"&amp;$J86&amp;"|"&amp;4,Assessments!$A$2:$A$600,0)),"")</f>
        <v>Econ Test</v>
      </c>
      <c r="CM86" s="28" t="str">
        <f aca="false">IFERROR(INDEX(Assessments!$I$2:$I$600,MATCH($H86&amp;"|"&amp;$I86&amp;"|"&amp;$J86&amp;"|"&amp;5,Assessments!$A$2:$A$600,0)),"")</f>
        <v>Econ Exam</v>
      </c>
      <c r="CN86" s="28" t="str">
        <f aca="false">IFERROR(INDEX(Assessments!$I$2:$I$600,MATCH($H86&amp;"|"&amp;$I86&amp;"|"&amp;$J86&amp;"|"&amp;6,Assessments!$A$2:$A$600,0)),"")</f>
        <v>Econ Test</v>
      </c>
      <c r="CO86" s="28" t="str">
        <f aca="false">IFERROR(INDEX(Assessments!$I$2:$I$600,MATCH($H86&amp;"|"&amp;$I86&amp;"|"&amp;$J86&amp;"|"&amp;7,Assessments!$A$2:$A$600,0)),"")</f>
        <v>Econ Exam</v>
      </c>
      <c r="CP86" s="28" t="str">
        <f aca="false">IFERROR(INDEX(Assessments!$I$2:$I$600,MATCH($H86&amp;"|"&amp;$I86&amp;"|"&amp;$J86&amp;"|"&amp;8,Assessments!$A$2:$A$600,0)),"")</f>
        <v/>
      </c>
      <c r="CQ86" s="28" t="str">
        <f aca="false">IFERROR(INDEX(Assessments!$I$2:$I$600,MATCH($H86&amp;"|"&amp;$I86&amp;"|"&amp;$J86&amp;"|"&amp;9,Assessments!$A$2:$A$600,0)),"")</f>
        <v/>
      </c>
      <c r="CR86" s="28" t="str">
        <f aca="false">IFERROR(INDEX(Assessments!$I$2:$I$600,MATCH($H86&amp;"|"&amp;$I86&amp;"|"&amp;$J86&amp;"|"&amp;10,Assessments!$A$2:$A$600,0)),"")</f>
        <v/>
      </c>
      <c r="CS86" s="28" t="str">
        <f aca="false">IFERROR(INDEX(Assessments!$I$2:$I$600,MATCH($H86&amp;"|"&amp;$I86&amp;"|"&amp;$J86&amp;"|"&amp;11,Assessments!$A$2:$A$600,0)),"")</f>
        <v/>
      </c>
      <c r="CT86" s="28" t="str">
        <f aca="false">IFERROR(INDEX(Assessments!$I$2:$I$600,MATCH($H86&amp;"|"&amp;$I86&amp;"|"&amp;$J86&amp;"|"&amp;12,Assessments!$A$2:$A$600,0)),"")</f>
        <v/>
      </c>
      <c r="CU86" s="28" t="str">
        <f aca="false">IFERROR(INDEX(Assessments!$I$2:$I$600,MATCH($H86&amp;"|"&amp;$I86&amp;"|"&amp;$J86&amp;"|"&amp;13,Assessments!$A$2:$A$600,0)),"")</f>
        <v/>
      </c>
      <c r="CV86" s="28" t="str">
        <f aca="false">IFERROR(INDEX(Assessments!$I$2:$I$600,MATCH($H86&amp;"|"&amp;$I86&amp;"|"&amp;$J86&amp;"|"&amp;14,Assessments!$A$2:$A$600,0)),"")</f>
        <v/>
      </c>
      <c r="CW86" s="28" t="n">
        <f aca="false">IFERROR(INDEX(Assessments!$J$2:$J$600,MATCH($H86&amp;"|"&amp;$I86&amp;"|"&amp;$J86&amp;"|"&amp;1,Assessments!$A$2:$A$600,0)),0)</f>
        <v>1</v>
      </c>
      <c r="CX86" s="28" t="n">
        <f aca="false">IFERROR(INDEX(Assessments!$J$2:$J$600,MATCH($H86&amp;"|"&amp;$I86&amp;"|"&amp;$J86&amp;"|"&amp;2,Assessments!$A$2:$A$600,0)),0)</f>
        <v>1</v>
      </c>
      <c r="CY86" s="28" t="n">
        <f aca="false">IFERROR(INDEX(Assessments!$J$2:$J$600,MATCH($H86&amp;"|"&amp;$I86&amp;"|"&amp;$J86&amp;"|"&amp;3,Assessments!$A$2:$A$600,0)),0)</f>
        <v>1</v>
      </c>
      <c r="CZ86" s="28" t="n">
        <f aca="false">IFERROR(INDEX(Assessments!$J$2:$J$600,MATCH($H86&amp;"|"&amp;$I86&amp;"|"&amp;$J86&amp;"|"&amp;4,Assessments!$A$2:$A$600,0)),0)</f>
        <v>1</v>
      </c>
      <c r="DA86" s="28" t="n">
        <f aca="false">IFERROR(INDEX(Assessments!$J$2:$J$600,MATCH($H86&amp;"|"&amp;$I86&amp;"|"&amp;$J86&amp;"|"&amp;5,Assessments!$A$2:$A$600,0)),0)</f>
        <v>2</v>
      </c>
      <c r="DB86" s="28" t="n">
        <f aca="false">IFERROR(INDEX(Assessments!$J$2:$J$600,MATCH($H86&amp;"|"&amp;$I86&amp;"|"&amp;$J86&amp;"|"&amp;6,Assessments!$A$2:$A$600,0)),0)</f>
        <v>1</v>
      </c>
      <c r="DC86" s="28" t="n">
        <f aca="false">IFERROR(INDEX(Assessments!$J$2:$J$600,MATCH($H86&amp;"|"&amp;$I86&amp;"|"&amp;$J86&amp;"|"&amp;7,Assessments!$A$2:$A$600,0)),0)</f>
        <v>2</v>
      </c>
      <c r="DD86" s="28" t="n">
        <f aca="false">IFERROR(INDEX(Assessments!$J$2:$J$600,MATCH($H86&amp;"|"&amp;$I86&amp;"|"&amp;$J86&amp;"|"&amp;8,Assessments!$A$2:$A$600,0)),0)</f>
        <v>0</v>
      </c>
      <c r="DE86" s="28" t="n">
        <f aca="false">IFERROR(INDEX(Assessments!$J$2:$J$600,MATCH($H86&amp;"|"&amp;$I86&amp;"|"&amp;$J86&amp;"|"&amp;9,Assessments!$A$2:$A$600,0)),0)</f>
        <v>0</v>
      </c>
      <c r="DF86" s="28" t="n">
        <f aca="false">IFERROR(INDEX(Assessments!$J$2:$J$600,MATCH($H86&amp;"|"&amp;$I86&amp;"|"&amp;$J86&amp;"|"&amp;10,Assessments!$A$2:$A$600,0)),0)</f>
        <v>0</v>
      </c>
      <c r="DG86" s="28" t="n">
        <f aca="false">IFERROR(INDEX(Assessments!$J$2:$J$600,MATCH($H86&amp;"|"&amp;$I86&amp;"|"&amp;$J86&amp;"|"&amp;11,Assessments!$A$2:$A$600,0)),0)</f>
        <v>0</v>
      </c>
      <c r="DH86" s="28" t="n">
        <f aca="false">IFERROR(INDEX(Assessments!$J$2:$J$600,MATCH($H86&amp;"|"&amp;$I86&amp;"|"&amp;$J86&amp;"|"&amp;12,Assessments!$A$2:$A$600,0)),0)</f>
        <v>0</v>
      </c>
      <c r="DI86" s="28" t="n">
        <f aca="false">IFERROR(INDEX(Assessments!$J$2:$J$600,MATCH($H86&amp;"|"&amp;$I86&amp;"|"&amp;$J86&amp;"|"&amp;13,Assessments!$A$2:$A$600,0)),0)</f>
        <v>0</v>
      </c>
      <c r="DJ86" s="28" t="n">
        <f aca="false">IFERROR(INDEX(Assessments!$J$2:$J$600,MATCH($H86&amp;"|"&amp;$I86&amp;"|"&amp;$J86&amp;"|"&amp;14,Assessments!$A$2:$A$600,0)),0)</f>
        <v>0</v>
      </c>
      <c r="DK86" s="28" t="n">
        <f aca="false">S86</f>
        <v>6</v>
      </c>
      <c r="DL86" s="28" t="n">
        <f aca="false">W86</f>
        <v>7</v>
      </c>
      <c r="DM86" s="28" t="n">
        <f aca="false">AA86</f>
        <v>7</v>
      </c>
      <c r="DN86" s="28" t="n">
        <f aca="false">AE86</f>
        <v>6</v>
      </c>
      <c r="DO86" s="28" t="n">
        <f aca="false">AI86</f>
        <v>7</v>
      </c>
      <c r="DP86" s="28" t="str">
        <f aca="false">AM86</f>
        <v/>
      </c>
      <c r="DQ86" s="28" t="str">
        <f aca="false">AQ86</f>
        <v/>
      </c>
      <c r="DR86" s="28" t="str">
        <f aca="false">AU86</f>
        <v/>
      </c>
      <c r="DS86" s="28" t="str">
        <f aca="false">AY86</f>
        <v/>
      </c>
      <c r="DT86" s="28" t="str">
        <f aca="false">BC86</f>
        <v/>
      </c>
      <c r="DU86" s="28" t="str">
        <f aca="false">BG86</f>
        <v/>
      </c>
      <c r="DV86" s="28" t="str">
        <f aca="false">BK86</f>
        <v/>
      </c>
      <c r="DW86" s="28" t="str">
        <f aca="false">BO86</f>
        <v/>
      </c>
      <c r="DX86" s="28" t="str">
        <f aca="false">BS86</f>
        <v/>
      </c>
      <c r="DY86" s="28" t="n">
        <f aca="false">IF(ISNUMBER(S86),1,"")</f>
        <v>1</v>
      </c>
      <c r="DZ86" s="28" t="n">
        <f aca="false">IF(ISNUMBER(W86),2,"")</f>
        <v>2</v>
      </c>
      <c r="EA86" s="28" t="n">
        <f aca="false">IF(ISNUMBER(AA86),3,"")</f>
        <v>3</v>
      </c>
      <c r="EB86" s="28" t="n">
        <f aca="false">IF(ISNUMBER(AE86),4,"")</f>
        <v>4</v>
      </c>
      <c r="EC86" s="28" t="n">
        <f aca="false">IF(ISNUMBER(AI86),5,"")</f>
        <v>5</v>
      </c>
      <c r="ED86" s="28" t="str">
        <f aca="false">IF(ISNUMBER(AM86),6,"")</f>
        <v/>
      </c>
      <c r="EE86" s="28" t="str">
        <f aca="false">IF(ISNUMBER(AQ86),7,"")</f>
        <v/>
      </c>
      <c r="EF86" s="28" t="str">
        <f aca="false">IF(ISNUMBER(AU86),8,"")</f>
        <v/>
      </c>
      <c r="EG86" s="28" t="str">
        <f aca="false">IF(ISNUMBER(AY86),9,"")</f>
        <v/>
      </c>
      <c r="EH86" s="28" t="str">
        <f aca="false">IF(ISNUMBER(BC86),10,"")</f>
        <v/>
      </c>
      <c r="EI86" s="28" t="str">
        <f aca="false">IF(ISNUMBER(BG86),11,"")</f>
        <v/>
      </c>
      <c r="EJ86" s="28" t="str">
        <f aca="false">IF(ISNUMBER(BK86),12,"")</f>
        <v/>
      </c>
      <c r="EK86" s="28" t="str">
        <f aca="false">IF(ISNUMBER(BO86),13,"")</f>
        <v/>
      </c>
      <c r="EL86" s="28" t="str">
        <f aca="false">IF(ISNUMBER(BS86),14,"")</f>
        <v/>
      </c>
      <c r="EM86" s="28" t="n">
        <f aca="false">IF(ISNUMBER(R86),R86*CW86,0)</f>
        <v>80</v>
      </c>
      <c r="EN86" s="28" t="n">
        <f aca="false">IF(ISNUMBER(V86),V86*CX86,0)</f>
        <v>95.8333333333333</v>
      </c>
      <c r="EO86" s="28" t="n">
        <f aca="false">IF(ISNUMBER(Z86),Z86*CY86,0)</f>
        <v>92</v>
      </c>
      <c r="EP86" s="28" t="n">
        <f aca="false">IF(ISNUMBER(AD86),AD86*CZ86,0)</f>
        <v>77.1428571428572</v>
      </c>
      <c r="EQ86" s="28" t="n">
        <f aca="false">IF(ISNUMBER(AH86),AH86*DA86,0)</f>
        <v>170.909090909091</v>
      </c>
      <c r="ER86" s="28" t="n">
        <f aca="false">IF(ISNUMBER(AL86),AL86*DB86,0)</f>
        <v>0</v>
      </c>
      <c r="ES86" s="28" t="n">
        <f aca="false">IF(ISNUMBER(AP86),AP86*DC86,0)</f>
        <v>0</v>
      </c>
      <c r="ET86" s="28" t="n">
        <f aca="false">IF(ISNUMBER(AT86),AT86*DD86,0)</f>
        <v>0</v>
      </c>
      <c r="EU86" s="28" t="n">
        <f aca="false">IF(ISNUMBER(AX86),AX86*DE86,0)</f>
        <v>0</v>
      </c>
      <c r="EV86" s="28" t="n">
        <f aca="false">IF(ISNUMBER(BB86),BB86*DF86,0)</f>
        <v>0</v>
      </c>
      <c r="EW86" s="28" t="n">
        <f aca="false">IF(ISNUMBER(BF86),BF86*DG86,0)</f>
        <v>0</v>
      </c>
      <c r="EX86" s="28" t="n">
        <f aca="false">IF(ISNUMBER(BJ86),BJ86*DH86,0)</f>
        <v>0</v>
      </c>
      <c r="EY86" s="28" t="n">
        <f aca="false">IF(ISNUMBER(BN86),BN86*DI86,0)</f>
        <v>0</v>
      </c>
      <c r="EZ86" s="28" t="n">
        <f aca="false">IF(ISNUMBER(BR86),BR86*DJ86,0)</f>
        <v>0</v>
      </c>
      <c r="FA86" s="28" t="n">
        <f aca="false">IF(ISNUMBER(R86),CW86,0)</f>
        <v>1</v>
      </c>
      <c r="FB86" s="28" t="n">
        <f aca="false">IF(ISNUMBER(V86),CX86,0)</f>
        <v>1</v>
      </c>
      <c r="FC86" s="28" t="n">
        <f aca="false">IF(ISNUMBER(Z86),CY86,0)</f>
        <v>1</v>
      </c>
      <c r="FD86" s="28" t="n">
        <f aca="false">IF(ISNUMBER(AD86),CZ86,0)</f>
        <v>1</v>
      </c>
      <c r="FE86" s="28" t="n">
        <f aca="false">IF(ISNUMBER(AH86),DA86,0)</f>
        <v>2</v>
      </c>
      <c r="FF86" s="28" t="n">
        <f aca="false">IF(ISNUMBER(AL86),DB86,0)</f>
        <v>0</v>
      </c>
      <c r="FG86" s="28" t="n">
        <f aca="false">IF(ISNUMBER(AP86),DC86,0)</f>
        <v>0</v>
      </c>
      <c r="FH86" s="28" t="n">
        <f aca="false">IF(ISNUMBER(AT86),DD86,0)</f>
        <v>0</v>
      </c>
      <c r="FI86" s="28" t="n">
        <f aca="false">IF(ISNUMBER(AX86),DE86,0)</f>
        <v>0</v>
      </c>
      <c r="FJ86" s="28" t="n">
        <f aca="false">IF(ISNUMBER(BB86),DF86,0)</f>
        <v>0</v>
      </c>
      <c r="FK86" s="28" t="n">
        <f aca="false">IF(ISNUMBER(BF86),DG86,0)</f>
        <v>0</v>
      </c>
      <c r="FL86" s="28" t="n">
        <f aca="false">IF(ISNUMBER(BJ86),DH86,0)</f>
        <v>0</v>
      </c>
      <c r="FM86" s="28" t="n">
        <f aca="false">IF(ISNUMBER(BN86),DI86,0)</f>
        <v>0</v>
      </c>
      <c r="FN86" s="28" t="n">
        <f aca="false">IF(ISNUMBER(BR86),DJ86,0)</f>
        <v>0</v>
      </c>
      <c r="FO86" s="28" t="str">
        <f aca="false">IFERROR(INDEX(Lists!$G$2:$G$20,MATCH($I86&amp;"|"&amp;$J86,Lists!$F$2:$F$20,0)),"")</f>
        <v>Econ Exam</v>
      </c>
    </row>
    <row r="87" customFormat="false" ht="19.5" hidden="false" customHeight="true" outlineLevel="0" collapsed="false">
      <c r="A87" s="29" t="s">
        <v>297</v>
      </c>
      <c r="B87" s="29" t="s">
        <v>298</v>
      </c>
      <c r="C87" s="30" t="s">
        <v>192</v>
      </c>
      <c r="D87" s="30" t="s">
        <v>291</v>
      </c>
      <c r="E87" s="31" t="n">
        <v>6.1</v>
      </c>
      <c r="F87" s="30" t="n">
        <v>6</v>
      </c>
      <c r="G87" s="30"/>
      <c r="H87" s="32" t="s">
        <v>23</v>
      </c>
      <c r="I87" s="33" t="s">
        <v>229</v>
      </c>
      <c r="J87" s="32" t="s">
        <v>25</v>
      </c>
      <c r="K87" s="34" t="n">
        <f aca="false">IF(OR(M87="",$E87=""),"",M87-$E87)</f>
        <v>-0.0999999999999996</v>
      </c>
      <c r="L87" s="35" t="n">
        <f aca="false">IF(SUM(FA87:FN87)=0,"",SUM(EM87:EZ87)/SUM(FA87:FN87))</f>
        <v>77.284632034632</v>
      </c>
      <c r="M87" s="36" t="n">
        <f aca="false">IF(OR(L87="",FO87=""),"",IFERROR(MATCH(L87,INDEX(Boundaries!$B$2:$I$30,MATCH(FO87,Boundaries!$A$2:$A$30,0),0),1)-1,""))</f>
        <v>6</v>
      </c>
      <c r="N87" s="37" t="n">
        <f aca="false">IF(COUNT($DY87:$EL87)&lt;2,"",INDEX($DK87:$DX87,MAX($DY87:$EL87))-INDEX($DK87:$DX87,MIN($DY87:$EL87)))</f>
        <v>1</v>
      </c>
      <c r="O87" s="37" t="n">
        <f aca="false">IF(COUNT($DY87:$EL87)&lt;2,"",INDEX($DK87:$DX87,MAX($DY87:$EL87))-INDEX($DK87:$DX87,LARGE($DY87:$EL87,2)))</f>
        <v>2</v>
      </c>
      <c r="P87" s="38" t="str">
        <f aca="false">IF(K87="","",IF(K87&gt;=0,"On/above target",IF(AND(N87&lt;&gt;"",N87&gt;=0.5),"Improving towards target",IF(AND(O87&lt;&gt;"",O87&lt;=-0.5),"Declining","Stable below target"))))</f>
        <v>Improving towards target</v>
      </c>
      <c r="Q87" s="39" t="n">
        <v>24</v>
      </c>
      <c r="R87" s="40" t="n">
        <f aca="false">IF(OR(Q87="",BU87=""),"",Q87/BU87*100)</f>
        <v>80</v>
      </c>
      <c r="S87" s="41" t="n">
        <f aca="false">IF(R87="","",IFERROR(MATCH(R87,INDEX(Boundaries!$B$2:$I$30,MATCH(CI87,Boundaries!$A$2:$A$30,0),0),1)-1,""))</f>
        <v>6</v>
      </c>
      <c r="T87" s="42" t="n">
        <f aca="false">IF(OR(S87="",$E87=""),"",S87-$E87)</f>
        <v>-0.0999999999999996</v>
      </c>
      <c r="U87" s="39" t="n">
        <v>21</v>
      </c>
      <c r="V87" s="40" t="n">
        <f aca="false">IF(OR(U87="",BV87=""),"",U87/BV87*100)</f>
        <v>87.5</v>
      </c>
      <c r="W87" s="41" t="n">
        <f aca="false">IF(V87="","",IFERROR(MATCH(V87,INDEX(Boundaries!$B$2:$I$30,MATCH(CJ87,Boundaries!$A$2:$A$30,0),0),1)-1,""))</f>
        <v>7</v>
      </c>
      <c r="X87" s="42" t="n">
        <f aca="false">IF(OR(W87="",$E87=""),"",W87-$E87)</f>
        <v>0.9</v>
      </c>
      <c r="Y87" s="39" t="n">
        <v>16</v>
      </c>
      <c r="Z87" s="40" t="n">
        <f aca="false">IF(OR(Y87="",BW87=""),"",Y87/BW87*100)</f>
        <v>64</v>
      </c>
      <c r="AA87" s="41" t="n">
        <f aca="false">IF(Z87="","",IFERROR(MATCH(Z87,INDEX(Boundaries!$B$2:$I$30,MATCH(CK87,Boundaries!$A$2:$A$30,0),0),1)-1,""))</f>
        <v>4</v>
      </c>
      <c r="AB87" s="42" t="n">
        <f aca="false">IF(OR(AA87="",$E87=""),"",AA87-$E87)</f>
        <v>-2.1</v>
      </c>
      <c r="AC87" s="39" t="n">
        <v>24</v>
      </c>
      <c r="AD87" s="40" t="n">
        <f aca="false">IF(OR(AC87="",BX87=""),"",AC87/BX87*100)</f>
        <v>68.5714285714286</v>
      </c>
      <c r="AE87" s="41" t="n">
        <f aca="false">IF(AD87="","",IFERROR(MATCH(AD87,INDEX(Boundaries!$B$2:$I$30,MATCH(CL87,Boundaries!$A$2:$A$30,0),0),1)-1,""))</f>
        <v>5</v>
      </c>
      <c r="AF87" s="42" t="n">
        <f aca="false">IF(OR(AE87="",$E87=""),"",AE87-$E87)</f>
        <v>-1.1</v>
      </c>
      <c r="AG87" s="39" t="n">
        <v>45</v>
      </c>
      <c r="AH87" s="40" t="n">
        <f aca="false">IF(OR(AG87="",BY87=""),"",AG87/BY87*100)</f>
        <v>81.8181818181818</v>
      </c>
      <c r="AI87" s="41" t="n">
        <f aca="false">IF(AH87="","",IFERROR(MATCH(AH87,INDEX(Boundaries!$B$2:$I$30,MATCH(CM87,Boundaries!$A$2:$A$30,0),0),1)-1,""))</f>
        <v>7</v>
      </c>
      <c r="AJ87" s="42" t="n">
        <f aca="false">IF(OR(AI87="",$E87=""),"",AI87-$E87)</f>
        <v>0.9</v>
      </c>
      <c r="AK87" s="39"/>
      <c r="AL87" s="40" t="str">
        <f aca="false">IF(OR(AK87="",BZ87=""),"",AK87/BZ87*100)</f>
        <v/>
      </c>
      <c r="AM87" s="41" t="str">
        <f aca="false">IF(AL87="","",IFERROR(MATCH(AL87,INDEX(Boundaries!$B$2:$I$30,MATCH(CN87,Boundaries!$A$2:$A$30,0),0),1)-1,""))</f>
        <v/>
      </c>
      <c r="AN87" s="42" t="str">
        <f aca="false">IF(OR(AM87="",$E87=""),"",AM87-$E87)</f>
        <v/>
      </c>
      <c r="AO87" s="39"/>
      <c r="AP87" s="40" t="str">
        <f aca="false">IF(OR(AO87="",CA87=""),"",AO87/CA87*100)</f>
        <v/>
      </c>
      <c r="AQ87" s="41" t="str">
        <f aca="false">IF(AP87="","",IFERROR(MATCH(AP87,INDEX(Boundaries!$B$2:$I$30,MATCH(CO87,Boundaries!$A$2:$A$30,0),0),1)-1,""))</f>
        <v/>
      </c>
      <c r="AR87" s="42" t="str">
        <f aca="false">IF(OR(AQ87="",$E87=""),"",AQ87-$E87)</f>
        <v/>
      </c>
      <c r="AS87" s="39"/>
      <c r="AT87" s="40" t="str">
        <f aca="false">IF(OR(AS87="",CB87=""),"",AS87/CB87*100)</f>
        <v/>
      </c>
      <c r="AU87" s="41" t="str">
        <f aca="false">IF(AT87="","",IFERROR(MATCH(AT87,INDEX(Boundaries!$B$2:$I$30,MATCH(CP87,Boundaries!$A$2:$A$30,0),0),1)-1,""))</f>
        <v/>
      </c>
      <c r="AV87" s="42" t="str">
        <f aca="false">IF(OR(AU87="",$E87=""),"",AU87-$E87)</f>
        <v/>
      </c>
      <c r="AW87" s="39"/>
      <c r="AX87" s="40" t="str">
        <f aca="false">IF(OR(AW87="",CC87=""),"",AW87/CC87*100)</f>
        <v/>
      </c>
      <c r="AY87" s="41" t="str">
        <f aca="false">IF(AX87="","",IFERROR(MATCH(AX87,INDEX(Boundaries!$B$2:$I$30,MATCH(CQ87,Boundaries!$A$2:$A$30,0),0),1)-1,""))</f>
        <v/>
      </c>
      <c r="AZ87" s="42" t="str">
        <f aca="false">IF(OR(AY87="",$E87=""),"",AY87-$E87)</f>
        <v/>
      </c>
      <c r="BA87" s="39"/>
      <c r="BB87" s="40" t="str">
        <f aca="false">IF(OR(BA87="",CD87=""),"",BA87/CD87*100)</f>
        <v/>
      </c>
      <c r="BC87" s="41" t="str">
        <f aca="false">IF(BB87="","",IFERROR(MATCH(BB87,INDEX(Boundaries!$B$2:$I$30,MATCH(CR87,Boundaries!$A$2:$A$30,0),0),1)-1,""))</f>
        <v/>
      </c>
      <c r="BD87" s="42" t="str">
        <f aca="false">IF(OR(BC87="",$E87=""),"",BC87-$E87)</f>
        <v/>
      </c>
      <c r="BE87" s="39"/>
      <c r="BF87" s="40" t="str">
        <f aca="false">IF(OR(BE87="",CE87=""),"",BE87/CE87*100)</f>
        <v/>
      </c>
      <c r="BG87" s="41" t="str">
        <f aca="false">IF(BF87="","",IFERROR(MATCH(BF87,INDEX(Boundaries!$B$2:$I$30,MATCH(CS87,Boundaries!$A$2:$A$30,0),0),1)-1,""))</f>
        <v/>
      </c>
      <c r="BH87" s="42" t="str">
        <f aca="false">IF(OR(BG87="",$E87=""),"",BG87-$E87)</f>
        <v/>
      </c>
      <c r="BI87" s="39"/>
      <c r="BJ87" s="40" t="str">
        <f aca="false">IF(OR(BI87="",CF87=""),"",BI87/CF87*100)</f>
        <v/>
      </c>
      <c r="BK87" s="41" t="str">
        <f aca="false">IF(BJ87="","",IFERROR(MATCH(BJ87,INDEX(Boundaries!$B$2:$I$30,MATCH(CT87,Boundaries!$A$2:$A$30,0),0),1)-1,""))</f>
        <v/>
      </c>
      <c r="BL87" s="42" t="str">
        <f aca="false">IF(OR(BK87="",$E87=""),"",BK87-$E87)</f>
        <v/>
      </c>
      <c r="BM87" s="39"/>
      <c r="BN87" s="40" t="str">
        <f aca="false">IF(OR(BM87="",CG87=""),"",BM87/CG87*100)</f>
        <v/>
      </c>
      <c r="BO87" s="41" t="str">
        <f aca="false">IF(BN87="","",IFERROR(MATCH(BN87,INDEX(Boundaries!$B$2:$I$30,MATCH(CU87,Boundaries!$A$2:$A$30,0),0),1)-1,""))</f>
        <v/>
      </c>
      <c r="BP87" s="42" t="str">
        <f aca="false">IF(OR(BO87="",$E87=""),"",BO87-$E87)</f>
        <v/>
      </c>
      <c r="BQ87" s="39"/>
      <c r="BR87" s="40" t="str">
        <f aca="false">IF(OR(BQ87="",CH87=""),"",BQ87/CH87*100)</f>
        <v/>
      </c>
      <c r="BS87" s="41" t="str">
        <f aca="false">IF(BR87="","",IFERROR(MATCH(BR87,INDEX(Boundaries!$B$2:$I$30,MATCH(CV87,Boundaries!$A$2:$A$30,0),0),1)-1,""))</f>
        <v/>
      </c>
      <c r="BT87" s="42" t="str">
        <f aca="false">IF(OR(BS87="",$E87=""),"",BS87-$E87)</f>
        <v/>
      </c>
      <c r="BU87" s="28" t="n">
        <f aca="false">IFERROR(INDEX(Assessments!$H$2:$H$600,MATCH($H87&amp;"|"&amp;$I87&amp;"|"&amp;$J87&amp;"|"&amp;1,Assessments!$A$2:$A$600,0)),"")</f>
        <v>30</v>
      </c>
      <c r="BV87" s="28" t="n">
        <f aca="false">IFERROR(INDEX(Assessments!$H$2:$H$600,MATCH($H87&amp;"|"&amp;$I87&amp;"|"&amp;$J87&amp;"|"&amp;2,Assessments!$A$2:$A$600,0)),"")</f>
        <v>24</v>
      </c>
      <c r="BW87" s="28" t="n">
        <f aca="false">IFERROR(INDEX(Assessments!$H$2:$H$600,MATCH($H87&amp;"|"&amp;$I87&amp;"|"&amp;$J87&amp;"|"&amp;3,Assessments!$A$2:$A$600,0)),"")</f>
        <v>25</v>
      </c>
      <c r="BX87" s="28" t="n">
        <f aca="false">IFERROR(INDEX(Assessments!$H$2:$H$600,MATCH($H87&amp;"|"&amp;$I87&amp;"|"&amp;$J87&amp;"|"&amp;4,Assessments!$A$2:$A$600,0)),"")</f>
        <v>35</v>
      </c>
      <c r="BY87" s="28" t="n">
        <f aca="false">IFERROR(INDEX(Assessments!$H$2:$H$600,MATCH($H87&amp;"|"&amp;$I87&amp;"|"&amp;$J87&amp;"|"&amp;5,Assessments!$A$2:$A$600,0)),"")</f>
        <v>55</v>
      </c>
      <c r="BZ87" s="28" t="n">
        <f aca="false">IFERROR(INDEX(Assessments!$H$2:$H$600,MATCH($H87&amp;"|"&amp;$I87&amp;"|"&amp;$J87&amp;"|"&amp;6,Assessments!$A$2:$A$600,0)),"")</f>
        <v>30</v>
      </c>
      <c r="CA87" s="28" t="n">
        <f aca="false">IFERROR(INDEX(Assessments!$H$2:$H$600,MATCH($H87&amp;"|"&amp;$I87&amp;"|"&amp;$J87&amp;"|"&amp;7,Assessments!$A$2:$A$600,0)),"")</f>
        <v>95</v>
      </c>
      <c r="CB87" s="28" t="str">
        <f aca="false">IFERROR(INDEX(Assessments!$H$2:$H$600,MATCH($H87&amp;"|"&amp;$I87&amp;"|"&amp;$J87&amp;"|"&amp;8,Assessments!$A$2:$A$600,0)),"")</f>
        <v/>
      </c>
      <c r="CC87" s="28" t="str">
        <f aca="false">IFERROR(INDEX(Assessments!$H$2:$H$600,MATCH($H87&amp;"|"&amp;$I87&amp;"|"&amp;$J87&amp;"|"&amp;9,Assessments!$A$2:$A$600,0)),"")</f>
        <v/>
      </c>
      <c r="CD87" s="28" t="str">
        <f aca="false">IFERROR(INDEX(Assessments!$H$2:$H$600,MATCH($H87&amp;"|"&amp;$I87&amp;"|"&amp;$J87&amp;"|"&amp;10,Assessments!$A$2:$A$600,0)),"")</f>
        <v/>
      </c>
      <c r="CE87" s="28" t="str">
        <f aca="false">IFERROR(INDEX(Assessments!$H$2:$H$600,MATCH($H87&amp;"|"&amp;$I87&amp;"|"&amp;$J87&amp;"|"&amp;11,Assessments!$A$2:$A$600,0)),"")</f>
        <v/>
      </c>
      <c r="CF87" s="28" t="str">
        <f aca="false">IFERROR(INDEX(Assessments!$H$2:$H$600,MATCH($H87&amp;"|"&amp;$I87&amp;"|"&amp;$J87&amp;"|"&amp;12,Assessments!$A$2:$A$600,0)),"")</f>
        <v/>
      </c>
      <c r="CG87" s="28" t="str">
        <f aca="false">IFERROR(INDEX(Assessments!$H$2:$H$600,MATCH($H87&amp;"|"&amp;$I87&amp;"|"&amp;$J87&amp;"|"&amp;13,Assessments!$A$2:$A$600,0)),"")</f>
        <v/>
      </c>
      <c r="CH87" s="28" t="str">
        <f aca="false">IFERROR(INDEX(Assessments!$H$2:$H$600,MATCH($H87&amp;"|"&amp;$I87&amp;"|"&amp;$J87&amp;"|"&amp;14,Assessments!$A$2:$A$600,0)),"")</f>
        <v/>
      </c>
      <c r="CI87" s="28" t="str">
        <f aca="false">IFERROR(INDEX(Assessments!$I$2:$I$600,MATCH($H87&amp;"|"&amp;$I87&amp;"|"&amp;$J87&amp;"|"&amp;1,Assessments!$A$2:$A$600,0)),"")</f>
        <v>Econ Test</v>
      </c>
      <c r="CJ87" s="28" t="str">
        <f aca="false">IFERROR(INDEX(Assessments!$I$2:$I$600,MATCH($H87&amp;"|"&amp;$I87&amp;"|"&amp;$J87&amp;"|"&amp;2,Assessments!$A$2:$A$600,0)),"")</f>
        <v>Econ Test</v>
      </c>
      <c r="CK87" s="28" t="str">
        <f aca="false">IFERROR(INDEX(Assessments!$I$2:$I$600,MATCH($H87&amp;"|"&amp;$I87&amp;"|"&amp;$J87&amp;"|"&amp;3,Assessments!$A$2:$A$600,0)),"")</f>
        <v>Econ Test</v>
      </c>
      <c r="CL87" s="28" t="str">
        <f aca="false">IFERROR(INDEX(Assessments!$I$2:$I$600,MATCH($H87&amp;"|"&amp;$I87&amp;"|"&amp;$J87&amp;"|"&amp;4,Assessments!$A$2:$A$600,0)),"")</f>
        <v>Econ Test</v>
      </c>
      <c r="CM87" s="28" t="str">
        <f aca="false">IFERROR(INDEX(Assessments!$I$2:$I$600,MATCH($H87&amp;"|"&amp;$I87&amp;"|"&amp;$J87&amp;"|"&amp;5,Assessments!$A$2:$A$600,0)),"")</f>
        <v>Econ Exam</v>
      </c>
      <c r="CN87" s="28" t="str">
        <f aca="false">IFERROR(INDEX(Assessments!$I$2:$I$600,MATCH($H87&amp;"|"&amp;$I87&amp;"|"&amp;$J87&amp;"|"&amp;6,Assessments!$A$2:$A$600,0)),"")</f>
        <v>Econ Test</v>
      </c>
      <c r="CO87" s="28" t="str">
        <f aca="false">IFERROR(INDEX(Assessments!$I$2:$I$600,MATCH($H87&amp;"|"&amp;$I87&amp;"|"&amp;$J87&amp;"|"&amp;7,Assessments!$A$2:$A$600,0)),"")</f>
        <v>Econ Exam</v>
      </c>
      <c r="CP87" s="28" t="str">
        <f aca="false">IFERROR(INDEX(Assessments!$I$2:$I$600,MATCH($H87&amp;"|"&amp;$I87&amp;"|"&amp;$J87&amp;"|"&amp;8,Assessments!$A$2:$A$600,0)),"")</f>
        <v/>
      </c>
      <c r="CQ87" s="28" t="str">
        <f aca="false">IFERROR(INDEX(Assessments!$I$2:$I$600,MATCH($H87&amp;"|"&amp;$I87&amp;"|"&amp;$J87&amp;"|"&amp;9,Assessments!$A$2:$A$600,0)),"")</f>
        <v/>
      </c>
      <c r="CR87" s="28" t="str">
        <f aca="false">IFERROR(INDEX(Assessments!$I$2:$I$600,MATCH($H87&amp;"|"&amp;$I87&amp;"|"&amp;$J87&amp;"|"&amp;10,Assessments!$A$2:$A$600,0)),"")</f>
        <v/>
      </c>
      <c r="CS87" s="28" t="str">
        <f aca="false">IFERROR(INDEX(Assessments!$I$2:$I$600,MATCH($H87&amp;"|"&amp;$I87&amp;"|"&amp;$J87&amp;"|"&amp;11,Assessments!$A$2:$A$600,0)),"")</f>
        <v/>
      </c>
      <c r="CT87" s="28" t="str">
        <f aca="false">IFERROR(INDEX(Assessments!$I$2:$I$600,MATCH($H87&amp;"|"&amp;$I87&amp;"|"&amp;$J87&amp;"|"&amp;12,Assessments!$A$2:$A$600,0)),"")</f>
        <v/>
      </c>
      <c r="CU87" s="28" t="str">
        <f aca="false">IFERROR(INDEX(Assessments!$I$2:$I$600,MATCH($H87&amp;"|"&amp;$I87&amp;"|"&amp;$J87&amp;"|"&amp;13,Assessments!$A$2:$A$600,0)),"")</f>
        <v/>
      </c>
      <c r="CV87" s="28" t="str">
        <f aca="false">IFERROR(INDEX(Assessments!$I$2:$I$600,MATCH($H87&amp;"|"&amp;$I87&amp;"|"&amp;$J87&amp;"|"&amp;14,Assessments!$A$2:$A$600,0)),"")</f>
        <v/>
      </c>
      <c r="CW87" s="28" t="n">
        <f aca="false">IFERROR(INDEX(Assessments!$J$2:$J$600,MATCH($H87&amp;"|"&amp;$I87&amp;"|"&amp;$J87&amp;"|"&amp;1,Assessments!$A$2:$A$600,0)),0)</f>
        <v>1</v>
      </c>
      <c r="CX87" s="28" t="n">
        <f aca="false">IFERROR(INDEX(Assessments!$J$2:$J$600,MATCH($H87&amp;"|"&amp;$I87&amp;"|"&amp;$J87&amp;"|"&amp;2,Assessments!$A$2:$A$600,0)),0)</f>
        <v>1</v>
      </c>
      <c r="CY87" s="28" t="n">
        <f aca="false">IFERROR(INDEX(Assessments!$J$2:$J$600,MATCH($H87&amp;"|"&amp;$I87&amp;"|"&amp;$J87&amp;"|"&amp;3,Assessments!$A$2:$A$600,0)),0)</f>
        <v>1</v>
      </c>
      <c r="CZ87" s="28" t="n">
        <f aca="false">IFERROR(INDEX(Assessments!$J$2:$J$600,MATCH($H87&amp;"|"&amp;$I87&amp;"|"&amp;$J87&amp;"|"&amp;4,Assessments!$A$2:$A$600,0)),0)</f>
        <v>1</v>
      </c>
      <c r="DA87" s="28" t="n">
        <f aca="false">IFERROR(INDEX(Assessments!$J$2:$J$600,MATCH($H87&amp;"|"&amp;$I87&amp;"|"&amp;$J87&amp;"|"&amp;5,Assessments!$A$2:$A$600,0)),0)</f>
        <v>2</v>
      </c>
      <c r="DB87" s="28" t="n">
        <f aca="false">IFERROR(INDEX(Assessments!$J$2:$J$600,MATCH($H87&amp;"|"&amp;$I87&amp;"|"&amp;$J87&amp;"|"&amp;6,Assessments!$A$2:$A$600,0)),0)</f>
        <v>1</v>
      </c>
      <c r="DC87" s="28" t="n">
        <f aca="false">IFERROR(INDEX(Assessments!$J$2:$J$600,MATCH($H87&amp;"|"&amp;$I87&amp;"|"&amp;$J87&amp;"|"&amp;7,Assessments!$A$2:$A$600,0)),0)</f>
        <v>2</v>
      </c>
      <c r="DD87" s="28" t="n">
        <f aca="false">IFERROR(INDEX(Assessments!$J$2:$J$600,MATCH($H87&amp;"|"&amp;$I87&amp;"|"&amp;$J87&amp;"|"&amp;8,Assessments!$A$2:$A$600,0)),0)</f>
        <v>0</v>
      </c>
      <c r="DE87" s="28" t="n">
        <f aca="false">IFERROR(INDEX(Assessments!$J$2:$J$600,MATCH($H87&amp;"|"&amp;$I87&amp;"|"&amp;$J87&amp;"|"&amp;9,Assessments!$A$2:$A$600,0)),0)</f>
        <v>0</v>
      </c>
      <c r="DF87" s="28" t="n">
        <f aca="false">IFERROR(INDEX(Assessments!$J$2:$J$600,MATCH($H87&amp;"|"&amp;$I87&amp;"|"&amp;$J87&amp;"|"&amp;10,Assessments!$A$2:$A$600,0)),0)</f>
        <v>0</v>
      </c>
      <c r="DG87" s="28" t="n">
        <f aca="false">IFERROR(INDEX(Assessments!$J$2:$J$600,MATCH($H87&amp;"|"&amp;$I87&amp;"|"&amp;$J87&amp;"|"&amp;11,Assessments!$A$2:$A$600,0)),0)</f>
        <v>0</v>
      </c>
      <c r="DH87" s="28" t="n">
        <f aca="false">IFERROR(INDEX(Assessments!$J$2:$J$600,MATCH($H87&amp;"|"&amp;$I87&amp;"|"&amp;$J87&amp;"|"&amp;12,Assessments!$A$2:$A$600,0)),0)</f>
        <v>0</v>
      </c>
      <c r="DI87" s="28" t="n">
        <f aca="false">IFERROR(INDEX(Assessments!$J$2:$J$600,MATCH($H87&amp;"|"&amp;$I87&amp;"|"&amp;$J87&amp;"|"&amp;13,Assessments!$A$2:$A$600,0)),0)</f>
        <v>0</v>
      </c>
      <c r="DJ87" s="28" t="n">
        <f aca="false">IFERROR(INDEX(Assessments!$J$2:$J$600,MATCH($H87&amp;"|"&amp;$I87&amp;"|"&amp;$J87&amp;"|"&amp;14,Assessments!$A$2:$A$600,0)),0)</f>
        <v>0</v>
      </c>
      <c r="DK87" s="28" t="n">
        <f aca="false">S87</f>
        <v>6</v>
      </c>
      <c r="DL87" s="28" t="n">
        <f aca="false">W87</f>
        <v>7</v>
      </c>
      <c r="DM87" s="28" t="n">
        <f aca="false">AA87</f>
        <v>4</v>
      </c>
      <c r="DN87" s="28" t="n">
        <f aca="false">AE87</f>
        <v>5</v>
      </c>
      <c r="DO87" s="28" t="n">
        <f aca="false">AI87</f>
        <v>7</v>
      </c>
      <c r="DP87" s="28" t="str">
        <f aca="false">AM87</f>
        <v/>
      </c>
      <c r="DQ87" s="28" t="str">
        <f aca="false">AQ87</f>
        <v/>
      </c>
      <c r="DR87" s="28" t="str">
        <f aca="false">AU87</f>
        <v/>
      </c>
      <c r="DS87" s="28" t="str">
        <f aca="false">AY87</f>
        <v/>
      </c>
      <c r="DT87" s="28" t="str">
        <f aca="false">BC87</f>
        <v/>
      </c>
      <c r="DU87" s="28" t="str">
        <f aca="false">BG87</f>
        <v/>
      </c>
      <c r="DV87" s="28" t="str">
        <f aca="false">BK87</f>
        <v/>
      </c>
      <c r="DW87" s="28" t="str">
        <f aca="false">BO87</f>
        <v/>
      </c>
      <c r="DX87" s="28" t="str">
        <f aca="false">BS87</f>
        <v/>
      </c>
      <c r="DY87" s="28" t="n">
        <f aca="false">IF(ISNUMBER(S87),1,"")</f>
        <v>1</v>
      </c>
      <c r="DZ87" s="28" t="n">
        <f aca="false">IF(ISNUMBER(W87),2,"")</f>
        <v>2</v>
      </c>
      <c r="EA87" s="28" t="n">
        <f aca="false">IF(ISNUMBER(AA87),3,"")</f>
        <v>3</v>
      </c>
      <c r="EB87" s="28" t="n">
        <f aca="false">IF(ISNUMBER(AE87),4,"")</f>
        <v>4</v>
      </c>
      <c r="EC87" s="28" t="n">
        <f aca="false">IF(ISNUMBER(AI87),5,"")</f>
        <v>5</v>
      </c>
      <c r="ED87" s="28" t="str">
        <f aca="false">IF(ISNUMBER(AM87),6,"")</f>
        <v/>
      </c>
      <c r="EE87" s="28" t="str">
        <f aca="false">IF(ISNUMBER(AQ87),7,"")</f>
        <v/>
      </c>
      <c r="EF87" s="28" t="str">
        <f aca="false">IF(ISNUMBER(AU87),8,"")</f>
        <v/>
      </c>
      <c r="EG87" s="28" t="str">
        <f aca="false">IF(ISNUMBER(AY87),9,"")</f>
        <v/>
      </c>
      <c r="EH87" s="28" t="str">
        <f aca="false">IF(ISNUMBER(BC87),10,"")</f>
        <v/>
      </c>
      <c r="EI87" s="28" t="str">
        <f aca="false">IF(ISNUMBER(BG87),11,"")</f>
        <v/>
      </c>
      <c r="EJ87" s="28" t="str">
        <f aca="false">IF(ISNUMBER(BK87),12,"")</f>
        <v/>
      </c>
      <c r="EK87" s="28" t="str">
        <f aca="false">IF(ISNUMBER(BO87),13,"")</f>
        <v/>
      </c>
      <c r="EL87" s="28" t="str">
        <f aca="false">IF(ISNUMBER(BS87),14,"")</f>
        <v/>
      </c>
      <c r="EM87" s="28" t="n">
        <f aca="false">IF(ISNUMBER(R87),R87*CW87,0)</f>
        <v>80</v>
      </c>
      <c r="EN87" s="28" t="n">
        <f aca="false">IF(ISNUMBER(V87),V87*CX87,0)</f>
        <v>87.5</v>
      </c>
      <c r="EO87" s="28" t="n">
        <f aca="false">IF(ISNUMBER(Z87),Z87*CY87,0)</f>
        <v>64</v>
      </c>
      <c r="EP87" s="28" t="n">
        <f aca="false">IF(ISNUMBER(AD87),AD87*CZ87,0)</f>
        <v>68.5714285714286</v>
      </c>
      <c r="EQ87" s="28" t="n">
        <f aca="false">IF(ISNUMBER(AH87),AH87*DA87,0)</f>
        <v>163.636363636364</v>
      </c>
      <c r="ER87" s="28" t="n">
        <f aca="false">IF(ISNUMBER(AL87),AL87*DB87,0)</f>
        <v>0</v>
      </c>
      <c r="ES87" s="28" t="n">
        <f aca="false">IF(ISNUMBER(AP87),AP87*DC87,0)</f>
        <v>0</v>
      </c>
      <c r="ET87" s="28" t="n">
        <f aca="false">IF(ISNUMBER(AT87),AT87*DD87,0)</f>
        <v>0</v>
      </c>
      <c r="EU87" s="28" t="n">
        <f aca="false">IF(ISNUMBER(AX87),AX87*DE87,0)</f>
        <v>0</v>
      </c>
      <c r="EV87" s="28" t="n">
        <f aca="false">IF(ISNUMBER(BB87),BB87*DF87,0)</f>
        <v>0</v>
      </c>
      <c r="EW87" s="28" t="n">
        <f aca="false">IF(ISNUMBER(BF87),BF87*DG87,0)</f>
        <v>0</v>
      </c>
      <c r="EX87" s="28" t="n">
        <f aca="false">IF(ISNUMBER(BJ87),BJ87*DH87,0)</f>
        <v>0</v>
      </c>
      <c r="EY87" s="28" t="n">
        <f aca="false">IF(ISNUMBER(BN87),BN87*DI87,0)</f>
        <v>0</v>
      </c>
      <c r="EZ87" s="28" t="n">
        <f aca="false">IF(ISNUMBER(BR87),BR87*DJ87,0)</f>
        <v>0</v>
      </c>
      <c r="FA87" s="28" t="n">
        <f aca="false">IF(ISNUMBER(R87),CW87,0)</f>
        <v>1</v>
      </c>
      <c r="FB87" s="28" t="n">
        <f aca="false">IF(ISNUMBER(V87),CX87,0)</f>
        <v>1</v>
      </c>
      <c r="FC87" s="28" t="n">
        <f aca="false">IF(ISNUMBER(Z87),CY87,0)</f>
        <v>1</v>
      </c>
      <c r="FD87" s="28" t="n">
        <f aca="false">IF(ISNUMBER(AD87),CZ87,0)</f>
        <v>1</v>
      </c>
      <c r="FE87" s="28" t="n">
        <f aca="false">IF(ISNUMBER(AH87),DA87,0)</f>
        <v>2</v>
      </c>
      <c r="FF87" s="28" t="n">
        <f aca="false">IF(ISNUMBER(AL87),DB87,0)</f>
        <v>0</v>
      </c>
      <c r="FG87" s="28" t="n">
        <f aca="false">IF(ISNUMBER(AP87),DC87,0)</f>
        <v>0</v>
      </c>
      <c r="FH87" s="28" t="n">
        <f aca="false">IF(ISNUMBER(AT87),DD87,0)</f>
        <v>0</v>
      </c>
      <c r="FI87" s="28" t="n">
        <f aca="false">IF(ISNUMBER(AX87),DE87,0)</f>
        <v>0</v>
      </c>
      <c r="FJ87" s="28" t="n">
        <f aca="false">IF(ISNUMBER(BB87),DF87,0)</f>
        <v>0</v>
      </c>
      <c r="FK87" s="28" t="n">
        <f aca="false">IF(ISNUMBER(BF87),DG87,0)</f>
        <v>0</v>
      </c>
      <c r="FL87" s="28" t="n">
        <f aca="false">IF(ISNUMBER(BJ87),DH87,0)</f>
        <v>0</v>
      </c>
      <c r="FM87" s="28" t="n">
        <f aca="false">IF(ISNUMBER(BN87),DI87,0)</f>
        <v>0</v>
      </c>
      <c r="FN87" s="28" t="n">
        <f aca="false">IF(ISNUMBER(BR87),DJ87,0)</f>
        <v>0</v>
      </c>
      <c r="FO87" s="28" t="str">
        <f aca="false">IFERROR(INDEX(Lists!$G$2:$G$20,MATCH($I87&amp;"|"&amp;$J87,Lists!$F$2:$F$20,0)),"")</f>
        <v>Econ Exam</v>
      </c>
    </row>
    <row r="88" customFormat="false" ht="19.5" hidden="false" customHeight="true" outlineLevel="0" collapsed="false">
      <c r="A88" s="29" t="s">
        <v>299</v>
      </c>
      <c r="B88" s="29" t="s">
        <v>300</v>
      </c>
      <c r="C88" s="30" t="s">
        <v>192</v>
      </c>
      <c r="D88" s="30" t="s">
        <v>291</v>
      </c>
      <c r="E88" s="31" t="n">
        <v>6.8</v>
      </c>
      <c r="F88" s="30" t="n">
        <v>7</v>
      </c>
      <c r="G88" s="30"/>
      <c r="H88" s="32" t="s">
        <v>23</v>
      </c>
      <c r="I88" s="33" t="s">
        <v>229</v>
      </c>
      <c r="J88" s="32" t="s">
        <v>25</v>
      </c>
      <c r="K88" s="34" t="n">
        <f aca="false">IF(OR(M88="",$E88=""),"",M88-$E88)</f>
        <v>-0.8</v>
      </c>
      <c r="L88" s="35" t="n">
        <f aca="false">IF(SUM(FA88:FN88)=0,"",SUM(EM88:EZ88)/SUM(FA88:FN88))</f>
        <v>76.203823953824</v>
      </c>
      <c r="M88" s="36" t="n">
        <f aca="false">IF(OR(L88="",FO88=""),"",IFERROR(MATCH(L88,INDEX(Boundaries!$B$2:$I$30,MATCH(FO88,Boundaries!$A$2:$A$30,0),0),1)-1,""))</f>
        <v>6</v>
      </c>
      <c r="N88" s="37" t="n">
        <f aca="false">IF(COUNT($DY88:$EL88)&lt;2,"",INDEX($DK88:$DX88,MAX($DY88:$EL88))-INDEX($DK88:$DX88,MIN($DY88:$EL88)))</f>
        <v>0</v>
      </c>
      <c r="O88" s="37" t="n">
        <f aca="false">IF(COUNT($DY88:$EL88)&lt;2,"",INDEX($DK88:$DX88,MAX($DY88:$EL88))-INDEX($DK88:$DX88,LARGE($DY88:$EL88,2)))</f>
        <v>1</v>
      </c>
      <c r="P88" s="38" t="str">
        <f aca="false">IF(K88="","",IF(K88&gt;=0,"On/above target",IF(AND(N88&lt;&gt;"",N88&gt;=0.5),"Improving towards target",IF(AND(O88&lt;&gt;"",O88&lt;=-0.5),"Declining","Stable below target"))))</f>
        <v>Stable below target</v>
      </c>
      <c r="Q88" s="39" t="n">
        <v>25</v>
      </c>
      <c r="R88" s="40" t="n">
        <f aca="false">IF(OR(Q88="",BU88=""),"",Q88/BU88*100)</f>
        <v>83.3333333333333</v>
      </c>
      <c r="S88" s="41" t="n">
        <f aca="false">IF(R88="","",IFERROR(MATCH(R88,INDEX(Boundaries!$B$2:$I$30,MATCH(CI88,Boundaries!$A$2:$A$30,0),0),1)-1,""))</f>
        <v>6</v>
      </c>
      <c r="T88" s="42" t="n">
        <f aca="false">IF(OR(S88="",$E88=""),"",S88-$E88)</f>
        <v>-0.8</v>
      </c>
      <c r="U88" s="39" t="n">
        <v>21</v>
      </c>
      <c r="V88" s="40" t="n">
        <f aca="false">IF(OR(U88="",BV88=""),"",U88/BV88*100)</f>
        <v>87.5</v>
      </c>
      <c r="W88" s="41" t="n">
        <f aca="false">IF(V88="","",IFERROR(MATCH(V88,INDEX(Boundaries!$B$2:$I$30,MATCH(CJ88,Boundaries!$A$2:$A$30,0),0),1)-1,""))</f>
        <v>7</v>
      </c>
      <c r="X88" s="42" t="n">
        <f aca="false">IF(OR(W88="",$E88=""),"",W88-$E88)</f>
        <v>0.2</v>
      </c>
      <c r="Y88" s="39" t="n">
        <v>19</v>
      </c>
      <c r="Z88" s="40" t="n">
        <f aca="false">IF(OR(Y88="",BW88=""),"",Y88/BW88*100)</f>
        <v>76</v>
      </c>
      <c r="AA88" s="41" t="n">
        <f aca="false">IF(Z88="","",IFERROR(MATCH(Z88,INDEX(Boundaries!$B$2:$I$30,MATCH(CK88,Boundaries!$A$2:$A$30,0),0),1)-1,""))</f>
        <v>6</v>
      </c>
      <c r="AB88" s="42" t="n">
        <f aca="false">IF(OR(AA88="",$E88=""),"",AA88-$E88)</f>
        <v>-0.8</v>
      </c>
      <c r="AC88" s="39" t="n">
        <v>24</v>
      </c>
      <c r="AD88" s="40" t="n">
        <f aca="false">IF(OR(AC88="",BX88=""),"",AC88/BX88*100)</f>
        <v>68.5714285714286</v>
      </c>
      <c r="AE88" s="41" t="n">
        <f aca="false">IF(AD88="","",IFERROR(MATCH(AD88,INDEX(Boundaries!$B$2:$I$30,MATCH(CL88,Boundaries!$A$2:$A$30,0),0),1)-1,""))</f>
        <v>5</v>
      </c>
      <c r="AF88" s="42" t="n">
        <f aca="false">IF(OR(AE88="",$E88=""),"",AE88-$E88)</f>
        <v>-1.8</v>
      </c>
      <c r="AG88" s="39" t="n">
        <v>39</v>
      </c>
      <c r="AH88" s="40" t="n">
        <f aca="false">IF(OR(AG88="",BY88=""),"",AG88/BY88*100)</f>
        <v>70.9090909090909</v>
      </c>
      <c r="AI88" s="41" t="n">
        <f aca="false">IF(AH88="","",IFERROR(MATCH(AH88,INDEX(Boundaries!$B$2:$I$30,MATCH(CM88,Boundaries!$A$2:$A$30,0),0),1)-1,""))</f>
        <v>6</v>
      </c>
      <c r="AJ88" s="42" t="n">
        <f aca="false">IF(OR(AI88="",$E88=""),"",AI88-$E88)</f>
        <v>-0.8</v>
      </c>
      <c r="AK88" s="39"/>
      <c r="AL88" s="40" t="str">
        <f aca="false">IF(OR(AK88="",BZ88=""),"",AK88/BZ88*100)</f>
        <v/>
      </c>
      <c r="AM88" s="41" t="str">
        <f aca="false">IF(AL88="","",IFERROR(MATCH(AL88,INDEX(Boundaries!$B$2:$I$30,MATCH(CN88,Boundaries!$A$2:$A$30,0),0),1)-1,""))</f>
        <v/>
      </c>
      <c r="AN88" s="42" t="str">
        <f aca="false">IF(OR(AM88="",$E88=""),"",AM88-$E88)</f>
        <v/>
      </c>
      <c r="AO88" s="39"/>
      <c r="AP88" s="40" t="str">
        <f aca="false">IF(OR(AO88="",CA88=""),"",AO88/CA88*100)</f>
        <v/>
      </c>
      <c r="AQ88" s="41" t="str">
        <f aca="false">IF(AP88="","",IFERROR(MATCH(AP88,INDEX(Boundaries!$B$2:$I$30,MATCH(CO88,Boundaries!$A$2:$A$30,0),0),1)-1,""))</f>
        <v/>
      </c>
      <c r="AR88" s="42" t="str">
        <f aca="false">IF(OR(AQ88="",$E88=""),"",AQ88-$E88)</f>
        <v/>
      </c>
      <c r="AS88" s="39"/>
      <c r="AT88" s="40" t="str">
        <f aca="false">IF(OR(AS88="",CB88=""),"",AS88/CB88*100)</f>
        <v/>
      </c>
      <c r="AU88" s="41" t="str">
        <f aca="false">IF(AT88="","",IFERROR(MATCH(AT88,INDEX(Boundaries!$B$2:$I$30,MATCH(CP88,Boundaries!$A$2:$A$30,0),0),1)-1,""))</f>
        <v/>
      </c>
      <c r="AV88" s="42" t="str">
        <f aca="false">IF(OR(AU88="",$E88=""),"",AU88-$E88)</f>
        <v/>
      </c>
      <c r="AW88" s="39"/>
      <c r="AX88" s="40" t="str">
        <f aca="false">IF(OR(AW88="",CC88=""),"",AW88/CC88*100)</f>
        <v/>
      </c>
      <c r="AY88" s="41" t="str">
        <f aca="false">IF(AX88="","",IFERROR(MATCH(AX88,INDEX(Boundaries!$B$2:$I$30,MATCH(CQ88,Boundaries!$A$2:$A$30,0),0),1)-1,""))</f>
        <v/>
      </c>
      <c r="AZ88" s="42" t="str">
        <f aca="false">IF(OR(AY88="",$E88=""),"",AY88-$E88)</f>
        <v/>
      </c>
      <c r="BA88" s="39"/>
      <c r="BB88" s="40" t="str">
        <f aca="false">IF(OR(BA88="",CD88=""),"",BA88/CD88*100)</f>
        <v/>
      </c>
      <c r="BC88" s="41" t="str">
        <f aca="false">IF(BB88="","",IFERROR(MATCH(BB88,INDEX(Boundaries!$B$2:$I$30,MATCH(CR88,Boundaries!$A$2:$A$30,0),0),1)-1,""))</f>
        <v/>
      </c>
      <c r="BD88" s="42" t="str">
        <f aca="false">IF(OR(BC88="",$E88=""),"",BC88-$E88)</f>
        <v/>
      </c>
      <c r="BE88" s="39"/>
      <c r="BF88" s="40" t="str">
        <f aca="false">IF(OR(BE88="",CE88=""),"",BE88/CE88*100)</f>
        <v/>
      </c>
      <c r="BG88" s="41" t="str">
        <f aca="false">IF(BF88="","",IFERROR(MATCH(BF88,INDEX(Boundaries!$B$2:$I$30,MATCH(CS88,Boundaries!$A$2:$A$30,0),0),1)-1,""))</f>
        <v/>
      </c>
      <c r="BH88" s="42" t="str">
        <f aca="false">IF(OR(BG88="",$E88=""),"",BG88-$E88)</f>
        <v/>
      </c>
      <c r="BI88" s="39"/>
      <c r="BJ88" s="40" t="str">
        <f aca="false">IF(OR(BI88="",CF88=""),"",BI88/CF88*100)</f>
        <v/>
      </c>
      <c r="BK88" s="41" t="str">
        <f aca="false">IF(BJ88="","",IFERROR(MATCH(BJ88,INDEX(Boundaries!$B$2:$I$30,MATCH(CT88,Boundaries!$A$2:$A$30,0),0),1)-1,""))</f>
        <v/>
      </c>
      <c r="BL88" s="42" t="str">
        <f aca="false">IF(OR(BK88="",$E88=""),"",BK88-$E88)</f>
        <v/>
      </c>
      <c r="BM88" s="39"/>
      <c r="BN88" s="40" t="str">
        <f aca="false">IF(OR(BM88="",CG88=""),"",BM88/CG88*100)</f>
        <v/>
      </c>
      <c r="BO88" s="41" t="str">
        <f aca="false">IF(BN88="","",IFERROR(MATCH(BN88,INDEX(Boundaries!$B$2:$I$30,MATCH(CU88,Boundaries!$A$2:$A$30,0),0),1)-1,""))</f>
        <v/>
      </c>
      <c r="BP88" s="42" t="str">
        <f aca="false">IF(OR(BO88="",$E88=""),"",BO88-$E88)</f>
        <v/>
      </c>
      <c r="BQ88" s="39"/>
      <c r="BR88" s="40" t="str">
        <f aca="false">IF(OR(BQ88="",CH88=""),"",BQ88/CH88*100)</f>
        <v/>
      </c>
      <c r="BS88" s="41" t="str">
        <f aca="false">IF(BR88="","",IFERROR(MATCH(BR88,INDEX(Boundaries!$B$2:$I$30,MATCH(CV88,Boundaries!$A$2:$A$30,0),0),1)-1,""))</f>
        <v/>
      </c>
      <c r="BT88" s="42" t="str">
        <f aca="false">IF(OR(BS88="",$E88=""),"",BS88-$E88)</f>
        <v/>
      </c>
      <c r="BU88" s="28" t="n">
        <f aca="false">IFERROR(INDEX(Assessments!$H$2:$H$600,MATCH($H88&amp;"|"&amp;$I88&amp;"|"&amp;$J88&amp;"|"&amp;1,Assessments!$A$2:$A$600,0)),"")</f>
        <v>30</v>
      </c>
      <c r="BV88" s="28" t="n">
        <f aca="false">IFERROR(INDEX(Assessments!$H$2:$H$600,MATCH($H88&amp;"|"&amp;$I88&amp;"|"&amp;$J88&amp;"|"&amp;2,Assessments!$A$2:$A$600,0)),"")</f>
        <v>24</v>
      </c>
      <c r="BW88" s="28" t="n">
        <f aca="false">IFERROR(INDEX(Assessments!$H$2:$H$600,MATCH($H88&amp;"|"&amp;$I88&amp;"|"&amp;$J88&amp;"|"&amp;3,Assessments!$A$2:$A$600,0)),"")</f>
        <v>25</v>
      </c>
      <c r="BX88" s="28" t="n">
        <f aca="false">IFERROR(INDEX(Assessments!$H$2:$H$600,MATCH($H88&amp;"|"&amp;$I88&amp;"|"&amp;$J88&amp;"|"&amp;4,Assessments!$A$2:$A$600,0)),"")</f>
        <v>35</v>
      </c>
      <c r="BY88" s="28" t="n">
        <f aca="false">IFERROR(INDEX(Assessments!$H$2:$H$600,MATCH($H88&amp;"|"&amp;$I88&amp;"|"&amp;$J88&amp;"|"&amp;5,Assessments!$A$2:$A$600,0)),"")</f>
        <v>55</v>
      </c>
      <c r="BZ88" s="28" t="n">
        <f aca="false">IFERROR(INDEX(Assessments!$H$2:$H$600,MATCH($H88&amp;"|"&amp;$I88&amp;"|"&amp;$J88&amp;"|"&amp;6,Assessments!$A$2:$A$600,0)),"")</f>
        <v>30</v>
      </c>
      <c r="CA88" s="28" t="n">
        <f aca="false">IFERROR(INDEX(Assessments!$H$2:$H$600,MATCH($H88&amp;"|"&amp;$I88&amp;"|"&amp;$J88&amp;"|"&amp;7,Assessments!$A$2:$A$600,0)),"")</f>
        <v>95</v>
      </c>
      <c r="CB88" s="28" t="str">
        <f aca="false">IFERROR(INDEX(Assessments!$H$2:$H$600,MATCH($H88&amp;"|"&amp;$I88&amp;"|"&amp;$J88&amp;"|"&amp;8,Assessments!$A$2:$A$600,0)),"")</f>
        <v/>
      </c>
      <c r="CC88" s="28" t="str">
        <f aca="false">IFERROR(INDEX(Assessments!$H$2:$H$600,MATCH($H88&amp;"|"&amp;$I88&amp;"|"&amp;$J88&amp;"|"&amp;9,Assessments!$A$2:$A$600,0)),"")</f>
        <v/>
      </c>
      <c r="CD88" s="28" t="str">
        <f aca="false">IFERROR(INDEX(Assessments!$H$2:$H$600,MATCH($H88&amp;"|"&amp;$I88&amp;"|"&amp;$J88&amp;"|"&amp;10,Assessments!$A$2:$A$600,0)),"")</f>
        <v/>
      </c>
      <c r="CE88" s="28" t="str">
        <f aca="false">IFERROR(INDEX(Assessments!$H$2:$H$600,MATCH($H88&amp;"|"&amp;$I88&amp;"|"&amp;$J88&amp;"|"&amp;11,Assessments!$A$2:$A$600,0)),"")</f>
        <v/>
      </c>
      <c r="CF88" s="28" t="str">
        <f aca="false">IFERROR(INDEX(Assessments!$H$2:$H$600,MATCH($H88&amp;"|"&amp;$I88&amp;"|"&amp;$J88&amp;"|"&amp;12,Assessments!$A$2:$A$600,0)),"")</f>
        <v/>
      </c>
      <c r="CG88" s="28" t="str">
        <f aca="false">IFERROR(INDEX(Assessments!$H$2:$H$600,MATCH($H88&amp;"|"&amp;$I88&amp;"|"&amp;$J88&amp;"|"&amp;13,Assessments!$A$2:$A$600,0)),"")</f>
        <v/>
      </c>
      <c r="CH88" s="28" t="str">
        <f aca="false">IFERROR(INDEX(Assessments!$H$2:$H$600,MATCH($H88&amp;"|"&amp;$I88&amp;"|"&amp;$J88&amp;"|"&amp;14,Assessments!$A$2:$A$600,0)),"")</f>
        <v/>
      </c>
      <c r="CI88" s="28" t="str">
        <f aca="false">IFERROR(INDEX(Assessments!$I$2:$I$600,MATCH($H88&amp;"|"&amp;$I88&amp;"|"&amp;$J88&amp;"|"&amp;1,Assessments!$A$2:$A$600,0)),"")</f>
        <v>Econ Test</v>
      </c>
      <c r="CJ88" s="28" t="str">
        <f aca="false">IFERROR(INDEX(Assessments!$I$2:$I$600,MATCH($H88&amp;"|"&amp;$I88&amp;"|"&amp;$J88&amp;"|"&amp;2,Assessments!$A$2:$A$600,0)),"")</f>
        <v>Econ Test</v>
      </c>
      <c r="CK88" s="28" t="str">
        <f aca="false">IFERROR(INDEX(Assessments!$I$2:$I$600,MATCH($H88&amp;"|"&amp;$I88&amp;"|"&amp;$J88&amp;"|"&amp;3,Assessments!$A$2:$A$600,0)),"")</f>
        <v>Econ Test</v>
      </c>
      <c r="CL88" s="28" t="str">
        <f aca="false">IFERROR(INDEX(Assessments!$I$2:$I$600,MATCH($H88&amp;"|"&amp;$I88&amp;"|"&amp;$J88&amp;"|"&amp;4,Assessments!$A$2:$A$600,0)),"")</f>
        <v>Econ Test</v>
      </c>
      <c r="CM88" s="28" t="str">
        <f aca="false">IFERROR(INDEX(Assessments!$I$2:$I$600,MATCH($H88&amp;"|"&amp;$I88&amp;"|"&amp;$J88&amp;"|"&amp;5,Assessments!$A$2:$A$600,0)),"")</f>
        <v>Econ Exam</v>
      </c>
      <c r="CN88" s="28" t="str">
        <f aca="false">IFERROR(INDEX(Assessments!$I$2:$I$600,MATCH($H88&amp;"|"&amp;$I88&amp;"|"&amp;$J88&amp;"|"&amp;6,Assessments!$A$2:$A$600,0)),"")</f>
        <v>Econ Test</v>
      </c>
      <c r="CO88" s="28" t="str">
        <f aca="false">IFERROR(INDEX(Assessments!$I$2:$I$600,MATCH($H88&amp;"|"&amp;$I88&amp;"|"&amp;$J88&amp;"|"&amp;7,Assessments!$A$2:$A$600,0)),"")</f>
        <v>Econ Exam</v>
      </c>
      <c r="CP88" s="28" t="str">
        <f aca="false">IFERROR(INDEX(Assessments!$I$2:$I$600,MATCH($H88&amp;"|"&amp;$I88&amp;"|"&amp;$J88&amp;"|"&amp;8,Assessments!$A$2:$A$600,0)),"")</f>
        <v/>
      </c>
      <c r="CQ88" s="28" t="str">
        <f aca="false">IFERROR(INDEX(Assessments!$I$2:$I$600,MATCH($H88&amp;"|"&amp;$I88&amp;"|"&amp;$J88&amp;"|"&amp;9,Assessments!$A$2:$A$600,0)),"")</f>
        <v/>
      </c>
      <c r="CR88" s="28" t="str">
        <f aca="false">IFERROR(INDEX(Assessments!$I$2:$I$600,MATCH($H88&amp;"|"&amp;$I88&amp;"|"&amp;$J88&amp;"|"&amp;10,Assessments!$A$2:$A$600,0)),"")</f>
        <v/>
      </c>
      <c r="CS88" s="28" t="str">
        <f aca="false">IFERROR(INDEX(Assessments!$I$2:$I$600,MATCH($H88&amp;"|"&amp;$I88&amp;"|"&amp;$J88&amp;"|"&amp;11,Assessments!$A$2:$A$600,0)),"")</f>
        <v/>
      </c>
      <c r="CT88" s="28" t="str">
        <f aca="false">IFERROR(INDEX(Assessments!$I$2:$I$600,MATCH($H88&amp;"|"&amp;$I88&amp;"|"&amp;$J88&amp;"|"&amp;12,Assessments!$A$2:$A$600,0)),"")</f>
        <v/>
      </c>
      <c r="CU88" s="28" t="str">
        <f aca="false">IFERROR(INDEX(Assessments!$I$2:$I$600,MATCH($H88&amp;"|"&amp;$I88&amp;"|"&amp;$J88&amp;"|"&amp;13,Assessments!$A$2:$A$600,0)),"")</f>
        <v/>
      </c>
      <c r="CV88" s="28" t="str">
        <f aca="false">IFERROR(INDEX(Assessments!$I$2:$I$600,MATCH($H88&amp;"|"&amp;$I88&amp;"|"&amp;$J88&amp;"|"&amp;14,Assessments!$A$2:$A$600,0)),"")</f>
        <v/>
      </c>
      <c r="CW88" s="28" t="n">
        <f aca="false">IFERROR(INDEX(Assessments!$J$2:$J$600,MATCH($H88&amp;"|"&amp;$I88&amp;"|"&amp;$J88&amp;"|"&amp;1,Assessments!$A$2:$A$600,0)),0)</f>
        <v>1</v>
      </c>
      <c r="CX88" s="28" t="n">
        <f aca="false">IFERROR(INDEX(Assessments!$J$2:$J$600,MATCH($H88&amp;"|"&amp;$I88&amp;"|"&amp;$J88&amp;"|"&amp;2,Assessments!$A$2:$A$600,0)),0)</f>
        <v>1</v>
      </c>
      <c r="CY88" s="28" t="n">
        <f aca="false">IFERROR(INDEX(Assessments!$J$2:$J$600,MATCH($H88&amp;"|"&amp;$I88&amp;"|"&amp;$J88&amp;"|"&amp;3,Assessments!$A$2:$A$600,0)),0)</f>
        <v>1</v>
      </c>
      <c r="CZ88" s="28" t="n">
        <f aca="false">IFERROR(INDEX(Assessments!$J$2:$J$600,MATCH($H88&amp;"|"&amp;$I88&amp;"|"&amp;$J88&amp;"|"&amp;4,Assessments!$A$2:$A$600,0)),0)</f>
        <v>1</v>
      </c>
      <c r="DA88" s="28" t="n">
        <f aca="false">IFERROR(INDEX(Assessments!$J$2:$J$600,MATCH($H88&amp;"|"&amp;$I88&amp;"|"&amp;$J88&amp;"|"&amp;5,Assessments!$A$2:$A$600,0)),0)</f>
        <v>2</v>
      </c>
      <c r="DB88" s="28" t="n">
        <f aca="false">IFERROR(INDEX(Assessments!$J$2:$J$600,MATCH($H88&amp;"|"&amp;$I88&amp;"|"&amp;$J88&amp;"|"&amp;6,Assessments!$A$2:$A$600,0)),0)</f>
        <v>1</v>
      </c>
      <c r="DC88" s="28" t="n">
        <f aca="false">IFERROR(INDEX(Assessments!$J$2:$J$600,MATCH($H88&amp;"|"&amp;$I88&amp;"|"&amp;$J88&amp;"|"&amp;7,Assessments!$A$2:$A$600,0)),0)</f>
        <v>2</v>
      </c>
      <c r="DD88" s="28" t="n">
        <f aca="false">IFERROR(INDEX(Assessments!$J$2:$J$600,MATCH($H88&amp;"|"&amp;$I88&amp;"|"&amp;$J88&amp;"|"&amp;8,Assessments!$A$2:$A$600,0)),0)</f>
        <v>0</v>
      </c>
      <c r="DE88" s="28" t="n">
        <f aca="false">IFERROR(INDEX(Assessments!$J$2:$J$600,MATCH($H88&amp;"|"&amp;$I88&amp;"|"&amp;$J88&amp;"|"&amp;9,Assessments!$A$2:$A$600,0)),0)</f>
        <v>0</v>
      </c>
      <c r="DF88" s="28" t="n">
        <f aca="false">IFERROR(INDEX(Assessments!$J$2:$J$600,MATCH($H88&amp;"|"&amp;$I88&amp;"|"&amp;$J88&amp;"|"&amp;10,Assessments!$A$2:$A$600,0)),0)</f>
        <v>0</v>
      </c>
      <c r="DG88" s="28" t="n">
        <f aca="false">IFERROR(INDEX(Assessments!$J$2:$J$600,MATCH($H88&amp;"|"&amp;$I88&amp;"|"&amp;$J88&amp;"|"&amp;11,Assessments!$A$2:$A$600,0)),0)</f>
        <v>0</v>
      </c>
      <c r="DH88" s="28" t="n">
        <f aca="false">IFERROR(INDEX(Assessments!$J$2:$J$600,MATCH($H88&amp;"|"&amp;$I88&amp;"|"&amp;$J88&amp;"|"&amp;12,Assessments!$A$2:$A$600,0)),0)</f>
        <v>0</v>
      </c>
      <c r="DI88" s="28" t="n">
        <f aca="false">IFERROR(INDEX(Assessments!$J$2:$J$600,MATCH($H88&amp;"|"&amp;$I88&amp;"|"&amp;$J88&amp;"|"&amp;13,Assessments!$A$2:$A$600,0)),0)</f>
        <v>0</v>
      </c>
      <c r="DJ88" s="28" t="n">
        <f aca="false">IFERROR(INDEX(Assessments!$J$2:$J$600,MATCH($H88&amp;"|"&amp;$I88&amp;"|"&amp;$J88&amp;"|"&amp;14,Assessments!$A$2:$A$600,0)),0)</f>
        <v>0</v>
      </c>
      <c r="DK88" s="28" t="n">
        <f aca="false">S88</f>
        <v>6</v>
      </c>
      <c r="DL88" s="28" t="n">
        <f aca="false">W88</f>
        <v>7</v>
      </c>
      <c r="DM88" s="28" t="n">
        <f aca="false">AA88</f>
        <v>6</v>
      </c>
      <c r="DN88" s="28" t="n">
        <f aca="false">AE88</f>
        <v>5</v>
      </c>
      <c r="DO88" s="28" t="n">
        <f aca="false">AI88</f>
        <v>6</v>
      </c>
      <c r="DP88" s="28" t="str">
        <f aca="false">AM88</f>
        <v/>
      </c>
      <c r="DQ88" s="28" t="str">
        <f aca="false">AQ88</f>
        <v/>
      </c>
      <c r="DR88" s="28" t="str">
        <f aca="false">AU88</f>
        <v/>
      </c>
      <c r="DS88" s="28" t="str">
        <f aca="false">AY88</f>
        <v/>
      </c>
      <c r="DT88" s="28" t="str">
        <f aca="false">BC88</f>
        <v/>
      </c>
      <c r="DU88" s="28" t="str">
        <f aca="false">BG88</f>
        <v/>
      </c>
      <c r="DV88" s="28" t="str">
        <f aca="false">BK88</f>
        <v/>
      </c>
      <c r="DW88" s="28" t="str">
        <f aca="false">BO88</f>
        <v/>
      </c>
      <c r="DX88" s="28" t="str">
        <f aca="false">BS88</f>
        <v/>
      </c>
      <c r="DY88" s="28" t="n">
        <f aca="false">IF(ISNUMBER(S88),1,"")</f>
        <v>1</v>
      </c>
      <c r="DZ88" s="28" t="n">
        <f aca="false">IF(ISNUMBER(W88),2,"")</f>
        <v>2</v>
      </c>
      <c r="EA88" s="28" t="n">
        <f aca="false">IF(ISNUMBER(AA88),3,"")</f>
        <v>3</v>
      </c>
      <c r="EB88" s="28" t="n">
        <f aca="false">IF(ISNUMBER(AE88),4,"")</f>
        <v>4</v>
      </c>
      <c r="EC88" s="28" t="n">
        <f aca="false">IF(ISNUMBER(AI88),5,"")</f>
        <v>5</v>
      </c>
      <c r="ED88" s="28" t="str">
        <f aca="false">IF(ISNUMBER(AM88),6,"")</f>
        <v/>
      </c>
      <c r="EE88" s="28" t="str">
        <f aca="false">IF(ISNUMBER(AQ88),7,"")</f>
        <v/>
      </c>
      <c r="EF88" s="28" t="str">
        <f aca="false">IF(ISNUMBER(AU88),8,"")</f>
        <v/>
      </c>
      <c r="EG88" s="28" t="str">
        <f aca="false">IF(ISNUMBER(AY88),9,"")</f>
        <v/>
      </c>
      <c r="EH88" s="28" t="str">
        <f aca="false">IF(ISNUMBER(BC88),10,"")</f>
        <v/>
      </c>
      <c r="EI88" s="28" t="str">
        <f aca="false">IF(ISNUMBER(BG88),11,"")</f>
        <v/>
      </c>
      <c r="EJ88" s="28" t="str">
        <f aca="false">IF(ISNUMBER(BK88),12,"")</f>
        <v/>
      </c>
      <c r="EK88" s="28" t="str">
        <f aca="false">IF(ISNUMBER(BO88),13,"")</f>
        <v/>
      </c>
      <c r="EL88" s="28" t="str">
        <f aca="false">IF(ISNUMBER(BS88),14,"")</f>
        <v/>
      </c>
      <c r="EM88" s="28" t="n">
        <f aca="false">IF(ISNUMBER(R88),R88*CW88,0)</f>
        <v>83.3333333333333</v>
      </c>
      <c r="EN88" s="28" t="n">
        <f aca="false">IF(ISNUMBER(V88),V88*CX88,0)</f>
        <v>87.5</v>
      </c>
      <c r="EO88" s="28" t="n">
        <f aca="false">IF(ISNUMBER(Z88),Z88*CY88,0)</f>
        <v>76</v>
      </c>
      <c r="EP88" s="28" t="n">
        <f aca="false">IF(ISNUMBER(AD88),AD88*CZ88,0)</f>
        <v>68.5714285714286</v>
      </c>
      <c r="EQ88" s="28" t="n">
        <f aca="false">IF(ISNUMBER(AH88),AH88*DA88,0)</f>
        <v>141.818181818182</v>
      </c>
      <c r="ER88" s="28" t="n">
        <f aca="false">IF(ISNUMBER(AL88),AL88*DB88,0)</f>
        <v>0</v>
      </c>
      <c r="ES88" s="28" t="n">
        <f aca="false">IF(ISNUMBER(AP88),AP88*DC88,0)</f>
        <v>0</v>
      </c>
      <c r="ET88" s="28" t="n">
        <f aca="false">IF(ISNUMBER(AT88),AT88*DD88,0)</f>
        <v>0</v>
      </c>
      <c r="EU88" s="28" t="n">
        <f aca="false">IF(ISNUMBER(AX88),AX88*DE88,0)</f>
        <v>0</v>
      </c>
      <c r="EV88" s="28" t="n">
        <f aca="false">IF(ISNUMBER(BB88),BB88*DF88,0)</f>
        <v>0</v>
      </c>
      <c r="EW88" s="28" t="n">
        <f aca="false">IF(ISNUMBER(BF88),BF88*DG88,0)</f>
        <v>0</v>
      </c>
      <c r="EX88" s="28" t="n">
        <f aca="false">IF(ISNUMBER(BJ88),BJ88*DH88,0)</f>
        <v>0</v>
      </c>
      <c r="EY88" s="28" t="n">
        <f aca="false">IF(ISNUMBER(BN88),BN88*DI88,0)</f>
        <v>0</v>
      </c>
      <c r="EZ88" s="28" t="n">
        <f aca="false">IF(ISNUMBER(BR88),BR88*DJ88,0)</f>
        <v>0</v>
      </c>
      <c r="FA88" s="28" t="n">
        <f aca="false">IF(ISNUMBER(R88),CW88,0)</f>
        <v>1</v>
      </c>
      <c r="FB88" s="28" t="n">
        <f aca="false">IF(ISNUMBER(V88),CX88,0)</f>
        <v>1</v>
      </c>
      <c r="FC88" s="28" t="n">
        <f aca="false">IF(ISNUMBER(Z88),CY88,0)</f>
        <v>1</v>
      </c>
      <c r="FD88" s="28" t="n">
        <f aca="false">IF(ISNUMBER(AD88),CZ88,0)</f>
        <v>1</v>
      </c>
      <c r="FE88" s="28" t="n">
        <f aca="false">IF(ISNUMBER(AH88),DA88,0)</f>
        <v>2</v>
      </c>
      <c r="FF88" s="28" t="n">
        <f aca="false">IF(ISNUMBER(AL88),DB88,0)</f>
        <v>0</v>
      </c>
      <c r="FG88" s="28" t="n">
        <f aca="false">IF(ISNUMBER(AP88),DC88,0)</f>
        <v>0</v>
      </c>
      <c r="FH88" s="28" t="n">
        <f aca="false">IF(ISNUMBER(AT88),DD88,0)</f>
        <v>0</v>
      </c>
      <c r="FI88" s="28" t="n">
        <f aca="false">IF(ISNUMBER(AX88),DE88,0)</f>
        <v>0</v>
      </c>
      <c r="FJ88" s="28" t="n">
        <f aca="false">IF(ISNUMBER(BB88),DF88,0)</f>
        <v>0</v>
      </c>
      <c r="FK88" s="28" t="n">
        <f aca="false">IF(ISNUMBER(BF88),DG88,0)</f>
        <v>0</v>
      </c>
      <c r="FL88" s="28" t="n">
        <f aca="false">IF(ISNUMBER(BJ88),DH88,0)</f>
        <v>0</v>
      </c>
      <c r="FM88" s="28" t="n">
        <f aca="false">IF(ISNUMBER(BN88),DI88,0)</f>
        <v>0</v>
      </c>
      <c r="FN88" s="28" t="n">
        <f aca="false">IF(ISNUMBER(BR88),DJ88,0)</f>
        <v>0</v>
      </c>
      <c r="FO88" s="28" t="str">
        <f aca="false">IFERROR(INDEX(Lists!$G$2:$G$20,MATCH($I88&amp;"|"&amp;$J88,Lists!$F$2:$F$20,0)),"")</f>
        <v>Econ Exam</v>
      </c>
    </row>
    <row r="89" customFormat="false" ht="19.5" hidden="false" customHeight="true" outlineLevel="0" collapsed="false">
      <c r="A89" s="29" t="s">
        <v>301</v>
      </c>
      <c r="B89" s="29" t="s">
        <v>302</v>
      </c>
      <c r="C89" s="30" t="s">
        <v>192</v>
      </c>
      <c r="D89" s="30" t="s">
        <v>291</v>
      </c>
      <c r="E89" s="31" t="n">
        <v>6</v>
      </c>
      <c r="F89" s="30" t="n">
        <v>6</v>
      </c>
      <c r="G89" s="30"/>
      <c r="H89" s="32" t="s">
        <v>23</v>
      </c>
      <c r="I89" s="33" t="s">
        <v>229</v>
      </c>
      <c r="J89" s="32" t="s">
        <v>25</v>
      </c>
      <c r="K89" s="34" t="n">
        <f aca="false">IF(OR(M89="",$E89=""),"",M89-$E89)</f>
        <v>-1</v>
      </c>
      <c r="L89" s="35" t="n">
        <f aca="false">IF(SUM(FA89:FN89)=0,"",SUM(EM89:EZ89)/SUM(FA89:FN89))</f>
        <v>65.267316017316</v>
      </c>
      <c r="M89" s="36" t="n">
        <f aca="false">IF(OR(L89="",FO89=""),"",IFERROR(MATCH(L89,INDEX(Boundaries!$B$2:$I$30,MATCH(FO89,Boundaries!$A$2:$A$30,0),0),1)-1,""))</f>
        <v>5</v>
      </c>
      <c r="N89" s="37" t="n">
        <f aca="false">IF(COUNT($DY89:$EL89)&lt;2,"",INDEX($DK89:$DX89,MAX($DY89:$EL89))-INDEX($DK89:$DX89,MIN($DY89:$EL89)))</f>
        <v>-2</v>
      </c>
      <c r="O89" s="37" t="n">
        <f aca="false">IF(COUNT($DY89:$EL89)&lt;2,"",INDEX($DK89:$DX89,MAX($DY89:$EL89))-INDEX($DK89:$DX89,LARGE($DY89:$EL89,2)))</f>
        <v>-1</v>
      </c>
      <c r="P89" s="38" t="str">
        <f aca="false">IF(K89="","",IF(K89&gt;=0,"On/above target",IF(AND(N89&lt;&gt;"",N89&gt;=0.5),"Improving towards target",IF(AND(O89&lt;&gt;"",O89&lt;=-0.5),"Declining","Stable below target"))))</f>
        <v>Declining</v>
      </c>
      <c r="Q89" s="39" t="n">
        <v>23</v>
      </c>
      <c r="R89" s="40" t="n">
        <f aca="false">IF(OR(Q89="",BU89=""),"",Q89/BU89*100)</f>
        <v>76.6666666666667</v>
      </c>
      <c r="S89" s="41" t="n">
        <f aca="false">IF(R89="","",IFERROR(MATCH(R89,INDEX(Boundaries!$B$2:$I$30,MATCH(CI89,Boundaries!$A$2:$A$30,0),0),1)-1,""))</f>
        <v>6</v>
      </c>
      <c r="T89" s="42" t="n">
        <f aca="false">IF(OR(S89="",$E89=""),"",S89-$E89)</f>
        <v>0</v>
      </c>
      <c r="U89" s="39" t="n">
        <v>17</v>
      </c>
      <c r="V89" s="40" t="n">
        <f aca="false">IF(OR(U89="",BV89=""),"",U89/BV89*100)</f>
        <v>70.8333333333333</v>
      </c>
      <c r="W89" s="41" t="n">
        <f aca="false">IF(V89="","",IFERROR(MATCH(V89,INDEX(Boundaries!$B$2:$I$30,MATCH(CJ89,Boundaries!$A$2:$A$30,0),0),1)-1,""))</f>
        <v>5</v>
      </c>
      <c r="X89" s="42" t="n">
        <f aca="false">IF(OR(W89="",$E89=""),"",W89-$E89)</f>
        <v>-1</v>
      </c>
      <c r="Y89" s="39" t="n">
        <v>17</v>
      </c>
      <c r="Z89" s="40" t="n">
        <f aca="false">IF(OR(Y89="",BW89=""),"",Y89/BW89*100)</f>
        <v>68</v>
      </c>
      <c r="AA89" s="41" t="n">
        <f aca="false">IF(Z89="","",IFERROR(MATCH(Z89,INDEX(Boundaries!$B$2:$I$30,MATCH(CK89,Boundaries!$A$2:$A$30,0),0),1)-1,""))</f>
        <v>5</v>
      </c>
      <c r="AB89" s="42" t="n">
        <f aca="false">IF(OR(AA89="",$E89=""),"",AA89-$E89)</f>
        <v>-1</v>
      </c>
      <c r="AC89" s="39" t="n">
        <v>26</v>
      </c>
      <c r="AD89" s="40" t="n">
        <f aca="false">IF(OR(AC89="",BX89=""),"",AC89/BX89*100)</f>
        <v>74.2857142857143</v>
      </c>
      <c r="AE89" s="41" t="n">
        <f aca="false">IF(AD89="","",IFERROR(MATCH(AD89,INDEX(Boundaries!$B$2:$I$30,MATCH(CL89,Boundaries!$A$2:$A$30,0),0),1)-1,""))</f>
        <v>5</v>
      </c>
      <c r="AF89" s="42" t="n">
        <f aca="false">IF(OR(AE89="",$E89=""),"",AE89-$E89)</f>
        <v>-1</v>
      </c>
      <c r="AG89" s="39" t="n">
        <v>28</v>
      </c>
      <c r="AH89" s="40" t="n">
        <f aca="false">IF(OR(AG89="",BY89=""),"",AG89/BY89*100)</f>
        <v>50.9090909090909</v>
      </c>
      <c r="AI89" s="41" t="n">
        <f aca="false">IF(AH89="","",IFERROR(MATCH(AH89,INDEX(Boundaries!$B$2:$I$30,MATCH(CM89,Boundaries!$A$2:$A$30,0),0),1)-1,""))</f>
        <v>4</v>
      </c>
      <c r="AJ89" s="42" t="n">
        <f aca="false">IF(OR(AI89="",$E89=""),"",AI89-$E89)</f>
        <v>-2</v>
      </c>
      <c r="AK89" s="39"/>
      <c r="AL89" s="40" t="str">
        <f aca="false">IF(OR(AK89="",BZ89=""),"",AK89/BZ89*100)</f>
        <v/>
      </c>
      <c r="AM89" s="41" t="str">
        <f aca="false">IF(AL89="","",IFERROR(MATCH(AL89,INDEX(Boundaries!$B$2:$I$30,MATCH(CN89,Boundaries!$A$2:$A$30,0),0),1)-1,""))</f>
        <v/>
      </c>
      <c r="AN89" s="42" t="str">
        <f aca="false">IF(OR(AM89="",$E89=""),"",AM89-$E89)</f>
        <v/>
      </c>
      <c r="AO89" s="39"/>
      <c r="AP89" s="40" t="str">
        <f aca="false">IF(OR(AO89="",CA89=""),"",AO89/CA89*100)</f>
        <v/>
      </c>
      <c r="AQ89" s="41" t="str">
        <f aca="false">IF(AP89="","",IFERROR(MATCH(AP89,INDEX(Boundaries!$B$2:$I$30,MATCH(CO89,Boundaries!$A$2:$A$30,0),0),1)-1,""))</f>
        <v/>
      </c>
      <c r="AR89" s="42" t="str">
        <f aca="false">IF(OR(AQ89="",$E89=""),"",AQ89-$E89)</f>
        <v/>
      </c>
      <c r="AS89" s="39"/>
      <c r="AT89" s="40" t="str">
        <f aca="false">IF(OR(AS89="",CB89=""),"",AS89/CB89*100)</f>
        <v/>
      </c>
      <c r="AU89" s="41" t="str">
        <f aca="false">IF(AT89="","",IFERROR(MATCH(AT89,INDEX(Boundaries!$B$2:$I$30,MATCH(CP89,Boundaries!$A$2:$A$30,0),0),1)-1,""))</f>
        <v/>
      </c>
      <c r="AV89" s="42" t="str">
        <f aca="false">IF(OR(AU89="",$E89=""),"",AU89-$E89)</f>
        <v/>
      </c>
      <c r="AW89" s="39"/>
      <c r="AX89" s="40" t="str">
        <f aca="false">IF(OR(AW89="",CC89=""),"",AW89/CC89*100)</f>
        <v/>
      </c>
      <c r="AY89" s="41" t="str">
        <f aca="false">IF(AX89="","",IFERROR(MATCH(AX89,INDEX(Boundaries!$B$2:$I$30,MATCH(CQ89,Boundaries!$A$2:$A$30,0),0),1)-1,""))</f>
        <v/>
      </c>
      <c r="AZ89" s="42" t="str">
        <f aca="false">IF(OR(AY89="",$E89=""),"",AY89-$E89)</f>
        <v/>
      </c>
      <c r="BA89" s="39"/>
      <c r="BB89" s="40" t="str">
        <f aca="false">IF(OR(BA89="",CD89=""),"",BA89/CD89*100)</f>
        <v/>
      </c>
      <c r="BC89" s="41" t="str">
        <f aca="false">IF(BB89="","",IFERROR(MATCH(BB89,INDEX(Boundaries!$B$2:$I$30,MATCH(CR89,Boundaries!$A$2:$A$30,0),0),1)-1,""))</f>
        <v/>
      </c>
      <c r="BD89" s="42" t="str">
        <f aca="false">IF(OR(BC89="",$E89=""),"",BC89-$E89)</f>
        <v/>
      </c>
      <c r="BE89" s="39"/>
      <c r="BF89" s="40" t="str">
        <f aca="false">IF(OR(BE89="",CE89=""),"",BE89/CE89*100)</f>
        <v/>
      </c>
      <c r="BG89" s="41" t="str">
        <f aca="false">IF(BF89="","",IFERROR(MATCH(BF89,INDEX(Boundaries!$B$2:$I$30,MATCH(CS89,Boundaries!$A$2:$A$30,0),0),1)-1,""))</f>
        <v/>
      </c>
      <c r="BH89" s="42" t="str">
        <f aca="false">IF(OR(BG89="",$E89=""),"",BG89-$E89)</f>
        <v/>
      </c>
      <c r="BI89" s="39"/>
      <c r="BJ89" s="40" t="str">
        <f aca="false">IF(OR(BI89="",CF89=""),"",BI89/CF89*100)</f>
        <v/>
      </c>
      <c r="BK89" s="41" t="str">
        <f aca="false">IF(BJ89="","",IFERROR(MATCH(BJ89,INDEX(Boundaries!$B$2:$I$30,MATCH(CT89,Boundaries!$A$2:$A$30,0),0),1)-1,""))</f>
        <v/>
      </c>
      <c r="BL89" s="42" t="str">
        <f aca="false">IF(OR(BK89="",$E89=""),"",BK89-$E89)</f>
        <v/>
      </c>
      <c r="BM89" s="39"/>
      <c r="BN89" s="40" t="str">
        <f aca="false">IF(OR(BM89="",CG89=""),"",BM89/CG89*100)</f>
        <v/>
      </c>
      <c r="BO89" s="41" t="str">
        <f aca="false">IF(BN89="","",IFERROR(MATCH(BN89,INDEX(Boundaries!$B$2:$I$30,MATCH(CU89,Boundaries!$A$2:$A$30,0),0),1)-1,""))</f>
        <v/>
      </c>
      <c r="BP89" s="42" t="str">
        <f aca="false">IF(OR(BO89="",$E89=""),"",BO89-$E89)</f>
        <v/>
      </c>
      <c r="BQ89" s="39"/>
      <c r="BR89" s="40" t="str">
        <f aca="false">IF(OR(BQ89="",CH89=""),"",BQ89/CH89*100)</f>
        <v/>
      </c>
      <c r="BS89" s="41" t="str">
        <f aca="false">IF(BR89="","",IFERROR(MATCH(BR89,INDEX(Boundaries!$B$2:$I$30,MATCH(CV89,Boundaries!$A$2:$A$30,0),0),1)-1,""))</f>
        <v/>
      </c>
      <c r="BT89" s="42" t="str">
        <f aca="false">IF(OR(BS89="",$E89=""),"",BS89-$E89)</f>
        <v/>
      </c>
      <c r="BU89" s="28" t="n">
        <f aca="false">IFERROR(INDEX(Assessments!$H$2:$H$600,MATCH($H89&amp;"|"&amp;$I89&amp;"|"&amp;$J89&amp;"|"&amp;1,Assessments!$A$2:$A$600,0)),"")</f>
        <v>30</v>
      </c>
      <c r="BV89" s="28" t="n">
        <f aca="false">IFERROR(INDEX(Assessments!$H$2:$H$600,MATCH($H89&amp;"|"&amp;$I89&amp;"|"&amp;$J89&amp;"|"&amp;2,Assessments!$A$2:$A$600,0)),"")</f>
        <v>24</v>
      </c>
      <c r="BW89" s="28" t="n">
        <f aca="false">IFERROR(INDEX(Assessments!$H$2:$H$600,MATCH($H89&amp;"|"&amp;$I89&amp;"|"&amp;$J89&amp;"|"&amp;3,Assessments!$A$2:$A$600,0)),"")</f>
        <v>25</v>
      </c>
      <c r="BX89" s="28" t="n">
        <f aca="false">IFERROR(INDEX(Assessments!$H$2:$H$600,MATCH($H89&amp;"|"&amp;$I89&amp;"|"&amp;$J89&amp;"|"&amp;4,Assessments!$A$2:$A$600,0)),"")</f>
        <v>35</v>
      </c>
      <c r="BY89" s="28" t="n">
        <f aca="false">IFERROR(INDEX(Assessments!$H$2:$H$600,MATCH($H89&amp;"|"&amp;$I89&amp;"|"&amp;$J89&amp;"|"&amp;5,Assessments!$A$2:$A$600,0)),"")</f>
        <v>55</v>
      </c>
      <c r="BZ89" s="28" t="n">
        <f aca="false">IFERROR(INDEX(Assessments!$H$2:$H$600,MATCH($H89&amp;"|"&amp;$I89&amp;"|"&amp;$J89&amp;"|"&amp;6,Assessments!$A$2:$A$600,0)),"")</f>
        <v>30</v>
      </c>
      <c r="CA89" s="28" t="n">
        <f aca="false">IFERROR(INDEX(Assessments!$H$2:$H$600,MATCH($H89&amp;"|"&amp;$I89&amp;"|"&amp;$J89&amp;"|"&amp;7,Assessments!$A$2:$A$600,0)),"")</f>
        <v>95</v>
      </c>
      <c r="CB89" s="28" t="str">
        <f aca="false">IFERROR(INDEX(Assessments!$H$2:$H$600,MATCH($H89&amp;"|"&amp;$I89&amp;"|"&amp;$J89&amp;"|"&amp;8,Assessments!$A$2:$A$600,0)),"")</f>
        <v/>
      </c>
      <c r="CC89" s="28" t="str">
        <f aca="false">IFERROR(INDEX(Assessments!$H$2:$H$600,MATCH($H89&amp;"|"&amp;$I89&amp;"|"&amp;$J89&amp;"|"&amp;9,Assessments!$A$2:$A$600,0)),"")</f>
        <v/>
      </c>
      <c r="CD89" s="28" t="str">
        <f aca="false">IFERROR(INDEX(Assessments!$H$2:$H$600,MATCH($H89&amp;"|"&amp;$I89&amp;"|"&amp;$J89&amp;"|"&amp;10,Assessments!$A$2:$A$600,0)),"")</f>
        <v/>
      </c>
      <c r="CE89" s="28" t="str">
        <f aca="false">IFERROR(INDEX(Assessments!$H$2:$H$600,MATCH($H89&amp;"|"&amp;$I89&amp;"|"&amp;$J89&amp;"|"&amp;11,Assessments!$A$2:$A$600,0)),"")</f>
        <v/>
      </c>
      <c r="CF89" s="28" t="str">
        <f aca="false">IFERROR(INDEX(Assessments!$H$2:$H$600,MATCH($H89&amp;"|"&amp;$I89&amp;"|"&amp;$J89&amp;"|"&amp;12,Assessments!$A$2:$A$600,0)),"")</f>
        <v/>
      </c>
      <c r="CG89" s="28" t="str">
        <f aca="false">IFERROR(INDEX(Assessments!$H$2:$H$600,MATCH($H89&amp;"|"&amp;$I89&amp;"|"&amp;$J89&amp;"|"&amp;13,Assessments!$A$2:$A$600,0)),"")</f>
        <v/>
      </c>
      <c r="CH89" s="28" t="str">
        <f aca="false">IFERROR(INDEX(Assessments!$H$2:$H$600,MATCH($H89&amp;"|"&amp;$I89&amp;"|"&amp;$J89&amp;"|"&amp;14,Assessments!$A$2:$A$600,0)),"")</f>
        <v/>
      </c>
      <c r="CI89" s="28" t="str">
        <f aca="false">IFERROR(INDEX(Assessments!$I$2:$I$600,MATCH($H89&amp;"|"&amp;$I89&amp;"|"&amp;$J89&amp;"|"&amp;1,Assessments!$A$2:$A$600,0)),"")</f>
        <v>Econ Test</v>
      </c>
      <c r="CJ89" s="28" t="str">
        <f aca="false">IFERROR(INDEX(Assessments!$I$2:$I$600,MATCH($H89&amp;"|"&amp;$I89&amp;"|"&amp;$J89&amp;"|"&amp;2,Assessments!$A$2:$A$600,0)),"")</f>
        <v>Econ Test</v>
      </c>
      <c r="CK89" s="28" t="str">
        <f aca="false">IFERROR(INDEX(Assessments!$I$2:$I$600,MATCH($H89&amp;"|"&amp;$I89&amp;"|"&amp;$J89&amp;"|"&amp;3,Assessments!$A$2:$A$600,0)),"")</f>
        <v>Econ Test</v>
      </c>
      <c r="CL89" s="28" t="str">
        <f aca="false">IFERROR(INDEX(Assessments!$I$2:$I$600,MATCH($H89&amp;"|"&amp;$I89&amp;"|"&amp;$J89&amp;"|"&amp;4,Assessments!$A$2:$A$600,0)),"")</f>
        <v>Econ Test</v>
      </c>
      <c r="CM89" s="28" t="str">
        <f aca="false">IFERROR(INDEX(Assessments!$I$2:$I$600,MATCH($H89&amp;"|"&amp;$I89&amp;"|"&amp;$J89&amp;"|"&amp;5,Assessments!$A$2:$A$600,0)),"")</f>
        <v>Econ Exam</v>
      </c>
      <c r="CN89" s="28" t="str">
        <f aca="false">IFERROR(INDEX(Assessments!$I$2:$I$600,MATCH($H89&amp;"|"&amp;$I89&amp;"|"&amp;$J89&amp;"|"&amp;6,Assessments!$A$2:$A$600,0)),"")</f>
        <v>Econ Test</v>
      </c>
      <c r="CO89" s="28" t="str">
        <f aca="false">IFERROR(INDEX(Assessments!$I$2:$I$600,MATCH($H89&amp;"|"&amp;$I89&amp;"|"&amp;$J89&amp;"|"&amp;7,Assessments!$A$2:$A$600,0)),"")</f>
        <v>Econ Exam</v>
      </c>
      <c r="CP89" s="28" t="str">
        <f aca="false">IFERROR(INDEX(Assessments!$I$2:$I$600,MATCH($H89&amp;"|"&amp;$I89&amp;"|"&amp;$J89&amp;"|"&amp;8,Assessments!$A$2:$A$600,0)),"")</f>
        <v/>
      </c>
      <c r="CQ89" s="28" t="str">
        <f aca="false">IFERROR(INDEX(Assessments!$I$2:$I$600,MATCH($H89&amp;"|"&amp;$I89&amp;"|"&amp;$J89&amp;"|"&amp;9,Assessments!$A$2:$A$600,0)),"")</f>
        <v/>
      </c>
      <c r="CR89" s="28" t="str">
        <f aca="false">IFERROR(INDEX(Assessments!$I$2:$I$600,MATCH($H89&amp;"|"&amp;$I89&amp;"|"&amp;$J89&amp;"|"&amp;10,Assessments!$A$2:$A$600,0)),"")</f>
        <v/>
      </c>
      <c r="CS89" s="28" t="str">
        <f aca="false">IFERROR(INDEX(Assessments!$I$2:$I$600,MATCH($H89&amp;"|"&amp;$I89&amp;"|"&amp;$J89&amp;"|"&amp;11,Assessments!$A$2:$A$600,0)),"")</f>
        <v/>
      </c>
      <c r="CT89" s="28" t="str">
        <f aca="false">IFERROR(INDEX(Assessments!$I$2:$I$600,MATCH($H89&amp;"|"&amp;$I89&amp;"|"&amp;$J89&amp;"|"&amp;12,Assessments!$A$2:$A$600,0)),"")</f>
        <v/>
      </c>
      <c r="CU89" s="28" t="str">
        <f aca="false">IFERROR(INDEX(Assessments!$I$2:$I$600,MATCH($H89&amp;"|"&amp;$I89&amp;"|"&amp;$J89&amp;"|"&amp;13,Assessments!$A$2:$A$600,0)),"")</f>
        <v/>
      </c>
      <c r="CV89" s="28" t="str">
        <f aca="false">IFERROR(INDEX(Assessments!$I$2:$I$600,MATCH($H89&amp;"|"&amp;$I89&amp;"|"&amp;$J89&amp;"|"&amp;14,Assessments!$A$2:$A$600,0)),"")</f>
        <v/>
      </c>
      <c r="CW89" s="28" t="n">
        <f aca="false">IFERROR(INDEX(Assessments!$J$2:$J$600,MATCH($H89&amp;"|"&amp;$I89&amp;"|"&amp;$J89&amp;"|"&amp;1,Assessments!$A$2:$A$600,0)),0)</f>
        <v>1</v>
      </c>
      <c r="CX89" s="28" t="n">
        <f aca="false">IFERROR(INDEX(Assessments!$J$2:$J$600,MATCH($H89&amp;"|"&amp;$I89&amp;"|"&amp;$J89&amp;"|"&amp;2,Assessments!$A$2:$A$600,0)),0)</f>
        <v>1</v>
      </c>
      <c r="CY89" s="28" t="n">
        <f aca="false">IFERROR(INDEX(Assessments!$J$2:$J$600,MATCH($H89&amp;"|"&amp;$I89&amp;"|"&amp;$J89&amp;"|"&amp;3,Assessments!$A$2:$A$600,0)),0)</f>
        <v>1</v>
      </c>
      <c r="CZ89" s="28" t="n">
        <f aca="false">IFERROR(INDEX(Assessments!$J$2:$J$600,MATCH($H89&amp;"|"&amp;$I89&amp;"|"&amp;$J89&amp;"|"&amp;4,Assessments!$A$2:$A$600,0)),0)</f>
        <v>1</v>
      </c>
      <c r="DA89" s="28" t="n">
        <f aca="false">IFERROR(INDEX(Assessments!$J$2:$J$600,MATCH($H89&amp;"|"&amp;$I89&amp;"|"&amp;$J89&amp;"|"&amp;5,Assessments!$A$2:$A$600,0)),0)</f>
        <v>2</v>
      </c>
      <c r="DB89" s="28" t="n">
        <f aca="false">IFERROR(INDEX(Assessments!$J$2:$J$600,MATCH($H89&amp;"|"&amp;$I89&amp;"|"&amp;$J89&amp;"|"&amp;6,Assessments!$A$2:$A$600,0)),0)</f>
        <v>1</v>
      </c>
      <c r="DC89" s="28" t="n">
        <f aca="false">IFERROR(INDEX(Assessments!$J$2:$J$600,MATCH($H89&amp;"|"&amp;$I89&amp;"|"&amp;$J89&amp;"|"&amp;7,Assessments!$A$2:$A$600,0)),0)</f>
        <v>2</v>
      </c>
      <c r="DD89" s="28" t="n">
        <f aca="false">IFERROR(INDEX(Assessments!$J$2:$J$600,MATCH($H89&amp;"|"&amp;$I89&amp;"|"&amp;$J89&amp;"|"&amp;8,Assessments!$A$2:$A$600,0)),0)</f>
        <v>0</v>
      </c>
      <c r="DE89" s="28" t="n">
        <f aca="false">IFERROR(INDEX(Assessments!$J$2:$J$600,MATCH($H89&amp;"|"&amp;$I89&amp;"|"&amp;$J89&amp;"|"&amp;9,Assessments!$A$2:$A$600,0)),0)</f>
        <v>0</v>
      </c>
      <c r="DF89" s="28" t="n">
        <f aca="false">IFERROR(INDEX(Assessments!$J$2:$J$600,MATCH($H89&amp;"|"&amp;$I89&amp;"|"&amp;$J89&amp;"|"&amp;10,Assessments!$A$2:$A$600,0)),0)</f>
        <v>0</v>
      </c>
      <c r="DG89" s="28" t="n">
        <f aca="false">IFERROR(INDEX(Assessments!$J$2:$J$600,MATCH($H89&amp;"|"&amp;$I89&amp;"|"&amp;$J89&amp;"|"&amp;11,Assessments!$A$2:$A$600,0)),0)</f>
        <v>0</v>
      </c>
      <c r="DH89" s="28" t="n">
        <f aca="false">IFERROR(INDEX(Assessments!$J$2:$J$600,MATCH($H89&amp;"|"&amp;$I89&amp;"|"&amp;$J89&amp;"|"&amp;12,Assessments!$A$2:$A$600,0)),0)</f>
        <v>0</v>
      </c>
      <c r="DI89" s="28" t="n">
        <f aca="false">IFERROR(INDEX(Assessments!$J$2:$J$600,MATCH($H89&amp;"|"&amp;$I89&amp;"|"&amp;$J89&amp;"|"&amp;13,Assessments!$A$2:$A$600,0)),0)</f>
        <v>0</v>
      </c>
      <c r="DJ89" s="28" t="n">
        <f aca="false">IFERROR(INDEX(Assessments!$J$2:$J$600,MATCH($H89&amp;"|"&amp;$I89&amp;"|"&amp;$J89&amp;"|"&amp;14,Assessments!$A$2:$A$600,0)),0)</f>
        <v>0</v>
      </c>
      <c r="DK89" s="28" t="n">
        <f aca="false">S89</f>
        <v>6</v>
      </c>
      <c r="DL89" s="28" t="n">
        <f aca="false">W89</f>
        <v>5</v>
      </c>
      <c r="DM89" s="28" t="n">
        <f aca="false">AA89</f>
        <v>5</v>
      </c>
      <c r="DN89" s="28" t="n">
        <f aca="false">AE89</f>
        <v>5</v>
      </c>
      <c r="DO89" s="28" t="n">
        <f aca="false">AI89</f>
        <v>4</v>
      </c>
      <c r="DP89" s="28" t="str">
        <f aca="false">AM89</f>
        <v/>
      </c>
      <c r="DQ89" s="28" t="str">
        <f aca="false">AQ89</f>
        <v/>
      </c>
      <c r="DR89" s="28" t="str">
        <f aca="false">AU89</f>
        <v/>
      </c>
      <c r="DS89" s="28" t="str">
        <f aca="false">AY89</f>
        <v/>
      </c>
      <c r="DT89" s="28" t="str">
        <f aca="false">BC89</f>
        <v/>
      </c>
      <c r="DU89" s="28" t="str">
        <f aca="false">BG89</f>
        <v/>
      </c>
      <c r="DV89" s="28" t="str">
        <f aca="false">BK89</f>
        <v/>
      </c>
      <c r="DW89" s="28" t="str">
        <f aca="false">BO89</f>
        <v/>
      </c>
      <c r="DX89" s="28" t="str">
        <f aca="false">BS89</f>
        <v/>
      </c>
      <c r="DY89" s="28" t="n">
        <f aca="false">IF(ISNUMBER(S89),1,"")</f>
        <v>1</v>
      </c>
      <c r="DZ89" s="28" t="n">
        <f aca="false">IF(ISNUMBER(W89),2,"")</f>
        <v>2</v>
      </c>
      <c r="EA89" s="28" t="n">
        <f aca="false">IF(ISNUMBER(AA89),3,"")</f>
        <v>3</v>
      </c>
      <c r="EB89" s="28" t="n">
        <f aca="false">IF(ISNUMBER(AE89),4,"")</f>
        <v>4</v>
      </c>
      <c r="EC89" s="28" t="n">
        <f aca="false">IF(ISNUMBER(AI89),5,"")</f>
        <v>5</v>
      </c>
      <c r="ED89" s="28" t="str">
        <f aca="false">IF(ISNUMBER(AM89),6,"")</f>
        <v/>
      </c>
      <c r="EE89" s="28" t="str">
        <f aca="false">IF(ISNUMBER(AQ89),7,"")</f>
        <v/>
      </c>
      <c r="EF89" s="28" t="str">
        <f aca="false">IF(ISNUMBER(AU89),8,"")</f>
        <v/>
      </c>
      <c r="EG89" s="28" t="str">
        <f aca="false">IF(ISNUMBER(AY89),9,"")</f>
        <v/>
      </c>
      <c r="EH89" s="28" t="str">
        <f aca="false">IF(ISNUMBER(BC89),10,"")</f>
        <v/>
      </c>
      <c r="EI89" s="28" t="str">
        <f aca="false">IF(ISNUMBER(BG89),11,"")</f>
        <v/>
      </c>
      <c r="EJ89" s="28" t="str">
        <f aca="false">IF(ISNUMBER(BK89),12,"")</f>
        <v/>
      </c>
      <c r="EK89" s="28" t="str">
        <f aca="false">IF(ISNUMBER(BO89),13,"")</f>
        <v/>
      </c>
      <c r="EL89" s="28" t="str">
        <f aca="false">IF(ISNUMBER(BS89),14,"")</f>
        <v/>
      </c>
      <c r="EM89" s="28" t="n">
        <f aca="false">IF(ISNUMBER(R89),R89*CW89,0)</f>
        <v>76.6666666666667</v>
      </c>
      <c r="EN89" s="28" t="n">
        <f aca="false">IF(ISNUMBER(V89),V89*CX89,0)</f>
        <v>70.8333333333333</v>
      </c>
      <c r="EO89" s="28" t="n">
        <f aca="false">IF(ISNUMBER(Z89),Z89*CY89,0)</f>
        <v>68</v>
      </c>
      <c r="EP89" s="28" t="n">
        <f aca="false">IF(ISNUMBER(AD89),AD89*CZ89,0)</f>
        <v>74.2857142857143</v>
      </c>
      <c r="EQ89" s="28" t="n">
        <f aca="false">IF(ISNUMBER(AH89),AH89*DA89,0)</f>
        <v>101.818181818182</v>
      </c>
      <c r="ER89" s="28" t="n">
        <f aca="false">IF(ISNUMBER(AL89),AL89*DB89,0)</f>
        <v>0</v>
      </c>
      <c r="ES89" s="28" t="n">
        <f aca="false">IF(ISNUMBER(AP89),AP89*DC89,0)</f>
        <v>0</v>
      </c>
      <c r="ET89" s="28" t="n">
        <f aca="false">IF(ISNUMBER(AT89),AT89*DD89,0)</f>
        <v>0</v>
      </c>
      <c r="EU89" s="28" t="n">
        <f aca="false">IF(ISNUMBER(AX89),AX89*DE89,0)</f>
        <v>0</v>
      </c>
      <c r="EV89" s="28" t="n">
        <f aca="false">IF(ISNUMBER(BB89),BB89*DF89,0)</f>
        <v>0</v>
      </c>
      <c r="EW89" s="28" t="n">
        <f aca="false">IF(ISNUMBER(BF89),BF89*DG89,0)</f>
        <v>0</v>
      </c>
      <c r="EX89" s="28" t="n">
        <f aca="false">IF(ISNUMBER(BJ89),BJ89*DH89,0)</f>
        <v>0</v>
      </c>
      <c r="EY89" s="28" t="n">
        <f aca="false">IF(ISNUMBER(BN89),BN89*DI89,0)</f>
        <v>0</v>
      </c>
      <c r="EZ89" s="28" t="n">
        <f aca="false">IF(ISNUMBER(BR89),BR89*DJ89,0)</f>
        <v>0</v>
      </c>
      <c r="FA89" s="28" t="n">
        <f aca="false">IF(ISNUMBER(R89),CW89,0)</f>
        <v>1</v>
      </c>
      <c r="FB89" s="28" t="n">
        <f aca="false">IF(ISNUMBER(V89),CX89,0)</f>
        <v>1</v>
      </c>
      <c r="FC89" s="28" t="n">
        <f aca="false">IF(ISNUMBER(Z89),CY89,0)</f>
        <v>1</v>
      </c>
      <c r="FD89" s="28" t="n">
        <f aca="false">IF(ISNUMBER(AD89),CZ89,0)</f>
        <v>1</v>
      </c>
      <c r="FE89" s="28" t="n">
        <f aca="false">IF(ISNUMBER(AH89),DA89,0)</f>
        <v>2</v>
      </c>
      <c r="FF89" s="28" t="n">
        <f aca="false">IF(ISNUMBER(AL89),DB89,0)</f>
        <v>0</v>
      </c>
      <c r="FG89" s="28" t="n">
        <f aca="false">IF(ISNUMBER(AP89),DC89,0)</f>
        <v>0</v>
      </c>
      <c r="FH89" s="28" t="n">
        <f aca="false">IF(ISNUMBER(AT89),DD89,0)</f>
        <v>0</v>
      </c>
      <c r="FI89" s="28" t="n">
        <f aca="false">IF(ISNUMBER(AX89),DE89,0)</f>
        <v>0</v>
      </c>
      <c r="FJ89" s="28" t="n">
        <f aca="false">IF(ISNUMBER(BB89),DF89,0)</f>
        <v>0</v>
      </c>
      <c r="FK89" s="28" t="n">
        <f aca="false">IF(ISNUMBER(BF89),DG89,0)</f>
        <v>0</v>
      </c>
      <c r="FL89" s="28" t="n">
        <f aca="false">IF(ISNUMBER(BJ89),DH89,0)</f>
        <v>0</v>
      </c>
      <c r="FM89" s="28" t="n">
        <f aca="false">IF(ISNUMBER(BN89),DI89,0)</f>
        <v>0</v>
      </c>
      <c r="FN89" s="28" t="n">
        <f aca="false">IF(ISNUMBER(BR89),DJ89,0)</f>
        <v>0</v>
      </c>
      <c r="FO89" s="28" t="str">
        <f aca="false">IFERROR(INDEX(Lists!$G$2:$G$20,MATCH($I89&amp;"|"&amp;$J89,Lists!$F$2:$F$20,0)),"")</f>
        <v>Econ Exam</v>
      </c>
    </row>
    <row r="90" customFormat="false" ht="19.5" hidden="false" customHeight="true" outlineLevel="0" collapsed="false">
      <c r="A90" s="29" t="s">
        <v>303</v>
      </c>
      <c r="B90" s="29" t="s">
        <v>304</v>
      </c>
      <c r="C90" s="30" t="s">
        <v>192</v>
      </c>
      <c r="D90" s="30" t="s">
        <v>291</v>
      </c>
      <c r="E90" s="31" t="n">
        <v>6.3</v>
      </c>
      <c r="F90" s="30" t="n">
        <v>7</v>
      </c>
      <c r="G90" s="30"/>
      <c r="H90" s="32" t="s">
        <v>23</v>
      </c>
      <c r="I90" s="33" t="s">
        <v>229</v>
      </c>
      <c r="J90" s="32" t="s">
        <v>25</v>
      </c>
      <c r="K90" s="34" t="n">
        <f aca="false">IF(OR(M90="",$E90=""),"",M90-$E90)</f>
        <v>0.7</v>
      </c>
      <c r="L90" s="35" t="n">
        <f aca="false">IF(SUM(FA90:FN90)=0,"",SUM(EM90:EZ90)/SUM(FA90:FN90))</f>
        <v>85.9285714285714</v>
      </c>
      <c r="M90" s="36" t="n">
        <f aca="false">IF(OR(L90="",FO90=""),"",IFERROR(MATCH(L90,INDEX(Boundaries!$B$2:$I$30,MATCH(FO90,Boundaries!$A$2:$A$30,0),0),1)-1,""))</f>
        <v>7</v>
      </c>
      <c r="N90" s="37" t="n">
        <f aca="false">IF(COUNT($DY90:$EL90)&lt;2,"",INDEX($DK90:$DX90,MAX($DY90:$EL90))-INDEX($DK90:$DX90,MIN($DY90:$EL90)))</f>
        <v>1</v>
      </c>
      <c r="O90" s="37" t="n">
        <f aca="false">IF(COUNT($DY90:$EL90)&lt;2,"",INDEX($DK90:$DX90,MAX($DY90:$EL90))-INDEX($DK90:$DX90,LARGE($DY90:$EL90,2)))</f>
        <v>0</v>
      </c>
      <c r="P90" s="38" t="str">
        <f aca="false">IF(K90="","",IF(K90&gt;=0,"On/above target",IF(AND(N90&lt;&gt;"",N90&gt;=0.5),"Improving towards target",IF(AND(O90&lt;&gt;"",O90&lt;=-0.5),"Declining","Stable below target"))))</f>
        <v>On/above target</v>
      </c>
      <c r="Q90" s="39" t="n">
        <v>25</v>
      </c>
      <c r="R90" s="40" t="n">
        <f aca="false">IF(OR(Q90="",BU90=""),"",Q90/BU90*100)</f>
        <v>83.3333333333333</v>
      </c>
      <c r="S90" s="41" t="n">
        <f aca="false">IF(R90="","",IFERROR(MATCH(R90,INDEX(Boundaries!$B$2:$I$30,MATCH(CI90,Boundaries!$A$2:$A$30,0),0),1)-1,""))</f>
        <v>6</v>
      </c>
      <c r="T90" s="42" t="n">
        <f aca="false">IF(OR(S90="",$E90=""),"",S90-$E90)</f>
        <v>-0.3</v>
      </c>
      <c r="U90" s="39" t="n">
        <v>22</v>
      </c>
      <c r="V90" s="40" t="n">
        <f aca="false">IF(OR(U90="",BV90=""),"",U90/BV90*100)</f>
        <v>91.6666666666667</v>
      </c>
      <c r="W90" s="41" t="n">
        <f aca="false">IF(V90="","",IFERROR(MATCH(V90,INDEX(Boundaries!$B$2:$I$30,MATCH(CJ90,Boundaries!$A$2:$A$30,0),0),1)-1,""))</f>
        <v>7</v>
      </c>
      <c r="X90" s="42" t="n">
        <f aca="false">IF(OR(W90="",$E90=""),"",W90-$E90)</f>
        <v>0.7</v>
      </c>
      <c r="Y90" s="39" t="n">
        <v>23</v>
      </c>
      <c r="Z90" s="40" t="n">
        <f aca="false">IF(OR(Y90="",BW90=""),"",Y90/BW90*100)</f>
        <v>92</v>
      </c>
      <c r="AA90" s="41" t="n">
        <f aca="false">IF(Z90="","",IFERROR(MATCH(Z90,INDEX(Boundaries!$B$2:$I$30,MATCH(CK90,Boundaries!$A$2:$A$30,0),0),1)-1,""))</f>
        <v>7</v>
      </c>
      <c r="AB90" s="42" t="n">
        <f aca="false">IF(OR(AA90="",$E90=""),"",AA90-$E90)</f>
        <v>0.7</v>
      </c>
      <c r="AC90" s="39" t="n">
        <v>31</v>
      </c>
      <c r="AD90" s="40" t="n">
        <f aca="false">IF(OR(AC90="",BX90=""),"",AC90/BX90*100)</f>
        <v>88.5714285714286</v>
      </c>
      <c r="AE90" s="41" t="n">
        <f aca="false">IF(AD90="","",IFERROR(MATCH(AD90,INDEX(Boundaries!$B$2:$I$30,MATCH(CL90,Boundaries!$A$2:$A$30,0),0),1)-1,""))</f>
        <v>7</v>
      </c>
      <c r="AF90" s="42" t="n">
        <f aca="false">IF(OR(AE90="",$E90=""),"",AE90-$E90)</f>
        <v>0.7</v>
      </c>
      <c r="AG90" s="39" t="n">
        <v>44</v>
      </c>
      <c r="AH90" s="40" t="n">
        <f aca="false">IF(OR(AG90="",BY90=""),"",AG90/BY90*100)</f>
        <v>80</v>
      </c>
      <c r="AI90" s="41" t="n">
        <f aca="false">IF(AH90="","",IFERROR(MATCH(AH90,INDEX(Boundaries!$B$2:$I$30,MATCH(CM90,Boundaries!$A$2:$A$30,0),0),1)-1,""))</f>
        <v>7</v>
      </c>
      <c r="AJ90" s="42" t="n">
        <f aca="false">IF(OR(AI90="",$E90=""),"",AI90-$E90)</f>
        <v>0.7</v>
      </c>
      <c r="AK90" s="39"/>
      <c r="AL90" s="40" t="str">
        <f aca="false">IF(OR(AK90="",BZ90=""),"",AK90/BZ90*100)</f>
        <v/>
      </c>
      <c r="AM90" s="41" t="str">
        <f aca="false">IF(AL90="","",IFERROR(MATCH(AL90,INDEX(Boundaries!$B$2:$I$30,MATCH(CN90,Boundaries!$A$2:$A$30,0),0),1)-1,""))</f>
        <v/>
      </c>
      <c r="AN90" s="42" t="str">
        <f aca="false">IF(OR(AM90="",$E90=""),"",AM90-$E90)</f>
        <v/>
      </c>
      <c r="AO90" s="39"/>
      <c r="AP90" s="40" t="str">
        <f aca="false">IF(OR(AO90="",CA90=""),"",AO90/CA90*100)</f>
        <v/>
      </c>
      <c r="AQ90" s="41" t="str">
        <f aca="false">IF(AP90="","",IFERROR(MATCH(AP90,INDEX(Boundaries!$B$2:$I$30,MATCH(CO90,Boundaries!$A$2:$A$30,0),0),1)-1,""))</f>
        <v/>
      </c>
      <c r="AR90" s="42" t="str">
        <f aca="false">IF(OR(AQ90="",$E90=""),"",AQ90-$E90)</f>
        <v/>
      </c>
      <c r="AS90" s="39"/>
      <c r="AT90" s="40" t="str">
        <f aca="false">IF(OR(AS90="",CB90=""),"",AS90/CB90*100)</f>
        <v/>
      </c>
      <c r="AU90" s="41" t="str">
        <f aca="false">IF(AT90="","",IFERROR(MATCH(AT90,INDEX(Boundaries!$B$2:$I$30,MATCH(CP90,Boundaries!$A$2:$A$30,0),0),1)-1,""))</f>
        <v/>
      </c>
      <c r="AV90" s="42" t="str">
        <f aca="false">IF(OR(AU90="",$E90=""),"",AU90-$E90)</f>
        <v/>
      </c>
      <c r="AW90" s="39"/>
      <c r="AX90" s="40" t="str">
        <f aca="false">IF(OR(AW90="",CC90=""),"",AW90/CC90*100)</f>
        <v/>
      </c>
      <c r="AY90" s="41" t="str">
        <f aca="false">IF(AX90="","",IFERROR(MATCH(AX90,INDEX(Boundaries!$B$2:$I$30,MATCH(CQ90,Boundaries!$A$2:$A$30,0),0),1)-1,""))</f>
        <v/>
      </c>
      <c r="AZ90" s="42" t="str">
        <f aca="false">IF(OR(AY90="",$E90=""),"",AY90-$E90)</f>
        <v/>
      </c>
      <c r="BA90" s="39"/>
      <c r="BB90" s="40" t="str">
        <f aca="false">IF(OR(BA90="",CD90=""),"",BA90/CD90*100)</f>
        <v/>
      </c>
      <c r="BC90" s="41" t="str">
        <f aca="false">IF(BB90="","",IFERROR(MATCH(BB90,INDEX(Boundaries!$B$2:$I$30,MATCH(CR90,Boundaries!$A$2:$A$30,0),0),1)-1,""))</f>
        <v/>
      </c>
      <c r="BD90" s="42" t="str">
        <f aca="false">IF(OR(BC90="",$E90=""),"",BC90-$E90)</f>
        <v/>
      </c>
      <c r="BE90" s="39"/>
      <c r="BF90" s="40" t="str">
        <f aca="false">IF(OR(BE90="",CE90=""),"",BE90/CE90*100)</f>
        <v/>
      </c>
      <c r="BG90" s="41" t="str">
        <f aca="false">IF(BF90="","",IFERROR(MATCH(BF90,INDEX(Boundaries!$B$2:$I$30,MATCH(CS90,Boundaries!$A$2:$A$30,0),0),1)-1,""))</f>
        <v/>
      </c>
      <c r="BH90" s="42" t="str">
        <f aca="false">IF(OR(BG90="",$E90=""),"",BG90-$E90)</f>
        <v/>
      </c>
      <c r="BI90" s="39"/>
      <c r="BJ90" s="40" t="str">
        <f aca="false">IF(OR(BI90="",CF90=""),"",BI90/CF90*100)</f>
        <v/>
      </c>
      <c r="BK90" s="41" t="str">
        <f aca="false">IF(BJ90="","",IFERROR(MATCH(BJ90,INDEX(Boundaries!$B$2:$I$30,MATCH(CT90,Boundaries!$A$2:$A$30,0),0),1)-1,""))</f>
        <v/>
      </c>
      <c r="BL90" s="42" t="str">
        <f aca="false">IF(OR(BK90="",$E90=""),"",BK90-$E90)</f>
        <v/>
      </c>
      <c r="BM90" s="39"/>
      <c r="BN90" s="40" t="str">
        <f aca="false">IF(OR(BM90="",CG90=""),"",BM90/CG90*100)</f>
        <v/>
      </c>
      <c r="BO90" s="41" t="str">
        <f aca="false">IF(BN90="","",IFERROR(MATCH(BN90,INDEX(Boundaries!$B$2:$I$30,MATCH(CU90,Boundaries!$A$2:$A$30,0),0),1)-1,""))</f>
        <v/>
      </c>
      <c r="BP90" s="42" t="str">
        <f aca="false">IF(OR(BO90="",$E90=""),"",BO90-$E90)</f>
        <v/>
      </c>
      <c r="BQ90" s="39"/>
      <c r="BR90" s="40" t="str">
        <f aca="false">IF(OR(BQ90="",CH90=""),"",BQ90/CH90*100)</f>
        <v/>
      </c>
      <c r="BS90" s="41" t="str">
        <f aca="false">IF(BR90="","",IFERROR(MATCH(BR90,INDEX(Boundaries!$B$2:$I$30,MATCH(CV90,Boundaries!$A$2:$A$30,0),0),1)-1,""))</f>
        <v/>
      </c>
      <c r="BT90" s="42" t="str">
        <f aca="false">IF(OR(BS90="",$E90=""),"",BS90-$E90)</f>
        <v/>
      </c>
      <c r="BU90" s="28" t="n">
        <f aca="false">IFERROR(INDEX(Assessments!$H$2:$H$600,MATCH($H90&amp;"|"&amp;$I90&amp;"|"&amp;$J90&amp;"|"&amp;1,Assessments!$A$2:$A$600,0)),"")</f>
        <v>30</v>
      </c>
      <c r="BV90" s="28" t="n">
        <f aca="false">IFERROR(INDEX(Assessments!$H$2:$H$600,MATCH($H90&amp;"|"&amp;$I90&amp;"|"&amp;$J90&amp;"|"&amp;2,Assessments!$A$2:$A$600,0)),"")</f>
        <v>24</v>
      </c>
      <c r="BW90" s="28" t="n">
        <f aca="false">IFERROR(INDEX(Assessments!$H$2:$H$600,MATCH($H90&amp;"|"&amp;$I90&amp;"|"&amp;$J90&amp;"|"&amp;3,Assessments!$A$2:$A$600,0)),"")</f>
        <v>25</v>
      </c>
      <c r="BX90" s="28" t="n">
        <f aca="false">IFERROR(INDEX(Assessments!$H$2:$H$600,MATCH($H90&amp;"|"&amp;$I90&amp;"|"&amp;$J90&amp;"|"&amp;4,Assessments!$A$2:$A$600,0)),"")</f>
        <v>35</v>
      </c>
      <c r="BY90" s="28" t="n">
        <f aca="false">IFERROR(INDEX(Assessments!$H$2:$H$600,MATCH($H90&amp;"|"&amp;$I90&amp;"|"&amp;$J90&amp;"|"&amp;5,Assessments!$A$2:$A$600,0)),"")</f>
        <v>55</v>
      </c>
      <c r="BZ90" s="28" t="n">
        <f aca="false">IFERROR(INDEX(Assessments!$H$2:$H$600,MATCH($H90&amp;"|"&amp;$I90&amp;"|"&amp;$J90&amp;"|"&amp;6,Assessments!$A$2:$A$600,0)),"")</f>
        <v>30</v>
      </c>
      <c r="CA90" s="28" t="n">
        <f aca="false">IFERROR(INDEX(Assessments!$H$2:$H$600,MATCH($H90&amp;"|"&amp;$I90&amp;"|"&amp;$J90&amp;"|"&amp;7,Assessments!$A$2:$A$600,0)),"")</f>
        <v>95</v>
      </c>
      <c r="CB90" s="28" t="str">
        <f aca="false">IFERROR(INDEX(Assessments!$H$2:$H$600,MATCH($H90&amp;"|"&amp;$I90&amp;"|"&amp;$J90&amp;"|"&amp;8,Assessments!$A$2:$A$600,0)),"")</f>
        <v/>
      </c>
      <c r="CC90" s="28" t="str">
        <f aca="false">IFERROR(INDEX(Assessments!$H$2:$H$600,MATCH($H90&amp;"|"&amp;$I90&amp;"|"&amp;$J90&amp;"|"&amp;9,Assessments!$A$2:$A$600,0)),"")</f>
        <v/>
      </c>
      <c r="CD90" s="28" t="str">
        <f aca="false">IFERROR(INDEX(Assessments!$H$2:$H$600,MATCH($H90&amp;"|"&amp;$I90&amp;"|"&amp;$J90&amp;"|"&amp;10,Assessments!$A$2:$A$600,0)),"")</f>
        <v/>
      </c>
      <c r="CE90" s="28" t="str">
        <f aca="false">IFERROR(INDEX(Assessments!$H$2:$H$600,MATCH($H90&amp;"|"&amp;$I90&amp;"|"&amp;$J90&amp;"|"&amp;11,Assessments!$A$2:$A$600,0)),"")</f>
        <v/>
      </c>
      <c r="CF90" s="28" t="str">
        <f aca="false">IFERROR(INDEX(Assessments!$H$2:$H$600,MATCH($H90&amp;"|"&amp;$I90&amp;"|"&amp;$J90&amp;"|"&amp;12,Assessments!$A$2:$A$600,0)),"")</f>
        <v/>
      </c>
      <c r="CG90" s="28" t="str">
        <f aca="false">IFERROR(INDEX(Assessments!$H$2:$H$600,MATCH($H90&amp;"|"&amp;$I90&amp;"|"&amp;$J90&amp;"|"&amp;13,Assessments!$A$2:$A$600,0)),"")</f>
        <v/>
      </c>
      <c r="CH90" s="28" t="str">
        <f aca="false">IFERROR(INDEX(Assessments!$H$2:$H$600,MATCH($H90&amp;"|"&amp;$I90&amp;"|"&amp;$J90&amp;"|"&amp;14,Assessments!$A$2:$A$600,0)),"")</f>
        <v/>
      </c>
      <c r="CI90" s="28" t="str">
        <f aca="false">IFERROR(INDEX(Assessments!$I$2:$I$600,MATCH($H90&amp;"|"&amp;$I90&amp;"|"&amp;$J90&amp;"|"&amp;1,Assessments!$A$2:$A$600,0)),"")</f>
        <v>Econ Test</v>
      </c>
      <c r="CJ90" s="28" t="str">
        <f aca="false">IFERROR(INDEX(Assessments!$I$2:$I$600,MATCH($H90&amp;"|"&amp;$I90&amp;"|"&amp;$J90&amp;"|"&amp;2,Assessments!$A$2:$A$600,0)),"")</f>
        <v>Econ Test</v>
      </c>
      <c r="CK90" s="28" t="str">
        <f aca="false">IFERROR(INDEX(Assessments!$I$2:$I$600,MATCH($H90&amp;"|"&amp;$I90&amp;"|"&amp;$J90&amp;"|"&amp;3,Assessments!$A$2:$A$600,0)),"")</f>
        <v>Econ Test</v>
      </c>
      <c r="CL90" s="28" t="str">
        <f aca="false">IFERROR(INDEX(Assessments!$I$2:$I$600,MATCH($H90&amp;"|"&amp;$I90&amp;"|"&amp;$J90&amp;"|"&amp;4,Assessments!$A$2:$A$600,0)),"")</f>
        <v>Econ Test</v>
      </c>
      <c r="CM90" s="28" t="str">
        <f aca="false">IFERROR(INDEX(Assessments!$I$2:$I$600,MATCH($H90&amp;"|"&amp;$I90&amp;"|"&amp;$J90&amp;"|"&amp;5,Assessments!$A$2:$A$600,0)),"")</f>
        <v>Econ Exam</v>
      </c>
      <c r="CN90" s="28" t="str">
        <f aca="false">IFERROR(INDEX(Assessments!$I$2:$I$600,MATCH($H90&amp;"|"&amp;$I90&amp;"|"&amp;$J90&amp;"|"&amp;6,Assessments!$A$2:$A$600,0)),"")</f>
        <v>Econ Test</v>
      </c>
      <c r="CO90" s="28" t="str">
        <f aca="false">IFERROR(INDEX(Assessments!$I$2:$I$600,MATCH($H90&amp;"|"&amp;$I90&amp;"|"&amp;$J90&amp;"|"&amp;7,Assessments!$A$2:$A$600,0)),"")</f>
        <v>Econ Exam</v>
      </c>
      <c r="CP90" s="28" t="str">
        <f aca="false">IFERROR(INDEX(Assessments!$I$2:$I$600,MATCH($H90&amp;"|"&amp;$I90&amp;"|"&amp;$J90&amp;"|"&amp;8,Assessments!$A$2:$A$600,0)),"")</f>
        <v/>
      </c>
      <c r="CQ90" s="28" t="str">
        <f aca="false">IFERROR(INDEX(Assessments!$I$2:$I$600,MATCH($H90&amp;"|"&amp;$I90&amp;"|"&amp;$J90&amp;"|"&amp;9,Assessments!$A$2:$A$600,0)),"")</f>
        <v/>
      </c>
      <c r="CR90" s="28" t="str">
        <f aca="false">IFERROR(INDEX(Assessments!$I$2:$I$600,MATCH($H90&amp;"|"&amp;$I90&amp;"|"&amp;$J90&amp;"|"&amp;10,Assessments!$A$2:$A$600,0)),"")</f>
        <v/>
      </c>
      <c r="CS90" s="28" t="str">
        <f aca="false">IFERROR(INDEX(Assessments!$I$2:$I$600,MATCH($H90&amp;"|"&amp;$I90&amp;"|"&amp;$J90&amp;"|"&amp;11,Assessments!$A$2:$A$600,0)),"")</f>
        <v/>
      </c>
      <c r="CT90" s="28" t="str">
        <f aca="false">IFERROR(INDEX(Assessments!$I$2:$I$600,MATCH($H90&amp;"|"&amp;$I90&amp;"|"&amp;$J90&amp;"|"&amp;12,Assessments!$A$2:$A$600,0)),"")</f>
        <v/>
      </c>
      <c r="CU90" s="28" t="str">
        <f aca="false">IFERROR(INDEX(Assessments!$I$2:$I$600,MATCH($H90&amp;"|"&amp;$I90&amp;"|"&amp;$J90&amp;"|"&amp;13,Assessments!$A$2:$A$600,0)),"")</f>
        <v/>
      </c>
      <c r="CV90" s="28" t="str">
        <f aca="false">IFERROR(INDEX(Assessments!$I$2:$I$600,MATCH($H90&amp;"|"&amp;$I90&amp;"|"&amp;$J90&amp;"|"&amp;14,Assessments!$A$2:$A$600,0)),"")</f>
        <v/>
      </c>
      <c r="CW90" s="28" t="n">
        <f aca="false">IFERROR(INDEX(Assessments!$J$2:$J$600,MATCH($H90&amp;"|"&amp;$I90&amp;"|"&amp;$J90&amp;"|"&amp;1,Assessments!$A$2:$A$600,0)),0)</f>
        <v>1</v>
      </c>
      <c r="CX90" s="28" t="n">
        <f aca="false">IFERROR(INDEX(Assessments!$J$2:$J$600,MATCH($H90&amp;"|"&amp;$I90&amp;"|"&amp;$J90&amp;"|"&amp;2,Assessments!$A$2:$A$600,0)),0)</f>
        <v>1</v>
      </c>
      <c r="CY90" s="28" t="n">
        <f aca="false">IFERROR(INDEX(Assessments!$J$2:$J$600,MATCH($H90&amp;"|"&amp;$I90&amp;"|"&amp;$J90&amp;"|"&amp;3,Assessments!$A$2:$A$600,0)),0)</f>
        <v>1</v>
      </c>
      <c r="CZ90" s="28" t="n">
        <f aca="false">IFERROR(INDEX(Assessments!$J$2:$J$600,MATCH($H90&amp;"|"&amp;$I90&amp;"|"&amp;$J90&amp;"|"&amp;4,Assessments!$A$2:$A$600,0)),0)</f>
        <v>1</v>
      </c>
      <c r="DA90" s="28" t="n">
        <f aca="false">IFERROR(INDEX(Assessments!$J$2:$J$600,MATCH($H90&amp;"|"&amp;$I90&amp;"|"&amp;$J90&amp;"|"&amp;5,Assessments!$A$2:$A$600,0)),0)</f>
        <v>2</v>
      </c>
      <c r="DB90" s="28" t="n">
        <f aca="false">IFERROR(INDEX(Assessments!$J$2:$J$600,MATCH($H90&amp;"|"&amp;$I90&amp;"|"&amp;$J90&amp;"|"&amp;6,Assessments!$A$2:$A$600,0)),0)</f>
        <v>1</v>
      </c>
      <c r="DC90" s="28" t="n">
        <f aca="false">IFERROR(INDEX(Assessments!$J$2:$J$600,MATCH($H90&amp;"|"&amp;$I90&amp;"|"&amp;$J90&amp;"|"&amp;7,Assessments!$A$2:$A$600,0)),0)</f>
        <v>2</v>
      </c>
      <c r="DD90" s="28" t="n">
        <f aca="false">IFERROR(INDEX(Assessments!$J$2:$J$600,MATCH($H90&amp;"|"&amp;$I90&amp;"|"&amp;$J90&amp;"|"&amp;8,Assessments!$A$2:$A$600,0)),0)</f>
        <v>0</v>
      </c>
      <c r="DE90" s="28" t="n">
        <f aca="false">IFERROR(INDEX(Assessments!$J$2:$J$600,MATCH($H90&amp;"|"&amp;$I90&amp;"|"&amp;$J90&amp;"|"&amp;9,Assessments!$A$2:$A$600,0)),0)</f>
        <v>0</v>
      </c>
      <c r="DF90" s="28" t="n">
        <f aca="false">IFERROR(INDEX(Assessments!$J$2:$J$600,MATCH($H90&amp;"|"&amp;$I90&amp;"|"&amp;$J90&amp;"|"&amp;10,Assessments!$A$2:$A$600,0)),0)</f>
        <v>0</v>
      </c>
      <c r="DG90" s="28" t="n">
        <f aca="false">IFERROR(INDEX(Assessments!$J$2:$J$600,MATCH($H90&amp;"|"&amp;$I90&amp;"|"&amp;$J90&amp;"|"&amp;11,Assessments!$A$2:$A$600,0)),0)</f>
        <v>0</v>
      </c>
      <c r="DH90" s="28" t="n">
        <f aca="false">IFERROR(INDEX(Assessments!$J$2:$J$600,MATCH($H90&amp;"|"&amp;$I90&amp;"|"&amp;$J90&amp;"|"&amp;12,Assessments!$A$2:$A$600,0)),0)</f>
        <v>0</v>
      </c>
      <c r="DI90" s="28" t="n">
        <f aca="false">IFERROR(INDEX(Assessments!$J$2:$J$600,MATCH($H90&amp;"|"&amp;$I90&amp;"|"&amp;$J90&amp;"|"&amp;13,Assessments!$A$2:$A$600,0)),0)</f>
        <v>0</v>
      </c>
      <c r="DJ90" s="28" t="n">
        <f aca="false">IFERROR(INDEX(Assessments!$J$2:$J$600,MATCH($H90&amp;"|"&amp;$I90&amp;"|"&amp;$J90&amp;"|"&amp;14,Assessments!$A$2:$A$600,0)),0)</f>
        <v>0</v>
      </c>
      <c r="DK90" s="28" t="n">
        <f aca="false">S90</f>
        <v>6</v>
      </c>
      <c r="DL90" s="28" t="n">
        <f aca="false">W90</f>
        <v>7</v>
      </c>
      <c r="DM90" s="28" t="n">
        <f aca="false">AA90</f>
        <v>7</v>
      </c>
      <c r="DN90" s="28" t="n">
        <f aca="false">AE90</f>
        <v>7</v>
      </c>
      <c r="DO90" s="28" t="n">
        <f aca="false">AI90</f>
        <v>7</v>
      </c>
      <c r="DP90" s="28" t="str">
        <f aca="false">AM90</f>
        <v/>
      </c>
      <c r="DQ90" s="28" t="str">
        <f aca="false">AQ90</f>
        <v/>
      </c>
      <c r="DR90" s="28" t="str">
        <f aca="false">AU90</f>
        <v/>
      </c>
      <c r="DS90" s="28" t="str">
        <f aca="false">AY90</f>
        <v/>
      </c>
      <c r="DT90" s="28" t="str">
        <f aca="false">BC90</f>
        <v/>
      </c>
      <c r="DU90" s="28" t="str">
        <f aca="false">BG90</f>
        <v/>
      </c>
      <c r="DV90" s="28" t="str">
        <f aca="false">BK90</f>
        <v/>
      </c>
      <c r="DW90" s="28" t="str">
        <f aca="false">BO90</f>
        <v/>
      </c>
      <c r="DX90" s="28" t="str">
        <f aca="false">BS90</f>
        <v/>
      </c>
      <c r="DY90" s="28" t="n">
        <f aca="false">IF(ISNUMBER(S90),1,"")</f>
        <v>1</v>
      </c>
      <c r="DZ90" s="28" t="n">
        <f aca="false">IF(ISNUMBER(W90),2,"")</f>
        <v>2</v>
      </c>
      <c r="EA90" s="28" t="n">
        <f aca="false">IF(ISNUMBER(AA90),3,"")</f>
        <v>3</v>
      </c>
      <c r="EB90" s="28" t="n">
        <f aca="false">IF(ISNUMBER(AE90),4,"")</f>
        <v>4</v>
      </c>
      <c r="EC90" s="28" t="n">
        <f aca="false">IF(ISNUMBER(AI90),5,"")</f>
        <v>5</v>
      </c>
      <c r="ED90" s="28" t="str">
        <f aca="false">IF(ISNUMBER(AM90),6,"")</f>
        <v/>
      </c>
      <c r="EE90" s="28" t="str">
        <f aca="false">IF(ISNUMBER(AQ90),7,"")</f>
        <v/>
      </c>
      <c r="EF90" s="28" t="str">
        <f aca="false">IF(ISNUMBER(AU90),8,"")</f>
        <v/>
      </c>
      <c r="EG90" s="28" t="str">
        <f aca="false">IF(ISNUMBER(AY90),9,"")</f>
        <v/>
      </c>
      <c r="EH90" s="28" t="str">
        <f aca="false">IF(ISNUMBER(BC90),10,"")</f>
        <v/>
      </c>
      <c r="EI90" s="28" t="str">
        <f aca="false">IF(ISNUMBER(BG90),11,"")</f>
        <v/>
      </c>
      <c r="EJ90" s="28" t="str">
        <f aca="false">IF(ISNUMBER(BK90),12,"")</f>
        <v/>
      </c>
      <c r="EK90" s="28" t="str">
        <f aca="false">IF(ISNUMBER(BO90),13,"")</f>
        <v/>
      </c>
      <c r="EL90" s="28" t="str">
        <f aca="false">IF(ISNUMBER(BS90),14,"")</f>
        <v/>
      </c>
      <c r="EM90" s="28" t="n">
        <f aca="false">IF(ISNUMBER(R90),R90*CW90,0)</f>
        <v>83.3333333333333</v>
      </c>
      <c r="EN90" s="28" t="n">
        <f aca="false">IF(ISNUMBER(V90),V90*CX90,0)</f>
        <v>91.6666666666667</v>
      </c>
      <c r="EO90" s="28" t="n">
        <f aca="false">IF(ISNUMBER(Z90),Z90*CY90,0)</f>
        <v>92</v>
      </c>
      <c r="EP90" s="28" t="n">
        <f aca="false">IF(ISNUMBER(AD90),AD90*CZ90,0)</f>
        <v>88.5714285714286</v>
      </c>
      <c r="EQ90" s="28" t="n">
        <f aca="false">IF(ISNUMBER(AH90),AH90*DA90,0)</f>
        <v>160</v>
      </c>
      <c r="ER90" s="28" t="n">
        <f aca="false">IF(ISNUMBER(AL90),AL90*DB90,0)</f>
        <v>0</v>
      </c>
      <c r="ES90" s="28" t="n">
        <f aca="false">IF(ISNUMBER(AP90),AP90*DC90,0)</f>
        <v>0</v>
      </c>
      <c r="ET90" s="28" t="n">
        <f aca="false">IF(ISNUMBER(AT90),AT90*DD90,0)</f>
        <v>0</v>
      </c>
      <c r="EU90" s="28" t="n">
        <f aca="false">IF(ISNUMBER(AX90),AX90*DE90,0)</f>
        <v>0</v>
      </c>
      <c r="EV90" s="28" t="n">
        <f aca="false">IF(ISNUMBER(BB90),BB90*DF90,0)</f>
        <v>0</v>
      </c>
      <c r="EW90" s="28" t="n">
        <f aca="false">IF(ISNUMBER(BF90),BF90*DG90,0)</f>
        <v>0</v>
      </c>
      <c r="EX90" s="28" t="n">
        <f aca="false">IF(ISNUMBER(BJ90),BJ90*DH90,0)</f>
        <v>0</v>
      </c>
      <c r="EY90" s="28" t="n">
        <f aca="false">IF(ISNUMBER(BN90),BN90*DI90,0)</f>
        <v>0</v>
      </c>
      <c r="EZ90" s="28" t="n">
        <f aca="false">IF(ISNUMBER(BR90),BR90*DJ90,0)</f>
        <v>0</v>
      </c>
      <c r="FA90" s="28" t="n">
        <f aca="false">IF(ISNUMBER(R90),CW90,0)</f>
        <v>1</v>
      </c>
      <c r="FB90" s="28" t="n">
        <f aca="false">IF(ISNUMBER(V90),CX90,0)</f>
        <v>1</v>
      </c>
      <c r="FC90" s="28" t="n">
        <f aca="false">IF(ISNUMBER(Z90),CY90,0)</f>
        <v>1</v>
      </c>
      <c r="FD90" s="28" t="n">
        <f aca="false">IF(ISNUMBER(AD90),CZ90,0)</f>
        <v>1</v>
      </c>
      <c r="FE90" s="28" t="n">
        <f aca="false">IF(ISNUMBER(AH90),DA90,0)</f>
        <v>2</v>
      </c>
      <c r="FF90" s="28" t="n">
        <f aca="false">IF(ISNUMBER(AL90),DB90,0)</f>
        <v>0</v>
      </c>
      <c r="FG90" s="28" t="n">
        <f aca="false">IF(ISNUMBER(AP90),DC90,0)</f>
        <v>0</v>
      </c>
      <c r="FH90" s="28" t="n">
        <f aca="false">IF(ISNUMBER(AT90),DD90,0)</f>
        <v>0</v>
      </c>
      <c r="FI90" s="28" t="n">
        <f aca="false">IF(ISNUMBER(AX90),DE90,0)</f>
        <v>0</v>
      </c>
      <c r="FJ90" s="28" t="n">
        <f aca="false">IF(ISNUMBER(BB90),DF90,0)</f>
        <v>0</v>
      </c>
      <c r="FK90" s="28" t="n">
        <f aca="false">IF(ISNUMBER(BF90),DG90,0)</f>
        <v>0</v>
      </c>
      <c r="FL90" s="28" t="n">
        <f aca="false">IF(ISNUMBER(BJ90),DH90,0)</f>
        <v>0</v>
      </c>
      <c r="FM90" s="28" t="n">
        <f aca="false">IF(ISNUMBER(BN90),DI90,0)</f>
        <v>0</v>
      </c>
      <c r="FN90" s="28" t="n">
        <f aca="false">IF(ISNUMBER(BR90),DJ90,0)</f>
        <v>0</v>
      </c>
      <c r="FO90" s="28" t="str">
        <f aca="false">IFERROR(INDEX(Lists!$G$2:$G$20,MATCH($I90&amp;"|"&amp;$J90,Lists!$F$2:$F$20,0)),"")</f>
        <v>Econ Exam</v>
      </c>
    </row>
    <row r="91" customFormat="false" ht="19.5" hidden="false" customHeight="true" outlineLevel="0" collapsed="false">
      <c r="A91" s="29" t="s">
        <v>305</v>
      </c>
      <c r="B91" s="29" t="s">
        <v>306</v>
      </c>
      <c r="C91" s="30" t="s">
        <v>192</v>
      </c>
      <c r="D91" s="30" t="s">
        <v>291</v>
      </c>
      <c r="E91" s="31" t="n">
        <v>6.5</v>
      </c>
      <c r="F91" s="30" t="n">
        <v>7</v>
      </c>
      <c r="G91" s="30"/>
      <c r="H91" s="32" t="s">
        <v>23</v>
      </c>
      <c r="I91" s="33" t="s">
        <v>229</v>
      </c>
      <c r="J91" s="32" t="s">
        <v>25</v>
      </c>
      <c r="K91" s="34" t="n">
        <f aca="false">IF(OR(M91="",$E91=""),"",M91-$E91)</f>
        <v>0.5</v>
      </c>
      <c r="L91" s="35" t="n">
        <f aca="false">IF(SUM(FA91:FN91)=0,"",SUM(EM91:EZ91)/SUM(FA91:FN91))</f>
        <v>89.5750360750361</v>
      </c>
      <c r="M91" s="36" t="n">
        <f aca="false">IF(OR(L91="",FO91=""),"",IFERROR(MATCH(L91,INDEX(Boundaries!$B$2:$I$30,MATCH(FO91,Boundaries!$A$2:$A$30,0),0),1)-1,""))</f>
        <v>7</v>
      </c>
      <c r="N91" s="37" t="n">
        <f aca="false">IF(COUNT($DY91:$EL91)&lt;2,"",INDEX($DK91:$DX91,MAX($DY91:$EL91))-INDEX($DK91:$DX91,MIN($DY91:$EL91)))</f>
        <v>0</v>
      </c>
      <c r="O91" s="37" t="n">
        <f aca="false">IF(COUNT($DY91:$EL91)&lt;2,"",INDEX($DK91:$DX91,MAX($DY91:$EL91))-INDEX($DK91:$DX91,LARGE($DY91:$EL91,2)))</f>
        <v>0</v>
      </c>
      <c r="P91" s="38" t="str">
        <f aca="false">IF(K91="","",IF(K91&gt;=0,"On/above target",IF(AND(N91&lt;&gt;"",N91&gt;=0.5),"Improving towards target",IF(AND(O91&lt;&gt;"",O91&lt;=-0.5),"Declining","Stable below target"))))</f>
        <v>On/above target</v>
      </c>
      <c r="Q91" s="39" t="n">
        <v>26</v>
      </c>
      <c r="R91" s="40" t="n">
        <f aca="false">IF(OR(Q91="",BU91=""),"",Q91/BU91*100)</f>
        <v>86.6666666666667</v>
      </c>
      <c r="S91" s="41" t="n">
        <f aca="false">IF(R91="","",IFERROR(MATCH(R91,INDEX(Boundaries!$B$2:$I$30,MATCH(CI91,Boundaries!$A$2:$A$30,0),0),1)-1,""))</f>
        <v>7</v>
      </c>
      <c r="T91" s="42" t="n">
        <f aca="false">IF(OR(S91="",$E91=""),"",S91-$E91)</f>
        <v>0.5</v>
      </c>
      <c r="U91" s="39" t="n">
        <v>22</v>
      </c>
      <c r="V91" s="40" t="n">
        <f aca="false">IF(OR(U91="",BV91=""),"",U91/BV91*100)</f>
        <v>91.6666666666667</v>
      </c>
      <c r="W91" s="41" t="n">
        <f aca="false">IF(V91="","",IFERROR(MATCH(V91,INDEX(Boundaries!$B$2:$I$30,MATCH(CJ91,Boundaries!$A$2:$A$30,0),0),1)-1,""))</f>
        <v>7</v>
      </c>
      <c r="X91" s="42" t="n">
        <f aca="false">IF(OR(W91="",$E91=""),"",W91-$E91)</f>
        <v>0.5</v>
      </c>
      <c r="Y91" s="39" t="n">
        <v>24</v>
      </c>
      <c r="Z91" s="40" t="n">
        <f aca="false">IF(OR(Y91="",BW91=""),"",Y91/BW91*100)</f>
        <v>96</v>
      </c>
      <c r="AA91" s="41" t="n">
        <f aca="false">IF(Z91="","",IFERROR(MATCH(Z91,INDEX(Boundaries!$B$2:$I$30,MATCH(CK91,Boundaries!$A$2:$A$30,0),0),1)-1,""))</f>
        <v>7</v>
      </c>
      <c r="AB91" s="42" t="n">
        <f aca="false">IF(OR(AA91="",$E91=""),"",AA91-$E91)</f>
        <v>0.5</v>
      </c>
      <c r="AC91" s="39" t="n">
        <v>31</v>
      </c>
      <c r="AD91" s="40" t="n">
        <f aca="false">IF(OR(AC91="",BX91=""),"",AC91/BX91*100)</f>
        <v>88.5714285714286</v>
      </c>
      <c r="AE91" s="41" t="n">
        <f aca="false">IF(AD91="","",IFERROR(MATCH(AD91,INDEX(Boundaries!$B$2:$I$30,MATCH(CL91,Boundaries!$A$2:$A$30,0),0),1)-1,""))</f>
        <v>7</v>
      </c>
      <c r="AF91" s="42" t="n">
        <f aca="false">IF(OR(AE91="",$E91=""),"",AE91-$E91)</f>
        <v>0.5</v>
      </c>
      <c r="AG91" s="39" t="n">
        <v>48</v>
      </c>
      <c r="AH91" s="40" t="n">
        <f aca="false">IF(OR(AG91="",BY91=""),"",AG91/BY91*100)</f>
        <v>87.2727272727273</v>
      </c>
      <c r="AI91" s="41" t="n">
        <f aca="false">IF(AH91="","",IFERROR(MATCH(AH91,INDEX(Boundaries!$B$2:$I$30,MATCH(CM91,Boundaries!$A$2:$A$30,0),0),1)-1,""))</f>
        <v>7</v>
      </c>
      <c r="AJ91" s="42" t="n">
        <f aca="false">IF(OR(AI91="",$E91=""),"",AI91-$E91)</f>
        <v>0.5</v>
      </c>
      <c r="AK91" s="39"/>
      <c r="AL91" s="40" t="str">
        <f aca="false">IF(OR(AK91="",BZ91=""),"",AK91/BZ91*100)</f>
        <v/>
      </c>
      <c r="AM91" s="41" t="str">
        <f aca="false">IF(AL91="","",IFERROR(MATCH(AL91,INDEX(Boundaries!$B$2:$I$30,MATCH(CN91,Boundaries!$A$2:$A$30,0),0),1)-1,""))</f>
        <v/>
      </c>
      <c r="AN91" s="42" t="str">
        <f aca="false">IF(OR(AM91="",$E91=""),"",AM91-$E91)</f>
        <v/>
      </c>
      <c r="AO91" s="39"/>
      <c r="AP91" s="40" t="str">
        <f aca="false">IF(OR(AO91="",CA91=""),"",AO91/CA91*100)</f>
        <v/>
      </c>
      <c r="AQ91" s="41" t="str">
        <f aca="false">IF(AP91="","",IFERROR(MATCH(AP91,INDEX(Boundaries!$B$2:$I$30,MATCH(CO91,Boundaries!$A$2:$A$30,0),0),1)-1,""))</f>
        <v/>
      </c>
      <c r="AR91" s="42" t="str">
        <f aca="false">IF(OR(AQ91="",$E91=""),"",AQ91-$E91)</f>
        <v/>
      </c>
      <c r="AS91" s="39"/>
      <c r="AT91" s="40" t="str">
        <f aca="false">IF(OR(AS91="",CB91=""),"",AS91/CB91*100)</f>
        <v/>
      </c>
      <c r="AU91" s="41" t="str">
        <f aca="false">IF(AT91="","",IFERROR(MATCH(AT91,INDEX(Boundaries!$B$2:$I$30,MATCH(CP91,Boundaries!$A$2:$A$30,0),0),1)-1,""))</f>
        <v/>
      </c>
      <c r="AV91" s="42" t="str">
        <f aca="false">IF(OR(AU91="",$E91=""),"",AU91-$E91)</f>
        <v/>
      </c>
      <c r="AW91" s="39"/>
      <c r="AX91" s="40" t="str">
        <f aca="false">IF(OR(AW91="",CC91=""),"",AW91/CC91*100)</f>
        <v/>
      </c>
      <c r="AY91" s="41" t="str">
        <f aca="false">IF(AX91="","",IFERROR(MATCH(AX91,INDEX(Boundaries!$B$2:$I$30,MATCH(CQ91,Boundaries!$A$2:$A$30,0),0),1)-1,""))</f>
        <v/>
      </c>
      <c r="AZ91" s="42" t="str">
        <f aca="false">IF(OR(AY91="",$E91=""),"",AY91-$E91)</f>
        <v/>
      </c>
      <c r="BA91" s="39"/>
      <c r="BB91" s="40" t="str">
        <f aca="false">IF(OR(BA91="",CD91=""),"",BA91/CD91*100)</f>
        <v/>
      </c>
      <c r="BC91" s="41" t="str">
        <f aca="false">IF(BB91="","",IFERROR(MATCH(BB91,INDEX(Boundaries!$B$2:$I$30,MATCH(CR91,Boundaries!$A$2:$A$30,0),0),1)-1,""))</f>
        <v/>
      </c>
      <c r="BD91" s="42" t="str">
        <f aca="false">IF(OR(BC91="",$E91=""),"",BC91-$E91)</f>
        <v/>
      </c>
      <c r="BE91" s="39"/>
      <c r="BF91" s="40" t="str">
        <f aca="false">IF(OR(BE91="",CE91=""),"",BE91/CE91*100)</f>
        <v/>
      </c>
      <c r="BG91" s="41" t="str">
        <f aca="false">IF(BF91="","",IFERROR(MATCH(BF91,INDEX(Boundaries!$B$2:$I$30,MATCH(CS91,Boundaries!$A$2:$A$30,0),0),1)-1,""))</f>
        <v/>
      </c>
      <c r="BH91" s="42" t="str">
        <f aca="false">IF(OR(BG91="",$E91=""),"",BG91-$E91)</f>
        <v/>
      </c>
      <c r="BI91" s="39"/>
      <c r="BJ91" s="40" t="str">
        <f aca="false">IF(OR(BI91="",CF91=""),"",BI91/CF91*100)</f>
        <v/>
      </c>
      <c r="BK91" s="41" t="str">
        <f aca="false">IF(BJ91="","",IFERROR(MATCH(BJ91,INDEX(Boundaries!$B$2:$I$30,MATCH(CT91,Boundaries!$A$2:$A$30,0),0),1)-1,""))</f>
        <v/>
      </c>
      <c r="BL91" s="42" t="str">
        <f aca="false">IF(OR(BK91="",$E91=""),"",BK91-$E91)</f>
        <v/>
      </c>
      <c r="BM91" s="39"/>
      <c r="BN91" s="40" t="str">
        <f aca="false">IF(OR(BM91="",CG91=""),"",BM91/CG91*100)</f>
        <v/>
      </c>
      <c r="BO91" s="41" t="str">
        <f aca="false">IF(BN91="","",IFERROR(MATCH(BN91,INDEX(Boundaries!$B$2:$I$30,MATCH(CU91,Boundaries!$A$2:$A$30,0),0),1)-1,""))</f>
        <v/>
      </c>
      <c r="BP91" s="42" t="str">
        <f aca="false">IF(OR(BO91="",$E91=""),"",BO91-$E91)</f>
        <v/>
      </c>
      <c r="BQ91" s="39"/>
      <c r="BR91" s="40" t="str">
        <f aca="false">IF(OR(BQ91="",CH91=""),"",BQ91/CH91*100)</f>
        <v/>
      </c>
      <c r="BS91" s="41" t="str">
        <f aca="false">IF(BR91="","",IFERROR(MATCH(BR91,INDEX(Boundaries!$B$2:$I$30,MATCH(CV91,Boundaries!$A$2:$A$30,0),0),1)-1,""))</f>
        <v/>
      </c>
      <c r="BT91" s="42" t="str">
        <f aca="false">IF(OR(BS91="",$E91=""),"",BS91-$E91)</f>
        <v/>
      </c>
      <c r="BU91" s="28" t="n">
        <f aca="false">IFERROR(INDEX(Assessments!$H$2:$H$600,MATCH($H91&amp;"|"&amp;$I91&amp;"|"&amp;$J91&amp;"|"&amp;1,Assessments!$A$2:$A$600,0)),"")</f>
        <v>30</v>
      </c>
      <c r="BV91" s="28" t="n">
        <f aca="false">IFERROR(INDEX(Assessments!$H$2:$H$600,MATCH($H91&amp;"|"&amp;$I91&amp;"|"&amp;$J91&amp;"|"&amp;2,Assessments!$A$2:$A$600,0)),"")</f>
        <v>24</v>
      </c>
      <c r="BW91" s="28" t="n">
        <f aca="false">IFERROR(INDEX(Assessments!$H$2:$H$600,MATCH($H91&amp;"|"&amp;$I91&amp;"|"&amp;$J91&amp;"|"&amp;3,Assessments!$A$2:$A$600,0)),"")</f>
        <v>25</v>
      </c>
      <c r="BX91" s="28" t="n">
        <f aca="false">IFERROR(INDEX(Assessments!$H$2:$H$600,MATCH($H91&amp;"|"&amp;$I91&amp;"|"&amp;$J91&amp;"|"&amp;4,Assessments!$A$2:$A$600,0)),"")</f>
        <v>35</v>
      </c>
      <c r="BY91" s="28" t="n">
        <f aca="false">IFERROR(INDEX(Assessments!$H$2:$H$600,MATCH($H91&amp;"|"&amp;$I91&amp;"|"&amp;$J91&amp;"|"&amp;5,Assessments!$A$2:$A$600,0)),"")</f>
        <v>55</v>
      </c>
      <c r="BZ91" s="28" t="n">
        <f aca="false">IFERROR(INDEX(Assessments!$H$2:$H$600,MATCH($H91&amp;"|"&amp;$I91&amp;"|"&amp;$J91&amp;"|"&amp;6,Assessments!$A$2:$A$600,0)),"")</f>
        <v>30</v>
      </c>
      <c r="CA91" s="28" t="n">
        <f aca="false">IFERROR(INDEX(Assessments!$H$2:$H$600,MATCH($H91&amp;"|"&amp;$I91&amp;"|"&amp;$J91&amp;"|"&amp;7,Assessments!$A$2:$A$600,0)),"")</f>
        <v>95</v>
      </c>
      <c r="CB91" s="28" t="str">
        <f aca="false">IFERROR(INDEX(Assessments!$H$2:$H$600,MATCH($H91&amp;"|"&amp;$I91&amp;"|"&amp;$J91&amp;"|"&amp;8,Assessments!$A$2:$A$600,0)),"")</f>
        <v/>
      </c>
      <c r="CC91" s="28" t="str">
        <f aca="false">IFERROR(INDEX(Assessments!$H$2:$H$600,MATCH($H91&amp;"|"&amp;$I91&amp;"|"&amp;$J91&amp;"|"&amp;9,Assessments!$A$2:$A$600,0)),"")</f>
        <v/>
      </c>
      <c r="CD91" s="28" t="str">
        <f aca="false">IFERROR(INDEX(Assessments!$H$2:$H$600,MATCH($H91&amp;"|"&amp;$I91&amp;"|"&amp;$J91&amp;"|"&amp;10,Assessments!$A$2:$A$600,0)),"")</f>
        <v/>
      </c>
      <c r="CE91" s="28" t="str">
        <f aca="false">IFERROR(INDEX(Assessments!$H$2:$H$600,MATCH($H91&amp;"|"&amp;$I91&amp;"|"&amp;$J91&amp;"|"&amp;11,Assessments!$A$2:$A$600,0)),"")</f>
        <v/>
      </c>
      <c r="CF91" s="28" t="str">
        <f aca="false">IFERROR(INDEX(Assessments!$H$2:$H$600,MATCH($H91&amp;"|"&amp;$I91&amp;"|"&amp;$J91&amp;"|"&amp;12,Assessments!$A$2:$A$600,0)),"")</f>
        <v/>
      </c>
      <c r="CG91" s="28" t="str">
        <f aca="false">IFERROR(INDEX(Assessments!$H$2:$H$600,MATCH($H91&amp;"|"&amp;$I91&amp;"|"&amp;$J91&amp;"|"&amp;13,Assessments!$A$2:$A$600,0)),"")</f>
        <v/>
      </c>
      <c r="CH91" s="28" t="str">
        <f aca="false">IFERROR(INDEX(Assessments!$H$2:$H$600,MATCH($H91&amp;"|"&amp;$I91&amp;"|"&amp;$J91&amp;"|"&amp;14,Assessments!$A$2:$A$600,0)),"")</f>
        <v/>
      </c>
      <c r="CI91" s="28" t="str">
        <f aca="false">IFERROR(INDEX(Assessments!$I$2:$I$600,MATCH($H91&amp;"|"&amp;$I91&amp;"|"&amp;$J91&amp;"|"&amp;1,Assessments!$A$2:$A$600,0)),"")</f>
        <v>Econ Test</v>
      </c>
      <c r="CJ91" s="28" t="str">
        <f aca="false">IFERROR(INDEX(Assessments!$I$2:$I$600,MATCH($H91&amp;"|"&amp;$I91&amp;"|"&amp;$J91&amp;"|"&amp;2,Assessments!$A$2:$A$600,0)),"")</f>
        <v>Econ Test</v>
      </c>
      <c r="CK91" s="28" t="str">
        <f aca="false">IFERROR(INDEX(Assessments!$I$2:$I$600,MATCH($H91&amp;"|"&amp;$I91&amp;"|"&amp;$J91&amp;"|"&amp;3,Assessments!$A$2:$A$600,0)),"")</f>
        <v>Econ Test</v>
      </c>
      <c r="CL91" s="28" t="str">
        <f aca="false">IFERROR(INDEX(Assessments!$I$2:$I$600,MATCH($H91&amp;"|"&amp;$I91&amp;"|"&amp;$J91&amp;"|"&amp;4,Assessments!$A$2:$A$600,0)),"")</f>
        <v>Econ Test</v>
      </c>
      <c r="CM91" s="28" t="str">
        <f aca="false">IFERROR(INDEX(Assessments!$I$2:$I$600,MATCH($H91&amp;"|"&amp;$I91&amp;"|"&amp;$J91&amp;"|"&amp;5,Assessments!$A$2:$A$600,0)),"")</f>
        <v>Econ Exam</v>
      </c>
      <c r="CN91" s="28" t="str">
        <f aca="false">IFERROR(INDEX(Assessments!$I$2:$I$600,MATCH($H91&amp;"|"&amp;$I91&amp;"|"&amp;$J91&amp;"|"&amp;6,Assessments!$A$2:$A$600,0)),"")</f>
        <v>Econ Test</v>
      </c>
      <c r="CO91" s="28" t="str">
        <f aca="false">IFERROR(INDEX(Assessments!$I$2:$I$600,MATCH($H91&amp;"|"&amp;$I91&amp;"|"&amp;$J91&amp;"|"&amp;7,Assessments!$A$2:$A$600,0)),"")</f>
        <v>Econ Exam</v>
      </c>
      <c r="CP91" s="28" t="str">
        <f aca="false">IFERROR(INDEX(Assessments!$I$2:$I$600,MATCH($H91&amp;"|"&amp;$I91&amp;"|"&amp;$J91&amp;"|"&amp;8,Assessments!$A$2:$A$600,0)),"")</f>
        <v/>
      </c>
      <c r="CQ91" s="28" t="str">
        <f aca="false">IFERROR(INDEX(Assessments!$I$2:$I$600,MATCH($H91&amp;"|"&amp;$I91&amp;"|"&amp;$J91&amp;"|"&amp;9,Assessments!$A$2:$A$600,0)),"")</f>
        <v/>
      </c>
      <c r="CR91" s="28" t="str">
        <f aca="false">IFERROR(INDEX(Assessments!$I$2:$I$600,MATCH($H91&amp;"|"&amp;$I91&amp;"|"&amp;$J91&amp;"|"&amp;10,Assessments!$A$2:$A$600,0)),"")</f>
        <v/>
      </c>
      <c r="CS91" s="28" t="str">
        <f aca="false">IFERROR(INDEX(Assessments!$I$2:$I$600,MATCH($H91&amp;"|"&amp;$I91&amp;"|"&amp;$J91&amp;"|"&amp;11,Assessments!$A$2:$A$600,0)),"")</f>
        <v/>
      </c>
      <c r="CT91" s="28" t="str">
        <f aca="false">IFERROR(INDEX(Assessments!$I$2:$I$600,MATCH($H91&amp;"|"&amp;$I91&amp;"|"&amp;$J91&amp;"|"&amp;12,Assessments!$A$2:$A$600,0)),"")</f>
        <v/>
      </c>
      <c r="CU91" s="28" t="str">
        <f aca="false">IFERROR(INDEX(Assessments!$I$2:$I$600,MATCH($H91&amp;"|"&amp;$I91&amp;"|"&amp;$J91&amp;"|"&amp;13,Assessments!$A$2:$A$600,0)),"")</f>
        <v/>
      </c>
      <c r="CV91" s="28" t="str">
        <f aca="false">IFERROR(INDEX(Assessments!$I$2:$I$600,MATCH($H91&amp;"|"&amp;$I91&amp;"|"&amp;$J91&amp;"|"&amp;14,Assessments!$A$2:$A$600,0)),"")</f>
        <v/>
      </c>
      <c r="CW91" s="28" t="n">
        <f aca="false">IFERROR(INDEX(Assessments!$J$2:$J$600,MATCH($H91&amp;"|"&amp;$I91&amp;"|"&amp;$J91&amp;"|"&amp;1,Assessments!$A$2:$A$600,0)),0)</f>
        <v>1</v>
      </c>
      <c r="CX91" s="28" t="n">
        <f aca="false">IFERROR(INDEX(Assessments!$J$2:$J$600,MATCH($H91&amp;"|"&amp;$I91&amp;"|"&amp;$J91&amp;"|"&amp;2,Assessments!$A$2:$A$600,0)),0)</f>
        <v>1</v>
      </c>
      <c r="CY91" s="28" t="n">
        <f aca="false">IFERROR(INDEX(Assessments!$J$2:$J$600,MATCH($H91&amp;"|"&amp;$I91&amp;"|"&amp;$J91&amp;"|"&amp;3,Assessments!$A$2:$A$600,0)),0)</f>
        <v>1</v>
      </c>
      <c r="CZ91" s="28" t="n">
        <f aca="false">IFERROR(INDEX(Assessments!$J$2:$J$600,MATCH($H91&amp;"|"&amp;$I91&amp;"|"&amp;$J91&amp;"|"&amp;4,Assessments!$A$2:$A$600,0)),0)</f>
        <v>1</v>
      </c>
      <c r="DA91" s="28" t="n">
        <f aca="false">IFERROR(INDEX(Assessments!$J$2:$J$600,MATCH($H91&amp;"|"&amp;$I91&amp;"|"&amp;$J91&amp;"|"&amp;5,Assessments!$A$2:$A$600,0)),0)</f>
        <v>2</v>
      </c>
      <c r="DB91" s="28" t="n">
        <f aca="false">IFERROR(INDEX(Assessments!$J$2:$J$600,MATCH($H91&amp;"|"&amp;$I91&amp;"|"&amp;$J91&amp;"|"&amp;6,Assessments!$A$2:$A$600,0)),0)</f>
        <v>1</v>
      </c>
      <c r="DC91" s="28" t="n">
        <f aca="false">IFERROR(INDEX(Assessments!$J$2:$J$600,MATCH($H91&amp;"|"&amp;$I91&amp;"|"&amp;$J91&amp;"|"&amp;7,Assessments!$A$2:$A$600,0)),0)</f>
        <v>2</v>
      </c>
      <c r="DD91" s="28" t="n">
        <f aca="false">IFERROR(INDEX(Assessments!$J$2:$J$600,MATCH($H91&amp;"|"&amp;$I91&amp;"|"&amp;$J91&amp;"|"&amp;8,Assessments!$A$2:$A$600,0)),0)</f>
        <v>0</v>
      </c>
      <c r="DE91" s="28" t="n">
        <f aca="false">IFERROR(INDEX(Assessments!$J$2:$J$600,MATCH($H91&amp;"|"&amp;$I91&amp;"|"&amp;$J91&amp;"|"&amp;9,Assessments!$A$2:$A$600,0)),0)</f>
        <v>0</v>
      </c>
      <c r="DF91" s="28" t="n">
        <f aca="false">IFERROR(INDEX(Assessments!$J$2:$J$600,MATCH($H91&amp;"|"&amp;$I91&amp;"|"&amp;$J91&amp;"|"&amp;10,Assessments!$A$2:$A$600,0)),0)</f>
        <v>0</v>
      </c>
      <c r="DG91" s="28" t="n">
        <f aca="false">IFERROR(INDEX(Assessments!$J$2:$J$600,MATCH($H91&amp;"|"&amp;$I91&amp;"|"&amp;$J91&amp;"|"&amp;11,Assessments!$A$2:$A$600,0)),0)</f>
        <v>0</v>
      </c>
      <c r="DH91" s="28" t="n">
        <f aca="false">IFERROR(INDEX(Assessments!$J$2:$J$600,MATCH($H91&amp;"|"&amp;$I91&amp;"|"&amp;$J91&amp;"|"&amp;12,Assessments!$A$2:$A$600,0)),0)</f>
        <v>0</v>
      </c>
      <c r="DI91" s="28" t="n">
        <f aca="false">IFERROR(INDEX(Assessments!$J$2:$J$600,MATCH($H91&amp;"|"&amp;$I91&amp;"|"&amp;$J91&amp;"|"&amp;13,Assessments!$A$2:$A$600,0)),0)</f>
        <v>0</v>
      </c>
      <c r="DJ91" s="28" t="n">
        <f aca="false">IFERROR(INDEX(Assessments!$J$2:$J$600,MATCH($H91&amp;"|"&amp;$I91&amp;"|"&amp;$J91&amp;"|"&amp;14,Assessments!$A$2:$A$600,0)),0)</f>
        <v>0</v>
      </c>
      <c r="DK91" s="28" t="n">
        <f aca="false">S91</f>
        <v>7</v>
      </c>
      <c r="DL91" s="28" t="n">
        <f aca="false">W91</f>
        <v>7</v>
      </c>
      <c r="DM91" s="28" t="n">
        <f aca="false">AA91</f>
        <v>7</v>
      </c>
      <c r="DN91" s="28" t="n">
        <f aca="false">AE91</f>
        <v>7</v>
      </c>
      <c r="DO91" s="28" t="n">
        <f aca="false">AI91</f>
        <v>7</v>
      </c>
      <c r="DP91" s="28" t="str">
        <f aca="false">AM91</f>
        <v/>
      </c>
      <c r="DQ91" s="28" t="str">
        <f aca="false">AQ91</f>
        <v/>
      </c>
      <c r="DR91" s="28" t="str">
        <f aca="false">AU91</f>
        <v/>
      </c>
      <c r="DS91" s="28" t="str">
        <f aca="false">AY91</f>
        <v/>
      </c>
      <c r="DT91" s="28" t="str">
        <f aca="false">BC91</f>
        <v/>
      </c>
      <c r="DU91" s="28" t="str">
        <f aca="false">BG91</f>
        <v/>
      </c>
      <c r="DV91" s="28" t="str">
        <f aca="false">BK91</f>
        <v/>
      </c>
      <c r="DW91" s="28" t="str">
        <f aca="false">BO91</f>
        <v/>
      </c>
      <c r="DX91" s="28" t="str">
        <f aca="false">BS91</f>
        <v/>
      </c>
      <c r="DY91" s="28" t="n">
        <f aca="false">IF(ISNUMBER(S91),1,"")</f>
        <v>1</v>
      </c>
      <c r="DZ91" s="28" t="n">
        <f aca="false">IF(ISNUMBER(W91),2,"")</f>
        <v>2</v>
      </c>
      <c r="EA91" s="28" t="n">
        <f aca="false">IF(ISNUMBER(AA91),3,"")</f>
        <v>3</v>
      </c>
      <c r="EB91" s="28" t="n">
        <f aca="false">IF(ISNUMBER(AE91),4,"")</f>
        <v>4</v>
      </c>
      <c r="EC91" s="28" t="n">
        <f aca="false">IF(ISNUMBER(AI91),5,"")</f>
        <v>5</v>
      </c>
      <c r="ED91" s="28" t="str">
        <f aca="false">IF(ISNUMBER(AM91),6,"")</f>
        <v/>
      </c>
      <c r="EE91" s="28" t="str">
        <f aca="false">IF(ISNUMBER(AQ91),7,"")</f>
        <v/>
      </c>
      <c r="EF91" s="28" t="str">
        <f aca="false">IF(ISNUMBER(AU91),8,"")</f>
        <v/>
      </c>
      <c r="EG91" s="28" t="str">
        <f aca="false">IF(ISNUMBER(AY91),9,"")</f>
        <v/>
      </c>
      <c r="EH91" s="28" t="str">
        <f aca="false">IF(ISNUMBER(BC91),10,"")</f>
        <v/>
      </c>
      <c r="EI91" s="28" t="str">
        <f aca="false">IF(ISNUMBER(BG91),11,"")</f>
        <v/>
      </c>
      <c r="EJ91" s="28" t="str">
        <f aca="false">IF(ISNUMBER(BK91),12,"")</f>
        <v/>
      </c>
      <c r="EK91" s="28" t="str">
        <f aca="false">IF(ISNUMBER(BO91),13,"")</f>
        <v/>
      </c>
      <c r="EL91" s="28" t="str">
        <f aca="false">IF(ISNUMBER(BS91),14,"")</f>
        <v/>
      </c>
      <c r="EM91" s="28" t="n">
        <f aca="false">IF(ISNUMBER(R91),R91*CW91,0)</f>
        <v>86.6666666666667</v>
      </c>
      <c r="EN91" s="28" t="n">
        <f aca="false">IF(ISNUMBER(V91),V91*CX91,0)</f>
        <v>91.6666666666667</v>
      </c>
      <c r="EO91" s="28" t="n">
        <f aca="false">IF(ISNUMBER(Z91),Z91*CY91,0)</f>
        <v>96</v>
      </c>
      <c r="EP91" s="28" t="n">
        <f aca="false">IF(ISNUMBER(AD91),AD91*CZ91,0)</f>
        <v>88.5714285714286</v>
      </c>
      <c r="EQ91" s="28" t="n">
        <f aca="false">IF(ISNUMBER(AH91),AH91*DA91,0)</f>
        <v>174.545454545455</v>
      </c>
      <c r="ER91" s="28" t="n">
        <f aca="false">IF(ISNUMBER(AL91),AL91*DB91,0)</f>
        <v>0</v>
      </c>
      <c r="ES91" s="28" t="n">
        <f aca="false">IF(ISNUMBER(AP91),AP91*DC91,0)</f>
        <v>0</v>
      </c>
      <c r="ET91" s="28" t="n">
        <f aca="false">IF(ISNUMBER(AT91),AT91*DD91,0)</f>
        <v>0</v>
      </c>
      <c r="EU91" s="28" t="n">
        <f aca="false">IF(ISNUMBER(AX91),AX91*DE91,0)</f>
        <v>0</v>
      </c>
      <c r="EV91" s="28" t="n">
        <f aca="false">IF(ISNUMBER(BB91),BB91*DF91,0)</f>
        <v>0</v>
      </c>
      <c r="EW91" s="28" t="n">
        <f aca="false">IF(ISNUMBER(BF91),BF91*DG91,0)</f>
        <v>0</v>
      </c>
      <c r="EX91" s="28" t="n">
        <f aca="false">IF(ISNUMBER(BJ91),BJ91*DH91,0)</f>
        <v>0</v>
      </c>
      <c r="EY91" s="28" t="n">
        <f aca="false">IF(ISNUMBER(BN91),BN91*DI91,0)</f>
        <v>0</v>
      </c>
      <c r="EZ91" s="28" t="n">
        <f aca="false">IF(ISNUMBER(BR91),BR91*DJ91,0)</f>
        <v>0</v>
      </c>
      <c r="FA91" s="28" t="n">
        <f aca="false">IF(ISNUMBER(R91),CW91,0)</f>
        <v>1</v>
      </c>
      <c r="FB91" s="28" t="n">
        <f aca="false">IF(ISNUMBER(V91),CX91,0)</f>
        <v>1</v>
      </c>
      <c r="FC91" s="28" t="n">
        <f aca="false">IF(ISNUMBER(Z91),CY91,0)</f>
        <v>1</v>
      </c>
      <c r="FD91" s="28" t="n">
        <f aca="false">IF(ISNUMBER(AD91),CZ91,0)</f>
        <v>1</v>
      </c>
      <c r="FE91" s="28" t="n">
        <f aca="false">IF(ISNUMBER(AH91),DA91,0)</f>
        <v>2</v>
      </c>
      <c r="FF91" s="28" t="n">
        <f aca="false">IF(ISNUMBER(AL91),DB91,0)</f>
        <v>0</v>
      </c>
      <c r="FG91" s="28" t="n">
        <f aca="false">IF(ISNUMBER(AP91),DC91,0)</f>
        <v>0</v>
      </c>
      <c r="FH91" s="28" t="n">
        <f aca="false">IF(ISNUMBER(AT91),DD91,0)</f>
        <v>0</v>
      </c>
      <c r="FI91" s="28" t="n">
        <f aca="false">IF(ISNUMBER(AX91),DE91,0)</f>
        <v>0</v>
      </c>
      <c r="FJ91" s="28" t="n">
        <f aca="false">IF(ISNUMBER(BB91),DF91,0)</f>
        <v>0</v>
      </c>
      <c r="FK91" s="28" t="n">
        <f aca="false">IF(ISNUMBER(BF91),DG91,0)</f>
        <v>0</v>
      </c>
      <c r="FL91" s="28" t="n">
        <f aca="false">IF(ISNUMBER(BJ91),DH91,0)</f>
        <v>0</v>
      </c>
      <c r="FM91" s="28" t="n">
        <f aca="false">IF(ISNUMBER(BN91),DI91,0)</f>
        <v>0</v>
      </c>
      <c r="FN91" s="28" t="n">
        <f aca="false">IF(ISNUMBER(BR91),DJ91,0)</f>
        <v>0</v>
      </c>
      <c r="FO91" s="28" t="str">
        <f aca="false">IFERROR(INDEX(Lists!$G$2:$G$20,MATCH($I91&amp;"|"&amp;$J91,Lists!$F$2:$F$20,0)),"")</f>
        <v>Econ Exam</v>
      </c>
    </row>
    <row r="92" customFormat="false" ht="19.5" hidden="false" customHeight="true" outlineLevel="0" collapsed="false">
      <c r="A92" s="29" t="s">
        <v>171</v>
      </c>
      <c r="B92" s="29" t="s">
        <v>172</v>
      </c>
      <c r="C92" s="30" t="s">
        <v>192</v>
      </c>
      <c r="D92" s="30" t="s">
        <v>291</v>
      </c>
      <c r="E92" s="31" t="n">
        <v>6.2</v>
      </c>
      <c r="F92" s="30" t="n">
        <v>7</v>
      </c>
      <c r="G92" s="30"/>
      <c r="H92" s="32" t="s">
        <v>23</v>
      </c>
      <c r="I92" s="33" t="s">
        <v>229</v>
      </c>
      <c r="J92" s="32" t="s">
        <v>25</v>
      </c>
      <c r="K92" s="34" t="n">
        <f aca="false">IF(OR(M92="",$E92=""),"",M92-$E92)</f>
        <v>0.8</v>
      </c>
      <c r="L92" s="35" t="n">
        <f aca="false">IF(SUM(FA92:FN92)=0,"",SUM(EM92:EZ92)/SUM(FA92:FN92))</f>
        <v>80.1507936507937</v>
      </c>
      <c r="M92" s="36" t="n">
        <f aca="false">IF(OR(L92="",FO92=""),"",IFERROR(MATCH(L92,INDEX(Boundaries!$B$2:$I$30,MATCH(FO92,Boundaries!$A$2:$A$30,0),0),1)-1,""))</f>
        <v>7</v>
      </c>
      <c r="N92" s="37" t="n">
        <f aca="false">IF(COUNT($DY92:$EL92)&lt;2,"",INDEX($DK92:$DX92,MAX($DY92:$EL92))-INDEX($DK92:$DX92,MIN($DY92:$EL92)))</f>
        <v>1</v>
      </c>
      <c r="O92" s="37" t="n">
        <f aca="false">IF(COUNT($DY92:$EL92)&lt;2,"",INDEX($DK92:$DX92,MAX($DY92:$EL92))-INDEX($DK92:$DX92,LARGE($DY92:$EL92,2)))</f>
        <v>2</v>
      </c>
      <c r="P92" s="38" t="str">
        <f aca="false">IF(K92="","",IF(K92&gt;=0,"On/above target",IF(AND(N92&lt;&gt;"",N92&gt;=0.5),"Improving towards target",IF(AND(O92&lt;&gt;"",O92&lt;=-0.5),"Declining","Stable below target"))))</f>
        <v>On/above target</v>
      </c>
      <c r="Q92" s="39" t="n">
        <v>23</v>
      </c>
      <c r="R92" s="40" t="n">
        <f aca="false">IF(OR(Q92="",BU92=""),"",Q92/BU92*100)</f>
        <v>76.6666666666667</v>
      </c>
      <c r="S92" s="41" t="n">
        <f aca="false">IF(R92="","",IFERROR(MATCH(R92,INDEX(Boundaries!$B$2:$I$30,MATCH(CI92,Boundaries!$A$2:$A$30,0),0),1)-1,""))</f>
        <v>6</v>
      </c>
      <c r="T92" s="42" t="n">
        <f aca="false">IF(OR(S92="",$E92=""),"",S92-$E92)</f>
        <v>-0.2</v>
      </c>
      <c r="U92" s="39" t="n">
        <v>22</v>
      </c>
      <c r="V92" s="40" t="n">
        <f aca="false">IF(OR(U92="",BV92=""),"",U92/BV92*100)</f>
        <v>91.6666666666667</v>
      </c>
      <c r="W92" s="41" t="n">
        <f aca="false">IF(V92="","",IFERROR(MATCH(V92,INDEX(Boundaries!$B$2:$I$30,MATCH(CJ92,Boundaries!$A$2:$A$30,0),0),1)-1,""))</f>
        <v>7</v>
      </c>
      <c r="X92" s="42" t="n">
        <f aca="false">IF(OR(W92="",$E92=""),"",W92-$E92)</f>
        <v>0.8</v>
      </c>
      <c r="Y92" s="39" t="n">
        <v>21</v>
      </c>
      <c r="Z92" s="40" t="n">
        <f aca="false">IF(OR(Y92="",BW92=""),"",Y92/BW92*100)</f>
        <v>84</v>
      </c>
      <c r="AA92" s="41" t="n">
        <f aca="false">IF(Z92="","",IFERROR(MATCH(Z92,INDEX(Boundaries!$B$2:$I$30,MATCH(CK92,Boundaries!$A$2:$A$30,0),0),1)-1,""))</f>
        <v>6</v>
      </c>
      <c r="AB92" s="42" t="n">
        <f aca="false">IF(OR(AA92="",$E92=""),"",AA92-$E92)</f>
        <v>-0.2</v>
      </c>
      <c r="AC92" s="39" t="n">
        <v>24</v>
      </c>
      <c r="AD92" s="40" t="n">
        <f aca="false">IF(OR(AC92="",BX92=""),"",AC92/BX92*100)</f>
        <v>68.5714285714286</v>
      </c>
      <c r="AE92" s="41" t="n">
        <f aca="false">IF(AD92="","",IFERROR(MATCH(AD92,INDEX(Boundaries!$B$2:$I$30,MATCH(CL92,Boundaries!$A$2:$A$30,0),0),1)-1,""))</f>
        <v>5</v>
      </c>
      <c r="AF92" s="42" t="n">
        <f aca="false">IF(OR(AE92="",$E92=""),"",AE92-$E92)</f>
        <v>-1.2</v>
      </c>
      <c r="AG92" s="39" t="n">
        <v>44</v>
      </c>
      <c r="AH92" s="40" t="n">
        <f aca="false">IF(OR(AG92="",BY92=""),"",AG92/BY92*100)</f>
        <v>80</v>
      </c>
      <c r="AI92" s="41" t="n">
        <f aca="false">IF(AH92="","",IFERROR(MATCH(AH92,INDEX(Boundaries!$B$2:$I$30,MATCH(CM92,Boundaries!$A$2:$A$30,0),0),1)-1,""))</f>
        <v>7</v>
      </c>
      <c r="AJ92" s="42" t="n">
        <f aca="false">IF(OR(AI92="",$E92=""),"",AI92-$E92)</f>
        <v>0.8</v>
      </c>
      <c r="AK92" s="39"/>
      <c r="AL92" s="40" t="str">
        <f aca="false">IF(OR(AK92="",BZ92=""),"",AK92/BZ92*100)</f>
        <v/>
      </c>
      <c r="AM92" s="41" t="str">
        <f aca="false">IF(AL92="","",IFERROR(MATCH(AL92,INDEX(Boundaries!$B$2:$I$30,MATCH(CN92,Boundaries!$A$2:$A$30,0),0),1)-1,""))</f>
        <v/>
      </c>
      <c r="AN92" s="42" t="str">
        <f aca="false">IF(OR(AM92="",$E92=""),"",AM92-$E92)</f>
        <v/>
      </c>
      <c r="AO92" s="39"/>
      <c r="AP92" s="40" t="str">
        <f aca="false">IF(OR(AO92="",CA92=""),"",AO92/CA92*100)</f>
        <v/>
      </c>
      <c r="AQ92" s="41" t="str">
        <f aca="false">IF(AP92="","",IFERROR(MATCH(AP92,INDEX(Boundaries!$B$2:$I$30,MATCH(CO92,Boundaries!$A$2:$A$30,0),0),1)-1,""))</f>
        <v/>
      </c>
      <c r="AR92" s="42" t="str">
        <f aca="false">IF(OR(AQ92="",$E92=""),"",AQ92-$E92)</f>
        <v/>
      </c>
      <c r="AS92" s="39"/>
      <c r="AT92" s="40" t="str">
        <f aca="false">IF(OR(AS92="",CB92=""),"",AS92/CB92*100)</f>
        <v/>
      </c>
      <c r="AU92" s="41" t="str">
        <f aca="false">IF(AT92="","",IFERROR(MATCH(AT92,INDEX(Boundaries!$B$2:$I$30,MATCH(CP92,Boundaries!$A$2:$A$30,0),0),1)-1,""))</f>
        <v/>
      </c>
      <c r="AV92" s="42" t="str">
        <f aca="false">IF(OR(AU92="",$E92=""),"",AU92-$E92)</f>
        <v/>
      </c>
      <c r="AW92" s="39"/>
      <c r="AX92" s="40" t="str">
        <f aca="false">IF(OR(AW92="",CC92=""),"",AW92/CC92*100)</f>
        <v/>
      </c>
      <c r="AY92" s="41" t="str">
        <f aca="false">IF(AX92="","",IFERROR(MATCH(AX92,INDEX(Boundaries!$B$2:$I$30,MATCH(CQ92,Boundaries!$A$2:$A$30,0),0),1)-1,""))</f>
        <v/>
      </c>
      <c r="AZ92" s="42" t="str">
        <f aca="false">IF(OR(AY92="",$E92=""),"",AY92-$E92)</f>
        <v/>
      </c>
      <c r="BA92" s="39"/>
      <c r="BB92" s="40" t="str">
        <f aca="false">IF(OR(BA92="",CD92=""),"",BA92/CD92*100)</f>
        <v/>
      </c>
      <c r="BC92" s="41" t="str">
        <f aca="false">IF(BB92="","",IFERROR(MATCH(BB92,INDEX(Boundaries!$B$2:$I$30,MATCH(CR92,Boundaries!$A$2:$A$30,0),0),1)-1,""))</f>
        <v/>
      </c>
      <c r="BD92" s="42" t="str">
        <f aca="false">IF(OR(BC92="",$E92=""),"",BC92-$E92)</f>
        <v/>
      </c>
      <c r="BE92" s="39"/>
      <c r="BF92" s="40" t="str">
        <f aca="false">IF(OR(BE92="",CE92=""),"",BE92/CE92*100)</f>
        <v/>
      </c>
      <c r="BG92" s="41" t="str">
        <f aca="false">IF(BF92="","",IFERROR(MATCH(BF92,INDEX(Boundaries!$B$2:$I$30,MATCH(CS92,Boundaries!$A$2:$A$30,0),0),1)-1,""))</f>
        <v/>
      </c>
      <c r="BH92" s="42" t="str">
        <f aca="false">IF(OR(BG92="",$E92=""),"",BG92-$E92)</f>
        <v/>
      </c>
      <c r="BI92" s="39"/>
      <c r="BJ92" s="40" t="str">
        <f aca="false">IF(OR(BI92="",CF92=""),"",BI92/CF92*100)</f>
        <v/>
      </c>
      <c r="BK92" s="41" t="str">
        <f aca="false">IF(BJ92="","",IFERROR(MATCH(BJ92,INDEX(Boundaries!$B$2:$I$30,MATCH(CT92,Boundaries!$A$2:$A$30,0),0),1)-1,""))</f>
        <v/>
      </c>
      <c r="BL92" s="42" t="str">
        <f aca="false">IF(OR(BK92="",$E92=""),"",BK92-$E92)</f>
        <v/>
      </c>
      <c r="BM92" s="39"/>
      <c r="BN92" s="40" t="str">
        <f aca="false">IF(OR(BM92="",CG92=""),"",BM92/CG92*100)</f>
        <v/>
      </c>
      <c r="BO92" s="41" t="str">
        <f aca="false">IF(BN92="","",IFERROR(MATCH(BN92,INDEX(Boundaries!$B$2:$I$30,MATCH(CU92,Boundaries!$A$2:$A$30,0),0),1)-1,""))</f>
        <v/>
      </c>
      <c r="BP92" s="42" t="str">
        <f aca="false">IF(OR(BO92="",$E92=""),"",BO92-$E92)</f>
        <v/>
      </c>
      <c r="BQ92" s="39"/>
      <c r="BR92" s="40" t="str">
        <f aca="false">IF(OR(BQ92="",CH92=""),"",BQ92/CH92*100)</f>
        <v/>
      </c>
      <c r="BS92" s="41" t="str">
        <f aca="false">IF(BR92="","",IFERROR(MATCH(BR92,INDEX(Boundaries!$B$2:$I$30,MATCH(CV92,Boundaries!$A$2:$A$30,0),0),1)-1,""))</f>
        <v/>
      </c>
      <c r="BT92" s="42" t="str">
        <f aca="false">IF(OR(BS92="",$E92=""),"",BS92-$E92)</f>
        <v/>
      </c>
      <c r="BU92" s="28" t="n">
        <f aca="false">IFERROR(INDEX(Assessments!$H$2:$H$600,MATCH($H92&amp;"|"&amp;$I92&amp;"|"&amp;$J92&amp;"|"&amp;1,Assessments!$A$2:$A$600,0)),"")</f>
        <v>30</v>
      </c>
      <c r="BV92" s="28" t="n">
        <f aca="false">IFERROR(INDEX(Assessments!$H$2:$H$600,MATCH($H92&amp;"|"&amp;$I92&amp;"|"&amp;$J92&amp;"|"&amp;2,Assessments!$A$2:$A$600,0)),"")</f>
        <v>24</v>
      </c>
      <c r="BW92" s="28" t="n">
        <f aca="false">IFERROR(INDEX(Assessments!$H$2:$H$600,MATCH($H92&amp;"|"&amp;$I92&amp;"|"&amp;$J92&amp;"|"&amp;3,Assessments!$A$2:$A$600,0)),"")</f>
        <v>25</v>
      </c>
      <c r="BX92" s="28" t="n">
        <f aca="false">IFERROR(INDEX(Assessments!$H$2:$H$600,MATCH($H92&amp;"|"&amp;$I92&amp;"|"&amp;$J92&amp;"|"&amp;4,Assessments!$A$2:$A$600,0)),"")</f>
        <v>35</v>
      </c>
      <c r="BY92" s="28" t="n">
        <f aca="false">IFERROR(INDEX(Assessments!$H$2:$H$600,MATCH($H92&amp;"|"&amp;$I92&amp;"|"&amp;$J92&amp;"|"&amp;5,Assessments!$A$2:$A$600,0)),"")</f>
        <v>55</v>
      </c>
      <c r="BZ92" s="28" t="n">
        <f aca="false">IFERROR(INDEX(Assessments!$H$2:$H$600,MATCH($H92&amp;"|"&amp;$I92&amp;"|"&amp;$J92&amp;"|"&amp;6,Assessments!$A$2:$A$600,0)),"")</f>
        <v>30</v>
      </c>
      <c r="CA92" s="28" t="n">
        <f aca="false">IFERROR(INDEX(Assessments!$H$2:$H$600,MATCH($H92&amp;"|"&amp;$I92&amp;"|"&amp;$J92&amp;"|"&amp;7,Assessments!$A$2:$A$600,0)),"")</f>
        <v>95</v>
      </c>
      <c r="CB92" s="28" t="str">
        <f aca="false">IFERROR(INDEX(Assessments!$H$2:$H$600,MATCH($H92&amp;"|"&amp;$I92&amp;"|"&amp;$J92&amp;"|"&amp;8,Assessments!$A$2:$A$600,0)),"")</f>
        <v/>
      </c>
      <c r="CC92" s="28" t="str">
        <f aca="false">IFERROR(INDEX(Assessments!$H$2:$H$600,MATCH($H92&amp;"|"&amp;$I92&amp;"|"&amp;$J92&amp;"|"&amp;9,Assessments!$A$2:$A$600,0)),"")</f>
        <v/>
      </c>
      <c r="CD92" s="28" t="str">
        <f aca="false">IFERROR(INDEX(Assessments!$H$2:$H$600,MATCH($H92&amp;"|"&amp;$I92&amp;"|"&amp;$J92&amp;"|"&amp;10,Assessments!$A$2:$A$600,0)),"")</f>
        <v/>
      </c>
      <c r="CE92" s="28" t="str">
        <f aca="false">IFERROR(INDEX(Assessments!$H$2:$H$600,MATCH($H92&amp;"|"&amp;$I92&amp;"|"&amp;$J92&amp;"|"&amp;11,Assessments!$A$2:$A$600,0)),"")</f>
        <v/>
      </c>
      <c r="CF92" s="28" t="str">
        <f aca="false">IFERROR(INDEX(Assessments!$H$2:$H$600,MATCH($H92&amp;"|"&amp;$I92&amp;"|"&amp;$J92&amp;"|"&amp;12,Assessments!$A$2:$A$600,0)),"")</f>
        <v/>
      </c>
      <c r="CG92" s="28" t="str">
        <f aca="false">IFERROR(INDEX(Assessments!$H$2:$H$600,MATCH($H92&amp;"|"&amp;$I92&amp;"|"&amp;$J92&amp;"|"&amp;13,Assessments!$A$2:$A$600,0)),"")</f>
        <v/>
      </c>
      <c r="CH92" s="28" t="str">
        <f aca="false">IFERROR(INDEX(Assessments!$H$2:$H$600,MATCH($H92&amp;"|"&amp;$I92&amp;"|"&amp;$J92&amp;"|"&amp;14,Assessments!$A$2:$A$600,0)),"")</f>
        <v/>
      </c>
      <c r="CI92" s="28" t="str">
        <f aca="false">IFERROR(INDEX(Assessments!$I$2:$I$600,MATCH($H92&amp;"|"&amp;$I92&amp;"|"&amp;$J92&amp;"|"&amp;1,Assessments!$A$2:$A$600,0)),"")</f>
        <v>Econ Test</v>
      </c>
      <c r="CJ92" s="28" t="str">
        <f aca="false">IFERROR(INDEX(Assessments!$I$2:$I$600,MATCH($H92&amp;"|"&amp;$I92&amp;"|"&amp;$J92&amp;"|"&amp;2,Assessments!$A$2:$A$600,0)),"")</f>
        <v>Econ Test</v>
      </c>
      <c r="CK92" s="28" t="str">
        <f aca="false">IFERROR(INDEX(Assessments!$I$2:$I$600,MATCH($H92&amp;"|"&amp;$I92&amp;"|"&amp;$J92&amp;"|"&amp;3,Assessments!$A$2:$A$600,0)),"")</f>
        <v>Econ Test</v>
      </c>
      <c r="CL92" s="28" t="str">
        <f aca="false">IFERROR(INDEX(Assessments!$I$2:$I$600,MATCH($H92&amp;"|"&amp;$I92&amp;"|"&amp;$J92&amp;"|"&amp;4,Assessments!$A$2:$A$600,0)),"")</f>
        <v>Econ Test</v>
      </c>
      <c r="CM92" s="28" t="str">
        <f aca="false">IFERROR(INDEX(Assessments!$I$2:$I$600,MATCH($H92&amp;"|"&amp;$I92&amp;"|"&amp;$J92&amp;"|"&amp;5,Assessments!$A$2:$A$600,0)),"")</f>
        <v>Econ Exam</v>
      </c>
      <c r="CN92" s="28" t="str">
        <f aca="false">IFERROR(INDEX(Assessments!$I$2:$I$600,MATCH($H92&amp;"|"&amp;$I92&amp;"|"&amp;$J92&amp;"|"&amp;6,Assessments!$A$2:$A$600,0)),"")</f>
        <v>Econ Test</v>
      </c>
      <c r="CO92" s="28" t="str">
        <f aca="false">IFERROR(INDEX(Assessments!$I$2:$I$600,MATCH($H92&amp;"|"&amp;$I92&amp;"|"&amp;$J92&amp;"|"&amp;7,Assessments!$A$2:$A$600,0)),"")</f>
        <v>Econ Exam</v>
      </c>
      <c r="CP92" s="28" t="str">
        <f aca="false">IFERROR(INDEX(Assessments!$I$2:$I$600,MATCH($H92&amp;"|"&amp;$I92&amp;"|"&amp;$J92&amp;"|"&amp;8,Assessments!$A$2:$A$600,0)),"")</f>
        <v/>
      </c>
      <c r="CQ92" s="28" t="str">
        <f aca="false">IFERROR(INDEX(Assessments!$I$2:$I$600,MATCH($H92&amp;"|"&amp;$I92&amp;"|"&amp;$J92&amp;"|"&amp;9,Assessments!$A$2:$A$600,0)),"")</f>
        <v/>
      </c>
      <c r="CR92" s="28" t="str">
        <f aca="false">IFERROR(INDEX(Assessments!$I$2:$I$600,MATCH($H92&amp;"|"&amp;$I92&amp;"|"&amp;$J92&amp;"|"&amp;10,Assessments!$A$2:$A$600,0)),"")</f>
        <v/>
      </c>
      <c r="CS92" s="28" t="str">
        <f aca="false">IFERROR(INDEX(Assessments!$I$2:$I$600,MATCH($H92&amp;"|"&amp;$I92&amp;"|"&amp;$J92&amp;"|"&amp;11,Assessments!$A$2:$A$600,0)),"")</f>
        <v/>
      </c>
      <c r="CT92" s="28" t="str">
        <f aca="false">IFERROR(INDEX(Assessments!$I$2:$I$600,MATCH($H92&amp;"|"&amp;$I92&amp;"|"&amp;$J92&amp;"|"&amp;12,Assessments!$A$2:$A$600,0)),"")</f>
        <v/>
      </c>
      <c r="CU92" s="28" t="str">
        <f aca="false">IFERROR(INDEX(Assessments!$I$2:$I$600,MATCH($H92&amp;"|"&amp;$I92&amp;"|"&amp;$J92&amp;"|"&amp;13,Assessments!$A$2:$A$600,0)),"")</f>
        <v/>
      </c>
      <c r="CV92" s="28" t="str">
        <f aca="false">IFERROR(INDEX(Assessments!$I$2:$I$600,MATCH($H92&amp;"|"&amp;$I92&amp;"|"&amp;$J92&amp;"|"&amp;14,Assessments!$A$2:$A$600,0)),"")</f>
        <v/>
      </c>
      <c r="CW92" s="28" t="n">
        <f aca="false">IFERROR(INDEX(Assessments!$J$2:$J$600,MATCH($H92&amp;"|"&amp;$I92&amp;"|"&amp;$J92&amp;"|"&amp;1,Assessments!$A$2:$A$600,0)),0)</f>
        <v>1</v>
      </c>
      <c r="CX92" s="28" t="n">
        <f aca="false">IFERROR(INDEX(Assessments!$J$2:$J$600,MATCH($H92&amp;"|"&amp;$I92&amp;"|"&amp;$J92&amp;"|"&amp;2,Assessments!$A$2:$A$600,0)),0)</f>
        <v>1</v>
      </c>
      <c r="CY92" s="28" t="n">
        <f aca="false">IFERROR(INDEX(Assessments!$J$2:$J$600,MATCH($H92&amp;"|"&amp;$I92&amp;"|"&amp;$J92&amp;"|"&amp;3,Assessments!$A$2:$A$600,0)),0)</f>
        <v>1</v>
      </c>
      <c r="CZ92" s="28" t="n">
        <f aca="false">IFERROR(INDEX(Assessments!$J$2:$J$600,MATCH($H92&amp;"|"&amp;$I92&amp;"|"&amp;$J92&amp;"|"&amp;4,Assessments!$A$2:$A$600,0)),0)</f>
        <v>1</v>
      </c>
      <c r="DA92" s="28" t="n">
        <f aca="false">IFERROR(INDEX(Assessments!$J$2:$J$600,MATCH($H92&amp;"|"&amp;$I92&amp;"|"&amp;$J92&amp;"|"&amp;5,Assessments!$A$2:$A$600,0)),0)</f>
        <v>2</v>
      </c>
      <c r="DB92" s="28" t="n">
        <f aca="false">IFERROR(INDEX(Assessments!$J$2:$J$600,MATCH($H92&amp;"|"&amp;$I92&amp;"|"&amp;$J92&amp;"|"&amp;6,Assessments!$A$2:$A$600,0)),0)</f>
        <v>1</v>
      </c>
      <c r="DC92" s="28" t="n">
        <f aca="false">IFERROR(INDEX(Assessments!$J$2:$J$600,MATCH($H92&amp;"|"&amp;$I92&amp;"|"&amp;$J92&amp;"|"&amp;7,Assessments!$A$2:$A$600,0)),0)</f>
        <v>2</v>
      </c>
      <c r="DD92" s="28" t="n">
        <f aca="false">IFERROR(INDEX(Assessments!$J$2:$J$600,MATCH($H92&amp;"|"&amp;$I92&amp;"|"&amp;$J92&amp;"|"&amp;8,Assessments!$A$2:$A$600,0)),0)</f>
        <v>0</v>
      </c>
      <c r="DE92" s="28" t="n">
        <f aca="false">IFERROR(INDEX(Assessments!$J$2:$J$600,MATCH($H92&amp;"|"&amp;$I92&amp;"|"&amp;$J92&amp;"|"&amp;9,Assessments!$A$2:$A$600,0)),0)</f>
        <v>0</v>
      </c>
      <c r="DF92" s="28" t="n">
        <f aca="false">IFERROR(INDEX(Assessments!$J$2:$J$600,MATCH($H92&amp;"|"&amp;$I92&amp;"|"&amp;$J92&amp;"|"&amp;10,Assessments!$A$2:$A$600,0)),0)</f>
        <v>0</v>
      </c>
      <c r="DG92" s="28" t="n">
        <f aca="false">IFERROR(INDEX(Assessments!$J$2:$J$600,MATCH($H92&amp;"|"&amp;$I92&amp;"|"&amp;$J92&amp;"|"&amp;11,Assessments!$A$2:$A$600,0)),0)</f>
        <v>0</v>
      </c>
      <c r="DH92" s="28" t="n">
        <f aca="false">IFERROR(INDEX(Assessments!$J$2:$J$600,MATCH($H92&amp;"|"&amp;$I92&amp;"|"&amp;$J92&amp;"|"&amp;12,Assessments!$A$2:$A$600,0)),0)</f>
        <v>0</v>
      </c>
      <c r="DI92" s="28" t="n">
        <f aca="false">IFERROR(INDEX(Assessments!$J$2:$J$600,MATCH($H92&amp;"|"&amp;$I92&amp;"|"&amp;$J92&amp;"|"&amp;13,Assessments!$A$2:$A$600,0)),0)</f>
        <v>0</v>
      </c>
      <c r="DJ92" s="28" t="n">
        <f aca="false">IFERROR(INDEX(Assessments!$J$2:$J$600,MATCH($H92&amp;"|"&amp;$I92&amp;"|"&amp;$J92&amp;"|"&amp;14,Assessments!$A$2:$A$600,0)),0)</f>
        <v>0</v>
      </c>
      <c r="DK92" s="28" t="n">
        <f aca="false">S92</f>
        <v>6</v>
      </c>
      <c r="DL92" s="28" t="n">
        <f aca="false">W92</f>
        <v>7</v>
      </c>
      <c r="DM92" s="28" t="n">
        <f aca="false">AA92</f>
        <v>6</v>
      </c>
      <c r="DN92" s="28" t="n">
        <f aca="false">AE92</f>
        <v>5</v>
      </c>
      <c r="DO92" s="28" t="n">
        <f aca="false">AI92</f>
        <v>7</v>
      </c>
      <c r="DP92" s="28" t="str">
        <f aca="false">AM92</f>
        <v/>
      </c>
      <c r="DQ92" s="28" t="str">
        <f aca="false">AQ92</f>
        <v/>
      </c>
      <c r="DR92" s="28" t="str">
        <f aca="false">AU92</f>
        <v/>
      </c>
      <c r="DS92" s="28" t="str">
        <f aca="false">AY92</f>
        <v/>
      </c>
      <c r="DT92" s="28" t="str">
        <f aca="false">BC92</f>
        <v/>
      </c>
      <c r="DU92" s="28" t="str">
        <f aca="false">BG92</f>
        <v/>
      </c>
      <c r="DV92" s="28" t="str">
        <f aca="false">BK92</f>
        <v/>
      </c>
      <c r="DW92" s="28" t="str">
        <f aca="false">BO92</f>
        <v/>
      </c>
      <c r="DX92" s="28" t="str">
        <f aca="false">BS92</f>
        <v/>
      </c>
      <c r="DY92" s="28" t="n">
        <f aca="false">IF(ISNUMBER(S92),1,"")</f>
        <v>1</v>
      </c>
      <c r="DZ92" s="28" t="n">
        <f aca="false">IF(ISNUMBER(W92),2,"")</f>
        <v>2</v>
      </c>
      <c r="EA92" s="28" t="n">
        <f aca="false">IF(ISNUMBER(AA92),3,"")</f>
        <v>3</v>
      </c>
      <c r="EB92" s="28" t="n">
        <f aca="false">IF(ISNUMBER(AE92),4,"")</f>
        <v>4</v>
      </c>
      <c r="EC92" s="28" t="n">
        <f aca="false">IF(ISNUMBER(AI92),5,"")</f>
        <v>5</v>
      </c>
      <c r="ED92" s="28" t="str">
        <f aca="false">IF(ISNUMBER(AM92),6,"")</f>
        <v/>
      </c>
      <c r="EE92" s="28" t="str">
        <f aca="false">IF(ISNUMBER(AQ92),7,"")</f>
        <v/>
      </c>
      <c r="EF92" s="28" t="str">
        <f aca="false">IF(ISNUMBER(AU92),8,"")</f>
        <v/>
      </c>
      <c r="EG92" s="28" t="str">
        <f aca="false">IF(ISNUMBER(AY92),9,"")</f>
        <v/>
      </c>
      <c r="EH92" s="28" t="str">
        <f aca="false">IF(ISNUMBER(BC92),10,"")</f>
        <v/>
      </c>
      <c r="EI92" s="28" t="str">
        <f aca="false">IF(ISNUMBER(BG92),11,"")</f>
        <v/>
      </c>
      <c r="EJ92" s="28" t="str">
        <f aca="false">IF(ISNUMBER(BK92),12,"")</f>
        <v/>
      </c>
      <c r="EK92" s="28" t="str">
        <f aca="false">IF(ISNUMBER(BO92),13,"")</f>
        <v/>
      </c>
      <c r="EL92" s="28" t="str">
        <f aca="false">IF(ISNUMBER(BS92),14,"")</f>
        <v/>
      </c>
      <c r="EM92" s="28" t="n">
        <f aca="false">IF(ISNUMBER(R92),R92*CW92,0)</f>
        <v>76.6666666666667</v>
      </c>
      <c r="EN92" s="28" t="n">
        <f aca="false">IF(ISNUMBER(V92),V92*CX92,0)</f>
        <v>91.6666666666667</v>
      </c>
      <c r="EO92" s="28" t="n">
        <f aca="false">IF(ISNUMBER(Z92),Z92*CY92,0)</f>
        <v>84</v>
      </c>
      <c r="EP92" s="28" t="n">
        <f aca="false">IF(ISNUMBER(AD92),AD92*CZ92,0)</f>
        <v>68.5714285714286</v>
      </c>
      <c r="EQ92" s="28" t="n">
        <f aca="false">IF(ISNUMBER(AH92),AH92*DA92,0)</f>
        <v>160</v>
      </c>
      <c r="ER92" s="28" t="n">
        <f aca="false">IF(ISNUMBER(AL92),AL92*DB92,0)</f>
        <v>0</v>
      </c>
      <c r="ES92" s="28" t="n">
        <f aca="false">IF(ISNUMBER(AP92),AP92*DC92,0)</f>
        <v>0</v>
      </c>
      <c r="ET92" s="28" t="n">
        <f aca="false">IF(ISNUMBER(AT92),AT92*DD92,0)</f>
        <v>0</v>
      </c>
      <c r="EU92" s="28" t="n">
        <f aca="false">IF(ISNUMBER(AX92),AX92*DE92,0)</f>
        <v>0</v>
      </c>
      <c r="EV92" s="28" t="n">
        <f aca="false">IF(ISNUMBER(BB92),BB92*DF92,0)</f>
        <v>0</v>
      </c>
      <c r="EW92" s="28" t="n">
        <f aca="false">IF(ISNUMBER(BF92),BF92*DG92,0)</f>
        <v>0</v>
      </c>
      <c r="EX92" s="28" t="n">
        <f aca="false">IF(ISNUMBER(BJ92),BJ92*DH92,0)</f>
        <v>0</v>
      </c>
      <c r="EY92" s="28" t="n">
        <f aca="false">IF(ISNUMBER(BN92),BN92*DI92,0)</f>
        <v>0</v>
      </c>
      <c r="EZ92" s="28" t="n">
        <f aca="false">IF(ISNUMBER(BR92),BR92*DJ92,0)</f>
        <v>0</v>
      </c>
      <c r="FA92" s="28" t="n">
        <f aca="false">IF(ISNUMBER(R92),CW92,0)</f>
        <v>1</v>
      </c>
      <c r="FB92" s="28" t="n">
        <f aca="false">IF(ISNUMBER(V92),CX92,0)</f>
        <v>1</v>
      </c>
      <c r="FC92" s="28" t="n">
        <f aca="false">IF(ISNUMBER(Z92),CY92,0)</f>
        <v>1</v>
      </c>
      <c r="FD92" s="28" t="n">
        <f aca="false">IF(ISNUMBER(AD92),CZ92,0)</f>
        <v>1</v>
      </c>
      <c r="FE92" s="28" t="n">
        <f aca="false">IF(ISNUMBER(AH92),DA92,0)</f>
        <v>2</v>
      </c>
      <c r="FF92" s="28" t="n">
        <f aca="false">IF(ISNUMBER(AL92),DB92,0)</f>
        <v>0</v>
      </c>
      <c r="FG92" s="28" t="n">
        <f aca="false">IF(ISNUMBER(AP92),DC92,0)</f>
        <v>0</v>
      </c>
      <c r="FH92" s="28" t="n">
        <f aca="false">IF(ISNUMBER(AT92),DD92,0)</f>
        <v>0</v>
      </c>
      <c r="FI92" s="28" t="n">
        <f aca="false">IF(ISNUMBER(AX92),DE92,0)</f>
        <v>0</v>
      </c>
      <c r="FJ92" s="28" t="n">
        <f aca="false">IF(ISNUMBER(BB92),DF92,0)</f>
        <v>0</v>
      </c>
      <c r="FK92" s="28" t="n">
        <f aca="false">IF(ISNUMBER(BF92),DG92,0)</f>
        <v>0</v>
      </c>
      <c r="FL92" s="28" t="n">
        <f aca="false">IF(ISNUMBER(BJ92),DH92,0)</f>
        <v>0</v>
      </c>
      <c r="FM92" s="28" t="n">
        <f aca="false">IF(ISNUMBER(BN92),DI92,0)</f>
        <v>0</v>
      </c>
      <c r="FN92" s="28" t="n">
        <f aca="false">IF(ISNUMBER(BR92),DJ92,0)</f>
        <v>0</v>
      </c>
      <c r="FO92" s="28" t="str">
        <f aca="false">IFERROR(INDEX(Lists!$G$2:$G$20,MATCH($I92&amp;"|"&amp;$J92,Lists!$F$2:$F$20,0)),"")</f>
        <v>Econ Exam</v>
      </c>
    </row>
    <row r="93" customFormat="false" ht="19.5" hidden="false" customHeight="true" outlineLevel="0" collapsed="false">
      <c r="A93" s="29" t="s">
        <v>307</v>
      </c>
      <c r="B93" s="29" t="s">
        <v>308</v>
      </c>
      <c r="C93" s="30" t="s">
        <v>192</v>
      </c>
      <c r="D93" s="30" t="s">
        <v>291</v>
      </c>
      <c r="E93" s="31" t="n">
        <v>6</v>
      </c>
      <c r="F93" s="30" t="n">
        <v>6</v>
      </c>
      <c r="G93" s="30"/>
      <c r="H93" s="32" t="s">
        <v>23</v>
      </c>
      <c r="I93" s="33" t="s">
        <v>229</v>
      </c>
      <c r="J93" s="32" t="s">
        <v>25</v>
      </c>
      <c r="K93" s="34" t="n">
        <f aca="false">IF(OR(M93="",$E93=""),"",M93-$E93)</f>
        <v>-1</v>
      </c>
      <c r="L93" s="35" t="n">
        <f aca="false">IF(SUM(FA93:FN93)=0,"",SUM(EM93:EZ93)/SUM(FA93:FN93))</f>
        <v>65.9397546897547</v>
      </c>
      <c r="M93" s="36" t="n">
        <f aca="false">IF(OR(L93="",FO93=""),"",IFERROR(MATCH(L93,INDEX(Boundaries!$B$2:$I$30,MATCH(FO93,Boundaries!$A$2:$A$30,0),0),1)-1,""))</f>
        <v>5</v>
      </c>
      <c r="N93" s="37" t="n">
        <f aca="false">IF(COUNT($DY93:$EL93)&lt;2,"",INDEX($DK93:$DX93,MAX($DY93:$EL93))-INDEX($DK93:$DX93,MIN($DY93:$EL93)))</f>
        <v>0</v>
      </c>
      <c r="O93" s="37" t="n">
        <f aca="false">IF(COUNT($DY93:$EL93)&lt;2,"",INDEX($DK93:$DX93,MAX($DY93:$EL93))-INDEX($DK93:$DX93,LARGE($DY93:$EL93,2)))</f>
        <v>1</v>
      </c>
      <c r="P93" s="38" t="str">
        <f aca="false">IF(K93="","",IF(K93&gt;=0,"On/above target",IF(AND(N93&lt;&gt;"",N93&gt;=0.5),"Improving towards target",IF(AND(O93&lt;&gt;"",O93&lt;=-0.5),"Declining","Stable below target"))))</f>
        <v>Stable below target</v>
      </c>
      <c r="Q93" s="39" t="n">
        <v>24</v>
      </c>
      <c r="R93" s="40" t="n">
        <f aca="false">IF(OR(Q93="",BU93=""),"",Q93/BU93*100)</f>
        <v>80</v>
      </c>
      <c r="S93" s="41" t="n">
        <f aca="false">IF(R93="","",IFERROR(MATCH(R93,INDEX(Boundaries!$B$2:$I$30,MATCH(CI93,Boundaries!$A$2:$A$30,0),0),1)-1,""))</f>
        <v>6</v>
      </c>
      <c r="T93" s="42" t="n">
        <f aca="false">IF(OR(S93="",$E93=""),"",S93-$E93)</f>
        <v>0</v>
      </c>
      <c r="U93" s="39" t="n">
        <v>5</v>
      </c>
      <c r="V93" s="40" t="n">
        <f aca="false">IF(OR(U93="",BV93=""),"",U93/BV93*100)</f>
        <v>20.8333333333333</v>
      </c>
      <c r="W93" s="41" t="n">
        <f aca="false">IF(V93="","",IFERROR(MATCH(V93,INDEX(Boundaries!$B$2:$I$30,MATCH(CJ93,Boundaries!$A$2:$A$30,0),0),1)-1,""))</f>
        <v>1</v>
      </c>
      <c r="X93" s="42" t="n">
        <f aca="false">IF(OR(W93="",$E93=""),"",W93-$E93)</f>
        <v>-5</v>
      </c>
      <c r="Y93" s="39" t="n">
        <v>20</v>
      </c>
      <c r="Z93" s="40" t="n">
        <f aca="false">IF(OR(Y93="",BW93=""),"",Y93/BW93*100)</f>
        <v>80</v>
      </c>
      <c r="AA93" s="41" t="n">
        <f aca="false">IF(Z93="","",IFERROR(MATCH(Z93,INDEX(Boundaries!$B$2:$I$30,MATCH(CK93,Boundaries!$A$2:$A$30,0),0),1)-1,""))</f>
        <v>6</v>
      </c>
      <c r="AB93" s="42" t="n">
        <f aca="false">IF(OR(AA93="",$E93=""),"",AA93-$E93)</f>
        <v>0</v>
      </c>
      <c r="AC93" s="39" t="n">
        <v>23</v>
      </c>
      <c r="AD93" s="40" t="n">
        <f aca="false">IF(OR(AC93="",BX93=""),"",AC93/BX93*100)</f>
        <v>65.7142857142857</v>
      </c>
      <c r="AE93" s="41" t="n">
        <f aca="false">IF(AD93="","",IFERROR(MATCH(AD93,INDEX(Boundaries!$B$2:$I$30,MATCH(CL93,Boundaries!$A$2:$A$30,0),0),1)-1,""))</f>
        <v>5</v>
      </c>
      <c r="AF93" s="42" t="n">
        <f aca="false">IF(OR(AE93="",$E93=""),"",AE93-$E93)</f>
        <v>-1</v>
      </c>
      <c r="AG93" s="39" t="n">
        <v>41</v>
      </c>
      <c r="AH93" s="40" t="n">
        <f aca="false">IF(OR(AG93="",BY93=""),"",AG93/BY93*100)</f>
        <v>74.5454545454546</v>
      </c>
      <c r="AI93" s="41" t="n">
        <f aca="false">IF(AH93="","",IFERROR(MATCH(AH93,INDEX(Boundaries!$B$2:$I$30,MATCH(CM93,Boundaries!$A$2:$A$30,0),0),1)-1,""))</f>
        <v>6</v>
      </c>
      <c r="AJ93" s="42" t="n">
        <f aca="false">IF(OR(AI93="",$E93=""),"",AI93-$E93)</f>
        <v>0</v>
      </c>
      <c r="AK93" s="39"/>
      <c r="AL93" s="40" t="str">
        <f aca="false">IF(OR(AK93="",BZ93=""),"",AK93/BZ93*100)</f>
        <v/>
      </c>
      <c r="AM93" s="41" t="str">
        <f aca="false">IF(AL93="","",IFERROR(MATCH(AL93,INDEX(Boundaries!$B$2:$I$30,MATCH(CN93,Boundaries!$A$2:$A$30,0),0),1)-1,""))</f>
        <v/>
      </c>
      <c r="AN93" s="42" t="str">
        <f aca="false">IF(OR(AM93="",$E93=""),"",AM93-$E93)</f>
        <v/>
      </c>
      <c r="AO93" s="39"/>
      <c r="AP93" s="40" t="str">
        <f aca="false">IF(OR(AO93="",CA93=""),"",AO93/CA93*100)</f>
        <v/>
      </c>
      <c r="AQ93" s="41" t="str">
        <f aca="false">IF(AP93="","",IFERROR(MATCH(AP93,INDEX(Boundaries!$B$2:$I$30,MATCH(CO93,Boundaries!$A$2:$A$30,0),0),1)-1,""))</f>
        <v/>
      </c>
      <c r="AR93" s="42" t="str">
        <f aca="false">IF(OR(AQ93="",$E93=""),"",AQ93-$E93)</f>
        <v/>
      </c>
      <c r="AS93" s="39"/>
      <c r="AT93" s="40" t="str">
        <f aca="false">IF(OR(AS93="",CB93=""),"",AS93/CB93*100)</f>
        <v/>
      </c>
      <c r="AU93" s="41" t="str">
        <f aca="false">IF(AT93="","",IFERROR(MATCH(AT93,INDEX(Boundaries!$B$2:$I$30,MATCH(CP93,Boundaries!$A$2:$A$30,0),0),1)-1,""))</f>
        <v/>
      </c>
      <c r="AV93" s="42" t="str">
        <f aca="false">IF(OR(AU93="",$E93=""),"",AU93-$E93)</f>
        <v/>
      </c>
      <c r="AW93" s="39"/>
      <c r="AX93" s="40" t="str">
        <f aca="false">IF(OR(AW93="",CC93=""),"",AW93/CC93*100)</f>
        <v/>
      </c>
      <c r="AY93" s="41" t="str">
        <f aca="false">IF(AX93="","",IFERROR(MATCH(AX93,INDEX(Boundaries!$B$2:$I$30,MATCH(CQ93,Boundaries!$A$2:$A$30,0),0),1)-1,""))</f>
        <v/>
      </c>
      <c r="AZ93" s="42" t="str">
        <f aca="false">IF(OR(AY93="",$E93=""),"",AY93-$E93)</f>
        <v/>
      </c>
      <c r="BA93" s="39"/>
      <c r="BB93" s="40" t="str">
        <f aca="false">IF(OR(BA93="",CD93=""),"",BA93/CD93*100)</f>
        <v/>
      </c>
      <c r="BC93" s="41" t="str">
        <f aca="false">IF(BB93="","",IFERROR(MATCH(BB93,INDEX(Boundaries!$B$2:$I$30,MATCH(CR93,Boundaries!$A$2:$A$30,0),0),1)-1,""))</f>
        <v/>
      </c>
      <c r="BD93" s="42" t="str">
        <f aca="false">IF(OR(BC93="",$E93=""),"",BC93-$E93)</f>
        <v/>
      </c>
      <c r="BE93" s="39"/>
      <c r="BF93" s="40" t="str">
        <f aca="false">IF(OR(BE93="",CE93=""),"",BE93/CE93*100)</f>
        <v/>
      </c>
      <c r="BG93" s="41" t="str">
        <f aca="false">IF(BF93="","",IFERROR(MATCH(BF93,INDEX(Boundaries!$B$2:$I$30,MATCH(CS93,Boundaries!$A$2:$A$30,0),0),1)-1,""))</f>
        <v/>
      </c>
      <c r="BH93" s="42" t="str">
        <f aca="false">IF(OR(BG93="",$E93=""),"",BG93-$E93)</f>
        <v/>
      </c>
      <c r="BI93" s="39"/>
      <c r="BJ93" s="40" t="str">
        <f aca="false">IF(OR(BI93="",CF93=""),"",BI93/CF93*100)</f>
        <v/>
      </c>
      <c r="BK93" s="41" t="str">
        <f aca="false">IF(BJ93="","",IFERROR(MATCH(BJ93,INDEX(Boundaries!$B$2:$I$30,MATCH(CT93,Boundaries!$A$2:$A$30,0),0),1)-1,""))</f>
        <v/>
      </c>
      <c r="BL93" s="42" t="str">
        <f aca="false">IF(OR(BK93="",$E93=""),"",BK93-$E93)</f>
        <v/>
      </c>
      <c r="BM93" s="39"/>
      <c r="BN93" s="40" t="str">
        <f aca="false">IF(OR(BM93="",CG93=""),"",BM93/CG93*100)</f>
        <v/>
      </c>
      <c r="BO93" s="41" t="str">
        <f aca="false">IF(BN93="","",IFERROR(MATCH(BN93,INDEX(Boundaries!$B$2:$I$30,MATCH(CU93,Boundaries!$A$2:$A$30,0),0),1)-1,""))</f>
        <v/>
      </c>
      <c r="BP93" s="42" t="str">
        <f aca="false">IF(OR(BO93="",$E93=""),"",BO93-$E93)</f>
        <v/>
      </c>
      <c r="BQ93" s="39"/>
      <c r="BR93" s="40" t="str">
        <f aca="false">IF(OR(BQ93="",CH93=""),"",BQ93/CH93*100)</f>
        <v/>
      </c>
      <c r="BS93" s="41" t="str">
        <f aca="false">IF(BR93="","",IFERROR(MATCH(BR93,INDEX(Boundaries!$B$2:$I$30,MATCH(CV93,Boundaries!$A$2:$A$30,0),0),1)-1,""))</f>
        <v/>
      </c>
      <c r="BT93" s="42" t="str">
        <f aca="false">IF(OR(BS93="",$E93=""),"",BS93-$E93)</f>
        <v/>
      </c>
      <c r="BU93" s="28" t="n">
        <f aca="false">IFERROR(INDEX(Assessments!$H$2:$H$600,MATCH($H93&amp;"|"&amp;$I93&amp;"|"&amp;$J93&amp;"|"&amp;1,Assessments!$A$2:$A$600,0)),"")</f>
        <v>30</v>
      </c>
      <c r="BV93" s="28" t="n">
        <f aca="false">IFERROR(INDEX(Assessments!$H$2:$H$600,MATCH($H93&amp;"|"&amp;$I93&amp;"|"&amp;$J93&amp;"|"&amp;2,Assessments!$A$2:$A$600,0)),"")</f>
        <v>24</v>
      </c>
      <c r="BW93" s="28" t="n">
        <f aca="false">IFERROR(INDEX(Assessments!$H$2:$H$600,MATCH($H93&amp;"|"&amp;$I93&amp;"|"&amp;$J93&amp;"|"&amp;3,Assessments!$A$2:$A$600,0)),"")</f>
        <v>25</v>
      </c>
      <c r="BX93" s="28" t="n">
        <f aca="false">IFERROR(INDEX(Assessments!$H$2:$H$600,MATCH($H93&amp;"|"&amp;$I93&amp;"|"&amp;$J93&amp;"|"&amp;4,Assessments!$A$2:$A$600,0)),"")</f>
        <v>35</v>
      </c>
      <c r="BY93" s="28" t="n">
        <f aca="false">IFERROR(INDEX(Assessments!$H$2:$H$600,MATCH($H93&amp;"|"&amp;$I93&amp;"|"&amp;$J93&amp;"|"&amp;5,Assessments!$A$2:$A$600,0)),"")</f>
        <v>55</v>
      </c>
      <c r="BZ93" s="28" t="n">
        <f aca="false">IFERROR(INDEX(Assessments!$H$2:$H$600,MATCH($H93&amp;"|"&amp;$I93&amp;"|"&amp;$J93&amp;"|"&amp;6,Assessments!$A$2:$A$600,0)),"")</f>
        <v>30</v>
      </c>
      <c r="CA93" s="28" t="n">
        <f aca="false">IFERROR(INDEX(Assessments!$H$2:$H$600,MATCH($H93&amp;"|"&amp;$I93&amp;"|"&amp;$J93&amp;"|"&amp;7,Assessments!$A$2:$A$600,0)),"")</f>
        <v>95</v>
      </c>
      <c r="CB93" s="28" t="str">
        <f aca="false">IFERROR(INDEX(Assessments!$H$2:$H$600,MATCH($H93&amp;"|"&amp;$I93&amp;"|"&amp;$J93&amp;"|"&amp;8,Assessments!$A$2:$A$600,0)),"")</f>
        <v/>
      </c>
      <c r="CC93" s="28" t="str">
        <f aca="false">IFERROR(INDEX(Assessments!$H$2:$H$600,MATCH($H93&amp;"|"&amp;$I93&amp;"|"&amp;$J93&amp;"|"&amp;9,Assessments!$A$2:$A$600,0)),"")</f>
        <v/>
      </c>
      <c r="CD93" s="28" t="str">
        <f aca="false">IFERROR(INDEX(Assessments!$H$2:$H$600,MATCH($H93&amp;"|"&amp;$I93&amp;"|"&amp;$J93&amp;"|"&amp;10,Assessments!$A$2:$A$600,0)),"")</f>
        <v/>
      </c>
      <c r="CE93" s="28" t="str">
        <f aca="false">IFERROR(INDEX(Assessments!$H$2:$H$600,MATCH($H93&amp;"|"&amp;$I93&amp;"|"&amp;$J93&amp;"|"&amp;11,Assessments!$A$2:$A$600,0)),"")</f>
        <v/>
      </c>
      <c r="CF93" s="28" t="str">
        <f aca="false">IFERROR(INDEX(Assessments!$H$2:$H$600,MATCH($H93&amp;"|"&amp;$I93&amp;"|"&amp;$J93&amp;"|"&amp;12,Assessments!$A$2:$A$600,0)),"")</f>
        <v/>
      </c>
      <c r="CG93" s="28" t="str">
        <f aca="false">IFERROR(INDEX(Assessments!$H$2:$H$600,MATCH($H93&amp;"|"&amp;$I93&amp;"|"&amp;$J93&amp;"|"&amp;13,Assessments!$A$2:$A$600,0)),"")</f>
        <v/>
      </c>
      <c r="CH93" s="28" t="str">
        <f aca="false">IFERROR(INDEX(Assessments!$H$2:$H$600,MATCH($H93&amp;"|"&amp;$I93&amp;"|"&amp;$J93&amp;"|"&amp;14,Assessments!$A$2:$A$600,0)),"")</f>
        <v/>
      </c>
      <c r="CI93" s="28" t="str">
        <f aca="false">IFERROR(INDEX(Assessments!$I$2:$I$600,MATCH($H93&amp;"|"&amp;$I93&amp;"|"&amp;$J93&amp;"|"&amp;1,Assessments!$A$2:$A$600,0)),"")</f>
        <v>Econ Test</v>
      </c>
      <c r="CJ93" s="28" t="str">
        <f aca="false">IFERROR(INDEX(Assessments!$I$2:$I$600,MATCH($H93&amp;"|"&amp;$I93&amp;"|"&amp;$J93&amp;"|"&amp;2,Assessments!$A$2:$A$600,0)),"")</f>
        <v>Econ Test</v>
      </c>
      <c r="CK93" s="28" t="str">
        <f aca="false">IFERROR(INDEX(Assessments!$I$2:$I$600,MATCH($H93&amp;"|"&amp;$I93&amp;"|"&amp;$J93&amp;"|"&amp;3,Assessments!$A$2:$A$600,0)),"")</f>
        <v>Econ Test</v>
      </c>
      <c r="CL93" s="28" t="str">
        <f aca="false">IFERROR(INDEX(Assessments!$I$2:$I$600,MATCH($H93&amp;"|"&amp;$I93&amp;"|"&amp;$J93&amp;"|"&amp;4,Assessments!$A$2:$A$600,0)),"")</f>
        <v>Econ Test</v>
      </c>
      <c r="CM93" s="28" t="str">
        <f aca="false">IFERROR(INDEX(Assessments!$I$2:$I$600,MATCH($H93&amp;"|"&amp;$I93&amp;"|"&amp;$J93&amp;"|"&amp;5,Assessments!$A$2:$A$600,0)),"")</f>
        <v>Econ Exam</v>
      </c>
      <c r="CN93" s="28" t="str">
        <f aca="false">IFERROR(INDEX(Assessments!$I$2:$I$600,MATCH($H93&amp;"|"&amp;$I93&amp;"|"&amp;$J93&amp;"|"&amp;6,Assessments!$A$2:$A$600,0)),"")</f>
        <v>Econ Test</v>
      </c>
      <c r="CO93" s="28" t="str">
        <f aca="false">IFERROR(INDEX(Assessments!$I$2:$I$600,MATCH($H93&amp;"|"&amp;$I93&amp;"|"&amp;$J93&amp;"|"&amp;7,Assessments!$A$2:$A$600,0)),"")</f>
        <v>Econ Exam</v>
      </c>
      <c r="CP93" s="28" t="str">
        <f aca="false">IFERROR(INDEX(Assessments!$I$2:$I$600,MATCH($H93&amp;"|"&amp;$I93&amp;"|"&amp;$J93&amp;"|"&amp;8,Assessments!$A$2:$A$600,0)),"")</f>
        <v/>
      </c>
      <c r="CQ93" s="28" t="str">
        <f aca="false">IFERROR(INDEX(Assessments!$I$2:$I$600,MATCH($H93&amp;"|"&amp;$I93&amp;"|"&amp;$J93&amp;"|"&amp;9,Assessments!$A$2:$A$600,0)),"")</f>
        <v/>
      </c>
      <c r="CR93" s="28" t="str">
        <f aca="false">IFERROR(INDEX(Assessments!$I$2:$I$600,MATCH($H93&amp;"|"&amp;$I93&amp;"|"&amp;$J93&amp;"|"&amp;10,Assessments!$A$2:$A$600,0)),"")</f>
        <v/>
      </c>
      <c r="CS93" s="28" t="str">
        <f aca="false">IFERROR(INDEX(Assessments!$I$2:$I$600,MATCH($H93&amp;"|"&amp;$I93&amp;"|"&amp;$J93&amp;"|"&amp;11,Assessments!$A$2:$A$600,0)),"")</f>
        <v/>
      </c>
      <c r="CT93" s="28" t="str">
        <f aca="false">IFERROR(INDEX(Assessments!$I$2:$I$600,MATCH($H93&amp;"|"&amp;$I93&amp;"|"&amp;$J93&amp;"|"&amp;12,Assessments!$A$2:$A$600,0)),"")</f>
        <v/>
      </c>
      <c r="CU93" s="28" t="str">
        <f aca="false">IFERROR(INDEX(Assessments!$I$2:$I$600,MATCH($H93&amp;"|"&amp;$I93&amp;"|"&amp;$J93&amp;"|"&amp;13,Assessments!$A$2:$A$600,0)),"")</f>
        <v/>
      </c>
      <c r="CV93" s="28" t="str">
        <f aca="false">IFERROR(INDEX(Assessments!$I$2:$I$600,MATCH($H93&amp;"|"&amp;$I93&amp;"|"&amp;$J93&amp;"|"&amp;14,Assessments!$A$2:$A$600,0)),"")</f>
        <v/>
      </c>
      <c r="CW93" s="28" t="n">
        <f aca="false">IFERROR(INDEX(Assessments!$J$2:$J$600,MATCH($H93&amp;"|"&amp;$I93&amp;"|"&amp;$J93&amp;"|"&amp;1,Assessments!$A$2:$A$600,0)),0)</f>
        <v>1</v>
      </c>
      <c r="CX93" s="28" t="n">
        <f aca="false">IFERROR(INDEX(Assessments!$J$2:$J$600,MATCH($H93&amp;"|"&amp;$I93&amp;"|"&amp;$J93&amp;"|"&amp;2,Assessments!$A$2:$A$600,0)),0)</f>
        <v>1</v>
      </c>
      <c r="CY93" s="28" t="n">
        <f aca="false">IFERROR(INDEX(Assessments!$J$2:$J$600,MATCH($H93&amp;"|"&amp;$I93&amp;"|"&amp;$J93&amp;"|"&amp;3,Assessments!$A$2:$A$600,0)),0)</f>
        <v>1</v>
      </c>
      <c r="CZ93" s="28" t="n">
        <f aca="false">IFERROR(INDEX(Assessments!$J$2:$J$600,MATCH($H93&amp;"|"&amp;$I93&amp;"|"&amp;$J93&amp;"|"&amp;4,Assessments!$A$2:$A$600,0)),0)</f>
        <v>1</v>
      </c>
      <c r="DA93" s="28" t="n">
        <f aca="false">IFERROR(INDEX(Assessments!$J$2:$J$600,MATCH($H93&amp;"|"&amp;$I93&amp;"|"&amp;$J93&amp;"|"&amp;5,Assessments!$A$2:$A$600,0)),0)</f>
        <v>2</v>
      </c>
      <c r="DB93" s="28" t="n">
        <f aca="false">IFERROR(INDEX(Assessments!$J$2:$J$600,MATCH($H93&amp;"|"&amp;$I93&amp;"|"&amp;$J93&amp;"|"&amp;6,Assessments!$A$2:$A$600,0)),0)</f>
        <v>1</v>
      </c>
      <c r="DC93" s="28" t="n">
        <f aca="false">IFERROR(INDEX(Assessments!$J$2:$J$600,MATCH($H93&amp;"|"&amp;$I93&amp;"|"&amp;$J93&amp;"|"&amp;7,Assessments!$A$2:$A$600,0)),0)</f>
        <v>2</v>
      </c>
      <c r="DD93" s="28" t="n">
        <f aca="false">IFERROR(INDEX(Assessments!$J$2:$J$600,MATCH($H93&amp;"|"&amp;$I93&amp;"|"&amp;$J93&amp;"|"&amp;8,Assessments!$A$2:$A$600,0)),0)</f>
        <v>0</v>
      </c>
      <c r="DE93" s="28" t="n">
        <f aca="false">IFERROR(INDEX(Assessments!$J$2:$J$600,MATCH($H93&amp;"|"&amp;$I93&amp;"|"&amp;$J93&amp;"|"&amp;9,Assessments!$A$2:$A$600,0)),0)</f>
        <v>0</v>
      </c>
      <c r="DF93" s="28" t="n">
        <f aca="false">IFERROR(INDEX(Assessments!$J$2:$J$600,MATCH($H93&amp;"|"&amp;$I93&amp;"|"&amp;$J93&amp;"|"&amp;10,Assessments!$A$2:$A$600,0)),0)</f>
        <v>0</v>
      </c>
      <c r="DG93" s="28" t="n">
        <f aca="false">IFERROR(INDEX(Assessments!$J$2:$J$600,MATCH($H93&amp;"|"&amp;$I93&amp;"|"&amp;$J93&amp;"|"&amp;11,Assessments!$A$2:$A$600,0)),0)</f>
        <v>0</v>
      </c>
      <c r="DH93" s="28" t="n">
        <f aca="false">IFERROR(INDEX(Assessments!$J$2:$J$600,MATCH($H93&amp;"|"&amp;$I93&amp;"|"&amp;$J93&amp;"|"&amp;12,Assessments!$A$2:$A$600,0)),0)</f>
        <v>0</v>
      </c>
      <c r="DI93" s="28" t="n">
        <f aca="false">IFERROR(INDEX(Assessments!$J$2:$J$600,MATCH($H93&amp;"|"&amp;$I93&amp;"|"&amp;$J93&amp;"|"&amp;13,Assessments!$A$2:$A$600,0)),0)</f>
        <v>0</v>
      </c>
      <c r="DJ93" s="28" t="n">
        <f aca="false">IFERROR(INDEX(Assessments!$J$2:$J$600,MATCH($H93&amp;"|"&amp;$I93&amp;"|"&amp;$J93&amp;"|"&amp;14,Assessments!$A$2:$A$600,0)),0)</f>
        <v>0</v>
      </c>
      <c r="DK93" s="28" t="n">
        <f aca="false">S93</f>
        <v>6</v>
      </c>
      <c r="DL93" s="28" t="n">
        <f aca="false">W93</f>
        <v>1</v>
      </c>
      <c r="DM93" s="28" t="n">
        <f aca="false">AA93</f>
        <v>6</v>
      </c>
      <c r="DN93" s="28" t="n">
        <f aca="false">AE93</f>
        <v>5</v>
      </c>
      <c r="DO93" s="28" t="n">
        <f aca="false">AI93</f>
        <v>6</v>
      </c>
      <c r="DP93" s="28" t="str">
        <f aca="false">AM93</f>
        <v/>
      </c>
      <c r="DQ93" s="28" t="str">
        <f aca="false">AQ93</f>
        <v/>
      </c>
      <c r="DR93" s="28" t="str">
        <f aca="false">AU93</f>
        <v/>
      </c>
      <c r="DS93" s="28" t="str">
        <f aca="false">AY93</f>
        <v/>
      </c>
      <c r="DT93" s="28" t="str">
        <f aca="false">BC93</f>
        <v/>
      </c>
      <c r="DU93" s="28" t="str">
        <f aca="false">BG93</f>
        <v/>
      </c>
      <c r="DV93" s="28" t="str">
        <f aca="false">BK93</f>
        <v/>
      </c>
      <c r="DW93" s="28" t="str">
        <f aca="false">BO93</f>
        <v/>
      </c>
      <c r="DX93" s="28" t="str">
        <f aca="false">BS93</f>
        <v/>
      </c>
      <c r="DY93" s="28" t="n">
        <f aca="false">IF(ISNUMBER(S93),1,"")</f>
        <v>1</v>
      </c>
      <c r="DZ93" s="28" t="n">
        <f aca="false">IF(ISNUMBER(W93),2,"")</f>
        <v>2</v>
      </c>
      <c r="EA93" s="28" t="n">
        <f aca="false">IF(ISNUMBER(AA93),3,"")</f>
        <v>3</v>
      </c>
      <c r="EB93" s="28" t="n">
        <f aca="false">IF(ISNUMBER(AE93),4,"")</f>
        <v>4</v>
      </c>
      <c r="EC93" s="28" t="n">
        <f aca="false">IF(ISNUMBER(AI93),5,"")</f>
        <v>5</v>
      </c>
      <c r="ED93" s="28" t="str">
        <f aca="false">IF(ISNUMBER(AM93),6,"")</f>
        <v/>
      </c>
      <c r="EE93" s="28" t="str">
        <f aca="false">IF(ISNUMBER(AQ93),7,"")</f>
        <v/>
      </c>
      <c r="EF93" s="28" t="str">
        <f aca="false">IF(ISNUMBER(AU93),8,"")</f>
        <v/>
      </c>
      <c r="EG93" s="28" t="str">
        <f aca="false">IF(ISNUMBER(AY93),9,"")</f>
        <v/>
      </c>
      <c r="EH93" s="28" t="str">
        <f aca="false">IF(ISNUMBER(BC93),10,"")</f>
        <v/>
      </c>
      <c r="EI93" s="28" t="str">
        <f aca="false">IF(ISNUMBER(BG93),11,"")</f>
        <v/>
      </c>
      <c r="EJ93" s="28" t="str">
        <f aca="false">IF(ISNUMBER(BK93),12,"")</f>
        <v/>
      </c>
      <c r="EK93" s="28" t="str">
        <f aca="false">IF(ISNUMBER(BO93),13,"")</f>
        <v/>
      </c>
      <c r="EL93" s="28" t="str">
        <f aca="false">IF(ISNUMBER(BS93),14,"")</f>
        <v/>
      </c>
      <c r="EM93" s="28" t="n">
        <f aca="false">IF(ISNUMBER(R93),R93*CW93,0)</f>
        <v>80</v>
      </c>
      <c r="EN93" s="28" t="n">
        <f aca="false">IF(ISNUMBER(V93),V93*CX93,0)</f>
        <v>20.8333333333333</v>
      </c>
      <c r="EO93" s="28" t="n">
        <f aca="false">IF(ISNUMBER(Z93),Z93*CY93,0)</f>
        <v>80</v>
      </c>
      <c r="EP93" s="28" t="n">
        <f aca="false">IF(ISNUMBER(AD93),AD93*CZ93,0)</f>
        <v>65.7142857142857</v>
      </c>
      <c r="EQ93" s="28" t="n">
        <f aca="false">IF(ISNUMBER(AH93),AH93*DA93,0)</f>
        <v>149.090909090909</v>
      </c>
      <c r="ER93" s="28" t="n">
        <f aca="false">IF(ISNUMBER(AL93),AL93*DB93,0)</f>
        <v>0</v>
      </c>
      <c r="ES93" s="28" t="n">
        <f aca="false">IF(ISNUMBER(AP93),AP93*DC93,0)</f>
        <v>0</v>
      </c>
      <c r="ET93" s="28" t="n">
        <f aca="false">IF(ISNUMBER(AT93),AT93*DD93,0)</f>
        <v>0</v>
      </c>
      <c r="EU93" s="28" t="n">
        <f aca="false">IF(ISNUMBER(AX93),AX93*DE93,0)</f>
        <v>0</v>
      </c>
      <c r="EV93" s="28" t="n">
        <f aca="false">IF(ISNUMBER(BB93),BB93*DF93,0)</f>
        <v>0</v>
      </c>
      <c r="EW93" s="28" t="n">
        <f aca="false">IF(ISNUMBER(BF93),BF93*DG93,0)</f>
        <v>0</v>
      </c>
      <c r="EX93" s="28" t="n">
        <f aca="false">IF(ISNUMBER(BJ93),BJ93*DH93,0)</f>
        <v>0</v>
      </c>
      <c r="EY93" s="28" t="n">
        <f aca="false">IF(ISNUMBER(BN93),BN93*DI93,0)</f>
        <v>0</v>
      </c>
      <c r="EZ93" s="28" t="n">
        <f aca="false">IF(ISNUMBER(BR93),BR93*DJ93,0)</f>
        <v>0</v>
      </c>
      <c r="FA93" s="28" t="n">
        <f aca="false">IF(ISNUMBER(R93),CW93,0)</f>
        <v>1</v>
      </c>
      <c r="FB93" s="28" t="n">
        <f aca="false">IF(ISNUMBER(V93),CX93,0)</f>
        <v>1</v>
      </c>
      <c r="FC93" s="28" t="n">
        <f aca="false">IF(ISNUMBER(Z93),CY93,0)</f>
        <v>1</v>
      </c>
      <c r="FD93" s="28" t="n">
        <f aca="false">IF(ISNUMBER(AD93),CZ93,0)</f>
        <v>1</v>
      </c>
      <c r="FE93" s="28" t="n">
        <f aca="false">IF(ISNUMBER(AH93),DA93,0)</f>
        <v>2</v>
      </c>
      <c r="FF93" s="28" t="n">
        <f aca="false">IF(ISNUMBER(AL93),DB93,0)</f>
        <v>0</v>
      </c>
      <c r="FG93" s="28" t="n">
        <f aca="false">IF(ISNUMBER(AP93),DC93,0)</f>
        <v>0</v>
      </c>
      <c r="FH93" s="28" t="n">
        <f aca="false">IF(ISNUMBER(AT93),DD93,0)</f>
        <v>0</v>
      </c>
      <c r="FI93" s="28" t="n">
        <f aca="false">IF(ISNUMBER(AX93),DE93,0)</f>
        <v>0</v>
      </c>
      <c r="FJ93" s="28" t="n">
        <f aca="false">IF(ISNUMBER(BB93),DF93,0)</f>
        <v>0</v>
      </c>
      <c r="FK93" s="28" t="n">
        <f aca="false">IF(ISNUMBER(BF93),DG93,0)</f>
        <v>0</v>
      </c>
      <c r="FL93" s="28" t="n">
        <f aca="false">IF(ISNUMBER(BJ93),DH93,0)</f>
        <v>0</v>
      </c>
      <c r="FM93" s="28" t="n">
        <f aca="false">IF(ISNUMBER(BN93),DI93,0)</f>
        <v>0</v>
      </c>
      <c r="FN93" s="28" t="n">
        <f aca="false">IF(ISNUMBER(BR93),DJ93,0)</f>
        <v>0</v>
      </c>
      <c r="FO93" s="28" t="str">
        <f aca="false">IFERROR(INDEX(Lists!$G$2:$G$20,MATCH($I93&amp;"|"&amp;$J93,Lists!$F$2:$F$20,0)),"")</f>
        <v>Econ Exam</v>
      </c>
    </row>
    <row r="94" customFormat="false" ht="19.5" hidden="false" customHeight="true" outlineLevel="0" collapsed="false">
      <c r="A94" s="29" t="s">
        <v>309</v>
      </c>
      <c r="B94" s="29" t="s">
        <v>310</v>
      </c>
      <c r="C94" s="30" t="s">
        <v>152</v>
      </c>
      <c r="D94" s="30" t="s">
        <v>271</v>
      </c>
      <c r="E94" s="31" t="n">
        <v>6.3</v>
      </c>
      <c r="F94" s="30" t="n">
        <v>7</v>
      </c>
      <c r="G94" s="30"/>
      <c r="H94" s="32" t="s">
        <v>23</v>
      </c>
      <c r="I94" s="33" t="s">
        <v>229</v>
      </c>
      <c r="J94" s="32" t="s">
        <v>223</v>
      </c>
      <c r="K94" s="34" t="n">
        <f aca="false">IF(OR(M94="",$E94=""),"",M94-$E94)</f>
        <v>-1.3</v>
      </c>
      <c r="L94" s="35" t="n">
        <f aca="false">IF(SUM(FA94:FN94)=0,"",SUM(EM94:EZ94)/SUM(FA94:FN94))</f>
        <v>68.7210144927536</v>
      </c>
      <c r="M94" s="36" t="n">
        <f aca="false">IF(OR(L94="",FO94=""),"",IFERROR(MATCH(L94,INDEX(Boundaries!$B$2:$I$30,MATCH(FO94,Boundaries!$A$2:$A$30,0),0),1)-1,""))</f>
        <v>5</v>
      </c>
      <c r="N94" s="37" t="n">
        <f aca="false">IF(COUNT($DY94:$EL94)&lt;2,"",INDEX($DK94:$DX94,MAX($DY94:$EL94))-INDEX($DK94:$DX94,MIN($DY94:$EL94)))</f>
        <v>-1</v>
      </c>
      <c r="O94" s="37" t="n">
        <f aca="false">IF(COUNT($DY94:$EL94)&lt;2,"",INDEX($DK94:$DX94,MAX($DY94:$EL94))-INDEX($DK94:$DX94,LARGE($DY94:$EL94,2)))</f>
        <v>0</v>
      </c>
      <c r="P94" s="38" t="str">
        <f aca="false">IF(K94="","",IF(K94&gt;=0,"On/above target",IF(AND(N94&lt;&gt;"",N94&gt;=0.5),"Improving towards target",IF(AND(O94&lt;&gt;"",O94&lt;=-0.5),"Declining","Stable below target"))))</f>
        <v>Stable below target</v>
      </c>
      <c r="Q94" s="39" t="n">
        <v>23</v>
      </c>
      <c r="R94" s="40" t="n">
        <f aca="false">IF(OR(Q94="",BU94=""),"",Q94/BU94*100)</f>
        <v>76.6666666666667</v>
      </c>
      <c r="S94" s="41" t="n">
        <f aca="false">IF(R94="","",IFERROR(MATCH(R94,INDEX(Boundaries!$B$2:$I$30,MATCH(CI94,Boundaries!$A$2:$A$30,0),0),1)-1,""))</f>
        <v>6</v>
      </c>
      <c r="T94" s="42" t="n">
        <f aca="false">IF(OR(S94="",$E94=""),"",S94-$E94)</f>
        <v>-0.3</v>
      </c>
      <c r="U94" s="39" t="n">
        <v>13</v>
      </c>
      <c r="V94" s="40" t="n">
        <f aca="false">IF(OR(U94="",BV94=""),"",U94/BV94*100)</f>
        <v>65</v>
      </c>
      <c r="W94" s="41" t="n">
        <f aca="false">IF(V94="","",IFERROR(MATCH(V94,INDEX(Boundaries!$B$2:$I$30,MATCH(CJ94,Boundaries!$A$2:$A$30,0),0),1)-1,""))</f>
        <v>5</v>
      </c>
      <c r="X94" s="42" t="n">
        <f aca="false">IF(OR(W94="",$E94=""),"",W94-$E94)</f>
        <v>-1.3</v>
      </c>
      <c r="Y94" s="39" t="n">
        <v>17</v>
      </c>
      <c r="Z94" s="40" t="n">
        <f aca="false">IF(OR(Y94="",BW94=""),"",Y94/BW94*100)</f>
        <v>68</v>
      </c>
      <c r="AA94" s="41" t="n">
        <f aca="false">IF(Z94="","",IFERROR(MATCH(Z94,INDEX(Boundaries!$B$2:$I$30,MATCH(CK94,Boundaries!$A$2:$A$30,0),0),1)-1,""))</f>
        <v>5</v>
      </c>
      <c r="AB94" s="42" t="n">
        <f aca="false">IF(OR(AA94="",$E94=""),"",AA94-$E94)</f>
        <v>-1.3</v>
      </c>
      <c r="AC94" s="39" t="n">
        <v>15</v>
      </c>
      <c r="AD94" s="40" t="n">
        <f aca="false">IF(OR(AC94="",BX94=""),"",AC94/BX94*100)</f>
        <v>65.2173913043478</v>
      </c>
      <c r="AE94" s="41" t="n">
        <f aca="false">IF(AD94="","",IFERROR(MATCH(AD94,INDEX(Boundaries!$B$2:$I$30,MATCH(CL94,Boundaries!$A$2:$A$30,0),0),1)-1,""))</f>
        <v>5</v>
      </c>
      <c r="AF94" s="42" t="n">
        <f aca="false">IF(OR(AE94="",$E94=""),"",AE94-$E94)</f>
        <v>-1.3</v>
      </c>
      <c r="AG94" s="39"/>
      <c r="AH94" s="40" t="str">
        <f aca="false">IF(OR(AG94="",BY94=""),"",AG94/BY94*100)</f>
        <v/>
      </c>
      <c r="AI94" s="41" t="str">
        <f aca="false">IF(AH94="","",IFERROR(MATCH(AH94,INDEX(Boundaries!$B$2:$I$30,MATCH(CM94,Boundaries!$A$2:$A$30,0),0),1)-1,""))</f>
        <v/>
      </c>
      <c r="AJ94" s="42" t="str">
        <f aca="false">IF(OR(AI94="",$E94=""),"",AI94-$E94)</f>
        <v/>
      </c>
      <c r="AK94" s="39"/>
      <c r="AL94" s="40" t="str">
        <f aca="false">IF(OR(AK94="",BZ94=""),"",AK94/BZ94*100)</f>
        <v/>
      </c>
      <c r="AM94" s="41" t="str">
        <f aca="false">IF(AL94="","",IFERROR(MATCH(AL94,INDEX(Boundaries!$B$2:$I$30,MATCH(CN94,Boundaries!$A$2:$A$30,0),0),1)-1,""))</f>
        <v/>
      </c>
      <c r="AN94" s="42" t="str">
        <f aca="false">IF(OR(AM94="",$E94=""),"",AM94-$E94)</f>
        <v/>
      </c>
      <c r="AO94" s="39"/>
      <c r="AP94" s="40" t="str">
        <f aca="false">IF(OR(AO94="",CA94=""),"",AO94/CA94*100)</f>
        <v/>
      </c>
      <c r="AQ94" s="41" t="str">
        <f aca="false">IF(AP94="","",IFERROR(MATCH(AP94,INDEX(Boundaries!$B$2:$I$30,MATCH(CO94,Boundaries!$A$2:$A$30,0),0),1)-1,""))</f>
        <v/>
      </c>
      <c r="AR94" s="42" t="str">
        <f aca="false">IF(OR(AQ94="",$E94=""),"",AQ94-$E94)</f>
        <v/>
      </c>
      <c r="AS94" s="39"/>
      <c r="AT94" s="40" t="str">
        <f aca="false">IF(OR(AS94="",CB94=""),"",AS94/CB94*100)</f>
        <v/>
      </c>
      <c r="AU94" s="41" t="str">
        <f aca="false">IF(AT94="","",IFERROR(MATCH(AT94,INDEX(Boundaries!$B$2:$I$30,MATCH(CP94,Boundaries!$A$2:$A$30,0),0),1)-1,""))</f>
        <v/>
      </c>
      <c r="AV94" s="42" t="str">
        <f aca="false">IF(OR(AU94="",$E94=""),"",AU94-$E94)</f>
        <v/>
      </c>
      <c r="AW94" s="39"/>
      <c r="AX94" s="40" t="str">
        <f aca="false">IF(OR(AW94="",CC94=""),"",AW94/CC94*100)</f>
        <v/>
      </c>
      <c r="AY94" s="41" t="str">
        <f aca="false">IF(AX94="","",IFERROR(MATCH(AX94,INDEX(Boundaries!$B$2:$I$30,MATCH(CQ94,Boundaries!$A$2:$A$30,0),0),1)-1,""))</f>
        <v/>
      </c>
      <c r="AZ94" s="42" t="str">
        <f aca="false">IF(OR(AY94="",$E94=""),"",AY94-$E94)</f>
        <v/>
      </c>
      <c r="BA94" s="39"/>
      <c r="BB94" s="40" t="str">
        <f aca="false">IF(OR(BA94="",CD94=""),"",BA94/CD94*100)</f>
        <v/>
      </c>
      <c r="BC94" s="41" t="str">
        <f aca="false">IF(BB94="","",IFERROR(MATCH(BB94,INDEX(Boundaries!$B$2:$I$30,MATCH(CR94,Boundaries!$A$2:$A$30,0),0),1)-1,""))</f>
        <v/>
      </c>
      <c r="BD94" s="42" t="str">
        <f aca="false">IF(OR(BC94="",$E94=""),"",BC94-$E94)</f>
        <v/>
      </c>
      <c r="BE94" s="39"/>
      <c r="BF94" s="40" t="str">
        <f aca="false">IF(OR(BE94="",CE94=""),"",BE94/CE94*100)</f>
        <v/>
      </c>
      <c r="BG94" s="41" t="str">
        <f aca="false">IF(BF94="","",IFERROR(MATCH(BF94,INDEX(Boundaries!$B$2:$I$30,MATCH(CS94,Boundaries!$A$2:$A$30,0),0),1)-1,""))</f>
        <v/>
      </c>
      <c r="BH94" s="42" t="str">
        <f aca="false">IF(OR(BG94="",$E94=""),"",BG94-$E94)</f>
        <v/>
      </c>
      <c r="BI94" s="39"/>
      <c r="BJ94" s="40" t="str">
        <f aca="false">IF(OR(BI94="",CF94=""),"",BI94/CF94*100)</f>
        <v/>
      </c>
      <c r="BK94" s="41" t="str">
        <f aca="false">IF(BJ94="","",IFERROR(MATCH(BJ94,INDEX(Boundaries!$B$2:$I$30,MATCH(CT94,Boundaries!$A$2:$A$30,0),0),1)-1,""))</f>
        <v/>
      </c>
      <c r="BL94" s="42" t="str">
        <f aca="false">IF(OR(BK94="",$E94=""),"",BK94-$E94)</f>
        <v/>
      </c>
      <c r="BM94" s="39"/>
      <c r="BN94" s="40" t="str">
        <f aca="false">IF(OR(BM94="",CG94=""),"",BM94/CG94*100)</f>
        <v/>
      </c>
      <c r="BO94" s="41" t="str">
        <f aca="false">IF(BN94="","",IFERROR(MATCH(BN94,INDEX(Boundaries!$B$2:$I$30,MATCH(CU94,Boundaries!$A$2:$A$30,0),0),1)-1,""))</f>
        <v/>
      </c>
      <c r="BP94" s="42" t="str">
        <f aca="false">IF(OR(BO94="",$E94=""),"",BO94-$E94)</f>
        <v/>
      </c>
      <c r="BQ94" s="39"/>
      <c r="BR94" s="40" t="str">
        <f aca="false">IF(OR(BQ94="",CH94=""),"",BQ94/CH94*100)</f>
        <v/>
      </c>
      <c r="BS94" s="41" t="str">
        <f aca="false">IF(BR94="","",IFERROR(MATCH(BR94,INDEX(Boundaries!$B$2:$I$30,MATCH(CV94,Boundaries!$A$2:$A$30,0),0),1)-1,""))</f>
        <v/>
      </c>
      <c r="BT94" s="42" t="str">
        <f aca="false">IF(OR(BS94="",$E94=""),"",BS94-$E94)</f>
        <v/>
      </c>
      <c r="BU94" s="28" t="n">
        <f aca="false">IFERROR(INDEX(Assessments!$H$2:$H$600,MATCH($H94&amp;"|"&amp;$I94&amp;"|"&amp;$J94&amp;"|"&amp;1,Assessments!$A$2:$A$600,0)),"")</f>
        <v>30</v>
      </c>
      <c r="BV94" s="28" t="n">
        <f aca="false">IFERROR(INDEX(Assessments!$H$2:$H$600,MATCH($H94&amp;"|"&amp;$I94&amp;"|"&amp;$J94&amp;"|"&amp;2,Assessments!$A$2:$A$600,0)),"")</f>
        <v>20</v>
      </c>
      <c r="BW94" s="28" t="n">
        <f aca="false">IFERROR(INDEX(Assessments!$H$2:$H$600,MATCH($H94&amp;"|"&amp;$I94&amp;"|"&amp;$J94&amp;"|"&amp;3,Assessments!$A$2:$A$600,0)),"")</f>
        <v>25</v>
      </c>
      <c r="BX94" s="28" t="n">
        <f aca="false">IFERROR(INDEX(Assessments!$H$2:$H$600,MATCH($H94&amp;"|"&amp;$I94&amp;"|"&amp;$J94&amp;"|"&amp;4,Assessments!$A$2:$A$600,0)),"")</f>
        <v>23</v>
      </c>
      <c r="BY94" s="28" t="n">
        <f aca="false">IFERROR(INDEX(Assessments!$H$2:$H$600,MATCH($H94&amp;"|"&amp;$I94&amp;"|"&amp;$J94&amp;"|"&amp;5,Assessments!$A$2:$A$600,0)),"")</f>
        <v>25</v>
      </c>
      <c r="BZ94" s="28" t="n">
        <f aca="false">IFERROR(INDEX(Assessments!$H$2:$H$600,MATCH($H94&amp;"|"&amp;$I94&amp;"|"&amp;$J94&amp;"|"&amp;6,Assessments!$A$2:$A$600,0)),"")</f>
        <v>15</v>
      </c>
      <c r="CA94" s="28" t="n">
        <f aca="false">IFERROR(INDEX(Assessments!$H$2:$H$600,MATCH($H94&amp;"|"&amp;$I94&amp;"|"&amp;$J94&amp;"|"&amp;7,Assessments!$A$2:$A$600,0)),"")</f>
        <v>52</v>
      </c>
      <c r="CB94" s="28" t="str">
        <f aca="false">IFERROR(INDEX(Assessments!$H$2:$H$600,MATCH($H94&amp;"|"&amp;$I94&amp;"|"&amp;$J94&amp;"|"&amp;8,Assessments!$A$2:$A$600,0)),"")</f>
        <v/>
      </c>
      <c r="CC94" s="28" t="str">
        <f aca="false">IFERROR(INDEX(Assessments!$H$2:$H$600,MATCH($H94&amp;"|"&amp;$I94&amp;"|"&amp;$J94&amp;"|"&amp;9,Assessments!$A$2:$A$600,0)),"")</f>
        <v/>
      </c>
      <c r="CD94" s="28" t="str">
        <f aca="false">IFERROR(INDEX(Assessments!$H$2:$H$600,MATCH($H94&amp;"|"&amp;$I94&amp;"|"&amp;$J94&amp;"|"&amp;10,Assessments!$A$2:$A$600,0)),"")</f>
        <v/>
      </c>
      <c r="CE94" s="28" t="str">
        <f aca="false">IFERROR(INDEX(Assessments!$H$2:$H$600,MATCH($H94&amp;"|"&amp;$I94&amp;"|"&amp;$J94&amp;"|"&amp;11,Assessments!$A$2:$A$600,0)),"")</f>
        <v/>
      </c>
      <c r="CF94" s="28" t="str">
        <f aca="false">IFERROR(INDEX(Assessments!$H$2:$H$600,MATCH($H94&amp;"|"&amp;$I94&amp;"|"&amp;$J94&amp;"|"&amp;12,Assessments!$A$2:$A$600,0)),"")</f>
        <v/>
      </c>
      <c r="CG94" s="28" t="str">
        <f aca="false">IFERROR(INDEX(Assessments!$H$2:$H$600,MATCH($H94&amp;"|"&amp;$I94&amp;"|"&amp;$J94&amp;"|"&amp;13,Assessments!$A$2:$A$600,0)),"")</f>
        <v/>
      </c>
      <c r="CH94" s="28" t="str">
        <f aca="false">IFERROR(INDEX(Assessments!$H$2:$H$600,MATCH($H94&amp;"|"&amp;$I94&amp;"|"&amp;$J94&amp;"|"&amp;14,Assessments!$A$2:$A$600,0)),"")</f>
        <v/>
      </c>
      <c r="CI94" s="28" t="str">
        <f aca="false">IFERROR(INDEX(Assessments!$I$2:$I$600,MATCH($H94&amp;"|"&amp;$I94&amp;"|"&amp;$J94&amp;"|"&amp;1,Assessments!$A$2:$A$600,0)),"")</f>
        <v>Econ Test</v>
      </c>
      <c r="CJ94" s="28" t="str">
        <f aca="false">IFERROR(INDEX(Assessments!$I$2:$I$600,MATCH($H94&amp;"|"&amp;$I94&amp;"|"&amp;$J94&amp;"|"&amp;2,Assessments!$A$2:$A$600,0)),"")</f>
        <v>Econ Test</v>
      </c>
      <c r="CK94" s="28" t="str">
        <f aca="false">IFERROR(INDEX(Assessments!$I$2:$I$600,MATCH($H94&amp;"|"&amp;$I94&amp;"|"&amp;$J94&amp;"|"&amp;3,Assessments!$A$2:$A$600,0)),"")</f>
        <v>Econ Test</v>
      </c>
      <c r="CL94" s="28" t="str">
        <f aca="false">IFERROR(INDEX(Assessments!$I$2:$I$600,MATCH($H94&amp;"|"&amp;$I94&amp;"|"&amp;$J94&amp;"|"&amp;4,Assessments!$A$2:$A$600,0)),"")</f>
        <v>Econ Test</v>
      </c>
      <c r="CM94" s="28" t="str">
        <f aca="false">IFERROR(INDEX(Assessments!$I$2:$I$600,MATCH($H94&amp;"|"&amp;$I94&amp;"|"&amp;$J94&amp;"|"&amp;5,Assessments!$A$2:$A$600,0)),"")</f>
        <v>Econ Exam</v>
      </c>
      <c r="CN94" s="28" t="str">
        <f aca="false">IFERROR(INDEX(Assessments!$I$2:$I$600,MATCH($H94&amp;"|"&amp;$I94&amp;"|"&amp;$J94&amp;"|"&amp;6,Assessments!$A$2:$A$600,0)),"")</f>
        <v>Econ Test</v>
      </c>
      <c r="CO94" s="28" t="str">
        <f aca="false">IFERROR(INDEX(Assessments!$I$2:$I$600,MATCH($H94&amp;"|"&amp;$I94&amp;"|"&amp;$J94&amp;"|"&amp;7,Assessments!$A$2:$A$600,0)),"")</f>
        <v>Econ Exam</v>
      </c>
      <c r="CP94" s="28" t="str">
        <f aca="false">IFERROR(INDEX(Assessments!$I$2:$I$600,MATCH($H94&amp;"|"&amp;$I94&amp;"|"&amp;$J94&amp;"|"&amp;8,Assessments!$A$2:$A$600,0)),"")</f>
        <v/>
      </c>
      <c r="CQ94" s="28" t="str">
        <f aca="false">IFERROR(INDEX(Assessments!$I$2:$I$600,MATCH($H94&amp;"|"&amp;$I94&amp;"|"&amp;$J94&amp;"|"&amp;9,Assessments!$A$2:$A$600,0)),"")</f>
        <v/>
      </c>
      <c r="CR94" s="28" t="str">
        <f aca="false">IFERROR(INDEX(Assessments!$I$2:$I$600,MATCH($H94&amp;"|"&amp;$I94&amp;"|"&amp;$J94&amp;"|"&amp;10,Assessments!$A$2:$A$600,0)),"")</f>
        <v/>
      </c>
      <c r="CS94" s="28" t="str">
        <f aca="false">IFERROR(INDEX(Assessments!$I$2:$I$600,MATCH($H94&amp;"|"&amp;$I94&amp;"|"&amp;$J94&amp;"|"&amp;11,Assessments!$A$2:$A$600,0)),"")</f>
        <v/>
      </c>
      <c r="CT94" s="28" t="str">
        <f aca="false">IFERROR(INDEX(Assessments!$I$2:$I$600,MATCH($H94&amp;"|"&amp;$I94&amp;"|"&amp;$J94&amp;"|"&amp;12,Assessments!$A$2:$A$600,0)),"")</f>
        <v/>
      </c>
      <c r="CU94" s="28" t="str">
        <f aca="false">IFERROR(INDEX(Assessments!$I$2:$I$600,MATCH($H94&amp;"|"&amp;$I94&amp;"|"&amp;$J94&amp;"|"&amp;13,Assessments!$A$2:$A$600,0)),"")</f>
        <v/>
      </c>
      <c r="CV94" s="28" t="str">
        <f aca="false">IFERROR(INDEX(Assessments!$I$2:$I$600,MATCH($H94&amp;"|"&amp;$I94&amp;"|"&amp;$J94&amp;"|"&amp;14,Assessments!$A$2:$A$600,0)),"")</f>
        <v/>
      </c>
      <c r="CW94" s="28" t="n">
        <f aca="false">IFERROR(INDEX(Assessments!$J$2:$J$600,MATCH($H94&amp;"|"&amp;$I94&amp;"|"&amp;$J94&amp;"|"&amp;1,Assessments!$A$2:$A$600,0)),0)</f>
        <v>1</v>
      </c>
      <c r="CX94" s="28" t="n">
        <f aca="false">IFERROR(INDEX(Assessments!$J$2:$J$600,MATCH($H94&amp;"|"&amp;$I94&amp;"|"&amp;$J94&amp;"|"&amp;2,Assessments!$A$2:$A$600,0)),0)</f>
        <v>1</v>
      </c>
      <c r="CY94" s="28" t="n">
        <f aca="false">IFERROR(INDEX(Assessments!$J$2:$J$600,MATCH($H94&amp;"|"&amp;$I94&amp;"|"&amp;$J94&amp;"|"&amp;3,Assessments!$A$2:$A$600,0)),0)</f>
        <v>1</v>
      </c>
      <c r="CZ94" s="28" t="n">
        <f aca="false">IFERROR(INDEX(Assessments!$J$2:$J$600,MATCH($H94&amp;"|"&amp;$I94&amp;"|"&amp;$J94&amp;"|"&amp;4,Assessments!$A$2:$A$600,0)),0)</f>
        <v>1</v>
      </c>
      <c r="DA94" s="28" t="n">
        <f aca="false">IFERROR(INDEX(Assessments!$J$2:$J$600,MATCH($H94&amp;"|"&amp;$I94&amp;"|"&amp;$J94&amp;"|"&amp;5,Assessments!$A$2:$A$600,0)),0)</f>
        <v>2</v>
      </c>
      <c r="DB94" s="28" t="n">
        <f aca="false">IFERROR(INDEX(Assessments!$J$2:$J$600,MATCH($H94&amp;"|"&amp;$I94&amp;"|"&amp;$J94&amp;"|"&amp;6,Assessments!$A$2:$A$600,0)),0)</f>
        <v>1</v>
      </c>
      <c r="DC94" s="28" t="n">
        <f aca="false">IFERROR(INDEX(Assessments!$J$2:$J$600,MATCH($H94&amp;"|"&amp;$I94&amp;"|"&amp;$J94&amp;"|"&amp;7,Assessments!$A$2:$A$600,0)),0)</f>
        <v>2</v>
      </c>
      <c r="DD94" s="28" t="n">
        <f aca="false">IFERROR(INDEX(Assessments!$J$2:$J$600,MATCH($H94&amp;"|"&amp;$I94&amp;"|"&amp;$J94&amp;"|"&amp;8,Assessments!$A$2:$A$600,0)),0)</f>
        <v>0</v>
      </c>
      <c r="DE94" s="28" t="n">
        <f aca="false">IFERROR(INDEX(Assessments!$J$2:$J$600,MATCH($H94&amp;"|"&amp;$I94&amp;"|"&amp;$J94&amp;"|"&amp;9,Assessments!$A$2:$A$600,0)),0)</f>
        <v>0</v>
      </c>
      <c r="DF94" s="28" t="n">
        <f aca="false">IFERROR(INDEX(Assessments!$J$2:$J$600,MATCH($H94&amp;"|"&amp;$I94&amp;"|"&amp;$J94&amp;"|"&amp;10,Assessments!$A$2:$A$600,0)),0)</f>
        <v>0</v>
      </c>
      <c r="DG94" s="28" t="n">
        <f aca="false">IFERROR(INDEX(Assessments!$J$2:$J$600,MATCH($H94&amp;"|"&amp;$I94&amp;"|"&amp;$J94&amp;"|"&amp;11,Assessments!$A$2:$A$600,0)),0)</f>
        <v>0</v>
      </c>
      <c r="DH94" s="28" t="n">
        <f aca="false">IFERROR(INDEX(Assessments!$J$2:$J$600,MATCH($H94&amp;"|"&amp;$I94&amp;"|"&amp;$J94&amp;"|"&amp;12,Assessments!$A$2:$A$600,0)),0)</f>
        <v>0</v>
      </c>
      <c r="DI94" s="28" t="n">
        <f aca="false">IFERROR(INDEX(Assessments!$J$2:$J$600,MATCH($H94&amp;"|"&amp;$I94&amp;"|"&amp;$J94&amp;"|"&amp;13,Assessments!$A$2:$A$600,0)),0)</f>
        <v>0</v>
      </c>
      <c r="DJ94" s="28" t="n">
        <f aca="false">IFERROR(INDEX(Assessments!$J$2:$J$600,MATCH($H94&amp;"|"&amp;$I94&amp;"|"&amp;$J94&amp;"|"&amp;14,Assessments!$A$2:$A$600,0)),0)</f>
        <v>0</v>
      </c>
      <c r="DK94" s="28" t="n">
        <f aca="false">S94</f>
        <v>6</v>
      </c>
      <c r="DL94" s="28" t="n">
        <f aca="false">W94</f>
        <v>5</v>
      </c>
      <c r="DM94" s="28" t="n">
        <f aca="false">AA94</f>
        <v>5</v>
      </c>
      <c r="DN94" s="28" t="n">
        <f aca="false">AE94</f>
        <v>5</v>
      </c>
      <c r="DO94" s="28" t="str">
        <f aca="false">AI94</f>
        <v/>
      </c>
      <c r="DP94" s="28" t="str">
        <f aca="false">AM94</f>
        <v/>
      </c>
      <c r="DQ94" s="28" t="str">
        <f aca="false">AQ94</f>
        <v/>
      </c>
      <c r="DR94" s="28" t="str">
        <f aca="false">AU94</f>
        <v/>
      </c>
      <c r="DS94" s="28" t="str">
        <f aca="false">AY94</f>
        <v/>
      </c>
      <c r="DT94" s="28" t="str">
        <f aca="false">BC94</f>
        <v/>
      </c>
      <c r="DU94" s="28" t="str">
        <f aca="false">BG94</f>
        <v/>
      </c>
      <c r="DV94" s="28" t="str">
        <f aca="false">BK94</f>
        <v/>
      </c>
      <c r="DW94" s="28" t="str">
        <f aca="false">BO94</f>
        <v/>
      </c>
      <c r="DX94" s="28" t="str">
        <f aca="false">BS94</f>
        <v/>
      </c>
      <c r="DY94" s="28" t="n">
        <f aca="false">IF(ISNUMBER(S94),1,"")</f>
        <v>1</v>
      </c>
      <c r="DZ94" s="28" t="n">
        <f aca="false">IF(ISNUMBER(W94),2,"")</f>
        <v>2</v>
      </c>
      <c r="EA94" s="28" t="n">
        <f aca="false">IF(ISNUMBER(AA94),3,"")</f>
        <v>3</v>
      </c>
      <c r="EB94" s="28" t="n">
        <f aca="false">IF(ISNUMBER(AE94),4,"")</f>
        <v>4</v>
      </c>
      <c r="EC94" s="28" t="str">
        <f aca="false">IF(ISNUMBER(AI94),5,"")</f>
        <v/>
      </c>
      <c r="ED94" s="28" t="str">
        <f aca="false">IF(ISNUMBER(AM94),6,"")</f>
        <v/>
      </c>
      <c r="EE94" s="28" t="str">
        <f aca="false">IF(ISNUMBER(AQ94),7,"")</f>
        <v/>
      </c>
      <c r="EF94" s="28" t="str">
        <f aca="false">IF(ISNUMBER(AU94),8,"")</f>
        <v/>
      </c>
      <c r="EG94" s="28" t="str">
        <f aca="false">IF(ISNUMBER(AY94),9,"")</f>
        <v/>
      </c>
      <c r="EH94" s="28" t="str">
        <f aca="false">IF(ISNUMBER(BC94),10,"")</f>
        <v/>
      </c>
      <c r="EI94" s="28" t="str">
        <f aca="false">IF(ISNUMBER(BG94),11,"")</f>
        <v/>
      </c>
      <c r="EJ94" s="28" t="str">
        <f aca="false">IF(ISNUMBER(BK94),12,"")</f>
        <v/>
      </c>
      <c r="EK94" s="28" t="str">
        <f aca="false">IF(ISNUMBER(BO94),13,"")</f>
        <v/>
      </c>
      <c r="EL94" s="28" t="str">
        <f aca="false">IF(ISNUMBER(BS94),14,"")</f>
        <v/>
      </c>
      <c r="EM94" s="28" t="n">
        <f aca="false">IF(ISNUMBER(R94),R94*CW94,0)</f>
        <v>76.6666666666667</v>
      </c>
      <c r="EN94" s="28" t="n">
        <f aca="false">IF(ISNUMBER(V94),V94*CX94,0)</f>
        <v>65</v>
      </c>
      <c r="EO94" s="28" t="n">
        <f aca="false">IF(ISNUMBER(Z94),Z94*CY94,0)</f>
        <v>68</v>
      </c>
      <c r="EP94" s="28" t="n">
        <f aca="false">IF(ISNUMBER(AD94),AD94*CZ94,0)</f>
        <v>65.2173913043478</v>
      </c>
      <c r="EQ94" s="28" t="n">
        <f aca="false">IF(ISNUMBER(AH94),AH94*DA94,0)</f>
        <v>0</v>
      </c>
      <c r="ER94" s="28" t="n">
        <f aca="false">IF(ISNUMBER(AL94),AL94*DB94,0)</f>
        <v>0</v>
      </c>
      <c r="ES94" s="28" t="n">
        <f aca="false">IF(ISNUMBER(AP94),AP94*DC94,0)</f>
        <v>0</v>
      </c>
      <c r="ET94" s="28" t="n">
        <f aca="false">IF(ISNUMBER(AT94),AT94*DD94,0)</f>
        <v>0</v>
      </c>
      <c r="EU94" s="28" t="n">
        <f aca="false">IF(ISNUMBER(AX94),AX94*DE94,0)</f>
        <v>0</v>
      </c>
      <c r="EV94" s="28" t="n">
        <f aca="false">IF(ISNUMBER(BB94),BB94*DF94,0)</f>
        <v>0</v>
      </c>
      <c r="EW94" s="28" t="n">
        <f aca="false">IF(ISNUMBER(BF94),BF94*DG94,0)</f>
        <v>0</v>
      </c>
      <c r="EX94" s="28" t="n">
        <f aca="false">IF(ISNUMBER(BJ94),BJ94*DH94,0)</f>
        <v>0</v>
      </c>
      <c r="EY94" s="28" t="n">
        <f aca="false">IF(ISNUMBER(BN94),BN94*DI94,0)</f>
        <v>0</v>
      </c>
      <c r="EZ94" s="28" t="n">
        <f aca="false">IF(ISNUMBER(BR94),BR94*DJ94,0)</f>
        <v>0</v>
      </c>
      <c r="FA94" s="28" t="n">
        <f aca="false">IF(ISNUMBER(R94),CW94,0)</f>
        <v>1</v>
      </c>
      <c r="FB94" s="28" t="n">
        <f aca="false">IF(ISNUMBER(V94),CX94,0)</f>
        <v>1</v>
      </c>
      <c r="FC94" s="28" t="n">
        <f aca="false">IF(ISNUMBER(Z94),CY94,0)</f>
        <v>1</v>
      </c>
      <c r="FD94" s="28" t="n">
        <f aca="false">IF(ISNUMBER(AD94),CZ94,0)</f>
        <v>1</v>
      </c>
      <c r="FE94" s="28" t="n">
        <f aca="false">IF(ISNUMBER(AH94),DA94,0)</f>
        <v>0</v>
      </c>
      <c r="FF94" s="28" t="n">
        <f aca="false">IF(ISNUMBER(AL94),DB94,0)</f>
        <v>0</v>
      </c>
      <c r="FG94" s="28" t="n">
        <f aca="false">IF(ISNUMBER(AP94),DC94,0)</f>
        <v>0</v>
      </c>
      <c r="FH94" s="28" t="n">
        <f aca="false">IF(ISNUMBER(AT94),DD94,0)</f>
        <v>0</v>
      </c>
      <c r="FI94" s="28" t="n">
        <f aca="false">IF(ISNUMBER(AX94),DE94,0)</f>
        <v>0</v>
      </c>
      <c r="FJ94" s="28" t="n">
        <f aca="false">IF(ISNUMBER(BB94),DF94,0)</f>
        <v>0</v>
      </c>
      <c r="FK94" s="28" t="n">
        <f aca="false">IF(ISNUMBER(BF94),DG94,0)</f>
        <v>0</v>
      </c>
      <c r="FL94" s="28" t="n">
        <f aca="false">IF(ISNUMBER(BJ94),DH94,0)</f>
        <v>0</v>
      </c>
      <c r="FM94" s="28" t="n">
        <f aca="false">IF(ISNUMBER(BN94),DI94,0)</f>
        <v>0</v>
      </c>
      <c r="FN94" s="28" t="n">
        <f aca="false">IF(ISNUMBER(BR94),DJ94,0)</f>
        <v>0</v>
      </c>
      <c r="FO94" s="28" t="str">
        <f aca="false">IFERROR(INDEX(Lists!$G$2:$G$20,MATCH($I94&amp;"|"&amp;$J94,Lists!$F$2:$F$20,0)),"")</f>
        <v>Econ Exam</v>
      </c>
    </row>
    <row r="95" customFormat="false" ht="19.5" hidden="false" customHeight="true" outlineLevel="0" collapsed="false">
      <c r="A95" s="29" t="s">
        <v>311</v>
      </c>
      <c r="B95" s="29" t="s">
        <v>312</v>
      </c>
      <c r="C95" s="30" t="s">
        <v>152</v>
      </c>
      <c r="D95" s="30" t="s">
        <v>271</v>
      </c>
      <c r="E95" s="31" t="n">
        <v>5.9</v>
      </c>
      <c r="F95" s="30" t="n">
        <v>6</v>
      </c>
      <c r="G95" s="30"/>
      <c r="H95" s="32" t="s">
        <v>23</v>
      </c>
      <c r="I95" s="33" t="s">
        <v>229</v>
      </c>
      <c r="J95" s="32" t="s">
        <v>223</v>
      </c>
      <c r="K95" s="34" t="n">
        <f aca="false">IF(OR(M95="",$E95=""),"",M95-$E95)</f>
        <v>-0.9</v>
      </c>
      <c r="L95" s="35" t="n">
        <f aca="false">IF(SUM(FA95:FN95)=0,"",SUM(EM95:EZ95)/SUM(FA95:FN95))</f>
        <v>66.7210144927536</v>
      </c>
      <c r="M95" s="36" t="n">
        <f aca="false">IF(OR(L95="",FO95=""),"",IFERROR(MATCH(L95,INDEX(Boundaries!$B$2:$I$30,MATCH(FO95,Boundaries!$A$2:$A$30,0),0),1)-1,""))</f>
        <v>5</v>
      </c>
      <c r="N95" s="37" t="n">
        <f aca="false">IF(COUNT($DY95:$EL95)&lt;2,"",INDEX($DK95:$DX95,MAX($DY95:$EL95))-INDEX($DK95:$DX95,MIN($DY95:$EL95)))</f>
        <v>0</v>
      </c>
      <c r="O95" s="37" t="n">
        <f aca="false">IF(COUNT($DY95:$EL95)&lt;2,"",INDEX($DK95:$DX95,MAX($DY95:$EL95))-INDEX($DK95:$DX95,LARGE($DY95:$EL95,2)))</f>
        <v>1</v>
      </c>
      <c r="P95" s="38" t="str">
        <f aca="false">IF(K95="","",IF(K95&gt;=0,"On/above target",IF(AND(N95&lt;&gt;"",N95&gt;=0.5),"Improving towards target",IF(AND(O95&lt;&gt;"",O95&lt;=-0.5),"Declining","Stable below target"))))</f>
        <v>Stable below target</v>
      </c>
      <c r="Q95" s="39" t="n">
        <v>20</v>
      </c>
      <c r="R95" s="40" t="n">
        <f aca="false">IF(OR(Q95="",BU95=""),"",Q95/BU95*100)</f>
        <v>66.6666666666667</v>
      </c>
      <c r="S95" s="41" t="n">
        <f aca="false">IF(R95="","",IFERROR(MATCH(R95,INDEX(Boundaries!$B$2:$I$30,MATCH(CI95,Boundaries!$A$2:$A$30,0),0),1)-1,""))</f>
        <v>5</v>
      </c>
      <c r="T95" s="42" t="n">
        <f aca="false">IF(OR(S95="",$E95=""),"",S95-$E95)</f>
        <v>-0.9</v>
      </c>
      <c r="U95" s="39" t="n">
        <v>15</v>
      </c>
      <c r="V95" s="40" t="n">
        <f aca="false">IF(OR(U95="",BV95=""),"",U95/BV95*100)</f>
        <v>75</v>
      </c>
      <c r="W95" s="41" t="n">
        <f aca="false">IF(V95="","",IFERROR(MATCH(V95,INDEX(Boundaries!$B$2:$I$30,MATCH(CJ95,Boundaries!$A$2:$A$30,0),0),1)-1,""))</f>
        <v>6</v>
      </c>
      <c r="X95" s="42" t="n">
        <f aca="false">IF(OR(W95="",$E95=""),"",W95-$E95)</f>
        <v>0.0999999999999996</v>
      </c>
      <c r="Y95" s="39" t="n">
        <v>15</v>
      </c>
      <c r="Z95" s="40" t="n">
        <f aca="false">IF(OR(Y95="",BW95=""),"",Y95/BW95*100)</f>
        <v>60</v>
      </c>
      <c r="AA95" s="41" t="n">
        <f aca="false">IF(Z95="","",IFERROR(MATCH(Z95,INDEX(Boundaries!$B$2:$I$30,MATCH(CK95,Boundaries!$A$2:$A$30,0),0),1)-1,""))</f>
        <v>4</v>
      </c>
      <c r="AB95" s="42" t="n">
        <f aca="false">IF(OR(AA95="",$E95=""),"",AA95-$E95)</f>
        <v>-1.9</v>
      </c>
      <c r="AC95" s="39" t="n">
        <v>15</v>
      </c>
      <c r="AD95" s="40" t="n">
        <f aca="false">IF(OR(AC95="",BX95=""),"",AC95/BX95*100)</f>
        <v>65.2173913043478</v>
      </c>
      <c r="AE95" s="41" t="n">
        <f aca="false">IF(AD95="","",IFERROR(MATCH(AD95,INDEX(Boundaries!$B$2:$I$30,MATCH(CL95,Boundaries!$A$2:$A$30,0),0),1)-1,""))</f>
        <v>5</v>
      </c>
      <c r="AF95" s="42" t="n">
        <f aca="false">IF(OR(AE95="",$E95=""),"",AE95-$E95)</f>
        <v>-0.9</v>
      </c>
      <c r="AG95" s="39"/>
      <c r="AH95" s="40" t="str">
        <f aca="false">IF(OR(AG95="",BY95=""),"",AG95/BY95*100)</f>
        <v/>
      </c>
      <c r="AI95" s="41" t="str">
        <f aca="false">IF(AH95="","",IFERROR(MATCH(AH95,INDEX(Boundaries!$B$2:$I$30,MATCH(CM95,Boundaries!$A$2:$A$30,0),0),1)-1,""))</f>
        <v/>
      </c>
      <c r="AJ95" s="42" t="str">
        <f aca="false">IF(OR(AI95="",$E95=""),"",AI95-$E95)</f>
        <v/>
      </c>
      <c r="AK95" s="39"/>
      <c r="AL95" s="40" t="str">
        <f aca="false">IF(OR(AK95="",BZ95=""),"",AK95/BZ95*100)</f>
        <v/>
      </c>
      <c r="AM95" s="41" t="str">
        <f aca="false">IF(AL95="","",IFERROR(MATCH(AL95,INDEX(Boundaries!$B$2:$I$30,MATCH(CN95,Boundaries!$A$2:$A$30,0),0),1)-1,""))</f>
        <v/>
      </c>
      <c r="AN95" s="42" t="str">
        <f aca="false">IF(OR(AM95="",$E95=""),"",AM95-$E95)</f>
        <v/>
      </c>
      <c r="AO95" s="39"/>
      <c r="AP95" s="40" t="str">
        <f aca="false">IF(OR(AO95="",CA95=""),"",AO95/CA95*100)</f>
        <v/>
      </c>
      <c r="AQ95" s="41" t="str">
        <f aca="false">IF(AP95="","",IFERROR(MATCH(AP95,INDEX(Boundaries!$B$2:$I$30,MATCH(CO95,Boundaries!$A$2:$A$30,0),0),1)-1,""))</f>
        <v/>
      </c>
      <c r="AR95" s="42" t="str">
        <f aca="false">IF(OR(AQ95="",$E95=""),"",AQ95-$E95)</f>
        <v/>
      </c>
      <c r="AS95" s="39"/>
      <c r="AT95" s="40" t="str">
        <f aca="false">IF(OR(AS95="",CB95=""),"",AS95/CB95*100)</f>
        <v/>
      </c>
      <c r="AU95" s="41" t="str">
        <f aca="false">IF(AT95="","",IFERROR(MATCH(AT95,INDEX(Boundaries!$B$2:$I$30,MATCH(CP95,Boundaries!$A$2:$A$30,0),0),1)-1,""))</f>
        <v/>
      </c>
      <c r="AV95" s="42" t="str">
        <f aca="false">IF(OR(AU95="",$E95=""),"",AU95-$E95)</f>
        <v/>
      </c>
      <c r="AW95" s="39"/>
      <c r="AX95" s="40" t="str">
        <f aca="false">IF(OR(AW95="",CC95=""),"",AW95/CC95*100)</f>
        <v/>
      </c>
      <c r="AY95" s="41" t="str">
        <f aca="false">IF(AX95="","",IFERROR(MATCH(AX95,INDEX(Boundaries!$B$2:$I$30,MATCH(CQ95,Boundaries!$A$2:$A$30,0),0),1)-1,""))</f>
        <v/>
      </c>
      <c r="AZ95" s="42" t="str">
        <f aca="false">IF(OR(AY95="",$E95=""),"",AY95-$E95)</f>
        <v/>
      </c>
      <c r="BA95" s="39"/>
      <c r="BB95" s="40" t="str">
        <f aca="false">IF(OR(BA95="",CD95=""),"",BA95/CD95*100)</f>
        <v/>
      </c>
      <c r="BC95" s="41" t="str">
        <f aca="false">IF(BB95="","",IFERROR(MATCH(BB95,INDEX(Boundaries!$B$2:$I$30,MATCH(CR95,Boundaries!$A$2:$A$30,0),0),1)-1,""))</f>
        <v/>
      </c>
      <c r="BD95" s="42" t="str">
        <f aca="false">IF(OR(BC95="",$E95=""),"",BC95-$E95)</f>
        <v/>
      </c>
      <c r="BE95" s="39"/>
      <c r="BF95" s="40" t="str">
        <f aca="false">IF(OR(BE95="",CE95=""),"",BE95/CE95*100)</f>
        <v/>
      </c>
      <c r="BG95" s="41" t="str">
        <f aca="false">IF(BF95="","",IFERROR(MATCH(BF95,INDEX(Boundaries!$B$2:$I$30,MATCH(CS95,Boundaries!$A$2:$A$30,0),0),1)-1,""))</f>
        <v/>
      </c>
      <c r="BH95" s="42" t="str">
        <f aca="false">IF(OR(BG95="",$E95=""),"",BG95-$E95)</f>
        <v/>
      </c>
      <c r="BI95" s="39"/>
      <c r="BJ95" s="40" t="str">
        <f aca="false">IF(OR(BI95="",CF95=""),"",BI95/CF95*100)</f>
        <v/>
      </c>
      <c r="BK95" s="41" t="str">
        <f aca="false">IF(BJ95="","",IFERROR(MATCH(BJ95,INDEX(Boundaries!$B$2:$I$30,MATCH(CT95,Boundaries!$A$2:$A$30,0),0),1)-1,""))</f>
        <v/>
      </c>
      <c r="BL95" s="42" t="str">
        <f aca="false">IF(OR(BK95="",$E95=""),"",BK95-$E95)</f>
        <v/>
      </c>
      <c r="BM95" s="39"/>
      <c r="BN95" s="40" t="str">
        <f aca="false">IF(OR(BM95="",CG95=""),"",BM95/CG95*100)</f>
        <v/>
      </c>
      <c r="BO95" s="41" t="str">
        <f aca="false">IF(BN95="","",IFERROR(MATCH(BN95,INDEX(Boundaries!$B$2:$I$30,MATCH(CU95,Boundaries!$A$2:$A$30,0),0),1)-1,""))</f>
        <v/>
      </c>
      <c r="BP95" s="42" t="str">
        <f aca="false">IF(OR(BO95="",$E95=""),"",BO95-$E95)</f>
        <v/>
      </c>
      <c r="BQ95" s="39"/>
      <c r="BR95" s="40" t="str">
        <f aca="false">IF(OR(BQ95="",CH95=""),"",BQ95/CH95*100)</f>
        <v/>
      </c>
      <c r="BS95" s="41" t="str">
        <f aca="false">IF(BR95="","",IFERROR(MATCH(BR95,INDEX(Boundaries!$B$2:$I$30,MATCH(CV95,Boundaries!$A$2:$A$30,0),0),1)-1,""))</f>
        <v/>
      </c>
      <c r="BT95" s="42" t="str">
        <f aca="false">IF(OR(BS95="",$E95=""),"",BS95-$E95)</f>
        <v/>
      </c>
      <c r="BU95" s="28" t="n">
        <f aca="false">IFERROR(INDEX(Assessments!$H$2:$H$600,MATCH($H95&amp;"|"&amp;$I95&amp;"|"&amp;$J95&amp;"|"&amp;1,Assessments!$A$2:$A$600,0)),"")</f>
        <v>30</v>
      </c>
      <c r="BV95" s="28" t="n">
        <f aca="false">IFERROR(INDEX(Assessments!$H$2:$H$600,MATCH($H95&amp;"|"&amp;$I95&amp;"|"&amp;$J95&amp;"|"&amp;2,Assessments!$A$2:$A$600,0)),"")</f>
        <v>20</v>
      </c>
      <c r="BW95" s="28" t="n">
        <f aca="false">IFERROR(INDEX(Assessments!$H$2:$H$600,MATCH($H95&amp;"|"&amp;$I95&amp;"|"&amp;$J95&amp;"|"&amp;3,Assessments!$A$2:$A$600,0)),"")</f>
        <v>25</v>
      </c>
      <c r="BX95" s="28" t="n">
        <f aca="false">IFERROR(INDEX(Assessments!$H$2:$H$600,MATCH($H95&amp;"|"&amp;$I95&amp;"|"&amp;$J95&amp;"|"&amp;4,Assessments!$A$2:$A$600,0)),"")</f>
        <v>23</v>
      </c>
      <c r="BY95" s="28" t="n">
        <f aca="false">IFERROR(INDEX(Assessments!$H$2:$H$600,MATCH($H95&amp;"|"&amp;$I95&amp;"|"&amp;$J95&amp;"|"&amp;5,Assessments!$A$2:$A$600,0)),"")</f>
        <v>25</v>
      </c>
      <c r="BZ95" s="28" t="n">
        <f aca="false">IFERROR(INDEX(Assessments!$H$2:$H$600,MATCH($H95&amp;"|"&amp;$I95&amp;"|"&amp;$J95&amp;"|"&amp;6,Assessments!$A$2:$A$600,0)),"")</f>
        <v>15</v>
      </c>
      <c r="CA95" s="28" t="n">
        <f aca="false">IFERROR(INDEX(Assessments!$H$2:$H$600,MATCH($H95&amp;"|"&amp;$I95&amp;"|"&amp;$J95&amp;"|"&amp;7,Assessments!$A$2:$A$600,0)),"")</f>
        <v>52</v>
      </c>
      <c r="CB95" s="28" t="str">
        <f aca="false">IFERROR(INDEX(Assessments!$H$2:$H$600,MATCH($H95&amp;"|"&amp;$I95&amp;"|"&amp;$J95&amp;"|"&amp;8,Assessments!$A$2:$A$600,0)),"")</f>
        <v/>
      </c>
      <c r="CC95" s="28" t="str">
        <f aca="false">IFERROR(INDEX(Assessments!$H$2:$H$600,MATCH($H95&amp;"|"&amp;$I95&amp;"|"&amp;$J95&amp;"|"&amp;9,Assessments!$A$2:$A$600,0)),"")</f>
        <v/>
      </c>
      <c r="CD95" s="28" t="str">
        <f aca="false">IFERROR(INDEX(Assessments!$H$2:$H$600,MATCH($H95&amp;"|"&amp;$I95&amp;"|"&amp;$J95&amp;"|"&amp;10,Assessments!$A$2:$A$600,0)),"")</f>
        <v/>
      </c>
      <c r="CE95" s="28" t="str">
        <f aca="false">IFERROR(INDEX(Assessments!$H$2:$H$600,MATCH($H95&amp;"|"&amp;$I95&amp;"|"&amp;$J95&amp;"|"&amp;11,Assessments!$A$2:$A$600,0)),"")</f>
        <v/>
      </c>
      <c r="CF95" s="28" t="str">
        <f aca="false">IFERROR(INDEX(Assessments!$H$2:$H$600,MATCH($H95&amp;"|"&amp;$I95&amp;"|"&amp;$J95&amp;"|"&amp;12,Assessments!$A$2:$A$600,0)),"")</f>
        <v/>
      </c>
      <c r="CG95" s="28" t="str">
        <f aca="false">IFERROR(INDEX(Assessments!$H$2:$H$600,MATCH($H95&amp;"|"&amp;$I95&amp;"|"&amp;$J95&amp;"|"&amp;13,Assessments!$A$2:$A$600,0)),"")</f>
        <v/>
      </c>
      <c r="CH95" s="28" t="str">
        <f aca="false">IFERROR(INDEX(Assessments!$H$2:$H$600,MATCH($H95&amp;"|"&amp;$I95&amp;"|"&amp;$J95&amp;"|"&amp;14,Assessments!$A$2:$A$600,0)),"")</f>
        <v/>
      </c>
      <c r="CI95" s="28" t="str">
        <f aca="false">IFERROR(INDEX(Assessments!$I$2:$I$600,MATCH($H95&amp;"|"&amp;$I95&amp;"|"&amp;$J95&amp;"|"&amp;1,Assessments!$A$2:$A$600,0)),"")</f>
        <v>Econ Test</v>
      </c>
      <c r="CJ95" s="28" t="str">
        <f aca="false">IFERROR(INDEX(Assessments!$I$2:$I$600,MATCH($H95&amp;"|"&amp;$I95&amp;"|"&amp;$J95&amp;"|"&amp;2,Assessments!$A$2:$A$600,0)),"")</f>
        <v>Econ Test</v>
      </c>
      <c r="CK95" s="28" t="str">
        <f aca="false">IFERROR(INDEX(Assessments!$I$2:$I$600,MATCH($H95&amp;"|"&amp;$I95&amp;"|"&amp;$J95&amp;"|"&amp;3,Assessments!$A$2:$A$600,0)),"")</f>
        <v>Econ Test</v>
      </c>
      <c r="CL95" s="28" t="str">
        <f aca="false">IFERROR(INDEX(Assessments!$I$2:$I$600,MATCH($H95&amp;"|"&amp;$I95&amp;"|"&amp;$J95&amp;"|"&amp;4,Assessments!$A$2:$A$600,0)),"")</f>
        <v>Econ Test</v>
      </c>
      <c r="CM95" s="28" t="str">
        <f aca="false">IFERROR(INDEX(Assessments!$I$2:$I$600,MATCH($H95&amp;"|"&amp;$I95&amp;"|"&amp;$J95&amp;"|"&amp;5,Assessments!$A$2:$A$600,0)),"")</f>
        <v>Econ Exam</v>
      </c>
      <c r="CN95" s="28" t="str">
        <f aca="false">IFERROR(INDEX(Assessments!$I$2:$I$600,MATCH($H95&amp;"|"&amp;$I95&amp;"|"&amp;$J95&amp;"|"&amp;6,Assessments!$A$2:$A$600,0)),"")</f>
        <v>Econ Test</v>
      </c>
      <c r="CO95" s="28" t="str">
        <f aca="false">IFERROR(INDEX(Assessments!$I$2:$I$600,MATCH($H95&amp;"|"&amp;$I95&amp;"|"&amp;$J95&amp;"|"&amp;7,Assessments!$A$2:$A$600,0)),"")</f>
        <v>Econ Exam</v>
      </c>
      <c r="CP95" s="28" t="str">
        <f aca="false">IFERROR(INDEX(Assessments!$I$2:$I$600,MATCH($H95&amp;"|"&amp;$I95&amp;"|"&amp;$J95&amp;"|"&amp;8,Assessments!$A$2:$A$600,0)),"")</f>
        <v/>
      </c>
      <c r="CQ95" s="28" t="str">
        <f aca="false">IFERROR(INDEX(Assessments!$I$2:$I$600,MATCH($H95&amp;"|"&amp;$I95&amp;"|"&amp;$J95&amp;"|"&amp;9,Assessments!$A$2:$A$600,0)),"")</f>
        <v/>
      </c>
      <c r="CR95" s="28" t="str">
        <f aca="false">IFERROR(INDEX(Assessments!$I$2:$I$600,MATCH($H95&amp;"|"&amp;$I95&amp;"|"&amp;$J95&amp;"|"&amp;10,Assessments!$A$2:$A$600,0)),"")</f>
        <v/>
      </c>
      <c r="CS95" s="28" t="str">
        <f aca="false">IFERROR(INDEX(Assessments!$I$2:$I$600,MATCH($H95&amp;"|"&amp;$I95&amp;"|"&amp;$J95&amp;"|"&amp;11,Assessments!$A$2:$A$600,0)),"")</f>
        <v/>
      </c>
      <c r="CT95" s="28" t="str">
        <f aca="false">IFERROR(INDEX(Assessments!$I$2:$I$600,MATCH($H95&amp;"|"&amp;$I95&amp;"|"&amp;$J95&amp;"|"&amp;12,Assessments!$A$2:$A$600,0)),"")</f>
        <v/>
      </c>
      <c r="CU95" s="28" t="str">
        <f aca="false">IFERROR(INDEX(Assessments!$I$2:$I$600,MATCH($H95&amp;"|"&amp;$I95&amp;"|"&amp;$J95&amp;"|"&amp;13,Assessments!$A$2:$A$600,0)),"")</f>
        <v/>
      </c>
      <c r="CV95" s="28" t="str">
        <f aca="false">IFERROR(INDEX(Assessments!$I$2:$I$600,MATCH($H95&amp;"|"&amp;$I95&amp;"|"&amp;$J95&amp;"|"&amp;14,Assessments!$A$2:$A$600,0)),"")</f>
        <v/>
      </c>
      <c r="CW95" s="28" t="n">
        <f aca="false">IFERROR(INDEX(Assessments!$J$2:$J$600,MATCH($H95&amp;"|"&amp;$I95&amp;"|"&amp;$J95&amp;"|"&amp;1,Assessments!$A$2:$A$600,0)),0)</f>
        <v>1</v>
      </c>
      <c r="CX95" s="28" t="n">
        <f aca="false">IFERROR(INDEX(Assessments!$J$2:$J$600,MATCH($H95&amp;"|"&amp;$I95&amp;"|"&amp;$J95&amp;"|"&amp;2,Assessments!$A$2:$A$600,0)),0)</f>
        <v>1</v>
      </c>
      <c r="CY95" s="28" t="n">
        <f aca="false">IFERROR(INDEX(Assessments!$J$2:$J$600,MATCH($H95&amp;"|"&amp;$I95&amp;"|"&amp;$J95&amp;"|"&amp;3,Assessments!$A$2:$A$600,0)),0)</f>
        <v>1</v>
      </c>
      <c r="CZ95" s="28" t="n">
        <f aca="false">IFERROR(INDEX(Assessments!$J$2:$J$600,MATCH($H95&amp;"|"&amp;$I95&amp;"|"&amp;$J95&amp;"|"&amp;4,Assessments!$A$2:$A$600,0)),0)</f>
        <v>1</v>
      </c>
      <c r="DA95" s="28" t="n">
        <f aca="false">IFERROR(INDEX(Assessments!$J$2:$J$600,MATCH($H95&amp;"|"&amp;$I95&amp;"|"&amp;$J95&amp;"|"&amp;5,Assessments!$A$2:$A$600,0)),0)</f>
        <v>2</v>
      </c>
      <c r="DB95" s="28" t="n">
        <f aca="false">IFERROR(INDEX(Assessments!$J$2:$J$600,MATCH($H95&amp;"|"&amp;$I95&amp;"|"&amp;$J95&amp;"|"&amp;6,Assessments!$A$2:$A$600,0)),0)</f>
        <v>1</v>
      </c>
      <c r="DC95" s="28" t="n">
        <f aca="false">IFERROR(INDEX(Assessments!$J$2:$J$600,MATCH($H95&amp;"|"&amp;$I95&amp;"|"&amp;$J95&amp;"|"&amp;7,Assessments!$A$2:$A$600,0)),0)</f>
        <v>2</v>
      </c>
      <c r="DD95" s="28" t="n">
        <f aca="false">IFERROR(INDEX(Assessments!$J$2:$J$600,MATCH($H95&amp;"|"&amp;$I95&amp;"|"&amp;$J95&amp;"|"&amp;8,Assessments!$A$2:$A$600,0)),0)</f>
        <v>0</v>
      </c>
      <c r="DE95" s="28" t="n">
        <f aca="false">IFERROR(INDEX(Assessments!$J$2:$J$600,MATCH($H95&amp;"|"&amp;$I95&amp;"|"&amp;$J95&amp;"|"&amp;9,Assessments!$A$2:$A$600,0)),0)</f>
        <v>0</v>
      </c>
      <c r="DF95" s="28" t="n">
        <f aca="false">IFERROR(INDEX(Assessments!$J$2:$J$600,MATCH($H95&amp;"|"&amp;$I95&amp;"|"&amp;$J95&amp;"|"&amp;10,Assessments!$A$2:$A$600,0)),0)</f>
        <v>0</v>
      </c>
      <c r="DG95" s="28" t="n">
        <f aca="false">IFERROR(INDEX(Assessments!$J$2:$J$600,MATCH($H95&amp;"|"&amp;$I95&amp;"|"&amp;$J95&amp;"|"&amp;11,Assessments!$A$2:$A$600,0)),0)</f>
        <v>0</v>
      </c>
      <c r="DH95" s="28" t="n">
        <f aca="false">IFERROR(INDEX(Assessments!$J$2:$J$600,MATCH($H95&amp;"|"&amp;$I95&amp;"|"&amp;$J95&amp;"|"&amp;12,Assessments!$A$2:$A$600,0)),0)</f>
        <v>0</v>
      </c>
      <c r="DI95" s="28" t="n">
        <f aca="false">IFERROR(INDEX(Assessments!$J$2:$J$600,MATCH($H95&amp;"|"&amp;$I95&amp;"|"&amp;$J95&amp;"|"&amp;13,Assessments!$A$2:$A$600,0)),0)</f>
        <v>0</v>
      </c>
      <c r="DJ95" s="28" t="n">
        <f aca="false">IFERROR(INDEX(Assessments!$J$2:$J$600,MATCH($H95&amp;"|"&amp;$I95&amp;"|"&amp;$J95&amp;"|"&amp;14,Assessments!$A$2:$A$600,0)),0)</f>
        <v>0</v>
      </c>
      <c r="DK95" s="28" t="n">
        <f aca="false">S95</f>
        <v>5</v>
      </c>
      <c r="DL95" s="28" t="n">
        <f aca="false">W95</f>
        <v>6</v>
      </c>
      <c r="DM95" s="28" t="n">
        <f aca="false">AA95</f>
        <v>4</v>
      </c>
      <c r="DN95" s="28" t="n">
        <f aca="false">AE95</f>
        <v>5</v>
      </c>
      <c r="DO95" s="28" t="str">
        <f aca="false">AI95</f>
        <v/>
      </c>
      <c r="DP95" s="28" t="str">
        <f aca="false">AM95</f>
        <v/>
      </c>
      <c r="DQ95" s="28" t="str">
        <f aca="false">AQ95</f>
        <v/>
      </c>
      <c r="DR95" s="28" t="str">
        <f aca="false">AU95</f>
        <v/>
      </c>
      <c r="DS95" s="28" t="str">
        <f aca="false">AY95</f>
        <v/>
      </c>
      <c r="DT95" s="28" t="str">
        <f aca="false">BC95</f>
        <v/>
      </c>
      <c r="DU95" s="28" t="str">
        <f aca="false">BG95</f>
        <v/>
      </c>
      <c r="DV95" s="28" t="str">
        <f aca="false">BK95</f>
        <v/>
      </c>
      <c r="DW95" s="28" t="str">
        <f aca="false">BO95</f>
        <v/>
      </c>
      <c r="DX95" s="28" t="str">
        <f aca="false">BS95</f>
        <v/>
      </c>
      <c r="DY95" s="28" t="n">
        <f aca="false">IF(ISNUMBER(S95),1,"")</f>
        <v>1</v>
      </c>
      <c r="DZ95" s="28" t="n">
        <f aca="false">IF(ISNUMBER(W95),2,"")</f>
        <v>2</v>
      </c>
      <c r="EA95" s="28" t="n">
        <f aca="false">IF(ISNUMBER(AA95),3,"")</f>
        <v>3</v>
      </c>
      <c r="EB95" s="28" t="n">
        <f aca="false">IF(ISNUMBER(AE95),4,"")</f>
        <v>4</v>
      </c>
      <c r="EC95" s="28" t="str">
        <f aca="false">IF(ISNUMBER(AI95),5,"")</f>
        <v/>
      </c>
      <c r="ED95" s="28" t="str">
        <f aca="false">IF(ISNUMBER(AM95),6,"")</f>
        <v/>
      </c>
      <c r="EE95" s="28" t="str">
        <f aca="false">IF(ISNUMBER(AQ95),7,"")</f>
        <v/>
      </c>
      <c r="EF95" s="28" t="str">
        <f aca="false">IF(ISNUMBER(AU95),8,"")</f>
        <v/>
      </c>
      <c r="EG95" s="28" t="str">
        <f aca="false">IF(ISNUMBER(AY95),9,"")</f>
        <v/>
      </c>
      <c r="EH95" s="28" t="str">
        <f aca="false">IF(ISNUMBER(BC95),10,"")</f>
        <v/>
      </c>
      <c r="EI95" s="28" t="str">
        <f aca="false">IF(ISNUMBER(BG95),11,"")</f>
        <v/>
      </c>
      <c r="EJ95" s="28" t="str">
        <f aca="false">IF(ISNUMBER(BK95),12,"")</f>
        <v/>
      </c>
      <c r="EK95" s="28" t="str">
        <f aca="false">IF(ISNUMBER(BO95),13,"")</f>
        <v/>
      </c>
      <c r="EL95" s="28" t="str">
        <f aca="false">IF(ISNUMBER(BS95),14,"")</f>
        <v/>
      </c>
      <c r="EM95" s="28" t="n">
        <f aca="false">IF(ISNUMBER(R95),R95*CW95,0)</f>
        <v>66.6666666666667</v>
      </c>
      <c r="EN95" s="28" t="n">
        <f aca="false">IF(ISNUMBER(V95),V95*CX95,0)</f>
        <v>75</v>
      </c>
      <c r="EO95" s="28" t="n">
        <f aca="false">IF(ISNUMBER(Z95),Z95*CY95,0)</f>
        <v>60</v>
      </c>
      <c r="EP95" s="28" t="n">
        <f aca="false">IF(ISNUMBER(AD95),AD95*CZ95,0)</f>
        <v>65.2173913043478</v>
      </c>
      <c r="EQ95" s="28" t="n">
        <f aca="false">IF(ISNUMBER(AH95),AH95*DA95,0)</f>
        <v>0</v>
      </c>
      <c r="ER95" s="28" t="n">
        <f aca="false">IF(ISNUMBER(AL95),AL95*DB95,0)</f>
        <v>0</v>
      </c>
      <c r="ES95" s="28" t="n">
        <f aca="false">IF(ISNUMBER(AP95),AP95*DC95,0)</f>
        <v>0</v>
      </c>
      <c r="ET95" s="28" t="n">
        <f aca="false">IF(ISNUMBER(AT95),AT95*DD95,0)</f>
        <v>0</v>
      </c>
      <c r="EU95" s="28" t="n">
        <f aca="false">IF(ISNUMBER(AX95),AX95*DE95,0)</f>
        <v>0</v>
      </c>
      <c r="EV95" s="28" t="n">
        <f aca="false">IF(ISNUMBER(BB95),BB95*DF95,0)</f>
        <v>0</v>
      </c>
      <c r="EW95" s="28" t="n">
        <f aca="false">IF(ISNUMBER(BF95),BF95*DG95,0)</f>
        <v>0</v>
      </c>
      <c r="EX95" s="28" t="n">
        <f aca="false">IF(ISNUMBER(BJ95),BJ95*DH95,0)</f>
        <v>0</v>
      </c>
      <c r="EY95" s="28" t="n">
        <f aca="false">IF(ISNUMBER(BN95),BN95*DI95,0)</f>
        <v>0</v>
      </c>
      <c r="EZ95" s="28" t="n">
        <f aca="false">IF(ISNUMBER(BR95),BR95*DJ95,0)</f>
        <v>0</v>
      </c>
      <c r="FA95" s="28" t="n">
        <f aca="false">IF(ISNUMBER(R95),CW95,0)</f>
        <v>1</v>
      </c>
      <c r="FB95" s="28" t="n">
        <f aca="false">IF(ISNUMBER(V95),CX95,0)</f>
        <v>1</v>
      </c>
      <c r="FC95" s="28" t="n">
        <f aca="false">IF(ISNUMBER(Z95),CY95,0)</f>
        <v>1</v>
      </c>
      <c r="FD95" s="28" t="n">
        <f aca="false">IF(ISNUMBER(AD95),CZ95,0)</f>
        <v>1</v>
      </c>
      <c r="FE95" s="28" t="n">
        <f aca="false">IF(ISNUMBER(AH95),DA95,0)</f>
        <v>0</v>
      </c>
      <c r="FF95" s="28" t="n">
        <f aca="false">IF(ISNUMBER(AL95),DB95,0)</f>
        <v>0</v>
      </c>
      <c r="FG95" s="28" t="n">
        <f aca="false">IF(ISNUMBER(AP95),DC95,0)</f>
        <v>0</v>
      </c>
      <c r="FH95" s="28" t="n">
        <f aca="false">IF(ISNUMBER(AT95),DD95,0)</f>
        <v>0</v>
      </c>
      <c r="FI95" s="28" t="n">
        <f aca="false">IF(ISNUMBER(AX95),DE95,0)</f>
        <v>0</v>
      </c>
      <c r="FJ95" s="28" t="n">
        <f aca="false">IF(ISNUMBER(BB95),DF95,0)</f>
        <v>0</v>
      </c>
      <c r="FK95" s="28" t="n">
        <f aca="false">IF(ISNUMBER(BF95),DG95,0)</f>
        <v>0</v>
      </c>
      <c r="FL95" s="28" t="n">
        <f aca="false">IF(ISNUMBER(BJ95),DH95,0)</f>
        <v>0</v>
      </c>
      <c r="FM95" s="28" t="n">
        <f aca="false">IF(ISNUMBER(BN95),DI95,0)</f>
        <v>0</v>
      </c>
      <c r="FN95" s="28" t="n">
        <f aca="false">IF(ISNUMBER(BR95),DJ95,0)</f>
        <v>0</v>
      </c>
      <c r="FO95" s="28" t="str">
        <f aca="false">IFERROR(INDEX(Lists!$G$2:$G$20,MATCH($I95&amp;"|"&amp;$J95,Lists!$F$2:$F$20,0)),"")</f>
        <v>Econ Exam</v>
      </c>
    </row>
    <row r="96" customFormat="false" ht="19.5" hidden="false" customHeight="true" outlineLevel="0" collapsed="false">
      <c r="A96" s="29" t="s">
        <v>313</v>
      </c>
      <c r="B96" s="29" t="s">
        <v>314</v>
      </c>
      <c r="C96" s="30" t="s">
        <v>152</v>
      </c>
      <c r="D96" s="30" t="s">
        <v>271</v>
      </c>
      <c r="E96" s="31"/>
      <c r="F96" s="30"/>
      <c r="G96" s="30"/>
      <c r="H96" s="32" t="s">
        <v>23</v>
      </c>
      <c r="I96" s="33" t="s">
        <v>229</v>
      </c>
      <c r="J96" s="32" t="s">
        <v>223</v>
      </c>
      <c r="K96" s="34" t="str">
        <f aca="false">IF(OR(M96="",$E96=""),"",M96-$E96)</f>
        <v/>
      </c>
      <c r="L96" s="35" t="n">
        <f aca="false">IF(SUM(FA96:FN96)=0,"",SUM(EM96:EZ96)/SUM(FA96:FN96))</f>
        <v>76.9782608695652</v>
      </c>
      <c r="M96" s="36" t="n">
        <f aca="false">IF(OR(L96="",FO96=""),"",IFERROR(MATCH(L96,INDEX(Boundaries!$B$2:$I$30,MATCH(FO96,Boundaries!$A$2:$A$30,0),0),1)-1,""))</f>
        <v>6</v>
      </c>
      <c r="N96" s="37" t="n">
        <f aca="false">IF(COUNT($DY96:$EL96)&lt;2,"",INDEX($DK96:$DX96,MAX($DY96:$EL96))-INDEX($DK96:$DX96,MIN($DY96:$EL96)))</f>
        <v>0</v>
      </c>
      <c r="O96" s="37" t="n">
        <f aca="false">IF(COUNT($DY96:$EL96)&lt;2,"",INDEX($DK96:$DX96,MAX($DY96:$EL96))-INDEX($DK96:$DX96,LARGE($DY96:$EL96,2)))</f>
        <v>-1</v>
      </c>
      <c r="P96" s="38" t="str">
        <f aca="false">IF(K96="","",IF(K96&gt;=0,"On/above target",IF(AND(N96&lt;&gt;"",N96&gt;=0.5),"Improving towards target",IF(AND(O96&lt;&gt;"",O96&lt;=-0.5),"Declining","Stable below target"))))</f>
        <v/>
      </c>
      <c r="Q96" s="39" t="n">
        <v>21</v>
      </c>
      <c r="R96" s="40" t="n">
        <f aca="false">IF(OR(Q96="",BU96=""),"",Q96/BU96*100)</f>
        <v>70</v>
      </c>
      <c r="S96" s="41" t="n">
        <f aca="false">IF(R96="","",IFERROR(MATCH(R96,INDEX(Boundaries!$B$2:$I$30,MATCH(CI96,Boundaries!$A$2:$A$30,0),0),1)-1,""))</f>
        <v>5</v>
      </c>
      <c r="T96" s="42" t="str">
        <f aca="false">IF(OR(S96="",$E96=""),"",S96-$E96)</f>
        <v/>
      </c>
      <c r="U96" s="39" t="n">
        <v>16</v>
      </c>
      <c r="V96" s="40" t="n">
        <f aca="false">IF(OR(U96="",BV96=""),"",U96/BV96*100)</f>
        <v>80</v>
      </c>
      <c r="W96" s="41" t="n">
        <f aca="false">IF(V96="","",IFERROR(MATCH(V96,INDEX(Boundaries!$B$2:$I$30,MATCH(CJ96,Boundaries!$A$2:$A$30,0),0),1)-1,""))</f>
        <v>6</v>
      </c>
      <c r="X96" s="42" t="str">
        <f aca="false">IF(OR(W96="",$E96=""),"",W96-$E96)</f>
        <v/>
      </c>
      <c r="Y96" s="39" t="n">
        <v>21</v>
      </c>
      <c r="Z96" s="40" t="n">
        <f aca="false">IF(OR(Y96="",BW96=""),"",Y96/BW96*100)</f>
        <v>84</v>
      </c>
      <c r="AA96" s="41" t="n">
        <f aca="false">IF(Z96="","",IFERROR(MATCH(Z96,INDEX(Boundaries!$B$2:$I$30,MATCH(CK96,Boundaries!$A$2:$A$30,0),0),1)-1,""))</f>
        <v>6</v>
      </c>
      <c r="AB96" s="42" t="str">
        <f aca="false">IF(OR(AA96="",$E96=""),"",AA96-$E96)</f>
        <v/>
      </c>
      <c r="AC96" s="39" t="n">
        <v>17</v>
      </c>
      <c r="AD96" s="40" t="n">
        <f aca="false">IF(OR(AC96="",BX96=""),"",AC96/BX96*100)</f>
        <v>73.9130434782609</v>
      </c>
      <c r="AE96" s="41" t="n">
        <f aca="false">IF(AD96="","",IFERROR(MATCH(AD96,INDEX(Boundaries!$B$2:$I$30,MATCH(CL96,Boundaries!$A$2:$A$30,0),0),1)-1,""))</f>
        <v>5</v>
      </c>
      <c r="AF96" s="42" t="str">
        <f aca="false">IF(OR(AE96="",$E96=""),"",AE96-$E96)</f>
        <v/>
      </c>
      <c r="AG96" s="39"/>
      <c r="AH96" s="40" t="str">
        <f aca="false">IF(OR(AG96="",BY96=""),"",AG96/BY96*100)</f>
        <v/>
      </c>
      <c r="AI96" s="41" t="str">
        <f aca="false">IF(AH96="","",IFERROR(MATCH(AH96,INDEX(Boundaries!$B$2:$I$30,MATCH(CM96,Boundaries!$A$2:$A$30,0),0),1)-1,""))</f>
        <v/>
      </c>
      <c r="AJ96" s="42" t="str">
        <f aca="false">IF(OR(AI96="",$E96=""),"",AI96-$E96)</f>
        <v/>
      </c>
      <c r="AK96" s="39"/>
      <c r="AL96" s="40" t="str">
        <f aca="false">IF(OR(AK96="",BZ96=""),"",AK96/BZ96*100)</f>
        <v/>
      </c>
      <c r="AM96" s="41" t="str">
        <f aca="false">IF(AL96="","",IFERROR(MATCH(AL96,INDEX(Boundaries!$B$2:$I$30,MATCH(CN96,Boundaries!$A$2:$A$30,0),0),1)-1,""))</f>
        <v/>
      </c>
      <c r="AN96" s="42" t="str">
        <f aca="false">IF(OR(AM96="",$E96=""),"",AM96-$E96)</f>
        <v/>
      </c>
      <c r="AO96" s="39"/>
      <c r="AP96" s="40" t="str">
        <f aca="false">IF(OR(AO96="",CA96=""),"",AO96/CA96*100)</f>
        <v/>
      </c>
      <c r="AQ96" s="41" t="str">
        <f aca="false">IF(AP96="","",IFERROR(MATCH(AP96,INDEX(Boundaries!$B$2:$I$30,MATCH(CO96,Boundaries!$A$2:$A$30,0),0),1)-1,""))</f>
        <v/>
      </c>
      <c r="AR96" s="42" t="str">
        <f aca="false">IF(OR(AQ96="",$E96=""),"",AQ96-$E96)</f>
        <v/>
      </c>
      <c r="AS96" s="39"/>
      <c r="AT96" s="40" t="str">
        <f aca="false">IF(OR(AS96="",CB96=""),"",AS96/CB96*100)</f>
        <v/>
      </c>
      <c r="AU96" s="41" t="str">
        <f aca="false">IF(AT96="","",IFERROR(MATCH(AT96,INDEX(Boundaries!$B$2:$I$30,MATCH(CP96,Boundaries!$A$2:$A$30,0),0),1)-1,""))</f>
        <v/>
      </c>
      <c r="AV96" s="42" t="str">
        <f aca="false">IF(OR(AU96="",$E96=""),"",AU96-$E96)</f>
        <v/>
      </c>
      <c r="AW96" s="39"/>
      <c r="AX96" s="40" t="str">
        <f aca="false">IF(OR(AW96="",CC96=""),"",AW96/CC96*100)</f>
        <v/>
      </c>
      <c r="AY96" s="41" t="str">
        <f aca="false">IF(AX96="","",IFERROR(MATCH(AX96,INDEX(Boundaries!$B$2:$I$30,MATCH(CQ96,Boundaries!$A$2:$A$30,0),0),1)-1,""))</f>
        <v/>
      </c>
      <c r="AZ96" s="42" t="str">
        <f aca="false">IF(OR(AY96="",$E96=""),"",AY96-$E96)</f>
        <v/>
      </c>
      <c r="BA96" s="39"/>
      <c r="BB96" s="40" t="str">
        <f aca="false">IF(OR(BA96="",CD96=""),"",BA96/CD96*100)</f>
        <v/>
      </c>
      <c r="BC96" s="41" t="str">
        <f aca="false">IF(BB96="","",IFERROR(MATCH(BB96,INDEX(Boundaries!$B$2:$I$30,MATCH(CR96,Boundaries!$A$2:$A$30,0),0),1)-1,""))</f>
        <v/>
      </c>
      <c r="BD96" s="42" t="str">
        <f aca="false">IF(OR(BC96="",$E96=""),"",BC96-$E96)</f>
        <v/>
      </c>
      <c r="BE96" s="39"/>
      <c r="BF96" s="40" t="str">
        <f aca="false">IF(OR(BE96="",CE96=""),"",BE96/CE96*100)</f>
        <v/>
      </c>
      <c r="BG96" s="41" t="str">
        <f aca="false">IF(BF96="","",IFERROR(MATCH(BF96,INDEX(Boundaries!$B$2:$I$30,MATCH(CS96,Boundaries!$A$2:$A$30,0),0),1)-1,""))</f>
        <v/>
      </c>
      <c r="BH96" s="42" t="str">
        <f aca="false">IF(OR(BG96="",$E96=""),"",BG96-$E96)</f>
        <v/>
      </c>
      <c r="BI96" s="39"/>
      <c r="BJ96" s="40" t="str">
        <f aca="false">IF(OR(BI96="",CF96=""),"",BI96/CF96*100)</f>
        <v/>
      </c>
      <c r="BK96" s="41" t="str">
        <f aca="false">IF(BJ96="","",IFERROR(MATCH(BJ96,INDEX(Boundaries!$B$2:$I$30,MATCH(CT96,Boundaries!$A$2:$A$30,0),0),1)-1,""))</f>
        <v/>
      </c>
      <c r="BL96" s="42" t="str">
        <f aca="false">IF(OR(BK96="",$E96=""),"",BK96-$E96)</f>
        <v/>
      </c>
      <c r="BM96" s="39"/>
      <c r="BN96" s="40" t="str">
        <f aca="false">IF(OR(BM96="",CG96=""),"",BM96/CG96*100)</f>
        <v/>
      </c>
      <c r="BO96" s="41" t="str">
        <f aca="false">IF(BN96="","",IFERROR(MATCH(BN96,INDEX(Boundaries!$B$2:$I$30,MATCH(CU96,Boundaries!$A$2:$A$30,0),0),1)-1,""))</f>
        <v/>
      </c>
      <c r="BP96" s="42" t="str">
        <f aca="false">IF(OR(BO96="",$E96=""),"",BO96-$E96)</f>
        <v/>
      </c>
      <c r="BQ96" s="39"/>
      <c r="BR96" s="40" t="str">
        <f aca="false">IF(OR(BQ96="",CH96=""),"",BQ96/CH96*100)</f>
        <v/>
      </c>
      <c r="BS96" s="41" t="str">
        <f aca="false">IF(BR96="","",IFERROR(MATCH(BR96,INDEX(Boundaries!$B$2:$I$30,MATCH(CV96,Boundaries!$A$2:$A$30,0),0),1)-1,""))</f>
        <v/>
      </c>
      <c r="BT96" s="42" t="str">
        <f aca="false">IF(OR(BS96="",$E96=""),"",BS96-$E96)</f>
        <v/>
      </c>
      <c r="BU96" s="28" t="n">
        <f aca="false">IFERROR(INDEX(Assessments!$H$2:$H$600,MATCH($H96&amp;"|"&amp;$I96&amp;"|"&amp;$J96&amp;"|"&amp;1,Assessments!$A$2:$A$600,0)),"")</f>
        <v>30</v>
      </c>
      <c r="BV96" s="28" t="n">
        <f aca="false">IFERROR(INDEX(Assessments!$H$2:$H$600,MATCH($H96&amp;"|"&amp;$I96&amp;"|"&amp;$J96&amp;"|"&amp;2,Assessments!$A$2:$A$600,0)),"")</f>
        <v>20</v>
      </c>
      <c r="BW96" s="28" t="n">
        <f aca="false">IFERROR(INDEX(Assessments!$H$2:$H$600,MATCH($H96&amp;"|"&amp;$I96&amp;"|"&amp;$J96&amp;"|"&amp;3,Assessments!$A$2:$A$600,0)),"")</f>
        <v>25</v>
      </c>
      <c r="BX96" s="28" t="n">
        <f aca="false">IFERROR(INDEX(Assessments!$H$2:$H$600,MATCH($H96&amp;"|"&amp;$I96&amp;"|"&amp;$J96&amp;"|"&amp;4,Assessments!$A$2:$A$600,0)),"")</f>
        <v>23</v>
      </c>
      <c r="BY96" s="28" t="n">
        <f aca="false">IFERROR(INDEX(Assessments!$H$2:$H$600,MATCH($H96&amp;"|"&amp;$I96&amp;"|"&amp;$J96&amp;"|"&amp;5,Assessments!$A$2:$A$600,0)),"")</f>
        <v>25</v>
      </c>
      <c r="BZ96" s="28" t="n">
        <f aca="false">IFERROR(INDEX(Assessments!$H$2:$H$600,MATCH($H96&amp;"|"&amp;$I96&amp;"|"&amp;$J96&amp;"|"&amp;6,Assessments!$A$2:$A$600,0)),"")</f>
        <v>15</v>
      </c>
      <c r="CA96" s="28" t="n">
        <f aca="false">IFERROR(INDEX(Assessments!$H$2:$H$600,MATCH($H96&amp;"|"&amp;$I96&amp;"|"&amp;$J96&amp;"|"&amp;7,Assessments!$A$2:$A$600,0)),"")</f>
        <v>52</v>
      </c>
      <c r="CB96" s="28" t="str">
        <f aca="false">IFERROR(INDEX(Assessments!$H$2:$H$600,MATCH($H96&amp;"|"&amp;$I96&amp;"|"&amp;$J96&amp;"|"&amp;8,Assessments!$A$2:$A$600,0)),"")</f>
        <v/>
      </c>
      <c r="CC96" s="28" t="str">
        <f aca="false">IFERROR(INDEX(Assessments!$H$2:$H$600,MATCH($H96&amp;"|"&amp;$I96&amp;"|"&amp;$J96&amp;"|"&amp;9,Assessments!$A$2:$A$600,0)),"")</f>
        <v/>
      </c>
      <c r="CD96" s="28" t="str">
        <f aca="false">IFERROR(INDEX(Assessments!$H$2:$H$600,MATCH($H96&amp;"|"&amp;$I96&amp;"|"&amp;$J96&amp;"|"&amp;10,Assessments!$A$2:$A$600,0)),"")</f>
        <v/>
      </c>
      <c r="CE96" s="28" t="str">
        <f aca="false">IFERROR(INDEX(Assessments!$H$2:$H$600,MATCH($H96&amp;"|"&amp;$I96&amp;"|"&amp;$J96&amp;"|"&amp;11,Assessments!$A$2:$A$600,0)),"")</f>
        <v/>
      </c>
      <c r="CF96" s="28" t="str">
        <f aca="false">IFERROR(INDEX(Assessments!$H$2:$H$600,MATCH($H96&amp;"|"&amp;$I96&amp;"|"&amp;$J96&amp;"|"&amp;12,Assessments!$A$2:$A$600,0)),"")</f>
        <v/>
      </c>
      <c r="CG96" s="28" t="str">
        <f aca="false">IFERROR(INDEX(Assessments!$H$2:$H$600,MATCH($H96&amp;"|"&amp;$I96&amp;"|"&amp;$J96&amp;"|"&amp;13,Assessments!$A$2:$A$600,0)),"")</f>
        <v/>
      </c>
      <c r="CH96" s="28" t="str">
        <f aca="false">IFERROR(INDEX(Assessments!$H$2:$H$600,MATCH($H96&amp;"|"&amp;$I96&amp;"|"&amp;$J96&amp;"|"&amp;14,Assessments!$A$2:$A$600,0)),"")</f>
        <v/>
      </c>
      <c r="CI96" s="28" t="str">
        <f aca="false">IFERROR(INDEX(Assessments!$I$2:$I$600,MATCH($H96&amp;"|"&amp;$I96&amp;"|"&amp;$J96&amp;"|"&amp;1,Assessments!$A$2:$A$600,0)),"")</f>
        <v>Econ Test</v>
      </c>
      <c r="CJ96" s="28" t="str">
        <f aca="false">IFERROR(INDEX(Assessments!$I$2:$I$600,MATCH($H96&amp;"|"&amp;$I96&amp;"|"&amp;$J96&amp;"|"&amp;2,Assessments!$A$2:$A$600,0)),"")</f>
        <v>Econ Test</v>
      </c>
      <c r="CK96" s="28" t="str">
        <f aca="false">IFERROR(INDEX(Assessments!$I$2:$I$600,MATCH($H96&amp;"|"&amp;$I96&amp;"|"&amp;$J96&amp;"|"&amp;3,Assessments!$A$2:$A$600,0)),"")</f>
        <v>Econ Test</v>
      </c>
      <c r="CL96" s="28" t="str">
        <f aca="false">IFERROR(INDEX(Assessments!$I$2:$I$600,MATCH($H96&amp;"|"&amp;$I96&amp;"|"&amp;$J96&amp;"|"&amp;4,Assessments!$A$2:$A$600,0)),"")</f>
        <v>Econ Test</v>
      </c>
      <c r="CM96" s="28" t="str">
        <f aca="false">IFERROR(INDEX(Assessments!$I$2:$I$600,MATCH($H96&amp;"|"&amp;$I96&amp;"|"&amp;$J96&amp;"|"&amp;5,Assessments!$A$2:$A$600,0)),"")</f>
        <v>Econ Exam</v>
      </c>
      <c r="CN96" s="28" t="str">
        <f aca="false">IFERROR(INDEX(Assessments!$I$2:$I$600,MATCH($H96&amp;"|"&amp;$I96&amp;"|"&amp;$J96&amp;"|"&amp;6,Assessments!$A$2:$A$600,0)),"")</f>
        <v>Econ Test</v>
      </c>
      <c r="CO96" s="28" t="str">
        <f aca="false">IFERROR(INDEX(Assessments!$I$2:$I$600,MATCH($H96&amp;"|"&amp;$I96&amp;"|"&amp;$J96&amp;"|"&amp;7,Assessments!$A$2:$A$600,0)),"")</f>
        <v>Econ Exam</v>
      </c>
      <c r="CP96" s="28" t="str">
        <f aca="false">IFERROR(INDEX(Assessments!$I$2:$I$600,MATCH($H96&amp;"|"&amp;$I96&amp;"|"&amp;$J96&amp;"|"&amp;8,Assessments!$A$2:$A$600,0)),"")</f>
        <v/>
      </c>
      <c r="CQ96" s="28" t="str">
        <f aca="false">IFERROR(INDEX(Assessments!$I$2:$I$600,MATCH($H96&amp;"|"&amp;$I96&amp;"|"&amp;$J96&amp;"|"&amp;9,Assessments!$A$2:$A$600,0)),"")</f>
        <v/>
      </c>
      <c r="CR96" s="28" t="str">
        <f aca="false">IFERROR(INDEX(Assessments!$I$2:$I$600,MATCH($H96&amp;"|"&amp;$I96&amp;"|"&amp;$J96&amp;"|"&amp;10,Assessments!$A$2:$A$600,0)),"")</f>
        <v/>
      </c>
      <c r="CS96" s="28" t="str">
        <f aca="false">IFERROR(INDEX(Assessments!$I$2:$I$600,MATCH($H96&amp;"|"&amp;$I96&amp;"|"&amp;$J96&amp;"|"&amp;11,Assessments!$A$2:$A$600,0)),"")</f>
        <v/>
      </c>
      <c r="CT96" s="28" t="str">
        <f aca="false">IFERROR(INDEX(Assessments!$I$2:$I$600,MATCH($H96&amp;"|"&amp;$I96&amp;"|"&amp;$J96&amp;"|"&amp;12,Assessments!$A$2:$A$600,0)),"")</f>
        <v/>
      </c>
      <c r="CU96" s="28" t="str">
        <f aca="false">IFERROR(INDEX(Assessments!$I$2:$I$600,MATCH($H96&amp;"|"&amp;$I96&amp;"|"&amp;$J96&amp;"|"&amp;13,Assessments!$A$2:$A$600,0)),"")</f>
        <v/>
      </c>
      <c r="CV96" s="28" t="str">
        <f aca="false">IFERROR(INDEX(Assessments!$I$2:$I$600,MATCH($H96&amp;"|"&amp;$I96&amp;"|"&amp;$J96&amp;"|"&amp;14,Assessments!$A$2:$A$600,0)),"")</f>
        <v/>
      </c>
      <c r="CW96" s="28" t="n">
        <f aca="false">IFERROR(INDEX(Assessments!$J$2:$J$600,MATCH($H96&amp;"|"&amp;$I96&amp;"|"&amp;$J96&amp;"|"&amp;1,Assessments!$A$2:$A$600,0)),0)</f>
        <v>1</v>
      </c>
      <c r="CX96" s="28" t="n">
        <f aca="false">IFERROR(INDEX(Assessments!$J$2:$J$600,MATCH($H96&amp;"|"&amp;$I96&amp;"|"&amp;$J96&amp;"|"&amp;2,Assessments!$A$2:$A$600,0)),0)</f>
        <v>1</v>
      </c>
      <c r="CY96" s="28" t="n">
        <f aca="false">IFERROR(INDEX(Assessments!$J$2:$J$600,MATCH($H96&amp;"|"&amp;$I96&amp;"|"&amp;$J96&amp;"|"&amp;3,Assessments!$A$2:$A$600,0)),0)</f>
        <v>1</v>
      </c>
      <c r="CZ96" s="28" t="n">
        <f aca="false">IFERROR(INDEX(Assessments!$J$2:$J$600,MATCH($H96&amp;"|"&amp;$I96&amp;"|"&amp;$J96&amp;"|"&amp;4,Assessments!$A$2:$A$600,0)),0)</f>
        <v>1</v>
      </c>
      <c r="DA96" s="28" t="n">
        <f aca="false">IFERROR(INDEX(Assessments!$J$2:$J$600,MATCH($H96&amp;"|"&amp;$I96&amp;"|"&amp;$J96&amp;"|"&amp;5,Assessments!$A$2:$A$600,0)),0)</f>
        <v>2</v>
      </c>
      <c r="DB96" s="28" t="n">
        <f aca="false">IFERROR(INDEX(Assessments!$J$2:$J$600,MATCH($H96&amp;"|"&amp;$I96&amp;"|"&amp;$J96&amp;"|"&amp;6,Assessments!$A$2:$A$600,0)),0)</f>
        <v>1</v>
      </c>
      <c r="DC96" s="28" t="n">
        <f aca="false">IFERROR(INDEX(Assessments!$J$2:$J$600,MATCH($H96&amp;"|"&amp;$I96&amp;"|"&amp;$J96&amp;"|"&amp;7,Assessments!$A$2:$A$600,0)),0)</f>
        <v>2</v>
      </c>
      <c r="DD96" s="28" t="n">
        <f aca="false">IFERROR(INDEX(Assessments!$J$2:$J$600,MATCH($H96&amp;"|"&amp;$I96&amp;"|"&amp;$J96&amp;"|"&amp;8,Assessments!$A$2:$A$600,0)),0)</f>
        <v>0</v>
      </c>
      <c r="DE96" s="28" t="n">
        <f aca="false">IFERROR(INDEX(Assessments!$J$2:$J$600,MATCH($H96&amp;"|"&amp;$I96&amp;"|"&amp;$J96&amp;"|"&amp;9,Assessments!$A$2:$A$600,0)),0)</f>
        <v>0</v>
      </c>
      <c r="DF96" s="28" t="n">
        <f aca="false">IFERROR(INDEX(Assessments!$J$2:$J$600,MATCH($H96&amp;"|"&amp;$I96&amp;"|"&amp;$J96&amp;"|"&amp;10,Assessments!$A$2:$A$600,0)),0)</f>
        <v>0</v>
      </c>
      <c r="DG96" s="28" t="n">
        <f aca="false">IFERROR(INDEX(Assessments!$J$2:$J$600,MATCH($H96&amp;"|"&amp;$I96&amp;"|"&amp;$J96&amp;"|"&amp;11,Assessments!$A$2:$A$600,0)),0)</f>
        <v>0</v>
      </c>
      <c r="DH96" s="28" t="n">
        <f aca="false">IFERROR(INDEX(Assessments!$J$2:$J$600,MATCH($H96&amp;"|"&amp;$I96&amp;"|"&amp;$J96&amp;"|"&amp;12,Assessments!$A$2:$A$600,0)),0)</f>
        <v>0</v>
      </c>
      <c r="DI96" s="28" t="n">
        <f aca="false">IFERROR(INDEX(Assessments!$J$2:$J$600,MATCH($H96&amp;"|"&amp;$I96&amp;"|"&amp;$J96&amp;"|"&amp;13,Assessments!$A$2:$A$600,0)),0)</f>
        <v>0</v>
      </c>
      <c r="DJ96" s="28" t="n">
        <f aca="false">IFERROR(INDEX(Assessments!$J$2:$J$600,MATCH($H96&amp;"|"&amp;$I96&amp;"|"&amp;$J96&amp;"|"&amp;14,Assessments!$A$2:$A$600,0)),0)</f>
        <v>0</v>
      </c>
      <c r="DK96" s="28" t="n">
        <f aca="false">S96</f>
        <v>5</v>
      </c>
      <c r="DL96" s="28" t="n">
        <f aca="false">W96</f>
        <v>6</v>
      </c>
      <c r="DM96" s="28" t="n">
        <f aca="false">AA96</f>
        <v>6</v>
      </c>
      <c r="DN96" s="28" t="n">
        <f aca="false">AE96</f>
        <v>5</v>
      </c>
      <c r="DO96" s="28" t="str">
        <f aca="false">AI96</f>
        <v/>
      </c>
      <c r="DP96" s="28" t="str">
        <f aca="false">AM96</f>
        <v/>
      </c>
      <c r="DQ96" s="28" t="str">
        <f aca="false">AQ96</f>
        <v/>
      </c>
      <c r="DR96" s="28" t="str">
        <f aca="false">AU96</f>
        <v/>
      </c>
      <c r="DS96" s="28" t="str">
        <f aca="false">AY96</f>
        <v/>
      </c>
      <c r="DT96" s="28" t="str">
        <f aca="false">BC96</f>
        <v/>
      </c>
      <c r="DU96" s="28" t="str">
        <f aca="false">BG96</f>
        <v/>
      </c>
      <c r="DV96" s="28" t="str">
        <f aca="false">BK96</f>
        <v/>
      </c>
      <c r="DW96" s="28" t="str">
        <f aca="false">BO96</f>
        <v/>
      </c>
      <c r="DX96" s="28" t="str">
        <f aca="false">BS96</f>
        <v/>
      </c>
      <c r="DY96" s="28" t="n">
        <f aca="false">IF(ISNUMBER(S96),1,"")</f>
        <v>1</v>
      </c>
      <c r="DZ96" s="28" t="n">
        <f aca="false">IF(ISNUMBER(W96),2,"")</f>
        <v>2</v>
      </c>
      <c r="EA96" s="28" t="n">
        <f aca="false">IF(ISNUMBER(AA96),3,"")</f>
        <v>3</v>
      </c>
      <c r="EB96" s="28" t="n">
        <f aca="false">IF(ISNUMBER(AE96),4,"")</f>
        <v>4</v>
      </c>
      <c r="EC96" s="28" t="str">
        <f aca="false">IF(ISNUMBER(AI96),5,"")</f>
        <v/>
      </c>
      <c r="ED96" s="28" t="str">
        <f aca="false">IF(ISNUMBER(AM96),6,"")</f>
        <v/>
      </c>
      <c r="EE96" s="28" t="str">
        <f aca="false">IF(ISNUMBER(AQ96),7,"")</f>
        <v/>
      </c>
      <c r="EF96" s="28" t="str">
        <f aca="false">IF(ISNUMBER(AU96),8,"")</f>
        <v/>
      </c>
      <c r="EG96" s="28" t="str">
        <f aca="false">IF(ISNUMBER(AY96),9,"")</f>
        <v/>
      </c>
      <c r="EH96" s="28" t="str">
        <f aca="false">IF(ISNUMBER(BC96),10,"")</f>
        <v/>
      </c>
      <c r="EI96" s="28" t="str">
        <f aca="false">IF(ISNUMBER(BG96),11,"")</f>
        <v/>
      </c>
      <c r="EJ96" s="28" t="str">
        <f aca="false">IF(ISNUMBER(BK96),12,"")</f>
        <v/>
      </c>
      <c r="EK96" s="28" t="str">
        <f aca="false">IF(ISNUMBER(BO96),13,"")</f>
        <v/>
      </c>
      <c r="EL96" s="28" t="str">
        <f aca="false">IF(ISNUMBER(BS96),14,"")</f>
        <v/>
      </c>
      <c r="EM96" s="28" t="n">
        <f aca="false">IF(ISNUMBER(R96),R96*CW96,0)</f>
        <v>70</v>
      </c>
      <c r="EN96" s="28" t="n">
        <f aca="false">IF(ISNUMBER(V96),V96*CX96,0)</f>
        <v>80</v>
      </c>
      <c r="EO96" s="28" t="n">
        <f aca="false">IF(ISNUMBER(Z96),Z96*CY96,0)</f>
        <v>84</v>
      </c>
      <c r="EP96" s="28" t="n">
        <f aca="false">IF(ISNUMBER(AD96),AD96*CZ96,0)</f>
        <v>73.9130434782609</v>
      </c>
      <c r="EQ96" s="28" t="n">
        <f aca="false">IF(ISNUMBER(AH96),AH96*DA96,0)</f>
        <v>0</v>
      </c>
      <c r="ER96" s="28" t="n">
        <f aca="false">IF(ISNUMBER(AL96),AL96*DB96,0)</f>
        <v>0</v>
      </c>
      <c r="ES96" s="28" t="n">
        <f aca="false">IF(ISNUMBER(AP96),AP96*DC96,0)</f>
        <v>0</v>
      </c>
      <c r="ET96" s="28" t="n">
        <f aca="false">IF(ISNUMBER(AT96),AT96*DD96,0)</f>
        <v>0</v>
      </c>
      <c r="EU96" s="28" t="n">
        <f aca="false">IF(ISNUMBER(AX96),AX96*DE96,0)</f>
        <v>0</v>
      </c>
      <c r="EV96" s="28" t="n">
        <f aca="false">IF(ISNUMBER(BB96),BB96*DF96,0)</f>
        <v>0</v>
      </c>
      <c r="EW96" s="28" t="n">
        <f aca="false">IF(ISNUMBER(BF96),BF96*DG96,0)</f>
        <v>0</v>
      </c>
      <c r="EX96" s="28" t="n">
        <f aca="false">IF(ISNUMBER(BJ96),BJ96*DH96,0)</f>
        <v>0</v>
      </c>
      <c r="EY96" s="28" t="n">
        <f aca="false">IF(ISNUMBER(BN96),BN96*DI96,0)</f>
        <v>0</v>
      </c>
      <c r="EZ96" s="28" t="n">
        <f aca="false">IF(ISNUMBER(BR96),BR96*DJ96,0)</f>
        <v>0</v>
      </c>
      <c r="FA96" s="28" t="n">
        <f aca="false">IF(ISNUMBER(R96),CW96,0)</f>
        <v>1</v>
      </c>
      <c r="FB96" s="28" t="n">
        <f aca="false">IF(ISNUMBER(V96),CX96,0)</f>
        <v>1</v>
      </c>
      <c r="FC96" s="28" t="n">
        <f aca="false">IF(ISNUMBER(Z96),CY96,0)</f>
        <v>1</v>
      </c>
      <c r="FD96" s="28" t="n">
        <f aca="false">IF(ISNUMBER(AD96),CZ96,0)</f>
        <v>1</v>
      </c>
      <c r="FE96" s="28" t="n">
        <f aca="false">IF(ISNUMBER(AH96),DA96,0)</f>
        <v>0</v>
      </c>
      <c r="FF96" s="28" t="n">
        <f aca="false">IF(ISNUMBER(AL96),DB96,0)</f>
        <v>0</v>
      </c>
      <c r="FG96" s="28" t="n">
        <f aca="false">IF(ISNUMBER(AP96),DC96,0)</f>
        <v>0</v>
      </c>
      <c r="FH96" s="28" t="n">
        <f aca="false">IF(ISNUMBER(AT96),DD96,0)</f>
        <v>0</v>
      </c>
      <c r="FI96" s="28" t="n">
        <f aca="false">IF(ISNUMBER(AX96),DE96,0)</f>
        <v>0</v>
      </c>
      <c r="FJ96" s="28" t="n">
        <f aca="false">IF(ISNUMBER(BB96),DF96,0)</f>
        <v>0</v>
      </c>
      <c r="FK96" s="28" t="n">
        <f aca="false">IF(ISNUMBER(BF96),DG96,0)</f>
        <v>0</v>
      </c>
      <c r="FL96" s="28" t="n">
        <f aca="false">IF(ISNUMBER(BJ96),DH96,0)</f>
        <v>0</v>
      </c>
      <c r="FM96" s="28" t="n">
        <f aca="false">IF(ISNUMBER(BN96),DI96,0)</f>
        <v>0</v>
      </c>
      <c r="FN96" s="28" t="n">
        <f aca="false">IF(ISNUMBER(BR96),DJ96,0)</f>
        <v>0</v>
      </c>
      <c r="FO96" s="28" t="str">
        <f aca="false">IFERROR(INDEX(Lists!$G$2:$G$20,MATCH($I96&amp;"|"&amp;$J96,Lists!$F$2:$F$20,0)),"")</f>
        <v>Econ Exam</v>
      </c>
    </row>
    <row r="97" customFormat="false" ht="19.5" hidden="false" customHeight="true" outlineLevel="0" collapsed="false">
      <c r="A97" s="29" t="s">
        <v>315</v>
      </c>
      <c r="B97" s="29" t="s">
        <v>316</v>
      </c>
      <c r="C97" s="30" t="s">
        <v>152</v>
      </c>
      <c r="D97" s="30" t="s">
        <v>271</v>
      </c>
      <c r="E97" s="31" t="n">
        <v>6.2</v>
      </c>
      <c r="F97" s="30" t="n">
        <v>7</v>
      </c>
      <c r="G97" s="30"/>
      <c r="H97" s="32" t="s">
        <v>23</v>
      </c>
      <c r="I97" s="33" t="s">
        <v>229</v>
      </c>
      <c r="J97" s="32" t="s">
        <v>223</v>
      </c>
      <c r="K97" s="34" t="n">
        <f aca="false">IF(OR(M97="",$E97=""),"",M97-$E97)</f>
        <v>-0.2</v>
      </c>
      <c r="L97" s="35" t="n">
        <f aca="false">IF(SUM(FA97:FN97)=0,"",SUM(EM97:EZ97)/SUM(FA97:FN97))</f>
        <v>77.1521739130435</v>
      </c>
      <c r="M97" s="36" t="n">
        <f aca="false">IF(OR(L97="",FO97=""),"",IFERROR(MATCH(L97,INDEX(Boundaries!$B$2:$I$30,MATCH(FO97,Boundaries!$A$2:$A$30,0),0),1)-1,""))</f>
        <v>6</v>
      </c>
      <c r="N97" s="37" t="n">
        <f aca="false">IF(COUNT($DY97:$EL97)&lt;2,"",INDEX($DK97:$DX97,MAX($DY97:$EL97))-INDEX($DK97:$DX97,MIN($DY97:$EL97)))</f>
        <v>1</v>
      </c>
      <c r="O97" s="37" t="n">
        <f aca="false">IF(COUNT($DY97:$EL97)&lt;2,"",INDEX($DK97:$DX97,MAX($DY97:$EL97))-INDEX($DK97:$DX97,LARGE($DY97:$EL97,2)))</f>
        <v>2</v>
      </c>
      <c r="P97" s="38" t="str">
        <f aca="false">IF(K97="","",IF(K97&gt;=0,"On/above target",IF(AND(N97&lt;&gt;"",N97&gt;=0.5),"Improving towards target",IF(AND(O97&lt;&gt;"",O97&lt;=-0.5),"Declining","Stable below target"))))</f>
        <v>Improving towards target</v>
      </c>
      <c r="Q97" s="39" t="n">
        <v>21</v>
      </c>
      <c r="R97" s="40" t="n">
        <f aca="false">IF(OR(Q97="",BU97=""),"",Q97/BU97*100)</f>
        <v>70</v>
      </c>
      <c r="S97" s="41" t="n">
        <f aca="false">IF(R97="","",IFERROR(MATCH(R97,INDEX(Boundaries!$B$2:$I$30,MATCH(CI97,Boundaries!$A$2:$A$30,0),0),1)-1,""))</f>
        <v>5</v>
      </c>
      <c r="T97" s="42" t="n">
        <f aca="false">IF(OR(S97="",$E97=""),"",S97-$E97)</f>
        <v>-1.2</v>
      </c>
      <c r="U97" s="39" t="n">
        <v>20</v>
      </c>
      <c r="V97" s="40" t="n">
        <f aca="false">IF(OR(U97="",BV97=""),"",U97/BV97*100)</f>
        <v>100</v>
      </c>
      <c r="W97" s="41" t="n">
        <f aca="false">IF(V97="","",IFERROR(MATCH(V97,INDEX(Boundaries!$B$2:$I$30,MATCH(CJ97,Boundaries!$A$2:$A$30,0),0),1)-1,""))</f>
        <v>7</v>
      </c>
      <c r="X97" s="42" t="n">
        <f aca="false">IF(OR(W97="",$E97=""),"",W97-$E97)</f>
        <v>0.8</v>
      </c>
      <c r="Y97" s="39" t="n">
        <v>14</v>
      </c>
      <c r="Z97" s="40" t="n">
        <f aca="false">IF(OR(Y97="",BW97=""),"",Y97/BW97*100)</f>
        <v>56</v>
      </c>
      <c r="AA97" s="41" t="n">
        <f aca="false">IF(Z97="","",IFERROR(MATCH(Z97,INDEX(Boundaries!$B$2:$I$30,MATCH(CK97,Boundaries!$A$2:$A$30,0),0),1)-1,""))</f>
        <v>4</v>
      </c>
      <c r="AB97" s="42" t="n">
        <f aca="false">IF(OR(AA97="",$E97=""),"",AA97-$E97)</f>
        <v>-2.2</v>
      </c>
      <c r="AC97" s="39" t="n">
        <v>19</v>
      </c>
      <c r="AD97" s="40" t="n">
        <f aca="false">IF(OR(AC97="",BX97=""),"",AC97/BX97*100)</f>
        <v>82.6086956521739</v>
      </c>
      <c r="AE97" s="41" t="n">
        <f aca="false">IF(AD97="","",IFERROR(MATCH(AD97,INDEX(Boundaries!$B$2:$I$30,MATCH(CL97,Boundaries!$A$2:$A$30,0),0),1)-1,""))</f>
        <v>6</v>
      </c>
      <c r="AF97" s="42" t="n">
        <f aca="false">IF(OR(AE97="",$E97=""),"",AE97-$E97)</f>
        <v>-0.2</v>
      </c>
      <c r="AG97" s="39"/>
      <c r="AH97" s="40" t="str">
        <f aca="false">IF(OR(AG97="",BY97=""),"",AG97/BY97*100)</f>
        <v/>
      </c>
      <c r="AI97" s="41" t="str">
        <f aca="false">IF(AH97="","",IFERROR(MATCH(AH97,INDEX(Boundaries!$B$2:$I$30,MATCH(CM97,Boundaries!$A$2:$A$30,0),0),1)-1,""))</f>
        <v/>
      </c>
      <c r="AJ97" s="42" t="str">
        <f aca="false">IF(OR(AI97="",$E97=""),"",AI97-$E97)</f>
        <v/>
      </c>
      <c r="AK97" s="39"/>
      <c r="AL97" s="40" t="str">
        <f aca="false">IF(OR(AK97="",BZ97=""),"",AK97/BZ97*100)</f>
        <v/>
      </c>
      <c r="AM97" s="41" t="str">
        <f aca="false">IF(AL97="","",IFERROR(MATCH(AL97,INDEX(Boundaries!$B$2:$I$30,MATCH(CN97,Boundaries!$A$2:$A$30,0),0),1)-1,""))</f>
        <v/>
      </c>
      <c r="AN97" s="42" t="str">
        <f aca="false">IF(OR(AM97="",$E97=""),"",AM97-$E97)</f>
        <v/>
      </c>
      <c r="AO97" s="39"/>
      <c r="AP97" s="40" t="str">
        <f aca="false">IF(OR(AO97="",CA97=""),"",AO97/CA97*100)</f>
        <v/>
      </c>
      <c r="AQ97" s="41" t="str">
        <f aca="false">IF(AP97="","",IFERROR(MATCH(AP97,INDEX(Boundaries!$B$2:$I$30,MATCH(CO97,Boundaries!$A$2:$A$30,0),0),1)-1,""))</f>
        <v/>
      </c>
      <c r="AR97" s="42" t="str">
        <f aca="false">IF(OR(AQ97="",$E97=""),"",AQ97-$E97)</f>
        <v/>
      </c>
      <c r="AS97" s="39"/>
      <c r="AT97" s="40" t="str">
        <f aca="false">IF(OR(AS97="",CB97=""),"",AS97/CB97*100)</f>
        <v/>
      </c>
      <c r="AU97" s="41" t="str">
        <f aca="false">IF(AT97="","",IFERROR(MATCH(AT97,INDEX(Boundaries!$B$2:$I$30,MATCH(CP97,Boundaries!$A$2:$A$30,0),0),1)-1,""))</f>
        <v/>
      </c>
      <c r="AV97" s="42" t="str">
        <f aca="false">IF(OR(AU97="",$E97=""),"",AU97-$E97)</f>
        <v/>
      </c>
      <c r="AW97" s="39"/>
      <c r="AX97" s="40" t="str">
        <f aca="false">IF(OR(AW97="",CC97=""),"",AW97/CC97*100)</f>
        <v/>
      </c>
      <c r="AY97" s="41" t="str">
        <f aca="false">IF(AX97="","",IFERROR(MATCH(AX97,INDEX(Boundaries!$B$2:$I$30,MATCH(CQ97,Boundaries!$A$2:$A$30,0),0),1)-1,""))</f>
        <v/>
      </c>
      <c r="AZ97" s="42" t="str">
        <f aca="false">IF(OR(AY97="",$E97=""),"",AY97-$E97)</f>
        <v/>
      </c>
      <c r="BA97" s="39"/>
      <c r="BB97" s="40" t="str">
        <f aca="false">IF(OR(BA97="",CD97=""),"",BA97/CD97*100)</f>
        <v/>
      </c>
      <c r="BC97" s="41" t="str">
        <f aca="false">IF(BB97="","",IFERROR(MATCH(BB97,INDEX(Boundaries!$B$2:$I$30,MATCH(CR97,Boundaries!$A$2:$A$30,0),0),1)-1,""))</f>
        <v/>
      </c>
      <c r="BD97" s="42" t="str">
        <f aca="false">IF(OR(BC97="",$E97=""),"",BC97-$E97)</f>
        <v/>
      </c>
      <c r="BE97" s="39"/>
      <c r="BF97" s="40" t="str">
        <f aca="false">IF(OR(BE97="",CE97=""),"",BE97/CE97*100)</f>
        <v/>
      </c>
      <c r="BG97" s="41" t="str">
        <f aca="false">IF(BF97="","",IFERROR(MATCH(BF97,INDEX(Boundaries!$B$2:$I$30,MATCH(CS97,Boundaries!$A$2:$A$30,0),0),1)-1,""))</f>
        <v/>
      </c>
      <c r="BH97" s="42" t="str">
        <f aca="false">IF(OR(BG97="",$E97=""),"",BG97-$E97)</f>
        <v/>
      </c>
      <c r="BI97" s="39"/>
      <c r="BJ97" s="40" t="str">
        <f aca="false">IF(OR(BI97="",CF97=""),"",BI97/CF97*100)</f>
        <v/>
      </c>
      <c r="BK97" s="41" t="str">
        <f aca="false">IF(BJ97="","",IFERROR(MATCH(BJ97,INDEX(Boundaries!$B$2:$I$30,MATCH(CT97,Boundaries!$A$2:$A$30,0),0),1)-1,""))</f>
        <v/>
      </c>
      <c r="BL97" s="42" t="str">
        <f aca="false">IF(OR(BK97="",$E97=""),"",BK97-$E97)</f>
        <v/>
      </c>
      <c r="BM97" s="39"/>
      <c r="BN97" s="40" t="str">
        <f aca="false">IF(OR(BM97="",CG97=""),"",BM97/CG97*100)</f>
        <v/>
      </c>
      <c r="BO97" s="41" t="str">
        <f aca="false">IF(BN97="","",IFERROR(MATCH(BN97,INDEX(Boundaries!$B$2:$I$30,MATCH(CU97,Boundaries!$A$2:$A$30,0),0),1)-1,""))</f>
        <v/>
      </c>
      <c r="BP97" s="42" t="str">
        <f aca="false">IF(OR(BO97="",$E97=""),"",BO97-$E97)</f>
        <v/>
      </c>
      <c r="BQ97" s="39"/>
      <c r="BR97" s="40" t="str">
        <f aca="false">IF(OR(BQ97="",CH97=""),"",BQ97/CH97*100)</f>
        <v/>
      </c>
      <c r="BS97" s="41" t="str">
        <f aca="false">IF(BR97="","",IFERROR(MATCH(BR97,INDEX(Boundaries!$B$2:$I$30,MATCH(CV97,Boundaries!$A$2:$A$30,0),0),1)-1,""))</f>
        <v/>
      </c>
      <c r="BT97" s="42" t="str">
        <f aca="false">IF(OR(BS97="",$E97=""),"",BS97-$E97)</f>
        <v/>
      </c>
      <c r="BU97" s="28" t="n">
        <f aca="false">IFERROR(INDEX(Assessments!$H$2:$H$600,MATCH($H97&amp;"|"&amp;$I97&amp;"|"&amp;$J97&amp;"|"&amp;1,Assessments!$A$2:$A$600,0)),"")</f>
        <v>30</v>
      </c>
      <c r="BV97" s="28" t="n">
        <f aca="false">IFERROR(INDEX(Assessments!$H$2:$H$600,MATCH($H97&amp;"|"&amp;$I97&amp;"|"&amp;$J97&amp;"|"&amp;2,Assessments!$A$2:$A$600,0)),"")</f>
        <v>20</v>
      </c>
      <c r="BW97" s="28" t="n">
        <f aca="false">IFERROR(INDEX(Assessments!$H$2:$H$600,MATCH($H97&amp;"|"&amp;$I97&amp;"|"&amp;$J97&amp;"|"&amp;3,Assessments!$A$2:$A$600,0)),"")</f>
        <v>25</v>
      </c>
      <c r="BX97" s="28" t="n">
        <f aca="false">IFERROR(INDEX(Assessments!$H$2:$H$600,MATCH($H97&amp;"|"&amp;$I97&amp;"|"&amp;$J97&amp;"|"&amp;4,Assessments!$A$2:$A$600,0)),"")</f>
        <v>23</v>
      </c>
      <c r="BY97" s="28" t="n">
        <f aca="false">IFERROR(INDEX(Assessments!$H$2:$H$600,MATCH($H97&amp;"|"&amp;$I97&amp;"|"&amp;$J97&amp;"|"&amp;5,Assessments!$A$2:$A$600,0)),"")</f>
        <v>25</v>
      </c>
      <c r="BZ97" s="28" t="n">
        <f aca="false">IFERROR(INDEX(Assessments!$H$2:$H$600,MATCH($H97&amp;"|"&amp;$I97&amp;"|"&amp;$J97&amp;"|"&amp;6,Assessments!$A$2:$A$600,0)),"")</f>
        <v>15</v>
      </c>
      <c r="CA97" s="28" t="n">
        <f aca="false">IFERROR(INDEX(Assessments!$H$2:$H$600,MATCH($H97&amp;"|"&amp;$I97&amp;"|"&amp;$J97&amp;"|"&amp;7,Assessments!$A$2:$A$600,0)),"")</f>
        <v>52</v>
      </c>
      <c r="CB97" s="28" t="str">
        <f aca="false">IFERROR(INDEX(Assessments!$H$2:$H$600,MATCH($H97&amp;"|"&amp;$I97&amp;"|"&amp;$J97&amp;"|"&amp;8,Assessments!$A$2:$A$600,0)),"")</f>
        <v/>
      </c>
      <c r="CC97" s="28" t="str">
        <f aca="false">IFERROR(INDEX(Assessments!$H$2:$H$600,MATCH($H97&amp;"|"&amp;$I97&amp;"|"&amp;$J97&amp;"|"&amp;9,Assessments!$A$2:$A$600,0)),"")</f>
        <v/>
      </c>
      <c r="CD97" s="28" t="str">
        <f aca="false">IFERROR(INDEX(Assessments!$H$2:$H$600,MATCH($H97&amp;"|"&amp;$I97&amp;"|"&amp;$J97&amp;"|"&amp;10,Assessments!$A$2:$A$600,0)),"")</f>
        <v/>
      </c>
      <c r="CE97" s="28" t="str">
        <f aca="false">IFERROR(INDEX(Assessments!$H$2:$H$600,MATCH($H97&amp;"|"&amp;$I97&amp;"|"&amp;$J97&amp;"|"&amp;11,Assessments!$A$2:$A$600,0)),"")</f>
        <v/>
      </c>
      <c r="CF97" s="28" t="str">
        <f aca="false">IFERROR(INDEX(Assessments!$H$2:$H$600,MATCH($H97&amp;"|"&amp;$I97&amp;"|"&amp;$J97&amp;"|"&amp;12,Assessments!$A$2:$A$600,0)),"")</f>
        <v/>
      </c>
      <c r="CG97" s="28" t="str">
        <f aca="false">IFERROR(INDEX(Assessments!$H$2:$H$600,MATCH($H97&amp;"|"&amp;$I97&amp;"|"&amp;$J97&amp;"|"&amp;13,Assessments!$A$2:$A$600,0)),"")</f>
        <v/>
      </c>
      <c r="CH97" s="28" t="str">
        <f aca="false">IFERROR(INDEX(Assessments!$H$2:$H$600,MATCH($H97&amp;"|"&amp;$I97&amp;"|"&amp;$J97&amp;"|"&amp;14,Assessments!$A$2:$A$600,0)),"")</f>
        <v/>
      </c>
      <c r="CI97" s="28" t="str">
        <f aca="false">IFERROR(INDEX(Assessments!$I$2:$I$600,MATCH($H97&amp;"|"&amp;$I97&amp;"|"&amp;$J97&amp;"|"&amp;1,Assessments!$A$2:$A$600,0)),"")</f>
        <v>Econ Test</v>
      </c>
      <c r="CJ97" s="28" t="str">
        <f aca="false">IFERROR(INDEX(Assessments!$I$2:$I$600,MATCH($H97&amp;"|"&amp;$I97&amp;"|"&amp;$J97&amp;"|"&amp;2,Assessments!$A$2:$A$600,0)),"")</f>
        <v>Econ Test</v>
      </c>
      <c r="CK97" s="28" t="str">
        <f aca="false">IFERROR(INDEX(Assessments!$I$2:$I$600,MATCH($H97&amp;"|"&amp;$I97&amp;"|"&amp;$J97&amp;"|"&amp;3,Assessments!$A$2:$A$600,0)),"")</f>
        <v>Econ Test</v>
      </c>
      <c r="CL97" s="28" t="str">
        <f aca="false">IFERROR(INDEX(Assessments!$I$2:$I$600,MATCH($H97&amp;"|"&amp;$I97&amp;"|"&amp;$J97&amp;"|"&amp;4,Assessments!$A$2:$A$600,0)),"")</f>
        <v>Econ Test</v>
      </c>
      <c r="CM97" s="28" t="str">
        <f aca="false">IFERROR(INDEX(Assessments!$I$2:$I$600,MATCH($H97&amp;"|"&amp;$I97&amp;"|"&amp;$J97&amp;"|"&amp;5,Assessments!$A$2:$A$600,0)),"")</f>
        <v>Econ Exam</v>
      </c>
      <c r="CN97" s="28" t="str">
        <f aca="false">IFERROR(INDEX(Assessments!$I$2:$I$600,MATCH($H97&amp;"|"&amp;$I97&amp;"|"&amp;$J97&amp;"|"&amp;6,Assessments!$A$2:$A$600,0)),"")</f>
        <v>Econ Test</v>
      </c>
      <c r="CO97" s="28" t="str">
        <f aca="false">IFERROR(INDEX(Assessments!$I$2:$I$600,MATCH($H97&amp;"|"&amp;$I97&amp;"|"&amp;$J97&amp;"|"&amp;7,Assessments!$A$2:$A$600,0)),"")</f>
        <v>Econ Exam</v>
      </c>
      <c r="CP97" s="28" t="str">
        <f aca="false">IFERROR(INDEX(Assessments!$I$2:$I$600,MATCH($H97&amp;"|"&amp;$I97&amp;"|"&amp;$J97&amp;"|"&amp;8,Assessments!$A$2:$A$600,0)),"")</f>
        <v/>
      </c>
      <c r="CQ97" s="28" t="str">
        <f aca="false">IFERROR(INDEX(Assessments!$I$2:$I$600,MATCH($H97&amp;"|"&amp;$I97&amp;"|"&amp;$J97&amp;"|"&amp;9,Assessments!$A$2:$A$600,0)),"")</f>
        <v/>
      </c>
      <c r="CR97" s="28" t="str">
        <f aca="false">IFERROR(INDEX(Assessments!$I$2:$I$600,MATCH($H97&amp;"|"&amp;$I97&amp;"|"&amp;$J97&amp;"|"&amp;10,Assessments!$A$2:$A$600,0)),"")</f>
        <v/>
      </c>
      <c r="CS97" s="28" t="str">
        <f aca="false">IFERROR(INDEX(Assessments!$I$2:$I$600,MATCH($H97&amp;"|"&amp;$I97&amp;"|"&amp;$J97&amp;"|"&amp;11,Assessments!$A$2:$A$600,0)),"")</f>
        <v/>
      </c>
      <c r="CT97" s="28" t="str">
        <f aca="false">IFERROR(INDEX(Assessments!$I$2:$I$600,MATCH($H97&amp;"|"&amp;$I97&amp;"|"&amp;$J97&amp;"|"&amp;12,Assessments!$A$2:$A$600,0)),"")</f>
        <v/>
      </c>
      <c r="CU97" s="28" t="str">
        <f aca="false">IFERROR(INDEX(Assessments!$I$2:$I$600,MATCH($H97&amp;"|"&amp;$I97&amp;"|"&amp;$J97&amp;"|"&amp;13,Assessments!$A$2:$A$600,0)),"")</f>
        <v/>
      </c>
      <c r="CV97" s="28" t="str">
        <f aca="false">IFERROR(INDEX(Assessments!$I$2:$I$600,MATCH($H97&amp;"|"&amp;$I97&amp;"|"&amp;$J97&amp;"|"&amp;14,Assessments!$A$2:$A$600,0)),"")</f>
        <v/>
      </c>
      <c r="CW97" s="28" t="n">
        <f aca="false">IFERROR(INDEX(Assessments!$J$2:$J$600,MATCH($H97&amp;"|"&amp;$I97&amp;"|"&amp;$J97&amp;"|"&amp;1,Assessments!$A$2:$A$600,0)),0)</f>
        <v>1</v>
      </c>
      <c r="CX97" s="28" t="n">
        <f aca="false">IFERROR(INDEX(Assessments!$J$2:$J$600,MATCH($H97&amp;"|"&amp;$I97&amp;"|"&amp;$J97&amp;"|"&amp;2,Assessments!$A$2:$A$600,0)),0)</f>
        <v>1</v>
      </c>
      <c r="CY97" s="28" t="n">
        <f aca="false">IFERROR(INDEX(Assessments!$J$2:$J$600,MATCH($H97&amp;"|"&amp;$I97&amp;"|"&amp;$J97&amp;"|"&amp;3,Assessments!$A$2:$A$600,0)),0)</f>
        <v>1</v>
      </c>
      <c r="CZ97" s="28" t="n">
        <f aca="false">IFERROR(INDEX(Assessments!$J$2:$J$600,MATCH($H97&amp;"|"&amp;$I97&amp;"|"&amp;$J97&amp;"|"&amp;4,Assessments!$A$2:$A$600,0)),0)</f>
        <v>1</v>
      </c>
      <c r="DA97" s="28" t="n">
        <f aca="false">IFERROR(INDEX(Assessments!$J$2:$J$600,MATCH($H97&amp;"|"&amp;$I97&amp;"|"&amp;$J97&amp;"|"&amp;5,Assessments!$A$2:$A$600,0)),0)</f>
        <v>2</v>
      </c>
      <c r="DB97" s="28" t="n">
        <f aca="false">IFERROR(INDEX(Assessments!$J$2:$J$600,MATCH($H97&amp;"|"&amp;$I97&amp;"|"&amp;$J97&amp;"|"&amp;6,Assessments!$A$2:$A$600,0)),0)</f>
        <v>1</v>
      </c>
      <c r="DC97" s="28" t="n">
        <f aca="false">IFERROR(INDEX(Assessments!$J$2:$J$600,MATCH($H97&amp;"|"&amp;$I97&amp;"|"&amp;$J97&amp;"|"&amp;7,Assessments!$A$2:$A$600,0)),0)</f>
        <v>2</v>
      </c>
      <c r="DD97" s="28" t="n">
        <f aca="false">IFERROR(INDEX(Assessments!$J$2:$J$600,MATCH($H97&amp;"|"&amp;$I97&amp;"|"&amp;$J97&amp;"|"&amp;8,Assessments!$A$2:$A$600,0)),0)</f>
        <v>0</v>
      </c>
      <c r="DE97" s="28" t="n">
        <f aca="false">IFERROR(INDEX(Assessments!$J$2:$J$600,MATCH($H97&amp;"|"&amp;$I97&amp;"|"&amp;$J97&amp;"|"&amp;9,Assessments!$A$2:$A$600,0)),0)</f>
        <v>0</v>
      </c>
      <c r="DF97" s="28" t="n">
        <f aca="false">IFERROR(INDEX(Assessments!$J$2:$J$600,MATCH($H97&amp;"|"&amp;$I97&amp;"|"&amp;$J97&amp;"|"&amp;10,Assessments!$A$2:$A$600,0)),0)</f>
        <v>0</v>
      </c>
      <c r="DG97" s="28" t="n">
        <f aca="false">IFERROR(INDEX(Assessments!$J$2:$J$600,MATCH($H97&amp;"|"&amp;$I97&amp;"|"&amp;$J97&amp;"|"&amp;11,Assessments!$A$2:$A$600,0)),0)</f>
        <v>0</v>
      </c>
      <c r="DH97" s="28" t="n">
        <f aca="false">IFERROR(INDEX(Assessments!$J$2:$J$600,MATCH($H97&amp;"|"&amp;$I97&amp;"|"&amp;$J97&amp;"|"&amp;12,Assessments!$A$2:$A$600,0)),0)</f>
        <v>0</v>
      </c>
      <c r="DI97" s="28" t="n">
        <f aca="false">IFERROR(INDEX(Assessments!$J$2:$J$600,MATCH($H97&amp;"|"&amp;$I97&amp;"|"&amp;$J97&amp;"|"&amp;13,Assessments!$A$2:$A$600,0)),0)</f>
        <v>0</v>
      </c>
      <c r="DJ97" s="28" t="n">
        <f aca="false">IFERROR(INDEX(Assessments!$J$2:$J$600,MATCH($H97&amp;"|"&amp;$I97&amp;"|"&amp;$J97&amp;"|"&amp;14,Assessments!$A$2:$A$600,0)),0)</f>
        <v>0</v>
      </c>
      <c r="DK97" s="28" t="n">
        <f aca="false">S97</f>
        <v>5</v>
      </c>
      <c r="DL97" s="28" t="n">
        <f aca="false">W97</f>
        <v>7</v>
      </c>
      <c r="DM97" s="28" t="n">
        <f aca="false">AA97</f>
        <v>4</v>
      </c>
      <c r="DN97" s="28" t="n">
        <f aca="false">AE97</f>
        <v>6</v>
      </c>
      <c r="DO97" s="28" t="str">
        <f aca="false">AI97</f>
        <v/>
      </c>
      <c r="DP97" s="28" t="str">
        <f aca="false">AM97</f>
        <v/>
      </c>
      <c r="DQ97" s="28" t="str">
        <f aca="false">AQ97</f>
        <v/>
      </c>
      <c r="DR97" s="28" t="str">
        <f aca="false">AU97</f>
        <v/>
      </c>
      <c r="DS97" s="28" t="str">
        <f aca="false">AY97</f>
        <v/>
      </c>
      <c r="DT97" s="28" t="str">
        <f aca="false">BC97</f>
        <v/>
      </c>
      <c r="DU97" s="28" t="str">
        <f aca="false">BG97</f>
        <v/>
      </c>
      <c r="DV97" s="28" t="str">
        <f aca="false">BK97</f>
        <v/>
      </c>
      <c r="DW97" s="28" t="str">
        <f aca="false">BO97</f>
        <v/>
      </c>
      <c r="DX97" s="28" t="str">
        <f aca="false">BS97</f>
        <v/>
      </c>
      <c r="DY97" s="28" t="n">
        <f aca="false">IF(ISNUMBER(S97),1,"")</f>
        <v>1</v>
      </c>
      <c r="DZ97" s="28" t="n">
        <f aca="false">IF(ISNUMBER(W97),2,"")</f>
        <v>2</v>
      </c>
      <c r="EA97" s="28" t="n">
        <f aca="false">IF(ISNUMBER(AA97),3,"")</f>
        <v>3</v>
      </c>
      <c r="EB97" s="28" t="n">
        <f aca="false">IF(ISNUMBER(AE97),4,"")</f>
        <v>4</v>
      </c>
      <c r="EC97" s="28" t="str">
        <f aca="false">IF(ISNUMBER(AI97),5,"")</f>
        <v/>
      </c>
      <c r="ED97" s="28" t="str">
        <f aca="false">IF(ISNUMBER(AM97),6,"")</f>
        <v/>
      </c>
      <c r="EE97" s="28" t="str">
        <f aca="false">IF(ISNUMBER(AQ97),7,"")</f>
        <v/>
      </c>
      <c r="EF97" s="28" t="str">
        <f aca="false">IF(ISNUMBER(AU97),8,"")</f>
        <v/>
      </c>
      <c r="EG97" s="28" t="str">
        <f aca="false">IF(ISNUMBER(AY97),9,"")</f>
        <v/>
      </c>
      <c r="EH97" s="28" t="str">
        <f aca="false">IF(ISNUMBER(BC97),10,"")</f>
        <v/>
      </c>
      <c r="EI97" s="28" t="str">
        <f aca="false">IF(ISNUMBER(BG97),11,"")</f>
        <v/>
      </c>
      <c r="EJ97" s="28" t="str">
        <f aca="false">IF(ISNUMBER(BK97),12,"")</f>
        <v/>
      </c>
      <c r="EK97" s="28" t="str">
        <f aca="false">IF(ISNUMBER(BO97),13,"")</f>
        <v/>
      </c>
      <c r="EL97" s="28" t="str">
        <f aca="false">IF(ISNUMBER(BS97),14,"")</f>
        <v/>
      </c>
      <c r="EM97" s="28" t="n">
        <f aca="false">IF(ISNUMBER(R97),R97*CW97,0)</f>
        <v>70</v>
      </c>
      <c r="EN97" s="28" t="n">
        <f aca="false">IF(ISNUMBER(V97),V97*CX97,0)</f>
        <v>100</v>
      </c>
      <c r="EO97" s="28" t="n">
        <f aca="false">IF(ISNUMBER(Z97),Z97*CY97,0)</f>
        <v>56</v>
      </c>
      <c r="EP97" s="28" t="n">
        <f aca="false">IF(ISNUMBER(AD97),AD97*CZ97,0)</f>
        <v>82.6086956521739</v>
      </c>
      <c r="EQ97" s="28" t="n">
        <f aca="false">IF(ISNUMBER(AH97),AH97*DA97,0)</f>
        <v>0</v>
      </c>
      <c r="ER97" s="28" t="n">
        <f aca="false">IF(ISNUMBER(AL97),AL97*DB97,0)</f>
        <v>0</v>
      </c>
      <c r="ES97" s="28" t="n">
        <f aca="false">IF(ISNUMBER(AP97),AP97*DC97,0)</f>
        <v>0</v>
      </c>
      <c r="ET97" s="28" t="n">
        <f aca="false">IF(ISNUMBER(AT97),AT97*DD97,0)</f>
        <v>0</v>
      </c>
      <c r="EU97" s="28" t="n">
        <f aca="false">IF(ISNUMBER(AX97),AX97*DE97,0)</f>
        <v>0</v>
      </c>
      <c r="EV97" s="28" t="n">
        <f aca="false">IF(ISNUMBER(BB97),BB97*DF97,0)</f>
        <v>0</v>
      </c>
      <c r="EW97" s="28" t="n">
        <f aca="false">IF(ISNUMBER(BF97),BF97*DG97,0)</f>
        <v>0</v>
      </c>
      <c r="EX97" s="28" t="n">
        <f aca="false">IF(ISNUMBER(BJ97),BJ97*DH97,0)</f>
        <v>0</v>
      </c>
      <c r="EY97" s="28" t="n">
        <f aca="false">IF(ISNUMBER(BN97),BN97*DI97,0)</f>
        <v>0</v>
      </c>
      <c r="EZ97" s="28" t="n">
        <f aca="false">IF(ISNUMBER(BR97),BR97*DJ97,0)</f>
        <v>0</v>
      </c>
      <c r="FA97" s="28" t="n">
        <f aca="false">IF(ISNUMBER(R97),CW97,0)</f>
        <v>1</v>
      </c>
      <c r="FB97" s="28" t="n">
        <f aca="false">IF(ISNUMBER(V97),CX97,0)</f>
        <v>1</v>
      </c>
      <c r="FC97" s="28" t="n">
        <f aca="false">IF(ISNUMBER(Z97),CY97,0)</f>
        <v>1</v>
      </c>
      <c r="FD97" s="28" t="n">
        <f aca="false">IF(ISNUMBER(AD97),CZ97,0)</f>
        <v>1</v>
      </c>
      <c r="FE97" s="28" t="n">
        <f aca="false">IF(ISNUMBER(AH97),DA97,0)</f>
        <v>0</v>
      </c>
      <c r="FF97" s="28" t="n">
        <f aca="false">IF(ISNUMBER(AL97),DB97,0)</f>
        <v>0</v>
      </c>
      <c r="FG97" s="28" t="n">
        <f aca="false">IF(ISNUMBER(AP97),DC97,0)</f>
        <v>0</v>
      </c>
      <c r="FH97" s="28" t="n">
        <f aca="false">IF(ISNUMBER(AT97),DD97,0)</f>
        <v>0</v>
      </c>
      <c r="FI97" s="28" t="n">
        <f aca="false">IF(ISNUMBER(AX97),DE97,0)</f>
        <v>0</v>
      </c>
      <c r="FJ97" s="28" t="n">
        <f aca="false">IF(ISNUMBER(BB97),DF97,0)</f>
        <v>0</v>
      </c>
      <c r="FK97" s="28" t="n">
        <f aca="false">IF(ISNUMBER(BF97),DG97,0)</f>
        <v>0</v>
      </c>
      <c r="FL97" s="28" t="n">
        <f aca="false">IF(ISNUMBER(BJ97),DH97,0)</f>
        <v>0</v>
      </c>
      <c r="FM97" s="28" t="n">
        <f aca="false">IF(ISNUMBER(BN97),DI97,0)</f>
        <v>0</v>
      </c>
      <c r="FN97" s="28" t="n">
        <f aca="false">IF(ISNUMBER(BR97),DJ97,0)</f>
        <v>0</v>
      </c>
      <c r="FO97" s="28" t="str">
        <f aca="false">IFERROR(INDEX(Lists!$G$2:$G$20,MATCH($I97&amp;"|"&amp;$J97,Lists!$F$2:$F$20,0)),"")</f>
        <v>Econ Exam</v>
      </c>
    </row>
    <row r="98" customFormat="false" ht="19.5" hidden="false" customHeight="true" outlineLevel="0" collapsed="false">
      <c r="A98" s="29" t="s">
        <v>317</v>
      </c>
      <c r="B98" s="29" t="s">
        <v>318</v>
      </c>
      <c r="C98" s="30" t="s">
        <v>152</v>
      </c>
      <c r="D98" s="30" t="s">
        <v>271</v>
      </c>
      <c r="E98" s="31" t="n">
        <v>6.4</v>
      </c>
      <c r="F98" s="30" t="n">
        <v>7</v>
      </c>
      <c r="G98" s="30"/>
      <c r="H98" s="32" t="s">
        <v>23</v>
      </c>
      <c r="I98" s="33" t="s">
        <v>229</v>
      </c>
      <c r="J98" s="32" t="s">
        <v>223</v>
      </c>
      <c r="K98" s="34" t="n">
        <f aca="false">IF(OR(M98="",$E98=""),"",M98-$E98)</f>
        <v>-0.4</v>
      </c>
      <c r="L98" s="35" t="n">
        <f aca="false">IF(SUM(FA98:FN98)=0,"",SUM(EM98:EZ98)/SUM(FA98:FN98))</f>
        <v>74.8297101449275</v>
      </c>
      <c r="M98" s="36" t="n">
        <f aca="false">IF(OR(L98="",FO98=""),"",IFERROR(MATCH(L98,INDEX(Boundaries!$B$2:$I$30,MATCH(FO98,Boundaries!$A$2:$A$30,0),0),1)-1,""))</f>
        <v>6</v>
      </c>
      <c r="N98" s="37" t="n">
        <f aca="false">IF(COUNT($DY98:$EL98)&lt;2,"",INDEX($DK98:$DX98,MAX($DY98:$EL98))-INDEX($DK98:$DX98,MIN($DY98:$EL98)))</f>
        <v>2</v>
      </c>
      <c r="O98" s="37" t="n">
        <f aca="false">IF(COUNT($DY98:$EL98)&lt;2,"",INDEX($DK98:$DX98,MAX($DY98:$EL98))-INDEX($DK98:$DX98,LARGE($DY98:$EL98,2)))</f>
        <v>2</v>
      </c>
      <c r="P98" s="38" t="str">
        <f aca="false">IF(K98="","",IF(K98&gt;=0,"On/above target",IF(AND(N98&lt;&gt;"",N98&gt;=0.5),"Improving towards target",IF(AND(O98&lt;&gt;"",O98&lt;=-0.5),"Declining","Stable below target"))))</f>
        <v>Improving towards target</v>
      </c>
      <c r="Q98" s="39" t="n">
        <v>20</v>
      </c>
      <c r="R98" s="40" t="n">
        <f aca="false">IF(OR(Q98="",BU98=""),"",Q98/BU98*100)</f>
        <v>66.6666666666667</v>
      </c>
      <c r="S98" s="41" t="n">
        <f aca="false">IF(R98="","",IFERROR(MATCH(R98,INDEX(Boundaries!$B$2:$I$30,MATCH(CI98,Boundaries!$A$2:$A$30,0),0),1)-1,""))</f>
        <v>5</v>
      </c>
      <c r="T98" s="42" t="n">
        <f aca="false">IF(OR(S98="",$E98=""),"",S98-$E98)</f>
        <v>-1.4</v>
      </c>
      <c r="U98" s="39" t="n">
        <v>13</v>
      </c>
      <c r="V98" s="40" t="n">
        <f aca="false">IF(OR(U98="",BV98=""),"",U98/BV98*100)</f>
        <v>65</v>
      </c>
      <c r="W98" s="41" t="n">
        <f aca="false">IF(V98="","",IFERROR(MATCH(V98,INDEX(Boundaries!$B$2:$I$30,MATCH(CJ98,Boundaries!$A$2:$A$30,0),0),1)-1,""))</f>
        <v>5</v>
      </c>
      <c r="X98" s="42" t="n">
        <f aca="false">IF(OR(W98="",$E98=""),"",W98-$E98)</f>
        <v>-1.4</v>
      </c>
      <c r="Y98" s="39" t="n">
        <v>18</v>
      </c>
      <c r="Z98" s="40" t="n">
        <f aca="false">IF(OR(Y98="",BW98=""),"",Y98/BW98*100)</f>
        <v>72</v>
      </c>
      <c r="AA98" s="41" t="n">
        <f aca="false">IF(Z98="","",IFERROR(MATCH(Z98,INDEX(Boundaries!$B$2:$I$30,MATCH(CK98,Boundaries!$A$2:$A$30,0),0),1)-1,""))</f>
        <v>5</v>
      </c>
      <c r="AB98" s="42" t="n">
        <f aca="false">IF(OR(AA98="",$E98=""),"",AA98-$E98)</f>
        <v>-1.4</v>
      </c>
      <c r="AC98" s="39" t="n">
        <v>22</v>
      </c>
      <c r="AD98" s="40" t="n">
        <f aca="false">IF(OR(AC98="",BX98=""),"",AC98/BX98*100)</f>
        <v>95.6521739130435</v>
      </c>
      <c r="AE98" s="41" t="n">
        <f aca="false">IF(AD98="","",IFERROR(MATCH(AD98,INDEX(Boundaries!$B$2:$I$30,MATCH(CL98,Boundaries!$A$2:$A$30,0),0),1)-1,""))</f>
        <v>7</v>
      </c>
      <c r="AF98" s="42" t="n">
        <f aca="false">IF(OR(AE98="",$E98=""),"",AE98-$E98)</f>
        <v>0.6</v>
      </c>
      <c r="AG98" s="39"/>
      <c r="AH98" s="40" t="str">
        <f aca="false">IF(OR(AG98="",BY98=""),"",AG98/BY98*100)</f>
        <v/>
      </c>
      <c r="AI98" s="41" t="str">
        <f aca="false">IF(AH98="","",IFERROR(MATCH(AH98,INDEX(Boundaries!$B$2:$I$30,MATCH(CM98,Boundaries!$A$2:$A$30,0),0),1)-1,""))</f>
        <v/>
      </c>
      <c r="AJ98" s="42" t="str">
        <f aca="false">IF(OR(AI98="",$E98=""),"",AI98-$E98)</f>
        <v/>
      </c>
      <c r="AK98" s="39"/>
      <c r="AL98" s="40" t="str">
        <f aca="false">IF(OR(AK98="",BZ98=""),"",AK98/BZ98*100)</f>
        <v/>
      </c>
      <c r="AM98" s="41" t="str">
        <f aca="false">IF(AL98="","",IFERROR(MATCH(AL98,INDEX(Boundaries!$B$2:$I$30,MATCH(CN98,Boundaries!$A$2:$A$30,0),0),1)-1,""))</f>
        <v/>
      </c>
      <c r="AN98" s="42" t="str">
        <f aca="false">IF(OR(AM98="",$E98=""),"",AM98-$E98)</f>
        <v/>
      </c>
      <c r="AO98" s="39"/>
      <c r="AP98" s="40" t="str">
        <f aca="false">IF(OR(AO98="",CA98=""),"",AO98/CA98*100)</f>
        <v/>
      </c>
      <c r="AQ98" s="41" t="str">
        <f aca="false">IF(AP98="","",IFERROR(MATCH(AP98,INDEX(Boundaries!$B$2:$I$30,MATCH(CO98,Boundaries!$A$2:$A$30,0),0),1)-1,""))</f>
        <v/>
      </c>
      <c r="AR98" s="42" t="str">
        <f aca="false">IF(OR(AQ98="",$E98=""),"",AQ98-$E98)</f>
        <v/>
      </c>
      <c r="AS98" s="39"/>
      <c r="AT98" s="40" t="str">
        <f aca="false">IF(OR(AS98="",CB98=""),"",AS98/CB98*100)</f>
        <v/>
      </c>
      <c r="AU98" s="41" t="str">
        <f aca="false">IF(AT98="","",IFERROR(MATCH(AT98,INDEX(Boundaries!$B$2:$I$30,MATCH(CP98,Boundaries!$A$2:$A$30,0),0),1)-1,""))</f>
        <v/>
      </c>
      <c r="AV98" s="42" t="str">
        <f aca="false">IF(OR(AU98="",$E98=""),"",AU98-$E98)</f>
        <v/>
      </c>
      <c r="AW98" s="39"/>
      <c r="AX98" s="40" t="str">
        <f aca="false">IF(OR(AW98="",CC98=""),"",AW98/CC98*100)</f>
        <v/>
      </c>
      <c r="AY98" s="41" t="str">
        <f aca="false">IF(AX98="","",IFERROR(MATCH(AX98,INDEX(Boundaries!$B$2:$I$30,MATCH(CQ98,Boundaries!$A$2:$A$30,0),0),1)-1,""))</f>
        <v/>
      </c>
      <c r="AZ98" s="42" t="str">
        <f aca="false">IF(OR(AY98="",$E98=""),"",AY98-$E98)</f>
        <v/>
      </c>
      <c r="BA98" s="39"/>
      <c r="BB98" s="40" t="str">
        <f aca="false">IF(OR(BA98="",CD98=""),"",BA98/CD98*100)</f>
        <v/>
      </c>
      <c r="BC98" s="41" t="str">
        <f aca="false">IF(BB98="","",IFERROR(MATCH(BB98,INDEX(Boundaries!$B$2:$I$30,MATCH(CR98,Boundaries!$A$2:$A$30,0),0),1)-1,""))</f>
        <v/>
      </c>
      <c r="BD98" s="42" t="str">
        <f aca="false">IF(OR(BC98="",$E98=""),"",BC98-$E98)</f>
        <v/>
      </c>
      <c r="BE98" s="39"/>
      <c r="BF98" s="40" t="str">
        <f aca="false">IF(OR(BE98="",CE98=""),"",BE98/CE98*100)</f>
        <v/>
      </c>
      <c r="BG98" s="41" t="str">
        <f aca="false">IF(BF98="","",IFERROR(MATCH(BF98,INDEX(Boundaries!$B$2:$I$30,MATCH(CS98,Boundaries!$A$2:$A$30,0),0),1)-1,""))</f>
        <v/>
      </c>
      <c r="BH98" s="42" t="str">
        <f aca="false">IF(OR(BG98="",$E98=""),"",BG98-$E98)</f>
        <v/>
      </c>
      <c r="BI98" s="39"/>
      <c r="BJ98" s="40" t="str">
        <f aca="false">IF(OR(BI98="",CF98=""),"",BI98/CF98*100)</f>
        <v/>
      </c>
      <c r="BK98" s="41" t="str">
        <f aca="false">IF(BJ98="","",IFERROR(MATCH(BJ98,INDEX(Boundaries!$B$2:$I$30,MATCH(CT98,Boundaries!$A$2:$A$30,0),0),1)-1,""))</f>
        <v/>
      </c>
      <c r="BL98" s="42" t="str">
        <f aca="false">IF(OR(BK98="",$E98=""),"",BK98-$E98)</f>
        <v/>
      </c>
      <c r="BM98" s="39"/>
      <c r="BN98" s="40" t="str">
        <f aca="false">IF(OR(BM98="",CG98=""),"",BM98/CG98*100)</f>
        <v/>
      </c>
      <c r="BO98" s="41" t="str">
        <f aca="false">IF(BN98="","",IFERROR(MATCH(BN98,INDEX(Boundaries!$B$2:$I$30,MATCH(CU98,Boundaries!$A$2:$A$30,0),0),1)-1,""))</f>
        <v/>
      </c>
      <c r="BP98" s="42" t="str">
        <f aca="false">IF(OR(BO98="",$E98=""),"",BO98-$E98)</f>
        <v/>
      </c>
      <c r="BQ98" s="39"/>
      <c r="BR98" s="40" t="str">
        <f aca="false">IF(OR(BQ98="",CH98=""),"",BQ98/CH98*100)</f>
        <v/>
      </c>
      <c r="BS98" s="41" t="str">
        <f aca="false">IF(BR98="","",IFERROR(MATCH(BR98,INDEX(Boundaries!$B$2:$I$30,MATCH(CV98,Boundaries!$A$2:$A$30,0),0),1)-1,""))</f>
        <v/>
      </c>
      <c r="BT98" s="42" t="str">
        <f aca="false">IF(OR(BS98="",$E98=""),"",BS98-$E98)</f>
        <v/>
      </c>
      <c r="BU98" s="28" t="n">
        <f aca="false">IFERROR(INDEX(Assessments!$H$2:$H$600,MATCH($H98&amp;"|"&amp;$I98&amp;"|"&amp;$J98&amp;"|"&amp;1,Assessments!$A$2:$A$600,0)),"")</f>
        <v>30</v>
      </c>
      <c r="BV98" s="28" t="n">
        <f aca="false">IFERROR(INDEX(Assessments!$H$2:$H$600,MATCH($H98&amp;"|"&amp;$I98&amp;"|"&amp;$J98&amp;"|"&amp;2,Assessments!$A$2:$A$600,0)),"")</f>
        <v>20</v>
      </c>
      <c r="BW98" s="28" t="n">
        <f aca="false">IFERROR(INDEX(Assessments!$H$2:$H$600,MATCH($H98&amp;"|"&amp;$I98&amp;"|"&amp;$J98&amp;"|"&amp;3,Assessments!$A$2:$A$600,0)),"")</f>
        <v>25</v>
      </c>
      <c r="BX98" s="28" t="n">
        <f aca="false">IFERROR(INDEX(Assessments!$H$2:$H$600,MATCH($H98&amp;"|"&amp;$I98&amp;"|"&amp;$J98&amp;"|"&amp;4,Assessments!$A$2:$A$600,0)),"")</f>
        <v>23</v>
      </c>
      <c r="BY98" s="28" t="n">
        <f aca="false">IFERROR(INDEX(Assessments!$H$2:$H$600,MATCH($H98&amp;"|"&amp;$I98&amp;"|"&amp;$J98&amp;"|"&amp;5,Assessments!$A$2:$A$600,0)),"")</f>
        <v>25</v>
      </c>
      <c r="BZ98" s="28" t="n">
        <f aca="false">IFERROR(INDEX(Assessments!$H$2:$H$600,MATCH($H98&amp;"|"&amp;$I98&amp;"|"&amp;$J98&amp;"|"&amp;6,Assessments!$A$2:$A$600,0)),"")</f>
        <v>15</v>
      </c>
      <c r="CA98" s="28" t="n">
        <f aca="false">IFERROR(INDEX(Assessments!$H$2:$H$600,MATCH($H98&amp;"|"&amp;$I98&amp;"|"&amp;$J98&amp;"|"&amp;7,Assessments!$A$2:$A$600,0)),"")</f>
        <v>52</v>
      </c>
      <c r="CB98" s="28" t="str">
        <f aca="false">IFERROR(INDEX(Assessments!$H$2:$H$600,MATCH($H98&amp;"|"&amp;$I98&amp;"|"&amp;$J98&amp;"|"&amp;8,Assessments!$A$2:$A$600,0)),"")</f>
        <v/>
      </c>
      <c r="CC98" s="28" t="str">
        <f aca="false">IFERROR(INDEX(Assessments!$H$2:$H$600,MATCH($H98&amp;"|"&amp;$I98&amp;"|"&amp;$J98&amp;"|"&amp;9,Assessments!$A$2:$A$600,0)),"")</f>
        <v/>
      </c>
      <c r="CD98" s="28" t="str">
        <f aca="false">IFERROR(INDEX(Assessments!$H$2:$H$600,MATCH($H98&amp;"|"&amp;$I98&amp;"|"&amp;$J98&amp;"|"&amp;10,Assessments!$A$2:$A$600,0)),"")</f>
        <v/>
      </c>
      <c r="CE98" s="28" t="str">
        <f aca="false">IFERROR(INDEX(Assessments!$H$2:$H$600,MATCH($H98&amp;"|"&amp;$I98&amp;"|"&amp;$J98&amp;"|"&amp;11,Assessments!$A$2:$A$600,0)),"")</f>
        <v/>
      </c>
      <c r="CF98" s="28" t="str">
        <f aca="false">IFERROR(INDEX(Assessments!$H$2:$H$600,MATCH($H98&amp;"|"&amp;$I98&amp;"|"&amp;$J98&amp;"|"&amp;12,Assessments!$A$2:$A$600,0)),"")</f>
        <v/>
      </c>
      <c r="CG98" s="28" t="str">
        <f aca="false">IFERROR(INDEX(Assessments!$H$2:$H$600,MATCH($H98&amp;"|"&amp;$I98&amp;"|"&amp;$J98&amp;"|"&amp;13,Assessments!$A$2:$A$600,0)),"")</f>
        <v/>
      </c>
      <c r="CH98" s="28" t="str">
        <f aca="false">IFERROR(INDEX(Assessments!$H$2:$H$600,MATCH($H98&amp;"|"&amp;$I98&amp;"|"&amp;$J98&amp;"|"&amp;14,Assessments!$A$2:$A$600,0)),"")</f>
        <v/>
      </c>
      <c r="CI98" s="28" t="str">
        <f aca="false">IFERROR(INDEX(Assessments!$I$2:$I$600,MATCH($H98&amp;"|"&amp;$I98&amp;"|"&amp;$J98&amp;"|"&amp;1,Assessments!$A$2:$A$600,0)),"")</f>
        <v>Econ Test</v>
      </c>
      <c r="CJ98" s="28" t="str">
        <f aca="false">IFERROR(INDEX(Assessments!$I$2:$I$600,MATCH($H98&amp;"|"&amp;$I98&amp;"|"&amp;$J98&amp;"|"&amp;2,Assessments!$A$2:$A$600,0)),"")</f>
        <v>Econ Test</v>
      </c>
      <c r="CK98" s="28" t="str">
        <f aca="false">IFERROR(INDEX(Assessments!$I$2:$I$600,MATCH($H98&amp;"|"&amp;$I98&amp;"|"&amp;$J98&amp;"|"&amp;3,Assessments!$A$2:$A$600,0)),"")</f>
        <v>Econ Test</v>
      </c>
      <c r="CL98" s="28" t="str">
        <f aca="false">IFERROR(INDEX(Assessments!$I$2:$I$600,MATCH($H98&amp;"|"&amp;$I98&amp;"|"&amp;$J98&amp;"|"&amp;4,Assessments!$A$2:$A$600,0)),"")</f>
        <v>Econ Test</v>
      </c>
      <c r="CM98" s="28" t="str">
        <f aca="false">IFERROR(INDEX(Assessments!$I$2:$I$600,MATCH($H98&amp;"|"&amp;$I98&amp;"|"&amp;$J98&amp;"|"&amp;5,Assessments!$A$2:$A$600,0)),"")</f>
        <v>Econ Exam</v>
      </c>
      <c r="CN98" s="28" t="str">
        <f aca="false">IFERROR(INDEX(Assessments!$I$2:$I$600,MATCH($H98&amp;"|"&amp;$I98&amp;"|"&amp;$J98&amp;"|"&amp;6,Assessments!$A$2:$A$600,0)),"")</f>
        <v>Econ Test</v>
      </c>
      <c r="CO98" s="28" t="str">
        <f aca="false">IFERROR(INDEX(Assessments!$I$2:$I$600,MATCH($H98&amp;"|"&amp;$I98&amp;"|"&amp;$J98&amp;"|"&amp;7,Assessments!$A$2:$A$600,0)),"")</f>
        <v>Econ Exam</v>
      </c>
      <c r="CP98" s="28" t="str">
        <f aca="false">IFERROR(INDEX(Assessments!$I$2:$I$600,MATCH($H98&amp;"|"&amp;$I98&amp;"|"&amp;$J98&amp;"|"&amp;8,Assessments!$A$2:$A$600,0)),"")</f>
        <v/>
      </c>
      <c r="CQ98" s="28" t="str">
        <f aca="false">IFERROR(INDEX(Assessments!$I$2:$I$600,MATCH($H98&amp;"|"&amp;$I98&amp;"|"&amp;$J98&amp;"|"&amp;9,Assessments!$A$2:$A$600,0)),"")</f>
        <v/>
      </c>
      <c r="CR98" s="28" t="str">
        <f aca="false">IFERROR(INDEX(Assessments!$I$2:$I$600,MATCH($H98&amp;"|"&amp;$I98&amp;"|"&amp;$J98&amp;"|"&amp;10,Assessments!$A$2:$A$600,0)),"")</f>
        <v/>
      </c>
      <c r="CS98" s="28" t="str">
        <f aca="false">IFERROR(INDEX(Assessments!$I$2:$I$600,MATCH($H98&amp;"|"&amp;$I98&amp;"|"&amp;$J98&amp;"|"&amp;11,Assessments!$A$2:$A$600,0)),"")</f>
        <v/>
      </c>
      <c r="CT98" s="28" t="str">
        <f aca="false">IFERROR(INDEX(Assessments!$I$2:$I$600,MATCH($H98&amp;"|"&amp;$I98&amp;"|"&amp;$J98&amp;"|"&amp;12,Assessments!$A$2:$A$600,0)),"")</f>
        <v/>
      </c>
      <c r="CU98" s="28" t="str">
        <f aca="false">IFERROR(INDEX(Assessments!$I$2:$I$600,MATCH($H98&amp;"|"&amp;$I98&amp;"|"&amp;$J98&amp;"|"&amp;13,Assessments!$A$2:$A$600,0)),"")</f>
        <v/>
      </c>
      <c r="CV98" s="28" t="str">
        <f aca="false">IFERROR(INDEX(Assessments!$I$2:$I$600,MATCH($H98&amp;"|"&amp;$I98&amp;"|"&amp;$J98&amp;"|"&amp;14,Assessments!$A$2:$A$600,0)),"")</f>
        <v/>
      </c>
      <c r="CW98" s="28" t="n">
        <f aca="false">IFERROR(INDEX(Assessments!$J$2:$J$600,MATCH($H98&amp;"|"&amp;$I98&amp;"|"&amp;$J98&amp;"|"&amp;1,Assessments!$A$2:$A$600,0)),0)</f>
        <v>1</v>
      </c>
      <c r="CX98" s="28" t="n">
        <f aca="false">IFERROR(INDEX(Assessments!$J$2:$J$600,MATCH($H98&amp;"|"&amp;$I98&amp;"|"&amp;$J98&amp;"|"&amp;2,Assessments!$A$2:$A$600,0)),0)</f>
        <v>1</v>
      </c>
      <c r="CY98" s="28" t="n">
        <f aca="false">IFERROR(INDEX(Assessments!$J$2:$J$600,MATCH($H98&amp;"|"&amp;$I98&amp;"|"&amp;$J98&amp;"|"&amp;3,Assessments!$A$2:$A$600,0)),0)</f>
        <v>1</v>
      </c>
      <c r="CZ98" s="28" t="n">
        <f aca="false">IFERROR(INDEX(Assessments!$J$2:$J$600,MATCH($H98&amp;"|"&amp;$I98&amp;"|"&amp;$J98&amp;"|"&amp;4,Assessments!$A$2:$A$600,0)),0)</f>
        <v>1</v>
      </c>
      <c r="DA98" s="28" t="n">
        <f aca="false">IFERROR(INDEX(Assessments!$J$2:$J$600,MATCH($H98&amp;"|"&amp;$I98&amp;"|"&amp;$J98&amp;"|"&amp;5,Assessments!$A$2:$A$600,0)),0)</f>
        <v>2</v>
      </c>
      <c r="DB98" s="28" t="n">
        <f aca="false">IFERROR(INDEX(Assessments!$J$2:$J$600,MATCH($H98&amp;"|"&amp;$I98&amp;"|"&amp;$J98&amp;"|"&amp;6,Assessments!$A$2:$A$600,0)),0)</f>
        <v>1</v>
      </c>
      <c r="DC98" s="28" t="n">
        <f aca="false">IFERROR(INDEX(Assessments!$J$2:$J$600,MATCH($H98&amp;"|"&amp;$I98&amp;"|"&amp;$J98&amp;"|"&amp;7,Assessments!$A$2:$A$600,0)),0)</f>
        <v>2</v>
      </c>
      <c r="DD98" s="28" t="n">
        <f aca="false">IFERROR(INDEX(Assessments!$J$2:$J$600,MATCH($H98&amp;"|"&amp;$I98&amp;"|"&amp;$J98&amp;"|"&amp;8,Assessments!$A$2:$A$600,0)),0)</f>
        <v>0</v>
      </c>
      <c r="DE98" s="28" t="n">
        <f aca="false">IFERROR(INDEX(Assessments!$J$2:$J$600,MATCH($H98&amp;"|"&amp;$I98&amp;"|"&amp;$J98&amp;"|"&amp;9,Assessments!$A$2:$A$600,0)),0)</f>
        <v>0</v>
      </c>
      <c r="DF98" s="28" t="n">
        <f aca="false">IFERROR(INDEX(Assessments!$J$2:$J$600,MATCH($H98&amp;"|"&amp;$I98&amp;"|"&amp;$J98&amp;"|"&amp;10,Assessments!$A$2:$A$600,0)),0)</f>
        <v>0</v>
      </c>
      <c r="DG98" s="28" t="n">
        <f aca="false">IFERROR(INDEX(Assessments!$J$2:$J$600,MATCH($H98&amp;"|"&amp;$I98&amp;"|"&amp;$J98&amp;"|"&amp;11,Assessments!$A$2:$A$600,0)),0)</f>
        <v>0</v>
      </c>
      <c r="DH98" s="28" t="n">
        <f aca="false">IFERROR(INDEX(Assessments!$J$2:$J$600,MATCH($H98&amp;"|"&amp;$I98&amp;"|"&amp;$J98&amp;"|"&amp;12,Assessments!$A$2:$A$600,0)),0)</f>
        <v>0</v>
      </c>
      <c r="DI98" s="28" t="n">
        <f aca="false">IFERROR(INDEX(Assessments!$J$2:$J$600,MATCH($H98&amp;"|"&amp;$I98&amp;"|"&amp;$J98&amp;"|"&amp;13,Assessments!$A$2:$A$600,0)),0)</f>
        <v>0</v>
      </c>
      <c r="DJ98" s="28" t="n">
        <f aca="false">IFERROR(INDEX(Assessments!$J$2:$J$600,MATCH($H98&amp;"|"&amp;$I98&amp;"|"&amp;$J98&amp;"|"&amp;14,Assessments!$A$2:$A$600,0)),0)</f>
        <v>0</v>
      </c>
      <c r="DK98" s="28" t="n">
        <f aca="false">S98</f>
        <v>5</v>
      </c>
      <c r="DL98" s="28" t="n">
        <f aca="false">W98</f>
        <v>5</v>
      </c>
      <c r="DM98" s="28" t="n">
        <f aca="false">AA98</f>
        <v>5</v>
      </c>
      <c r="DN98" s="28" t="n">
        <f aca="false">AE98</f>
        <v>7</v>
      </c>
      <c r="DO98" s="28" t="str">
        <f aca="false">AI98</f>
        <v/>
      </c>
      <c r="DP98" s="28" t="str">
        <f aca="false">AM98</f>
        <v/>
      </c>
      <c r="DQ98" s="28" t="str">
        <f aca="false">AQ98</f>
        <v/>
      </c>
      <c r="DR98" s="28" t="str">
        <f aca="false">AU98</f>
        <v/>
      </c>
      <c r="DS98" s="28" t="str">
        <f aca="false">AY98</f>
        <v/>
      </c>
      <c r="DT98" s="28" t="str">
        <f aca="false">BC98</f>
        <v/>
      </c>
      <c r="DU98" s="28" t="str">
        <f aca="false">BG98</f>
        <v/>
      </c>
      <c r="DV98" s="28" t="str">
        <f aca="false">BK98</f>
        <v/>
      </c>
      <c r="DW98" s="28" t="str">
        <f aca="false">BO98</f>
        <v/>
      </c>
      <c r="DX98" s="28" t="str">
        <f aca="false">BS98</f>
        <v/>
      </c>
      <c r="DY98" s="28" t="n">
        <f aca="false">IF(ISNUMBER(S98),1,"")</f>
        <v>1</v>
      </c>
      <c r="DZ98" s="28" t="n">
        <f aca="false">IF(ISNUMBER(W98),2,"")</f>
        <v>2</v>
      </c>
      <c r="EA98" s="28" t="n">
        <f aca="false">IF(ISNUMBER(AA98),3,"")</f>
        <v>3</v>
      </c>
      <c r="EB98" s="28" t="n">
        <f aca="false">IF(ISNUMBER(AE98),4,"")</f>
        <v>4</v>
      </c>
      <c r="EC98" s="28" t="str">
        <f aca="false">IF(ISNUMBER(AI98),5,"")</f>
        <v/>
      </c>
      <c r="ED98" s="28" t="str">
        <f aca="false">IF(ISNUMBER(AM98),6,"")</f>
        <v/>
      </c>
      <c r="EE98" s="28" t="str">
        <f aca="false">IF(ISNUMBER(AQ98),7,"")</f>
        <v/>
      </c>
      <c r="EF98" s="28" t="str">
        <f aca="false">IF(ISNUMBER(AU98),8,"")</f>
        <v/>
      </c>
      <c r="EG98" s="28" t="str">
        <f aca="false">IF(ISNUMBER(AY98),9,"")</f>
        <v/>
      </c>
      <c r="EH98" s="28" t="str">
        <f aca="false">IF(ISNUMBER(BC98),10,"")</f>
        <v/>
      </c>
      <c r="EI98" s="28" t="str">
        <f aca="false">IF(ISNUMBER(BG98),11,"")</f>
        <v/>
      </c>
      <c r="EJ98" s="28" t="str">
        <f aca="false">IF(ISNUMBER(BK98),12,"")</f>
        <v/>
      </c>
      <c r="EK98" s="28" t="str">
        <f aca="false">IF(ISNUMBER(BO98),13,"")</f>
        <v/>
      </c>
      <c r="EL98" s="28" t="str">
        <f aca="false">IF(ISNUMBER(BS98),14,"")</f>
        <v/>
      </c>
      <c r="EM98" s="28" t="n">
        <f aca="false">IF(ISNUMBER(R98),R98*CW98,0)</f>
        <v>66.6666666666667</v>
      </c>
      <c r="EN98" s="28" t="n">
        <f aca="false">IF(ISNUMBER(V98),V98*CX98,0)</f>
        <v>65</v>
      </c>
      <c r="EO98" s="28" t="n">
        <f aca="false">IF(ISNUMBER(Z98),Z98*CY98,0)</f>
        <v>72</v>
      </c>
      <c r="EP98" s="28" t="n">
        <f aca="false">IF(ISNUMBER(AD98),AD98*CZ98,0)</f>
        <v>95.6521739130435</v>
      </c>
      <c r="EQ98" s="28" t="n">
        <f aca="false">IF(ISNUMBER(AH98),AH98*DA98,0)</f>
        <v>0</v>
      </c>
      <c r="ER98" s="28" t="n">
        <f aca="false">IF(ISNUMBER(AL98),AL98*DB98,0)</f>
        <v>0</v>
      </c>
      <c r="ES98" s="28" t="n">
        <f aca="false">IF(ISNUMBER(AP98),AP98*DC98,0)</f>
        <v>0</v>
      </c>
      <c r="ET98" s="28" t="n">
        <f aca="false">IF(ISNUMBER(AT98),AT98*DD98,0)</f>
        <v>0</v>
      </c>
      <c r="EU98" s="28" t="n">
        <f aca="false">IF(ISNUMBER(AX98),AX98*DE98,0)</f>
        <v>0</v>
      </c>
      <c r="EV98" s="28" t="n">
        <f aca="false">IF(ISNUMBER(BB98),BB98*DF98,0)</f>
        <v>0</v>
      </c>
      <c r="EW98" s="28" t="n">
        <f aca="false">IF(ISNUMBER(BF98),BF98*DG98,0)</f>
        <v>0</v>
      </c>
      <c r="EX98" s="28" t="n">
        <f aca="false">IF(ISNUMBER(BJ98),BJ98*DH98,0)</f>
        <v>0</v>
      </c>
      <c r="EY98" s="28" t="n">
        <f aca="false">IF(ISNUMBER(BN98),BN98*DI98,0)</f>
        <v>0</v>
      </c>
      <c r="EZ98" s="28" t="n">
        <f aca="false">IF(ISNUMBER(BR98),BR98*DJ98,0)</f>
        <v>0</v>
      </c>
      <c r="FA98" s="28" t="n">
        <f aca="false">IF(ISNUMBER(R98),CW98,0)</f>
        <v>1</v>
      </c>
      <c r="FB98" s="28" t="n">
        <f aca="false">IF(ISNUMBER(V98),CX98,0)</f>
        <v>1</v>
      </c>
      <c r="FC98" s="28" t="n">
        <f aca="false">IF(ISNUMBER(Z98),CY98,0)</f>
        <v>1</v>
      </c>
      <c r="FD98" s="28" t="n">
        <f aca="false">IF(ISNUMBER(AD98),CZ98,0)</f>
        <v>1</v>
      </c>
      <c r="FE98" s="28" t="n">
        <f aca="false">IF(ISNUMBER(AH98),DA98,0)</f>
        <v>0</v>
      </c>
      <c r="FF98" s="28" t="n">
        <f aca="false">IF(ISNUMBER(AL98),DB98,0)</f>
        <v>0</v>
      </c>
      <c r="FG98" s="28" t="n">
        <f aca="false">IF(ISNUMBER(AP98),DC98,0)</f>
        <v>0</v>
      </c>
      <c r="FH98" s="28" t="n">
        <f aca="false">IF(ISNUMBER(AT98),DD98,0)</f>
        <v>0</v>
      </c>
      <c r="FI98" s="28" t="n">
        <f aca="false">IF(ISNUMBER(AX98),DE98,0)</f>
        <v>0</v>
      </c>
      <c r="FJ98" s="28" t="n">
        <f aca="false">IF(ISNUMBER(BB98),DF98,0)</f>
        <v>0</v>
      </c>
      <c r="FK98" s="28" t="n">
        <f aca="false">IF(ISNUMBER(BF98),DG98,0)</f>
        <v>0</v>
      </c>
      <c r="FL98" s="28" t="n">
        <f aca="false">IF(ISNUMBER(BJ98),DH98,0)</f>
        <v>0</v>
      </c>
      <c r="FM98" s="28" t="n">
        <f aca="false">IF(ISNUMBER(BN98),DI98,0)</f>
        <v>0</v>
      </c>
      <c r="FN98" s="28" t="n">
        <f aca="false">IF(ISNUMBER(BR98),DJ98,0)</f>
        <v>0</v>
      </c>
      <c r="FO98" s="28" t="str">
        <f aca="false">IFERROR(INDEX(Lists!$G$2:$G$20,MATCH($I98&amp;"|"&amp;$J98,Lists!$F$2:$F$20,0)),"")</f>
        <v>Econ Exam</v>
      </c>
    </row>
    <row r="99" customFormat="false" ht="19.5" hidden="false" customHeight="true" outlineLevel="0" collapsed="false">
      <c r="A99" s="29" t="s">
        <v>319</v>
      </c>
      <c r="B99" s="29" t="s">
        <v>320</v>
      </c>
      <c r="C99" s="30" t="s">
        <v>152</v>
      </c>
      <c r="D99" s="30" t="s">
        <v>271</v>
      </c>
      <c r="E99" s="31" t="n">
        <v>5.8</v>
      </c>
      <c r="F99" s="30" t="n">
        <v>6</v>
      </c>
      <c r="G99" s="30"/>
      <c r="H99" s="32" t="s">
        <v>23</v>
      </c>
      <c r="I99" s="33" t="s">
        <v>229</v>
      </c>
      <c r="J99" s="32" t="s">
        <v>223</v>
      </c>
      <c r="K99" s="34" t="n">
        <f aca="false">IF(OR(M99="",$E99=""),"",M99-$E99)</f>
        <v>0.2</v>
      </c>
      <c r="L99" s="35" t="n">
        <f aca="false">IF(SUM(FA99:FN99)=0,"",SUM(EM99:EZ99)/SUM(FA99:FN99))</f>
        <v>76.2282608695652</v>
      </c>
      <c r="M99" s="36" t="n">
        <f aca="false">IF(OR(L99="",FO99=""),"",IFERROR(MATCH(L99,INDEX(Boundaries!$B$2:$I$30,MATCH(FO99,Boundaries!$A$2:$A$30,0),0),1)-1,""))</f>
        <v>6</v>
      </c>
      <c r="N99" s="37" t="n">
        <f aca="false">IF(COUNT($DY99:$EL99)&lt;2,"",INDEX($DK99:$DX99,MAX($DY99:$EL99))-INDEX($DK99:$DX99,MIN($DY99:$EL99)))</f>
        <v>0</v>
      </c>
      <c r="O99" s="37" t="n">
        <f aca="false">IF(COUNT($DY99:$EL99)&lt;2,"",INDEX($DK99:$DX99,MAX($DY99:$EL99))-INDEX($DK99:$DX99,LARGE($DY99:$EL99,2)))</f>
        <v>-1</v>
      </c>
      <c r="P99" s="38" t="str">
        <f aca="false">IF(K99="","",IF(K99&gt;=0,"On/above target",IF(AND(N99&lt;&gt;"",N99&gt;=0.5),"Improving towards target",IF(AND(O99&lt;&gt;"",O99&lt;=-0.5),"Declining","Stable below target"))))</f>
        <v>On/above target</v>
      </c>
      <c r="Q99" s="39" t="n">
        <v>21</v>
      </c>
      <c r="R99" s="40" t="n">
        <f aca="false">IF(OR(Q99="",BU99=""),"",Q99/BU99*100)</f>
        <v>70</v>
      </c>
      <c r="S99" s="41" t="n">
        <f aca="false">IF(R99="","",IFERROR(MATCH(R99,INDEX(Boundaries!$B$2:$I$30,MATCH(CI99,Boundaries!$A$2:$A$30,0),0),1)-1,""))</f>
        <v>5</v>
      </c>
      <c r="T99" s="42" t="n">
        <f aca="false">IF(OR(S99="",$E99=""),"",S99-$E99)</f>
        <v>-0.8</v>
      </c>
      <c r="U99" s="39" t="n">
        <v>17</v>
      </c>
      <c r="V99" s="40" t="n">
        <f aca="false">IF(OR(U99="",BV99=""),"",U99/BV99*100)</f>
        <v>85</v>
      </c>
      <c r="W99" s="41" t="n">
        <f aca="false">IF(V99="","",IFERROR(MATCH(V99,INDEX(Boundaries!$B$2:$I$30,MATCH(CJ99,Boundaries!$A$2:$A$30,0),0),1)-1,""))</f>
        <v>7</v>
      </c>
      <c r="X99" s="42" t="n">
        <f aca="false">IF(OR(W99="",$E99=""),"",W99-$E99)</f>
        <v>1.2</v>
      </c>
      <c r="Y99" s="39" t="n">
        <v>19</v>
      </c>
      <c r="Z99" s="40" t="n">
        <f aca="false">IF(OR(Y99="",BW99=""),"",Y99/BW99*100)</f>
        <v>76</v>
      </c>
      <c r="AA99" s="41" t="n">
        <f aca="false">IF(Z99="","",IFERROR(MATCH(Z99,INDEX(Boundaries!$B$2:$I$30,MATCH(CK99,Boundaries!$A$2:$A$30,0),0),1)-1,""))</f>
        <v>6</v>
      </c>
      <c r="AB99" s="42" t="n">
        <f aca="false">IF(OR(AA99="",$E99=""),"",AA99-$E99)</f>
        <v>0.2</v>
      </c>
      <c r="AC99" s="39" t="n">
        <v>17</v>
      </c>
      <c r="AD99" s="40" t="n">
        <f aca="false">IF(OR(AC99="",BX99=""),"",AC99/BX99*100)</f>
        <v>73.9130434782609</v>
      </c>
      <c r="AE99" s="41" t="n">
        <f aca="false">IF(AD99="","",IFERROR(MATCH(AD99,INDEX(Boundaries!$B$2:$I$30,MATCH(CL99,Boundaries!$A$2:$A$30,0),0),1)-1,""))</f>
        <v>5</v>
      </c>
      <c r="AF99" s="42" t="n">
        <f aca="false">IF(OR(AE99="",$E99=""),"",AE99-$E99)</f>
        <v>-0.8</v>
      </c>
      <c r="AG99" s="39"/>
      <c r="AH99" s="40" t="str">
        <f aca="false">IF(OR(AG99="",BY99=""),"",AG99/BY99*100)</f>
        <v/>
      </c>
      <c r="AI99" s="41" t="str">
        <f aca="false">IF(AH99="","",IFERROR(MATCH(AH99,INDEX(Boundaries!$B$2:$I$30,MATCH(CM99,Boundaries!$A$2:$A$30,0),0),1)-1,""))</f>
        <v/>
      </c>
      <c r="AJ99" s="42" t="str">
        <f aca="false">IF(OR(AI99="",$E99=""),"",AI99-$E99)</f>
        <v/>
      </c>
      <c r="AK99" s="39"/>
      <c r="AL99" s="40" t="str">
        <f aca="false">IF(OR(AK99="",BZ99=""),"",AK99/BZ99*100)</f>
        <v/>
      </c>
      <c r="AM99" s="41" t="str">
        <f aca="false">IF(AL99="","",IFERROR(MATCH(AL99,INDEX(Boundaries!$B$2:$I$30,MATCH(CN99,Boundaries!$A$2:$A$30,0),0),1)-1,""))</f>
        <v/>
      </c>
      <c r="AN99" s="42" t="str">
        <f aca="false">IF(OR(AM99="",$E99=""),"",AM99-$E99)</f>
        <v/>
      </c>
      <c r="AO99" s="39"/>
      <c r="AP99" s="40" t="str">
        <f aca="false">IF(OR(AO99="",CA99=""),"",AO99/CA99*100)</f>
        <v/>
      </c>
      <c r="AQ99" s="41" t="str">
        <f aca="false">IF(AP99="","",IFERROR(MATCH(AP99,INDEX(Boundaries!$B$2:$I$30,MATCH(CO99,Boundaries!$A$2:$A$30,0),0),1)-1,""))</f>
        <v/>
      </c>
      <c r="AR99" s="42" t="str">
        <f aca="false">IF(OR(AQ99="",$E99=""),"",AQ99-$E99)</f>
        <v/>
      </c>
      <c r="AS99" s="39"/>
      <c r="AT99" s="40" t="str">
        <f aca="false">IF(OR(AS99="",CB99=""),"",AS99/CB99*100)</f>
        <v/>
      </c>
      <c r="AU99" s="41" t="str">
        <f aca="false">IF(AT99="","",IFERROR(MATCH(AT99,INDEX(Boundaries!$B$2:$I$30,MATCH(CP99,Boundaries!$A$2:$A$30,0),0),1)-1,""))</f>
        <v/>
      </c>
      <c r="AV99" s="42" t="str">
        <f aca="false">IF(OR(AU99="",$E99=""),"",AU99-$E99)</f>
        <v/>
      </c>
      <c r="AW99" s="39"/>
      <c r="AX99" s="40" t="str">
        <f aca="false">IF(OR(AW99="",CC99=""),"",AW99/CC99*100)</f>
        <v/>
      </c>
      <c r="AY99" s="41" t="str">
        <f aca="false">IF(AX99="","",IFERROR(MATCH(AX99,INDEX(Boundaries!$B$2:$I$30,MATCH(CQ99,Boundaries!$A$2:$A$30,0),0),1)-1,""))</f>
        <v/>
      </c>
      <c r="AZ99" s="42" t="str">
        <f aca="false">IF(OR(AY99="",$E99=""),"",AY99-$E99)</f>
        <v/>
      </c>
      <c r="BA99" s="39"/>
      <c r="BB99" s="40" t="str">
        <f aca="false">IF(OR(BA99="",CD99=""),"",BA99/CD99*100)</f>
        <v/>
      </c>
      <c r="BC99" s="41" t="str">
        <f aca="false">IF(BB99="","",IFERROR(MATCH(BB99,INDEX(Boundaries!$B$2:$I$30,MATCH(CR99,Boundaries!$A$2:$A$30,0),0),1)-1,""))</f>
        <v/>
      </c>
      <c r="BD99" s="42" t="str">
        <f aca="false">IF(OR(BC99="",$E99=""),"",BC99-$E99)</f>
        <v/>
      </c>
      <c r="BE99" s="39"/>
      <c r="BF99" s="40" t="str">
        <f aca="false">IF(OR(BE99="",CE99=""),"",BE99/CE99*100)</f>
        <v/>
      </c>
      <c r="BG99" s="41" t="str">
        <f aca="false">IF(BF99="","",IFERROR(MATCH(BF99,INDEX(Boundaries!$B$2:$I$30,MATCH(CS99,Boundaries!$A$2:$A$30,0),0),1)-1,""))</f>
        <v/>
      </c>
      <c r="BH99" s="42" t="str">
        <f aca="false">IF(OR(BG99="",$E99=""),"",BG99-$E99)</f>
        <v/>
      </c>
      <c r="BI99" s="39"/>
      <c r="BJ99" s="40" t="str">
        <f aca="false">IF(OR(BI99="",CF99=""),"",BI99/CF99*100)</f>
        <v/>
      </c>
      <c r="BK99" s="41" t="str">
        <f aca="false">IF(BJ99="","",IFERROR(MATCH(BJ99,INDEX(Boundaries!$B$2:$I$30,MATCH(CT99,Boundaries!$A$2:$A$30,0),0),1)-1,""))</f>
        <v/>
      </c>
      <c r="BL99" s="42" t="str">
        <f aca="false">IF(OR(BK99="",$E99=""),"",BK99-$E99)</f>
        <v/>
      </c>
      <c r="BM99" s="39"/>
      <c r="BN99" s="40" t="str">
        <f aca="false">IF(OR(BM99="",CG99=""),"",BM99/CG99*100)</f>
        <v/>
      </c>
      <c r="BO99" s="41" t="str">
        <f aca="false">IF(BN99="","",IFERROR(MATCH(BN99,INDEX(Boundaries!$B$2:$I$30,MATCH(CU99,Boundaries!$A$2:$A$30,0),0),1)-1,""))</f>
        <v/>
      </c>
      <c r="BP99" s="42" t="str">
        <f aca="false">IF(OR(BO99="",$E99=""),"",BO99-$E99)</f>
        <v/>
      </c>
      <c r="BQ99" s="39"/>
      <c r="BR99" s="40" t="str">
        <f aca="false">IF(OR(BQ99="",CH99=""),"",BQ99/CH99*100)</f>
        <v/>
      </c>
      <c r="BS99" s="41" t="str">
        <f aca="false">IF(BR99="","",IFERROR(MATCH(BR99,INDEX(Boundaries!$B$2:$I$30,MATCH(CV99,Boundaries!$A$2:$A$30,0),0),1)-1,""))</f>
        <v/>
      </c>
      <c r="BT99" s="42" t="str">
        <f aca="false">IF(OR(BS99="",$E99=""),"",BS99-$E99)</f>
        <v/>
      </c>
      <c r="BU99" s="28" t="n">
        <f aca="false">IFERROR(INDEX(Assessments!$H$2:$H$600,MATCH($H99&amp;"|"&amp;$I99&amp;"|"&amp;$J99&amp;"|"&amp;1,Assessments!$A$2:$A$600,0)),"")</f>
        <v>30</v>
      </c>
      <c r="BV99" s="28" t="n">
        <f aca="false">IFERROR(INDEX(Assessments!$H$2:$H$600,MATCH($H99&amp;"|"&amp;$I99&amp;"|"&amp;$J99&amp;"|"&amp;2,Assessments!$A$2:$A$600,0)),"")</f>
        <v>20</v>
      </c>
      <c r="BW99" s="28" t="n">
        <f aca="false">IFERROR(INDEX(Assessments!$H$2:$H$600,MATCH($H99&amp;"|"&amp;$I99&amp;"|"&amp;$J99&amp;"|"&amp;3,Assessments!$A$2:$A$600,0)),"")</f>
        <v>25</v>
      </c>
      <c r="BX99" s="28" t="n">
        <f aca="false">IFERROR(INDEX(Assessments!$H$2:$H$600,MATCH($H99&amp;"|"&amp;$I99&amp;"|"&amp;$J99&amp;"|"&amp;4,Assessments!$A$2:$A$600,0)),"")</f>
        <v>23</v>
      </c>
      <c r="BY99" s="28" t="n">
        <f aca="false">IFERROR(INDEX(Assessments!$H$2:$H$600,MATCH($H99&amp;"|"&amp;$I99&amp;"|"&amp;$J99&amp;"|"&amp;5,Assessments!$A$2:$A$600,0)),"")</f>
        <v>25</v>
      </c>
      <c r="BZ99" s="28" t="n">
        <f aca="false">IFERROR(INDEX(Assessments!$H$2:$H$600,MATCH($H99&amp;"|"&amp;$I99&amp;"|"&amp;$J99&amp;"|"&amp;6,Assessments!$A$2:$A$600,0)),"")</f>
        <v>15</v>
      </c>
      <c r="CA99" s="28" t="n">
        <f aca="false">IFERROR(INDEX(Assessments!$H$2:$H$600,MATCH($H99&amp;"|"&amp;$I99&amp;"|"&amp;$J99&amp;"|"&amp;7,Assessments!$A$2:$A$600,0)),"")</f>
        <v>52</v>
      </c>
      <c r="CB99" s="28" t="str">
        <f aca="false">IFERROR(INDEX(Assessments!$H$2:$H$600,MATCH($H99&amp;"|"&amp;$I99&amp;"|"&amp;$J99&amp;"|"&amp;8,Assessments!$A$2:$A$600,0)),"")</f>
        <v/>
      </c>
      <c r="CC99" s="28" t="str">
        <f aca="false">IFERROR(INDEX(Assessments!$H$2:$H$600,MATCH($H99&amp;"|"&amp;$I99&amp;"|"&amp;$J99&amp;"|"&amp;9,Assessments!$A$2:$A$600,0)),"")</f>
        <v/>
      </c>
      <c r="CD99" s="28" t="str">
        <f aca="false">IFERROR(INDEX(Assessments!$H$2:$H$600,MATCH($H99&amp;"|"&amp;$I99&amp;"|"&amp;$J99&amp;"|"&amp;10,Assessments!$A$2:$A$600,0)),"")</f>
        <v/>
      </c>
      <c r="CE99" s="28" t="str">
        <f aca="false">IFERROR(INDEX(Assessments!$H$2:$H$600,MATCH($H99&amp;"|"&amp;$I99&amp;"|"&amp;$J99&amp;"|"&amp;11,Assessments!$A$2:$A$600,0)),"")</f>
        <v/>
      </c>
      <c r="CF99" s="28" t="str">
        <f aca="false">IFERROR(INDEX(Assessments!$H$2:$H$600,MATCH($H99&amp;"|"&amp;$I99&amp;"|"&amp;$J99&amp;"|"&amp;12,Assessments!$A$2:$A$600,0)),"")</f>
        <v/>
      </c>
      <c r="CG99" s="28" t="str">
        <f aca="false">IFERROR(INDEX(Assessments!$H$2:$H$600,MATCH($H99&amp;"|"&amp;$I99&amp;"|"&amp;$J99&amp;"|"&amp;13,Assessments!$A$2:$A$600,0)),"")</f>
        <v/>
      </c>
      <c r="CH99" s="28" t="str">
        <f aca="false">IFERROR(INDEX(Assessments!$H$2:$H$600,MATCH($H99&amp;"|"&amp;$I99&amp;"|"&amp;$J99&amp;"|"&amp;14,Assessments!$A$2:$A$600,0)),"")</f>
        <v/>
      </c>
      <c r="CI99" s="28" t="str">
        <f aca="false">IFERROR(INDEX(Assessments!$I$2:$I$600,MATCH($H99&amp;"|"&amp;$I99&amp;"|"&amp;$J99&amp;"|"&amp;1,Assessments!$A$2:$A$600,0)),"")</f>
        <v>Econ Test</v>
      </c>
      <c r="CJ99" s="28" t="str">
        <f aca="false">IFERROR(INDEX(Assessments!$I$2:$I$600,MATCH($H99&amp;"|"&amp;$I99&amp;"|"&amp;$J99&amp;"|"&amp;2,Assessments!$A$2:$A$600,0)),"")</f>
        <v>Econ Test</v>
      </c>
      <c r="CK99" s="28" t="str">
        <f aca="false">IFERROR(INDEX(Assessments!$I$2:$I$600,MATCH($H99&amp;"|"&amp;$I99&amp;"|"&amp;$J99&amp;"|"&amp;3,Assessments!$A$2:$A$600,0)),"")</f>
        <v>Econ Test</v>
      </c>
      <c r="CL99" s="28" t="str">
        <f aca="false">IFERROR(INDEX(Assessments!$I$2:$I$600,MATCH($H99&amp;"|"&amp;$I99&amp;"|"&amp;$J99&amp;"|"&amp;4,Assessments!$A$2:$A$600,0)),"")</f>
        <v>Econ Test</v>
      </c>
      <c r="CM99" s="28" t="str">
        <f aca="false">IFERROR(INDEX(Assessments!$I$2:$I$600,MATCH($H99&amp;"|"&amp;$I99&amp;"|"&amp;$J99&amp;"|"&amp;5,Assessments!$A$2:$A$600,0)),"")</f>
        <v>Econ Exam</v>
      </c>
      <c r="CN99" s="28" t="str">
        <f aca="false">IFERROR(INDEX(Assessments!$I$2:$I$600,MATCH($H99&amp;"|"&amp;$I99&amp;"|"&amp;$J99&amp;"|"&amp;6,Assessments!$A$2:$A$600,0)),"")</f>
        <v>Econ Test</v>
      </c>
      <c r="CO99" s="28" t="str">
        <f aca="false">IFERROR(INDEX(Assessments!$I$2:$I$600,MATCH($H99&amp;"|"&amp;$I99&amp;"|"&amp;$J99&amp;"|"&amp;7,Assessments!$A$2:$A$600,0)),"")</f>
        <v>Econ Exam</v>
      </c>
      <c r="CP99" s="28" t="str">
        <f aca="false">IFERROR(INDEX(Assessments!$I$2:$I$600,MATCH($H99&amp;"|"&amp;$I99&amp;"|"&amp;$J99&amp;"|"&amp;8,Assessments!$A$2:$A$600,0)),"")</f>
        <v/>
      </c>
      <c r="CQ99" s="28" t="str">
        <f aca="false">IFERROR(INDEX(Assessments!$I$2:$I$600,MATCH($H99&amp;"|"&amp;$I99&amp;"|"&amp;$J99&amp;"|"&amp;9,Assessments!$A$2:$A$600,0)),"")</f>
        <v/>
      </c>
      <c r="CR99" s="28" t="str">
        <f aca="false">IFERROR(INDEX(Assessments!$I$2:$I$600,MATCH($H99&amp;"|"&amp;$I99&amp;"|"&amp;$J99&amp;"|"&amp;10,Assessments!$A$2:$A$600,0)),"")</f>
        <v/>
      </c>
      <c r="CS99" s="28" t="str">
        <f aca="false">IFERROR(INDEX(Assessments!$I$2:$I$600,MATCH($H99&amp;"|"&amp;$I99&amp;"|"&amp;$J99&amp;"|"&amp;11,Assessments!$A$2:$A$600,0)),"")</f>
        <v/>
      </c>
      <c r="CT99" s="28" t="str">
        <f aca="false">IFERROR(INDEX(Assessments!$I$2:$I$600,MATCH($H99&amp;"|"&amp;$I99&amp;"|"&amp;$J99&amp;"|"&amp;12,Assessments!$A$2:$A$600,0)),"")</f>
        <v/>
      </c>
      <c r="CU99" s="28" t="str">
        <f aca="false">IFERROR(INDEX(Assessments!$I$2:$I$600,MATCH($H99&amp;"|"&amp;$I99&amp;"|"&amp;$J99&amp;"|"&amp;13,Assessments!$A$2:$A$600,0)),"")</f>
        <v/>
      </c>
      <c r="CV99" s="28" t="str">
        <f aca="false">IFERROR(INDEX(Assessments!$I$2:$I$600,MATCH($H99&amp;"|"&amp;$I99&amp;"|"&amp;$J99&amp;"|"&amp;14,Assessments!$A$2:$A$600,0)),"")</f>
        <v/>
      </c>
      <c r="CW99" s="28" t="n">
        <f aca="false">IFERROR(INDEX(Assessments!$J$2:$J$600,MATCH($H99&amp;"|"&amp;$I99&amp;"|"&amp;$J99&amp;"|"&amp;1,Assessments!$A$2:$A$600,0)),0)</f>
        <v>1</v>
      </c>
      <c r="CX99" s="28" t="n">
        <f aca="false">IFERROR(INDEX(Assessments!$J$2:$J$600,MATCH($H99&amp;"|"&amp;$I99&amp;"|"&amp;$J99&amp;"|"&amp;2,Assessments!$A$2:$A$600,0)),0)</f>
        <v>1</v>
      </c>
      <c r="CY99" s="28" t="n">
        <f aca="false">IFERROR(INDEX(Assessments!$J$2:$J$600,MATCH($H99&amp;"|"&amp;$I99&amp;"|"&amp;$J99&amp;"|"&amp;3,Assessments!$A$2:$A$600,0)),0)</f>
        <v>1</v>
      </c>
      <c r="CZ99" s="28" t="n">
        <f aca="false">IFERROR(INDEX(Assessments!$J$2:$J$600,MATCH($H99&amp;"|"&amp;$I99&amp;"|"&amp;$J99&amp;"|"&amp;4,Assessments!$A$2:$A$600,0)),0)</f>
        <v>1</v>
      </c>
      <c r="DA99" s="28" t="n">
        <f aca="false">IFERROR(INDEX(Assessments!$J$2:$J$600,MATCH($H99&amp;"|"&amp;$I99&amp;"|"&amp;$J99&amp;"|"&amp;5,Assessments!$A$2:$A$600,0)),0)</f>
        <v>2</v>
      </c>
      <c r="DB99" s="28" t="n">
        <f aca="false">IFERROR(INDEX(Assessments!$J$2:$J$600,MATCH($H99&amp;"|"&amp;$I99&amp;"|"&amp;$J99&amp;"|"&amp;6,Assessments!$A$2:$A$600,0)),0)</f>
        <v>1</v>
      </c>
      <c r="DC99" s="28" t="n">
        <f aca="false">IFERROR(INDEX(Assessments!$J$2:$J$600,MATCH($H99&amp;"|"&amp;$I99&amp;"|"&amp;$J99&amp;"|"&amp;7,Assessments!$A$2:$A$600,0)),0)</f>
        <v>2</v>
      </c>
      <c r="DD99" s="28" t="n">
        <f aca="false">IFERROR(INDEX(Assessments!$J$2:$J$600,MATCH($H99&amp;"|"&amp;$I99&amp;"|"&amp;$J99&amp;"|"&amp;8,Assessments!$A$2:$A$600,0)),0)</f>
        <v>0</v>
      </c>
      <c r="DE99" s="28" t="n">
        <f aca="false">IFERROR(INDEX(Assessments!$J$2:$J$600,MATCH($H99&amp;"|"&amp;$I99&amp;"|"&amp;$J99&amp;"|"&amp;9,Assessments!$A$2:$A$600,0)),0)</f>
        <v>0</v>
      </c>
      <c r="DF99" s="28" t="n">
        <f aca="false">IFERROR(INDEX(Assessments!$J$2:$J$600,MATCH($H99&amp;"|"&amp;$I99&amp;"|"&amp;$J99&amp;"|"&amp;10,Assessments!$A$2:$A$600,0)),0)</f>
        <v>0</v>
      </c>
      <c r="DG99" s="28" t="n">
        <f aca="false">IFERROR(INDEX(Assessments!$J$2:$J$600,MATCH($H99&amp;"|"&amp;$I99&amp;"|"&amp;$J99&amp;"|"&amp;11,Assessments!$A$2:$A$600,0)),0)</f>
        <v>0</v>
      </c>
      <c r="DH99" s="28" t="n">
        <f aca="false">IFERROR(INDEX(Assessments!$J$2:$J$600,MATCH($H99&amp;"|"&amp;$I99&amp;"|"&amp;$J99&amp;"|"&amp;12,Assessments!$A$2:$A$600,0)),0)</f>
        <v>0</v>
      </c>
      <c r="DI99" s="28" t="n">
        <f aca="false">IFERROR(INDEX(Assessments!$J$2:$J$600,MATCH($H99&amp;"|"&amp;$I99&amp;"|"&amp;$J99&amp;"|"&amp;13,Assessments!$A$2:$A$600,0)),0)</f>
        <v>0</v>
      </c>
      <c r="DJ99" s="28" t="n">
        <f aca="false">IFERROR(INDEX(Assessments!$J$2:$J$600,MATCH($H99&amp;"|"&amp;$I99&amp;"|"&amp;$J99&amp;"|"&amp;14,Assessments!$A$2:$A$600,0)),0)</f>
        <v>0</v>
      </c>
      <c r="DK99" s="28" t="n">
        <f aca="false">S99</f>
        <v>5</v>
      </c>
      <c r="DL99" s="28" t="n">
        <f aca="false">W99</f>
        <v>7</v>
      </c>
      <c r="DM99" s="28" t="n">
        <f aca="false">AA99</f>
        <v>6</v>
      </c>
      <c r="DN99" s="28" t="n">
        <f aca="false">AE99</f>
        <v>5</v>
      </c>
      <c r="DO99" s="28" t="str">
        <f aca="false">AI99</f>
        <v/>
      </c>
      <c r="DP99" s="28" t="str">
        <f aca="false">AM99</f>
        <v/>
      </c>
      <c r="DQ99" s="28" t="str">
        <f aca="false">AQ99</f>
        <v/>
      </c>
      <c r="DR99" s="28" t="str">
        <f aca="false">AU99</f>
        <v/>
      </c>
      <c r="DS99" s="28" t="str">
        <f aca="false">AY99</f>
        <v/>
      </c>
      <c r="DT99" s="28" t="str">
        <f aca="false">BC99</f>
        <v/>
      </c>
      <c r="DU99" s="28" t="str">
        <f aca="false">BG99</f>
        <v/>
      </c>
      <c r="DV99" s="28" t="str">
        <f aca="false">BK99</f>
        <v/>
      </c>
      <c r="DW99" s="28" t="str">
        <f aca="false">BO99</f>
        <v/>
      </c>
      <c r="DX99" s="28" t="str">
        <f aca="false">BS99</f>
        <v/>
      </c>
      <c r="DY99" s="28" t="n">
        <f aca="false">IF(ISNUMBER(S99),1,"")</f>
        <v>1</v>
      </c>
      <c r="DZ99" s="28" t="n">
        <f aca="false">IF(ISNUMBER(W99),2,"")</f>
        <v>2</v>
      </c>
      <c r="EA99" s="28" t="n">
        <f aca="false">IF(ISNUMBER(AA99),3,"")</f>
        <v>3</v>
      </c>
      <c r="EB99" s="28" t="n">
        <f aca="false">IF(ISNUMBER(AE99),4,"")</f>
        <v>4</v>
      </c>
      <c r="EC99" s="28" t="str">
        <f aca="false">IF(ISNUMBER(AI99),5,"")</f>
        <v/>
      </c>
      <c r="ED99" s="28" t="str">
        <f aca="false">IF(ISNUMBER(AM99),6,"")</f>
        <v/>
      </c>
      <c r="EE99" s="28" t="str">
        <f aca="false">IF(ISNUMBER(AQ99),7,"")</f>
        <v/>
      </c>
      <c r="EF99" s="28" t="str">
        <f aca="false">IF(ISNUMBER(AU99),8,"")</f>
        <v/>
      </c>
      <c r="EG99" s="28" t="str">
        <f aca="false">IF(ISNUMBER(AY99),9,"")</f>
        <v/>
      </c>
      <c r="EH99" s="28" t="str">
        <f aca="false">IF(ISNUMBER(BC99),10,"")</f>
        <v/>
      </c>
      <c r="EI99" s="28" t="str">
        <f aca="false">IF(ISNUMBER(BG99),11,"")</f>
        <v/>
      </c>
      <c r="EJ99" s="28" t="str">
        <f aca="false">IF(ISNUMBER(BK99),12,"")</f>
        <v/>
      </c>
      <c r="EK99" s="28" t="str">
        <f aca="false">IF(ISNUMBER(BO99),13,"")</f>
        <v/>
      </c>
      <c r="EL99" s="28" t="str">
        <f aca="false">IF(ISNUMBER(BS99),14,"")</f>
        <v/>
      </c>
      <c r="EM99" s="28" t="n">
        <f aca="false">IF(ISNUMBER(R99),R99*CW99,0)</f>
        <v>70</v>
      </c>
      <c r="EN99" s="28" t="n">
        <f aca="false">IF(ISNUMBER(V99),V99*CX99,0)</f>
        <v>85</v>
      </c>
      <c r="EO99" s="28" t="n">
        <f aca="false">IF(ISNUMBER(Z99),Z99*CY99,0)</f>
        <v>76</v>
      </c>
      <c r="EP99" s="28" t="n">
        <f aca="false">IF(ISNUMBER(AD99),AD99*CZ99,0)</f>
        <v>73.9130434782609</v>
      </c>
      <c r="EQ99" s="28" t="n">
        <f aca="false">IF(ISNUMBER(AH99),AH99*DA99,0)</f>
        <v>0</v>
      </c>
      <c r="ER99" s="28" t="n">
        <f aca="false">IF(ISNUMBER(AL99),AL99*DB99,0)</f>
        <v>0</v>
      </c>
      <c r="ES99" s="28" t="n">
        <f aca="false">IF(ISNUMBER(AP99),AP99*DC99,0)</f>
        <v>0</v>
      </c>
      <c r="ET99" s="28" t="n">
        <f aca="false">IF(ISNUMBER(AT99),AT99*DD99,0)</f>
        <v>0</v>
      </c>
      <c r="EU99" s="28" t="n">
        <f aca="false">IF(ISNUMBER(AX99),AX99*DE99,0)</f>
        <v>0</v>
      </c>
      <c r="EV99" s="28" t="n">
        <f aca="false">IF(ISNUMBER(BB99),BB99*DF99,0)</f>
        <v>0</v>
      </c>
      <c r="EW99" s="28" t="n">
        <f aca="false">IF(ISNUMBER(BF99),BF99*DG99,0)</f>
        <v>0</v>
      </c>
      <c r="EX99" s="28" t="n">
        <f aca="false">IF(ISNUMBER(BJ99),BJ99*DH99,0)</f>
        <v>0</v>
      </c>
      <c r="EY99" s="28" t="n">
        <f aca="false">IF(ISNUMBER(BN99),BN99*DI99,0)</f>
        <v>0</v>
      </c>
      <c r="EZ99" s="28" t="n">
        <f aca="false">IF(ISNUMBER(BR99),BR99*DJ99,0)</f>
        <v>0</v>
      </c>
      <c r="FA99" s="28" t="n">
        <f aca="false">IF(ISNUMBER(R99),CW99,0)</f>
        <v>1</v>
      </c>
      <c r="FB99" s="28" t="n">
        <f aca="false">IF(ISNUMBER(V99),CX99,0)</f>
        <v>1</v>
      </c>
      <c r="FC99" s="28" t="n">
        <f aca="false">IF(ISNUMBER(Z99),CY99,0)</f>
        <v>1</v>
      </c>
      <c r="FD99" s="28" t="n">
        <f aca="false">IF(ISNUMBER(AD99),CZ99,0)</f>
        <v>1</v>
      </c>
      <c r="FE99" s="28" t="n">
        <f aca="false">IF(ISNUMBER(AH99),DA99,0)</f>
        <v>0</v>
      </c>
      <c r="FF99" s="28" t="n">
        <f aca="false">IF(ISNUMBER(AL99),DB99,0)</f>
        <v>0</v>
      </c>
      <c r="FG99" s="28" t="n">
        <f aca="false">IF(ISNUMBER(AP99),DC99,0)</f>
        <v>0</v>
      </c>
      <c r="FH99" s="28" t="n">
        <f aca="false">IF(ISNUMBER(AT99),DD99,0)</f>
        <v>0</v>
      </c>
      <c r="FI99" s="28" t="n">
        <f aca="false">IF(ISNUMBER(AX99),DE99,0)</f>
        <v>0</v>
      </c>
      <c r="FJ99" s="28" t="n">
        <f aca="false">IF(ISNUMBER(BB99),DF99,0)</f>
        <v>0</v>
      </c>
      <c r="FK99" s="28" t="n">
        <f aca="false">IF(ISNUMBER(BF99),DG99,0)</f>
        <v>0</v>
      </c>
      <c r="FL99" s="28" t="n">
        <f aca="false">IF(ISNUMBER(BJ99),DH99,0)</f>
        <v>0</v>
      </c>
      <c r="FM99" s="28" t="n">
        <f aca="false">IF(ISNUMBER(BN99),DI99,0)</f>
        <v>0</v>
      </c>
      <c r="FN99" s="28" t="n">
        <f aca="false">IF(ISNUMBER(BR99),DJ99,0)</f>
        <v>0</v>
      </c>
      <c r="FO99" s="28" t="str">
        <f aca="false">IFERROR(INDEX(Lists!$G$2:$G$20,MATCH($I99&amp;"|"&amp;$J99,Lists!$F$2:$F$20,0)),"")</f>
        <v>Econ Exam</v>
      </c>
    </row>
    <row r="100" customFormat="false" ht="19.5" hidden="false" customHeight="true" outlineLevel="0" collapsed="false">
      <c r="A100" s="29" t="s">
        <v>321</v>
      </c>
      <c r="B100" s="29" t="s">
        <v>322</v>
      </c>
      <c r="C100" s="30" t="s">
        <v>152</v>
      </c>
      <c r="D100" s="30" t="s">
        <v>271</v>
      </c>
      <c r="E100" s="31" t="n">
        <v>6.2</v>
      </c>
      <c r="F100" s="30" t="n">
        <v>7</v>
      </c>
      <c r="G100" s="30"/>
      <c r="H100" s="32" t="s">
        <v>23</v>
      </c>
      <c r="I100" s="33" t="s">
        <v>229</v>
      </c>
      <c r="J100" s="32" t="s">
        <v>223</v>
      </c>
      <c r="K100" s="34" t="n">
        <f aca="false">IF(OR(M100="",$E100=""),"",M100-$E100)</f>
        <v>0.8</v>
      </c>
      <c r="L100" s="35" t="n">
        <f aca="false">IF(SUM(FA100:FN100)=0,"",SUM(EM100:EZ100)/SUM(FA100:FN100))</f>
        <v>82.9094202898551</v>
      </c>
      <c r="M100" s="36" t="n">
        <f aca="false">IF(OR(L100="",FO100=""),"",IFERROR(MATCH(L100,INDEX(Boundaries!$B$2:$I$30,MATCH(FO100,Boundaries!$A$2:$A$30,0),0),1)-1,""))</f>
        <v>7</v>
      </c>
      <c r="N100" s="37" t="n">
        <f aca="false">IF(COUNT($DY100:$EL100)&lt;2,"",INDEX($DK100:$DX100,MAX($DY100:$EL100))-INDEX($DK100:$DX100,MIN($DY100:$EL100)))</f>
        <v>1</v>
      </c>
      <c r="O100" s="37" t="n">
        <f aca="false">IF(COUNT($DY100:$EL100)&lt;2,"",INDEX($DK100:$DX100,MAX($DY100:$EL100))-INDEX($DK100:$DX100,LARGE($DY100:$EL100,2)))</f>
        <v>2</v>
      </c>
      <c r="P100" s="38" t="str">
        <f aca="false">IF(K100="","",IF(K100&gt;=0,"On/above target",IF(AND(N100&lt;&gt;"",N100&gt;=0.5),"Improving towards target",IF(AND(O100&lt;&gt;"",O100&lt;=-0.5),"Declining","Stable below target"))))</f>
        <v>On/above target</v>
      </c>
      <c r="Q100" s="39" t="n">
        <v>25</v>
      </c>
      <c r="R100" s="40" t="n">
        <f aca="false">IF(OR(Q100="",BU100=""),"",Q100/BU100*100)</f>
        <v>83.3333333333333</v>
      </c>
      <c r="S100" s="41" t="n">
        <f aca="false">IF(R100="","",IFERROR(MATCH(R100,INDEX(Boundaries!$B$2:$I$30,MATCH(CI100,Boundaries!$A$2:$A$30,0),0),1)-1,""))</f>
        <v>6</v>
      </c>
      <c r="T100" s="42" t="n">
        <f aca="false">IF(OR(S100="",$E100=""),"",S100-$E100)</f>
        <v>-0.2</v>
      </c>
      <c r="U100" s="39" t="n">
        <v>17</v>
      </c>
      <c r="V100" s="40" t="n">
        <f aca="false">IF(OR(U100="",BV100=""),"",U100/BV100*100)</f>
        <v>85</v>
      </c>
      <c r="W100" s="41" t="n">
        <f aca="false">IF(V100="","",IFERROR(MATCH(V100,INDEX(Boundaries!$B$2:$I$30,MATCH(CJ100,Boundaries!$A$2:$A$30,0),0),1)-1,""))</f>
        <v>7</v>
      </c>
      <c r="X100" s="42" t="n">
        <f aca="false">IF(OR(W100="",$E100=""),"",W100-$E100)</f>
        <v>0.8</v>
      </c>
      <c r="Y100" s="39" t="n">
        <v>18</v>
      </c>
      <c r="Z100" s="40" t="n">
        <f aca="false">IF(OR(Y100="",BW100=""),"",Y100/BW100*100)</f>
        <v>72</v>
      </c>
      <c r="AA100" s="41" t="n">
        <f aca="false">IF(Z100="","",IFERROR(MATCH(Z100,INDEX(Boundaries!$B$2:$I$30,MATCH(CK100,Boundaries!$A$2:$A$30,0),0),1)-1,""))</f>
        <v>5</v>
      </c>
      <c r="AB100" s="42" t="n">
        <f aca="false">IF(OR(AA100="",$E100=""),"",AA100-$E100)</f>
        <v>-1.2</v>
      </c>
      <c r="AC100" s="39" t="n">
        <v>21</v>
      </c>
      <c r="AD100" s="40" t="n">
        <f aca="false">IF(OR(AC100="",BX100=""),"",AC100/BX100*100)</f>
        <v>91.304347826087</v>
      </c>
      <c r="AE100" s="41" t="n">
        <f aca="false">IF(AD100="","",IFERROR(MATCH(AD100,INDEX(Boundaries!$B$2:$I$30,MATCH(CL100,Boundaries!$A$2:$A$30,0),0),1)-1,""))</f>
        <v>7</v>
      </c>
      <c r="AF100" s="42" t="n">
        <f aca="false">IF(OR(AE100="",$E100=""),"",AE100-$E100)</f>
        <v>0.8</v>
      </c>
      <c r="AG100" s="39"/>
      <c r="AH100" s="40" t="str">
        <f aca="false">IF(OR(AG100="",BY100=""),"",AG100/BY100*100)</f>
        <v/>
      </c>
      <c r="AI100" s="41" t="str">
        <f aca="false">IF(AH100="","",IFERROR(MATCH(AH100,INDEX(Boundaries!$B$2:$I$30,MATCH(CM100,Boundaries!$A$2:$A$30,0),0),1)-1,""))</f>
        <v/>
      </c>
      <c r="AJ100" s="42" t="str">
        <f aca="false">IF(OR(AI100="",$E100=""),"",AI100-$E100)</f>
        <v/>
      </c>
      <c r="AK100" s="39"/>
      <c r="AL100" s="40" t="str">
        <f aca="false">IF(OR(AK100="",BZ100=""),"",AK100/BZ100*100)</f>
        <v/>
      </c>
      <c r="AM100" s="41" t="str">
        <f aca="false">IF(AL100="","",IFERROR(MATCH(AL100,INDEX(Boundaries!$B$2:$I$30,MATCH(CN100,Boundaries!$A$2:$A$30,0),0),1)-1,""))</f>
        <v/>
      </c>
      <c r="AN100" s="42" t="str">
        <f aca="false">IF(OR(AM100="",$E100=""),"",AM100-$E100)</f>
        <v/>
      </c>
      <c r="AO100" s="39"/>
      <c r="AP100" s="40" t="str">
        <f aca="false">IF(OR(AO100="",CA100=""),"",AO100/CA100*100)</f>
        <v/>
      </c>
      <c r="AQ100" s="41" t="str">
        <f aca="false">IF(AP100="","",IFERROR(MATCH(AP100,INDEX(Boundaries!$B$2:$I$30,MATCH(CO100,Boundaries!$A$2:$A$30,0),0),1)-1,""))</f>
        <v/>
      </c>
      <c r="AR100" s="42" t="str">
        <f aca="false">IF(OR(AQ100="",$E100=""),"",AQ100-$E100)</f>
        <v/>
      </c>
      <c r="AS100" s="39"/>
      <c r="AT100" s="40" t="str">
        <f aca="false">IF(OR(AS100="",CB100=""),"",AS100/CB100*100)</f>
        <v/>
      </c>
      <c r="AU100" s="41" t="str">
        <f aca="false">IF(AT100="","",IFERROR(MATCH(AT100,INDEX(Boundaries!$B$2:$I$30,MATCH(CP100,Boundaries!$A$2:$A$30,0),0),1)-1,""))</f>
        <v/>
      </c>
      <c r="AV100" s="42" t="str">
        <f aca="false">IF(OR(AU100="",$E100=""),"",AU100-$E100)</f>
        <v/>
      </c>
      <c r="AW100" s="39"/>
      <c r="AX100" s="40" t="str">
        <f aca="false">IF(OR(AW100="",CC100=""),"",AW100/CC100*100)</f>
        <v/>
      </c>
      <c r="AY100" s="41" t="str">
        <f aca="false">IF(AX100="","",IFERROR(MATCH(AX100,INDEX(Boundaries!$B$2:$I$30,MATCH(CQ100,Boundaries!$A$2:$A$30,0),0),1)-1,""))</f>
        <v/>
      </c>
      <c r="AZ100" s="42" t="str">
        <f aca="false">IF(OR(AY100="",$E100=""),"",AY100-$E100)</f>
        <v/>
      </c>
      <c r="BA100" s="39"/>
      <c r="BB100" s="40" t="str">
        <f aca="false">IF(OR(BA100="",CD100=""),"",BA100/CD100*100)</f>
        <v/>
      </c>
      <c r="BC100" s="41" t="str">
        <f aca="false">IF(BB100="","",IFERROR(MATCH(BB100,INDEX(Boundaries!$B$2:$I$30,MATCH(CR100,Boundaries!$A$2:$A$30,0),0),1)-1,""))</f>
        <v/>
      </c>
      <c r="BD100" s="42" t="str">
        <f aca="false">IF(OR(BC100="",$E100=""),"",BC100-$E100)</f>
        <v/>
      </c>
      <c r="BE100" s="39"/>
      <c r="BF100" s="40" t="str">
        <f aca="false">IF(OR(BE100="",CE100=""),"",BE100/CE100*100)</f>
        <v/>
      </c>
      <c r="BG100" s="41" t="str">
        <f aca="false">IF(BF100="","",IFERROR(MATCH(BF100,INDEX(Boundaries!$B$2:$I$30,MATCH(CS100,Boundaries!$A$2:$A$30,0),0),1)-1,""))</f>
        <v/>
      </c>
      <c r="BH100" s="42" t="str">
        <f aca="false">IF(OR(BG100="",$E100=""),"",BG100-$E100)</f>
        <v/>
      </c>
      <c r="BI100" s="39"/>
      <c r="BJ100" s="40" t="str">
        <f aca="false">IF(OR(BI100="",CF100=""),"",BI100/CF100*100)</f>
        <v/>
      </c>
      <c r="BK100" s="41" t="str">
        <f aca="false">IF(BJ100="","",IFERROR(MATCH(BJ100,INDEX(Boundaries!$B$2:$I$30,MATCH(CT100,Boundaries!$A$2:$A$30,0),0),1)-1,""))</f>
        <v/>
      </c>
      <c r="BL100" s="42" t="str">
        <f aca="false">IF(OR(BK100="",$E100=""),"",BK100-$E100)</f>
        <v/>
      </c>
      <c r="BM100" s="39"/>
      <c r="BN100" s="40" t="str">
        <f aca="false">IF(OR(BM100="",CG100=""),"",BM100/CG100*100)</f>
        <v/>
      </c>
      <c r="BO100" s="41" t="str">
        <f aca="false">IF(BN100="","",IFERROR(MATCH(BN100,INDEX(Boundaries!$B$2:$I$30,MATCH(CU100,Boundaries!$A$2:$A$30,0),0),1)-1,""))</f>
        <v/>
      </c>
      <c r="BP100" s="42" t="str">
        <f aca="false">IF(OR(BO100="",$E100=""),"",BO100-$E100)</f>
        <v/>
      </c>
      <c r="BQ100" s="39"/>
      <c r="BR100" s="40" t="str">
        <f aca="false">IF(OR(BQ100="",CH100=""),"",BQ100/CH100*100)</f>
        <v/>
      </c>
      <c r="BS100" s="41" t="str">
        <f aca="false">IF(BR100="","",IFERROR(MATCH(BR100,INDEX(Boundaries!$B$2:$I$30,MATCH(CV100,Boundaries!$A$2:$A$30,0),0),1)-1,""))</f>
        <v/>
      </c>
      <c r="BT100" s="42" t="str">
        <f aca="false">IF(OR(BS100="",$E100=""),"",BS100-$E100)</f>
        <v/>
      </c>
      <c r="BU100" s="28" t="n">
        <f aca="false">IFERROR(INDEX(Assessments!$H$2:$H$600,MATCH($H100&amp;"|"&amp;$I100&amp;"|"&amp;$J100&amp;"|"&amp;1,Assessments!$A$2:$A$600,0)),"")</f>
        <v>30</v>
      </c>
      <c r="BV100" s="28" t="n">
        <f aca="false">IFERROR(INDEX(Assessments!$H$2:$H$600,MATCH($H100&amp;"|"&amp;$I100&amp;"|"&amp;$J100&amp;"|"&amp;2,Assessments!$A$2:$A$600,0)),"")</f>
        <v>20</v>
      </c>
      <c r="BW100" s="28" t="n">
        <f aca="false">IFERROR(INDEX(Assessments!$H$2:$H$600,MATCH($H100&amp;"|"&amp;$I100&amp;"|"&amp;$J100&amp;"|"&amp;3,Assessments!$A$2:$A$600,0)),"")</f>
        <v>25</v>
      </c>
      <c r="BX100" s="28" t="n">
        <f aca="false">IFERROR(INDEX(Assessments!$H$2:$H$600,MATCH($H100&amp;"|"&amp;$I100&amp;"|"&amp;$J100&amp;"|"&amp;4,Assessments!$A$2:$A$600,0)),"")</f>
        <v>23</v>
      </c>
      <c r="BY100" s="28" t="n">
        <f aca="false">IFERROR(INDEX(Assessments!$H$2:$H$600,MATCH($H100&amp;"|"&amp;$I100&amp;"|"&amp;$J100&amp;"|"&amp;5,Assessments!$A$2:$A$600,0)),"")</f>
        <v>25</v>
      </c>
      <c r="BZ100" s="28" t="n">
        <f aca="false">IFERROR(INDEX(Assessments!$H$2:$H$600,MATCH($H100&amp;"|"&amp;$I100&amp;"|"&amp;$J100&amp;"|"&amp;6,Assessments!$A$2:$A$600,0)),"")</f>
        <v>15</v>
      </c>
      <c r="CA100" s="28" t="n">
        <f aca="false">IFERROR(INDEX(Assessments!$H$2:$H$600,MATCH($H100&amp;"|"&amp;$I100&amp;"|"&amp;$J100&amp;"|"&amp;7,Assessments!$A$2:$A$600,0)),"")</f>
        <v>52</v>
      </c>
      <c r="CB100" s="28" t="str">
        <f aca="false">IFERROR(INDEX(Assessments!$H$2:$H$600,MATCH($H100&amp;"|"&amp;$I100&amp;"|"&amp;$J100&amp;"|"&amp;8,Assessments!$A$2:$A$600,0)),"")</f>
        <v/>
      </c>
      <c r="CC100" s="28" t="str">
        <f aca="false">IFERROR(INDEX(Assessments!$H$2:$H$600,MATCH($H100&amp;"|"&amp;$I100&amp;"|"&amp;$J100&amp;"|"&amp;9,Assessments!$A$2:$A$600,0)),"")</f>
        <v/>
      </c>
      <c r="CD100" s="28" t="str">
        <f aca="false">IFERROR(INDEX(Assessments!$H$2:$H$600,MATCH($H100&amp;"|"&amp;$I100&amp;"|"&amp;$J100&amp;"|"&amp;10,Assessments!$A$2:$A$600,0)),"")</f>
        <v/>
      </c>
      <c r="CE100" s="28" t="str">
        <f aca="false">IFERROR(INDEX(Assessments!$H$2:$H$600,MATCH($H100&amp;"|"&amp;$I100&amp;"|"&amp;$J100&amp;"|"&amp;11,Assessments!$A$2:$A$600,0)),"")</f>
        <v/>
      </c>
      <c r="CF100" s="28" t="str">
        <f aca="false">IFERROR(INDEX(Assessments!$H$2:$H$600,MATCH($H100&amp;"|"&amp;$I100&amp;"|"&amp;$J100&amp;"|"&amp;12,Assessments!$A$2:$A$600,0)),"")</f>
        <v/>
      </c>
      <c r="CG100" s="28" t="str">
        <f aca="false">IFERROR(INDEX(Assessments!$H$2:$H$600,MATCH($H100&amp;"|"&amp;$I100&amp;"|"&amp;$J100&amp;"|"&amp;13,Assessments!$A$2:$A$600,0)),"")</f>
        <v/>
      </c>
      <c r="CH100" s="28" t="str">
        <f aca="false">IFERROR(INDEX(Assessments!$H$2:$H$600,MATCH($H100&amp;"|"&amp;$I100&amp;"|"&amp;$J100&amp;"|"&amp;14,Assessments!$A$2:$A$600,0)),"")</f>
        <v/>
      </c>
      <c r="CI100" s="28" t="str">
        <f aca="false">IFERROR(INDEX(Assessments!$I$2:$I$600,MATCH($H100&amp;"|"&amp;$I100&amp;"|"&amp;$J100&amp;"|"&amp;1,Assessments!$A$2:$A$600,0)),"")</f>
        <v>Econ Test</v>
      </c>
      <c r="CJ100" s="28" t="str">
        <f aca="false">IFERROR(INDEX(Assessments!$I$2:$I$600,MATCH($H100&amp;"|"&amp;$I100&amp;"|"&amp;$J100&amp;"|"&amp;2,Assessments!$A$2:$A$600,0)),"")</f>
        <v>Econ Test</v>
      </c>
      <c r="CK100" s="28" t="str">
        <f aca="false">IFERROR(INDEX(Assessments!$I$2:$I$600,MATCH($H100&amp;"|"&amp;$I100&amp;"|"&amp;$J100&amp;"|"&amp;3,Assessments!$A$2:$A$600,0)),"")</f>
        <v>Econ Test</v>
      </c>
      <c r="CL100" s="28" t="str">
        <f aca="false">IFERROR(INDEX(Assessments!$I$2:$I$600,MATCH($H100&amp;"|"&amp;$I100&amp;"|"&amp;$J100&amp;"|"&amp;4,Assessments!$A$2:$A$600,0)),"")</f>
        <v>Econ Test</v>
      </c>
      <c r="CM100" s="28" t="str">
        <f aca="false">IFERROR(INDEX(Assessments!$I$2:$I$600,MATCH($H100&amp;"|"&amp;$I100&amp;"|"&amp;$J100&amp;"|"&amp;5,Assessments!$A$2:$A$600,0)),"")</f>
        <v>Econ Exam</v>
      </c>
      <c r="CN100" s="28" t="str">
        <f aca="false">IFERROR(INDEX(Assessments!$I$2:$I$600,MATCH($H100&amp;"|"&amp;$I100&amp;"|"&amp;$J100&amp;"|"&amp;6,Assessments!$A$2:$A$600,0)),"")</f>
        <v>Econ Test</v>
      </c>
      <c r="CO100" s="28" t="str">
        <f aca="false">IFERROR(INDEX(Assessments!$I$2:$I$600,MATCH($H100&amp;"|"&amp;$I100&amp;"|"&amp;$J100&amp;"|"&amp;7,Assessments!$A$2:$A$600,0)),"")</f>
        <v>Econ Exam</v>
      </c>
      <c r="CP100" s="28" t="str">
        <f aca="false">IFERROR(INDEX(Assessments!$I$2:$I$600,MATCH($H100&amp;"|"&amp;$I100&amp;"|"&amp;$J100&amp;"|"&amp;8,Assessments!$A$2:$A$600,0)),"")</f>
        <v/>
      </c>
      <c r="CQ100" s="28" t="str">
        <f aca="false">IFERROR(INDEX(Assessments!$I$2:$I$600,MATCH($H100&amp;"|"&amp;$I100&amp;"|"&amp;$J100&amp;"|"&amp;9,Assessments!$A$2:$A$600,0)),"")</f>
        <v/>
      </c>
      <c r="CR100" s="28" t="str">
        <f aca="false">IFERROR(INDEX(Assessments!$I$2:$I$600,MATCH($H100&amp;"|"&amp;$I100&amp;"|"&amp;$J100&amp;"|"&amp;10,Assessments!$A$2:$A$600,0)),"")</f>
        <v/>
      </c>
      <c r="CS100" s="28" t="str">
        <f aca="false">IFERROR(INDEX(Assessments!$I$2:$I$600,MATCH($H100&amp;"|"&amp;$I100&amp;"|"&amp;$J100&amp;"|"&amp;11,Assessments!$A$2:$A$600,0)),"")</f>
        <v/>
      </c>
      <c r="CT100" s="28" t="str">
        <f aca="false">IFERROR(INDEX(Assessments!$I$2:$I$600,MATCH($H100&amp;"|"&amp;$I100&amp;"|"&amp;$J100&amp;"|"&amp;12,Assessments!$A$2:$A$600,0)),"")</f>
        <v/>
      </c>
      <c r="CU100" s="28" t="str">
        <f aca="false">IFERROR(INDEX(Assessments!$I$2:$I$600,MATCH($H100&amp;"|"&amp;$I100&amp;"|"&amp;$J100&amp;"|"&amp;13,Assessments!$A$2:$A$600,0)),"")</f>
        <v/>
      </c>
      <c r="CV100" s="28" t="str">
        <f aca="false">IFERROR(INDEX(Assessments!$I$2:$I$600,MATCH($H100&amp;"|"&amp;$I100&amp;"|"&amp;$J100&amp;"|"&amp;14,Assessments!$A$2:$A$600,0)),"")</f>
        <v/>
      </c>
      <c r="CW100" s="28" t="n">
        <f aca="false">IFERROR(INDEX(Assessments!$J$2:$J$600,MATCH($H100&amp;"|"&amp;$I100&amp;"|"&amp;$J100&amp;"|"&amp;1,Assessments!$A$2:$A$600,0)),0)</f>
        <v>1</v>
      </c>
      <c r="CX100" s="28" t="n">
        <f aca="false">IFERROR(INDEX(Assessments!$J$2:$J$600,MATCH($H100&amp;"|"&amp;$I100&amp;"|"&amp;$J100&amp;"|"&amp;2,Assessments!$A$2:$A$600,0)),0)</f>
        <v>1</v>
      </c>
      <c r="CY100" s="28" t="n">
        <f aca="false">IFERROR(INDEX(Assessments!$J$2:$J$600,MATCH($H100&amp;"|"&amp;$I100&amp;"|"&amp;$J100&amp;"|"&amp;3,Assessments!$A$2:$A$600,0)),0)</f>
        <v>1</v>
      </c>
      <c r="CZ100" s="28" t="n">
        <f aca="false">IFERROR(INDEX(Assessments!$J$2:$J$600,MATCH($H100&amp;"|"&amp;$I100&amp;"|"&amp;$J100&amp;"|"&amp;4,Assessments!$A$2:$A$600,0)),0)</f>
        <v>1</v>
      </c>
      <c r="DA100" s="28" t="n">
        <f aca="false">IFERROR(INDEX(Assessments!$J$2:$J$600,MATCH($H100&amp;"|"&amp;$I100&amp;"|"&amp;$J100&amp;"|"&amp;5,Assessments!$A$2:$A$600,0)),0)</f>
        <v>2</v>
      </c>
      <c r="DB100" s="28" t="n">
        <f aca="false">IFERROR(INDEX(Assessments!$J$2:$J$600,MATCH($H100&amp;"|"&amp;$I100&amp;"|"&amp;$J100&amp;"|"&amp;6,Assessments!$A$2:$A$600,0)),0)</f>
        <v>1</v>
      </c>
      <c r="DC100" s="28" t="n">
        <f aca="false">IFERROR(INDEX(Assessments!$J$2:$J$600,MATCH($H100&amp;"|"&amp;$I100&amp;"|"&amp;$J100&amp;"|"&amp;7,Assessments!$A$2:$A$600,0)),0)</f>
        <v>2</v>
      </c>
      <c r="DD100" s="28" t="n">
        <f aca="false">IFERROR(INDEX(Assessments!$J$2:$J$600,MATCH($H100&amp;"|"&amp;$I100&amp;"|"&amp;$J100&amp;"|"&amp;8,Assessments!$A$2:$A$600,0)),0)</f>
        <v>0</v>
      </c>
      <c r="DE100" s="28" t="n">
        <f aca="false">IFERROR(INDEX(Assessments!$J$2:$J$600,MATCH($H100&amp;"|"&amp;$I100&amp;"|"&amp;$J100&amp;"|"&amp;9,Assessments!$A$2:$A$600,0)),0)</f>
        <v>0</v>
      </c>
      <c r="DF100" s="28" t="n">
        <f aca="false">IFERROR(INDEX(Assessments!$J$2:$J$600,MATCH($H100&amp;"|"&amp;$I100&amp;"|"&amp;$J100&amp;"|"&amp;10,Assessments!$A$2:$A$600,0)),0)</f>
        <v>0</v>
      </c>
      <c r="DG100" s="28" t="n">
        <f aca="false">IFERROR(INDEX(Assessments!$J$2:$J$600,MATCH($H100&amp;"|"&amp;$I100&amp;"|"&amp;$J100&amp;"|"&amp;11,Assessments!$A$2:$A$600,0)),0)</f>
        <v>0</v>
      </c>
      <c r="DH100" s="28" t="n">
        <f aca="false">IFERROR(INDEX(Assessments!$J$2:$J$600,MATCH($H100&amp;"|"&amp;$I100&amp;"|"&amp;$J100&amp;"|"&amp;12,Assessments!$A$2:$A$600,0)),0)</f>
        <v>0</v>
      </c>
      <c r="DI100" s="28" t="n">
        <f aca="false">IFERROR(INDEX(Assessments!$J$2:$J$600,MATCH($H100&amp;"|"&amp;$I100&amp;"|"&amp;$J100&amp;"|"&amp;13,Assessments!$A$2:$A$600,0)),0)</f>
        <v>0</v>
      </c>
      <c r="DJ100" s="28" t="n">
        <f aca="false">IFERROR(INDEX(Assessments!$J$2:$J$600,MATCH($H100&amp;"|"&amp;$I100&amp;"|"&amp;$J100&amp;"|"&amp;14,Assessments!$A$2:$A$600,0)),0)</f>
        <v>0</v>
      </c>
      <c r="DK100" s="28" t="n">
        <f aca="false">S100</f>
        <v>6</v>
      </c>
      <c r="DL100" s="28" t="n">
        <f aca="false">W100</f>
        <v>7</v>
      </c>
      <c r="DM100" s="28" t="n">
        <f aca="false">AA100</f>
        <v>5</v>
      </c>
      <c r="DN100" s="28" t="n">
        <f aca="false">AE100</f>
        <v>7</v>
      </c>
      <c r="DO100" s="28" t="str">
        <f aca="false">AI100</f>
        <v/>
      </c>
      <c r="DP100" s="28" t="str">
        <f aca="false">AM100</f>
        <v/>
      </c>
      <c r="DQ100" s="28" t="str">
        <f aca="false">AQ100</f>
        <v/>
      </c>
      <c r="DR100" s="28" t="str">
        <f aca="false">AU100</f>
        <v/>
      </c>
      <c r="DS100" s="28" t="str">
        <f aca="false">AY100</f>
        <v/>
      </c>
      <c r="DT100" s="28" t="str">
        <f aca="false">BC100</f>
        <v/>
      </c>
      <c r="DU100" s="28" t="str">
        <f aca="false">BG100</f>
        <v/>
      </c>
      <c r="DV100" s="28" t="str">
        <f aca="false">BK100</f>
        <v/>
      </c>
      <c r="DW100" s="28" t="str">
        <f aca="false">BO100</f>
        <v/>
      </c>
      <c r="DX100" s="28" t="str">
        <f aca="false">BS100</f>
        <v/>
      </c>
      <c r="DY100" s="28" t="n">
        <f aca="false">IF(ISNUMBER(S100),1,"")</f>
        <v>1</v>
      </c>
      <c r="DZ100" s="28" t="n">
        <f aca="false">IF(ISNUMBER(W100),2,"")</f>
        <v>2</v>
      </c>
      <c r="EA100" s="28" t="n">
        <f aca="false">IF(ISNUMBER(AA100),3,"")</f>
        <v>3</v>
      </c>
      <c r="EB100" s="28" t="n">
        <f aca="false">IF(ISNUMBER(AE100),4,"")</f>
        <v>4</v>
      </c>
      <c r="EC100" s="28" t="str">
        <f aca="false">IF(ISNUMBER(AI100),5,"")</f>
        <v/>
      </c>
      <c r="ED100" s="28" t="str">
        <f aca="false">IF(ISNUMBER(AM100),6,"")</f>
        <v/>
      </c>
      <c r="EE100" s="28" t="str">
        <f aca="false">IF(ISNUMBER(AQ100),7,"")</f>
        <v/>
      </c>
      <c r="EF100" s="28" t="str">
        <f aca="false">IF(ISNUMBER(AU100),8,"")</f>
        <v/>
      </c>
      <c r="EG100" s="28" t="str">
        <f aca="false">IF(ISNUMBER(AY100),9,"")</f>
        <v/>
      </c>
      <c r="EH100" s="28" t="str">
        <f aca="false">IF(ISNUMBER(BC100),10,"")</f>
        <v/>
      </c>
      <c r="EI100" s="28" t="str">
        <f aca="false">IF(ISNUMBER(BG100),11,"")</f>
        <v/>
      </c>
      <c r="EJ100" s="28" t="str">
        <f aca="false">IF(ISNUMBER(BK100),12,"")</f>
        <v/>
      </c>
      <c r="EK100" s="28" t="str">
        <f aca="false">IF(ISNUMBER(BO100),13,"")</f>
        <v/>
      </c>
      <c r="EL100" s="28" t="str">
        <f aca="false">IF(ISNUMBER(BS100),14,"")</f>
        <v/>
      </c>
      <c r="EM100" s="28" t="n">
        <f aca="false">IF(ISNUMBER(R100),R100*CW100,0)</f>
        <v>83.3333333333333</v>
      </c>
      <c r="EN100" s="28" t="n">
        <f aca="false">IF(ISNUMBER(V100),V100*CX100,0)</f>
        <v>85</v>
      </c>
      <c r="EO100" s="28" t="n">
        <f aca="false">IF(ISNUMBER(Z100),Z100*CY100,0)</f>
        <v>72</v>
      </c>
      <c r="EP100" s="28" t="n">
        <f aca="false">IF(ISNUMBER(AD100),AD100*CZ100,0)</f>
        <v>91.304347826087</v>
      </c>
      <c r="EQ100" s="28" t="n">
        <f aca="false">IF(ISNUMBER(AH100),AH100*DA100,0)</f>
        <v>0</v>
      </c>
      <c r="ER100" s="28" t="n">
        <f aca="false">IF(ISNUMBER(AL100),AL100*DB100,0)</f>
        <v>0</v>
      </c>
      <c r="ES100" s="28" t="n">
        <f aca="false">IF(ISNUMBER(AP100),AP100*DC100,0)</f>
        <v>0</v>
      </c>
      <c r="ET100" s="28" t="n">
        <f aca="false">IF(ISNUMBER(AT100),AT100*DD100,0)</f>
        <v>0</v>
      </c>
      <c r="EU100" s="28" t="n">
        <f aca="false">IF(ISNUMBER(AX100),AX100*DE100,0)</f>
        <v>0</v>
      </c>
      <c r="EV100" s="28" t="n">
        <f aca="false">IF(ISNUMBER(BB100),BB100*DF100,0)</f>
        <v>0</v>
      </c>
      <c r="EW100" s="28" t="n">
        <f aca="false">IF(ISNUMBER(BF100),BF100*DG100,0)</f>
        <v>0</v>
      </c>
      <c r="EX100" s="28" t="n">
        <f aca="false">IF(ISNUMBER(BJ100),BJ100*DH100,0)</f>
        <v>0</v>
      </c>
      <c r="EY100" s="28" t="n">
        <f aca="false">IF(ISNUMBER(BN100),BN100*DI100,0)</f>
        <v>0</v>
      </c>
      <c r="EZ100" s="28" t="n">
        <f aca="false">IF(ISNUMBER(BR100),BR100*DJ100,0)</f>
        <v>0</v>
      </c>
      <c r="FA100" s="28" t="n">
        <f aca="false">IF(ISNUMBER(R100),CW100,0)</f>
        <v>1</v>
      </c>
      <c r="FB100" s="28" t="n">
        <f aca="false">IF(ISNUMBER(V100),CX100,0)</f>
        <v>1</v>
      </c>
      <c r="FC100" s="28" t="n">
        <f aca="false">IF(ISNUMBER(Z100),CY100,0)</f>
        <v>1</v>
      </c>
      <c r="FD100" s="28" t="n">
        <f aca="false">IF(ISNUMBER(AD100),CZ100,0)</f>
        <v>1</v>
      </c>
      <c r="FE100" s="28" t="n">
        <f aca="false">IF(ISNUMBER(AH100),DA100,0)</f>
        <v>0</v>
      </c>
      <c r="FF100" s="28" t="n">
        <f aca="false">IF(ISNUMBER(AL100),DB100,0)</f>
        <v>0</v>
      </c>
      <c r="FG100" s="28" t="n">
        <f aca="false">IF(ISNUMBER(AP100),DC100,0)</f>
        <v>0</v>
      </c>
      <c r="FH100" s="28" t="n">
        <f aca="false">IF(ISNUMBER(AT100),DD100,0)</f>
        <v>0</v>
      </c>
      <c r="FI100" s="28" t="n">
        <f aca="false">IF(ISNUMBER(AX100),DE100,0)</f>
        <v>0</v>
      </c>
      <c r="FJ100" s="28" t="n">
        <f aca="false">IF(ISNUMBER(BB100),DF100,0)</f>
        <v>0</v>
      </c>
      <c r="FK100" s="28" t="n">
        <f aca="false">IF(ISNUMBER(BF100),DG100,0)</f>
        <v>0</v>
      </c>
      <c r="FL100" s="28" t="n">
        <f aca="false">IF(ISNUMBER(BJ100),DH100,0)</f>
        <v>0</v>
      </c>
      <c r="FM100" s="28" t="n">
        <f aca="false">IF(ISNUMBER(BN100),DI100,0)</f>
        <v>0</v>
      </c>
      <c r="FN100" s="28" t="n">
        <f aca="false">IF(ISNUMBER(BR100),DJ100,0)</f>
        <v>0</v>
      </c>
      <c r="FO100" s="28" t="str">
        <f aca="false">IFERROR(INDEX(Lists!$G$2:$G$20,MATCH($I100&amp;"|"&amp;$J100,Lists!$F$2:$F$20,0)),"")</f>
        <v>Econ Exam</v>
      </c>
    </row>
    <row r="101" customFormat="false" ht="19.5" hidden="false" customHeight="true" outlineLevel="0" collapsed="false">
      <c r="A101" s="29" t="s">
        <v>323</v>
      </c>
      <c r="B101" s="29" t="s">
        <v>324</v>
      </c>
      <c r="C101" s="30" t="s">
        <v>152</v>
      </c>
      <c r="D101" s="30" t="s">
        <v>271</v>
      </c>
      <c r="E101" s="31" t="n">
        <v>6</v>
      </c>
      <c r="F101" s="30" t="n">
        <v>6</v>
      </c>
      <c r="G101" s="30"/>
      <c r="H101" s="32" t="s">
        <v>23</v>
      </c>
      <c r="I101" s="33" t="s">
        <v>229</v>
      </c>
      <c r="J101" s="32" t="s">
        <v>223</v>
      </c>
      <c r="K101" s="34" t="n">
        <f aca="false">IF(OR(M101="",$E101=""),"",M101-$E101)</f>
        <v>1</v>
      </c>
      <c r="L101" s="35" t="n">
        <f aca="false">IF(SUM(FA101:FN101)=0,"",SUM(EM101:EZ101)/SUM(FA101:FN101))</f>
        <v>83.9855072463768</v>
      </c>
      <c r="M101" s="36" t="n">
        <f aca="false">IF(OR(L101="",FO101=""),"",IFERROR(MATCH(L101,INDEX(Boundaries!$B$2:$I$30,MATCH(FO101,Boundaries!$A$2:$A$30,0),0),1)-1,""))</f>
        <v>7</v>
      </c>
      <c r="N101" s="37" t="n">
        <f aca="false">IF(COUNT($DY101:$EL101)&lt;2,"",INDEX($DK101:$DX101,MAX($DY101:$EL101))-INDEX($DK101:$DX101,MIN($DY101:$EL101)))</f>
        <v>0</v>
      </c>
      <c r="O101" s="37" t="n">
        <f aca="false">IF(COUNT($DY101:$EL101)&lt;2,"",INDEX($DK101:$DX101,MAX($DY101:$EL101))-INDEX($DK101:$DX101,LARGE($DY101:$EL101,2)))</f>
        <v>0</v>
      </c>
      <c r="P101" s="38" t="str">
        <f aca="false">IF(K101="","",IF(K101&gt;=0,"On/above target",IF(AND(N101&lt;&gt;"",N101&gt;=0.5),"Improving towards target",IF(AND(O101&lt;&gt;"",O101&lt;=-0.5),"Declining","Stable below target"))))</f>
        <v>On/above target</v>
      </c>
      <c r="Q101" s="39" t="n">
        <v>25</v>
      </c>
      <c r="R101" s="40" t="n">
        <f aca="false">IF(OR(Q101="",BU101=""),"",Q101/BU101*100)</f>
        <v>83.3333333333333</v>
      </c>
      <c r="S101" s="41" t="n">
        <f aca="false">IF(R101="","",IFERROR(MATCH(R101,INDEX(Boundaries!$B$2:$I$30,MATCH(CI101,Boundaries!$A$2:$A$30,0),0),1)-1,""))</f>
        <v>6</v>
      </c>
      <c r="T101" s="42" t="n">
        <f aca="false">IF(OR(S101="",$E101=""),"",S101-$E101)</f>
        <v>0</v>
      </c>
      <c r="U101" s="39" t="n">
        <v>18</v>
      </c>
      <c r="V101" s="40" t="n">
        <f aca="false">IF(OR(U101="",BV101=""),"",U101/BV101*100)</f>
        <v>90</v>
      </c>
      <c r="W101" s="41" t="n">
        <f aca="false">IF(V101="","",IFERROR(MATCH(V101,INDEX(Boundaries!$B$2:$I$30,MATCH(CJ101,Boundaries!$A$2:$A$30,0),0),1)-1,""))</f>
        <v>7</v>
      </c>
      <c r="X101" s="42" t="n">
        <f aca="false">IF(OR(W101="",$E101=""),"",W101-$E101)</f>
        <v>1</v>
      </c>
      <c r="Y101" s="39" t="n">
        <v>20</v>
      </c>
      <c r="Z101" s="40" t="n">
        <f aca="false">IF(OR(Y101="",BW101=""),"",Y101/BW101*100)</f>
        <v>80</v>
      </c>
      <c r="AA101" s="41" t="n">
        <f aca="false">IF(Z101="","",IFERROR(MATCH(Z101,INDEX(Boundaries!$B$2:$I$30,MATCH(CK101,Boundaries!$A$2:$A$30,0),0),1)-1,""))</f>
        <v>6</v>
      </c>
      <c r="AB101" s="42" t="n">
        <f aca="false">IF(OR(AA101="",$E101=""),"",AA101-$E101)</f>
        <v>0</v>
      </c>
      <c r="AC101" s="39" t="n">
        <v>19</v>
      </c>
      <c r="AD101" s="40" t="n">
        <f aca="false">IF(OR(AC101="",BX101=""),"",AC101/BX101*100)</f>
        <v>82.6086956521739</v>
      </c>
      <c r="AE101" s="41" t="n">
        <f aca="false">IF(AD101="","",IFERROR(MATCH(AD101,INDEX(Boundaries!$B$2:$I$30,MATCH(CL101,Boundaries!$A$2:$A$30,0),0),1)-1,""))</f>
        <v>6</v>
      </c>
      <c r="AF101" s="42" t="n">
        <f aca="false">IF(OR(AE101="",$E101=""),"",AE101-$E101)</f>
        <v>0</v>
      </c>
      <c r="AG101" s="39"/>
      <c r="AH101" s="40" t="str">
        <f aca="false">IF(OR(AG101="",BY101=""),"",AG101/BY101*100)</f>
        <v/>
      </c>
      <c r="AI101" s="41" t="str">
        <f aca="false">IF(AH101="","",IFERROR(MATCH(AH101,INDEX(Boundaries!$B$2:$I$30,MATCH(CM101,Boundaries!$A$2:$A$30,0),0),1)-1,""))</f>
        <v/>
      </c>
      <c r="AJ101" s="42" t="str">
        <f aca="false">IF(OR(AI101="",$E101=""),"",AI101-$E101)</f>
        <v/>
      </c>
      <c r="AK101" s="39"/>
      <c r="AL101" s="40" t="str">
        <f aca="false">IF(OR(AK101="",BZ101=""),"",AK101/BZ101*100)</f>
        <v/>
      </c>
      <c r="AM101" s="41" t="str">
        <f aca="false">IF(AL101="","",IFERROR(MATCH(AL101,INDEX(Boundaries!$B$2:$I$30,MATCH(CN101,Boundaries!$A$2:$A$30,0),0),1)-1,""))</f>
        <v/>
      </c>
      <c r="AN101" s="42" t="str">
        <f aca="false">IF(OR(AM101="",$E101=""),"",AM101-$E101)</f>
        <v/>
      </c>
      <c r="AO101" s="39"/>
      <c r="AP101" s="40" t="str">
        <f aca="false">IF(OR(AO101="",CA101=""),"",AO101/CA101*100)</f>
        <v/>
      </c>
      <c r="AQ101" s="41" t="str">
        <f aca="false">IF(AP101="","",IFERROR(MATCH(AP101,INDEX(Boundaries!$B$2:$I$30,MATCH(CO101,Boundaries!$A$2:$A$30,0),0),1)-1,""))</f>
        <v/>
      </c>
      <c r="AR101" s="42" t="str">
        <f aca="false">IF(OR(AQ101="",$E101=""),"",AQ101-$E101)</f>
        <v/>
      </c>
      <c r="AS101" s="39"/>
      <c r="AT101" s="40" t="str">
        <f aca="false">IF(OR(AS101="",CB101=""),"",AS101/CB101*100)</f>
        <v/>
      </c>
      <c r="AU101" s="41" t="str">
        <f aca="false">IF(AT101="","",IFERROR(MATCH(AT101,INDEX(Boundaries!$B$2:$I$30,MATCH(CP101,Boundaries!$A$2:$A$30,0),0),1)-1,""))</f>
        <v/>
      </c>
      <c r="AV101" s="42" t="str">
        <f aca="false">IF(OR(AU101="",$E101=""),"",AU101-$E101)</f>
        <v/>
      </c>
      <c r="AW101" s="39"/>
      <c r="AX101" s="40" t="str">
        <f aca="false">IF(OR(AW101="",CC101=""),"",AW101/CC101*100)</f>
        <v/>
      </c>
      <c r="AY101" s="41" t="str">
        <f aca="false">IF(AX101="","",IFERROR(MATCH(AX101,INDEX(Boundaries!$B$2:$I$30,MATCH(CQ101,Boundaries!$A$2:$A$30,0),0),1)-1,""))</f>
        <v/>
      </c>
      <c r="AZ101" s="42" t="str">
        <f aca="false">IF(OR(AY101="",$E101=""),"",AY101-$E101)</f>
        <v/>
      </c>
      <c r="BA101" s="39"/>
      <c r="BB101" s="40" t="str">
        <f aca="false">IF(OR(BA101="",CD101=""),"",BA101/CD101*100)</f>
        <v/>
      </c>
      <c r="BC101" s="41" t="str">
        <f aca="false">IF(BB101="","",IFERROR(MATCH(BB101,INDEX(Boundaries!$B$2:$I$30,MATCH(CR101,Boundaries!$A$2:$A$30,0),0),1)-1,""))</f>
        <v/>
      </c>
      <c r="BD101" s="42" t="str">
        <f aca="false">IF(OR(BC101="",$E101=""),"",BC101-$E101)</f>
        <v/>
      </c>
      <c r="BE101" s="39"/>
      <c r="BF101" s="40" t="str">
        <f aca="false">IF(OR(BE101="",CE101=""),"",BE101/CE101*100)</f>
        <v/>
      </c>
      <c r="BG101" s="41" t="str">
        <f aca="false">IF(BF101="","",IFERROR(MATCH(BF101,INDEX(Boundaries!$B$2:$I$30,MATCH(CS101,Boundaries!$A$2:$A$30,0),0),1)-1,""))</f>
        <v/>
      </c>
      <c r="BH101" s="42" t="str">
        <f aca="false">IF(OR(BG101="",$E101=""),"",BG101-$E101)</f>
        <v/>
      </c>
      <c r="BI101" s="39"/>
      <c r="BJ101" s="40" t="str">
        <f aca="false">IF(OR(BI101="",CF101=""),"",BI101/CF101*100)</f>
        <v/>
      </c>
      <c r="BK101" s="41" t="str">
        <f aca="false">IF(BJ101="","",IFERROR(MATCH(BJ101,INDEX(Boundaries!$B$2:$I$30,MATCH(CT101,Boundaries!$A$2:$A$30,0),0),1)-1,""))</f>
        <v/>
      </c>
      <c r="BL101" s="42" t="str">
        <f aca="false">IF(OR(BK101="",$E101=""),"",BK101-$E101)</f>
        <v/>
      </c>
      <c r="BM101" s="39"/>
      <c r="BN101" s="40" t="str">
        <f aca="false">IF(OR(BM101="",CG101=""),"",BM101/CG101*100)</f>
        <v/>
      </c>
      <c r="BO101" s="41" t="str">
        <f aca="false">IF(BN101="","",IFERROR(MATCH(BN101,INDEX(Boundaries!$B$2:$I$30,MATCH(CU101,Boundaries!$A$2:$A$30,0),0),1)-1,""))</f>
        <v/>
      </c>
      <c r="BP101" s="42" t="str">
        <f aca="false">IF(OR(BO101="",$E101=""),"",BO101-$E101)</f>
        <v/>
      </c>
      <c r="BQ101" s="39"/>
      <c r="BR101" s="40" t="str">
        <f aca="false">IF(OR(BQ101="",CH101=""),"",BQ101/CH101*100)</f>
        <v/>
      </c>
      <c r="BS101" s="41" t="str">
        <f aca="false">IF(BR101="","",IFERROR(MATCH(BR101,INDEX(Boundaries!$B$2:$I$30,MATCH(CV101,Boundaries!$A$2:$A$30,0),0),1)-1,""))</f>
        <v/>
      </c>
      <c r="BT101" s="42" t="str">
        <f aca="false">IF(OR(BS101="",$E101=""),"",BS101-$E101)</f>
        <v/>
      </c>
      <c r="BU101" s="28" t="n">
        <f aca="false">IFERROR(INDEX(Assessments!$H$2:$H$600,MATCH($H101&amp;"|"&amp;$I101&amp;"|"&amp;$J101&amp;"|"&amp;1,Assessments!$A$2:$A$600,0)),"")</f>
        <v>30</v>
      </c>
      <c r="BV101" s="28" t="n">
        <f aca="false">IFERROR(INDEX(Assessments!$H$2:$H$600,MATCH($H101&amp;"|"&amp;$I101&amp;"|"&amp;$J101&amp;"|"&amp;2,Assessments!$A$2:$A$600,0)),"")</f>
        <v>20</v>
      </c>
      <c r="BW101" s="28" t="n">
        <f aca="false">IFERROR(INDEX(Assessments!$H$2:$H$600,MATCH($H101&amp;"|"&amp;$I101&amp;"|"&amp;$J101&amp;"|"&amp;3,Assessments!$A$2:$A$600,0)),"")</f>
        <v>25</v>
      </c>
      <c r="BX101" s="28" t="n">
        <f aca="false">IFERROR(INDEX(Assessments!$H$2:$H$600,MATCH($H101&amp;"|"&amp;$I101&amp;"|"&amp;$J101&amp;"|"&amp;4,Assessments!$A$2:$A$600,0)),"")</f>
        <v>23</v>
      </c>
      <c r="BY101" s="28" t="n">
        <f aca="false">IFERROR(INDEX(Assessments!$H$2:$H$600,MATCH($H101&amp;"|"&amp;$I101&amp;"|"&amp;$J101&amp;"|"&amp;5,Assessments!$A$2:$A$600,0)),"")</f>
        <v>25</v>
      </c>
      <c r="BZ101" s="28" t="n">
        <f aca="false">IFERROR(INDEX(Assessments!$H$2:$H$600,MATCH($H101&amp;"|"&amp;$I101&amp;"|"&amp;$J101&amp;"|"&amp;6,Assessments!$A$2:$A$600,0)),"")</f>
        <v>15</v>
      </c>
      <c r="CA101" s="28" t="n">
        <f aca="false">IFERROR(INDEX(Assessments!$H$2:$H$600,MATCH($H101&amp;"|"&amp;$I101&amp;"|"&amp;$J101&amp;"|"&amp;7,Assessments!$A$2:$A$600,0)),"")</f>
        <v>52</v>
      </c>
      <c r="CB101" s="28" t="str">
        <f aca="false">IFERROR(INDEX(Assessments!$H$2:$H$600,MATCH($H101&amp;"|"&amp;$I101&amp;"|"&amp;$J101&amp;"|"&amp;8,Assessments!$A$2:$A$600,0)),"")</f>
        <v/>
      </c>
      <c r="CC101" s="28" t="str">
        <f aca="false">IFERROR(INDEX(Assessments!$H$2:$H$600,MATCH($H101&amp;"|"&amp;$I101&amp;"|"&amp;$J101&amp;"|"&amp;9,Assessments!$A$2:$A$600,0)),"")</f>
        <v/>
      </c>
      <c r="CD101" s="28" t="str">
        <f aca="false">IFERROR(INDEX(Assessments!$H$2:$H$600,MATCH($H101&amp;"|"&amp;$I101&amp;"|"&amp;$J101&amp;"|"&amp;10,Assessments!$A$2:$A$600,0)),"")</f>
        <v/>
      </c>
      <c r="CE101" s="28" t="str">
        <f aca="false">IFERROR(INDEX(Assessments!$H$2:$H$600,MATCH($H101&amp;"|"&amp;$I101&amp;"|"&amp;$J101&amp;"|"&amp;11,Assessments!$A$2:$A$600,0)),"")</f>
        <v/>
      </c>
      <c r="CF101" s="28" t="str">
        <f aca="false">IFERROR(INDEX(Assessments!$H$2:$H$600,MATCH($H101&amp;"|"&amp;$I101&amp;"|"&amp;$J101&amp;"|"&amp;12,Assessments!$A$2:$A$600,0)),"")</f>
        <v/>
      </c>
      <c r="CG101" s="28" t="str">
        <f aca="false">IFERROR(INDEX(Assessments!$H$2:$H$600,MATCH($H101&amp;"|"&amp;$I101&amp;"|"&amp;$J101&amp;"|"&amp;13,Assessments!$A$2:$A$600,0)),"")</f>
        <v/>
      </c>
      <c r="CH101" s="28" t="str">
        <f aca="false">IFERROR(INDEX(Assessments!$H$2:$H$600,MATCH($H101&amp;"|"&amp;$I101&amp;"|"&amp;$J101&amp;"|"&amp;14,Assessments!$A$2:$A$600,0)),"")</f>
        <v/>
      </c>
      <c r="CI101" s="28" t="str">
        <f aca="false">IFERROR(INDEX(Assessments!$I$2:$I$600,MATCH($H101&amp;"|"&amp;$I101&amp;"|"&amp;$J101&amp;"|"&amp;1,Assessments!$A$2:$A$600,0)),"")</f>
        <v>Econ Test</v>
      </c>
      <c r="CJ101" s="28" t="str">
        <f aca="false">IFERROR(INDEX(Assessments!$I$2:$I$600,MATCH($H101&amp;"|"&amp;$I101&amp;"|"&amp;$J101&amp;"|"&amp;2,Assessments!$A$2:$A$600,0)),"")</f>
        <v>Econ Test</v>
      </c>
      <c r="CK101" s="28" t="str">
        <f aca="false">IFERROR(INDEX(Assessments!$I$2:$I$600,MATCH($H101&amp;"|"&amp;$I101&amp;"|"&amp;$J101&amp;"|"&amp;3,Assessments!$A$2:$A$600,0)),"")</f>
        <v>Econ Test</v>
      </c>
      <c r="CL101" s="28" t="str">
        <f aca="false">IFERROR(INDEX(Assessments!$I$2:$I$600,MATCH($H101&amp;"|"&amp;$I101&amp;"|"&amp;$J101&amp;"|"&amp;4,Assessments!$A$2:$A$600,0)),"")</f>
        <v>Econ Test</v>
      </c>
      <c r="CM101" s="28" t="str">
        <f aca="false">IFERROR(INDEX(Assessments!$I$2:$I$600,MATCH($H101&amp;"|"&amp;$I101&amp;"|"&amp;$J101&amp;"|"&amp;5,Assessments!$A$2:$A$600,0)),"")</f>
        <v>Econ Exam</v>
      </c>
      <c r="CN101" s="28" t="str">
        <f aca="false">IFERROR(INDEX(Assessments!$I$2:$I$600,MATCH($H101&amp;"|"&amp;$I101&amp;"|"&amp;$J101&amp;"|"&amp;6,Assessments!$A$2:$A$600,0)),"")</f>
        <v>Econ Test</v>
      </c>
      <c r="CO101" s="28" t="str">
        <f aca="false">IFERROR(INDEX(Assessments!$I$2:$I$600,MATCH($H101&amp;"|"&amp;$I101&amp;"|"&amp;$J101&amp;"|"&amp;7,Assessments!$A$2:$A$600,0)),"")</f>
        <v>Econ Exam</v>
      </c>
      <c r="CP101" s="28" t="str">
        <f aca="false">IFERROR(INDEX(Assessments!$I$2:$I$600,MATCH($H101&amp;"|"&amp;$I101&amp;"|"&amp;$J101&amp;"|"&amp;8,Assessments!$A$2:$A$600,0)),"")</f>
        <v/>
      </c>
      <c r="CQ101" s="28" t="str">
        <f aca="false">IFERROR(INDEX(Assessments!$I$2:$I$600,MATCH($H101&amp;"|"&amp;$I101&amp;"|"&amp;$J101&amp;"|"&amp;9,Assessments!$A$2:$A$600,0)),"")</f>
        <v/>
      </c>
      <c r="CR101" s="28" t="str">
        <f aca="false">IFERROR(INDEX(Assessments!$I$2:$I$600,MATCH($H101&amp;"|"&amp;$I101&amp;"|"&amp;$J101&amp;"|"&amp;10,Assessments!$A$2:$A$600,0)),"")</f>
        <v/>
      </c>
      <c r="CS101" s="28" t="str">
        <f aca="false">IFERROR(INDEX(Assessments!$I$2:$I$600,MATCH($H101&amp;"|"&amp;$I101&amp;"|"&amp;$J101&amp;"|"&amp;11,Assessments!$A$2:$A$600,0)),"")</f>
        <v/>
      </c>
      <c r="CT101" s="28" t="str">
        <f aca="false">IFERROR(INDEX(Assessments!$I$2:$I$600,MATCH($H101&amp;"|"&amp;$I101&amp;"|"&amp;$J101&amp;"|"&amp;12,Assessments!$A$2:$A$600,0)),"")</f>
        <v/>
      </c>
      <c r="CU101" s="28" t="str">
        <f aca="false">IFERROR(INDEX(Assessments!$I$2:$I$600,MATCH($H101&amp;"|"&amp;$I101&amp;"|"&amp;$J101&amp;"|"&amp;13,Assessments!$A$2:$A$600,0)),"")</f>
        <v/>
      </c>
      <c r="CV101" s="28" t="str">
        <f aca="false">IFERROR(INDEX(Assessments!$I$2:$I$600,MATCH($H101&amp;"|"&amp;$I101&amp;"|"&amp;$J101&amp;"|"&amp;14,Assessments!$A$2:$A$600,0)),"")</f>
        <v/>
      </c>
      <c r="CW101" s="28" t="n">
        <f aca="false">IFERROR(INDEX(Assessments!$J$2:$J$600,MATCH($H101&amp;"|"&amp;$I101&amp;"|"&amp;$J101&amp;"|"&amp;1,Assessments!$A$2:$A$600,0)),0)</f>
        <v>1</v>
      </c>
      <c r="CX101" s="28" t="n">
        <f aca="false">IFERROR(INDEX(Assessments!$J$2:$J$600,MATCH($H101&amp;"|"&amp;$I101&amp;"|"&amp;$J101&amp;"|"&amp;2,Assessments!$A$2:$A$600,0)),0)</f>
        <v>1</v>
      </c>
      <c r="CY101" s="28" t="n">
        <f aca="false">IFERROR(INDEX(Assessments!$J$2:$J$600,MATCH($H101&amp;"|"&amp;$I101&amp;"|"&amp;$J101&amp;"|"&amp;3,Assessments!$A$2:$A$600,0)),0)</f>
        <v>1</v>
      </c>
      <c r="CZ101" s="28" t="n">
        <f aca="false">IFERROR(INDEX(Assessments!$J$2:$J$600,MATCH($H101&amp;"|"&amp;$I101&amp;"|"&amp;$J101&amp;"|"&amp;4,Assessments!$A$2:$A$600,0)),0)</f>
        <v>1</v>
      </c>
      <c r="DA101" s="28" t="n">
        <f aca="false">IFERROR(INDEX(Assessments!$J$2:$J$600,MATCH($H101&amp;"|"&amp;$I101&amp;"|"&amp;$J101&amp;"|"&amp;5,Assessments!$A$2:$A$600,0)),0)</f>
        <v>2</v>
      </c>
      <c r="DB101" s="28" t="n">
        <f aca="false">IFERROR(INDEX(Assessments!$J$2:$J$600,MATCH($H101&amp;"|"&amp;$I101&amp;"|"&amp;$J101&amp;"|"&amp;6,Assessments!$A$2:$A$600,0)),0)</f>
        <v>1</v>
      </c>
      <c r="DC101" s="28" t="n">
        <f aca="false">IFERROR(INDEX(Assessments!$J$2:$J$600,MATCH($H101&amp;"|"&amp;$I101&amp;"|"&amp;$J101&amp;"|"&amp;7,Assessments!$A$2:$A$600,0)),0)</f>
        <v>2</v>
      </c>
      <c r="DD101" s="28" t="n">
        <f aca="false">IFERROR(INDEX(Assessments!$J$2:$J$600,MATCH($H101&amp;"|"&amp;$I101&amp;"|"&amp;$J101&amp;"|"&amp;8,Assessments!$A$2:$A$600,0)),0)</f>
        <v>0</v>
      </c>
      <c r="DE101" s="28" t="n">
        <f aca="false">IFERROR(INDEX(Assessments!$J$2:$J$600,MATCH($H101&amp;"|"&amp;$I101&amp;"|"&amp;$J101&amp;"|"&amp;9,Assessments!$A$2:$A$600,0)),0)</f>
        <v>0</v>
      </c>
      <c r="DF101" s="28" t="n">
        <f aca="false">IFERROR(INDEX(Assessments!$J$2:$J$600,MATCH($H101&amp;"|"&amp;$I101&amp;"|"&amp;$J101&amp;"|"&amp;10,Assessments!$A$2:$A$600,0)),0)</f>
        <v>0</v>
      </c>
      <c r="DG101" s="28" t="n">
        <f aca="false">IFERROR(INDEX(Assessments!$J$2:$J$600,MATCH($H101&amp;"|"&amp;$I101&amp;"|"&amp;$J101&amp;"|"&amp;11,Assessments!$A$2:$A$600,0)),0)</f>
        <v>0</v>
      </c>
      <c r="DH101" s="28" t="n">
        <f aca="false">IFERROR(INDEX(Assessments!$J$2:$J$600,MATCH($H101&amp;"|"&amp;$I101&amp;"|"&amp;$J101&amp;"|"&amp;12,Assessments!$A$2:$A$600,0)),0)</f>
        <v>0</v>
      </c>
      <c r="DI101" s="28" t="n">
        <f aca="false">IFERROR(INDEX(Assessments!$J$2:$J$600,MATCH($H101&amp;"|"&amp;$I101&amp;"|"&amp;$J101&amp;"|"&amp;13,Assessments!$A$2:$A$600,0)),0)</f>
        <v>0</v>
      </c>
      <c r="DJ101" s="28" t="n">
        <f aca="false">IFERROR(INDEX(Assessments!$J$2:$J$600,MATCH($H101&amp;"|"&amp;$I101&amp;"|"&amp;$J101&amp;"|"&amp;14,Assessments!$A$2:$A$600,0)),0)</f>
        <v>0</v>
      </c>
      <c r="DK101" s="28" t="n">
        <f aca="false">S101</f>
        <v>6</v>
      </c>
      <c r="DL101" s="28" t="n">
        <f aca="false">W101</f>
        <v>7</v>
      </c>
      <c r="DM101" s="28" t="n">
        <f aca="false">AA101</f>
        <v>6</v>
      </c>
      <c r="DN101" s="28" t="n">
        <f aca="false">AE101</f>
        <v>6</v>
      </c>
      <c r="DO101" s="28" t="str">
        <f aca="false">AI101</f>
        <v/>
      </c>
      <c r="DP101" s="28" t="str">
        <f aca="false">AM101</f>
        <v/>
      </c>
      <c r="DQ101" s="28" t="str">
        <f aca="false">AQ101</f>
        <v/>
      </c>
      <c r="DR101" s="28" t="str">
        <f aca="false">AU101</f>
        <v/>
      </c>
      <c r="DS101" s="28" t="str">
        <f aca="false">AY101</f>
        <v/>
      </c>
      <c r="DT101" s="28" t="str">
        <f aca="false">BC101</f>
        <v/>
      </c>
      <c r="DU101" s="28" t="str">
        <f aca="false">BG101</f>
        <v/>
      </c>
      <c r="DV101" s="28" t="str">
        <f aca="false">BK101</f>
        <v/>
      </c>
      <c r="DW101" s="28" t="str">
        <f aca="false">BO101</f>
        <v/>
      </c>
      <c r="DX101" s="28" t="str">
        <f aca="false">BS101</f>
        <v/>
      </c>
      <c r="DY101" s="28" t="n">
        <f aca="false">IF(ISNUMBER(S101),1,"")</f>
        <v>1</v>
      </c>
      <c r="DZ101" s="28" t="n">
        <f aca="false">IF(ISNUMBER(W101),2,"")</f>
        <v>2</v>
      </c>
      <c r="EA101" s="28" t="n">
        <f aca="false">IF(ISNUMBER(AA101),3,"")</f>
        <v>3</v>
      </c>
      <c r="EB101" s="28" t="n">
        <f aca="false">IF(ISNUMBER(AE101),4,"")</f>
        <v>4</v>
      </c>
      <c r="EC101" s="28" t="str">
        <f aca="false">IF(ISNUMBER(AI101),5,"")</f>
        <v/>
      </c>
      <c r="ED101" s="28" t="str">
        <f aca="false">IF(ISNUMBER(AM101),6,"")</f>
        <v/>
      </c>
      <c r="EE101" s="28" t="str">
        <f aca="false">IF(ISNUMBER(AQ101),7,"")</f>
        <v/>
      </c>
      <c r="EF101" s="28" t="str">
        <f aca="false">IF(ISNUMBER(AU101),8,"")</f>
        <v/>
      </c>
      <c r="EG101" s="28" t="str">
        <f aca="false">IF(ISNUMBER(AY101),9,"")</f>
        <v/>
      </c>
      <c r="EH101" s="28" t="str">
        <f aca="false">IF(ISNUMBER(BC101),10,"")</f>
        <v/>
      </c>
      <c r="EI101" s="28" t="str">
        <f aca="false">IF(ISNUMBER(BG101),11,"")</f>
        <v/>
      </c>
      <c r="EJ101" s="28" t="str">
        <f aca="false">IF(ISNUMBER(BK101),12,"")</f>
        <v/>
      </c>
      <c r="EK101" s="28" t="str">
        <f aca="false">IF(ISNUMBER(BO101),13,"")</f>
        <v/>
      </c>
      <c r="EL101" s="28" t="str">
        <f aca="false">IF(ISNUMBER(BS101),14,"")</f>
        <v/>
      </c>
      <c r="EM101" s="28" t="n">
        <f aca="false">IF(ISNUMBER(R101),R101*CW101,0)</f>
        <v>83.3333333333333</v>
      </c>
      <c r="EN101" s="28" t="n">
        <f aca="false">IF(ISNUMBER(V101),V101*CX101,0)</f>
        <v>90</v>
      </c>
      <c r="EO101" s="28" t="n">
        <f aca="false">IF(ISNUMBER(Z101),Z101*CY101,0)</f>
        <v>80</v>
      </c>
      <c r="EP101" s="28" t="n">
        <f aca="false">IF(ISNUMBER(AD101),AD101*CZ101,0)</f>
        <v>82.6086956521739</v>
      </c>
      <c r="EQ101" s="28" t="n">
        <f aca="false">IF(ISNUMBER(AH101),AH101*DA101,0)</f>
        <v>0</v>
      </c>
      <c r="ER101" s="28" t="n">
        <f aca="false">IF(ISNUMBER(AL101),AL101*DB101,0)</f>
        <v>0</v>
      </c>
      <c r="ES101" s="28" t="n">
        <f aca="false">IF(ISNUMBER(AP101),AP101*DC101,0)</f>
        <v>0</v>
      </c>
      <c r="ET101" s="28" t="n">
        <f aca="false">IF(ISNUMBER(AT101),AT101*DD101,0)</f>
        <v>0</v>
      </c>
      <c r="EU101" s="28" t="n">
        <f aca="false">IF(ISNUMBER(AX101),AX101*DE101,0)</f>
        <v>0</v>
      </c>
      <c r="EV101" s="28" t="n">
        <f aca="false">IF(ISNUMBER(BB101),BB101*DF101,0)</f>
        <v>0</v>
      </c>
      <c r="EW101" s="28" t="n">
        <f aca="false">IF(ISNUMBER(BF101),BF101*DG101,0)</f>
        <v>0</v>
      </c>
      <c r="EX101" s="28" t="n">
        <f aca="false">IF(ISNUMBER(BJ101),BJ101*DH101,0)</f>
        <v>0</v>
      </c>
      <c r="EY101" s="28" t="n">
        <f aca="false">IF(ISNUMBER(BN101),BN101*DI101,0)</f>
        <v>0</v>
      </c>
      <c r="EZ101" s="28" t="n">
        <f aca="false">IF(ISNUMBER(BR101),BR101*DJ101,0)</f>
        <v>0</v>
      </c>
      <c r="FA101" s="28" t="n">
        <f aca="false">IF(ISNUMBER(R101),CW101,0)</f>
        <v>1</v>
      </c>
      <c r="FB101" s="28" t="n">
        <f aca="false">IF(ISNUMBER(V101),CX101,0)</f>
        <v>1</v>
      </c>
      <c r="FC101" s="28" t="n">
        <f aca="false">IF(ISNUMBER(Z101),CY101,0)</f>
        <v>1</v>
      </c>
      <c r="FD101" s="28" t="n">
        <f aca="false">IF(ISNUMBER(AD101),CZ101,0)</f>
        <v>1</v>
      </c>
      <c r="FE101" s="28" t="n">
        <f aca="false">IF(ISNUMBER(AH101),DA101,0)</f>
        <v>0</v>
      </c>
      <c r="FF101" s="28" t="n">
        <f aca="false">IF(ISNUMBER(AL101),DB101,0)</f>
        <v>0</v>
      </c>
      <c r="FG101" s="28" t="n">
        <f aca="false">IF(ISNUMBER(AP101),DC101,0)</f>
        <v>0</v>
      </c>
      <c r="FH101" s="28" t="n">
        <f aca="false">IF(ISNUMBER(AT101),DD101,0)</f>
        <v>0</v>
      </c>
      <c r="FI101" s="28" t="n">
        <f aca="false">IF(ISNUMBER(AX101),DE101,0)</f>
        <v>0</v>
      </c>
      <c r="FJ101" s="28" t="n">
        <f aca="false">IF(ISNUMBER(BB101),DF101,0)</f>
        <v>0</v>
      </c>
      <c r="FK101" s="28" t="n">
        <f aca="false">IF(ISNUMBER(BF101),DG101,0)</f>
        <v>0</v>
      </c>
      <c r="FL101" s="28" t="n">
        <f aca="false">IF(ISNUMBER(BJ101),DH101,0)</f>
        <v>0</v>
      </c>
      <c r="FM101" s="28" t="n">
        <f aca="false">IF(ISNUMBER(BN101),DI101,0)</f>
        <v>0</v>
      </c>
      <c r="FN101" s="28" t="n">
        <f aca="false">IF(ISNUMBER(BR101),DJ101,0)</f>
        <v>0</v>
      </c>
      <c r="FO101" s="28" t="str">
        <f aca="false">IFERROR(INDEX(Lists!$G$2:$G$20,MATCH($I101&amp;"|"&amp;$J101,Lists!$F$2:$F$20,0)),"")</f>
        <v>Econ Exam</v>
      </c>
    </row>
    <row r="102" customFormat="false" ht="19.5" hidden="false" customHeight="true" outlineLevel="0" collapsed="false">
      <c r="A102" s="29" t="s">
        <v>325</v>
      </c>
      <c r="B102" s="29" t="s">
        <v>326</v>
      </c>
      <c r="C102" s="30" t="s">
        <v>152</v>
      </c>
      <c r="D102" s="30" t="s">
        <v>271</v>
      </c>
      <c r="E102" s="31" t="n">
        <v>5.8</v>
      </c>
      <c r="F102" s="30" t="n">
        <v>6</v>
      </c>
      <c r="G102" s="30"/>
      <c r="H102" s="32" t="s">
        <v>23</v>
      </c>
      <c r="I102" s="33" t="s">
        <v>229</v>
      </c>
      <c r="J102" s="32" t="s">
        <v>223</v>
      </c>
      <c r="K102" s="34" t="n">
        <f aca="false">IF(OR(M102="",$E102=""),"",M102-$E102)</f>
        <v>0.2</v>
      </c>
      <c r="L102" s="35" t="n">
        <f aca="false">IF(SUM(FA102:FN102)=0,"",SUM(EM102:EZ102)/SUM(FA102:FN102))</f>
        <v>74.3224637681159</v>
      </c>
      <c r="M102" s="36" t="n">
        <f aca="false">IF(OR(L102="",FO102=""),"",IFERROR(MATCH(L102,INDEX(Boundaries!$B$2:$I$30,MATCH(FO102,Boundaries!$A$2:$A$30,0),0),1)-1,""))</f>
        <v>6</v>
      </c>
      <c r="N102" s="37" t="n">
        <f aca="false">IF(COUNT($DY102:$EL102)&lt;2,"",INDEX($DK102:$DX102,MAX($DY102:$EL102))-INDEX($DK102:$DX102,MIN($DY102:$EL102)))</f>
        <v>2</v>
      </c>
      <c r="O102" s="37" t="n">
        <f aca="false">IF(COUNT($DY102:$EL102)&lt;2,"",INDEX($DK102:$DX102,MAX($DY102:$EL102))-INDEX($DK102:$DX102,LARGE($DY102:$EL102,2)))</f>
        <v>2</v>
      </c>
      <c r="P102" s="38" t="str">
        <f aca="false">IF(K102="","",IF(K102&gt;=0,"On/above target",IF(AND(N102&lt;&gt;"",N102&gt;=0.5),"Improving towards target",IF(AND(O102&lt;&gt;"",O102&lt;=-0.5),"Declining","Stable below target"))))</f>
        <v>On/above target</v>
      </c>
      <c r="Q102" s="39" t="n">
        <v>22</v>
      </c>
      <c r="R102" s="40" t="n">
        <f aca="false">IF(OR(Q102="",BU102=""),"",Q102/BU102*100)</f>
        <v>73.3333333333333</v>
      </c>
      <c r="S102" s="41" t="n">
        <f aca="false">IF(R102="","",IFERROR(MATCH(R102,INDEX(Boundaries!$B$2:$I$30,MATCH(CI102,Boundaries!$A$2:$A$30,0),0),1)-1,""))</f>
        <v>5</v>
      </c>
      <c r="T102" s="42" t="n">
        <f aca="false">IF(OR(S102="",$E102=""),"",S102-$E102)</f>
        <v>-0.8</v>
      </c>
      <c r="U102" s="39" t="n">
        <v>13</v>
      </c>
      <c r="V102" s="40" t="n">
        <f aca="false">IF(OR(U102="",BV102=""),"",U102/BV102*100)</f>
        <v>65</v>
      </c>
      <c r="W102" s="41" t="n">
        <f aca="false">IF(V102="","",IFERROR(MATCH(V102,INDEX(Boundaries!$B$2:$I$30,MATCH(CJ102,Boundaries!$A$2:$A$30,0),0),1)-1,""))</f>
        <v>5</v>
      </c>
      <c r="X102" s="42" t="n">
        <f aca="false">IF(OR(W102="",$E102=""),"",W102-$E102)</f>
        <v>-0.8</v>
      </c>
      <c r="Y102" s="39" t="n">
        <v>18</v>
      </c>
      <c r="Z102" s="40" t="n">
        <f aca="false">IF(OR(Y102="",BW102=""),"",Y102/BW102*100)</f>
        <v>72</v>
      </c>
      <c r="AA102" s="41" t="n">
        <f aca="false">IF(Z102="","",IFERROR(MATCH(Z102,INDEX(Boundaries!$B$2:$I$30,MATCH(CK102,Boundaries!$A$2:$A$30,0),0),1)-1,""))</f>
        <v>5</v>
      </c>
      <c r="AB102" s="42" t="n">
        <f aca="false">IF(OR(AA102="",$E102=""),"",AA102-$E102)</f>
        <v>-0.8</v>
      </c>
      <c r="AC102" s="39" t="n">
        <v>20</v>
      </c>
      <c r="AD102" s="40" t="n">
        <f aca="false">IF(OR(AC102="",BX102=""),"",AC102/BX102*100)</f>
        <v>86.9565217391304</v>
      </c>
      <c r="AE102" s="41" t="n">
        <f aca="false">IF(AD102="","",IFERROR(MATCH(AD102,INDEX(Boundaries!$B$2:$I$30,MATCH(CL102,Boundaries!$A$2:$A$30,0),0),1)-1,""))</f>
        <v>7</v>
      </c>
      <c r="AF102" s="42" t="n">
        <f aca="false">IF(OR(AE102="",$E102=""),"",AE102-$E102)</f>
        <v>1.2</v>
      </c>
      <c r="AG102" s="39"/>
      <c r="AH102" s="40" t="str">
        <f aca="false">IF(OR(AG102="",BY102=""),"",AG102/BY102*100)</f>
        <v/>
      </c>
      <c r="AI102" s="41" t="str">
        <f aca="false">IF(AH102="","",IFERROR(MATCH(AH102,INDEX(Boundaries!$B$2:$I$30,MATCH(CM102,Boundaries!$A$2:$A$30,0),0),1)-1,""))</f>
        <v/>
      </c>
      <c r="AJ102" s="42" t="str">
        <f aca="false">IF(OR(AI102="",$E102=""),"",AI102-$E102)</f>
        <v/>
      </c>
      <c r="AK102" s="39"/>
      <c r="AL102" s="40" t="str">
        <f aca="false">IF(OR(AK102="",BZ102=""),"",AK102/BZ102*100)</f>
        <v/>
      </c>
      <c r="AM102" s="41" t="str">
        <f aca="false">IF(AL102="","",IFERROR(MATCH(AL102,INDEX(Boundaries!$B$2:$I$30,MATCH(CN102,Boundaries!$A$2:$A$30,0),0),1)-1,""))</f>
        <v/>
      </c>
      <c r="AN102" s="42" t="str">
        <f aca="false">IF(OR(AM102="",$E102=""),"",AM102-$E102)</f>
        <v/>
      </c>
      <c r="AO102" s="39"/>
      <c r="AP102" s="40" t="str">
        <f aca="false">IF(OR(AO102="",CA102=""),"",AO102/CA102*100)</f>
        <v/>
      </c>
      <c r="AQ102" s="41" t="str">
        <f aca="false">IF(AP102="","",IFERROR(MATCH(AP102,INDEX(Boundaries!$B$2:$I$30,MATCH(CO102,Boundaries!$A$2:$A$30,0),0),1)-1,""))</f>
        <v/>
      </c>
      <c r="AR102" s="42" t="str">
        <f aca="false">IF(OR(AQ102="",$E102=""),"",AQ102-$E102)</f>
        <v/>
      </c>
      <c r="AS102" s="39"/>
      <c r="AT102" s="40" t="str">
        <f aca="false">IF(OR(AS102="",CB102=""),"",AS102/CB102*100)</f>
        <v/>
      </c>
      <c r="AU102" s="41" t="str">
        <f aca="false">IF(AT102="","",IFERROR(MATCH(AT102,INDEX(Boundaries!$B$2:$I$30,MATCH(CP102,Boundaries!$A$2:$A$30,0),0),1)-1,""))</f>
        <v/>
      </c>
      <c r="AV102" s="42" t="str">
        <f aca="false">IF(OR(AU102="",$E102=""),"",AU102-$E102)</f>
        <v/>
      </c>
      <c r="AW102" s="39"/>
      <c r="AX102" s="40" t="str">
        <f aca="false">IF(OR(AW102="",CC102=""),"",AW102/CC102*100)</f>
        <v/>
      </c>
      <c r="AY102" s="41" t="str">
        <f aca="false">IF(AX102="","",IFERROR(MATCH(AX102,INDEX(Boundaries!$B$2:$I$30,MATCH(CQ102,Boundaries!$A$2:$A$30,0),0),1)-1,""))</f>
        <v/>
      </c>
      <c r="AZ102" s="42" t="str">
        <f aca="false">IF(OR(AY102="",$E102=""),"",AY102-$E102)</f>
        <v/>
      </c>
      <c r="BA102" s="39"/>
      <c r="BB102" s="40" t="str">
        <f aca="false">IF(OR(BA102="",CD102=""),"",BA102/CD102*100)</f>
        <v/>
      </c>
      <c r="BC102" s="41" t="str">
        <f aca="false">IF(BB102="","",IFERROR(MATCH(BB102,INDEX(Boundaries!$B$2:$I$30,MATCH(CR102,Boundaries!$A$2:$A$30,0),0),1)-1,""))</f>
        <v/>
      </c>
      <c r="BD102" s="42" t="str">
        <f aca="false">IF(OR(BC102="",$E102=""),"",BC102-$E102)</f>
        <v/>
      </c>
      <c r="BE102" s="39"/>
      <c r="BF102" s="40" t="str">
        <f aca="false">IF(OR(BE102="",CE102=""),"",BE102/CE102*100)</f>
        <v/>
      </c>
      <c r="BG102" s="41" t="str">
        <f aca="false">IF(BF102="","",IFERROR(MATCH(BF102,INDEX(Boundaries!$B$2:$I$30,MATCH(CS102,Boundaries!$A$2:$A$30,0),0),1)-1,""))</f>
        <v/>
      </c>
      <c r="BH102" s="42" t="str">
        <f aca="false">IF(OR(BG102="",$E102=""),"",BG102-$E102)</f>
        <v/>
      </c>
      <c r="BI102" s="39"/>
      <c r="BJ102" s="40" t="str">
        <f aca="false">IF(OR(BI102="",CF102=""),"",BI102/CF102*100)</f>
        <v/>
      </c>
      <c r="BK102" s="41" t="str">
        <f aca="false">IF(BJ102="","",IFERROR(MATCH(BJ102,INDEX(Boundaries!$B$2:$I$30,MATCH(CT102,Boundaries!$A$2:$A$30,0),0),1)-1,""))</f>
        <v/>
      </c>
      <c r="BL102" s="42" t="str">
        <f aca="false">IF(OR(BK102="",$E102=""),"",BK102-$E102)</f>
        <v/>
      </c>
      <c r="BM102" s="39"/>
      <c r="BN102" s="40" t="str">
        <f aca="false">IF(OR(BM102="",CG102=""),"",BM102/CG102*100)</f>
        <v/>
      </c>
      <c r="BO102" s="41" t="str">
        <f aca="false">IF(BN102="","",IFERROR(MATCH(BN102,INDEX(Boundaries!$B$2:$I$30,MATCH(CU102,Boundaries!$A$2:$A$30,0),0),1)-1,""))</f>
        <v/>
      </c>
      <c r="BP102" s="42" t="str">
        <f aca="false">IF(OR(BO102="",$E102=""),"",BO102-$E102)</f>
        <v/>
      </c>
      <c r="BQ102" s="39"/>
      <c r="BR102" s="40" t="str">
        <f aca="false">IF(OR(BQ102="",CH102=""),"",BQ102/CH102*100)</f>
        <v/>
      </c>
      <c r="BS102" s="41" t="str">
        <f aca="false">IF(BR102="","",IFERROR(MATCH(BR102,INDEX(Boundaries!$B$2:$I$30,MATCH(CV102,Boundaries!$A$2:$A$30,0),0),1)-1,""))</f>
        <v/>
      </c>
      <c r="BT102" s="42" t="str">
        <f aca="false">IF(OR(BS102="",$E102=""),"",BS102-$E102)</f>
        <v/>
      </c>
      <c r="BU102" s="28" t="n">
        <f aca="false">IFERROR(INDEX(Assessments!$H$2:$H$600,MATCH($H102&amp;"|"&amp;$I102&amp;"|"&amp;$J102&amp;"|"&amp;1,Assessments!$A$2:$A$600,0)),"")</f>
        <v>30</v>
      </c>
      <c r="BV102" s="28" t="n">
        <f aca="false">IFERROR(INDEX(Assessments!$H$2:$H$600,MATCH($H102&amp;"|"&amp;$I102&amp;"|"&amp;$J102&amp;"|"&amp;2,Assessments!$A$2:$A$600,0)),"")</f>
        <v>20</v>
      </c>
      <c r="BW102" s="28" t="n">
        <f aca="false">IFERROR(INDEX(Assessments!$H$2:$H$600,MATCH($H102&amp;"|"&amp;$I102&amp;"|"&amp;$J102&amp;"|"&amp;3,Assessments!$A$2:$A$600,0)),"")</f>
        <v>25</v>
      </c>
      <c r="BX102" s="28" t="n">
        <f aca="false">IFERROR(INDEX(Assessments!$H$2:$H$600,MATCH($H102&amp;"|"&amp;$I102&amp;"|"&amp;$J102&amp;"|"&amp;4,Assessments!$A$2:$A$600,0)),"")</f>
        <v>23</v>
      </c>
      <c r="BY102" s="28" t="n">
        <f aca="false">IFERROR(INDEX(Assessments!$H$2:$H$600,MATCH($H102&amp;"|"&amp;$I102&amp;"|"&amp;$J102&amp;"|"&amp;5,Assessments!$A$2:$A$600,0)),"")</f>
        <v>25</v>
      </c>
      <c r="BZ102" s="28" t="n">
        <f aca="false">IFERROR(INDEX(Assessments!$H$2:$H$600,MATCH($H102&amp;"|"&amp;$I102&amp;"|"&amp;$J102&amp;"|"&amp;6,Assessments!$A$2:$A$600,0)),"")</f>
        <v>15</v>
      </c>
      <c r="CA102" s="28" t="n">
        <f aca="false">IFERROR(INDEX(Assessments!$H$2:$H$600,MATCH($H102&amp;"|"&amp;$I102&amp;"|"&amp;$J102&amp;"|"&amp;7,Assessments!$A$2:$A$600,0)),"")</f>
        <v>52</v>
      </c>
      <c r="CB102" s="28" t="str">
        <f aca="false">IFERROR(INDEX(Assessments!$H$2:$H$600,MATCH($H102&amp;"|"&amp;$I102&amp;"|"&amp;$J102&amp;"|"&amp;8,Assessments!$A$2:$A$600,0)),"")</f>
        <v/>
      </c>
      <c r="CC102" s="28" t="str">
        <f aca="false">IFERROR(INDEX(Assessments!$H$2:$H$600,MATCH($H102&amp;"|"&amp;$I102&amp;"|"&amp;$J102&amp;"|"&amp;9,Assessments!$A$2:$A$600,0)),"")</f>
        <v/>
      </c>
      <c r="CD102" s="28" t="str">
        <f aca="false">IFERROR(INDEX(Assessments!$H$2:$H$600,MATCH($H102&amp;"|"&amp;$I102&amp;"|"&amp;$J102&amp;"|"&amp;10,Assessments!$A$2:$A$600,0)),"")</f>
        <v/>
      </c>
      <c r="CE102" s="28" t="str">
        <f aca="false">IFERROR(INDEX(Assessments!$H$2:$H$600,MATCH($H102&amp;"|"&amp;$I102&amp;"|"&amp;$J102&amp;"|"&amp;11,Assessments!$A$2:$A$600,0)),"")</f>
        <v/>
      </c>
      <c r="CF102" s="28" t="str">
        <f aca="false">IFERROR(INDEX(Assessments!$H$2:$H$600,MATCH($H102&amp;"|"&amp;$I102&amp;"|"&amp;$J102&amp;"|"&amp;12,Assessments!$A$2:$A$600,0)),"")</f>
        <v/>
      </c>
      <c r="CG102" s="28" t="str">
        <f aca="false">IFERROR(INDEX(Assessments!$H$2:$H$600,MATCH($H102&amp;"|"&amp;$I102&amp;"|"&amp;$J102&amp;"|"&amp;13,Assessments!$A$2:$A$600,0)),"")</f>
        <v/>
      </c>
      <c r="CH102" s="28" t="str">
        <f aca="false">IFERROR(INDEX(Assessments!$H$2:$H$600,MATCH($H102&amp;"|"&amp;$I102&amp;"|"&amp;$J102&amp;"|"&amp;14,Assessments!$A$2:$A$600,0)),"")</f>
        <v/>
      </c>
      <c r="CI102" s="28" t="str">
        <f aca="false">IFERROR(INDEX(Assessments!$I$2:$I$600,MATCH($H102&amp;"|"&amp;$I102&amp;"|"&amp;$J102&amp;"|"&amp;1,Assessments!$A$2:$A$600,0)),"")</f>
        <v>Econ Test</v>
      </c>
      <c r="CJ102" s="28" t="str">
        <f aca="false">IFERROR(INDEX(Assessments!$I$2:$I$600,MATCH($H102&amp;"|"&amp;$I102&amp;"|"&amp;$J102&amp;"|"&amp;2,Assessments!$A$2:$A$600,0)),"")</f>
        <v>Econ Test</v>
      </c>
      <c r="CK102" s="28" t="str">
        <f aca="false">IFERROR(INDEX(Assessments!$I$2:$I$600,MATCH($H102&amp;"|"&amp;$I102&amp;"|"&amp;$J102&amp;"|"&amp;3,Assessments!$A$2:$A$600,0)),"")</f>
        <v>Econ Test</v>
      </c>
      <c r="CL102" s="28" t="str">
        <f aca="false">IFERROR(INDEX(Assessments!$I$2:$I$600,MATCH($H102&amp;"|"&amp;$I102&amp;"|"&amp;$J102&amp;"|"&amp;4,Assessments!$A$2:$A$600,0)),"")</f>
        <v>Econ Test</v>
      </c>
      <c r="CM102" s="28" t="str">
        <f aca="false">IFERROR(INDEX(Assessments!$I$2:$I$600,MATCH($H102&amp;"|"&amp;$I102&amp;"|"&amp;$J102&amp;"|"&amp;5,Assessments!$A$2:$A$600,0)),"")</f>
        <v>Econ Exam</v>
      </c>
      <c r="CN102" s="28" t="str">
        <f aca="false">IFERROR(INDEX(Assessments!$I$2:$I$600,MATCH($H102&amp;"|"&amp;$I102&amp;"|"&amp;$J102&amp;"|"&amp;6,Assessments!$A$2:$A$600,0)),"")</f>
        <v>Econ Test</v>
      </c>
      <c r="CO102" s="28" t="str">
        <f aca="false">IFERROR(INDEX(Assessments!$I$2:$I$600,MATCH($H102&amp;"|"&amp;$I102&amp;"|"&amp;$J102&amp;"|"&amp;7,Assessments!$A$2:$A$600,0)),"")</f>
        <v>Econ Exam</v>
      </c>
      <c r="CP102" s="28" t="str">
        <f aca="false">IFERROR(INDEX(Assessments!$I$2:$I$600,MATCH($H102&amp;"|"&amp;$I102&amp;"|"&amp;$J102&amp;"|"&amp;8,Assessments!$A$2:$A$600,0)),"")</f>
        <v/>
      </c>
      <c r="CQ102" s="28" t="str">
        <f aca="false">IFERROR(INDEX(Assessments!$I$2:$I$600,MATCH($H102&amp;"|"&amp;$I102&amp;"|"&amp;$J102&amp;"|"&amp;9,Assessments!$A$2:$A$600,0)),"")</f>
        <v/>
      </c>
      <c r="CR102" s="28" t="str">
        <f aca="false">IFERROR(INDEX(Assessments!$I$2:$I$600,MATCH($H102&amp;"|"&amp;$I102&amp;"|"&amp;$J102&amp;"|"&amp;10,Assessments!$A$2:$A$600,0)),"")</f>
        <v/>
      </c>
      <c r="CS102" s="28" t="str">
        <f aca="false">IFERROR(INDEX(Assessments!$I$2:$I$600,MATCH($H102&amp;"|"&amp;$I102&amp;"|"&amp;$J102&amp;"|"&amp;11,Assessments!$A$2:$A$600,0)),"")</f>
        <v/>
      </c>
      <c r="CT102" s="28" t="str">
        <f aca="false">IFERROR(INDEX(Assessments!$I$2:$I$600,MATCH($H102&amp;"|"&amp;$I102&amp;"|"&amp;$J102&amp;"|"&amp;12,Assessments!$A$2:$A$600,0)),"")</f>
        <v/>
      </c>
      <c r="CU102" s="28" t="str">
        <f aca="false">IFERROR(INDEX(Assessments!$I$2:$I$600,MATCH($H102&amp;"|"&amp;$I102&amp;"|"&amp;$J102&amp;"|"&amp;13,Assessments!$A$2:$A$600,0)),"")</f>
        <v/>
      </c>
      <c r="CV102" s="28" t="str">
        <f aca="false">IFERROR(INDEX(Assessments!$I$2:$I$600,MATCH($H102&amp;"|"&amp;$I102&amp;"|"&amp;$J102&amp;"|"&amp;14,Assessments!$A$2:$A$600,0)),"")</f>
        <v/>
      </c>
      <c r="CW102" s="28" t="n">
        <f aca="false">IFERROR(INDEX(Assessments!$J$2:$J$600,MATCH($H102&amp;"|"&amp;$I102&amp;"|"&amp;$J102&amp;"|"&amp;1,Assessments!$A$2:$A$600,0)),0)</f>
        <v>1</v>
      </c>
      <c r="CX102" s="28" t="n">
        <f aca="false">IFERROR(INDEX(Assessments!$J$2:$J$600,MATCH($H102&amp;"|"&amp;$I102&amp;"|"&amp;$J102&amp;"|"&amp;2,Assessments!$A$2:$A$600,0)),0)</f>
        <v>1</v>
      </c>
      <c r="CY102" s="28" t="n">
        <f aca="false">IFERROR(INDEX(Assessments!$J$2:$J$600,MATCH($H102&amp;"|"&amp;$I102&amp;"|"&amp;$J102&amp;"|"&amp;3,Assessments!$A$2:$A$600,0)),0)</f>
        <v>1</v>
      </c>
      <c r="CZ102" s="28" t="n">
        <f aca="false">IFERROR(INDEX(Assessments!$J$2:$J$600,MATCH($H102&amp;"|"&amp;$I102&amp;"|"&amp;$J102&amp;"|"&amp;4,Assessments!$A$2:$A$600,0)),0)</f>
        <v>1</v>
      </c>
      <c r="DA102" s="28" t="n">
        <f aca="false">IFERROR(INDEX(Assessments!$J$2:$J$600,MATCH($H102&amp;"|"&amp;$I102&amp;"|"&amp;$J102&amp;"|"&amp;5,Assessments!$A$2:$A$600,0)),0)</f>
        <v>2</v>
      </c>
      <c r="DB102" s="28" t="n">
        <f aca="false">IFERROR(INDEX(Assessments!$J$2:$J$600,MATCH($H102&amp;"|"&amp;$I102&amp;"|"&amp;$J102&amp;"|"&amp;6,Assessments!$A$2:$A$600,0)),0)</f>
        <v>1</v>
      </c>
      <c r="DC102" s="28" t="n">
        <f aca="false">IFERROR(INDEX(Assessments!$J$2:$J$600,MATCH($H102&amp;"|"&amp;$I102&amp;"|"&amp;$J102&amp;"|"&amp;7,Assessments!$A$2:$A$600,0)),0)</f>
        <v>2</v>
      </c>
      <c r="DD102" s="28" t="n">
        <f aca="false">IFERROR(INDEX(Assessments!$J$2:$J$600,MATCH($H102&amp;"|"&amp;$I102&amp;"|"&amp;$J102&amp;"|"&amp;8,Assessments!$A$2:$A$600,0)),0)</f>
        <v>0</v>
      </c>
      <c r="DE102" s="28" t="n">
        <f aca="false">IFERROR(INDEX(Assessments!$J$2:$J$600,MATCH($H102&amp;"|"&amp;$I102&amp;"|"&amp;$J102&amp;"|"&amp;9,Assessments!$A$2:$A$600,0)),0)</f>
        <v>0</v>
      </c>
      <c r="DF102" s="28" t="n">
        <f aca="false">IFERROR(INDEX(Assessments!$J$2:$J$600,MATCH($H102&amp;"|"&amp;$I102&amp;"|"&amp;$J102&amp;"|"&amp;10,Assessments!$A$2:$A$600,0)),0)</f>
        <v>0</v>
      </c>
      <c r="DG102" s="28" t="n">
        <f aca="false">IFERROR(INDEX(Assessments!$J$2:$J$600,MATCH($H102&amp;"|"&amp;$I102&amp;"|"&amp;$J102&amp;"|"&amp;11,Assessments!$A$2:$A$600,0)),0)</f>
        <v>0</v>
      </c>
      <c r="DH102" s="28" t="n">
        <f aca="false">IFERROR(INDEX(Assessments!$J$2:$J$600,MATCH($H102&amp;"|"&amp;$I102&amp;"|"&amp;$J102&amp;"|"&amp;12,Assessments!$A$2:$A$600,0)),0)</f>
        <v>0</v>
      </c>
      <c r="DI102" s="28" t="n">
        <f aca="false">IFERROR(INDEX(Assessments!$J$2:$J$600,MATCH($H102&amp;"|"&amp;$I102&amp;"|"&amp;$J102&amp;"|"&amp;13,Assessments!$A$2:$A$600,0)),0)</f>
        <v>0</v>
      </c>
      <c r="DJ102" s="28" t="n">
        <f aca="false">IFERROR(INDEX(Assessments!$J$2:$J$600,MATCH($H102&amp;"|"&amp;$I102&amp;"|"&amp;$J102&amp;"|"&amp;14,Assessments!$A$2:$A$600,0)),0)</f>
        <v>0</v>
      </c>
      <c r="DK102" s="28" t="n">
        <f aca="false">S102</f>
        <v>5</v>
      </c>
      <c r="DL102" s="28" t="n">
        <f aca="false">W102</f>
        <v>5</v>
      </c>
      <c r="DM102" s="28" t="n">
        <f aca="false">AA102</f>
        <v>5</v>
      </c>
      <c r="DN102" s="28" t="n">
        <f aca="false">AE102</f>
        <v>7</v>
      </c>
      <c r="DO102" s="28" t="str">
        <f aca="false">AI102</f>
        <v/>
      </c>
      <c r="DP102" s="28" t="str">
        <f aca="false">AM102</f>
        <v/>
      </c>
      <c r="DQ102" s="28" t="str">
        <f aca="false">AQ102</f>
        <v/>
      </c>
      <c r="DR102" s="28" t="str">
        <f aca="false">AU102</f>
        <v/>
      </c>
      <c r="DS102" s="28" t="str">
        <f aca="false">AY102</f>
        <v/>
      </c>
      <c r="DT102" s="28" t="str">
        <f aca="false">BC102</f>
        <v/>
      </c>
      <c r="DU102" s="28" t="str">
        <f aca="false">BG102</f>
        <v/>
      </c>
      <c r="DV102" s="28" t="str">
        <f aca="false">BK102</f>
        <v/>
      </c>
      <c r="DW102" s="28" t="str">
        <f aca="false">BO102</f>
        <v/>
      </c>
      <c r="DX102" s="28" t="str">
        <f aca="false">BS102</f>
        <v/>
      </c>
      <c r="DY102" s="28" t="n">
        <f aca="false">IF(ISNUMBER(S102),1,"")</f>
        <v>1</v>
      </c>
      <c r="DZ102" s="28" t="n">
        <f aca="false">IF(ISNUMBER(W102),2,"")</f>
        <v>2</v>
      </c>
      <c r="EA102" s="28" t="n">
        <f aca="false">IF(ISNUMBER(AA102),3,"")</f>
        <v>3</v>
      </c>
      <c r="EB102" s="28" t="n">
        <f aca="false">IF(ISNUMBER(AE102),4,"")</f>
        <v>4</v>
      </c>
      <c r="EC102" s="28" t="str">
        <f aca="false">IF(ISNUMBER(AI102),5,"")</f>
        <v/>
      </c>
      <c r="ED102" s="28" t="str">
        <f aca="false">IF(ISNUMBER(AM102),6,"")</f>
        <v/>
      </c>
      <c r="EE102" s="28" t="str">
        <f aca="false">IF(ISNUMBER(AQ102),7,"")</f>
        <v/>
      </c>
      <c r="EF102" s="28" t="str">
        <f aca="false">IF(ISNUMBER(AU102),8,"")</f>
        <v/>
      </c>
      <c r="EG102" s="28" t="str">
        <f aca="false">IF(ISNUMBER(AY102),9,"")</f>
        <v/>
      </c>
      <c r="EH102" s="28" t="str">
        <f aca="false">IF(ISNUMBER(BC102),10,"")</f>
        <v/>
      </c>
      <c r="EI102" s="28" t="str">
        <f aca="false">IF(ISNUMBER(BG102),11,"")</f>
        <v/>
      </c>
      <c r="EJ102" s="28" t="str">
        <f aca="false">IF(ISNUMBER(BK102),12,"")</f>
        <v/>
      </c>
      <c r="EK102" s="28" t="str">
        <f aca="false">IF(ISNUMBER(BO102),13,"")</f>
        <v/>
      </c>
      <c r="EL102" s="28" t="str">
        <f aca="false">IF(ISNUMBER(BS102),14,"")</f>
        <v/>
      </c>
      <c r="EM102" s="28" t="n">
        <f aca="false">IF(ISNUMBER(R102),R102*CW102,0)</f>
        <v>73.3333333333333</v>
      </c>
      <c r="EN102" s="28" t="n">
        <f aca="false">IF(ISNUMBER(V102),V102*CX102,0)</f>
        <v>65</v>
      </c>
      <c r="EO102" s="28" t="n">
        <f aca="false">IF(ISNUMBER(Z102),Z102*CY102,0)</f>
        <v>72</v>
      </c>
      <c r="EP102" s="28" t="n">
        <f aca="false">IF(ISNUMBER(AD102),AD102*CZ102,0)</f>
        <v>86.9565217391304</v>
      </c>
      <c r="EQ102" s="28" t="n">
        <f aca="false">IF(ISNUMBER(AH102),AH102*DA102,0)</f>
        <v>0</v>
      </c>
      <c r="ER102" s="28" t="n">
        <f aca="false">IF(ISNUMBER(AL102),AL102*DB102,0)</f>
        <v>0</v>
      </c>
      <c r="ES102" s="28" t="n">
        <f aca="false">IF(ISNUMBER(AP102),AP102*DC102,0)</f>
        <v>0</v>
      </c>
      <c r="ET102" s="28" t="n">
        <f aca="false">IF(ISNUMBER(AT102),AT102*DD102,0)</f>
        <v>0</v>
      </c>
      <c r="EU102" s="28" t="n">
        <f aca="false">IF(ISNUMBER(AX102),AX102*DE102,0)</f>
        <v>0</v>
      </c>
      <c r="EV102" s="28" t="n">
        <f aca="false">IF(ISNUMBER(BB102),BB102*DF102,0)</f>
        <v>0</v>
      </c>
      <c r="EW102" s="28" t="n">
        <f aca="false">IF(ISNUMBER(BF102),BF102*DG102,0)</f>
        <v>0</v>
      </c>
      <c r="EX102" s="28" t="n">
        <f aca="false">IF(ISNUMBER(BJ102),BJ102*DH102,0)</f>
        <v>0</v>
      </c>
      <c r="EY102" s="28" t="n">
        <f aca="false">IF(ISNUMBER(BN102),BN102*DI102,0)</f>
        <v>0</v>
      </c>
      <c r="EZ102" s="28" t="n">
        <f aca="false">IF(ISNUMBER(BR102),BR102*DJ102,0)</f>
        <v>0</v>
      </c>
      <c r="FA102" s="28" t="n">
        <f aca="false">IF(ISNUMBER(R102),CW102,0)</f>
        <v>1</v>
      </c>
      <c r="FB102" s="28" t="n">
        <f aca="false">IF(ISNUMBER(V102),CX102,0)</f>
        <v>1</v>
      </c>
      <c r="FC102" s="28" t="n">
        <f aca="false">IF(ISNUMBER(Z102),CY102,0)</f>
        <v>1</v>
      </c>
      <c r="FD102" s="28" t="n">
        <f aca="false">IF(ISNUMBER(AD102),CZ102,0)</f>
        <v>1</v>
      </c>
      <c r="FE102" s="28" t="n">
        <f aca="false">IF(ISNUMBER(AH102),DA102,0)</f>
        <v>0</v>
      </c>
      <c r="FF102" s="28" t="n">
        <f aca="false">IF(ISNUMBER(AL102),DB102,0)</f>
        <v>0</v>
      </c>
      <c r="FG102" s="28" t="n">
        <f aca="false">IF(ISNUMBER(AP102),DC102,0)</f>
        <v>0</v>
      </c>
      <c r="FH102" s="28" t="n">
        <f aca="false">IF(ISNUMBER(AT102),DD102,0)</f>
        <v>0</v>
      </c>
      <c r="FI102" s="28" t="n">
        <f aca="false">IF(ISNUMBER(AX102),DE102,0)</f>
        <v>0</v>
      </c>
      <c r="FJ102" s="28" t="n">
        <f aca="false">IF(ISNUMBER(BB102),DF102,0)</f>
        <v>0</v>
      </c>
      <c r="FK102" s="28" t="n">
        <f aca="false">IF(ISNUMBER(BF102),DG102,0)</f>
        <v>0</v>
      </c>
      <c r="FL102" s="28" t="n">
        <f aca="false">IF(ISNUMBER(BJ102),DH102,0)</f>
        <v>0</v>
      </c>
      <c r="FM102" s="28" t="n">
        <f aca="false">IF(ISNUMBER(BN102),DI102,0)</f>
        <v>0</v>
      </c>
      <c r="FN102" s="28" t="n">
        <f aca="false">IF(ISNUMBER(BR102),DJ102,0)</f>
        <v>0</v>
      </c>
      <c r="FO102" s="28" t="str">
        <f aca="false">IFERROR(INDEX(Lists!$G$2:$G$20,MATCH($I102&amp;"|"&amp;$J102,Lists!$F$2:$F$20,0)),"")</f>
        <v>Econ Exam</v>
      </c>
    </row>
    <row r="103" customFormat="false" ht="19.5" hidden="false" customHeight="true" outlineLevel="0" collapsed="false">
      <c r="A103" s="29" t="s">
        <v>327</v>
      </c>
      <c r="B103" s="29" t="s">
        <v>328</v>
      </c>
      <c r="C103" s="30" t="s">
        <v>152</v>
      </c>
      <c r="D103" s="30" t="s">
        <v>271</v>
      </c>
      <c r="E103" s="31" t="n">
        <v>6.1</v>
      </c>
      <c r="F103" s="30" t="n">
        <v>6</v>
      </c>
      <c r="G103" s="30"/>
      <c r="H103" s="32" t="s">
        <v>23</v>
      </c>
      <c r="I103" s="33" t="s">
        <v>229</v>
      </c>
      <c r="J103" s="32" t="s">
        <v>223</v>
      </c>
      <c r="K103" s="34" t="n">
        <f aca="false">IF(OR(M103="",$E103=""),"",M103-$E103)</f>
        <v>-2.1</v>
      </c>
      <c r="L103" s="35" t="n">
        <f aca="false">IF(SUM(FA103:FN103)=0,"",SUM(EM103:EZ103)/SUM(FA103:FN103))</f>
        <v>55</v>
      </c>
      <c r="M103" s="36" t="n">
        <f aca="false">IF(OR(L103="",FO103=""),"",IFERROR(MATCH(L103,INDEX(Boundaries!$B$2:$I$30,MATCH(FO103,Boundaries!$A$2:$A$30,0),0),1)-1,""))</f>
        <v>4</v>
      </c>
      <c r="N103" s="37" t="n">
        <f aca="false">IF(COUNT($DY103:$EL103)&lt;2,"",INDEX($DK103:$DX103,MAX($DY103:$EL103))-INDEX($DK103:$DX103,MIN($DY103:$EL103)))</f>
        <v>0</v>
      </c>
      <c r="O103" s="37" t="n">
        <f aca="false">IF(COUNT($DY103:$EL103)&lt;2,"",INDEX($DK103:$DX103,MAX($DY103:$EL103))-INDEX($DK103:$DX103,LARGE($DY103:$EL103,2)))</f>
        <v>0</v>
      </c>
      <c r="P103" s="38" t="str">
        <f aca="false">IF(K103="","",IF(K103&gt;=0,"On/above target",IF(AND(N103&lt;&gt;"",N103&gt;=0.5),"Improving towards target",IF(AND(O103&lt;&gt;"",O103&lt;=-0.5),"Declining","Stable below target"))))</f>
        <v>Stable below target</v>
      </c>
      <c r="Q103" s="39" t="n">
        <v>15</v>
      </c>
      <c r="R103" s="40" t="n">
        <f aca="false">IF(OR(Q103="",BU103=""),"",Q103/BU103*100)</f>
        <v>50</v>
      </c>
      <c r="S103" s="41" t="n">
        <f aca="false">IF(R103="","",IFERROR(MATCH(R103,INDEX(Boundaries!$B$2:$I$30,MATCH(CI103,Boundaries!$A$2:$A$30,0),0),1)-1,""))</f>
        <v>4</v>
      </c>
      <c r="T103" s="42" t="n">
        <f aca="false">IF(OR(S103="",$E103=""),"",S103-$E103)</f>
        <v>-2.1</v>
      </c>
      <c r="U103" s="39" t="n">
        <v>12</v>
      </c>
      <c r="V103" s="40" t="n">
        <f aca="false">IF(OR(U103="",BV103=""),"",U103/BV103*100)</f>
        <v>60</v>
      </c>
      <c r="W103" s="41" t="n">
        <f aca="false">IF(V103="","",IFERROR(MATCH(V103,INDEX(Boundaries!$B$2:$I$30,MATCH(CJ103,Boundaries!$A$2:$A$30,0),0),1)-1,""))</f>
        <v>4</v>
      </c>
      <c r="X103" s="42" t="n">
        <f aca="false">IF(OR(W103="",$E103=""),"",W103-$E103)</f>
        <v>-2.1</v>
      </c>
      <c r="Y103" s="39"/>
      <c r="Z103" s="40" t="str">
        <f aca="false">IF(OR(Y103="",BW103=""),"",Y103/BW103*100)</f>
        <v/>
      </c>
      <c r="AA103" s="41" t="str">
        <f aca="false">IF(Z103="","",IFERROR(MATCH(Z103,INDEX(Boundaries!$B$2:$I$30,MATCH(CK103,Boundaries!$A$2:$A$30,0),0),1)-1,""))</f>
        <v/>
      </c>
      <c r="AB103" s="42" t="str">
        <f aca="false">IF(OR(AA103="",$E103=""),"",AA103-$E103)</f>
        <v/>
      </c>
      <c r="AC103" s="39"/>
      <c r="AD103" s="40" t="str">
        <f aca="false">IF(OR(AC103="",BX103=""),"",AC103/BX103*100)</f>
        <v/>
      </c>
      <c r="AE103" s="41" t="str">
        <f aca="false">IF(AD103="","",IFERROR(MATCH(AD103,INDEX(Boundaries!$B$2:$I$30,MATCH(CL103,Boundaries!$A$2:$A$30,0),0),1)-1,""))</f>
        <v/>
      </c>
      <c r="AF103" s="42" t="str">
        <f aca="false">IF(OR(AE103="",$E103=""),"",AE103-$E103)</f>
        <v/>
      </c>
      <c r="AG103" s="39"/>
      <c r="AH103" s="40" t="str">
        <f aca="false">IF(OR(AG103="",BY103=""),"",AG103/BY103*100)</f>
        <v/>
      </c>
      <c r="AI103" s="41" t="str">
        <f aca="false">IF(AH103="","",IFERROR(MATCH(AH103,INDEX(Boundaries!$B$2:$I$30,MATCH(CM103,Boundaries!$A$2:$A$30,0),0),1)-1,""))</f>
        <v/>
      </c>
      <c r="AJ103" s="42" t="str">
        <f aca="false">IF(OR(AI103="",$E103=""),"",AI103-$E103)</f>
        <v/>
      </c>
      <c r="AK103" s="39"/>
      <c r="AL103" s="40" t="str">
        <f aca="false">IF(OR(AK103="",BZ103=""),"",AK103/BZ103*100)</f>
        <v/>
      </c>
      <c r="AM103" s="41" t="str">
        <f aca="false">IF(AL103="","",IFERROR(MATCH(AL103,INDEX(Boundaries!$B$2:$I$30,MATCH(CN103,Boundaries!$A$2:$A$30,0),0),1)-1,""))</f>
        <v/>
      </c>
      <c r="AN103" s="42" t="str">
        <f aca="false">IF(OR(AM103="",$E103=""),"",AM103-$E103)</f>
        <v/>
      </c>
      <c r="AO103" s="39"/>
      <c r="AP103" s="40" t="str">
        <f aca="false">IF(OR(AO103="",CA103=""),"",AO103/CA103*100)</f>
        <v/>
      </c>
      <c r="AQ103" s="41" t="str">
        <f aca="false">IF(AP103="","",IFERROR(MATCH(AP103,INDEX(Boundaries!$B$2:$I$30,MATCH(CO103,Boundaries!$A$2:$A$30,0),0),1)-1,""))</f>
        <v/>
      </c>
      <c r="AR103" s="42" t="str">
        <f aca="false">IF(OR(AQ103="",$E103=""),"",AQ103-$E103)</f>
        <v/>
      </c>
      <c r="AS103" s="39"/>
      <c r="AT103" s="40" t="str">
        <f aca="false">IF(OR(AS103="",CB103=""),"",AS103/CB103*100)</f>
        <v/>
      </c>
      <c r="AU103" s="41" t="str">
        <f aca="false">IF(AT103="","",IFERROR(MATCH(AT103,INDEX(Boundaries!$B$2:$I$30,MATCH(CP103,Boundaries!$A$2:$A$30,0),0),1)-1,""))</f>
        <v/>
      </c>
      <c r="AV103" s="42" t="str">
        <f aca="false">IF(OR(AU103="",$E103=""),"",AU103-$E103)</f>
        <v/>
      </c>
      <c r="AW103" s="39"/>
      <c r="AX103" s="40" t="str">
        <f aca="false">IF(OR(AW103="",CC103=""),"",AW103/CC103*100)</f>
        <v/>
      </c>
      <c r="AY103" s="41" t="str">
        <f aca="false">IF(AX103="","",IFERROR(MATCH(AX103,INDEX(Boundaries!$B$2:$I$30,MATCH(CQ103,Boundaries!$A$2:$A$30,0),0),1)-1,""))</f>
        <v/>
      </c>
      <c r="AZ103" s="42" t="str">
        <f aca="false">IF(OR(AY103="",$E103=""),"",AY103-$E103)</f>
        <v/>
      </c>
      <c r="BA103" s="39"/>
      <c r="BB103" s="40" t="str">
        <f aca="false">IF(OR(BA103="",CD103=""),"",BA103/CD103*100)</f>
        <v/>
      </c>
      <c r="BC103" s="41" t="str">
        <f aca="false">IF(BB103="","",IFERROR(MATCH(BB103,INDEX(Boundaries!$B$2:$I$30,MATCH(CR103,Boundaries!$A$2:$A$30,0),0),1)-1,""))</f>
        <v/>
      </c>
      <c r="BD103" s="42" t="str">
        <f aca="false">IF(OR(BC103="",$E103=""),"",BC103-$E103)</f>
        <v/>
      </c>
      <c r="BE103" s="39"/>
      <c r="BF103" s="40" t="str">
        <f aca="false">IF(OR(BE103="",CE103=""),"",BE103/CE103*100)</f>
        <v/>
      </c>
      <c r="BG103" s="41" t="str">
        <f aca="false">IF(BF103="","",IFERROR(MATCH(BF103,INDEX(Boundaries!$B$2:$I$30,MATCH(CS103,Boundaries!$A$2:$A$30,0),0),1)-1,""))</f>
        <v/>
      </c>
      <c r="BH103" s="42" t="str">
        <f aca="false">IF(OR(BG103="",$E103=""),"",BG103-$E103)</f>
        <v/>
      </c>
      <c r="BI103" s="39"/>
      <c r="BJ103" s="40" t="str">
        <f aca="false">IF(OR(BI103="",CF103=""),"",BI103/CF103*100)</f>
        <v/>
      </c>
      <c r="BK103" s="41" t="str">
        <f aca="false">IF(BJ103="","",IFERROR(MATCH(BJ103,INDEX(Boundaries!$B$2:$I$30,MATCH(CT103,Boundaries!$A$2:$A$30,0),0),1)-1,""))</f>
        <v/>
      </c>
      <c r="BL103" s="42" t="str">
        <f aca="false">IF(OR(BK103="",$E103=""),"",BK103-$E103)</f>
        <v/>
      </c>
      <c r="BM103" s="39"/>
      <c r="BN103" s="40" t="str">
        <f aca="false">IF(OR(BM103="",CG103=""),"",BM103/CG103*100)</f>
        <v/>
      </c>
      <c r="BO103" s="41" t="str">
        <f aca="false">IF(BN103="","",IFERROR(MATCH(BN103,INDEX(Boundaries!$B$2:$I$30,MATCH(CU103,Boundaries!$A$2:$A$30,0),0),1)-1,""))</f>
        <v/>
      </c>
      <c r="BP103" s="42" t="str">
        <f aca="false">IF(OR(BO103="",$E103=""),"",BO103-$E103)</f>
        <v/>
      </c>
      <c r="BQ103" s="39"/>
      <c r="BR103" s="40" t="str">
        <f aca="false">IF(OR(BQ103="",CH103=""),"",BQ103/CH103*100)</f>
        <v/>
      </c>
      <c r="BS103" s="41" t="str">
        <f aca="false">IF(BR103="","",IFERROR(MATCH(BR103,INDEX(Boundaries!$B$2:$I$30,MATCH(CV103,Boundaries!$A$2:$A$30,0),0),1)-1,""))</f>
        <v/>
      </c>
      <c r="BT103" s="42" t="str">
        <f aca="false">IF(OR(BS103="",$E103=""),"",BS103-$E103)</f>
        <v/>
      </c>
      <c r="BU103" s="28" t="n">
        <f aca="false">IFERROR(INDEX(Assessments!$H$2:$H$600,MATCH($H103&amp;"|"&amp;$I103&amp;"|"&amp;$J103&amp;"|"&amp;1,Assessments!$A$2:$A$600,0)),"")</f>
        <v>30</v>
      </c>
      <c r="BV103" s="28" t="n">
        <f aca="false">IFERROR(INDEX(Assessments!$H$2:$H$600,MATCH($H103&amp;"|"&amp;$I103&amp;"|"&amp;$J103&amp;"|"&amp;2,Assessments!$A$2:$A$600,0)),"")</f>
        <v>20</v>
      </c>
      <c r="BW103" s="28" t="n">
        <f aca="false">IFERROR(INDEX(Assessments!$H$2:$H$600,MATCH($H103&amp;"|"&amp;$I103&amp;"|"&amp;$J103&amp;"|"&amp;3,Assessments!$A$2:$A$600,0)),"")</f>
        <v>25</v>
      </c>
      <c r="BX103" s="28" t="n">
        <f aca="false">IFERROR(INDEX(Assessments!$H$2:$H$600,MATCH($H103&amp;"|"&amp;$I103&amp;"|"&amp;$J103&amp;"|"&amp;4,Assessments!$A$2:$A$600,0)),"")</f>
        <v>23</v>
      </c>
      <c r="BY103" s="28" t="n">
        <f aca="false">IFERROR(INDEX(Assessments!$H$2:$H$600,MATCH($H103&amp;"|"&amp;$I103&amp;"|"&amp;$J103&amp;"|"&amp;5,Assessments!$A$2:$A$600,0)),"")</f>
        <v>25</v>
      </c>
      <c r="BZ103" s="28" t="n">
        <f aca="false">IFERROR(INDEX(Assessments!$H$2:$H$600,MATCH($H103&amp;"|"&amp;$I103&amp;"|"&amp;$J103&amp;"|"&amp;6,Assessments!$A$2:$A$600,0)),"")</f>
        <v>15</v>
      </c>
      <c r="CA103" s="28" t="n">
        <f aca="false">IFERROR(INDEX(Assessments!$H$2:$H$600,MATCH($H103&amp;"|"&amp;$I103&amp;"|"&amp;$J103&amp;"|"&amp;7,Assessments!$A$2:$A$600,0)),"")</f>
        <v>52</v>
      </c>
      <c r="CB103" s="28" t="str">
        <f aca="false">IFERROR(INDEX(Assessments!$H$2:$H$600,MATCH($H103&amp;"|"&amp;$I103&amp;"|"&amp;$J103&amp;"|"&amp;8,Assessments!$A$2:$A$600,0)),"")</f>
        <v/>
      </c>
      <c r="CC103" s="28" t="str">
        <f aca="false">IFERROR(INDEX(Assessments!$H$2:$H$600,MATCH($H103&amp;"|"&amp;$I103&amp;"|"&amp;$J103&amp;"|"&amp;9,Assessments!$A$2:$A$600,0)),"")</f>
        <v/>
      </c>
      <c r="CD103" s="28" t="str">
        <f aca="false">IFERROR(INDEX(Assessments!$H$2:$H$600,MATCH($H103&amp;"|"&amp;$I103&amp;"|"&amp;$J103&amp;"|"&amp;10,Assessments!$A$2:$A$600,0)),"")</f>
        <v/>
      </c>
      <c r="CE103" s="28" t="str">
        <f aca="false">IFERROR(INDEX(Assessments!$H$2:$H$600,MATCH($H103&amp;"|"&amp;$I103&amp;"|"&amp;$J103&amp;"|"&amp;11,Assessments!$A$2:$A$600,0)),"")</f>
        <v/>
      </c>
      <c r="CF103" s="28" t="str">
        <f aca="false">IFERROR(INDEX(Assessments!$H$2:$H$600,MATCH($H103&amp;"|"&amp;$I103&amp;"|"&amp;$J103&amp;"|"&amp;12,Assessments!$A$2:$A$600,0)),"")</f>
        <v/>
      </c>
      <c r="CG103" s="28" t="str">
        <f aca="false">IFERROR(INDEX(Assessments!$H$2:$H$600,MATCH($H103&amp;"|"&amp;$I103&amp;"|"&amp;$J103&amp;"|"&amp;13,Assessments!$A$2:$A$600,0)),"")</f>
        <v/>
      </c>
      <c r="CH103" s="28" t="str">
        <f aca="false">IFERROR(INDEX(Assessments!$H$2:$H$600,MATCH($H103&amp;"|"&amp;$I103&amp;"|"&amp;$J103&amp;"|"&amp;14,Assessments!$A$2:$A$600,0)),"")</f>
        <v/>
      </c>
      <c r="CI103" s="28" t="str">
        <f aca="false">IFERROR(INDEX(Assessments!$I$2:$I$600,MATCH($H103&amp;"|"&amp;$I103&amp;"|"&amp;$J103&amp;"|"&amp;1,Assessments!$A$2:$A$600,0)),"")</f>
        <v>Econ Test</v>
      </c>
      <c r="CJ103" s="28" t="str">
        <f aca="false">IFERROR(INDEX(Assessments!$I$2:$I$600,MATCH($H103&amp;"|"&amp;$I103&amp;"|"&amp;$J103&amp;"|"&amp;2,Assessments!$A$2:$A$600,0)),"")</f>
        <v>Econ Test</v>
      </c>
      <c r="CK103" s="28" t="str">
        <f aca="false">IFERROR(INDEX(Assessments!$I$2:$I$600,MATCH($H103&amp;"|"&amp;$I103&amp;"|"&amp;$J103&amp;"|"&amp;3,Assessments!$A$2:$A$600,0)),"")</f>
        <v>Econ Test</v>
      </c>
      <c r="CL103" s="28" t="str">
        <f aca="false">IFERROR(INDEX(Assessments!$I$2:$I$600,MATCH($H103&amp;"|"&amp;$I103&amp;"|"&amp;$J103&amp;"|"&amp;4,Assessments!$A$2:$A$600,0)),"")</f>
        <v>Econ Test</v>
      </c>
      <c r="CM103" s="28" t="str">
        <f aca="false">IFERROR(INDEX(Assessments!$I$2:$I$600,MATCH($H103&amp;"|"&amp;$I103&amp;"|"&amp;$J103&amp;"|"&amp;5,Assessments!$A$2:$A$600,0)),"")</f>
        <v>Econ Exam</v>
      </c>
      <c r="CN103" s="28" t="str">
        <f aca="false">IFERROR(INDEX(Assessments!$I$2:$I$600,MATCH($H103&amp;"|"&amp;$I103&amp;"|"&amp;$J103&amp;"|"&amp;6,Assessments!$A$2:$A$600,0)),"")</f>
        <v>Econ Test</v>
      </c>
      <c r="CO103" s="28" t="str">
        <f aca="false">IFERROR(INDEX(Assessments!$I$2:$I$600,MATCH($H103&amp;"|"&amp;$I103&amp;"|"&amp;$J103&amp;"|"&amp;7,Assessments!$A$2:$A$600,0)),"")</f>
        <v>Econ Exam</v>
      </c>
      <c r="CP103" s="28" t="str">
        <f aca="false">IFERROR(INDEX(Assessments!$I$2:$I$600,MATCH($H103&amp;"|"&amp;$I103&amp;"|"&amp;$J103&amp;"|"&amp;8,Assessments!$A$2:$A$600,0)),"")</f>
        <v/>
      </c>
      <c r="CQ103" s="28" t="str">
        <f aca="false">IFERROR(INDEX(Assessments!$I$2:$I$600,MATCH($H103&amp;"|"&amp;$I103&amp;"|"&amp;$J103&amp;"|"&amp;9,Assessments!$A$2:$A$600,0)),"")</f>
        <v/>
      </c>
      <c r="CR103" s="28" t="str">
        <f aca="false">IFERROR(INDEX(Assessments!$I$2:$I$600,MATCH($H103&amp;"|"&amp;$I103&amp;"|"&amp;$J103&amp;"|"&amp;10,Assessments!$A$2:$A$600,0)),"")</f>
        <v/>
      </c>
      <c r="CS103" s="28" t="str">
        <f aca="false">IFERROR(INDEX(Assessments!$I$2:$I$600,MATCH($H103&amp;"|"&amp;$I103&amp;"|"&amp;$J103&amp;"|"&amp;11,Assessments!$A$2:$A$600,0)),"")</f>
        <v/>
      </c>
      <c r="CT103" s="28" t="str">
        <f aca="false">IFERROR(INDEX(Assessments!$I$2:$I$600,MATCH($H103&amp;"|"&amp;$I103&amp;"|"&amp;$J103&amp;"|"&amp;12,Assessments!$A$2:$A$600,0)),"")</f>
        <v/>
      </c>
      <c r="CU103" s="28" t="str">
        <f aca="false">IFERROR(INDEX(Assessments!$I$2:$I$600,MATCH($H103&amp;"|"&amp;$I103&amp;"|"&amp;$J103&amp;"|"&amp;13,Assessments!$A$2:$A$600,0)),"")</f>
        <v/>
      </c>
      <c r="CV103" s="28" t="str">
        <f aca="false">IFERROR(INDEX(Assessments!$I$2:$I$600,MATCH($H103&amp;"|"&amp;$I103&amp;"|"&amp;$J103&amp;"|"&amp;14,Assessments!$A$2:$A$600,0)),"")</f>
        <v/>
      </c>
      <c r="CW103" s="28" t="n">
        <f aca="false">IFERROR(INDEX(Assessments!$J$2:$J$600,MATCH($H103&amp;"|"&amp;$I103&amp;"|"&amp;$J103&amp;"|"&amp;1,Assessments!$A$2:$A$600,0)),0)</f>
        <v>1</v>
      </c>
      <c r="CX103" s="28" t="n">
        <f aca="false">IFERROR(INDEX(Assessments!$J$2:$J$600,MATCH($H103&amp;"|"&amp;$I103&amp;"|"&amp;$J103&amp;"|"&amp;2,Assessments!$A$2:$A$600,0)),0)</f>
        <v>1</v>
      </c>
      <c r="CY103" s="28" t="n">
        <f aca="false">IFERROR(INDEX(Assessments!$J$2:$J$600,MATCH($H103&amp;"|"&amp;$I103&amp;"|"&amp;$J103&amp;"|"&amp;3,Assessments!$A$2:$A$600,0)),0)</f>
        <v>1</v>
      </c>
      <c r="CZ103" s="28" t="n">
        <f aca="false">IFERROR(INDEX(Assessments!$J$2:$J$600,MATCH($H103&amp;"|"&amp;$I103&amp;"|"&amp;$J103&amp;"|"&amp;4,Assessments!$A$2:$A$600,0)),0)</f>
        <v>1</v>
      </c>
      <c r="DA103" s="28" t="n">
        <f aca="false">IFERROR(INDEX(Assessments!$J$2:$J$600,MATCH($H103&amp;"|"&amp;$I103&amp;"|"&amp;$J103&amp;"|"&amp;5,Assessments!$A$2:$A$600,0)),0)</f>
        <v>2</v>
      </c>
      <c r="DB103" s="28" t="n">
        <f aca="false">IFERROR(INDEX(Assessments!$J$2:$J$600,MATCH($H103&amp;"|"&amp;$I103&amp;"|"&amp;$J103&amp;"|"&amp;6,Assessments!$A$2:$A$600,0)),0)</f>
        <v>1</v>
      </c>
      <c r="DC103" s="28" t="n">
        <f aca="false">IFERROR(INDEX(Assessments!$J$2:$J$600,MATCH($H103&amp;"|"&amp;$I103&amp;"|"&amp;$J103&amp;"|"&amp;7,Assessments!$A$2:$A$600,0)),0)</f>
        <v>2</v>
      </c>
      <c r="DD103" s="28" t="n">
        <f aca="false">IFERROR(INDEX(Assessments!$J$2:$J$600,MATCH($H103&amp;"|"&amp;$I103&amp;"|"&amp;$J103&amp;"|"&amp;8,Assessments!$A$2:$A$600,0)),0)</f>
        <v>0</v>
      </c>
      <c r="DE103" s="28" t="n">
        <f aca="false">IFERROR(INDEX(Assessments!$J$2:$J$600,MATCH($H103&amp;"|"&amp;$I103&amp;"|"&amp;$J103&amp;"|"&amp;9,Assessments!$A$2:$A$600,0)),0)</f>
        <v>0</v>
      </c>
      <c r="DF103" s="28" t="n">
        <f aca="false">IFERROR(INDEX(Assessments!$J$2:$J$600,MATCH($H103&amp;"|"&amp;$I103&amp;"|"&amp;$J103&amp;"|"&amp;10,Assessments!$A$2:$A$600,0)),0)</f>
        <v>0</v>
      </c>
      <c r="DG103" s="28" t="n">
        <f aca="false">IFERROR(INDEX(Assessments!$J$2:$J$600,MATCH($H103&amp;"|"&amp;$I103&amp;"|"&amp;$J103&amp;"|"&amp;11,Assessments!$A$2:$A$600,0)),0)</f>
        <v>0</v>
      </c>
      <c r="DH103" s="28" t="n">
        <f aca="false">IFERROR(INDEX(Assessments!$J$2:$J$600,MATCH($H103&amp;"|"&amp;$I103&amp;"|"&amp;$J103&amp;"|"&amp;12,Assessments!$A$2:$A$600,0)),0)</f>
        <v>0</v>
      </c>
      <c r="DI103" s="28" t="n">
        <f aca="false">IFERROR(INDEX(Assessments!$J$2:$J$600,MATCH($H103&amp;"|"&amp;$I103&amp;"|"&amp;$J103&amp;"|"&amp;13,Assessments!$A$2:$A$600,0)),0)</f>
        <v>0</v>
      </c>
      <c r="DJ103" s="28" t="n">
        <f aca="false">IFERROR(INDEX(Assessments!$J$2:$J$600,MATCH($H103&amp;"|"&amp;$I103&amp;"|"&amp;$J103&amp;"|"&amp;14,Assessments!$A$2:$A$600,0)),0)</f>
        <v>0</v>
      </c>
      <c r="DK103" s="28" t="n">
        <f aca="false">S103</f>
        <v>4</v>
      </c>
      <c r="DL103" s="28" t="n">
        <f aca="false">W103</f>
        <v>4</v>
      </c>
      <c r="DM103" s="28" t="str">
        <f aca="false">AA103</f>
        <v/>
      </c>
      <c r="DN103" s="28" t="str">
        <f aca="false">AE103</f>
        <v/>
      </c>
      <c r="DO103" s="28" t="str">
        <f aca="false">AI103</f>
        <v/>
      </c>
      <c r="DP103" s="28" t="str">
        <f aca="false">AM103</f>
        <v/>
      </c>
      <c r="DQ103" s="28" t="str">
        <f aca="false">AQ103</f>
        <v/>
      </c>
      <c r="DR103" s="28" t="str">
        <f aca="false">AU103</f>
        <v/>
      </c>
      <c r="DS103" s="28" t="str">
        <f aca="false">AY103</f>
        <v/>
      </c>
      <c r="DT103" s="28" t="str">
        <f aca="false">BC103</f>
        <v/>
      </c>
      <c r="DU103" s="28" t="str">
        <f aca="false">BG103</f>
        <v/>
      </c>
      <c r="DV103" s="28" t="str">
        <f aca="false">BK103</f>
        <v/>
      </c>
      <c r="DW103" s="28" t="str">
        <f aca="false">BO103</f>
        <v/>
      </c>
      <c r="DX103" s="28" t="str">
        <f aca="false">BS103</f>
        <v/>
      </c>
      <c r="DY103" s="28" t="n">
        <f aca="false">IF(ISNUMBER(S103),1,"")</f>
        <v>1</v>
      </c>
      <c r="DZ103" s="28" t="n">
        <f aca="false">IF(ISNUMBER(W103),2,"")</f>
        <v>2</v>
      </c>
      <c r="EA103" s="28" t="str">
        <f aca="false">IF(ISNUMBER(AA103),3,"")</f>
        <v/>
      </c>
      <c r="EB103" s="28" t="str">
        <f aca="false">IF(ISNUMBER(AE103),4,"")</f>
        <v/>
      </c>
      <c r="EC103" s="28" t="str">
        <f aca="false">IF(ISNUMBER(AI103),5,"")</f>
        <v/>
      </c>
      <c r="ED103" s="28" t="str">
        <f aca="false">IF(ISNUMBER(AM103),6,"")</f>
        <v/>
      </c>
      <c r="EE103" s="28" t="str">
        <f aca="false">IF(ISNUMBER(AQ103),7,"")</f>
        <v/>
      </c>
      <c r="EF103" s="28" t="str">
        <f aca="false">IF(ISNUMBER(AU103),8,"")</f>
        <v/>
      </c>
      <c r="EG103" s="28" t="str">
        <f aca="false">IF(ISNUMBER(AY103),9,"")</f>
        <v/>
      </c>
      <c r="EH103" s="28" t="str">
        <f aca="false">IF(ISNUMBER(BC103),10,"")</f>
        <v/>
      </c>
      <c r="EI103" s="28" t="str">
        <f aca="false">IF(ISNUMBER(BG103),11,"")</f>
        <v/>
      </c>
      <c r="EJ103" s="28" t="str">
        <f aca="false">IF(ISNUMBER(BK103),12,"")</f>
        <v/>
      </c>
      <c r="EK103" s="28" t="str">
        <f aca="false">IF(ISNUMBER(BO103),13,"")</f>
        <v/>
      </c>
      <c r="EL103" s="28" t="str">
        <f aca="false">IF(ISNUMBER(BS103),14,"")</f>
        <v/>
      </c>
      <c r="EM103" s="28" t="n">
        <f aca="false">IF(ISNUMBER(R103),R103*CW103,0)</f>
        <v>50</v>
      </c>
      <c r="EN103" s="28" t="n">
        <f aca="false">IF(ISNUMBER(V103),V103*CX103,0)</f>
        <v>60</v>
      </c>
      <c r="EO103" s="28" t="n">
        <f aca="false">IF(ISNUMBER(Z103),Z103*CY103,0)</f>
        <v>0</v>
      </c>
      <c r="EP103" s="28" t="n">
        <f aca="false">IF(ISNUMBER(AD103),AD103*CZ103,0)</f>
        <v>0</v>
      </c>
      <c r="EQ103" s="28" t="n">
        <f aca="false">IF(ISNUMBER(AH103),AH103*DA103,0)</f>
        <v>0</v>
      </c>
      <c r="ER103" s="28" t="n">
        <f aca="false">IF(ISNUMBER(AL103),AL103*DB103,0)</f>
        <v>0</v>
      </c>
      <c r="ES103" s="28" t="n">
        <f aca="false">IF(ISNUMBER(AP103),AP103*DC103,0)</f>
        <v>0</v>
      </c>
      <c r="ET103" s="28" t="n">
        <f aca="false">IF(ISNUMBER(AT103),AT103*DD103,0)</f>
        <v>0</v>
      </c>
      <c r="EU103" s="28" t="n">
        <f aca="false">IF(ISNUMBER(AX103),AX103*DE103,0)</f>
        <v>0</v>
      </c>
      <c r="EV103" s="28" t="n">
        <f aca="false">IF(ISNUMBER(BB103),BB103*DF103,0)</f>
        <v>0</v>
      </c>
      <c r="EW103" s="28" t="n">
        <f aca="false">IF(ISNUMBER(BF103),BF103*DG103,0)</f>
        <v>0</v>
      </c>
      <c r="EX103" s="28" t="n">
        <f aca="false">IF(ISNUMBER(BJ103),BJ103*DH103,0)</f>
        <v>0</v>
      </c>
      <c r="EY103" s="28" t="n">
        <f aca="false">IF(ISNUMBER(BN103),BN103*DI103,0)</f>
        <v>0</v>
      </c>
      <c r="EZ103" s="28" t="n">
        <f aca="false">IF(ISNUMBER(BR103),BR103*DJ103,0)</f>
        <v>0</v>
      </c>
      <c r="FA103" s="28" t="n">
        <f aca="false">IF(ISNUMBER(R103),CW103,0)</f>
        <v>1</v>
      </c>
      <c r="FB103" s="28" t="n">
        <f aca="false">IF(ISNUMBER(V103),CX103,0)</f>
        <v>1</v>
      </c>
      <c r="FC103" s="28" t="n">
        <f aca="false">IF(ISNUMBER(Z103),CY103,0)</f>
        <v>0</v>
      </c>
      <c r="FD103" s="28" t="n">
        <f aca="false">IF(ISNUMBER(AD103),CZ103,0)</f>
        <v>0</v>
      </c>
      <c r="FE103" s="28" t="n">
        <f aca="false">IF(ISNUMBER(AH103),DA103,0)</f>
        <v>0</v>
      </c>
      <c r="FF103" s="28" t="n">
        <f aca="false">IF(ISNUMBER(AL103),DB103,0)</f>
        <v>0</v>
      </c>
      <c r="FG103" s="28" t="n">
        <f aca="false">IF(ISNUMBER(AP103),DC103,0)</f>
        <v>0</v>
      </c>
      <c r="FH103" s="28" t="n">
        <f aca="false">IF(ISNUMBER(AT103),DD103,0)</f>
        <v>0</v>
      </c>
      <c r="FI103" s="28" t="n">
        <f aca="false">IF(ISNUMBER(AX103),DE103,0)</f>
        <v>0</v>
      </c>
      <c r="FJ103" s="28" t="n">
        <f aca="false">IF(ISNUMBER(BB103),DF103,0)</f>
        <v>0</v>
      </c>
      <c r="FK103" s="28" t="n">
        <f aca="false">IF(ISNUMBER(BF103),DG103,0)</f>
        <v>0</v>
      </c>
      <c r="FL103" s="28" t="n">
        <f aca="false">IF(ISNUMBER(BJ103),DH103,0)</f>
        <v>0</v>
      </c>
      <c r="FM103" s="28" t="n">
        <f aca="false">IF(ISNUMBER(BN103),DI103,0)</f>
        <v>0</v>
      </c>
      <c r="FN103" s="28" t="n">
        <f aca="false">IF(ISNUMBER(BR103),DJ103,0)</f>
        <v>0</v>
      </c>
      <c r="FO103" s="28" t="str">
        <f aca="false">IFERROR(INDEX(Lists!$G$2:$G$20,MATCH($I103&amp;"|"&amp;$J103,Lists!$F$2:$F$20,0)),"")</f>
        <v>Econ Exam</v>
      </c>
    </row>
    <row r="104" customFormat="false" ht="19.5" hidden="false" customHeight="true" outlineLevel="0" collapsed="false">
      <c r="A104" s="29" t="s">
        <v>329</v>
      </c>
      <c r="B104" s="29" t="s">
        <v>330</v>
      </c>
      <c r="C104" s="30" t="s">
        <v>152</v>
      </c>
      <c r="D104" s="30" t="s">
        <v>271</v>
      </c>
      <c r="E104" s="31" t="n">
        <v>5.7</v>
      </c>
      <c r="F104" s="30" t="n">
        <v>6</v>
      </c>
      <c r="G104" s="30"/>
      <c r="H104" s="32" t="s">
        <v>23</v>
      </c>
      <c r="I104" s="33" t="s">
        <v>229</v>
      </c>
      <c r="J104" s="32" t="s">
        <v>223</v>
      </c>
      <c r="K104" s="34" t="n">
        <f aca="false">IF(OR(M104="",$E104=""),"",M104-$E104)</f>
        <v>1.3</v>
      </c>
      <c r="L104" s="35" t="n">
        <f aca="false">IF(SUM(FA104:FN104)=0,"",SUM(EM104:EZ104)/SUM(FA104:FN104))</f>
        <v>82.8224637681159</v>
      </c>
      <c r="M104" s="36" t="n">
        <f aca="false">IF(OR(L104="",FO104=""),"",IFERROR(MATCH(L104,INDEX(Boundaries!$B$2:$I$30,MATCH(FO104,Boundaries!$A$2:$A$30,0),0),1)-1,""))</f>
        <v>7</v>
      </c>
      <c r="N104" s="37" t="n">
        <f aca="false">IF(COUNT($DY104:$EL104)&lt;2,"",INDEX($DK104:$DX104,MAX($DY104:$EL104))-INDEX($DK104:$DX104,MIN($DY104:$EL104)))</f>
        <v>1</v>
      </c>
      <c r="O104" s="37" t="n">
        <f aca="false">IF(COUNT($DY104:$EL104)&lt;2,"",INDEX($DK104:$DX104,MAX($DY104:$EL104))-INDEX($DK104:$DX104,LARGE($DY104:$EL104,2)))</f>
        <v>1</v>
      </c>
      <c r="P104" s="38" t="str">
        <f aca="false">IF(K104="","",IF(K104&gt;=0,"On/above target",IF(AND(N104&lt;&gt;"",N104&gt;=0.5),"Improving towards target",IF(AND(O104&lt;&gt;"",O104&lt;=-0.5),"Declining","Stable below target"))))</f>
        <v>On/above target</v>
      </c>
      <c r="Q104" s="39" t="n">
        <v>25</v>
      </c>
      <c r="R104" s="40" t="n">
        <f aca="false">IF(OR(Q104="",BU104=""),"",Q104/BU104*100)</f>
        <v>83.3333333333333</v>
      </c>
      <c r="S104" s="41" t="n">
        <f aca="false">IF(R104="","",IFERROR(MATCH(R104,INDEX(Boundaries!$B$2:$I$30,MATCH(CI104,Boundaries!$A$2:$A$30,0),0),1)-1,""))</f>
        <v>6</v>
      </c>
      <c r="T104" s="42" t="n">
        <f aca="false">IF(OR(S104="",$E104=""),"",S104-$E104)</f>
        <v>0.3</v>
      </c>
      <c r="U104" s="39" t="n">
        <v>17</v>
      </c>
      <c r="V104" s="40" t="n">
        <f aca="false">IF(OR(U104="",BV104=""),"",U104/BV104*100)</f>
        <v>85</v>
      </c>
      <c r="W104" s="41" t="n">
        <f aca="false">IF(V104="","",IFERROR(MATCH(V104,INDEX(Boundaries!$B$2:$I$30,MATCH(CJ104,Boundaries!$A$2:$A$30,0),0),1)-1,""))</f>
        <v>7</v>
      </c>
      <c r="X104" s="42" t="n">
        <f aca="false">IF(OR(W104="",$E104=""),"",W104-$E104)</f>
        <v>1.3</v>
      </c>
      <c r="Y104" s="39" t="n">
        <v>19</v>
      </c>
      <c r="Z104" s="40" t="n">
        <f aca="false">IF(OR(Y104="",BW104=""),"",Y104/BW104*100)</f>
        <v>76</v>
      </c>
      <c r="AA104" s="41" t="n">
        <f aca="false">IF(Z104="","",IFERROR(MATCH(Z104,INDEX(Boundaries!$B$2:$I$30,MATCH(CK104,Boundaries!$A$2:$A$30,0),0),1)-1,""))</f>
        <v>6</v>
      </c>
      <c r="AB104" s="42" t="n">
        <f aca="false">IF(OR(AA104="",$E104=""),"",AA104-$E104)</f>
        <v>0.3</v>
      </c>
      <c r="AC104" s="39" t="n">
        <v>20</v>
      </c>
      <c r="AD104" s="40" t="n">
        <f aca="false">IF(OR(AC104="",BX104=""),"",AC104/BX104*100)</f>
        <v>86.9565217391304</v>
      </c>
      <c r="AE104" s="41" t="n">
        <f aca="false">IF(AD104="","",IFERROR(MATCH(AD104,INDEX(Boundaries!$B$2:$I$30,MATCH(CL104,Boundaries!$A$2:$A$30,0),0),1)-1,""))</f>
        <v>7</v>
      </c>
      <c r="AF104" s="42" t="n">
        <f aca="false">IF(OR(AE104="",$E104=""),"",AE104-$E104)</f>
        <v>1.3</v>
      </c>
      <c r="AG104" s="39"/>
      <c r="AH104" s="40" t="str">
        <f aca="false">IF(OR(AG104="",BY104=""),"",AG104/BY104*100)</f>
        <v/>
      </c>
      <c r="AI104" s="41" t="str">
        <f aca="false">IF(AH104="","",IFERROR(MATCH(AH104,INDEX(Boundaries!$B$2:$I$30,MATCH(CM104,Boundaries!$A$2:$A$30,0),0),1)-1,""))</f>
        <v/>
      </c>
      <c r="AJ104" s="42" t="str">
        <f aca="false">IF(OR(AI104="",$E104=""),"",AI104-$E104)</f>
        <v/>
      </c>
      <c r="AK104" s="39"/>
      <c r="AL104" s="40" t="str">
        <f aca="false">IF(OR(AK104="",BZ104=""),"",AK104/BZ104*100)</f>
        <v/>
      </c>
      <c r="AM104" s="41" t="str">
        <f aca="false">IF(AL104="","",IFERROR(MATCH(AL104,INDEX(Boundaries!$B$2:$I$30,MATCH(CN104,Boundaries!$A$2:$A$30,0),0),1)-1,""))</f>
        <v/>
      </c>
      <c r="AN104" s="42" t="str">
        <f aca="false">IF(OR(AM104="",$E104=""),"",AM104-$E104)</f>
        <v/>
      </c>
      <c r="AO104" s="39"/>
      <c r="AP104" s="40" t="str">
        <f aca="false">IF(OR(AO104="",CA104=""),"",AO104/CA104*100)</f>
        <v/>
      </c>
      <c r="AQ104" s="41" t="str">
        <f aca="false">IF(AP104="","",IFERROR(MATCH(AP104,INDEX(Boundaries!$B$2:$I$30,MATCH(CO104,Boundaries!$A$2:$A$30,0),0),1)-1,""))</f>
        <v/>
      </c>
      <c r="AR104" s="42" t="str">
        <f aca="false">IF(OR(AQ104="",$E104=""),"",AQ104-$E104)</f>
        <v/>
      </c>
      <c r="AS104" s="39"/>
      <c r="AT104" s="40" t="str">
        <f aca="false">IF(OR(AS104="",CB104=""),"",AS104/CB104*100)</f>
        <v/>
      </c>
      <c r="AU104" s="41" t="str">
        <f aca="false">IF(AT104="","",IFERROR(MATCH(AT104,INDEX(Boundaries!$B$2:$I$30,MATCH(CP104,Boundaries!$A$2:$A$30,0),0),1)-1,""))</f>
        <v/>
      </c>
      <c r="AV104" s="42" t="str">
        <f aca="false">IF(OR(AU104="",$E104=""),"",AU104-$E104)</f>
        <v/>
      </c>
      <c r="AW104" s="39"/>
      <c r="AX104" s="40" t="str">
        <f aca="false">IF(OR(AW104="",CC104=""),"",AW104/CC104*100)</f>
        <v/>
      </c>
      <c r="AY104" s="41" t="str">
        <f aca="false">IF(AX104="","",IFERROR(MATCH(AX104,INDEX(Boundaries!$B$2:$I$30,MATCH(CQ104,Boundaries!$A$2:$A$30,0),0),1)-1,""))</f>
        <v/>
      </c>
      <c r="AZ104" s="42" t="str">
        <f aca="false">IF(OR(AY104="",$E104=""),"",AY104-$E104)</f>
        <v/>
      </c>
      <c r="BA104" s="39"/>
      <c r="BB104" s="40" t="str">
        <f aca="false">IF(OR(BA104="",CD104=""),"",BA104/CD104*100)</f>
        <v/>
      </c>
      <c r="BC104" s="41" t="str">
        <f aca="false">IF(BB104="","",IFERROR(MATCH(BB104,INDEX(Boundaries!$B$2:$I$30,MATCH(CR104,Boundaries!$A$2:$A$30,0),0),1)-1,""))</f>
        <v/>
      </c>
      <c r="BD104" s="42" t="str">
        <f aca="false">IF(OR(BC104="",$E104=""),"",BC104-$E104)</f>
        <v/>
      </c>
      <c r="BE104" s="39"/>
      <c r="BF104" s="40" t="str">
        <f aca="false">IF(OR(BE104="",CE104=""),"",BE104/CE104*100)</f>
        <v/>
      </c>
      <c r="BG104" s="41" t="str">
        <f aca="false">IF(BF104="","",IFERROR(MATCH(BF104,INDEX(Boundaries!$B$2:$I$30,MATCH(CS104,Boundaries!$A$2:$A$30,0),0),1)-1,""))</f>
        <v/>
      </c>
      <c r="BH104" s="42" t="str">
        <f aca="false">IF(OR(BG104="",$E104=""),"",BG104-$E104)</f>
        <v/>
      </c>
      <c r="BI104" s="39"/>
      <c r="BJ104" s="40" t="str">
        <f aca="false">IF(OR(BI104="",CF104=""),"",BI104/CF104*100)</f>
        <v/>
      </c>
      <c r="BK104" s="41" t="str">
        <f aca="false">IF(BJ104="","",IFERROR(MATCH(BJ104,INDEX(Boundaries!$B$2:$I$30,MATCH(CT104,Boundaries!$A$2:$A$30,0),0),1)-1,""))</f>
        <v/>
      </c>
      <c r="BL104" s="42" t="str">
        <f aca="false">IF(OR(BK104="",$E104=""),"",BK104-$E104)</f>
        <v/>
      </c>
      <c r="BM104" s="39"/>
      <c r="BN104" s="40" t="str">
        <f aca="false">IF(OR(BM104="",CG104=""),"",BM104/CG104*100)</f>
        <v/>
      </c>
      <c r="BO104" s="41" t="str">
        <f aca="false">IF(BN104="","",IFERROR(MATCH(BN104,INDEX(Boundaries!$B$2:$I$30,MATCH(CU104,Boundaries!$A$2:$A$30,0),0),1)-1,""))</f>
        <v/>
      </c>
      <c r="BP104" s="42" t="str">
        <f aca="false">IF(OR(BO104="",$E104=""),"",BO104-$E104)</f>
        <v/>
      </c>
      <c r="BQ104" s="39"/>
      <c r="BR104" s="40" t="str">
        <f aca="false">IF(OR(BQ104="",CH104=""),"",BQ104/CH104*100)</f>
        <v/>
      </c>
      <c r="BS104" s="41" t="str">
        <f aca="false">IF(BR104="","",IFERROR(MATCH(BR104,INDEX(Boundaries!$B$2:$I$30,MATCH(CV104,Boundaries!$A$2:$A$30,0),0),1)-1,""))</f>
        <v/>
      </c>
      <c r="BT104" s="42" t="str">
        <f aca="false">IF(OR(BS104="",$E104=""),"",BS104-$E104)</f>
        <v/>
      </c>
      <c r="BU104" s="28" t="n">
        <f aca="false">IFERROR(INDEX(Assessments!$H$2:$H$600,MATCH($H104&amp;"|"&amp;$I104&amp;"|"&amp;$J104&amp;"|"&amp;1,Assessments!$A$2:$A$600,0)),"")</f>
        <v>30</v>
      </c>
      <c r="BV104" s="28" t="n">
        <f aca="false">IFERROR(INDEX(Assessments!$H$2:$H$600,MATCH($H104&amp;"|"&amp;$I104&amp;"|"&amp;$J104&amp;"|"&amp;2,Assessments!$A$2:$A$600,0)),"")</f>
        <v>20</v>
      </c>
      <c r="BW104" s="28" t="n">
        <f aca="false">IFERROR(INDEX(Assessments!$H$2:$H$600,MATCH($H104&amp;"|"&amp;$I104&amp;"|"&amp;$J104&amp;"|"&amp;3,Assessments!$A$2:$A$600,0)),"")</f>
        <v>25</v>
      </c>
      <c r="BX104" s="28" t="n">
        <f aca="false">IFERROR(INDEX(Assessments!$H$2:$H$600,MATCH($H104&amp;"|"&amp;$I104&amp;"|"&amp;$J104&amp;"|"&amp;4,Assessments!$A$2:$A$600,0)),"")</f>
        <v>23</v>
      </c>
      <c r="BY104" s="28" t="n">
        <f aca="false">IFERROR(INDEX(Assessments!$H$2:$H$600,MATCH($H104&amp;"|"&amp;$I104&amp;"|"&amp;$J104&amp;"|"&amp;5,Assessments!$A$2:$A$600,0)),"")</f>
        <v>25</v>
      </c>
      <c r="BZ104" s="28" t="n">
        <f aca="false">IFERROR(INDEX(Assessments!$H$2:$H$600,MATCH($H104&amp;"|"&amp;$I104&amp;"|"&amp;$J104&amp;"|"&amp;6,Assessments!$A$2:$A$600,0)),"")</f>
        <v>15</v>
      </c>
      <c r="CA104" s="28" t="n">
        <f aca="false">IFERROR(INDEX(Assessments!$H$2:$H$600,MATCH($H104&amp;"|"&amp;$I104&amp;"|"&amp;$J104&amp;"|"&amp;7,Assessments!$A$2:$A$600,0)),"")</f>
        <v>52</v>
      </c>
      <c r="CB104" s="28" t="str">
        <f aca="false">IFERROR(INDEX(Assessments!$H$2:$H$600,MATCH($H104&amp;"|"&amp;$I104&amp;"|"&amp;$J104&amp;"|"&amp;8,Assessments!$A$2:$A$600,0)),"")</f>
        <v/>
      </c>
      <c r="CC104" s="28" t="str">
        <f aca="false">IFERROR(INDEX(Assessments!$H$2:$H$600,MATCH($H104&amp;"|"&amp;$I104&amp;"|"&amp;$J104&amp;"|"&amp;9,Assessments!$A$2:$A$600,0)),"")</f>
        <v/>
      </c>
      <c r="CD104" s="28" t="str">
        <f aca="false">IFERROR(INDEX(Assessments!$H$2:$H$600,MATCH($H104&amp;"|"&amp;$I104&amp;"|"&amp;$J104&amp;"|"&amp;10,Assessments!$A$2:$A$600,0)),"")</f>
        <v/>
      </c>
      <c r="CE104" s="28" t="str">
        <f aca="false">IFERROR(INDEX(Assessments!$H$2:$H$600,MATCH($H104&amp;"|"&amp;$I104&amp;"|"&amp;$J104&amp;"|"&amp;11,Assessments!$A$2:$A$600,0)),"")</f>
        <v/>
      </c>
      <c r="CF104" s="28" t="str">
        <f aca="false">IFERROR(INDEX(Assessments!$H$2:$H$600,MATCH($H104&amp;"|"&amp;$I104&amp;"|"&amp;$J104&amp;"|"&amp;12,Assessments!$A$2:$A$600,0)),"")</f>
        <v/>
      </c>
      <c r="CG104" s="28" t="str">
        <f aca="false">IFERROR(INDEX(Assessments!$H$2:$H$600,MATCH($H104&amp;"|"&amp;$I104&amp;"|"&amp;$J104&amp;"|"&amp;13,Assessments!$A$2:$A$600,0)),"")</f>
        <v/>
      </c>
      <c r="CH104" s="28" t="str">
        <f aca="false">IFERROR(INDEX(Assessments!$H$2:$H$600,MATCH($H104&amp;"|"&amp;$I104&amp;"|"&amp;$J104&amp;"|"&amp;14,Assessments!$A$2:$A$600,0)),"")</f>
        <v/>
      </c>
      <c r="CI104" s="28" t="str">
        <f aca="false">IFERROR(INDEX(Assessments!$I$2:$I$600,MATCH($H104&amp;"|"&amp;$I104&amp;"|"&amp;$J104&amp;"|"&amp;1,Assessments!$A$2:$A$600,0)),"")</f>
        <v>Econ Test</v>
      </c>
      <c r="CJ104" s="28" t="str">
        <f aca="false">IFERROR(INDEX(Assessments!$I$2:$I$600,MATCH($H104&amp;"|"&amp;$I104&amp;"|"&amp;$J104&amp;"|"&amp;2,Assessments!$A$2:$A$600,0)),"")</f>
        <v>Econ Test</v>
      </c>
      <c r="CK104" s="28" t="str">
        <f aca="false">IFERROR(INDEX(Assessments!$I$2:$I$600,MATCH($H104&amp;"|"&amp;$I104&amp;"|"&amp;$J104&amp;"|"&amp;3,Assessments!$A$2:$A$600,0)),"")</f>
        <v>Econ Test</v>
      </c>
      <c r="CL104" s="28" t="str">
        <f aca="false">IFERROR(INDEX(Assessments!$I$2:$I$600,MATCH($H104&amp;"|"&amp;$I104&amp;"|"&amp;$J104&amp;"|"&amp;4,Assessments!$A$2:$A$600,0)),"")</f>
        <v>Econ Test</v>
      </c>
      <c r="CM104" s="28" t="str">
        <f aca="false">IFERROR(INDEX(Assessments!$I$2:$I$600,MATCH($H104&amp;"|"&amp;$I104&amp;"|"&amp;$J104&amp;"|"&amp;5,Assessments!$A$2:$A$600,0)),"")</f>
        <v>Econ Exam</v>
      </c>
      <c r="CN104" s="28" t="str">
        <f aca="false">IFERROR(INDEX(Assessments!$I$2:$I$600,MATCH($H104&amp;"|"&amp;$I104&amp;"|"&amp;$J104&amp;"|"&amp;6,Assessments!$A$2:$A$600,0)),"")</f>
        <v>Econ Test</v>
      </c>
      <c r="CO104" s="28" t="str">
        <f aca="false">IFERROR(INDEX(Assessments!$I$2:$I$600,MATCH($H104&amp;"|"&amp;$I104&amp;"|"&amp;$J104&amp;"|"&amp;7,Assessments!$A$2:$A$600,0)),"")</f>
        <v>Econ Exam</v>
      </c>
      <c r="CP104" s="28" t="str">
        <f aca="false">IFERROR(INDEX(Assessments!$I$2:$I$600,MATCH($H104&amp;"|"&amp;$I104&amp;"|"&amp;$J104&amp;"|"&amp;8,Assessments!$A$2:$A$600,0)),"")</f>
        <v/>
      </c>
      <c r="CQ104" s="28" t="str">
        <f aca="false">IFERROR(INDEX(Assessments!$I$2:$I$600,MATCH($H104&amp;"|"&amp;$I104&amp;"|"&amp;$J104&amp;"|"&amp;9,Assessments!$A$2:$A$600,0)),"")</f>
        <v/>
      </c>
      <c r="CR104" s="28" t="str">
        <f aca="false">IFERROR(INDEX(Assessments!$I$2:$I$600,MATCH($H104&amp;"|"&amp;$I104&amp;"|"&amp;$J104&amp;"|"&amp;10,Assessments!$A$2:$A$600,0)),"")</f>
        <v/>
      </c>
      <c r="CS104" s="28" t="str">
        <f aca="false">IFERROR(INDEX(Assessments!$I$2:$I$600,MATCH($H104&amp;"|"&amp;$I104&amp;"|"&amp;$J104&amp;"|"&amp;11,Assessments!$A$2:$A$600,0)),"")</f>
        <v/>
      </c>
      <c r="CT104" s="28" t="str">
        <f aca="false">IFERROR(INDEX(Assessments!$I$2:$I$600,MATCH($H104&amp;"|"&amp;$I104&amp;"|"&amp;$J104&amp;"|"&amp;12,Assessments!$A$2:$A$600,0)),"")</f>
        <v/>
      </c>
      <c r="CU104" s="28" t="str">
        <f aca="false">IFERROR(INDEX(Assessments!$I$2:$I$600,MATCH($H104&amp;"|"&amp;$I104&amp;"|"&amp;$J104&amp;"|"&amp;13,Assessments!$A$2:$A$600,0)),"")</f>
        <v/>
      </c>
      <c r="CV104" s="28" t="str">
        <f aca="false">IFERROR(INDEX(Assessments!$I$2:$I$600,MATCH($H104&amp;"|"&amp;$I104&amp;"|"&amp;$J104&amp;"|"&amp;14,Assessments!$A$2:$A$600,0)),"")</f>
        <v/>
      </c>
      <c r="CW104" s="28" t="n">
        <f aca="false">IFERROR(INDEX(Assessments!$J$2:$J$600,MATCH($H104&amp;"|"&amp;$I104&amp;"|"&amp;$J104&amp;"|"&amp;1,Assessments!$A$2:$A$600,0)),0)</f>
        <v>1</v>
      </c>
      <c r="CX104" s="28" t="n">
        <f aca="false">IFERROR(INDEX(Assessments!$J$2:$J$600,MATCH($H104&amp;"|"&amp;$I104&amp;"|"&amp;$J104&amp;"|"&amp;2,Assessments!$A$2:$A$600,0)),0)</f>
        <v>1</v>
      </c>
      <c r="CY104" s="28" t="n">
        <f aca="false">IFERROR(INDEX(Assessments!$J$2:$J$600,MATCH($H104&amp;"|"&amp;$I104&amp;"|"&amp;$J104&amp;"|"&amp;3,Assessments!$A$2:$A$600,0)),0)</f>
        <v>1</v>
      </c>
      <c r="CZ104" s="28" t="n">
        <f aca="false">IFERROR(INDEX(Assessments!$J$2:$J$600,MATCH($H104&amp;"|"&amp;$I104&amp;"|"&amp;$J104&amp;"|"&amp;4,Assessments!$A$2:$A$600,0)),0)</f>
        <v>1</v>
      </c>
      <c r="DA104" s="28" t="n">
        <f aca="false">IFERROR(INDEX(Assessments!$J$2:$J$600,MATCH($H104&amp;"|"&amp;$I104&amp;"|"&amp;$J104&amp;"|"&amp;5,Assessments!$A$2:$A$600,0)),0)</f>
        <v>2</v>
      </c>
      <c r="DB104" s="28" t="n">
        <f aca="false">IFERROR(INDEX(Assessments!$J$2:$J$600,MATCH($H104&amp;"|"&amp;$I104&amp;"|"&amp;$J104&amp;"|"&amp;6,Assessments!$A$2:$A$600,0)),0)</f>
        <v>1</v>
      </c>
      <c r="DC104" s="28" t="n">
        <f aca="false">IFERROR(INDEX(Assessments!$J$2:$J$600,MATCH($H104&amp;"|"&amp;$I104&amp;"|"&amp;$J104&amp;"|"&amp;7,Assessments!$A$2:$A$600,0)),0)</f>
        <v>2</v>
      </c>
      <c r="DD104" s="28" t="n">
        <f aca="false">IFERROR(INDEX(Assessments!$J$2:$J$600,MATCH($H104&amp;"|"&amp;$I104&amp;"|"&amp;$J104&amp;"|"&amp;8,Assessments!$A$2:$A$600,0)),0)</f>
        <v>0</v>
      </c>
      <c r="DE104" s="28" t="n">
        <f aca="false">IFERROR(INDEX(Assessments!$J$2:$J$600,MATCH($H104&amp;"|"&amp;$I104&amp;"|"&amp;$J104&amp;"|"&amp;9,Assessments!$A$2:$A$600,0)),0)</f>
        <v>0</v>
      </c>
      <c r="DF104" s="28" t="n">
        <f aca="false">IFERROR(INDEX(Assessments!$J$2:$J$600,MATCH($H104&amp;"|"&amp;$I104&amp;"|"&amp;$J104&amp;"|"&amp;10,Assessments!$A$2:$A$600,0)),0)</f>
        <v>0</v>
      </c>
      <c r="DG104" s="28" t="n">
        <f aca="false">IFERROR(INDEX(Assessments!$J$2:$J$600,MATCH($H104&amp;"|"&amp;$I104&amp;"|"&amp;$J104&amp;"|"&amp;11,Assessments!$A$2:$A$600,0)),0)</f>
        <v>0</v>
      </c>
      <c r="DH104" s="28" t="n">
        <f aca="false">IFERROR(INDEX(Assessments!$J$2:$J$600,MATCH($H104&amp;"|"&amp;$I104&amp;"|"&amp;$J104&amp;"|"&amp;12,Assessments!$A$2:$A$600,0)),0)</f>
        <v>0</v>
      </c>
      <c r="DI104" s="28" t="n">
        <f aca="false">IFERROR(INDEX(Assessments!$J$2:$J$600,MATCH($H104&amp;"|"&amp;$I104&amp;"|"&amp;$J104&amp;"|"&amp;13,Assessments!$A$2:$A$600,0)),0)</f>
        <v>0</v>
      </c>
      <c r="DJ104" s="28" t="n">
        <f aca="false">IFERROR(INDEX(Assessments!$J$2:$J$600,MATCH($H104&amp;"|"&amp;$I104&amp;"|"&amp;$J104&amp;"|"&amp;14,Assessments!$A$2:$A$600,0)),0)</f>
        <v>0</v>
      </c>
      <c r="DK104" s="28" t="n">
        <f aca="false">S104</f>
        <v>6</v>
      </c>
      <c r="DL104" s="28" t="n">
        <f aca="false">W104</f>
        <v>7</v>
      </c>
      <c r="DM104" s="28" t="n">
        <f aca="false">AA104</f>
        <v>6</v>
      </c>
      <c r="DN104" s="28" t="n">
        <f aca="false">AE104</f>
        <v>7</v>
      </c>
      <c r="DO104" s="28" t="str">
        <f aca="false">AI104</f>
        <v/>
      </c>
      <c r="DP104" s="28" t="str">
        <f aca="false">AM104</f>
        <v/>
      </c>
      <c r="DQ104" s="28" t="str">
        <f aca="false">AQ104</f>
        <v/>
      </c>
      <c r="DR104" s="28" t="str">
        <f aca="false">AU104</f>
        <v/>
      </c>
      <c r="DS104" s="28" t="str">
        <f aca="false">AY104</f>
        <v/>
      </c>
      <c r="DT104" s="28" t="str">
        <f aca="false">BC104</f>
        <v/>
      </c>
      <c r="DU104" s="28" t="str">
        <f aca="false">BG104</f>
        <v/>
      </c>
      <c r="DV104" s="28" t="str">
        <f aca="false">BK104</f>
        <v/>
      </c>
      <c r="DW104" s="28" t="str">
        <f aca="false">BO104</f>
        <v/>
      </c>
      <c r="DX104" s="28" t="str">
        <f aca="false">BS104</f>
        <v/>
      </c>
      <c r="DY104" s="28" t="n">
        <f aca="false">IF(ISNUMBER(S104),1,"")</f>
        <v>1</v>
      </c>
      <c r="DZ104" s="28" t="n">
        <f aca="false">IF(ISNUMBER(W104),2,"")</f>
        <v>2</v>
      </c>
      <c r="EA104" s="28" t="n">
        <f aca="false">IF(ISNUMBER(AA104),3,"")</f>
        <v>3</v>
      </c>
      <c r="EB104" s="28" t="n">
        <f aca="false">IF(ISNUMBER(AE104),4,"")</f>
        <v>4</v>
      </c>
      <c r="EC104" s="28" t="str">
        <f aca="false">IF(ISNUMBER(AI104),5,"")</f>
        <v/>
      </c>
      <c r="ED104" s="28" t="str">
        <f aca="false">IF(ISNUMBER(AM104),6,"")</f>
        <v/>
      </c>
      <c r="EE104" s="28" t="str">
        <f aca="false">IF(ISNUMBER(AQ104),7,"")</f>
        <v/>
      </c>
      <c r="EF104" s="28" t="str">
        <f aca="false">IF(ISNUMBER(AU104),8,"")</f>
        <v/>
      </c>
      <c r="EG104" s="28" t="str">
        <f aca="false">IF(ISNUMBER(AY104),9,"")</f>
        <v/>
      </c>
      <c r="EH104" s="28" t="str">
        <f aca="false">IF(ISNUMBER(BC104),10,"")</f>
        <v/>
      </c>
      <c r="EI104" s="28" t="str">
        <f aca="false">IF(ISNUMBER(BG104),11,"")</f>
        <v/>
      </c>
      <c r="EJ104" s="28" t="str">
        <f aca="false">IF(ISNUMBER(BK104),12,"")</f>
        <v/>
      </c>
      <c r="EK104" s="28" t="str">
        <f aca="false">IF(ISNUMBER(BO104),13,"")</f>
        <v/>
      </c>
      <c r="EL104" s="28" t="str">
        <f aca="false">IF(ISNUMBER(BS104),14,"")</f>
        <v/>
      </c>
      <c r="EM104" s="28" t="n">
        <f aca="false">IF(ISNUMBER(R104),R104*CW104,0)</f>
        <v>83.3333333333333</v>
      </c>
      <c r="EN104" s="28" t="n">
        <f aca="false">IF(ISNUMBER(V104),V104*CX104,0)</f>
        <v>85</v>
      </c>
      <c r="EO104" s="28" t="n">
        <f aca="false">IF(ISNUMBER(Z104),Z104*CY104,0)</f>
        <v>76</v>
      </c>
      <c r="EP104" s="28" t="n">
        <f aca="false">IF(ISNUMBER(AD104),AD104*CZ104,0)</f>
        <v>86.9565217391304</v>
      </c>
      <c r="EQ104" s="28" t="n">
        <f aca="false">IF(ISNUMBER(AH104),AH104*DA104,0)</f>
        <v>0</v>
      </c>
      <c r="ER104" s="28" t="n">
        <f aca="false">IF(ISNUMBER(AL104),AL104*DB104,0)</f>
        <v>0</v>
      </c>
      <c r="ES104" s="28" t="n">
        <f aca="false">IF(ISNUMBER(AP104),AP104*DC104,0)</f>
        <v>0</v>
      </c>
      <c r="ET104" s="28" t="n">
        <f aca="false">IF(ISNUMBER(AT104),AT104*DD104,0)</f>
        <v>0</v>
      </c>
      <c r="EU104" s="28" t="n">
        <f aca="false">IF(ISNUMBER(AX104),AX104*DE104,0)</f>
        <v>0</v>
      </c>
      <c r="EV104" s="28" t="n">
        <f aca="false">IF(ISNUMBER(BB104),BB104*DF104,0)</f>
        <v>0</v>
      </c>
      <c r="EW104" s="28" t="n">
        <f aca="false">IF(ISNUMBER(BF104),BF104*DG104,0)</f>
        <v>0</v>
      </c>
      <c r="EX104" s="28" t="n">
        <f aca="false">IF(ISNUMBER(BJ104),BJ104*DH104,0)</f>
        <v>0</v>
      </c>
      <c r="EY104" s="28" t="n">
        <f aca="false">IF(ISNUMBER(BN104),BN104*DI104,0)</f>
        <v>0</v>
      </c>
      <c r="EZ104" s="28" t="n">
        <f aca="false">IF(ISNUMBER(BR104),BR104*DJ104,0)</f>
        <v>0</v>
      </c>
      <c r="FA104" s="28" t="n">
        <f aca="false">IF(ISNUMBER(R104),CW104,0)</f>
        <v>1</v>
      </c>
      <c r="FB104" s="28" t="n">
        <f aca="false">IF(ISNUMBER(V104),CX104,0)</f>
        <v>1</v>
      </c>
      <c r="FC104" s="28" t="n">
        <f aca="false">IF(ISNUMBER(Z104),CY104,0)</f>
        <v>1</v>
      </c>
      <c r="FD104" s="28" t="n">
        <f aca="false">IF(ISNUMBER(AD104),CZ104,0)</f>
        <v>1</v>
      </c>
      <c r="FE104" s="28" t="n">
        <f aca="false">IF(ISNUMBER(AH104),DA104,0)</f>
        <v>0</v>
      </c>
      <c r="FF104" s="28" t="n">
        <f aca="false">IF(ISNUMBER(AL104),DB104,0)</f>
        <v>0</v>
      </c>
      <c r="FG104" s="28" t="n">
        <f aca="false">IF(ISNUMBER(AP104),DC104,0)</f>
        <v>0</v>
      </c>
      <c r="FH104" s="28" t="n">
        <f aca="false">IF(ISNUMBER(AT104),DD104,0)</f>
        <v>0</v>
      </c>
      <c r="FI104" s="28" t="n">
        <f aca="false">IF(ISNUMBER(AX104),DE104,0)</f>
        <v>0</v>
      </c>
      <c r="FJ104" s="28" t="n">
        <f aca="false">IF(ISNUMBER(BB104),DF104,0)</f>
        <v>0</v>
      </c>
      <c r="FK104" s="28" t="n">
        <f aca="false">IF(ISNUMBER(BF104),DG104,0)</f>
        <v>0</v>
      </c>
      <c r="FL104" s="28" t="n">
        <f aca="false">IF(ISNUMBER(BJ104),DH104,0)</f>
        <v>0</v>
      </c>
      <c r="FM104" s="28" t="n">
        <f aca="false">IF(ISNUMBER(BN104),DI104,0)</f>
        <v>0</v>
      </c>
      <c r="FN104" s="28" t="n">
        <f aca="false">IF(ISNUMBER(BR104),DJ104,0)</f>
        <v>0</v>
      </c>
      <c r="FO104" s="28" t="str">
        <f aca="false">IFERROR(INDEX(Lists!$G$2:$G$20,MATCH($I104&amp;"|"&amp;$J104,Lists!$F$2:$F$20,0)),"")</f>
        <v>Econ Exam</v>
      </c>
    </row>
    <row r="105" customFormat="false" ht="19.5" hidden="false" customHeight="true" outlineLevel="0" collapsed="false">
      <c r="A105" s="29" t="s">
        <v>216</v>
      </c>
      <c r="B105" s="29" t="s">
        <v>217</v>
      </c>
      <c r="C105" s="30" t="s">
        <v>152</v>
      </c>
      <c r="D105" s="30" t="s">
        <v>271</v>
      </c>
      <c r="E105" s="31" t="n">
        <v>5.7</v>
      </c>
      <c r="F105" s="30" t="n">
        <v>6</v>
      </c>
      <c r="G105" s="30"/>
      <c r="H105" s="32" t="s">
        <v>23</v>
      </c>
      <c r="I105" s="33" t="s">
        <v>229</v>
      </c>
      <c r="J105" s="32" t="s">
        <v>223</v>
      </c>
      <c r="K105" s="34" t="n">
        <f aca="false">IF(OR(M105="",$E105=""),"",M105-$E105)</f>
        <v>0.3</v>
      </c>
      <c r="L105" s="35" t="n">
        <f aca="false">IF(SUM(FA105:FN105)=0,"",SUM(EM105:EZ105)/SUM(FA105:FN105))</f>
        <v>71.6268115942029</v>
      </c>
      <c r="M105" s="36" t="n">
        <f aca="false">IF(OR(L105="",FO105=""),"",IFERROR(MATCH(L105,INDEX(Boundaries!$B$2:$I$30,MATCH(FO105,Boundaries!$A$2:$A$30,0),0),1)-1,""))</f>
        <v>6</v>
      </c>
      <c r="N105" s="37" t="n">
        <f aca="false">IF(COUNT($DY105:$EL105)&lt;2,"",INDEX($DK105:$DX105,MAX($DY105:$EL105))-INDEX($DK105:$DX105,MIN($DY105:$EL105)))</f>
        <v>-2</v>
      </c>
      <c r="O105" s="37" t="n">
        <f aca="false">IF(COUNT($DY105:$EL105)&lt;2,"",INDEX($DK105:$DX105,MAX($DY105:$EL105))-INDEX($DK105:$DX105,LARGE($DY105:$EL105,2)))</f>
        <v>-2</v>
      </c>
      <c r="P105" s="38" t="str">
        <f aca="false">IF(K105="","",IF(K105&gt;=0,"On/above target",IF(AND(N105&lt;&gt;"",N105&gt;=0.5),"Improving towards target",IF(AND(O105&lt;&gt;"",O105&lt;=-0.5),"Declining","Stable below target"))))</f>
        <v>On/above target</v>
      </c>
      <c r="Q105" s="39" t="n">
        <v>25</v>
      </c>
      <c r="R105" s="40" t="n">
        <f aca="false">IF(OR(Q105="",BU105=""),"",Q105/BU105*100)</f>
        <v>83.3333333333333</v>
      </c>
      <c r="S105" s="41" t="n">
        <f aca="false">IF(R105="","",IFERROR(MATCH(R105,INDEX(Boundaries!$B$2:$I$30,MATCH(CI105,Boundaries!$A$2:$A$30,0),0),1)-1,""))</f>
        <v>6</v>
      </c>
      <c r="T105" s="42" t="n">
        <f aca="false">IF(OR(S105="",$E105=""),"",S105-$E105)</f>
        <v>0.3</v>
      </c>
      <c r="U105" s="39" t="n">
        <v>15</v>
      </c>
      <c r="V105" s="40" t="n">
        <f aca="false">IF(OR(U105="",BV105=""),"",U105/BV105*100)</f>
        <v>75</v>
      </c>
      <c r="W105" s="41" t="n">
        <f aca="false">IF(V105="","",IFERROR(MATCH(V105,INDEX(Boundaries!$B$2:$I$30,MATCH(CJ105,Boundaries!$A$2:$A$30,0),0),1)-1,""))</f>
        <v>6</v>
      </c>
      <c r="X105" s="42" t="n">
        <f aca="false">IF(OR(W105="",$E105=""),"",W105-$E105)</f>
        <v>0.3</v>
      </c>
      <c r="Y105" s="39" t="n">
        <v>19</v>
      </c>
      <c r="Z105" s="40" t="n">
        <f aca="false">IF(OR(Y105="",BW105=""),"",Y105/BW105*100)</f>
        <v>76</v>
      </c>
      <c r="AA105" s="41" t="n">
        <f aca="false">IF(Z105="","",IFERROR(MATCH(Z105,INDEX(Boundaries!$B$2:$I$30,MATCH(CK105,Boundaries!$A$2:$A$30,0),0),1)-1,""))</f>
        <v>6</v>
      </c>
      <c r="AB105" s="42" t="n">
        <f aca="false">IF(OR(AA105="",$E105=""),"",AA105-$E105)</f>
        <v>0.3</v>
      </c>
      <c r="AC105" s="39" t="n">
        <v>12</v>
      </c>
      <c r="AD105" s="40" t="n">
        <f aca="false">IF(OR(AC105="",BX105=""),"",AC105/BX105*100)</f>
        <v>52.1739130434783</v>
      </c>
      <c r="AE105" s="41" t="n">
        <f aca="false">IF(AD105="","",IFERROR(MATCH(AD105,INDEX(Boundaries!$B$2:$I$30,MATCH(CL105,Boundaries!$A$2:$A$30,0),0),1)-1,""))</f>
        <v>4</v>
      </c>
      <c r="AF105" s="42" t="n">
        <f aca="false">IF(OR(AE105="",$E105=""),"",AE105-$E105)</f>
        <v>-1.7</v>
      </c>
      <c r="AG105" s="39"/>
      <c r="AH105" s="40" t="str">
        <f aca="false">IF(OR(AG105="",BY105=""),"",AG105/BY105*100)</f>
        <v/>
      </c>
      <c r="AI105" s="41" t="str">
        <f aca="false">IF(AH105="","",IFERROR(MATCH(AH105,INDEX(Boundaries!$B$2:$I$30,MATCH(CM105,Boundaries!$A$2:$A$30,0),0),1)-1,""))</f>
        <v/>
      </c>
      <c r="AJ105" s="42" t="str">
        <f aca="false">IF(OR(AI105="",$E105=""),"",AI105-$E105)</f>
        <v/>
      </c>
      <c r="AK105" s="39"/>
      <c r="AL105" s="40" t="str">
        <f aca="false">IF(OR(AK105="",BZ105=""),"",AK105/BZ105*100)</f>
        <v/>
      </c>
      <c r="AM105" s="41" t="str">
        <f aca="false">IF(AL105="","",IFERROR(MATCH(AL105,INDEX(Boundaries!$B$2:$I$30,MATCH(CN105,Boundaries!$A$2:$A$30,0),0),1)-1,""))</f>
        <v/>
      </c>
      <c r="AN105" s="42" t="str">
        <f aca="false">IF(OR(AM105="",$E105=""),"",AM105-$E105)</f>
        <v/>
      </c>
      <c r="AO105" s="39"/>
      <c r="AP105" s="40" t="str">
        <f aca="false">IF(OR(AO105="",CA105=""),"",AO105/CA105*100)</f>
        <v/>
      </c>
      <c r="AQ105" s="41" t="str">
        <f aca="false">IF(AP105="","",IFERROR(MATCH(AP105,INDEX(Boundaries!$B$2:$I$30,MATCH(CO105,Boundaries!$A$2:$A$30,0),0),1)-1,""))</f>
        <v/>
      </c>
      <c r="AR105" s="42" t="str">
        <f aca="false">IF(OR(AQ105="",$E105=""),"",AQ105-$E105)</f>
        <v/>
      </c>
      <c r="AS105" s="39"/>
      <c r="AT105" s="40" t="str">
        <f aca="false">IF(OR(AS105="",CB105=""),"",AS105/CB105*100)</f>
        <v/>
      </c>
      <c r="AU105" s="41" t="str">
        <f aca="false">IF(AT105="","",IFERROR(MATCH(AT105,INDEX(Boundaries!$B$2:$I$30,MATCH(CP105,Boundaries!$A$2:$A$30,0),0),1)-1,""))</f>
        <v/>
      </c>
      <c r="AV105" s="42" t="str">
        <f aca="false">IF(OR(AU105="",$E105=""),"",AU105-$E105)</f>
        <v/>
      </c>
      <c r="AW105" s="39"/>
      <c r="AX105" s="40" t="str">
        <f aca="false">IF(OR(AW105="",CC105=""),"",AW105/CC105*100)</f>
        <v/>
      </c>
      <c r="AY105" s="41" t="str">
        <f aca="false">IF(AX105="","",IFERROR(MATCH(AX105,INDEX(Boundaries!$B$2:$I$30,MATCH(CQ105,Boundaries!$A$2:$A$30,0),0),1)-1,""))</f>
        <v/>
      </c>
      <c r="AZ105" s="42" t="str">
        <f aca="false">IF(OR(AY105="",$E105=""),"",AY105-$E105)</f>
        <v/>
      </c>
      <c r="BA105" s="39"/>
      <c r="BB105" s="40" t="str">
        <f aca="false">IF(OR(BA105="",CD105=""),"",BA105/CD105*100)</f>
        <v/>
      </c>
      <c r="BC105" s="41" t="str">
        <f aca="false">IF(BB105="","",IFERROR(MATCH(BB105,INDEX(Boundaries!$B$2:$I$30,MATCH(CR105,Boundaries!$A$2:$A$30,0),0),1)-1,""))</f>
        <v/>
      </c>
      <c r="BD105" s="42" t="str">
        <f aca="false">IF(OR(BC105="",$E105=""),"",BC105-$E105)</f>
        <v/>
      </c>
      <c r="BE105" s="39"/>
      <c r="BF105" s="40" t="str">
        <f aca="false">IF(OR(BE105="",CE105=""),"",BE105/CE105*100)</f>
        <v/>
      </c>
      <c r="BG105" s="41" t="str">
        <f aca="false">IF(BF105="","",IFERROR(MATCH(BF105,INDEX(Boundaries!$B$2:$I$30,MATCH(CS105,Boundaries!$A$2:$A$30,0),0),1)-1,""))</f>
        <v/>
      </c>
      <c r="BH105" s="42" t="str">
        <f aca="false">IF(OR(BG105="",$E105=""),"",BG105-$E105)</f>
        <v/>
      </c>
      <c r="BI105" s="39"/>
      <c r="BJ105" s="40" t="str">
        <f aca="false">IF(OR(BI105="",CF105=""),"",BI105/CF105*100)</f>
        <v/>
      </c>
      <c r="BK105" s="41" t="str">
        <f aca="false">IF(BJ105="","",IFERROR(MATCH(BJ105,INDEX(Boundaries!$B$2:$I$30,MATCH(CT105,Boundaries!$A$2:$A$30,0),0),1)-1,""))</f>
        <v/>
      </c>
      <c r="BL105" s="42" t="str">
        <f aca="false">IF(OR(BK105="",$E105=""),"",BK105-$E105)</f>
        <v/>
      </c>
      <c r="BM105" s="39"/>
      <c r="BN105" s="40" t="str">
        <f aca="false">IF(OR(BM105="",CG105=""),"",BM105/CG105*100)</f>
        <v/>
      </c>
      <c r="BO105" s="41" t="str">
        <f aca="false">IF(BN105="","",IFERROR(MATCH(BN105,INDEX(Boundaries!$B$2:$I$30,MATCH(CU105,Boundaries!$A$2:$A$30,0),0),1)-1,""))</f>
        <v/>
      </c>
      <c r="BP105" s="42" t="str">
        <f aca="false">IF(OR(BO105="",$E105=""),"",BO105-$E105)</f>
        <v/>
      </c>
      <c r="BQ105" s="39"/>
      <c r="BR105" s="40" t="str">
        <f aca="false">IF(OR(BQ105="",CH105=""),"",BQ105/CH105*100)</f>
        <v/>
      </c>
      <c r="BS105" s="41" t="str">
        <f aca="false">IF(BR105="","",IFERROR(MATCH(BR105,INDEX(Boundaries!$B$2:$I$30,MATCH(CV105,Boundaries!$A$2:$A$30,0),0),1)-1,""))</f>
        <v/>
      </c>
      <c r="BT105" s="42" t="str">
        <f aca="false">IF(OR(BS105="",$E105=""),"",BS105-$E105)</f>
        <v/>
      </c>
      <c r="BU105" s="28" t="n">
        <f aca="false">IFERROR(INDEX(Assessments!$H$2:$H$600,MATCH($H105&amp;"|"&amp;$I105&amp;"|"&amp;$J105&amp;"|"&amp;1,Assessments!$A$2:$A$600,0)),"")</f>
        <v>30</v>
      </c>
      <c r="BV105" s="28" t="n">
        <f aca="false">IFERROR(INDEX(Assessments!$H$2:$H$600,MATCH($H105&amp;"|"&amp;$I105&amp;"|"&amp;$J105&amp;"|"&amp;2,Assessments!$A$2:$A$600,0)),"")</f>
        <v>20</v>
      </c>
      <c r="BW105" s="28" t="n">
        <f aca="false">IFERROR(INDEX(Assessments!$H$2:$H$600,MATCH($H105&amp;"|"&amp;$I105&amp;"|"&amp;$J105&amp;"|"&amp;3,Assessments!$A$2:$A$600,0)),"")</f>
        <v>25</v>
      </c>
      <c r="BX105" s="28" t="n">
        <f aca="false">IFERROR(INDEX(Assessments!$H$2:$H$600,MATCH($H105&amp;"|"&amp;$I105&amp;"|"&amp;$J105&amp;"|"&amp;4,Assessments!$A$2:$A$600,0)),"")</f>
        <v>23</v>
      </c>
      <c r="BY105" s="28" t="n">
        <f aca="false">IFERROR(INDEX(Assessments!$H$2:$H$600,MATCH($H105&amp;"|"&amp;$I105&amp;"|"&amp;$J105&amp;"|"&amp;5,Assessments!$A$2:$A$600,0)),"")</f>
        <v>25</v>
      </c>
      <c r="BZ105" s="28" t="n">
        <f aca="false">IFERROR(INDEX(Assessments!$H$2:$H$600,MATCH($H105&amp;"|"&amp;$I105&amp;"|"&amp;$J105&amp;"|"&amp;6,Assessments!$A$2:$A$600,0)),"")</f>
        <v>15</v>
      </c>
      <c r="CA105" s="28" t="n">
        <f aca="false">IFERROR(INDEX(Assessments!$H$2:$H$600,MATCH($H105&amp;"|"&amp;$I105&amp;"|"&amp;$J105&amp;"|"&amp;7,Assessments!$A$2:$A$600,0)),"")</f>
        <v>52</v>
      </c>
      <c r="CB105" s="28" t="str">
        <f aca="false">IFERROR(INDEX(Assessments!$H$2:$H$600,MATCH($H105&amp;"|"&amp;$I105&amp;"|"&amp;$J105&amp;"|"&amp;8,Assessments!$A$2:$A$600,0)),"")</f>
        <v/>
      </c>
      <c r="CC105" s="28" t="str">
        <f aca="false">IFERROR(INDEX(Assessments!$H$2:$H$600,MATCH($H105&amp;"|"&amp;$I105&amp;"|"&amp;$J105&amp;"|"&amp;9,Assessments!$A$2:$A$600,0)),"")</f>
        <v/>
      </c>
      <c r="CD105" s="28" t="str">
        <f aca="false">IFERROR(INDEX(Assessments!$H$2:$H$600,MATCH($H105&amp;"|"&amp;$I105&amp;"|"&amp;$J105&amp;"|"&amp;10,Assessments!$A$2:$A$600,0)),"")</f>
        <v/>
      </c>
      <c r="CE105" s="28" t="str">
        <f aca="false">IFERROR(INDEX(Assessments!$H$2:$H$600,MATCH($H105&amp;"|"&amp;$I105&amp;"|"&amp;$J105&amp;"|"&amp;11,Assessments!$A$2:$A$600,0)),"")</f>
        <v/>
      </c>
      <c r="CF105" s="28" t="str">
        <f aca="false">IFERROR(INDEX(Assessments!$H$2:$H$600,MATCH($H105&amp;"|"&amp;$I105&amp;"|"&amp;$J105&amp;"|"&amp;12,Assessments!$A$2:$A$600,0)),"")</f>
        <v/>
      </c>
      <c r="CG105" s="28" t="str">
        <f aca="false">IFERROR(INDEX(Assessments!$H$2:$H$600,MATCH($H105&amp;"|"&amp;$I105&amp;"|"&amp;$J105&amp;"|"&amp;13,Assessments!$A$2:$A$600,0)),"")</f>
        <v/>
      </c>
      <c r="CH105" s="28" t="str">
        <f aca="false">IFERROR(INDEX(Assessments!$H$2:$H$600,MATCH($H105&amp;"|"&amp;$I105&amp;"|"&amp;$J105&amp;"|"&amp;14,Assessments!$A$2:$A$600,0)),"")</f>
        <v/>
      </c>
      <c r="CI105" s="28" t="str">
        <f aca="false">IFERROR(INDEX(Assessments!$I$2:$I$600,MATCH($H105&amp;"|"&amp;$I105&amp;"|"&amp;$J105&amp;"|"&amp;1,Assessments!$A$2:$A$600,0)),"")</f>
        <v>Econ Test</v>
      </c>
      <c r="CJ105" s="28" t="str">
        <f aca="false">IFERROR(INDEX(Assessments!$I$2:$I$600,MATCH($H105&amp;"|"&amp;$I105&amp;"|"&amp;$J105&amp;"|"&amp;2,Assessments!$A$2:$A$600,0)),"")</f>
        <v>Econ Test</v>
      </c>
      <c r="CK105" s="28" t="str">
        <f aca="false">IFERROR(INDEX(Assessments!$I$2:$I$600,MATCH($H105&amp;"|"&amp;$I105&amp;"|"&amp;$J105&amp;"|"&amp;3,Assessments!$A$2:$A$600,0)),"")</f>
        <v>Econ Test</v>
      </c>
      <c r="CL105" s="28" t="str">
        <f aca="false">IFERROR(INDEX(Assessments!$I$2:$I$600,MATCH($H105&amp;"|"&amp;$I105&amp;"|"&amp;$J105&amp;"|"&amp;4,Assessments!$A$2:$A$600,0)),"")</f>
        <v>Econ Test</v>
      </c>
      <c r="CM105" s="28" t="str">
        <f aca="false">IFERROR(INDEX(Assessments!$I$2:$I$600,MATCH($H105&amp;"|"&amp;$I105&amp;"|"&amp;$J105&amp;"|"&amp;5,Assessments!$A$2:$A$600,0)),"")</f>
        <v>Econ Exam</v>
      </c>
      <c r="CN105" s="28" t="str">
        <f aca="false">IFERROR(INDEX(Assessments!$I$2:$I$600,MATCH($H105&amp;"|"&amp;$I105&amp;"|"&amp;$J105&amp;"|"&amp;6,Assessments!$A$2:$A$600,0)),"")</f>
        <v>Econ Test</v>
      </c>
      <c r="CO105" s="28" t="str">
        <f aca="false">IFERROR(INDEX(Assessments!$I$2:$I$600,MATCH($H105&amp;"|"&amp;$I105&amp;"|"&amp;$J105&amp;"|"&amp;7,Assessments!$A$2:$A$600,0)),"")</f>
        <v>Econ Exam</v>
      </c>
      <c r="CP105" s="28" t="str">
        <f aca="false">IFERROR(INDEX(Assessments!$I$2:$I$600,MATCH($H105&amp;"|"&amp;$I105&amp;"|"&amp;$J105&amp;"|"&amp;8,Assessments!$A$2:$A$600,0)),"")</f>
        <v/>
      </c>
      <c r="CQ105" s="28" t="str">
        <f aca="false">IFERROR(INDEX(Assessments!$I$2:$I$600,MATCH($H105&amp;"|"&amp;$I105&amp;"|"&amp;$J105&amp;"|"&amp;9,Assessments!$A$2:$A$600,0)),"")</f>
        <v/>
      </c>
      <c r="CR105" s="28" t="str">
        <f aca="false">IFERROR(INDEX(Assessments!$I$2:$I$600,MATCH($H105&amp;"|"&amp;$I105&amp;"|"&amp;$J105&amp;"|"&amp;10,Assessments!$A$2:$A$600,0)),"")</f>
        <v/>
      </c>
      <c r="CS105" s="28" t="str">
        <f aca="false">IFERROR(INDEX(Assessments!$I$2:$I$600,MATCH($H105&amp;"|"&amp;$I105&amp;"|"&amp;$J105&amp;"|"&amp;11,Assessments!$A$2:$A$600,0)),"")</f>
        <v/>
      </c>
      <c r="CT105" s="28" t="str">
        <f aca="false">IFERROR(INDEX(Assessments!$I$2:$I$600,MATCH($H105&amp;"|"&amp;$I105&amp;"|"&amp;$J105&amp;"|"&amp;12,Assessments!$A$2:$A$600,0)),"")</f>
        <v/>
      </c>
      <c r="CU105" s="28" t="str">
        <f aca="false">IFERROR(INDEX(Assessments!$I$2:$I$600,MATCH($H105&amp;"|"&amp;$I105&amp;"|"&amp;$J105&amp;"|"&amp;13,Assessments!$A$2:$A$600,0)),"")</f>
        <v/>
      </c>
      <c r="CV105" s="28" t="str">
        <f aca="false">IFERROR(INDEX(Assessments!$I$2:$I$600,MATCH($H105&amp;"|"&amp;$I105&amp;"|"&amp;$J105&amp;"|"&amp;14,Assessments!$A$2:$A$600,0)),"")</f>
        <v/>
      </c>
      <c r="CW105" s="28" t="n">
        <f aca="false">IFERROR(INDEX(Assessments!$J$2:$J$600,MATCH($H105&amp;"|"&amp;$I105&amp;"|"&amp;$J105&amp;"|"&amp;1,Assessments!$A$2:$A$600,0)),0)</f>
        <v>1</v>
      </c>
      <c r="CX105" s="28" t="n">
        <f aca="false">IFERROR(INDEX(Assessments!$J$2:$J$600,MATCH($H105&amp;"|"&amp;$I105&amp;"|"&amp;$J105&amp;"|"&amp;2,Assessments!$A$2:$A$600,0)),0)</f>
        <v>1</v>
      </c>
      <c r="CY105" s="28" t="n">
        <f aca="false">IFERROR(INDEX(Assessments!$J$2:$J$600,MATCH($H105&amp;"|"&amp;$I105&amp;"|"&amp;$J105&amp;"|"&amp;3,Assessments!$A$2:$A$600,0)),0)</f>
        <v>1</v>
      </c>
      <c r="CZ105" s="28" t="n">
        <f aca="false">IFERROR(INDEX(Assessments!$J$2:$J$600,MATCH($H105&amp;"|"&amp;$I105&amp;"|"&amp;$J105&amp;"|"&amp;4,Assessments!$A$2:$A$600,0)),0)</f>
        <v>1</v>
      </c>
      <c r="DA105" s="28" t="n">
        <f aca="false">IFERROR(INDEX(Assessments!$J$2:$J$600,MATCH($H105&amp;"|"&amp;$I105&amp;"|"&amp;$J105&amp;"|"&amp;5,Assessments!$A$2:$A$600,0)),0)</f>
        <v>2</v>
      </c>
      <c r="DB105" s="28" t="n">
        <f aca="false">IFERROR(INDEX(Assessments!$J$2:$J$600,MATCH($H105&amp;"|"&amp;$I105&amp;"|"&amp;$J105&amp;"|"&amp;6,Assessments!$A$2:$A$600,0)),0)</f>
        <v>1</v>
      </c>
      <c r="DC105" s="28" t="n">
        <f aca="false">IFERROR(INDEX(Assessments!$J$2:$J$600,MATCH($H105&amp;"|"&amp;$I105&amp;"|"&amp;$J105&amp;"|"&amp;7,Assessments!$A$2:$A$600,0)),0)</f>
        <v>2</v>
      </c>
      <c r="DD105" s="28" t="n">
        <f aca="false">IFERROR(INDEX(Assessments!$J$2:$J$600,MATCH($H105&amp;"|"&amp;$I105&amp;"|"&amp;$J105&amp;"|"&amp;8,Assessments!$A$2:$A$600,0)),0)</f>
        <v>0</v>
      </c>
      <c r="DE105" s="28" t="n">
        <f aca="false">IFERROR(INDEX(Assessments!$J$2:$J$600,MATCH($H105&amp;"|"&amp;$I105&amp;"|"&amp;$J105&amp;"|"&amp;9,Assessments!$A$2:$A$600,0)),0)</f>
        <v>0</v>
      </c>
      <c r="DF105" s="28" t="n">
        <f aca="false">IFERROR(INDEX(Assessments!$J$2:$J$600,MATCH($H105&amp;"|"&amp;$I105&amp;"|"&amp;$J105&amp;"|"&amp;10,Assessments!$A$2:$A$600,0)),0)</f>
        <v>0</v>
      </c>
      <c r="DG105" s="28" t="n">
        <f aca="false">IFERROR(INDEX(Assessments!$J$2:$J$600,MATCH($H105&amp;"|"&amp;$I105&amp;"|"&amp;$J105&amp;"|"&amp;11,Assessments!$A$2:$A$600,0)),0)</f>
        <v>0</v>
      </c>
      <c r="DH105" s="28" t="n">
        <f aca="false">IFERROR(INDEX(Assessments!$J$2:$J$600,MATCH($H105&amp;"|"&amp;$I105&amp;"|"&amp;$J105&amp;"|"&amp;12,Assessments!$A$2:$A$600,0)),0)</f>
        <v>0</v>
      </c>
      <c r="DI105" s="28" t="n">
        <f aca="false">IFERROR(INDEX(Assessments!$J$2:$J$600,MATCH($H105&amp;"|"&amp;$I105&amp;"|"&amp;$J105&amp;"|"&amp;13,Assessments!$A$2:$A$600,0)),0)</f>
        <v>0</v>
      </c>
      <c r="DJ105" s="28" t="n">
        <f aca="false">IFERROR(INDEX(Assessments!$J$2:$J$600,MATCH($H105&amp;"|"&amp;$I105&amp;"|"&amp;$J105&amp;"|"&amp;14,Assessments!$A$2:$A$600,0)),0)</f>
        <v>0</v>
      </c>
      <c r="DK105" s="28" t="n">
        <f aca="false">S105</f>
        <v>6</v>
      </c>
      <c r="DL105" s="28" t="n">
        <f aca="false">W105</f>
        <v>6</v>
      </c>
      <c r="DM105" s="28" t="n">
        <f aca="false">AA105</f>
        <v>6</v>
      </c>
      <c r="DN105" s="28" t="n">
        <f aca="false">AE105</f>
        <v>4</v>
      </c>
      <c r="DO105" s="28" t="str">
        <f aca="false">AI105</f>
        <v/>
      </c>
      <c r="DP105" s="28" t="str">
        <f aca="false">AM105</f>
        <v/>
      </c>
      <c r="DQ105" s="28" t="str">
        <f aca="false">AQ105</f>
        <v/>
      </c>
      <c r="DR105" s="28" t="str">
        <f aca="false">AU105</f>
        <v/>
      </c>
      <c r="DS105" s="28" t="str">
        <f aca="false">AY105</f>
        <v/>
      </c>
      <c r="DT105" s="28" t="str">
        <f aca="false">BC105</f>
        <v/>
      </c>
      <c r="DU105" s="28" t="str">
        <f aca="false">BG105</f>
        <v/>
      </c>
      <c r="DV105" s="28" t="str">
        <f aca="false">BK105</f>
        <v/>
      </c>
      <c r="DW105" s="28" t="str">
        <f aca="false">BO105</f>
        <v/>
      </c>
      <c r="DX105" s="28" t="str">
        <f aca="false">BS105</f>
        <v/>
      </c>
      <c r="DY105" s="28" t="n">
        <f aca="false">IF(ISNUMBER(S105),1,"")</f>
        <v>1</v>
      </c>
      <c r="DZ105" s="28" t="n">
        <f aca="false">IF(ISNUMBER(W105),2,"")</f>
        <v>2</v>
      </c>
      <c r="EA105" s="28" t="n">
        <f aca="false">IF(ISNUMBER(AA105),3,"")</f>
        <v>3</v>
      </c>
      <c r="EB105" s="28" t="n">
        <f aca="false">IF(ISNUMBER(AE105),4,"")</f>
        <v>4</v>
      </c>
      <c r="EC105" s="28" t="str">
        <f aca="false">IF(ISNUMBER(AI105),5,"")</f>
        <v/>
      </c>
      <c r="ED105" s="28" t="str">
        <f aca="false">IF(ISNUMBER(AM105),6,"")</f>
        <v/>
      </c>
      <c r="EE105" s="28" t="str">
        <f aca="false">IF(ISNUMBER(AQ105),7,"")</f>
        <v/>
      </c>
      <c r="EF105" s="28" t="str">
        <f aca="false">IF(ISNUMBER(AU105),8,"")</f>
        <v/>
      </c>
      <c r="EG105" s="28" t="str">
        <f aca="false">IF(ISNUMBER(AY105),9,"")</f>
        <v/>
      </c>
      <c r="EH105" s="28" t="str">
        <f aca="false">IF(ISNUMBER(BC105),10,"")</f>
        <v/>
      </c>
      <c r="EI105" s="28" t="str">
        <f aca="false">IF(ISNUMBER(BG105),11,"")</f>
        <v/>
      </c>
      <c r="EJ105" s="28" t="str">
        <f aca="false">IF(ISNUMBER(BK105),12,"")</f>
        <v/>
      </c>
      <c r="EK105" s="28" t="str">
        <f aca="false">IF(ISNUMBER(BO105),13,"")</f>
        <v/>
      </c>
      <c r="EL105" s="28" t="str">
        <f aca="false">IF(ISNUMBER(BS105),14,"")</f>
        <v/>
      </c>
      <c r="EM105" s="28" t="n">
        <f aca="false">IF(ISNUMBER(R105),R105*CW105,0)</f>
        <v>83.3333333333333</v>
      </c>
      <c r="EN105" s="28" t="n">
        <f aca="false">IF(ISNUMBER(V105),V105*CX105,0)</f>
        <v>75</v>
      </c>
      <c r="EO105" s="28" t="n">
        <f aca="false">IF(ISNUMBER(Z105),Z105*CY105,0)</f>
        <v>76</v>
      </c>
      <c r="EP105" s="28" t="n">
        <f aca="false">IF(ISNUMBER(AD105),AD105*CZ105,0)</f>
        <v>52.1739130434783</v>
      </c>
      <c r="EQ105" s="28" t="n">
        <f aca="false">IF(ISNUMBER(AH105),AH105*DA105,0)</f>
        <v>0</v>
      </c>
      <c r="ER105" s="28" t="n">
        <f aca="false">IF(ISNUMBER(AL105),AL105*DB105,0)</f>
        <v>0</v>
      </c>
      <c r="ES105" s="28" t="n">
        <f aca="false">IF(ISNUMBER(AP105),AP105*DC105,0)</f>
        <v>0</v>
      </c>
      <c r="ET105" s="28" t="n">
        <f aca="false">IF(ISNUMBER(AT105),AT105*DD105,0)</f>
        <v>0</v>
      </c>
      <c r="EU105" s="28" t="n">
        <f aca="false">IF(ISNUMBER(AX105),AX105*DE105,0)</f>
        <v>0</v>
      </c>
      <c r="EV105" s="28" t="n">
        <f aca="false">IF(ISNUMBER(BB105),BB105*DF105,0)</f>
        <v>0</v>
      </c>
      <c r="EW105" s="28" t="n">
        <f aca="false">IF(ISNUMBER(BF105),BF105*DG105,0)</f>
        <v>0</v>
      </c>
      <c r="EX105" s="28" t="n">
        <f aca="false">IF(ISNUMBER(BJ105),BJ105*DH105,0)</f>
        <v>0</v>
      </c>
      <c r="EY105" s="28" t="n">
        <f aca="false">IF(ISNUMBER(BN105),BN105*DI105,0)</f>
        <v>0</v>
      </c>
      <c r="EZ105" s="28" t="n">
        <f aca="false">IF(ISNUMBER(BR105),BR105*DJ105,0)</f>
        <v>0</v>
      </c>
      <c r="FA105" s="28" t="n">
        <f aca="false">IF(ISNUMBER(R105),CW105,0)</f>
        <v>1</v>
      </c>
      <c r="FB105" s="28" t="n">
        <f aca="false">IF(ISNUMBER(V105),CX105,0)</f>
        <v>1</v>
      </c>
      <c r="FC105" s="28" t="n">
        <f aca="false">IF(ISNUMBER(Z105),CY105,0)</f>
        <v>1</v>
      </c>
      <c r="FD105" s="28" t="n">
        <f aca="false">IF(ISNUMBER(AD105),CZ105,0)</f>
        <v>1</v>
      </c>
      <c r="FE105" s="28" t="n">
        <f aca="false">IF(ISNUMBER(AH105),DA105,0)</f>
        <v>0</v>
      </c>
      <c r="FF105" s="28" t="n">
        <f aca="false">IF(ISNUMBER(AL105),DB105,0)</f>
        <v>0</v>
      </c>
      <c r="FG105" s="28" t="n">
        <f aca="false">IF(ISNUMBER(AP105),DC105,0)</f>
        <v>0</v>
      </c>
      <c r="FH105" s="28" t="n">
        <f aca="false">IF(ISNUMBER(AT105),DD105,0)</f>
        <v>0</v>
      </c>
      <c r="FI105" s="28" t="n">
        <f aca="false">IF(ISNUMBER(AX105),DE105,0)</f>
        <v>0</v>
      </c>
      <c r="FJ105" s="28" t="n">
        <f aca="false">IF(ISNUMBER(BB105),DF105,0)</f>
        <v>0</v>
      </c>
      <c r="FK105" s="28" t="n">
        <f aca="false">IF(ISNUMBER(BF105),DG105,0)</f>
        <v>0</v>
      </c>
      <c r="FL105" s="28" t="n">
        <f aca="false">IF(ISNUMBER(BJ105),DH105,0)</f>
        <v>0</v>
      </c>
      <c r="FM105" s="28" t="n">
        <f aca="false">IF(ISNUMBER(BN105),DI105,0)</f>
        <v>0</v>
      </c>
      <c r="FN105" s="28" t="n">
        <f aca="false">IF(ISNUMBER(BR105),DJ105,0)</f>
        <v>0</v>
      </c>
      <c r="FO105" s="28" t="str">
        <f aca="false">IFERROR(INDEX(Lists!$G$2:$G$20,MATCH($I105&amp;"|"&amp;$J105,Lists!$F$2:$F$20,0)),"")</f>
        <v>Econ Exam</v>
      </c>
    </row>
    <row r="106" customFormat="false" ht="19.5" hidden="false" customHeight="true" outlineLevel="0" collapsed="false">
      <c r="A106" s="29" t="s">
        <v>331</v>
      </c>
      <c r="B106" s="29" t="s">
        <v>332</v>
      </c>
      <c r="C106" s="30" t="s">
        <v>152</v>
      </c>
      <c r="D106" s="30" t="s">
        <v>271</v>
      </c>
      <c r="E106" s="31" t="n">
        <v>5.8</v>
      </c>
      <c r="F106" s="30" t="n">
        <v>6</v>
      </c>
      <c r="G106" s="30"/>
      <c r="H106" s="32" t="s">
        <v>23</v>
      </c>
      <c r="I106" s="33" t="s">
        <v>229</v>
      </c>
      <c r="J106" s="32" t="s">
        <v>223</v>
      </c>
      <c r="K106" s="34" t="n">
        <f aca="false">IF(OR(M106="",$E106=""),"",M106-$E106)</f>
        <v>1.2</v>
      </c>
      <c r="L106" s="35" t="n">
        <f aca="false">IF(SUM(FA106:FN106)=0,"",SUM(EM106:EZ106)/SUM(FA106:FN106))</f>
        <v>89.0688405797102</v>
      </c>
      <c r="M106" s="36" t="n">
        <f aca="false">IF(OR(L106="",FO106=""),"",IFERROR(MATCH(L106,INDEX(Boundaries!$B$2:$I$30,MATCH(FO106,Boundaries!$A$2:$A$30,0),0),1)-1,""))</f>
        <v>7</v>
      </c>
      <c r="N106" s="37" t="n">
        <f aca="false">IF(COUNT($DY106:$EL106)&lt;2,"",INDEX($DK106:$DX106,MAX($DY106:$EL106))-INDEX($DK106:$DX106,MIN($DY106:$EL106)))</f>
        <v>-1</v>
      </c>
      <c r="O106" s="37" t="n">
        <f aca="false">IF(COUNT($DY106:$EL106)&lt;2,"",INDEX($DK106:$DX106,MAX($DY106:$EL106))-INDEX($DK106:$DX106,LARGE($DY106:$EL106,2)))</f>
        <v>-1</v>
      </c>
      <c r="P106" s="38" t="str">
        <f aca="false">IF(K106="","",IF(K106&gt;=0,"On/above target",IF(AND(N106&lt;&gt;"",N106&gt;=0.5),"Improving towards target",IF(AND(O106&lt;&gt;"",O106&lt;=-0.5),"Declining","Stable below target"))))</f>
        <v>On/above target</v>
      </c>
      <c r="Q106" s="39" t="n">
        <v>26</v>
      </c>
      <c r="R106" s="40" t="n">
        <f aca="false">IF(OR(Q106="",BU106=""),"",Q106/BU106*100)</f>
        <v>86.6666666666667</v>
      </c>
      <c r="S106" s="41" t="n">
        <f aca="false">IF(R106="","",IFERROR(MATCH(R106,INDEX(Boundaries!$B$2:$I$30,MATCH(CI106,Boundaries!$A$2:$A$30,0),0),1)-1,""))</f>
        <v>7</v>
      </c>
      <c r="T106" s="42" t="n">
        <f aca="false">IF(OR(S106="",$E106=""),"",S106-$E106)</f>
        <v>1.2</v>
      </c>
      <c r="U106" s="39" t="n">
        <v>19</v>
      </c>
      <c r="V106" s="40" t="n">
        <f aca="false">IF(OR(U106="",BV106=""),"",U106/BV106*100)</f>
        <v>95</v>
      </c>
      <c r="W106" s="41" t="n">
        <f aca="false">IF(V106="","",IFERROR(MATCH(V106,INDEX(Boundaries!$B$2:$I$30,MATCH(CJ106,Boundaries!$A$2:$A$30,0),0),1)-1,""))</f>
        <v>7</v>
      </c>
      <c r="X106" s="42" t="n">
        <f aca="false">IF(OR(W106="",$E106=""),"",W106-$E106)</f>
        <v>1.2</v>
      </c>
      <c r="Y106" s="39" t="n">
        <v>23</v>
      </c>
      <c r="Z106" s="40" t="n">
        <f aca="false">IF(OR(Y106="",BW106=""),"",Y106/BW106*100)</f>
        <v>92</v>
      </c>
      <c r="AA106" s="41" t="n">
        <f aca="false">IF(Z106="","",IFERROR(MATCH(Z106,INDEX(Boundaries!$B$2:$I$30,MATCH(CK106,Boundaries!$A$2:$A$30,0),0),1)-1,""))</f>
        <v>7</v>
      </c>
      <c r="AB106" s="42" t="n">
        <f aca="false">IF(OR(AA106="",$E106=""),"",AA106-$E106)</f>
        <v>1.2</v>
      </c>
      <c r="AC106" s="39" t="n">
        <v>19</v>
      </c>
      <c r="AD106" s="40" t="n">
        <f aca="false">IF(OR(AC106="",BX106=""),"",AC106/BX106*100)</f>
        <v>82.6086956521739</v>
      </c>
      <c r="AE106" s="41" t="n">
        <f aca="false">IF(AD106="","",IFERROR(MATCH(AD106,INDEX(Boundaries!$B$2:$I$30,MATCH(CL106,Boundaries!$A$2:$A$30,0),0),1)-1,""))</f>
        <v>6</v>
      </c>
      <c r="AF106" s="42" t="n">
        <f aca="false">IF(OR(AE106="",$E106=""),"",AE106-$E106)</f>
        <v>0.2</v>
      </c>
      <c r="AG106" s="39"/>
      <c r="AH106" s="40" t="str">
        <f aca="false">IF(OR(AG106="",BY106=""),"",AG106/BY106*100)</f>
        <v/>
      </c>
      <c r="AI106" s="41" t="str">
        <f aca="false">IF(AH106="","",IFERROR(MATCH(AH106,INDEX(Boundaries!$B$2:$I$30,MATCH(CM106,Boundaries!$A$2:$A$30,0),0),1)-1,""))</f>
        <v/>
      </c>
      <c r="AJ106" s="42" t="str">
        <f aca="false">IF(OR(AI106="",$E106=""),"",AI106-$E106)</f>
        <v/>
      </c>
      <c r="AK106" s="39"/>
      <c r="AL106" s="40" t="str">
        <f aca="false">IF(OR(AK106="",BZ106=""),"",AK106/BZ106*100)</f>
        <v/>
      </c>
      <c r="AM106" s="41" t="str">
        <f aca="false">IF(AL106="","",IFERROR(MATCH(AL106,INDEX(Boundaries!$B$2:$I$30,MATCH(CN106,Boundaries!$A$2:$A$30,0),0),1)-1,""))</f>
        <v/>
      </c>
      <c r="AN106" s="42" t="str">
        <f aca="false">IF(OR(AM106="",$E106=""),"",AM106-$E106)</f>
        <v/>
      </c>
      <c r="AO106" s="39"/>
      <c r="AP106" s="40" t="str">
        <f aca="false">IF(OR(AO106="",CA106=""),"",AO106/CA106*100)</f>
        <v/>
      </c>
      <c r="AQ106" s="41" t="str">
        <f aca="false">IF(AP106="","",IFERROR(MATCH(AP106,INDEX(Boundaries!$B$2:$I$30,MATCH(CO106,Boundaries!$A$2:$A$30,0),0),1)-1,""))</f>
        <v/>
      </c>
      <c r="AR106" s="42" t="str">
        <f aca="false">IF(OR(AQ106="",$E106=""),"",AQ106-$E106)</f>
        <v/>
      </c>
      <c r="AS106" s="39"/>
      <c r="AT106" s="40" t="str">
        <f aca="false">IF(OR(AS106="",CB106=""),"",AS106/CB106*100)</f>
        <v/>
      </c>
      <c r="AU106" s="41" t="str">
        <f aca="false">IF(AT106="","",IFERROR(MATCH(AT106,INDEX(Boundaries!$B$2:$I$30,MATCH(CP106,Boundaries!$A$2:$A$30,0),0),1)-1,""))</f>
        <v/>
      </c>
      <c r="AV106" s="42" t="str">
        <f aca="false">IF(OR(AU106="",$E106=""),"",AU106-$E106)</f>
        <v/>
      </c>
      <c r="AW106" s="39"/>
      <c r="AX106" s="40" t="str">
        <f aca="false">IF(OR(AW106="",CC106=""),"",AW106/CC106*100)</f>
        <v/>
      </c>
      <c r="AY106" s="41" t="str">
        <f aca="false">IF(AX106="","",IFERROR(MATCH(AX106,INDEX(Boundaries!$B$2:$I$30,MATCH(CQ106,Boundaries!$A$2:$A$30,0),0),1)-1,""))</f>
        <v/>
      </c>
      <c r="AZ106" s="42" t="str">
        <f aca="false">IF(OR(AY106="",$E106=""),"",AY106-$E106)</f>
        <v/>
      </c>
      <c r="BA106" s="39"/>
      <c r="BB106" s="40" t="str">
        <f aca="false">IF(OR(BA106="",CD106=""),"",BA106/CD106*100)</f>
        <v/>
      </c>
      <c r="BC106" s="41" t="str">
        <f aca="false">IF(BB106="","",IFERROR(MATCH(BB106,INDEX(Boundaries!$B$2:$I$30,MATCH(CR106,Boundaries!$A$2:$A$30,0),0),1)-1,""))</f>
        <v/>
      </c>
      <c r="BD106" s="42" t="str">
        <f aca="false">IF(OR(BC106="",$E106=""),"",BC106-$E106)</f>
        <v/>
      </c>
      <c r="BE106" s="39"/>
      <c r="BF106" s="40" t="str">
        <f aca="false">IF(OR(BE106="",CE106=""),"",BE106/CE106*100)</f>
        <v/>
      </c>
      <c r="BG106" s="41" t="str">
        <f aca="false">IF(BF106="","",IFERROR(MATCH(BF106,INDEX(Boundaries!$B$2:$I$30,MATCH(CS106,Boundaries!$A$2:$A$30,0),0),1)-1,""))</f>
        <v/>
      </c>
      <c r="BH106" s="42" t="str">
        <f aca="false">IF(OR(BG106="",$E106=""),"",BG106-$E106)</f>
        <v/>
      </c>
      <c r="BI106" s="39"/>
      <c r="BJ106" s="40" t="str">
        <f aca="false">IF(OR(BI106="",CF106=""),"",BI106/CF106*100)</f>
        <v/>
      </c>
      <c r="BK106" s="41" t="str">
        <f aca="false">IF(BJ106="","",IFERROR(MATCH(BJ106,INDEX(Boundaries!$B$2:$I$30,MATCH(CT106,Boundaries!$A$2:$A$30,0),0),1)-1,""))</f>
        <v/>
      </c>
      <c r="BL106" s="42" t="str">
        <f aca="false">IF(OR(BK106="",$E106=""),"",BK106-$E106)</f>
        <v/>
      </c>
      <c r="BM106" s="39"/>
      <c r="BN106" s="40" t="str">
        <f aca="false">IF(OR(BM106="",CG106=""),"",BM106/CG106*100)</f>
        <v/>
      </c>
      <c r="BO106" s="41" t="str">
        <f aca="false">IF(BN106="","",IFERROR(MATCH(BN106,INDEX(Boundaries!$B$2:$I$30,MATCH(CU106,Boundaries!$A$2:$A$30,0),0),1)-1,""))</f>
        <v/>
      </c>
      <c r="BP106" s="42" t="str">
        <f aca="false">IF(OR(BO106="",$E106=""),"",BO106-$E106)</f>
        <v/>
      </c>
      <c r="BQ106" s="39"/>
      <c r="BR106" s="40" t="str">
        <f aca="false">IF(OR(BQ106="",CH106=""),"",BQ106/CH106*100)</f>
        <v/>
      </c>
      <c r="BS106" s="41" t="str">
        <f aca="false">IF(BR106="","",IFERROR(MATCH(BR106,INDEX(Boundaries!$B$2:$I$30,MATCH(CV106,Boundaries!$A$2:$A$30,0),0),1)-1,""))</f>
        <v/>
      </c>
      <c r="BT106" s="42" t="str">
        <f aca="false">IF(OR(BS106="",$E106=""),"",BS106-$E106)</f>
        <v/>
      </c>
      <c r="BU106" s="28" t="n">
        <f aca="false">IFERROR(INDEX(Assessments!$H$2:$H$600,MATCH($H106&amp;"|"&amp;$I106&amp;"|"&amp;$J106&amp;"|"&amp;1,Assessments!$A$2:$A$600,0)),"")</f>
        <v>30</v>
      </c>
      <c r="BV106" s="28" t="n">
        <f aca="false">IFERROR(INDEX(Assessments!$H$2:$H$600,MATCH($H106&amp;"|"&amp;$I106&amp;"|"&amp;$J106&amp;"|"&amp;2,Assessments!$A$2:$A$600,0)),"")</f>
        <v>20</v>
      </c>
      <c r="BW106" s="28" t="n">
        <f aca="false">IFERROR(INDEX(Assessments!$H$2:$H$600,MATCH($H106&amp;"|"&amp;$I106&amp;"|"&amp;$J106&amp;"|"&amp;3,Assessments!$A$2:$A$600,0)),"")</f>
        <v>25</v>
      </c>
      <c r="BX106" s="28" t="n">
        <f aca="false">IFERROR(INDEX(Assessments!$H$2:$H$600,MATCH($H106&amp;"|"&amp;$I106&amp;"|"&amp;$J106&amp;"|"&amp;4,Assessments!$A$2:$A$600,0)),"")</f>
        <v>23</v>
      </c>
      <c r="BY106" s="28" t="n">
        <f aca="false">IFERROR(INDEX(Assessments!$H$2:$H$600,MATCH($H106&amp;"|"&amp;$I106&amp;"|"&amp;$J106&amp;"|"&amp;5,Assessments!$A$2:$A$600,0)),"")</f>
        <v>25</v>
      </c>
      <c r="BZ106" s="28" t="n">
        <f aca="false">IFERROR(INDEX(Assessments!$H$2:$H$600,MATCH($H106&amp;"|"&amp;$I106&amp;"|"&amp;$J106&amp;"|"&amp;6,Assessments!$A$2:$A$600,0)),"")</f>
        <v>15</v>
      </c>
      <c r="CA106" s="28" t="n">
        <f aca="false">IFERROR(INDEX(Assessments!$H$2:$H$600,MATCH($H106&amp;"|"&amp;$I106&amp;"|"&amp;$J106&amp;"|"&amp;7,Assessments!$A$2:$A$600,0)),"")</f>
        <v>52</v>
      </c>
      <c r="CB106" s="28" t="str">
        <f aca="false">IFERROR(INDEX(Assessments!$H$2:$H$600,MATCH($H106&amp;"|"&amp;$I106&amp;"|"&amp;$J106&amp;"|"&amp;8,Assessments!$A$2:$A$600,0)),"")</f>
        <v/>
      </c>
      <c r="CC106" s="28" t="str">
        <f aca="false">IFERROR(INDEX(Assessments!$H$2:$H$600,MATCH($H106&amp;"|"&amp;$I106&amp;"|"&amp;$J106&amp;"|"&amp;9,Assessments!$A$2:$A$600,0)),"")</f>
        <v/>
      </c>
      <c r="CD106" s="28" t="str">
        <f aca="false">IFERROR(INDEX(Assessments!$H$2:$H$600,MATCH($H106&amp;"|"&amp;$I106&amp;"|"&amp;$J106&amp;"|"&amp;10,Assessments!$A$2:$A$600,0)),"")</f>
        <v/>
      </c>
      <c r="CE106" s="28" t="str">
        <f aca="false">IFERROR(INDEX(Assessments!$H$2:$H$600,MATCH($H106&amp;"|"&amp;$I106&amp;"|"&amp;$J106&amp;"|"&amp;11,Assessments!$A$2:$A$600,0)),"")</f>
        <v/>
      </c>
      <c r="CF106" s="28" t="str">
        <f aca="false">IFERROR(INDEX(Assessments!$H$2:$H$600,MATCH($H106&amp;"|"&amp;$I106&amp;"|"&amp;$J106&amp;"|"&amp;12,Assessments!$A$2:$A$600,0)),"")</f>
        <v/>
      </c>
      <c r="CG106" s="28" t="str">
        <f aca="false">IFERROR(INDEX(Assessments!$H$2:$H$600,MATCH($H106&amp;"|"&amp;$I106&amp;"|"&amp;$J106&amp;"|"&amp;13,Assessments!$A$2:$A$600,0)),"")</f>
        <v/>
      </c>
      <c r="CH106" s="28" t="str">
        <f aca="false">IFERROR(INDEX(Assessments!$H$2:$H$600,MATCH($H106&amp;"|"&amp;$I106&amp;"|"&amp;$J106&amp;"|"&amp;14,Assessments!$A$2:$A$600,0)),"")</f>
        <v/>
      </c>
      <c r="CI106" s="28" t="str">
        <f aca="false">IFERROR(INDEX(Assessments!$I$2:$I$600,MATCH($H106&amp;"|"&amp;$I106&amp;"|"&amp;$J106&amp;"|"&amp;1,Assessments!$A$2:$A$600,0)),"")</f>
        <v>Econ Test</v>
      </c>
      <c r="CJ106" s="28" t="str">
        <f aca="false">IFERROR(INDEX(Assessments!$I$2:$I$600,MATCH($H106&amp;"|"&amp;$I106&amp;"|"&amp;$J106&amp;"|"&amp;2,Assessments!$A$2:$A$600,0)),"")</f>
        <v>Econ Test</v>
      </c>
      <c r="CK106" s="28" t="str">
        <f aca="false">IFERROR(INDEX(Assessments!$I$2:$I$600,MATCH($H106&amp;"|"&amp;$I106&amp;"|"&amp;$J106&amp;"|"&amp;3,Assessments!$A$2:$A$600,0)),"")</f>
        <v>Econ Test</v>
      </c>
      <c r="CL106" s="28" t="str">
        <f aca="false">IFERROR(INDEX(Assessments!$I$2:$I$600,MATCH($H106&amp;"|"&amp;$I106&amp;"|"&amp;$J106&amp;"|"&amp;4,Assessments!$A$2:$A$600,0)),"")</f>
        <v>Econ Test</v>
      </c>
      <c r="CM106" s="28" t="str">
        <f aca="false">IFERROR(INDEX(Assessments!$I$2:$I$600,MATCH($H106&amp;"|"&amp;$I106&amp;"|"&amp;$J106&amp;"|"&amp;5,Assessments!$A$2:$A$600,0)),"")</f>
        <v>Econ Exam</v>
      </c>
      <c r="CN106" s="28" t="str">
        <f aca="false">IFERROR(INDEX(Assessments!$I$2:$I$600,MATCH($H106&amp;"|"&amp;$I106&amp;"|"&amp;$J106&amp;"|"&amp;6,Assessments!$A$2:$A$600,0)),"")</f>
        <v>Econ Test</v>
      </c>
      <c r="CO106" s="28" t="str">
        <f aca="false">IFERROR(INDEX(Assessments!$I$2:$I$600,MATCH($H106&amp;"|"&amp;$I106&amp;"|"&amp;$J106&amp;"|"&amp;7,Assessments!$A$2:$A$600,0)),"")</f>
        <v>Econ Exam</v>
      </c>
      <c r="CP106" s="28" t="str">
        <f aca="false">IFERROR(INDEX(Assessments!$I$2:$I$600,MATCH($H106&amp;"|"&amp;$I106&amp;"|"&amp;$J106&amp;"|"&amp;8,Assessments!$A$2:$A$600,0)),"")</f>
        <v/>
      </c>
      <c r="CQ106" s="28" t="str">
        <f aca="false">IFERROR(INDEX(Assessments!$I$2:$I$600,MATCH($H106&amp;"|"&amp;$I106&amp;"|"&amp;$J106&amp;"|"&amp;9,Assessments!$A$2:$A$600,0)),"")</f>
        <v/>
      </c>
      <c r="CR106" s="28" t="str">
        <f aca="false">IFERROR(INDEX(Assessments!$I$2:$I$600,MATCH($H106&amp;"|"&amp;$I106&amp;"|"&amp;$J106&amp;"|"&amp;10,Assessments!$A$2:$A$600,0)),"")</f>
        <v/>
      </c>
      <c r="CS106" s="28" t="str">
        <f aca="false">IFERROR(INDEX(Assessments!$I$2:$I$600,MATCH($H106&amp;"|"&amp;$I106&amp;"|"&amp;$J106&amp;"|"&amp;11,Assessments!$A$2:$A$600,0)),"")</f>
        <v/>
      </c>
      <c r="CT106" s="28" t="str">
        <f aca="false">IFERROR(INDEX(Assessments!$I$2:$I$600,MATCH($H106&amp;"|"&amp;$I106&amp;"|"&amp;$J106&amp;"|"&amp;12,Assessments!$A$2:$A$600,0)),"")</f>
        <v/>
      </c>
      <c r="CU106" s="28" t="str">
        <f aca="false">IFERROR(INDEX(Assessments!$I$2:$I$600,MATCH($H106&amp;"|"&amp;$I106&amp;"|"&amp;$J106&amp;"|"&amp;13,Assessments!$A$2:$A$600,0)),"")</f>
        <v/>
      </c>
      <c r="CV106" s="28" t="str">
        <f aca="false">IFERROR(INDEX(Assessments!$I$2:$I$600,MATCH($H106&amp;"|"&amp;$I106&amp;"|"&amp;$J106&amp;"|"&amp;14,Assessments!$A$2:$A$600,0)),"")</f>
        <v/>
      </c>
      <c r="CW106" s="28" t="n">
        <f aca="false">IFERROR(INDEX(Assessments!$J$2:$J$600,MATCH($H106&amp;"|"&amp;$I106&amp;"|"&amp;$J106&amp;"|"&amp;1,Assessments!$A$2:$A$600,0)),0)</f>
        <v>1</v>
      </c>
      <c r="CX106" s="28" t="n">
        <f aca="false">IFERROR(INDEX(Assessments!$J$2:$J$600,MATCH($H106&amp;"|"&amp;$I106&amp;"|"&amp;$J106&amp;"|"&amp;2,Assessments!$A$2:$A$600,0)),0)</f>
        <v>1</v>
      </c>
      <c r="CY106" s="28" t="n">
        <f aca="false">IFERROR(INDEX(Assessments!$J$2:$J$600,MATCH($H106&amp;"|"&amp;$I106&amp;"|"&amp;$J106&amp;"|"&amp;3,Assessments!$A$2:$A$600,0)),0)</f>
        <v>1</v>
      </c>
      <c r="CZ106" s="28" t="n">
        <f aca="false">IFERROR(INDEX(Assessments!$J$2:$J$600,MATCH($H106&amp;"|"&amp;$I106&amp;"|"&amp;$J106&amp;"|"&amp;4,Assessments!$A$2:$A$600,0)),0)</f>
        <v>1</v>
      </c>
      <c r="DA106" s="28" t="n">
        <f aca="false">IFERROR(INDEX(Assessments!$J$2:$J$600,MATCH($H106&amp;"|"&amp;$I106&amp;"|"&amp;$J106&amp;"|"&amp;5,Assessments!$A$2:$A$600,0)),0)</f>
        <v>2</v>
      </c>
      <c r="DB106" s="28" t="n">
        <f aca="false">IFERROR(INDEX(Assessments!$J$2:$J$600,MATCH($H106&amp;"|"&amp;$I106&amp;"|"&amp;$J106&amp;"|"&amp;6,Assessments!$A$2:$A$600,0)),0)</f>
        <v>1</v>
      </c>
      <c r="DC106" s="28" t="n">
        <f aca="false">IFERROR(INDEX(Assessments!$J$2:$J$600,MATCH($H106&amp;"|"&amp;$I106&amp;"|"&amp;$J106&amp;"|"&amp;7,Assessments!$A$2:$A$600,0)),0)</f>
        <v>2</v>
      </c>
      <c r="DD106" s="28" t="n">
        <f aca="false">IFERROR(INDEX(Assessments!$J$2:$J$600,MATCH($H106&amp;"|"&amp;$I106&amp;"|"&amp;$J106&amp;"|"&amp;8,Assessments!$A$2:$A$600,0)),0)</f>
        <v>0</v>
      </c>
      <c r="DE106" s="28" t="n">
        <f aca="false">IFERROR(INDEX(Assessments!$J$2:$J$600,MATCH($H106&amp;"|"&amp;$I106&amp;"|"&amp;$J106&amp;"|"&amp;9,Assessments!$A$2:$A$600,0)),0)</f>
        <v>0</v>
      </c>
      <c r="DF106" s="28" t="n">
        <f aca="false">IFERROR(INDEX(Assessments!$J$2:$J$600,MATCH($H106&amp;"|"&amp;$I106&amp;"|"&amp;$J106&amp;"|"&amp;10,Assessments!$A$2:$A$600,0)),0)</f>
        <v>0</v>
      </c>
      <c r="DG106" s="28" t="n">
        <f aca="false">IFERROR(INDEX(Assessments!$J$2:$J$600,MATCH($H106&amp;"|"&amp;$I106&amp;"|"&amp;$J106&amp;"|"&amp;11,Assessments!$A$2:$A$600,0)),0)</f>
        <v>0</v>
      </c>
      <c r="DH106" s="28" t="n">
        <f aca="false">IFERROR(INDEX(Assessments!$J$2:$J$600,MATCH($H106&amp;"|"&amp;$I106&amp;"|"&amp;$J106&amp;"|"&amp;12,Assessments!$A$2:$A$600,0)),0)</f>
        <v>0</v>
      </c>
      <c r="DI106" s="28" t="n">
        <f aca="false">IFERROR(INDEX(Assessments!$J$2:$J$600,MATCH($H106&amp;"|"&amp;$I106&amp;"|"&amp;$J106&amp;"|"&amp;13,Assessments!$A$2:$A$600,0)),0)</f>
        <v>0</v>
      </c>
      <c r="DJ106" s="28" t="n">
        <f aca="false">IFERROR(INDEX(Assessments!$J$2:$J$600,MATCH($H106&amp;"|"&amp;$I106&amp;"|"&amp;$J106&amp;"|"&amp;14,Assessments!$A$2:$A$600,0)),0)</f>
        <v>0</v>
      </c>
      <c r="DK106" s="28" t="n">
        <f aca="false">S106</f>
        <v>7</v>
      </c>
      <c r="DL106" s="28" t="n">
        <f aca="false">W106</f>
        <v>7</v>
      </c>
      <c r="DM106" s="28" t="n">
        <f aca="false">AA106</f>
        <v>7</v>
      </c>
      <c r="DN106" s="28" t="n">
        <f aca="false">AE106</f>
        <v>6</v>
      </c>
      <c r="DO106" s="28" t="str">
        <f aca="false">AI106</f>
        <v/>
      </c>
      <c r="DP106" s="28" t="str">
        <f aca="false">AM106</f>
        <v/>
      </c>
      <c r="DQ106" s="28" t="str">
        <f aca="false">AQ106</f>
        <v/>
      </c>
      <c r="DR106" s="28" t="str">
        <f aca="false">AU106</f>
        <v/>
      </c>
      <c r="DS106" s="28" t="str">
        <f aca="false">AY106</f>
        <v/>
      </c>
      <c r="DT106" s="28" t="str">
        <f aca="false">BC106</f>
        <v/>
      </c>
      <c r="DU106" s="28" t="str">
        <f aca="false">BG106</f>
        <v/>
      </c>
      <c r="DV106" s="28" t="str">
        <f aca="false">BK106</f>
        <v/>
      </c>
      <c r="DW106" s="28" t="str">
        <f aca="false">BO106</f>
        <v/>
      </c>
      <c r="DX106" s="28" t="str">
        <f aca="false">BS106</f>
        <v/>
      </c>
      <c r="DY106" s="28" t="n">
        <f aca="false">IF(ISNUMBER(S106),1,"")</f>
        <v>1</v>
      </c>
      <c r="DZ106" s="28" t="n">
        <f aca="false">IF(ISNUMBER(W106),2,"")</f>
        <v>2</v>
      </c>
      <c r="EA106" s="28" t="n">
        <f aca="false">IF(ISNUMBER(AA106),3,"")</f>
        <v>3</v>
      </c>
      <c r="EB106" s="28" t="n">
        <f aca="false">IF(ISNUMBER(AE106),4,"")</f>
        <v>4</v>
      </c>
      <c r="EC106" s="28" t="str">
        <f aca="false">IF(ISNUMBER(AI106),5,"")</f>
        <v/>
      </c>
      <c r="ED106" s="28" t="str">
        <f aca="false">IF(ISNUMBER(AM106),6,"")</f>
        <v/>
      </c>
      <c r="EE106" s="28" t="str">
        <f aca="false">IF(ISNUMBER(AQ106),7,"")</f>
        <v/>
      </c>
      <c r="EF106" s="28" t="str">
        <f aca="false">IF(ISNUMBER(AU106),8,"")</f>
        <v/>
      </c>
      <c r="EG106" s="28" t="str">
        <f aca="false">IF(ISNUMBER(AY106),9,"")</f>
        <v/>
      </c>
      <c r="EH106" s="28" t="str">
        <f aca="false">IF(ISNUMBER(BC106),10,"")</f>
        <v/>
      </c>
      <c r="EI106" s="28" t="str">
        <f aca="false">IF(ISNUMBER(BG106),11,"")</f>
        <v/>
      </c>
      <c r="EJ106" s="28" t="str">
        <f aca="false">IF(ISNUMBER(BK106),12,"")</f>
        <v/>
      </c>
      <c r="EK106" s="28" t="str">
        <f aca="false">IF(ISNUMBER(BO106),13,"")</f>
        <v/>
      </c>
      <c r="EL106" s="28" t="str">
        <f aca="false">IF(ISNUMBER(BS106),14,"")</f>
        <v/>
      </c>
      <c r="EM106" s="28" t="n">
        <f aca="false">IF(ISNUMBER(R106),R106*CW106,0)</f>
        <v>86.6666666666667</v>
      </c>
      <c r="EN106" s="28" t="n">
        <f aca="false">IF(ISNUMBER(V106),V106*CX106,0)</f>
        <v>95</v>
      </c>
      <c r="EO106" s="28" t="n">
        <f aca="false">IF(ISNUMBER(Z106),Z106*CY106,0)</f>
        <v>92</v>
      </c>
      <c r="EP106" s="28" t="n">
        <f aca="false">IF(ISNUMBER(AD106),AD106*CZ106,0)</f>
        <v>82.6086956521739</v>
      </c>
      <c r="EQ106" s="28" t="n">
        <f aca="false">IF(ISNUMBER(AH106),AH106*DA106,0)</f>
        <v>0</v>
      </c>
      <c r="ER106" s="28" t="n">
        <f aca="false">IF(ISNUMBER(AL106),AL106*DB106,0)</f>
        <v>0</v>
      </c>
      <c r="ES106" s="28" t="n">
        <f aca="false">IF(ISNUMBER(AP106),AP106*DC106,0)</f>
        <v>0</v>
      </c>
      <c r="ET106" s="28" t="n">
        <f aca="false">IF(ISNUMBER(AT106),AT106*DD106,0)</f>
        <v>0</v>
      </c>
      <c r="EU106" s="28" t="n">
        <f aca="false">IF(ISNUMBER(AX106),AX106*DE106,0)</f>
        <v>0</v>
      </c>
      <c r="EV106" s="28" t="n">
        <f aca="false">IF(ISNUMBER(BB106),BB106*DF106,0)</f>
        <v>0</v>
      </c>
      <c r="EW106" s="28" t="n">
        <f aca="false">IF(ISNUMBER(BF106),BF106*DG106,0)</f>
        <v>0</v>
      </c>
      <c r="EX106" s="28" t="n">
        <f aca="false">IF(ISNUMBER(BJ106),BJ106*DH106,0)</f>
        <v>0</v>
      </c>
      <c r="EY106" s="28" t="n">
        <f aca="false">IF(ISNUMBER(BN106),BN106*DI106,0)</f>
        <v>0</v>
      </c>
      <c r="EZ106" s="28" t="n">
        <f aca="false">IF(ISNUMBER(BR106),BR106*DJ106,0)</f>
        <v>0</v>
      </c>
      <c r="FA106" s="28" t="n">
        <f aca="false">IF(ISNUMBER(R106),CW106,0)</f>
        <v>1</v>
      </c>
      <c r="FB106" s="28" t="n">
        <f aca="false">IF(ISNUMBER(V106),CX106,0)</f>
        <v>1</v>
      </c>
      <c r="FC106" s="28" t="n">
        <f aca="false">IF(ISNUMBER(Z106),CY106,0)</f>
        <v>1</v>
      </c>
      <c r="FD106" s="28" t="n">
        <f aca="false">IF(ISNUMBER(AD106),CZ106,0)</f>
        <v>1</v>
      </c>
      <c r="FE106" s="28" t="n">
        <f aca="false">IF(ISNUMBER(AH106),DA106,0)</f>
        <v>0</v>
      </c>
      <c r="FF106" s="28" t="n">
        <f aca="false">IF(ISNUMBER(AL106),DB106,0)</f>
        <v>0</v>
      </c>
      <c r="FG106" s="28" t="n">
        <f aca="false">IF(ISNUMBER(AP106),DC106,0)</f>
        <v>0</v>
      </c>
      <c r="FH106" s="28" t="n">
        <f aca="false">IF(ISNUMBER(AT106),DD106,0)</f>
        <v>0</v>
      </c>
      <c r="FI106" s="28" t="n">
        <f aca="false">IF(ISNUMBER(AX106),DE106,0)</f>
        <v>0</v>
      </c>
      <c r="FJ106" s="28" t="n">
        <f aca="false">IF(ISNUMBER(BB106),DF106,0)</f>
        <v>0</v>
      </c>
      <c r="FK106" s="28" t="n">
        <f aca="false">IF(ISNUMBER(BF106),DG106,0)</f>
        <v>0</v>
      </c>
      <c r="FL106" s="28" t="n">
        <f aca="false">IF(ISNUMBER(BJ106),DH106,0)</f>
        <v>0</v>
      </c>
      <c r="FM106" s="28" t="n">
        <f aca="false">IF(ISNUMBER(BN106),DI106,0)</f>
        <v>0</v>
      </c>
      <c r="FN106" s="28" t="n">
        <f aca="false">IF(ISNUMBER(BR106),DJ106,0)</f>
        <v>0</v>
      </c>
      <c r="FO106" s="28" t="str">
        <f aca="false">IFERROR(INDEX(Lists!$G$2:$G$20,MATCH($I106&amp;"|"&amp;$J106,Lists!$F$2:$F$20,0)),"")</f>
        <v>Econ Exam</v>
      </c>
    </row>
    <row r="107" customFormat="false" ht="19.5" hidden="false" customHeight="true" outlineLevel="0" collapsed="false">
      <c r="A107" s="29" t="s">
        <v>333</v>
      </c>
      <c r="B107" s="29" t="s">
        <v>332</v>
      </c>
      <c r="C107" s="30" t="s">
        <v>152</v>
      </c>
      <c r="D107" s="30" t="s">
        <v>271</v>
      </c>
      <c r="E107" s="31" t="n">
        <v>6.1</v>
      </c>
      <c r="F107" s="30" t="n">
        <v>6</v>
      </c>
      <c r="G107" s="30"/>
      <c r="H107" s="32" t="s">
        <v>23</v>
      </c>
      <c r="I107" s="33" t="s">
        <v>229</v>
      </c>
      <c r="J107" s="32" t="s">
        <v>223</v>
      </c>
      <c r="K107" s="34" t="n">
        <f aca="false">IF(OR(M107="",$E107=""),"",M107-$E107)</f>
        <v>0.9</v>
      </c>
      <c r="L107" s="35" t="n">
        <f aca="false">IF(SUM(FA107:FN107)=0,"",SUM(EM107:EZ107)/SUM(FA107:FN107))</f>
        <v>90.5797101449276</v>
      </c>
      <c r="M107" s="36" t="n">
        <f aca="false">IF(OR(L107="",FO107=""),"",IFERROR(MATCH(L107,INDEX(Boundaries!$B$2:$I$30,MATCH(FO107,Boundaries!$A$2:$A$30,0),0),1)-1,""))</f>
        <v>7</v>
      </c>
      <c r="N107" s="37" t="n">
        <f aca="false">IF(COUNT($DY107:$EL107)&lt;2,"",INDEX($DK107:$DX107,MAX($DY107:$EL107))-INDEX($DK107:$DX107,MIN($DY107:$EL107)))</f>
        <v>0</v>
      </c>
      <c r="O107" s="37" t="n">
        <f aca="false">IF(COUNT($DY107:$EL107)&lt;2,"",INDEX($DK107:$DX107,MAX($DY107:$EL107))-INDEX($DK107:$DX107,LARGE($DY107:$EL107,2)))</f>
        <v>1</v>
      </c>
      <c r="P107" s="38" t="str">
        <f aca="false">IF(K107="","",IF(K107&gt;=0,"On/above target",IF(AND(N107&lt;&gt;"",N107&gt;=0.5),"Improving towards target",IF(AND(O107&lt;&gt;"",O107&lt;=-0.5),"Declining","Stable below target"))))</f>
        <v>On/above target</v>
      </c>
      <c r="Q107" s="39" t="n">
        <v>26</v>
      </c>
      <c r="R107" s="40" t="n">
        <f aca="false">IF(OR(Q107="",BU107=""),"",Q107/BU107*100)</f>
        <v>86.6666666666667</v>
      </c>
      <c r="S107" s="41" t="n">
        <f aca="false">IF(R107="","",IFERROR(MATCH(R107,INDEX(Boundaries!$B$2:$I$30,MATCH(CI107,Boundaries!$A$2:$A$30,0),0),1)-1,""))</f>
        <v>7</v>
      </c>
      <c r="T107" s="42" t="n">
        <f aca="false">IF(OR(S107="",$E107=""),"",S107-$E107)</f>
        <v>0.9</v>
      </c>
      <c r="U107" s="39" t="n">
        <v>20</v>
      </c>
      <c r="V107" s="40" t="n">
        <f aca="false">IF(OR(U107="",BV107=""),"",U107/BV107*100)</f>
        <v>100</v>
      </c>
      <c r="W107" s="41" t="n">
        <f aca="false">IF(V107="","",IFERROR(MATCH(V107,INDEX(Boundaries!$B$2:$I$30,MATCH(CJ107,Boundaries!$A$2:$A$30,0),0),1)-1,""))</f>
        <v>7</v>
      </c>
      <c r="X107" s="42" t="n">
        <f aca="false">IF(OR(W107="",$E107=""),"",W107-$E107)</f>
        <v>0.9</v>
      </c>
      <c r="Y107" s="39" t="n">
        <v>20</v>
      </c>
      <c r="Z107" s="40" t="n">
        <f aca="false">IF(OR(Y107="",BW107=""),"",Y107/BW107*100)</f>
        <v>80</v>
      </c>
      <c r="AA107" s="41" t="n">
        <f aca="false">IF(Z107="","",IFERROR(MATCH(Z107,INDEX(Boundaries!$B$2:$I$30,MATCH(CK107,Boundaries!$A$2:$A$30,0),0),1)-1,""))</f>
        <v>6</v>
      </c>
      <c r="AB107" s="42" t="n">
        <f aca="false">IF(OR(AA107="",$E107=""),"",AA107-$E107)</f>
        <v>-0.0999999999999996</v>
      </c>
      <c r="AC107" s="39" t="n">
        <v>22</v>
      </c>
      <c r="AD107" s="40" t="n">
        <f aca="false">IF(OR(AC107="",BX107=""),"",AC107/BX107*100)</f>
        <v>95.6521739130435</v>
      </c>
      <c r="AE107" s="41" t="n">
        <f aca="false">IF(AD107="","",IFERROR(MATCH(AD107,INDEX(Boundaries!$B$2:$I$30,MATCH(CL107,Boundaries!$A$2:$A$30,0),0),1)-1,""))</f>
        <v>7</v>
      </c>
      <c r="AF107" s="42" t="n">
        <f aca="false">IF(OR(AE107="",$E107=""),"",AE107-$E107)</f>
        <v>0.9</v>
      </c>
      <c r="AG107" s="39"/>
      <c r="AH107" s="40" t="str">
        <f aca="false">IF(OR(AG107="",BY107=""),"",AG107/BY107*100)</f>
        <v/>
      </c>
      <c r="AI107" s="41" t="str">
        <f aca="false">IF(AH107="","",IFERROR(MATCH(AH107,INDEX(Boundaries!$B$2:$I$30,MATCH(CM107,Boundaries!$A$2:$A$30,0),0),1)-1,""))</f>
        <v/>
      </c>
      <c r="AJ107" s="42" t="str">
        <f aca="false">IF(OR(AI107="",$E107=""),"",AI107-$E107)</f>
        <v/>
      </c>
      <c r="AK107" s="39"/>
      <c r="AL107" s="40" t="str">
        <f aca="false">IF(OR(AK107="",BZ107=""),"",AK107/BZ107*100)</f>
        <v/>
      </c>
      <c r="AM107" s="41" t="str">
        <f aca="false">IF(AL107="","",IFERROR(MATCH(AL107,INDEX(Boundaries!$B$2:$I$30,MATCH(CN107,Boundaries!$A$2:$A$30,0),0),1)-1,""))</f>
        <v/>
      </c>
      <c r="AN107" s="42" t="str">
        <f aca="false">IF(OR(AM107="",$E107=""),"",AM107-$E107)</f>
        <v/>
      </c>
      <c r="AO107" s="39"/>
      <c r="AP107" s="40" t="str">
        <f aca="false">IF(OR(AO107="",CA107=""),"",AO107/CA107*100)</f>
        <v/>
      </c>
      <c r="AQ107" s="41" t="str">
        <f aca="false">IF(AP107="","",IFERROR(MATCH(AP107,INDEX(Boundaries!$B$2:$I$30,MATCH(CO107,Boundaries!$A$2:$A$30,0),0),1)-1,""))</f>
        <v/>
      </c>
      <c r="AR107" s="42" t="str">
        <f aca="false">IF(OR(AQ107="",$E107=""),"",AQ107-$E107)</f>
        <v/>
      </c>
      <c r="AS107" s="39"/>
      <c r="AT107" s="40" t="str">
        <f aca="false">IF(OR(AS107="",CB107=""),"",AS107/CB107*100)</f>
        <v/>
      </c>
      <c r="AU107" s="41" t="str">
        <f aca="false">IF(AT107="","",IFERROR(MATCH(AT107,INDEX(Boundaries!$B$2:$I$30,MATCH(CP107,Boundaries!$A$2:$A$30,0),0),1)-1,""))</f>
        <v/>
      </c>
      <c r="AV107" s="42" t="str">
        <f aca="false">IF(OR(AU107="",$E107=""),"",AU107-$E107)</f>
        <v/>
      </c>
      <c r="AW107" s="39"/>
      <c r="AX107" s="40" t="str">
        <f aca="false">IF(OR(AW107="",CC107=""),"",AW107/CC107*100)</f>
        <v/>
      </c>
      <c r="AY107" s="41" t="str">
        <f aca="false">IF(AX107="","",IFERROR(MATCH(AX107,INDEX(Boundaries!$B$2:$I$30,MATCH(CQ107,Boundaries!$A$2:$A$30,0),0),1)-1,""))</f>
        <v/>
      </c>
      <c r="AZ107" s="42" t="str">
        <f aca="false">IF(OR(AY107="",$E107=""),"",AY107-$E107)</f>
        <v/>
      </c>
      <c r="BA107" s="39"/>
      <c r="BB107" s="40" t="str">
        <f aca="false">IF(OR(BA107="",CD107=""),"",BA107/CD107*100)</f>
        <v/>
      </c>
      <c r="BC107" s="41" t="str">
        <f aca="false">IF(BB107="","",IFERROR(MATCH(BB107,INDEX(Boundaries!$B$2:$I$30,MATCH(CR107,Boundaries!$A$2:$A$30,0),0),1)-1,""))</f>
        <v/>
      </c>
      <c r="BD107" s="42" t="str">
        <f aca="false">IF(OR(BC107="",$E107=""),"",BC107-$E107)</f>
        <v/>
      </c>
      <c r="BE107" s="39"/>
      <c r="BF107" s="40" t="str">
        <f aca="false">IF(OR(BE107="",CE107=""),"",BE107/CE107*100)</f>
        <v/>
      </c>
      <c r="BG107" s="41" t="str">
        <f aca="false">IF(BF107="","",IFERROR(MATCH(BF107,INDEX(Boundaries!$B$2:$I$30,MATCH(CS107,Boundaries!$A$2:$A$30,0),0),1)-1,""))</f>
        <v/>
      </c>
      <c r="BH107" s="42" t="str">
        <f aca="false">IF(OR(BG107="",$E107=""),"",BG107-$E107)</f>
        <v/>
      </c>
      <c r="BI107" s="39"/>
      <c r="BJ107" s="40" t="str">
        <f aca="false">IF(OR(BI107="",CF107=""),"",BI107/CF107*100)</f>
        <v/>
      </c>
      <c r="BK107" s="41" t="str">
        <f aca="false">IF(BJ107="","",IFERROR(MATCH(BJ107,INDEX(Boundaries!$B$2:$I$30,MATCH(CT107,Boundaries!$A$2:$A$30,0),0),1)-1,""))</f>
        <v/>
      </c>
      <c r="BL107" s="42" t="str">
        <f aca="false">IF(OR(BK107="",$E107=""),"",BK107-$E107)</f>
        <v/>
      </c>
      <c r="BM107" s="39"/>
      <c r="BN107" s="40" t="str">
        <f aca="false">IF(OR(BM107="",CG107=""),"",BM107/CG107*100)</f>
        <v/>
      </c>
      <c r="BO107" s="41" t="str">
        <f aca="false">IF(BN107="","",IFERROR(MATCH(BN107,INDEX(Boundaries!$B$2:$I$30,MATCH(CU107,Boundaries!$A$2:$A$30,0),0),1)-1,""))</f>
        <v/>
      </c>
      <c r="BP107" s="42" t="str">
        <f aca="false">IF(OR(BO107="",$E107=""),"",BO107-$E107)</f>
        <v/>
      </c>
      <c r="BQ107" s="39"/>
      <c r="BR107" s="40" t="str">
        <f aca="false">IF(OR(BQ107="",CH107=""),"",BQ107/CH107*100)</f>
        <v/>
      </c>
      <c r="BS107" s="41" t="str">
        <f aca="false">IF(BR107="","",IFERROR(MATCH(BR107,INDEX(Boundaries!$B$2:$I$30,MATCH(CV107,Boundaries!$A$2:$A$30,0),0),1)-1,""))</f>
        <v/>
      </c>
      <c r="BT107" s="42" t="str">
        <f aca="false">IF(OR(BS107="",$E107=""),"",BS107-$E107)</f>
        <v/>
      </c>
      <c r="BU107" s="28" t="n">
        <f aca="false">IFERROR(INDEX(Assessments!$H$2:$H$600,MATCH($H107&amp;"|"&amp;$I107&amp;"|"&amp;$J107&amp;"|"&amp;1,Assessments!$A$2:$A$600,0)),"")</f>
        <v>30</v>
      </c>
      <c r="BV107" s="28" t="n">
        <f aca="false">IFERROR(INDEX(Assessments!$H$2:$H$600,MATCH($H107&amp;"|"&amp;$I107&amp;"|"&amp;$J107&amp;"|"&amp;2,Assessments!$A$2:$A$600,0)),"")</f>
        <v>20</v>
      </c>
      <c r="BW107" s="28" t="n">
        <f aca="false">IFERROR(INDEX(Assessments!$H$2:$H$600,MATCH($H107&amp;"|"&amp;$I107&amp;"|"&amp;$J107&amp;"|"&amp;3,Assessments!$A$2:$A$600,0)),"")</f>
        <v>25</v>
      </c>
      <c r="BX107" s="28" t="n">
        <f aca="false">IFERROR(INDEX(Assessments!$H$2:$H$600,MATCH($H107&amp;"|"&amp;$I107&amp;"|"&amp;$J107&amp;"|"&amp;4,Assessments!$A$2:$A$600,0)),"")</f>
        <v>23</v>
      </c>
      <c r="BY107" s="28" t="n">
        <f aca="false">IFERROR(INDEX(Assessments!$H$2:$H$600,MATCH($H107&amp;"|"&amp;$I107&amp;"|"&amp;$J107&amp;"|"&amp;5,Assessments!$A$2:$A$600,0)),"")</f>
        <v>25</v>
      </c>
      <c r="BZ107" s="28" t="n">
        <f aca="false">IFERROR(INDEX(Assessments!$H$2:$H$600,MATCH($H107&amp;"|"&amp;$I107&amp;"|"&amp;$J107&amp;"|"&amp;6,Assessments!$A$2:$A$600,0)),"")</f>
        <v>15</v>
      </c>
      <c r="CA107" s="28" t="n">
        <f aca="false">IFERROR(INDEX(Assessments!$H$2:$H$600,MATCH($H107&amp;"|"&amp;$I107&amp;"|"&amp;$J107&amp;"|"&amp;7,Assessments!$A$2:$A$600,0)),"")</f>
        <v>52</v>
      </c>
      <c r="CB107" s="28" t="str">
        <f aca="false">IFERROR(INDEX(Assessments!$H$2:$H$600,MATCH($H107&amp;"|"&amp;$I107&amp;"|"&amp;$J107&amp;"|"&amp;8,Assessments!$A$2:$A$600,0)),"")</f>
        <v/>
      </c>
      <c r="CC107" s="28" t="str">
        <f aca="false">IFERROR(INDEX(Assessments!$H$2:$H$600,MATCH($H107&amp;"|"&amp;$I107&amp;"|"&amp;$J107&amp;"|"&amp;9,Assessments!$A$2:$A$600,0)),"")</f>
        <v/>
      </c>
      <c r="CD107" s="28" t="str">
        <f aca="false">IFERROR(INDEX(Assessments!$H$2:$H$600,MATCH($H107&amp;"|"&amp;$I107&amp;"|"&amp;$J107&amp;"|"&amp;10,Assessments!$A$2:$A$600,0)),"")</f>
        <v/>
      </c>
      <c r="CE107" s="28" t="str">
        <f aca="false">IFERROR(INDEX(Assessments!$H$2:$H$600,MATCH($H107&amp;"|"&amp;$I107&amp;"|"&amp;$J107&amp;"|"&amp;11,Assessments!$A$2:$A$600,0)),"")</f>
        <v/>
      </c>
      <c r="CF107" s="28" t="str">
        <f aca="false">IFERROR(INDEX(Assessments!$H$2:$H$600,MATCH($H107&amp;"|"&amp;$I107&amp;"|"&amp;$J107&amp;"|"&amp;12,Assessments!$A$2:$A$600,0)),"")</f>
        <v/>
      </c>
      <c r="CG107" s="28" t="str">
        <f aca="false">IFERROR(INDEX(Assessments!$H$2:$H$600,MATCH($H107&amp;"|"&amp;$I107&amp;"|"&amp;$J107&amp;"|"&amp;13,Assessments!$A$2:$A$600,0)),"")</f>
        <v/>
      </c>
      <c r="CH107" s="28" t="str">
        <f aca="false">IFERROR(INDEX(Assessments!$H$2:$H$600,MATCH($H107&amp;"|"&amp;$I107&amp;"|"&amp;$J107&amp;"|"&amp;14,Assessments!$A$2:$A$600,0)),"")</f>
        <v/>
      </c>
      <c r="CI107" s="28" t="str">
        <f aca="false">IFERROR(INDEX(Assessments!$I$2:$I$600,MATCH($H107&amp;"|"&amp;$I107&amp;"|"&amp;$J107&amp;"|"&amp;1,Assessments!$A$2:$A$600,0)),"")</f>
        <v>Econ Test</v>
      </c>
      <c r="CJ107" s="28" t="str">
        <f aca="false">IFERROR(INDEX(Assessments!$I$2:$I$600,MATCH($H107&amp;"|"&amp;$I107&amp;"|"&amp;$J107&amp;"|"&amp;2,Assessments!$A$2:$A$600,0)),"")</f>
        <v>Econ Test</v>
      </c>
      <c r="CK107" s="28" t="str">
        <f aca="false">IFERROR(INDEX(Assessments!$I$2:$I$600,MATCH($H107&amp;"|"&amp;$I107&amp;"|"&amp;$J107&amp;"|"&amp;3,Assessments!$A$2:$A$600,0)),"")</f>
        <v>Econ Test</v>
      </c>
      <c r="CL107" s="28" t="str">
        <f aca="false">IFERROR(INDEX(Assessments!$I$2:$I$600,MATCH($H107&amp;"|"&amp;$I107&amp;"|"&amp;$J107&amp;"|"&amp;4,Assessments!$A$2:$A$600,0)),"")</f>
        <v>Econ Test</v>
      </c>
      <c r="CM107" s="28" t="str">
        <f aca="false">IFERROR(INDEX(Assessments!$I$2:$I$600,MATCH($H107&amp;"|"&amp;$I107&amp;"|"&amp;$J107&amp;"|"&amp;5,Assessments!$A$2:$A$600,0)),"")</f>
        <v>Econ Exam</v>
      </c>
      <c r="CN107" s="28" t="str">
        <f aca="false">IFERROR(INDEX(Assessments!$I$2:$I$600,MATCH($H107&amp;"|"&amp;$I107&amp;"|"&amp;$J107&amp;"|"&amp;6,Assessments!$A$2:$A$600,0)),"")</f>
        <v>Econ Test</v>
      </c>
      <c r="CO107" s="28" t="str">
        <f aca="false">IFERROR(INDEX(Assessments!$I$2:$I$600,MATCH($H107&amp;"|"&amp;$I107&amp;"|"&amp;$J107&amp;"|"&amp;7,Assessments!$A$2:$A$600,0)),"")</f>
        <v>Econ Exam</v>
      </c>
      <c r="CP107" s="28" t="str">
        <f aca="false">IFERROR(INDEX(Assessments!$I$2:$I$600,MATCH($H107&amp;"|"&amp;$I107&amp;"|"&amp;$J107&amp;"|"&amp;8,Assessments!$A$2:$A$600,0)),"")</f>
        <v/>
      </c>
      <c r="CQ107" s="28" t="str">
        <f aca="false">IFERROR(INDEX(Assessments!$I$2:$I$600,MATCH($H107&amp;"|"&amp;$I107&amp;"|"&amp;$J107&amp;"|"&amp;9,Assessments!$A$2:$A$600,0)),"")</f>
        <v/>
      </c>
      <c r="CR107" s="28" t="str">
        <f aca="false">IFERROR(INDEX(Assessments!$I$2:$I$600,MATCH($H107&amp;"|"&amp;$I107&amp;"|"&amp;$J107&amp;"|"&amp;10,Assessments!$A$2:$A$600,0)),"")</f>
        <v/>
      </c>
      <c r="CS107" s="28" t="str">
        <f aca="false">IFERROR(INDEX(Assessments!$I$2:$I$600,MATCH($H107&amp;"|"&amp;$I107&amp;"|"&amp;$J107&amp;"|"&amp;11,Assessments!$A$2:$A$600,0)),"")</f>
        <v/>
      </c>
      <c r="CT107" s="28" t="str">
        <f aca="false">IFERROR(INDEX(Assessments!$I$2:$I$600,MATCH($H107&amp;"|"&amp;$I107&amp;"|"&amp;$J107&amp;"|"&amp;12,Assessments!$A$2:$A$600,0)),"")</f>
        <v/>
      </c>
      <c r="CU107" s="28" t="str">
        <f aca="false">IFERROR(INDEX(Assessments!$I$2:$I$600,MATCH($H107&amp;"|"&amp;$I107&amp;"|"&amp;$J107&amp;"|"&amp;13,Assessments!$A$2:$A$600,0)),"")</f>
        <v/>
      </c>
      <c r="CV107" s="28" t="str">
        <f aca="false">IFERROR(INDEX(Assessments!$I$2:$I$600,MATCH($H107&amp;"|"&amp;$I107&amp;"|"&amp;$J107&amp;"|"&amp;14,Assessments!$A$2:$A$600,0)),"")</f>
        <v/>
      </c>
      <c r="CW107" s="28" t="n">
        <f aca="false">IFERROR(INDEX(Assessments!$J$2:$J$600,MATCH($H107&amp;"|"&amp;$I107&amp;"|"&amp;$J107&amp;"|"&amp;1,Assessments!$A$2:$A$600,0)),0)</f>
        <v>1</v>
      </c>
      <c r="CX107" s="28" t="n">
        <f aca="false">IFERROR(INDEX(Assessments!$J$2:$J$600,MATCH($H107&amp;"|"&amp;$I107&amp;"|"&amp;$J107&amp;"|"&amp;2,Assessments!$A$2:$A$600,0)),0)</f>
        <v>1</v>
      </c>
      <c r="CY107" s="28" t="n">
        <f aca="false">IFERROR(INDEX(Assessments!$J$2:$J$600,MATCH($H107&amp;"|"&amp;$I107&amp;"|"&amp;$J107&amp;"|"&amp;3,Assessments!$A$2:$A$600,0)),0)</f>
        <v>1</v>
      </c>
      <c r="CZ107" s="28" t="n">
        <f aca="false">IFERROR(INDEX(Assessments!$J$2:$J$600,MATCH($H107&amp;"|"&amp;$I107&amp;"|"&amp;$J107&amp;"|"&amp;4,Assessments!$A$2:$A$600,0)),0)</f>
        <v>1</v>
      </c>
      <c r="DA107" s="28" t="n">
        <f aca="false">IFERROR(INDEX(Assessments!$J$2:$J$600,MATCH($H107&amp;"|"&amp;$I107&amp;"|"&amp;$J107&amp;"|"&amp;5,Assessments!$A$2:$A$600,0)),0)</f>
        <v>2</v>
      </c>
      <c r="DB107" s="28" t="n">
        <f aca="false">IFERROR(INDEX(Assessments!$J$2:$J$600,MATCH($H107&amp;"|"&amp;$I107&amp;"|"&amp;$J107&amp;"|"&amp;6,Assessments!$A$2:$A$600,0)),0)</f>
        <v>1</v>
      </c>
      <c r="DC107" s="28" t="n">
        <f aca="false">IFERROR(INDEX(Assessments!$J$2:$J$600,MATCH($H107&amp;"|"&amp;$I107&amp;"|"&amp;$J107&amp;"|"&amp;7,Assessments!$A$2:$A$600,0)),0)</f>
        <v>2</v>
      </c>
      <c r="DD107" s="28" t="n">
        <f aca="false">IFERROR(INDEX(Assessments!$J$2:$J$600,MATCH($H107&amp;"|"&amp;$I107&amp;"|"&amp;$J107&amp;"|"&amp;8,Assessments!$A$2:$A$600,0)),0)</f>
        <v>0</v>
      </c>
      <c r="DE107" s="28" t="n">
        <f aca="false">IFERROR(INDEX(Assessments!$J$2:$J$600,MATCH($H107&amp;"|"&amp;$I107&amp;"|"&amp;$J107&amp;"|"&amp;9,Assessments!$A$2:$A$600,0)),0)</f>
        <v>0</v>
      </c>
      <c r="DF107" s="28" t="n">
        <f aca="false">IFERROR(INDEX(Assessments!$J$2:$J$600,MATCH($H107&amp;"|"&amp;$I107&amp;"|"&amp;$J107&amp;"|"&amp;10,Assessments!$A$2:$A$600,0)),0)</f>
        <v>0</v>
      </c>
      <c r="DG107" s="28" t="n">
        <f aca="false">IFERROR(INDEX(Assessments!$J$2:$J$600,MATCH($H107&amp;"|"&amp;$I107&amp;"|"&amp;$J107&amp;"|"&amp;11,Assessments!$A$2:$A$600,0)),0)</f>
        <v>0</v>
      </c>
      <c r="DH107" s="28" t="n">
        <f aca="false">IFERROR(INDEX(Assessments!$J$2:$J$600,MATCH($H107&amp;"|"&amp;$I107&amp;"|"&amp;$J107&amp;"|"&amp;12,Assessments!$A$2:$A$600,0)),0)</f>
        <v>0</v>
      </c>
      <c r="DI107" s="28" t="n">
        <f aca="false">IFERROR(INDEX(Assessments!$J$2:$J$600,MATCH($H107&amp;"|"&amp;$I107&amp;"|"&amp;$J107&amp;"|"&amp;13,Assessments!$A$2:$A$600,0)),0)</f>
        <v>0</v>
      </c>
      <c r="DJ107" s="28" t="n">
        <f aca="false">IFERROR(INDEX(Assessments!$J$2:$J$600,MATCH($H107&amp;"|"&amp;$I107&amp;"|"&amp;$J107&amp;"|"&amp;14,Assessments!$A$2:$A$600,0)),0)</f>
        <v>0</v>
      </c>
      <c r="DK107" s="28" t="n">
        <f aca="false">S107</f>
        <v>7</v>
      </c>
      <c r="DL107" s="28" t="n">
        <f aca="false">W107</f>
        <v>7</v>
      </c>
      <c r="DM107" s="28" t="n">
        <f aca="false">AA107</f>
        <v>6</v>
      </c>
      <c r="DN107" s="28" t="n">
        <f aca="false">AE107</f>
        <v>7</v>
      </c>
      <c r="DO107" s="28" t="str">
        <f aca="false">AI107</f>
        <v/>
      </c>
      <c r="DP107" s="28" t="str">
        <f aca="false">AM107</f>
        <v/>
      </c>
      <c r="DQ107" s="28" t="str">
        <f aca="false">AQ107</f>
        <v/>
      </c>
      <c r="DR107" s="28" t="str">
        <f aca="false">AU107</f>
        <v/>
      </c>
      <c r="DS107" s="28" t="str">
        <f aca="false">AY107</f>
        <v/>
      </c>
      <c r="DT107" s="28" t="str">
        <f aca="false">BC107</f>
        <v/>
      </c>
      <c r="DU107" s="28" t="str">
        <f aca="false">BG107</f>
        <v/>
      </c>
      <c r="DV107" s="28" t="str">
        <f aca="false">BK107</f>
        <v/>
      </c>
      <c r="DW107" s="28" t="str">
        <f aca="false">BO107</f>
        <v/>
      </c>
      <c r="DX107" s="28" t="str">
        <f aca="false">BS107</f>
        <v/>
      </c>
      <c r="DY107" s="28" t="n">
        <f aca="false">IF(ISNUMBER(S107),1,"")</f>
        <v>1</v>
      </c>
      <c r="DZ107" s="28" t="n">
        <f aca="false">IF(ISNUMBER(W107),2,"")</f>
        <v>2</v>
      </c>
      <c r="EA107" s="28" t="n">
        <f aca="false">IF(ISNUMBER(AA107),3,"")</f>
        <v>3</v>
      </c>
      <c r="EB107" s="28" t="n">
        <f aca="false">IF(ISNUMBER(AE107),4,"")</f>
        <v>4</v>
      </c>
      <c r="EC107" s="28" t="str">
        <f aca="false">IF(ISNUMBER(AI107),5,"")</f>
        <v/>
      </c>
      <c r="ED107" s="28" t="str">
        <f aca="false">IF(ISNUMBER(AM107),6,"")</f>
        <v/>
      </c>
      <c r="EE107" s="28" t="str">
        <f aca="false">IF(ISNUMBER(AQ107),7,"")</f>
        <v/>
      </c>
      <c r="EF107" s="28" t="str">
        <f aca="false">IF(ISNUMBER(AU107),8,"")</f>
        <v/>
      </c>
      <c r="EG107" s="28" t="str">
        <f aca="false">IF(ISNUMBER(AY107),9,"")</f>
        <v/>
      </c>
      <c r="EH107" s="28" t="str">
        <f aca="false">IF(ISNUMBER(BC107),10,"")</f>
        <v/>
      </c>
      <c r="EI107" s="28" t="str">
        <f aca="false">IF(ISNUMBER(BG107),11,"")</f>
        <v/>
      </c>
      <c r="EJ107" s="28" t="str">
        <f aca="false">IF(ISNUMBER(BK107),12,"")</f>
        <v/>
      </c>
      <c r="EK107" s="28" t="str">
        <f aca="false">IF(ISNUMBER(BO107),13,"")</f>
        <v/>
      </c>
      <c r="EL107" s="28" t="str">
        <f aca="false">IF(ISNUMBER(BS107),14,"")</f>
        <v/>
      </c>
      <c r="EM107" s="28" t="n">
        <f aca="false">IF(ISNUMBER(R107),R107*CW107,0)</f>
        <v>86.6666666666667</v>
      </c>
      <c r="EN107" s="28" t="n">
        <f aca="false">IF(ISNUMBER(V107),V107*CX107,0)</f>
        <v>100</v>
      </c>
      <c r="EO107" s="28" t="n">
        <f aca="false">IF(ISNUMBER(Z107),Z107*CY107,0)</f>
        <v>80</v>
      </c>
      <c r="EP107" s="28" t="n">
        <f aca="false">IF(ISNUMBER(AD107),AD107*CZ107,0)</f>
        <v>95.6521739130435</v>
      </c>
      <c r="EQ107" s="28" t="n">
        <f aca="false">IF(ISNUMBER(AH107),AH107*DA107,0)</f>
        <v>0</v>
      </c>
      <c r="ER107" s="28" t="n">
        <f aca="false">IF(ISNUMBER(AL107),AL107*DB107,0)</f>
        <v>0</v>
      </c>
      <c r="ES107" s="28" t="n">
        <f aca="false">IF(ISNUMBER(AP107),AP107*DC107,0)</f>
        <v>0</v>
      </c>
      <c r="ET107" s="28" t="n">
        <f aca="false">IF(ISNUMBER(AT107),AT107*DD107,0)</f>
        <v>0</v>
      </c>
      <c r="EU107" s="28" t="n">
        <f aca="false">IF(ISNUMBER(AX107),AX107*DE107,0)</f>
        <v>0</v>
      </c>
      <c r="EV107" s="28" t="n">
        <f aca="false">IF(ISNUMBER(BB107),BB107*DF107,0)</f>
        <v>0</v>
      </c>
      <c r="EW107" s="28" t="n">
        <f aca="false">IF(ISNUMBER(BF107),BF107*DG107,0)</f>
        <v>0</v>
      </c>
      <c r="EX107" s="28" t="n">
        <f aca="false">IF(ISNUMBER(BJ107),BJ107*DH107,0)</f>
        <v>0</v>
      </c>
      <c r="EY107" s="28" t="n">
        <f aca="false">IF(ISNUMBER(BN107),BN107*DI107,0)</f>
        <v>0</v>
      </c>
      <c r="EZ107" s="28" t="n">
        <f aca="false">IF(ISNUMBER(BR107),BR107*DJ107,0)</f>
        <v>0</v>
      </c>
      <c r="FA107" s="28" t="n">
        <f aca="false">IF(ISNUMBER(R107),CW107,0)</f>
        <v>1</v>
      </c>
      <c r="FB107" s="28" t="n">
        <f aca="false">IF(ISNUMBER(V107),CX107,0)</f>
        <v>1</v>
      </c>
      <c r="FC107" s="28" t="n">
        <f aca="false">IF(ISNUMBER(Z107),CY107,0)</f>
        <v>1</v>
      </c>
      <c r="FD107" s="28" t="n">
        <f aca="false">IF(ISNUMBER(AD107),CZ107,0)</f>
        <v>1</v>
      </c>
      <c r="FE107" s="28" t="n">
        <f aca="false">IF(ISNUMBER(AH107),DA107,0)</f>
        <v>0</v>
      </c>
      <c r="FF107" s="28" t="n">
        <f aca="false">IF(ISNUMBER(AL107),DB107,0)</f>
        <v>0</v>
      </c>
      <c r="FG107" s="28" t="n">
        <f aca="false">IF(ISNUMBER(AP107),DC107,0)</f>
        <v>0</v>
      </c>
      <c r="FH107" s="28" t="n">
        <f aca="false">IF(ISNUMBER(AT107),DD107,0)</f>
        <v>0</v>
      </c>
      <c r="FI107" s="28" t="n">
        <f aca="false">IF(ISNUMBER(AX107),DE107,0)</f>
        <v>0</v>
      </c>
      <c r="FJ107" s="28" t="n">
        <f aca="false">IF(ISNUMBER(BB107),DF107,0)</f>
        <v>0</v>
      </c>
      <c r="FK107" s="28" t="n">
        <f aca="false">IF(ISNUMBER(BF107),DG107,0)</f>
        <v>0</v>
      </c>
      <c r="FL107" s="28" t="n">
        <f aca="false">IF(ISNUMBER(BJ107),DH107,0)</f>
        <v>0</v>
      </c>
      <c r="FM107" s="28" t="n">
        <f aca="false">IF(ISNUMBER(BN107),DI107,0)</f>
        <v>0</v>
      </c>
      <c r="FN107" s="28" t="n">
        <f aca="false">IF(ISNUMBER(BR107),DJ107,0)</f>
        <v>0</v>
      </c>
      <c r="FO107" s="28" t="str">
        <f aca="false">IFERROR(INDEX(Lists!$G$2:$G$20,MATCH($I107&amp;"|"&amp;$J107,Lists!$F$2:$F$20,0)),"")</f>
        <v>Econ Exam</v>
      </c>
    </row>
    <row r="108" customFormat="false" ht="19.5" hidden="false" customHeight="true" outlineLevel="0" collapsed="false">
      <c r="A108" s="29" t="s">
        <v>334</v>
      </c>
      <c r="B108" s="29" t="s">
        <v>335</v>
      </c>
      <c r="C108" s="30" t="s">
        <v>152</v>
      </c>
      <c r="D108" s="30" t="s">
        <v>291</v>
      </c>
      <c r="E108" s="31" t="n">
        <v>6</v>
      </c>
      <c r="F108" s="30" t="n">
        <v>6</v>
      </c>
      <c r="G108" s="30"/>
      <c r="H108" s="32" t="s">
        <v>23</v>
      </c>
      <c r="I108" s="33" t="s">
        <v>229</v>
      </c>
      <c r="J108" s="32" t="s">
        <v>223</v>
      </c>
      <c r="K108" s="34" t="n">
        <f aca="false">IF(OR(M108="",$E108=""),"",M108-$E108)</f>
        <v>1</v>
      </c>
      <c r="L108" s="35" t="n">
        <f aca="false">IF(SUM(FA108:FN108)=0,"",SUM(EM108:EZ108)/SUM(FA108:FN108))</f>
        <v>84.1594202898551</v>
      </c>
      <c r="M108" s="36" t="n">
        <f aca="false">IF(OR(L108="",FO108=""),"",IFERROR(MATCH(L108,INDEX(Boundaries!$B$2:$I$30,MATCH(FO108,Boundaries!$A$2:$A$30,0),0),1)-1,""))</f>
        <v>7</v>
      </c>
      <c r="N108" s="37" t="n">
        <f aca="false">IF(COUNT($DY108:$EL108)&lt;2,"",INDEX($DK108:$DX108,MAX($DY108:$EL108))-INDEX($DK108:$DX108,MIN($DY108:$EL108)))</f>
        <v>1</v>
      </c>
      <c r="O108" s="37" t="n">
        <f aca="false">IF(COUNT($DY108:$EL108)&lt;2,"",INDEX($DK108:$DX108,MAX($DY108:$EL108))-INDEX($DK108:$DX108,LARGE($DY108:$EL108,2)))</f>
        <v>0</v>
      </c>
      <c r="P108" s="38" t="str">
        <f aca="false">IF(K108="","",IF(K108&gt;=0,"On/above target",IF(AND(N108&lt;&gt;"",N108&gt;=0.5),"Improving towards target",IF(AND(O108&lt;&gt;"",O108&lt;=-0.5),"Declining","Stable below target"))))</f>
        <v>On/above target</v>
      </c>
      <c r="Q108" s="39" t="n">
        <v>24</v>
      </c>
      <c r="R108" s="40" t="n">
        <f aca="false">IF(OR(Q108="",BU108=""),"",Q108/BU108*100)</f>
        <v>80</v>
      </c>
      <c r="S108" s="41" t="n">
        <f aca="false">IF(R108="","",IFERROR(MATCH(R108,INDEX(Boundaries!$B$2:$I$30,MATCH(CI108,Boundaries!$A$2:$A$30,0),0),1)-1,""))</f>
        <v>6</v>
      </c>
      <c r="T108" s="42" t="n">
        <f aca="false">IF(OR(S108="",$E108=""),"",S108-$E108)</f>
        <v>0</v>
      </c>
      <c r="U108" s="39" t="n">
        <v>18</v>
      </c>
      <c r="V108" s="40" t="n">
        <f aca="false">IF(OR(U108="",BV108=""),"",U108/BV108*100)</f>
        <v>90</v>
      </c>
      <c r="W108" s="41" t="n">
        <f aca="false">IF(V108="","",IFERROR(MATCH(V108,INDEX(Boundaries!$B$2:$I$30,MATCH(CJ108,Boundaries!$A$2:$A$30,0),0),1)-1,""))</f>
        <v>7</v>
      </c>
      <c r="X108" s="42" t="n">
        <f aca="false">IF(OR(W108="",$E108=""),"",W108-$E108)</f>
        <v>1</v>
      </c>
      <c r="Y108" s="39" t="n">
        <v>20</v>
      </c>
      <c r="Z108" s="40" t="n">
        <f aca="false">IF(OR(Y108="",BW108=""),"",Y108/BW108*100)</f>
        <v>80</v>
      </c>
      <c r="AA108" s="41" t="n">
        <f aca="false">IF(Z108="","",IFERROR(MATCH(Z108,INDEX(Boundaries!$B$2:$I$30,MATCH(CK108,Boundaries!$A$2:$A$30,0),0),1)-1,""))</f>
        <v>6</v>
      </c>
      <c r="AB108" s="42" t="n">
        <f aca="false">IF(OR(AA108="",$E108=""),"",AA108-$E108)</f>
        <v>0</v>
      </c>
      <c r="AC108" s="39" t="n">
        <v>20</v>
      </c>
      <c r="AD108" s="40" t="n">
        <f aca="false">IF(OR(AC108="",BX108=""),"",AC108/BX108*100)</f>
        <v>86.9565217391304</v>
      </c>
      <c r="AE108" s="41" t="n">
        <f aca="false">IF(AD108="","",IFERROR(MATCH(AD108,INDEX(Boundaries!$B$2:$I$30,MATCH(CL108,Boundaries!$A$2:$A$30,0),0),1)-1,""))</f>
        <v>7</v>
      </c>
      <c r="AF108" s="42" t="n">
        <f aca="false">IF(OR(AE108="",$E108=""),"",AE108-$E108)</f>
        <v>1</v>
      </c>
      <c r="AG108" s="39" t="n">
        <v>21</v>
      </c>
      <c r="AH108" s="40" t="n">
        <f aca="false">IF(OR(AG108="",BY108=""),"",AG108/BY108*100)</f>
        <v>84</v>
      </c>
      <c r="AI108" s="41" t="n">
        <f aca="false">IF(AH108="","",IFERROR(MATCH(AH108,INDEX(Boundaries!$B$2:$I$30,MATCH(CM108,Boundaries!$A$2:$A$30,0),0),1)-1,""))</f>
        <v>7</v>
      </c>
      <c r="AJ108" s="42" t="n">
        <f aca="false">IF(OR(AI108="",$E108=""),"",AI108-$E108)</f>
        <v>1</v>
      </c>
      <c r="AK108" s="39"/>
      <c r="AL108" s="40" t="str">
        <f aca="false">IF(OR(AK108="",BZ108=""),"",AK108/BZ108*100)</f>
        <v/>
      </c>
      <c r="AM108" s="41" t="str">
        <f aca="false">IF(AL108="","",IFERROR(MATCH(AL108,INDEX(Boundaries!$B$2:$I$30,MATCH(CN108,Boundaries!$A$2:$A$30,0),0),1)-1,""))</f>
        <v/>
      </c>
      <c r="AN108" s="42" t="str">
        <f aca="false">IF(OR(AM108="",$E108=""),"",AM108-$E108)</f>
        <v/>
      </c>
      <c r="AO108" s="39"/>
      <c r="AP108" s="40" t="str">
        <f aca="false">IF(OR(AO108="",CA108=""),"",AO108/CA108*100)</f>
        <v/>
      </c>
      <c r="AQ108" s="41" t="str">
        <f aca="false">IF(AP108="","",IFERROR(MATCH(AP108,INDEX(Boundaries!$B$2:$I$30,MATCH(CO108,Boundaries!$A$2:$A$30,0),0),1)-1,""))</f>
        <v/>
      </c>
      <c r="AR108" s="42" t="str">
        <f aca="false">IF(OR(AQ108="",$E108=""),"",AQ108-$E108)</f>
        <v/>
      </c>
      <c r="AS108" s="39"/>
      <c r="AT108" s="40" t="str">
        <f aca="false">IF(OR(AS108="",CB108=""),"",AS108/CB108*100)</f>
        <v/>
      </c>
      <c r="AU108" s="41" t="str">
        <f aca="false">IF(AT108="","",IFERROR(MATCH(AT108,INDEX(Boundaries!$B$2:$I$30,MATCH(CP108,Boundaries!$A$2:$A$30,0),0),1)-1,""))</f>
        <v/>
      </c>
      <c r="AV108" s="42" t="str">
        <f aca="false">IF(OR(AU108="",$E108=""),"",AU108-$E108)</f>
        <v/>
      </c>
      <c r="AW108" s="39"/>
      <c r="AX108" s="40" t="str">
        <f aca="false">IF(OR(AW108="",CC108=""),"",AW108/CC108*100)</f>
        <v/>
      </c>
      <c r="AY108" s="41" t="str">
        <f aca="false">IF(AX108="","",IFERROR(MATCH(AX108,INDEX(Boundaries!$B$2:$I$30,MATCH(CQ108,Boundaries!$A$2:$A$30,0),0),1)-1,""))</f>
        <v/>
      </c>
      <c r="AZ108" s="42" t="str">
        <f aca="false">IF(OR(AY108="",$E108=""),"",AY108-$E108)</f>
        <v/>
      </c>
      <c r="BA108" s="39"/>
      <c r="BB108" s="40" t="str">
        <f aca="false">IF(OR(BA108="",CD108=""),"",BA108/CD108*100)</f>
        <v/>
      </c>
      <c r="BC108" s="41" t="str">
        <f aca="false">IF(BB108="","",IFERROR(MATCH(BB108,INDEX(Boundaries!$B$2:$I$30,MATCH(CR108,Boundaries!$A$2:$A$30,0),0),1)-1,""))</f>
        <v/>
      </c>
      <c r="BD108" s="42" t="str">
        <f aca="false">IF(OR(BC108="",$E108=""),"",BC108-$E108)</f>
        <v/>
      </c>
      <c r="BE108" s="39"/>
      <c r="BF108" s="40" t="str">
        <f aca="false">IF(OR(BE108="",CE108=""),"",BE108/CE108*100)</f>
        <v/>
      </c>
      <c r="BG108" s="41" t="str">
        <f aca="false">IF(BF108="","",IFERROR(MATCH(BF108,INDEX(Boundaries!$B$2:$I$30,MATCH(CS108,Boundaries!$A$2:$A$30,0),0),1)-1,""))</f>
        <v/>
      </c>
      <c r="BH108" s="42" t="str">
        <f aca="false">IF(OR(BG108="",$E108=""),"",BG108-$E108)</f>
        <v/>
      </c>
      <c r="BI108" s="39"/>
      <c r="BJ108" s="40" t="str">
        <f aca="false">IF(OR(BI108="",CF108=""),"",BI108/CF108*100)</f>
        <v/>
      </c>
      <c r="BK108" s="41" t="str">
        <f aca="false">IF(BJ108="","",IFERROR(MATCH(BJ108,INDEX(Boundaries!$B$2:$I$30,MATCH(CT108,Boundaries!$A$2:$A$30,0),0),1)-1,""))</f>
        <v/>
      </c>
      <c r="BL108" s="42" t="str">
        <f aca="false">IF(OR(BK108="",$E108=""),"",BK108-$E108)</f>
        <v/>
      </c>
      <c r="BM108" s="39"/>
      <c r="BN108" s="40" t="str">
        <f aca="false">IF(OR(BM108="",CG108=""),"",BM108/CG108*100)</f>
        <v/>
      </c>
      <c r="BO108" s="41" t="str">
        <f aca="false">IF(BN108="","",IFERROR(MATCH(BN108,INDEX(Boundaries!$B$2:$I$30,MATCH(CU108,Boundaries!$A$2:$A$30,0),0),1)-1,""))</f>
        <v/>
      </c>
      <c r="BP108" s="42" t="str">
        <f aca="false">IF(OR(BO108="",$E108=""),"",BO108-$E108)</f>
        <v/>
      </c>
      <c r="BQ108" s="39"/>
      <c r="BR108" s="40" t="str">
        <f aca="false">IF(OR(BQ108="",CH108=""),"",BQ108/CH108*100)</f>
        <v/>
      </c>
      <c r="BS108" s="41" t="str">
        <f aca="false">IF(BR108="","",IFERROR(MATCH(BR108,INDEX(Boundaries!$B$2:$I$30,MATCH(CV108,Boundaries!$A$2:$A$30,0),0),1)-1,""))</f>
        <v/>
      </c>
      <c r="BT108" s="42" t="str">
        <f aca="false">IF(OR(BS108="",$E108=""),"",BS108-$E108)</f>
        <v/>
      </c>
      <c r="BU108" s="28" t="n">
        <f aca="false">IFERROR(INDEX(Assessments!$H$2:$H$600,MATCH($H108&amp;"|"&amp;$I108&amp;"|"&amp;$J108&amp;"|"&amp;1,Assessments!$A$2:$A$600,0)),"")</f>
        <v>30</v>
      </c>
      <c r="BV108" s="28" t="n">
        <f aca="false">IFERROR(INDEX(Assessments!$H$2:$H$600,MATCH($H108&amp;"|"&amp;$I108&amp;"|"&amp;$J108&amp;"|"&amp;2,Assessments!$A$2:$A$600,0)),"")</f>
        <v>20</v>
      </c>
      <c r="BW108" s="28" t="n">
        <f aca="false">IFERROR(INDEX(Assessments!$H$2:$H$600,MATCH($H108&amp;"|"&amp;$I108&amp;"|"&amp;$J108&amp;"|"&amp;3,Assessments!$A$2:$A$600,0)),"")</f>
        <v>25</v>
      </c>
      <c r="BX108" s="28" t="n">
        <f aca="false">IFERROR(INDEX(Assessments!$H$2:$H$600,MATCH($H108&amp;"|"&amp;$I108&amp;"|"&amp;$J108&amp;"|"&amp;4,Assessments!$A$2:$A$600,0)),"")</f>
        <v>23</v>
      </c>
      <c r="BY108" s="28" t="n">
        <f aca="false">IFERROR(INDEX(Assessments!$H$2:$H$600,MATCH($H108&amp;"|"&amp;$I108&amp;"|"&amp;$J108&amp;"|"&amp;5,Assessments!$A$2:$A$600,0)),"")</f>
        <v>25</v>
      </c>
      <c r="BZ108" s="28" t="n">
        <f aca="false">IFERROR(INDEX(Assessments!$H$2:$H$600,MATCH($H108&amp;"|"&amp;$I108&amp;"|"&amp;$J108&amp;"|"&amp;6,Assessments!$A$2:$A$600,0)),"")</f>
        <v>15</v>
      </c>
      <c r="CA108" s="28" t="n">
        <f aca="false">IFERROR(INDEX(Assessments!$H$2:$H$600,MATCH($H108&amp;"|"&amp;$I108&amp;"|"&amp;$J108&amp;"|"&amp;7,Assessments!$A$2:$A$600,0)),"")</f>
        <v>52</v>
      </c>
      <c r="CB108" s="28" t="str">
        <f aca="false">IFERROR(INDEX(Assessments!$H$2:$H$600,MATCH($H108&amp;"|"&amp;$I108&amp;"|"&amp;$J108&amp;"|"&amp;8,Assessments!$A$2:$A$600,0)),"")</f>
        <v/>
      </c>
      <c r="CC108" s="28" t="str">
        <f aca="false">IFERROR(INDEX(Assessments!$H$2:$H$600,MATCH($H108&amp;"|"&amp;$I108&amp;"|"&amp;$J108&amp;"|"&amp;9,Assessments!$A$2:$A$600,0)),"")</f>
        <v/>
      </c>
      <c r="CD108" s="28" t="str">
        <f aca="false">IFERROR(INDEX(Assessments!$H$2:$H$600,MATCH($H108&amp;"|"&amp;$I108&amp;"|"&amp;$J108&amp;"|"&amp;10,Assessments!$A$2:$A$600,0)),"")</f>
        <v/>
      </c>
      <c r="CE108" s="28" t="str">
        <f aca="false">IFERROR(INDEX(Assessments!$H$2:$H$600,MATCH($H108&amp;"|"&amp;$I108&amp;"|"&amp;$J108&amp;"|"&amp;11,Assessments!$A$2:$A$600,0)),"")</f>
        <v/>
      </c>
      <c r="CF108" s="28" t="str">
        <f aca="false">IFERROR(INDEX(Assessments!$H$2:$H$600,MATCH($H108&amp;"|"&amp;$I108&amp;"|"&amp;$J108&amp;"|"&amp;12,Assessments!$A$2:$A$600,0)),"")</f>
        <v/>
      </c>
      <c r="CG108" s="28" t="str">
        <f aca="false">IFERROR(INDEX(Assessments!$H$2:$H$600,MATCH($H108&amp;"|"&amp;$I108&amp;"|"&amp;$J108&amp;"|"&amp;13,Assessments!$A$2:$A$600,0)),"")</f>
        <v/>
      </c>
      <c r="CH108" s="28" t="str">
        <f aca="false">IFERROR(INDEX(Assessments!$H$2:$H$600,MATCH($H108&amp;"|"&amp;$I108&amp;"|"&amp;$J108&amp;"|"&amp;14,Assessments!$A$2:$A$600,0)),"")</f>
        <v/>
      </c>
      <c r="CI108" s="28" t="str">
        <f aca="false">IFERROR(INDEX(Assessments!$I$2:$I$600,MATCH($H108&amp;"|"&amp;$I108&amp;"|"&amp;$J108&amp;"|"&amp;1,Assessments!$A$2:$A$600,0)),"")</f>
        <v>Econ Test</v>
      </c>
      <c r="CJ108" s="28" t="str">
        <f aca="false">IFERROR(INDEX(Assessments!$I$2:$I$600,MATCH($H108&amp;"|"&amp;$I108&amp;"|"&amp;$J108&amp;"|"&amp;2,Assessments!$A$2:$A$600,0)),"")</f>
        <v>Econ Test</v>
      </c>
      <c r="CK108" s="28" t="str">
        <f aca="false">IFERROR(INDEX(Assessments!$I$2:$I$600,MATCH($H108&amp;"|"&amp;$I108&amp;"|"&amp;$J108&amp;"|"&amp;3,Assessments!$A$2:$A$600,0)),"")</f>
        <v>Econ Test</v>
      </c>
      <c r="CL108" s="28" t="str">
        <f aca="false">IFERROR(INDEX(Assessments!$I$2:$I$600,MATCH($H108&amp;"|"&amp;$I108&amp;"|"&amp;$J108&amp;"|"&amp;4,Assessments!$A$2:$A$600,0)),"")</f>
        <v>Econ Test</v>
      </c>
      <c r="CM108" s="28" t="str">
        <f aca="false">IFERROR(INDEX(Assessments!$I$2:$I$600,MATCH($H108&amp;"|"&amp;$I108&amp;"|"&amp;$J108&amp;"|"&amp;5,Assessments!$A$2:$A$600,0)),"")</f>
        <v>Econ Exam</v>
      </c>
      <c r="CN108" s="28" t="str">
        <f aca="false">IFERROR(INDEX(Assessments!$I$2:$I$600,MATCH($H108&amp;"|"&amp;$I108&amp;"|"&amp;$J108&amp;"|"&amp;6,Assessments!$A$2:$A$600,0)),"")</f>
        <v>Econ Test</v>
      </c>
      <c r="CO108" s="28" t="str">
        <f aca="false">IFERROR(INDEX(Assessments!$I$2:$I$600,MATCH($H108&amp;"|"&amp;$I108&amp;"|"&amp;$J108&amp;"|"&amp;7,Assessments!$A$2:$A$600,0)),"")</f>
        <v>Econ Exam</v>
      </c>
      <c r="CP108" s="28" t="str">
        <f aca="false">IFERROR(INDEX(Assessments!$I$2:$I$600,MATCH($H108&amp;"|"&amp;$I108&amp;"|"&amp;$J108&amp;"|"&amp;8,Assessments!$A$2:$A$600,0)),"")</f>
        <v/>
      </c>
      <c r="CQ108" s="28" t="str">
        <f aca="false">IFERROR(INDEX(Assessments!$I$2:$I$600,MATCH($H108&amp;"|"&amp;$I108&amp;"|"&amp;$J108&amp;"|"&amp;9,Assessments!$A$2:$A$600,0)),"")</f>
        <v/>
      </c>
      <c r="CR108" s="28" t="str">
        <f aca="false">IFERROR(INDEX(Assessments!$I$2:$I$600,MATCH($H108&amp;"|"&amp;$I108&amp;"|"&amp;$J108&amp;"|"&amp;10,Assessments!$A$2:$A$600,0)),"")</f>
        <v/>
      </c>
      <c r="CS108" s="28" t="str">
        <f aca="false">IFERROR(INDEX(Assessments!$I$2:$I$600,MATCH($H108&amp;"|"&amp;$I108&amp;"|"&amp;$J108&amp;"|"&amp;11,Assessments!$A$2:$A$600,0)),"")</f>
        <v/>
      </c>
      <c r="CT108" s="28" t="str">
        <f aca="false">IFERROR(INDEX(Assessments!$I$2:$I$600,MATCH($H108&amp;"|"&amp;$I108&amp;"|"&amp;$J108&amp;"|"&amp;12,Assessments!$A$2:$A$600,0)),"")</f>
        <v/>
      </c>
      <c r="CU108" s="28" t="str">
        <f aca="false">IFERROR(INDEX(Assessments!$I$2:$I$600,MATCH($H108&amp;"|"&amp;$I108&amp;"|"&amp;$J108&amp;"|"&amp;13,Assessments!$A$2:$A$600,0)),"")</f>
        <v/>
      </c>
      <c r="CV108" s="28" t="str">
        <f aca="false">IFERROR(INDEX(Assessments!$I$2:$I$600,MATCH($H108&amp;"|"&amp;$I108&amp;"|"&amp;$J108&amp;"|"&amp;14,Assessments!$A$2:$A$600,0)),"")</f>
        <v/>
      </c>
      <c r="CW108" s="28" t="n">
        <f aca="false">IFERROR(INDEX(Assessments!$J$2:$J$600,MATCH($H108&amp;"|"&amp;$I108&amp;"|"&amp;$J108&amp;"|"&amp;1,Assessments!$A$2:$A$600,0)),0)</f>
        <v>1</v>
      </c>
      <c r="CX108" s="28" t="n">
        <f aca="false">IFERROR(INDEX(Assessments!$J$2:$J$600,MATCH($H108&amp;"|"&amp;$I108&amp;"|"&amp;$J108&amp;"|"&amp;2,Assessments!$A$2:$A$600,0)),0)</f>
        <v>1</v>
      </c>
      <c r="CY108" s="28" t="n">
        <f aca="false">IFERROR(INDEX(Assessments!$J$2:$J$600,MATCH($H108&amp;"|"&amp;$I108&amp;"|"&amp;$J108&amp;"|"&amp;3,Assessments!$A$2:$A$600,0)),0)</f>
        <v>1</v>
      </c>
      <c r="CZ108" s="28" t="n">
        <f aca="false">IFERROR(INDEX(Assessments!$J$2:$J$600,MATCH($H108&amp;"|"&amp;$I108&amp;"|"&amp;$J108&amp;"|"&amp;4,Assessments!$A$2:$A$600,0)),0)</f>
        <v>1</v>
      </c>
      <c r="DA108" s="28" t="n">
        <f aca="false">IFERROR(INDEX(Assessments!$J$2:$J$600,MATCH($H108&amp;"|"&amp;$I108&amp;"|"&amp;$J108&amp;"|"&amp;5,Assessments!$A$2:$A$600,0)),0)</f>
        <v>2</v>
      </c>
      <c r="DB108" s="28" t="n">
        <f aca="false">IFERROR(INDEX(Assessments!$J$2:$J$600,MATCH($H108&amp;"|"&amp;$I108&amp;"|"&amp;$J108&amp;"|"&amp;6,Assessments!$A$2:$A$600,0)),0)</f>
        <v>1</v>
      </c>
      <c r="DC108" s="28" t="n">
        <f aca="false">IFERROR(INDEX(Assessments!$J$2:$J$600,MATCH($H108&amp;"|"&amp;$I108&amp;"|"&amp;$J108&amp;"|"&amp;7,Assessments!$A$2:$A$600,0)),0)</f>
        <v>2</v>
      </c>
      <c r="DD108" s="28" t="n">
        <f aca="false">IFERROR(INDEX(Assessments!$J$2:$J$600,MATCH($H108&amp;"|"&amp;$I108&amp;"|"&amp;$J108&amp;"|"&amp;8,Assessments!$A$2:$A$600,0)),0)</f>
        <v>0</v>
      </c>
      <c r="DE108" s="28" t="n">
        <f aca="false">IFERROR(INDEX(Assessments!$J$2:$J$600,MATCH($H108&amp;"|"&amp;$I108&amp;"|"&amp;$J108&amp;"|"&amp;9,Assessments!$A$2:$A$600,0)),0)</f>
        <v>0</v>
      </c>
      <c r="DF108" s="28" t="n">
        <f aca="false">IFERROR(INDEX(Assessments!$J$2:$J$600,MATCH($H108&amp;"|"&amp;$I108&amp;"|"&amp;$J108&amp;"|"&amp;10,Assessments!$A$2:$A$600,0)),0)</f>
        <v>0</v>
      </c>
      <c r="DG108" s="28" t="n">
        <f aca="false">IFERROR(INDEX(Assessments!$J$2:$J$600,MATCH($H108&amp;"|"&amp;$I108&amp;"|"&amp;$J108&amp;"|"&amp;11,Assessments!$A$2:$A$600,0)),0)</f>
        <v>0</v>
      </c>
      <c r="DH108" s="28" t="n">
        <f aca="false">IFERROR(INDEX(Assessments!$J$2:$J$600,MATCH($H108&amp;"|"&amp;$I108&amp;"|"&amp;$J108&amp;"|"&amp;12,Assessments!$A$2:$A$600,0)),0)</f>
        <v>0</v>
      </c>
      <c r="DI108" s="28" t="n">
        <f aca="false">IFERROR(INDEX(Assessments!$J$2:$J$600,MATCH($H108&amp;"|"&amp;$I108&amp;"|"&amp;$J108&amp;"|"&amp;13,Assessments!$A$2:$A$600,0)),0)</f>
        <v>0</v>
      </c>
      <c r="DJ108" s="28" t="n">
        <f aca="false">IFERROR(INDEX(Assessments!$J$2:$J$600,MATCH($H108&amp;"|"&amp;$I108&amp;"|"&amp;$J108&amp;"|"&amp;14,Assessments!$A$2:$A$600,0)),0)</f>
        <v>0</v>
      </c>
      <c r="DK108" s="28" t="n">
        <f aca="false">S108</f>
        <v>6</v>
      </c>
      <c r="DL108" s="28" t="n">
        <f aca="false">W108</f>
        <v>7</v>
      </c>
      <c r="DM108" s="28" t="n">
        <f aca="false">AA108</f>
        <v>6</v>
      </c>
      <c r="DN108" s="28" t="n">
        <f aca="false">AE108</f>
        <v>7</v>
      </c>
      <c r="DO108" s="28" t="n">
        <f aca="false">AI108</f>
        <v>7</v>
      </c>
      <c r="DP108" s="28" t="str">
        <f aca="false">AM108</f>
        <v/>
      </c>
      <c r="DQ108" s="28" t="str">
        <f aca="false">AQ108</f>
        <v/>
      </c>
      <c r="DR108" s="28" t="str">
        <f aca="false">AU108</f>
        <v/>
      </c>
      <c r="DS108" s="28" t="str">
        <f aca="false">AY108</f>
        <v/>
      </c>
      <c r="DT108" s="28" t="str">
        <f aca="false">BC108</f>
        <v/>
      </c>
      <c r="DU108" s="28" t="str">
        <f aca="false">BG108</f>
        <v/>
      </c>
      <c r="DV108" s="28" t="str">
        <f aca="false">BK108</f>
        <v/>
      </c>
      <c r="DW108" s="28" t="str">
        <f aca="false">BO108</f>
        <v/>
      </c>
      <c r="DX108" s="28" t="str">
        <f aca="false">BS108</f>
        <v/>
      </c>
      <c r="DY108" s="28" t="n">
        <f aca="false">IF(ISNUMBER(S108),1,"")</f>
        <v>1</v>
      </c>
      <c r="DZ108" s="28" t="n">
        <f aca="false">IF(ISNUMBER(W108),2,"")</f>
        <v>2</v>
      </c>
      <c r="EA108" s="28" t="n">
        <f aca="false">IF(ISNUMBER(AA108),3,"")</f>
        <v>3</v>
      </c>
      <c r="EB108" s="28" t="n">
        <f aca="false">IF(ISNUMBER(AE108),4,"")</f>
        <v>4</v>
      </c>
      <c r="EC108" s="28" t="n">
        <f aca="false">IF(ISNUMBER(AI108),5,"")</f>
        <v>5</v>
      </c>
      <c r="ED108" s="28" t="str">
        <f aca="false">IF(ISNUMBER(AM108),6,"")</f>
        <v/>
      </c>
      <c r="EE108" s="28" t="str">
        <f aca="false">IF(ISNUMBER(AQ108),7,"")</f>
        <v/>
      </c>
      <c r="EF108" s="28" t="str">
        <f aca="false">IF(ISNUMBER(AU108),8,"")</f>
        <v/>
      </c>
      <c r="EG108" s="28" t="str">
        <f aca="false">IF(ISNUMBER(AY108),9,"")</f>
        <v/>
      </c>
      <c r="EH108" s="28" t="str">
        <f aca="false">IF(ISNUMBER(BC108),10,"")</f>
        <v/>
      </c>
      <c r="EI108" s="28" t="str">
        <f aca="false">IF(ISNUMBER(BG108),11,"")</f>
        <v/>
      </c>
      <c r="EJ108" s="28" t="str">
        <f aca="false">IF(ISNUMBER(BK108),12,"")</f>
        <v/>
      </c>
      <c r="EK108" s="28" t="str">
        <f aca="false">IF(ISNUMBER(BO108),13,"")</f>
        <v/>
      </c>
      <c r="EL108" s="28" t="str">
        <f aca="false">IF(ISNUMBER(BS108),14,"")</f>
        <v/>
      </c>
      <c r="EM108" s="28" t="n">
        <f aca="false">IF(ISNUMBER(R108),R108*CW108,0)</f>
        <v>80</v>
      </c>
      <c r="EN108" s="28" t="n">
        <f aca="false">IF(ISNUMBER(V108),V108*CX108,0)</f>
        <v>90</v>
      </c>
      <c r="EO108" s="28" t="n">
        <f aca="false">IF(ISNUMBER(Z108),Z108*CY108,0)</f>
        <v>80</v>
      </c>
      <c r="EP108" s="28" t="n">
        <f aca="false">IF(ISNUMBER(AD108),AD108*CZ108,0)</f>
        <v>86.9565217391304</v>
      </c>
      <c r="EQ108" s="28" t="n">
        <f aca="false">IF(ISNUMBER(AH108),AH108*DA108,0)</f>
        <v>168</v>
      </c>
      <c r="ER108" s="28" t="n">
        <f aca="false">IF(ISNUMBER(AL108),AL108*DB108,0)</f>
        <v>0</v>
      </c>
      <c r="ES108" s="28" t="n">
        <f aca="false">IF(ISNUMBER(AP108),AP108*DC108,0)</f>
        <v>0</v>
      </c>
      <c r="ET108" s="28" t="n">
        <f aca="false">IF(ISNUMBER(AT108),AT108*DD108,0)</f>
        <v>0</v>
      </c>
      <c r="EU108" s="28" t="n">
        <f aca="false">IF(ISNUMBER(AX108),AX108*DE108,0)</f>
        <v>0</v>
      </c>
      <c r="EV108" s="28" t="n">
        <f aca="false">IF(ISNUMBER(BB108),BB108*DF108,0)</f>
        <v>0</v>
      </c>
      <c r="EW108" s="28" t="n">
        <f aca="false">IF(ISNUMBER(BF108),BF108*DG108,0)</f>
        <v>0</v>
      </c>
      <c r="EX108" s="28" t="n">
        <f aca="false">IF(ISNUMBER(BJ108),BJ108*DH108,0)</f>
        <v>0</v>
      </c>
      <c r="EY108" s="28" t="n">
        <f aca="false">IF(ISNUMBER(BN108),BN108*DI108,0)</f>
        <v>0</v>
      </c>
      <c r="EZ108" s="28" t="n">
        <f aca="false">IF(ISNUMBER(BR108),BR108*DJ108,0)</f>
        <v>0</v>
      </c>
      <c r="FA108" s="28" t="n">
        <f aca="false">IF(ISNUMBER(R108),CW108,0)</f>
        <v>1</v>
      </c>
      <c r="FB108" s="28" t="n">
        <f aca="false">IF(ISNUMBER(V108),CX108,0)</f>
        <v>1</v>
      </c>
      <c r="FC108" s="28" t="n">
        <f aca="false">IF(ISNUMBER(Z108),CY108,0)</f>
        <v>1</v>
      </c>
      <c r="FD108" s="28" t="n">
        <f aca="false">IF(ISNUMBER(AD108),CZ108,0)</f>
        <v>1</v>
      </c>
      <c r="FE108" s="28" t="n">
        <f aca="false">IF(ISNUMBER(AH108),DA108,0)</f>
        <v>2</v>
      </c>
      <c r="FF108" s="28" t="n">
        <f aca="false">IF(ISNUMBER(AL108),DB108,0)</f>
        <v>0</v>
      </c>
      <c r="FG108" s="28" t="n">
        <f aca="false">IF(ISNUMBER(AP108),DC108,0)</f>
        <v>0</v>
      </c>
      <c r="FH108" s="28" t="n">
        <f aca="false">IF(ISNUMBER(AT108),DD108,0)</f>
        <v>0</v>
      </c>
      <c r="FI108" s="28" t="n">
        <f aca="false">IF(ISNUMBER(AX108),DE108,0)</f>
        <v>0</v>
      </c>
      <c r="FJ108" s="28" t="n">
        <f aca="false">IF(ISNUMBER(BB108),DF108,0)</f>
        <v>0</v>
      </c>
      <c r="FK108" s="28" t="n">
        <f aca="false">IF(ISNUMBER(BF108),DG108,0)</f>
        <v>0</v>
      </c>
      <c r="FL108" s="28" t="n">
        <f aca="false">IF(ISNUMBER(BJ108),DH108,0)</f>
        <v>0</v>
      </c>
      <c r="FM108" s="28" t="n">
        <f aca="false">IF(ISNUMBER(BN108),DI108,0)</f>
        <v>0</v>
      </c>
      <c r="FN108" s="28" t="n">
        <f aca="false">IF(ISNUMBER(BR108),DJ108,0)</f>
        <v>0</v>
      </c>
      <c r="FO108" s="28" t="str">
        <f aca="false">IFERROR(INDEX(Lists!$G$2:$G$20,MATCH($I108&amp;"|"&amp;$J108,Lists!$F$2:$F$20,0)),"")</f>
        <v>Econ Exam</v>
      </c>
    </row>
    <row r="109" customFormat="false" ht="19.5" hidden="false" customHeight="true" outlineLevel="0" collapsed="false">
      <c r="A109" s="29" t="s">
        <v>336</v>
      </c>
      <c r="B109" s="29" t="s">
        <v>337</v>
      </c>
      <c r="C109" s="30" t="s">
        <v>152</v>
      </c>
      <c r="D109" s="30" t="s">
        <v>291</v>
      </c>
      <c r="E109" s="31" t="n">
        <v>5</v>
      </c>
      <c r="F109" s="30" t="n">
        <v>5</v>
      </c>
      <c r="G109" s="30"/>
      <c r="H109" s="32" t="s">
        <v>23</v>
      </c>
      <c r="I109" s="33" t="s">
        <v>229</v>
      </c>
      <c r="J109" s="32" t="s">
        <v>223</v>
      </c>
      <c r="K109" s="34" t="n">
        <f aca="false">IF(OR(M109="",$E109=""),"",M109-$E109)</f>
        <v>-1</v>
      </c>
      <c r="L109" s="35" t="n">
        <f aca="false">IF(SUM(FA109:FN109)=0,"",SUM(EM109:EZ109)/SUM(FA109:FN109))</f>
        <v>52.6449275362319</v>
      </c>
      <c r="M109" s="36" t="n">
        <f aca="false">IF(OR(L109="",FO109=""),"",IFERROR(MATCH(L109,INDEX(Boundaries!$B$2:$I$30,MATCH(FO109,Boundaries!$A$2:$A$30,0),0),1)-1,""))</f>
        <v>4</v>
      </c>
      <c r="N109" s="37" t="n">
        <f aca="false">IF(COUNT($DY109:$EL109)&lt;2,"",INDEX($DK109:$DX109,MAX($DY109:$EL109))-INDEX($DK109:$DX109,MIN($DY109:$EL109)))</f>
        <v>-1</v>
      </c>
      <c r="O109" s="37" t="n">
        <f aca="false">IF(COUNT($DY109:$EL109)&lt;2,"",INDEX($DK109:$DX109,MAX($DY109:$EL109))-INDEX($DK109:$DX109,LARGE($DY109:$EL109,2)))</f>
        <v>-1</v>
      </c>
      <c r="P109" s="38" t="str">
        <f aca="false">IF(K109="","",IF(K109&gt;=0,"On/above target",IF(AND(N109&lt;&gt;"",N109&gt;=0.5),"Improving towards target",IF(AND(O109&lt;&gt;"",O109&lt;=-0.5),"Declining","Stable below target"))))</f>
        <v>Declining</v>
      </c>
      <c r="Q109" s="39" t="n">
        <v>15</v>
      </c>
      <c r="R109" s="40" t="n">
        <f aca="false">IF(OR(Q109="",BU109=""),"",Q109/BU109*100)</f>
        <v>50</v>
      </c>
      <c r="S109" s="41" t="n">
        <f aca="false">IF(R109="","",IFERROR(MATCH(R109,INDEX(Boundaries!$B$2:$I$30,MATCH(CI109,Boundaries!$A$2:$A$30,0),0),1)-1,""))</f>
        <v>4</v>
      </c>
      <c r="T109" s="42" t="n">
        <f aca="false">IF(OR(S109="",$E109=""),"",S109-$E109)</f>
        <v>-1</v>
      </c>
      <c r="U109" s="39" t="n">
        <v>13</v>
      </c>
      <c r="V109" s="40" t="n">
        <f aca="false">IF(OR(U109="",BV109=""),"",U109/BV109*100)</f>
        <v>65</v>
      </c>
      <c r="W109" s="41" t="n">
        <f aca="false">IF(V109="","",IFERROR(MATCH(V109,INDEX(Boundaries!$B$2:$I$30,MATCH(CJ109,Boundaries!$A$2:$A$30,0),0),1)-1,""))</f>
        <v>5</v>
      </c>
      <c r="X109" s="42" t="n">
        <f aca="false">IF(OR(W109="",$E109=""),"",W109-$E109)</f>
        <v>0</v>
      </c>
      <c r="Y109" s="39" t="n">
        <v>11</v>
      </c>
      <c r="Z109" s="40" t="n">
        <f aca="false">IF(OR(Y109="",BW109=""),"",Y109/BW109*100)</f>
        <v>44</v>
      </c>
      <c r="AA109" s="41" t="n">
        <f aca="false">IF(Z109="","",IFERROR(MATCH(Z109,INDEX(Boundaries!$B$2:$I$30,MATCH(CK109,Boundaries!$A$2:$A$30,0),0),1)-1,""))</f>
        <v>3</v>
      </c>
      <c r="AB109" s="42" t="n">
        <f aca="false">IF(OR(AA109="",$E109=""),"",AA109-$E109)</f>
        <v>-2</v>
      </c>
      <c r="AC109" s="39" t="n">
        <v>14</v>
      </c>
      <c r="AD109" s="40" t="n">
        <f aca="false">IF(OR(AC109="",BX109=""),"",AC109/BX109*100)</f>
        <v>60.8695652173913</v>
      </c>
      <c r="AE109" s="41" t="n">
        <f aca="false">IF(AD109="","",IFERROR(MATCH(AD109,INDEX(Boundaries!$B$2:$I$30,MATCH(CL109,Boundaries!$A$2:$A$30,0),0),1)-1,""))</f>
        <v>4</v>
      </c>
      <c r="AF109" s="42" t="n">
        <f aca="false">IF(OR(AE109="",$E109=""),"",AE109-$E109)</f>
        <v>-1</v>
      </c>
      <c r="AG109" s="39" t="n">
        <v>12</v>
      </c>
      <c r="AH109" s="40" t="n">
        <f aca="false">IF(OR(AG109="",BY109=""),"",AG109/BY109*100)</f>
        <v>48</v>
      </c>
      <c r="AI109" s="41" t="n">
        <f aca="false">IF(AH109="","",IFERROR(MATCH(AH109,INDEX(Boundaries!$B$2:$I$30,MATCH(CM109,Boundaries!$A$2:$A$30,0),0),1)-1,""))</f>
        <v>3</v>
      </c>
      <c r="AJ109" s="42" t="n">
        <f aca="false">IF(OR(AI109="",$E109=""),"",AI109-$E109)</f>
        <v>-2</v>
      </c>
      <c r="AK109" s="39"/>
      <c r="AL109" s="40" t="str">
        <f aca="false">IF(OR(AK109="",BZ109=""),"",AK109/BZ109*100)</f>
        <v/>
      </c>
      <c r="AM109" s="41" t="str">
        <f aca="false">IF(AL109="","",IFERROR(MATCH(AL109,INDEX(Boundaries!$B$2:$I$30,MATCH(CN109,Boundaries!$A$2:$A$30,0),0),1)-1,""))</f>
        <v/>
      </c>
      <c r="AN109" s="42" t="str">
        <f aca="false">IF(OR(AM109="",$E109=""),"",AM109-$E109)</f>
        <v/>
      </c>
      <c r="AO109" s="39"/>
      <c r="AP109" s="40" t="str">
        <f aca="false">IF(OR(AO109="",CA109=""),"",AO109/CA109*100)</f>
        <v/>
      </c>
      <c r="AQ109" s="41" t="str">
        <f aca="false">IF(AP109="","",IFERROR(MATCH(AP109,INDEX(Boundaries!$B$2:$I$30,MATCH(CO109,Boundaries!$A$2:$A$30,0),0),1)-1,""))</f>
        <v/>
      </c>
      <c r="AR109" s="42" t="str">
        <f aca="false">IF(OR(AQ109="",$E109=""),"",AQ109-$E109)</f>
        <v/>
      </c>
      <c r="AS109" s="39"/>
      <c r="AT109" s="40" t="str">
        <f aca="false">IF(OR(AS109="",CB109=""),"",AS109/CB109*100)</f>
        <v/>
      </c>
      <c r="AU109" s="41" t="str">
        <f aca="false">IF(AT109="","",IFERROR(MATCH(AT109,INDEX(Boundaries!$B$2:$I$30,MATCH(CP109,Boundaries!$A$2:$A$30,0),0),1)-1,""))</f>
        <v/>
      </c>
      <c r="AV109" s="42" t="str">
        <f aca="false">IF(OR(AU109="",$E109=""),"",AU109-$E109)</f>
        <v/>
      </c>
      <c r="AW109" s="39"/>
      <c r="AX109" s="40" t="str">
        <f aca="false">IF(OR(AW109="",CC109=""),"",AW109/CC109*100)</f>
        <v/>
      </c>
      <c r="AY109" s="41" t="str">
        <f aca="false">IF(AX109="","",IFERROR(MATCH(AX109,INDEX(Boundaries!$B$2:$I$30,MATCH(CQ109,Boundaries!$A$2:$A$30,0),0),1)-1,""))</f>
        <v/>
      </c>
      <c r="AZ109" s="42" t="str">
        <f aca="false">IF(OR(AY109="",$E109=""),"",AY109-$E109)</f>
        <v/>
      </c>
      <c r="BA109" s="39"/>
      <c r="BB109" s="40" t="str">
        <f aca="false">IF(OR(BA109="",CD109=""),"",BA109/CD109*100)</f>
        <v/>
      </c>
      <c r="BC109" s="41" t="str">
        <f aca="false">IF(BB109="","",IFERROR(MATCH(BB109,INDEX(Boundaries!$B$2:$I$30,MATCH(CR109,Boundaries!$A$2:$A$30,0),0),1)-1,""))</f>
        <v/>
      </c>
      <c r="BD109" s="42" t="str">
        <f aca="false">IF(OR(BC109="",$E109=""),"",BC109-$E109)</f>
        <v/>
      </c>
      <c r="BE109" s="39"/>
      <c r="BF109" s="40" t="str">
        <f aca="false">IF(OR(BE109="",CE109=""),"",BE109/CE109*100)</f>
        <v/>
      </c>
      <c r="BG109" s="41" t="str">
        <f aca="false">IF(BF109="","",IFERROR(MATCH(BF109,INDEX(Boundaries!$B$2:$I$30,MATCH(CS109,Boundaries!$A$2:$A$30,0),0),1)-1,""))</f>
        <v/>
      </c>
      <c r="BH109" s="42" t="str">
        <f aca="false">IF(OR(BG109="",$E109=""),"",BG109-$E109)</f>
        <v/>
      </c>
      <c r="BI109" s="39"/>
      <c r="BJ109" s="40" t="str">
        <f aca="false">IF(OR(BI109="",CF109=""),"",BI109/CF109*100)</f>
        <v/>
      </c>
      <c r="BK109" s="41" t="str">
        <f aca="false">IF(BJ109="","",IFERROR(MATCH(BJ109,INDEX(Boundaries!$B$2:$I$30,MATCH(CT109,Boundaries!$A$2:$A$30,0),0),1)-1,""))</f>
        <v/>
      </c>
      <c r="BL109" s="42" t="str">
        <f aca="false">IF(OR(BK109="",$E109=""),"",BK109-$E109)</f>
        <v/>
      </c>
      <c r="BM109" s="39"/>
      <c r="BN109" s="40" t="str">
        <f aca="false">IF(OR(BM109="",CG109=""),"",BM109/CG109*100)</f>
        <v/>
      </c>
      <c r="BO109" s="41" t="str">
        <f aca="false">IF(BN109="","",IFERROR(MATCH(BN109,INDEX(Boundaries!$B$2:$I$30,MATCH(CU109,Boundaries!$A$2:$A$30,0),0),1)-1,""))</f>
        <v/>
      </c>
      <c r="BP109" s="42" t="str">
        <f aca="false">IF(OR(BO109="",$E109=""),"",BO109-$E109)</f>
        <v/>
      </c>
      <c r="BQ109" s="39"/>
      <c r="BR109" s="40" t="str">
        <f aca="false">IF(OR(BQ109="",CH109=""),"",BQ109/CH109*100)</f>
        <v/>
      </c>
      <c r="BS109" s="41" t="str">
        <f aca="false">IF(BR109="","",IFERROR(MATCH(BR109,INDEX(Boundaries!$B$2:$I$30,MATCH(CV109,Boundaries!$A$2:$A$30,0),0),1)-1,""))</f>
        <v/>
      </c>
      <c r="BT109" s="42" t="str">
        <f aca="false">IF(OR(BS109="",$E109=""),"",BS109-$E109)</f>
        <v/>
      </c>
      <c r="BU109" s="28" t="n">
        <f aca="false">IFERROR(INDEX(Assessments!$H$2:$H$600,MATCH($H109&amp;"|"&amp;$I109&amp;"|"&amp;$J109&amp;"|"&amp;1,Assessments!$A$2:$A$600,0)),"")</f>
        <v>30</v>
      </c>
      <c r="BV109" s="28" t="n">
        <f aca="false">IFERROR(INDEX(Assessments!$H$2:$H$600,MATCH($H109&amp;"|"&amp;$I109&amp;"|"&amp;$J109&amp;"|"&amp;2,Assessments!$A$2:$A$600,0)),"")</f>
        <v>20</v>
      </c>
      <c r="BW109" s="28" t="n">
        <f aca="false">IFERROR(INDEX(Assessments!$H$2:$H$600,MATCH($H109&amp;"|"&amp;$I109&amp;"|"&amp;$J109&amp;"|"&amp;3,Assessments!$A$2:$A$600,0)),"")</f>
        <v>25</v>
      </c>
      <c r="BX109" s="28" t="n">
        <f aca="false">IFERROR(INDEX(Assessments!$H$2:$H$600,MATCH($H109&amp;"|"&amp;$I109&amp;"|"&amp;$J109&amp;"|"&amp;4,Assessments!$A$2:$A$600,0)),"")</f>
        <v>23</v>
      </c>
      <c r="BY109" s="28" t="n">
        <f aca="false">IFERROR(INDEX(Assessments!$H$2:$H$600,MATCH($H109&amp;"|"&amp;$I109&amp;"|"&amp;$J109&amp;"|"&amp;5,Assessments!$A$2:$A$600,0)),"")</f>
        <v>25</v>
      </c>
      <c r="BZ109" s="28" t="n">
        <f aca="false">IFERROR(INDEX(Assessments!$H$2:$H$600,MATCH($H109&amp;"|"&amp;$I109&amp;"|"&amp;$J109&amp;"|"&amp;6,Assessments!$A$2:$A$600,0)),"")</f>
        <v>15</v>
      </c>
      <c r="CA109" s="28" t="n">
        <f aca="false">IFERROR(INDEX(Assessments!$H$2:$H$600,MATCH($H109&amp;"|"&amp;$I109&amp;"|"&amp;$J109&amp;"|"&amp;7,Assessments!$A$2:$A$600,0)),"")</f>
        <v>52</v>
      </c>
      <c r="CB109" s="28" t="str">
        <f aca="false">IFERROR(INDEX(Assessments!$H$2:$H$600,MATCH($H109&amp;"|"&amp;$I109&amp;"|"&amp;$J109&amp;"|"&amp;8,Assessments!$A$2:$A$600,0)),"")</f>
        <v/>
      </c>
      <c r="CC109" s="28" t="str">
        <f aca="false">IFERROR(INDEX(Assessments!$H$2:$H$600,MATCH($H109&amp;"|"&amp;$I109&amp;"|"&amp;$J109&amp;"|"&amp;9,Assessments!$A$2:$A$600,0)),"")</f>
        <v/>
      </c>
      <c r="CD109" s="28" t="str">
        <f aca="false">IFERROR(INDEX(Assessments!$H$2:$H$600,MATCH($H109&amp;"|"&amp;$I109&amp;"|"&amp;$J109&amp;"|"&amp;10,Assessments!$A$2:$A$600,0)),"")</f>
        <v/>
      </c>
      <c r="CE109" s="28" t="str">
        <f aca="false">IFERROR(INDEX(Assessments!$H$2:$H$600,MATCH($H109&amp;"|"&amp;$I109&amp;"|"&amp;$J109&amp;"|"&amp;11,Assessments!$A$2:$A$600,0)),"")</f>
        <v/>
      </c>
      <c r="CF109" s="28" t="str">
        <f aca="false">IFERROR(INDEX(Assessments!$H$2:$H$600,MATCH($H109&amp;"|"&amp;$I109&amp;"|"&amp;$J109&amp;"|"&amp;12,Assessments!$A$2:$A$600,0)),"")</f>
        <v/>
      </c>
      <c r="CG109" s="28" t="str">
        <f aca="false">IFERROR(INDEX(Assessments!$H$2:$H$600,MATCH($H109&amp;"|"&amp;$I109&amp;"|"&amp;$J109&amp;"|"&amp;13,Assessments!$A$2:$A$600,0)),"")</f>
        <v/>
      </c>
      <c r="CH109" s="28" t="str">
        <f aca="false">IFERROR(INDEX(Assessments!$H$2:$H$600,MATCH($H109&amp;"|"&amp;$I109&amp;"|"&amp;$J109&amp;"|"&amp;14,Assessments!$A$2:$A$600,0)),"")</f>
        <v/>
      </c>
      <c r="CI109" s="28" t="str">
        <f aca="false">IFERROR(INDEX(Assessments!$I$2:$I$600,MATCH($H109&amp;"|"&amp;$I109&amp;"|"&amp;$J109&amp;"|"&amp;1,Assessments!$A$2:$A$600,0)),"")</f>
        <v>Econ Test</v>
      </c>
      <c r="CJ109" s="28" t="str">
        <f aca="false">IFERROR(INDEX(Assessments!$I$2:$I$600,MATCH($H109&amp;"|"&amp;$I109&amp;"|"&amp;$J109&amp;"|"&amp;2,Assessments!$A$2:$A$600,0)),"")</f>
        <v>Econ Test</v>
      </c>
      <c r="CK109" s="28" t="str">
        <f aca="false">IFERROR(INDEX(Assessments!$I$2:$I$600,MATCH($H109&amp;"|"&amp;$I109&amp;"|"&amp;$J109&amp;"|"&amp;3,Assessments!$A$2:$A$600,0)),"")</f>
        <v>Econ Test</v>
      </c>
      <c r="CL109" s="28" t="str">
        <f aca="false">IFERROR(INDEX(Assessments!$I$2:$I$600,MATCH($H109&amp;"|"&amp;$I109&amp;"|"&amp;$J109&amp;"|"&amp;4,Assessments!$A$2:$A$600,0)),"")</f>
        <v>Econ Test</v>
      </c>
      <c r="CM109" s="28" t="str">
        <f aca="false">IFERROR(INDEX(Assessments!$I$2:$I$600,MATCH($H109&amp;"|"&amp;$I109&amp;"|"&amp;$J109&amp;"|"&amp;5,Assessments!$A$2:$A$600,0)),"")</f>
        <v>Econ Exam</v>
      </c>
      <c r="CN109" s="28" t="str">
        <f aca="false">IFERROR(INDEX(Assessments!$I$2:$I$600,MATCH($H109&amp;"|"&amp;$I109&amp;"|"&amp;$J109&amp;"|"&amp;6,Assessments!$A$2:$A$600,0)),"")</f>
        <v>Econ Test</v>
      </c>
      <c r="CO109" s="28" t="str">
        <f aca="false">IFERROR(INDEX(Assessments!$I$2:$I$600,MATCH($H109&amp;"|"&amp;$I109&amp;"|"&amp;$J109&amp;"|"&amp;7,Assessments!$A$2:$A$600,0)),"")</f>
        <v>Econ Exam</v>
      </c>
      <c r="CP109" s="28" t="str">
        <f aca="false">IFERROR(INDEX(Assessments!$I$2:$I$600,MATCH($H109&amp;"|"&amp;$I109&amp;"|"&amp;$J109&amp;"|"&amp;8,Assessments!$A$2:$A$600,0)),"")</f>
        <v/>
      </c>
      <c r="CQ109" s="28" t="str">
        <f aca="false">IFERROR(INDEX(Assessments!$I$2:$I$600,MATCH($H109&amp;"|"&amp;$I109&amp;"|"&amp;$J109&amp;"|"&amp;9,Assessments!$A$2:$A$600,0)),"")</f>
        <v/>
      </c>
      <c r="CR109" s="28" t="str">
        <f aca="false">IFERROR(INDEX(Assessments!$I$2:$I$600,MATCH($H109&amp;"|"&amp;$I109&amp;"|"&amp;$J109&amp;"|"&amp;10,Assessments!$A$2:$A$600,0)),"")</f>
        <v/>
      </c>
      <c r="CS109" s="28" t="str">
        <f aca="false">IFERROR(INDEX(Assessments!$I$2:$I$600,MATCH($H109&amp;"|"&amp;$I109&amp;"|"&amp;$J109&amp;"|"&amp;11,Assessments!$A$2:$A$600,0)),"")</f>
        <v/>
      </c>
      <c r="CT109" s="28" t="str">
        <f aca="false">IFERROR(INDEX(Assessments!$I$2:$I$600,MATCH($H109&amp;"|"&amp;$I109&amp;"|"&amp;$J109&amp;"|"&amp;12,Assessments!$A$2:$A$600,0)),"")</f>
        <v/>
      </c>
      <c r="CU109" s="28" t="str">
        <f aca="false">IFERROR(INDEX(Assessments!$I$2:$I$600,MATCH($H109&amp;"|"&amp;$I109&amp;"|"&amp;$J109&amp;"|"&amp;13,Assessments!$A$2:$A$600,0)),"")</f>
        <v/>
      </c>
      <c r="CV109" s="28" t="str">
        <f aca="false">IFERROR(INDEX(Assessments!$I$2:$I$600,MATCH($H109&amp;"|"&amp;$I109&amp;"|"&amp;$J109&amp;"|"&amp;14,Assessments!$A$2:$A$600,0)),"")</f>
        <v/>
      </c>
      <c r="CW109" s="28" t="n">
        <f aca="false">IFERROR(INDEX(Assessments!$J$2:$J$600,MATCH($H109&amp;"|"&amp;$I109&amp;"|"&amp;$J109&amp;"|"&amp;1,Assessments!$A$2:$A$600,0)),0)</f>
        <v>1</v>
      </c>
      <c r="CX109" s="28" t="n">
        <f aca="false">IFERROR(INDEX(Assessments!$J$2:$J$600,MATCH($H109&amp;"|"&amp;$I109&amp;"|"&amp;$J109&amp;"|"&amp;2,Assessments!$A$2:$A$600,0)),0)</f>
        <v>1</v>
      </c>
      <c r="CY109" s="28" t="n">
        <f aca="false">IFERROR(INDEX(Assessments!$J$2:$J$600,MATCH($H109&amp;"|"&amp;$I109&amp;"|"&amp;$J109&amp;"|"&amp;3,Assessments!$A$2:$A$600,0)),0)</f>
        <v>1</v>
      </c>
      <c r="CZ109" s="28" t="n">
        <f aca="false">IFERROR(INDEX(Assessments!$J$2:$J$600,MATCH($H109&amp;"|"&amp;$I109&amp;"|"&amp;$J109&amp;"|"&amp;4,Assessments!$A$2:$A$600,0)),0)</f>
        <v>1</v>
      </c>
      <c r="DA109" s="28" t="n">
        <f aca="false">IFERROR(INDEX(Assessments!$J$2:$J$600,MATCH($H109&amp;"|"&amp;$I109&amp;"|"&amp;$J109&amp;"|"&amp;5,Assessments!$A$2:$A$600,0)),0)</f>
        <v>2</v>
      </c>
      <c r="DB109" s="28" t="n">
        <f aca="false">IFERROR(INDEX(Assessments!$J$2:$J$600,MATCH($H109&amp;"|"&amp;$I109&amp;"|"&amp;$J109&amp;"|"&amp;6,Assessments!$A$2:$A$600,0)),0)</f>
        <v>1</v>
      </c>
      <c r="DC109" s="28" t="n">
        <f aca="false">IFERROR(INDEX(Assessments!$J$2:$J$600,MATCH($H109&amp;"|"&amp;$I109&amp;"|"&amp;$J109&amp;"|"&amp;7,Assessments!$A$2:$A$600,0)),0)</f>
        <v>2</v>
      </c>
      <c r="DD109" s="28" t="n">
        <f aca="false">IFERROR(INDEX(Assessments!$J$2:$J$600,MATCH($H109&amp;"|"&amp;$I109&amp;"|"&amp;$J109&amp;"|"&amp;8,Assessments!$A$2:$A$600,0)),0)</f>
        <v>0</v>
      </c>
      <c r="DE109" s="28" t="n">
        <f aca="false">IFERROR(INDEX(Assessments!$J$2:$J$600,MATCH($H109&amp;"|"&amp;$I109&amp;"|"&amp;$J109&amp;"|"&amp;9,Assessments!$A$2:$A$600,0)),0)</f>
        <v>0</v>
      </c>
      <c r="DF109" s="28" t="n">
        <f aca="false">IFERROR(INDEX(Assessments!$J$2:$J$600,MATCH($H109&amp;"|"&amp;$I109&amp;"|"&amp;$J109&amp;"|"&amp;10,Assessments!$A$2:$A$600,0)),0)</f>
        <v>0</v>
      </c>
      <c r="DG109" s="28" t="n">
        <f aca="false">IFERROR(INDEX(Assessments!$J$2:$J$600,MATCH($H109&amp;"|"&amp;$I109&amp;"|"&amp;$J109&amp;"|"&amp;11,Assessments!$A$2:$A$600,0)),0)</f>
        <v>0</v>
      </c>
      <c r="DH109" s="28" t="n">
        <f aca="false">IFERROR(INDEX(Assessments!$J$2:$J$600,MATCH($H109&amp;"|"&amp;$I109&amp;"|"&amp;$J109&amp;"|"&amp;12,Assessments!$A$2:$A$600,0)),0)</f>
        <v>0</v>
      </c>
      <c r="DI109" s="28" t="n">
        <f aca="false">IFERROR(INDEX(Assessments!$J$2:$J$600,MATCH($H109&amp;"|"&amp;$I109&amp;"|"&amp;$J109&amp;"|"&amp;13,Assessments!$A$2:$A$600,0)),0)</f>
        <v>0</v>
      </c>
      <c r="DJ109" s="28" t="n">
        <f aca="false">IFERROR(INDEX(Assessments!$J$2:$J$600,MATCH($H109&amp;"|"&amp;$I109&amp;"|"&amp;$J109&amp;"|"&amp;14,Assessments!$A$2:$A$600,0)),0)</f>
        <v>0</v>
      </c>
      <c r="DK109" s="28" t="n">
        <f aca="false">S109</f>
        <v>4</v>
      </c>
      <c r="DL109" s="28" t="n">
        <f aca="false">W109</f>
        <v>5</v>
      </c>
      <c r="DM109" s="28" t="n">
        <f aca="false">AA109</f>
        <v>3</v>
      </c>
      <c r="DN109" s="28" t="n">
        <f aca="false">AE109</f>
        <v>4</v>
      </c>
      <c r="DO109" s="28" t="n">
        <f aca="false">AI109</f>
        <v>3</v>
      </c>
      <c r="DP109" s="28" t="str">
        <f aca="false">AM109</f>
        <v/>
      </c>
      <c r="DQ109" s="28" t="str">
        <f aca="false">AQ109</f>
        <v/>
      </c>
      <c r="DR109" s="28" t="str">
        <f aca="false">AU109</f>
        <v/>
      </c>
      <c r="DS109" s="28" t="str">
        <f aca="false">AY109</f>
        <v/>
      </c>
      <c r="DT109" s="28" t="str">
        <f aca="false">BC109</f>
        <v/>
      </c>
      <c r="DU109" s="28" t="str">
        <f aca="false">BG109</f>
        <v/>
      </c>
      <c r="DV109" s="28" t="str">
        <f aca="false">BK109</f>
        <v/>
      </c>
      <c r="DW109" s="28" t="str">
        <f aca="false">BO109</f>
        <v/>
      </c>
      <c r="DX109" s="28" t="str">
        <f aca="false">BS109</f>
        <v/>
      </c>
      <c r="DY109" s="28" t="n">
        <f aca="false">IF(ISNUMBER(S109),1,"")</f>
        <v>1</v>
      </c>
      <c r="DZ109" s="28" t="n">
        <f aca="false">IF(ISNUMBER(W109),2,"")</f>
        <v>2</v>
      </c>
      <c r="EA109" s="28" t="n">
        <f aca="false">IF(ISNUMBER(AA109),3,"")</f>
        <v>3</v>
      </c>
      <c r="EB109" s="28" t="n">
        <f aca="false">IF(ISNUMBER(AE109),4,"")</f>
        <v>4</v>
      </c>
      <c r="EC109" s="28" t="n">
        <f aca="false">IF(ISNUMBER(AI109),5,"")</f>
        <v>5</v>
      </c>
      <c r="ED109" s="28" t="str">
        <f aca="false">IF(ISNUMBER(AM109),6,"")</f>
        <v/>
      </c>
      <c r="EE109" s="28" t="str">
        <f aca="false">IF(ISNUMBER(AQ109),7,"")</f>
        <v/>
      </c>
      <c r="EF109" s="28" t="str">
        <f aca="false">IF(ISNUMBER(AU109),8,"")</f>
        <v/>
      </c>
      <c r="EG109" s="28" t="str">
        <f aca="false">IF(ISNUMBER(AY109),9,"")</f>
        <v/>
      </c>
      <c r="EH109" s="28" t="str">
        <f aca="false">IF(ISNUMBER(BC109),10,"")</f>
        <v/>
      </c>
      <c r="EI109" s="28" t="str">
        <f aca="false">IF(ISNUMBER(BG109),11,"")</f>
        <v/>
      </c>
      <c r="EJ109" s="28" t="str">
        <f aca="false">IF(ISNUMBER(BK109),12,"")</f>
        <v/>
      </c>
      <c r="EK109" s="28" t="str">
        <f aca="false">IF(ISNUMBER(BO109),13,"")</f>
        <v/>
      </c>
      <c r="EL109" s="28" t="str">
        <f aca="false">IF(ISNUMBER(BS109),14,"")</f>
        <v/>
      </c>
      <c r="EM109" s="28" t="n">
        <f aca="false">IF(ISNUMBER(R109),R109*CW109,0)</f>
        <v>50</v>
      </c>
      <c r="EN109" s="28" t="n">
        <f aca="false">IF(ISNUMBER(V109),V109*CX109,0)</f>
        <v>65</v>
      </c>
      <c r="EO109" s="28" t="n">
        <f aca="false">IF(ISNUMBER(Z109),Z109*CY109,0)</f>
        <v>44</v>
      </c>
      <c r="EP109" s="28" t="n">
        <f aca="false">IF(ISNUMBER(AD109),AD109*CZ109,0)</f>
        <v>60.8695652173913</v>
      </c>
      <c r="EQ109" s="28" t="n">
        <f aca="false">IF(ISNUMBER(AH109),AH109*DA109,0)</f>
        <v>96</v>
      </c>
      <c r="ER109" s="28" t="n">
        <f aca="false">IF(ISNUMBER(AL109),AL109*DB109,0)</f>
        <v>0</v>
      </c>
      <c r="ES109" s="28" t="n">
        <f aca="false">IF(ISNUMBER(AP109),AP109*DC109,0)</f>
        <v>0</v>
      </c>
      <c r="ET109" s="28" t="n">
        <f aca="false">IF(ISNUMBER(AT109),AT109*DD109,0)</f>
        <v>0</v>
      </c>
      <c r="EU109" s="28" t="n">
        <f aca="false">IF(ISNUMBER(AX109),AX109*DE109,0)</f>
        <v>0</v>
      </c>
      <c r="EV109" s="28" t="n">
        <f aca="false">IF(ISNUMBER(BB109),BB109*DF109,0)</f>
        <v>0</v>
      </c>
      <c r="EW109" s="28" t="n">
        <f aca="false">IF(ISNUMBER(BF109),BF109*DG109,0)</f>
        <v>0</v>
      </c>
      <c r="EX109" s="28" t="n">
        <f aca="false">IF(ISNUMBER(BJ109),BJ109*DH109,0)</f>
        <v>0</v>
      </c>
      <c r="EY109" s="28" t="n">
        <f aca="false">IF(ISNUMBER(BN109),BN109*DI109,0)</f>
        <v>0</v>
      </c>
      <c r="EZ109" s="28" t="n">
        <f aca="false">IF(ISNUMBER(BR109),BR109*DJ109,0)</f>
        <v>0</v>
      </c>
      <c r="FA109" s="28" t="n">
        <f aca="false">IF(ISNUMBER(R109),CW109,0)</f>
        <v>1</v>
      </c>
      <c r="FB109" s="28" t="n">
        <f aca="false">IF(ISNUMBER(V109),CX109,0)</f>
        <v>1</v>
      </c>
      <c r="FC109" s="28" t="n">
        <f aca="false">IF(ISNUMBER(Z109),CY109,0)</f>
        <v>1</v>
      </c>
      <c r="FD109" s="28" t="n">
        <f aca="false">IF(ISNUMBER(AD109),CZ109,0)</f>
        <v>1</v>
      </c>
      <c r="FE109" s="28" t="n">
        <f aca="false">IF(ISNUMBER(AH109),DA109,0)</f>
        <v>2</v>
      </c>
      <c r="FF109" s="28" t="n">
        <f aca="false">IF(ISNUMBER(AL109),DB109,0)</f>
        <v>0</v>
      </c>
      <c r="FG109" s="28" t="n">
        <f aca="false">IF(ISNUMBER(AP109),DC109,0)</f>
        <v>0</v>
      </c>
      <c r="FH109" s="28" t="n">
        <f aca="false">IF(ISNUMBER(AT109),DD109,0)</f>
        <v>0</v>
      </c>
      <c r="FI109" s="28" t="n">
        <f aca="false">IF(ISNUMBER(AX109),DE109,0)</f>
        <v>0</v>
      </c>
      <c r="FJ109" s="28" t="n">
        <f aca="false">IF(ISNUMBER(BB109),DF109,0)</f>
        <v>0</v>
      </c>
      <c r="FK109" s="28" t="n">
        <f aca="false">IF(ISNUMBER(BF109),DG109,0)</f>
        <v>0</v>
      </c>
      <c r="FL109" s="28" t="n">
        <f aca="false">IF(ISNUMBER(BJ109),DH109,0)</f>
        <v>0</v>
      </c>
      <c r="FM109" s="28" t="n">
        <f aca="false">IF(ISNUMBER(BN109),DI109,0)</f>
        <v>0</v>
      </c>
      <c r="FN109" s="28" t="n">
        <f aca="false">IF(ISNUMBER(BR109),DJ109,0)</f>
        <v>0</v>
      </c>
      <c r="FO109" s="28" t="str">
        <f aca="false">IFERROR(INDEX(Lists!$G$2:$G$20,MATCH($I109&amp;"|"&amp;$J109,Lists!$F$2:$F$20,0)),"")</f>
        <v>Econ Exam</v>
      </c>
    </row>
    <row r="110" customFormat="false" ht="19.5" hidden="false" customHeight="true" outlineLevel="0" collapsed="false">
      <c r="A110" s="29" t="s">
        <v>338</v>
      </c>
      <c r="B110" s="29" t="s">
        <v>339</v>
      </c>
      <c r="C110" s="30" t="s">
        <v>152</v>
      </c>
      <c r="D110" s="30" t="s">
        <v>291</v>
      </c>
      <c r="E110" s="31" t="n">
        <v>5.3</v>
      </c>
      <c r="F110" s="30" t="n">
        <v>6</v>
      </c>
      <c r="G110" s="30"/>
      <c r="H110" s="32" t="s">
        <v>23</v>
      </c>
      <c r="I110" s="33" t="s">
        <v>229</v>
      </c>
      <c r="J110" s="32" t="s">
        <v>223</v>
      </c>
      <c r="K110" s="34" t="n">
        <f aca="false">IF(OR(M110="",$E110=""),"",M110-$E110)</f>
        <v>-0.3</v>
      </c>
      <c r="L110" s="35" t="n">
        <f aca="false">IF(SUM(FA110:FN110)=0,"",SUM(EM110:EZ110)/SUM(FA110:FN110))</f>
        <v>67.1473429951691</v>
      </c>
      <c r="M110" s="36" t="n">
        <f aca="false">IF(OR(L110="",FO110=""),"",IFERROR(MATCH(L110,INDEX(Boundaries!$B$2:$I$30,MATCH(FO110,Boundaries!$A$2:$A$30,0),0),1)-1,""))</f>
        <v>5</v>
      </c>
      <c r="N110" s="37" t="n">
        <f aca="false">IF(COUNT($DY110:$EL110)&lt;2,"",INDEX($DK110:$DX110,MAX($DY110:$EL110))-INDEX($DK110:$DX110,MIN($DY110:$EL110)))</f>
        <v>-1</v>
      </c>
      <c r="O110" s="37" t="n">
        <f aca="false">IF(COUNT($DY110:$EL110)&lt;2,"",INDEX($DK110:$DX110,MAX($DY110:$EL110))-INDEX($DK110:$DX110,LARGE($DY110:$EL110,2)))</f>
        <v>0</v>
      </c>
      <c r="P110" s="38" t="str">
        <f aca="false">IF(K110="","",IF(K110&gt;=0,"On/above target",IF(AND(N110&lt;&gt;"",N110&gt;=0.5),"Improving towards target",IF(AND(O110&lt;&gt;"",O110&lt;=-0.5),"Declining","Stable below target"))))</f>
        <v>Stable below target</v>
      </c>
      <c r="Q110" s="39" t="n">
        <v>23</v>
      </c>
      <c r="R110" s="40" t="n">
        <f aca="false">IF(OR(Q110="",BU110=""),"",Q110/BU110*100)</f>
        <v>76.6666666666667</v>
      </c>
      <c r="S110" s="41" t="n">
        <f aca="false">IF(R110="","",IFERROR(MATCH(R110,INDEX(Boundaries!$B$2:$I$30,MATCH(CI110,Boundaries!$A$2:$A$30,0),0),1)-1,""))</f>
        <v>6</v>
      </c>
      <c r="T110" s="42" t="n">
        <f aca="false">IF(OR(S110="",$E110=""),"",S110-$E110)</f>
        <v>0.7</v>
      </c>
      <c r="U110" s="39" t="n">
        <v>13</v>
      </c>
      <c r="V110" s="40" t="n">
        <f aca="false">IF(OR(U110="",BV110=""),"",U110/BV110*100)</f>
        <v>65</v>
      </c>
      <c r="W110" s="41" t="n">
        <f aca="false">IF(V110="","",IFERROR(MATCH(V110,INDEX(Boundaries!$B$2:$I$30,MATCH(CJ110,Boundaries!$A$2:$A$30,0),0),1)-1,""))</f>
        <v>5</v>
      </c>
      <c r="X110" s="42" t="n">
        <f aca="false">IF(OR(W110="",$E110=""),"",W110-$E110)</f>
        <v>-0.3</v>
      </c>
      <c r="Y110" s="39" t="n">
        <v>15</v>
      </c>
      <c r="Z110" s="40" t="n">
        <f aca="false">IF(OR(Y110="",BW110=""),"",Y110/BW110*100)</f>
        <v>60</v>
      </c>
      <c r="AA110" s="41" t="n">
        <f aca="false">IF(Z110="","",IFERROR(MATCH(Z110,INDEX(Boundaries!$B$2:$I$30,MATCH(CK110,Boundaries!$A$2:$A$30,0),0),1)-1,""))</f>
        <v>4</v>
      </c>
      <c r="AB110" s="42" t="n">
        <f aca="false">IF(OR(AA110="",$E110=""),"",AA110-$E110)</f>
        <v>-1.3</v>
      </c>
      <c r="AC110" s="39" t="n">
        <v>15</v>
      </c>
      <c r="AD110" s="40" t="n">
        <f aca="false">IF(OR(AC110="",BX110=""),"",AC110/BX110*100)</f>
        <v>65.2173913043478</v>
      </c>
      <c r="AE110" s="41" t="n">
        <f aca="false">IF(AD110="","",IFERROR(MATCH(AD110,INDEX(Boundaries!$B$2:$I$30,MATCH(CL110,Boundaries!$A$2:$A$30,0),0),1)-1,""))</f>
        <v>5</v>
      </c>
      <c r="AF110" s="42" t="n">
        <f aca="false">IF(OR(AE110="",$E110=""),"",AE110-$E110)</f>
        <v>-0.3</v>
      </c>
      <c r="AG110" s="39" t="n">
        <v>17</v>
      </c>
      <c r="AH110" s="40" t="n">
        <f aca="false">IF(OR(AG110="",BY110=""),"",AG110/BY110*100)</f>
        <v>68</v>
      </c>
      <c r="AI110" s="41" t="n">
        <f aca="false">IF(AH110="","",IFERROR(MATCH(AH110,INDEX(Boundaries!$B$2:$I$30,MATCH(CM110,Boundaries!$A$2:$A$30,0),0),1)-1,""))</f>
        <v>5</v>
      </c>
      <c r="AJ110" s="42" t="n">
        <f aca="false">IF(OR(AI110="",$E110=""),"",AI110-$E110)</f>
        <v>-0.3</v>
      </c>
      <c r="AK110" s="39"/>
      <c r="AL110" s="40" t="str">
        <f aca="false">IF(OR(AK110="",BZ110=""),"",AK110/BZ110*100)</f>
        <v/>
      </c>
      <c r="AM110" s="41" t="str">
        <f aca="false">IF(AL110="","",IFERROR(MATCH(AL110,INDEX(Boundaries!$B$2:$I$30,MATCH(CN110,Boundaries!$A$2:$A$30,0),0),1)-1,""))</f>
        <v/>
      </c>
      <c r="AN110" s="42" t="str">
        <f aca="false">IF(OR(AM110="",$E110=""),"",AM110-$E110)</f>
        <v/>
      </c>
      <c r="AO110" s="39"/>
      <c r="AP110" s="40" t="str">
        <f aca="false">IF(OR(AO110="",CA110=""),"",AO110/CA110*100)</f>
        <v/>
      </c>
      <c r="AQ110" s="41" t="str">
        <f aca="false">IF(AP110="","",IFERROR(MATCH(AP110,INDEX(Boundaries!$B$2:$I$30,MATCH(CO110,Boundaries!$A$2:$A$30,0),0),1)-1,""))</f>
        <v/>
      </c>
      <c r="AR110" s="42" t="str">
        <f aca="false">IF(OR(AQ110="",$E110=""),"",AQ110-$E110)</f>
        <v/>
      </c>
      <c r="AS110" s="39"/>
      <c r="AT110" s="40" t="str">
        <f aca="false">IF(OR(AS110="",CB110=""),"",AS110/CB110*100)</f>
        <v/>
      </c>
      <c r="AU110" s="41" t="str">
        <f aca="false">IF(AT110="","",IFERROR(MATCH(AT110,INDEX(Boundaries!$B$2:$I$30,MATCH(CP110,Boundaries!$A$2:$A$30,0),0),1)-1,""))</f>
        <v/>
      </c>
      <c r="AV110" s="42" t="str">
        <f aca="false">IF(OR(AU110="",$E110=""),"",AU110-$E110)</f>
        <v/>
      </c>
      <c r="AW110" s="39"/>
      <c r="AX110" s="40" t="str">
        <f aca="false">IF(OR(AW110="",CC110=""),"",AW110/CC110*100)</f>
        <v/>
      </c>
      <c r="AY110" s="41" t="str">
        <f aca="false">IF(AX110="","",IFERROR(MATCH(AX110,INDEX(Boundaries!$B$2:$I$30,MATCH(CQ110,Boundaries!$A$2:$A$30,0),0),1)-1,""))</f>
        <v/>
      </c>
      <c r="AZ110" s="42" t="str">
        <f aca="false">IF(OR(AY110="",$E110=""),"",AY110-$E110)</f>
        <v/>
      </c>
      <c r="BA110" s="39"/>
      <c r="BB110" s="40" t="str">
        <f aca="false">IF(OR(BA110="",CD110=""),"",BA110/CD110*100)</f>
        <v/>
      </c>
      <c r="BC110" s="41" t="str">
        <f aca="false">IF(BB110="","",IFERROR(MATCH(BB110,INDEX(Boundaries!$B$2:$I$30,MATCH(CR110,Boundaries!$A$2:$A$30,0),0),1)-1,""))</f>
        <v/>
      </c>
      <c r="BD110" s="42" t="str">
        <f aca="false">IF(OR(BC110="",$E110=""),"",BC110-$E110)</f>
        <v/>
      </c>
      <c r="BE110" s="39"/>
      <c r="BF110" s="40" t="str">
        <f aca="false">IF(OR(BE110="",CE110=""),"",BE110/CE110*100)</f>
        <v/>
      </c>
      <c r="BG110" s="41" t="str">
        <f aca="false">IF(BF110="","",IFERROR(MATCH(BF110,INDEX(Boundaries!$B$2:$I$30,MATCH(CS110,Boundaries!$A$2:$A$30,0),0),1)-1,""))</f>
        <v/>
      </c>
      <c r="BH110" s="42" t="str">
        <f aca="false">IF(OR(BG110="",$E110=""),"",BG110-$E110)</f>
        <v/>
      </c>
      <c r="BI110" s="39"/>
      <c r="BJ110" s="40" t="str">
        <f aca="false">IF(OR(BI110="",CF110=""),"",BI110/CF110*100)</f>
        <v/>
      </c>
      <c r="BK110" s="41" t="str">
        <f aca="false">IF(BJ110="","",IFERROR(MATCH(BJ110,INDEX(Boundaries!$B$2:$I$30,MATCH(CT110,Boundaries!$A$2:$A$30,0),0),1)-1,""))</f>
        <v/>
      </c>
      <c r="BL110" s="42" t="str">
        <f aca="false">IF(OR(BK110="",$E110=""),"",BK110-$E110)</f>
        <v/>
      </c>
      <c r="BM110" s="39"/>
      <c r="BN110" s="40" t="str">
        <f aca="false">IF(OR(BM110="",CG110=""),"",BM110/CG110*100)</f>
        <v/>
      </c>
      <c r="BO110" s="41" t="str">
        <f aca="false">IF(BN110="","",IFERROR(MATCH(BN110,INDEX(Boundaries!$B$2:$I$30,MATCH(CU110,Boundaries!$A$2:$A$30,0),0),1)-1,""))</f>
        <v/>
      </c>
      <c r="BP110" s="42" t="str">
        <f aca="false">IF(OR(BO110="",$E110=""),"",BO110-$E110)</f>
        <v/>
      </c>
      <c r="BQ110" s="39"/>
      <c r="BR110" s="40" t="str">
        <f aca="false">IF(OR(BQ110="",CH110=""),"",BQ110/CH110*100)</f>
        <v/>
      </c>
      <c r="BS110" s="41" t="str">
        <f aca="false">IF(BR110="","",IFERROR(MATCH(BR110,INDEX(Boundaries!$B$2:$I$30,MATCH(CV110,Boundaries!$A$2:$A$30,0),0),1)-1,""))</f>
        <v/>
      </c>
      <c r="BT110" s="42" t="str">
        <f aca="false">IF(OR(BS110="",$E110=""),"",BS110-$E110)</f>
        <v/>
      </c>
      <c r="BU110" s="28" t="n">
        <f aca="false">IFERROR(INDEX(Assessments!$H$2:$H$600,MATCH($H110&amp;"|"&amp;$I110&amp;"|"&amp;$J110&amp;"|"&amp;1,Assessments!$A$2:$A$600,0)),"")</f>
        <v>30</v>
      </c>
      <c r="BV110" s="28" t="n">
        <f aca="false">IFERROR(INDEX(Assessments!$H$2:$H$600,MATCH($H110&amp;"|"&amp;$I110&amp;"|"&amp;$J110&amp;"|"&amp;2,Assessments!$A$2:$A$600,0)),"")</f>
        <v>20</v>
      </c>
      <c r="BW110" s="28" t="n">
        <f aca="false">IFERROR(INDEX(Assessments!$H$2:$H$600,MATCH($H110&amp;"|"&amp;$I110&amp;"|"&amp;$J110&amp;"|"&amp;3,Assessments!$A$2:$A$600,0)),"")</f>
        <v>25</v>
      </c>
      <c r="BX110" s="28" t="n">
        <f aca="false">IFERROR(INDEX(Assessments!$H$2:$H$600,MATCH($H110&amp;"|"&amp;$I110&amp;"|"&amp;$J110&amp;"|"&amp;4,Assessments!$A$2:$A$600,0)),"")</f>
        <v>23</v>
      </c>
      <c r="BY110" s="28" t="n">
        <f aca="false">IFERROR(INDEX(Assessments!$H$2:$H$600,MATCH($H110&amp;"|"&amp;$I110&amp;"|"&amp;$J110&amp;"|"&amp;5,Assessments!$A$2:$A$600,0)),"")</f>
        <v>25</v>
      </c>
      <c r="BZ110" s="28" t="n">
        <f aca="false">IFERROR(INDEX(Assessments!$H$2:$H$600,MATCH($H110&amp;"|"&amp;$I110&amp;"|"&amp;$J110&amp;"|"&amp;6,Assessments!$A$2:$A$600,0)),"")</f>
        <v>15</v>
      </c>
      <c r="CA110" s="28" t="n">
        <f aca="false">IFERROR(INDEX(Assessments!$H$2:$H$600,MATCH($H110&amp;"|"&amp;$I110&amp;"|"&amp;$J110&amp;"|"&amp;7,Assessments!$A$2:$A$600,0)),"")</f>
        <v>52</v>
      </c>
      <c r="CB110" s="28" t="str">
        <f aca="false">IFERROR(INDEX(Assessments!$H$2:$H$600,MATCH($H110&amp;"|"&amp;$I110&amp;"|"&amp;$J110&amp;"|"&amp;8,Assessments!$A$2:$A$600,0)),"")</f>
        <v/>
      </c>
      <c r="CC110" s="28" t="str">
        <f aca="false">IFERROR(INDEX(Assessments!$H$2:$H$600,MATCH($H110&amp;"|"&amp;$I110&amp;"|"&amp;$J110&amp;"|"&amp;9,Assessments!$A$2:$A$600,0)),"")</f>
        <v/>
      </c>
      <c r="CD110" s="28" t="str">
        <f aca="false">IFERROR(INDEX(Assessments!$H$2:$H$600,MATCH($H110&amp;"|"&amp;$I110&amp;"|"&amp;$J110&amp;"|"&amp;10,Assessments!$A$2:$A$600,0)),"")</f>
        <v/>
      </c>
      <c r="CE110" s="28" t="str">
        <f aca="false">IFERROR(INDEX(Assessments!$H$2:$H$600,MATCH($H110&amp;"|"&amp;$I110&amp;"|"&amp;$J110&amp;"|"&amp;11,Assessments!$A$2:$A$600,0)),"")</f>
        <v/>
      </c>
      <c r="CF110" s="28" t="str">
        <f aca="false">IFERROR(INDEX(Assessments!$H$2:$H$600,MATCH($H110&amp;"|"&amp;$I110&amp;"|"&amp;$J110&amp;"|"&amp;12,Assessments!$A$2:$A$600,0)),"")</f>
        <v/>
      </c>
      <c r="CG110" s="28" t="str">
        <f aca="false">IFERROR(INDEX(Assessments!$H$2:$H$600,MATCH($H110&amp;"|"&amp;$I110&amp;"|"&amp;$J110&amp;"|"&amp;13,Assessments!$A$2:$A$600,0)),"")</f>
        <v/>
      </c>
      <c r="CH110" s="28" t="str">
        <f aca="false">IFERROR(INDEX(Assessments!$H$2:$H$600,MATCH($H110&amp;"|"&amp;$I110&amp;"|"&amp;$J110&amp;"|"&amp;14,Assessments!$A$2:$A$600,0)),"")</f>
        <v/>
      </c>
      <c r="CI110" s="28" t="str">
        <f aca="false">IFERROR(INDEX(Assessments!$I$2:$I$600,MATCH($H110&amp;"|"&amp;$I110&amp;"|"&amp;$J110&amp;"|"&amp;1,Assessments!$A$2:$A$600,0)),"")</f>
        <v>Econ Test</v>
      </c>
      <c r="CJ110" s="28" t="str">
        <f aca="false">IFERROR(INDEX(Assessments!$I$2:$I$600,MATCH($H110&amp;"|"&amp;$I110&amp;"|"&amp;$J110&amp;"|"&amp;2,Assessments!$A$2:$A$600,0)),"")</f>
        <v>Econ Test</v>
      </c>
      <c r="CK110" s="28" t="str">
        <f aca="false">IFERROR(INDEX(Assessments!$I$2:$I$600,MATCH($H110&amp;"|"&amp;$I110&amp;"|"&amp;$J110&amp;"|"&amp;3,Assessments!$A$2:$A$600,0)),"")</f>
        <v>Econ Test</v>
      </c>
      <c r="CL110" s="28" t="str">
        <f aca="false">IFERROR(INDEX(Assessments!$I$2:$I$600,MATCH($H110&amp;"|"&amp;$I110&amp;"|"&amp;$J110&amp;"|"&amp;4,Assessments!$A$2:$A$600,0)),"")</f>
        <v>Econ Test</v>
      </c>
      <c r="CM110" s="28" t="str">
        <f aca="false">IFERROR(INDEX(Assessments!$I$2:$I$600,MATCH($H110&amp;"|"&amp;$I110&amp;"|"&amp;$J110&amp;"|"&amp;5,Assessments!$A$2:$A$600,0)),"")</f>
        <v>Econ Exam</v>
      </c>
      <c r="CN110" s="28" t="str">
        <f aca="false">IFERROR(INDEX(Assessments!$I$2:$I$600,MATCH($H110&amp;"|"&amp;$I110&amp;"|"&amp;$J110&amp;"|"&amp;6,Assessments!$A$2:$A$600,0)),"")</f>
        <v>Econ Test</v>
      </c>
      <c r="CO110" s="28" t="str">
        <f aca="false">IFERROR(INDEX(Assessments!$I$2:$I$600,MATCH($H110&amp;"|"&amp;$I110&amp;"|"&amp;$J110&amp;"|"&amp;7,Assessments!$A$2:$A$600,0)),"")</f>
        <v>Econ Exam</v>
      </c>
      <c r="CP110" s="28" t="str">
        <f aca="false">IFERROR(INDEX(Assessments!$I$2:$I$600,MATCH($H110&amp;"|"&amp;$I110&amp;"|"&amp;$J110&amp;"|"&amp;8,Assessments!$A$2:$A$600,0)),"")</f>
        <v/>
      </c>
      <c r="CQ110" s="28" t="str">
        <f aca="false">IFERROR(INDEX(Assessments!$I$2:$I$600,MATCH($H110&amp;"|"&amp;$I110&amp;"|"&amp;$J110&amp;"|"&amp;9,Assessments!$A$2:$A$600,0)),"")</f>
        <v/>
      </c>
      <c r="CR110" s="28" t="str">
        <f aca="false">IFERROR(INDEX(Assessments!$I$2:$I$600,MATCH($H110&amp;"|"&amp;$I110&amp;"|"&amp;$J110&amp;"|"&amp;10,Assessments!$A$2:$A$600,0)),"")</f>
        <v/>
      </c>
      <c r="CS110" s="28" t="str">
        <f aca="false">IFERROR(INDEX(Assessments!$I$2:$I$600,MATCH($H110&amp;"|"&amp;$I110&amp;"|"&amp;$J110&amp;"|"&amp;11,Assessments!$A$2:$A$600,0)),"")</f>
        <v/>
      </c>
      <c r="CT110" s="28" t="str">
        <f aca="false">IFERROR(INDEX(Assessments!$I$2:$I$600,MATCH($H110&amp;"|"&amp;$I110&amp;"|"&amp;$J110&amp;"|"&amp;12,Assessments!$A$2:$A$600,0)),"")</f>
        <v/>
      </c>
      <c r="CU110" s="28" t="str">
        <f aca="false">IFERROR(INDEX(Assessments!$I$2:$I$600,MATCH($H110&amp;"|"&amp;$I110&amp;"|"&amp;$J110&amp;"|"&amp;13,Assessments!$A$2:$A$600,0)),"")</f>
        <v/>
      </c>
      <c r="CV110" s="28" t="str">
        <f aca="false">IFERROR(INDEX(Assessments!$I$2:$I$600,MATCH($H110&amp;"|"&amp;$I110&amp;"|"&amp;$J110&amp;"|"&amp;14,Assessments!$A$2:$A$600,0)),"")</f>
        <v/>
      </c>
      <c r="CW110" s="28" t="n">
        <f aca="false">IFERROR(INDEX(Assessments!$J$2:$J$600,MATCH($H110&amp;"|"&amp;$I110&amp;"|"&amp;$J110&amp;"|"&amp;1,Assessments!$A$2:$A$600,0)),0)</f>
        <v>1</v>
      </c>
      <c r="CX110" s="28" t="n">
        <f aca="false">IFERROR(INDEX(Assessments!$J$2:$J$600,MATCH($H110&amp;"|"&amp;$I110&amp;"|"&amp;$J110&amp;"|"&amp;2,Assessments!$A$2:$A$600,0)),0)</f>
        <v>1</v>
      </c>
      <c r="CY110" s="28" t="n">
        <f aca="false">IFERROR(INDEX(Assessments!$J$2:$J$600,MATCH($H110&amp;"|"&amp;$I110&amp;"|"&amp;$J110&amp;"|"&amp;3,Assessments!$A$2:$A$600,0)),0)</f>
        <v>1</v>
      </c>
      <c r="CZ110" s="28" t="n">
        <f aca="false">IFERROR(INDEX(Assessments!$J$2:$J$600,MATCH($H110&amp;"|"&amp;$I110&amp;"|"&amp;$J110&amp;"|"&amp;4,Assessments!$A$2:$A$600,0)),0)</f>
        <v>1</v>
      </c>
      <c r="DA110" s="28" t="n">
        <f aca="false">IFERROR(INDEX(Assessments!$J$2:$J$600,MATCH($H110&amp;"|"&amp;$I110&amp;"|"&amp;$J110&amp;"|"&amp;5,Assessments!$A$2:$A$600,0)),0)</f>
        <v>2</v>
      </c>
      <c r="DB110" s="28" t="n">
        <f aca="false">IFERROR(INDEX(Assessments!$J$2:$J$600,MATCH($H110&amp;"|"&amp;$I110&amp;"|"&amp;$J110&amp;"|"&amp;6,Assessments!$A$2:$A$600,0)),0)</f>
        <v>1</v>
      </c>
      <c r="DC110" s="28" t="n">
        <f aca="false">IFERROR(INDEX(Assessments!$J$2:$J$600,MATCH($H110&amp;"|"&amp;$I110&amp;"|"&amp;$J110&amp;"|"&amp;7,Assessments!$A$2:$A$600,0)),0)</f>
        <v>2</v>
      </c>
      <c r="DD110" s="28" t="n">
        <f aca="false">IFERROR(INDEX(Assessments!$J$2:$J$600,MATCH($H110&amp;"|"&amp;$I110&amp;"|"&amp;$J110&amp;"|"&amp;8,Assessments!$A$2:$A$600,0)),0)</f>
        <v>0</v>
      </c>
      <c r="DE110" s="28" t="n">
        <f aca="false">IFERROR(INDEX(Assessments!$J$2:$J$600,MATCH($H110&amp;"|"&amp;$I110&amp;"|"&amp;$J110&amp;"|"&amp;9,Assessments!$A$2:$A$600,0)),0)</f>
        <v>0</v>
      </c>
      <c r="DF110" s="28" t="n">
        <f aca="false">IFERROR(INDEX(Assessments!$J$2:$J$600,MATCH($H110&amp;"|"&amp;$I110&amp;"|"&amp;$J110&amp;"|"&amp;10,Assessments!$A$2:$A$600,0)),0)</f>
        <v>0</v>
      </c>
      <c r="DG110" s="28" t="n">
        <f aca="false">IFERROR(INDEX(Assessments!$J$2:$J$600,MATCH($H110&amp;"|"&amp;$I110&amp;"|"&amp;$J110&amp;"|"&amp;11,Assessments!$A$2:$A$600,0)),0)</f>
        <v>0</v>
      </c>
      <c r="DH110" s="28" t="n">
        <f aca="false">IFERROR(INDEX(Assessments!$J$2:$J$600,MATCH($H110&amp;"|"&amp;$I110&amp;"|"&amp;$J110&amp;"|"&amp;12,Assessments!$A$2:$A$600,0)),0)</f>
        <v>0</v>
      </c>
      <c r="DI110" s="28" t="n">
        <f aca="false">IFERROR(INDEX(Assessments!$J$2:$J$600,MATCH($H110&amp;"|"&amp;$I110&amp;"|"&amp;$J110&amp;"|"&amp;13,Assessments!$A$2:$A$600,0)),0)</f>
        <v>0</v>
      </c>
      <c r="DJ110" s="28" t="n">
        <f aca="false">IFERROR(INDEX(Assessments!$J$2:$J$600,MATCH($H110&amp;"|"&amp;$I110&amp;"|"&amp;$J110&amp;"|"&amp;14,Assessments!$A$2:$A$600,0)),0)</f>
        <v>0</v>
      </c>
      <c r="DK110" s="28" t="n">
        <f aca="false">S110</f>
        <v>6</v>
      </c>
      <c r="DL110" s="28" t="n">
        <f aca="false">W110</f>
        <v>5</v>
      </c>
      <c r="DM110" s="28" t="n">
        <f aca="false">AA110</f>
        <v>4</v>
      </c>
      <c r="DN110" s="28" t="n">
        <f aca="false">AE110</f>
        <v>5</v>
      </c>
      <c r="DO110" s="28" t="n">
        <f aca="false">AI110</f>
        <v>5</v>
      </c>
      <c r="DP110" s="28" t="str">
        <f aca="false">AM110</f>
        <v/>
      </c>
      <c r="DQ110" s="28" t="str">
        <f aca="false">AQ110</f>
        <v/>
      </c>
      <c r="DR110" s="28" t="str">
        <f aca="false">AU110</f>
        <v/>
      </c>
      <c r="DS110" s="28" t="str">
        <f aca="false">AY110</f>
        <v/>
      </c>
      <c r="DT110" s="28" t="str">
        <f aca="false">BC110</f>
        <v/>
      </c>
      <c r="DU110" s="28" t="str">
        <f aca="false">BG110</f>
        <v/>
      </c>
      <c r="DV110" s="28" t="str">
        <f aca="false">BK110</f>
        <v/>
      </c>
      <c r="DW110" s="28" t="str">
        <f aca="false">BO110</f>
        <v/>
      </c>
      <c r="DX110" s="28" t="str">
        <f aca="false">BS110</f>
        <v/>
      </c>
      <c r="DY110" s="28" t="n">
        <f aca="false">IF(ISNUMBER(S110),1,"")</f>
        <v>1</v>
      </c>
      <c r="DZ110" s="28" t="n">
        <f aca="false">IF(ISNUMBER(W110),2,"")</f>
        <v>2</v>
      </c>
      <c r="EA110" s="28" t="n">
        <f aca="false">IF(ISNUMBER(AA110),3,"")</f>
        <v>3</v>
      </c>
      <c r="EB110" s="28" t="n">
        <f aca="false">IF(ISNUMBER(AE110),4,"")</f>
        <v>4</v>
      </c>
      <c r="EC110" s="28" t="n">
        <f aca="false">IF(ISNUMBER(AI110),5,"")</f>
        <v>5</v>
      </c>
      <c r="ED110" s="28" t="str">
        <f aca="false">IF(ISNUMBER(AM110),6,"")</f>
        <v/>
      </c>
      <c r="EE110" s="28" t="str">
        <f aca="false">IF(ISNUMBER(AQ110),7,"")</f>
        <v/>
      </c>
      <c r="EF110" s="28" t="str">
        <f aca="false">IF(ISNUMBER(AU110),8,"")</f>
        <v/>
      </c>
      <c r="EG110" s="28" t="str">
        <f aca="false">IF(ISNUMBER(AY110),9,"")</f>
        <v/>
      </c>
      <c r="EH110" s="28" t="str">
        <f aca="false">IF(ISNUMBER(BC110),10,"")</f>
        <v/>
      </c>
      <c r="EI110" s="28" t="str">
        <f aca="false">IF(ISNUMBER(BG110),11,"")</f>
        <v/>
      </c>
      <c r="EJ110" s="28" t="str">
        <f aca="false">IF(ISNUMBER(BK110),12,"")</f>
        <v/>
      </c>
      <c r="EK110" s="28" t="str">
        <f aca="false">IF(ISNUMBER(BO110),13,"")</f>
        <v/>
      </c>
      <c r="EL110" s="28" t="str">
        <f aca="false">IF(ISNUMBER(BS110),14,"")</f>
        <v/>
      </c>
      <c r="EM110" s="28" t="n">
        <f aca="false">IF(ISNUMBER(R110),R110*CW110,0)</f>
        <v>76.6666666666667</v>
      </c>
      <c r="EN110" s="28" t="n">
        <f aca="false">IF(ISNUMBER(V110),V110*CX110,0)</f>
        <v>65</v>
      </c>
      <c r="EO110" s="28" t="n">
        <f aca="false">IF(ISNUMBER(Z110),Z110*CY110,0)</f>
        <v>60</v>
      </c>
      <c r="EP110" s="28" t="n">
        <f aca="false">IF(ISNUMBER(AD110),AD110*CZ110,0)</f>
        <v>65.2173913043478</v>
      </c>
      <c r="EQ110" s="28" t="n">
        <f aca="false">IF(ISNUMBER(AH110),AH110*DA110,0)</f>
        <v>136</v>
      </c>
      <c r="ER110" s="28" t="n">
        <f aca="false">IF(ISNUMBER(AL110),AL110*DB110,0)</f>
        <v>0</v>
      </c>
      <c r="ES110" s="28" t="n">
        <f aca="false">IF(ISNUMBER(AP110),AP110*DC110,0)</f>
        <v>0</v>
      </c>
      <c r="ET110" s="28" t="n">
        <f aca="false">IF(ISNUMBER(AT110),AT110*DD110,0)</f>
        <v>0</v>
      </c>
      <c r="EU110" s="28" t="n">
        <f aca="false">IF(ISNUMBER(AX110),AX110*DE110,0)</f>
        <v>0</v>
      </c>
      <c r="EV110" s="28" t="n">
        <f aca="false">IF(ISNUMBER(BB110),BB110*DF110,0)</f>
        <v>0</v>
      </c>
      <c r="EW110" s="28" t="n">
        <f aca="false">IF(ISNUMBER(BF110),BF110*DG110,0)</f>
        <v>0</v>
      </c>
      <c r="EX110" s="28" t="n">
        <f aca="false">IF(ISNUMBER(BJ110),BJ110*DH110,0)</f>
        <v>0</v>
      </c>
      <c r="EY110" s="28" t="n">
        <f aca="false">IF(ISNUMBER(BN110),BN110*DI110,0)</f>
        <v>0</v>
      </c>
      <c r="EZ110" s="28" t="n">
        <f aca="false">IF(ISNUMBER(BR110),BR110*DJ110,0)</f>
        <v>0</v>
      </c>
      <c r="FA110" s="28" t="n">
        <f aca="false">IF(ISNUMBER(R110),CW110,0)</f>
        <v>1</v>
      </c>
      <c r="FB110" s="28" t="n">
        <f aca="false">IF(ISNUMBER(V110),CX110,0)</f>
        <v>1</v>
      </c>
      <c r="FC110" s="28" t="n">
        <f aca="false">IF(ISNUMBER(Z110),CY110,0)</f>
        <v>1</v>
      </c>
      <c r="FD110" s="28" t="n">
        <f aca="false">IF(ISNUMBER(AD110),CZ110,0)</f>
        <v>1</v>
      </c>
      <c r="FE110" s="28" t="n">
        <f aca="false">IF(ISNUMBER(AH110),DA110,0)</f>
        <v>2</v>
      </c>
      <c r="FF110" s="28" t="n">
        <f aca="false">IF(ISNUMBER(AL110),DB110,0)</f>
        <v>0</v>
      </c>
      <c r="FG110" s="28" t="n">
        <f aca="false">IF(ISNUMBER(AP110),DC110,0)</f>
        <v>0</v>
      </c>
      <c r="FH110" s="28" t="n">
        <f aca="false">IF(ISNUMBER(AT110),DD110,0)</f>
        <v>0</v>
      </c>
      <c r="FI110" s="28" t="n">
        <f aca="false">IF(ISNUMBER(AX110),DE110,0)</f>
        <v>0</v>
      </c>
      <c r="FJ110" s="28" t="n">
        <f aca="false">IF(ISNUMBER(BB110),DF110,0)</f>
        <v>0</v>
      </c>
      <c r="FK110" s="28" t="n">
        <f aca="false">IF(ISNUMBER(BF110),DG110,0)</f>
        <v>0</v>
      </c>
      <c r="FL110" s="28" t="n">
        <f aca="false">IF(ISNUMBER(BJ110),DH110,0)</f>
        <v>0</v>
      </c>
      <c r="FM110" s="28" t="n">
        <f aca="false">IF(ISNUMBER(BN110),DI110,0)</f>
        <v>0</v>
      </c>
      <c r="FN110" s="28" t="n">
        <f aca="false">IF(ISNUMBER(BR110),DJ110,0)</f>
        <v>0</v>
      </c>
      <c r="FO110" s="28" t="str">
        <f aca="false">IFERROR(INDEX(Lists!$G$2:$G$20,MATCH($I110&amp;"|"&amp;$J110,Lists!$F$2:$F$20,0)),"")</f>
        <v>Econ Exam</v>
      </c>
    </row>
    <row r="111" customFormat="false" ht="19.5" hidden="false" customHeight="true" outlineLevel="0" collapsed="false">
      <c r="A111" s="29" t="s">
        <v>340</v>
      </c>
      <c r="B111" s="29" t="s">
        <v>341</v>
      </c>
      <c r="C111" s="30" t="s">
        <v>152</v>
      </c>
      <c r="D111" s="30" t="s">
        <v>291</v>
      </c>
      <c r="E111" s="31" t="n">
        <v>6.6</v>
      </c>
      <c r="F111" s="30" t="n">
        <v>7</v>
      </c>
      <c r="G111" s="30"/>
      <c r="H111" s="32" t="s">
        <v>23</v>
      </c>
      <c r="I111" s="33" t="s">
        <v>229</v>
      </c>
      <c r="J111" s="32" t="s">
        <v>223</v>
      </c>
      <c r="K111" s="34" t="n">
        <f aca="false">IF(OR(M111="",$E111=""),"",M111-$E111)</f>
        <v>0.4</v>
      </c>
      <c r="L111" s="35" t="n">
        <f aca="false">IF(SUM(FA111:FN111)=0,"",SUM(EM111:EZ111)/SUM(FA111:FN111))</f>
        <v>92.219806763285</v>
      </c>
      <c r="M111" s="36" t="n">
        <f aca="false">IF(OR(L111="",FO111=""),"",IFERROR(MATCH(L111,INDEX(Boundaries!$B$2:$I$30,MATCH(FO111,Boundaries!$A$2:$A$30,0),0),1)-1,""))</f>
        <v>7</v>
      </c>
      <c r="N111" s="37" t="n">
        <f aca="false">IF(COUNT($DY111:$EL111)&lt;2,"",INDEX($DK111:$DX111,MAX($DY111:$EL111))-INDEX($DK111:$DX111,MIN($DY111:$EL111)))</f>
        <v>0</v>
      </c>
      <c r="O111" s="37" t="n">
        <f aca="false">IF(COUNT($DY111:$EL111)&lt;2,"",INDEX($DK111:$DX111,MAX($DY111:$EL111))-INDEX($DK111:$DX111,LARGE($DY111:$EL111,2)))</f>
        <v>0</v>
      </c>
      <c r="P111" s="38" t="str">
        <f aca="false">IF(K111="","",IF(K111&gt;=0,"On/above target",IF(AND(N111&lt;&gt;"",N111&gt;=0.5),"Improving towards target",IF(AND(O111&lt;&gt;"",O111&lt;=-0.5),"Declining","Stable below target"))))</f>
        <v>On/above target</v>
      </c>
      <c r="Q111" s="39" t="n">
        <v>26</v>
      </c>
      <c r="R111" s="40" t="n">
        <f aca="false">IF(OR(Q111="",BU111=""),"",Q111/BU111*100)</f>
        <v>86.6666666666667</v>
      </c>
      <c r="S111" s="41" t="n">
        <f aca="false">IF(R111="","",IFERROR(MATCH(R111,INDEX(Boundaries!$B$2:$I$30,MATCH(CI111,Boundaries!$A$2:$A$30,0),0),1)-1,""))</f>
        <v>7</v>
      </c>
      <c r="T111" s="42" t="n">
        <f aca="false">IF(OR(S111="",$E111=""),"",S111-$E111)</f>
        <v>0.4</v>
      </c>
      <c r="U111" s="39" t="n">
        <v>19</v>
      </c>
      <c r="V111" s="40" t="n">
        <f aca="false">IF(OR(U111="",BV111=""),"",U111/BV111*100)</f>
        <v>95</v>
      </c>
      <c r="W111" s="41" t="n">
        <f aca="false">IF(V111="","",IFERROR(MATCH(V111,INDEX(Boundaries!$B$2:$I$30,MATCH(CJ111,Boundaries!$A$2:$A$30,0),0),1)-1,""))</f>
        <v>7</v>
      </c>
      <c r="X111" s="42" t="n">
        <f aca="false">IF(OR(W111="",$E111=""),"",W111-$E111)</f>
        <v>0.4</v>
      </c>
      <c r="Y111" s="39" t="n">
        <v>23</v>
      </c>
      <c r="Z111" s="40" t="n">
        <f aca="false">IF(OR(Y111="",BW111=""),"",Y111/BW111*100)</f>
        <v>92</v>
      </c>
      <c r="AA111" s="41" t="n">
        <f aca="false">IF(Z111="","",IFERROR(MATCH(Z111,INDEX(Boundaries!$B$2:$I$30,MATCH(CK111,Boundaries!$A$2:$A$30,0),0),1)-1,""))</f>
        <v>7</v>
      </c>
      <c r="AB111" s="42" t="n">
        <f aca="false">IF(OR(AA111="",$E111=""),"",AA111-$E111)</f>
        <v>0.4</v>
      </c>
      <c r="AC111" s="39" t="n">
        <v>22</v>
      </c>
      <c r="AD111" s="40" t="n">
        <f aca="false">IF(OR(AC111="",BX111=""),"",AC111/BX111*100)</f>
        <v>95.6521739130435</v>
      </c>
      <c r="AE111" s="41" t="n">
        <f aca="false">IF(AD111="","",IFERROR(MATCH(AD111,INDEX(Boundaries!$B$2:$I$30,MATCH(CL111,Boundaries!$A$2:$A$30,0),0),1)-1,""))</f>
        <v>7</v>
      </c>
      <c r="AF111" s="42" t="n">
        <f aca="false">IF(OR(AE111="",$E111=""),"",AE111-$E111)</f>
        <v>0.4</v>
      </c>
      <c r="AG111" s="39" t="n">
        <v>23</v>
      </c>
      <c r="AH111" s="40" t="n">
        <f aca="false">IF(OR(AG111="",BY111=""),"",AG111/BY111*100)</f>
        <v>92</v>
      </c>
      <c r="AI111" s="41" t="n">
        <f aca="false">IF(AH111="","",IFERROR(MATCH(AH111,INDEX(Boundaries!$B$2:$I$30,MATCH(CM111,Boundaries!$A$2:$A$30,0),0),1)-1,""))</f>
        <v>7</v>
      </c>
      <c r="AJ111" s="42" t="n">
        <f aca="false">IF(OR(AI111="",$E111=""),"",AI111-$E111)</f>
        <v>0.4</v>
      </c>
      <c r="AK111" s="39"/>
      <c r="AL111" s="40" t="str">
        <f aca="false">IF(OR(AK111="",BZ111=""),"",AK111/BZ111*100)</f>
        <v/>
      </c>
      <c r="AM111" s="41" t="str">
        <f aca="false">IF(AL111="","",IFERROR(MATCH(AL111,INDEX(Boundaries!$B$2:$I$30,MATCH(CN111,Boundaries!$A$2:$A$30,0),0),1)-1,""))</f>
        <v/>
      </c>
      <c r="AN111" s="42" t="str">
        <f aca="false">IF(OR(AM111="",$E111=""),"",AM111-$E111)</f>
        <v/>
      </c>
      <c r="AO111" s="39"/>
      <c r="AP111" s="40" t="str">
        <f aca="false">IF(OR(AO111="",CA111=""),"",AO111/CA111*100)</f>
        <v/>
      </c>
      <c r="AQ111" s="41" t="str">
        <f aca="false">IF(AP111="","",IFERROR(MATCH(AP111,INDEX(Boundaries!$B$2:$I$30,MATCH(CO111,Boundaries!$A$2:$A$30,0),0),1)-1,""))</f>
        <v/>
      </c>
      <c r="AR111" s="42" t="str">
        <f aca="false">IF(OR(AQ111="",$E111=""),"",AQ111-$E111)</f>
        <v/>
      </c>
      <c r="AS111" s="39"/>
      <c r="AT111" s="40" t="str">
        <f aca="false">IF(OR(AS111="",CB111=""),"",AS111/CB111*100)</f>
        <v/>
      </c>
      <c r="AU111" s="41" t="str">
        <f aca="false">IF(AT111="","",IFERROR(MATCH(AT111,INDEX(Boundaries!$B$2:$I$30,MATCH(CP111,Boundaries!$A$2:$A$30,0),0),1)-1,""))</f>
        <v/>
      </c>
      <c r="AV111" s="42" t="str">
        <f aca="false">IF(OR(AU111="",$E111=""),"",AU111-$E111)</f>
        <v/>
      </c>
      <c r="AW111" s="39"/>
      <c r="AX111" s="40" t="str">
        <f aca="false">IF(OR(AW111="",CC111=""),"",AW111/CC111*100)</f>
        <v/>
      </c>
      <c r="AY111" s="41" t="str">
        <f aca="false">IF(AX111="","",IFERROR(MATCH(AX111,INDEX(Boundaries!$B$2:$I$30,MATCH(CQ111,Boundaries!$A$2:$A$30,0),0),1)-1,""))</f>
        <v/>
      </c>
      <c r="AZ111" s="42" t="str">
        <f aca="false">IF(OR(AY111="",$E111=""),"",AY111-$E111)</f>
        <v/>
      </c>
      <c r="BA111" s="39"/>
      <c r="BB111" s="40" t="str">
        <f aca="false">IF(OR(BA111="",CD111=""),"",BA111/CD111*100)</f>
        <v/>
      </c>
      <c r="BC111" s="41" t="str">
        <f aca="false">IF(BB111="","",IFERROR(MATCH(BB111,INDEX(Boundaries!$B$2:$I$30,MATCH(CR111,Boundaries!$A$2:$A$30,0),0),1)-1,""))</f>
        <v/>
      </c>
      <c r="BD111" s="42" t="str">
        <f aca="false">IF(OR(BC111="",$E111=""),"",BC111-$E111)</f>
        <v/>
      </c>
      <c r="BE111" s="39"/>
      <c r="BF111" s="40" t="str">
        <f aca="false">IF(OR(BE111="",CE111=""),"",BE111/CE111*100)</f>
        <v/>
      </c>
      <c r="BG111" s="41" t="str">
        <f aca="false">IF(BF111="","",IFERROR(MATCH(BF111,INDEX(Boundaries!$B$2:$I$30,MATCH(CS111,Boundaries!$A$2:$A$30,0),0),1)-1,""))</f>
        <v/>
      </c>
      <c r="BH111" s="42" t="str">
        <f aca="false">IF(OR(BG111="",$E111=""),"",BG111-$E111)</f>
        <v/>
      </c>
      <c r="BI111" s="39"/>
      <c r="BJ111" s="40" t="str">
        <f aca="false">IF(OR(BI111="",CF111=""),"",BI111/CF111*100)</f>
        <v/>
      </c>
      <c r="BK111" s="41" t="str">
        <f aca="false">IF(BJ111="","",IFERROR(MATCH(BJ111,INDEX(Boundaries!$B$2:$I$30,MATCH(CT111,Boundaries!$A$2:$A$30,0),0),1)-1,""))</f>
        <v/>
      </c>
      <c r="BL111" s="42" t="str">
        <f aca="false">IF(OR(BK111="",$E111=""),"",BK111-$E111)</f>
        <v/>
      </c>
      <c r="BM111" s="39"/>
      <c r="BN111" s="40" t="str">
        <f aca="false">IF(OR(BM111="",CG111=""),"",BM111/CG111*100)</f>
        <v/>
      </c>
      <c r="BO111" s="41" t="str">
        <f aca="false">IF(BN111="","",IFERROR(MATCH(BN111,INDEX(Boundaries!$B$2:$I$30,MATCH(CU111,Boundaries!$A$2:$A$30,0),0),1)-1,""))</f>
        <v/>
      </c>
      <c r="BP111" s="42" t="str">
        <f aca="false">IF(OR(BO111="",$E111=""),"",BO111-$E111)</f>
        <v/>
      </c>
      <c r="BQ111" s="39"/>
      <c r="BR111" s="40" t="str">
        <f aca="false">IF(OR(BQ111="",CH111=""),"",BQ111/CH111*100)</f>
        <v/>
      </c>
      <c r="BS111" s="41" t="str">
        <f aca="false">IF(BR111="","",IFERROR(MATCH(BR111,INDEX(Boundaries!$B$2:$I$30,MATCH(CV111,Boundaries!$A$2:$A$30,0),0),1)-1,""))</f>
        <v/>
      </c>
      <c r="BT111" s="42" t="str">
        <f aca="false">IF(OR(BS111="",$E111=""),"",BS111-$E111)</f>
        <v/>
      </c>
      <c r="BU111" s="28" t="n">
        <f aca="false">IFERROR(INDEX(Assessments!$H$2:$H$600,MATCH($H111&amp;"|"&amp;$I111&amp;"|"&amp;$J111&amp;"|"&amp;1,Assessments!$A$2:$A$600,0)),"")</f>
        <v>30</v>
      </c>
      <c r="BV111" s="28" t="n">
        <f aca="false">IFERROR(INDEX(Assessments!$H$2:$H$600,MATCH($H111&amp;"|"&amp;$I111&amp;"|"&amp;$J111&amp;"|"&amp;2,Assessments!$A$2:$A$600,0)),"")</f>
        <v>20</v>
      </c>
      <c r="BW111" s="28" t="n">
        <f aca="false">IFERROR(INDEX(Assessments!$H$2:$H$600,MATCH($H111&amp;"|"&amp;$I111&amp;"|"&amp;$J111&amp;"|"&amp;3,Assessments!$A$2:$A$600,0)),"")</f>
        <v>25</v>
      </c>
      <c r="BX111" s="28" t="n">
        <f aca="false">IFERROR(INDEX(Assessments!$H$2:$H$600,MATCH($H111&amp;"|"&amp;$I111&amp;"|"&amp;$J111&amp;"|"&amp;4,Assessments!$A$2:$A$600,0)),"")</f>
        <v>23</v>
      </c>
      <c r="BY111" s="28" t="n">
        <f aca="false">IFERROR(INDEX(Assessments!$H$2:$H$600,MATCH($H111&amp;"|"&amp;$I111&amp;"|"&amp;$J111&amp;"|"&amp;5,Assessments!$A$2:$A$600,0)),"")</f>
        <v>25</v>
      </c>
      <c r="BZ111" s="28" t="n">
        <f aca="false">IFERROR(INDEX(Assessments!$H$2:$H$600,MATCH($H111&amp;"|"&amp;$I111&amp;"|"&amp;$J111&amp;"|"&amp;6,Assessments!$A$2:$A$600,0)),"")</f>
        <v>15</v>
      </c>
      <c r="CA111" s="28" t="n">
        <f aca="false">IFERROR(INDEX(Assessments!$H$2:$H$600,MATCH($H111&amp;"|"&amp;$I111&amp;"|"&amp;$J111&amp;"|"&amp;7,Assessments!$A$2:$A$600,0)),"")</f>
        <v>52</v>
      </c>
      <c r="CB111" s="28" t="str">
        <f aca="false">IFERROR(INDEX(Assessments!$H$2:$H$600,MATCH($H111&amp;"|"&amp;$I111&amp;"|"&amp;$J111&amp;"|"&amp;8,Assessments!$A$2:$A$600,0)),"")</f>
        <v/>
      </c>
      <c r="CC111" s="28" t="str">
        <f aca="false">IFERROR(INDEX(Assessments!$H$2:$H$600,MATCH($H111&amp;"|"&amp;$I111&amp;"|"&amp;$J111&amp;"|"&amp;9,Assessments!$A$2:$A$600,0)),"")</f>
        <v/>
      </c>
      <c r="CD111" s="28" t="str">
        <f aca="false">IFERROR(INDEX(Assessments!$H$2:$H$600,MATCH($H111&amp;"|"&amp;$I111&amp;"|"&amp;$J111&amp;"|"&amp;10,Assessments!$A$2:$A$600,0)),"")</f>
        <v/>
      </c>
      <c r="CE111" s="28" t="str">
        <f aca="false">IFERROR(INDEX(Assessments!$H$2:$H$600,MATCH($H111&amp;"|"&amp;$I111&amp;"|"&amp;$J111&amp;"|"&amp;11,Assessments!$A$2:$A$600,0)),"")</f>
        <v/>
      </c>
      <c r="CF111" s="28" t="str">
        <f aca="false">IFERROR(INDEX(Assessments!$H$2:$H$600,MATCH($H111&amp;"|"&amp;$I111&amp;"|"&amp;$J111&amp;"|"&amp;12,Assessments!$A$2:$A$600,0)),"")</f>
        <v/>
      </c>
      <c r="CG111" s="28" t="str">
        <f aca="false">IFERROR(INDEX(Assessments!$H$2:$H$600,MATCH($H111&amp;"|"&amp;$I111&amp;"|"&amp;$J111&amp;"|"&amp;13,Assessments!$A$2:$A$600,0)),"")</f>
        <v/>
      </c>
      <c r="CH111" s="28" t="str">
        <f aca="false">IFERROR(INDEX(Assessments!$H$2:$H$600,MATCH($H111&amp;"|"&amp;$I111&amp;"|"&amp;$J111&amp;"|"&amp;14,Assessments!$A$2:$A$600,0)),"")</f>
        <v/>
      </c>
      <c r="CI111" s="28" t="str">
        <f aca="false">IFERROR(INDEX(Assessments!$I$2:$I$600,MATCH($H111&amp;"|"&amp;$I111&amp;"|"&amp;$J111&amp;"|"&amp;1,Assessments!$A$2:$A$600,0)),"")</f>
        <v>Econ Test</v>
      </c>
      <c r="CJ111" s="28" t="str">
        <f aca="false">IFERROR(INDEX(Assessments!$I$2:$I$600,MATCH($H111&amp;"|"&amp;$I111&amp;"|"&amp;$J111&amp;"|"&amp;2,Assessments!$A$2:$A$600,0)),"")</f>
        <v>Econ Test</v>
      </c>
      <c r="CK111" s="28" t="str">
        <f aca="false">IFERROR(INDEX(Assessments!$I$2:$I$600,MATCH($H111&amp;"|"&amp;$I111&amp;"|"&amp;$J111&amp;"|"&amp;3,Assessments!$A$2:$A$600,0)),"")</f>
        <v>Econ Test</v>
      </c>
      <c r="CL111" s="28" t="str">
        <f aca="false">IFERROR(INDEX(Assessments!$I$2:$I$600,MATCH($H111&amp;"|"&amp;$I111&amp;"|"&amp;$J111&amp;"|"&amp;4,Assessments!$A$2:$A$600,0)),"")</f>
        <v>Econ Test</v>
      </c>
      <c r="CM111" s="28" t="str">
        <f aca="false">IFERROR(INDEX(Assessments!$I$2:$I$600,MATCH($H111&amp;"|"&amp;$I111&amp;"|"&amp;$J111&amp;"|"&amp;5,Assessments!$A$2:$A$600,0)),"")</f>
        <v>Econ Exam</v>
      </c>
      <c r="CN111" s="28" t="str">
        <f aca="false">IFERROR(INDEX(Assessments!$I$2:$I$600,MATCH($H111&amp;"|"&amp;$I111&amp;"|"&amp;$J111&amp;"|"&amp;6,Assessments!$A$2:$A$600,0)),"")</f>
        <v>Econ Test</v>
      </c>
      <c r="CO111" s="28" t="str">
        <f aca="false">IFERROR(INDEX(Assessments!$I$2:$I$600,MATCH($H111&amp;"|"&amp;$I111&amp;"|"&amp;$J111&amp;"|"&amp;7,Assessments!$A$2:$A$600,0)),"")</f>
        <v>Econ Exam</v>
      </c>
      <c r="CP111" s="28" t="str">
        <f aca="false">IFERROR(INDEX(Assessments!$I$2:$I$600,MATCH($H111&amp;"|"&amp;$I111&amp;"|"&amp;$J111&amp;"|"&amp;8,Assessments!$A$2:$A$600,0)),"")</f>
        <v/>
      </c>
      <c r="CQ111" s="28" t="str">
        <f aca="false">IFERROR(INDEX(Assessments!$I$2:$I$600,MATCH($H111&amp;"|"&amp;$I111&amp;"|"&amp;$J111&amp;"|"&amp;9,Assessments!$A$2:$A$600,0)),"")</f>
        <v/>
      </c>
      <c r="CR111" s="28" t="str">
        <f aca="false">IFERROR(INDEX(Assessments!$I$2:$I$600,MATCH($H111&amp;"|"&amp;$I111&amp;"|"&amp;$J111&amp;"|"&amp;10,Assessments!$A$2:$A$600,0)),"")</f>
        <v/>
      </c>
      <c r="CS111" s="28" t="str">
        <f aca="false">IFERROR(INDEX(Assessments!$I$2:$I$600,MATCH($H111&amp;"|"&amp;$I111&amp;"|"&amp;$J111&amp;"|"&amp;11,Assessments!$A$2:$A$600,0)),"")</f>
        <v/>
      </c>
      <c r="CT111" s="28" t="str">
        <f aca="false">IFERROR(INDEX(Assessments!$I$2:$I$600,MATCH($H111&amp;"|"&amp;$I111&amp;"|"&amp;$J111&amp;"|"&amp;12,Assessments!$A$2:$A$600,0)),"")</f>
        <v/>
      </c>
      <c r="CU111" s="28" t="str">
        <f aca="false">IFERROR(INDEX(Assessments!$I$2:$I$600,MATCH($H111&amp;"|"&amp;$I111&amp;"|"&amp;$J111&amp;"|"&amp;13,Assessments!$A$2:$A$600,0)),"")</f>
        <v/>
      </c>
      <c r="CV111" s="28" t="str">
        <f aca="false">IFERROR(INDEX(Assessments!$I$2:$I$600,MATCH($H111&amp;"|"&amp;$I111&amp;"|"&amp;$J111&amp;"|"&amp;14,Assessments!$A$2:$A$600,0)),"")</f>
        <v/>
      </c>
      <c r="CW111" s="28" t="n">
        <f aca="false">IFERROR(INDEX(Assessments!$J$2:$J$600,MATCH($H111&amp;"|"&amp;$I111&amp;"|"&amp;$J111&amp;"|"&amp;1,Assessments!$A$2:$A$600,0)),0)</f>
        <v>1</v>
      </c>
      <c r="CX111" s="28" t="n">
        <f aca="false">IFERROR(INDEX(Assessments!$J$2:$J$600,MATCH($H111&amp;"|"&amp;$I111&amp;"|"&amp;$J111&amp;"|"&amp;2,Assessments!$A$2:$A$600,0)),0)</f>
        <v>1</v>
      </c>
      <c r="CY111" s="28" t="n">
        <f aca="false">IFERROR(INDEX(Assessments!$J$2:$J$600,MATCH($H111&amp;"|"&amp;$I111&amp;"|"&amp;$J111&amp;"|"&amp;3,Assessments!$A$2:$A$600,0)),0)</f>
        <v>1</v>
      </c>
      <c r="CZ111" s="28" t="n">
        <f aca="false">IFERROR(INDEX(Assessments!$J$2:$J$600,MATCH($H111&amp;"|"&amp;$I111&amp;"|"&amp;$J111&amp;"|"&amp;4,Assessments!$A$2:$A$600,0)),0)</f>
        <v>1</v>
      </c>
      <c r="DA111" s="28" t="n">
        <f aca="false">IFERROR(INDEX(Assessments!$J$2:$J$600,MATCH($H111&amp;"|"&amp;$I111&amp;"|"&amp;$J111&amp;"|"&amp;5,Assessments!$A$2:$A$600,0)),0)</f>
        <v>2</v>
      </c>
      <c r="DB111" s="28" t="n">
        <f aca="false">IFERROR(INDEX(Assessments!$J$2:$J$600,MATCH($H111&amp;"|"&amp;$I111&amp;"|"&amp;$J111&amp;"|"&amp;6,Assessments!$A$2:$A$600,0)),0)</f>
        <v>1</v>
      </c>
      <c r="DC111" s="28" t="n">
        <f aca="false">IFERROR(INDEX(Assessments!$J$2:$J$600,MATCH($H111&amp;"|"&amp;$I111&amp;"|"&amp;$J111&amp;"|"&amp;7,Assessments!$A$2:$A$600,0)),0)</f>
        <v>2</v>
      </c>
      <c r="DD111" s="28" t="n">
        <f aca="false">IFERROR(INDEX(Assessments!$J$2:$J$600,MATCH($H111&amp;"|"&amp;$I111&amp;"|"&amp;$J111&amp;"|"&amp;8,Assessments!$A$2:$A$600,0)),0)</f>
        <v>0</v>
      </c>
      <c r="DE111" s="28" t="n">
        <f aca="false">IFERROR(INDEX(Assessments!$J$2:$J$600,MATCH($H111&amp;"|"&amp;$I111&amp;"|"&amp;$J111&amp;"|"&amp;9,Assessments!$A$2:$A$600,0)),0)</f>
        <v>0</v>
      </c>
      <c r="DF111" s="28" t="n">
        <f aca="false">IFERROR(INDEX(Assessments!$J$2:$J$600,MATCH($H111&amp;"|"&amp;$I111&amp;"|"&amp;$J111&amp;"|"&amp;10,Assessments!$A$2:$A$600,0)),0)</f>
        <v>0</v>
      </c>
      <c r="DG111" s="28" t="n">
        <f aca="false">IFERROR(INDEX(Assessments!$J$2:$J$600,MATCH($H111&amp;"|"&amp;$I111&amp;"|"&amp;$J111&amp;"|"&amp;11,Assessments!$A$2:$A$600,0)),0)</f>
        <v>0</v>
      </c>
      <c r="DH111" s="28" t="n">
        <f aca="false">IFERROR(INDEX(Assessments!$J$2:$J$600,MATCH($H111&amp;"|"&amp;$I111&amp;"|"&amp;$J111&amp;"|"&amp;12,Assessments!$A$2:$A$600,0)),0)</f>
        <v>0</v>
      </c>
      <c r="DI111" s="28" t="n">
        <f aca="false">IFERROR(INDEX(Assessments!$J$2:$J$600,MATCH($H111&amp;"|"&amp;$I111&amp;"|"&amp;$J111&amp;"|"&amp;13,Assessments!$A$2:$A$600,0)),0)</f>
        <v>0</v>
      </c>
      <c r="DJ111" s="28" t="n">
        <f aca="false">IFERROR(INDEX(Assessments!$J$2:$J$600,MATCH($H111&amp;"|"&amp;$I111&amp;"|"&amp;$J111&amp;"|"&amp;14,Assessments!$A$2:$A$600,0)),0)</f>
        <v>0</v>
      </c>
      <c r="DK111" s="28" t="n">
        <f aca="false">S111</f>
        <v>7</v>
      </c>
      <c r="DL111" s="28" t="n">
        <f aca="false">W111</f>
        <v>7</v>
      </c>
      <c r="DM111" s="28" t="n">
        <f aca="false">AA111</f>
        <v>7</v>
      </c>
      <c r="DN111" s="28" t="n">
        <f aca="false">AE111</f>
        <v>7</v>
      </c>
      <c r="DO111" s="28" t="n">
        <f aca="false">AI111</f>
        <v>7</v>
      </c>
      <c r="DP111" s="28" t="str">
        <f aca="false">AM111</f>
        <v/>
      </c>
      <c r="DQ111" s="28" t="str">
        <f aca="false">AQ111</f>
        <v/>
      </c>
      <c r="DR111" s="28" t="str">
        <f aca="false">AU111</f>
        <v/>
      </c>
      <c r="DS111" s="28" t="str">
        <f aca="false">AY111</f>
        <v/>
      </c>
      <c r="DT111" s="28" t="str">
        <f aca="false">BC111</f>
        <v/>
      </c>
      <c r="DU111" s="28" t="str">
        <f aca="false">BG111</f>
        <v/>
      </c>
      <c r="DV111" s="28" t="str">
        <f aca="false">BK111</f>
        <v/>
      </c>
      <c r="DW111" s="28" t="str">
        <f aca="false">BO111</f>
        <v/>
      </c>
      <c r="DX111" s="28" t="str">
        <f aca="false">BS111</f>
        <v/>
      </c>
      <c r="DY111" s="28" t="n">
        <f aca="false">IF(ISNUMBER(S111),1,"")</f>
        <v>1</v>
      </c>
      <c r="DZ111" s="28" t="n">
        <f aca="false">IF(ISNUMBER(W111),2,"")</f>
        <v>2</v>
      </c>
      <c r="EA111" s="28" t="n">
        <f aca="false">IF(ISNUMBER(AA111),3,"")</f>
        <v>3</v>
      </c>
      <c r="EB111" s="28" t="n">
        <f aca="false">IF(ISNUMBER(AE111),4,"")</f>
        <v>4</v>
      </c>
      <c r="EC111" s="28" t="n">
        <f aca="false">IF(ISNUMBER(AI111),5,"")</f>
        <v>5</v>
      </c>
      <c r="ED111" s="28" t="str">
        <f aca="false">IF(ISNUMBER(AM111),6,"")</f>
        <v/>
      </c>
      <c r="EE111" s="28" t="str">
        <f aca="false">IF(ISNUMBER(AQ111),7,"")</f>
        <v/>
      </c>
      <c r="EF111" s="28" t="str">
        <f aca="false">IF(ISNUMBER(AU111),8,"")</f>
        <v/>
      </c>
      <c r="EG111" s="28" t="str">
        <f aca="false">IF(ISNUMBER(AY111),9,"")</f>
        <v/>
      </c>
      <c r="EH111" s="28" t="str">
        <f aca="false">IF(ISNUMBER(BC111),10,"")</f>
        <v/>
      </c>
      <c r="EI111" s="28" t="str">
        <f aca="false">IF(ISNUMBER(BG111),11,"")</f>
        <v/>
      </c>
      <c r="EJ111" s="28" t="str">
        <f aca="false">IF(ISNUMBER(BK111),12,"")</f>
        <v/>
      </c>
      <c r="EK111" s="28" t="str">
        <f aca="false">IF(ISNUMBER(BO111),13,"")</f>
        <v/>
      </c>
      <c r="EL111" s="28" t="str">
        <f aca="false">IF(ISNUMBER(BS111),14,"")</f>
        <v/>
      </c>
      <c r="EM111" s="28" t="n">
        <f aca="false">IF(ISNUMBER(R111),R111*CW111,0)</f>
        <v>86.6666666666667</v>
      </c>
      <c r="EN111" s="28" t="n">
        <f aca="false">IF(ISNUMBER(V111),V111*CX111,0)</f>
        <v>95</v>
      </c>
      <c r="EO111" s="28" t="n">
        <f aca="false">IF(ISNUMBER(Z111),Z111*CY111,0)</f>
        <v>92</v>
      </c>
      <c r="EP111" s="28" t="n">
        <f aca="false">IF(ISNUMBER(AD111),AD111*CZ111,0)</f>
        <v>95.6521739130435</v>
      </c>
      <c r="EQ111" s="28" t="n">
        <f aca="false">IF(ISNUMBER(AH111),AH111*DA111,0)</f>
        <v>184</v>
      </c>
      <c r="ER111" s="28" t="n">
        <f aca="false">IF(ISNUMBER(AL111),AL111*DB111,0)</f>
        <v>0</v>
      </c>
      <c r="ES111" s="28" t="n">
        <f aca="false">IF(ISNUMBER(AP111),AP111*DC111,0)</f>
        <v>0</v>
      </c>
      <c r="ET111" s="28" t="n">
        <f aca="false">IF(ISNUMBER(AT111),AT111*DD111,0)</f>
        <v>0</v>
      </c>
      <c r="EU111" s="28" t="n">
        <f aca="false">IF(ISNUMBER(AX111),AX111*DE111,0)</f>
        <v>0</v>
      </c>
      <c r="EV111" s="28" t="n">
        <f aca="false">IF(ISNUMBER(BB111),BB111*DF111,0)</f>
        <v>0</v>
      </c>
      <c r="EW111" s="28" t="n">
        <f aca="false">IF(ISNUMBER(BF111),BF111*DG111,0)</f>
        <v>0</v>
      </c>
      <c r="EX111" s="28" t="n">
        <f aca="false">IF(ISNUMBER(BJ111),BJ111*DH111,0)</f>
        <v>0</v>
      </c>
      <c r="EY111" s="28" t="n">
        <f aca="false">IF(ISNUMBER(BN111),BN111*DI111,0)</f>
        <v>0</v>
      </c>
      <c r="EZ111" s="28" t="n">
        <f aca="false">IF(ISNUMBER(BR111),BR111*DJ111,0)</f>
        <v>0</v>
      </c>
      <c r="FA111" s="28" t="n">
        <f aca="false">IF(ISNUMBER(R111),CW111,0)</f>
        <v>1</v>
      </c>
      <c r="FB111" s="28" t="n">
        <f aca="false">IF(ISNUMBER(V111),CX111,0)</f>
        <v>1</v>
      </c>
      <c r="FC111" s="28" t="n">
        <f aca="false">IF(ISNUMBER(Z111),CY111,0)</f>
        <v>1</v>
      </c>
      <c r="FD111" s="28" t="n">
        <f aca="false">IF(ISNUMBER(AD111),CZ111,0)</f>
        <v>1</v>
      </c>
      <c r="FE111" s="28" t="n">
        <f aca="false">IF(ISNUMBER(AH111),DA111,0)</f>
        <v>2</v>
      </c>
      <c r="FF111" s="28" t="n">
        <f aca="false">IF(ISNUMBER(AL111),DB111,0)</f>
        <v>0</v>
      </c>
      <c r="FG111" s="28" t="n">
        <f aca="false">IF(ISNUMBER(AP111),DC111,0)</f>
        <v>0</v>
      </c>
      <c r="FH111" s="28" t="n">
        <f aca="false">IF(ISNUMBER(AT111),DD111,0)</f>
        <v>0</v>
      </c>
      <c r="FI111" s="28" t="n">
        <f aca="false">IF(ISNUMBER(AX111),DE111,0)</f>
        <v>0</v>
      </c>
      <c r="FJ111" s="28" t="n">
        <f aca="false">IF(ISNUMBER(BB111),DF111,0)</f>
        <v>0</v>
      </c>
      <c r="FK111" s="28" t="n">
        <f aca="false">IF(ISNUMBER(BF111),DG111,0)</f>
        <v>0</v>
      </c>
      <c r="FL111" s="28" t="n">
        <f aca="false">IF(ISNUMBER(BJ111),DH111,0)</f>
        <v>0</v>
      </c>
      <c r="FM111" s="28" t="n">
        <f aca="false">IF(ISNUMBER(BN111),DI111,0)</f>
        <v>0</v>
      </c>
      <c r="FN111" s="28" t="n">
        <f aca="false">IF(ISNUMBER(BR111),DJ111,0)</f>
        <v>0</v>
      </c>
      <c r="FO111" s="28" t="str">
        <f aca="false">IFERROR(INDEX(Lists!$G$2:$G$20,MATCH($I111&amp;"|"&amp;$J111,Lists!$F$2:$F$20,0)),"")</f>
        <v>Econ Exam</v>
      </c>
    </row>
    <row r="112" customFormat="false" ht="19.5" hidden="false" customHeight="true" outlineLevel="0" collapsed="false">
      <c r="A112" s="29" t="s">
        <v>342</v>
      </c>
      <c r="B112" s="29" t="s">
        <v>343</v>
      </c>
      <c r="C112" s="30" t="s">
        <v>152</v>
      </c>
      <c r="D112" s="30" t="s">
        <v>291</v>
      </c>
      <c r="E112" s="31" t="n">
        <v>6.2</v>
      </c>
      <c r="F112" s="30" t="n">
        <v>7</v>
      </c>
      <c r="G112" s="30"/>
      <c r="H112" s="32" t="s">
        <v>23</v>
      </c>
      <c r="I112" s="33" t="s">
        <v>229</v>
      </c>
      <c r="J112" s="32" t="s">
        <v>223</v>
      </c>
      <c r="K112" s="34" t="n">
        <f aca="false">IF(OR(M112="",$E112=""),"",M112-$E112)</f>
        <v>-0.2</v>
      </c>
      <c r="L112" s="35" t="n">
        <f aca="false">IF(SUM(FA112:FN112)=0,"",SUM(EM112:EZ112)/SUM(FA112:FN112))</f>
        <v>70.9806763285024</v>
      </c>
      <c r="M112" s="36" t="n">
        <f aca="false">IF(OR(L112="",FO112=""),"",IFERROR(MATCH(L112,INDEX(Boundaries!$B$2:$I$30,MATCH(FO112,Boundaries!$A$2:$A$30,0),0),1)-1,""))</f>
        <v>6</v>
      </c>
      <c r="N112" s="37" t="n">
        <f aca="false">IF(COUNT($DY112:$EL112)&lt;2,"",INDEX($DK112:$DX112,MAX($DY112:$EL112))-INDEX($DK112:$DX112,MIN($DY112:$EL112)))</f>
        <v>-1</v>
      </c>
      <c r="O112" s="37" t="n">
        <f aca="false">IF(COUNT($DY112:$EL112)&lt;2,"",INDEX($DK112:$DX112,MAX($DY112:$EL112))-INDEX($DK112:$DX112,LARGE($DY112:$EL112,2)))</f>
        <v>0</v>
      </c>
      <c r="P112" s="38" t="str">
        <f aca="false">IF(K112="","",IF(K112&gt;=0,"On/above target",IF(AND(N112&lt;&gt;"",N112&gt;=0.5),"Improving towards target",IF(AND(O112&lt;&gt;"",O112&lt;=-0.5),"Declining","Stable below target"))))</f>
        <v>Stable below target</v>
      </c>
      <c r="Q112" s="39" t="n">
        <v>23</v>
      </c>
      <c r="R112" s="40" t="n">
        <f aca="false">IF(OR(Q112="",BU112=""),"",Q112/BU112*100)</f>
        <v>76.6666666666667</v>
      </c>
      <c r="S112" s="41" t="n">
        <f aca="false">IF(R112="","",IFERROR(MATCH(R112,INDEX(Boundaries!$B$2:$I$30,MATCH(CI112,Boundaries!$A$2:$A$30,0),0),1)-1,""))</f>
        <v>6</v>
      </c>
      <c r="T112" s="42" t="n">
        <f aca="false">IF(OR(S112="",$E112=""),"",S112-$E112)</f>
        <v>-0.2</v>
      </c>
      <c r="U112" s="39" t="n">
        <v>16</v>
      </c>
      <c r="V112" s="40" t="n">
        <f aca="false">IF(OR(U112="",BV112=""),"",U112/BV112*100)</f>
        <v>80</v>
      </c>
      <c r="W112" s="41" t="n">
        <f aca="false">IF(V112="","",IFERROR(MATCH(V112,INDEX(Boundaries!$B$2:$I$30,MATCH(CJ112,Boundaries!$A$2:$A$30,0),0),1)-1,""))</f>
        <v>6</v>
      </c>
      <c r="X112" s="42" t="n">
        <f aca="false">IF(OR(W112="",$E112=""),"",W112-$E112)</f>
        <v>-0.2</v>
      </c>
      <c r="Y112" s="39" t="n">
        <v>17</v>
      </c>
      <c r="Z112" s="40" t="n">
        <f aca="false">IF(OR(Y112="",BW112=""),"",Y112/BW112*100)</f>
        <v>68</v>
      </c>
      <c r="AA112" s="41" t="n">
        <f aca="false">IF(Z112="","",IFERROR(MATCH(Z112,INDEX(Boundaries!$B$2:$I$30,MATCH(CK112,Boundaries!$A$2:$A$30,0),0),1)-1,""))</f>
        <v>5</v>
      </c>
      <c r="AB112" s="42" t="n">
        <f aca="false">IF(OR(AA112="",$E112=""),"",AA112-$E112)</f>
        <v>-1.2</v>
      </c>
      <c r="AC112" s="39" t="n">
        <v>15</v>
      </c>
      <c r="AD112" s="40" t="n">
        <f aca="false">IF(OR(AC112="",BX112=""),"",AC112/BX112*100)</f>
        <v>65.2173913043478</v>
      </c>
      <c r="AE112" s="41" t="n">
        <f aca="false">IF(AD112="","",IFERROR(MATCH(AD112,INDEX(Boundaries!$B$2:$I$30,MATCH(CL112,Boundaries!$A$2:$A$30,0),0),1)-1,""))</f>
        <v>5</v>
      </c>
      <c r="AF112" s="42" t="n">
        <f aca="false">IF(OR(AE112="",$E112=""),"",AE112-$E112)</f>
        <v>-1.2</v>
      </c>
      <c r="AG112" s="39" t="n">
        <v>17</v>
      </c>
      <c r="AH112" s="40" t="n">
        <f aca="false">IF(OR(AG112="",BY112=""),"",AG112/BY112*100)</f>
        <v>68</v>
      </c>
      <c r="AI112" s="41" t="n">
        <f aca="false">IF(AH112="","",IFERROR(MATCH(AH112,INDEX(Boundaries!$B$2:$I$30,MATCH(CM112,Boundaries!$A$2:$A$30,0),0),1)-1,""))</f>
        <v>5</v>
      </c>
      <c r="AJ112" s="42" t="n">
        <f aca="false">IF(OR(AI112="",$E112=""),"",AI112-$E112)</f>
        <v>-1.2</v>
      </c>
      <c r="AK112" s="39"/>
      <c r="AL112" s="40" t="str">
        <f aca="false">IF(OR(AK112="",BZ112=""),"",AK112/BZ112*100)</f>
        <v/>
      </c>
      <c r="AM112" s="41" t="str">
        <f aca="false">IF(AL112="","",IFERROR(MATCH(AL112,INDEX(Boundaries!$B$2:$I$30,MATCH(CN112,Boundaries!$A$2:$A$30,0),0),1)-1,""))</f>
        <v/>
      </c>
      <c r="AN112" s="42" t="str">
        <f aca="false">IF(OR(AM112="",$E112=""),"",AM112-$E112)</f>
        <v/>
      </c>
      <c r="AO112" s="39"/>
      <c r="AP112" s="40" t="str">
        <f aca="false">IF(OR(AO112="",CA112=""),"",AO112/CA112*100)</f>
        <v/>
      </c>
      <c r="AQ112" s="41" t="str">
        <f aca="false">IF(AP112="","",IFERROR(MATCH(AP112,INDEX(Boundaries!$B$2:$I$30,MATCH(CO112,Boundaries!$A$2:$A$30,0),0),1)-1,""))</f>
        <v/>
      </c>
      <c r="AR112" s="42" t="str">
        <f aca="false">IF(OR(AQ112="",$E112=""),"",AQ112-$E112)</f>
        <v/>
      </c>
      <c r="AS112" s="39"/>
      <c r="AT112" s="40" t="str">
        <f aca="false">IF(OR(AS112="",CB112=""),"",AS112/CB112*100)</f>
        <v/>
      </c>
      <c r="AU112" s="41" t="str">
        <f aca="false">IF(AT112="","",IFERROR(MATCH(AT112,INDEX(Boundaries!$B$2:$I$30,MATCH(CP112,Boundaries!$A$2:$A$30,0),0),1)-1,""))</f>
        <v/>
      </c>
      <c r="AV112" s="42" t="str">
        <f aca="false">IF(OR(AU112="",$E112=""),"",AU112-$E112)</f>
        <v/>
      </c>
      <c r="AW112" s="39"/>
      <c r="AX112" s="40" t="str">
        <f aca="false">IF(OR(AW112="",CC112=""),"",AW112/CC112*100)</f>
        <v/>
      </c>
      <c r="AY112" s="41" t="str">
        <f aca="false">IF(AX112="","",IFERROR(MATCH(AX112,INDEX(Boundaries!$B$2:$I$30,MATCH(CQ112,Boundaries!$A$2:$A$30,0),0),1)-1,""))</f>
        <v/>
      </c>
      <c r="AZ112" s="42" t="str">
        <f aca="false">IF(OR(AY112="",$E112=""),"",AY112-$E112)</f>
        <v/>
      </c>
      <c r="BA112" s="39"/>
      <c r="BB112" s="40" t="str">
        <f aca="false">IF(OR(BA112="",CD112=""),"",BA112/CD112*100)</f>
        <v/>
      </c>
      <c r="BC112" s="41" t="str">
        <f aca="false">IF(BB112="","",IFERROR(MATCH(BB112,INDEX(Boundaries!$B$2:$I$30,MATCH(CR112,Boundaries!$A$2:$A$30,0),0),1)-1,""))</f>
        <v/>
      </c>
      <c r="BD112" s="42" t="str">
        <f aca="false">IF(OR(BC112="",$E112=""),"",BC112-$E112)</f>
        <v/>
      </c>
      <c r="BE112" s="39"/>
      <c r="BF112" s="40" t="str">
        <f aca="false">IF(OR(BE112="",CE112=""),"",BE112/CE112*100)</f>
        <v/>
      </c>
      <c r="BG112" s="41" t="str">
        <f aca="false">IF(BF112="","",IFERROR(MATCH(BF112,INDEX(Boundaries!$B$2:$I$30,MATCH(CS112,Boundaries!$A$2:$A$30,0),0),1)-1,""))</f>
        <v/>
      </c>
      <c r="BH112" s="42" t="str">
        <f aca="false">IF(OR(BG112="",$E112=""),"",BG112-$E112)</f>
        <v/>
      </c>
      <c r="BI112" s="39"/>
      <c r="BJ112" s="40" t="str">
        <f aca="false">IF(OR(BI112="",CF112=""),"",BI112/CF112*100)</f>
        <v/>
      </c>
      <c r="BK112" s="41" t="str">
        <f aca="false">IF(BJ112="","",IFERROR(MATCH(BJ112,INDEX(Boundaries!$B$2:$I$30,MATCH(CT112,Boundaries!$A$2:$A$30,0),0),1)-1,""))</f>
        <v/>
      </c>
      <c r="BL112" s="42" t="str">
        <f aca="false">IF(OR(BK112="",$E112=""),"",BK112-$E112)</f>
        <v/>
      </c>
      <c r="BM112" s="39"/>
      <c r="BN112" s="40" t="str">
        <f aca="false">IF(OR(BM112="",CG112=""),"",BM112/CG112*100)</f>
        <v/>
      </c>
      <c r="BO112" s="41" t="str">
        <f aca="false">IF(BN112="","",IFERROR(MATCH(BN112,INDEX(Boundaries!$B$2:$I$30,MATCH(CU112,Boundaries!$A$2:$A$30,0),0),1)-1,""))</f>
        <v/>
      </c>
      <c r="BP112" s="42" t="str">
        <f aca="false">IF(OR(BO112="",$E112=""),"",BO112-$E112)</f>
        <v/>
      </c>
      <c r="BQ112" s="39"/>
      <c r="BR112" s="40" t="str">
        <f aca="false">IF(OR(BQ112="",CH112=""),"",BQ112/CH112*100)</f>
        <v/>
      </c>
      <c r="BS112" s="41" t="str">
        <f aca="false">IF(BR112="","",IFERROR(MATCH(BR112,INDEX(Boundaries!$B$2:$I$30,MATCH(CV112,Boundaries!$A$2:$A$30,0),0),1)-1,""))</f>
        <v/>
      </c>
      <c r="BT112" s="42" t="str">
        <f aca="false">IF(OR(BS112="",$E112=""),"",BS112-$E112)</f>
        <v/>
      </c>
      <c r="BU112" s="28" t="n">
        <f aca="false">IFERROR(INDEX(Assessments!$H$2:$H$600,MATCH($H112&amp;"|"&amp;$I112&amp;"|"&amp;$J112&amp;"|"&amp;1,Assessments!$A$2:$A$600,0)),"")</f>
        <v>30</v>
      </c>
      <c r="BV112" s="28" t="n">
        <f aca="false">IFERROR(INDEX(Assessments!$H$2:$H$600,MATCH($H112&amp;"|"&amp;$I112&amp;"|"&amp;$J112&amp;"|"&amp;2,Assessments!$A$2:$A$600,0)),"")</f>
        <v>20</v>
      </c>
      <c r="BW112" s="28" t="n">
        <f aca="false">IFERROR(INDEX(Assessments!$H$2:$H$600,MATCH($H112&amp;"|"&amp;$I112&amp;"|"&amp;$J112&amp;"|"&amp;3,Assessments!$A$2:$A$600,0)),"")</f>
        <v>25</v>
      </c>
      <c r="BX112" s="28" t="n">
        <f aca="false">IFERROR(INDEX(Assessments!$H$2:$H$600,MATCH($H112&amp;"|"&amp;$I112&amp;"|"&amp;$J112&amp;"|"&amp;4,Assessments!$A$2:$A$600,0)),"")</f>
        <v>23</v>
      </c>
      <c r="BY112" s="28" t="n">
        <f aca="false">IFERROR(INDEX(Assessments!$H$2:$H$600,MATCH($H112&amp;"|"&amp;$I112&amp;"|"&amp;$J112&amp;"|"&amp;5,Assessments!$A$2:$A$600,0)),"")</f>
        <v>25</v>
      </c>
      <c r="BZ112" s="28" t="n">
        <f aca="false">IFERROR(INDEX(Assessments!$H$2:$H$600,MATCH($H112&amp;"|"&amp;$I112&amp;"|"&amp;$J112&amp;"|"&amp;6,Assessments!$A$2:$A$600,0)),"")</f>
        <v>15</v>
      </c>
      <c r="CA112" s="28" t="n">
        <f aca="false">IFERROR(INDEX(Assessments!$H$2:$H$600,MATCH($H112&amp;"|"&amp;$I112&amp;"|"&amp;$J112&amp;"|"&amp;7,Assessments!$A$2:$A$600,0)),"")</f>
        <v>52</v>
      </c>
      <c r="CB112" s="28" t="str">
        <f aca="false">IFERROR(INDEX(Assessments!$H$2:$H$600,MATCH($H112&amp;"|"&amp;$I112&amp;"|"&amp;$J112&amp;"|"&amp;8,Assessments!$A$2:$A$600,0)),"")</f>
        <v/>
      </c>
      <c r="CC112" s="28" t="str">
        <f aca="false">IFERROR(INDEX(Assessments!$H$2:$H$600,MATCH($H112&amp;"|"&amp;$I112&amp;"|"&amp;$J112&amp;"|"&amp;9,Assessments!$A$2:$A$600,0)),"")</f>
        <v/>
      </c>
      <c r="CD112" s="28" t="str">
        <f aca="false">IFERROR(INDEX(Assessments!$H$2:$H$600,MATCH($H112&amp;"|"&amp;$I112&amp;"|"&amp;$J112&amp;"|"&amp;10,Assessments!$A$2:$A$600,0)),"")</f>
        <v/>
      </c>
      <c r="CE112" s="28" t="str">
        <f aca="false">IFERROR(INDEX(Assessments!$H$2:$H$600,MATCH($H112&amp;"|"&amp;$I112&amp;"|"&amp;$J112&amp;"|"&amp;11,Assessments!$A$2:$A$600,0)),"")</f>
        <v/>
      </c>
      <c r="CF112" s="28" t="str">
        <f aca="false">IFERROR(INDEX(Assessments!$H$2:$H$600,MATCH($H112&amp;"|"&amp;$I112&amp;"|"&amp;$J112&amp;"|"&amp;12,Assessments!$A$2:$A$600,0)),"")</f>
        <v/>
      </c>
      <c r="CG112" s="28" t="str">
        <f aca="false">IFERROR(INDEX(Assessments!$H$2:$H$600,MATCH($H112&amp;"|"&amp;$I112&amp;"|"&amp;$J112&amp;"|"&amp;13,Assessments!$A$2:$A$600,0)),"")</f>
        <v/>
      </c>
      <c r="CH112" s="28" t="str">
        <f aca="false">IFERROR(INDEX(Assessments!$H$2:$H$600,MATCH($H112&amp;"|"&amp;$I112&amp;"|"&amp;$J112&amp;"|"&amp;14,Assessments!$A$2:$A$600,0)),"")</f>
        <v/>
      </c>
      <c r="CI112" s="28" t="str">
        <f aca="false">IFERROR(INDEX(Assessments!$I$2:$I$600,MATCH($H112&amp;"|"&amp;$I112&amp;"|"&amp;$J112&amp;"|"&amp;1,Assessments!$A$2:$A$600,0)),"")</f>
        <v>Econ Test</v>
      </c>
      <c r="CJ112" s="28" t="str">
        <f aca="false">IFERROR(INDEX(Assessments!$I$2:$I$600,MATCH($H112&amp;"|"&amp;$I112&amp;"|"&amp;$J112&amp;"|"&amp;2,Assessments!$A$2:$A$600,0)),"")</f>
        <v>Econ Test</v>
      </c>
      <c r="CK112" s="28" t="str">
        <f aca="false">IFERROR(INDEX(Assessments!$I$2:$I$600,MATCH($H112&amp;"|"&amp;$I112&amp;"|"&amp;$J112&amp;"|"&amp;3,Assessments!$A$2:$A$600,0)),"")</f>
        <v>Econ Test</v>
      </c>
      <c r="CL112" s="28" t="str">
        <f aca="false">IFERROR(INDEX(Assessments!$I$2:$I$600,MATCH($H112&amp;"|"&amp;$I112&amp;"|"&amp;$J112&amp;"|"&amp;4,Assessments!$A$2:$A$600,0)),"")</f>
        <v>Econ Test</v>
      </c>
      <c r="CM112" s="28" t="str">
        <f aca="false">IFERROR(INDEX(Assessments!$I$2:$I$600,MATCH($H112&amp;"|"&amp;$I112&amp;"|"&amp;$J112&amp;"|"&amp;5,Assessments!$A$2:$A$600,0)),"")</f>
        <v>Econ Exam</v>
      </c>
      <c r="CN112" s="28" t="str">
        <f aca="false">IFERROR(INDEX(Assessments!$I$2:$I$600,MATCH($H112&amp;"|"&amp;$I112&amp;"|"&amp;$J112&amp;"|"&amp;6,Assessments!$A$2:$A$600,0)),"")</f>
        <v>Econ Test</v>
      </c>
      <c r="CO112" s="28" t="str">
        <f aca="false">IFERROR(INDEX(Assessments!$I$2:$I$600,MATCH($H112&amp;"|"&amp;$I112&amp;"|"&amp;$J112&amp;"|"&amp;7,Assessments!$A$2:$A$600,0)),"")</f>
        <v>Econ Exam</v>
      </c>
      <c r="CP112" s="28" t="str">
        <f aca="false">IFERROR(INDEX(Assessments!$I$2:$I$600,MATCH($H112&amp;"|"&amp;$I112&amp;"|"&amp;$J112&amp;"|"&amp;8,Assessments!$A$2:$A$600,0)),"")</f>
        <v/>
      </c>
      <c r="CQ112" s="28" t="str">
        <f aca="false">IFERROR(INDEX(Assessments!$I$2:$I$600,MATCH($H112&amp;"|"&amp;$I112&amp;"|"&amp;$J112&amp;"|"&amp;9,Assessments!$A$2:$A$600,0)),"")</f>
        <v/>
      </c>
      <c r="CR112" s="28" t="str">
        <f aca="false">IFERROR(INDEX(Assessments!$I$2:$I$600,MATCH($H112&amp;"|"&amp;$I112&amp;"|"&amp;$J112&amp;"|"&amp;10,Assessments!$A$2:$A$600,0)),"")</f>
        <v/>
      </c>
      <c r="CS112" s="28" t="str">
        <f aca="false">IFERROR(INDEX(Assessments!$I$2:$I$600,MATCH($H112&amp;"|"&amp;$I112&amp;"|"&amp;$J112&amp;"|"&amp;11,Assessments!$A$2:$A$600,0)),"")</f>
        <v/>
      </c>
      <c r="CT112" s="28" t="str">
        <f aca="false">IFERROR(INDEX(Assessments!$I$2:$I$600,MATCH($H112&amp;"|"&amp;$I112&amp;"|"&amp;$J112&amp;"|"&amp;12,Assessments!$A$2:$A$600,0)),"")</f>
        <v/>
      </c>
      <c r="CU112" s="28" t="str">
        <f aca="false">IFERROR(INDEX(Assessments!$I$2:$I$600,MATCH($H112&amp;"|"&amp;$I112&amp;"|"&amp;$J112&amp;"|"&amp;13,Assessments!$A$2:$A$600,0)),"")</f>
        <v/>
      </c>
      <c r="CV112" s="28" t="str">
        <f aca="false">IFERROR(INDEX(Assessments!$I$2:$I$600,MATCH($H112&amp;"|"&amp;$I112&amp;"|"&amp;$J112&amp;"|"&amp;14,Assessments!$A$2:$A$600,0)),"")</f>
        <v/>
      </c>
      <c r="CW112" s="28" t="n">
        <f aca="false">IFERROR(INDEX(Assessments!$J$2:$J$600,MATCH($H112&amp;"|"&amp;$I112&amp;"|"&amp;$J112&amp;"|"&amp;1,Assessments!$A$2:$A$600,0)),0)</f>
        <v>1</v>
      </c>
      <c r="CX112" s="28" t="n">
        <f aca="false">IFERROR(INDEX(Assessments!$J$2:$J$600,MATCH($H112&amp;"|"&amp;$I112&amp;"|"&amp;$J112&amp;"|"&amp;2,Assessments!$A$2:$A$600,0)),0)</f>
        <v>1</v>
      </c>
      <c r="CY112" s="28" t="n">
        <f aca="false">IFERROR(INDEX(Assessments!$J$2:$J$600,MATCH($H112&amp;"|"&amp;$I112&amp;"|"&amp;$J112&amp;"|"&amp;3,Assessments!$A$2:$A$600,0)),0)</f>
        <v>1</v>
      </c>
      <c r="CZ112" s="28" t="n">
        <f aca="false">IFERROR(INDEX(Assessments!$J$2:$J$600,MATCH($H112&amp;"|"&amp;$I112&amp;"|"&amp;$J112&amp;"|"&amp;4,Assessments!$A$2:$A$600,0)),0)</f>
        <v>1</v>
      </c>
      <c r="DA112" s="28" t="n">
        <f aca="false">IFERROR(INDEX(Assessments!$J$2:$J$600,MATCH($H112&amp;"|"&amp;$I112&amp;"|"&amp;$J112&amp;"|"&amp;5,Assessments!$A$2:$A$600,0)),0)</f>
        <v>2</v>
      </c>
      <c r="DB112" s="28" t="n">
        <f aca="false">IFERROR(INDEX(Assessments!$J$2:$J$600,MATCH($H112&amp;"|"&amp;$I112&amp;"|"&amp;$J112&amp;"|"&amp;6,Assessments!$A$2:$A$600,0)),0)</f>
        <v>1</v>
      </c>
      <c r="DC112" s="28" t="n">
        <f aca="false">IFERROR(INDEX(Assessments!$J$2:$J$600,MATCH($H112&amp;"|"&amp;$I112&amp;"|"&amp;$J112&amp;"|"&amp;7,Assessments!$A$2:$A$600,0)),0)</f>
        <v>2</v>
      </c>
      <c r="DD112" s="28" t="n">
        <f aca="false">IFERROR(INDEX(Assessments!$J$2:$J$600,MATCH($H112&amp;"|"&amp;$I112&amp;"|"&amp;$J112&amp;"|"&amp;8,Assessments!$A$2:$A$600,0)),0)</f>
        <v>0</v>
      </c>
      <c r="DE112" s="28" t="n">
        <f aca="false">IFERROR(INDEX(Assessments!$J$2:$J$600,MATCH($H112&amp;"|"&amp;$I112&amp;"|"&amp;$J112&amp;"|"&amp;9,Assessments!$A$2:$A$600,0)),0)</f>
        <v>0</v>
      </c>
      <c r="DF112" s="28" t="n">
        <f aca="false">IFERROR(INDEX(Assessments!$J$2:$J$600,MATCH($H112&amp;"|"&amp;$I112&amp;"|"&amp;$J112&amp;"|"&amp;10,Assessments!$A$2:$A$600,0)),0)</f>
        <v>0</v>
      </c>
      <c r="DG112" s="28" t="n">
        <f aca="false">IFERROR(INDEX(Assessments!$J$2:$J$600,MATCH($H112&amp;"|"&amp;$I112&amp;"|"&amp;$J112&amp;"|"&amp;11,Assessments!$A$2:$A$600,0)),0)</f>
        <v>0</v>
      </c>
      <c r="DH112" s="28" t="n">
        <f aca="false">IFERROR(INDEX(Assessments!$J$2:$J$600,MATCH($H112&amp;"|"&amp;$I112&amp;"|"&amp;$J112&amp;"|"&amp;12,Assessments!$A$2:$A$600,0)),0)</f>
        <v>0</v>
      </c>
      <c r="DI112" s="28" t="n">
        <f aca="false">IFERROR(INDEX(Assessments!$J$2:$J$600,MATCH($H112&amp;"|"&amp;$I112&amp;"|"&amp;$J112&amp;"|"&amp;13,Assessments!$A$2:$A$600,0)),0)</f>
        <v>0</v>
      </c>
      <c r="DJ112" s="28" t="n">
        <f aca="false">IFERROR(INDEX(Assessments!$J$2:$J$600,MATCH($H112&amp;"|"&amp;$I112&amp;"|"&amp;$J112&amp;"|"&amp;14,Assessments!$A$2:$A$600,0)),0)</f>
        <v>0</v>
      </c>
      <c r="DK112" s="28" t="n">
        <f aca="false">S112</f>
        <v>6</v>
      </c>
      <c r="DL112" s="28" t="n">
        <f aca="false">W112</f>
        <v>6</v>
      </c>
      <c r="DM112" s="28" t="n">
        <f aca="false">AA112</f>
        <v>5</v>
      </c>
      <c r="DN112" s="28" t="n">
        <f aca="false">AE112</f>
        <v>5</v>
      </c>
      <c r="DO112" s="28" t="n">
        <f aca="false">AI112</f>
        <v>5</v>
      </c>
      <c r="DP112" s="28" t="str">
        <f aca="false">AM112</f>
        <v/>
      </c>
      <c r="DQ112" s="28" t="str">
        <f aca="false">AQ112</f>
        <v/>
      </c>
      <c r="DR112" s="28" t="str">
        <f aca="false">AU112</f>
        <v/>
      </c>
      <c r="DS112" s="28" t="str">
        <f aca="false">AY112</f>
        <v/>
      </c>
      <c r="DT112" s="28" t="str">
        <f aca="false">BC112</f>
        <v/>
      </c>
      <c r="DU112" s="28" t="str">
        <f aca="false">BG112</f>
        <v/>
      </c>
      <c r="DV112" s="28" t="str">
        <f aca="false">BK112</f>
        <v/>
      </c>
      <c r="DW112" s="28" t="str">
        <f aca="false">BO112</f>
        <v/>
      </c>
      <c r="DX112" s="28" t="str">
        <f aca="false">BS112</f>
        <v/>
      </c>
      <c r="DY112" s="28" t="n">
        <f aca="false">IF(ISNUMBER(S112),1,"")</f>
        <v>1</v>
      </c>
      <c r="DZ112" s="28" t="n">
        <f aca="false">IF(ISNUMBER(W112),2,"")</f>
        <v>2</v>
      </c>
      <c r="EA112" s="28" t="n">
        <f aca="false">IF(ISNUMBER(AA112),3,"")</f>
        <v>3</v>
      </c>
      <c r="EB112" s="28" t="n">
        <f aca="false">IF(ISNUMBER(AE112),4,"")</f>
        <v>4</v>
      </c>
      <c r="EC112" s="28" t="n">
        <f aca="false">IF(ISNUMBER(AI112),5,"")</f>
        <v>5</v>
      </c>
      <c r="ED112" s="28" t="str">
        <f aca="false">IF(ISNUMBER(AM112),6,"")</f>
        <v/>
      </c>
      <c r="EE112" s="28" t="str">
        <f aca="false">IF(ISNUMBER(AQ112),7,"")</f>
        <v/>
      </c>
      <c r="EF112" s="28" t="str">
        <f aca="false">IF(ISNUMBER(AU112),8,"")</f>
        <v/>
      </c>
      <c r="EG112" s="28" t="str">
        <f aca="false">IF(ISNUMBER(AY112),9,"")</f>
        <v/>
      </c>
      <c r="EH112" s="28" t="str">
        <f aca="false">IF(ISNUMBER(BC112),10,"")</f>
        <v/>
      </c>
      <c r="EI112" s="28" t="str">
        <f aca="false">IF(ISNUMBER(BG112),11,"")</f>
        <v/>
      </c>
      <c r="EJ112" s="28" t="str">
        <f aca="false">IF(ISNUMBER(BK112),12,"")</f>
        <v/>
      </c>
      <c r="EK112" s="28" t="str">
        <f aca="false">IF(ISNUMBER(BO112),13,"")</f>
        <v/>
      </c>
      <c r="EL112" s="28" t="str">
        <f aca="false">IF(ISNUMBER(BS112),14,"")</f>
        <v/>
      </c>
      <c r="EM112" s="28" t="n">
        <f aca="false">IF(ISNUMBER(R112),R112*CW112,0)</f>
        <v>76.6666666666667</v>
      </c>
      <c r="EN112" s="28" t="n">
        <f aca="false">IF(ISNUMBER(V112),V112*CX112,0)</f>
        <v>80</v>
      </c>
      <c r="EO112" s="28" t="n">
        <f aca="false">IF(ISNUMBER(Z112),Z112*CY112,0)</f>
        <v>68</v>
      </c>
      <c r="EP112" s="28" t="n">
        <f aca="false">IF(ISNUMBER(AD112),AD112*CZ112,0)</f>
        <v>65.2173913043478</v>
      </c>
      <c r="EQ112" s="28" t="n">
        <f aca="false">IF(ISNUMBER(AH112),AH112*DA112,0)</f>
        <v>136</v>
      </c>
      <c r="ER112" s="28" t="n">
        <f aca="false">IF(ISNUMBER(AL112),AL112*DB112,0)</f>
        <v>0</v>
      </c>
      <c r="ES112" s="28" t="n">
        <f aca="false">IF(ISNUMBER(AP112),AP112*DC112,0)</f>
        <v>0</v>
      </c>
      <c r="ET112" s="28" t="n">
        <f aca="false">IF(ISNUMBER(AT112),AT112*DD112,0)</f>
        <v>0</v>
      </c>
      <c r="EU112" s="28" t="n">
        <f aca="false">IF(ISNUMBER(AX112),AX112*DE112,0)</f>
        <v>0</v>
      </c>
      <c r="EV112" s="28" t="n">
        <f aca="false">IF(ISNUMBER(BB112),BB112*DF112,0)</f>
        <v>0</v>
      </c>
      <c r="EW112" s="28" t="n">
        <f aca="false">IF(ISNUMBER(BF112),BF112*DG112,0)</f>
        <v>0</v>
      </c>
      <c r="EX112" s="28" t="n">
        <f aca="false">IF(ISNUMBER(BJ112),BJ112*DH112,0)</f>
        <v>0</v>
      </c>
      <c r="EY112" s="28" t="n">
        <f aca="false">IF(ISNUMBER(BN112),BN112*DI112,0)</f>
        <v>0</v>
      </c>
      <c r="EZ112" s="28" t="n">
        <f aca="false">IF(ISNUMBER(BR112),BR112*DJ112,0)</f>
        <v>0</v>
      </c>
      <c r="FA112" s="28" t="n">
        <f aca="false">IF(ISNUMBER(R112),CW112,0)</f>
        <v>1</v>
      </c>
      <c r="FB112" s="28" t="n">
        <f aca="false">IF(ISNUMBER(V112),CX112,0)</f>
        <v>1</v>
      </c>
      <c r="FC112" s="28" t="n">
        <f aca="false">IF(ISNUMBER(Z112),CY112,0)</f>
        <v>1</v>
      </c>
      <c r="FD112" s="28" t="n">
        <f aca="false">IF(ISNUMBER(AD112),CZ112,0)</f>
        <v>1</v>
      </c>
      <c r="FE112" s="28" t="n">
        <f aca="false">IF(ISNUMBER(AH112),DA112,0)</f>
        <v>2</v>
      </c>
      <c r="FF112" s="28" t="n">
        <f aca="false">IF(ISNUMBER(AL112),DB112,0)</f>
        <v>0</v>
      </c>
      <c r="FG112" s="28" t="n">
        <f aca="false">IF(ISNUMBER(AP112),DC112,0)</f>
        <v>0</v>
      </c>
      <c r="FH112" s="28" t="n">
        <f aca="false">IF(ISNUMBER(AT112),DD112,0)</f>
        <v>0</v>
      </c>
      <c r="FI112" s="28" t="n">
        <f aca="false">IF(ISNUMBER(AX112),DE112,0)</f>
        <v>0</v>
      </c>
      <c r="FJ112" s="28" t="n">
        <f aca="false">IF(ISNUMBER(BB112),DF112,0)</f>
        <v>0</v>
      </c>
      <c r="FK112" s="28" t="n">
        <f aca="false">IF(ISNUMBER(BF112),DG112,0)</f>
        <v>0</v>
      </c>
      <c r="FL112" s="28" t="n">
        <f aca="false">IF(ISNUMBER(BJ112),DH112,0)</f>
        <v>0</v>
      </c>
      <c r="FM112" s="28" t="n">
        <f aca="false">IF(ISNUMBER(BN112),DI112,0)</f>
        <v>0</v>
      </c>
      <c r="FN112" s="28" t="n">
        <f aca="false">IF(ISNUMBER(BR112),DJ112,0)</f>
        <v>0</v>
      </c>
      <c r="FO112" s="28" t="str">
        <f aca="false">IFERROR(INDEX(Lists!$G$2:$G$20,MATCH($I112&amp;"|"&amp;$J112,Lists!$F$2:$F$20,0)),"")</f>
        <v>Econ Exam</v>
      </c>
    </row>
    <row r="113" customFormat="false" ht="19.5" hidden="false" customHeight="true" outlineLevel="0" collapsed="false">
      <c r="A113" s="29" t="s">
        <v>344</v>
      </c>
      <c r="B113" s="29" t="s">
        <v>343</v>
      </c>
      <c r="C113" s="30" t="s">
        <v>152</v>
      </c>
      <c r="D113" s="30" t="s">
        <v>291</v>
      </c>
      <c r="E113" s="31" t="n">
        <v>6</v>
      </c>
      <c r="F113" s="30" t="n">
        <v>6</v>
      </c>
      <c r="G113" s="30"/>
      <c r="H113" s="32" t="s">
        <v>23</v>
      </c>
      <c r="I113" s="33" t="s">
        <v>229</v>
      </c>
      <c r="J113" s="32" t="s">
        <v>223</v>
      </c>
      <c r="K113" s="34" t="n">
        <f aca="false">IF(OR(M113="",$E113=""),"",M113-$E113)</f>
        <v>0</v>
      </c>
      <c r="L113" s="35" t="n">
        <f aca="false">IF(SUM(FA113:FN113)=0,"",SUM(EM113:EZ113)/SUM(FA113:FN113))</f>
        <v>75.8140096618358</v>
      </c>
      <c r="M113" s="36" t="n">
        <f aca="false">IF(OR(L113="",FO113=""),"",IFERROR(MATCH(L113,INDEX(Boundaries!$B$2:$I$30,MATCH(FO113,Boundaries!$A$2:$A$30,0),0),1)-1,""))</f>
        <v>6</v>
      </c>
      <c r="N113" s="37" t="n">
        <f aca="false">IF(COUNT($DY113:$EL113)&lt;2,"",INDEX($DK113:$DX113,MAX($DY113:$EL113))-INDEX($DK113:$DX113,MIN($DY113:$EL113)))</f>
        <v>3</v>
      </c>
      <c r="O113" s="37" t="n">
        <f aca="false">IF(COUNT($DY113:$EL113)&lt;2,"",INDEX($DK113:$DX113,MAX($DY113:$EL113))-INDEX($DK113:$DX113,LARGE($DY113:$EL113,2)))</f>
        <v>2</v>
      </c>
      <c r="P113" s="38" t="str">
        <f aca="false">IF(K113="","",IF(K113&gt;=0,"On/above target",IF(AND(N113&lt;&gt;"",N113&gt;=0.5),"Improving towards target",IF(AND(O113&lt;&gt;"",O113&lt;=-0.5),"Declining","Stable below target"))))</f>
        <v>On/above target</v>
      </c>
      <c r="Q113" s="39" t="n">
        <v>17</v>
      </c>
      <c r="R113" s="40" t="n">
        <f aca="false">IF(OR(Q113="",BU113=""),"",Q113/BU113*100)</f>
        <v>56.6666666666667</v>
      </c>
      <c r="S113" s="41" t="n">
        <f aca="false">IF(R113="","",IFERROR(MATCH(R113,INDEX(Boundaries!$B$2:$I$30,MATCH(CI113,Boundaries!$A$2:$A$30,0),0),1)-1,""))</f>
        <v>4</v>
      </c>
      <c r="T113" s="42" t="n">
        <f aca="false">IF(OR(S113="",$E113=""),"",S113-$E113)</f>
        <v>-2</v>
      </c>
      <c r="U113" s="39" t="n">
        <v>17</v>
      </c>
      <c r="V113" s="40" t="n">
        <f aca="false">IF(OR(U113="",BV113=""),"",U113/BV113*100)</f>
        <v>85</v>
      </c>
      <c r="W113" s="41" t="n">
        <f aca="false">IF(V113="","",IFERROR(MATCH(V113,INDEX(Boundaries!$B$2:$I$30,MATCH(CJ113,Boundaries!$A$2:$A$30,0),0),1)-1,""))</f>
        <v>7</v>
      </c>
      <c r="X113" s="42" t="n">
        <f aca="false">IF(OR(W113="",$E113=""),"",W113-$E113)</f>
        <v>1</v>
      </c>
      <c r="Y113" s="39" t="n">
        <v>22</v>
      </c>
      <c r="Z113" s="40" t="n">
        <f aca="false">IF(OR(Y113="",BW113=""),"",Y113/BW113*100)</f>
        <v>88</v>
      </c>
      <c r="AA113" s="41" t="n">
        <f aca="false">IF(Z113="","",IFERROR(MATCH(Z113,INDEX(Boundaries!$B$2:$I$30,MATCH(CK113,Boundaries!$A$2:$A$30,0),0),1)-1,""))</f>
        <v>7</v>
      </c>
      <c r="AB113" s="42" t="n">
        <f aca="false">IF(OR(AA113="",$E113=""),"",AA113-$E113)</f>
        <v>1</v>
      </c>
      <c r="AC113" s="39" t="n">
        <v>15</v>
      </c>
      <c r="AD113" s="40" t="n">
        <f aca="false">IF(OR(AC113="",BX113=""),"",AC113/BX113*100)</f>
        <v>65.2173913043478</v>
      </c>
      <c r="AE113" s="41" t="n">
        <f aca="false">IF(AD113="","",IFERROR(MATCH(AD113,INDEX(Boundaries!$B$2:$I$30,MATCH(CL113,Boundaries!$A$2:$A$30,0),0),1)-1,""))</f>
        <v>5</v>
      </c>
      <c r="AF113" s="42" t="n">
        <f aca="false">IF(OR(AE113="",$E113=""),"",AE113-$E113)</f>
        <v>-1</v>
      </c>
      <c r="AG113" s="39" t="n">
        <v>20</v>
      </c>
      <c r="AH113" s="40" t="n">
        <f aca="false">IF(OR(AG113="",BY113=""),"",AG113/BY113*100)</f>
        <v>80</v>
      </c>
      <c r="AI113" s="41" t="n">
        <f aca="false">IF(AH113="","",IFERROR(MATCH(AH113,INDEX(Boundaries!$B$2:$I$30,MATCH(CM113,Boundaries!$A$2:$A$30,0),0),1)-1,""))</f>
        <v>7</v>
      </c>
      <c r="AJ113" s="42" t="n">
        <f aca="false">IF(OR(AI113="",$E113=""),"",AI113-$E113)</f>
        <v>1</v>
      </c>
      <c r="AK113" s="39"/>
      <c r="AL113" s="40" t="str">
        <f aca="false">IF(OR(AK113="",BZ113=""),"",AK113/BZ113*100)</f>
        <v/>
      </c>
      <c r="AM113" s="41" t="str">
        <f aca="false">IF(AL113="","",IFERROR(MATCH(AL113,INDEX(Boundaries!$B$2:$I$30,MATCH(CN113,Boundaries!$A$2:$A$30,0),0),1)-1,""))</f>
        <v/>
      </c>
      <c r="AN113" s="42" t="str">
        <f aca="false">IF(OR(AM113="",$E113=""),"",AM113-$E113)</f>
        <v/>
      </c>
      <c r="AO113" s="39"/>
      <c r="AP113" s="40" t="str">
        <f aca="false">IF(OR(AO113="",CA113=""),"",AO113/CA113*100)</f>
        <v/>
      </c>
      <c r="AQ113" s="41" t="str">
        <f aca="false">IF(AP113="","",IFERROR(MATCH(AP113,INDEX(Boundaries!$B$2:$I$30,MATCH(CO113,Boundaries!$A$2:$A$30,0),0),1)-1,""))</f>
        <v/>
      </c>
      <c r="AR113" s="42" t="str">
        <f aca="false">IF(OR(AQ113="",$E113=""),"",AQ113-$E113)</f>
        <v/>
      </c>
      <c r="AS113" s="39"/>
      <c r="AT113" s="40" t="str">
        <f aca="false">IF(OR(AS113="",CB113=""),"",AS113/CB113*100)</f>
        <v/>
      </c>
      <c r="AU113" s="41" t="str">
        <f aca="false">IF(AT113="","",IFERROR(MATCH(AT113,INDEX(Boundaries!$B$2:$I$30,MATCH(CP113,Boundaries!$A$2:$A$30,0),0),1)-1,""))</f>
        <v/>
      </c>
      <c r="AV113" s="42" t="str">
        <f aca="false">IF(OR(AU113="",$E113=""),"",AU113-$E113)</f>
        <v/>
      </c>
      <c r="AW113" s="39"/>
      <c r="AX113" s="40" t="str">
        <f aca="false">IF(OR(AW113="",CC113=""),"",AW113/CC113*100)</f>
        <v/>
      </c>
      <c r="AY113" s="41" t="str">
        <f aca="false">IF(AX113="","",IFERROR(MATCH(AX113,INDEX(Boundaries!$B$2:$I$30,MATCH(CQ113,Boundaries!$A$2:$A$30,0),0),1)-1,""))</f>
        <v/>
      </c>
      <c r="AZ113" s="42" t="str">
        <f aca="false">IF(OR(AY113="",$E113=""),"",AY113-$E113)</f>
        <v/>
      </c>
      <c r="BA113" s="39"/>
      <c r="BB113" s="40" t="str">
        <f aca="false">IF(OR(BA113="",CD113=""),"",BA113/CD113*100)</f>
        <v/>
      </c>
      <c r="BC113" s="41" t="str">
        <f aca="false">IF(BB113="","",IFERROR(MATCH(BB113,INDEX(Boundaries!$B$2:$I$30,MATCH(CR113,Boundaries!$A$2:$A$30,0),0),1)-1,""))</f>
        <v/>
      </c>
      <c r="BD113" s="42" t="str">
        <f aca="false">IF(OR(BC113="",$E113=""),"",BC113-$E113)</f>
        <v/>
      </c>
      <c r="BE113" s="39"/>
      <c r="BF113" s="40" t="str">
        <f aca="false">IF(OR(BE113="",CE113=""),"",BE113/CE113*100)</f>
        <v/>
      </c>
      <c r="BG113" s="41" t="str">
        <f aca="false">IF(BF113="","",IFERROR(MATCH(BF113,INDEX(Boundaries!$B$2:$I$30,MATCH(CS113,Boundaries!$A$2:$A$30,0),0),1)-1,""))</f>
        <v/>
      </c>
      <c r="BH113" s="42" t="str">
        <f aca="false">IF(OR(BG113="",$E113=""),"",BG113-$E113)</f>
        <v/>
      </c>
      <c r="BI113" s="39"/>
      <c r="BJ113" s="40" t="str">
        <f aca="false">IF(OR(BI113="",CF113=""),"",BI113/CF113*100)</f>
        <v/>
      </c>
      <c r="BK113" s="41" t="str">
        <f aca="false">IF(BJ113="","",IFERROR(MATCH(BJ113,INDEX(Boundaries!$B$2:$I$30,MATCH(CT113,Boundaries!$A$2:$A$30,0),0),1)-1,""))</f>
        <v/>
      </c>
      <c r="BL113" s="42" t="str">
        <f aca="false">IF(OR(BK113="",$E113=""),"",BK113-$E113)</f>
        <v/>
      </c>
      <c r="BM113" s="39"/>
      <c r="BN113" s="40" t="str">
        <f aca="false">IF(OR(BM113="",CG113=""),"",BM113/CG113*100)</f>
        <v/>
      </c>
      <c r="BO113" s="41" t="str">
        <f aca="false">IF(BN113="","",IFERROR(MATCH(BN113,INDEX(Boundaries!$B$2:$I$30,MATCH(CU113,Boundaries!$A$2:$A$30,0),0),1)-1,""))</f>
        <v/>
      </c>
      <c r="BP113" s="42" t="str">
        <f aca="false">IF(OR(BO113="",$E113=""),"",BO113-$E113)</f>
        <v/>
      </c>
      <c r="BQ113" s="39"/>
      <c r="BR113" s="40" t="str">
        <f aca="false">IF(OR(BQ113="",CH113=""),"",BQ113/CH113*100)</f>
        <v/>
      </c>
      <c r="BS113" s="41" t="str">
        <f aca="false">IF(BR113="","",IFERROR(MATCH(BR113,INDEX(Boundaries!$B$2:$I$30,MATCH(CV113,Boundaries!$A$2:$A$30,0),0),1)-1,""))</f>
        <v/>
      </c>
      <c r="BT113" s="42" t="str">
        <f aca="false">IF(OR(BS113="",$E113=""),"",BS113-$E113)</f>
        <v/>
      </c>
      <c r="BU113" s="28" t="n">
        <f aca="false">IFERROR(INDEX(Assessments!$H$2:$H$600,MATCH($H113&amp;"|"&amp;$I113&amp;"|"&amp;$J113&amp;"|"&amp;1,Assessments!$A$2:$A$600,0)),"")</f>
        <v>30</v>
      </c>
      <c r="BV113" s="28" t="n">
        <f aca="false">IFERROR(INDEX(Assessments!$H$2:$H$600,MATCH($H113&amp;"|"&amp;$I113&amp;"|"&amp;$J113&amp;"|"&amp;2,Assessments!$A$2:$A$600,0)),"")</f>
        <v>20</v>
      </c>
      <c r="BW113" s="28" t="n">
        <f aca="false">IFERROR(INDEX(Assessments!$H$2:$H$600,MATCH($H113&amp;"|"&amp;$I113&amp;"|"&amp;$J113&amp;"|"&amp;3,Assessments!$A$2:$A$600,0)),"")</f>
        <v>25</v>
      </c>
      <c r="BX113" s="28" t="n">
        <f aca="false">IFERROR(INDEX(Assessments!$H$2:$H$600,MATCH($H113&amp;"|"&amp;$I113&amp;"|"&amp;$J113&amp;"|"&amp;4,Assessments!$A$2:$A$600,0)),"")</f>
        <v>23</v>
      </c>
      <c r="BY113" s="28" t="n">
        <f aca="false">IFERROR(INDEX(Assessments!$H$2:$H$600,MATCH($H113&amp;"|"&amp;$I113&amp;"|"&amp;$J113&amp;"|"&amp;5,Assessments!$A$2:$A$600,0)),"")</f>
        <v>25</v>
      </c>
      <c r="BZ113" s="28" t="n">
        <f aca="false">IFERROR(INDEX(Assessments!$H$2:$H$600,MATCH($H113&amp;"|"&amp;$I113&amp;"|"&amp;$J113&amp;"|"&amp;6,Assessments!$A$2:$A$600,0)),"")</f>
        <v>15</v>
      </c>
      <c r="CA113" s="28" t="n">
        <f aca="false">IFERROR(INDEX(Assessments!$H$2:$H$600,MATCH($H113&amp;"|"&amp;$I113&amp;"|"&amp;$J113&amp;"|"&amp;7,Assessments!$A$2:$A$600,0)),"")</f>
        <v>52</v>
      </c>
      <c r="CB113" s="28" t="str">
        <f aca="false">IFERROR(INDEX(Assessments!$H$2:$H$600,MATCH($H113&amp;"|"&amp;$I113&amp;"|"&amp;$J113&amp;"|"&amp;8,Assessments!$A$2:$A$600,0)),"")</f>
        <v/>
      </c>
      <c r="CC113" s="28" t="str">
        <f aca="false">IFERROR(INDEX(Assessments!$H$2:$H$600,MATCH($H113&amp;"|"&amp;$I113&amp;"|"&amp;$J113&amp;"|"&amp;9,Assessments!$A$2:$A$600,0)),"")</f>
        <v/>
      </c>
      <c r="CD113" s="28" t="str">
        <f aca="false">IFERROR(INDEX(Assessments!$H$2:$H$600,MATCH($H113&amp;"|"&amp;$I113&amp;"|"&amp;$J113&amp;"|"&amp;10,Assessments!$A$2:$A$600,0)),"")</f>
        <v/>
      </c>
      <c r="CE113" s="28" t="str">
        <f aca="false">IFERROR(INDEX(Assessments!$H$2:$H$600,MATCH($H113&amp;"|"&amp;$I113&amp;"|"&amp;$J113&amp;"|"&amp;11,Assessments!$A$2:$A$600,0)),"")</f>
        <v/>
      </c>
      <c r="CF113" s="28" t="str">
        <f aca="false">IFERROR(INDEX(Assessments!$H$2:$H$600,MATCH($H113&amp;"|"&amp;$I113&amp;"|"&amp;$J113&amp;"|"&amp;12,Assessments!$A$2:$A$600,0)),"")</f>
        <v/>
      </c>
      <c r="CG113" s="28" t="str">
        <f aca="false">IFERROR(INDEX(Assessments!$H$2:$H$600,MATCH($H113&amp;"|"&amp;$I113&amp;"|"&amp;$J113&amp;"|"&amp;13,Assessments!$A$2:$A$600,0)),"")</f>
        <v/>
      </c>
      <c r="CH113" s="28" t="str">
        <f aca="false">IFERROR(INDEX(Assessments!$H$2:$H$600,MATCH($H113&amp;"|"&amp;$I113&amp;"|"&amp;$J113&amp;"|"&amp;14,Assessments!$A$2:$A$600,0)),"")</f>
        <v/>
      </c>
      <c r="CI113" s="28" t="str">
        <f aca="false">IFERROR(INDEX(Assessments!$I$2:$I$600,MATCH($H113&amp;"|"&amp;$I113&amp;"|"&amp;$J113&amp;"|"&amp;1,Assessments!$A$2:$A$600,0)),"")</f>
        <v>Econ Test</v>
      </c>
      <c r="CJ113" s="28" t="str">
        <f aca="false">IFERROR(INDEX(Assessments!$I$2:$I$600,MATCH($H113&amp;"|"&amp;$I113&amp;"|"&amp;$J113&amp;"|"&amp;2,Assessments!$A$2:$A$600,0)),"")</f>
        <v>Econ Test</v>
      </c>
      <c r="CK113" s="28" t="str">
        <f aca="false">IFERROR(INDEX(Assessments!$I$2:$I$600,MATCH($H113&amp;"|"&amp;$I113&amp;"|"&amp;$J113&amp;"|"&amp;3,Assessments!$A$2:$A$600,0)),"")</f>
        <v>Econ Test</v>
      </c>
      <c r="CL113" s="28" t="str">
        <f aca="false">IFERROR(INDEX(Assessments!$I$2:$I$600,MATCH($H113&amp;"|"&amp;$I113&amp;"|"&amp;$J113&amp;"|"&amp;4,Assessments!$A$2:$A$600,0)),"")</f>
        <v>Econ Test</v>
      </c>
      <c r="CM113" s="28" t="str">
        <f aca="false">IFERROR(INDEX(Assessments!$I$2:$I$600,MATCH($H113&amp;"|"&amp;$I113&amp;"|"&amp;$J113&amp;"|"&amp;5,Assessments!$A$2:$A$600,0)),"")</f>
        <v>Econ Exam</v>
      </c>
      <c r="CN113" s="28" t="str">
        <f aca="false">IFERROR(INDEX(Assessments!$I$2:$I$600,MATCH($H113&amp;"|"&amp;$I113&amp;"|"&amp;$J113&amp;"|"&amp;6,Assessments!$A$2:$A$600,0)),"")</f>
        <v>Econ Test</v>
      </c>
      <c r="CO113" s="28" t="str">
        <f aca="false">IFERROR(INDEX(Assessments!$I$2:$I$600,MATCH($H113&amp;"|"&amp;$I113&amp;"|"&amp;$J113&amp;"|"&amp;7,Assessments!$A$2:$A$600,0)),"")</f>
        <v>Econ Exam</v>
      </c>
      <c r="CP113" s="28" t="str">
        <f aca="false">IFERROR(INDEX(Assessments!$I$2:$I$600,MATCH($H113&amp;"|"&amp;$I113&amp;"|"&amp;$J113&amp;"|"&amp;8,Assessments!$A$2:$A$600,0)),"")</f>
        <v/>
      </c>
      <c r="CQ113" s="28" t="str">
        <f aca="false">IFERROR(INDEX(Assessments!$I$2:$I$600,MATCH($H113&amp;"|"&amp;$I113&amp;"|"&amp;$J113&amp;"|"&amp;9,Assessments!$A$2:$A$600,0)),"")</f>
        <v/>
      </c>
      <c r="CR113" s="28" t="str">
        <f aca="false">IFERROR(INDEX(Assessments!$I$2:$I$600,MATCH($H113&amp;"|"&amp;$I113&amp;"|"&amp;$J113&amp;"|"&amp;10,Assessments!$A$2:$A$600,0)),"")</f>
        <v/>
      </c>
      <c r="CS113" s="28" t="str">
        <f aca="false">IFERROR(INDEX(Assessments!$I$2:$I$600,MATCH($H113&amp;"|"&amp;$I113&amp;"|"&amp;$J113&amp;"|"&amp;11,Assessments!$A$2:$A$600,0)),"")</f>
        <v/>
      </c>
      <c r="CT113" s="28" t="str">
        <f aca="false">IFERROR(INDEX(Assessments!$I$2:$I$600,MATCH($H113&amp;"|"&amp;$I113&amp;"|"&amp;$J113&amp;"|"&amp;12,Assessments!$A$2:$A$600,0)),"")</f>
        <v/>
      </c>
      <c r="CU113" s="28" t="str">
        <f aca="false">IFERROR(INDEX(Assessments!$I$2:$I$600,MATCH($H113&amp;"|"&amp;$I113&amp;"|"&amp;$J113&amp;"|"&amp;13,Assessments!$A$2:$A$600,0)),"")</f>
        <v/>
      </c>
      <c r="CV113" s="28" t="str">
        <f aca="false">IFERROR(INDEX(Assessments!$I$2:$I$600,MATCH($H113&amp;"|"&amp;$I113&amp;"|"&amp;$J113&amp;"|"&amp;14,Assessments!$A$2:$A$600,0)),"")</f>
        <v/>
      </c>
      <c r="CW113" s="28" t="n">
        <f aca="false">IFERROR(INDEX(Assessments!$J$2:$J$600,MATCH($H113&amp;"|"&amp;$I113&amp;"|"&amp;$J113&amp;"|"&amp;1,Assessments!$A$2:$A$600,0)),0)</f>
        <v>1</v>
      </c>
      <c r="CX113" s="28" t="n">
        <f aca="false">IFERROR(INDEX(Assessments!$J$2:$J$600,MATCH($H113&amp;"|"&amp;$I113&amp;"|"&amp;$J113&amp;"|"&amp;2,Assessments!$A$2:$A$600,0)),0)</f>
        <v>1</v>
      </c>
      <c r="CY113" s="28" t="n">
        <f aca="false">IFERROR(INDEX(Assessments!$J$2:$J$600,MATCH($H113&amp;"|"&amp;$I113&amp;"|"&amp;$J113&amp;"|"&amp;3,Assessments!$A$2:$A$600,0)),0)</f>
        <v>1</v>
      </c>
      <c r="CZ113" s="28" t="n">
        <f aca="false">IFERROR(INDEX(Assessments!$J$2:$J$600,MATCH($H113&amp;"|"&amp;$I113&amp;"|"&amp;$J113&amp;"|"&amp;4,Assessments!$A$2:$A$600,0)),0)</f>
        <v>1</v>
      </c>
      <c r="DA113" s="28" t="n">
        <f aca="false">IFERROR(INDEX(Assessments!$J$2:$J$600,MATCH($H113&amp;"|"&amp;$I113&amp;"|"&amp;$J113&amp;"|"&amp;5,Assessments!$A$2:$A$600,0)),0)</f>
        <v>2</v>
      </c>
      <c r="DB113" s="28" t="n">
        <f aca="false">IFERROR(INDEX(Assessments!$J$2:$J$600,MATCH($H113&amp;"|"&amp;$I113&amp;"|"&amp;$J113&amp;"|"&amp;6,Assessments!$A$2:$A$600,0)),0)</f>
        <v>1</v>
      </c>
      <c r="DC113" s="28" t="n">
        <f aca="false">IFERROR(INDEX(Assessments!$J$2:$J$600,MATCH($H113&amp;"|"&amp;$I113&amp;"|"&amp;$J113&amp;"|"&amp;7,Assessments!$A$2:$A$600,0)),0)</f>
        <v>2</v>
      </c>
      <c r="DD113" s="28" t="n">
        <f aca="false">IFERROR(INDEX(Assessments!$J$2:$J$600,MATCH($H113&amp;"|"&amp;$I113&amp;"|"&amp;$J113&amp;"|"&amp;8,Assessments!$A$2:$A$600,0)),0)</f>
        <v>0</v>
      </c>
      <c r="DE113" s="28" t="n">
        <f aca="false">IFERROR(INDEX(Assessments!$J$2:$J$600,MATCH($H113&amp;"|"&amp;$I113&amp;"|"&amp;$J113&amp;"|"&amp;9,Assessments!$A$2:$A$600,0)),0)</f>
        <v>0</v>
      </c>
      <c r="DF113" s="28" t="n">
        <f aca="false">IFERROR(INDEX(Assessments!$J$2:$J$600,MATCH($H113&amp;"|"&amp;$I113&amp;"|"&amp;$J113&amp;"|"&amp;10,Assessments!$A$2:$A$600,0)),0)</f>
        <v>0</v>
      </c>
      <c r="DG113" s="28" t="n">
        <f aca="false">IFERROR(INDEX(Assessments!$J$2:$J$600,MATCH($H113&amp;"|"&amp;$I113&amp;"|"&amp;$J113&amp;"|"&amp;11,Assessments!$A$2:$A$600,0)),0)</f>
        <v>0</v>
      </c>
      <c r="DH113" s="28" t="n">
        <f aca="false">IFERROR(INDEX(Assessments!$J$2:$J$600,MATCH($H113&amp;"|"&amp;$I113&amp;"|"&amp;$J113&amp;"|"&amp;12,Assessments!$A$2:$A$600,0)),0)</f>
        <v>0</v>
      </c>
      <c r="DI113" s="28" t="n">
        <f aca="false">IFERROR(INDEX(Assessments!$J$2:$J$600,MATCH($H113&amp;"|"&amp;$I113&amp;"|"&amp;$J113&amp;"|"&amp;13,Assessments!$A$2:$A$600,0)),0)</f>
        <v>0</v>
      </c>
      <c r="DJ113" s="28" t="n">
        <f aca="false">IFERROR(INDEX(Assessments!$J$2:$J$600,MATCH($H113&amp;"|"&amp;$I113&amp;"|"&amp;$J113&amp;"|"&amp;14,Assessments!$A$2:$A$600,0)),0)</f>
        <v>0</v>
      </c>
      <c r="DK113" s="28" t="n">
        <f aca="false">S113</f>
        <v>4</v>
      </c>
      <c r="DL113" s="28" t="n">
        <f aca="false">W113</f>
        <v>7</v>
      </c>
      <c r="DM113" s="28" t="n">
        <f aca="false">AA113</f>
        <v>7</v>
      </c>
      <c r="DN113" s="28" t="n">
        <f aca="false">AE113</f>
        <v>5</v>
      </c>
      <c r="DO113" s="28" t="n">
        <f aca="false">AI113</f>
        <v>7</v>
      </c>
      <c r="DP113" s="28" t="str">
        <f aca="false">AM113</f>
        <v/>
      </c>
      <c r="DQ113" s="28" t="str">
        <f aca="false">AQ113</f>
        <v/>
      </c>
      <c r="DR113" s="28" t="str">
        <f aca="false">AU113</f>
        <v/>
      </c>
      <c r="DS113" s="28" t="str">
        <f aca="false">AY113</f>
        <v/>
      </c>
      <c r="DT113" s="28" t="str">
        <f aca="false">BC113</f>
        <v/>
      </c>
      <c r="DU113" s="28" t="str">
        <f aca="false">BG113</f>
        <v/>
      </c>
      <c r="DV113" s="28" t="str">
        <f aca="false">BK113</f>
        <v/>
      </c>
      <c r="DW113" s="28" t="str">
        <f aca="false">BO113</f>
        <v/>
      </c>
      <c r="DX113" s="28" t="str">
        <f aca="false">BS113</f>
        <v/>
      </c>
      <c r="DY113" s="28" t="n">
        <f aca="false">IF(ISNUMBER(S113),1,"")</f>
        <v>1</v>
      </c>
      <c r="DZ113" s="28" t="n">
        <f aca="false">IF(ISNUMBER(W113),2,"")</f>
        <v>2</v>
      </c>
      <c r="EA113" s="28" t="n">
        <f aca="false">IF(ISNUMBER(AA113),3,"")</f>
        <v>3</v>
      </c>
      <c r="EB113" s="28" t="n">
        <f aca="false">IF(ISNUMBER(AE113),4,"")</f>
        <v>4</v>
      </c>
      <c r="EC113" s="28" t="n">
        <f aca="false">IF(ISNUMBER(AI113),5,"")</f>
        <v>5</v>
      </c>
      <c r="ED113" s="28" t="str">
        <f aca="false">IF(ISNUMBER(AM113),6,"")</f>
        <v/>
      </c>
      <c r="EE113" s="28" t="str">
        <f aca="false">IF(ISNUMBER(AQ113),7,"")</f>
        <v/>
      </c>
      <c r="EF113" s="28" t="str">
        <f aca="false">IF(ISNUMBER(AU113),8,"")</f>
        <v/>
      </c>
      <c r="EG113" s="28" t="str">
        <f aca="false">IF(ISNUMBER(AY113),9,"")</f>
        <v/>
      </c>
      <c r="EH113" s="28" t="str">
        <f aca="false">IF(ISNUMBER(BC113),10,"")</f>
        <v/>
      </c>
      <c r="EI113" s="28" t="str">
        <f aca="false">IF(ISNUMBER(BG113),11,"")</f>
        <v/>
      </c>
      <c r="EJ113" s="28" t="str">
        <f aca="false">IF(ISNUMBER(BK113),12,"")</f>
        <v/>
      </c>
      <c r="EK113" s="28" t="str">
        <f aca="false">IF(ISNUMBER(BO113),13,"")</f>
        <v/>
      </c>
      <c r="EL113" s="28" t="str">
        <f aca="false">IF(ISNUMBER(BS113),14,"")</f>
        <v/>
      </c>
      <c r="EM113" s="28" t="n">
        <f aca="false">IF(ISNUMBER(R113),R113*CW113,0)</f>
        <v>56.6666666666667</v>
      </c>
      <c r="EN113" s="28" t="n">
        <f aca="false">IF(ISNUMBER(V113),V113*CX113,0)</f>
        <v>85</v>
      </c>
      <c r="EO113" s="28" t="n">
        <f aca="false">IF(ISNUMBER(Z113),Z113*CY113,0)</f>
        <v>88</v>
      </c>
      <c r="EP113" s="28" t="n">
        <f aca="false">IF(ISNUMBER(AD113),AD113*CZ113,0)</f>
        <v>65.2173913043478</v>
      </c>
      <c r="EQ113" s="28" t="n">
        <f aca="false">IF(ISNUMBER(AH113),AH113*DA113,0)</f>
        <v>160</v>
      </c>
      <c r="ER113" s="28" t="n">
        <f aca="false">IF(ISNUMBER(AL113),AL113*DB113,0)</f>
        <v>0</v>
      </c>
      <c r="ES113" s="28" t="n">
        <f aca="false">IF(ISNUMBER(AP113),AP113*DC113,0)</f>
        <v>0</v>
      </c>
      <c r="ET113" s="28" t="n">
        <f aca="false">IF(ISNUMBER(AT113),AT113*DD113,0)</f>
        <v>0</v>
      </c>
      <c r="EU113" s="28" t="n">
        <f aca="false">IF(ISNUMBER(AX113),AX113*DE113,0)</f>
        <v>0</v>
      </c>
      <c r="EV113" s="28" t="n">
        <f aca="false">IF(ISNUMBER(BB113),BB113*DF113,0)</f>
        <v>0</v>
      </c>
      <c r="EW113" s="28" t="n">
        <f aca="false">IF(ISNUMBER(BF113),BF113*DG113,0)</f>
        <v>0</v>
      </c>
      <c r="EX113" s="28" t="n">
        <f aca="false">IF(ISNUMBER(BJ113),BJ113*DH113,0)</f>
        <v>0</v>
      </c>
      <c r="EY113" s="28" t="n">
        <f aca="false">IF(ISNUMBER(BN113),BN113*DI113,0)</f>
        <v>0</v>
      </c>
      <c r="EZ113" s="28" t="n">
        <f aca="false">IF(ISNUMBER(BR113),BR113*DJ113,0)</f>
        <v>0</v>
      </c>
      <c r="FA113" s="28" t="n">
        <f aca="false">IF(ISNUMBER(R113),CW113,0)</f>
        <v>1</v>
      </c>
      <c r="FB113" s="28" t="n">
        <f aca="false">IF(ISNUMBER(V113),CX113,0)</f>
        <v>1</v>
      </c>
      <c r="FC113" s="28" t="n">
        <f aca="false">IF(ISNUMBER(Z113),CY113,0)</f>
        <v>1</v>
      </c>
      <c r="FD113" s="28" t="n">
        <f aca="false">IF(ISNUMBER(AD113),CZ113,0)</f>
        <v>1</v>
      </c>
      <c r="FE113" s="28" t="n">
        <f aca="false">IF(ISNUMBER(AH113),DA113,0)</f>
        <v>2</v>
      </c>
      <c r="FF113" s="28" t="n">
        <f aca="false">IF(ISNUMBER(AL113),DB113,0)</f>
        <v>0</v>
      </c>
      <c r="FG113" s="28" t="n">
        <f aca="false">IF(ISNUMBER(AP113),DC113,0)</f>
        <v>0</v>
      </c>
      <c r="FH113" s="28" t="n">
        <f aca="false">IF(ISNUMBER(AT113),DD113,0)</f>
        <v>0</v>
      </c>
      <c r="FI113" s="28" t="n">
        <f aca="false">IF(ISNUMBER(AX113),DE113,0)</f>
        <v>0</v>
      </c>
      <c r="FJ113" s="28" t="n">
        <f aca="false">IF(ISNUMBER(BB113),DF113,0)</f>
        <v>0</v>
      </c>
      <c r="FK113" s="28" t="n">
        <f aca="false">IF(ISNUMBER(BF113),DG113,0)</f>
        <v>0</v>
      </c>
      <c r="FL113" s="28" t="n">
        <f aca="false">IF(ISNUMBER(BJ113),DH113,0)</f>
        <v>0</v>
      </c>
      <c r="FM113" s="28" t="n">
        <f aca="false">IF(ISNUMBER(BN113),DI113,0)</f>
        <v>0</v>
      </c>
      <c r="FN113" s="28" t="n">
        <f aca="false">IF(ISNUMBER(BR113),DJ113,0)</f>
        <v>0</v>
      </c>
      <c r="FO113" s="28" t="str">
        <f aca="false">IFERROR(INDEX(Lists!$G$2:$G$20,MATCH($I113&amp;"|"&amp;$J113,Lists!$F$2:$F$20,0)),"")</f>
        <v>Econ Exam</v>
      </c>
    </row>
    <row r="114" customFormat="false" ht="19.5" hidden="false" customHeight="true" outlineLevel="0" collapsed="false">
      <c r="A114" s="29" t="s">
        <v>345</v>
      </c>
      <c r="B114" s="29" t="s">
        <v>346</v>
      </c>
      <c r="C114" s="30" t="s">
        <v>152</v>
      </c>
      <c r="D114" s="30" t="s">
        <v>291</v>
      </c>
      <c r="E114" s="31" t="n">
        <v>5.6</v>
      </c>
      <c r="F114" s="30" t="n">
        <v>6</v>
      </c>
      <c r="G114" s="30"/>
      <c r="H114" s="32" t="s">
        <v>23</v>
      </c>
      <c r="I114" s="33" t="s">
        <v>229</v>
      </c>
      <c r="J114" s="32" t="s">
        <v>223</v>
      </c>
      <c r="K114" s="34" t="n">
        <f aca="false">IF(OR(M114="",$E114=""),"",M114-$E114)</f>
        <v>-2.6</v>
      </c>
      <c r="L114" s="35" t="n">
        <f aca="false">IF(SUM(FA114:FN114)=0,"",SUM(EM114:EZ114)/SUM(FA114:FN114))</f>
        <v>42.4130434782609</v>
      </c>
      <c r="M114" s="36" t="n">
        <f aca="false">IF(OR(L114="",FO114=""),"",IFERROR(MATCH(L114,INDEX(Boundaries!$B$2:$I$30,MATCH(FO114,Boundaries!$A$2:$A$30,0),0),1)-1,""))</f>
        <v>3</v>
      </c>
      <c r="N114" s="37" t="n">
        <f aca="false">IF(COUNT($DY114:$EL114)&lt;2,"",INDEX($DK114:$DX114,MAX($DY114:$EL114))-INDEX($DK114:$DX114,MIN($DY114:$EL114)))</f>
        <v>-3</v>
      </c>
      <c r="O114" s="37" t="n">
        <f aca="false">IF(COUNT($DY114:$EL114)&lt;2,"",INDEX($DK114:$DX114,MAX($DY114:$EL114))-INDEX($DK114:$DX114,LARGE($DY114:$EL114,2)))</f>
        <v>-2</v>
      </c>
      <c r="P114" s="38" t="str">
        <f aca="false">IF(K114="","",IF(K114&gt;=0,"On/above target",IF(AND(N114&lt;&gt;"",N114&gt;=0.5),"Improving towards target",IF(AND(O114&lt;&gt;"",O114&lt;=-0.5),"Declining","Stable below target"))))</f>
        <v>Declining</v>
      </c>
      <c r="Q114" s="39" t="n">
        <v>15</v>
      </c>
      <c r="R114" s="40" t="n">
        <f aca="false">IF(OR(Q114="",BU114=""),"",Q114/BU114*100)</f>
        <v>50</v>
      </c>
      <c r="S114" s="41" t="n">
        <f aca="false">IF(R114="","",IFERROR(MATCH(R114,INDEX(Boundaries!$B$2:$I$30,MATCH(CI114,Boundaries!$A$2:$A$30,0),0),1)-1,""))</f>
        <v>4</v>
      </c>
      <c r="T114" s="42" t="n">
        <f aca="false">IF(OR(S114="",$E114=""),"",S114-$E114)</f>
        <v>-1.6</v>
      </c>
      <c r="U114" s="39" t="n">
        <v>13</v>
      </c>
      <c r="V114" s="40" t="n">
        <f aca="false">IF(OR(U114="",BV114=""),"",U114/BV114*100)</f>
        <v>65</v>
      </c>
      <c r="W114" s="41" t="n">
        <f aca="false">IF(V114="","",IFERROR(MATCH(V114,INDEX(Boundaries!$B$2:$I$30,MATCH(CJ114,Boundaries!$A$2:$A$30,0),0),1)-1,""))</f>
        <v>5</v>
      </c>
      <c r="X114" s="42" t="n">
        <f aca="false">IF(OR(W114="",$E114=""),"",W114-$E114)</f>
        <v>-0.6</v>
      </c>
      <c r="Y114" s="39" t="n">
        <v>10</v>
      </c>
      <c r="Z114" s="40" t="n">
        <f aca="false">IF(OR(Y114="",BW114=""),"",Y114/BW114*100)</f>
        <v>40</v>
      </c>
      <c r="AA114" s="41" t="n">
        <f aca="false">IF(Z114="","",IFERROR(MATCH(Z114,INDEX(Boundaries!$B$2:$I$30,MATCH(CK114,Boundaries!$A$2:$A$30,0),0),1)-1,""))</f>
        <v>3</v>
      </c>
      <c r="AB114" s="42" t="n">
        <f aca="false">IF(OR(AA114="",$E114=""),"",AA114-$E114)</f>
        <v>-2.6</v>
      </c>
      <c r="AC114" s="39" t="n">
        <v>10</v>
      </c>
      <c r="AD114" s="40" t="n">
        <f aca="false">IF(OR(AC114="",BX114=""),"",AC114/BX114*100)</f>
        <v>43.4782608695652</v>
      </c>
      <c r="AE114" s="41" t="n">
        <f aca="false">IF(AD114="","",IFERROR(MATCH(AD114,INDEX(Boundaries!$B$2:$I$30,MATCH(CL114,Boundaries!$A$2:$A$30,0),0),1)-1,""))</f>
        <v>3</v>
      </c>
      <c r="AF114" s="42" t="n">
        <f aca="false">IF(OR(AE114="",$E114=""),"",AE114-$E114)</f>
        <v>-2.6</v>
      </c>
      <c r="AG114" s="39" t="n">
        <v>7</v>
      </c>
      <c r="AH114" s="40" t="n">
        <f aca="false">IF(OR(AG114="",BY114=""),"",AG114/BY114*100)</f>
        <v>28</v>
      </c>
      <c r="AI114" s="41" t="n">
        <f aca="false">IF(AH114="","",IFERROR(MATCH(AH114,INDEX(Boundaries!$B$2:$I$30,MATCH(CM114,Boundaries!$A$2:$A$30,0),0),1)-1,""))</f>
        <v>1</v>
      </c>
      <c r="AJ114" s="42" t="n">
        <f aca="false">IF(OR(AI114="",$E114=""),"",AI114-$E114)</f>
        <v>-4.6</v>
      </c>
      <c r="AK114" s="39"/>
      <c r="AL114" s="40" t="str">
        <f aca="false">IF(OR(AK114="",BZ114=""),"",AK114/BZ114*100)</f>
        <v/>
      </c>
      <c r="AM114" s="41" t="str">
        <f aca="false">IF(AL114="","",IFERROR(MATCH(AL114,INDEX(Boundaries!$B$2:$I$30,MATCH(CN114,Boundaries!$A$2:$A$30,0),0),1)-1,""))</f>
        <v/>
      </c>
      <c r="AN114" s="42" t="str">
        <f aca="false">IF(OR(AM114="",$E114=""),"",AM114-$E114)</f>
        <v/>
      </c>
      <c r="AO114" s="39"/>
      <c r="AP114" s="40" t="str">
        <f aca="false">IF(OR(AO114="",CA114=""),"",AO114/CA114*100)</f>
        <v/>
      </c>
      <c r="AQ114" s="41" t="str">
        <f aca="false">IF(AP114="","",IFERROR(MATCH(AP114,INDEX(Boundaries!$B$2:$I$30,MATCH(CO114,Boundaries!$A$2:$A$30,0),0),1)-1,""))</f>
        <v/>
      </c>
      <c r="AR114" s="42" t="str">
        <f aca="false">IF(OR(AQ114="",$E114=""),"",AQ114-$E114)</f>
        <v/>
      </c>
      <c r="AS114" s="39"/>
      <c r="AT114" s="40" t="str">
        <f aca="false">IF(OR(AS114="",CB114=""),"",AS114/CB114*100)</f>
        <v/>
      </c>
      <c r="AU114" s="41" t="str">
        <f aca="false">IF(AT114="","",IFERROR(MATCH(AT114,INDEX(Boundaries!$B$2:$I$30,MATCH(CP114,Boundaries!$A$2:$A$30,0),0),1)-1,""))</f>
        <v/>
      </c>
      <c r="AV114" s="42" t="str">
        <f aca="false">IF(OR(AU114="",$E114=""),"",AU114-$E114)</f>
        <v/>
      </c>
      <c r="AW114" s="39"/>
      <c r="AX114" s="40" t="str">
        <f aca="false">IF(OR(AW114="",CC114=""),"",AW114/CC114*100)</f>
        <v/>
      </c>
      <c r="AY114" s="41" t="str">
        <f aca="false">IF(AX114="","",IFERROR(MATCH(AX114,INDEX(Boundaries!$B$2:$I$30,MATCH(CQ114,Boundaries!$A$2:$A$30,0),0),1)-1,""))</f>
        <v/>
      </c>
      <c r="AZ114" s="42" t="str">
        <f aca="false">IF(OR(AY114="",$E114=""),"",AY114-$E114)</f>
        <v/>
      </c>
      <c r="BA114" s="39"/>
      <c r="BB114" s="40" t="str">
        <f aca="false">IF(OR(BA114="",CD114=""),"",BA114/CD114*100)</f>
        <v/>
      </c>
      <c r="BC114" s="41" t="str">
        <f aca="false">IF(BB114="","",IFERROR(MATCH(BB114,INDEX(Boundaries!$B$2:$I$30,MATCH(CR114,Boundaries!$A$2:$A$30,0),0),1)-1,""))</f>
        <v/>
      </c>
      <c r="BD114" s="42" t="str">
        <f aca="false">IF(OR(BC114="",$E114=""),"",BC114-$E114)</f>
        <v/>
      </c>
      <c r="BE114" s="39"/>
      <c r="BF114" s="40" t="str">
        <f aca="false">IF(OR(BE114="",CE114=""),"",BE114/CE114*100)</f>
        <v/>
      </c>
      <c r="BG114" s="41" t="str">
        <f aca="false">IF(BF114="","",IFERROR(MATCH(BF114,INDEX(Boundaries!$B$2:$I$30,MATCH(CS114,Boundaries!$A$2:$A$30,0),0),1)-1,""))</f>
        <v/>
      </c>
      <c r="BH114" s="42" t="str">
        <f aca="false">IF(OR(BG114="",$E114=""),"",BG114-$E114)</f>
        <v/>
      </c>
      <c r="BI114" s="39"/>
      <c r="BJ114" s="40" t="str">
        <f aca="false">IF(OR(BI114="",CF114=""),"",BI114/CF114*100)</f>
        <v/>
      </c>
      <c r="BK114" s="41" t="str">
        <f aca="false">IF(BJ114="","",IFERROR(MATCH(BJ114,INDEX(Boundaries!$B$2:$I$30,MATCH(CT114,Boundaries!$A$2:$A$30,0),0),1)-1,""))</f>
        <v/>
      </c>
      <c r="BL114" s="42" t="str">
        <f aca="false">IF(OR(BK114="",$E114=""),"",BK114-$E114)</f>
        <v/>
      </c>
      <c r="BM114" s="39"/>
      <c r="BN114" s="40" t="str">
        <f aca="false">IF(OR(BM114="",CG114=""),"",BM114/CG114*100)</f>
        <v/>
      </c>
      <c r="BO114" s="41" t="str">
        <f aca="false">IF(BN114="","",IFERROR(MATCH(BN114,INDEX(Boundaries!$B$2:$I$30,MATCH(CU114,Boundaries!$A$2:$A$30,0),0),1)-1,""))</f>
        <v/>
      </c>
      <c r="BP114" s="42" t="str">
        <f aca="false">IF(OR(BO114="",$E114=""),"",BO114-$E114)</f>
        <v/>
      </c>
      <c r="BQ114" s="39"/>
      <c r="BR114" s="40" t="str">
        <f aca="false">IF(OR(BQ114="",CH114=""),"",BQ114/CH114*100)</f>
        <v/>
      </c>
      <c r="BS114" s="41" t="str">
        <f aca="false">IF(BR114="","",IFERROR(MATCH(BR114,INDEX(Boundaries!$B$2:$I$30,MATCH(CV114,Boundaries!$A$2:$A$30,0),0),1)-1,""))</f>
        <v/>
      </c>
      <c r="BT114" s="42" t="str">
        <f aca="false">IF(OR(BS114="",$E114=""),"",BS114-$E114)</f>
        <v/>
      </c>
      <c r="BU114" s="28" t="n">
        <f aca="false">IFERROR(INDEX(Assessments!$H$2:$H$600,MATCH($H114&amp;"|"&amp;$I114&amp;"|"&amp;$J114&amp;"|"&amp;1,Assessments!$A$2:$A$600,0)),"")</f>
        <v>30</v>
      </c>
      <c r="BV114" s="28" t="n">
        <f aca="false">IFERROR(INDEX(Assessments!$H$2:$H$600,MATCH($H114&amp;"|"&amp;$I114&amp;"|"&amp;$J114&amp;"|"&amp;2,Assessments!$A$2:$A$600,0)),"")</f>
        <v>20</v>
      </c>
      <c r="BW114" s="28" t="n">
        <f aca="false">IFERROR(INDEX(Assessments!$H$2:$H$600,MATCH($H114&amp;"|"&amp;$I114&amp;"|"&amp;$J114&amp;"|"&amp;3,Assessments!$A$2:$A$600,0)),"")</f>
        <v>25</v>
      </c>
      <c r="BX114" s="28" t="n">
        <f aca="false">IFERROR(INDEX(Assessments!$H$2:$H$600,MATCH($H114&amp;"|"&amp;$I114&amp;"|"&amp;$J114&amp;"|"&amp;4,Assessments!$A$2:$A$600,0)),"")</f>
        <v>23</v>
      </c>
      <c r="BY114" s="28" t="n">
        <f aca="false">IFERROR(INDEX(Assessments!$H$2:$H$600,MATCH($H114&amp;"|"&amp;$I114&amp;"|"&amp;$J114&amp;"|"&amp;5,Assessments!$A$2:$A$600,0)),"")</f>
        <v>25</v>
      </c>
      <c r="BZ114" s="28" t="n">
        <f aca="false">IFERROR(INDEX(Assessments!$H$2:$H$600,MATCH($H114&amp;"|"&amp;$I114&amp;"|"&amp;$J114&amp;"|"&amp;6,Assessments!$A$2:$A$600,0)),"")</f>
        <v>15</v>
      </c>
      <c r="CA114" s="28" t="n">
        <f aca="false">IFERROR(INDEX(Assessments!$H$2:$H$600,MATCH($H114&amp;"|"&amp;$I114&amp;"|"&amp;$J114&amp;"|"&amp;7,Assessments!$A$2:$A$600,0)),"")</f>
        <v>52</v>
      </c>
      <c r="CB114" s="28" t="str">
        <f aca="false">IFERROR(INDEX(Assessments!$H$2:$H$600,MATCH($H114&amp;"|"&amp;$I114&amp;"|"&amp;$J114&amp;"|"&amp;8,Assessments!$A$2:$A$600,0)),"")</f>
        <v/>
      </c>
      <c r="CC114" s="28" t="str">
        <f aca="false">IFERROR(INDEX(Assessments!$H$2:$H$600,MATCH($H114&amp;"|"&amp;$I114&amp;"|"&amp;$J114&amp;"|"&amp;9,Assessments!$A$2:$A$600,0)),"")</f>
        <v/>
      </c>
      <c r="CD114" s="28" t="str">
        <f aca="false">IFERROR(INDEX(Assessments!$H$2:$H$600,MATCH($H114&amp;"|"&amp;$I114&amp;"|"&amp;$J114&amp;"|"&amp;10,Assessments!$A$2:$A$600,0)),"")</f>
        <v/>
      </c>
      <c r="CE114" s="28" t="str">
        <f aca="false">IFERROR(INDEX(Assessments!$H$2:$H$600,MATCH($H114&amp;"|"&amp;$I114&amp;"|"&amp;$J114&amp;"|"&amp;11,Assessments!$A$2:$A$600,0)),"")</f>
        <v/>
      </c>
      <c r="CF114" s="28" t="str">
        <f aca="false">IFERROR(INDEX(Assessments!$H$2:$H$600,MATCH($H114&amp;"|"&amp;$I114&amp;"|"&amp;$J114&amp;"|"&amp;12,Assessments!$A$2:$A$600,0)),"")</f>
        <v/>
      </c>
      <c r="CG114" s="28" t="str">
        <f aca="false">IFERROR(INDEX(Assessments!$H$2:$H$600,MATCH($H114&amp;"|"&amp;$I114&amp;"|"&amp;$J114&amp;"|"&amp;13,Assessments!$A$2:$A$600,0)),"")</f>
        <v/>
      </c>
      <c r="CH114" s="28" t="str">
        <f aca="false">IFERROR(INDEX(Assessments!$H$2:$H$600,MATCH($H114&amp;"|"&amp;$I114&amp;"|"&amp;$J114&amp;"|"&amp;14,Assessments!$A$2:$A$600,0)),"")</f>
        <v/>
      </c>
      <c r="CI114" s="28" t="str">
        <f aca="false">IFERROR(INDEX(Assessments!$I$2:$I$600,MATCH($H114&amp;"|"&amp;$I114&amp;"|"&amp;$J114&amp;"|"&amp;1,Assessments!$A$2:$A$600,0)),"")</f>
        <v>Econ Test</v>
      </c>
      <c r="CJ114" s="28" t="str">
        <f aca="false">IFERROR(INDEX(Assessments!$I$2:$I$600,MATCH($H114&amp;"|"&amp;$I114&amp;"|"&amp;$J114&amp;"|"&amp;2,Assessments!$A$2:$A$600,0)),"")</f>
        <v>Econ Test</v>
      </c>
      <c r="CK114" s="28" t="str">
        <f aca="false">IFERROR(INDEX(Assessments!$I$2:$I$600,MATCH($H114&amp;"|"&amp;$I114&amp;"|"&amp;$J114&amp;"|"&amp;3,Assessments!$A$2:$A$600,0)),"")</f>
        <v>Econ Test</v>
      </c>
      <c r="CL114" s="28" t="str">
        <f aca="false">IFERROR(INDEX(Assessments!$I$2:$I$600,MATCH($H114&amp;"|"&amp;$I114&amp;"|"&amp;$J114&amp;"|"&amp;4,Assessments!$A$2:$A$600,0)),"")</f>
        <v>Econ Test</v>
      </c>
      <c r="CM114" s="28" t="str">
        <f aca="false">IFERROR(INDEX(Assessments!$I$2:$I$600,MATCH($H114&amp;"|"&amp;$I114&amp;"|"&amp;$J114&amp;"|"&amp;5,Assessments!$A$2:$A$600,0)),"")</f>
        <v>Econ Exam</v>
      </c>
      <c r="CN114" s="28" t="str">
        <f aca="false">IFERROR(INDEX(Assessments!$I$2:$I$600,MATCH($H114&amp;"|"&amp;$I114&amp;"|"&amp;$J114&amp;"|"&amp;6,Assessments!$A$2:$A$600,0)),"")</f>
        <v>Econ Test</v>
      </c>
      <c r="CO114" s="28" t="str">
        <f aca="false">IFERROR(INDEX(Assessments!$I$2:$I$600,MATCH($H114&amp;"|"&amp;$I114&amp;"|"&amp;$J114&amp;"|"&amp;7,Assessments!$A$2:$A$600,0)),"")</f>
        <v>Econ Exam</v>
      </c>
      <c r="CP114" s="28" t="str">
        <f aca="false">IFERROR(INDEX(Assessments!$I$2:$I$600,MATCH($H114&amp;"|"&amp;$I114&amp;"|"&amp;$J114&amp;"|"&amp;8,Assessments!$A$2:$A$600,0)),"")</f>
        <v/>
      </c>
      <c r="CQ114" s="28" t="str">
        <f aca="false">IFERROR(INDEX(Assessments!$I$2:$I$600,MATCH($H114&amp;"|"&amp;$I114&amp;"|"&amp;$J114&amp;"|"&amp;9,Assessments!$A$2:$A$600,0)),"")</f>
        <v/>
      </c>
      <c r="CR114" s="28" t="str">
        <f aca="false">IFERROR(INDEX(Assessments!$I$2:$I$600,MATCH($H114&amp;"|"&amp;$I114&amp;"|"&amp;$J114&amp;"|"&amp;10,Assessments!$A$2:$A$600,0)),"")</f>
        <v/>
      </c>
      <c r="CS114" s="28" t="str">
        <f aca="false">IFERROR(INDEX(Assessments!$I$2:$I$600,MATCH($H114&amp;"|"&amp;$I114&amp;"|"&amp;$J114&amp;"|"&amp;11,Assessments!$A$2:$A$600,0)),"")</f>
        <v/>
      </c>
      <c r="CT114" s="28" t="str">
        <f aca="false">IFERROR(INDEX(Assessments!$I$2:$I$600,MATCH($H114&amp;"|"&amp;$I114&amp;"|"&amp;$J114&amp;"|"&amp;12,Assessments!$A$2:$A$600,0)),"")</f>
        <v/>
      </c>
      <c r="CU114" s="28" t="str">
        <f aca="false">IFERROR(INDEX(Assessments!$I$2:$I$600,MATCH($H114&amp;"|"&amp;$I114&amp;"|"&amp;$J114&amp;"|"&amp;13,Assessments!$A$2:$A$600,0)),"")</f>
        <v/>
      </c>
      <c r="CV114" s="28" t="str">
        <f aca="false">IFERROR(INDEX(Assessments!$I$2:$I$600,MATCH($H114&amp;"|"&amp;$I114&amp;"|"&amp;$J114&amp;"|"&amp;14,Assessments!$A$2:$A$600,0)),"")</f>
        <v/>
      </c>
      <c r="CW114" s="28" t="n">
        <f aca="false">IFERROR(INDEX(Assessments!$J$2:$J$600,MATCH($H114&amp;"|"&amp;$I114&amp;"|"&amp;$J114&amp;"|"&amp;1,Assessments!$A$2:$A$600,0)),0)</f>
        <v>1</v>
      </c>
      <c r="CX114" s="28" t="n">
        <f aca="false">IFERROR(INDEX(Assessments!$J$2:$J$600,MATCH($H114&amp;"|"&amp;$I114&amp;"|"&amp;$J114&amp;"|"&amp;2,Assessments!$A$2:$A$600,0)),0)</f>
        <v>1</v>
      </c>
      <c r="CY114" s="28" t="n">
        <f aca="false">IFERROR(INDEX(Assessments!$J$2:$J$600,MATCH($H114&amp;"|"&amp;$I114&amp;"|"&amp;$J114&amp;"|"&amp;3,Assessments!$A$2:$A$600,0)),0)</f>
        <v>1</v>
      </c>
      <c r="CZ114" s="28" t="n">
        <f aca="false">IFERROR(INDEX(Assessments!$J$2:$J$600,MATCH($H114&amp;"|"&amp;$I114&amp;"|"&amp;$J114&amp;"|"&amp;4,Assessments!$A$2:$A$600,0)),0)</f>
        <v>1</v>
      </c>
      <c r="DA114" s="28" t="n">
        <f aca="false">IFERROR(INDEX(Assessments!$J$2:$J$600,MATCH($H114&amp;"|"&amp;$I114&amp;"|"&amp;$J114&amp;"|"&amp;5,Assessments!$A$2:$A$600,0)),0)</f>
        <v>2</v>
      </c>
      <c r="DB114" s="28" t="n">
        <f aca="false">IFERROR(INDEX(Assessments!$J$2:$J$600,MATCH($H114&amp;"|"&amp;$I114&amp;"|"&amp;$J114&amp;"|"&amp;6,Assessments!$A$2:$A$600,0)),0)</f>
        <v>1</v>
      </c>
      <c r="DC114" s="28" t="n">
        <f aca="false">IFERROR(INDEX(Assessments!$J$2:$J$600,MATCH($H114&amp;"|"&amp;$I114&amp;"|"&amp;$J114&amp;"|"&amp;7,Assessments!$A$2:$A$600,0)),0)</f>
        <v>2</v>
      </c>
      <c r="DD114" s="28" t="n">
        <f aca="false">IFERROR(INDEX(Assessments!$J$2:$J$600,MATCH($H114&amp;"|"&amp;$I114&amp;"|"&amp;$J114&amp;"|"&amp;8,Assessments!$A$2:$A$600,0)),0)</f>
        <v>0</v>
      </c>
      <c r="DE114" s="28" t="n">
        <f aca="false">IFERROR(INDEX(Assessments!$J$2:$J$600,MATCH($H114&amp;"|"&amp;$I114&amp;"|"&amp;$J114&amp;"|"&amp;9,Assessments!$A$2:$A$600,0)),0)</f>
        <v>0</v>
      </c>
      <c r="DF114" s="28" t="n">
        <f aca="false">IFERROR(INDEX(Assessments!$J$2:$J$600,MATCH($H114&amp;"|"&amp;$I114&amp;"|"&amp;$J114&amp;"|"&amp;10,Assessments!$A$2:$A$600,0)),0)</f>
        <v>0</v>
      </c>
      <c r="DG114" s="28" t="n">
        <f aca="false">IFERROR(INDEX(Assessments!$J$2:$J$600,MATCH($H114&amp;"|"&amp;$I114&amp;"|"&amp;$J114&amp;"|"&amp;11,Assessments!$A$2:$A$600,0)),0)</f>
        <v>0</v>
      </c>
      <c r="DH114" s="28" t="n">
        <f aca="false">IFERROR(INDEX(Assessments!$J$2:$J$600,MATCH($H114&amp;"|"&amp;$I114&amp;"|"&amp;$J114&amp;"|"&amp;12,Assessments!$A$2:$A$600,0)),0)</f>
        <v>0</v>
      </c>
      <c r="DI114" s="28" t="n">
        <f aca="false">IFERROR(INDEX(Assessments!$J$2:$J$600,MATCH($H114&amp;"|"&amp;$I114&amp;"|"&amp;$J114&amp;"|"&amp;13,Assessments!$A$2:$A$600,0)),0)</f>
        <v>0</v>
      </c>
      <c r="DJ114" s="28" t="n">
        <f aca="false">IFERROR(INDEX(Assessments!$J$2:$J$600,MATCH($H114&amp;"|"&amp;$I114&amp;"|"&amp;$J114&amp;"|"&amp;14,Assessments!$A$2:$A$600,0)),0)</f>
        <v>0</v>
      </c>
      <c r="DK114" s="28" t="n">
        <f aca="false">S114</f>
        <v>4</v>
      </c>
      <c r="DL114" s="28" t="n">
        <f aca="false">W114</f>
        <v>5</v>
      </c>
      <c r="DM114" s="28" t="n">
        <f aca="false">AA114</f>
        <v>3</v>
      </c>
      <c r="DN114" s="28" t="n">
        <f aca="false">AE114</f>
        <v>3</v>
      </c>
      <c r="DO114" s="28" t="n">
        <f aca="false">AI114</f>
        <v>1</v>
      </c>
      <c r="DP114" s="28" t="str">
        <f aca="false">AM114</f>
        <v/>
      </c>
      <c r="DQ114" s="28" t="str">
        <f aca="false">AQ114</f>
        <v/>
      </c>
      <c r="DR114" s="28" t="str">
        <f aca="false">AU114</f>
        <v/>
      </c>
      <c r="DS114" s="28" t="str">
        <f aca="false">AY114</f>
        <v/>
      </c>
      <c r="DT114" s="28" t="str">
        <f aca="false">BC114</f>
        <v/>
      </c>
      <c r="DU114" s="28" t="str">
        <f aca="false">BG114</f>
        <v/>
      </c>
      <c r="DV114" s="28" t="str">
        <f aca="false">BK114</f>
        <v/>
      </c>
      <c r="DW114" s="28" t="str">
        <f aca="false">BO114</f>
        <v/>
      </c>
      <c r="DX114" s="28" t="str">
        <f aca="false">BS114</f>
        <v/>
      </c>
      <c r="DY114" s="28" t="n">
        <f aca="false">IF(ISNUMBER(S114),1,"")</f>
        <v>1</v>
      </c>
      <c r="DZ114" s="28" t="n">
        <f aca="false">IF(ISNUMBER(W114),2,"")</f>
        <v>2</v>
      </c>
      <c r="EA114" s="28" t="n">
        <f aca="false">IF(ISNUMBER(AA114),3,"")</f>
        <v>3</v>
      </c>
      <c r="EB114" s="28" t="n">
        <f aca="false">IF(ISNUMBER(AE114),4,"")</f>
        <v>4</v>
      </c>
      <c r="EC114" s="28" t="n">
        <f aca="false">IF(ISNUMBER(AI114),5,"")</f>
        <v>5</v>
      </c>
      <c r="ED114" s="28" t="str">
        <f aca="false">IF(ISNUMBER(AM114),6,"")</f>
        <v/>
      </c>
      <c r="EE114" s="28" t="str">
        <f aca="false">IF(ISNUMBER(AQ114),7,"")</f>
        <v/>
      </c>
      <c r="EF114" s="28" t="str">
        <f aca="false">IF(ISNUMBER(AU114),8,"")</f>
        <v/>
      </c>
      <c r="EG114" s="28" t="str">
        <f aca="false">IF(ISNUMBER(AY114),9,"")</f>
        <v/>
      </c>
      <c r="EH114" s="28" t="str">
        <f aca="false">IF(ISNUMBER(BC114),10,"")</f>
        <v/>
      </c>
      <c r="EI114" s="28" t="str">
        <f aca="false">IF(ISNUMBER(BG114),11,"")</f>
        <v/>
      </c>
      <c r="EJ114" s="28" t="str">
        <f aca="false">IF(ISNUMBER(BK114),12,"")</f>
        <v/>
      </c>
      <c r="EK114" s="28" t="str">
        <f aca="false">IF(ISNUMBER(BO114),13,"")</f>
        <v/>
      </c>
      <c r="EL114" s="28" t="str">
        <f aca="false">IF(ISNUMBER(BS114),14,"")</f>
        <v/>
      </c>
      <c r="EM114" s="28" t="n">
        <f aca="false">IF(ISNUMBER(R114),R114*CW114,0)</f>
        <v>50</v>
      </c>
      <c r="EN114" s="28" t="n">
        <f aca="false">IF(ISNUMBER(V114),V114*CX114,0)</f>
        <v>65</v>
      </c>
      <c r="EO114" s="28" t="n">
        <f aca="false">IF(ISNUMBER(Z114),Z114*CY114,0)</f>
        <v>40</v>
      </c>
      <c r="EP114" s="28" t="n">
        <f aca="false">IF(ISNUMBER(AD114),AD114*CZ114,0)</f>
        <v>43.4782608695652</v>
      </c>
      <c r="EQ114" s="28" t="n">
        <f aca="false">IF(ISNUMBER(AH114),AH114*DA114,0)</f>
        <v>56</v>
      </c>
      <c r="ER114" s="28" t="n">
        <f aca="false">IF(ISNUMBER(AL114),AL114*DB114,0)</f>
        <v>0</v>
      </c>
      <c r="ES114" s="28" t="n">
        <f aca="false">IF(ISNUMBER(AP114),AP114*DC114,0)</f>
        <v>0</v>
      </c>
      <c r="ET114" s="28" t="n">
        <f aca="false">IF(ISNUMBER(AT114),AT114*DD114,0)</f>
        <v>0</v>
      </c>
      <c r="EU114" s="28" t="n">
        <f aca="false">IF(ISNUMBER(AX114),AX114*DE114,0)</f>
        <v>0</v>
      </c>
      <c r="EV114" s="28" t="n">
        <f aca="false">IF(ISNUMBER(BB114),BB114*DF114,0)</f>
        <v>0</v>
      </c>
      <c r="EW114" s="28" t="n">
        <f aca="false">IF(ISNUMBER(BF114),BF114*DG114,0)</f>
        <v>0</v>
      </c>
      <c r="EX114" s="28" t="n">
        <f aca="false">IF(ISNUMBER(BJ114),BJ114*DH114,0)</f>
        <v>0</v>
      </c>
      <c r="EY114" s="28" t="n">
        <f aca="false">IF(ISNUMBER(BN114),BN114*DI114,0)</f>
        <v>0</v>
      </c>
      <c r="EZ114" s="28" t="n">
        <f aca="false">IF(ISNUMBER(BR114),BR114*DJ114,0)</f>
        <v>0</v>
      </c>
      <c r="FA114" s="28" t="n">
        <f aca="false">IF(ISNUMBER(R114),CW114,0)</f>
        <v>1</v>
      </c>
      <c r="FB114" s="28" t="n">
        <f aca="false">IF(ISNUMBER(V114),CX114,0)</f>
        <v>1</v>
      </c>
      <c r="FC114" s="28" t="n">
        <f aca="false">IF(ISNUMBER(Z114),CY114,0)</f>
        <v>1</v>
      </c>
      <c r="FD114" s="28" t="n">
        <f aca="false">IF(ISNUMBER(AD114),CZ114,0)</f>
        <v>1</v>
      </c>
      <c r="FE114" s="28" t="n">
        <f aca="false">IF(ISNUMBER(AH114),DA114,0)</f>
        <v>2</v>
      </c>
      <c r="FF114" s="28" t="n">
        <f aca="false">IF(ISNUMBER(AL114),DB114,0)</f>
        <v>0</v>
      </c>
      <c r="FG114" s="28" t="n">
        <f aca="false">IF(ISNUMBER(AP114),DC114,0)</f>
        <v>0</v>
      </c>
      <c r="FH114" s="28" t="n">
        <f aca="false">IF(ISNUMBER(AT114),DD114,0)</f>
        <v>0</v>
      </c>
      <c r="FI114" s="28" t="n">
        <f aca="false">IF(ISNUMBER(AX114),DE114,0)</f>
        <v>0</v>
      </c>
      <c r="FJ114" s="28" t="n">
        <f aca="false">IF(ISNUMBER(BB114),DF114,0)</f>
        <v>0</v>
      </c>
      <c r="FK114" s="28" t="n">
        <f aca="false">IF(ISNUMBER(BF114),DG114,0)</f>
        <v>0</v>
      </c>
      <c r="FL114" s="28" t="n">
        <f aca="false">IF(ISNUMBER(BJ114),DH114,0)</f>
        <v>0</v>
      </c>
      <c r="FM114" s="28" t="n">
        <f aca="false">IF(ISNUMBER(BN114),DI114,0)</f>
        <v>0</v>
      </c>
      <c r="FN114" s="28" t="n">
        <f aca="false">IF(ISNUMBER(BR114),DJ114,0)</f>
        <v>0</v>
      </c>
      <c r="FO114" s="28" t="str">
        <f aca="false">IFERROR(INDEX(Lists!$G$2:$G$20,MATCH($I114&amp;"|"&amp;$J114,Lists!$F$2:$F$20,0)),"")</f>
        <v>Econ Exam</v>
      </c>
    </row>
    <row r="115" customFormat="false" ht="19.5" hidden="false" customHeight="true" outlineLevel="0" collapsed="false">
      <c r="A115" s="29" t="s">
        <v>347</v>
      </c>
      <c r="B115" s="29" t="s">
        <v>348</v>
      </c>
      <c r="C115" s="30" t="s">
        <v>152</v>
      </c>
      <c r="D115" s="30" t="s">
        <v>291</v>
      </c>
      <c r="E115" s="31" t="n">
        <v>5.9</v>
      </c>
      <c r="F115" s="30" t="n">
        <v>6</v>
      </c>
      <c r="G115" s="30"/>
      <c r="H115" s="32" t="s">
        <v>23</v>
      </c>
      <c r="I115" s="33" t="s">
        <v>229</v>
      </c>
      <c r="J115" s="32" t="s">
        <v>223</v>
      </c>
      <c r="K115" s="34" t="n">
        <f aca="false">IF(OR(M115="",$E115=""),"",M115-$E115)</f>
        <v>0.0999999999999996</v>
      </c>
      <c r="L115" s="35" t="n">
        <f aca="false">IF(SUM(FA115:FN115)=0,"",SUM(EM115:EZ115)/SUM(FA115:FN115))</f>
        <v>78.0893719806763</v>
      </c>
      <c r="M115" s="36" t="n">
        <f aca="false">IF(OR(L115="",FO115=""),"",IFERROR(MATCH(L115,INDEX(Boundaries!$B$2:$I$30,MATCH(FO115,Boundaries!$A$2:$A$30,0),0),1)-1,""))</f>
        <v>6</v>
      </c>
      <c r="N115" s="37" t="n">
        <f aca="false">IF(COUNT($DY115:$EL115)&lt;2,"",INDEX($DK115:$DX115,MAX($DY115:$EL115))-INDEX($DK115:$DX115,MIN($DY115:$EL115)))</f>
        <v>0</v>
      </c>
      <c r="O115" s="37" t="n">
        <f aca="false">IF(COUNT($DY115:$EL115)&lt;2,"",INDEX($DK115:$DX115,MAX($DY115:$EL115))-INDEX($DK115:$DX115,LARGE($DY115:$EL115,2)))</f>
        <v>3</v>
      </c>
      <c r="P115" s="38" t="str">
        <f aca="false">IF(K115="","",IF(K115&gt;=0,"On/above target",IF(AND(N115&lt;&gt;"",N115&gt;=0.5),"Improving towards target",IF(AND(O115&lt;&gt;"",O115&lt;=-0.5),"Declining","Stable below target"))))</f>
        <v>On/above target</v>
      </c>
      <c r="Q115" s="39" t="n">
        <v>26</v>
      </c>
      <c r="R115" s="40" t="n">
        <f aca="false">IF(OR(Q115="",BU115=""),"",Q115/BU115*100)</f>
        <v>86.6666666666667</v>
      </c>
      <c r="S115" s="41" t="n">
        <f aca="false">IF(R115="","",IFERROR(MATCH(R115,INDEX(Boundaries!$B$2:$I$30,MATCH(CI115,Boundaries!$A$2:$A$30,0),0),1)-1,""))</f>
        <v>7</v>
      </c>
      <c r="T115" s="42" t="n">
        <f aca="false">IF(OR(S115="",$E115=""),"",S115-$E115)</f>
        <v>1.1</v>
      </c>
      <c r="U115" s="39" t="n">
        <v>17</v>
      </c>
      <c r="V115" s="40" t="n">
        <f aca="false">IF(OR(U115="",BV115=""),"",U115/BV115*100)</f>
        <v>85</v>
      </c>
      <c r="W115" s="41" t="n">
        <f aca="false">IF(V115="","",IFERROR(MATCH(V115,INDEX(Boundaries!$B$2:$I$30,MATCH(CJ115,Boundaries!$A$2:$A$30,0),0),1)-1,""))</f>
        <v>7</v>
      </c>
      <c r="X115" s="42" t="n">
        <f aca="false">IF(OR(W115="",$E115=""),"",W115-$E115)</f>
        <v>1.1</v>
      </c>
      <c r="Y115" s="39" t="n">
        <v>19</v>
      </c>
      <c r="Z115" s="40" t="n">
        <f aca="false">IF(OR(Y115="",BW115=""),"",Y115/BW115*100)</f>
        <v>76</v>
      </c>
      <c r="AA115" s="41" t="n">
        <f aca="false">IF(Z115="","",IFERROR(MATCH(Z115,INDEX(Boundaries!$B$2:$I$30,MATCH(CK115,Boundaries!$A$2:$A$30,0),0),1)-1,""))</f>
        <v>6</v>
      </c>
      <c r="AB115" s="42" t="n">
        <f aca="false">IF(OR(AA115="",$E115=""),"",AA115-$E115)</f>
        <v>0.0999999999999996</v>
      </c>
      <c r="AC115" s="39" t="n">
        <v>14</v>
      </c>
      <c r="AD115" s="40" t="n">
        <f aca="false">IF(OR(AC115="",BX115=""),"",AC115/BX115*100)</f>
        <v>60.8695652173913</v>
      </c>
      <c r="AE115" s="41" t="n">
        <f aca="false">IF(AD115="","",IFERROR(MATCH(AD115,INDEX(Boundaries!$B$2:$I$30,MATCH(CL115,Boundaries!$A$2:$A$30,0),0),1)-1,""))</f>
        <v>4</v>
      </c>
      <c r="AF115" s="42" t="n">
        <f aca="false">IF(OR(AE115="",$E115=""),"",AE115-$E115)</f>
        <v>-1.9</v>
      </c>
      <c r="AG115" s="39" t="n">
        <v>20</v>
      </c>
      <c r="AH115" s="40" t="n">
        <f aca="false">IF(OR(AG115="",BY115=""),"",AG115/BY115*100)</f>
        <v>80</v>
      </c>
      <c r="AI115" s="41" t="n">
        <f aca="false">IF(AH115="","",IFERROR(MATCH(AH115,INDEX(Boundaries!$B$2:$I$30,MATCH(CM115,Boundaries!$A$2:$A$30,0),0),1)-1,""))</f>
        <v>7</v>
      </c>
      <c r="AJ115" s="42" t="n">
        <f aca="false">IF(OR(AI115="",$E115=""),"",AI115-$E115)</f>
        <v>1.1</v>
      </c>
      <c r="AK115" s="39"/>
      <c r="AL115" s="40" t="str">
        <f aca="false">IF(OR(AK115="",BZ115=""),"",AK115/BZ115*100)</f>
        <v/>
      </c>
      <c r="AM115" s="41" t="str">
        <f aca="false">IF(AL115="","",IFERROR(MATCH(AL115,INDEX(Boundaries!$B$2:$I$30,MATCH(CN115,Boundaries!$A$2:$A$30,0),0),1)-1,""))</f>
        <v/>
      </c>
      <c r="AN115" s="42" t="str">
        <f aca="false">IF(OR(AM115="",$E115=""),"",AM115-$E115)</f>
        <v/>
      </c>
      <c r="AO115" s="39"/>
      <c r="AP115" s="40" t="str">
        <f aca="false">IF(OR(AO115="",CA115=""),"",AO115/CA115*100)</f>
        <v/>
      </c>
      <c r="AQ115" s="41" t="str">
        <f aca="false">IF(AP115="","",IFERROR(MATCH(AP115,INDEX(Boundaries!$B$2:$I$30,MATCH(CO115,Boundaries!$A$2:$A$30,0),0),1)-1,""))</f>
        <v/>
      </c>
      <c r="AR115" s="42" t="str">
        <f aca="false">IF(OR(AQ115="",$E115=""),"",AQ115-$E115)</f>
        <v/>
      </c>
      <c r="AS115" s="39"/>
      <c r="AT115" s="40" t="str">
        <f aca="false">IF(OR(AS115="",CB115=""),"",AS115/CB115*100)</f>
        <v/>
      </c>
      <c r="AU115" s="41" t="str">
        <f aca="false">IF(AT115="","",IFERROR(MATCH(AT115,INDEX(Boundaries!$B$2:$I$30,MATCH(CP115,Boundaries!$A$2:$A$30,0),0),1)-1,""))</f>
        <v/>
      </c>
      <c r="AV115" s="42" t="str">
        <f aca="false">IF(OR(AU115="",$E115=""),"",AU115-$E115)</f>
        <v/>
      </c>
      <c r="AW115" s="39"/>
      <c r="AX115" s="40" t="str">
        <f aca="false">IF(OR(AW115="",CC115=""),"",AW115/CC115*100)</f>
        <v/>
      </c>
      <c r="AY115" s="41" t="str">
        <f aca="false">IF(AX115="","",IFERROR(MATCH(AX115,INDEX(Boundaries!$B$2:$I$30,MATCH(CQ115,Boundaries!$A$2:$A$30,0),0),1)-1,""))</f>
        <v/>
      </c>
      <c r="AZ115" s="42" t="str">
        <f aca="false">IF(OR(AY115="",$E115=""),"",AY115-$E115)</f>
        <v/>
      </c>
      <c r="BA115" s="39"/>
      <c r="BB115" s="40" t="str">
        <f aca="false">IF(OR(BA115="",CD115=""),"",BA115/CD115*100)</f>
        <v/>
      </c>
      <c r="BC115" s="41" t="str">
        <f aca="false">IF(BB115="","",IFERROR(MATCH(BB115,INDEX(Boundaries!$B$2:$I$30,MATCH(CR115,Boundaries!$A$2:$A$30,0),0),1)-1,""))</f>
        <v/>
      </c>
      <c r="BD115" s="42" t="str">
        <f aca="false">IF(OR(BC115="",$E115=""),"",BC115-$E115)</f>
        <v/>
      </c>
      <c r="BE115" s="39"/>
      <c r="BF115" s="40" t="str">
        <f aca="false">IF(OR(BE115="",CE115=""),"",BE115/CE115*100)</f>
        <v/>
      </c>
      <c r="BG115" s="41" t="str">
        <f aca="false">IF(BF115="","",IFERROR(MATCH(BF115,INDEX(Boundaries!$B$2:$I$30,MATCH(CS115,Boundaries!$A$2:$A$30,0),0),1)-1,""))</f>
        <v/>
      </c>
      <c r="BH115" s="42" t="str">
        <f aca="false">IF(OR(BG115="",$E115=""),"",BG115-$E115)</f>
        <v/>
      </c>
      <c r="BI115" s="39"/>
      <c r="BJ115" s="40" t="str">
        <f aca="false">IF(OR(BI115="",CF115=""),"",BI115/CF115*100)</f>
        <v/>
      </c>
      <c r="BK115" s="41" t="str">
        <f aca="false">IF(BJ115="","",IFERROR(MATCH(BJ115,INDEX(Boundaries!$B$2:$I$30,MATCH(CT115,Boundaries!$A$2:$A$30,0),0),1)-1,""))</f>
        <v/>
      </c>
      <c r="BL115" s="42" t="str">
        <f aca="false">IF(OR(BK115="",$E115=""),"",BK115-$E115)</f>
        <v/>
      </c>
      <c r="BM115" s="39"/>
      <c r="BN115" s="40" t="str">
        <f aca="false">IF(OR(BM115="",CG115=""),"",BM115/CG115*100)</f>
        <v/>
      </c>
      <c r="BO115" s="41" t="str">
        <f aca="false">IF(BN115="","",IFERROR(MATCH(BN115,INDEX(Boundaries!$B$2:$I$30,MATCH(CU115,Boundaries!$A$2:$A$30,0),0),1)-1,""))</f>
        <v/>
      </c>
      <c r="BP115" s="42" t="str">
        <f aca="false">IF(OR(BO115="",$E115=""),"",BO115-$E115)</f>
        <v/>
      </c>
      <c r="BQ115" s="39"/>
      <c r="BR115" s="40" t="str">
        <f aca="false">IF(OR(BQ115="",CH115=""),"",BQ115/CH115*100)</f>
        <v/>
      </c>
      <c r="BS115" s="41" t="str">
        <f aca="false">IF(BR115="","",IFERROR(MATCH(BR115,INDEX(Boundaries!$B$2:$I$30,MATCH(CV115,Boundaries!$A$2:$A$30,0),0),1)-1,""))</f>
        <v/>
      </c>
      <c r="BT115" s="42" t="str">
        <f aca="false">IF(OR(BS115="",$E115=""),"",BS115-$E115)</f>
        <v/>
      </c>
      <c r="BU115" s="28" t="n">
        <f aca="false">IFERROR(INDEX(Assessments!$H$2:$H$600,MATCH($H115&amp;"|"&amp;$I115&amp;"|"&amp;$J115&amp;"|"&amp;1,Assessments!$A$2:$A$600,0)),"")</f>
        <v>30</v>
      </c>
      <c r="BV115" s="28" t="n">
        <f aca="false">IFERROR(INDEX(Assessments!$H$2:$H$600,MATCH($H115&amp;"|"&amp;$I115&amp;"|"&amp;$J115&amp;"|"&amp;2,Assessments!$A$2:$A$600,0)),"")</f>
        <v>20</v>
      </c>
      <c r="BW115" s="28" t="n">
        <f aca="false">IFERROR(INDEX(Assessments!$H$2:$H$600,MATCH($H115&amp;"|"&amp;$I115&amp;"|"&amp;$J115&amp;"|"&amp;3,Assessments!$A$2:$A$600,0)),"")</f>
        <v>25</v>
      </c>
      <c r="BX115" s="28" t="n">
        <f aca="false">IFERROR(INDEX(Assessments!$H$2:$H$600,MATCH($H115&amp;"|"&amp;$I115&amp;"|"&amp;$J115&amp;"|"&amp;4,Assessments!$A$2:$A$600,0)),"")</f>
        <v>23</v>
      </c>
      <c r="BY115" s="28" t="n">
        <f aca="false">IFERROR(INDEX(Assessments!$H$2:$H$600,MATCH($H115&amp;"|"&amp;$I115&amp;"|"&amp;$J115&amp;"|"&amp;5,Assessments!$A$2:$A$600,0)),"")</f>
        <v>25</v>
      </c>
      <c r="BZ115" s="28" t="n">
        <f aca="false">IFERROR(INDEX(Assessments!$H$2:$H$600,MATCH($H115&amp;"|"&amp;$I115&amp;"|"&amp;$J115&amp;"|"&amp;6,Assessments!$A$2:$A$600,0)),"")</f>
        <v>15</v>
      </c>
      <c r="CA115" s="28" t="n">
        <f aca="false">IFERROR(INDEX(Assessments!$H$2:$H$600,MATCH($H115&amp;"|"&amp;$I115&amp;"|"&amp;$J115&amp;"|"&amp;7,Assessments!$A$2:$A$600,0)),"")</f>
        <v>52</v>
      </c>
      <c r="CB115" s="28" t="str">
        <f aca="false">IFERROR(INDEX(Assessments!$H$2:$H$600,MATCH($H115&amp;"|"&amp;$I115&amp;"|"&amp;$J115&amp;"|"&amp;8,Assessments!$A$2:$A$600,0)),"")</f>
        <v/>
      </c>
      <c r="CC115" s="28" t="str">
        <f aca="false">IFERROR(INDEX(Assessments!$H$2:$H$600,MATCH($H115&amp;"|"&amp;$I115&amp;"|"&amp;$J115&amp;"|"&amp;9,Assessments!$A$2:$A$600,0)),"")</f>
        <v/>
      </c>
      <c r="CD115" s="28" t="str">
        <f aca="false">IFERROR(INDEX(Assessments!$H$2:$H$600,MATCH($H115&amp;"|"&amp;$I115&amp;"|"&amp;$J115&amp;"|"&amp;10,Assessments!$A$2:$A$600,0)),"")</f>
        <v/>
      </c>
      <c r="CE115" s="28" t="str">
        <f aca="false">IFERROR(INDEX(Assessments!$H$2:$H$600,MATCH($H115&amp;"|"&amp;$I115&amp;"|"&amp;$J115&amp;"|"&amp;11,Assessments!$A$2:$A$600,0)),"")</f>
        <v/>
      </c>
      <c r="CF115" s="28" t="str">
        <f aca="false">IFERROR(INDEX(Assessments!$H$2:$H$600,MATCH($H115&amp;"|"&amp;$I115&amp;"|"&amp;$J115&amp;"|"&amp;12,Assessments!$A$2:$A$600,0)),"")</f>
        <v/>
      </c>
      <c r="CG115" s="28" t="str">
        <f aca="false">IFERROR(INDEX(Assessments!$H$2:$H$600,MATCH($H115&amp;"|"&amp;$I115&amp;"|"&amp;$J115&amp;"|"&amp;13,Assessments!$A$2:$A$600,0)),"")</f>
        <v/>
      </c>
      <c r="CH115" s="28" t="str">
        <f aca="false">IFERROR(INDEX(Assessments!$H$2:$H$600,MATCH($H115&amp;"|"&amp;$I115&amp;"|"&amp;$J115&amp;"|"&amp;14,Assessments!$A$2:$A$600,0)),"")</f>
        <v/>
      </c>
      <c r="CI115" s="28" t="str">
        <f aca="false">IFERROR(INDEX(Assessments!$I$2:$I$600,MATCH($H115&amp;"|"&amp;$I115&amp;"|"&amp;$J115&amp;"|"&amp;1,Assessments!$A$2:$A$600,0)),"")</f>
        <v>Econ Test</v>
      </c>
      <c r="CJ115" s="28" t="str">
        <f aca="false">IFERROR(INDEX(Assessments!$I$2:$I$600,MATCH($H115&amp;"|"&amp;$I115&amp;"|"&amp;$J115&amp;"|"&amp;2,Assessments!$A$2:$A$600,0)),"")</f>
        <v>Econ Test</v>
      </c>
      <c r="CK115" s="28" t="str">
        <f aca="false">IFERROR(INDEX(Assessments!$I$2:$I$600,MATCH($H115&amp;"|"&amp;$I115&amp;"|"&amp;$J115&amp;"|"&amp;3,Assessments!$A$2:$A$600,0)),"")</f>
        <v>Econ Test</v>
      </c>
      <c r="CL115" s="28" t="str">
        <f aca="false">IFERROR(INDEX(Assessments!$I$2:$I$600,MATCH($H115&amp;"|"&amp;$I115&amp;"|"&amp;$J115&amp;"|"&amp;4,Assessments!$A$2:$A$600,0)),"")</f>
        <v>Econ Test</v>
      </c>
      <c r="CM115" s="28" t="str">
        <f aca="false">IFERROR(INDEX(Assessments!$I$2:$I$600,MATCH($H115&amp;"|"&amp;$I115&amp;"|"&amp;$J115&amp;"|"&amp;5,Assessments!$A$2:$A$600,0)),"")</f>
        <v>Econ Exam</v>
      </c>
      <c r="CN115" s="28" t="str">
        <f aca="false">IFERROR(INDEX(Assessments!$I$2:$I$600,MATCH($H115&amp;"|"&amp;$I115&amp;"|"&amp;$J115&amp;"|"&amp;6,Assessments!$A$2:$A$600,0)),"")</f>
        <v>Econ Test</v>
      </c>
      <c r="CO115" s="28" t="str">
        <f aca="false">IFERROR(INDEX(Assessments!$I$2:$I$600,MATCH($H115&amp;"|"&amp;$I115&amp;"|"&amp;$J115&amp;"|"&amp;7,Assessments!$A$2:$A$600,0)),"")</f>
        <v>Econ Exam</v>
      </c>
      <c r="CP115" s="28" t="str">
        <f aca="false">IFERROR(INDEX(Assessments!$I$2:$I$600,MATCH($H115&amp;"|"&amp;$I115&amp;"|"&amp;$J115&amp;"|"&amp;8,Assessments!$A$2:$A$600,0)),"")</f>
        <v/>
      </c>
      <c r="CQ115" s="28" t="str">
        <f aca="false">IFERROR(INDEX(Assessments!$I$2:$I$600,MATCH($H115&amp;"|"&amp;$I115&amp;"|"&amp;$J115&amp;"|"&amp;9,Assessments!$A$2:$A$600,0)),"")</f>
        <v/>
      </c>
      <c r="CR115" s="28" t="str">
        <f aca="false">IFERROR(INDEX(Assessments!$I$2:$I$600,MATCH($H115&amp;"|"&amp;$I115&amp;"|"&amp;$J115&amp;"|"&amp;10,Assessments!$A$2:$A$600,0)),"")</f>
        <v/>
      </c>
      <c r="CS115" s="28" t="str">
        <f aca="false">IFERROR(INDEX(Assessments!$I$2:$I$600,MATCH($H115&amp;"|"&amp;$I115&amp;"|"&amp;$J115&amp;"|"&amp;11,Assessments!$A$2:$A$600,0)),"")</f>
        <v/>
      </c>
      <c r="CT115" s="28" t="str">
        <f aca="false">IFERROR(INDEX(Assessments!$I$2:$I$600,MATCH($H115&amp;"|"&amp;$I115&amp;"|"&amp;$J115&amp;"|"&amp;12,Assessments!$A$2:$A$600,0)),"")</f>
        <v/>
      </c>
      <c r="CU115" s="28" t="str">
        <f aca="false">IFERROR(INDEX(Assessments!$I$2:$I$600,MATCH($H115&amp;"|"&amp;$I115&amp;"|"&amp;$J115&amp;"|"&amp;13,Assessments!$A$2:$A$600,0)),"")</f>
        <v/>
      </c>
      <c r="CV115" s="28" t="str">
        <f aca="false">IFERROR(INDEX(Assessments!$I$2:$I$600,MATCH($H115&amp;"|"&amp;$I115&amp;"|"&amp;$J115&amp;"|"&amp;14,Assessments!$A$2:$A$600,0)),"")</f>
        <v/>
      </c>
      <c r="CW115" s="28" t="n">
        <f aca="false">IFERROR(INDEX(Assessments!$J$2:$J$600,MATCH($H115&amp;"|"&amp;$I115&amp;"|"&amp;$J115&amp;"|"&amp;1,Assessments!$A$2:$A$600,0)),0)</f>
        <v>1</v>
      </c>
      <c r="CX115" s="28" t="n">
        <f aca="false">IFERROR(INDEX(Assessments!$J$2:$J$600,MATCH($H115&amp;"|"&amp;$I115&amp;"|"&amp;$J115&amp;"|"&amp;2,Assessments!$A$2:$A$600,0)),0)</f>
        <v>1</v>
      </c>
      <c r="CY115" s="28" t="n">
        <f aca="false">IFERROR(INDEX(Assessments!$J$2:$J$600,MATCH($H115&amp;"|"&amp;$I115&amp;"|"&amp;$J115&amp;"|"&amp;3,Assessments!$A$2:$A$600,0)),0)</f>
        <v>1</v>
      </c>
      <c r="CZ115" s="28" t="n">
        <f aca="false">IFERROR(INDEX(Assessments!$J$2:$J$600,MATCH($H115&amp;"|"&amp;$I115&amp;"|"&amp;$J115&amp;"|"&amp;4,Assessments!$A$2:$A$600,0)),0)</f>
        <v>1</v>
      </c>
      <c r="DA115" s="28" t="n">
        <f aca="false">IFERROR(INDEX(Assessments!$J$2:$J$600,MATCH($H115&amp;"|"&amp;$I115&amp;"|"&amp;$J115&amp;"|"&amp;5,Assessments!$A$2:$A$600,0)),0)</f>
        <v>2</v>
      </c>
      <c r="DB115" s="28" t="n">
        <f aca="false">IFERROR(INDEX(Assessments!$J$2:$J$600,MATCH($H115&amp;"|"&amp;$I115&amp;"|"&amp;$J115&amp;"|"&amp;6,Assessments!$A$2:$A$600,0)),0)</f>
        <v>1</v>
      </c>
      <c r="DC115" s="28" t="n">
        <f aca="false">IFERROR(INDEX(Assessments!$J$2:$J$600,MATCH($H115&amp;"|"&amp;$I115&amp;"|"&amp;$J115&amp;"|"&amp;7,Assessments!$A$2:$A$600,0)),0)</f>
        <v>2</v>
      </c>
      <c r="DD115" s="28" t="n">
        <f aca="false">IFERROR(INDEX(Assessments!$J$2:$J$600,MATCH($H115&amp;"|"&amp;$I115&amp;"|"&amp;$J115&amp;"|"&amp;8,Assessments!$A$2:$A$600,0)),0)</f>
        <v>0</v>
      </c>
      <c r="DE115" s="28" t="n">
        <f aca="false">IFERROR(INDEX(Assessments!$J$2:$J$600,MATCH($H115&amp;"|"&amp;$I115&amp;"|"&amp;$J115&amp;"|"&amp;9,Assessments!$A$2:$A$600,0)),0)</f>
        <v>0</v>
      </c>
      <c r="DF115" s="28" t="n">
        <f aca="false">IFERROR(INDEX(Assessments!$J$2:$J$600,MATCH($H115&amp;"|"&amp;$I115&amp;"|"&amp;$J115&amp;"|"&amp;10,Assessments!$A$2:$A$600,0)),0)</f>
        <v>0</v>
      </c>
      <c r="DG115" s="28" t="n">
        <f aca="false">IFERROR(INDEX(Assessments!$J$2:$J$600,MATCH($H115&amp;"|"&amp;$I115&amp;"|"&amp;$J115&amp;"|"&amp;11,Assessments!$A$2:$A$600,0)),0)</f>
        <v>0</v>
      </c>
      <c r="DH115" s="28" t="n">
        <f aca="false">IFERROR(INDEX(Assessments!$J$2:$J$600,MATCH($H115&amp;"|"&amp;$I115&amp;"|"&amp;$J115&amp;"|"&amp;12,Assessments!$A$2:$A$600,0)),0)</f>
        <v>0</v>
      </c>
      <c r="DI115" s="28" t="n">
        <f aca="false">IFERROR(INDEX(Assessments!$J$2:$J$600,MATCH($H115&amp;"|"&amp;$I115&amp;"|"&amp;$J115&amp;"|"&amp;13,Assessments!$A$2:$A$600,0)),0)</f>
        <v>0</v>
      </c>
      <c r="DJ115" s="28" t="n">
        <f aca="false">IFERROR(INDEX(Assessments!$J$2:$J$600,MATCH($H115&amp;"|"&amp;$I115&amp;"|"&amp;$J115&amp;"|"&amp;14,Assessments!$A$2:$A$600,0)),0)</f>
        <v>0</v>
      </c>
      <c r="DK115" s="28" t="n">
        <f aca="false">S115</f>
        <v>7</v>
      </c>
      <c r="DL115" s="28" t="n">
        <f aca="false">W115</f>
        <v>7</v>
      </c>
      <c r="DM115" s="28" t="n">
        <f aca="false">AA115</f>
        <v>6</v>
      </c>
      <c r="DN115" s="28" t="n">
        <f aca="false">AE115</f>
        <v>4</v>
      </c>
      <c r="DO115" s="28" t="n">
        <f aca="false">AI115</f>
        <v>7</v>
      </c>
      <c r="DP115" s="28" t="str">
        <f aca="false">AM115</f>
        <v/>
      </c>
      <c r="DQ115" s="28" t="str">
        <f aca="false">AQ115</f>
        <v/>
      </c>
      <c r="DR115" s="28" t="str">
        <f aca="false">AU115</f>
        <v/>
      </c>
      <c r="DS115" s="28" t="str">
        <f aca="false">AY115</f>
        <v/>
      </c>
      <c r="DT115" s="28" t="str">
        <f aca="false">BC115</f>
        <v/>
      </c>
      <c r="DU115" s="28" t="str">
        <f aca="false">BG115</f>
        <v/>
      </c>
      <c r="DV115" s="28" t="str">
        <f aca="false">BK115</f>
        <v/>
      </c>
      <c r="DW115" s="28" t="str">
        <f aca="false">BO115</f>
        <v/>
      </c>
      <c r="DX115" s="28" t="str">
        <f aca="false">BS115</f>
        <v/>
      </c>
      <c r="DY115" s="28" t="n">
        <f aca="false">IF(ISNUMBER(S115),1,"")</f>
        <v>1</v>
      </c>
      <c r="DZ115" s="28" t="n">
        <f aca="false">IF(ISNUMBER(W115),2,"")</f>
        <v>2</v>
      </c>
      <c r="EA115" s="28" t="n">
        <f aca="false">IF(ISNUMBER(AA115),3,"")</f>
        <v>3</v>
      </c>
      <c r="EB115" s="28" t="n">
        <f aca="false">IF(ISNUMBER(AE115),4,"")</f>
        <v>4</v>
      </c>
      <c r="EC115" s="28" t="n">
        <f aca="false">IF(ISNUMBER(AI115),5,"")</f>
        <v>5</v>
      </c>
      <c r="ED115" s="28" t="str">
        <f aca="false">IF(ISNUMBER(AM115),6,"")</f>
        <v/>
      </c>
      <c r="EE115" s="28" t="str">
        <f aca="false">IF(ISNUMBER(AQ115),7,"")</f>
        <v/>
      </c>
      <c r="EF115" s="28" t="str">
        <f aca="false">IF(ISNUMBER(AU115),8,"")</f>
        <v/>
      </c>
      <c r="EG115" s="28" t="str">
        <f aca="false">IF(ISNUMBER(AY115),9,"")</f>
        <v/>
      </c>
      <c r="EH115" s="28" t="str">
        <f aca="false">IF(ISNUMBER(BC115),10,"")</f>
        <v/>
      </c>
      <c r="EI115" s="28" t="str">
        <f aca="false">IF(ISNUMBER(BG115),11,"")</f>
        <v/>
      </c>
      <c r="EJ115" s="28" t="str">
        <f aca="false">IF(ISNUMBER(BK115),12,"")</f>
        <v/>
      </c>
      <c r="EK115" s="28" t="str">
        <f aca="false">IF(ISNUMBER(BO115),13,"")</f>
        <v/>
      </c>
      <c r="EL115" s="28" t="str">
        <f aca="false">IF(ISNUMBER(BS115),14,"")</f>
        <v/>
      </c>
      <c r="EM115" s="28" t="n">
        <f aca="false">IF(ISNUMBER(R115),R115*CW115,0)</f>
        <v>86.6666666666667</v>
      </c>
      <c r="EN115" s="28" t="n">
        <f aca="false">IF(ISNUMBER(V115),V115*CX115,0)</f>
        <v>85</v>
      </c>
      <c r="EO115" s="28" t="n">
        <f aca="false">IF(ISNUMBER(Z115),Z115*CY115,0)</f>
        <v>76</v>
      </c>
      <c r="EP115" s="28" t="n">
        <f aca="false">IF(ISNUMBER(AD115),AD115*CZ115,0)</f>
        <v>60.8695652173913</v>
      </c>
      <c r="EQ115" s="28" t="n">
        <f aca="false">IF(ISNUMBER(AH115),AH115*DA115,0)</f>
        <v>160</v>
      </c>
      <c r="ER115" s="28" t="n">
        <f aca="false">IF(ISNUMBER(AL115),AL115*DB115,0)</f>
        <v>0</v>
      </c>
      <c r="ES115" s="28" t="n">
        <f aca="false">IF(ISNUMBER(AP115),AP115*DC115,0)</f>
        <v>0</v>
      </c>
      <c r="ET115" s="28" t="n">
        <f aca="false">IF(ISNUMBER(AT115),AT115*DD115,0)</f>
        <v>0</v>
      </c>
      <c r="EU115" s="28" t="n">
        <f aca="false">IF(ISNUMBER(AX115),AX115*DE115,0)</f>
        <v>0</v>
      </c>
      <c r="EV115" s="28" t="n">
        <f aca="false">IF(ISNUMBER(BB115),BB115*DF115,0)</f>
        <v>0</v>
      </c>
      <c r="EW115" s="28" t="n">
        <f aca="false">IF(ISNUMBER(BF115),BF115*DG115,0)</f>
        <v>0</v>
      </c>
      <c r="EX115" s="28" t="n">
        <f aca="false">IF(ISNUMBER(BJ115),BJ115*DH115,0)</f>
        <v>0</v>
      </c>
      <c r="EY115" s="28" t="n">
        <f aca="false">IF(ISNUMBER(BN115),BN115*DI115,0)</f>
        <v>0</v>
      </c>
      <c r="EZ115" s="28" t="n">
        <f aca="false">IF(ISNUMBER(BR115),BR115*DJ115,0)</f>
        <v>0</v>
      </c>
      <c r="FA115" s="28" t="n">
        <f aca="false">IF(ISNUMBER(R115),CW115,0)</f>
        <v>1</v>
      </c>
      <c r="FB115" s="28" t="n">
        <f aca="false">IF(ISNUMBER(V115),CX115,0)</f>
        <v>1</v>
      </c>
      <c r="FC115" s="28" t="n">
        <f aca="false">IF(ISNUMBER(Z115),CY115,0)</f>
        <v>1</v>
      </c>
      <c r="FD115" s="28" t="n">
        <f aca="false">IF(ISNUMBER(AD115),CZ115,0)</f>
        <v>1</v>
      </c>
      <c r="FE115" s="28" t="n">
        <f aca="false">IF(ISNUMBER(AH115),DA115,0)</f>
        <v>2</v>
      </c>
      <c r="FF115" s="28" t="n">
        <f aca="false">IF(ISNUMBER(AL115),DB115,0)</f>
        <v>0</v>
      </c>
      <c r="FG115" s="28" t="n">
        <f aca="false">IF(ISNUMBER(AP115),DC115,0)</f>
        <v>0</v>
      </c>
      <c r="FH115" s="28" t="n">
        <f aca="false">IF(ISNUMBER(AT115),DD115,0)</f>
        <v>0</v>
      </c>
      <c r="FI115" s="28" t="n">
        <f aca="false">IF(ISNUMBER(AX115),DE115,0)</f>
        <v>0</v>
      </c>
      <c r="FJ115" s="28" t="n">
        <f aca="false">IF(ISNUMBER(BB115),DF115,0)</f>
        <v>0</v>
      </c>
      <c r="FK115" s="28" t="n">
        <f aca="false">IF(ISNUMBER(BF115),DG115,0)</f>
        <v>0</v>
      </c>
      <c r="FL115" s="28" t="n">
        <f aca="false">IF(ISNUMBER(BJ115),DH115,0)</f>
        <v>0</v>
      </c>
      <c r="FM115" s="28" t="n">
        <f aca="false">IF(ISNUMBER(BN115),DI115,0)</f>
        <v>0</v>
      </c>
      <c r="FN115" s="28" t="n">
        <f aca="false">IF(ISNUMBER(BR115),DJ115,0)</f>
        <v>0</v>
      </c>
      <c r="FO115" s="28" t="str">
        <f aca="false">IFERROR(INDEX(Lists!$G$2:$G$20,MATCH($I115&amp;"|"&amp;$J115,Lists!$F$2:$F$20,0)),"")</f>
        <v>Econ Exam</v>
      </c>
    </row>
    <row r="116" customFormat="false" ht="19.5" hidden="false" customHeight="true" outlineLevel="0" collapsed="false">
      <c r="A116" s="29" t="s">
        <v>349</v>
      </c>
      <c r="B116" s="29" t="s">
        <v>350</v>
      </c>
      <c r="C116" s="30" t="s">
        <v>152</v>
      </c>
      <c r="D116" s="30" t="s">
        <v>291</v>
      </c>
      <c r="E116" s="31" t="n">
        <v>6.4</v>
      </c>
      <c r="F116" s="30" t="n">
        <v>7</v>
      </c>
      <c r="G116" s="30"/>
      <c r="H116" s="32" t="s">
        <v>23</v>
      </c>
      <c r="I116" s="33" t="s">
        <v>229</v>
      </c>
      <c r="J116" s="32" t="s">
        <v>223</v>
      </c>
      <c r="K116" s="34" t="n">
        <f aca="false">IF(OR(M116="",$E116=""),"",M116-$E116)</f>
        <v>0.6</v>
      </c>
      <c r="L116" s="35" t="n">
        <f aca="false">IF(SUM(FA116:FN116)=0,"",SUM(EM116:EZ116)/SUM(FA116:FN116))</f>
        <v>80.768115942029</v>
      </c>
      <c r="M116" s="36" t="n">
        <f aca="false">IF(OR(L116="",FO116=""),"",IFERROR(MATCH(L116,INDEX(Boundaries!$B$2:$I$30,MATCH(FO116,Boundaries!$A$2:$A$30,0),0),1)-1,""))</f>
        <v>7</v>
      </c>
      <c r="N116" s="37" t="n">
        <f aca="false">IF(COUNT($DY116:$EL116)&lt;2,"",INDEX($DK116:$DX116,MAX($DY116:$EL116))-INDEX($DK116:$DX116,MIN($DY116:$EL116)))</f>
        <v>1</v>
      </c>
      <c r="O116" s="37" t="n">
        <f aca="false">IF(COUNT($DY116:$EL116)&lt;2,"",INDEX($DK116:$DX116,MAX($DY116:$EL116))-INDEX($DK116:$DX116,LARGE($DY116:$EL116,2)))</f>
        <v>1</v>
      </c>
      <c r="P116" s="38" t="str">
        <f aca="false">IF(K116="","",IF(K116&gt;=0,"On/above target",IF(AND(N116&lt;&gt;"",N116&gt;=0.5),"Improving towards target",IF(AND(O116&lt;&gt;"",O116&lt;=-0.5),"Declining","Stable below target"))))</f>
        <v>On/above target</v>
      </c>
      <c r="Q116" s="39" t="n">
        <v>24</v>
      </c>
      <c r="R116" s="40" t="n">
        <f aca="false">IF(OR(Q116="",BU116=""),"",Q116/BU116*100)</f>
        <v>80</v>
      </c>
      <c r="S116" s="41" t="n">
        <f aca="false">IF(R116="","",IFERROR(MATCH(R116,INDEX(Boundaries!$B$2:$I$30,MATCH(CI116,Boundaries!$A$2:$A$30,0),0),1)-1,""))</f>
        <v>6</v>
      </c>
      <c r="T116" s="42" t="n">
        <f aca="false">IF(OR(S116="",$E116=""),"",S116-$E116)</f>
        <v>-0.4</v>
      </c>
      <c r="U116" s="39" t="n">
        <v>18</v>
      </c>
      <c r="V116" s="40" t="n">
        <f aca="false">IF(OR(U116="",BV116=""),"",U116/BV116*100)</f>
        <v>90</v>
      </c>
      <c r="W116" s="41" t="n">
        <f aca="false">IF(V116="","",IFERROR(MATCH(V116,INDEX(Boundaries!$B$2:$I$30,MATCH(CJ116,Boundaries!$A$2:$A$30,0),0),1)-1,""))</f>
        <v>7</v>
      </c>
      <c r="X116" s="42" t="n">
        <f aca="false">IF(OR(W116="",$E116=""),"",W116-$E116)</f>
        <v>0.6</v>
      </c>
      <c r="Y116" s="39" t="n">
        <v>16</v>
      </c>
      <c r="Z116" s="40" t="n">
        <f aca="false">IF(OR(Y116="",BW116=""),"",Y116/BW116*100)</f>
        <v>64</v>
      </c>
      <c r="AA116" s="41" t="n">
        <f aca="false">IF(Z116="","",IFERROR(MATCH(Z116,INDEX(Boundaries!$B$2:$I$30,MATCH(CK116,Boundaries!$A$2:$A$30,0),0),1)-1,""))</f>
        <v>4</v>
      </c>
      <c r="AB116" s="42" t="n">
        <f aca="false">IF(OR(AA116="",$E116=""),"",AA116-$E116)</f>
        <v>-2.4</v>
      </c>
      <c r="AC116" s="39" t="n">
        <v>19</v>
      </c>
      <c r="AD116" s="40" t="n">
        <f aca="false">IF(OR(AC116="",BX116=""),"",AC116/BX116*100)</f>
        <v>82.6086956521739</v>
      </c>
      <c r="AE116" s="41" t="n">
        <f aca="false">IF(AD116="","",IFERROR(MATCH(AD116,INDEX(Boundaries!$B$2:$I$30,MATCH(CL116,Boundaries!$A$2:$A$30,0),0),1)-1,""))</f>
        <v>6</v>
      </c>
      <c r="AF116" s="42" t="n">
        <f aca="false">IF(OR(AE116="",$E116=""),"",AE116-$E116)</f>
        <v>-0.4</v>
      </c>
      <c r="AG116" s="39" t="n">
        <v>21</v>
      </c>
      <c r="AH116" s="40" t="n">
        <f aca="false">IF(OR(AG116="",BY116=""),"",AG116/BY116*100)</f>
        <v>84</v>
      </c>
      <c r="AI116" s="41" t="n">
        <f aca="false">IF(AH116="","",IFERROR(MATCH(AH116,INDEX(Boundaries!$B$2:$I$30,MATCH(CM116,Boundaries!$A$2:$A$30,0),0),1)-1,""))</f>
        <v>7</v>
      </c>
      <c r="AJ116" s="42" t="n">
        <f aca="false">IF(OR(AI116="",$E116=""),"",AI116-$E116)</f>
        <v>0.6</v>
      </c>
      <c r="AK116" s="39"/>
      <c r="AL116" s="40" t="str">
        <f aca="false">IF(OR(AK116="",BZ116=""),"",AK116/BZ116*100)</f>
        <v/>
      </c>
      <c r="AM116" s="41" t="str">
        <f aca="false">IF(AL116="","",IFERROR(MATCH(AL116,INDEX(Boundaries!$B$2:$I$30,MATCH(CN116,Boundaries!$A$2:$A$30,0),0),1)-1,""))</f>
        <v/>
      </c>
      <c r="AN116" s="42" t="str">
        <f aca="false">IF(OR(AM116="",$E116=""),"",AM116-$E116)</f>
        <v/>
      </c>
      <c r="AO116" s="39"/>
      <c r="AP116" s="40" t="str">
        <f aca="false">IF(OR(AO116="",CA116=""),"",AO116/CA116*100)</f>
        <v/>
      </c>
      <c r="AQ116" s="41" t="str">
        <f aca="false">IF(AP116="","",IFERROR(MATCH(AP116,INDEX(Boundaries!$B$2:$I$30,MATCH(CO116,Boundaries!$A$2:$A$30,0),0),1)-1,""))</f>
        <v/>
      </c>
      <c r="AR116" s="42" t="str">
        <f aca="false">IF(OR(AQ116="",$E116=""),"",AQ116-$E116)</f>
        <v/>
      </c>
      <c r="AS116" s="39"/>
      <c r="AT116" s="40" t="str">
        <f aca="false">IF(OR(AS116="",CB116=""),"",AS116/CB116*100)</f>
        <v/>
      </c>
      <c r="AU116" s="41" t="str">
        <f aca="false">IF(AT116="","",IFERROR(MATCH(AT116,INDEX(Boundaries!$B$2:$I$30,MATCH(CP116,Boundaries!$A$2:$A$30,0),0),1)-1,""))</f>
        <v/>
      </c>
      <c r="AV116" s="42" t="str">
        <f aca="false">IF(OR(AU116="",$E116=""),"",AU116-$E116)</f>
        <v/>
      </c>
      <c r="AW116" s="39"/>
      <c r="AX116" s="40" t="str">
        <f aca="false">IF(OR(AW116="",CC116=""),"",AW116/CC116*100)</f>
        <v/>
      </c>
      <c r="AY116" s="41" t="str">
        <f aca="false">IF(AX116="","",IFERROR(MATCH(AX116,INDEX(Boundaries!$B$2:$I$30,MATCH(CQ116,Boundaries!$A$2:$A$30,0),0),1)-1,""))</f>
        <v/>
      </c>
      <c r="AZ116" s="42" t="str">
        <f aca="false">IF(OR(AY116="",$E116=""),"",AY116-$E116)</f>
        <v/>
      </c>
      <c r="BA116" s="39"/>
      <c r="BB116" s="40" t="str">
        <f aca="false">IF(OR(BA116="",CD116=""),"",BA116/CD116*100)</f>
        <v/>
      </c>
      <c r="BC116" s="41" t="str">
        <f aca="false">IF(BB116="","",IFERROR(MATCH(BB116,INDEX(Boundaries!$B$2:$I$30,MATCH(CR116,Boundaries!$A$2:$A$30,0),0),1)-1,""))</f>
        <v/>
      </c>
      <c r="BD116" s="42" t="str">
        <f aca="false">IF(OR(BC116="",$E116=""),"",BC116-$E116)</f>
        <v/>
      </c>
      <c r="BE116" s="39"/>
      <c r="BF116" s="40" t="str">
        <f aca="false">IF(OR(BE116="",CE116=""),"",BE116/CE116*100)</f>
        <v/>
      </c>
      <c r="BG116" s="41" t="str">
        <f aca="false">IF(BF116="","",IFERROR(MATCH(BF116,INDEX(Boundaries!$B$2:$I$30,MATCH(CS116,Boundaries!$A$2:$A$30,0),0),1)-1,""))</f>
        <v/>
      </c>
      <c r="BH116" s="42" t="str">
        <f aca="false">IF(OR(BG116="",$E116=""),"",BG116-$E116)</f>
        <v/>
      </c>
      <c r="BI116" s="39"/>
      <c r="BJ116" s="40" t="str">
        <f aca="false">IF(OR(BI116="",CF116=""),"",BI116/CF116*100)</f>
        <v/>
      </c>
      <c r="BK116" s="41" t="str">
        <f aca="false">IF(BJ116="","",IFERROR(MATCH(BJ116,INDEX(Boundaries!$B$2:$I$30,MATCH(CT116,Boundaries!$A$2:$A$30,0),0),1)-1,""))</f>
        <v/>
      </c>
      <c r="BL116" s="42" t="str">
        <f aca="false">IF(OR(BK116="",$E116=""),"",BK116-$E116)</f>
        <v/>
      </c>
      <c r="BM116" s="39"/>
      <c r="BN116" s="40" t="str">
        <f aca="false">IF(OR(BM116="",CG116=""),"",BM116/CG116*100)</f>
        <v/>
      </c>
      <c r="BO116" s="41" t="str">
        <f aca="false">IF(BN116="","",IFERROR(MATCH(BN116,INDEX(Boundaries!$B$2:$I$30,MATCH(CU116,Boundaries!$A$2:$A$30,0),0),1)-1,""))</f>
        <v/>
      </c>
      <c r="BP116" s="42" t="str">
        <f aca="false">IF(OR(BO116="",$E116=""),"",BO116-$E116)</f>
        <v/>
      </c>
      <c r="BQ116" s="39"/>
      <c r="BR116" s="40" t="str">
        <f aca="false">IF(OR(BQ116="",CH116=""),"",BQ116/CH116*100)</f>
        <v/>
      </c>
      <c r="BS116" s="41" t="str">
        <f aca="false">IF(BR116="","",IFERROR(MATCH(BR116,INDEX(Boundaries!$B$2:$I$30,MATCH(CV116,Boundaries!$A$2:$A$30,0),0),1)-1,""))</f>
        <v/>
      </c>
      <c r="BT116" s="42" t="str">
        <f aca="false">IF(OR(BS116="",$E116=""),"",BS116-$E116)</f>
        <v/>
      </c>
      <c r="BU116" s="28" t="n">
        <f aca="false">IFERROR(INDEX(Assessments!$H$2:$H$600,MATCH($H116&amp;"|"&amp;$I116&amp;"|"&amp;$J116&amp;"|"&amp;1,Assessments!$A$2:$A$600,0)),"")</f>
        <v>30</v>
      </c>
      <c r="BV116" s="28" t="n">
        <f aca="false">IFERROR(INDEX(Assessments!$H$2:$H$600,MATCH($H116&amp;"|"&amp;$I116&amp;"|"&amp;$J116&amp;"|"&amp;2,Assessments!$A$2:$A$600,0)),"")</f>
        <v>20</v>
      </c>
      <c r="BW116" s="28" t="n">
        <f aca="false">IFERROR(INDEX(Assessments!$H$2:$H$600,MATCH($H116&amp;"|"&amp;$I116&amp;"|"&amp;$J116&amp;"|"&amp;3,Assessments!$A$2:$A$600,0)),"")</f>
        <v>25</v>
      </c>
      <c r="BX116" s="28" t="n">
        <f aca="false">IFERROR(INDEX(Assessments!$H$2:$H$600,MATCH($H116&amp;"|"&amp;$I116&amp;"|"&amp;$J116&amp;"|"&amp;4,Assessments!$A$2:$A$600,0)),"")</f>
        <v>23</v>
      </c>
      <c r="BY116" s="28" t="n">
        <f aca="false">IFERROR(INDEX(Assessments!$H$2:$H$600,MATCH($H116&amp;"|"&amp;$I116&amp;"|"&amp;$J116&amp;"|"&amp;5,Assessments!$A$2:$A$600,0)),"")</f>
        <v>25</v>
      </c>
      <c r="BZ116" s="28" t="n">
        <f aca="false">IFERROR(INDEX(Assessments!$H$2:$H$600,MATCH($H116&amp;"|"&amp;$I116&amp;"|"&amp;$J116&amp;"|"&amp;6,Assessments!$A$2:$A$600,0)),"")</f>
        <v>15</v>
      </c>
      <c r="CA116" s="28" t="n">
        <f aca="false">IFERROR(INDEX(Assessments!$H$2:$H$600,MATCH($H116&amp;"|"&amp;$I116&amp;"|"&amp;$J116&amp;"|"&amp;7,Assessments!$A$2:$A$600,0)),"")</f>
        <v>52</v>
      </c>
      <c r="CB116" s="28" t="str">
        <f aca="false">IFERROR(INDEX(Assessments!$H$2:$H$600,MATCH($H116&amp;"|"&amp;$I116&amp;"|"&amp;$J116&amp;"|"&amp;8,Assessments!$A$2:$A$600,0)),"")</f>
        <v/>
      </c>
      <c r="CC116" s="28" t="str">
        <f aca="false">IFERROR(INDEX(Assessments!$H$2:$H$600,MATCH($H116&amp;"|"&amp;$I116&amp;"|"&amp;$J116&amp;"|"&amp;9,Assessments!$A$2:$A$600,0)),"")</f>
        <v/>
      </c>
      <c r="CD116" s="28" t="str">
        <f aca="false">IFERROR(INDEX(Assessments!$H$2:$H$600,MATCH($H116&amp;"|"&amp;$I116&amp;"|"&amp;$J116&amp;"|"&amp;10,Assessments!$A$2:$A$600,0)),"")</f>
        <v/>
      </c>
      <c r="CE116" s="28" t="str">
        <f aca="false">IFERROR(INDEX(Assessments!$H$2:$H$600,MATCH($H116&amp;"|"&amp;$I116&amp;"|"&amp;$J116&amp;"|"&amp;11,Assessments!$A$2:$A$600,0)),"")</f>
        <v/>
      </c>
      <c r="CF116" s="28" t="str">
        <f aca="false">IFERROR(INDEX(Assessments!$H$2:$H$600,MATCH($H116&amp;"|"&amp;$I116&amp;"|"&amp;$J116&amp;"|"&amp;12,Assessments!$A$2:$A$600,0)),"")</f>
        <v/>
      </c>
      <c r="CG116" s="28" t="str">
        <f aca="false">IFERROR(INDEX(Assessments!$H$2:$H$600,MATCH($H116&amp;"|"&amp;$I116&amp;"|"&amp;$J116&amp;"|"&amp;13,Assessments!$A$2:$A$600,0)),"")</f>
        <v/>
      </c>
      <c r="CH116" s="28" t="str">
        <f aca="false">IFERROR(INDEX(Assessments!$H$2:$H$600,MATCH($H116&amp;"|"&amp;$I116&amp;"|"&amp;$J116&amp;"|"&amp;14,Assessments!$A$2:$A$600,0)),"")</f>
        <v/>
      </c>
      <c r="CI116" s="28" t="str">
        <f aca="false">IFERROR(INDEX(Assessments!$I$2:$I$600,MATCH($H116&amp;"|"&amp;$I116&amp;"|"&amp;$J116&amp;"|"&amp;1,Assessments!$A$2:$A$600,0)),"")</f>
        <v>Econ Test</v>
      </c>
      <c r="CJ116" s="28" t="str">
        <f aca="false">IFERROR(INDEX(Assessments!$I$2:$I$600,MATCH($H116&amp;"|"&amp;$I116&amp;"|"&amp;$J116&amp;"|"&amp;2,Assessments!$A$2:$A$600,0)),"")</f>
        <v>Econ Test</v>
      </c>
      <c r="CK116" s="28" t="str">
        <f aca="false">IFERROR(INDEX(Assessments!$I$2:$I$600,MATCH($H116&amp;"|"&amp;$I116&amp;"|"&amp;$J116&amp;"|"&amp;3,Assessments!$A$2:$A$600,0)),"")</f>
        <v>Econ Test</v>
      </c>
      <c r="CL116" s="28" t="str">
        <f aca="false">IFERROR(INDEX(Assessments!$I$2:$I$600,MATCH($H116&amp;"|"&amp;$I116&amp;"|"&amp;$J116&amp;"|"&amp;4,Assessments!$A$2:$A$600,0)),"")</f>
        <v>Econ Test</v>
      </c>
      <c r="CM116" s="28" t="str">
        <f aca="false">IFERROR(INDEX(Assessments!$I$2:$I$600,MATCH($H116&amp;"|"&amp;$I116&amp;"|"&amp;$J116&amp;"|"&amp;5,Assessments!$A$2:$A$600,0)),"")</f>
        <v>Econ Exam</v>
      </c>
      <c r="CN116" s="28" t="str">
        <f aca="false">IFERROR(INDEX(Assessments!$I$2:$I$600,MATCH($H116&amp;"|"&amp;$I116&amp;"|"&amp;$J116&amp;"|"&amp;6,Assessments!$A$2:$A$600,0)),"")</f>
        <v>Econ Test</v>
      </c>
      <c r="CO116" s="28" t="str">
        <f aca="false">IFERROR(INDEX(Assessments!$I$2:$I$600,MATCH($H116&amp;"|"&amp;$I116&amp;"|"&amp;$J116&amp;"|"&amp;7,Assessments!$A$2:$A$600,0)),"")</f>
        <v>Econ Exam</v>
      </c>
      <c r="CP116" s="28" t="str">
        <f aca="false">IFERROR(INDEX(Assessments!$I$2:$I$600,MATCH($H116&amp;"|"&amp;$I116&amp;"|"&amp;$J116&amp;"|"&amp;8,Assessments!$A$2:$A$600,0)),"")</f>
        <v/>
      </c>
      <c r="CQ116" s="28" t="str">
        <f aca="false">IFERROR(INDEX(Assessments!$I$2:$I$600,MATCH($H116&amp;"|"&amp;$I116&amp;"|"&amp;$J116&amp;"|"&amp;9,Assessments!$A$2:$A$600,0)),"")</f>
        <v/>
      </c>
      <c r="CR116" s="28" t="str">
        <f aca="false">IFERROR(INDEX(Assessments!$I$2:$I$600,MATCH($H116&amp;"|"&amp;$I116&amp;"|"&amp;$J116&amp;"|"&amp;10,Assessments!$A$2:$A$600,0)),"")</f>
        <v/>
      </c>
      <c r="CS116" s="28" t="str">
        <f aca="false">IFERROR(INDEX(Assessments!$I$2:$I$600,MATCH($H116&amp;"|"&amp;$I116&amp;"|"&amp;$J116&amp;"|"&amp;11,Assessments!$A$2:$A$600,0)),"")</f>
        <v/>
      </c>
      <c r="CT116" s="28" t="str">
        <f aca="false">IFERROR(INDEX(Assessments!$I$2:$I$600,MATCH($H116&amp;"|"&amp;$I116&amp;"|"&amp;$J116&amp;"|"&amp;12,Assessments!$A$2:$A$600,0)),"")</f>
        <v/>
      </c>
      <c r="CU116" s="28" t="str">
        <f aca="false">IFERROR(INDEX(Assessments!$I$2:$I$600,MATCH($H116&amp;"|"&amp;$I116&amp;"|"&amp;$J116&amp;"|"&amp;13,Assessments!$A$2:$A$600,0)),"")</f>
        <v/>
      </c>
      <c r="CV116" s="28" t="str">
        <f aca="false">IFERROR(INDEX(Assessments!$I$2:$I$600,MATCH($H116&amp;"|"&amp;$I116&amp;"|"&amp;$J116&amp;"|"&amp;14,Assessments!$A$2:$A$600,0)),"")</f>
        <v/>
      </c>
      <c r="CW116" s="28" t="n">
        <f aca="false">IFERROR(INDEX(Assessments!$J$2:$J$600,MATCH($H116&amp;"|"&amp;$I116&amp;"|"&amp;$J116&amp;"|"&amp;1,Assessments!$A$2:$A$600,0)),0)</f>
        <v>1</v>
      </c>
      <c r="CX116" s="28" t="n">
        <f aca="false">IFERROR(INDEX(Assessments!$J$2:$J$600,MATCH($H116&amp;"|"&amp;$I116&amp;"|"&amp;$J116&amp;"|"&amp;2,Assessments!$A$2:$A$600,0)),0)</f>
        <v>1</v>
      </c>
      <c r="CY116" s="28" t="n">
        <f aca="false">IFERROR(INDEX(Assessments!$J$2:$J$600,MATCH($H116&amp;"|"&amp;$I116&amp;"|"&amp;$J116&amp;"|"&amp;3,Assessments!$A$2:$A$600,0)),0)</f>
        <v>1</v>
      </c>
      <c r="CZ116" s="28" t="n">
        <f aca="false">IFERROR(INDEX(Assessments!$J$2:$J$600,MATCH($H116&amp;"|"&amp;$I116&amp;"|"&amp;$J116&amp;"|"&amp;4,Assessments!$A$2:$A$600,0)),0)</f>
        <v>1</v>
      </c>
      <c r="DA116" s="28" t="n">
        <f aca="false">IFERROR(INDEX(Assessments!$J$2:$J$600,MATCH($H116&amp;"|"&amp;$I116&amp;"|"&amp;$J116&amp;"|"&amp;5,Assessments!$A$2:$A$600,0)),0)</f>
        <v>2</v>
      </c>
      <c r="DB116" s="28" t="n">
        <f aca="false">IFERROR(INDEX(Assessments!$J$2:$J$600,MATCH($H116&amp;"|"&amp;$I116&amp;"|"&amp;$J116&amp;"|"&amp;6,Assessments!$A$2:$A$600,0)),0)</f>
        <v>1</v>
      </c>
      <c r="DC116" s="28" t="n">
        <f aca="false">IFERROR(INDEX(Assessments!$J$2:$J$600,MATCH($H116&amp;"|"&amp;$I116&amp;"|"&amp;$J116&amp;"|"&amp;7,Assessments!$A$2:$A$600,0)),0)</f>
        <v>2</v>
      </c>
      <c r="DD116" s="28" t="n">
        <f aca="false">IFERROR(INDEX(Assessments!$J$2:$J$600,MATCH($H116&amp;"|"&amp;$I116&amp;"|"&amp;$J116&amp;"|"&amp;8,Assessments!$A$2:$A$600,0)),0)</f>
        <v>0</v>
      </c>
      <c r="DE116" s="28" t="n">
        <f aca="false">IFERROR(INDEX(Assessments!$J$2:$J$600,MATCH($H116&amp;"|"&amp;$I116&amp;"|"&amp;$J116&amp;"|"&amp;9,Assessments!$A$2:$A$600,0)),0)</f>
        <v>0</v>
      </c>
      <c r="DF116" s="28" t="n">
        <f aca="false">IFERROR(INDEX(Assessments!$J$2:$J$600,MATCH($H116&amp;"|"&amp;$I116&amp;"|"&amp;$J116&amp;"|"&amp;10,Assessments!$A$2:$A$600,0)),0)</f>
        <v>0</v>
      </c>
      <c r="DG116" s="28" t="n">
        <f aca="false">IFERROR(INDEX(Assessments!$J$2:$J$600,MATCH($H116&amp;"|"&amp;$I116&amp;"|"&amp;$J116&amp;"|"&amp;11,Assessments!$A$2:$A$600,0)),0)</f>
        <v>0</v>
      </c>
      <c r="DH116" s="28" t="n">
        <f aca="false">IFERROR(INDEX(Assessments!$J$2:$J$600,MATCH($H116&amp;"|"&amp;$I116&amp;"|"&amp;$J116&amp;"|"&amp;12,Assessments!$A$2:$A$600,0)),0)</f>
        <v>0</v>
      </c>
      <c r="DI116" s="28" t="n">
        <f aca="false">IFERROR(INDEX(Assessments!$J$2:$J$600,MATCH($H116&amp;"|"&amp;$I116&amp;"|"&amp;$J116&amp;"|"&amp;13,Assessments!$A$2:$A$600,0)),0)</f>
        <v>0</v>
      </c>
      <c r="DJ116" s="28" t="n">
        <f aca="false">IFERROR(INDEX(Assessments!$J$2:$J$600,MATCH($H116&amp;"|"&amp;$I116&amp;"|"&amp;$J116&amp;"|"&amp;14,Assessments!$A$2:$A$600,0)),0)</f>
        <v>0</v>
      </c>
      <c r="DK116" s="28" t="n">
        <f aca="false">S116</f>
        <v>6</v>
      </c>
      <c r="DL116" s="28" t="n">
        <f aca="false">W116</f>
        <v>7</v>
      </c>
      <c r="DM116" s="28" t="n">
        <f aca="false">AA116</f>
        <v>4</v>
      </c>
      <c r="DN116" s="28" t="n">
        <f aca="false">AE116</f>
        <v>6</v>
      </c>
      <c r="DO116" s="28" t="n">
        <f aca="false">AI116</f>
        <v>7</v>
      </c>
      <c r="DP116" s="28" t="str">
        <f aca="false">AM116</f>
        <v/>
      </c>
      <c r="DQ116" s="28" t="str">
        <f aca="false">AQ116</f>
        <v/>
      </c>
      <c r="DR116" s="28" t="str">
        <f aca="false">AU116</f>
        <v/>
      </c>
      <c r="DS116" s="28" t="str">
        <f aca="false">AY116</f>
        <v/>
      </c>
      <c r="DT116" s="28" t="str">
        <f aca="false">BC116</f>
        <v/>
      </c>
      <c r="DU116" s="28" t="str">
        <f aca="false">BG116</f>
        <v/>
      </c>
      <c r="DV116" s="28" t="str">
        <f aca="false">BK116</f>
        <v/>
      </c>
      <c r="DW116" s="28" t="str">
        <f aca="false">BO116</f>
        <v/>
      </c>
      <c r="DX116" s="28" t="str">
        <f aca="false">BS116</f>
        <v/>
      </c>
      <c r="DY116" s="28" t="n">
        <f aca="false">IF(ISNUMBER(S116),1,"")</f>
        <v>1</v>
      </c>
      <c r="DZ116" s="28" t="n">
        <f aca="false">IF(ISNUMBER(W116),2,"")</f>
        <v>2</v>
      </c>
      <c r="EA116" s="28" t="n">
        <f aca="false">IF(ISNUMBER(AA116),3,"")</f>
        <v>3</v>
      </c>
      <c r="EB116" s="28" t="n">
        <f aca="false">IF(ISNUMBER(AE116),4,"")</f>
        <v>4</v>
      </c>
      <c r="EC116" s="28" t="n">
        <f aca="false">IF(ISNUMBER(AI116),5,"")</f>
        <v>5</v>
      </c>
      <c r="ED116" s="28" t="str">
        <f aca="false">IF(ISNUMBER(AM116),6,"")</f>
        <v/>
      </c>
      <c r="EE116" s="28" t="str">
        <f aca="false">IF(ISNUMBER(AQ116),7,"")</f>
        <v/>
      </c>
      <c r="EF116" s="28" t="str">
        <f aca="false">IF(ISNUMBER(AU116),8,"")</f>
        <v/>
      </c>
      <c r="EG116" s="28" t="str">
        <f aca="false">IF(ISNUMBER(AY116),9,"")</f>
        <v/>
      </c>
      <c r="EH116" s="28" t="str">
        <f aca="false">IF(ISNUMBER(BC116),10,"")</f>
        <v/>
      </c>
      <c r="EI116" s="28" t="str">
        <f aca="false">IF(ISNUMBER(BG116),11,"")</f>
        <v/>
      </c>
      <c r="EJ116" s="28" t="str">
        <f aca="false">IF(ISNUMBER(BK116),12,"")</f>
        <v/>
      </c>
      <c r="EK116" s="28" t="str">
        <f aca="false">IF(ISNUMBER(BO116),13,"")</f>
        <v/>
      </c>
      <c r="EL116" s="28" t="str">
        <f aca="false">IF(ISNUMBER(BS116),14,"")</f>
        <v/>
      </c>
      <c r="EM116" s="28" t="n">
        <f aca="false">IF(ISNUMBER(R116),R116*CW116,0)</f>
        <v>80</v>
      </c>
      <c r="EN116" s="28" t="n">
        <f aca="false">IF(ISNUMBER(V116),V116*CX116,0)</f>
        <v>90</v>
      </c>
      <c r="EO116" s="28" t="n">
        <f aca="false">IF(ISNUMBER(Z116),Z116*CY116,0)</f>
        <v>64</v>
      </c>
      <c r="EP116" s="28" t="n">
        <f aca="false">IF(ISNUMBER(AD116),AD116*CZ116,0)</f>
        <v>82.6086956521739</v>
      </c>
      <c r="EQ116" s="28" t="n">
        <f aca="false">IF(ISNUMBER(AH116),AH116*DA116,0)</f>
        <v>168</v>
      </c>
      <c r="ER116" s="28" t="n">
        <f aca="false">IF(ISNUMBER(AL116),AL116*DB116,0)</f>
        <v>0</v>
      </c>
      <c r="ES116" s="28" t="n">
        <f aca="false">IF(ISNUMBER(AP116),AP116*DC116,0)</f>
        <v>0</v>
      </c>
      <c r="ET116" s="28" t="n">
        <f aca="false">IF(ISNUMBER(AT116),AT116*DD116,0)</f>
        <v>0</v>
      </c>
      <c r="EU116" s="28" t="n">
        <f aca="false">IF(ISNUMBER(AX116),AX116*DE116,0)</f>
        <v>0</v>
      </c>
      <c r="EV116" s="28" t="n">
        <f aca="false">IF(ISNUMBER(BB116),BB116*DF116,0)</f>
        <v>0</v>
      </c>
      <c r="EW116" s="28" t="n">
        <f aca="false">IF(ISNUMBER(BF116),BF116*DG116,0)</f>
        <v>0</v>
      </c>
      <c r="EX116" s="28" t="n">
        <f aca="false">IF(ISNUMBER(BJ116),BJ116*DH116,0)</f>
        <v>0</v>
      </c>
      <c r="EY116" s="28" t="n">
        <f aca="false">IF(ISNUMBER(BN116),BN116*DI116,0)</f>
        <v>0</v>
      </c>
      <c r="EZ116" s="28" t="n">
        <f aca="false">IF(ISNUMBER(BR116),BR116*DJ116,0)</f>
        <v>0</v>
      </c>
      <c r="FA116" s="28" t="n">
        <f aca="false">IF(ISNUMBER(R116),CW116,0)</f>
        <v>1</v>
      </c>
      <c r="FB116" s="28" t="n">
        <f aca="false">IF(ISNUMBER(V116),CX116,0)</f>
        <v>1</v>
      </c>
      <c r="FC116" s="28" t="n">
        <f aca="false">IF(ISNUMBER(Z116),CY116,0)</f>
        <v>1</v>
      </c>
      <c r="FD116" s="28" t="n">
        <f aca="false">IF(ISNUMBER(AD116),CZ116,0)</f>
        <v>1</v>
      </c>
      <c r="FE116" s="28" t="n">
        <f aca="false">IF(ISNUMBER(AH116),DA116,0)</f>
        <v>2</v>
      </c>
      <c r="FF116" s="28" t="n">
        <f aca="false">IF(ISNUMBER(AL116),DB116,0)</f>
        <v>0</v>
      </c>
      <c r="FG116" s="28" t="n">
        <f aca="false">IF(ISNUMBER(AP116),DC116,0)</f>
        <v>0</v>
      </c>
      <c r="FH116" s="28" t="n">
        <f aca="false">IF(ISNUMBER(AT116),DD116,0)</f>
        <v>0</v>
      </c>
      <c r="FI116" s="28" t="n">
        <f aca="false">IF(ISNUMBER(AX116),DE116,0)</f>
        <v>0</v>
      </c>
      <c r="FJ116" s="28" t="n">
        <f aca="false">IF(ISNUMBER(BB116),DF116,0)</f>
        <v>0</v>
      </c>
      <c r="FK116" s="28" t="n">
        <f aca="false">IF(ISNUMBER(BF116),DG116,0)</f>
        <v>0</v>
      </c>
      <c r="FL116" s="28" t="n">
        <f aca="false">IF(ISNUMBER(BJ116),DH116,0)</f>
        <v>0</v>
      </c>
      <c r="FM116" s="28" t="n">
        <f aca="false">IF(ISNUMBER(BN116),DI116,0)</f>
        <v>0</v>
      </c>
      <c r="FN116" s="28" t="n">
        <f aca="false">IF(ISNUMBER(BR116),DJ116,0)</f>
        <v>0</v>
      </c>
      <c r="FO116" s="28" t="str">
        <f aca="false">IFERROR(INDEX(Lists!$G$2:$G$20,MATCH($I116&amp;"|"&amp;$J116,Lists!$F$2:$F$20,0)),"")</f>
        <v>Econ Exam</v>
      </c>
    </row>
    <row r="117" customFormat="false" ht="19.5" hidden="false" customHeight="true" outlineLevel="0" collapsed="false">
      <c r="A117" s="29" t="s">
        <v>351</v>
      </c>
      <c r="B117" s="29" t="s">
        <v>352</v>
      </c>
      <c r="C117" s="30" t="s">
        <v>152</v>
      </c>
      <c r="D117" s="30" t="s">
        <v>291</v>
      </c>
      <c r="E117" s="31" t="n">
        <v>5.6</v>
      </c>
      <c r="F117" s="30" t="n">
        <v>6</v>
      </c>
      <c r="G117" s="30"/>
      <c r="H117" s="32" t="s">
        <v>23</v>
      </c>
      <c r="I117" s="33" t="s">
        <v>229</v>
      </c>
      <c r="J117" s="32" t="s">
        <v>223</v>
      </c>
      <c r="K117" s="34" t="n">
        <f aca="false">IF(OR(M117="",$E117=""),"",M117-$E117)</f>
        <v>-1.6</v>
      </c>
      <c r="L117" s="35" t="n">
        <f aca="false">IF(SUM(FA117:FN117)=0,"",SUM(EM117:EZ117)/SUM(FA117:FN117))</f>
        <v>55.036231884058</v>
      </c>
      <c r="M117" s="36" t="n">
        <f aca="false">IF(OR(L117="",FO117=""),"",IFERROR(MATCH(L117,INDEX(Boundaries!$B$2:$I$30,MATCH(FO117,Boundaries!$A$2:$A$30,0),0),1)-1,""))</f>
        <v>4</v>
      </c>
      <c r="N117" s="37" t="n">
        <f aca="false">IF(COUNT($DY117:$EL117)&lt;2,"",INDEX($DK117:$DX117,MAX($DY117:$EL117))-INDEX($DK117:$DX117,MIN($DY117:$EL117)))</f>
        <v>1</v>
      </c>
      <c r="O117" s="37" t="n">
        <f aca="false">IF(COUNT($DY117:$EL117)&lt;2,"",INDEX($DK117:$DX117,MAX($DY117:$EL117))-INDEX($DK117:$DX117,LARGE($DY117:$EL117,2)))</f>
        <v>-1</v>
      </c>
      <c r="P117" s="38" t="str">
        <f aca="false">IF(K117="","",IF(K117&gt;=0,"On/above target",IF(AND(N117&lt;&gt;"",N117&gt;=0.5),"Improving towards target",IF(AND(O117&lt;&gt;"",O117&lt;=-0.5),"Declining","Stable below target"))))</f>
        <v>Improving towards target</v>
      </c>
      <c r="Q117" s="39" t="n">
        <v>12</v>
      </c>
      <c r="R117" s="40" t="n">
        <f aca="false">IF(OR(Q117="",BU117=""),"",Q117/BU117*100)</f>
        <v>40</v>
      </c>
      <c r="S117" s="41" t="n">
        <f aca="false">IF(R117="","",IFERROR(MATCH(R117,INDEX(Boundaries!$B$2:$I$30,MATCH(CI117,Boundaries!$A$2:$A$30,0),0),1)-1,""))</f>
        <v>3</v>
      </c>
      <c r="T117" s="42" t="n">
        <f aca="false">IF(OR(S117="",$E117=""),"",S117-$E117)</f>
        <v>-2.6</v>
      </c>
      <c r="U117" s="39" t="n">
        <v>13</v>
      </c>
      <c r="V117" s="40" t="n">
        <f aca="false">IF(OR(U117="",BV117=""),"",U117/BV117*100)</f>
        <v>65</v>
      </c>
      <c r="W117" s="41" t="n">
        <f aca="false">IF(V117="","",IFERROR(MATCH(V117,INDEX(Boundaries!$B$2:$I$30,MATCH(CJ117,Boundaries!$A$2:$A$30,0),0),1)-1,""))</f>
        <v>5</v>
      </c>
      <c r="X117" s="42" t="n">
        <f aca="false">IF(OR(W117="",$E117=""),"",W117-$E117)</f>
        <v>-0.6</v>
      </c>
      <c r="Y117" s="39" t="n">
        <v>14</v>
      </c>
      <c r="Z117" s="40" t="n">
        <f aca="false">IF(OR(Y117="",BW117=""),"",Y117/BW117*100)</f>
        <v>56</v>
      </c>
      <c r="AA117" s="41" t="n">
        <f aca="false">IF(Z117="","",IFERROR(MATCH(Z117,INDEX(Boundaries!$B$2:$I$30,MATCH(CK117,Boundaries!$A$2:$A$30,0),0),1)-1,""))</f>
        <v>4</v>
      </c>
      <c r="AB117" s="42" t="n">
        <f aca="false">IF(OR(AA117="",$E117=""),"",AA117-$E117)</f>
        <v>-1.6</v>
      </c>
      <c r="AC117" s="39" t="n">
        <v>15</v>
      </c>
      <c r="AD117" s="40" t="n">
        <f aca="false">IF(OR(AC117="",BX117=""),"",AC117/BX117*100)</f>
        <v>65.2173913043478</v>
      </c>
      <c r="AE117" s="41" t="n">
        <f aca="false">IF(AD117="","",IFERROR(MATCH(AD117,INDEX(Boundaries!$B$2:$I$30,MATCH(CL117,Boundaries!$A$2:$A$30,0),0),1)-1,""))</f>
        <v>5</v>
      </c>
      <c r="AF117" s="42" t="n">
        <f aca="false">IF(OR(AE117="",$E117=""),"",AE117-$E117)</f>
        <v>-0.6</v>
      </c>
      <c r="AG117" s="39" t="n">
        <v>13</v>
      </c>
      <c r="AH117" s="40" t="n">
        <f aca="false">IF(OR(AG117="",BY117=""),"",AG117/BY117*100)</f>
        <v>52</v>
      </c>
      <c r="AI117" s="41" t="n">
        <f aca="false">IF(AH117="","",IFERROR(MATCH(AH117,INDEX(Boundaries!$B$2:$I$30,MATCH(CM117,Boundaries!$A$2:$A$30,0),0),1)-1,""))</f>
        <v>4</v>
      </c>
      <c r="AJ117" s="42" t="n">
        <f aca="false">IF(OR(AI117="",$E117=""),"",AI117-$E117)</f>
        <v>-1.6</v>
      </c>
      <c r="AK117" s="39"/>
      <c r="AL117" s="40" t="str">
        <f aca="false">IF(OR(AK117="",BZ117=""),"",AK117/BZ117*100)</f>
        <v/>
      </c>
      <c r="AM117" s="41" t="str">
        <f aca="false">IF(AL117="","",IFERROR(MATCH(AL117,INDEX(Boundaries!$B$2:$I$30,MATCH(CN117,Boundaries!$A$2:$A$30,0),0),1)-1,""))</f>
        <v/>
      </c>
      <c r="AN117" s="42" t="str">
        <f aca="false">IF(OR(AM117="",$E117=""),"",AM117-$E117)</f>
        <v/>
      </c>
      <c r="AO117" s="39"/>
      <c r="AP117" s="40" t="str">
        <f aca="false">IF(OR(AO117="",CA117=""),"",AO117/CA117*100)</f>
        <v/>
      </c>
      <c r="AQ117" s="41" t="str">
        <f aca="false">IF(AP117="","",IFERROR(MATCH(AP117,INDEX(Boundaries!$B$2:$I$30,MATCH(CO117,Boundaries!$A$2:$A$30,0),0),1)-1,""))</f>
        <v/>
      </c>
      <c r="AR117" s="42" t="str">
        <f aca="false">IF(OR(AQ117="",$E117=""),"",AQ117-$E117)</f>
        <v/>
      </c>
      <c r="AS117" s="39"/>
      <c r="AT117" s="40" t="str">
        <f aca="false">IF(OR(AS117="",CB117=""),"",AS117/CB117*100)</f>
        <v/>
      </c>
      <c r="AU117" s="41" t="str">
        <f aca="false">IF(AT117="","",IFERROR(MATCH(AT117,INDEX(Boundaries!$B$2:$I$30,MATCH(CP117,Boundaries!$A$2:$A$30,0),0),1)-1,""))</f>
        <v/>
      </c>
      <c r="AV117" s="42" t="str">
        <f aca="false">IF(OR(AU117="",$E117=""),"",AU117-$E117)</f>
        <v/>
      </c>
      <c r="AW117" s="39"/>
      <c r="AX117" s="40" t="str">
        <f aca="false">IF(OR(AW117="",CC117=""),"",AW117/CC117*100)</f>
        <v/>
      </c>
      <c r="AY117" s="41" t="str">
        <f aca="false">IF(AX117="","",IFERROR(MATCH(AX117,INDEX(Boundaries!$B$2:$I$30,MATCH(CQ117,Boundaries!$A$2:$A$30,0),0),1)-1,""))</f>
        <v/>
      </c>
      <c r="AZ117" s="42" t="str">
        <f aca="false">IF(OR(AY117="",$E117=""),"",AY117-$E117)</f>
        <v/>
      </c>
      <c r="BA117" s="39"/>
      <c r="BB117" s="40" t="str">
        <f aca="false">IF(OR(BA117="",CD117=""),"",BA117/CD117*100)</f>
        <v/>
      </c>
      <c r="BC117" s="41" t="str">
        <f aca="false">IF(BB117="","",IFERROR(MATCH(BB117,INDEX(Boundaries!$B$2:$I$30,MATCH(CR117,Boundaries!$A$2:$A$30,0),0),1)-1,""))</f>
        <v/>
      </c>
      <c r="BD117" s="42" t="str">
        <f aca="false">IF(OR(BC117="",$E117=""),"",BC117-$E117)</f>
        <v/>
      </c>
      <c r="BE117" s="39"/>
      <c r="BF117" s="40" t="str">
        <f aca="false">IF(OR(BE117="",CE117=""),"",BE117/CE117*100)</f>
        <v/>
      </c>
      <c r="BG117" s="41" t="str">
        <f aca="false">IF(BF117="","",IFERROR(MATCH(BF117,INDEX(Boundaries!$B$2:$I$30,MATCH(CS117,Boundaries!$A$2:$A$30,0),0),1)-1,""))</f>
        <v/>
      </c>
      <c r="BH117" s="42" t="str">
        <f aca="false">IF(OR(BG117="",$E117=""),"",BG117-$E117)</f>
        <v/>
      </c>
      <c r="BI117" s="39"/>
      <c r="BJ117" s="40" t="str">
        <f aca="false">IF(OR(BI117="",CF117=""),"",BI117/CF117*100)</f>
        <v/>
      </c>
      <c r="BK117" s="41" t="str">
        <f aca="false">IF(BJ117="","",IFERROR(MATCH(BJ117,INDEX(Boundaries!$B$2:$I$30,MATCH(CT117,Boundaries!$A$2:$A$30,0),0),1)-1,""))</f>
        <v/>
      </c>
      <c r="BL117" s="42" t="str">
        <f aca="false">IF(OR(BK117="",$E117=""),"",BK117-$E117)</f>
        <v/>
      </c>
      <c r="BM117" s="39"/>
      <c r="BN117" s="40" t="str">
        <f aca="false">IF(OR(BM117="",CG117=""),"",BM117/CG117*100)</f>
        <v/>
      </c>
      <c r="BO117" s="41" t="str">
        <f aca="false">IF(BN117="","",IFERROR(MATCH(BN117,INDEX(Boundaries!$B$2:$I$30,MATCH(CU117,Boundaries!$A$2:$A$30,0),0),1)-1,""))</f>
        <v/>
      </c>
      <c r="BP117" s="42" t="str">
        <f aca="false">IF(OR(BO117="",$E117=""),"",BO117-$E117)</f>
        <v/>
      </c>
      <c r="BQ117" s="39"/>
      <c r="BR117" s="40" t="str">
        <f aca="false">IF(OR(BQ117="",CH117=""),"",BQ117/CH117*100)</f>
        <v/>
      </c>
      <c r="BS117" s="41" t="str">
        <f aca="false">IF(BR117="","",IFERROR(MATCH(BR117,INDEX(Boundaries!$B$2:$I$30,MATCH(CV117,Boundaries!$A$2:$A$30,0),0),1)-1,""))</f>
        <v/>
      </c>
      <c r="BT117" s="42" t="str">
        <f aca="false">IF(OR(BS117="",$E117=""),"",BS117-$E117)</f>
        <v/>
      </c>
      <c r="BU117" s="28" t="n">
        <f aca="false">IFERROR(INDEX(Assessments!$H$2:$H$600,MATCH($H117&amp;"|"&amp;$I117&amp;"|"&amp;$J117&amp;"|"&amp;1,Assessments!$A$2:$A$600,0)),"")</f>
        <v>30</v>
      </c>
      <c r="BV117" s="28" t="n">
        <f aca="false">IFERROR(INDEX(Assessments!$H$2:$H$600,MATCH($H117&amp;"|"&amp;$I117&amp;"|"&amp;$J117&amp;"|"&amp;2,Assessments!$A$2:$A$600,0)),"")</f>
        <v>20</v>
      </c>
      <c r="BW117" s="28" t="n">
        <f aca="false">IFERROR(INDEX(Assessments!$H$2:$H$600,MATCH($H117&amp;"|"&amp;$I117&amp;"|"&amp;$J117&amp;"|"&amp;3,Assessments!$A$2:$A$600,0)),"")</f>
        <v>25</v>
      </c>
      <c r="BX117" s="28" t="n">
        <f aca="false">IFERROR(INDEX(Assessments!$H$2:$H$600,MATCH($H117&amp;"|"&amp;$I117&amp;"|"&amp;$J117&amp;"|"&amp;4,Assessments!$A$2:$A$600,0)),"")</f>
        <v>23</v>
      </c>
      <c r="BY117" s="28" t="n">
        <f aca="false">IFERROR(INDEX(Assessments!$H$2:$H$600,MATCH($H117&amp;"|"&amp;$I117&amp;"|"&amp;$J117&amp;"|"&amp;5,Assessments!$A$2:$A$600,0)),"")</f>
        <v>25</v>
      </c>
      <c r="BZ117" s="28" t="n">
        <f aca="false">IFERROR(INDEX(Assessments!$H$2:$H$600,MATCH($H117&amp;"|"&amp;$I117&amp;"|"&amp;$J117&amp;"|"&amp;6,Assessments!$A$2:$A$600,0)),"")</f>
        <v>15</v>
      </c>
      <c r="CA117" s="28" t="n">
        <f aca="false">IFERROR(INDEX(Assessments!$H$2:$H$600,MATCH($H117&amp;"|"&amp;$I117&amp;"|"&amp;$J117&amp;"|"&amp;7,Assessments!$A$2:$A$600,0)),"")</f>
        <v>52</v>
      </c>
      <c r="CB117" s="28" t="str">
        <f aca="false">IFERROR(INDEX(Assessments!$H$2:$H$600,MATCH($H117&amp;"|"&amp;$I117&amp;"|"&amp;$J117&amp;"|"&amp;8,Assessments!$A$2:$A$600,0)),"")</f>
        <v/>
      </c>
      <c r="CC117" s="28" t="str">
        <f aca="false">IFERROR(INDEX(Assessments!$H$2:$H$600,MATCH($H117&amp;"|"&amp;$I117&amp;"|"&amp;$J117&amp;"|"&amp;9,Assessments!$A$2:$A$600,0)),"")</f>
        <v/>
      </c>
      <c r="CD117" s="28" t="str">
        <f aca="false">IFERROR(INDEX(Assessments!$H$2:$H$600,MATCH($H117&amp;"|"&amp;$I117&amp;"|"&amp;$J117&amp;"|"&amp;10,Assessments!$A$2:$A$600,0)),"")</f>
        <v/>
      </c>
      <c r="CE117" s="28" t="str">
        <f aca="false">IFERROR(INDEX(Assessments!$H$2:$H$600,MATCH($H117&amp;"|"&amp;$I117&amp;"|"&amp;$J117&amp;"|"&amp;11,Assessments!$A$2:$A$600,0)),"")</f>
        <v/>
      </c>
      <c r="CF117" s="28" t="str">
        <f aca="false">IFERROR(INDEX(Assessments!$H$2:$H$600,MATCH($H117&amp;"|"&amp;$I117&amp;"|"&amp;$J117&amp;"|"&amp;12,Assessments!$A$2:$A$600,0)),"")</f>
        <v/>
      </c>
      <c r="CG117" s="28" t="str">
        <f aca="false">IFERROR(INDEX(Assessments!$H$2:$H$600,MATCH($H117&amp;"|"&amp;$I117&amp;"|"&amp;$J117&amp;"|"&amp;13,Assessments!$A$2:$A$600,0)),"")</f>
        <v/>
      </c>
      <c r="CH117" s="28" t="str">
        <f aca="false">IFERROR(INDEX(Assessments!$H$2:$H$600,MATCH($H117&amp;"|"&amp;$I117&amp;"|"&amp;$J117&amp;"|"&amp;14,Assessments!$A$2:$A$600,0)),"")</f>
        <v/>
      </c>
      <c r="CI117" s="28" t="str">
        <f aca="false">IFERROR(INDEX(Assessments!$I$2:$I$600,MATCH($H117&amp;"|"&amp;$I117&amp;"|"&amp;$J117&amp;"|"&amp;1,Assessments!$A$2:$A$600,0)),"")</f>
        <v>Econ Test</v>
      </c>
      <c r="CJ117" s="28" t="str">
        <f aca="false">IFERROR(INDEX(Assessments!$I$2:$I$600,MATCH($H117&amp;"|"&amp;$I117&amp;"|"&amp;$J117&amp;"|"&amp;2,Assessments!$A$2:$A$600,0)),"")</f>
        <v>Econ Test</v>
      </c>
      <c r="CK117" s="28" t="str">
        <f aca="false">IFERROR(INDEX(Assessments!$I$2:$I$600,MATCH($H117&amp;"|"&amp;$I117&amp;"|"&amp;$J117&amp;"|"&amp;3,Assessments!$A$2:$A$600,0)),"")</f>
        <v>Econ Test</v>
      </c>
      <c r="CL117" s="28" t="str">
        <f aca="false">IFERROR(INDEX(Assessments!$I$2:$I$600,MATCH($H117&amp;"|"&amp;$I117&amp;"|"&amp;$J117&amp;"|"&amp;4,Assessments!$A$2:$A$600,0)),"")</f>
        <v>Econ Test</v>
      </c>
      <c r="CM117" s="28" t="str">
        <f aca="false">IFERROR(INDEX(Assessments!$I$2:$I$600,MATCH($H117&amp;"|"&amp;$I117&amp;"|"&amp;$J117&amp;"|"&amp;5,Assessments!$A$2:$A$600,0)),"")</f>
        <v>Econ Exam</v>
      </c>
      <c r="CN117" s="28" t="str">
        <f aca="false">IFERROR(INDEX(Assessments!$I$2:$I$600,MATCH($H117&amp;"|"&amp;$I117&amp;"|"&amp;$J117&amp;"|"&amp;6,Assessments!$A$2:$A$600,0)),"")</f>
        <v>Econ Test</v>
      </c>
      <c r="CO117" s="28" t="str">
        <f aca="false">IFERROR(INDEX(Assessments!$I$2:$I$600,MATCH($H117&amp;"|"&amp;$I117&amp;"|"&amp;$J117&amp;"|"&amp;7,Assessments!$A$2:$A$600,0)),"")</f>
        <v>Econ Exam</v>
      </c>
      <c r="CP117" s="28" t="str">
        <f aca="false">IFERROR(INDEX(Assessments!$I$2:$I$600,MATCH($H117&amp;"|"&amp;$I117&amp;"|"&amp;$J117&amp;"|"&amp;8,Assessments!$A$2:$A$600,0)),"")</f>
        <v/>
      </c>
      <c r="CQ117" s="28" t="str">
        <f aca="false">IFERROR(INDEX(Assessments!$I$2:$I$600,MATCH($H117&amp;"|"&amp;$I117&amp;"|"&amp;$J117&amp;"|"&amp;9,Assessments!$A$2:$A$600,0)),"")</f>
        <v/>
      </c>
      <c r="CR117" s="28" t="str">
        <f aca="false">IFERROR(INDEX(Assessments!$I$2:$I$600,MATCH($H117&amp;"|"&amp;$I117&amp;"|"&amp;$J117&amp;"|"&amp;10,Assessments!$A$2:$A$600,0)),"")</f>
        <v/>
      </c>
      <c r="CS117" s="28" t="str">
        <f aca="false">IFERROR(INDEX(Assessments!$I$2:$I$600,MATCH($H117&amp;"|"&amp;$I117&amp;"|"&amp;$J117&amp;"|"&amp;11,Assessments!$A$2:$A$600,0)),"")</f>
        <v/>
      </c>
      <c r="CT117" s="28" t="str">
        <f aca="false">IFERROR(INDEX(Assessments!$I$2:$I$600,MATCH($H117&amp;"|"&amp;$I117&amp;"|"&amp;$J117&amp;"|"&amp;12,Assessments!$A$2:$A$600,0)),"")</f>
        <v/>
      </c>
      <c r="CU117" s="28" t="str">
        <f aca="false">IFERROR(INDEX(Assessments!$I$2:$I$600,MATCH($H117&amp;"|"&amp;$I117&amp;"|"&amp;$J117&amp;"|"&amp;13,Assessments!$A$2:$A$600,0)),"")</f>
        <v/>
      </c>
      <c r="CV117" s="28" t="str">
        <f aca="false">IFERROR(INDEX(Assessments!$I$2:$I$600,MATCH($H117&amp;"|"&amp;$I117&amp;"|"&amp;$J117&amp;"|"&amp;14,Assessments!$A$2:$A$600,0)),"")</f>
        <v/>
      </c>
      <c r="CW117" s="28" t="n">
        <f aca="false">IFERROR(INDEX(Assessments!$J$2:$J$600,MATCH($H117&amp;"|"&amp;$I117&amp;"|"&amp;$J117&amp;"|"&amp;1,Assessments!$A$2:$A$600,0)),0)</f>
        <v>1</v>
      </c>
      <c r="CX117" s="28" t="n">
        <f aca="false">IFERROR(INDEX(Assessments!$J$2:$J$600,MATCH($H117&amp;"|"&amp;$I117&amp;"|"&amp;$J117&amp;"|"&amp;2,Assessments!$A$2:$A$600,0)),0)</f>
        <v>1</v>
      </c>
      <c r="CY117" s="28" t="n">
        <f aca="false">IFERROR(INDEX(Assessments!$J$2:$J$600,MATCH($H117&amp;"|"&amp;$I117&amp;"|"&amp;$J117&amp;"|"&amp;3,Assessments!$A$2:$A$600,0)),0)</f>
        <v>1</v>
      </c>
      <c r="CZ117" s="28" t="n">
        <f aca="false">IFERROR(INDEX(Assessments!$J$2:$J$600,MATCH($H117&amp;"|"&amp;$I117&amp;"|"&amp;$J117&amp;"|"&amp;4,Assessments!$A$2:$A$600,0)),0)</f>
        <v>1</v>
      </c>
      <c r="DA117" s="28" t="n">
        <f aca="false">IFERROR(INDEX(Assessments!$J$2:$J$600,MATCH($H117&amp;"|"&amp;$I117&amp;"|"&amp;$J117&amp;"|"&amp;5,Assessments!$A$2:$A$600,0)),0)</f>
        <v>2</v>
      </c>
      <c r="DB117" s="28" t="n">
        <f aca="false">IFERROR(INDEX(Assessments!$J$2:$J$600,MATCH($H117&amp;"|"&amp;$I117&amp;"|"&amp;$J117&amp;"|"&amp;6,Assessments!$A$2:$A$600,0)),0)</f>
        <v>1</v>
      </c>
      <c r="DC117" s="28" t="n">
        <f aca="false">IFERROR(INDEX(Assessments!$J$2:$J$600,MATCH($H117&amp;"|"&amp;$I117&amp;"|"&amp;$J117&amp;"|"&amp;7,Assessments!$A$2:$A$600,0)),0)</f>
        <v>2</v>
      </c>
      <c r="DD117" s="28" t="n">
        <f aca="false">IFERROR(INDEX(Assessments!$J$2:$J$600,MATCH($H117&amp;"|"&amp;$I117&amp;"|"&amp;$J117&amp;"|"&amp;8,Assessments!$A$2:$A$600,0)),0)</f>
        <v>0</v>
      </c>
      <c r="DE117" s="28" t="n">
        <f aca="false">IFERROR(INDEX(Assessments!$J$2:$J$600,MATCH($H117&amp;"|"&amp;$I117&amp;"|"&amp;$J117&amp;"|"&amp;9,Assessments!$A$2:$A$600,0)),0)</f>
        <v>0</v>
      </c>
      <c r="DF117" s="28" t="n">
        <f aca="false">IFERROR(INDEX(Assessments!$J$2:$J$600,MATCH($H117&amp;"|"&amp;$I117&amp;"|"&amp;$J117&amp;"|"&amp;10,Assessments!$A$2:$A$600,0)),0)</f>
        <v>0</v>
      </c>
      <c r="DG117" s="28" t="n">
        <f aca="false">IFERROR(INDEX(Assessments!$J$2:$J$600,MATCH($H117&amp;"|"&amp;$I117&amp;"|"&amp;$J117&amp;"|"&amp;11,Assessments!$A$2:$A$600,0)),0)</f>
        <v>0</v>
      </c>
      <c r="DH117" s="28" t="n">
        <f aca="false">IFERROR(INDEX(Assessments!$J$2:$J$600,MATCH($H117&amp;"|"&amp;$I117&amp;"|"&amp;$J117&amp;"|"&amp;12,Assessments!$A$2:$A$600,0)),0)</f>
        <v>0</v>
      </c>
      <c r="DI117" s="28" t="n">
        <f aca="false">IFERROR(INDEX(Assessments!$J$2:$J$600,MATCH($H117&amp;"|"&amp;$I117&amp;"|"&amp;$J117&amp;"|"&amp;13,Assessments!$A$2:$A$600,0)),0)</f>
        <v>0</v>
      </c>
      <c r="DJ117" s="28" t="n">
        <f aca="false">IFERROR(INDEX(Assessments!$J$2:$J$600,MATCH($H117&amp;"|"&amp;$I117&amp;"|"&amp;$J117&amp;"|"&amp;14,Assessments!$A$2:$A$600,0)),0)</f>
        <v>0</v>
      </c>
      <c r="DK117" s="28" t="n">
        <f aca="false">S117</f>
        <v>3</v>
      </c>
      <c r="DL117" s="28" t="n">
        <f aca="false">W117</f>
        <v>5</v>
      </c>
      <c r="DM117" s="28" t="n">
        <f aca="false">AA117</f>
        <v>4</v>
      </c>
      <c r="DN117" s="28" t="n">
        <f aca="false">AE117</f>
        <v>5</v>
      </c>
      <c r="DO117" s="28" t="n">
        <f aca="false">AI117</f>
        <v>4</v>
      </c>
      <c r="DP117" s="28" t="str">
        <f aca="false">AM117</f>
        <v/>
      </c>
      <c r="DQ117" s="28" t="str">
        <f aca="false">AQ117</f>
        <v/>
      </c>
      <c r="DR117" s="28" t="str">
        <f aca="false">AU117</f>
        <v/>
      </c>
      <c r="DS117" s="28" t="str">
        <f aca="false">AY117</f>
        <v/>
      </c>
      <c r="DT117" s="28" t="str">
        <f aca="false">BC117</f>
        <v/>
      </c>
      <c r="DU117" s="28" t="str">
        <f aca="false">BG117</f>
        <v/>
      </c>
      <c r="DV117" s="28" t="str">
        <f aca="false">BK117</f>
        <v/>
      </c>
      <c r="DW117" s="28" t="str">
        <f aca="false">BO117</f>
        <v/>
      </c>
      <c r="DX117" s="28" t="str">
        <f aca="false">BS117</f>
        <v/>
      </c>
      <c r="DY117" s="28" t="n">
        <f aca="false">IF(ISNUMBER(S117),1,"")</f>
        <v>1</v>
      </c>
      <c r="DZ117" s="28" t="n">
        <f aca="false">IF(ISNUMBER(W117),2,"")</f>
        <v>2</v>
      </c>
      <c r="EA117" s="28" t="n">
        <f aca="false">IF(ISNUMBER(AA117),3,"")</f>
        <v>3</v>
      </c>
      <c r="EB117" s="28" t="n">
        <f aca="false">IF(ISNUMBER(AE117),4,"")</f>
        <v>4</v>
      </c>
      <c r="EC117" s="28" t="n">
        <f aca="false">IF(ISNUMBER(AI117),5,"")</f>
        <v>5</v>
      </c>
      <c r="ED117" s="28" t="str">
        <f aca="false">IF(ISNUMBER(AM117),6,"")</f>
        <v/>
      </c>
      <c r="EE117" s="28" t="str">
        <f aca="false">IF(ISNUMBER(AQ117),7,"")</f>
        <v/>
      </c>
      <c r="EF117" s="28" t="str">
        <f aca="false">IF(ISNUMBER(AU117),8,"")</f>
        <v/>
      </c>
      <c r="EG117" s="28" t="str">
        <f aca="false">IF(ISNUMBER(AY117),9,"")</f>
        <v/>
      </c>
      <c r="EH117" s="28" t="str">
        <f aca="false">IF(ISNUMBER(BC117),10,"")</f>
        <v/>
      </c>
      <c r="EI117" s="28" t="str">
        <f aca="false">IF(ISNUMBER(BG117),11,"")</f>
        <v/>
      </c>
      <c r="EJ117" s="28" t="str">
        <f aca="false">IF(ISNUMBER(BK117),12,"")</f>
        <v/>
      </c>
      <c r="EK117" s="28" t="str">
        <f aca="false">IF(ISNUMBER(BO117),13,"")</f>
        <v/>
      </c>
      <c r="EL117" s="28" t="str">
        <f aca="false">IF(ISNUMBER(BS117),14,"")</f>
        <v/>
      </c>
      <c r="EM117" s="28" t="n">
        <f aca="false">IF(ISNUMBER(R117),R117*CW117,0)</f>
        <v>40</v>
      </c>
      <c r="EN117" s="28" t="n">
        <f aca="false">IF(ISNUMBER(V117),V117*CX117,0)</f>
        <v>65</v>
      </c>
      <c r="EO117" s="28" t="n">
        <f aca="false">IF(ISNUMBER(Z117),Z117*CY117,0)</f>
        <v>56</v>
      </c>
      <c r="EP117" s="28" t="n">
        <f aca="false">IF(ISNUMBER(AD117),AD117*CZ117,0)</f>
        <v>65.2173913043478</v>
      </c>
      <c r="EQ117" s="28" t="n">
        <f aca="false">IF(ISNUMBER(AH117),AH117*DA117,0)</f>
        <v>104</v>
      </c>
      <c r="ER117" s="28" t="n">
        <f aca="false">IF(ISNUMBER(AL117),AL117*DB117,0)</f>
        <v>0</v>
      </c>
      <c r="ES117" s="28" t="n">
        <f aca="false">IF(ISNUMBER(AP117),AP117*DC117,0)</f>
        <v>0</v>
      </c>
      <c r="ET117" s="28" t="n">
        <f aca="false">IF(ISNUMBER(AT117),AT117*DD117,0)</f>
        <v>0</v>
      </c>
      <c r="EU117" s="28" t="n">
        <f aca="false">IF(ISNUMBER(AX117),AX117*DE117,0)</f>
        <v>0</v>
      </c>
      <c r="EV117" s="28" t="n">
        <f aca="false">IF(ISNUMBER(BB117),BB117*DF117,0)</f>
        <v>0</v>
      </c>
      <c r="EW117" s="28" t="n">
        <f aca="false">IF(ISNUMBER(BF117),BF117*DG117,0)</f>
        <v>0</v>
      </c>
      <c r="EX117" s="28" t="n">
        <f aca="false">IF(ISNUMBER(BJ117),BJ117*DH117,0)</f>
        <v>0</v>
      </c>
      <c r="EY117" s="28" t="n">
        <f aca="false">IF(ISNUMBER(BN117),BN117*DI117,0)</f>
        <v>0</v>
      </c>
      <c r="EZ117" s="28" t="n">
        <f aca="false">IF(ISNUMBER(BR117),BR117*DJ117,0)</f>
        <v>0</v>
      </c>
      <c r="FA117" s="28" t="n">
        <f aca="false">IF(ISNUMBER(R117),CW117,0)</f>
        <v>1</v>
      </c>
      <c r="FB117" s="28" t="n">
        <f aca="false">IF(ISNUMBER(V117),CX117,0)</f>
        <v>1</v>
      </c>
      <c r="FC117" s="28" t="n">
        <f aca="false">IF(ISNUMBER(Z117),CY117,0)</f>
        <v>1</v>
      </c>
      <c r="FD117" s="28" t="n">
        <f aca="false">IF(ISNUMBER(AD117),CZ117,0)</f>
        <v>1</v>
      </c>
      <c r="FE117" s="28" t="n">
        <f aca="false">IF(ISNUMBER(AH117),DA117,0)</f>
        <v>2</v>
      </c>
      <c r="FF117" s="28" t="n">
        <f aca="false">IF(ISNUMBER(AL117),DB117,0)</f>
        <v>0</v>
      </c>
      <c r="FG117" s="28" t="n">
        <f aca="false">IF(ISNUMBER(AP117),DC117,0)</f>
        <v>0</v>
      </c>
      <c r="FH117" s="28" t="n">
        <f aca="false">IF(ISNUMBER(AT117),DD117,0)</f>
        <v>0</v>
      </c>
      <c r="FI117" s="28" t="n">
        <f aca="false">IF(ISNUMBER(AX117),DE117,0)</f>
        <v>0</v>
      </c>
      <c r="FJ117" s="28" t="n">
        <f aca="false">IF(ISNUMBER(BB117),DF117,0)</f>
        <v>0</v>
      </c>
      <c r="FK117" s="28" t="n">
        <f aca="false">IF(ISNUMBER(BF117),DG117,0)</f>
        <v>0</v>
      </c>
      <c r="FL117" s="28" t="n">
        <f aca="false">IF(ISNUMBER(BJ117),DH117,0)</f>
        <v>0</v>
      </c>
      <c r="FM117" s="28" t="n">
        <f aca="false">IF(ISNUMBER(BN117),DI117,0)</f>
        <v>0</v>
      </c>
      <c r="FN117" s="28" t="n">
        <f aca="false">IF(ISNUMBER(BR117),DJ117,0)</f>
        <v>0</v>
      </c>
      <c r="FO117" s="28" t="str">
        <f aca="false">IFERROR(INDEX(Lists!$G$2:$G$20,MATCH($I117&amp;"|"&amp;$J117,Lists!$F$2:$F$20,0)),"")</f>
        <v>Econ Exam</v>
      </c>
    </row>
    <row r="118" customFormat="false" ht="19.5" hidden="false" customHeight="true" outlineLevel="0" collapsed="false">
      <c r="A118" s="29" t="s">
        <v>353</v>
      </c>
      <c r="B118" s="29" t="s">
        <v>354</v>
      </c>
      <c r="C118" s="30" t="s">
        <v>152</v>
      </c>
      <c r="D118" s="30" t="s">
        <v>291</v>
      </c>
      <c r="E118" s="31" t="n">
        <v>6.3</v>
      </c>
      <c r="F118" s="30" t="n">
        <v>7</v>
      </c>
      <c r="G118" s="30"/>
      <c r="H118" s="32" t="s">
        <v>23</v>
      </c>
      <c r="I118" s="33" t="s">
        <v>229</v>
      </c>
      <c r="J118" s="32" t="s">
        <v>223</v>
      </c>
      <c r="K118" s="34" t="n">
        <f aca="false">IF(OR(M118="",$E118=""),"",M118-$E118)</f>
        <v>-0.3</v>
      </c>
      <c r="L118" s="35" t="n">
        <f aca="false">IF(SUM(FA118:FN118)=0,"",SUM(EM118:EZ118)/SUM(FA118:FN118))</f>
        <v>73.8792270531401</v>
      </c>
      <c r="M118" s="36" t="n">
        <f aca="false">IF(OR(L118="",FO118=""),"",IFERROR(MATCH(L118,INDEX(Boundaries!$B$2:$I$30,MATCH(FO118,Boundaries!$A$2:$A$30,0),0),1)-1,""))</f>
        <v>6</v>
      </c>
      <c r="N118" s="37" t="n">
        <f aca="false">IF(COUNT($DY118:$EL118)&lt;2,"",INDEX($DK118:$DX118,MAX($DY118:$EL118))-INDEX($DK118:$DX118,MIN($DY118:$EL118)))</f>
        <v>0</v>
      </c>
      <c r="O118" s="37" t="n">
        <f aca="false">IF(COUNT($DY118:$EL118)&lt;2,"",INDEX($DK118:$DX118,MAX($DY118:$EL118))-INDEX($DK118:$DX118,LARGE($DY118:$EL118,2)))</f>
        <v>0</v>
      </c>
      <c r="P118" s="38" t="str">
        <f aca="false">IF(K118="","",IF(K118&gt;=0,"On/above target",IF(AND(N118&lt;&gt;"",N118&gt;=0.5),"Improving towards target",IF(AND(O118&lt;&gt;"",O118&lt;=-0.5),"Declining","Stable below target"))))</f>
        <v>Stable below target</v>
      </c>
      <c r="Q118" s="39" t="n">
        <v>23</v>
      </c>
      <c r="R118" s="40" t="n">
        <f aca="false">IF(OR(Q118="",BU118=""),"",Q118/BU118*100)</f>
        <v>76.6666666666667</v>
      </c>
      <c r="S118" s="41" t="n">
        <f aca="false">IF(R118="","",IFERROR(MATCH(R118,INDEX(Boundaries!$B$2:$I$30,MATCH(CI118,Boundaries!$A$2:$A$30,0),0),1)-1,""))</f>
        <v>6</v>
      </c>
      <c r="T118" s="42" t="n">
        <f aca="false">IF(OR(S118="",$E118=""),"",S118-$E118)</f>
        <v>-0.3</v>
      </c>
      <c r="U118" s="39" t="n">
        <v>16</v>
      </c>
      <c r="V118" s="40" t="n">
        <f aca="false">IF(OR(U118="",BV118=""),"",U118/BV118*100)</f>
        <v>80</v>
      </c>
      <c r="W118" s="41" t="n">
        <f aca="false">IF(V118="","",IFERROR(MATCH(V118,INDEX(Boundaries!$B$2:$I$30,MATCH(CJ118,Boundaries!$A$2:$A$30,0),0),1)-1,""))</f>
        <v>6</v>
      </c>
      <c r="X118" s="42" t="n">
        <f aca="false">IF(OR(W118="",$E118=""),"",W118-$E118)</f>
        <v>-0.3</v>
      </c>
      <c r="Y118" s="39" t="n">
        <v>15</v>
      </c>
      <c r="Z118" s="40" t="n">
        <f aca="false">IF(OR(Y118="",BW118=""),"",Y118/BW118*100)</f>
        <v>60</v>
      </c>
      <c r="AA118" s="41" t="n">
        <f aca="false">IF(Z118="","",IFERROR(MATCH(Z118,INDEX(Boundaries!$B$2:$I$30,MATCH(CK118,Boundaries!$A$2:$A$30,0),0),1)-1,""))</f>
        <v>4</v>
      </c>
      <c r="AB118" s="42" t="n">
        <f aca="false">IF(OR(AA118="",$E118=""),"",AA118-$E118)</f>
        <v>-2.3</v>
      </c>
      <c r="AC118" s="39" t="n">
        <v>19</v>
      </c>
      <c r="AD118" s="40" t="n">
        <f aca="false">IF(OR(AC118="",BX118=""),"",AC118/BX118*100)</f>
        <v>82.6086956521739</v>
      </c>
      <c r="AE118" s="41" t="n">
        <f aca="false">IF(AD118="","",IFERROR(MATCH(AD118,INDEX(Boundaries!$B$2:$I$30,MATCH(CL118,Boundaries!$A$2:$A$30,0),0),1)-1,""))</f>
        <v>6</v>
      </c>
      <c r="AF118" s="42" t="n">
        <f aca="false">IF(OR(AE118="",$E118=""),"",AE118-$E118)</f>
        <v>-0.3</v>
      </c>
      <c r="AG118" s="39" t="n">
        <v>18</v>
      </c>
      <c r="AH118" s="40" t="n">
        <f aca="false">IF(OR(AG118="",BY118=""),"",AG118/BY118*100)</f>
        <v>72</v>
      </c>
      <c r="AI118" s="41" t="n">
        <f aca="false">IF(AH118="","",IFERROR(MATCH(AH118,INDEX(Boundaries!$B$2:$I$30,MATCH(CM118,Boundaries!$A$2:$A$30,0),0),1)-1,""))</f>
        <v>6</v>
      </c>
      <c r="AJ118" s="42" t="n">
        <f aca="false">IF(OR(AI118="",$E118=""),"",AI118-$E118)</f>
        <v>-0.3</v>
      </c>
      <c r="AK118" s="39"/>
      <c r="AL118" s="40" t="str">
        <f aca="false">IF(OR(AK118="",BZ118=""),"",AK118/BZ118*100)</f>
        <v/>
      </c>
      <c r="AM118" s="41" t="str">
        <f aca="false">IF(AL118="","",IFERROR(MATCH(AL118,INDEX(Boundaries!$B$2:$I$30,MATCH(CN118,Boundaries!$A$2:$A$30,0),0),1)-1,""))</f>
        <v/>
      </c>
      <c r="AN118" s="42" t="str">
        <f aca="false">IF(OR(AM118="",$E118=""),"",AM118-$E118)</f>
        <v/>
      </c>
      <c r="AO118" s="39"/>
      <c r="AP118" s="40" t="str">
        <f aca="false">IF(OR(AO118="",CA118=""),"",AO118/CA118*100)</f>
        <v/>
      </c>
      <c r="AQ118" s="41" t="str">
        <f aca="false">IF(AP118="","",IFERROR(MATCH(AP118,INDEX(Boundaries!$B$2:$I$30,MATCH(CO118,Boundaries!$A$2:$A$30,0),0),1)-1,""))</f>
        <v/>
      </c>
      <c r="AR118" s="42" t="str">
        <f aca="false">IF(OR(AQ118="",$E118=""),"",AQ118-$E118)</f>
        <v/>
      </c>
      <c r="AS118" s="39"/>
      <c r="AT118" s="40" t="str">
        <f aca="false">IF(OR(AS118="",CB118=""),"",AS118/CB118*100)</f>
        <v/>
      </c>
      <c r="AU118" s="41" t="str">
        <f aca="false">IF(AT118="","",IFERROR(MATCH(AT118,INDEX(Boundaries!$B$2:$I$30,MATCH(CP118,Boundaries!$A$2:$A$30,0),0),1)-1,""))</f>
        <v/>
      </c>
      <c r="AV118" s="42" t="str">
        <f aca="false">IF(OR(AU118="",$E118=""),"",AU118-$E118)</f>
        <v/>
      </c>
      <c r="AW118" s="39"/>
      <c r="AX118" s="40" t="str">
        <f aca="false">IF(OR(AW118="",CC118=""),"",AW118/CC118*100)</f>
        <v/>
      </c>
      <c r="AY118" s="41" t="str">
        <f aca="false">IF(AX118="","",IFERROR(MATCH(AX118,INDEX(Boundaries!$B$2:$I$30,MATCH(CQ118,Boundaries!$A$2:$A$30,0),0),1)-1,""))</f>
        <v/>
      </c>
      <c r="AZ118" s="42" t="str">
        <f aca="false">IF(OR(AY118="",$E118=""),"",AY118-$E118)</f>
        <v/>
      </c>
      <c r="BA118" s="39"/>
      <c r="BB118" s="40" t="str">
        <f aca="false">IF(OR(BA118="",CD118=""),"",BA118/CD118*100)</f>
        <v/>
      </c>
      <c r="BC118" s="41" t="str">
        <f aca="false">IF(BB118="","",IFERROR(MATCH(BB118,INDEX(Boundaries!$B$2:$I$30,MATCH(CR118,Boundaries!$A$2:$A$30,0),0),1)-1,""))</f>
        <v/>
      </c>
      <c r="BD118" s="42" t="str">
        <f aca="false">IF(OR(BC118="",$E118=""),"",BC118-$E118)</f>
        <v/>
      </c>
      <c r="BE118" s="39"/>
      <c r="BF118" s="40" t="str">
        <f aca="false">IF(OR(BE118="",CE118=""),"",BE118/CE118*100)</f>
        <v/>
      </c>
      <c r="BG118" s="41" t="str">
        <f aca="false">IF(BF118="","",IFERROR(MATCH(BF118,INDEX(Boundaries!$B$2:$I$30,MATCH(CS118,Boundaries!$A$2:$A$30,0),0),1)-1,""))</f>
        <v/>
      </c>
      <c r="BH118" s="42" t="str">
        <f aca="false">IF(OR(BG118="",$E118=""),"",BG118-$E118)</f>
        <v/>
      </c>
      <c r="BI118" s="39"/>
      <c r="BJ118" s="40" t="str">
        <f aca="false">IF(OR(BI118="",CF118=""),"",BI118/CF118*100)</f>
        <v/>
      </c>
      <c r="BK118" s="41" t="str">
        <f aca="false">IF(BJ118="","",IFERROR(MATCH(BJ118,INDEX(Boundaries!$B$2:$I$30,MATCH(CT118,Boundaries!$A$2:$A$30,0),0),1)-1,""))</f>
        <v/>
      </c>
      <c r="BL118" s="42" t="str">
        <f aca="false">IF(OR(BK118="",$E118=""),"",BK118-$E118)</f>
        <v/>
      </c>
      <c r="BM118" s="39"/>
      <c r="BN118" s="40" t="str">
        <f aca="false">IF(OR(BM118="",CG118=""),"",BM118/CG118*100)</f>
        <v/>
      </c>
      <c r="BO118" s="41" t="str">
        <f aca="false">IF(BN118="","",IFERROR(MATCH(BN118,INDEX(Boundaries!$B$2:$I$30,MATCH(CU118,Boundaries!$A$2:$A$30,0),0),1)-1,""))</f>
        <v/>
      </c>
      <c r="BP118" s="42" t="str">
        <f aca="false">IF(OR(BO118="",$E118=""),"",BO118-$E118)</f>
        <v/>
      </c>
      <c r="BQ118" s="39"/>
      <c r="BR118" s="40" t="str">
        <f aca="false">IF(OR(BQ118="",CH118=""),"",BQ118/CH118*100)</f>
        <v/>
      </c>
      <c r="BS118" s="41" t="str">
        <f aca="false">IF(BR118="","",IFERROR(MATCH(BR118,INDEX(Boundaries!$B$2:$I$30,MATCH(CV118,Boundaries!$A$2:$A$30,0),0),1)-1,""))</f>
        <v/>
      </c>
      <c r="BT118" s="42" t="str">
        <f aca="false">IF(OR(BS118="",$E118=""),"",BS118-$E118)</f>
        <v/>
      </c>
      <c r="BU118" s="28" t="n">
        <f aca="false">IFERROR(INDEX(Assessments!$H$2:$H$600,MATCH($H118&amp;"|"&amp;$I118&amp;"|"&amp;$J118&amp;"|"&amp;1,Assessments!$A$2:$A$600,0)),"")</f>
        <v>30</v>
      </c>
      <c r="BV118" s="28" t="n">
        <f aca="false">IFERROR(INDEX(Assessments!$H$2:$H$600,MATCH($H118&amp;"|"&amp;$I118&amp;"|"&amp;$J118&amp;"|"&amp;2,Assessments!$A$2:$A$600,0)),"")</f>
        <v>20</v>
      </c>
      <c r="BW118" s="28" t="n">
        <f aca="false">IFERROR(INDEX(Assessments!$H$2:$H$600,MATCH($H118&amp;"|"&amp;$I118&amp;"|"&amp;$J118&amp;"|"&amp;3,Assessments!$A$2:$A$600,0)),"")</f>
        <v>25</v>
      </c>
      <c r="BX118" s="28" t="n">
        <f aca="false">IFERROR(INDEX(Assessments!$H$2:$H$600,MATCH($H118&amp;"|"&amp;$I118&amp;"|"&amp;$J118&amp;"|"&amp;4,Assessments!$A$2:$A$600,0)),"")</f>
        <v>23</v>
      </c>
      <c r="BY118" s="28" t="n">
        <f aca="false">IFERROR(INDEX(Assessments!$H$2:$H$600,MATCH($H118&amp;"|"&amp;$I118&amp;"|"&amp;$J118&amp;"|"&amp;5,Assessments!$A$2:$A$600,0)),"")</f>
        <v>25</v>
      </c>
      <c r="BZ118" s="28" t="n">
        <f aca="false">IFERROR(INDEX(Assessments!$H$2:$H$600,MATCH($H118&amp;"|"&amp;$I118&amp;"|"&amp;$J118&amp;"|"&amp;6,Assessments!$A$2:$A$600,0)),"")</f>
        <v>15</v>
      </c>
      <c r="CA118" s="28" t="n">
        <f aca="false">IFERROR(INDEX(Assessments!$H$2:$H$600,MATCH($H118&amp;"|"&amp;$I118&amp;"|"&amp;$J118&amp;"|"&amp;7,Assessments!$A$2:$A$600,0)),"")</f>
        <v>52</v>
      </c>
      <c r="CB118" s="28" t="str">
        <f aca="false">IFERROR(INDEX(Assessments!$H$2:$H$600,MATCH($H118&amp;"|"&amp;$I118&amp;"|"&amp;$J118&amp;"|"&amp;8,Assessments!$A$2:$A$600,0)),"")</f>
        <v/>
      </c>
      <c r="CC118" s="28" t="str">
        <f aca="false">IFERROR(INDEX(Assessments!$H$2:$H$600,MATCH($H118&amp;"|"&amp;$I118&amp;"|"&amp;$J118&amp;"|"&amp;9,Assessments!$A$2:$A$600,0)),"")</f>
        <v/>
      </c>
      <c r="CD118" s="28" t="str">
        <f aca="false">IFERROR(INDEX(Assessments!$H$2:$H$600,MATCH($H118&amp;"|"&amp;$I118&amp;"|"&amp;$J118&amp;"|"&amp;10,Assessments!$A$2:$A$600,0)),"")</f>
        <v/>
      </c>
      <c r="CE118" s="28" t="str">
        <f aca="false">IFERROR(INDEX(Assessments!$H$2:$H$600,MATCH($H118&amp;"|"&amp;$I118&amp;"|"&amp;$J118&amp;"|"&amp;11,Assessments!$A$2:$A$600,0)),"")</f>
        <v/>
      </c>
      <c r="CF118" s="28" t="str">
        <f aca="false">IFERROR(INDEX(Assessments!$H$2:$H$600,MATCH($H118&amp;"|"&amp;$I118&amp;"|"&amp;$J118&amp;"|"&amp;12,Assessments!$A$2:$A$600,0)),"")</f>
        <v/>
      </c>
      <c r="CG118" s="28" t="str">
        <f aca="false">IFERROR(INDEX(Assessments!$H$2:$H$600,MATCH($H118&amp;"|"&amp;$I118&amp;"|"&amp;$J118&amp;"|"&amp;13,Assessments!$A$2:$A$600,0)),"")</f>
        <v/>
      </c>
      <c r="CH118" s="28" t="str">
        <f aca="false">IFERROR(INDEX(Assessments!$H$2:$H$600,MATCH($H118&amp;"|"&amp;$I118&amp;"|"&amp;$J118&amp;"|"&amp;14,Assessments!$A$2:$A$600,0)),"")</f>
        <v/>
      </c>
      <c r="CI118" s="28" t="str">
        <f aca="false">IFERROR(INDEX(Assessments!$I$2:$I$600,MATCH($H118&amp;"|"&amp;$I118&amp;"|"&amp;$J118&amp;"|"&amp;1,Assessments!$A$2:$A$600,0)),"")</f>
        <v>Econ Test</v>
      </c>
      <c r="CJ118" s="28" t="str">
        <f aca="false">IFERROR(INDEX(Assessments!$I$2:$I$600,MATCH($H118&amp;"|"&amp;$I118&amp;"|"&amp;$J118&amp;"|"&amp;2,Assessments!$A$2:$A$600,0)),"")</f>
        <v>Econ Test</v>
      </c>
      <c r="CK118" s="28" t="str">
        <f aca="false">IFERROR(INDEX(Assessments!$I$2:$I$600,MATCH($H118&amp;"|"&amp;$I118&amp;"|"&amp;$J118&amp;"|"&amp;3,Assessments!$A$2:$A$600,0)),"")</f>
        <v>Econ Test</v>
      </c>
      <c r="CL118" s="28" t="str">
        <f aca="false">IFERROR(INDEX(Assessments!$I$2:$I$600,MATCH($H118&amp;"|"&amp;$I118&amp;"|"&amp;$J118&amp;"|"&amp;4,Assessments!$A$2:$A$600,0)),"")</f>
        <v>Econ Test</v>
      </c>
      <c r="CM118" s="28" t="str">
        <f aca="false">IFERROR(INDEX(Assessments!$I$2:$I$600,MATCH($H118&amp;"|"&amp;$I118&amp;"|"&amp;$J118&amp;"|"&amp;5,Assessments!$A$2:$A$600,0)),"")</f>
        <v>Econ Exam</v>
      </c>
      <c r="CN118" s="28" t="str">
        <f aca="false">IFERROR(INDEX(Assessments!$I$2:$I$600,MATCH($H118&amp;"|"&amp;$I118&amp;"|"&amp;$J118&amp;"|"&amp;6,Assessments!$A$2:$A$600,0)),"")</f>
        <v>Econ Test</v>
      </c>
      <c r="CO118" s="28" t="str">
        <f aca="false">IFERROR(INDEX(Assessments!$I$2:$I$600,MATCH($H118&amp;"|"&amp;$I118&amp;"|"&amp;$J118&amp;"|"&amp;7,Assessments!$A$2:$A$600,0)),"")</f>
        <v>Econ Exam</v>
      </c>
      <c r="CP118" s="28" t="str">
        <f aca="false">IFERROR(INDEX(Assessments!$I$2:$I$600,MATCH($H118&amp;"|"&amp;$I118&amp;"|"&amp;$J118&amp;"|"&amp;8,Assessments!$A$2:$A$600,0)),"")</f>
        <v/>
      </c>
      <c r="CQ118" s="28" t="str">
        <f aca="false">IFERROR(INDEX(Assessments!$I$2:$I$600,MATCH($H118&amp;"|"&amp;$I118&amp;"|"&amp;$J118&amp;"|"&amp;9,Assessments!$A$2:$A$600,0)),"")</f>
        <v/>
      </c>
      <c r="CR118" s="28" t="str">
        <f aca="false">IFERROR(INDEX(Assessments!$I$2:$I$600,MATCH($H118&amp;"|"&amp;$I118&amp;"|"&amp;$J118&amp;"|"&amp;10,Assessments!$A$2:$A$600,0)),"")</f>
        <v/>
      </c>
      <c r="CS118" s="28" t="str">
        <f aca="false">IFERROR(INDEX(Assessments!$I$2:$I$600,MATCH($H118&amp;"|"&amp;$I118&amp;"|"&amp;$J118&amp;"|"&amp;11,Assessments!$A$2:$A$600,0)),"")</f>
        <v/>
      </c>
      <c r="CT118" s="28" t="str">
        <f aca="false">IFERROR(INDEX(Assessments!$I$2:$I$600,MATCH($H118&amp;"|"&amp;$I118&amp;"|"&amp;$J118&amp;"|"&amp;12,Assessments!$A$2:$A$600,0)),"")</f>
        <v/>
      </c>
      <c r="CU118" s="28" t="str">
        <f aca="false">IFERROR(INDEX(Assessments!$I$2:$I$600,MATCH($H118&amp;"|"&amp;$I118&amp;"|"&amp;$J118&amp;"|"&amp;13,Assessments!$A$2:$A$600,0)),"")</f>
        <v/>
      </c>
      <c r="CV118" s="28" t="str">
        <f aca="false">IFERROR(INDEX(Assessments!$I$2:$I$600,MATCH($H118&amp;"|"&amp;$I118&amp;"|"&amp;$J118&amp;"|"&amp;14,Assessments!$A$2:$A$600,0)),"")</f>
        <v/>
      </c>
      <c r="CW118" s="28" t="n">
        <f aca="false">IFERROR(INDEX(Assessments!$J$2:$J$600,MATCH($H118&amp;"|"&amp;$I118&amp;"|"&amp;$J118&amp;"|"&amp;1,Assessments!$A$2:$A$600,0)),0)</f>
        <v>1</v>
      </c>
      <c r="CX118" s="28" t="n">
        <f aca="false">IFERROR(INDEX(Assessments!$J$2:$J$600,MATCH($H118&amp;"|"&amp;$I118&amp;"|"&amp;$J118&amp;"|"&amp;2,Assessments!$A$2:$A$600,0)),0)</f>
        <v>1</v>
      </c>
      <c r="CY118" s="28" t="n">
        <f aca="false">IFERROR(INDEX(Assessments!$J$2:$J$600,MATCH($H118&amp;"|"&amp;$I118&amp;"|"&amp;$J118&amp;"|"&amp;3,Assessments!$A$2:$A$600,0)),0)</f>
        <v>1</v>
      </c>
      <c r="CZ118" s="28" t="n">
        <f aca="false">IFERROR(INDEX(Assessments!$J$2:$J$600,MATCH($H118&amp;"|"&amp;$I118&amp;"|"&amp;$J118&amp;"|"&amp;4,Assessments!$A$2:$A$600,0)),0)</f>
        <v>1</v>
      </c>
      <c r="DA118" s="28" t="n">
        <f aca="false">IFERROR(INDEX(Assessments!$J$2:$J$600,MATCH($H118&amp;"|"&amp;$I118&amp;"|"&amp;$J118&amp;"|"&amp;5,Assessments!$A$2:$A$600,0)),0)</f>
        <v>2</v>
      </c>
      <c r="DB118" s="28" t="n">
        <f aca="false">IFERROR(INDEX(Assessments!$J$2:$J$600,MATCH($H118&amp;"|"&amp;$I118&amp;"|"&amp;$J118&amp;"|"&amp;6,Assessments!$A$2:$A$600,0)),0)</f>
        <v>1</v>
      </c>
      <c r="DC118" s="28" t="n">
        <f aca="false">IFERROR(INDEX(Assessments!$J$2:$J$600,MATCH($H118&amp;"|"&amp;$I118&amp;"|"&amp;$J118&amp;"|"&amp;7,Assessments!$A$2:$A$600,0)),0)</f>
        <v>2</v>
      </c>
      <c r="DD118" s="28" t="n">
        <f aca="false">IFERROR(INDEX(Assessments!$J$2:$J$600,MATCH($H118&amp;"|"&amp;$I118&amp;"|"&amp;$J118&amp;"|"&amp;8,Assessments!$A$2:$A$600,0)),0)</f>
        <v>0</v>
      </c>
      <c r="DE118" s="28" t="n">
        <f aca="false">IFERROR(INDEX(Assessments!$J$2:$J$600,MATCH($H118&amp;"|"&amp;$I118&amp;"|"&amp;$J118&amp;"|"&amp;9,Assessments!$A$2:$A$600,0)),0)</f>
        <v>0</v>
      </c>
      <c r="DF118" s="28" t="n">
        <f aca="false">IFERROR(INDEX(Assessments!$J$2:$J$600,MATCH($H118&amp;"|"&amp;$I118&amp;"|"&amp;$J118&amp;"|"&amp;10,Assessments!$A$2:$A$600,0)),0)</f>
        <v>0</v>
      </c>
      <c r="DG118" s="28" t="n">
        <f aca="false">IFERROR(INDEX(Assessments!$J$2:$J$600,MATCH($H118&amp;"|"&amp;$I118&amp;"|"&amp;$J118&amp;"|"&amp;11,Assessments!$A$2:$A$600,0)),0)</f>
        <v>0</v>
      </c>
      <c r="DH118" s="28" t="n">
        <f aca="false">IFERROR(INDEX(Assessments!$J$2:$J$600,MATCH($H118&amp;"|"&amp;$I118&amp;"|"&amp;$J118&amp;"|"&amp;12,Assessments!$A$2:$A$600,0)),0)</f>
        <v>0</v>
      </c>
      <c r="DI118" s="28" t="n">
        <f aca="false">IFERROR(INDEX(Assessments!$J$2:$J$600,MATCH($H118&amp;"|"&amp;$I118&amp;"|"&amp;$J118&amp;"|"&amp;13,Assessments!$A$2:$A$600,0)),0)</f>
        <v>0</v>
      </c>
      <c r="DJ118" s="28" t="n">
        <f aca="false">IFERROR(INDEX(Assessments!$J$2:$J$600,MATCH($H118&amp;"|"&amp;$I118&amp;"|"&amp;$J118&amp;"|"&amp;14,Assessments!$A$2:$A$600,0)),0)</f>
        <v>0</v>
      </c>
      <c r="DK118" s="28" t="n">
        <f aca="false">S118</f>
        <v>6</v>
      </c>
      <c r="DL118" s="28" t="n">
        <f aca="false">W118</f>
        <v>6</v>
      </c>
      <c r="DM118" s="28" t="n">
        <f aca="false">AA118</f>
        <v>4</v>
      </c>
      <c r="DN118" s="28" t="n">
        <f aca="false">AE118</f>
        <v>6</v>
      </c>
      <c r="DO118" s="28" t="n">
        <f aca="false">AI118</f>
        <v>6</v>
      </c>
      <c r="DP118" s="28" t="str">
        <f aca="false">AM118</f>
        <v/>
      </c>
      <c r="DQ118" s="28" t="str">
        <f aca="false">AQ118</f>
        <v/>
      </c>
      <c r="DR118" s="28" t="str">
        <f aca="false">AU118</f>
        <v/>
      </c>
      <c r="DS118" s="28" t="str">
        <f aca="false">AY118</f>
        <v/>
      </c>
      <c r="DT118" s="28" t="str">
        <f aca="false">BC118</f>
        <v/>
      </c>
      <c r="DU118" s="28" t="str">
        <f aca="false">BG118</f>
        <v/>
      </c>
      <c r="DV118" s="28" t="str">
        <f aca="false">BK118</f>
        <v/>
      </c>
      <c r="DW118" s="28" t="str">
        <f aca="false">BO118</f>
        <v/>
      </c>
      <c r="DX118" s="28" t="str">
        <f aca="false">BS118</f>
        <v/>
      </c>
      <c r="DY118" s="28" t="n">
        <f aca="false">IF(ISNUMBER(S118),1,"")</f>
        <v>1</v>
      </c>
      <c r="DZ118" s="28" t="n">
        <f aca="false">IF(ISNUMBER(W118),2,"")</f>
        <v>2</v>
      </c>
      <c r="EA118" s="28" t="n">
        <f aca="false">IF(ISNUMBER(AA118),3,"")</f>
        <v>3</v>
      </c>
      <c r="EB118" s="28" t="n">
        <f aca="false">IF(ISNUMBER(AE118),4,"")</f>
        <v>4</v>
      </c>
      <c r="EC118" s="28" t="n">
        <f aca="false">IF(ISNUMBER(AI118),5,"")</f>
        <v>5</v>
      </c>
      <c r="ED118" s="28" t="str">
        <f aca="false">IF(ISNUMBER(AM118),6,"")</f>
        <v/>
      </c>
      <c r="EE118" s="28" t="str">
        <f aca="false">IF(ISNUMBER(AQ118),7,"")</f>
        <v/>
      </c>
      <c r="EF118" s="28" t="str">
        <f aca="false">IF(ISNUMBER(AU118),8,"")</f>
        <v/>
      </c>
      <c r="EG118" s="28" t="str">
        <f aca="false">IF(ISNUMBER(AY118),9,"")</f>
        <v/>
      </c>
      <c r="EH118" s="28" t="str">
        <f aca="false">IF(ISNUMBER(BC118),10,"")</f>
        <v/>
      </c>
      <c r="EI118" s="28" t="str">
        <f aca="false">IF(ISNUMBER(BG118),11,"")</f>
        <v/>
      </c>
      <c r="EJ118" s="28" t="str">
        <f aca="false">IF(ISNUMBER(BK118),12,"")</f>
        <v/>
      </c>
      <c r="EK118" s="28" t="str">
        <f aca="false">IF(ISNUMBER(BO118),13,"")</f>
        <v/>
      </c>
      <c r="EL118" s="28" t="str">
        <f aca="false">IF(ISNUMBER(BS118),14,"")</f>
        <v/>
      </c>
      <c r="EM118" s="28" t="n">
        <f aca="false">IF(ISNUMBER(R118),R118*CW118,0)</f>
        <v>76.6666666666667</v>
      </c>
      <c r="EN118" s="28" t="n">
        <f aca="false">IF(ISNUMBER(V118),V118*CX118,0)</f>
        <v>80</v>
      </c>
      <c r="EO118" s="28" t="n">
        <f aca="false">IF(ISNUMBER(Z118),Z118*CY118,0)</f>
        <v>60</v>
      </c>
      <c r="EP118" s="28" t="n">
        <f aca="false">IF(ISNUMBER(AD118),AD118*CZ118,0)</f>
        <v>82.6086956521739</v>
      </c>
      <c r="EQ118" s="28" t="n">
        <f aca="false">IF(ISNUMBER(AH118),AH118*DA118,0)</f>
        <v>144</v>
      </c>
      <c r="ER118" s="28" t="n">
        <f aca="false">IF(ISNUMBER(AL118),AL118*DB118,0)</f>
        <v>0</v>
      </c>
      <c r="ES118" s="28" t="n">
        <f aca="false">IF(ISNUMBER(AP118),AP118*DC118,0)</f>
        <v>0</v>
      </c>
      <c r="ET118" s="28" t="n">
        <f aca="false">IF(ISNUMBER(AT118),AT118*DD118,0)</f>
        <v>0</v>
      </c>
      <c r="EU118" s="28" t="n">
        <f aca="false">IF(ISNUMBER(AX118),AX118*DE118,0)</f>
        <v>0</v>
      </c>
      <c r="EV118" s="28" t="n">
        <f aca="false">IF(ISNUMBER(BB118),BB118*DF118,0)</f>
        <v>0</v>
      </c>
      <c r="EW118" s="28" t="n">
        <f aca="false">IF(ISNUMBER(BF118),BF118*DG118,0)</f>
        <v>0</v>
      </c>
      <c r="EX118" s="28" t="n">
        <f aca="false">IF(ISNUMBER(BJ118),BJ118*DH118,0)</f>
        <v>0</v>
      </c>
      <c r="EY118" s="28" t="n">
        <f aca="false">IF(ISNUMBER(BN118),BN118*DI118,0)</f>
        <v>0</v>
      </c>
      <c r="EZ118" s="28" t="n">
        <f aca="false">IF(ISNUMBER(BR118),BR118*DJ118,0)</f>
        <v>0</v>
      </c>
      <c r="FA118" s="28" t="n">
        <f aca="false">IF(ISNUMBER(R118),CW118,0)</f>
        <v>1</v>
      </c>
      <c r="FB118" s="28" t="n">
        <f aca="false">IF(ISNUMBER(V118),CX118,0)</f>
        <v>1</v>
      </c>
      <c r="FC118" s="28" t="n">
        <f aca="false">IF(ISNUMBER(Z118),CY118,0)</f>
        <v>1</v>
      </c>
      <c r="FD118" s="28" t="n">
        <f aca="false">IF(ISNUMBER(AD118),CZ118,0)</f>
        <v>1</v>
      </c>
      <c r="FE118" s="28" t="n">
        <f aca="false">IF(ISNUMBER(AH118),DA118,0)</f>
        <v>2</v>
      </c>
      <c r="FF118" s="28" t="n">
        <f aca="false">IF(ISNUMBER(AL118),DB118,0)</f>
        <v>0</v>
      </c>
      <c r="FG118" s="28" t="n">
        <f aca="false">IF(ISNUMBER(AP118),DC118,0)</f>
        <v>0</v>
      </c>
      <c r="FH118" s="28" t="n">
        <f aca="false">IF(ISNUMBER(AT118),DD118,0)</f>
        <v>0</v>
      </c>
      <c r="FI118" s="28" t="n">
        <f aca="false">IF(ISNUMBER(AX118),DE118,0)</f>
        <v>0</v>
      </c>
      <c r="FJ118" s="28" t="n">
        <f aca="false">IF(ISNUMBER(BB118),DF118,0)</f>
        <v>0</v>
      </c>
      <c r="FK118" s="28" t="n">
        <f aca="false">IF(ISNUMBER(BF118),DG118,0)</f>
        <v>0</v>
      </c>
      <c r="FL118" s="28" t="n">
        <f aca="false">IF(ISNUMBER(BJ118),DH118,0)</f>
        <v>0</v>
      </c>
      <c r="FM118" s="28" t="n">
        <f aca="false">IF(ISNUMBER(BN118),DI118,0)</f>
        <v>0</v>
      </c>
      <c r="FN118" s="28" t="n">
        <f aca="false">IF(ISNUMBER(BR118),DJ118,0)</f>
        <v>0</v>
      </c>
      <c r="FO118" s="28" t="str">
        <f aca="false">IFERROR(INDEX(Lists!$G$2:$G$20,MATCH($I118&amp;"|"&amp;$J118,Lists!$F$2:$F$20,0)),"")</f>
        <v>Econ Exam</v>
      </c>
    </row>
    <row r="119" customFormat="false" ht="19.5" hidden="false" customHeight="true" outlineLevel="0" collapsed="false">
      <c r="A119" s="29" t="s">
        <v>355</v>
      </c>
      <c r="B119" s="29" t="s">
        <v>354</v>
      </c>
      <c r="C119" s="30" t="s">
        <v>152</v>
      </c>
      <c r="D119" s="30" t="s">
        <v>291</v>
      </c>
      <c r="E119" s="31" t="n">
        <v>6</v>
      </c>
      <c r="F119" s="30" t="n">
        <v>6</v>
      </c>
      <c r="G119" s="30"/>
      <c r="H119" s="32" t="s">
        <v>23</v>
      </c>
      <c r="I119" s="33" t="s">
        <v>229</v>
      </c>
      <c r="J119" s="32" t="s">
        <v>223</v>
      </c>
      <c r="K119" s="34" t="n">
        <f aca="false">IF(OR(M119="",$E119=""),"",M119-$E119)</f>
        <v>1</v>
      </c>
      <c r="L119" s="35" t="n">
        <f aca="false">IF(SUM(FA119:FN119)=0,"",SUM(EM119:EZ119)/SUM(FA119:FN119))</f>
        <v>83.7657004830918</v>
      </c>
      <c r="M119" s="36" t="n">
        <f aca="false">IF(OR(L119="",FO119=""),"",IFERROR(MATCH(L119,INDEX(Boundaries!$B$2:$I$30,MATCH(FO119,Boundaries!$A$2:$A$30,0),0),1)-1,""))</f>
        <v>7</v>
      </c>
      <c r="N119" s="37" t="n">
        <f aca="false">IF(COUNT($DY119:$EL119)&lt;2,"",INDEX($DK119:$DX119,MAX($DY119:$EL119))-INDEX($DK119:$DX119,MIN($DY119:$EL119)))</f>
        <v>-1</v>
      </c>
      <c r="O119" s="37" t="n">
        <f aca="false">IF(COUNT($DY119:$EL119)&lt;2,"",INDEX($DK119:$DX119,MAX($DY119:$EL119))-INDEX($DK119:$DX119,LARGE($DY119:$EL119,2)))</f>
        <v>0</v>
      </c>
      <c r="P119" s="38" t="str">
        <f aca="false">IF(K119="","",IF(K119&gt;=0,"On/above target",IF(AND(N119&lt;&gt;"",N119&gt;=0.5),"Improving towards target",IF(AND(O119&lt;&gt;"",O119&lt;=-0.5),"Declining","Stable below target"))))</f>
        <v>On/above target</v>
      </c>
      <c r="Q119" s="39" t="n">
        <v>28</v>
      </c>
      <c r="R119" s="40" t="n">
        <f aca="false">IF(OR(Q119="",BU119=""),"",Q119/BU119*100)</f>
        <v>93.3333333333333</v>
      </c>
      <c r="S119" s="41" t="n">
        <f aca="false">IF(R119="","",IFERROR(MATCH(R119,INDEX(Boundaries!$B$2:$I$30,MATCH(CI119,Boundaries!$A$2:$A$30,0),0),1)-1,""))</f>
        <v>7</v>
      </c>
      <c r="T119" s="42" t="n">
        <f aca="false">IF(OR(S119="",$E119=""),"",S119-$E119)</f>
        <v>1</v>
      </c>
      <c r="U119" s="39" t="n">
        <v>19</v>
      </c>
      <c r="V119" s="40" t="n">
        <f aca="false">IF(OR(U119="",BV119=""),"",U119/BV119*100)</f>
        <v>95</v>
      </c>
      <c r="W119" s="41" t="n">
        <f aca="false">IF(V119="","",IFERROR(MATCH(V119,INDEX(Boundaries!$B$2:$I$30,MATCH(CJ119,Boundaries!$A$2:$A$30,0),0),1)-1,""))</f>
        <v>7</v>
      </c>
      <c r="X119" s="42" t="n">
        <f aca="false">IF(OR(W119="",$E119=""),"",W119-$E119)</f>
        <v>1</v>
      </c>
      <c r="Y119" s="39" t="n">
        <v>21</v>
      </c>
      <c r="Z119" s="40" t="n">
        <f aca="false">IF(OR(Y119="",BW119=""),"",Y119/BW119*100)</f>
        <v>84</v>
      </c>
      <c r="AA119" s="41" t="n">
        <f aca="false">IF(Z119="","",IFERROR(MATCH(Z119,INDEX(Boundaries!$B$2:$I$30,MATCH(CK119,Boundaries!$A$2:$A$30,0),0),1)-1,""))</f>
        <v>6</v>
      </c>
      <c r="AB119" s="42" t="n">
        <f aca="false">IF(OR(AA119="",$E119=""),"",AA119-$E119)</f>
        <v>0</v>
      </c>
      <c r="AC119" s="39" t="n">
        <v>18</v>
      </c>
      <c r="AD119" s="40" t="n">
        <f aca="false">IF(OR(AC119="",BX119=""),"",AC119/BX119*100)</f>
        <v>78.2608695652174</v>
      </c>
      <c r="AE119" s="41" t="n">
        <f aca="false">IF(AD119="","",IFERROR(MATCH(AD119,INDEX(Boundaries!$B$2:$I$30,MATCH(CL119,Boundaries!$A$2:$A$30,0),0),1)-1,""))</f>
        <v>6</v>
      </c>
      <c r="AF119" s="42" t="n">
        <f aca="false">IF(OR(AE119="",$E119=""),"",AE119-$E119)</f>
        <v>0</v>
      </c>
      <c r="AG119" s="39" t="n">
        <v>19</v>
      </c>
      <c r="AH119" s="40" t="n">
        <f aca="false">IF(OR(AG119="",BY119=""),"",AG119/BY119*100)</f>
        <v>76</v>
      </c>
      <c r="AI119" s="41" t="n">
        <f aca="false">IF(AH119="","",IFERROR(MATCH(AH119,INDEX(Boundaries!$B$2:$I$30,MATCH(CM119,Boundaries!$A$2:$A$30,0),0),1)-1,""))</f>
        <v>6</v>
      </c>
      <c r="AJ119" s="42" t="n">
        <f aca="false">IF(OR(AI119="",$E119=""),"",AI119-$E119)</f>
        <v>0</v>
      </c>
      <c r="AK119" s="39"/>
      <c r="AL119" s="40" t="str">
        <f aca="false">IF(OR(AK119="",BZ119=""),"",AK119/BZ119*100)</f>
        <v/>
      </c>
      <c r="AM119" s="41" t="str">
        <f aca="false">IF(AL119="","",IFERROR(MATCH(AL119,INDEX(Boundaries!$B$2:$I$30,MATCH(CN119,Boundaries!$A$2:$A$30,0),0),1)-1,""))</f>
        <v/>
      </c>
      <c r="AN119" s="42" t="str">
        <f aca="false">IF(OR(AM119="",$E119=""),"",AM119-$E119)</f>
        <v/>
      </c>
      <c r="AO119" s="39"/>
      <c r="AP119" s="40" t="str">
        <f aca="false">IF(OR(AO119="",CA119=""),"",AO119/CA119*100)</f>
        <v/>
      </c>
      <c r="AQ119" s="41" t="str">
        <f aca="false">IF(AP119="","",IFERROR(MATCH(AP119,INDEX(Boundaries!$B$2:$I$30,MATCH(CO119,Boundaries!$A$2:$A$30,0),0),1)-1,""))</f>
        <v/>
      </c>
      <c r="AR119" s="42" t="str">
        <f aca="false">IF(OR(AQ119="",$E119=""),"",AQ119-$E119)</f>
        <v/>
      </c>
      <c r="AS119" s="39"/>
      <c r="AT119" s="40" t="str">
        <f aca="false">IF(OR(AS119="",CB119=""),"",AS119/CB119*100)</f>
        <v/>
      </c>
      <c r="AU119" s="41" t="str">
        <f aca="false">IF(AT119="","",IFERROR(MATCH(AT119,INDEX(Boundaries!$B$2:$I$30,MATCH(CP119,Boundaries!$A$2:$A$30,0),0),1)-1,""))</f>
        <v/>
      </c>
      <c r="AV119" s="42" t="str">
        <f aca="false">IF(OR(AU119="",$E119=""),"",AU119-$E119)</f>
        <v/>
      </c>
      <c r="AW119" s="39"/>
      <c r="AX119" s="40" t="str">
        <f aca="false">IF(OR(AW119="",CC119=""),"",AW119/CC119*100)</f>
        <v/>
      </c>
      <c r="AY119" s="41" t="str">
        <f aca="false">IF(AX119="","",IFERROR(MATCH(AX119,INDEX(Boundaries!$B$2:$I$30,MATCH(CQ119,Boundaries!$A$2:$A$30,0),0),1)-1,""))</f>
        <v/>
      </c>
      <c r="AZ119" s="42" t="str">
        <f aca="false">IF(OR(AY119="",$E119=""),"",AY119-$E119)</f>
        <v/>
      </c>
      <c r="BA119" s="39"/>
      <c r="BB119" s="40" t="str">
        <f aca="false">IF(OR(BA119="",CD119=""),"",BA119/CD119*100)</f>
        <v/>
      </c>
      <c r="BC119" s="41" t="str">
        <f aca="false">IF(BB119="","",IFERROR(MATCH(BB119,INDEX(Boundaries!$B$2:$I$30,MATCH(CR119,Boundaries!$A$2:$A$30,0),0),1)-1,""))</f>
        <v/>
      </c>
      <c r="BD119" s="42" t="str">
        <f aca="false">IF(OR(BC119="",$E119=""),"",BC119-$E119)</f>
        <v/>
      </c>
      <c r="BE119" s="39"/>
      <c r="BF119" s="40" t="str">
        <f aca="false">IF(OR(BE119="",CE119=""),"",BE119/CE119*100)</f>
        <v/>
      </c>
      <c r="BG119" s="41" t="str">
        <f aca="false">IF(BF119="","",IFERROR(MATCH(BF119,INDEX(Boundaries!$B$2:$I$30,MATCH(CS119,Boundaries!$A$2:$A$30,0),0),1)-1,""))</f>
        <v/>
      </c>
      <c r="BH119" s="42" t="str">
        <f aca="false">IF(OR(BG119="",$E119=""),"",BG119-$E119)</f>
        <v/>
      </c>
      <c r="BI119" s="39"/>
      <c r="BJ119" s="40" t="str">
        <f aca="false">IF(OR(BI119="",CF119=""),"",BI119/CF119*100)</f>
        <v/>
      </c>
      <c r="BK119" s="41" t="str">
        <f aca="false">IF(BJ119="","",IFERROR(MATCH(BJ119,INDEX(Boundaries!$B$2:$I$30,MATCH(CT119,Boundaries!$A$2:$A$30,0),0),1)-1,""))</f>
        <v/>
      </c>
      <c r="BL119" s="42" t="str">
        <f aca="false">IF(OR(BK119="",$E119=""),"",BK119-$E119)</f>
        <v/>
      </c>
      <c r="BM119" s="39"/>
      <c r="BN119" s="40" t="str">
        <f aca="false">IF(OR(BM119="",CG119=""),"",BM119/CG119*100)</f>
        <v/>
      </c>
      <c r="BO119" s="41" t="str">
        <f aca="false">IF(BN119="","",IFERROR(MATCH(BN119,INDEX(Boundaries!$B$2:$I$30,MATCH(CU119,Boundaries!$A$2:$A$30,0),0),1)-1,""))</f>
        <v/>
      </c>
      <c r="BP119" s="42" t="str">
        <f aca="false">IF(OR(BO119="",$E119=""),"",BO119-$E119)</f>
        <v/>
      </c>
      <c r="BQ119" s="39"/>
      <c r="BR119" s="40" t="str">
        <f aca="false">IF(OR(BQ119="",CH119=""),"",BQ119/CH119*100)</f>
        <v/>
      </c>
      <c r="BS119" s="41" t="str">
        <f aca="false">IF(BR119="","",IFERROR(MATCH(BR119,INDEX(Boundaries!$B$2:$I$30,MATCH(CV119,Boundaries!$A$2:$A$30,0),0),1)-1,""))</f>
        <v/>
      </c>
      <c r="BT119" s="42" t="str">
        <f aca="false">IF(OR(BS119="",$E119=""),"",BS119-$E119)</f>
        <v/>
      </c>
      <c r="BU119" s="28" t="n">
        <f aca="false">IFERROR(INDEX(Assessments!$H$2:$H$600,MATCH($H119&amp;"|"&amp;$I119&amp;"|"&amp;$J119&amp;"|"&amp;1,Assessments!$A$2:$A$600,0)),"")</f>
        <v>30</v>
      </c>
      <c r="BV119" s="28" t="n">
        <f aca="false">IFERROR(INDEX(Assessments!$H$2:$H$600,MATCH($H119&amp;"|"&amp;$I119&amp;"|"&amp;$J119&amp;"|"&amp;2,Assessments!$A$2:$A$600,0)),"")</f>
        <v>20</v>
      </c>
      <c r="BW119" s="28" t="n">
        <f aca="false">IFERROR(INDEX(Assessments!$H$2:$H$600,MATCH($H119&amp;"|"&amp;$I119&amp;"|"&amp;$J119&amp;"|"&amp;3,Assessments!$A$2:$A$600,0)),"")</f>
        <v>25</v>
      </c>
      <c r="BX119" s="28" t="n">
        <f aca="false">IFERROR(INDEX(Assessments!$H$2:$H$600,MATCH($H119&amp;"|"&amp;$I119&amp;"|"&amp;$J119&amp;"|"&amp;4,Assessments!$A$2:$A$600,0)),"")</f>
        <v>23</v>
      </c>
      <c r="BY119" s="28" t="n">
        <f aca="false">IFERROR(INDEX(Assessments!$H$2:$H$600,MATCH($H119&amp;"|"&amp;$I119&amp;"|"&amp;$J119&amp;"|"&amp;5,Assessments!$A$2:$A$600,0)),"")</f>
        <v>25</v>
      </c>
      <c r="BZ119" s="28" t="n">
        <f aca="false">IFERROR(INDEX(Assessments!$H$2:$H$600,MATCH($H119&amp;"|"&amp;$I119&amp;"|"&amp;$J119&amp;"|"&amp;6,Assessments!$A$2:$A$600,0)),"")</f>
        <v>15</v>
      </c>
      <c r="CA119" s="28" t="n">
        <f aca="false">IFERROR(INDEX(Assessments!$H$2:$H$600,MATCH($H119&amp;"|"&amp;$I119&amp;"|"&amp;$J119&amp;"|"&amp;7,Assessments!$A$2:$A$600,0)),"")</f>
        <v>52</v>
      </c>
      <c r="CB119" s="28" t="str">
        <f aca="false">IFERROR(INDEX(Assessments!$H$2:$H$600,MATCH($H119&amp;"|"&amp;$I119&amp;"|"&amp;$J119&amp;"|"&amp;8,Assessments!$A$2:$A$600,0)),"")</f>
        <v/>
      </c>
      <c r="CC119" s="28" t="str">
        <f aca="false">IFERROR(INDEX(Assessments!$H$2:$H$600,MATCH($H119&amp;"|"&amp;$I119&amp;"|"&amp;$J119&amp;"|"&amp;9,Assessments!$A$2:$A$600,0)),"")</f>
        <v/>
      </c>
      <c r="CD119" s="28" t="str">
        <f aca="false">IFERROR(INDEX(Assessments!$H$2:$H$600,MATCH($H119&amp;"|"&amp;$I119&amp;"|"&amp;$J119&amp;"|"&amp;10,Assessments!$A$2:$A$600,0)),"")</f>
        <v/>
      </c>
      <c r="CE119" s="28" t="str">
        <f aca="false">IFERROR(INDEX(Assessments!$H$2:$H$600,MATCH($H119&amp;"|"&amp;$I119&amp;"|"&amp;$J119&amp;"|"&amp;11,Assessments!$A$2:$A$600,0)),"")</f>
        <v/>
      </c>
      <c r="CF119" s="28" t="str">
        <f aca="false">IFERROR(INDEX(Assessments!$H$2:$H$600,MATCH($H119&amp;"|"&amp;$I119&amp;"|"&amp;$J119&amp;"|"&amp;12,Assessments!$A$2:$A$600,0)),"")</f>
        <v/>
      </c>
      <c r="CG119" s="28" t="str">
        <f aca="false">IFERROR(INDEX(Assessments!$H$2:$H$600,MATCH($H119&amp;"|"&amp;$I119&amp;"|"&amp;$J119&amp;"|"&amp;13,Assessments!$A$2:$A$600,0)),"")</f>
        <v/>
      </c>
      <c r="CH119" s="28" t="str">
        <f aca="false">IFERROR(INDEX(Assessments!$H$2:$H$600,MATCH($H119&amp;"|"&amp;$I119&amp;"|"&amp;$J119&amp;"|"&amp;14,Assessments!$A$2:$A$600,0)),"")</f>
        <v/>
      </c>
      <c r="CI119" s="28" t="str">
        <f aca="false">IFERROR(INDEX(Assessments!$I$2:$I$600,MATCH($H119&amp;"|"&amp;$I119&amp;"|"&amp;$J119&amp;"|"&amp;1,Assessments!$A$2:$A$600,0)),"")</f>
        <v>Econ Test</v>
      </c>
      <c r="CJ119" s="28" t="str">
        <f aca="false">IFERROR(INDEX(Assessments!$I$2:$I$600,MATCH($H119&amp;"|"&amp;$I119&amp;"|"&amp;$J119&amp;"|"&amp;2,Assessments!$A$2:$A$600,0)),"")</f>
        <v>Econ Test</v>
      </c>
      <c r="CK119" s="28" t="str">
        <f aca="false">IFERROR(INDEX(Assessments!$I$2:$I$600,MATCH($H119&amp;"|"&amp;$I119&amp;"|"&amp;$J119&amp;"|"&amp;3,Assessments!$A$2:$A$600,0)),"")</f>
        <v>Econ Test</v>
      </c>
      <c r="CL119" s="28" t="str">
        <f aca="false">IFERROR(INDEX(Assessments!$I$2:$I$600,MATCH($H119&amp;"|"&amp;$I119&amp;"|"&amp;$J119&amp;"|"&amp;4,Assessments!$A$2:$A$600,0)),"")</f>
        <v>Econ Test</v>
      </c>
      <c r="CM119" s="28" t="str">
        <f aca="false">IFERROR(INDEX(Assessments!$I$2:$I$600,MATCH($H119&amp;"|"&amp;$I119&amp;"|"&amp;$J119&amp;"|"&amp;5,Assessments!$A$2:$A$600,0)),"")</f>
        <v>Econ Exam</v>
      </c>
      <c r="CN119" s="28" t="str">
        <f aca="false">IFERROR(INDEX(Assessments!$I$2:$I$600,MATCH($H119&amp;"|"&amp;$I119&amp;"|"&amp;$J119&amp;"|"&amp;6,Assessments!$A$2:$A$600,0)),"")</f>
        <v>Econ Test</v>
      </c>
      <c r="CO119" s="28" t="str">
        <f aca="false">IFERROR(INDEX(Assessments!$I$2:$I$600,MATCH($H119&amp;"|"&amp;$I119&amp;"|"&amp;$J119&amp;"|"&amp;7,Assessments!$A$2:$A$600,0)),"")</f>
        <v>Econ Exam</v>
      </c>
      <c r="CP119" s="28" t="str">
        <f aca="false">IFERROR(INDEX(Assessments!$I$2:$I$600,MATCH($H119&amp;"|"&amp;$I119&amp;"|"&amp;$J119&amp;"|"&amp;8,Assessments!$A$2:$A$600,0)),"")</f>
        <v/>
      </c>
      <c r="CQ119" s="28" t="str">
        <f aca="false">IFERROR(INDEX(Assessments!$I$2:$I$600,MATCH($H119&amp;"|"&amp;$I119&amp;"|"&amp;$J119&amp;"|"&amp;9,Assessments!$A$2:$A$600,0)),"")</f>
        <v/>
      </c>
      <c r="CR119" s="28" t="str">
        <f aca="false">IFERROR(INDEX(Assessments!$I$2:$I$600,MATCH($H119&amp;"|"&amp;$I119&amp;"|"&amp;$J119&amp;"|"&amp;10,Assessments!$A$2:$A$600,0)),"")</f>
        <v/>
      </c>
      <c r="CS119" s="28" t="str">
        <f aca="false">IFERROR(INDEX(Assessments!$I$2:$I$600,MATCH($H119&amp;"|"&amp;$I119&amp;"|"&amp;$J119&amp;"|"&amp;11,Assessments!$A$2:$A$600,0)),"")</f>
        <v/>
      </c>
      <c r="CT119" s="28" t="str">
        <f aca="false">IFERROR(INDEX(Assessments!$I$2:$I$600,MATCH($H119&amp;"|"&amp;$I119&amp;"|"&amp;$J119&amp;"|"&amp;12,Assessments!$A$2:$A$600,0)),"")</f>
        <v/>
      </c>
      <c r="CU119" s="28" t="str">
        <f aca="false">IFERROR(INDEX(Assessments!$I$2:$I$600,MATCH($H119&amp;"|"&amp;$I119&amp;"|"&amp;$J119&amp;"|"&amp;13,Assessments!$A$2:$A$600,0)),"")</f>
        <v/>
      </c>
      <c r="CV119" s="28" t="str">
        <f aca="false">IFERROR(INDEX(Assessments!$I$2:$I$600,MATCH($H119&amp;"|"&amp;$I119&amp;"|"&amp;$J119&amp;"|"&amp;14,Assessments!$A$2:$A$600,0)),"")</f>
        <v/>
      </c>
      <c r="CW119" s="28" t="n">
        <f aca="false">IFERROR(INDEX(Assessments!$J$2:$J$600,MATCH($H119&amp;"|"&amp;$I119&amp;"|"&amp;$J119&amp;"|"&amp;1,Assessments!$A$2:$A$600,0)),0)</f>
        <v>1</v>
      </c>
      <c r="CX119" s="28" t="n">
        <f aca="false">IFERROR(INDEX(Assessments!$J$2:$J$600,MATCH($H119&amp;"|"&amp;$I119&amp;"|"&amp;$J119&amp;"|"&amp;2,Assessments!$A$2:$A$600,0)),0)</f>
        <v>1</v>
      </c>
      <c r="CY119" s="28" t="n">
        <f aca="false">IFERROR(INDEX(Assessments!$J$2:$J$600,MATCH($H119&amp;"|"&amp;$I119&amp;"|"&amp;$J119&amp;"|"&amp;3,Assessments!$A$2:$A$600,0)),0)</f>
        <v>1</v>
      </c>
      <c r="CZ119" s="28" t="n">
        <f aca="false">IFERROR(INDEX(Assessments!$J$2:$J$600,MATCH($H119&amp;"|"&amp;$I119&amp;"|"&amp;$J119&amp;"|"&amp;4,Assessments!$A$2:$A$600,0)),0)</f>
        <v>1</v>
      </c>
      <c r="DA119" s="28" t="n">
        <f aca="false">IFERROR(INDEX(Assessments!$J$2:$J$600,MATCH($H119&amp;"|"&amp;$I119&amp;"|"&amp;$J119&amp;"|"&amp;5,Assessments!$A$2:$A$600,0)),0)</f>
        <v>2</v>
      </c>
      <c r="DB119" s="28" t="n">
        <f aca="false">IFERROR(INDEX(Assessments!$J$2:$J$600,MATCH($H119&amp;"|"&amp;$I119&amp;"|"&amp;$J119&amp;"|"&amp;6,Assessments!$A$2:$A$600,0)),0)</f>
        <v>1</v>
      </c>
      <c r="DC119" s="28" t="n">
        <f aca="false">IFERROR(INDEX(Assessments!$J$2:$J$600,MATCH($H119&amp;"|"&amp;$I119&amp;"|"&amp;$J119&amp;"|"&amp;7,Assessments!$A$2:$A$600,0)),0)</f>
        <v>2</v>
      </c>
      <c r="DD119" s="28" t="n">
        <f aca="false">IFERROR(INDEX(Assessments!$J$2:$J$600,MATCH($H119&amp;"|"&amp;$I119&amp;"|"&amp;$J119&amp;"|"&amp;8,Assessments!$A$2:$A$600,0)),0)</f>
        <v>0</v>
      </c>
      <c r="DE119" s="28" t="n">
        <f aca="false">IFERROR(INDEX(Assessments!$J$2:$J$600,MATCH($H119&amp;"|"&amp;$I119&amp;"|"&amp;$J119&amp;"|"&amp;9,Assessments!$A$2:$A$600,0)),0)</f>
        <v>0</v>
      </c>
      <c r="DF119" s="28" t="n">
        <f aca="false">IFERROR(INDEX(Assessments!$J$2:$J$600,MATCH($H119&amp;"|"&amp;$I119&amp;"|"&amp;$J119&amp;"|"&amp;10,Assessments!$A$2:$A$600,0)),0)</f>
        <v>0</v>
      </c>
      <c r="DG119" s="28" t="n">
        <f aca="false">IFERROR(INDEX(Assessments!$J$2:$J$600,MATCH($H119&amp;"|"&amp;$I119&amp;"|"&amp;$J119&amp;"|"&amp;11,Assessments!$A$2:$A$600,0)),0)</f>
        <v>0</v>
      </c>
      <c r="DH119" s="28" t="n">
        <f aca="false">IFERROR(INDEX(Assessments!$J$2:$J$600,MATCH($H119&amp;"|"&amp;$I119&amp;"|"&amp;$J119&amp;"|"&amp;12,Assessments!$A$2:$A$600,0)),0)</f>
        <v>0</v>
      </c>
      <c r="DI119" s="28" t="n">
        <f aca="false">IFERROR(INDEX(Assessments!$J$2:$J$600,MATCH($H119&amp;"|"&amp;$I119&amp;"|"&amp;$J119&amp;"|"&amp;13,Assessments!$A$2:$A$600,0)),0)</f>
        <v>0</v>
      </c>
      <c r="DJ119" s="28" t="n">
        <f aca="false">IFERROR(INDEX(Assessments!$J$2:$J$600,MATCH($H119&amp;"|"&amp;$I119&amp;"|"&amp;$J119&amp;"|"&amp;14,Assessments!$A$2:$A$600,0)),0)</f>
        <v>0</v>
      </c>
      <c r="DK119" s="28" t="n">
        <f aca="false">S119</f>
        <v>7</v>
      </c>
      <c r="DL119" s="28" t="n">
        <f aca="false">W119</f>
        <v>7</v>
      </c>
      <c r="DM119" s="28" t="n">
        <f aca="false">AA119</f>
        <v>6</v>
      </c>
      <c r="DN119" s="28" t="n">
        <f aca="false">AE119</f>
        <v>6</v>
      </c>
      <c r="DO119" s="28" t="n">
        <f aca="false">AI119</f>
        <v>6</v>
      </c>
      <c r="DP119" s="28" t="str">
        <f aca="false">AM119</f>
        <v/>
      </c>
      <c r="DQ119" s="28" t="str">
        <f aca="false">AQ119</f>
        <v/>
      </c>
      <c r="DR119" s="28" t="str">
        <f aca="false">AU119</f>
        <v/>
      </c>
      <c r="DS119" s="28" t="str">
        <f aca="false">AY119</f>
        <v/>
      </c>
      <c r="DT119" s="28" t="str">
        <f aca="false">BC119</f>
        <v/>
      </c>
      <c r="DU119" s="28" t="str">
        <f aca="false">BG119</f>
        <v/>
      </c>
      <c r="DV119" s="28" t="str">
        <f aca="false">BK119</f>
        <v/>
      </c>
      <c r="DW119" s="28" t="str">
        <f aca="false">BO119</f>
        <v/>
      </c>
      <c r="DX119" s="28" t="str">
        <f aca="false">BS119</f>
        <v/>
      </c>
      <c r="DY119" s="28" t="n">
        <f aca="false">IF(ISNUMBER(S119),1,"")</f>
        <v>1</v>
      </c>
      <c r="DZ119" s="28" t="n">
        <f aca="false">IF(ISNUMBER(W119),2,"")</f>
        <v>2</v>
      </c>
      <c r="EA119" s="28" t="n">
        <f aca="false">IF(ISNUMBER(AA119),3,"")</f>
        <v>3</v>
      </c>
      <c r="EB119" s="28" t="n">
        <f aca="false">IF(ISNUMBER(AE119),4,"")</f>
        <v>4</v>
      </c>
      <c r="EC119" s="28" t="n">
        <f aca="false">IF(ISNUMBER(AI119),5,"")</f>
        <v>5</v>
      </c>
      <c r="ED119" s="28" t="str">
        <f aca="false">IF(ISNUMBER(AM119),6,"")</f>
        <v/>
      </c>
      <c r="EE119" s="28" t="str">
        <f aca="false">IF(ISNUMBER(AQ119),7,"")</f>
        <v/>
      </c>
      <c r="EF119" s="28" t="str">
        <f aca="false">IF(ISNUMBER(AU119),8,"")</f>
        <v/>
      </c>
      <c r="EG119" s="28" t="str">
        <f aca="false">IF(ISNUMBER(AY119),9,"")</f>
        <v/>
      </c>
      <c r="EH119" s="28" t="str">
        <f aca="false">IF(ISNUMBER(BC119),10,"")</f>
        <v/>
      </c>
      <c r="EI119" s="28" t="str">
        <f aca="false">IF(ISNUMBER(BG119),11,"")</f>
        <v/>
      </c>
      <c r="EJ119" s="28" t="str">
        <f aca="false">IF(ISNUMBER(BK119),12,"")</f>
        <v/>
      </c>
      <c r="EK119" s="28" t="str">
        <f aca="false">IF(ISNUMBER(BO119),13,"")</f>
        <v/>
      </c>
      <c r="EL119" s="28" t="str">
        <f aca="false">IF(ISNUMBER(BS119),14,"")</f>
        <v/>
      </c>
      <c r="EM119" s="28" t="n">
        <f aca="false">IF(ISNUMBER(R119),R119*CW119,0)</f>
        <v>93.3333333333333</v>
      </c>
      <c r="EN119" s="28" t="n">
        <f aca="false">IF(ISNUMBER(V119),V119*CX119,0)</f>
        <v>95</v>
      </c>
      <c r="EO119" s="28" t="n">
        <f aca="false">IF(ISNUMBER(Z119),Z119*CY119,0)</f>
        <v>84</v>
      </c>
      <c r="EP119" s="28" t="n">
        <f aca="false">IF(ISNUMBER(AD119),AD119*CZ119,0)</f>
        <v>78.2608695652174</v>
      </c>
      <c r="EQ119" s="28" t="n">
        <f aca="false">IF(ISNUMBER(AH119),AH119*DA119,0)</f>
        <v>152</v>
      </c>
      <c r="ER119" s="28" t="n">
        <f aca="false">IF(ISNUMBER(AL119),AL119*DB119,0)</f>
        <v>0</v>
      </c>
      <c r="ES119" s="28" t="n">
        <f aca="false">IF(ISNUMBER(AP119),AP119*DC119,0)</f>
        <v>0</v>
      </c>
      <c r="ET119" s="28" t="n">
        <f aca="false">IF(ISNUMBER(AT119),AT119*DD119,0)</f>
        <v>0</v>
      </c>
      <c r="EU119" s="28" t="n">
        <f aca="false">IF(ISNUMBER(AX119),AX119*DE119,0)</f>
        <v>0</v>
      </c>
      <c r="EV119" s="28" t="n">
        <f aca="false">IF(ISNUMBER(BB119),BB119*DF119,0)</f>
        <v>0</v>
      </c>
      <c r="EW119" s="28" t="n">
        <f aca="false">IF(ISNUMBER(BF119),BF119*DG119,0)</f>
        <v>0</v>
      </c>
      <c r="EX119" s="28" t="n">
        <f aca="false">IF(ISNUMBER(BJ119),BJ119*DH119,0)</f>
        <v>0</v>
      </c>
      <c r="EY119" s="28" t="n">
        <f aca="false">IF(ISNUMBER(BN119),BN119*DI119,0)</f>
        <v>0</v>
      </c>
      <c r="EZ119" s="28" t="n">
        <f aca="false">IF(ISNUMBER(BR119),BR119*DJ119,0)</f>
        <v>0</v>
      </c>
      <c r="FA119" s="28" t="n">
        <f aca="false">IF(ISNUMBER(R119),CW119,0)</f>
        <v>1</v>
      </c>
      <c r="FB119" s="28" t="n">
        <f aca="false">IF(ISNUMBER(V119),CX119,0)</f>
        <v>1</v>
      </c>
      <c r="FC119" s="28" t="n">
        <f aca="false">IF(ISNUMBER(Z119),CY119,0)</f>
        <v>1</v>
      </c>
      <c r="FD119" s="28" t="n">
        <f aca="false">IF(ISNUMBER(AD119),CZ119,0)</f>
        <v>1</v>
      </c>
      <c r="FE119" s="28" t="n">
        <f aca="false">IF(ISNUMBER(AH119),DA119,0)</f>
        <v>2</v>
      </c>
      <c r="FF119" s="28" t="n">
        <f aca="false">IF(ISNUMBER(AL119),DB119,0)</f>
        <v>0</v>
      </c>
      <c r="FG119" s="28" t="n">
        <f aca="false">IF(ISNUMBER(AP119),DC119,0)</f>
        <v>0</v>
      </c>
      <c r="FH119" s="28" t="n">
        <f aca="false">IF(ISNUMBER(AT119),DD119,0)</f>
        <v>0</v>
      </c>
      <c r="FI119" s="28" t="n">
        <f aca="false">IF(ISNUMBER(AX119),DE119,0)</f>
        <v>0</v>
      </c>
      <c r="FJ119" s="28" t="n">
        <f aca="false">IF(ISNUMBER(BB119),DF119,0)</f>
        <v>0</v>
      </c>
      <c r="FK119" s="28" t="n">
        <f aca="false">IF(ISNUMBER(BF119),DG119,0)</f>
        <v>0</v>
      </c>
      <c r="FL119" s="28" t="n">
        <f aca="false">IF(ISNUMBER(BJ119),DH119,0)</f>
        <v>0</v>
      </c>
      <c r="FM119" s="28" t="n">
        <f aca="false">IF(ISNUMBER(BN119),DI119,0)</f>
        <v>0</v>
      </c>
      <c r="FN119" s="28" t="n">
        <f aca="false">IF(ISNUMBER(BR119),DJ119,0)</f>
        <v>0</v>
      </c>
      <c r="FO119" s="28" t="str">
        <f aca="false">IFERROR(INDEX(Lists!$G$2:$G$20,MATCH($I119&amp;"|"&amp;$J119,Lists!$F$2:$F$20,0)),"")</f>
        <v>Econ Exam</v>
      </c>
    </row>
    <row r="120" customFormat="false" ht="19.5" hidden="false" customHeight="true" outlineLevel="0" collapsed="false">
      <c r="A120" s="29" t="s">
        <v>356</v>
      </c>
      <c r="B120" s="29" t="s">
        <v>357</v>
      </c>
      <c r="C120" s="30" t="s">
        <v>152</v>
      </c>
      <c r="D120" s="30" t="s">
        <v>291</v>
      </c>
      <c r="E120" s="31" t="n">
        <v>6</v>
      </c>
      <c r="F120" s="30" t="n">
        <v>6</v>
      </c>
      <c r="G120" s="30"/>
      <c r="H120" s="32" t="s">
        <v>23</v>
      </c>
      <c r="I120" s="33" t="s">
        <v>229</v>
      </c>
      <c r="J120" s="32" t="s">
        <v>223</v>
      </c>
      <c r="K120" s="34" t="n">
        <f aca="false">IF(OR(M120="",$E120=""),"",M120-$E120)</f>
        <v>0</v>
      </c>
      <c r="L120" s="35" t="n">
        <f aca="false">IF(SUM(FA120:FN120)=0,"",SUM(EM120:EZ120)/SUM(FA120:FN120))</f>
        <v>78.7101449275362</v>
      </c>
      <c r="M120" s="36" t="n">
        <f aca="false">IF(OR(L120="",FO120=""),"",IFERROR(MATCH(L120,INDEX(Boundaries!$B$2:$I$30,MATCH(FO120,Boundaries!$A$2:$A$30,0),0),1)-1,""))</f>
        <v>6</v>
      </c>
      <c r="N120" s="37" t="n">
        <f aca="false">IF(COUNT($DY120:$EL120)&lt;2,"",INDEX($DK120:$DX120,MAX($DY120:$EL120))-INDEX($DK120:$DX120,MIN($DY120:$EL120)))</f>
        <v>2</v>
      </c>
      <c r="O120" s="37" t="n">
        <f aca="false">IF(COUNT($DY120:$EL120)&lt;2,"",INDEX($DK120:$DX120,MAX($DY120:$EL120))-INDEX($DK120:$DX120,LARGE($DY120:$EL120,2)))</f>
        <v>0</v>
      </c>
      <c r="P120" s="38" t="str">
        <f aca="false">IF(K120="","",IF(K120&gt;=0,"On/above target",IF(AND(N120&lt;&gt;"",N120&gt;=0.5),"Improving towards target",IF(AND(O120&lt;&gt;"",O120&lt;=-0.5),"Declining","Stable below target"))))</f>
        <v>On/above target</v>
      </c>
      <c r="Q120" s="39" t="n">
        <v>18</v>
      </c>
      <c r="R120" s="40" t="n">
        <f aca="false">IF(OR(Q120="",BU120=""),"",Q120/BU120*100)</f>
        <v>60</v>
      </c>
      <c r="S120" s="41" t="n">
        <f aca="false">IF(R120="","",IFERROR(MATCH(R120,INDEX(Boundaries!$B$2:$I$30,MATCH(CI120,Boundaries!$A$2:$A$30,0),0),1)-1,""))</f>
        <v>4</v>
      </c>
      <c r="T120" s="42" t="n">
        <f aca="false">IF(OR(S120="",$E120=""),"",S120-$E120)</f>
        <v>-2</v>
      </c>
      <c r="U120" s="39" t="n">
        <v>18</v>
      </c>
      <c r="V120" s="40" t="n">
        <f aca="false">IF(OR(U120="",BV120=""),"",U120/BV120*100)</f>
        <v>90</v>
      </c>
      <c r="W120" s="41" t="n">
        <f aca="false">IF(V120="","",IFERROR(MATCH(V120,INDEX(Boundaries!$B$2:$I$30,MATCH(CJ120,Boundaries!$A$2:$A$30,0),0),1)-1,""))</f>
        <v>7</v>
      </c>
      <c r="X120" s="42" t="n">
        <f aca="false">IF(OR(W120="",$E120=""),"",W120-$E120)</f>
        <v>1</v>
      </c>
      <c r="Y120" s="39" t="n">
        <v>23</v>
      </c>
      <c r="Z120" s="40" t="n">
        <f aca="false">IF(OR(Y120="",BW120=""),"",Y120/BW120*100)</f>
        <v>92</v>
      </c>
      <c r="AA120" s="41" t="n">
        <f aca="false">IF(Z120="","",IFERROR(MATCH(Z120,INDEX(Boundaries!$B$2:$I$30,MATCH(CK120,Boundaries!$A$2:$A$30,0),0),1)-1,""))</f>
        <v>7</v>
      </c>
      <c r="AB120" s="42" t="n">
        <f aca="false">IF(OR(AA120="",$E120=""),"",AA120-$E120)</f>
        <v>1</v>
      </c>
      <c r="AC120" s="39" t="n">
        <v>18</v>
      </c>
      <c r="AD120" s="40" t="n">
        <f aca="false">IF(OR(AC120="",BX120=""),"",AC120/BX120*100)</f>
        <v>78.2608695652174</v>
      </c>
      <c r="AE120" s="41" t="n">
        <f aca="false">IF(AD120="","",IFERROR(MATCH(AD120,INDEX(Boundaries!$B$2:$I$30,MATCH(CL120,Boundaries!$A$2:$A$30,0),0),1)-1,""))</f>
        <v>6</v>
      </c>
      <c r="AF120" s="42" t="n">
        <f aca="false">IF(OR(AE120="",$E120=""),"",AE120-$E120)</f>
        <v>0</v>
      </c>
      <c r="AG120" s="39" t="n">
        <v>19</v>
      </c>
      <c r="AH120" s="40" t="n">
        <f aca="false">IF(OR(AG120="",BY120=""),"",AG120/BY120*100)</f>
        <v>76</v>
      </c>
      <c r="AI120" s="41" t="n">
        <f aca="false">IF(AH120="","",IFERROR(MATCH(AH120,INDEX(Boundaries!$B$2:$I$30,MATCH(CM120,Boundaries!$A$2:$A$30,0),0),1)-1,""))</f>
        <v>6</v>
      </c>
      <c r="AJ120" s="42" t="n">
        <f aca="false">IF(OR(AI120="",$E120=""),"",AI120-$E120)</f>
        <v>0</v>
      </c>
      <c r="AK120" s="39"/>
      <c r="AL120" s="40" t="str">
        <f aca="false">IF(OR(AK120="",BZ120=""),"",AK120/BZ120*100)</f>
        <v/>
      </c>
      <c r="AM120" s="41" t="str">
        <f aca="false">IF(AL120="","",IFERROR(MATCH(AL120,INDEX(Boundaries!$B$2:$I$30,MATCH(CN120,Boundaries!$A$2:$A$30,0),0),1)-1,""))</f>
        <v/>
      </c>
      <c r="AN120" s="42" t="str">
        <f aca="false">IF(OR(AM120="",$E120=""),"",AM120-$E120)</f>
        <v/>
      </c>
      <c r="AO120" s="39"/>
      <c r="AP120" s="40" t="str">
        <f aca="false">IF(OR(AO120="",CA120=""),"",AO120/CA120*100)</f>
        <v/>
      </c>
      <c r="AQ120" s="41" t="str">
        <f aca="false">IF(AP120="","",IFERROR(MATCH(AP120,INDEX(Boundaries!$B$2:$I$30,MATCH(CO120,Boundaries!$A$2:$A$30,0),0),1)-1,""))</f>
        <v/>
      </c>
      <c r="AR120" s="42" t="str">
        <f aca="false">IF(OR(AQ120="",$E120=""),"",AQ120-$E120)</f>
        <v/>
      </c>
      <c r="AS120" s="39"/>
      <c r="AT120" s="40" t="str">
        <f aca="false">IF(OR(AS120="",CB120=""),"",AS120/CB120*100)</f>
        <v/>
      </c>
      <c r="AU120" s="41" t="str">
        <f aca="false">IF(AT120="","",IFERROR(MATCH(AT120,INDEX(Boundaries!$B$2:$I$30,MATCH(CP120,Boundaries!$A$2:$A$30,0),0),1)-1,""))</f>
        <v/>
      </c>
      <c r="AV120" s="42" t="str">
        <f aca="false">IF(OR(AU120="",$E120=""),"",AU120-$E120)</f>
        <v/>
      </c>
      <c r="AW120" s="39"/>
      <c r="AX120" s="40" t="str">
        <f aca="false">IF(OR(AW120="",CC120=""),"",AW120/CC120*100)</f>
        <v/>
      </c>
      <c r="AY120" s="41" t="str">
        <f aca="false">IF(AX120="","",IFERROR(MATCH(AX120,INDEX(Boundaries!$B$2:$I$30,MATCH(CQ120,Boundaries!$A$2:$A$30,0),0),1)-1,""))</f>
        <v/>
      </c>
      <c r="AZ120" s="42" t="str">
        <f aca="false">IF(OR(AY120="",$E120=""),"",AY120-$E120)</f>
        <v/>
      </c>
      <c r="BA120" s="39"/>
      <c r="BB120" s="40" t="str">
        <f aca="false">IF(OR(BA120="",CD120=""),"",BA120/CD120*100)</f>
        <v/>
      </c>
      <c r="BC120" s="41" t="str">
        <f aca="false">IF(BB120="","",IFERROR(MATCH(BB120,INDEX(Boundaries!$B$2:$I$30,MATCH(CR120,Boundaries!$A$2:$A$30,0),0),1)-1,""))</f>
        <v/>
      </c>
      <c r="BD120" s="42" t="str">
        <f aca="false">IF(OR(BC120="",$E120=""),"",BC120-$E120)</f>
        <v/>
      </c>
      <c r="BE120" s="39"/>
      <c r="BF120" s="40" t="str">
        <f aca="false">IF(OR(BE120="",CE120=""),"",BE120/CE120*100)</f>
        <v/>
      </c>
      <c r="BG120" s="41" t="str">
        <f aca="false">IF(BF120="","",IFERROR(MATCH(BF120,INDEX(Boundaries!$B$2:$I$30,MATCH(CS120,Boundaries!$A$2:$A$30,0),0),1)-1,""))</f>
        <v/>
      </c>
      <c r="BH120" s="42" t="str">
        <f aca="false">IF(OR(BG120="",$E120=""),"",BG120-$E120)</f>
        <v/>
      </c>
      <c r="BI120" s="39"/>
      <c r="BJ120" s="40" t="str">
        <f aca="false">IF(OR(BI120="",CF120=""),"",BI120/CF120*100)</f>
        <v/>
      </c>
      <c r="BK120" s="41" t="str">
        <f aca="false">IF(BJ120="","",IFERROR(MATCH(BJ120,INDEX(Boundaries!$B$2:$I$30,MATCH(CT120,Boundaries!$A$2:$A$30,0),0),1)-1,""))</f>
        <v/>
      </c>
      <c r="BL120" s="42" t="str">
        <f aca="false">IF(OR(BK120="",$E120=""),"",BK120-$E120)</f>
        <v/>
      </c>
      <c r="BM120" s="39"/>
      <c r="BN120" s="40" t="str">
        <f aca="false">IF(OR(BM120="",CG120=""),"",BM120/CG120*100)</f>
        <v/>
      </c>
      <c r="BO120" s="41" t="str">
        <f aca="false">IF(BN120="","",IFERROR(MATCH(BN120,INDEX(Boundaries!$B$2:$I$30,MATCH(CU120,Boundaries!$A$2:$A$30,0),0),1)-1,""))</f>
        <v/>
      </c>
      <c r="BP120" s="42" t="str">
        <f aca="false">IF(OR(BO120="",$E120=""),"",BO120-$E120)</f>
        <v/>
      </c>
      <c r="BQ120" s="39"/>
      <c r="BR120" s="40" t="str">
        <f aca="false">IF(OR(BQ120="",CH120=""),"",BQ120/CH120*100)</f>
        <v/>
      </c>
      <c r="BS120" s="41" t="str">
        <f aca="false">IF(BR120="","",IFERROR(MATCH(BR120,INDEX(Boundaries!$B$2:$I$30,MATCH(CV120,Boundaries!$A$2:$A$30,0),0),1)-1,""))</f>
        <v/>
      </c>
      <c r="BT120" s="42" t="str">
        <f aca="false">IF(OR(BS120="",$E120=""),"",BS120-$E120)</f>
        <v/>
      </c>
      <c r="BU120" s="28" t="n">
        <f aca="false">IFERROR(INDEX(Assessments!$H$2:$H$600,MATCH($H120&amp;"|"&amp;$I120&amp;"|"&amp;$J120&amp;"|"&amp;1,Assessments!$A$2:$A$600,0)),"")</f>
        <v>30</v>
      </c>
      <c r="BV120" s="28" t="n">
        <f aca="false">IFERROR(INDEX(Assessments!$H$2:$H$600,MATCH($H120&amp;"|"&amp;$I120&amp;"|"&amp;$J120&amp;"|"&amp;2,Assessments!$A$2:$A$600,0)),"")</f>
        <v>20</v>
      </c>
      <c r="BW120" s="28" t="n">
        <f aca="false">IFERROR(INDEX(Assessments!$H$2:$H$600,MATCH($H120&amp;"|"&amp;$I120&amp;"|"&amp;$J120&amp;"|"&amp;3,Assessments!$A$2:$A$600,0)),"")</f>
        <v>25</v>
      </c>
      <c r="BX120" s="28" t="n">
        <f aca="false">IFERROR(INDEX(Assessments!$H$2:$H$600,MATCH($H120&amp;"|"&amp;$I120&amp;"|"&amp;$J120&amp;"|"&amp;4,Assessments!$A$2:$A$600,0)),"")</f>
        <v>23</v>
      </c>
      <c r="BY120" s="28" t="n">
        <f aca="false">IFERROR(INDEX(Assessments!$H$2:$H$600,MATCH($H120&amp;"|"&amp;$I120&amp;"|"&amp;$J120&amp;"|"&amp;5,Assessments!$A$2:$A$600,0)),"")</f>
        <v>25</v>
      </c>
      <c r="BZ120" s="28" t="n">
        <f aca="false">IFERROR(INDEX(Assessments!$H$2:$H$600,MATCH($H120&amp;"|"&amp;$I120&amp;"|"&amp;$J120&amp;"|"&amp;6,Assessments!$A$2:$A$600,0)),"")</f>
        <v>15</v>
      </c>
      <c r="CA120" s="28" t="n">
        <f aca="false">IFERROR(INDEX(Assessments!$H$2:$H$600,MATCH($H120&amp;"|"&amp;$I120&amp;"|"&amp;$J120&amp;"|"&amp;7,Assessments!$A$2:$A$600,0)),"")</f>
        <v>52</v>
      </c>
      <c r="CB120" s="28" t="str">
        <f aca="false">IFERROR(INDEX(Assessments!$H$2:$H$600,MATCH($H120&amp;"|"&amp;$I120&amp;"|"&amp;$J120&amp;"|"&amp;8,Assessments!$A$2:$A$600,0)),"")</f>
        <v/>
      </c>
      <c r="CC120" s="28" t="str">
        <f aca="false">IFERROR(INDEX(Assessments!$H$2:$H$600,MATCH($H120&amp;"|"&amp;$I120&amp;"|"&amp;$J120&amp;"|"&amp;9,Assessments!$A$2:$A$600,0)),"")</f>
        <v/>
      </c>
      <c r="CD120" s="28" t="str">
        <f aca="false">IFERROR(INDEX(Assessments!$H$2:$H$600,MATCH($H120&amp;"|"&amp;$I120&amp;"|"&amp;$J120&amp;"|"&amp;10,Assessments!$A$2:$A$600,0)),"")</f>
        <v/>
      </c>
      <c r="CE120" s="28" t="str">
        <f aca="false">IFERROR(INDEX(Assessments!$H$2:$H$600,MATCH($H120&amp;"|"&amp;$I120&amp;"|"&amp;$J120&amp;"|"&amp;11,Assessments!$A$2:$A$600,0)),"")</f>
        <v/>
      </c>
      <c r="CF120" s="28" t="str">
        <f aca="false">IFERROR(INDEX(Assessments!$H$2:$H$600,MATCH($H120&amp;"|"&amp;$I120&amp;"|"&amp;$J120&amp;"|"&amp;12,Assessments!$A$2:$A$600,0)),"")</f>
        <v/>
      </c>
      <c r="CG120" s="28" t="str">
        <f aca="false">IFERROR(INDEX(Assessments!$H$2:$H$600,MATCH($H120&amp;"|"&amp;$I120&amp;"|"&amp;$J120&amp;"|"&amp;13,Assessments!$A$2:$A$600,0)),"")</f>
        <v/>
      </c>
      <c r="CH120" s="28" t="str">
        <f aca="false">IFERROR(INDEX(Assessments!$H$2:$H$600,MATCH($H120&amp;"|"&amp;$I120&amp;"|"&amp;$J120&amp;"|"&amp;14,Assessments!$A$2:$A$600,0)),"")</f>
        <v/>
      </c>
      <c r="CI120" s="28" t="str">
        <f aca="false">IFERROR(INDEX(Assessments!$I$2:$I$600,MATCH($H120&amp;"|"&amp;$I120&amp;"|"&amp;$J120&amp;"|"&amp;1,Assessments!$A$2:$A$600,0)),"")</f>
        <v>Econ Test</v>
      </c>
      <c r="CJ120" s="28" t="str">
        <f aca="false">IFERROR(INDEX(Assessments!$I$2:$I$600,MATCH($H120&amp;"|"&amp;$I120&amp;"|"&amp;$J120&amp;"|"&amp;2,Assessments!$A$2:$A$600,0)),"")</f>
        <v>Econ Test</v>
      </c>
      <c r="CK120" s="28" t="str">
        <f aca="false">IFERROR(INDEX(Assessments!$I$2:$I$600,MATCH($H120&amp;"|"&amp;$I120&amp;"|"&amp;$J120&amp;"|"&amp;3,Assessments!$A$2:$A$600,0)),"")</f>
        <v>Econ Test</v>
      </c>
      <c r="CL120" s="28" t="str">
        <f aca="false">IFERROR(INDEX(Assessments!$I$2:$I$600,MATCH($H120&amp;"|"&amp;$I120&amp;"|"&amp;$J120&amp;"|"&amp;4,Assessments!$A$2:$A$600,0)),"")</f>
        <v>Econ Test</v>
      </c>
      <c r="CM120" s="28" t="str">
        <f aca="false">IFERROR(INDEX(Assessments!$I$2:$I$600,MATCH($H120&amp;"|"&amp;$I120&amp;"|"&amp;$J120&amp;"|"&amp;5,Assessments!$A$2:$A$600,0)),"")</f>
        <v>Econ Exam</v>
      </c>
      <c r="CN120" s="28" t="str">
        <f aca="false">IFERROR(INDEX(Assessments!$I$2:$I$600,MATCH($H120&amp;"|"&amp;$I120&amp;"|"&amp;$J120&amp;"|"&amp;6,Assessments!$A$2:$A$600,0)),"")</f>
        <v>Econ Test</v>
      </c>
      <c r="CO120" s="28" t="str">
        <f aca="false">IFERROR(INDEX(Assessments!$I$2:$I$600,MATCH($H120&amp;"|"&amp;$I120&amp;"|"&amp;$J120&amp;"|"&amp;7,Assessments!$A$2:$A$600,0)),"")</f>
        <v>Econ Exam</v>
      </c>
      <c r="CP120" s="28" t="str">
        <f aca="false">IFERROR(INDEX(Assessments!$I$2:$I$600,MATCH($H120&amp;"|"&amp;$I120&amp;"|"&amp;$J120&amp;"|"&amp;8,Assessments!$A$2:$A$600,0)),"")</f>
        <v/>
      </c>
      <c r="CQ120" s="28" t="str">
        <f aca="false">IFERROR(INDEX(Assessments!$I$2:$I$600,MATCH($H120&amp;"|"&amp;$I120&amp;"|"&amp;$J120&amp;"|"&amp;9,Assessments!$A$2:$A$600,0)),"")</f>
        <v/>
      </c>
      <c r="CR120" s="28" t="str">
        <f aca="false">IFERROR(INDEX(Assessments!$I$2:$I$600,MATCH($H120&amp;"|"&amp;$I120&amp;"|"&amp;$J120&amp;"|"&amp;10,Assessments!$A$2:$A$600,0)),"")</f>
        <v/>
      </c>
      <c r="CS120" s="28" t="str">
        <f aca="false">IFERROR(INDEX(Assessments!$I$2:$I$600,MATCH($H120&amp;"|"&amp;$I120&amp;"|"&amp;$J120&amp;"|"&amp;11,Assessments!$A$2:$A$600,0)),"")</f>
        <v/>
      </c>
      <c r="CT120" s="28" t="str">
        <f aca="false">IFERROR(INDEX(Assessments!$I$2:$I$600,MATCH($H120&amp;"|"&amp;$I120&amp;"|"&amp;$J120&amp;"|"&amp;12,Assessments!$A$2:$A$600,0)),"")</f>
        <v/>
      </c>
      <c r="CU120" s="28" t="str">
        <f aca="false">IFERROR(INDEX(Assessments!$I$2:$I$600,MATCH($H120&amp;"|"&amp;$I120&amp;"|"&amp;$J120&amp;"|"&amp;13,Assessments!$A$2:$A$600,0)),"")</f>
        <v/>
      </c>
      <c r="CV120" s="28" t="str">
        <f aca="false">IFERROR(INDEX(Assessments!$I$2:$I$600,MATCH($H120&amp;"|"&amp;$I120&amp;"|"&amp;$J120&amp;"|"&amp;14,Assessments!$A$2:$A$600,0)),"")</f>
        <v/>
      </c>
      <c r="CW120" s="28" t="n">
        <f aca="false">IFERROR(INDEX(Assessments!$J$2:$J$600,MATCH($H120&amp;"|"&amp;$I120&amp;"|"&amp;$J120&amp;"|"&amp;1,Assessments!$A$2:$A$600,0)),0)</f>
        <v>1</v>
      </c>
      <c r="CX120" s="28" t="n">
        <f aca="false">IFERROR(INDEX(Assessments!$J$2:$J$600,MATCH($H120&amp;"|"&amp;$I120&amp;"|"&amp;$J120&amp;"|"&amp;2,Assessments!$A$2:$A$600,0)),0)</f>
        <v>1</v>
      </c>
      <c r="CY120" s="28" t="n">
        <f aca="false">IFERROR(INDEX(Assessments!$J$2:$J$600,MATCH($H120&amp;"|"&amp;$I120&amp;"|"&amp;$J120&amp;"|"&amp;3,Assessments!$A$2:$A$600,0)),0)</f>
        <v>1</v>
      </c>
      <c r="CZ120" s="28" t="n">
        <f aca="false">IFERROR(INDEX(Assessments!$J$2:$J$600,MATCH($H120&amp;"|"&amp;$I120&amp;"|"&amp;$J120&amp;"|"&amp;4,Assessments!$A$2:$A$600,0)),0)</f>
        <v>1</v>
      </c>
      <c r="DA120" s="28" t="n">
        <f aca="false">IFERROR(INDEX(Assessments!$J$2:$J$600,MATCH($H120&amp;"|"&amp;$I120&amp;"|"&amp;$J120&amp;"|"&amp;5,Assessments!$A$2:$A$600,0)),0)</f>
        <v>2</v>
      </c>
      <c r="DB120" s="28" t="n">
        <f aca="false">IFERROR(INDEX(Assessments!$J$2:$J$600,MATCH($H120&amp;"|"&amp;$I120&amp;"|"&amp;$J120&amp;"|"&amp;6,Assessments!$A$2:$A$600,0)),0)</f>
        <v>1</v>
      </c>
      <c r="DC120" s="28" t="n">
        <f aca="false">IFERROR(INDEX(Assessments!$J$2:$J$600,MATCH($H120&amp;"|"&amp;$I120&amp;"|"&amp;$J120&amp;"|"&amp;7,Assessments!$A$2:$A$600,0)),0)</f>
        <v>2</v>
      </c>
      <c r="DD120" s="28" t="n">
        <f aca="false">IFERROR(INDEX(Assessments!$J$2:$J$600,MATCH($H120&amp;"|"&amp;$I120&amp;"|"&amp;$J120&amp;"|"&amp;8,Assessments!$A$2:$A$600,0)),0)</f>
        <v>0</v>
      </c>
      <c r="DE120" s="28" t="n">
        <f aca="false">IFERROR(INDEX(Assessments!$J$2:$J$600,MATCH($H120&amp;"|"&amp;$I120&amp;"|"&amp;$J120&amp;"|"&amp;9,Assessments!$A$2:$A$600,0)),0)</f>
        <v>0</v>
      </c>
      <c r="DF120" s="28" t="n">
        <f aca="false">IFERROR(INDEX(Assessments!$J$2:$J$600,MATCH($H120&amp;"|"&amp;$I120&amp;"|"&amp;$J120&amp;"|"&amp;10,Assessments!$A$2:$A$600,0)),0)</f>
        <v>0</v>
      </c>
      <c r="DG120" s="28" t="n">
        <f aca="false">IFERROR(INDEX(Assessments!$J$2:$J$600,MATCH($H120&amp;"|"&amp;$I120&amp;"|"&amp;$J120&amp;"|"&amp;11,Assessments!$A$2:$A$600,0)),0)</f>
        <v>0</v>
      </c>
      <c r="DH120" s="28" t="n">
        <f aca="false">IFERROR(INDEX(Assessments!$J$2:$J$600,MATCH($H120&amp;"|"&amp;$I120&amp;"|"&amp;$J120&amp;"|"&amp;12,Assessments!$A$2:$A$600,0)),0)</f>
        <v>0</v>
      </c>
      <c r="DI120" s="28" t="n">
        <f aca="false">IFERROR(INDEX(Assessments!$J$2:$J$600,MATCH($H120&amp;"|"&amp;$I120&amp;"|"&amp;$J120&amp;"|"&amp;13,Assessments!$A$2:$A$600,0)),0)</f>
        <v>0</v>
      </c>
      <c r="DJ120" s="28" t="n">
        <f aca="false">IFERROR(INDEX(Assessments!$J$2:$J$600,MATCH($H120&amp;"|"&amp;$I120&amp;"|"&amp;$J120&amp;"|"&amp;14,Assessments!$A$2:$A$600,0)),0)</f>
        <v>0</v>
      </c>
      <c r="DK120" s="28" t="n">
        <f aca="false">S120</f>
        <v>4</v>
      </c>
      <c r="DL120" s="28" t="n">
        <f aca="false">W120</f>
        <v>7</v>
      </c>
      <c r="DM120" s="28" t="n">
        <f aca="false">AA120</f>
        <v>7</v>
      </c>
      <c r="DN120" s="28" t="n">
        <f aca="false">AE120</f>
        <v>6</v>
      </c>
      <c r="DO120" s="28" t="n">
        <f aca="false">AI120</f>
        <v>6</v>
      </c>
      <c r="DP120" s="28" t="str">
        <f aca="false">AM120</f>
        <v/>
      </c>
      <c r="DQ120" s="28" t="str">
        <f aca="false">AQ120</f>
        <v/>
      </c>
      <c r="DR120" s="28" t="str">
        <f aca="false">AU120</f>
        <v/>
      </c>
      <c r="DS120" s="28" t="str">
        <f aca="false">AY120</f>
        <v/>
      </c>
      <c r="DT120" s="28" t="str">
        <f aca="false">BC120</f>
        <v/>
      </c>
      <c r="DU120" s="28" t="str">
        <f aca="false">BG120</f>
        <v/>
      </c>
      <c r="DV120" s="28" t="str">
        <f aca="false">BK120</f>
        <v/>
      </c>
      <c r="DW120" s="28" t="str">
        <f aca="false">BO120</f>
        <v/>
      </c>
      <c r="DX120" s="28" t="str">
        <f aca="false">BS120</f>
        <v/>
      </c>
      <c r="DY120" s="28" t="n">
        <f aca="false">IF(ISNUMBER(S120),1,"")</f>
        <v>1</v>
      </c>
      <c r="DZ120" s="28" t="n">
        <f aca="false">IF(ISNUMBER(W120),2,"")</f>
        <v>2</v>
      </c>
      <c r="EA120" s="28" t="n">
        <f aca="false">IF(ISNUMBER(AA120),3,"")</f>
        <v>3</v>
      </c>
      <c r="EB120" s="28" t="n">
        <f aca="false">IF(ISNUMBER(AE120),4,"")</f>
        <v>4</v>
      </c>
      <c r="EC120" s="28" t="n">
        <f aca="false">IF(ISNUMBER(AI120),5,"")</f>
        <v>5</v>
      </c>
      <c r="ED120" s="28" t="str">
        <f aca="false">IF(ISNUMBER(AM120),6,"")</f>
        <v/>
      </c>
      <c r="EE120" s="28" t="str">
        <f aca="false">IF(ISNUMBER(AQ120),7,"")</f>
        <v/>
      </c>
      <c r="EF120" s="28" t="str">
        <f aca="false">IF(ISNUMBER(AU120),8,"")</f>
        <v/>
      </c>
      <c r="EG120" s="28" t="str">
        <f aca="false">IF(ISNUMBER(AY120),9,"")</f>
        <v/>
      </c>
      <c r="EH120" s="28" t="str">
        <f aca="false">IF(ISNUMBER(BC120),10,"")</f>
        <v/>
      </c>
      <c r="EI120" s="28" t="str">
        <f aca="false">IF(ISNUMBER(BG120),11,"")</f>
        <v/>
      </c>
      <c r="EJ120" s="28" t="str">
        <f aca="false">IF(ISNUMBER(BK120),12,"")</f>
        <v/>
      </c>
      <c r="EK120" s="28" t="str">
        <f aca="false">IF(ISNUMBER(BO120),13,"")</f>
        <v/>
      </c>
      <c r="EL120" s="28" t="str">
        <f aca="false">IF(ISNUMBER(BS120),14,"")</f>
        <v/>
      </c>
      <c r="EM120" s="28" t="n">
        <f aca="false">IF(ISNUMBER(R120),R120*CW120,0)</f>
        <v>60</v>
      </c>
      <c r="EN120" s="28" t="n">
        <f aca="false">IF(ISNUMBER(V120),V120*CX120,0)</f>
        <v>90</v>
      </c>
      <c r="EO120" s="28" t="n">
        <f aca="false">IF(ISNUMBER(Z120),Z120*CY120,0)</f>
        <v>92</v>
      </c>
      <c r="EP120" s="28" t="n">
        <f aca="false">IF(ISNUMBER(AD120),AD120*CZ120,0)</f>
        <v>78.2608695652174</v>
      </c>
      <c r="EQ120" s="28" t="n">
        <f aca="false">IF(ISNUMBER(AH120),AH120*DA120,0)</f>
        <v>152</v>
      </c>
      <c r="ER120" s="28" t="n">
        <f aca="false">IF(ISNUMBER(AL120),AL120*DB120,0)</f>
        <v>0</v>
      </c>
      <c r="ES120" s="28" t="n">
        <f aca="false">IF(ISNUMBER(AP120),AP120*DC120,0)</f>
        <v>0</v>
      </c>
      <c r="ET120" s="28" t="n">
        <f aca="false">IF(ISNUMBER(AT120),AT120*DD120,0)</f>
        <v>0</v>
      </c>
      <c r="EU120" s="28" t="n">
        <f aca="false">IF(ISNUMBER(AX120),AX120*DE120,0)</f>
        <v>0</v>
      </c>
      <c r="EV120" s="28" t="n">
        <f aca="false">IF(ISNUMBER(BB120),BB120*DF120,0)</f>
        <v>0</v>
      </c>
      <c r="EW120" s="28" t="n">
        <f aca="false">IF(ISNUMBER(BF120),BF120*DG120,0)</f>
        <v>0</v>
      </c>
      <c r="EX120" s="28" t="n">
        <f aca="false">IF(ISNUMBER(BJ120),BJ120*DH120,0)</f>
        <v>0</v>
      </c>
      <c r="EY120" s="28" t="n">
        <f aca="false">IF(ISNUMBER(BN120),BN120*DI120,0)</f>
        <v>0</v>
      </c>
      <c r="EZ120" s="28" t="n">
        <f aca="false">IF(ISNUMBER(BR120),BR120*DJ120,0)</f>
        <v>0</v>
      </c>
      <c r="FA120" s="28" t="n">
        <f aca="false">IF(ISNUMBER(R120),CW120,0)</f>
        <v>1</v>
      </c>
      <c r="FB120" s="28" t="n">
        <f aca="false">IF(ISNUMBER(V120),CX120,0)</f>
        <v>1</v>
      </c>
      <c r="FC120" s="28" t="n">
        <f aca="false">IF(ISNUMBER(Z120),CY120,0)</f>
        <v>1</v>
      </c>
      <c r="FD120" s="28" t="n">
        <f aca="false">IF(ISNUMBER(AD120),CZ120,0)</f>
        <v>1</v>
      </c>
      <c r="FE120" s="28" t="n">
        <f aca="false">IF(ISNUMBER(AH120),DA120,0)</f>
        <v>2</v>
      </c>
      <c r="FF120" s="28" t="n">
        <f aca="false">IF(ISNUMBER(AL120),DB120,0)</f>
        <v>0</v>
      </c>
      <c r="FG120" s="28" t="n">
        <f aca="false">IF(ISNUMBER(AP120),DC120,0)</f>
        <v>0</v>
      </c>
      <c r="FH120" s="28" t="n">
        <f aca="false">IF(ISNUMBER(AT120),DD120,0)</f>
        <v>0</v>
      </c>
      <c r="FI120" s="28" t="n">
        <f aca="false">IF(ISNUMBER(AX120),DE120,0)</f>
        <v>0</v>
      </c>
      <c r="FJ120" s="28" t="n">
        <f aca="false">IF(ISNUMBER(BB120),DF120,0)</f>
        <v>0</v>
      </c>
      <c r="FK120" s="28" t="n">
        <f aca="false">IF(ISNUMBER(BF120),DG120,0)</f>
        <v>0</v>
      </c>
      <c r="FL120" s="28" t="n">
        <f aca="false">IF(ISNUMBER(BJ120),DH120,0)</f>
        <v>0</v>
      </c>
      <c r="FM120" s="28" t="n">
        <f aca="false">IF(ISNUMBER(BN120),DI120,0)</f>
        <v>0</v>
      </c>
      <c r="FN120" s="28" t="n">
        <f aca="false">IF(ISNUMBER(BR120),DJ120,0)</f>
        <v>0</v>
      </c>
      <c r="FO120" s="28" t="str">
        <f aca="false">IFERROR(INDEX(Lists!$G$2:$G$20,MATCH($I120&amp;"|"&amp;$J120,Lists!$F$2:$F$20,0)),"")</f>
        <v>Econ Exam</v>
      </c>
    </row>
    <row r="121" customFormat="false" ht="19.5" hidden="false" customHeight="true" outlineLevel="0" collapsed="false">
      <c r="A121" s="29" t="s">
        <v>358</v>
      </c>
      <c r="B121" s="29" t="s">
        <v>359</v>
      </c>
      <c r="C121" s="30" t="s">
        <v>152</v>
      </c>
      <c r="D121" s="30" t="s">
        <v>291</v>
      </c>
      <c r="E121" s="31" t="n">
        <v>5.9</v>
      </c>
      <c r="F121" s="30" t="n">
        <v>6</v>
      </c>
      <c r="G121" s="30"/>
      <c r="H121" s="32" t="s">
        <v>23</v>
      </c>
      <c r="I121" s="33" t="s">
        <v>229</v>
      </c>
      <c r="J121" s="32" t="s">
        <v>223</v>
      </c>
      <c r="K121" s="34" t="n">
        <f aca="false">IF(OR(M121="",$E121=""),"",M121-$E121)</f>
        <v>1.1</v>
      </c>
      <c r="L121" s="35" t="n">
        <f aca="false">IF(SUM(FA121:FN121)=0,"",SUM(EM121:EZ121)/SUM(FA121:FN121))</f>
        <v>81.3212560386474</v>
      </c>
      <c r="M121" s="36" t="n">
        <f aca="false">IF(OR(L121="",FO121=""),"",IFERROR(MATCH(L121,INDEX(Boundaries!$B$2:$I$30,MATCH(FO121,Boundaries!$A$2:$A$30,0),0),1)-1,""))</f>
        <v>7</v>
      </c>
      <c r="N121" s="37" t="n">
        <f aca="false">IF(COUNT($DY121:$EL121)&lt;2,"",INDEX($DK121:$DX121,MAX($DY121:$EL121))-INDEX($DK121:$DX121,MIN($DY121:$EL121)))</f>
        <v>2</v>
      </c>
      <c r="O121" s="37" t="n">
        <f aca="false">IF(COUNT($DY121:$EL121)&lt;2,"",INDEX($DK121:$DX121,MAX($DY121:$EL121))-INDEX($DK121:$DX121,LARGE($DY121:$EL121,2)))</f>
        <v>1</v>
      </c>
      <c r="P121" s="38" t="str">
        <f aca="false">IF(K121="","",IF(K121&gt;=0,"On/above target",IF(AND(N121&lt;&gt;"",N121&gt;=0.5),"Improving towards target",IF(AND(O121&lt;&gt;"",O121&lt;=-0.5),"Declining","Stable below target"))))</f>
        <v>On/above target</v>
      </c>
      <c r="Q121" s="39" t="n">
        <v>20</v>
      </c>
      <c r="R121" s="40" t="n">
        <f aca="false">IF(OR(Q121="",BU121=""),"",Q121/BU121*100)</f>
        <v>66.6666666666667</v>
      </c>
      <c r="S121" s="41" t="n">
        <f aca="false">IF(R121="","",IFERROR(MATCH(R121,INDEX(Boundaries!$B$2:$I$30,MATCH(CI121,Boundaries!$A$2:$A$30,0),0),1)-1,""))</f>
        <v>5</v>
      </c>
      <c r="T121" s="42" t="n">
        <f aca="false">IF(OR(S121="",$E121=""),"",S121-$E121)</f>
        <v>-0.9</v>
      </c>
      <c r="U121" s="39" t="n">
        <v>19</v>
      </c>
      <c r="V121" s="40" t="n">
        <f aca="false">IF(OR(U121="",BV121=""),"",U121/BV121*100)</f>
        <v>95</v>
      </c>
      <c r="W121" s="41" t="n">
        <f aca="false">IF(V121="","",IFERROR(MATCH(V121,INDEX(Boundaries!$B$2:$I$30,MATCH(CJ121,Boundaries!$A$2:$A$30,0),0),1)-1,""))</f>
        <v>7</v>
      </c>
      <c r="X121" s="42" t="n">
        <f aca="false">IF(OR(W121="",$E121=""),"",W121-$E121)</f>
        <v>1.1</v>
      </c>
      <c r="Y121" s="39" t="n">
        <v>18</v>
      </c>
      <c r="Z121" s="40" t="n">
        <f aca="false">IF(OR(Y121="",BW121=""),"",Y121/BW121*100)</f>
        <v>72</v>
      </c>
      <c r="AA121" s="41" t="n">
        <f aca="false">IF(Z121="","",IFERROR(MATCH(Z121,INDEX(Boundaries!$B$2:$I$30,MATCH(CK121,Boundaries!$A$2:$A$30,0),0),1)-1,""))</f>
        <v>5</v>
      </c>
      <c r="AB121" s="42" t="n">
        <f aca="false">IF(OR(AA121="",$E121=""),"",AA121-$E121)</f>
        <v>-0.9</v>
      </c>
      <c r="AC121" s="39" t="n">
        <v>18</v>
      </c>
      <c r="AD121" s="40" t="n">
        <f aca="false">IF(OR(AC121="",BX121=""),"",AC121/BX121*100)</f>
        <v>78.2608695652174</v>
      </c>
      <c r="AE121" s="41" t="n">
        <f aca="false">IF(AD121="","",IFERROR(MATCH(AD121,INDEX(Boundaries!$B$2:$I$30,MATCH(CL121,Boundaries!$A$2:$A$30,0),0),1)-1,""))</f>
        <v>6</v>
      </c>
      <c r="AF121" s="42" t="n">
        <f aca="false">IF(OR(AE121="",$E121=""),"",AE121-$E121)</f>
        <v>0.0999999999999996</v>
      </c>
      <c r="AG121" s="39" t="n">
        <v>22</v>
      </c>
      <c r="AH121" s="40" t="n">
        <f aca="false">IF(OR(AG121="",BY121=""),"",AG121/BY121*100)</f>
        <v>88</v>
      </c>
      <c r="AI121" s="41" t="n">
        <f aca="false">IF(AH121="","",IFERROR(MATCH(AH121,INDEX(Boundaries!$B$2:$I$30,MATCH(CM121,Boundaries!$A$2:$A$30,0),0),1)-1,""))</f>
        <v>7</v>
      </c>
      <c r="AJ121" s="42" t="n">
        <f aca="false">IF(OR(AI121="",$E121=""),"",AI121-$E121)</f>
        <v>1.1</v>
      </c>
      <c r="AK121" s="39"/>
      <c r="AL121" s="40" t="str">
        <f aca="false">IF(OR(AK121="",BZ121=""),"",AK121/BZ121*100)</f>
        <v/>
      </c>
      <c r="AM121" s="41" t="str">
        <f aca="false">IF(AL121="","",IFERROR(MATCH(AL121,INDEX(Boundaries!$B$2:$I$30,MATCH(CN121,Boundaries!$A$2:$A$30,0),0),1)-1,""))</f>
        <v/>
      </c>
      <c r="AN121" s="42" t="str">
        <f aca="false">IF(OR(AM121="",$E121=""),"",AM121-$E121)</f>
        <v/>
      </c>
      <c r="AO121" s="39"/>
      <c r="AP121" s="40" t="str">
        <f aca="false">IF(OR(AO121="",CA121=""),"",AO121/CA121*100)</f>
        <v/>
      </c>
      <c r="AQ121" s="41" t="str">
        <f aca="false">IF(AP121="","",IFERROR(MATCH(AP121,INDEX(Boundaries!$B$2:$I$30,MATCH(CO121,Boundaries!$A$2:$A$30,0),0),1)-1,""))</f>
        <v/>
      </c>
      <c r="AR121" s="42" t="str">
        <f aca="false">IF(OR(AQ121="",$E121=""),"",AQ121-$E121)</f>
        <v/>
      </c>
      <c r="AS121" s="39"/>
      <c r="AT121" s="40" t="str">
        <f aca="false">IF(OR(AS121="",CB121=""),"",AS121/CB121*100)</f>
        <v/>
      </c>
      <c r="AU121" s="41" t="str">
        <f aca="false">IF(AT121="","",IFERROR(MATCH(AT121,INDEX(Boundaries!$B$2:$I$30,MATCH(CP121,Boundaries!$A$2:$A$30,0),0),1)-1,""))</f>
        <v/>
      </c>
      <c r="AV121" s="42" t="str">
        <f aca="false">IF(OR(AU121="",$E121=""),"",AU121-$E121)</f>
        <v/>
      </c>
      <c r="AW121" s="39"/>
      <c r="AX121" s="40" t="str">
        <f aca="false">IF(OR(AW121="",CC121=""),"",AW121/CC121*100)</f>
        <v/>
      </c>
      <c r="AY121" s="41" t="str">
        <f aca="false">IF(AX121="","",IFERROR(MATCH(AX121,INDEX(Boundaries!$B$2:$I$30,MATCH(CQ121,Boundaries!$A$2:$A$30,0),0),1)-1,""))</f>
        <v/>
      </c>
      <c r="AZ121" s="42" t="str">
        <f aca="false">IF(OR(AY121="",$E121=""),"",AY121-$E121)</f>
        <v/>
      </c>
      <c r="BA121" s="39"/>
      <c r="BB121" s="40" t="str">
        <f aca="false">IF(OR(BA121="",CD121=""),"",BA121/CD121*100)</f>
        <v/>
      </c>
      <c r="BC121" s="41" t="str">
        <f aca="false">IF(BB121="","",IFERROR(MATCH(BB121,INDEX(Boundaries!$B$2:$I$30,MATCH(CR121,Boundaries!$A$2:$A$30,0),0),1)-1,""))</f>
        <v/>
      </c>
      <c r="BD121" s="42" t="str">
        <f aca="false">IF(OR(BC121="",$E121=""),"",BC121-$E121)</f>
        <v/>
      </c>
      <c r="BE121" s="39"/>
      <c r="BF121" s="40" t="str">
        <f aca="false">IF(OR(BE121="",CE121=""),"",BE121/CE121*100)</f>
        <v/>
      </c>
      <c r="BG121" s="41" t="str">
        <f aca="false">IF(BF121="","",IFERROR(MATCH(BF121,INDEX(Boundaries!$B$2:$I$30,MATCH(CS121,Boundaries!$A$2:$A$30,0),0),1)-1,""))</f>
        <v/>
      </c>
      <c r="BH121" s="42" t="str">
        <f aca="false">IF(OR(BG121="",$E121=""),"",BG121-$E121)</f>
        <v/>
      </c>
      <c r="BI121" s="39"/>
      <c r="BJ121" s="40" t="str">
        <f aca="false">IF(OR(BI121="",CF121=""),"",BI121/CF121*100)</f>
        <v/>
      </c>
      <c r="BK121" s="41" t="str">
        <f aca="false">IF(BJ121="","",IFERROR(MATCH(BJ121,INDEX(Boundaries!$B$2:$I$30,MATCH(CT121,Boundaries!$A$2:$A$30,0),0),1)-1,""))</f>
        <v/>
      </c>
      <c r="BL121" s="42" t="str">
        <f aca="false">IF(OR(BK121="",$E121=""),"",BK121-$E121)</f>
        <v/>
      </c>
      <c r="BM121" s="39"/>
      <c r="BN121" s="40" t="str">
        <f aca="false">IF(OR(BM121="",CG121=""),"",BM121/CG121*100)</f>
        <v/>
      </c>
      <c r="BO121" s="41" t="str">
        <f aca="false">IF(BN121="","",IFERROR(MATCH(BN121,INDEX(Boundaries!$B$2:$I$30,MATCH(CU121,Boundaries!$A$2:$A$30,0),0),1)-1,""))</f>
        <v/>
      </c>
      <c r="BP121" s="42" t="str">
        <f aca="false">IF(OR(BO121="",$E121=""),"",BO121-$E121)</f>
        <v/>
      </c>
      <c r="BQ121" s="39"/>
      <c r="BR121" s="40" t="str">
        <f aca="false">IF(OR(BQ121="",CH121=""),"",BQ121/CH121*100)</f>
        <v/>
      </c>
      <c r="BS121" s="41" t="str">
        <f aca="false">IF(BR121="","",IFERROR(MATCH(BR121,INDEX(Boundaries!$B$2:$I$30,MATCH(CV121,Boundaries!$A$2:$A$30,0),0),1)-1,""))</f>
        <v/>
      </c>
      <c r="BT121" s="42" t="str">
        <f aca="false">IF(OR(BS121="",$E121=""),"",BS121-$E121)</f>
        <v/>
      </c>
      <c r="BU121" s="28" t="n">
        <f aca="false">IFERROR(INDEX(Assessments!$H$2:$H$600,MATCH($H121&amp;"|"&amp;$I121&amp;"|"&amp;$J121&amp;"|"&amp;1,Assessments!$A$2:$A$600,0)),"")</f>
        <v>30</v>
      </c>
      <c r="BV121" s="28" t="n">
        <f aca="false">IFERROR(INDEX(Assessments!$H$2:$H$600,MATCH($H121&amp;"|"&amp;$I121&amp;"|"&amp;$J121&amp;"|"&amp;2,Assessments!$A$2:$A$600,0)),"")</f>
        <v>20</v>
      </c>
      <c r="BW121" s="28" t="n">
        <f aca="false">IFERROR(INDEX(Assessments!$H$2:$H$600,MATCH($H121&amp;"|"&amp;$I121&amp;"|"&amp;$J121&amp;"|"&amp;3,Assessments!$A$2:$A$600,0)),"")</f>
        <v>25</v>
      </c>
      <c r="BX121" s="28" t="n">
        <f aca="false">IFERROR(INDEX(Assessments!$H$2:$H$600,MATCH($H121&amp;"|"&amp;$I121&amp;"|"&amp;$J121&amp;"|"&amp;4,Assessments!$A$2:$A$600,0)),"")</f>
        <v>23</v>
      </c>
      <c r="BY121" s="28" t="n">
        <f aca="false">IFERROR(INDEX(Assessments!$H$2:$H$600,MATCH($H121&amp;"|"&amp;$I121&amp;"|"&amp;$J121&amp;"|"&amp;5,Assessments!$A$2:$A$600,0)),"")</f>
        <v>25</v>
      </c>
      <c r="BZ121" s="28" t="n">
        <f aca="false">IFERROR(INDEX(Assessments!$H$2:$H$600,MATCH($H121&amp;"|"&amp;$I121&amp;"|"&amp;$J121&amp;"|"&amp;6,Assessments!$A$2:$A$600,0)),"")</f>
        <v>15</v>
      </c>
      <c r="CA121" s="28" t="n">
        <f aca="false">IFERROR(INDEX(Assessments!$H$2:$H$600,MATCH($H121&amp;"|"&amp;$I121&amp;"|"&amp;$J121&amp;"|"&amp;7,Assessments!$A$2:$A$600,0)),"")</f>
        <v>52</v>
      </c>
      <c r="CB121" s="28" t="str">
        <f aca="false">IFERROR(INDEX(Assessments!$H$2:$H$600,MATCH($H121&amp;"|"&amp;$I121&amp;"|"&amp;$J121&amp;"|"&amp;8,Assessments!$A$2:$A$600,0)),"")</f>
        <v/>
      </c>
      <c r="CC121" s="28" t="str">
        <f aca="false">IFERROR(INDEX(Assessments!$H$2:$H$600,MATCH($H121&amp;"|"&amp;$I121&amp;"|"&amp;$J121&amp;"|"&amp;9,Assessments!$A$2:$A$600,0)),"")</f>
        <v/>
      </c>
      <c r="CD121" s="28" t="str">
        <f aca="false">IFERROR(INDEX(Assessments!$H$2:$H$600,MATCH($H121&amp;"|"&amp;$I121&amp;"|"&amp;$J121&amp;"|"&amp;10,Assessments!$A$2:$A$600,0)),"")</f>
        <v/>
      </c>
      <c r="CE121" s="28" t="str">
        <f aca="false">IFERROR(INDEX(Assessments!$H$2:$H$600,MATCH($H121&amp;"|"&amp;$I121&amp;"|"&amp;$J121&amp;"|"&amp;11,Assessments!$A$2:$A$600,0)),"")</f>
        <v/>
      </c>
      <c r="CF121" s="28" t="str">
        <f aca="false">IFERROR(INDEX(Assessments!$H$2:$H$600,MATCH($H121&amp;"|"&amp;$I121&amp;"|"&amp;$J121&amp;"|"&amp;12,Assessments!$A$2:$A$600,0)),"")</f>
        <v/>
      </c>
      <c r="CG121" s="28" t="str">
        <f aca="false">IFERROR(INDEX(Assessments!$H$2:$H$600,MATCH($H121&amp;"|"&amp;$I121&amp;"|"&amp;$J121&amp;"|"&amp;13,Assessments!$A$2:$A$600,0)),"")</f>
        <v/>
      </c>
      <c r="CH121" s="28" t="str">
        <f aca="false">IFERROR(INDEX(Assessments!$H$2:$H$600,MATCH($H121&amp;"|"&amp;$I121&amp;"|"&amp;$J121&amp;"|"&amp;14,Assessments!$A$2:$A$600,0)),"")</f>
        <v/>
      </c>
      <c r="CI121" s="28" t="str">
        <f aca="false">IFERROR(INDEX(Assessments!$I$2:$I$600,MATCH($H121&amp;"|"&amp;$I121&amp;"|"&amp;$J121&amp;"|"&amp;1,Assessments!$A$2:$A$600,0)),"")</f>
        <v>Econ Test</v>
      </c>
      <c r="CJ121" s="28" t="str">
        <f aca="false">IFERROR(INDEX(Assessments!$I$2:$I$600,MATCH($H121&amp;"|"&amp;$I121&amp;"|"&amp;$J121&amp;"|"&amp;2,Assessments!$A$2:$A$600,0)),"")</f>
        <v>Econ Test</v>
      </c>
      <c r="CK121" s="28" t="str">
        <f aca="false">IFERROR(INDEX(Assessments!$I$2:$I$600,MATCH($H121&amp;"|"&amp;$I121&amp;"|"&amp;$J121&amp;"|"&amp;3,Assessments!$A$2:$A$600,0)),"")</f>
        <v>Econ Test</v>
      </c>
      <c r="CL121" s="28" t="str">
        <f aca="false">IFERROR(INDEX(Assessments!$I$2:$I$600,MATCH($H121&amp;"|"&amp;$I121&amp;"|"&amp;$J121&amp;"|"&amp;4,Assessments!$A$2:$A$600,0)),"")</f>
        <v>Econ Test</v>
      </c>
      <c r="CM121" s="28" t="str">
        <f aca="false">IFERROR(INDEX(Assessments!$I$2:$I$600,MATCH($H121&amp;"|"&amp;$I121&amp;"|"&amp;$J121&amp;"|"&amp;5,Assessments!$A$2:$A$600,0)),"")</f>
        <v>Econ Exam</v>
      </c>
      <c r="CN121" s="28" t="str">
        <f aca="false">IFERROR(INDEX(Assessments!$I$2:$I$600,MATCH($H121&amp;"|"&amp;$I121&amp;"|"&amp;$J121&amp;"|"&amp;6,Assessments!$A$2:$A$600,0)),"")</f>
        <v>Econ Test</v>
      </c>
      <c r="CO121" s="28" t="str">
        <f aca="false">IFERROR(INDEX(Assessments!$I$2:$I$600,MATCH($H121&amp;"|"&amp;$I121&amp;"|"&amp;$J121&amp;"|"&amp;7,Assessments!$A$2:$A$600,0)),"")</f>
        <v>Econ Exam</v>
      </c>
      <c r="CP121" s="28" t="str">
        <f aca="false">IFERROR(INDEX(Assessments!$I$2:$I$600,MATCH($H121&amp;"|"&amp;$I121&amp;"|"&amp;$J121&amp;"|"&amp;8,Assessments!$A$2:$A$600,0)),"")</f>
        <v/>
      </c>
      <c r="CQ121" s="28" t="str">
        <f aca="false">IFERROR(INDEX(Assessments!$I$2:$I$600,MATCH($H121&amp;"|"&amp;$I121&amp;"|"&amp;$J121&amp;"|"&amp;9,Assessments!$A$2:$A$600,0)),"")</f>
        <v/>
      </c>
      <c r="CR121" s="28" t="str">
        <f aca="false">IFERROR(INDEX(Assessments!$I$2:$I$600,MATCH($H121&amp;"|"&amp;$I121&amp;"|"&amp;$J121&amp;"|"&amp;10,Assessments!$A$2:$A$600,0)),"")</f>
        <v/>
      </c>
      <c r="CS121" s="28" t="str">
        <f aca="false">IFERROR(INDEX(Assessments!$I$2:$I$600,MATCH($H121&amp;"|"&amp;$I121&amp;"|"&amp;$J121&amp;"|"&amp;11,Assessments!$A$2:$A$600,0)),"")</f>
        <v/>
      </c>
      <c r="CT121" s="28" t="str">
        <f aca="false">IFERROR(INDEX(Assessments!$I$2:$I$600,MATCH($H121&amp;"|"&amp;$I121&amp;"|"&amp;$J121&amp;"|"&amp;12,Assessments!$A$2:$A$600,0)),"")</f>
        <v/>
      </c>
      <c r="CU121" s="28" t="str">
        <f aca="false">IFERROR(INDEX(Assessments!$I$2:$I$600,MATCH($H121&amp;"|"&amp;$I121&amp;"|"&amp;$J121&amp;"|"&amp;13,Assessments!$A$2:$A$600,0)),"")</f>
        <v/>
      </c>
      <c r="CV121" s="28" t="str">
        <f aca="false">IFERROR(INDEX(Assessments!$I$2:$I$600,MATCH($H121&amp;"|"&amp;$I121&amp;"|"&amp;$J121&amp;"|"&amp;14,Assessments!$A$2:$A$600,0)),"")</f>
        <v/>
      </c>
      <c r="CW121" s="28" t="n">
        <f aca="false">IFERROR(INDEX(Assessments!$J$2:$J$600,MATCH($H121&amp;"|"&amp;$I121&amp;"|"&amp;$J121&amp;"|"&amp;1,Assessments!$A$2:$A$600,0)),0)</f>
        <v>1</v>
      </c>
      <c r="CX121" s="28" t="n">
        <f aca="false">IFERROR(INDEX(Assessments!$J$2:$J$600,MATCH($H121&amp;"|"&amp;$I121&amp;"|"&amp;$J121&amp;"|"&amp;2,Assessments!$A$2:$A$600,0)),0)</f>
        <v>1</v>
      </c>
      <c r="CY121" s="28" t="n">
        <f aca="false">IFERROR(INDEX(Assessments!$J$2:$J$600,MATCH($H121&amp;"|"&amp;$I121&amp;"|"&amp;$J121&amp;"|"&amp;3,Assessments!$A$2:$A$600,0)),0)</f>
        <v>1</v>
      </c>
      <c r="CZ121" s="28" t="n">
        <f aca="false">IFERROR(INDEX(Assessments!$J$2:$J$600,MATCH($H121&amp;"|"&amp;$I121&amp;"|"&amp;$J121&amp;"|"&amp;4,Assessments!$A$2:$A$600,0)),0)</f>
        <v>1</v>
      </c>
      <c r="DA121" s="28" t="n">
        <f aca="false">IFERROR(INDEX(Assessments!$J$2:$J$600,MATCH($H121&amp;"|"&amp;$I121&amp;"|"&amp;$J121&amp;"|"&amp;5,Assessments!$A$2:$A$600,0)),0)</f>
        <v>2</v>
      </c>
      <c r="DB121" s="28" t="n">
        <f aca="false">IFERROR(INDEX(Assessments!$J$2:$J$600,MATCH($H121&amp;"|"&amp;$I121&amp;"|"&amp;$J121&amp;"|"&amp;6,Assessments!$A$2:$A$600,0)),0)</f>
        <v>1</v>
      </c>
      <c r="DC121" s="28" t="n">
        <f aca="false">IFERROR(INDEX(Assessments!$J$2:$J$600,MATCH($H121&amp;"|"&amp;$I121&amp;"|"&amp;$J121&amp;"|"&amp;7,Assessments!$A$2:$A$600,0)),0)</f>
        <v>2</v>
      </c>
      <c r="DD121" s="28" t="n">
        <f aca="false">IFERROR(INDEX(Assessments!$J$2:$J$600,MATCH($H121&amp;"|"&amp;$I121&amp;"|"&amp;$J121&amp;"|"&amp;8,Assessments!$A$2:$A$600,0)),0)</f>
        <v>0</v>
      </c>
      <c r="DE121" s="28" t="n">
        <f aca="false">IFERROR(INDEX(Assessments!$J$2:$J$600,MATCH($H121&amp;"|"&amp;$I121&amp;"|"&amp;$J121&amp;"|"&amp;9,Assessments!$A$2:$A$600,0)),0)</f>
        <v>0</v>
      </c>
      <c r="DF121" s="28" t="n">
        <f aca="false">IFERROR(INDEX(Assessments!$J$2:$J$600,MATCH($H121&amp;"|"&amp;$I121&amp;"|"&amp;$J121&amp;"|"&amp;10,Assessments!$A$2:$A$600,0)),0)</f>
        <v>0</v>
      </c>
      <c r="DG121" s="28" t="n">
        <f aca="false">IFERROR(INDEX(Assessments!$J$2:$J$600,MATCH($H121&amp;"|"&amp;$I121&amp;"|"&amp;$J121&amp;"|"&amp;11,Assessments!$A$2:$A$600,0)),0)</f>
        <v>0</v>
      </c>
      <c r="DH121" s="28" t="n">
        <f aca="false">IFERROR(INDEX(Assessments!$J$2:$J$600,MATCH($H121&amp;"|"&amp;$I121&amp;"|"&amp;$J121&amp;"|"&amp;12,Assessments!$A$2:$A$600,0)),0)</f>
        <v>0</v>
      </c>
      <c r="DI121" s="28" t="n">
        <f aca="false">IFERROR(INDEX(Assessments!$J$2:$J$600,MATCH($H121&amp;"|"&amp;$I121&amp;"|"&amp;$J121&amp;"|"&amp;13,Assessments!$A$2:$A$600,0)),0)</f>
        <v>0</v>
      </c>
      <c r="DJ121" s="28" t="n">
        <f aca="false">IFERROR(INDEX(Assessments!$J$2:$J$600,MATCH($H121&amp;"|"&amp;$I121&amp;"|"&amp;$J121&amp;"|"&amp;14,Assessments!$A$2:$A$600,0)),0)</f>
        <v>0</v>
      </c>
      <c r="DK121" s="28" t="n">
        <f aca="false">S121</f>
        <v>5</v>
      </c>
      <c r="DL121" s="28" t="n">
        <f aca="false">W121</f>
        <v>7</v>
      </c>
      <c r="DM121" s="28" t="n">
        <f aca="false">AA121</f>
        <v>5</v>
      </c>
      <c r="DN121" s="28" t="n">
        <f aca="false">AE121</f>
        <v>6</v>
      </c>
      <c r="DO121" s="28" t="n">
        <f aca="false">AI121</f>
        <v>7</v>
      </c>
      <c r="DP121" s="28" t="str">
        <f aca="false">AM121</f>
        <v/>
      </c>
      <c r="DQ121" s="28" t="str">
        <f aca="false">AQ121</f>
        <v/>
      </c>
      <c r="DR121" s="28" t="str">
        <f aca="false">AU121</f>
        <v/>
      </c>
      <c r="DS121" s="28" t="str">
        <f aca="false">AY121</f>
        <v/>
      </c>
      <c r="DT121" s="28" t="str">
        <f aca="false">BC121</f>
        <v/>
      </c>
      <c r="DU121" s="28" t="str">
        <f aca="false">BG121</f>
        <v/>
      </c>
      <c r="DV121" s="28" t="str">
        <f aca="false">BK121</f>
        <v/>
      </c>
      <c r="DW121" s="28" t="str">
        <f aca="false">BO121</f>
        <v/>
      </c>
      <c r="DX121" s="28" t="str">
        <f aca="false">BS121</f>
        <v/>
      </c>
      <c r="DY121" s="28" t="n">
        <f aca="false">IF(ISNUMBER(S121),1,"")</f>
        <v>1</v>
      </c>
      <c r="DZ121" s="28" t="n">
        <f aca="false">IF(ISNUMBER(W121),2,"")</f>
        <v>2</v>
      </c>
      <c r="EA121" s="28" t="n">
        <f aca="false">IF(ISNUMBER(AA121),3,"")</f>
        <v>3</v>
      </c>
      <c r="EB121" s="28" t="n">
        <f aca="false">IF(ISNUMBER(AE121),4,"")</f>
        <v>4</v>
      </c>
      <c r="EC121" s="28" t="n">
        <f aca="false">IF(ISNUMBER(AI121),5,"")</f>
        <v>5</v>
      </c>
      <c r="ED121" s="28" t="str">
        <f aca="false">IF(ISNUMBER(AM121),6,"")</f>
        <v/>
      </c>
      <c r="EE121" s="28" t="str">
        <f aca="false">IF(ISNUMBER(AQ121),7,"")</f>
        <v/>
      </c>
      <c r="EF121" s="28" t="str">
        <f aca="false">IF(ISNUMBER(AU121),8,"")</f>
        <v/>
      </c>
      <c r="EG121" s="28" t="str">
        <f aca="false">IF(ISNUMBER(AY121),9,"")</f>
        <v/>
      </c>
      <c r="EH121" s="28" t="str">
        <f aca="false">IF(ISNUMBER(BC121),10,"")</f>
        <v/>
      </c>
      <c r="EI121" s="28" t="str">
        <f aca="false">IF(ISNUMBER(BG121),11,"")</f>
        <v/>
      </c>
      <c r="EJ121" s="28" t="str">
        <f aca="false">IF(ISNUMBER(BK121),12,"")</f>
        <v/>
      </c>
      <c r="EK121" s="28" t="str">
        <f aca="false">IF(ISNUMBER(BO121),13,"")</f>
        <v/>
      </c>
      <c r="EL121" s="28" t="str">
        <f aca="false">IF(ISNUMBER(BS121),14,"")</f>
        <v/>
      </c>
      <c r="EM121" s="28" t="n">
        <f aca="false">IF(ISNUMBER(R121),R121*CW121,0)</f>
        <v>66.6666666666667</v>
      </c>
      <c r="EN121" s="28" t="n">
        <f aca="false">IF(ISNUMBER(V121),V121*CX121,0)</f>
        <v>95</v>
      </c>
      <c r="EO121" s="28" t="n">
        <f aca="false">IF(ISNUMBER(Z121),Z121*CY121,0)</f>
        <v>72</v>
      </c>
      <c r="EP121" s="28" t="n">
        <f aca="false">IF(ISNUMBER(AD121),AD121*CZ121,0)</f>
        <v>78.2608695652174</v>
      </c>
      <c r="EQ121" s="28" t="n">
        <f aca="false">IF(ISNUMBER(AH121),AH121*DA121,0)</f>
        <v>176</v>
      </c>
      <c r="ER121" s="28" t="n">
        <f aca="false">IF(ISNUMBER(AL121),AL121*DB121,0)</f>
        <v>0</v>
      </c>
      <c r="ES121" s="28" t="n">
        <f aca="false">IF(ISNUMBER(AP121),AP121*DC121,0)</f>
        <v>0</v>
      </c>
      <c r="ET121" s="28" t="n">
        <f aca="false">IF(ISNUMBER(AT121),AT121*DD121,0)</f>
        <v>0</v>
      </c>
      <c r="EU121" s="28" t="n">
        <f aca="false">IF(ISNUMBER(AX121),AX121*DE121,0)</f>
        <v>0</v>
      </c>
      <c r="EV121" s="28" t="n">
        <f aca="false">IF(ISNUMBER(BB121),BB121*DF121,0)</f>
        <v>0</v>
      </c>
      <c r="EW121" s="28" t="n">
        <f aca="false">IF(ISNUMBER(BF121),BF121*DG121,0)</f>
        <v>0</v>
      </c>
      <c r="EX121" s="28" t="n">
        <f aca="false">IF(ISNUMBER(BJ121),BJ121*DH121,0)</f>
        <v>0</v>
      </c>
      <c r="EY121" s="28" t="n">
        <f aca="false">IF(ISNUMBER(BN121),BN121*DI121,0)</f>
        <v>0</v>
      </c>
      <c r="EZ121" s="28" t="n">
        <f aca="false">IF(ISNUMBER(BR121),BR121*DJ121,0)</f>
        <v>0</v>
      </c>
      <c r="FA121" s="28" t="n">
        <f aca="false">IF(ISNUMBER(R121),CW121,0)</f>
        <v>1</v>
      </c>
      <c r="FB121" s="28" t="n">
        <f aca="false">IF(ISNUMBER(V121),CX121,0)</f>
        <v>1</v>
      </c>
      <c r="FC121" s="28" t="n">
        <f aca="false">IF(ISNUMBER(Z121),CY121,0)</f>
        <v>1</v>
      </c>
      <c r="FD121" s="28" t="n">
        <f aca="false">IF(ISNUMBER(AD121),CZ121,0)</f>
        <v>1</v>
      </c>
      <c r="FE121" s="28" t="n">
        <f aca="false">IF(ISNUMBER(AH121),DA121,0)</f>
        <v>2</v>
      </c>
      <c r="FF121" s="28" t="n">
        <f aca="false">IF(ISNUMBER(AL121),DB121,0)</f>
        <v>0</v>
      </c>
      <c r="FG121" s="28" t="n">
        <f aca="false">IF(ISNUMBER(AP121),DC121,0)</f>
        <v>0</v>
      </c>
      <c r="FH121" s="28" t="n">
        <f aca="false">IF(ISNUMBER(AT121),DD121,0)</f>
        <v>0</v>
      </c>
      <c r="FI121" s="28" t="n">
        <f aca="false">IF(ISNUMBER(AX121),DE121,0)</f>
        <v>0</v>
      </c>
      <c r="FJ121" s="28" t="n">
        <f aca="false">IF(ISNUMBER(BB121),DF121,0)</f>
        <v>0</v>
      </c>
      <c r="FK121" s="28" t="n">
        <f aca="false">IF(ISNUMBER(BF121),DG121,0)</f>
        <v>0</v>
      </c>
      <c r="FL121" s="28" t="n">
        <f aca="false">IF(ISNUMBER(BJ121),DH121,0)</f>
        <v>0</v>
      </c>
      <c r="FM121" s="28" t="n">
        <f aca="false">IF(ISNUMBER(BN121),DI121,0)</f>
        <v>0</v>
      </c>
      <c r="FN121" s="28" t="n">
        <f aca="false">IF(ISNUMBER(BR121),DJ121,0)</f>
        <v>0</v>
      </c>
      <c r="FO121" s="28" t="str">
        <f aca="false">IFERROR(INDEX(Lists!$G$2:$G$20,MATCH($I121&amp;"|"&amp;$J121,Lists!$F$2:$F$20,0)),"")</f>
        <v>Econ Exam</v>
      </c>
    </row>
    <row r="122" customFormat="false" ht="19.5" hidden="false" customHeight="true" outlineLevel="0" collapsed="false">
      <c r="A122" s="29" t="s">
        <v>360</v>
      </c>
      <c r="B122" s="29" t="s">
        <v>361</v>
      </c>
      <c r="C122" s="30" t="s">
        <v>152</v>
      </c>
      <c r="D122" s="30" t="s">
        <v>291</v>
      </c>
      <c r="E122" s="31" t="n">
        <v>6.2</v>
      </c>
      <c r="F122" s="30" t="n">
        <v>7</v>
      </c>
      <c r="G122" s="30"/>
      <c r="H122" s="32" t="s">
        <v>23</v>
      </c>
      <c r="I122" s="33" t="s">
        <v>229</v>
      </c>
      <c r="J122" s="32" t="s">
        <v>223</v>
      </c>
      <c r="K122" s="34" t="n">
        <f aca="false">IF(OR(M122="",$E122=""),"",M122-$E122)</f>
        <v>0.8</v>
      </c>
      <c r="L122" s="35" t="n">
        <f aca="false">IF(SUM(FA122:FN122)=0,"",SUM(EM122:EZ122)/SUM(FA122:FN122))</f>
        <v>80.5917874396135</v>
      </c>
      <c r="M122" s="36" t="n">
        <f aca="false">IF(OR(L122="",FO122=""),"",IFERROR(MATCH(L122,INDEX(Boundaries!$B$2:$I$30,MATCH(FO122,Boundaries!$A$2:$A$30,0),0),1)-1,""))</f>
        <v>7</v>
      </c>
      <c r="N122" s="37" t="n">
        <f aca="false">IF(COUNT($DY122:$EL122)&lt;2,"",INDEX($DK122:$DX122,MAX($DY122:$EL122))-INDEX($DK122:$DX122,MIN($DY122:$EL122)))</f>
        <v>0</v>
      </c>
      <c r="O122" s="37" t="n">
        <f aca="false">IF(COUNT($DY122:$EL122)&lt;2,"",INDEX($DK122:$DX122,MAX($DY122:$EL122))-INDEX($DK122:$DX122,LARGE($DY122:$EL122,2)))</f>
        <v>1</v>
      </c>
      <c r="P122" s="38" t="str">
        <f aca="false">IF(K122="","",IF(K122&gt;=0,"On/above target",IF(AND(N122&lt;&gt;"",N122&gt;=0.5),"Improving towards target",IF(AND(O122&lt;&gt;"",O122&lt;=-0.5),"Declining","Stable below target"))))</f>
        <v>On/above target</v>
      </c>
      <c r="Q122" s="39" t="n">
        <v>25</v>
      </c>
      <c r="R122" s="40" t="n">
        <f aca="false">IF(OR(Q122="",BU122=""),"",Q122/BU122*100)</f>
        <v>83.3333333333333</v>
      </c>
      <c r="S122" s="41" t="n">
        <f aca="false">IF(R122="","",IFERROR(MATCH(R122,INDEX(Boundaries!$B$2:$I$30,MATCH(CI122,Boundaries!$A$2:$A$30,0),0),1)-1,""))</f>
        <v>6</v>
      </c>
      <c r="T122" s="42" t="n">
        <f aca="false">IF(OR(S122="",$E122=""),"",S122-$E122)</f>
        <v>-0.2</v>
      </c>
      <c r="U122" s="39" t="n">
        <v>19</v>
      </c>
      <c r="V122" s="40" t="n">
        <f aca="false">IF(OR(U122="",BV122=""),"",U122/BV122*100)</f>
        <v>95</v>
      </c>
      <c r="W122" s="41" t="n">
        <f aca="false">IF(V122="","",IFERROR(MATCH(V122,INDEX(Boundaries!$B$2:$I$30,MATCH(CJ122,Boundaries!$A$2:$A$30,0),0),1)-1,""))</f>
        <v>7</v>
      </c>
      <c r="X122" s="42" t="n">
        <f aca="false">IF(OR(W122="",$E122=""),"",W122-$E122)</f>
        <v>0.8</v>
      </c>
      <c r="Y122" s="39" t="n">
        <v>22</v>
      </c>
      <c r="Z122" s="40" t="n">
        <f aca="false">IF(OR(Y122="",BW122=""),"",Y122/BW122*100)</f>
        <v>88</v>
      </c>
      <c r="AA122" s="41" t="n">
        <f aca="false">IF(Z122="","",IFERROR(MATCH(Z122,INDEX(Boundaries!$B$2:$I$30,MATCH(CK122,Boundaries!$A$2:$A$30,0),0),1)-1,""))</f>
        <v>7</v>
      </c>
      <c r="AB122" s="42" t="n">
        <f aca="false">IF(OR(AA122="",$E122=""),"",AA122-$E122)</f>
        <v>0.8</v>
      </c>
      <c r="AC122" s="39" t="n">
        <v>15</v>
      </c>
      <c r="AD122" s="40" t="n">
        <f aca="false">IF(OR(AC122="",BX122=""),"",AC122/BX122*100)</f>
        <v>65.2173913043478</v>
      </c>
      <c r="AE122" s="41" t="n">
        <f aca="false">IF(AD122="","",IFERROR(MATCH(AD122,INDEX(Boundaries!$B$2:$I$30,MATCH(CL122,Boundaries!$A$2:$A$30,0),0),1)-1,""))</f>
        <v>5</v>
      </c>
      <c r="AF122" s="42" t="n">
        <f aca="false">IF(OR(AE122="",$E122=""),"",AE122-$E122)</f>
        <v>-1.2</v>
      </c>
      <c r="AG122" s="39" t="n">
        <v>19</v>
      </c>
      <c r="AH122" s="40" t="n">
        <f aca="false">IF(OR(AG122="",BY122=""),"",AG122/BY122*100)</f>
        <v>76</v>
      </c>
      <c r="AI122" s="41" t="n">
        <f aca="false">IF(AH122="","",IFERROR(MATCH(AH122,INDEX(Boundaries!$B$2:$I$30,MATCH(CM122,Boundaries!$A$2:$A$30,0),0),1)-1,""))</f>
        <v>6</v>
      </c>
      <c r="AJ122" s="42" t="n">
        <f aca="false">IF(OR(AI122="",$E122=""),"",AI122-$E122)</f>
        <v>-0.2</v>
      </c>
      <c r="AK122" s="39"/>
      <c r="AL122" s="40" t="str">
        <f aca="false">IF(OR(AK122="",BZ122=""),"",AK122/BZ122*100)</f>
        <v/>
      </c>
      <c r="AM122" s="41" t="str">
        <f aca="false">IF(AL122="","",IFERROR(MATCH(AL122,INDEX(Boundaries!$B$2:$I$30,MATCH(CN122,Boundaries!$A$2:$A$30,0),0),1)-1,""))</f>
        <v/>
      </c>
      <c r="AN122" s="42" t="str">
        <f aca="false">IF(OR(AM122="",$E122=""),"",AM122-$E122)</f>
        <v/>
      </c>
      <c r="AO122" s="39"/>
      <c r="AP122" s="40" t="str">
        <f aca="false">IF(OR(AO122="",CA122=""),"",AO122/CA122*100)</f>
        <v/>
      </c>
      <c r="AQ122" s="41" t="str">
        <f aca="false">IF(AP122="","",IFERROR(MATCH(AP122,INDEX(Boundaries!$B$2:$I$30,MATCH(CO122,Boundaries!$A$2:$A$30,0),0),1)-1,""))</f>
        <v/>
      </c>
      <c r="AR122" s="42" t="str">
        <f aca="false">IF(OR(AQ122="",$E122=""),"",AQ122-$E122)</f>
        <v/>
      </c>
      <c r="AS122" s="39"/>
      <c r="AT122" s="40" t="str">
        <f aca="false">IF(OR(AS122="",CB122=""),"",AS122/CB122*100)</f>
        <v/>
      </c>
      <c r="AU122" s="41" t="str">
        <f aca="false">IF(AT122="","",IFERROR(MATCH(AT122,INDEX(Boundaries!$B$2:$I$30,MATCH(CP122,Boundaries!$A$2:$A$30,0),0),1)-1,""))</f>
        <v/>
      </c>
      <c r="AV122" s="42" t="str">
        <f aca="false">IF(OR(AU122="",$E122=""),"",AU122-$E122)</f>
        <v/>
      </c>
      <c r="AW122" s="39"/>
      <c r="AX122" s="40" t="str">
        <f aca="false">IF(OR(AW122="",CC122=""),"",AW122/CC122*100)</f>
        <v/>
      </c>
      <c r="AY122" s="41" t="str">
        <f aca="false">IF(AX122="","",IFERROR(MATCH(AX122,INDEX(Boundaries!$B$2:$I$30,MATCH(CQ122,Boundaries!$A$2:$A$30,0),0),1)-1,""))</f>
        <v/>
      </c>
      <c r="AZ122" s="42" t="str">
        <f aca="false">IF(OR(AY122="",$E122=""),"",AY122-$E122)</f>
        <v/>
      </c>
      <c r="BA122" s="39"/>
      <c r="BB122" s="40" t="str">
        <f aca="false">IF(OR(BA122="",CD122=""),"",BA122/CD122*100)</f>
        <v/>
      </c>
      <c r="BC122" s="41" t="str">
        <f aca="false">IF(BB122="","",IFERROR(MATCH(BB122,INDEX(Boundaries!$B$2:$I$30,MATCH(CR122,Boundaries!$A$2:$A$30,0),0),1)-1,""))</f>
        <v/>
      </c>
      <c r="BD122" s="42" t="str">
        <f aca="false">IF(OR(BC122="",$E122=""),"",BC122-$E122)</f>
        <v/>
      </c>
      <c r="BE122" s="39"/>
      <c r="BF122" s="40" t="str">
        <f aca="false">IF(OR(BE122="",CE122=""),"",BE122/CE122*100)</f>
        <v/>
      </c>
      <c r="BG122" s="41" t="str">
        <f aca="false">IF(BF122="","",IFERROR(MATCH(BF122,INDEX(Boundaries!$B$2:$I$30,MATCH(CS122,Boundaries!$A$2:$A$30,0),0),1)-1,""))</f>
        <v/>
      </c>
      <c r="BH122" s="42" t="str">
        <f aca="false">IF(OR(BG122="",$E122=""),"",BG122-$E122)</f>
        <v/>
      </c>
      <c r="BI122" s="39"/>
      <c r="BJ122" s="40" t="str">
        <f aca="false">IF(OR(BI122="",CF122=""),"",BI122/CF122*100)</f>
        <v/>
      </c>
      <c r="BK122" s="41" t="str">
        <f aca="false">IF(BJ122="","",IFERROR(MATCH(BJ122,INDEX(Boundaries!$B$2:$I$30,MATCH(CT122,Boundaries!$A$2:$A$30,0),0),1)-1,""))</f>
        <v/>
      </c>
      <c r="BL122" s="42" t="str">
        <f aca="false">IF(OR(BK122="",$E122=""),"",BK122-$E122)</f>
        <v/>
      </c>
      <c r="BM122" s="39"/>
      <c r="BN122" s="40" t="str">
        <f aca="false">IF(OR(BM122="",CG122=""),"",BM122/CG122*100)</f>
        <v/>
      </c>
      <c r="BO122" s="41" t="str">
        <f aca="false">IF(BN122="","",IFERROR(MATCH(BN122,INDEX(Boundaries!$B$2:$I$30,MATCH(CU122,Boundaries!$A$2:$A$30,0),0),1)-1,""))</f>
        <v/>
      </c>
      <c r="BP122" s="42" t="str">
        <f aca="false">IF(OR(BO122="",$E122=""),"",BO122-$E122)</f>
        <v/>
      </c>
      <c r="BQ122" s="39"/>
      <c r="BR122" s="40" t="str">
        <f aca="false">IF(OR(BQ122="",CH122=""),"",BQ122/CH122*100)</f>
        <v/>
      </c>
      <c r="BS122" s="41" t="str">
        <f aca="false">IF(BR122="","",IFERROR(MATCH(BR122,INDEX(Boundaries!$B$2:$I$30,MATCH(CV122,Boundaries!$A$2:$A$30,0),0),1)-1,""))</f>
        <v/>
      </c>
      <c r="BT122" s="42" t="str">
        <f aca="false">IF(OR(BS122="",$E122=""),"",BS122-$E122)</f>
        <v/>
      </c>
      <c r="BU122" s="28" t="n">
        <f aca="false">IFERROR(INDEX(Assessments!$H$2:$H$600,MATCH($H122&amp;"|"&amp;$I122&amp;"|"&amp;$J122&amp;"|"&amp;1,Assessments!$A$2:$A$600,0)),"")</f>
        <v>30</v>
      </c>
      <c r="BV122" s="28" t="n">
        <f aca="false">IFERROR(INDEX(Assessments!$H$2:$H$600,MATCH($H122&amp;"|"&amp;$I122&amp;"|"&amp;$J122&amp;"|"&amp;2,Assessments!$A$2:$A$600,0)),"")</f>
        <v>20</v>
      </c>
      <c r="BW122" s="28" t="n">
        <f aca="false">IFERROR(INDEX(Assessments!$H$2:$H$600,MATCH($H122&amp;"|"&amp;$I122&amp;"|"&amp;$J122&amp;"|"&amp;3,Assessments!$A$2:$A$600,0)),"")</f>
        <v>25</v>
      </c>
      <c r="BX122" s="28" t="n">
        <f aca="false">IFERROR(INDEX(Assessments!$H$2:$H$600,MATCH($H122&amp;"|"&amp;$I122&amp;"|"&amp;$J122&amp;"|"&amp;4,Assessments!$A$2:$A$600,0)),"")</f>
        <v>23</v>
      </c>
      <c r="BY122" s="28" t="n">
        <f aca="false">IFERROR(INDEX(Assessments!$H$2:$H$600,MATCH($H122&amp;"|"&amp;$I122&amp;"|"&amp;$J122&amp;"|"&amp;5,Assessments!$A$2:$A$600,0)),"")</f>
        <v>25</v>
      </c>
      <c r="BZ122" s="28" t="n">
        <f aca="false">IFERROR(INDEX(Assessments!$H$2:$H$600,MATCH($H122&amp;"|"&amp;$I122&amp;"|"&amp;$J122&amp;"|"&amp;6,Assessments!$A$2:$A$600,0)),"")</f>
        <v>15</v>
      </c>
      <c r="CA122" s="28" t="n">
        <f aca="false">IFERROR(INDEX(Assessments!$H$2:$H$600,MATCH($H122&amp;"|"&amp;$I122&amp;"|"&amp;$J122&amp;"|"&amp;7,Assessments!$A$2:$A$600,0)),"")</f>
        <v>52</v>
      </c>
      <c r="CB122" s="28" t="str">
        <f aca="false">IFERROR(INDEX(Assessments!$H$2:$H$600,MATCH($H122&amp;"|"&amp;$I122&amp;"|"&amp;$J122&amp;"|"&amp;8,Assessments!$A$2:$A$600,0)),"")</f>
        <v/>
      </c>
      <c r="CC122" s="28" t="str">
        <f aca="false">IFERROR(INDEX(Assessments!$H$2:$H$600,MATCH($H122&amp;"|"&amp;$I122&amp;"|"&amp;$J122&amp;"|"&amp;9,Assessments!$A$2:$A$600,0)),"")</f>
        <v/>
      </c>
      <c r="CD122" s="28" t="str">
        <f aca="false">IFERROR(INDEX(Assessments!$H$2:$H$600,MATCH($H122&amp;"|"&amp;$I122&amp;"|"&amp;$J122&amp;"|"&amp;10,Assessments!$A$2:$A$600,0)),"")</f>
        <v/>
      </c>
      <c r="CE122" s="28" t="str">
        <f aca="false">IFERROR(INDEX(Assessments!$H$2:$H$600,MATCH($H122&amp;"|"&amp;$I122&amp;"|"&amp;$J122&amp;"|"&amp;11,Assessments!$A$2:$A$600,0)),"")</f>
        <v/>
      </c>
      <c r="CF122" s="28" t="str">
        <f aca="false">IFERROR(INDEX(Assessments!$H$2:$H$600,MATCH($H122&amp;"|"&amp;$I122&amp;"|"&amp;$J122&amp;"|"&amp;12,Assessments!$A$2:$A$600,0)),"")</f>
        <v/>
      </c>
      <c r="CG122" s="28" t="str">
        <f aca="false">IFERROR(INDEX(Assessments!$H$2:$H$600,MATCH($H122&amp;"|"&amp;$I122&amp;"|"&amp;$J122&amp;"|"&amp;13,Assessments!$A$2:$A$600,0)),"")</f>
        <v/>
      </c>
      <c r="CH122" s="28" t="str">
        <f aca="false">IFERROR(INDEX(Assessments!$H$2:$H$600,MATCH($H122&amp;"|"&amp;$I122&amp;"|"&amp;$J122&amp;"|"&amp;14,Assessments!$A$2:$A$600,0)),"")</f>
        <v/>
      </c>
      <c r="CI122" s="28" t="str">
        <f aca="false">IFERROR(INDEX(Assessments!$I$2:$I$600,MATCH($H122&amp;"|"&amp;$I122&amp;"|"&amp;$J122&amp;"|"&amp;1,Assessments!$A$2:$A$600,0)),"")</f>
        <v>Econ Test</v>
      </c>
      <c r="CJ122" s="28" t="str">
        <f aca="false">IFERROR(INDEX(Assessments!$I$2:$I$600,MATCH($H122&amp;"|"&amp;$I122&amp;"|"&amp;$J122&amp;"|"&amp;2,Assessments!$A$2:$A$600,0)),"")</f>
        <v>Econ Test</v>
      </c>
      <c r="CK122" s="28" t="str">
        <f aca="false">IFERROR(INDEX(Assessments!$I$2:$I$600,MATCH($H122&amp;"|"&amp;$I122&amp;"|"&amp;$J122&amp;"|"&amp;3,Assessments!$A$2:$A$600,0)),"")</f>
        <v>Econ Test</v>
      </c>
      <c r="CL122" s="28" t="str">
        <f aca="false">IFERROR(INDEX(Assessments!$I$2:$I$600,MATCH($H122&amp;"|"&amp;$I122&amp;"|"&amp;$J122&amp;"|"&amp;4,Assessments!$A$2:$A$600,0)),"")</f>
        <v>Econ Test</v>
      </c>
      <c r="CM122" s="28" t="str">
        <f aca="false">IFERROR(INDEX(Assessments!$I$2:$I$600,MATCH($H122&amp;"|"&amp;$I122&amp;"|"&amp;$J122&amp;"|"&amp;5,Assessments!$A$2:$A$600,0)),"")</f>
        <v>Econ Exam</v>
      </c>
      <c r="CN122" s="28" t="str">
        <f aca="false">IFERROR(INDEX(Assessments!$I$2:$I$600,MATCH($H122&amp;"|"&amp;$I122&amp;"|"&amp;$J122&amp;"|"&amp;6,Assessments!$A$2:$A$600,0)),"")</f>
        <v>Econ Test</v>
      </c>
      <c r="CO122" s="28" t="str">
        <f aca="false">IFERROR(INDEX(Assessments!$I$2:$I$600,MATCH($H122&amp;"|"&amp;$I122&amp;"|"&amp;$J122&amp;"|"&amp;7,Assessments!$A$2:$A$600,0)),"")</f>
        <v>Econ Exam</v>
      </c>
      <c r="CP122" s="28" t="str">
        <f aca="false">IFERROR(INDEX(Assessments!$I$2:$I$600,MATCH($H122&amp;"|"&amp;$I122&amp;"|"&amp;$J122&amp;"|"&amp;8,Assessments!$A$2:$A$600,0)),"")</f>
        <v/>
      </c>
      <c r="CQ122" s="28" t="str">
        <f aca="false">IFERROR(INDEX(Assessments!$I$2:$I$600,MATCH($H122&amp;"|"&amp;$I122&amp;"|"&amp;$J122&amp;"|"&amp;9,Assessments!$A$2:$A$600,0)),"")</f>
        <v/>
      </c>
      <c r="CR122" s="28" t="str">
        <f aca="false">IFERROR(INDEX(Assessments!$I$2:$I$600,MATCH($H122&amp;"|"&amp;$I122&amp;"|"&amp;$J122&amp;"|"&amp;10,Assessments!$A$2:$A$600,0)),"")</f>
        <v/>
      </c>
      <c r="CS122" s="28" t="str">
        <f aca="false">IFERROR(INDEX(Assessments!$I$2:$I$600,MATCH($H122&amp;"|"&amp;$I122&amp;"|"&amp;$J122&amp;"|"&amp;11,Assessments!$A$2:$A$600,0)),"")</f>
        <v/>
      </c>
      <c r="CT122" s="28" t="str">
        <f aca="false">IFERROR(INDEX(Assessments!$I$2:$I$600,MATCH($H122&amp;"|"&amp;$I122&amp;"|"&amp;$J122&amp;"|"&amp;12,Assessments!$A$2:$A$600,0)),"")</f>
        <v/>
      </c>
      <c r="CU122" s="28" t="str">
        <f aca="false">IFERROR(INDEX(Assessments!$I$2:$I$600,MATCH($H122&amp;"|"&amp;$I122&amp;"|"&amp;$J122&amp;"|"&amp;13,Assessments!$A$2:$A$600,0)),"")</f>
        <v/>
      </c>
      <c r="CV122" s="28" t="str">
        <f aca="false">IFERROR(INDEX(Assessments!$I$2:$I$600,MATCH($H122&amp;"|"&amp;$I122&amp;"|"&amp;$J122&amp;"|"&amp;14,Assessments!$A$2:$A$600,0)),"")</f>
        <v/>
      </c>
      <c r="CW122" s="28" t="n">
        <f aca="false">IFERROR(INDEX(Assessments!$J$2:$J$600,MATCH($H122&amp;"|"&amp;$I122&amp;"|"&amp;$J122&amp;"|"&amp;1,Assessments!$A$2:$A$600,0)),0)</f>
        <v>1</v>
      </c>
      <c r="CX122" s="28" t="n">
        <f aca="false">IFERROR(INDEX(Assessments!$J$2:$J$600,MATCH($H122&amp;"|"&amp;$I122&amp;"|"&amp;$J122&amp;"|"&amp;2,Assessments!$A$2:$A$600,0)),0)</f>
        <v>1</v>
      </c>
      <c r="CY122" s="28" t="n">
        <f aca="false">IFERROR(INDEX(Assessments!$J$2:$J$600,MATCH($H122&amp;"|"&amp;$I122&amp;"|"&amp;$J122&amp;"|"&amp;3,Assessments!$A$2:$A$600,0)),0)</f>
        <v>1</v>
      </c>
      <c r="CZ122" s="28" t="n">
        <f aca="false">IFERROR(INDEX(Assessments!$J$2:$J$600,MATCH($H122&amp;"|"&amp;$I122&amp;"|"&amp;$J122&amp;"|"&amp;4,Assessments!$A$2:$A$600,0)),0)</f>
        <v>1</v>
      </c>
      <c r="DA122" s="28" t="n">
        <f aca="false">IFERROR(INDEX(Assessments!$J$2:$J$600,MATCH($H122&amp;"|"&amp;$I122&amp;"|"&amp;$J122&amp;"|"&amp;5,Assessments!$A$2:$A$600,0)),0)</f>
        <v>2</v>
      </c>
      <c r="DB122" s="28" t="n">
        <f aca="false">IFERROR(INDEX(Assessments!$J$2:$J$600,MATCH($H122&amp;"|"&amp;$I122&amp;"|"&amp;$J122&amp;"|"&amp;6,Assessments!$A$2:$A$600,0)),0)</f>
        <v>1</v>
      </c>
      <c r="DC122" s="28" t="n">
        <f aca="false">IFERROR(INDEX(Assessments!$J$2:$J$600,MATCH($H122&amp;"|"&amp;$I122&amp;"|"&amp;$J122&amp;"|"&amp;7,Assessments!$A$2:$A$600,0)),0)</f>
        <v>2</v>
      </c>
      <c r="DD122" s="28" t="n">
        <f aca="false">IFERROR(INDEX(Assessments!$J$2:$J$600,MATCH($H122&amp;"|"&amp;$I122&amp;"|"&amp;$J122&amp;"|"&amp;8,Assessments!$A$2:$A$600,0)),0)</f>
        <v>0</v>
      </c>
      <c r="DE122" s="28" t="n">
        <f aca="false">IFERROR(INDEX(Assessments!$J$2:$J$600,MATCH($H122&amp;"|"&amp;$I122&amp;"|"&amp;$J122&amp;"|"&amp;9,Assessments!$A$2:$A$600,0)),0)</f>
        <v>0</v>
      </c>
      <c r="DF122" s="28" t="n">
        <f aca="false">IFERROR(INDEX(Assessments!$J$2:$J$600,MATCH($H122&amp;"|"&amp;$I122&amp;"|"&amp;$J122&amp;"|"&amp;10,Assessments!$A$2:$A$600,0)),0)</f>
        <v>0</v>
      </c>
      <c r="DG122" s="28" t="n">
        <f aca="false">IFERROR(INDEX(Assessments!$J$2:$J$600,MATCH($H122&amp;"|"&amp;$I122&amp;"|"&amp;$J122&amp;"|"&amp;11,Assessments!$A$2:$A$600,0)),0)</f>
        <v>0</v>
      </c>
      <c r="DH122" s="28" t="n">
        <f aca="false">IFERROR(INDEX(Assessments!$J$2:$J$600,MATCH($H122&amp;"|"&amp;$I122&amp;"|"&amp;$J122&amp;"|"&amp;12,Assessments!$A$2:$A$600,0)),0)</f>
        <v>0</v>
      </c>
      <c r="DI122" s="28" t="n">
        <f aca="false">IFERROR(INDEX(Assessments!$J$2:$J$600,MATCH($H122&amp;"|"&amp;$I122&amp;"|"&amp;$J122&amp;"|"&amp;13,Assessments!$A$2:$A$600,0)),0)</f>
        <v>0</v>
      </c>
      <c r="DJ122" s="28" t="n">
        <f aca="false">IFERROR(INDEX(Assessments!$J$2:$J$600,MATCH($H122&amp;"|"&amp;$I122&amp;"|"&amp;$J122&amp;"|"&amp;14,Assessments!$A$2:$A$600,0)),0)</f>
        <v>0</v>
      </c>
      <c r="DK122" s="28" t="n">
        <f aca="false">S122</f>
        <v>6</v>
      </c>
      <c r="DL122" s="28" t="n">
        <f aca="false">W122</f>
        <v>7</v>
      </c>
      <c r="DM122" s="28" t="n">
        <f aca="false">AA122</f>
        <v>7</v>
      </c>
      <c r="DN122" s="28" t="n">
        <f aca="false">AE122</f>
        <v>5</v>
      </c>
      <c r="DO122" s="28" t="n">
        <f aca="false">AI122</f>
        <v>6</v>
      </c>
      <c r="DP122" s="28" t="str">
        <f aca="false">AM122</f>
        <v/>
      </c>
      <c r="DQ122" s="28" t="str">
        <f aca="false">AQ122</f>
        <v/>
      </c>
      <c r="DR122" s="28" t="str">
        <f aca="false">AU122</f>
        <v/>
      </c>
      <c r="DS122" s="28" t="str">
        <f aca="false">AY122</f>
        <v/>
      </c>
      <c r="DT122" s="28" t="str">
        <f aca="false">BC122</f>
        <v/>
      </c>
      <c r="DU122" s="28" t="str">
        <f aca="false">BG122</f>
        <v/>
      </c>
      <c r="DV122" s="28" t="str">
        <f aca="false">BK122</f>
        <v/>
      </c>
      <c r="DW122" s="28" t="str">
        <f aca="false">BO122</f>
        <v/>
      </c>
      <c r="DX122" s="28" t="str">
        <f aca="false">BS122</f>
        <v/>
      </c>
      <c r="DY122" s="28" t="n">
        <f aca="false">IF(ISNUMBER(S122),1,"")</f>
        <v>1</v>
      </c>
      <c r="DZ122" s="28" t="n">
        <f aca="false">IF(ISNUMBER(W122),2,"")</f>
        <v>2</v>
      </c>
      <c r="EA122" s="28" t="n">
        <f aca="false">IF(ISNUMBER(AA122),3,"")</f>
        <v>3</v>
      </c>
      <c r="EB122" s="28" t="n">
        <f aca="false">IF(ISNUMBER(AE122),4,"")</f>
        <v>4</v>
      </c>
      <c r="EC122" s="28" t="n">
        <f aca="false">IF(ISNUMBER(AI122),5,"")</f>
        <v>5</v>
      </c>
      <c r="ED122" s="28" t="str">
        <f aca="false">IF(ISNUMBER(AM122),6,"")</f>
        <v/>
      </c>
      <c r="EE122" s="28" t="str">
        <f aca="false">IF(ISNUMBER(AQ122),7,"")</f>
        <v/>
      </c>
      <c r="EF122" s="28" t="str">
        <f aca="false">IF(ISNUMBER(AU122),8,"")</f>
        <v/>
      </c>
      <c r="EG122" s="28" t="str">
        <f aca="false">IF(ISNUMBER(AY122),9,"")</f>
        <v/>
      </c>
      <c r="EH122" s="28" t="str">
        <f aca="false">IF(ISNUMBER(BC122),10,"")</f>
        <v/>
      </c>
      <c r="EI122" s="28" t="str">
        <f aca="false">IF(ISNUMBER(BG122),11,"")</f>
        <v/>
      </c>
      <c r="EJ122" s="28" t="str">
        <f aca="false">IF(ISNUMBER(BK122),12,"")</f>
        <v/>
      </c>
      <c r="EK122" s="28" t="str">
        <f aca="false">IF(ISNUMBER(BO122),13,"")</f>
        <v/>
      </c>
      <c r="EL122" s="28" t="str">
        <f aca="false">IF(ISNUMBER(BS122),14,"")</f>
        <v/>
      </c>
      <c r="EM122" s="28" t="n">
        <f aca="false">IF(ISNUMBER(R122),R122*CW122,0)</f>
        <v>83.3333333333333</v>
      </c>
      <c r="EN122" s="28" t="n">
        <f aca="false">IF(ISNUMBER(V122),V122*CX122,0)</f>
        <v>95</v>
      </c>
      <c r="EO122" s="28" t="n">
        <f aca="false">IF(ISNUMBER(Z122),Z122*CY122,0)</f>
        <v>88</v>
      </c>
      <c r="EP122" s="28" t="n">
        <f aca="false">IF(ISNUMBER(AD122),AD122*CZ122,0)</f>
        <v>65.2173913043478</v>
      </c>
      <c r="EQ122" s="28" t="n">
        <f aca="false">IF(ISNUMBER(AH122),AH122*DA122,0)</f>
        <v>152</v>
      </c>
      <c r="ER122" s="28" t="n">
        <f aca="false">IF(ISNUMBER(AL122),AL122*DB122,0)</f>
        <v>0</v>
      </c>
      <c r="ES122" s="28" t="n">
        <f aca="false">IF(ISNUMBER(AP122),AP122*DC122,0)</f>
        <v>0</v>
      </c>
      <c r="ET122" s="28" t="n">
        <f aca="false">IF(ISNUMBER(AT122),AT122*DD122,0)</f>
        <v>0</v>
      </c>
      <c r="EU122" s="28" t="n">
        <f aca="false">IF(ISNUMBER(AX122),AX122*DE122,0)</f>
        <v>0</v>
      </c>
      <c r="EV122" s="28" t="n">
        <f aca="false">IF(ISNUMBER(BB122),BB122*DF122,0)</f>
        <v>0</v>
      </c>
      <c r="EW122" s="28" t="n">
        <f aca="false">IF(ISNUMBER(BF122),BF122*DG122,0)</f>
        <v>0</v>
      </c>
      <c r="EX122" s="28" t="n">
        <f aca="false">IF(ISNUMBER(BJ122),BJ122*DH122,0)</f>
        <v>0</v>
      </c>
      <c r="EY122" s="28" t="n">
        <f aca="false">IF(ISNUMBER(BN122),BN122*DI122,0)</f>
        <v>0</v>
      </c>
      <c r="EZ122" s="28" t="n">
        <f aca="false">IF(ISNUMBER(BR122),BR122*DJ122,0)</f>
        <v>0</v>
      </c>
      <c r="FA122" s="28" t="n">
        <f aca="false">IF(ISNUMBER(R122),CW122,0)</f>
        <v>1</v>
      </c>
      <c r="FB122" s="28" t="n">
        <f aca="false">IF(ISNUMBER(V122),CX122,0)</f>
        <v>1</v>
      </c>
      <c r="FC122" s="28" t="n">
        <f aca="false">IF(ISNUMBER(Z122),CY122,0)</f>
        <v>1</v>
      </c>
      <c r="FD122" s="28" t="n">
        <f aca="false">IF(ISNUMBER(AD122),CZ122,0)</f>
        <v>1</v>
      </c>
      <c r="FE122" s="28" t="n">
        <f aca="false">IF(ISNUMBER(AH122),DA122,0)</f>
        <v>2</v>
      </c>
      <c r="FF122" s="28" t="n">
        <f aca="false">IF(ISNUMBER(AL122),DB122,0)</f>
        <v>0</v>
      </c>
      <c r="FG122" s="28" t="n">
        <f aca="false">IF(ISNUMBER(AP122),DC122,0)</f>
        <v>0</v>
      </c>
      <c r="FH122" s="28" t="n">
        <f aca="false">IF(ISNUMBER(AT122),DD122,0)</f>
        <v>0</v>
      </c>
      <c r="FI122" s="28" t="n">
        <f aca="false">IF(ISNUMBER(AX122),DE122,0)</f>
        <v>0</v>
      </c>
      <c r="FJ122" s="28" t="n">
        <f aca="false">IF(ISNUMBER(BB122),DF122,0)</f>
        <v>0</v>
      </c>
      <c r="FK122" s="28" t="n">
        <f aca="false">IF(ISNUMBER(BF122),DG122,0)</f>
        <v>0</v>
      </c>
      <c r="FL122" s="28" t="n">
        <f aca="false">IF(ISNUMBER(BJ122),DH122,0)</f>
        <v>0</v>
      </c>
      <c r="FM122" s="28" t="n">
        <f aca="false">IF(ISNUMBER(BN122),DI122,0)</f>
        <v>0</v>
      </c>
      <c r="FN122" s="28" t="n">
        <f aca="false">IF(ISNUMBER(BR122),DJ122,0)</f>
        <v>0</v>
      </c>
      <c r="FO122" s="28" t="str">
        <f aca="false">IFERROR(INDEX(Lists!$G$2:$G$20,MATCH($I122&amp;"|"&amp;$J122,Lists!$F$2:$F$20,0)),"")</f>
        <v>Econ Exam</v>
      </c>
    </row>
    <row r="123" customFormat="false" ht="19.5" hidden="false" customHeight="true" outlineLevel="0" collapsed="false">
      <c r="A123" s="29" t="s">
        <v>362</v>
      </c>
      <c r="B123" s="29" t="s">
        <v>363</v>
      </c>
      <c r="C123" s="30" t="s">
        <v>152</v>
      </c>
      <c r="D123" s="30" t="s">
        <v>364</v>
      </c>
      <c r="E123" s="31" t="n">
        <v>5.6</v>
      </c>
      <c r="F123" s="30" t="n">
        <v>6</v>
      </c>
      <c r="G123" s="30"/>
      <c r="H123" s="32" t="s">
        <v>23</v>
      </c>
      <c r="I123" s="33" t="s">
        <v>365</v>
      </c>
      <c r="J123" s="32" t="s">
        <v>25</v>
      </c>
      <c r="K123" s="34" t="n">
        <f aca="false">IF(OR(M123="",$E123=""),"",M123-$E123)</f>
        <v>1.4</v>
      </c>
      <c r="L123" s="35" t="n">
        <f aca="false">IF(SUM(FA123:FN123)=0,"",SUM(EM123:EZ123)/SUM(FA123:FN123))</f>
        <v>74.3333333333333</v>
      </c>
      <c r="M123" s="36" t="n">
        <f aca="false">IF(OR(L123="",FO123=""),"",IFERROR(MATCH(L123,INDEX(Boundaries!$B$2:$I$30,MATCH(FO123,Boundaries!$A$2:$A$30,0),0),1)-1,""))</f>
        <v>7</v>
      </c>
      <c r="N123" s="37" t="n">
        <f aca="false">IF(COUNT($DY123:$EL123)&lt;2,"",INDEX($DK123:$DX123,MAX($DY123:$EL123))-INDEX($DK123:$DX123,MIN($DY123:$EL123)))</f>
        <v>1</v>
      </c>
      <c r="O123" s="37" t="n">
        <f aca="false">IF(COUNT($DY123:$EL123)&lt;2,"",INDEX($DK123:$DX123,MAX($DY123:$EL123))-INDEX($DK123:$DX123,LARGE($DY123:$EL123,2)))</f>
        <v>1</v>
      </c>
      <c r="P123" s="38" t="str">
        <f aca="false">IF(K123="","",IF(K123&gt;=0,"On/above target",IF(AND(N123&lt;&gt;"",N123&gt;=0.5),"Improving towards target",IF(AND(O123&lt;&gt;"",O123&lt;=-0.5),"Declining","Stable below target"))))</f>
        <v>On/above target</v>
      </c>
      <c r="Q123" s="39" t="n">
        <v>16</v>
      </c>
      <c r="R123" s="40" t="n">
        <f aca="false">IF(OR(Q123="",BU123=""),"",Q123/BU123*100)</f>
        <v>66.6666666666667</v>
      </c>
      <c r="S123" s="41" t="n">
        <f aca="false">IF(R123="","",IFERROR(MATCH(R123,INDEX(Boundaries!$B$2:$I$30,MATCH(CI123,Boundaries!$A$2:$A$30,0),0),1)-1,""))</f>
        <v>6</v>
      </c>
      <c r="T123" s="42" t="n">
        <f aca="false">IF(OR(S123="",$E123=""),"",S123-$E123)</f>
        <v>0.4</v>
      </c>
      <c r="U123" s="39" t="n">
        <v>13</v>
      </c>
      <c r="V123" s="40" t="n">
        <f aca="false">IF(OR(U123="",BV123=""),"",U123/BV123*100)</f>
        <v>65</v>
      </c>
      <c r="W123" s="41" t="n">
        <f aca="false">IF(V123="","",IFERROR(MATCH(V123,INDEX(Boundaries!$B$2:$I$30,MATCH(CJ123,Boundaries!$A$2:$A$30,0),0),1)-1,""))</f>
        <v>6</v>
      </c>
      <c r="X123" s="42" t="n">
        <f aca="false">IF(OR(W123="",$E123=""),"",W123-$E123)</f>
        <v>0.4</v>
      </c>
      <c r="Y123" s="39" t="n">
        <v>14</v>
      </c>
      <c r="Z123" s="40" t="n">
        <f aca="false">IF(OR(Y123="",BW123=""),"",Y123/BW123*100)</f>
        <v>70</v>
      </c>
      <c r="AA123" s="41" t="n">
        <f aca="false">IF(Z123="","",IFERROR(MATCH(Z123,INDEX(Boundaries!$B$2:$I$30,MATCH(CK123,Boundaries!$A$2:$A$30,0),0),1)-1,""))</f>
        <v>6</v>
      </c>
      <c r="AB123" s="42" t="n">
        <f aca="false">IF(OR(AA123="",$E123=""),"",AA123-$E123)</f>
        <v>0.4</v>
      </c>
      <c r="AC123" s="39" t="n">
        <v>34</v>
      </c>
      <c r="AD123" s="40" t="n">
        <f aca="false">IF(OR(AC123="",BX123=""),"",AC123/BX123*100)</f>
        <v>85</v>
      </c>
      <c r="AE123" s="41" t="n">
        <f aca="false">IF(AD123="","",IFERROR(MATCH(AD123,INDEX(Boundaries!$B$2:$I$30,MATCH(CL123,Boundaries!$A$2:$A$30,0),0),1)-1,""))</f>
        <v>7</v>
      </c>
      <c r="AF123" s="42" t="n">
        <f aca="false">IF(OR(AE123="",$E123=""),"",AE123-$E123)</f>
        <v>1.4</v>
      </c>
      <c r="AG123" s="39"/>
      <c r="AH123" s="40" t="str">
        <f aca="false">IF(OR(AG123="",BY123=""),"",AG123/BY123*100)</f>
        <v/>
      </c>
      <c r="AI123" s="41" t="str">
        <f aca="false">IF(AH123="","",IFERROR(MATCH(AH123,INDEX(Boundaries!$B$2:$I$30,MATCH(CM123,Boundaries!$A$2:$A$30,0),0),1)-1,""))</f>
        <v/>
      </c>
      <c r="AJ123" s="42" t="str">
        <f aca="false">IF(OR(AI123="",$E123=""),"",AI123-$E123)</f>
        <v/>
      </c>
      <c r="AK123" s="39"/>
      <c r="AL123" s="40" t="str">
        <f aca="false">IF(OR(AK123="",BZ123=""),"",AK123/BZ123*100)</f>
        <v/>
      </c>
      <c r="AM123" s="41" t="str">
        <f aca="false">IF(AL123="","",IFERROR(MATCH(AL123,INDEX(Boundaries!$B$2:$I$30,MATCH(CN123,Boundaries!$A$2:$A$30,0),0),1)-1,""))</f>
        <v/>
      </c>
      <c r="AN123" s="42" t="str">
        <f aca="false">IF(OR(AM123="",$E123=""),"",AM123-$E123)</f>
        <v/>
      </c>
      <c r="AO123" s="39"/>
      <c r="AP123" s="40" t="str">
        <f aca="false">IF(OR(AO123="",CA123=""),"",AO123/CA123*100)</f>
        <v/>
      </c>
      <c r="AQ123" s="41" t="str">
        <f aca="false">IF(AP123="","",IFERROR(MATCH(AP123,INDEX(Boundaries!$B$2:$I$30,MATCH(CO123,Boundaries!$A$2:$A$30,0),0),1)-1,""))</f>
        <v/>
      </c>
      <c r="AR123" s="42" t="str">
        <f aca="false">IF(OR(AQ123="",$E123=""),"",AQ123-$E123)</f>
        <v/>
      </c>
      <c r="AS123" s="39"/>
      <c r="AT123" s="40" t="str">
        <f aca="false">IF(OR(AS123="",CB123=""),"",AS123/CB123*100)</f>
        <v/>
      </c>
      <c r="AU123" s="41" t="str">
        <f aca="false">IF(AT123="","",IFERROR(MATCH(AT123,INDEX(Boundaries!$B$2:$I$30,MATCH(CP123,Boundaries!$A$2:$A$30,0),0),1)-1,""))</f>
        <v/>
      </c>
      <c r="AV123" s="42" t="str">
        <f aca="false">IF(OR(AU123="",$E123=""),"",AU123-$E123)</f>
        <v/>
      </c>
      <c r="AW123" s="39"/>
      <c r="AX123" s="40" t="str">
        <f aca="false">IF(OR(AW123="",CC123=""),"",AW123/CC123*100)</f>
        <v/>
      </c>
      <c r="AY123" s="41" t="str">
        <f aca="false">IF(AX123="","",IFERROR(MATCH(AX123,INDEX(Boundaries!$B$2:$I$30,MATCH(CQ123,Boundaries!$A$2:$A$30,0),0),1)-1,""))</f>
        <v/>
      </c>
      <c r="AZ123" s="42" t="str">
        <f aca="false">IF(OR(AY123="",$E123=""),"",AY123-$E123)</f>
        <v/>
      </c>
      <c r="BA123" s="39"/>
      <c r="BB123" s="40" t="str">
        <f aca="false">IF(OR(BA123="",CD123=""),"",BA123/CD123*100)</f>
        <v/>
      </c>
      <c r="BC123" s="41" t="str">
        <f aca="false">IF(BB123="","",IFERROR(MATCH(BB123,INDEX(Boundaries!$B$2:$I$30,MATCH(CR123,Boundaries!$A$2:$A$30,0),0),1)-1,""))</f>
        <v/>
      </c>
      <c r="BD123" s="42" t="str">
        <f aca="false">IF(OR(BC123="",$E123=""),"",BC123-$E123)</f>
        <v/>
      </c>
      <c r="BE123" s="39"/>
      <c r="BF123" s="40" t="str">
        <f aca="false">IF(OR(BE123="",CE123=""),"",BE123/CE123*100)</f>
        <v/>
      </c>
      <c r="BG123" s="41" t="str">
        <f aca="false">IF(BF123="","",IFERROR(MATCH(BF123,INDEX(Boundaries!$B$2:$I$30,MATCH(CS123,Boundaries!$A$2:$A$30,0),0),1)-1,""))</f>
        <v/>
      </c>
      <c r="BH123" s="42" t="str">
        <f aca="false">IF(OR(BG123="",$E123=""),"",BG123-$E123)</f>
        <v/>
      </c>
      <c r="BI123" s="39"/>
      <c r="BJ123" s="40" t="str">
        <f aca="false">IF(OR(BI123="",CF123=""),"",BI123/CF123*100)</f>
        <v/>
      </c>
      <c r="BK123" s="41" t="str">
        <f aca="false">IF(BJ123="","",IFERROR(MATCH(BJ123,INDEX(Boundaries!$B$2:$I$30,MATCH(CT123,Boundaries!$A$2:$A$30,0),0),1)-1,""))</f>
        <v/>
      </c>
      <c r="BL123" s="42" t="str">
        <f aca="false">IF(OR(BK123="",$E123=""),"",BK123-$E123)</f>
        <v/>
      </c>
      <c r="BM123" s="39"/>
      <c r="BN123" s="40" t="str">
        <f aca="false">IF(OR(BM123="",CG123=""),"",BM123/CG123*100)</f>
        <v/>
      </c>
      <c r="BO123" s="41" t="str">
        <f aca="false">IF(BN123="","",IFERROR(MATCH(BN123,INDEX(Boundaries!$B$2:$I$30,MATCH(CU123,Boundaries!$A$2:$A$30,0),0),1)-1,""))</f>
        <v/>
      </c>
      <c r="BP123" s="42" t="str">
        <f aca="false">IF(OR(BO123="",$E123=""),"",BO123-$E123)</f>
        <v/>
      </c>
      <c r="BQ123" s="39"/>
      <c r="BR123" s="40" t="str">
        <f aca="false">IF(OR(BQ123="",CH123=""),"",BQ123/CH123*100)</f>
        <v/>
      </c>
      <c r="BS123" s="41" t="str">
        <f aca="false">IF(BR123="","",IFERROR(MATCH(BR123,INDEX(Boundaries!$B$2:$I$30,MATCH(CV123,Boundaries!$A$2:$A$30,0),0),1)-1,""))</f>
        <v/>
      </c>
      <c r="BT123" s="42" t="str">
        <f aca="false">IF(OR(BS123="",$E123=""),"",BS123-$E123)</f>
        <v/>
      </c>
      <c r="BU123" s="28" t="n">
        <f aca="false">IFERROR(INDEX(Assessments!$H$2:$H$600,MATCH($H123&amp;"|"&amp;$I123&amp;"|"&amp;$J123&amp;"|"&amp;1,Assessments!$A$2:$A$600,0)),"")</f>
        <v>24</v>
      </c>
      <c r="BV123" s="28" t="n">
        <f aca="false">IFERROR(INDEX(Assessments!$H$2:$H$600,MATCH($H123&amp;"|"&amp;$I123&amp;"|"&amp;$J123&amp;"|"&amp;2,Assessments!$A$2:$A$600,0)),"")</f>
        <v>20</v>
      </c>
      <c r="BW123" s="28" t="n">
        <f aca="false">IFERROR(INDEX(Assessments!$H$2:$H$600,MATCH($H123&amp;"|"&amp;$I123&amp;"|"&amp;$J123&amp;"|"&amp;3,Assessments!$A$2:$A$600,0)),"")</f>
        <v>20</v>
      </c>
      <c r="BX123" s="28" t="n">
        <f aca="false">IFERROR(INDEX(Assessments!$H$2:$H$600,MATCH($H123&amp;"|"&amp;$I123&amp;"|"&amp;$J123&amp;"|"&amp;4,Assessments!$A$2:$A$600,0)),"")</f>
        <v>40</v>
      </c>
      <c r="BY123" s="28" t="n">
        <f aca="false">IFERROR(INDEX(Assessments!$H$2:$H$600,MATCH($H123&amp;"|"&amp;$I123&amp;"|"&amp;$J123&amp;"|"&amp;5,Assessments!$A$2:$A$600,0)),"")</f>
        <v>30</v>
      </c>
      <c r="BZ123" s="28" t="n">
        <f aca="false">IFERROR(INDEX(Assessments!$H$2:$H$600,MATCH($H123&amp;"|"&amp;$I123&amp;"|"&amp;$J123&amp;"|"&amp;6,Assessments!$A$2:$A$600,0)),"")</f>
        <v>20</v>
      </c>
      <c r="CA123" s="28" t="n">
        <f aca="false">IFERROR(INDEX(Assessments!$H$2:$H$600,MATCH($H123&amp;"|"&amp;$I123&amp;"|"&amp;$J123&amp;"|"&amp;7,Assessments!$A$2:$A$600,0)),"")</f>
        <v>7</v>
      </c>
      <c r="CB123" s="28" t="str">
        <f aca="false">IFERROR(INDEX(Assessments!$H$2:$H$600,MATCH($H123&amp;"|"&amp;$I123&amp;"|"&amp;$J123&amp;"|"&amp;8,Assessments!$A$2:$A$600,0)),"")</f>
        <v/>
      </c>
      <c r="CC123" s="28" t="str">
        <f aca="false">IFERROR(INDEX(Assessments!$H$2:$H$600,MATCH($H123&amp;"|"&amp;$I123&amp;"|"&amp;$J123&amp;"|"&amp;9,Assessments!$A$2:$A$600,0)),"")</f>
        <v/>
      </c>
      <c r="CD123" s="28" t="str">
        <f aca="false">IFERROR(INDEX(Assessments!$H$2:$H$600,MATCH($H123&amp;"|"&amp;$I123&amp;"|"&amp;$J123&amp;"|"&amp;10,Assessments!$A$2:$A$600,0)),"")</f>
        <v/>
      </c>
      <c r="CE123" s="28" t="str">
        <f aca="false">IFERROR(INDEX(Assessments!$H$2:$H$600,MATCH($H123&amp;"|"&amp;$I123&amp;"|"&amp;$J123&amp;"|"&amp;11,Assessments!$A$2:$A$600,0)),"")</f>
        <v/>
      </c>
      <c r="CF123" s="28" t="str">
        <f aca="false">IFERROR(INDEX(Assessments!$H$2:$H$600,MATCH($H123&amp;"|"&amp;$I123&amp;"|"&amp;$J123&amp;"|"&amp;12,Assessments!$A$2:$A$600,0)),"")</f>
        <v/>
      </c>
      <c r="CG123" s="28" t="str">
        <f aca="false">IFERROR(INDEX(Assessments!$H$2:$H$600,MATCH($H123&amp;"|"&amp;$I123&amp;"|"&amp;$J123&amp;"|"&amp;13,Assessments!$A$2:$A$600,0)),"")</f>
        <v/>
      </c>
      <c r="CH123" s="28" t="str">
        <f aca="false">IFERROR(INDEX(Assessments!$H$2:$H$600,MATCH($H123&amp;"|"&amp;$I123&amp;"|"&amp;$J123&amp;"|"&amp;14,Assessments!$A$2:$A$600,0)),"")</f>
        <v/>
      </c>
      <c r="CI123" s="28" t="str">
        <f aca="false">IFERROR(INDEX(Assessments!$I$2:$I$600,MATCH($H123&amp;"|"&amp;$I123&amp;"|"&amp;$J123&amp;"|"&amp;1,Assessments!$A$2:$A$600,0)),"")</f>
        <v>BM Test</v>
      </c>
      <c r="CJ123" s="28" t="str">
        <f aca="false">IFERROR(INDEX(Assessments!$I$2:$I$600,MATCH($H123&amp;"|"&amp;$I123&amp;"|"&amp;$J123&amp;"|"&amp;2,Assessments!$A$2:$A$600,0)),"")</f>
        <v>BM Test</v>
      </c>
      <c r="CK123" s="28" t="str">
        <f aca="false">IFERROR(INDEX(Assessments!$I$2:$I$600,MATCH($H123&amp;"|"&amp;$I123&amp;"|"&amp;$J123&amp;"|"&amp;3,Assessments!$A$2:$A$600,0)),"")</f>
        <v>BM Test</v>
      </c>
      <c r="CL123" s="28" t="str">
        <f aca="false">IFERROR(INDEX(Assessments!$I$2:$I$600,MATCH($H123&amp;"|"&amp;$I123&amp;"|"&amp;$J123&amp;"|"&amp;4,Assessments!$A$2:$A$600,0)),"")</f>
        <v>BM Exam</v>
      </c>
      <c r="CM123" s="28" t="str">
        <f aca="false">IFERROR(INDEX(Assessments!$I$2:$I$600,MATCH($H123&amp;"|"&amp;$I123&amp;"|"&amp;$J123&amp;"|"&amp;5,Assessments!$A$2:$A$600,0)),"")</f>
        <v>BM Test</v>
      </c>
      <c r="CN123" s="28" t="str">
        <f aca="false">IFERROR(INDEX(Assessments!$I$2:$I$600,MATCH($H123&amp;"|"&amp;$I123&amp;"|"&amp;$J123&amp;"|"&amp;6,Assessments!$A$2:$A$600,0)),"")</f>
        <v>BM Test</v>
      </c>
      <c r="CO123" s="28" t="str">
        <f aca="false">IFERROR(INDEX(Assessments!$I$2:$I$600,MATCH($H123&amp;"|"&amp;$I123&amp;"|"&amp;$J123&amp;"|"&amp;7,Assessments!$A$2:$A$600,0)),"")</f>
        <v>Grade entered</v>
      </c>
      <c r="CP123" s="28" t="str">
        <f aca="false">IFERROR(INDEX(Assessments!$I$2:$I$600,MATCH($H123&amp;"|"&amp;$I123&amp;"|"&amp;$J123&amp;"|"&amp;8,Assessments!$A$2:$A$600,0)),"")</f>
        <v/>
      </c>
      <c r="CQ123" s="28" t="str">
        <f aca="false">IFERROR(INDEX(Assessments!$I$2:$I$600,MATCH($H123&amp;"|"&amp;$I123&amp;"|"&amp;$J123&amp;"|"&amp;9,Assessments!$A$2:$A$600,0)),"")</f>
        <v/>
      </c>
      <c r="CR123" s="28" t="str">
        <f aca="false">IFERROR(INDEX(Assessments!$I$2:$I$600,MATCH($H123&amp;"|"&amp;$I123&amp;"|"&amp;$J123&amp;"|"&amp;10,Assessments!$A$2:$A$600,0)),"")</f>
        <v/>
      </c>
      <c r="CS123" s="28" t="str">
        <f aca="false">IFERROR(INDEX(Assessments!$I$2:$I$600,MATCH($H123&amp;"|"&amp;$I123&amp;"|"&amp;$J123&amp;"|"&amp;11,Assessments!$A$2:$A$600,0)),"")</f>
        <v/>
      </c>
      <c r="CT123" s="28" t="str">
        <f aca="false">IFERROR(INDEX(Assessments!$I$2:$I$600,MATCH($H123&amp;"|"&amp;$I123&amp;"|"&amp;$J123&amp;"|"&amp;12,Assessments!$A$2:$A$600,0)),"")</f>
        <v/>
      </c>
      <c r="CU123" s="28" t="str">
        <f aca="false">IFERROR(INDEX(Assessments!$I$2:$I$600,MATCH($H123&amp;"|"&amp;$I123&amp;"|"&amp;$J123&amp;"|"&amp;13,Assessments!$A$2:$A$600,0)),"")</f>
        <v/>
      </c>
      <c r="CV123" s="28" t="str">
        <f aca="false">IFERROR(INDEX(Assessments!$I$2:$I$600,MATCH($H123&amp;"|"&amp;$I123&amp;"|"&amp;$J123&amp;"|"&amp;14,Assessments!$A$2:$A$600,0)),"")</f>
        <v/>
      </c>
      <c r="CW123" s="28" t="n">
        <f aca="false">IFERROR(INDEX(Assessments!$J$2:$J$600,MATCH($H123&amp;"|"&amp;$I123&amp;"|"&amp;$J123&amp;"|"&amp;1,Assessments!$A$2:$A$600,0)),0)</f>
        <v>1</v>
      </c>
      <c r="CX123" s="28" t="n">
        <f aca="false">IFERROR(INDEX(Assessments!$J$2:$J$600,MATCH($H123&amp;"|"&amp;$I123&amp;"|"&amp;$J123&amp;"|"&amp;2,Assessments!$A$2:$A$600,0)),0)</f>
        <v>1</v>
      </c>
      <c r="CY123" s="28" t="n">
        <f aca="false">IFERROR(INDEX(Assessments!$J$2:$J$600,MATCH($H123&amp;"|"&amp;$I123&amp;"|"&amp;$J123&amp;"|"&amp;3,Assessments!$A$2:$A$600,0)),0)</f>
        <v>1</v>
      </c>
      <c r="CZ123" s="28" t="n">
        <f aca="false">IFERROR(INDEX(Assessments!$J$2:$J$600,MATCH($H123&amp;"|"&amp;$I123&amp;"|"&amp;$J123&amp;"|"&amp;4,Assessments!$A$2:$A$600,0)),0)</f>
        <v>2</v>
      </c>
      <c r="DA123" s="28" t="n">
        <f aca="false">IFERROR(INDEX(Assessments!$J$2:$J$600,MATCH($H123&amp;"|"&amp;$I123&amp;"|"&amp;$J123&amp;"|"&amp;5,Assessments!$A$2:$A$600,0)),0)</f>
        <v>1</v>
      </c>
      <c r="DB123" s="28" t="n">
        <f aca="false">IFERROR(INDEX(Assessments!$J$2:$J$600,MATCH($H123&amp;"|"&amp;$I123&amp;"|"&amp;$J123&amp;"|"&amp;6,Assessments!$A$2:$A$600,0)),0)</f>
        <v>1</v>
      </c>
      <c r="DC123" s="28" t="n">
        <f aca="false">IFERROR(INDEX(Assessments!$J$2:$J$600,MATCH($H123&amp;"|"&amp;$I123&amp;"|"&amp;$J123&amp;"|"&amp;7,Assessments!$A$2:$A$600,0)),0)</f>
        <v>2</v>
      </c>
      <c r="DD123" s="28" t="n">
        <f aca="false">IFERROR(INDEX(Assessments!$J$2:$J$600,MATCH($H123&amp;"|"&amp;$I123&amp;"|"&amp;$J123&amp;"|"&amp;8,Assessments!$A$2:$A$600,0)),0)</f>
        <v>0</v>
      </c>
      <c r="DE123" s="28" t="n">
        <f aca="false">IFERROR(INDEX(Assessments!$J$2:$J$600,MATCH($H123&amp;"|"&amp;$I123&amp;"|"&amp;$J123&amp;"|"&amp;9,Assessments!$A$2:$A$600,0)),0)</f>
        <v>0</v>
      </c>
      <c r="DF123" s="28" t="n">
        <f aca="false">IFERROR(INDEX(Assessments!$J$2:$J$600,MATCH($H123&amp;"|"&amp;$I123&amp;"|"&amp;$J123&amp;"|"&amp;10,Assessments!$A$2:$A$600,0)),0)</f>
        <v>0</v>
      </c>
      <c r="DG123" s="28" t="n">
        <f aca="false">IFERROR(INDEX(Assessments!$J$2:$J$600,MATCH($H123&amp;"|"&amp;$I123&amp;"|"&amp;$J123&amp;"|"&amp;11,Assessments!$A$2:$A$600,0)),0)</f>
        <v>0</v>
      </c>
      <c r="DH123" s="28" t="n">
        <f aca="false">IFERROR(INDEX(Assessments!$J$2:$J$600,MATCH($H123&amp;"|"&amp;$I123&amp;"|"&amp;$J123&amp;"|"&amp;12,Assessments!$A$2:$A$600,0)),0)</f>
        <v>0</v>
      </c>
      <c r="DI123" s="28" t="n">
        <f aca="false">IFERROR(INDEX(Assessments!$J$2:$J$600,MATCH($H123&amp;"|"&amp;$I123&amp;"|"&amp;$J123&amp;"|"&amp;13,Assessments!$A$2:$A$600,0)),0)</f>
        <v>0</v>
      </c>
      <c r="DJ123" s="28" t="n">
        <f aca="false">IFERROR(INDEX(Assessments!$J$2:$J$600,MATCH($H123&amp;"|"&amp;$I123&amp;"|"&amp;$J123&amp;"|"&amp;14,Assessments!$A$2:$A$600,0)),0)</f>
        <v>0</v>
      </c>
      <c r="DK123" s="28" t="n">
        <f aca="false">S123</f>
        <v>6</v>
      </c>
      <c r="DL123" s="28" t="n">
        <f aca="false">W123</f>
        <v>6</v>
      </c>
      <c r="DM123" s="28" t="n">
        <f aca="false">AA123</f>
        <v>6</v>
      </c>
      <c r="DN123" s="28" t="n">
        <f aca="false">AE123</f>
        <v>7</v>
      </c>
      <c r="DO123" s="28" t="str">
        <f aca="false">AI123</f>
        <v/>
      </c>
      <c r="DP123" s="28" t="str">
        <f aca="false">AM123</f>
        <v/>
      </c>
      <c r="DQ123" s="28" t="str">
        <f aca="false">AQ123</f>
        <v/>
      </c>
      <c r="DR123" s="28" t="str">
        <f aca="false">AU123</f>
        <v/>
      </c>
      <c r="DS123" s="28" t="str">
        <f aca="false">AY123</f>
        <v/>
      </c>
      <c r="DT123" s="28" t="str">
        <f aca="false">BC123</f>
        <v/>
      </c>
      <c r="DU123" s="28" t="str">
        <f aca="false">BG123</f>
        <v/>
      </c>
      <c r="DV123" s="28" t="str">
        <f aca="false">BK123</f>
        <v/>
      </c>
      <c r="DW123" s="28" t="str">
        <f aca="false">BO123</f>
        <v/>
      </c>
      <c r="DX123" s="28" t="str">
        <f aca="false">BS123</f>
        <v/>
      </c>
      <c r="DY123" s="28" t="n">
        <f aca="false">IF(ISNUMBER(S123),1,"")</f>
        <v>1</v>
      </c>
      <c r="DZ123" s="28" t="n">
        <f aca="false">IF(ISNUMBER(W123),2,"")</f>
        <v>2</v>
      </c>
      <c r="EA123" s="28" t="n">
        <f aca="false">IF(ISNUMBER(AA123),3,"")</f>
        <v>3</v>
      </c>
      <c r="EB123" s="28" t="n">
        <f aca="false">IF(ISNUMBER(AE123),4,"")</f>
        <v>4</v>
      </c>
      <c r="EC123" s="28" t="str">
        <f aca="false">IF(ISNUMBER(AI123),5,"")</f>
        <v/>
      </c>
      <c r="ED123" s="28" t="str">
        <f aca="false">IF(ISNUMBER(AM123),6,"")</f>
        <v/>
      </c>
      <c r="EE123" s="28" t="str">
        <f aca="false">IF(ISNUMBER(AQ123),7,"")</f>
        <v/>
      </c>
      <c r="EF123" s="28" t="str">
        <f aca="false">IF(ISNUMBER(AU123),8,"")</f>
        <v/>
      </c>
      <c r="EG123" s="28" t="str">
        <f aca="false">IF(ISNUMBER(AY123),9,"")</f>
        <v/>
      </c>
      <c r="EH123" s="28" t="str">
        <f aca="false">IF(ISNUMBER(BC123),10,"")</f>
        <v/>
      </c>
      <c r="EI123" s="28" t="str">
        <f aca="false">IF(ISNUMBER(BG123),11,"")</f>
        <v/>
      </c>
      <c r="EJ123" s="28" t="str">
        <f aca="false">IF(ISNUMBER(BK123),12,"")</f>
        <v/>
      </c>
      <c r="EK123" s="28" t="str">
        <f aca="false">IF(ISNUMBER(BO123),13,"")</f>
        <v/>
      </c>
      <c r="EL123" s="28" t="str">
        <f aca="false">IF(ISNUMBER(BS123),14,"")</f>
        <v/>
      </c>
      <c r="EM123" s="28" t="n">
        <f aca="false">IF(ISNUMBER(R123),R123*CW123,0)</f>
        <v>66.6666666666667</v>
      </c>
      <c r="EN123" s="28" t="n">
        <f aca="false">IF(ISNUMBER(V123),V123*CX123,0)</f>
        <v>65</v>
      </c>
      <c r="EO123" s="28" t="n">
        <f aca="false">IF(ISNUMBER(Z123),Z123*CY123,0)</f>
        <v>70</v>
      </c>
      <c r="EP123" s="28" t="n">
        <f aca="false">IF(ISNUMBER(AD123),AD123*CZ123,0)</f>
        <v>170</v>
      </c>
      <c r="EQ123" s="28" t="n">
        <f aca="false">IF(ISNUMBER(AH123),AH123*DA123,0)</f>
        <v>0</v>
      </c>
      <c r="ER123" s="28" t="n">
        <f aca="false">IF(ISNUMBER(AL123),AL123*DB123,0)</f>
        <v>0</v>
      </c>
      <c r="ES123" s="28" t="n">
        <f aca="false">IF(ISNUMBER(AP123),AP123*DC123,0)</f>
        <v>0</v>
      </c>
      <c r="ET123" s="28" t="n">
        <f aca="false">IF(ISNUMBER(AT123),AT123*DD123,0)</f>
        <v>0</v>
      </c>
      <c r="EU123" s="28" t="n">
        <f aca="false">IF(ISNUMBER(AX123),AX123*DE123,0)</f>
        <v>0</v>
      </c>
      <c r="EV123" s="28" t="n">
        <f aca="false">IF(ISNUMBER(BB123),BB123*DF123,0)</f>
        <v>0</v>
      </c>
      <c r="EW123" s="28" t="n">
        <f aca="false">IF(ISNUMBER(BF123),BF123*DG123,0)</f>
        <v>0</v>
      </c>
      <c r="EX123" s="28" t="n">
        <f aca="false">IF(ISNUMBER(BJ123),BJ123*DH123,0)</f>
        <v>0</v>
      </c>
      <c r="EY123" s="28" t="n">
        <f aca="false">IF(ISNUMBER(BN123),BN123*DI123,0)</f>
        <v>0</v>
      </c>
      <c r="EZ123" s="28" t="n">
        <f aca="false">IF(ISNUMBER(BR123),BR123*DJ123,0)</f>
        <v>0</v>
      </c>
      <c r="FA123" s="28" t="n">
        <f aca="false">IF(ISNUMBER(R123),CW123,0)</f>
        <v>1</v>
      </c>
      <c r="FB123" s="28" t="n">
        <f aca="false">IF(ISNUMBER(V123),CX123,0)</f>
        <v>1</v>
      </c>
      <c r="FC123" s="28" t="n">
        <f aca="false">IF(ISNUMBER(Z123),CY123,0)</f>
        <v>1</v>
      </c>
      <c r="FD123" s="28" t="n">
        <f aca="false">IF(ISNUMBER(AD123),CZ123,0)</f>
        <v>2</v>
      </c>
      <c r="FE123" s="28" t="n">
        <f aca="false">IF(ISNUMBER(AH123),DA123,0)</f>
        <v>0</v>
      </c>
      <c r="FF123" s="28" t="n">
        <f aca="false">IF(ISNUMBER(AL123),DB123,0)</f>
        <v>0</v>
      </c>
      <c r="FG123" s="28" t="n">
        <f aca="false">IF(ISNUMBER(AP123),DC123,0)</f>
        <v>0</v>
      </c>
      <c r="FH123" s="28" t="n">
        <f aca="false">IF(ISNUMBER(AT123),DD123,0)</f>
        <v>0</v>
      </c>
      <c r="FI123" s="28" t="n">
        <f aca="false">IF(ISNUMBER(AX123),DE123,0)</f>
        <v>0</v>
      </c>
      <c r="FJ123" s="28" t="n">
        <f aca="false">IF(ISNUMBER(BB123),DF123,0)</f>
        <v>0</v>
      </c>
      <c r="FK123" s="28" t="n">
        <f aca="false">IF(ISNUMBER(BF123),DG123,0)</f>
        <v>0</v>
      </c>
      <c r="FL123" s="28" t="n">
        <f aca="false">IF(ISNUMBER(BJ123),DH123,0)</f>
        <v>0</v>
      </c>
      <c r="FM123" s="28" t="n">
        <f aca="false">IF(ISNUMBER(BN123),DI123,0)</f>
        <v>0</v>
      </c>
      <c r="FN123" s="28" t="n">
        <f aca="false">IF(ISNUMBER(BR123),DJ123,0)</f>
        <v>0</v>
      </c>
      <c r="FO123" s="28" t="str">
        <f aca="false">IFERROR(INDEX(Lists!$G$2:$G$20,MATCH($I123&amp;"|"&amp;$J123,Lists!$F$2:$F$20,0)),"")</f>
        <v>BM Exam</v>
      </c>
    </row>
    <row r="124" customFormat="false" ht="19.5" hidden="false" customHeight="true" outlineLevel="0" collapsed="false">
      <c r="A124" s="29" t="s">
        <v>366</v>
      </c>
      <c r="B124" s="29" t="s">
        <v>367</v>
      </c>
      <c r="C124" s="30" t="s">
        <v>152</v>
      </c>
      <c r="D124" s="30" t="s">
        <v>364</v>
      </c>
      <c r="E124" s="31" t="n">
        <v>5.5</v>
      </c>
      <c r="F124" s="30" t="n">
        <v>6</v>
      </c>
      <c r="G124" s="30"/>
      <c r="H124" s="32" t="s">
        <v>23</v>
      </c>
      <c r="I124" s="33" t="s">
        <v>365</v>
      </c>
      <c r="J124" s="32" t="s">
        <v>25</v>
      </c>
      <c r="K124" s="34" t="n">
        <f aca="false">IF(OR(M124="",$E124=""),"",M124-$E124)</f>
        <v>-0.5</v>
      </c>
      <c r="L124" s="35" t="n">
        <f aca="false">IF(SUM(FA124:FN124)=0,"",SUM(EM124:EZ124)/SUM(FA124:FN124))</f>
        <v>53.265306122449</v>
      </c>
      <c r="M124" s="36" t="n">
        <f aca="false">IF(OR(L124="",FO124=""),"",IFERROR(MATCH(L124,INDEX(Boundaries!$B$2:$I$30,MATCH(FO124,Boundaries!$A$2:$A$30,0),0),1)-1,""))</f>
        <v>5</v>
      </c>
      <c r="N124" s="37" t="n">
        <f aca="false">IF(COUNT($DY124:$EL124)&lt;2,"",INDEX($DK124:$DX124,MAX($DY124:$EL124))-INDEX($DK124:$DX124,MIN($DY124:$EL124)))</f>
        <v>0</v>
      </c>
      <c r="O124" s="37" t="n">
        <f aca="false">IF(COUNT($DY124:$EL124)&lt;2,"",INDEX($DK124:$DX124,MAX($DY124:$EL124))-INDEX($DK124:$DX124,LARGE($DY124:$EL124,2)))</f>
        <v>1</v>
      </c>
      <c r="P124" s="38" t="str">
        <f aca="false">IF(K124="","",IF(K124&gt;=0,"On/above target",IF(AND(N124&lt;&gt;"",N124&gt;=0.5),"Improving towards target",IF(AND(O124&lt;&gt;"",O124&lt;=-0.5),"Declining","Stable below target"))))</f>
        <v>Stable below target</v>
      </c>
      <c r="Q124" s="39" t="n">
        <v>12</v>
      </c>
      <c r="R124" s="40" t="n">
        <f aca="false">IF(OR(Q124="",BU124=""),"",Q124/BU124*100)</f>
        <v>50</v>
      </c>
      <c r="S124" s="41" t="n">
        <f aca="false">IF(R124="","",IFERROR(MATCH(R124,INDEX(Boundaries!$B$2:$I$30,MATCH(CI124,Boundaries!$A$2:$A$30,0),0),1)-1,""))</f>
        <v>5</v>
      </c>
      <c r="T124" s="42" t="n">
        <f aca="false">IF(OR(S124="",$E124=""),"",S124-$E124)</f>
        <v>-0.5</v>
      </c>
      <c r="U124" s="39" t="n">
        <v>8</v>
      </c>
      <c r="V124" s="40" t="n">
        <f aca="false">IF(OR(U124="",BV124=""),"",U124/BV124*100)</f>
        <v>40</v>
      </c>
      <c r="W124" s="41" t="n">
        <f aca="false">IF(V124="","",IFERROR(MATCH(V124,INDEX(Boundaries!$B$2:$I$30,MATCH(CJ124,Boundaries!$A$2:$A$30,0),0),1)-1,""))</f>
        <v>4</v>
      </c>
      <c r="X124" s="42" t="n">
        <f aca="false">IF(OR(W124="",$E124=""),"",W124-$E124)</f>
        <v>-1.5</v>
      </c>
      <c r="Y124" s="39" t="n">
        <v>11</v>
      </c>
      <c r="Z124" s="40" t="n">
        <f aca="false">IF(OR(Y124="",BW124=""),"",Y124/BW124*100)</f>
        <v>55</v>
      </c>
      <c r="AA124" s="41" t="n">
        <f aca="false">IF(Z124="","",IFERROR(MATCH(Z124,INDEX(Boundaries!$B$2:$I$30,MATCH(CK124,Boundaries!$A$2:$A$30,0),0),1)-1,""))</f>
        <v>5</v>
      </c>
      <c r="AB124" s="42" t="n">
        <f aca="false">IF(OR(AA124="",$E124=""),"",AA124-$E124)</f>
        <v>-0.5</v>
      </c>
      <c r="AC124" s="39" t="n">
        <v>17</v>
      </c>
      <c r="AD124" s="40" t="n">
        <f aca="false">IF(OR(AC124="",BX124=""),"",AC124/BX124*100)</f>
        <v>42.5</v>
      </c>
      <c r="AE124" s="41" t="n">
        <f aca="false">IF(AD124="","",IFERROR(MATCH(AD124,INDEX(Boundaries!$B$2:$I$30,MATCH(CL124,Boundaries!$A$2:$A$30,0),0),1)-1,""))</f>
        <v>4</v>
      </c>
      <c r="AF124" s="42" t="n">
        <f aca="false">IF(OR(AE124="",$E124=""),"",AE124-$E124)</f>
        <v>-1.5</v>
      </c>
      <c r="AG124" s="39"/>
      <c r="AH124" s="40" t="str">
        <f aca="false">IF(OR(AG124="",BY124=""),"",AG124/BY124*100)</f>
        <v/>
      </c>
      <c r="AI124" s="41" t="str">
        <f aca="false">IF(AH124="","",IFERROR(MATCH(AH124,INDEX(Boundaries!$B$2:$I$30,MATCH(CM124,Boundaries!$A$2:$A$30,0),0),1)-1,""))</f>
        <v/>
      </c>
      <c r="AJ124" s="42" t="str">
        <f aca="false">IF(OR(AI124="",$E124=""),"",AI124-$E124)</f>
        <v/>
      </c>
      <c r="AK124" s="39"/>
      <c r="AL124" s="40" t="str">
        <f aca="false">IF(OR(AK124="",BZ124=""),"",AK124/BZ124*100)</f>
        <v/>
      </c>
      <c r="AM124" s="41" t="str">
        <f aca="false">IF(AL124="","",IFERROR(MATCH(AL124,INDEX(Boundaries!$B$2:$I$30,MATCH(CN124,Boundaries!$A$2:$A$30,0),0),1)-1,""))</f>
        <v/>
      </c>
      <c r="AN124" s="42" t="str">
        <f aca="false">IF(OR(AM124="",$E124=""),"",AM124-$E124)</f>
        <v/>
      </c>
      <c r="AO124" s="39" t="n">
        <v>5</v>
      </c>
      <c r="AP124" s="40" t="n">
        <f aca="false">IF(OR(AO124="",CA124=""),"",AO124/CA124*100)</f>
        <v>71.4285714285714</v>
      </c>
      <c r="AQ124" s="41" t="n">
        <f aca="false">IF(AP124="","",IFERROR(MATCH(AP124,INDEX(Boundaries!$B$2:$I$30,MATCH(CO124,Boundaries!$A$2:$A$30,0),0),1)-1,""))</f>
        <v>5</v>
      </c>
      <c r="AR124" s="42" t="n">
        <f aca="false">IF(OR(AQ124="",$E124=""),"",AQ124-$E124)</f>
        <v>-0.5</v>
      </c>
      <c r="AS124" s="39"/>
      <c r="AT124" s="40" t="str">
        <f aca="false">IF(OR(AS124="",CB124=""),"",AS124/CB124*100)</f>
        <v/>
      </c>
      <c r="AU124" s="41" t="str">
        <f aca="false">IF(AT124="","",IFERROR(MATCH(AT124,INDEX(Boundaries!$B$2:$I$30,MATCH(CP124,Boundaries!$A$2:$A$30,0),0),1)-1,""))</f>
        <v/>
      </c>
      <c r="AV124" s="42" t="str">
        <f aca="false">IF(OR(AU124="",$E124=""),"",AU124-$E124)</f>
        <v/>
      </c>
      <c r="AW124" s="39"/>
      <c r="AX124" s="40" t="str">
        <f aca="false">IF(OR(AW124="",CC124=""),"",AW124/CC124*100)</f>
        <v/>
      </c>
      <c r="AY124" s="41" t="str">
        <f aca="false">IF(AX124="","",IFERROR(MATCH(AX124,INDEX(Boundaries!$B$2:$I$30,MATCH(CQ124,Boundaries!$A$2:$A$30,0),0),1)-1,""))</f>
        <v/>
      </c>
      <c r="AZ124" s="42" t="str">
        <f aca="false">IF(OR(AY124="",$E124=""),"",AY124-$E124)</f>
        <v/>
      </c>
      <c r="BA124" s="39"/>
      <c r="BB124" s="40" t="str">
        <f aca="false">IF(OR(BA124="",CD124=""),"",BA124/CD124*100)</f>
        <v/>
      </c>
      <c r="BC124" s="41" t="str">
        <f aca="false">IF(BB124="","",IFERROR(MATCH(BB124,INDEX(Boundaries!$B$2:$I$30,MATCH(CR124,Boundaries!$A$2:$A$30,0),0),1)-1,""))</f>
        <v/>
      </c>
      <c r="BD124" s="42" t="str">
        <f aca="false">IF(OR(BC124="",$E124=""),"",BC124-$E124)</f>
        <v/>
      </c>
      <c r="BE124" s="39"/>
      <c r="BF124" s="40" t="str">
        <f aca="false">IF(OR(BE124="",CE124=""),"",BE124/CE124*100)</f>
        <v/>
      </c>
      <c r="BG124" s="41" t="str">
        <f aca="false">IF(BF124="","",IFERROR(MATCH(BF124,INDEX(Boundaries!$B$2:$I$30,MATCH(CS124,Boundaries!$A$2:$A$30,0),0),1)-1,""))</f>
        <v/>
      </c>
      <c r="BH124" s="42" t="str">
        <f aca="false">IF(OR(BG124="",$E124=""),"",BG124-$E124)</f>
        <v/>
      </c>
      <c r="BI124" s="39"/>
      <c r="BJ124" s="40" t="str">
        <f aca="false">IF(OR(BI124="",CF124=""),"",BI124/CF124*100)</f>
        <v/>
      </c>
      <c r="BK124" s="41" t="str">
        <f aca="false">IF(BJ124="","",IFERROR(MATCH(BJ124,INDEX(Boundaries!$B$2:$I$30,MATCH(CT124,Boundaries!$A$2:$A$30,0),0),1)-1,""))</f>
        <v/>
      </c>
      <c r="BL124" s="42" t="str">
        <f aca="false">IF(OR(BK124="",$E124=""),"",BK124-$E124)</f>
        <v/>
      </c>
      <c r="BM124" s="39"/>
      <c r="BN124" s="40" t="str">
        <f aca="false">IF(OR(BM124="",CG124=""),"",BM124/CG124*100)</f>
        <v/>
      </c>
      <c r="BO124" s="41" t="str">
        <f aca="false">IF(BN124="","",IFERROR(MATCH(BN124,INDEX(Boundaries!$B$2:$I$30,MATCH(CU124,Boundaries!$A$2:$A$30,0),0),1)-1,""))</f>
        <v/>
      </c>
      <c r="BP124" s="42" t="str">
        <f aca="false">IF(OR(BO124="",$E124=""),"",BO124-$E124)</f>
        <v/>
      </c>
      <c r="BQ124" s="39"/>
      <c r="BR124" s="40" t="str">
        <f aca="false">IF(OR(BQ124="",CH124=""),"",BQ124/CH124*100)</f>
        <v/>
      </c>
      <c r="BS124" s="41" t="str">
        <f aca="false">IF(BR124="","",IFERROR(MATCH(BR124,INDEX(Boundaries!$B$2:$I$30,MATCH(CV124,Boundaries!$A$2:$A$30,0),0),1)-1,""))</f>
        <v/>
      </c>
      <c r="BT124" s="42" t="str">
        <f aca="false">IF(OR(BS124="",$E124=""),"",BS124-$E124)</f>
        <v/>
      </c>
      <c r="BU124" s="28" t="n">
        <f aca="false">IFERROR(INDEX(Assessments!$H$2:$H$600,MATCH($H124&amp;"|"&amp;$I124&amp;"|"&amp;$J124&amp;"|"&amp;1,Assessments!$A$2:$A$600,0)),"")</f>
        <v>24</v>
      </c>
      <c r="BV124" s="28" t="n">
        <f aca="false">IFERROR(INDEX(Assessments!$H$2:$H$600,MATCH($H124&amp;"|"&amp;$I124&amp;"|"&amp;$J124&amp;"|"&amp;2,Assessments!$A$2:$A$600,0)),"")</f>
        <v>20</v>
      </c>
      <c r="BW124" s="28" t="n">
        <f aca="false">IFERROR(INDEX(Assessments!$H$2:$H$600,MATCH($H124&amp;"|"&amp;$I124&amp;"|"&amp;$J124&amp;"|"&amp;3,Assessments!$A$2:$A$600,0)),"")</f>
        <v>20</v>
      </c>
      <c r="BX124" s="28" t="n">
        <f aca="false">IFERROR(INDEX(Assessments!$H$2:$H$600,MATCH($H124&amp;"|"&amp;$I124&amp;"|"&amp;$J124&amp;"|"&amp;4,Assessments!$A$2:$A$600,0)),"")</f>
        <v>40</v>
      </c>
      <c r="BY124" s="28" t="n">
        <f aca="false">IFERROR(INDEX(Assessments!$H$2:$H$600,MATCH($H124&amp;"|"&amp;$I124&amp;"|"&amp;$J124&amp;"|"&amp;5,Assessments!$A$2:$A$600,0)),"")</f>
        <v>30</v>
      </c>
      <c r="BZ124" s="28" t="n">
        <f aca="false">IFERROR(INDEX(Assessments!$H$2:$H$600,MATCH($H124&amp;"|"&amp;$I124&amp;"|"&amp;$J124&amp;"|"&amp;6,Assessments!$A$2:$A$600,0)),"")</f>
        <v>20</v>
      </c>
      <c r="CA124" s="28" t="n">
        <f aca="false">IFERROR(INDEX(Assessments!$H$2:$H$600,MATCH($H124&amp;"|"&amp;$I124&amp;"|"&amp;$J124&amp;"|"&amp;7,Assessments!$A$2:$A$600,0)),"")</f>
        <v>7</v>
      </c>
      <c r="CB124" s="28" t="str">
        <f aca="false">IFERROR(INDEX(Assessments!$H$2:$H$600,MATCH($H124&amp;"|"&amp;$I124&amp;"|"&amp;$J124&amp;"|"&amp;8,Assessments!$A$2:$A$600,0)),"")</f>
        <v/>
      </c>
      <c r="CC124" s="28" t="str">
        <f aca="false">IFERROR(INDEX(Assessments!$H$2:$H$600,MATCH($H124&amp;"|"&amp;$I124&amp;"|"&amp;$J124&amp;"|"&amp;9,Assessments!$A$2:$A$600,0)),"")</f>
        <v/>
      </c>
      <c r="CD124" s="28" t="str">
        <f aca="false">IFERROR(INDEX(Assessments!$H$2:$H$600,MATCH($H124&amp;"|"&amp;$I124&amp;"|"&amp;$J124&amp;"|"&amp;10,Assessments!$A$2:$A$600,0)),"")</f>
        <v/>
      </c>
      <c r="CE124" s="28" t="str">
        <f aca="false">IFERROR(INDEX(Assessments!$H$2:$H$600,MATCH($H124&amp;"|"&amp;$I124&amp;"|"&amp;$J124&amp;"|"&amp;11,Assessments!$A$2:$A$600,0)),"")</f>
        <v/>
      </c>
      <c r="CF124" s="28" t="str">
        <f aca="false">IFERROR(INDEX(Assessments!$H$2:$H$600,MATCH($H124&amp;"|"&amp;$I124&amp;"|"&amp;$J124&amp;"|"&amp;12,Assessments!$A$2:$A$600,0)),"")</f>
        <v/>
      </c>
      <c r="CG124" s="28" t="str">
        <f aca="false">IFERROR(INDEX(Assessments!$H$2:$H$600,MATCH($H124&amp;"|"&amp;$I124&amp;"|"&amp;$J124&amp;"|"&amp;13,Assessments!$A$2:$A$600,0)),"")</f>
        <v/>
      </c>
      <c r="CH124" s="28" t="str">
        <f aca="false">IFERROR(INDEX(Assessments!$H$2:$H$600,MATCH($H124&amp;"|"&amp;$I124&amp;"|"&amp;$J124&amp;"|"&amp;14,Assessments!$A$2:$A$600,0)),"")</f>
        <v/>
      </c>
      <c r="CI124" s="28" t="str">
        <f aca="false">IFERROR(INDEX(Assessments!$I$2:$I$600,MATCH($H124&amp;"|"&amp;$I124&amp;"|"&amp;$J124&amp;"|"&amp;1,Assessments!$A$2:$A$600,0)),"")</f>
        <v>BM Test</v>
      </c>
      <c r="CJ124" s="28" t="str">
        <f aca="false">IFERROR(INDEX(Assessments!$I$2:$I$600,MATCH($H124&amp;"|"&amp;$I124&amp;"|"&amp;$J124&amp;"|"&amp;2,Assessments!$A$2:$A$600,0)),"")</f>
        <v>BM Test</v>
      </c>
      <c r="CK124" s="28" t="str">
        <f aca="false">IFERROR(INDEX(Assessments!$I$2:$I$600,MATCH($H124&amp;"|"&amp;$I124&amp;"|"&amp;$J124&amp;"|"&amp;3,Assessments!$A$2:$A$600,0)),"")</f>
        <v>BM Test</v>
      </c>
      <c r="CL124" s="28" t="str">
        <f aca="false">IFERROR(INDEX(Assessments!$I$2:$I$600,MATCH($H124&amp;"|"&amp;$I124&amp;"|"&amp;$J124&amp;"|"&amp;4,Assessments!$A$2:$A$600,0)),"")</f>
        <v>BM Exam</v>
      </c>
      <c r="CM124" s="28" t="str">
        <f aca="false">IFERROR(INDEX(Assessments!$I$2:$I$600,MATCH($H124&amp;"|"&amp;$I124&amp;"|"&amp;$J124&amp;"|"&amp;5,Assessments!$A$2:$A$600,0)),"")</f>
        <v>BM Test</v>
      </c>
      <c r="CN124" s="28" t="str">
        <f aca="false">IFERROR(INDEX(Assessments!$I$2:$I$600,MATCH($H124&amp;"|"&amp;$I124&amp;"|"&amp;$J124&amp;"|"&amp;6,Assessments!$A$2:$A$600,0)),"")</f>
        <v>BM Test</v>
      </c>
      <c r="CO124" s="28" t="str">
        <f aca="false">IFERROR(INDEX(Assessments!$I$2:$I$600,MATCH($H124&amp;"|"&amp;$I124&amp;"|"&amp;$J124&amp;"|"&amp;7,Assessments!$A$2:$A$600,0)),"")</f>
        <v>Grade entered</v>
      </c>
      <c r="CP124" s="28" t="str">
        <f aca="false">IFERROR(INDEX(Assessments!$I$2:$I$600,MATCH($H124&amp;"|"&amp;$I124&amp;"|"&amp;$J124&amp;"|"&amp;8,Assessments!$A$2:$A$600,0)),"")</f>
        <v/>
      </c>
      <c r="CQ124" s="28" t="str">
        <f aca="false">IFERROR(INDEX(Assessments!$I$2:$I$600,MATCH($H124&amp;"|"&amp;$I124&amp;"|"&amp;$J124&amp;"|"&amp;9,Assessments!$A$2:$A$600,0)),"")</f>
        <v/>
      </c>
      <c r="CR124" s="28" t="str">
        <f aca="false">IFERROR(INDEX(Assessments!$I$2:$I$600,MATCH($H124&amp;"|"&amp;$I124&amp;"|"&amp;$J124&amp;"|"&amp;10,Assessments!$A$2:$A$600,0)),"")</f>
        <v/>
      </c>
      <c r="CS124" s="28" t="str">
        <f aca="false">IFERROR(INDEX(Assessments!$I$2:$I$600,MATCH($H124&amp;"|"&amp;$I124&amp;"|"&amp;$J124&amp;"|"&amp;11,Assessments!$A$2:$A$600,0)),"")</f>
        <v/>
      </c>
      <c r="CT124" s="28" t="str">
        <f aca="false">IFERROR(INDEX(Assessments!$I$2:$I$600,MATCH($H124&amp;"|"&amp;$I124&amp;"|"&amp;$J124&amp;"|"&amp;12,Assessments!$A$2:$A$600,0)),"")</f>
        <v/>
      </c>
      <c r="CU124" s="28" t="str">
        <f aca="false">IFERROR(INDEX(Assessments!$I$2:$I$600,MATCH($H124&amp;"|"&amp;$I124&amp;"|"&amp;$J124&amp;"|"&amp;13,Assessments!$A$2:$A$600,0)),"")</f>
        <v/>
      </c>
      <c r="CV124" s="28" t="str">
        <f aca="false">IFERROR(INDEX(Assessments!$I$2:$I$600,MATCH($H124&amp;"|"&amp;$I124&amp;"|"&amp;$J124&amp;"|"&amp;14,Assessments!$A$2:$A$600,0)),"")</f>
        <v/>
      </c>
      <c r="CW124" s="28" t="n">
        <f aca="false">IFERROR(INDEX(Assessments!$J$2:$J$600,MATCH($H124&amp;"|"&amp;$I124&amp;"|"&amp;$J124&amp;"|"&amp;1,Assessments!$A$2:$A$600,0)),0)</f>
        <v>1</v>
      </c>
      <c r="CX124" s="28" t="n">
        <f aca="false">IFERROR(INDEX(Assessments!$J$2:$J$600,MATCH($H124&amp;"|"&amp;$I124&amp;"|"&amp;$J124&amp;"|"&amp;2,Assessments!$A$2:$A$600,0)),0)</f>
        <v>1</v>
      </c>
      <c r="CY124" s="28" t="n">
        <f aca="false">IFERROR(INDEX(Assessments!$J$2:$J$600,MATCH($H124&amp;"|"&amp;$I124&amp;"|"&amp;$J124&amp;"|"&amp;3,Assessments!$A$2:$A$600,0)),0)</f>
        <v>1</v>
      </c>
      <c r="CZ124" s="28" t="n">
        <f aca="false">IFERROR(INDEX(Assessments!$J$2:$J$600,MATCH($H124&amp;"|"&amp;$I124&amp;"|"&amp;$J124&amp;"|"&amp;4,Assessments!$A$2:$A$600,0)),0)</f>
        <v>2</v>
      </c>
      <c r="DA124" s="28" t="n">
        <f aca="false">IFERROR(INDEX(Assessments!$J$2:$J$600,MATCH($H124&amp;"|"&amp;$I124&amp;"|"&amp;$J124&amp;"|"&amp;5,Assessments!$A$2:$A$600,0)),0)</f>
        <v>1</v>
      </c>
      <c r="DB124" s="28" t="n">
        <f aca="false">IFERROR(INDEX(Assessments!$J$2:$J$600,MATCH($H124&amp;"|"&amp;$I124&amp;"|"&amp;$J124&amp;"|"&amp;6,Assessments!$A$2:$A$600,0)),0)</f>
        <v>1</v>
      </c>
      <c r="DC124" s="28" t="n">
        <f aca="false">IFERROR(INDEX(Assessments!$J$2:$J$600,MATCH($H124&amp;"|"&amp;$I124&amp;"|"&amp;$J124&amp;"|"&amp;7,Assessments!$A$2:$A$600,0)),0)</f>
        <v>2</v>
      </c>
      <c r="DD124" s="28" t="n">
        <f aca="false">IFERROR(INDEX(Assessments!$J$2:$J$600,MATCH($H124&amp;"|"&amp;$I124&amp;"|"&amp;$J124&amp;"|"&amp;8,Assessments!$A$2:$A$600,0)),0)</f>
        <v>0</v>
      </c>
      <c r="DE124" s="28" t="n">
        <f aca="false">IFERROR(INDEX(Assessments!$J$2:$J$600,MATCH($H124&amp;"|"&amp;$I124&amp;"|"&amp;$J124&amp;"|"&amp;9,Assessments!$A$2:$A$600,0)),0)</f>
        <v>0</v>
      </c>
      <c r="DF124" s="28" t="n">
        <f aca="false">IFERROR(INDEX(Assessments!$J$2:$J$600,MATCH($H124&amp;"|"&amp;$I124&amp;"|"&amp;$J124&amp;"|"&amp;10,Assessments!$A$2:$A$600,0)),0)</f>
        <v>0</v>
      </c>
      <c r="DG124" s="28" t="n">
        <f aca="false">IFERROR(INDEX(Assessments!$J$2:$J$600,MATCH($H124&amp;"|"&amp;$I124&amp;"|"&amp;$J124&amp;"|"&amp;11,Assessments!$A$2:$A$600,0)),0)</f>
        <v>0</v>
      </c>
      <c r="DH124" s="28" t="n">
        <f aca="false">IFERROR(INDEX(Assessments!$J$2:$J$600,MATCH($H124&amp;"|"&amp;$I124&amp;"|"&amp;$J124&amp;"|"&amp;12,Assessments!$A$2:$A$600,0)),0)</f>
        <v>0</v>
      </c>
      <c r="DI124" s="28" t="n">
        <f aca="false">IFERROR(INDEX(Assessments!$J$2:$J$600,MATCH($H124&amp;"|"&amp;$I124&amp;"|"&amp;$J124&amp;"|"&amp;13,Assessments!$A$2:$A$600,0)),0)</f>
        <v>0</v>
      </c>
      <c r="DJ124" s="28" t="n">
        <f aca="false">IFERROR(INDEX(Assessments!$J$2:$J$600,MATCH($H124&amp;"|"&amp;$I124&amp;"|"&amp;$J124&amp;"|"&amp;14,Assessments!$A$2:$A$600,0)),0)</f>
        <v>0</v>
      </c>
      <c r="DK124" s="28" t="n">
        <f aca="false">S124</f>
        <v>5</v>
      </c>
      <c r="DL124" s="28" t="n">
        <f aca="false">W124</f>
        <v>4</v>
      </c>
      <c r="DM124" s="28" t="n">
        <f aca="false">AA124</f>
        <v>5</v>
      </c>
      <c r="DN124" s="28" t="n">
        <f aca="false">AE124</f>
        <v>4</v>
      </c>
      <c r="DO124" s="28" t="str">
        <f aca="false">AI124</f>
        <v/>
      </c>
      <c r="DP124" s="28" t="str">
        <f aca="false">AM124</f>
        <v/>
      </c>
      <c r="DQ124" s="28" t="n">
        <f aca="false">AQ124</f>
        <v>5</v>
      </c>
      <c r="DR124" s="28" t="str">
        <f aca="false">AU124</f>
        <v/>
      </c>
      <c r="DS124" s="28" t="str">
        <f aca="false">AY124</f>
        <v/>
      </c>
      <c r="DT124" s="28" t="str">
        <f aca="false">BC124</f>
        <v/>
      </c>
      <c r="DU124" s="28" t="str">
        <f aca="false">BG124</f>
        <v/>
      </c>
      <c r="DV124" s="28" t="str">
        <f aca="false">BK124</f>
        <v/>
      </c>
      <c r="DW124" s="28" t="str">
        <f aca="false">BO124</f>
        <v/>
      </c>
      <c r="DX124" s="28" t="str">
        <f aca="false">BS124</f>
        <v/>
      </c>
      <c r="DY124" s="28" t="n">
        <f aca="false">IF(ISNUMBER(S124),1,"")</f>
        <v>1</v>
      </c>
      <c r="DZ124" s="28" t="n">
        <f aca="false">IF(ISNUMBER(W124),2,"")</f>
        <v>2</v>
      </c>
      <c r="EA124" s="28" t="n">
        <f aca="false">IF(ISNUMBER(AA124),3,"")</f>
        <v>3</v>
      </c>
      <c r="EB124" s="28" t="n">
        <f aca="false">IF(ISNUMBER(AE124),4,"")</f>
        <v>4</v>
      </c>
      <c r="EC124" s="28" t="str">
        <f aca="false">IF(ISNUMBER(AI124),5,"")</f>
        <v/>
      </c>
      <c r="ED124" s="28" t="str">
        <f aca="false">IF(ISNUMBER(AM124),6,"")</f>
        <v/>
      </c>
      <c r="EE124" s="28" t="n">
        <f aca="false">IF(ISNUMBER(AQ124),7,"")</f>
        <v>7</v>
      </c>
      <c r="EF124" s="28" t="str">
        <f aca="false">IF(ISNUMBER(AU124),8,"")</f>
        <v/>
      </c>
      <c r="EG124" s="28" t="str">
        <f aca="false">IF(ISNUMBER(AY124),9,"")</f>
        <v/>
      </c>
      <c r="EH124" s="28" t="str">
        <f aca="false">IF(ISNUMBER(BC124),10,"")</f>
        <v/>
      </c>
      <c r="EI124" s="28" t="str">
        <f aca="false">IF(ISNUMBER(BG124),11,"")</f>
        <v/>
      </c>
      <c r="EJ124" s="28" t="str">
        <f aca="false">IF(ISNUMBER(BK124),12,"")</f>
        <v/>
      </c>
      <c r="EK124" s="28" t="str">
        <f aca="false">IF(ISNUMBER(BO124),13,"")</f>
        <v/>
      </c>
      <c r="EL124" s="28" t="str">
        <f aca="false">IF(ISNUMBER(BS124),14,"")</f>
        <v/>
      </c>
      <c r="EM124" s="28" t="n">
        <f aca="false">IF(ISNUMBER(R124),R124*CW124,0)</f>
        <v>50</v>
      </c>
      <c r="EN124" s="28" t="n">
        <f aca="false">IF(ISNUMBER(V124),V124*CX124,0)</f>
        <v>40</v>
      </c>
      <c r="EO124" s="28" t="n">
        <f aca="false">IF(ISNUMBER(Z124),Z124*CY124,0)</f>
        <v>55</v>
      </c>
      <c r="EP124" s="28" t="n">
        <f aca="false">IF(ISNUMBER(AD124),AD124*CZ124,0)</f>
        <v>85</v>
      </c>
      <c r="EQ124" s="28" t="n">
        <f aca="false">IF(ISNUMBER(AH124),AH124*DA124,0)</f>
        <v>0</v>
      </c>
      <c r="ER124" s="28" t="n">
        <f aca="false">IF(ISNUMBER(AL124),AL124*DB124,0)</f>
        <v>0</v>
      </c>
      <c r="ES124" s="28" t="n">
        <f aca="false">IF(ISNUMBER(AP124),AP124*DC124,0)</f>
        <v>142.857142857143</v>
      </c>
      <c r="ET124" s="28" t="n">
        <f aca="false">IF(ISNUMBER(AT124),AT124*DD124,0)</f>
        <v>0</v>
      </c>
      <c r="EU124" s="28" t="n">
        <f aca="false">IF(ISNUMBER(AX124),AX124*DE124,0)</f>
        <v>0</v>
      </c>
      <c r="EV124" s="28" t="n">
        <f aca="false">IF(ISNUMBER(BB124),BB124*DF124,0)</f>
        <v>0</v>
      </c>
      <c r="EW124" s="28" t="n">
        <f aca="false">IF(ISNUMBER(BF124),BF124*DG124,0)</f>
        <v>0</v>
      </c>
      <c r="EX124" s="28" t="n">
        <f aca="false">IF(ISNUMBER(BJ124),BJ124*DH124,0)</f>
        <v>0</v>
      </c>
      <c r="EY124" s="28" t="n">
        <f aca="false">IF(ISNUMBER(BN124),BN124*DI124,0)</f>
        <v>0</v>
      </c>
      <c r="EZ124" s="28" t="n">
        <f aca="false">IF(ISNUMBER(BR124),BR124*DJ124,0)</f>
        <v>0</v>
      </c>
      <c r="FA124" s="28" t="n">
        <f aca="false">IF(ISNUMBER(R124),CW124,0)</f>
        <v>1</v>
      </c>
      <c r="FB124" s="28" t="n">
        <f aca="false">IF(ISNUMBER(V124),CX124,0)</f>
        <v>1</v>
      </c>
      <c r="FC124" s="28" t="n">
        <f aca="false">IF(ISNUMBER(Z124),CY124,0)</f>
        <v>1</v>
      </c>
      <c r="FD124" s="28" t="n">
        <f aca="false">IF(ISNUMBER(AD124),CZ124,0)</f>
        <v>2</v>
      </c>
      <c r="FE124" s="28" t="n">
        <f aca="false">IF(ISNUMBER(AH124),DA124,0)</f>
        <v>0</v>
      </c>
      <c r="FF124" s="28" t="n">
        <f aca="false">IF(ISNUMBER(AL124),DB124,0)</f>
        <v>0</v>
      </c>
      <c r="FG124" s="28" t="n">
        <f aca="false">IF(ISNUMBER(AP124),DC124,0)</f>
        <v>2</v>
      </c>
      <c r="FH124" s="28" t="n">
        <f aca="false">IF(ISNUMBER(AT124),DD124,0)</f>
        <v>0</v>
      </c>
      <c r="FI124" s="28" t="n">
        <f aca="false">IF(ISNUMBER(AX124),DE124,0)</f>
        <v>0</v>
      </c>
      <c r="FJ124" s="28" t="n">
        <f aca="false">IF(ISNUMBER(BB124),DF124,0)</f>
        <v>0</v>
      </c>
      <c r="FK124" s="28" t="n">
        <f aca="false">IF(ISNUMBER(BF124),DG124,0)</f>
        <v>0</v>
      </c>
      <c r="FL124" s="28" t="n">
        <f aca="false">IF(ISNUMBER(BJ124),DH124,0)</f>
        <v>0</v>
      </c>
      <c r="FM124" s="28" t="n">
        <f aca="false">IF(ISNUMBER(BN124),DI124,0)</f>
        <v>0</v>
      </c>
      <c r="FN124" s="28" t="n">
        <f aca="false">IF(ISNUMBER(BR124),DJ124,0)</f>
        <v>0</v>
      </c>
      <c r="FO124" s="28" t="str">
        <f aca="false">IFERROR(INDEX(Lists!$G$2:$G$20,MATCH($I124&amp;"|"&amp;$J124,Lists!$F$2:$F$20,0)),"")</f>
        <v>BM Exam</v>
      </c>
    </row>
    <row r="125" customFormat="false" ht="19.5" hidden="false" customHeight="true" outlineLevel="0" collapsed="false">
      <c r="A125" s="29" t="s">
        <v>368</v>
      </c>
      <c r="B125" s="29" t="s">
        <v>369</v>
      </c>
      <c r="C125" s="30" t="s">
        <v>152</v>
      </c>
      <c r="D125" s="30" t="s">
        <v>364</v>
      </c>
      <c r="E125" s="31" t="n">
        <v>5.3</v>
      </c>
      <c r="F125" s="30" t="n">
        <v>6</v>
      </c>
      <c r="G125" s="30"/>
      <c r="H125" s="32" t="s">
        <v>23</v>
      </c>
      <c r="I125" s="33" t="s">
        <v>365</v>
      </c>
      <c r="J125" s="32" t="s">
        <v>25</v>
      </c>
      <c r="K125" s="34" t="n">
        <f aca="false">IF(OR(M125="",$E125=""),"",M125-$E125)</f>
        <v>0.7</v>
      </c>
      <c r="L125" s="35" t="n">
        <f aca="false">IF(SUM(FA125:FN125)=0,"",SUM(EM125:EZ125)/SUM(FA125:FN125))</f>
        <v>64.6938775510204</v>
      </c>
      <c r="M125" s="36" t="n">
        <f aca="false">IF(OR(L125="",FO125=""),"",IFERROR(MATCH(L125,INDEX(Boundaries!$B$2:$I$30,MATCH(FO125,Boundaries!$A$2:$A$30,0),0),1)-1,""))</f>
        <v>6</v>
      </c>
      <c r="N125" s="37" t="n">
        <f aca="false">IF(COUNT($DY125:$EL125)&lt;2,"",INDEX($DK125:$DX125,MAX($DY125:$EL125))-INDEX($DK125:$DX125,MIN($DY125:$EL125)))</f>
        <v>-2</v>
      </c>
      <c r="O125" s="37" t="n">
        <f aca="false">IF(COUNT($DY125:$EL125)&lt;2,"",INDEX($DK125:$DX125,MAX($DY125:$EL125))-INDEX($DK125:$DX125,LARGE($DY125:$EL125,2)))</f>
        <v>-1</v>
      </c>
      <c r="P125" s="38" t="str">
        <f aca="false">IF(K125="","",IF(K125&gt;=0,"On/above target",IF(AND(N125&lt;&gt;"",N125&gt;=0.5),"Improving towards target",IF(AND(O125&lt;&gt;"",O125&lt;=-0.5),"Declining","Stable below target"))))</f>
        <v>On/above target</v>
      </c>
      <c r="Q125" s="39" t="n">
        <v>18</v>
      </c>
      <c r="R125" s="40" t="n">
        <f aca="false">IF(OR(Q125="",BU125=""),"",Q125/BU125*100)</f>
        <v>75</v>
      </c>
      <c r="S125" s="41" t="n">
        <f aca="false">IF(R125="","",IFERROR(MATCH(R125,INDEX(Boundaries!$B$2:$I$30,MATCH(CI125,Boundaries!$A$2:$A$30,0),0),1)-1,""))</f>
        <v>7</v>
      </c>
      <c r="T125" s="42" t="n">
        <f aca="false">IF(OR(S125="",$E125=""),"",S125-$E125)</f>
        <v>1.7</v>
      </c>
      <c r="U125" s="39" t="n">
        <v>10</v>
      </c>
      <c r="V125" s="40" t="n">
        <f aca="false">IF(OR(U125="",BV125=""),"",U125/BV125*100)</f>
        <v>50</v>
      </c>
      <c r="W125" s="41" t="n">
        <f aca="false">IF(V125="","",IFERROR(MATCH(V125,INDEX(Boundaries!$B$2:$I$30,MATCH(CJ125,Boundaries!$A$2:$A$30,0),0),1)-1,""))</f>
        <v>5</v>
      </c>
      <c r="X125" s="42" t="n">
        <f aca="false">IF(OR(W125="",$E125=""),"",W125-$E125)</f>
        <v>-0.3</v>
      </c>
      <c r="Y125" s="39" t="n">
        <v>11</v>
      </c>
      <c r="Z125" s="40" t="n">
        <f aca="false">IF(OR(Y125="",BW125=""),"",Y125/BW125*100)</f>
        <v>55</v>
      </c>
      <c r="AA125" s="41" t="n">
        <f aca="false">IF(Z125="","",IFERROR(MATCH(Z125,INDEX(Boundaries!$B$2:$I$30,MATCH(CK125,Boundaries!$A$2:$A$30,0),0),1)-1,""))</f>
        <v>5</v>
      </c>
      <c r="AB125" s="42" t="n">
        <f aca="false">IF(OR(AA125="",$E125=""),"",AA125-$E125)</f>
        <v>-0.3</v>
      </c>
      <c r="AC125" s="39" t="n">
        <v>26</v>
      </c>
      <c r="AD125" s="40" t="n">
        <f aca="false">IF(OR(AC125="",BX125=""),"",AC125/BX125*100)</f>
        <v>65</v>
      </c>
      <c r="AE125" s="41" t="n">
        <f aca="false">IF(AD125="","",IFERROR(MATCH(AD125,INDEX(Boundaries!$B$2:$I$30,MATCH(CL125,Boundaries!$A$2:$A$30,0),0),1)-1,""))</f>
        <v>6</v>
      </c>
      <c r="AF125" s="42" t="n">
        <f aca="false">IF(OR(AE125="",$E125=""),"",AE125-$E125)</f>
        <v>0.7</v>
      </c>
      <c r="AG125" s="39"/>
      <c r="AH125" s="40" t="str">
        <f aca="false">IF(OR(AG125="",BY125=""),"",AG125/BY125*100)</f>
        <v/>
      </c>
      <c r="AI125" s="41" t="str">
        <f aca="false">IF(AH125="","",IFERROR(MATCH(AH125,INDEX(Boundaries!$B$2:$I$30,MATCH(CM125,Boundaries!$A$2:$A$30,0),0),1)-1,""))</f>
        <v/>
      </c>
      <c r="AJ125" s="42" t="str">
        <f aca="false">IF(OR(AI125="",$E125=""),"",AI125-$E125)</f>
        <v/>
      </c>
      <c r="AK125" s="39"/>
      <c r="AL125" s="40" t="str">
        <f aca="false">IF(OR(AK125="",BZ125=""),"",AK125/BZ125*100)</f>
        <v/>
      </c>
      <c r="AM125" s="41" t="str">
        <f aca="false">IF(AL125="","",IFERROR(MATCH(AL125,INDEX(Boundaries!$B$2:$I$30,MATCH(CN125,Boundaries!$A$2:$A$30,0),0),1)-1,""))</f>
        <v/>
      </c>
      <c r="AN125" s="42" t="str">
        <f aca="false">IF(OR(AM125="",$E125=""),"",AM125-$E125)</f>
        <v/>
      </c>
      <c r="AO125" s="39" t="n">
        <v>5</v>
      </c>
      <c r="AP125" s="40" t="n">
        <f aca="false">IF(OR(AO125="",CA125=""),"",AO125/CA125*100)</f>
        <v>71.4285714285714</v>
      </c>
      <c r="AQ125" s="41" t="n">
        <f aca="false">IF(AP125="","",IFERROR(MATCH(AP125,INDEX(Boundaries!$B$2:$I$30,MATCH(CO125,Boundaries!$A$2:$A$30,0),0),1)-1,""))</f>
        <v>5</v>
      </c>
      <c r="AR125" s="42" t="n">
        <f aca="false">IF(OR(AQ125="",$E125=""),"",AQ125-$E125)</f>
        <v>-0.3</v>
      </c>
      <c r="AS125" s="39"/>
      <c r="AT125" s="40" t="str">
        <f aca="false">IF(OR(AS125="",CB125=""),"",AS125/CB125*100)</f>
        <v/>
      </c>
      <c r="AU125" s="41" t="str">
        <f aca="false">IF(AT125="","",IFERROR(MATCH(AT125,INDEX(Boundaries!$B$2:$I$30,MATCH(CP125,Boundaries!$A$2:$A$30,0),0),1)-1,""))</f>
        <v/>
      </c>
      <c r="AV125" s="42" t="str">
        <f aca="false">IF(OR(AU125="",$E125=""),"",AU125-$E125)</f>
        <v/>
      </c>
      <c r="AW125" s="39"/>
      <c r="AX125" s="40" t="str">
        <f aca="false">IF(OR(AW125="",CC125=""),"",AW125/CC125*100)</f>
        <v/>
      </c>
      <c r="AY125" s="41" t="str">
        <f aca="false">IF(AX125="","",IFERROR(MATCH(AX125,INDEX(Boundaries!$B$2:$I$30,MATCH(CQ125,Boundaries!$A$2:$A$30,0),0),1)-1,""))</f>
        <v/>
      </c>
      <c r="AZ125" s="42" t="str">
        <f aca="false">IF(OR(AY125="",$E125=""),"",AY125-$E125)</f>
        <v/>
      </c>
      <c r="BA125" s="39"/>
      <c r="BB125" s="40" t="str">
        <f aca="false">IF(OR(BA125="",CD125=""),"",BA125/CD125*100)</f>
        <v/>
      </c>
      <c r="BC125" s="41" t="str">
        <f aca="false">IF(BB125="","",IFERROR(MATCH(BB125,INDEX(Boundaries!$B$2:$I$30,MATCH(CR125,Boundaries!$A$2:$A$30,0),0),1)-1,""))</f>
        <v/>
      </c>
      <c r="BD125" s="42" t="str">
        <f aca="false">IF(OR(BC125="",$E125=""),"",BC125-$E125)</f>
        <v/>
      </c>
      <c r="BE125" s="39"/>
      <c r="BF125" s="40" t="str">
        <f aca="false">IF(OR(BE125="",CE125=""),"",BE125/CE125*100)</f>
        <v/>
      </c>
      <c r="BG125" s="41" t="str">
        <f aca="false">IF(BF125="","",IFERROR(MATCH(BF125,INDEX(Boundaries!$B$2:$I$30,MATCH(CS125,Boundaries!$A$2:$A$30,0),0),1)-1,""))</f>
        <v/>
      </c>
      <c r="BH125" s="42" t="str">
        <f aca="false">IF(OR(BG125="",$E125=""),"",BG125-$E125)</f>
        <v/>
      </c>
      <c r="BI125" s="39"/>
      <c r="BJ125" s="40" t="str">
        <f aca="false">IF(OR(BI125="",CF125=""),"",BI125/CF125*100)</f>
        <v/>
      </c>
      <c r="BK125" s="41" t="str">
        <f aca="false">IF(BJ125="","",IFERROR(MATCH(BJ125,INDEX(Boundaries!$B$2:$I$30,MATCH(CT125,Boundaries!$A$2:$A$30,0),0),1)-1,""))</f>
        <v/>
      </c>
      <c r="BL125" s="42" t="str">
        <f aca="false">IF(OR(BK125="",$E125=""),"",BK125-$E125)</f>
        <v/>
      </c>
      <c r="BM125" s="39"/>
      <c r="BN125" s="40" t="str">
        <f aca="false">IF(OR(BM125="",CG125=""),"",BM125/CG125*100)</f>
        <v/>
      </c>
      <c r="BO125" s="41" t="str">
        <f aca="false">IF(BN125="","",IFERROR(MATCH(BN125,INDEX(Boundaries!$B$2:$I$30,MATCH(CU125,Boundaries!$A$2:$A$30,0),0),1)-1,""))</f>
        <v/>
      </c>
      <c r="BP125" s="42" t="str">
        <f aca="false">IF(OR(BO125="",$E125=""),"",BO125-$E125)</f>
        <v/>
      </c>
      <c r="BQ125" s="39"/>
      <c r="BR125" s="40" t="str">
        <f aca="false">IF(OR(BQ125="",CH125=""),"",BQ125/CH125*100)</f>
        <v/>
      </c>
      <c r="BS125" s="41" t="str">
        <f aca="false">IF(BR125="","",IFERROR(MATCH(BR125,INDEX(Boundaries!$B$2:$I$30,MATCH(CV125,Boundaries!$A$2:$A$30,0),0),1)-1,""))</f>
        <v/>
      </c>
      <c r="BT125" s="42" t="str">
        <f aca="false">IF(OR(BS125="",$E125=""),"",BS125-$E125)</f>
        <v/>
      </c>
      <c r="BU125" s="28" t="n">
        <f aca="false">IFERROR(INDEX(Assessments!$H$2:$H$600,MATCH($H125&amp;"|"&amp;$I125&amp;"|"&amp;$J125&amp;"|"&amp;1,Assessments!$A$2:$A$600,0)),"")</f>
        <v>24</v>
      </c>
      <c r="BV125" s="28" t="n">
        <f aca="false">IFERROR(INDEX(Assessments!$H$2:$H$600,MATCH($H125&amp;"|"&amp;$I125&amp;"|"&amp;$J125&amp;"|"&amp;2,Assessments!$A$2:$A$600,0)),"")</f>
        <v>20</v>
      </c>
      <c r="BW125" s="28" t="n">
        <f aca="false">IFERROR(INDEX(Assessments!$H$2:$H$600,MATCH($H125&amp;"|"&amp;$I125&amp;"|"&amp;$J125&amp;"|"&amp;3,Assessments!$A$2:$A$600,0)),"")</f>
        <v>20</v>
      </c>
      <c r="BX125" s="28" t="n">
        <f aca="false">IFERROR(INDEX(Assessments!$H$2:$H$600,MATCH($H125&amp;"|"&amp;$I125&amp;"|"&amp;$J125&amp;"|"&amp;4,Assessments!$A$2:$A$600,0)),"")</f>
        <v>40</v>
      </c>
      <c r="BY125" s="28" t="n">
        <f aca="false">IFERROR(INDEX(Assessments!$H$2:$H$600,MATCH($H125&amp;"|"&amp;$I125&amp;"|"&amp;$J125&amp;"|"&amp;5,Assessments!$A$2:$A$600,0)),"")</f>
        <v>30</v>
      </c>
      <c r="BZ125" s="28" t="n">
        <f aca="false">IFERROR(INDEX(Assessments!$H$2:$H$600,MATCH($H125&amp;"|"&amp;$I125&amp;"|"&amp;$J125&amp;"|"&amp;6,Assessments!$A$2:$A$600,0)),"")</f>
        <v>20</v>
      </c>
      <c r="CA125" s="28" t="n">
        <f aca="false">IFERROR(INDEX(Assessments!$H$2:$H$600,MATCH($H125&amp;"|"&amp;$I125&amp;"|"&amp;$J125&amp;"|"&amp;7,Assessments!$A$2:$A$600,0)),"")</f>
        <v>7</v>
      </c>
      <c r="CB125" s="28" t="str">
        <f aca="false">IFERROR(INDEX(Assessments!$H$2:$H$600,MATCH($H125&amp;"|"&amp;$I125&amp;"|"&amp;$J125&amp;"|"&amp;8,Assessments!$A$2:$A$600,0)),"")</f>
        <v/>
      </c>
      <c r="CC125" s="28" t="str">
        <f aca="false">IFERROR(INDEX(Assessments!$H$2:$H$600,MATCH($H125&amp;"|"&amp;$I125&amp;"|"&amp;$J125&amp;"|"&amp;9,Assessments!$A$2:$A$600,0)),"")</f>
        <v/>
      </c>
      <c r="CD125" s="28" t="str">
        <f aca="false">IFERROR(INDEX(Assessments!$H$2:$H$600,MATCH($H125&amp;"|"&amp;$I125&amp;"|"&amp;$J125&amp;"|"&amp;10,Assessments!$A$2:$A$600,0)),"")</f>
        <v/>
      </c>
      <c r="CE125" s="28" t="str">
        <f aca="false">IFERROR(INDEX(Assessments!$H$2:$H$600,MATCH($H125&amp;"|"&amp;$I125&amp;"|"&amp;$J125&amp;"|"&amp;11,Assessments!$A$2:$A$600,0)),"")</f>
        <v/>
      </c>
      <c r="CF125" s="28" t="str">
        <f aca="false">IFERROR(INDEX(Assessments!$H$2:$H$600,MATCH($H125&amp;"|"&amp;$I125&amp;"|"&amp;$J125&amp;"|"&amp;12,Assessments!$A$2:$A$600,0)),"")</f>
        <v/>
      </c>
      <c r="CG125" s="28" t="str">
        <f aca="false">IFERROR(INDEX(Assessments!$H$2:$H$600,MATCH($H125&amp;"|"&amp;$I125&amp;"|"&amp;$J125&amp;"|"&amp;13,Assessments!$A$2:$A$600,0)),"")</f>
        <v/>
      </c>
      <c r="CH125" s="28" t="str">
        <f aca="false">IFERROR(INDEX(Assessments!$H$2:$H$600,MATCH($H125&amp;"|"&amp;$I125&amp;"|"&amp;$J125&amp;"|"&amp;14,Assessments!$A$2:$A$600,0)),"")</f>
        <v/>
      </c>
      <c r="CI125" s="28" t="str">
        <f aca="false">IFERROR(INDEX(Assessments!$I$2:$I$600,MATCH($H125&amp;"|"&amp;$I125&amp;"|"&amp;$J125&amp;"|"&amp;1,Assessments!$A$2:$A$600,0)),"")</f>
        <v>BM Test</v>
      </c>
      <c r="CJ125" s="28" t="str">
        <f aca="false">IFERROR(INDEX(Assessments!$I$2:$I$600,MATCH($H125&amp;"|"&amp;$I125&amp;"|"&amp;$J125&amp;"|"&amp;2,Assessments!$A$2:$A$600,0)),"")</f>
        <v>BM Test</v>
      </c>
      <c r="CK125" s="28" t="str">
        <f aca="false">IFERROR(INDEX(Assessments!$I$2:$I$600,MATCH($H125&amp;"|"&amp;$I125&amp;"|"&amp;$J125&amp;"|"&amp;3,Assessments!$A$2:$A$600,0)),"")</f>
        <v>BM Test</v>
      </c>
      <c r="CL125" s="28" t="str">
        <f aca="false">IFERROR(INDEX(Assessments!$I$2:$I$600,MATCH($H125&amp;"|"&amp;$I125&amp;"|"&amp;$J125&amp;"|"&amp;4,Assessments!$A$2:$A$600,0)),"")</f>
        <v>BM Exam</v>
      </c>
      <c r="CM125" s="28" t="str">
        <f aca="false">IFERROR(INDEX(Assessments!$I$2:$I$600,MATCH($H125&amp;"|"&amp;$I125&amp;"|"&amp;$J125&amp;"|"&amp;5,Assessments!$A$2:$A$600,0)),"")</f>
        <v>BM Test</v>
      </c>
      <c r="CN125" s="28" t="str">
        <f aca="false">IFERROR(INDEX(Assessments!$I$2:$I$600,MATCH($H125&amp;"|"&amp;$I125&amp;"|"&amp;$J125&amp;"|"&amp;6,Assessments!$A$2:$A$600,0)),"")</f>
        <v>BM Test</v>
      </c>
      <c r="CO125" s="28" t="str">
        <f aca="false">IFERROR(INDEX(Assessments!$I$2:$I$600,MATCH($H125&amp;"|"&amp;$I125&amp;"|"&amp;$J125&amp;"|"&amp;7,Assessments!$A$2:$A$600,0)),"")</f>
        <v>Grade entered</v>
      </c>
      <c r="CP125" s="28" t="str">
        <f aca="false">IFERROR(INDEX(Assessments!$I$2:$I$600,MATCH($H125&amp;"|"&amp;$I125&amp;"|"&amp;$J125&amp;"|"&amp;8,Assessments!$A$2:$A$600,0)),"")</f>
        <v/>
      </c>
      <c r="CQ125" s="28" t="str">
        <f aca="false">IFERROR(INDEX(Assessments!$I$2:$I$600,MATCH($H125&amp;"|"&amp;$I125&amp;"|"&amp;$J125&amp;"|"&amp;9,Assessments!$A$2:$A$600,0)),"")</f>
        <v/>
      </c>
      <c r="CR125" s="28" t="str">
        <f aca="false">IFERROR(INDEX(Assessments!$I$2:$I$600,MATCH($H125&amp;"|"&amp;$I125&amp;"|"&amp;$J125&amp;"|"&amp;10,Assessments!$A$2:$A$600,0)),"")</f>
        <v/>
      </c>
      <c r="CS125" s="28" t="str">
        <f aca="false">IFERROR(INDEX(Assessments!$I$2:$I$600,MATCH($H125&amp;"|"&amp;$I125&amp;"|"&amp;$J125&amp;"|"&amp;11,Assessments!$A$2:$A$600,0)),"")</f>
        <v/>
      </c>
      <c r="CT125" s="28" t="str">
        <f aca="false">IFERROR(INDEX(Assessments!$I$2:$I$600,MATCH($H125&amp;"|"&amp;$I125&amp;"|"&amp;$J125&amp;"|"&amp;12,Assessments!$A$2:$A$600,0)),"")</f>
        <v/>
      </c>
      <c r="CU125" s="28" t="str">
        <f aca="false">IFERROR(INDEX(Assessments!$I$2:$I$600,MATCH($H125&amp;"|"&amp;$I125&amp;"|"&amp;$J125&amp;"|"&amp;13,Assessments!$A$2:$A$600,0)),"")</f>
        <v/>
      </c>
      <c r="CV125" s="28" t="str">
        <f aca="false">IFERROR(INDEX(Assessments!$I$2:$I$600,MATCH($H125&amp;"|"&amp;$I125&amp;"|"&amp;$J125&amp;"|"&amp;14,Assessments!$A$2:$A$600,0)),"")</f>
        <v/>
      </c>
      <c r="CW125" s="28" t="n">
        <f aca="false">IFERROR(INDEX(Assessments!$J$2:$J$600,MATCH($H125&amp;"|"&amp;$I125&amp;"|"&amp;$J125&amp;"|"&amp;1,Assessments!$A$2:$A$600,0)),0)</f>
        <v>1</v>
      </c>
      <c r="CX125" s="28" t="n">
        <f aca="false">IFERROR(INDEX(Assessments!$J$2:$J$600,MATCH($H125&amp;"|"&amp;$I125&amp;"|"&amp;$J125&amp;"|"&amp;2,Assessments!$A$2:$A$600,0)),0)</f>
        <v>1</v>
      </c>
      <c r="CY125" s="28" t="n">
        <f aca="false">IFERROR(INDEX(Assessments!$J$2:$J$600,MATCH($H125&amp;"|"&amp;$I125&amp;"|"&amp;$J125&amp;"|"&amp;3,Assessments!$A$2:$A$600,0)),0)</f>
        <v>1</v>
      </c>
      <c r="CZ125" s="28" t="n">
        <f aca="false">IFERROR(INDEX(Assessments!$J$2:$J$600,MATCH($H125&amp;"|"&amp;$I125&amp;"|"&amp;$J125&amp;"|"&amp;4,Assessments!$A$2:$A$600,0)),0)</f>
        <v>2</v>
      </c>
      <c r="DA125" s="28" t="n">
        <f aca="false">IFERROR(INDEX(Assessments!$J$2:$J$600,MATCH($H125&amp;"|"&amp;$I125&amp;"|"&amp;$J125&amp;"|"&amp;5,Assessments!$A$2:$A$600,0)),0)</f>
        <v>1</v>
      </c>
      <c r="DB125" s="28" t="n">
        <f aca="false">IFERROR(INDEX(Assessments!$J$2:$J$600,MATCH($H125&amp;"|"&amp;$I125&amp;"|"&amp;$J125&amp;"|"&amp;6,Assessments!$A$2:$A$600,0)),0)</f>
        <v>1</v>
      </c>
      <c r="DC125" s="28" t="n">
        <f aca="false">IFERROR(INDEX(Assessments!$J$2:$J$600,MATCH($H125&amp;"|"&amp;$I125&amp;"|"&amp;$J125&amp;"|"&amp;7,Assessments!$A$2:$A$600,0)),0)</f>
        <v>2</v>
      </c>
      <c r="DD125" s="28" t="n">
        <f aca="false">IFERROR(INDEX(Assessments!$J$2:$J$600,MATCH($H125&amp;"|"&amp;$I125&amp;"|"&amp;$J125&amp;"|"&amp;8,Assessments!$A$2:$A$600,0)),0)</f>
        <v>0</v>
      </c>
      <c r="DE125" s="28" t="n">
        <f aca="false">IFERROR(INDEX(Assessments!$J$2:$J$600,MATCH($H125&amp;"|"&amp;$I125&amp;"|"&amp;$J125&amp;"|"&amp;9,Assessments!$A$2:$A$600,0)),0)</f>
        <v>0</v>
      </c>
      <c r="DF125" s="28" t="n">
        <f aca="false">IFERROR(INDEX(Assessments!$J$2:$J$600,MATCH($H125&amp;"|"&amp;$I125&amp;"|"&amp;$J125&amp;"|"&amp;10,Assessments!$A$2:$A$600,0)),0)</f>
        <v>0</v>
      </c>
      <c r="DG125" s="28" t="n">
        <f aca="false">IFERROR(INDEX(Assessments!$J$2:$J$600,MATCH($H125&amp;"|"&amp;$I125&amp;"|"&amp;$J125&amp;"|"&amp;11,Assessments!$A$2:$A$600,0)),0)</f>
        <v>0</v>
      </c>
      <c r="DH125" s="28" t="n">
        <f aca="false">IFERROR(INDEX(Assessments!$J$2:$J$600,MATCH($H125&amp;"|"&amp;$I125&amp;"|"&amp;$J125&amp;"|"&amp;12,Assessments!$A$2:$A$600,0)),0)</f>
        <v>0</v>
      </c>
      <c r="DI125" s="28" t="n">
        <f aca="false">IFERROR(INDEX(Assessments!$J$2:$J$600,MATCH($H125&amp;"|"&amp;$I125&amp;"|"&amp;$J125&amp;"|"&amp;13,Assessments!$A$2:$A$600,0)),0)</f>
        <v>0</v>
      </c>
      <c r="DJ125" s="28" t="n">
        <f aca="false">IFERROR(INDEX(Assessments!$J$2:$J$600,MATCH($H125&amp;"|"&amp;$I125&amp;"|"&amp;$J125&amp;"|"&amp;14,Assessments!$A$2:$A$600,0)),0)</f>
        <v>0</v>
      </c>
      <c r="DK125" s="28" t="n">
        <f aca="false">S125</f>
        <v>7</v>
      </c>
      <c r="DL125" s="28" t="n">
        <f aca="false">W125</f>
        <v>5</v>
      </c>
      <c r="DM125" s="28" t="n">
        <f aca="false">AA125</f>
        <v>5</v>
      </c>
      <c r="DN125" s="28" t="n">
        <f aca="false">AE125</f>
        <v>6</v>
      </c>
      <c r="DO125" s="28" t="str">
        <f aca="false">AI125</f>
        <v/>
      </c>
      <c r="DP125" s="28" t="str">
        <f aca="false">AM125</f>
        <v/>
      </c>
      <c r="DQ125" s="28" t="n">
        <f aca="false">AQ125</f>
        <v>5</v>
      </c>
      <c r="DR125" s="28" t="str">
        <f aca="false">AU125</f>
        <v/>
      </c>
      <c r="DS125" s="28" t="str">
        <f aca="false">AY125</f>
        <v/>
      </c>
      <c r="DT125" s="28" t="str">
        <f aca="false">BC125</f>
        <v/>
      </c>
      <c r="DU125" s="28" t="str">
        <f aca="false">BG125</f>
        <v/>
      </c>
      <c r="DV125" s="28" t="str">
        <f aca="false">BK125</f>
        <v/>
      </c>
      <c r="DW125" s="28" t="str">
        <f aca="false">BO125</f>
        <v/>
      </c>
      <c r="DX125" s="28" t="str">
        <f aca="false">BS125</f>
        <v/>
      </c>
      <c r="DY125" s="28" t="n">
        <f aca="false">IF(ISNUMBER(S125),1,"")</f>
        <v>1</v>
      </c>
      <c r="DZ125" s="28" t="n">
        <f aca="false">IF(ISNUMBER(W125),2,"")</f>
        <v>2</v>
      </c>
      <c r="EA125" s="28" t="n">
        <f aca="false">IF(ISNUMBER(AA125),3,"")</f>
        <v>3</v>
      </c>
      <c r="EB125" s="28" t="n">
        <f aca="false">IF(ISNUMBER(AE125),4,"")</f>
        <v>4</v>
      </c>
      <c r="EC125" s="28" t="str">
        <f aca="false">IF(ISNUMBER(AI125),5,"")</f>
        <v/>
      </c>
      <c r="ED125" s="28" t="str">
        <f aca="false">IF(ISNUMBER(AM125),6,"")</f>
        <v/>
      </c>
      <c r="EE125" s="28" t="n">
        <f aca="false">IF(ISNUMBER(AQ125),7,"")</f>
        <v>7</v>
      </c>
      <c r="EF125" s="28" t="str">
        <f aca="false">IF(ISNUMBER(AU125),8,"")</f>
        <v/>
      </c>
      <c r="EG125" s="28" t="str">
        <f aca="false">IF(ISNUMBER(AY125),9,"")</f>
        <v/>
      </c>
      <c r="EH125" s="28" t="str">
        <f aca="false">IF(ISNUMBER(BC125),10,"")</f>
        <v/>
      </c>
      <c r="EI125" s="28" t="str">
        <f aca="false">IF(ISNUMBER(BG125),11,"")</f>
        <v/>
      </c>
      <c r="EJ125" s="28" t="str">
        <f aca="false">IF(ISNUMBER(BK125),12,"")</f>
        <v/>
      </c>
      <c r="EK125" s="28" t="str">
        <f aca="false">IF(ISNUMBER(BO125),13,"")</f>
        <v/>
      </c>
      <c r="EL125" s="28" t="str">
        <f aca="false">IF(ISNUMBER(BS125),14,"")</f>
        <v/>
      </c>
      <c r="EM125" s="28" t="n">
        <f aca="false">IF(ISNUMBER(R125),R125*CW125,0)</f>
        <v>75</v>
      </c>
      <c r="EN125" s="28" t="n">
        <f aca="false">IF(ISNUMBER(V125),V125*CX125,0)</f>
        <v>50</v>
      </c>
      <c r="EO125" s="28" t="n">
        <f aca="false">IF(ISNUMBER(Z125),Z125*CY125,0)</f>
        <v>55</v>
      </c>
      <c r="EP125" s="28" t="n">
        <f aca="false">IF(ISNUMBER(AD125),AD125*CZ125,0)</f>
        <v>130</v>
      </c>
      <c r="EQ125" s="28" t="n">
        <f aca="false">IF(ISNUMBER(AH125),AH125*DA125,0)</f>
        <v>0</v>
      </c>
      <c r="ER125" s="28" t="n">
        <f aca="false">IF(ISNUMBER(AL125),AL125*DB125,0)</f>
        <v>0</v>
      </c>
      <c r="ES125" s="28" t="n">
        <f aca="false">IF(ISNUMBER(AP125),AP125*DC125,0)</f>
        <v>142.857142857143</v>
      </c>
      <c r="ET125" s="28" t="n">
        <f aca="false">IF(ISNUMBER(AT125),AT125*DD125,0)</f>
        <v>0</v>
      </c>
      <c r="EU125" s="28" t="n">
        <f aca="false">IF(ISNUMBER(AX125),AX125*DE125,0)</f>
        <v>0</v>
      </c>
      <c r="EV125" s="28" t="n">
        <f aca="false">IF(ISNUMBER(BB125),BB125*DF125,0)</f>
        <v>0</v>
      </c>
      <c r="EW125" s="28" t="n">
        <f aca="false">IF(ISNUMBER(BF125),BF125*DG125,0)</f>
        <v>0</v>
      </c>
      <c r="EX125" s="28" t="n">
        <f aca="false">IF(ISNUMBER(BJ125),BJ125*DH125,0)</f>
        <v>0</v>
      </c>
      <c r="EY125" s="28" t="n">
        <f aca="false">IF(ISNUMBER(BN125),BN125*DI125,0)</f>
        <v>0</v>
      </c>
      <c r="EZ125" s="28" t="n">
        <f aca="false">IF(ISNUMBER(BR125),BR125*DJ125,0)</f>
        <v>0</v>
      </c>
      <c r="FA125" s="28" t="n">
        <f aca="false">IF(ISNUMBER(R125),CW125,0)</f>
        <v>1</v>
      </c>
      <c r="FB125" s="28" t="n">
        <f aca="false">IF(ISNUMBER(V125),CX125,0)</f>
        <v>1</v>
      </c>
      <c r="FC125" s="28" t="n">
        <f aca="false">IF(ISNUMBER(Z125),CY125,0)</f>
        <v>1</v>
      </c>
      <c r="FD125" s="28" t="n">
        <f aca="false">IF(ISNUMBER(AD125),CZ125,0)</f>
        <v>2</v>
      </c>
      <c r="FE125" s="28" t="n">
        <f aca="false">IF(ISNUMBER(AH125),DA125,0)</f>
        <v>0</v>
      </c>
      <c r="FF125" s="28" t="n">
        <f aca="false">IF(ISNUMBER(AL125),DB125,0)</f>
        <v>0</v>
      </c>
      <c r="FG125" s="28" t="n">
        <f aca="false">IF(ISNUMBER(AP125),DC125,0)</f>
        <v>2</v>
      </c>
      <c r="FH125" s="28" t="n">
        <f aca="false">IF(ISNUMBER(AT125),DD125,0)</f>
        <v>0</v>
      </c>
      <c r="FI125" s="28" t="n">
        <f aca="false">IF(ISNUMBER(AX125),DE125,0)</f>
        <v>0</v>
      </c>
      <c r="FJ125" s="28" t="n">
        <f aca="false">IF(ISNUMBER(BB125),DF125,0)</f>
        <v>0</v>
      </c>
      <c r="FK125" s="28" t="n">
        <f aca="false">IF(ISNUMBER(BF125),DG125,0)</f>
        <v>0</v>
      </c>
      <c r="FL125" s="28" t="n">
        <f aca="false">IF(ISNUMBER(BJ125),DH125,0)</f>
        <v>0</v>
      </c>
      <c r="FM125" s="28" t="n">
        <f aca="false">IF(ISNUMBER(BN125),DI125,0)</f>
        <v>0</v>
      </c>
      <c r="FN125" s="28" t="n">
        <f aca="false">IF(ISNUMBER(BR125),DJ125,0)</f>
        <v>0</v>
      </c>
      <c r="FO125" s="28" t="str">
        <f aca="false">IFERROR(INDEX(Lists!$G$2:$G$20,MATCH($I125&amp;"|"&amp;$J125,Lists!$F$2:$F$20,0)),"")</f>
        <v>BM Exam</v>
      </c>
    </row>
    <row r="126" customFormat="false" ht="19.5" hidden="false" customHeight="true" outlineLevel="0" collapsed="false">
      <c r="A126" s="29" t="s">
        <v>370</v>
      </c>
      <c r="B126" s="29" t="s">
        <v>371</v>
      </c>
      <c r="C126" s="30" t="s">
        <v>152</v>
      </c>
      <c r="D126" s="30" t="s">
        <v>364</v>
      </c>
      <c r="E126" s="31" t="n">
        <v>5.8</v>
      </c>
      <c r="F126" s="30" t="n">
        <v>6</v>
      </c>
      <c r="G126" s="30"/>
      <c r="H126" s="32" t="s">
        <v>23</v>
      </c>
      <c r="I126" s="33" t="s">
        <v>365</v>
      </c>
      <c r="J126" s="32" t="s">
        <v>25</v>
      </c>
      <c r="K126" s="34" t="n">
        <f aca="false">IF(OR(M126="",$E126=""),"",M126-$E126)</f>
        <v>1.2</v>
      </c>
      <c r="L126" s="35" t="n">
        <f aca="false">IF(SUM(FA126:FN126)=0,"",SUM(EM126:EZ126)/SUM(FA126:FN126))</f>
        <v>80.952380952381</v>
      </c>
      <c r="M126" s="36" t="n">
        <f aca="false">IF(OR(L126="",FO126=""),"",IFERROR(MATCH(L126,INDEX(Boundaries!$B$2:$I$30,MATCH(FO126,Boundaries!$A$2:$A$30,0),0),1)-1,""))</f>
        <v>7</v>
      </c>
      <c r="N126" s="37" t="n">
        <f aca="false">IF(COUNT($DY126:$EL126)&lt;2,"",INDEX($DK126:$DX126,MAX($DY126:$EL126))-INDEX($DK126:$DX126,MIN($DY126:$EL126)))</f>
        <v>1</v>
      </c>
      <c r="O126" s="37" t="n">
        <f aca="false">IF(COUNT($DY126:$EL126)&lt;2,"",INDEX($DK126:$DX126,MAX($DY126:$EL126))-INDEX($DK126:$DX126,LARGE($DY126:$EL126,2)))</f>
        <v>0</v>
      </c>
      <c r="P126" s="38" t="str">
        <f aca="false">IF(K126="","",IF(K126&gt;=0,"On/above target",IF(AND(N126&lt;&gt;"",N126&gt;=0.5),"Improving towards target",IF(AND(O126&lt;&gt;"",O126&lt;=-0.5),"Declining","Stable below target"))))</f>
        <v>On/above target</v>
      </c>
      <c r="Q126" s="39" t="n">
        <v>16</v>
      </c>
      <c r="R126" s="40" t="n">
        <f aca="false">IF(OR(Q126="",BU126=""),"",Q126/BU126*100)</f>
        <v>66.6666666666667</v>
      </c>
      <c r="S126" s="41" t="n">
        <f aca="false">IF(R126="","",IFERROR(MATCH(R126,INDEX(Boundaries!$B$2:$I$30,MATCH(CI126,Boundaries!$A$2:$A$30,0),0),1)-1,""))</f>
        <v>6</v>
      </c>
      <c r="T126" s="42" t="n">
        <f aca="false">IF(OR(S126="",$E126=""),"",S126-$E126)</f>
        <v>0.2</v>
      </c>
      <c r="U126" s="39" t="n">
        <v>16</v>
      </c>
      <c r="V126" s="40" t="n">
        <f aca="false">IF(OR(U126="",BV126=""),"",U126/BV126*100)</f>
        <v>80</v>
      </c>
      <c r="W126" s="41" t="n">
        <f aca="false">IF(V126="","",IFERROR(MATCH(V126,INDEX(Boundaries!$B$2:$I$30,MATCH(CJ126,Boundaries!$A$2:$A$30,0),0),1)-1,""))</f>
        <v>7</v>
      </c>
      <c r="X126" s="42" t="n">
        <f aca="false">IF(OR(W126="",$E126=""),"",W126-$E126)</f>
        <v>1.2</v>
      </c>
      <c r="Y126" s="39" t="n">
        <v>12</v>
      </c>
      <c r="Z126" s="40" t="n">
        <f aca="false">IF(OR(Y126="",BW126=""),"",Y126/BW126*100)</f>
        <v>60</v>
      </c>
      <c r="AA126" s="41" t="n">
        <f aca="false">IF(Z126="","",IFERROR(MATCH(Z126,INDEX(Boundaries!$B$2:$I$30,MATCH(CK126,Boundaries!$A$2:$A$30,0),0),1)-1,""))</f>
        <v>5</v>
      </c>
      <c r="AB126" s="42" t="n">
        <f aca="false">IF(OR(AA126="",$E126=""),"",AA126-$E126)</f>
        <v>-0.8</v>
      </c>
      <c r="AC126" s="39" t="n">
        <v>32</v>
      </c>
      <c r="AD126" s="40" t="n">
        <f aca="false">IF(OR(AC126="",BX126=""),"",AC126/BX126*100)</f>
        <v>80</v>
      </c>
      <c r="AE126" s="41" t="n">
        <f aca="false">IF(AD126="","",IFERROR(MATCH(AD126,INDEX(Boundaries!$B$2:$I$30,MATCH(CL126,Boundaries!$A$2:$A$30,0),0),1)-1,""))</f>
        <v>7</v>
      </c>
      <c r="AF126" s="42" t="n">
        <f aca="false">IF(OR(AE126="",$E126=""),"",AE126-$E126)</f>
        <v>1.2</v>
      </c>
      <c r="AG126" s="39"/>
      <c r="AH126" s="40" t="str">
        <f aca="false">IF(OR(AG126="",BY126=""),"",AG126/BY126*100)</f>
        <v/>
      </c>
      <c r="AI126" s="41" t="str">
        <f aca="false">IF(AH126="","",IFERROR(MATCH(AH126,INDEX(Boundaries!$B$2:$I$30,MATCH(CM126,Boundaries!$A$2:$A$30,0),0),1)-1,""))</f>
        <v/>
      </c>
      <c r="AJ126" s="42" t="str">
        <f aca="false">IF(OR(AI126="",$E126=""),"",AI126-$E126)</f>
        <v/>
      </c>
      <c r="AK126" s="39"/>
      <c r="AL126" s="40" t="str">
        <f aca="false">IF(OR(AK126="",BZ126=""),"",AK126/BZ126*100)</f>
        <v/>
      </c>
      <c r="AM126" s="41" t="str">
        <f aca="false">IF(AL126="","",IFERROR(MATCH(AL126,INDEX(Boundaries!$B$2:$I$30,MATCH(CN126,Boundaries!$A$2:$A$30,0),0),1)-1,""))</f>
        <v/>
      </c>
      <c r="AN126" s="42" t="str">
        <f aca="false">IF(OR(AM126="",$E126=""),"",AM126-$E126)</f>
        <v/>
      </c>
      <c r="AO126" s="39" t="n">
        <v>7</v>
      </c>
      <c r="AP126" s="40" t="n">
        <f aca="false">IF(OR(AO126="",CA126=""),"",AO126/CA126*100)</f>
        <v>100</v>
      </c>
      <c r="AQ126" s="41" t="n">
        <f aca="false">IF(AP126="","",IFERROR(MATCH(AP126,INDEX(Boundaries!$B$2:$I$30,MATCH(CO126,Boundaries!$A$2:$A$30,0),0),1)-1,""))</f>
        <v>7</v>
      </c>
      <c r="AR126" s="42" t="n">
        <f aca="false">IF(OR(AQ126="",$E126=""),"",AQ126-$E126)</f>
        <v>1.2</v>
      </c>
      <c r="AS126" s="39"/>
      <c r="AT126" s="40" t="str">
        <f aca="false">IF(OR(AS126="",CB126=""),"",AS126/CB126*100)</f>
        <v/>
      </c>
      <c r="AU126" s="41" t="str">
        <f aca="false">IF(AT126="","",IFERROR(MATCH(AT126,INDEX(Boundaries!$B$2:$I$30,MATCH(CP126,Boundaries!$A$2:$A$30,0),0),1)-1,""))</f>
        <v/>
      </c>
      <c r="AV126" s="42" t="str">
        <f aca="false">IF(OR(AU126="",$E126=""),"",AU126-$E126)</f>
        <v/>
      </c>
      <c r="AW126" s="39"/>
      <c r="AX126" s="40" t="str">
        <f aca="false">IF(OR(AW126="",CC126=""),"",AW126/CC126*100)</f>
        <v/>
      </c>
      <c r="AY126" s="41" t="str">
        <f aca="false">IF(AX126="","",IFERROR(MATCH(AX126,INDEX(Boundaries!$B$2:$I$30,MATCH(CQ126,Boundaries!$A$2:$A$30,0),0),1)-1,""))</f>
        <v/>
      </c>
      <c r="AZ126" s="42" t="str">
        <f aca="false">IF(OR(AY126="",$E126=""),"",AY126-$E126)</f>
        <v/>
      </c>
      <c r="BA126" s="39"/>
      <c r="BB126" s="40" t="str">
        <f aca="false">IF(OR(BA126="",CD126=""),"",BA126/CD126*100)</f>
        <v/>
      </c>
      <c r="BC126" s="41" t="str">
        <f aca="false">IF(BB126="","",IFERROR(MATCH(BB126,INDEX(Boundaries!$B$2:$I$30,MATCH(CR126,Boundaries!$A$2:$A$30,0),0),1)-1,""))</f>
        <v/>
      </c>
      <c r="BD126" s="42" t="str">
        <f aca="false">IF(OR(BC126="",$E126=""),"",BC126-$E126)</f>
        <v/>
      </c>
      <c r="BE126" s="39"/>
      <c r="BF126" s="40" t="str">
        <f aca="false">IF(OR(BE126="",CE126=""),"",BE126/CE126*100)</f>
        <v/>
      </c>
      <c r="BG126" s="41" t="str">
        <f aca="false">IF(BF126="","",IFERROR(MATCH(BF126,INDEX(Boundaries!$B$2:$I$30,MATCH(CS126,Boundaries!$A$2:$A$30,0),0),1)-1,""))</f>
        <v/>
      </c>
      <c r="BH126" s="42" t="str">
        <f aca="false">IF(OR(BG126="",$E126=""),"",BG126-$E126)</f>
        <v/>
      </c>
      <c r="BI126" s="39"/>
      <c r="BJ126" s="40" t="str">
        <f aca="false">IF(OR(BI126="",CF126=""),"",BI126/CF126*100)</f>
        <v/>
      </c>
      <c r="BK126" s="41" t="str">
        <f aca="false">IF(BJ126="","",IFERROR(MATCH(BJ126,INDEX(Boundaries!$B$2:$I$30,MATCH(CT126,Boundaries!$A$2:$A$30,0),0),1)-1,""))</f>
        <v/>
      </c>
      <c r="BL126" s="42" t="str">
        <f aca="false">IF(OR(BK126="",$E126=""),"",BK126-$E126)</f>
        <v/>
      </c>
      <c r="BM126" s="39"/>
      <c r="BN126" s="40" t="str">
        <f aca="false">IF(OR(BM126="",CG126=""),"",BM126/CG126*100)</f>
        <v/>
      </c>
      <c r="BO126" s="41" t="str">
        <f aca="false">IF(BN126="","",IFERROR(MATCH(BN126,INDEX(Boundaries!$B$2:$I$30,MATCH(CU126,Boundaries!$A$2:$A$30,0),0),1)-1,""))</f>
        <v/>
      </c>
      <c r="BP126" s="42" t="str">
        <f aca="false">IF(OR(BO126="",$E126=""),"",BO126-$E126)</f>
        <v/>
      </c>
      <c r="BQ126" s="39"/>
      <c r="BR126" s="40" t="str">
        <f aca="false">IF(OR(BQ126="",CH126=""),"",BQ126/CH126*100)</f>
        <v/>
      </c>
      <c r="BS126" s="41" t="str">
        <f aca="false">IF(BR126="","",IFERROR(MATCH(BR126,INDEX(Boundaries!$B$2:$I$30,MATCH(CV126,Boundaries!$A$2:$A$30,0),0),1)-1,""))</f>
        <v/>
      </c>
      <c r="BT126" s="42" t="str">
        <f aca="false">IF(OR(BS126="",$E126=""),"",BS126-$E126)</f>
        <v/>
      </c>
      <c r="BU126" s="28" t="n">
        <f aca="false">IFERROR(INDEX(Assessments!$H$2:$H$600,MATCH($H126&amp;"|"&amp;$I126&amp;"|"&amp;$J126&amp;"|"&amp;1,Assessments!$A$2:$A$600,0)),"")</f>
        <v>24</v>
      </c>
      <c r="BV126" s="28" t="n">
        <f aca="false">IFERROR(INDEX(Assessments!$H$2:$H$600,MATCH($H126&amp;"|"&amp;$I126&amp;"|"&amp;$J126&amp;"|"&amp;2,Assessments!$A$2:$A$600,0)),"")</f>
        <v>20</v>
      </c>
      <c r="BW126" s="28" t="n">
        <f aca="false">IFERROR(INDEX(Assessments!$H$2:$H$600,MATCH($H126&amp;"|"&amp;$I126&amp;"|"&amp;$J126&amp;"|"&amp;3,Assessments!$A$2:$A$600,0)),"")</f>
        <v>20</v>
      </c>
      <c r="BX126" s="28" t="n">
        <f aca="false">IFERROR(INDEX(Assessments!$H$2:$H$600,MATCH($H126&amp;"|"&amp;$I126&amp;"|"&amp;$J126&amp;"|"&amp;4,Assessments!$A$2:$A$600,0)),"")</f>
        <v>40</v>
      </c>
      <c r="BY126" s="28" t="n">
        <f aca="false">IFERROR(INDEX(Assessments!$H$2:$H$600,MATCH($H126&amp;"|"&amp;$I126&amp;"|"&amp;$J126&amp;"|"&amp;5,Assessments!$A$2:$A$600,0)),"")</f>
        <v>30</v>
      </c>
      <c r="BZ126" s="28" t="n">
        <f aca="false">IFERROR(INDEX(Assessments!$H$2:$H$600,MATCH($H126&amp;"|"&amp;$I126&amp;"|"&amp;$J126&amp;"|"&amp;6,Assessments!$A$2:$A$600,0)),"")</f>
        <v>20</v>
      </c>
      <c r="CA126" s="28" t="n">
        <f aca="false">IFERROR(INDEX(Assessments!$H$2:$H$600,MATCH($H126&amp;"|"&amp;$I126&amp;"|"&amp;$J126&amp;"|"&amp;7,Assessments!$A$2:$A$600,0)),"")</f>
        <v>7</v>
      </c>
      <c r="CB126" s="28" t="str">
        <f aca="false">IFERROR(INDEX(Assessments!$H$2:$H$600,MATCH($H126&amp;"|"&amp;$I126&amp;"|"&amp;$J126&amp;"|"&amp;8,Assessments!$A$2:$A$600,0)),"")</f>
        <v/>
      </c>
      <c r="CC126" s="28" t="str">
        <f aca="false">IFERROR(INDEX(Assessments!$H$2:$H$600,MATCH($H126&amp;"|"&amp;$I126&amp;"|"&amp;$J126&amp;"|"&amp;9,Assessments!$A$2:$A$600,0)),"")</f>
        <v/>
      </c>
      <c r="CD126" s="28" t="str">
        <f aca="false">IFERROR(INDEX(Assessments!$H$2:$H$600,MATCH($H126&amp;"|"&amp;$I126&amp;"|"&amp;$J126&amp;"|"&amp;10,Assessments!$A$2:$A$600,0)),"")</f>
        <v/>
      </c>
      <c r="CE126" s="28" t="str">
        <f aca="false">IFERROR(INDEX(Assessments!$H$2:$H$600,MATCH($H126&amp;"|"&amp;$I126&amp;"|"&amp;$J126&amp;"|"&amp;11,Assessments!$A$2:$A$600,0)),"")</f>
        <v/>
      </c>
      <c r="CF126" s="28" t="str">
        <f aca="false">IFERROR(INDEX(Assessments!$H$2:$H$600,MATCH($H126&amp;"|"&amp;$I126&amp;"|"&amp;$J126&amp;"|"&amp;12,Assessments!$A$2:$A$600,0)),"")</f>
        <v/>
      </c>
      <c r="CG126" s="28" t="str">
        <f aca="false">IFERROR(INDEX(Assessments!$H$2:$H$600,MATCH($H126&amp;"|"&amp;$I126&amp;"|"&amp;$J126&amp;"|"&amp;13,Assessments!$A$2:$A$600,0)),"")</f>
        <v/>
      </c>
      <c r="CH126" s="28" t="str">
        <f aca="false">IFERROR(INDEX(Assessments!$H$2:$H$600,MATCH($H126&amp;"|"&amp;$I126&amp;"|"&amp;$J126&amp;"|"&amp;14,Assessments!$A$2:$A$600,0)),"")</f>
        <v/>
      </c>
      <c r="CI126" s="28" t="str">
        <f aca="false">IFERROR(INDEX(Assessments!$I$2:$I$600,MATCH($H126&amp;"|"&amp;$I126&amp;"|"&amp;$J126&amp;"|"&amp;1,Assessments!$A$2:$A$600,0)),"")</f>
        <v>BM Test</v>
      </c>
      <c r="CJ126" s="28" t="str">
        <f aca="false">IFERROR(INDEX(Assessments!$I$2:$I$600,MATCH($H126&amp;"|"&amp;$I126&amp;"|"&amp;$J126&amp;"|"&amp;2,Assessments!$A$2:$A$600,0)),"")</f>
        <v>BM Test</v>
      </c>
      <c r="CK126" s="28" t="str">
        <f aca="false">IFERROR(INDEX(Assessments!$I$2:$I$600,MATCH($H126&amp;"|"&amp;$I126&amp;"|"&amp;$J126&amp;"|"&amp;3,Assessments!$A$2:$A$600,0)),"")</f>
        <v>BM Test</v>
      </c>
      <c r="CL126" s="28" t="str">
        <f aca="false">IFERROR(INDEX(Assessments!$I$2:$I$600,MATCH($H126&amp;"|"&amp;$I126&amp;"|"&amp;$J126&amp;"|"&amp;4,Assessments!$A$2:$A$600,0)),"")</f>
        <v>BM Exam</v>
      </c>
      <c r="CM126" s="28" t="str">
        <f aca="false">IFERROR(INDEX(Assessments!$I$2:$I$600,MATCH($H126&amp;"|"&amp;$I126&amp;"|"&amp;$J126&amp;"|"&amp;5,Assessments!$A$2:$A$600,0)),"")</f>
        <v>BM Test</v>
      </c>
      <c r="CN126" s="28" t="str">
        <f aca="false">IFERROR(INDEX(Assessments!$I$2:$I$600,MATCH($H126&amp;"|"&amp;$I126&amp;"|"&amp;$J126&amp;"|"&amp;6,Assessments!$A$2:$A$600,0)),"")</f>
        <v>BM Test</v>
      </c>
      <c r="CO126" s="28" t="str">
        <f aca="false">IFERROR(INDEX(Assessments!$I$2:$I$600,MATCH($H126&amp;"|"&amp;$I126&amp;"|"&amp;$J126&amp;"|"&amp;7,Assessments!$A$2:$A$600,0)),"")</f>
        <v>Grade entered</v>
      </c>
      <c r="CP126" s="28" t="str">
        <f aca="false">IFERROR(INDEX(Assessments!$I$2:$I$600,MATCH($H126&amp;"|"&amp;$I126&amp;"|"&amp;$J126&amp;"|"&amp;8,Assessments!$A$2:$A$600,0)),"")</f>
        <v/>
      </c>
      <c r="CQ126" s="28" t="str">
        <f aca="false">IFERROR(INDEX(Assessments!$I$2:$I$600,MATCH($H126&amp;"|"&amp;$I126&amp;"|"&amp;$J126&amp;"|"&amp;9,Assessments!$A$2:$A$600,0)),"")</f>
        <v/>
      </c>
      <c r="CR126" s="28" t="str">
        <f aca="false">IFERROR(INDEX(Assessments!$I$2:$I$600,MATCH($H126&amp;"|"&amp;$I126&amp;"|"&amp;$J126&amp;"|"&amp;10,Assessments!$A$2:$A$600,0)),"")</f>
        <v/>
      </c>
      <c r="CS126" s="28" t="str">
        <f aca="false">IFERROR(INDEX(Assessments!$I$2:$I$600,MATCH($H126&amp;"|"&amp;$I126&amp;"|"&amp;$J126&amp;"|"&amp;11,Assessments!$A$2:$A$600,0)),"")</f>
        <v/>
      </c>
      <c r="CT126" s="28" t="str">
        <f aca="false">IFERROR(INDEX(Assessments!$I$2:$I$600,MATCH($H126&amp;"|"&amp;$I126&amp;"|"&amp;$J126&amp;"|"&amp;12,Assessments!$A$2:$A$600,0)),"")</f>
        <v/>
      </c>
      <c r="CU126" s="28" t="str">
        <f aca="false">IFERROR(INDEX(Assessments!$I$2:$I$600,MATCH($H126&amp;"|"&amp;$I126&amp;"|"&amp;$J126&amp;"|"&amp;13,Assessments!$A$2:$A$600,0)),"")</f>
        <v/>
      </c>
      <c r="CV126" s="28" t="str">
        <f aca="false">IFERROR(INDEX(Assessments!$I$2:$I$600,MATCH($H126&amp;"|"&amp;$I126&amp;"|"&amp;$J126&amp;"|"&amp;14,Assessments!$A$2:$A$600,0)),"")</f>
        <v/>
      </c>
      <c r="CW126" s="28" t="n">
        <f aca="false">IFERROR(INDEX(Assessments!$J$2:$J$600,MATCH($H126&amp;"|"&amp;$I126&amp;"|"&amp;$J126&amp;"|"&amp;1,Assessments!$A$2:$A$600,0)),0)</f>
        <v>1</v>
      </c>
      <c r="CX126" s="28" t="n">
        <f aca="false">IFERROR(INDEX(Assessments!$J$2:$J$600,MATCH($H126&amp;"|"&amp;$I126&amp;"|"&amp;$J126&amp;"|"&amp;2,Assessments!$A$2:$A$600,0)),0)</f>
        <v>1</v>
      </c>
      <c r="CY126" s="28" t="n">
        <f aca="false">IFERROR(INDEX(Assessments!$J$2:$J$600,MATCH($H126&amp;"|"&amp;$I126&amp;"|"&amp;$J126&amp;"|"&amp;3,Assessments!$A$2:$A$600,0)),0)</f>
        <v>1</v>
      </c>
      <c r="CZ126" s="28" t="n">
        <f aca="false">IFERROR(INDEX(Assessments!$J$2:$J$600,MATCH($H126&amp;"|"&amp;$I126&amp;"|"&amp;$J126&amp;"|"&amp;4,Assessments!$A$2:$A$600,0)),0)</f>
        <v>2</v>
      </c>
      <c r="DA126" s="28" t="n">
        <f aca="false">IFERROR(INDEX(Assessments!$J$2:$J$600,MATCH($H126&amp;"|"&amp;$I126&amp;"|"&amp;$J126&amp;"|"&amp;5,Assessments!$A$2:$A$600,0)),0)</f>
        <v>1</v>
      </c>
      <c r="DB126" s="28" t="n">
        <f aca="false">IFERROR(INDEX(Assessments!$J$2:$J$600,MATCH($H126&amp;"|"&amp;$I126&amp;"|"&amp;$J126&amp;"|"&amp;6,Assessments!$A$2:$A$600,0)),0)</f>
        <v>1</v>
      </c>
      <c r="DC126" s="28" t="n">
        <f aca="false">IFERROR(INDEX(Assessments!$J$2:$J$600,MATCH($H126&amp;"|"&amp;$I126&amp;"|"&amp;$J126&amp;"|"&amp;7,Assessments!$A$2:$A$600,0)),0)</f>
        <v>2</v>
      </c>
      <c r="DD126" s="28" t="n">
        <f aca="false">IFERROR(INDEX(Assessments!$J$2:$J$600,MATCH($H126&amp;"|"&amp;$I126&amp;"|"&amp;$J126&amp;"|"&amp;8,Assessments!$A$2:$A$600,0)),0)</f>
        <v>0</v>
      </c>
      <c r="DE126" s="28" t="n">
        <f aca="false">IFERROR(INDEX(Assessments!$J$2:$J$600,MATCH($H126&amp;"|"&amp;$I126&amp;"|"&amp;$J126&amp;"|"&amp;9,Assessments!$A$2:$A$600,0)),0)</f>
        <v>0</v>
      </c>
      <c r="DF126" s="28" t="n">
        <f aca="false">IFERROR(INDEX(Assessments!$J$2:$J$600,MATCH($H126&amp;"|"&amp;$I126&amp;"|"&amp;$J126&amp;"|"&amp;10,Assessments!$A$2:$A$600,0)),0)</f>
        <v>0</v>
      </c>
      <c r="DG126" s="28" t="n">
        <f aca="false">IFERROR(INDEX(Assessments!$J$2:$J$600,MATCH($H126&amp;"|"&amp;$I126&amp;"|"&amp;$J126&amp;"|"&amp;11,Assessments!$A$2:$A$600,0)),0)</f>
        <v>0</v>
      </c>
      <c r="DH126" s="28" t="n">
        <f aca="false">IFERROR(INDEX(Assessments!$J$2:$J$600,MATCH($H126&amp;"|"&amp;$I126&amp;"|"&amp;$J126&amp;"|"&amp;12,Assessments!$A$2:$A$600,0)),0)</f>
        <v>0</v>
      </c>
      <c r="DI126" s="28" t="n">
        <f aca="false">IFERROR(INDEX(Assessments!$J$2:$J$600,MATCH($H126&amp;"|"&amp;$I126&amp;"|"&amp;$J126&amp;"|"&amp;13,Assessments!$A$2:$A$600,0)),0)</f>
        <v>0</v>
      </c>
      <c r="DJ126" s="28" t="n">
        <f aca="false">IFERROR(INDEX(Assessments!$J$2:$J$600,MATCH($H126&amp;"|"&amp;$I126&amp;"|"&amp;$J126&amp;"|"&amp;14,Assessments!$A$2:$A$600,0)),0)</f>
        <v>0</v>
      </c>
      <c r="DK126" s="28" t="n">
        <f aca="false">S126</f>
        <v>6</v>
      </c>
      <c r="DL126" s="28" t="n">
        <f aca="false">W126</f>
        <v>7</v>
      </c>
      <c r="DM126" s="28" t="n">
        <f aca="false">AA126</f>
        <v>5</v>
      </c>
      <c r="DN126" s="28" t="n">
        <f aca="false">AE126</f>
        <v>7</v>
      </c>
      <c r="DO126" s="28" t="str">
        <f aca="false">AI126</f>
        <v/>
      </c>
      <c r="DP126" s="28" t="str">
        <f aca="false">AM126</f>
        <v/>
      </c>
      <c r="DQ126" s="28" t="n">
        <f aca="false">AQ126</f>
        <v>7</v>
      </c>
      <c r="DR126" s="28" t="str">
        <f aca="false">AU126</f>
        <v/>
      </c>
      <c r="DS126" s="28" t="str">
        <f aca="false">AY126</f>
        <v/>
      </c>
      <c r="DT126" s="28" t="str">
        <f aca="false">BC126</f>
        <v/>
      </c>
      <c r="DU126" s="28" t="str">
        <f aca="false">BG126</f>
        <v/>
      </c>
      <c r="DV126" s="28" t="str">
        <f aca="false">BK126</f>
        <v/>
      </c>
      <c r="DW126" s="28" t="str">
        <f aca="false">BO126</f>
        <v/>
      </c>
      <c r="DX126" s="28" t="str">
        <f aca="false">BS126</f>
        <v/>
      </c>
      <c r="DY126" s="28" t="n">
        <f aca="false">IF(ISNUMBER(S126),1,"")</f>
        <v>1</v>
      </c>
      <c r="DZ126" s="28" t="n">
        <f aca="false">IF(ISNUMBER(W126),2,"")</f>
        <v>2</v>
      </c>
      <c r="EA126" s="28" t="n">
        <f aca="false">IF(ISNUMBER(AA126),3,"")</f>
        <v>3</v>
      </c>
      <c r="EB126" s="28" t="n">
        <f aca="false">IF(ISNUMBER(AE126),4,"")</f>
        <v>4</v>
      </c>
      <c r="EC126" s="28" t="str">
        <f aca="false">IF(ISNUMBER(AI126),5,"")</f>
        <v/>
      </c>
      <c r="ED126" s="28" t="str">
        <f aca="false">IF(ISNUMBER(AM126),6,"")</f>
        <v/>
      </c>
      <c r="EE126" s="28" t="n">
        <f aca="false">IF(ISNUMBER(AQ126),7,"")</f>
        <v>7</v>
      </c>
      <c r="EF126" s="28" t="str">
        <f aca="false">IF(ISNUMBER(AU126),8,"")</f>
        <v/>
      </c>
      <c r="EG126" s="28" t="str">
        <f aca="false">IF(ISNUMBER(AY126),9,"")</f>
        <v/>
      </c>
      <c r="EH126" s="28" t="str">
        <f aca="false">IF(ISNUMBER(BC126),10,"")</f>
        <v/>
      </c>
      <c r="EI126" s="28" t="str">
        <f aca="false">IF(ISNUMBER(BG126),11,"")</f>
        <v/>
      </c>
      <c r="EJ126" s="28" t="str">
        <f aca="false">IF(ISNUMBER(BK126),12,"")</f>
        <v/>
      </c>
      <c r="EK126" s="28" t="str">
        <f aca="false">IF(ISNUMBER(BO126),13,"")</f>
        <v/>
      </c>
      <c r="EL126" s="28" t="str">
        <f aca="false">IF(ISNUMBER(BS126),14,"")</f>
        <v/>
      </c>
      <c r="EM126" s="28" t="n">
        <f aca="false">IF(ISNUMBER(R126),R126*CW126,0)</f>
        <v>66.6666666666667</v>
      </c>
      <c r="EN126" s="28" t="n">
        <f aca="false">IF(ISNUMBER(V126),V126*CX126,0)</f>
        <v>80</v>
      </c>
      <c r="EO126" s="28" t="n">
        <f aca="false">IF(ISNUMBER(Z126),Z126*CY126,0)</f>
        <v>60</v>
      </c>
      <c r="EP126" s="28" t="n">
        <f aca="false">IF(ISNUMBER(AD126),AD126*CZ126,0)</f>
        <v>160</v>
      </c>
      <c r="EQ126" s="28" t="n">
        <f aca="false">IF(ISNUMBER(AH126),AH126*DA126,0)</f>
        <v>0</v>
      </c>
      <c r="ER126" s="28" t="n">
        <f aca="false">IF(ISNUMBER(AL126),AL126*DB126,0)</f>
        <v>0</v>
      </c>
      <c r="ES126" s="28" t="n">
        <f aca="false">IF(ISNUMBER(AP126),AP126*DC126,0)</f>
        <v>200</v>
      </c>
      <c r="ET126" s="28" t="n">
        <f aca="false">IF(ISNUMBER(AT126),AT126*DD126,0)</f>
        <v>0</v>
      </c>
      <c r="EU126" s="28" t="n">
        <f aca="false">IF(ISNUMBER(AX126),AX126*DE126,0)</f>
        <v>0</v>
      </c>
      <c r="EV126" s="28" t="n">
        <f aca="false">IF(ISNUMBER(BB126),BB126*DF126,0)</f>
        <v>0</v>
      </c>
      <c r="EW126" s="28" t="n">
        <f aca="false">IF(ISNUMBER(BF126),BF126*DG126,0)</f>
        <v>0</v>
      </c>
      <c r="EX126" s="28" t="n">
        <f aca="false">IF(ISNUMBER(BJ126),BJ126*DH126,0)</f>
        <v>0</v>
      </c>
      <c r="EY126" s="28" t="n">
        <f aca="false">IF(ISNUMBER(BN126),BN126*DI126,0)</f>
        <v>0</v>
      </c>
      <c r="EZ126" s="28" t="n">
        <f aca="false">IF(ISNUMBER(BR126),BR126*DJ126,0)</f>
        <v>0</v>
      </c>
      <c r="FA126" s="28" t="n">
        <f aca="false">IF(ISNUMBER(R126),CW126,0)</f>
        <v>1</v>
      </c>
      <c r="FB126" s="28" t="n">
        <f aca="false">IF(ISNUMBER(V126),CX126,0)</f>
        <v>1</v>
      </c>
      <c r="FC126" s="28" t="n">
        <f aca="false">IF(ISNUMBER(Z126),CY126,0)</f>
        <v>1</v>
      </c>
      <c r="FD126" s="28" t="n">
        <f aca="false">IF(ISNUMBER(AD126),CZ126,0)</f>
        <v>2</v>
      </c>
      <c r="FE126" s="28" t="n">
        <f aca="false">IF(ISNUMBER(AH126),DA126,0)</f>
        <v>0</v>
      </c>
      <c r="FF126" s="28" t="n">
        <f aca="false">IF(ISNUMBER(AL126),DB126,0)</f>
        <v>0</v>
      </c>
      <c r="FG126" s="28" t="n">
        <f aca="false">IF(ISNUMBER(AP126),DC126,0)</f>
        <v>2</v>
      </c>
      <c r="FH126" s="28" t="n">
        <f aca="false">IF(ISNUMBER(AT126),DD126,0)</f>
        <v>0</v>
      </c>
      <c r="FI126" s="28" t="n">
        <f aca="false">IF(ISNUMBER(AX126),DE126,0)</f>
        <v>0</v>
      </c>
      <c r="FJ126" s="28" t="n">
        <f aca="false">IF(ISNUMBER(BB126),DF126,0)</f>
        <v>0</v>
      </c>
      <c r="FK126" s="28" t="n">
        <f aca="false">IF(ISNUMBER(BF126),DG126,0)</f>
        <v>0</v>
      </c>
      <c r="FL126" s="28" t="n">
        <f aca="false">IF(ISNUMBER(BJ126),DH126,0)</f>
        <v>0</v>
      </c>
      <c r="FM126" s="28" t="n">
        <f aca="false">IF(ISNUMBER(BN126),DI126,0)</f>
        <v>0</v>
      </c>
      <c r="FN126" s="28" t="n">
        <f aca="false">IF(ISNUMBER(BR126),DJ126,0)</f>
        <v>0</v>
      </c>
      <c r="FO126" s="28" t="str">
        <f aca="false">IFERROR(INDEX(Lists!$G$2:$G$20,MATCH($I126&amp;"|"&amp;$J126,Lists!$F$2:$F$20,0)),"")</f>
        <v>BM Exam</v>
      </c>
    </row>
    <row r="127" customFormat="false" ht="19.5" hidden="false" customHeight="true" outlineLevel="0" collapsed="false">
      <c r="A127" s="29" t="s">
        <v>198</v>
      </c>
      <c r="B127" s="29" t="s">
        <v>199</v>
      </c>
      <c r="C127" s="30" t="s">
        <v>152</v>
      </c>
      <c r="D127" s="30" t="s">
        <v>364</v>
      </c>
      <c r="E127" s="31" t="n">
        <v>5.4</v>
      </c>
      <c r="F127" s="30" t="n">
        <v>6</v>
      </c>
      <c r="G127" s="30"/>
      <c r="H127" s="32" t="s">
        <v>23</v>
      </c>
      <c r="I127" s="33" t="s">
        <v>365</v>
      </c>
      <c r="J127" s="32" t="s">
        <v>25</v>
      </c>
      <c r="K127" s="34" t="n">
        <f aca="false">IF(OR(M127="",$E127=""),"",M127-$E127)</f>
        <v>0.6</v>
      </c>
      <c r="L127" s="35" t="n">
        <f aca="false">IF(SUM(FA127:FN127)=0,"",SUM(EM127:EZ127)/SUM(FA127:FN127))</f>
        <v>65.8503401360544</v>
      </c>
      <c r="M127" s="36" t="n">
        <f aca="false">IF(OR(L127="",FO127=""),"",IFERROR(MATCH(L127,INDEX(Boundaries!$B$2:$I$30,MATCH(FO127,Boundaries!$A$2:$A$30,0),0),1)-1,""))</f>
        <v>6</v>
      </c>
      <c r="N127" s="37" t="n">
        <f aca="false">IF(COUNT($DY127:$EL127)&lt;2,"",INDEX($DK127:$DX127,MAX($DY127:$EL127))-INDEX($DK127:$DX127,MIN($DY127:$EL127)))</f>
        <v>-3</v>
      </c>
      <c r="O127" s="37" t="n">
        <f aca="false">IF(COUNT($DY127:$EL127)&lt;2,"",INDEX($DK127:$DX127,MAX($DY127:$EL127))-INDEX($DK127:$DX127,LARGE($DY127:$EL127,2)))</f>
        <v>-2</v>
      </c>
      <c r="P127" s="38" t="str">
        <f aca="false">IF(K127="","",IF(K127&gt;=0,"On/above target",IF(AND(N127&lt;&gt;"",N127&gt;=0.5),"Improving towards target",IF(AND(O127&lt;&gt;"",O127&lt;=-0.5),"Declining","Stable below target"))))</f>
        <v>On/above target</v>
      </c>
      <c r="Q127" s="39" t="n">
        <v>22</v>
      </c>
      <c r="R127" s="40" t="n">
        <f aca="false">IF(OR(Q127="",BU127=""),"",Q127/BU127*100)</f>
        <v>91.6666666666667</v>
      </c>
      <c r="S127" s="41" t="n">
        <f aca="false">IF(R127="","",IFERROR(MATCH(R127,INDEX(Boundaries!$B$2:$I$30,MATCH(CI127,Boundaries!$A$2:$A$30,0),0),1)-1,""))</f>
        <v>7</v>
      </c>
      <c r="T127" s="42" t="n">
        <f aca="false">IF(OR(S127="",$E127=""),"",S127-$E127)</f>
        <v>1.6</v>
      </c>
      <c r="U127" s="39" t="n">
        <v>12</v>
      </c>
      <c r="V127" s="40" t="n">
        <f aca="false">IF(OR(U127="",BV127=""),"",U127/BV127*100)</f>
        <v>60</v>
      </c>
      <c r="W127" s="41" t="n">
        <f aca="false">IF(V127="","",IFERROR(MATCH(V127,INDEX(Boundaries!$B$2:$I$30,MATCH(CJ127,Boundaries!$A$2:$A$30,0),0),1)-1,""))</f>
        <v>5</v>
      </c>
      <c r="X127" s="42" t="n">
        <f aca="false">IF(OR(W127="",$E127=""),"",W127-$E127)</f>
        <v>-0.4</v>
      </c>
      <c r="Y127" s="39" t="n">
        <v>12</v>
      </c>
      <c r="Z127" s="40" t="n">
        <f aca="false">IF(OR(Y127="",BW127=""),"",Y127/BW127*100)</f>
        <v>60</v>
      </c>
      <c r="AA127" s="41" t="n">
        <f aca="false">IF(Z127="","",IFERROR(MATCH(Z127,INDEX(Boundaries!$B$2:$I$30,MATCH(CK127,Boundaries!$A$2:$A$30,0),0),1)-1,""))</f>
        <v>5</v>
      </c>
      <c r="AB127" s="42" t="n">
        <f aca="false">IF(OR(AA127="",$E127=""),"",AA127-$E127)</f>
        <v>-0.4</v>
      </c>
      <c r="AC127" s="39" t="n">
        <v>27</v>
      </c>
      <c r="AD127" s="40" t="n">
        <f aca="false">IF(OR(AC127="",BX127=""),"",AC127/BX127*100)</f>
        <v>67.5</v>
      </c>
      <c r="AE127" s="41" t="n">
        <f aca="false">IF(AD127="","",IFERROR(MATCH(AD127,INDEX(Boundaries!$B$2:$I$30,MATCH(CL127,Boundaries!$A$2:$A$30,0),0),1)-1,""))</f>
        <v>6</v>
      </c>
      <c r="AF127" s="42" t="n">
        <f aca="false">IF(OR(AE127="",$E127=""),"",AE127-$E127)</f>
        <v>0.6</v>
      </c>
      <c r="AG127" s="39"/>
      <c r="AH127" s="40" t="str">
        <f aca="false">IF(OR(AG127="",BY127=""),"",AG127/BY127*100)</f>
        <v/>
      </c>
      <c r="AI127" s="41" t="str">
        <f aca="false">IF(AH127="","",IFERROR(MATCH(AH127,INDEX(Boundaries!$B$2:$I$30,MATCH(CM127,Boundaries!$A$2:$A$30,0),0),1)-1,""))</f>
        <v/>
      </c>
      <c r="AJ127" s="42" t="str">
        <f aca="false">IF(OR(AI127="",$E127=""),"",AI127-$E127)</f>
        <v/>
      </c>
      <c r="AK127" s="39"/>
      <c r="AL127" s="40" t="str">
        <f aca="false">IF(OR(AK127="",BZ127=""),"",AK127/BZ127*100)</f>
        <v/>
      </c>
      <c r="AM127" s="41" t="str">
        <f aca="false">IF(AL127="","",IFERROR(MATCH(AL127,INDEX(Boundaries!$B$2:$I$30,MATCH(CN127,Boundaries!$A$2:$A$30,0),0),1)-1,""))</f>
        <v/>
      </c>
      <c r="AN127" s="42" t="str">
        <f aca="false">IF(OR(AM127="",$E127=""),"",AM127-$E127)</f>
        <v/>
      </c>
      <c r="AO127" s="39" t="n">
        <v>4</v>
      </c>
      <c r="AP127" s="40" t="n">
        <f aca="false">IF(OR(AO127="",CA127=""),"",AO127/CA127*100)</f>
        <v>57.1428571428571</v>
      </c>
      <c r="AQ127" s="41" t="n">
        <f aca="false">IF(AP127="","",IFERROR(MATCH(AP127,INDEX(Boundaries!$B$2:$I$30,MATCH(CO127,Boundaries!$A$2:$A$30,0),0),1)-1,""))</f>
        <v>4</v>
      </c>
      <c r="AR127" s="42" t="n">
        <f aca="false">IF(OR(AQ127="",$E127=""),"",AQ127-$E127)</f>
        <v>-1.4</v>
      </c>
      <c r="AS127" s="39"/>
      <c r="AT127" s="40" t="str">
        <f aca="false">IF(OR(AS127="",CB127=""),"",AS127/CB127*100)</f>
        <v/>
      </c>
      <c r="AU127" s="41" t="str">
        <f aca="false">IF(AT127="","",IFERROR(MATCH(AT127,INDEX(Boundaries!$B$2:$I$30,MATCH(CP127,Boundaries!$A$2:$A$30,0),0),1)-1,""))</f>
        <v/>
      </c>
      <c r="AV127" s="42" t="str">
        <f aca="false">IF(OR(AU127="",$E127=""),"",AU127-$E127)</f>
        <v/>
      </c>
      <c r="AW127" s="39"/>
      <c r="AX127" s="40" t="str">
        <f aca="false">IF(OR(AW127="",CC127=""),"",AW127/CC127*100)</f>
        <v/>
      </c>
      <c r="AY127" s="41" t="str">
        <f aca="false">IF(AX127="","",IFERROR(MATCH(AX127,INDEX(Boundaries!$B$2:$I$30,MATCH(CQ127,Boundaries!$A$2:$A$30,0),0),1)-1,""))</f>
        <v/>
      </c>
      <c r="AZ127" s="42" t="str">
        <f aca="false">IF(OR(AY127="",$E127=""),"",AY127-$E127)</f>
        <v/>
      </c>
      <c r="BA127" s="39"/>
      <c r="BB127" s="40" t="str">
        <f aca="false">IF(OR(BA127="",CD127=""),"",BA127/CD127*100)</f>
        <v/>
      </c>
      <c r="BC127" s="41" t="str">
        <f aca="false">IF(BB127="","",IFERROR(MATCH(BB127,INDEX(Boundaries!$B$2:$I$30,MATCH(CR127,Boundaries!$A$2:$A$30,0),0),1)-1,""))</f>
        <v/>
      </c>
      <c r="BD127" s="42" t="str">
        <f aca="false">IF(OR(BC127="",$E127=""),"",BC127-$E127)</f>
        <v/>
      </c>
      <c r="BE127" s="39"/>
      <c r="BF127" s="40" t="str">
        <f aca="false">IF(OR(BE127="",CE127=""),"",BE127/CE127*100)</f>
        <v/>
      </c>
      <c r="BG127" s="41" t="str">
        <f aca="false">IF(BF127="","",IFERROR(MATCH(BF127,INDEX(Boundaries!$B$2:$I$30,MATCH(CS127,Boundaries!$A$2:$A$30,0),0),1)-1,""))</f>
        <v/>
      </c>
      <c r="BH127" s="42" t="str">
        <f aca="false">IF(OR(BG127="",$E127=""),"",BG127-$E127)</f>
        <v/>
      </c>
      <c r="BI127" s="39"/>
      <c r="BJ127" s="40" t="str">
        <f aca="false">IF(OR(BI127="",CF127=""),"",BI127/CF127*100)</f>
        <v/>
      </c>
      <c r="BK127" s="41" t="str">
        <f aca="false">IF(BJ127="","",IFERROR(MATCH(BJ127,INDEX(Boundaries!$B$2:$I$30,MATCH(CT127,Boundaries!$A$2:$A$30,0),0),1)-1,""))</f>
        <v/>
      </c>
      <c r="BL127" s="42" t="str">
        <f aca="false">IF(OR(BK127="",$E127=""),"",BK127-$E127)</f>
        <v/>
      </c>
      <c r="BM127" s="39"/>
      <c r="BN127" s="40" t="str">
        <f aca="false">IF(OR(BM127="",CG127=""),"",BM127/CG127*100)</f>
        <v/>
      </c>
      <c r="BO127" s="41" t="str">
        <f aca="false">IF(BN127="","",IFERROR(MATCH(BN127,INDEX(Boundaries!$B$2:$I$30,MATCH(CU127,Boundaries!$A$2:$A$30,0),0),1)-1,""))</f>
        <v/>
      </c>
      <c r="BP127" s="42" t="str">
        <f aca="false">IF(OR(BO127="",$E127=""),"",BO127-$E127)</f>
        <v/>
      </c>
      <c r="BQ127" s="39"/>
      <c r="BR127" s="40" t="str">
        <f aca="false">IF(OR(BQ127="",CH127=""),"",BQ127/CH127*100)</f>
        <v/>
      </c>
      <c r="BS127" s="41" t="str">
        <f aca="false">IF(BR127="","",IFERROR(MATCH(BR127,INDEX(Boundaries!$B$2:$I$30,MATCH(CV127,Boundaries!$A$2:$A$30,0),0),1)-1,""))</f>
        <v/>
      </c>
      <c r="BT127" s="42" t="str">
        <f aca="false">IF(OR(BS127="",$E127=""),"",BS127-$E127)</f>
        <v/>
      </c>
      <c r="BU127" s="28" t="n">
        <f aca="false">IFERROR(INDEX(Assessments!$H$2:$H$600,MATCH($H127&amp;"|"&amp;$I127&amp;"|"&amp;$J127&amp;"|"&amp;1,Assessments!$A$2:$A$600,0)),"")</f>
        <v>24</v>
      </c>
      <c r="BV127" s="28" t="n">
        <f aca="false">IFERROR(INDEX(Assessments!$H$2:$H$600,MATCH($H127&amp;"|"&amp;$I127&amp;"|"&amp;$J127&amp;"|"&amp;2,Assessments!$A$2:$A$600,0)),"")</f>
        <v>20</v>
      </c>
      <c r="BW127" s="28" t="n">
        <f aca="false">IFERROR(INDEX(Assessments!$H$2:$H$600,MATCH($H127&amp;"|"&amp;$I127&amp;"|"&amp;$J127&amp;"|"&amp;3,Assessments!$A$2:$A$600,0)),"")</f>
        <v>20</v>
      </c>
      <c r="BX127" s="28" t="n">
        <f aca="false">IFERROR(INDEX(Assessments!$H$2:$H$600,MATCH($H127&amp;"|"&amp;$I127&amp;"|"&amp;$J127&amp;"|"&amp;4,Assessments!$A$2:$A$600,0)),"")</f>
        <v>40</v>
      </c>
      <c r="BY127" s="28" t="n">
        <f aca="false">IFERROR(INDEX(Assessments!$H$2:$H$600,MATCH($H127&amp;"|"&amp;$I127&amp;"|"&amp;$J127&amp;"|"&amp;5,Assessments!$A$2:$A$600,0)),"")</f>
        <v>30</v>
      </c>
      <c r="BZ127" s="28" t="n">
        <f aca="false">IFERROR(INDEX(Assessments!$H$2:$H$600,MATCH($H127&amp;"|"&amp;$I127&amp;"|"&amp;$J127&amp;"|"&amp;6,Assessments!$A$2:$A$600,0)),"")</f>
        <v>20</v>
      </c>
      <c r="CA127" s="28" t="n">
        <f aca="false">IFERROR(INDEX(Assessments!$H$2:$H$600,MATCH($H127&amp;"|"&amp;$I127&amp;"|"&amp;$J127&amp;"|"&amp;7,Assessments!$A$2:$A$600,0)),"")</f>
        <v>7</v>
      </c>
      <c r="CB127" s="28" t="str">
        <f aca="false">IFERROR(INDEX(Assessments!$H$2:$H$600,MATCH($H127&amp;"|"&amp;$I127&amp;"|"&amp;$J127&amp;"|"&amp;8,Assessments!$A$2:$A$600,0)),"")</f>
        <v/>
      </c>
      <c r="CC127" s="28" t="str">
        <f aca="false">IFERROR(INDEX(Assessments!$H$2:$H$600,MATCH($H127&amp;"|"&amp;$I127&amp;"|"&amp;$J127&amp;"|"&amp;9,Assessments!$A$2:$A$600,0)),"")</f>
        <v/>
      </c>
      <c r="CD127" s="28" t="str">
        <f aca="false">IFERROR(INDEX(Assessments!$H$2:$H$600,MATCH($H127&amp;"|"&amp;$I127&amp;"|"&amp;$J127&amp;"|"&amp;10,Assessments!$A$2:$A$600,0)),"")</f>
        <v/>
      </c>
      <c r="CE127" s="28" t="str">
        <f aca="false">IFERROR(INDEX(Assessments!$H$2:$H$600,MATCH($H127&amp;"|"&amp;$I127&amp;"|"&amp;$J127&amp;"|"&amp;11,Assessments!$A$2:$A$600,0)),"")</f>
        <v/>
      </c>
      <c r="CF127" s="28" t="str">
        <f aca="false">IFERROR(INDEX(Assessments!$H$2:$H$600,MATCH($H127&amp;"|"&amp;$I127&amp;"|"&amp;$J127&amp;"|"&amp;12,Assessments!$A$2:$A$600,0)),"")</f>
        <v/>
      </c>
      <c r="CG127" s="28" t="str">
        <f aca="false">IFERROR(INDEX(Assessments!$H$2:$H$600,MATCH($H127&amp;"|"&amp;$I127&amp;"|"&amp;$J127&amp;"|"&amp;13,Assessments!$A$2:$A$600,0)),"")</f>
        <v/>
      </c>
      <c r="CH127" s="28" t="str">
        <f aca="false">IFERROR(INDEX(Assessments!$H$2:$H$600,MATCH($H127&amp;"|"&amp;$I127&amp;"|"&amp;$J127&amp;"|"&amp;14,Assessments!$A$2:$A$600,0)),"")</f>
        <v/>
      </c>
      <c r="CI127" s="28" t="str">
        <f aca="false">IFERROR(INDEX(Assessments!$I$2:$I$600,MATCH($H127&amp;"|"&amp;$I127&amp;"|"&amp;$J127&amp;"|"&amp;1,Assessments!$A$2:$A$600,0)),"")</f>
        <v>BM Test</v>
      </c>
      <c r="CJ127" s="28" t="str">
        <f aca="false">IFERROR(INDEX(Assessments!$I$2:$I$600,MATCH($H127&amp;"|"&amp;$I127&amp;"|"&amp;$J127&amp;"|"&amp;2,Assessments!$A$2:$A$600,0)),"")</f>
        <v>BM Test</v>
      </c>
      <c r="CK127" s="28" t="str">
        <f aca="false">IFERROR(INDEX(Assessments!$I$2:$I$600,MATCH($H127&amp;"|"&amp;$I127&amp;"|"&amp;$J127&amp;"|"&amp;3,Assessments!$A$2:$A$600,0)),"")</f>
        <v>BM Test</v>
      </c>
      <c r="CL127" s="28" t="str">
        <f aca="false">IFERROR(INDEX(Assessments!$I$2:$I$600,MATCH($H127&amp;"|"&amp;$I127&amp;"|"&amp;$J127&amp;"|"&amp;4,Assessments!$A$2:$A$600,0)),"")</f>
        <v>BM Exam</v>
      </c>
      <c r="CM127" s="28" t="str">
        <f aca="false">IFERROR(INDEX(Assessments!$I$2:$I$600,MATCH($H127&amp;"|"&amp;$I127&amp;"|"&amp;$J127&amp;"|"&amp;5,Assessments!$A$2:$A$600,0)),"")</f>
        <v>BM Test</v>
      </c>
      <c r="CN127" s="28" t="str">
        <f aca="false">IFERROR(INDEX(Assessments!$I$2:$I$600,MATCH($H127&amp;"|"&amp;$I127&amp;"|"&amp;$J127&amp;"|"&amp;6,Assessments!$A$2:$A$600,0)),"")</f>
        <v>BM Test</v>
      </c>
      <c r="CO127" s="28" t="str">
        <f aca="false">IFERROR(INDEX(Assessments!$I$2:$I$600,MATCH($H127&amp;"|"&amp;$I127&amp;"|"&amp;$J127&amp;"|"&amp;7,Assessments!$A$2:$A$600,0)),"")</f>
        <v>Grade entered</v>
      </c>
      <c r="CP127" s="28" t="str">
        <f aca="false">IFERROR(INDEX(Assessments!$I$2:$I$600,MATCH($H127&amp;"|"&amp;$I127&amp;"|"&amp;$J127&amp;"|"&amp;8,Assessments!$A$2:$A$600,0)),"")</f>
        <v/>
      </c>
      <c r="CQ127" s="28" t="str">
        <f aca="false">IFERROR(INDEX(Assessments!$I$2:$I$600,MATCH($H127&amp;"|"&amp;$I127&amp;"|"&amp;$J127&amp;"|"&amp;9,Assessments!$A$2:$A$600,0)),"")</f>
        <v/>
      </c>
      <c r="CR127" s="28" t="str">
        <f aca="false">IFERROR(INDEX(Assessments!$I$2:$I$600,MATCH($H127&amp;"|"&amp;$I127&amp;"|"&amp;$J127&amp;"|"&amp;10,Assessments!$A$2:$A$600,0)),"")</f>
        <v/>
      </c>
      <c r="CS127" s="28" t="str">
        <f aca="false">IFERROR(INDEX(Assessments!$I$2:$I$600,MATCH($H127&amp;"|"&amp;$I127&amp;"|"&amp;$J127&amp;"|"&amp;11,Assessments!$A$2:$A$600,0)),"")</f>
        <v/>
      </c>
      <c r="CT127" s="28" t="str">
        <f aca="false">IFERROR(INDEX(Assessments!$I$2:$I$600,MATCH($H127&amp;"|"&amp;$I127&amp;"|"&amp;$J127&amp;"|"&amp;12,Assessments!$A$2:$A$600,0)),"")</f>
        <v/>
      </c>
      <c r="CU127" s="28" t="str">
        <f aca="false">IFERROR(INDEX(Assessments!$I$2:$I$600,MATCH($H127&amp;"|"&amp;$I127&amp;"|"&amp;$J127&amp;"|"&amp;13,Assessments!$A$2:$A$600,0)),"")</f>
        <v/>
      </c>
      <c r="CV127" s="28" t="str">
        <f aca="false">IFERROR(INDEX(Assessments!$I$2:$I$600,MATCH($H127&amp;"|"&amp;$I127&amp;"|"&amp;$J127&amp;"|"&amp;14,Assessments!$A$2:$A$600,0)),"")</f>
        <v/>
      </c>
      <c r="CW127" s="28" t="n">
        <f aca="false">IFERROR(INDEX(Assessments!$J$2:$J$600,MATCH($H127&amp;"|"&amp;$I127&amp;"|"&amp;$J127&amp;"|"&amp;1,Assessments!$A$2:$A$600,0)),0)</f>
        <v>1</v>
      </c>
      <c r="CX127" s="28" t="n">
        <f aca="false">IFERROR(INDEX(Assessments!$J$2:$J$600,MATCH($H127&amp;"|"&amp;$I127&amp;"|"&amp;$J127&amp;"|"&amp;2,Assessments!$A$2:$A$600,0)),0)</f>
        <v>1</v>
      </c>
      <c r="CY127" s="28" t="n">
        <f aca="false">IFERROR(INDEX(Assessments!$J$2:$J$600,MATCH($H127&amp;"|"&amp;$I127&amp;"|"&amp;$J127&amp;"|"&amp;3,Assessments!$A$2:$A$600,0)),0)</f>
        <v>1</v>
      </c>
      <c r="CZ127" s="28" t="n">
        <f aca="false">IFERROR(INDEX(Assessments!$J$2:$J$600,MATCH($H127&amp;"|"&amp;$I127&amp;"|"&amp;$J127&amp;"|"&amp;4,Assessments!$A$2:$A$600,0)),0)</f>
        <v>2</v>
      </c>
      <c r="DA127" s="28" t="n">
        <f aca="false">IFERROR(INDEX(Assessments!$J$2:$J$600,MATCH($H127&amp;"|"&amp;$I127&amp;"|"&amp;$J127&amp;"|"&amp;5,Assessments!$A$2:$A$600,0)),0)</f>
        <v>1</v>
      </c>
      <c r="DB127" s="28" t="n">
        <f aca="false">IFERROR(INDEX(Assessments!$J$2:$J$600,MATCH($H127&amp;"|"&amp;$I127&amp;"|"&amp;$J127&amp;"|"&amp;6,Assessments!$A$2:$A$600,0)),0)</f>
        <v>1</v>
      </c>
      <c r="DC127" s="28" t="n">
        <f aca="false">IFERROR(INDEX(Assessments!$J$2:$J$600,MATCH($H127&amp;"|"&amp;$I127&amp;"|"&amp;$J127&amp;"|"&amp;7,Assessments!$A$2:$A$600,0)),0)</f>
        <v>2</v>
      </c>
      <c r="DD127" s="28" t="n">
        <f aca="false">IFERROR(INDEX(Assessments!$J$2:$J$600,MATCH($H127&amp;"|"&amp;$I127&amp;"|"&amp;$J127&amp;"|"&amp;8,Assessments!$A$2:$A$600,0)),0)</f>
        <v>0</v>
      </c>
      <c r="DE127" s="28" t="n">
        <f aca="false">IFERROR(INDEX(Assessments!$J$2:$J$600,MATCH($H127&amp;"|"&amp;$I127&amp;"|"&amp;$J127&amp;"|"&amp;9,Assessments!$A$2:$A$600,0)),0)</f>
        <v>0</v>
      </c>
      <c r="DF127" s="28" t="n">
        <f aca="false">IFERROR(INDEX(Assessments!$J$2:$J$600,MATCH($H127&amp;"|"&amp;$I127&amp;"|"&amp;$J127&amp;"|"&amp;10,Assessments!$A$2:$A$600,0)),0)</f>
        <v>0</v>
      </c>
      <c r="DG127" s="28" t="n">
        <f aca="false">IFERROR(INDEX(Assessments!$J$2:$J$600,MATCH($H127&amp;"|"&amp;$I127&amp;"|"&amp;$J127&amp;"|"&amp;11,Assessments!$A$2:$A$600,0)),0)</f>
        <v>0</v>
      </c>
      <c r="DH127" s="28" t="n">
        <f aca="false">IFERROR(INDEX(Assessments!$J$2:$J$600,MATCH($H127&amp;"|"&amp;$I127&amp;"|"&amp;$J127&amp;"|"&amp;12,Assessments!$A$2:$A$600,0)),0)</f>
        <v>0</v>
      </c>
      <c r="DI127" s="28" t="n">
        <f aca="false">IFERROR(INDEX(Assessments!$J$2:$J$600,MATCH($H127&amp;"|"&amp;$I127&amp;"|"&amp;$J127&amp;"|"&amp;13,Assessments!$A$2:$A$600,0)),0)</f>
        <v>0</v>
      </c>
      <c r="DJ127" s="28" t="n">
        <f aca="false">IFERROR(INDEX(Assessments!$J$2:$J$600,MATCH($H127&amp;"|"&amp;$I127&amp;"|"&amp;$J127&amp;"|"&amp;14,Assessments!$A$2:$A$600,0)),0)</f>
        <v>0</v>
      </c>
      <c r="DK127" s="28" t="n">
        <f aca="false">S127</f>
        <v>7</v>
      </c>
      <c r="DL127" s="28" t="n">
        <f aca="false">W127</f>
        <v>5</v>
      </c>
      <c r="DM127" s="28" t="n">
        <f aca="false">AA127</f>
        <v>5</v>
      </c>
      <c r="DN127" s="28" t="n">
        <f aca="false">AE127</f>
        <v>6</v>
      </c>
      <c r="DO127" s="28" t="str">
        <f aca="false">AI127</f>
        <v/>
      </c>
      <c r="DP127" s="28" t="str">
        <f aca="false">AM127</f>
        <v/>
      </c>
      <c r="DQ127" s="28" t="n">
        <f aca="false">AQ127</f>
        <v>4</v>
      </c>
      <c r="DR127" s="28" t="str">
        <f aca="false">AU127</f>
        <v/>
      </c>
      <c r="DS127" s="28" t="str">
        <f aca="false">AY127</f>
        <v/>
      </c>
      <c r="DT127" s="28" t="str">
        <f aca="false">BC127</f>
        <v/>
      </c>
      <c r="DU127" s="28" t="str">
        <f aca="false">BG127</f>
        <v/>
      </c>
      <c r="DV127" s="28" t="str">
        <f aca="false">BK127</f>
        <v/>
      </c>
      <c r="DW127" s="28" t="str">
        <f aca="false">BO127</f>
        <v/>
      </c>
      <c r="DX127" s="28" t="str">
        <f aca="false">BS127</f>
        <v/>
      </c>
      <c r="DY127" s="28" t="n">
        <f aca="false">IF(ISNUMBER(S127),1,"")</f>
        <v>1</v>
      </c>
      <c r="DZ127" s="28" t="n">
        <f aca="false">IF(ISNUMBER(W127),2,"")</f>
        <v>2</v>
      </c>
      <c r="EA127" s="28" t="n">
        <f aca="false">IF(ISNUMBER(AA127),3,"")</f>
        <v>3</v>
      </c>
      <c r="EB127" s="28" t="n">
        <f aca="false">IF(ISNUMBER(AE127),4,"")</f>
        <v>4</v>
      </c>
      <c r="EC127" s="28" t="str">
        <f aca="false">IF(ISNUMBER(AI127),5,"")</f>
        <v/>
      </c>
      <c r="ED127" s="28" t="str">
        <f aca="false">IF(ISNUMBER(AM127),6,"")</f>
        <v/>
      </c>
      <c r="EE127" s="28" t="n">
        <f aca="false">IF(ISNUMBER(AQ127),7,"")</f>
        <v>7</v>
      </c>
      <c r="EF127" s="28" t="str">
        <f aca="false">IF(ISNUMBER(AU127),8,"")</f>
        <v/>
      </c>
      <c r="EG127" s="28" t="str">
        <f aca="false">IF(ISNUMBER(AY127),9,"")</f>
        <v/>
      </c>
      <c r="EH127" s="28" t="str">
        <f aca="false">IF(ISNUMBER(BC127),10,"")</f>
        <v/>
      </c>
      <c r="EI127" s="28" t="str">
        <f aca="false">IF(ISNUMBER(BG127),11,"")</f>
        <v/>
      </c>
      <c r="EJ127" s="28" t="str">
        <f aca="false">IF(ISNUMBER(BK127),12,"")</f>
        <v/>
      </c>
      <c r="EK127" s="28" t="str">
        <f aca="false">IF(ISNUMBER(BO127),13,"")</f>
        <v/>
      </c>
      <c r="EL127" s="28" t="str">
        <f aca="false">IF(ISNUMBER(BS127),14,"")</f>
        <v/>
      </c>
      <c r="EM127" s="28" t="n">
        <f aca="false">IF(ISNUMBER(R127),R127*CW127,0)</f>
        <v>91.6666666666667</v>
      </c>
      <c r="EN127" s="28" t="n">
        <f aca="false">IF(ISNUMBER(V127),V127*CX127,0)</f>
        <v>60</v>
      </c>
      <c r="EO127" s="28" t="n">
        <f aca="false">IF(ISNUMBER(Z127),Z127*CY127,0)</f>
        <v>60</v>
      </c>
      <c r="EP127" s="28" t="n">
        <f aca="false">IF(ISNUMBER(AD127),AD127*CZ127,0)</f>
        <v>135</v>
      </c>
      <c r="EQ127" s="28" t="n">
        <f aca="false">IF(ISNUMBER(AH127),AH127*DA127,0)</f>
        <v>0</v>
      </c>
      <c r="ER127" s="28" t="n">
        <f aca="false">IF(ISNUMBER(AL127),AL127*DB127,0)</f>
        <v>0</v>
      </c>
      <c r="ES127" s="28" t="n">
        <f aca="false">IF(ISNUMBER(AP127),AP127*DC127,0)</f>
        <v>114.285714285714</v>
      </c>
      <c r="ET127" s="28" t="n">
        <f aca="false">IF(ISNUMBER(AT127),AT127*DD127,0)</f>
        <v>0</v>
      </c>
      <c r="EU127" s="28" t="n">
        <f aca="false">IF(ISNUMBER(AX127),AX127*DE127,0)</f>
        <v>0</v>
      </c>
      <c r="EV127" s="28" t="n">
        <f aca="false">IF(ISNUMBER(BB127),BB127*DF127,0)</f>
        <v>0</v>
      </c>
      <c r="EW127" s="28" t="n">
        <f aca="false">IF(ISNUMBER(BF127),BF127*DG127,0)</f>
        <v>0</v>
      </c>
      <c r="EX127" s="28" t="n">
        <f aca="false">IF(ISNUMBER(BJ127),BJ127*DH127,0)</f>
        <v>0</v>
      </c>
      <c r="EY127" s="28" t="n">
        <f aca="false">IF(ISNUMBER(BN127),BN127*DI127,0)</f>
        <v>0</v>
      </c>
      <c r="EZ127" s="28" t="n">
        <f aca="false">IF(ISNUMBER(BR127),BR127*DJ127,0)</f>
        <v>0</v>
      </c>
      <c r="FA127" s="28" t="n">
        <f aca="false">IF(ISNUMBER(R127),CW127,0)</f>
        <v>1</v>
      </c>
      <c r="FB127" s="28" t="n">
        <f aca="false">IF(ISNUMBER(V127),CX127,0)</f>
        <v>1</v>
      </c>
      <c r="FC127" s="28" t="n">
        <f aca="false">IF(ISNUMBER(Z127),CY127,0)</f>
        <v>1</v>
      </c>
      <c r="FD127" s="28" t="n">
        <f aca="false">IF(ISNUMBER(AD127),CZ127,0)</f>
        <v>2</v>
      </c>
      <c r="FE127" s="28" t="n">
        <f aca="false">IF(ISNUMBER(AH127),DA127,0)</f>
        <v>0</v>
      </c>
      <c r="FF127" s="28" t="n">
        <f aca="false">IF(ISNUMBER(AL127),DB127,0)</f>
        <v>0</v>
      </c>
      <c r="FG127" s="28" t="n">
        <f aca="false">IF(ISNUMBER(AP127),DC127,0)</f>
        <v>2</v>
      </c>
      <c r="FH127" s="28" t="n">
        <f aca="false">IF(ISNUMBER(AT127),DD127,0)</f>
        <v>0</v>
      </c>
      <c r="FI127" s="28" t="n">
        <f aca="false">IF(ISNUMBER(AX127),DE127,0)</f>
        <v>0</v>
      </c>
      <c r="FJ127" s="28" t="n">
        <f aca="false">IF(ISNUMBER(BB127),DF127,0)</f>
        <v>0</v>
      </c>
      <c r="FK127" s="28" t="n">
        <f aca="false">IF(ISNUMBER(BF127),DG127,0)</f>
        <v>0</v>
      </c>
      <c r="FL127" s="28" t="n">
        <f aca="false">IF(ISNUMBER(BJ127),DH127,0)</f>
        <v>0</v>
      </c>
      <c r="FM127" s="28" t="n">
        <f aca="false">IF(ISNUMBER(BN127),DI127,0)</f>
        <v>0</v>
      </c>
      <c r="FN127" s="28" t="n">
        <f aca="false">IF(ISNUMBER(BR127),DJ127,0)</f>
        <v>0</v>
      </c>
      <c r="FO127" s="28" t="str">
        <f aca="false">IFERROR(INDEX(Lists!$G$2:$G$20,MATCH($I127&amp;"|"&amp;$J127,Lists!$F$2:$F$20,0)),"")</f>
        <v>BM Exam</v>
      </c>
    </row>
    <row r="128" customFormat="false" ht="19.5" hidden="false" customHeight="true" outlineLevel="0" collapsed="false">
      <c r="A128" s="29" t="s">
        <v>204</v>
      </c>
      <c r="B128" s="29" t="s">
        <v>205</v>
      </c>
      <c r="C128" s="30" t="s">
        <v>152</v>
      </c>
      <c r="D128" s="30" t="s">
        <v>364</v>
      </c>
      <c r="E128" s="31" t="n">
        <v>5.3</v>
      </c>
      <c r="F128" s="30" t="n">
        <v>6</v>
      </c>
      <c r="G128" s="30"/>
      <c r="H128" s="32" t="s">
        <v>23</v>
      </c>
      <c r="I128" s="33" t="s">
        <v>365</v>
      </c>
      <c r="J128" s="32" t="s">
        <v>25</v>
      </c>
      <c r="K128" s="34" t="n">
        <f aca="false">IF(OR(M128="",$E128=""),"",M128-$E128)</f>
        <v>0.7</v>
      </c>
      <c r="L128" s="35" t="n">
        <f aca="false">IF(SUM(FA128:FN128)=0,"",SUM(EM128:EZ128)/SUM(FA128:FN128))</f>
        <v>69.0136054421769</v>
      </c>
      <c r="M128" s="36" t="n">
        <f aca="false">IF(OR(L128="",FO128=""),"",IFERROR(MATCH(L128,INDEX(Boundaries!$B$2:$I$30,MATCH(FO128,Boundaries!$A$2:$A$30,0),0),1)-1,""))</f>
        <v>6</v>
      </c>
      <c r="N128" s="37" t="n">
        <f aca="false">IF(COUNT($DY128:$EL128)&lt;2,"",INDEX($DK128:$DX128,MAX($DY128:$EL128))-INDEX($DK128:$DX128,MIN($DY128:$EL128)))</f>
        <v>2</v>
      </c>
      <c r="O128" s="37" t="n">
        <f aca="false">IF(COUNT($DY128:$EL128)&lt;2,"",INDEX($DK128:$DX128,MAX($DY128:$EL128))-INDEX($DK128:$DX128,LARGE($DY128:$EL128,2)))</f>
        <v>-1</v>
      </c>
      <c r="P128" s="38" t="str">
        <f aca="false">IF(K128="","",IF(K128&gt;=0,"On/above target",IF(AND(N128&lt;&gt;"",N128&gt;=0.5),"Improving towards target",IF(AND(O128&lt;&gt;"",O128&lt;=-0.5),"Declining","Stable below target"))))</f>
        <v>On/above target</v>
      </c>
      <c r="Q128" s="39" t="n">
        <v>10</v>
      </c>
      <c r="R128" s="40" t="n">
        <f aca="false">IF(OR(Q128="",BU128=""),"",Q128/BU128*100)</f>
        <v>41.6666666666667</v>
      </c>
      <c r="S128" s="41" t="n">
        <f aca="false">IF(R128="","",IFERROR(MATCH(R128,INDEX(Boundaries!$B$2:$I$30,MATCH(CI128,Boundaries!$A$2:$A$30,0),0),1)-1,""))</f>
        <v>4</v>
      </c>
      <c r="T128" s="42" t="n">
        <f aca="false">IF(OR(S128="",$E128=""),"",S128-$E128)</f>
        <v>-1.3</v>
      </c>
      <c r="U128" s="39" t="n">
        <v>9</v>
      </c>
      <c r="V128" s="40" t="n">
        <f aca="false">IF(OR(U128="",BV128=""),"",U128/BV128*100)</f>
        <v>45</v>
      </c>
      <c r="W128" s="41" t="n">
        <f aca="false">IF(V128="","",IFERROR(MATCH(V128,INDEX(Boundaries!$B$2:$I$30,MATCH(CJ128,Boundaries!$A$2:$A$30,0),0),1)-1,""))</f>
        <v>4</v>
      </c>
      <c r="X128" s="42" t="n">
        <f aca="false">IF(OR(W128="",$E128=""),"",W128-$E128)</f>
        <v>-1.3</v>
      </c>
      <c r="Y128" s="39" t="n">
        <v>13</v>
      </c>
      <c r="Z128" s="40" t="n">
        <f aca="false">IF(OR(Y128="",BW128=""),"",Y128/BW128*100)</f>
        <v>65</v>
      </c>
      <c r="AA128" s="41" t="n">
        <f aca="false">IF(Z128="","",IFERROR(MATCH(Z128,INDEX(Boundaries!$B$2:$I$30,MATCH(CK128,Boundaries!$A$2:$A$30,0),0),1)-1,""))</f>
        <v>6</v>
      </c>
      <c r="AB128" s="42" t="n">
        <f aca="false">IF(OR(AA128="",$E128=""),"",AA128-$E128)</f>
        <v>0.7</v>
      </c>
      <c r="AC128" s="39" t="n">
        <v>32</v>
      </c>
      <c r="AD128" s="40" t="n">
        <f aca="false">IF(OR(AC128="",BX128=""),"",AC128/BX128*100)</f>
        <v>80</v>
      </c>
      <c r="AE128" s="41" t="n">
        <f aca="false">IF(AD128="","",IFERROR(MATCH(AD128,INDEX(Boundaries!$B$2:$I$30,MATCH(CL128,Boundaries!$A$2:$A$30,0),0),1)-1,""))</f>
        <v>7</v>
      </c>
      <c r="AF128" s="42" t="n">
        <f aca="false">IF(OR(AE128="",$E128=""),"",AE128-$E128)</f>
        <v>1.7</v>
      </c>
      <c r="AG128" s="39"/>
      <c r="AH128" s="40" t="str">
        <f aca="false">IF(OR(AG128="",BY128=""),"",AG128/BY128*100)</f>
        <v/>
      </c>
      <c r="AI128" s="41" t="str">
        <f aca="false">IF(AH128="","",IFERROR(MATCH(AH128,INDEX(Boundaries!$B$2:$I$30,MATCH(CM128,Boundaries!$A$2:$A$30,0),0),1)-1,""))</f>
        <v/>
      </c>
      <c r="AJ128" s="42" t="str">
        <f aca="false">IF(OR(AI128="",$E128=""),"",AI128-$E128)</f>
        <v/>
      </c>
      <c r="AK128" s="39"/>
      <c r="AL128" s="40" t="str">
        <f aca="false">IF(OR(AK128="",BZ128=""),"",AK128/BZ128*100)</f>
        <v/>
      </c>
      <c r="AM128" s="41" t="str">
        <f aca="false">IF(AL128="","",IFERROR(MATCH(AL128,INDEX(Boundaries!$B$2:$I$30,MATCH(CN128,Boundaries!$A$2:$A$30,0),0),1)-1,""))</f>
        <v/>
      </c>
      <c r="AN128" s="42" t="str">
        <f aca="false">IF(OR(AM128="",$E128=""),"",AM128-$E128)</f>
        <v/>
      </c>
      <c r="AO128" s="39" t="n">
        <v>6</v>
      </c>
      <c r="AP128" s="40" t="n">
        <f aca="false">IF(OR(AO128="",CA128=""),"",AO128/CA128*100)</f>
        <v>85.7142857142857</v>
      </c>
      <c r="AQ128" s="41" t="n">
        <f aca="false">IF(AP128="","",IFERROR(MATCH(AP128,INDEX(Boundaries!$B$2:$I$30,MATCH(CO128,Boundaries!$A$2:$A$30,0),0),1)-1,""))</f>
        <v>6</v>
      </c>
      <c r="AR128" s="42" t="n">
        <f aca="false">IF(OR(AQ128="",$E128=""),"",AQ128-$E128)</f>
        <v>0.7</v>
      </c>
      <c r="AS128" s="39"/>
      <c r="AT128" s="40" t="str">
        <f aca="false">IF(OR(AS128="",CB128=""),"",AS128/CB128*100)</f>
        <v/>
      </c>
      <c r="AU128" s="41" t="str">
        <f aca="false">IF(AT128="","",IFERROR(MATCH(AT128,INDEX(Boundaries!$B$2:$I$30,MATCH(CP128,Boundaries!$A$2:$A$30,0),0),1)-1,""))</f>
        <v/>
      </c>
      <c r="AV128" s="42" t="str">
        <f aca="false">IF(OR(AU128="",$E128=""),"",AU128-$E128)</f>
        <v/>
      </c>
      <c r="AW128" s="39"/>
      <c r="AX128" s="40" t="str">
        <f aca="false">IF(OR(AW128="",CC128=""),"",AW128/CC128*100)</f>
        <v/>
      </c>
      <c r="AY128" s="41" t="str">
        <f aca="false">IF(AX128="","",IFERROR(MATCH(AX128,INDEX(Boundaries!$B$2:$I$30,MATCH(CQ128,Boundaries!$A$2:$A$30,0),0),1)-1,""))</f>
        <v/>
      </c>
      <c r="AZ128" s="42" t="str">
        <f aca="false">IF(OR(AY128="",$E128=""),"",AY128-$E128)</f>
        <v/>
      </c>
      <c r="BA128" s="39"/>
      <c r="BB128" s="40" t="str">
        <f aca="false">IF(OR(BA128="",CD128=""),"",BA128/CD128*100)</f>
        <v/>
      </c>
      <c r="BC128" s="41" t="str">
        <f aca="false">IF(BB128="","",IFERROR(MATCH(BB128,INDEX(Boundaries!$B$2:$I$30,MATCH(CR128,Boundaries!$A$2:$A$30,0),0),1)-1,""))</f>
        <v/>
      </c>
      <c r="BD128" s="42" t="str">
        <f aca="false">IF(OR(BC128="",$E128=""),"",BC128-$E128)</f>
        <v/>
      </c>
      <c r="BE128" s="39"/>
      <c r="BF128" s="40" t="str">
        <f aca="false">IF(OR(BE128="",CE128=""),"",BE128/CE128*100)</f>
        <v/>
      </c>
      <c r="BG128" s="41" t="str">
        <f aca="false">IF(BF128="","",IFERROR(MATCH(BF128,INDEX(Boundaries!$B$2:$I$30,MATCH(CS128,Boundaries!$A$2:$A$30,0),0),1)-1,""))</f>
        <v/>
      </c>
      <c r="BH128" s="42" t="str">
        <f aca="false">IF(OR(BG128="",$E128=""),"",BG128-$E128)</f>
        <v/>
      </c>
      <c r="BI128" s="39"/>
      <c r="BJ128" s="40" t="str">
        <f aca="false">IF(OR(BI128="",CF128=""),"",BI128/CF128*100)</f>
        <v/>
      </c>
      <c r="BK128" s="41" t="str">
        <f aca="false">IF(BJ128="","",IFERROR(MATCH(BJ128,INDEX(Boundaries!$B$2:$I$30,MATCH(CT128,Boundaries!$A$2:$A$30,0),0),1)-1,""))</f>
        <v/>
      </c>
      <c r="BL128" s="42" t="str">
        <f aca="false">IF(OR(BK128="",$E128=""),"",BK128-$E128)</f>
        <v/>
      </c>
      <c r="BM128" s="39"/>
      <c r="BN128" s="40" t="str">
        <f aca="false">IF(OR(BM128="",CG128=""),"",BM128/CG128*100)</f>
        <v/>
      </c>
      <c r="BO128" s="41" t="str">
        <f aca="false">IF(BN128="","",IFERROR(MATCH(BN128,INDEX(Boundaries!$B$2:$I$30,MATCH(CU128,Boundaries!$A$2:$A$30,0),0),1)-1,""))</f>
        <v/>
      </c>
      <c r="BP128" s="42" t="str">
        <f aca="false">IF(OR(BO128="",$E128=""),"",BO128-$E128)</f>
        <v/>
      </c>
      <c r="BQ128" s="39"/>
      <c r="BR128" s="40" t="str">
        <f aca="false">IF(OR(BQ128="",CH128=""),"",BQ128/CH128*100)</f>
        <v/>
      </c>
      <c r="BS128" s="41" t="str">
        <f aca="false">IF(BR128="","",IFERROR(MATCH(BR128,INDEX(Boundaries!$B$2:$I$30,MATCH(CV128,Boundaries!$A$2:$A$30,0),0),1)-1,""))</f>
        <v/>
      </c>
      <c r="BT128" s="42" t="str">
        <f aca="false">IF(OR(BS128="",$E128=""),"",BS128-$E128)</f>
        <v/>
      </c>
      <c r="BU128" s="28" t="n">
        <f aca="false">IFERROR(INDEX(Assessments!$H$2:$H$600,MATCH($H128&amp;"|"&amp;$I128&amp;"|"&amp;$J128&amp;"|"&amp;1,Assessments!$A$2:$A$600,0)),"")</f>
        <v>24</v>
      </c>
      <c r="BV128" s="28" t="n">
        <f aca="false">IFERROR(INDEX(Assessments!$H$2:$H$600,MATCH($H128&amp;"|"&amp;$I128&amp;"|"&amp;$J128&amp;"|"&amp;2,Assessments!$A$2:$A$600,0)),"")</f>
        <v>20</v>
      </c>
      <c r="BW128" s="28" t="n">
        <f aca="false">IFERROR(INDEX(Assessments!$H$2:$H$600,MATCH($H128&amp;"|"&amp;$I128&amp;"|"&amp;$J128&amp;"|"&amp;3,Assessments!$A$2:$A$600,0)),"")</f>
        <v>20</v>
      </c>
      <c r="BX128" s="28" t="n">
        <f aca="false">IFERROR(INDEX(Assessments!$H$2:$H$600,MATCH($H128&amp;"|"&amp;$I128&amp;"|"&amp;$J128&amp;"|"&amp;4,Assessments!$A$2:$A$600,0)),"")</f>
        <v>40</v>
      </c>
      <c r="BY128" s="28" t="n">
        <f aca="false">IFERROR(INDEX(Assessments!$H$2:$H$600,MATCH($H128&amp;"|"&amp;$I128&amp;"|"&amp;$J128&amp;"|"&amp;5,Assessments!$A$2:$A$600,0)),"")</f>
        <v>30</v>
      </c>
      <c r="BZ128" s="28" t="n">
        <f aca="false">IFERROR(INDEX(Assessments!$H$2:$H$600,MATCH($H128&amp;"|"&amp;$I128&amp;"|"&amp;$J128&amp;"|"&amp;6,Assessments!$A$2:$A$600,0)),"")</f>
        <v>20</v>
      </c>
      <c r="CA128" s="28" t="n">
        <f aca="false">IFERROR(INDEX(Assessments!$H$2:$H$600,MATCH($H128&amp;"|"&amp;$I128&amp;"|"&amp;$J128&amp;"|"&amp;7,Assessments!$A$2:$A$600,0)),"")</f>
        <v>7</v>
      </c>
      <c r="CB128" s="28" t="str">
        <f aca="false">IFERROR(INDEX(Assessments!$H$2:$H$600,MATCH($H128&amp;"|"&amp;$I128&amp;"|"&amp;$J128&amp;"|"&amp;8,Assessments!$A$2:$A$600,0)),"")</f>
        <v/>
      </c>
      <c r="CC128" s="28" t="str">
        <f aca="false">IFERROR(INDEX(Assessments!$H$2:$H$600,MATCH($H128&amp;"|"&amp;$I128&amp;"|"&amp;$J128&amp;"|"&amp;9,Assessments!$A$2:$A$600,0)),"")</f>
        <v/>
      </c>
      <c r="CD128" s="28" t="str">
        <f aca="false">IFERROR(INDEX(Assessments!$H$2:$H$600,MATCH($H128&amp;"|"&amp;$I128&amp;"|"&amp;$J128&amp;"|"&amp;10,Assessments!$A$2:$A$600,0)),"")</f>
        <v/>
      </c>
      <c r="CE128" s="28" t="str">
        <f aca="false">IFERROR(INDEX(Assessments!$H$2:$H$600,MATCH($H128&amp;"|"&amp;$I128&amp;"|"&amp;$J128&amp;"|"&amp;11,Assessments!$A$2:$A$600,0)),"")</f>
        <v/>
      </c>
      <c r="CF128" s="28" t="str">
        <f aca="false">IFERROR(INDEX(Assessments!$H$2:$H$600,MATCH($H128&amp;"|"&amp;$I128&amp;"|"&amp;$J128&amp;"|"&amp;12,Assessments!$A$2:$A$600,0)),"")</f>
        <v/>
      </c>
      <c r="CG128" s="28" t="str">
        <f aca="false">IFERROR(INDEX(Assessments!$H$2:$H$600,MATCH($H128&amp;"|"&amp;$I128&amp;"|"&amp;$J128&amp;"|"&amp;13,Assessments!$A$2:$A$600,0)),"")</f>
        <v/>
      </c>
      <c r="CH128" s="28" t="str">
        <f aca="false">IFERROR(INDEX(Assessments!$H$2:$H$600,MATCH($H128&amp;"|"&amp;$I128&amp;"|"&amp;$J128&amp;"|"&amp;14,Assessments!$A$2:$A$600,0)),"")</f>
        <v/>
      </c>
      <c r="CI128" s="28" t="str">
        <f aca="false">IFERROR(INDEX(Assessments!$I$2:$I$600,MATCH($H128&amp;"|"&amp;$I128&amp;"|"&amp;$J128&amp;"|"&amp;1,Assessments!$A$2:$A$600,0)),"")</f>
        <v>BM Test</v>
      </c>
      <c r="CJ128" s="28" t="str">
        <f aca="false">IFERROR(INDEX(Assessments!$I$2:$I$600,MATCH($H128&amp;"|"&amp;$I128&amp;"|"&amp;$J128&amp;"|"&amp;2,Assessments!$A$2:$A$600,0)),"")</f>
        <v>BM Test</v>
      </c>
      <c r="CK128" s="28" t="str">
        <f aca="false">IFERROR(INDEX(Assessments!$I$2:$I$600,MATCH($H128&amp;"|"&amp;$I128&amp;"|"&amp;$J128&amp;"|"&amp;3,Assessments!$A$2:$A$600,0)),"")</f>
        <v>BM Test</v>
      </c>
      <c r="CL128" s="28" t="str">
        <f aca="false">IFERROR(INDEX(Assessments!$I$2:$I$600,MATCH($H128&amp;"|"&amp;$I128&amp;"|"&amp;$J128&amp;"|"&amp;4,Assessments!$A$2:$A$600,0)),"")</f>
        <v>BM Exam</v>
      </c>
      <c r="CM128" s="28" t="str">
        <f aca="false">IFERROR(INDEX(Assessments!$I$2:$I$600,MATCH($H128&amp;"|"&amp;$I128&amp;"|"&amp;$J128&amp;"|"&amp;5,Assessments!$A$2:$A$600,0)),"")</f>
        <v>BM Test</v>
      </c>
      <c r="CN128" s="28" t="str">
        <f aca="false">IFERROR(INDEX(Assessments!$I$2:$I$600,MATCH($H128&amp;"|"&amp;$I128&amp;"|"&amp;$J128&amp;"|"&amp;6,Assessments!$A$2:$A$600,0)),"")</f>
        <v>BM Test</v>
      </c>
      <c r="CO128" s="28" t="str">
        <f aca="false">IFERROR(INDEX(Assessments!$I$2:$I$600,MATCH($H128&amp;"|"&amp;$I128&amp;"|"&amp;$J128&amp;"|"&amp;7,Assessments!$A$2:$A$600,0)),"")</f>
        <v>Grade entered</v>
      </c>
      <c r="CP128" s="28" t="str">
        <f aca="false">IFERROR(INDEX(Assessments!$I$2:$I$600,MATCH($H128&amp;"|"&amp;$I128&amp;"|"&amp;$J128&amp;"|"&amp;8,Assessments!$A$2:$A$600,0)),"")</f>
        <v/>
      </c>
      <c r="CQ128" s="28" t="str">
        <f aca="false">IFERROR(INDEX(Assessments!$I$2:$I$600,MATCH($H128&amp;"|"&amp;$I128&amp;"|"&amp;$J128&amp;"|"&amp;9,Assessments!$A$2:$A$600,0)),"")</f>
        <v/>
      </c>
      <c r="CR128" s="28" t="str">
        <f aca="false">IFERROR(INDEX(Assessments!$I$2:$I$600,MATCH($H128&amp;"|"&amp;$I128&amp;"|"&amp;$J128&amp;"|"&amp;10,Assessments!$A$2:$A$600,0)),"")</f>
        <v/>
      </c>
      <c r="CS128" s="28" t="str">
        <f aca="false">IFERROR(INDEX(Assessments!$I$2:$I$600,MATCH($H128&amp;"|"&amp;$I128&amp;"|"&amp;$J128&amp;"|"&amp;11,Assessments!$A$2:$A$600,0)),"")</f>
        <v/>
      </c>
      <c r="CT128" s="28" t="str">
        <f aca="false">IFERROR(INDEX(Assessments!$I$2:$I$600,MATCH($H128&amp;"|"&amp;$I128&amp;"|"&amp;$J128&amp;"|"&amp;12,Assessments!$A$2:$A$600,0)),"")</f>
        <v/>
      </c>
      <c r="CU128" s="28" t="str">
        <f aca="false">IFERROR(INDEX(Assessments!$I$2:$I$600,MATCH($H128&amp;"|"&amp;$I128&amp;"|"&amp;$J128&amp;"|"&amp;13,Assessments!$A$2:$A$600,0)),"")</f>
        <v/>
      </c>
      <c r="CV128" s="28" t="str">
        <f aca="false">IFERROR(INDEX(Assessments!$I$2:$I$600,MATCH($H128&amp;"|"&amp;$I128&amp;"|"&amp;$J128&amp;"|"&amp;14,Assessments!$A$2:$A$600,0)),"")</f>
        <v/>
      </c>
      <c r="CW128" s="28" t="n">
        <f aca="false">IFERROR(INDEX(Assessments!$J$2:$J$600,MATCH($H128&amp;"|"&amp;$I128&amp;"|"&amp;$J128&amp;"|"&amp;1,Assessments!$A$2:$A$600,0)),0)</f>
        <v>1</v>
      </c>
      <c r="CX128" s="28" t="n">
        <f aca="false">IFERROR(INDEX(Assessments!$J$2:$J$600,MATCH($H128&amp;"|"&amp;$I128&amp;"|"&amp;$J128&amp;"|"&amp;2,Assessments!$A$2:$A$600,0)),0)</f>
        <v>1</v>
      </c>
      <c r="CY128" s="28" t="n">
        <f aca="false">IFERROR(INDEX(Assessments!$J$2:$J$600,MATCH($H128&amp;"|"&amp;$I128&amp;"|"&amp;$J128&amp;"|"&amp;3,Assessments!$A$2:$A$600,0)),0)</f>
        <v>1</v>
      </c>
      <c r="CZ128" s="28" t="n">
        <f aca="false">IFERROR(INDEX(Assessments!$J$2:$J$600,MATCH($H128&amp;"|"&amp;$I128&amp;"|"&amp;$J128&amp;"|"&amp;4,Assessments!$A$2:$A$600,0)),0)</f>
        <v>2</v>
      </c>
      <c r="DA128" s="28" t="n">
        <f aca="false">IFERROR(INDEX(Assessments!$J$2:$J$600,MATCH($H128&amp;"|"&amp;$I128&amp;"|"&amp;$J128&amp;"|"&amp;5,Assessments!$A$2:$A$600,0)),0)</f>
        <v>1</v>
      </c>
      <c r="DB128" s="28" t="n">
        <f aca="false">IFERROR(INDEX(Assessments!$J$2:$J$600,MATCH($H128&amp;"|"&amp;$I128&amp;"|"&amp;$J128&amp;"|"&amp;6,Assessments!$A$2:$A$600,0)),0)</f>
        <v>1</v>
      </c>
      <c r="DC128" s="28" t="n">
        <f aca="false">IFERROR(INDEX(Assessments!$J$2:$J$600,MATCH($H128&amp;"|"&amp;$I128&amp;"|"&amp;$J128&amp;"|"&amp;7,Assessments!$A$2:$A$600,0)),0)</f>
        <v>2</v>
      </c>
      <c r="DD128" s="28" t="n">
        <f aca="false">IFERROR(INDEX(Assessments!$J$2:$J$600,MATCH($H128&amp;"|"&amp;$I128&amp;"|"&amp;$J128&amp;"|"&amp;8,Assessments!$A$2:$A$600,0)),0)</f>
        <v>0</v>
      </c>
      <c r="DE128" s="28" t="n">
        <f aca="false">IFERROR(INDEX(Assessments!$J$2:$J$600,MATCH($H128&amp;"|"&amp;$I128&amp;"|"&amp;$J128&amp;"|"&amp;9,Assessments!$A$2:$A$600,0)),0)</f>
        <v>0</v>
      </c>
      <c r="DF128" s="28" t="n">
        <f aca="false">IFERROR(INDEX(Assessments!$J$2:$J$600,MATCH($H128&amp;"|"&amp;$I128&amp;"|"&amp;$J128&amp;"|"&amp;10,Assessments!$A$2:$A$600,0)),0)</f>
        <v>0</v>
      </c>
      <c r="DG128" s="28" t="n">
        <f aca="false">IFERROR(INDEX(Assessments!$J$2:$J$600,MATCH($H128&amp;"|"&amp;$I128&amp;"|"&amp;$J128&amp;"|"&amp;11,Assessments!$A$2:$A$600,0)),0)</f>
        <v>0</v>
      </c>
      <c r="DH128" s="28" t="n">
        <f aca="false">IFERROR(INDEX(Assessments!$J$2:$J$600,MATCH($H128&amp;"|"&amp;$I128&amp;"|"&amp;$J128&amp;"|"&amp;12,Assessments!$A$2:$A$600,0)),0)</f>
        <v>0</v>
      </c>
      <c r="DI128" s="28" t="n">
        <f aca="false">IFERROR(INDEX(Assessments!$J$2:$J$600,MATCH($H128&amp;"|"&amp;$I128&amp;"|"&amp;$J128&amp;"|"&amp;13,Assessments!$A$2:$A$600,0)),0)</f>
        <v>0</v>
      </c>
      <c r="DJ128" s="28" t="n">
        <f aca="false">IFERROR(INDEX(Assessments!$J$2:$J$600,MATCH($H128&amp;"|"&amp;$I128&amp;"|"&amp;$J128&amp;"|"&amp;14,Assessments!$A$2:$A$600,0)),0)</f>
        <v>0</v>
      </c>
      <c r="DK128" s="28" t="n">
        <f aca="false">S128</f>
        <v>4</v>
      </c>
      <c r="DL128" s="28" t="n">
        <f aca="false">W128</f>
        <v>4</v>
      </c>
      <c r="DM128" s="28" t="n">
        <f aca="false">AA128</f>
        <v>6</v>
      </c>
      <c r="DN128" s="28" t="n">
        <f aca="false">AE128</f>
        <v>7</v>
      </c>
      <c r="DO128" s="28" t="str">
        <f aca="false">AI128</f>
        <v/>
      </c>
      <c r="DP128" s="28" t="str">
        <f aca="false">AM128</f>
        <v/>
      </c>
      <c r="DQ128" s="28" t="n">
        <f aca="false">AQ128</f>
        <v>6</v>
      </c>
      <c r="DR128" s="28" t="str">
        <f aca="false">AU128</f>
        <v/>
      </c>
      <c r="DS128" s="28" t="str">
        <f aca="false">AY128</f>
        <v/>
      </c>
      <c r="DT128" s="28" t="str">
        <f aca="false">BC128</f>
        <v/>
      </c>
      <c r="DU128" s="28" t="str">
        <f aca="false">BG128</f>
        <v/>
      </c>
      <c r="DV128" s="28" t="str">
        <f aca="false">BK128</f>
        <v/>
      </c>
      <c r="DW128" s="28" t="str">
        <f aca="false">BO128</f>
        <v/>
      </c>
      <c r="DX128" s="28" t="str">
        <f aca="false">BS128</f>
        <v/>
      </c>
      <c r="DY128" s="28" t="n">
        <f aca="false">IF(ISNUMBER(S128),1,"")</f>
        <v>1</v>
      </c>
      <c r="DZ128" s="28" t="n">
        <f aca="false">IF(ISNUMBER(W128),2,"")</f>
        <v>2</v>
      </c>
      <c r="EA128" s="28" t="n">
        <f aca="false">IF(ISNUMBER(AA128),3,"")</f>
        <v>3</v>
      </c>
      <c r="EB128" s="28" t="n">
        <f aca="false">IF(ISNUMBER(AE128),4,"")</f>
        <v>4</v>
      </c>
      <c r="EC128" s="28" t="str">
        <f aca="false">IF(ISNUMBER(AI128),5,"")</f>
        <v/>
      </c>
      <c r="ED128" s="28" t="str">
        <f aca="false">IF(ISNUMBER(AM128),6,"")</f>
        <v/>
      </c>
      <c r="EE128" s="28" t="n">
        <f aca="false">IF(ISNUMBER(AQ128),7,"")</f>
        <v>7</v>
      </c>
      <c r="EF128" s="28" t="str">
        <f aca="false">IF(ISNUMBER(AU128),8,"")</f>
        <v/>
      </c>
      <c r="EG128" s="28" t="str">
        <f aca="false">IF(ISNUMBER(AY128),9,"")</f>
        <v/>
      </c>
      <c r="EH128" s="28" t="str">
        <f aca="false">IF(ISNUMBER(BC128),10,"")</f>
        <v/>
      </c>
      <c r="EI128" s="28" t="str">
        <f aca="false">IF(ISNUMBER(BG128),11,"")</f>
        <v/>
      </c>
      <c r="EJ128" s="28" t="str">
        <f aca="false">IF(ISNUMBER(BK128),12,"")</f>
        <v/>
      </c>
      <c r="EK128" s="28" t="str">
        <f aca="false">IF(ISNUMBER(BO128),13,"")</f>
        <v/>
      </c>
      <c r="EL128" s="28" t="str">
        <f aca="false">IF(ISNUMBER(BS128),14,"")</f>
        <v/>
      </c>
      <c r="EM128" s="28" t="n">
        <f aca="false">IF(ISNUMBER(R128),R128*CW128,0)</f>
        <v>41.6666666666667</v>
      </c>
      <c r="EN128" s="28" t="n">
        <f aca="false">IF(ISNUMBER(V128),V128*CX128,0)</f>
        <v>45</v>
      </c>
      <c r="EO128" s="28" t="n">
        <f aca="false">IF(ISNUMBER(Z128),Z128*CY128,0)</f>
        <v>65</v>
      </c>
      <c r="EP128" s="28" t="n">
        <f aca="false">IF(ISNUMBER(AD128),AD128*CZ128,0)</f>
        <v>160</v>
      </c>
      <c r="EQ128" s="28" t="n">
        <f aca="false">IF(ISNUMBER(AH128),AH128*DA128,0)</f>
        <v>0</v>
      </c>
      <c r="ER128" s="28" t="n">
        <f aca="false">IF(ISNUMBER(AL128),AL128*DB128,0)</f>
        <v>0</v>
      </c>
      <c r="ES128" s="28" t="n">
        <f aca="false">IF(ISNUMBER(AP128),AP128*DC128,0)</f>
        <v>171.428571428571</v>
      </c>
      <c r="ET128" s="28" t="n">
        <f aca="false">IF(ISNUMBER(AT128),AT128*DD128,0)</f>
        <v>0</v>
      </c>
      <c r="EU128" s="28" t="n">
        <f aca="false">IF(ISNUMBER(AX128),AX128*DE128,0)</f>
        <v>0</v>
      </c>
      <c r="EV128" s="28" t="n">
        <f aca="false">IF(ISNUMBER(BB128),BB128*DF128,0)</f>
        <v>0</v>
      </c>
      <c r="EW128" s="28" t="n">
        <f aca="false">IF(ISNUMBER(BF128),BF128*DG128,0)</f>
        <v>0</v>
      </c>
      <c r="EX128" s="28" t="n">
        <f aca="false">IF(ISNUMBER(BJ128),BJ128*DH128,0)</f>
        <v>0</v>
      </c>
      <c r="EY128" s="28" t="n">
        <f aca="false">IF(ISNUMBER(BN128),BN128*DI128,0)</f>
        <v>0</v>
      </c>
      <c r="EZ128" s="28" t="n">
        <f aca="false">IF(ISNUMBER(BR128),BR128*DJ128,0)</f>
        <v>0</v>
      </c>
      <c r="FA128" s="28" t="n">
        <f aca="false">IF(ISNUMBER(R128),CW128,0)</f>
        <v>1</v>
      </c>
      <c r="FB128" s="28" t="n">
        <f aca="false">IF(ISNUMBER(V128),CX128,0)</f>
        <v>1</v>
      </c>
      <c r="FC128" s="28" t="n">
        <f aca="false">IF(ISNUMBER(Z128),CY128,0)</f>
        <v>1</v>
      </c>
      <c r="FD128" s="28" t="n">
        <f aca="false">IF(ISNUMBER(AD128),CZ128,0)</f>
        <v>2</v>
      </c>
      <c r="FE128" s="28" t="n">
        <f aca="false">IF(ISNUMBER(AH128),DA128,0)</f>
        <v>0</v>
      </c>
      <c r="FF128" s="28" t="n">
        <f aca="false">IF(ISNUMBER(AL128),DB128,0)</f>
        <v>0</v>
      </c>
      <c r="FG128" s="28" t="n">
        <f aca="false">IF(ISNUMBER(AP128),DC128,0)</f>
        <v>2</v>
      </c>
      <c r="FH128" s="28" t="n">
        <f aca="false">IF(ISNUMBER(AT128),DD128,0)</f>
        <v>0</v>
      </c>
      <c r="FI128" s="28" t="n">
        <f aca="false">IF(ISNUMBER(AX128),DE128,0)</f>
        <v>0</v>
      </c>
      <c r="FJ128" s="28" t="n">
        <f aca="false">IF(ISNUMBER(BB128),DF128,0)</f>
        <v>0</v>
      </c>
      <c r="FK128" s="28" t="n">
        <f aca="false">IF(ISNUMBER(BF128),DG128,0)</f>
        <v>0</v>
      </c>
      <c r="FL128" s="28" t="n">
        <f aca="false">IF(ISNUMBER(BJ128),DH128,0)</f>
        <v>0</v>
      </c>
      <c r="FM128" s="28" t="n">
        <f aca="false">IF(ISNUMBER(BN128),DI128,0)</f>
        <v>0</v>
      </c>
      <c r="FN128" s="28" t="n">
        <f aca="false">IF(ISNUMBER(BR128),DJ128,0)</f>
        <v>0</v>
      </c>
      <c r="FO128" s="28" t="str">
        <f aca="false">IFERROR(INDEX(Lists!$G$2:$G$20,MATCH($I128&amp;"|"&amp;$J128,Lists!$F$2:$F$20,0)),"")</f>
        <v>BM Exam</v>
      </c>
    </row>
    <row r="129" customFormat="false" ht="19.5" hidden="false" customHeight="true" outlineLevel="0" collapsed="false">
      <c r="A129" s="29" t="s">
        <v>294</v>
      </c>
      <c r="B129" s="29" t="s">
        <v>254</v>
      </c>
      <c r="C129" s="30" t="s">
        <v>152</v>
      </c>
      <c r="D129" s="30" t="s">
        <v>364</v>
      </c>
      <c r="E129" s="31" t="n">
        <v>5.6</v>
      </c>
      <c r="F129" s="30" t="n">
        <v>6</v>
      </c>
      <c r="G129" s="30"/>
      <c r="H129" s="32" t="s">
        <v>23</v>
      </c>
      <c r="I129" s="33" t="s">
        <v>365</v>
      </c>
      <c r="J129" s="32" t="s">
        <v>25</v>
      </c>
      <c r="K129" s="34" t="n">
        <f aca="false">IF(OR(M129="",$E129=""),"",M129-$E129)</f>
        <v>1.4</v>
      </c>
      <c r="L129" s="35" t="n">
        <f aca="false">IF(SUM(FA129:FN129)=0,"",SUM(EM129:EZ129)/SUM(FA129:FN129))</f>
        <v>76.2755102040816</v>
      </c>
      <c r="M129" s="36" t="n">
        <f aca="false">IF(OR(L129="",FO129=""),"",IFERROR(MATCH(L129,INDEX(Boundaries!$B$2:$I$30,MATCH(FO129,Boundaries!$A$2:$A$30,0),0),1)-1,""))</f>
        <v>7</v>
      </c>
      <c r="N129" s="37" t="n">
        <f aca="false">IF(COUNT($DY129:$EL129)&lt;2,"",INDEX($DK129:$DX129,MAX($DY129:$EL129))-INDEX($DK129:$DX129,MIN($DY129:$EL129)))</f>
        <v>-1</v>
      </c>
      <c r="O129" s="37" t="n">
        <f aca="false">IF(COUNT($DY129:$EL129)&lt;2,"",INDEX($DK129:$DX129,MAX($DY129:$EL129))-INDEX($DK129:$DX129,LARGE($DY129:$EL129,2)))</f>
        <v>-1</v>
      </c>
      <c r="P129" s="38" t="str">
        <f aca="false">IF(K129="","",IF(K129&gt;=0,"On/above target",IF(AND(N129&lt;&gt;"",N129&gt;=0.5),"Improving towards target",IF(AND(O129&lt;&gt;"",O129&lt;=-0.5),"Declining","Stable below target"))))</f>
        <v>On/above target</v>
      </c>
      <c r="Q129" s="39" t="n">
        <v>21</v>
      </c>
      <c r="R129" s="40" t="n">
        <f aca="false">IF(OR(Q129="",BU129=""),"",Q129/BU129*100)</f>
        <v>87.5</v>
      </c>
      <c r="S129" s="41" t="n">
        <f aca="false">IF(R129="","",IFERROR(MATCH(R129,INDEX(Boundaries!$B$2:$I$30,MATCH(CI129,Boundaries!$A$2:$A$30,0),0),1)-1,""))</f>
        <v>7</v>
      </c>
      <c r="T129" s="42" t="n">
        <f aca="false">IF(OR(S129="",$E129=""),"",S129-$E129)</f>
        <v>1.4</v>
      </c>
      <c r="U129" s="39" t="n">
        <v>10</v>
      </c>
      <c r="V129" s="40" t="n">
        <f aca="false">IF(OR(U129="",BV129=""),"",U129/BV129*100)</f>
        <v>50</v>
      </c>
      <c r="W129" s="41" t="n">
        <f aca="false">IF(V129="","",IFERROR(MATCH(V129,INDEX(Boundaries!$B$2:$I$30,MATCH(CJ129,Boundaries!$A$2:$A$30,0),0),1)-1,""))</f>
        <v>5</v>
      </c>
      <c r="X129" s="42" t="n">
        <f aca="false">IF(OR(W129="",$E129=""),"",W129-$E129)</f>
        <v>-0.6</v>
      </c>
      <c r="Y129" s="39" t="n">
        <v>14</v>
      </c>
      <c r="Z129" s="40" t="n">
        <f aca="false">IF(OR(Y129="",BW129=""),"",Y129/BW129*100)</f>
        <v>70</v>
      </c>
      <c r="AA129" s="41" t="n">
        <f aca="false">IF(Z129="","",IFERROR(MATCH(Z129,INDEX(Boundaries!$B$2:$I$30,MATCH(CK129,Boundaries!$A$2:$A$30,0),0),1)-1,""))</f>
        <v>6</v>
      </c>
      <c r="AB129" s="42" t="n">
        <f aca="false">IF(OR(AA129="",$E129=""),"",AA129-$E129)</f>
        <v>0.4</v>
      </c>
      <c r="AC129" s="39" t="n">
        <v>31</v>
      </c>
      <c r="AD129" s="40" t="n">
        <f aca="false">IF(OR(AC129="",BX129=""),"",AC129/BX129*100)</f>
        <v>77.5</v>
      </c>
      <c r="AE129" s="41" t="n">
        <f aca="false">IF(AD129="","",IFERROR(MATCH(AD129,INDEX(Boundaries!$B$2:$I$30,MATCH(CL129,Boundaries!$A$2:$A$30,0),0),1)-1,""))</f>
        <v>7</v>
      </c>
      <c r="AF129" s="42" t="n">
        <f aca="false">IF(OR(AE129="",$E129=""),"",AE129-$E129)</f>
        <v>1.4</v>
      </c>
      <c r="AG129" s="39"/>
      <c r="AH129" s="40" t="str">
        <f aca="false">IF(OR(AG129="",BY129=""),"",AG129/BY129*100)</f>
        <v/>
      </c>
      <c r="AI129" s="41" t="str">
        <f aca="false">IF(AH129="","",IFERROR(MATCH(AH129,INDEX(Boundaries!$B$2:$I$30,MATCH(CM129,Boundaries!$A$2:$A$30,0),0),1)-1,""))</f>
        <v/>
      </c>
      <c r="AJ129" s="42" t="str">
        <f aca="false">IF(OR(AI129="",$E129=""),"",AI129-$E129)</f>
        <v/>
      </c>
      <c r="AK129" s="39"/>
      <c r="AL129" s="40" t="str">
        <f aca="false">IF(OR(AK129="",BZ129=""),"",AK129/BZ129*100)</f>
        <v/>
      </c>
      <c r="AM129" s="41" t="str">
        <f aca="false">IF(AL129="","",IFERROR(MATCH(AL129,INDEX(Boundaries!$B$2:$I$30,MATCH(CN129,Boundaries!$A$2:$A$30,0),0),1)-1,""))</f>
        <v/>
      </c>
      <c r="AN129" s="42" t="str">
        <f aca="false">IF(OR(AM129="",$E129=""),"",AM129-$E129)</f>
        <v/>
      </c>
      <c r="AO129" s="39" t="n">
        <v>6</v>
      </c>
      <c r="AP129" s="40" t="n">
        <f aca="false">IF(OR(AO129="",CA129=""),"",AO129/CA129*100)</f>
        <v>85.7142857142857</v>
      </c>
      <c r="AQ129" s="41" t="n">
        <f aca="false">IF(AP129="","",IFERROR(MATCH(AP129,INDEX(Boundaries!$B$2:$I$30,MATCH(CO129,Boundaries!$A$2:$A$30,0),0),1)-1,""))</f>
        <v>6</v>
      </c>
      <c r="AR129" s="42" t="n">
        <f aca="false">IF(OR(AQ129="",$E129=""),"",AQ129-$E129)</f>
        <v>0.4</v>
      </c>
      <c r="AS129" s="39"/>
      <c r="AT129" s="40" t="str">
        <f aca="false">IF(OR(AS129="",CB129=""),"",AS129/CB129*100)</f>
        <v/>
      </c>
      <c r="AU129" s="41" t="str">
        <f aca="false">IF(AT129="","",IFERROR(MATCH(AT129,INDEX(Boundaries!$B$2:$I$30,MATCH(CP129,Boundaries!$A$2:$A$30,0),0),1)-1,""))</f>
        <v/>
      </c>
      <c r="AV129" s="42" t="str">
        <f aca="false">IF(OR(AU129="",$E129=""),"",AU129-$E129)</f>
        <v/>
      </c>
      <c r="AW129" s="39"/>
      <c r="AX129" s="40" t="str">
        <f aca="false">IF(OR(AW129="",CC129=""),"",AW129/CC129*100)</f>
        <v/>
      </c>
      <c r="AY129" s="41" t="str">
        <f aca="false">IF(AX129="","",IFERROR(MATCH(AX129,INDEX(Boundaries!$B$2:$I$30,MATCH(CQ129,Boundaries!$A$2:$A$30,0),0),1)-1,""))</f>
        <v/>
      </c>
      <c r="AZ129" s="42" t="str">
        <f aca="false">IF(OR(AY129="",$E129=""),"",AY129-$E129)</f>
        <v/>
      </c>
      <c r="BA129" s="39"/>
      <c r="BB129" s="40" t="str">
        <f aca="false">IF(OR(BA129="",CD129=""),"",BA129/CD129*100)</f>
        <v/>
      </c>
      <c r="BC129" s="41" t="str">
        <f aca="false">IF(BB129="","",IFERROR(MATCH(BB129,INDEX(Boundaries!$B$2:$I$30,MATCH(CR129,Boundaries!$A$2:$A$30,0),0),1)-1,""))</f>
        <v/>
      </c>
      <c r="BD129" s="42" t="str">
        <f aca="false">IF(OR(BC129="",$E129=""),"",BC129-$E129)</f>
        <v/>
      </c>
      <c r="BE129" s="39"/>
      <c r="BF129" s="40" t="str">
        <f aca="false">IF(OR(BE129="",CE129=""),"",BE129/CE129*100)</f>
        <v/>
      </c>
      <c r="BG129" s="41" t="str">
        <f aca="false">IF(BF129="","",IFERROR(MATCH(BF129,INDEX(Boundaries!$B$2:$I$30,MATCH(CS129,Boundaries!$A$2:$A$30,0),0),1)-1,""))</f>
        <v/>
      </c>
      <c r="BH129" s="42" t="str">
        <f aca="false">IF(OR(BG129="",$E129=""),"",BG129-$E129)</f>
        <v/>
      </c>
      <c r="BI129" s="39"/>
      <c r="BJ129" s="40" t="str">
        <f aca="false">IF(OR(BI129="",CF129=""),"",BI129/CF129*100)</f>
        <v/>
      </c>
      <c r="BK129" s="41" t="str">
        <f aca="false">IF(BJ129="","",IFERROR(MATCH(BJ129,INDEX(Boundaries!$B$2:$I$30,MATCH(CT129,Boundaries!$A$2:$A$30,0),0),1)-1,""))</f>
        <v/>
      </c>
      <c r="BL129" s="42" t="str">
        <f aca="false">IF(OR(BK129="",$E129=""),"",BK129-$E129)</f>
        <v/>
      </c>
      <c r="BM129" s="39"/>
      <c r="BN129" s="40" t="str">
        <f aca="false">IF(OR(BM129="",CG129=""),"",BM129/CG129*100)</f>
        <v/>
      </c>
      <c r="BO129" s="41" t="str">
        <f aca="false">IF(BN129="","",IFERROR(MATCH(BN129,INDEX(Boundaries!$B$2:$I$30,MATCH(CU129,Boundaries!$A$2:$A$30,0),0),1)-1,""))</f>
        <v/>
      </c>
      <c r="BP129" s="42" t="str">
        <f aca="false">IF(OR(BO129="",$E129=""),"",BO129-$E129)</f>
        <v/>
      </c>
      <c r="BQ129" s="39"/>
      <c r="BR129" s="40" t="str">
        <f aca="false">IF(OR(BQ129="",CH129=""),"",BQ129/CH129*100)</f>
        <v/>
      </c>
      <c r="BS129" s="41" t="str">
        <f aca="false">IF(BR129="","",IFERROR(MATCH(BR129,INDEX(Boundaries!$B$2:$I$30,MATCH(CV129,Boundaries!$A$2:$A$30,0),0),1)-1,""))</f>
        <v/>
      </c>
      <c r="BT129" s="42" t="str">
        <f aca="false">IF(OR(BS129="",$E129=""),"",BS129-$E129)</f>
        <v/>
      </c>
      <c r="BU129" s="28" t="n">
        <f aca="false">IFERROR(INDEX(Assessments!$H$2:$H$600,MATCH($H129&amp;"|"&amp;$I129&amp;"|"&amp;$J129&amp;"|"&amp;1,Assessments!$A$2:$A$600,0)),"")</f>
        <v>24</v>
      </c>
      <c r="BV129" s="28" t="n">
        <f aca="false">IFERROR(INDEX(Assessments!$H$2:$H$600,MATCH($H129&amp;"|"&amp;$I129&amp;"|"&amp;$J129&amp;"|"&amp;2,Assessments!$A$2:$A$600,0)),"")</f>
        <v>20</v>
      </c>
      <c r="BW129" s="28" t="n">
        <f aca="false">IFERROR(INDEX(Assessments!$H$2:$H$600,MATCH($H129&amp;"|"&amp;$I129&amp;"|"&amp;$J129&amp;"|"&amp;3,Assessments!$A$2:$A$600,0)),"")</f>
        <v>20</v>
      </c>
      <c r="BX129" s="28" t="n">
        <f aca="false">IFERROR(INDEX(Assessments!$H$2:$H$600,MATCH($H129&amp;"|"&amp;$I129&amp;"|"&amp;$J129&amp;"|"&amp;4,Assessments!$A$2:$A$600,0)),"")</f>
        <v>40</v>
      </c>
      <c r="BY129" s="28" t="n">
        <f aca="false">IFERROR(INDEX(Assessments!$H$2:$H$600,MATCH($H129&amp;"|"&amp;$I129&amp;"|"&amp;$J129&amp;"|"&amp;5,Assessments!$A$2:$A$600,0)),"")</f>
        <v>30</v>
      </c>
      <c r="BZ129" s="28" t="n">
        <f aca="false">IFERROR(INDEX(Assessments!$H$2:$H$600,MATCH($H129&amp;"|"&amp;$I129&amp;"|"&amp;$J129&amp;"|"&amp;6,Assessments!$A$2:$A$600,0)),"")</f>
        <v>20</v>
      </c>
      <c r="CA129" s="28" t="n">
        <f aca="false">IFERROR(INDEX(Assessments!$H$2:$H$600,MATCH($H129&amp;"|"&amp;$I129&amp;"|"&amp;$J129&amp;"|"&amp;7,Assessments!$A$2:$A$600,0)),"")</f>
        <v>7</v>
      </c>
      <c r="CB129" s="28" t="str">
        <f aca="false">IFERROR(INDEX(Assessments!$H$2:$H$600,MATCH($H129&amp;"|"&amp;$I129&amp;"|"&amp;$J129&amp;"|"&amp;8,Assessments!$A$2:$A$600,0)),"")</f>
        <v/>
      </c>
      <c r="CC129" s="28" t="str">
        <f aca="false">IFERROR(INDEX(Assessments!$H$2:$H$600,MATCH($H129&amp;"|"&amp;$I129&amp;"|"&amp;$J129&amp;"|"&amp;9,Assessments!$A$2:$A$600,0)),"")</f>
        <v/>
      </c>
      <c r="CD129" s="28" t="str">
        <f aca="false">IFERROR(INDEX(Assessments!$H$2:$H$600,MATCH($H129&amp;"|"&amp;$I129&amp;"|"&amp;$J129&amp;"|"&amp;10,Assessments!$A$2:$A$600,0)),"")</f>
        <v/>
      </c>
      <c r="CE129" s="28" t="str">
        <f aca="false">IFERROR(INDEX(Assessments!$H$2:$H$600,MATCH($H129&amp;"|"&amp;$I129&amp;"|"&amp;$J129&amp;"|"&amp;11,Assessments!$A$2:$A$600,0)),"")</f>
        <v/>
      </c>
      <c r="CF129" s="28" t="str">
        <f aca="false">IFERROR(INDEX(Assessments!$H$2:$H$600,MATCH($H129&amp;"|"&amp;$I129&amp;"|"&amp;$J129&amp;"|"&amp;12,Assessments!$A$2:$A$600,0)),"")</f>
        <v/>
      </c>
      <c r="CG129" s="28" t="str">
        <f aca="false">IFERROR(INDEX(Assessments!$H$2:$H$600,MATCH($H129&amp;"|"&amp;$I129&amp;"|"&amp;$J129&amp;"|"&amp;13,Assessments!$A$2:$A$600,0)),"")</f>
        <v/>
      </c>
      <c r="CH129" s="28" t="str">
        <f aca="false">IFERROR(INDEX(Assessments!$H$2:$H$600,MATCH($H129&amp;"|"&amp;$I129&amp;"|"&amp;$J129&amp;"|"&amp;14,Assessments!$A$2:$A$600,0)),"")</f>
        <v/>
      </c>
      <c r="CI129" s="28" t="str">
        <f aca="false">IFERROR(INDEX(Assessments!$I$2:$I$600,MATCH($H129&amp;"|"&amp;$I129&amp;"|"&amp;$J129&amp;"|"&amp;1,Assessments!$A$2:$A$600,0)),"")</f>
        <v>BM Test</v>
      </c>
      <c r="CJ129" s="28" t="str">
        <f aca="false">IFERROR(INDEX(Assessments!$I$2:$I$600,MATCH($H129&amp;"|"&amp;$I129&amp;"|"&amp;$J129&amp;"|"&amp;2,Assessments!$A$2:$A$600,0)),"")</f>
        <v>BM Test</v>
      </c>
      <c r="CK129" s="28" t="str">
        <f aca="false">IFERROR(INDEX(Assessments!$I$2:$I$600,MATCH($H129&amp;"|"&amp;$I129&amp;"|"&amp;$J129&amp;"|"&amp;3,Assessments!$A$2:$A$600,0)),"")</f>
        <v>BM Test</v>
      </c>
      <c r="CL129" s="28" t="str">
        <f aca="false">IFERROR(INDEX(Assessments!$I$2:$I$600,MATCH($H129&amp;"|"&amp;$I129&amp;"|"&amp;$J129&amp;"|"&amp;4,Assessments!$A$2:$A$600,0)),"")</f>
        <v>BM Exam</v>
      </c>
      <c r="CM129" s="28" t="str">
        <f aca="false">IFERROR(INDEX(Assessments!$I$2:$I$600,MATCH($H129&amp;"|"&amp;$I129&amp;"|"&amp;$J129&amp;"|"&amp;5,Assessments!$A$2:$A$600,0)),"")</f>
        <v>BM Test</v>
      </c>
      <c r="CN129" s="28" t="str">
        <f aca="false">IFERROR(INDEX(Assessments!$I$2:$I$600,MATCH($H129&amp;"|"&amp;$I129&amp;"|"&amp;$J129&amp;"|"&amp;6,Assessments!$A$2:$A$600,0)),"")</f>
        <v>BM Test</v>
      </c>
      <c r="CO129" s="28" t="str">
        <f aca="false">IFERROR(INDEX(Assessments!$I$2:$I$600,MATCH($H129&amp;"|"&amp;$I129&amp;"|"&amp;$J129&amp;"|"&amp;7,Assessments!$A$2:$A$600,0)),"")</f>
        <v>Grade entered</v>
      </c>
      <c r="CP129" s="28" t="str">
        <f aca="false">IFERROR(INDEX(Assessments!$I$2:$I$600,MATCH($H129&amp;"|"&amp;$I129&amp;"|"&amp;$J129&amp;"|"&amp;8,Assessments!$A$2:$A$600,0)),"")</f>
        <v/>
      </c>
      <c r="CQ129" s="28" t="str">
        <f aca="false">IFERROR(INDEX(Assessments!$I$2:$I$600,MATCH($H129&amp;"|"&amp;$I129&amp;"|"&amp;$J129&amp;"|"&amp;9,Assessments!$A$2:$A$600,0)),"")</f>
        <v/>
      </c>
      <c r="CR129" s="28" t="str">
        <f aca="false">IFERROR(INDEX(Assessments!$I$2:$I$600,MATCH($H129&amp;"|"&amp;$I129&amp;"|"&amp;$J129&amp;"|"&amp;10,Assessments!$A$2:$A$600,0)),"")</f>
        <v/>
      </c>
      <c r="CS129" s="28" t="str">
        <f aca="false">IFERROR(INDEX(Assessments!$I$2:$I$600,MATCH($H129&amp;"|"&amp;$I129&amp;"|"&amp;$J129&amp;"|"&amp;11,Assessments!$A$2:$A$600,0)),"")</f>
        <v/>
      </c>
      <c r="CT129" s="28" t="str">
        <f aca="false">IFERROR(INDEX(Assessments!$I$2:$I$600,MATCH($H129&amp;"|"&amp;$I129&amp;"|"&amp;$J129&amp;"|"&amp;12,Assessments!$A$2:$A$600,0)),"")</f>
        <v/>
      </c>
      <c r="CU129" s="28" t="str">
        <f aca="false">IFERROR(INDEX(Assessments!$I$2:$I$600,MATCH($H129&amp;"|"&amp;$I129&amp;"|"&amp;$J129&amp;"|"&amp;13,Assessments!$A$2:$A$600,0)),"")</f>
        <v/>
      </c>
      <c r="CV129" s="28" t="str">
        <f aca="false">IFERROR(INDEX(Assessments!$I$2:$I$600,MATCH($H129&amp;"|"&amp;$I129&amp;"|"&amp;$J129&amp;"|"&amp;14,Assessments!$A$2:$A$600,0)),"")</f>
        <v/>
      </c>
      <c r="CW129" s="28" t="n">
        <f aca="false">IFERROR(INDEX(Assessments!$J$2:$J$600,MATCH($H129&amp;"|"&amp;$I129&amp;"|"&amp;$J129&amp;"|"&amp;1,Assessments!$A$2:$A$600,0)),0)</f>
        <v>1</v>
      </c>
      <c r="CX129" s="28" t="n">
        <f aca="false">IFERROR(INDEX(Assessments!$J$2:$J$600,MATCH($H129&amp;"|"&amp;$I129&amp;"|"&amp;$J129&amp;"|"&amp;2,Assessments!$A$2:$A$600,0)),0)</f>
        <v>1</v>
      </c>
      <c r="CY129" s="28" t="n">
        <f aca="false">IFERROR(INDEX(Assessments!$J$2:$J$600,MATCH($H129&amp;"|"&amp;$I129&amp;"|"&amp;$J129&amp;"|"&amp;3,Assessments!$A$2:$A$600,0)),0)</f>
        <v>1</v>
      </c>
      <c r="CZ129" s="28" t="n">
        <f aca="false">IFERROR(INDEX(Assessments!$J$2:$J$600,MATCH($H129&amp;"|"&amp;$I129&amp;"|"&amp;$J129&amp;"|"&amp;4,Assessments!$A$2:$A$600,0)),0)</f>
        <v>2</v>
      </c>
      <c r="DA129" s="28" t="n">
        <f aca="false">IFERROR(INDEX(Assessments!$J$2:$J$600,MATCH($H129&amp;"|"&amp;$I129&amp;"|"&amp;$J129&amp;"|"&amp;5,Assessments!$A$2:$A$600,0)),0)</f>
        <v>1</v>
      </c>
      <c r="DB129" s="28" t="n">
        <f aca="false">IFERROR(INDEX(Assessments!$J$2:$J$600,MATCH($H129&amp;"|"&amp;$I129&amp;"|"&amp;$J129&amp;"|"&amp;6,Assessments!$A$2:$A$600,0)),0)</f>
        <v>1</v>
      </c>
      <c r="DC129" s="28" t="n">
        <f aca="false">IFERROR(INDEX(Assessments!$J$2:$J$600,MATCH($H129&amp;"|"&amp;$I129&amp;"|"&amp;$J129&amp;"|"&amp;7,Assessments!$A$2:$A$600,0)),0)</f>
        <v>2</v>
      </c>
      <c r="DD129" s="28" t="n">
        <f aca="false">IFERROR(INDEX(Assessments!$J$2:$J$600,MATCH($H129&amp;"|"&amp;$I129&amp;"|"&amp;$J129&amp;"|"&amp;8,Assessments!$A$2:$A$600,0)),0)</f>
        <v>0</v>
      </c>
      <c r="DE129" s="28" t="n">
        <f aca="false">IFERROR(INDEX(Assessments!$J$2:$J$600,MATCH($H129&amp;"|"&amp;$I129&amp;"|"&amp;$J129&amp;"|"&amp;9,Assessments!$A$2:$A$600,0)),0)</f>
        <v>0</v>
      </c>
      <c r="DF129" s="28" t="n">
        <f aca="false">IFERROR(INDEX(Assessments!$J$2:$J$600,MATCH($H129&amp;"|"&amp;$I129&amp;"|"&amp;$J129&amp;"|"&amp;10,Assessments!$A$2:$A$600,0)),0)</f>
        <v>0</v>
      </c>
      <c r="DG129" s="28" t="n">
        <f aca="false">IFERROR(INDEX(Assessments!$J$2:$J$600,MATCH($H129&amp;"|"&amp;$I129&amp;"|"&amp;$J129&amp;"|"&amp;11,Assessments!$A$2:$A$600,0)),0)</f>
        <v>0</v>
      </c>
      <c r="DH129" s="28" t="n">
        <f aca="false">IFERROR(INDEX(Assessments!$J$2:$J$600,MATCH($H129&amp;"|"&amp;$I129&amp;"|"&amp;$J129&amp;"|"&amp;12,Assessments!$A$2:$A$600,0)),0)</f>
        <v>0</v>
      </c>
      <c r="DI129" s="28" t="n">
        <f aca="false">IFERROR(INDEX(Assessments!$J$2:$J$600,MATCH($H129&amp;"|"&amp;$I129&amp;"|"&amp;$J129&amp;"|"&amp;13,Assessments!$A$2:$A$600,0)),0)</f>
        <v>0</v>
      </c>
      <c r="DJ129" s="28" t="n">
        <f aca="false">IFERROR(INDEX(Assessments!$J$2:$J$600,MATCH($H129&amp;"|"&amp;$I129&amp;"|"&amp;$J129&amp;"|"&amp;14,Assessments!$A$2:$A$600,0)),0)</f>
        <v>0</v>
      </c>
      <c r="DK129" s="28" t="n">
        <f aca="false">S129</f>
        <v>7</v>
      </c>
      <c r="DL129" s="28" t="n">
        <f aca="false">W129</f>
        <v>5</v>
      </c>
      <c r="DM129" s="28" t="n">
        <f aca="false">AA129</f>
        <v>6</v>
      </c>
      <c r="DN129" s="28" t="n">
        <f aca="false">AE129</f>
        <v>7</v>
      </c>
      <c r="DO129" s="28" t="str">
        <f aca="false">AI129</f>
        <v/>
      </c>
      <c r="DP129" s="28" t="str">
        <f aca="false">AM129</f>
        <v/>
      </c>
      <c r="DQ129" s="28" t="n">
        <f aca="false">AQ129</f>
        <v>6</v>
      </c>
      <c r="DR129" s="28" t="str">
        <f aca="false">AU129</f>
        <v/>
      </c>
      <c r="DS129" s="28" t="str">
        <f aca="false">AY129</f>
        <v/>
      </c>
      <c r="DT129" s="28" t="str">
        <f aca="false">BC129</f>
        <v/>
      </c>
      <c r="DU129" s="28" t="str">
        <f aca="false">BG129</f>
        <v/>
      </c>
      <c r="DV129" s="28" t="str">
        <f aca="false">BK129</f>
        <v/>
      </c>
      <c r="DW129" s="28" t="str">
        <f aca="false">BO129</f>
        <v/>
      </c>
      <c r="DX129" s="28" t="str">
        <f aca="false">BS129</f>
        <v/>
      </c>
      <c r="DY129" s="28" t="n">
        <f aca="false">IF(ISNUMBER(S129),1,"")</f>
        <v>1</v>
      </c>
      <c r="DZ129" s="28" t="n">
        <f aca="false">IF(ISNUMBER(W129),2,"")</f>
        <v>2</v>
      </c>
      <c r="EA129" s="28" t="n">
        <f aca="false">IF(ISNUMBER(AA129),3,"")</f>
        <v>3</v>
      </c>
      <c r="EB129" s="28" t="n">
        <f aca="false">IF(ISNUMBER(AE129),4,"")</f>
        <v>4</v>
      </c>
      <c r="EC129" s="28" t="str">
        <f aca="false">IF(ISNUMBER(AI129),5,"")</f>
        <v/>
      </c>
      <c r="ED129" s="28" t="str">
        <f aca="false">IF(ISNUMBER(AM129),6,"")</f>
        <v/>
      </c>
      <c r="EE129" s="28" t="n">
        <f aca="false">IF(ISNUMBER(AQ129),7,"")</f>
        <v>7</v>
      </c>
      <c r="EF129" s="28" t="str">
        <f aca="false">IF(ISNUMBER(AU129),8,"")</f>
        <v/>
      </c>
      <c r="EG129" s="28" t="str">
        <f aca="false">IF(ISNUMBER(AY129),9,"")</f>
        <v/>
      </c>
      <c r="EH129" s="28" t="str">
        <f aca="false">IF(ISNUMBER(BC129),10,"")</f>
        <v/>
      </c>
      <c r="EI129" s="28" t="str">
        <f aca="false">IF(ISNUMBER(BG129),11,"")</f>
        <v/>
      </c>
      <c r="EJ129" s="28" t="str">
        <f aca="false">IF(ISNUMBER(BK129),12,"")</f>
        <v/>
      </c>
      <c r="EK129" s="28" t="str">
        <f aca="false">IF(ISNUMBER(BO129),13,"")</f>
        <v/>
      </c>
      <c r="EL129" s="28" t="str">
        <f aca="false">IF(ISNUMBER(BS129),14,"")</f>
        <v/>
      </c>
      <c r="EM129" s="28" t="n">
        <f aca="false">IF(ISNUMBER(R129),R129*CW129,0)</f>
        <v>87.5</v>
      </c>
      <c r="EN129" s="28" t="n">
        <f aca="false">IF(ISNUMBER(V129),V129*CX129,0)</f>
        <v>50</v>
      </c>
      <c r="EO129" s="28" t="n">
        <f aca="false">IF(ISNUMBER(Z129),Z129*CY129,0)</f>
        <v>70</v>
      </c>
      <c r="EP129" s="28" t="n">
        <f aca="false">IF(ISNUMBER(AD129),AD129*CZ129,0)</f>
        <v>155</v>
      </c>
      <c r="EQ129" s="28" t="n">
        <f aca="false">IF(ISNUMBER(AH129),AH129*DA129,0)</f>
        <v>0</v>
      </c>
      <c r="ER129" s="28" t="n">
        <f aca="false">IF(ISNUMBER(AL129),AL129*DB129,0)</f>
        <v>0</v>
      </c>
      <c r="ES129" s="28" t="n">
        <f aca="false">IF(ISNUMBER(AP129),AP129*DC129,0)</f>
        <v>171.428571428571</v>
      </c>
      <c r="ET129" s="28" t="n">
        <f aca="false">IF(ISNUMBER(AT129),AT129*DD129,0)</f>
        <v>0</v>
      </c>
      <c r="EU129" s="28" t="n">
        <f aca="false">IF(ISNUMBER(AX129),AX129*DE129,0)</f>
        <v>0</v>
      </c>
      <c r="EV129" s="28" t="n">
        <f aca="false">IF(ISNUMBER(BB129),BB129*DF129,0)</f>
        <v>0</v>
      </c>
      <c r="EW129" s="28" t="n">
        <f aca="false">IF(ISNUMBER(BF129),BF129*DG129,0)</f>
        <v>0</v>
      </c>
      <c r="EX129" s="28" t="n">
        <f aca="false">IF(ISNUMBER(BJ129),BJ129*DH129,0)</f>
        <v>0</v>
      </c>
      <c r="EY129" s="28" t="n">
        <f aca="false">IF(ISNUMBER(BN129),BN129*DI129,0)</f>
        <v>0</v>
      </c>
      <c r="EZ129" s="28" t="n">
        <f aca="false">IF(ISNUMBER(BR129),BR129*DJ129,0)</f>
        <v>0</v>
      </c>
      <c r="FA129" s="28" t="n">
        <f aca="false">IF(ISNUMBER(R129),CW129,0)</f>
        <v>1</v>
      </c>
      <c r="FB129" s="28" t="n">
        <f aca="false">IF(ISNUMBER(V129),CX129,0)</f>
        <v>1</v>
      </c>
      <c r="FC129" s="28" t="n">
        <f aca="false">IF(ISNUMBER(Z129),CY129,0)</f>
        <v>1</v>
      </c>
      <c r="FD129" s="28" t="n">
        <f aca="false">IF(ISNUMBER(AD129),CZ129,0)</f>
        <v>2</v>
      </c>
      <c r="FE129" s="28" t="n">
        <f aca="false">IF(ISNUMBER(AH129),DA129,0)</f>
        <v>0</v>
      </c>
      <c r="FF129" s="28" t="n">
        <f aca="false">IF(ISNUMBER(AL129),DB129,0)</f>
        <v>0</v>
      </c>
      <c r="FG129" s="28" t="n">
        <f aca="false">IF(ISNUMBER(AP129),DC129,0)</f>
        <v>2</v>
      </c>
      <c r="FH129" s="28" t="n">
        <f aca="false">IF(ISNUMBER(AT129),DD129,0)</f>
        <v>0</v>
      </c>
      <c r="FI129" s="28" t="n">
        <f aca="false">IF(ISNUMBER(AX129),DE129,0)</f>
        <v>0</v>
      </c>
      <c r="FJ129" s="28" t="n">
        <f aca="false">IF(ISNUMBER(BB129),DF129,0)</f>
        <v>0</v>
      </c>
      <c r="FK129" s="28" t="n">
        <f aca="false">IF(ISNUMBER(BF129),DG129,0)</f>
        <v>0</v>
      </c>
      <c r="FL129" s="28" t="n">
        <f aca="false">IF(ISNUMBER(BJ129),DH129,0)</f>
        <v>0</v>
      </c>
      <c r="FM129" s="28" t="n">
        <f aca="false">IF(ISNUMBER(BN129),DI129,0)</f>
        <v>0</v>
      </c>
      <c r="FN129" s="28" t="n">
        <f aca="false">IF(ISNUMBER(BR129),DJ129,0)</f>
        <v>0</v>
      </c>
      <c r="FO129" s="28" t="str">
        <f aca="false">IFERROR(INDEX(Lists!$G$2:$G$20,MATCH($I129&amp;"|"&amp;$J129,Lists!$F$2:$F$20,0)),"")</f>
        <v>BM Exam</v>
      </c>
    </row>
    <row r="130" customFormat="false" ht="19.5" hidden="false" customHeight="true" outlineLevel="0" collapsed="false">
      <c r="A130" s="29" t="s">
        <v>372</v>
      </c>
      <c r="B130" s="29" t="s">
        <v>373</v>
      </c>
      <c r="C130" s="30" t="s">
        <v>152</v>
      </c>
      <c r="D130" s="30" t="s">
        <v>364</v>
      </c>
      <c r="E130" s="31" t="n">
        <v>5.3</v>
      </c>
      <c r="F130" s="30" t="n">
        <v>6</v>
      </c>
      <c r="G130" s="30"/>
      <c r="H130" s="32" t="s">
        <v>23</v>
      </c>
      <c r="I130" s="33" t="s">
        <v>365</v>
      </c>
      <c r="J130" s="32" t="s">
        <v>25</v>
      </c>
      <c r="K130" s="34" t="n">
        <f aca="false">IF(OR(M130="",$E130=""),"",M130-$E130)</f>
        <v>-0.3</v>
      </c>
      <c r="L130" s="35" t="n">
        <f aca="false">IF(SUM(FA130:FN130)=0,"",SUM(EM130:EZ130)/SUM(FA130:FN130))</f>
        <v>57.1258503401361</v>
      </c>
      <c r="M130" s="36" t="n">
        <f aca="false">IF(OR(L130="",FO130=""),"",IFERROR(MATCH(L130,INDEX(Boundaries!$B$2:$I$30,MATCH(FO130,Boundaries!$A$2:$A$30,0),0),1)-1,""))</f>
        <v>5</v>
      </c>
      <c r="N130" s="37" t="n">
        <f aca="false">IF(COUNT($DY130:$EL130)&lt;2,"",INDEX($DK130:$DX130,MAX($DY130:$EL130))-INDEX($DK130:$DX130,MIN($DY130:$EL130)))</f>
        <v>-2</v>
      </c>
      <c r="O130" s="37" t="n">
        <f aca="false">IF(COUNT($DY130:$EL130)&lt;2,"",INDEX($DK130:$DX130,MAX($DY130:$EL130))-INDEX($DK130:$DX130,LARGE($DY130:$EL130,2)))</f>
        <v>-3</v>
      </c>
      <c r="P130" s="38" t="str">
        <f aca="false">IF(K130="","",IF(K130&gt;=0,"On/above target",IF(AND(N130&lt;&gt;"",N130&gt;=0.5),"Improving towards target",IF(AND(O130&lt;&gt;"",O130&lt;=-0.5),"Declining","Stable below target"))))</f>
        <v>Declining</v>
      </c>
      <c r="Q130" s="39" t="n">
        <v>13</v>
      </c>
      <c r="R130" s="40" t="n">
        <f aca="false">IF(OR(Q130="",BU130=""),"",Q130/BU130*100)</f>
        <v>54.1666666666667</v>
      </c>
      <c r="S130" s="41" t="n">
        <f aca="false">IF(R130="","",IFERROR(MATCH(R130,INDEX(Boundaries!$B$2:$I$30,MATCH(CI130,Boundaries!$A$2:$A$30,0),0),1)-1,""))</f>
        <v>5</v>
      </c>
      <c r="T130" s="42" t="n">
        <f aca="false">IF(OR(S130="",$E130=""),"",S130-$E130)</f>
        <v>-0.3</v>
      </c>
      <c r="U130" s="39" t="n">
        <v>13</v>
      </c>
      <c r="V130" s="40" t="n">
        <f aca="false">IF(OR(U130="",BV130=""),"",U130/BV130*100)</f>
        <v>65</v>
      </c>
      <c r="W130" s="41" t="n">
        <f aca="false">IF(V130="","",IFERROR(MATCH(V130,INDEX(Boundaries!$B$2:$I$30,MATCH(CJ130,Boundaries!$A$2:$A$30,0),0),1)-1,""))</f>
        <v>6</v>
      </c>
      <c r="X130" s="42" t="n">
        <f aca="false">IF(OR(W130="",$E130=""),"",W130-$E130)</f>
        <v>0.7</v>
      </c>
      <c r="Y130" s="39" t="n">
        <v>13</v>
      </c>
      <c r="Z130" s="40" t="n">
        <f aca="false">IF(OR(Y130="",BW130=""),"",Y130/BW130*100)</f>
        <v>65</v>
      </c>
      <c r="AA130" s="41" t="n">
        <f aca="false">IF(Z130="","",IFERROR(MATCH(Z130,INDEX(Boundaries!$B$2:$I$30,MATCH(CK130,Boundaries!$A$2:$A$30,0),0),1)-1,""))</f>
        <v>6</v>
      </c>
      <c r="AB130" s="42" t="n">
        <f aca="false">IF(OR(AA130="",$E130=""),"",AA130-$E130)</f>
        <v>0.7</v>
      </c>
      <c r="AC130" s="39" t="n">
        <v>26</v>
      </c>
      <c r="AD130" s="40" t="n">
        <f aca="false">IF(OR(AC130="",BX130=""),"",AC130/BX130*100)</f>
        <v>65</v>
      </c>
      <c r="AE130" s="41" t="n">
        <f aca="false">IF(AD130="","",IFERROR(MATCH(AD130,INDEX(Boundaries!$B$2:$I$30,MATCH(CL130,Boundaries!$A$2:$A$30,0),0),1)-1,""))</f>
        <v>6</v>
      </c>
      <c r="AF130" s="42" t="n">
        <f aca="false">IF(OR(AE130="",$E130=""),"",AE130-$E130)</f>
        <v>0.7</v>
      </c>
      <c r="AG130" s="39"/>
      <c r="AH130" s="40" t="str">
        <f aca="false">IF(OR(AG130="",BY130=""),"",AG130/BY130*100)</f>
        <v/>
      </c>
      <c r="AI130" s="41" t="str">
        <f aca="false">IF(AH130="","",IFERROR(MATCH(AH130,INDEX(Boundaries!$B$2:$I$30,MATCH(CM130,Boundaries!$A$2:$A$30,0),0),1)-1,""))</f>
        <v/>
      </c>
      <c r="AJ130" s="42" t="str">
        <f aca="false">IF(OR(AI130="",$E130=""),"",AI130-$E130)</f>
        <v/>
      </c>
      <c r="AK130" s="39"/>
      <c r="AL130" s="40" t="str">
        <f aca="false">IF(OR(AK130="",BZ130=""),"",AK130/BZ130*100)</f>
        <v/>
      </c>
      <c r="AM130" s="41" t="str">
        <f aca="false">IF(AL130="","",IFERROR(MATCH(AL130,INDEX(Boundaries!$B$2:$I$30,MATCH(CN130,Boundaries!$A$2:$A$30,0),0),1)-1,""))</f>
        <v/>
      </c>
      <c r="AN130" s="42" t="str">
        <f aca="false">IF(OR(AM130="",$E130=""),"",AM130-$E130)</f>
        <v/>
      </c>
      <c r="AO130" s="39" t="n">
        <v>3</v>
      </c>
      <c r="AP130" s="40" t="n">
        <f aca="false">IF(OR(AO130="",CA130=""),"",AO130/CA130*100)</f>
        <v>42.8571428571429</v>
      </c>
      <c r="AQ130" s="41" t="n">
        <f aca="false">IF(AP130="","",IFERROR(MATCH(AP130,INDEX(Boundaries!$B$2:$I$30,MATCH(CO130,Boundaries!$A$2:$A$30,0),0),1)-1,""))</f>
        <v>3</v>
      </c>
      <c r="AR130" s="42" t="n">
        <f aca="false">IF(OR(AQ130="",$E130=""),"",AQ130-$E130)</f>
        <v>-2.3</v>
      </c>
      <c r="AS130" s="39"/>
      <c r="AT130" s="40" t="str">
        <f aca="false">IF(OR(AS130="",CB130=""),"",AS130/CB130*100)</f>
        <v/>
      </c>
      <c r="AU130" s="41" t="str">
        <f aca="false">IF(AT130="","",IFERROR(MATCH(AT130,INDEX(Boundaries!$B$2:$I$30,MATCH(CP130,Boundaries!$A$2:$A$30,0),0),1)-1,""))</f>
        <v/>
      </c>
      <c r="AV130" s="42" t="str">
        <f aca="false">IF(OR(AU130="",$E130=""),"",AU130-$E130)</f>
        <v/>
      </c>
      <c r="AW130" s="39"/>
      <c r="AX130" s="40" t="str">
        <f aca="false">IF(OR(AW130="",CC130=""),"",AW130/CC130*100)</f>
        <v/>
      </c>
      <c r="AY130" s="41" t="str">
        <f aca="false">IF(AX130="","",IFERROR(MATCH(AX130,INDEX(Boundaries!$B$2:$I$30,MATCH(CQ130,Boundaries!$A$2:$A$30,0),0),1)-1,""))</f>
        <v/>
      </c>
      <c r="AZ130" s="42" t="str">
        <f aca="false">IF(OR(AY130="",$E130=""),"",AY130-$E130)</f>
        <v/>
      </c>
      <c r="BA130" s="39"/>
      <c r="BB130" s="40" t="str">
        <f aca="false">IF(OR(BA130="",CD130=""),"",BA130/CD130*100)</f>
        <v/>
      </c>
      <c r="BC130" s="41" t="str">
        <f aca="false">IF(BB130="","",IFERROR(MATCH(BB130,INDEX(Boundaries!$B$2:$I$30,MATCH(CR130,Boundaries!$A$2:$A$30,0),0),1)-1,""))</f>
        <v/>
      </c>
      <c r="BD130" s="42" t="str">
        <f aca="false">IF(OR(BC130="",$E130=""),"",BC130-$E130)</f>
        <v/>
      </c>
      <c r="BE130" s="39"/>
      <c r="BF130" s="40" t="str">
        <f aca="false">IF(OR(BE130="",CE130=""),"",BE130/CE130*100)</f>
        <v/>
      </c>
      <c r="BG130" s="41" t="str">
        <f aca="false">IF(BF130="","",IFERROR(MATCH(BF130,INDEX(Boundaries!$B$2:$I$30,MATCH(CS130,Boundaries!$A$2:$A$30,0),0),1)-1,""))</f>
        <v/>
      </c>
      <c r="BH130" s="42" t="str">
        <f aca="false">IF(OR(BG130="",$E130=""),"",BG130-$E130)</f>
        <v/>
      </c>
      <c r="BI130" s="39"/>
      <c r="BJ130" s="40" t="str">
        <f aca="false">IF(OR(BI130="",CF130=""),"",BI130/CF130*100)</f>
        <v/>
      </c>
      <c r="BK130" s="41" t="str">
        <f aca="false">IF(BJ130="","",IFERROR(MATCH(BJ130,INDEX(Boundaries!$B$2:$I$30,MATCH(CT130,Boundaries!$A$2:$A$30,0),0),1)-1,""))</f>
        <v/>
      </c>
      <c r="BL130" s="42" t="str">
        <f aca="false">IF(OR(BK130="",$E130=""),"",BK130-$E130)</f>
        <v/>
      </c>
      <c r="BM130" s="39"/>
      <c r="BN130" s="40" t="str">
        <f aca="false">IF(OR(BM130="",CG130=""),"",BM130/CG130*100)</f>
        <v/>
      </c>
      <c r="BO130" s="41" t="str">
        <f aca="false">IF(BN130="","",IFERROR(MATCH(BN130,INDEX(Boundaries!$B$2:$I$30,MATCH(CU130,Boundaries!$A$2:$A$30,0),0),1)-1,""))</f>
        <v/>
      </c>
      <c r="BP130" s="42" t="str">
        <f aca="false">IF(OR(BO130="",$E130=""),"",BO130-$E130)</f>
        <v/>
      </c>
      <c r="BQ130" s="39"/>
      <c r="BR130" s="40" t="str">
        <f aca="false">IF(OR(BQ130="",CH130=""),"",BQ130/CH130*100)</f>
        <v/>
      </c>
      <c r="BS130" s="41" t="str">
        <f aca="false">IF(BR130="","",IFERROR(MATCH(BR130,INDEX(Boundaries!$B$2:$I$30,MATCH(CV130,Boundaries!$A$2:$A$30,0),0),1)-1,""))</f>
        <v/>
      </c>
      <c r="BT130" s="42" t="str">
        <f aca="false">IF(OR(BS130="",$E130=""),"",BS130-$E130)</f>
        <v/>
      </c>
      <c r="BU130" s="28" t="n">
        <f aca="false">IFERROR(INDEX(Assessments!$H$2:$H$600,MATCH($H130&amp;"|"&amp;$I130&amp;"|"&amp;$J130&amp;"|"&amp;1,Assessments!$A$2:$A$600,0)),"")</f>
        <v>24</v>
      </c>
      <c r="BV130" s="28" t="n">
        <f aca="false">IFERROR(INDEX(Assessments!$H$2:$H$600,MATCH($H130&amp;"|"&amp;$I130&amp;"|"&amp;$J130&amp;"|"&amp;2,Assessments!$A$2:$A$600,0)),"")</f>
        <v>20</v>
      </c>
      <c r="BW130" s="28" t="n">
        <f aca="false">IFERROR(INDEX(Assessments!$H$2:$H$600,MATCH($H130&amp;"|"&amp;$I130&amp;"|"&amp;$J130&amp;"|"&amp;3,Assessments!$A$2:$A$600,0)),"")</f>
        <v>20</v>
      </c>
      <c r="BX130" s="28" t="n">
        <f aca="false">IFERROR(INDEX(Assessments!$H$2:$H$600,MATCH($H130&amp;"|"&amp;$I130&amp;"|"&amp;$J130&amp;"|"&amp;4,Assessments!$A$2:$A$600,0)),"")</f>
        <v>40</v>
      </c>
      <c r="BY130" s="28" t="n">
        <f aca="false">IFERROR(INDEX(Assessments!$H$2:$H$600,MATCH($H130&amp;"|"&amp;$I130&amp;"|"&amp;$J130&amp;"|"&amp;5,Assessments!$A$2:$A$600,0)),"")</f>
        <v>30</v>
      </c>
      <c r="BZ130" s="28" t="n">
        <f aca="false">IFERROR(INDEX(Assessments!$H$2:$H$600,MATCH($H130&amp;"|"&amp;$I130&amp;"|"&amp;$J130&amp;"|"&amp;6,Assessments!$A$2:$A$600,0)),"")</f>
        <v>20</v>
      </c>
      <c r="CA130" s="28" t="n">
        <f aca="false">IFERROR(INDEX(Assessments!$H$2:$H$600,MATCH($H130&amp;"|"&amp;$I130&amp;"|"&amp;$J130&amp;"|"&amp;7,Assessments!$A$2:$A$600,0)),"")</f>
        <v>7</v>
      </c>
      <c r="CB130" s="28" t="str">
        <f aca="false">IFERROR(INDEX(Assessments!$H$2:$H$600,MATCH($H130&amp;"|"&amp;$I130&amp;"|"&amp;$J130&amp;"|"&amp;8,Assessments!$A$2:$A$600,0)),"")</f>
        <v/>
      </c>
      <c r="CC130" s="28" t="str">
        <f aca="false">IFERROR(INDEX(Assessments!$H$2:$H$600,MATCH($H130&amp;"|"&amp;$I130&amp;"|"&amp;$J130&amp;"|"&amp;9,Assessments!$A$2:$A$600,0)),"")</f>
        <v/>
      </c>
      <c r="CD130" s="28" t="str">
        <f aca="false">IFERROR(INDEX(Assessments!$H$2:$H$600,MATCH($H130&amp;"|"&amp;$I130&amp;"|"&amp;$J130&amp;"|"&amp;10,Assessments!$A$2:$A$600,0)),"")</f>
        <v/>
      </c>
      <c r="CE130" s="28" t="str">
        <f aca="false">IFERROR(INDEX(Assessments!$H$2:$H$600,MATCH($H130&amp;"|"&amp;$I130&amp;"|"&amp;$J130&amp;"|"&amp;11,Assessments!$A$2:$A$600,0)),"")</f>
        <v/>
      </c>
      <c r="CF130" s="28" t="str">
        <f aca="false">IFERROR(INDEX(Assessments!$H$2:$H$600,MATCH($H130&amp;"|"&amp;$I130&amp;"|"&amp;$J130&amp;"|"&amp;12,Assessments!$A$2:$A$600,0)),"")</f>
        <v/>
      </c>
      <c r="CG130" s="28" t="str">
        <f aca="false">IFERROR(INDEX(Assessments!$H$2:$H$600,MATCH($H130&amp;"|"&amp;$I130&amp;"|"&amp;$J130&amp;"|"&amp;13,Assessments!$A$2:$A$600,0)),"")</f>
        <v/>
      </c>
      <c r="CH130" s="28" t="str">
        <f aca="false">IFERROR(INDEX(Assessments!$H$2:$H$600,MATCH($H130&amp;"|"&amp;$I130&amp;"|"&amp;$J130&amp;"|"&amp;14,Assessments!$A$2:$A$600,0)),"")</f>
        <v/>
      </c>
      <c r="CI130" s="28" t="str">
        <f aca="false">IFERROR(INDEX(Assessments!$I$2:$I$600,MATCH($H130&amp;"|"&amp;$I130&amp;"|"&amp;$J130&amp;"|"&amp;1,Assessments!$A$2:$A$600,0)),"")</f>
        <v>BM Test</v>
      </c>
      <c r="CJ130" s="28" t="str">
        <f aca="false">IFERROR(INDEX(Assessments!$I$2:$I$600,MATCH($H130&amp;"|"&amp;$I130&amp;"|"&amp;$J130&amp;"|"&amp;2,Assessments!$A$2:$A$600,0)),"")</f>
        <v>BM Test</v>
      </c>
      <c r="CK130" s="28" t="str">
        <f aca="false">IFERROR(INDEX(Assessments!$I$2:$I$600,MATCH($H130&amp;"|"&amp;$I130&amp;"|"&amp;$J130&amp;"|"&amp;3,Assessments!$A$2:$A$600,0)),"")</f>
        <v>BM Test</v>
      </c>
      <c r="CL130" s="28" t="str">
        <f aca="false">IFERROR(INDEX(Assessments!$I$2:$I$600,MATCH($H130&amp;"|"&amp;$I130&amp;"|"&amp;$J130&amp;"|"&amp;4,Assessments!$A$2:$A$600,0)),"")</f>
        <v>BM Exam</v>
      </c>
      <c r="CM130" s="28" t="str">
        <f aca="false">IFERROR(INDEX(Assessments!$I$2:$I$600,MATCH($H130&amp;"|"&amp;$I130&amp;"|"&amp;$J130&amp;"|"&amp;5,Assessments!$A$2:$A$600,0)),"")</f>
        <v>BM Test</v>
      </c>
      <c r="CN130" s="28" t="str">
        <f aca="false">IFERROR(INDEX(Assessments!$I$2:$I$600,MATCH($H130&amp;"|"&amp;$I130&amp;"|"&amp;$J130&amp;"|"&amp;6,Assessments!$A$2:$A$600,0)),"")</f>
        <v>BM Test</v>
      </c>
      <c r="CO130" s="28" t="str">
        <f aca="false">IFERROR(INDEX(Assessments!$I$2:$I$600,MATCH($H130&amp;"|"&amp;$I130&amp;"|"&amp;$J130&amp;"|"&amp;7,Assessments!$A$2:$A$600,0)),"")</f>
        <v>Grade entered</v>
      </c>
      <c r="CP130" s="28" t="str">
        <f aca="false">IFERROR(INDEX(Assessments!$I$2:$I$600,MATCH($H130&amp;"|"&amp;$I130&amp;"|"&amp;$J130&amp;"|"&amp;8,Assessments!$A$2:$A$600,0)),"")</f>
        <v/>
      </c>
      <c r="CQ130" s="28" t="str">
        <f aca="false">IFERROR(INDEX(Assessments!$I$2:$I$600,MATCH($H130&amp;"|"&amp;$I130&amp;"|"&amp;$J130&amp;"|"&amp;9,Assessments!$A$2:$A$600,0)),"")</f>
        <v/>
      </c>
      <c r="CR130" s="28" t="str">
        <f aca="false">IFERROR(INDEX(Assessments!$I$2:$I$600,MATCH($H130&amp;"|"&amp;$I130&amp;"|"&amp;$J130&amp;"|"&amp;10,Assessments!$A$2:$A$600,0)),"")</f>
        <v/>
      </c>
      <c r="CS130" s="28" t="str">
        <f aca="false">IFERROR(INDEX(Assessments!$I$2:$I$600,MATCH($H130&amp;"|"&amp;$I130&amp;"|"&amp;$J130&amp;"|"&amp;11,Assessments!$A$2:$A$600,0)),"")</f>
        <v/>
      </c>
      <c r="CT130" s="28" t="str">
        <f aca="false">IFERROR(INDEX(Assessments!$I$2:$I$600,MATCH($H130&amp;"|"&amp;$I130&amp;"|"&amp;$J130&amp;"|"&amp;12,Assessments!$A$2:$A$600,0)),"")</f>
        <v/>
      </c>
      <c r="CU130" s="28" t="str">
        <f aca="false">IFERROR(INDEX(Assessments!$I$2:$I$600,MATCH($H130&amp;"|"&amp;$I130&amp;"|"&amp;$J130&amp;"|"&amp;13,Assessments!$A$2:$A$600,0)),"")</f>
        <v/>
      </c>
      <c r="CV130" s="28" t="str">
        <f aca="false">IFERROR(INDEX(Assessments!$I$2:$I$600,MATCH($H130&amp;"|"&amp;$I130&amp;"|"&amp;$J130&amp;"|"&amp;14,Assessments!$A$2:$A$600,0)),"")</f>
        <v/>
      </c>
      <c r="CW130" s="28" t="n">
        <f aca="false">IFERROR(INDEX(Assessments!$J$2:$J$600,MATCH($H130&amp;"|"&amp;$I130&amp;"|"&amp;$J130&amp;"|"&amp;1,Assessments!$A$2:$A$600,0)),0)</f>
        <v>1</v>
      </c>
      <c r="CX130" s="28" t="n">
        <f aca="false">IFERROR(INDEX(Assessments!$J$2:$J$600,MATCH($H130&amp;"|"&amp;$I130&amp;"|"&amp;$J130&amp;"|"&amp;2,Assessments!$A$2:$A$600,0)),0)</f>
        <v>1</v>
      </c>
      <c r="CY130" s="28" t="n">
        <f aca="false">IFERROR(INDEX(Assessments!$J$2:$J$600,MATCH($H130&amp;"|"&amp;$I130&amp;"|"&amp;$J130&amp;"|"&amp;3,Assessments!$A$2:$A$600,0)),0)</f>
        <v>1</v>
      </c>
      <c r="CZ130" s="28" t="n">
        <f aca="false">IFERROR(INDEX(Assessments!$J$2:$J$600,MATCH($H130&amp;"|"&amp;$I130&amp;"|"&amp;$J130&amp;"|"&amp;4,Assessments!$A$2:$A$600,0)),0)</f>
        <v>2</v>
      </c>
      <c r="DA130" s="28" t="n">
        <f aca="false">IFERROR(INDEX(Assessments!$J$2:$J$600,MATCH($H130&amp;"|"&amp;$I130&amp;"|"&amp;$J130&amp;"|"&amp;5,Assessments!$A$2:$A$600,0)),0)</f>
        <v>1</v>
      </c>
      <c r="DB130" s="28" t="n">
        <f aca="false">IFERROR(INDEX(Assessments!$J$2:$J$600,MATCH($H130&amp;"|"&amp;$I130&amp;"|"&amp;$J130&amp;"|"&amp;6,Assessments!$A$2:$A$600,0)),0)</f>
        <v>1</v>
      </c>
      <c r="DC130" s="28" t="n">
        <f aca="false">IFERROR(INDEX(Assessments!$J$2:$J$600,MATCH($H130&amp;"|"&amp;$I130&amp;"|"&amp;$J130&amp;"|"&amp;7,Assessments!$A$2:$A$600,0)),0)</f>
        <v>2</v>
      </c>
      <c r="DD130" s="28" t="n">
        <f aca="false">IFERROR(INDEX(Assessments!$J$2:$J$600,MATCH($H130&amp;"|"&amp;$I130&amp;"|"&amp;$J130&amp;"|"&amp;8,Assessments!$A$2:$A$600,0)),0)</f>
        <v>0</v>
      </c>
      <c r="DE130" s="28" t="n">
        <f aca="false">IFERROR(INDEX(Assessments!$J$2:$J$600,MATCH($H130&amp;"|"&amp;$I130&amp;"|"&amp;$J130&amp;"|"&amp;9,Assessments!$A$2:$A$600,0)),0)</f>
        <v>0</v>
      </c>
      <c r="DF130" s="28" t="n">
        <f aca="false">IFERROR(INDEX(Assessments!$J$2:$J$600,MATCH($H130&amp;"|"&amp;$I130&amp;"|"&amp;$J130&amp;"|"&amp;10,Assessments!$A$2:$A$600,0)),0)</f>
        <v>0</v>
      </c>
      <c r="DG130" s="28" t="n">
        <f aca="false">IFERROR(INDEX(Assessments!$J$2:$J$600,MATCH($H130&amp;"|"&amp;$I130&amp;"|"&amp;$J130&amp;"|"&amp;11,Assessments!$A$2:$A$600,0)),0)</f>
        <v>0</v>
      </c>
      <c r="DH130" s="28" t="n">
        <f aca="false">IFERROR(INDEX(Assessments!$J$2:$J$600,MATCH($H130&amp;"|"&amp;$I130&amp;"|"&amp;$J130&amp;"|"&amp;12,Assessments!$A$2:$A$600,0)),0)</f>
        <v>0</v>
      </c>
      <c r="DI130" s="28" t="n">
        <f aca="false">IFERROR(INDEX(Assessments!$J$2:$J$600,MATCH($H130&amp;"|"&amp;$I130&amp;"|"&amp;$J130&amp;"|"&amp;13,Assessments!$A$2:$A$600,0)),0)</f>
        <v>0</v>
      </c>
      <c r="DJ130" s="28" t="n">
        <f aca="false">IFERROR(INDEX(Assessments!$J$2:$J$600,MATCH($H130&amp;"|"&amp;$I130&amp;"|"&amp;$J130&amp;"|"&amp;14,Assessments!$A$2:$A$600,0)),0)</f>
        <v>0</v>
      </c>
      <c r="DK130" s="28" t="n">
        <f aca="false">S130</f>
        <v>5</v>
      </c>
      <c r="DL130" s="28" t="n">
        <f aca="false">W130</f>
        <v>6</v>
      </c>
      <c r="DM130" s="28" t="n">
        <f aca="false">AA130</f>
        <v>6</v>
      </c>
      <c r="DN130" s="28" t="n">
        <f aca="false">AE130</f>
        <v>6</v>
      </c>
      <c r="DO130" s="28" t="str">
        <f aca="false">AI130</f>
        <v/>
      </c>
      <c r="DP130" s="28" t="str">
        <f aca="false">AM130</f>
        <v/>
      </c>
      <c r="DQ130" s="28" t="n">
        <f aca="false">AQ130</f>
        <v>3</v>
      </c>
      <c r="DR130" s="28" t="str">
        <f aca="false">AU130</f>
        <v/>
      </c>
      <c r="DS130" s="28" t="str">
        <f aca="false">AY130</f>
        <v/>
      </c>
      <c r="DT130" s="28" t="str">
        <f aca="false">BC130</f>
        <v/>
      </c>
      <c r="DU130" s="28" t="str">
        <f aca="false">BG130</f>
        <v/>
      </c>
      <c r="DV130" s="28" t="str">
        <f aca="false">BK130</f>
        <v/>
      </c>
      <c r="DW130" s="28" t="str">
        <f aca="false">BO130</f>
        <v/>
      </c>
      <c r="DX130" s="28" t="str">
        <f aca="false">BS130</f>
        <v/>
      </c>
      <c r="DY130" s="28" t="n">
        <f aca="false">IF(ISNUMBER(S130),1,"")</f>
        <v>1</v>
      </c>
      <c r="DZ130" s="28" t="n">
        <f aca="false">IF(ISNUMBER(W130),2,"")</f>
        <v>2</v>
      </c>
      <c r="EA130" s="28" t="n">
        <f aca="false">IF(ISNUMBER(AA130),3,"")</f>
        <v>3</v>
      </c>
      <c r="EB130" s="28" t="n">
        <f aca="false">IF(ISNUMBER(AE130),4,"")</f>
        <v>4</v>
      </c>
      <c r="EC130" s="28" t="str">
        <f aca="false">IF(ISNUMBER(AI130),5,"")</f>
        <v/>
      </c>
      <c r="ED130" s="28" t="str">
        <f aca="false">IF(ISNUMBER(AM130),6,"")</f>
        <v/>
      </c>
      <c r="EE130" s="28" t="n">
        <f aca="false">IF(ISNUMBER(AQ130),7,"")</f>
        <v>7</v>
      </c>
      <c r="EF130" s="28" t="str">
        <f aca="false">IF(ISNUMBER(AU130),8,"")</f>
        <v/>
      </c>
      <c r="EG130" s="28" t="str">
        <f aca="false">IF(ISNUMBER(AY130),9,"")</f>
        <v/>
      </c>
      <c r="EH130" s="28" t="str">
        <f aca="false">IF(ISNUMBER(BC130),10,"")</f>
        <v/>
      </c>
      <c r="EI130" s="28" t="str">
        <f aca="false">IF(ISNUMBER(BG130),11,"")</f>
        <v/>
      </c>
      <c r="EJ130" s="28" t="str">
        <f aca="false">IF(ISNUMBER(BK130),12,"")</f>
        <v/>
      </c>
      <c r="EK130" s="28" t="str">
        <f aca="false">IF(ISNUMBER(BO130),13,"")</f>
        <v/>
      </c>
      <c r="EL130" s="28" t="str">
        <f aca="false">IF(ISNUMBER(BS130),14,"")</f>
        <v/>
      </c>
      <c r="EM130" s="28" t="n">
        <f aca="false">IF(ISNUMBER(R130),R130*CW130,0)</f>
        <v>54.1666666666667</v>
      </c>
      <c r="EN130" s="28" t="n">
        <f aca="false">IF(ISNUMBER(V130),V130*CX130,0)</f>
        <v>65</v>
      </c>
      <c r="EO130" s="28" t="n">
        <f aca="false">IF(ISNUMBER(Z130),Z130*CY130,0)</f>
        <v>65</v>
      </c>
      <c r="EP130" s="28" t="n">
        <f aca="false">IF(ISNUMBER(AD130),AD130*CZ130,0)</f>
        <v>130</v>
      </c>
      <c r="EQ130" s="28" t="n">
        <f aca="false">IF(ISNUMBER(AH130),AH130*DA130,0)</f>
        <v>0</v>
      </c>
      <c r="ER130" s="28" t="n">
        <f aca="false">IF(ISNUMBER(AL130),AL130*DB130,0)</f>
        <v>0</v>
      </c>
      <c r="ES130" s="28" t="n">
        <f aca="false">IF(ISNUMBER(AP130),AP130*DC130,0)</f>
        <v>85.7142857142857</v>
      </c>
      <c r="ET130" s="28" t="n">
        <f aca="false">IF(ISNUMBER(AT130),AT130*DD130,0)</f>
        <v>0</v>
      </c>
      <c r="EU130" s="28" t="n">
        <f aca="false">IF(ISNUMBER(AX130),AX130*DE130,0)</f>
        <v>0</v>
      </c>
      <c r="EV130" s="28" t="n">
        <f aca="false">IF(ISNUMBER(BB130),BB130*DF130,0)</f>
        <v>0</v>
      </c>
      <c r="EW130" s="28" t="n">
        <f aca="false">IF(ISNUMBER(BF130),BF130*DG130,0)</f>
        <v>0</v>
      </c>
      <c r="EX130" s="28" t="n">
        <f aca="false">IF(ISNUMBER(BJ130),BJ130*DH130,0)</f>
        <v>0</v>
      </c>
      <c r="EY130" s="28" t="n">
        <f aca="false">IF(ISNUMBER(BN130),BN130*DI130,0)</f>
        <v>0</v>
      </c>
      <c r="EZ130" s="28" t="n">
        <f aca="false">IF(ISNUMBER(BR130),BR130*DJ130,0)</f>
        <v>0</v>
      </c>
      <c r="FA130" s="28" t="n">
        <f aca="false">IF(ISNUMBER(R130),CW130,0)</f>
        <v>1</v>
      </c>
      <c r="FB130" s="28" t="n">
        <f aca="false">IF(ISNUMBER(V130),CX130,0)</f>
        <v>1</v>
      </c>
      <c r="FC130" s="28" t="n">
        <f aca="false">IF(ISNUMBER(Z130),CY130,0)</f>
        <v>1</v>
      </c>
      <c r="FD130" s="28" t="n">
        <f aca="false">IF(ISNUMBER(AD130),CZ130,0)</f>
        <v>2</v>
      </c>
      <c r="FE130" s="28" t="n">
        <f aca="false">IF(ISNUMBER(AH130),DA130,0)</f>
        <v>0</v>
      </c>
      <c r="FF130" s="28" t="n">
        <f aca="false">IF(ISNUMBER(AL130),DB130,0)</f>
        <v>0</v>
      </c>
      <c r="FG130" s="28" t="n">
        <f aca="false">IF(ISNUMBER(AP130),DC130,0)</f>
        <v>2</v>
      </c>
      <c r="FH130" s="28" t="n">
        <f aca="false">IF(ISNUMBER(AT130),DD130,0)</f>
        <v>0</v>
      </c>
      <c r="FI130" s="28" t="n">
        <f aca="false">IF(ISNUMBER(AX130),DE130,0)</f>
        <v>0</v>
      </c>
      <c r="FJ130" s="28" t="n">
        <f aca="false">IF(ISNUMBER(BB130),DF130,0)</f>
        <v>0</v>
      </c>
      <c r="FK130" s="28" t="n">
        <f aca="false">IF(ISNUMBER(BF130),DG130,0)</f>
        <v>0</v>
      </c>
      <c r="FL130" s="28" t="n">
        <f aca="false">IF(ISNUMBER(BJ130),DH130,0)</f>
        <v>0</v>
      </c>
      <c r="FM130" s="28" t="n">
        <f aca="false">IF(ISNUMBER(BN130),DI130,0)</f>
        <v>0</v>
      </c>
      <c r="FN130" s="28" t="n">
        <f aca="false">IF(ISNUMBER(BR130),DJ130,0)</f>
        <v>0</v>
      </c>
      <c r="FO130" s="28" t="str">
        <f aca="false">IFERROR(INDEX(Lists!$G$2:$G$20,MATCH($I130&amp;"|"&amp;$J130,Lists!$F$2:$F$20,0)),"")</f>
        <v>BM Exam</v>
      </c>
    </row>
    <row r="131" customFormat="false" ht="19.5" hidden="false" customHeight="true" outlineLevel="0" collapsed="false">
      <c r="A131" s="29" t="s">
        <v>206</v>
      </c>
      <c r="B131" s="29" t="s">
        <v>207</v>
      </c>
      <c r="C131" s="30" t="s">
        <v>152</v>
      </c>
      <c r="D131" s="30" t="s">
        <v>364</v>
      </c>
      <c r="E131" s="31" t="n">
        <v>5.4</v>
      </c>
      <c r="F131" s="30" t="n">
        <v>6</v>
      </c>
      <c r="G131" s="30"/>
      <c r="H131" s="32" t="s">
        <v>23</v>
      </c>
      <c r="I131" s="33" t="s">
        <v>365</v>
      </c>
      <c r="J131" s="32" t="s">
        <v>25</v>
      </c>
      <c r="K131" s="34" t="n">
        <f aca="false">IF(OR(M131="",$E131=""),"",M131-$E131)</f>
        <v>-0.4</v>
      </c>
      <c r="L131" s="35" t="n">
        <f aca="false">IF(SUM(FA131:FN131)=0,"",SUM(EM131:EZ131)/SUM(FA131:FN131))</f>
        <v>56.9557823129252</v>
      </c>
      <c r="M131" s="36" t="n">
        <f aca="false">IF(OR(L131="",FO131=""),"",IFERROR(MATCH(L131,INDEX(Boundaries!$B$2:$I$30,MATCH(FO131,Boundaries!$A$2:$A$30,0),0),1)-1,""))</f>
        <v>5</v>
      </c>
      <c r="N131" s="37" t="n">
        <f aca="false">IF(COUNT($DY131:$EL131)&lt;2,"",INDEX($DK131:$DX131,MAX($DY131:$EL131))-INDEX($DK131:$DX131,MIN($DY131:$EL131)))</f>
        <v>-1</v>
      </c>
      <c r="O131" s="37" t="n">
        <f aca="false">IF(COUNT($DY131:$EL131)&lt;2,"",INDEX($DK131:$DX131,MAX($DY131:$EL131))-INDEX($DK131:$DX131,LARGE($DY131:$EL131,2)))</f>
        <v>1</v>
      </c>
      <c r="P131" s="38" t="str">
        <f aca="false">IF(K131="","",IF(K131&gt;=0,"On/above target",IF(AND(N131&lt;&gt;"",N131&gt;=0.5),"Improving towards target",IF(AND(O131&lt;&gt;"",O131&lt;=-0.5),"Declining","Stable below target"))))</f>
        <v>Stable below target</v>
      </c>
      <c r="Q131" s="39" t="n">
        <v>17</v>
      </c>
      <c r="R131" s="40" t="n">
        <f aca="false">IF(OR(Q131="",BU131=""),"",Q131/BU131*100)</f>
        <v>70.8333333333333</v>
      </c>
      <c r="S131" s="41" t="n">
        <f aca="false">IF(R131="","",IFERROR(MATCH(R131,INDEX(Boundaries!$B$2:$I$30,MATCH(CI131,Boundaries!$A$2:$A$30,0),0),1)-1,""))</f>
        <v>6</v>
      </c>
      <c r="T131" s="42" t="n">
        <f aca="false">IF(OR(S131="",$E131=""),"",S131-$E131)</f>
        <v>0.6</v>
      </c>
      <c r="U131" s="39" t="n">
        <v>10</v>
      </c>
      <c r="V131" s="40" t="n">
        <f aca="false">IF(OR(U131="",BV131=""),"",U131/BV131*100)</f>
        <v>50</v>
      </c>
      <c r="W131" s="41" t="n">
        <f aca="false">IF(V131="","",IFERROR(MATCH(V131,INDEX(Boundaries!$B$2:$I$30,MATCH(CJ131,Boundaries!$A$2:$A$30,0),0),1)-1,""))</f>
        <v>5</v>
      </c>
      <c r="X131" s="42" t="n">
        <f aca="false">IF(OR(W131="",$E131=""),"",W131-$E131)</f>
        <v>-0.4</v>
      </c>
      <c r="Y131" s="39" t="n">
        <v>13</v>
      </c>
      <c r="Z131" s="40" t="n">
        <f aca="false">IF(OR(Y131="",BW131=""),"",Y131/BW131*100)</f>
        <v>65</v>
      </c>
      <c r="AA131" s="41" t="n">
        <f aca="false">IF(Z131="","",IFERROR(MATCH(Z131,INDEX(Boundaries!$B$2:$I$30,MATCH(CK131,Boundaries!$A$2:$A$30,0),0),1)-1,""))</f>
        <v>6</v>
      </c>
      <c r="AB131" s="42" t="n">
        <f aca="false">IF(OR(AA131="",$E131=""),"",AA131-$E131)</f>
        <v>0.6</v>
      </c>
      <c r="AC131" s="39" t="n">
        <v>14</v>
      </c>
      <c r="AD131" s="40" t="n">
        <f aca="false">IF(OR(AC131="",BX131=""),"",AC131/BX131*100)</f>
        <v>35</v>
      </c>
      <c r="AE131" s="41" t="n">
        <f aca="false">IF(AD131="","",IFERROR(MATCH(AD131,INDEX(Boundaries!$B$2:$I$30,MATCH(CL131,Boundaries!$A$2:$A$30,0),0),1)-1,""))</f>
        <v>4</v>
      </c>
      <c r="AF131" s="42" t="n">
        <f aca="false">IF(OR(AE131="",$E131=""),"",AE131-$E131)</f>
        <v>-1.4</v>
      </c>
      <c r="AG131" s="39"/>
      <c r="AH131" s="40" t="str">
        <f aca="false">IF(OR(AG131="",BY131=""),"",AG131/BY131*100)</f>
        <v/>
      </c>
      <c r="AI131" s="41" t="str">
        <f aca="false">IF(AH131="","",IFERROR(MATCH(AH131,INDEX(Boundaries!$B$2:$I$30,MATCH(CM131,Boundaries!$A$2:$A$30,0),0),1)-1,""))</f>
        <v/>
      </c>
      <c r="AJ131" s="42" t="str">
        <f aca="false">IF(OR(AI131="",$E131=""),"",AI131-$E131)</f>
        <v/>
      </c>
      <c r="AK131" s="39"/>
      <c r="AL131" s="40" t="str">
        <f aca="false">IF(OR(AK131="",BZ131=""),"",AK131/BZ131*100)</f>
        <v/>
      </c>
      <c r="AM131" s="41" t="str">
        <f aca="false">IF(AL131="","",IFERROR(MATCH(AL131,INDEX(Boundaries!$B$2:$I$30,MATCH(CN131,Boundaries!$A$2:$A$30,0),0),1)-1,""))</f>
        <v/>
      </c>
      <c r="AN131" s="42" t="str">
        <f aca="false">IF(OR(AM131="",$E131=""),"",AM131-$E131)</f>
        <v/>
      </c>
      <c r="AO131" s="39" t="n">
        <v>5</v>
      </c>
      <c r="AP131" s="40" t="n">
        <f aca="false">IF(OR(AO131="",CA131=""),"",AO131/CA131*100)</f>
        <v>71.4285714285714</v>
      </c>
      <c r="AQ131" s="41" t="n">
        <f aca="false">IF(AP131="","",IFERROR(MATCH(AP131,INDEX(Boundaries!$B$2:$I$30,MATCH(CO131,Boundaries!$A$2:$A$30,0),0),1)-1,""))</f>
        <v>5</v>
      </c>
      <c r="AR131" s="42" t="n">
        <f aca="false">IF(OR(AQ131="",$E131=""),"",AQ131-$E131)</f>
        <v>-0.4</v>
      </c>
      <c r="AS131" s="39"/>
      <c r="AT131" s="40" t="str">
        <f aca="false">IF(OR(AS131="",CB131=""),"",AS131/CB131*100)</f>
        <v/>
      </c>
      <c r="AU131" s="41" t="str">
        <f aca="false">IF(AT131="","",IFERROR(MATCH(AT131,INDEX(Boundaries!$B$2:$I$30,MATCH(CP131,Boundaries!$A$2:$A$30,0),0),1)-1,""))</f>
        <v/>
      </c>
      <c r="AV131" s="42" t="str">
        <f aca="false">IF(OR(AU131="",$E131=""),"",AU131-$E131)</f>
        <v/>
      </c>
      <c r="AW131" s="39"/>
      <c r="AX131" s="40" t="str">
        <f aca="false">IF(OR(AW131="",CC131=""),"",AW131/CC131*100)</f>
        <v/>
      </c>
      <c r="AY131" s="41" t="str">
        <f aca="false">IF(AX131="","",IFERROR(MATCH(AX131,INDEX(Boundaries!$B$2:$I$30,MATCH(CQ131,Boundaries!$A$2:$A$30,0),0),1)-1,""))</f>
        <v/>
      </c>
      <c r="AZ131" s="42" t="str">
        <f aca="false">IF(OR(AY131="",$E131=""),"",AY131-$E131)</f>
        <v/>
      </c>
      <c r="BA131" s="39"/>
      <c r="BB131" s="40" t="str">
        <f aca="false">IF(OR(BA131="",CD131=""),"",BA131/CD131*100)</f>
        <v/>
      </c>
      <c r="BC131" s="41" t="str">
        <f aca="false">IF(BB131="","",IFERROR(MATCH(BB131,INDEX(Boundaries!$B$2:$I$30,MATCH(CR131,Boundaries!$A$2:$A$30,0),0),1)-1,""))</f>
        <v/>
      </c>
      <c r="BD131" s="42" t="str">
        <f aca="false">IF(OR(BC131="",$E131=""),"",BC131-$E131)</f>
        <v/>
      </c>
      <c r="BE131" s="39"/>
      <c r="BF131" s="40" t="str">
        <f aca="false">IF(OR(BE131="",CE131=""),"",BE131/CE131*100)</f>
        <v/>
      </c>
      <c r="BG131" s="41" t="str">
        <f aca="false">IF(BF131="","",IFERROR(MATCH(BF131,INDEX(Boundaries!$B$2:$I$30,MATCH(CS131,Boundaries!$A$2:$A$30,0),0),1)-1,""))</f>
        <v/>
      </c>
      <c r="BH131" s="42" t="str">
        <f aca="false">IF(OR(BG131="",$E131=""),"",BG131-$E131)</f>
        <v/>
      </c>
      <c r="BI131" s="39"/>
      <c r="BJ131" s="40" t="str">
        <f aca="false">IF(OR(BI131="",CF131=""),"",BI131/CF131*100)</f>
        <v/>
      </c>
      <c r="BK131" s="41" t="str">
        <f aca="false">IF(BJ131="","",IFERROR(MATCH(BJ131,INDEX(Boundaries!$B$2:$I$30,MATCH(CT131,Boundaries!$A$2:$A$30,0),0),1)-1,""))</f>
        <v/>
      </c>
      <c r="BL131" s="42" t="str">
        <f aca="false">IF(OR(BK131="",$E131=""),"",BK131-$E131)</f>
        <v/>
      </c>
      <c r="BM131" s="39"/>
      <c r="BN131" s="40" t="str">
        <f aca="false">IF(OR(BM131="",CG131=""),"",BM131/CG131*100)</f>
        <v/>
      </c>
      <c r="BO131" s="41" t="str">
        <f aca="false">IF(BN131="","",IFERROR(MATCH(BN131,INDEX(Boundaries!$B$2:$I$30,MATCH(CU131,Boundaries!$A$2:$A$30,0),0),1)-1,""))</f>
        <v/>
      </c>
      <c r="BP131" s="42" t="str">
        <f aca="false">IF(OR(BO131="",$E131=""),"",BO131-$E131)</f>
        <v/>
      </c>
      <c r="BQ131" s="39"/>
      <c r="BR131" s="40" t="str">
        <f aca="false">IF(OR(BQ131="",CH131=""),"",BQ131/CH131*100)</f>
        <v/>
      </c>
      <c r="BS131" s="41" t="str">
        <f aca="false">IF(BR131="","",IFERROR(MATCH(BR131,INDEX(Boundaries!$B$2:$I$30,MATCH(CV131,Boundaries!$A$2:$A$30,0),0),1)-1,""))</f>
        <v/>
      </c>
      <c r="BT131" s="42" t="str">
        <f aca="false">IF(OR(BS131="",$E131=""),"",BS131-$E131)</f>
        <v/>
      </c>
      <c r="BU131" s="28" t="n">
        <f aca="false">IFERROR(INDEX(Assessments!$H$2:$H$600,MATCH($H131&amp;"|"&amp;$I131&amp;"|"&amp;$J131&amp;"|"&amp;1,Assessments!$A$2:$A$600,0)),"")</f>
        <v>24</v>
      </c>
      <c r="BV131" s="28" t="n">
        <f aca="false">IFERROR(INDEX(Assessments!$H$2:$H$600,MATCH($H131&amp;"|"&amp;$I131&amp;"|"&amp;$J131&amp;"|"&amp;2,Assessments!$A$2:$A$600,0)),"")</f>
        <v>20</v>
      </c>
      <c r="BW131" s="28" t="n">
        <f aca="false">IFERROR(INDEX(Assessments!$H$2:$H$600,MATCH($H131&amp;"|"&amp;$I131&amp;"|"&amp;$J131&amp;"|"&amp;3,Assessments!$A$2:$A$600,0)),"")</f>
        <v>20</v>
      </c>
      <c r="BX131" s="28" t="n">
        <f aca="false">IFERROR(INDEX(Assessments!$H$2:$H$600,MATCH($H131&amp;"|"&amp;$I131&amp;"|"&amp;$J131&amp;"|"&amp;4,Assessments!$A$2:$A$600,0)),"")</f>
        <v>40</v>
      </c>
      <c r="BY131" s="28" t="n">
        <f aca="false">IFERROR(INDEX(Assessments!$H$2:$H$600,MATCH($H131&amp;"|"&amp;$I131&amp;"|"&amp;$J131&amp;"|"&amp;5,Assessments!$A$2:$A$600,0)),"")</f>
        <v>30</v>
      </c>
      <c r="BZ131" s="28" t="n">
        <f aca="false">IFERROR(INDEX(Assessments!$H$2:$H$600,MATCH($H131&amp;"|"&amp;$I131&amp;"|"&amp;$J131&amp;"|"&amp;6,Assessments!$A$2:$A$600,0)),"")</f>
        <v>20</v>
      </c>
      <c r="CA131" s="28" t="n">
        <f aca="false">IFERROR(INDEX(Assessments!$H$2:$H$600,MATCH($H131&amp;"|"&amp;$I131&amp;"|"&amp;$J131&amp;"|"&amp;7,Assessments!$A$2:$A$600,0)),"")</f>
        <v>7</v>
      </c>
      <c r="CB131" s="28" t="str">
        <f aca="false">IFERROR(INDEX(Assessments!$H$2:$H$600,MATCH($H131&amp;"|"&amp;$I131&amp;"|"&amp;$J131&amp;"|"&amp;8,Assessments!$A$2:$A$600,0)),"")</f>
        <v/>
      </c>
      <c r="CC131" s="28" t="str">
        <f aca="false">IFERROR(INDEX(Assessments!$H$2:$H$600,MATCH($H131&amp;"|"&amp;$I131&amp;"|"&amp;$J131&amp;"|"&amp;9,Assessments!$A$2:$A$600,0)),"")</f>
        <v/>
      </c>
      <c r="CD131" s="28" t="str">
        <f aca="false">IFERROR(INDEX(Assessments!$H$2:$H$600,MATCH($H131&amp;"|"&amp;$I131&amp;"|"&amp;$J131&amp;"|"&amp;10,Assessments!$A$2:$A$600,0)),"")</f>
        <v/>
      </c>
      <c r="CE131" s="28" t="str">
        <f aca="false">IFERROR(INDEX(Assessments!$H$2:$H$600,MATCH($H131&amp;"|"&amp;$I131&amp;"|"&amp;$J131&amp;"|"&amp;11,Assessments!$A$2:$A$600,0)),"")</f>
        <v/>
      </c>
      <c r="CF131" s="28" t="str">
        <f aca="false">IFERROR(INDEX(Assessments!$H$2:$H$600,MATCH($H131&amp;"|"&amp;$I131&amp;"|"&amp;$J131&amp;"|"&amp;12,Assessments!$A$2:$A$600,0)),"")</f>
        <v/>
      </c>
      <c r="CG131" s="28" t="str">
        <f aca="false">IFERROR(INDEX(Assessments!$H$2:$H$600,MATCH($H131&amp;"|"&amp;$I131&amp;"|"&amp;$J131&amp;"|"&amp;13,Assessments!$A$2:$A$600,0)),"")</f>
        <v/>
      </c>
      <c r="CH131" s="28" t="str">
        <f aca="false">IFERROR(INDEX(Assessments!$H$2:$H$600,MATCH($H131&amp;"|"&amp;$I131&amp;"|"&amp;$J131&amp;"|"&amp;14,Assessments!$A$2:$A$600,0)),"")</f>
        <v/>
      </c>
      <c r="CI131" s="28" t="str">
        <f aca="false">IFERROR(INDEX(Assessments!$I$2:$I$600,MATCH($H131&amp;"|"&amp;$I131&amp;"|"&amp;$J131&amp;"|"&amp;1,Assessments!$A$2:$A$600,0)),"")</f>
        <v>BM Test</v>
      </c>
      <c r="CJ131" s="28" t="str">
        <f aca="false">IFERROR(INDEX(Assessments!$I$2:$I$600,MATCH($H131&amp;"|"&amp;$I131&amp;"|"&amp;$J131&amp;"|"&amp;2,Assessments!$A$2:$A$600,0)),"")</f>
        <v>BM Test</v>
      </c>
      <c r="CK131" s="28" t="str">
        <f aca="false">IFERROR(INDEX(Assessments!$I$2:$I$600,MATCH($H131&amp;"|"&amp;$I131&amp;"|"&amp;$J131&amp;"|"&amp;3,Assessments!$A$2:$A$600,0)),"")</f>
        <v>BM Test</v>
      </c>
      <c r="CL131" s="28" t="str">
        <f aca="false">IFERROR(INDEX(Assessments!$I$2:$I$600,MATCH($H131&amp;"|"&amp;$I131&amp;"|"&amp;$J131&amp;"|"&amp;4,Assessments!$A$2:$A$600,0)),"")</f>
        <v>BM Exam</v>
      </c>
      <c r="CM131" s="28" t="str">
        <f aca="false">IFERROR(INDEX(Assessments!$I$2:$I$600,MATCH($H131&amp;"|"&amp;$I131&amp;"|"&amp;$J131&amp;"|"&amp;5,Assessments!$A$2:$A$600,0)),"")</f>
        <v>BM Test</v>
      </c>
      <c r="CN131" s="28" t="str">
        <f aca="false">IFERROR(INDEX(Assessments!$I$2:$I$600,MATCH($H131&amp;"|"&amp;$I131&amp;"|"&amp;$J131&amp;"|"&amp;6,Assessments!$A$2:$A$600,0)),"")</f>
        <v>BM Test</v>
      </c>
      <c r="CO131" s="28" t="str">
        <f aca="false">IFERROR(INDEX(Assessments!$I$2:$I$600,MATCH($H131&amp;"|"&amp;$I131&amp;"|"&amp;$J131&amp;"|"&amp;7,Assessments!$A$2:$A$600,0)),"")</f>
        <v>Grade entered</v>
      </c>
      <c r="CP131" s="28" t="str">
        <f aca="false">IFERROR(INDEX(Assessments!$I$2:$I$600,MATCH($H131&amp;"|"&amp;$I131&amp;"|"&amp;$J131&amp;"|"&amp;8,Assessments!$A$2:$A$600,0)),"")</f>
        <v/>
      </c>
      <c r="CQ131" s="28" t="str">
        <f aca="false">IFERROR(INDEX(Assessments!$I$2:$I$600,MATCH($H131&amp;"|"&amp;$I131&amp;"|"&amp;$J131&amp;"|"&amp;9,Assessments!$A$2:$A$600,0)),"")</f>
        <v/>
      </c>
      <c r="CR131" s="28" t="str">
        <f aca="false">IFERROR(INDEX(Assessments!$I$2:$I$600,MATCH($H131&amp;"|"&amp;$I131&amp;"|"&amp;$J131&amp;"|"&amp;10,Assessments!$A$2:$A$600,0)),"")</f>
        <v/>
      </c>
      <c r="CS131" s="28" t="str">
        <f aca="false">IFERROR(INDEX(Assessments!$I$2:$I$600,MATCH($H131&amp;"|"&amp;$I131&amp;"|"&amp;$J131&amp;"|"&amp;11,Assessments!$A$2:$A$600,0)),"")</f>
        <v/>
      </c>
      <c r="CT131" s="28" t="str">
        <f aca="false">IFERROR(INDEX(Assessments!$I$2:$I$600,MATCH($H131&amp;"|"&amp;$I131&amp;"|"&amp;$J131&amp;"|"&amp;12,Assessments!$A$2:$A$600,0)),"")</f>
        <v/>
      </c>
      <c r="CU131" s="28" t="str">
        <f aca="false">IFERROR(INDEX(Assessments!$I$2:$I$600,MATCH($H131&amp;"|"&amp;$I131&amp;"|"&amp;$J131&amp;"|"&amp;13,Assessments!$A$2:$A$600,0)),"")</f>
        <v/>
      </c>
      <c r="CV131" s="28" t="str">
        <f aca="false">IFERROR(INDEX(Assessments!$I$2:$I$600,MATCH($H131&amp;"|"&amp;$I131&amp;"|"&amp;$J131&amp;"|"&amp;14,Assessments!$A$2:$A$600,0)),"")</f>
        <v/>
      </c>
      <c r="CW131" s="28" t="n">
        <f aca="false">IFERROR(INDEX(Assessments!$J$2:$J$600,MATCH($H131&amp;"|"&amp;$I131&amp;"|"&amp;$J131&amp;"|"&amp;1,Assessments!$A$2:$A$600,0)),0)</f>
        <v>1</v>
      </c>
      <c r="CX131" s="28" t="n">
        <f aca="false">IFERROR(INDEX(Assessments!$J$2:$J$600,MATCH($H131&amp;"|"&amp;$I131&amp;"|"&amp;$J131&amp;"|"&amp;2,Assessments!$A$2:$A$600,0)),0)</f>
        <v>1</v>
      </c>
      <c r="CY131" s="28" t="n">
        <f aca="false">IFERROR(INDEX(Assessments!$J$2:$J$600,MATCH($H131&amp;"|"&amp;$I131&amp;"|"&amp;$J131&amp;"|"&amp;3,Assessments!$A$2:$A$600,0)),0)</f>
        <v>1</v>
      </c>
      <c r="CZ131" s="28" t="n">
        <f aca="false">IFERROR(INDEX(Assessments!$J$2:$J$600,MATCH($H131&amp;"|"&amp;$I131&amp;"|"&amp;$J131&amp;"|"&amp;4,Assessments!$A$2:$A$600,0)),0)</f>
        <v>2</v>
      </c>
      <c r="DA131" s="28" t="n">
        <f aca="false">IFERROR(INDEX(Assessments!$J$2:$J$600,MATCH($H131&amp;"|"&amp;$I131&amp;"|"&amp;$J131&amp;"|"&amp;5,Assessments!$A$2:$A$600,0)),0)</f>
        <v>1</v>
      </c>
      <c r="DB131" s="28" t="n">
        <f aca="false">IFERROR(INDEX(Assessments!$J$2:$J$600,MATCH($H131&amp;"|"&amp;$I131&amp;"|"&amp;$J131&amp;"|"&amp;6,Assessments!$A$2:$A$600,0)),0)</f>
        <v>1</v>
      </c>
      <c r="DC131" s="28" t="n">
        <f aca="false">IFERROR(INDEX(Assessments!$J$2:$J$600,MATCH($H131&amp;"|"&amp;$I131&amp;"|"&amp;$J131&amp;"|"&amp;7,Assessments!$A$2:$A$600,0)),0)</f>
        <v>2</v>
      </c>
      <c r="DD131" s="28" t="n">
        <f aca="false">IFERROR(INDEX(Assessments!$J$2:$J$600,MATCH($H131&amp;"|"&amp;$I131&amp;"|"&amp;$J131&amp;"|"&amp;8,Assessments!$A$2:$A$600,0)),0)</f>
        <v>0</v>
      </c>
      <c r="DE131" s="28" t="n">
        <f aca="false">IFERROR(INDEX(Assessments!$J$2:$J$600,MATCH($H131&amp;"|"&amp;$I131&amp;"|"&amp;$J131&amp;"|"&amp;9,Assessments!$A$2:$A$600,0)),0)</f>
        <v>0</v>
      </c>
      <c r="DF131" s="28" t="n">
        <f aca="false">IFERROR(INDEX(Assessments!$J$2:$J$600,MATCH($H131&amp;"|"&amp;$I131&amp;"|"&amp;$J131&amp;"|"&amp;10,Assessments!$A$2:$A$600,0)),0)</f>
        <v>0</v>
      </c>
      <c r="DG131" s="28" t="n">
        <f aca="false">IFERROR(INDEX(Assessments!$J$2:$J$600,MATCH($H131&amp;"|"&amp;$I131&amp;"|"&amp;$J131&amp;"|"&amp;11,Assessments!$A$2:$A$600,0)),0)</f>
        <v>0</v>
      </c>
      <c r="DH131" s="28" t="n">
        <f aca="false">IFERROR(INDEX(Assessments!$J$2:$J$600,MATCH($H131&amp;"|"&amp;$I131&amp;"|"&amp;$J131&amp;"|"&amp;12,Assessments!$A$2:$A$600,0)),0)</f>
        <v>0</v>
      </c>
      <c r="DI131" s="28" t="n">
        <f aca="false">IFERROR(INDEX(Assessments!$J$2:$J$600,MATCH($H131&amp;"|"&amp;$I131&amp;"|"&amp;$J131&amp;"|"&amp;13,Assessments!$A$2:$A$600,0)),0)</f>
        <v>0</v>
      </c>
      <c r="DJ131" s="28" t="n">
        <f aca="false">IFERROR(INDEX(Assessments!$J$2:$J$600,MATCH($H131&amp;"|"&amp;$I131&amp;"|"&amp;$J131&amp;"|"&amp;14,Assessments!$A$2:$A$600,0)),0)</f>
        <v>0</v>
      </c>
      <c r="DK131" s="28" t="n">
        <f aca="false">S131</f>
        <v>6</v>
      </c>
      <c r="DL131" s="28" t="n">
        <f aca="false">W131</f>
        <v>5</v>
      </c>
      <c r="DM131" s="28" t="n">
        <f aca="false">AA131</f>
        <v>6</v>
      </c>
      <c r="DN131" s="28" t="n">
        <f aca="false">AE131</f>
        <v>4</v>
      </c>
      <c r="DO131" s="28" t="str">
        <f aca="false">AI131</f>
        <v/>
      </c>
      <c r="DP131" s="28" t="str">
        <f aca="false">AM131</f>
        <v/>
      </c>
      <c r="DQ131" s="28" t="n">
        <f aca="false">AQ131</f>
        <v>5</v>
      </c>
      <c r="DR131" s="28" t="str">
        <f aca="false">AU131</f>
        <v/>
      </c>
      <c r="DS131" s="28" t="str">
        <f aca="false">AY131</f>
        <v/>
      </c>
      <c r="DT131" s="28" t="str">
        <f aca="false">BC131</f>
        <v/>
      </c>
      <c r="DU131" s="28" t="str">
        <f aca="false">BG131</f>
        <v/>
      </c>
      <c r="DV131" s="28" t="str">
        <f aca="false">BK131</f>
        <v/>
      </c>
      <c r="DW131" s="28" t="str">
        <f aca="false">BO131</f>
        <v/>
      </c>
      <c r="DX131" s="28" t="str">
        <f aca="false">BS131</f>
        <v/>
      </c>
      <c r="DY131" s="28" t="n">
        <f aca="false">IF(ISNUMBER(S131),1,"")</f>
        <v>1</v>
      </c>
      <c r="DZ131" s="28" t="n">
        <f aca="false">IF(ISNUMBER(W131),2,"")</f>
        <v>2</v>
      </c>
      <c r="EA131" s="28" t="n">
        <f aca="false">IF(ISNUMBER(AA131),3,"")</f>
        <v>3</v>
      </c>
      <c r="EB131" s="28" t="n">
        <f aca="false">IF(ISNUMBER(AE131),4,"")</f>
        <v>4</v>
      </c>
      <c r="EC131" s="28" t="str">
        <f aca="false">IF(ISNUMBER(AI131),5,"")</f>
        <v/>
      </c>
      <c r="ED131" s="28" t="str">
        <f aca="false">IF(ISNUMBER(AM131),6,"")</f>
        <v/>
      </c>
      <c r="EE131" s="28" t="n">
        <f aca="false">IF(ISNUMBER(AQ131),7,"")</f>
        <v>7</v>
      </c>
      <c r="EF131" s="28" t="str">
        <f aca="false">IF(ISNUMBER(AU131),8,"")</f>
        <v/>
      </c>
      <c r="EG131" s="28" t="str">
        <f aca="false">IF(ISNUMBER(AY131),9,"")</f>
        <v/>
      </c>
      <c r="EH131" s="28" t="str">
        <f aca="false">IF(ISNUMBER(BC131),10,"")</f>
        <v/>
      </c>
      <c r="EI131" s="28" t="str">
        <f aca="false">IF(ISNUMBER(BG131),11,"")</f>
        <v/>
      </c>
      <c r="EJ131" s="28" t="str">
        <f aca="false">IF(ISNUMBER(BK131),12,"")</f>
        <v/>
      </c>
      <c r="EK131" s="28" t="str">
        <f aca="false">IF(ISNUMBER(BO131),13,"")</f>
        <v/>
      </c>
      <c r="EL131" s="28" t="str">
        <f aca="false">IF(ISNUMBER(BS131),14,"")</f>
        <v/>
      </c>
      <c r="EM131" s="28" t="n">
        <f aca="false">IF(ISNUMBER(R131),R131*CW131,0)</f>
        <v>70.8333333333333</v>
      </c>
      <c r="EN131" s="28" t="n">
        <f aca="false">IF(ISNUMBER(V131),V131*CX131,0)</f>
        <v>50</v>
      </c>
      <c r="EO131" s="28" t="n">
        <f aca="false">IF(ISNUMBER(Z131),Z131*CY131,0)</f>
        <v>65</v>
      </c>
      <c r="EP131" s="28" t="n">
        <f aca="false">IF(ISNUMBER(AD131),AD131*CZ131,0)</f>
        <v>70</v>
      </c>
      <c r="EQ131" s="28" t="n">
        <f aca="false">IF(ISNUMBER(AH131),AH131*DA131,0)</f>
        <v>0</v>
      </c>
      <c r="ER131" s="28" t="n">
        <f aca="false">IF(ISNUMBER(AL131),AL131*DB131,0)</f>
        <v>0</v>
      </c>
      <c r="ES131" s="28" t="n">
        <f aca="false">IF(ISNUMBER(AP131),AP131*DC131,0)</f>
        <v>142.857142857143</v>
      </c>
      <c r="ET131" s="28" t="n">
        <f aca="false">IF(ISNUMBER(AT131),AT131*DD131,0)</f>
        <v>0</v>
      </c>
      <c r="EU131" s="28" t="n">
        <f aca="false">IF(ISNUMBER(AX131),AX131*DE131,0)</f>
        <v>0</v>
      </c>
      <c r="EV131" s="28" t="n">
        <f aca="false">IF(ISNUMBER(BB131),BB131*DF131,0)</f>
        <v>0</v>
      </c>
      <c r="EW131" s="28" t="n">
        <f aca="false">IF(ISNUMBER(BF131),BF131*DG131,0)</f>
        <v>0</v>
      </c>
      <c r="EX131" s="28" t="n">
        <f aca="false">IF(ISNUMBER(BJ131),BJ131*DH131,0)</f>
        <v>0</v>
      </c>
      <c r="EY131" s="28" t="n">
        <f aca="false">IF(ISNUMBER(BN131),BN131*DI131,0)</f>
        <v>0</v>
      </c>
      <c r="EZ131" s="28" t="n">
        <f aca="false">IF(ISNUMBER(BR131),BR131*DJ131,0)</f>
        <v>0</v>
      </c>
      <c r="FA131" s="28" t="n">
        <f aca="false">IF(ISNUMBER(R131),CW131,0)</f>
        <v>1</v>
      </c>
      <c r="FB131" s="28" t="n">
        <f aca="false">IF(ISNUMBER(V131),CX131,0)</f>
        <v>1</v>
      </c>
      <c r="FC131" s="28" t="n">
        <f aca="false">IF(ISNUMBER(Z131),CY131,0)</f>
        <v>1</v>
      </c>
      <c r="FD131" s="28" t="n">
        <f aca="false">IF(ISNUMBER(AD131),CZ131,0)</f>
        <v>2</v>
      </c>
      <c r="FE131" s="28" t="n">
        <f aca="false">IF(ISNUMBER(AH131),DA131,0)</f>
        <v>0</v>
      </c>
      <c r="FF131" s="28" t="n">
        <f aca="false">IF(ISNUMBER(AL131),DB131,0)</f>
        <v>0</v>
      </c>
      <c r="FG131" s="28" t="n">
        <f aca="false">IF(ISNUMBER(AP131),DC131,0)</f>
        <v>2</v>
      </c>
      <c r="FH131" s="28" t="n">
        <f aca="false">IF(ISNUMBER(AT131),DD131,0)</f>
        <v>0</v>
      </c>
      <c r="FI131" s="28" t="n">
        <f aca="false">IF(ISNUMBER(AX131),DE131,0)</f>
        <v>0</v>
      </c>
      <c r="FJ131" s="28" t="n">
        <f aca="false">IF(ISNUMBER(BB131),DF131,0)</f>
        <v>0</v>
      </c>
      <c r="FK131" s="28" t="n">
        <f aca="false">IF(ISNUMBER(BF131),DG131,0)</f>
        <v>0</v>
      </c>
      <c r="FL131" s="28" t="n">
        <f aca="false">IF(ISNUMBER(BJ131),DH131,0)</f>
        <v>0</v>
      </c>
      <c r="FM131" s="28" t="n">
        <f aca="false">IF(ISNUMBER(BN131),DI131,0)</f>
        <v>0</v>
      </c>
      <c r="FN131" s="28" t="n">
        <f aca="false">IF(ISNUMBER(BR131),DJ131,0)</f>
        <v>0</v>
      </c>
      <c r="FO131" s="28" t="str">
        <f aca="false">IFERROR(INDEX(Lists!$G$2:$G$20,MATCH($I131&amp;"|"&amp;$J131,Lists!$F$2:$F$20,0)),"")</f>
        <v>BM Exam</v>
      </c>
    </row>
    <row r="132" customFormat="false" ht="19.5" hidden="false" customHeight="true" outlineLevel="0" collapsed="false">
      <c r="A132" s="29" t="s">
        <v>374</v>
      </c>
      <c r="B132" s="29" t="s">
        <v>375</v>
      </c>
      <c r="C132" s="30" t="s">
        <v>152</v>
      </c>
      <c r="D132" s="30" t="s">
        <v>364</v>
      </c>
      <c r="E132" s="31" t="n">
        <v>5.7</v>
      </c>
      <c r="F132" s="30" t="n">
        <v>6</v>
      </c>
      <c r="G132" s="30"/>
      <c r="H132" s="32" t="s">
        <v>23</v>
      </c>
      <c r="I132" s="33" t="s">
        <v>365</v>
      </c>
      <c r="J132" s="32" t="s">
        <v>25</v>
      </c>
      <c r="K132" s="34" t="n">
        <f aca="false">IF(OR(M132="",$E132=""),"",M132-$E132)</f>
        <v>0.3</v>
      </c>
      <c r="L132" s="35" t="n">
        <f aca="false">IF(SUM(FA132:FN132)=0,"",SUM(EM132:EZ132)/SUM(FA132:FN132))</f>
        <v>69.1326530612245</v>
      </c>
      <c r="M132" s="36" t="n">
        <f aca="false">IF(OR(L132="",FO132=""),"",IFERROR(MATCH(L132,INDEX(Boundaries!$B$2:$I$30,MATCH(FO132,Boundaries!$A$2:$A$30,0),0),1)-1,""))</f>
        <v>6</v>
      </c>
      <c r="N132" s="37" t="n">
        <f aca="false">IF(COUNT($DY132:$EL132)&lt;2,"",INDEX($DK132:$DX132,MAX($DY132:$EL132))-INDEX($DK132:$DX132,MIN($DY132:$EL132)))</f>
        <v>1</v>
      </c>
      <c r="O132" s="37" t="n">
        <f aca="false">IF(COUNT($DY132:$EL132)&lt;2,"",INDEX($DK132:$DX132,MAX($DY132:$EL132))-INDEX($DK132:$DX132,LARGE($DY132:$EL132,2)))</f>
        <v>0</v>
      </c>
      <c r="P132" s="38" t="str">
        <f aca="false">IF(K132="","",IF(K132&gt;=0,"On/above target",IF(AND(N132&lt;&gt;"",N132&gt;=0.5),"Improving towards target",IF(AND(O132&lt;&gt;"",O132&lt;=-0.5),"Declining","Stable below target"))))</f>
        <v>On/above target</v>
      </c>
      <c r="Q132" s="39" t="n">
        <v>15</v>
      </c>
      <c r="R132" s="40" t="n">
        <f aca="false">IF(OR(Q132="",BU132=""),"",Q132/BU132*100)</f>
        <v>62.5</v>
      </c>
      <c r="S132" s="41" t="n">
        <f aca="false">IF(R132="","",IFERROR(MATCH(R132,INDEX(Boundaries!$B$2:$I$30,MATCH(CI132,Boundaries!$A$2:$A$30,0),0),1)-1,""))</f>
        <v>5</v>
      </c>
      <c r="T132" s="42" t="n">
        <f aca="false">IF(OR(S132="",$E132=""),"",S132-$E132)</f>
        <v>-0.7</v>
      </c>
      <c r="U132" s="39" t="n">
        <v>11</v>
      </c>
      <c r="V132" s="40" t="n">
        <f aca="false">IF(OR(U132="",BV132=""),"",U132/BV132*100)</f>
        <v>55</v>
      </c>
      <c r="W132" s="41" t="n">
        <f aca="false">IF(V132="","",IFERROR(MATCH(V132,INDEX(Boundaries!$B$2:$I$30,MATCH(CJ132,Boundaries!$A$2:$A$30,0),0),1)-1,""))</f>
        <v>5</v>
      </c>
      <c r="X132" s="42" t="n">
        <f aca="false">IF(OR(W132="",$E132=""),"",W132-$E132)</f>
        <v>-0.7</v>
      </c>
      <c r="Y132" s="39" t="n">
        <v>12</v>
      </c>
      <c r="Z132" s="40" t="n">
        <f aca="false">IF(OR(Y132="",BW132=""),"",Y132/BW132*100)</f>
        <v>60</v>
      </c>
      <c r="AA132" s="41" t="n">
        <f aca="false">IF(Z132="","",IFERROR(MATCH(Z132,INDEX(Boundaries!$B$2:$I$30,MATCH(CK132,Boundaries!$A$2:$A$30,0),0),1)-1,""))</f>
        <v>5</v>
      </c>
      <c r="AB132" s="42" t="n">
        <f aca="false">IF(OR(AA132="",$E132=""),"",AA132-$E132)</f>
        <v>-0.7</v>
      </c>
      <c r="AC132" s="39" t="n">
        <v>27</v>
      </c>
      <c r="AD132" s="40" t="n">
        <f aca="false">IF(OR(AC132="",BX132=""),"",AC132/BX132*100)</f>
        <v>67.5</v>
      </c>
      <c r="AE132" s="41" t="n">
        <f aca="false">IF(AD132="","",IFERROR(MATCH(AD132,INDEX(Boundaries!$B$2:$I$30,MATCH(CL132,Boundaries!$A$2:$A$30,0),0),1)-1,""))</f>
        <v>6</v>
      </c>
      <c r="AF132" s="42" t="n">
        <f aca="false">IF(OR(AE132="",$E132=""),"",AE132-$E132)</f>
        <v>0.3</v>
      </c>
      <c r="AG132" s="39"/>
      <c r="AH132" s="40" t="str">
        <f aca="false">IF(OR(AG132="",BY132=""),"",AG132/BY132*100)</f>
        <v/>
      </c>
      <c r="AI132" s="41" t="str">
        <f aca="false">IF(AH132="","",IFERROR(MATCH(AH132,INDEX(Boundaries!$B$2:$I$30,MATCH(CM132,Boundaries!$A$2:$A$30,0),0),1)-1,""))</f>
        <v/>
      </c>
      <c r="AJ132" s="42" t="str">
        <f aca="false">IF(OR(AI132="",$E132=""),"",AI132-$E132)</f>
        <v/>
      </c>
      <c r="AK132" s="39"/>
      <c r="AL132" s="40" t="str">
        <f aca="false">IF(OR(AK132="",BZ132=""),"",AK132/BZ132*100)</f>
        <v/>
      </c>
      <c r="AM132" s="41" t="str">
        <f aca="false">IF(AL132="","",IFERROR(MATCH(AL132,INDEX(Boundaries!$B$2:$I$30,MATCH(CN132,Boundaries!$A$2:$A$30,0),0),1)-1,""))</f>
        <v/>
      </c>
      <c r="AN132" s="42" t="str">
        <f aca="false">IF(OR(AM132="",$E132=""),"",AM132-$E132)</f>
        <v/>
      </c>
      <c r="AO132" s="39" t="n">
        <v>6</v>
      </c>
      <c r="AP132" s="40" t="n">
        <f aca="false">IF(OR(AO132="",CA132=""),"",AO132/CA132*100)</f>
        <v>85.7142857142857</v>
      </c>
      <c r="AQ132" s="41" t="n">
        <f aca="false">IF(AP132="","",IFERROR(MATCH(AP132,INDEX(Boundaries!$B$2:$I$30,MATCH(CO132,Boundaries!$A$2:$A$30,0),0),1)-1,""))</f>
        <v>6</v>
      </c>
      <c r="AR132" s="42" t="n">
        <f aca="false">IF(OR(AQ132="",$E132=""),"",AQ132-$E132)</f>
        <v>0.3</v>
      </c>
      <c r="AS132" s="39"/>
      <c r="AT132" s="40" t="str">
        <f aca="false">IF(OR(AS132="",CB132=""),"",AS132/CB132*100)</f>
        <v/>
      </c>
      <c r="AU132" s="41" t="str">
        <f aca="false">IF(AT132="","",IFERROR(MATCH(AT132,INDEX(Boundaries!$B$2:$I$30,MATCH(CP132,Boundaries!$A$2:$A$30,0),0),1)-1,""))</f>
        <v/>
      </c>
      <c r="AV132" s="42" t="str">
        <f aca="false">IF(OR(AU132="",$E132=""),"",AU132-$E132)</f>
        <v/>
      </c>
      <c r="AW132" s="39"/>
      <c r="AX132" s="40" t="str">
        <f aca="false">IF(OR(AW132="",CC132=""),"",AW132/CC132*100)</f>
        <v/>
      </c>
      <c r="AY132" s="41" t="str">
        <f aca="false">IF(AX132="","",IFERROR(MATCH(AX132,INDEX(Boundaries!$B$2:$I$30,MATCH(CQ132,Boundaries!$A$2:$A$30,0),0),1)-1,""))</f>
        <v/>
      </c>
      <c r="AZ132" s="42" t="str">
        <f aca="false">IF(OR(AY132="",$E132=""),"",AY132-$E132)</f>
        <v/>
      </c>
      <c r="BA132" s="39"/>
      <c r="BB132" s="40" t="str">
        <f aca="false">IF(OR(BA132="",CD132=""),"",BA132/CD132*100)</f>
        <v/>
      </c>
      <c r="BC132" s="41" t="str">
        <f aca="false">IF(BB132="","",IFERROR(MATCH(BB132,INDEX(Boundaries!$B$2:$I$30,MATCH(CR132,Boundaries!$A$2:$A$30,0),0),1)-1,""))</f>
        <v/>
      </c>
      <c r="BD132" s="42" t="str">
        <f aca="false">IF(OR(BC132="",$E132=""),"",BC132-$E132)</f>
        <v/>
      </c>
      <c r="BE132" s="39"/>
      <c r="BF132" s="40" t="str">
        <f aca="false">IF(OR(BE132="",CE132=""),"",BE132/CE132*100)</f>
        <v/>
      </c>
      <c r="BG132" s="41" t="str">
        <f aca="false">IF(BF132="","",IFERROR(MATCH(BF132,INDEX(Boundaries!$B$2:$I$30,MATCH(CS132,Boundaries!$A$2:$A$30,0),0),1)-1,""))</f>
        <v/>
      </c>
      <c r="BH132" s="42" t="str">
        <f aca="false">IF(OR(BG132="",$E132=""),"",BG132-$E132)</f>
        <v/>
      </c>
      <c r="BI132" s="39"/>
      <c r="BJ132" s="40" t="str">
        <f aca="false">IF(OR(BI132="",CF132=""),"",BI132/CF132*100)</f>
        <v/>
      </c>
      <c r="BK132" s="41" t="str">
        <f aca="false">IF(BJ132="","",IFERROR(MATCH(BJ132,INDEX(Boundaries!$B$2:$I$30,MATCH(CT132,Boundaries!$A$2:$A$30,0),0),1)-1,""))</f>
        <v/>
      </c>
      <c r="BL132" s="42" t="str">
        <f aca="false">IF(OR(BK132="",$E132=""),"",BK132-$E132)</f>
        <v/>
      </c>
      <c r="BM132" s="39"/>
      <c r="BN132" s="40" t="str">
        <f aca="false">IF(OR(BM132="",CG132=""),"",BM132/CG132*100)</f>
        <v/>
      </c>
      <c r="BO132" s="41" t="str">
        <f aca="false">IF(BN132="","",IFERROR(MATCH(BN132,INDEX(Boundaries!$B$2:$I$30,MATCH(CU132,Boundaries!$A$2:$A$30,0),0),1)-1,""))</f>
        <v/>
      </c>
      <c r="BP132" s="42" t="str">
        <f aca="false">IF(OR(BO132="",$E132=""),"",BO132-$E132)</f>
        <v/>
      </c>
      <c r="BQ132" s="39"/>
      <c r="BR132" s="40" t="str">
        <f aca="false">IF(OR(BQ132="",CH132=""),"",BQ132/CH132*100)</f>
        <v/>
      </c>
      <c r="BS132" s="41" t="str">
        <f aca="false">IF(BR132="","",IFERROR(MATCH(BR132,INDEX(Boundaries!$B$2:$I$30,MATCH(CV132,Boundaries!$A$2:$A$30,0),0),1)-1,""))</f>
        <v/>
      </c>
      <c r="BT132" s="42" t="str">
        <f aca="false">IF(OR(BS132="",$E132=""),"",BS132-$E132)</f>
        <v/>
      </c>
      <c r="BU132" s="28" t="n">
        <f aca="false">IFERROR(INDEX(Assessments!$H$2:$H$600,MATCH($H132&amp;"|"&amp;$I132&amp;"|"&amp;$J132&amp;"|"&amp;1,Assessments!$A$2:$A$600,0)),"")</f>
        <v>24</v>
      </c>
      <c r="BV132" s="28" t="n">
        <f aca="false">IFERROR(INDEX(Assessments!$H$2:$H$600,MATCH($H132&amp;"|"&amp;$I132&amp;"|"&amp;$J132&amp;"|"&amp;2,Assessments!$A$2:$A$600,0)),"")</f>
        <v>20</v>
      </c>
      <c r="BW132" s="28" t="n">
        <f aca="false">IFERROR(INDEX(Assessments!$H$2:$H$600,MATCH($H132&amp;"|"&amp;$I132&amp;"|"&amp;$J132&amp;"|"&amp;3,Assessments!$A$2:$A$600,0)),"")</f>
        <v>20</v>
      </c>
      <c r="BX132" s="28" t="n">
        <f aca="false">IFERROR(INDEX(Assessments!$H$2:$H$600,MATCH($H132&amp;"|"&amp;$I132&amp;"|"&amp;$J132&amp;"|"&amp;4,Assessments!$A$2:$A$600,0)),"")</f>
        <v>40</v>
      </c>
      <c r="BY132" s="28" t="n">
        <f aca="false">IFERROR(INDEX(Assessments!$H$2:$H$600,MATCH($H132&amp;"|"&amp;$I132&amp;"|"&amp;$J132&amp;"|"&amp;5,Assessments!$A$2:$A$600,0)),"")</f>
        <v>30</v>
      </c>
      <c r="BZ132" s="28" t="n">
        <f aca="false">IFERROR(INDEX(Assessments!$H$2:$H$600,MATCH($H132&amp;"|"&amp;$I132&amp;"|"&amp;$J132&amp;"|"&amp;6,Assessments!$A$2:$A$600,0)),"")</f>
        <v>20</v>
      </c>
      <c r="CA132" s="28" t="n">
        <f aca="false">IFERROR(INDEX(Assessments!$H$2:$H$600,MATCH($H132&amp;"|"&amp;$I132&amp;"|"&amp;$J132&amp;"|"&amp;7,Assessments!$A$2:$A$600,0)),"")</f>
        <v>7</v>
      </c>
      <c r="CB132" s="28" t="str">
        <f aca="false">IFERROR(INDEX(Assessments!$H$2:$H$600,MATCH($H132&amp;"|"&amp;$I132&amp;"|"&amp;$J132&amp;"|"&amp;8,Assessments!$A$2:$A$600,0)),"")</f>
        <v/>
      </c>
      <c r="CC132" s="28" t="str">
        <f aca="false">IFERROR(INDEX(Assessments!$H$2:$H$600,MATCH($H132&amp;"|"&amp;$I132&amp;"|"&amp;$J132&amp;"|"&amp;9,Assessments!$A$2:$A$600,0)),"")</f>
        <v/>
      </c>
      <c r="CD132" s="28" t="str">
        <f aca="false">IFERROR(INDEX(Assessments!$H$2:$H$600,MATCH($H132&amp;"|"&amp;$I132&amp;"|"&amp;$J132&amp;"|"&amp;10,Assessments!$A$2:$A$600,0)),"")</f>
        <v/>
      </c>
      <c r="CE132" s="28" t="str">
        <f aca="false">IFERROR(INDEX(Assessments!$H$2:$H$600,MATCH($H132&amp;"|"&amp;$I132&amp;"|"&amp;$J132&amp;"|"&amp;11,Assessments!$A$2:$A$600,0)),"")</f>
        <v/>
      </c>
      <c r="CF132" s="28" t="str">
        <f aca="false">IFERROR(INDEX(Assessments!$H$2:$H$600,MATCH($H132&amp;"|"&amp;$I132&amp;"|"&amp;$J132&amp;"|"&amp;12,Assessments!$A$2:$A$600,0)),"")</f>
        <v/>
      </c>
      <c r="CG132" s="28" t="str">
        <f aca="false">IFERROR(INDEX(Assessments!$H$2:$H$600,MATCH($H132&amp;"|"&amp;$I132&amp;"|"&amp;$J132&amp;"|"&amp;13,Assessments!$A$2:$A$600,0)),"")</f>
        <v/>
      </c>
      <c r="CH132" s="28" t="str">
        <f aca="false">IFERROR(INDEX(Assessments!$H$2:$H$600,MATCH($H132&amp;"|"&amp;$I132&amp;"|"&amp;$J132&amp;"|"&amp;14,Assessments!$A$2:$A$600,0)),"")</f>
        <v/>
      </c>
      <c r="CI132" s="28" t="str">
        <f aca="false">IFERROR(INDEX(Assessments!$I$2:$I$600,MATCH($H132&amp;"|"&amp;$I132&amp;"|"&amp;$J132&amp;"|"&amp;1,Assessments!$A$2:$A$600,0)),"")</f>
        <v>BM Test</v>
      </c>
      <c r="CJ132" s="28" t="str">
        <f aca="false">IFERROR(INDEX(Assessments!$I$2:$I$600,MATCH($H132&amp;"|"&amp;$I132&amp;"|"&amp;$J132&amp;"|"&amp;2,Assessments!$A$2:$A$600,0)),"")</f>
        <v>BM Test</v>
      </c>
      <c r="CK132" s="28" t="str">
        <f aca="false">IFERROR(INDEX(Assessments!$I$2:$I$600,MATCH($H132&amp;"|"&amp;$I132&amp;"|"&amp;$J132&amp;"|"&amp;3,Assessments!$A$2:$A$600,0)),"")</f>
        <v>BM Test</v>
      </c>
      <c r="CL132" s="28" t="str">
        <f aca="false">IFERROR(INDEX(Assessments!$I$2:$I$600,MATCH($H132&amp;"|"&amp;$I132&amp;"|"&amp;$J132&amp;"|"&amp;4,Assessments!$A$2:$A$600,0)),"")</f>
        <v>BM Exam</v>
      </c>
      <c r="CM132" s="28" t="str">
        <f aca="false">IFERROR(INDEX(Assessments!$I$2:$I$600,MATCH($H132&amp;"|"&amp;$I132&amp;"|"&amp;$J132&amp;"|"&amp;5,Assessments!$A$2:$A$600,0)),"")</f>
        <v>BM Test</v>
      </c>
      <c r="CN132" s="28" t="str">
        <f aca="false">IFERROR(INDEX(Assessments!$I$2:$I$600,MATCH($H132&amp;"|"&amp;$I132&amp;"|"&amp;$J132&amp;"|"&amp;6,Assessments!$A$2:$A$600,0)),"")</f>
        <v>BM Test</v>
      </c>
      <c r="CO132" s="28" t="str">
        <f aca="false">IFERROR(INDEX(Assessments!$I$2:$I$600,MATCH($H132&amp;"|"&amp;$I132&amp;"|"&amp;$J132&amp;"|"&amp;7,Assessments!$A$2:$A$600,0)),"")</f>
        <v>Grade entered</v>
      </c>
      <c r="CP132" s="28" t="str">
        <f aca="false">IFERROR(INDEX(Assessments!$I$2:$I$600,MATCH($H132&amp;"|"&amp;$I132&amp;"|"&amp;$J132&amp;"|"&amp;8,Assessments!$A$2:$A$600,0)),"")</f>
        <v/>
      </c>
      <c r="CQ132" s="28" t="str">
        <f aca="false">IFERROR(INDEX(Assessments!$I$2:$I$600,MATCH($H132&amp;"|"&amp;$I132&amp;"|"&amp;$J132&amp;"|"&amp;9,Assessments!$A$2:$A$600,0)),"")</f>
        <v/>
      </c>
      <c r="CR132" s="28" t="str">
        <f aca="false">IFERROR(INDEX(Assessments!$I$2:$I$600,MATCH($H132&amp;"|"&amp;$I132&amp;"|"&amp;$J132&amp;"|"&amp;10,Assessments!$A$2:$A$600,0)),"")</f>
        <v/>
      </c>
      <c r="CS132" s="28" t="str">
        <f aca="false">IFERROR(INDEX(Assessments!$I$2:$I$600,MATCH($H132&amp;"|"&amp;$I132&amp;"|"&amp;$J132&amp;"|"&amp;11,Assessments!$A$2:$A$600,0)),"")</f>
        <v/>
      </c>
      <c r="CT132" s="28" t="str">
        <f aca="false">IFERROR(INDEX(Assessments!$I$2:$I$600,MATCH($H132&amp;"|"&amp;$I132&amp;"|"&amp;$J132&amp;"|"&amp;12,Assessments!$A$2:$A$600,0)),"")</f>
        <v/>
      </c>
      <c r="CU132" s="28" t="str">
        <f aca="false">IFERROR(INDEX(Assessments!$I$2:$I$600,MATCH($H132&amp;"|"&amp;$I132&amp;"|"&amp;$J132&amp;"|"&amp;13,Assessments!$A$2:$A$600,0)),"")</f>
        <v/>
      </c>
      <c r="CV132" s="28" t="str">
        <f aca="false">IFERROR(INDEX(Assessments!$I$2:$I$600,MATCH($H132&amp;"|"&amp;$I132&amp;"|"&amp;$J132&amp;"|"&amp;14,Assessments!$A$2:$A$600,0)),"")</f>
        <v/>
      </c>
      <c r="CW132" s="28" t="n">
        <f aca="false">IFERROR(INDEX(Assessments!$J$2:$J$600,MATCH($H132&amp;"|"&amp;$I132&amp;"|"&amp;$J132&amp;"|"&amp;1,Assessments!$A$2:$A$600,0)),0)</f>
        <v>1</v>
      </c>
      <c r="CX132" s="28" t="n">
        <f aca="false">IFERROR(INDEX(Assessments!$J$2:$J$600,MATCH($H132&amp;"|"&amp;$I132&amp;"|"&amp;$J132&amp;"|"&amp;2,Assessments!$A$2:$A$600,0)),0)</f>
        <v>1</v>
      </c>
      <c r="CY132" s="28" t="n">
        <f aca="false">IFERROR(INDEX(Assessments!$J$2:$J$600,MATCH($H132&amp;"|"&amp;$I132&amp;"|"&amp;$J132&amp;"|"&amp;3,Assessments!$A$2:$A$600,0)),0)</f>
        <v>1</v>
      </c>
      <c r="CZ132" s="28" t="n">
        <f aca="false">IFERROR(INDEX(Assessments!$J$2:$J$600,MATCH($H132&amp;"|"&amp;$I132&amp;"|"&amp;$J132&amp;"|"&amp;4,Assessments!$A$2:$A$600,0)),0)</f>
        <v>2</v>
      </c>
      <c r="DA132" s="28" t="n">
        <f aca="false">IFERROR(INDEX(Assessments!$J$2:$J$600,MATCH($H132&amp;"|"&amp;$I132&amp;"|"&amp;$J132&amp;"|"&amp;5,Assessments!$A$2:$A$600,0)),0)</f>
        <v>1</v>
      </c>
      <c r="DB132" s="28" t="n">
        <f aca="false">IFERROR(INDEX(Assessments!$J$2:$J$600,MATCH($H132&amp;"|"&amp;$I132&amp;"|"&amp;$J132&amp;"|"&amp;6,Assessments!$A$2:$A$600,0)),0)</f>
        <v>1</v>
      </c>
      <c r="DC132" s="28" t="n">
        <f aca="false">IFERROR(INDEX(Assessments!$J$2:$J$600,MATCH($H132&amp;"|"&amp;$I132&amp;"|"&amp;$J132&amp;"|"&amp;7,Assessments!$A$2:$A$600,0)),0)</f>
        <v>2</v>
      </c>
      <c r="DD132" s="28" t="n">
        <f aca="false">IFERROR(INDEX(Assessments!$J$2:$J$600,MATCH($H132&amp;"|"&amp;$I132&amp;"|"&amp;$J132&amp;"|"&amp;8,Assessments!$A$2:$A$600,0)),0)</f>
        <v>0</v>
      </c>
      <c r="DE132" s="28" t="n">
        <f aca="false">IFERROR(INDEX(Assessments!$J$2:$J$600,MATCH($H132&amp;"|"&amp;$I132&amp;"|"&amp;$J132&amp;"|"&amp;9,Assessments!$A$2:$A$600,0)),0)</f>
        <v>0</v>
      </c>
      <c r="DF132" s="28" t="n">
        <f aca="false">IFERROR(INDEX(Assessments!$J$2:$J$600,MATCH($H132&amp;"|"&amp;$I132&amp;"|"&amp;$J132&amp;"|"&amp;10,Assessments!$A$2:$A$600,0)),0)</f>
        <v>0</v>
      </c>
      <c r="DG132" s="28" t="n">
        <f aca="false">IFERROR(INDEX(Assessments!$J$2:$J$600,MATCH($H132&amp;"|"&amp;$I132&amp;"|"&amp;$J132&amp;"|"&amp;11,Assessments!$A$2:$A$600,0)),0)</f>
        <v>0</v>
      </c>
      <c r="DH132" s="28" t="n">
        <f aca="false">IFERROR(INDEX(Assessments!$J$2:$J$600,MATCH($H132&amp;"|"&amp;$I132&amp;"|"&amp;$J132&amp;"|"&amp;12,Assessments!$A$2:$A$600,0)),0)</f>
        <v>0</v>
      </c>
      <c r="DI132" s="28" t="n">
        <f aca="false">IFERROR(INDEX(Assessments!$J$2:$J$600,MATCH($H132&amp;"|"&amp;$I132&amp;"|"&amp;$J132&amp;"|"&amp;13,Assessments!$A$2:$A$600,0)),0)</f>
        <v>0</v>
      </c>
      <c r="DJ132" s="28" t="n">
        <f aca="false">IFERROR(INDEX(Assessments!$J$2:$J$600,MATCH($H132&amp;"|"&amp;$I132&amp;"|"&amp;$J132&amp;"|"&amp;14,Assessments!$A$2:$A$600,0)),0)</f>
        <v>0</v>
      </c>
      <c r="DK132" s="28" t="n">
        <f aca="false">S132</f>
        <v>5</v>
      </c>
      <c r="DL132" s="28" t="n">
        <f aca="false">W132</f>
        <v>5</v>
      </c>
      <c r="DM132" s="28" t="n">
        <f aca="false">AA132</f>
        <v>5</v>
      </c>
      <c r="DN132" s="28" t="n">
        <f aca="false">AE132</f>
        <v>6</v>
      </c>
      <c r="DO132" s="28" t="str">
        <f aca="false">AI132</f>
        <v/>
      </c>
      <c r="DP132" s="28" t="str">
        <f aca="false">AM132</f>
        <v/>
      </c>
      <c r="DQ132" s="28" t="n">
        <f aca="false">AQ132</f>
        <v>6</v>
      </c>
      <c r="DR132" s="28" t="str">
        <f aca="false">AU132</f>
        <v/>
      </c>
      <c r="DS132" s="28" t="str">
        <f aca="false">AY132</f>
        <v/>
      </c>
      <c r="DT132" s="28" t="str">
        <f aca="false">BC132</f>
        <v/>
      </c>
      <c r="DU132" s="28" t="str">
        <f aca="false">BG132</f>
        <v/>
      </c>
      <c r="DV132" s="28" t="str">
        <f aca="false">BK132</f>
        <v/>
      </c>
      <c r="DW132" s="28" t="str">
        <f aca="false">BO132</f>
        <v/>
      </c>
      <c r="DX132" s="28" t="str">
        <f aca="false">BS132</f>
        <v/>
      </c>
      <c r="DY132" s="28" t="n">
        <f aca="false">IF(ISNUMBER(S132),1,"")</f>
        <v>1</v>
      </c>
      <c r="DZ132" s="28" t="n">
        <f aca="false">IF(ISNUMBER(W132),2,"")</f>
        <v>2</v>
      </c>
      <c r="EA132" s="28" t="n">
        <f aca="false">IF(ISNUMBER(AA132),3,"")</f>
        <v>3</v>
      </c>
      <c r="EB132" s="28" t="n">
        <f aca="false">IF(ISNUMBER(AE132),4,"")</f>
        <v>4</v>
      </c>
      <c r="EC132" s="28" t="str">
        <f aca="false">IF(ISNUMBER(AI132),5,"")</f>
        <v/>
      </c>
      <c r="ED132" s="28" t="str">
        <f aca="false">IF(ISNUMBER(AM132),6,"")</f>
        <v/>
      </c>
      <c r="EE132" s="28" t="n">
        <f aca="false">IF(ISNUMBER(AQ132),7,"")</f>
        <v>7</v>
      </c>
      <c r="EF132" s="28" t="str">
        <f aca="false">IF(ISNUMBER(AU132),8,"")</f>
        <v/>
      </c>
      <c r="EG132" s="28" t="str">
        <f aca="false">IF(ISNUMBER(AY132),9,"")</f>
        <v/>
      </c>
      <c r="EH132" s="28" t="str">
        <f aca="false">IF(ISNUMBER(BC132),10,"")</f>
        <v/>
      </c>
      <c r="EI132" s="28" t="str">
        <f aca="false">IF(ISNUMBER(BG132),11,"")</f>
        <v/>
      </c>
      <c r="EJ132" s="28" t="str">
        <f aca="false">IF(ISNUMBER(BK132),12,"")</f>
        <v/>
      </c>
      <c r="EK132" s="28" t="str">
        <f aca="false">IF(ISNUMBER(BO132),13,"")</f>
        <v/>
      </c>
      <c r="EL132" s="28" t="str">
        <f aca="false">IF(ISNUMBER(BS132),14,"")</f>
        <v/>
      </c>
      <c r="EM132" s="28" t="n">
        <f aca="false">IF(ISNUMBER(R132),R132*CW132,0)</f>
        <v>62.5</v>
      </c>
      <c r="EN132" s="28" t="n">
        <f aca="false">IF(ISNUMBER(V132),V132*CX132,0)</f>
        <v>55</v>
      </c>
      <c r="EO132" s="28" t="n">
        <f aca="false">IF(ISNUMBER(Z132),Z132*CY132,0)</f>
        <v>60</v>
      </c>
      <c r="EP132" s="28" t="n">
        <f aca="false">IF(ISNUMBER(AD132),AD132*CZ132,0)</f>
        <v>135</v>
      </c>
      <c r="EQ132" s="28" t="n">
        <f aca="false">IF(ISNUMBER(AH132),AH132*DA132,0)</f>
        <v>0</v>
      </c>
      <c r="ER132" s="28" t="n">
        <f aca="false">IF(ISNUMBER(AL132),AL132*DB132,0)</f>
        <v>0</v>
      </c>
      <c r="ES132" s="28" t="n">
        <f aca="false">IF(ISNUMBER(AP132),AP132*DC132,0)</f>
        <v>171.428571428571</v>
      </c>
      <c r="ET132" s="28" t="n">
        <f aca="false">IF(ISNUMBER(AT132),AT132*DD132,0)</f>
        <v>0</v>
      </c>
      <c r="EU132" s="28" t="n">
        <f aca="false">IF(ISNUMBER(AX132),AX132*DE132,0)</f>
        <v>0</v>
      </c>
      <c r="EV132" s="28" t="n">
        <f aca="false">IF(ISNUMBER(BB132),BB132*DF132,0)</f>
        <v>0</v>
      </c>
      <c r="EW132" s="28" t="n">
        <f aca="false">IF(ISNUMBER(BF132),BF132*DG132,0)</f>
        <v>0</v>
      </c>
      <c r="EX132" s="28" t="n">
        <f aca="false">IF(ISNUMBER(BJ132),BJ132*DH132,0)</f>
        <v>0</v>
      </c>
      <c r="EY132" s="28" t="n">
        <f aca="false">IF(ISNUMBER(BN132),BN132*DI132,0)</f>
        <v>0</v>
      </c>
      <c r="EZ132" s="28" t="n">
        <f aca="false">IF(ISNUMBER(BR132),BR132*DJ132,0)</f>
        <v>0</v>
      </c>
      <c r="FA132" s="28" t="n">
        <f aca="false">IF(ISNUMBER(R132),CW132,0)</f>
        <v>1</v>
      </c>
      <c r="FB132" s="28" t="n">
        <f aca="false">IF(ISNUMBER(V132),CX132,0)</f>
        <v>1</v>
      </c>
      <c r="FC132" s="28" t="n">
        <f aca="false">IF(ISNUMBER(Z132),CY132,0)</f>
        <v>1</v>
      </c>
      <c r="FD132" s="28" t="n">
        <f aca="false">IF(ISNUMBER(AD132),CZ132,0)</f>
        <v>2</v>
      </c>
      <c r="FE132" s="28" t="n">
        <f aca="false">IF(ISNUMBER(AH132),DA132,0)</f>
        <v>0</v>
      </c>
      <c r="FF132" s="28" t="n">
        <f aca="false">IF(ISNUMBER(AL132),DB132,0)</f>
        <v>0</v>
      </c>
      <c r="FG132" s="28" t="n">
        <f aca="false">IF(ISNUMBER(AP132),DC132,0)</f>
        <v>2</v>
      </c>
      <c r="FH132" s="28" t="n">
        <f aca="false">IF(ISNUMBER(AT132),DD132,0)</f>
        <v>0</v>
      </c>
      <c r="FI132" s="28" t="n">
        <f aca="false">IF(ISNUMBER(AX132),DE132,0)</f>
        <v>0</v>
      </c>
      <c r="FJ132" s="28" t="n">
        <f aca="false">IF(ISNUMBER(BB132),DF132,0)</f>
        <v>0</v>
      </c>
      <c r="FK132" s="28" t="n">
        <f aca="false">IF(ISNUMBER(BF132),DG132,0)</f>
        <v>0</v>
      </c>
      <c r="FL132" s="28" t="n">
        <f aca="false">IF(ISNUMBER(BJ132),DH132,0)</f>
        <v>0</v>
      </c>
      <c r="FM132" s="28" t="n">
        <f aca="false">IF(ISNUMBER(BN132),DI132,0)</f>
        <v>0</v>
      </c>
      <c r="FN132" s="28" t="n">
        <f aca="false">IF(ISNUMBER(BR132),DJ132,0)</f>
        <v>0</v>
      </c>
      <c r="FO132" s="28" t="str">
        <f aca="false">IFERROR(INDEX(Lists!$G$2:$G$20,MATCH($I132&amp;"|"&amp;$J132,Lists!$F$2:$F$20,0)),"")</f>
        <v>BM Exam</v>
      </c>
    </row>
    <row r="133" customFormat="false" ht="19.5" hidden="false" customHeight="true" outlineLevel="0" collapsed="false">
      <c r="A133" s="29" t="s">
        <v>376</v>
      </c>
      <c r="B133" s="29" t="s">
        <v>377</v>
      </c>
      <c r="C133" s="30" t="s">
        <v>152</v>
      </c>
      <c r="D133" s="30" t="s">
        <v>364</v>
      </c>
      <c r="E133" s="31" t="n">
        <v>5.4</v>
      </c>
      <c r="F133" s="30" t="n">
        <v>6</v>
      </c>
      <c r="G133" s="30"/>
      <c r="H133" s="32" t="s">
        <v>23</v>
      </c>
      <c r="I133" s="33" t="s">
        <v>365</v>
      </c>
      <c r="J133" s="32" t="s">
        <v>25</v>
      </c>
      <c r="K133" s="34" t="n">
        <f aca="false">IF(OR(M133="",$E133=""),"",M133-$E133)</f>
        <v>1.6</v>
      </c>
      <c r="L133" s="35" t="n">
        <f aca="false">IF(SUM(FA133:FN133)=0,"",SUM(EM133:EZ133)/SUM(FA133:FN133))</f>
        <v>74.608843537415</v>
      </c>
      <c r="M133" s="36" t="n">
        <f aca="false">IF(OR(L133="",FO133=""),"",IFERROR(MATCH(L133,INDEX(Boundaries!$B$2:$I$30,MATCH(FO133,Boundaries!$A$2:$A$30,0),0),1)-1,""))</f>
        <v>7</v>
      </c>
      <c r="N133" s="37" t="n">
        <f aca="false">IF(COUNT($DY133:$EL133)&lt;2,"",INDEX($DK133:$DX133,MAX($DY133:$EL133))-INDEX($DK133:$DX133,MIN($DY133:$EL133)))</f>
        <v>0</v>
      </c>
      <c r="O133" s="37" t="n">
        <f aca="false">IF(COUNT($DY133:$EL133)&lt;2,"",INDEX($DK133:$DX133,MAX($DY133:$EL133))-INDEX($DK133:$DX133,LARGE($DY133:$EL133,2)))</f>
        <v>-1</v>
      </c>
      <c r="P133" s="38" t="str">
        <f aca="false">IF(K133="","",IF(K133&gt;=0,"On/above target",IF(AND(N133&lt;&gt;"",N133&gt;=0.5),"Improving towards target",IF(AND(O133&lt;&gt;"",O133&lt;=-0.5),"Declining","Stable below target"))))</f>
        <v>On/above target</v>
      </c>
      <c r="Q133" s="39" t="n">
        <v>17</v>
      </c>
      <c r="R133" s="40" t="n">
        <f aca="false">IF(OR(Q133="",BU133=""),"",Q133/BU133*100)</f>
        <v>70.8333333333333</v>
      </c>
      <c r="S133" s="41" t="n">
        <f aca="false">IF(R133="","",IFERROR(MATCH(R133,INDEX(Boundaries!$B$2:$I$30,MATCH(CI133,Boundaries!$A$2:$A$30,0),0),1)-1,""))</f>
        <v>6</v>
      </c>
      <c r="T133" s="42" t="n">
        <f aca="false">IF(OR(S133="",$E133=""),"",S133-$E133)</f>
        <v>0.6</v>
      </c>
      <c r="U133" s="39" t="n">
        <v>14</v>
      </c>
      <c r="V133" s="40" t="n">
        <f aca="false">IF(OR(U133="",BV133=""),"",U133/BV133*100)</f>
        <v>70</v>
      </c>
      <c r="W133" s="41" t="n">
        <f aca="false">IF(V133="","",IFERROR(MATCH(V133,INDEX(Boundaries!$B$2:$I$30,MATCH(CJ133,Boundaries!$A$2:$A$30,0),0),1)-1,""))</f>
        <v>6</v>
      </c>
      <c r="X133" s="42" t="n">
        <f aca="false">IF(OR(W133="",$E133=""),"",W133-$E133)</f>
        <v>0.6</v>
      </c>
      <c r="Y133" s="39" t="n">
        <v>12</v>
      </c>
      <c r="Z133" s="40" t="n">
        <f aca="false">IF(OR(Y133="",BW133=""),"",Y133/BW133*100)</f>
        <v>60</v>
      </c>
      <c r="AA133" s="41" t="n">
        <f aca="false">IF(Z133="","",IFERROR(MATCH(Z133,INDEX(Boundaries!$B$2:$I$30,MATCH(CK133,Boundaries!$A$2:$A$30,0),0),1)-1,""))</f>
        <v>5</v>
      </c>
      <c r="AB133" s="42" t="n">
        <f aca="false">IF(OR(AA133="",$E133=""),"",AA133-$E133)</f>
        <v>-0.4</v>
      </c>
      <c r="AC133" s="39" t="n">
        <v>30</v>
      </c>
      <c r="AD133" s="40" t="n">
        <f aca="false">IF(OR(AC133="",BX133=""),"",AC133/BX133*100)</f>
        <v>75</v>
      </c>
      <c r="AE133" s="41" t="n">
        <f aca="false">IF(AD133="","",IFERROR(MATCH(AD133,INDEX(Boundaries!$B$2:$I$30,MATCH(CL133,Boundaries!$A$2:$A$30,0),0),1)-1,""))</f>
        <v>7</v>
      </c>
      <c r="AF133" s="42" t="n">
        <f aca="false">IF(OR(AE133="",$E133=""),"",AE133-$E133)</f>
        <v>1.6</v>
      </c>
      <c r="AG133" s="39"/>
      <c r="AH133" s="40" t="str">
        <f aca="false">IF(OR(AG133="",BY133=""),"",AG133/BY133*100)</f>
        <v/>
      </c>
      <c r="AI133" s="41" t="str">
        <f aca="false">IF(AH133="","",IFERROR(MATCH(AH133,INDEX(Boundaries!$B$2:$I$30,MATCH(CM133,Boundaries!$A$2:$A$30,0),0),1)-1,""))</f>
        <v/>
      </c>
      <c r="AJ133" s="42" t="str">
        <f aca="false">IF(OR(AI133="",$E133=""),"",AI133-$E133)</f>
        <v/>
      </c>
      <c r="AK133" s="39"/>
      <c r="AL133" s="40" t="str">
        <f aca="false">IF(OR(AK133="",BZ133=""),"",AK133/BZ133*100)</f>
        <v/>
      </c>
      <c r="AM133" s="41" t="str">
        <f aca="false">IF(AL133="","",IFERROR(MATCH(AL133,INDEX(Boundaries!$B$2:$I$30,MATCH(CN133,Boundaries!$A$2:$A$30,0),0),1)-1,""))</f>
        <v/>
      </c>
      <c r="AN133" s="42" t="str">
        <f aca="false">IF(OR(AM133="",$E133=""),"",AM133-$E133)</f>
        <v/>
      </c>
      <c r="AO133" s="39" t="n">
        <v>6</v>
      </c>
      <c r="AP133" s="40" t="n">
        <f aca="false">IF(OR(AO133="",CA133=""),"",AO133/CA133*100)</f>
        <v>85.7142857142857</v>
      </c>
      <c r="AQ133" s="41" t="n">
        <f aca="false">IF(AP133="","",IFERROR(MATCH(AP133,INDEX(Boundaries!$B$2:$I$30,MATCH(CO133,Boundaries!$A$2:$A$30,0),0),1)-1,""))</f>
        <v>6</v>
      </c>
      <c r="AR133" s="42" t="n">
        <f aca="false">IF(OR(AQ133="",$E133=""),"",AQ133-$E133)</f>
        <v>0.6</v>
      </c>
      <c r="AS133" s="39"/>
      <c r="AT133" s="40" t="str">
        <f aca="false">IF(OR(AS133="",CB133=""),"",AS133/CB133*100)</f>
        <v/>
      </c>
      <c r="AU133" s="41" t="str">
        <f aca="false">IF(AT133="","",IFERROR(MATCH(AT133,INDEX(Boundaries!$B$2:$I$30,MATCH(CP133,Boundaries!$A$2:$A$30,0),0),1)-1,""))</f>
        <v/>
      </c>
      <c r="AV133" s="42" t="str">
        <f aca="false">IF(OR(AU133="",$E133=""),"",AU133-$E133)</f>
        <v/>
      </c>
      <c r="AW133" s="39"/>
      <c r="AX133" s="40" t="str">
        <f aca="false">IF(OR(AW133="",CC133=""),"",AW133/CC133*100)</f>
        <v/>
      </c>
      <c r="AY133" s="41" t="str">
        <f aca="false">IF(AX133="","",IFERROR(MATCH(AX133,INDEX(Boundaries!$B$2:$I$30,MATCH(CQ133,Boundaries!$A$2:$A$30,0),0),1)-1,""))</f>
        <v/>
      </c>
      <c r="AZ133" s="42" t="str">
        <f aca="false">IF(OR(AY133="",$E133=""),"",AY133-$E133)</f>
        <v/>
      </c>
      <c r="BA133" s="39"/>
      <c r="BB133" s="40" t="str">
        <f aca="false">IF(OR(BA133="",CD133=""),"",BA133/CD133*100)</f>
        <v/>
      </c>
      <c r="BC133" s="41" t="str">
        <f aca="false">IF(BB133="","",IFERROR(MATCH(BB133,INDEX(Boundaries!$B$2:$I$30,MATCH(CR133,Boundaries!$A$2:$A$30,0),0),1)-1,""))</f>
        <v/>
      </c>
      <c r="BD133" s="42" t="str">
        <f aca="false">IF(OR(BC133="",$E133=""),"",BC133-$E133)</f>
        <v/>
      </c>
      <c r="BE133" s="39"/>
      <c r="BF133" s="40" t="str">
        <f aca="false">IF(OR(BE133="",CE133=""),"",BE133/CE133*100)</f>
        <v/>
      </c>
      <c r="BG133" s="41" t="str">
        <f aca="false">IF(BF133="","",IFERROR(MATCH(BF133,INDEX(Boundaries!$B$2:$I$30,MATCH(CS133,Boundaries!$A$2:$A$30,0),0),1)-1,""))</f>
        <v/>
      </c>
      <c r="BH133" s="42" t="str">
        <f aca="false">IF(OR(BG133="",$E133=""),"",BG133-$E133)</f>
        <v/>
      </c>
      <c r="BI133" s="39"/>
      <c r="BJ133" s="40" t="str">
        <f aca="false">IF(OR(BI133="",CF133=""),"",BI133/CF133*100)</f>
        <v/>
      </c>
      <c r="BK133" s="41" t="str">
        <f aca="false">IF(BJ133="","",IFERROR(MATCH(BJ133,INDEX(Boundaries!$B$2:$I$30,MATCH(CT133,Boundaries!$A$2:$A$30,0),0),1)-1,""))</f>
        <v/>
      </c>
      <c r="BL133" s="42" t="str">
        <f aca="false">IF(OR(BK133="",$E133=""),"",BK133-$E133)</f>
        <v/>
      </c>
      <c r="BM133" s="39"/>
      <c r="BN133" s="40" t="str">
        <f aca="false">IF(OR(BM133="",CG133=""),"",BM133/CG133*100)</f>
        <v/>
      </c>
      <c r="BO133" s="41" t="str">
        <f aca="false">IF(BN133="","",IFERROR(MATCH(BN133,INDEX(Boundaries!$B$2:$I$30,MATCH(CU133,Boundaries!$A$2:$A$30,0),0),1)-1,""))</f>
        <v/>
      </c>
      <c r="BP133" s="42" t="str">
        <f aca="false">IF(OR(BO133="",$E133=""),"",BO133-$E133)</f>
        <v/>
      </c>
      <c r="BQ133" s="39"/>
      <c r="BR133" s="40" t="str">
        <f aca="false">IF(OR(BQ133="",CH133=""),"",BQ133/CH133*100)</f>
        <v/>
      </c>
      <c r="BS133" s="41" t="str">
        <f aca="false">IF(BR133="","",IFERROR(MATCH(BR133,INDEX(Boundaries!$B$2:$I$30,MATCH(CV133,Boundaries!$A$2:$A$30,0),0),1)-1,""))</f>
        <v/>
      </c>
      <c r="BT133" s="42" t="str">
        <f aca="false">IF(OR(BS133="",$E133=""),"",BS133-$E133)</f>
        <v/>
      </c>
      <c r="BU133" s="28" t="n">
        <f aca="false">IFERROR(INDEX(Assessments!$H$2:$H$600,MATCH($H133&amp;"|"&amp;$I133&amp;"|"&amp;$J133&amp;"|"&amp;1,Assessments!$A$2:$A$600,0)),"")</f>
        <v>24</v>
      </c>
      <c r="BV133" s="28" t="n">
        <f aca="false">IFERROR(INDEX(Assessments!$H$2:$H$600,MATCH($H133&amp;"|"&amp;$I133&amp;"|"&amp;$J133&amp;"|"&amp;2,Assessments!$A$2:$A$600,0)),"")</f>
        <v>20</v>
      </c>
      <c r="BW133" s="28" t="n">
        <f aca="false">IFERROR(INDEX(Assessments!$H$2:$H$600,MATCH($H133&amp;"|"&amp;$I133&amp;"|"&amp;$J133&amp;"|"&amp;3,Assessments!$A$2:$A$600,0)),"")</f>
        <v>20</v>
      </c>
      <c r="BX133" s="28" t="n">
        <f aca="false">IFERROR(INDEX(Assessments!$H$2:$H$600,MATCH($H133&amp;"|"&amp;$I133&amp;"|"&amp;$J133&amp;"|"&amp;4,Assessments!$A$2:$A$600,0)),"")</f>
        <v>40</v>
      </c>
      <c r="BY133" s="28" t="n">
        <f aca="false">IFERROR(INDEX(Assessments!$H$2:$H$600,MATCH($H133&amp;"|"&amp;$I133&amp;"|"&amp;$J133&amp;"|"&amp;5,Assessments!$A$2:$A$600,0)),"")</f>
        <v>30</v>
      </c>
      <c r="BZ133" s="28" t="n">
        <f aca="false">IFERROR(INDEX(Assessments!$H$2:$H$600,MATCH($H133&amp;"|"&amp;$I133&amp;"|"&amp;$J133&amp;"|"&amp;6,Assessments!$A$2:$A$600,0)),"")</f>
        <v>20</v>
      </c>
      <c r="CA133" s="28" t="n">
        <f aca="false">IFERROR(INDEX(Assessments!$H$2:$H$600,MATCH($H133&amp;"|"&amp;$I133&amp;"|"&amp;$J133&amp;"|"&amp;7,Assessments!$A$2:$A$600,0)),"")</f>
        <v>7</v>
      </c>
      <c r="CB133" s="28" t="str">
        <f aca="false">IFERROR(INDEX(Assessments!$H$2:$H$600,MATCH($H133&amp;"|"&amp;$I133&amp;"|"&amp;$J133&amp;"|"&amp;8,Assessments!$A$2:$A$600,0)),"")</f>
        <v/>
      </c>
      <c r="CC133" s="28" t="str">
        <f aca="false">IFERROR(INDEX(Assessments!$H$2:$H$600,MATCH($H133&amp;"|"&amp;$I133&amp;"|"&amp;$J133&amp;"|"&amp;9,Assessments!$A$2:$A$600,0)),"")</f>
        <v/>
      </c>
      <c r="CD133" s="28" t="str">
        <f aca="false">IFERROR(INDEX(Assessments!$H$2:$H$600,MATCH($H133&amp;"|"&amp;$I133&amp;"|"&amp;$J133&amp;"|"&amp;10,Assessments!$A$2:$A$600,0)),"")</f>
        <v/>
      </c>
      <c r="CE133" s="28" t="str">
        <f aca="false">IFERROR(INDEX(Assessments!$H$2:$H$600,MATCH($H133&amp;"|"&amp;$I133&amp;"|"&amp;$J133&amp;"|"&amp;11,Assessments!$A$2:$A$600,0)),"")</f>
        <v/>
      </c>
      <c r="CF133" s="28" t="str">
        <f aca="false">IFERROR(INDEX(Assessments!$H$2:$H$600,MATCH($H133&amp;"|"&amp;$I133&amp;"|"&amp;$J133&amp;"|"&amp;12,Assessments!$A$2:$A$600,0)),"")</f>
        <v/>
      </c>
      <c r="CG133" s="28" t="str">
        <f aca="false">IFERROR(INDEX(Assessments!$H$2:$H$600,MATCH($H133&amp;"|"&amp;$I133&amp;"|"&amp;$J133&amp;"|"&amp;13,Assessments!$A$2:$A$600,0)),"")</f>
        <v/>
      </c>
      <c r="CH133" s="28" t="str">
        <f aca="false">IFERROR(INDEX(Assessments!$H$2:$H$600,MATCH($H133&amp;"|"&amp;$I133&amp;"|"&amp;$J133&amp;"|"&amp;14,Assessments!$A$2:$A$600,0)),"")</f>
        <v/>
      </c>
      <c r="CI133" s="28" t="str">
        <f aca="false">IFERROR(INDEX(Assessments!$I$2:$I$600,MATCH($H133&amp;"|"&amp;$I133&amp;"|"&amp;$J133&amp;"|"&amp;1,Assessments!$A$2:$A$600,0)),"")</f>
        <v>BM Test</v>
      </c>
      <c r="CJ133" s="28" t="str">
        <f aca="false">IFERROR(INDEX(Assessments!$I$2:$I$600,MATCH($H133&amp;"|"&amp;$I133&amp;"|"&amp;$J133&amp;"|"&amp;2,Assessments!$A$2:$A$600,0)),"")</f>
        <v>BM Test</v>
      </c>
      <c r="CK133" s="28" t="str">
        <f aca="false">IFERROR(INDEX(Assessments!$I$2:$I$600,MATCH($H133&amp;"|"&amp;$I133&amp;"|"&amp;$J133&amp;"|"&amp;3,Assessments!$A$2:$A$600,0)),"")</f>
        <v>BM Test</v>
      </c>
      <c r="CL133" s="28" t="str">
        <f aca="false">IFERROR(INDEX(Assessments!$I$2:$I$600,MATCH($H133&amp;"|"&amp;$I133&amp;"|"&amp;$J133&amp;"|"&amp;4,Assessments!$A$2:$A$600,0)),"")</f>
        <v>BM Exam</v>
      </c>
      <c r="CM133" s="28" t="str">
        <f aca="false">IFERROR(INDEX(Assessments!$I$2:$I$600,MATCH($H133&amp;"|"&amp;$I133&amp;"|"&amp;$J133&amp;"|"&amp;5,Assessments!$A$2:$A$600,0)),"")</f>
        <v>BM Test</v>
      </c>
      <c r="CN133" s="28" t="str">
        <f aca="false">IFERROR(INDEX(Assessments!$I$2:$I$600,MATCH($H133&amp;"|"&amp;$I133&amp;"|"&amp;$J133&amp;"|"&amp;6,Assessments!$A$2:$A$600,0)),"")</f>
        <v>BM Test</v>
      </c>
      <c r="CO133" s="28" t="str">
        <f aca="false">IFERROR(INDEX(Assessments!$I$2:$I$600,MATCH($H133&amp;"|"&amp;$I133&amp;"|"&amp;$J133&amp;"|"&amp;7,Assessments!$A$2:$A$600,0)),"")</f>
        <v>Grade entered</v>
      </c>
      <c r="CP133" s="28" t="str">
        <f aca="false">IFERROR(INDEX(Assessments!$I$2:$I$600,MATCH($H133&amp;"|"&amp;$I133&amp;"|"&amp;$J133&amp;"|"&amp;8,Assessments!$A$2:$A$600,0)),"")</f>
        <v/>
      </c>
      <c r="CQ133" s="28" t="str">
        <f aca="false">IFERROR(INDEX(Assessments!$I$2:$I$600,MATCH($H133&amp;"|"&amp;$I133&amp;"|"&amp;$J133&amp;"|"&amp;9,Assessments!$A$2:$A$600,0)),"")</f>
        <v/>
      </c>
      <c r="CR133" s="28" t="str">
        <f aca="false">IFERROR(INDEX(Assessments!$I$2:$I$600,MATCH($H133&amp;"|"&amp;$I133&amp;"|"&amp;$J133&amp;"|"&amp;10,Assessments!$A$2:$A$600,0)),"")</f>
        <v/>
      </c>
      <c r="CS133" s="28" t="str">
        <f aca="false">IFERROR(INDEX(Assessments!$I$2:$I$600,MATCH($H133&amp;"|"&amp;$I133&amp;"|"&amp;$J133&amp;"|"&amp;11,Assessments!$A$2:$A$600,0)),"")</f>
        <v/>
      </c>
      <c r="CT133" s="28" t="str">
        <f aca="false">IFERROR(INDEX(Assessments!$I$2:$I$600,MATCH($H133&amp;"|"&amp;$I133&amp;"|"&amp;$J133&amp;"|"&amp;12,Assessments!$A$2:$A$600,0)),"")</f>
        <v/>
      </c>
      <c r="CU133" s="28" t="str">
        <f aca="false">IFERROR(INDEX(Assessments!$I$2:$I$600,MATCH($H133&amp;"|"&amp;$I133&amp;"|"&amp;$J133&amp;"|"&amp;13,Assessments!$A$2:$A$600,0)),"")</f>
        <v/>
      </c>
      <c r="CV133" s="28" t="str">
        <f aca="false">IFERROR(INDEX(Assessments!$I$2:$I$600,MATCH($H133&amp;"|"&amp;$I133&amp;"|"&amp;$J133&amp;"|"&amp;14,Assessments!$A$2:$A$600,0)),"")</f>
        <v/>
      </c>
      <c r="CW133" s="28" t="n">
        <f aca="false">IFERROR(INDEX(Assessments!$J$2:$J$600,MATCH($H133&amp;"|"&amp;$I133&amp;"|"&amp;$J133&amp;"|"&amp;1,Assessments!$A$2:$A$600,0)),0)</f>
        <v>1</v>
      </c>
      <c r="CX133" s="28" t="n">
        <f aca="false">IFERROR(INDEX(Assessments!$J$2:$J$600,MATCH($H133&amp;"|"&amp;$I133&amp;"|"&amp;$J133&amp;"|"&amp;2,Assessments!$A$2:$A$600,0)),0)</f>
        <v>1</v>
      </c>
      <c r="CY133" s="28" t="n">
        <f aca="false">IFERROR(INDEX(Assessments!$J$2:$J$600,MATCH($H133&amp;"|"&amp;$I133&amp;"|"&amp;$J133&amp;"|"&amp;3,Assessments!$A$2:$A$600,0)),0)</f>
        <v>1</v>
      </c>
      <c r="CZ133" s="28" t="n">
        <f aca="false">IFERROR(INDEX(Assessments!$J$2:$J$600,MATCH($H133&amp;"|"&amp;$I133&amp;"|"&amp;$J133&amp;"|"&amp;4,Assessments!$A$2:$A$600,0)),0)</f>
        <v>2</v>
      </c>
      <c r="DA133" s="28" t="n">
        <f aca="false">IFERROR(INDEX(Assessments!$J$2:$J$600,MATCH($H133&amp;"|"&amp;$I133&amp;"|"&amp;$J133&amp;"|"&amp;5,Assessments!$A$2:$A$600,0)),0)</f>
        <v>1</v>
      </c>
      <c r="DB133" s="28" t="n">
        <f aca="false">IFERROR(INDEX(Assessments!$J$2:$J$600,MATCH($H133&amp;"|"&amp;$I133&amp;"|"&amp;$J133&amp;"|"&amp;6,Assessments!$A$2:$A$600,0)),0)</f>
        <v>1</v>
      </c>
      <c r="DC133" s="28" t="n">
        <f aca="false">IFERROR(INDEX(Assessments!$J$2:$J$600,MATCH($H133&amp;"|"&amp;$I133&amp;"|"&amp;$J133&amp;"|"&amp;7,Assessments!$A$2:$A$600,0)),0)</f>
        <v>2</v>
      </c>
      <c r="DD133" s="28" t="n">
        <f aca="false">IFERROR(INDEX(Assessments!$J$2:$J$600,MATCH($H133&amp;"|"&amp;$I133&amp;"|"&amp;$J133&amp;"|"&amp;8,Assessments!$A$2:$A$600,0)),0)</f>
        <v>0</v>
      </c>
      <c r="DE133" s="28" t="n">
        <f aca="false">IFERROR(INDEX(Assessments!$J$2:$J$600,MATCH($H133&amp;"|"&amp;$I133&amp;"|"&amp;$J133&amp;"|"&amp;9,Assessments!$A$2:$A$600,0)),0)</f>
        <v>0</v>
      </c>
      <c r="DF133" s="28" t="n">
        <f aca="false">IFERROR(INDEX(Assessments!$J$2:$J$600,MATCH($H133&amp;"|"&amp;$I133&amp;"|"&amp;$J133&amp;"|"&amp;10,Assessments!$A$2:$A$600,0)),0)</f>
        <v>0</v>
      </c>
      <c r="DG133" s="28" t="n">
        <f aca="false">IFERROR(INDEX(Assessments!$J$2:$J$600,MATCH($H133&amp;"|"&amp;$I133&amp;"|"&amp;$J133&amp;"|"&amp;11,Assessments!$A$2:$A$600,0)),0)</f>
        <v>0</v>
      </c>
      <c r="DH133" s="28" t="n">
        <f aca="false">IFERROR(INDEX(Assessments!$J$2:$J$600,MATCH($H133&amp;"|"&amp;$I133&amp;"|"&amp;$J133&amp;"|"&amp;12,Assessments!$A$2:$A$600,0)),0)</f>
        <v>0</v>
      </c>
      <c r="DI133" s="28" t="n">
        <f aca="false">IFERROR(INDEX(Assessments!$J$2:$J$600,MATCH($H133&amp;"|"&amp;$I133&amp;"|"&amp;$J133&amp;"|"&amp;13,Assessments!$A$2:$A$600,0)),0)</f>
        <v>0</v>
      </c>
      <c r="DJ133" s="28" t="n">
        <f aca="false">IFERROR(INDEX(Assessments!$J$2:$J$600,MATCH($H133&amp;"|"&amp;$I133&amp;"|"&amp;$J133&amp;"|"&amp;14,Assessments!$A$2:$A$600,0)),0)</f>
        <v>0</v>
      </c>
      <c r="DK133" s="28" t="n">
        <f aca="false">S133</f>
        <v>6</v>
      </c>
      <c r="DL133" s="28" t="n">
        <f aca="false">W133</f>
        <v>6</v>
      </c>
      <c r="DM133" s="28" t="n">
        <f aca="false">AA133</f>
        <v>5</v>
      </c>
      <c r="DN133" s="28" t="n">
        <f aca="false">AE133</f>
        <v>7</v>
      </c>
      <c r="DO133" s="28" t="str">
        <f aca="false">AI133</f>
        <v/>
      </c>
      <c r="DP133" s="28" t="str">
        <f aca="false">AM133</f>
        <v/>
      </c>
      <c r="DQ133" s="28" t="n">
        <f aca="false">AQ133</f>
        <v>6</v>
      </c>
      <c r="DR133" s="28" t="str">
        <f aca="false">AU133</f>
        <v/>
      </c>
      <c r="DS133" s="28" t="str">
        <f aca="false">AY133</f>
        <v/>
      </c>
      <c r="DT133" s="28" t="str">
        <f aca="false">BC133</f>
        <v/>
      </c>
      <c r="DU133" s="28" t="str">
        <f aca="false">BG133</f>
        <v/>
      </c>
      <c r="DV133" s="28" t="str">
        <f aca="false">BK133</f>
        <v/>
      </c>
      <c r="DW133" s="28" t="str">
        <f aca="false">BO133</f>
        <v/>
      </c>
      <c r="DX133" s="28" t="str">
        <f aca="false">BS133</f>
        <v/>
      </c>
      <c r="DY133" s="28" t="n">
        <f aca="false">IF(ISNUMBER(S133),1,"")</f>
        <v>1</v>
      </c>
      <c r="DZ133" s="28" t="n">
        <f aca="false">IF(ISNUMBER(W133),2,"")</f>
        <v>2</v>
      </c>
      <c r="EA133" s="28" t="n">
        <f aca="false">IF(ISNUMBER(AA133),3,"")</f>
        <v>3</v>
      </c>
      <c r="EB133" s="28" t="n">
        <f aca="false">IF(ISNUMBER(AE133),4,"")</f>
        <v>4</v>
      </c>
      <c r="EC133" s="28" t="str">
        <f aca="false">IF(ISNUMBER(AI133),5,"")</f>
        <v/>
      </c>
      <c r="ED133" s="28" t="str">
        <f aca="false">IF(ISNUMBER(AM133),6,"")</f>
        <v/>
      </c>
      <c r="EE133" s="28" t="n">
        <f aca="false">IF(ISNUMBER(AQ133),7,"")</f>
        <v>7</v>
      </c>
      <c r="EF133" s="28" t="str">
        <f aca="false">IF(ISNUMBER(AU133),8,"")</f>
        <v/>
      </c>
      <c r="EG133" s="28" t="str">
        <f aca="false">IF(ISNUMBER(AY133),9,"")</f>
        <v/>
      </c>
      <c r="EH133" s="28" t="str">
        <f aca="false">IF(ISNUMBER(BC133),10,"")</f>
        <v/>
      </c>
      <c r="EI133" s="28" t="str">
        <f aca="false">IF(ISNUMBER(BG133),11,"")</f>
        <v/>
      </c>
      <c r="EJ133" s="28" t="str">
        <f aca="false">IF(ISNUMBER(BK133),12,"")</f>
        <v/>
      </c>
      <c r="EK133" s="28" t="str">
        <f aca="false">IF(ISNUMBER(BO133),13,"")</f>
        <v/>
      </c>
      <c r="EL133" s="28" t="str">
        <f aca="false">IF(ISNUMBER(BS133),14,"")</f>
        <v/>
      </c>
      <c r="EM133" s="28" t="n">
        <f aca="false">IF(ISNUMBER(R133),R133*CW133,0)</f>
        <v>70.8333333333333</v>
      </c>
      <c r="EN133" s="28" t="n">
        <f aca="false">IF(ISNUMBER(V133),V133*CX133,0)</f>
        <v>70</v>
      </c>
      <c r="EO133" s="28" t="n">
        <f aca="false">IF(ISNUMBER(Z133),Z133*CY133,0)</f>
        <v>60</v>
      </c>
      <c r="EP133" s="28" t="n">
        <f aca="false">IF(ISNUMBER(AD133),AD133*CZ133,0)</f>
        <v>150</v>
      </c>
      <c r="EQ133" s="28" t="n">
        <f aca="false">IF(ISNUMBER(AH133),AH133*DA133,0)</f>
        <v>0</v>
      </c>
      <c r="ER133" s="28" t="n">
        <f aca="false">IF(ISNUMBER(AL133),AL133*DB133,0)</f>
        <v>0</v>
      </c>
      <c r="ES133" s="28" t="n">
        <f aca="false">IF(ISNUMBER(AP133),AP133*DC133,0)</f>
        <v>171.428571428571</v>
      </c>
      <c r="ET133" s="28" t="n">
        <f aca="false">IF(ISNUMBER(AT133),AT133*DD133,0)</f>
        <v>0</v>
      </c>
      <c r="EU133" s="28" t="n">
        <f aca="false">IF(ISNUMBER(AX133),AX133*DE133,0)</f>
        <v>0</v>
      </c>
      <c r="EV133" s="28" t="n">
        <f aca="false">IF(ISNUMBER(BB133),BB133*DF133,0)</f>
        <v>0</v>
      </c>
      <c r="EW133" s="28" t="n">
        <f aca="false">IF(ISNUMBER(BF133),BF133*DG133,0)</f>
        <v>0</v>
      </c>
      <c r="EX133" s="28" t="n">
        <f aca="false">IF(ISNUMBER(BJ133),BJ133*DH133,0)</f>
        <v>0</v>
      </c>
      <c r="EY133" s="28" t="n">
        <f aca="false">IF(ISNUMBER(BN133),BN133*DI133,0)</f>
        <v>0</v>
      </c>
      <c r="EZ133" s="28" t="n">
        <f aca="false">IF(ISNUMBER(BR133),BR133*DJ133,0)</f>
        <v>0</v>
      </c>
      <c r="FA133" s="28" t="n">
        <f aca="false">IF(ISNUMBER(R133),CW133,0)</f>
        <v>1</v>
      </c>
      <c r="FB133" s="28" t="n">
        <f aca="false">IF(ISNUMBER(V133),CX133,0)</f>
        <v>1</v>
      </c>
      <c r="FC133" s="28" t="n">
        <f aca="false">IF(ISNUMBER(Z133),CY133,0)</f>
        <v>1</v>
      </c>
      <c r="FD133" s="28" t="n">
        <f aca="false">IF(ISNUMBER(AD133),CZ133,0)</f>
        <v>2</v>
      </c>
      <c r="FE133" s="28" t="n">
        <f aca="false">IF(ISNUMBER(AH133),DA133,0)</f>
        <v>0</v>
      </c>
      <c r="FF133" s="28" t="n">
        <f aca="false">IF(ISNUMBER(AL133),DB133,0)</f>
        <v>0</v>
      </c>
      <c r="FG133" s="28" t="n">
        <f aca="false">IF(ISNUMBER(AP133),DC133,0)</f>
        <v>2</v>
      </c>
      <c r="FH133" s="28" t="n">
        <f aca="false">IF(ISNUMBER(AT133),DD133,0)</f>
        <v>0</v>
      </c>
      <c r="FI133" s="28" t="n">
        <f aca="false">IF(ISNUMBER(AX133),DE133,0)</f>
        <v>0</v>
      </c>
      <c r="FJ133" s="28" t="n">
        <f aca="false">IF(ISNUMBER(BB133),DF133,0)</f>
        <v>0</v>
      </c>
      <c r="FK133" s="28" t="n">
        <f aca="false">IF(ISNUMBER(BF133),DG133,0)</f>
        <v>0</v>
      </c>
      <c r="FL133" s="28" t="n">
        <f aca="false">IF(ISNUMBER(BJ133),DH133,0)</f>
        <v>0</v>
      </c>
      <c r="FM133" s="28" t="n">
        <f aca="false">IF(ISNUMBER(BN133),DI133,0)</f>
        <v>0</v>
      </c>
      <c r="FN133" s="28" t="n">
        <f aca="false">IF(ISNUMBER(BR133),DJ133,0)</f>
        <v>0</v>
      </c>
      <c r="FO133" s="28" t="str">
        <f aca="false">IFERROR(INDEX(Lists!$G$2:$G$20,MATCH($I133&amp;"|"&amp;$J133,Lists!$F$2:$F$20,0)),"")</f>
        <v>BM Exam</v>
      </c>
    </row>
    <row r="134" customFormat="false" ht="19.5" hidden="false" customHeight="true" outlineLevel="0" collapsed="false">
      <c r="A134" s="29" t="s">
        <v>378</v>
      </c>
      <c r="B134" s="29" t="s">
        <v>379</v>
      </c>
      <c r="C134" s="30" t="s">
        <v>152</v>
      </c>
      <c r="D134" s="30" t="s">
        <v>364</v>
      </c>
      <c r="E134" s="31" t="n">
        <v>6.2</v>
      </c>
      <c r="F134" s="30" t="n">
        <v>7</v>
      </c>
      <c r="G134" s="30"/>
      <c r="H134" s="32" t="s">
        <v>23</v>
      </c>
      <c r="I134" s="33" t="s">
        <v>365</v>
      </c>
      <c r="J134" s="32" t="s">
        <v>25</v>
      </c>
      <c r="K134" s="34" t="n">
        <f aca="false">IF(OR(M134="",$E134=""),"",M134-$E134)</f>
        <v>0.8</v>
      </c>
      <c r="L134" s="35" t="n">
        <f aca="false">IF(SUM(FA134:FN134)=0,"",SUM(EM134:EZ134)/SUM(FA134:FN134))</f>
        <v>73.7414965986395</v>
      </c>
      <c r="M134" s="36" t="n">
        <f aca="false">IF(OR(L134="",FO134=""),"",IFERROR(MATCH(L134,INDEX(Boundaries!$B$2:$I$30,MATCH(FO134,Boundaries!$A$2:$A$30,0),0),1)-1,""))</f>
        <v>7</v>
      </c>
      <c r="N134" s="37" t="n">
        <f aca="false">IF(COUNT($DY134:$EL134)&lt;2,"",INDEX($DK134:$DX134,MAX($DY134:$EL134))-INDEX($DK134:$DX134,MIN($DY134:$EL134)))</f>
        <v>-2</v>
      </c>
      <c r="O134" s="37" t="n">
        <f aca="false">IF(COUNT($DY134:$EL134)&lt;2,"",INDEX($DK134:$DX134,MAX($DY134:$EL134))-INDEX($DK134:$DX134,LARGE($DY134:$EL134,2)))</f>
        <v>-2</v>
      </c>
      <c r="P134" s="38" t="str">
        <f aca="false">IF(K134="","",IF(K134&gt;=0,"On/above target",IF(AND(N134&lt;&gt;"",N134&gt;=0.5),"Improving towards target",IF(AND(O134&lt;&gt;"",O134&lt;=-0.5),"Declining","Stable below target"))))</f>
        <v>On/above target</v>
      </c>
      <c r="Q134" s="39" t="n">
        <v>20</v>
      </c>
      <c r="R134" s="40" t="n">
        <f aca="false">IF(OR(Q134="",BU134=""),"",Q134/BU134*100)</f>
        <v>83.3333333333333</v>
      </c>
      <c r="S134" s="41" t="n">
        <f aca="false">IF(R134="","",IFERROR(MATCH(R134,INDEX(Boundaries!$B$2:$I$30,MATCH(CI134,Boundaries!$A$2:$A$30,0),0),1)-1,""))</f>
        <v>7</v>
      </c>
      <c r="T134" s="42" t="n">
        <f aca="false">IF(OR(S134="",$E134=""),"",S134-$E134)</f>
        <v>0.8</v>
      </c>
      <c r="U134" s="39" t="n">
        <v>14</v>
      </c>
      <c r="V134" s="40" t="n">
        <f aca="false">IF(OR(U134="",BV134=""),"",U134/BV134*100)</f>
        <v>70</v>
      </c>
      <c r="W134" s="41" t="n">
        <f aca="false">IF(V134="","",IFERROR(MATCH(V134,INDEX(Boundaries!$B$2:$I$30,MATCH(CJ134,Boundaries!$A$2:$A$30,0),0),1)-1,""))</f>
        <v>6</v>
      </c>
      <c r="X134" s="42" t="n">
        <f aca="false">IF(OR(W134="",$E134=""),"",W134-$E134)</f>
        <v>-0.2</v>
      </c>
      <c r="Y134" s="39" t="n">
        <v>12</v>
      </c>
      <c r="Z134" s="40" t="n">
        <f aca="false">IF(OR(Y134="",BW134=""),"",Y134/BW134*100)</f>
        <v>60</v>
      </c>
      <c r="AA134" s="41" t="n">
        <f aca="false">IF(Z134="","",IFERROR(MATCH(Z134,INDEX(Boundaries!$B$2:$I$30,MATCH(CK134,Boundaries!$A$2:$A$30,0),0),1)-1,""))</f>
        <v>5</v>
      </c>
      <c r="AB134" s="42" t="n">
        <f aca="false">IF(OR(AA134="",$E134=""),"",AA134-$E134)</f>
        <v>-1.2</v>
      </c>
      <c r="AC134" s="39" t="n">
        <v>32</v>
      </c>
      <c r="AD134" s="40" t="n">
        <f aca="false">IF(OR(AC134="",BX134=""),"",AC134/BX134*100)</f>
        <v>80</v>
      </c>
      <c r="AE134" s="41" t="n">
        <f aca="false">IF(AD134="","",IFERROR(MATCH(AD134,INDEX(Boundaries!$B$2:$I$30,MATCH(CL134,Boundaries!$A$2:$A$30,0),0),1)-1,""))</f>
        <v>7</v>
      </c>
      <c r="AF134" s="42" t="n">
        <f aca="false">IF(OR(AE134="",$E134=""),"",AE134-$E134)</f>
        <v>0.8</v>
      </c>
      <c r="AG134" s="39"/>
      <c r="AH134" s="40" t="str">
        <f aca="false">IF(OR(AG134="",BY134=""),"",AG134/BY134*100)</f>
        <v/>
      </c>
      <c r="AI134" s="41" t="str">
        <f aca="false">IF(AH134="","",IFERROR(MATCH(AH134,INDEX(Boundaries!$B$2:$I$30,MATCH(CM134,Boundaries!$A$2:$A$30,0),0),1)-1,""))</f>
        <v/>
      </c>
      <c r="AJ134" s="42" t="str">
        <f aca="false">IF(OR(AI134="",$E134=""),"",AI134-$E134)</f>
        <v/>
      </c>
      <c r="AK134" s="39"/>
      <c r="AL134" s="40" t="str">
        <f aca="false">IF(OR(AK134="",BZ134=""),"",AK134/BZ134*100)</f>
        <v/>
      </c>
      <c r="AM134" s="41" t="str">
        <f aca="false">IF(AL134="","",IFERROR(MATCH(AL134,INDEX(Boundaries!$B$2:$I$30,MATCH(CN134,Boundaries!$A$2:$A$30,0),0),1)-1,""))</f>
        <v/>
      </c>
      <c r="AN134" s="42" t="str">
        <f aca="false">IF(OR(AM134="",$E134=""),"",AM134-$E134)</f>
        <v/>
      </c>
      <c r="AO134" s="39" t="n">
        <v>5</v>
      </c>
      <c r="AP134" s="40" t="n">
        <f aca="false">IF(OR(AO134="",CA134=""),"",AO134/CA134*100)</f>
        <v>71.4285714285714</v>
      </c>
      <c r="AQ134" s="41" t="n">
        <f aca="false">IF(AP134="","",IFERROR(MATCH(AP134,INDEX(Boundaries!$B$2:$I$30,MATCH(CO134,Boundaries!$A$2:$A$30,0),0),1)-1,""))</f>
        <v>5</v>
      </c>
      <c r="AR134" s="42" t="n">
        <f aca="false">IF(OR(AQ134="",$E134=""),"",AQ134-$E134)</f>
        <v>-1.2</v>
      </c>
      <c r="AS134" s="39"/>
      <c r="AT134" s="40" t="str">
        <f aca="false">IF(OR(AS134="",CB134=""),"",AS134/CB134*100)</f>
        <v/>
      </c>
      <c r="AU134" s="41" t="str">
        <f aca="false">IF(AT134="","",IFERROR(MATCH(AT134,INDEX(Boundaries!$B$2:$I$30,MATCH(CP134,Boundaries!$A$2:$A$30,0),0),1)-1,""))</f>
        <v/>
      </c>
      <c r="AV134" s="42" t="str">
        <f aca="false">IF(OR(AU134="",$E134=""),"",AU134-$E134)</f>
        <v/>
      </c>
      <c r="AW134" s="39"/>
      <c r="AX134" s="40" t="str">
        <f aca="false">IF(OR(AW134="",CC134=""),"",AW134/CC134*100)</f>
        <v/>
      </c>
      <c r="AY134" s="41" t="str">
        <f aca="false">IF(AX134="","",IFERROR(MATCH(AX134,INDEX(Boundaries!$B$2:$I$30,MATCH(CQ134,Boundaries!$A$2:$A$30,0),0),1)-1,""))</f>
        <v/>
      </c>
      <c r="AZ134" s="42" t="str">
        <f aca="false">IF(OR(AY134="",$E134=""),"",AY134-$E134)</f>
        <v/>
      </c>
      <c r="BA134" s="39"/>
      <c r="BB134" s="40" t="str">
        <f aca="false">IF(OR(BA134="",CD134=""),"",BA134/CD134*100)</f>
        <v/>
      </c>
      <c r="BC134" s="41" t="str">
        <f aca="false">IF(BB134="","",IFERROR(MATCH(BB134,INDEX(Boundaries!$B$2:$I$30,MATCH(CR134,Boundaries!$A$2:$A$30,0),0),1)-1,""))</f>
        <v/>
      </c>
      <c r="BD134" s="42" t="str">
        <f aca="false">IF(OR(BC134="",$E134=""),"",BC134-$E134)</f>
        <v/>
      </c>
      <c r="BE134" s="39"/>
      <c r="BF134" s="40" t="str">
        <f aca="false">IF(OR(BE134="",CE134=""),"",BE134/CE134*100)</f>
        <v/>
      </c>
      <c r="BG134" s="41" t="str">
        <f aca="false">IF(BF134="","",IFERROR(MATCH(BF134,INDEX(Boundaries!$B$2:$I$30,MATCH(CS134,Boundaries!$A$2:$A$30,0),0),1)-1,""))</f>
        <v/>
      </c>
      <c r="BH134" s="42" t="str">
        <f aca="false">IF(OR(BG134="",$E134=""),"",BG134-$E134)</f>
        <v/>
      </c>
      <c r="BI134" s="39"/>
      <c r="BJ134" s="40" t="str">
        <f aca="false">IF(OR(BI134="",CF134=""),"",BI134/CF134*100)</f>
        <v/>
      </c>
      <c r="BK134" s="41" t="str">
        <f aca="false">IF(BJ134="","",IFERROR(MATCH(BJ134,INDEX(Boundaries!$B$2:$I$30,MATCH(CT134,Boundaries!$A$2:$A$30,0),0),1)-1,""))</f>
        <v/>
      </c>
      <c r="BL134" s="42" t="str">
        <f aca="false">IF(OR(BK134="",$E134=""),"",BK134-$E134)</f>
        <v/>
      </c>
      <c r="BM134" s="39"/>
      <c r="BN134" s="40" t="str">
        <f aca="false">IF(OR(BM134="",CG134=""),"",BM134/CG134*100)</f>
        <v/>
      </c>
      <c r="BO134" s="41" t="str">
        <f aca="false">IF(BN134="","",IFERROR(MATCH(BN134,INDEX(Boundaries!$B$2:$I$30,MATCH(CU134,Boundaries!$A$2:$A$30,0),0),1)-1,""))</f>
        <v/>
      </c>
      <c r="BP134" s="42" t="str">
        <f aca="false">IF(OR(BO134="",$E134=""),"",BO134-$E134)</f>
        <v/>
      </c>
      <c r="BQ134" s="39"/>
      <c r="BR134" s="40" t="str">
        <f aca="false">IF(OR(BQ134="",CH134=""),"",BQ134/CH134*100)</f>
        <v/>
      </c>
      <c r="BS134" s="41" t="str">
        <f aca="false">IF(BR134="","",IFERROR(MATCH(BR134,INDEX(Boundaries!$B$2:$I$30,MATCH(CV134,Boundaries!$A$2:$A$30,0),0),1)-1,""))</f>
        <v/>
      </c>
      <c r="BT134" s="42" t="str">
        <f aca="false">IF(OR(BS134="",$E134=""),"",BS134-$E134)</f>
        <v/>
      </c>
      <c r="BU134" s="28" t="n">
        <f aca="false">IFERROR(INDEX(Assessments!$H$2:$H$600,MATCH($H134&amp;"|"&amp;$I134&amp;"|"&amp;$J134&amp;"|"&amp;1,Assessments!$A$2:$A$600,0)),"")</f>
        <v>24</v>
      </c>
      <c r="BV134" s="28" t="n">
        <f aca="false">IFERROR(INDEX(Assessments!$H$2:$H$600,MATCH($H134&amp;"|"&amp;$I134&amp;"|"&amp;$J134&amp;"|"&amp;2,Assessments!$A$2:$A$600,0)),"")</f>
        <v>20</v>
      </c>
      <c r="BW134" s="28" t="n">
        <f aca="false">IFERROR(INDEX(Assessments!$H$2:$H$600,MATCH($H134&amp;"|"&amp;$I134&amp;"|"&amp;$J134&amp;"|"&amp;3,Assessments!$A$2:$A$600,0)),"")</f>
        <v>20</v>
      </c>
      <c r="BX134" s="28" t="n">
        <f aca="false">IFERROR(INDEX(Assessments!$H$2:$H$600,MATCH($H134&amp;"|"&amp;$I134&amp;"|"&amp;$J134&amp;"|"&amp;4,Assessments!$A$2:$A$600,0)),"")</f>
        <v>40</v>
      </c>
      <c r="BY134" s="28" t="n">
        <f aca="false">IFERROR(INDEX(Assessments!$H$2:$H$600,MATCH($H134&amp;"|"&amp;$I134&amp;"|"&amp;$J134&amp;"|"&amp;5,Assessments!$A$2:$A$600,0)),"")</f>
        <v>30</v>
      </c>
      <c r="BZ134" s="28" t="n">
        <f aca="false">IFERROR(INDEX(Assessments!$H$2:$H$600,MATCH($H134&amp;"|"&amp;$I134&amp;"|"&amp;$J134&amp;"|"&amp;6,Assessments!$A$2:$A$600,0)),"")</f>
        <v>20</v>
      </c>
      <c r="CA134" s="28" t="n">
        <f aca="false">IFERROR(INDEX(Assessments!$H$2:$H$600,MATCH($H134&amp;"|"&amp;$I134&amp;"|"&amp;$J134&amp;"|"&amp;7,Assessments!$A$2:$A$600,0)),"")</f>
        <v>7</v>
      </c>
      <c r="CB134" s="28" t="str">
        <f aca="false">IFERROR(INDEX(Assessments!$H$2:$H$600,MATCH($H134&amp;"|"&amp;$I134&amp;"|"&amp;$J134&amp;"|"&amp;8,Assessments!$A$2:$A$600,0)),"")</f>
        <v/>
      </c>
      <c r="CC134" s="28" t="str">
        <f aca="false">IFERROR(INDEX(Assessments!$H$2:$H$600,MATCH($H134&amp;"|"&amp;$I134&amp;"|"&amp;$J134&amp;"|"&amp;9,Assessments!$A$2:$A$600,0)),"")</f>
        <v/>
      </c>
      <c r="CD134" s="28" t="str">
        <f aca="false">IFERROR(INDEX(Assessments!$H$2:$H$600,MATCH($H134&amp;"|"&amp;$I134&amp;"|"&amp;$J134&amp;"|"&amp;10,Assessments!$A$2:$A$600,0)),"")</f>
        <v/>
      </c>
      <c r="CE134" s="28" t="str">
        <f aca="false">IFERROR(INDEX(Assessments!$H$2:$H$600,MATCH($H134&amp;"|"&amp;$I134&amp;"|"&amp;$J134&amp;"|"&amp;11,Assessments!$A$2:$A$600,0)),"")</f>
        <v/>
      </c>
      <c r="CF134" s="28" t="str">
        <f aca="false">IFERROR(INDEX(Assessments!$H$2:$H$600,MATCH($H134&amp;"|"&amp;$I134&amp;"|"&amp;$J134&amp;"|"&amp;12,Assessments!$A$2:$A$600,0)),"")</f>
        <v/>
      </c>
      <c r="CG134" s="28" t="str">
        <f aca="false">IFERROR(INDEX(Assessments!$H$2:$H$600,MATCH($H134&amp;"|"&amp;$I134&amp;"|"&amp;$J134&amp;"|"&amp;13,Assessments!$A$2:$A$600,0)),"")</f>
        <v/>
      </c>
      <c r="CH134" s="28" t="str">
        <f aca="false">IFERROR(INDEX(Assessments!$H$2:$H$600,MATCH($H134&amp;"|"&amp;$I134&amp;"|"&amp;$J134&amp;"|"&amp;14,Assessments!$A$2:$A$600,0)),"")</f>
        <v/>
      </c>
      <c r="CI134" s="28" t="str">
        <f aca="false">IFERROR(INDEX(Assessments!$I$2:$I$600,MATCH($H134&amp;"|"&amp;$I134&amp;"|"&amp;$J134&amp;"|"&amp;1,Assessments!$A$2:$A$600,0)),"")</f>
        <v>BM Test</v>
      </c>
      <c r="CJ134" s="28" t="str">
        <f aca="false">IFERROR(INDEX(Assessments!$I$2:$I$600,MATCH($H134&amp;"|"&amp;$I134&amp;"|"&amp;$J134&amp;"|"&amp;2,Assessments!$A$2:$A$600,0)),"")</f>
        <v>BM Test</v>
      </c>
      <c r="CK134" s="28" t="str">
        <f aca="false">IFERROR(INDEX(Assessments!$I$2:$I$600,MATCH($H134&amp;"|"&amp;$I134&amp;"|"&amp;$J134&amp;"|"&amp;3,Assessments!$A$2:$A$600,0)),"")</f>
        <v>BM Test</v>
      </c>
      <c r="CL134" s="28" t="str">
        <f aca="false">IFERROR(INDEX(Assessments!$I$2:$I$600,MATCH($H134&amp;"|"&amp;$I134&amp;"|"&amp;$J134&amp;"|"&amp;4,Assessments!$A$2:$A$600,0)),"")</f>
        <v>BM Exam</v>
      </c>
      <c r="CM134" s="28" t="str">
        <f aca="false">IFERROR(INDEX(Assessments!$I$2:$I$600,MATCH($H134&amp;"|"&amp;$I134&amp;"|"&amp;$J134&amp;"|"&amp;5,Assessments!$A$2:$A$600,0)),"")</f>
        <v>BM Test</v>
      </c>
      <c r="CN134" s="28" t="str">
        <f aca="false">IFERROR(INDEX(Assessments!$I$2:$I$600,MATCH($H134&amp;"|"&amp;$I134&amp;"|"&amp;$J134&amp;"|"&amp;6,Assessments!$A$2:$A$600,0)),"")</f>
        <v>BM Test</v>
      </c>
      <c r="CO134" s="28" t="str">
        <f aca="false">IFERROR(INDEX(Assessments!$I$2:$I$600,MATCH($H134&amp;"|"&amp;$I134&amp;"|"&amp;$J134&amp;"|"&amp;7,Assessments!$A$2:$A$600,0)),"")</f>
        <v>Grade entered</v>
      </c>
      <c r="CP134" s="28" t="str">
        <f aca="false">IFERROR(INDEX(Assessments!$I$2:$I$600,MATCH($H134&amp;"|"&amp;$I134&amp;"|"&amp;$J134&amp;"|"&amp;8,Assessments!$A$2:$A$600,0)),"")</f>
        <v/>
      </c>
      <c r="CQ134" s="28" t="str">
        <f aca="false">IFERROR(INDEX(Assessments!$I$2:$I$600,MATCH($H134&amp;"|"&amp;$I134&amp;"|"&amp;$J134&amp;"|"&amp;9,Assessments!$A$2:$A$600,0)),"")</f>
        <v/>
      </c>
      <c r="CR134" s="28" t="str">
        <f aca="false">IFERROR(INDEX(Assessments!$I$2:$I$600,MATCH($H134&amp;"|"&amp;$I134&amp;"|"&amp;$J134&amp;"|"&amp;10,Assessments!$A$2:$A$600,0)),"")</f>
        <v/>
      </c>
      <c r="CS134" s="28" t="str">
        <f aca="false">IFERROR(INDEX(Assessments!$I$2:$I$600,MATCH($H134&amp;"|"&amp;$I134&amp;"|"&amp;$J134&amp;"|"&amp;11,Assessments!$A$2:$A$600,0)),"")</f>
        <v/>
      </c>
      <c r="CT134" s="28" t="str">
        <f aca="false">IFERROR(INDEX(Assessments!$I$2:$I$600,MATCH($H134&amp;"|"&amp;$I134&amp;"|"&amp;$J134&amp;"|"&amp;12,Assessments!$A$2:$A$600,0)),"")</f>
        <v/>
      </c>
      <c r="CU134" s="28" t="str">
        <f aca="false">IFERROR(INDEX(Assessments!$I$2:$I$600,MATCH($H134&amp;"|"&amp;$I134&amp;"|"&amp;$J134&amp;"|"&amp;13,Assessments!$A$2:$A$600,0)),"")</f>
        <v/>
      </c>
      <c r="CV134" s="28" t="str">
        <f aca="false">IFERROR(INDEX(Assessments!$I$2:$I$600,MATCH($H134&amp;"|"&amp;$I134&amp;"|"&amp;$J134&amp;"|"&amp;14,Assessments!$A$2:$A$600,0)),"")</f>
        <v/>
      </c>
      <c r="CW134" s="28" t="n">
        <f aca="false">IFERROR(INDEX(Assessments!$J$2:$J$600,MATCH($H134&amp;"|"&amp;$I134&amp;"|"&amp;$J134&amp;"|"&amp;1,Assessments!$A$2:$A$600,0)),0)</f>
        <v>1</v>
      </c>
      <c r="CX134" s="28" t="n">
        <f aca="false">IFERROR(INDEX(Assessments!$J$2:$J$600,MATCH($H134&amp;"|"&amp;$I134&amp;"|"&amp;$J134&amp;"|"&amp;2,Assessments!$A$2:$A$600,0)),0)</f>
        <v>1</v>
      </c>
      <c r="CY134" s="28" t="n">
        <f aca="false">IFERROR(INDEX(Assessments!$J$2:$J$600,MATCH($H134&amp;"|"&amp;$I134&amp;"|"&amp;$J134&amp;"|"&amp;3,Assessments!$A$2:$A$600,0)),0)</f>
        <v>1</v>
      </c>
      <c r="CZ134" s="28" t="n">
        <f aca="false">IFERROR(INDEX(Assessments!$J$2:$J$600,MATCH($H134&amp;"|"&amp;$I134&amp;"|"&amp;$J134&amp;"|"&amp;4,Assessments!$A$2:$A$600,0)),0)</f>
        <v>2</v>
      </c>
      <c r="DA134" s="28" t="n">
        <f aca="false">IFERROR(INDEX(Assessments!$J$2:$J$600,MATCH($H134&amp;"|"&amp;$I134&amp;"|"&amp;$J134&amp;"|"&amp;5,Assessments!$A$2:$A$600,0)),0)</f>
        <v>1</v>
      </c>
      <c r="DB134" s="28" t="n">
        <f aca="false">IFERROR(INDEX(Assessments!$J$2:$J$600,MATCH($H134&amp;"|"&amp;$I134&amp;"|"&amp;$J134&amp;"|"&amp;6,Assessments!$A$2:$A$600,0)),0)</f>
        <v>1</v>
      </c>
      <c r="DC134" s="28" t="n">
        <f aca="false">IFERROR(INDEX(Assessments!$J$2:$J$600,MATCH($H134&amp;"|"&amp;$I134&amp;"|"&amp;$J134&amp;"|"&amp;7,Assessments!$A$2:$A$600,0)),0)</f>
        <v>2</v>
      </c>
      <c r="DD134" s="28" t="n">
        <f aca="false">IFERROR(INDEX(Assessments!$J$2:$J$600,MATCH($H134&amp;"|"&amp;$I134&amp;"|"&amp;$J134&amp;"|"&amp;8,Assessments!$A$2:$A$600,0)),0)</f>
        <v>0</v>
      </c>
      <c r="DE134" s="28" t="n">
        <f aca="false">IFERROR(INDEX(Assessments!$J$2:$J$600,MATCH($H134&amp;"|"&amp;$I134&amp;"|"&amp;$J134&amp;"|"&amp;9,Assessments!$A$2:$A$600,0)),0)</f>
        <v>0</v>
      </c>
      <c r="DF134" s="28" t="n">
        <f aca="false">IFERROR(INDEX(Assessments!$J$2:$J$600,MATCH($H134&amp;"|"&amp;$I134&amp;"|"&amp;$J134&amp;"|"&amp;10,Assessments!$A$2:$A$600,0)),0)</f>
        <v>0</v>
      </c>
      <c r="DG134" s="28" t="n">
        <f aca="false">IFERROR(INDEX(Assessments!$J$2:$J$600,MATCH($H134&amp;"|"&amp;$I134&amp;"|"&amp;$J134&amp;"|"&amp;11,Assessments!$A$2:$A$600,0)),0)</f>
        <v>0</v>
      </c>
      <c r="DH134" s="28" t="n">
        <f aca="false">IFERROR(INDEX(Assessments!$J$2:$J$600,MATCH($H134&amp;"|"&amp;$I134&amp;"|"&amp;$J134&amp;"|"&amp;12,Assessments!$A$2:$A$600,0)),0)</f>
        <v>0</v>
      </c>
      <c r="DI134" s="28" t="n">
        <f aca="false">IFERROR(INDEX(Assessments!$J$2:$J$600,MATCH($H134&amp;"|"&amp;$I134&amp;"|"&amp;$J134&amp;"|"&amp;13,Assessments!$A$2:$A$600,0)),0)</f>
        <v>0</v>
      </c>
      <c r="DJ134" s="28" t="n">
        <f aca="false">IFERROR(INDEX(Assessments!$J$2:$J$600,MATCH($H134&amp;"|"&amp;$I134&amp;"|"&amp;$J134&amp;"|"&amp;14,Assessments!$A$2:$A$600,0)),0)</f>
        <v>0</v>
      </c>
      <c r="DK134" s="28" t="n">
        <f aca="false">S134</f>
        <v>7</v>
      </c>
      <c r="DL134" s="28" t="n">
        <f aca="false">W134</f>
        <v>6</v>
      </c>
      <c r="DM134" s="28" t="n">
        <f aca="false">AA134</f>
        <v>5</v>
      </c>
      <c r="DN134" s="28" t="n">
        <f aca="false">AE134</f>
        <v>7</v>
      </c>
      <c r="DO134" s="28" t="str">
        <f aca="false">AI134</f>
        <v/>
      </c>
      <c r="DP134" s="28" t="str">
        <f aca="false">AM134</f>
        <v/>
      </c>
      <c r="DQ134" s="28" t="n">
        <f aca="false">AQ134</f>
        <v>5</v>
      </c>
      <c r="DR134" s="28" t="str">
        <f aca="false">AU134</f>
        <v/>
      </c>
      <c r="DS134" s="28" t="str">
        <f aca="false">AY134</f>
        <v/>
      </c>
      <c r="DT134" s="28" t="str">
        <f aca="false">BC134</f>
        <v/>
      </c>
      <c r="DU134" s="28" t="str">
        <f aca="false">BG134</f>
        <v/>
      </c>
      <c r="DV134" s="28" t="str">
        <f aca="false">BK134</f>
        <v/>
      </c>
      <c r="DW134" s="28" t="str">
        <f aca="false">BO134</f>
        <v/>
      </c>
      <c r="DX134" s="28" t="str">
        <f aca="false">BS134</f>
        <v/>
      </c>
      <c r="DY134" s="28" t="n">
        <f aca="false">IF(ISNUMBER(S134),1,"")</f>
        <v>1</v>
      </c>
      <c r="DZ134" s="28" t="n">
        <f aca="false">IF(ISNUMBER(W134),2,"")</f>
        <v>2</v>
      </c>
      <c r="EA134" s="28" t="n">
        <f aca="false">IF(ISNUMBER(AA134),3,"")</f>
        <v>3</v>
      </c>
      <c r="EB134" s="28" t="n">
        <f aca="false">IF(ISNUMBER(AE134),4,"")</f>
        <v>4</v>
      </c>
      <c r="EC134" s="28" t="str">
        <f aca="false">IF(ISNUMBER(AI134),5,"")</f>
        <v/>
      </c>
      <c r="ED134" s="28" t="str">
        <f aca="false">IF(ISNUMBER(AM134),6,"")</f>
        <v/>
      </c>
      <c r="EE134" s="28" t="n">
        <f aca="false">IF(ISNUMBER(AQ134),7,"")</f>
        <v>7</v>
      </c>
      <c r="EF134" s="28" t="str">
        <f aca="false">IF(ISNUMBER(AU134),8,"")</f>
        <v/>
      </c>
      <c r="EG134" s="28" t="str">
        <f aca="false">IF(ISNUMBER(AY134),9,"")</f>
        <v/>
      </c>
      <c r="EH134" s="28" t="str">
        <f aca="false">IF(ISNUMBER(BC134),10,"")</f>
        <v/>
      </c>
      <c r="EI134" s="28" t="str">
        <f aca="false">IF(ISNUMBER(BG134),11,"")</f>
        <v/>
      </c>
      <c r="EJ134" s="28" t="str">
        <f aca="false">IF(ISNUMBER(BK134),12,"")</f>
        <v/>
      </c>
      <c r="EK134" s="28" t="str">
        <f aca="false">IF(ISNUMBER(BO134),13,"")</f>
        <v/>
      </c>
      <c r="EL134" s="28" t="str">
        <f aca="false">IF(ISNUMBER(BS134),14,"")</f>
        <v/>
      </c>
      <c r="EM134" s="28" t="n">
        <f aca="false">IF(ISNUMBER(R134),R134*CW134,0)</f>
        <v>83.3333333333333</v>
      </c>
      <c r="EN134" s="28" t="n">
        <f aca="false">IF(ISNUMBER(V134),V134*CX134,0)</f>
        <v>70</v>
      </c>
      <c r="EO134" s="28" t="n">
        <f aca="false">IF(ISNUMBER(Z134),Z134*CY134,0)</f>
        <v>60</v>
      </c>
      <c r="EP134" s="28" t="n">
        <f aca="false">IF(ISNUMBER(AD134),AD134*CZ134,0)</f>
        <v>160</v>
      </c>
      <c r="EQ134" s="28" t="n">
        <f aca="false">IF(ISNUMBER(AH134),AH134*DA134,0)</f>
        <v>0</v>
      </c>
      <c r="ER134" s="28" t="n">
        <f aca="false">IF(ISNUMBER(AL134),AL134*DB134,0)</f>
        <v>0</v>
      </c>
      <c r="ES134" s="28" t="n">
        <f aca="false">IF(ISNUMBER(AP134),AP134*DC134,0)</f>
        <v>142.857142857143</v>
      </c>
      <c r="ET134" s="28" t="n">
        <f aca="false">IF(ISNUMBER(AT134),AT134*DD134,0)</f>
        <v>0</v>
      </c>
      <c r="EU134" s="28" t="n">
        <f aca="false">IF(ISNUMBER(AX134),AX134*DE134,0)</f>
        <v>0</v>
      </c>
      <c r="EV134" s="28" t="n">
        <f aca="false">IF(ISNUMBER(BB134),BB134*DF134,0)</f>
        <v>0</v>
      </c>
      <c r="EW134" s="28" t="n">
        <f aca="false">IF(ISNUMBER(BF134),BF134*DG134,0)</f>
        <v>0</v>
      </c>
      <c r="EX134" s="28" t="n">
        <f aca="false">IF(ISNUMBER(BJ134),BJ134*DH134,0)</f>
        <v>0</v>
      </c>
      <c r="EY134" s="28" t="n">
        <f aca="false">IF(ISNUMBER(BN134),BN134*DI134,0)</f>
        <v>0</v>
      </c>
      <c r="EZ134" s="28" t="n">
        <f aca="false">IF(ISNUMBER(BR134),BR134*DJ134,0)</f>
        <v>0</v>
      </c>
      <c r="FA134" s="28" t="n">
        <f aca="false">IF(ISNUMBER(R134),CW134,0)</f>
        <v>1</v>
      </c>
      <c r="FB134" s="28" t="n">
        <f aca="false">IF(ISNUMBER(V134),CX134,0)</f>
        <v>1</v>
      </c>
      <c r="FC134" s="28" t="n">
        <f aca="false">IF(ISNUMBER(Z134),CY134,0)</f>
        <v>1</v>
      </c>
      <c r="FD134" s="28" t="n">
        <f aca="false">IF(ISNUMBER(AD134),CZ134,0)</f>
        <v>2</v>
      </c>
      <c r="FE134" s="28" t="n">
        <f aca="false">IF(ISNUMBER(AH134),DA134,0)</f>
        <v>0</v>
      </c>
      <c r="FF134" s="28" t="n">
        <f aca="false">IF(ISNUMBER(AL134),DB134,0)</f>
        <v>0</v>
      </c>
      <c r="FG134" s="28" t="n">
        <f aca="false">IF(ISNUMBER(AP134),DC134,0)</f>
        <v>2</v>
      </c>
      <c r="FH134" s="28" t="n">
        <f aca="false">IF(ISNUMBER(AT134),DD134,0)</f>
        <v>0</v>
      </c>
      <c r="FI134" s="28" t="n">
        <f aca="false">IF(ISNUMBER(AX134),DE134,0)</f>
        <v>0</v>
      </c>
      <c r="FJ134" s="28" t="n">
        <f aca="false">IF(ISNUMBER(BB134),DF134,0)</f>
        <v>0</v>
      </c>
      <c r="FK134" s="28" t="n">
        <f aca="false">IF(ISNUMBER(BF134),DG134,0)</f>
        <v>0</v>
      </c>
      <c r="FL134" s="28" t="n">
        <f aca="false">IF(ISNUMBER(BJ134),DH134,0)</f>
        <v>0</v>
      </c>
      <c r="FM134" s="28" t="n">
        <f aca="false">IF(ISNUMBER(BN134),DI134,0)</f>
        <v>0</v>
      </c>
      <c r="FN134" s="28" t="n">
        <f aca="false">IF(ISNUMBER(BR134),DJ134,0)</f>
        <v>0</v>
      </c>
      <c r="FO134" s="28" t="str">
        <f aca="false">IFERROR(INDEX(Lists!$G$2:$G$20,MATCH($I134&amp;"|"&amp;$J134,Lists!$F$2:$F$20,0)),"")</f>
        <v>BM Exam</v>
      </c>
    </row>
    <row r="135" customFormat="false" ht="19.5" hidden="false" customHeight="true" outlineLevel="0" collapsed="false">
      <c r="A135" s="29" t="s">
        <v>283</v>
      </c>
      <c r="B135" s="29" t="s">
        <v>284</v>
      </c>
      <c r="C135" s="30" t="s">
        <v>152</v>
      </c>
      <c r="D135" s="30" t="s">
        <v>364</v>
      </c>
      <c r="E135" s="31" t="n">
        <v>6</v>
      </c>
      <c r="F135" s="30" t="n">
        <v>6</v>
      </c>
      <c r="G135" s="30"/>
      <c r="H135" s="32" t="s">
        <v>23</v>
      </c>
      <c r="I135" s="33" t="s">
        <v>365</v>
      </c>
      <c r="J135" s="32" t="s">
        <v>25</v>
      </c>
      <c r="K135" s="34" t="n">
        <f aca="false">IF(OR(M135="",$E135=""),"",M135-$E135)</f>
        <v>1</v>
      </c>
      <c r="L135" s="35" t="n">
        <f aca="false">IF(SUM(FA135:FN135)=0,"",SUM(EM135:EZ135)/SUM(FA135:FN135))</f>
        <v>77.3809523809524</v>
      </c>
      <c r="M135" s="36" t="n">
        <f aca="false">IF(OR(L135="",FO135=""),"",IFERROR(MATCH(L135,INDEX(Boundaries!$B$2:$I$30,MATCH(FO135,Boundaries!$A$2:$A$30,0),0),1)-1,""))</f>
        <v>7</v>
      </c>
      <c r="N135" s="37" t="n">
        <f aca="false">IF(COUNT($DY135:$EL135)&lt;2,"",INDEX($DK135:$DX135,MAX($DY135:$EL135))-INDEX($DK135:$DX135,MIN($DY135:$EL135)))</f>
        <v>0</v>
      </c>
      <c r="O135" s="37" t="n">
        <f aca="false">IF(COUNT($DY135:$EL135)&lt;2,"",INDEX($DK135:$DX135,MAX($DY135:$EL135))-INDEX($DK135:$DX135,LARGE($DY135:$EL135,2)))</f>
        <v>2</v>
      </c>
      <c r="P135" s="38" t="str">
        <f aca="false">IF(K135="","",IF(K135&gt;=0,"On/above target",IF(AND(N135&lt;&gt;"",N135&gt;=0.5),"Improving towards target",IF(AND(O135&lt;&gt;"",O135&lt;=-0.5),"Declining","Stable below target"))))</f>
        <v>On/above target</v>
      </c>
      <c r="Q135" s="39" t="n">
        <v>22</v>
      </c>
      <c r="R135" s="40" t="n">
        <f aca="false">IF(OR(Q135="",BU135=""),"",Q135/BU135*100)</f>
        <v>91.6666666666667</v>
      </c>
      <c r="S135" s="41" t="n">
        <f aca="false">IF(R135="","",IFERROR(MATCH(R135,INDEX(Boundaries!$B$2:$I$30,MATCH(CI135,Boundaries!$A$2:$A$30,0),0),1)-1,""))</f>
        <v>7</v>
      </c>
      <c r="T135" s="42" t="n">
        <f aca="false">IF(OR(S135="",$E135=""),"",S135-$E135)</f>
        <v>1</v>
      </c>
      <c r="U135" s="39" t="n">
        <v>15</v>
      </c>
      <c r="V135" s="40" t="n">
        <f aca="false">IF(OR(U135="",BV135=""),"",U135/BV135*100)</f>
        <v>75</v>
      </c>
      <c r="W135" s="41" t="n">
        <f aca="false">IF(V135="","",IFERROR(MATCH(V135,INDEX(Boundaries!$B$2:$I$30,MATCH(CJ135,Boundaries!$A$2:$A$30,0),0),1)-1,""))</f>
        <v>7</v>
      </c>
      <c r="X135" s="42" t="n">
        <f aca="false">IF(OR(W135="",$E135=""),"",W135-$E135)</f>
        <v>1</v>
      </c>
      <c r="Y135" s="39" t="n">
        <v>14</v>
      </c>
      <c r="Z135" s="40" t="n">
        <f aca="false">IF(OR(Y135="",BW135=""),"",Y135/BW135*100)</f>
        <v>70</v>
      </c>
      <c r="AA135" s="41" t="n">
        <f aca="false">IF(Z135="","",IFERROR(MATCH(Z135,INDEX(Boundaries!$B$2:$I$30,MATCH(CK135,Boundaries!$A$2:$A$30,0),0),1)-1,""))</f>
        <v>6</v>
      </c>
      <c r="AB135" s="42" t="n">
        <f aca="false">IF(OR(AA135="",$E135=""),"",AA135-$E135)</f>
        <v>0</v>
      </c>
      <c r="AC135" s="39" t="n">
        <v>21</v>
      </c>
      <c r="AD135" s="40" t="n">
        <f aca="false">IF(OR(AC135="",BX135=""),"",AC135/BX135*100)</f>
        <v>52.5</v>
      </c>
      <c r="AE135" s="41" t="n">
        <f aca="false">IF(AD135="","",IFERROR(MATCH(AD135,INDEX(Boundaries!$B$2:$I$30,MATCH(CL135,Boundaries!$A$2:$A$30,0),0),1)-1,""))</f>
        <v>5</v>
      </c>
      <c r="AF135" s="42" t="n">
        <f aca="false">IF(OR(AE135="",$E135=""),"",AE135-$E135)</f>
        <v>-1</v>
      </c>
      <c r="AG135" s="39"/>
      <c r="AH135" s="40" t="str">
        <f aca="false">IF(OR(AG135="",BY135=""),"",AG135/BY135*100)</f>
        <v/>
      </c>
      <c r="AI135" s="41" t="str">
        <f aca="false">IF(AH135="","",IFERROR(MATCH(AH135,INDEX(Boundaries!$B$2:$I$30,MATCH(CM135,Boundaries!$A$2:$A$30,0),0),1)-1,""))</f>
        <v/>
      </c>
      <c r="AJ135" s="42" t="str">
        <f aca="false">IF(OR(AI135="",$E135=""),"",AI135-$E135)</f>
        <v/>
      </c>
      <c r="AK135" s="39"/>
      <c r="AL135" s="40" t="str">
        <f aca="false">IF(OR(AK135="",BZ135=""),"",AK135/BZ135*100)</f>
        <v/>
      </c>
      <c r="AM135" s="41" t="str">
        <f aca="false">IF(AL135="","",IFERROR(MATCH(AL135,INDEX(Boundaries!$B$2:$I$30,MATCH(CN135,Boundaries!$A$2:$A$30,0),0),1)-1,""))</f>
        <v/>
      </c>
      <c r="AN135" s="42" t="str">
        <f aca="false">IF(OR(AM135="",$E135=""),"",AM135-$E135)</f>
        <v/>
      </c>
      <c r="AO135" s="39" t="n">
        <v>7</v>
      </c>
      <c r="AP135" s="40" t="n">
        <f aca="false">IF(OR(AO135="",CA135=""),"",AO135/CA135*100)</f>
        <v>100</v>
      </c>
      <c r="AQ135" s="41" t="n">
        <f aca="false">IF(AP135="","",IFERROR(MATCH(AP135,INDEX(Boundaries!$B$2:$I$30,MATCH(CO135,Boundaries!$A$2:$A$30,0),0),1)-1,""))</f>
        <v>7</v>
      </c>
      <c r="AR135" s="42" t="n">
        <f aca="false">IF(OR(AQ135="",$E135=""),"",AQ135-$E135)</f>
        <v>1</v>
      </c>
      <c r="AS135" s="39"/>
      <c r="AT135" s="40" t="str">
        <f aca="false">IF(OR(AS135="",CB135=""),"",AS135/CB135*100)</f>
        <v/>
      </c>
      <c r="AU135" s="41" t="str">
        <f aca="false">IF(AT135="","",IFERROR(MATCH(AT135,INDEX(Boundaries!$B$2:$I$30,MATCH(CP135,Boundaries!$A$2:$A$30,0),0),1)-1,""))</f>
        <v/>
      </c>
      <c r="AV135" s="42" t="str">
        <f aca="false">IF(OR(AU135="",$E135=""),"",AU135-$E135)</f>
        <v/>
      </c>
      <c r="AW135" s="39"/>
      <c r="AX135" s="40" t="str">
        <f aca="false">IF(OR(AW135="",CC135=""),"",AW135/CC135*100)</f>
        <v/>
      </c>
      <c r="AY135" s="41" t="str">
        <f aca="false">IF(AX135="","",IFERROR(MATCH(AX135,INDEX(Boundaries!$B$2:$I$30,MATCH(CQ135,Boundaries!$A$2:$A$30,0),0),1)-1,""))</f>
        <v/>
      </c>
      <c r="AZ135" s="42" t="str">
        <f aca="false">IF(OR(AY135="",$E135=""),"",AY135-$E135)</f>
        <v/>
      </c>
      <c r="BA135" s="39"/>
      <c r="BB135" s="40" t="str">
        <f aca="false">IF(OR(BA135="",CD135=""),"",BA135/CD135*100)</f>
        <v/>
      </c>
      <c r="BC135" s="41" t="str">
        <f aca="false">IF(BB135="","",IFERROR(MATCH(BB135,INDEX(Boundaries!$B$2:$I$30,MATCH(CR135,Boundaries!$A$2:$A$30,0),0),1)-1,""))</f>
        <v/>
      </c>
      <c r="BD135" s="42" t="str">
        <f aca="false">IF(OR(BC135="",$E135=""),"",BC135-$E135)</f>
        <v/>
      </c>
      <c r="BE135" s="39"/>
      <c r="BF135" s="40" t="str">
        <f aca="false">IF(OR(BE135="",CE135=""),"",BE135/CE135*100)</f>
        <v/>
      </c>
      <c r="BG135" s="41" t="str">
        <f aca="false">IF(BF135="","",IFERROR(MATCH(BF135,INDEX(Boundaries!$B$2:$I$30,MATCH(CS135,Boundaries!$A$2:$A$30,0),0),1)-1,""))</f>
        <v/>
      </c>
      <c r="BH135" s="42" t="str">
        <f aca="false">IF(OR(BG135="",$E135=""),"",BG135-$E135)</f>
        <v/>
      </c>
      <c r="BI135" s="39"/>
      <c r="BJ135" s="40" t="str">
        <f aca="false">IF(OR(BI135="",CF135=""),"",BI135/CF135*100)</f>
        <v/>
      </c>
      <c r="BK135" s="41" t="str">
        <f aca="false">IF(BJ135="","",IFERROR(MATCH(BJ135,INDEX(Boundaries!$B$2:$I$30,MATCH(CT135,Boundaries!$A$2:$A$30,0),0),1)-1,""))</f>
        <v/>
      </c>
      <c r="BL135" s="42" t="str">
        <f aca="false">IF(OR(BK135="",$E135=""),"",BK135-$E135)</f>
        <v/>
      </c>
      <c r="BM135" s="39"/>
      <c r="BN135" s="40" t="str">
        <f aca="false">IF(OR(BM135="",CG135=""),"",BM135/CG135*100)</f>
        <v/>
      </c>
      <c r="BO135" s="41" t="str">
        <f aca="false">IF(BN135="","",IFERROR(MATCH(BN135,INDEX(Boundaries!$B$2:$I$30,MATCH(CU135,Boundaries!$A$2:$A$30,0),0),1)-1,""))</f>
        <v/>
      </c>
      <c r="BP135" s="42" t="str">
        <f aca="false">IF(OR(BO135="",$E135=""),"",BO135-$E135)</f>
        <v/>
      </c>
      <c r="BQ135" s="39"/>
      <c r="BR135" s="40" t="str">
        <f aca="false">IF(OR(BQ135="",CH135=""),"",BQ135/CH135*100)</f>
        <v/>
      </c>
      <c r="BS135" s="41" t="str">
        <f aca="false">IF(BR135="","",IFERROR(MATCH(BR135,INDEX(Boundaries!$B$2:$I$30,MATCH(CV135,Boundaries!$A$2:$A$30,0),0),1)-1,""))</f>
        <v/>
      </c>
      <c r="BT135" s="42" t="str">
        <f aca="false">IF(OR(BS135="",$E135=""),"",BS135-$E135)</f>
        <v/>
      </c>
      <c r="BU135" s="28" t="n">
        <f aca="false">IFERROR(INDEX(Assessments!$H$2:$H$600,MATCH($H135&amp;"|"&amp;$I135&amp;"|"&amp;$J135&amp;"|"&amp;1,Assessments!$A$2:$A$600,0)),"")</f>
        <v>24</v>
      </c>
      <c r="BV135" s="28" t="n">
        <f aca="false">IFERROR(INDEX(Assessments!$H$2:$H$600,MATCH($H135&amp;"|"&amp;$I135&amp;"|"&amp;$J135&amp;"|"&amp;2,Assessments!$A$2:$A$600,0)),"")</f>
        <v>20</v>
      </c>
      <c r="BW135" s="28" t="n">
        <f aca="false">IFERROR(INDEX(Assessments!$H$2:$H$600,MATCH($H135&amp;"|"&amp;$I135&amp;"|"&amp;$J135&amp;"|"&amp;3,Assessments!$A$2:$A$600,0)),"")</f>
        <v>20</v>
      </c>
      <c r="BX135" s="28" t="n">
        <f aca="false">IFERROR(INDEX(Assessments!$H$2:$H$600,MATCH($H135&amp;"|"&amp;$I135&amp;"|"&amp;$J135&amp;"|"&amp;4,Assessments!$A$2:$A$600,0)),"")</f>
        <v>40</v>
      </c>
      <c r="BY135" s="28" t="n">
        <f aca="false">IFERROR(INDEX(Assessments!$H$2:$H$600,MATCH($H135&amp;"|"&amp;$I135&amp;"|"&amp;$J135&amp;"|"&amp;5,Assessments!$A$2:$A$600,0)),"")</f>
        <v>30</v>
      </c>
      <c r="BZ135" s="28" t="n">
        <f aca="false">IFERROR(INDEX(Assessments!$H$2:$H$600,MATCH($H135&amp;"|"&amp;$I135&amp;"|"&amp;$J135&amp;"|"&amp;6,Assessments!$A$2:$A$600,0)),"")</f>
        <v>20</v>
      </c>
      <c r="CA135" s="28" t="n">
        <f aca="false">IFERROR(INDEX(Assessments!$H$2:$H$600,MATCH($H135&amp;"|"&amp;$I135&amp;"|"&amp;$J135&amp;"|"&amp;7,Assessments!$A$2:$A$600,0)),"")</f>
        <v>7</v>
      </c>
      <c r="CB135" s="28" t="str">
        <f aca="false">IFERROR(INDEX(Assessments!$H$2:$H$600,MATCH($H135&amp;"|"&amp;$I135&amp;"|"&amp;$J135&amp;"|"&amp;8,Assessments!$A$2:$A$600,0)),"")</f>
        <v/>
      </c>
      <c r="CC135" s="28" t="str">
        <f aca="false">IFERROR(INDEX(Assessments!$H$2:$H$600,MATCH($H135&amp;"|"&amp;$I135&amp;"|"&amp;$J135&amp;"|"&amp;9,Assessments!$A$2:$A$600,0)),"")</f>
        <v/>
      </c>
      <c r="CD135" s="28" t="str">
        <f aca="false">IFERROR(INDEX(Assessments!$H$2:$H$600,MATCH($H135&amp;"|"&amp;$I135&amp;"|"&amp;$J135&amp;"|"&amp;10,Assessments!$A$2:$A$600,0)),"")</f>
        <v/>
      </c>
      <c r="CE135" s="28" t="str">
        <f aca="false">IFERROR(INDEX(Assessments!$H$2:$H$600,MATCH($H135&amp;"|"&amp;$I135&amp;"|"&amp;$J135&amp;"|"&amp;11,Assessments!$A$2:$A$600,0)),"")</f>
        <v/>
      </c>
      <c r="CF135" s="28" t="str">
        <f aca="false">IFERROR(INDEX(Assessments!$H$2:$H$600,MATCH($H135&amp;"|"&amp;$I135&amp;"|"&amp;$J135&amp;"|"&amp;12,Assessments!$A$2:$A$600,0)),"")</f>
        <v/>
      </c>
      <c r="CG135" s="28" t="str">
        <f aca="false">IFERROR(INDEX(Assessments!$H$2:$H$600,MATCH($H135&amp;"|"&amp;$I135&amp;"|"&amp;$J135&amp;"|"&amp;13,Assessments!$A$2:$A$600,0)),"")</f>
        <v/>
      </c>
      <c r="CH135" s="28" t="str">
        <f aca="false">IFERROR(INDEX(Assessments!$H$2:$H$600,MATCH($H135&amp;"|"&amp;$I135&amp;"|"&amp;$J135&amp;"|"&amp;14,Assessments!$A$2:$A$600,0)),"")</f>
        <v/>
      </c>
      <c r="CI135" s="28" t="str">
        <f aca="false">IFERROR(INDEX(Assessments!$I$2:$I$600,MATCH($H135&amp;"|"&amp;$I135&amp;"|"&amp;$J135&amp;"|"&amp;1,Assessments!$A$2:$A$600,0)),"")</f>
        <v>BM Test</v>
      </c>
      <c r="CJ135" s="28" t="str">
        <f aca="false">IFERROR(INDEX(Assessments!$I$2:$I$600,MATCH($H135&amp;"|"&amp;$I135&amp;"|"&amp;$J135&amp;"|"&amp;2,Assessments!$A$2:$A$600,0)),"")</f>
        <v>BM Test</v>
      </c>
      <c r="CK135" s="28" t="str">
        <f aca="false">IFERROR(INDEX(Assessments!$I$2:$I$600,MATCH($H135&amp;"|"&amp;$I135&amp;"|"&amp;$J135&amp;"|"&amp;3,Assessments!$A$2:$A$600,0)),"")</f>
        <v>BM Test</v>
      </c>
      <c r="CL135" s="28" t="str">
        <f aca="false">IFERROR(INDEX(Assessments!$I$2:$I$600,MATCH($H135&amp;"|"&amp;$I135&amp;"|"&amp;$J135&amp;"|"&amp;4,Assessments!$A$2:$A$600,0)),"")</f>
        <v>BM Exam</v>
      </c>
      <c r="CM135" s="28" t="str">
        <f aca="false">IFERROR(INDEX(Assessments!$I$2:$I$600,MATCH($H135&amp;"|"&amp;$I135&amp;"|"&amp;$J135&amp;"|"&amp;5,Assessments!$A$2:$A$600,0)),"")</f>
        <v>BM Test</v>
      </c>
      <c r="CN135" s="28" t="str">
        <f aca="false">IFERROR(INDEX(Assessments!$I$2:$I$600,MATCH($H135&amp;"|"&amp;$I135&amp;"|"&amp;$J135&amp;"|"&amp;6,Assessments!$A$2:$A$600,0)),"")</f>
        <v>BM Test</v>
      </c>
      <c r="CO135" s="28" t="str">
        <f aca="false">IFERROR(INDEX(Assessments!$I$2:$I$600,MATCH($H135&amp;"|"&amp;$I135&amp;"|"&amp;$J135&amp;"|"&amp;7,Assessments!$A$2:$A$600,0)),"")</f>
        <v>Grade entered</v>
      </c>
      <c r="CP135" s="28" t="str">
        <f aca="false">IFERROR(INDEX(Assessments!$I$2:$I$600,MATCH($H135&amp;"|"&amp;$I135&amp;"|"&amp;$J135&amp;"|"&amp;8,Assessments!$A$2:$A$600,0)),"")</f>
        <v/>
      </c>
      <c r="CQ135" s="28" t="str">
        <f aca="false">IFERROR(INDEX(Assessments!$I$2:$I$600,MATCH($H135&amp;"|"&amp;$I135&amp;"|"&amp;$J135&amp;"|"&amp;9,Assessments!$A$2:$A$600,0)),"")</f>
        <v/>
      </c>
      <c r="CR135" s="28" t="str">
        <f aca="false">IFERROR(INDEX(Assessments!$I$2:$I$600,MATCH($H135&amp;"|"&amp;$I135&amp;"|"&amp;$J135&amp;"|"&amp;10,Assessments!$A$2:$A$600,0)),"")</f>
        <v/>
      </c>
      <c r="CS135" s="28" t="str">
        <f aca="false">IFERROR(INDEX(Assessments!$I$2:$I$600,MATCH($H135&amp;"|"&amp;$I135&amp;"|"&amp;$J135&amp;"|"&amp;11,Assessments!$A$2:$A$600,0)),"")</f>
        <v/>
      </c>
      <c r="CT135" s="28" t="str">
        <f aca="false">IFERROR(INDEX(Assessments!$I$2:$I$600,MATCH($H135&amp;"|"&amp;$I135&amp;"|"&amp;$J135&amp;"|"&amp;12,Assessments!$A$2:$A$600,0)),"")</f>
        <v/>
      </c>
      <c r="CU135" s="28" t="str">
        <f aca="false">IFERROR(INDEX(Assessments!$I$2:$I$600,MATCH($H135&amp;"|"&amp;$I135&amp;"|"&amp;$J135&amp;"|"&amp;13,Assessments!$A$2:$A$600,0)),"")</f>
        <v/>
      </c>
      <c r="CV135" s="28" t="str">
        <f aca="false">IFERROR(INDEX(Assessments!$I$2:$I$600,MATCH($H135&amp;"|"&amp;$I135&amp;"|"&amp;$J135&amp;"|"&amp;14,Assessments!$A$2:$A$600,0)),"")</f>
        <v/>
      </c>
      <c r="CW135" s="28" t="n">
        <f aca="false">IFERROR(INDEX(Assessments!$J$2:$J$600,MATCH($H135&amp;"|"&amp;$I135&amp;"|"&amp;$J135&amp;"|"&amp;1,Assessments!$A$2:$A$600,0)),0)</f>
        <v>1</v>
      </c>
      <c r="CX135" s="28" t="n">
        <f aca="false">IFERROR(INDEX(Assessments!$J$2:$J$600,MATCH($H135&amp;"|"&amp;$I135&amp;"|"&amp;$J135&amp;"|"&amp;2,Assessments!$A$2:$A$600,0)),0)</f>
        <v>1</v>
      </c>
      <c r="CY135" s="28" t="n">
        <f aca="false">IFERROR(INDEX(Assessments!$J$2:$J$600,MATCH($H135&amp;"|"&amp;$I135&amp;"|"&amp;$J135&amp;"|"&amp;3,Assessments!$A$2:$A$600,0)),0)</f>
        <v>1</v>
      </c>
      <c r="CZ135" s="28" t="n">
        <f aca="false">IFERROR(INDEX(Assessments!$J$2:$J$600,MATCH($H135&amp;"|"&amp;$I135&amp;"|"&amp;$J135&amp;"|"&amp;4,Assessments!$A$2:$A$600,0)),0)</f>
        <v>2</v>
      </c>
      <c r="DA135" s="28" t="n">
        <f aca="false">IFERROR(INDEX(Assessments!$J$2:$J$600,MATCH($H135&amp;"|"&amp;$I135&amp;"|"&amp;$J135&amp;"|"&amp;5,Assessments!$A$2:$A$600,0)),0)</f>
        <v>1</v>
      </c>
      <c r="DB135" s="28" t="n">
        <f aca="false">IFERROR(INDEX(Assessments!$J$2:$J$600,MATCH($H135&amp;"|"&amp;$I135&amp;"|"&amp;$J135&amp;"|"&amp;6,Assessments!$A$2:$A$600,0)),0)</f>
        <v>1</v>
      </c>
      <c r="DC135" s="28" t="n">
        <f aca="false">IFERROR(INDEX(Assessments!$J$2:$J$600,MATCH($H135&amp;"|"&amp;$I135&amp;"|"&amp;$J135&amp;"|"&amp;7,Assessments!$A$2:$A$600,0)),0)</f>
        <v>2</v>
      </c>
      <c r="DD135" s="28" t="n">
        <f aca="false">IFERROR(INDEX(Assessments!$J$2:$J$600,MATCH($H135&amp;"|"&amp;$I135&amp;"|"&amp;$J135&amp;"|"&amp;8,Assessments!$A$2:$A$600,0)),0)</f>
        <v>0</v>
      </c>
      <c r="DE135" s="28" t="n">
        <f aca="false">IFERROR(INDEX(Assessments!$J$2:$J$600,MATCH($H135&amp;"|"&amp;$I135&amp;"|"&amp;$J135&amp;"|"&amp;9,Assessments!$A$2:$A$600,0)),0)</f>
        <v>0</v>
      </c>
      <c r="DF135" s="28" t="n">
        <f aca="false">IFERROR(INDEX(Assessments!$J$2:$J$600,MATCH($H135&amp;"|"&amp;$I135&amp;"|"&amp;$J135&amp;"|"&amp;10,Assessments!$A$2:$A$600,0)),0)</f>
        <v>0</v>
      </c>
      <c r="DG135" s="28" t="n">
        <f aca="false">IFERROR(INDEX(Assessments!$J$2:$J$600,MATCH($H135&amp;"|"&amp;$I135&amp;"|"&amp;$J135&amp;"|"&amp;11,Assessments!$A$2:$A$600,0)),0)</f>
        <v>0</v>
      </c>
      <c r="DH135" s="28" t="n">
        <f aca="false">IFERROR(INDEX(Assessments!$J$2:$J$600,MATCH($H135&amp;"|"&amp;$I135&amp;"|"&amp;$J135&amp;"|"&amp;12,Assessments!$A$2:$A$600,0)),0)</f>
        <v>0</v>
      </c>
      <c r="DI135" s="28" t="n">
        <f aca="false">IFERROR(INDEX(Assessments!$J$2:$J$600,MATCH($H135&amp;"|"&amp;$I135&amp;"|"&amp;$J135&amp;"|"&amp;13,Assessments!$A$2:$A$600,0)),0)</f>
        <v>0</v>
      </c>
      <c r="DJ135" s="28" t="n">
        <f aca="false">IFERROR(INDEX(Assessments!$J$2:$J$600,MATCH($H135&amp;"|"&amp;$I135&amp;"|"&amp;$J135&amp;"|"&amp;14,Assessments!$A$2:$A$600,0)),0)</f>
        <v>0</v>
      </c>
      <c r="DK135" s="28" t="n">
        <f aca="false">S135</f>
        <v>7</v>
      </c>
      <c r="DL135" s="28" t="n">
        <f aca="false">W135</f>
        <v>7</v>
      </c>
      <c r="DM135" s="28" t="n">
        <f aca="false">AA135</f>
        <v>6</v>
      </c>
      <c r="DN135" s="28" t="n">
        <f aca="false">AE135</f>
        <v>5</v>
      </c>
      <c r="DO135" s="28" t="str">
        <f aca="false">AI135</f>
        <v/>
      </c>
      <c r="DP135" s="28" t="str">
        <f aca="false">AM135</f>
        <v/>
      </c>
      <c r="DQ135" s="28" t="n">
        <f aca="false">AQ135</f>
        <v>7</v>
      </c>
      <c r="DR135" s="28" t="str">
        <f aca="false">AU135</f>
        <v/>
      </c>
      <c r="DS135" s="28" t="str">
        <f aca="false">AY135</f>
        <v/>
      </c>
      <c r="DT135" s="28" t="str">
        <f aca="false">BC135</f>
        <v/>
      </c>
      <c r="DU135" s="28" t="str">
        <f aca="false">BG135</f>
        <v/>
      </c>
      <c r="DV135" s="28" t="str">
        <f aca="false">BK135</f>
        <v/>
      </c>
      <c r="DW135" s="28" t="str">
        <f aca="false">BO135</f>
        <v/>
      </c>
      <c r="DX135" s="28" t="str">
        <f aca="false">BS135</f>
        <v/>
      </c>
      <c r="DY135" s="28" t="n">
        <f aca="false">IF(ISNUMBER(S135),1,"")</f>
        <v>1</v>
      </c>
      <c r="DZ135" s="28" t="n">
        <f aca="false">IF(ISNUMBER(W135),2,"")</f>
        <v>2</v>
      </c>
      <c r="EA135" s="28" t="n">
        <f aca="false">IF(ISNUMBER(AA135),3,"")</f>
        <v>3</v>
      </c>
      <c r="EB135" s="28" t="n">
        <f aca="false">IF(ISNUMBER(AE135),4,"")</f>
        <v>4</v>
      </c>
      <c r="EC135" s="28" t="str">
        <f aca="false">IF(ISNUMBER(AI135),5,"")</f>
        <v/>
      </c>
      <c r="ED135" s="28" t="str">
        <f aca="false">IF(ISNUMBER(AM135),6,"")</f>
        <v/>
      </c>
      <c r="EE135" s="28" t="n">
        <f aca="false">IF(ISNUMBER(AQ135),7,"")</f>
        <v>7</v>
      </c>
      <c r="EF135" s="28" t="str">
        <f aca="false">IF(ISNUMBER(AU135),8,"")</f>
        <v/>
      </c>
      <c r="EG135" s="28" t="str">
        <f aca="false">IF(ISNUMBER(AY135),9,"")</f>
        <v/>
      </c>
      <c r="EH135" s="28" t="str">
        <f aca="false">IF(ISNUMBER(BC135),10,"")</f>
        <v/>
      </c>
      <c r="EI135" s="28" t="str">
        <f aca="false">IF(ISNUMBER(BG135),11,"")</f>
        <v/>
      </c>
      <c r="EJ135" s="28" t="str">
        <f aca="false">IF(ISNUMBER(BK135),12,"")</f>
        <v/>
      </c>
      <c r="EK135" s="28" t="str">
        <f aca="false">IF(ISNUMBER(BO135),13,"")</f>
        <v/>
      </c>
      <c r="EL135" s="28" t="str">
        <f aca="false">IF(ISNUMBER(BS135),14,"")</f>
        <v/>
      </c>
      <c r="EM135" s="28" t="n">
        <f aca="false">IF(ISNUMBER(R135),R135*CW135,0)</f>
        <v>91.6666666666667</v>
      </c>
      <c r="EN135" s="28" t="n">
        <f aca="false">IF(ISNUMBER(V135),V135*CX135,0)</f>
        <v>75</v>
      </c>
      <c r="EO135" s="28" t="n">
        <f aca="false">IF(ISNUMBER(Z135),Z135*CY135,0)</f>
        <v>70</v>
      </c>
      <c r="EP135" s="28" t="n">
        <f aca="false">IF(ISNUMBER(AD135),AD135*CZ135,0)</f>
        <v>105</v>
      </c>
      <c r="EQ135" s="28" t="n">
        <f aca="false">IF(ISNUMBER(AH135),AH135*DA135,0)</f>
        <v>0</v>
      </c>
      <c r="ER135" s="28" t="n">
        <f aca="false">IF(ISNUMBER(AL135),AL135*DB135,0)</f>
        <v>0</v>
      </c>
      <c r="ES135" s="28" t="n">
        <f aca="false">IF(ISNUMBER(AP135),AP135*DC135,0)</f>
        <v>200</v>
      </c>
      <c r="ET135" s="28" t="n">
        <f aca="false">IF(ISNUMBER(AT135),AT135*DD135,0)</f>
        <v>0</v>
      </c>
      <c r="EU135" s="28" t="n">
        <f aca="false">IF(ISNUMBER(AX135),AX135*DE135,0)</f>
        <v>0</v>
      </c>
      <c r="EV135" s="28" t="n">
        <f aca="false">IF(ISNUMBER(BB135),BB135*DF135,0)</f>
        <v>0</v>
      </c>
      <c r="EW135" s="28" t="n">
        <f aca="false">IF(ISNUMBER(BF135),BF135*DG135,0)</f>
        <v>0</v>
      </c>
      <c r="EX135" s="28" t="n">
        <f aca="false">IF(ISNUMBER(BJ135),BJ135*DH135,0)</f>
        <v>0</v>
      </c>
      <c r="EY135" s="28" t="n">
        <f aca="false">IF(ISNUMBER(BN135),BN135*DI135,0)</f>
        <v>0</v>
      </c>
      <c r="EZ135" s="28" t="n">
        <f aca="false">IF(ISNUMBER(BR135),BR135*DJ135,0)</f>
        <v>0</v>
      </c>
      <c r="FA135" s="28" t="n">
        <f aca="false">IF(ISNUMBER(R135),CW135,0)</f>
        <v>1</v>
      </c>
      <c r="FB135" s="28" t="n">
        <f aca="false">IF(ISNUMBER(V135),CX135,0)</f>
        <v>1</v>
      </c>
      <c r="FC135" s="28" t="n">
        <f aca="false">IF(ISNUMBER(Z135),CY135,0)</f>
        <v>1</v>
      </c>
      <c r="FD135" s="28" t="n">
        <f aca="false">IF(ISNUMBER(AD135),CZ135,0)</f>
        <v>2</v>
      </c>
      <c r="FE135" s="28" t="n">
        <f aca="false">IF(ISNUMBER(AH135),DA135,0)</f>
        <v>0</v>
      </c>
      <c r="FF135" s="28" t="n">
        <f aca="false">IF(ISNUMBER(AL135),DB135,0)</f>
        <v>0</v>
      </c>
      <c r="FG135" s="28" t="n">
        <f aca="false">IF(ISNUMBER(AP135),DC135,0)</f>
        <v>2</v>
      </c>
      <c r="FH135" s="28" t="n">
        <f aca="false">IF(ISNUMBER(AT135),DD135,0)</f>
        <v>0</v>
      </c>
      <c r="FI135" s="28" t="n">
        <f aca="false">IF(ISNUMBER(AX135),DE135,0)</f>
        <v>0</v>
      </c>
      <c r="FJ135" s="28" t="n">
        <f aca="false">IF(ISNUMBER(BB135),DF135,0)</f>
        <v>0</v>
      </c>
      <c r="FK135" s="28" t="n">
        <f aca="false">IF(ISNUMBER(BF135),DG135,0)</f>
        <v>0</v>
      </c>
      <c r="FL135" s="28" t="n">
        <f aca="false">IF(ISNUMBER(BJ135),DH135,0)</f>
        <v>0</v>
      </c>
      <c r="FM135" s="28" t="n">
        <f aca="false">IF(ISNUMBER(BN135),DI135,0)</f>
        <v>0</v>
      </c>
      <c r="FN135" s="28" t="n">
        <f aca="false">IF(ISNUMBER(BR135),DJ135,0)</f>
        <v>0</v>
      </c>
      <c r="FO135" s="28" t="str">
        <f aca="false">IFERROR(INDEX(Lists!$G$2:$G$20,MATCH($I135&amp;"|"&amp;$J135,Lists!$F$2:$F$20,0)),"")</f>
        <v>BM Exam</v>
      </c>
    </row>
    <row r="136" customFormat="false" ht="19.5" hidden="false" customHeight="true" outlineLevel="0" collapsed="false">
      <c r="A136" s="29" t="s">
        <v>380</v>
      </c>
      <c r="B136" s="29" t="s">
        <v>324</v>
      </c>
      <c r="C136" s="30" t="s">
        <v>152</v>
      </c>
      <c r="D136" s="30" t="s">
        <v>364</v>
      </c>
      <c r="E136" s="31" t="n">
        <v>5.5</v>
      </c>
      <c r="F136" s="30" t="n">
        <v>6</v>
      </c>
      <c r="G136" s="30"/>
      <c r="H136" s="32" t="s">
        <v>23</v>
      </c>
      <c r="I136" s="33" t="s">
        <v>365</v>
      </c>
      <c r="J136" s="32" t="s">
        <v>25</v>
      </c>
      <c r="K136" s="34" t="n">
        <f aca="false">IF(OR(M136="",$E136=""),"",M136-$E136)</f>
        <v>0.5</v>
      </c>
      <c r="L136" s="35" t="n">
        <f aca="false">IF(SUM(FA136:FN136)=0,"",SUM(EM136:EZ136)/SUM(FA136:FN136))</f>
        <v>61.7857142857143</v>
      </c>
      <c r="M136" s="36" t="n">
        <f aca="false">IF(OR(L136="",FO136=""),"",IFERROR(MATCH(L136,INDEX(Boundaries!$B$2:$I$30,MATCH(FO136,Boundaries!$A$2:$A$30,0),0),1)-1,""))</f>
        <v>6</v>
      </c>
      <c r="N136" s="37" t="n">
        <f aca="false">IF(COUNT($DY136:$EL136)&lt;2,"",INDEX($DK136:$DX136,MAX($DY136:$EL136))-INDEX($DK136:$DX136,MIN($DY136:$EL136)))</f>
        <v>4</v>
      </c>
      <c r="O136" s="37" t="n">
        <f aca="false">IF(COUNT($DY136:$EL136)&lt;2,"",INDEX($DK136:$DX136,MAX($DY136:$EL136))-INDEX($DK136:$DX136,LARGE($DY136:$EL136,2)))</f>
        <v>3</v>
      </c>
      <c r="P136" s="38" t="str">
        <f aca="false">IF(K136="","",IF(K136&gt;=0,"On/above target",IF(AND(N136&lt;&gt;"",N136&gt;=0.5),"Improving towards target",IF(AND(O136&lt;&gt;"",O136&lt;=-0.5),"Declining","Stable below target"))))</f>
        <v>On/above target</v>
      </c>
      <c r="Q136" s="39" t="n">
        <v>9</v>
      </c>
      <c r="R136" s="40" t="n">
        <f aca="false">IF(OR(Q136="",BU136=""),"",Q136/BU136*100)</f>
        <v>37.5</v>
      </c>
      <c r="S136" s="41" t="n">
        <f aca="false">IF(R136="","",IFERROR(MATCH(R136,INDEX(Boundaries!$B$2:$I$30,MATCH(CI136,Boundaries!$A$2:$A$30,0),0),1)-1,""))</f>
        <v>3</v>
      </c>
      <c r="T136" s="42" t="n">
        <f aca="false">IF(OR(S136="",$E136=""),"",S136-$E136)</f>
        <v>-2.5</v>
      </c>
      <c r="U136" s="39" t="n">
        <v>12</v>
      </c>
      <c r="V136" s="40" t="n">
        <f aca="false">IF(OR(U136="",BV136=""),"",U136/BV136*100)</f>
        <v>60</v>
      </c>
      <c r="W136" s="41" t="n">
        <f aca="false">IF(V136="","",IFERROR(MATCH(V136,INDEX(Boundaries!$B$2:$I$30,MATCH(CJ136,Boundaries!$A$2:$A$30,0),0),1)-1,""))</f>
        <v>5</v>
      </c>
      <c r="X136" s="42" t="n">
        <f aca="false">IF(OR(W136="",$E136=""),"",W136-$E136)</f>
        <v>-0.5</v>
      </c>
      <c r="Y136" s="39" t="n">
        <v>11</v>
      </c>
      <c r="Z136" s="40" t="n">
        <f aca="false">IF(OR(Y136="",BW136=""),"",Y136/BW136*100)</f>
        <v>55</v>
      </c>
      <c r="AA136" s="41" t="n">
        <f aca="false">IF(Z136="","",IFERROR(MATCH(Z136,INDEX(Boundaries!$B$2:$I$30,MATCH(CK136,Boundaries!$A$2:$A$30,0),0),1)-1,""))</f>
        <v>5</v>
      </c>
      <c r="AB136" s="42" t="n">
        <f aca="false">IF(OR(AA136="",$E136=""),"",AA136-$E136)</f>
        <v>-0.5</v>
      </c>
      <c r="AC136" s="39" t="n">
        <v>16</v>
      </c>
      <c r="AD136" s="40" t="n">
        <f aca="false">IF(OR(AC136="",BX136=""),"",AC136/BX136*100)</f>
        <v>40</v>
      </c>
      <c r="AE136" s="41" t="n">
        <f aca="false">IF(AD136="","",IFERROR(MATCH(AD136,INDEX(Boundaries!$B$2:$I$30,MATCH(CL136,Boundaries!$A$2:$A$30,0),0),1)-1,""))</f>
        <v>4</v>
      </c>
      <c r="AF136" s="42" t="n">
        <f aca="false">IF(OR(AE136="",$E136=""),"",AE136-$E136)</f>
        <v>-1.5</v>
      </c>
      <c r="AG136" s="39"/>
      <c r="AH136" s="40" t="str">
        <f aca="false">IF(OR(AG136="",BY136=""),"",AG136/BY136*100)</f>
        <v/>
      </c>
      <c r="AI136" s="41" t="str">
        <f aca="false">IF(AH136="","",IFERROR(MATCH(AH136,INDEX(Boundaries!$B$2:$I$30,MATCH(CM136,Boundaries!$A$2:$A$30,0),0),1)-1,""))</f>
        <v/>
      </c>
      <c r="AJ136" s="42" t="str">
        <f aca="false">IF(OR(AI136="",$E136=""),"",AI136-$E136)</f>
        <v/>
      </c>
      <c r="AK136" s="39"/>
      <c r="AL136" s="40" t="str">
        <f aca="false">IF(OR(AK136="",BZ136=""),"",AK136/BZ136*100)</f>
        <v/>
      </c>
      <c r="AM136" s="41" t="str">
        <f aca="false">IF(AL136="","",IFERROR(MATCH(AL136,INDEX(Boundaries!$B$2:$I$30,MATCH(CN136,Boundaries!$A$2:$A$30,0),0),1)-1,""))</f>
        <v/>
      </c>
      <c r="AN136" s="42" t="str">
        <f aca="false">IF(OR(AM136="",$E136=""),"",AM136-$E136)</f>
        <v/>
      </c>
      <c r="AO136" s="39" t="n">
        <v>7</v>
      </c>
      <c r="AP136" s="40" t="n">
        <f aca="false">IF(OR(AO136="",CA136=""),"",AO136/CA136*100)</f>
        <v>100</v>
      </c>
      <c r="AQ136" s="41" t="n">
        <f aca="false">IF(AP136="","",IFERROR(MATCH(AP136,INDEX(Boundaries!$B$2:$I$30,MATCH(CO136,Boundaries!$A$2:$A$30,0),0),1)-1,""))</f>
        <v>7</v>
      </c>
      <c r="AR136" s="42" t="n">
        <f aca="false">IF(OR(AQ136="",$E136=""),"",AQ136-$E136)</f>
        <v>1.5</v>
      </c>
      <c r="AS136" s="39"/>
      <c r="AT136" s="40" t="str">
        <f aca="false">IF(OR(AS136="",CB136=""),"",AS136/CB136*100)</f>
        <v/>
      </c>
      <c r="AU136" s="41" t="str">
        <f aca="false">IF(AT136="","",IFERROR(MATCH(AT136,INDEX(Boundaries!$B$2:$I$30,MATCH(CP136,Boundaries!$A$2:$A$30,0),0),1)-1,""))</f>
        <v/>
      </c>
      <c r="AV136" s="42" t="str">
        <f aca="false">IF(OR(AU136="",$E136=""),"",AU136-$E136)</f>
        <v/>
      </c>
      <c r="AW136" s="39"/>
      <c r="AX136" s="40" t="str">
        <f aca="false">IF(OR(AW136="",CC136=""),"",AW136/CC136*100)</f>
        <v/>
      </c>
      <c r="AY136" s="41" t="str">
        <f aca="false">IF(AX136="","",IFERROR(MATCH(AX136,INDEX(Boundaries!$B$2:$I$30,MATCH(CQ136,Boundaries!$A$2:$A$30,0),0),1)-1,""))</f>
        <v/>
      </c>
      <c r="AZ136" s="42" t="str">
        <f aca="false">IF(OR(AY136="",$E136=""),"",AY136-$E136)</f>
        <v/>
      </c>
      <c r="BA136" s="39"/>
      <c r="BB136" s="40" t="str">
        <f aca="false">IF(OR(BA136="",CD136=""),"",BA136/CD136*100)</f>
        <v/>
      </c>
      <c r="BC136" s="41" t="str">
        <f aca="false">IF(BB136="","",IFERROR(MATCH(BB136,INDEX(Boundaries!$B$2:$I$30,MATCH(CR136,Boundaries!$A$2:$A$30,0),0),1)-1,""))</f>
        <v/>
      </c>
      <c r="BD136" s="42" t="str">
        <f aca="false">IF(OR(BC136="",$E136=""),"",BC136-$E136)</f>
        <v/>
      </c>
      <c r="BE136" s="39"/>
      <c r="BF136" s="40" t="str">
        <f aca="false">IF(OR(BE136="",CE136=""),"",BE136/CE136*100)</f>
        <v/>
      </c>
      <c r="BG136" s="41" t="str">
        <f aca="false">IF(BF136="","",IFERROR(MATCH(BF136,INDEX(Boundaries!$B$2:$I$30,MATCH(CS136,Boundaries!$A$2:$A$30,0),0),1)-1,""))</f>
        <v/>
      </c>
      <c r="BH136" s="42" t="str">
        <f aca="false">IF(OR(BG136="",$E136=""),"",BG136-$E136)</f>
        <v/>
      </c>
      <c r="BI136" s="39"/>
      <c r="BJ136" s="40" t="str">
        <f aca="false">IF(OR(BI136="",CF136=""),"",BI136/CF136*100)</f>
        <v/>
      </c>
      <c r="BK136" s="41" t="str">
        <f aca="false">IF(BJ136="","",IFERROR(MATCH(BJ136,INDEX(Boundaries!$B$2:$I$30,MATCH(CT136,Boundaries!$A$2:$A$30,0),0),1)-1,""))</f>
        <v/>
      </c>
      <c r="BL136" s="42" t="str">
        <f aca="false">IF(OR(BK136="",$E136=""),"",BK136-$E136)</f>
        <v/>
      </c>
      <c r="BM136" s="39"/>
      <c r="BN136" s="40" t="str">
        <f aca="false">IF(OR(BM136="",CG136=""),"",BM136/CG136*100)</f>
        <v/>
      </c>
      <c r="BO136" s="41" t="str">
        <f aca="false">IF(BN136="","",IFERROR(MATCH(BN136,INDEX(Boundaries!$B$2:$I$30,MATCH(CU136,Boundaries!$A$2:$A$30,0),0),1)-1,""))</f>
        <v/>
      </c>
      <c r="BP136" s="42" t="str">
        <f aca="false">IF(OR(BO136="",$E136=""),"",BO136-$E136)</f>
        <v/>
      </c>
      <c r="BQ136" s="39"/>
      <c r="BR136" s="40" t="str">
        <f aca="false">IF(OR(BQ136="",CH136=""),"",BQ136/CH136*100)</f>
        <v/>
      </c>
      <c r="BS136" s="41" t="str">
        <f aca="false">IF(BR136="","",IFERROR(MATCH(BR136,INDEX(Boundaries!$B$2:$I$30,MATCH(CV136,Boundaries!$A$2:$A$30,0),0),1)-1,""))</f>
        <v/>
      </c>
      <c r="BT136" s="42" t="str">
        <f aca="false">IF(OR(BS136="",$E136=""),"",BS136-$E136)</f>
        <v/>
      </c>
      <c r="BU136" s="28" t="n">
        <f aca="false">IFERROR(INDEX(Assessments!$H$2:$H$600,MATCH($H136&amp;"|"&amp;$I136&amp;"|"&amp;$J136&amp;"|"&amp;1,Assessments!$A$2:$A$600,0)),"")</f>
        <v>24</v>
      </c>
      <c r="BV136" s="28" t="n">
        <f aca="false">IFERROR(INDEX(Assessments!$H$2:$H$600,MATCH($H136&amp;"|"&amp;$I136&amp;"|"&amp;$J136&amp;"|"&amp;2,Assessments!$A$2:$A$600,0)),"")</f>
        <v>20</v>
      </c>
      <c r="BW136" s="28" t="n">
        <f aca="false">IFERROR(INDEX(Assessments!$H$2:$H$600,MATCH($H136&amp;"|"&amp;$I136&amp;"|"&amp;$J136&amp;"|"&amp;3,Assessments!$A$2:$A$600,0)),"")</f>
        <v>20</v>
      </c>
      <c r="BX136" s="28" t="n">
        <f aca="false">IFERROR(INDEX(Assessments!$H$2:$H$600,MATCH($H136&amp;"|"&amp;$I136&amp;"|"&amp;$J136&amp;"|"&amp;4,Assessments!$A$2:$A$600,0)),"")</f>
        <v>40</v>
      </c>
      <c r="BY136" s="28" t="n">
        <f aca="false">IFERROR(INDEX(Assessments!$H$2:$H$600,MATCH($H136&amp;"|"&amp;$I136&amp;"|"&amp;$J136&amp;"|"&amp;5,Assessments!$A$2:$A$600,0)),"")</f>
        <v>30</v>
      </c>
      <c r="BZ136" s="28" t="n">
        <f aca="false">IFERROR(INDEX(Assessments!$H$2:$H$600,MATCH($H136&amp;"|"&amp;$I136&amp;"|"&amp;$J136&amp;"|"&amp;6,Assessments!$A$2:$A$600,0)),"")</f>
        <v>20</v>
      </c>
      <c r="CA136" s="28" t="n">
        <f aca="false">IFERROR(INDEX(Assessments!$H$2:$H$600,MATCH($H136&amp;"|"&amp;$I136&amp;"|"&amp;$J136&amp;"|"&amp;7,Assessments!$A$2:$A$600,0)),"")</f>
        <v>7</v>
      </c>
      <c r="CB136" s="28" t="str">
        <f aca="false">IFERROR(INDEX(Assessments!$H$2:$H$600,MATCH($H136&amp;"|"&amp;$I136&amp;"|"&amp;$J136&amp;"|"&amp;8,Assessments!$A$2:$A$600,0)),"")</f>
        <v/>
      </c>
      <c r="CC136" s="28" t="str">
        <f aca="false">IFERROR(INDEX(Assessments!$H$2:$H$600,MATCH($H136&amp;"|"&amp;$I136&amp;"|"&amp;$J136&amp;"|"&amp;9,Assessments!$A$2:$A$600,0)),"")</f>
        <v/>
      </c>
      <c r="CD136" s="28" t="str">
        <f aca="false">IFERROR(INDEX(Assessments!$H$2:$H$600,MATCH($H136&amp;"|"&amp;$I136&amp;"|"&amp;$J136&amp;"|"&amp;10,Assessments!$A$2:$A$600,0)),"")</f>
        <v/>
      </c>
      <c r="CE136" s="28" t="str">
        <f aca="false">IFERROR(INDEX(Assessments!$H$2:$H$600,MATCH($H136&amp;"|"&amp;$I136&amp;"|"&amp;$J136&amp;"|"&amp;11,Assessments!$A$2:$A$600,0)),"")</f>
        <v/>
      </c>
      <c r="CF136" s="28" t="str">
        <f aca="false">IFERROR(INDEX(Assessments!$H$2:$H$600,MATCH($H136&amp;"|"&amp;$I136&amp;"|"&amp;$J136&amp;"|"&amp;12,Assessments!$A$2:$A$600,0)),"")</f>
        <v/>
      </c>
      <c r="CG136" s="28" t="str">
        <f aca="false">IFERROR(INDEX(Assessments!$H$2:$H$600,MATCH($H136&amp;"|"&amp;$I136&amp;"|"&amp;$J136&amp;"|"&amp;13,Assessments!$A$2:$A$600,0)),"")</f>
        <v/>
      </c>
      <c r="CH136" s="28" t="str">
        <f aca="false">IFERROR(INDEX(Assessments!$H$2:$H$600,MATCH($H136&amp;"|"&amp;$I136&amp;"|"&amp;$J136&amp;"|"&amp;14,Assessments!$A$2:$A$600,0)),"")</f>
        <v/>
      </c>
      <c r="CI136" s="28" t="str">
        <f aca="false">IFERROR(INDEX(Assessments!$I$2:$I$600,MATCH($H136&amp;"|"&amp;$I136&amp;"|"&amp;$J136&amp;"|"&amp;1,Assessments!$A$2:$A$600,0)),"")</f>
        <v>BM Test</v>
      </c>
      <c r="CJ136" s="28" t="str">
        <f aca="false">IFERROR(INDEX(Assessments!$I$2:$I$600,MATCH($H136&amp;"|"&amp;$I136&amp;"|"&amp;$J136&amp;"|"&amp;2,Assessments!$A$2:$A$600,0)),"")</f>
        <v>BM Test</v>
      </c>
      <c r="CK136" s="28" t="str">
        <f aca="false">IFERROR(INDEX(Assessments!$I$2:$I$600,MATCH($H136&amp;"|"&amp;$I136&amp;"|"&amp;$J136&amp;"|"&amp;3,Assessments!$A$2:$A$600,0)),"")</f>
        <v>BM Test</v>
      </c>
      <c r="CL136" s="28" t="str">
        <f aca="false">IFERROR(INDEX(Assessments!$I$2:$I$600,MATCH($H136&amp;"|"&amp;$I136&amp;"|"&amp;$J136&amp;"|"&amp;4,Assessments!$A$2:$A$600,0)),"")</f>
        <v>BM Exam</v>
      </c>
      <c r="CM136" s="28" t="str">
        <f aca="false">IFERROR(INDEX(Assessments!$I$2:$I$600,MATCH($H136&amp;"|"&amp;$I136&amp;"|"&amp;$J136&amp;"|"&amp;5,Assessments!$A$2:$A$600,0)),"")</f>
        <v>BM Test</v>
      </c>
      <c r="CN136" s="28" t="str">
        <f aca="false">IFERROR(INDEX(Assessments!$I$2:$I$600,MATCH($H136&amp;"|"&amp;$I136&amp;"|"&amp;$J136&amp;"|"&amp;6,Assessments!$A$2:$A$600,0)),"")</f>
        <v>BM Test</v>
      </c>
      <c r="CO136" s="28" t="str">
        <f aca="false">IFERROR(INDEX(Assessments!$I$2:$I$600,MATCH($H136&amp;"|"&amp;$I136&amp;"|"&amp;$J136&amp;"|"&amp;7,Assessments!$A$2:$A$600,0)),"")</f>
        <v>Grade entered</v>
      </c>
      <c r="CP136" s="28" t="str">
        <f aca="false">IFERROR(INDEX(Assessments!$I$2:$I$600,MATCH($H136&amp;"|"&amp;$I136&amp;"|"&amp;$J136&amp;"|"&amp;8,Assessments!$A$2:$A$600,0)),"")</f>
        <v/>
      </c>
      <c r="CQ136" s="28" t="str">
        <f aca="false">IFERROR(INDEX(Assessments!$I$2:$I$600,MATCH($H136&amp;"|"&amp;$I136&amp;"|"&amp;$J136&amp;"|"&amp;9,Assessments!$A$2:$A$600,0)),"")</f>
        <v/>
      </c>
      <c r="CR136" s="28" t="str">
        <f aca="false">IFERROR(INDEX(Assessments!$I$2:$I$600,MATCH($H136&amp;"|"&amp;$I136&amp;"|"&amp;$J136&amp;"|"&amp;10,Assessments!$A$2:$A$600,0)),"")</f>
        <v/>
      </c>
      <c r="CS136" s="28" t="str">
        <f aca="false">IFERROR(INDEX(Assessments!$I$2:$I$600,MATCH($H136&amp;"|"&amp;$I136&amp;"|"&amp;$J136&amp;"|"&amp;11,Assessments!$A$2:$A$600,0)),"")</f>
        <v/>
      </c>
      <c r="CT136" s="28" t="str">
        <f aca="false">IFERROR(INDEX(Assessments!$I$2:$I$600,MATCH($H136&amp;"|"&amp;$I136&amp;"|"&amp;$J136&amp;"|"&amp;12,Assessments!$A$2:$A$600,0)),"")</f>
        <v/>
      </c>
      <c r="CU136" s="28" t="str">
        <f aca="false">IFERROR(INDEX(Assessments!$I$2:$I$600,MATCH($H136&amp;"|"&amp;$I136&amp;"|"&amp;$J136&amp;"|"&amp;13,Assessments!$A$2:$A$600,0)),"")</f>
        <v/>
      </c>
      <c r="CV136" s="28" t="str">
        <f aca="false">IFERROR(INDEX(Assessments!$I$2:$I$600,MATCH($H136&amp;"|"&amp;$I136&amp;"|"&amp;$J136&amp;"|"&amp;14,Assessments!$A$2:$A$600,0)),"")</f>
        <v/>
      </c>
      <c r="CW136" s="28" t="n">
        <f aca="false">IFERROR(INDEX(Assessments!$J$2:$J$600,MATCH($H136&amp;"|"&amp;$I136&amp;"|"&amp;$J136&amp;"|"&amp;1,Assessments!$A$2:$A$600,0)),0)</f>
        <v>1</v>
      </c>
      <c r="CX136" s="28" t="n">
        <f aca="false">IFERROR(INDEX(Assessments!$J$2:$J$600,MATCH($H136&amp;"|"&amp;$I136&amp;"|"&amp;$J136&amp;"|"&amp;2,Assessments!$A$2:$A$600,0)),0)</f>
        <v>1</v>
      </c>
      <c r="CY136" s="28" t="n">
        <f aca="false">IFERROR(INDEX(Assessments!$J$2:$J$600,MATCH($H136&amp;"|"&amp;$I136&amp;"|"&amp;$J136&amp;"|"&amp;3,Assessments!$A$2:$A$600,0)),0)</f>
        <v>1</v>
      </c>
      <c r="CZ136" s="28" t="n">
        <f aca="false">IFERROR(INDEX(Assessments!$J$2:$J$600,MATCH($H136&amp;"|"&amp;$I136&amp;"|"&amp;$J136&amp;"|"&amp;4,Assessments!$A$2:$A$600,0)),0)</f>
        <v>2</v>
      </c>
      <c r="DA136" s="28" t="n">
        <f aca="false">IFERROR(INDEX(Assessments!$J$2:$J$600,MATCH($H136&amp;"|"&amp;$I136&amp;"|"&amp;$J136&amp;"|"&amp;5,Assessments!$A$2:$A$600,0)),0)</f>
        <v>1</v>
      </c>
      <c r="DB136" s="28" t="n">
        <f aca="false">IFERROR(INDEX(Assessments!$J$2:$J$600,MATCH($H136&amp;"|"&amp;$I136&amp;"|"&amp;$J136&amp;"|"&amp;6,Assessments!$A$2:$A$600,0)),0)</f>
        <v>1</v>
      </c>
      <c r="DC136" s="28" t="n">
        <f aca="false">IFERROR(INDEX(Assessments!$J$2:$J$600,MATCH($H136&amp;"|"&amp;$I136&amp;"|"&amp;$J136&amp;"|"&amp;7,Assessments!$A$2:$A$600,0)),0)</f>
        <v>2</v>
      </c>
      <c r="DD136" s="28" t="n">
        <f aca="false">IFERROR(INDEX(Assessments!$J$2:$J$600,MATCH($H136&amp;"|"&amp;$I136&amp;"|"&amp;$J136&amp;"|"&amp;8,Assessments!$A$2:$A$600,0)),0)</f>
        <v>0</v>
      </c>
      <c r="DE136" s="28" t="n">
        <f aca="false">IFERROR(INDEX(Assessments!$J$2:$J$600,MATCH($H136&amp;"|"&amp;$I136&amp;"|"&amp;$J136&amp;"|"&amp;9,Assessments!$A$2:$A$600,0)),0)</f>
        <v>0</v>
      </c>
      <c r="DF136" s="28" t="n">
        <f aca="false">IFERROR(INDEX(Assessments!$J$2:$J$600,MATCH($H136&amp;"|"&amp;$I136&amp;"|"&amp;$J136&amp;"|"&amp;10,Assessments!$A$2:$A$600,0)),0)</f>
        <v>0</v>
      </c>
      <c r="DG136" s="28" t="n">
        <f aca="false">IFERROR(INDEX(Assessments!$J$2:$J$600,MATCH($H136&amp;"|"&amp;$I136&amp;"|"&amp;$J136&amp;"|"&amp;11,Assessments!$A$2:$A$600,0)),0)</f>
        <v>0</v>
      </c>
      <c r="DH136" s="28" t="n">
        <f aca="false">IFERROR(INDEX(Assessments!$J$2:$J$600,MATCH($H136&amp;"|"&amp;$I136&amp;"|"&amp;$J136&amp;"|"&amp;12,Assessments!$A$2:$A$600,0)),0)</f>
        <v>0</v>
      </c>
      <c r="DI136" s="28" t="n">
        <f aca="false">IFERROR(INDEX(Assessments!$J$2:$J$600,MATCH($H136&amp;"|"&amp;$I136&amp;"|"&amp;$J136&amp;"|"&amp;13,Assessments!$A$2:$A$600,0)),0)</f>
        <v>0</v>
      </c>
      <c r="DJ136" s="28" t="n">
        <f aca="false">IFERROR(INDEX(Assessments!$J$2:$J$600,MATCH($H136&amp;"|"&amp;$I136&amp;"|"&amp;$J136&amp;"|"&amp;14,Assessments!$A$2:$A$600,0)),0)</f>
        <v>0</v>
      </c>
      <c r="DK136" s="28" t="n">
        <f aca="false">S136</f>
        <v>3</v>
      </c>
      <c r="DL136" s="28" t="n">
        <f aca="false">W136</f>
        <v>5</v>
      </c>
      <c r="DM136" s="28" t="n">
        <f aca="false">AA136</f>
        <v>5</v>
      </c>
      <c r="DN136" s="28" t="n">
        <f aca="false">AE136</f>
        <v>4</v>
      </c>
      <c r="DO136" s="28" t="str">
        <f aca="false">AI136</f>
        <v/>
      </c>
      <c r="DP136" s="28" t="str">
        <f aca="false">AM136</f>
        <v/>
      </c>
      <c r="DQ136" s="28" t="n">
        <f aca="false">AQ136</f>
        <v>7</v>
      </c>
      <c r="DR136" s="28" t="str">
        <f aca="false">AU136</f>
        <v/>
      </c>
      <c r="DS136" s="28" t="str">
        <f aca="false">AY136</f>
        <v/>
      </c>
      <c r="DT136" s="28" t="str">
        <f aca="false">BC136</f>
        <v/>
      </c>
      <c r="DU136" s="28" t="str">
        <f aca="false">BG136</f>
        <v/>
      </c>
      <c r="DV136" s="28" t="str">
        <f aca="false">BK136</f>
        <v/>
      </c>
      <c r="DW136" s="28" t="str">
        <f aca="false">BO136</f>
        <v/>
      </c>
      <c r="DX136" s="28" t="str">
        <f aca="false">BS136</f>
        <v/>
      </c>
      <c r="DY136" s="28" t="n">
        <f aca="false">IF(ISNUMBER(S136),1,"")</f>
        <v>1</v>
      </c>
      <c r="DZ136" s="28" t="n">
        <f aca="false">IF(ISNUMBER(W136),2,"")</f>
        <v>2</v>
      </c>
      <c r="EA136" s="28" t="n">
        <f aca="false">IF(ISNUMBER(AA136),3,"")</f>
        <v>3</v>
      </c>
      <c r="EB136" s="28" t="n">
        <f aca="false">IF(ISNUMBER(AE136),4,"")</f>
        <v>4</v>
      </c>
      <c r="EC136" s="28" t="str">
        <f aca="false">IF(ISNUMBER(AI136),5,"")</f>
        <v/>
      </c>
      <c r="ED136" s="28" t="str">
        <f aca="false">IF(ISNUMBER(AM136),6,"")</f>
        <v/>
      </c>
      <c r="EE136" s="28" t="n">
        <f aca="false">IF(ISNUMBER(AQ136),7,"")</f>
        <v>7</v>
      </c>
      <c r="EF136" s="28" t="str">
        <f aca="false">IF(ISNUMBER(AU136),8,"")</f>
        <v/>
      </c>
      <c r="EG136" s="28" t="str">
        <f aca="false">IF(ISNUMBER(AY136),9,"")</f>
        <v/>
      </c>
      <c r="EH136" s="28" t="str">
        <f aca="false">IF(ISNUMBER(BC136),10,"")</f>
        <v/>
      </c>
      <c r="EI136" s="28" t="str">
        <f aca="false">IF(ISNUMBER(BG136),11,"")</f>
        <v/>
      </c>
      <c r="EJ136" s="28" t="str">
        <f aca="false">IF(ISNUMBER(BK136),12,"")</f>
        <v/>
      </c>
      <c r="EK136" s="28" t="str">
        <f aca="false">IF(ISNUMBER(BO136),13,"")</f>
        <v/>
      </c>
      <c r="EL136" s="28" t="str">
        <f aca="false">IF(ISNUMBER(BS136),14,"")</f>
        <v/>
      </c>
      <c r="EM136" s="28" t="n">
        <f aca="false">IF(ISNUMBER(R136),R136*CW136,0)</f>
        <v>37.5</v>
      </c>
      <c r="EN136" s="28" t="n">
        <f aca="false">IF(ISNUMBER(V136),V136*CX136,0)</f>
        <v>60</v>
      </c>
      <c r="EO136" s="28" t="n">
        <f aca="false">IF(ISNUMBER(Z136),Z136*CY136,0)</f>
        <v>55</v>
      </c>
      <c r="EP136" s="28" t="n">
        <f aca="false">IF(ISNUMBER(AD136),AD136*CZ136,0)</f>
        <v>80</v>
      </c>
      <c r="EQ136" s="28" t="n">
        <f aca="false">IF(ISNUMBER(AH136),AH136*DA136,0)</f>
        <v>0</v>
      </c>
      <c r="ER136" s="28" t="n">
        <f aca="false">IF(ISNUMBER(AL136),AL136*DB136,0)</f>
        <v>0</v>
      </c>
      <c r="ES136" s="28" t="n">
        <f aca="false">IF(ISNUMBER(AP136),AP136*DC136,0)</f>
        <v>200</v>
      </c>
      <c r="ET136" s="28" t="n">
        <f aca="false">IF(ISNUMBER(AT136),AT136*DD136,0)</f>
        <v>0</v>
      </c>
      <c r="EU136" s="28" t="n">
        <f aca="false">IF(ISNUMBER(AX136),AX136*DE136,0)</f>
        <v>0</v>
      </c>
      <c r="EV136" s="28" t="n">
        <f aca="false">IF(ISNUMBER(BB136),BB136*DF136,0)</f>
        <v>0</v>
      </c>
      <c r="EW136" s="28" t="n">
        <f aca="false">IF(ISNUMBER(BF136),BF136*DG136,0)</f>
        <v>0</v>
      </c>
      <c r="EX136" s="28" t="n">
        <f aca="false">IF(ISNUMBER(BJ136),BJ136*DH136,0)</f>
        <v>0</v>
      </c>
      <c r="EY136" s="28" t="n">
        <f aca="false">IF(ISNUMBER(BN136),BN136*DI136,0)</f>
        <v>0</v>
      </c>
      <c r="EZ136" s="28" t="n">
        <f aca="false">IF(ISNUMBER(BR136),BR136*DJ136,0)</f>
        <v>0</v>
      </c>
      <c r="FA136" s="28" t="n">
        <f aca="false">IF(ISNUMBER(R136),CW136,0)</f>
        <v>1</v>
      </c>
      <c r="FB136" s="28" t="n">
        <f aca="false">IF(ISNUMBER(V136),CX136,0)</f>
        <v>1</v>
      </c>
      <c r="FC136" s="28" t="n">
        <f aca="false">IF(ISNUMBER(Z136),CY136,0)</f>
        <v>1</v>
      </c>
      <c r="FD136" s="28" t="n">
        <f aca="false">IF(ISNUMBER(AD136),CZ136,0)</f>
        <v>2</v>
      </c>
      <c r="FE136" s="28" t="n">
        <f aca="false">IF(ISNUMBER(AH136),DA136,0)</f>
        <v>0</v>
      </c>
      <c r="FF136" s="28" t="n">
        <f aca="false">IF(ISNUMBER(AL136),DB136,0)</f>
        <v>0</v>
      </c>
      <c r="FG136" s="28" t="n">
        <f aca="false">IF(ISNUMBER(AP136),DC136,0)</f>
        <v>2</v>
      </c>
      <c r="FH136" s="28" t="n">
        <f aca="false">IF(ISNUMBER(AT136),DD136,0)</f>
        <v>0</v>
      </c>
      <c r="FI136" s="28" t="n">
        <f aca="false">IF(ISNUMBER(AX136),DE136,0)</f>
        <v>0</v>
      </c>
      <c r="FJ136" s="28" t="n">
        <f aca="false">IF(ISNUMBER(BB136),DF136,0)</f>
        <v>0</v>
      </c>
      <c r="FK136" s="28" t="n">
        <f aca="false">IF(ISNUMBER(BF136),DG136,0)</f>
        <v>0</v>
      </c>
      <c r="FL136" s="28" t="n">
        <f aca="false">IF(ISNUMBER(BJ136),DH136,0)</f>
        <v>0</v>
      </c>
      <c r="FM136" s="28" t="n">
        <f aca="false">IF(ISNUMBER(BN136),DI136,0)</f>
        <v>0</v>
      </c>
      <c r="FN136" s="28" t="n">
        <f aca="false">IF(ISNUMBER(BR136),DJ136,0)</f>
        <v>0</v>
      </c>
      <c r="FO136" s="28" t="str">
        <f aca="false">IFERROR(INDEX(Lists!$G$2:$G$20,MATCH($I136&amp;"|"&amp;$J136,Lists!$F$2:$F$20,0)),"")</f>
        <v>BM Exam</v>
      </c>
    </row>
    <row r="137" customFormat="false" ht="19.5" hidden="false" customHeight="true" outlineLevel="0" collapsed="false">
      <c r="A137" s="29" t="s">
        <v>381</v>
      </c>
      <c r="B137" s="29" t="s">
        <v>382</v>
      </c>
      <c r="C137" s="30" t="s">
        <v>152</v>
      </c>
      <c r="D137" s="30" t="s">
        <v>364</v>
      </c>
      <c r="E137" s="31" t="n">
        <v>5.5</v>
      </c>
      <c r="F137" s="30" t="n">
        <v>6</v>
      </c>
      <c r="G137" s="30"/>
      <c r="H137" s="32" t="s">
        <v>23</v>
      </c>
      <c r="I137" s="33" t="s">
        <v>365</v>
      </c>
      <c r="J137" s="32" t="s">
        <v>25</v>
      </c>
      <c r="K137" s="34" t="n">
        <f aca="false">IF(OR(M137="",$E137=""),"",M137-$E137)</f>
        <v>0.5</v>
      </c>
      <c r="L137" s="35" t="n">
        <f aca="false">IF(SUM(FA137:FN137)=0,"",SUM(EM137:EZ137)/SUM(FA137:FN137))</f>
        <v>67.3809523809524</v>
      </c>
      <c r="M137" s="36" t="n">
        <f aca="false">IF(OR(L137="",FO137=""),"",IFERROR(MATCH(L137,INDEX(Boundaries!$B$2:$I$30,MATCH(FO137,Boundaries!$A$2:$A$30,0),0),1)-1,""))</f>
        <v>6</v>
      </c>
      <c r="N137" s="37" t="n">
        <f aca="false">IF(COUNT($DY137:$EL137)&lt;2,"",INDEX($DK137:$DX137,MAX($DY137:$EL137))-INDEX($DK137:$DX137,MIN($DY137:$EL137)))</f>
        <v>1</v>
      </c>
      <c r="O137" s="37" t="n">
        <f aca="false">IF(COUNT($DY137:$EL137)&lt;2,"",INDEX($DK137:$DX137,MAX($DY137:$EL137))-INDEX($DK137:$DX137,LARGE($DY137:$EL137,2)))</f>
        <v>2</v>
      </c>
      <c r="P137" s="38" t="str">
        <f aca="false">IF(K137="","",IF(K137&gt;=0,"On/above target",IF(AND(N137&lt;&gt;"",N137&gt;=0.5),"Improving towards target",IF(AND(O137&lt;&gt;"",O137&lt;=-0.5),"Declining","Stable below target"))))</f>
        <v>On/above target</v>
      </c>
      <c r="Q137" s="39" t="n">
        <v>16</v>
      </c>
      <c r="R137" s="40" t="n">
        <f aca="false">IF(OR(Q137="",BU137=""),"",Q137/BU137*100)</f>
        <v>66.6666666666667</v>
      </c>
      <c r="S137" s="41" t="n">
        <f aca="false">IF(R137="","",IFERROR(MATCH(R137,INDEX(Boundaries!$B$2:$I$30,MATCH(CI137,Boundaries!$A$2:$A$30,0),0),1)-1,""))</f>
        <v>6</v>
      </c>
      <c r="T137" s="42" t="n">
        <f aca="false">IF(OR(S137="",$E137=""),"",S137-$E137)</f>
        <v>0.5</v>
      </c>
      <c r="U137" s="39" t="n">
        <v>10</v>
      </c>
      <c r="V137" s="40" t="n">
        <f aca="false">IF(OR(U137="",BV137=""),"",U137/BV137*100)</f>
        <v>50</v>
      </c>
      <c r="W137" s="41" t="n">
        <f aca="false">IF(V137="","",IFERROR(MATCH(V137,INDEX(Boundaries!$B$2:$I$30,MATCH(CJ137,Boundaries!$A$2:$A$30,0),0),1)-1,""))</f>
        <v>5</v>
      </c>
      <c r="X137" s="42" t="n">
        <f aca="false">IF(OR(W137="",$E137=""),"",W137-$E137)</f>
        <v>-0.5</v>
      </c>
      <c r="Y137" s="39" t="n">
        <v>13</v>
      </c>
      <c r="Z137" s="40" t="n">
        <f aca="false">IF(OR(Y137="",BW137=""),"",Y137/BW137*100)</f>
        <v>65</v>
      </c>
      <c r="AA137" s="41" t="n">
        <f aca="false">IF(Z137="","",IFERROR(MATCH(Z137,INDEX(Boundaries!$B$2:$I$30,MATCH(CK137,Boundaries!$A$2:$A$30,0),0),1)-1,""))</f>
        <v>6</v>
      </c>
      <c r="AB137" s="42" t="n">
        <f aca="false">IF(OR(AA137="",$E137=""),"",AA137-$E137)</f>
        <v>0.5</v>
      </c>
      <c r="AC137" s="39" t="n">
        <v>18</v>
      </c>
      <c r="AD137" s="40" t="n">
        <f aca="false">IF(OR(AC137="",BX137=""),"",AC137/BX137*100)</f>
        <v>45</v>
      </c>
      <c r="AE137" s="41" t="n">
        <f aca="false">IF(AD137="","",IFERROR(MATCH(AD137,INDEX(Boundaries!$B$2:$I$30,MATCH(CL137,Boundaries!$A$2:$A$30,0),0),1)-1,""))</f>
        <v>5</v>
      </c>
      <c r="AF137" s="42" t="n">
        <f aca="false">IF(OR(AE137="",$E137=""),"",AE137-$E137)</f>
        <v>-0.5</v>
      </c>
      <c r="AG137" s="39"/>
      <c r="AH137" s="40" t="str">
        <f aca="false">IF(OR(AG137="",BY137=""),"",AG137/BY137*100)</f>
        <v/>
      </c>
      <c r="AI137" s="41" t="str">
        <f aca="false">IF(AH137="","",IFERROR(MATCH(AH137,INDEX(Boundaries!$B$2:$I$30,MATCH(CM137,Boundaries!$A$2:$A$30,0),0),1)-1,""))</f>
        <v/>
      </c>
      <c r="AJ137" s="42" t="str">
        <f aca="false">IF(OR(AI137="",$E137=""),"",AI137-$E137)</f>
        <v/>
      </c>
      <c r="AK137" s="39"/>
      <c r="AL137" s="40" t="str">
        <f aca="false">IF(OR(AK137="",BZ137=""),"",AK137/BZ137*100)</f>
        <v/>
      </c>
      <c r="AM137" s="41" t="str">
        <f aca="false">IF(AL137="","",IFERROR(MATCH(AL137,INDEX(Boundaries!$B$2:$I$30,MATCH(CN137,Boundaries!$A$2:$A$30,0),0),1)-1,""))</f>
        <v/>
      </c>
      <c r="AN137" s="42" t="str">
        <f aca="false">IF(OR(AM137="",$E137=""),"",AM137-$E137)</f>
        <v/>
      </c>
      <c r="AO137" s="39" t="n">
        <v>7</v>
      </c>
      <c r="AP137" s="40" t="n">
        <f aca="false">IF(OR(AO137="",CA137=""),"",AO137/CA137*100)</f>
        <v>100</v>
      </c>
      <c r="AQ137" s="41" t="n">
        <f aca="false">IF(AP137="","",IFERROR(MATCH(AP137,INDEX(Boundaries!$B$2:$I$30,MATCH(CO137,Boundaries!$A$2:$A$30,0),0),1)-1,""))</f>
        <v>7</v>
      </c>
      <c r="AR137" s="42" t="n">
        <f aca="false">IF(OR(AQ137="",$E137=""),"",AQ137-$E137)</f>
        <v>1.5</v>
      </c>
      <c r="AS137" s="39"/>
      <c r="AT137" s="40" t="str">
        <f aca="false">IF(OR(AS137="",CB137=""),"",AS137/CB137*100)</f>
        <v/>
      </c>
      <c r="AU137" s="41" t="str">
        <f aca="false">IF(AT137="","",IFERROR(MATCH(AT137,INDEX(Boundaries!$B$2:$I$30,MATCH(CP137,Boundaries!$A$2:$A$30,0),0),1)-1,""))</f>
        <v/>
      </c>
      <c r="AV137" s="42" t="str">
        <f aca="false">IF(OR(AU137="",$E137=""),"",AU137-$E137)</f>
        <v/>
      </c>
      <c r="AW137" s="39"/>
      <c r="AX137" s="40" t="str">
        <f aca="false">IF(OR(AW137="",CC137=""),"",AW137/CC137*100)</f>
        <v/>
      </c>
      <c r="AY137" s="41" t="str">
        <f aca="false">IF(AX137="","",IFERROR(MATCH(AX137,INDEX(Boundaries!$B$2:$I$30,MATCH(CQ137,Boundaries!$A$2:$A$30,0),0),1)-1,""))</f>
        <v/>
      </c>
      <c r="AZ137" s="42" t="str">
        <f aca="false">IF(OR(AY137="",$E137=""),"",AY137-$E137)</f>
        <v/>
      </c>
      <c r="BA137" s="39"/>
      <c r="BB137" s="40" t="str">
        <f aca="false">IF(OR(BA137="",CD137=""),"",BA137/CD137*100)</f>
        <v/>
      </c>
      <c r="BC137" s="41" t="str">
        <f aca="false">IF(BB137="","",IFERROR(MATCH(BB137,INDEX(Boundaries!$B$2:$I$30,MATCH(CR137,Boundaries!$A$2:$A$30,0),0),1)-1,""))</f>
        <v/>
      </c>
      <c r="BD137" s="42" t="str">
        <f aca="false">IF(OR(BC137="",$E137=""),"",BC137-$E137)</f>
        <v/>
      </c>
      <c r="BE137" s="39"/>
      <c r="BF137" s="40" t="str">
        <f aca="false">IF(OR(BE137="",CE137=""),"",BE137/CE137*100)</f>
        <v/>
      </c>
      <c r="BG137" s="41" t="str">
        <f aca="false">IF(BF137="","",IFERROR(MATCH(BF137,INDEX(Boundaries!$B$2:$I$30,MATCH(CS137,Boundaries!$A$2:$A$30,0),0),1)-1,""))</f>
        <v/>
      </c>
      <c r="BH137" s="42" t="str">
        <f aca="false">IF(OR(BG137="",$E137=""),"",BG137-$E137)</f>
        <v/>
      </c>
      <c r="BI137" s="39"/>
      <c r="BJ137" s="40" t="str">
        <f aca="false">IF(OR(BI137="",CF137=""),"",BI137/CF137*100)</f>
        <v/>
      </c>
      <c r="BK137" s="41" t="str">
        <f aca="false">IF(BJ137="","",IFERROR(MATCH(BJ137,INDEX(Boundaries!$B$2:$I$30,MATCH(CT137,Boundaries!$A$2:$A$30,0),0),1)-1,""))</f>
        <v/>
      </c>
      <c r="BL137" s="42" t="str">
        <f aca="false">IF(OR(BK137="",$E137=""),"",BK137-$E137)</f>
        <v/>
      </c>
      <c r="BM137" s="39"/>
      <c r="BN137" s="40" t="str">
        <f aca="false">IF(OR(BM137="",CG137=""),"",BM137/CG137*100)</f>
        <v/>
      </c>
      <c r="BO137" s="41" t="str">
        <f aca="false">IF(BN137="","",IFERROR(MATCH(BN137,INDEX(Boundaries!$B$2:$I$30,MATCH(CU137,Boundaries!$A$2:$A$30,0),0),1)-1,""))</f>
        <v/>
      </c>
      <c r="BP137" s="42" t="str">
        <f aca="false">IF(OR(BO137="",$E137=""),"",BO137-$E137)</f>
        <v/>
      </c>
      <c r="BQ137" s="39"/>
      <c r="BR137" s="40" t="str">
        <f aca="false">IF(OR(BQ137="",CH137=""),"",BQ137/CH137*100)</f>
        <v/>
      </c>
      <c r="BS137" s="41" t="str">
        <f aca="false">IF(BR137="","",IFERROR(MATCH(BR137,INDEX(Boundaries!$B$2:$I$30,MATCH(CV137,Boundaries!$A$2:$A$30,0),0),1)-1,""))</f>
        <v/>
      </c>
      <c r="BT137" s="42" t="str">
        <f aca="false">IF(OR(BS137="",$E137=""),"",BS137-$E137)</f>
        <v/>
      </c>
      <c r="BU137" s="28" t="n">
        <f aca="false">IFERROR(INDEX(Assessments!$H$2:$H$600,MATCH($H137&amp;"|"&amp;$I137&amp;"|"&amp;$J137&amp;"|"&amp;1,Assessments!$A$2:$A$600,0)),"")</f>
        <v>24</v>
      </c>
      <c r="BV137" s="28" t="n">
        <f aca="false">IFERROR(INDEX(Assessments!$H$2:$H$600,MATCH($H137&amp;"|"&amp;$I137&amp;"|"&amp;$J137&amp;"|"&amp;2,Assessments!$A$2:$A$600,0)),"")</f>
        <v>20</v>
      </c>
      <c r="BW137" s="28" t="n">
        <f aca="false">IFERROR(INDEX(Assessments!$H$2:$H$600,MATCH($H137&amp;"|"&amp;$I137&amp;"|"&amp;$J137&amp;"|"&amp;3,Assessments!$A$2:$A$600,0)),"")</f>
        <v>20</v>
      </c>
      <c r="BX137" s="28" t="n">
        <f aca="false">IFERROR(INDEX(Assessments!$H$2:$H$600,MATCH($H137&amp;"|"&amp;$I137&amp;"|"&amp;$J137&amp;"|"&amp;4,Assessments!$A$2:$A$600,0)),"")</f>
        <v>40</v>
      </c>
      <c r="BY137" s="28" t="n">
        <f aca="false">IFERROR(INDEX(Assessments!$H$2:$H$600,MATCH($H137&amp;"|"&amp;$I137&amp;"|"&amp;$J137&amp;"|"&amp;5,Assessments!$A$2:$A$600,0)),"")</f>
        <v>30</v>
      </c>
      <c r="BZ137" s="28" t="n">
        <f aca="false">IFERROR(INDEX(Assessments!$H$2:$H$600,MATCH($H137&amp;"|"&amp;$I137&amp;"|"&amp;$J137&amp;"|"&amp;6,Assessments!$A$2:$A$600,0)),"")</f>
        <v>20</v>
      </c>
      <c r="CA137" s="28" t="n">
        <f aca="false">IFERROR(INDEX(Assessments!$H$2:$H$600,MATCH($H137&amp;"|"&amp;$I137&amp;"|"&amp;$J137&amp;"|"&amp;7,Assessments!$A$2:$A$600,0)),"")</f>
        <v>7</v>
      </c>
      <c r="CB137" s="28" t="str">
        <f aca="false">IFERROR(INDEX(Assessments!$H$2:$H$600,MATCH($H137&amp;"|"&amp;$I137&amp;"|"&amp;$J137&amp;"|"&amp;8,Assessments!$A$2:$A$600,0)),"")</f>
        <v/>
      </c>
      <c r="CC137" s="28" t="str">
        <f aca="false">IFERROR(INDEX(Assessments!$H$2:$H$600,MATCH($H137&amp;"|"&amp;$I137&amp;"|"&amp;$J137&amp;"|"&amp;9,Assessments!$A$2:$A$600,0)),"")</f>
        <v/>
      </c>
      <c r="CD137" s="28" t="str">
        <f aca="false">IFERROR(INDEX(Assessments!$H$2:$H$600,MATCH($H137&amp;"|"&amp;$I137&amp;"|"&amp;$J137&amp;"|"&amp;10,Assessments!$A$2:$A$600,0)),"")</f>
        <v/>
      </c>
      <c r="CE137" s="28" t="str">
        <f aca="false">IFERROR(INDEX(Assessments!$H$2:$H$600,MATCH($H137&amp;"|"&amp;$I137&amp;"|"&amp;$J137&amp;"|"&amp;11,Assessments!$A$2:$A$600,0)),"")</f>
        <v/>
      </c>
      <c r="CF137" s="28" t="str">
        <f aca="false">IFERROR(INDEX(Assessments!$H$2:$H$600,MATCH($H137&amp;"|"&amp;$I137&amp;"|"&amp;$J137&amp;"|"&amp;12,Assessments!$A$2:$A$600,0)),"")</f>
        <v/>
      </c>
      <c r="CG137" s="28" t="str">
        <f aca="false">IFERROR(INDEX(Assessments!$H$2:$H$600,MATCH($H137&amp;"|"&amp;$I137&amp;"|"&amp;$J137&amp;"|"&amp;13,Assessments!$A$2:$A$600,0)),"")</f>
        <v/>
      </c>
      <c r="CH137" s="28" t="str">
        <f aca="false">IFERROR(INDEX(Assessments!$H$2:$H$600,MATCH($H137&amp;"|"&amp;$I137&amp;"|"&amp;$J137&amp;"|"&amp;14,Assessments!$A$2:$A$600,0)),"")</f>
        <v/>
      </c>
      <c r="CI137" s="28" t="str">
        <f aca="false">IFERROR(INDEX(Assessments!$I$2:$I$600,MATCH($H137&amp;"|"&amp;$I137&amp;"|"&amp;$J137&amp;"|"&amp;1,Assessments!$A$2:$A$600,0)),"")</f>
        <v>BM Test</v>
      </c>
      <c r="CJ137" s="28" t="str">
        <f aca="false">IFERROR(INDEX(Assessments!$I$2:$I$600,MATCH($H137&amp;"|"&amp;$I137&amp;"|"&amp;$J137&amp;"|"&amp;2,Assessments!$A$2:$A$600,0)),"")</f>
        <v>BM Test</v>
      </c>
      <c r="CK137" s="28" t="str">
        <f aca="false">IFERROR(INDEX(Assessments!$I$2:$I$600,MATCH($H137&amp;"|"&amp;$I137&amp;"|"&amp;$J137&amp;"|"&amp;3,Assessments!$A$2:$A$600,0)),"")</f>
        <v>BM Test</v>
      </c>
      <c r="CL137" s="28" t="str">
        <f aca="false">IFERROR(INDEX(Assessments!$I$2:$I$600,MATCH($H137&amp;"|"&amp;$I137&amp;"|"&amp;$J137&amp;"|"&amp;4,Assessments!$A$2:$A$600,0)),"")</f>
        <v>BM Exam</v>
      </c>
      <c r="CM137" s="28" t="str">
        <f aca="false">IFERROR(INDEX(Assessments!$I$2:$I$600,MATCH($H137&amp;"|"&amp;$I137&amp;"|"&amp;$J137&amp;"|"&amp;5,Assessments!$A$2:$A$600,0)),"")</f>
        <v>BM Test</v>
      </c>
      <c r="CN137" s="28" t="str">
        <f aca="false">IFERROR(INDEX(Assessments!$I$2:$I$600,MATCH($H137&amp;"|"&amp;$I137&amp;"|"&amp;$J137&amp;"|"&amp;6,Assessments!$A$2:$A$600,0)),"")</f>
        <v>BM Test</v>
      </c>
      <c r="CO137" s="28" t="str">
        <f aca="false">IFERROR(INDEX(Assessments!$I$2:$I$600,MATCH($H137&amp;"|"&amp;$I137&amp;"|"&amp;$J137&amp;"|"&amp;7,Assessments!$A$2:$A$600,0)),"")</f>
        <v>Grade entered</v>
      </c>
      <c r="CP137" s="28" t="str">
        <f aca="false">IFERROR(INDEX(Assessments!$I$2:$I$600,MATCH($H137&amp;"|"&amp;$I137&amp;"|"&amp;$J137&amp;"|"&amp;8,Assessments!$A$2:$A$600,0)),"")</f>
        <v/>
      </c>
      <c r="CQ137" s="28" t="str">
        <f aca="false">IFERROR(INDEX(Assessments!$I$2:$I$600,MATCH($H137&amp;"|"&amp;$I137&amp;"|"&amp;$J137&amp;"|"&amp;9,Assessments!$A$2:$A$600,0)),"")</f>
        <v/>
      </c>
      <c r="CR137" s="28" t="str">
        <f aca="false">IFERROR(INDEX(Assessments!$I$2:$I$600,MATCH($H137&amp;"|"&amp;$I137&amp;"|"&amp;$J137&amp;"|"&amp;10,Assessments!$A$2:$A$600,0)),"")</f>
        <v/>
      </c>
      <c r="CS137" s="28" t="str">
        <f aca="false">IFERROR(INDEX(Assessments!$I$2:$I$600,MATCH($H137&amp;"|"&amp;$I137&amp;"|"&amp;$J137&amp;"|"&amp;11,Assessments!$A$2:$A$600,0)),"")</f>
        <v/>
      </c>
      <c r="CT137" s="28" t="str">
        <f aca="false">IFERROR(INDEX(Assessments!$I$2:$I$600,MATCH($H137&amp;"|"&amp;$I137&amp;"|"&amp;$J137&amp;"|"&amp;12,Assessments!$A$2:$A$600,0)),"")</f>
        <v/>
      </c>
      <c r="CU137" s="28" t="str">
        <f aca="false">IFERROR(INDEX(Assessments!$I$2:$I$600,MATCH($H137&amp;"|"&amp;$I137&amp;"|"&amp;$J137&amp;"|"&amp;13,Assessments!$A$2:$A$600,0)),"")</f>
        <v/>
      </c>
      <c r="CV137" s="28" t="str">
        <f aca="false">IFERROR(INDEX(Assessments!$I$2:$I$600,MATCH($H137&amp;"|"&amp;$I137&amp;"|"&amp;$J137&amp;"|"&amp;14,Assessments!$A$2:$A$600,0)),"")</f>
        <v/>
      </c>
      <c r="CW137" s="28" t="n">
        <f aca="false">IFERROR(INDEX(Assessments!$J$2:$J$600,MATCH($H137&amp;"|"&amp;$I137&amp;"|"&amp;$J137&amp;"|"&amp;1,Assessments!$A$2:$A$600,0)),0)</f>
        <v>1</v>
      </c>
      <c r="CX137" s="28" t="n">
        <f aca="false">IFERROR(INDEX(Assessments!$J$2:$J$600,MATCH($H137&amp;"|"&amp;$I137&amp;"|"&amp;$J137&amp;"|"&amp;2,Assessments!$A$2:$A$600,0)),0)</f>
        <v>1</v>
      </c>
      <c r="CY137" s="28" t="n">
        <f aca="false">IFERROR(INDEX(Assessments!$J$2:$J$600,MATCH($H137&amp;"|"&amp;$I137&amp;"|"&amp;$J137&amp;"|"&amp;3,Assessments!$A$2:$A$600,0)),0)</f>
        <v>1</v>
      </c>
      <c r="CZ137" s="28" t="n">
        <f aca="false">IFERROR(INDEX(Assessments!$J$2:$J$600,MATCH($H137&amp;"|"&amp;$I137&amp;"|"&amp;$J137&amp;"|"&amp;4,Assessments!$A$2:$A$600,0)),0)</f>
        <v>2</v>
      </c>
      <c r="DA137" s="28" t="n">
        <f aca="false">IFERROR(INDEX(Assessments!$J$2:$J$600,MATCH($H137&amp;"|"&amp;$I137&amp;"|"&amp;$J137&amp;"|"&amp;5,Assessments!$A$2:$A$600,0)),0)</f>
        <v>1</v>
      </c>
      <c r="DB137" s="28" t="n">
        <f aca="false">IFERROR(INDEX(Assessments!$J$2:$J$600,MATCH($H137&amp;"|"&amp;$I137&amp;"|"&amp;$J137&amp;"|"&amp;6,Assessments!$A$2:$A$600,0)),0)</f>
        <v>1</v>
      </c>
      <c r="DC137" s="28" t="n">
        <f aca="false">IFERROR(INDEX(Assessments!$J$2:$J$600,MATCH($H137&amp;"|"&amp;$I137&amp;"|"&amp;$J137&amp;"|"&amp;7,Assessments!$A$2:$A$600,0)),0)</f>
        <v>2</v>
      </c>
      <c r="DD137" s="28" t="n">
        <f aca="false">IFERROR(INDEX(Assessments!$J$2:$J$600,MATCH($H137&amp;"|"&amp;$I137&amp;"|"&amp;$J137&amp;"|"&amp;8,Assessments!$A$2:$A$600,0)),0)</f>
        <v>0</v>
      </c>
      <c r="DE137" s="28" t="n">
        <f aca="false">IFERROR(INDEX(Assessments!$J$2:$J$600,MATCH($H137&amp;"|"&amp;$I137&amp;"|"&amp;$J137&amp;"|"&amp;9,Assessments!$A$2:$A$600,0)),0)</f>
        <v>0</v>
      </c>
      <c r="DF137" s="28" t="n">
        <f aca="false">IFERROR(INDEX(Assessments!$J$2:$J$600,MATCH($H137&amp;"|"&amp;$I137&amp;"|"&amp;$J137&amp;"|"&amp;10,Assessments!$A$2:$A$600,0)),0)</f>
        <v>0</v>
      </c>
      <c r="DG137" s="28" t="n">
        <f aca="false">IFERROR(INDEX(Assessments!$J$2:$J$600,MATCH($H137&amp;"|"&amp;$I137&amp;"|"&amp;$J137&amp;"|"&amp;11,Assessments!$A$2:$A$600,0)),0)</f>
        <v>0</v>
      </c>
      <c r="DH137" s="28" t="n">
        <f aca="false">IFERROR(INDEX(Assessments!$J$2:$J$600,MATCH($H137&amp;"|"&amp;$I137&amp;"|"&amp;$J137&amp;"|"&amp;12,Assessments!$A$2:$A$600,0)),0)</f>
        <v>0</v>
      </c>
      <c r="DI137" s="28" t="n">
        <f aca="false">IFERROR(INDEX(Assessments!$J$2:$J$600,MATCH($H137&amp;"|"&amp;$I137&amp;"|"&amp;$J137&amp;"|"&amp;13,Assessments!$A$2:$A$600,0)),0)</f>
        <v>0</v>
      </c>
      <c r="DJ137" s="28" t="n">
        <f aca="false">IFERROR(INDEX(Assessments!$J$2:$J$600,MATCH($H137&amp;"|"&amp;$I137&amp;"|"&amp;$J137&amp;"|"&amp;14,Assessments!$A$2:$A$600,0)),0)</f>
        <v>0</v>
      </c>
      <c r="DK137" s="28" t="n">
        <f aca="false">S137</f>
        <v>6</v>
      </c>
      <c r="DL137" s="28" t="n">
        <f aca="false">W137</f>
        <v>5</v>
      </c>
      <c r="DM137" s="28" t="n">
        <f aca="false">AA137</f>
        <v>6</v>
      </c>
      <c r="DN137" s="28" t="n">
        <f aca="false">AE137</f>
        <v>5</v>
      </c>
      <c r="DO137" s="28" t="str">
        <f aca="false">AI137</f>
        <v/>
      </c>
      <c r="DP137" s="28" t="str">
        <f aca="false">AM137</f>
        <v/>
      </c>
      <c r="DQ137" s="28" t="n">
        <f aca="false">AQ137</f>
        <v>7</v>
      </c>
      <c r="DR137" s="28" t="str">
        <f aca="false">AU137</f>
        <v/>
      </c>
      <c r="DS137" s="28" t="str">
        <f aca="false">AY137</f>
        <v/>
      </c>
      <c r="DT137" s="28" t="str">
        <f aca="false">BC137</f>
        <v/>
      </c>
      <c r="DU137" s="28" t="str">
        <f aca="false">BG137</f>
        <v/>
      </c>
      <c r="DV137" s="28" t="str">
        <f aca="false">BK137</f>
        <v/>
      </c>
      <c r="DW137" s="28" t="str">
        <f aca="false">BO137</f>
        <v/>
      </c>
      <c r="DX137" s="28" t="str">
        <f aca="false">BS137</f>
        <v/>
      </c>
      <c r="DY137" s="28" t="n">
        <f aca="false">IF(ISNUMBER(S137),1,"")</f>
        <v>1</v>
      </c>
      <c r="DZ137" s="28" t="n">
        <f aca="false">IF(ISNUMBER(W137),2,"")</f>
        <v>2</v>
      </c>
      <c r="EA137" s="28" t="n">
        <f aca="false">IF(ISNUMBER(AA137),3,"")</f>
        <v>3</v>
      </c>
      <c r="EB137" s="28" t="n">
        <f aca="false">IF(ISNUMBER(AE137),4,"")</f>
        <v>4</v>
      </c>
      <c r="EC137" s="28" t="str">
        <f aca="false">IF(ISNUMBER(AI137),5,"")</f>
        <v/>
      </c>
      <c r="ED137" s="28" t="str">
        <f aca="false">IF(ISNUMBER(AM137),6,"")</f>
        <v/>
      </c>
      <c r="EE137" s="28" t="n">
        <f aca="false">IF(ISNUMBER(AQ137),7,"")</f>
        <v>7</v>
      </c>
      <c r="EF137" s="28" t="str">
        <f aca="false">IF(ISNUMBER(AU137),8,"")</f>
        <v/>
      </c>
      <c r="EG137" s="28" t="str">
        <f aca="false">IF(ISNUMBER(AY137),9,"")</f>
        <v/>
      </c>
      <c r="EH137" s="28" t="str">
        <f aca="false">IF(ISNUMBER(BC137),10,"")</f>
        <v/>
      </c>
      <c r="EI137" s="28" t="str">
        <f aca="false">IF(ISNUMBER(BG137),11,"")</f>
        <v/>
      </c>
      <c r="EJ137" s="28" t="str">
        <f aca="false">IF(ISNUMBER(BK137),12,"")</f>
        <v/>
      </c>
      <c r="EK137" s="28" t="str">
        <f aca="false">IF(ISNUMBER(BO137),13,"")</f>
        <v/>
      </c>
      <c r="EL137" s="28" t="str">
        <f aca="false">IF(ISNUMBER(BS137),14,"")</f>
        <v/>
      </c>
      <c r="EM137" s="28" t="n">
        <f aca="false">IF(ISNUMBER(R137),R137*CW137,0)</f>
        <v>66.6666666666667</v>
      </c>
      <c r="EN137" s="28" t="n">
        <f aca="false">IF(ISNUMBER(V137),V137*CX137,0)</f>
        <v>50</v>
      </c>
      <c r="EO137" s="28" t="n">
        <f aca="false">IF(ISNUMBER(Z137),Z137*CY137,0)</f>
        <v>65</v>
      </c>
      <c r="EP137" s="28" t="n">
        <f aca="false">IF(ISNUMBER(AD137),AD137*CZ137,0)</f>
        <v>90</v>
      </c>
      <c r="EQ137" s="28" t="n">
        <f aca="false">IF(ISNUMBER(AH137),AH137*DA137,0)</f>
        <v>0</v>
      </c>
      <c r="ER137" s="28" t="n">
        <f aca="false">IF(ISNUMBER(AL137),AL137*DB137,0)</f>
        <v>0</v>
      </c>
      <c r="ES137" s="28" t="n">
        <f aca="false">IF(ISNUMBER(AP137),AP137*DC137,0)</f>
        <v>200</v>
      </c>
      <c r="ET137" s="28" t="n">
        <f aca="false">IF(ISNUMBER(AT137),AT137*DD137,0)</f>
        <v>0</v>
      </c>
      <c r="EU137" s="28" t="n">
        <f aca="false">IF(ISNUMBER(AX137),AX137*DE137,0)</f>
        <v>0</v>
      </c>
      <c r="EV137" s="28" t="n">
        <f aca="false">IF(ISNUMBER(BB137),BB137*DF137,0)</f>
        <v>0</v>
      </c>
      <c r="EW137" s="28" t="n">
        <f aca="false">IF(ISNUMBER(BF137),BF137*DG137,0)</f>
        <v>0</v>
      </c>
      <c r="EX137" s="28" t="n">
        <f aca="false">IF(ISNUMBER(BJ137),BJ137*DH137,0)</f>
        <v>0</v>
      </c>
      <c r="EY137" s="28" t="n">
        <f aca="false">IF(ISNUMBER(BN137),BN137*DI137,0)</f>
        <v>0</v>
      </c>
      <c r="EZ137" s="28" t="n">
        <f aca="false">IF(ISNUMBER(BR137),BR137*DJ137,0)</f>
        <v>0</v>
      </c>
      <c r="FA137" s="28" t="n">
        <f aca="false">IF(ISNUMBER(R137),CW137,0)</f>
        <v>1</v>
      </c>
      <c r="FB137" s="28" t="n">
        <f aca="false">IF(ISNUMBER(V137),CX137,0)</f>
        <v>1</v>
      </c>
      <c r="FC137" s="28" t="n">
        <f aca="false">IF(ISNUMBER(Z137),CY137,0)</f>
        <v>1</v>
      </c>
      <c r="FD137" s="28" t="n">
        <f aca="false">IF(ISNUMBER(AD137),CZ137,0)</f>
        <v>2</v>
      </c>
      <c r="FE137" s="28" t="n">
        <f aca="false">IF(ISNUMBER(AH137),DA137,0)</f>
        <v>0</v>
      </c>
      <c r="FF137" s="28" t="n">
        <f aca="false">IF(ISNUMBER(AL137),DB137,0)</f>
        <v>0</v>
      </c>
      <c r="FG137" s="28" t="n">
        <f aca="false">IF(ISNUMBER(AP137),DC137,0)</f>
        <v>2</v>
      </c>
      <c r="FH137" s="28" t="n">
        <f aca="false">IF(ISNUMBER(AT137),DD137,0)</f>
        <v>0</v>
      </c>
      <c r="FI137" s="28" t="n">
        <f aca="false">IF(ISNUMBER(AX137),DE137,0)</f>
        <v>0</v>
      </c>
      <c r="FJ137" s="28" t="n">
        <f aca="false">IF(ISNUMBER(BB137),DF137,0)</f>
        <v>0</v>
      </c>
      <c r="FK137" s="28" t="n">
        <f aca="false">IF(ISNUMBER(BF137),DG137,0)</f>
        <v>0</v>
      </c>
      <c r="FL137" s="28" t="n">
        <f aca="false">IF(ISNUMBER(BJ137),DH137,0)</f>
        <v>0</v>
      </c>
      <c r="FM137" s="28" t="n">
        <f aca="false">IF(ISNUMBER(BN137),DI137,0)</f>
        <v>0</v>
      </c>
      <c r="FN137" s="28" t="n">
        <f aca="false">IF(ISNUMBER(BR137),DJ137,0)</f>
        <v>0</v>
      </c>
      <c r="FO137" s="28" t="str">
        <f aca="false">IFERROR(INDEX(Lists!$G$2:$G$20,MATCH($I137&amp;"|"&amp;$J137,Lists!$F$2:$F$20,0)),"")</f>
        <v>BM Exam</v>
      </c>
    </row>
    <row r="138" customFormat="false" ht="19.5" hidden="false" customHeight="true" outlineLevel="0" collapsed="false">
      <c r="A138" s="29" t="s">
        <v>307</v>
      </c>
      <c r="B138" s="29" t="s">
        <v>308</v>
      </c>
      <c r="C138" s="30" t="s">
        <v>152</v>
      </c>
      <c r="D138" s="30" t="s">
        <v>364</v>
      </c>
      <c r="E138" s="31" t="n">
        <v>6</v>
      </c>
      <c r="F138" s="30" t="n">
        <v>6</v>
      </c>
      <c r="G138" s="30"/>
      <c r="H138" s="32" t="s">
        <v>23</v>
      </c>
      <c r="I138" s="33" t="s">
        <v>365</v>
      </c>
      <c r="J138" s="32" t="s">
        <v>25</v>
      </c>
      <c r="K138" s="34" t="n">
        <f aca="false">IF(OR(M138="",$E138=""),"",M138-$E138)</f>
        <v>1</v>
      </c>
      <c r="L138" s="35" t="n">
        <f aca="false">IF(SUM(FA138:FN138)=0,"",SUM(EM138:EZ138)/SUM(FA138:FN138))</f>
        <v>76.5986394557823</v>
      </c>
      <c r="M138" s="36" t="n">
        <f aca="false">IF(OR(L138="",FO138=""),"",IFERROR(MATCH(L138,INDEX(Boundaries!$B$2:$I$30,MATCH(FO138,Boundaries!$A$2:$A$30,0),0),1)-1,""))</f>
        <v>7</v>
      </c>
      <c r="N138" s="37" t="n">
        <f aca="false">IF(COUNT($DY138:$EL138)&lt;2,"",INDEX($DK138:$DX138,MAX($DY138:$EL138))-INDEX($DK138:$DX138,MIN($DY138:$EL138)))</f>
        <v>-2</v>
      </c>
      <c r="O138" s="37" t="n">
        <f aca="false">IF(COUNT($DY138:$EL138)&lt;2,"",INDEX($DK138:$DX138,MAX($DY138:$EL138))-INDEX($DK138:$DX138,LARGE($DY138:$EL138,2)))</f>
        <v>-2</v>
      </c>
      <c r="P138" s="38" t="str">
        <f aca="false">IF(K138="","",IF(K138&gt;=0,"On/above target",IF(AND(N138&lt;&gt;"",N138&gt;=0.5),"Improving towards target",IF(AND(O138&lt;&gt;"",O138&lt;=-0.5),"Declining","Stable below target"))))</f>
        <v>On/above target</v>
      </c>
      <c r="Q138" s="39" t="n">
        <v>20</v>
      </c>
      <c r="R138" s="40" t="n">
        <f aca="false">IF(OR(Q138="",BU138=""),"",Q138/BU138*100)</f>
        <v>83.3333333333333</v>
      </c>
      <c r="S138" s="41" t="n">
        <f aca="false">IF(R138="","",IFERROR(MATCH(R138,INDEX(Boundaries!$B$2:$I$30,MATCH(CI138,Boundaries!$A$2:$A$30,0),0),1)-1,""))</f>
        <v>7</v>
      </c>
      <c r="T138" s="42" t="n">
        <f aca="false">IF(OR(S138="",$E138=""),"",S138-$E138)</f>
        <v>1</v>
      </c>
      <c r="U138" s="39" t="n">
        <v>14</v>
      </c>
      <c r="V138" s="40" t="n">
        <f aca="false">IF(OR(U138="",BV138=""),"",U138/BV138*100)</f>
        <v>70</v>
      </c>
      <c r="W138" s="41" t="n">
        <f aca="false">IF(V138="","",IFERROR(MATCH(V138,INDEX(Boundaries!$B$2:$I$30,MATCH(CJ138,Boundaries!$A$2:$A$30,0),0),1)-1,""))</f>
        <v>6</v>
      </c>
      <c r="X138" s="42" t="n">
        <f aca="false">IF(OR(W138="",$E138=""),"",W138-$E138)</f>
        <v>0</v>
      </c>
      <c r="Y138" s="39" t="n">
        <v>17</v>
      </c>
      <c r="Z138" s="40" t="n">
        <f aca="false">IF(OR(Y138="",BW138=""),"",Y138/BW138*100)</f>
        <v>85</v>
      </c>
      <c r="AA138" s="41" t="n">
        <f aca="false">IF(Z138="","",IFERROR(MATCH(Z138,INDEX(Boundaries!$B$2:$I$30,MATCH(CK138,Boundaries!$A$2:$A$30,0),0),1)-1,""))</f>
        <v>7</v>
      </c>
      <c r="AB138" s="42" t="n">
        <f aca="false">IF(OR(AA138="",$E138=""),"",AA138-$E138)</f>
        <v>1</v>
      </c>
      <c r="AC138" s="39" t="n">
        <v>31</v>
      </c>
      <c r="AD138" s="40" t="n">
        <f aca="false">IF(OR(AC138="",BX138=""),"",AC138/BX138*100)</f>
        <v>77.5</v>
      </c>
      <c r="AE138" s="41" t="n">
        <f aca="false">IF(AD138="","",IFERROR(MATCH(AD138,INDEX(Boundaries!$B$2:$I$30,MATCH(CL138,Boundaries!$A$2:$A$30,0),0),1)-1,""))</f>
        <v>7</v>
      </c>
      <c r="AF138" s="42" t="n">
        <f aca="false">IF(OR(AE138="",$E138=""),"",AE138-$E138)</f>
        <v>1</v>
      </c>
      <c r="AG138" s="39"/>
      <c r="AH138" s="40" t="str">
        <f aca="false">IF(OR(AG138="",BY138=""),"",AG138/BY138*100)</f>
        <v/>
      </c>
      <c r="AI138" s="41" t="str">
        <f aca="false">IF(AH138="","",IFERROR(MATCH(AH138,INDEX(Boundaries!$B$2:$I$30,MATCH(CM138,Boundaries!$A$2:$A$30,0),0),1)-1,""))</f>
        <v/>
      </c>
      <c r="AJ138" s="42" t="str">
        <f aca="false">IF(OR(AI138="",$E138=""),"",AI138-$E138)</f>
        <v/>
      </c>
      <c r="AK138" s="39"/>
      <c r="AL138" s="40" t="str">
        <f aca="false">IF(OR(AK138="",BZ138=""),"",AK138/BZ138*100)</f>
        <v/>
      </c>
      <c r="AM138" s="41" t="str">
        <f aca="false">IF(AL138="","",IFERROR(MATCH(AL138,INDEX(Boundaries!$B$2:$I$30,MATCH(CN138,Boundaries!$A$2:$A$30,0),0),1)-1,""))</f>
        <v/>
      </c>
      <c r="AN138" s="42" t="str">
        <f aca="false">IF(OR(AM138="",$E138=""),"",AM138-$E138)</f>
        <v/>
      </c>
      <c r="AO138" s="39" t="n">
        <v>5</v>
      </c>
      <c r="AP138" s="40" t="n">
        <f aca="false">IF(OR(AO138="",CA138=""),"",AO138/CA138*100)</f>
        <v>71.4285714285714</v>
      </c>
      <c r="AQ138" s="41" t="n">
        <f aca="false">IF(AP138="","",IFERROR(MATCH(AP138,INDEX(Boundaries!$B$2:$I$30,MATCH(CO138,Boundaries!$A$2:$A$30,0),0),1)-1,""))</f>
        <v>5</v>
      </c>
      <c r="AR138" s="42" t="n">
        <f aca="false">IF(OR(AQ138="",$E138=""),"",AQ138-$E138)</f>
        <v>-1</v>
      </c>
      <c r="AS138" s="39"/>
      <c r="AT138" s="40" t="str">
        <f aca="false">IF(OR(AS138="",CB138=""),"",AS138/CB138*100)</f>
        <v/>
      </c>
      <c r="AU138" s="41" t="str">
        <f aca="false">IF(AT138="","",IFERROR(MATCH(AT138,INDEX(Boundaries!$B$2:$I$30,MATCH(CP138,Boundaries!$A$2:$A$30,0),0),1)-1,""))</f>
        <v/>
      </c>
      <c r="AV138" s="42" t="str">
        <f aca="false">IF(OR(AU138="",$E138=""),"",AU138-$E138)</f>
        <v/>
      </c>
      <c r="AW138" s="39"/>
      <c r="AX138" s="40" t="str">
        <f aca="false">IF(OR(AW138="",CC138=""),"",AW138/CC138*100)</f>
        <v/>
      </c>
      <c r="AY138" s="41" t="str">
        <f aca="false">IF(AX138="","",IFERROR(MATCH(AX138,INDEX(Boundaries!$B$2:$I$30,MATCH(CQ138,Boundaries!$A$2:$A$30,0),0),1)-1,""))</f>
        <v/>
      </c>
      <c r="AZ138" s="42" t="str">
        <f aca="false">IF(OR(AY138="",$E138=""),"",AY138-$E138)</f>
        <v/>
      </c>
      <c r="BA138" s="39"/>
      <c r="BB138" s="40" t="str">
        <f aca="false">IF(OR(BA138="",CD138=""),"",BA138/CD138*100)</f>
        <v/>
      </c>
      <c r="BC138" s="41" t="str">
        <f aca="false">IF(BB138="","",IFERROR(MATCH(BB138,INDEX(Boundaries!$B$2:$I$30,MATCH(CR138,Boundaries!$A$2:$A$30,0),0),1)-1,""))</f>
        <v/>
      </c>
      <c r="BD138" s="42" t="str">
        <f aca="false">IF(OR(BC138="",$E138=""),"",BC138-$E138)</f>
        <v/>
      </c>
      <c r="BE138" s="39"/>
      <c r="BF138" s="40" t="str">
        <f aca="false">IF(OR(BE138="",CE138=""),"",BE138/CE138*100)</f>
        <v/>
      </c>
      <c r="BG138" s="41" t="str">
        <f aca="false">IF(BF138="","",IFERROR(MATCH(BF138,INDEX(Boundaries!$B$2:$I$30,MATCH(CS138,Boundaries!$A$2:$A$30,0),0),1)-1,""))</f>
        <v/>
      </c>
      <c r="BH138" s="42" t="str">
        <f aca="false">IF(OR(BG138="",$E138=""),"",BG138-$E138)</f>
        <v/>
      </c>
      <c r="BI138" s="39"/>
      <c r="BJ138" s="40" t="str">
        <f aca="false">IF(OR(BI138="",CF138=""),"",BI138/CF138*100)</f>
        <v/>
      </c>
      <c r="BK138" s="41" t="str">
        <f aca="false">IF(BJ138="","",IFERROR(MATCH(BJ138,INDEX(Boundaries!$B$2:$I$30,MATCH(CT138,Boundaries!$A$2:$A$30,0),0),1)-1,""))</f>
        <v/>
      </c>
      <c r="BL138" s="42" t="str">
        <f aca="false">IF(OR(BK138="",$E138=""),"",BK138-$E138)</f>
        <v/>
      </c>
      <c r="BM138" s="39"/>
      <c r="BN138" s="40" t="str">
        <f aca="false">IF(OR(BM138="",CG138=""),"",BM138/CG138*100)</f>
        <v/>
      </c>
      <c r="BO138" s="41" t="str">
        <f aca="false">IF(BN138="","",IFERROR(MATCH(BN138,INDEX(Boundaries!$B$2:$I$30,MATCH(CU138,Boundaries!$A$2:$A$30,0),0),1)-1,""))</f>
        <v/>
      </c>
      <c r="BP138" s="42" t="str">
        <f aca="false">IF(OR(BO138="",$E138=""),"",BO138-$E138)</f>
        <v/>
      </c>
      <c r="BQ138" s="39"/>
      <c r="BR138" s="40" t="str">
        <f aca="false">IF(OR(BQ138="",CH138=""),"",BQ138/CH138*100)</f>
        <v/>
      </c>
      <c r="BS138" s="41" t="str">
        <f aca="false">IF(BR138="","",IFERROR(MATCH(BR138,INDEX(Boundaries!$B$2:$I$30,MATCH(CV138,Boundaries!$A$2:$A$30,0),0),1)-1,""))</f>
        <v/>
      </c>
      <c r="BT138" s="42" t="str">
        <f aca="false">IF(OR(BS138="",$E138=""),"",BS138-$E138)</f>
        <v/>
      </c>
      <c r="BU138" s="28" t="n">
        <f aca="false">IFERROR(INDEX(Assessments!$H$2:$H$600,MATCH($H138&amp;"|"&amp;$I138&amp;"|"&amp;$J138&amp;"|"&amp;1,Assessments!$A$2:$A$600,0)),"")</f>
        <v>24</v>
      </c>
      <c r="BV138" s="28" t="n">
        <f aca="false">IFERROR(INDEX(Assessments!$H$2:$H$600,MATCH($H138&amp;"|"&amp;$I138&amp;"|"&amp;$J138&amp;"|"&amp;2,Assessments!$A$2:$A$600,0)),"")</f>
        <v>20</v>
      </c>
      <c r="BW138" s="28" t="n">
        <f aca="false">IFERROR(INDEX(Assessments!$H$2:$H$600,MATCH($H138&amp;"|"&amp;$I138&amp;"|"&amp;$J138&amp;"|"&amp;3,Assessments!$A$2:$A$600,0)),"")</f>
        <v>20</v>
      </c>
      <c r="BX138" s="28" t="n">
        <f aca="false">IFERROR(INDEX(Assessments!$H$2:$H$600,MATCH($H138&amp;"|"&amp;$I138&amp;"|"&amp;$J138&amp;"|"&amp;4,Assessments!$A$2:$A$600,0)),"")</f>
        <v>40</v>
      </c>
      <c r="BY138" s="28" t="n">
        <f aca="false">IFERROR(INDEX(Assessments!$H$2:$H$600,MATCH($H138&amp;"|"&amp;$I138&amp;"|"&amp;$J138&amp;"|"&amp;5,Assessments!$A$2:$A$600,0)),"")</f>
        <v>30</v>
      </c>
      <c r="BZ138" s="28" t="n">
        <f aca="false">IFERROR(INDEX(Assessments!$H$2:$H$600,MATCH($H138&amp;"|"&amp;$I138&amp;"|"&amp;$J138&amp;"|"&amp;6,Assessments!$A$2:$A$600,0)),"")</f>
        <v>20</v>
      </c>
      <c r="CA138" s="28" t="n">
        <f aca="false">IFERROR(INDEX(Assessments!$H$2:$H$600,MATCH($H138&amp;"|"&amp;$I138&amp;"|"&amp;$J138&amp;"|"&amp;7,Assessments!$A$2:$A$600,0)),"")</f>
        <v>7</v>
      </c>
      <c r="CB138" s="28" t="str">
        <f aca="false">IFERROR(INDEX(Assessments!$H$2:$H$600,MATCH($H138&amp;"|"&amp;$I138&amp;"|"&amp;$J138&amp;"|"&amp;8,Assessments!$A$2:$A$600,0)),"")</f>
        <v/>
      </c>
      <c r="CC138" s="28" t="str">
        <f aca="false">IFERROR(INDEX(Assessments!$H$2:$H$600,MATCH($H138&amp;"|"&amp;$I138&amp;"|"&amp;$J138&amp;"|"&amp;9,Assessments!$A$2:$A$600,0)),"")</f>
        <v/>
      </c>
      <c r="CD138" s="28" t="str">
        <f aca="false">IFERROR(INDEX(Assessments!$H$2:$H$600,MATCH($H138&amp;"|"&amp;$I138&amp;"|"&amp;$J138&amp;"|"&amp;10,Assessments!$A$2:$A$600,0)),"")</f>
        <v/>
      </c>
      <c r="CE138" s="28" t="str">
        <f aca="false">IFERROR(INDEX(Assessments!$H$2:$H$600,MATCH($H138&amp;"|"&amp;$I138&amp;"|"&amp;$J138&amp;"|"&amp;11,Assessments!$A$2:$A$600,0)),"")</f>
        <v/>
      </c>
      <c r="CF138" s="28" t="str">
        <f aca="false">IFERROR(INDEX(Assessments!$H$2:$H$600,MATCH($H138&amp;"|"&amp;$I138&amp;"|"&amp;$J138&amp;"|"&amp;12,Assessments!$A$2:$A$600,0)),"")</f>
        <v/>
      </c>
      <c r="CG138" s="28" t="str">
        <f aca="false">IFERROR(INDEX(Assessments!$H$2:$H$600,MATCH($H138&amp;"|"&amp;$I138&amp;"|"&amp;$J138&amp;"|"&amp;13,Assessments!$A$2:$A$600,0)),"")</f>
        <v/>
      </c>
      <c r="CH138" s="28" t="str">
        <f aca="false">IFERROR(INDEX(Assessments!$H$2:$H$600,MATCH($H138&amp;"|"&amp;$I138&amp;"|"&amp;$J138&amp;"|"&amp;14,Assessments!$A$2:$A$600,0)),"")</f>
        <v/>
      </c>
      <c r="CI138" s="28" t="str">
        <f aca="false">IFERROR(INDEX(Assessments!$I$2:$I$600,MATCH($H138&amp;"|"&amp;$I138&amp;"|"&amp;$J138&amp;"|"&amp;1,Assessments!$A$2:$A$600,0)),"")</f>
        <v>BM Test</v>
      </c>
      <c r="CJ138" s="28" t="str">
        <f aca="false">IFERROR(INDEX(Assessments!$I$2:$I$600,MATCH($H138&amp;"|"&amp;$I138&amp;"|"&amp;$J138&amp;"|"&amp;2,Assessments!$A$2:$A$600,0)),"")</f>
        <v>BM Test</v>
      </c>
      <c r="CK138" s="28" t="str">
        <f aca="false">IFERROR(INDEX(Assessments!$I$2:$I$600,MATCH($H138&amp;"|"&amp;$I138&amp;"|"&amp;$J138&amp;"|"&amp;3,Assessments!$A$2:$A$600,0)),"")</f>
        <v>BM Test</v>
      </c>
      <c r="CL138" s="28" t="str">
        <f aca="false">IFERROR(INDEX(Assessments!$I$2:$I$600,MATCH($H138&amp;"|"&amp;$I138&amp;"|"&amp;$J138&amp;"|"&amp;4,Assessments!$A$2:$A$600,0)),"")</f>
        <v>BM Exam</v>
      </c>
      <c r="CM138" s="28" t="str">
        <f aca="false">IFERROR(INDEX(Assessments!$I$2:$I$600,MATCH($H138&amp;"|"&amp;$I138&amp;"|"&amp;$J138&amp;"|"&amp;5,Assessments!$A$2:$A$600,0)),"")</f>
        <v>BM Test</v>
      </c>
      <c r="CN138" s="28" t="str">
        <f aca="false">IFERROR(INDEX(Assessments!$I$2:$I$600,MATCH($H138&amp;"|"&amp;$I138&amp;"|"&amp;$J138&amp;"|"&amp;6,Assessments!$A$2:$A$600,0)),"")</f>
        <v>BM Test</v>
      </c>
      <c r="CO138" s="28" t="str">
        <f aca="false">IFERROR(INDEX(Assessments!$I$2:$I$600,MATCH($H138&amp;"|"&amp;$I138&amp;"|"&amp;$J138&amp;"|"&amp;7,Assessments!$A$2:$A$600,0)),"")</f>
        <v>Grade entered</v>
      </c>
      <c r="CP138" s="28" t="str">
        <f aca="false">IFERROR(INDEX(Assessments!$I$2:$I$600,MATCH($H138&amp;"|"&amp;$I138&amp;"|"&amp;$J138&amp;"|"&amp;8,Assessments!$A$2:$A$600,0)),"")</f>
        <v/>
      </c>
      <c r="CQ138" s="28" t="str">
        <f aca="false">IFERROR(INDEX(Assessments!$I$2:$I$600,MATCH($H138&amp;"|"&amp;$I138&amp;"|"&amp;$J138&amp;"|"&amp;9,Assessments!$A$2:$A$600,0)),"")</f>
        <v/>
      </c>
      <c r="CR138" s="28" t="str">
        <f aca="false">IFERROR(INDEX(Assessments!$I$2:$I$600,MATCH($H138&amp;"|"&amp;$I138&amp;"|"&amp;$J138&amp;"|"&amp;10,Assessments!$A$2:$A$600,0)),"")</f>
        <v/>
      </c>
      <c r="CS138" s="28" t="str">
        <f aca="false">IFERROR(INDEX(Assessments!$I$2:$I$600,MATCH($H138&amp;"|"&amp;$I138&amp;"|"&amp;$J138&amp;"|"&amp;11,Assessments!$A$2:$A$600,0)),"")</f>
        <v/>
      </c>
      <c r="CT138" s="28" t="str">
        <f aca="false">IFERROR(INDEX(Assessments!$I$2:$I$600,MATCH($H138&amp;"|"&amp;$I138&amp;"|"&amp;$J138&amp;"|"&amp;12,Assessments!$A$2:$A$600,0)),"")</f>
        <v/>
      </c>
      <c r="CU138" s="28" t="str">
        <f aca="false">IFERROR(INDEX(Assessments!$I$2:$I$600,MATCH($H138&amp;"|"&amp;$I138&amp;"|"&amp;$J138&amp;"|"&amp;13,Assessments!$A$2:$A$600,0)),"")</f>
        <v/>
      </c>
      <c r="CV138" s="28" t="str">
        <f aca="false">IFERROR(INDEX(Assessments!$I$2:$I$600,MATCH($H138&amp;"|"&amp;$I138&amp;"|"&amp;$J138&amp;"|"&amp;14,Assessments!$A$2:$A$600,0)),"")</f>
        <v/>
      </c>
      <c r="CW138" s="28" t="n">
        <f aca="false">IFERROR(INDEX(Assessments!$J$2:$J$600,MATCH($H138&amp;"|"&amp;$I138&amp;"|"&amp;$J138&amp;"|"&amp;1,Assessments!$A$2:$A$600,0)),0)</f>
        <v>1</v>
      </c>
      <c r="CX138" s="28" t="n">
        <f aca="false">IFERROR(INDEX(Assessments!$J$2:$J$600,MATCH($H138&amp;"|"&amp;$I138&amp;"|"&amp;$J138&amp;"|"&amp;2,Assessments!$A$2:$A$600,0)),0)</f>
        <v>1</v>
      </c>
      <c r="CY138" s="28" t="n">
        <f aca="false">IFERROR(INDEX(Assessments!$J$2:$J$600,MATCH($H138&amp;"|"&amp;$I138&amp;"|"&amp;$J138&amp;"|"&amp;3,Assessments!$A$2:$A$600,0)),0)</f>
        <v>1</v>
      </c>
      <c r="CZ138" s="28" t="n">
        <f aca="false">IFERROR(INDEX(Assessments!$J$2:$J$600,MATCH($H138&amp;"|"&amp;$I138&amp;"|"&amp;$J138&amp;"|"&amp;4,Assessments!$A$2:$A$600,0)),0)</f>
        <v>2</v>
      </c>
      <c r="DA138" s="28" t="n">
        <f aca="false">IFERROR(INDEX(Assessments!$J$2:$J$600,MATCH($H138&amp;"|"&amp;$I138&amp;"|"&amp;$J138&amp;"|"&amp;5,Assessments!$A$2:$A$600,0)),0)</f>
        <v>1</v>
      </c>
      <c r="DB138" s="28" t="n">
        <f aca="false">IFERROR(INDEX(Assessments!$J$2:$J$600,MATCH($H138&amp;"|"&amp;$I138&amp;"|"&amp;$J138&amp;"|"&amp;6,Assessments!$A$2:$A$600,0)),0)</f>
        <v>1</v>
      </c>
      <c r="DC138" s="28" t="n">
        <f aca="false">IFERROR(INDEX(Assessments!$J$2:$J$600,MATCH($H138&amp;"|"&amp;$I138&amp;"|"&amp;$J138&amp;"|"&amp;7,Assessments!$A$2:$A$600,0)),0)</f>
        <v>2</v>
      </c>
      <c r="DD138" s="28" t="n">
        <f aca="false">IFERROR(INDEX(Assessments!$J$2:$J$600,MATCH($H138&amp;"|"&amp;$I138&amp;"|"&amp;$J138&amp;"|"&amp;8,Assessments!$A$2:$A$600,0)),0)</f>
        <v>0</v>
      </c>
      <c r="DE138" s="28" t="n">
        <f aca="false">IFERROR(INDEX(Assessments!$J$2:$J$600,MATCH($H138&amp;"|"&amp;$I138&amp;"|"&amp;$J138&amp;"|"&amp;9,Assessments!$A$2:$A$600,0)),0)</f>
        <v>0</v>
      </c>
      <c r="DF138" s="28" t="n">
        <f aca="false">IFERROR(INDEX(Assessments!$J$2:$J$600,MATCH($H138&amp;"|"&amp;$I138&amp;"|"&amp;$J138&amp;"|"&amp;10,Assessments!$A$2:$A$600,0)),0)</f>
        <v>0</v>
      </c>
      <c r="DG138" s="28" t="n">
        <f aca="false">IFERROR(INDEX(Assessments!$J$2:$J$600,MATCH($H138&amp;"|"&amp;$I138&amp;"|"&amp;$J138&amp;"|"&amp;11,Assessments!$A$2:$A$600,0)),0)</f>
        <v>0</v>
      </c>
      <c r="DH138" s="28" t="n">
        <f aca="false">IFERROR(INDEX(Assessments!$J$2:$J$600,MATCH($H138&amp;"|"&amp;$I138&amp;"|"&amp;$J138&amp;"|"&amp;12,Assessments!$A$2:$A$600,0)),0)</f>
        <v>0</v>
      </c>
      <c r="DI138" s="28" t="n">
        <f aca="false">IFERROR(INDEX(Assessments!$J$2:$J$600,MATCH($H138&amp;"|"&amp;$I138&amp;"|"&amp;$J138&amp;"|"&amp;13,Assessments!$A$2:$A$600,0)),0)</f>
        <v>0</v>
      </c>
      <c r="DJ138" s="28" t="n">
        <f aca="false">IFERROR(INDEX(Assessments!$J$2:$J$600,MATCH($H138&amp;"|"&amp;$I138&amp;"|"&amp;$J138&amp;"|"&amp;14,Assessments!$A$2:$A$600,0)),0)</f>
        <v>0</v>
      </c>
      <c r="DK138" s="28" t="n">
        <f aca="false">S138</f>
        <v>7</v>
      </c>
      <c r="DL138" s="28" t="n">
        <f aca="false">W138</f>
        <v>6</v>
      </c>
      <c r="DM138" s="28" t="n">
        <f aca="false">AA138</f>
        <v>7</v>
      </c>
      <c r="DN138" s="28" t="n">
        <f aca="false">AE138</f>
        <v>7</v>
      </c>
      <c r="DO138" s="28" t="str">
        <f aca="false">AI138</f>
        <v/>
      </c>
      <c r="DP138" s="28" t="str">
        <f aca="false">AM138</f>
        <v/>
      </c>
      <c r="DQ138" s="28" t="n">
        <f aca="false">AQ138</f>
        <v>5</v>
      </c>
      <c r="DR138" s="28" t="str">
        <f aca="false">AU138</f>
        <v/>
      </c>
      <c r="DS138" s="28" t="str">
        <f aca="false">AY138</f>
        <v/>
      </c>
      <c r="DT138" s="28" t="str">
        <f aca="false">BC138</f>
        <v/>
      </c>
      <c r="DU138" s="28" t="str">
        <f aca="false">BG138</f>
        <v/>
      </c>
      <c r="DV138" s="28" t="str">
        <f aca="false">BK138</f>
        <v/>
      </c>
      <c r="DW138" s="28" t="str">
        <f aca="false">BO138</f>
        <v/>
      </c>
      <c r="DX138" s="28" t="str">
        <f aca="false">BS138</f>
        <v/>
      </c>
      <c r="DY138" s="28" t="n">
        <f aca="false">IF(ISNUMBER(S138),1,"")</f>
        <v>1</v>
      </c>
      <c r="DZ138" s="28" t="n">
        <f aca="false">IF(ISNUMBER(W138),2,"")</f>
        <v>2</v>
      </c>
      <c r="EA138" s="28" t="n">
        <f aca="false">IF(ISNUMBER(AA138),3,"")</f>
        <v>3</v>
      </c>
      <c r="EB138" s="28" t="n">
        <f aca="false">IF(ISNUMBER(AE138),4,"")</f>
        <v>4</v>
      </c>
      <c r="EC138" s="28" t="str">
        <f aca="false">IF(ISNUMBER(AI138),5,"")</f>
        <v/>
      </c>
      <c r="ED138" s="28" t="str">
        <f aca="false">IF(ISNUMBER(AM138),6,"")</f>
        <v/>
      </c>
      <c r="EE138" s="28" t="n">
        <f aca="false">IF(ISNUMBER(AQ138),7,"")</f>
        <v>7</v>
      </c>
      <c r="EF138" s="28" t="str">
        <f aca="false">IF(ISNUMBER(AU138),8,"")</f>
        <v/>
      </c>
      <c r="EG138" s="28" t="str">
        <f aca="false">IF(ISNUMBER(AY138),9,"")</f>
        <v/>
      </c>
      <c r="EH138" s="28" t="str">
        <f aca="false">IF(ISNUMBER(BC138),10,"")</f>
        <v/>
      </c>
      <c r="EI138" s="28" t="str">
        <f aca="false">IF(ISNUMBER(BG138),11,"")</f>
        <v/>
      </c>
      <c r="EJ138" s="28" t="str">
        <f aca="false">IF(ISNUMBER(BK138),12,"")</f>
        <v/>
      </c>
      <c r="EK138" s="28" t="str">
        <f aca="false">IF(ISNUMBER(BO138),13,"")</f>
        <v/>
      </c>
      <c r="EL138" s="28" t="str">
        <f aca="false">IF(ISNUMBER(BS138),14,"")</f>
        <v/>
      </c>
      <c r="EM138" s="28" t="n">
        <f aca="false">IF(ISNUMBER(R138),R138*CW138,0)</f>
        <v>83.3333333333333</v>
      </c>
      <c r="EN138" s="28" t="n">
        <f aca="false">IF(ISNUMBER(V138),V138*CX138,0)</f>
        <v>70</v>
      </c>
      <c r="EO138" s="28" t="n">
        <f aca="false">IF(ISNUMBER(Z138),Z138*CY138,0)</f>
        <v>85</v>
      </c>
      <c r="EP138" s="28" t="n">
        <f aca="false">IF(ISNUMBER(AD138),AD138*CZ138,0)</f>
        <v>155</v>
      </c>
      <c r="EQ138" s="28" t="n">
        <f aca="false">IF(ISNUMBER(AH138),AH138*DA138,0)</f>
        <v>0</v>
      </c>
      <c r="ER138" s="28" t="n">
        <f aca="false">IF(ISNUMBER(AL138),AL138*DB138,0)</f>
        <v>0</v>
      </c>
      <c r="ES138" s="28" t="n">
        <f aca="false">IF(ISNUMBER(AP138),AP138*DC138,0)</f>
        <v>142.857142857143</v>
      </c>
      <c r="ET138" s="28" t="n">
        <f aca="false">IF(ISNUMBER(AT138),AT138*DD138,0)</f>
        <v>0</v>
      </c>
      <c r="EU138" s="28" t="n">
        <f aca="false">IF(ISNUMBER(AX138),AX138*DE138,0)</f>
        <v>0</v>
      </c>
      <c r="EV138" s="28" t="n">
        <f aca="false">IF(ISNUMBER(BB138),BB138*DF138,0)</f>
        <v>0</v>
      </c>
      <c r="EW138" s="28" t="n">
        <f aca="false">IF(ISNUMBER(BF138),BF138*DG138,0)</f>
        <v>0</v>
      </c>
      <c r="EX138" s="28" t="n">
        <f aca="false">IF(ISNUMBER(BJ138),BJ138*DH138,0)</f>
        <v>0</v>
      </c>
      <c r="EY138" s="28" t="n">
        <f aca="false">IF(ISNUMBER(BN138),BN138*DI138,0)</f>
        <v>0</v>
      </c>
      <c r="EZ138" s="28" t="n">
        <f aca="false">IF(ISNUMBER(BR138),BR138*DJ138,0)</f>
        <v>0</v>
      </c>
      <c r="FA138" s="28" t="n">
        <f aca="false">IF(ISNUMBER(R138),CW138,0)</f>
        <v>1</v>
      </c>
      <c r="FB138" s="28" t="n">
        <f aca="false">IF(ISNUMBER(V138),CX138,0)</f>
        <v>1</v>
      </c>
      <c r="FC138" s="28" t="n">
        <f aca="false">IF(ISNUMBER(Z138),CY138,0)</f>
        <v>1</v>
      </c>
      <c r="FD138" s="28" t="n">
        <f aca="false">IF(ISNUMBER(AD138),CZ138,0)</f>
        <v>2</v>
      </c>
      <c r="FE138" s="28" t="n">
        <f aca="false">IF(ISNUMBER(AH138),DA138,0)</f>
        <v>0</v>
      </c>
      <c r="FF138" s="28" t="n">
        <f aca="false">IF(ISNUMBER(AL138),DB138,0)</f>
        <v>0</v>
      </c>
      <c r="FG138" s="28" t="n">
        <f aca="false">IF(ISNUMBER(AP138),DC138,0)</f>
        <v>2</v>
      </c>
      <c r="FH138" s="28" t="n">
        <f aca="false">IF(ISNUMBER(AT138),DD138,0)</f>
        <v>0</v>
      </c>
      <c r="FI138" s="28" t="n">
        <f aca="false">IF(ISNUMBER(AX138),DE138,0)</f>
        <v>0</v>
      </c>
      <c r="FJ138" s="28" t="n">
        <f aca="false">IF(ISNUMBER(BB138),DF138,0)</f>
        <v>0</v>
      </c>
      <c r="FK138" s="28" t="n">
        <f aca="false">IF(ISNUMBER(BF138),DG138,0)</f>
        <v>0</v>
      </c>
      <c r="FL138" s="28" t="n">
        <f aca="false">IF(ISNUMBER(BJ138),DH138,0)</f>
        <v>0</v>
      </c>
      <c r="FM138" s="28" t="n">
        <f aca="false">IF(ISNUMBER(BN138),DI138,0)</f>
        <v>0</v>
      </c>
      <c r="FN138" s="28" t="n">
        <f aca="false">IF(ISNUMBER(BR138),DJ138,0)</f>
        <v>0</v>
      </c>
      <c r="FO138" s="28" t="str">
        <f aca="false">IFERROR(INDEX(Lists!$G$2:$G$20,MATCH($I138&amp;"|"&amp;$J138,Lists!$F$2:$F$20,0)),"")</f>
        <v>BM Exam</v>
      </c>
    </row>
    <row r="139" customFormat="false" ht="19.5" hidden="false" customHeight="true" outlineLevel="0" collapsed="false">
      <c r="A139" s="29" t="s">
        <v>171</v>
      </c>
      <c r="B139" s="29" t="s">
        <v>293</v>
      </c>
      <c r="C139" s="30" t="s">
        <v>152</v>
      </c>
      <c r="D139" s="30" t="s">
        <v>383</v>
      </c>
      <c r="E139" s="31" t="n">
        <v>6.1</v>
      </c>
      <c r="F139" s="30" t="n">
        <v>6</v>
      </c>
      <c r="G139" s="30"/>
      <c r="H139" s="32" t="s">
        <v>23</v>
      </c>
      <c r="I139" s="33" t="s">
        <v>365</v>
      </c>
      <c r="J139" s="32" t="s">
        <v>25</v>
      </c>
      <c r="K139" s="34" t="n">
        <f aca="false">IF(OR(M139="",$E139=""),"",M139-$E139)</f>
        <v>0.9</v>
      </c>
      <c r="L139" s="35" t="n">
        <f aca="false">IF(SUM(FA139:FN139)=0,"",SUM(EM139:EZ139)/SUM(FA139:FN139))</f>
        <v>78.9047619047619</v>
      </c>
      <c r="M139" s="36" t="n">
        <f aca="false">IF(OR(L139="",FO139=""),"",IFERROR(MATCH(L139,INDEX(Boundaries!$B$2:$I$30,MATCH(FO139,Boundaries!$A$2:$A$30,0),0),1)-1,""))</f>
        <v>7</v>
      </c>
      <c r="N139" s="37" t="n">
        <f aca="false">IF(COUNT($DY139:$EL139)&lt;2,"",INDEX($DK139:$DX139,MAX($DY139:$EL139))-INDEX($DK139:$DX139,MIN($DY139:$EL139)))</f>
        <v>-2</v>
      </c>
      <c r="O139" s="37" t="n">
        <f aca="false">IF(COUNT($DY139:$EL139)&lt;2,"",INDEX($DK139:$DX139,MAX($DY139:$EL139))-INDEX($DK139:$DX139,LARGE($DY139:$EL139,2)))</f>
        <v>-2</v>
      </c>
      <c r="P139" s="38" t="str">
        <f aca="false">IF(K139="","",IF(K139&gt;=0,"On/above target",IF(AND(N139&lt;&gt;"",N139&gt;=0.5),"Improving towards target",IF(AND(O139&lt;&gt;"",O139&lt;=-0.5),"Declining","Stable below target"))))</f>
        <v>On/above target</v>
      </c>
      <c r="Q139" s="39" t="n">
        <v>22</v>
      </c>
      <c r="R139" s="40" t="n">
        <f aca="false">IF(OR(Q139="",BU139=""),"",Q139/BU139*100)</f>
        <v>91.6666666666667</v>
      </c>
      <c r="S139" s="41" t="n">
        <f aca="false">IF(R139="","",IFERROR(MATCH(R139,INDEX(Boundaries!$B$2:$I$30,MATCH(CI139,Boundaries!$A$2:$A$30,0),0),1)-1,""))</f>
        <v>7</v>
      </c>
      <c r="T139" s="42" t="n">
        <f aca="false">IF(OR(S139="",$E139=""),"",S139-$E139)</f>
        <v>0.9</v>
      </c>
      <c r="U139" s="39" t="n">
        <v>14</v>
      </c>
      <c r="V139" s="40" t="n">
        <f aca="false">IF(OR(U139="",BV139=""),"",U139/BV139*100)</f>
        <v>70</v>
      </c>
      <c r="W139" s="41" t="n">
        <f aca="false">IF(V139="","",IFERROR(MATCH(V139,INDEX(Boundaries!$B$2:$I$30,MATCH(CJ139,Boundaries!$A$2:$A$30,0),0),1)-1,""))</f>
        <v>6</v>
      </c>
      <c r="X139" s="42" t="n">
        <f aca="false">IF(OR(W139="",$E139=""),"",W139-$E139)</f>
        <v>-0.0999999999999996</v>
      </c>
      <c r="Y139" s="39" t="n">
        <v>18</v>
      </c>
      <c r="Z139" s="40" t="n">
        <f aca="false">IF(OR(Y139="",BW139=""),"",Y139/BW139*100)</f>
        <v>90</v>
      </c>
      <c r="AA139" s="41" t="n">
        <f aca="false">IF(Z139="","",IFERROR(MATCH(Z139,INDEX(Boundaries!$B$2:$I$30,MATCH(CK139,Boundaries!$A$2:$A$30,0),0),1)-1,""))</f>
        <v>7</v>
      </c>
      <c r="AB139" s="42" t="n">
        <f aca="false">IF(OR(AA139="",$E139=""),"",AA139-$E139)</f>
        <v>0.9</v>
      </c>
      <c r="AC139" s="39"/>
      <c r="AD139" s="40" t="str">
        <f aca="false">IF(OR(AC139="",BX139=""),"",AC139/BX139*100)</f>
        <v/>
      </c>
      <c r="AE139" s="41" t="str">
        <f aca="false">IF(AD139="","",IFERROR(MATCH(AD139,INDEX(Boundaries!$B$2:$I$30,MATCH(CL139,Boundaries!$A$2:$A$30,0),0),1)-1,""))</f>
        <v/>
      </c>
      <c r="AF139" s="42" t="str">
        <f aca="false">IF(OR(AE139="",$E139=""),"",AE139-$E139)</f>
        <v/>
      </c>
      <c r="AG139" s="39"/>
      <c r="AH139" s="40" t="str">
        <f aca="false">IF(OR(AG139="",BY139=""),"",AG139/BY139*100)</f>
        <v/>
      </c>
      <c r="AI139" s="41" t="str">
        <f aca="false">IF(AH139="","",IFERROR(MATCH(AH139,INDEX(Boundaries!$B$2:$I$30,MATCH(CM139,Boundaries!$A$2:$A$30,0),0),1)-1,""))</f>
        <v/>
      </c>
      <c r="AJ139" s="42" t="str">
        <f aca="false">IF(OR(AI139="",$E139=""),"",AI139-$E139)</f>
        <v/>
      </c>
      <c r="AK139" s="39"/>
      <c r="AL139" s="40" t="str">
        <f aca="false">IF(OR(AK139="",BZ139=""),"",AK139/BZ139*100)</f>
        <v/>
      </c>
      <c r="AM139" s="41" t="str">
        <f aca="false">IF(AL139="","",IFERROR(MATCH(AL139,INDEX(Boundaries!$B$2:$I$30,MATCH(CN139,Boundaries!$A$2:$A$30,0),0),1)-1,""))</f>
        <v/>
      </c>
      <c r="AN139" s="42" t="str">
        <f aca="false">IF(OR(AM139="",$E139=""),"",AM139-$E139)</f>
        <v/>
      </c>
      <c r="AO139" s="39" t="n">
        <v>5</v>
      </c>
      <c r="AP139" s="40" t="n">
        <f aca="false">IF(OR(AO139="",CA139=""),"",AO139/CA139*100)</f>
        <v>71.4285714285714</v>
      </c>
      <c r="AQ139" s="41" t="n">
        <f aca="false">IF(AP139="","",IFERROR(MATCH(AP139,INDEX(Boundaries!$B$2:$I$30,MATCH(CO139,Boundaries!$A$2:$A$30,0),0),1)-1,""))</f>
        <v>5</v>
      </c>
      <c r="AR139" s="42" t="n">
        <f aca="false">IF(OR(AQ139="",$E139=""),"",AQ139-$E139)</f>
        <v>-1.1</v>
      </c>
      <c r="AS139" s="39"/>
      <c r="AT139" s="40" t="str">
        <f aca="false">IF(OR(AS139="",CB139=""),"",AS139/CB139*100)</f>
        <v/>
      </c>
      <c r="AU139" s="41" t="str">
        <f aca="false">IF(AT139="","",IFERROR(MATCH(AT139,INDEX(Boundaries!$B$2:$I$30,MATCH(CP139,Boundaries!$A$2:$A$30,0),0),1)-1,""))</f>
        <v/>
      </c>
      <c r="AV139" s="42" t="str">
        <f aca="false">IF(OR(AU139="",$E139=""),"",AU139-$E139)</f>
        <v/>
      </c>
      <c r="AW139" s="39"/>
      <c r="AX139" s="40" t="str">
        <f aca="false">IF(OR(AW139="",CC139=""),"",AW139/CC139*100)</f>
        <v/>
      </c>
      <c r="AY139" s="41" t="str">
        <f aca="false">IF(AX139="","",IFERROR(MATCH(AX139,INDEX(Boundaries!$B$2:$I$30,MATCH(CQ139,Boundaries!$A$2:$A$30,0),0),1)-1,""))</f>
        <v/>
      </c>
      <c r="AZ139" s="42" t="str">
        <f aca="false">IF(OR(AY139="",$E139=""),"",AY139-$E139)</f>
        <v/>
      </c>
      <c r="BA139" s="39"/>
      <c r="BB139" s="40" t="str">
        <f aca="false">IF(OR(BA139="",CD139=""),"",BA139/CD139*100)</f>
        <v/>
      </c>
      <c r="BC139" s="41" t="str">
        <f aca="false">IF(BB139="","",IFERROR(MATCH(BB139,INDEX(Boundaries!$B$2:$I$30,MATCH(CR139,Boundaries!$A$2:$A$30,0),0),1)-1,""))</f>
        <v/>
      </c>
      <c r="BD139" s="42" t="str">
        <f aca="false">IF(OR(BC139="",$E139=""),"",BC139-$E139)</f>
        <v/>
      </c>
      <c r="BE139" s="39"/>
      <c r="BF139" s="40" t="str">
        <f aca="false">IF(OR(BE139="",CE139=""),"",BE139/CE139*100)</f>
        <v/>
      </c>
      <c r="BG139" s="41" t="str">
        <f aca="false">IF(BF139="","",IFERROR(MATCH(BF139,INDEX(Boundaries!$B$2:$I$30,MATCH(CS139,Boundaries!$A$2:$A$30,0),0),1)-1,""))</f>
        <v/>
      </c>
      <c r="BH139" s="42" t="str">
        <f aca="false">IF(OR(BG139="",$E139=""),"",BG139-$E139)</f>
        <v/>
      </c>
      <c r="BI139" s="39"/>
      <c r="BJ139" s="40" t="str">
        <f aca="false">IF(OR(BI139="",CF139=""),"",BI139/CF139*100)</f>
        <v/>
      </c>
      <c r="BK139" s="41" t="str">
        <f aca="false">IF(BJ139="","",IFERROR(MATCH(BJ139,INDEX(Boundaries!$B$2:$I$30,MATCH(CT139,Boundaries!$A$2:$A$30,0),0),1)-1,""))</f>
        <v/>
      </c>
      <c r="BL139" s="42" t="str">
        <f aca="false">IF(OR(BK139="",$E139=""),"",BK139-$E139)</f>
        <v/>
      </c>
      <c r="BM139" s="39"/>
      <c r="BN139" s="40" t="str">
        <f aca="false">IF(OR(BM139="",CG139=""),"",BM139/CG139*100)</f>
        <v/>
      </c>
      <c r="BO139" s="41" t="str">
        <f aca="false">IF(BN139="","",IFERROR(MATCH(BN139,INDEX(Boundaries!$B$2:$I$30,MATCH(CU139,Boundaries!$A$2:$A$30,0),0),1)-1,""))</f>
        <v/>
      </c>
      <c r="BP139" s="42" t="str">
        <f aca="false">IF(OR(BO139="",$E139=""),"",BO139-$E139)</f>
        <v/>
      </c>
      <c r="BQ139" s="39"/>
      <c r="BR139" s="40" t="str">
        <f aca="false">IF(OR(BQ139="",CH139=""),"",BQ139/CH139*100)</f>
        <v/>
      </c>
      <c r="BS139" s="41" t="str">
        <f aca="false">IF(BR139="","",IFERROR(MATCH(BR139,INDEX(Boundaries!$B$2:$I$30,MATCH(CV139,Boundaries!$A$2:$A$30,0),0),1)-1,""))</f>
        <v/>
      </c>
      <c r="BT139" s="42" t="str">
        <f aca="false">IF(OR(BS139="",$E139=""),"",BS139-$E139)</f>
        <v/>
      </c>
      <c r="BU139" s="28" t="n">
        <f aca="false">IFERROR(INDEX(Assessments!$H$2:$H$600,MATCH($H139&amp;"|"&amp;$I139&amp;"|"&amp;$J139&amp;"|"&amp;1,Assessments!$A$2:$A$600,0)),"")</f>
        <v>24</v>
      </c>
      <c r="BV139" s="28" t="n">
        <f aca="false">IFERROR(INDEX(Assessments!$H$2:$H$600,MATCH($H139&amp;"|"&amp;$I139&amp;"|"&amp;$J139&amp;"|"&amp;2,Assessments!$A$2:$A$600,0)),"")</f>
        <v>20</v>
      </c>
      <c r="BW139" s="28" t="n">
        <f aca="false">IFERROR(INDEX(Assessments!$H$2:$H$600,MATCH($H139&amp;"|"&amp;$I139&amp;"|"&amp;$J139&amp;"|"&amp;3,Assessments!$A$2:$A$600,0)),"")</f>
        <v>20</v>
      </c>
      <c r="BX139" s="28" t="n">
        <f aca="false">IFERROR(INDEX(Assessments!$H$2:$H$600,MATCH($H139&amp;"|"&amp;$I139&amp;"|"&amp;$J139&amp;"|"&amp;4,Assessments!$A$2:$A$600,0)),"")</f>
        <v>40</v>
      </c>
      <c r="BY139" s="28" t="n">
        <f aca="false">IFERROR(INDEX(Assessments!$H$2:$H$600,MATCH($H139&amp;"|"&amp;$I139&amp;"|"&amp;$J139&amp;"|"&amp;5,Assessments!$A$2:$A$600,0)),"")</f>
        <v>30</v>
      </c>
      <c r="BZ139" s="28" t="n">
        <f aca="false">IFERROR(INDEX(Assessments!$H$2:$H$600,MATCH($H139&amp;"|"&amp;$I139&amp;"|"&amp;$J139&amp;"|"&amp;6,Assessments!$A$2:$A$600,0)),"")</f>
        <v>20</v>
      </c>
      <c r="CA139" s="28" t="n">
        <f aca="false">IFERROR(INDEX(Assessments!$H$2:$H$600,MATCH($H139&amp;"|"&amp;$I139&amp;"|"&amp;$J139&amp;"|"&amp;7,Assessments!$A$2:$A$600,0)),"")</f>
        <v>7</v>
      </c>
      <c r="CB139" s="28" t="str">
        <f aca="false">IFERROR(INDEX(Assessments!$H$2:$H$600,MATCH($H139&amp;"|"&amp;$I139&amp;"|"&amp;$J139&amp;"|"&amp;8,Assessments!$A$2:$A$600,0)),"")</f>
        <v/>
      </c>
      <c r="CC139" s="28" t="str">
        <f aca="false">IFERROR(INDEX(Assessments!$H$2:$H$600,MATCH($H139&amp;"|"&amp;$I139&amp;"|"&amp;$J139&amp;"|"&amp;9,Assessments!$A$2:$A$600,0)),"")</f>
        <v/>
      </c>
      <c r="CD139" s="28" t="str">
        <f aca="false">IFERROR(INDEX(Assessments!$H$2:$H$600,MATCH($H139&amp;"|"&amp;$I139&amp;"|"&amp;$J139&amp;"|"&amp;10,Assessments!$A$2:$A$600,0)),"")</f>
        <v/>
      </c>
      <c r="CE139" s="28" t="str">
        <f aca="false">IFERROR(INDEX(Assessments!$H$2:$H$600,MATCH($H139&amp;"|"&amp;$I139&amp;"|"&amp;$J139&amp;"|"&amp;11,Assessments!$A$2:$A$600,0)),"")</f>
        <v/>
      </c>
      <c r="CF139" s="28" t="str">
        <f aca="false">IFERROR(INDEX(Assessments!$H$2:$H$600,MATCH($H139&amp;"|"&amp;$I139&amp;"|"&amp;$J139&amp;"|"&amp;12,Assessments!$A$2:$A$600,0)),"")</f>
        <v/>
      </c>
      <c r="CG139" s="28" t="str">
        <f aca="false">IFERROR(INDEX(Assessments!$H$2:$H$600,MATCH($H139&amp;"|"&amp;$I139&amp;"|"&amp;$J139&amp;"|"&amp;13,Assessments!$A$2:$A$600,0)),"")</f>
        <v/>
      </c>
      <c r="CH139" s="28" t="str">
        <f aca="false">IFERROR(INDEX(Assessments!$H$2:$H$600,MATCH($H139&amp;"|"&amp;$I139&amp;"|"&amp;$J139&amp;"|"&amp;14,Assessments!$A$2:$A$600,0)),"")</f>
        <v/>
      </c>
      <c r="CI139" s="28" t="str">
        <f aca="false">IFERROR(INDEX(Assessments!$I$2:$I$600,MATCH($H139&amp;"|"&amp;$I139&amp;"|"&amp;$J139&amp;"|"&amp;1,Assessments!$A$2:$A$600,0)),"")</f>
        <v>BM Test</v>
      </c>
      <c r="CJ139" s="28" t="str">
        <f aca="false">IFERROR(INDEX(Assessments!$I$2:$I$600,MATCH($H139&amp;"|"&amp;$I139&amp;"|"&amp;$J139&amp;"|"&amp;2,Assessments!$A$2:$A$600,0)),"")</f>
        <v>BM Test</v>
      </c>
      <c r="CK139" s="28" t="str">
        <f aca="false">IFERROR(INDEX(Assessments!$I$2:$I$600,MATCH($H139&amp;"|"&amp;$I139&amp;"|"&amp;$J139&amp;"|"&amp;3,Assessments!$A$2:$A$600,0)),"")</f>
        <v>BM Test</v>
      </c>
      <c r="CL139" s="28" t="str">
        <f aca="false">IFERROR(INDEX(Assessments!$I$2:$I$600,MATCH($H139&amp;"|"&amp;$I139&amp;"|"&amp;$J139&amp;"|"&amp;4,Assessments!$A$2:$A$600,0)),"")</f>
        <v>BM Exam</v>
      </c>
      <c r="CM139" s="28" t="str">
        <f aca="false">IFERROR(INDEX(Assessments!$I$2:$I$600,MATCH($H139&amp;"|"&amp;$I139&amp;"|"&amp;$J139&amp;"|"&amp;5,Assessments!$A$2:$A$600,0)),"")</f>
        <v>BM Test</v>
      </c>
      <c r="CN139" s="28" t="str">
        <f aca="false">IFERROR(INDEX(Assessments!$I$2:$I$600,MATCH($H139&amp;"|"&amp;$I139&amp;"|"&amp;$J139&amp;"|"&amp;6,Assessments!$A$2:$A$600,0)),"")</f>
        <v>BM Test</v>
      </c>
      <c r="CO139" s="28" t="str">
        <f aca="false">IFERROR(INDEX(Assessments!$I$2:$I$600,MATCH($H139&amp;"|"&amp;$I139&amp;"|"&amp;$J139&amp;"|"&amp;7,Assessments!$A$2:$A$600,0)),"")</f>
        <v>Grade entered</v>
      </c>
      <c r="CP139" s="28" t="str">
        <f aca="false">IFERROR(INDEX(Assessments!$I$2:$I$600,MATCH($H139&amp;"|"&amp;$I139&amp;"|"&amp;$J139&amp;"|"&amp;8,Assessments!$A$2:$A$600,0)),"")</f>
        <v/>
      </c>
      <c r="CQ139" s="28" t="str">
        <f aca="false">IFERROR(INDEX(Assessments!$I$2:$I$600,MATCH($H139&amp;"|"&amp;$I139&amp;"|"&amp;$J139&amp;"|"&amp;9,Assessments!$A$2:$A$600,0)),"")</f>
        <v/>
      </c>
      <c r="CR139" s="28" t="str">
        <f aca="false">IFERROR(INDEX(Assessments!$I$2:$I$600,MATCH($H139&amp;"|"&amp;$I139&amp;"|"&amp;$J139&amp;"|"&amp;10,Assessments!$A$2:$A$600,0)),"")</f>
        <v/>
      </c>
      <c r="CS139" s="28" t="str">
        <f aca="false">IFERROR(INDEX(Assessments!$I$2:$I$600,MATCH($H139&amp;"|"&amp;$I139&amp;"|"&amp;$J139&amp;"|"&amp;11,Assessments!$A$2:$A$600,0)),"")</f>
        <v/>
      </c>
      <c r="CT139" s="28" t="str">
        <f aca="false">IFERROR(INDEX(Assessments!$I$2:$I$600,MATCH($H139&amp;"|"&amp;$I139&amp;"|"&amp;$J139&amp;"|"&amp;12,Assessments!$A$2:$A$600,0)),"")</f>
        <v/>
      </c>
      <c r="CU139" s="28" t="str">
        <f aca="false">IFERROR(INDEX(Assessments!$I$2:$I$600,MATCH($H139&amp;"|"&amp;$I139&amp;"|"&amp;$J139&amp;"|"&amp;13,Assessments!$A$2:$A$600,0)),"")</f>
        <v/>
      </c>
      <c r="CV139" s="28" t="str">
        <f aca="false">IFERROR(INDEX(Assessments!$I$2:$I$600,MATCH($H139&amp;"|"&amp;$I139&amp;"|"&amp;$J139&amp;"|"&amp;14,Assessments!$A$2:$A$600,0)),"")</f>
        <v/>
      </c>
      <c r="CW139" s="28" t="n">
        <f aca="false">IFERROR(INDEX(Assessments!$J$2:$J$600,MATCH($H139&amp;"|"&amp;$I139&amp;"|"&amp;$J139&amp;"|"&amp;1,Assessments!$A$2:$A$600,0)),0)</f>
        <v>1</v>
      </c>
      <c r="CX139" s="28" t="n">
        <f aca="false">IFERROR(INDEX(Assessments!$J$2:$J$600,MATCH($H139&amp;"|"&amp;$I139&amp;"|"&amp;$J139&amp;"|"&amp;2,Assessments!$A$2:$A$600,0)),0)</f>
        <v>1</v>
      </c>
      <c r="CY139" s="28" t="n">
        <f aca="false">IFERROR(INDEX(Assessments!$J$2:$J$600,MATCH($H139&amp;"|"&amp;$I139&amp;"|"&amp;$J139&amp;"|"&amp;3,Assessments!$A$2:$A$600,0)),0)</f>
        <v>1</v>
      </c>
      <c r="CZ139" s="28" t="n">
        <f aca="false">IFERROR(INDEX(Assessments!$J$2:$J$600,MATCH($H139&amp;"|"&amp;$I139&amp;"|"&amp;$J139&amp;"|"&amp;4,Assessments!$A$2:$A$600,0)),0)</f>
        <v>2</v>
      </c>
      <c r="DA139" s="28" t="n">
        <f aca="false">IFERROR(INDEX(Assessments!$J$2:$J$600,MATCH($H139&amp;"|"&amp;$I139&amp;"|"&amp;$J139&amp;"|"&amp;5,Assessments!$A$2:$A$600,0)),0)</f>
        <v>1</v>
      </c>
      <c r="DB139" s="28" t="n">
        <f aca="false">IFERROR(INDEX(Assessments!$J$2:$J$600,MATCH($H139&amp;"|"&amp;$I139&amp;"|"&amp;$J139&amp;"|"&amp;6,Assessments!$A$2:$A$600,0)),0)</f>
        <v>1</v>
      </c>
      <c r="DC139" s="28" t="n">
        <f aca="false">IFERROR(INDEX(Assessments!$J$2:$J$600,MATCH($H139&amp;"|"&amp;$I139&amp;"|"&amp;$J139&amp;"|"&amp;7,Assessments!$A$2:$A$600,0)),0)</f>
        <v>2</v>
      </c>
      <c r="DD139" s="28" t="n">
        <f aca="false">IFERROR(INDEX(Assessments!$J$2:$J$600,MATCH($H139&amp;"|"&amp;$I139&amp;"|"&amp;$J139&amp;"|"&amp;8,Assessments!$A$2:$A$600,0)),0)</f>
        <v>0</v>
      </c>
      <c r="DE139" s="28" t="n">
        <f aca="false">IFERROR(INDEX(Assessments!$J$2:$J$600,MATCH($H139&amp;"|"&amp;$I139&amp;"|"&amp;$J139&amp;"|"&amp;9,Assessments!$A$2:$A$600,0)),0)</f>
        <v>0</v>
      </c>
      <c r="DF139" s="28" t="n">
        <f aca="false">IFERROR(INDEX(Assessments!$J$2:$J$600,MATCH($H139&amp;"|"&amp;$I139&amp;"|"&amp;$J139&amp;"|"&amp;10,Assessments!$A$2:$A$600,0)),0)</f>
        <v>0</v>
      </c>
      <c r="DG139" s="28" t="n">
        <f aca="false">IFERROR(INDEX(Assessments!$J$2:$J$600,MATCH($H139&amp;"|"&amp;$I139&amp;"|"&amp;$J139&amp;"|"&amp;11,Assessments!$A$2:$A$600,0)),0)</f>
        <v>0</v>
      </c>
      <c r="DH139" s="28" t="n">
        <f aca="false">IFERROR(INDEX(Assessments!$J$2:$J$600,MATCH($H139&amp;"|"&amp;$I139&amp;"|"&amp;$J139&amp;"|"&amp;12,Assessments!$A$2:$A$600,0)),0)</f>
        <v>0</v>
      </c>
      <c r="DI139" s="28" t="n">
        <f aca="false">IFERROR(INDEX(Assessments!$J$2:$J$600,MATCH($H139&amp;"|"&amp;$I139&amp;"|"&amp;$J139&amp;"|"&amp;13,Assessments!$A$2:$A$600,0)),0)</f>
        <v>0</v>
      </c>
      <c r="DJ139" s="28" t="n">
        <f aca="false">IFERROR(INDEX(Assessments!$J$2:$J$600,MATCH($H139&amp;"|"&amp;$I139&amp;"|"&amp;$J139&amp;"|"&amp;14,Assessments!$A$2:$A$600,0)),0)</f>
        <v>0</v>
      </c>
      <c r="DK139" s="28" t="n">
        <f aca="false">S139</f>
        <v>7</v>
      </c>
      <c r="DL139" s="28" t="n">
        <f aca="false">W139</f>
        <v>6</v>
      </c>
      <c r="DM139" s="28" t="n">
        <f aca="false">AA139</f>
        <v>7</v>
      </c>
      <c r="DN139" s="28" t="str">
        <f aca="false">AE139</f>
        <v/>
      </c>
      <c r="DO139" s="28" t="str">
        <f aca="false">AI139</f>
        <v/>
      </c>
      <c r="DP139" s="28" t="str">
        <f aca="false">AM139</f>
        <v/>
      </c>
      <c r="DQ139" s="28" t="n">
        <f aca="false">AQ139</f>
        <v>5</v>
      </c>
      <c r="DR139" s="28" t="str">
        <f aca="false">AU139</f>
        <v/>
      </c>
      <c r="DS139" s="28" t="str">
        <f aca="false">AY139</f>
        <v/>
      </c>
      <c r="DT139" s="28" t="str">
        <f aca="false">BC139</f>
        <v/>
      </c>
      <c r="DU139" s="28" t="str">
        <f aca="false">BG139</f>
        <v/>
      </c>
      <c r="DV139" s="28" t="str">
        <f aca="false">BK139</f>
        <v/>
      </c>
      <c r="DW139" s="28" t="str">
        <f aca="false">BO139</f>
        <v/>
      </c>
      <c r="DX139" s="28" t="str">
        <f aca="false">BS139</f>
        <v/>
      </c>
      <c r="DY139" s="28" t="n">
        <f aca="false">IF(ISNUMBER(S139),1,"")</f>
        <v>1</v>
      </c>
      <c r="DZ139" s="28" t="n">
        <f aca="false">IF(ISNUMBER(W139),2,"")</f>
        <v>2</v>
      </c>
      <c r="EA139" s="28" t="n">
        <f aca="false">IF(ISNUMBER(AA139),3,"")</f>
        <v>3</v>
      </c>
      <c r="EB139" s="28" t="str">
        <f aca="false">IF(ISNUMBER(AE139),4,"")</f>
        <v/>
      </c>
      <c r="EC139" s="28" t="str">
        <f aca="false">IF(ISNUMBER(AI139),5,"")</f>
        <v/>
      </c>
      <c r="ED139" s="28" t="str">
        <f aca="false">IF(ISNUMBER(AM139),6,"")</f>
        <v/>
      </c>
      <c r="EE139" s="28" t="n">
        <f aca="false">IF(ISNUMBER(AQ139),7,"")</f>
        <v>7</v>
      </c>
      <c r="EF139" s="28" t="str">
        <f aca="false">IF(ISNUMBER(AU139),8,"")</f>
        <v/>
      </c>
      <c r="EG139" s="28" t="str">
        <f aca="false">IF(ISNUMBER(AY139),9,"")</f>
        <v/>
      </c>
      <c r="EH139" s="28" t="str">
        <f aca="false">IF(ISNUMBER(BC139),10,"")</f>
        <v/>
      </c>
      <c r="EI139" s="28" t="str">
        <f aca="false">IF(ISNUMBER(BG139),11,"")</f>
        <v/>
      </c>
      <c r="EJ139" s="28" t="str">
        <f aca="false">IF(ISNUMBER(BK139),12,"")</f>
        <v/>
      </c>
      <c r="EK139" s="28" t="str">
        <f aca="false">IF(ISNUMBER(BO139),13,"")</f>
        <v/>
      </c>
      <c r="EL139" s="28" t="str">
        <f aca="false">IF(ISNUMBER(BS139),14,"")</f>
        <v/>
      </c>
      <c r="EM139" s="28" t="n">
        <f aca="false">IF(ISNUMBER(R139),R139*CW139,0)</f>
        <v>91.6666666666667</v>
      </c>
      <c r="EN139" s="28" t="n">
        <f aca="false">IF(ISNUMBER(V139),V139*CX139,0)</f>
        <v>70</v>
      </c>
      <c r="EO139" s="28" t="n">
        <f aca="false">IF(ISNUMBER(Z139),Z139*CY139,0)</f>
        <v>90</v>
      </c>
      <c r="EP139" s="28" t="n">
        <f aca="false">IF(ISNUMBER(AD139),AD139*CZ139,0)</f>
        <v>0</v>
      </c>
      <c r="EQ139" s="28" t="n">
        <f aca="false">IF(ISNUMBER(AH139),AH139*DA139,0)</f>
        <v>0</v>
      </c>
      <c r="ER139" s="28" t="n">
        <f aca="false">IF(ISNUMBER(AL139),AL139*DB139,0)</f>
        <v>0</v>
      </c>
      <c r="ES139" s="28" t="n">
        <f aca="false">IF(ISNUMBER(AP139),AP139*DC139,0)</f>
        <v>142.857142857143</v>
      </c>
      <c r="ET139" s="28" t="n">
        <f aca="false">IF(ISNUMBER(AT139),AT139*DD139,0)</f>
        <v>0</v>
      </c>
      <c r="EU139" s="28" t="n">
        <f aca="false">IF(ISNUMBER(AX139),AX139*DE139,0)</f>
        <v>0</v>
      </c>
      <c r="EV139" s="28" t="n">
        <f aca="false">IF(ISNUMBER(BB139),BB139*DF139,0)</f>
        <v>0</v>
      </c>
      <c r="EW139" s="28" t="n">
        <f aca="false">IF(ISNUMBER(BF139),BF139*DG139,0)</f>
        <v>0</v>
      </c>
      <c r="EX139" s="28" t="n">
        <f aca="false">IF(ISNUMBER(BJ139),BJ139*DH139,0)</f>
        <v>0</v>
      </c>
      <c r="EY139" s="28" t="n">
        <f aca="false">IF(ISNUMBER(BN139),BN139*DI139,0)</f>
        <v>0</v>
      </c>
      <c r="EZ139" s="28" t="n">
        <f aca="false">IF(ISNUMBER(BR139),BR139*DJ139,0)</f>
        <v>0</v>
      </c>
      <c r="FA139" s="28" t="n">
        <f aca="false">IF(ISNUMBER(R139),CW139,0)</f>
        <v>1</v>
      </c>
      <c r="FB139" s="28" t="n">
        <f aca="false">IF(ISNUMBER(V139),CX139,0)</f>
        <v>1</v>
      </c>
      <c r="FC139" s="28" t="n">
        <f aca="false">IF(ISNUMBER(Z139),CY139,0)</f>
        <v>1</v>
      </c>
      <c r="FD139" s="28" t="n">
        <f aca="false">IF(ISNUMBER(AD139),CZ139,0)</f>
        <v>0</v>
      </c>
      <c r="FE139" s="28" t="n">
        <f aca="false">IF(ISNUMBER(AH139),DA139,0)</f>
        <v>0</v>
      </c>
      <c r="FF139" s="28" t="n">
        <f aca="false">IF(ISNUMBER(AL139),DB139,0)</f>
        <v>0</v>
      </c>
      <c r="FG139" s="28" t="n">
        <f aca="false">IF(ISNUMBER(AP139),DC139,0)</f>
        <v>2</v>
      </c>
      <c r="FH139" s="28" t="n">
        <f aca="false">IF(ISNUMBER(AT139),DD139,0)</f>
        <v>0</v>
      </c>
      <c r="FI139" s="28" t="n">
        <f aca="false">IF(ISNUMBER(AX139),DE139,0)</f>
        <v>0</v>
      </c>
      <c r="FJ139" s="28" t="n">
        <f aca="false">IF(ISNUMBER(BB139),DF139,0)</f>
        <v>0</v>
      </c>
      <c r="FK139" s="28" t="n">
        <f aca="false">IF(ISNUMBER(BF139),DG139,0)</f>
        <v>0</v>
      </c>
      <c r="FL139" s="28" t="n">
        <f aca="false">IF(ISNUMBER(BJ139),DH139,0)</f>
        <v>0</v>
      </c>
      <c r="FM139" s="28" t="n">
        <f aca="false">IF(ISNUMBER(BN139),DI139,0)</f>
        <v>0</v>
      </c>
      <c r="FN139" s="28" t="n">
        <f aca="false">IF(ISNUMBER(BR139),DJ139,0)</f>
        <v>0</v>
      </c>
      <c r="FO139" s="28" t="str">
        <f aca="false">IFERROR(INDEX(Lists!$G$2:$G$20,MATCH($I139&amp;"|"&amp;$J139,Lists!$F$2:$F$20,0)),"")</f>
        <v>BM Exam</v>
      </c>
    </row>
    <row r="140" customFormat="false" ht="19.5" hidden="false" customHeight="true" outlineLevel="0" collapsed="false">
      <c r="A140" s="29" t="s">
        <v>194</v>
      </c>
      <c r="B140" s="29" t="s">
        <v>195</v>
      </c>
      <c r="C140" s="30" t="s">
        <v>152</v>
      </c>
      <c r="D140" s="30" t="s">
        <v>383</v>
      </c>
      <c r="E140" s="31" t="n">
        <v>5.6</v>
      </c>
      <c r="F140" s="30" t="n">
        <v>6</v>
      </c>
      <c r="G140" s="30"/>
      <c r="H140" s="32" t="s">
        <v>23</v>
      </c>
      <c r="I140" s="33" t="s">
        <v>365</v>
      </c>
      <c r="J140" s="32" t="s">
        <v>25</v>
      </c>
      <c r="K140" s="34" t="n">
        <f aca="false">IF(OR(M140="",$E140=""),"",M140-$E140)</f>
        <v>0.4</v>
      </c>
      <c r="L140" s="35" t="n">
        <f aca="false">IF(SUM(FA140:FN140)=0,"",SUM(EM140:EZ140)/SUM(FA140:FN140))</f>
        <v>64.3333333333333</v>
      </c>
      <c r="M140" s="36" t="n">
        <f aca="false">IF(OR(L140="",FO140=""),"",IFERROR(MATCH(L140,INDEX(Boundaries!$B$2:$I$30,MATCH(FO140,Boundaries!$A$2:$A$30,0),0),1)-1,""))</f>
        <v>6</v>
      </c>
      <c r="N140" s="37" t="n">
        <f aca="false">IF(COUNT($DY140:$EL140)&lt;2,"",INDEX($DK140:$DX140,MAX($DY140:$EL140))-INDEX($DK140:$DX140,MIN($DY140:$EL140)))</f>
        <v>1</v>
      </c>
      <c r="O140" s="37" t="n">
        <f aca="false">IF(COUNT($DY140:$EL140)&lt;2,"",INDEX($DK140:$DX140,MAX($DY140:$EL140))-INDEX($DK140:$DX140,LARGE($DY140:$EL140,2)))</f>
        <v>4</v>
      </c>
      <c r="P140" s="38" t="str">
        <f aca="false">IF(K140="","",IF(K140&gt;=0,"On/above target",IF(AND(N140&lt;&gt;"",N140&gt;=0.5),"Improving towards target",IF(AND(O140&lt;&gt;"",O140&lt;=-0.5),"Declining","Stable below target"))))</f>
        <v>On/above target</v>
      </c>
      <c r="Q140" s="39" t="n">
        <v>16</v>
      </c>
      <c r="R140" s="40" t="n">
        <f aca="false">IF(OR(Q140="",BU140=""),"",Q140/BU140*100)</f>
        <v>66.6666666666667</v>
      </c>
      <c r="S140" s="41" t="n">
        <f aca="false">IF(R140="","",IFERROR(MATCH(R140,INDEX(Boundaries!$B$2:$I$30,MATCH(CI140,Boundaries!$A$2:$A$30,0),0),1)-1,""))</f>
        <v>6</v>
      </c>
      <c r="T140" s="42" t="n">
        <f aca="false">IF(OR(S140="",$E140=""),"",S140-$E140)</f>
        <v>0.4</v>
      </c>
      <c r="U140" s="39" t="n">
        <v>4</v>
      </c>
      <c r="V140" s="40" t="n">
        <f aca="false">IF(OR(U140="",BV140=""),"",U140/BV140*100)</f>
        <v>20</v>
      </c>
      <c r="W140" s="41" t="n">
        <f aca="false">IF(V140="","",IFERROR(MATCH(V140,INDEX(Boundaries!$B$2:$I$30,MATCH(CJ140,Boundaries!$A$2:$A$30,0),0),1)-1,""))</f>
        <v>2</v>
      </c>
      <c r="X140" s="42" t="n">
        <f aca="false">IF(OR(W140="",$E140=""),"",W140-$E140)</f>
        <v>-3.6</v>
      </c>
      <c r="Y140" s="39" t="n">
        <v>7</v>
      </c>
      <c r="Z140" s="40" t="n">
        <f aca="false">IF(OR(Y140="",BW140=""),"",Y140/BW140*100)</f>
        <v>35</v>
      </c>
      <c r="AA140" s="41" t="n">
        <f aca="false">IF(Z140="","",IFERROR(MATCH(Z140,INDEX(Boundaries!$B$2:$I$30,MATCH(CK140,Boundaries!$A$2:$A$30,0),0),1)-1,""))</f>
        <v>3</v>
      </c>
      <c r="AB140" s="42" t="n">
        <f aca="false">IF(OR(AA140="",$E140=""),"",AA140-$E140)</f>
        <v>-2.6</v>
      </c>
      <c r="AC140" s="39"/>
      <c r="AD140" s="40" t="str">
        <f aca="false">IF(OR(AC140="",BX140=""),"",AC140/BX140*100)</f>
        <v/>
      </c>
      <c r="AE140" s="41" t="str">
        <f aca="false">IF(AD140="","",IFERROR(MATCH(AD140,INDEX(Boundaries!$B$2:$I$30,MATCH(CL140,Boundaries!$A$2:$A$30,0),0),1)-1,""))</f>
        <v/>
      </c>
      <c r="AF140" s="42" t="str">
        <f aca="false">IF(OR(AE140="",$E140=""),"",AE140-$E140)</f>
        <v/>
      </c>
      <c r="AG140" s="39"/>
      <c r="AH140" s="40" t="str">
        <f aca="false">IF(OR(AG140="",BY140=""),"",AG140/BY140*100)</f>
        <v/>
      </c>
      <c r="AI140" s="41" t="str">
        <f aca="false">IF(AH140="","",IFERROR(MATCH(AH140,INDEX(Boundaries!$B$2:$I$30,MATCH(CM140,Boundaries!$A$2:$A$30,0),0),1)-1,""))</f>
        <v/>
      </c>
      <c r="AJ140" s="42" t="str">
        <f aca="false">IF(OR(AI140="",$E140=""),"",AI140-$E140)</f>
        <v/>
      </c>
      <c r="AK140" s="39"/>
      <c r="AL140" s="40" t="str">
        <f aca="false">IF(OR(AK140="",BZ140=""),"",AK140/BZ140*100)</f>
        <v/>
      </c>
      <c r="AM140" s="41" t="str">
        <f aca="false">IF(AL140="","",IFERROR(MATCH(AL140,INDEX(Boundaries!$B$2:$I$30,MATCH(CN140,Boundaries!$A$2:$A$30,0),0),1)-1,""))</f>
        <v/>
      </c>
      <c r="AN140" s="42" t="str">
        <f aca="false">IF(OR(AM140="",$E140=""),"",AM140-$E140)</f>
        <v/>
      </c>
      <c r="AO140" s="39" t="n">
        <v>7</v>
      </c>
      <c r="AP140" s="40" t="n">
        <f aca="false">IF(OR(AO140="",CA140=""),"",AO140/CA140*100)</f>
        <v>100</v>
      </c>
      <c r="AQ140" s="41" t="n">
        <f aca="false">IF(AP140="","",IFERROR(MATCH(AP140,INDEX(Boundaries!$B$2:$I$30,MATCH(CO140,Boundaries!$A$2:$A$30,0),0),1)-1,""))</f>
        <v>7</v>
      </c>
      <c r="AR140" s="42" t="n">
        <f aca="false">IF(OR(AQ140="",$E140=""),"",AQ140-$E140)</f>
        <v>1.4</v>
      </c>
      <c r="AS140" s="39"/>
      <c r="AT140" s="40" t="str">
        <f aca="false">IF(OR(AS140="",CB140=""),"",AS140/CB140*100)</f>
        <v/>
      </c>
      <c r="AU140" s="41" t="str">
        <f aca="false">IF(AT140="","",IFERROR(MATCH(AT140,INDEX(Boundaries!$B$2:$I$30,MATCH(CP140,Boundaries!$A$2:$A$30,0),0),1)-1,""))</f>
        <v/>
      </c>
      <c r="AV140" s="42" t="str">
        <f aca="false">IF(OR(AU140="",$E140=""),"",AU140-$E140)</f>
        <v/>
      </c>
      <c r="AW140" s="39"/>
      <c r="AX140" s="40" t="str">
        <f aca="false">IF(OR(AW140="",CC140=""),"",AW140/CC140*100)</f>
        <v/>
      </c>
      <c r="AY140" s="41" t="str">
        <f aca="false">IF(AX140="","",IFERROR(MATCH(AX140,INDEX(Boundaries!$B$2:$I$30,MATCH(CQ140,Boundaries!$A$2:$A$30,0),0),1)-1,""))</f>
        <v/>
      </c>
      <c r="AZ140" s="42" t="str">
        <f aca="false">IF(OR(AY140="",$E140=""),"",AY140-$E140)</f>
        <v/>
      </c>
      <c r="BA140" s="39"/>
      <c r="BB140" s="40" t="str">
        <f aca="false">IF(OR(BA140="",CD140=""),"",BA140/CD140*100)</f>
        <v/>
      </c>
      <c r="BC140" s="41" t="str">
        <f aca="false">IF(BB140="","",IFERROR(MATCH(BB140,INDEX(Boundaries!$B$2:$I$30,MATCH(CR140,Boundaries!$A$2:$A$30,0),0),1)-1,""))</f>
        <v/>
      </c>
      <c r="BD140" s="42" t="str">
        <f aca="false">IF(OR(BC140="",$E140=""),"",BC140-$E140)</f>
        <v/>
      </c>
      <c r="BE140" s="39"/>
      <c r="BF140" s="40" t="str">
        <f aca="false">IF(OR(BE140="",CE140=""),"",BE140/CE140*100)</f>
        <v/>
      </c>
      <c r="BG140" s="41" t="str">
        <f aca="false">IF(BF140="","",IFERROR(MATCH(BF140,INDEX(Boundaries!$B$2:$I$30,MATCH(CS140,Boundaries!$A$2:$A$30,0),0),1)-1,""))</f>
        <v/>
      </c>
      <c r="BH140" s="42" t="str">
        <f aca="false">IF(OR(BG140="",$E140=""),"",BG140-$E140)</f>
        <v/>
      </c>
      <c r="BI140" s="39"/>
      <c r="BJ140" s="40" t="str">
        <f aca="false">IF(OR(BI140="",CF140=""),"",BI140/CF140*100)</f>
        <v/>
      </c>
      <c r="BK140" s="41" t="str">
        <f aca="false">IF(BJ140="","",IFERROR(MATCH(BJ140,INDEX(Boundaries!$B$2:$I$30,MATCH(CT140,Boundaries!$A$2:$A$30,0),0),1)-1,""))</f>
        <v/>
      </c>
      <c r="BL140" s="42" t="str">
        <f aca="false">IF(OR(BK140="",$E140=""),"",BK140-$E140)</f>
        <v/>
      </c>
      <c r="BM140" s="39"/>
      <c r="BN140" s="40" t="str">
        <f aca="false">IF(OR(BM140="",CG140=""),"",BM140/CG140*100)</f>
        <v/>
      </c>
      <c r="BO140" s="41" t="str">
        <f aca="false">IF(BN140="","",IFERROR(MATCH(BN140,INDEX(Boundaries!$B$2:$I$30,MATCH(CU140,Boundaries!$A$2:$A$30,0),0),1)-1,""))</f>
        <v/>
      </c>
      <c r="BP140" s="42" t="str">
        <f aca="false">IF(OR(BO140="",$E140=""),"",BO140-$E140)</f>
        <v/>
      </c>
      <c r="BQ140" s="39"/>
      <c r="BR140" s="40" t="str">
        <f aca="false">IF(OR(BQ140="",CH140=""),"",BQ140/CH140*100)</f>
        <v/>
      </c>
      <c r="BS140" s="41" t="str">
        <f aca="false">IF(BR140="","",IFERROR(MATCH(BR140,INDEX(Boundaries!$B$2:$I$30,MATCH(CV140,Boundaries!$A$2:$A$30,0),0),1)-1,""))</f>
        <v/>
      </c>
      <c r="BT140" s="42" t="str">
        <f aca="false">IF(OR(BS140="",$E140=""),"",BS140-$E140)</f>
        <v/>
      </c>
      <c r="BU140" s="28" t="n">
        <f aca="false">IFERROR(INDEX(Assessments!$H$2:$H$600,MATCH($H140&amp;"|"&amp;$I140&amp;"|"&amp;$J140&amp;"|"&amp;1,Assessments!$A$2:$A$600,0)),"")</f>
        <v>24</v>
      </c>
      <c r="BV140" s="28" t="n">
        <f aca="false">IFERROR(INDEX(Assessments!$H$2:$H$600,MATCH($H140&amp;"|"&amp;$I140&amp;"|"&amp;$J140&amp;"|"&amp;2,Assessments!$A$2:$A$600,0)),"")</f>
        <v>20</v>
      </c>
      <c r="BW140" s="28" t="n">
        <f aca="false">IFERROR(INDEX(Assessments!$H$2:$H$600,MATCH($H140&amp;"|"&amp;$I140&amp;"|"&amp;$J140&amp;"|"&amp;3,Assessments!$A$2:$A$600,0)),"")</f>
        <v>20</v>
      </c>
      <c r="BX140" s="28" t="n">
        <f aca="false">IFERROR(INDEX(Assessments!$H$2:$H$600,MATCH($H140&amp;"|"&amp;$I140&amp;"|"&amp;$J140&amp;"|"&amp;4,Assessments!$A$2:$A$600,0)),"")</f>
        <v>40</v>
      </c>
      <c r="BY140" s="28" t="n">
        <f aca="false">IFERROR(INDEX(Assessments!$H$2:$H$600,MATCH($H140&amp;"|"&amp;$I140&amp;"|"&amp;$J140&amp;"|"&amp;5,Assessments!$A$2:$A$600,0)),"")</f>
        <v>30</v>
      </c>
      <c r="BZ140" s="28" t="n">
        <f aca="false">IFERROR(INDEX(Assessments!$H$2:$H$600,MATCH($H140&amp;"|"&amp;$I140&amp;"|"&amp;$J140&amp;"|"&amp;6,Assessments!$A$2:$A$600,0)),"")</f>
        <v>20</v>
      </c>
      <c r="CA140" s="28" t="n">
        <f aca="false">IFERROR(INDEX(Assessments!$H$2:$H$600,MATCH($H140&amp;"|"&amp;$I140&amp;"|"&amp;$J140&amp;"|"&amp;7,Assessments!$A$2:$A$600,0)),"")</f>
        <v>7</v>
      </c>
      <c r="CB140" s="28" t="str">
        <f aca="false">IFERROR(INDEX(Assessments!$H$2:$H$600,MATCH($H140&amp;"|"&amp;$I140&amp;"|"&amp;$J140&amp;"|"&amp;8,Assessments!$A$2:$A$600,0)),"")</f>
        <v/>
      </c>
      <c r="CC140" s="28" t="str">
        <f aca="false">IFERROR(INDEX(Assessments!$H$2:$H$600,MATCH($H140&amp;"|"&amp;$I140&amp;"|"&amp;$J140&amp;"|"&amp;9,Assessments!$A$2:$A$600,0)),"")</f>
        <v/>
      </c>
      <c r="CD140" s="28" t="str">
        <f aca="false">IFERROR(INDEX(Assessments!$H$2:$H$600,MATCH($H140&amp;"|"&amp;$I140&amp;"|"&amp;$J140&amp;"|"&amp;10,Assessments!$A$2:$A$600,0)),"")</f>
        <v/>
      </c>
      <c r="CE140" s="28" t="str">
        <f aca="false">IFERROR(INDEX(Assessments!$H$2:$H$600,MATCH($H140&amp;"|"&amp;$I140&amp;"|"&amp;$J140&amp;"|"&amp;11,Assessments!$A$2:$A$600,0)),"")</f>
        <v/>
      </c>
      <c r="CF140" s="28" t="str">
        <f aca="false">IFERROR(INDEX(Assessments!$H$2:$H$600,MATCH($H140&amp;"|"&amp;$I140&amp;"|"&amp;$J140&amp;"|"&amp;12,Assessments!$A$2:$A$600,0)),"")</f>
        <v/>
      </c>
      <c r="CG140" s="28" t="str">
        <f aca="false">IFERROR(INDEX(Assessments!$H$2:$H$600,MATCH($H140&amp;"|"&amp;$I140&amp;"|"&amp;$J140&amp;"|"&amp;13,Assessments!$A$2:$A$600,0)),"")</f>
        <v/>
      </c>
      <c r="CH140" s="28" t="str">
        <f aca="false">IFERROR(INDEX(Assessments!$H$2:$H$600,MATCH($H140&amp;"|"&amp;$I140&amp;"|"&amp;$J140&amp;"|"&amp;14,Assessments!$A$2:$A$600,0)),"")</f>
        <v/>
      </c>
      <c r="CI140" s="28" t="str">
        <f aca="false">IFERROR(INDEX(Assessments!$I$2:$I$600,MATCH($H140&amp;"|"&amp;$I140&amp;"|"&amp;$J140&amp;"|"&amp;1,Assessments!$A$2:$A$600,0)),"")</f>
        <v>BM Test</v>
      </c>
      <c r="CJ140" s="28" t="str">
        <f aca="false">IFERROR(INDEX(Assessments!$I$2:$I$600,MATCH($H140&amp;"|"&amp;$I140&amp;"|"&amp;$J140&amp;"|"&amp;2,Assessments!$A$2:$A$600,0)),"")</f>
        <v>BM Test</v>
      </c>
      <c r="CK140" s="28" t="str">
        <f aca="false">IFERROR(INDEX(Assessments!$I$2:$I$600,MATCH($H140&amp;"|"&amp;$I140&amp;"|"&amp;$J140&amp;"|"&amp;3,Assessments!$A$2:$A$600,0)),"")</f>
        <v>BM Test</v>
      </c>
      <c r="CL140" s="28" t="str">
        <f aca="false">IFERROR(INDEX(Assessments!$I$2:$I$600,MATCH($H140&amp;"|"&amp;$I140&amp;"|"&amp;$J140&amp;"|"&amp;4,Assessments!$A$2:$A$600,0)),"")</f>
        <v>BM Exam</v>
      </c>
      <c r="CM140" s="28" t="str">
        <f aca="false">IFERROR(INDEX(Assessments!$I$2:$I$600,MATCH($H140&amp;"|"&amp;$I140&amp;"|"&amp;$J140&amp;"|"&amp;5,Assessments!$A$2:$A$600,0)),"")</f>
        <v>BM Test</v>
      </c>
      <c r="CN140" s="28" t="str">
        <f aca="false">IFERROR(INDEX(Assessments!$I$2:$I$600,MATCH($H140&amp;"|"&amp;$I140&amp;"|"&amp;$J140&amp;"|"&amp;6,Assessments!$A$2:$A$600,0)),"")</f>
        <v>BM Test</v>
      </c>
      <c r="CO140" s="28" t="str">
        <f aca="false">IFERROR(INDEX(Assessments!$I$2:$I$600,MATCH($H140&amp;"|"&amp;$I140&amp;"|"&amp;$J140&amp;"|"&amp;7,Assessments!$A$2:$A$600,0)),"")</f>
        <v>Grade entered</v>
      </c>
      <c r="CP140" s="28" t="str">
        <f aca="false">IFERROR(INDEX(Assessments!$I$2:$I$600,MATCH($H140&amp;"|"&amp;$I140&amp;"|"&amp;$J140&amp;"|"&amp;8,Assessments!$A$2:$A$600,0)),"")</f>
        <v/>
      </c>
      <c r="CQ140" s="28" t="str">
        <f aca="false">IFERROR(INDEX(Assessments!$I$2:$I$600,MATCH($H140&amp;"|"&amp;$I140&amp;"|"&amp;$J140&amp;"|"&amp;9,Assessments!$A$2:$A$600,0)),"")</f>
        <v/>
      </c>
      <c r="CR140" s="28" t="str">
        <f aca="false">IFERROR(INDEX(Assessments!$I$2:$I$600,MATCH($H140&amp;"|"&amp;$I140&amp;"|"&amp;$J140&amp;"|"&amp;10,Assessments!$A$2:$A$600,0)),"")</f>
        <v/>
      </c>
      <c r="CS140" s="28" t="str">
        <f aca="false">IFERROR(INDEX(Assessments!$I$2:$I$600,MATCH($H140&amp;"|"&amp;$I140&amp;"|"&amp;$J140&amp;"|"&amp;11,Assessments!$A$2:$A$600,0)),"")</f>
        <v/>
      </c>
      <c r="CT140" s="28" t="str">
        <f aca="false">IFERROR(INDEX(Assessments!$I$2:$I$600,MATCH($H140&amp;"|"&amp;$I140&amp;"|"&amp;$J140&amp;"|"&amp;12,Assessments!$A$2:$A$600,0)),"")</f>
        <v/>
      </c>
      <c r="CU140" s="28" t="str">
        <f aca="false">IFERROR(INDEX(Assessments!$I$2:$I$600,MATCH($H140&amp;"|"&amp;$I140&amp;"|"&amp;$J140&amp;"|"&amp;13,Assessments!$A$2:$A$600,0)),"")</f>
        <v/>
      </c>
      <c r="CV140" s="28" t="str">
        <f aca="false">IFERROR(INDEX(Assessments!$I$2:$I$600,MATCH($H140&amp;"|"&amp;$I140&amp;"|"&amp;$J140&amp;"|"&amp;14,Assessments!$A$2:$A$600,0)),"")</f>
        <v/>
      </c>
      <c r="CW140" s="28" t="n">
        <f aca="false">IFERROR(INDEX(Assessments!$J$2:$J$600,MATCH($H140&amp;"|"&amp;$I140&amp;"|"&amp;$J140&amp;"|"&amp;1,Assessments!$A$2:$A$600,0)),0)</f>
        <v>1</v>
      </c>
      <c r="CX140" s="28" t="n">
        <f aca="false">IFERROR(INDEX(Assessments!$J$2:$J$600,MATCH($H140&amp;"|"&amp;$I140&amp;"|"&amp;$J140&amp;"|"&amp;2,Assessments!$A$2:$A$600,0)),0)</f>
        <v>1</v>
      </c>
      <c r="CY140" s="28" t="n">
        <f aca="false">IFERROR(INDEX(Assessments!$J$2:$J$600,MATCH($H140&amp;"|"&amp;$I140&amp;"|"&amp;$J140&amp;"|"&amp;3,Assessments!$A$2:$A$600,0)),0)</f>
        <v>1</v>
      </c>
      <c r="CZ140" s="28" t="n">
        <f aca="false">IFERROR(INDEX(Assessments!$J$2:$J$600,MATCH($H140&amp;"|"&amp;$I140&amp;"|"&amp;$J140&amp;"|"&amp;4,Assessments!$A$2:$A$600,0)),0)</f>
        <v>2</v>
      </c>
      <c r="DA140" s="28" t="n">
        <f aca="false">IFERROR(INDEX(Assessments!$J$2:$J$600,MATCH($H140&amp;"|"&amp;$I140&amp;"|"&amp;$J140&amp;"|"&amp;5,Assessments!$A$2:$A$600,0)),0)</f>
        <v>1</v>
      </c>
      <c r="DB140" s="28" t="n">
        <f aca="false">IFERROR(INDEX(Assessments!$J$2:$J$600,MATCH($H140&amp;"|"&amp;$I140&amp;"|"&amp;$J140&amp;"|"&amp;6,Assessments!$A$2:$A$600,0)),0)</f>
        <v>1</v>
      </c>
      <c r="DC140" s="28" t="n">
        <f aca="false">IFERROR(INDEX(Assessments!$J$2:$J$600,MATCH($H140&amp;"|"&amp;$I140&amp;"|"&amp;$J140&amp;"|"&amp;7,Assessments!$A$2:$A$600,0)),0)</f>
        <v>2</v>
      </c>
      <c r="DD140" s="28" t="n">
        <f aca="false">IFERROR(INDEX(Assessments!$J$2:$J$600,MATCH($H140&amp;"|"&amp;$I140&amp;"|"&amp;$J140&amp;"|"&amp;8,Assessments!$A$2:$A$600,0)),0)</f>
        <v>0</v>
      </c>
      <c r="DE140" s="28" t="n">
        <f aca="false">IFERROR(INDEX(Assessments!$J$2:$J$600,MATCH($H140&amp;"|"&amp;$I140&amp;"|"&amp;$J140&amp;"|"&amp;9,Assessments!$A$2:$A$600,0)),0)</f>
        <v>0</v>
      </c>
      <c r="DF140" s="28" t="n">
        <f aca="false">IFERROR(INDEX(Assessments!$J$2:$J$600,MATCH($H140&amp;"|"&amp;$I140&amp;"|"&amp;$J140&amp;"|"&amp;10,Assessments!$A$2:$A$600,0)),0)</f>
        <v>0</v>
      </c>
      <c r="DG140" s="28" t="n">
        <f aca="false">IFERROR(INDEX(Assessments!$J$2:$J$600,MATCH($H140&amp;"|"&amp;$I140&amp;"|"&amp;$J140&amp;"|"&amp;11,Assessments!$A$2:$A$600,0)),0)</f>
        <v>0</v>
      </c>
      <c r="DH140" s="28" t="n">
        <f aca="false">IFERROR(INDEX(Assessments!$J$2:$J$600,MATCH($H140&amp;"|"&amp;$I140&amp;"|"&amp;$J140&amp;"|"&amp;12,Assessments!$A$2:$A$600,0)),0)</f>
        <v>0</v>
      </c>
      <c r="DI140" s="28" t="n">
        <f aca="false">IFERROR(INDEX(Assessments!$J$2:$J$600,MATCH($H140&amp;"|"&amp;$I140&amp;"|"&amp;$J140&amp;"|"&amp;13,Assessments!$A$2:$A$600,0)),0)</f>
        <v>0</v>
      </c>
      <c r="DJ140" s="28" t="n">
        <f aca="false">IFERROR(INDEX(Assessments!$J$2:$J$600,MATCH($H140&amp;"|"&amp;$I140&amp;"|"&amp;$J140&amp;"|"&amp;14,Assessments!$A$2:$A$600,0)),0)</f>
        <v>0</v>
      </c>
      <c r="DK140" s="28" t="n">
        <f aca="false">S140</f>
        <v>6</v>
      </c>
      <c r="DL140" s="28" t="n">
        <f aca="false">W140</f>
        <v>2</v>
      </c>
      <c r="DM140" s="28" t="n">
        <f aca="false">AA140</f>
        <v>3</v>
      </c>
      <c r="DN140" s="28" t="str">
        <f aca="false">AE140</f>
        <v/>
      </c>
      <c r="DO140" s="28" t="str">
        <f aca="false">AI140</f>
        <v/>
      </c>
      <c r="DP140" s="28" t="str">
        <f aca="false">AM140</f>
        <v/>
      </c>
      <c r="DQ140" s="28" t="n">
        <f aca="false">AQ140</f>
        <v>7</v>
      </c>
      <c r="DR140" s="28" t="str">
        <f aca="false">AU140</f>
        <v/>
      </c>
      <c r="DS140" s="28" t="str">
        <f aca="false">AY140</f>
        <v/>
      </c>
      <c r="DT140" s="28" t="str">
        <f aca="false">BC140</f>
        <v/>
      </c>
      <c r="DU140" s="28" t="str">
        <f aca="false">BG140</f>
        <v/>
      </c>
      <c r="DV140" s="28" t="str">
        <f aca="false">BK140</f>
        <v/>
      </c>
      <c r="DW140" s="28" t="str">
        <f aca="false">BO140</f>
        <v/>
      </c>
      <c r="DX140" s="28" t="str">
        <f aca="false">BS140</f>
        <v/>
      </c>
      <c r="DY140" s="28" t="n">
        <f aca="false">IF(ISNUMBER(S140),1,"")</f>
        <v>1</v>
      </c>
      <c r="DZ140" s="28" t="n">
        <f aca="false">IF(ISNUMBER(W140),2,"")</f>
        <v>2</v>
      </c>
      <c r="EA140" s="28" t="n">
        <f aca="false">IF(ISNUMBER(AA140),3,"")</f>
        <v>3</v>
      </c>
      <c r="EB140" s="28" t="str">
        <f aca="false">IF(ISNUMBER(AE140),4,"")</f>
        <v/>
      </c>
      <c r="EC140" s="28" t="str">
        <f aca="false">IF(ISNUMBER(AI140),5,"")</f>
        <v/>
      </c>
      <c r="ED140" s="28" t="str">
        <f aca="false">IF(ISNUMBER(AM140),6,"")</f>
        <v/>
      </c>
      <c r="EE140" s="28" t="n">
        <f aca="false">IF(ISNUMBER(AQ140),7,"")</f>
        <v>7</v>
      </c>
      <c r="EF140" s="28" t="str">
        <f aca="false">IF(ISNUMBER(AU140),8,"")</f>
        <v/>
      </c>
      <c r="EG140" s="28" t="str">
        <f aca="false">IF(ISNUMBER(AY140),9,"")</f>
        <v/>
      </c>
      <c r="EH140" s="28" t="str">
        <f aca="false">IF(ISNUMBER(BC140),10,"")</f>
        <v/>
      </c>
      <c r="EI140" s="28" t="str">
        <f aca="false">IF(ISNUMBER(BG140),11,"")</f>
        <v/>
      </c>
      <c r="EJ140" s="28" t="str">
        <f aca="false">IF(ISNUMBER(BK140),12,"")</f>
        <v/>
      </c>
      <c r="EK140" s="28" t="str">
        <f aca="false">IF(ISNUMBER(BO140),13,"")</f>
        <v/>
      </c>
      <c r="EL140" s="28" t="str">
        <f aca="false">IF(ISNUMBER(BS140),14,"")</f>
        <v/>
      </c>
      <c r="EM140" s="28" t="n">
        <f aca="false">IF(ISNUMBER(R140),R140*CW140,0)</f>
        <v>66.6666666666667</v>
      </c>
      <c r="EN140" s="28" t="n">
        <f aca="false">IF(ISNUMBER(V140),V140*CX140,0)</f>
        <v>20</v>
      </c>
      <c r="EO140" s="28" t="n">
        <f aca="false">IF(ISNUMBER(Z140),Z140*CY140,0)</f>
        <v>35</v>
      </c>
      <c r="EP140" s="28" t="n">
        <f aca="false">IF(ISNUMBER(AD140),AD140*CZ140,0)</f>
        <v>0</v>
      </c>
      <c r="EQ140" s="28" t="n">
        <f aca="false">IF(ISNUMBER(AH140),AH140*DA140,0)</f>
        <v>0</v>
      </c>
      <c r="ER140" s="28" t="n">
        <f aca="false">IF(ISNUMBER(AL140),AL140*DB140,0)</f>
        <v>0</v>
      </c>
      <c r="ES140" s="28" t="n">
        <f aca="false">IF(ISNUMBER(AP140),AP140*DC140,0)</f>
        <v>200</v>
      </c>
      <c r="ET140" s="28" t="n">
        <f aca="false">IF(ISNUMBER(AT140),AT140*DD140,0)</f>
        <v>0</v>
      </c>
      <c r="EU140" s="28" t="n">
        <f aca="false">IF(ISNUMBER(AX140),AX140*DE140,0)</f>
        <v>0</v>
      </c>
      <c r="EV140" s="28" t="n">
        <f aca="false">IF(ISNUMBER(BB140),BB140*DF140,0)</f>
        <v>0</v>
      </c>
      <c r="EW140" s="28" t="n">
        <f aca="false">IF(ISNUMBER(BF140),BF140*DG140,0)</f>
        <v>0</v>
      </c>
      <c r="EX140" s="28" t="n">
        <f aca="false">IF(ISNUMBER(BJ140),BJ140*DH140,0)</f>
        <v>0</v>
      </c>
      <c r="EY140" s="28" t="n">
        <f aca="false">IF(ISNUMBER(BN140),BN140*DI140,0)</f>
        <v>0</v>
      </c>
      <c r="EZ140" s="28" t="n">
        <f aca="false">IF(ISNUMBER(BR140),BR140*DJ140,0)</f>
        <v>0</v>
      </c>
      <c r="FA140" s="28" t="n">
        <f aca="false">IF(ISNUMBER(R140),CW140,0)</f>
        <v>1</v>
      </c>
      <c r="FB140" s="28" t="n">
        <f aca="false">IF(ISNUMBER(V140),CX140,0)</f>
        <v>1</v>
      </c>
      <c r="FC140" s="28" t="n">
        <f aca="false">IF(ISNUMBER(Z140),CY140,0)</f>
        <v>1</v>
      </c>
      <c r="FD140" s="28" t="n">
        <f aca="false">IF(ISNUMBER(AD140),CZ140,0)</f>
        <v>0</v>
      </c>
      <c r="FE140" s="28" t="n">
        <f aca="false">IF(ISNUMBER(AH140),DA140,0)</f>
        <v>0</v>
      </c>
      <c r="FF140" s="28" t="n">
        <f aca="false">IF(ISNUMBER(AL140),DB140,0)</f>
        <v>0</v>
      </c>
      <c r="FG140" s="28" t="n">
        <f aca="false">IF(ISNUMBER(AP140),DC140,0)</f>
        <v>2</v>
      </c>
      <c r="FH140" s="28" t="n">
        <f aca="false">IF(ISNUMBER(AT140),DD140,0)</f>
        <v>0</v>
      </c>
      <c r="FI140" s="28" t="n">
        <f aca="false">IF(ISNUMBER(AX140),DE140,0)</f>
        <v>0</v>
      </c>
      <c r="FJ140" s="28" t="n">
        <f aca="false">IF(ISNUMBER(BB140),DF140,0)</f>
        <v>0</v>
      </c>
      <c r="FK140" s="28" t="n">
        <f aca="false">IF(ISNUMBER(BF140),DG140,0)</f>
        <v>0</v>
      </c>
      <c r="FL140" s="28" t="n">
        <f aca="false">IF(ISNUMBER(BJ140),DH140,0)</f>
        <v>0</v>
      </c>
      <c r="FM140" s="28" t="n">
        <f aca="false">IF(ISNUMBER(BN140),DI140,0)</f>
        <v>0</v>
      </c>
      <c r="FN140" s="28" t="n">
        <f aca="false">IF(ISNUMBER(BR140),DJ140,0)</f>
        <v>0</v>
      </c>
      <c r="FO140" s="28" t="str">
        <f aca="false">IFERROR(INDEX(Lists!$G$2:$G$20,MATCH($I140&amp;"|"&amp;$J140,Lists!$F$2:$F$20,0)),"")</f>
        <v>BM Exam</v>
      </c>
    </row>
    <row r="141" customFormat="false" ht="19.5" hidden="false" customHeight="true" outlineLevel="0" collapsed="false">
      <c r="A141" s="29" t="s">
        <v>384</v>
      </c>
      <c r="B141" s="29" t="s">
        <v>385</v>
      </c>
      <c r="C141" s="30" t="s">
        <v>152</v>
      </c>
      <c r="D141" s="30" t="s">
        <v>383</v>
      </c>
      <c r="E141" s="31" t="n">
        <v>5.9</v>
      </c>
      <c r="F141" s="30" t="n">
        <v>6</v>
      </c>
      <c r="G141" s="30"/>
      <c r="H141" s="32" t="s">
        <v>23</v>
      </c>
      <c r="I141" s="33" t="s">
        <v>365</v>
      </c>
      <c r="J141" s="32" t="s">
        <v>25</v>
      </c>
      <c r="K141" s="34" t="n">
        <f aca="false">IF(OR(M141="",$E141=""),"",M141-$E141)</f>
        <v>0.0999999999999996</v>
      </c>
      <c r="L141" s="35" t="n">
        <f aca="false">IF(SUM(FA141:FN141)=0,"",SUM(EM141:EZ141)/SUM(FA141:FN141))</f>
        <v>67.1904761904762</v>
      </c>
      <c r="M141" s="36" t="n">
        <f aca="false">IF(OR(L141="",FO141=""),"",IFERROR(MATCH(L141,INDEX(Boundaries!$B$2:$I$30,MATCH(FO141,Boundaries!$A$2:$A$30,0),0),1)-1,""))</f>
        <v>6</v>
      </c>
      <c r="N141" s="37" t="n">
        <f aca="false">IF(COUNT($DY141:$EL141)&lt;2,"",INDEX($DK141:$DX141,MAX($DY141:$EL141))-INDEX($DK141:$DX141,MIN($DY141:$EL141)))</f>
        <v>-2</v>
      </c>
      <c r="O141" s="37" t="n">
        <f aca="false">IF(COUNT($DY141:$EL141)&lt;2,"",INDEX($DK141:$DX141,MAX($DY141:$EL141))-INDEX($DK141:$DX141,LARGE($DY141:$EL141,2)))</f>
        <v>-3</v>
      </c>
      <c r="P141" s="38" t="str">
        <f aca="false">IF(K141="","",IF(K141&gt;=0,"On/above target",IF(AND(N141&lt;&gt;"",N141&gt;=0.5),"Improving towards target",IF(AND(O141&lt;&gt;"",O141&lt;=-0.5),"Declining","Stable below target"))))</f>
        <v>On/above target</v>
      </c>
      <c r="Q141" s="39" t="n">
        <v>16</v>
      </c>
      <c r="R141" s="40" t="n">
        <f aca="false">IF(OR(Q141="",BU141=""),"",Q141/BU141*100)</f>
        <v>66.6666666666667</v>
      </c>
      <c r="S141" s="41" t="n">
        <f aca="false">IF(R141="","",IFERROR(MATCH(R141,INDEX(Boundaries!$B$2:$I$30,MATCH(CI141,Boundaries!$A$2:$A$30,0),0),1)-1,""))</f>
        <v>6</v>
      </c>
      <c r="T141" s="42" t="n">
        <f aca="false">IF(OR(S141="",$E141=""),"",S141-$E141)</f>
        <v>0.0999999999999996</v>
      </c>
      <c r="U141" s="39" t="n">
        <v>15</v>
      </c>
      <c r="V141" s="40" t="n">
        <f aca="false">IF(OR(U141="",BV141=""),"",U141/BV141*100)</f>
        <v>75</v>
      </c>
      <c r="W141" s="41" t="n">
        <f aca="false">IF(V141="","",IFERROR(MATCH(V141,INDEX(Boundaries!$B$2:$I$30,MATCH(CJ141,Boundaries!$A$2:$A$30,0),0),1)-1,""))</f>
        <v>7</v>
      </c>
      <c r="X141" s="42" t="n">
        <f aca="false">IF(OR(W141="",$E141=""),"",W141-$E141)</f>
        <v>1.1</v>
      </c>
      <c r="Y141" s="39" t="n">
        <v>16</v>
      </c>
      <c r="Z141" s="40" t="n">
        <f aca="false">IF(OR(Y141="",BW141=""),"",Y141/BW141*100)</f>
        <v>80</v>
      </c>
      <c r="AA141" s="41" t="n">
        <f aca="false">IF(Z141="","",IFERROR(MATCH(Z141,INDEX(Boundaries!$B$2:$I$30,MATCH(CK141,Boundaries!$A$2:$A$30,0),0),1)-1,""))</f>
        <v>7</v>
      </c>
      <c r="AB141" s="42" t="n">
        <f aca="false">IF(OR(AA141="",$E141=""),"",AA141-$E141)</f>
        <v>1.1</v>
      </c>
      <c r="AC141" s="39"/>
      <c r="AD141" s="40" t="str">
        <f aca="false">IF(OR(AC141="",BX141=""),"",AC141/BX141*100)</f>
        <v/>
      </c>
      <c r="AE141" s="41" t="str">
        <f aca="false">IF(AD141="","",IFERROR(MATCH(AD141,INDEX(Boundaries!$B$2:$I$30,MATCH(CL141,Boundaries!$A$2:$A$30,0),0),1)-1,""))</f>
        <v/>
      </c>
      <c r="AF141" s="42" t="str">
        <f aca="false">IF(OR(AE141="",$E141=""),"",AE141-$E141)</f>
        <v/>
      </c>
      <c r="AG141" s="39"/>
      <c r="AH141" s="40" t="str">
        <f aca="false">IF(OR(AG141="",BY141=""),"",AG141/BY141*100)</f>
        <v/>
      </c>
      <c r="AI141" s="41" t="str">
        <f aca="false">IF(AH141="","",IFERROR(MATCH(AH141,INDEX(Boundaries!$B$2:$I$30,MATCH(CM141,Boundaries!$A$2:$A$30,0),0),1)-1,""))</f>
        <v/>
      </c>
      <c r="AJ141" s="42" t="str">
        <f aca="false">IF(OR(AI141="",$E141=""),"",AI141-$E141)</f>
        <v/>
      </c>
      <c r="AK141" s="39"/>
      <c r="AL141" s="40" t="str">
        <f aca="false">IF(OR(AK141="",BZ141=""),"",AK141/BZ141*100)</f>
        <v/>
      </c>
      <c r="AM141" s="41" t="str">
        <f aca="false">IF(AL141="","",IFERROR(MATCH(AL141,INDEX(Boundaries!$B$2:$I$30,MATCH(CN141,Boundaries!$A$2:$A$30,0),0),1)-1,""))</f>
        <v/>
      </c>
      <c r="AN141" s="42" t="str">
        <f aca="false">IF(OR(AM141="",$E141=""),"",AM141-$E141)</f>
        <v/>
      </c>
      <c r="AO141" s="39" t="n">
        <v>4</v>
      </c>
      <c r="AP141" s="40" t="n">
        <f aca="false">IF(OR(AO141="",CA141=""),"",AO141/CA141*100)</f>
        <v>57.1428571428571</v>
      </c>
      <c r="AQ141" s="41" t="n">
        <f aca="false">IF(AP141="","",IFERROR(MATCH(AP141,INDEX(Boundaries!$B$2:$I$30,MATCH(CO141,Boundaries!$A$2:$A$30,0),0),1)-1,""))</f>
        <v>4</v>
      </c>
      <c r="AR141" s="42" t="n">
        <f aca="false">IF(OR(AQ141="",$E141=""),"",AQ141-$E141)</f>
        <v>-1.9</v>
      </c>
      <c r="AS141" s="39"/>
      <c r="AT141" s="40" t="str">
        <f aca="false">IF(OR(AS141="",CB141=""),"",AS141/CB141*100)</f>
        <v/>
      </c>
      <c r="AU141" s="41" t="str">
        <f aca="false">IF(AT141="","",IFERROR(MATCH(AT141,INDEX(Boundaries!$B$2:$I$30,MATCH(CP141,Boundaries!$A$2:$A$30,0),0),1)-1,""))</f>
        <v/>
      </c>
      <c r="AV141" s="42" t="str">
        <f aca="false">IF(OR(AU141="",$E141=""),"",AU141-$E141)</f>
        <v/>
      </c>
      <c r="AW141" s="39"/>
      <c r="AX141" s="40" t="str">
        <f aca="false">IF(OR(AW141="",CC141=""),"",AW141/CC141*100)</f>
        <v/>
      </c>
      <c r="AY141" s="41" t="str">
        <f aca="false">IF(AX141="","",IFERROR(MATCH(AX141,INDEX(Boundaries!$B$2:$I$30,MATCH(CQ141,Boundaries!$A$2:$A$30,0),0),1)-1,""))</f>
        <v/>
      </c>
      <c r="AZ141" s="42" t="str">
        <f aca="false">IF(OR(AY141="",$E141=""),"",AY141-$E141)</f>
        <v/>
      </c>
      <c r="BA141" s="39"/>
      <c r="BB141" s="40" t="str">
        <f aca="false">IF(OR(BA141="",CD141=""),"",BA141/CD141*100)</f>
        <v/>
      </c>
      <c r="BC141" s="41" t="str">
        <f aca="false">IF(BB141="","",IFERROR(MATCH(BB141,INDEX(Boundaries!$B$2:$I$30,MATCH(CR141,Boundaries!$A$2:$A$30,0),0),1)-1,""))</f>
        <v/>
      </c>
      <c r="BD141" s="42" t="str">
        <f aca="false">IF(OR(BC141="",$E141=""),"",BC141-$E141)</f>
        <v/>
      </c>
      <c r="BE141" s="39"/>
      <c r="BF141" s="40" t="str">
        <f aca="false">IF(OR(BE141="",CE141=""),"",BE141/CE141*100)</f>
        <v/>
      </c>
      <c r="BG141" s="41" t="str">
        <f aca="false">IF(BF141="","",IFERROR(MATCH(BF141,INDEX(Boundaries!$B$2:$I$30,MATCH(CS141,Boundaries!$A$2:$A$30,0),0),1)-1,""))</f>
        <v/>
      </c>
      <c r="BH141" s="42" t="str">
        <f aca="false">IF(OR(BG141="",$E141=""),"",BG141-$E141)</f>
        <v/>
      </c>
      <c r="BI141" s="39"/>
      <c r="BJ141" s="40" t="str">
        <f aca="false">IF(OR(BI141="",CF141=""),"",BI141/CF141*100)</f>
        <v/>
      </c>
      <c r="BK141" s="41" t="str">
        <f aca="false">IF(BJ141="","",IFERROR(MATCH(BJ141,INDEX(Boundaries!$B$2:$I$30,MATCH(CT141,Boundaries!$A$2:$A$30,0),0),1)-1,""))</f>
        <v/>
      </c>
      <c r="BL141" s="42" t="str">
        <f aca="false">IF(OR(BK141="",$E141=""),"",BK141-$E141)</f>
        <v/>
      </c>
      <c r="BM141" s="39"/>
      <c r="BN141" s="40" t="str">
        <f aca="false">IF(OR(BM141="",CG141=""),"",BM141/CG141*100)</f>
        <v/>
      </c>
      <c r="BO141" s="41" t="str">
        <f aca="false">IF(BN141="","",IFERROR(MATCH(BN141,INDEX(Boundaries!$B$2:$I$30,MATCH(CU141,Boundaries!$A$2:$A$30,0),0),1)-1,""))</f>
        <v/>
      </c>
      <c r="BP141" s="42" t="str">
        <f aca="false">IF(OR(BO141="",$E141=""),"",BO141-$E141)</f>
        <v/>
      </c>
      <c r="BQ141" s="39"/>
      <c r="BR141" s="40" t="str">
        <f aca="false">IF(OR(BQ141="",CH141=""),"",BQ141/CH141*100)</f>
        <v/>
      </c>
      <c r="BS141" s="41" t="str">
        <f aca="false">IF(BR141="","",IFERROR(MATCH(BR141,INDEX(Boundaries!$B$2:$I$30,MATCH(CV141,Boundaries!$A$2:$A$30,0),0),1)-1,""))</f>
        <v/>
      </c>
      <c r="BT141" s="42" t="str">
        <f aca="false">IF(OR(BS141="",$E141=""),"",BS141-$E141)</f>
        <v/>
      </c>
      <c r="BU141" s="28" t="n">
        <f aca="false">IFERROR(INDEX(Assessments!$H$2:$H$600,MATCH($H141&amp;"|"&amp;$I141&amp;"|"&amp;$J141&amp;"|"&amp;1,Assessments!$A$2:$A$600,0)),"")</f>
        <v>24</v>
      </c>
      <c r="BV141" s="28" t="n">
        <f aca="false">IFERROR(INDEX(Assessments!$H$2:$H$600,MATCH($H141&amp;"|"&amp;$I141&amp;"|"&amp;$J141&amp;"|"&amp;2,Assessments!$A$2:$A$600,0)),"")</f>
        <v>20</v>
      </c>
      <c r="BW141" s="28" t="n">
        <f aca="false">IFERROR(INDEX(Assessments!$H$2:$H$600,MATCH($H141&amp;"|"&amp;$I141&amp;"|"&amp;$J141&amp;"|"&amp;3,Assessments!$A$2:$A$600,0)),"")</f>
        <v>20</v>
      </c>
      <c r="BX141" s="28" t="n">
        <f aca="false">IFERROR(INDEX(Assessments!$H$2:$H$600,MATCH($H141&amp;"|"&amp;$I141&amp;"|"&amp;$J141&amp;"|"&amp;4,Assessments!$A$2:$A$600,0)),"")</f>
        <v>40</v>
      </c>
      <c r="BY141" s="28" t="n">
        <f aca="false">IFERROR(INDEX(Assessments!$H$2:$H$600,MATCH($H141&amp;"|"&amp;$I141&amp;"|"&amp;$J141&amp;"|"&amp;5,Assessments!$A$2:$A$600,0)),"")</f>
        <v>30</v>
      </c>
      <c r="BZ141" s="28" t="n">
        <f aca="false">IFERROR(INDEX(Assessments!$H$2:$H$600,MATCH($H141&amp;"|"&amp;$I141&amp;"|"&amp;$J141&amp;"|"&amp;6,Assessments!$A$2:$A$600,0)),"")</f>
        <v>20</v>
      </c>
      <c r="CA141" s="28" t="n">
        <f aca="false">IFERROR(INDEX(Assessments!$H$2:$H$600,MATCH($H141&amp;"|"&amp;$I141&amp;"|"&amp;$J141&amp;"|"&amp;7,Assessments!$A$2:$A$600,0)),"")</f>
        <v>7</v>
      </c>
      <c r="CB141" s="28" t="str">
        <f aca="false">IFERROR(INDEX(Assessments!$H$2:$H$600,MATCH($H141&amp;"|"&amp;$I141&amp;"|"&amp;$J141&amp;"|"&amp;8,Assessments!$A$2:$A$600,0)),"")</f>
        <v/>
      </c>
      <c r="CC141" s="28" t="str">
        <f aca="false">IFERROR(INDEX(Assessments!$H$2:$H$600,MATCH($H141&amp;"|"&amp;$I141&amp;"|"&amp;$J141&amp;"|"&amp;9,Assessments!$A$2:$A$600,0)),"")</f>
        <v/>
      </c>
      <c r="CD141" s="28" t="str">
        <f aca="false">IFERROR(INDEX(Assessments!$H$2:$H$600,MATCH($H141&amp;"|"&amp;$I141&amp;"|"&amp;$J141&amp;"|"&amp;10,Assessments!$A$2:$A$600,0)),"")</f>
        <v/>
      </c>
      <c r="CE141" s="28" t="str">
        <f aca="false">IFERROR(INDEX(Assessments!$H$2:$H$600,MATCH($H141&amp;"|"&amp;$I141&amp;"|"&amp;$J141&amp;"|"&amp;11,Assessments!$A$2:$A$600,0)),"")</f>
        <v/>
      </c>
      <c r="CF141" s="28" t="str">
        <f aca="false">IFERROR(INDEX(Assessments!$H$2:$H$600,MATCH($H141&amp;"|"&amp;$I141&amp;"|"&amp;$J141&amp;"|"&amp;12,Assessments!$A$2:$A$600,0)),"")</f>
        <v/>
      </c>
      <c r="CG141" s="28" t="str">
        <f aca="false">IFERROR(INDEX(Assessments!$H$2:$H$600,MATCH($H141&amp;"|"&amp;$I141&amp;"|"&amp;$J141&amp;"|"&amp;13,Assessments!$A$2:$A$600,0)),"")</f>
        <v/>
      </c>
      <c r="CH141" s="28" t="str">
        <f aca="false">IFERROR(INDEX(Assessments!$H$2:$H$600,MATCH($H141&amp;"|"&amp;$I141&amp;"|"&amp;$J141&amp;"|"&amp;14,Assessments!$A$2:$A$600,0)),"")</f>
        <v/>
      </c>
      <c r="CI141" s="28" t="str">
        <f aca="false">IFERROR(INDEX(Assessments!$I$2:$I$600,MATCH($H141&amp;"|"&amp;$I141&amp;"|"&amp;$J141&amp;"|"&amp;1,Assessments!$A$2:$A$600,0)),"")</f>
        <v>BM Test</v>
      </c>
      <c r="CJ141" s="28" t="str">
        <f aca="false">IFERROR(INDEX(Assessments!$I$2:$I$600,MATCH($H141&amp;"|"&amp;$I141&amp;"|"&amp;$J141&amp;"|"&amp;2,Assessments!$A$2:$A$600,0)),"")</f>
        <v>BM Test</v>
      </c>
      <c r="CK141" s="28" t="str">
        <f aca="false">IFERROR(INDEX(Assessments!$I$2:$I$600,MATCH($H141&amp;"|"&amp;$I141&amp;"|"&amp;$J141&amp;"|"&amp;3,Assessments!$A$2:$A$600,0)),"")</f>
        <v>BM Test</v>
      </c>
      <c r="CL141" s="28" t="str">
        <f aca="false">IFERROR(INDEX(Assessments!$I$2:$I$600,MATCH($H141&amp;"|"&amp;$I141&amp;"|"&amp;$J141&amp;"|"&amp;4,Assessments!$A$2:$A$600,0)),"")</f>
        <v>BM Exam</v>
      </c>
      <c r="CM141" s="28" t="str">
        <f aca="false">IFERROR(INDEX(Assessments!$I$2:$I$600,MATCH($H141&amp;"|"&amp;$I141&amp;"|"&amp;$J141&amp;"|"&amp;5,Assessments!$A$2:$A$600,0)),"")</f>
        <v>BM Test</v>
      </c>
      <c r="CN141" s="28" t="str">
        <f aca="false">IFERROR(INDEX(Assessments!$I$2:$I$600,MATCH($H141&amp;"|"&amp;$I141&amp;"|"&amp;$J141&amp;"|"&amp;6,Assessments!$A$2:$A$600,0)),"")</f>
        <v>BM Test</v>
      </c>
      <c r="CO141" s="28" t="str">
        <f aca="false">IFERROR(INDEX(Assessments!$I$2:$I$600,MATCH($H141&amp;"|"&amp;$I141&amp;"|"&amp;$J141&amp;"|"&amp;7,Assessments!$A$2:$A$600,0)),"")</f>
        <v>Grade entered</v>
      </c>
      <c r="CP141" s="28" t="str">
        <f aca="false">IFERROR(INDEX(Assessments!$I$2:$I$600,MATCH($H141&amp;"|"&amp;$I141&amp;"|"&amp;$J141&amp;"|"&amp;8,Assessments!$A$2:$A$600,0)),"")</f>
        <v/>
      </c>
      <c r="CQ141" s="28" t="str">
        <f aca="false">IFERROR(INDEX(Assessments!$I$2:$I$600,MATCH($H141&amp;"|"&amp;$I141&amp;"|"&amp;$J141&amp;"|"&amp;9,Assessments!$A$2:$A$600,0)),"")</f>
        <v/>
      </c>
      <c r="CR141" s="28" t="str">
        <f aca="false">IFERROR(INDEX(Assessments!$I$2:$I$600,MATCH($H141&amp;"|"&amp;$I141&amp;"|"&amp;$J141&amp;"|"&amp;10,Assessments!$A$2:$A$600,0)),"")</f>
        <v/>
      </c>
      <c r="CS141" s="28" t="str">
        <f aca="false">IFERROR(INDEX(Assessments!$I$2:$I$600,MATCH($H141&amp;"|"&amp;$I141&amp;"|"&amp;$J141&amp;"|"&amp;11,Assessments!$A$2:$A$600,0)),"")</f>
        <v/>
      </c>
      <c r="CT141" s="28" t="str">
        <f aca="false">IFERROR(INDEX(Assessments!$I$2:$I$600,MATCH($H141&amp;"|"&amp;$I141&amp;"|"&amp;$J141&amp;"|"&amp;12,Assessments!$A$2:$A$600,0)),"")</f>
        <v/>
      </c>
      <c r="CU141" s="28" t="str">
        <f aca="false">IFERROR(INDEX(Assessments!$I$2:$I$600,MATCH($H141&amp;"|"&amp;$I141&amp;"|"&amp;$J141&amp;"|"&amp;13,Assessments!$A$2:$A$600,0)),"")</f>
        <v/>
      </c>
      <c r="CV141" s="28" t="str">
        <f aca="false">IFERROR(INDEX(Assessments!$I$2:$I$600,MATCH($H141&amp;"|"&amp;$I141&amp;"|"&amp;$J141&amp;"|"&amp;14,Assessments!$A$2:$A$600,0)),"")</f>
        <v/>
      </c>
      <c r="CW141" s="28" t="n">
        <f aca="false">IFERROR(INDEX(Assessments!$J$2:$J$600,MATCH($H141&amp;"|"&amp;$I141&amp;"|"&amp;$J141&amp;"|"&amp;1,Assessments!$A$2:$A$600,0)),0)</f>
        <v>1</v>
      </c>
      <c r="CX141" s="28" t="n">
        <f aca="false">IFERROR(INDEX(Assessments!$J$2:$J$600,MATCH($H141&amp;"|"&amp;$I141&amp;"|"&amp;$J141&amp;"|"&amp;2,Assessments!$A$2:$A$600,0)),0)</f>
        <v>1</v>
      </c>
      <c r="CY141" s="28" t="n">
        <f aca="false">IFERROR(INDEX(Assessments!$J$2:$J$600,MATCH($H141&amp;"|"&amp;$I141&amp;"|"&amp;$J141&amp;"|"&amp;3,Assessments!$A$2:$A$600,0)),0)</f>
        <v>1</v>
      </c>
      <c r="CZ141" s="28" t="n">
        <f aca="false">IFERROR(INDEX(Assessments!$J$2:$J$600,MATCH($H141&amp;"|"&amp;$I141&amp;"|"&amp;$J141&amp;"|"&amp;4,Assessments!$A$2:$A$600,0)),0)</f>
        <v>2</v>
      </c>
      <c r="DA141" s="28" t="n">
        <f aca="false">IFERROR(INDEX(Assessments!$J$2:$J$600,MATCH($H141&amp;"|"&amp;$I141&amp;"|"&amp;$J141&amp;"|"&amp;5,Assessments!$A$2:$A$600,0)),0)</f>
        <v>1</v>
      </c>
      <c r="DB141" s="28" t="n">
        <f aca="false">IFERROR(INDEX(Assessments!$J$2:$J$600,MATCH($H141&amp;"|"&amp;$I141&amp;"|"&amp;$J141&amp;"|"&amp;6,Assessments!$A$2:$A$600,0)),0)</f>
        <v>1</v>
      </c>
      <c r="DC141" s="28" t="n">
        <f aca="false">IFERROR(INDEX(Assessments!$J$2:$J$600,MATCH($H141&amp;"|"&amp;$I141&amp;"|"&amp;$J141&amp;"|"&amp;7,Assessments!$A$2:$A$600,0)),0)</f>
        <v>2</v>
      </c>
      <c r="DD141" s="28" t="n">
        <f aca="false">IFERROR(INDEX(Assessments!$J$2:$J$600,MATCH($H141&amp;"|"&amp;$I141&amp;"|"&amp;$J141&amp;"|"&amp;8,Assessments!$A$2:$A$600,0)),0)</f>
        <v>0</v>
      </c>
      <c r="DE141" s="28" t="n">
        <f aca="false">IFERROR(INDEX(Assessments!$J$2:$J$600,MATCH($H141&amp;"|"&amp;$I141&amp;"|"&amp;$J141&amp;"|"&amp;9,Assessments!$A$2:$A$600,0)),0)</f>
        <v>0</v>
      </c>
      <c r="DF141" s="28" t="n">
        <f aca="false">IFERROR(INDEX(Assessments!$J$2:$J$600,MATCH($H141&amp;"|"&amp;$I141&amp;"|"&amp;$J141&amp;"|"&amp;10,Assessments!$A$2:$A$600,0)),0)</f>
        <v>0</v>
      </c>
      <c r="DG141" s="28" t="n">
        <f aca="false">IFERROR(INDEX(Assessments!$J$2:$J$600,MATCH($H141&amp;"|"&amp;$I141&amp;"|"&amp;$J141&amp;"|"&amp;11,Assessments!$A$2:$A$600,0)),0)</f>
        <v>0</v>
      </c>
      <c r="DH141" s="28" t="n">
        <f aca="false">IFERROR(INDEX(Assessments!$J$2:$J$600,MATCH($H141&amp;"|"&amp;$I141&amp;"|"&amp;$J141&amp;"|"&amp;12,Assessments!$A$2:$A$600,0)),0)</f>
        <v>0</v>
      </c>
      <c r="DI141" s="28" t="n">
        <f aca="false">IFERROR(INDEX(Assessments!$J$2:$J$600,MATCH($H141&amp;"|"&amp;$I141&amp;"|"&amp;$J141&amp;"|"&amp;13,Assessments!$A$2:$A$600,0)),0)</f>
        <v>0</v>
      </c>
      <c r="DJ141" s="28" t="n">
        <f aca="false">IFERROR(INDEX(Assessments!$J$2:$J$600,MATCH($H141&amp;"|"&amp;$I141&amp;"|"&amp;$J141&amp;"|"&amp;14,Assessments!$A$2:$A$600,0)),0)</f>
        <v>0</v>
      </c>
      <c r="DK141" s="28" t="n">
        <f aca="false">S141</f>
        <v>6</v>
      </c>
      <c r="DL141" s="28" t="n">
        <f aca="false">W141</f>
        <v>7</v>
      </c>
      <c r="DM141" s="28" t="n">
        <f aca="false">AA141</f>
        <v>7</v>
      </c>
      <c r="DN141" s="28" t="str">
        <f aca="false">AE141</f>
        <v/>
      </c>
      <c r="DO141" s="28" t="str">
        <f aca="false">AI141</f>
        <v/>
      </c>
      <c r="DP141" s="28" t="str">
        <f aca="false">AM141</f>
        <v/>
      </c>
      <c r="DQ141" s="28" t="n">
        <f aca="false">AQ141</f>
        <v>4</v>
      </c>
      <c r="DR141" s="28" t="str">
        <f aca="false">AU141</f>
        <v/>
      </c>
      <c r="DS141" s="28" t="str">
        <f aca="false">AY141</f>
        <v/>
      </c>
      <c r="DT141" s="28" t="str">
        <f aca="false">BC141</f>
        <v/>
      </c>
      <c r="DU141" s="28" t="str">
        <f aca="false">BG141</f>
        <v/>
      </c>
      <c r="DV141" s="28" t="str">
        <f aca="false">BK141</f>
        <v/>
      </c>
      <c r="DW141" s="28" t="str">
        <f aca="false">BO141</f>
        <v/>
      </c>
      <c r="DX141" s="28" t="str">
        <f aca="false">BS141</f>
        <v/>
      </c>
      <c r="DY141" s="28" t="n">
        <f aca="false">IF(ISNUMBER(S141),1,"")</f>
        <v>1</v>
      </c>
      <c r="DZ141" s="28" t="n">
        <f aca="false">IF(ISNUMBER(W141),2,"")</f>
        <v>2</v>
      </c>
      <c r="EA141" s="28" t="n">
        <f aca="false">IF(ISNUMBER(AA141),3,"")</f>
        <v>3</v>
      </c>
      <c r="EB141" s="28" t="str">
        <f aca="false">IF(ISNUMBER(AE141),4,"")</f>
        <v/>
      </c>
      <c r="EC141" s="28" t="str">
        <f aca="false">IF(ISNUMBER(AI141),5,"")</f>
        <v/>
      </c>
      <c r="ED141" s="28" t="str">
        <f aca="false">IF(ISNUMBER(AM141),6,"")</f>
        <v/>
      </c>
      <c r="EE141" s="28" t="n">
        <f aca="false">IF(ISNUMBER(AQ141),7,"")</f>
        <v>7</v>
      </c>
      <c r="EF141" s="28" t="str">
        <f aca="false">IF(ISNUMBER(AU141),8,"")</f>
        <v/>
      </c>
      <c r="EG141" s="28" t="str">
        <f aca="false">IF(ISNUMBER(AY141),9,"")</f>
        <v/>
      </c>
      <c r="EH141" s="28" t="str">
        <f aca="false">IF(ISNUMBER(BC141),10,"")</f>
        <v/>
      </c>
      <c r="EI141" s="28" t="str">
        <f aca="false">IF(ISNUMBER(BG141),11,"")</f>
        <v/>
      </c>
      <c r="EJ141" s="28" t="str">
        <f aca="false">IF(ISNUMBER(BK141),12,"")</f>
        <v/>
      </c>
      <c r="EK141" s="28" t="str">
        <f aca="false">IF(ISNUMBER(BO141),13,"")</f>
        <v/>
      </c>
      <c r="EL141" s="28" t="str">
        <f aca="false">IF(ISNUMBER(BS141),14,"")</f>
        <v/>
      </c>
      <c r="EM141" s="28" t="n">
        <f aca="false">IF(ISNUMBER(R141),R141*CW141,0)</f>
        <v>66.6666666666667</v>
      </c>
      <c r="EN141" s="28" t="n">
        <f aca="false">IF(ISNUMBER(V141),V141*CX141,0)</f>
        <v>75</v>
      </c>
      <c r="EO141" s="28" t="n">
        <f aca="false">IF(ISNUMBER(Z141),Z141*CY141,0)</f>
        <v>80</v>
      </c>
      <c r="EP141" s="28" t="n">
        <f aca="false">IF(ISNUMBER(AD141),AD141*CZ141,0)</f>
        <v>0</v>
      </c>
      <c r="EQ141" s="28" t="n">
        <f aca="false">IF(ISNUMBER(AH141),AH141*DA141,0)</f>
        <v>0</v>
      </c>
      <c r="ER141" s="28" t="n">
        <f aca="false">IF(ISNUMBER(AL141),AL141*DB141,0)</f>
        <v>0</v>
      </c>
      <c r="ES141" s="28" t="n">
        <f aca="false">IF(ISNUMBER(AP141),AP141*DC141,0)</f>
        <v>114.285714285714</v>
      </c>
      <c r="ET141" s="28" t="n">
        <f aca="false">IF(ISNUMBER(AT141),AT141*DD141,0)</f>
        <v>0</v>
      </c>
      <c r="EU141" s="28" t="n">
        <f aca="false">IF(ISNUMBER(AX141),AX141*DE141,0)</f>
        <v>0</v>
      </c>
      <c r="EV141" s="28" t="n">
        <f aca="false">IF(ISNUMBER(BB141),BB141*DF141,0)</f>
        <v>0</v>
      </c>
      <c r="EW141" s="28" t="n">
        <f aca="false">IF(ISNUMBER(BF141),BF141*DG141,0)</f>
        <v>0</v>
      </c>
      <c r="EX141" s="28" t="n">
        <f aca="false">IF(ISNUMBER(BJ141),BJ141*DH141,0)</f>
        <v>0</v>
      </c>
      <c r="EY141" s="28" t="n">
        <f aca="false">IF(ISNUMBER(BN141),BN141*DI141,0)</f>
        <v>0</v>
      </c>
      <c r="EZ141" s="28" t="n">
        <f aca="false">IF(ISNUMBER(BR141),BR141*DJ141,0)</f>
        <v>0</v>
      </c>
      <c r="FA141" s="28" t="n">
        <f aca="false">IF(ISNUMBER(R141),CW141,0)</f>
        <v>1</v>
      </c>
      <c r="FB141" s="28" t="n">
        <f aca="false">IF(ISNUMBER(V141),CX141,0)</f>
        <v>1</v>
      </c>
      <c r="FC141" s="28" t="n">
        <f aca="false">IF(ISNUMBER(Z141),CY141,0)</f>
        <v>1</v>
      </c>
      <c r="FD141" s="28" t="n">
        <f aca="false">IF(ISNUMBER(AD141),CZ141,0)</f>
        <v>0</v>
      </c>
      <c r="FE141" s="28" t="n">
        <f aca="false">IF(ISNUMBER(AH141),DA141,0)</f>
        <v>0</v>
      </c>
      <c r="FF141" s="28" t="n">
        <f aca="false">IF(ISNUMBER(AL141),DB141,0)</f>
        <v>0</v>
      </c>
      <c r="FG141" s="28" t="n">
        <f aca="false">IF(ISNUMBER(AP141),DC141,0)</f>
        <v>2</v>
      </c>
      <c r="FH141" s="28" t="n">
        <f aca="false">IF(ISNUMBER(AT141),DD141,0)</f>
        <v>0</v>
      </c>
      <c r="FI141" s="28" t="n">
        <f aca="false">IF(ISNUMBER(AX141),DE141,0)</f>
        <v>0</v>
      </c>
      <c r="FJ141" s="28" t="n">
        <f aca="false">IF(ISNUMBER(BB141),DF141,0)</f>
        <v>0</v>
      </c>
      <c r="FK141" s="28" t="n">
        <f aca="false">IF(ISNUMBER(BF141),DG141,0)</f>
        <v>0</v>
      </c>
      <c r="FL141" s="28" t="n">
        <f aca="false">IF(ISNUMBER(BJ141),DH141,0)</f>
        <v>0</v>
      </c>
      <c r="FM141" s="28" t="n">
        <f aca="false">IF(ISNUMBER(BN141),DI141,0)</f>
        <v>0</v>
      </c>
      <c r="FN141" s="28" t="n">
        <f aca="false">IF(ISNUMBER(BR141),DJ141,0)</f>
        <v>0</v>
      </c>
      <c r="FO141" s="28" t="str">
        <f aca="false">IFERROR(INDEX(Lists!$G$2:$G$20,MATCH($I141&amp;"|"&amp;$J141,Lists!$F$2:$F$20,0)),"")</f>
        <v>BM Exam</v>
      </c>
    </row>
    <row r="142" customFormat="false" ht="19.5" hidden="false" customHeight="true" outlineLevel="0" collapsed="false">
      <c r="A142" s="29" t="s">
        <v>386</v>
      </c>
      <c r="B142" s="29" t="s">
        <v>387</v>
      </c>
      <c r="C142" s="30" t="s">
        <v>152</v>
      </c>
      <c r="D142" s="30" t="s">
        <v>383</v>
      </c>
      <c r="E142" s="31" t="n">
        <v>5.4</v>
      </c>
      <c r="F142" s="30" t="n">
        <v>6</v>
      </c>
      <c r="G142" s="30"/>
      <c r="H142" s="32" t="s">
        <v>23</v>
      </c>
      <c r="I142" s="33" t="s">
        <v>365</v>
      </c>
      <c r="J142" s="32" t="s">
        <v>25</v>
      </c>
      <c r="K142" s="34" t="n">
        <f aca="false">IF(OR(M142="",$E142=""),"",M142-$E142)</f>
        <v>1.6</v>
      </c>
      <c r="L142" s="35" t="n">
        <f aca="false">IF(SUM(FA142:FN142)=0,"",SUM(EM142:EZ142)/SUM(FA142:FN142))</f>
        <v>74</v>
      </c>
      <c r="M142" s="36" t="n">
        <f aca="false">IF(OR(L142="",FO142=""),"",IFERROR(MATCH(L142,INDEX(Boundaries!$B$2:$I$30,MATCH(FO142,Boundaries!$A$2:$A$30,0),0),1)-1,""))</f>
        <v>7</v>
      </c>
      <c r="N142" s="37" t="n">
        <f aca="false">IF(COUNT($DY142:$EL142)&lt;2,"",INDEX($DK142:$DX142,MAX($DY142:$EL142))-INDEX($DK142:$DX142,MIN($DY142:$EL142)))</f>
        <v>2</v>
      </c>
      <c r="O142" s="37" t="n">
        <f aca="false">IF(COUNT($DY142:$EL142)&lt;2,"",INDEX($DK142:$DX142,MAX($DY142:$EL142))-INDEX($DK142:$DX142,LARGE($DY142:$EL142,2)))</f>
        <v>2</v>
      </c>
      <c r="P142" s="38" t="str">
        <f aca="false">IF(K142="","",IF(K142&gt;=0,"On/above target",IF(AND(N142&lt;&gt;"",N142&gt;=0.5),"Improving towards target",IF(AND(O142&lt;&gt;"",O142&lt;=-0.5),"Declining","Stable below target"))))</f>
        <v>On/above target</v>
      </c>
      <c r="Q142" s="39" t="n">
        <v>12</v>
      </c>
      <c r="R142" s="40" t="n">
        <f aca="false">IF(OR(Q142="",BU142=""),"",Q142/BU142*100)</f>
        <v>50</v>
      </c>
      <c r="S142" s="41" t="n">
        <f aca="false">IF(R142="","",IFERROR(MATCH(R142,INDEX(Boundaries!$B$2:$I$30,MATCH(CI142,Boundaries!$A$2:$A$30,0),0),1)-1,""))</f>
        <v>5</v>
      </c>
      <c r="T142" s="42" t="n">
        <f aca="false">IF(OR(S142="",$E142=""),"",S142-$E142)</f>
        <v>-0.4</v>
      </c>
      <c r="U142" s="39" t="n">
        <v>14</v>
      </c>
      <c r="V142" s="40" t="n">
        <f aca="false">IF(OR(U142="",BV142=""),"",U142/BV142*100)</f>
        <v>70</v>
      </c>
      <c r="W142" s="41" t="n">
        <f aca="false">IF(V142="","",IFERROR(MATCH(V142,INDEX(Boundaries!$B$2:$I$30,MATCH(CJ142,Boundaries!$A$2:$A$30,0),0),1)-1,""))</f>
        <v>6</v>
      </c>
      <c r="X142" s="42" t="n">
        <f aca="false">IF(OR(W142="",$E142=""),"",W142-$E142)</f>
        <v>0.6</v>
      </c>
      <c r="Y142" s="39" t="n">
        <v>10</v>
      </c>
      <c r="Z142" s="40" t="n">
        <f aca="false">IF(OR(Y142="",BW142=""),"",Y142/BW142*100)</f>
        <v>50</v>
      </c>
      <c r="AA142" s="41" t="n">
        <f aca="false">IF(Z142="","",IFERROR(MATCH(Z142,INDEX(Boundaries!$B$2:$I$30,MATCH(CK142,Boundaries!$A$2:$A$30,0),0),1)-1,""))</f>
        <v>5</v>
      </c>
      <c r="AB142" s="42" t="n">
        <f aca="false">IF(OR(AA142="",$E142=""),"",AA142-$E142)</f>
        <v>-0.4</v>
      </c>
      <c r="AC142" s="39"/>
      <c r="AD142" s="40" t="str">
        <f aca="false">IF(OR(AC142="",BX142=""),"",AC142/BX142*100)</f>
        <v/>
      </c>
      <c r="AE142" s="41" t="str">
        <f aca="false">IF(AD142="","",IFERROR(MATCH(AD142,INDEX(Boundaries!$B$2:$I$30,MATCH(CL142,Boundaries!$A$2:$A$30,0),0),1)-1,""))</f>
        <v/>
      </c>
      <c r="AF142" s="42" t="str">
        <f aca="false">IF(OR(AE142="",$E142=""),"",AE142-$E142)</f>
        <v/>
      </c>
      <c r="AG142" s="39"/>
      <c r="AH142" s="40" t="str">
        <f aca="false">IF(OR(AG142="",BY142=""),"",AG142/BY142*100)</f>
        <v/>
      </c>
      <c r="AI142" s="41" t="str">
        <f aca="false">IF(AH142="","",IFERROR(MATCH(AH142,INDEX(Boundaries!$B$2:$I$30,MATCH(CM142,Boundaries!$A$2:$A$30,0),0),1)-1,""))</f>
        <v/>
      </c>
      <c r="AJ142" s="42" t="str">
        <f aca="false">IF(OR(AI142="",$E142=""),"",AI142-$E142)</f>
        <v/>
      </c>
      <c r="AK142" s="39"/>
      <c r="AL142" s="40" t="str">
        <f aca="false">IF(OR(AK142="",BZ142=""),"",AK142/BZ142*100)</f>
        <v/>
      </c>
      <c r="AM142" s="41" t="str">
        <f aca="false">IF(AL142="","",IFERROR(MATCH(AL142,INDEX(Boundaries!$B$2:$I$30,MATCH(CN142,Boundaries!$A$2:$A$30,0),0),1)-1,""))</f>
        <v/>
      </c>
      <c r="AN142" s="42" t="str">
        <f aca="false">IF(OR(AM142="",$E142=""),"",AM142-$E142)</f>
        <v/>
      </c>
      <c r="AO142" s="39" t="n">
        <v>7</v>
      </c>
      <c r="AP142" s="40" t="n">
        <f aca="false">IF(OR(AO142="",CA142=""),"",AO142/CA142*100)</f>
        <v>100</v>
      </c>
      <c r="AQ142" s="41" t="n">
        <f aca="false">IF(AP142="","",IFERROR(MATCH(AP142,INDEX(Boundaries!$B$2:$I$30,MATCH(CO142,Boundaries!$A$2:$A$30,0),0),1)-1,""))</f>
        <v>7</v>
      </c>
      <c r="AR142" s="42" t="n">
        <f aca="false">IF(OR(AQ142="",$E142=""),"",AQ142-$E142)</f>
        <v>1.6</v>
      </c>
      <c r="AS142" s="39"/>
      <c r="AT142" s="40" t="str">
        <f aca="false">IF(OR(AS142="",CB142=""),"",AS142/CB142*100)</f>
        <v/>
      </c>
      <c r="AU142" s="41" t="str">
        <f aca="false">IF(AT142="","",IFERROR(MATCH(AT142,INDEX(Boundaries!$B$2:$I$30,MATCH(CP142,Boundaries!$A$2:$A$30,0),0),1)-1,""))</f>
        <v/>
      </c>
      <c r="AV142" s="42" t="str">
        <f aca="false">IF(OR(AU142="",$E142=""),"",AU142-$E142)</f>
        <v/>
      </c>
      <c r="AW142" s="39"/>
      <c r="AX142" s="40" t="str">
        <f aca="false">IF(OR(AW142="",CC142=""),"",AW142/CC142*100)</f>
        <v/>
      </c>
      <c r="AY142" s="41" t="str">
        <f aca="false">IF(AX142="","",IFERROR(MATCH(AX142,INDEX(Boundaries!$B$2:$I$30,MATCH(CQ142,Boundaries!$A$2:$A$30,0),0),1)-1,""))</f>
        <v/>
      </c>
      <c r="AZ142" s="42" t="str">
        <f aca="false">IF(OR(AY142="",$E142=""),"",AY142-$E142)</f>
        <v/>
      </c>
      <c r="BA142" s="39"/>
      <c r="BB142" s="40" t="str">
        <f aca="false">IF(OR(BA142="",CD142=""),"",BA142/CD142*100)</f>
        <v/>
      </c>
      <c r="BC142" s="41" t="str">
        <f aca="false">IF(BB142="","",IFERROR(MATCH(BB142,INDEX(Boundaries!$B$2:$I$30,MATCH(CR142,Boundaries!$A$2:$A$30,0),0),1)-1,""))</f>
        <v/>
      </c>
      <c r="BD142" s="42" t="str">
        <f aca="false">IF(OR(BC142="",$E142=""),"",BC142-$E142)</f>
        <v/>
      </c>
      <c r="BE142" s="39"/>
      <c r="BF142" s="40" t="str">
        <f aca="false">IF(OR(BE142="",CE142=""),"",BE142/CE142*100)</f>
        <v/>
      </c>
      <c r="BG142" s="41" t="str">
        <f aca="false">IF(BF142="","",IFERROR(MATCH(BF142,INDEX(Boundaries!$B$2:$I$30,MATCH(CS142,Boundaries!$A$2:$A$30,0),0),1)-1,""))</f>
        <v/>
      </c>
      <c r="BH142" s="42" t="str">
        <f aca="false">IF(OR(BG142="",$E142=""),"",BG142-$E142)</f>
        <v/>
      </c>
      <c r="BI142" s="39"/>
      <c r="BJ142" s="40" t="str">
        <f aca="false">IF(OR(BI142="",CF142=""),"",BI142/CF142*100)</f>
        <v/>
      </c>
      <c r="BK142" s="41" t="str">
        <f aca="false">IF(BJ142="","",IFERROR(MATCH(BJ142,INDEX(Boundaries!$B$2:$I$30,MATCH(CT142,Boundaries!$A$2:$A$30,0),0),1)-1,""))</f>
        <v/>
      </c>
      <c r="BL142" s="42" t="str">
        <f aca="false">IF(OR(BK142="",$E142=""),"",BK142-$E142)</f>
        <v/>
      </c>
      <c r="BM142" s="39"/>
      <c r="BN142" s="40" t="str">
        <f aca="false">IF(OR(BM142="",CG142=""),"",BM142/CG142*100)</f>
        <v/>
      </c>
      <c r="BO142" s="41" t="str">
        <f aca="false">IF(BN142="","",IFERROR(MATCH(BN142,INDEX(Boundaries!$B$2:$I$30,MATCH(CU142,Boundaries!$A$2:$A$30,0),0),1)-1,""))</f>
        <v/>
      </c>
      <c r="BP142" s="42" t="str">
        <f aca="false">IF(OR(BO142="",$E142=""),"",BO142-$E142)</f>
        <v/>
      </c>
      <c r="BQ142" s="39"/>
      <c r="BR142" s="40" t="str">
        <f aca="false">IF(OR(BQ142="",CH142=""),"",BQ142/CH142*100)</f>
        <v/>
      </c>
      <c r="BS142" s="41" t="str">
        <f aca="false">IF(BR142="","",IFERROR(MATCH(BR142,INDEX(Boundaries!$B$2:$I$30,MATCH(CV142,Boundaries!$A$2:$A$30,0),0),1)-1,""))</f>
        <v/>
      </c>
      <c r="BT142" s="42" t="str">
        <f aca="false">IF(OR(BS142="",$E142=""),"",BS142-$E142)</f>
        <v/>
      </c>
      <c r="BU142" s="28" t="n">
        <f aca="false">IFERROR(INDEX(Assessments!$H$2:$H$600,MATCH($H142&amp;"|"&amp;$I142&amp;"|"&amp;$J142&amp;"|"&amp;1,Assessments!$A$2:$A$600,0)),"")</f>
        <v>24</v>
      </c>
      <c r="BV142" s="28" t="n">
        <f aca="false">IFERROR(INDEX(Assessments!$H$2:$H$600,MATCH($H142&amp;"|"&amp;$I142&amp;"|"&amp;$J142&amp;"|"&amp;2,Assessments!$A$2:$A$600,0)),"")</f>
        <v>20</v>
      </c>
      <c r="BW142" s="28" t="n">
        <f aca="false">IFERROR(INDEX(Assessments!$H$2:$H$600,MATCH($H142&amp;"|"&amp;$I142&amp;"|"&amp;$J142&amp;"|"&amp;3,Assessments!$A$2:$A$600,0)),"")</f>
        <v>20</v>
      </c>
      <c r="BX142" s="28" t="n">
        <f aca="false">IFERROR(INDEX(Assessments!$H$2:$H$600,MATCH($H142&amp;"|"&amp;$I142&amp;"|"&amp;$J142&amp;"|"&amp;4,Assessments!$A$2:$A$600,0)),"")</f>
        <v>40</v>
      </c>
      <c r="BY142" s="28" t="n">
        <f aca="false">IFERROR(INDEX(Assessments!$H$2:$H$600,MATCH($H142&amp;"|"&amp;$I142&amp;"|"&amp;$J142&amp;"|"&amp;5,Assessments!$A$2:$A$600,0)),"")</f>
        <v>30</v>
      </c>
      <c r="BZ142" s="28" t="n">
        <f aca="false">IFERROR(INDEX(Assessments!$H$2:$H$600,MATCH($H142&amp;"|"&amp;$I142&amp;"|"&amp;$J142&amp;"|"&amp;6,Assessments!$A$2:$A$600,0)),"")</f>
        <v>20</v>
      </c>
      <c r="CA142" s="28" t="n">
        <f aca="false">IFERROR(INDEX(Assessments!$H$2:$H$600,MATCH($H142&amp;"|"&amp;$I142&amp;"|"&amp;$J142&amp;"|"&amp;7,Assessments!$A$2:$A$600,0)),"")</f>
        <v>7</v>
      </c>
      <c r="CB142" s="28" t="str">
        <f aca="false">IFERROR(INDEX(Assessments!$H$2:$H$600,MATCH($H142&amp;"|"&amp;$I142&amp;"|"&amp;$J142&amp;"|"&amp;8,Assessments!$A$2:$A$600,0)),"")</f>
        <v/>
      </c>
      <c r="CC142" s="28" t="str">
        <f aca="false">IFERROR(INDEX(Assessments!$H$2:$H$600,MATCH($H142&amp;"|"&amp;$I142&amp;"|"&amp;$J142&amp;"|"&amp;9,Assessments!$A$2:$A$600,0)),"")</f>
        <v/>
      </c>
      <c r="CD142" s="28" t="str">
        <f aca="false">IFERROR(INDEX(Assessments!$H$2:$H$600,MATCH($H142&amp;"|"&amp;$I142&amp;"|"&amp;$J142&amp;"|"&amp;10,Assessments!$A$2:$A$600,0)),"")</f>
        <v/>
      </c>
      <c r="CE142" s="28" t="str">
        <f aca="false">IFERROR(INDEX(Assessments!$H$2:$H$600,MATCH($H142&amp;"|"&amp;$I142&amp;"|"&amp;$J142&amp;"|"&amp;11,Assessments!$A$2:$A$600,0)),"")</f>
        <v/>
      </c>
      <c r="CF142" s="28" t="str">
        <f aca="false">IFERROR(INDEX(Assessments!$H$2:$H$600,MATCH($H142&amp;"|"&amp;$I142&amp;"|"&amp;$J142&amp;"|"&amp;12,Assessments!$A$2:$A$600,0)),"")</f>
        <v/>
      </c>
      <c r="CG142" s="28" t="str">
        <f aca="false">IFERROR(INDEX(Assessments!$H$2:$H$600,MATCH($H142&amp;"|"&amp;$I142&amp;"|"&amp;$J142&amp;"|"&amp;13,Assessments!$A$2:$A$600,0)),"")</f>
        <v/>
      </c>
      <c r="CH142" s="28" t="str">
        <f aca="false">IFERROR(INDEX(Assessments!$H$2:$H$600,MATCH($H142&amp;"|"&amp;$I142&amp;"|"&amp;$J142&amp;"|"&amp;14,Assessments!$A$2:$A$600,0)),"")</f>
        <v/>
      </c>
      <c r="CI142" s="28" t="str">
        <f aca="false">IFERROR(INDEX(Assessments!$I$2:$I$600,MATCH($H142&amp;"|"&amp;$I142&amp;"|"&amp;$J142&amp;"|"&amp;1,Assessments!$A$2:$A$600,0)),"")</f>
        <v>BM Test</v>
      </c>
      <c r="CJ142" s="28" t="str">
        <f aca="false">IFERROR(INDEX(Assessments!$I$2:$I$600,MATCH($H142&amp;"|"&amp;$I142&amp;"|"&amp;$J142&amp;"|"&amp;2,Assessments!$A$2:$A$600,0)),"")</f>
        <v>BM Test</v>
      </c>
      <c r="CK142" s="28" t="str">
        <f aca="false">IFERROR(INDEX(Assessments!$I$2:$I$600,MATCH($H142&amp;"|"&amp;$I142&amp;"|"&amp;$J142&amp;"|"&amp;3,Assessments!$A$2:$A$600,0)),"")</f>
        <v>BM Test</v>
      </c>
      <c r="CL142" s="28" t="str">
        <f aca="false">IFERROR(INDEX(Assessments!$I$2:$I$600,MATCH($H142&amp;"|"&amp;$I142&amp;"|"&amp;$J142&amp;"|"&amp;4,Assessments!$A$2:$A$600,0)),"")</f>
        <v>BM Exam</v>
      </c>
      <c r="CM142" s="28" t="str">
        <f aca="false">IFERROR(INDEX(Assessments!$I$2:$I$600,MATCH($H142&amp;"|"&amp;$I142&amp;"|"&amp;$J142&amp;"|"&amp;5,Assessments!$A$2:$A$600,0)),"")</f>
        <v>BM Test</v>
      </c>
      <c r="CN142" s="28" t="str">
        <f aca="false">IFERROR(INDEX(Assessments!$I$2:$I$600,MATCH($H142&amp;"|"&amp;$I142&amp;"|"&amp;$J142&amp;"|"&amp;6,Assessments!$A$2:$A$600,0)),"")</f>
        <v>BM Test</v>
      </c>
      <c r="CO142" s="28" t="str">
        <f aca="false">IFERROR(INDEX(Assessments!$I$2:$I$600,MATCH($H142&amp;"|"&amp;$I142&amp;"|"&amp;$J142&amp;"|"&amp;7,Assessments!$A$2:$A$600,0)),"")</f>
        <v>Grade entered</v>
      </c>
      <c r="CP142" s="28" t="str">
        <f aca="false">IFERROR(INDEX(Assessments!$I$2:$I$600,MATCH($H142&amp;"|"&amp;$I142&amp;"|"&amp;$J142&amp;"|"&amp;8,Assessments!$A$2:$A$600,0)),"")</f>
        <v/>
      </c>
      <c r="CQ142" s="28" t="str">
        <f aca="false">IFERROR(INDEX(Assessments!$I$2:$I$600,MATCH($H142&amp;"|"&amp;$I142&amp;"|"&amp;$J142&amp;"|"&amp;9,Assessments!$A$2:$A$600,0)),"")</f>
        <v/>
      </c>
      <c r="CR142" s="28" t="str">
        <f aca="false">IFERROR(INDEX(Assessments!$I$2:$I$600,MATCH($H142&amp;"|"&amp;$I142&amp;"|"&amp;$J142&amp;"|"&amp;10,Assessments!$A$2:$A$600,0)),"")</f>
        <v/>
      </c>
      <c r="CS142" s="28" t="str">
        <f aca="false">IFERROR(INDEX(Assessments!$I$2:$I$600,MATCH($H142&amp;"|"&amp;$I142&amp;"|"&amp;$J142&amp;"|"&amp;11,Assessments!$A$2:$A$600,0)),"")</f>
        <v/>
      </c>
      <c r="CT142" s="28" t="str">
        <f aca="false">IFERROR(INDEX(Assessments!$I$2:$I$600,MATCH($H142&amp;"|"&amp;$I142&amp;"|"&amp;$J142&amp;"|"&amp;12,Assessments!$A$2:$A$600,0)),"")</f>
        <v/>
      </c>
      <c r="CU142" s="28" t="str">
        <f aca="false">IFERROR(INDEX(Assessments!$I$2:$I$600,MATCH($H142&amp;"|"&amp;$I142&amp;"|"&amp;$J142&amp;"|"&amp;13,Assessments!$A$2:$A$600,0)),"")</f>
        <v/>
      </c>
      <c r="CV142" s="28" t="str">
        <f aca="false">IFERROR(INDEX(Assessments!$I$2:$I$600,MATCH($H142&amp;"|"&amp;$I142&amp;"|"&amp;$J142&amp;"|"&amp;14,Assessments!$A$2:$A$600,0)),"")</f>
        <v/>
      </c>
      <c r="CW142" s="28" t="n">
        <f aca="false">IFERROR(INDEX(Assessments!$J$2:$J$600,MATCH($H142&amp;"|"&amp;$I142&amp;"|"&amp;$J142&amp;"|"&amp;1,Assessments!$A$2:$A$600,0)),0)</f>
        <v>1</v>
      </c>
      <c r="CX142" s="28" t="n">
        <f aca="false">IFERROR(INDEX(Assessments!$J$2:$J$600,MATCH($H142&amp;"|"&amp;$I142&amp;"|"&amp;$J142&amp;"|"&amp;2,Assessments!$A$2:$A$600,0)),0)</f>
        <v>1</v>
      </c>
      <c r="CY142" s="28" t="n">
        <f aca="false">IFERROR(INDEX(Assessments!$J$2:$J$600,MATCH($H142&amp;"|"&amp;$I142&amp;"|"&amp;$J142&amp;"|"&amp;3,Assessments!$A$2:$A$600,0)),0)</f>
        <v>1</v>
      </c>
      <c r="CZ142" s="28" t="n">
        <f aca="false">IFERROR(INDEX(Assessments!$J$2:$J$600,MATCH($H142&amp;"|"&amp;$I142&amp;"|"&amp;$J142&amp;"|"&amp;4,Assessments!$A$2:$A$600,0)),0)</f>
        <v>2</v>
      </c>
      <c r="DA142" s="28" t="n">
        <f aca="false">IFERROR(INDEX(Assessments!$J$2:$J$600,MATCH($H142&amp;"|"&amp;$I142&amp;"|"&amp;$J142&amp;"|"&amp;5,Assessments!$A$2:$A$600,0)),0)</f>
        <v>1</v>
      </c>
      <c r="DB142" s="28" t="n">
        <f aca="false">IFERROR(INDEX(Assessments!$J$2:$J$600,MATCH($H142&amp;"|"&amp;$I142&amp;"|"&amp;$J142&amp;"|"&amp;6,Assessments!$A$2:$A$600,0)),0)</f>
        <v>1</v>
      </c>
      <c r="DC142" s="28" t="n">
        <f aca="false">IFERROR(INDEX(Assessments!$J$2:$J$600,MATCH($H142&amp;"|"&amp;$I142&amp;"|"&amp;$J142&amp;"|"&amp;7,Assessments!$A$2:$A$600,0)),0)</f>
        <v>2</v>
      </c>
      <c r="DD142" s="28" t="n">
        <f aca="false">IFERROR(INDEX(Assessments!$J$2:$J$600,MATCH($H142&amp;"|"&amp;$I142&amp;"|"&amp;$J142&amp;"|"&amp;8,Assessments!$A$2:$A$600,0)),0)</f>
        <v>0</v>
      </c>
      <c r="DE142" s="28" t="n">
        <f aca="false">IFERROR(INDEX(Assessments!$J$2:$J$600,MATCH($H142&amp;"|"&amp;$I142&amp;"|"&amp;$J142&amp;"|"&amp;9,Assessments!$A$2:$A$600,0)),0)</f>
        <v>0</v>
      </c>
      <c r="DF142" s="28" t="n">
        <f aca="false">IFERROR(INDEX(Assessments!$J$2:$J$600,MATCH($H142&amp;"|"&amp;$I142&amp;"|"&amp;$J142&amp;"|"&amp;10,Assessments!$A$2:$A$600,0)),0)</f>
        <v>0</v>
      </c>
      <c r="DG142" s="28" t="n">
        <f aca="false">IFERROR(INDEX(Assessments!$J$2:$J$600,MATCH($H142&amp;"|"&amp;$I142&amp;"|"&amp;$J142&amp;"|"&amp;11,Assessments!$A$2:$A$600,0)),0)</f>
        <v>0</v>
      </c>
      <c r="DH142" s="28" t="n">
        <f aca="false">IFERROR(INDEX(Assessments!$J$2:$J$600,MATCH($H142&amp;"|"&amp;$I142&amp;"|"&amp;$J142&amp;"|"&amp;12,Assessments!$A$2:$A$600,0)),0)</f>
        <v>0</v>
      </c>
      <c r="DI142" s="28" t="n">
        <f aca="false">IFERROR(INDEX(Assessments!$J$2:$J$600,MATCH($H142&amp;"|"&amp;$I142&amp;"|"&amp;$J142&amp;"|"&amp;13,Assessments!$A$2:$A$600,0)),0)</f>
        <v>0</v>
      </c>
      <c r="DJ142" s="28" t="n">
        <f aca="false">IFERROR(INDEX(Assessments!$J$2:$J$600,MATCH($H142&amp;"|"&amp;$I142&amp;"|"&amp;$J142&amp;"|"&amp;14,Assessments!$A$2:$A$600,0)),0)</f>
        <v>0</v>
      </c>
      <c r="DK142" s="28" t="n">
        <f aca="false">S142</f>
        <v>5</v>
      </c>
      <c r="DL142" s="28" t="n">
        <f aca="false">W142</f>
        <v>6</v>
      </c>
      <c r="DM142" s="28" t="n">
        <f aca="false">AA142</f>
        <v>5</v>
      </c>
      <c r="DN142" s="28" t="str">
        <f aca="false">AE142</f>
        <v/>
      </c>
      <c r="DO142" s="28" t="str">
        <f aca="false">AI142</f>
        <v/>
      </c>
      <c r="DP142" s="28" t="str">
        <f aca="false">AM142</f>
        <v/>
      </c>
      <c r="DQ142" s="28" t="n">
        <f aca="false">AQ142</f>
        <v>7</v>
      </c>
      <c r="DR142" s="28" t="str">
        <f aca="false">AU142</f>
        <v/>
      </c>
      <c r="DS142" s="28" t="str">
        <f aca="false">AY142</f>
        <v/>
      </c>
      <c r="DT142" s="28" t="str">
        <f aca="false">BC142</f>
        <v/>
      </c>
      <c r="DU142" s="28" t="str">
        <f aca="false">BG142</f>
        <v/>
      </c>
      <c r="DV142" s="28" t="str">
        <f aca="false">BK142</f>
        <v/>
      </c>
      <c r="DW142" s="28" t="str">
        <f aca="false">BO142</f>
        <v/>
      </c>
      <c r="DX142" s="28" t="str">
        <f aca="false">BS142</f>
        <v/>
      </c>
      <c r="DY142" s="28" t="n">
        <f aca="false">IF(ISNUMBER(S142),1,"")</f>
        <v>1</v>
      </c>
      <c r="DZ142" s="28" t="n">
        <f aca="false">IF(ISNUMBER(W142),2,"")</f>
        <v>2</v>
      </c>
      <c r="EA142" s="28" t="n">
        <f aca="false">IF(ISNUMBER(AA142),3,"")</f>
        <v>3</v>
      </c>
      <c r="EB142" s="28" t="str">
        <f aca="false">IF(ISNUMBER(AE142),4,"")</f>
        <v/>
      </c>
      <c r="EC142" s="28" t="str">
        <f aca="false">IF(ISNUMBER(AI142),5,"")</f>
        <v/>
      </c>
      <c r="ED142" s="28" t="str">
        <f aca="false">IF(ISNUMBER(AM142),6,"")</f>
        <v/>
      </c>
      <c r="EE142" s="28" t="n">
        <f aca="false">IF(ISNUMBER(AQ142),7,"")</f>
        <v>7</v>
      </c>
      <c r="EF142" s="28" t="str">
        <f aca="false">IF(ISNUMBER(AU142),8,"")</f>
        <v/>
      </c>
      <c r="EG142" s="28" t="str">
        <f aca="false">IF(ISNUMBER(AY142),9,"")</f>
        <v/>
      </c>
      <c r="EH142" s="28" t="str">
        <f aca="false">IF(ISNUMBER(BC142),10,"")</f>
        <v/>
      </c>
      <c r="EI142" s="28" t="str">
        <f aca="false">IF(ISNUMBER(BG142),11,"")</f>
        <v/>
      </c>
      <c r="EJ142" s="28" t="str">
        <f aca="false">IF(ISNUMBER(BK142),12,"")</f>
        <v/>
      </c>
      <c r="EK142" s="28" t="str">
        <f aca="false">IF(ISNUMBER(BO142),13,"")</f>
        <v/>
      </c>
      <c r="EL142" s="28" t="str">
        <f aca="false">IF(ISNUMBER(BS142),14,"")</f>
        <v/>
      </c>
      <c r="EM142" s="28" t="n">
        <f aca="false">IF(ISNUMBER(R142),R142*CW142,0)</f>
        <v>50</v>
      </c>
      <c r="EN142" s="28" t="n">
        <f aca="false">IF(ISNUMBER(V142),V142*CX142,0)</f>
        <v>70</v>
      </c>
      <c r="EO142" s="28" t="n">
        <f aca="false">IF(ISNUMBER(Z142),Z142*CY142,0)</f>
        <v>50</v>
      </c>
      <c r="EP142" s="28" t="n">
        <f aca="false">IF(ISNUMBER(AD142),AD142*CZ142,0)</f>
        <v>0</v>
      </c>
      <c r="EQ142" s="28" t="n">
        <f aca="false">IF(ISNUMBER(AH142),AH142*DA142,0)</f>
        <v>0</v>
      </c>
      <c r="ER142" s="28" t="n">
        <f aca="false">IF(ISNUMBER(AL142),AL142*DB142,0)</f>
        <v>0</v>
      </c>
      <c r="ES142" s="28" t="n">
        <f aca="false">IF(ISNUMBER(AP142),AP142*DC142,0)</f>
        <v>200</v>
      </c>
      <c r="ET142" s="28" t="n">
        <f aca="false">IF(ISNUMBER(AT142),AT142*DD142,0)</f>
        <v>0</v>
      </c>
      <c r="EU142" s="28" t="n">
        <f aca="false">IF(ISNUMBER(AX142),AX142*DE142,0)</f>
        <v>0</v>
      </c>
      <c r="EV142" s="28" t="n">
        <f aca="false">IF(ISNUMBER(BB142),BB142*DF142,0)</f>
        <v>0</v>
      </c>
      <c r="EW142" s="28" t="n">
        <f aca="false">IF(ISNUMBER(BF142),BF142*DG142,0)</f>
        <v>0</v>
      </c>
      <c r="EX142" s="28" t="n">
        <f aca="false">IF(ISNUMBER(BJ142),BJ142*DH142,0)</f>
        <v>0</v>
      </c>
      <c r="EY142" s="28" t="n">
        <f aca="false">IF(ISNUMBER(BN142),BN142*DI142,0)</f>
        <v>0</v>
      </c>
      <c r="EZ142" s="28" t="n">
        <f aca="false">IF(ISNUMBER(BR142),BR142*DJ142,0)</f>
        <v>0</v>
      </c>
      <c r="FA142" s="28" t="n">
        <f aca="false">IF(ISNUMBER(R142),CW142,0)</f>
        <v>1</v>
      </c>
      <c r="FB142" s="28" t="n">
        <f aca="false">IF(ISNUMBER(V142),CX142,0)</f>
        <v>1</v>
      </c>
      <c r="FC142" s="28" t="n">
        <f aca="false">IF(ISNUMBER(Z142),CY142,0)</f>
        <v>1</v>
      </c>
      <c r="FD142" s="28" t="n">
        <f aca="false">IF(ISNUMBER(AD142),CZ142,0)</f>
        <v>0</v>
      </c>
      <c r="FE142" s="28" t="n">
        <f aca="false">IF(ISNUMBER(AH142),DA142,0)</f>
        <v>0</v>
      </c>
      <c r="FF142" s="28" t="n">
        <f aca="false">IF(ISNUMBER(AL142),DB142,0)</f>
        <v>0</v>
      </c>
      <c r="FG142" s="28" t="n">
        <f aca="false">IF(ISNUMBER(AP142),DC142,0)</f>
        <v>2</v>
      </c>
      <c r="FH142" s="28" t="n">
        <f aca="false">IF(ISNUMBER(AT142),DD142,0)</f>
        <v>0</v>
      </c>
      <c r="FI142" s="28" t="n">
        <f aca="false">IF(ISNUMBER(AX142),DE142,0)</f>
        <v>0</v>
      </c>
      <c r="FJ142" s="28" t="n">
        <f aca="false">IF(ISNUMBER(BB142),DF142,0)</f>
        <v>0</v>
      </c>
      <c r="FK142" s="28" t="n">
        <f aca="false">IF(ISNUMBER(BF142),DG142,0)</f>
        <v>0</v>
      </c>
      <c r="FL142" s="28" t="n">
        <f aca="false">IF(ISNUMBER(BJ142),DH142,0)</f>
        <v>0</v>
      </c>
      <c r="FM142" s="28" t="n">
        <f aca="false">IF(ISNUMBER(BN142),DI142,0)</f>
        <v>0</v>
      </c>
      <c r="FN142" s="28" t="n">
        <f aca="false">IF(ISNUMBER(BR142),DJ142,0)</f>
        <v>0</v>
      </c>
      <c r="FO142" s="28" t="str">
        <f aca="false">IFERROR(INDEX(Lists!$G$2:$G$20,MATCH($I142&amp;"|"&amp;$J142,Lists!$F$2:$F$20,0)),"")</f>
        <v>BM Exam</v>
      </c>
    </row>
    <row r="143" customFormat="false" ht="19.5" hidden="false" customHeight="true" outlineLevel="0" collapsed="false">
      <c r="A143" s="29" t="s">
        <v>388</v>
      </c>
      <c r="B143" s="29" t="s">
        <v>348</v>
      </c>
      <c r="C143" s="30" t="s">
        <v>152</v>
      </c>
      <c r="D143" s="30" t="s">
        <v>383</v>
      </c>
      <c r="E143" s="31" t="n">
        <v>6</v>
      </c>
      <c r="F143" s="30" t="n">
        <v>6</v>
      </c>
      <c r="G143" s="30"/>
      <c r="H143" s="32" t="s">
        <v>23</v>
      </c>
      <c r="I143" s="33" t="s">
        <v>365</v>
      </c>
      <c r="J143" s="32" t="s">
        <v>25</v>
      </c>
      <c r="K143" s="34" t="n">
        <f aca="false">IF(OR(M143="",$E143=""),"",M143-$E143)</f>
        <v>1</v>
      </c>
      <c r="L143" s="35" t="n">
        <f aca="false">IF(SUM(FA143:FN143)=0,"",SUM(EM143:EZ143)/SUM(FA143:FN143))</f>
        <v>74.5714285714286</v>
      </c>
      <c r="M143" s="36" t="n">
        <f aca="false">IF(OR(L143="",FO143=""),"",IFERROR(MATCH(L143,INDEX(Boundaries!$B$2:$I$30,MATCH(FO143,Boundaries!$A$2:$A$30,0),0),1)-1,""))</f>
        <v>7</v>
      </c>
      <c r="N143" s="37" t="n">
        <f aca="false">IF(COUNT($DY143:$EL143)&lt;2,"",INDEX($DK143:$DX143,MAX($DY143:$EL143))-INDEX($DK143:$DX143,MIN($DY143:$EL143)))</f>
        <v>-2</v>
      </c>
      <c r="O143" s="37" t="n">
        <f aca="false">IF(COUNT($DY143:$EL143)&lt;2,"",INDEX($DK143:$DX143,MAX($DY143:$EL143))-INDEX($DK143:$DX143,LARGE($DY143:$EL143,2)))</f>
        <v>-2</v>
      </c>
      <c r="P143" s="38" t="str">
        <f aca="false">IF(K143="","",IF(K143&gt;=0,"On/above target",IF(AND(N143&lt;&gt;"",N143&gt;=0.5),"Improving towards target",IF(AND(O143&lt;&gt;"",O143&lt;=-0.5),"Declining","Stable below target"))))</f>
        <v>On/above target</v>
      </c>
      <c r="Q143" s="39" t="n">
        <v>18</v>
      </c>
      <c r="R143" s="40" t="n">
        <f aca="false">IF(OR(Q143="",BU143=""),"",Q143/BU143*100)</f>
        <v>75</v>
      </c>
      <c r="S143" s="41" t="n">
        <f aca="false">IF(R143="","",IFERROR(MATCH(R143,INDEX(Boundaries!$B$2:$I$30,MATCH(CI143,Boundaries!$A$2:$A$30,0),0),1)-1,""))</f>
        <v>7</v>
      </c>
      <c r="T143" s="42" t="n">
        <f aca="false">IF(OR(S143="",$E143=""),"",S143-$E143)</f>
        <v>1</v>
      </c>
      <c r="U143" s="39" t="n">
        <v>15</v>
      </c>
      <c r="V143" s="40" t="n">
        <f aca="false">IF(OR(U143="",BV143=""),"",U143/BV143*100)</f>
        <v>75</v>
      </c>
      <c r="W143" s="41" t="n">
        <f aca="false">IF(V143="","",IFERROR(MATCH(V143,INDEX(Boundaries!$B$2:$I$30,MATCH(CJ143,Boundaries!$A$2:$A$30,0),0),1)-1,""))</f>
        <v>7</v>
      </c>
      <c r="X143" s="42" t="n">
        <f aca="false">IF(OR(W143="",$E143=""),"",W143-$E143)</f>
        <v>1</v>
      </c>
      <c r="Y143" s="39" t="n">
        <v>16</v>
      </c>
      <c r="Z143" s="40" t="n">
        <f aca="false">IF(OR(Y143="",BW143=""),"",Y143/BW143*100)</f>
        <v>80</v>
      </c>
      <c r="AA143" s="41" t="n">
        <f aca="false">IF(Z143="","",IFERROR(MATCH(Z143,INDEX(Boundaries!$B$2:$I$30,MATCH(CK143,Boundaries!$A$2:$A$30,0),0),1)-1,""))</f>
        <v>7</v>
      </c>
      <c r="AB143" s="42" t="n">
        <f aca="false">IF(OR(AA143="",$E143=""),"",AA143-$E143)</f>
        <v>1</v>
      </c>
      <c r="AC143" s="39"/>
      <c r="AD143" s="40" t="str">
        <f aca="false">IF(OR(AC143="",BX143=""),"",AC143/BX143*100)</f>
        <v/>
      </c>
      <c r="AE143" s="41" t="str">
        <f aca="false">IF(AD143="","",IFERROR(MATCH(AD143,INDEX(Boundaries!$B$2:$I$30,MATCH(CL143,Boundaries!$A$2:$A$30,0),0),1)-1,""))</f>
        <v/>
      </c>
      <c r="AF143" s="42" t="str">
        <f aca="false">IF(OR(AE143="",$E143=""),"",AE143-$E143)</f>
        <v/>
      </c>
      <c r="AG143" s="39"/>
      <c r="AH143" s="40" t="str">
        <f aca="false">IF(OR(AG143="",BY143=""),"",AG143/BY143*100)</f>
        <v/>
      </c>
      <c r="AI143" s="41" t="str">
        <f aca="false">IF(AH143="","",IFERROR(MATCH(AH143,INDEX(Boundaries!$B$2:$I$30,MATCH(CM143,Boundaries!$A$2:$A$30,0),0),1)-1,""))</f>
        <v/>
      </c>
      <c r="AJ143" s="42" t="str">
        <f aca="false">IF(OR(AI143="",$E143=""),"",AI143-$E143)</f>
        <v/>
      </c>
      <c r="AK143" s="39"/>
      <c r="AL143" s="40" t="str">
        <f aca="false">IF(OR(AK143="",BZ143=""),"",AK143/BZ143*100)</f>
        <v/>
      </c>
      <c r="AM143" s="41" t="str">
        <f aca="false">IF(AL143="","",IFERROR(MATCH(AL143,INDEX(Boundaries!$B$2:$I$30,MATCH(CN143,Boundaries!$A$2:$A$30,0),0),1)-1,""))</f>
        <v/>
      </c>
      <c r="AN143" s="42" t="str">
        <f aca="false">IF(OR(AM143="",$E143=""),"",AM143-$E143)</f>
        <v/>
      </c>
      <c r="AO143" s="39" t="n">
        <v>5</v>
      </c>
      <c r="AP143" s="40" t="n">
        <f aca="false">IF(OR(AO143="",CA143=""),"",AO143/CA143*100)</f>
        <v>71.4285714285714</v>
      </c>
      <c r="AQ143" s="41" t="n">
        <f aca="false">IF(AP143="","",IFERROR(MATCH(AP143,INDEX(Boundaries!$B$2:$I$30,MATCH(CO143,Boundaries!$A$2:$A$30,0),0),1)-1,""))</f>
        <v>5</v>
      </c>
      <c r="AR143" s="42" t="n">
        <f aca="false">IF(OR(AQ143="",$E143=""),"",AQ143-$E143)</f>
        <v>-1</v>
      </c>
      <c r="AS143" s="39"/>
      <c r="AT143" s="40" t="str">
        <f aca="false">IF(OR(AS143="",CB143=""),"",AS143/CB143*100)</f>
        <v/>
      </c>
      <c r="AU143" s="41" t="str">
        <f aca="false">IF(AT143="","",IFERROR(MATCH(AT143,INDEX(Boundaries!$B$2:$I$30,MATCH(CP143,Boundaries!$A$2:$A$30,0),0),1)-1,""))</f>
        <v/>
      </c>
      <c r="AV143" s="42" t="str">
        <f aca="false">IF(OR(AU143="",$E143=""),"",AU143-$E143)</f>
        <v/>
      </c>
      <c r="AW143" s="39"/>
      <c r="AX143" s="40" t="str">
        <f aca="false">IF(OR(AW143="",CC143=""),"",AW143/CC143*100)</f>
        <v/>
      </c>
      <c r="AY143" s="41" t="str">
        <f aca="false">IF(AX143="","",IFERROR(MATCH(AX143,INDEX(Boundaries!$B$2:$I$30,MATCH(CQ143,Boundaries!$A$2:$A$30,0),0),1)-1,""))</f>
        <v/>
      </c>
      <c r="AZ143" s="42" t="str">
        <f aca="false">IF(OR(AY143="",$E143=""),"",AY143-$E143)</f>
        <v/>
      </c>
      <c r="BA143" s="39"/>
      <c r="BB143" s="40" t="str">
        <f aca="false">IF(OR(BA143="",CD143=""),"",BA143/CD143*100)</f>
        <v/>
      </c>
      <c r="BC143" s="41" t="str">
        <f aca="false">IF(BB143="","",IFERROR(MATCH(BB143,INDEX(Boundaries!$B$2:$I$30,MATCH(CR143,Boundaries!$A$2:$A$30,0),0),1)-1,""))</f>
        <v/>
      </c>
      <c r="BD143" s="42" t="str">
        <f aca="false">IF(OR(BC143="",$E143=""),"",BC143-$E143)</f>
        <v/>
      </c>
      <c r="BE143" s="39"/>
      <c r="BF143" s="40" t="str">
        <f aca="false">IF(OR(BE143="",CE143=""),"",BE143/CE143*100)</f>
        <v/>
      </c>
      <c r="BG143" s="41" t="str">
        <f aca="false">IF(BF143="","",IFERROR(MATCH(BF143,INDEX(Boundaries!$B$2:$I$30,MATCH(CS143,Boundaries!$A$2:$A$30,0),0),1)-1,""))</f>
        <v/>
      </c>
      <c r="BH143" s="42" t="str">
        <f aca="false">IF(OR(BG143="",$E143=""),"",BG143-$E143)</f>
        <v/>
      </c>
      <c r="BI143" s="39"/>
      <c r="BJ143" s="40" t="str">
        <f aca="false">IF(OR(BI143="",CF143=""),"",BI143/CF143*100)</f>
        <v/>
      </c>
      <c r="BK143" s="41" t="str">
        <f aca="false">IF(BJ143="","",IFERROR(MATCH(BJ143,INDEX(Boundaries!$B$2:$I$30,MATCH(CT143,Boundaries!$A$2:$A$30,0),0),1)-1,""))</f>
        <v/>
      </c>
      <c r="BL143" s="42" t="str">
        <f aca="false">IF(OR(BK143="",$E143=""),"",BK143-$E143)</f>
        <v/>
      </c>
      <c r="BM143" s="39"/>
      <c r="BN143" s="40" t="str">
        <f aca="false">IF(OR(BM143="",CG143=""),"",BM143/CG143*100)</f>
        <v/>
      </c>
      <c r="BO143" s="41" t="str">
        <f aca="false">IF(BN143="","",IFERROR(MATCH(BN143,INDEX(Boundaries!$B$2:$I$30,MATCH(CU143,Boundaries!$A$2:$A$30,0),0),1)-1,""))</f>
        <v/>
      </c>
      <c r="BP143" s="42" t="str">
        <f aca="false">IF(OR(BO143="",$E143=""),"",BO143-$E143)</f>
        <v/>
      </c>
      <c r="BQ143" s="39"/>
      <c r="BR143" s="40" t="str">
        <f aca="false">IF(OR(BQ143="",CH143=""),"",BQ143/CH143*100)</f>
        <v/>
      </c>
      <c r="BS143" s="41" t="str">
        <f aca="false">IF(BR143="","",IFERROR(MATCH(BR143,INDEX(Boundaries!$B$2:$I$30,MATCH(CV143,Boundaries!$A$2:$A$30,0),0),1)-1,""))</f>
        <v/>
      </c>
      <c r="BT143" s="42" t="str">
        <f aca="false">IF(OR(BS143="",$E143=""),"",BS143-$E143)</f>
        <v/>
      </c>
      <c r="BU143" s="28" t="n">
        <f aca="false">IFERROR(INDEX(Assessments!$H$2:$H$600,MATCH($H143&amp;"|"&amp;$I143&amp;"|"&amp;$J143&amp;"|"&amp;1,Assessments!$A$2:$A$600,0)),"")</f>
        <v>24</v>
      </c>
      <c r="BV143" s="28" t="n">
        <f aca="false">IFERROR(INDEX(Assessments!$H$2:$H$600,MATCH($H143&amp;"|"&amp;$I143&amp;"|"&amp;$J143&amp;"|"&amp;2,Assessments!$A$2:$A$600,0)),"")</f>
        <v>20</v>
      </c>
      <c r="BW143" s="28" t="n">
        <f aca="false">IFERROR(INDEX(Assessments!$H$2:$H$600,MATCH($H143&amp;"|"&amp;$I143&amp;"|"&amp;$J143&amp;"|"&amp;3,Assessments!$A$2:$A$600,0)),"")</f>
        <v>20</v>
      </c>
      <c r="BX143" s="28" t="n">
        <f aca="false">IFERROR(INDEX(Assessments!$H$2:$H$600,MATCH($H143&amp;"|"&amp;$I143&amp;"|"&amp;$J143&amp;"|"&amp;4,Assessments!$A$2:$A$600,0)),"")</f>
        <v>40</v>
      </c>
      <c r="BY143" s="28" t="n">
        <f aca="false">IFERROR(INDEX(Assessments!$H$2:$H$600,MATCH($H143&amp;"|"&amp;$I143&amp;"|"&amp;$J143&amp;"|"&amp;5,Assessments!$A$2:$A$600,0)),"")</f>
        <v>30</v>
      </c>
      <c r="BZ143" s="28" t="n">
        <f aca="false">IFERROR(INDEX(Assessments!$H$2:$H$600,MATCH($H143&amp;"|"&amp;$I143&amp;"|"&amp;$J143&amp;"|"&amp;6,Assessments!$A$2:$A$600,0)),"")</f>
        <v>20</v>
      </c>
      <c r="CA143" s="28" t="n">
        <f aca="false">IFERROR(INDEX(Assessments!$H$2:$H$600,MATCH($H143&amp;"|"&amp;$I143&amp;"|"&amp;$J143&amp;"|"&amp;7,Assessments!$A$2:$A$600,0)),"")</f>
        <v>7</v>
      </c>
      <c r="CB143" s="28" t="str">
        <f aca="false">IFERROR(INDEX(Assessments!$H$2:$H$600,MATCH($H143&amp;"|"&amp;$I143&amp;"|"&amp;$J143&amp;"|"&amp;8,Assessments!$A$2:$A$600,0)),"")</f>
        <v/>
      </c>
      <c r="CC143" s="28" t="str">
        <f aca="false">IFERROR(INDEX(Assessments!$H$2:$H$600,MATCH($H143&amp;"|"&amp;$I143&amp;"|"&amp;$J143&amp;"|"&amp;9,Assessments!$A$2:$A$600,0)),"")</f>
        <v/>
      </c>
      <c r="CD143" s="28" t="str">
        <f aca="false">IFERROR(INDEX(Assessments!$H$2:$H$600,MATCH($H143&amp;"|"&amp;$I143&amp;"|"&amp;$J143&amp;"|"&amp;10,Assessments!$A$2:$A$600,0)),"")</f>
        <v/>
      </c>
      <c r="CE143" s="28" t="str">
        <f aca="false">IFERROR(INDEX(Assessments!$H$2:$H$600,MATCH($H143&amp;"|"&amp;$I143&amp;"|"&amp;$J143&amp;"|"&amp;11,Assessments!$A$2:$A$600,0)),"")</f>
        <v/>
      </c>
      <c r="CF143" s="28" t="str">
        <f aca="false">IFERROR(INDEX(Assessments!$H$2:$H$600,MATCH($H143&amp;"|"&amp;$I143&amp;"|"&amp;$J143&amp;"|"&amp;12,Assessments!$A$2:$A$600,0)),"")</f>
        <v/>
      </c>
      <c r="CG143" s="28" t="str">
        <f aca="false">IFERROR(INDEX(Assessments!$H$2:$H$600,MATCH($H143&amp;"|"&amp;$I143&amp;"|"&amp;$J143&amp;"|"&amp;13,Assessments!$A$2:$A$600,0)),"")</f>
        <v/>
      </c>
      <c r="CH143" s="28" t="str">
        <f aca="false">IFERROR(INDEX(Assessments!$H$2:$H$600,MATCH($H143&amp;"|"&amp;$I143&amp;"|"&amp;$J143&amp;"|"&amp;14,Assessments!$A$2:$A$600,0)),"")</f>
        <v/>
      </c>
      <c r="CI143" s="28" t="str">
        <f aca="false">IFERROR(INDEX(Assessments!$I$2:$I$600,MATCH($H143&amp;"|"&amp;$I143&amp;"|"&amp;$J143&amp;"|"&amp;1,Assessments!$A$2:$A$600,0)),"")</f>
        <v>BM Test</v>
      </c>
      <c r="CJ143" s="28" t="str">
        <f aca="false">IFERROR(INDEX(Assessments!$I$2:$I$600,MATCH($H143&amp;"|"&amp;$I143&amp;"|"&amp;$J143&amp;"|"&amp;2,Assessments!$A$2:$A$600,0)),"")</f>
        <v>BM Test</v>
      </c>
      <c r="CK143" s="28" t="str">
        <f aca="false">IFERROR(INDEX(Assessments!$I$2:$I$600,MATCH($H143&amp;"|"&amp;$I143&amp;"|"&amp;$J143&amp;"|"&amp;3,Assessments!$A$2:$A$600,0)),"")</f>
        <v>BM Test</v>
      </c>
      <c r="CL143" s="28" t="str">
        <f aca="false">IFERROR(INDEX(Assessments!$I$2:$I$600,MATCH($H143&amp;"|"&amp;$I143&amp;"|"&amp;$J143&amp;"|"&amp;4,Assessments!$A$2:$A$600,0)),"")</f>
        <v>BM Exam</v>
      </c>
      <c r="CM143" s="28" t="str">
        <f aca="false">IFERROR(INDEX(Assessments!$I$2:$I$600,MATCH($H143&amp;"|"&amp;$I143&amp;"|"&amp;$J143&amp;"|"&amp;5,Assessments!$A$2:$A$600,0)),"")</f>
        <v>BM Test</v>
      </c>
      <c r="CN143" s="28" t="str">
        <f aca="false">IFERROR(INDEX(Assessments!$I$2:$I$600,MATCH($H143&amp;"|"&amp;$I143&amp;"|"&amp;$J143&amp;"|"&amp;6,Assessments!$A$2:$A$600,0)),"")</f>
        <v>BM Test</v>
      </c>
      <c r="CO143" s="28" t="str">
        <f aca="false">IFERROR(INDEX(Assessments!$I$2:$I$600,MATCH($H143&amp;"|"&amp;$I143&amp;"|"&amp;$J143&amp;"|"&amp;7,Assessments!$A$2:$A$600,0)),"")</f>
        <v>Grade entered</v>
      </c>
      <c r="CP143" s="28" t="str">
        <f aca="false">IFERROR(INDEX(Assessments!$I$2:$I$600,MATCH($H143&amp;"|"&amp;$I143&amp;"|"&amp;$J143&amp;"|"&amp;8,Assessments!$A$2:$A$600,0)),"")</f>
        <v/>
      </c>
      <c r="CQ143" s="28" t="str">
        <f aca="false">IFERROR(INDEX(Assessments!$I$2:$I$600,MATCH($H143&amp;"|"&amp;$I143&amp;"|"&amp;$J143&amp;"|"&amp;9,Assessments!$A$2:$A$600,0)),"")</f>
        <v/>
      </c>
      <c r="CR143" s="28" t="str">
        <f aca="false">IFERROR(INDEX(Assessments!$I$2:$I$600,MATCH($H143&amp;"|"&amp;$I143&amp;"|"&amp;$J143&amp;"|"&amp;10,Assessments!$A$2:$A$600,0)),"")</f>
        <v/>
      </c>
      <c r="CS143" s="28" t="str">
        <f aca="false">IFERROR(INDEX(Assessments!$I$2:$I$600,MATCH($H143&amp;"|"&amp;$I143&amp;"|"&amp;$J143&amp;"|"&amp;11,Assessments!$A$2:$A$600,0)),"")</f>
        <v/>
      </c>
      <c r="CT143" s="28" t="str">
        <f aca="false">IFERROR(INDEX(Assessments!$I$2:$I$600,MATCH($H143&amp;"|"&amp;$I143&amp;"|"&amp;$J143&amp;"|"&amp;12,Assessments!$A$2:$A$600,0)),"")</f>
        <v/>
      </c>
      <c r="CU143" s="28" t="str">
        <f aca="false">IFERROR(INDEX(Assessments!$I$2:$I$600,MATCH($H143&amp;"|"&amp;$I143&amp;"|"&amp;$J143&amp;"|"&amp;13,Assessments!$A$2:$A$600,0)),"")</f>
        <v/>
      </c>
      <c r="CV143" s="28" t="str">
        <f aca="false">IFERROR(INDEX(Assessments!$I$2:$I$600,MATCH($H143&amp;"|"&amp;$I143&amp;"|"&amp;$J143&amp;"|"&amp;14,Assessments!$A$2:$A$600,0)),"")</f>
        <v/>
      </c>
      <c r="CW143" s="28" t="n">
        <f aca="false">IFERROR(INDEX(Assessments!$J$2:$J$600,MATCH($H143&amp;"|"&amp;$I143&amp;"|"&amp;$J143&amp;"|"&amp;1,Assessments!$A$2:$A$600,0)),0)</f>
        <v>1</v>
      </c>
      <c r="CX143" s="28" t="n">
        <f aca="false">IFERROR(INDEX(Assessments!$J$2:$J$600,MATCH($H143&amp;"|"&amp;$I143&amp;"|"&amp;$J143&amp;"|"&amp;2,Assessments!$A$2:$A$600,0)),0)</f>
        <v>1</v>
      </c>
      <c r="CY143" s="28" t="n">
        <f aca="false">IFERROR(INDEX(Assessments!$J$2:$J$600,MATCH($H143&amp;"|"&amp;$I143&amp;"|"&amp;$J143&amp;"|"&amp;3,Assessments!$A$2:$A$600,0)),0)</f>
        <v>1</v>
      </c>
      <c r="CZ143" s="28" t="n">
        <f aca="false">IFERROR(INDEX(Assessments!$J$2:$J$600,MATCH($H143&amp;"|"&amp;$I143&amp;"|"&amp;$J143&amp;"|"&amp;4,Assessments!$A$2:$A$600,0)),0)</f>
        <v>2</v>
      </c>
      <c r="DA143" s="28" t="n">
        <f aca="false">IFERROR(INDEX(Assessments!$J$2:$J$600,MATCH($H143&amp;"|"&amp;$I143&amp;"|"&amp;$J143&amp;"|"&amp;5,Assessments!$A$2:$A$600,0)),0)</f>
        <v>1</v>
      </c>
      <c r="DB143" s="28" t="n">
        <f aca="false">IFERROR(INDEX(Assessments!$J$2:$J$600,MATCH($H143&amp;"|"&amp;$I143&amp;"|"&amp;$J143&amp;"|"&amp;6,Assessments!$A$2:$A$600,0)),0)</f>
        <v>1</v>
      </c>
      <c r="DC143" s="28" t="n">
        <f aca="false">IFERROR(INDEX(Assessments!$J$2:$J$600,MATCH($H143&amp;"|"&amp;$I143&amp;"|"&amp;$J143&amp;"|"&amp;7,Assessments!$A$2:$A$600,0)),0)</f>
        <v>2</v>
      </c>
      <c r="DD143" s="28" t="n">
        <f aca="false">IFERROR(INDEX(Assessments!$J$2:$J$600,MATCH($H143&amp;"|"&amp;$I143&amp;"|"&amp;$J143&amp;"|"&amp;8,Assessments!$A$2:$A$600,0)),0)</f>
        <v>0</v>
      </c>
      <c r="DE143" s="28" t="n">
        <f aca="false">IFERROR(INDEX(Assessments!$J$2:$J$600,MATCH($H143&amp;"|"&amp;$I143&amp;"|"&amp;$J143&amp;"|"&amp;9,Assessments!$A$2:$A$600,0)),0)</f>
        <v>0</v>
      </c>
      <c r="DF143" s="28" t="n">
        <f aca="false">IFERROR(INDEX(Assessments!$J$2:$J$600,MATCH($H143&amp;"|"&amp;$I143&amp;"|"&amp;$J143&amp;"|"&amp;10,Assessments!$A$2:$A$600,0)),0)</f>
        <v>0</v>
      </c>
      <c r="DG143" s="28" t="n">
        <f aca="false">IFERROR(INDEX(Assessments!$J$2:$J$600,MATCH($H143&amp;"|"&amp;$I143&amp;"|"&amp;$J143&amp;"|"&amp;11,Assessments!$A$2:$A$600,0)),0)</f>
        <v>0</v>
      </c>
      <c r="DH143" s="28" t="n">
        <f aca="false">IFERROR(INDEX(Assessments!$J$2:$J$600,MATCH($H143&amp;"|"&amp;$I143&amp;"|"&amp;$J143&amp;"|"&amp;12,Assessments!$A$2:$A$600,0)),0)</f>
        <v>0</v>
      </c>
      <c r="DI143" s="28" t="n">
        <f aca="false">IFERROR(INDEX(Assessments!$J$2:$J$600,MATCH($H143&amp;"|"&amp;$I143&amp;"|"&amp;$J143&amp;"|"&amp;13,Assessments!$A$2:$A$600,0)),0)</f>
        <v>0</v>
      </c>
      <c r="DJ143" s="28" t="n">
        <f aca="false">IFERROR(INDEX(Assessments!$J$2:$J$600,MATCH($H143&amp;"|"&amp;$I143&amp;"|"&amp;$J143&amp;"|"&amp;14,Assessments!$A$2:$A$600,0)),0)</f>
        <v>0</v>
      </c>
      <c r="DK143" s="28" t="n">
        <f aca="false">S143</f>
        <v>7</v>
      </c>
      <c r="DL143" s="28" t="n">
        <f aca="false">W143</f>
        <v>7</v>
      </c>
      <c r="DM143" s="28" t="n">
        <f aca="false">AA143</f>
        <v>7</v>
      </c>
      <c r="DN143" s="28" t="str">
        <f aca="false">AE143</f>
        <v/>
      </c>
      <c r="DO143" s="28" t="str">
        <f aca="false">AI143</f>
        <v/>
      </c>
      <c r="DP143" s="28" t="str">
        <f aca="false">AM143</f>
        <v/>
      </c>
      <c r="DQ143" s="28" t="n">
        <f aca="false">AQ143</f>
        <v>5</v>
      </c>
      <c r="DR143" s="28" t="str">
        <f aca="false">AU143</f>
        <v/>
      </c>
      <c r="DS143" s="28" t="str">
        <f aca="false">AY143</f>
        <v/>
      </c>
      <c r="DT143" s="28" t="str">
        <f aca="false">BC143</f>
        <v/>
      </c>
      <c r="DU143" s="28" t="str">
        <f aca="false">BG143</f>
        <v/>
      </c>
      <c r="DV143" s="28" t="str">
        <f aca="false">BK143</f>
        <v/>
      </c>
      <c r="DW143" s="28" t="str">
        <f aca="false">BO143</f>
        <v/>
      </c>
      <c r="DX143" s="28" t="str">
        <f aca="false">BS143</f>
        <v/>
      </c>
      <c r="DY143" s="28" t="n">
        <f aca="false">IF(ISNUMBER(S143),1,"")</f>
        <v>1</v>
      </c>
      <c r="DZ143" s="28" t="n">
        <f aca="false">IF(ISNUMBER(W143),2,"")</f>
        <v>2</v>
      </c>
      <c r="EA143" s="28" t="n">
        <f aca="false">IF(ISNUMBER(AA143),3,"")</f>
        <v>3</v>
      </c>
      <c r="EB143" s="28" t="str">
        <f aca="false">IF(ISNUMBER(AE143),4,"")</f>
        <v/>
      </c>
      <c r="EC143" s="28" t="str">
        <f aca="false">IF(ISNUMBER(AI143),5,"")</f>
        <v/>
      </c>
      <c r="ED143" s="28" t="str">
        <f aca="false">IF(ISNUMBER(AM143),6,"")</f>
        <v/>
      </c>
      <c r="EE143" s="28" t="n">
        <f aca="false">IF(ISNUMBER(AQ143),7,"")</f>
        <v>7</v>
      </c>
      <c r="EF143" s="28" t="str">
        <f aca="false">IF(ISNUMBER(AU143),8,"")</f>
        <v/>
      </c>
      <c r="EG143" s="28" t="str">
        <f aca="false">IF(ISNUMBER(AY143),9,"")</f>
        <v/>
      </c>
      <c r="EH143" s="28" t="str">
        <f aca="false">IF(ISNUMBER(BC143),10,"")</f>
        <v/>
      </c>
      <c r="EI143" s="28" t="str">
        <f aca="false">IF(ISNUMBER(BG143),11,"")</f>
        <v/>
      </c>
      <c r="EJ143" s="28" t="str">
        <f aca="false">IF(ISNUMBER(BK143),12,"")</f>
        <v/>
      </c>
      <c r="EK143" s="28" t="str">
        <f aca="false">IF(ISNUMBER(BO143),13,"")</f>
        <v/>
      </c>
      <c r="EL143" s="28" t="str">
        <f aca="false">IF(ISNUMBER(BS143),14,"")</f>
        <v/>
      </c>
      <c r="EM143" s="28" t="n">
        <f aca="false">IF(ISNUMBER(R143),R143*CW143,0)</f>
        <v>75</v>
      </c>
      <c r="EN143" s="28" t="n">
        <f aca="false">IF(ISNUMBER(V143),V143*CX143,0)</f>
        <v>75</v>
      </c>
      <c r="EO143" s="28" t="n">
        <f aca="false">IF(ISNUMBER(Z143),Z143*CY143,0)</f>
        <v>80</v>
      </c>
      <c r="EP143" s="28" t="n">
        <f aca="false">IF(ISNUMBER(AD143),AD143*CZ143,0)</f>
        <v>0</v>
      </c>
      <c r="EQ143" s="28" t="n">
        <f aca="false">IF(ISNUMBER(AH143),AH143*DA143,0)</f>
        <v>0</v>
      </c>
      <c r="ER143" s="28" t="n">
        <f aca="false">IF(ISNUMBER(AL143),AL143*DB143,0)</f>
        <v>0</v>
      </c>
      <c r="ES143" s="28" t="n">
        <f aca="false">IF(ISNUMBER(AP143),AP143*DC143,0)</f>
        <v>142.857142857143</v>
      </c>
      <c r="ET143" s="28" t="n">
        <f aca="false">IF(ISNUMBER(AT143),AT143*DD143,0)</f>
        <v>0</v>
      </c>
      <c r="EU143" s="28" t="n">
        <f aca="false">IF(ISNUMBER(AX143),AX143*DE143,0)</f>
        <v>0</v>
      </c>
      <c r="EV143" s="28" t="n">
        <f aca="false">IF(ISNUMBER(BB143),BB143*DF143,0)</f>
        <v>0</v>
      </c>
      <c r="EW143" s="28" t="n">
        <f aca="false">IF(ISNUMBER(BF143),BF143*DG143,0)</f>
        <v>0</v>
      </c>
      <c r="EX143" s="28" t="n">
        <f aca="false">IF(ISNUMBER(BJ143),BJ143*DH143,0)</f>
        <v>0</v>
      </c>
      <c r="EY143" s="28" t="n">
        <f aca="false">IF(ISNUMBER(BN143),BN143*DI143,0)</f>
        <v>0</v>
      </c>
      <c r="EZ143" s="28" t="n">
        <f aca="false">IF(ISNUMBER(BR143),BR143*DJ143,0)</f>
        <v>0</v>
      </c>
      <c r="FA143" s="28" t="n">
        <f aca="false">IF(ISNUMBER(R143),CW143,0)</f>
        <v>1</v>
      </c>
      <c r="FB143" s="28" t="n">
        <f aca="false">IF(ISNUMBER(V143),CX143,0)</f>
        <v>1</v>
      </c>
      <c r="FC143" s="28" t="n">
        <f aca="false">IF(ISNUMBER(Z143),CY143,0)</f>
        <v>1</v>
      </c>
      <c r="FD143" s="28" t="n">
        <f aca="false">IF(ISNUMBER(AD143),CZ143,0)</f>
        <v>0</v>
      </c>
      <c r="FE143" s="28" t="n">
        <f aca="false">IF(ISNUMBER(AH143),DA143,0)</f>
        <v>0</v>
      </c>
      <c r="FF143" s="28" t="n">
        <f aca="false">IF(ISNUMBER(AL143),DB143,0)</f>
        <v>0</v>
      </c>
      <c r="FG143" s="28" t="n">
        <f aca="false">IF(ISNUMBER(AP143),DC143,0)</f>
        <v>2</v>
      </c>
      <c r="FH143" s="28" t="n">
        <f aca="false">IF(ISNUMBER(AT143),DD143,0)</f>
        <v>0</v>
      </c>
      <c r="FI143" s="28" t="n">
        <f aca="false">IF(ISNUMBER(AX143),DE143,0)</f>
        <v>0</v>
      </c>
      <c r="FJ143" s="28" t="n">
        <f aca="false">IF(ISNUMBER(BB143),DF143,0)</f>
        <v>0</v>
      </c>
      <c r="FK143" s="28" t="n">
        <f aca="false">IF(ISNUMBER(BF143),DG143,0)</f>
        <v>0</v>
      </c>
      <c r="FL143" s="28" t="n">
        <f aca="false">IF(ISNUMBER(BJ143),DH143,0)</f>
        <v>0</v>
      </c>
      <c r="FM143" s="28" t="n">
        <f aca="false">IF(ISNUMBER(BN143),DI143,0)</f>
        <v>0</v>
      </c>
      <c r="FN143" s="28" t="n">
        <f aca="false">IF(ISNUMBER(BR143),DJ143,0)</f>
        <v>0</v>
      </c>
      <c r="FO143" s="28" t="str">
        <f aca="false">IFERROR(INDEX(Lists!$G$2:$G$20,MATCH($I143&amp;"|"&amp;$J143,Lists!$F$2:$F$20,0)),"")</f>
        <v>BM Exam</v>
      </c>
    </row>
    <row r="144" customFormat="false" ht="19.5" hidden="false" customHeight="true" outlineLevel="0" collapsed="false">
      <c r="A144" s="29" t="s">
        <v>389</v>
      </c>
      <c r="B144" s="29" t="s">
        <v>348</v>
      </c>
      <c r="C144" s="30" t="s">
        <v>152</v>
      </c>
      <c r="D144" s="30" t="s">
        <v>383</v>
      </c>
      <c r="E144" s="31" t="n">
        <v>5.5</v>
      </c>
      <c r="F144" s="30" t="n">
        <v>6</v>
      </c>
      <c r="G144" s="30"/>
      <c r="H144" s="32" t="s">
        <v>23</v>
      </c>
      <c r="I144" s="33" t="s">
        <v>365</v>
      </c>
      <c r="J144" s="32" t="s">
        <v>25</v>
      </c>
      <c r="K144" s="34" t="n">
        <f aca="false">IF(OR(M144="",$E144=""),"",M144-$E144)</f>
        <v>1.5</v>
      </c>
      <c r="L144" s="35" t="n">
        <f aca="false">IF(SUM(FA144:FN144)=0,"",SUM(EM144:EZ144)/SUM(FA144:FN144))</f>
        <v>87.6666666666667</v>
      </c>
      <c r="M144" s="36" t="n">
        <f aca="false">IF(OR(L144="",FO144=""),"",IFERROR(MATCH(L144,INDEX(Boundaries!$B$2:$I$30,MATCH(FO144,Boundaries!$A$2:$A$30,0),0),1)-1,""))</f>
        <v>7</v>
      </c>
      <c r="N144" s="37" t="n">
        <f aca="false">IF(COUNT($DY144:$EL144)&lt;2,"",INDEX($DK144:$DX144,MAX($DY144:$EL144))-INDEX($DK144:$DX144,MIN($DY144:$EL144)))</f>
        <v>0</v>
      </c>
      <c r="O144" s="37" t="n">
        <f aca="false">IF(COUNT($DY144:$EL144)&lt;2,"",INDEX($DK144:$DX144,MAX($DY144:$EL144))-INDEX($DK144:$DX144,LARGE($DY144:$EL144,2)))</f>
        <v>0</v>
      </c>
      <c r="P144" s="38" t="str">
        <f aca="false">IF(K144="","",IF(K144&gt;=0,"On/above target",IF(AND(N144&lt;&gt;"",N144&gt;=0.5),"Improving towards target",IF(AND(O144&lt;&gt;"",O144&lt;=-0.5),"Declining","Stable below target"))))</f>
        <v>On/above target</v>
      </c>
      <c r="Q144" s="39" t="n">
        <v>20</v>
      </c>
      <c r="R144" s="40" t="n">
        <f aca="false">IF(OR(Q144="",BU144=""),"",Q144/BU144*100)</f>
        <v>83.3333333333333</v>
      </c>
      <c r="S144" s="41" t="n">
        <f aca="false">IF(R144="","",IFERROR(MATCH(R144,INDEX(Boundaries!$B$2:$I$30,MATCH(CI144,Boundaries!$A$2:$A$30,0),0),1)-1,""))</f>
        <v>7</v>
      </c>
      <c r="T144" s="42" t="n">
        <f aca="false">IF(OR(S144="",$E144=""),"",S144-$E144)</f>
        <v>1.5</v>
      </c>
      <c r="U144" s="39" t="n">
        <v>15</v>
      </c>
      <c r="V144" s="40" t="n">
        <f aca="false">IF(OR(U144="",BV144=""),"",U144/BV144*100)</f>
        <v>75</v>
      </c>
      <c r="W144" s="41" t="n">
        <f aca="false">IF(V144="","",IFERROR(MATCH(V144,INDEX(Boundaries!$B$2:$I$30,MATCH(CJ144,Boundaries!$A$2:$A$30,0),0),1)-1,""))</f>
        <v>7</v>
      </c>
      <c r="X144" s="42" t="n">
        <f aca="false">IF(OR(W144="",$E144=""),"",W144-$E144)</f>
        <v>1.5</v>
      </c>
      <c r="Y144" s="39" t="n">
        <v>16</v>
      </c>
      <c r="Z144" s="40" t="n">
        <f aca="false">IF(OR(Y144="",BW144=""),"",Y144/BW144*100)</f>
        <v>80</v>
      </c>
      <c r="AA144" s="41" t="n">
        <f aca="false">IF(Z144="","",IFERROR(MATCH(Z144,INDEX(Boundaries!$B$2:$I$30,MATCH(CK144,Boundaries!$A$2:$A$30,0),0),1)-1,""))</f>
        <v>7</v>
      </c>
      <c r="AB144" s="42" t="n">
        <f aca="false">IF(OR(AA144="",$E144=""),"",AA144-$E144)</f>
        <v>1.5</v>
      </c>
      <c r="AC144" s="39"/>
      <c r="AD144" s="40" t="str">
        <f aca="false">IF(OR(AC144="",BX144=""),"",AC144/BX144*100)</f>
        <v/>
      </c>
      <c r="AE144" s="41" t="str">
        <f aca="false">IF(AD144="","",IFERROR(MATCH(AD144,INDEX(Boundaries!$B$2:$I$30,MATCH(CL144,Boundaries!$A$2:$A$30,0),0),1)-1,""))</f>
        <v/>
      </c>
      <c r="AF144" s="42" t="str">
        <f aca="false">IF(OR(AE144="",$E144=""),"",AE144-$E144)</f>
        <v/>
      </c>
      <c r="AG144" s="39"/>
      <c r="AH144" s="40" t="str">
        <f aca="false">IF(OR(AG144="",BY144=""),"",AG144/BY144*100)</f>
        <v/>
      </c>
      <c r="AI144" s="41" t="str">
        <f aca="false">IF(AH144="","",IFERROR(MATCH(AH144,INDEX(Boundaries!$B$2:$I$30,MATCH(CM144,Boundaries!$A$2:$A$30,0),0),1)-1,""))</f>
        <v/>
      </c>
      <c r="AJ144" s="42" t="str">
        <f aca="false">IF(OR(AI144="",$E144=""),"",AI144-$E144)</f>
        <v/>
      </c>
      <c r="AK144" s="39"/>
      <c r="AL144" s="40" t="str">
        <f aca="false">IF(OR(AK144="",BZ144=""),"",AK144/BZ144*100)</f>
        <v/>
      </c>
      <c r="AM144" s="41" t="str">
        <f aca="false">IF(AL144="","",IFERROR(MATCH(AL144,INDEX(Boundaries!$B$2:$I$30,MATCH(CN144,Boundaries!$A$2:$A$30,0),0),1)-1,""))</f>
        <v/>
      </c>
      <c r="AN144" s="42" t="str">
        <f aca="false">IF(OR(AM144="",$E144=""),"",AM144-$E144)</f>
        <v/>
      </c>
      <c r="AO144" s="39" t="n">
        <v>7</v>
      </c>
      <c r="AP144" s="40" t="n">
        <f aca="false">IF(OR(AO144="",CA144=""),"",AO144/CA144*100)</f>
        <v>100</v>
      </c>
      <c r="AQ144" s="41" t="n">
        <f aca="false">IF(AP144="","",IFERROR(MATCH(AP144,INDEX(Boundaries!$B$2:$I$30,MATCH(CO144,Boundaries!$A$2:$A$30,0),0),1)-1,""))</f>
        <v>7</v>
      </c>
      <c r="AR144" s="42" t="n">
        <f aca="false">IF(OR(AQ144="",$E144=""),"",AQ144-$E144)</f>
        <v>1.5</v>
      </c>
      <c r="AS144" s="39"/>
      <c r="AT144" s="40" t="str">
        <f aca="false">IF(OR(AS144="",CB144=""),"",AS144/CB144*100)</f>
        <v/>
      </c>
      <c r="AU144" s="41" t="str">
        <f aca="false">IF(AT144="","",IFERROR(MATCH(AT144,INDEX(Boundaries!$B$2:$I$30,MATCH(CP144,Boundaries!$A$2:$A$30,0),0),1)-1,""))</f>
        <v/>
      </c>
      <c r="AV144" s="42" t="str">
        <f aca="false">IF(OR(AU144="",$E144=""),"",AU144-$E144)</f>
        <v/>
      </c>
      <c r="AW144" s="39"/>
      <c r="AX144" s="40" t="str">
        <f aca="false">IF(OR(AW144="",CC144=""),"",AW144/CC144*100)</f>
        <v/>
      </c>
      <c r="AY144" s="41" t="str">
        <f aca="false">IF(AX144="","",IFERROR(MATCH(AX144,INDEX(Boundaries!$B$2:$I$30,MATCH(CQ144,Boundaries!$A$2:$A$30,0),0),1)-1,""))</f>
        <v/>
      </c>
      <c r="AZ144" s="42" t="str">
        <f aca="false">IF(OR(AY144="",$E144=""),"",AY144-$E144)</f>
        <v/>
      </c>
      <c r="BA144" s="39"/>
      <c r="BB144" s="40" t="str">
        <f aca="false">IF(OR(BA144="",CD144=""),"",BA144/CD144*100)</f>
        <v/>
      </c>
      <c r="BC144" s="41" t="str">
        <f aca="false">IF(BB144="","",IFERROR(MATCH(BB144,INDEX(Boundaries!$B$2:$I$30,MATCH(CR144,Boundaries!$A$2:$A$30,0),0),1)-1,""))</f>
        <v/>
      </c>
      <c r="BD144" s="42" t="str">
        <f aca="false">IF(OR(BC144="",$E144=""),"",BC144-$E144)</f>
        <v/>
      </c>
      <c r="BE144" s="39"/>
      <c r="BF144" s="40" t="str">
        <f aca="false">IF(OR(BE144="",CE144=""),"",BE144/CE144*100)</f>
        <v/>
      </c>
      <c r="BG144" s="41" t="str">
        <f aca="false">IF(BF144="","",IFERROR(MATCH(BF144,INDEX(Boundaries!$B$2:$I$30,MATCH(CS144,Boundaries!$A$2:$A$30,0),0),1)-1,""))</f>
        <v/>
      </c>
      <c r="BH144" s="42" t="str">
        <f aca="false">IF(OR(BG144="",$E144=""),"",BG144-$E144)</f>
        <v/>
      </c>
      <c r="BI144" s="39"/>
      <c r="BJ144" s="40" t="str">
        <f aca="false">IF(OR(BI144="",CF144=""),"",BI144/CF144*100)</f>
        <v/>
      </c>
      <c r="BK144" s="41" t="str">
        <f aca="false">IF(BJ144="","",IFERROR(MATCH(BJ144,INDEX(Boundaries!$B$2:$I$30,MATCH(CT144,Boundaries!$A$2:$A$30,0),0),1)-1,""))</f>
        <v/>
      </c>
      <c r="BL144" s="42" t="str">
        <f aca="false">IF(OR(BK144="",$E144=""),"",BK144-$E144)</f>
        <v/>
      </c>
      <c r="BM144" s="39"/>
      <c r="BN144" s="40" t="str">
        <f aca="false">IF(OR(BM144="",CG144=""),"",BM144/CG144*100)</f>
        <v/>
      </c>
      <c r="BO144" s="41" t="str">
        <f aca="false">IF(BN144="","",IFERROR(MATCH(BN144,INDEX(Boundaries!$B$2:$I$30,MATCH(CU144,Boundaries!$A$2:$A$30,0),0),1)-1,""))</f>
        <v/>
      </c>
      <c r="BP144" s="42" t="str">
        <f aca="false">IF(OR(BO144="",$E144=""),"",BO144-$E144)</f>
        <v/>
      </c>
      <c r="BQ144" s="39"/>
      <c r="BR144" s="40" t="str">
        <f aca="false">IF(OR(BQ144="",CH144=""),"",BQ144/CH144*100)</f>
        <v/>
      </c>
      <c r="BS144" s="41" t="str">
        <f aca="false">IF(BR144="","",IFERROR(MATCH(BR144,INDEX(Boundaries!$B$2:$I$30,MATCH(CV144,Boundaries!$A$2:$A$30,0),0),1)-1,""))</f>
        <v/>
      </c>
      <c r="BT144" s="42" t="str">
        <f aca="false">IF(OR(BS144="",$E144=""),"",BS144-$E144)</f>
        <v/>
      </c>
      <c r="BU144" s="28" t="n">
        <f aca="false">IFERROR(INDEX(Assessments!$H$2:$H$600,MATCH($H144&amp;"|"&amp;$I144&amp;"|"&amp;$J144&amp;"|"&amp;1,Assessments!$A$2:$A$600,0)),"")</f>
        <v>24</v>
      </c>
      <c r="BV144" s="28" t="n">
        <f aca="false">IFERROR(INDEX(Assessments!$H$2:$H$600,MATCH($H144&amp;"|"&amp;$I144&amp;"|"&amp;$J144&amp;"|"&amp;2,Assessments!$A$2:$A$600,0)),"")</f>
        <v>20</v>
      </c>
      <c r="BW144" s="28" t="n">
        <f aca="false">IFERROR(INDEX(Assessments!$H$2:$H$600,MATCH($H144&amp;"|"&amp;$I144&amp;"|"&amp;$J144&amp;"|"&amp;3,Assessments!$A$2:$A$600,0)),"")</f>
        <v>20</v>
      </c>
      <c r="BX144" s="28" t="n">
        <f aca="false">IFERROR(INDEX(Assessments!$H$2:$H$600,MATCH($H144&amp;"|"&amp;$I144&amp;"|"&amp;$J144&amp;"|"&amp;4,Assessments!$A$2:$A$600,0)),"")</f>
        <v>40</v>
      </c>
      <c r="BY144" s="28" t="n">
        <f aca="false">IFERROR(INDEX(Assessments!$H$2:$H$600,MATCH($H144&amp;"|"&amp;$I144&amp;"|"&amp;$J144&amp;"|"&amp;5,Assessments!$A$2:$A$600,0)),"")</f>
        <v>30</v>
      </c>
      <c r="BZ144" s="28" t="n">
        <f aca="false">IFERROR(INDEX(Assessments!$H$2:$H$600,MATCH($H144&amp;"|"&amp;$I144&amp;"|"&amp;$J144&amp;"|"&amp;6,Assessments!$A$2:$A$600,0)),"")</f>
        <v>20</v>
      </c>
      <c r="CA144" s="28" t="n">
        <f aca="false">IFERROR(INDEX(Assessments!$H$2:$H$600,MATCH($H144&amp;"|"&amp;$I144&amp;"|"&amp;$J144&amp;"|"&amp;7,Assessments!$A$2:$A$600,0)),"")</f>
        <v>7</v>
      </c>
      <c r="CB144" s="28" t="str">
        <f aca="false">IFERROR(INDEX(Assessments!$H$2:$H$600,MATCH($H144&amp;"|"&amp;$I144&amp;"|"&amp;$J144&amp;"|"&amp;8,Assessments!$A$2:$A$600,0)),"")</f>
        <v/>
      </c>
      <c r="CC144" s="28" t="str">
        <f aca="false">IFERROR(INDEX(Assessments!$H$2:$H$600,MATCH($H144&amp;"|"&amp;$I144&amp;"|"&amp;$J144&amp;"|"&amp;9,Assessments!$A$2:$A$600,0)),"")</f>
        <v/>
      </c>
      <c r="CD144" s="28" t="str">
        <f aca="false">IFERROR(INDEX(Assessments!$H$2:$H$600,MATCH($H144&amp;"|"&amp;$I144&amp;"|"&amp;$J144&amp;"|"&amp;10,Assessments!$A$2:$A$600,0)),"")</f>
        <v/>
      </c>
      <c r="CE144" s="28" t="str">
        <f aca="false">IFERROR(INDEX(Assessments!$H$2:$H$600,MATCH($H144&amp;"|"&amp;$I144&amp;"|"&amp;$J144&amp;"|"&amp;11,Assessments!$A$2:$A$600,0)),"")</f>
        <v/>
      </c>
      <c r="CF144" s="28" t="str">
        <f aca="false">IFERROR(INDEX(Assessments!$H$2:$H$600,MATCH($H144&amp;"|"&amp;$I144&amp;"|"&amp;$J144&amp;"|"&amp;12,Assessments!$A$2:$A$600,0)),"")</f>
        <v/>
      </c>
      <c r="CG144" s="28" t="str">
        <f aca="false">IFERROR(INDEX(Assessments!$H$2:$H$600,MATCH($H144&amp;"|"&amp;$I144&amp;"|"&amp;$J144&amp;"|"&amp;13,Assessments!$A$2:$A$600,0)),"")</f>
        <v/>
      </c>
      <c r="CH144" s="28" t="str">
        <f aca="false">IFERROR(INDEX(Assessments!$H$2:$H$600,MATCH($H144&amp;"|"&amp;$I144&amp;"|"&amp;$J144&amp;"|"&amp;14,Assessments!$A$2:$A$600,0)),"")</f>
        <v/>
      </c>
      <c r="CI144" s="28" t="str">
        <f aca="false">IFERROR(INDEX(Assessments!$I$2:$I$600,MATCH($H144&amp;"|"&amp;$I144&amp;"|"&amp;$J144&amp;"|"&amp;1,Assessments!$A$2:$A$600,0)),"")</f>
        <v>BM Test</v>
      </c>
      <c r="CJ144" s="28" t="str">
        <f aca="false">IFERROR(INDEX(Assessments!$I$2:$I$600,MATCH($H144&amp;"|"&amp;$I144&amp;"|"&amp;$J144&amp;"|"&amp;2,Assessments!$A$2:$A$600,0)),"")</f>
        <v>BM Test</v>
      </c>
      <c r="CK144" s="28" t="str">
        <f aca="false">IFERROR(INDEX(Assessments!$I$2:$I$600,MATCH($H144&amp;"|"&amp;$I144&amp;"|"&amp;$J144&amp;"|"&amp;3,Assessments!$A$2:$A$600,0)),"")</f>
        <v>BM Test</v>
      </c>
      <c r="CL144" s="28" t="str">
        <f aca="false">IFERROR(INDEX(Assessments!$I$2:$I$600,MATCH($H144&amp;"|"&amp;$I144&amp;"|"&amp;$J144&amp;"|"&amp;4,Assessments!$A$2:$A$600,0)),"")</f>
        <v>BM Exam</v>
      </c>
      <c r="CM144" s="28" t="str">
        <f aca="false">IFERROR(INDEX(Assessments!$I$2:$I$600,MATCH($H144&amp;"|"&amp;$I144&amp;"|"&amp;$J144&amp;"|"&amp;5,Assessments!$A$2:$A$600,0)),"")</f>
        <v>BM Test</v>
      </c>
      <c r="CN144" s="28" t="str">
        <f aca="false">IFERROR(INDEX(Assessments!$I$2:$I$600,MATCH($H144&amp;"|"&amp;$I144&amp;"|"&amp;$J144&amp;"|"&amp;6,Assessments!$A$2:$A$600,0)),"")</f>
        <v>BM Test</v>
      </c>
      <c r="CO144" s="28" t="str">
        <f aca="false">IFERROR(INDEX(Assessments!$I$2:$I$600,MATCH($H144&amp;"|"&amp;$I144&amp;"|"&amp;$J144&amp;"|"&amp;7,Assessments!$A$2:$A$600,0)),"")</f>
        <v>Grade entered</v>
      </c>
      <c r="CP144" s="28" t="str">
        <f aca="false">IFERROR(INDEX(Assessments!$I$2:$I$600,MATCH($H144&amp;"|"&amp;$I144&amp;"|"&amp;$J144&amp;"|"&amp;8,Assessments!$A$2:$A$600,0)),"")</f>
        <v/>
      </c>
      <c r="CQ144" s="28" t="str">
        <f aca="false">IFERROR(INDEX(Assessments!$I$2:$I$600,MATCH($H144&amp;"|"&amp;$I144&amp;"|"&amp;$J144&amp;"|"&amp;9,Assessments!$A$2:$A$600,0)),"")</f>
        <v/>
      </c>
      <c r="CR144" s="28" t="str">
        <f aca="false">IFERROR(INDEX(Assessments!$I$2:$I$600,MATCH($H144&amp;"|"&amp;$I144&amp;"|"&amp;$J144&amp;"|"&amp;10,Assessments!$A$2:$A$600,0)),"")</f>
        <v/>
      </c>
      <c r="CS144" s="28" t="str">
        <f aca="false">IFERROR(INDEX(Assessments!$I$2:$I$600,MATCH($H144&amp;"|"&amp;$I144&amp;"|"&amp;$J144&amp;"|"&amp;11,Assessments!$A$2:$A$600,0)),"")</f>
        <v/>
      </c>
      <c r="CT144" s="28" t="str">
        <f aca="false">IFERROR(INDEX(Assessments!$I$2:$I$600,MATCH($H144&amp;"|"&amp;$I144&amp;"|"&amp;$J144&amp;"|"&amp;12,Assessments!$A$2:$A$600,0)),"")</f>
        <v/>
      </c>
      <c r="CU144" s="28" t="str">
        <f aca="false">IFERROR(INDEX(Assessments!$I$2:$I$600,MATCH($H144&amp;"|"&amp;$I144&amp;"|"&amp;$J144&amp;"|"&amp;13,Assessments!$A$2:$A$600,0)),"")</f>
        <v/>
      </c>
      <c r="CV144" s="28" t="str">
        <f aca="false">IFERROR(INDEX(Assessments!$I$2:$I$600,MATCH($H144&amp;"|"&amp;$I144&amp;"|"&amp;$J144&amp;"|"&amp;14,Assessments!$A$2:$A$600,0)),"")</f>
        <v/>
      </c>
      <c r="CW144" s="28" t="n">
        <f aca="false">IFERROR(INDEX(Assessments!$J$2:$J$600,MATCH($H144&amp;"|"&amp;$I144&amp;"|"&amp;$J144&amp;"|"&amp;1,Assessments!$A$2:$A$600,0)),0)</f>
        <v>1</v>
      </c>
      <c r="CX144" s="28" t="n">
        <f aca="false">IFERROR(INDEX(Assessments!$J$2:$J$600,MATCH($H144&amp;"|"&amp;$I144&amp;"|"&amp;$J144&amp;"|"&amp;2,Assessments!$A$2:$A$600,0)),0)</f>
        <v>1</v>
      </c>
      <c r="CY144" s="28" t="n">
        <f aca="false">IFERROR(INDEX(Assessments!$J$2:$J$600,MATCH($H144&amp;"|"&amp;$I144&amp;"|"&amp;$J144&amp;"|"&amp;3,Assessments!$A$2:$A$600,0)),0)</f>
        <v>1</v>
      </c>
      <c r="CZ144" s="28" t="n">
        <f aca="false">IFERROR(INDEX(Assessments!$J$2:$J$600,MATCH($H144&amp;"|"&amp;$I144&amp;"|"&amp;$J144&amp;"|"&amp;4,Assessments!$A$2:$A$600,0)),0)</f>
        <v>2</v>
      </c>
      <c r="DA144" s="28" t="n">
        <f aca="false">IFERROR(INDEX(Assessments!$J$2:$J$600,MATCH($H144&amp;"|"&amp;$I144&amp;"|"&amp;$J144&amp;"|"&amp;5,Assessments!$A$2:$A$600,0)),0)</f>
        <v>1</v>
      </c>
      <c r="DB144" s="28" t="n">
        <f aca="false">IFERROR(INDEX(Assessments!$J$2:$J$600,MATCH($H144&amp;"|"&amp;$I144&amp;"|"&amp;$J144&amp;"|"&amp;6,Assessments!$A$2:$A$600,0)),0)</f>
        <v>1</v>
      </c>
      <c r="DC144" s="28" t="n">
        <f aca="false">IFERROR(INDEX(Assessments!$J$2:$J$600,MATCH($H144&amp;"|"&amp;$I144&amp;"|"&amp;$J144&amp;"|"&amp;7,Assessments!$A$2:$A$600,0)),0)</f>
        <v>2</v>
      </c>
      <c r="DD144" s="28" t="n">
        <f aca="false">IFERROR(INDEX(Assessments!$J$2:$J$600,MATCH($H144&amp;"|"&amp;$I144&amp;"|"&amp;$J144&amp;"|"&amp;8,Assessments!$A$2:$A$600,0)),0)</f>
        <v>0</v>
      </c>
      <c r="DE144" s="28" t="n">
        <f aca="false">IFERROR(INDEX(Assessments!$J$2:$J$600,MATCH($H144&amp;"|"&amp;$I144&amp;"|"&amp;$J144&amp;"|"&amp;9,Assessments!$A$2:$A$600,0)),0)</f>
        <v>0</v>
      </c>
      <c r="DF144" s="28" t="n">
        <f aca="false">IFERROR(INDEX(Assessments!$J$2:$J$600,MATCH($H144&amp;"|"&amp;$I144&amp;"|"&amp;$J144&amp;"|"&amp;10,Assessments!$A$2:$A$600,0)),0)</f>
        <v>0</v>
      </c>
      <c r="DG144" s="28" t="n">
        <f aca="false">IFERROR(INDEX(Assessments!$J$2:$J$600,MATCH($H144&amp;"|"&amp;$I144&amp;"|"&amp;$J144&amp;"|"&amp;11,Assessments!$A$2:$A$600,0)),0)</f>
        <v>0</v>
      </c>
      <c r="DH144" s="28" t="n">
        <f aca="false">IFERROR(INDEX(Assessments!$J$2:$J$600,MATCH($H144&amp;"|"&amp;$I144&amp;"|"&amp;$J144&amp;"|"&amp;12,Assessments!$A$2:$A$600,0)),0)</f>
        <v>0</v>
      </c>
      <c r="DI144" s="28" t="n">
        <f aca="false">IFERROR(INDEX(Assessments!$J$2:$J$600,MATCH($H144&amp;"|"&amp;$I144&amp;"|"&amp;$J144&amp;"|"&amp;13,Assessments!$A$2:$A$600,0)),0)</f>
        <v>0</v>
      </c>
      <c r="DJ144" s="28" t="n">
        <f aca="false">IFERROR(INDEX(Assessments!$J$2:$J$600,MATCH($H144&amp;"|"&amp;$I144&amp;"|"&amp;$J144&amp;"|"&amp;14,Assessments!$A$2:$A$600,0)),0)</f>
        <v>0</v>
      </c>
      <c r="DK144" s="28" t="n">
        <f aca="false">S144</f>
        <v>7</v>
      </c>
      <c r="DL144" s="28" t="n">
        <f aca="false">W144</f>
        <v>7</v>
      </c>
      <c r="DM144" s="28" t="n">
        <f aca="false">AA144</f>
        <v>7</v>
      </c>
      <c r="DN144" s="28" t="str">
        <f aca="false">AE144</f>
        <v/>
      </c>
      <c r="DO144" s="28" t="str">
        <f aca="false">AI144</f>
        <v/>
      </c>
      <c r="DP144" s="28" t="str">
        <f aca="false">AM144</f>
        <v/>
      </c>
      <c r="DQ144" s="28" t="n">
        <f aca="false">AQ144</f>
        <v>7</v>
      </c>
      <c r="DR144" s="28" t="str">
        <f aca="false">AU144</f>
        <v/>
      </c>
      <c r="DS144" s="28" t="str">
        <f aca="false">AY144</f>
        <v/>
      </c>
      <c r="DT144" s="28" t="str">
        <f aca="false">BC144</f>
        <v/>
      </c>
      <c r="DU144" s="28" t="str">
        <f aca="false">BG144</f>
        <v/>
      </c>
      <c r="DV144" s="28" t="str">
        <f aca="false">BK144</f>
        <v/>
      </c>
      <c r="DW144" s="28" t="str">
        <f aca="false">BO144</f>
        <v/>
      </c>
      <c r="DX144" s="28" t="str">
        <f aca="false">BS144</f>
        <v/>
      </c>
      <c r="DY144" s="28" t="n">
        <f aca="false">IF(ISNUMBER(S144),1,"")</f>
        <v>1</v>
      </c>
      <c r="DZ144" s="28" t="n">
        <f aca="false">IF(ISNUMBER(W144),2,"")</f>
        <v>2</v>
      </c>
      <c r="EA144" s="28" t="n">
        <f aca="false">IF(ISNUMBER(AA144),3,"")</f>
        <v>3</v>
      </c>
      <c r="EB144" s="28" t="str">
        <f aca="false">IF(ISNUMBER(AE144),4,"")</f>
        <v/>
      </c>
      <c r="EC144" s="28" t="str">
        <f aca="false">IF(ISNUMBER(AI144),5,"")</f>
        <v/>
      </c>
      <c r="ED144" s="28" t="str">
        <f aca="false">IF(ISNUMBER(AM144),6,"")</f>
        <v/>
      </c>
      <c r="EE144" s="28" t="n">
        <f aca="false">IF(ISNUMBER(AQ144),7,"")</f>
        <v>7</v>
      </c>
      <c r="EF144" s="28" t="str">
        <f aca="false">IF(ISNUMBER(AU144),8,"")</f>
        <v/>
      </c>
      <c r="EG144" s="28" t="str">
        <f aca="false">IF(ISNUMBER(AY144),9,"")</f>
        <v/>
      </c>
      <c r="EH144" s="28" t="str">
        <f aca="false">IF(ISNUMBER(BC144),10,"")</f>
        <v/>
      </c>
      <c r="EI144" s="28" t="str">
        <f aca="false">IF(ISNUMBER(BG144),11,"")</f>
        <v/>
      </c>
      <c r="EJ144" s="28" t="str">
        <f aca="false">IF(ISNUMBER(BK144),12,"")</f>
        <v/>
      </c>
      <c r="EK144" s="28" t="str">
        <f aca="false">IF(ISNUMBER(BO144),13,"")</f>
        <v/>
      </c>
      <c r="EL144" s="28" t="str">
        <f aca="false">IF(ISNUMBER(BS144),14,"")</f>
        <v/>
      </c>
      <c r="EM144" s="28" t="n">
        <f aca="false">IF(ISNUMBER(R144),R144*CW144,0)</f>
        <v>83.3333333333333</v>
      </c>
      <c r="EN144" s="28" t="n">
        <f aca="false">IF(ISNUMBER(V144),V144*CX144,0)</f>
        <v>75</v>
      </c>
      <c r="EO144" s="28" t="n">
        <f aca="false">IF(ISNUMBER(Z144),Z144*CY144,0)</f>
        <v>80</v>
      </c>
      <c r="EP144" s="28" t="n">
        <f aca="false">IF(ISNUMBER(AD144),AD144*CZ144,0)</f>
        <v>0</v>
      </c>
      <c r="EQ144" s="28" t="n">
        <f aca="false">IF(ISNUMBER(AH144),AH144*DA144,0)</f>
        <v>0</v>
      </c>
      <c r="ER144" s="28" t="n">
        <f aca="false">IF(ISNUMBER(AL144),AL144*DB144,0)</f>
        <v>0</v>
      </c>
      <c r="ES144" s="28" t="n">
        <f aca="false">IF(ISNUMBER(AP144),AP144*DC144,0)</f>
        <v>200</v>
      </c>
      <c r="ET144" s="28" t="n">
        <f aca="false">IF(ISNUMBER(AT144),AT144*DD144,0)</f>
        <v>0</v>
      </c>
      <c r="EU144" s="28" t="n">
        <f aca="false">IF(ISNUMBER(AX144),AX144*DE144,0)</f>
        <v>0</v>
      </c>
      <c r="EV144" s="28" t="n">
        <f aca="false">IF(ISNUMBER(BB144),BB144*DF144,0)</f>
        <v>0</v>
      </c>
      <c r="EW144" s="28" t="n">
        <f aca="false">IF(ISNUMBER(BF144),BF144*DG144,0)</f>
        <v>0</v>
      </c>
      <c r="EX144" s="28" t="n">
        <f aca="false">IF(ISNUMBER(BJ144),BJ144*DH144,0)</f>
        <v>0</v>
      </c>
      <c r="EY144" s="28" t="n">
        <f aca="false">IF(ISNUMBER(BN144),BN144*DI144,0)</f>
        <v>0</v>
      </c>
      <c r="EZ144" s="28" t="n">
        <f aca="false">IF(ISNUMBER(BR144),BR144*DJ144,0)</f>
        <v>0</v>
      </c>
      <c r="FA144" s="28" t="n">
        <f aca="false">IF(ISNUMBER(R144),CW144,0)</f>
        <v>1</v>
      </c>
      <c r="FB144" s="28" t="n">
        <f aca="false">IF(ISNUMBER(V144),CX144,0)</f>
        <v>1</v>
      </c>
      <c r="FC144" s="28" t="n">
        <f aca="false">IF(ISNUMBER(Z144),CY144,0)</f>
        <v>1</v>
      </c>
      <c r="FD144" s="28" t="n">
        <f aca="false">IF(ISNUMBER(AD144),CZ144,0)</f>
        <v>0</v>
      </c>
      <c r="FE144" s="28" t="n">
        <f aca="false">IF(ISNUMBER(AH144),DA144,0)</f>
        <v>0</v>
      </c>
      <c r="FF144" s="28" t="n">
        <f aca="false">IF(ISNUMBER(AL144),DB144,0)</f>
        <v>0</v>
      </c>
      <c r="FG144" s="28" t="n">
        <f aca="false">IF(ISNUMBER(AP144),DC144,0)</f>
        <v>2</v>
      </c>
      <c r="FH144" s="28" t="n">
        <f aca="false">IF(ISNUMBER(AT144),DD144,0)</f>
        <v>0</v>
      </c>
      <c r="FI144" s="28" t="n">
        <f aca="false">IF(ISNUMBER(AX144),DE144,0)</f>
        <v>0</v>
      </c>
      <c r="FJ144" s="28" t="n">
        <f aca="false">IF(ISNUMBER(BB144),DF144,0)</f>
        <v>0</v>
      </c>
      <c r="FK144" s="28" t="n">
        <f aca="false">IF(ISNUMBER(BF144),DG144,0)</f>
        <v>0</v>
      </c>
      <c r="FL144" s="28" t="n">
        <f aca="false">IF(ISNUMBER(BJ144),DH144,0)</f>
        <v>0</v>
      </c>
      <c r="FM144" s="28" t="n">
        <f aca="false">IF(ISNUMBER(BN144),DI144,0)</f>
        <v>0</v>
      </c>
      <c r="FN144" s="28" t="n">
        <f aca="false">IF(ISNUMBER(BR144),DJ144,0)</f>
        <v>0</v>
      </c>
      <c r="FO144" s="28" t="str">
        <f aca="false">IFERROR(INDEX(Lists!$G$2:$G$20,MATCH($I144&amp;"|"&amp;$J144,Lists!$F$2:$F$20,0)),"")</f>
        <v>BM Exam</v>
      </c>
    </row>
    <row r="145" customFormat="false" ht="19.5" hidden="false" customHeight="true" outlineLevel="0" collapsed="false">
      <c r="A145" s="29" t="s">
        <v>390</v>
      </c>
      <c r="B145" s="29" t="s">
        <v>391</v>
      </c>
      <c r="C145" s="30" t="s">
        <v>152</v>
      </c>
      <c r="D145" s="30" t="s">
        <v>383</v>
      </c>
      <c r="E145" s="31" t="n">
        <v>5.7</v>
      </c>
      <c r="F145" s="30" t="n">
        <v>6</v>
      </c>
      <c r="G145" s="30"/>
      <c r="H145" s="32" t="s">
        <v>23</v>
      </c>
      <c r="I145" s="33" t="s">
        <v>365</v>
      </c>
      <c r="J145" s="32" t="s">
        <v>25</v>
      </c>
      <c r="K145" s="34" t="n">
        <f aca="false">IF(OR(M145="",$E145=""),"",M145-$E145)</f>
        <v>1.3</v>
      </c>
      <c r="L145" s="35" t="n">
        <f aca="false">IF(SUM(FA145:FN145)=0,"",SUM(EM145:EZ145)/SUM(FA145:FN145))</f>
        <v>75</v>
      </c>
      <c r="M145" s="36" t="n">
        <f aca="false">IF(OR(L145="",FO145=""),"",IFERROR(MATCH(L145,INDEX(Boundaries!$B$2:$I$30,MATCH(FO145,Boundaries!$A$2:$A$30,0),0),1)-1,""))</f>
        <v>7</v>
      </c>
      <c r="N145" s="37" t="n">
        <f aca="false">IF(COUNT($DY145:$EL145)&lt;2,"",INDEX($DK145:$DX145,MAX($DY145:$EL145))-INDEX($DK145:$DX145,MIN($DY145:$EL145)))</f>
        <v>2</v>
      </c>
      <c r="O145" s="37" t="n">
        <f aca="false">IF(COUNT($DY145:$EL145)&lt;2,"",INDEX($DK145:$DX145,MAX($DY145:$EL145))-INDEX($DK145:$DX145,LARGE($DY145:$EL145,2)))</f>
        <v>2</v>
      </c>
      <c r="P145" s="38" t="str">
        <f aca="false">IF(K145="","",IF(K145&gt;=0,"On/above target",IF(AND(N145&lt;&gt;"",N145&gt;=0.5),"Improving towards target",IF(AND(O145&lt;&gt;"",O145&lt;=-0.5),"Declining","Stable below target"))))</f>
        <v>On/above target</v>
      </c>
      <c r="Q145" s="39" t="n">
        <v>12</v>
      </c>
      <c r="R145" s="40" t="n">
        <f aca="false">IF(OR(Q145="",BU145=""),"",Q145/BU145*100)</f>
        <v>50</v>
      </c>
      <c r="S145" s="41" t="n">
        <f aca="false">IF(R145="","",IFERROR(MATCH(R145,INDEX(Boundaries!$B$2:$I$30,MATCH(CI145,Boundaries!$A$2:$A$30,0),0),1)-1,""))</f>
        <v>5</v>
      </c>
      <c r="T145" s="42" t="n">
        <f aca="false">IF(OR(S145="",$E145=""),"",S145-$E145)</f>
        <v>-0.7</v>
      </c>
      <c r="U145" s="39" t="n">
        <v>14</v>
      </c>
      <c r="V145" s="40" t="n">
        <f aca="false">IF(OR(U145="",BV145=""),"",U145/BV145*100)</f>
        <v>70</v>
      </c>
      <c r="W145" s="41" t="n">
        <f aca="false">IF(V145="","",IFERROR(MATCH(V145,INDEX(Boundaries!$B$2:$I$30,MATCH(CJ145,Boundaries!$A$2:$A$30,0),0),1)-1,""))</f>
        <v>6</v>
      </c>
      <c r="X145" s="42" t="n">
        <f aca="false">IF(OR(W145="",$E145=""),"",W145-$E145)</f>
        <v>0.3</v>
      </c>
      <c r="Y145" s="39" t="n">
        <v>11</v>
      </c>
      <c r="Z145" s="40" t="n">
        <f aca="false">IF(OR(Y145="",BW145=""),"",Y145/BW145*100)</f>
        <v>55</v>
      </c>
      <c r="AA145" s="41" t="n">
        <f aca="false">IF(Z145="","",IFERROR(MATCH(Z145,INDEX(Boundaries!$B$2:$I$30,MATCH(CK145,Boundaries!$A$2:$A$30,0),0),1)-1,""))</f>
        <v>5</v>
      </c>
      <c r="AB145" s="42" t="n">
        <f aca="false">IF(OR(AA145="",$E145=""),"",AA145-$E145)</f>
        <v>-0.7</v>
      </c>
      <c r="AC145" s="39"/>
      <c r="AD145" s="40" t="str">
        <f aca="false">IF(OR(AC145="",BX145=""),"",AC145/BX145*100)</f>
        <v/>
      </c>
      <c r="AE145" s="41" t="str">
        <f aca="false">IF(AD145="","",IFERROR(MATCH(AD145,INDEX(Boundaries!$B$2:$I$30,MATCH(CL145,Boundaries!$A$2:$A$30,0),0),1)-1,""))</f>
        <v/>
      </c>
      <c r="AF145" s="42" t="str">
        <f aca="false">IF(OR(AE145="",$E145=""),"",AE145-$E145)</f>
        <v/>
      </c>
      <c r="AG145" s="39"/>
      <c r="AH145" s="40" t="str">
        <f aca="false">IF(OR(AG145="",BY145=""),"",AG145/BY145*100)</f>
        <v/>
      </c>
      <c r="AI145" s="41" t="str">
        <f aca="false">IF(AH145="","",IFERROR(MATCH(AH145,INDEX(Boundaries!$B$2:$I$30,MATCH(CM145,Boundaries!$A$2:$A$30,0),0),1)-1,""))</f>
        <v/>
      </c>
      <c r="AJ145" s="42" t="str">
        <f aca="false">IF(OR(AI145="",$E145=""),"",AI145-$E145)</f>
        <v/>
      </c>
      <c r="AK145" s="39"/>
      <c r="AL145" s="40" t="str">
        <f aca="false">IF(OR(AK145="",BZ145=""),"",AK145/BZ145*100)</f>
        <v/>
      </c>
      <c r="AM145" s="41" t="str">
        <f aca="false">IF(AL145="","",IFERROR(MATCH(AL145,INDEX(Boundaries!$B$2:$I$30,MATCH(CN145,Boundaries!$A$2:$A$30,0),0),1)-1,""))</f>
        <v/>
      </c>
      <c r="AN145" s="42" t="str">
        <f aca="false">IF(OR(AM145="",$E145=""),"",AM145-$E145)</f>
        <v/>
      </c>
      <c r="AO145" s="39" t="n">
        <v>7</v>
      </c>
      <c r="AP145" s="40" t="n">
        <f aca="false">IF(OR(AO145="",CA145=""),"",AO145/CA145*100)</f>
        <v>100</v>
      </c>
      <c r="AQ145" s="41" t="n">
        <f aca="false">IF(AP145="","",IFERROR(MATCH(AP145,INDEX(Boundaries!$B$2:$I$30,MATCH(CO145,Boundaries!$A$2:$A$30,0),0),1)-1,""))</f>
        <v>7</v>
      </c>
      <c r="AR145" s="42" t="n">
        <f aca="false">IF(OR(AQ145="",$E145=""),"",AQ145-$E145)</f>
        <v>1.3</v>
      </c>
      <c r="AS145" s="39"/>
      <c r="AT145" s="40" t="str">
        <f aca="false">IF(OR(AS145="",CB145=""),"",AS145/CB145*100)</f>
        <v/>
      </c>
      <c r="AU145" s="41" t="str">
        <f aca="false">IF(AT145="","",IFERROR(MATCH(AT145,INDEX(Boundaries!$B$2:$I$30,MATCH(CP145,Boundaries!$A$2:$A$30,0),0),1)-1,""))</f>
        <v/>
      </c>
      <c r="AV145" s="42" t="str">
        <f aca="false">IF(OR(AU145="",$E145=""),"",AU145-$E145)</f>
        <v/>
      </c>
      <c r="AW145" s="39"/>
      <c r="AX145" s="40" t="str">
        <f aca="false">IF(OR(AW145="",CC145=""),"",AW145/CC145*100)</f>
        <v/>
      </c>
      <c r="AY145" s="41" t="str">
        <f aca="false">IF(AX145="","",IFERROR(MATCH(AX145,INDEX(Boundaries!$B$2:$I$30,MATCH(CQ145,Boundaries!$A$2:$A$30,0),0),1)-1,""))</f>
        <v/>
      </c>
      <c r="AZ145" s="42" t="str">
        <f aca="false">IF(OR(AY145="",$E145=""),"",AY145-$E145)</f>
        <v/>
      </c>
      <c r="BA145" s="39"/>
      <c r="BB145" s="40" t="str">
        <f aca="false">IF(OR(BA145="",CD145=""),"",BA145/CD145*100)</f>
        <v/>
      </c>
      <c r="BC145" s="41" t="str">
        <f aca="false">IF(BB145="","",IFERROR(MATCH(BB145,INDEX(Boundaries!$B$2:$I$30,MATCH(CR145,Boundaries!$A$2:$A$30,0),0),1)-1,""))</f>
        <v/>
      </c>
      <c r="BD145" s="42" t="str">
        <f aca="false">IF(OR(BC145="",$E145=""),"",BC145-$E145)</f>
        <v/>
      </c>
      <c r="BE145" s="39"/>
      <c r="BF145" s="40" t="str">
        <f aca="false">IF(OR(BE145="",CE145=""),"",BE145/CE145*100)</f>
        <v/>
      </c>
      <c r="BG145" s="41" t="str">
        <f aca="false">IF(BF145="","",IFERROR(MATCH(BF145,INDEX(Boundaries!$B$2:$I$30,MATCH(CS145,Boundaries!$A$2:$A$30,0),0),1)-1,""))</f>
        <v/>
      </c>
      <c r="BH145" s="42" t="str">
        <f aca="false">IF(OR(BG145="",$E145=""),"",BG145-$E145)</f>
        <v/>
      </c>
      <c r="BI145" s="39"/>
      <c r="BJ145" s="40" t="str">
        <f aca="false">IF(OR(BI145="",CF145=""),"",BI145/CF145*100)</f>
        <v/>
      </c>
      <c r="BK145" s="41" t="str">
        <f aca="false">IF(BJ145="","",IFERROR(MATCH(BJ145,INDEX(Boundaries!$B$2:$I$30,MATCH(CT145,Boundaries!$A$2:$A$30,0),0),1)-1,""))</f>
        <v/>
      </c>
      <c r="BL145" s="42" t="str">
        <f aca="false">IF(OR(BK145="",$E145=""),"",BK145-$E145)</f>
        <v/>
      </c>
      <c r="BM145" s="39"/>
      <c r="BN145" s="40" t="str">
        <f aca="false">IF(OR(BM145="",CG145=""),"",BM145/CG145*100)</f>
        <v/>
      </c>
      <c r="BO145" s="41" t="str">
        <f aca="false">IF(BN145="","",IFERROR(MATCH(BN145,INDEX(Boundaries!$B$2:$I$30,MATCH(CU145,Boundaries!$A$2:$A$30,0),0),1)-1,""))</f>
        <v/>
      </c>
      <c r="BP145" s="42" t="str">
        <f aca="false">IF(OR(BO145="",$E145=""),"",BO145-$E145)</f>
        <v/>
      </c>
      <c r="BQ145" s="39"/>
      <c r="BR145" s="40" t="str">
        <f aca="false">IF(OR(BQ145="",CH145=""),"",BQ145/CH145*100)</f>
        <v/>
      </c>
      <c r="BS145" s="41" t="str">
        <f aca="false">IF(BR145="","",IFERROR(MATCH(BR145,INDEX(Boundaries!$B$2:$I$30,MATCH(CV145,Boundaries!$A$2:$A$30,0),0),1)-1,""))</f>
        <v/>
      </c>
      <c r="BT145" s="42" t="str">
        <f aca="false">IF(OR(BS145="",$E145=""),"",BS145-$E145)</f>
        <v/>
      </c>
      <c r="BU145" s="28" t="n">
        <f aca="false">IFERROR(INDEX(Assessments!$H$2:$H$600,MATCH($H145&amp;"|"&amp;$I145&amp;"|"&amp;$J145&amp;"|"&amp;1,Assessments!$A$2:$A$600,0)),"")</f>
        <v>24</v>
      </c>
      <c r="BV145" s="28" t="n">
        <f aca="false">IFERROR(INDEX(Assessments!$H$2:$H$600,MATCH($H145&amp;"|"&amp;$I145&amp;"|"&amp;$J145&amp;"|"&amp;2,Assessments!$A$2:$A$600,0)),"")</f>
        <v>20</v>
      </c>
      <c r="BW145" s="28" t="n">
        <f aca="false">IFERROR(INDEX(Assessments!$H$2:$H$600,MATCH($H145&amp;"|"&amp;$I145&amp;"|"&amp;$J145&amp;"|"&amp;3,Assessments!$A$2:$A$600,0)),"")</f>
        <v>20</v>
      </c>
      <c r="BX145" s="28" t="n">
        <f aca="false">IFERROR(INDEX(Assessments!$H$2:$H$600,MATCH($H145&amp;"|"&amp;$I145&amp;"|"&amp;$J145&amp;"|"&amp;4,Assessments!$A$2:$A$600,0)),"")</f>
        <v>40</v>
      </c>
      <c r="BY145" s="28" t="n">
        <f aca="false">IFERROR(INDEX(Assessments!$H$2:$H$600,MATCH($H145&amp;"|"&amp;$I145&amp;"|"&amp;$J145&amp;"|"&amp;5,Assessments!$A$2:$A$600,0)),"")</f>
        <v>30</v>
      </c>
      <c r="BZ145" s="28" t="n">
        <f aca="false">IFERROR(INDEX(Assessments!$H$2:$H$600,MATCH($H145&amp;"|"&amp;$I145&amp;"|"&amp;$J145&amp;"|"&amp;6,Assessments!$A$2:$A$600,0)),"")</f>
        <v>20</v>
      </c>
      <c r="CA145" s="28" t="n">
        <f aca="false">IFERROR(INDEX(Assessments!$H$2:$H$600,MATCH($H145&amp;"|"&amp;$I145&amp;"|"&amp;$J145&amp;"|"&amp;7,Assessments!$A$2:$A$600,0)),"")</f>
        <v>7</v>
      </c>
      <c r="CB145" s="28" t="str">
        <f aca="false">IFERROR(INDEX(Assessments!$H$2:$H$600,MATCH($H145&amp;"|"&amp;$I145&amp;"|"&amp;$J145&amp;"|"&amp;8,Assessments!$A$2:$A$600,0)),"")</f>
        <v/>
      </c>
      <c r="CC145" s="28" t="str">
        <f aca="false">IFERROR(INDEX(Assessments!$H$2:$H$600,MATCH($H145&amp;"|"&amp;$I145&amp;"|"&amp;$J145&amp;"|"&amp;9,Assessments!$A$2:$A$600,0)),"")</f>
        <v/>
      </c>
      <c r="CD145" s="28" t="str">
        <f aca="false">IFERROR(INDEX(Assessments!$H$2:$H$600,MATCH($H145&amp;"|"&amp;$I145&amp;"|"&amp;$J145&amp;"|"&amp;10,Assessments!$A$2:$A$600,0)),"")</f>
        <v/>
      </c>
      <c r="CE145" s="28" t="str">
        <f aca="false">IFERROR(INDEX(Assessments!$H$2:$H$600,MATCH($H145&amp;"|"&amp;$I145&amp;"|"&amp;$J145&amp;"|"&amp;11,Assessments!$A$2:$A$600,0)),"")</f>
        <v/>
      </c>
      <c r="CF145" s="28" t="str">
        <f aca="false">IFERROR(INDEX(Assessments!$H$2:$H$600,MATCH($H145&amp;"|"&amp;$I145&amp;"|"&amp;$J145&amp;"|"&amp;12,Assessments!$A$2:$A$600,0)),"")</f>
        <v/>
      </c>
      <c r="CG145" s="28" t="str">
        <f aca="false">IFERROR(INDEX(Assessments!$H$2:$H$600,MATCH($H145&amp;"|"&amp;$I145&amp;"|"&amp;$J145&amp;"|"&amp;13,Assessments!$A$2:$A$600,0)),"")</f>
        <v/>
      </c>
      <c r="CH145" s="28" t="str">
        <f aca="false">IFERROR(INDEX(Assessments!$H$2:$H$600,MATCH($H145&amp;"|"&amp;$I145&amp;"|"&amp;$J145&amp;"|"&amp;14,Assessments!$A$2:$A$600,0)),"")</f>
        <v/>
      </c>
      <c r="CI145" s="28" t="str">
        <f aca="false">IFERROR(INDEX(Assessments!$I$2:$I$600,MATCH($H145&amp;"|"&amp;$I145&amp;"|"&amp;$J145&amp;"|"&amp;1,Assessments!$A$2:$A$600,0)),"")</f>
        <v>BM Test</v>
      </c>
      <c r="CJ145" s="28" t="str">
        <f aca="false">IFERROR(INDEX(Assessments!$I$2:$I$600,MATCH($H145&amp;"|"&amp;$I145&amp;"|"&amp;$J145&amp;"|"&amp;2,Assessments!$A$2:$A$600,0)),"")</f>
        <v>BM Test</v>
      </c>
      <c r="CK145" s="28" t="str">
        <f aca="false">IFERROR(INDEX(Assessments!$I$2:$I$600,MATCH($H145&amp;"|"&amp;$I145&amp;"|"&amp;$J145&amp;"|"&amp;3,Assessments!$A$2:$A$600,0)),"")</f>
        <v>BM Test</v>
      </c>
      <c r="CL145" s="28" t="str">
        <f aca="false">IFERROR(INDEX(Assessments!$I$2:$I$600,MATCH($H145&amp;"|"&amp;$I145&amp;"|"&amp;$J145&amp;"|"&amp;4,Assessments!$A$2:$A$600,0)),"")</f>
        <v>BM Exam</v>
      </c>
      <c r="CM145" s="28" t="str">
        <f aca="false">IFERROR(INDEX(Assessments!$I$2:$I$600,MATCH($H145&amp;"|"&amp;$I145&amp;"|"&amp;$J145&amp;"|"&amp;5,Assessments!$A$2:$A$600,0)),"")</f>
        <v>BM Test</v>
      </c>
      <c r="CN145" s="28" t="str">
        <f aca="false">IFERROR(INDEX(Assessments!$I$2:$I$600,MATCH($H145&amp;"|"&amp;$I145&amp;"|"&amp;$J145&amp;"|"&amp;6,Assessments!$A$2:$A$600,0)),"")</f>
        <v>BM Test</v>
      </c>
      <c r="CO145" s="28" t="str">
        <f aca="false">IFERROR(INDEX(Assessments!$I$2:$I$600,MATCH($H145&amp;"|"&amp;$I145&amp;"|"&amp;$J145&amp;"|"&amp;7,Assessments!$A$2:$A$600,0)),"")</f>
        <v>Grade entered</v>
      </c>
      <c r="CP145" s="28" t="str">
        <f aca="false">IFERROR(INDEX(Assessments!$I$2:$I$600,MATCH($H145&amp;"|"&amp;$I145&amp;"|"&amp;$J145&amp;"|"&amp;8,Assessments!$A$2:$A$600,0)),"")</f>
        <v/>
      </c>
      <c r="CQ145" s="28" t="str">
        <f aca="false">IFERROR(INDEX(Assessments!$I$2:$I$600,MATCH($H145&amp;"|"&amp;$I145&amp;"|"&amp;$J145&amp;"|"&amp;9,Assessments!$A$2:$A$600,0)),"")</f>
        <v/>
      </c>
      <c r="CR145" s="28" t="str">
        <f aca="false">IFERROR(INDEX(Assessments!$I$2:$I$600,MATCH($H145&amp;"|"&amp;$I145&amp;"|"&amp;$J145&amp;"|"&amp;10,Assessments!$A$2:$A$600,0)),"")</f>
        <v/>
      </c>
      <c r="CS145" s="28" t="str">
        <f aca="false">IFERROR(INDEX(Assessments!$I$2:$I$600,MATCH($H145&amp;"|"&amp;$I145&amp;"|"&amp;$J145&amp;"|"&amp;11,Assessments!$A$2:$A$600,0)),"")</f>
        <v/>
      </c>
      <c r="CT145" s="28" t="str">
        <f aca="false">IFERROR(INDEX(Assessments!$I$2:$I$600,MATCH($H145&amp;"|"&amp;$I145&amp;"|"&amp;$J145&amp;"|"&amp;12,Assessments!$A$2:$A$600,0)),"")</f>
        <v/>
      </c>
      <c r="CU145" s="28" t="str">
        <f aca="false">IFERROR(INDEX(Assessments!$I$2:$I$600,MATCH($H145&amp;"|"&amp;$I145&amp;"|"&amp;$J145&amp;"|"&amp;13,Assessments!$A$2:$A$600,0)),"")</f>
        <v/>
      </c>
      <c r="CV145" s="28" t="str">
        <f aca="false">IFERROR(INDEX(Assessments!$I$2:$I$600,MATCH($H145&amp;"|"&amp;$I145&amp;"|"&amp;$J145&amp;"|"&amp;14,Assessments!$A$2:$A$600,0)),"")</f>
        <v/>
      </c>
      <c r="CW145" s="28" t="n">
        <f aca="false">IFERROR(INDEX(Assessments!$J$2:$J$600,MATCH($H145&amp;"|"&amp;$I145&amp;"|"&amp;$J145&amp;"|"&amp;1,Assessments!$A$2:$A$600,0)),0)</f>
        <v>1</v>
      </c>
      <c r="CX145" s="28" t="n">
        <f aca="false">IFERROR(INDEX(Assessments!$J$2:$J$600,MATCH($H145&amp;"|"&amp;$I145&amp;"|"&amp;$J145&amp;"|"&amp;2,Assessments!$A$2:$A$600,0)),0)</f>
        <v>1</v>
      </c>
      <c r="CY145" s="28" t="n">
        <f aca="false">IFERROR(INDEX(Assessments!$J$2:$J$600,MATCH($H145&amp;"|"&amp;$I145&amp;"|"&amp;$J145&amp;"|"&amp;3,Assessments!$A$2:$A$600,0)),0)</f>
        <v>1</v>
      </c>
      <c r="CZ145" s="28" t="n">
        <f aca="false">IFERROR(INDEX(Assessments!$J$2:$J$600,MATCH($H145&amp;"|"&amp;$I145&amp;"|"&amp;$J145&amp;"|"&amp;4,Assessments!$A$2:$A$600,0)),0)</f>
        <v>2</v>
      </c>
      <c r="DA145" s="28" t="n">
        <f aca="false">IFERROR(INDEX(Assessments!$J$2:$J$600,MATCH($H145&amp;"|"&amp;$I145&amp;"|"&amp;$J145&amp;"|"&amp;5,Assessments!$A$2:$A$600,0)),0)</f>
        <v>1</v>
      </c>
      <c r="DB145" s="28" t="n">
        <f aca="false">IFERROR(INDEX(Assessments!$J$2:$J$600,MATCH($H145&amp;"|"&amp;$I145&amp;"|"&amp;$J145&amp;"|"&amp;6,Assessments!$A$2:$A$600,0)),0)</f>
        <v>1</v>
      </c>
      <c r="DC145" s="28" t="n">
        <f aca="false">IFERROR(INDEX(Assessments!$J$2:$J$600,MATCH($H145&amp;"|"&amp;$I145&amp;"|"&amp;$J145&amp;"|"&amp;7,Assessments!$A$2:$A$600,0)),0)</f>
        <v>2</v>
      </c>
      <c r="DD145" s="28" t="n">
        <f aca="false">IFERROR(INDEX(Assessments!$J$2:$J$600,MATCH($H145&amp;"|"&amp;$I145&amp;"|"&amp;$J145&amp;"|"&amp;8,Assessments!$A$2:$A$600,0)),0)</f>
        <v>0</v>
      </c>
      <c r="DE145" s="28" t="n">
        <f aca="false">IFERROR(INDEX(Assessments!$J$2:$J$600,MATCH($H145&amp;"|"&amp;$I145&amp;"|"&amp;$J145&amp;"|"&amp;9,Assessments!$A$2:$A$600,0)),0)</f>
        <v>0</v>
      </c>
      <c r="DF145" s="28" t="n">
        <f aca="false">IFERROR(INDEX(Assessments!$J$2:$J$600,MATCH($H145&amp;"|"&amp;$I145&amp;"|"&amp;$J145&amp;"|"&amp;10,Assessments!$A$2:$A$600,0)),0)</f>
        <v>0</v>
      </c>
      <c r="DG145" s="28" t="n">
        <f aca="false">IFERROR(INDEX(Assessments!$J$2:$J$600,MATCH($H145&amp;"|"&amp;$I145&amp;"|"&amp;$J145&amp;"|"&amp;11,Assessments!$A$2:$A$600,0)),0)</f>
        <v>0</v>
      </c>
      <c r="DH145" s="28" t="n">
        <f aca="false">IFERROR(INDEX(Assessments!$J$2:$J$600,MATCH($H145&amp;"|"&amp;$I145&amp;"|"&amp;$J145&amp;"|"&amp;12,Assessments!$A$2:$A$600,0)),0)</f>
        <v>0</v>
      </c>
      <c r="DI145" s="28" t="n">
        <f aca="false">IFERROR(INDEX(Assessments!$J$2:$J$600,MATCH($H145&amp;"|"&amp;$I145&amp;"|"&amp;$J145&amp;"|"&amp;13,Assessments!$A$2:$A$600,0)),0)</f>
        <v>0</v>
      </c>
      <c r="DJ145" s="28" t="n">
        <f aca="false">IFERROR(INDEX(Assessments!$J$2:$J$600,MATCH($H145&amp;"|"&amp;$I145&amp;"|"&amp;$J145&amp;"|"&amp;14,Assessments!$A$2:$A$600,0)),0)</f>
        <v>0</v>
      </c>
      <c r="DK145" s="28" t="n">
        <f aca="false">S145</f>
        <v>5</v>
      </c>
      <c r="DL145" s="28" t="n">
        <f aca="false">W145</f>
        <v>6</v>
      </c>
      <c r="DM145" s="28" t="n">
        <f aca="false">AA145</f>
        <v>5</v>
      </c>
      <c r="DN145" s="28" t="str">
        <f aca="false">AE145</f>
        <v/>
      </c>
      <c r="DO145" s="28" t="str">
        <f aca="false">AI145</f>
        <v/>
      </c>
      <c r="DP145" s="28" t="str">
        <f aca="false">AM145</f>
        <v/>
      </c>
      <c r="DQ145" s="28" t="n">
        <f aca="false">AQ145</f>
        <v>7</v>
      </c>
      <c r="DR145" s="28" t="str">
        <f aca="false">AU145</f>
        <v/>
      </c>
      <c r="DS145" s="28" t="str">
        <f aca="false">AY145</f>
        <v/>
      </c>
      <c r="DT145" s="28" t="str">
        <f aca="false">BC145</f>
        <v/>
      </c>
      <c r="DU145" s="28" t="str">
        <f aca="false">BG145</f>
        <v/>
      </c>
      <c r="DV145" s="28" t="str">
        <f aca="false">BK145</f>
        <v/>
      </c>
      <c r="DW145" s="28" t="str">
        <f aca="false">BO145</f>
        <v/>
      </c>
      <c r="DX145" s="28" t="str">
        <f aca="false">BS145</f>
        <v/>
      </c>
      <c r="DY145" s="28" t="n">
        <f aca="false">IF(ISNUMBER(S145),1,"")</f>
        <v>1</v>
      </c>
      <c r="DZ145" s="28" t="n">
        <f aca="false">IF(ISNUMBER(W145),2,"")</f>
        <v>2</v>
      </c>
      <c r="EA145" s="28" t="n">
        <f aca="false">IF(ISNUMBER(AA145),3,"")</f>
        <v>3</v>
      </c>
      <c r="EB145" s="28" t="str">
        <f aca="false">IF(ISNUMBER(AE145),4,"")</f>
        <v/>
      </c>
      <c r="EC145" s="28" t="str">
        <f aca="false">IF(ISNUMBER(AI145),5,"")</f>
        <v/>
      </c>
      <c r="ED145" s="28" t="str">
        <f aca="false">IF(ISNUMBER(AM145),6,"")</f>
        <v/>
      </c>
      <c r="EE145" s="28" t="n">
        <f aca="false">IF(ISNUMBER(AQ145),7,"")</f>
        <v>7</v>
      </c>
      <c r="EF145" s="28" t="str">
        <f aca="false">IF(ISNUMBER(AU145),8,"")</f>
        <v/>
      </c>
      <c r="EG145" s="28" t="str">
        <f aca="false">IF(ISNUMBER(AY145),9,"")</f>
        <v/>
      </c>
      <c r="EH145" s="28" t="str">
        <f aca="false">IF(ISNUMBER(BC145),10,"")</f>
        <v/>
      </c>
      <c r="EI145" s="28" t="str">
        <f aca="false">IF(ISNUMBER(BG145),11,"")</f>
        <v/>
      </c>
      <c r="EJ145" s="28" t="str">
        <f aca="false">IF(ISNUMBER(BK145),12,"")</f>
        <v/>
      </c>
      <c r="EK145" s="28" t="str">
        <f aca="false">IF(ISNUMBER(BO145),13,"")</f>
        <v/>
      </c>
      <c r="EL145" s="28" t="str">
        <f aca="false">IF(ISNUMBER(BS145),14,"")</f>
        <v/>
      </c>
      <c r="EM145" s="28" t="n">
        <f aca="false">IF(ISNUMBER(R145),R145*CW145,0)</f>
        <v>50</v>
      </c>
      <c r="EN145" s="28" t="n">
        <f aca="false">IF(ISNUMBER(V145),V145*CX145,0)</f>
        <v>70</v>
      </c>
      <c r="EO145" s="28" t="n">
        <f aca="false">IF(ISNUMBER(Z145),Z145*CY145,0)</f>
        <v>55</v>
      </c>
      <c r="EP145" s="28" t="n">
        <f aca="false">IF(ISNUMBER(AD145),AD145*CZ145,0)</f>
        <v>0</v>
      </c>
      <c r="EQ145" s="28" t="n">
        <f aca="false">IF(ISNUMBER(AH145),AH145*DA145,0)</f>
        <v>0</v>
      </c>
      <c r="ER145" s="28" t="n">
        <f aca="false">IF(ISNUMBER(AL145),AL145*DB145,0)</f>
        <v>0</v>
      </c>
      <c r="ES145" s="28" t="n">
        <f aca="false">IF(ISNUMBER(AP145),AP145*DC145,0)</f>
        <v>200</v>
      </c>
      <c r="ET145" s="28" t="n">
        <f aca="false">IF(ISNUMBER(AT145),AT145*DD145,0)</f>
        <v>0</v>
      </c>
      <c r="EU145" s="28" t="n">
        <f aca="false">IF(ISNUMBER(AX145),AX145*DE145,0)</f>
        <v>0</v>
      </c>
      <c r="EV145" s="28" t="n">
        <f aca="false">IF(ISNUMBER(BB145),BB145*DF145,0)</f>
        <v>0</v>
      </c>
      <c r="EW145" s="28" t="n">
        <f aca="false">IF(ISNUMBER(BF145),BF145*DG145,0)</f>
        <v>0</v>
      </c>
      <c r="EX145" s="28" t="n">
        <f aca="false">IF(ISNUMBER(BJ145),BJ145*DH145,0)</f>
        <v>0</v>
      </c>
      <c r="EY145" s="28" t="n">
        <f aca="false">IF(ISNUMBER(BN145),BN145*DI145,0)</f>
        <v>0</v>
      </c>
      <c r="EZ145" s="28" t="n">
        <f aca="false">IF(ISNUMBER(BR145),BR145*DJ145,0)</f>
        <v>0</v>
      </c>
      <c r="FA145" s="28" t="n">
        <f aca="false">IF(ISNUMBER(R145),CW145,0)</f>
        <v>1</v>
      </c>
      <c r="FB145" s="28" t="n">
        <f aca="false">IF(ISNUMBER(V145),CX145,0)</f>
        <v>1</v>
      </c>
      <c r="FC145" s="28" t="n">
        <f aca="false">IF(ISNUMBER(Z145),CY145,0)</f>
        <v>1</v>
      </c>
      <c r="FD145" s="28" t="n">
        <f aca="false">IF(ISNUMBER(AD145),CZ145,0)</f>
        <v>0</v>
      </c>
      <c r="FE145" s="28" t="n">
        <f aca="false">IF(ISNUMBER(AH145),DA145,0)</f>
        <v>0</v>
      </c>
      <c r="FF145" s="28" t="n">
        <f aca="false">IF(ISNUMBER(AL145),DB145,0)</f>
        <v>0</v>
      </c>
      <c r="FG145" s="28" t="n">
        <f aca="false">IF(ISNUMBER(AP145),DC145,0)</f>
        <v>2</v>
      </c>
      <c r="FH145" s="28" t="n">
        <f aca="false">IF(ISNUMBER(AT145),DD145,0)</f>
        <v>0</v>
      </c>
      <c r="FI145" s="28" t="n">
        <f aca="false">IF(ISNUMBER(AX145),DE145,0)</f>
        <v>0</v>
      </c>
      <c r="FJ145" s="28" t="n">
        <f aca="false">IF(ISNUMBER(BB145),DF145,0)</f>
        <v>0</v>
      </c>
      <c r="FK145" s="28" t="n">
        <f aca="false">IF(ISNUMBER(BF145),DG145,0)</f>
        <v>0</v>
      </c>
      <c r="FL145" s="28" t="n">
        <f aca="false">IF(ISNUMBER(BJ145),DH145,0)</f>
        <v>0</v>
      </c>
      <c r="FM145" s="28" t="n">
        <f aca="false">IF(ISNUMBER(BN145),DI145,0)</f>
        <v>0</v>
      </c>
      <c r="FN145" s="28" t="n">
        <f aca="false">IF(ISNUMBER(BR145),DJ145,0)</f>
        <v>0</v>
      </c>
      <c r="FO145" s="28" t="str">
        <f aca="false">IFERROR(INDEX(Lists!$G$2:$G$20,MATCH($I145&amp;"|"&amp;$J145,Lists!$F$2:$F$20,0)),"")</f>
        <v>BM Exam</v>
      </c>
    </row>
    <row r="146" customFormat="false" ht="19.5" hidden="false" customHeight="true" outlineLevel="0" collapsed="false">
      <c r="A146" s="29" t="s">
        <v>392</v>
      </c>
      <c r="B146" s="29" t="s">
        <v>393</v>
      </c>
      <c r="C146" s="30" t="s">
        <v>152</v>
      </c>
      <c r="D146" s="30" t="s">
        <v>383</v>
      </c>
      <c r="E146" s="31" t="n">
        <v>5.8</v>
      </c>
      <c r="F146" s="30" t="n">
        <v>6</v>
      </c>
      <c r="G146" s="30"/>
      <c r="H146" s="32" t="s">
        <v>23</v>
      </c>
      <c r="I146" s="33" t="s">
        <v>365</v>
      </c>
      <c r="J146" s="32" t="s">
        <v>25</v>
      </c>
      <c r="K146" s="34" t="n">
        <f aca="false">IF(OR(M146="",$E146=""),"",M146-$E146)</f>
        <v>1.2</v>
      </c>
      <c r="L146" s="35" t="n">
        <f aca="false">IF(SUM(FA146:FN146)=0,"",SUM(EM146:EZ146)/SUM(FA146:FN146))</f>
        <v>74.0714285714286</v>
      </c>
      <c r="M146" s="36" t="n">
        <f aca="false">IF(OR(L146="",FO146=""),"",IFERROR(MATCH(L146,INDEX(Boundaries!$B$2:$I$30,MATCH(FO146,Boundaries!$A$2:$A$30,0),0),1)-1,""))</f>
        <v>7</v>
      </c>
      <c r="N146" s="37" t="n">
        <f aca="false">IF(COUNT($DY146:$EL146)&lt;2,"",INDEX($DK146:$DX146,MAX($DY146:$EL146))-INDEX($DK146:$DX146,MIN($DY146:$EL146)))</f>
        <v>-2</v>
      </c>
      <c r="O146" s="37" t="n">
        <f aca="false">IF(COUNT($DY146:$EL146)&lt;2,"",INDEX($DK146:$DX146,MAX($DY146:$EL146))-INDEX($DK146:$DX146,LARGE($DY146:$EL146,2)))</f>
        <v>-2</v>
      </c>
      <c r="P146" s="38" t="str">
        <f aca="false">IF(K146="","",IF(K146&gt;=0,"On/above target",IF(AND(N146&lt;&gt;"",N146&gt;=0.5),"Improving towards target",IF(AND(O146&lt;&gt;"",O146&lt;=-0.5),"Declining","Stable below target"))))</f>
        <v>On/above target</v>
      </c>
      <c r="Q146" s="39" t="n">
        <v>21</v>
      </c>
      <c r="R146" s="40" t="n">
        <f aca="false">IF(OR(Q146="",BU146=""),"",Q146/BU146*100)</f>
        <v>87.5</v>
      </c>
      <c r="S146" s="41" t="n">
        <f aca="false">IF(R146="","",IFERROR(MATCH(R146,INDEX(Boundaries!$B$2:$I$30,MATCH(CI146,Boundaries!$A$2:$A$30,0),0),1)-1,""))</f>
        <v>7</v>
      </c>
      <c r="T146" s="42" t="n">
        <f aca="false">IF(OR(S146="",$E146=""),"",S146-$E146)</f>
        <v>1.2</v>
      </c>
      <c r="U146" s="39" t="n">
        <v>12</v>
      </c>
      <c r="V146" s="40" t="n">
        <f aca="false">IF(OR(U146="",BV146=""),"",U146/BV146*100)</f>
        <v>60</v>
      </c>
      <c r="W146" s="41" t="n">
        <f aca="false">IF(V146="","",IFERROR(MATCH(V146,INDEX(Boundaries!$B$2:$I$30,MATCH(CJ146,Boundaries!$A$2:$A$30,0),0),1)-1,""))</f>
        <v>5</v>
      </c>
      <c r="X146" s="42" t="n">
        <f aca="false">IF(OR(W146="",$E146=""),"",W146-$E146)</f>
        <v>-0.8</v>
      </c>
      <c r="Y146" s="39" t="n">
        <v>16</v>
      </c>
      <c r="Z146" s="40" t="n">
        <f aca="false">IF(OR(Y146="",BW146=""),"",Y146/BW146*100)</f>
        <v>80</v>
      </c>
      <c r="AA146" s="41" t="n">
        <f aca="false">IF(Z146="","",IFERROR(MATCH(Z146,INDEX(Boundaries!$B$2:$I$30,MATCH(CK146,Boundaries!$A$2:$A$30,0),0),1)-1,""))</f>
        <v>7</v>
      </c>
      <c r="AB146" s="42" t="n">
        <f aca="false">IF(OR(AA146="",$E146=""),"",AA146-$E146)</f>
        <v>1.2</v>
      </c>
      <c r="AC146" s="39"/>
      <c r="AD146" s="40" t="str">
        <f aca="false">IF(OR(AC146="",BX146=""),"",AC146/BX146*100)</f>
        <v/>
      </c>
      <c r="AE146" s="41" t="str">
        <f aca="false">IF(AD146="","",IFERROR(MATCH(AD146,INDEX(Boundaries!$B$2:$I$30,MATCH(CL146,Boundaries!$A$2:$A$30,0),0),1)-1,""))</f>
        <v/>
      </c>
      <c r="AF146" s="42" t="str">
        <f aca="false">IF(OR(AE146="",$E146=""),"",AE146-$E146)</f>
        <v/>
      </c>
      <c r="AG146" s="39"/>
      <c r="AH146" s="40" t="str">
        <f aca="false">IF(OR(AG146="",BY146=""),"",AG146/BY146*100)</f>
        <v/>
      </c>
      <c r="AI146" s="41" t="str">
        <f aca="false">IF(AH146="","",IFERROR(MATCH(AH146,INDEX(Boundaries!$B$2:$I$30,MATCH(CM146,Boundaries!$A$2:$A$30,0),0),1)-1,""))</f>
        <v/>
      </c>
      <c r="AJ146" s="42" t="str">
        <f aca="false">IF(OR(AI146="",$E146=""),"",AI146-$E146)</f>
        <v/>
      </c>
      <c r="AK146" s="39"/>
      <c r="AL146" s="40" t="str">
        <f aca="false">IF(OR(AK146="",BZ146=""),"",AK146/BZ146*100)</f>
        <v/>
      </c>
      <c r="AM146" s="41" t="str">
        <f aca="false">IF(AL146="","",IFERROR(MATCH(AL146,INDEX(Boundaries!$B$2:$I$30,MATCH(CN146,Boundaries!$A$2:$A$30,0),0),1)-1,""))</f>
        <v/>
      </c>
      <c r="AN146" s="42" t="str">
        <f aca="false">IF(OR(AM146="",$E146=""),"",AM146-$E146)</f>
        <v/>
      </c>
      <c r="AO146" s="39" t="n">
        <v>5</v>
      </c>
      <c r="AP146" s="40" t="n">
        <f aca="false">IF(OR(AO146="",CA146=""),"",AO146/CA146*100)</f>
        <v>71.4285714285714</v>
      </c>
      <c r="AQ146" s="41" t="n">
        <f aca="false">IF(AP146="","",IFERROR(MATCH(AP146,INDEX(Boundaries!$B$2:$I$30,MATCH(CO146,Boundaries!$A$2:$A$30,0),0),1)-1,""))</f>
        <v>5</v>
      </c>
      <c r="AR146" s="42" t="n">
        <f aca="false">IF(OR(AQ146="",$E146=""),"",AQ146-$E146)</f>
        <v>-0.8</v>
      </c>
      <c r="AS146" s="39"/>
      <c r="AT146" s="40" t="str">
        <f aca="false">IF(OR(AS146="",CB146=""),"",AS146/CB146*100)</f>
        <v/>
      </c>
      <c r="AU146" s="41" t="str">
        <f aca="false">IF(AT146="","",IFERROR(MATCH(AT146,INDEX(Boundaries!$B$2:$I$30,MATCH(CP146,Boundaries!$A$2:$A$30,0),0),1)-1,""))</f>
        <v/>
      </c>
      <c r="AV146" s="42" t="str">
        <f aca="false">IF(OR(AU146="",$E146=""),"",AU146-$E146)</f>
        <v/>
      </c>
      <c r="AW146" s="39"/>
      <c r="AX146" s="40" t="str">
        <f aca="false">IF(OR(AW146="",CC146=""),"",AW146/CC146*100)</f>
        <v/>
      </c>
      <c r="AY146" s="41" t="str">
        <f aca="false">IF(AX146="","",IFERROR(MATCH(AX146,INDEX(Boundaries!$B$2:$I$30,MATCH(CQ146,Boundaries!$A$2:$A$30,0),0),1)-1,""))</f>
        <v/>
      </c>
      <c r="AZ146" s="42" t="str">
        <f aca="false">IF(OR(AY146="",$E146=""),"",AY146-$E146)</f>
        <v/>
      </c>
      <c r="BA146" s="39"/>
      <c r="BB146" s="40" t="str">
        <f aca="false">IF(OR(BA146="",CD146=""),"",BA146/CD146*100)</f>
        <v/>
      </c>
      <c r="BC146" s="41" t="str">
        <f aca="false">IF(BB146="","",IFERROR(MATCH(BB146,INDEX(Boundaries!$B$2:$I$30,MATCH(CR146,Boundaries!$A$2:$A$30,0),0),1)-1,""))</f>
        <v/>
      </c>
      <c r="BD146" s="42" t="str">
        <f aca="false">IF(OR(BC146="",$E146=""),"",BC146-$E146)</f>
        <v/>
      </c>
      <c r="BE146" s="39"/>
      <c r="BF146" s="40" t="str">
        <f aca="false">IF(OR(BE146="",CE146=""),"",BE146/CE146*100)</f>
        <v/>
      </c>
      <c r="BG146" s="41" t="str">
        <f aca="false">IF(BF146="","",IFERROR(MATCH(BF146,INDEX(Boundaries!$B$2:$I$30,MATCH(CS146,Boundaries!$A$2:$A$30,0),0),1)-1,""))</f>
        <v/>
      </c>
      <c r="BH146" s="42" t="str">
        <f aca="false">IF(OR(BG146="",$E146=""),"",BG146-$E146)</f>
        <v/>
      </c>
      <c r="BI146" s="39"/>
      <c r="BJ146" s="40" t="str">
        <f aca="false">IF(OR(BI146="",CF146=""),"",BI146/CF146*100)</f>
        <v/>
      </c>
      <c r="BK146" s="41" t="str">
        <f aca="false">IF(BJ146="","",IFERROR(MATCH(BJ146,INDEX(Boundaries!$B$2:$I$30,MATCH(CT146,Boundaries!$A$2:$A$30,0),0),1)-1,""))</f>
        <v/>
      </c>
      <c r="BL146" s="42" t="str">
        <f aca="false">IF(OR(BK146="",$E146=""),"",BK146-$E146)</f>
        <v/>
      </c>
      <c r="BM146" s="39"/>
      <c r="BN146" s="40" t="str">
        <f aca="false">IF(OR(BM146="",CG146=""),"",BM146/CG146*100)</f>
        <v/>
      </c>
      <c r="BO146" s="41" t="str">
        <f aca="false">IF(BN146="","",IFERROR(MATCH(BN146,INDEX(Boundaries!$B$2:$I$30,MATCH(CU146,Boundaries!$A$2:$A$30,0),0),1)-1,""))</f>
        <v/>
      </c>
      <c r="BP146" s="42" t="str">
        <f aca="false">IF(OR(BO146="",$E146=""),"",BO146-$E146)</f>
        <v/>
      </c>
      <c r="BQ146" s="39"/>
      <c r="BR146" s="40" t="str">
        <f aca="false">IF(OR(BQ146="",CH146=""),"",BQ146/CH146*100)</f>
        <v/>
      </c>
      <c r="BS146" s="41" t="str">
        <f aca="false">IF(BR146="","",IFERROR(MATCH(BR146,INDEX(Boundaries!$B$2:$I$30,MATCH(CV146,Boundaries!$A$2:$A$30,0),0),1)-1,""))</f>
        <v/>
      </c>
      <c r="BT146" s="42" t="str">
        <f aca="false">IF(OR(BS146="",$E146=""),"",BS146-$E146)</f>
        <v/>
      </c>
      <c r="BU146" s="28" t="n">
        <f aca="false">IFERROR(INDEX(Assessments!$H$2:$H$600,MATCH($H146&amp;"|"&amp;$I146&amp;"|"&amp;$J146&amp;"|"&amp;1,Assessments!$A$2:$A$600,0)),"")</f>
        <v>24</v>
      </c>
      <c r="BV146" s="28" t="n">
        <f aca="false">IFERROR(INDEX(Assessments!$H$2:$H$600,MATCH($H146&amp;"|"&amp;$I146&amp;"|"&amp;$J146&amp;"|"&amp;2,Assessments!$A$2:$A$600,0)),"")</f>
        <v>20</v>
      </c>
      <c r="BW146" s="28" t="n">
        <f aca="false">IFERROR(INDEX(Assessments!$H$2:$H$600,MATCH($H146&amp;"|"&amp;$I146&amp;"|"&amp;$J146&amp;"|"&amp;3,Assessments!$A$2:$A$600,0)),"")</f>
        <v>20</v>
      </c>
      <c r="BX146" s="28" t="n">
        <f aca="false">IFERROR(INDEX(Assessments!$H$2:$H$600,MATCH($H146&amp;"|"&amp;$I146&amp;"|"&amp;$J146&amp;"|"&amp;4,Assessments!$A$2:$A$600,0)),"")</f>
        <v>40</v>
      </c>
      <c r="BY146" s="28" t="n">
        <f aca="false">IFERROR(INDEX(Assessments!$H$2:$H$600,MATCH($H146&amp;"|"&amp;$I146&amp;"|"&amp;$J146&amp;"|"&amp;5,Assessments!$A$2:$A$600,0)),"")</f>
        <v>30</v>
      </c>
      <c r="BZ146" s="28" t="n">
        <f aca="false">IFERROR(INDEX(Assessments!$H$2:$H$600,MATCH($H146&amp;"|"&amp;$I146&amp;"|"&amp;$J146&amp;"|"&amp;6,Assessments!$A$2:$A$600,0)),"")</f>
        <v>20</v>
      </c>
      <c r="CA146" s="28" t="n">
        <f aca="false">IFERROR(INDEX(Assessments!$H$2:$H$600,MATCH($H146&amp;"|"&amp;$I146&amp;"|"&amp;$J146&amp;"|"&amp;7,Assessments!$A$2:$A$600,0)),"")</f>
        <v>7</v>
      </c>
      <c r="CB146" s="28" t="str">
        <f aca="false">IFERROR(INDEX(Assessments!$H$2:$H$600,MATCH($H146&amp;"|"&amp;$I146&amp;"|"&amp;$J146&amp;"|"&amp;8,Assessments!$A$2:$A$600,0)),"")</f>
        <v/>
      </c>
      <c r="CC146" s="28" t="str">
        <f aca="false">IFERROR(INDEX(Assessments!$H$2:$H$600,MATCH($H146&amp;"|"&amp;$I146&amp;"|"&amp;$J146&amp;"|"&amp;9,Assessments!$A$2:$A$600,0)),"")</f>
        <v/>
      </c>
      <c r="CD146" s="28" t="str">
        <f aca="false">IFERROR(INDEX(Assessments!$H$2:$H$600,MATCH($H146&amp;"|"&amp;$I146&amp;"|"&amp;$J146&amp;"|"&amp;10,Assessments!$A$2:$A$600,0)),"")</f>
        <v/>
      </c>
      <c r="CE146" s="28" t="str">
        <f aca="false">IFERROR(INDEX(Assessments!$H$2:$H$600,MATCH($H146&amp;"|"&amp;$I146&amp;"|"&amp;$J146&amp;"|"&amp;11,Assessments!$A$2:$A$600,0)),"")</f>
        <v/>
      </c>
      <c r="CF146" s="28" t="str">
        <f aca="false">IFERROR(INDEX(Assessments!$H$2:$H$600,MATCH($H146&amp;"|"&amp;$I146&amp;"|"&amp;$J146&amp;"|"&amp;12,Assessments!$A$2:$A$600,0)),"")</f>
        <v/>
      </c>
      <c r="CG146" s="28" t="str">
        <f aca="false">IFERROR(INDEX(Assessments!$H$2:$H$600,MATCH($H146&amp;"|"&amp;$I146&amp;"|"&amp;$J146&amp;"|"&amp;13,Assessments!$A$2:$A$600,0)),"")</f>
        <v/>
      </c>
      <c r="CH146" s="28" t="str">
        <f aca="false">IFERROR(INDEX(Assessments!$H$2:$H$600,MATCH($H146&amp;"|"&amp;$I146&amp;"|"&amp;$J146&amp;"|"&amp;14,Assessments!$A$2:$A$600,0)),"")</f>
        <v/>
      </c>
      <c r="CI146" s="28" t="str">
        <f aca="false">IFERROR(INDEX(Assessments!$I$2:$I$600,MATCH($H146&amp;"|"&amp;$I146&amp;"|"&amp;$J146&amp;"|"&amp;1,Assessments!$A$2:$A$600,0)),"")</f>
        <v>BM Test</v>
      </c>
      <c r="CJ146" s="28" t="str">
        <f aca="false">IFERROR(INDEX(Assessments!$I$2:$I$600,MATCH($H146&amp;"|"&amp;$I146&amp;"|"&amp;$J146&amp;"|"&amp;2,Assessments!$A$2:$A$600,0)),"")</f>
        <v>BM Test</v>
      </c>
      <c r="CK146" s="28" t="str">
        <f aca="false">IFERROR(INDEX(Assessments!$I$2:$I$600,MATCH($H146&amp;"|"&amp;$I146&amp;"|"&amp;$J146&amp;"|"&amp;3,Assessments!$A$2:$A$600,0)),"")</f>
        <v>BM Test</v>
      </c>
      <c r="CL146" s="28" t="str">
        <f aca="false">IFERROR(INDEX(Assessments!$I$2:$I$600,MATCH($H146&amp;"|"&amp;$I146&amp;"|"&amp;$J146&amp;"|"&amp;4,Assessments!$A$2:$A$600,0)),"")</f>
        <v>BM Exam</v>
      </c>
      <c r="CM146" s="28" t="str">
        <f aca="false">IFERROR(INDEX(Assessments!$I$2:$I$600,MATCH($H146&amp;"|"&amp;$I146&amp;"|"&amp;$J146&amp;"|"&amp;5,Assessments!$A$2:$A$600,0)),"")</f>
        <v>BM Test</v>
      </c>
      <c r="CN146" s="28" t="str">
        <f aca="false">IFERROR(INDEX(Assessments!$I$2:$I$600,MATCH($H146&amp;"|"&amp;$I146&amp;"|"&amp;$J146&amp;"|"&amp;6,Assessments!$A$2:$A$600,0)),"")</f>
        <v>BM Test</v>
      </c>
      <c r="CO146" s="28" t="str">
        <f aca="false">IFERROR(INDEX(Assessments!$I$2:$I$600,MATCH($H146&amp;"|"&amp;$I146&amp;"|"&amp;$J146&amp;"|"&amp;7,Assessments!$A$2:$A$600,0)),"")</f>
        <v>Grade entered</v>
      </c>
      <c r="CP146" s="28" t="str">
        <f aca="false">IFERROR(INDEX(Assessments!$I$2:$I$600,MATCH($H146&amp;"|"&amp;$I146&amp;"|"&amp;$J146&amp;"|"&amp;8,Assessments!$A$2:$A$600,0)),"")</f>
        <v/>
      </c>
      <c r="CQ146" s="28" t="str">
        <f aca="false">IFERROR(INDEX(Assessments!$I$2:$I$600,MATCH($H146&amp;"|"&amp;$I146&amp;"|"&amp;$J146&amp;"|"&amp;9,Assessments!$A$2:$A$600,0)),"")</f>
        <v/>
      </c>
      <c r="CR146" s="28" t="str">
        <f aca="false">IFERROR(INDEX(Assessments!$I$2:$I$600,MATCH($H146&amp;"|"&amp;$I146&amp;"|"&amp;$J146&amp;"|"&amp;10,Assessments!$A$2:$A$600,0)),"")</f>
        <v/>
      </c>
      <c r="CS146" s="28" t="str">
        <f aca="false">IFERROR(INDEX(Assessments!$I$2:$I$600,MATCH($H146&amp;"|"&amp;$I146&amp;"|"&amp;$J146&amp;"|"&amp;11,Assessments!$A$2:$A$600,0)),"")</f>
        <v/>
      </c>
      <c r="CT146" s="28" t="str">
        <f aca="false">IFERROR(INDEX(Assessments!$I$2:$I$600,MATCH($H146&amp;"|"&amp;$I146&amp;"|"&amp;$J146&amp;"|"&amp;12,Assessments!$A$2:$A$600,0)),"")</f>
        <v/>
      </c>
      <c r="CU146" s="28" t="str">
        <f aca="false">IFERROR(INDEX(Assessments!$I$2:$I$600,MATCH($H146&amp;"|"&amp;$I146&amp;"|"&amp;$J146&amp;"|"&amp;13,Assessments!$A$2:$A$600,0)),"")</f>
        <v/>
      </c>
      <c r="CV146" s="28" t="str">
        <f aca="false">IFERROR(INDEX(Assessments!$I$2:$I$600,MATCH($H146&amp;"|"&amp;$I146&amp;"|"&amp;$J146&amp;"|"&amp;14,Assessments!$A$2:$A$600,0)),"")</f>
        <v/>
      </c>
      <c r="CW146" s="28" t="n">
        <f aca="false">IFERROR(INDEX(Assessments!$J$2:$J$600,MATCH($H146&amp;"|"&amp;$I146&amp;"|"&amp;$J146&amp;"|"&amp;1,Assessments!$A$2:$A$600,0)),0)</f>
        <v>1</v>
      </c>
      <c r="CX146" s="28" t="n">
        <f aca="false">IFERROR(INDEX(Assessments!$J$2:$J$600,MATCH($H146&amp;"|"&amp;$I146&amp;"|"&amp;$J146&amp;"|"&amp;2,Assessments!$A$2:$A$600,0)),0)</f>
        <v>1</v>
      </c>
      <c r="CY146" s="28" t="n">
        <f aca="false">IFERROR(INDEX(Assessments!$J$2:$J$600,MATCH($H146&amp;"|"&amp;$I146&amp;"|"&amp;$J146&amp;"|"&amp;3,Assessments!$A$2:$A$600,0)),0)</f>
        <v>1</v>
      </c>
      <c r="CZ146" s="28" t="n">
        <f aca="false">IFERROR(INDEX(Assessments!$J$2:$J$600,MATCH($H146&amp;"|"&amp;$I146&amp;"|"&amp;$J146&amp;"|"&amp;4,Assessments!$A$2:$A$600,0)),0)</f>
        <v>2</v>
      </c>
      <c r="DA146" s="28" t="n">
        <f aca="false">IFERROR(INDEX(Assessments!$J$2:$J$600,MATCH($H146&amp;"|"&amp;$I146&amp;"|"&amp;$J146&amp;"|"&amp;5,Assessments!$A$2:$A$600,0)),0)</f>
        <v>1</v>
      </c>
      <c r="DB146" s="28" t="n">
        <f aca="false">IFERROR(INDEX(Assessments!$J$2:$J$600,MATCH($H146&amp;"|"&amp;$I146&amp;"|"&amp;$J146&amp;"|"&amp;6,Assessments!$A$2:$A$600,0)),0)</f>
        <v>1</v>
      </c>
      <c r="DC146" s="28" t="n">
        <f aca="false">IFERROR(INDEX(Assessments!$J$2:$J$600,MATCH($H146&amp;"|"&amp;$I146&amp;"|"&amp;$J146&amp;"|"&amp;7,Assessments!$A$2:$A$600,0)),0)</f>
        <v>2</v>
      </c>
      <c r="DD146" s="28" t="n">
        <f aca="false">IFERROR(INDEX(Assessments!$J$2:$J$600,MATCH($H146&amp;"|"&amp;$I146&amp;"|"&amp;$J146&amp;"|"&amp;8,Assessments!$A$2:$A$600,0)),0)</f>
        <v>0</v>
      </c>
      <c r="DE146" s="28" t="n">
        <f aca="false">IFERROR(INDEX(Assessments!$J$2:$J$600,MATCH($H146&amp;"|"&amp;$I146&amp;"|"&amp;$J146&amp;"|"&amp;9,Assessments!$A$2:$A$600,0)),0)</f>
        <v>0</v>
      </c>
      <c r="DF146" s="28" t="n">
        <f aca="false">IFERROR(INDEX(Assessments!$J$2:$J$600,MATCH($H146&amp;"|"&amp;$I146&amp;"|"&amp;$J146&amp;"|"&amp;10,Assessments!$A$2:$A$600,0)),0)</f>
        <v>0</v>
      </c>
      <c r="DG146" s="28" t="n">
        <f aca="false">IFERROR(INDEX(Assessments!$J$2:$J$600,MATCH($H146&amp;"|"&amp;$I146&amp;"|"&amp;$J146&amp;"|"&amp;11,Assessments!$A$2:$A$600,0)),0)</f>
        <v>0</v>
      </c>
      <c r="DH146" s="28" t="n">
        <f aca="false">IFERROR(INDEX(Assessments!$J$2:$J$600,MATCH($H146&amp;"|"&amp;$I146&amp;"|"&amp;$J146&amp;"|"&amp;12,Assessments!$A$2:$A$600,0)),0)</f>
        <v>0</v>
      </c>
      <c r="DI146" s="28" t="n">
        <f aca="false">IFERROR(INDEX(Assessments!$J$2:$J$600,MATCH($H146&amp;"|"&amp;$I146&amp;"|"&amp;$J146&amp;"|"&amp;13,Assessments!$A$2:$A$600,0)),0)</f>
        <v>0</v>
      </c>
      <c r="DJ146" s="28" t="n">
        <f aca="false">IFERROR(INDEX(Assessments!$J$2:$J$600,MATCH($H146&amp;"|"&amp;$I146&amp;"|"&amp;$J146&amp;"|"&amp;14,Assessments!$A$2:$A$600,0)),0)</f>
        <v>0</v>
      </c>
      <c r="DK146" s="28" t="n">
        <f aca="false">S146</f>
        <v>7</v>
      </c>
      <c r="DL146" s="28" t="n">
        <f aca="false">W146</f>
        <v>5</v>
      </c>
      <c r="DM146" s="28" t="n">
        <f aca="false">AA146</f>
        <v>7</v>
      </c>
      <c r="DN146" s="28" t="str">
        <f aca="false">AE146</f>
        <v/>
      </c>
      <c r="DO146" s="28" t="str">
        <f aca="false">AI146</f>
        <v/>
      </c>
      <c r="DP146" s="28" t="str">
        <f aca="false">AM146</f>
        <v/>
      </c>
      <c r="DQ146" s="28" t="n">
        <f aca="false">AQ146</f>
        <v>5</v>
      </c>
      <c r="DR146" s="28" t="str">
        <f aca="false">AU146</f>
        <v/>
      </c>
      <c r="DS146" s="28" t="str">
        <f aca="false">AY146</f>
        <v/>
      </c>
      <c r="DT146" s="28" t="str">
        <f aca="false">BC146</f>
        <v/>
      </c>
      <c r="DU146" s="28" t="str">
        <f aca="false">BG146</f>
        <v/>
      </c>
      <c r="DV146" s="28" t="str">
        <f aca="false">BK146</f>
        <v/>
      </c>
      <c r="DW146" s="28" t="str">
        <f aca="false">BO146</f>
        <v/>
      </c>
      <c r="DX146" s="28" t="str">
        <f aca="false">BS146</f>
        <v/>
      </c>
      <c r="DY146" s="28" t="n">
        <f aca="false">IF(ISNUMBER(S146),1,"")</f>
        <v>1</v>
      </c>
      <c r="DZ146" s="28" t="n">
        <f aca="false">IF(ISNUMBER(W146),2,"")</f>
        <v>2</v>
      </c>
      <c r="EA146" s="28" t="n">
        <f aca="false">IF(ISNUMBER(AA146),3,"")</f>
        <v>3</v>
      </c>
      <c r="EB146" s="28" t="str">
        <f aca="false">IF(ISNUMBER(AE146),4,"")</f>
        <v/>
      </c>
      <c r="EC146" s="28" t="str">
        <f aca="false">IF(ISNUMBER(AI146),5,"")</f>
        <v/>
      </c>
      <c r="ED146" s="28" t="str">
        <f aca="false">IF(ISNUMBER(AM146),6,"")</f>
        <v/>
      </c>
      <c r="EE146" s="28" t="n">
        <f aca="false">IF(ISNUMBER(AQ146),7,"")</f>
        <v>7</v>
      </c>
      <c r="EF146" s="28" t="str">
        <f aca="false">IF(ISNUMBER(AU146),8,"")</f>
        <v/>
      </c>
      <c r="EG146" s="28" t="str">
        <f aca="false">IF(ISNUMBER(AY146),9,"")</f>
        <v/>
      </c>
      <c r="EH146" s="28" t="str">
        <f aca="false">IF(ISNUMBER(BC146),10,"")</f>
        <v/>
      </c>
      <c r="EI146" s="28" t="str">
        <f aca="false">IF(ISNUMBER(BG146),11,"")</f>
        <v/>
      </c>
      <c r="EJ146" s="28" t="str">
        <f aca="false">IF(ISNUMBER(BK146),12,"")</f>
        <v/>
      </c>
      <c r="EK146" s="28" t="str">
        <f aca="false">IF(ISNUMBER(BO146),13,"")</f>
        <v/>
      </c>
      <c r="EL146" s="28" t="str">
        <f aca="false">IF(ISNUMBER(BS146),14,"")</f>
        <v/>
      </c>
      <c r="EM146" s="28" t="n">
        <f aca="false">IF(ISNUMBER(R146),R146*CW146,0)</f>
        <v>87.5</v>
      </c>
      <c r="EN146" s="28" t="n">
        <f aca="false">IF(ISNUMBER(V146),V146*CX146,0)</f>
        <v>60</v>
      </c>
      <c r="EO146" s="28" t="n">
        <f aca="false">IF(ISNUMBER(Z146),Z146*CY146,0)</f>
        <v>80</v>
      </c>
      <c r="EP146" s="28" t="n">
        <f aca="false">IF(ISNUMBER(AD146),AD146*CZ146,0)</f>
        <v>0</v>
      </c>
      <c r="EQ146" s="28" t="n">
        <f aca="false">IF(ISNUMBER(AH146),AH146*DA146,0)</f>
        <v>0</v>
      </c>
      <c r="ER146" s="28" t="n">
        <f aca="false">IF(ISNUMBER(AL146),AL146*DB146,0)</f>
        <v>0</v>
      </c>
      <c r="ES146" s="28" t="n">
        <f aca="false">IF(ISNUMBER(AP146),AP146*DC146,0)</f>
        <v>142.857142857143</v>
      </c>
      <c r="ET146" s="28" t="n">
        <f aca="false">IF(ISNUMBER(AT146),AT146*DD146,0)</f>
        <v>0</v>
      </c>
      <c r="EU146" s="28" t="n">
        <f aca="false">IF(ISNUMBER(AX146),AX146*DE146,0)</f>
        <v>0</v>
      </c>
      <c r="EV146" s="28" t="n">
        <f aca="false">IF(ISNUMBER(BB146),BB146*DF146,0)</f>
        <v>0</v>
      </c>
      <c r="EW146" s="28" t="n">
        <f aca="false">IF(ISNUMBER(BF146),BF146*DG146,0)</f>
        <v>0</v>
      </c>
      <c r="EX146" s="28" t="n">
        <f aca="false">IF(ISNUMBER(BJ146),BJ146*DH146,0)</f>
        <v>0</v>
      </c>
      <c r="EY146" s="28" t="n">
        <f aca="false">IF(ISNUMBER(BN146),BN146*DI146,0)</f>
        <v>0</v>
      </c>
      <c r="EZ146" s="28" t="n">
        <f aca="false">IF(ISNUMBER(BR146),BR146*DJ146,0)</f>
        <v>0</v>
      </c>
      <c r="FA146" s="28" t="n">
        <f aca="false">IF(ISNUMBER(R146),CW146,0)</f>
        <v>1</v>
      </c>
      <c r="FB146" s="28" t="n">
        <f aca="false">IF(ISNUMBER(V146),CX146,0)</f>
        <v>1</v>
      </c>
      <c r="FC146" s="28" t="n">
        <f aca="false">IF(ISNUMBER(Z146),CY146,0)</f>
        <v>1</v>
      </c>
      <c r="FD146" s="28" t="n">
        <f aca="false">IF(ISNUMBER(AD146),CZ146,0)</f>
        <v>0</v>
      </c>
      <c r="FE146" s="28" t="n">
        <f aca="false">IF(ISNUMBER(AH146),DA146,0)</f>
        <v>0</v>
      </c>
      <c r="FF146" s="28" t="n">
        <f aca="false">IF(ISNUMBER(AL146),DB146,0)</f>
        <v>0</v>
      </c>
      <c r="FG146" s="28" t="n">
        <f aca="false">IF(ISNUMBER(AP146),DC146,0)</f>
        <v>2</v>
      </c>
      <c r="FH146" s="28" t="n">
        <f aca="false">IF(ISNUMBER(AT146),DD146,0)</f>
        <v>0</v>
      </c>
      <c r="FI146" s="28" t="n">
        <f aca="false">IF(ISNUMBER(AX146),DE146,0)</f>
        <v>0</v>
      </c>
      <c r="FJ146" s="28" t="n">
        <f aca="false">IF(ISNUMBER(BB146),DF146,0)</f>
        <v>0</v>
      </c>
      <c r="FK146" s="28" t="n">
        <f aca="false">IF(ISNUMBER(BF146),DG146,0)</f>
        <v>0</v>
      </c>
      <c r="FL146" s="28" t="n">
        <f aca="false">IF(ISNUMBER(BJ146),DH146,0)</f>
        <v>0</v>
      </c>
      <c r="FM146" s="28" t="n">
        <f aca="false">IF(ISNUMBER(BN146),DI146,0)</f>
        <v>0</v>
      </c>
      <c r="FN146" s="28" t="n">
        <f aca="false">IF(ISNUMBER(BR146),DJ146,0)</f>
        <v>0</v>
      </c>
      <c r="FO146" s="28" t="str">
        <f aca="false">IFERROR(INDEX(Lists!$G$2:$G$20,MATCH($I146&amp;"|"&amp;$J146,Lists!$F$2:$F$20,0)),"")</f>
        <v>BM Exam</v>
      </c>
    </row>
    <row r="147" customFormat="false" ht="19.5" hidden="false" customHeight="true" outlineLevel="0" collapsed="false">
      <c r="A147" s="29" t="s">
        <v>210</v>
      </c>
      <c r="B147" s="29" t="s">
        <v>211</v>
      </c>
      <c r="C147" s="30" t="s">
        <v>152</v>
      </c>
      <c r="D147" s="30" t="s">
        <v>383</v>
      </c>
      <c r="E147" s="31" t="n">
        <v>5.8</v>
      </c>
      <c r="F147" s="30" t="n">
        <v>6</v>
      </c>
      <c r="G147" s="30"/>
      <c r="H147" s="32" t="s">
        <v>23</v>
      </c>
      <c r="I147" s="33" t="s">
        <v>365</v>
      </c>
      <c r="J147" s="32" t="s">
        <v>25</v>
      </c>
      <c r="K147" s="34" t="n">
        <f aca="false">IF(OR(M147="",$E147=""),"",M147-$E147)</f>
        <v>1.2</v>
      </c>
      <c r="L147" s="35" t="n">
        <f aca="false">IF(SUM(FA147:FN147)=0,"",SUM(EM147:EZ147)/SUM(FA147:FN147))</f>
        <v>80.6666666666667</v>
      </c>
      <c r="M147" s="36" t="n">
        <f aca="false">IF(OR(L147="",FO147=""),"",IFERROR(MATCH(L147,INDEX(Boundaries!$B$2:$I$30,MATCH(FO147,Boundaries!$A$2:$A$30,0),0),1)-1,""))</f>
        <v>7</v>
      </c>
      <c r="N147" s="37" t="n">
        <f aca="false">IF(COUNT($DY147:$EL147)&lt;2,"",INDEX($DK147:$DX147,MAX($DY147:$EL147))-INDEX($DK147:$DX147,MIN($DY147:$EL147)))</f>
        <v>2</v>
      </c>
      <c r="O147" s="37" t="n">
        <f aca="false">IF(COUNT($DY147:$EL147)&lt;2,"",INDEX($DK147:$DX147,MAX($DY147:$EL147))-INDEX($DK147:$DX147,LARGE($DY147:$EL147,2)))</f>
        <v>1</v>
      </c>
      <c r="P147" s="38" t="str">
        <f aca="false">IF(K147="","",IF(K147&gt;=0,"On/above target",IF(AND(N147&lt;&gt;"",N147&gt;=0.5),"Improving towards target",IF(AND(O147&lt;&gt;"",O147&lt;=-0.5),"Declining","Stable below target"))))</f>
        <v>On/above target</v>
      </c>
      <c r="Q147" s="39" t="n">
        <v>14</v>
      </c>
      <c r="R147" s="40" t="n">
        <f aca="false">IF(OR(Q147="",BU147=""),"",Q147/BU147*100)</f>
        <v>58.3333333333333</v>
      </c>
      <c r="S147" s="41" t="n">
        <f aca="false">IF(R147="","",IFERROR(MATCH(R147,INDEX(Boundaries!$B$2:$I$30,MATCH(CI147,Boundaries!$A$2:$A$30,0),0),1)-1,""))</f>
        <v>5</v>
      </c>
      <c r="T147" s="42" t="n">
        <f aca="false">IF(OR(S147="",$E147=""),"",S147-$E147)</f>
        <v>-0.8</v>
      </c>
      <c r="U147" s="39" t="n">
        <v>15</v>
      </c>
      <c r="V147" s="40" t="n">
        <f aca="false">IF(OR(U147="",BV147=""),"",U147/BV147*100)</f>
        <v>75</v>
      </c>
      <c r="W147" s="41" t="n">
        <f aca="false">IF(V147="","",IFERROR(MATCH(V147,INDEX(Boundaries!$B$2:$I$30,MATCH(CJ147,Boundaries!$A$2:$A$30,0),0),1)-1,""))</f>
        <v>7</v>
      </c>
      <c r="X147" s="42" t="n">
        <f aca="false">IF(OR(W147="",$E147=""),"",W147-$E147)</f>
        <v>1.2</v>
      </c>
      <c r="Y147" s="39" t="n">
        <v>14</v>
      </c>
      <c r="Z147" s="40" t="n">
        <f aca="false">IF(OR(Y147="",BW147=""),"",Y147/BW147*100)</f>
        <v>70</v>
      </c>
      <c r="AA147" s="41" t="n">
        <f aca="false">IF(Z147="","",IFERROR(MATCH(Z147,INDEX(Boundaries!$B$2:$I$30,MATCH(CK147,Boundaries!$A$2:$A$30,0),0),1)-1,""))</f>
        <v>6</v>
      </c>
      <c r="AB147" s="42" t="n">
        <f aca="false">IF(OR(AA147="",$E147=""),"",AA147-$E147)</f>
        <v>0.2</v>
      </c>
      <c r="AC147" s="39"/>
      <c r="AD147" s="40" t="str">
        <f aca="false">IF(OR(AC147="",BX147=""),"",AC147/BX147*100)</f>
        <v/>
      </c>
      <c r="AE147" s="41" t="str">
        <f aca="false">IF(AD147="","",IFERROR(MATCH(AD147,INDEX(Boundaries!$B$2:$I$30,MATCH(CL147,Boundaries!$A$2:$A$30,0),0),1)-1,""))</f>
        <v/>
      </c>
      <c r="AF147" s="42" t="str">
        <f aca="false">IF(OR(AE147="",$E147=""),"",AE147-$E147)</f>
        <v/>
      </c>
      <c r="AG147" s="39"/>
      <c r="AH147" s="40" t="str">
        <f aca="false">IF(OR(AG147="",BY147=""),"",AG147/BY147*100)</f>
        <v/>
      </c>
      <c r="AI147" s="41" t="str">
        <f aca="false">IF(AH147="","",IFERROR(MATCH(AH147,INDEX(Boundaries!$B$2:$I$30,MATCH(CM147,Boundaries!$A$2:$A$30,0),0),1)-1,""))</f>
        <v/>
      </c>
      <c r="AJ147" s="42" t="str">
        <f aca="false">IF(OR(AI147="",$E147=""),"",AI147-$E147)</f>
        <v/>
      </c>
      <c r="AK147" s="39"/>
      <c r="AL147" s="40" t="str">
        <f aca="false">IF(OR(AK147="",BZ147=""),"",AK147/BZ147*100)</f>
        <v/>
      </c>
      <c r="AM147" s="41" t="str">
        <f aca="false">IF(AL147="","",IFERROR(MATCH(AL147,INDEX(Boundaries!$B$2:$I$30,MATCH(CN147,Boundaries!$A$2:$A$30,0),0),1)-1,""))</f>
        <v/>
      </c>
      <c r="AN147" s="42" t="str">
        <f aca="false">IF(OR(AM147="",$E147=""),"",AM147-$E147)</f>
        <v/>
      </c>
      <c r="AO147" s="39" t="n">
        <v>7</v>
      </c>
      <c r="AP147" s="40" t="n">
        <f aca="false">IF(OR(AO147="",CA147=""),"",AO147/CA147*100)</f>
        <v>100</v>
      </c>
      <c r="AQ147" s="41" t="n">
        <f aca="false">IF(AP147="","",IFERROR(MATCH(AP147,INDEX(Boundaries!$B$2:$I$30,MATCH(CO147,Boundaries!$A$2:$A$30,0),0),1)-1,""))</f>
        <v>7</v>
      </c>
      <c r="AR147" s="42" t="n">
        <f aca="false">IF(OR(AQ147="",$E147=""),"",AQ147-$E147)</f>
        <v>1.2</v>
      </c>
      <c r="AS147" s="39"/>
      <c r="AT147" s="40" t="str">
        <f aca="false">IF(OR(AS147="",CB147=""),"",AS147/CB147*100)</f>
        <v/>
      </c>
      <c r="AU147" s="41" t="str">
        <f aca="false">IF(AT147="","",IFERROR(MATCH(AT147,INDEX(Boundaries!$B$2:$I$30,MATCH(CP147,Boundaries!$A$2:$A$30,0),0),1)-1,""))</f>
        <v/>
      </c>
      <c r="AV147" s="42" t="str">
        <f aca="false">IF(OR(AU147="",$E147=""),"",AU147-$E147)</f>
        <v/>
      </c>
      <c r="AW147" s="39"/>
      <c r="AX147" s="40" t="str">
        <f aca="false">IF(OR(AW147="",CC147=""),"",AW147/CC147*100)</f>
        <v/>
      </c>
      <c r="AY147" s="41" t="str">
        <f aca="false">IF(AX147="","",IFERROR(MATCH(AX147,INDEX(Boundaries!$B$2:$I$30,MATCH(CQ147,Boundaries!$A$2:$A$30,0),0),1)-1,""))</f>
        <v/>
      </c>
      <c r="AZ147" s="42" t="str">
        <f aca="false">IF(OR(AY147="",$E147=""),"",AY147-$E147)</f>
        <v/>
      </c>
      <c r="BA147" s="39"/>
      <c r="BB147" s="40" t="str">
        <f aca="false">IF(OR(BA147="",CD147=""),"",BA147/CD147*100)</f>
        <v/>
      </c>
      <c r="BC147" s="41" t="str">
        <f aca="false">IF(BB147="","",IFERROR(MATCH(BB147,INDEX(Boundaries!$B$2:$I$30,MATCH(CR147,Boundaries!$A$2:$A$30,0),0),1)-1,""))</f>
        <v/>
      </c>
      <c r="BD147" s="42" t="str">
        <f aca="false">IF(OR(BC147="",$E147=""),"",BC147-$E147)</f>
        <v/>
      </c>
      <c r="BE147" s="39"/>
      <c r="BF147" s="40" t="str">
        <f aca="false">IF(OR(BE147="",CE147=""),"",BE147/CE147*100)</f>
        <v/>
      </c>
      <c r="BG147" s="41" t="str">
        <f aca="false">IF(BF147="","",IFERROR(MATCH(BF147,INDEX(Boundaries!$B$2:$I$30,MATCH(CS147,Boundaries!$A$2:$A$30,0),0),1)-1,""))</f>
        <v/>
      </c>
      <c r="BH147" s="42" t="str">
        <f aca="false">IF(OR(BG147="",$E147=""),"",BG147-$E147)</f>
        <v/>
      </c>
      <c r="BI147" s="39"/>
      <c r="BJ147" s="40" t="str">
        <f aca="false">IF(OR(BI147="",CF147=""),"",BI147/CF147*100)</f>
        <v/>
      </c>
      <c r="BK147" s="41" t="str">
        <f aca="false">IF(BJ147="","",IFERROR(MATCH(BJ147,INDEX(Boundaries!$B$2:$I$30,MATCH(CT147,Boundaries!$A$2:$A$30,0),0),1)-1,""))</f>
        <v/>
      </c>
      <c r="BL147" s="42" t="str">
        <f aca="false">IF(OR(BK147="",$E147=""),"",BK147-$E147)</f>
        <v/>
      </c>
      <c r="BM147" s="39"/>
      <c r="BN147" s="40" t="str">
        <f aca="false">IF(OR(BM147="",CG147=""),"",BM147/CG147*100)</f>
        <v/>
      </c>
      <c r="BO147" s="41" t="str">
        <f aca="false">IF(BN147="","",IFERROR(MATCH(BN147,INDEX(Boundaries!$B$2:$I$30,MATCH(CU147,Boundaries!$A$2:$A$30,0),0),1)-1,""))</f>
        <v/>
      </c>
      <c r="BP147" s="42" t="str">
        <f aca="false">IF(OR(BO147="",$E147=""),"",BO147-$E147)</f>
        <v/>
      </c>
      <c r="BQ147" s="39"/>
      <c r="BR147" s="40" t="str">
        <f aca="false">IF(OR(BQ147="",CH147=""),"",BQ147/CH147*100)</f>
        <v/>
      </c>
      <c r="BS147" s="41" t="str">
        <f aca="false">IF(BR147="","",IFERROR(MATCH(BR147,INDEX(Boundaries!$B$2:$I$30,MATCH(CV147,Boundaries!$A$2:$A$30,0),0),1)-1,""))</f>
        <v/>
      </c>
      <c r="BT147" s="42" t="str">
        <f aca="false">IF(OR(BS147="",$E147=""),"",BS147-$E147)</f>
        <v/>
      </c>
      <c r="BU147" s="28" t="n">
        <f aca="false">IFERROR(INDEX(Assessments!$H$2:$H$600,MATCH($H147&amp;"|"&amp;$I147&amp;"|"&amp;$J147&amp;"|"&amp;1,Assessments!$A$2:$A$600,0)),"")</f>
        <v>24</v>
      </c>
      <c r="BV147" s="28" t="n">
        <f aca="false">IFERROR(INDEX(Assessments!$H$2:$H$600,MATCH($H147&amp;"|"&amp;$I147&amp;"|"&amp;$J147&amp;"|"&amp;2,Assessments!$A$2:$A$600,0)),"")</f>
        <v>20</v>
      </c>
      <c r="BW147" s="28" t="n">
        <f aca="false">IFERROR(INDEX(Assessments!$H$2:$H$600,MATCH($H147&amp;"|"&amp;$I147&amp;"|"&amp;$J147&amp;"|"&amp;3,Assessments!$A$2:$A$600,0)),"")</f>
        <v>20</v>
      </c>
      <c r="BX147" s="28" t="n">
        <f aca="false">IFERROR(INDEX(Assessments!$H$2:$H$600,MATCH($H147&amp;"|"&amp;$I147&amp;"|"&amp;$J147&amp;"|"&amp;4,Assessments!$A$2:$A$600,0)),"")</f>
        <v>40</v>
      </c>
      <c r="BY147" s="28" t="n">
        <f aca="false">IFERROR(INDEX(Assessments!$H$2:$H$600,MATCH($H147&amp;"|"&amp;$I147&amp;"|"&amp;$J147&amp;"|"&amp;5,Assessments!$A$2:$A$600,0)),"")</f>
        <v>30</v>
      </c>
      <c r="BZ147" s="28" t="n">
        <f aca="false">IFERROR(INDEX(Assessments!$H$2:$H$600,MATCH($H147&amp;"|"&amp;$I147&amp;"|"&amp;$J147&amp;"|"&amp;6,Assessments!$A$2:$A$600,0)),"")</f>
        <v>20</v>
      </c>
      <c r="CA147" s="28" t="n">
        <f aca="false">IFERROR(INDEX(Assessments!$H$2:$H$600,MATCH($H147&amp;"|"&amp;$I147&amp;"|"&amp;$J147&amp;"|"&amp;7,Assessments!$A$2:$A$600,0)),"")</f>
        <v>7</v>
      </c>
      <c r="CB147" s="28" t="str">
        <f aca="false">IFERROR(INDEX(Assessments!$H$2:$H$600,MATCH($H147&amp;"|"&amp;$I147&amp;"|"&amp;$J147&amp;"|"&amp;8,Assessments!$A$2:$A$600,0)),"")</f>
        <v/>
      </c>
      <c r="CC147" s="28" t="str">
        <f aca="false">IFERROR(INDEX(Assessments!$H$2:$H$600,MATCH($H147&amp;"|"&amp;$I147&amp;"|"&amp;$J147&amp;"|"&amp;9,Assessments!$A$2:$A$600,0)),"")</f>
        <v/>
      </c>
      <c r="CD147" s="28" t="str">
        <f aca="false">IFERROR(INDEX(Assessments!$H$2:$H$600,MATCH($H147&amp;"|"&amp;$I147&amp;"|"&amp;$J147&amp;"|"&amp;10,Assessments!$A$2:$A$600,0)),"")</f>
        <v/>
      </c>
      <c r="CE147" s="28" t="str">
        <f aca="false">IFERROR(INDEX(Assessments!$H$2:$H$600,MATCH($H147&amp;"|"&amp;$I147&amp;"|"&amp;$J147&amp;"|"&amp;11,Assessments!$A$2:$A$600,0)),"")</f>
        <v/>
      </c>
      <c r="CF147" s="28" t="str">
        <f aca="false">IFERROR(INDEX(Assessments!$H$2:$H$600,MATCH($H147&amp;"|"&amp;$I147&amp;"|"&amp;$J147&amp;"|"&amp;12,Assessments!$A$2:$A$600,0)),"")</f>
        <v/>
      </c>
      <c r="CG147" s="28" t="str">
        <f aca="false">IFERROR(INDEX(Assessments!$H$2:$H$600,MATCH($H147&amp;"|"&amp;$I147&amp;"|"&amp;$J147&amp;"|"&amp;13,Assessments!$A$2:$A$600,0)),"")</f>
        <v/>
      </c>
      <c r="CH147" s="28" t="str">
        <f aca="false">IFERROR(INDEX(Assessments!$H$2:$H$600,MATCH($H147&amp;"|"&amp;$I147&amp;"|"&amp;$J147&amp;"|"&amp;14,Assessments!$A$2:$A$600,0)),"")</f>
        <v/>
      </c>
      <c r="CI147" s="28" t="str">
        <f aca="false">IFERROR(INDEX(Assessments!$I$2:$I$600,MATCH($H147&amp;"|"&amp;$I147&amp;"|"&amp;$J147&amp;"|"&amp;1,Assessments!$A$2:$A$600,0)),"")</f>
        <v>BM Test</v>
      </c>
      <c r="CJ147" s="28" t="str">
        <f aca="false">IFERROR(INDEX(Assessments!$I$2:$I$600,MATCH($H147&amp;"|"&amp;$I147&amp;"|"&amp;$J147&amp;"|"&amp;2,Assessments!$A$2:$A$600,0)),"")</f>
        <v>BM Test</v>
      </c>
      <c r="CK147" s="28" t="str">
        <f aca="false">IFERROR(INDEX(Assessments!$I$2:$I$600,MATCH($H147&amp;"|"&amp;$I147&amp;"|"&amp;$J147&amp;"|"&amp;3,Assessments!$A$2:$A$600,0)),"")</f>
        <v>BM Test</v>
      </c>
      <c r="CL147" s="28" t="str">
        <f aca="false">IFERROR(INDEX(Assessments!$I$2:$I$600,MATCH($H147&amp;"|"&amp;$I147&amp;"|"&amp;$J147&amp;"|"&amp;4,Assessments!$A$2:$A$600,0)),"")</f>
        <v>BM Exam</v>
      </c>
      <c r="CM147" s="28" t="str">
        <f aca="false">IFERROR(INDEX(Assessments!$I$2:$I$600,MATCH($H147&amp;"|"&amp;$I147&amp;"|"&amp;$J147&amp;"|"&amp;5,Assessments!$A$2:$A$600,0)),"")</f>
        <v>BM Test</v>
      </c>
      <c r="CN147" s="28" t="str">
        <f aca="false">IFERROR(INDEX(Assessments!$I$2:$I$600,MATCH($H147&amp;"|"&amp;$I147&amp;"|"&amp;$J147&amp;"|"&amp;6,Assessments!$A$2:$A$600,0)),"")</f>
        <v>BM Test</v>
      </c>
      <c r="CO147" s="28" t="str">
        <f aca="false">IFERROR(INDEX(Assessments!$I$2:$I$600,MATCH($H147&amp;"|"&amp;$I147&amp;"|"&amp;$J147&amp;"|"&amp;7,Assessments!$A$2:$A$600,0)),"")</f>
        <v>Grade entered</v>
      </c>
      <c r="CP147" s="28" t="str">
        <f aca="false">IFERROR(INDEX(Assessments!$I$2:$I$600,MATCH($H147&amp;"|"&amp;$I147&amp;"|"&amp;$J147&amp;"|"&amp;8,Assessments!$A$2:$A$600,0)),"")</f>
        <v/>
      </c>
      <c r="CQ147" s="28" t="str">
        <f aca="false">IFERROR(INDEX(Assessments!$I$2:$I$600,MATCH($H147&amp;"|"&amp;$I147&amp;"|"&amp;$J147&amp;"|"&amp;9,Assessments!$A$2:$A$600,0)),"")</f>
        <v/>
      </c>
      <c r="CR147" s="28" t="str">
        <f aca="false">IFERROR(INDEX(Assessments!$I$2:$I$600,MATCH($H147&amp;"|"&amp;$I147&amp;"|"&amp;$J147&amp;"|"&amp;10,Assessments!$A$2:$A$600,0)),"")</f>
        <v/>
      </c>
      <c r="CS147" s="28" t="str">
        <f aca="false">IFERROR(INDEX(Assessments!$I$2:$I$600,MATCH($H147&amp;"|"&amp;$I147&amp;"|"&amp;$J147&amp;"|"&amp;11,Assessments!$A$2:$A$600,0)),"")</f>
        <v/>
      </c>
      <c r="CT147" s="28" t="str">
        <f aca="false">IFERROR(INDEX(Assessments!$I$2:$I$600,MATCH($H147&amp;"|"&amp;$I147&amp;"|"&amp;$J147&amp;"|"&amp;12,Assessments!$A$2:$A$600,0)),"")</f>
        <v/>
      </c>
      <c r="CU147" s="28" t="str">
        <f aca="false">IFERROR(INDEX(Assessments!$I$2:$I$600,MATCH($H147&amp;"|"&amp;$I147&amp;"|"&amp;$J147&amp;"|"&amp;13,Assessments!$A$2:$A$600,0)),"")</f>
        <v/>
      </c>
      <c r="CV147" s="28" t="str">
        <f aca="false">IFERROR(INDEX(Assessments!$I$2:$I$600,MATCH($H147&amp;"|"&amp;$I147&amp;"|"&amp;$J147&amp;"|"&amp;14,Assessments!$A$2:$A$600,0)),"")</f>
        <v/>
      </c>
      <c r="CW147" s="28" t="n">
        <f aca="false">IFERROR(INDEX(Assessments!$J$2:$J$600,MATCH($H147&amp;"|"&amp;$I147&amp;"|"&amp;$J147&amp;"|"&amp;1,Assessments!$A$2:$A$600,0)),0)</f>
        <v>1</v>
      </c>
      <c r="CX147" s="28" t="n">
        <f aca="false">IFERROR(INDEX(Assessments!$J$2:$J$600,MATCH($H147&amp;"|"&amp;$I147&amp;"|"&amp;$J147&amp;"|"&amp;2,Assessments!$A$2:$A$600,0)),0)</f>
        <v>1</v>
      </c>
      <c r="CY147" s="28" t="n">
        <f aca="false">IFERROR(INDEX(Assessments!$J$2:$J$600,MATCH($H147&amp;"|"&amp;$I147&amp;"|"&amp;$J147&amp;"|"&amp;3,Assessments!$A$2:$A$600,0)),0)</f>
        <v>1</v>
      </c>
      <c r="CZ147" s="28" t="n">
        <f aca="false">IFERROR(INDEX(Assessments!$J$2:$J$600,MATCH($H147&amp;"|"&amp;$I147&amp;"|"&amp;$J147&amp;"|"&amp;4,Assessments!$A$2:$A$600,0)),0)</f>
        <v>2</v>
      </c>
      <c r="DA147" s="28" t="n">
        <f aca="false">IFERROR(INDEX(Assessments!$J$2:$J$600,MATCH($H147&amp;"|"&amp;$I147&amp;"|"&amp;$J147&amp;"|"&amp;5,Assessments!$A$2:$A$600,0)),0)</f>
        <v>1</v>
      </c>
      <c r="DB147" s="28" t="n">
        <f aca="false">IFERROR(INDEX(Assessments!$J$2:$J$600,MATCH($H147&amp;"|"&amp;$I147&amp;"|"&amp;$J147&amp;"|"&amp;6,Assessments!$A$2:$A$600,0)),0)</f>
        <v>1</v>
      </c>
      <c r="DC147" s="28" t="n">
        <f aca="false">IFERROR(INDEX(Assessments!$J$2:$J$600,MATCH($H147&amp;"|"&amp;$I147&amp;"|"&amp;$J147&amp;"|"&amp;7,Assessments!$A$2:$A$600,0)),0)</f>
        <v>2</v>
      </c>
      <c r="DD147" s="28" t="n">
        <f aca="false">IFERROR(INDEX(Assessments!$J$2:$J$600,MATCH($H147&amp;"|"&amp;$I147&amp;"|"&amp;$J147&amp;"|"&amp;8,Assessments!$A$2:$A$600,0)),0)</f>
        <v>0</v>
      </c>
      <c r="DE147" s="28" t="n">
        <f aca="false">IFERROR(INDEX(Assessments!$J$2:$J$600,MATCH($H147&amp;"|"&amp;$I147&amp;"|"&amp;$J147&amp;"|"&amp;9,Assessments!$A$2:$A$600,0)),0)</f>
        <v>0</v>
      </c>
      <c r="DF147" s="28" t="n">
        <f aca="false">IFERROR(INDEX(Assessments!$J$2:$J$600,MATCH($H147&amp;"|"&amp;$I147&amp;"|"&amp;$J147&amp;"|"&amp;10,Assessments!$A$2:$A$600,0)),0)</f>
        <v>0</v>
      </c>
      <c r="DG147" s="28" t="n">
        <f aca="false">IFERROR(INDEX(Assessments!$J$2:$J$600,MATCH($H147&amp;"|"&amp;$I147&amp;"|"&amp;$J147&amp;"|"&amp;11,Assessments!$A$2:$A$600,0)),0)</f>
        <v>0</v>
      </c>
      <c r="DH147" s="28" t="n">
        <f aca="false">IFERROR(INDEX(Assessments!$J$2:$J$600,MATCH($H147&amp;"|"&amp;$I147&amp;"|"&amp;$J147&amp;"|"&amp;12,Assessments!$A$2:$A$600,0)),0)</f>
        <v>0</v>
      </c>
      <c r="DI147" s="28" t="n">
        <f aca="false">IFERROR(INDEX(Assessments!$J$2:$J$600,MATCH($H147&amp;"|"&amp;$I147&amp;"|"&amp;$J147&amp;"|"&amp;13,Assessments!$A$2:$A$600,0)),0)</f>
        <v>0</v>
      </c>
      <c r="DJ147" s="28" t="n">
        <f aca="false">IFERROR(INDEX(Assessments!$J$2:$J$600,MATCH($H147&amp;"|"&amp;$I147&amp;"|"&amp;$J147&amp;"|"&amp;14,Assessments!$A$2:$A$600,0)),0)</f>
        <v>0</v>
      </c>
      <c r="DK147" s="28" t="n">
        <f aca="false">S147</f>
        <v>5</v>
      </c>
      <c r="DL147" s="28" t="n">
        <f aca="false">W147</f>
        <v>7</v>
      </c>
      <c r="DM147" s="28" t="n">
        <f aca="false">AA147</f>
        <v>6</v>
      </c>
      <c r="DN147" s="28" t="str">
        <f aca="false">AE147</f>
        <v/>
      </c>
      <c r="DO147" s="28" t="str">
        <f aca="false">AI147</f>
        <v/>
      </c>
      <c r="DP147" s="28" t="str">
        <f aca="false">AM147</f>
        <v/>
      </c>
      <c r="DQ147" s="28" t="n">
        <f aca="false">AQ147</f>
        <v>7</v>
      </c>
      <c r="DR147" s="28" t="str">
        <f aca="false">AU147</f>
        <v/>
      </c>
      <c r="DS147" s="28" t="str">
        <f aca="false">AY147</f>
        <v/>
      </c>
      <c r="DT147" s="28" t="str">
        <f aca="false">BC147</f>
        <v/>
      </c>
      <c r="DU147" s="28" t="str">
        <f aca="false">BG147</f>
        <v/>
      </c>
      <c r="DV147" s="28" t="str">
        <f aca="false">BK147</f>
        <v/>
      </c>
      <c r="DW147" s="28" t="str">
        <f aca="false">BO147</f>
        <v/>
      </c>
      <c r="DX147" s="28" t="str">
        <f aca="false">BS147</f>
        <v/>
      </c>
      <c r="DY147" s="28" t="n">
        <f aca="false">IF(ISNUMBER(S147),1,"")</f>
        <v>1</v>
      </c>
      <c r="DZ147" s="28" t="n">
        <f aca="false">IF(ISNUMBER(W147),2,"")</f>
        <v>2</v>
      </c>
      <c r="EA147" s="28" t="n">
        <f aca="false">IF(ISNUMBER(AA147),3,"")</f>
        <v>3</v>
      </c>
      <c r="EB147" s="28" t="str">
        <f aca="false">IF(ISNUMBER(AE147),4,"")</f>
        <v/>
      </c>
      <c r="EC147" s="28" t="str">
        <f aca="false">IF(ISNUMBER(AI147),5,"")</f>
        <v/>
      </c>
      <c r="ED147" s="28" t="str">
        <f aca="false">IF(ISNUMBER(AM147),6,"")</f>
        <v/>
      </c>
      <c r="EE147" s="28" t="n">
        <f aca="false">IF(ISNUMBER(AQ147),7,"")</f>
        <v>7</v>
      </c>
      <c r="EF147" s="28" t="str">
        <f aca="false">IF(ISNUMBER(AU147),8,"")</f>
        <v/>
      </c>
      <c r="EG147" s="28" t="str">
        <f aca="false">IF(ISNUMBER(AY147),9,"")</f>
        <v/>
      </c>
      <c r="EH147" s="28" t="str">
        <f aca="false">IF(ISNUMBER(BC147),10,"")</f>
        <v/>
      </c>
      <c r="EI147" s="28" t="str">
        <f aca="false">IF(ISNUMBER(BG147),11,"")</f>
        <v/>
      </c>
      <c r="EJ147" s="28" t="str">
        <f aca="false">IF(ISNUMBER(BK147),12,"")</f>
        <v/>
      </c>
      <c r="EK147" s="28" t="str">
        <f aca="false">IF(ISNUMBER(BO147),13,"")</f>
        <v/>
      </c>
      <c r="EL147" s="28" t="str">
        <f aca="false">IF(ISNUMBER(BS147),14,"")</f>
        <v/>
      </c>
      <c r="EM147" s="28" t="n">
        <f aca="false">IF(ISNUMBER(R147),R147*CW147,0)</f>
        <v>58.3333333333333</v>
      </c>
      <c r="EN147" s="28" t="n">
        <f aca="false">IF(ISNUMBER(V147),V147*CX147,0)</f>
        <v>75</v>
      </c>
      <c r="EO147" s="28" t="n">
        <f aca="false">IF(ISNUMBER(Z147),Z147*CY147,0)</f>
        <v>70</v>
      </c>
      <c r="EP147" s="28" t="n">
        <f aca="false">IF(ISNUMBER(AD147),AD147*CZ147,0)</f>
        <v>0</v>
      </c>
      <c r="EQ147" s="28" t="n">
        <f aca="false">IF(ISNUMBER(AH147),AH147*DA147,0)</f>
        <v>0</v>
      </c>
      <c r="ER147" s="28" t="n">
        <f aca="false">IF(ISNUMBER(AL147),AL147*DB147,0)</f>
        <v>0</v>
      </c>
      <c r="ES147" s="28" t="n">
        <f aca="false">IF(ISNUMBER(AP147),AP147*DC147,0)</f>
        <v>200</v>
      </c>
      <c r="ET147" s="28" t="n">
        <f aca="false">IF(ISNUMBER(AT147),AT147*DD147,0)</f>
        <v>0</v>
      </c>
      <c r="EU147" s="28" t="n">
        <f aca="false">IF(ISNUMBER(AX147),AX147*DE147,0)</f>
        <v>0</v>
      </c>
      <c r="EV147" s="28" t="n">
        <f aca="false">IF(ISNUMBER(BB147),BB147*DF147,0)</f>
        <v>0</v>
      </c>
      <c r="EW147" s="28" t="n">
        <f aca="false">IF(ISNUMBER(BF147),BF147*DG147,0)</f>
        <v>0</v>
      </c>
      <c r="EX147" s="28" t="n">
        <f aca="false">IF(ISNUMBER(BJ147),BJ147*DH147,0)</f>
        <v>0</v>
      </c>
      <c r="EY147" s="28" t="n">
        <f aca="false">IF(ISNUMBER(BN147),BN147*DI147,0)</f>
        <v>0</v>
      </c>
      <c r="EZ147" s="28" t="n">
        <f aca="false">IF(ISNUMBER(BR147),BR147*DJ147,0)</f>
        <v>0</v>
      </c>
      <c r="FA147" s="28" t="n">
        <f aca="false">IF(ISNUMBER(R147),CW147,0)</f>
        <v>1</v>
      </c>
      <c r="FB147" s="28" t="n">
        <f aca="false">IF(ISNUMBER(V147),CX147,0)</f>
        <v>1</v>
      </c>
      <c r="FC147" s="28" t="n">
        <f aca="false">IF(ISNUMBER(Z147),CY147,0)</f>
        <v>1</v>
      </c>
      <c r="FD147" s="28" t="n">
        <f aca="false">IF(ISNUMBER(AD147),CZ147,0)</f>
        <v>0</v>
      </c>
      <c r="FE147" s="28" t="n">
        <f aca="false">IF(ISNUMBER(AH147),DA147,0)</f>
        <v>0</v>
      </c>
      <c r="FF147" s="28" t="n">
        <f aca="false">IF(ISNUMBER(AL147),DB147,0)</f>
        <v>0</v>
      </c>
      <c r="FG147" s="28" t="n">
        <f aca="false">IF(ISNUMBER(AP147),DC147,0)</f>
        <v>2</v>
      </c>
      <c r="FH147" s="28" t="n">
        <f aca="false">IF(ISNUMBER(AT147),DD147,0)</f>
        <v>0</v>
      </c>
      <c r="FI147" s="28" t="n">
        <f aca="false">IF(ISNUMBER(AX147),DE147,0)</f>
        <v>0</v>
      </c>
      <c r="FJ147" s="28" t="n">
        <f aca="false">IF(ISNUMBER(BB147),DF147,0)</f>
        <v>0</v>
      </c>
      <c r="FK147" s="28" t="n">
        <f aca="false">IF(ISNUMBER(BF147),DG147,0)</f>
        <v>0</v>
      </c>
      <c r="FL147" s="28" t="n">
        <f aca="false">IF(ISNUMBER(BJ147),DH147,0)</f>
        <v>0</v>
      </c>
      <c r="FM147" s="28" t="n">
        <f aca="false">IF(ISNUMBER(BN147),DI147,0)</f>
        <v>0</v>
      </c>
      <c r="FN147" s="28" t="n">
        <f aca="false">IF(ISNUMBER(BR147),DJ147,0)</f>
        <v>0</v>
      </c>
      <c r="FO147" s="28" t="str">
        <f aca="false">IFERROR(INDEX(Lists!$G$2:$G$20,MATCH($I147&amp;"|"&amp;$J147,Lists!$F$2:$F$20,0)),"")</f>
        <v>BM Exam</v>
      </c>
    </row>
    <row r="148" customFormat="false" ht="19.5" hidden="false" customHeight="true" outlineLevel="0" collapsed="false">
      <c r="A148" s="29" t="s">
        <v>277</v>
      </c>
      <c r="B148" s="29" t="s">
        <v>278</v>
      </c>
      <c r="C148" s="30" t="s">
        <v>152</v>
      </c>
      <c r="D148" s="30" t="s">
        <v>383</v>
      </c>
      <c r="E148" s="31" t="n">
        <v>6</v>
      </c>
      <c r="F148" s="30" t="n">
        <v>6</v>
      </c>
      <c r="G148" s="30"/>
      <c r="H148" s="32" t="s">
        <v>23</v>
      </c>
      <c r="I148" s="33" t="s">
        <v>365</v>
      </c>
      <c r="J148" s="32" t="s">
        <v>25</v>
      </c>
      <c r="K148" s="34" t="n">
        <f aca="false">IF(OR(M148="",$E148=""),"",M148-$E148)</f>
        <v>1</v>
      </c>
      <c r="L148" s="35" t="n">
        <f aca="false">IF(SUM(FA148:FN148)=0,"",SUM(EM148:EZ148)/SUM(FA148:FN148))</f>
        <v>85.8333333333333</v>
      </c>
      <c r="M148" s="36" t="n">
        <f aca="false">IF(OR(L148="",FO148=""),"",IFERROR(MATCH(L148,INDEX(Boundaries!$B$2:$I$30,MATCH(FO148,Boundaries!$A$2:$A$30,0),0),1)-1,""))</f>
        <v>7</v>
      </c>
      <c r="N148" s="37" t="n">
        <f aca="false">IF(COUNT($DY148:$EL148)&lt;2,"",INDEX($DK148:$DX148,MAX($DY148:$EL148))-INDEX($DK148:$DX148,MIN($DY148:$EL148)))</f>
        <v>0</v>
      </c>
      <c r="O148" s="37" t="n">
        <f aca="false">IF(COUNT($DY148:$EL148)&lt;2,"",INDEX($DK148:$DX148,MAX($DY148:$EL148))-INDEX($DK148:$DX148,LARGE($DY148:$EL148,2)))</f>
        <v>0</v>
      </c>
      <c r="P148" s="38" t="str">
        <f aca="false">IF(K148="","",IF(K148&gt;=0,"On/above target",IF(AND(N148&lt;&gt;"",N148&gt;=0.5),"Improving towards target",IF(AND(O148&lt;&gt;"",O148&lt;=-0.5),"Declining","Stable below target"))))</f>
        <v>On/above target</v>
      </c>
      <c r="Q148" s="39" t="n">
        <v>19</v>
      </c>
      <c r="R148" s="40" t="n">
        <f aca="false">IF(OR(Q148="",BU148=""),"",Q148/BU148*100)</f>
        <v>79.1666666666667</v>
      </c>
      <c r="S148" s="41" t="n">
        <f aca="false">IF(R148="","",IFERROR(MATCH(R148,INDEX(Boundaries!$B$2:$I$30,MATCH(CI148,Boundaries!$A$2:$A$30,0),0),1)-1,""))</f>
        <v>7</v>
      </c>
      <c r="T148" s="42" t="n">
        <f aca="false">IF(OR(S148="",$E148=""),"",S148-$E148)</f>
        <v>1</v>
      </c>
      <c r="U148" s="39" t="n">
        <v>15</v>
      </c>
      <c r="V148" s="40" t="n">
        <f aca="false">IF(OR(U148="",BV148=""),"",U148/BV148*100)</f>
        <v>75</v>
      </c>
      <c r="W148" s="41" t="n">
        <f aca="false">IF(V148="","",IFERROR(MATCH(V148,INDEX(Boundaries!$B$2:$I$30,MATCH(CJ148,Boundaries!$A$2:$A$30,0),0),1)-1,""))</f>
        <v>7</v>
      </c>
      <c r="X148" s="42" t="n">
        <f aca="false">IF(OR(W148="",$E148=""),"",W148-$E148)</f>
        <v>1</v>
      </c>
      <c r="Y148" s="39" t="n">
        <v>15</v>
      </c>
      <c r="Z148" s="40" t="n">
        <f aca="false">IF(OR(Y148="",BW148=""),"",Y148/BW148*100)</f>
        <v>75</v>
      </c>
      <c r="AA148" s="41" t="n">
        <f aca="false">IF(Z148="","",IFERROR(MATCH(Z148,INDEX(Boundaries!$B$2:$I$30,MATCH(CK148,Boundaries!$A$2:$A$30,0),0),1)-1,""))</f>
        <v>7</v>
      </c>
      <c r="AB148" s="42" t="n">
        <f aca="false">IF(OR(AA148="",$E148=""),"",AA148-$E148)</f>
        <v>1</v>
      </c>
      <c r="AC148" s="39"/>
      <c r="AD148" s="40" t="str">
        <f aca="false">IF(OR(AC148="",BX148=""),"",AC148/BX148*100)</f>
        <v/>
      </c>
      <c r="AE148" s="41" t="str">
        <f aca="false">IF(AD148="","",IFERROR(MATCH(AD148,INDEX(Boundaries!$B$2:$I$30,MATCH(CL148,Boundaries!$A$2:$A$30,0),0),1)-1,""))</f>
        <v/>
      </c>
      <c r="AF148" s="42" t="str">
        <f aca="false">IF(OR(AE148="",$E148=""),"",AE148-$E148)</f>
        <v/>
      </c>
      <c r="AG148" s="39"/>
      <c r="AH148" s="40" t="str">
        <f aca="false">IF(OR(AG148="",BY148=""),"",AG148/BY148*100)</f>
        <v/>
      </c>
      <c r="AI148" s="41" t="str">
        <f aca="false">IF(AH148="","",IFERROR(MATCH(AH148,INDEX(Boundaries!$B$2:$I$30,MATCH(CM148,Boundaries!$A$2:$A$30,0),0),1)-1,""))</f>
        <v/>
      </c>
      <c r="AJ148" s="42" t="str">
        <f aca="false">IF(OR(AI148="",$E148=""),"",AI148-$E148)</f>
        <v/>
      </c>
      <c r="AK148" s="39"/>
      <c r="AL148" s="40" t="str">
        <f aca="false">IF(OR(AK148="",BZ148=""),"",AK148/BZ148*100)</f>
        <v/>
      </c>
      <c r="AM148" s="41" t="str">
        <f aca="false">IF(AL148="","",IFERROR(MATCH(AL148,INDEX(Boundaries!$B$2:$I$30,MATCH(CN148,Boundaries!$A$2:$A$30,0),0),1)-1,""))</f>
        <v/>
      </c>
      <c r="AN148" s="42" t="str">
        <f aca="false">IF(OR(AM148="",$E148=""),"",AM148-$E148)</f>
        <v/>
      </c>
      <c r="AO148" s="39" t="n">
        <v>7</v>
      </c>
      <c r="AP148" s="40" t="n">
        <f aca="false">IF(OR(AO148="",CA148=""),"",AO148/CA148*100)</f>
        <v>100</v>
      </c>
      <c r="AQ148" s="41" t="n">
        <f aca="false">IF(AP148="","",IFERROR(MATCH(AP148,INDEX(Boundaries!$B$2:$I$30,MATCH(CO148,Boundaries!$A$2:$A$30,0),0),1)-1,""))</f>
        <v>7</v>
      </c>
      <c r="AR148" s="42" t="n">
        <f aca="false">IF(OR(AQ148="",$E148=""),"",AQ148-$E148)</f>
        <v>1</v>
      </c>
      <c r="AS148" s="39"/>
      <c r="AT148" s="40" t="str">
        <f aca="false">IF(OR(AS148="",CB148=""),"",AS148/CB148*100)</f>
        <v/>
      </c>
      <c r="AU148" s="41" t="str">
        <f aca="false">IF(AT148="","",IFERROR(MATCH(AT148,INDEX(Boundaries!$B$2:$I$30,MATCH(CP148,Boundaries!$A$2:$A$30,0),0),1)-1,""))</f>
        <v/>
      </c>
      <c r="AV148" s="42" t="str">
        <f aca="false">IF(OR(AU148="",$E148=""),"",AU148-$E148)</f>
        <v/>
      </c>
      <c r="AW148" s="39"/>
      <c r="AX148" s="40" t="str">
        <f aca="false">IF(OR(AW148="",CC148=""),"",AW148/CC148*100)</f>
        <v/>
      </c>
      <c r="AY148" s="41" t="str">
        <f aca="false">IF(AX148="","",IFERROR(MATCH(AX148,INDEX(Boundaries!$B$2:$I$30,MATCH(CQ148,Boundaries!$A$2:$A$30,0),0),1)-1,""))</f>
        <v/>
      </c>
      <c r="AZ148" s="42" t="str">
        <f aca="false">IF(OR(AY148="",$E148=""),"",AY148-$E148)</f>
        <v/>
      </c>
      <c r="BA148" s="39"/>
      <c r="BB148" s="40" t="str">
        <f aca="false">IF(OR(BA148="",CD148=""),"",BA148/CD148*100)</f>
        <v/>
      </c>
      <c r="BC148" s="41" t="str">
        <f aca="false">IF(BB148="","",IFERROR(MATCH(BB148,INDEX(Boundaries!$B$2:$I$30,MATCH(CR148,Boundaries!$A$2:$A$30,0),0),1)-1,""))</f>
        <v/>
      </c>
      <c r="BD148" s="42" t="str">
        <f aca="false">IF(OR(BC148="",$E148=""),"",BC148-$E148)</f>
        <v/>
      </c>
      <c r="BE148" s="39"/>
      <c r="BF148" s="40" t="str">
        <f aca="false">IF(OR(BE148="",CE148=""),"",BE148/CE148*100)</f>
        <v/>
      </c>
      <c r="BG148" s="41" t="str">
        <f aca="false">IF(BF148="","",IFERROR(MATCH(BF148,INDEX(Boundaries!$B$2:$I$30,MATCH(CS148,Boundaries!$A$2:$A$30,0),0),1)-1,""))</f>
        <v/>
      </c>
      <c r="BH148" s="42" t="str">
        <f aca="false">IF(OR(BG148="",$E148=""),"",BG148-$E148)</f>
        <v/>
      </c>
      <c r="BI148" s="39"/>
      <c r="BJ148" s="40" t="str">
        <f aca="false">IF(OR(BI148="",CF148=""),"",BI148/CF148*100)</f>
        <v/>
      </c>
      <c r="BK148" s="41" t="str">
        <f aca="false">IF(BJ148="","",IFERROR(MATCH(BJ148,INDEX(Boundaries!$B$2:$I$30,MATCH(CT148,Boundaries!$A$2:$A$30,0),0),1)-1,""))</f>
        <v/>
      </c>
      <c r="BL148" s="42" t="str">
        <f aca="false">IF(OR(BK148="",$E148=""),"",BK148-$E148)</f>
        <v/>
      </c>
      <c r="BM148" s="39"/>
      <c r="BN148" s="40" t="str">
        <f aca="false">IF(OR(BM148="",CG148=""),"",BM148/CG148*100)</f>
        <v/>
      </c>
      <c r="BO148" s="41" t="str">
        <f aca="false">IF(BN148="","",IFERROR(MATCH(BN148,INDEX(Boundaries!$B$2:$I$30,MATCH(CU148,Boundaries!$A$2:$A$30,0),0),1)-1,""))</f>
        <v/>
      </c>
      <c r="BP148" s="42" t="str">
        <f aca="false">IF(OR(BO148="",$E148=""),"",BO148-$E148)</f>
        <v/>
      </c>
      <c r="BQ148" s="39"/>
      <c r="BR148" s="40" t="str">
        <f aca="false">IF(OR(BQ148="",CH148=""),"",BQ148/CH148*100)</f>
        <v/>
      </c>
      <c r="BS148" s="41" t="str">
        <f aca="false">IF(BR148="","",IFERROR(MATCH(BR148,INDEX(Boundaries!$B$2:$I$30,MATCH(CV148,Boundaries!$A$2:$A$30,0),0),1)-1,""))</f>
        <v/>
      </c>
      <c r="BT148" s="42" t="str">
        <f aca="false">IF(OR(BS148="",$E148=""),"",BS148-$E148)</f>
        <v/>
      </c>
      <c r="BU148" s="28" t="n">
        <f aca="false">IFERROR(INDEX(Assessments!$H$2:$H$600,MATCH($H148&amp;"|"&amp;$I148&amp;"|"&amp;$J148&amp;"|"&amp;1,Assessments!$A$2:$A$600,0)),"")</f>
        <v>24</v>
      </c>
      <c r="BV148" s="28" t="n">
        <f aca="false">IFERROR(INDEX(Assessments!$H$2:$H$600,MATCH($H148&amp;"|"&amp;$I148&amp;"|"&amp;$J148&amp;"|"&amp;2,Assessments!$A$2:$A$600,0)),"")</f>
        <v>20</v>
      </c>
      <c r="BW148" s="28" t="n">
        <f aca="false">IFERROR(INDEX(Assessments!$H$2:$H$600,MATCH($H148&amp;"|"&amp;$I148&amp;"|"&amp;$J148&amp;"|"&amp;3,Assessments!$A$2:$A$600,0)),"")</f>
        <v>20</v>
      </c>
      <c r="BX148" s="28" t="n">
        <f aca="false">IFERROR(INDEX(Assessments!$H$2:$H$600,MATCH($H148&amp;"|"&amp;$I148&amp;"|"&amp;$J148&amp;"|"&amp;4,Assessments!$A$2:$A$600,0)),"")</f>
        <v>40</v>
      </c>
      <c r="BY148" s="28" t="n">
        <f aca="false">IFERROR(INDEX(Assessments!$H$2:$H$600,MATCH($H148&amp;"|"&amp;$I148&amp;"|"&amp;$J148&amp;"|"&amp;5,Assessments!$A$2:$A$600,0)),"")</f>
        <v>30</v>
      </c>
      <c r="BZ148" s="28" t="n">
        <f aca="false">IFERROR(INDEX(Assessments!$H$2:$H$600,MATCH($H148&amp;"|"&amp;$I148&amp;"|"&amp;$J148&amp;"|"&amp;6,Assessments!$A$2:$A$600,0)),"")</f>
        <v>20</v>
      </c>
      <c r="CA148" s="28" t="n">
        <f aca="false">IFERROR(INDEX(Assessments!$H$2:$H$600,MATCH($H148&amp;"|"&amp;$I148&amp;"|"&amp;$J148&amp;"|"&amp;7,Assessments!$A$2:$A$600,0)),"")</f>
        <v>7</v>
      </c>
      <c r="CB148" s="28" t="str">
        <f aca="false">IFERROR(INDEX(Assessments!$H$2:$H$600,MATCH($H148&amp;"|"&amp;$I148&amp;"|"&amp;$J148&amp;"|"&amp;8,Assessments!$A$2:$A$600,0)),"")</f>
        <v/>
      </c>
      <c r="CC148" s="28" t="str">
        <f aca="false">IFERROR(INDEX(Assessments!$H$2:$H$600,MATCH($H148&amp;"|"&amp;$I148&amp;"|"&amp;$J148&amp;"|"&amp;9,Assessments!$A$2:$A$600,0)),"")</f>
        <v/>
      </c>
      <c r="CD148" s="28" t="str">
        <f aca="false">IFERROR(INDEX(Assessments!$H$2:$H$600,MATCH($H148&amp;"|"&amp;$I148&amp;"|"&amp;$J148&amp;"|"&amp;10,Assessments!$A$2:$A$600,0)),"")</f>
        <v/>
      </c>
      <c r="CE148" s="28" t="str">
        <f aca="false">IFERROR(INDEX(Assessments!$H$2:$H$600,MATCH($H148&amp;"|"&amp;$I148&amp;"|"&amp;$J148&amp;"|"&amp;11,Assessments!$A$2:$A$600,0)),"")</f>
        <v/>
      </c>
      <c r="CF148" s="28" t="str">
        <f aca="false">IFERROR(INDEX(Assessments!$H$2:$H$600,MATCH($H148&amp;"|"&amp;$I148&amp;"|"&amp;$J148&amp;"|"&amp;12,Assessments!$A$2:$A$600,0)),"")</f>
        <v/>
      </c>
      <c r="CG148" s="28" t="str">
        <f aca="false">IFERROR(INDEX(Assessments!$H$2:$H$600,MATCH($H148&amp;"|"&amp;$I148&amp;"|"&amp;$J148&amp;"|"&amp;13,Assessments!$A$2:$A$600,0)),"")</f>
        <v/>
      </c>
      <c r="CH148" s="28" t="str">
        <f aca="false">IFERROR(INDEX(Assessments!$H$2:$H$600,MATCH($H148&amp;"|"&amp;$I148&amp;"|"&amp;$J148&amp;"|"&amp;14,Assessments!$A$2:$A$600,0)),"")</f>
        <v/>
      </c>
      <c r="CI148" s="28" t="str">
        <f aca="false">IFERROR(INDEX(Assessments!$I$2:$I$600,MATCH($H148&amp;"|"&amp;$I148&amp;"|"&amp;$J148&amp;"|"&amp;1,Assessments!$A$2:$A$600,0)),"")</f>
        <v>BM Test</v>
      </c>
      <c r="CJ148" s="28" t="str">
        <f aca="false">IFERROR(INDEX(Assessments!$I$2:$I$600,MATCH($H148&amp;"|"&amp;$I148&amp;"|"&amp;$J148&amp;"|"&amp;2,Assessments!$A$2:$A$600,0)),"")</f>
        <v>BM Test</v>
      </c>
      <c r="CK148" s="28" t="str">
        <f aca="false">IFERROR(INDEX(Assessments!$I$2:$I$600,MATCH($H148&amp;"|"&amp;$I148&amp;"|"&amp;$J148&amp;"|"&amp;3,Assessments!$A$2:$A$600,0)),"")</f>
        <v>BM Test</v>
      </c>
      <c r="CL148" s="28" t="str">
        <f aca="false">IFERROR(INDEX(Assessments!$I$2:$I$600,MATCH($H148&amp;"|"&amp;$I148&amp;"|"&amp;$J148&amp;"|"&amp;4,Assessments!$A$2:$A$600,0)),"")</f>
        <v>BM Exam</v>
      </c>
      <c r="CM148" s="28" t="str">
        <f aca="false">IFERROR(INDEX(Assessments!$I$2:$I$600,MATCH($H148&amp;"|"&amp;$I148&amp;"|"&amp;$J148&amp;"|"&amp;5,Assessments!$A$2:$A$600,0)),"")</f>
        <v>BM Test</v>
      </c>
      <c r="CN148" s="28" t="str">
        <f aca="false">IFERROR(INDEX(Assessments!$I$2:$I$600,MATCH($H148&amp;"|"&amp;$I148&amp;"|"&amp;$J148&amp;"|"&amp;6,Assessments!$A$2:$A$600,0)),"")</f>
        <v>BM Test</v>
      </c>
      <c r="CO148" s="28" t="str">
        <f aca="false">IFERROR(INDEX(Assessments!$I$2:$I$600,MATCH($H148&amp;"|"&amp;$I148&amp;"|"&amp;$J148&amp;"|"&amp;7,Assessments!$A$2:$A$600,0)),"")</f>
        <v>Grade entered</v>
      </c>
      <c r="CP148" s="28" t="str">
        <f aca="false">IFERROR(INDEX(Assessments!$I$2:$I$600,MATCH($H148&amp;"|"&amp;$I148&amp;"|"&amp;$J148&amp;"|"&amp;8,Assessments!$A$2:$A$600,0)),"")</f>
        <v/>
      </c>
      <c r="CQ148" s="28" t="str">
        <f aca="false">IFERROR(INDEX(Assessments!$I$2:$I$600,MATCH($H148&amp;"|"&amp;$I148&amp;"|"&amp;$J148&amp;"|"&amp;9,Assessments!$A$2:$A$600,0)),"")</f>
        <v/>
      </c>
      <c r="CR148" s="28" t="str">
        <f aca="false">IFERROR(INDEX(Assessments!$I$2:$I$600,MATCH($H148&amp;"|"&amp;$I148&amp;"|"&amp;$J148&amp;"|"&amp;10,Assessments!$A$2:$A$600,0)),"")</f>
        <v/>
      </c>
      <c r="CS148" s="28" t="str">
        <f aca="false">IFERROR(INDEX(Assessments!$I$2:$I$600,MATCH($H148&amp;"|"&amp;$I148&amp;"|"&amp;$J148&amp;"|"&amp;11,Assessments!$A$2:$A$600,0)),"")</f>
        <v/>
      </c>
      <c r="CT148" s="28" t="str">
        <f aca="false">IFERROR(INDEX(Assessments!$I$2:$I$600,MATCH($H148&amp;"|"&amp;$I148&amp;"|"&amp;$J148&amp;"|"&amp;12,Assessments!$A$2:$A$600,0)),"")</f>
        <v/>
      </c>
      <c r="CU148" s="28" t="str">
        <f aca="false">IFERROR(INDEX(Assessments!$I$2:$I$600,MATCH($H148&amp;"|"&amp;$I148&amp;"|"&amp;$J148&amp;"|"&amp;13,Assessments!$A$2:$A$600,0)),"")</f>
        <v/>
      </c>
      <c r="CV148" s="28" t="str">
        <f aca="false">IFERROR(INDEX(Assessments!$I$2:$I$600,MATCH($H148&amp;"|"&amp;$I148&amp;"|"&amp;$J148&amp;"|"&amp;14,Assessments!$A$2:$A$600,0)),"")</f>
        <v/>
      </c>
      <c r="CW148" s="28" t="n">
        <f aca="false">IFERROR(INDEX(Assessments!$J$2:$J$600,MATCH($H148&amp;"|"&amp;$I148&amp;"|"&amp;$J148&amp;"|"&amp;1,Assessments!$A$2:$A$600,0)),0)</f>
        <v>1</v>
      </c>
      <c r="CX148" s="28" t="n">
        <f aca="false">IFERROR(INDEX(Assessments!$J$2:$J$600,MATCH($H148&amp;"|"&amp;$I148&amp;"|"&amp;$J148&amp;"|"&amp;2,Assessments!$A$2:$A$600,0)),0)</f>
        <v>1</v>
      </c>
      <c r="CY148" s="28" t="n">
        <f aca="false">IFERROR(INDEX(Assessments!$J$2:$J$600,MATCH($H148&amp;"|"&amp;$I148&amp;"|"&amp;$J148&amp;"|"&amp;3,Assessments!$A$2:$A$600,0)),0)</f>
        <v>1</v>
      </c>
      <c r="CZ148" s="28" t="n">
        <f aca="false">IFERROR(INDEX(Assessments!$J$2:$J$600,MATCH($H148&amp;"|"&amp;$I148&amp;"|"&amp;$J148&amp;"|"&amp;4,Assessments!$A$2:$A$600,0)),0)</f>
        <v>2</v>
      </c>
      <c r="DA148" s="28" t="n">
        <f aca="false">IFERROR(INDEX(Assessments!$J$2:$J$600,MATCH($H148&amp;"|"&amp;$I148&amp;"|"&amp;$J148&amp;"|"&amp;5,Assessments!$A$2:$A$600,0)),0)</f>
        <v>1</v>
      </c>
      <c r="DB148" s="28" t="n">
        <f aca="false">IFERROR(INDEX(Assessments!$J$2:$J$600,MATCH($H148&amp;"|"&amp;$I148&amp;"|"&amp;$J148&amp;"|"&amp;6,Assessments!$A$2:$A$600,0)),0)</f>
        <v>1</v>
      </c>
      <c r="DC148" s="28" t="n">
        <f aca="false">IFERROR(INDEX(Assessments!$J$2:$J$600,MATCH($H148&amp;"|"&amp;$I148&amp;"|"&amp;$J148&amp;"|"&amp;7,Assessments!$A$2:$A$600,0)),0)</f>
        <v>2</v>
      </c>
      <c r="DD148" s="28" t="n">
        <f aca="false">IFERROR(INDEX(Assessments!$J$2:$J$600,MATCH($H148&amp;"|"&amp;$I148&amp;"|"&amp;$J148&amp;"|"&amp;8,Assessments!$A$2:$A$600,0)),0)</f>
        <v>0</v>
      </c>
      <c r="DE148" s="28" t="n">
        <f aca="false">IFERROR(INDEX(Assessments!$J$2:$J$600,MATCH($H148&amp;"|"&amp;$I148&amp;"|"&amp;$J148&amp;"|"&amp;9,Assessments!$A$2:$A$600,0)),0)</f>
        <v>0</v>
      </c>
      <c r="DF148" s="28" t="n">
        <f aca="false">IFERROR(INDEX(Assessments!$J$2:$J$600,MATCH($H148&amp;"|"&amp;$I148&amp;"|"&amp;$J148&amp;"|"&amp;10,Assessments!$A$2:$A$600,0)),0)</f>
        <v>0</v>
      </c>
      <c r="DG148" s="28" t="n">
        <f aca="false">IFERROR(INDEX(Assessments!$J$2:$J$600,MATCH($H148&amp;"|"&amp;$I148&amp;"|"&amp;$J148&amp;"|"&amp;11,Assessments!$A$2:$A$600,0)),0)</f>
        <v>0</v>
      </c>
      <c r="DH148" s="28" t="n">
        <f aca="false">IFERROR(INDEX(Assessments!$J$2:$J$600,MATCH($H148&amp;"|"&amp;$I148&amp;"|"&amp;$J148&amp;"|"&amp;12,Assessments!$A$2:$A$600,0)),0)</f>
        <v>0</v>
      </c>
      <c r="DI148" s="28" t="n">
        <f aca="false">IFERROR(INDEX(Assessments!$J$2:$J$600,MATCH($H148&amp;"|"&amp;$I148&amp;"|"&amp;$J148&amp;"|"&amp;13,Assessments!$A$2:$A$600,0)),0)</f>
        <v>0</v>
      </c>
      <c r="DJ148" s="28" t="n">
        <f aca="false">IFERROR(INDEX(Assessments!$J$2:$J$600,MATCH($H148&amp;"|"&amp;$I148&amp;"|"&amp;$J148&amp;"|"&amp;14,Assessments!$A$2:$A$600,0)),0)</f>
        <v>0</v>
      </c>
      <c r="DK148" s="28" t="n">
        <f aca="false">S148</f>
        <v>7</v>
      </c>
      <c r="DL148" s="28" t="n">
        <f aca="false">W148</f>
        <v>7</v>
      </c>
      <c r="DM148" s="28" t="n">
        <f aca="false">AA148</f>
        <v>7</v>
      </c>
      <c r="DN148" s="28" t="str">
        <f aca="false">AE148</f>
        <v/>
      </c>
      <c r="DO148" s="28" t="str">
        <f aca="false">AI148</f>
        <v/>
      </c>
      <c r="DP148" s="28" t="str">
        <f aca="false">AM148</f>
        <v/>
      </c>
      <c r="DQ148" s="28" t="n">
        <f aca="false">AQ148</f>
        <v>7</v>
      </c>
      <c r="DR148" s="28" t="str">
        <f aca="false">AU148</f>
        <v/>
      </c>
      <c r="DS148" s="28" t="str">
        <f aca="false">AY148</f>
        <v/>
      </c>
      <c r="DT148" s="28" t="str">
        <f aca="false">BC148</f>
        <v/>
      </c>
      <c r="DU148" s="28" t="str">
        <f aca="false">BG148</f>
        <v/>
      </c>
      <c r="DV148" s="28" t="str">
        <f aca="false">BK148</f>
        <v/>
      </c>
      <c r="DW148" s="28" t="str">
        <f aca="false">BO148</f>
        <v/>
      </c>
      <c r="DX148" s="28" t="str">
        <f aca="false">BS148</f>
        <v/>
      </c>
      <c r="DY148" s="28" t="n">
        <f aca="false">IF(ISNUMBER(S148),1,"")</f>
        <v>1</v>
      </c>
      <c r="DZ148" s="28" t="n">
        <f aca="false">IF(ISNUMBER(W148),2,"")</f>
        <v>2</v>
      </c>
      <c r="EA148" s="28" t="n">
        <f aca="false">IF(ISNUMBER(AA148),3,"")</f>
        <v>3</v>
      </c>
      <c r="EB148" s="28" t="str">
        <f aca="false">IF(ISNUMBER(AE148),4,"")</f>
        <v/>
      </c>
      <c r="EC148" s="28" t="str">
        <f aca="false">IF(ISNUMBER(AI148),5,"")</f>
        <v/>
      </c>
      <c r="ED148" s="28" t="str">
        <f aca="false">IF(ISNUMBER(AM148),6,"")</f>
        <v/>
      </c>
      <c r="EE148" s="28" t="n">
        <f aca="false">IF(ISNUMBER(AQ148),7,"")</f>
        <v>7</v>
      </c>
      <c r="EF148" s="28" t="str">
        <f aca="false">IF(ISNUMBER(AU148),8,"")</f>
        <v/>
      </c>
      <c r="EG148" s="28" t="str">
        <f aca="false">IF(ISNUMBER(AY148),9,"")</f>
        <v/>
      </c>
      <c r="EH148" s="28" t="str">
        <f aca="false">IF(ISNUMBER(BC148),10,"")</f>
        <v/>
      </c>
      <c r="EI148" s="28" t="str">
        <f aca="false">IF(ISNUMBER(BG148),11,"")</f>
        <v/>
      </c>
      <c r="EJ148" s="28" t="str">
        <f aca="false">IF(ISNUMBER(BK148),12,"")</f>
        <v/>
      </c>
      <c r="EK148" s="28" t="str">
        <f aca="false">IF(ISNUMBER(BO148),13,"")</f>
        <v/>
      </c>
      <c r="EL148" s="28" t="str">
        <f aca="false">IF(ISNUMBER(BS148),14,"")</f>
        <v/>
      </c>
      <c r="EM148" s="28" t="n">
        <f aca="false">IF(ISNUMBER(R148),R148*CW148,0)</f>
        <v>79.1666666666667</v>
      </c>
      <c r="EN148" s="28" t="n">
        <f aca="false">IF(ISNUMBER(V148),V148*CX148,0)</f>
        <v>75</v>
      </c>
      <c r="EO148" s="28" t="n">
        <f aca="false">IF(ISNUMBER(Z148),Z148*CY148,0)</f>
        <v>75</v>
      </c>
      <c r="EP148" s="28" t="n">
        <f aca="false">IF(ISNUMBER(AD148),AD148*CZ148,0)</f>
        <v>0</v>
      </c>
      <c r="EQ148" s="28" t="n">
        <f aca="false">IF(ISNUMBER(AH148),AH148*DA148,0)</f>
        <v>0</v>
      </c>
      <c r="ER148" s="28" t="n">
        <f aca="false">IF(ISNUMBER(AL148),AL148*DB148,0)</f>
        <v>0</v>
      </c>
      <c r="ES148" s="28" t="n">
        <f aca="false">IF(ISNUMBER(AP148),AP148*DC148,0)</f>
        <v>200</v>
      </c>
      <c r="ET148" s="28" t="n">
        <f aca="false">IF(ISNUMBER(AT148),AT148*DD148,0)</f>
        <v>0</v>
      </c>
      <c r="EU148" s="28" t="n">
        <f aca="false">IF(ISNUMBER(AX148),AX148*DE148,0)</f>
        <v>0</v>
      </c>
      <c r="EV148" s="28" t="n">
        <f aca="false">IF(ISNUMBER(BB148),BB148*DF148,0)</f>
        <v>0</v>
      </c>
      <c r="EW148" s="28" t="n">
        <f aca="false">IF(ISNUMBER(BF148),BF148*DG148,0)</f>
        <v>0</v>
      </c>
      <c r="EX148" s="28" t="n">
        <f aca="false">IF(ISNUMBER(BJ148),BJ148*DH148,0)</f>
        <v>0</v>
      </c>
      <c r="EY148" s="28" t="n">
        <f aca="false">IF(ISNUMBER(BN148),BN148*DI148,0)</f>
        <v>0</v>
      </c>
      <c r="EZ148" s="28" t="n">
        <f aca="false">IF(ISNUMBER(BR148),BR148*DJ148,0)</f>
        <v>0</v>
      </c>
      <c r="FA148" s="28" t="n">
        <f aca="false">IF(ISNUMBER(R148),CW148,0)</f>
        <v>1</v>
      </c>
      <c r="FB148" s="28" t="n">
        <f aca="false">IF(ISNUMBER(V148),CX148,0)</f>
        <v>1</v>
      </c>
      <c r="FC148" s="28" t="n">
        <f aca="false">IF(ISNUMBER(Z148),CY148,0)</f>
        <v>1</v>
      </c>
      <c r="FD148" s="28" t="n">
        <f aca="false">IF(ISNUMBER(AD148),CZ148,0)</f>
        <v>0</v>
      </c>
      <c r="FE148" s="28" t="n">
        <f aca="false">IF(ISNUMBER(AH148),DA148,0)</f>
        <v>0</v>
      </c>
      <c r="FF148" s="28" t="n">
        <f aca="false">IF(ISNUMBER(AL148),DB148,0)</f>
        <v>0</v>
      </c>
      <c r="FG148" s="28" t="n">
        <f aca="false">IF(ISNUMBER(AP148),DC148,0)</f>
        <v>2</v>
      </c>
      <c r="FH148" s="28" t="n">
        <f aca="false">IF(ISNUMBER(AT148),DD148,0)</f>
        <v>0</v>
      </c>
      <c r="FI148" s="28" t="n">
        <f aca="false">IF(ISNUMBER(AX148),DE148,0)</f>
        <v>0</v>
      </c>
      <c r="FJ148" s="28" t="n">
        <f aca="false">IF(ISNUMBER(BB148),DF148,0)</f>
        <v>0</v>
      </c>
      <c r="FK148" s="28" t="n">
        <f aca="false">IF(ISNUMBER(BF148),DG148,0)</f>
        <v>0</v>
      </c>
      <c r="FL148" s="28" t="n">
        <f aca="false">IF(ISNUMBER(BJ148),DH148,0)</f>
        <v>0</v>
      </c>
      <c r="FM148" s="28" t="n">
        <f aca="false">IF(ISNUMBER(BN148),DI148,0)</f>
        <v>0</v>
      </c>
      <c r="FN148" s="28" t="n">
        <f aca="false">IF(ISNUMBER(BR148),DJ148,0)</f>
        <v>0</v>
      </c>
      <c r="FO148" s="28" t="str">
        <f aca="false">IFERROR(INDEX(Lists!$G$2:$G$20,MATCH($I148&amp;"|"&amp;$J148,Lists!$F$2:$F$20,0)),"")</f>
        <v>BM Exam</v>
      </c>
    </row>
    <row r="149" customFormat="false" ht="19.5" hidden="false" customHeight="true" outlineLevel="0" collapsed="false">
      <c r="A149" s="29" t="s">
        <v>212</v>
      </c>
      <c r="B149" s="29" t="s">
        <v>213</v>
      </c>
      <c r="C149" s="30" t="s">
        <v>152</v>
      </c>
      <c r="D149" s="30" t="s">
        <v>383</v>
      </c>
      <c r="E149" s="31" t="n">
        <v>5.3</v>
      </c>
      <c r="F149" s="30" t="n">
        <v>6</v>
      </c>
      <c r="G149" s="30"/>
      <c r="H149" s="32" t="s">
        <v>23</v>
      </c>
      <c r="I149" s="33" t="s">
        <v>365</v>
      </c>
      <c r="J149" s="32" t="s">
        <v>25</v>
      </c>
      <c r="K149" s="34" t="n">
        <f aca="false">IF(OR(M149="",$E149=""),"",M149-$E149)</f>
        <v>1.7</v>
      </c>
      <c r="L149" s="35" t="n">
        <f aca="false">IF(SUM(FA149:FN149)=0,"",SUM(EM149:EZ149)/SUM(FA149:FN149))</f>
        <v>72.2857142857143</v>
      </c>
      <c r="M149" s="36" t="n">
        <f aca="false">IF(OR(L149="",FO149=""),"",IFERROR(MATCH(L149,INDEX(Boundaries!$B$2:$I$30,MATCH(FO149,Boundaries!$A$2:$A$30,0),0),1)-1,""))</f>
        <v>7</v>
      </c>
      <c r="N149" s="37" t="n">
        <f aca="false">IF(COUNT($DY149:$EL149)&lt;2,"",INDEX($DK149:$DX149,MAX($DY149:$EL149))-INDEX($DK149:$DX149,MIN($DY149:$EL149)))</f>
        <v>1</v>
      </c>
      <c r="O149" s="37" t="n">
        <f aca="false">IF(COUNT($DY149:$EL149)&lt;2,"",INDEX($DK149:$DX149,MAX($DY149:$EL149))-INDEX($DK149:$DX149,LARGE($DY149:$EL149,2)))</f>
        <v>0</v>
      </c>
      <c r="P149" s="38" t="str">
        <f aca="false">IF(K149="","",IF(K149&gt;=0,"On/above target",IF(AND(N149&lt;&gt;"",N149&gt;=0.5),"Improving towards target",IF(AND(O149&lt;&gt;"",O149&lt;=-0.5),"Declining","Stable below target"))))</f>
        <v>On/above target</v>
      </c>
      <c r="Q149" s="39" t="n">
        <v>12</v>
      </c>
      <c r="R149" s="40" t="n">
        <f aca="false">IF(OR(Q149="",BU149=""),"",Q149/BU149*100)</f>
        <v>50</v>
      </c>
      <c r="S149" s="41" t="n">
        <f aca="false">IF(R149="","",IFERROR(MATCH(R149,INDEX(Boundaries!$B$2:$I$30,MATCH(CI149,Boundaries!$A$2:$A$30,0),0),1)-1,""))</f>
        <v>5</v>
      </c>
      <c r="T149" s="42" t="n">
        <f aca="false">IF(OR(S149="",$E149=""),"",S149-$E149)</f>
        <v>-0.3</v>
      </c>
      <c r="U149" s="39" t="n">
        <v>14</v>
      </c>
      <c r="V149" s="40" t="n">
        <f aca="false">IF(OR(U149="",BV149=""),"",U149/BV149*100)</f>
        <v>70</v>
      </c>
      <c r="W149" s="41" t="n">
        <f aca="false">IF(V149="","",IFERROR(MATCH(V149,INDEX(Boundaries!$B$2:$I$30,MATCH(CJ149,Boundaries!$A$2:$A$30,0),0),1)-1,""))</f>
        <v>6</v>
      </c>
      <c r="X149" s="42" t="n">
        <f aca="false">IF(OR(W149="",$E149=""),"",W149-$E149)</f>
        <v>0.7</v>
      </c>
      <c r="Y149" s="39" t="n">
        <v>14</v>
      </c>
      <c r="Z149" s="40" t="n">
        <f aca="false">IF(OR(Y149="",BW149=""),"",Y149/BW149*100)</f>
        <v>70</v>
      </c>
      <c r="AA149" s="41" t="n">
        <f aca="false">IF(Z149="","",IFERROR(MATCH(Z149,INDEX(Boundaries!$B$2:$I$30,MATCH(CK149,Boundaries!$A$2:$A$30,0),0),1)-1,""))</f>
        <v>6</v>
      </c>
      <c r="AB149" s="42" t="n">
        <f aca="false">IF(OR(AA149="",$E149=""),"",AA149-$E149)</f>
        <v>0.7</v>
      </c>
      <c r="AC149" s="39"/>
      <c r="AD149" s="40" t="str">
        <f aca="false">IF(OR(AC149="",BX149=""),"",AC149/BX149*100)</f>
        <v/>
      </c>
      <c r="AE149" s="41" t="str">
        <f aca="false">IF(AD149="","",IFERROR(MATCH(AD149,INDEX(Boundaries!$B$2:$I$30,MATCH(CL149,Boundaries!$A$2:$A$30,0),0),1)-1,""))</f>
        <v/>
      </c>
      <c r="AF149" s="42" t="str">
        <f aca="false">IF(OR(AE149="",$E149=""),"",AE149-$E149)</f>
        <v/>
      </c>
      <c r="AG149" s="39"/>
      <c r="AH149" s="40" t="str">
        <f aca="false">IF(OR(AG149="",BY149=""),"",AG149/BY149*100)</f>
        <v/>
      </c>
      <c r="AI149" s="41" t="str">
        <f aca="false">IF(AH149="","",IFERROR(MATCH(AH149,INDEX(Boundaries!$B$2:$I$30,MATCH(CM149,Boundaries!$A$2:$A$30,0),0),1)-1,""))</f>
        <v/>
      </c>
      <c r="AJ149" s="42" t="str">
        <f aca="false">IF(OR(AI149="",$E149=""),"",AI149-$E149)</f>
        <v/>
      </c>
      <c r="AK149" s="39"/>
      <c r="AL149" s="40" t="str">
        <f aca="false">IF(OR(AK149="",BZ149=""),"",AK149/BZ149*100)</f>
        <v/>
      </c>
      <c r="AM149" s="41" t="str">
        <f aca="false">IF(AL149="","",IFERROR(MATCH(AL149,INDEX(Boundaries!$B$2:$I$30,MATCH(CN149,Boundaries!$A$2:$A$30,0),0),1)-1,""))</f>
        <v/>
      </c>
      <c r="AN149" s="42" t="str">
        <f aca="false">IF(OR(AM149="",$E149=""),"",AM149-$E149)</f>
        <v/>
      </c>
      <c r="AO149" s="39" t="n">
        <v>6</v>
      </c>
      <c r="AP149" s="40" t="n">
        <f aca="false">IF(OR(AO149="",CA149=""),"",AO149/CA149*100)</f>
        <v>85.7142857142857</v>
      </c>
      <c r="AQ149" s="41" t="n">
        <f aca="false">IF(AP149="","",IFERROR(MATCH(AP149,INDEX(Boundaries!$B$2:$I$30,MATCH(CO149,Boundaries!$A$2:$A$30,0),0),1)-1,""))</f>
        <v>6</v>
      </c>
      <c r="AR149" s="42" t="n">
        <f aca="false">IF(OR(AQ149="",$E149=""),"",AQ149-$E149)</f>
        <v>0.7</v>
      </c>
      <c r="AS149" s="39"/>
      <c r="AT149" s="40" t="str">
        <f aca="false">IF(OR(AS149="",CB149=""),"",AS149/CB149*100)</f>
        <v/>
      </c>
      <c r="AU149" s="41" t="str">
        <f aca="false">IF(AT149="","",IFERROR(MATCH(AT149,INDEX(Boundaries!$B$2:$I$30,MATCH(CP149,Boundaries!$A$2:$A$30,0),0),1)-1,""))</f>
        <v/>
      </c>
      <c r="AV149" s="42" t="str">
        <f aca="false">IF(OR(AU149="",$E149=""),"",AU149-$E149)</f>
        <v/>
      </c>
      <c r="AW149" s="39"/>
      <c r="AX149" s="40" t="str">
        <f aca="false">IF(OR(AW149="",CC149=""),"",AW149/CC149*100)</f>
        <v/>
      </c>
      <c r="AY149" s="41" t="str">
        <f aca="false">IF(AX149="","",IFERROR(MATCH(AX149,INDEX(Boundaries!$B$2:$I$30,MATCH(CQ149,Boundaries!$A$2:$A$30,0),0),1)-1,""))</f>
        <v/>
      </c>
      <c r="AZ149" s="42" t="str">
        <f aca="false">IF(OR(AY149="",$E149=""),"",AY149-$E149)</f>
        <v/>
      </c>
      <c r="BA149" s="39"/>
      <c r="BB149" s="40" t="str">
        <f aca="false">IF(OR(BA149="",CD149=""),"",BA149/CD149*100)</f>
        <v/>
      </c>
      <c r="BC149" s="41" t="str">
        <f aca="false">IF(BB149="","",IFERROR(MATCH(BB149,INDEX(Boundaries!$B$2:$I$30,MATCH(CR149,Boundaries!$A$2:$A$30,0),0),1)-1,""))</f>
        <v/>
      </c>
      <c r="BD149" s="42" t="str">
        <f aca="false">IF(OR(BC149="",$E149=""),"",BC149-$E149)</f>
        <v/>
      </c>
      <c r="BE149" s="39"/>
      <c r="BF149" s="40" t="str">
        <f aca="false">IF(OR(BE149="",CE149=""),"",BE149/CE149*100)</f>
        <v/>
      </c>
      <c r="BG149" s="41" t="str">
        <f aca="false">IF(BF149="","",IFERROR(MATCH(BF149,INDEX(Boundaries!$B$2:$I$30,MATCH(CS149,Boundaries!$A$2:$A$30,0),0),1)-1,""))</f>
        <v/>
      </c>
      <c r="BH149" s="42" t="str">
        <f aca="false">IF(OR(BG149="",$E149=""),"",BG149-$E149)</f>
        <v/>
      </c>
      <c r="BI149" s="39"/>
      <c r="BJ149" s="40" t="str">
        <f aca="false">IF(OR(BI149="",CF149=""),"",BI149/CF149*100)</f>
        <v/>
      </c>
      <c r="BK149" s="41" t="str">
        <f aca="false">IF(BJ149="","",IFERROR(MATCH(BJ149,INDEX(Boundaries!$B$2:$I$30,MATCH(CT149,Boundaries!$A$2:$A$30,0),0),1)-1,""))</f>
        <v/>
      </c>
      <c r="BL149" s="42" t="str">
        <f aca="false">IF(OR(BK149="",$E149=""),"",BK149-$E149)</f>
        <v/>
      </c>
      <c r="BM149" s="39"/>
      <c r="BN149" s="40" t="str">
        <f aca="false">IF(OR(BM149="",CG149=""),"",BM149/CG149*100)</f>
        <v/>
      </c>
      <c r="BO149" s="41" t="str">
        <f aca="false">IF(BN149="","",IFERROR(MATCH(BN149,INDEX(Boundaries!$B$2:$I$30,MATCH(CU149,Boundaries!$A$2:$A$30,0),0),1)-1,""))</f>
        <v/>
      </c>
      <c r="BP149" s="42" t="str">
        <f aca="false">IF(OR(BO149="",$E149=""),"",BO149-$E149)</f>
        <v/>
      </c>
      <c r="BQ149" s="39"/>
      <c r="BR149" s="40" t="str">
        <f aca="false">IF(OR(BQ149="",CH149=""),"",BQ149/CH149*100)</f>
        <v/>
      </c>
      <c r="BS149" s="41" t="str">
        <f aca="false">IF(BR149="","",IFERROR(MATCH(BR149,INDEX(Boundaries!$B$2:$I$30,MATCH(CV149,Boundaries!$A$2:$A$30,0),0),1)-1,""))</f>
        <v/>
      </c>
      <c r="BT149" s="42" t="str">
        <f aca="false">IF(OR(BS149="",$E149=""),"",BS149-$E149)</f>
        <v/>
      </c>
      <c r="BU149" s="28" t="n">
        <f aca="false">IFERROR(INDEX(Assessments!$H$2:$H$600,MATCH($H149&amp;"|"&amp;$I149&amp;"|"&amp;$J149&amp;"|"&amp;1,Assessments!$A$2:$A$600,0)),"")</f>
        <v>24</v>
      </c>
      <c r="BV149" s="28" t="n">
        <f aca="false">IFERROR(INDEX(Assessments!$H$2:$H$600,MATCH($H149&amp;"|"&amp;$I149&amp;"|"&amp;$J149&amp;"|"&amp;2,Assessments!$A$2:$A$600,0)),"")</f>
        <v>20</v>
      </c>
      <c r="BW149" s="28" t="n">
        <f aca="false">IFERROR(INDEX(Assessments!$H$2:$H$600,MATCH($H149&amp;"|"&amp;$I149&amp;"|"&amp;$J149&amp;"|"&amp;3,Assessments!$A$2:$A$600,0)),"")</f>
        <v>20</v>
      </c>
      <c r="BX149" s="28" t="n">
        <f aca="false">IFERROR(INDEX(Assessments!$H$2:$H$600,MATCH($H149&amp;"|"&amp;$I149&amp;"|"&amp;$J149&amp;"|"&amp;4,Assessments!$A$2:$A$600,0)),"")</f>
        <v>40</v>
      </c>
      <c r="BY149" s="28" t="n">
        <f aca="false">IFERROR(INDEX(Assessments!$H$2:$H$600,MATCH($H149&amp;"|"&amp;$I149&amp;"|"&amp;$J149&amp;"|"&amp;5,Assessments!$A$2:$A$600,0)),"")</f>
        <v>30</v>
      </c>
      <c r="BZ149" s="28" t="n">
        <f aca="false">IFERROR(INDEX(Assessments!$H$2:$H$600,MATCH($H149&amp;"|"&amp;$I149&amp;"|"&amp;$J149&amp;"|"&amp;6,Assessments!$A$2:$A$600,0)),"")</f>
        <v>20</v>
      </c>
      <c r="CA149" s="28" t="n">
        <f aca="false">IFERROR(INDEX(Assessments!$H$2:$H$600,MATCH($H149&amp;"|"&amp;$I149&amp;"|"&amp;$J149&amp;"|"&amp;7,Assessments!$A$2:$A$600,0)),"")</f>
        <v>7</v>
      </c>
      <c r="CB149" s="28" t="str">
        <f aca="false">IFERROR(INDEX(Assessments!$H$2:$H$600,MATCH($H149&amp;"|"&amp;$I149&amp;"|"&amp;$J149&amp;"|"&amp;8,Assessments!$A$2:$A$600,0)),"")</f>
        <v/>
      </c>
      <c r="CC149" s="28" t="str">
        <f aca="false">IFERROR(INDEX(Assessments!$H$2:$H$600,MATCH($H149&amp;"|"&amp;$I149&amp;"|"&amp;$J149&amp;"|"&amp;9,Assessments!$A$2:$A$600,0)),"")</f>
        <v/>
      </c>
      <c r="CD149" s="28" t="str">
        <f aca="false">IFERROR(INDEX(Assessments!$H$2:$H$600,MATCH($H149&amp;"|"&amp;$I149&amp;"|"&amp;$J149&amp;"|"&amp;10,Assessments!$A$2:$A$600,0)),"")</f>
        <v/>
      </c>
      <c r="CE149" s="28" t="str">
        <f aca="false">IFERROR(INDEX(Assessments!$H$2:$H$600,MATCH($H149&amp;"|"&amp;$I149&amp;"|"&amp;$J149&amp;"|"&amp;11,Assessments!$A$2:$A$600,0)),"")</f>
        <v/>
      </c>
      <c r="CF149" s="28" t="str">
        <f aca="false">IFERROR(INDEX(Assessments!$H$2:$H$600,MATCH($H149&amp;"|"&amp;$I149&amp;"|"&amp;$J149&amp;"|"&amp;12,Assessments!$A$2:$A$600,0)),"")</f>
        <v/>
      </c>
      <c r="CG149" s="28" t="str">
        <f aca="false">IFERROR(INDEX(Assessments!$H$2:$H$600,MATCH($H149&amp;"|"&amp;$I149&amp;"|"&amp;$J149&amp;"|"&amp;13,Assessments!$A$2:$A$600,0)),"")</f>
        <v/>
      </c>
      <c r="CH149" s="28" t="str">
        <f aca="false">IFERROR(INDEX(Assessments!$H$2:$H$600,MATCH($H149&amp;"|"&amp;$I149&amp;"|"&amp;$J149&amp;"|"&amp;14,Assessments!$A$2:$A$600,0)),"")</f>
        <v/>
      </c>
      <c r="CI149" s="28" t="str">
        <f aca="false">IFERROR(INDEX(Assessments!$I$2:$I$600,MATCH($H149&amp;"|"&amp;$I149&amp;"|"&amp;$J149&amp;"|"&amp;1,Assessments!$A$2:$A$600,0)),"")</f>
        <v>BM Test</v>
      </c>
      <c r="CJ149" s="28" t="str">
        <f aca="false">IFERROR(INDEX(Assessments!$I$2:$I$600,MATCH($H149&amp;"|"&amp;$I149&amp;"|"&amp;$J149&amp;"|"&amp;2,Assessments!$A$2:$A$600,0)),"")</f>
        <v>BM Test</v>
      </c>
      <c r="CK149" s="28" t="str">
        <f aca="false">IFERROR(INDEX(Assessments!$I$2:$I$600,MATCH($H149&amp;"|"&amp;$I149&amp;"|"&amp;$J149&amp;"|"&amp;3,Assessments!$A$2:$A$600,0)),"")</f>
        <v>BM Test</v>
      </c>
      <c r="CL149" s="28" t="str">
        <f aca="false">IFERROR(INDEX(Assessments!$I$2:$I$600,MATCH($H149&amp;"|"&amp;$I149&amp;"|"&amp;$J149&amp;"|"&amp;4,Assessments!$A$2:$A$600,0)),"")</f>
        <v>BM Exam</v>
      </c>
      <c r="CM149" s="28" t="str">
        <f aca="false">IFERROR(INDEX(Assessments!$I$2:$I$600,MATCH($H149&amp;"|"&amp;$I149&amp;"|"&amp;$J149&amp;"|"&amp;5,Assessments!$A$2:$A$600,0)),"")</f>
        <v>BM Test</v>
      </c>
      <c r="CN149" s="28" t="str">
        <f aca="false">IFERROR(INDEX(Assessments!$I$2:$I$600,MATCH($H149&amp;"|"&amp;$I149&amp;"|"&amp;$J149&amp;"|"&amp;6,Assessments!$A$2:$A$600,0)),"")</f>
        <v>BM Test</v>
      </c>
      <c r="CO149" s="28" t="str">
        <f aca="false">IFERROR(INDEX(Assessments!$I$2:$I$600,MATCH($H149&amp;"|"&amp;$I149&amp;"|"&amp;$J149&amp;"|"&amp;7,Assessments!$A$2:$A$600,0)),"")</f>
        <v>Grade entered</v>
      </c>
      <c r="CP149" s="28" t="str">
        <f aca="false">IFERROR(INDEX(Assessments!$I$2:$I$600,MATCH($H149&amp;"|"&amp;$I149&amp;"|"&amp;$J149&amp;"|"&amp;8,Assessments!$A$2:$A$600,0)),"")</f>
        <v/>
      </c>
      <c r="CQ149" s="28" t="str">
        <f aca="false">IFERROR(INDEX(Assessments!$I$2:$I$600,MATCH($H149&amp;"|"&amp;$I149&amp;"|"&amp;$J149&amp;"|"&amp;9,Assessments!$A$2:$A$600,0)),"")</f>
        <v/>
      </c>
      <c r="CR149" s="28" t="str">
        <f aca="false">IFERROR(INDEX(Assessments!$I$2:$I$600,MATCH($H149&amp;"|"&amp;$I149&amp;"|"&amp;$J149&amp;"|"&amp;10,Assessments!$A$2:$A$600,0)),"")</f>
        <v/>
      </c>
      <c r="CS149" s="28" t="str">
        <f aca="false">IFERROR(INDEX(Assessments!$I$2:$I$600,MATCH($H149&amp;"|"&amp;$I149&amp;"|"&amp;$J149&amp;"|"&amp;11,Assessments!$A$2:$A$600,0)),"")</f>
        <v/>
      </c>
      <c r="CT149" s="28" t="str">
        <f aca="false">IFERROR(INDEX(Assessments!$I$2:$I$600,MATCH($H149&amp;"|"&amp;$I149&amp;"|"&amp;$J149&amp;"|"&amp;12,Assessments!$A$2:$A$600,0)),"")</f>
        <v/>
      </c>
      <c r="CU149" s="28" t="str">
        <f aca="false">IFERROR(INDEX(Assessments!$I$2:$I$600,MATCH($H149&amp;"|"&amp;$I149&amp;"|"&amp;$J149&amp;"|"&amp;13,Assessments!$A$2:$A$600,0)),"")</f>
        <v/>
      </c>
      <c r="CV149" s="28" t="str">
        <f aca="false">IFERROR(INDEX(Assessments!$I$2:$I$600,MATCH($H149&amp;"|"&amp;$I149&amp;"|"&amp;$J149&amp;"|"&amp;14,Assessments!$A$2:$A$600,0)),"")</f>
        <v/>
      </c>
      <c r="CW149" s="28" t="n">
        <f aca="false">IFERROR(INDEX(Assessments!$J$2:$J$600,MATCH($H149&amp;"|"&amp;$I149&amp;"|"&amp;$J149&amp;"|"&amp;1,Assessments!$A$2:$A$600,0)),0)</f>
        <v>1</v>
      </c>
      <c r="CX149" s="28" t="n">
        <f aca="false">IFERROR(INDEX(Assessments!$J$2:$J$600,MATCH($H149&amp;"|"&amp;$I149&amp;"|"&amp;$J149&amp;"|"&amp;2,Assessments!$A$2:$A$600,0)),0)</f>
        <v>1</v>
      </c>
      <c r="CY149" s="28" t="n">
        <f aca="false">IFERROR(INDEX(Assessments!$J$2:$J$600,MATCH($H149&amp;"|"&amp;$I149&amp;"|"&amp;$J149&amp;"|"&amp;3,Assessments!$A$2:$A$600,0)),0)</f>
        <v>1</v>
      </c>
      <c r="CZ149" s="28" t="n">
        <f aca="false">IFERROR(INDEX(Assessments!$J$2:$J$600,MATCH($H149&amp;"|"&amp;$I149&amp;"|"&amp;$J149&amp;"|"&amp;4,Assessments!$A$2:$A$600,0)),0)</f>
        <v>2</v>
      </c>
      <c r="DA149" s="28" t="n">
        <f aca="false">IFERROR(INDEX(Assessments!$J$2:$J$600,MATCH($H149&amp;"|"&amp;$I149&amp;"|"&amp;$J149&amp;"|"&amp;5,Assessments!$A$2:$A$600,0)),0)</f>
        <v>1</v>
      </c>
      <c r="DB149" s="28" t="n">
        <f aca="false">IFERROR(INDEX(Assessments!$J$2:$J$600,MATCH($H149&amp;"|"&amp;$I149&amp;"|"&amp;$J149&amp;"|"&amp;6,Assessments!$A$2:$A$600,0)),0)</f>
        <v>1</v>
      </c>
      <c r="DC149" s="28" t="n">
        <f aca="false">IFERROR(INDEX(Assessments!$J$2:$J$600,MATCH($H149&amp;"|"&amp;$I149&amp;"|"&amp;$J149&amp;"|"&amp;7,Assessments!$A$2:$A$600,0)),0)</f>
        <v>2</v>
      </c>
      <c r="DD149" s="28" t="n">
        <f aca="false">IFERROR(INDEX(Assessments!$J$2:$J$600,MATCH($H149&amp;"|"&amp;$I149&amp;"|"&amp;$J149&amp;"|"&amp;8,Assessments!$A$2:$A$600,0)),0)</f>
        <v>0</v>
      </c>
      <c r="DE149" s="28" t="n">
        <f aca="false">IFERROR(INDEX(Assessments!$J$2:$J$600,MATCH($H149&amp;"|"&amp;$I149&amp;"|"&amp;$J149&amp;"|"&amp;9,Assessments!$A$2:$A$600,0)),0)</f>
        <v>0</v>
      </c>
      <c r="DF149" s="28" t="n">
        <f aca="false">IFERROR(INDEX(Assessments!$J$2:$J$600,MATCH($H149&amp;"|"&amp;$I149&amp;"|"&amp;$J149&amp;"|"&amp;10,Assessments!$A$2:$A$600,0)),0)</f>
        <v>0</v>
      </c>
      <c r="DG149" s="28" t="n">
        <f aca="false">IFERROR(INDEX(Assessments!$J$2:$J$600,MATCH($H149&amp;"|"&amp;$I149&amp;"|"&amp;$J149&amp;"|"&amp;11,Assessments!$A$2:$A$600,0)),0)</f>
        <v>0</v>
      </c>
      <c r="DH149" s="28" t="n">
        <f aca="false">IFERROR(INDEX(Assessments!$J$2:$J$600,MATCH($H149&amp;"|"&amp;$I149&amp;"|"&amp;$J149&amp;"|"&amp;12,Assessments!$A$2:$A$600,0)),0)</f>
        <v>0</v>
      </c>
      <c r="DI149" s="28" t="n">
        <f aca="false">IFERROR(INDEX(Assessments!$J$2:$J$600,MATCH($H149&amp;"|"&amp;$I149&amp;"|"&amp;$J149&amp;"|"&amp;13,Assessments!$A$2:$A$600,0)),0)</f>
        <v>0</v>
      </c>
      <c r="DJ149" s="28" t="n">
        <f aca="false">IFERROR(INDEX(Assessments!$J$2:$J$600,MATCH($H149&amp;"|"&amp;$I149&amp;"|"&amp;$J149&amp;"|"&amp;14,Assessments!$A$2:$A$600,0)),0)</f>
        <v>0</v>
      </c>
      <c r="DK149" s="28" t="n">
        <f aca="false">S149</f>
        <v>5</v>
      </c>
      <c r="DL149" s="28" t="n">
        <f aca="false">W149</f>
        <v>6</v>
      </c>
      <c r="DM149" s="28" t="n">
        <f aca="false">AA149</f>
        <v>6</v>
      </c>
      <c r="DN149" s="28" t="str">
        <f aca="false">AE149</f>
        <v/>
      </c>
      <c r="DO149" s="28" t="str">
        <f aca="false">AI149</f>
        <v/>
      </c>
      <c r="DP149" s="28" t="str">
        <f aca="false">AM149</f>
        <v/>
      </c>
      <c r="DQ149" s="28" t="n">
        <f aca="false">AQ149</f>
        <v>6</v>
      </c>
      <c r="DR149" s="28" t="str">
        <f aca="false">AU149</f>
        <v/>
      </c>
      <c r="DS149" s="28" t="str">
        <f aca="false">AY149</f>
        <v/>
      </c>
      <c r="DT149" s="28" t="str">
        <f aca="false">BC149</f>
        <v/>
      </c>
      <c r="DU149" s="28" t="str">
        <f aca="false">BG149</f>
        <v/>
      </c>
      <c r="DV149" s="28" t="str">
        <f aca="false">BK149</f>
        <v/>
      </c>
      <c r="DW149" s="28" t="str">
        <f aca="false">BO149</f>
        <v/>
      </c>
      <c r="DX149" s="28" t="str">
        <f aca="false">BS149</f>
        <v/>
      </c>
      <c r="DY149" s="28" t="n">
        <f aca="false">IF(ISNUMBER(S149),1,"")</f>
        <v>1</v>
      </c>
      <c r="DZ149" s="28" t="n">
        <f aca="false">IF(ISNUMBER(W149),2,"")</f>
        <v>2</v>
      </c>
      <c r="EA149" s="28" t="n">
        <f aca="false">IF(ISNUMBER(AA149),3,"")</f>
        <v>3</v>
      </c>
      <c r="EB149" s="28" t="str">
        <f aca="false">IF(ISNUMBER(AE149),4,"")</f>
        <v/>
      </c>
      <c r="EC149" s="28" t="str">
        <f aca="false">IF(ISNUMBER(AI149),5,"")</f>
        <v/>
      </c>
      <c r="ED149" s="28" t="str">
        <f aca="false">IF(ISNUMBER(AM149),6,"")</f>
        <v/>
      </c>
      <c r="EE149" s="28" t="n">
        <f aca="false">IF(ISNUMBER(AQ149),7,"")</f>
        <v>7</v>
      </c>
      <c r="EF149" s="28" t="str">
        <f aca="false">IF(ISNUMBER(AU149),8,"")</f>
        <v/>
      </c>
      <c r="EG149" s="28" t="str">
        <f aca="false">IF(ISNUMBER(AY149),9,"")</f>
        <v/>
      </c>
      <c r="EH149" s="28" t="str">
        <f aca="false">IF(ISNUMBER(BC149),10,"")</f>
        <v/>
      </c>
      <c r="EI149" s="28" t="str">
        <f aca="false">IF(ISNUMBER(BG149),11,"")</f>
        <v/>
      </c>
      <c r="EJ149" s="28" t="str">
        <f aca="false">IF(ISNUMBER(BK149),12,"")</f>
        <v/>
      </c>
      <c r="EK149" s="28" t="str">
        <f aca="false">IF(ISNUMBER(BO149),13,"")</f>
        <v/>
      </c>
      <c r="EL149" s="28" t="str">
        <f aca="false">IF(ISNUMBER(BS149),14,"")</f>
        <v/>
      </c>
      <c r="EM149" s="28" t="n">
        <f aca="false">IF(ISNUMBER(R149),R149*CW149,0)</f>
        <v>50</v>
      </c>
      <c r="EN149" s="28" t="n">
        <f aca="false">IF(ISNUMBER(V149),V149*CX149,0)</f>
        <v>70</v>
      </c>
      <c r="EO149" s="28" t="n">
        <f aca="false">IF(ISNUMBER(Z149),Z149*CY149,0)</f>
        <v>70</v>
      </c>
      <c r="EP149" s="28" t="n">
        <f aca="false">IF(ISNUMBER(AD149),AD149*CZ149,0)</f>
        <v>0</v>
      </c>
      <c r="EQ149" s="28" t="n">
        <f aca="false">IF(ISNUMBER(AH149),AH149*DA149,0)</f>
        <v>0</v>
      </c>
      <c r="ER149" s="28" t="n">
        <f aca="false">IF(ISNUMBER(AL149),AL149*DB149,0)</f>
        <v>0</v>
      </c>
      <c r="ES149" s="28" t="n">
        <f aca="false">IF(ISNUMBER(AP149),AP149*DC149,0)</f>
        <v>171.428571428571</v>
      </c>
      <c r="ET149" s="28" t="n">
        <f aca="false">IF(ISNUMBER(AT149),AT149*DD149,0)</f>
        <v>0</v>
      </c>
      <c r="EU149" s="28" t="n">
        <f aca="false">IF(ISNUMBER(AX149),AX149*DE149,0)</f>
        <v>0</v>
      </c>
      <c r="EV149" s="28" t="n">
        <f aca="false">IF(ISNUMBER(BB149),BB149*DF149,0)</f>
        <v>0</v>
      </c>
      <c r="EW149" s="28" t="n">
        <f aca="false">IF(ISNUMBER(BF149),BF149*DG149,0)</f>
        <v>0</v>
      </c>
      <c r="EX149" s="28" t="n">
        <f aca="false">IF(ISNUMBER(BJ149),BJ149*DH149,0)</f>
        <v>0</v>
      </c>
      <c r="EY149" s="28" t="n">
        <f aca="false">IF(ISNUMBER(BN149),BN149*DI149,0)</f>
        <v>0</v>
      </c>
      <c r="EZ149" s="28" t="n">
        <f aca="false">IF(ISNUMBER(BR149),BR149*DJ149,0)</f>
        <v>0</v>
      </c>
      <c r="FA149" s="28" t="n">
        <f aca="false">IF(ISNUMBER(R149),CW149,0)</f>
        <v>1</v>
      </c>
      <c r="FB149" s="28" t="n">
        <f aca="false">IF(ISNUMBER(V149),CX149,0)</f>
        <v>1</v>
      </c>
      <c r="FC149" s="28" t="n">
        <f aca="false">IF(ISNUMBER(Z149),CY149,0)</f>
        <v>1</v>
      </c>
      <c r="FD149" s="28" t="n">
        <f aca="false">IF(ISNUMBER(AD149),CZ149,0)</f>
        <v>0</v>
      </c>
      <c r="FE149" s="28" t="n">
        <f aca="false">IF(ISNUMBER(AH149),DA149,0)</f>
        <v>0</v>
      </c>
      <c r="FF149" s="28" t="n">
        <f aca="false">IF(ISNUMBER(AL149),DB149,0)</f>
        <v>0</v>
      </c>
      <c r="FG149" s="28" t="n">
        <f aca="false">IF(ISNUMBER(AP149),DC149,0)</f>
        <v>2</v>
      </c>
      <c r="FH149" s="28" t="n">
        <f aca="false">IF(ISNUMBER(AT149),DD149,0)</f>
        <v>0</v>
      </c>
      <c r="FI149" s="28" t="n">
        <f aca="false">IF(ISNUMBER(AX149),DE149,0)</f>
        <v>0</v>
      </c>
      <c r="FJ149" s="28" t="n">
        <f aca="false">IF(ISNUMBER(BB149),DF149,0)</f>
        <v>0</v>
      </c>
      <c r="FK149" s="28" t="n">
        <f aca="false">IF(ISNUMBER(BF149),DG149,0)</f>
        <v>0</v>
      </c>
      <c r="FL149" s="28" t="n">
        <f aca="false">IF(ISNUMBER(BJ149),DH149,0)</f>
        <v>0</v>
      </c>
      <c r="FM149" s="28" t="n">
        <f aca="false">IF(ISNUMBER(BN149),DI149,0)</f>
        <v>0</v>
      </c>
      <c r="FN149" s="28" t="n">
        <f aca="false">IF(ISNUMBER(BR149),DJ149,0)</f>
        <v>0</v>
      </c>
      <c r="FO149" s="28" t="str">
        <f aca="false">IFERROR(INDEX(Lists!$G$2:$G$20,MATCH($I149&amp;"|"&amp;$J149,Lists!$F$2:$F$20,0)),"")</f>
        <v>BM Exam</v>
      </c>
    </row>
    <row r="150" customFormat="false" ht="19.5" hidden="false" customHeight="true" outlineLevel="0" collapsed="false">
      <c r="A150" s="29" t="s">
        <v>394</v>
      </c>
      <c r="B150" s="29" t="s">
        <v>395</v>
      </c>
      <c r="C150" s="30" t="s">
        <v>152</v>
      </c>
      <c r="D150" s="30" t="s">
        <v>383</v>
      </c>
      <c r="E150" s="31" t="n">
        <v>5.6</v>
      </c>
      <c r="F150" s="30" t="n">
        <v>6</v>
      </c>
      <c r="G150" s="30"/>
      <c r="H150" s="32" t="s">
        <v>23</v>
      </c>
      <c r="I150" s="33" t="s">
        <v>365</v>
      </c>
      <c r="J150" s="32" t="s">
        <v>25</v>
      </c>
      <c r="K150" s="34" t="n">
        <f aca="false">IF(OR(M150="",$E150=""),"",M150-$E150)</f>
        <v>1.4</v>
      </c>
      <c r="L150" s="35" t="n">
        <f aca="false">IF(SUM(FA150:FN150)=0,"",SUM(EM150:EZ150)/SUM(FA150:FN150))</f>
        <v>89.3333333333333</v>
      </c>
      <c r="M150" s="36" t="n">
        <f aca="false">IF(OR(L150="",FO150=""),"",IFERROR(MATCH(L150,INDEX(Boundaries!$B$2:$I$30,MATCH(FO150,Boundaries!$A$2:$A$30,0),0),1)-1,""))</f>
        <v>7</v>
      </c>
      <c r="N150" s="37" t="n">
        <f aca="false">IF(COUNT($DY150:$EL150)&lt;2,"",INDEX($DK150:$DX150,MAX($DY150:$EL150))-INDEX($DK150:$DX150,MIN($DY150:$EL150)))</f>
        <v>0</v>
      </c>
      <c r="O150" s="37" t="n">
        <f aca="false">IF(COUNT($DY150:$EL150)&lt;2,"",INDEX($DK150:$DX150,MAX($DY150:$EL150))-INDEX($DK150:$DX150,LARGE($DY150:$EL150,2)))</f>
        <v>0</v>
      </c>
      <c r="P150" s="38" t="str">
        <f aca="false">IF(K150="","",IF(K150&gt;=0,"On/above target",IF(AND(N150&lt;&gt;"",N150&gt;=0.5),"Improving towards target",IF(AND(O150&lt;&gt;"",O150&lt;=-0.5),"Declining","Stable below target"))))</f>
        <v>On/above target</v>
      </c>
      <c r="Q150" s="39" t="n">
        <v>22</v>
      </c>
      <c r="R150" s="40" t="n">
        <f aca="false">IF(OR(Q150="",BU150=""),"",Q150/BU150*100)</f>
        <v>91.6666666666667</v>
      </c>
      <c r="S150" s="41" t="n">
        <f aca="false">IF(R150="","",IFERROR(MATCH(R150,INDEX(Boundaries!$B$2:$I$30,MATCH(CI150,Boundaries!$A$2:$A$30,0),0),1)-1,""))</f>
        <v>7</v>
      </c>
      <c r="T150" s="42" t="n">
        <f aca="false">IF(OR(S150="",$E150=""),"",S150-$E150)</f>
        <v>1.4</v>
      </c>
      <c r="U150" s="39" t="n">
        <v>14</v>
      </c>
      <c r="V150" s="40" t="n">
        <f aca="false">IF(OR(U150="",BV150=""),"",U150/BV150*100)</f>
        <v>70</v>
      </c>
      <c r="W150" s="41" t="n">
        <f aca="false">IF(V150="","",IFERROR(MATCH(V150,INDEX(Boundaries!$B$2:$I$30,MATCH(CJ150,Boundaries!$A$2:$A$30,0),0),1)-1,""))</f>
        <v>6</v>
      </c>
      <c r="X150" s="42" t="n">
        <f aca="false">IF(OR(W150="",$E150=""),"",W150-$E150)</f>
        <v>0.4</v>
      </c>
      <c r="Y150" s="39" t="n">
        <v>17</v>
      </c>
      <c r="Z150" s="40" t="n">
        <f aca="false">IF(OR(Y150="",BW150=""),"",Y150/BW150*100)</f>
        <v>85</v>
      </c>
      <c r="AA150" s="41" t="n">
        <f aca="false">IF(Z150="","",IFERROR(MATCH(Z150,INDEX(Boundaries!$B$2:$I$30,MATCH(CK150,Boundaries!$A$2:$A$30,0),0),1)-1,""))</f>
        <v>7</v>
      </c>
      <c r="AB150" s="42" t="n">
        <f aca="false">IF(OR(AA150="",$E150=""),"",AA150-$E150)</f>
        <v>1.4</v>
      </c>
      <c r="AC150" s="39"/>
      <c r="AD150" s="40" t="str">
        <f aca="false">IF(OR(AC150="",BX150=""),"",AC150/BX150*100)</f>
        <v/>
      </c>
      <c r="AE150" s="41" t="str">
        <f aca="false">IF(AD150="","",IFERROR(MATCH(AD150,INDEX(Boundaries!$B$2:$I$30,MATCH(CL150,Boundaries!$A$2:$A$30,0),0),1)-1,""))</f>
        <v/>
      </c>
      <c r="AF150" s="42" t="str">
        <f aca="false">IF(OR(AE150="",$E150=""),"",AE150-$E150)</f>
        <v/>
      </c>
      <c r="AG150" s="39"/>
      <c r="AH150" s="40" t="str">
        <f aca="false">IF(OR(AG150="",BY150=""),"",AG150/BY150*100)</f>
        <v/>
      </c>
      <c r="AI150" s="41" t="str">
        <f aca="false">IF(AH150="","",IFERROR(MATCH(AH150,INDEX(Boundaries!$B$2:$I$30,MATCH(CM150,Boundaries!$A$2:$A$30,0),0),1)-1,""))</f>
        <v/>
      </c>
      <c r="AJ150" s="42" t="str">
        <f aca="false">IF(OR(AI150="",$E150=""),"",AI150-$E150)</f>
        <v/>
      </c>
      <c r="AK150" s="39"/>
      <c r="AL150" s="40" t="str">
        <f aca="false">IF(OR(AK150="",BZ150=""),"",AK150/BZ150*100)</f>
        <v/>
      </c>
      <c r="AM150" s="41" t="str">
        <f aca="false">IF(AL150="","",IFERROR(MATCH(AL150,INDEX(Boundaries!$B$2:$I$30,MATCH(CN150,Boundaries!$A$2:$A$30,0),0),1)-1,""))</f>
        <v/>
      </c>
      <c r="AN150" s="42" t="str">
        <f aca="false">IF(OR(AM150="",$E150=""),"",AM150-$E150)</f>
        <v/>
      </c>
      <c r="AO150" s="39" t="n">
        <v>7</v>
      </c>
      <c r="AP150" s="40" t="n">
        <f aca="false">IF(OR(AO150="",CA150=""),"",AO150/CA150*100)</f>
        <v>100</v>
      </c>
      <c r="AQ150" s="41" t="n">
        <f aca="false">IF(AP150="","",IFERROR(MATCH(AP150,INDEX(Boundaries!$B$2:$I$30,MATCH(CO150,Boundaries!$A$2:$A$30,0),0),1)-1,""))</f>
        <v>7</v>
      </c>
      <c r="AR150" s="42" t="n">
        <f aca="false">IF(OR(AQ150="",$E150=""),"",AQ150-$E150)</f>
        <v>1.4</v>
      </c>
      <c r="AS150" s="39"/>
      <c r="AT150" s="40" t="str">
        <f aca="false">IF(OR(AS150="",CB150=""),"",AS150/CB150*100)</f>
        <v/>
      </c>
      <c r="AU150" s="41" t="str">
        <f aca="false">IF(AT150="","",IFERROR(MATCH(AT150,INDEX(Boundaries!$B$2:$I$30,MATCH(CP150,Boundaries!$A$2:$A$30,0),0),1)-1,""))</f>
        <v/>
      </c>
      <c r="AV150" s="42" t="str">
        <f aca="false">IF(OR(AU150="",$E150=""),"",AU150-$E150)</f>
        <v/>
      </c>
      <c r="AW150" s="39"/>
      <c r="AX150" s="40" t="str">
        <f aca="false">IF(OR(AW150="",CC150=""),"",AW150/CC150*100)</f>
        <v/>
      </c>
      <c r="AY150" s="41" t="str">
        <f aca="false">IF(AX150="","",IFERROR(MATCH(AX150,INDEX(Boundaries!$B$2:$I$30,MATCH(CQ150,Boundaries!$A$2:$A$30,0),0),1)-1,""))</f>
        <v/>
      </c>
      <c r="AZ150" s="42" t="str">
        <f aca="false">IF(OR(AY150="",$E150=""),"",AY150-$E150)</f>
        <v/>
      </c>
      <c r="BA150" s="39"/>
      <c r="BB150" s="40" t="str">
        <f aca="false">IF(OR(BA150="",CD150=""),"",BA150/CD150*100)</f>
        <v/>
      </c>
      <c r="BC150" s="41" t="str">
        <f aca="false">IF(BB150="","",IFERROR(MATCH(BB150,INDEX(Boundaries!$B$2:$I$30,MATCH(CR150,Boundaries!$A$2:$A$30,0),0),1)-1,""))</f>
        <v/>
      </c>
      <c r="BD150" s="42" t="str">
        <f aca="false">IF(OR(BC150="",$E150=""),"",BC150-$E150)</f>
        <v/>
      </c>
      <c r="BE150" s="39"/>
      <c r="BF150" s="40" t="str">
        <f aca="false">IF(OR(BE150="",CE150=""),"",BE150/CE150*100)</f>
        <v/>
      </c>
      <c r="BG150" s="41" t="str">
        <f aca="false">IF(BF150="","",IFERROR(MATCH(BF150,INDEX(Boundaries!$B$2:$I$30,MATCH(CS150,Boundaries!$A$2:$A$30,0),0),1)-1,""))</f>
        <v/>
      </c>
      <c r="BH150" s="42" t="str">
        <f aca="false">IF(OR(BG150="",$E150=""),"",BG150-$E150)</f>
        <v/>
      </c>
      <c r="BI150" s="39"/>
      <c r="BJ150" s="40" t="str">
        <f aca="false">IF(OR(BI150="",CF150=""),"",BI150/CF150*100)</f>
        <v/>
      </c>
      <c r="BK150" s="41" t="str">
        <f aca="false">IF(BJ150="","",IFERROR(MATCH(BJ150,INDEX(Boundaries!$B$2:$I$30,MATCH(CT150,Boundaries!$A$2:$A$30,0),0),1)-1,""))</f>
        <v/>
      </c>
      <c r="BL150" s="42" t="str">
        <f aca="false">IF(OR(BK150="",$E150=""),"",BK150-$E150)</f>
        <v/>
      </c>
      <c r="BM150" s="39"/>
      <c r="BN150" s="40" t="str">
        <f aca="false">IF(OR(BM150="",CG150=""),"",BM150/CG150*100)</f>
        <v/>
      </c>
      <c r="BO150" s="41" t="str">
        <f aca="false">IF(BN150="","",IFERROR(MATCH(BN150,INDEX(Boundaries!$B$2:$I$30,MATCH(CU150,Boundaries!$A$2:$A$30,0),0),1)-1,""))</f>
        <v/>
      </c>
      <c r="BP150" s="42" t="str">
        <f aca="false">IF(OR(BO150="",$E150=""),"",BO150-$E150)</f>
        <v/>
      </c>
      <c r="BQ150" s="39"/>
      <c r="BR150" s="40" t="str">
        <f aca="false">IF(OR(BQ150="",CH150=""),"",BQ150/CH150*100)</f>
        <v/>
      </c>
      <c r="BS150" s="41" t="str">
        <f aca="false">IF(BR150="","",IFERROR(MATCH(BR150,INDEX(Boundaries!$B$2:$I$30,MATCH(CV150,Boundaries!$A$2:$A$30,0),0),1)-1,""))</f>
        <v/>
      </c>
      <c r="BT150" s="42" t="str">
        <f aca="false">IF(OR(BS150="",$E150=""),"",BS150-$E150)</f>
        <v/>
      </c>
      <c r="BU150" s="28" t="n">
        <f aca="false">IFERROR(INDEX(Assessments!$H$2:$H$600,MATCH($H150&amp;"|"&amp;$I150&amp;"|"&amp;$J150&amp;"|"&amp;1,Assessments!$A$2:$A$600,0)),"")</f>
        <v>24</v>
      </c>
      <c r="BV150" s="28" t="n">
        <f aca="false">IFERROR(INDEX(Assessments!$H$2:$H$600,MATCH($H150&amp;"|"&amp;$I150&amp;"|"&amp;$J150&amp;"|"&amp;2,Assessments!$A$2:$A$600,0)),"")</f>
        <v>20</v>
      </c>
      <c r="BW150" s="28" t="n">
        <f aca="false">IFERROR(INDEX(Assessments!$H$2:$H$600,MATCH($H150&amp;"|"&amp;$I150&amp;"|"&amp;$J150&amp;"|"&amp;3,Assessments!$A$2:$A$600,0)),"")</f>
        <v>20</v>
      </c>
      <c r="BX150" s="28" t="n">
        <f aca="false">IFERROR(INDEX(Assessments!$H$2:$H$600,MATCH($H150&amp;"|"&amp;$I150&amp;"|"&amp;$J150&amp;"|"&amp;4,Assessments!$A$2:$A$600,0)),"")</f>
        <v>40</v>
      </c>
      <c r="BY150" s="28" t="n">
        <f aca="false">IFERROR(INDEX(Assessments!$H$2:$H$600,MATCH($H150&amp;"|"&amp;$I150&amp;"|"&amp;$J150&amp;"|"&amp;5,Assessments!$A$2:$A$600,0)),"")</f>
        <v>30</v>
      </c>
      <c r="BZ150" s="28" t="n">
        <f aca="false">IFERROR(INDEX(Assessments!$H$2:$H$600,MATCH($H150&amp;"|"&amp;$I150&amp;"|"&amp;$J150&amp;"|"&amp;6,Assessments!$A$2:$A$600,0)),"")</f>
        <v>20</v>
      </c>
      <c r="CA150" s="28" t="n">
        <f aca="false">IFERROR(INDEX(Assessments!$H$2:$H$600,MATCH($H150&amp;"|"&amp;$I150&amp;"|"&amp;$J150&amp;"|"&amp;7,Assessments!$A$2:$A$600,0)),"")</f>
        <v>7</v>
      </c>
      <c r="CB150" s="28" t="str">
        <f aca="false">IFERROR(INDEX(Assessments!$H$2:$H$600,MATCH($H150&amp;"|"&amp;$I150&amp;"|"&amp;$J150&amp;"|"&amp;8,Assessments!$A$2:$A$600,0)),"")</f>
        <v/>
      </c>
      <c r="CC150" s="28" t="str">
        <f aca="false">IFERROR(INDEX(Assessments!$H$2:$H$600,MATCH($H150&amp;"|"&amp;$I150&amp;"|"&amp;$J150&amp;"|"&amp;9,Assessments!$A$2:$A$600,0)),"")</f>
        <v/>
      </c>
      <c r="CD150" s="28" t="str">
        <f aca="false">IFERROR(INDEX(Assessments!$H$2:$H$600,MATCH($H150&amp;"|"&amp;$I150&amp;"|"&amp;$J150&amp;"|"&amp;10,Assessments!$A$2:$A$600,0)),"")</f>
        <v/>
      </c>
      <c r="CE150" s="28" t="str">
        <f aca="false">IFERROR(INDEX(Assessments!$H$2:$H$600,MATCH($H150&amp;"|"&amp;$I150&amp;"|"&amp;$J150&amp;"|"&amp;11,Assessments!$A$2:$A$600,0)),"")</f>
        <v/>
      </c>
      <c r="CF150" s="28" t="str">
        <f aca="false">IFERROR(INDEX(Assessments!$H$2:$H$600,MATCH($H150&amp;"|"&amp;$I150&amp;"|"&amp;$J150&amp;"|"&amp;12,Assessments!$A$2:$A$600,0)),"")</f>
        <v/>
      </c>
      <c r="CG150" s="28" t="str">
        <f aca="false">IFERROR(INDEX(Assessments!$H$2:$H$600,MATCH($H150&amp;"|"&amp;$I150&amp;"|"&amp;$J150&amp;"|"&amp;13,Assessments!$A$2:$A$600,0)),"")</f>
        <v/>
      </c>
      <c r="CH150" s="28" t="str">
        <f aca="false">IFERROR(INDEX(Assessments!$H$2:$H$600,MATCH($H150&amp;"|"&amp;$I150&amp;"|"&amp;$J150&amp;"|"&amp;14,Assessments!$A$2:$A$600,0)),"")</f>
        <v/>
      </c>
      <c r="CI150" s="28" t="str">
        <f aca="false">IFERROR(INDEX(Assessments!$I$2:$I$600,MATCH($H150&amp;"|"&amp;$I150&amp;"|"&amp;$J150&amp;"|"&amp;1,Assessments!$A$2:$A$600,0)),"")</f>
        <v>BM Test</v>
      </c>
      <c r="CJ150" s="28" t="str">
        <f aca="false">IFERROR(INDEX(Assessments!$I$2:$I$600,MATCH($H150&amp;"|"&amp;$I150&amp;"|"&amp;$J150&amp;"|"&amp;2,Assessments!$A$2:$A$600,0)),"")</f>
        <v>BM Test</v>
      </c>
      <c r="CK150" s="28" t="str">
        <f aca="false">IFERROR(INDEX(Assessments!$I$2:$I$600,MATCH($H150&amp;"|"&amp;$I150&amp;"|"&amp;$J150&amp;"|"&amp;3,Assessments!$A$2:$A$600,0)),"")</f>
        <v>BM Test</v>
      </c>
      <c r="CL150" s="28" t="str">
        <f aca="false">IFERROR(INDEX(Assessments!$I$2:$I$600,MATCH($H150&amp;"|"&amp;$I150&amp;"|"&amp;$J150&amp;"|"&amp;4,Assessments!$A$2:$A$600,0)),"")</f>
        <v>BM Exam</v>
      </c>
      <c r="CM150" s="28" t="str">
        <f aca="false">IFERROR(INDEX(Assessments!$I$2:$I$600,MATCH($H150&amp;"|"&amp;$I150&amp;"|"&amp;$J150&amp;"|"&amp;5,Assessments!$A$2:$A$600,0)),"")</f>
        <v>BM Test</v>
      </c>
      <c r="CN150" s="28" t="str">
        <f aca="false">IFERROR(INDEX(Assessments!$I$2:$I$600,MATCH($H150&amp;"|"&amp;$I150&amp;"|"&amp;$J150&amp;"|"&amp;6,Assessments!$A$2:$A$600,0)),"")</f>
        <v>BM Test</v>
      </c>
      <c r="CO150" s="28" t="str">
        <f aca="false">IFERROR(INDEX(Assessments!$I$2:$I$600,MATCH($H150&amp;"|"&amp;$I150&amp;"|"&amp;$J150&amp;"|"&amp;7,Assessments!$A$2:$A$600,0)),"")</f>
        <v>Grade entered</v>
      </c>
      <c r="CP150" s="28" t="str">
        <f aca="false">IFERROR(INDEX(Assessments!$I$2:$I$600,MATCH($H150&amp;"|"&amp;$I150&amp;"|"&amp;$J150&amp;"|"&amp;8,Assessments!$A$2:$A$600,0)),"")</f>
        <v/>
      </c>
      <c r="CQ150" s="28" t="str">
        <f aca="false">IFERROR(INDEX(Assessments!$I$2:$I$600,MATCH($H150&amp;"|"&amp;$I150&amp;"|"&amp;$J150&amp;"|"&amp;9,Assessments!$A$2:$A$600,0)),"")</f>
        <v/>
      </c>
      <c r="CR150" s="28" t="str">
        <f aca="false">IFERROR(INDEX(Assessments!$I$2:$I$600,MATCH($H150&amp;"|"&amp;$I150&amp;"|"&amp;$J150&amp;"|"&amp;10,Assessments!$A$2:$A$600,0)),"")</f>
        <v/>
      </c>
      <c r="CS150" s="28" t="str">
        <f aca="false">IFERROR(INDEX(Assessments!$I$2:$I$600,MATCH($H150&amp;"|"&amp;$I150&amp;"|"&amp;$J150&amp;"|"&amp;11,Assessments!$A$2:$A$600,0)),"")</f>
        <v/>
      </c>
      <c r="CT150" s="28" t="str">
        <f aca="false">IFERROR(INDEX(Assessments!$I$2:$I$600,MATCH($H150&amp;"|"&amp;$I150&amp;"|"&amp;$J150&amp;"|"&amp;12,Assessments!$A$2:$A$600,0)),"")</f>
        <v/>
      </c>
      <c r="CU150" s="28" t="str">
        <f aca="false">IFERROR(INDEX(Assessments!$I$2:$I$600,MATCH($H150&amp;"|"&amp;$I150&amp;"|"&amp;$J150&amp;"|"&amp;13,Assessments!$A$2:$A$600,0)),"")</f>
        <v/>
      </c>
      <c r="CV150" s="28" t="str">
        <f aca="false">IFERROR(INDEX(Assessments!$I$2:$I$600,MATCH($H150&amp;"|"&amp;$I150&amp;"|"&amp;$J150&amp;"|"&amp;14,Assessments!$A$2:$A$600,0)),"")</f>
        <v/>
      </c>
      <c r="CW150" s="28" t="n">
        <f aca="false">IFERROR(INDEX(Assessments!$J$2:$J$600,MATCH($H150&amp;"|"&amp;$I150&amp;"|"&amp;$J150&amp;"|"&amp;1,Assessments!$A$2:$A$600,0)),0)</f>
        <v>1</v>
      </c>
      <c r="CX150" s="28" t="n">
        <f aca="false">IFERROR(INDEX(Assessments!$J$2:$J$600,MATCH($H150&amp;"|"&amp;$I150&amp;"|"&amp;$J150&amp;"|"&amp;2,Assessments!$A$2:$A$600,0)),0)</f>
        <v>1</v>
      </c>
      <c r="CY150" s="28" t="n">
        <f aca="false">IFERROR(INDEX(Assessments!$J$2:$J$600,MATCH($H150&amp;"|"&amp;$I150&amp;"|"&amp;$J150&amp;"|"&amp;3,Assessments!$A$2:$A$600,0)),0)</f>
        <v>1</v>
      </c>
      <c r="CZ150" s="28" t="n">
        <f aca="false">IFERROR(INDEX(Assessments!$J$2:$J$600,MATCH($H150&amp;"|"&amp;$I150&amp;"|"&amp;$J150&amp;"|"&amp;4,Assessments!$A$2:$A$600,0)),0)</f>
        <v>2</v>
      </c>
      <c r="DA150" s="28" t="n">
        <f aca="false">IFERROR(INDEX(Assessments!$J$2:$J$600,MATCH($H150&amp;"|"&amp;$I150&amp;"|"&amp;$J150&amp;"|"&amp;5,Assessments!$A$2:$A$600,0)),0)</f>
        <v>1</v>
      </c>
      <c r="DB150" s="28" t="n">
        <f aca="false">IFERROR(INDEX(Assessments!$J$2:$J$600,MATCH($H150&amp;"|"&amp;$I150&amp;"|"&amp;$J150&amp;"|"&amp;6,Assessments!$A$2:$A$600,0)),0)</f>
        <v>1</v>
      </c>
      <c r="DC150" s="28" t="n">
        <f aca="false">IFERROR(INDEX(Assessments!$J$2:$J$600,MATCH($H150&amp;"|"&amp;$I150&amp;"|"&amp;$J150&amp;"|"&amp;7,Assessments!$A$2:$A$600,0)),0)</f>
        <v>2</v>
      </c>
      <c r="DD150" s="28" t="n">
        <f aca="false">IFERROR(INDEX(Assessments!$J$2:$J$600,MATCH($H150&amp;"|"&amp;$I150&amp;"|"&amp;$J150&amp;"|"&amp;8,Assessments!$A$2:$A$600,0)),0)</f>
        <v>0</v>
      </c>
      <c r="DE150" s="28" t="n">
        <f aca="false">IFERROR(INDEX(Assessments!$J$2:$J$600,MATCH($H150&amp;"|"&amp;$I150&amp;"|"&amp;$J150&amp;"|"&amp;9,Assessments!$A$2:$A$600,0)),0)</f>
        <v>0</v>
      </c>
      <c r="DF150" s="28" t="n">
        <f aca="false">IFERROR(INDEX(Assessments!$J$2:$J$600,MATCH($H150&amp;"|"&amp;$I150&amp;"|"&amp;$J150&amp;"|"&amp;10,Assessments!$A$2:$A$600,0)),0)</f>
        <v>0</v>
      </c>
      <c r="DG150" s="28" t="n">
        <f aca="false">IFERROR(INDEX(Assessments!$J$2:$J$600,MATCH($H150&amp;"|"&amp;$I150&amp;"|"&amp;$J150&amp;"|"&amp;11,Assessments!$A$2:$A$600,0)),0)</f>
        <v>0</v>
      </c>
      <c r="DH150" s="28" t="n">
        <f aca="false">IFERROR(INDEX(Assessments!$J$2:$J$600,MATCH($H150&amp;"|"&amp;$I150&amp;"|"&amp;$J150&amp;"|"&amp;12,Assessments!$A$2:$A$600,0)),0)</f>
        <v>0</v>
      </c>
      <c r="DI150" s="28" t="n">
        <f aca="false">IFERROR(INDEX(Assessments!$J$2:$J$600,MATCH($H150&amp;"|"&amp;$I150&amp;"|"&amp;$J150&amp;"|"&amp;13,Assessments!$A$2:$A$600,0)),0)</f>
        <v>0</v>
      </c>
      <c r="DJ150" s="28" t="n">
        <f aca="false">IFERROR(INDEX(Assessments!$J$2:$J$600,MATCH($H150&amp;"|"&amp;$I150&amp;"|"&amp;$J150&amp;"|"&amp;14,Assessments!$A$2:$A$600,0)),0)</f>
        <v>0</v>
      </c>
      <c r="DK150" s="28" t="n">
        <f aca="false">S150</f>
        <v>7</v>
      </c>
      <c r="DL150" s="28" t="n">
        <f aca="false">W150</f>
        <v>6</v>
      </c>
      <c r="DM150" s="28" t="n">
        <f aca="false">AA150</f>
        <v>7</v>
      </c>
      <c r="DN150" s="28" t="str">
        <f aca="false">AE150</f>
        <v/>
      </c>
      <c r="DO150" s="28" t="str">
        <f aca="false">AI150</f>
        <v/>
      </c>
      <c r="DP150" s="28" t="str">
        <f aca="false">AM150</f>
        <v/>
      </c>
      <c r="DQ150" s="28" t="n">
        <f aca="false">AQ150</f>
        <v>7</v>
      </c>
      <c r="DR150" s="28" t="str">
        <f aca="false">AU150</f>
        <v/>
      </c>
      <c r="DS150" s="28" t="str">
        <f aca="false">AY150</f>
        <v/>
      </c>
      <c r="DT150" s="28" t="str">
        <f aca="false">BC150</f>
        <v/>
      </c>
      <c r="DU150" s="28" t="str">
        <f aca="false">BG150</f>
        <v/>
      </c>
      <c r="DV150" s="28" t="str">
        <f aca="false">BK150</f>
        <v/>
      </c>
      <c r="DW150" s="28" t="str">
        <f aca="false">BO150</f>
        <v/>
      </c>
      <c r="DX150" s="28" t="str">
        <f aca="false">BS150</f>
        <v/>
      </c>
      <c r="DY150" s="28" t="n">
        <f aca="false">IF(ISNUMBER(S150),1,"")</f>
        <v>1</v>
      </c>
      <c r="DZ150" s="28" t="n">
        <f aca="false">IF(ISNUMBER(W150),2,"")</f>
        <v>2</v>
      </c>
      <c r="EA150" s="28" t="n">
        <f aca="false">IF(ISNUMBER(AA150),3,"")</f>
        <v>3</v>
      </c>
      <c r="EB150" s="28" t="str">
        <f aca="false">IF(ISNUMBER(AE150),4,"")</f>
        <v/>
      </c>
      <c r="EC150" s="28" t="str">
        <f aca="false">IF(ISNUMBER(AI150),5,"")</f>
        <v/>
      </c>
      <c r="ED150" s="28" t="str">
        <f aca="false">IF(ISNUMBER(AM150),6,"")</f>
        <v/>
      </c>
      <c r="EE150" s="28" t="n">
        <f aca="false">IF(ISNUMBER(AQ150),7,"")</f>
        <v>7</v>
      </c>
      <c r="EF150" s="28" t="str">
        <f aca="false">IF(ISNUMBER(AU150),8,"")</f>
        <v/>
      </c>
      <c r="EG150" s="28" t="str">
        <f aca="false">IF(ISNUMBER(AY150),9,"")</f>
        <v/>
      </c>
      <c r="EH150" s="28" t="str">
        <f aca="false">IF(ISNUMBER(BC150),10,"")</f>
        <v/>
      </c>
      <c r="EI150" s="28" t="str">
        <f aca="false">IF(ISNUMBER(BG150),11,"")</f>
        <v/>
      </c>
      <c r="EJ150" s="28" t="str">
        <f aca="false">IF(ISNUMBER(BK150),12,"")</f>
        <v/>
      </c>
      <c r="EK150" s="28" t="str">
        <f aca="false">IF(ISNUMBER(BO150),13,"")</f>
        <v/>
      </c>
      <c r="EL150" s="28" t="str">
        <f aca="false">IF(ISNUMBER(BS150),14,"")</f>
        <v/>
      </c>
      <c r="EM150" s="28" t="n">
        <f aca="false">IF(ISNUMBER(R150),R150*CW150,0)</f>
        <v>91.6666666666667</v>
      </c>
      <c r="EN150" s="28" t="n">
        <f aca="false">IF(ISNUMBER(V150),V150*CX150,0)</f>
        <v>70</v>
      </c>
      <c r="EO150" s="28" t="n">
        <f aca="false">IF(ISNUMBER(Z150),Z150*CY150,0)</f>
        <v>85</v>
      </c>
      <c r="EP150" s="28" t="n">
        <f aca="false">IF(ISNUMBER(AD150),AD150*CZ150,0)</f>
        <v>0</v>
      </c>
      <c r="EQ150" s="28" t="n">
        <f aca="false">IF(ISNUMBER(AH150),AH150*DA150,0)</f>
        <v>0</v>
      </c>
      <c r="ER150" s="28" t="n">
        <f aca="false">IF(ISNUMBER(AL150),AL150*DB150,0)</f>
        <v>0</v>
      </c>
      <c r="ES150" s="28" t="n">
        <f aca="false">IF(ISNUMBER(AP150),AP150*DC150,0)</f>
        <v>200</v>
      </c>
      <c r="ET150" s="28" t="n">
        <f aca="false">IF(ISNUMBER(AT150),AT150*DD150,0)</f>
        <v>0</v>
      </c>
      <c r="EU150" s="28" t="n">
        <f aca="false">IF(ISNUMBER(AX150),AX150*DE150,0)</f>
        <v>0</v>
      </c>
      <c r="EV150" s="28" t="n">
        <f aca="false">IF(ISNUMBER(BB150),BB150*DF150,0)</f>
        <v>0</v>
      </c>
      <c r="EW150" s="28" t="n">
        <f aca="false">IF(ISNUMBER(BF150),BF150*DG150,0)</f>
        <v>0</v>
      </c>
      <c r="EX150" s="28" t="n">
        <f aca="false">IF(ISNUMBER(BJ150),BJ150*DH150,0)</f>
        <v>0</v>
      </c>
      <c r="EY150" s="28" t="n">
        <f aca="false">IF(ISNUMBER(BN150),BN150*DI150,0)</f>
        <v>0</v>
      </c>
      <c r="EZ150" s="28" t="n">
        <f aca="false">IF(ISNUMBER(BR150),BR150*DJ150,0)</f>
        <v>0</v>
      </c>
      <c r="FA150" s="28" t="n">
        <f aca="false">IF(ISNUMBER(R150),CW150,0)</f>
        <v>1</v>
      </c>
      <c r="FB150" s="28" t="n">
        <f aca="false">IF(ISNUMBER(V150),CX150,0)</f>
        <v>1</v>
      </c>
      <c r="FC150" s="28" t="n">
        <f aca="false">IF(ISNUMBER(Z150),CY150,0)</f>
        <v>1</v>
      </c>
      <c r="FD150" s="28" t="n">
        <f aca="false">IF(ISNUMBER(AD150),CZ150,0)</f>
        <v>0</v>
      </c>
      <c r="FE150" s="28" t="n">
        <f aca="false">IF(ISNUMBER(AH150),DA150,0)</f>
        <v>0</v>
      </c>
      <c r="FF150" s="28" t="n">
        <f aca="false">IF(ISNUMBER(AL150),DB150,0)</f>
        <v>0</v>
      </c>
      <c r="FG150" s="28" t="n">
        <f aca="false">IF(ISNUMBER(AP150),DC150,0)</f>
        <v>2</v>
      </c>
      <c r="FH150" s="28" t="n">
        <f aca="false">IF(ISNUMBER(AT150),DD150,0)</f>
        <v>0</v>
      </c>
      <c r="FI150" s="28" t="n">
        <f aca="false">IF(ISNUMBER(AX150),DE150,0)</f>
        <v>0</v>
      </c>
      <c r="FJ150" s="28" t="n">
        <f aca="false">IF(ISNUMBER(BB150),DF150,0)</f>
        <v>0</v>
      </c>
      <c r="FK150" s="28" t="n">
        <f aca="false">IF(ISNUMBER(BF150),DG150,0)</f>
        <v>0</v>
      </c>
      <c r="FL150" s="28" t="n">
        <f aca="false">IF(ISNUMBER(BJ150),DH150,0)</f>
        <v>0</v>
      </c>
      <c r="FM150" s="28" t="n">
        <f aca="false">IF(ISNUMBER(BN150),DI150,0)</f>
        <v>0</v>
      </c>
      <c r="FN150" s="28" t="n">
        <f aca="false">IF(ISNUMBER(BR150),DJ150,0)</f>
        <v>0</v>
      </c>
      <c r="FO150" s="28" t="str">
        <f aca="false">IFERROR(INDEX(Lists!$G$2:$G$20,MATCH($I150&amp;"|"&amp;$J150,Lists!$F$2:$F$20,0)),"")</f>
        <v>BM Exam</v>
      </c>
    </row>
    <row r="151" customFormat="false" ht="19.5" hidden="false" customHeight="true" outlineLevel="0" collapsed="false">
      <c r="A151" s="29" t="s">
        <v>285</v>
      </c>
      <c r="B151" s="29" t="s">
        <v>286</v>
      </c>
      <c r="C151" s="30" t="s">
        <v>152</v>
      </c>
      <c r="D151" s="30" t="s">
        <v>383</v>
      </c>
      <c r="E151" s="31" t="n">
        <v>6.4</v>
      </c>
      <c r="F151" s="30" t="n">
        <v>7</v>
      </c>
      <c r="G151" s="30"/>
      <c r="H151" s="32" t="s">
        <v>23</v>
      </c>
      <c r="I151" s="33" t="s">
        <v>365</v>
      </c>
      <c r="J151" s="32" t="s">
        <v>25</v>
      </c>
      <c r="K151" s="34" t="n">
        <f aca="false">IF(OR(M151="",$E151=""),"",M151-$E151)</f>
        <v>0.6</v>
      </c>
      <c r="L151" s="35" t="n">
        <f aca="false">IF(SUM(FA151:FN151)=0,"",SUM(EM151:EZ151)/SUM(FA151:FN151))</f>
        <v>93.1666666666667</v>
      </c>
      <c r="M151" s="36" t="n">
        <f aca="false">IF(OR(L151="",FO151=""),"",IFERROR(MATCH(L151,INDEX(Boundaries!$B$2:$I$30,MATCH(FO151,Boundaries!$A$2:$A$30,0),0),1)-1,""))</f>
        <v>7</v>
      </c>
      <c r="N151" s="37" t="n">
        <f aca="false">IF(COUNT($DY151:$EL151)&lt;2,"",INDEX($DK151:$DX151,MAX($DY151:$EL151))-INDEX($DK151:$DX151,MIN($DY151:$EL151)))</f>
        <v>0</v>
      </c>
      <c r="O151" s="37" t="n">
        <f aca="false">IF(COUNT($DY151:$EL151)&lt;2,"",INDEX($DK151:$DX151,MAX($DY151:$EL151))-INDEX($DK151:$DX151,LARGE($DY151:$EL151,2)))</f>
        <v>0</v>
      </c>
      <c r="P151" s="38" t="str">
        <f aca="false">IF(K151="","",IF(K151&gt;=0,"On/above target",IF(AND(N151&lt;&gt;"",N151&gt;=0.5),"Improving towards target",IF(AND(O151&lt;&gt;"",O151&lt;=-0.5),"Declining","Stable below target"))))</f>
        <v>On/above target</v>
      </c>
      <c r="Q151" s="39" t="n">
        <v>23</v>
      </c>
      <c r="R151" s="40" t="n">
        <f aca="false">IF(OR(Q151="",BU151=""),"",Q151/BU151*100)</f>
        <v>95.8333333333333</v>
      </c>
      <c r="S151" s="41" t="n">
        <f aca="false">IF(R151="","",IFERROR(MATCH(R151,INDEX(Boundaries!$B$2:$I$30,MATCH(CI151,Boundaries!$A$2:$A$30,0),0),1)-1,""))</f>
        <v>7</v>
      </c>
      <c r="T151" s="42" t="n">
        <f aca="false">IF(OR(S151="",$E151=""),"",S151-$E151)</f>
        <v>0.6</v>
      </c>
      <c r="U151" s="39" t="n">
        <v>16</v>
      </c>
      <c r="V151" s="40" t="n">
        <f aca="false">IF(OR(U151="",BV151=""),"",U151/BV151*100)</f>
        <v>80</v>
      </c>
      <c r="W151" s="41" t="n">
        <f aca="false">IF(V151="","",IFERROR(MATCH(V151,INDEX(Boundaries!$B$2:$I$30,MATCH(CJ151,Boundaries!$A$2:$A$30,0),0),1)-1,""))</f>
        <v>7</v>
      </c>
      <c r="X151" s="42" t="n">
        <f aca="false">IF(OR(W151="",$E151=""),"",W151-$E151)</f>
        <v>0.6</v>
      </c>
      <c r="Y151" s="39" t="n">
        <v>18</v>
      </c>
      <c r="Z151" s="40" t="n">
        <f aca="false">IF(OR(Y151="",BW151=""),"",Y151/BW151*100)</f>
        <v>90</v>
      </c>
      <c r="AA151" s="41" t="n">
        <f aca="false">IF(Z151="","",IFERROR(MATCH(Z151,INDEX(Boundaries!$B$2:$I$30,MATCH(CK151,Boundaries!$A$2:$A$30,0),0),1)-1,""))</f>
        <v>7</v>
      </c>
      <c r="AB151" s="42" t="n">
        <f aca="false">IF(OR(AA151="",$E151=""),"",AA151-$E151)</f>
        <v>0.6</v>
      </c>
      <c r="AC151" s="39"/>
      <c r="AD151" s="40" t="str">
        <f aca="false">IF(OR(AC151="",BX151=""),"",AC151/BX151*100)</f>
        <v/>
      </c>
      <c r="AE151" s="41" t="str">
        <f aca="false">IF(AD151="","",IFERROR(MATCH(AD151,INDEX(Boundaries!$B$2:$I$30,MATCH(CL151,Boundaries!$A$2:$A$30,0),0),1)-1,""))</f>
        <v/>
      </c>
      <c r="AF151" s="42" t="str">
        <f aca="false">IF(OR(AE151="",$E151=""),"",AE151-$E151)</f>
        <v/>
      </c>
      <c r="AG151" s="39"/>
      <c r="AH151" s="40" t="str">
        <f aca="false">IF(OR(AG151="",BY151=""),"",AG151/BY151*100)</f>
        <v/>
      </c>
      <c r="AI151" s="41" t="str">
        <f aca="false">IF(AH151="","",IFERROR(MATCH(AH151,INDEX(Boundaries!$B$2:$I$30,MATCH(CM151,Boundaries!$A$2:$A$30,0),0),1)-1,""))</f>
        <v/>
      </c>
      <c r="AJ151" s="42" t="str">
        <f aca="false">IF(OR(AI151="",$E151=""),"",AI151-$E151)</f>
        <v/>
      </c>
      <c r="AK151" s="39"/>
      <c r="AL151" s="40" t="str">
        <f aca="false">IF(OR(AK151="",BZ151=""),"",AK151/BZ151*100)</f>
        <v/>
      </c>
      <c r="AM151" s="41" t="str">
        <f aca="false">IF(AL151="","",IFERROR(MATCH(AL151,INDEX(Boundaries!$B$2:$I$30,MATCH(CN151,Boundaries!$A$2:$A$30,0),0),1)-1,""))</f>
        <v/>
      </c>
      <c r="AN151" s="42" t="str">
        <f aca="false">IF(OR(AM151="",$E151=""),"",AM151-$E151)</f>
        <v/>
      </c>
      <c r="AO151" s="39" t="n">
        <v>7</v>
      </c>
      <c r="AP151" s="40" t="n">
        <f aca="false">IF(OR(AO151="",CA151=""),"",AO151/CA151*100)</f>
        <v>100</v>
      </c>
      <c r="AQ151" s="41" t="n">
        <f aca="false">IF(AP151="","",IFERROR(MATCH(AP151,INDEX(Boundaries!$B$2:$I$30,MATCH(CO151,Boundaries!$A$2:$A$30,0),0),1)-1,""))</f>
        <v>7</v>
      </c>
      <c r="AR151" s="42" t="n">
        <f aca="false">IF(OR(AQ151="",$E151=""),"",AQ151-$E151)</f>
        <v>0.6</v>
      </c>
      <c r="AS151" s="39"/>
      <c r="AT151" s="40" t="str">
        <f aca="false">IF(OR(AS151="",CB151=""),"",AS151/CB151*100)</f>
        <v/>
      </c>
      <c r="AU151" s="41" t="str">
        <f aca="false">IF(AT151="","",IFERROR(MATCH(AT151,INDEX(Boundaries!$B$2:$I$30,MATCH(CP151,Boundaries!$A$2:$A$30,0),0),1)-1,""))</f>
        <v/>
      </c>
      <c r="AV151" s="42" t="str">
        <f aca="false">IF(OR(AU151="",$E151=""),"",AU151-$E151)</f>
        <v/>
      </c>
      <c r="AW151" s="39"/>
      <c r="AX151" s="40" t="str">
        <f aca="false">IF(OR(AW151="",CC151=""),"",AW151/CC151*100)</f>
        <v/>
      </c>
      <c r="AY151" s="41" t="str">
        <f aca="false">IF(AX151="","",IFERROR(MATCH(AX151,INDEX(Boundaries!$B$2:$I$30,MATCH(CQ151,Boundaries!$A$2:$A$30,0),0),1)-1,""))</f>
        <v/>
      </c>
      <c r="AZ151" s="42" t="str">
        <f aca="false">IF(OR(AY151="",$E151=""),"",AY151-$E151)</f>
        <v/>
      </c>
      <c r="BA151" s="39"/>
      <c r="BB151" s="40" t="str">
        <f aca="false">IF(OR(BA151="",CD151=""),"",BA151/CD151*100)</f>
        <v/>
      </c>
      <c r="BC151" s="41" t="str">
        <f aca="false">IF(BB151="","",IFERROR(MATCH(BB151,INDEX(Boundaries!$B$2:$I$30,MATCH(CR151,Boundaries!$A$2:$A$30,0),0),1)-1,""))</f>
        <v/>
      </c>
      <c r="BD151" s="42" t="str">
        <f aca="false">IF(OR(BC151="",$E151=""),"",BC151-$E151)</f>
        <v/>
      </c>
      <c r="BE151" s="39"/>
      <c r="BF151" s="40" t="str">
        <f aca="false">IF(OR(BE151="",CE151=""),"",BE151/CE151*100)</f>
        <v/>
      </c>
      <c r="BG151" s="41" t="str">
        <f aca="false">IF(BF151="","",IFERROR(MATCH(BF151,INDEX(Boundaries!$B$2:$I$30,MATCH(CS151,Boundaries!$A$2:$A$30,0),0),1)-1,""))</f>
        <v/>
      </c>
      <c r="BH151" s="42" t="str">
        <f aca="false">IF(OR(BG151="",$E151=""),"",BG151-$E151)</f>
        <v/>
      </c>
      <c r="BI151" s="39"/>
      <c r="BJ151" s="40" t="str">
        <f aca="false">IF(OR(BI151="",CF151=""),"",BI151/CF151*100)</f>
        <v/>
      </c>
      <c r="BK151" s="41" t="str">
        <f aca="false">IF(BJ151="","",IFERROR(MATCH(BJ151,INDEX(Boundaries!$B$2:$I$30,MATCH(CT151,Boundaries!$A$2:$A$30,0),0),1)-1,""))</f>
        <v/>
      </c>
      <c r="BL151" s="42" t="str">
        <f aca="false">IF(OR(BK151="",$E151=""),"",BK151-$E151)</f>
        <v/>
      </c>
      <c r="BM151" s="39"/>
      <c r="BN151" s="40" t="str">
        <f aca="false">IF(OR(BM151="",CG151=""),"",BM151/CG151*100)</f>
        <v/>
      </c>
      <c r="BO151" s="41" t="str">
        <f aca="false">IF(BN151="","",IFERROR(MATCH(BN151,INDEX(Boundaries!$B$2:$I$30,MATCH(CU151,Boundaries!$A$2:$A$30,0),0),1)-1,""))</f>
        <v/>
      </c>
      <c r="BP151" s="42" t="str">
        <f aca="false">IF(OR(BO151="",$E151=""),"",BO151-$E151)</f>
        <v/>
      </c>
      <c r="BQ151" s="39"/>
      <c r="BR151" s="40" t="str">
        <f aca="false">IF(OR(BQ151="",CH151=""),"",BQ151/CH151*100)</f>
        <v/>
      </c>
      <c r="BS151" s="41" t="str">
        <f aca="false">IF(BR151="","",IFERROR(MATCH(BR151,INDEX(Boundaries!$B$2:$I$30,MATCH(CV151,Boundaries!$A$2:$A$30,0),0),1)-1,""))</f>
        <v/>
      </c>
      <c r="BT151" s="42" t="str">
        <f aca="false">IF(OR(BS151="",$E151=""),"",BS151-$E151)</f>
        <v/>
      </c>
      <c r="BU151" s="28" t="n">
        <f aca="false">IFERROR(INDEX(Assessments!$H$2:$H$600,MATCH($H151&amp;"|"&amp;$I151&amp;"|"&amp;$J151&amp;"|"&amp;1,Assessments!$A$2:$A$600,0)),"")</f>
        <v>24</v>
      </c>
      <c r="BV151" s="28" t="n">
        <f aca="false">IFERROR(INDEX(Assessments!$H$2:$H$600,MATCH($H151&amp;"|"&amp;$I151&amp;"|"&amp;$J151&amp;"|"&amp;2,Assessments!$A$2:$A$600,0)),"")</f>
        <v>20</v>
      </c>
      <c r="BW151" s="28" t="n">
        <f aca="false">IFERROR(INDEX(Assessments!$H$2:$H$600,MATCH($H151&amp;"|"&amp;$I151&amp;"|"&amp;$J151&amp;"|"&amp;3,Assessments!$A$2:$A$600,0)),"")</f>
        <v>20</v>
      </c>
      <c r="BX151" s="28" t="n">
        <f aca="false">IFERROR(INDEX(Assessments!$H$2:$H$600,MATCH($H151&amp;"|"&amp;$I151&amp;"|"&amp;$J151&amp;"|"&amp;4,Assessments!$A$2:$A$600,0)),"")</f>
        <v>40</v>
      </c>
      <c r="BY151" s="28" t="n">
        <f aca="false">IFERROR(INDEX(Assessments!$H$2:$H$600,MATCH($H151&amp;"|"&amp;$I151&amp;"|"&amp;$J151&amp;"|"&amp;5,Assessments!$A$2:$A$600,0)),"")</f>
        <v>30</v>
      </c>
      <c r="BZ151" s="28" t="n">
        <f aca="false">IFERROR(INDEX(Assessments!$H$2:$H$600,MATCH($H151&amp;"|"&amp;$I151&amp;"|"&amp;$J151&amp;"|"&amp;6,Assessments!$A$2:$A$600,0)),"")</f>
        <v>20</v>
      </c>
      <c r="CA151" s="28" t="n">
        <f aca="false">IFERROR(INDEX(Assessments!$H$2:$H$600,MATCH($H151&amp;"|"&amp;$I151&amp;"|"&amp;$J151&amp;"|"&amp;7,Assessments!$A$2:$A$600,0)),"")</f>
        <v>7</v>
      </c>
      <c r="CB151" s="28" t="str">
        <f aca="false">IFERROR(INDEX(Assessments!$H$2:$H$600,MATCH($H151&amp;"|"&amp;$I151&amp;"|"&amp;$J151&amp;"|"&amp;8,Assessments!$A$2:$A$600,0)),"")</f>
        <v/>
      </c>
      <c r="CC151" s="28" t="str">
        <f aca="false">IFERROR(INDEX(Assessments!$H$2:$H$600,MATCH($H151&amp;"|"&amp;$I151&amp;"|"&amp;$J151&amp;"|"&amp;9,Assessments!$A$2:$A$600,0)),"")</f>
        <v/>
      </c>
      <c r="CD151" s="28" t="str">
        <f aca="false">IFERROR(INDEX(Assessments!$H$2:$H$600,MATCH($H151&amp;"|"&amp;$I151&amp;"|"&amp;$J151&amp;"|"&amp;10,Assessments!$A$2:$A$600,0)),"")</f>
        <v/>
      </c>
      <c r="CE151" s="28" t="str">
        <f aca="false">IFERROR(INDEX(Assessments!$H$2:$H$600,MATCH($H151&amp;"|"&amp;$I151&amp;"|"&amp;$J151&amp;"|"&amp;11,Assessments!$A$2:$A$600,0)),"")</f>
        <v/>
      </c>
      <c r="CF151" s="28" t="str">
        <f aca="false">IFERROR(INDEX(Assessments!$H$2:$H$600,MATCH($H151&amp;"|"&amp;$I151&amp;"|"&amp;$J151&amp;"|"&amp;12,Assessments!$A$2:$A$600,0)),"")</f>
        <v/>
      </c>
      <c r="CG151" s="28" t="str">
        <f aca="false">IFERROR(INDEX(Assessments!$H$2:$H$600,MATCH($H151&amp;"|"&amp;$I151&amp;"|"&amp;$J151&amp;"|"&amp;13,Assessments!$A$2:$A$600,0)),"")</f>
        <v/>
      </c>
      <c r="CH151" s="28" t="str">
        <f aca="false">IFERROR(INDEX(Assessments!$H$2:$H$600,MATCH($H151&amp;"|"&amp;$I151&amp;"|"&amp;$J151&amp;"|"&amp;14,Assessments!$A$2:$A$600,0)),"")</f>
        <v/>
      </c>
      <c r="CI151" s="28" t="str">
        <f aca="false">IFERROR(INDEX(Assessments!$I$2:$I$600,MATCH($H151&amp;"|"&amp;$I151&amp;"|"&amp;$J151&amp;"|"&amp;1,Assessments!$A$2:$A$600,0)),"")</f>
        <v>BM Test</v>
      </c>
      <c r="CJ151" s="28" t="str">
        <f aca="false">IFERROR(INDEX(Assessments!$I$2:$I$600,MATCH($H151&amp;"|"&amp;$I151&amp;"|"&amp;$J151&amp;"|"&amp;2,Assessments!$A$2:$A$600,0)),"")</f>
        <v>BM Test</v>
      </c>
      <c r="CK151" s="28" t="str">
        <f aca="false">IFERROR(INDEX(Assessments!$I$2:$I$600,MATCH($H151&amp;"|"&amp;$I151&amp;"|"&amp;$J151&amp;"|"&amp;3,Assessments!$A$2:$A$600,0)),"")</f>
        <v>BM Test</v>
      </c>
      <c r="CL151" s="28" t="str">
        <f aca="false">IFERROR(INDEX(Assessments!$I$2:$I$600,MATCH($H151&amp;"|"&amp;$I151&amp;"|"&amp;$J151&amp;"|"&amp;4,Assessments!$A$2:$A$600,0)),"")</f>
        <v>BM Exam</v>
      </c>
      <c r="CM151" s="28" t="str">
        <f aca="false">IFERROR(INDEX(Assessments!$I$2:$I$600,MATCH($H151&amp;"|"&amp;$I151&amp;"|"&amp;$J151&amp;"|"&amp;5,Assessments!$A$2:$A$600,0)),"")</f>
        <v>BM Test</v>
      </c>
      <c r="CN151" s="28" t="str">
        <f aca="false">IFERROR(INDEX(Assessments!$I$2:$I$600,MATCH($H151&amp;"|"&amp;$I151&amp;"|"&amp;$J151&amp;"|"&amp;6,Assessments!$A$2:$A$600,0)),"")</f>
        <v>BM Test</v>
      </c>
      <c r="CO151" s="28" t="str">
        <f aca="false">IFERROR(INDEX(Assessments!$I$2:$I$600,MATCH($H151&amp;"|"&amp;$I151&amp;"|"&amp;$J151&amp;"|"&amp;7,Assessments!$A$2:$A$600,0)),"")</f>
        <v>Grade entered</v>
      </c>
      <c r="CP151" s="28" t="str">
        <f aca="false">IFERROR(INDEX(Assessments!$I$2:$I$600,MATCH($H151&amp;"|"&amp;$I151&amp;"|"&amp;$J151&amp;"|"&amp;8,Assessments!$A$2:$A$600,0)),"")</f>
        <v/>
      </c>
      <c r="CQ151" s="28" t="str">
        <f aca="false">IFERROR(INDEX(Assessments!$I$2:$I$600,MATCH($H151&amp;"|"&amp;$I151&amp;"|"&amp;$J151&amp;"|"&amp;9,Assessments!$A$2:$A$600,0)),"")</f>
        <v/>
      </c>
      <c r="CR151" s="28" t="str">
        <f aca="false">IFERROR(INDEX(Assessments!$I$2:$I$600,MATCH($H151&amp;"|"&amp;$I151&amp;"|"&amp;$J151&amp;"|"&amp;10,Assessments!$A$2:$A$600,0)),"")</f>
        <v/>
      </c>
      <c r="CS151" s="28" t="str">
        <f aca="false">IFERROR(INDEX(Assessments!$I$2:$I$600,MATCH($H151&amp;"|"&amp;$I151&amp;"|"&amp;$J151&amp;"|"&amp;11,Assessments!$A$2:$A$600,0)),"")</f>
        <v/>
      </c>
      <c r="CT151" s="28" t="str">
        <f aca="false">IFERROR(INDEX(Assessments!$I$2:$I$600,MATCH($H151&amp;"|"&amp;$I151&amp;"|"&amp;$J151&amp;"|"&amp;12,Assessments!$A$2:$A$600,0)),"")</f>
        <v/>
      </c>
      <c r="CU151" s="28" t="str">
        <f aca="false">IFERROR(INDEX(Assessments!$I$2:$I$600,MATCH($H151&amp;"|"&amp;$I151&amp;"|"&amp;$J151&amp;"|"&amp;13,Assessments!$A$2:$A$600,0)),"")</f>
        <v/>
      </c>
      <c r="CV151" s="28" t="str">
        <f aca="false">IFERROR(INDEX(Assessments!$I$2:$I$600,MATCH($H151&amp;"|"&amp;$I151&amp;"|"&amp;$J151&amp;"|"&amp;14,Assessments!$A$2:$A$600,0)),"")</f>
        <v/>
      </c>
      <c r="CW151" s="28" t="n">
        <f aca="false">IFERROR(INDEX(Assessments!$J$2:$J$600,MATCH($H151&amp;"|"&amp;$I151&amp;"|"&amp;$J151&amp;"|"&amp;1,Assessments!$A$2:$A$600,0)),0)</f>
        <v>1</v>
      </c>
      <c r="CX151" s="28" t="n">
        <f aca="false">IFERROR(INDEX(Assessments!$J$2:$J$600,MATCH($H151&amp;"|"&amp;$I151&amp;"|"&amp;$J151&amp;"|"&amp;2,Assessments!$A$2:$A$600,0)),0)</f>
        <v>1</v>
      </c>
      <c r="CY151" s="28" t="n">
        <f aca="false">IFERROR(INDEX(Assessments!$J$2:$J$600,MATCH($H151&amp;"|"&amp;$I151&amp;"|"&amp;$J151&amp;"|"&amp;3,Assessments!$A$2:$A$600,0)),0)</f>
        <v>1</v>
      </c>
      <c r="CZ151" s="28" t="n">
        <f aca="false">IFERROR(INDEX(Assessments!$J$2:$J$600,MATCH($H151&amp;"|"&amp;$I151&amp;"|"&amp;$J151&amp;"|"&amp;4,Assessments!$A$2:$A$600,0)),0)</f>
        <v>2</v>
      </c>
      <c r="DA151" s="28" t="n">
        <f aca="false">IFERROR(INDEX(Assessments!$J$2:$J$600,MATCH($H151&amp;"|"&amp;$I151&amp;"|"&amp;$J151&amp;"|"&amp;5,Assessments!$A$2:$A$600,0)),0)</f>
        <v>1</v>
      </c>
      <c r="DB151" s="28" t="n">
        <f aca="false">IFERROR(INDEX(Assessments!$J$2:$J$600,MATCH($H151&amp;"|"&amp;$I151&amp;"|"&amp;$J151&amp;"|"&amp;6,Assessments!$A$2:$A$600,0)),0)</f>
        <v>1</v>
      </c>
      <c r="DC151" s="28" t="n">
        <f aca="false">IFERROR(INDEX(Assessments!$J$2:$J$600,MATCH($H151&amp;"|"&amp;$I151&amp;"|"&amp;$J151&amp;"|"&amp;7,Assessments!$A$2:$A$600,0)),0)</f>
        <v>2</v>
      </c>
      <c r="DD151" s="28" t="n">
        <f aca="false">IFERROR(INDEX(Assessments!$J$2:$J$600,MATCH($H151&amp;"|"&amp;$I151&amp;"|"&amp;$J151&amp;"|"&amp;8,Assessments!$A$2:$A$600,0)),0)</f>
        <v>0</v>
      </c>
      <c r="DE151" s="28" t="n">
        <f aca="false">IFERROR(INDEX(Assessments!$J$2:$J$600,MATCH($H151&amp;"|"&amp;$I151&amp;"|"&amp;$J151&amp;"|"&amp;9,Assessments!$A$2:$A$600,0)),0)</f>
        <v>0</v>
      </c>
      <c r="DF151" s="28" t="n">
        <f aca="false">IFERROR(INDEX(Assessments!$J$2:$J$600,MATCH($H151&amp;"|"&amp;$I151&amp;"|"&amp;$J151&amp;"|"&amp;10,Assessments!$A$2:$A$600,0)),0)</f>
        <v>0</v>
      </c>
      <c r="DG151" s="28" t="n">
        <f aca="false">IFERROR(INDEX(Assessments!$J$2:$J$600,MATCH($H151&amp;"|"&amp;$I151&amp;"|"&amp;$J151&amp;"|"&amp;11,Assessments!$A$2:$A$600,0)),0)</f>
        <v>0</v>
      </c>
      <c r="DH151" s="28" t="n">
        <f aca="false">IFERROR(INDEX(Assessments!$J$2:$J$600,MATCH($H151&amp;"|"&amp;$I151&amp;"|"&amp;$J151&amp;"|"&amp;12,Assessments!$A$2:$A$600,0)),0)</f>
        <v>0</v>
      </c>
      <c r="DI151" s="28" t="n">
        <f aca="false">IFERROR(INDEX(Assessments!$J$2:$J$600,MATCH($H151&amp;"|"&amp;$I151&amp;"|"&amp;$J151&amp;"|"&amp;13,Assessments!$A$2:$A$600,0)),0)</f>
        <v>0</v>
      </c>
      <c r="DJ151" s="28" t="n">
        <f aca="false">IFERROR(INDEX(Assessments!$J$2:$J$600,MATCH($H151&amp;"|"&amp;$I151&amp;"|"&amp;$J151&amp;"|"&amp;14,Assessments!$A$2:$A$600,0)),0)</f>
        <v>0</v>
      </c>
      <c r="DK151" s="28" t="n">
        <f aca="false">S151</f>
        <v>7</v>
      </c>
      <c r="DL151" s="28" t="n">
        <f aca="false">W151</f>
        <v>7</v>
      </c>
      <c r="DM151" s="28" t="n">
        <f aca="false">AA151</f>
        <v>7</v>
      </c>
      <c r="DN151" s="28" t="str">
        <f aca="false">AE151</f>
        <v/>
      </c>
      <c r="DO151" s="28" t="str">
        <f aca="false">AI151</f>
        <v/>
      </c>
      <c r="DP151" s="28" t="str">
        <f aca="false">AM151</f>
        <v/>
      </c>
      <c r="DQ151" s="28" t="n">
        <f aca="false">AQ151</f>
        <v>7</v>
      </c>
      <c r="DR151" s="28" t="str">
        <f aca="false">AU151</f>
        <v/>
      </c>
      <c r="DS151" s="28" t="str">
        <f aca="false">AY151</f>
        <v/>
      </c>
      <c r="DT151" s="28" t="str">
        <f aca="false">BC151</f>
        <v/>
      </c>
      <c r="DU151" s="28" t="str">
        <f aca="false">BG151</f>
        <v/>
      </c>
      <c r="DV151" s="28" t="str">
        <f aca="false">BK151</f>
        <v/>
      </c>
      <c r="DW151" s="28" t="str">
        <f aca="false">BO151</f>
        <v/>
      </c>
      <c r="DX151" s="28" t="str">
        <f aca="false">BS151</f>
        <v/>
      </c>
      <c r="DY151" s="28" t="n">
        <f aca="false">IF(ISNUMBER(S151),1,"")</f>
        <v>1</v>
      </c>
      <c r="DZ151" s="28" t="n">
        <f aca="false">IF(ISNUMBER(W151),2,"")</f>
        <v>2</v>
      </c>
      <c r="EA151" s="28" t="n">
        <f aca="false">IF(ISNUMBER(AA151),3,"")</f>
        <v>3</v>
      </c>
      <c r="EB151" s="28" t="str">
        <f aca="false">IF(ISNUMBER(AE151),4,"")</f>
        <v/>
      </c>
      <c r="EC151" s="28" t="str">
        <f aca="false">IF(ISNUMBER(AI151),5,"")</f>
        <v/>
      </c>
      <c r="ED151" s="28" t="str">
        <f aca="false">IF(ISNUMBER(AM151),6,"")</f>
        <v/>
      </c>
      <c r="EE151" s="28" t="n">
        <f aca="false">IF(ISNUMBER(AQ151),7,"")</f>
        <v>7</v>
      </c>
      <c r="EF151" s="28" t="str">
        <f aca="false">IF(ISNUMBER(AU151),8,"")</f>
        <v/>
      </c>
      <c r="EG151" s="28" t="str">
        <f aca="false">IF(ISNUMBER(AY151),9,"")</f>
        <v/>
      </c>
      <c r="EH151" s="28" t="str">
        <f aca="false">IF(ISNUMBER(BC151),10,"")</f>
        <v/>
      </c>
      <c r="EI151" s="28" t="str">
        <f aca="false">IF(ISNUMBER(BG151),11,"")</f>
        <v/>
      </c>
      <c r="EJ151" s="28" t="str">
        <f aca="false">IF(ISNUMBER(BK151),12,"")</f>
        <v/>
      </c>
      <c r="EK151" s="28" t="str">
        <f aca="false">IF(ISNUMBER(BO151),13,"")</f>
        <v/>
      </c>
      <c r="EL151" s="28" t="str">
        <f aca="false">IF(ISNUMBER(BS151),14,"")</f>
        <v/>
      </c>
      <c r="EM151" s="28" t="n">
        <f aca="false">IF(ISNUMBER(R151),R151*CW151,0)</f>
        <v>95.8333333333333</v>
      </c>
      <c r="EN151" s="28" t="n">
        <f aca="false">IF(ISNUMBER(V151),V151*CX151,0)</f>
        <v>80</v>
      </c>
      <c r="EO151" s="28" t="n">
        <f aca="false">IF(ISNUMBER(Z151),Z151*CY151,0)</f>
        <v>90</v>
      </c>
      <c r="EP151" s="28" t="n">
        <f aca="false">IF(ISNUMBER(AD151),AD151*CZ151,0)</f>
        <v>0</v>
      </c>
      <c r="EQ151" s="28" t="n">
        <f aca="false">IF(ISNUMBER(AH151),AH151*DA151,0)</f>
        <v>0</v>
      </c>
      <c r="ER151" s="28" t="n">
        <f aca="false">IF(ISNUMBER(AL151),AL151*DB151,0)</f>
        <v>0</v>
      </c>
      <c r="ES151" s="28" t="n">
        <f aca="false">IF(ISNUMBER(AP151),AP151*DC151,0)</f>
        <v>200</v>
      </c>
      <c r="ET151" s="28" t="n">
        <f aca="false">IF(ISNUMBER(AT151),AT151*DD151,0)</f>
        <v>0</v>
      </c>
      <c r="EU151" s="28" t="n">
        <f aca="false">IF(ISNUMBER(AX151),AX151*DE151,0)</f>
        <v>0</v>
      </c>
      <c r="EV151" s="28" t="n">
        <f aca="false">IF(ISNUMBER(BB151),BB151*DF151,0)</f>
        <v>0</v>
      </c>
      <c r="EW151" s="28" t="n">
        <f aca="false">IF(ISNUMBER(BF151),BF151*DG151,0)</f>
        <v>0</v>
      </c>
      <c r="EX151" s="28" t="n">
        <f aca="false">IF(ISNUMBER(BJ151),BJ151*DH151,0)</f>
        <v>0</v>
      </c>
      <c r="EY151" s="28" t="n">
        <f aca="false">IF(ISNUMBER(BN151),BN151*DI151,0)</f>
        <v>0</v>
      </c>
      <c r="EZ151" s="28" t="n">
        <f aca="false">IF(ISNUMBER(BR151),BR151*DJ151,0)</f>
        <v>0</v>
      </c>
      <c r="FA151" s="28" t="n">
        <f aca="false">IF(ISNUMBER(R151),CW151,0)</f>
        <v>1</v>
      </c>
      <c r="FB151" s="28" t="n">
        <f aca="false">IF(ISNUMBER(V151),CX151,0)</f>
        <v>1</v>
      </c>
      <c r="FC151" s="28" t="n">
        <f aca="false">IF(ISNUMBER(Z151),CY151,0)</f>
        <v>1</v>
      </c>
      <c r="FD151" s="28" t="n">
        <f aca="false">IF(ISNUMBER(AD151),CZ151,0)</f>
        <v>0</v>
      </c>
      <c r="FE151" s="28" t="n">
        <f aca="false">IF(ISNUMBER(AH151),DA151,0)</f>
        <v>0</v>
      </c>
      <c r="FF151" s="28" t="n">
        <f aca="false">IF(ISNUMBER(AL151),DB151,0)</f>
        <v>0</v>
      </c>
      <c r="FG151" s="28" t="n">
        <f aca="false">IF(ISNUMBER(AP151),DC151,0)</f>
        <v>2</v>
      </c>
      <c r="FH151" s="28" t="n">
        <f aca="false">IF(ISNUMBER(AT151),DD151,0)</f>
        <v>0</v>
      </c>
      <c r="FI151" s="28" t="n">
        <f aca="false">IF(ISNUMBER(AX151),DE151,0)</f>
        <v>0</v>
      </c>
      <c r="FJ151" s="28" t="n">
        <f aca="false">IF(ISNUMBER(BB151),DF151,0)</f>
        <v>0</v>
      </c>
      <c r="FK151" s="28" t="n">
        <f aca="false">IF(ISNUMBER(BF151),DG151,0)</f>
        <v>0</v>
      </c>
      <c r="FL151" s="28" t="n">
        <f aca="false">IF(ISNUMBER(BJ151),DH151,0)</f>
        <v>0</v>
      </c>
      <c r="FM151" s="28" t="n">
        <f aca="false">IF(ISNUMBER(BN151),DI151,0)</f>
        <v>0</v>
      </c>
      <c r="FN151" s="28" t="n">
        <f aca="false">IF(ISNUMBER(BR151),DJ151,0)</f>
        <v>0</v>
      </c>
      <c r="FO151" s="28" t="str">
        <f aca="false">IFERROR(INDEX(Lists!$G$2:$G$20,MATCH($I151&amp;"|"&amp;$J151,Lists!$F$2:$F$20,0)),"")</f>
        <v>BM Exam</v>
      </c>
    </row>
    <row r="152" customFormat="false" ht="19.5" hidden="false" customHeight="true" outlineLevel="0" collapsed="false">
      <c r="A152" s="29" t="s">
        <v>396</v>
      </c>
      <c r="B152" s="29" t="s">
        <v>397</v>
      </c>
      <c r="C152" s="30" t="s">
        <v>152</v>
      </c>
      <c r="D152" s="30" t="s">
        <v>383</v>
      </c>
      <c r="E152" s="31" t="n">
        <v>5.4</v>
      </c>
      <c r="F152" s="30" t="n">
        <v>6</v>
      </c>
      <c r="G152" s="30"/>
      <c r="H152" s="32" t="s">
        <v>23</v>
      </c>
      <c r="I152" s="33" t="s">
        <v>365</v>
      </c>
      <c r="J152" s="32" t="s">
        <v>25</v>
      </c>
      <c r="K152" s="34" t="n">
        <f aca="false">IF(OR(M152="",$E152=""),"",M152-$E152)</f>
        <v>-0.4</v>
      </c>
      <c r="L152" s="35" t="n">
        <f aca="false">IF(SUM(FA152:FN152)=0,"",SUM(EM152:EZ152)/SUM(FA152:FN152))</f>
        <v>56.9047619047619</v>
      </c>
      <c r="M152" s="36" t="n">
        <f aca="false">IF(OR(L152="",FO152=""),"",IFERROR(MATCH(L152,INDEX(Boundaries!$B$2:$I$30,MATCH(FO152,Boundaries!$A$2:$A$30,0),0),1)-1,""))</f>
        <v>5</v>
      </c>
      <c r="N152" s="37" t="n">
        <f aca="false">IF(COUNT($DY152:$EL152)&lt;2,"",INDEX($DK152:$DX152,MAX($DY152:$EL152))-INDEX($DK152:$DX152,MIN($DY152:$EL152)))</f>
        <v>1</v>
      </c>
      <c r="O152" s="37" t="n">
        <f aca="false">IF(COUNT($DY152:$EL152)&lt;2,"",INDEX($DK152:$DX152,MAX($DY152:$EL152))-INDEX($DK152:$DX152,LARGE($DY152:$EL152,2)))</f>
        <v>1</v>
      </c>
      <c r="P152" s="38" t="str">
        <f aca="false">IF(K152="","",IF(K152&gt;=0,"On/above target",IF(AND(N152&lt;&gt;"",N152&gt;=0.5),"Improving towards target",IF(AND(O152&lt;&gt;"",O152&lt;=-0.5),"Declining","Stable below target"))))</f>
        <v>Improving towards target</v>
      </c>
      <c r="Q152" s="39" t="n">
        <v>10</v>
      </c>
      <c r="R152" s="40" t="n">
        <f aca="false">IF(OR(Q152="",BU152=""),"",Q152/BU152*100)</f>
        <v>41.6666666666667</v>
      </c>
      <c r="S152" s="41" t="n">
        <f aca="false">IF(R152="","",IFERROR(MATCH(R152,INDEX(Boundaries!$B$2:$I$30,MATCH(CI152,Boundaries!$A$2:$A$30,0),0),1)-1,""))</f>
        <v>4</v>
      </c>
      <c r="T152" s="42" t="n">
        <f aca="false">IF(OR(S152="",$E152=""),"",S152-$E152)</f>
        <v>-1.4</v>
      </c>
      <c r="U152" s="39" t="n">
        <v>12</v>
      </c>
      <c r="V152" s="40" t="n">
        <f aca="false">IF(OR(U152="",BV152=""),"",U152/BV152*100)</f>
        <v>60</v>
      </c>
      <c r="W152" s="41" t="n">
        <f aca="false">IF(V152="","",IFERROR(MATCH(V152,INDEX(Boundaries!$B$2:$I$30,MATCH(CJ152,Boundaries!$A$2:$A$30,0),0),1)-1,""))</f>
        <v>5</v>
      </c>
      <c r="X152" s="42" t="n">
        <f aca="false">IF(OR(W152="",$E152=""),"",W152-$E152)</f>
        <v>-0.4</v>
      </c>
      <c r="Y152" s="39" t="n">
        <v>8</v>
      </c>
      <c r="Z152" s="40" t="n">
        <f aca="false">IF(OR(Y152="",BW152=""),"",Y152/BW152*100)</f>
        <v>40</v>
      </c>
      <c r="AA152" s="41" t="n">
        <f aca="false">IF(Z152="","",IFERROR(MATCH(Z152,INDEX(Boundaries!$B$2:$I$30,MATCH(CK152,Boundaries!$A$2:$A$30,0),0),1)-1,""))</f>
        <v>4</v>
      </c>
      <c r="AB152" s="42" t="n">
        <f aca="false">IF(OR(AA152="",$E152=""),"",AA152-$E152)</f>
        <v>-1.4</v>
      </c>
      <c r="AC152" s="39"/>
      <c r="AD152" s="40" t="str">
        <f aca="false">IF(OR(AC152="",BX152=""),"",AC152/BX152*100)</f>
        <v/>
      </c>
      <c r="AE152" s="41" t="str">
        <f aca="false">IF(AD152="","",IFERROR(MATCH(AD152,INDEX(Boundaries!$B$2:$I$30,MATCH(CL152,Boundaries!$A$2:$A$30,0),0),1)-1,""))</f>
        <v/>
      </c>
      <c r="AF152" s="42" t="str">
        <f aca="false">IF(OR(AE152="",$E152=""),"",AE152-$E152)</f>
        <v/>
      </c>
      <c r="AG152" s="39"/>
      <c r="AH152" s="40" t="str">
        <f aca="false">IF(OR(AG152="",BY152=""),"",AG152/BY152*100)</f>
        <v/>
      </c>
      <c r="AI152" s="41" t="str">
        <f aca="false">IF(AH152="","",IFERROR(MATCH(AH152,INDEX(Boundaries!$B$2:$I$30,MATCH(CM152,Boundaries!$A$2:$A$30,0),0),1)-1,""))</f>
        <v/>
      </c>
      <c r="AJ152" s="42" t="str">
        <f aca="false">IF(OR(AI152="",$E152=""),"",AI152-$E152)</f>
        <v/>
      </c>
      <c r="AK152" s="39"/>
      <c r="AL152" s="40" t="str">
        <f aca="false">IF(OR(AK152="",BZ152=""),"",AK152/BZ152*100)</f>
        <v/>
      </c>
      <c r="AM152" s="41" t="str">
        <f aca="false">IF(AL152="","",IFERROR(MATCH(AL152,INDEX(Boundaries!$B$2:$I$30,MATCH(CN152,Boundaries!$A$2:$A$30,0),0),1)-1,""))</f>
        <v/>
      </c>
      <c r="AN152" s="42" t="str">
        <f aca="false">IF(OR(AM152="",$E152=""),"",AM152-$E152)</f>
        <v/>
      </c>
      <c r="AO152" s="39" t="n">
        <v>5</v>
      </c>
      <c r="AP152" s="40" t="n">
        <f aca="false">IF(OR(AO152="",CA152=""),"",AO152/CA152*100)</f>
        <v>71.4285714285714</v>
      </c>
      <c r="AQ152" s="41" t="n">
        <f aca="false">IF(AP152="","",IFERROR(MATCH(AP152,INDEX(Boundaries!$B$2:$I$30,MATCH(CO152,Boundaries!$A$2:$A$30,0),0),1)-1,""))</f>
        <v>5</v>
      </c>
      <c r="AR152" s="42" t="n">
        <f aca="false">IF(OR(AQ152="",$E152=""),"",AQ152-$E152)</f>
        <v>-0.4</v>
      </c>
      <c r="AS152" s="39"/>
      <c r="AT152" s="40" t="str">
        <f aca="false">IF(OR(AS152="",CB152=""),"",AS152/CB152*100)</f>
        <v/>
      </c>
      <c r="AU152" s="41" t="str">
        <f aca="false">IF(AT152="","",IFERROR(MATCH(AT152,INDEX(Boundaries!$B$2:$I$30,MATCH(CP152,Boundaries!$A$2:$A$30,0),0),1)-1,""))</f>
        <v/>
      </c>
      <c r="AV152" s="42" t="str">
        <f aca="false">IF(OR(AU152="",$E152=""),"",AU152-$E152)</f>
        <v/>
      </c>
      <c r="AW152" s="39"/>
      <c r="AX152" s="40" t="str">
        <f aca="false">IF(OR(AW152="",CC152=""),"",AW152/CC152*100)</f>
        <v/>
      </c>
      <c r="AY152" s="41" t="str">
        <f aca="false">IF(AX152="","",IFERROR(MATCH(AX152,INDEX(Boundaries!$B$2:$I$30,MATCH(CQ152,Boundaries!$A$2:$A$30,0),0),1)-1,""))</f>
        <v/>
      </c>
      <c r="AZ152" s="42" t="str">
        <f aca="false">IF(OR(AY152="",$E152=""),"",AY152-$E152)</f>
        <v/>
      </c>
      <c r="BA152" s="39"/>
      <c r="BB152" s="40" t="str">
        <f aca="false">IF(OR(BA152="",CD152=""),"",BA152/CD152*100)</f>
        <v/>
      </c>
      <c r="BC152" s="41" t="str">
        <f aca="false">IF(BB152="","",IFERROR(MATCH(BB152,INDEX(Boundaries!$B$2:$I$30,MATCH(CR152,Boundaries!$A$2:$A$30,0),0),1)-1,""))</f>
        <v/>
      </c>
      <c r="BD152" s="42" t="str">
        <f aca="false">IF(OR(BC152="",$E152=""),"",BC152-$E152)</f>
        <v/>
      </c>
      <c r="BE152" s="39"/>
      <c r="BF152" s="40" t="str">
        <f aca="false">IF(OR(BE152="",CE152=""),"",BE152/CE152*100)</f>
        <v/>
      </c>
      <c r="BG152" s="41" t="str">
        <f aca="false">IF(BF152="","",IFERROR(MATCH(BF152,INDEX(Boundaries!$B$2:$I$30,MATCH(CS152,Boundaries!$A$2:$A$30,0),0),1)-1,""))</f>
        <v/>
      </c>
      <c r="BH152" s="42" t="str">
        <f aca="false">IF(OR(BG152="",$E152=""),"",BG152-$E152)</f>
        <v/>
      </c>
      <c r="BI152" s="39"/>
      <c r="BJ152" s="40" t="str">
        <f aca="false">IF(OR(BI152="",CF152=""),"",BI152/CF152*100)</f>
        <v/>
      </c>
      <c r="BK152" s="41" t="str">
        <f aca="false">IF(BJ152="","",IFERROR(MATCH(BJ152,INDEX(Boundaries!$B$2:$I$30,MATCH(CT152,Boundaries!$A$2:$A$30,0),0),1)-1,""))</f>
        <v/>
      </c>
      <c r="BL152" s="42" t="str">
        <f aca="false">IF(OR(BK152="",$E152=""),"",BK152-$E152)</f>
        <v/>
      </c>
      <c r="BM152" s="39"/>
      <c r="BN152" s="40" t="str">
        <f aca="false">IF(OR(BM152="",CG152=""),"",BM152/CG152*100)</f>
        <v/>
      </c>
      <c r="BO152" s="41" t="str">
        <f aca="false">IF(BN152="","",IFERROR(MATCH(BN152,INDEX(Boundaries!$B$2:$I$30,MATCH(CU152,Boundaries!$A$2:$A$30,0),0),1)-1,""))</f>
        <v/>
      </c>
      <c r="BP152" s="42" t="str">
        <f aca="false">IF(OR(BO152="",$E152=""),"",BO152-$E152)</f>
        <v/>
      </c>
      <c r="BQ152" s="39"/>
      <c r="BR152" s="40" t="str">
        <f aca="false">IF(OR(BQ152="",CH152=""),"",BQ152/CH152*100)</f>
        <v/>
      </c>
      <c r="BS152" s="41" t="str">
        <f aca="false">IF(BR152="","",IFERROR(MATCH(BR152,INDEX(Boundaries!$B$2:$I$30,MATCH(CV152,Boundaries!$A$2:$A$30,0),0),1)-1,""))</f>
        <v/>
      </c>
      <c r="BT152" s="42" t="str">
        <f aca="false">IF(OR(BS152="",$E152=""),"",BS152-$E152)</f>
        <v/>
      </c>
      <c r="BU152" s="28" t="n">
        <f aca="false">IFERROR(INDEX(Assessments!$H$2:$H$600,MATCH($H152&amp;"|"&amp;$I152&amp;"|"&amp;$J152&amp;"|"&amp;1,Assessments!$A$2:$A$600,0)),"")</f>
        <v>24</v>
      </c>
      <c r="BV152" s="28" t="n">
        <f aca="false">IFERROR(INDEX(Assessments!$H$2:$H$600,MATCH($H152&amp;"|"&amp;$I152&amp;"|"&amp;$J152&amp;"|"&amp;2,Assessments!$A$2:$A$600,0)),"")</f>
        <v>20</v>
      </c>
      <c r="BW152" s="28" t="n">
        <f aca="false">IFERROR(INDEX(Assessments!$H$2:$H$600,MATCH($H152&amp;"|"&amp;$I152&amp;"|"&amp;$J152&amp;"|"&amp;3,Assessments!$A$2:$A$600,0)),"")</f>
        <v>20</v>
      </c>
      <c r="BX152" s="28" t="n">
        <f aca="false">IFERROR(INDEX(Assessments!$H$2:$H$600,MATCH($H152&amp;"|"&amp;$I152&amp;"|"&amp;$J152&amp;"|"&amp;4,Assessments!$A$2:$A$600,0)),"")</f>
        <v>40</v>
      </c>
      <c r="BY152" s="28" t="n">
        <f aca="false">IFERROR(INDEX(Assessments!$H$2:$H$600,MATCH($H152&amp;"|"&amp;$I152&amp;"|"&amp;$J152&amp;"|"&amp;5,Assessments!$A$2:$A$600,0)),"")</f>
        <v>30</v>
      </c>
      <c r="BZ152" s="28" t="n">
        <f aca="false">IFERROR(INDEX(Assessments!$H$2:$H$600,MATCH($H152&amp;"|"&amp;$I152&amp;"|"&amp;$J152&amp;"|"&amp;6,Assessments!$A$2:$A$600,0)),"")</f>
        <v>20</v>
      </c>
      <c r="CA152" s="28" t="n">
        <f aca="false">IFERROR(INDEX(Assessments!$H$2:$H$600,MATCH($H152&amp;"|"&amp;$I152&amp;"|"&amp;$J152&amp;"|"&amp;7,Assessments!$A$2:$A$600,0)),"")</f>
        <v>7</v>
      </c>
      <c r="CB152" s="28" t="str">
        <f aca="false">IFERROR(INDEX(Assessments!$H$2:$H$600,MATCH($H152&amp;"|"&amp;$I152&amp;"|"&amp;$J152&amp;"|"&amp;8,Assessments!$A$2:$A$600,0)),"")</f>
        <v/>
      </c>
      <c r="CC152" s="28" t="str">
        <f aca="false">IFERROR(INDEX(Assessments!$H$2:$H$600,MATCH($H152&amp;"|"&amp;$I152&amp;"|"&amp;$J152&amp;"|"&amp;9,Assessments!$A$2:$A$600,0)),"")</f>
        <v/>
      </c>
      <c r="CD152" s="28" t="str">
        <f aca="false">IFERROR(INDEX(Assessments!$H$2:$H$600,MATCH($H152&amp;"|"&amp;$I152&amp;"|"&amp;$J152&amp;"|"&amp;10,Assessments!$A$2:$A$600,0)),"")</f>
        <v/>
      </c>
      <c r="CE152" s="28" t="str">
        <f aca="false">IFERROR(INDEX(Assessments!$H$2:$H$600,MATCH($H152&amp;"|"&amp;$I152&amp;"|"&amp;$J152&amp;"|"&amp;11,Assessments!$A$2:$A$600,0)),"")</f>
        <v/>
      </c>
      <c r="CF152" s="28" t="str">
        <f aca="false">IFERROR(INDEX(Assessments!$H$2:$H$600,MATCH($H152&amp;"|"&amp;$I152&amp;"|"&amp;$J152&amp;"|"&amp;12,Assessments!$A$2:$A$600,0)),"")</f>
        <v/>
      </c>
      <c r="CG152" s="28" t="str">
        <f aca="false">IFERROR(INDEX(Assessments!$H$2:$H$600,MATCH($H152&amp;"|"&amp;$I152&amp;"|"&amp;$J152&amp;"|"&amp;13,Assessments!$A$2:$A$600,0)),"")</f>
        <v/>
      </c>
      <c r="CH152" s="28" t="str">
        <f aca="false">IFERROR(INDEX(Assessments!$H$2:$H$600,MATCH($H152&amp;"|"&amp;$I152&amp;"|"&amp;$J152&amp;"|"&amp;14,Assessments!$A$2:$A$600,0)),"")</f>
        <v/>
      </c>
      <c r="CI152" s="28" t="str">
        <f aca="false">IFERROR(INDEX(Assessments!$I$2:$I$600,MATCH($H152&amp;"|"&amp;$I152&amp;"|"&amp;$J152&amp;"|"&amp;1,Assessments!$A$2:$A$600,0)),"")</f>
        <v>BM Test</v>
      </c>
      <c r="CJ152" s="28" t="str">
        <f aca="false">IFERROR(INDEX(Assessments!$I$2:$I$600,MATCH($H152&amp;"|"&amp;$I152&amp;"|"&amp;$J152&amp;"|"&amp;2,Assessments!$A$2:$A$600,0)),"")</f>
        <v>BM Test</v>
      </c>
      <c r="CK152" s="28" t="str">
        <f aca="false">IFERROR(INDEX(Assessments!$I$2:$I$600,MATCH($H152&amp;"|"&amp;$I152&amp;"|"&amp;$J152&amp;"|"&amp;3,Assessments!$A$2:$A$600,0)),"")</f>
        <v>BM Test</v>
      </c>
      <c r="CL152" s="28" t="str">
        <f aca="false">IFERROR(INDEX(Assessments!$I$2:$I$600,MATCH($H152&amp;"|"&amp;$I152&amp;"|"&amp;$J152&amp;"|"&amp;4,Assessments!$A$2:$A$600,0)),"")</f>
        <v>BM Exam</v>
      </c>
      <c r="CM152" s="28" t="str">
        <f aca="false">IFERROR(INDEX(Assessments!$I$2:$I$600,MATCH($H152&amp;"|"&amp;$I152&amp;"|"&amp;$J152&amp;"|"&amp;5,Assessments!$A$2:$A$600,0)),"")</f>
        <v>BM Test</v>
      </c>
      <c r="CN152" s="28" t="str">
        <f aca="false">IFERROR(INDEX(Assessments!$I$2:$I$600,MATCH($H152&amp;"|"&amp;$I152&amp;"|"&amp;$J152&amp;"|"&amp;6,Assessments!$A$2:$A$600,0)),"")</f>
        <v>BM Test</v>
      </c>
      <c r="CO152" s="28" t="str">
        <f aca="false">IFERROR(INDEX(Assessments!$I$2:$I$600,MATCH($H152&amp;"|"&amp;$I152&amp;"|"&amp;$J152&amp;"|"&amp;7,Assessments!$A$2:$A$600,0)),"")</f>
        <v>Grade entered</v>
      </c>
      <c r="CP152" s="28" t="str">
        <f aca="false">IFERROR(INDEX(Assessments!$I$2:$I$600,MATCH($H152&amp;"|"&amp;$I152&amp;"|"&amp;$J152&amp;"|"&amp;8,Assessments!$A$2:$A$600,0)),"")</f>
        <v/>
      </c>
      <c r="CQ152" s="28" t="str">
        <f aca="false">IFERROR(INDEX(Assessments!$I$2:$I$600,MATCH($H152&amp;"|"&amp;$I152&amp;"|"&amp;$J152&amp;"|"&amp;9,Assessments!$A$2:$A$600,0)),"")</f>
        <v/>
      </c>
      <c r="CR152" s="28" t="str">
        <f aca="false">IFERROR(INDEX(Assessments!$I$2:$I$600,MATCH($H152&amp;"|"&amp;$I152&amp;"|"&amp;$J152&amp;"|"&amp;10,Assessments!$A$2:$A$600,0)),"")</f>
        <v/>
      </c>
      <c r="CS152" s="28" t="str">
        <f aca="false">IFERROR(INDEX(Assessments!$I$2:$I$600,MATCH($H152&amp;"|"&amp;$I152&amp;"|"&amp;$J152&amp;"|"&amp;11,Assessments!$A$2:$A$600,0)),"")</f>
        <v/>
      </c>
      <c r="CT152" s="28" t="str">
        <f aca="false">IFERROR(INDEX(Assessments!$I$2:$I$600,MATCH($H152&amp;"|"&amp;$I152&amp;"|"&amp;$J152&amp;"|"&amp;12,Assessments!$A$2:$A$600,0)),"")</f>
        <v/>
      </c>
      <c r="CU152" s="28" t="str">
        <f aca="false">IFERROR(INDEX(Assessments!$I$2:$I$600,MATCH($H152&amp;"|"&amp;$I152&amp;"|"&amp;$J152&amp;"|"&amp;13,Assessments!$A$2:$A$600,0)),"")</f>
        <v/>
      </c>
      <c r="CV152" s="28" t="str">
        <f aca="false">IFERROR(INDEX(Assessments!$I$2:$I$600,MATCH($H152&amp;"|"&amp;$I152&amp;"|"&amp;$J152&amp;"|"&amp;14,Assessments!$A$2:$A$600,0)),"")</f>
        <v/>
      </c>
      <c r="CW152" s="28" t="n">
        <f aca="false">IFERROR(INDEX(Assessments!$J$2:$J$600,MATCH($H152&amp;"|"&amp;$I152&amp;"|"&amp;$J152&amp;"|"&amp;1,Assessments!$A$2:$A$600,0)),0)</f>
        <v>1</v>
      </c>
      <c r="CX152" s="28" t="n">
        <f aca="false">IFERROR(INDEX(Assessments!$J$2:$J$600,MATCH($H152&amp;"|"&amp;$I152&amp;"|"&amp;$J152&amp;"|"&amp;2,Assessments!$A$2:$A$600,0)),0)</f>
        <v>1</v>
      </c>
      <c r="CY152" s="28" t="n">
        <f aca="false">IFERROR(INDEX(Assessments!$J$2:$J$600,MATCH($H152&amp;"|"&amp;$I152&amp;"|"&amp;$J152&amp;"|"&amp;3,Assessments!$A$2:$A$600,0)),0)</f>
        <v>1</v>
      </c>
      <c r="CZ152" s="28" t="n">
        <f aca="false">IFERROR(INDEX(Assessments!$J$2:$J$600,MATCH($H152&amp;"|"&amp;$I152&amp;"|"&amp;$J152&amp;"|"&amp;4,Assessments!$A$2:$A$600,0)),0)</f>
        <v>2</v>
      </c>
      <c r="DA152" s="28" t="n">
        <f aca="false">IFERROR(INDEX(Assessments!$J$2:$J$600,MATCH($H152&amp;"|"&amp;$I152&amp;"|"&amp;$J152&amp;"|"&amp;5,Assessments!$A$2:$A$600,0)),0)</f>
        <v>1</v>
      </c>
      <c r="DB152" s="28" t="n">
        <f aca="false">IFERROR(INDEX(Assessments!$J$2:$J$600,MATCH($H152&amp;"|"&amp;$I152&amp;"|"&amp;$J152&amp;"|"&amp;6,Assessments!$A$2:$A$600,0)),0)</f>
        <v>1</v>
      </c>
      <c r="DC152" s="28" t="n">
        <f aca="false">IFERROR(INDEX(Assessments!$J$2:$J$600,MATCH($H152&amp;"|"&amp;$I152&amp;"|"&amp;$J152&amp;"|"&amp;7,Assessments!$A$2:$A$600,0)),0)</f>
        <v>2</v>
      </c>
      <c r="DD152" s="28" t="n">
        <f aca="false">IFERROR(INDEX(Assessments!$J$2:$J$600,MATCH($H152&amp;"|"&amp;$I152&amp;"|"&amp;$J152&amp;"|"&amp;8,Assessments!$A$2:$A$600,0)),0)</f>
        <v>0</v>
      </c>
      <c r="DE152" s="28" t="n">
        <f aca="false">IFERROR(INDEX(Assessments!$J$2:$J$600,MATCH($H152&amp;"|"&amp;$I152&amp;"|"&amp;$J152&amp;"|"&amp;9,Assessments!$A$2:$A$600,0)),0)</f>
        <v>0</v>
      </c>
      <c r="DF152" s="28" t="n">
        <f aca="false">IFERROR(INDEX(Assessments!$J$2:$J$600,MATCH($H152&amp;"|"&amp;$I152&amp;"|"&amp;$J152&amp;"|"&amp;10,Assessments!$A$2:$A$600,0)),0)</f>
        <v>0</v>
      </c>
      <c r="DG152" s="28" t="n">
        <f aca="false">IFERROR(INDEX(Assessments!$J$2:$J$600,MATCH($H152&amp;"|"&amp;$I152&amp;"|"&amp;$J152&amp;"|"&amp;11,Assessments!$A$2:$A$600,0)),0)</f>
        <v>0</v>
      </c>
      <c r="DH152" s="28" t="n">
        <f aca="false">IFERROR(INDEX(Assessments!$J$2:$J$600,MATCH($H152&amp;"|"&amp;$I152&amp;"|"&amp;$J152&amp;"|"&amp;12,Assessments!$A$2:$A$600,0)),0)</f>
        <v>0</v>
      </c>
      <c r="DI152" s="28" t="n">
        <f aca="false">IFERROR(INDEX(Assessments!$J$2:$J$600,MATCH($H152&amp;"|"&amp;$I152&amp;"|"&amp;$J152&amp;"|"&amp;13,Assessments!$A$2:$A$600,0)),0)</f>
        <v>0</v>
      </c>
      <c r="DJ152" s="28" t="n">
        <f aca="false">IFERROR(INDEX(Assessments!$J$2:$J$600,MATCH($H152&amp;"|"&amp;$I152&amp;"|"&amp;$J152&amp;"|"&amp;14,Assessments!$A$2:$A$600,0)),0)</f>
        <v>0</v>
      </c>
      <c r="DK152" s="28" t="n">
        <f aca="false">S152</f>
        <v>4</v>
      </c>
      <c r="DL152" s="28" t="n">
        <f aca="false">W152</f>
        <v>5</v>
      </c>
      <c r="DM152" s="28" t="n">
        <f aca="false">AA152</f>
        <v>4</v>
      </c>
      <c r="DN152" s="28" t="str">
        <f aca="false">AE152</f>
        <v/>
      </c>
      <c r="DO152" s="28" t="str">
        <f aca="false">AI152</f>
        <v/>
      </c>
      <c r="DP152" s="28" t="str">
        <f aca="false">AM152</f>
        <v/>
      </c>
      <c r="DQ152" s="28" t="n">
        <f aca="false">AQ152</f>
        <v>5</v>
      </c>
      <c r="DR152" s="28" t="str">
        <f aca="false">AU152</f>
        <v/>
      </c>
      <c r="DS152" s="28" t="str">
        <f aca="false">AY152</f>
        <v/>
      </c>
      <c r="DT152" s="28" t="str">
        <f aca="false">BC152</f>
        <v/>
      </c>
      <c r="DU152" s="28" t="str">
        <f aca="false">BG152</f>
        <v/>
      </c>
      <c r="DV152" s="28" t="str">
        <f aca="false">BK152</f>
        <v/>
      </c>
      <c r="DW152" s="28" t="str">
        <f aca="false">BO152</f>
        <v/>
      </c>
      <c r="DX152" s="28" t="str">
        <f aca="false">BS152</f>
        <v/>
      </c>
      <c r="DY152" s="28" t="n">
        <f aca="false">IF(ISNUMBER(S152),1,"")</f>
        <v>1</v>
      </c>
      <c r="DZ152" s="28" t="n">
        <f aca="false">IF(ISNUMBER(W152),2,"")</f>
        <v>2</v>
      </c>
      <c r="EA152" s="28" t="n">
        <f aca="false">IF(ISNUMBER(AA152),3,"")</f>
        <v>3</v>
      </c>
      <c r="EB152" s="28" t="str">
        <f aca="false">IF(ISNUMBER(AE152),4,"")</f>
        <v/>
      </c>
      <c r="EC152" s="28" t="str">
        <f aca="false">IF(ISNUMBER(AI152),5,"")</f>
        <v/>
      </c>
      <c r="ED152" s="28" t="str">
        <f aca="false">IF(ISNUMBER(AM152),6,"")</f>
        <v/>
      </c>
      <c r="EE152" s="28" t="n">
        <f aca="false">IF(ISNUMBER(AQ152),7,"")</f>
        <v>7</v>
      </c>
      <c r="EF152" s="28" t="str">
        <f aca="false">IF(ISNUMBER(AU152),8,"")</f>
        <v/>
      </c>
      <c r="EG152" s="28" t="str">
        <f aca="false">IF(ISNUMBER(AY152),9,"")</f>
        <v/>
      </c>
      <c r="EH152" s="28" t="str">
        <f aca="false">IF(ISNUMBER(BC152),10,"")</f>
        <v/>
      </c>
      <c r="EI152" s="28" t="str">
        <f aca="false">IF(ISNUMBER(BG152),11,"")</f>
        <v/>
      </c>
      <c r="EJ152" s="28" t="str">
        <f aca="false">IF(ISNUMBER(BK152),12,"")</f>
        <v/>
      </c>
      <c r="EK152" s="28" t="str">
        <f aca="false">IF(ISNUMBER(BO152),13,"")</f>
        <v/>
      </c>
      <c r="EL152" s="28" t="str">
        <f aca="false">IF(ISNUMBER(BS152),14,"")</f>
        <v/>
      </c>
      <c r="EM152" s="28" t="n">
        <f aca="false">IF(ISNUMBER(R152),R152*CW152,0)</f>
        <v>41.6666666666667</v>
      </c>
      <c r="EN152" s="28" t="n">
        <f aca="false">IF(ISNUMBER(V152),V152*CX152,0)</f>
        <v>60</v>
      </c>
      <c r="EO152" s="28" t="n">
        <f aca="false">IF(ISNUMBER(Z152),Z152*CY152,0)</f>
        <v>40</v>
      </c>
      <c r="EP152" s="28" t="n">
        <f aca="false">IF(ISNUMBER(AD152),AD152*CZ152,0)</f>
        <v>0</v>
      </c>
      <c r="EQ152" s="28" t="n">
        <f aca="false">IF(ISNUMBER(AH152),AH152*DA152,0)</f>
        <v>0</v>
      </c>
      <c r="ER152" s="28" t="n">
        <f aca="false">IF(ISNUMBER(AL152),AL152*DB152,0)</f>
        <v>0</v>
      </c>
      <c r="ES152" s="28" t="n">
        <f aca="false">IF(ISNUMBER(AP152),AP152*DC152,0)</f>
        <v>142.857142857143</v>
      </c>
      <c r="ET152" s="28" t="n">
        <f aca="false">IF(ISNUMBER(AT152),AT152*DD152,0)</f>
        <v>0</v>
      </c>
      <c r="EU152" s="28" t="n">
        <f aca="false">IF(ISNUMBER(AX152),AX152*DE152,0)</f>
        <v>0</v>
      </c>
      <c r="EV152" s="28" t="n">
        <f aca="false">IF(ISNUMBER(BB152),BB152*DF152,0)</f>
        <v>0</v>
      </c>
      <c r="EW152" s="28" t="n">
        <f aca="false">IF(ISNUMBER(BF152),BF152*DG152,0)</f>
        <v>0</v>
      </c>
      <c r="EX152" s="28" t="n">
        <f aca="false">IF(ISNUMBER(BJ152),BJ152*DH152,0)</f>
        <v>0</v>
      </c>
      <c r="EY152" s="28" t="n">
        <f aca="false">IF(ISNUMBER(BN152),BN152*DI152,0)</f>
        <v>0</v>
      </c>
      <c r="EZ152" s="28" t="n">
        <f aca="false">IF(ISNUMBER(BR152),BR152*DJ152,0)</f>
        <v>0</v>
      </c>
      <c r="FA152" s="28" t="n">
        <f aca="false">IF(ISNUMBER(R152),CW152,0)</f>
        <v>1</v>
      </c>
      <c r="FB152" s="28" t="n">
        <f aca="false">IF(ISNUMBER(V152),CX152,0)</f>
        <v>1</v>
      </c>
      <c r="FC152" s="28" t="n">
        <f aca="false">IF(ISNUMBER(Z152),CY152,0)</f>
        <v>1</v>
      </c>
      <c r="FD152" s="28" t="n">
        <f aca="false">IF(ISNUMBER(AD152),CZ152,0)</f>
        <v>0</v>
      </c>
      <c r="FE152" s="28" t="n">
        <f aca="false">IF(ISNUMBER(AH152),DA152,0)</f>
        <v>0</v>
      </c>
      <c r="FF152" s="28" t="n">
        <f aca="false">IF(ISNUMBER(AL152),DB152,0)</f>
        <v>0</v>
      </c>
      <c r="FG152" s="28" t="n">
        <f aca="false">IF(ISNUMBER(AP152),DC152,0)</f>
        <v>2</v>
      </c>
      <c r="FH152" s="28" t="n">
        <f aca="false">IF(ISNUMBER(AT152),DD152,0)</f>
        <v>0</v>
      </c>
      <c r="FI152" s="28" t="n">
        <f aca="false">IF(ISNUMBER(AX152),DE152,0)</f>
        <v>0</v>
      </c>
      <c r="FJ152" s="28" t="n">
        <f aca="false">IF(ISNUMBER(BB152),DF152,0)</f>
        <v>0</v>
      </c>
      <c r="FK152" s="28" t="n">
        <f aca="false">IF(ISNUMBER(BF152),DG152,0)</f>
        <v>0</v>
      </c>
      <c r="FL152" s="28" t="n">
        <f aca="false">IF(ISNUMBER(BJ152),DH152,0)</f>
        <v>0</v>
      </c>
      <c r="FM152" s="28" t="n">
        <f aca="false">IF(ISNUMBER(BN152),DI152,0)</f>
        <v>0</v>
      </c>
      <c r="FN152" s="28" t="n">
        <f aca="false">IF(ISNUMBER(BR152),DJ152,0)</f>
        <v>0</v>
      </c>
      <c r="FO152" s="28" t="str">
        <f aca="false">IFERROR(INDEX(Lists!$G$2:$G$20,MATCH($I152&amp;"|"&amp;$J152,Lists!$F$2:$F$20,0)),"")</f>
        <v>BM Exam</v>
      </c>
    </row>
    <row r="153" customFormat="false" ht="19.5" hidden="false" customHeight="true" outlineLevel="0" collapsed="false">
      <c r="A153" s="29" t="s">
        <v>232</v>
      </c>
      <c r="B153" s="29" t="s">
        <v>398</v>
      </c>
      <c r="C153" s="30" t="s">
        <v>152</v>
      </c>
      <c r="D153" s="30" t="s">
        <v>383</v>
      </c>
      <c r="E153" s="31" t="n">
        <v>5.5</v>
      </c>
      <c r="F153" s="30" t="n">
        <v>6</v>
      </c>
      <c r="G153" s="30"/>
      <c r="H153" s="32" t="s">
        <v>23</v>
      </c>
      <c r="I153" s="33" t="s">
        <v>365</v>
      </c>
      <c r="J153" s="32" t="s">
        <v>25</v>
      </c>
      <c r="K153" s="34" t="n">
        <f aca="false">IF(OR(M153="",$E153=""),"",M153-$E153)</f>
        <v>0.5</v>
      </c>
      <c r="L153" s="35" t="n">
        <f aca="false">IF(SUM(FA153:FN153)=0,"",SUM(EM153:EZ153)/SUM(FA153:FN153))</f>
        <v>63.5238095238095</v>
      </c>
      <c r="M153" s="36" t="n">
        <f aca="false">IF(OR(L153="",FO153=""),"",IFERROR(MATCH(L153,INDEX(Boundaries!$B$2:$I$30,MATCH(FO153,Boundaries!$A$2:$A$30,0),0),1)-1,""))</f>
        <v>6</v>
      </c>
      <c r="N153" s="37" t="n">
        <f aca="false">IF(COUNT($DY153:$EL153)&lt;2,"",INDEX($DK153:$DX153,MAX($DY153:$EL153))-INDEX($DK153:$DX153,MIN($DY153:$EL153)))</f>
        <v>-1</v>
      </c>
      <c r="O153" s="37" t="n">
        <f aca="false">IF(COUNT($DY153:$EL153)&lt;2,"",INDEX($DK153:$DX153,MAX($DY153:$EL153))-INDEX($DK153:$DX153,LARGE($DY153:$EL153,2)))</f>
        <v>-2</v>
      </c>
      <c r="P153" s="38" t="str">
        <f aca="false">IF(K153="","",IF(K153&gt;=0,"On/above target",IF(AND(N153&lt;&gt;"",N153&gt;=0.5),"Improving towards target",IF(AND(O153&lt;&gt;"",O153&lt;=-0.5),"Declining","Stable below target"))))</f>
        <v>On/above target</v>
      </c>
      <c r="Q153" s="39" t="n">
        <v>14</v>
      </c>
      <c r="R153" s="40" t="n">
        <f aca="false">IF(OR(Q153="",BU153=""),"",Q153/BU153*100)</f>
        <v>58.3333333333333</v>
      </c>
      <c r="S153" s="41" t="n">
        <f aca="false">IF(R153="","",IFERROR(MATCH(R153,INDEX(Boundaries!$B$2:$I$30,MATCH(CI153,Boundaries!$A$2:$A$30,0),0),1)-1,""))</f>
        <v>5</v>
      </c>
      <c r="T153" s="42" t="n">
        <f aca="false">IF(OR(S153="",$E153=""),"",S153-$E153)</f>
        <v>-0.5</v>
      </c>
      <c r="U153" s="39" t="n">
        <v>15</v>
      </c>
      <c r="V153" s="40" t="n">
        <f aca="false">IF(OR(U153="",BV153=""),"",U153/BV153*100)</f>
        <v>75</v>
      </c>
      <c r="W153" s="41" t="n">
        <f aca="false">IF(V153="","",IFERROR(MATCH(V153,INDEX(Boundaries!$B$2:$I$30,MATCH(CJ153,Boundaries!$A$2:$A$30,0),0),1)-1,""))</f>
        <v>7</v>
      </c>
      <c r="X153" s="42" t="n">
        <f aca="false">IF(OR(W153="",$E153=""),"",W153-$E153)</f>
        <v>1.5</v>
      </c>
      <c r="Y153" s="39" t="n">
        <v>14</v>
      </c>
      <c r="Z153" s="40" t="n">
        <f aca="false">IF(OR(Y153="",BW153=""),"",Y153/BW153*100)</f>
        <v>70</v>
      </c>
      <c r="AA153" s="41" t="n">
        <f aca="false">IF(Z153="","",IFERROR(MATCH(Z153,INDEX(Boundaries!$B$2:$I$30,MATCH(CK153,Boundaries!$A$2:$A$30,0),0),1)-1,""))</f>
        <v>6</v>
      </c>
      <c r="AB153" s="42" t="n">
        <f aca="false">IF(OR(AA153="",$E153=""),"",AA153-$E153)</f>
        <v>0.5</v>
      </c>
      <c r="AC153" s="39"/>
      <c r="AD153" s="40" t="str">
        <f aca="false">IF(OR(AC153="",BX153=""),"",AC153/BX153*100)</f>
        <v/>
      </c>
      <c r="AE153" s="41" t="str">
        <f aca="false">IF(AD153="","",IFERROR(MATCH(AD153,INDEX(Boundaries!$B$2:$I$30,MATCH(CL153,Boundaries!$A$2:$A$30,0),0),1)-1,""))</f>
        <v/>
      </c>
      <c r="AF153" s="42" t="str">
        <f aca="false">IF(OR(AE153="",$E153=""),"",AE153-$E153)</f>
        <v/>
      </c>
      <c r="AG153" s="39"/>
      <c r="AH153" s="40" t="str">
        <f aca="false">IF(OR(AG153="",BY153=""),"",AG153/BY153*100)</f>
        <v/>
      </c>
      <c r="AI153" s="41" t="str">
        <f aca="false">IF(AH153="","",IFERROR(MATCH(AH153,INDEX(Boundaries!$B$2:$I$30,MATCH(CM153,Boundaries!$A$2:$A$30,0),0),1)-1,""))</f>
        <v/>
      </c>
      <c r="AJ153" s="42" t="str">
        <f aca="false">IF(OR(AI153="",$E153=""),"",AI153-$E153)</f>
        <v/>
      </c>
      <c r="AK153" s="39"/>
      <c r="AL153" s="40" t="str">
        <f aca="false">IF(OR(AK153="",BZ153=""),"",AK153/BZ153*100)</f>
        <v/>
      </c>
      <c r="AM153" s="41" t="str">
        <f aca="false">IF(AL153="","",IFERROR(MATCH(AL153,INDEX(Boundaries!$B$2:$I$30,MATCH(CN153,Boundaries!$A$2:$A$30,0),0),1)-1,""))</f>
        <v/>
      </c>
      <c r="AN153" s="42" t="str">
        <f aca="false">IF(OR(AM153="",$E153=""),"",AM153-$E153)</f>
        <v/>
      </c>
      <c r="AO153" s="39" t="n">
        <v>4</v>
      </c>
      <c r="AP153" s="40" t="n">
        <f aca="false">IF(OR(AO153="",CA153=""),"",AO153/CA153*100)</f>
        <v>57.1428571428571</v>
      </c>
      <c r="AQ153" s="41" t="n">
        <f aca="false">IF(AP153="","",IFERROR(MATCH(AP153,INDEX(Boundaries!$B$2:$I$30,MATCH(CO153,Boundaries!$A$2:$A$30,0),0),1)-1,""))</f>
        <v>4</v>
      </c>
      <c r="AR153" s="42" t="n">
        <f aca="false">IF(OR(AQ153="",$E153=""),"",AQ153-$E153)</f>
        <v>-1.5</v>
      </c>
      <c r="AS153" s="39"/>
      <c r="AT153" s="40" t="str">
        <f aca="false">IF(OR(AS153="",CB153=""),"",AS153/CB153*100)</f>
        <v/>
      </c>
      <c r="AU153" s="41" t="str">
        <f aca="false">IF(AT153="","",IFERROR(MATCH(AT153,INDEX(Boundaries!$B$2:$I$30,MATCH(CP153,Boundaries!$A$2:$A$30,0),0),1)-1,""))</f>
        <v/>
      </c>
      <c r="AV153" s="42" t="str">
        <f aca="false">IF(OR(AU153="",$E153=""),"",AU153-$E153)</f>
        <v/>
      </c>
      <c r="AW153" s="39"/>
      <c r="AX153" s="40" t="str">
        <f aca="false">IF(OR(AW153="",CC153=""),"",AW153/CC153*100)</f>
        <v/>
      </c>
      <c r="AY153" s="41" t="str">
        <f aca="false">IF(AX153="","",IFERROR(MATCH(AX153,INDEX(Boundaries!$B$2:$I$30,MATCH(CQ153,Boundaries!$A$2:$A$30,0),0),1)-1,""))</f>
        <v/>
      </c>
      <c r="AZ153" s="42" t="str">
        <f aca="false">IF(OR(AY153="",$E153=""),"",AY153-$E153)</f>
        <v/>
      </c>
      <c r="BA153" s="39"/>
      <c r="BB153" s="40" t="str">
        <f aca="false">IF(OR(BA153="",CD153=""),"",BA153/CD153*100)</f>
        <v/>
      </c>
      <c r="BC153" s="41" t="str">
        <f aca="false">IF(BB153="","",IFERROR(MATCH(BB153,INDEX(Boundaries!$B$2:$I$30,MATCH(CR153,Boundaries!$A$2:$A$30,0),0),1)-1,""))</f>
        <v/>
      </c>
      <c r="BD153" s="42" t="str">
        <f aca="false">IF(OR(BC153="",$E153=""),"",BC153-$E153)</f>
        <v/>
      </c>
      <c r="BE153" s="39"/>
      <c r="BF153" s="40" t="str">
        <f aca="false">IF(OR(BE153="",CE153=""),"",BE153/CE153*100)</f>
        <v/>
      </c>
      <c r="BG153" s="41" t="str">
        <f aca="false">IF(BF153="","",IFERROR(MATCH(BF153,INDEX(Boundaries!$B$2:$I$30,MATCH(CS153,Boundaries!$A$2:$A$30,0),0),1)-1,""))</f>
        <v/>
      </c>
      <c r="BH153" s="42" t="str">
        <f aca="false">IF(OR(BG153="",$E153=""),"",BG153-$E153)</f>
        <v/>
      </c>
      <c r="BI153" s="39"/>
      <c r="BJ153" s="40" t="str">
        <f aca="false">IF(OR(BI153="",CF153=""),"",BI153/CF153*100)</f>
        <v/>
      </c>
      <c r="BK153" s="41" t="str">
        <f aca="false">IF(BJ153="","",IFERROR(MATCH(BJ153,INDEX(Boundaries!$B$2:$I$30,MATCH(CT153,Boundaries!$A$2:$A$30,0),0),1)-1,""))</f>
        <v/>
      </c>
      <c r="BL153" s="42" t="str">
        <f aca="false">IF(OR(BK153="",$E153=""),"",BK153-$E153)</f>
        <v/>
      </c>
      <c r="BM153" s="39"/>
      <c r="BN153" s="40" t="str">
        <f aca="false">IF(OR(BM153="",CG153=""),"",BM153/CG153*100)</f>
        <v/>
      </c>
      <c r="BO153" s="41" t="str">
        <f aca="false">IF(BN153="","",IFERROR(MATCH(BN153,INDEX(Boundaries!$B$2:$I$30,MATCH(CU153,Boundaries!$A$2:$A$30,0),0),1)-1,""))</f>
        <v/>
      </c>
      <c r="BP153" s="42" t="str">
        <f aca="false">IF(OR(BO153="",$E153=""),"",BO153-$E153)</f>
        <v/>
      </c>
      <c r="BQ153" s="39"/>
      <c r="BR153" s="40" t="str">
        <f aca="false">IF(OR(BQ153="",CH153=""),"",BQ153/CH153*100)</f>
        <v/>
      </c>
      <c r="BS153" s="41" t="str">
        <f aca="false">IF(BR153="","",IFERROR(MATCH(BR153,INDEX(Boundaries!$B$2:$I$30,MATCH(CV153,Boundaries!$A$2:$A$30,0),0),1)-1,""))</f>
        <v/>
      </c>
      <c r="BT153" s="42" t="str">
        <f aca="false">IF(OR(BS153="",$E153=""),"",BS153-$E153)</f>
        <v/>
      </c>
      <c r="BU153" s="28" t="n">
        <f aca="false">IFERROR(INDEX(Assessments!$H$2:$H$600,MATCH($H153&amp;"|"&amp;$I153&amp;"|"&amp;$J153&amp;"|"&amp;1,Assessments!$A$2:$A$600,0)),"")</f>
        <v>24</v>
      </c>
      <c r="BV153" s="28" t="n">
        <f aca="false">IFERROR(INDEX(Assessments!$H$2:$H$600,MATCH($H153&amp;"|"&amp;$I153&amp;"|"&amp;$J153&amp;"|"&amp;2,Assessments!$A$2:$A$600,0)),"")</f>
        <v>20</v>
      </c>
      <c r="BW153" s="28" t="n">
        <f aca="false">IFERROR(INDEX(Assessments!$H$2:$H$600,MATCH($H153&amp;"|"&amp;$I153&amp;"|"&amp;$J153&amp;"|"&amp;3,Assessments!$A$2:$A$600,0)),"")</f>
        <v>20</v>
      </c>
      <c r="BX153" s="28" t="n">
        <f aca="false">IFERROR(INDEX(Assessments!$H$2:$H$600,MATCH($H153&amp;"|"&amp;$I153&amp;"|"&amp;$J153&amp;"|"&amp;4,Assessments!$A$2:$A$600,0)),"")</f>
        <v>40</v>
      </c>
      <c r="BY153" s="28" t="n">
        <f aca="false">IFERROR(INDEX(Assessments!$H$2:$H$600,MATCH($H153&amp;"|"&amp;$I153&amp;"|"&amp;$J153&amp;"|"&amp;5,Assessments!$A$2:$A$600,0)),"")</f>
        <v>30</v>
      </c>
      <c r="BZ153" s="28" t="n">
        <f aca="false">IFERROR(INDEX(Assessments!$H$2:$H$600,MATCH($H153&amp;"|"&amp;$I153&amp;"|"&amp;$J153&amp;"|"&amp;6,Assessments!$A$2:$A$600,0)),"")</f>
        <v>20</v>
      </c>
      <c r="CA153" s="28" t="n">
        <f aca="false">IFERROR(INDEX(Assessments!$H$2:$H$600,MATCH($H153&amp;"|"&amp;$I153&amp;"|"&amp;$J153&amp;"|"&amp;7,Assessments!$A$2:$A$600,0)),"")</f>
        <v>7</v>
      </c>
      <c r="CB153" s="28" t="str">
        <f aca="false">IFERROR(INDEX(Assessments!$H$2:$H$600,MATCH($H153&amp;"|"&amp;$I153&amp;"|"&amp;$J153&amp;"|"&amp;8,Assessments!$A$2:$A$600,0)),"")</f>
        <v/>
      </c>
      <c r="CC153" s="28" t="str">
        <f aca="false">IFERROR(INDEX(Assessments!$H$2:$H$600,MATCH($H153&amp;"|"&amp;$I153&amp;"|"&amp;$J153&amp;"|"&amp;9,Assessments!$A$2:$A$600,0)),"")</f>
        <v/>
      </c>
      <c r="CD153" s="28" t="str">
        <f aca="false">IFERROR(INDEX(Assessments!$H$2:$H$600,MATCH($H153&amp;"|"&amp;$I153&amp;"|"&amp;$J153&amp;"|"&amp;10,Assessments!$A$2:$A$600,0)),"")</f>
        <v/>
      </c>
      <c r="CE153" s="28" t="str">
        <f aca="false">IFERROR(INDEX(Assessments!$H$2:$H$600,MATCH($H153&amp;"|"&amp;$I153&amp;"|"&amp;$J153&amp;"|"&amp;11,Assessments!$A$2:$A$600,0)),"")</f>
        <v/>
      </c>
      <c r="CF153" s="28" t="str">
        <f aca="false">IFERROR(INDEX(Assessments!$H$2:$H$600,MATCH($H153&amp;"|"&amp;$I153&amp;"|"&amp;$J153&amp;"|"&amp;12,Assessments!$A$2:$A$600,0)),"")</f>
        <v/>
      </c>
      <c r="CG153" s="28" t="str">
        <f aca="false">IFERROR(INDEX(Assessments!$H$2:$H$600,MATCH($H153&amp;"|"&amp;$I153&amp;"|"&amp;$J153&amp;"|"&amp;13,Assessments!$A$2:$A$600,0)),"")</f>
        <v/>
      </c>
      <c r="CH153" s="28" t="str">
        <f aca="false">IFERROR(INDEX(Assessments!$H$2:$H$600,MATCH($H153&amp;"|"&amp;$I153&amp;"|"&amp;$J153&amp;"|"&amp;14,Assessments!$A$2:$A$600,0)),"")</f>
        <v/>
      </c>
      <c r="CI153" s="28" t="str">
        <f aca="false">IFERROR(INDEX(Assessments!$I$2:$I$600,MATCH($H153&amp;"|"&amp;$I153&amp;"|"&amp;$J153&amp;"|"&amp;1,Assessments!$A$2:$A$600,0)),"")</f>
        <v>BM Test</v>
      </c>
      <c r="CJ153" s="28" t="str">
        <f aca="false">IFERROR(INDEX(Assessments!$I$2:$I$600,MATCH($H153&amp;"|"&amp;$I153&amp;"|"&amp;$J153&amp;"|"&amp;2,Assessments!$A$2:$A$600,0)),"")</f>
        <v>BM Test</v>
      </c>
      <c r="CK153" s="28" t="str">
        <f aca="false">IFERROR(INDEX(Assessments!$I$2:$I$600,MATCH($H153&amp;"|"&amp;$I153&amp;"|"&amp;$J153&amp;"|"&amp;3,Assessments!$A$2:$A$600,0)),"")</f>
        <v>BM Test</v>
      </c>
      <c r="CL153" s="28" t="str">
        <f aca="false">IFERROR(INDEX(Assessments!$I$2:$I$600,MATCH($H153&amp;"|"&amp;$I153&amp;"|"&amp;$J153&amp;"|"&amp;4,Assessments!$A$2:$A$600,0)),"")</f>
        <v>BM Exam</v>
      </c>
      <c r="CM153" s="28" t="str">
        <f aca="false">IFERROR(INDEX(Assessments!$I$2:$I$600,MATCH($H153&amp;"|"&amp;$I153&amp;"|"&amp;$J153&amp;"|"&amp;5,Assessments!$A$2:$A$600,0)),"")</f>
        <v>BM Test</v>
      </c>
      <c r="CN153" s="28" t="str">
        <f aca="false">IFERROR(INDEX(Assessments!$I$2:$I$600,MATCH($H153&amp;"|"&amp;$I153&amp;"|"&amp;$J153&amp;"|"&amp;6,Assessments!$A$2:$A$600,0)),"")</f>
        <v>BM Test</v>
      </c>
      <c r="CO153" s="28" t="str">
        <f aca="false">IFERROR(INDEX(Assessments!$I$2:$I$600,MATCH($H153&amp;"|"&amp;$I153&amp;"|"&amp;$J153&amp;"|"&amp;7,Assessments!$A$2:$A$600,0)),"")</f>
        <v>Grade entered</v>
      </c>
      <c r="CP153" s="28" t="str">
        <f aca="false">IFERROR(INDEX(Assessments!$I$2:$I$600,MATCH($H153&amp;"|"&amp;$I153&amp;"|"&amp;$J153&amp;"|"&amp;8,Assessments!$A$2:$A$600,0)),"")</f>
        <v/>
      </c>
      <c r="CQ153" s="28" t="str">
        <f aca="false">IFERROR(INDEX(Assessments!$I$2:$I$600,MATCH($H153&amp;"|"&amp;$I153&amp;"|"&amp;$J153&amp;"|"&amp;9,Assessments!$A$2:$A$600,0)),"")</f>
        <v/>
      </c>
      <c r="CR153" s="28" t="str">
        <f aca="false">IFERROR(INDEX(Assessments!$I$2:$I$600,MATCH($H153&amp;"|"&amp;$I153&amp;"|"&amp;$J153&amp;"|"&amp;10,Assessments!$A$2:$A$600,0)),"")</f>
        <v/>
      </c>
      <c r="CS153" s="28" t="str">
        <f aca="false">IFERROR(INDEX(Assessments!$I$2:$I$600,MATCH($H153&amp;"|"&amp;$I153&amp;"|"&amp;$J153&amp;"|"&amp;11,Assessments!$A$2:$A$600,0)),"")</f>
        <v/>
      </c>
      <c r="CT153" s="28" t="str">
        <f aca="false">IFERROR(INDEX(Assessments!$I$2:$I$600,MATCH($H153&amp;"|"&amp;$I153&amp;"|"&amp;$J153&amp;"|"&amp;12,Assessments!$A$2:$A$600,0)),"")</f>
        <v/>
      </c>
      <c r="CU153" s="28" t="str">
        <f aca="false">IFERROR(INDEX(Assessments!$I$2:$I$600,MATCH($H153&amp;"|"&amp;$I153&amp;"|"&amp;$J153&amp;"|"&amp;13,Assessments!$A$2:$A$600,0)),"")</f>
        <v/>
      </c>
      <c r="CV153" s="28" t="str">
        <f aca="false">IFERROR(INDEX(Assessments!$I$2:$I$600,MATCH($H153&amp;"|"&amp;$I153&amp;"|"&amp;$J153&amp;"|"&amp;14,Assessments!$A$2:$A$600,0)),"")</f>
        <v/>
      </c>
      <c r="CW153" s="28" t="n">
        <f aca="false">IFERROR(INDEX(Assessments!$J$2:$J$600,MATCH($H153&amp;"|"&amp;$I153&amp;"|"&amp;$J153&amp;"|"&amp;1,Assessments!$A$2:$A$600,0)),0)</f>
        <v>1</v>
      </c>
      <c r="CX153" s="28" t="n">
        <f aca="false">IFERROR(INDEX(Assessments!$J$2:$J$600,MATCH($H153&amp;"|"&amp;$I153&amp;"|"&amp;$J153&amp;"|"&amp;2,Assessments!$A$2:$A$600,0)),0)</f>
        <v>1</v>
      </c>
      <c r="CY153" s="28" t="n">
        <f aca="false">IFERROR(INDEX(Assessments!$J$2:$J$600,MATCH($H153&amp;"|"&amp;$I153&amp;"|"&amp;$J153&amp;"|"&amp;3,Assessments!$A$2:$A$600,0)),0)</f>
        <v>1</v>
      </c>
      <c r="CZ153" s="28" t="n">
        <f aca="false">IFERROR(INDEX(Assessments!$J$2:$J$600,MATCH($H153&amp;"|"&amp;$I153&amp;"|"&amp;$J153&amp;"|"&amp;4,Assessments!$A$2:$A$600,0)),0)</f>
        <v>2</v>
      </c>
      <c r="DA153" s="28" t="n">
        <f aca="false">IFERROR(INDEX(Assessments!$J$2:$J$600,MATCH($H153&amp;"|"&amp;$I153&amp;"|"&amp;$J153&amp;"|"&amp;5,Assessments!$A$2:$A$600,0)),0)</f>
        <v>1</v>
      </c>
      <c r="DB153" s="28" t="n">
        <f aca="false">IFERROR(INDEX(Assessments!$J$2:$J$600,MATCH($H153&amp;"|"&amp;$I153&amp;"|"&amp;$J153&amp;"|"&amp;6,Assessments!$A$2:$A$600,0)),0)</f>
        <v>1</v>
      </c>
      <c r="DC153" s="28" t="n">
        <f aca="false">IFERROR(INDEX(Assessments!$J$2:$J$600,MATCH($H153&amp;"|"&amp;$I153&amp;"|"&amp;$J153&amp;"|"&amp;7,Assessments!$A$2:$A$600,0)),0)</f>
        <v>2</v>
      </c>
      <c r="DD153" s="28" t="n">
        <f aca="false">IFERROR(INDEX(Assessments!$J$2:$J$600,MATCH($H153&amp;"|"&amp;$I153&amp;"|"&amp;$J153&amp;"|"&amp;8,Assessments!$A$2:$A$600,0)),0)</f>
        <v>0</v>
      </c>
      <c r="DE153" s="28" t="n">
        <f aca="false">IFERROR(INDEX(Assessments!$J$2:$J$600,MATCH($H153&amp;"|"&amp;$I153&amp;"|"&amp;$J153&amp;"|"&amp;9,Assessments!$A$2:$A$600,0)),0)</f>
        <v>0</v>
      </c>
      <c r="DF153" s="28" t="n">
        <f aca="false">IFERROR(INDEX(Assessments!$J$2:$J$600,MATCH($H153&amp;"|"&amp;$I153&amp;"|"&amp;$J153&amp;"|"&amp;10,Assessments!$A$2:$A$600,0)),0)</f>
        <v>0</v>
      </c>
      <c r="DG153" s="28" t="n">
        <f aca="false">IFERROR(INDEX(Assessments!$J$2:$J$600,MATCH($H153&amp;"|"&amp;$I153&amp;"|"&amp;$J153&amp;"|"&amp;11,Assessments!$A$2:$A$600,0)),0)</f>
        <v>0</v>
      </c>
      <c r="DH153" s="28" t="n">
        <f aca="false">IFERROR(INDEX(Assessments!$J$2:$J$600,MATCH($H153&amp;"|"&amp;$I153&amp;"|"&amp;$J153&amp;"|"&amp;12,Assessments!$A$2:$A$600,0)),0)</f>
        <v>0</v>
      </c>
      <c r="DI153" s="28" t="n">
        <f aca="false">IFERROR(INDEX(Assessments!$J$2:$J$600,MATCH($H153&amp;"|"&amp;$I153&amp;"|"&amp;$J153&amp;"|"&amp;13,Assessments!$A$2:$A$600,0)),0)</f>
        <v>0</v>
      </c>
      <c r="DJ153" s="28" t="n">
        <f aca="false">IFERROR(INDEX(Assessments!$J$2:$J$600,MATCH($H153&amp;"|"&amp;$I153&amp;"|"&amp;$J153&amp;"|"&amp;14,Assessments!$A$2:$A$600,0)),0)</f>
        <v>0</v>
      </c>
      <c r="DK153" s="28" t="n">
        <f aca="false">S153</f>
        <v>5</v>
      </c>
      <c r="DL153" s="28" t="n">
        <f aca="false">W153</f>
        <v>7</v>
      </c>
      <c r="DM153" s="28" t="n">
        <f aca="false">AA153</f>
        <v>6</v>
      </c>
      <c r="DN153" s="28" t="str">
        <f aca="false">AE153</f>
        <v/>
      </c>
      <c r="DO153" s="28" t="str">
        <f aca="false">AI153</f>
        <v/>
      </c>
      <c r="DP153" s="28" t="str">
        <f aca="false">AM153</f>
        <v/>
      </c>
      <c r="DQ153" s="28" t="n">
        <f aca="false">AQ153</f>
        <v>4</v>
      </c>
      <c r="DR153" s="28" t="str">
        <f aca="false">AU153</f>
        <v/>
      </c>
      <c r="DS153" s="28" t="str">
        <f aca="false">AY153</f>
        <v/>
      </c>
      <c r="DT153" s="28" t="str">
        <f aca="false">BC153</f>
        <v/>
      </c>
      <c r="DU153" s="28" t="str">
        <f aca="false">BG153</f>
        <v/>
      </c>
      <c r="DV153" s="28" t="str">
        <f aca="false">BK153</f>
        <v/>
      </c>
      <c r="DW153" s="28" t="str">
        <f aca="false">BO153</f>
        <v/>
      </c>
      <c r="DX153" s="28" t="str">
        <f aca="false">BS153</f>
        <v/>
      </c>
      <c r="DY153" s="28" t="n">
        <f aca="false">IF(ISNUMBER(S153),1,"")</f>
        <v>1</v>
      </c>
      <c r="DZ153" s="28" t="n">
        <f aca="false">IF(ISNUMBER(W153),2,"")</f>
        <v>2</v>
      </c>
      <c r="EA153" s="28" t="n">
        <f aca="false">IF(ISNUMBER(AA153),3,"")</f>
        <v>3</v>
      </c>
      <c r="EB153" s="28" t="str">
        <f aca="false">IF(ISNUMBER(AE153),4,"")</f>
        <v/>
      </c>
      <c r="EC153" s="28" t="str">
        <f aca="false">IF(ISNUMBER(AI153),5,"")</f>
        <v/>
      </c>
      <c r="ED153" s="28" t="str">
        <f aca="false">IF(ISNUMBER(AM153),6,"")</f>
        <v/>
      </c>
      <c r="EE153" s="28" t="n">
        <f aca="false">IF(ISNUMBER(AQ153),7,"")</f>
        <v>7</v>
      </c>
      <c r="EF153" s="28" t="str">
        <f aca="false">IF(ISNUMBER(AU153),8,"")</f>
        <v/>
      </c>
      <c r="EG153" s="28" t="str">
        <f aca="false">IF(ISNUMBER(AY153),9,"")</f>
        <v/>
      </c>
      <c r="EH153" s="28" t="str">
        <f aca="false">IF(ISNUMBER(BC153),10,"")</f>
        <v/>
      </c>
      <c r="EI153" s="28" t="str">
        <f aca="false">IF(ISNUMBER(BG153),11,"")</f>
        <v/>
      </c>
      <c r="EJ153" s="28" t="str">
        <f aca="false">IF(ISNUMBER(BK153),12,"")</f>
        <v/>
      </c>
      <c r="EK153" s="28" t="str">
        <f aca="false">IF(ISNUMBER(BO153),13,"")</f>
        <v/>
      </c>
      <c r="EL153" s="28" t="str">
        <f aca="false">IF(ISNUMBER(BS153),14,"")</f>
        <v/>
      </c>
      <c r="EM153" s="28" t="n">
        <f aca="false">IF(ISNUMBER(R153),R153*CW153,0)</f>
        <v>58.3333333333333</v>
      </c>
      <c r="EN153" s="28" t="n">
        <f aca="false">IF(ISNUMBER(V153),V153*CX153,0)</f>
        <v>75</v>
      </c>
      <c r="EO153" s="28" t="n">
        <f aca="false">IF(ISNUMBER(Z153),Z153*CY153,0)</f>
        <v>70</v>
      </c>
      <c r="EP153" s="28" t="n">
        <f aca="false">IF(ISNUMBER(AD153),AD153*CZ153,0)</f>
        <v>0</v>
      </c>
      <c r="EQ153" s="28" t="n">
        <f aca="false">IF(ISNUMBER(AH153),AH153*DA153,0)</f>
        <v>0</v>
      </c>
      <c r="ER153" s="28" t="n">
        <f aca="false">IF(ISNUMBER(AL153),AL153*DB153,0)</f>
        <v>0</v>
      </c>
      <c r="ES153" s="28" t="n">
        <f aca="false">IF(ISNUMBER(AP153),AP153*DC153,0)</f>
        <v>114.285714285714</v>
      </c>
      <c r="ET153" s="28" t="n">
        <f aca="false">IF(ISNUMBER(AT153),AT153*DD153,0)</f>
        <v>0</v>
      </c>
      <c r="EU153" s="28" t="n">
        <f aca="false">IF(ISNUMBER(AX153),AX153*DE153,0)</f>
        <v>0</v>
      </c>
      <c r="EV153" s="28" t="n">
        <f aca="false">IF(ISNUMBER(BB153),BB153*DF153,0)</f>
        <v>0</v>
      </c>
      <c r="EW153" s="28" t="n">
        <f aca="false">IF(ISNUMBER(BF153),BF153*DG153,0)</f>
        <v>0</v>
      </c>
      <c r="EX153" s="28" t="n">
        <f aca="false">IF(ISNUMBER(BJ153),BJ153*DH153,0)</f>
        <v>0</v>
      </c>
      <c r="EY153" s="28" t="n">
        <f aca="false">IF(ISNUMBER(BN153),BN153*DI153,0)</f>
        <v>0</v>
      </c>
      <c r="EZ153" s="28" t="n">
        <f aca="false">IF(ISNUMBER(BR153),BR153*DJ153,0)</f>
        <v>0</v>
      </c>
      <c r="FA153" s="28" t="n">
        <f aca="false">IF(ISNUMBER(R153),CW153,0)</f>
        <v>1</v>
      </c>
      <c r="FB153" s="28" t="n">
        <f aca="false">IF(ISNUMBER(V153),CX153,0)</f>
        <v>1</v>
      </c>
      <c r="FC153" s="28" t="n">
        <f aca="false">IF(ISNUMBER(Z153),CY153,0)</f>
        <v>1</v>
      </c>
      <c r="FD153" s="28" t="n">
        <f aca="false">IF(ISNUMBER(AD153),CZ153,0)</f>
        <v>0</v>
      </c>
      <c r="FE153" s="28" t="n">
        <f aca="false">IF(ISNUMBER(AH153),DA153,0)</f>
        <v>0</v>
      </c>
      <c r="FF153" s="28" t="n">
        <f aca="false">IF(ISNUMBER(AL153),DB153,0)</f>
        <v>0</v>
      </c>
      <c r="FG153" s="28" t="n">
        <f aca="false">IF(ISNUMBER(AP153),DC153,0)</f>
        <v>2</v>
      </c>
      <c r="FH153" s="28" t="n">
        <f aca="false">IF(ISNUMBER(AT153),DD153,0)</f>
        <v>0</v>
      </c>
      <c r="FI153" s="28" t="n">
        <f aca="false">IF(ISNUMBER(AX153),DE153,0)</f>
        <v>0</v>
      </c>
      <c r="FJ153" s="28" t="n">
        <f aca="false">IF(ISNUMBER(BB153),DF153,0)</f>
        <v>0</v>
      </c>
      <c r="FK153" s="28" t="n">
        <f aca="false">IF(ISNUMBER(BF153),DG153,0)</f>
        <v>0</v>
      </c>
      <c r="FL153" s="28" t="n">
        <f aca="false">IF(ISNUMBER(BJ153),DH153,0)</f>
        <v>0</v>
      </c>
      <c r="FM153" s="28" t="n">
        <f aca="false">IF(ISNUMBER(BN153),DI153,0)</f>
        <v>0</v>
      </c>
      <c r="FN153" s="28" t="n">
        <f aca="false">IF(ISNUMBER(BR153),DJ153,0)</f>
        <v>0</v>
      </c>
      <c r="FO153" s="28" t="str">
        <f aca="false">IFERROR(INDEX(Lists!$G$2:$G$20,MATCH($I153&amp;"|"&amp;$J153,Lists!$F$2:$F$20,0)),"")</f>
        <v>BM Exam</v>
      </c>
    </row>
    <row r="154" customFormat="false" ht="19.5" hidden="false" customHeight="true" outlineLevel="0" collapsed="false">
      <c r="A154" s="29" t="s">
        <v>399</v>
      </c>
      <c r="B154" s="29" t="s">
        <v>219</v>
      </c>
      <c r="C154" s="30" t="s">
        <v>152</v>
      </c>
      <c r="D154" s="30" t="s">
        <v>383</v>
      </c>
      <c r="E154" s="31" t="n">
        <v>5.7</v>
      </c>
      <c r="F154" s="30" t="n">
        <v>6</v>
      </c>
      <c r="G154" s="30"/>
      <c r="H154" s="32" t="s">
        <v>23</v>
      </c>
      <c r="I154" s="33" t="s">
        <v>365</v>
      </c>
      <c r="J154" s="32" t="s">
        <v>25</v>
      </c>
      <c r="K154" s="34" t="n">
        <f aca="false">IF(OR(M154="",$E154=""),"",M154-$E154)</f>
        <v>1.3</v>
      </c>
      <c r="L154" s="35" t="n">
        <f aca="false">IF(SUM(FA154:FN154)=0,"",SUM(EM154:EZ154)/SUM(FA154:FN154))</f>
        <v>81.2857142857143</v>
      </c>
      <c r="M154" s="36" t="n">
        <f aca="false">IF(OR(L154="",FO154=""),"",IFERROR(MATCH(L154,INDEX(Boundaries!$B$2:$I$30,MATCH(FO154,Boundaries!$A$2:$A$30,0),0),1)-1,""))</f>
        <v>7</v>
      </c>
      <c r="N154" s="37" t="n">
        <f aca="false">IF(COUNT($DY154:$EL154)&lt;2,"",INDEX($DK154:$DX154,MAX($DY154:$EL154))-INDEX($DK154:$DX154,MIN($DY154:$EL154)))</f>
        <v>-1</v>
      </c>
      <c r="O154" s="37" t="n">
        <f aca="false">IF(COUNT($DY154:$EL154)&lt;2,"",INDEX($DK154:$DX154,MAX($DY154:$EL154))-INDEX($DK154:$DX154,LARGE($DY154:$EL154,2)))</f>
        <v>-1</v>
      </c>
      <c r="P154" s="38" t="str">
        <f aca="false">IF(K154="","",IF(K154&gt;=0,"On/above target",IF(AND(N154&lt;&gt;"",N154&gt;=0.5),"Improving towards target",IF(AND(O154&lt;&gt;"",O154&lt;=-0.5),"Declining","Stable below target"))))</f>
        <v>On/above target</v>
      </c>
      <c r="Q154" s="39" t="n">
        <v>18</v>
      </c>
      <c r="R154" s="40" t="n">
        <f aca="false">IF(OR(Q154="",BU154=""),"",Q154/BU154*100)</f>
        <v>75</v>
      </c>
      <c r="S154" s="41" t="n">
        <f aca="false">IF(R154="","",IFERROR(MATCH(R154,INDEX(Boundaries!$B$2:$I$30,MATCH(CI154,Boundaries!$A$2:$A$30,0),0),1)-1,""))</f>
        <v>7</v>
      </c>
      <c r="T154" s="42" t="n">
        <f aca="false">IF(OR(S154="",$E154=""),"",S154-$E154)</f>
        <v>1.3</v>
      </c>
      <c r="U154" s="39" t="n">
        <v>16</v>
      </c>
      <c r="V154" s="40" t="n">
        <f aca="false">IF(OR(U154="",BV154=""),"",U154/BV154*100)</f>
        <v>80</v>
      </c>
      <c r="W154" s="41" t="n">
        <f aca="false">IF(V154="","",IFERROR(MATCH(V154,INDEX(Boundaries!$B$2:$I$30,MATCH(CJ154,Boundaries!$A$2:$A$30,0),0),1)-1,""))</f>
        <v>7</v>
      </c>
      <c r="X154" s="42" t="n">
        <f aca="false">IF(OR(W154="",$E154=""),"",W154-$E154)</f>
        <v>1.3</v>
      </c>
      <c r="Y154" s="39" t="n">
        <v>16</v>
      </c>
      <c r="Z154" s="40" t="n">
        <f aca="false">IF(OR(Y154="",BW154=""),"",Y154/BW154*100)</f>
        <v>80</v>
      </c>
      <c r="AA154" s="41" t="n">
        <f aca="false">IF(Z154="","",IFERROR(MATCH(Z154,INDEX(Boundaries!$B$2:$I$30,MATCH(CK154,Boundaries!$A$2:$A$30,0),0),1)-1,""))</f>
        <v>7</v>
      </c>
      <c r="AB154" s="42" t="n">
        <f aca="false">IF(OR(AA154="",$E154=""),"",AA154-$E154)</f>
        <v>1.3</v>
      </c>
      <c r="AC154" s="39"/>
      <c r="AD154" s="40" t="str">
        <f aca="false">IF(OR(AC154="",BX154=""),"",AC154/BX154*100)</f>
        <v/>
      </c>
      <c r="AE154" s="41" t="str">
        <f aca="false">IF(AD154="","",IFERROR(MATCH(AD154,INDEX(Boundaries!$B$2:$I$30,MATCH(CL154,Boundaries!$A$2:$A$30,0),0),1)-1,""))</f>
        <v/>
      </c>
      <c r="AF154" s="42" t="str">
        <f aca="false">IF(OR(AE154="",$E154=""),"",AE154-$E154)</f>
        <v/>
      </c>
      <c r="AG154" s="39"/>
      <c r="AH154" s="40" t="str">
        <f aca="false">IF(OR(AG154="",BY154=""),"",AG154/BY154*100)</f>
        <v/>
      </c>
      <c r="AI154" s="41" t="str">
        <f aca="false">IF(AH154="","",IFERROR(MATCH(AH154,INDEX(Boundaries!$B$2:$I$30,MATCH(CM154,Boundaries!$A$2:$A$30,0),0),1)-1,""))</f>
        <v/>
      </c>
      <c r="AJ154" s="42" t="str">
        <f aca="false">IF(OR(AI154="",$E154=""),"",AI154-$E154)</f>
        <v/>
      </c>
      <c r="AK154" s="39"/>
      <c r="AL154" s="40" t="str">
        <f aca="false">IF(OR(AK154="",BZ154=""),"",AK154/BZ154*100)</f>
        <v/>
      </c>
      <c r="AM154" s="41" t="str">
        <f aca="false">IF(AL154="","",IFERROR(MATCH(AL154,INDEX(Boundaries!$B$2:$I$30,MATCH(CN154,Boundaries!$A$2:$A$30,0),0),1)-1,""))</f>
        <v/>
      </c>
      <c r="AN154" s="42" t="str">
        <f aca="false">IF(OR(AM154="",$E154=""),"",AM154-$E154)</f>
        <v/>
      </c>
      <c r="AO154" s="39" t="n">
        <v>6</v>
      </c>
      <c r="AP154" s="40" t="n">
        <f aca="false">IF(OR(AO154="",CA154=""),"",AO154/CA154*100)</f>
        <v>85.7142857142857</v>
      </c>
      <c r="AQ154" s="41" t="n">
        <f aca="false">IF(AP154="","",IFERROR(MATCH(AP154,INDEX(Boundaries!$B$2:$I$30,MATCH(CO154,Boundaries!$A$2:$A$30,0),0),1)-1,""))</f>
        <v>6</v>
      </c>
      <c r="AR154" s="42" t="n">
        <f aca="false">IF(OR(AQ154="",$E154=""),"",AQ154-$E154)</f>
        <v>0.3</v>
      </c>
      <c r="AS154" s="39"/>
      <c r="AT154" s="40" t="str">
        <f aca="false">IF(OR(AS154="",CB154=""),"",AS154/CB154*100)</f>
        <v/>
      </c>
      <c r="AU154" s="41" t="str">
        <f aca="false">IF(AT154="","",IFERROR(MATCH(AT154,INDEX(Boundaries!$B$2:$I$30,MATCH(CP154,Boundaries!$A$2:$A$30,0),0),1)-1,""))</f>
        <v/>
      </c>
      <c r="AV154" s="42" t="str">
        <f aca="false">IF(OR(AU154="",$E154=""),"",AU154-$E154)</f>
        <v/>
      </c>
      <c r="AW154" s="39"/>
      <c r="AX154" s="40" t="str">
        <f aca="false">IF(OR(AW154="",CC154=""),"",AW154/CC154*100)</f>
        <v/>
      </c>
      <c r="AY154" s="41" t="str">
        <f aca="false">IF(AX154="","",IFERROR(MATCH(AX154,INDEX(Boundaries!$B$2:$I$30,MATCH(CQ154,Boundaries!$A$2:$A$30,0),0),1)-1,""))</f>
        <v/>
      </c>
      <c r="AZ154" s="42" t="str">
        <f aca="false">IF(OR(AY154="",$E154=""),"",AY154-$E154)</f>
        <v/>
      </c>
      <c r="BA154" s="39"/>
      <c r="BB154" s="40" t="str">
        <f aca="false">IF(OR(BA154="",CD154=""),"",BA154/CD154*100)</f>
        <v/>
      </c>
      <c r="BC154" s="41" t="str">
        <f aca="false">IF(BB154="","",IFERROR(MATCH(BB154,INDEX(Boundaries!$B$2:$I$30,MATCH(CR154,Boundaries!$A$2:$A$30,0),0),1)-1,""))</f>
        <v/>
      </c>
      <c r="BD154" s="42" t="str">
        <f aca="false">IF(OR(BC154="",$E154=""),"",BC154-$E154)</f>
        <v/>
      </c>
      <c r="BE154" s="39"/>
      <c r="BF154" s="40" t="str">
        <f aca="false">IF(OR(BE154="",CE154=""),"",BE154/CE154*100)</f>
        <v/>
      </c>
      <c r="BG154" s="41" t="str">
        <f aca="false">IF(BF154="","",IFERROR(MATCH(BF154,INDEX(Boundaries!$B$2:$I$30,MATCH(CS154,Boundaries!$A$2:$A$30,0),0),1)-1,""))</f>
        <v/>
      </c>
      <c r="BH154" s="42" t="str">
        <f aca="false">IF(OR(BG154="",$E154=""),"",BG154-$E154)</f>
        <v/>
      </c>
      <c r="BI154" s="39"/>
      <c r="BJ154" s="40" t="str">
        <f aca="false">IF(OR(BI154="",CF154=""),"",BI154/CF154*100)</f>
        <v/>
      </c>
      <c r="BK154" s="41" t="str">
        <f aca="false">IF(BJ154="","",IFERROR(MATCH(BJ154,INDEX(Boundaries!$B$2:$I$30,MATCH(CT154,Boundaries!$A$2:$A$30,0),0),1)-1,""))</f>
        <v/>
      </c>
      <c r="BL154" s="42" t="str">
        <f aca="false">IF(OR(BK154="",$E154=""),"",BK154-$E154)</f>
        <v/>
      </c>
      <c r="BM154" s="39"/>
      <c r="BN154" s="40" t="str">
        <f aca="false">IF(OR(BM154="",CG154=""),"",BM154/CG154*100)</f>
        <v/>
      </c>
      <c r="BO154" s="41" t="str">
        <f aca="false">IF(BN154="","",IFERROR(MATCH(BN154,INDEX(Boundaries!$B$2:$I$30,MATCH(CU154,Boundaries!$A$2:$A$30,0),0),1)-1,""))</f>
        <v/>
      </c>
      <c r="BP154" s="42" t="str">
        <f aca="false">IF(OR(BO154="",$E154=""),"",BO154-$E154)</f>
        <v/>
      </c>
      <c r="BQ154" s="39"/>
      <c r="BR154" s="40" t="str">
        <f aca="false">IF(OR(BQ154="",CH154=""),"",BQ154/CH154*100)</f>
        <v/>
      </c>
      <c r="BS154" s="41" t="str">
        <f aca="false">IF(BR154="","",IFERROR(MATCH(BR154,INDEX(Boundaries!$B$2:$I$30,MATCH(CV154,Boundaries!$A$2:$A$30,0),0),1)-1,""))</f>
        <v/>
      </c>
      <c r="BT154" s="42" t="str">
        <f aca="false">IF(OR(BS154="",$E154=""),"",BS154-$E154)</f>
        <v/>
      </c>
      <c r="BU154" s="28" t="n">
        <f aca="false">IFERROR(INDEX(Assessments!$H$2:$H$600,MATCH($H154&amp;"|"&amp;$I154&amp;"|"&amp;$J154&amp;"|"&amp;1,Assessments!$A$2:$A$600,0)),"")</f>
        <v>24</v>
      </c>
      <c r="BV154" s="28" t="n">
        <f aca="false">IFERROR(INDEX(Assessments!$H$2:$H$600,MATCH($H154&amp;"|"&amp;$I154&amp;"|"&amp;$J154&amp;"|"&amp;2,Assessments!$A$2:$A$600,0)),"")</f>
        <v>20</v>
      </c>
      <c r="BW154" s="28" t="n">
        <f aca="false">IFERROR(INDEX(Assessments!$H$2:$H$600,MATCH($H154&amp;"|"&amp;$I154&amp;"|"&amp;$J154&amp;"|"&amp;3,Assessments!$A$2:$A$600,0)),"")</f>
        <v>20</v>
      </c>
      <c r="BX154" s="28" t="n">
        <f aca="false">IFERROR(INDEX(Assessments!$H$2:$H$600,MATCH($H154&amp;"|"&amp;$I154&amp;"|"&amp;$J154&amp;"|"&amp;4,Assessments!$A$2:$A$600,0)),"")</f>
        <v>40</v>
      </c>
      <c r="BY154" s="28" t="n">
        <f aca="false">IFERROR(INDEX(Assessments!$H$2:$H$600,MATCH($H154&amp;"|"&amp;$I154&amp;"|"&amp;$J154&amp;"|"&amp;5,Assessments!$A$2:$A$600,0)),"")</f>
        <v>30</v>
      </c>
      <c r="BZ154" s="28" t="n">
        <f aca="false">IFERROR(INDEX(Assessments!$H$2:$H$600,MATCH($H154&amp;"|"&amp;$I154&amp;"|"&amp;$J154&amp;"|"&amp;6,Assessments!$A$2:$A$600,0)),"")</f>
        <v>20</v>
      </c>
      <c r="CA154" s="28" t="n">
        <f aca="false">IFERROR(INDEX(Assessments!$H$2:$H$600,MATCH($H154&amp;"|"&amp;$I154&amp;"|"&amp;$J154&amp;"|"&amp;7,Assessments!$A$2:$A$600,0)),"")</f>
        <v>7</v>
      </c>
      <c r="CB154" s="28" t="str">
        <f aca="false">IFERROR(INDEX(Assessments!$H$2:$H$600,MATCH($H154&amp;"|"&amp;$I154&amp;"|"&amp;$J154&amp;"|"&amp;8,Assessments!$A$2:$A$600,0)),"")</f>
        <v/>
      </c>
      <c r="CC154" s="28" t="str">
        <f aca="false">IFERROR(INDEX(Assessments!$H$2:$H$600,MATCH($H154&amp;"|"&amp;$I154&amp;"|"&amp;$J154&amp;"|"&amp;9,Assessments!$A$2:$A$600,0)),"")</f>
        <v/>
      </c>
      <c r="CD154" s="28" t="str">
        <f aca="false">IFERROR(INDEX(Assessments!$H$2:$H$600,MATCH($H154&amp;"|"&amp;$I154&amp;"|"&amp;$J154&amp;"|"&amp;10,Assessments!$A$2:$A$600,0)),"")</f>
        <v/>
      </c>
      <c r="CE154" s="28" t="str">
        <f aca="false">IFERROR(INDEX(Assessments!$H$2:$H$600,MATCH($H154&amp;"|"&amp;$I154&amp;"|"&amp;$J154&amp;"|"&amp;11,Assessments!$A$2:$A$600,0)),"")</f>
        <v/>
      </c>
      <c r="CF154" s="28" t="str">
        <f aca="false">IFERROR(INDEX(Assessments!$H$2:$H$600,MATCH($H154&amp;"|"&amp;$I154&amp;"|"&amp;$J154&amp;"|"&amp;12,Assessments!$A$2:$A$600,0)),"")</f>
        <v/>
      </c>
      <c r="CG154" s="28" t="str">
        <f aca="false">IFERROR(INDEX(Assessments!$H$2:$H$600,MATCH($H154&amp;"|"&amp;$I154&amp;"|"&amp;$J154&amp;"|"&amp;13,Assessments!$A$2:$A$600,0)),"")</f>
        <v/>
      </c>
      <c r="CH154" s="28" t="str">
        <f aca="false">IFERROR(INDEX(Assessments!$H$2:$H$600,MATCH($H154&amp;"|"&amp;$I154&amp;"|"&amp;$J154&amp;"|"&amp;14,Assessments!$A$2:$A$600,0)),"")</f>
        <v/>
      </c>
      <c r="CI154" s="28" t="str">
        <f aca="false">IFERROR(INDEX(Assessments!$I$2:$I$600,MATCH($H154&amp;"|"&amp;$I154&amp;"|"&amp;$J154&amp;"|"&amp;1,Assessments!$A$2:$A$600,0)),"")</f>
        <v>BM Test</v>
      </c>
      <c r="CJ154" s="28" t="str">
        <f aca="false">IFERROR(INDEX(Assessments!$I$2:$I$600,MATCH($H154&amp;"|"&amp;$I154&amp;"|"&amp;$J154&amp;"|"&amp;2,Assessments!$A$2:$A$600,0)),"")</f>
        <v>BM Test</v>
      </c>
      <c r="CK154" s="28" t="str">
        <f aca="false">IFERROR(INDEX(Assessments!$I$2:$I$600,MATCH($H154&amp;"|"&amp;$I154&amp;"|"&amp;$J154&amp;"|"&amp;3,Assessments!$A$2:$A$600,0)),"")</f>
        <v>BM Test</v>
      </c>
      <c r="CL154" s="28" t="str">
        <f aca="false">IFERROR(INDEX(Assessments!$I$2:$I$600,MATCH($H154&amp;"|"&amp;$I154&amp;"|"&amp;$J154&amp;"|"&amp;4,Assessments!$A$2:$A$600,0)),"")</f>
        <v>BM Exam</v>
      </c>
      <c r="CM154" s="28" t="str">
        <f aca="false">IFERROR(INDEX(Assessments!$I$2:$I$600,MATCH($H154&amp;"|"&amp;$I154&amp;"|"&amp;$J154&amp;"|"&amp;5,Assessments!$A$2:$A$600,0)),"")</f>
        <v>BM Test</v>
      </c>
      <c r="CN154" s="28" t="str">
        <f aca="false">IFERROR(INDEX(Assessments!$I$2:$I$600,MATCH($H154&amp;"|"&amp;$I154&amp;"|"&amp;$J154&amp;"|"&amp;6,Assessments!$A$2:$A$600,0)),"")</f>
        <v>BM Test</v>
      </c>
      <c r="CO154" s="28" t="str">
        <f aca="false">IFERROR(INDEX(Assessments!$I$2:$I$600,MATCH($H154&amp;"|"&amp;$I154&amp;"|"&amp;$J154&amp;"|"&amp;7,Assessments!$A$2:$A$600,0)),"")</f>
        <v>Grade entered</v>
      </c>
      <c r="CP154" s="28" t="str">
        <f aca="false">IFERROR(INDEX(Assessments!$I$2:$I$600,MATCH($H154&amp;"|"&amp;$I154&amp;"|"&amp;$J154&amp;"|"&amp;8,Assessments!$A$2:$A$600,0)),"")</f>
        <v/>
      </c>
      <c r="CQ154" s="28" t="str">
        <f aca="false">IFERROR(INDEX(Assessments!$I$2:$I$600,MATCH($H154&amp;"|"&amp;$I154&amp;"|"&amp;$J154&amp;"|"&amp;9,Assessments!$A$2:$A$600,0)),"")</f>
        <v/>
      </c>
      <c r="CR154" s="28" t="str">
        <f aca="false">IFERROR(INDEX(Assessments!$I$2:$I$600,MATCH($H154&amp;"|"&amp;$I154&amp;"|"&amp;$J154&amp;"|"&amp;10,Assessments!$A$2:$A$600,0)),"")</f>
        <v/>
      </c>
      <c r="CS154" s="28" t="str">
        <f aca="false">IFERROR(INDEX(Assessments!$I$2:$I$600,MATCH($H154&amp;"|"&amp;$I154&amp;"|"&amp;$J154&amp;"|"&amp;11,Assessments!$A$2:$A$600,0)),"")</f>
        <v/>
      </c>
      <c r="CT154" s="28" t="str">
        <f aca="false">IFERROR(INDEX(Assessments!$I$2:$I$600,MATCH($H154&amp;"|"&amp;$I154&amp;"|"&amp;$J154&amp;"|"&amp;12,Assessments!$A$2:$A$600,0)),"")</f>
        <v/>
      </c>
      <c r="CU154" s="28" t="str">
        <f aca="false">IFERROR(INDEX(Assessments!$I$2:$I$600,MATCH($H154&amp;"|"&amp;$I154&amp;"|"&amp;$J154&amp;"|"&amp;13,Assessments!$A$2:$A$600,0)),"")</f>
        <v/>
      </c>
      <c r="CV154" s="28" t="str">
        <f aca="false">IFERROR(INDEX(Assessments!$I$2:$I$600,MATCH($H154&amp;"|"&amp;$I154&amp;"|"&amp;$J154&amp;"|"&amp;14,Assessments!$A$2:$A$600,0)),"")</f>
        <v/>
      </c>
      <c r="CW154" s="28" t="n">
        <f aca="false">IFERROR(INDEX(Assessments!$J$2:$J$600,MATCH($H154&amp;"|"&amp;$I154&amp;"|"&amp;$J154&amp;"|"&amp;1,Assessments!$A$2:$A$600,0)),0)</f>
        <v>1</v>
      </c>
      <c r="CX154" s="28" t="n">
        <f aca="false">IFERROR(INDEX(Assessments!$J$2:$J$600,MATCH($H154&amp;"|"&amp;$I154&amp;"|"&amp;$J154&amp;"|"&amp;2,Assessments!$A$2:$A$600,0)),0)</f>
        <v>1</v>
      </c>
      <c r="CY154" s="28" t="n">
        <f aca="false">IFERROR(INDEX(Assessments!$J$2:$J$600,MATCH($H154&amp;"|"&amp;$I154&amp;"|"&amp;$J154&amp;"|"&amp;3,Assessments!$A$2:$A$600,0)),0)</f>
        <v>1</v>
      </c>
      <c r="CZ154" s="28" t="n">
        <f aca="false">IFERROR(INDEX(Assessments!$J$2:$J$600,MATCH($H154&amp;"|"&amp;$I154&amp;"|"&amp;$J154&amp;"|"&amp;4,Assessments!$A$2:$A$600,0)),0)</f>
        <v>2</v>
      </c>
      <c r="DA154" s="28" t="n">
        <f aca="false">IFERROR(INDEX(Assessments!$J$2:$J$600,MATCH($H154&amp;"|"&amp;$I154&amp;"|"&amp;$J154&amp;"|"&amp;5,Assessments!$A$2:$A$600,0)),0)</f>
        <v>1</v>
      </c>
      <c r="DB154" s="28" t="n">
        <f aca="false">IFERROR(INDEX(Assessments!$J$2:$J$600,MATCH($H154&amp;"|"&amp;$I154&amp;"|"&amp;$J154&amp;"|"&amp;6,Assessments!$A$2:$A$600,0)),0)</f>
        <v>1</v>
      </c>
      <c r="DC154" s="28" t="n">
        <f aca="false">IFERROR(INDEX(Assessments!$J$2:$J$600,MATCH($H154&amp;"|"&amp;$I154&amp;"|"&amp;$J154&amp;"|"&amp;7,Assessments!$A$2:$A$600,0)),0)</f>
        <v>2</v>
      </c>
      <c r="DD154" s="28" t="n">
        <f aca="false">IFERROR(INDEX(Assessments!$J$2:$J$600,MATCH($H154&amp;"|"&amp;$I154&amp;"|"&amp;$J154&amp;"|"&amp;8,Assessments!$A$2:$A$600,0)),0)</f>
        <v>0</v>
      </c>
      <c r="DE154" s="28" t="n">
        <f aca="false">IFERROR(INDEX(Assessments!$J$2:$J$600,MATCH($H154&amp;"|"&amp;$I154&amp;"|"&amp;$J154&amp;"|"&amp;9,Assessments!$A$2:$A$600,0)),0)</f>
        <v>0</v>
      </c>
      <c r="DF154" s="28" t="n">
        <f aca="false">IFERROR(INDEX(Assessments!$J$2:$J$600,MATCH($H154&amp;"|"&amp;$I154&amp;"|"&amp;$J154&amp;"|"&amp;10,Assessments!$A$2:$A$600,0)),0)</f>
        <v>0</v>
      </c>
      <c r="DG154" s="28" t="n">
        <f aca="false">IFERROR(INDEX(Assessments!$J$2:$J$600,MATCH($H154&amp;"|"&amp;$I154&amp;"|"&amp;$J154&amp;"|"&amp;11,Assessments!$A$2:$A$600,0)),0)</f>
        <v>0</v>
      </c>
      <c r="DH154" s="28" t="n">
        <f aca="false">IFERROR(INDEX(Assessments!$J$2:$J$600,MATCH($H154&amp;"|"&amp;$I154&amp;"|"&amp;$J154&amp;"|"&amp;12,Assessments!$A$2:$A$600,0)),0)</f>
        <v>0</v>
      </c>
      <c r="DI154" s="28" t="n">
        <f aca="false">IFERROR(INDEX(Assessments!$J$2:$J$600,MATCH($H154&amp;"|"&amp;$I154&amp;"|"&amp;$J154&amp;"|"&amp;13,Assessments!$A$2:$A$600,0)),0)</f>
        <v>0</v>
      </c>
      <c r="DJ154" s="28" t="n">
        <f aca="false">IFERROR(INDEX(Assessments!$J$2:$J$600,MATCH($H154&amp;"|"&amp;$I154&amp;"|"&amp;$J154&amp;"|"&amp;14,Assessments!$A$2:$A$600,0)),0)</f>
        <v>0</v>
      </c>
      <c r="DK154" s="28" t="n">
        <f aca="false">S154</f>
        <v>7</v>
      </c>
      <c r="DL154" s="28" t="n">
        <f aca="false">W154</f>
        <v>7</v>
      </c>
      <c r="DM154" s="28" t="n">
        <f aca="false">AA154</f>
        <v>7</v>
      </c>
      <c r="DN154" s="28" t="str">
        <f aca="false">AE154</f>
        <v/>
      </c>
      <c r="DO154" s="28" t="str">
        <f aca="false">AI154</f>
        <v/>
      </c>
      <c r="DP154" s="28" t="str">
        <f aca="false">AM154</f>
        <v/>
      </c>
      <c r="DQ154" s="28" t="n">
        <f aca="false">AQ154</f>
        <v>6</v>
      </c>
      <c r="DR154" s="28" t="str">
        <f aca="false">AU154</f>
        <v/>
      </c>
      <c r="DS154" s="28" t="str">
        <f aca="false">AY154</f>
        <v/>
      </c>
      <c r="DT154" s="28" t="str">
        <f aca="false">BC154</f>
        <v/>
      </c>
      <c r="DU154" s="28" t="str">
        <f aca="false">BG154</f>
        <v/>
      </c>
      <c r="DV154" s="28" t="str">
        <f aca="false">BK154</f>
        <v/>
      </c>
      <c r="DW154" s="28" t="str">
        <f aca="false">BO154</f>
        <v/>
      </c>
      <c r="DX154" s="28" t="str">
        <f aca="false">BS154</f>
        <v/>
      </c>
      <c r="DY154" s="28" t="n">
        <f aca="false">IF(ISNUMBER(S154),1,"")</f>
        <v>1</v>
      </c>
      <c r="DZ154" s="28" t="n">
        <f aca="false">IF(ISNUMBER(W154),2,"")</f>
        <v>2</v>
      </c>
      <c r="EA154" s="28" t="n">
        <f aca="false">IF(ISNUMBER(AA154),3,"")</f>
        <v>3</v>
      </c>
      <c r="EB154" s="28" t="str">
        <f aca="false">IF(ISNUMBER(AE154),4,"")</f>
        <v/>
      </c>
      <c r="EC154" s="28" t="str">
        <f aca="false">IF(ISNUMBER(AI154),5,"")</f>
        <v/>
      </c>
      <c r="ED154" s="28" t="str">
        <f aca="false">IF(ISNUMBER(AM154),6,"")</f>
        <v/>
      </c>
      <c r="EE154" s="28" t="n">
        <f aca="false">IF(ISNUMBER(AQ154),7,"")</f>
        <v>7</v>
      </c>
      <c r="EF154" s="28" t="str">
        <f aca="false">IF(ISNUMBER(AU154),8,"")</f>
        <v/>
      </c>
      <c r="EG154" s="28" t="str">
        <f aca="false">IF(ISNUMBER(AY154),9,"")</f>
        <v/>
      </c>
      <c r="EH154" s="28" t="str">
        <f aca="false">IF(ISNUMBER(BC154),10,"")</f>
        <v/>
      </c>
      <c r="EI154" s="28" t="str">
        <f aca="false">IF(ISNUMBER(BG154),11,"")</f>
        <v/>
      </c>
      <c r="EJ154" s="28" t="str">
        <f aca="false">IF(ISNUMBER(BK154),12,"")</f>
        <v/>
      </c>
      <c r="EK154" s="28" t="str">
        <f aca="false">IF(ISNUMBER(BO154),13,"")</f>
        <v/>
      </c>
      <c r="EL154" s="28" t="str">
        <f aca="false">IF(ISNUMBER(BS154),14,"")</f>
        <v/>
      </c>
      <c r="EM154" s="28" t="n">
        <f aca="false">IF(ISNUMBER(R154),R154*CW154,0)</f>
        <v>75</v>
      </c>
      <c r="EN154" s="28" t="n">
        <f aca="false">IF(ISNUMBER(V154),V154*CX154,0)</f>
        <v>80</v>
      </c>
      <c r="EO154" s="28" t="n">
        <f aca="false">IF(ISNUMBER(Z154),Z154*CY154,0)</f>
        <v>80</v>
      </c>
      <c r="EP154" s="28" t="n">
        <f aca="false">IF(ISNUMBER(AD154),AD154*CZ154,0)</f>
        <v>0</v>
      </c>
      <c r="EQ154" s="28" t="n">
        <f aca="false">IF(ISNUMBER(AH154),AH154*DA154,0)</f>
        <v>0</v>
      </c>
      <c r="ER154" s="28" t="n">
        <f aca="false">IF(ISNUMBER(AL154),AL154*DB154,0)</f>
        <v>0</v>
      </c>
      <c r="ES154" s="28" t="n">
        <f aca="false">IF(ISNUMBER(AP154),AP154*DC154,0)</f>
        <v>171.428571428571</v>
      </c>
      <c r="ET154" s="28" t="n">
        <f aca="false">IF(ISNUMBER(AT154),AT154*DD154,0)</f>
        <v>0</v>
      </c>
      <c r="EU154" s="28" t="n">
        <f aca="false">IF(ISNUMBER(AX154),AX154*DE154,0)</f>
        <v>0</v>
      </c>
      <c r="EV154" s="28" t="n">
        <f aca="false">IF(ISNUMBER(BB154),BB154*DF154,0)</f>
        <v>0</v>
      </c>
      <c r="EW154" s="28" t="n">
        <f aca="false">IF(ISNUMBER(BF154),BF154*DG154,0)</f>
        <v>0</v>
      </c>
      <c r="EX154" s="28" t="n">
        <f aca="false">IF(ISNUMBER(BJ154),BJ154*DH154,0)</f>
        <v>0</v>
      </c>
      <c r="EY154" s="28" t="n">
        <f aca="false">IF(ISNUMBER(BN154),BN154*DI154,0)</f>
        <v>0</v>
      </c>
      <c r="EZ154" s="28" t="n">
        <f aca="false">IF(ISNUMBER(BR154),BR154*DJ154,0)</f>
        <v>0</v>
      </c>
      <c r="FA154" s="28" t="n">
        <f aca="false">IF(ISNUMBER(R154),CW154,0)</f>
        <v>1</v>
      </c>
      <c r="FB154" s="28" t="n">
        <f aca="false">IF(ISNUMBER(V154),CX154,0)</f>
        <v>1</v>
      </c>
      <c r="FC154" s="28" t="n">
        <f aca="false">IF(ISNUMBER(Z154),CY154,0)</f>
        <v>1</v>
      </c>
      <c r="FD154" s="28" t="n">
        <f aca="false">IF(ISNUMBER(AD154),CZ154,0)</f>
        <v>0</v>
      </c>
      <c r="FE154" s="28" t="n">
        <f aca="false">IF(ISNUMBER(AH154),DA154,0)</f>
        <v>0</v>
      </c>
      <c r="FF154" s="28" t="n">
        <f aca="false">IF(ISNUMBER(AL154),DB154,0)</f>
        <v>0</v>
      </c>
      <c r="FG154" s="28" t="n">
        <f aca="false">IF(ISNUMBER(AP154),DC154,0)</f>
        <v>2</v>
      </c>
      <c r="FH154" s="28" t="n">
        <f aca="false">IF(ISNUMBER(AT154),DD154,0)</f>
        <v>0</v>
      </c>
      <c r="FI154" s="28" t="n">
        <f aca="false">IF(ISNUMBER(AX154),DE154,0)</f>
        <v>0</v>
      </c>
      <c r="FJ154" s="28" t="n">
        <f aca="false">IF(ISNUMBER(BB154),DF154,0)</f>
        <v>0</v>
      </c>
      <c r="FK154" s="28" t="n">
        <f aca="false">IF(ISNUMBER(BF154),DG154,0)</f>
        <v>0</v>
      </c>
      <c r="FL154" s="28" t="n">
        <f aca="false">IF(ISNUMBER(BJ154),DH154,0)</f>
        <v>0</v>
      </c>
      <c r="FM154" s="28" t="n">
        <f aca="false">IF(ISNUMBER(BN154),DI154,0)</f>
        <v>0</v>
      </c>
      <c r="FN154" s="28" t="n">
        <f aca="false">IF(ISNUMBER(BR154),DJ154,0)</f>
        <v>0</v>
      </c>
      <c r="FO154" s="28" t="str">
        <f aca="false">IFERROR(INDEX(Lists!$G$2:$G$20,MATCH($I154&amp;"|"&amp;$J154,Lists!$F$2:$F$20,0)),"")</f>
        <v>BM Exam</v>
      </c>
    </row>
    <row r="155" customFormat="false" ht="19.5" hidden="false" customHeight="true" outlineLevel="0" collapsed="false">
      <c r="A155" s="29" t="s">
        <v>155</v>
      </c>
      <c r="B155" s="29" t="s">
        <v>156</v>
      </c>
      <c r="C155" s="30" t="s">
        <v>192</v>
      </c>
      <c r="D155" s="30" t="s">
        <v>383</v>
      </c>
      <c r="E155" s="31" t="n">
        <v>5.2</v>
      </c>
      <c r="F155" s="30" t="n">
        <v>6</v>
      </c>
      <c r="G155" s="30"/>
      <c r="H155" s="32" t="s">
        <v>23</v>
      </c>
      <c r="I155" s="33" t="s">
        <v>365</v>
      </c>
      <c r="J155" s="32" t="s">
        <v>25</v>
      </c>
      <c r="K155" s="34" t="n">
        <f aca="false">IF(OR(M155="",$E155=""),"",M155-$E155)</f>
        <v>1.8</v>
      </c>
      <c r="L155" s="35" t="n">
        <f aca="false">IF(SUM(FA155:FN155)=0,"",SUM(EM155:EZ155)/SUM(FA155:FN155))</f>
        <v>73.4047619047619</v>
      </c>
      <c r="M155" s="36" t="n">
        <f aca="false">IF(OR(L155="",FO155=""),"",IFERROR(MATCH(L155,INDEX(Boundaries!$B$2:$I$30,MATCH(FO155,Boundaries!$A$2:$A$30,0),0),1)-1,""))</f>
        <v>7</v>
      </c>
      <c r="N155" s="37" t="n">
        <f aca="false">IF(COUNT($DY155:$EL155)&lt;2,"",INDEX($DK155:$DX155,MAX($DY155:$EL155))-INDEX($DK155:$DX155,MIN($DY155:$EL155)))</f>
        <v>-2</v>
      </c>
      <c r="O155" s="37" t="n">
        <f aca="false">IF(COUNT($DY155:$EL155)&lt;2,"",INDEX($DK155:$DX155,MAX($DY155:$EL155))-INDEX($DK155:$DX155,LARGE($DY155:$EL155,2)))</f>
        <v>-1</v>
      </c>
      <c r="P155" s="38" t="str">
        <f aca="false">IF(K155="","",IF(K155&gt;=0,"On/above target",IF(AND(N155&lt;&gt;"",N155&gt;=0.5),"Improving towards target",IF(AND(O155&lt;&gt;"",O155&lt;=-0.5),"Declining","Stable below target"))))</f>
        <v>On/above target</v>
      </c>
      <c r="Q155" s="39" t="n">
        <v>19</v>
      </c>
      <c r="R155" s="40" t="n">
        <f aca="false">IF(OR(Q155="",BU155=""),"",Q155/BU155*100)</f>
        <v>79.1666666666667</v>
      </c>
      <c r="S155" s="41" t="n">
        <f aca="false">IF(R155="","",IFERROR(MATCH(R155,INDEX(Boundaries!$B$2:$I$30,MATCH(CI155,Boundaries!$A$2:$A$30,0),0),1)-1,""))</f>
        <v>7</v>
      </c>
      <c r="T155" s="42" t="n">
        <f aca="false">IF(OR(S155="",$E155=""),"",S155-$E155)</f>
        <v>1.8</v>
      </c>
      <c r="U155" s="39" t="n">
        <v>15</v>
      </c>
      <c r="V155" s="40" t="n">
        <f aca="false">IF(OR(U155="",BV155=""),"",U155/BV155*100)</f>
        <v>75</v>
      </c>
      <c r="W155" s="41" t="n">
        <f aca="false">IF(V155="","",IFERROR(MATCH(V155,INDEX(Boundaries!$B$2:$I$30,MATCH(CJ155,Boundaries!$A$2:$A$30,0),0),1)-1,""))</f>
        <v>7</v>
      </c>
      <c r="X155" s="42" t="n">
        <f aca="false">IF(OR(W155="",$E155=""),"",W155-$E155)</f>
        <v>1.8</v>
      </c>
      <c r="Y155" s="39" t="n">
        <v>14</v>
      </c>
      <c r="Z155" s="40" t="n">
        <f aca="false">IF(OR(Y155="",BW155=""),"",Y155/BW155*100)</f>
        <v>70</v>
      </c>
      <c r="AA155" s="41" t="n">
        <f aca="false">IF(Z155="","",IFERROR(MATCH(Z155,INDEX(Boundaries!$B$2:$I$30,MATCH(CK155,Boundaries!$A$2:$A$30,0),0),1)-1,""))</f>
        <v>6</v>
      </c>
      <c r="AB155" s="42" t="n">
        <f aca="false">IF(OR(AA155="",$E155=""),"",AA155-$E155)</f>
        <v>0.8</v>
      </c>
      <c r="AC155" s="39"/>
      <c r="AD155" s="40" t="str">
        <f aca="false">IF(OR(AC155="",BX155=""),"",AC155/BX155*100)</f>
        <v/>
      </c>
      <c r="AE155" s="41" t="str">
        <f aca="false">IF(AD155="","",IFERROR(MATCH(AD155,INDEX(Boundaries!$B$2:$I$30,MATCH(CL155,Boundaries!$A$2:$A$30,0),0),1)-1,""))</f>
        <v/>
      </c>
      <c r="AF155" s="42" t="str">
        <f aca="false">IF(OR(AE155="",$E155=""),"",AE155-$E155)</f>
        <v/>
      </c>
      <c r="AG155" s="39"/>
      <c r="AH155" s="40" t="str">
        <f aca="false">IF(OR(AG155="",BY155=""),"",AG155/BY155*100)</f>
        <v/>
      </c>
      <c r="AI155" s="41" t="str">
        <f aca="false">IF(AH155="","",IFERROR(MATCH(AH155,INDEX(Boundaries!$B$2:$I$30,MATCH(CM155,Boundaries!$A$2:$A$30,0),0),1)-1,""))</f>
        <v/>
      </c>
      <c r="AJ155" s="42" t="str">
        <f aca="false">IF(OR(AI155="",$E155=""),"",AI155-$E155)</f>
        <v/>
      </c>
      <c r="AK155" s="39"/>
      <c r="AL155" s="40" t="str">
        <f aca="false">IF(OR(AK155="",BZ155=""),"",AK155/BZ155*100)</f>
        <v/>
      </c>
      <c r="AM155" s="41" t="str">
        <f aca="false">IF(AL155="","",IFERROR(MATCH(AL155,INDEX(Boundaries!$B$2:$I$30,MATCH(CN155,Boundaries!$A$2:$A$30,0),0),1)-1,""))</f>
        <v/>
      </c>
      <c r="AN155" s="42" t="str">
        <f aca="false">IF(OR(AM155="",$E155=""),"",AM155-$E155)</f>
        <v/>
      </c>
      <c r="AO155" s="39" t="n">
        <v>5</v>
      </c>
      <c r="AP155" s="40" t="n">
        <f aca="false">IF(OR(AO155="",CA155=""),"",AO155/CA155*100)</f>
        <v>71.4285714285714</v>
      </c>
      <c r="AQ155" s="41" t="n">
        <f aca="false">IF(AP155="","",IFERROR(MATCH(AP155,INDEX(Boundaries!$B$2:$I$30,MATCH(CO155,Boundaries!$A$2:$A$30,0),0),1)-1,""))</f>
        <v>5</v>
      </c>
      <c r="AR155" s="42" t="n">
        <f aca="false">IF(OR(AQ155="",$E155=""),"",AQ155-$E155)</f>
        <v>-0.2</v>
      </c>
      <c r="AS155" s="39"/>
      <c r="AT155" s="40" t="str">
        <f aca="false">IF(OR(AS155="",CB155=""),"",AS155/CB155*100)</f>
        <v/>
      </c>
      <c r="AU155" s="41" t="str">
        <f aca="false">IF(AT155="","",IFERROR(MATCH(AT155,INDEX(Boundaries!$B$2:$I$30,MATCH(CP155,Boundaries!$A$2:$A$30,0),0),1)-1,""))</f>
        <v/>
      </c>
      <c r="AV155" s="42" t="str">
        <f aca="false">IF(OR(AU155="",$E155=""),"",AU155-$E155)</f>
        <v/>
      </c>
      <c r="AW155" s="39"/>
      <c r="AX155" s="40" t="str">
        <f aca="false">IF(OR(AW155="",CC155=""),"",AW155/CC155*100)</f>
        <v/>
      </c>
      <c r="AY155" s="41" t="str">
        <f aca="false">IF(AX155="","",IFERROR(MATCH(AX155,INDEX(Boundaries!$B$2:$I$30,MATCH(CQ155,Boundaries!$A$2:$A$30,0),0),1)-1,""))</f>
        <v/>
      </c>
      <c r="AZ155" s="42" t="str">
        <f aca="false">IF(OR(AY155="",$E155=""),"",AY155-$E155)</f>
        <v/>
      </c>
      <c r="BA155" s="39"/>
      <c r="BB155" s="40" t="str">
        <f aca="false">IF(OR(BA155="",CD155=""),"",BA155/CD155*100)</f>
        <v/>
      </c>
      <c r="BC155" s="41" t="str">
        <f aca="false">IF(BB155="","",IFERROR(MATCH(BB155,INDEX(Boundaries!$B$2:$I$30,MATCH(CR155,Boundaries!$A$2:$A$30,0),0),1)-1,""))</f>
        <v/>
      </c>
      <c r="BD155" s="42" t="str">
        <f aca="false">IF(OR(BC155="",$E155=""),"",BC155-$E155)</f>
        <v/>
      </c>
      <c r="BE155" s="39"/>
      <c r="BF155" s="40" t="str">
        <f aca="false">IF(OR(BE155="",CE155=""),"",BE155/CE155*100)</f>
        <v/>
      </c>
      <c r="BG155" s="41" t="str">
        <f aca="false">IF(BF155="","",IFERROR(MATCH(BF155,INDEX(Boundaries!$B$2:$I$30,MATCH(CS155,Boundaries!$A$2:$A$30,0),0),1)-1,""))</f>
        <v/>
      </c>
      <c r="BH155" s="42" t="str">
        <f aca="false">IF(OR(BG155="",$E155=""),"",BG155-$E155)</f>
        <v/>
      </c>
      <c r="BI155" s="39"/>
      <c r="BJ155" s="40" t="str">
        <f aca="false">IF(OR(BI155="",CF155=""),"",BI155/CF155*100)</f>
        <v/>
      </c>
      <c r="BK155" s="41" t="str">
        <f aca="false">IF(BJ155="","",IFERROR(MATCH(BJ155,INDEX(Boundaries!$B$2:$I$30,MATCH(CT155,Boundaries!$A$2:$A$30,0),0),1)-1,""))</f>
        <v/>
      </c>
      <c r="BL155" s="42" t="str">
        <f aca="false">IF(OR(BK155="",$E155=""),"",BK155-$E155)</f>
        <v/>
      </c>
      <c r="BM155" s="39"/>
      <c r="BN155" s="40" t="str">
        <f aca="false">IF(OR(BM155="",CG155=""),"",BM155/CG155*100)</f>
        <v/>
      </c>
      <c r="BO155" s="41" t="str">
        <f aca="false">IF(BN155="","",IFERROR(MATCH(BN155,INDEX(Boundaries!$B$2:$I$30,MATCH(CU155,Boundaries!$A$2:$A$30,0),0),1)-1,""))</f>
        <v/>
      </c>
      <c r="BP155" s="42" t="str">
        <f aca="false">IF(OR(BO155="",$E155=""),"",BO155-$E155)</f>
        <v/>
      </c>
      <c r="BQ155" s="39"/>
      <c r="BR155" s="40" t="str">
        <f aca="false">IF(OR(BQ155="",CH155=""),"",BQ155/CH155*100)</f>
        <v/>
      </c>
      <c r="BS155" s="41" t="str">
        <f aca="false">IF(BR155="","",IFERROR(MATCH(BR155,INDEX(Boundaries!$B$2:$I$30,MATCH(CV155,Boundaries!$A$2:$A$30,0),0),1)-1,""))</f>
        <v/>
      </c>
      <c r="BT155" s="42" t="str">
        <f aca="false">IF(OR(BS155="",$E155=""),"",BS155-$E155)</f>
        <v/>
      </c>
      <c r="BU155" s="28" t="n">
        <f aca="false">IFERROR(INDEX(Assessments!$H$2:$H$600,MATCH($H155&amp;"|"&amp;$I155&amp;"|"&amp;$J155&amp;"|"&amp;1,Assessments!$A$2:$A$600,0)),"")</f>
        <v>24</v>
      </c>
      <c r="BV155" s="28" t="n">
        <f aca="false">IFERROR(INDEX(Assessments!$H$2:$H$600,MATCH($H155&amp;"|"&amp;$I155&amp;"|"&amp;$J155&amp;"|"&amp;2,Assessments!$A$2:$A$600,0)),"")</f>
        <v>20</v>
      </c>
      <c r="BW155" s="28" t="n">
        <f aca="false">IFERROR(INDEX(Assessments!$H$2:$H$600,MATCH($H155&amp;"|"&amp;$I155&amp;"|"&amp;$J155&amp;"|"&amp;3,Assessments!$A$2:$A$600,0)),"")</f>
        <v>20</v>
      </c>
      <c r="BX155" s="28" t="n">
        <f aca="false">IFERROR(INDEX(Assessments!$H$2:$H$600,MATCH($H155&amp;"|"&amp;$I155&amp;"|"&amp;$J155&amp;"|"&amp;4,Assessments!$A$2:$A$600,0)),"")</f>
        <v>40</v>
      </c>
      <c r="BY155" s="28" t="n">
        <f aca="false">IFERROR(INDEX(Assessments!$H$2:$H$600,MATCH($H155&amp;"|"&amp;$I155&amp;"|"&amp;$J155&amp;"|"&amp;5,Assessments!$A$2:$A$600,0)),"")</f>
        <v>30</v>
      </c>
      <c r="BZ155" s="28" t="n">
        <f aca="false">IFERROR(INDEX(Assessments!$H$2:$H$600,MATCH($H155&amp;"|"&amp;$I155&amp;"|"&amp;$J155&amp;"|"&amp;6,Assessments!$A$2:$A$600,0)),"")</f>
        <v>20</v>
      </c>
      <c r="CA155" s="28" t="n">
        <f aca="false">IFERROR(INDEX(Assessments!$H$2:$H$600,MATCH($H155&amp;"|"&amp;$I155&amp;"|"&amp;$J155&amp;"|"&amp;7,Assessments!$A$2:$A$600,0)),"")</f>
        <v>7</v>
      </c>
      <c r="CB155" s="28" t="str">
        <f aca="false">IFERROR(INDEX(Assessments!$H$2:$H$600,MATCH($H155&amp;"|"&amp;$I155&amp;"|"&amp;$J155&amp;"|"&amp;8,Assessments!$A$2:$A$600,0)),"")</f>
        <v/>
      </c>
      <c r="CC155" s="28" t="str">
        <f aca="false">IFERROR(INDEX(Assessments!$H$2:$H$600,MATCH($H155&amp;"|"&amp;$I155&amp;"|"&amp;$J155&amp;"|"&amp;9,Assessments!$A$2:$A$600,0)),"")</f>
        <v/>
      </c>
      <c r="CD155" s="28" t="str">
        <f aca="false">IFERROR(INDEX(Assessments!$H$2:$H$600,MATCH($H155&amp;"|"&amp;$I155&amp;"|"&amp;$J155&amp;"|"&amp;10,Assessments!$A$2:$A$600,0)),"")</f>
        <v/>
      </c>
      <c r="CE155" s="28" t="str">
        <f aca="false">IFERROR(INDEX(Assessments!$H$2:$H$600,MATCH($H155&amp;"|"&amp;$I155&amp;"|"&amp;$J155&amp;"|"&amp;11,Assessments!$A$2:$A$600,0)),"")</f>
        <v/>
      </c>
      <c r="CF155" s="28" t="str">
        <f aca="false">IFERROR(INDEX(Assessments!$H$2:$H$600,MATCH($H155&amp;"|"&amp;$I155&amp;"|"&amp;$J155&amp;"|"&amp;12,Assessments!$A$2:$A$600,0)),"")</f>
        <v/>
      </c>
      <c r="CG155" s="28" t="str">
        <f aca="false">IFERROR(INDEX(Assessments!$H$2:$H$600,MATCH($H155&amp;"|"&amp;$I155&amp;"|"&amp;$J155&amp;"|"&amp;13,Assessments!$A$2:$A$600,0)),"")</f>
        <v/>
      </c>
      <c r="CH155" s="28" t="str">
        <f aca="false">IFERROR(INDEX(Assessments!$H$2:$H$600,MATCH($H155&amp;"|"&amp;$I155&amp;"|"&amp;$J155&amp;"|"&amp;14,Assessments!$A$2:$A$600,0)),"")</f>
        <v/>
      </c>
      <c r="CI155" s="28" t="str">
        <f aca="false">IFERROR(INDEX(Assessments!$I$2:$I$600,MATCH($H155&amp;"|"&amp;$I155&amp;"|"&amp;$J155&amp;"|"&amp;1,Assessments!$A$2:$A$600,0)),"")</f>
        <v>BM Test</v>
      </c>
      <c r="CJ155" s="28" t="str">
        <f aca="false">IFERROR(INDEX(Assessments!$I$2:$I$600,MATCH($H155&amp;"|"&amp;$I155&amp;"|"&amp;$J155&amp;"|"&amp;2,Assessments!$A$2:$A$600,0)),"")</f>
        <v>BM Test</v>
      </c>
      <c r="CK155" s="28" t="str">
        <f aca="false">IFERROR(INDEX(Assessments!$I$2:$I$600,MATCH($H155&amp;"|"&amp;$I155&amp;"|"&amp;$J155&amp;"|"&amp;3,Assessments!$A$2:$A$600,0)),"")</f>
        <v>BM Test</v>
      </c>
      <c r="CL155" s="28" t="str">
        <f aca="false">IFERROR(INDEX(Assessments!$I$2:$I$600,MATCH($H155&amp;"|"&amp;$I155&amp;"|"&amp;$J155&amp;"|"&amp;4,Assessments!$A$2:$A$600,0)),"")</f>
        <v>BM Exam</v>
      </c>
      <c r="CM155" s="28" t="str">
        <f aca="false">IFERROR(INDEX(Assessments!$I$2:$I$600,MATCH($H155&amp;"|"&amp;$I155&amp;"|"&amp;$J155&amp;"|"&amp;5,Assessments!$A$2:$A$600,0)),"")</f>
        <v>BM Test</v>
      </c>
      <c r="CN155" s="28" t="str">
        <f aca="false">IFERROR(INDEX(Assessments!$I$2:$I$600,MATCH($H155&amp;"|"&amp;$I155&amp;"|"&amp;$J155&amp;"|"&amp;6,Assessments!$A$2:$A$600,0)),"")</f>
        <v>BM Test</v>
      </c>
      <c r="CO155" s="28" t="str">
        <f aca="false">IFERROR(INDEX(Assessments!$I$2:$I$600,MATCH($H155&amp;"|"&amp;$I155&amp;"|"&amp;$J155&amp;"|"&amp;7,Assessments!$A$2:$A$600,0)),"")</f>
        <v>Grade entered</v>
      </c>
      <c r="CP155" s="28" t="str">
        <f aca="false">IFERROR(INDEX(Assessments!$I$2:$I$600,MATCH($H155&amp;"|"&amp;$I155&amp;"|"&amp;$J155&amp;"|"&amp;8,Assessments!$A$2:$A$600,0)),"")</f>
        <v/>
      </c>
      <c r="CQ155" s="28" t="str">
        <f aca="false">IFERROR(INDEX(Assessments!$I$2:$I$600,MATCH($H155&amp;"|"&amp;$I155&amp;"|"&amp;$J155&amp;"|"&amp;9,Assessments!$A$2:$A$600,0)),"")</f>
        <v/>
      </c>
      <c r="CR155" s="28" t="str">
        <f aca="false">IFERROR(INDEX(Assessments!$I$2:$I$600,MATCH($H155&amp;"|"&amp;$I155&amp;"|"&amp;$J155&amp;"|"&amp;10,Assessments!$A$2:$A$600,0)),"")</f>
        <v/>
      </c>
      <c r="CS155" s="28" t="str">
        <f aca="false">IFERROR(INDEX(Assessments!$I$2:$I$600,MATCH($H155&amp;"|"&amp;$I155&amp;"|"&amp;$J155&amp;"|"&amp;11,Assessments!$A$2:$A$600,0)),"")</f>
        <v/>
      </c>
      <c r="CT155" s="28" t="str">
        <f aca="false">IFERROR(INDEX(Assessments!$I$2:$I$600,MATCH($H155&amp;"|"&amp;$I155&amp;"|"&amp;$J155&amp;"|"&amp;12,Assessments!$A$2:$A$600,0)),"")</f>
        <v/>
      </c>
      <c r="CU155" s="28" t="str">
        <f aca="false">IFERROR(INDEX(Assessments!$I$2:$I$600,MATCH($H155&amp;"|"&amp;$I155&amp;"|"&amp;$J155&amp;"|"&amp;13,Assessments!$A$2:$A$600,0)),"")</f>
        <v/>
      </c>
      <c r="CV155" s="28" t="str">
        <f aca="false">IFERROR(INDEX(Assessments!$I$2:$I$600,MATCH($H155&amp;"|"&amp;$I155&amp;"|"&amp;$J155&amp;"|"&amp;14,Assessments!$A$2:$A$600,0)),"")</f>
        <v/>
      </c>
      <c r="CW155" s="28" t="n">
        <f aca="false">IFERROR(INDEX(Assessments!$J$2:$J$600,MATCH($H155&amp;"|"&amp;$I155&amp;"|"&amp;$J155&amp;"|"&amp;1,Assessments!$A$2:$A$600,0)),0)</f>
        <v>1</v>
      </c>
      <c r="CX155" s="28" t="n">
        <f aca="false">IFERROR(INDEX(Assessments!$J$2:$J$600,MATCH($H155&amp;"|"&amp;$I155&amp;"|"&amp;$J155&amp;"|"&amp;2,Assessments!$A$2:$A$600,0)),0)</f>
        <v>1</v>
      </c>
      <c r="CY155" s="28" t="n">
        <f aca="false">IFERROR(INDEX(Assessments!$J$2:$J$600,MATCH($H155&amp;"|"&amp;$I155&amp;"|"&amp;$J155&amp;"|"&amp;3,Assessments!$A$2:$A$600,0)),0)</f>
        <v>1</v>
      </c>
      <c r="CZ155" s="28" t="n">
        <f aca="false">IFERROR(INDEX(Assessments!$J$2:$J$600,MATCH($H155&amp;"|"&amp;$I155&amp;"|"&amp;$J155&amp;"|"&amp;4,Assessments!$A$2:$A$600,0)),0)</f>
        <v>2</v>
      </c>
      <c r="DA155" s="28" t="n">
        <f aca="false">IFERROR(INDEX(Assessments!$J$2:$J$600,MATCH($H155&amp;"|"&amp;$I155&amp;"|"&amp;$J155&amp;"|"&amp;5,Assessments!$A$2:$A$600,0)),0)</f>
        <v>1</v>
      </c>
      <c r="DB155" s="28" t="n">
        <f aca="false">IFERROR(INDEX(Assessments!$J$2:$J$600,MATCH($H155&amp;"|"&amp;$I155&amp;"|"&amp;$J155&amp;"|"&amp;6,Assessments!$A$2:$A$600,0)),0)</f>
        <v>1</v>
      </c>
      <c r="DC155" s="28" t="n">
        <f aca="false">IFERROR(INDEX(Assessments!$J$2:$J$600,MATCH($H155&amp;"|"&amp;$I155&amp;"|"&amp;$J155&amp;"|"&amp;7,Assessments!$A$2:$A$600,0)),0)</f>
        <v>2</v>
      </c>
      <c r="DD155" s="28" t="n">
        <f aca="false">IFERROR(INDEX(Assessments!$J$2:$J$600,MATCH($H155&amp;"|"&amp;$I155&amp;"|"&amp;$J155&amp;"|"&amp;8,Assessments!$A$2:$A$600,0)),0)</f>
        <v>0</v>
      </c>
      <c r="DE155" s="28" t="n">
        <f aca="false">IFERROR(INDEX(Assessments!$J$2:$J$600,MATCH($H155&amp;"|"&amp;$I155&amp;"|"&amp;$J155&amp;"|"&amp;9,Assessments!$A$2:$A$600,0)),0)</f>
        <v>0</v>
      </c>
      <c r="DF155" s="28" t="n">
        <f aca="false">IFERROR(INDEX(Assessments!$J$2:$J$600,MATCH($H155&amp;"|"&amp;$I155&amp;"|"&amp;$J155&amp;"|"&amp;10,Assessments!$A$2:$A$600,0)),0)</f>
        <v>0</v>
      </c>
      <c r="DG155" s="28" t="n">
        <f aca="false">IFERROR(INDEX(Assessments!$J$2:$J$600,MATCH($H155&amp;"|"&amp;$I155&amp;"|"&amp;$J155&amp;"|"&amp;11,Assessments!$A$2:$A$600,0)),0)</f>
        <v>0</v>
      </c>
      <c r="DH155" s="28" t="n">
        <f aca="false">IFERROR(INDEX(Assessments!$J$2:$J$600,MATCH($H155&amp;"|"&amp;$I155&amp;"|"&amp;$J155&amp;"|"&amp;12,Assessments!$A$2:$A$600,0)),0)</f>
        <v>0</v>
      </c>
      <c r="DI155" s="28" t="n">
        <f aca="false">IFERROR(INDEX(Assessments!$J$2:$J$600,MATCH($H155&amp;"|"&amp;$I155&amp;"|"&amp;$J155&amp;"|"&amp;13,Assessments!$A$2:$A$600,0)),0)</f>
        <v>0</v>
      </c>
      <c r="DJ155" s="28" t="n">
        <f aca="false">IFERROR(INDEX(Assessments!$J$2:$J$600,MATCH($H155&amp;"|"&amp;$I155&amp;"|"&amp;$J155&amp;"|"&amp;14,Assessments!$A$2:$A$600,0)),0)</f>
        <v>0</v>
      </c>
      <c r="DK155" s="28" t="n">
        <f aca="false">S155</f>
        <v>7</v>
      </c>
      <c r="DL155" s="28" t="n">
        <f aca="false">W155</f>
        <v>7</v>
      </c>
      <c r="DM155" s="28" t="n">
        <f aca="false">AA155</f>
        <v>6</v>
      </c>
      <c r="DN155" s="28" t="str">
        <f aca="false">AE155</f>
        <v/>
      </c>
      <c r="DO155" s="28" t="str">
        <f aca="false">AI155</f>
        <v/>
      </c>
      <c r="DP155" s="28" t="str">
        <f aca="false">AM155</f>
        <v/>
      </c>
      <c r="DQ155" s="28" t="n">
        <f aca="false">AQ155</f>
        <v>5</v>
      </c>
      <c r="DR155" s="28" t="str">
        <f aca="false">AU155</f>
        <v/>
      </c>
      <c r="DS155" s="28" t="str">
        <f aca="false">AY155</f>
        <v/>
      </c>
      <c r="DT155" s="28" t="str">
        <f aca="false">BC155</f>
        <v/>
      </c>
      <c r="DU155" s="28" t="str">
        <f aca="false">BG155</f>
        <v/>
      </c>
      <c r="DV155" s="28" t="str">
        <f aca="false">BK155</f>
        <v/>
      </c>
      <c r="DW155" s="28" t="str">
        <f aca="false">BO155</f>
        <v/>
      </c>
      <c r="DX155" s="28" t="str">
        <f aca="false">BS155</f>
        <v/>
      </c>
      <c r="DY155" s="28" t="n">
        <f aca="false">IF(ISNUMBER(S155),1,"")</f>
        <v>1</v>
      </c>
      <c r="DZ155" s="28" t="n">
        <f aca="false">IF(ISNUMBER(W155),2,"")</f>
        <v>2</v>
      </c>
      <c r="EA155" s="28" t="n">
        <f aca="false">IF(ISNUMBER(AA155),3,"")</f>
        <v>3</v>
      </c>
      <c r="EB155" s="28" t="str">
        <f aca="false">IF(ISNUMBER(AE155),4,"")</f>
        <v/>
      </c>
      <c r="EC155" s="28" t="str">
        <f aca="false">IF(ISNUMBER(AI155),5,"")</f>
        <v/>
      </c>
      <c r="ED155" s="28" t="str">
        <f aca="false">IF(ISNUMBER(AM155),6,"")</f>
        <v/>
      </c>
      <c r="EE155" s="28" t="n">
        <f aca="false">IF(ISNUMBER(AQ155),7,"")</f>
        <v>7</v>
      </c>
      <c r="EF155" s="28" t="str">
        <f aca="false">IF(ISNUMBER(AU155),8,"")</f>
        <v/>
      </c>
      <c r="EG155" s="28" t="str">
        <f aca="false">IF(ISNUMBER(AY155),9,"")</f>
        <v/>
      </c>
      <c r="EH155" s="28" t="str">
        <f aca="false">IF(ISNUMBER(BC155),10,"")</f>
        <v/>
      </c>
      <c r="EI155" s="28" t="str">
        <f aca="false">IF(ISNUMBER(BG155),11,"")</f>
        <v/>
      </c>
      <c r="EJ155" s="28" t="str">
        <f aca="false">IF(ISNUMBER(BK155),12,"")</f>
        <v/>
      </c>
      <c r="EK155" s="28" t="str">
        <f aca="false">IF(ISNUMBER(BO155),13,"")</f>
        <v/>
      </c>
      <c r="EL155" s="28" t="str">
        <f aca="false">IF(ISNUMBER(BS155),14,"")</f>
        <v/>
      </c>
      <c r="EM155" s="28" t="n">
        <f aca="false">IF(ISNUMBER(R155),R155*CW155,0)</f>
        <v>79.1666666666667</v>
      </c>
      <c r="EN155" s="28" t="n">
        <f aca="false">IF(ISNUMBER(V155),V155*CX155,0)</f>
        <v>75</v>
      </c>
      <c r="EO155" s="28" t="n">
        <f aca="false">IF(ISNUMBER(Z155),Z155*CY155,0)</f>
        <v>70</v>
      </c>
      <c r="EP155" s="28" t="n">
        <f aca="false">IF(ISNUMBER(AD155),AD155*CZ155,0)</f>
        <v>0</v>
      </c>
      <c r="EQ155" s="28" t="n">
        <f aca="false">IF(ISNUMBER(AH155),AH155*DA155,0)</f>
        <v>0</v>
      </c>
      <c r="ER155" s="28" t="n">
        <f aca="false">IF(ISNUMBER(AL155),AL155*DB155,0)</f>
        <v>0</v>
      </c>
      <c r="ES155" s="28" t="n">
        <f aca="false">IF(ISNUMBER(AP155),AP155*DC155,0)</f>
        <v>142.857142857143</v>
      </c>
      <c r="ET155" s="28" t="n">
        <f aca="false">IF(ISNUMBER(AT155),AT155*DD155,0)</f>
        <v>0</v>
      </c>
      <c r="EU155" s="28" t="n">
        <f aca="false">IF(ISNUMBER(AX155),AX155*DE155,0)</f>
        <v>0</v>
      </c>
      <c r="EV155" s="28" t="n">
        <f aca="false">IF(ISNUMBER(BB155),BB155*DF155,0)</f>
        <v>0</v>
      </c>
      <c r="EW155" s="28" t="n">
        <f aca="false">IF(ISNUMBER(BF155),BF155*DG155,0)</f>
        <v>0</v>
      </c>
      <c r="EX155" s="28" t="n">
        <f aca="false">IF(ISNUMBER(BJ155),BJ155*DH155,0)</f>
        <v>0</v>
      </c>
      <c r="EY155" s="28" t="n">
        <f aca="false">IF(ISNUMBER(BN155),BN155*DI155,0)</f>
        <v>0</v>
      </c>
      <c r="EZ155" s="28" t="n">
        <f aca="false">IF(ISNUMBER(BR155),BR155*DJ155,0)</f>
        <v>0</v>
      </c>
      <c r="FA155" s="28" t="n">
        <f aca="false">IF(ISNUMBER(R155),CW155,0)</f>
        <v>1</v>
      </c>
      <c r="FB155" s="28" t="n">
        <f aca="false">IF(ISNUMBER(V155),CX155,0)</f>
        <v>1</v>
      </c>
      <c r="FC155" s="28" t="n">
        <f aca="false">IF(ISNUMBER(Z155),CY155,0)</f>
        <v>1</v>
      </c>
      <c r="FD155" s="28" t="n">
        <f aca="false">IF(ISNUMBER(AD155),CZ155,0)</f>
        <v>0</v>
      </c>
      <c r="FE155" s="28" t="n">
        <f aca="false">IF(ISNUMBER(AH155),DA155,0)</f>
        <v>0</v>
      </c>
      <c r="FF155" s="28" t="n">
        <f aca="false">IF(ISNUMBER(AL155),DB155,0)</f>
        <v>0</v>
      </c>
      <c r="FG155" s="28" t="n">
        <f aca="false">IF(ISNUMBER(AP155),DC155,0)</f>
        <v>2</v>
      </c>
      <c r="FH155" s="28" t="n">
        <f aca="false">IF(ISNUMBER(AT155),DD155,0)</f>
        <v>0</v>
      </c>
      <c r="FI155" s="28" t="n">
        <f aca="false">IF(ISNUMBER(AX155),DE155,0)</f>
        <v>0</v>
      </c>
      <c r="FJ155" s="28" t="n">
        <f aca="false">IF(ISNUMBER(BB155),DF155,0)</f>
        <v>0</v>
      </c>
      <c r="FK155" s="28" t="n">
        <f aca="false">IF(ISNUMBER(BF155),DG155,0)</f>
        <v>0</v>
      </c>
      <c r="FL155" s="28" t="n">
        <f aca="false">IF(ISNUMBER(BJ155),DH155,0)</f>
        <v>0</v>
      </c>
      <c r="FM155" s="28" t="n">
        <f aca="false">IF(ISNUMBER(BN155),DI155,0)</f>
        <v>0</v>
      </c>
      <c r="FN155" s="28" t="n">
        <f aca="false">IF(ISNUMBER(BR155),DJ155,0)</f>
        <v>0</v>
      </c>
      <c r="FO155" s="28" t="str">
        <f aca="false">IFERROR(INDEX(Lists!$G$2:$G$20,MATCH($I155&amp;"|"&amp;$J155,Lists!$F$2:$F$20,0)),"")</f>
        <v>BM Exam</v>
      </c>
    </row>
    <row r="156" customFormat="false" ht="19.5" hidden="false" customHeight="true" outlineLevel="0" collapsed="false">
      <c r="A156" s="29" t="s">
        <v>400</v>
      </c>
      <c r="B156" s="29" t="s">
        <v>401</v>
      </c>
      <c r="C156" s="30" t="s">
        <v>192</v>
      </c>
      <c r="D156" s="30" t="s">
        <v>383</v>
      </c>
      <c r="E156" s="31" t="n">
        <v>5.4</v>
      </c>
      <c r="F156" s="30" t="n">
        <v>6</v>
      </c>
      <c r="G156" s="30"/>
      <c r="H156" s="32" t="s">
        <v>23</v>
      </c>
      <c r="I156" s="33" t="s">
        <v>365</v>
      </c>
      <c r="J156" s="32" t="s">
        <v>25</v>
      </c>
      <c r="K156" s="34" t="n">
        <f aca="false">IF(OR(M156="",$E156=""),"",M156-$E156)</f>
        <v>1.6</v>
      </c>
      <c r="L156" s="35" t="n">
        <f aca="false">IF(SUM(FA156:FN156)=0,"",SUM(EM156:EZ156)/SUM(FA156:FN156))</f>
        <v>71.9047619047619</v>
      </c>
      <c r="M156" s="36" t="n">
        <f aca="false">IF(OR(L156="",FO156=""),"",IFERROR(MATCH(L156,INDEX(Boundaries!$B$2:$I$30,MATCH(FO156,Boundaries!$A$2:$A$30,0),0),1)-1,""))</f>
        <v>7</v>
      </c>
      <c r="N156" s="37" t="n">
        <f aca="false">IF(COUNT($DY156:$EL156)&lt;2,"",INDEX($DK156:$DX156,MAX($DY156:$EL156))-INDEX($DK156:$DX156,MIN($DY156:$EL156)))</f>
        <v>-1</v>
      </c>
      <c r="O156" s="37" t="n">
        <f aca="false">IF(COUNT($DY156:$EL156)&lt;2,"",INDEX($DK156:$DX156,MAX($DY156:$EL156))-INDEX($DK156:$DX156,LARGE($DY156:$EL156,2)))</f>
        <v>-1</v>
      </c>
      <c r="P156" s="38" t="str">
        <f aca="false">IF(K156="","",IF(K156&gt;=0,"On/above target",IF(AND(N156&lt;&gt;"",N156&gt;=0.5),"Improving towards target",IF(AND(O156&lt;&gt;"",O156&lt;=-0.5),"Declining","Stable below target"))))</f>
        <v>On/above target</v>
      </c>
      <c r="Q156" s="39" t="n">
        <v>16</v>
      </c>
      <c r="R156" s="40" t="n">
        <f aca="false">IF(OR(Q156="",BU156=""),"",Q156/BU156*100)</f>
        <v>66.6666666666667</v>
      </c>
      <c r="S156" s="41" t="n">
        <f aca="false">IF(R156="","",IFERROR(MATCH(R156,INDEX(Boundaries!$B$2:$I$30,MATCH(CI156,Boundaries!$A$2:$A$30,0),0),1)-1,""))</f>
        <v>6</v>
      </c>
      <c r="T156" s="42" t="n">
        <f aca="false">IF(OR(S156="",$E156=""),"",S156-$E156)</f>
        <v>0.6</v>
      </c>
      <c r="U156" s="39" t="n">
        <v>16</v>
      </c>
      <c r="V156" s="40" t="n">
        <f aca="false">IF(OR(U156="",BV156=""),"",U156/BV156*100)</f>
        <v>80</v>
      </c>
      <c r="W156" s="41" t="n">
        <f aca="false">IF(V156="","",IFERROR(MATCH(V156,INDEX(Boundaries!$B$2:$I$30,MATCH(CJ156,Boundaries!$A$2:$A$30,0),0),1)-1,""))</f>
        <v>7</v>
      </c>
      <c r="X156" s="42" t="n">
        <f aca="false">IF(OR(W156="",$E156=""),"",W156-$E156)</f>
        <v>1.6</v>
      </c>
      <c r="Y156" s="39" t="n">
        <v>14</v>
      </c>
      <c r="Z156" s="40" t="n">
        <f aca="false">IF(OR(Y156="",BW156=""),"",Y156/BW156*100)</f>
        <v>70</v>
      </c>
      <c r="AA156" s="41" t="n">
        <f aca="false">IF(Z156="","",IFERROR(MATCH(Z156,INDEX(Boundaries!$B$2:$I$30,MATCH(CK156,Boundaries!$A$2:$A$30,0),0),1)-1,""))</f>
        <v>6</v>
      </c>
      <c r="AB156" s="42" t="n">
        <f aca="false">IF(OR(AA156="",$E156=""),"",AA156-$E156)</f>
        <v>0.6</v>
      </c>
      <c r="AC156" s="39"/>
      <c r="AD156" s="40" t="str">
        <f aca="false">IF(OR(AC156="",BX156=""),"",AC156/BX156*100)</f>
        <v/>
      </c>
      <c r="AE156" s="41" t="str">
        <f aca="false">IF(AD156="","",IFERROR(MATCH(AD156,INDEX(Boundaries!$B$2:$I$30,MATCH(CL156,Boundaries!$A$2:$A$30,0),0),1)-1,""))</f>
        <v/>
      </c>
      <c r="AF156" s="42" t="str">
        <f aca="false">IF(OR(AE156="",$E156=""),"",AE156-$E156)</f>
        <v/>
      </c>
      <c r="AG156" s="39"/>
      <c r="AH156" s="40" t="str">
        <f aca="false">IF(OR(AG156="",BY156=""),"",AG156/BY156*100)</f>
        <v/>
      </c>
      <c r="AI156" s="41" t="str">
        <f aca="false">IF(AH156="","",IFERROR(MATCH(AH156,INDEX(Boundaries!$B$2:$I$30,MATCH(CM156,Boundaries!$A$2:$A$30,0),0),1)-1,""))</f>
        <v/>
      </c>
      <c r="AJ156" s="42" t="str">
        <f aca="false">IF(OR(AI156="",$E156=""),"",AI156-$E156)</f>
        <v/>
      </c>
      <c r="AK156" s="39"/>
      <c r="AL156" s="40" t="str">
        <f aca="false">IF(OR(AK156="",BZ156=""),"",AK156/BZ156*100)</f>
        <v/>
      </c>
      <c r="AM156" s="41" t="str">
        <f aca="false">IF(AL156="","",IFERROR(MATCH(AL156,INDEX(Boundaries!$B$2:$I$30,MATCH(CN156,Boundaries!$A$2:$A$30,0),0),1)-1,""))</f>
        <v/>
      </c>
      <c r="AN156" s="42" t="str">
        <f aca="false">IF(OR(AM156="",$E156=""),"",AM156-$E156)</f>
        <v/>
      </c>
      <c r="AO156" s="39" t="n">
        <v>5</v>
      </c>
      <c r="AP156" s="40" t="n">
        <f aca="false">IF(OR(AO156="",CA156=""),"",AO156/CA156*100)</f>
        <v>71.4285714285714</v>
      </c>
      <c r="AQ156" s="41" t="n">
        <f aca="false">IF(AP156="","",IFERROR(MATCH(AP156,INDEX(Boundaries!$B$2:$I$30,MATCH(CO156,Boundaries!$A$2:$A$30,0),0),1)-1,""))</f>
        <v>5</v>
      </c>
      <c r="AR156" s="42" t="n">
        <f aca="false">IF(OR(AQ156="",$E156=""),"",AQ156-$E156)</f>
        <v>-0.4</v>
      </c>
      <c r="AS156" s="39"/>
      <c r="AT156" s="40" t="str">
        <f aca="false">IF(OR(AS156="",CB156=""),"",AS156/CB156*100)</f>
        <v/>
      </c>
      <c r="AU156" s="41" t="str">
        <f aca="false">IF(AT156="","",IFERROR(MATCH(AT156,INDEX(Boundaries!$B$2:$I$30,MATCH(CP156,Boundaries!$A$2:$A$30,0),0),1)-1,""))</f>
        <v/>
      </c>
      <c r="AV156" s="42" t="str">
        <f aca="false">IF(OR(AU156="",$E156=""),"",AU156-$E156)</f>
        <v/>
      </c>
      <c r="AW156" s="39"/>
      <c r="AX156" s="40" t="str">
        <f aca="false">IF(OR(AW156="",CC156=""),"",AW156/CC156*100)</f>
        <v/>
      </c>
      <c r="AY156" s="41" t="str">
        <f aca="false">IF(AX156="","",IFERROR(MATCH(AX156,INDEX(Boundaries!$B$2:$I$30,MATCH(CQ156,Boundaries!$A$2:$A$30,0),0),1)-1,""))</f>
        <v/>
      </c>
      <c r="AZ156" s="42" t="str">
        <f aca="false">IF(OR(AY156="",$E156=""),"",AY156-$E156)</f>
        <v/>
      </c>
      <c r="BA156" s="39"/>
      <c r="BB156" s="40" t="str">
        <f aca="false">IF(OR(BA156="",CD156=""),"",BA156/CD156*100)</f>
        <v/>
      </c>
      <c r="BC156" s="41" t="str">
        <f aca="false">IF(BB156="","",IFERROR(MATCH(BB156,INDEX(Boundaries!$B$2:$I$30,MATCH(CR156,Boundaries!$A$2:$A$30,0),0),1)-1,""))</f>
        <v/>
      </c>
      <c r="BD156" s="42" t="str">
        <f aca="false">IF(OR(BC156="",$E156=""),"",BC156-$E156)</f>
        <v/>
      </c>
      <c r="BE156" s="39"/>
      <c r="BF156" s="40" t="str">
        <f aca="false">IF(OR(BE156="",CE156=""),"",BE156/CE156*100)</f>
        <v/>
      </c>
      <c r="BG156" s="41" t="str">
        <f aca="false">IF(BF156="","",IFERROR(MATCH(BF156,INDEX(Boundaries!$B$2:$I$30,MATCH(CS156,Boundaries!$A$2:$A$30,0),0),1)-1,""))</f>
        <v/>
      </c>
      <c r="BH156" s="42" t="str">
        <f aca="false">IF(OR(BG156="",$E156=""),"",BG156-$E156)</f>
        <v/>
      </c>
      <c r="BI156" s="39"/>
      <c r="BJ156" s="40" t="str">
        <f aca="false">IF(OR(BI156="",CF156=""),"",BI156/CF156*100)</f>
        <v/>
      </c>
      <c r="BK156" s="41" t="str">
        <f aca="false">IF(BJ156="","",IFERROR(MATCH(BJ156,INDEX(Boundaries!$B$2:$I$30,MATCH(CT156,Boundaries!$A$2:$A$30,0),0),1)-1,""))</f>
        <v/>
      </c>
      <c r="BL156" s="42" t="str">
        <f aca="false">IF(OR(BK156="",$E156=""),"",BK156-$E156)</f>
        <v/>
      </c>
      <c r="BM156" s="39"/>
      <c r="BN156" s="40" t="str">
        <f aca="false">IF(OR(BM156="",CG156=""),"",BM156/CG156*100)</f>
        <v/>
      </c>
      <c r="BO156" s="41" t="str">
        <f aca="false">IF(BN156="","",IFERROR(MATCH(BN156,INDEX(Boundaries!$B$2:$I$30,MATCH(CU156,Boundaries!$A$2:$A$30,0),0),1)-1,""))</f>
        <v/>
      </c>
      <c r="BP156" s="42" t="str">
        <f aca="false">IF(OR(BO156="",$E156=""),"",BO156-$E156)</f>
        <v/>
      </c>
      <c r="BQ156" s="39"/>
      <c r="BR156" s="40" t="str">
        <f aca="false">IF(OR(BQ156="",CH156=""),"",BQ156/CH156*100)</f>
        <v/>
      </c>
      <c r="BS156" s="41" t="str">
        <f aca="false">IF(BR156="","",IFERROR(MATCH(BR156,INDEX(Boundaries!$B$2:$I$30,MATCH(CV156,Boundaries!$A$2:$A$30,0),0),1)-1,""))</f>
        <v/>
      </c>
      <c r="BT156" s="42" t="str">
        <f aca="false">IF(OR(BS156="",$E156=""),"",BS156-$E156)</f>
        <v/>
      </c>
      <c r="BU156" s="28" t="n">
        <f aca="false">IFERROR(INDEX(Assessments!$H$2:$H$600,MATCH($H156&amp;"|"&amp;$I156&amp;"|"&amp;$J156&amp;"|"&amp;1,Assessments!$A$2:$A$600,0)),"")</f>
        <v>24</v>
      </c>
      <c r="BV156" s="28" t="n">
        <f aca="false">IFERROR(INDEX(Assessments!$H$2:$H$600,MATCH($H156&amp;"|"&amp;$I156&amp;"|"&amp;$J156&amp;"|"&amp;2,Assessments!$A$2:$A$600,0)),"")</f>
        <v>20</v>
      </c>
      <c r="BW156" s="28" t="n">
        <f aca="false">IFERROR(INDEX(Assessments!$H$2:$H$600,MATCH($H156&amp;"|"&amp;$I156&amp;"|"&amp;$J156&amp;"|"&amp;3,Assessments!$A$2:$A$600,0)),"")</f>
        <v>20</v>
      </c>
      <c r="BX156" s="28" t="n">
        <f aca="false">IFERROR(INDEX(Assessments!$H$2:$H$600,MATCH($H156&amp;"|"&amp;$I156&amp;"|"&amp;$J156&amp;"|"&amp;4,Assessments!$A$2:$A$600,0)),"")</f>
        <v>40</v>
      </c>
      <c r="BY156" s="28" t="n">
        <f aca="false">IFERROR(INDEX(Assessments!$H$2:$H$600,MATCH($H156&amp;"|"&amp;$I156&amp;"|"&amp;$J156&amp;"|"&amp;5,Assessments!$A$2:$A$600,0)),"")</f>
        <v>30</v>
      </c>
      <c r="BZ156" s="28" t="n">
        <f aca="false">IFERROR(INDEX(Assessments!$H$2:$H$600,MATCH($H156&amp;"|"&amp;$I156&amp;"|"&amp;$J156&amp;"|"&amp;6,Assessments!$A$2:$A$600,0)),"")</f>
        <v>20</v>
      </c>
      <c r="CA156" s="28" t="n">
        <f aca="false">IFERROR(INDEX(Assessments!$H$2:$H$600,MATCH($H156&amp;"|"&amp;$I156&amp;"|"&amp;$J156&amp;"|"&amp;7,Assessments!$A$2:$A$600,0)),"")</f>
        <v>7</v>
      </c>
      <c r="CB156" s="28" t="str">
        <f aca="false">IFERROR(INDEX(Assessments!$H$2:$H$600,MATCH($H156&amp;"|"&amp;$I156&amp;"|"&amp;$J156&amp;"|"&amp;8,Assessments!$A$2:$A$600,0)),"")</f>
        <v/>
      </c>
      <c r="CC156" s="28" t="str">
        <f aca="false">IFERROR(INDEX(Assessments!$H$2:$H$600,MATCH($H156&amp;"|"&amp;$I156&amp;"|"&amp;$J156&amp;"|"&amp;9,Assessments!$A$2:$A$600,0)),"")</f>
        <v/>
      </c>
      <c r="CD156" s="28" t="str">
        <f aca="false">IFERROR(INDEX(Assessments!$H$2:$H$600,MATCH($H156&amp;"|"&amp;$I156&amp;"|"&amp;$J156&amp;"|"&amp;10,Assessments!$A$2:$A$600,0)),"")</f>
        <v/>
      </c>
      <c r="CE156" s="28" t="str">
        <f aca="false">IFERROR(INDEX(Assessments!$H$2:$H$600,MATCH($H156&amp;"|"&amp;$I156&amp;"|"&amp;$J156&amp;"|"&amp;11,Assessments!$A$2:$A$600,0)),"")</f>
        <v/>
      </c>
      <c r="CF156" s="28" t="str">
        <f aca="false">IFERROR(INDEX(Assessments!$H$2:$H$600,MATCH($H156&amp;"|"&amp;$I156&amp;"|"&amp;$J156&amp;"|"&amp;12,Assessments!$A$2:$A$600,0)),"")</f>
        <v/>
      </c>
      <c r="CG156" s="28" t="str">
        <f aca="false">IFERROR(INDEX(Assessments!$H$2:$H$600,MATCH($H156&amp;"|"&amp;$I156&amp;"|"&amp;$J156&amp;"|"&amp;13,Assessments!$A$2:$A$600,0)),"")</f>
        <v/>
      </c>
      <c r="CH156" s="28" t="str">
        <f aca="false">IFERROR(INDEX(Assessments!$H$2:$H$600,MATCH($H156&amp;"|"&amp;$I156&amp;"|"&amp;$J156&amp;"|"&amp;14,Assessments!$A$2:$A$600,0)),"")</f>
        <v/>
      </c>
      <c r="CI156" s="28" t="str">
        <f aca="false">IFERROR(INDEX(Assessments!$I$2:$I$600,MATCH($H156&amp;"|"&amp;$I156&amp;"|"&amp;$J156&amp;"|"&amp;1,Assessments!$A$2:$A$600,0)),"")</f>
        <v>BM Test</v>
      </c>
      <c r="CJ156" s="28" t="str">
        <f aca="false">IFERROR(INDEX(Assessments!$I$2:$I$600,MATCH($H156&amp;"|"&amp;$I156&amp;"|"&amp;$J156&amp;"|"&amp;2,Assessments!$A$2:$A$600,0)),"")</f>
        <v>BM Test</v>
      </c>
      <c r="CK156" s="28" t="str">
        <f aca="false">IFERROR(INDEX(Assessments!$I$2:$I$600,MATCH($H156&amp;"|"&amp;$I156&amp;"|"&amp;$J156&amp;"|"&amp;3,Assessments!$A$2:$A$600,0)),"")</f>
        <v>BM Test</v>
      </c>
      <c r="CL156" s="28" t="str">
        <f aca="false">IFERROR(INDEX(Assessments!$I$2:$I$600,MATCH($H156&amp;"|"&amp;$I156&amp;"|"&amp;$J156&amp;"|"&amp;4,Assessments!$A$2:$A$600,0)),"")</f>
        <v>BM Exam</v>
      </c>
      <c r="CM156" s="28" t="str">
        <f aca="false">IFERROR(INDEX(Assessments!$I$2:$I$600,MATCH($H156&amp;"|"&amp;$I156&amp;"|"&amp;$J156&amp;"|"&amp;5,Assessments!$A$2:$A$600,0)),"")</f>
        <v>BM Test</v>
      </c>
      <c r="CN156" s="28" t="str">
        <f aca="false">IFERROR(INDEX(Assessments!$I$2:$I$600,MATCH($H156&amp;"|"&amp;$I156&amp;"|"&amp;$J156&amp;"|"&amp;6,Assessments!$A$2:$A$600,0)),"")</f>
        <v>BM Test</v>
      </c>
      <c r="CO156" s="28" t="str">
        <f aca="false">IFERROR(INDEX(Assessments!$I$2:$I$600,MATCH($H156&amp;"|"&amp;$I156&amp;"|"&amp;$J156&amp;"|"&amp;7,Assessments!$A$2:$A$600,0)),"")</f>
        <v>Grade entered</v>
      </c>
      <c r="CP156" s="28" t="str">
        <f aca="false">IFERROR(INDEX(Assessments!$I$2:$I$600,MATCH($H156&amp;"|"&amp;$I156&amp;"|"&amp;$J156&amp;"|"&amp;8,Assessments!$A$2:$A$600,0)),"")</f>
        <v/>
      </c>
      <c r="CQ156" s="28" t="str">
        <f aca="false">IFERROR(INDEX(Assessments!$I$2:$I$600,MATCH($H156&amp;"|"&amp;$I156&amp;"|"&amp;$J156&amp;"|"&amp;9,Assessments!$A$2:$A$600,0)),"")</f>
        <v/>
      </c>
      <c r="CR156" s="28" t="str">
        <f aca="false">IFERROR(INDEX(Assessments!$I$2:$I$600,MATCH($H156&amp;"|"&amp;$I156&amp;"|"&amp;$J156&amp;"|"&amp;10,Assessments!$A$2:$A$600,0)),"")</f>
        <v/>
      </c>
      <c r="CS156" s="28" t="str">
        <f aca="false">IFERROR(INDEX(Assessments!$I$2:$I$600,MATCH($H156&amp;"|"&amp;$I156&amp;"|"&amp;$J156&amp;"|"&amp;11,Assessments!$A$2:$A$600,0)),"")</f>
        <v/>
      </c>
      <c r="CT156" s="28" t="str">
        <f aca="false">IFERROR(INDEX(Assessments!$I$2:$I$600,MATCH($H156&amp;"|"&amp;$I156&amp;"|"&amp;$J156&amp;"|"&amp;12,Assessments!$A$2:$A$600,0)),"")</f>
        <v/>
      </c>
      <c r="CU156" s="28" t="str">
        <f aca="false">IFERROR(INDEX(Assessments!$I$2:$I$600,MATCH($H156&amp;"|"&amp;$I156&amp;"|"&amp;$J156&amp;"|"&amp;13,Assessments!$A$2:$A$600,0)),"")</f>
        <v/>
      </c>
      <c r="CV156" s="28" t="str">
        <f aca="false">IFERROR(INDEX(Assessments!$I$2:$I$600,MATCH($H156&amp;"|"&amp;$I156&amp;"|"&amp;$J156&amp;"|"&amp;14,Assessments!$A$2:$A$600,0)),"")</f>
        <v/>
      </c>
      <c r="CW156" s="28" t="n">
        <f aca="false">IFERROR(INDEX(Assessments!$J$2:$J$600,MATCH($H156&amp;"|"&amp;$I156&amp;"|"&amp;$J156&amp;"|"&amp;1,Assessments!$A$2:$A$600,0)),0)</f>
        <v>1</v>
      </c>
      <c r="CX156" s="28" t="n">
        <f aca="false">IFERROR(INDEX(Assessments!$J$2:$J$600,MATCH($H156&amp;"|"&amp;$I156&amp;"|"&amp;$J156&amp;"|"&amp;2,Assessments!$A$2:$A$600,0)),0)</f>
        <v>1</v>
      </c>
      <c r="CY156" s="28" t="n">
        <f aca="false">IFERROR(INDEX(Assessments!$J$2:$J$600,MATCH($H156&amp;"|"&amp;$I156&amp;"|"&amp;$J156&amp;"|"&amp;3,Assessments!$A$2:$A$600,0)),0)</f>
        <v>1</v>
      </c>
      <c r="CZ156" s="28" t="n">
        <f aca="false">IFERROR(INDEX(Assessments!$J$2:$J$600,MATCH($H156&amp;"|"&amp;$I156&amp;"|"&amp;$J156&amp;"|"&amp;4,Assessments!$A$2:$A$600,0)),0)</f>
        <v>2</v>
      </c>
      <c r="DA156" s="28" t="n">
        <f aca="false">IFERROR(INDEX(Assessments!$J$2:$J$600,MATCH($H156&amp;"|"&amp;$I156&amp;"|"&amp;$J156&amp;"|"&amp;5,Assessments!$A$2:$A$600,0)),0)</f>
        <v>1</v>
      </c>
      <c r="DB156" s="28" t="n">
        <f aca="false">IFERROR(INDEX(Assessments!$J$2:$J$600,MATCH($H156&amp;"|"&amp;$I156&amp;"|"&amp;$J156&amp;"|"&amp;6,Assessments!$A$2:$A$600,0)),0)</f>
        <v>1</v>
      </c>
      <c r="DC156" s="28" t="n">
        <f aca="false">IFERROR(INDEX(Assessments!$J$2:$J$600,MATCH($H156&amp;"|"&amp;$I156&amp;"|"&amp;$J156&amp;"|"&amp;7,Assessments!$A$2:$A$600,0)),0)</f>
        <v>2</v>
      </c>
      <c r="DD156" s="28" t="n">
        <f aca="false">IFERROR(INDEX(Assessments!$J$2:$J$600,MATCH($H156&amp;"|"&amp;$I156&amp;"|"&amp;$J156&amp;"|"&amp;8,Assessments!$A$2:$A$600,0)),0)</f>
        <v>0</v>
      </c>
      <c r="DE156" s="28" t="n">
        <f aca="false">IFERROR(INDEX(Assessments!$J$2:$J$600,MATCH($H156&amp;"|"&amp;$I156&amp;"|"&amp;$J156&amp;"|"&amp;9,Assessments!$A$2:$A$600,0)),0)</f>
        <v>0</v>
      </c>
      <c r="DF156" s="28" t="n">
        <f aca="false">IFERROR(INDEX(Assessments!$J$2:$J$600,MATCH($H156&amp;"|"&amp;$I156&amp;"|"&amp;$J156&amp;"|"&amp;10,Assessments!$A$2:$A$600,0)),0)</f>
        <v>0</v>
      </c>
      <c r="DG156" s="28" t="n">
        <f aca="false">IFERROR(INDEX(Assessments!$J$2:$J$600,MATCH($H156&amp;"|"&amp;$I156&amp;"|"&amp;$J156&amp;"|"&amp;11,Assessments!$A$2:$A$600,0)),0)</f>
        <v>0</v>
      </c>
      <c r="DH156" s="28" t="n">
        <f aca="false">IFERROR(INDEX(Assessments!$J$2:$J$600,MATCH($H156&amp;"|"&amp;$I156&amp;"|"&amp;$J156&amp;"|"&amp;12,Assessments!$A$2:$A$600,0)),0)</f>
        <v>0</v>
      </c>
      <c r="DI156" s="28" t="n">
        <f aca="false">IFERROR(INDEX(Assessments!$J$2:$J$600,MATCH($H156&amp;"|"&amp;$I156&amp;"|"&amp;$J156&amp;"|"&amp;13,Assessments!$A$2:$A$600,0)),0)</f>
        <v>0</v>
      </c>
      <c r="DJ156" s="28" t="n">
        <f aca="false">IFERROR(INDEX(Assessments!$J$2:$J$600,MATCH($H156&amp;"|"&amp;$I156&amp;"|"&amp;$J156&amp;"|"&amp;14,Assessments!$A$2:$A$600,0)),0)</f>
        <v>0</v>
      </c>
      <c r="DK156" s="28" t="n">
        <f aca="false">S156</f>
        <v>6</v>
      </c>
      <c r="DL156" s="28" t="n">
        <f aca="false">W156</f>
        <v>7</v>
      </c>
      <c r="DM156" s="28" t="n">
        <f aca="false">AA156</f>
        <v>6</v>
      </c>
      <c r="DN156" s="28" t="str">
        <f aca="false">AE156</f>
        <v/>
      </c>
      <c r="DO156" s="28" t="str">
        <f aca="false">AI156</f>
        <v/>
      </c>
      <c r="DP156" s="28" t="str">
        <f aca="false">AM156</f>
        <v/>
      </c>
      <c r="DQ156" s="28" t="n">
        <f aca="false">AQ156</f>
        <v>5</v>
      </c>
      <c r="DR156" s="28" t="str">
        <f aca="false">AU156</f>
        <v/>
      </c>
      <c r="DS156" s="28" t="str">
        <f aca="false">AY156</f>
        <v/>
      </c>
      <c r="DT156" s="28" t="str">
        <f aca="false">BC156</f>
        <v/>
      </c>
      <c r="DU156" s="28" t="str">
        <f aca="false">BG156</f>
        <v/>
      </c>
      <c r="DV156" s="28" t="str">
        <f aca="false">BK156</f>
        <v/>
      </c>
      <c r="DW156" s="28" t="str">
        <f aca="false">BO156</f>
        <v/>
      </c>
      <c r="DX156" s="28" t="str">
        <f aca="false">BS156</f>
        <v/>
      </c>
      <c r="DY156" s="28" t="n">
        <f aca="false">IF(ISNUMBER(S156),1,"")</f>
        <v>1</v>
      </c>
      <c r="DZ156" s="28" t="n">
        <f aca="false">IF(ISNUMBER(W156),2,"")</f>
        <v>2</v>
      </c>
      <c r="EA156" s="28" t="n">
        <f aca="false">IF(ISNUMBER(AA156),3,"")</f>
        <v>3</v>
      </c>
      <c r="EB156" s="28" t="str">
        <f aca="false">IF(ISNUMBER(AE156),4,"")</f>
        <v/>
      </c>
      <c r="EC156" s="28" t="str">
        <f aca="false">IF(ISNUMBER(AI156),5,"")</f>
        <v/>
      </c>
      <c r="ED156" s="28" t="str">
        <f aca="false">IF(ISNUMBER(AM156),6,"")</f>
        <v/>
      </c>
      <c r="EE156" s="28" t="n">
        <f aca="false">IF(ISNUMBER(AQ156),7,"")</f>
        <v>7</v>
      </c>
      <c r="EF156" s="28" t="str">
        <f aca="false">IF(ISNUMBER(AU156),8,"")</f>
        <v/>
      </c>
      <c r="EG156" s="28" t="str">
        <f aca="false">IF(ISNUMBER(AY156),9,"")</f>
        <v/>
      </c>
      <c r="EH156" s="28" t="str">
        <f aca="false">IF(ISNUMBER(BC156),10,"")</f>
        <v/>
      </c>
      <c r="EI156" s="28" t="str">
        <f aca="false">IF(ISNUMBER(BG156),11,"")</f>
        <v/>
      </c>
      <c r="EJ156" s="28" t="str">
        <f aca="false">IF(ISNUMBER(BK156),12,"")</f>
        <v/>
      </c>
      <c r="EK156" s="28" t="str">
        <f aca="false">IF(ISNUMBER(BO156),13,"")</f>
        <v/>
      </c>
      <c r="EL156" s="28" t="str">
        <f aca="false">IF(ISNUMBER(BS156),14,"")</f>
        <v/>
      </c>
      <c r="EM156" s="28" t="n">
        <f aca="false">IF(ISNUMBER(R156),R156*CW156,0)</f>
        <v>66.6666666666667</v>
      </c>
      <c r="EN156" s="28" t="n">
        <f aca="false">IF(ISNUMBER(V156),V156*CX156,0)</f>
        <v>80</v>
      </c>
      <c r="EO156" s="28" t="n">
        <f aca="false">IF(ISNUMBER(Z156),Z156*CY156,0)</f>
        <v>70</v>
      </c>
      <c r="EP156" s="28" t="n">
        <f aca="false">IF(ISNUMBER(AD156),AD156*CZ156,0)</f>
        <v>0</v>
      </c>
      <c r="EQ156" s="28" t="n">
        <f aca="false">IF(ISNUMBER(AH156),AH156*DA156,0)</f>
        <v>0</v>
      </c>
      <c r="ER156" s="28" t="n">
        <f aca="false">IF(ISNUMBER(AL156),AL156*DB156,0)</f>
        <v>0</v>
      </c>
      <c r="ES156" s="28" t="n">
        <f aca="false">IF(ISNUMBER(AP156),AP156*DC156,0)</f>
        <v>142.857142857143</v>
      </c>
      <c r="ET156" s="28" t="n">
        <f aca="false">IF(ISNUMBER(AT156),AT156*DD156,0)</f>
        <v>0</v>
      </c>
      <c r="EU156" s="28" t="n">
        <f aca="false">IF(ISNUMBER(AX156),AX156*DE156,0)</f>
        <v>0</v>
      </c>
      <c r="EV156" s="28" t="n">
        <f aca="false">IF(ISNUMBER(BB156),BB156*DF156,0)</f>
        <v>0</v>
      </c>
      <c r="EW156" s="28" t="n">
        <f aca="false">IF(ISNUMBER(BF156),BF156*DG156,0)</f>
        <v>0</v>
      </c>
      <c r="EX156" s="28" t="n">
        <f aca="false">IF(ISNUMBER(BJ156),BJ156*DH156,0)</f>
        <v>0</v>
      </c>
      <c r="EY156" s="28" t="n">
        <f aca="false">IF(ISNUMBER(BN156),BN156*DI156,0)</f>
        <v>0</v>
      </c>
      <c r="EZ156" s="28" t="n">
        <f aca="false">IF(ISNUMBER(BR156),BR156*DJ156,0)</f>
        <v>0</v>
      </c>
      <c r="FA156" s="28" t="n">
        <f aca="false">IF(ISNUMBER(R156),CW156,0)</f>
        <v>1</v>
      </c>
      <c r="FB156" s="28" t="n">
        <f aca="false">IF(ISNUMBER(V156),CX156,0)</f>
        <v>1</v>
      </c>
      <c r="FC156" s="28" t="n">
        <f aca="false">IF(ISNUMBER(Z156),CY156,0)</f>
        <v>1</v>
      </c>
      <c r="FD156" s="28" t="n">
        <f aca="false">IF(ISNUMBER(AD156),CZ156,0)</f>
        <v>0</v>
      </c>
      <c r="FE156" s="28" t="n">
        <f aca="false">IF(ISNUMBER(AH156),DA156,0)</f>
        <v>0</v>
      </c>
      <c r="FF156" s="28" t="n">
        <f aca="false">IF(ISNUMBER(AL156),DB156,0)</f>
        <v>0</v>
      </c>
      <c r="FG156" s="28" t="n">
        <f aca="false">IF(ISNUMBER(AP156),DC156,0)</f>
        <v>2</v>
      </c>
      <c r="FH156" s="28" t="n">
        <f aca="false">IF(ISNUMBER(AT156),DD156,0)</f>
        <v>0</v>
      </c>
      <c r="FI156" s="28" t="n">
        <f aca="false">IF(ISNUMBER(AX156),DE156,0)</f>
        <v>0</v>
      </c>
      <c r="FJ156" s="28" t="n">
        <f aca="false">IF(ISNUMBER(BB156),DF156,0)</f>
        <v>0</v>
      </c>
      <c r="FK156" s="28" t="n">
        <f aca="false">IF(ISNUMBER(BF156),DG156,0)</f>
        <v>0</v>
      </c>
      <c r="FL156" s="28" t="n">
        <f aca="false">IF(ISNUMBER(BJ156),DH156,0)</f>
        <v>0</v>
      </c>
      <c r="FM156" s="28" t="n">
        <f aca="false">IF(ISNUMBER(BN156),DI156,0)</f>
        <v>0</v>
      </c>
      <c r="FN156" s="28" t="n">
        <f aca="false">IF(ISNUMBER(BR156),DJ156,0)</f>
        <v>0</v>
      </c>
      <c r="FO156" s="28" t="str">
        <f aca="false">IFERROR(INDEX(Lists!$G$2:$G$20,MATCH($I156&amp;"|"&amp;$J156,Lists!$F$2:$F$20,0)),"")</f>
        <v>BM Exam</v>
      </c>
    </row>
    <row r="157" customFormat="false" ht="19.5" hidden="false" customHeight="true" outlineLevel="0" collapsed="false">
      <c r="A157" s="29" t="s">
        <v>251</v>
      </c>
      <c r="B157" s="29" t="s">
        <v>252</v>
      </c>
      <c r="C157" s="30" t="s">
        <v>192</v>
      </c>
      <c r="D157" s="30" t="s">
        <v>383</v>
      </c>
      <c r="E157" s="31" t="n">
        <v>5.5</v>
      </c>
      <c r="F157" s="30" t="n">
        <v>6</v>
      </c>
      <c r="G157" s="30"/>
      <c r="H157" s="32" t="s">
        <v>23</v>
      </c>
      <c r="I157" s="33" t="s">
        <v>365</v>
      </c>
      <c r="J157" s="32" t="s">
        <v>25</v>
      </c>
      <c r="K157" s="34" t="n">
        <f aca="false">IF(OR(M157="",$E157=""),"",M157-$E157)</f>
        <v>0.5</v>
      </c>
      <c r="L157" s="35" t="n">
        <f aca="false">IF(SUM(FA157:FN157)=0,"",SUM(EM157:EZ157)/SUM(FA157:FN157))</f>
        <v>65.8095238095238</v>
      </c>
      <c r="M157" s="36" t="n">
        <f aca="false">IF(OR(L157="",FO157=""),"",IFERROR(MATCH(L157,INDEX(Boundaries!$B$2:$I$30,MATCH(FO157,Boundaries!$A$2:$A$30,0),0),1)-1,""))</f>
        <v>6</v>
      </c>
      <c r="N157" s="37" t="n">
        <f aca="false">IF(COUNT($DY157:$EL157)&lt;2,"",INDEX($DK157:$DX157,MAX($DY157:$EL157))-INDEX($DK157:$DX157,MIN($DY157:$EL157)))</f>
        <v>-4</v>
      </c>
      <c r="O157" s="37" t="n">
        <f aca="false">IF(COUNT($DY157:$EL157)&lt;2,"",INDEX($DK157:$DX157,MAX($DY157:$EL157))-INDEX($DK157:$DX157,LARGE($DY157:$EL157,2)))</f>
        <v>-4</v>
      </c>
      <c r="P157" s="38" t="str">
        <f aca="false">IF(K157="","",IF(K157&gt;=0,"On/above target",IF(AND(N157&lt;&gt;"",N157&gt;=0.5),"Improving towards target",IF(AND(O157&lt;&gt;"",O157&lt;=-0.5),"Declining","Stable below target"))))</f>
        <v>On/above target</v>
      </c>
      <c r="Q157" s="39" t="n">
        <v>20</v>
      </c>
      <c r="R157" s="40" t="n">
        <f aca="false">IF(OR(Q157="",BU157=""),"",Q157/BU157*100)</f>
        <v>83.3333333333333</v>
      </c>
      <c r="S157" s="41" t="n">
        <f aca="false">IF(R157="","",IFERROR(MATCH(R157,INDEX(Boundaries!$B$2:$I$30,MATCH(CI157,Boundaries!$A$2:$A$30,0),0),1)-1,""))</f>
        <v>7</v>
      </c>
      <c r="T157" s="42" t="n">
        <f aca="false">IF(OR(S157="",$E157=""),"",S157-$E157)</f>
        <v>1.5</v>
      </c>
      <c r="U157" s="39" t="n">
        <v>16</v>
      </c>
      <c r="V157" s="40" t="n">
        <f aca="false">IF(OR(U157="",BV157=""),"",U157/BV157*100)</f>
        <v>80</v>
      </c>
      <c r="W157" s="41" t="n">
        <f aca="false">IF(V157="","",IFERROR(MATCH(V157,INDEX(Boundaries!$B$2:$I$30,MATCH(CJ157,Boundaries!$A$2:$A$30,0),0),1)-1,""))</f>
        <v>7</v>
      </c>
      <c r="X157" s="42" t="n">
        <f aca="false">IF(OR(W157="",$E157=""),"",W157-$E157)</f>
        <v>1.5</v>
      </c>
      <c r="Y157" s="39" t="n">
        <v>16</v>
      </c>
      <c r="Z157" s="40" t="n">
        <f aca="false">IF(OR(Y157="",BW157=""),"",Y157/BW157*100)</f>
        <v>80</v>
      </c>
      <c r="AA157" s="41" t="n">
        <f aca="false">IF(Z157="","",IFERROR(MATCH(Z157,INDEX(Boundaries!$B$2:$I$30,MATCH(CK157,Boundaries!$A$2:$A$30,0),0),1)-1,""))</f>
        <v>7</v>
      </c>
      <c r="AB157" s="42" t="n">
        <f aca="false">IF(OR(AA157="",$E157=""),"",AA157-$E157)</f>
        <v>1.5</v>
      </c>
      <c r="AC157" s="39"/>
      <c r="AD157" s="40" t="str">
        <f aca="false">IF(OR(AC157="",BX157=""),"",AC157/BX157*100)</f>
        <v/>
      </c>
      <c r="AE157" s="41" t="str">
        <f aca="false">IF(AD157="","",IFERROR(MATCH(AD157,INDEX(Boundaries!$B$2:$I$30,MATCH(CL157,Boundaries!$A$2:$A$30,0),0),1)-1,""))</f>
        <v/>
      </c>
      <c r="AF157" s="42" t="str">
        <f aca="false">IF(OR(AE157="",$E157=""),"",AE157-$E157)</f>
        <v/>
      </c>
      <c r="AG157" s="39"/>
      <c r="AH157" s="40" t="str">
        <f aca="false">IF(OR(AG157="",BY157=""),"",AG157/BY157*100)</f>
        <v/>
      </c>
      <c r="AI157" s="41" t="str">
        <f aca="false">IF(AH157="","",IFERROR(MATCH(AH157,INDEX(Boundaries!$B$2:$I$30,MATCH(CM157,Boundaries!$A$2:$A$30,0),0),1)-1,""))</f>
        <v/>
      </c>
      <c r="AJ157" s="42" t="str">
        <f aca="false">IF(OR(AI157="",$E157=""),"",AI157-$E157)</f>
        <v/>
      </c>
      <c r="AK157" s="39"/>
      <c r="AL157" s="40" t="str">
        <f aca="false">IF(OR(AK157="",BZ157=""),"",AK157/BZ157*100)</f>
        <v/>
      </c>
      <c r="AM157" s="41" t="str">
        <f aca="false">IF(AL157="","",IFERROR(MATCH(AL157,INDEX(Boundaries!$B$2:$I$30,MATCH(CN157,Boundaries!$A$2:$A$30,0),0),1)-1,""))</f>
        <v/>
      </c>
      <c r="AN157" s="42" t="str">
        <f aca="false">IF(OR(AM157="",$E157=""),"",AM157-$E157)</f>
        <v/>
      </c>
      <c r="AO157" s="39" t="n">
        <v>3</v>
      </c>
      <c r="AP157" s="40" t="n">
        <f aca="false">IF(OR(AO157="",CA157=""),"",AO157/CA157*100)</f>
        <v>42.8571428571429</v>
      </c>
      <c r="AQ157" s="41" t="n">
        <f aca="false">IF(AP157="","",IFERROR(MATCH(AP157,INDEX(Boundaries!$B$2:$I$30,MATCH(CO157,Boundaries!$A$2:$A$30,0),0),1)-1,""))</f>
        <v>3</v>
      </c>
      <c r="AR157" s="42" t="n">
        <f aca="false">IF(OR(AQ157="",$E157=""),"",AQ157-$E157)</f>
        <v>-2.5</v>
      </c>
      <c r="AS157" s="39"/>
      <c r="AT157" s="40" t="str">
        <f aca="false">IF(OR(AS157="",CB157=""),"",AS157/CB157*100)</f>
        <v/>
      </c>
      <c r="AU157" s="41" t="str">
        <f aca="false">IF(AT157="","",IFERROR(MATCH(AT157,INDEX(Boundaries!$B$2:$I$30,MATCH(CP157,Boundaries!$A$2:$A$30,0),0),1)-1,""))</f>
        <v/>
      </c>
      <c r="AV157" s="42" t="str">
        <f aca="false">IF(OR(AU157="",$E157=""),"",AU157-$E157)</f>
        <v/>
      </c>
      <c r="AW157" s="39"/>
      <c r="AX157" s="40" t="str">
        <f aca="false">IF(OR(AW157="",CC157=""),"",AW157/CC157*100)</f>
        <v/>
      </c>
      <c r="AY157" s="41" t="str">
        <f aca="false">IF(AX157="","",IFERROR(MATCH(AX157,INDEX(Boundaries!$B$2:$I$30,MATCH(CQ157,Boundaries!$A$2:$A$30,0),0),1)-1,""))</f>
        <v/>
      </c>
      <c r="AZ157" s="42" t="str">
        <f aca="false">IF(OR(AY157="",$E157=""),"",AY157-$E157)</f>
        <v/>
      </c>
      <c r="BA157" s="39"/>
      <c r="BB157" s="40" t="str">
        <f aca="false">IF(OR(BA157="",CD157=""),"",BA157/CD157*100)</f>
        <v/>
      </c>
      <c r="BC157" s="41" t="str">
        <f aca="false">IF(BB157="","",IFERROR(MATCH(BB157,INDEX(Boundaries!$B$2:$I$30,MATCH(CR157,Boundaries!$A$2:$A$30,0),0),1)-1,""))</f>
        <v/>
      </c>
      <c r="BD157" s="42" t="str">
        <f aca="false">IF(OR(BC157="",$E157=""),"",BC157-$E157)</f>
        <v/>
      </c>
      <c r="BE157" s="39"/>
      <c r="BF157" s="40" t="str">
        <f aca="false">IF(OR(BE157="",CE157=""),"",BE157/CE157*100)</f>
        <v/>
      </c>
      <c r="BG157" s="41" t="str">
        <f aca="false">IF(BF157="","",IFERROR(MATCH(BF157,INDEX(Boundaries!$B$2:$I$30,MATCH(CS157,Boundaries!$A$2:$A$30,0),0),1)-1,""))</f>
        <v/>
      </c>
      <c r="BH157" s="42" t="str">
        <f aca="false">IF(OR(BG157="",$E157=""),"",BG157-$E157)</f>
        <v/>
      </c>
      <c r="BI157" s="39"/>
      <c r="BJ157" s="40" t="str">
        <f aca="false">IF(OR(BI157="",CF157=""),"",BI157/CF157*100)</f>
        <v/>
      </c>
      <c r="BK157" s="41" t="str">
        <f aca="false">IF(BJ157="","",IFERROR(MATCH(BJ157,INDEX(Boundaries!$B$2:$I$30,MATCH(CT157,Boundaries!$A$2:$A$30,0),0),1)-1,""))</f>
        <v/>
      </c>
      <c r="BL157" s="42" t="str">
        <f aca="false">IF(OR(BK157="",$E157=""),"",BK157-$E157)</f>
        <v/>
      </c>
      <c r="BM157" s="39"/>
      <c r="BN157" s="40" t="str">
        <f aca="false">IF(OR(BM157="",CG157=""),"",BM157/CG157*100)</f>
        <v/>
      </c>
      <c r="BO157" s="41" t="str">
        <f aca="false">IF(BN157="","",IFERROR(MATCH(BN157,INDEX(Boundaries!$B$2:$I$30,MATCH(CU157,Boundaries!$A$2:$A$30,0),0),1)-1,""))</f>
        <v/>
      </c>
      <c r="BP157" s="42" t="str">
        <f aca="false">IF(OR(BO157="",$E157=""),"",BO157-$E157)</f>
        <v/>
      </c>
      <c r="BQ157" s="39"/>
      <c r="BR157" s="40" t="str">
        <f aca="false">IF(OR(BQ157="",CH157=""),"",BQ157/CH157*100)</f>
        <v/>
      </c>
      <c r="BS157" s="41" t="str">
        <f aca="false">IF(BR157="","",IFERROR(MATCH(BR157,INDEX(Boundaries!$B$2:$I$30,MATCH(CV157,Boundaries!$A$2:$A$30,0),0),1)-1,""))</f>
        <v/>
      </c>
      <c r="BT157" s="42" t="str">
        <f aca="false">IF(OR(BS157="",$E157=""),"",BS157-$E157)</f>
        <v/>
      </c>
      <c r="BU157" s="28" t="n">
        <f aca="false">IFERROR(INDEX(Assessments!$H$2:$H$600,MATCH($H157&amp;"|"&amp;$I157&amp;"|"&amp;$J157&amp;"|"&amp;1,Assessments!$A$2:$A$600,0)),"")</f>
        <v>24</v>
      </c>
      <c r="BV157" s="28" t="n">
        <f aca="false">IFERROR(INDEX(Assessments!$H$2:$H$600,MATCH($H157&amp;"|"&amp;$I157&amp;"|"&amp;$J157&amp;"|"&amp;2,Assessments!$A$2:$A$600,0)),"")</f>
        <v>20</v>
      </c>
      <c r="BW157" s="28" t="n">
        <f aca="false">IFERROR(INDEX(Assessments!$H$2:$H$600,MATCH($H157&amp;"|"&amp;$I157&amp;"|"&amp;$J157&amp;"|"&amp;3,Assessments!$A$2:$A$600,0)),"")</f>
        <v>20</v>
      </c>
      <c r="BX157" s="28" t="n">
        <f aca="false">IFERROR(INDEX(Assessments!$H$2:$H$600,MATCH($H157&amp;"|"&amp;$I157&amp;"|"&amp;$J157&amp;"|"&amp;4,Assessments!$A$2:$A$600,0)),"")</f>
        <v>40</v>
      </c>
      <c r="BY157" s="28" t="n">
        <f aca="false">IFERROR(INDEX(Assessments!$H$2:$H$600,MATCH($H157&amp;"|"&amp;$I157&amp;"|"&amp;$J157&amp;"|"&amp;5,Assessments!$A$2:$A$600,0)),"")</f>
        <v>30</v>
      </c>
      <c r="BZ157" s="28" t="n">
        <f aca="false">IFERROR(INDEX(Assessments!$H$2:$H$600,MATCH($H157&amp;"|"&amp;$I157&amp;"|"&amp;$J157&amp;"|"&amp;6,Assessments!$A$2:$A$600,0)),"")</f>
        <v>20</v>
      </c>
      <c r="CA157" s="28" t="n">
        <f aca="false">IFERROR(INDEX(Assessments!$H$2:$H$600,MATCH($H157&amp;"|"&amp;$I157&amp;"|"&amp;$J157&amp;"|"&amp;7,Assessments!$A$2:$A$600,0)),"")</f>
        <v>7</v>
      </c>
      <c r="CB157" s="28" t="str">
        <f aca="false">IFERROR(INDEX(Assessments!$H$2:$H$600,MATCH($H157&amp;"|"&amp;$I157&amp;"|"&amp;$J157&amp;"|"&amp;8,Assessments!$A$2:$A$600,0)),"")</f>
        <v/>
      </c>
      <c r="CC157" s="28" t="str">
        <f aca="false">IFERROR(INDEX(Assessments!$H$2:$H$600,MATCH($H157&amp;"|"&amp;$I157&amp;"|"&amp;$J157&amp;"|"&amp;9,Assessments!$A$2:$A$600,0)),"")</f>
        <v/>
      </c>
      <c r="CD157" s="28" t="str">
        <f aca="false">IFERROR(INDEX(Assessments!$H$2:$H$600,MATCH($H157&amp;"|"&amp;$I157&amp;"|"&amp;$J157&amp;"|"&amp;10,Assessments!$A$2:$A$600,0)),"")</f>
        <v/>
      </c>
      <c r="CE157" s="28" t="str">
        <f aca="false">IFERROR(INDEX(Assessments!$H$2:$H$600,MATCH($H157&amp;"|"&amp;$I157&amp;"|"&amp;$J157&amp;"|"&amp;11,Assessments!$A$2:$A$600,0)),"")</f>
        <v/>
      </c>
      <c r="CF157" s="28" t="str">
        <f aca="false">IFERROR(INDEX(Assessments!$H$2:$H$600,MATCH($H157&amp;"|"&amp;$I157&amp;"|"&amp;$J157&amp;"|"&amp;12,Assessments!$A$2:$A$600,0)),"")</f>
        <v/>
      </c>
      <c r="CG157" s="28" t="str">
        <f aca="false">IFERROR(INDEX(Assessments!$H$2:$H$600,MATCH($H157&amp;"|"&amp;$I157&amp;"|"&amp;$J157&amp;"|"&amp;13,Assessments!$A$2:$A$600,0)),"")</f>
        <v/>
      </c>
      <c r="CH157" s="28" t="str">
        <f aca="false">IFERROR(INDEX(Assessments!$H$2:$H$600,MATCH($H157&amp;"|"&amp;$I157&amp;"|"&amp;$J157&amp;"|"&amp;14,Assessments!$A$2:$A$600,0)),"")</f>
        <v/>
      </c>
      <c r="CI157" s="28" t="str">
        <f aca="false">IFERROR(INDEX(Assessments!$I$2:$I$600,MATCH($H157&amp;"|"&amp;$I157&amp;"|"&amp;$J157&amp;"|"&amp;1,Assessments!$A$2:$A$600,0)),"")</f>
        <v>BM Test</v>
      </c>
      <c r="CJ157" s="28" t="str">
        <f aca="false">IFERROR(INDEX(Assessments!$I$2:$I$600,MATCH($H157&amp;"|"&amp;$I157&amp;"|"&amp;$J157&amp;"|"&amp;2,Assessments!$A$2:$A$600,0)),"")</f>
        <v>BM Test</v>
      </c>
      <c r="CK157" s="28" t="str">
        <f aca="false">IFERROR(INDEX(Assessments!$I$2:$I$600,MATCH($H157&amp;"|"&amp;$I157&amp;"|"&amp;$J157&amp;"|"&amp;3,Assessments!$A$2:$A$600,0)),"")</f>
        <v>BM Test</v>
      </c>
      <c r="CL157" s="28" t="str">
        <f aca="false">IFERROR(INDEX(Assessments!$I$2:$I$600,MATCH($H157&amp;"|"&amp;$I157&amp;"|"&amp;$J157&amp;"|"&amp;4,Assessments!$A$2:$A$600,0)),"")</f>
        <v>BM Exam</v>
      </c>
      <c r="CM157" s="28" t="str">
        <f aca="false">IFERROR(INDEX(Assessments!$I$2:$I$600,MATCH($H157&amp;"|"&amp;$I157&amp;"|"&amp;$J157&amp;"|"&amp;5,Assessments!$A$2:$A$600,0)),"")</f>
        <v>BM Test</v>
      </c>
      <c r="CN157" s="28" t="str">
        <f aca="false">IFERROR(INDEX(Assessments!$I$2:$I$600,MATCH($H157&amp;"|"&amp;$I157&amp;"|"&amp;$J157&amp;"|"&amp;6,Assessments!$A$2:$A$600,0)),"")</f>
        <v>BM Test</v>
      </c>
      <c r="CO157" s="28" t="str">
        <f aca="false">IFERROR(INDEX(Assessments!$I$2:$I$600,MATCH($H157&amp;"|"&amp;$I157&amp;"|"&amp;$J157&amp;"|"&amp;7,Assessments!$A$2:$A$600,0)),"")</f>
        <v>Grade entered</v>
      </c>
      <c r="CP157" s="28" t="str">
        <f aca="false">IFERROR(INDEX(Assessments!$I$2:$I$600,MATCH($H157&amp;"|"&amp;$I157&amp;"|"&amp;$J157&amp;"|"&amp;8,Assessments!$A$2:$A$600,0)),"")</f>
        <v/>
      </c>
      <c r="CQ157" s="28" t="str">
        <f aca="false">IFERROR(INDEX(Assessments!$I$2:$I$600,MATCH($H157&amp;"|"&amp;$I157&amp;"|"&amp;$J157&amp;"|"&amp;9,Assessments!$A$2:$A$600,0)),"")</f>
        <v/>
      </c>
      <c r="CR157" s="28" t="str">
        <f aca="false">IFERROR(INDEX(Assessments!$I$2:$I$600,MATCH($H157&amp;"|"&amp;$I157&amp;"|"&amp;$J157&amp;"|"&amp;10,Assessments!$A$2:$A$600,0)),"")</f>
        <v/>
      </c>
      <c r="CS157" s="28" t="str">
        <f aca="false">IFERROR(INDEX(Assessments!$I$2:$I$600,MATCH($H157&amp;"|"&amp;$I157&amp;"|"&amp;$J157&amp;"|"&amp;11,Assessments!$A$2:$A$600,0)),"")</f>
        <v/>
      </c>
      <c r="CT157" s="28" t="str">
        <f aca="false">IFERROR(INDEX(Assessments!$I$2:$I$600,MATCH($H157&amp;"|"&amp;$I157&amp;"|"&amp;$J157&amp;"|"&amp;12,Assessments!$A$2:$A$600,0)),"")</f>
        <v/>
      </c>
      <c r="CU157" s="28" t="str">
        <f aca="false">IFERROR(INDEX(Assessments!$I$2:$I$600,MATCH($H157&amp;"|"&amp;$I157&amp;"|"&amp;$J157&amp;"|"&amp;13,Assessments!$A$2:$A$600,0)),"")</f>
        <v/>
      </c>
      <c r="CV157" s="28" t="str">
        <f aca="false">IFERROR(INDEX(Assessments!$I$2:$I$600,MATCH($H157&amp;"|"&amp;$I157&amp;"|"&amp;$J157&amp;"|"&amp;14,Assessments!$A$2:$A$600,0)),"")</f>
        <v/>
      </c>
      <c r="CW157" s="28" t="n">
        <f aca="false">IFERROR(INDEX(Assessments!$J$2:$J$600,MATCH($H157&amp;"|"&amp;$I157&amp;"|"&amp;$J157&amp;"|"&amp;1,Assessments!$A$2:$A$600,0)),0)</f>
        <v>1</v>
      </c>
      <c r="CX157" s="28" t="n">
        <f aca="false">IFERROR(INDEX(Assessments!$J$2:$J$600,MATCH($H157&amp;"|"&amp;$I157&amp;"|"&amp;$J157&amp;"|"&amp;2,Assessments!$A$2:$A$600,0)),0)</f>
        <v>1</v>
      </c>
      <c r="CY157" s="28" t="n">
        <f aca="false">IFERROR(INDEX(Assessments!$J$2:$J$600,MATCH($H157&amp;"|"&amp;$I157&amp;"|"&amp;$J157&amp;"|"&amp;3,Assessments!$A$2:$A$600,0)),0)</f>
        <v>1</v>
      </c>
      <c r="CZ157" s="28" t="n">
        <f aca="false">IFERROR(INDEX(Assessments!$J$2:$J$600,MATCH($H157&amp;"|"&amp;$I157&amp;"|"&amp;$J157&amp;"|"&amp;4,Assessments!$A$2:$A$600,0)),0)</f>
        <v>2</v>
      </c>
      <c r="DA157" s="28" t="n">
        <f aca="false">IFERROR(INDEX(Assessments!$J$2:$J$600,MATCH($H157&amp;"|"&amp;$I157&amp;"|"&amp;$J157&amp;"|"&amp;5,Assessments!$A$2:$A$600,0)),0)</f>
        <v>1</v>
      </c>
      <c r="DB157" s="28" t="n">
        <f aca="false">IFERROR(INDEX(Assessments!$J$2:$J$600,MATCH($H157&amp;"|"&amp;$I157&amp;"|"&amp;$J157&amp;"|"&amp;6,Assessments!$A$2:$A$600,0)),0)</f>
        <v>1</v>
      </c>
      <c r="DC157" s="28" t="n">
        <f aca="false">IFERROR(INDEX(Assessments!$J$2:$J$600,MATCH($H157&amp;"|"&amp;$I157&amp;"|"&amp;$J157&amp;"|"&amp;7,Assessments!$A$2:$A$600,0)),0)</f>
        <v>2</v>
      </c>
      <c r="DD157" s="28" t="n">
        <f aca="false">IFERROR(INDEX(Assessments!$J$2:$J$600,MATCH($H157&amp;"|"&amp;$I157&amp;"|"&amp;$J157&amp;"|"&amp;8,Assessments!$A$2:$A$600,0)),0)</f>
        <v>0</v>
      </c>
      <c r="DE157" s="28" t="n">
        <f aca="false">IFERROR(INDEX(Assessments!$J$2:$J$600,MATCH($H157&amp;"|"&amp;$I157&amp;"|"&amp;$J157&amp;"|"&amp;9,Assessments!$A$2:$A$600,0)),0)</f>
        <v>0</v>
      </c>
      <c r="DF157" s="28" t="n">
        <f aca="false">IFERROR(INDEX(Assessments!$J$2:$J$600,MATCH($H157&amp;"|"&amp;$I157&amp;"|"&amp;$J157&amp;"|"&amp;10,Assessments!$A$2:$A$600,0)),0)</f>
        <v>0</v>
      </c>
      <c r="DG157" s="28" t="n">
        <f aca="false">IFERROR(INDEX(Assessments!$J$2:$J$600,MATCH($H157&amp;"|"&amp;$I157&amp;"|"&amp;$J157&amp;"|"&amp;11,Assessments!$A$2:$A$600,0)),0)</f>
        <v>0</v>
      </c>
      <c r="DH157" s="28" t="n">
        <f aca="false">IFERROR(INDEX(Assessments!$J$2:$J$600,MATCH($H157&amp;"|"&amp;$I157&amp;"|"&amp;$J157&amp;"|"&amp;12,Assessments!$A$2:$A$600,0)),0)</f>
        <v>0</v>
      </c>
      <c r="DI157" s="28" t="n">
        <f aca="false">IFERROR(INDEX(Assessments!$J$2:$J$600,MATCH($H157&amp;"|"&amp;$I157&amp;"|"&amp;$J157&amp;"|"&amp;13,Assessments!$A$2:$A$600,0)),0)</f>
        <v>0</v>
      </c>
      <c r="DJ157" s="28" t="n">
        <f aca="false">IFERROR(INDEX(Assessments!$J$2:$J$600,MATCH($H157&amp;"|"&amp;$I157&amp;"|"&amp;$J157&amp;"|"&amp;14,Assessments!$A$2:$A$600,0)),0)</f>
        <v>0</v>
      </c>
      <c r="DK157" s="28" t="n">
        <f aca="false">S157</f>
        <v>7</v>
      </c>
      <c r="DL157" s="28" t="n">
        <f aca="false">W157</f>
        <v>7</v>
      </c>
      <c r="DM157" s="28" t="n">
        <f aca="false">AA157</f>
        <v>7</v>
      </c>
      <c r="DN157" s="28" t="str">
        <f aca="false">AE157</f>
        <v/>
      </c>
      <c r="DO157" s="28" t="str">
        <f aca="false">AI157</f>
        <v/>
      </c>
      <c r="DP157" s="28" t="str">
        <f aca="false">AM157</f>
        <v/>
      </c>
      <c r="DQ157" s="28" t="n">
        <f aca="false">AQ157</f>
        <v>3</v>
      </c>
      <c r="DR157" s="28" t="str">
        <f aca="false">AU157</f>
        <v/>
      </c>
      <c r="DS157" s="28" t="str">
        <f aca="false">AY157</f>
        <v/>
      </c>
      <c r="DT157" s="28" t="str">
        <f aca="false">BC157</f>
        <v/>
      </c>
      <c r="DU157" s="28" t="str">
        <f aca="false">BG157</f>
        <v/>
      </c>
      <c r="DV157" s="28" t="str">
        <f aca="false">BK157</f>
        <v/>
      </c>
      <c r="DW157" s="28" t="str">
        <f aca="false">BO157</f>
        <v/>
      </c>
      <c r="DX157" s="28" t="str">
        <f aca="false">BS157</f>
        <v/>
      </c>
      <c r="DY157" s="28" t="n">
        <f aca="false">IF(ISNUMBER(S157),1,"")</f>
        <v>1</v>
      </c>
      <c r="DZ157" s="28" t="n">
        <f aca="false">IF(ISNUMBER(W157),2,"")</f>
        <v>2</v>
      </c>
      <c r="EA157" s="28" t="n">
        <f aca="false">IF(ISNUMBER(AA157),3,"")</f>
        <v>3</v>
      </c>
      <c r="EB157" s="28" t="str">
        <f aca="false">IF(ISNUMBER(AE157),4,"")</f>
        <v/>
      </c>
      <c r="EC157" s="28" t="str">
        <f aca="false">IF(ISNUMBER(AI157),5,"")</f>
        <v/>
      </c>
      <c r="ED157" s="28" t="str">
        <f aca="false">IF(ISNUMBER(AM157),6,"")</f>
        <v/>
      </c>
      <c r="EE157" s="28" t="n">
        <f aca="false">IF(ISNUMBER(AQ157),7,"")</f>
        <v>7</v>
      </c>
      <c r="EF157" s="28" t="str">
        <f aca="false">IF(ISNUMBER(AU157),8,"")</f>
        <v/>
      </c>
      <c r="EG157" s="28" t="str">
        <f aca="false">IF(ISNUMBER(AY157),9,"")</f>
        <v/>
      </c>
      <c r="EH157" s="28" t="str">
        <f aca="false">IF(ISNUMBER(BC157),10,"")</f>
        <v/>
      </c>
      <c r="EI157" s="28" t="str">
        <f aca="false">IF(ISNUMBER(BG157),11,"")</f>
        <v/>
      </c>
      <c r="EJ157" s="28" t="str">
        <f aca="false">IF(ISNUMBER(BK157),12,"")</f>
        <v/>
      </c>
      <c r="EK157" s="28" t="str">
        <f aca="false">IF(ISNUMBER(BO157),13,"")</f>
        <v/>
      </c>
      <c r="EL157" s="28" t="str">
        <f aca="false">IF(ISNUMBER(BS157),14,"")</f>
        <v/>
      </c>
      <c r="EM157" s="28" t="n">
        <f aca="false">IF(ISNUMBER(R157),R157*CW157,0)</f>
        <v>83.3333333333333</v>
      </c>
      <c r="EN157" s="28" t="n">
        <f aca="false">IF(ISNUMBER(V157),V157*CX157,0)</f>
        <v>80</v>
      </c>
      <c r="EO157" s="28" t="n">
        <f aca="false">IF(ISNUMBER(Z157),Z157*CY157,0)</f>
        <v>80</v>
      </c>
      <c r="EP157" s="28" t="n">
        <f aca="false">IF(ISNUMBER(AD157),AD157*CZ157,0)</f>
        <v>0</v>
      </c>
      <c r="EQ157" s="28" t="n">
        <f aca="false">IF(ISNUMBER(AH157),AH157*DA157,0)</f>
        <v>0</v>
      </c>
      <c r="ER157" s="28" t="n">
        <f aca="false">IF(ISNUMBER(AL157),AL157*DB157,0)</f>
        <v>0</v>
      </c>
      <c r="ES157" s="28" t="n">
        <f aca="false">IF(ISNUMBER(AP157),AP157*DC157,0)</f>
        <v>85.7142857142857</v>
      </c>
      <c r="ET157" s="28" t="n">
        <f aca="false">IF(ISNUMBER(AT157),AT157*DD157,0)</f>
        <v>0</v>
      </c>
      <c r="EU157" s="28" t="n">
        <f aca="false">IF(ISNUMBER(AX157),AX157*DE157,0)</f>
        <v>0</v>
      </c>
      <c r="EV157" s="28" t="n">
        <f aca="false">IF(ISNUMBER(BB157),BB157*DF157,0)</f>
        <v>0</v>
      </c>
      <c r="EW157" s="28" t="n">
        <f aca="false">IF(ISNUMBER(BF157),BF157*DG157,0)</f>
        <v>0</v>
      </c>
      <c r="EX157" s="28" t="n">
        <f aca="false">IF(ISNUMBER(BJ157),BJ157*DH157,0)</f>
        <v>0</v>
      </c>
      <c r="EY157" s="28" t="n">
        <f aca="false">IF(ISNUMBER(BN157),BN157*DI157,0)</f>
        <v>0</v>
      </c>
      <c r="EZ157" s="28" t="n">
        <f aca="false">IF(ISNUMBER(BR157),BR157*DJ157,0)</f>
        <v>0</v>
      </c>
      <c r="FA157" s="28" t="n">
        <f aca="false">IF(ISNUMBER(R157),CW157,0)</f>
        <v>1</v>
      </c>
      <c r="FB157" s="28" t="n">
        <f aca="false">IF(ISNUMBER(V157),CX157,0)</f>
        <v>1</v>
      </c>
      <c r="FC157" s="28" t="n">
        <f aca="false">IF(ISNUMBER(Z157),CY157,0)</f>
        <v>1</v>
      </c>
      <c r="FD157" s="28" t="n">
        <f aca="false">IF(ISNUMBER(AD157),CZ157,0)</f>
        <v>0</v>
      </c>
      <c r="FE157" s="28" t="n">
        <f aca="false">IF(ISNUMBER(AH157),DA157,0)</f>
        <v>0</v>
      </c>
      <c r="FF157" s="28" t="n">
        <f aca="false">IF(ISNUMBER(AL157),DB157,0)</f>
        <v>0</v>
      </c>
      <c r="FG157" s="28" t="n">
        <f aca="false">IF(ISNUMBER(AP157),DC157,0)</f>
        <v>2</v>
      </c>
      <c r="FH157" s="28" t="n">
        <f aca="false">IF(ISNUMBER(AT157),DD157,0)</f>
        <v>0</v>
      </c>
      <c r="FI157" s="28" t="n">
        <f aca="false">IF(ISNUMBER(AX157),DE157,0)</f>
        <v>0</v>
      </c>
      <c r="FJ157" s="28" t="n">
        <f aca="false">IF(ISNUMBER(BB157),DF157,0)</f>
        <v>0</v>
      </c>
      <c r="FK157" s="28" t="n">
        <f aca="false">IF(ISNUMBER(BF157),DG157,0)</f>
        <v>0</v>
      </c>
      <c r="FL157" s="28" t="n">
        <f aca="false">IF(ISNUMBER(BJ157),DH157,0)</f>
        <v>0</v>
      </c>
      <c r="FM157" s="28" t="n">
        <f aca="false">IF(ISNUMBER(BN157),DI157,0)</f>
        <v>0</v>
      </c>
      <c r="FN157" s="28" t="n">
        <f aca="false">IF(ISNUMBER(BR157),DJ157,0)</f>
        <v>0</v>
      </c>
      <c r="FO157" s="28" t="str">
        <f aca="false">IFERROR(INDEX(Lists!$G$2:$G$20,MATCH($I157&amp;"|"&amp;$J157,Lists!$F$2:$F$20,0)),"")</f>
        <v>BM Exam</v>
      </c>
    </row>
    <row r="158" customFormat="false" ht="19.5" hidden="false" customHeight="true" outlineLevel="0" collapsed="false">
      <c r="A158" s="29" t="s">
        <v>338</v>
      </c>
      <c r="B158" s="29" t="s">
        <v>339</v>
      </c>
      <c r="C158" s="30" t="s">
        <v>192</v>
      </c>
      <c r="D158" s="30" t="s">
        <v>383</v>
      </c>
      <c r="E158" s="31" t="n">
        <v>5.5</v>
      </c>
      <c r="F158" s="30" t="n">
        <v>6</v>
      </c>
      <c r="G158" s="30"/>
      <c r="H158" s="32" t="s">
        <v>23</v>
      </c>
      <c r="I158" s="33" t="s">
        <v>365</v>
      </c>
      <c r="J158" s="32" t="s">
        <v>25</v>
      </c>
      <c r="K158" s="34" t="n">
        <f aca="false">IF(OR(M158="",$E158=""),"",M158-$E158)</f>
        <v>1.5</v>
      </c>
      <c r="L158" s="35" t="n">
        <f aca="false">IF(SUM(FA158:FN158)=0,"",SUM(EM158:EZ158)/SUM(FA158:FN158))</f>
        <v>90.3333333333333</v>
      </c>
      <c r="M158" s="36" t="n">
        <f aca="false">IF(OR(L158="",FO158=""),"",IFERROR(MATCH(L158,INDEX(Boundaries!$B$2:$I$30,MATCH(FO158,Boundaries!$A$2:$A$30,0),0),1)-1,""))</f>
        <v>7</v>
      </c>
      <c r="N158" s="37" t="n">
        <f aca="false">IF(COUNT($DY158:$EL158)&lt;2,"",INDEX($DK158:$DX158,MAX($DY158:$EL158))-INDEX($DK158:$DX158,MIN($DY158:$EL158)))</f>
        <v>0</v>
      </c>
      <c r="O158" s="37" t="n">
        <f aca="false">IF(COUNT($DY158:$EL158)&lt;2,"",INDEX($DK158:$DX158,MAX($DY158:$EL158))-INDEX($DK158:$DX158,LARGE($DY158:$EL158,2)))</f>
        <v>1</v>
      </c>
      <c r="P158" s="38" t="str">
        <f aca="false">IF(K158="","",IF(K158&gt;=0,"On/above target",IF(AND(N158&lt;&gt;"",N158&gt;=0.5),"Improving towards target",IF(AND(O158&lt;&gt;"",O158&lt;=-0.5),"Declining","Stable below target"))))</f>
        <v>On/above target</v>
      </c>
      <c r="Q158" s="39" t="n">
        <v>22</v>
      </c>
      <c r="R158" s="40" t="n">
        <f aca="false">IF(OR(Q158="",BU158=""),"",Q158/BU158*100)</f>
        <v>91.6666666666667</v>
      </c>
      <c r="S158" s="41" t="n">
        <f aca="false">IF(R158="","",IFERROR(MATCH(R158,INDEX(Boundaries!$B$2:$I$30,MATCH(CI158,Boundaries!$A$2:$A$30,0),0),1)-1,""))</f>
        <v>7</v>
      </c>
      <c r="T158" s="42" t="n">
        <f aca="false">IF(OR(S158="",$E158=""),"",S158-$E158)</f>
        <v>1.5</v>
      </c>
      <c r="U158" s="39" t="n">
        <v>18</v>
      </c>
      <c r="V158" s="40" t="n">
        <f aca="false">IF(OR(U158="",BV158=""),"",U158/BV158*100)</f>
        <v>90</v>
      </c>
      <c r="W158" s="41" t="n">
        <f aca="false">IF(V158="","",IFERROR(MATCH(V158,INDEX(Boundaries!$B$2:$I$30,MATCH(CJ158,Boundaries!$A$2:$A$30,0),0),1)-1,""))</f>
        <v>7</v>
      </c>
      <c r="X158" s="42" t="n">
        <f aca="false">IF(OR(W158="",$E158=""),"",W158-$E158)</f>
        <v>1.5</v>
      </c>
      <c r="Y158" s="39" t="n">
        <v>14</v>
      </c>
      <c r="Z158" s="40" t="n">
        <f aca="false">IF(OR(Y158="",BW158=""),"",Y158/BW158*100)</f>
        <v>70</v>
      </c>
      <c r="AA158" s="41" t="n">
        <f aca="false">IF(Z158="","",IFERROR(MATCH(Z158,INDEX(Boundaries!$B$2:$I$30,MATCH(CK158,Boundaries!$A$2:$A$30,0),0),1)-1,""))</f>
        <v>6</v>
      </c>
      <c r="AB158" s="42" t="n">
        <f aca="false">IF(OR(AA158="",$E158=""),"",AA158-$E158)</f>
        <v>0.5</v>
      </c>
      <c r="AC158" s="39"/>
      <c r="AD158" s="40" t="str">
        <f aca="false">IF(OR(AC158="",BX158=""),"",AC158/BX158*100)</f>
        <v/>
      </c>
      <c r="AE158" s="41" t="str">
        <f aca="false">IF(AD158="","",IFERROR(MATCH(AD158,INDEX(Boundaries!$B$2:$I$30,MATCH(CL158,Boundaries!$A$2:$A$30,0),0),1)-1,""))</f>
        <v/>
      </c>
      <c r="AF158" s="42" t="str">
        <f aca="false">IF(OR(AE158="",$E158=""),"",AE158-$E158)</f>
        <v/>
      </c>
      <c r="AG158" s="39"/>
      <c r="AH158" s="40" t="str">
        <f aca="false">IF(OR(AG158="",BY158=""),"",AG158/BY158*100)</f>
        <v/>
      </c>
      <c r="AI158" s="41" t="str">
        <f aca="false">IF(AH158="","",IFERROR(MATCH(AH158,INDEX(Boundaries!$B$2:$I$30,MATCH(CM158,Boundaries!$A$2:$A$30,0),0),1)-1,""))</f>
        <v/>
      </c>
      <c r="AJ158" s="42" t="str">
        <f aca="false">IF(OR(AI158="",$E158=""),"",AI158-$E158)</f>
        <v/>
      </c>
      <c r="AK158" s="39"/>
      <c r="AL158" s="40" t="str">
        <f aca="false">IF(OR(AK158="",BZ158=""),"",AK158/BZ158*100)</f>
        <v/>
      </c>
      <c r="AM158" s="41" t="str">
        <f aca="false">IF(AL158="","",IFERROR(MATCH(AL158,INDEX(Boundaries!$B$2:$I$30,MATCH(CN158,Boundaries!$A$2:$A$30,0),0),1)-1,""))</f>
        <v/>
      </c>
      <c r="AN158" s="42" t="str">
        <f aca="false">IF(OR(AM158="",$E158=""),"",AM158-$E158)</f>
        <v/>
      </c>
      <c r="AO158" s="39" t="n">
        <v>7</v>
      </c>
      <c r="AP158" s="40" t="n">
        <f aca="false">IF(OR(AO158="",CA158=""),"",AO158/CA158*100)</f>
        <v>100</v>
      </c>
      <c r="AQ158" s="41" t="n">
        <f aca="false">IF(AP158="","",IFERROR(MATCH(AP158,INDEX(Boundaries!$B$2:$I$30,MATCH(CO158,Boundaries!$A$2:$A$30,0),0),1)-1,""))</f>
        <v>7</v>
      </c>
      <c r="AR158" s="42" t="n">
        <f aca="false">IF(OR(AQ158="",$E158=""),"",AQ158-$E158)</f>
        <v>1.5</v>
      </c>
      <c r="AS158" s="39"/>
      <c r="AT158" s="40" t="str">
        <f aca="false">IF(OR(AS158="",CB158=""),"",AS158/CB158*100)</f>
        <v/>
      </c>
      <c r="AU158" s="41" t="str">
        <f aca="false">IF(AT158="","",IFERROR(MATCH(AT158,INDEX(Boundaries!$B$2:$I$30,MATCH(CP158,Boundaries!$A$2:$A$30,0),0),1)-1,""))</f>
        <v/>
      </c>
      <c r="AV158" s="42" t="str">
        <f aca="false">IF(OR(AU158="",$E158=""),"",AU158-$E158)</f>
        <v/>
      </c>
      <c r="AW158" s="39"/>
      <c r="AX158" s="40" t="str">
        <f aca="false">IF(OR(AW158="",CC158=""),"",AW158/CC158*100)</f>
        <v/>
      </c>
      <c r="AY158" s="41" t="str">
        <f aca="false">IF(AX158="","",IFERROR(MATCH(AX158,INDEX(Boundaries!$B$2:$I$30,MATCH(CQ158,Boundaries!$A$2:$A$30,0),0),1)-1,""))</f>
        <v/>
      </c>
      <c r="AZ158" s="42" t="str">
        <f aca="false">IF(OR(AY158="",$E158=""),"",AY158-$E158)</f>
        <v/>
      </c>
      <c r="BA158" s="39"/>
      <c r="BB158" s="40" t="str">
        <f aca="false">IF(OR(BA158="",CD158=""),"",BA158/CD158*100)</f>
        <v/>
      </c>
      <c r="BC158" s="41" t="str">
        <f aca="false">IF(BB158="","",IFERROR(MATCH(BB158,INDEX(Boundaries!$B$2:$I$30,MATCH(CR158,Boundaries!$A$2:$A$30,0),0),1)-1,""))</f>
        <v/>
      </c>
      <c r="BD158" s="42" t="str">
        <f aca="false">IF(OR(BC158="",$E158=""),"",BC158-$E158)</f>
        <v/>
      </c>
      <c r="BE158" s="39"/>
      <c r="BF158" s="40" t="str">
        <f aca="false">IF(OR(BE158="",CE158=""),"",BE158/CE158*100)</f>
        <v/>
      </c>
      <c r="BG158" s="41" t="str">
        <f aca="false">IF(BF158="","",IFERROR(MATCH(BF158,INDEX(Boundaries!$B$2:$I$30,MATCH(CS158,Boundaries!$A$2:$A$30,0),0),1)-1,""))</f>
        <v/>
      </c>
      <c r="BH158" s="42" t="str">
        <f aca="false">IF(OR(BG158="",$E158=""),"",BG158-$E158)</f>
        <v/>
      </c>
      <c r="BI158" s="39"/>
      <c r="BJ158" s="40" t="str">
        <f aca="false">IF(OR(BI158="",CF158=""),"",BI158/CF158*100)</f>
        <v/>
      </c>
      <c r="BK158" s="41" t="str">
        <f aca="false">IF(BJ158="","",IFERROR(MATCH(BJ158,INDEX(Boundaries!$B$2:$I$30,MATCH(CT158,Boundaries!$A$2:$A$30,0),0),1)-1,""))</f>
        <v/>
      </c>
      <c r="BL158" s="42" t="str">
        <f aca="false">IF(OR(BK158="",$E158=""),"",BK158-$E158)</f>
        <v/>
      </c>
      <c r="BM158" s="39"/>
      <c r="BN158" s="40" t="str">
        <f aca="false">IF(OR(BM158="",CG158=""),"",BM158/CG158*100)</f>
        <v/>
      </c>
      <c r="BO158" s="41" t="str">
        <f aca="false">IF(BN158="","",IFERROR(MATCH(BN158,INDEX(Boundaries!$B$2:$I$30,MATCH(CU158,Boundaries!$A$2:$A$30,0),0),1)-1,""))</f>
        <v/>
      </c>
      <c r="BP158" s="42" t="str">
        <f aca="false">IF(OR(BO158="",$E158=""),"",BO158-$E158)</f>
        <v/>
      </c>
      <c r="BQ158" s="39"/>
      <c r="BR158" s="40" t="str">
        <f aca="false">IF(OR(BQ158="",CH158=""),"",BQ158/CH158*100)</f>
        <v/>
      </c>
      <c r="BS158" s="41" t="str">
        <f aca="false">IF(BR158="","",IFERROR(MATCH(BR158,INDEX(Boundaries!$B$2:$I$30,MATCH(CV158,Boundaries!$A$2:$A$30,0),0),1)-1,""))</f>
        <v/>
      </c>
      <c r="BT158" s="42" t="str">
        <f aca="false">IF(OR(BS158="",$E158=""),"",BS158-$E158)</f>
        <v/>
      </c>
      <c r="BU158" s="28" t="n">
        <f aca="false">IFERROR(INDEX(Assessments!$H$2:$H$600,MATCH($H158&amp;"|"&amp;$I158&amp;"|"&amp;$J158&amp;"|"&amp;1,Assessments!$A$2:$A$600,0)),"")</f>
        <v>24</v>
      </c>
      <c r="BV158" s="28" t="n">
        <f aca="false">IFERROR(INDEX(Assessments!$H$2:$H$600,MATCH($H158&amp;"|"&amp;$I158&amp;"|"&amp;$J158&amp;"|"&amp;2,Assessments!$A$2:$A$600,0)),"")</f>
        <v>20</v>
      </c>
      <c r="BW158" s="28" t="n">
        <f aca="false">IFERROR(INDEX(Assessments!$H$2:$H$600,MATCH($H158&amp;"|"&amp;$I158&amp;"|"&amp;$J158&amp;"|"&amp;3,Assessments!$A$2:$A$600,0)),"")</f>
        <v>20</v>
      </c>
      <c r="BX158" s="28" t="n">
        <f aca="false">IFERROR(INDEX(Assessments!$H$2:$H$600,MATCH($H158&amp;"|"&amp;$I158&amp;"|"&amp;$J158&amp;"|"&amp;4,Assessments!$A$2:$A$600,0)),"")</f>
        <v>40</v>
      </c>
      <c r="BY158" s="28" t="n">
        <f aca="false">IFERROR(INDEX(Assessments!$H$2:$H$600,MATCH($H158&amp;"|"&amp;$I158&amp;"|"&amp;$J158&amp;"|"&amp;5,Assessments!$A$2:$A$600,0)),"")</f>
        <v>30</v>
      </c>
      <c r="BZ158" s="28" t="n">
        <f aca="false">IFERROR(INDEX(Assessments!$H$2:$H$600,MATCH($H158&amp;"|"&amp;$I158&amp;"|"&amp;$J158&amp;"|"&amp;6,Assessments!$A$2:$A$600,0)),"")</f>
        <v>20</v>
      </c>
      <c r="CA158" s="28" t="n">
        <f aca="false">IFERROR(INDEX(Assessments!$H$2:$H$600,MATCH($H158&amp;"|"&amp;$I158&amp;"|"&amp;$J158&amp;"|"&amp;7,Assessments!$A$2:$A$600,0)),"")</f>
        <v>7</v>
      </c>
      <c r="CB158" s="28" t="str">
        <f aca="false">IFERROR(INDEX(Assessments!$H$2:$H$600,MATCH($H158&amp;"|"&amp;$I158&amp;"|"&amp;$J158&amp;"|"&amp;8,Assessments!$A$2:$A$600,0)),"")</f>
        <v/>
      </c>
      <c r="CC158" s="28" t="str">
        <f aca="false">IFERROR(INDEX(Assessments!$H$2:$H$600,MATCH($H158&amp;"|"&amp;$I158&amp;"|"&amp;$J158&amp;"|"&amp;9,Assessments!$A$2:$A$600,0)),"")</f>
        <v/>
      </c>
      <c r="CD158" s="28" t="str">
        <f aca="false">IFERROR(INDEX(Assessments!$H$2:$H$600,MATCH($H158&amp;"|"&amp;$I158&amp;"|"&amp;$J158&amp;"|"&amp;10,Assessments!$A$2:$A$600,0)),"")</f>
        <v/>
      </c>
      <c r="CE158" s="28" t="str">
        <f aca="false">IFERROR(INDEX(Assessments!$H$2:$H$600,MATCH($H158&amp;"|"&amp;$I158&amp;"|"&amp;$J158&amp;"|"&amp;11,Assessments!$A$2:$A$600,0)),"")</f>
        <v/>
      </c>
      <c r="CF158" s="28" t="str">
        <f aca="false">IFERROR(INDEX(Assessments!$H$2:$H$600,MATCH($H158&amp;"|"&amp;$I158&amp;"|"&amp;$J158&amp;"|"&amp;12,Assessments!$A$2:$A$600,0)),"")</f>
        <v/>
      </c>
      <c r="CG158" s="28" t="str">
        <f aca="false">IFERROR(INDEX(Assessments!$H$2:$H$600,MATCH($H158&amp;"|"&amp;$I158&amp;"|"&amp;$J158&amp;"|"&amp;13,Assessments!$A$2:$A$600,0)),"")</f>
        <v/>
      </c>
      <c r="CH158" s="28" t="str">
        <f aca="false">IFERROR(INDEX(Assessments!$H$2:$H$600,MATCH($H158&amp;"|"&amp;$I158&amp;"|"&amp;$J158&amp;"|"&amp;14,Assessments!$A$2:$A$600,0)),"")</f>
        <v/>
      </c>
      <c r="CI158" s="28" t="str">
        <f aca="false">IFERROR(INDEX(Assessments!$I$2:$I$600,MATCH($H158&amp;"|"&amp;$I158&amp;"|"&amp;$J158&amp;"|"&amp;1,Assessments!$A$2:$A$600,0)),"")</f>
        <v>BM Test</v>
      </c>
      <c r="CJ158" s="28" t="str">
        <f aca="false">IFERROR(INDEX(Assessments!$I$2:$I$600,MATCH($H158&amp;"|"&amp;$I158&amp;"|"&amp;$J158&amp;"|"&amp;2,Assessments!$A$2:$A$600,0)),"")</f>
        <v>BM Test</v>
      </c>
      <c r="CK158" s="28" t="str">
        <f aca="false">IFERROR(INDEX(Assessments!$I$2:$I$600,MATCH($H158&amp;"|"&amp;$I158&amp;"|"&amp;$J158&amp;"|"&amp;3,Assessments!$A$2:$A$600,0)),"")</f>
        <v>BM Test</v>
      </c>
      <c r="CL158" s="28" t="str">
        <f aca="false">IFERROR(INDEX(Assessments!$I$2:$I$600,MATCH($H158&amp;"|"&amp;$I158&amp;"|"&amp;$J158&amp;"|"&amp;4,Assessments!$A$2:$A$600,0)),"")</f>
        <v>BM Exam</v>
      </c>
      <c r="CM158" s="28" t="str">
        <f aca="false">IFERROR(INDEX(Assessments!$I$2:$I$600,MATCH($H158&amp;"|"&amp;$I158&amp;"|"&amp;$J158&amp;"|"&amp;5,Assessments!$A$2:$A$600,0)),"")</f>
        <v>BM Test</v>
      </c>
      <c r="CN158" s="28" t="str">
        <f aca="false">IFERROR(INDEX(Assessments!$I$2:$I$600,MATCH($H158&amp;"|"&amp;$I158&amp;"|"&amp;$J158&amp;"|"&amp;6,Assessments!$A$2:$A$600,0)),"")</f>
        <v>BM Test</v>
      </c>
      <c r="CO158" s="28" t="str">
        <f aca="false">IFERROR(INDEX(Assessments!$I$2:$I$600,MATCH($H158&amp;"|"&amp;$I158&amp;"|"&amp;$J158&amp;"|"&amp;7,Assessments!$A$2:$A$600,0)),"")</f>
        <v>Grade entered</v>
      </c>
      <c r="CP158" s="28" t="str">
        <f aca="false">IFERROR(INDEX(Assessments!$I$2:$I$600,MATCH($H158&amp;"|"&amp;$I158&amp;"|"&amp;$J158&amp;"|"&amp;8,Assessments!$A$2:$A$600,0)),"")</f>
        <v/>
      </c>
      <c r="CQ158" s="28" t="str">
        <f aca="false">IFERROR(INDEX(Assessments!$I$2:$I$600,MATCH($H158&amp;"|"&amp;$I158&amp;"|"&amp;$J158&amp;"|"&amp;9,Assessments!$A$2:$A$600,0)),"")</f>
        <v/>
      </c>
      <c r="CR158" s="28" t="str">
        <f aca="false">IFERROR(INDEX(Assessments!$I$2:$I$600,MATCH($H158&amp;"|"&amp;$I158&amp;"|"&amp;$J158&amp;"|"&amp;10,Assessments!$A$2:$A$600,0)),"")</f>
        <v/>
      </c>
      <c r="CS158" s="28" t="str">
        <f aca="false">IFERROR(INDEX(Assessments!$I$2:$I$600,MATCH($H158&amp;"|"&amp;$I158&amp;"|"&amp;$J158&amp;"|"&amp;11,Assessments!$A$2:$A$600,0)),"")</f>
        <v/>
      </c>
      <c r="CT158" s="28" t="str">
        <f aca="false">IFERROR(INDEX(Assessments!$I$2:$I$600,MATCH($H158&amp;"|"&amp;$I158&amp;"|"&amp;$J158&amp;"|"&amp;12,Assessments!$A$2:$A$600,0)),"")</f>
        <v/>
      </c>
      <c r="CU158" s="28" t="str">
        <f aca="false">IFERROR(INDEX(Assessments!$I$2:$I$600,MATCH($H158&amp;"|"&amp;$I158&amp;"|"&amp;$J158&amp;"|"&amp;13,Assessments!$A$2:$A$600,0)),"")</f>
        <v/>
      </c>
      <c r="CV158" s="28" t="str">
        <f aca="false">IFERROR(INDEX(Assessments!$I$2:$I$600,MATCH($H158&amp;"|"&amp;$I158&amp;"|"&amp;$J158&amp;"|"&amp;14,Assessments!$A$2:$A$600,0)),"")</f>
        <v/>
      </c>
      <c r="CW158" s="28" t="n">
        <f aca="false">IFERROR(INDEX(Assessments!$J$2:$J$600,MATCH($H158&amp;"|"&amp;$I158&amp;"|"&amp;$J158&amp;"|"&amp;1,Assessments!$A$2:$A$600,0)),0)</f>
        <v>1</v>
      </c>
      <c r="CX158" s="28" t="n">
        <f aca="false">IFERROR(INDEX(Assessments!$J$2:$J$600,MATCH($H158&amp;"|"&amp;$I158&amp;"|"&amp;$J158&amp;"|"&amp;2,Assessments!$A$2:$A$600,0)),0)</f>
        <v>1</v>
      </c>
      <c r="CY158" s="28" t="n">
        <f aca="false">IFERROR(INDEX(Assessments!$J$2:$J$600,MATCH($H158&amp;"|"&amp;$I158&amp;"|"&amp;$J158&amp;"|"&amp;3,Assessments!$A$2:$A$600,0)),0)</f>
        <v>1</v>
      </c>
      <c r="CZ158" s="28" t="n">
        <f aca="false">IFERROR(INDEX(Assessments!$J$2:$J$600,MATCH($H158&amp;"|"&amp;$I158&amp;"|"&amp;$J158&amp;"|"&amp;4,Assessments!$A$2:$A$600,0)),0)</f>
        <v>2</v>
      </c>
      <c r="DA158" s="28" t="n">
        <f aca="false">IFERROR(INDEX(Assessments!$J$2:$J$600,MATCH($H158&amp;"|"&amp;$I158&amp;"|"&amp;$J158&amp;"|"&amp;5,Assessments!$A$2:$A$600,0)),0)</f>
        <v>1</v>
      </c>
      <c r="DB158" s="28" t="n">
        <f aca="false">IFERROR(INDEX(Assessments!$J$2:$J$600,MATCH($H158&amp;"|"&amp;$I158&amp;"|"&amp;$J158&amp;"|"&amp;6,Assessments!$A$2:$A$600,0)),0)</f>
        <v>1</v>
      </c>
      <c r="DC158" s="28" t="n">
        <f aca="false">IFERROR(INDEX(Assessments!$J$2:$J$600,MATCH($H158&amp;"|"&amp;$I158&amp;"|"&amp;$J158&amp;"|"&amp;7,Assessments!$A$2:$A$600,0)),0)</f>
        <v>2</v>
      </c>
      <c r="DD158" s="28" t="n">
        <f aca="false">IFERROR(INDEX(Assessments!$J$2:$J$600,MATCH($H158&amp;"|"&amp;$I158&amp;"|"&amp;$J158&amp;"|"&amp;8,Assessments!$A$2:$A$600,0)),0)</f>
        <v>0</v>
      </c>
      <c r="DE158" s="28" t="n">
        <f aca="false">IFERROR(INDEX(Assessments!$J$2:$J$600,MATCH($H158&amp;"|"&amp;$I158&amp;"|"&amp;$J158&amp;"|"&amp;9,Assessments!$A$2:$A$600,0)),0)</f>
        <v>0</v>
      </c>
      <c r="DF158" s="28" t="n">
        <f aca="false">IFERROR(INDEX(Assessments!$J$2:$J$600,MATCH($H158&amp;"|"&amp;$I158&amp;"|"&amp;$J158&amp;"|"&amp;10,Assessments!$A$2:$A$600,0)),0)</f>
        <v>0</v>
      </c>
      <c r="DG158" s="28" t="n">
        <f aca="false">IFERROR(INDEX(Assessments!$J$2:$J$600,MATCH($H158&amp;"|"&amp;$I158&amp;"|"&amp;$J158&amp;"|"&amp;11,Assessments!$A$2:$A$600,0)),0)</f>
        <v>0</v>
      </c>
      <c r="DH158" s="28" t="n">
        <f aca="false">IFERROR(INDEX(Assessments!$J$2:$J$600,MATCH($H158&amp;"|"&amp;$I158&amp;"|"&amp;$J158&amp;"|"&amp;12,Assessments!$A$2:$A$600,0)),0)</f>
        <v>0</v>
      </c>
      <c r="DI158" s="28" t="n">
        <f aca="false">IFERROR(INDEX(Assessments!$J$2:$J$600,MATCH($H158&amp;"|"&amp;$I158&amp;"|"&amp;$J158&amp;"|"&amp;13,Assessments!$A$2:$A$600,0)),0)</f>
        <v>0</v>
      </c>
      <c r="DJ158" s="28" t="n">
        <f aca="false">IFERROR(INDEX(Assessments!$J$2:$J$600,MATCH($H158&amp;"|"&amp;$I158&amp;"|"&amp;$J158&amp;"|"&amp;14,Assessments!$A$2:$A$600,0)),0)</f>
        <v>0</v>
      </c>
      <c r="DK158" s="28" t="n">
        <f aca="false">S158</f>
        <v>7</v>
      </c>
      <c r="DL158" s="28" t="n">
        <f aca="false">W158</f>
        <v>7</v>
      </c>
      <c r="DM158" s="28" t="n">
        <f aca="false">AA158</f>
        <v>6</v>
      </c>
      <c r="DN158" s="28" t="str">
        <f aca="false">AE158</f>
        <v/>
      </c>
      <c r="DO158" s="28" t="str">
        <f aca="false">AI158</f>
        <v/>
      </c>
      <c r="DP158" s="28" t="str">
        <f aca="false">AM158</f>
        <v/>
      </c>
      <c r="DQ158" s="28" t="n">
        <f aca="false">AQ158</f>
        <v>7</v>
      </c>
      <c r="DR158" s="28" t="str">
        <f aca="false">AU158</f>
        <v/>
      </c>
      <c r="DS158" s="28" t="str">
        <f aca="false">AY158</f>
        <v/>
      </c>
      <c r="DT158" s="28" t="str">
        <f aca="false">BC158</f>
        <v/>
      </c>
      <c r="DU158" s="28" t="str">
        <f aca="false">BG158</f>
        <v/>
      </c>
      <c r="DV158" s="28" t="str">
        <f aca="false">BK158</f>
        <v/>
      </c>
      <c r="DW158" s="28" t="str">
        <f aca="false">BO158</f>
        <v/>
      </c>
      <c r="DX158" s="28" t="str">
        <f aca="false">BS158</f>
        <v/>
      </c>
      <c r="DY158" s="28" t="n">
        <f aca="false">IF(ISNUMBER(S158),1,"")</f>
        <v>1</v>
      </c>
      <c r="DZ158" s="28" t="n">
        <f aca="false">IF(ISNUMBER(W158),2,"")</f>
        <v>2</v>
      </c>
      <c r="EA158" s="28" t="n">
        <f aca="false">IF(ISNUMBER(AA158),3,"")</f>
        <v>3</v>
      </c>
      <c r="EB158" s="28" t="str">
        <f aca="false">IF(ISNUMBER(AE158),4,"")</f>
        <v/>
      </c>
      <c r="EC158" s="28" t="str">
        <f aca="false">IF(ISNUMBER(AI158),5,"")</f>
        <v/>
      </c>
      <c r="ED158" s="28" t="str">
        <f aca="false">IF(ISNUMBER(AM158),6,"")</f>
        <v/>
      </c>
      <c r="EE158" s="28" t="n">
        <f aca="false">IF(ISNUMBER(AQ158),7,"")</f>
        <v>7</v>
      </c>
      <c r="EF158" s="28" t="str">
        <f aca="false">IF(ISNUMBER(AU158),8,"")</f>
        <v/>
      </c>
      <c r="EG158" s="28" t="str">
        <f aca="false">IF(ISNUMBER(AY158),9,"")</f>
        <v/>
      </c>
      <c r="EH158" s="28" t="str">
        <f aca="false">IF(ISNUMBER(BC158),10,"")</f>
        <v/>
      </c>
      <c r="EI158" s="28" t="str">
        <f aca="false">IF(ISNUMBER(BG158),11,"")</f>
        <v/>
      </c>
      <c r="EJ158" s="28" t="str">
        <f aca="false">IF(ISNUMBER(BK158),12,"")</f>
        <v/>
      </c>
      <c r="EK158" s="28" t="str">
        <f aca="false">IF(ISNUMBER(BO158),13,"")</f>
        <v/>
      </c>
      <c r="EL158" s="28" t="str">
        <f aca="false">IF(ISNUMBER(BS158),14,"")</f>
        <v/>
      </c>
      <c r="EM158" s="28" t="n">
        <f aca="false">IF(ISNUMBER(R158),R158*CW158,0)</f>
        <v>91.6666666666667</v>
      </c>
      <c r="EN158" s="28" t="n">
        <f aca="false">IF(ISNUMBER(V158),V158*CX158,0)</f>
        <v>90</v>
      </c>
      <c r="EO158" s="28" t="n">
        <f aca="false">IF(ISNUMBER(Z158),Z158*CY158,0)</f>
        <v>70</v>
      </c>
      <c r="EP158" s="28" t="n">
        <f aca="false">IF(ISNUMBER(AD158),AD158*CZ158,0)</f>
        <v>0</v>
      </c>
      <c r="EQ158" s="28" t="n">
        <f aca="false">IF(ISNUMBER(AH158),AH158*DA158,0)</f>
        <v>0</v>
      </c>
      <c r="ER158" s="28" t="n">
        <f aca="false">IF(ISNUMBER(AL158),AL158*DB158,0)</f>
        <v>0</v>
      </c>
      <c r="ES158" s="28" t="n">
        <f aca="false">IF(ISNUMBER(AP158),AP158*DC158,0)</f>
        <v>200</v>
      </c>
      <c r="ET158" s="28" t="n">
        <f aca="false">IF(ISNUMBER(AT158),AT158*DD158,0)</f>
        <v>0</v>
      </c>
      <c r="EU158" s="28" t="n">
        <f aca="false">IF(ISNUMBER(AX158),AX158*DE158,0)</f>
        <v>0</v>
      </c>
      <c r="EV158" s="28" t="n">
        <f aca="false">IF(ISNUMBER(BB158),BB158*DF158,0)</f>
        <v>0</v>
      </c>
      <c r="EW158" s="28" t="n">
        <f aca="false">IF(ISNUMBER(BF158),BF158*DG158,0)</f>
        <v>0</v>
      </c>
      <c r="EX158" s="28" t="n">
        <f aca="false">IF(ISNUMBER(BJ158),BJ158*DH158,0)</f>
        <v>0</v>
      </c>
      <c r="EY158" s="28" t="n">
        <f aca="false">IF(ISNUMBER(BN158),BN158*DI158,0)</f>
        <v>0</v>
      </c>
      <c r="EZ158" s="28" t="n">
        <f aca="false">IF(ISNUMBER(BR158),BR158*DJ158,0)</f>
        <v>0</v>
      </c>
      <c r="FA158" s="28" t="n">
        <f aca="false">IF(ISNUMBER(R158),CW158,0)</f>
        <v>1</v>
      </c>
      <c r="FB158" s="28" t="n">
        <f aca="false">IF(ISNUMBER(V158),CX158,0)</f>
        <v>1</v>
      </c>
      <c r="FC158" s="28" t="n">
        <f aca="false">IF(ISNUMBER(Z158),CY158,0)</f>
        <v>1</v>
      </c>
      <c r="FD158" s="28" t="n">
        <f aca="false">IF(ISNUMBER(AD158),CZ158,0)</f>
        <v>0</v>
      </c>
      <c r="FE158" s="28" t="n">
        <f aca="false">IF(ISNUMBER(AH158),DA158,0)</f>
        <v>0</v>
      </c>
      <c r="FF158" s="28" t="n">
        <f aca="false">IF(ISNUMBER(AL158),DB158,0)</f>
        <v>0</v>
      </c>
      <c r="FG158" s="28" t="n">
        <f aca="false">IF(ISNUMBER(AP158),DC158,0)</f>
        <v>2</v>
      </c>
      <c r="FH158" s="28" t="n">
        <f aca="false">IF(ISNUMBER(AT158),DD158,0)</f>
        <v>0</v>
      </c>
      <c r="FI158" s="28" t="n">
        <f aca="false">IF(ISNUMBER(AX158),DE158,0)</f>
        <v>0</v>
      </c>
      <c r="FJ158" s="28" t="n">
        <f aca="false">IF(ISNUMBER(BB158),DF158,0)</f>
        <v>0</v>
      </c>
      <c r="FK158" s="28" t="n">
        <f aca="false">IF(ISNUMBER(BF158),DG158,0)</f>
        <v>0</v>
      </c>
      <c r="FL158" s="28" t="n">
        <f aca="false">IF(ISNUMBER(BJ158),DH158,0)</f>
        <v>0</v>
      </c>
      <c r="FM158" s="28" t="n">
        <f aca="false">IF(ISNUMBER(BN158),DI158,0)</f>
        <v>0</v>
      </c>
      <c r="FN158" s="28" t="n">
        <f aca="false">IF(ISNUMBER(BR158),DJ158,0)</f>
        <v>0</v>
      </c>
      <c r="FO158" s="28" t="str">
        <f aca="false">IFERROR(INDEX(Lists!$G$2:$G$20,MATCH($I158&amp;"|"&amp;$J158,Lists!$F$2:$F$20,0)),"")</f>
        <v>BM Exam</v>
      </c>
    </row>
    <row r="159" customFormat="false" ht="19.5" hidden="false" customHeight="true" outlineLevel="0" collapsed="false">
      <c r="A159" s="29" t="s">
        <v>311</v>
      </c>
      <c r="B159" s="29" t="s">
        <v>312</v>
      </c>
      <c r="C159" s="30" t="s">
        <v>192</v>
      </c>
      <c r="D159" s="30" t="s">
        <v>383</v>
      </c>
      <c r="E159" s="31" t="n">
        <v>6</v>
      </c>
      <c r="F159" s="30" t="n">
        <v>6</v>
      </c>
      <c r="G159" s="30"/>
      <c r="H159" s="32" t="s">
        <v>23</v>
      </c>
      <c r="I159" s="33" t="s">
        <v>365</v>
      </c>
      <c r="J159" s="32" t="s">
        <v>25</v>
      </c>
      <c r="K159" s="34" t="n">
        <f aca="false">IF(OR(M159="",$E159=""),"",M159-$E159)</f>
        <v>1</v>
      </c>
      <c r="L159" s="35" t="n">
        <f aca="false">IF(SUM(FA159:FN159)=0,"",SUM(EM159:EZ159)/SUM(FA159:FN159))</f>
        <v>85.6190476190476</v>
      </c>
      <c r="M159" s="36" t="n">
        <f aca="false">IF(OR(L159="",FO159=""),"",IFERROR(MATCH(L159,INDEX(Boundaries!$B$2:$I$30,MATCH(FO159,Boundaries!$A$2:$A$30,0),0),1)-1,""))</f>
        <v>7</v>
      </c>
      <c r="N159" s="37" t="n">
        <f aca="false">IF(COUNT($DY159:$EL159)&lt;2,"",INDEX($DK159:$DX159,MAX($DY159:$EL159))-INDEX($DK159:$DX159,MIN($DY159:$EL159)))</f>
        <v>-1</v>
      </c>
      <c r="O159" s="37" t="n">
        <f aca="false">IF(COUNT($DY159:$EL159)&lt;2,"",INDEX($DK159:$DX159,MAX($DY159:$EL159))-INDEX($DK159:$DX159,LARGE($DY159:$EL159,2)))</f>
        <v>-1</v>
      </c>
      <c r="P159" s="38" t="str">
        <f aca="false">IF(K159="","",IF(K159&gt;=0,"On/above target",IF(AND(N159&lt;&gt;"",N159&gt;=0.5),"Improving towards target",IF(AND(O159&lt;&gt;"",O159&lt;=-0.5),"Declining","Stable below target"))))</f>
        <v>On/above target</v>
      </c>
      <c r="Q159" s="39" t="n">
        <v>22</v>
      </c>
      <c r="R159" s="40" t="n">
        <f aca="false">IF(OR(Q159="",BU159=""),"",Q159/BU159*100)</f>
        <v>91.6666666666667</v>
      </c>
      <c r="S159" s="41" t="n">
        <f aca="false">IF(R159="","",IFERROR(MATCH(R159,INDEX(Boundaries!$B$2:$I$30,MATCH(CI159,Boundaries!$A$2:$A$30,0),0),1)-1,""))</f>
        <v>7</v>
      </c>
      <c r="T159" s="42" t="n">
        <f aca="false">IF(OR(S159="",$E159=""),"",S159-$E159)</f>
        <v>1</v>
      </c>
      <c r="U159" s="39" t="n">
        <v>18</v>
      </c>
      <c r="V159" s="40" t="n">
        <f aca="false">IF(OR(U159="",BV159=""),"",U159/BV159*100)</f>
        <v>90</v>
      </c>
      <c r="W159" s="41" t="n">
        <f aca="false">IF(V159="","",IFERROR(MATCH(V159,INDEX(Boundaries!$B$2:$I$30,MATCH(CJ159,Boundaries!$A$2:$A$30,0),0),1)-1,""))</f>
        <v>7</v>
      </c>
      <c r="X159" s="42" t="n">
        <f aca="false">IF(OR(W159="",$E159=""),"",W159-$E159)</f>
        <v>1</v>
      </c>
      <c r="Y159" s="39" t="n">
        <v>15</v>
      </c>
      <c r="Z159" s="40" t="n">
        <f aca="false">IF(OR(Y159="",BW159=""),"",Y159/BW159*100)</f>
        <v>75</v>
      </c>
      <c r="AA159" s="41" t="n">
        <f aca="false">IF(Z159="","",IFERROR(MATCH(Z159,INDEX(Boundaries!$B$2:$I$30,MATCH(CK159,Boundaries!$A$2:$A$30,0),0),1)-1,""))</f>
        <v>7</v>
      </c>
      <c r="AB159" s="42" t="n">
        <f aca="false">IF(OR(AA159="",$E159=""),"",AA159-$E159)</f>
        <v>1</v>
      </c>
      <c r="AC159" s="39"/>
      <c r="AD159" s="40" t="str">
        <f aca="false">IF(OR(AC159="",BX159=""),"",AC159/BX159*100)</f>
        <v/>
      </c>
      <c r="AE159" s="41" t="str">
        <f aca="false">IF(AD159="","",IFERROR(MATCH(AD159,INDEX(Boundaries!$B$2:$I$30,MATCH(CL159,Boundaries!$A$2:$A$30,0),0),1)-1,""))</f>
        <v/>
      </c>
      <c r="AF159" s="42" t="str">
        <f aca="false">IF(OR(AE159="",$E159=""),"",AE159-$E159)</f>
        <v/>
      </c>
      <c r="AG159" s="39"/>
      <c r="AH159" s="40" t="str">
        <f aca="false">IF(OR(AG159="",BY159=""),"",AG159/BY159*100)</f>
        <v/>
      </c>
      <c r="AI159" s="41" t="str">
        <f aca="false">IF(AH159="","",IFERROR(MATCH(AH159,INDEX(Boundaries!$B$2:$I$30,MATCH(CM159,Boundaries!$A$2:$A$30,0),0),1)-1,""))</f>
        <v/>
      </c>
      <c r="AJ159" s="42" t="str">
        <f aca="false">IF(OR(AI159="",$E159=""),"",AI159-$E159)</f>
        <v/>
      </c>
      <c r="AK159" s="39"/>
      <c r="AL159" s="40" t="str">
        <f aca="false">IF(OR(AK159="",BZ159=""),"",AK159/BZ159*100)</f>
        <v/>
      </c>
      <c r="AM159" s="41" t="str">
        <f aca="false">IF(AL159="","",IFERROR(MATCH(AL159,INDEX(Boundaries!$B$2:$I$30,MATCH(CN159,Boundaries!$A$2:$A$30,0),0),1)-1,""))</f>
        <v/>
      </c>
      <c r="AN159" s="42" t="str">
        <f aca="false">IF(OR(AM159="",$E159=""),"",AM159-$E159)</f>
        <v/>
      </c>
      <c r="AO159" s="39" t="n">
        <v>6</v>
      </c>
      <c r="AP159" s="40" t="n">
        <f aca="false">IF(OR(AO159="",CA159=""),"",AO159/CA159*100)</f>
        <v>85.7142857142857</v>
      </c>
      <c r="AQ159" s="41" t="n">
        <f aca="false">IF(AP159="","",IFERROR(MATCH(AP159,INDEX(Boundaries!$B$2:$I$30,MATCH(CO159,Boundaries!$A$2:$A$30,0),0),1)-1,""))</f>
        <v>6</v>
      </c>
      <c r="AR159" s="42" t="n">
        <f aca="false">IF(OR(AQ159="",$E159=""),"",AQ159-$E159)</f>
        <v>0</v>
      </c>
      <c r="AS159" s="39"/>
      <c r="AT159" s="40" t="str">
        <f aca="false">IF(OR(AS159="",CB159=""),"",AS159/CB159*100)</f>
        <v/>
      </c>
      <c r="AU159" s="41" t="str">
        <f aca="false">IF(AT159="","",IFERROR(MATCH(AT159,INDEX(Boundaries!$B$2:$I$30,MATCH(CP159,Boundaries!$A$2:$A$30,0),0),1)-1,""))</f>
        <v/>
      </c>
      <c r="AV159" s="42" t="str">
        <f aca="false">IF(OR(AU159="",$E159=""),"",AU159-$E159)</f>
        <v/>
      </c>
      <c r="AW159" s="39"/>
      <c r="AX159" s="40" t="str">
        <f aca="false">IF(OR(AW159="",CC159=""),"",AW159/CC159*100)</f>
        <v/>
      </c>
      <c r="AY159" s="41" t="str">
        <f aca="false">IF(AX159="","",IFERROR(MATCH(AX159,INDEX(Boundaries!$B$2:$I$30,MATCH(CQ159,Boundaries!$A$2:$A$30,0),0),1)-1,""))</f>
        <v/>
      </c>
      <c r="AZ159" s="42" t="str">
        <f aca="false">IF(OR(AY159="",$E159=""),"",AY159-$E159)</f>
        <v/>
      </c>
      <c r="BA159" s="39"/>
      <c r="BB159" s="40" t="str">
        <f aca="false">IF(OR(BA159="",CD159=""),"",BA159/CD159*100)</f>
        <v/>
      </c>
      <c r="BC159" s="41" t="str">
        <f aca="false">IF(BB159="","",IFERROR(MATCH(BB159,INDEX(Boundaries!$B$2:$I$30,MATCH(CR159,Boundaries!$A$2:$A$30,0),0),1)-1,""))</f>
        <v/>
      </c>
      <c r="BD159" s="42" t="str">
        <f aca="false">IF(OR(BC159="",$E159=""),"",BC159-$E159)</f>
        <v/>
      </c>
      <c r="BE159" s="39"/>
      <c r="BF159" s="40" t="str">
        <f aca="false">IF(OR(BE159="",CE159=""),"",BE159/CE159*100)</f>
        <v/>
      </c>
      <c r="BG159" s="41" t="str">
        <f aca="false">IF(BF159="","",IFERROR(MATCH(BF159,INDEX(Boundaries!$B$2:$I$30,MATCH(CS159,Boundaries!$A$2:$A$30,0),0),1)-1,""))</f>
        <v/>
      </c>
      <c r="BH159" s="42" t="str">
        <f aca="false">IF(OR(BG159="",$E159=""),"",BG159-$E159)</f>
        <v/>
      </c>
      <c r="BI159" s="39"/>
      <c r="BJ159" s="40" t="str">
        <f aca="false">IF(OR(BI159="",CF159=""),"",BI159/CF159*100)</f>
        <v/>
      </c>
      <c r="BK159" s="41" t="str">
        <f aca="false">IF(BJ159="","",IFERROR(MATCH(BJ159,INDEX(Boundaries!$B$2:$I$30,MATCH(CT159,Boundaries!$A$2:$A$30,0),0),1)-1,""))</f>
        <v/>
      </c>
      <c r="BL159" s="42" t="str">
        <f aca="false">IF(OR(BK159="",$E159=""),"",BK159-$E159)</f>
        <v/>
      </c>
      <c r="BM159" s="39"/>
      <c r="BN159" s="40" t="str">
        <f aca="false">IF(OR(BM159="",CG159=""),"",BM159/CG159*100)</f>
        <v/>
      </c>
      <c r="BO159" s="41" t="str">
        <f aca="false">IF(BN159="","",IFERROR(MATCH(BN159,INDEX(Boundaries!$B$2:$I$30,MATCH(CU159,Boundaries!$A$2:$A$30,0),0),1)-1,""))</f>
        <v/>
      </c>
      <c r="BP159" s="42" t="str">
        <f aca="false">IF(OR(BO159="",$E159=""),"",BO159-$E159)</f>
        <v/>
      </c>
      <c r="BQ159" s="39"/>
      <c r="BR159" s="40" t="str">
        <f aca="false">IF(OR(BQ159="",CH159=""),"",BQ159/CH159*100)</f>
        <v/>
      </c>
      <c r="BS159" s="41" t="str">
        <f aca="false">IF(BR159="","",IFERROR(MATCH(BR159,INDEX(Boundaries!$B$2:$I$30,MATCH(CV159,Boundaries!$A$2:$A$30,0),0),1)-1,""))</f>
        <v/>
      </c>
      <c r="BT159" s="42" t="str">
        <f aca="false">IF(OR(BS159="",$E159=""),"",BS159-$E159)</f>
        <v/>
      </c>
      <c r="BU159" s="28" t="n">
        <f aca="false">IFERROR(INDEX(Assessments!$H$2:$H$600,MATCH($H159&amp;"|"&amp;$I159&amp;"|"&amp;$J159&amp;"|"&amp;1,Assessments!$A$2:$A$600,0)),"")</f>
        <v>24</v>
      </c>
      <c r="BV159" s="28" t="n">
        <f aca="false">IFERROR(INDEX(Assessments!$H$2:$H$600,MATCH($H159&amp;"|"&amp;$I159&amp;"|"&amp;$J159&amp;"|"&amp;2,Assessments!$A$2:$A$600,0)),"")</f>
        <v>20</v>
      </c>
      <c r="BW159" s="28" t="n">
        <f aca="false">IFERROR(INDEX(Assessments!$H$2:$H$600,MATCH($H159&amp;"|"&amp;$I159&amp;"|"&amp;$J159&amp;"|"&amp;3,Assessments!$A$2:$A$600,0)),"")</f>
        <v>20</v>
      </c>
      <c r="BX159" s="28" t="n">
        <f aca="false">IFERROR(INDEX(Assessments!$H$2:$H$600,MATCH($H159&amp;"|"&amp;$I159&amp;"|"&amp;$J159&amp;"|"&amp;4,Assessments!$A$2:$A$600,0)),"")</f>
        <v>40</v>
      </c>
      <c r="BY159" s="28" t="n">
        <f aca="false">IFERROR(INDEX(Assessments!$H$2:$H$600,MATCH($H159&amp;"|"&amp;$I159&amp;"|"&amp;$J159&amp;"|"&amp;5,Assessments!$A$2:$A$600,0)),"")</f>
        <v>30</v>
      </c>
      <c r="BZ159" s="28" t="n">
        <f aca="false">IFERROR(INDEX(Assessments!$H$2:$H$600,MATCH($H159&amp;"|"&amp;$I159&amp;"|"&amp;$J159&amp;"|"&amp;6,Assessments!$A$2:$A$600,0)),"")</f>
        <v>20</v>
      </c>
      <c r="CA159" s="28" t="n">
        <f aca="false">IFERROR(INDEX(Assessments!$H$2:$H$600,MATCH($H159&amp;"|"&amp;$I159&amp;"|"&amp;$J159&amp;"|"&amp;7,Assessments!$A$2:$A$600,0)),"")</f>
        <v>7</v>
      </c>
      <c r="CB159" s="28" t="str">
        <f aca="false">IFERROR(INDEX(Assessments!$H$2:$H$600,MATCH($H159&amp;"|"&amp;$I159&amp;"|"&amp;$J159&amp;"|"&amp;8,Assessments!$A$2:$A$600,0)),"")</f>
        <v/>
      </c>
      <c r="CC159" s="28" t="str">
        <f aca="false">IFERROR(INDEX(Assessments!$H$2:$H$600,MATCH($H159&amp;"|"&amp;$I159&amp;"|"&amp;$J159&amp;"|"&amp;9,Assessments!$A$2:$A$600,0)),"")</f>
        <v/>
      </c>
      <c r="CD159" s="28" t="str">
        <f aca="false">IFERROR(INDEX(Assessments!$H$2:$H$600,MATCH($H159&amp;"|"&amp;$I159&amp;"|"&amp;$J159&amp;"|"&amp;10,Assessments!$A$2:$A$600,0)),"")</f>
        <v/>
      </c>
      <c r="CE159" s="28" t="str">
        <f aca="false">IFERROR(INDEX(Assessments!$H$2:$H$600,MATCH($H159&amp;"|"&amp;$I159&amp;"|"&amp;$J159&amp;"|"&amp;11,Assessments!$A$2:$A$600,0)),"")</f>
        <v/>
      </c>
      <c r="CF159" s="28" t="str">
        <f aca="false">IFERROR(INDEX(Assessments!$H$2:$H$600,MATCH($H159&amp;"|"&amp;$I159&amp;"|"&amp;$J159&amp;"|"&amp;12,Assessments!$A$2:$A$600,0)),"")</f>
        <v/>
      </c>
      <c r="CG159" s="28" t="str">
        <f aca="false">IFERROR(INDEX(Assessments!$H$2:$H$600,MATCH($H159&amp;"|"&amp;$I159&amp;"|"&amp;$J159&amp;"|"&amp;13,Assessments!$A$2:$A$600,0)),"")</f>
        <v/>
      </c>
      <c r="CH159" s="28" t="str">
        <f aca="false">IFERROR(INDEX(Assessments!$H$2:$H$600,MATCH($H159&amp;"|"&amp;$I159&amp;"|"&amp;$J159&amp;"|"&amp;14,Assessments!$A$2:$A$600,0)),"")</f>
        <v/>
      </c>
      <c r="CI159" s="28" t="str">
        <f aca="false">IFERROR(INDEX(Assessments!$I$2:$I$600,MATCH($H159&amp;"|"&amp;$I159&amp;"|"&amp;$J159&amp;"|"&amp;1,Assessments!$A$2:$A$600,0)),"")</f>
        <v>BM Test</v>
      </c>
      <c r="CJ159" s="28" t="str">
        <f aca="false">IFERROR(INDEX(Assessments!$I$2:$I$600,MATCH($H159&amp;"|"&amp;$I159&amp;"|"&amp;$J159&amp;"|"&amp;2,Assessments!$A$2:$A$600,0)),"")</f>
        <v>BM Test</v>
      </c>
      <c r="CK159" s="28" t="str">
        <f aca="false">IFERROR(INDEX(Assessments!$I$2:$I$600,MATCH($H159&amp;"|"&amp;$I159&amp;"|"&amp;$J159&amp;"|"&amp;3,Assessments!$A$2:$A$600,0)),"")</f>
        <v>BM Test</v>
      </c>
      <c r="CL159" s="28" t="str">
        <f aca="false">IFERROR(INDEX(Assessments!$I$2:$I$600,MATCH($H159&amp;"|"&amp;$I159&amp;"|"&amp;$J159&amp;"|"&amp;4,Assessments!$A$2:$A$600,0)),"")</f>
        <v>BM Exam</v>
      </c>
      <c r="CM159" s="28" t="str">
        <f aca="false">IFERROR(INDEX(Assessments!$I$2:$I$600,MATCH($H159&amp;"|"&amp;$I159&amp;"|"&amp;$J159&amp;"|"&amp;5,Assessments!$A$2:$A$600,0)),"")</f>
        <v>BM Test</v>
      </c>
      <c r="CN159" s="28" t="str">
        <f aca="false">IFERROR(INDEX(Assessments!$I$2:$I$600,MATCH($H159&amp;"|"&amp;$I159&amp;"|"&amp;$J159&amp;"|"&amp;6,Assessments!$A$2:$A$600,0)),"")</f>
        <v>BM Test</v>
      </c>
      <c r="CO159" s="28" t="str">
        <f aca="false">IFERROR(INDEX(Assessments!$I$2:$I$600,MATCH($H159&amp;"|"&amp;$I159&amp;"|"&amp;$J159&amp;"|"&amp;7,Assessments!$A$2:$A$600,0)),"")</f>
        <v>Grade entered</v>
      </c>
      <c r="CP159" s="28" t="str">
        <f aca="false">IFERROR(INDEX(Assessments!$I$2:$I$600,MATCH($H159&amp;"|"&amp;$I159&amp;"|"&amp;$J159&amp;"|"&amp;8,Assessments!$A$2:$A$600,0)),"")</f>
        <v/>
      </c>
      <c r="CQ159" s="28" t="str">
        <f aca="false">IFERROR(INDEX(Assessments!$I$2:$I$600,MATCH($H159&amp;"|"&amp;$I159&amp;"|"&amp;$J159&amp;"|"&amp;9,Assessments!$A$2:$A$600,0)),"")</f>
        <v/>
      </c>
      <c r="CR159" s="28" t="str">
        <f aca="false">IFERROR(INDEX(Assessments!$I$2:$I$600,MATCH($H159&amp;"|"&amp;$I159&amp;"|"&amp;$J159&amp;"|"&amp;10,Assessments!$A$2:$A$600,0)),"")</f>
        <v/>
      </c>
      <c r="CS159" s="28" t="str">
        <f aca="false">IFERROR(INDEX(Assessments!$I$2:$I$600,MATCH($H159&amp;"|"&amp;$I159&amp;"|"&amp;$J159&amp;"|"&amp;11,Assessments!$A$2:$A$600,0)),"")</f>
        <v/>
      </c>
      <c r="CT159" s="28" t="str">
        <f aca="false">IFERROR(INDEX(Assessments!$I$2:$I$600,MATCH($H159&amp;"|"&amp;$I159&amp;"|"&amp;$J159&amp;"|"&amp;12,Assessments!$A$2:$A$600,0)),"")</f>
        <v/>
      </c>
      <c r="CU159" s="28" t="str">
        <f aca="false">IFERROR(INDEX(Assessments!$I$2:$I$600,MATCH($H159&amp;"|"&amp;$I159&amp;"|"&amp;$J159&amp;"|"&amp;13,Assessments!$A$2:$A$600,0)),"")</f>
        <v/>
      </c>
      <c r="CV159" s="28" t="str">
        <f aca="false">IFERROR(INDEX(Assessments!$I$2:$I$600,MATCH($H159&amp;"|"&amp;$I159&amp;"|"&amp;$J159&amp;"|"&amp;14,Assessments!$A$2:$A$600,0)),"")</f>
        <v/>
      </c>
      <c r="CW159" s="28" t="n">
        <f aca="false">IFERROR(INDEX(Assessments!$J$2:$J$600,MATCH($H159&amp;"|"&amp;$I159&amp;"|"&amp;$J159&amp;"|"&amp;1,Assessments!$A$2:$A$600,0)),0)</f>
        <v>1</v>
      </c>
      <c r="CX159" s="28" t="n">
        <f aca="false">IFERROR(INDEX(Assessments!$J$2:$J$600,MATCH($H159&amp;"|"&amp;$I159&amp;"|"&amp;$J159&amp;"|"&amp;2,Assessments!$A$2:$A$600,0)),0)</f>
        <v>1</v>
      </c>
      <c r="CY159" s="28" t="n">
        <f aca="false">IFERROR(INDEX(Assessments!$J$2:$J$600,MATCH($H159&amp;"|"&amp;$I159&amp;"|"&amp;$J159&amp;"|"&amp;3,Assessments!$A$2:$A$600,0)),0)</f>
        <v>1</v>
      </c>
      <c r="CZ159" s="28" t="n">
        <f aca="false">IFERROR(INDEX(Assessments!$J$2:$J$600,MATCH($H159&amp;"|"&amp;$I159&amp;"|"&amp;$J159&amp;"|"&amp;4,Assessments!$A$2:$A$600,0)),0)</f>
        <v>2</v>
      </c>
      <c r="DA159" s="28" t="n">
        <f aca="false">IFERROR(INDEX(Assessments!$J$2:$J$600,MATCH($H159&amp;"|"&amp;$I159&amp;"|"&amp;$J159&amp;"|"&amp;5,Assessments!$A$2:$A$600,0)),0)</f>
        <v>1</v>
      </c>
      <c r="DB159" s="28" t="n">
        <f aca="false">IFERROR(INDEX(Assessments!$J$2:$J$600,MATCH($H159&amp;"|"&amp;$I159&amp;"|"&amp;$J159&amp;"|"&amp;6,Assessments!$A$2:$A$600,0)),0)</f>
        <v>1</v>
      </c>
      <c r="DC159" s="28" t="n">
        <f aca="false">IFERROR(INDEX(Assessments!$J$2:$J$600,MATCH($H159&amp;"|"&amp;$I159&amp;"|"&amp;$J159&amp;"|"&amp;7,Assessments!$A$2:$A$600,0)),0)</f>
        <v>2</v>
      </c>
      <c r="DD159" s="28" t="n">
        <f aca="false">IFERROR(INDEX(Assessments!$J$2:$J$600,MATCH($H159&amp;"|"&amp;$I159&amp;"|"&amp;$J159&amp;"|"&amp;8,Assessments!$A$2:$A$600,0)),0)</f>
        <v>0</v>
      </c>
      <c r="DE159" s="28" t="n">
        <f aca="false">IFERROR(INDEX(Assessments!$J$2:$J$600,MATCH($H159&amp;"|"&amp;$I159&amp;"|"&amp;$J159&amp;"|"&amp;9,Assessments!$A$2:$A$600,0)),0)</f>
        <v>0</v>
      </c>
      <c r="DF159" s="28" t="n">
        <f aca="false">IFERROR(INDEX(Assessments!$J$2:$J$600,MATCH($H159&amp;"|"&amp;$I159&amp;"|"&amp;$J159&amp;"|"&amp;10,Assessments!$A$2:$A$600,0)),0)</f>
        <v>0</v>
      </c>
      <c r="DG159" s="28" t="n">
        <f aca="false">IFERROR(INDEX(Assessments!$J$2:$J$600,MATCH($H159&amp;"|"&amp;$I159&amp;"|"&amp;$J159&amp;"|"&amp;11,Assessments!$A$2:$A$600,0)),0)</f>
        <v>0</v>
      </c>
      <c r="DH159" s="28" t="n">
        <f aca="false">IFERROR(INDEX(Assessments!$J$2:$J$600,MATCH($H159&amp;"|"&amp;$I159&amp;"|"&amp;$J159&amp;"|"&amp;12,Assessments!$A$2:$A$600,0)),0)</f>
        <v>0</v>
      </c>
      <c r="DI159" s="28" t="n">
        <f aca="false">IFERROR(INDEX(Assessments!$J$2:$J$600,MATCH($H159&amp;"|"&amp;$I159&amp;"|"&amp;$J159&amp;"|"&amp;13,Assessments!$A$2:$A$600,0)),0)</f>
        <v>0</v>
      </c>
      <c r="DJ159" s="28" t="n">
        <f aca="false">IFERROR(INDEX(Assessments!$J$2:$J$600,MATCH($H159&amp;"|"&amp;$I159&amp;"|"&amp;$J159&amp;"|"&amp;14,Assessments!$A$2:$A$600,0)),0)</f>
        <v>0</v>
      </c>
      <c r="DK159" s="28" t="n">
        <f aca="false">S159</f>
        <v>7</v>
      </c>
      <c r="DL159" s="28" t="n">
        <f aca="false">W159</f>
        <v>7</v>
      </c>
      <c r="DM159" s="28" t="n">
        <f aca="false">AA159</f>
        <v>7</v>
      </c>
      <c r="DN159" s="28" t="str">
        <f aca="false">AE159</f>
        <v/>
      </c>
      <c r="DO159" s="28" t="str">
        <f aca="false">AI159</f>
        <v/>
      </c>
      <c r="DP159" s="28" t="str">
        <f aca="false">AM159</f>
        <v/>
      </c>
      <c r="DQ159" s="28" t="n">
        <f aca="false">AQ159</f>
        <v>6</v>
      </c>
      <c r="DR159" s="28" t="str">
        <f aca="false">AU159</f>
        <v/>
      </c>
      <c r="DS159" s="28" t="str">
        <f aca="false">AY159</f>
        <v/>
      </c>
      <c r="DT159" s="28" t="str">
        <f aca="false">BC159</f>
        <v/>
      </c>
      <c r="DU159" s="28" t="str">
        <f aca="false">BG159</f>
        <v/>
      </c>
      <c r="DV159" s="28" t="str">
        <f aca="false">BK159</f>
        <v/>
      </c>
      <c r="DW159" s="28" t="str">
        <f aca="false">BO159</f>
        <v/>
      </c>
      <c r="DX159" s="28" t="str">
        <f aca="false">BS159</f>
        <v/>
      </c>
      <c r="DY159" s="28" t="n">
        <f aca="false">IF(ISNUMBER(S159),1,"")</f>
        <v>1</v>
      </c>
      <c r="DZ159" s="28" t="n">
        <f aca="false">IF(ISNUMBER(W159),2,"")</f>
        <v>2</v>
      </c>
      <c r="EA159" s="28" t="n">
        <f aca="false">IF(ISNUMBER(AA159),3,"")</f>
        <v>3</v>
      </c>
      <c r="EB159" s="28" t="str">
        <f aca="false">IF(ISNUMBER(AE159),4,"")</f>
        <v/>
      </c>
      <c r="EC159" s="28" t="str">
        <f aca="false">IF(ISNUMBER(AI159),5,"")</f>
        <v/>
      </c>
      <c r="ED159" s="28" t="str">
        <f aca="false">IF(ISNUMBER(AM159),6,"")</f>
        <v/>
      </c>
      <c r="EE159" s="28" t="n">
        <f aca="false">IF(ISNUMBER(AQ159),7,"")</f>
        <v>7</v>
      </c>
      <c r="EF159" s="28" t="str">
        <f aca="false">IF(ISNUMBER(AU159),8,"")</f>
        <v/>
      </c>
      <c r="EG159" s="28" t="str">
        <f aca="false">IF(ISNUMBER(AY159),9,"")</f>
        <v/>
      </c>
      <c r="EH159" s="28" t="str">
        <f aca="false">IF(ISNUMBER(BC159),10,"")</f>
        <v/>
      </c>
      <c r="EI159" s="28" t="str">
        <f aca="false">IF(ISNUMBER(BG159),11,"")</f>
        <v/>
      </c>
      <c r="EJ159" s="28" t="str">
        <f aca="false">IF(ISNUMBER(BK159),12,"")</f>
        <v/>
      </c>
      <c r="EK159" s="28" t="str">
        <f aca="false">IF(ISNUMBER(BO159),13,"")</f>
        <v/>
      </c>
      <c r="EL159" s="28" t="str">
        <f aca="false">IF(ISNUMBER(BS159),14,"")</f>
        <v/>
      </c>
      <c r="EM159" s="28" t="n">
        <f aca="false">IF(ISNUMBER(R159),R159*CW159,0)</f>
        <v>91.6666666666667</v>
      </c>
      <c r="EN159" s="28" t="n">
        <f aca="false">IF(ISNUMBER(V159),V159*CX159,0)</f>
        <v>90</v>
      </c>
      <c r="EO159" s="28" t="n">
        <f aca="false">IF(ISNUMBER(Z159),Z159*CY159,0)</f>
        <v>75</v>
      </c>
      <c r="EP159" s="28" t="n">
        <f aca="false">IF(ISNUMBER(AD159),AD159*CZ159,0)</f>
        <v>0</v>
      </c>
      <c r="EQ159" s="28" t="n">
        <f aca="false">IF(ISNUMBER(AH159),AH159*DA159,0)</f>
        <v>0</v>
      </c>
      <c r="ER159" s="28" t="n">
        <f aca="false">IF(ISNUMBER(AL159),AL159*DB159,0)</f>
        <v>0</v>
      </c>
      <c r="ES159" s="28" t="n">
        <f aca="false">IF(ISNUMBER(AP159),AP159*DC159,0)</f>
        <v>171.428571428571</v>
      </c>
      <c r="ET159" s="28" t="n">
        <f aca="false">IF(ISNUMBER(AT159),AT159*DD159,0)</f>
        <v>0</v>
      </c>
      <c r="EU159" s="28" t="n">
        <f aca="false">IF(ISNUMBER(AX159),AX159*DE159,0)</f>
        <v>0</v>
      </c>
      <c r="EV159" s="28" t="n">
        <f aca="false">IF(ISNUMBER(BB159),BB159*DF159,0)</f>
        <v>0</v>
      </c>
      <c r="EW159" s="28" t="n">
        <f aca="false">IF(ISNUMBER(BF159),BF159*DG159,0)</f>
        <v>0</v>
      </c>
      <c r="EX159" s="28" t="n">
        <f aca="false">IF(ISNUMBER(BJ159),BJ159*DH159,0)</f>
        <v>0</v>
      </c>
      <c r="EY159" s="28" t="n">
        <f aca="false">IF(ISNUMBER(BN159),BN159*DI159,0)</f>
        <v>0</v>
      </c>
      <c r="EZ159" s="28" t="n">
        <f aca="false">IF(ISNUMBER(BR159),BR159*DJ159,0)</f>
        <v>0</v>
      </c>
      <c r="FA159" s="28" t="n">
        <f aca="false">IF(ISNUMBER(R159),CW159,0)</f>
        <v>1</v>
      </c>
      <c r="FB159" s="28" t="n">
        <f aca="false">IF(ISNUMBER(V159),CX159,0)</f>
        <v>1</v>
      </c>
      <c r="FC159" s="28" t="n">
        <f aca="false">IF(ISNUMBER(Z159),CY159,0)</f>
        <v>1</v>
      </c>
      <c r="FD159" s="28" t="n">
        <f aca="false">IF(ISNUMBER(AD159),CZ159,0)</f>
        <v>0</v>
      </c>
      <c r="FE159" s="28" t="n">
        <f aca="false">IF(ISNUMBER(AH159),DA159,0)</f>
        <v>0</v>
      </c>
      <c r="FF159" s="28" t="n">
        <f aca="false">IF(ISNUMBER(AL159),DB159,0)</f>
        <v>0</v>
      </c>
      <c r="FG159" s="28" t="n">
        <f aca="false">IF(ISNUMBER(AP159),DC159,0)</f>
        <v>2</v>
      </c>
      <c r="FH159" s="28" t="n">
        <f aca="false">IF(ISNUMBER(AT159),DD159,0)</f>
        <v>0</v>
      </c>
      <c r="FI159" s="28" t="n">
        <f aca="false">IF(ISNUMBER(AX159),DE159,0)</f>
        <v>0</v>
      </c>
      <c r="FJ159" s="28" t="n">
        <f aca="false">IF(ISNUMBER(BB159),DF159,0)</f>
        <v>0</v>
      </c>
      <c r="FK159" s="28" t="n">
        <f aca="false">IF(ISNUMBER(BF159),DG159,0)</f>
        <v>0</v>
      </c>
      <c r="FL159" s="28" t="n">
        <f aca="false">IF(ISNUMBER(BJ159),DH159,0)</f>
        <v>0</v>
      </c>
      <c r="FM159" s="28" t="n">
        <f aca="false">IF(ISNUMBER(BN159),DI159,0)</f>
        <v>0</v>
      </c>
      <c r="FN159" s="28" t="n">
        <f aca="false">IF(ISNUMBER(BR159),DJ159,0)</f>
        <v>0</v>
      </c>
      <c r="FO159" s="28" t="str">
        <f aca="false">IFERROR(INDEX(Lists!$G$2:$G$20,MATCH($I159&amp;"|"&amp;$J159,Lists!$F$2:$F$20,0)),"")</f>
        <v>BM Exam</v>
      </c>
    </row>
    <row r="160" customFormat="false" ht="19.5" hidden="false" customHeight="true" outlineLevel="0" collapsed="false">
      <c r="A160" s="29" t="s">
        <v>402</v>
      </c>
      <c r="B160" s="29" t="s">
        <v>403</v>
      </c>
      <c r="C160" s="30" t="s">
        <v>192</v>
      </c>
      <c r="D160" s="30" t="s">
        <v>383</v>
      </c>
      <c r="E160" s="31" t="n">
        <v>5.7</v>
      </c>
      <c r="F160" s="30" t="n">
        <v>6</v>
      </c>
      <c r="G160" s="30"/>
      <c r="H160" s="32" t="s">
        <v>23</v>
      </c>
      <c r="I160" s="33" t="s">
        <v>365</v>
      </c>
      <c r="J160" s="32" t="s">
        <v>25</v>
      </c>
      <c r="K160" s="34" t="n">
        <f aca="false">IF(OR(M160="",$E160=""),"",M160-$E160)</f>
        <v>1.3</v>
      </c>
      <c r="L160" s="35" t="n">
        <f aca="false">IF(SUM(FA160:FN160)=0,"",SUM(EM160:EZ160)/SUM(FA160:FN160))</f>
        <v>80</v>
      </c>
      <c r="M160" s="36" t="n">
        <f aca="false">IF(OR(L160="",FO160=""),"",IFERROR(MATCH(L160,INDEX(Boundaries!$B$2:$I$30,MATCH(FO160,Boundaries!$A$2:$A$30,0),0),1)-1,""))</f>
        <v>7</v>
      </c>
      <c r="N160" s="37" t="n">
        <f aca="false">IF(COUNT($DY160:$EL160)&lt;2,"",INDEX($DK160:$DX160,MAX($DY160:$EL160))-INDEX($DK160:$DX160,MIN($DY160:$EL160)))</f>
        <v>0</v>
      </c>
      <c r="O160" s="37" t="n">
        <f aca="false">IF(COUNT($DY160:$EL160)&lt;2,"",INDEX($DK160:$DX160,MAX($DY160:$EL160))-INDEX($DK160:$DX160,LARGE($DY160:$EL160,2)))</f>
        <v>2</v>
      </c>
      <c r="P160" s="38" t="str">
        <f aca="false">IF(K160="","",IF(K160&gt;=0,"On/above target",IF(AND(N160&lt;&gt;"",N160&gt;=0.5),"Improving towards target",IF(AND(O160&lt;&gt;"",O160&lt;=-0.5),"Declining","Stable below target"))))</f>
        <v>On/above target</v>
      </c>
      <c r="Q160" s="39" t="n">
        <v>18</v>
      </c>
      <c r="R160" s="40" t="n">
        <f aca="false">IF(OR(Q160="",BU160=""),"",Q160/BU160*100)</f>
        <v>75</v>
      </c>
      <c r="S160" s="41" t="n">
        <f aca="false">IF(R160="","",IFERROR(MATCH(R160,INDEX(Boundaries!$B$2:$I$30,MATCH(CI160,Boundaries!$A$2:$A$30,0),0),1)-1,""))</f>
        <v>7</v>
      </c>
      <c r="T160" s="42" t="n">
        <f aca="false">IF(OR(S160="",$E160=""),"",S160-$E160)</f>
        <v>1.3</v>
      </c>
      <c r="U160" s="39" t="n">
        <v>14</v>
      </c>
      <c r="V160" s="40" t="n">
        <f aca="false">IF(OR(U160="",BV160=""),"",U160/BV160*100)</f>
        <v>70</v>
      </c>
      <c r="W160" s="41" t="n">
        <f aca="false">IF(V160="","",IFERROR(MATCH(V160,INDEX(Boundaries!$B$2:$I$30,MATCH(CJ160,Boundaries!$A$2:$A$30,0),0),1)-1,""))</f>
        <v>6</v>
      </c>
      <c r="X160" s="42" t="n">
        <f aca="false">IF(OR(W160="",$E160=""),"",W160-$E160)</f>
        <v>0.3</v>
      </c>
      <c r="Y160" s="39" t="n">
        <v>11</v>
      </c>
      <c r="Z160" s="40" t="n">
        <f aca="false">IF(OR(Y160="",BW160=""),"",Y160/BW160*100)</f>
        <v>55</v>
      </c>
      <c r="AA160" s="41" t="n">
        <f aca="false">IF(Z160="","",IFERROR(MATCH(Z160,INDEX(Boundaries!$B$2:$I$30,MATCH(CK160,Boundaries!$A$2:$A$30,0),0),1)-1,""))</f>
        <v>5</v>
      </c>
      <c r="AB160" s="42" t="n">
        <f aca="false">IF(OR(AA160="",$E160=""),"",AA160-$E160)</f>
        <v>-0.7</v>
      </c>
      <c r="AC160" s="39"/>
      <c r="AD160" s="40" t="str">
        <f aca="false">IF(OR(AC160="",BX160=""),"",AC160/BX160*100)</f>
        <v/>
      </c>
      <c r="AE160" s="41" t="str">
        <f aca="false">IF(AD160="","",IFERROR(MATCH(AD160,INDEX(Boundaries!$B$2:$I$30,MATCH(CL160,Boundaries!$A$2:$A$30,0),0),1)-1,""))</f>
        <v/>
      </c>
      <c r="AF160" s="42" t="str">
        <f aca="false">IF(OR(AE160="",$E160=""),"",AE160-$E160)</f>
        <v/>
      </c>
      <c r="AG160" s="39"/>
      <c r="AH160" s="40" t="str">
        <f aca="false">IF(OR(AG160="",BY160=""),"",AG160/BY160*100)</f>
        <v/>
      </c>
      <c r="AI160" s="41" t="str">
        <f aca="false">IF(AH160="","",IFERROR(MATCH(AH160,INDEX(Boundaries!$B$2:$I$30,MATCH(CM160,Boundaries!$A$2:$A$30,0),0),1)-1,""))</f>
        <v/>
      </c>
      <c r="AJ160" s="42" t="str">
        <f aca="false">IF(OR(AI160="",$E160=""),"",AI160-$E160)</f>
        <v/>
      </c>
      <c r="AK160" s="39"/>
      <c r="AL160" s="40" t="str">
        <f aca="false">IF(OR(AK160="",BZ160=""),"",AK160/BZ160*100)</f>
        <v/>
      </c>
      <c r="AM160" s="41" t="str">
        <f aca="false">IF(AL160="","",IFERROR(MATCH(AL160,INDEX(Boundaries!$B$2:$I$30,MATCH(CN160,Boundaries!$A$2:$A$30,0),0),1)-1,""))</f>
        <v/>
      </c>
      <c r="AN160" s="42" t="str">
        <f aca="false">IF(OR(AM160="",$E160=""),"",AM160-$E160)</f>
        <v/>
      </c>
      <c r="AO160" s="39" t="n">
        <v>7</v>
      </c>
      <c r="AP160" s="40" t="n">
        <f aca="false">IF(OR(AO160="",CA160=""),"",AO160/CA160*100)</f>
        <v>100</v>
      </c>
      <c r="AQ160" s="41" t="n">
        <f aca="false">IF(AP160="","",IFERROR(MATCH(AP160,INDEX(Boundaries!$B$2:$I$30,MATCH(CO160,Boundaries!$A$2:$A$30,0),0),1)-1,""))</f>
        <v>7</v>
      </c>
      <c r="AR160" s="42" t="n">
        <f aca="false">IF(OR(AQ160="",$E160=""),"",AQ160-$E160)</f>
        <v>1.3</v>
      </c>
      <c r="AS160" s="39"/>
      <c r="AT160" s="40" t="str">
        <f aca="false">IF(OR(AS160="",CB160=""),"",AS160/CB160*100)</f>
        <v/>
      </c>
      <c r="AU160" s="41" t="str">
        <f aca="false">IF(AT160="","",IFERROR(MATCH(AT160,INDEX(Boundaries!$B$2:$I$30,MATCH(CP160,Boundaries!$A$2:$A$30,0),0),1)-1,""))</f>
        <v/>
      </c>
      <c r="AV160" s="42" t="str">
        <f aca="false">IF(OR(AU160="",$E160=""),"",AU160-$E160)</f>
        <v/>
      </c>
      <c r="AW160" s="39"/>
      <c r="AX160" s="40" t="str">
        <f aca="false">IF(OR(AW160="",CC160=""),"",AW160/CC160*100)</f>
        <v/>
      </c>
      <c r="AY160" s="41" t="str">
        <f aca="false">IF(AX160="","",IFERROR(MATCH(AX160,INDEX(Boundaries!$B$2:$I$30,MATCH(CQ160,Boundaries!$A$2:$A$30,0),0),1)-1,""))</f>
        <v/>
      </c>
      <c r="AZ160" s="42" t="str">
        <f aca="false">IF(OR(AY160="",$E160=""),"",AY160-$E160)</f>
        <v/>
      </c>
      <c r="BA160" s="39"/>
      <c r="BB160" s="40" t="str">
        <f aca="false">IF(OR(BA160="",CD160=""),"",BA160/CD160*100)</f>
        <v/>
      </c>
      <c r="BC160" s="41" t="str">
        <f aca="false">IF(BB160="","",IFERROR(MATCH(BB160,INDEX(Boundaries!$B$2:$I$30,MATCH(CR160,Boundaries!$A$2:$A$30,0),0),1)-1,""))</f>
        <v/>
      </c>
      <c r="BD160" s="42" t="str">
        <f aca="false">IF(OR(BC160="",$E160=""),"",BC160-$E160)</f>
        <v/>
      </c>
      <c r="BE160" s="39"/>
      <c r="BF160" s="40" t="str">
        <f aca="false">IF(OR(BE160="",CE160=""),"",BE160/CE160*100)</f>
        <v/>
      </c>
      <c r="BG160" s="41" t="str">
        <f aca="false">IF(BF160="","",IFERROR(MATCH(BF160,INDEX(Boundaries!$B$2:$I$30,MATCH(CS160,Boundaries!$A$2:$A$30,0),0),1)-1,""))</f>
        <v/>
      </c>
      <c r="BH160" s="42" t="str">
        <f aca="false">IF(OR(BG160="",$E160=""),"",BG160-$E160)</f>
        <v/>
      </c>
      <c r="BI160" s="39"/>
      <c r="BJ160" s="40" t="str">
        <f aca="false">IF(OR(BI160="",CF160=""),"",BI160/CF160*100)</f>
        <v/>
      </c>
      <c r="BK160" s="41" t="str">
        <f aca="false">IF(BJ160="","",IFERROR(MATCH(BJ160,INDEX(Boundaries!$B$2:$I$30,MATCH(CT160,Boundaries!$A$2:$A$30,0),0),1)-1,""))</f>
        <v/>
      </c>
      <c r="BL160" s="42" t="str">
        <f aca="false">IF(OR(BK160="",$E160=""),"",BK160-$E160)</f>
        <v/>
      </c>
      <c r="BM160" s="39"/>
      <c r="BN160" s="40" t="str">
        <f aca="false">IF(OR(BM160="",CG160=""),"",BM160/CG160*100)</f>
        <v/>
      </c>
      <c r="BO160" s="41" t="str">
        <f aca="false">IF(BN160="","",IFERROR(MATCH(BN160,INDEX(Boundaries!$B$2:$I$30,MATCH(CU160,Boundaries!$A$2:$A$30,0),0),1)-1,""))</f>
        <v/>
      </c>
      <c r="BP160" s="42" t="str">
        <f aca="false">IF(OR(BO160="",$E160=""),"",BO160-$E160)</f>
        <v/>
      </c>
      <c r="BQ160" s="39"/>
      <c r="BR160" s="40" t="str">
        <f aca="false">IF(OR(BQ160="",CH160=""),"",BQ160/CH160*100)</f>
        <v/>
      </c>
      <c r="BS160" s="41" t="str">
        <f aca="false">IF(BR160="","",IFERROR(MATCH(BR160,INDEX(Boundaries!$B$2:$I$30,MATCH(CV160,Boundaries!$A$2:$A$30,0),0),1)-1,""))</f>
        <v/>
      </c>
      <c r="BT160" s="42" t="str">
        <f aca="false">IF(OR(BS160="",$E160=""),"",BS160-$E160)</f>
        <v/>
      </c>
      <c r="BU160" s="28" t="n">
        <f aca="false">IFERROR(INDEX(Assessments!$H$2:$H$600,MATCH($H160&amp;"|"&amp;$I160&amp;"|"&amp;$J160&amp;"|"&amp;1,Assessments!$A$2:$A$600,0)),"")</f>
        <v>24</v>
      </c>
      <c r="BV160" s="28" t="n">
        <f aca="false">IFERROR(INDEX(Assessments!$H$2:$H$600,MATCH($H160&amp;"|"&amp;$I160&amp;"|"&amp;$J160&amp;"|"&amp;2,Assessments!$A$2:$A$600,0)),"")</f>
        <v>20</v>
      </c>
      <c r="BW160" s="28" t="n">
        <f aca="false">IFERROR(INDEX(Assessments!$H$2:$H$600,MATCH($H160&amp;"|"&amp;$I160&amp;"|"&amp;$J160&amp;"|"&amp;3,Assessments!$A$2:$A$600,0)),"")</f>
        <v>20</v>
      </c>
      <c r="BX160" s="28" t="n">
        <f aca="false">IFERROR(INDEX(Assessments!$H$2:$H$600,MATCH($H160&amp;"|"&amp;$I160&amp;"|"&amp;$J160&amp;"|"&amp;4,Assessments!$A$2:$A$600,0)),"")</f>
        <v>40</v>
      </c>
      <c r="BY160" s="28" t="n">
        <f aca="false">IFERROR(INDEX(Assessments!$H$2:$H$600,MATCH($H160&amp;"|"&amp;$I160&amp;"|"&amp;$J160&amp;"|"&amp;5,Assessments!$A$2:$A$600,0)),"")</f>
        <v>30</v>
      </c>
      <c r="BZ160" s="28" t="n">
        <f aca="false">IFERROR(INDEX(Assessments!$H$2:$H$600,MATCH($H160&amp;"|"&amp;$I160&amp;"|"&amp;$J160&amp;"|"&amp;6,Assessments!$A$2:$A$600,0)),"")</f>
        <v>20</v>
      </c>
      <c r="CA160" s="28" t="n">
        <f aca="false">IFERROR(INDEX(Assessments!$H$2:$H$600,MATCH($H160&amp;"|"&amp;$I160&amp;"|"&amp;$J160&amp;"|"&amp;7,Assessments!$A$2:$A$600,0)),"")</f>
        <v>7</v>
      </c>
      <c r="CB160" s="28" t="str">
        <f aca="false">IFERROR(INDEX(Assessments!$H$2:$H$600,MATCH($H160&amp;"|"&amp;$I160&amp;"|"&amp;$J160&amp;"|"&amp;8,Assessments!$A$2:$A$600,0)),"")</f>
        <v/>
      </c>
      <c r="CC160" s="28" t="str">
        <f aca="false">IFERROR(INDEX(Assessments!$H$2:$H$600,MATCH($H160&amp;"|"&amp;$I160&amp;"|"&amp;$J160&amp;"|"&amp;9,Assessments!$A$2:$A$600,0)),"")</f>
        <v/>
      </c>
      <c r="CD160" s="28" t="str">
        <f aca="false">IFERROR(INDEX(Assessments!$H$2:$H$600,MATCH($H160&amp;"|"&amp;$I160&amp;"|"&amp;$J160&amp;"|"&amp;10,Assessments!$A$2:$A$600,0)),"")</f>
        <v/>
      </c>
      <c r="CE160" s="28" t="str">
        <f aca="false">IFERROR(INDEX(Assessments!$H$2:$H$600,MATCH($H160&amp;"|"&amp;$I160&amp;"|"&amp;$J160&amp;"|"&amp;11,Assessments!$A$2:$A$600,0)),"")</f>
        <v/>
      </c>
      <c r="CF160" s="28" t="str">
        <f aca="false">IFERROR(INDEX(Assessments!$H$2:$H$600,MATCH($H160&amp;"|"&amp;$I160&amp;"|"&amp;$J160&amp;"|"&amp;12,Assessments!$A$2:$A$600,0)),"")</f>
        <v/>
      </c>
      <c r="CG160" s="28" t="str">
        <f aca="false">IFERROR(INDEX(Assessments!$H$2:$H$600,MATCH($H160&amp;"|"&amp;$I160&amp;"|"&amp;$J160&amp;"|"&amp;13,Assessments!$A$2:$A$600,0)),"")</f>
        <v/>
      </c>
      <c r="CH160" s="28" t="str">
        <f aca="false">IFERROR(INDEX(Assessments!$H$2:$H$600,MATCH($H160&amp;"|"&amp;$I160&amp;"|"&amp;$J160&amp;"|"&amp;14,Assessments!$A$2:$A$600,0)),"")</f>
        <v/>
      </c>
      <c r="CI160" s="28" t="str">
        <f aca="false">IFERROR(INDEX(Assessments!$I$2:$I$600,MATCH($H160&amp;"|"&amp;$I160&amp;"|"&amp;$J160&amp;"|"&amp;1,Assessments!$A$2:$A$600,0)),"")</f>
        <v>BM Test</v>
      </c>
      <c r="CJ160" s="28" t="str">
        <f aca="false">IFERROR(INDEX(Assessments!$I$2:$I$600,MATCH($H160&amp;"|"&amp;$I160&amp;"|"&amp;$J160&amp;"|"&amp;2,Assessments!$A$2:$A$600,0)),"")</f>
        <v>BM Test</v>
      </c>
      <c r="CK160" s="28" t="str">
        <f aca="false">IFERROR(INDEX(Assessments!$I$2:$I$600,MATCH($H160&amp;"|"&amp;$I160&amp;"|"&amp;$J160&amp;"|"&amp;3,Assessments!$A$2:$A$600,0)),"")</f>
        <v>BM Test</v>
      </c>
      <c r="CL160" s="28" t="str">
        <f aca="false">IFERROR(INDEX(Assessments!$I$2:$I$600,MATCH($H160&amp;"|"&amp;$I160&amp;"|"&amp;$J160&amp;"|"&amp;4,Assessments!$A$2:$A$600,0)),"")</f>
        <v>BM Exam</v>
      </c>
      <c r="CM160" s="28" t="str">
        <f aca="false">IFERROR(INDEX(Assessments!$I$2:$I$600,MATCH($H160&amp;"|"&amp;$I160&amp;"|"&amp;$J160&amp;"|"&amp;5,Assessments!$A$2:$A$600,0)),"")</f>
        <v>BM Test</v>
      </c>
      <c r="CN160" s="28" t="str">
        <f aca="false">IFERROR(INDEX(Assessments!$I$2:$I$600,MATCH($H160&amp;"|"&amp;$I160&amp;"|"&amp;$J160&amp;"|"&amp;6,Assessments!$A$2:$A$600,0)),"")</f>
        <v>BM Test</v>
      </c>
      <c r="CO160" s="28" t="str">
        <f aca="false">IFERROR(INDEX(Assessments!$I$2:$I$600,MATCH($H160&amp;"|"&amp;$I160&amp;"|"&amp;$J160&amp;"|"&amp;7,Assessments!$A$2:$A$600,0)),"")</f>
        <v>Grade entered</v>
      </c>
      <c r="CP160" s="28" t="str">
        <f aca="false">IFERROR(INDEX(Assessments!$I$2:$I$600,MATCH($H160&amp;"|"&amp;$I160&amp;"|"&amp;$J160&amp;"|"&amp;8,Assessments!$A$2:$A$600,0)),"")</f>
        <v/>
      </c>
      <c r="CQ160" s="28" t="str">
        <f aca="false">IFERROR(INDEX(Assessments!$I$2:$I$600,MATCH($H160&amp;"|"&amp;$I160&amp;"|"&amp;$J160&amp;"|"&amp;9,Assessments!$A$2:$A$600,0)),"")</f>
        <v/>
      </c>
      <c r="CR160" s="28" t="str">
        <f aca="false">IFERROR(INDEX(Assessments!$I$2:$I$600,MATCH($H160&amp;"|"&amp;$I160&amp;"|"&amp;$J160&amp;"|"&amp;10,Assessments!$A$2:$A$600,0)),"")</f>
        <v/>
      </c>
      <c r="CS160" s="28" t="str">
        <f aca="false">IFERROR(INDEX(Assessments!$I$2:$I$600,MATCH($H160&amp;"|"&amp;$I160&amp;"|"&amp;$J160&amp;"|"&amp;11,Assessments!$A$2:$A$600,0)),"")</f>
        <v/>
      </c>
      <c r="CT160" s="28" t="str">
        <f aca="false">IFERROR(INDEX(Assessments!$I$2:$I$600,MATCH($H160&amp;"|"&amp;$I160&amp;"|"&amp;$J160&amp;"|"&amp;12,Assessments!$A$2:$A$600,0)),"")</f>
        <v/>
      </c>
      <c r="CU160" s="28" t="str">
        <f aca="false">IFERROR(INDEX(Assessments!$I$2:$I$600,MATCH($H160&amp;"|"&amp;$I160&amp;"|"&amp;$J160&amp;"|"&amp;13,Assessments!$A$2:$A$600,0)),"")</f>
        <v/>
      </c>
      <c r="CV160" s="28" t="str">
        <f aca="false">IFERROR(INDEX(Assessments!$I$2:$I$600,MATCH($H160&amp;"|"&amp;$I160&amp;"|"&amp;$J160&amp;"|"&amp;14,Assessments!$A$2:$A$600,0)),"")</f>
        <v/>
      </c>
      <c r="CW160" s="28" t="n">
        <f aca="false">IFERROR(INDEX(Assessments!$J$2:$J$600,MATCH($H160&amp;"|"&amp;$I160&amp;"|"&amp;$J160&amp;"|"&amp;1,Assessments!$A$2:$A$600,0)),0)</f>
        <v>1</v>
      </c>
      <c r="CX160" s="28" t="n">
        <f aca="false">IFERROR(INDEX(Assessments!$J$2:$J$600,MATCH($H160&amp;"|"&amp;$I160&amp;"|"&amp;$J160&amp;"|"&amp;2,Assessments!$A$2:$A$600,0)),0)</f>
        <v>1</v>
      </c>
      <c r="CY160" s="28" t="n">
        <f aca="false">IFERROR(INDEX(Assessments!$J$2:$J$600,MATCH($H160&amp;"|"&amp;$I160&amp;"|"&amp;$J160&amp;"|"&amp;3,Assessments!$A$2:$A$600,0)),0)</f>
        <v>1</v>
      </c>
      <c r="CZ160" s="28" t="n">
        <f aca="false">IFERROR(INDEX(Assessments!$J$2:$J$600,MATCH($H160&amp;"|"&amp;$I160&amp;"|"&amp;$J160&amp;"|"&amp;4,Assessments!$A$2:$A$600,0)),0)</f>
        <v>2</v>
      </c>
      <c r="DA160" s="28" t="n">
        <f aca="false">IFERROR(INDEX(Assessments!$J$2:$J$600,MATCH($H160&amp;"|"&amp;$I160&amp;"|"&amp;$J160&amp;"|"&amp;5,Assessments!$A$2:$A$600,0)),0)</f>
        <v>1</v>
      </c>
      <c r="DB160" s="28" t="n">
        <f aca="false">IFERROR(INDEX(Assessments!$J$2:$J$600,MATCH($H160&amp;"|"&amp;$I160&amp;"|"&amp;$J160&amp;"|"&amp;6,Assessments!$A$2:$A$600,0)),0)</f>
        <v>1</v>
      </c>
      <c r="DC160" s="28" t="n">
        <f aca="false">IFERROR(INDEX(Assessments!$J$2:$J$600,MATCH($H160&amp;"|"&amp;$I160&amp;"|"&amp;$J160&amp;"|"&amp;7,Assessments!$A$2:$A$600,0)),0)</f>
        <v>2</v>
      </c>
      <c r="DD160" s="28" t="n">
        <f aca="false">IFERROR(INDEX(Assessments!$J$2:$J$600,MATCH($H160&amp;"|"&amp;$I160&amp;"|"&amp;$J160&amp;"|"&amp;8,Assessments!$A$2:$A$600,0)),0)</f>
        <v>0</v>
      </c>
      <c r="DE160" s="28" t="n">
        <f aca="false">IFERROR(INDEX(Assessments!$J$2:$J$600,MATCH($H160&amp;"|"&amp;$I160&amp;"|"&amp;$J160&amp;"|"&amp;9,Assessments!$A$2:$A$600,0)),0)</f>
        <v>0</v>
      </c>
      <c r="DF160" s="28" t="n">
        <f aca="false">IFERROR(INDEX(Assessments!$J$2:$J$600,MATCH($H160&amp;"|"&amp;$I160&amp;"|"&amp;$J160&amp;"|"&amp;10,Assessments!$A$2:$A$600,0)),0)</f>
        <v>0</v>
      </c>
      <c r="DG160" s="28" t="n">
        <f aca="false">IFERROR(INDEX(Assessments!$J$2:$J$600,MATCH($H160&amp;"|"&amp;$I160&amp;"|"&amp;$J160&amp;"|"&amp;11,Assessments!$A$2:$A$600,0)),0)</f>
        <v>0</v>
      </c>
      <c r="DH160" s="28" t="n">
        <f aca="false">IFERROR(INDEX(Assessments!$J$2:$J$600,MATCH($H160&amp;"|"&amp;$I160&amp;"|"&amp;$J160&amp;"|"&amp;12,Assessments!$A$2:$A$600,0)),0)</f>
        <v>0</v>
      </c>
      <c r="DI160" s="28" t="n">
        <f aca="false">IFERROR(INDEX(Assessments!$J$2:$J$600,MATCH($H160&amp;"|"&amp;$I160&amp;"|"&amp;$J160&amp;"|"&amp;13,Assessments!$A$2:$A$600,0)),0)</f>
        <v>0</v>
      </c>
      <c r="DJ160" s="28" t="n">
        <f aca="false">IFERROR(INDEX(Assessments!$J$2:$J$600,MATCH($H160&amp;"|"&amp;$I160&amp;"|"&amp;$J160&amp;"|"&amp;14,Assessments!$A$2:$A$600,0)),0)</f>
        <v>0</v>
      </c>
      <c r="DK160" s="28" t="n">
        <f aca="false">S160</f>
        <v>7</v>
      </c>
      <c r="DL160" s="28" t="n">
        <f aca="false">W160</f>
        <v>6</v>
      </c>
      <c r="DM160" s="28" t="n">
        <f aca="false">AA160</f>
        <v>5</v>
      </c>
      <c r="DN160" s="28" t="str">
        <f aca="false">AE160</f>
        <v/>
      </c>
      <c r="DO160" s="28" t="str">
        <f aca="false">AI160</f>
        <v/>
      </c>
      <c r="DP160" s="28" t="str">
        <f aca="false">AM160</f>
        <v/>
      </c>
      <c r="DQ160" s="28" t="n">
        <f aca="false">AQ160</f>
        <v>7</v>
      </c>
      <c r="DR160" s="28" t="str">
        <f aca="false">AU160</f>
        <v/>
      </c>
      <c r="DS160" s="28" t="str">
        <f aca="false">AY160</f>
        <v/>
      </c>
      <c r="DT160" s="28" t="str">
        <f aca="false">BC160</f>
        <v/>
      </c>
      <c r="DU160" s="28" t="str">
        <f aca="false">BG160</f>
        <v/>
      </c>
      <c r="DV160" s="28" t="str">
        <f aca="false">BK160</f>
        <v/>
      </c>
      <c r="DW160" s="28" t="str">
        <f aca="false">BO160</f>
        <v/>
      </c>
      <c r="DX160" s="28" t="str">
        <f aca="false">BS160</f>
        <v/>
      </c>
      <c r="DY160" s="28" t="n">
        <f aca="false">IF(ISNUMBER(S160),1,"")</f>
        <v>1</v>
      </c>
      <c r="DZ160" s="28" t="n">
        <f aca="false">IF(ISNUMBER(W160),2,"")</f>
        <v>2</v>
      </c>
      <c r="EA160" s="28" t="n">
        <f aca="false">IF(ISNUMBER(AA160),3,"")</f>
        <v>3</v>
      </c>
      <c r="EB160" s="28" t="str">
        <f aca="false">IF(ISNUMBER(AE160),4,"")</f>
        <v/>
      </c>
      <c r="EC160" s="28" t="str">
        <f aca="false">IF(ISNUMBER(AI160),5,"")</f>
        <v/>
      </c>
      <c r="ED160" s="28" t="str">
        <f aca="false">IF(ISNUMBER(AM160),6,"")</f>
        <v/>
      </c>
      <c r="EE160" s="28" t="n">
        <f aca="false">IF(ISNUMBER(AQ160),7,"")</f>
        <v>7</v>
      </c>
      <c r="EF160" s="28" t="str">
        <f aca="false">IF(ISNUMBER(AU160),8,"")</f>
        <v/>
      </c>
      <c r="EG160" s="28" t="str">
        <f aca="false">IF(ISNUMBER(AY160),9,"")</f>
        <v/>
      </c>
      <c r="EH160" s="28" t="str">
        <f aca="false">IF(ISNUMBER(BC160),10,"")</f>
        <v/>
      </c>
      <c r="EI160" s="28" t="str">
        <f aca="false">IF(ISNUMBER(BG160),11,"")</f>
        <v/>
      </c>
      <c r="EJ160" s="28" t="str">
        <f aca="false">IF(ISNUMBER(BK160),12,"")</f>
        <v/>
      </c>
      <c r="EK160" s="28" t="str">
        <f aca="false">IF(ISNUMBER(BO160),13,"")</f>
        <v/>
      </c>
      <c r="EL160" s="28" t="str">
        <f aca="false">IF(ISNUMBER(BS160),14,"")</f>
        <v/>
      </c>
      <c r="EM160" s="28" t="n">
        <f aca="false">IF(ISNUMBER(R160),R160*CW160,0)</f>
        <v>75</v>
      </c>
      <c r="EN160" s="28" t="n">
        <f aca="false">IF(ISNUMBER(V160),V160*CX160,0)</f>
        <v>70</v>
      </c>
      <c r="EO160" s="28" t="n">
        <f aca="false">IF(ISNUMBER(Z160),Z160*CY160,0)</f>
        <v>55</v>
      </c>
      <c r="EP160" s="28" t="n">
        <f aca="false">IF(ISNUMBER(AD160),AD160*CZ160,0)</f>
        <v>0</v>
      </c>
      <c r="EQ160" s="28" t="n">
        <f aca="false">IF(ISNUMBER(AH160),AH160*DA160,0)</f>
        <v>0</v>
      </c>
      <c r="ER160" s="28" t="n">
        <f aca="false">IF(ISNUMBER(AL160),AL160*DB160,0)</f>
        <v>0</v>
      </c>
      <c r="ES160" s="28" t="n">
        <f aca="false">IF(ISNUMBER(AP160),AP160*DC160,0)</f>
        <v>200</v>
      </c>
      <c r="ET160" s="28" t="n">
        <f aca="false">IF(ISNUMBER(AT160),AT160*DD160,0)</f>
        <v>0</v>
      </c>
      <c r="EU160" s="28" t="n">
        <f aca="false">IF(ISNUMBER(AX160),AX160*DE160,0)</f>
        <v>0</v>
      </c>
      <c r="EV160" s="28" t="n">
        <f aca="false">IF(ISNUMBER(BB160),BB160*DF160,0)</f>
        <v>0</v>
      </c>
      <c r="EW160" s="28" t="n">
        <f aca="false">IF(ISNUMBER(BF160),BF160*DG160,0)</f>
        <v>0</v>
      </c>
      <c r="EX160" s="28" t="n">
        <f aca="false">IF(ISNUMBER(BJ160),BJ160*DH160,0)</f>
        <v>0</v>
      </c>
      <c r="EY160" s="28" t="n">
        <f aca="false">IF(ISNUMBER(BN160),BN160*DI160,0)</f>
        <v>0</v>
      </c>
      <c r="EZ160" s="28" t="n">
        <f aca="false">IF(ISNUMBER(BR160),BR160*DJ160,0)</f>
        <v>0</v>
      </c>
      <c r="FA160" s="28" t="n">
        <f aca="false">IF(ISNUMBER(R160),CW160,0)</f>
        <v>1</v>
      </c>
      <c r="FB160" s="28" t="n">
        <f aca="false">IF(ISNUMBER(V160),CX160,0)</f>
        <v>1</v>
      </c>
      <c r="FC160" s="28" t="n">
        <f aca="false">IF(ISNUMBER(Z160),CY160,0)</f>
        <v>1</v>
      </c>
      <c r="FD160" s="28" t="n">
        <f aca="false">IF(ISNUMBER(AD160),CZ160,0)</f>
        <v>0</v>
      </c>
      <c r="FE160" s="28" t="n">
        <f aca="false">IF(ISNUMBER(AH160),DA160,0)</f>
        <v>0</v>
      </c>
      <c r="FF160" s="28" t="n">
        <f aca="false">IF(ISNUMBER(AL160),DB160,0)</f>
        <v>0</v>
      </c>
      <c r="FG160" s="28" t="n">
        <f aca="false">IF(ISNUMBER(AP160),DC160,0)</f>
        <v>2</v>
      </c>
      <c r="FH160" s="28" t="n">
        <f aca="false">IF(ISNUMBER(AT160),DD160,0)</f>
        <v>0</v>
      </c>
      <c r="FI160" s="28" t="n">
        <f aca="false">IF(ISNUMBER(AX160),DE160,0)</f>
        <v>0</v>
      </c>
      <c r="FJ160" s="28" t="n">
        <f aca="false">IF(ISNUMBER(BB160),DF160,0)</f>
        <v>0</v>
      </c>
      <c r="FK160" s="28" t="n">
        <f aca="false">IF(ISNUMBER(BF160),DG160,0)</f>
        <v>0</v>
      </c>
      <c r="FL160" s="28" t="n">
        <f aca="false">IF(ISNUMBER(BJ160),DH160,0)</f>
        <v>0</v>
      </c>
      <c r="FM160" s="28" t="n">
        <f aca="false">IF(ISNUMBER(BN160),DI160,0)</f>
        <v>0</v>
      </c>
      <c r="FN160" s="28" t="n">
        <f aca="false">IF(ISNUMBER(BR160),DJ160,0)</f>
        <v>0</v>
      </c>
      <c r="FO160" s="28" t="str">
        <f aca="false">IFERROR(INDEX(Lists!$G$2:$G$20,MATCH($I160&amp;"|"&amp;$J160,Lists!$F$2:$F$20,0)),"")</f>
        <v>BM Exam</v>
      </c>
    </row>
    <row r="161" customFormat="false" ht="19.5" hidden="false" customHeight="true" outlineLevel="0" collapsed="false">
      <c r="A161" s="29" t="s">
        <v>190</v>
      </c>
      <c r="B161" s="29" t="s">
        <v>404</v>
      </c>
      <c r="C161" s="30" t="s">
        <v>192</v>
      </c>
      <c r="D161" s="30" t="s">
        <v>383</v>
      </c>
      <c r="E161" s="31" t="n">
        <v>5.3</v>
      </c>
      <c r="F161" s="30" t="n">
        <v>6</v>
      </c>
      <c r="G161" s="30"/>
      <c r="H161" s="32" t="s">
        <v>23</v>
      </c>
      <c r="I161" s="33" t="s">
        <v>365</v>
      </c>
      <c r="J161" s="32" t="s">
        <v>25</v>
      </c>
      <c r="K161" s="34" t="n">
        <f aca="false">IF(OR(M161="",$E161=""),"",M161-$E161)</f>
        <v>0.7</v>
      </c>
      <c r="L161" s="35" t="n">
        <f aca="false">IF(SUM(FA161:FN161)=0,"",SUM(EM161:EZ161)/SUM(FA161:FN161))</f>
        <v>68.6111111111111</v>
      </c>
      <c r="M161" s="36" t="n">
        <f aca="false">IF(OR(L161="",FO161=""),"",IFERROR(MATCH(L161,INDEX(Boundaries!$B$2:$I$30,MATCH(FO161,Boundaries!$A$2:$A$30,0),0),1)-1,""))</f>
        <v>6</v>
      </c>
      <c r="N161" s="37" t="n">
        <f aca="false">IF(COUNT($DY161:$EL161)&lt;2,"",INDEX($DK161:$DX161,MAX($DY161:$EL161))-INDEX($DK161:$DX161,MIN($DY161:$EL161)))</f>
        <v>-1</v>
      </c>
      <c r="O161" s="37" t="n">
        <f aca="false">IF(COUNT($DY161:$EL161)&lt;2,"",INDEX($DK161:$DX161,MAX($DY161:$EL161))-INDEX($DK161:$DX161,LARGE($DY161:$EL161,2)))</f>
        <v>-2</v>
      </c>
      <c r="P161" s="38" t="str">
        <f aca="false">IF(K161="","",IF(K161&gt;=0,"On/above target",IF(AND(N161&lt;&gt;"",N161&gt;=0.5),"Improving towards target",IF(AND(O161&lt;&gt;"",O161&lt;=-0.5),"Declining","Stable below target"))))</f>
        <v>On/above target</v>
      </c>
      <c r="Q161" s="39" t="n">
        <v>17</v>
      </c>
      <c r="R161" s="40" t="n">
        <f aca="false">IF(OR(Q161="",BU161=""),"",Q161/BU161*100)</f>
        <v>70.8333333333333</v>
      </c>
      <c r="S161" s="41" t="n">
        <f aca="false">IF(R161="","",IFERROR(MATCH(R161,INDEX(Boundaries!$B$2:$I$30,MATCH(CI161,Boundaries!$A$2:$A$30,0),0),1)-1,""))</f>
        <v>6</v>
      </c>
      <c r="T161" s="42" t="n">
        <f aca="false">IF(OR(S161="",$E161=""),"",S161-$E161)</f>
        <v>0.7</v>
      </c>
      <c r="U161" s="39" t="n">
        <v>16</v>
      </c>
      <c r="V161" s="40" t="n">
        <f aca="false">IF(OR(U161="",BV161=""),"",U161/BV161*100)</f>
        <v>80</v>
      </c>
      <c r="W161" s="41" t="n">
        <f aca="false">IF(V161="","",IFERROR(MATCH(V161,INDEX(Boundaries!$B$2:$I$30,MATCH(CJ161,Boundaries!$A$2:$A$30,0),0),1)-1,""))</f>
        <v>7</v>
      </c>
      <c r="X161" s="42" t="n">
        <f aca="false">IF(OR(W161="",$E161=""),"",W161-$E161)</f>
        <v>1.7</v>
      </c>
      <c r="Y161" s="39" t="n">
        <v>11</v>
      </c>
      <c r="Z161" s="40" t="n">
        <f aca="false">IF(OR(Y161="",BW161=""),"",Y161/BW161*100)</f>
        <v>55</v>
      </c>
      <c r="AA161" s="41" t="n">
        <f aca="false">IF(Z161="","",IFERROR(MATCH(Z161,INDEX(Boundaries!$B$2:$I$30,MATCH(CK161,Boundaries!$A$2:$A$30,0),0),1)-1,""))</f>
        <v>5</v>
      </c>
      <c r="AB161" s="42" t="n">
        <f aca="false">IF(OR(AA161="",$E161=""),"",AA161-$E161)</f>
        <v>-0.3</v>
      </c>
      <c r="AC161" s="39"/>
      <c r="AD161" s="40" t="str">
        <f aca="false">IF(OR(AC161="",BX161=""),"",AC161/BX161*100)</f>
        <v/>
      </c>
      <c r="AE161" s="41" t="str">
        <f aca="false">IF(AD161="","",IFERROR(MATCH(AD161,INDEX(Boundaries!$B$2:$I$30,MATCH(CL161,Boundaries!$A$2:$A$30,0),0),1)-1,""))</f>
        <v/>
      </c>
      <c r="AF161" s="42" t="str">
        <f aca="false">IF(OR(AE161="",$E161=""),"",AE161-$E161)</f>
        <v/>
      </c>
      <c r="AG161" s="39"/>
      <c r="AH161" s="40" t="str">
        <f aca="false">IF(OR(AG161="",BY161=""),"",AG161/BY161*100)</f>
        <v/>
      </c>
      <c r="AI161" s="41" t="str">
        <f aca="false">IF(AH161="","",IFERROR(MATCH(AH161,INDEX(Boundaries!$B$2:$I$30,MATCH(CM161,Boundaries!$A$2:$A$30,0),0),1)-1,""))</f>
        <v/>
      </c>
      <c r="AJ161" s="42" t="str">
        <f aca="false">IF(OR(AI161="",$E161=""),"",AI161-$E161)</f>
        <v/>
      </c>
      <c r="AK161" s="39"/>
      <c r="AL161" s="40" t="str">
        <f aca="false">IF(OR(AK161="",BZ161=""),"",AK161/BZ161*100)</f>
        <v/>
      </c>
      <c r="AM161" s="41" t="str">
        <f aca="false">IF(AL161="","",IFERROR(MATCH(AL161,INDEX(Boundaries!$B$2:$I$30,MATCH(CN161,Boundaries!$A$2:$A$30,0),0),1)-1,""))</f>
        <v/>
      </c>
      <c r="AN161" s="42" t="str">
        <f aca="false">IF(OR(AM161="",$E161=""),"",AM161-$E161)</f>
        <v/>
      </c>
      <c r="AO161" s="39"/>
      <c r="AP161" s="40" t="str">
        <f aca="false">IF(OR(AO161="",CA161=""),"",AO161/CA161*100)</f>
        <v/>
      </c>
      <c r="AQ161" s="41" t="str">
        <f aca="false">IF(AP161="","",IFERROR(MATCH(AP161,INDEX(Boundaries!$B$2:$I$30,MATCH(CO161,Boundaries!$A$2:$A$30,0),0),1)-1,""))</f>
        <v/>
      </c>
      <c r="AR161" s="42" t="str">
        <f aca="false">IF(OR(AQ161="",$E161=""),"",AQ161-$E161)</f>
        <v/>
      </c>
      <c r="AS161" s="39"/>
      <c r="AT161" s="40" t="str">
        <f aca="false">IF(OR(AS161="",CB161=""),"",AS161/CB161*100)</f>
        <v/>
      </c>
      <c r="AU161" s="41" t="str">
        <f aca="false">IF(AT161="","",IFERROR(MATCH(AT161,INDEX(Boundaries!$B$2:$I$30,MATCH(CP161,Boundaries!$A$2:$A$30,0),0),1)-1,""))</f>
        <v/>
      </c>
      <c r="AV161" s="42" t="str">
        <f aca="false">IF(OR(AU161="",$E161=""),"",AU161-$E161)</f>
        <v/>
      </c>
      <c r="AW161" s="39"/>
      <c r="AX161" s="40" t="str">
        <f aca="false">IF(OR(AW161="",CC161=""),"",AW161/CC161*100)</f>
        <v/>
      </c>
      <c r="AY161" s="41" t="str">
        <f aca="false">IF(AX161="","",IFERROR(MATCH(AX161,INDEX(Boundaries!$B$2:$I$30,MATCH(CQ161,Boundaries!$A$2:$A$30,0),0),1)-1,""))</f>
        <v/>
      </c>
      <c r="AZ161" s="42" t="str">
        <f aca="false">IF(OR(AY161="",$E161=""),"",AY161-$E161)</f>
        <v/>
      </c>
      <c r="BA161" s="39"/>
      <c r="BB161" s="40" t="str">
        <f aca="false">IF(OR(BA161="",CD161=""),"",BA161/CD161*100)</f>
        <v/>
      </c>
      <c r="BC161" s="41" t="str">
        <f aca="false">IF(BB161="","",IFERROR(MATCH(BB161,INDEX(Boundaries!$B$2:$I$30,MATCH(CR161,Boundaries!$A$2:$A$30,0),0),1)-1,""))</f>
        <v/>
      </c>
      <c r="BD161" s="42" t="str">
        <f aca="false">IF(OR(BC161="",$E161=""),"",BC161-$E161)</f>
        <v/>
      </c>
      <c r="BE161" s="39"/>
      <c r="BF161" s="40" t="str">
        <f aca="false">IF(OR(BE161="",CE161=""),"",BE161/CE161*100)</f>
        <v/>
      </c>
      <c r="BG161" s="41" t="str">
        <f aca="false">IF(BF161="","",IFERROR(MATCH(BF161,INDEX(Boundaries!$B$2:$I$30,MATCH(CS161,Boundaries!$A$2:$A$30,0),0),1)-1,""))</f>
        <v/>
      </c>
      <c r="BH161" s="42" t="str">
        <f aca="false">IF(OR(BG161="",$E161=""),"",BG161-$E161)</f>
        <v/>
      </c>
      <c r="BI161" s="39"/>
      <c r="BJ161" s="40" t="str">
        <f aca="false">IF(OR(BI161="",CF161=""),"",BI161/CF161*100)</f>
        <v/>
      </c>
      <c r="BK161" s="41" t="str">
        <f aca="false">IF(BJ161="","",IFERROR(MATCH(BJ161,INDEX(Boundaries!$B$2:$I$30,MATCH(CT161,Boundaries!$A$2:$A$30,0),0),1)-1,""))</f>
        <v/>
      </c>
      <c r="BL161" s="42" t="str">
        <f aca="false">IF(OR(BK161="",$E161=""),"",BK161-$E161)</f>
        <v/>
      </c>
      <c r="BM161" s="39"/>
      <c r="BN161" s="40" t="str">
        <f aca="false">IF(OR(BM161="",CG161=""),"",BM161/CG161*100)</f>
        <v/>
      </c>
      <c r="BO161" s="41" t="str">
        <f aca="false">IF(BN161="","",IFERROR(MATCH(BN161,INDEX(Boundaries!$B$2:$I$30,MATCH(CU161,Boundaries!$A$2:$A$30,0),0),1)-1,""))</f>
        <v/>
      </c>
      <c r="BP161" s="42" t="str">
        <f aca="false">IF(OR(BO161="",$E161=""),"",BO161-$E161)</f>
        <v/>
      </c>
      <c r="BQ161" s="39"/>
      <c r="BR161" s="40" t="str">
        <f aca="false">IF(OR(BQ161="",CH161=""),"",BQ161/CH161*100)</f>
        <v/>
      </c>
      <c r="BS161" s="41" t="str">
        <f aca="false">IF(BR161="","",IFERROR(MATCH(BR161,INDEX(Boundaries!$B$2:$I$30,MATCH(CV161,Boundaries!$A$2:$A$30,0),0),1)-1,""))</f>
        <v/>
      </c>
      <c r="BT161" s="42" t="str">
        <f aca="false">IF(OR(BS161="",$E161=""),"",BS161-$E161)</f>
        <v/>
      </c>
      <c r="BU161" s="28" t="n">
        <f aca="false">IFERROR(INDEX(Assessments!$H$2:$H$600,MATCH($H161&amp;"|"&amp;$I161&amp;"|"&amp;$J161&amp;"|"&amp;1,Assessments!$A$2:$A$600,0)),"")</f>
        <v>24</v>
      </c>
      <c r="BV161" s="28" t="n">
        <f aca="false">IFERROR(INDEX(Assessments!$H$2:$H$600,MATCH($H161&amp;"|"&amp;$I161&amp;"|"&amp;$J161&amp;"|"&amp;2,Assessments!$A$2:$A$600,0)),"")</f>
        <v>20</v>
      </c>
      <c r="BW161" s="28" t="n">
        <f aca="false">IFERROR(INDEX(Assessments!$H$2:$H$600,MATCH($H161&amp;"|"&amp;$I161&amp;"|"&amp;$J161&amp;"|"&amp;3,Assessments!$A$2:$A$600,0)),"")</f>
        <v>20</v>
      </c>
      <c r="BX161" s="28" t="n">
        <f aca="false">IFERROR(INDEX(Assessments!$H$2:$H$600,MATCH($H161&amp;"|"&amp;$I161&amp;"|"&amp;$J161&amp;"|"&amp;4,Assessments!$A$2:$A$600,0)),"")</f>
        <v>40</v>
      </c>
      <c r="BY161" s="28" t="n">
        <f aca="false">IFERROR(INDEX(Assessments!$H$2:$H$600,MATCH($H161&amp;"|"&amp;$I161&amp;"|"&amp;$J161&amp;"|"&amp;5,Assessments!$A$2:$A$600,0)),"")</f>
        <v>30</v>
      </c>
      <c r="BZ161" s="28" t="n">
        <f aca="false">IFERROR(INDEX(Assessments!$H$2:$H$600,MATCH($H161&amp;"|"&amp;$I161&amp;"|"&amp;$J161&amp;"|"&amp;6,Assessments!$A$2:$A$600,0)),"")</f>
        <v>20</v>
      </c>
      <c r="CA161" s="28" t="n">
        <f aca="false">IFERROR(INDEX(Assessments!$H$2:$H$600,MATCH($H161&amp;"|"&amp;$I161&amp;"|"&amp;$J161&amp;"|"&amp;7,Assessments!$A$2:$A$600,0)),"")</f>
        <v>7</v>
      </c>
      <c r="CB161" s="28" t="str">
        <f aca="false">IFERROR(INDEX(Assessments!$H$2:$H$600,MATCH($H161&amp;"|"&amp;$I161&amp;"|"&amp;$J161&amp;"|"&amp;8,Assessments!$A$2:$A$600,0)),"")</f>
        <v/>
      </c>
      <c r="CC161" s="28" t="str">
        <f aca="false">IFERROR(INDEX(Assessments!$H$2:$H$600,MATCH($H161&amp;"|"&amp;$I161&amp;"|"&amp;$J161&amp;"|"&amp;9,Assessments!$A$2:$A$600,0)),"")</f>
        <v/>
      </c>
      <c r="CD161" s="28" t="str">
        <f aca="false">IFERROR(INDEX(Assessments!$H$2:$H$600,MATCH($H161&amp;"|"&amp;$I161&amp;"|"&amp;$J161&amp;"|"&amp;10,Assessments!$A$2:$A$600,0)),"")</f>
        <v/>
      </c>
      <c r="CE161" s="28" t="str">
        <f aca="false">IFERROR(INDEX(Assessments!$H$2:$H$600,MATCH($H161&amp;"|"&amp;$I161&amp;"|"&amp;$J161&amp;"|"&amp;11,Assessments!$A$2:$A$600,0)),"")</f>
        <v/>
      </c>
      <c r="CF161" s="28" t="str">
        <f aca="false">IFERROR(INDEX(Assessments!$H$2:$H$600,MATCH($H161&amp;"|"&amp;$I161&amp;"|"&amp;$J161&amp;"|"&amp;12,Assessments!$A$2:$A$600,0)),"")</f>
        <v/>
      </c>
      <c r="CG161" s="28" t="str">
        <f aca="false">IFERROR(INDEX(Assessments!$H$2:$H$600,MATCH($H161&amp;"|"&amp;$I161&amp;"|"&amp;$J161&amp;"|"&amp;13,Assessments!$A$2:$A$600,0)),"")</f>
        <v/>
      </c>
      <c r="CH161" s="28" t="str">
        <f aca="false">IFERROR(INDEX(Assessments!$H$2:$H$600,MATCH($H161&amp;"|"&amp;$I161&amp;"|"&amp;$J161&amp;"|"&amp;14,Assessments!$A$2:$A$600,0)),"")</f>
        <v/>
      </c>
      <c r="CI161" s="28" t="str">
        <f aca="false">IFERROR(INDEX(Assessments!$I$2:$I$600,MATCH($H161&amp;"|"&amp;$I161&amp;"|"&amp;$J161&amp;"|"&amp;1,Assessments!$A$2:$A$600,0)),"")</f>
        <v>BM Test</v>
      </c>
      <c r="CJ161" s="28" t="str">
        <f aca="false">IFERROR(INDEX(Assessments!$I$2:$I$600,MATCH($H161&amp;"|"&amp;$I161&amp;"|"&amp;$J161&amp;"|"&amp;2,Assessments!$A$2:$A$600,0)),"")</f>
        <v>BM Test</v>
      </c>
      <c r="CK161" s="28" t="str">
        <f aca="false">IFERROR(INDEX(Assessments!$I$2:$I$600,MATCH($H161&amp;"|"&amp;$I161&amp;"|"&amp;$J161&amp;"|"&amp;3,Assessments!$A$2:$A$600,0)),"")</f>
        <v>BM Test</v>
      </c>
      <c r="CL161" s="28" t="str">
        <f aca="false">IFERROR(INDEX(Assessments!$I$2:$I$600,MATCH($H161&amp;"|"&amp;$I161&amp;"|"&amp;$J161&amp;"|"&amp;4,Assessments!$A$2:$A$600,0)),"")</f>
        <v>BM Exam</v>
      </c>
      <c r="CM161" s="28" t="str">
        <f aca="false">IFERROR(INDEX(Assessments!$I$2:$I$600,MATCH($H161&amp;"|"&amp;$I161&amp;"|"&amp;$J161&amp;"|"&amp;5,Assessments!$A$2:$A$600,0)),"")</f>
        <v>BM Test</v>
      </c>
      <c r="CN161" s="28" t="str">
        <f aca="false">IFERROR(INDEX(Assessments!$I$2:$I$600,MATCH($H161&amp;"|"&amp;$I161&amp;"|"&amp;$J161&amp;"|"&amp;6,Assessments!$A$2:$A$600,0)),"")</f>
        <v>BM Test</v>
      </c>
      <c r="CO161" s="28" t="str">
        <f aca="false">IFERROR(INDEX(Assessments!$I$2:$I$600,MATCH($H161&amp;"|"&amp;$I161&amp;"|"&amp;$J161&amp;"|"&amp;7,Assessments!$A$2:$A$600,0)),"")</f>
        <v>Grade entered</v>
      </c>
      <c r="CP161" s="28" t="str">
        <f aca="false">IFERROR(INDEX(Assessments!$I$2:$I$600,MATCH($H161&amp;"|"&amp;$I161&amp;"|"&amp;$J161&amp;"|"&amp;8,Assessments!$A$2:$A$600,0)),"")</f>
        <v/>
      </c>
      <c r="CQ161" s="28" t="str">
        <f aca="false">IFERROR(INDEX(Assessments!$I$2:$I$600,MATCH($H161&amp;"|"&amp;$I161&amp;"|"&amp;$J161&amp;"|"&amp;9,Assessments!$A$2:$A$600,0)),"")</f>
        <v/>
      </c>
      <c r="CR161" s="28" t="str">
        <f aca="false">IFERROR(INDEX(Assessments!$I$2:$I$600,MATCH($H161&amp;"|"&amp;$I161&amp;"|"&amp;$J161&amp;"|"&amp;10,Assessments!$A$2:$A$600,0)),"")</f>
        <v/>
      </c>
      <c r="CS161" s="28" t="str">
        <f aca="false">IFERROR(INDEX(Assessments!$I$2:$I$600,MATCH($H161&amp;"|"&amp;$I161&amp;"|"&amp;$J161&amp;"|"&amp;11,Assessments!$A$2:$A$600,0)),"")</f>
        <v/>
      </c>
      <c r="CT161" s="28" t="str">
        <f aca="false">IFERROR(INDEX(Assessments!$I$2:$I$600,MATCH($H161&amp;"|"&amp;$I161&amp;"|"&amp;$J161&amp;"|"&amp;12,Assessments!$A$2:$A$600,0)),"")</f>
        <v/>
      </c>
      <c r="CU161" s="28" t="str">
        <f aca="false">IFERROR(INDEX(Assessments!$I$2:$I$600,MATCH($H161&amp;"|"&amp;$I161&amp;"|"&amp;$J161&amp;"|"&amp;13,Assessments!$A$2:$A$600,0)),"")</f>
        <v/>
      </c>
      <c r="CV161" s="28" t="str">
        <f aca="false">IFERROR(INDEX(Assessments!$I$2:$I$600,MATCH($H161&amp;"|"&amp;$I161&amp;"|"&amp;$J161&amp;"|"&amp;14,Assessments!$A$2:$A$600,0)),"")</f>
        <v/>
      </c>
      <c r="CW161" s="28" t="n">
        <f aca="false">IFERROR(INDEX(Assessments!$J$2:$J$600,MATCH($H161&amp;"|"&amp;$I161&amp;"|"&amp;$J161&amp;"|"&amp;1,Assessments!$A$2:$A$600,0)),0)</f>
        <v>1</v>
      </c>
      <c r="CX161" s="28" t="n">
        <f aca="false">IFERROR(INDEX(Assessments!$J$2:$J$600,MATCH($H161&amp;"|"&amp;$I161&amp;"|"&amp;$J161&amp;"|"&amp;2,Assessments!$A$2:$A$600,0)),0)</f>
        <v>1</v>
      </c>
      <c r="CY161" s="28" t="n">
        <f aca="false">IFERROR(INDEX(Assessments!$J$2:$J$600,MATCH($H161&amp;"|"&amp;$I161&amp;"|"&amp;$J161&amp;"|"&amp;3,Assessments!$A$2:$A$600,0)),0)</f>
        <v>1</v>
      </c>
      <c r="CZ161" s="28" t="n">
        <f aca="false">IFERROR(INDEX(Assessments!$J$2:$J$600,MATCH($H161&amp;"|"&amp;$I161&amp;"|"&amp;$J161&amp;"|"&amp;4,Assessments!$A$2:$A$600,0)),0)</f>
        <v>2</v>
      </c>
      <c r="DA161" s="28" t="n">
        <f aca="false">IFERROR(INDEX(Assessments!$J$2:$J$600,MATCH($H161&amp;"|"&amp;$I161&amp;"|"&amp;$J161&amp;"|"&amp;5,Assessments!$A$2:$A$600,0)),0)</f>
        <v>1</v>
      </c>
      <c r="DB161" s="28" t="n">
        <f aca="false">IFERROR(INDEX(Assessments!$J$2:$J$600,MATCH($H161&amp;"|"&amp;$I161&amp;"|"&amp;$J161&amp;"|"&amp;6,Assessments!$A$2:$A$600,0)),0)</f>
        <v>1</v>
      </c>
      <c r="DC161" s="28" t="n">
        <f aca="false">IFERROR(INDEX(Assessments!$J$2:$J$600,MATCH($H161&amp;"|"&amp;$I161&amp;"|"&amp;$J161&amp;"|"&amp;7,Assessments!$A$2:$A$600,0)),0)</f>
        <v>2</v>
      </c>
      <c r="DD161" s="28" t="n">
        <f aca="false">IFERROR(INDEX(Assessments!$J$2:$J$600,MATCH($H161&amp;"|"&amp;$I161&amp;"|"&amp;$J161&amp;"|"&amp;8,Assessments!$A$2:$A$600,0)),0)</f>
        <v>0</v>
      </c>
      <c r="DE161" s="28" t="n">
        <f aca="false">IFERROR(INDEX(Assessments!$J$2:$J$600,MATCH($H161&amp;"|"&amp;$I161&amp;"|"&amp;$J161&amp;"|"&amp;9,Assessments!$A$2:$A$600,0)),0)</f>
        <v>0</v>
      </c>
      <c r="DF161" s="28" t="n">
        <f aca="false">IFERROR(INDEX(Assessments!$J$2:$J$600,MATCH($H161&amp;"|"&amp;$I161&amp;"|"&amp;$J161&amp;"|"&amp;10,Assessments!$A$2:$A$600,0)),0)</f>
        <v>0</v>
      </c>
      <c r="DG161" s="28" t="n">
        <f aca="false">IFERROR(INDEX(Assessments!$J$2:$J$600,MATCH($H161&amp;"|"&amp;$I161&amp;"|"&amp;$J161&amp;"|"&amp;11,Assessments!$A$2:$A$600,0)),0)</f>
        <v>0</v>
      </c>
      <c r="DH161" s="28" t="n">
        <f aca="false">IFERROR(INDEX(Assessments!$J$2:$J$600,MATCH($H161&amp;"|"&amp;$I161&amp;"|"&amp;$J161&amp;"|"&amp;12,Assessments!$A$2:$A$600,0)),0)</f>
        <v>0</v>
      </c>
      <c r="DI161" s="28" t="n">
        <f aca="false">IFERROR(INDEX(Assessments!$J$2:$J$600,MATCH($H161&amp;"|"&amp;$I161&amp;"|"&amp;$J161&amp;"|"&amp;13,Assessments!$A$2:$A$600,0)),0)</f>
        <v>0</v>
      </c>
      <c r="DJ161" s="28" t="n">
        <f aca="false">IFERROR(INDEX(Assessments!$J$2:$J$600,MATCH($H161&amp;"|"&amp;$I161&amp;"|"&amp;$J161&amp;"|"&amp;14,Assessments!$A$2:$A$600,0)),0)</f>
        <v>0</v>
      </c>
      <c r="DK161" s="28" t="n">
        <f aca="false">S161</f>
        <v>6</v>
      </c>
      <c r="DL161" s="28" t="n">
        <f aca="false">W161</f>
        <v>7</v>
      </c>
      <c r="DM161" s="28" t="n">
        <f aca="false">AA161</f>
        <v>5</v>
      </c>
      <c r="DN161" s="28" t="str">
        <f aca="false">AE161</f>
        <v/>
      </c>
      <c r="DO161" s="28" t="str">
        <f aca="false">AI161</f>
        <v/>
      </c>
      <c r="DP161" s="28" t="str">
        <f aca="false">AM161</f>
        <v/>
      </c>
      <c r="DQ161" s="28" t="str">
        <f aca="false">AQ161</f>
        <v/>
      </c>
      <c r="DR161" s="28" t="str">
        <f aca="false">AU161</f>
        <v/>
      </c>
      <c r="DS161" s="28" t="str">
        <f aca="false">AY161</f>
        <v/>
      </c>
      <c r="DT161" s="28" t="str">
        <f aca="false">BC161</f>
        <v/>
      </c>
      <c r="DU161" s="28" t="str">
        <f aca="false">BG161</f>
        <v/>
      </c>
      <c r="DV161" s="28" t="str">
        <f aca="false">BK161</f>
        <v/>
      </c>
      <c r="DW161" s="28" t="str">
        <f aca="false">BO161</f>
        <v/>
      </c>
      <c r="DX161" s="28" t="str">
        <f aca="false">BS161</f>
        <v/>
      </c>
      <c r="DY161" s="28" t="n">
        <f aca="false">IF(ISNUMBER(S161),1,"")</f>
        <v>1</v>
      </c>
      <c r="DZ161" s="28" t="n">
        <f aca="false">IF(ISNUMBER(W161),2,"")</f>
        <v>2</v>
      </c>
      <c r="EA161" s="28" t="n">
        <f aca="false">IF(ISNUMBER(AA161),3,"")</f>
        <v>3</v>
      </c>
      <c r="EB161" s="28" t="str">
        <f aca="false">IF(ISNUMBER(AE161),4,"")</f>
        <v/>
      </c>
      <c r="EC161" s="28" t="str">
        <f aca="false">IF(ISNUMBER(AI161),5,"")</f>
        <v/>
      </c>
      <c r="ED161" s="28" t="str">
        <f aca="false">IF(ISNUMBER(AM161),6,"")</f>
        <v/>
      </c>
      <c r="EE161" s="28" t="str">
        <f aca="false">IF(ISNUMBER(AQ161),7,"")</f>
        <v/>
      </c>
      <c r="EF161" s="28" t="str">
        <f aca="false">IF(ISNUMBER(AU161),8,"")</f>
        <v/>
      </c>
      <c r="EG161" s="28" t="str">
        <f aca="false">IF(ISNUMBER(AY161),9,"")</f>
        <v/>
      </c>
      <c r="EH161" s="28" t="str">
        <f aca="false">IF(ISNUMBER(BC161),10,"")</f>
        <v/>
      </c>
      <c r="EI161" s="28" t="str">
        <f aca="false">IF(ISNUMBER(BG161),11,"")</f>
        <v/>
      </c>
      <c r="EJ161" s="28" t="str">
        <f aca="false">IF(ISNUMBER(BK161),12,"")</f>
        <v/>
      </c>
      <c r="EK161" s="28" t="str">
        <f aca="false">IF(ISNUMBER(BO161),13,"")</f>
        <v/>
      </c>
      <c r="EL161" s="28" t="str">
        <f aca="false">IF(ISNUMBER(BS161),14,"")</f>
        <v/>
      </c>
      <c r="EM161" s="28" t="n">
        <f aca="false">IF(ISNUMBER(R161),R161*CW161,0)</f>
        <v>70.8333333333333</v>
      </c>
      <c r="EN161" s="28" t="n">
        <f aca="false">IF(ISNUMBER(V161),V161*CX161,0)</f>
        <v>80</v>
      </c>
      <c r="EO161" s="28" t="n">
        <f aca="false">IF(ISNUMBER(Z161),Z161*CY161,0)</f>
        <v>55</v>
      </c>
      <c r="EP161" s="28" t="n">
        <f aca="false">IF(ISNUMBER(AD161),AD161*CZ161,0)</f>
        <v>0</v>
      </c>
      <c r="EQ161" s="28" t="n">
        <f aca="false">IF(ISNUMBER(AH161),AH161*DA161,0)</f>
        <v>0</v>
      </c>
      <c r="ER161" s="28" t="n">
        <f aca="false">IF(ISNUMBER(AL161),AL161*DB161,0)</f>
        <v>0</v>
      </c>
      <c r="ES161" s="28" t="n">
        <f aca="false">IF(ISNUMBER(AP161),AP161*DC161,0)</f>
        <v>0</v>
      </c>
      <c r="ET161" s="28" t="n">
        <f aca="false">IF(ISNUMBER(AT161),AT161*DD161,0)</f>
        <v>0</v>
      </c>
      <c r="EU161" s="28" t="n">
        <f aca="false">IF(ISNUMBER(AX161),AX161*DE161,0)</f>
        <v>0</v>
      </c>
      <c r="EV161" s="28" t="n">
        <f aca="false">IF(ISNUMBER(BB161),BB161*DF161,0)</f>
        <v>0</v>
      </c>
      <c r="EW161" s="28" t="n">
        <f aca="false">IF(ISNUMBER(BF161),BF161*DG161,0)</f>
        <v>0</v>
      </c>
      <c r="EX161" s="28" t="n">
        <f aca="false">IF(ISNUMBER(BJ161),BJ161*DH161,0)</f>
        <v>0</v>
      </c>
      <c r="EY161" s="28" t="n">
        <f aca="false">IF(ISNUMBER(BN161),BN161*DI161,0)</f>
        <v>0</v>
      </c>
      <c r="EZ161" s="28" t="n">
        <f aca="false">IF(ISNUMBER(BR161),BR161*DJ161,0)</f>
        <v>0</v>
      </c>
      <c r="FA161" s="28" t="n">
        <f aca="false">IF(ISNUMBER(R161),CW161,0)</f>
        <v>1</v>
      </c>
      <c r="FB161" s="28" t="n">
        <f aca="false">IF(ISNUMBER(V161),CX161,0)</f>
        <v>1</v>
      </c>
      <c r="FC161" s="28" t="n">
        <f aca="false">IF(ISNUMBER(Z161),CY161,0)</f>
        <v>1</v>
      </c>
      <c r="FD161" s="28" t="n">
        <f aca="false">IF(ISNUMBER(AD161),CZ161,0)</f>
        <v>0</v>
      </c>
      <c r="FE161" s="28" t="n">
        <f aca="false">IF(ISNUMBER(AH161),DA161,0)</f>
        <v>0</v>
      </c>
      <c r="FF161" s="28" t="n">
        <f aca="false">IF(ISNUMBER(AL161),DB161,0)</f>
        <v>0</v>
      </c>
      <c r="FG161" s="28" t="n">
        <f aca="false">IF(ISNUMBER(AP161),DC161,0)</f>
        <v>0</v>
      </c>
      <c r="FH161" s="28" t="n">
        <f aca="false">IF(ISNUMBER(AT161),DD161,0)</f>
        <v>0</v>
      </c>
      <c r="FI161" s="28" t="n">
        <f aca="false">IF(ISNUMBER(AX161),DE161,0)</f>
        <v>0</v>
      </c>
      <c r="FJ161" s="28" t="n">
        <f aca="false">IF(ISNUMBER(BB161),DF161,0)</f>
        <v>0</v>
      </c>
      <c r="FK161" s="28" t="n">
        <f aca="false">IF(ISNUMBER(BF161),DG161,0)</f>
        <v>0</v>
      </c>
      <c r="FL161" s="28" t="n">
        <f aca="false">IF(ISNUMBER(BJ161),DH161,0)</f>
        <v>0</v>
      </c>
      <c r="FM161" s="28" t="n">
        <f aca="false">IF(ISNUMBER(BN161),DI161,0)</f>
        <v>0</v>
      </c>
      <c r="FN161" s="28" t="n">
        <f aca="false">IF(ISNUMBER(BR161),DJ161,0)</f>
        <v>0</v>
      </c>
      <c r="FO161" s="28" t="str">
        <f aca="false">IFERROR(INDEX(Lists!$G$2:$G$20,MATCH($I161&amp;"|"&amp;$J161,Lists!$F$2:$F$20,0)),"")</f>
        <v>BM Exam</v>
      </c>
    </row>
    <row r="162" customFormat="false" ht="19.5" hidden="false" customHeight="true" outlineLevel="0" collapsed="false">
      <c r="A162" s="29" t="s">
        <v>163</v>
      </c>
      <c r="B162" s="29" t="s">
        <v>164</v>
      </c>
      <c r="C162" s="30" t="s">
        <v>192</v>
      </c>
      <c r="D162" s="30" t="s">
        <v>383</v>
      </c>
      <c r="E162" s="31" t="n">
        <v>5.7</v>
      </c>
      <c r="F162" s="30" t="n">
        <v>6</v>
      </c>
      <c r="G162" s="30"/>
      <c r="H162" s="32" t="s">
        <v>23</v>
      </c>
      <c r="I162" s="33" t="s">
        <v>365</v>
      </c>
      <c r="J162" s="32" t="s">
        <v>25</v>
      </c>
      <c r="K162" s="34" t="n">
        <f aca="false">IF(OR(M162="",$E162=""),"",M162-$E162)</f>
        <v>1.3</v>
      </c>
      <c r="L162" s="35" t="n">
        <f aca="false">IF(SUM(FA162:FN162)=0,"",SUM(EM162:EZ162)/SUM(FA162:FN162))</f>
        <v>85.2083333333333</v>
      </c>
      <c r="M162" s="36" t="n">
        <f aca="false">IF(OR(L162="",FO162=""),"",IFERROR(MATCH(L162,INDEX(Boundaries!$B$2:$I$30,MATCH(FO162,Boundaries!$A$2:$A$30,0),0),1)-1,""))</f>
        <v>7</v>
      </c>
      <c r="N162" s="37" t="n">
        <f aca="false">IF(COUNT($DY162:$EL162)&lt;2,"",INDEX($DK162:$DX162,MAX($DY162:$EL162))-INDEX($DK162:$DX162,MIN($DY162:$EL162)))</f>
        <v>1</v>
      </c>
      <c r="O162" s="37" t="n">
        <f aca="false">IF(COUNT($DY162:$EL162)&lt;2,"",INDEX($DK162:$DX162,MAX($DY162:$EL162))-INDEX($DK162:$DX162,LARGE($DY162:$EL162,2)))</f>
        <v>1</v>
      </c>
      <c r="P162" s="38" t="str">
        <f aca="false">IF(K162="","",IF(K162&gt;=0,"On/above target",IF(AND(N162&lt;&gt;"",N162&gt;=0.5),"Improving towards target",IF(AND(O162&lt;&gt;"",O162&lt;=-0.5),"Declining","Stable below target"))))</f>
        <v>On/above target</v>
      </c>
      <c r="Q162" s="39" t="n">
        <v>17</v>
      </c>
      <c r="R162" s="40" t="n">
        <f aca="false">IF(OR(Q162="",BU162=""),"",Q162/BU162*100)</f>
        <v>70.8333333333333</v>
      </c>
      <c r="S162" s="41" t="n">
        <f aca="false">IF(R162="","",IFERROR(MATCH(R162,INDEX(Boundaries!$B$2:$I$30,MATCH(CI162,Boundaries!$A$2:$A$30,0),0),1)-1,""))</f>
        <v>6</v>
      </c>
      <c r="T162" s="42" t="n">
        <f aca="false">IF(OR(S162="",$E162=""),"",S162-$E162)</f>
        <v>0.3</v>
      </c>
      <c r="U162" s="39" t="n">
        <v>14</v>
      </c>
      <c r="V162" s="40" t="n">
        <f aca="false">IF(OR(U162="",BV162=""),"",U162/BV162*100)</f>
        <v>70</v>
      </c>
      <c r="W162" s="41" t="n">
        <f aca="false">IF(V162="","",IFERROR(MATCH(V162,INDEX(Boundaries!$B$2:$I$30,MATCH(CJ162,Boundaries!$A$2:$A$30,0),0),1)-1,""))</f>
        <v>6</v>
      </c>
      <c r="X162" s="42" t="n">
        <f aca="false">IF(OR(W162="",$E162=""),"",W162-$E162)</f>
        <v>0.3</v>
      </c>
      <c r="Y162" s="39"/>
      <c r="Z162" s="40" t="str">
        <f aca="false">IF(OR(Y162="",BW162=""),"",Y162/BW162*100)</f>
        <v/>
      </c>
      <c r="AA162" s="41" t="str">
        <f aca="false">IF(Z162="","",IFERROR(MATCH(Z162,INDEX(Boundaries!$B$2:$I$30,MATCH(CK162,Boundaries!$A$2:$A$30,0),0),1)-1,""))</f>
        <v/>
      </c>
      <c r="AB162" s="42" t="str">
        <f aca="false">IF(OR(AA162="",$E162=""),"",AA162-$E162)</f>
        <v/>
      </c>
      <c r="AC162" s="39"/>
      <c r="AD162" s="40" t="str">
        <f aca="false">IF(OR(AC162="",BX162=""),"",AC162/BX162*100)</f>
        <v/>
      </c>
      <c r="AE162" s="41" t="str">
        <f aca="false">IF(AD162="","",IFERROR(MATCH(AD162,INDEX(Boundaries!$B$2:$I$30,MATCH(CL162,Boundaries!$A$2:$A$30,0),0),1)-1,""))</f>
        <v/>
      </c>
      <c r="AF162" s="42" t="str">
        <f aca="false">IF(OR(AE162="",$E162=""),"",AE162-$E162)</f>
        <v/>
      </c>
      <c r="AG162" s="39"/>
      <c r="AH162" s="40" t="str">
        <f aca="false">IF(OR(AG162="",BY162=""),"",AG162/BY162*100)</f>
        <v/>
      </c>
      <c r="AI162" s="41" t="str">
        <f aca="false">IF(AH162="","",IFERROR(MATCH(AH162,INDEX(Boundaries!$B$2:$I$30,MATCH(CM162,Boundaries!$A$2:$A$30,0),0),1)-1,""))</f>
        <v/>
      </c>
      <c r="AJ162" s="42" t="str">
        <f aca="false">IF(OR(AI162="",$E162=""),"",AI162-$E162)</f>
        <v/>
      </c>
      <c r="AK162" s="39"/>
      <c r="AL162" s="40" t="str">
        <f aca="false">IF(OR(AK162="",BZ162=""),"",AK162/BZ162*100)</f>
        <v/>
      </c>
      <c r="AM162" s="41" t="str">
        <f aca="false">IF(AL162="","",IFERROR(MATCH(AL162,INDEX(Boundaries!$B$2:$I$30,MATCH(CN162,Boundaries!$A$2:$A$30,0),0),1)-1,""))</f>
        <v/>
      </c>
      <c r="AN162" s="42" t="str">
        <f aca="false">IF(OR(AM162="",$E162=""),"",AM162-$E162)</f>
        <v/>
      </c>
      <c r="AO162" s="39" t="n">
        <v>7</v>
      </c>
      <c r="AP162" s="40" t="n">
        <f aca="false">IF(OR(AO162="",CA162=""),"",AO162/CA162*100)</f>
        <v>100</v>
      </c>
      <c r="AQ162" s="41" t="n">
        <f aca="false">IF(AP162="","",IFERROR(MATCH(AP162,INDEX(Boundaries!$B$2:$I$30,MATCH(CO162,Boundaries!$A$2:$A$30,0),0),1)-1,""))</f>
        <v>7</v>
      </c>
      <c r="AR162" s="42" t="n">
        <f aca="false">IF(OR(AQ162="",$E162=""),"",AQ162-$E162)</f>
        <v>1.3</v>
      </c>
      <c r="AS162" s="39"/>
      <c r="AT162" s="40" t="str">
        <f aca="false">IF(OR(AS162="",CB162=""),"",AS162/CB162*100)</f>
        <v/>
      </c>
      <c r="AU162" s="41" t="str">
        <f aca="false">IF(AT162="","",IFERROR(MATCH(AT162,INDEX(Boundaries!$B$2:$I$30,MATCH(CP162,Boundaries!$A$2:$A$30,0),0),1)-1,""))</f>
        <v/>
      </c>
      <c r="AV162" s="42" t="str">
        <f aca="false">IF(OR(AU162="",$E162=""),"",AU162-$E162)</f>
        <v/>
      </c>
      <c r="AW162" s="39"/>
      <c r="AX162" s="40" t="str">
        <f aca="false">IF(OR(AW162="",CC162=""),"",AW162/CC162*100)</f>
        <v/>
      </c>
      <c r="AY162" s="41" t="str">
        <f aca="false">IF(AX162="","",IFERROR(MATCH(AX162,INDEX(Boundaries!$B$2:$I$30,MATCH(CQ162,Boundaries!$A$2:$A$30,0),0),1)-1,""))</f>
        <v/>
      </c>
      <c r="AZ162" s="42" t="str">
        <f aca="false">IF(OR(AY162="",$E162=""),"",AY162-$E162)</f>
        <v/>
      </c>
      <c r="BA162" s="39"/>
      <c r="BB162" s="40" t="str">
        <f aca="false">IF(OR(BA162="",CD162=""),"",BA162/CD162*100)</f>
        <v/>
      </c>
      <c r="BC162" s="41" t="str">
        <f aca="false">IF(BB162="","",IFERROR(MATCH(BB162,INDEX(Boundaries!$B$2:$I$30,MATCH(CR162,Boundaries!$A$2:$A$30,0),0),1)-1,""))</f>
        <v/>
      </c>
      <c r="BD162" s="42" t="str">
        <f aca="false">IF(OR(BC162="",$E162=""),"",BC162-$E162)</f>
        <v/>
      </c>
      <c r="BE162" s="39"/>
      <c r="BF162" s="40" t="str">
        <f aca="false">IF(OR(BE162="",CE162=""),"",BE162/CE162*100)</f>
        <v/>
      </c>
      <c r="BG162" s="41" t="str">
        <f aca="false">IF(BF162="","",IFERROR(MATCH(BF162,INDEX(Boundaries!$B$2:$I$30,MATCH(CS162,Boundaries!$A$2:$A$30,0),0),1)-1,""))</f>
        <v/>
      </c>
      <c r="BH162" s="42" t="str">
        <f aca="false">IF(OR(BG162="",$E162=""),"",BG162-$E162)</f>
        <v/>
      </c>
      <c r="BI162" s="39"/>
      <c r="BJ162" s="40" t="str">
        <f aca="false">IF(OR(BI162="",CF162=""),"",BI162/CF162*100)</f>
        <v/>
      </c>
      <c r="BK162" s="41" t="str">
        <f aca="false">IF(BJ162="","",IFERROR(MATCH(BJ162,INDEX(Boundaries!$B$2:$I$30,MATCH(CT162,Boundaries!$A$2:$A$30,0),0),1)-1,""))</f>
        <v/>
      </c>
      <c r="BL162" s="42" t="str">
        <f aca="false">IF(OR(BK162="",$E162=""),"",BK162-$E162)</f>
        <v/>
      </c>
      <c r="BM162" s="39"/>
      <c r="BN162" s="40" t="str">
        <f aca="false">IF(OR(BM162="",CG162=""),"",BM162/CG162*100)</f>
        <v/>
      </c>
      <c r="BO162" s="41" t="str">
        <f aca="false">IF(BN162="","",IFERROR(MATCH(BN162,INDEX(Boundaries!$B$2:$I$30,MATCH(CU162,Boundaries!$A$2:$A$30,0),0),1)-1,""))</f>
        <v/>
      </c>
      <c r="BP162" s="42" t="str">
        <f aca="false">IF(OR(BO162="",$E162=""),"",BO162-$E162)</f>
        <v/>
      </c>
      <c r="BQ162" s="39"/>
      <c r="BR162" s="40" t="str">
        <f aca="false">IF(OR(BQ162="",CH162=""),"",BQ162/CH162*100)</f>
        <v/>
      </c>
      <c r="BS162" s="41" t="str">
        <f aca="false">IF(BR162="","",IFERROR(MATCH(BR162,INDEX(Boundaries!$B$2:$I$30,MATCH(CV162,Boundaries!$A$2:$A$30,0),0),1)-1,""))</f>
        <v/>
      </c>
      <c r="BT162" s="42" t="str">
        <f aca="false">IF(OR(BS162="",$E162=""),"",BS162-$E162)</f>
        <v/>
      </c>
      <c r="BU162" s="28" t="n">
        <f aca="false">IFERROR(INDEX(Assessments!$H$2:$H$600,MATCH($H162&amp;"|"&amp;$I162&amp;"|"&amp;$J162&amp;"|"&amp;1,Assessments!$A$2:$A$600,0)),"")</f>
        <v>24</v>
      </c>
      <c r="BV162" s="28" t="n">
        <f aca="false">IFERROR(INDEX(Assessments!$H$2:$H$600,MATCH($H162&amp;"|"&amp;$I162&amp;"|"&amp;$J162&amp;"|"&amp;2,Assessments!$A$2:$A$600,0)),"")</f>
        <v>20</v>
      </c>
      <c r="BW162" s="28" t="n">
        <f aca="false">IFERROR(INDEX(Assessments!$H$2:$H$600,MATCH($H162&amp;"|"&amp;$I162&amp;"|"&amp;$J162&amp;"|"&amp;3,Assessments!$A$2:$A$600,0)),"")</f>
        <v>20</v>
      </c>
      <c r="BX162" s="28" t="n">
        <f aca="false">IFERROR(INDEX(Assessments!$H$2:$H$600,MATCH($H162&amp;"|"&amp;$I162&amp;"|"&amp;$J162&amp;"|"&amp;4,Assessments!$A$2:$A$600,0)),"")</f>
        <v>40</v>
      </c>
      <c r="BY162" s="28" t="n">
        <f aca="false">IFERROR(INDEX(Assessments!$H$2:$H$600,MATCH($H162&amp;"|"&amp;$I162&amp;"|"&amp;$J162&amp;"|"&amp;5,Assessments!$A$2:$A$600,0)),"")</f>
        <v>30</v>
      </c>
      <c r="BZ162" s="28" t="n">
        <f aca="false">IFERROR(INDEX(Assessments!$H$2:$H$600,MATCH($H162&amp;"|"&amp;$I162&amp;"|"&amp;$J162&amp;"|"&amp;6,Assessments!$A$2:$A$600,0)),"")</f>
        <v>20</v>
      </c>
      <c r="CA162" s="28" t="n">
        <f aca="false">IFERROR(INDEX(Assessments!$H$2:$H$600,MATCH($H162&amp;"|"&amp;$I162&amp;"|"&amp;$J162&amp;"|"&amp;7,Assessments!$A$2:$A$600,0)),"")</f>
        <v>7</v>
      </c>
      <c r="CB162" s="28" t="str">
        <f aca="false">IFERROR(INDEX(Assessments!$H$2:$H$600,MATCH($H162&amp;"|"&amp;$I162&amp;"|"&amp;$J162&amp;"|"&amp;8,Assessments!$A$2:$A$600,0)),"")</f>
        <v/>
      </c>
      <c r="CC162" s="28" t="str">
        <f aca="false">IFERROR(INDEX(Assessments!$H$2:$H$600,MATCH($H162&amp;"|"&amp;$I162&amp;"|"&amp;$J162&amp;"|"&amp;9,Assessments!$A$2:$A$600,0)),"")</f>
        <v/>
      </c>
      <c r="CD162" s="28" t="str">
        <f aca="false">IFERROR(INDEX(Assessments!$H$2:$H$600,MATCH($H162&amp;"|"&amp;$I162&amp;"|"&amp;$J162&amp;"|"&amp;10,Assessments!$A$2:$A$600,0)),"")</f>
        <v/>
      </c>
      <c r="CE162" s="28" t="str">
        <f aca="false">IFERROR(INDEX(Assessments!$H$2:$H$600,MATCH($H162&amp;"|"&amp;$I162&amp;"|"&amp;$J162&amp;"|"&amp;11,Assessments!$A$2:$A$600,0)),"")</f>
        <v/>
      </c>
      <c r="CF162" s="28" t="str">
        <f aca="false">IFERROR(INDEX(Assessments!$H$2:$H$600,MATCH($H162&amp;"|"&amp;$I162&amp;"|"&amp;$J162&amp;"|"&amp;12,Assessments!$A$2:$A$600,0)),"")</f>
        <v/>
      </c>
      <c r="CG162" s="28" t="str">
        <f aca="false">IFERROR(INDEX(Assessments!$H$2:$H$600,MATCH($H162&amp;"|"&amp;$I162&amp;"|"&amp;$J162&amp;"|"&amp;13,Assessments!$A$2:$A$600,0)),"")</f>
        <v/>
      </c>
      <c r="CH162" s="28" t="str">
        <f aca="false">IFERROR(INDEX(Assessments!$H$2:$H$600,MATCH($H162&amp;"|"&amp;$I162&amp;"|"&amp;$J162&amp;"|"&amp;14,Assessments!$A$2:$A$600,0)),"")</f>
        <v/>
      </c>
      <c r="CI162" s="28" t="str">
        <f aca="false">IFERROR(INDEX(Assessments!$I$2:$I$600,MATCH($H162&amp;"|"&amp;$I162&amp;"|"&amp;$J162&amp;"|"&amp;1,Assessments!$A$2:$A$600,0)),"")</f>
        <v>BM Test</v>
      </c>
      <c r="CJ162" s="28" t="str">
        <f aca="false">IFERROR(INDEX(Assessments!$I$2:$I$600,MATCH($H162&amp;"|"&amp;$I162&amp;"|"&amp;$J162&amp;"|"&amp;2,Assessments!$A$2:$A$600,0)),"")</f>
        <v>BM Test</v>
      </c>
      <c r="CK162" s="28" t="str">
        <f aca="false">IFERROR(INDEX(Assessments!$I$2:$I$600,MATCH($H162&amp;"|"&amp;$I162&amp;"|"&amp;$J162&amp;"|"&amp;3,Assessments!$A$2:$A$600,0)),"")</f>
        <v>BM Test</v>
      </c>
      <c r="CL162" s="28" t="str">
        <f aca="false">IFERROR(INDEX(Assessments!$I$2:$I$600,MATCH($H162&amp;"|"&amp;$I162&amp;"|"&amp;$J162&amp;"|"&amp;4,Assessments!$A$2:$A$600,0)),"")</f>
        <v>BM Exam</v>
      </c>
      <c r="CM162" s="28" t="str">
        <f aca="false">IFERROR(INDEX(Assessments!$I$2:$I$600,MATCH($H162&amp;"|"&amp;$I162&amp;"|"&amp;$J162&amp;"|"&amp;5,Assessments!$A$2:$A$600,0)),"")</f>
        <v>BM Test</v>
      </c>
      <c r="CN162" s="28" t="str">
        <f aca="false">IFERROR(INDEX(Assessments!$I$2:$I$600,MATCH($H162&amp;"|"&amp;$I162&amp;"|"&amp;$J162&amp;"|"&amp;6,Assessments!$A$2:$A$600,0)),"")</f>
        <v>BM Test</v>
      </c>
      <c r="CO162" s="28" t="str">
        <f aca="false">IFERROR(INDEX(Assessments!$I$2:$I$600,MATCH($H162&amp;"|"&amp;$I162&amp;"|"&amp;$J162&amp;"|"&amp;7,Assessments!$A$2:$A$600,0)),"")</f>
        <v>Grade entered</v>
      </c>
      <c r="CP162" s="28" t="str">
        <f aca="false">IFERROR(INDEX(Assessments!$I$2:$I$600,MATCH($H162&amp;"|"&amp;$I162&amp;"|"&amp;$J162&amp;"|"&amp;8,Assessments!$A$2:$A$600,0)),"")</f>
        <v/>
      </c>
      <c r="CQ162" s="28" t="str">
        <f aca="false">IFERROR(INDEX(Assessments!$I$2:$I$600,MATCH($H162&amp;"|"&amp;$I162&amp;"|"&amp;$J162&amp;"|"&amp;9,Assessments!$A$2:$A$600,0)),"")</f>
        <v/>
      </c>
      <c r="CR162" s="28" t="str">
        <f aca="false">IFERROR(INDEX(Assessments!$I$2:$I$600,MATCH($H162&amp;"|"&amp;$I162&amp;"|"&amp;$J162&amp;"|"&amp;10,Assessments!$A$2:$A$600,0)),"")</f>
        <v/>
      </c>
      <c r="CS162" s="28" t="str">
        <f aca="false">IFERROR(INDEX(Assessments!$I$2:$I$600,MATCH($H162&amp;"|"&amp;$I162&amp;"|"&amp;$J162&amp;"|"&amp;11,Assessments!$A$2:$A$600,0)),"")</f>
        <v/>
      </c>
      <c r="CT162" s="28" t="str">
        <f aca="false">IFERROR(INDEX(Assessments!$I$2:$I$600,MATCH($H162&amp;"|"&amp;$I162&amp;"|"&amp;$J162&amp;"|"&amp;12,Assessments!$A$2:$A$600,0)),"")</f>
        <v/>
      </c>
      <c r="CU162" s="28" t="str">
        <f aca="false">IFERROR(INDEX(Assessments!$I$2:$I$600,MATCH($H162&amp;"|"&amp;$I162&amp;"|"&amp;$J162&amp;"|"&amp;13,Assessments!$A$2:$A$600,0)),"")</f>
        <v/>
      </c>
      <c r="CV162" s="28" t="str">
        <f aca="false">IFERROR(INDEX(Assessments!$I$2:$I$600,MATCH($H162&amp;"|"&amp;$I162&amp;"|"&amp;$J162&amp;"|"&amp;14,Assessments!$A$2:$A$600,0)),"")</f>
        <v/>
      </c>
      <c r="CW162" s="28" t="n">
        <f aca="false">IFERROR(INDEX(Assessments!$J$2:$J$600,MATCH($H162&amp;"|"&amp;$I162&amp;"|"&amp;$J162&amp;"|"&amp;1,Assessments!$A$2:$A$600,0)),0)</f>
        <v>1</v>
      </c>
      <c r="CX162" s="28" t="n">
        <f aca="false">IFERROR(INDEX(Assessments!$J$2:$J$600,MATCH($H162&amp;"|"&amp;$I162&amp;"|"&amp;$J162&amp;"|"&amp;2,Assessments!$A$2:$A$600,0)),0)</f>
        <v>1</v>
      </c>
      <c r="CY162" s="28" t="n">
        <f aca="false">IFERROR(INDEX(Assessments!$J$2:$J$600,MATCH($H162&amp;"|"&amp;$I162&amp;"|"&amp;$J162&amp;"|"&amp;3,Assessments!$A$2:$A$600,0)),0)</f>
        <v>1</v>
      </c>
      <c r="CZ162" s="28" t="n">
        <f aca="false">IFERROR(INDEX(Assessments!$J$2:$J$600,MATCH($H162&amp;"|"&amp;$I162&amp;"|"&amp;$J162&amp;"|"&amp;4,Assessments!$A$2:$A$600,0)),0)</f>
        <v>2</v>
      </c>
      <c r="DA162" s="28" t="n">
        <f aca="false">IFERROR(INDEX(Assessments!$J$2:$J$600,MATCH($H162&amp;"|"&amp;$I162&amp;"|"&amp;$J162&amp;"|"&amp;5,Assessments!$A$2:$A$600,0)),0)</f>
        <v>1</v>
      </c>
      <c r="DB162" s="28" t="n">
        <f aca="false">IFERROR(INDEX(Assessments!$J$2:$J$600,MATCH($H162&amp;"|"&amp;$I162&amp;"|"&amp;$J162&amp;"|"&amp;6,Assessments!$A$2:$A$600,0)),0)</f>
        <v>1</v>
      </c>
      <c r="DC162" s="28" t="n">
        <f aca="false">IFERROR(INDEX(Assessments!$J$2:$J$600,MATCH($H162&amp;"|"&amp;$I162&amp;"|"&amp;$J162&amp;"|"&amp;7,Assessments!$A$2:$A$600,0)),0)</f>
        <v>2</v>
      </c>
      <c r="DD162" s="28" t="n">
        <f aca="false">IFERROR(INDEX(Assessments!$J$2:$J$600,MATCH($H162&amp;"|"&amp;$I162&amp;"|"&amp;$J162&amp;"|"&amp;8,Assessments!$A$2:$A$600,0)),0)</f>
        <v>0</v>
      </c>
      <c r="DE162" s="28" t="n">
        <f aca="false">IFERROR(INDEX(Assessments!$J$2:$J$600,MATCH($H162&amp;"|"&amp;$I162&amp;"|"&amp;$J162&amp;"|"&amp;9,Assessments!$A$2:$A$600,0)),0)</f>
        <v>0</v>
      </c>
      <c r="DF162" s="28" t="n">
        <f aca="false">IFERROR(INDEX(Assessments!$J$2:$J$600,MATCH($H162&amp;"|"&amp;$I162&amp;"|"&amp;$J162&amp;"|"&amp;10,Assessments!$A$2:$A$600,0)),0)</f>
        <v>0</v>
      </c>
      <c r="DG162" s="28" t="n">
        <f aca="false">IFERROR(INDEX(Assessments!$J$2:$J$600,MATCH($H162&amp;"|"&amp;$I162&amp;"|"&amp;$J162&amp;"|"&amp;11,Assessments!$A$2:$A$600,0)),0)</f>
        <v>0</v>
      </c>
      <c r="DH162" s="28" t="n">
        <f aca="false">IFERROR(INDEX(Assessments!$J$2:$J$600,MATCH($H162&amp;"|"&amp;$I162&amp;"|"&amp;$J162&amp;"|"&amp;12,Assessments!$A$2:$A$600,0)),0)</f>
        <v>0</v>
      </c>
      <c r="DI162" s="28" t="n">
        <f aca="false">IFERROR(INDEX(Assessments!$J$2:$J$600,MATCH($H162&amp;"|"&amp;$I162&amp;"|"&amp;$J162&amp;"|"&amp;13,Assessments!$A$2:$A$600,0)),0)</f>
        <v>0</v>
      </c>
      <c r="DJ162" s="28" t="n">
        <f aca="false">IFERROR(INDEX(Assessments!$J$2:$J$600,MATCH($H162&amp;"|"&amp;$I162&amp;"|"&amp;$J162&amp;"|"&amp;14,Assessments!$A$2:$A$600,0)),0)</f>
        <v>0</v>
      </c>
      <c r="DK162" s="28" t="n">
        <f aca="false">S162</f>
        <v>6</v>
      </c>
      <c r="DL162" s="28" t="n">
        <f aca="false">W162</f>
        <v>6</v>
      </c>
      <c r="DM162" s="28" t="str">
        <f aca="false">AA162</f>
        <v/>
      </c>
      <c r="DN162" s="28" t="str">
        <f aca="false">AE162</f>
        <v/>
      </c>
      <c r="DO162" s="28" t="str">
        <f aca="false">AI162</f>
        <v/>
      </c>
      <c r="DP162" s="28" t="str">
        <f aca="false">AM162</f>
        <v/>
      </c>
      <c r="DQ162" s="28" t="n">
        <f aca="false">AQ162</f>
        <v>7</v>
      </c>
      <c r="DR162" s="28" t="str">
        <f aca="false">AU162</f>
        <v/>
      </c>
      <c r="DS162" s="28" t="str">
        <f aca="false">AY162</f>
        <v/>
      </c>
      <c r="DT162" s="28" t="str">
        <f aca="false">BC162</f>
        <v/>
      </c>
      <c r="DU162" s="28" t="str">
        <f aca="false">BG162</f>
        <v/>
      </c>
      <c r="DV162" s="28" t="str">
        <f aca="false">BK162</f>
        <v/>
      </c>
      <c r="DW162" s="28" t="str">
        <f aca="false">BO162</f>
        <v/>
      </c>
      <c r="DX162" s="28" t="str">
        <f aca="false">BS162</f>
        <v/>
      </c>
      <c r="DY162" s="28" t="n">
        <f aca="false">IF(ISNUMBER(S162),1,"")</f>
        <v>1</v>
      </c>
      <c r="DZ162" s="28" t="n">
        <f aca="false">IF(ISNUMBER(W162),2,"")</f>
        <v>2</v>
      </c>
      <c r="EA162" s="28" t="str">
        <f aca="false">IF(ISNUMBER(AA162),3,"")</f>
        <v/>
      </c>
      <c r="EB162" s="28" t="str">
        <f aca="false">IF(ISNUMBER(AE162),4,"")</f>
        <v/>
      </c>
      <c r="EC162" s="28" t="str">
        <f aca="false">IF(ISNUMBER(AI162),5,"")</f>
        <v/>
      </c>
      <c r="ED162" s="28" t="str">
        <f aca="false">IF(ISNUMBER(AM162),6,"")</f>
        <v/>
      </c>
      <c r="EE162" s="28" t="n">
        <f aca="false">IF(ISNUMBER(AQ162),7,"")</f>
        <v>7</v>
      </c>
      <c r="EF162" s="28" t="str">
        <f aca="false">IF(ISNUMBER(AU162),8,"")</f>
        <v/>
      </c>
      <c r="EG162" s="28" t="str">
        <f aca="false">IF(ISNUMBER(AY162),9,"")</f>
        <v/>
      </c>
      <c r="EH162" s="28" t="str">
        <f aca="false">IF(ISNUMBER(BC162),10,"")</f>
        <v/>
      </c>
      <c r="EI162" s="28" t="str">
        <f aca="false">IF(ISNUMBER(BG162),11,"")</f>
        <v/>
      </c>
      <c r="EJ162" s="28" t="str">
        <f aca="false">IF(ISNUMBER(BK162),12,"")</f>
        <v/>
      </c>
      <c r="EK162" s="28" t="str">
        <f aca="false">IF(ISNUMBER(BO162),13,"")</f>
        <v/>
      </c>
      <c r="EL162" s="28" t="str">
        <f aca="false">IF(ISNUMBER(BS162),14,"")</f>
        <v/>
      </c>
      <c r="EM162" s="28" t="n">
        <f aca="false">IF(ISNUMBER(R162),R162*CW162,0)</f>
        <v>70.8333333333333</v>
      </c>
      <c r="EN162" s="28" t="n">
        <f aca="false">IF(ISNUMBER(V162),V162*CX162,0)</f>
        <v>70</v>
      </c>
      <c r="EO162" s="28" t="n">
        <f aca="false">IF(ISNUMBER(Z162),Z162*CY162,0)</f>
        <v>0</v>
      </c>
      <c r="EP162" s="28" t="n">
        <f aca="false">IF(ISNUMBER(AD162),AD162*CZ162,0)</f>
        <v>0</v>
      </c>
      <c r="EQ162" s="28" t="n">
        <f aca="false">IF(ISNUMBER(AH162),AH162*DA162,0)</f>
        <v>0</v>
      </c>
      <c r="ER162" s="28" t="n">
        <f aca="false">IF(ISNUMBER(AL162),AL162*DB162,0)</f>
        <v>0</v>
      </c>
      <c r="ES162" s="28" t="n">
        <f aca="false">IF(ISNUMBER(AP162),AP162*DC162,0)</f>
        <v>200</v>
      </c>
      <c r="ET162" s="28" t="n">
        <f aca="false">IF(ISNUMBER(AT162),AT162*DD162,0)</f>
        <v>0</v>
      </c>
      <c r="EU162" s="28" t="n">
        <f aca="false">IF(ISNUMBER(AX162),AX162*DE162,0)</f>
        <v>0</v>
      </c>
      <c r="EV162" s="28" t="n">
        <f aca="false">IF(ISNUMBER(BB162),BB162*DF162,0)</f>
        <v>0</v>
      </c>
      <c r="EW162" s="28" t="n">
        <f aca="false">IF(ISNUMBER(BF162),BF162*DG162,0)</f>
        <v>0</v>
      </c>
      <c r="EX162" s="28" t="n">
        <f aca="false">IF(ISNUMBER(BJ162),BJ162*DH162,0)</f>
        <v>0</v>
      </c>
      <c r="EY162" s="28" t="n">
        <f aca="false">IF(ISNUMBER(BN162),BN162*DI162,0)</f>
        <v>0</v>
      </c>
      <c r="EZ162" s="28" t="n">
        <f aca="false">IF(ISNUMBER(BR162),BR162*DJ162,0)</f>
        <v>0</v>
      </c>
      <c r="FA162" s="28" t="n">
        <f aca="false">IF(ISNUMBER(R162),CW162,0)</f>
        <v>1</v>
      </c>
      <c r="FB162" s="28" t="n">
        <f aca="false">IF(ISNUMBER(V162),CX162,0)</f>
        <v>1</v>
      </c>
      <c r="FC162" s="28" t="n">
        <f aca="false">IF(ISNUMBER(Z162),CY162,0)</f>
        <v>0</v>
      </c>
      <c r="FD162" s="28" t="n">
        <f aca="false">IF(ISNUMBER(AD162),CZ162,0)</f>
        <v>0</v>
      </c>
      <c r="FE162" s="28" t="n">
        <f aca="false">IF(ISNUMBER(AH162),DA162,0)</f>
        <v>0</v>
      </c>
      <c r="FF162" s="28" t="n">
        <f aca="false">IF(ISNUMBER(AL162),DB162,0)</f>
        <v>0</v>
      </c>
      <c r="FG162" s="28" t="n">
        <f aca="false">IF(ISNUMBER(AP162),DC162,0)</f>
        <v>2</v>
      </c>
      <c r="FH162" s="28" t="n">
        <f aca="false">IF(ISNUMBER(AT162),DD162,0)</f>
        <v>0</v>
      </c>
      <c r="FI162" s="28" t="n">
        <f aca="false">IF(ISNUMBER(AX162),DE162,0)</f>
        <v>0</v>
      </c>
      <c r="FJ162" s="28" t="n">
        <f aca="false">IF(ISNUMBER(BB162),DF162,0)</f>
        <v>0</v>
      </c>
      <c r="FK162" s="28" t="n">
        <f aca="false">IF(ISNUMBER(BF162),DG162,0)</f>
        <v>0</v>
      </c>
      <c r="FL162" s="28" t="n">
        <f aca="false">IF(ISNUMBER(BJ162),DH162,0)</f>
        <v>0</v>
      </c>
      <c r="FM162" s="28" t="n">
        <f aca="false">IF(ISNUMBER(BN162),DI162,0)</f>
        <v>0</v>
      </c>
      <c r="FN162" s="28" t="n">
        <f aca="false">IF(ISNUMBER(BR162),DJ162,0)</f>
        <v>0</v>
      </c>
      <c r="FO162" s="28" t="str">
        <f aca="false">IFERROR(INDEX(Lists!$G$2:$G$20,MATCH($I162&amp;"|"&amp;$J162,Lists!$F$2:$F$20,0)),"")</f>
        <v>BM Exam</v>
      </c>
    </row>
    <row r="163" customFormat="false" ht="19.5" hidden="false" customHeight="true" outlineLevel="0" collapsed="false">
      <c r="A163" s="29" t="s">
        <v>234</v>
      </c>
      <c r="B163" s="29" t="s">
        <v>235</v>
      </c>
      <c r="C163" s="30" t="s">
        <v>192</v>
      </c>
      <c r="D163" s="30" t="s">
        <v>383</v>
      </c>
      <c r="E163" s="31" t="n">
        <v>5.9</v>
      </c>
      <c r="F163" s="30" t="n">
        <v>6</v>
      </c>
      <c r="G163" s="30"/>
      <c r="H163" s="32" t="s">
        <v>23</v>
      </c>
      <c r="I163" s="33" t="s">
        <v>365</v>
      </c>
      <c r="J163" s="32" t="s">
        <v>25</v>
      </c>
      <c r="K163" s="34" t="n">
        <f aca="false">IF(OR(M163="",$E163=""),"",M163-$E163)</f>
        <v>1.1</v>
      </c>
      <c r="L163" s="35" t="n">
        <f aca="false">IF(SUM(FA163:FN163)=0,"",SUM(EM163:EZ163)/SUM(FA163:FN163))</f>
        <v>72.3571428571429</v>
      </c>
      <c r="M163" s="36" t="n">
        <f aca="false">IF(OR(L163="",FO163=""),"",IFERROR(MATCH(L163,INDEX(Boundaries!$B$2:$I$30,MATCH(FO163,Boundaries!$A$2:$A$30,0),0),1)-1,""))</f>
        <v>7</v>
      </c>
      <c r="N163" s="37" t="n">
        <f aca="false">IF(COUNT($DY163:$EL163)&lt;2,"",INDEX($DK163:$DX163,MAX($DY163:$EL163))-INDEX($DK163:$DX163,MIN($DY163:$EL163)))</f>
        <v>-3</v>
      </c>
      <c r="O163" s="37" t="n">
        <f aca="false">IF(COUNT($DY163:$EL163)&lt;2,"",INDEX($DK163:$DX163,MAX($DY163:$EL163))-INDEX($DK163:$DX163,LARGE($DY163:$EL163,2)))</f>
        <v>-3</v>
      </c>
      <c r="P163" s="38" t="str">
        <f aca="false">IF(K163="","",IF(K163&gt;=0,"On/above target",IF(AND(N163&lt;&gt;"",N163&gt;=0.5),"Improving towards target",IF(AND(O163&lt;&gt;"",O163&lt;=-0.5),"Declining","Stable below target"))))</f>
        <v>On/above target</v>
      </c>
      <c r="Q163" s="39" t="n">
        <v>21</v>
      </c>
      <c r="R163" s="40" t="n">
        <f aca="false">IF(OR(Q163="",BU163=""),"",Q163/BU163*100)</f>
        <v>87.5</v>
      </c>
      <c r="S163" s="41" t="n">
        <f aca="false">IF(R163="","",IFERROR(MATCH(R163,INDEX(Boundaries!$B$2:$I$30,MATCH(CI163,Boundaries!$A$2:$A$30,0),0),1)-1,""))</f>
        <v>7</v>
      </c>
      <c r="T163" s="42" t="n">
        <f aca="false">IF(OR(S163="",$E163=""),"",S163-$E163)</f>
        <v>1.1</v>
      </c>
      <c r="U163" s="39" t="n">
        <v>16</v>
      </c>
      <c r="V163" s="40" t="n">
        <f aca="false">IF(OR(U163="",BV163=""),"",U163/BV163*100)</f>
        <v>80</v>
      </c>
      <c r="W163" s="41" t="n">
        <f aca="false">IF(V163="","",IFERROR(MATCH(V163,INDEX(Boundaries!$B$2:$I$30,MATCH(CJ163,Boundaries!$A$2:$A$30,0),0),1)-1,""))</f>
        <v>7</v>
      </c>
      <c r="X163" s="42" t="n">
        <f aca="false">IF(OR(W163="",$E163=""),"",W163-$E163)</f>
        <v>1.1</v>
      </c>
      <c r="Y163" s="39" t="n">
        <v>16</v>
      </c>
      <c r="Z163" s="40" t="n">
        <f aca="false">IF(OR(Y163="",BW163=""),"",Y163/BW163*100)</f>
        <v>80</v>
      </c>
      <c r="AA163" s="41" t="n">
        <f aca="false">IF(Z163="","",IFERROR(MATCH(Z163,INDEX(Boundaries!$B$2:$I$30,MATCH(CK163,Boundaries!$A$2:$A$30,0),0),1)-1,""))</f>
        <v>7</v>
      </c>
      <c r="AB163" s="42" t="n">
        <f aca="false">IF(OR(AA163="",$E163=""),"",AA163-$E163)</f>
        <v>1.1</v>
      </c>
      <c r="AC163" s="39"/>
      <c r="AD163" s="40" t="str">
        <f aca="false">IF(OR(AC163="",BX163=""),"",AC163/BX163*100)</f>
        <v/>
      </c>
      <c r="AE163" s="41" t="str">
        <f aca="false">IF(AD163="","",IFERROR(MATCH(AD163,INDEX(Boundaries!$B$2:$I$30,MATCH(CL163,Boundaries!$A$2:$A$30,0),0),1)-1,""))</f>
        <v/>
      </c>
      <c r="AF163" s="42" t="str">
        <f aca="false">IF(OR(AE163="",$E163=""),"",AE163-$E163)</f>
        <v/>
      </c>
      <c r="AG163" s="39"/>
      <c r="AH163" s="40" t="str">
        <f aca="false">IF(OR(AG163="",BY163=""),"",AG163/BY163*100)</f>
        <v/>
      </c>
      <c r="AI163" s="41" t="str">
        <f aca="false">IF(AH163="","",IFERROR(MATCH(AH163,INDEX(Boundaries!$B$2:$I$30,MATCH(CM163,Boundaries!$A$2:$A$30,0),0),1)-1,""))</f>
        <v/>
      </c>
      <c r="AJ163" s="42" t="str">
        <f aca="false">IF(OR(AI163="",$E163=""),"",AI163-$E163)</f>
        <v/>
      </c>
      <c r="AK163" s="39"/>
      <c r="AL163" s="40" t="str">
        <f aca="false">IF(OR(AK163="",BZ163=""),"",AK163/BZ163*100)</f>
        <v/>
      </c>
      <c r="AM163" s="41" t="str">
        <f aca="false">IF(AL163="","",IFERROR(MATCH(AL163,INDEX(Boundaries!$B$2:$I$30,MATCH(CN163,Boundaries!$A$2:$A$30,0),0),1)-1,""))</f>
        <v/>
      </c>
      <c r="AN163" s="42" t="str">
        <f aca="false">IF(OR(AM163="",$E163=""),"",AM163-$E163)</f>
        <v/>
      </c>
      <c r="AO163" s="39" t="n">
        <v>4</v>
      </c>
      <c r="AP163" s="40" t="n">
        <f aca="false">IF(OR(AO163="",CA163=""),"",AO163/CA163*100)</f>
        <v>57.1428571428571</v>
      </c>
      <c r="AQ163" s="41" t="n">
        <f aca="false">IF(AP163="","",IFERROR(MATCH(AP163,INDEX(Boundaries!$B$2:$I$30,MATCH(CO163,Boundaries!$A$2:$A$30,0),0),1)-1,""))</f>
        <v>4</v>
      </c>
      <c r="AR163" s="42" t="n">
        <f aca="false">IF(OR(AQ163="",$E163=""),"",AQ163-$E163)</f>
        <v>-1.9</v>
      </c>
      <c r="AS163" s="39"/>
      <c r="AT163" s="40" t="str">
        <f aca="false">IF(OR(AS163="",CB163=""),"",AS163/CB163*100)</f>
        <v/>
      </c>
      <c r="AU163" s="41" t="str">
        <f aca="false">IF(AT163="","",IFERROR(MATCH(AT163,INDEX(Boundaries!$B$2:$I$30,MATCH(CP163,Boundaries!$A$2:$A$30,0),0),1)-1,""))</f>
        <v/>
      </c>
      <c r="AV163" s="42" t="str">
        <f aca="false">IF(OR(AU163="",$E163=""),"",AU163-$E163)</f>
        <v/>
      </c>
      <c r="AW163" s="39"/>
      <c r="AX163" s="40" t="str">
        <f aca="false">IF(OR(AW163="",CC163=""),"",AW163/CC163*100)</f>
        <v/>
      </c>
      <c r="AY163" s="41" t="str">
        <f aca="false">IF(AX163="","",IFERROR(MATCH(AX163,INDEX(Boundaries!$B$2:$I$30,MATCH(CQ163,Boundaries!$A$2:$A$30,0),0),1)-1,""))</f>
        <v/>
      </c>
      <c r="AZ163" s="42" t="str">
        <f aca="false">IF(OR(AY163="",$E163=""),"",AY163-$E163)</f>
        <v/>
      </c>
      <c r="BA163" s="39"/>
      <c r="BB163" s="40" t="str">
        <f aca="false">IF(OR(BA163="",CD163=""),"",BA163/CD163*100)</f>
        <v/>
      </c>
      <c r="BC163" s="41" t="str">
        <f aca="false">IF(BB163="","",IFERROR(MATCH(BB163,INDEX(Boundaries!$B$2:$I$30,MATCH(CR163,Boundaries!$A$2:$A$30,0),0),1)-1,""))</f>
        <v/>
      </c>
      <c r="BD163" s="42" t="str">
        <f aca="false">IF(OR(BC163="",$E163=""),"",BC163-$E163)</f>
        <v/>
      </c>
      <c r="BE163" s="39"/>
      <c r="BF163" s="40" t="str">
        <f aca="false">IF(OR(BE163="",CE163=""),"",BE163/CE163*100)</f>
        <v/>
      </c>
      <c r="BG163" s="41" t="str">
        <f aca="false">IF(BF163="","",IFERROR(MATCH(BF163,INDEX(Boundaries!$B$2:$I$30,MATCH(CS163,Boundaries!$A$2:$A$30,0),0),1)-1,""))</f>
        <v/>
      </c>
      <c r="BH163" s="42" t="str">
        <f aca="false">IF(OR(BG163="",$E163=""),"",BG163-$E163)</f>
        <v/>
      </c>
      <c r="BI163" s="39"/>
      <c r="BJ163" s="40" t="str">
        <f aca="false">IF(OR(BI163="",CF163=""),"",BI163/CF163*100)</f>
        <v/>
      </c>
      <c r="BK163" s="41" t="str">
        <f aca="false">IF(BJ163="","",IFERROR(MATCH(BJ163,INDEX(Boundaries!$B$2:$I$30,MATCH(CT163,Boundaries!$A$2:$A$30,0),0),1)-1,""))</f>
        <v/>
      </c>
      <c r="BL163" s="42" t="str">
        <f aca="false">IF(OR(BK163="",$E163=""),"",BK163-$E163)</f>
        <v/>
      </c>
      <c r="BM163" s="39"/>
      <c r="BN163" s="40" t="str">
        <f aca="false">IF(OR(BM163="",CG163=""),"",BM163/CG163*100)</f>
        <v/>
      </c>
      <c r="BO163" s="41" t="str">
        <f aca="false">IF(BN163="","",IFERROR(MATCH(BN163,INDEX(Boundaries!$B$2:$I$30,MATCH(CU163,Boundaries!$A$2:$A$30,0),0),1)-1,""))</f>
        <v/>
      </c>
      <c r="BP163" s="42" t="str">
        <f aca="false">IF(OR(BO163="",$E163=""),"",BO163-$E163)</f>
        <v/>
      </c>
      <c r="BQ163" s="39"/>
      <c r="BR163" s="40" t="str">
        <f aca="false">IF(OR(BQ163="",CH163=""),"",BQ163/CH163*100)</f>
        <v/>
      </c>
      <c r="BS163" s="41" t="str">
        <f aca="false">IF(BR163="","",IFERROR(MATCH(BR163,INDEX(Boundaries!$B$2:$I$30,MATCH(CV163,Boundaries!$A$2:$A$30,0),0),1)-1,""))</f>
        <v/>
      </c>
      <c r="BT163" s="42" t="str">
        <f aca="false">IF(OR(BS163="",$E163=""),"",BS163-$E163)</f>
        <v/>
      </c>
      <c r="BU163" s="28" t="n">
        <f aca="false">IFERROR(INDEX(Assessments!$H$2:$H$600,MATCH($H163&amp;"|"&amp;$I163&amp;"|"&amp;$J163&amp;"|"&amp;1,Assessments!$A$2:$A$600,0)),"")</f>
        <v>24</v>
      </c>
      <c r="BV163" s="28" t="n">
        <f aca="false">IFERROR(INDEX(Assessments!$H$2:$H$600,MATCH($H163&amp;"|"&amp;$I163&amp;"|"&amp;$J163&amp;"|"&amp;2,Assessments!$A$2:$A$600,0)),"")</f>
        <v>20</v>
      </c>
      <c r="BW163" s="28" t="n">
        <f aca="false">IFERROR(INDEX(Assessments!$H$2:$H$600,MATCH($H163&amp;"|"&amp;$I163&amp;"|"&amp;$J163&amp;"|"&amp;3,Assessments!$A$2:$A$600,0)),"")</f>
        <v>20</v>
      </c>
      <c r="BX163" s="28" t="n">
        <f aca="false">IFERROR(INDEX(Assessments!$H$2:$H$600,MATCH($H163&amp;"|"&amp;$I163&amp;"|"&amp;$J163&amp;"|"&amp;4,Assessments!$A$2:$A$600,0)),"")</f>
        <v>40</v>
      </c>
      <c r="BY163" s="28" t="n">
        <f aca="false">IFERROR(INDEX(Assessments!$H$2:$H$600,MATCH($H163&amp;"|"&amp;$I163&amp;"|"&amp;$J163&amp;"|"&amp;5,Assessments!$A$2:$A$600,0)),"")</f>
        <v>30</v>
      </c>
      <c r="BZ163" s="28" t="n">
        <f aca="false">IFERROR(INDEX(Assessments!$H$2:$H$600,MATCH($H163&amp;"|"&amp;$I163&amp;"|"&amp;$J163&amp;"|"&amp;6,Assessments!$A$2:$A$600,0)),"")</f>
        <v>20</v>
      </c>
      <c r="CA163" s="28" t="n">
        <f aca="false">IFERROR(INDEX(Assessments!$H$2:$H$600,MATCH($H163&amp;"|"&amp;$I163&amp;"|"&amp;$J163&amp;"|"&amp;7,Assessments!$A$2:$A$600,0)),"")</f>
        <v>7</v>
      </c>
      <c r="CB163" s="28" t="str">
        <f aca="false">IFERROR(INDEX(Assessments!$H$2:$H$600,MATCH($H163&amp;"|"&amp;$I163&amp;"|"&amp;$J163&amp;"|"&amp;8,Assessments!$A$2:$A$600,0)),"")</f>
        <v/>
      </c>
      <c r="CC163" s="28" t="str">
        <f aca="false">IFERROR(INDEX(Assessments!$H$2:$H$600,MATCH($H163&amp;"|"&amp;$I163&amp;"|"&amp;$J163&amp;"|"&amp;9,Assessments!$A$2:$A$600,0)),"")</f>
        <v/>
      </c>
      <c r="CD163" s="28" t="str">
        <f aca="false">IFERROR(INDEX(Assessments!$H$2:$H$600,MATCH($H163&amp;"|"&amp;$I163&amp;"|"&amp;$J163&amp;"|"&amp;10,Assessments!$A$2:$A$600,0)),"")</f>
        <v/>
      </c>
      <c r="CE163" s="28" t="str">
        <f aca="false">IFERROR(INDEX(Assessments!$H$2:$H$600,MATCH($H163&amp;"|"&amp;$I163&amp;"|"&amp;$J163&amp;"|"&amp;11,Assessments!$A$2:$A$600,0)),"")</f>
        <v/>
      </c>
      <c r="CF163" s="28" t="str">
        <f aca="false">IFERROR(INDEX(Assessments!$H$2:$H$600,MATCH($H163&amp;"|"&amp;$I163&amp;"|"&amp;$J163&amp;"|"&amp;12,Assessments!$A$2:$A$600,0)),"")</f>
        <v/>
      </c>
      <c r="CG163" s="28" t="str">
        <f aca="false">IFERROR(INDEX(Assessments!$H$2:$H$600,MATCH($H163&amp;"|"&amp;$I163&amp;"|"&amp;$J163&amp;"|"&amp;13,Assessments!$A$2:$A$600,0)),"")</f>
        <v/>
      </c>
      <c r="CH163" s="28" t="str">
        <f aca="false">IFERROR(INDEX(Assessments!$H$2:$H$600,MATCH($H163&amp;"|"&amp;$I163&amp;"|"&amp;$J163&amp;"|"&amp;14,Assessments!$A$2:$A$600,0)),"")</f>
        <v/>
      </c>
      <c r="CI163" s="28" t="str">
        <f aca="false">IFERROR(INDEX(Assessments!$I$2:$I$600,MATCH($H163&amp;"|"&amp;$I163&amp;"|"&amp;$J163&amp;"|"&amp;1,Assessments!$A$2:$A$600,0)),"")</f>
        <v>BM Test</v>
      </c>
      <c r="CJ163" s="28" t="str">
        <f aca="false">IFERROR(INDEX(Assessments!$I$2:$I$600,MATCH($H163&amp;"|"&amp;$I163&amp;"|"&amp;$J163&amp;"|"&amp;2,Assessments!$A$2:$A$600,0)),"")</f>
        <v>BM Test</v>
      </c>
      <c r="CK163" s="28" t="str">
        <f aca="false">IFERROR(INDEX(Assessments!$I$2:$I$600,MATCH($H163&amp;"|"&amp;$I163&amp;"|"&amp;$J163&amp;"|"&amp;3,Assessments!$A$2:$A$600,0)),"")</f>
        <v>BM Test</v>
      </c>
      <c r="CL163" s="28" t="str">
        <f aca="false">IFERROR(INDEX(Assessments!$I$2:$I$600,MATCH($H163&amp;"|"&amp;$I163&amp;"|"&amp;$J163&amp;"|"&amp;4,Assessments!$A$2:$A$600,0)),"")</f>
        <v>BM Exam</v>
      </c>
      <c r="CM163" s="28" t="str">
        <f aca="false">IFERROR(INDEX(Assessments!$I$2:$I$600,MATCH($H163&amp;"|"&amp;$I163&amp;"|"&amp;$J163&amp;"|"&amp;5,Assessments!$A$2:$A$600,0)),"")</f>
        <v>BM Test</v>
      </c>
      <c r="CN163" s="28" t="str">
        <f aca="false">IFERROR(INDEX(Assessments!$I$2:$I$600,MATCH($H163&amp;"|"&amp;$I163&amp;"|"&amp;$J163&amp;"|"&amp;6,Assessments!$A$2:$A$600,0)),"")</f>
        <v>BM Test</v>
      </c>
      <c r="CO163" s="28" t="str">
        <f aca="false">IFERROR(INDEX(Assessments!$I$2:$I$600,MATCH($H163&amp;"|"&amp;$I163&amp;"|"&amp;$J163&amp;"|"&amp;7,Assessments!$A$2:$A$600,0)),"")</f>
        <v>Grade entered</v>
      </c>
      <c r="CP163" s="28" t="str">
        <f aca="false">IFERROR(INDEX(Assessments!$I$2:$I$600,MATCH($H163&amp;"|"&amp;$I163&amp;"|"&amp;$J163&amp;"|"&amp;8,Assessments!$A$2:$A$600,0)),"")</f>
        <v/>
      </c>
      <c r="CQ163" s="28" t="str">
        <f aca="false">IFERROR(INDEX(Assessments!$I$2:$I$600,MATCH($H163&amp;"|"&amp;$I163&amp;"|"&amp;$J163&amp;"|"&amp;9,Assessments!$A$2:$A$600,0)),"")</f>
        <v/>
      </c>
      <c r="CR163" s="28" t="str">
        <f aca="false">IFERROR(INDEX(Assessments!$I$2:$I$600,MATCH($H163&amp;"|"&amp;$I163&amp;"|"&amp;$J163&amp;"|"&amp;10,Assessments!$A$2:$A$600,0)),"")</f>
        <v/>
      </c>
      <c r="CS163" s="28" t="str">
        <f aca="false">IFERROR(INDEX(Assessments!$I$2:$I$600,MATCH($H163&amp;"|"&amp;$I163&amp;"|"&amp;$J163&amp;"|"&amp;11,Assessments!$A$2:$A$600,0)),"")</f>
        <v/>
      </c>
      <c r="CT163" s="28" t="str">
        <f aca="false">IFERROR(INDEX(Assessments!$I$2:$I$600,MATCH($H163&amp;"|"&amp;$I163&amp;"|"&amp;$J163&amp;"|"&amp;12,Assessments!$A$2:$A$600,0)),"")</f>
        <v/>
      </c>
      <c r="CU163" s="28" t="str">
        <f aca="false">IFERROR(INDEX(Assessments!$I$2:$I$600,MATCH($H163&amp;"|"&amp;$I163&amp;"|"&amp;$J163&amp;"|"&amp;13,Assessments!$A$2:$A$600,0)),"")</f>
        <v/>
      </c>
      <c r="CV163" s="28" t="str">
        <f aca="false">IFERROR(INDEX(Assessments!$I$2:$I$600,MATCH($H163&amp;"|"&amp;$I163&amp;"|"&amp;$J163&amp;"|"&amp;14,Assessments!$A$2:$A$600,0)),"")</f>
        <v/>
      </c>
      <c r="CW163" s="28" t="n">
        <f aca="false">IFERROR(INDEX(Assessments!$J$2:$J$600,MATCH($H163&amp;"|"&amp;$I163&amp;"|"&amp;$J163&amp;"|"&amp;1,Assessments!$A$2:$A$600,0)),0)</f>
        <v>1</v>
      </c>
      <c r="CX163" s="28" t="n">
        <f aca="false">IFERROR(INDEX(Assessments!$J$2:$J$600,MATCH($H163&amp;"|"&amp;$I163&amp;"|"&amp;$J163&amp;"|"&amp;2,Assessments!$A$2:$A$600,0)),0)</f>
        <v>1</v>
      </c>
      <c r="CY163" s="28" t="n">
        <f aca="false">IFERROR(INDEX(Assessments!$J$2:$J$600,MATCH($H163&amp;"|"&amp;$I163&amp;"|"&amp;$J163&amp;"|"&amp;3,Assessments!$A$2:$A$600,0)),0)</f>
        <v>1</v>
      </c>
      <c r="CZ163" s="28" t="n">
        <f aca="false">IFERROR(INDEX(Assessments!$J$2:$J$600,MATCH($H163&amp;"|"&amp;$I163&amp;"|"&amp;$J163&amp;"|"&amp;4,Assessments!$A$2:$A$600,0)),0)</f>
        <v>2</v>
      </c>
      <c r="DA163" s="28" t="n">
        <f aca="false">IFERROR(INDEX(Assessments!$J$2:$J$600,MATCH($H163&amp;"|"&amp;$I163&amp;"|"&amp;$J163&amp;"|"&amp;5,Assessments!$A$2:$A$600,0)),0)</f>
        <v>1</v>
      </c>
      <c r="DB163" s="28" t="n">
        <f aca="false">IFERROR(INDEX(Assessments!$J$2:$J$600,MATCH($H163&amp;"|"&amp;$I163&amp;"|"&amp;$J163&amp;"|"&amp;6,Assessments!$A$2:$A$600,0)),0)</f>
        <v>1</v>
      </c>
      <c r="DC163" s="28" t="n">
        <f aca="false">IFERROR(INDEX(Assessments!$J$2:$J$600,MATCH($H163&amp;"|"&amp;$I163&amp;"|"&amp;$J163&amp;"|"&amp;7,Assessments!$A$2:$A$600,0)),0)</f>
        <v>2</v>
      </c>
      <c r="DD163" s="28" t="n">
        <f aca="false">IFERROR(INDEX(Assessments!$J$2:$J$600,MATCH($H163&amp;"|"&amp;$I163&amp;"|"&amp;$J163&amp;"|"&amp;8,Assessments!$A$2:$A$600,0)),0)</f>
        <v>0</v>
      </c>
      <c r="DE163" s="28" t="n">
        <f aca="false">IFERROR(INDEX(Assessments!$J$2:$J$600,MATCH($H163&amp;"|"&amp;$I163&amp;"|"&amp;$J163&amp;"|"&amp;9,Assessments!$A$2:$A$600,0)),0)</f>
        <v>0</v>
      </c>
      <c r="DF163" s="28" t="n">
        <f aca="false">IFERROR(INDEX(Assessments!$J$2:$J$600,MATCH($H163&amp;"|"&amp;$I163&amp;"|"&amp;$J163&amp;"|"&amp;10,Assessments!$A$2:$A$600,0)),0)</f>
        <v>0</v>
      </c>
      <c r="DG163" s="28" t="n">
        <f aca="false">IFERROR(INDEX(Assessments!$J$2:$J$600,MATCH($H163&amp;"|"&amp;$I163&amp;"|"&amp;$J163&amp;"|"&amp;11,Assessments!$A$2:$A$600,0)),0)</f>
        <v>0</v>
      </c>
      <c r="DH163" s="28" t="n">
        <f aca="false">IFERROR(INDEX(Assessments!$J$2:$J$600,MATCH($H163&amp;"|"&amp;$I163&amp;"|"&amp;$J163&amp;"|"&amp;12,Assessments!$A$2:$A$600,0)),0)</f>
        <v>0</v>
      </c>
      <c r="DI163" s="28" t="n">
        <f aca="false">IFERROR(INDEX(Assessments!$J$2:$J$600,MATCH($H163&amp;"|"&amp;$I163&amp;"|"&amp;$J163&amp;"|"&amp;13,Assessments!$A$2:$A$600,0)),0)</f>
        <v>0</v>
      </c>
      <c r="DJ163" s="28" t="n">
        <f aca="false">IFERROR(INDEX(Assessments!$J$2:$J$600,MATCH($H163&amp;"|"&amp;$I163&amp;"|"&amp;$J163&amp;"|"&amp;14,Assessments!$A$2:$A$600,0)),0)</f>
        <v>0</v>
      </c>
      <c r="DK163" s="28" t="n">
        <f aca="false">S163</f>
        <v>7</v>
      </c>
      <c r="DL163" s="28" t="n">
        <f aca="false">W163</f>
        <v>7</v>
      </c>
      <c r="DM163" s="28" t="n">
        <f aca="false">AA163</f>
        <v>7</v>
      </c>
      <c r="DN163" s="28" t="str">
        <f aca="false">AE163</f>
        <v/>
      </c>
      <c r="DO163" s="28" t="str">
        <f aca="false">AI163</f>
        <v/>
      </c>
      <c r="DP163" s="28" t="str">
        <f aca="false">AM163</f>
        <v/>
      </c>
      <c r="DQ163" s="28" t="n">
        <f aca="false">AQ163</f>
        <v>4</v>
      </c>
      <c r="DR163" s="28" t="str">
        <f aca="false">AU163</f>
        <v/>
      </c>
      <c r="DS163" s="28" t="str">
        <f aca="false">AY163</f>
        <v/>
      </c>
      <c r="DT163" s="28" t="str">
        <f aca="false">BC163</f>
        <v/>
      </c>
      <c r="DU163" s="28" t="str">
        <f aca="false">BG163</f>
        <v/>
      </c>
      <c r="DV163" s="28" t="str">
        <f aca="false">BK163</f>
        <v/>
      </c>
      <c r="DW163" s="28" t="str">
        <f aca="false">BO163</f>
        <v/>
      </c>
      <c r="DX163" s="28" t="str">
        <f aca="false">BS163</f>
        <v/>
      </c>
      <c r="DY163" s="28" t="n">
        <f aca="false">IF(ISNUMBER(S163),1,"")</f>
        <v>1</v>
      </c>
      <c r="DZ163" s="28" t="n">
        <f aca="false">IF(ISNUMBER(W163),2,"")</f>
        <v>2</v>
      </c>
      <c r="EA163" s="28" t="n">
        <f aca="false">IF(ISNUMBER(AA163),3,"")</f>
        <v>3</v>
      </c>
      <c r="EB163" s="28" t="str">
        <f aca="false">IF(ISNUMBER(AE163),4,"")</f>
        <v/>
      </c>
      <c r="EC163" s="28" t="str">
        <f aca="false">IF(ISNUMBER(AI163),5,"")</f>
        <v/>
      </c>
      <c r="ED163" s="28" t="str">
        <f aca="false">IF(ISNUMBER(AM163),6,"")</f>
        <v/>
      </c>
      <c r="EE163" s="28" t="n">
        <f aca="false">IF(ISNUMBER(AQ163),7,"")</f>
        <v>7</v>
      </c>
      <c r="EF163" s="28" t="str">
        <f aca="false">IF(ISNUMBER(AU163),8,"")</f>
        <v/>
      </c>
      <c r="EG163" s="28" t="str">
        <f aca="false">IF(ISNUMBER(AY163),9,"")</f>
        <v/>
      </c>
      <c r="EH163" s="28" t="str">
        <f aca="false">IF(ISNUMBER(BC163),10,"")</f>
        <v/>
      </c>
      <c r="EI163" s="28" t="str">
        <f aca="false">IF(ISNUMBER(BG163),11,"")</f>
        <v/>
      </c>
      <c r="EJ163" s="28" t="str">
        <f aca="false">IF(ISNUMBER(BK163),12,"")</f>
        <v/>
      </c>
      <c r="EK163" s="28" t="str">
        <f aca="false">IF(ISNUMBER(BO163),13,"")</f>
        <v/>
      </c>
      <c r="EL163" s="28" t="str">
        <f aca="false">IF(ISNUMBER(BS163),14,"")</f>
        <v/>
      </c>
      <c r="EM163" s="28" t="n">
        <f aca="false">IF(ISNUMBER(R163),R163*CW163,0)</f>
        <v>87.5</v>
      </c>
      <c r="EN163" s="28" t="n">
        <f aca="false">IF(ISNUMBER(V163),V163*CX163,0)</f>
        <v>80</v>
      </c>
      <c r="EO163" s="28" t="n">
        <f aca="false">IF(ISNUMBER(Z163),Z163*CY163,0)</f>
        <v>80</v>
      </c>
      <c r="EP163" s="28" t="n">
        <f aca="false">IF(ISNUMBER(AD163),AD163*CZ163,0)</f>
        <v>0</v>
      </c>
      <c r="EQ163" s="28" t="n">
        <f aca="false">IF(ISNUMBER(AH163),AH163*DA163,0)</f>
        <v>0</v>
      </c>
      <c r="ER163" s="28" t="n">
        <f aca="false">IF(ISNUMBER(AL163),AL163*DB163,0)</f>
        <v>0</v>
      </c>
      <c r="ES163" s="28" t="n">
        <f aca="false">IF(ISNUMBER(AP163),AP163*DC163,0)</f>
        <v>114.285714285714</v>
      </c>
      <c r="ET163" s="28" t="n">
        <f aca="false">IF(ISNUMBER(AT163),AT163*DD163,0)</f>
        <v>0</v>
      </c>
      <c r="EU163" s="28" t="n">
        <f aca="false">IF(ISNUMBER(AX163),AX163*DE163,0)</f>
        <v>0</v>
      </c>
      <c r="EV163" s="28" t="n">
        <f aca="false">IF(ISNUMBER(BB163),BB163*DF163,0)</f>
        <v>0</v>
      </c>
      <c r="EW163" s="28" t="n">
        <f aca="false">IF(ISNUMBER(BF163),BF163*DG163,0)</f>
        <v>0</v>
      </c>
      <c r="EX163" s="28" t="n">
        <f aca="false">IF(ISNUMBER(BJ163),BJ163*DH163,0)</f>
        <v>0</v>
      </c>
      <c r="EY163" s="28" t="n">
        <f aca="false">IF(ISNUMBER(BN163),BN163*DI163,0)</f>
        <v>0</v>
      </c>
      <c r="EZ163" s="28" t="n">
        <f aca="false">IF(ISNUMBER(BR163),BR163*DJ163,0)</f>
        <v>0</v>
      </c>
      <c r="FA163" s="28" t="n">
        <f aca="false">IF(ISNUMBER(R163),CW163,0)</f>
        <v>1</v>
      </c>
      <c r="FB163" s="28" t="n">
        <f aca="false">IF(ISNUMBER(V163),CX163,0)</f>
        <v>1</v>
      </c>
      <c r="FC163" s="28" t="n">
        <f aca="false">IF(ISNUMBER(Z163),CY163,0)</f>
        <v>1</v>
      </c>
      <c r="FD163" s="28" t="n">
        <f aca="false">IF(ISNUMBER(AD163),CZ163,0)</f>
        <v>0</v>
      </c>
      <c r="FE163" s="28" t="n">
        <f aca="false">IF(ISNUMBER(AH163),DA163,0)</f>
        <v>0</v>
      </c>
      <c r="FF163" s="28" t="n">
        <f aca="false">IF(ISNUMBER(AL163),DB163,0)</f>
        <v>0</v>
      </c>
      <c r="FG163" s="28" t="n">
        <f aca="false">IF(ISNUMBER(AP163),DC163,0)</f>
        <v>2</v>
      </c>
      <c r="FH163" s="28" t="n">
        <f aca="false">IF(ISNUMBER(AT163),DD163,0)</f>
        <v>0</v>
      </c>
      <c r="FI163" s="28" t="n">
        <f aca="false">IF(ISNUMBER(AX163),DE163,0)</f>
        <v>0</v>
      </c>
      <c r="FJ163" s="28" t="n">
        <f aca="false">IF(ISNUMBER(BB163),DF163,0)</f>
        <v>0</v>
      </c>
      <c r="FK163" s="28" t="n">
        <f aca="false">IF(ISNUMBER(BF163),DG163,0)</f>
        <v>0</v>
      </c>
      <c r="FL163" s="28" t="n">
        <f aca="false">IF(ISNUMBER(BJ163),DH163,0)</f>
        <v>0</v>
      </c>
      <c r="FM163" s="28" t="n">
        <f aca="false">IF(ISNUMBER(BN163),DI163,0)</f>
        <v>0</v>
      </c>
      <c r="FN163" s="28" t="n">
        <f aca="false">IF(ISNUMBER(BR163),DJ163,0)</f>
        <v>0</v>
      </c>
      <c r="FO163" s="28" t="str">
        <f aca="false">IFERROR(INDEX(Lists!$G$2:$G$20,MATCH($I163&amp;"|"&amp;$J163,Lists!$F$2:$F$20,0)),"")</f>
        <v>BM Exam</v>
      </c>
    </row>
    <row r="164" customFormat="false" ht="19.5" hidden="false" customHeight="true" outlineLevel="0" collapsed="false">
      <c r="A164" s="29" t="s">
        <v>319</v>
      </c>
      <c r="B164" s="29" t="s">
        <v>320</v>
      </c>
      <c r="C164" s="30" t="s">
        <v>192</v>
      </c>
      <c r="D164" s="30" t="s">
        <v>383</v>
      </c>
      <c r="E164" s="31" t="n">
        <v>5.9</v>
      </c>
      <c r="F164" s="30" t="n">
        <v>6</v>
      </c>
      <c r="G164" s="30"/>
      <c r="H164" s="32" t="s">
        <v>23</v>
      </c>
      <c r="I164" s="33" t="s">
        <v>365</v>
      </c>
      <c r="J164" s="32" t="s">
        <v>25</v>
      </c>
      <c r="K164" s="34" t="n">
        <f aca="false">IF(OR(M164="",$E164=""),"",M164-$E164)</f>
        <v>1.1</v>
      </c>
      <c r="L164" s="35" t="n">
        <f aca="false">IF(SUM(FA164:FN164)=0,"",SUM(EM164:EZ164)/SUM(FA164:FN164))</f>
        <v>80.6190476190476</v>
      </c>
      <c r="M164" s="36" t="n">
        <f aca="false">IF(OR(L164="",FO164=""),"",IFERROR(MATCH(L164,INDEX(Boundaries!$B$2:$I$30,MATCH(FO164,Boundaries!$A$2:$A$30,0),0),1)-1,""))</f>
        <v>7</v>
      </c>
      <c r="N164" s="37" t="n">
        <f aca="false">IF(COUNT($DY164:$EL164)&lt;2,"",INDEX($DK164:$DX164,MAX($DY164:$EL164))-INDEX($DK164:$DX164,MIN($DY164:$EL164)))</f>
        <v>-1</v>
      </c>
      <c r="O164" s="37" t="n">
        <f aca="false">IF(COUNT($DY164:$EL164)&lt;2,"",INDEX($DK164:$DX164,MAX($DY164:$EL164))-INDEX($DK164:$DX164,LARGE($DY164:$EL164,2)))</f>
        <v>1</v>
      </c>
      <c r="P164" s="38" t="str">
        <f aca="false">IF(K164="","",IF(K164&gt;=0,"On/above target",IF(AND(N164&lt;&gt;"",N164&gt;=0.5),"Improving towards target",IF(AND(O164&lt;&gt;"",O164&lt;=-0.5),"Declining","Stable below target"))))</f>
        <v>On/above target</v>
      </c>
      <c r="Q164" s="39" t="n">
        <v>22</v>
      </c>
      <c r="R164" s="40" t="n">
        <f aca="false">IF(OR(Q164="",BU164=""),"",Q164/BU164*100)</f>
        <v>91.6666666666667</v>
      </c>
      <c r="S164" s="41" t="n">
        <f aca="false">IF(R164="","",IFERROR(MATCH(R164,INDEX(Boundaries!$B$2:$I$30,MATCH(CI164,Boundaries!$A$2:$A$30,0),0),1)-1,""))</f>
        <v>7</v>
      </c>
      <c r="T164" s="42" t="n">
        <f aca="false">IF(OR(S164="",$E164=""),"",S164-$E164)</f>
        <v>1.1</v>
      </c>
      <c r="U164" s="39" t="n">
        <v>16</v>
      </c>
      <c r="V164" s="40" t="n">
        <f aca="false">IF(OR(U164="",BV164=""),"",U164/BV164*100)</f>
        <v>80</v>
      </c>
      <c r="W164" s="41" t="n">
        <f aca="false">IF(V164="","",IFERROR(MATCH(V164,INDEX(Boundaries!$B$2:$I$30,MATCH(CJ164,Boundaries!$A$2:$A$30,0),0),1)-1,""))</f>
        <v>7</v>
      </c>
      <c r="X164" s="42" t="n">
        <f aca="false">IF(OR(W164="",$E164=""),"",W164-$E164)</f>
        <v>1.1</v>
      </c>
      <c r="Y164" s="39" t="n">
        <v>12</v>
      </c>
      <c r="Z164" s="40" t="n">
        <f aca="false">IF(OR(Y164="",BW164=""),"",Y164/BW164*100)</f>
        <v>60</v>
      </c>
      <c r="AA164" s="41" t="n">
        <f aca="false">IF(Z164="","",IFERROR(MATCH(Z164,INDEX(Boundaries!$B$2:$I$30,MATCH(CK164,Boundaries!$A$2:$A$30,0),0),1)-1,""))</f>
        <v>5</v>
      </c>
      <c r="AB164" s="42" t="n">
        <f aca="false">IF(OR(AA164="",$E164=""),"",AA164-$E164)</f>
        <v>-0.9</v>
      </c>
      <c r="AC164" s="39"/>
      <c r="AD164" s="40" t="str">
        <f aca="false">IF(OR(AC164="",BX164=""),"",AC164/BX164*100)</f>
        <v/>
      </c>
      <c r="AE164" s="41" t="str">
        <f aca="false">IF(AD164="","",IFERROR(MATCH(AD164,INDEX(Boundaries!$B$2:$I$30,MATCH(CL164,Boundaries!$A$2:$A$30,0),0),1)-1,""))</f>
        <v/>
      </c>
      <c r="AF164" s="42" t="str">
        <f aca="false">IF(OR(AE164="",$E164=""),"",AE164-$E164)</f>
        <v/>
      </c>
      <c r="AG164" s="39"/>
      <c r="AH164" s="40" t="str">
        <f aca="false">IF(OR(AG164="",BY164=""),"",AG164/BY164*100)</f>
        <v/>
      </c>
      <c r="AI164" s="41" t="str">
        <f aca="false">IF(AH164="","",IFERROR(MATCH(AH164,INDEX(Boundaries!$B$2:$I$30,MATCH(CM164,Boundaries!$A$2:$A$30,0),0),1)-1,""))</f>
        <v/>
      </c>
      <c r="AJ164" s="42" t="str">
        <f aca="false">IF(OR(AI164="",$E164=""),"",AI164-$E164)</f>
        <v/>
      </c>
      <c r="AK164" s="39"/>
      <c r="AL164" s="40" t="str">
        <f aca="false">IF(OR(AK164="",BZ164=""),"",AK164/BZ164*100)</f>
        <v/>
      </c>
      <c r="AM164" s="41" t="str">
        <f aca="false">IF(AL164="","",IFERROR(MATCH(AL164,INDEX(Boundaries!$B$2:$I$30,MATCH(CN164,Boundaries!$A$2:$A$30,0),0),1)-1,""))</f>
        <v/>
      </c>
      <c r="AN164" s="42" t="str">
        <f aca="false">IF(OR(AM164="",$E164=""),"",AM164-$E164)</f>
        <v/>
      </c>
      <c r="AO164" s="39" t="n">
        <v>6</v>
      </c>
      <c r="AP164" s="40" t="n">
        <f aca="false">IF(OR(AO164="",CA164=""),"",AO164/CA164*100)</f>
        <v>85.7142857142857</v>
      </c>
      <c r="AQ164" s="41" t="n">
        <f aca="false">IF(AP164="","",IFERROR(MATCH(AP164,INDEX(Boundaries!$B$2:$I$30,MATCH(CO164,Boundaries!$A$2:$A$30,0),0),1)-1,""))</f>
        <v>6</v>
      </c>
      <c r="AR164" s="42" t="n">
        <f aca="false">IF(OR(AQ164="",$E164=""),"",AQ164-$E164)</f>
        <v>0.0999999999999996</v>
      </c>
      <c r="AS164" s="39"/>
      <c r="AT164" s="40" t="str">
        <f aca="false">IF(OR(AS164="",CB164=""),"",AS164/CB164*100)</f>
        <v/>
      </c>
      <c r="AU164" s="41" t="str">
        <f aca="false">IF(AT164="","",IFERROR(MATCH(AT164,INDEX(Boundaries!$B$2:$I$30,MATCH(CP164,Boundaries!$A$2:$A$30,0),0),1)-1,""))</f>
        <v/>
      </c>
      <c r="AV164" s="42" t="str">
        <f aca="false">IF(OR(AU164="",$E164=""),"",AU164-$E164)</f>
        <v/>
      </c>
      <c r="AW164" s="39"/>
      <c r="AX164" s="40" t="str">
        <f aca="false">IF(OR(AW164="",CC164=""),"",AW164/CC164*100)</f>
        <v/>
      </c>
      <c r="AY164" s="41" t="str">
        <f aca="false">IF(AX164="","",IFERROR(MATCH(AX164,INDEX(Boundaries!$B$2:$I$30,MATCH(CQ164,Boundaries!$A$2:$A$30,0),0),1)-1,""))</f>
        <v/>
      </c>
      <c r="AZ164" s="42" t="str">
        <f aca="false">IF(OR(AY164="",$E164=""),"",AY164-$E164)</f>
        <v/>
      </c>
      <c r="BA164" s="39"/>
      <c r="BB164" s="40" t="str">
        <f aca="false">IF(OR(BA164="",CD164=""),"",BA164/CD164*100)</f>
        <v/>
      </c>
      <c r="BC164" s="41" t="str">
        <f aca="false">IF(BB164="","",IFERROR(MATCH(BB164,INDEX(Boundaries!$B$2:$I$30,MATCH(CR164,Boundaries!$A$2:$A$30,0),0),1)-1,""))</f>
        <v/>
      </c>
      <c r="BD164" s="42" t="str">
        <f aca="false">IF(OR(BC164="",$E164=""),"",BC164-$E164)</f>
        <v/>
      </c>
      <c r="BE164" s="39"/>
      <c r="BF164" s="40" t="str">
        <f aca="false">IF(OR(BE164="",CE164=""),"",BE164/CE164*100)</f>
        <v/>
      </c>
      <c r="BG164" s="41" t="str">
        <f aca="false">IF(BF164="","",IFERROR(MATCH(BF164,INDEX(Boundaries!$B$2:$I$30,MATCH(CS164,Boundaries!$A$2:$A$30,0),0),1)-1,""))</f>
        <v/>
      </c>
      <c r="BH164" s="42" t="str">
        <f aca="false">IF(OR(BG164="",$E164=""),"",BG164-$E164)</f>
        <v/>
      </c>
      <c r="BI164" s="39"/>
      <c r="BJ164" s="40" t="str">
        <f aca="false">IF(OR(BI164="",CF164=""),"",BI164/CF164*100)</f>
        <v/>
      </c>
      <c r="BK164" s="41" t="str">
        <f aca="false">IF(BJ164="","",IFERROR(MATCH(BJ164,INDEX(Boundaries!$B$2:$I$30,MATCH(CT164,Boundaries!$A$2:$A$30,0),0),1)-1,""))</f>
        <v/>
      </c>
      <c r="BL164" s="42" t="str">
        <f aca="false">IF(OR(BK164="",$E164=""),"",BK164-$E164)</f>
        <v/>
      </c>
      <c r="BM164" s="39"/>
      <c r="BN164" s="40" t="str">
        <f aca="false">IF(OR(BM164="",CG164=""),"",BM164/CG164*100)</f>
        <v/>
      </c>
      <c r="BO164" s="41" t="str">
        <f aca="false">IF(BN164="","",IFERROR(MATCH(BN164,INDEX(Boundaries!$B$2:$I$30,MATCH(CU164,Boundaries!$A$2:$A$30,0),0),1)-1,""))</f>
        <v/>
      </c>
      <c r="BP164" s="42" t="str">
        <f aca="false">IF(OR(BO164="",$E164=""),"",BO164-$E164)</f>
        <v/>
      </c>
      <c r="BQ164" s="39"/>
      <c r="BR164" s="40" t="str">
        <f aca="false">IF(OR(BQ164="",CH164=""),"",BQ164/CH164*100)</f>
        <v/>
      </c>
      <c r="BS164" s="41" t="str">
        <f aca="false">IF(BR164="","",IFERROR(MATCH(BR164,INDEX(Boundaries!$B$2:$I$30,MATCH(CV164,Boundaries!$A$2:$A$30,0),0),1)-1,""))</f>
        <v/>
      </c>
      <c r="BT164" s="42" t="str">
        <f aca="false">IF(OR(BS164="",$E164=""),"",BS164-$E164)</f>
        <v/>
      </c>
      <c r="BU164" s="28" t="n">
        <f aca="false">IFERROR(INDEX(Assessments!$H$2:$H$600,MATCH($H164&amp;"|"&amp;$I164&amp;"|"&amp;$J164&amp;"|"&amp;1,Assessments!$A$2:$A$600,0)),"")</f>
        <v>24</v>
      </c>
      <c r="BV164" s="28" t="n">
        <f aca="false">IFERROR(INDEX(Assessments!$H$2:$H$600,MATCH($H164&amp;"|"&amp;$I164&amp;"|"&amp;$J164&amp;"|"&amp;2,Assessments!$A$2:$A$600,0)),"")</f>
        <v>20</v>
      </c>
      <c r="BW164" s="28" t="n">
        <f aca="false">IFERROR(INDEX(Assessments!$H$2:$H$600,MATCH($H164&amp;"|"&amp;$I164&amp;"|"&amp;$J164&amp;"|"&amp;3,Assessments!$A$2:$A$600,0)),"")</f>
        <v>20</v>
      </c>
      <c r="BX164" s="28" t="n">
        <f aca="false">IFERROR(INDEX(Assessments!$H$2:$H$600,MATCH($H164&amp;"|"&amp;$I164&amp;"|"&amp;$J164&amp;"|"&amp;4,Assessments!$A$2:$A$600,0)),"")</f>
        <v>40</v>
      </c>
      <c r="BY164" s="28" t="n">
        <f aca="false">IFERROR(INDEX(Assessments!$H$2:$H$600,MATCH($H164&amp;"|"&amp;$I164&amp;"|"&amp;$J164&amp;"|"&amp;5,Assessments!$A$2:$A$600,0)),"")</f>
        <v>30</v>
      </c>
      <c r="BZ164" s="28" t="n">
        <f aca="false">IFERROR(INDEX(Assessments!$H$2:$H$600,MATCH($H164&amp;"|"&amp;$I164&amp;"|"&amp;$J164&amp;"|"&amp;6,Assessments!$A$2:$A$600,0)),"")</f>
        <v>20</v>
      </c>
      <c r="CA164" s="28" t="n">
        <f aca="false">IFERROR(INDEX(Assessments!$H$2:$H$600,MATCH($H164&amp;"|"&amp;$I164&amp;"|"&amp;$J164&amp;"|"&amp;7,Assessments!$A$2:$A$600,0)),"")</f>
        <v>7</v>
      </c>
      <c r="CB164" s="28" t="str">
        <f aca="false">IFERROR(INDEX(Assessments!$H$2:$H$600,MATCH($H164&amp;"|"&amp;$I164&amp;"|"&amp;$J164&amp;"|"&amp;8,Assessments!$A$2:$A$600,0)),"")</f>
        <v/>
      </c>
      <c r="CC164" s="28" t="str">
        <f aca="false">IFERROR(INDEX(Assessments!$H$2:$H$600,MATCH($H164&amp;"|"&amp;$I164&amp;"|"&amp;$J164&amp;"|"&amp;9,Assessments!$A$2:$A$600,0)),"")</f>
        <v/>
      </c>
      <c r="CD164" s="28" t="str">
        <f aca="false">IFERROR(INDEX(Assessments!$H$2:$H$600,MATCH($H164&amp;"|"&amp;$I164&amp;"|"&amp;$J164&amp;"|"&amp;10,Assessments!$A$2:$A$600,0)),"")</f>
        <v/>
      </c>
      <c r="CE164" s="28" t="str">
        <f aca="false">IFERROR(INDEX(Assessments!$H$2:$H$600,MATCH($H164&amp;"|"&amp;$I164&amp;"|"&amp;$J164&amp;"|"&amp;11,Assessments!$A$2:$A$600,0)),"")</f>
        <v/>
      </c>
      <c r="CF164" s="28" t="str">
        <f aca="false">IFERROR(INDEX(Assessments!$H$2:$H$600,MATCH($H164&amp;"|"&amp;$I164&amp;"|"&amp;$J164&amp;"|"&amp;12,Assessments!$A$2:$A$600,0)),"")</f>
        <v/>
      </c>
      <c r="CG164" s="28" t="str">
        <f aca="false">IFERROR(INDEX(Assessments!$H$2:$H$600,MATCH($H164&amp;"|"&amp;$I164&amp;"|"&amp;$J164&amp;"|"&amp;13,Assessments!$A$2:$A$600,0)),"")</f>
        <v/>
      </c>
      <c r="CH164" s="28" t="str">
        <f aca="false">IFERROR(INDEX(Assessments!$H$2:$H$600,MATCH($H164&amp;"|"&amp;$I164&amp;"|"&amp;$J164&amp;"|"&amp;14,Assessments!$A$2:$A$600,0)),"")</f>
        <v/>
      </c>
      <c r="CI164" s="28" t="str">
        <f aca="false">IFERROR(INDEX(Assessments!$I$2:$I$600,MATCH($H164&amp;"|"&amp;$I164&amp;"|"&amp;$J164&amp;"|"&amp;1,Assessments!$A$2:$A$600,0)),"")</f>
        <v>BM Test</v>
      </c>
      <c r="CJ164" s="28" t="str">
        <f aca="false">IFERROR(INDEX(Assessments!$I$2:$I$600,MATCH($H164&amp;"|"&amp;$I164&amp;"|"&amp;$J164&amp;"|"&amp;2,Assessments!$A$2:$A$600,0)),"")</f>
        <v>BM Test</v>
      </c>
      <c r="CK164" s="28" t="str">
        <f aca="false">IFERROR(INDEX(Assessments!$I$2:$I$600,MATCH($H164&amp;"|"&amp;$I164&amp;"|"&amp;$J164&amp;"|"&amp;3,Assessments!$A$2:$A$600,0)),"")</f>
        <v>BM Test</v>
      </c>
      <c r="CL164" s="28" t="str">
        <f aca="false">IFERROR(INDEX(Assessments!$I$2:$I$600,MATCH($H164&amp;"|"&amp;$I164&amp;"|"&amp;$J164&amp;"|"&amp;4,Assessments!$A$2:$A$600,0)),"")</f>
        <v>BM Exam</v>
      </c>
      <c r="CM164" s="28" t="str">
        <f aca="false">IFERROR(INDEX(Assessments!$I$2:$I$600,MATCH($H164&amp;"|"&amp;$I164&amp;"|"&amp;$J164&amp;"|"&amp;5,Assessments!$A$2:$A$600,0)),"")</f>
        <v>BM Test</v>
      </c>
      <c r="CN164" s="28" t="str">
        <f aca="false">IFERROR(INDEX(Assessments!$I$2:$I$600,MATCH($H164&amp;"|"&amp;$I164&amp;"|"&amp;$J164&amp;"|"&amp;6,Assessments!$A$2:$A$600,0)),"")</f>
        <v>BM Test</v>
      </c>
      <c r="CO164" s="28" t="str">
        <f aca="false">IFERROR(INDEX(Assessments!$I$2:$I$600,MATCH($H164&amp;"|"&amp;$I164&amp;"|"&amp;$J164&amp;"|"&amp;7,Assessments!$A$2:$A$600,0)),"")</f>
        <v>Grade entered</v>
      </c>
      <c r="CP164" s="28" t="str">
        <f aca="false">IFERROR(INDEX(Assessments!$I$2:$I$600,MATCH($H164&amp;"|"&amp;$I164&amp;"|"&amp;$J164&amp;"|"&amp;8,Assessments!$A$2:$A$600,0)),"")</f>
        <v/>
      </c>
      <c r="CQ164" s="28" t="str">
        <f aca="false">IFERROR(INDEX(Assessments!$I$2:$I$600,MATCH($H164&amp;"|"&amp;$I164&amp;"|"&amp;$J164&amp;"|"&amp;9,Assessments!$A$2:$A$600,0)),"")</f>
        <v/>
      </c>
      <c r="CR164" s="28" t="str">
        <f aca="false">IFERROR(INDEX(Assessments!$I$2:$I$600,MATCH($H164&amp;"|"&amp;$I164&amp;"|"&amp;$J164&amp;"|"&amp;10,Assessments!$A$2:$A$600,0)),"")</f>
        <v/>
      </c>
      <c r="CS164" s="28" t="str">
        <f aca="false">IFERROR(INDEX(Assessments!$I$2:$I$600,MATCH($H164&amp;"|"&amp;$I164&amp;"|"&amp;$J164&amp;"|"&amp;11,Assessments!$A$2:$A$600,0)),"")</f>
        <v/>
      </c>
      <c r="CT164" s="28" t="str">
        <f aca="false">IFERROR(INDEX(Assessments!$I$2:$I$600,MATCH($H164&amp;"|"&amp;$I164&amp;"|"&amp;$J164&amp;"|"&amp;12,Assessments!$A$2:$A$600,0)),"")</f>
        <v/>
      </c>
      <c r="CU164" s="28" t="str">
        <f aca="false">IFERROR(INDEX(Assessments!$I$2:$I$600,MATCH($H164&amp;"|"&amp;$I164&amp;"|"&amp;$J164&amp;"|"&amp;13,Assessments!$A$2:$A$600,0)),"")</f>
        <v/>
      </c>
      <c r="CV164" s="28" t="str">
        <f aca="false">IFERROR(INDEX(Assessments!$I$2:$I$600,MATCH($H164&amp;"|"&amp;$I164&amp;"|"&amp;$J164&amp;"|"&amp;14,Assessments!$A$2:$A$600,0)),"")</f>
        <v/>
      </c>
      <c r="CW164" s="28" t="n">
        <f aca="false">IFERROR(INDEX(Assessments!$J$2:$J$600,MATCH($H164&amp;"|"&amp;$I164&amp;"|"&amp;$J164&amp;"|"&amp;1,Assessments!$A$2:$A$600,0)),0)</f>
        <v>1</v>
      </c>
      <c r="CX164" s="28" t="n">
        <f aca="false">IFERROR(INDEX(Assessments!$J$2:$J$600,MATCH($H164&amp;"|"&amp;$I164&amp;"|"&amp;$J164&amp;"|"&amp;2,Assessments!$A$2:$A$600,0)),0)</f>
        <v>1</v>
      </c>
      <c r="CY164" s="28" t="n">
        <f aca="false">IFERROR(INDEX(Assessments!$J$2:$J$600,MATCH($H164&amp;"|"&amp;$I164&amp;"|"&amp;$J164&amp;"|"&amp;3,Assessments!$A$2:$A$600,0)),0)</f>
        <v>1</v>
      </c>
      <c r="CZ164" s="28" t="n">
        <f aca="false">IFERROR(INDEX(Assessments!$J$2:$J$600,MATCH($H164&amp;"|"&amp;$I164&amp;"|"&amp;$J164&amp;"|"&amp;4,Assessments!$A$2:$A$600,0)),0)</f>
        <v>2</v>
      </c>
      <c r="DA164" s="28" t="n">
        <f aca="false">IFERROR(INDEX(Assessments!$J$2:$J$600,MATCH($H164&amp;"|"&amp;$I164&amp;"|"&amp;$J164&amp;"|"&amp;5,Assessments!$A$2:$A$600,0)),0)</f>
        <v>1</v>
      </c>
      <c r="DB164" s="28" t="n">
        <f aca="false">IFERROR(INDEX(Assessments!$J$2:$J$600,MATCH($H164&amp;"|"&amp;$I164&amp;"|"&amp;$J164&amp;"|"&amp;6,Assessments!$A$2:$A$600,0)),0)</f>
        <v>1</v>
      </c>
      <c r="DC164" s="28" t="n">
        <f aca="false">IFERROR(INDEX(Assessments!$J$2:$J$600,MATCH($H164&amp;"|"&amp;$I164&amp;"|"&amp;$J164&amp;"|"&amp;7,Assessments!$A$2:$A$600,0)),0)</f>
        <v>2</v>
      </c>
      <c r="DD164" s="28" t="n">
        <f aca="false">IFERROR(INDEX(Assessments!$J$2:$J$600,MATCH($H164&amp;"|"&amp;$I164&amp;"|"&amp;$J164&amp;"|"&amp;8,Assessments!$A$2:$A$600,0)),0)</f>
        <v>0</v>
      </c>
      <c r="DE164" s="28" t="n">
        <f aca="false">IFERROR(INDEX(Assessments!$J$2:$J$600,MATCH($H164&amp;"|"&amp;$I164&amp;"|"&amp;$J164&amp;"|"&amp;9,Assessments!$A$2:$A$600,0)),0)</f>
        <v>0</v>
      </c>
      <c r="DF164" s="28" t="n">
        <f aca="false">IFERROR(INDEX(Assessments!$J$2:$J$600,MATCH($H164&amp;"|"&amp;$I164&amp;"|"&amp;$J164&amp;"|"&amp;10,Assessments!$A$2:$A$600,0)),0)</f>
        <v>0</v>
      </c>
      <c r="DG164" s="28" t="n">
        <f aca="false">IFERROR(INDEX(Assessments!$J$2:$J$600,MATCH($H164&amp;"|"&amp;$I164&amp;"|"&amp;$J164&amp;"|"&amp;11,Assessments!$A$2:$A$600,0)),0)</f>
        <v>0</v>
      </c>
      <c r="DH164" s="28" t="n">
        <f aca="false">IFERROR(INDEX(Assessments!$J$2:$J$600,MATCH($H164&amp;"|"&amp;$I164&amp;"|"&amp;$J164&amp;"|"&amp;12,Assessments!$A$2:$A$600,0)),0)</f>
        <v>0</v>
      </c>
      <c r="DI164" s="28" t="n">
        <f aca="false">IFERROR(INDEX(Assessments!$J$2:$J$600,MATCH($H164&amp;"|"&amp;$I164&amp;"|"&amp;$J164&amp;"|"&amp;13,Assessments!$A$2:$A$600,0)),0)</f>
        <v>0</v>
      </c>
      <c r="DJ164" s="28" t="n">
        <f aca="false">IFERROR(INDEX(Assessments!$J$2:$J$600,MATCH($H164&amp;"|"&amp;$I164&amp;"|"&amp;$J164&amp;"|"&amp;14,Assessments!$A$2:$A$600,0)),0)</f>
        <v>0</v>
      </c>
      <c r="DK164" s="28" t="n">
        <f aca="false">S164</f>
        <v>7</v>
      </c>
      <c r="DL164" s="28" t="n">
        <f aca="false">W164</f>
        <v>7</v>
      </c>
      <c r="DM164" s="28" t="n">
        <f aca="false">AA164</f>
        <v>5</v>
      </c>
      <c r="DN164" s="28" t="str">
        <f aca="false">AE164</f>
        <v/>
      </c>
      <c r="DO164" s="28" t="str">
        <f aca="false">AI164</f>
        <v/>
      </c>
      <c r="DP164" s="28" t="str">
        <f aca="false">AM164</f>
        <v/>
      </c>
      <c r="DQ164" s="28" t="n">
        <f aca="false">AQ164</f>
        <v>6</v>
      </c>
      <c r="DR164" s="28" t="str">
        <f aca="false">AU164</f>
        <v/>
      </c>
      <c r="DS164" s="28" t="str">
        <f aca="false">AY164</f>
        <v/>
      </c>
      <c r="DT164" s="28" t="str">
        <f aca="false">BC164</f>
        <v/>
      </c>
      <c r="DU164" s="28" t="str">
        <f aca="false">BG164</f>
        <v/>
      </c>
      <c r="DV164" s="28" t="str">
        <f aca="false">BK164</f>
        <v/>
      </c>
      <c r="DW164" s="28" t="str">
        <f aca="false">BO164</f>
        <v/>
      </c>
      <c r="DX164" s="28" t="str">
        <f aca="false">BS164</f>
        <v/>
      </c>
      <c r="DY164" s="28" t="n">
        <f aca="false">IF(ISNUMBER(S164),1,"")</f>
        <v>1</v>
      </c>
      <c r="DZ164" s="28" t="n">
        <f aca="false">IF(ISNUMBER(W164),2,"")</f>
        <v>2</v>
      </c>
      <c r="EA164" s="28" t="n">
        <f aca="false">IF(ISNUMBER(AA164),3,"")</f>
        <v>3</v>
      </c>
      <c r="EB164" s="28" t="str">
        <f aca="false">IF(ISNUMBER(AE164),4,"")</f>
        <v/>
      </c>
      <c r="EC164" s="28" t="str">
        <f aca="false">IF(ISNUMBER(AI164),5,"")</f>
        <v/>
      </c>
      <c r="ED164" s="28" t="str">
        <f aca="false">IF(ISNUMBER(AM164),6,"")</f>
        <v/>
      </c>
      <c r="EE164" s="28" t="n">
        <f aca="false">IF(ISNUMBER(AQ164),7,"")</f>
        <v>7</v>
      </c>
      <c r="EF164" s="28" t="str">
        <f aca="false">IF(ISNUMBER(AU164),8,"")</f>
        <v/>
      </c>
      <c r="EG164" s="28" t="str">
        <f aca="false">IF(ISNUMBER(AY164),9,"")</f>
        <v/>
      </c>
      <c r="EH164" s="28" t="str">
        <f aca="false">IF(ISNUMBER(BC164),10,"")</f>
        <v/>
      </c>
      <c r="EI164" s="28" t="str">
        <f aca="false">IF(ISNUMBER(BG164),11,"")</f>
        <v/>
      </c>
      <c r="EJ164" s="28" t="str">
        <f aca="false">IF(ISNUMBER(BK164),12,"")</f>
        <v/>
      </c>
      <c r="EK164" s="28" t="str">
        <f aca="false">IF(ISNUMBER(BO164),13,"")</f>
        <v/>
      </c>
      <c r="EL164" s="28" t="str">
        <f aca="false">IF(ISNUMBER(BS164),14,"")</f>
        <v/>
      </c>
      <c r="EM164" s="28" t="n">
        <f aca="false">IF(ISNUMBER(R164),R164*CW164,0)</f>
        <v>91.6666666666667</v>
      </c>
      <c r="EN164" s="28" t="n">
        <f aca="false">IF(ISNUMBER(V164),V164*CX164,0)</f>
        <v>80</v>
      </c>
      <c r="EO164" s="28" t="n">
        <f aca="false">IF(ISNUMBER(Z164),Z164*CY164,0)</f>
        <v>60</v>
      </c>
      <c r="EP164" s="28" t="n">
        <f aca="false">IF(ISNUMBER(AD164),AD164*CZ164,0)</f>
        <v>0</v>
      </c>
      <c r="EQ164" s="28" t="n">
        <f aca="false">IF(ISNUMBER(AH164),AH164*DA164,0)</f>
        <v>0</v>
      </c>
      <c r="ER164" s="28" t="n">
        <f aca="false">IF(ISNUMBER(AL164),AL164*DB164,0)</f>
        <v>0</v>
      </c>
      <c r="ES164" s="28" t="n">
        <f aca="false">IF(ISNUMBER(AP164),AP164*DC164,0)</f>
        <v>171.428571428571</v>
      </c>
      <c r="ET164" s="28" t="n">
        <f aca="false">IF(ISNUMBER(AT164),AT164*DD164,0)</f>
        <v>0</v>
      </c>
      <c r="EU164" s="28" t="n">
        <f aca="false">IF(ISNUMBER(AX164),AX164*DE164,0)</f>
        <v>0</v>
      </c>
      <c r="EV164" s="28" t="n">
        <f aca="false">IF(ISNUMBER(BB164),BB164*DF164,0)</f>
        <v>0</v>
      </c>
      <c r="EW164" s="28" t="n">
        <f aca="false">IF(ISNUMBER(BF164),BF164*DG164,0)</f>
        <v>0</v>
      </c>
      <c r="EX164" s="28" t="n">
        <f aca="false">IF(ISNUMBER(BJ164),BJ164*DH164,0)</f>
        <v>0</v>
      </c>
      <c r="EY164" s="28" t="n">
        <f aca="false">IF(ISNUMBER(BN164),BN164*DI164,0)</f>
        <v>0</v>
      </c>
      <c r="EZ164" s="28" t="n">
        <f aca="false">IF(ISNUMBER(BR164),BR164*DJ164,0)</f>
        <v>0</v>
      </c>
      <c r="FA164" s="28" t="n">
        <f aca="false">IF(ISNUMBER(R164),CW164,0)</f>
        <v>1</v>
      </c>
      <c r="FB164" s="28" t="n">
        <f aca="false">IF(ISNUMBER(V164),CX164,0)</f>
        <v>1</v>
      </c>
      <c r="FC164" s="28" t="n">
        <f aca="false">IF(ISNUMBER(Z164),CY164,0)</f>
        <v>1</v>
      </c>
      <c r="FD164" s="28" t="n">
        <f aca="false">IF(ISNUMBER(AD164),CZ164,0)</f>
        <v>0</v>
      </c>
      <c r="FE164" s="28" t="n">
        <f aca="false">IF(ISNUMBER(AH164),DA164,0)</f>
        <v>0</v>
      </c>
      <c r="FF164" s="28" t="n">
        <f aca="false">IF(ISNUMBER(AL164),DB164,0)</f>
        <v>0</v>
      </c>
      <c r="FG164" s="28" t="n">
        <f aca="false">IF(ISNUMBER(AP164),DC164,0)</f>
        <v>2</v>
      </c>
      <c r="FH164" s="28" t="n">
        <f aca="false">IF(ISNUMBER(AT164),DD164,0)</f>
        <v>0</v>
      </c>
      <c r="FI164" s="28" t="n">
        <f aca="false">IF(ISNUMBER(AX164),DE164,0)</f>
        <v>0</v>
      </c>
      <c r="FJ164" s="28" t="n">
        <f aca="false">IF(ISNUMBER(BB164),DF164,0)</f>
        <v>0</v>
      </c>
      <c r="FK164" s="28" t="n">
        <f aca="false">IF(ISNUMBER(BF164),DG164,0)</f>
        <v>0</v>
      </c>
      <c r="FL164" s="28" t="n">
        <f aca="false">IF(ISNUMBER(BJ164),DH164,0)</f>
        <v>0</v>
      </c>
      <c r="FM164" s="28" t="n">
        <f aca="false">IF(ISNUMBER(BN164),DI164,0)</f>
        <v>0</v>
      </c>
      <c r="FN164" s="28" t="n">
        <f aca="false">IF(ISNUMBER(BR164),DJ164,0)</f>
        <v>0</v>
      </c>
      <c r="FO164" s="28" t="str">
        <f aca="false">IFERROR(INDEX(Lists!$G$2:$G$20,MATCH($I164&amp;"|"&amp;$J164,Lists!$F$2:$F$20,0)),"")</f>
        <v>BM Exam</v>
      </c>
    </row>
    <row r="165" customFormat="false" ht="19.5" hidden="false" customHeight="true" outlineLevel="0" collapsed="false">
      <c r="A165" s="29" t="s">
        <v>263</v>
      </c>
      <c r="B165" s="29" t="s">
        <v>264</v>
      </c>
      <c r="C165" s="30" t="s">
        <v>192</v>
      </c>
      <c r="D165" s="30" t="s">
        <v>383</v>
      </c>
      <c r="E165" s="31" t="n">
        <v>5.9</v>
      </c>
      <c r="F165" s="30" t="n">
        <v>6</v>
      </c>
      <c r="G165" s="30"/>
      <c r="H165" s="32" t="s">
        <v>23</v>
      </c>
      <c r="I165" s="33" t="s">
        <v>365</v>
      </c>
      <c r="J165" s="32" t="s">
        <v>25</v>
      </c>
      <c r="K165" s="34" t="n">
        <f aca="false">IF(OR(M165="",$E165=""),"",M165-$E165)</f>
        <v>1.1</v>
      </c>
      <c r="L165" s="35" t="n">
        <f aca="false">IF(SUM(FA165:FN165)=0,"",SUM(EM165:EZ165)/SUM(FA165:FN165))</f>
        <v>77.952380952381</v>
      </c>
      <c r="M165" s="36" t="n">
        <f aca="false">IF(OR(L165="",FO165=""),"",IFERROR(MATCH(L165,INDEX(Boundaries!$B$2:$I$30,MATCH(FO165,Boundaries!$A$2:$A$30,0),0),1)-1,""))</f>
        <v>7</v>
      </c>
      <c r="N165" s="37" t="n">
        <f aca="false">IF(COUNT($DY165:$EL165)&lt;2,"",INDEX($DK165:$DX165,MAX($DY165:$EL165))-INDEX($DK165:$DX165,MIN($DY165:$EL165)))</f>
        <v>-1</v>
      </c>
      <c r="O165" s="37" t="n">
        <f aca="false">IF(COUNT($DY165:$EL165)&lt;2,"",INDEX($DK165:$DX165,MAX($DY165:$EL165))-INDEX($DK165:$DX165,LARGE($DY165:$EL165,2)))</f>
        <v>1</v>
      </c>
      <c r="P165" s="38" t="str">
        <f aca="false">IF(K165="","",IF(K165&gt;=0,"On/above target",IF(AND(N165&lt;&gt;"",N165&gt;=0.5),"Improving towards target",IF(AND(O165&lt;&gt;"",O165&lt;=-0.5),"Declining","Stable below target"))))</f>
        <v>On/above target</v>
      </c>
      <c r="Q165" s="39" t="n">
        <v>20</v>
      </c>
      <c r="R165" s="40" t="n">
        <f aca="false">IF(OR(Q165="",BU165=""),"",Q165/BU165*100)</f>
        <v>83.3333333333333</v>
      </c>
      <c r="S165" s="41" t="n">
        <f aca="false">IF(R165="","",IFERROR(MATCH(R165,INDEX(Boundaries!$B$2:$I$30,MATCH(CI165,Boundaries!$A$2:$A$30,0),0),1)-1,""))</f>
        <v>7</v>
      </c>
      <c r="T165" s="42" t="n">
        <f aca="false">IF(OR(S165="",$E165=""),"",S165-$E165)</f>
        <v>1.1</v>
      </c>
      <c r="U165" s="39" t="n">
        <v>16</v>
      </c>
      <c r="V165" s="40" t="n">
        <f aca="false">IF(OR(U165="",BV165=""),"",U165/BV165*100)</f>
        <v>80</v>
      </c>
      <c r="W165" s="41" t="n">
        <f aca="false">IF(V165="","",IFERROR(MATCH(V165,INDEX(Boundaries!$B$2:$I$30,MATCH(CJ165,Boundaries!$A$2:$A$30,0),0),1)-1,""))</f>
        <v>7</v>
      </c>
      <c r="X165" s="42" t="n">
        <f aca="false">IF(OR(W165="",$E165=""),"",W165-$E165)</f>
        <v>1.1</v>
      </c>
      <c r="Y165" s="39" t="n">
        <v>11</v>
      </c>
      <c r="Z165" s="40" t="n">
        <f aca="false">IF(OR(Y165="",BW165=""),"",Y165/BW165*100)</f>
        <v>55</v>
      </c>
      <c r="AA165" s="41" t="n">
        <f aca="false">IF(Z165="","",IFERROR(MATCH(Z165,INDEX(Boundaries!$B$2:$I$30,MATCH(CK165,Boundaries!$A$2:$A$30,0),0),1)-1,""))</f>
        <v>5</v>
      </c>
      <c r="AB165" s="42" t="n">
        <f aca="false">IF(OR(AA165="",$E165=""),"",AA165-$E165)</f>
        <v>-0.9</v>
      </c>
      <c r="AC165" s="39"/>
      <c r="AD165" s="40" t="str">
        <f aca="false">IF(OR(AC165="",BX165=""),"",AC165/BX165*100)</f>
        <v/>
      </c>
      <c r="AE165" s="41" t="str">
        <f aca="false">IF(AD165="","",IFERROR(MATCH(AD165,INDEX(Boundaries!$B$2:$I$30,MATCH(CL165,Boundaries!$A$2:$A$30,0),0),1)-1,""))</f>
        <v/>
      </c>
      <c r="AF165" s="42" t="str">
        <f aca="false">IF(OR(AE165="",$E165=""),"",AE165-$E165)</f>
        <v/>
      </c>
      <c r="AG165" s="39"/>
      <c r="AH165" s="40" t="str">
        <f aca="false">IF(OR(AG165="",BY165=""),"",AG165/BY165*100)</f>
        <v/>
      </c>
      <c r="AI165" s="41" t="str">
        <f aca="false">IF(AH165="","",IFERROR(MATCH(AH165,INDEX(Boundaries!$B$2:$I$30,MATCH(CM165,Boundaries!$A$2:$A$30,0),0),1)-1,""))</f>
        <v/>
      </c>
      <c r="AJ165" s="42" t="str">
        <f aca="false">IF(OR(AI165="",$E165=""),"",AI165-$E165)</f>
        <v/>
      </c>
      <c r="AK165" s="39"/>
      <c r="AL165" s="40" t="str">
        <f aca="false">IF(OR(AK165="",BZ165=""),"",AK165/BZ165*100)</f>
        <v/>
      </c>
      <c r="AM165" s="41" t="str">
        <f aca="false">IF(AL165="","",IFERROR(MATCH(AL165,INDEX(Boundaries!$B$2:$I$30,MATCH(CN165,Boundaries!$A$2:$A$30,0),0),1)-1,""))</f>
        <v/>
      </c>
      <c r="AN165" s="42" t="str">
        <f aca="false">IF(OR(AM165="",$E165=""),"",AM165-$E165)</f>
        <v/>
      </c>
      <c r="AO165" s="39" t="n">
        <v>6</v>
      </c>
      <c r="AP165" s="40" t="n">
        <f aca="false">IF(OR(AO165="",CA165=""),"",AO165/CA165*100)</f>
        <v>85.7142857142857</v>
      </c>
      <c r="AQ165" s="41" t="n">
        <f aca="false">IF(AP165="","",IFERROR(MATCH(AP165,INDEX(Boundaries!$B$2:$I$30,MATCH(CO165,Boundaries!$A$2:$A$30,0),0),1)-1,""))</f>
        <v>6</v>
      </c>
      <c r="AR165" s="42" t="n">
        <f aca="false">IF(OR(AQ165="",$E165=""),"",AQ165-$E165)</f>
        <v>0.0999999999999996</v>
      </c>
      <c r="AS165" s="39"/>
      <c r="AT165" s="40" t="str">
        <f aca="false">IF(OR(AS165="",CB165=""),"",AS165/CB165*100)</f>
        <v/>
      </c>
      <c r="AU165" s="41" t="str">
        <f aca="false">IF(AT165="","",IFERROR(MATCH(AT165,INDEX(Boundaries!$B$2:$I$30,MATCH(CP165,Boundaries!$A$2:$A$30,0),0),1)-1,""))</f>
        <v/>
      </c>
      <c r="AV165" s="42" t="str">
        <f aca="false">IF(OR(AU165="",$E165=""),"",AU165-$E165)</f>
        <v/>
      </c>
      <c r="AW165" s="39"/>
      <c r="AX165" s="40" t="str">
        <f aca="false">IF(OR(AW165="",CC165=""),"",AW165/CC165*100)</f>
        <v/>
      </c>
      <c r="AY165" s="41" t="str">
        <f aca="false">IF(AX165="","",IFERROR(MATCH(AX165,INDEX(Boundaries!$B$2:$I$30,MATCH(CQ165,Boundaries!$A$2:$A$30,0),0),1)-1,""))</f>
        <v/>
      </c>
      <c r="AZ165" s="42" t="str">
        <f aca="false">IF(OR(AY165="",$E165=""),"",AY165-$E165)</f>
        <v/>
      </c>
      <c r="BA165" s="39"/>
      <c r="BB165" s="40" t="str">
        <f aca="false">IF(OR(BA165="",CD165=""),"",BA165/CD165*100)</f>
        <v/>
      </c>
      <c r="BC165" s="41" t="str">
        <f aca="false">IF(BB165="","",IFERROR(MATCH(BB165,INDEX(Boundaries!$B$2:$I$30,MATCH(CR165,Boundaries!$A$2:$A$30,0),0),1)-1,""))</f>
        <v/>
      </c>
      <c r="BD165" s="42" t="str">
        <f aca="false">IF(OR(BC165="",$E165=""),"",BC165-$E165)</f>
        <v/>
      </c>
      <c r="BE165" s="39"/>
      <c r="BF165" s="40" t="str">
        <f aca="false">IF(OR(BE165="",CE165=""),"",BE165/CE165*100)</f>
        <v/>
      </c>
      <c r="BG165" s="41" t="str">
        <f aca="false">IF(BF165="","",IFERROR(MATCH(BF165,INDEX(Boundaries!$B$2:$I$30,MATCH(CS165,Boundaries!$A$2:$A$30,0),0),1)-1,""))</f>
        <v/>
      </c>
      <c r="BH165" s="42" t="str">
        <f aca="false">IF(OR(BG165="",$E165=""),"",BG165-$E165)</f>
        <v/>
      </c>
      <c r="BI165" s="39"/>
      <c r="BJ165" s="40" t="str">
        <f aca="false">IF(OR(BI165="",CF165=""),"",BI165/CF165*100)</f>
        <v/>
      </c>
      <c r="BK165" s="41" t="str">
        <f aca="false">IF(BJ165="","",IFERROR(MATCH(BJ165,INDEX(Boundaries!$B$2:$I$30,MATCH(CT165,Boundaries!$A$2:$A$30,0),0),1)-1,""))</f>
        <v/>
      </c>
      <c r="BL165" s="42" t="str">
        <f aca="false">IF(OR(BK165="",$E165=""),"",BK165-$E165)</f>
        <v/>
      </c>
      <c r="BM165" s="39"/>
      <c r="BN165" s="40" t="str">
        <f aca="false">IF(OR(BM165="",CG165=""),"",BM165/CG165*100)</f>
        <v/>
      </c>
      <c r="BO165" s="41" t="str">
        <f aca="false">IF(BN165="","",IFERROR(MATCH(BN165,INDEX(Boundaries!$B$2:$I$30,MATCH(CU165,Boundaries!$A$2:$A$30,0),0),1)-1,""))</f>
        <v/>
      </c>
      <c r="BP165" s="42" t="str">
        <f aca="false">IF(OR(BO165="",$E165=""),"",BO165-$E165)</f>
        <v/>
      </c>
      <c r="BQ165" s="39"/>
      <c r="BR165" s="40" t="str">
        <f aca="false">IF(OR(BQ165="",CH165=""),"",BQ165/CH165*100)</f>
        <v/>
      </c>
      <c r="BS165" s="41" t="str">
        <f aca="false">IF(BR165="","",IFERROR(MATCH(BR165,INDEX(Boundaries!$B$2:$I$30,MATCH(CV165,Boundaries!$A$2:$A$30,0),0),1)-1,""))</f>
        <v/>
      </c>
      <c r="BT165" s="42" t="str">
        <f aca="false">IF(OR(BS165="",$E165=""),"",BS165-$E165)</f>
        <v/>
      </c>
      <c r="BU165" s="28" t="n">
        <f aca="false">IFERROR(INDEX(Assessments!$H$2:$H$600,MATCH($H165&amp;"|"&amp;$I165&amp;"|"&amp;$J165&amp;"|"&amp;1,Assessments!$A$2:$A$600,0)),"")</f>
        <v>24</v>
      </c>
      <c r="BV165" s="28" t="n">
        <f aca="false">IFERROR(INDEX(Assessments!$H$2:$H$600,MATCH($H165&amp;"|"&amp;$I165&amp;"|"&amp;$J165&amp;"|"&amp;2,Assessments!$A$2:$A$600,0)),"")</f>
        <v>20</v>
      </c>
      <c r="BW165" s="28" t="n">
        <f aca="false">IFERROR(INDEX(Assessments!$H$2:$H$600,MATCH($H165&amp;"|"&amp;$I165&amp;"|"&amp;$J165&amp;"|"&amp;3,Assessments!$A$2:$A$600,0)),"")</f>
        <v>20</v>
      </c>
      <c r="BX165" s="28" t="n">
        <f aca="false">IFERROR(INDEX(Assessments!$H$2:$H$600,MATCH($H165&amp;"|"&amp;$I165&amp;"|"&amp;$J165&amp;"|"&amp;4,Assessments!$A$2:$A$600,0)),"")</f>
        <v>40</v>
      </c>
      <c r="BY165" s="28" t="n">
        <f aca="false">IFERROR(INDEX(Assessments!$H$2:$H$600,MATCH($H165&amp;"|"&amp;$I165&amp;"|"&amp;$J165&amp;"|"&amp;5,Assessments!$A$2:$A$600,0)),"")</f>
        <v>30</v>
      </c>
      <c r="BZ165" s="28" t="n">
        <f aca="false">IFERROR(INDEX(Assessments!$H$2:$H$600,MATCH($H165&amp;"|"&amp;$I165&amp;"|"&amp;$J165&amp;"|"&amp;6,Assessments!$A$2:$A$600,0)),"")</f>
        <v>20</v>
      </c>
      <c r="CA165" s="28" t="n">
        <f aca="false">IFERROR(INDEX(Assessments!$H$2:$H$600,MATCH($H165&amp;"|"&amp;$I165&amp;"|"&amp;$J165&amp;"|"&amp;7,Assessments!$A$2:$A$600,0)),"")</f>
        <v>7</v>
      </c>
      <c r="CB165" s="28" t="str">
        <f aca="false">IFERROR(INDEX(Assessments!$H$2:$H$600,MATCH($H165&amp;"|"&amp;$I165&amp;"|"&amp;$J165&amp;"|"&amp;8,Assessments!$A$2:$A$600,0)),"")</f>
        <v/>
      </c>
      <c r="CC165" s="28" t="str">
        <f aca="false">IFERROR(INDEX(Assessments!$H$2:$H$600,MATCH($H165&amp;"|"&amp;$I165&amp;"|"&amp;$J165&amp;"|"&amp;9,Assessments!$A$2:$A$600,0)),"")</f>
        <v/>
      </c>
      <c r="CD165" s="28" t="str">
        <f aca="false">IFERROR(INDEX(Assessments!$H$2:$H$600,MATCH($H165&amp;"|"&amp;$I165&amp;"|"&amp;$J165&amp;"|"&amp;10,Assessments!$A$2:$A$600,0)),"")</f>
        <v/>
      </c>
      <c r="CE165" s="28" t="str">
        <f aca="false">IFERROR(INDEX(Assessments!$H$2:$H$600,MATCH($H165&amp;"|"&amp;$I165&amp;"|"&amp;$J165&amp;"|"&amp;11,Assessments!$A$2:$A$600,0)),"")</f>
        <v/>
      </c>
      <c r="CF165" s="28" t="str">
        <f aca="false">IFERROR(INDEX(Assessments!$H$2:$H$600,MATCH($H165&amp;"|"&amp;$I165&amp;"|"&amp;$J165&amp;"|"&amp;12,Assessments!$A$2:$A$600,0)),"")</f>
        <v/>
      </c>
      <c r="CG165" s="28" t="str">
        <f aca="false">IFERROR(INDEX(Assessments!$H$2:$H$600,MATCH($H165&amp;"|"&amp;$I165&amp;"|"&amp;$J165&amp;"|"&amp;13,Assessments!$A$2:$A$600,0)),"")</f>
        <v/>
      </c>
      <c r="CH165" s="28" t="str">
        <f aca="false">IFERROR(INDEX(Assessments!$H$2:$H$600,MATCH($H165&amp;"|"&amp;$I165&amp;"|"&amp;$J165&amp;"|"&amp;14,Assessments!$A$2:$A$600,0)),"")</f>
        <v/>
      </c>
      <c r="CI165" s="28" t="str">
        <f aca="false">IFERROR(INDEX(Assessments!$I$2:$I$600,MATCH($H165&amp;"|"&amp;$I165&amp;"|"&amp;$J165&amp;"|"&amp;1,Assessments!$A$2:$A$600,0)),"")</f>
        <v>BM Test</v>
      </c>
      <c r="CJ165" s="28" t="str">
        <f aca="false">IFERROR(INDEX(Assessments!$I$2:$I$600,MATCH($H165&amp;"|"&amp;$I165&amp;"|"&amp;$J165&amp;"|"&amp;2,Assessments!$A$2:$A$600,0)),"")</f>
        <v>BM Test</v>
      </c>
      <c r="CK165" s="28" t="str">
        <f aca="false">IFERROR(INDEX(Assessments!$I$2:$I$600,MATCH($H165&amp;"|"&amp;$I165&amp;"|"&amp;$J165&amp;"|"&amp;3,Assessments!$A$2:$A$600,0)),"")</f>
        <v>BM Test</v>
      </c>
      <c r="CL165" s="28" t="str">
        <f aca="false">IFERROR(INDEX(Assessments!$I$2:$I$600,MATCH($H165&amp;"|"&amp;$I165&amp;"|"&amp;$J165&amp;"|"&amp;4,Assessments!$A$2:$A$600,0)),"")</f>
        <v>BM Exam</v>
      </c>
      <c r="CM165" s="28" t="str">
        <f aca="false">IFERROR(INDEX(Assessments!$I$2:$I$600,MATCH($H165&amp;"|"&amp;$I165&amp;"|"&amp;$J165&amp;"|"&amp;5,Assessments!$A$2:$A$600,0)),"")</f>
        <v>BM Test</v>
      </c>
      <c r="CN165" s="28" t="str">
        <f aca="false">IFERROR(INDEX(Assessments!$I$2:$I$600,MATCH($H165&amp;"|"&amp;$I165&amp;"|"&amp;$J165&amp;"|"&amp;6,Assessments!$A$2:$A$600,0)),"")</f>
        <v>BM Test</v>
      </c>
      <c r="CO165" s="28" t="str">
        <f aca="false">IFERROR(INDEX(Assessments!$I$2:$I$600,MATCH($H165&amp;"|"&amp;$I165&amp;"|"&amp;$J165&amp;"|"&amp;7,Assessments!$A$2:$A$600,0)),"")</f>
        <v>Grade entered</v>
      </c>
      <c r="CP165" s="28" t="str">
        <f aca="false">IFERROR(INDEX(Assessments!$I$2:$I$600,MATCH($H165&amp;"|"&amp;$I165&amp;"|"&amp;$J165&amp;"|"&amp;8,Assessments!$A$2:$A$600,0)),"")</f>
        <v/>
      </c>
      <c r="CQ165" s="28" t="str">
        <f aca="false">IFERROR(INDEX(Assessments!$I$2:$I$600,MATCH($H165&amp;"|"&amp;$I165&amp;"|"&amp;$J165&amp;"|"&amp;9,Assessments!$A$2:$A$600,0)),"")</f>
        <v/>
      </c>
      <c r="CR165" s="28" t="str">
        <f aca="false">IFERROR(INDEX(Assessments!$I$2:$I$600,MATCH($H165&amp;"|"&amp;$I165&amp;"|"&amp;$J165&amp;"|"&amp;10,Assessments!$A$2:$A$600,0)),"")</f>
        <v/>
      </c>
      <c r="CS165" s="28" t="str">
        <f aca="false">IFERROR(INDEX(Assessments!$I$2:$I$600,MATCH($H165&amp;"|"&amp;$I165&amp;"|"&amp;$J165&amp;"|"&amp;11,Assessments!$A$2:$A$600,0)),"")</f>
        <v/>
      </c>
      <c r="CT165" s="28" t="str">
        <f aca="false">IFERROR(INDEX(Assessments!$I$2:$I$600,MATCH($H165&amp;"|"&amp;$I165&amp;"|"&amp;$J165&amp;"|"&amp;12,Assessments!$A$2:$A$600,0)),"")</f>
        <v/>
      </c>
      <c r="CU165" s="28" t="str">
        <f aca="false">IFERROR(INDEX(Assessments!$I$2:$I$600,MATCH($H165&amp;"|"&amp;$I165&amp;"|"&amp;$J165&amp;"|"&amp;13,Assessments!$A$2:$A$600,0)),"")</f>
        <v/>
      </c>
      <c r="CV165" s="28" t="str">
        <f aca="false">IFERROR(INDEX(Assessments!$I$2:$I$600,MATCH($H165&amp;"|"&amp;$I165&amp;"|"&amp;$J165&amp;"|"&amp;14,Assessments!$A$2:$A$600,0)),"")</f>
        <v/>
      </c>
      <c r="CW165" s="28" t="n">
        <f aca="false">IFERROR(INDEX(Assessments!$J$2:$J$600,MATCH($H165&amp;"|"&amp;$I165&amp;"|"&amp;$J165&amp;"|"&amp;1,Assessments!$A$2:$A$600,0)),0)</f>
        <v>1</v>
      </c>
      <c r="CX165" s="28" t="n">
        <f aca="false">IFERROR(INDEX(Assessments!$J$2:$J$600,MATCH($H165&amp;"|"&amp;$I165&amp;"|"&amp;$J165&amp;"|"&amp;2,Assessments!$A$2:$A$600,0)),0)</f>
        <v>1</v>
      </c>
      <c r="CY165" s="28" t="n">
        <f aca="false">IFERROR(INDEX(Assessments!$J$2:$J$600,MATCH($H165&amp;"|"&amp;$I165&amp;"|"&amp;$J165&amp;"|"&amp;3,Assessments!$A$2:$A$600,0)),0)</f>
        <v>1</v>
      </c>
      <c r="CZ165" s="28" t="n">
        <f aca="false">IFERROR(INDEX(Assessments!$J$2:$J$600,MATCH($H165&amp;"|"&amp;$I165&amp;"|"&amp;$J165&amp;"|"&amp;4,Assessments!$A$2:$A$600,0)),0)</f>
        <v>2</v>
      </c>
      <c r="DA165" s="28" t="n">
        <f aca="false">IFERROR(INDEX(Assessments!$J$2:$J$600,MATCH($H165&amp;"|"&amp;$I165&amp;"|"&amp;$J165&amp;"|"&amp;5,Assessments!$A$2:$A$600,0)),0)</f>
        <v>1</v>
      </c>
      <c r="DB165" s="28" t="n">
        <f aca="false">IFERROR(INDEX(Assessments!$J$2:$J$600,MATCH($H165&amp;"|"&amp;$I165&amp;"|"&amp;$J165&amp;"|"&amp;6,Assessments!$A$2:$A$600,0)),0)</f>
        <v>1</v>
      </c>
      <c r="DC165" s="28" t="n">
        <f aca="false">IFERROR(INDEX(Assessments!$J$2:$J$600,MATCH($H165&amp;"|"&amp;$I165&amp;"|"&amp;$J165&amp;"|"&amp;7,Assessments!$A$2:$A$600,0)),0)</f>
        <v>2</v>
      </c>
      <c r="DD165" s="28" t="n">
        <f aca="false">IFERROR(INDEX(Assessments!$J$2:$J$600,MATCH($H165&amp;"|"&amp;$I165&amp;"|"&amp;$J165&amp;"|"&amp;8,Assessments!$A$2:$A$600,0)),0)</f>
        <v>0</v>
      </c>
      <c r="DE165" s="28" t="n">
        <f aca="false">IFERROR(INDEX(Assessments!$J$2:$J$600,MATCH($H165&amp;"|"&amp;$I165&amp;"|"&amp;$J165&amp;"|"&amp;9,Assessments!$A$2:$A$600,0)),0)</f>
        <v>0</v>
      </c>
      <c r="DF165" s="28" t="n">
        <f aca="false">IFERROR(INDEX(Assessments!$J$2:$J$600,MATCH($H165&amp;"|"&amp;$I165&amp;"|"&amp;$J165&amp;"|"&amp;10,Assessments!$A$2:$A$600,0)),0)</f>
        <v>0</v>
      </c>
      <c r="DG165" s="28" t="n">
        <f aca="false">IFERROR(INDEX(Assessments!$J$2:$J$600,MATCH($H165&amp;"|"&amp;$I165&amp;"|"&amp;$J165&amp;"|"&amp;11,Assessments!$A$2:$A$600,0)),0)</f>
        <v>0</v>
      </c>
      <c r="DH165" s="28" t="n">
        <f aca="false">IFERROR(INDEX(Assessments!$J$2:$J$600,MATCH($H165&amp;"|"&amp;$I165&amp;"|"&amp;$J165&amp;"|"&amp;12,Assessments!$A$2:$A$600,0)),0)</f>
        <v>0</v>
      </c>
      <c r="DI165" s="28" t="n">
        <f aca="false">IFERROR(INDEX(Assessments!$J$2:$J$600,MATCH($H165&amp;"|"&amp;$I165&amp;"|"&amp;$J165&amp;"|"&amp;13,Assessments!$A$2:$A$600,0)),0)</f>
        <v>0</v>
      </c>
      <c r="DJ165" s="28" t="n">
        <f aca="false">IFERROR(INDEX(Assessments!$J$2:$J$600,MATCH($H165&amp;"|"&amp;$I165&amp;"|"&amp;$J165&amp;"|"&amp;14,Assessments!$A$2:$A$600,0)),0)</f>
        <v>0</v>
      </c>
      <c r="DK165" s="28" t="n">
        <f aca="false">S165</f>
        <v>7</v>
      </c>
      <c r="DL165" s="28" t="n">
        <f aca="false">W165</f>
        <v>7</v>
      </c>
      <c r="DM165" s="28" t="n">
        <f aca="false">AA165</f>
        <v>5</v>
      </c>
      <c r="DN165" s="28" t="str">
        <f aca="false">AE165</f>
        <v/>
      </c>
      <c r="DO165" s="28" t="str">
        <f aca="false">AI165</f>
        <v/>
      </c>
      <c r="DP165" s="28" t="str">
        <f aca="false">AM165</f>
        <v/>
      </c>
      <c r="DQ165" s="28" t="n">
        <f aca="false">AQ165</f>
        <v>6</v>
      </c>
      <c r="DR165" s="28" t="str">
        <f aca="false">AU165</f>
        <v/>
      </c>
      <c r="DS165" s="28" t="str">
        <f aca="false">AY165</f>
        <v/>
      </c>
      <c r="DT165" s="28" t="str">
        <f aca="false">BC165</f>
        <v/>
      </c>
      <c r="DU165" s="28" t="str">
        <f aca="false">BG165</f>
        <v/>
      </c>
      <c r="DV165" s="28" t="str">
        <f aca="false">BK165</f>
        <v/>
      </c>
      <c r="DW165" s="28" t="str">
        <f aca="false">BO165</f>
        <v/>
      </c>
      <c r="DX165" s="28" t="str">
        <f aca="false">BS165</f>
        <v/>
      </c>
      <c r="DY165" s="28" t="n">
        <f aca="false">IF(ISNUMBER(S165),1,"")</f>
        <v>1</v>
      </c>
      <c r="DZ165" s="28" t="n">
        <f aca="false">IF(ISNUMBER(W165),2,"")</f>
        <v>2</v>
      </c>
      <c r="EA165" s="28" t="n">
        <f aca="false">IF(ISNUMBER(AA165),3,"")</f>
        <v>3</v>
      </c>
      <c r="EB165" s="28" t="str">
        <f aca="false">IF(ISNUMBER(AE165),4,"")</f>
        <v/>
      </c>
      <c r="EC165" s="28" t="str">
        <f aca="false">IF(ISNUMBER(AI165),5,"")</f>
        <v/>
      </c>
      <c r="ED165" s="28" t="str">
        <f aca="false">IF(ISNUMBER(AM165),6,"")</f>
        <v/>
      </c>
      <c r="EE165" s="28" t="n">
        <f aca="false">IF(ISNUMBER(AQ165),7,"")</f>
        <v>7</v>
      </c>
      <c r="EF165" s="28" t="str">
        <f aca="false">IF(ISNUMBER(AU165),8,"")</f>
        <v/>
      </c>
      <c r="EG165" s="28" t="str">
        <f aca="false">IF(ISNUMBER(AY165),9,"")</f>
        <v/>
      </c>
      <c r="EH165" s="28" t="str">
        <f aca="false">IF(ISNUMBER(BC165),10,"")</f>
        <v/>
      </c>
      <c r="EI165" s="28" t="str">
        <f aca="false">IF(ISNUMBER(BG165),11,"")</f>
        <v/>
      </c>
      <c r="EJ165" s="28" t="str">
        <f aca="false">IF(ISNUMBER(BK165),12,"")</f>
        <v/>
      </c>
      <c r="EK165" s="28" t="str">
        <f aca="false">IF(ISNUMBER(BO165),13,"")</f>
        <v/>
      </c>
      <c r="EL165" s="28" t="str">
        <f aca="false">IF(ISNUMBER(BS165),14,"")</f>
        <v/>
      </c>
      <c r="EM165" s="28" t="n">
        <f aca="false">IF(ISNUMBER(R165),R165*CW165,0)</f>
        <v>83.3333333333333</v>
      </c>
      <c r="EN165" s="28" t="n">
        <f aca="false">IF(ISNUMBER(V165),V165*CX165,0)</f>
        <v>80</v>
      </c>
      <c r="EO165" s="28" t="n">
        <f aca="false">IF(ISNUMBER(Z165),Z165*CY165,0)</f>
        <v>55</v>
      </c>
      <c r="EP165" s="28" t="n">
        <f aca="false">IF(ISNUMBER(AD165),AD165*CZ165,0)</f>
        <v>0</v>
      </c>
      <c r="EQ165" s="28" t="n">
        <f aca="false">IF(ISNUMBER(AH165),AH165*DA165,0)</f>
        <v>0</v>
      </c>
      <c r="ER165" s="28" t="n">
        <f aca="false">IF(ISNUMBER(AL165),AL165*DB165,0)</f>
        <v>0</v>
      </c>
      <c r="ES165" s="28" t="n">
        <f aca="false">IF(ISNUMBER(AP165),AP165*DC165,0)</f>
        <v>171.428571428571</v>
      </c>
      <c r="ET165" s="28" t="n">
        <f aca="false">IF(ISNUMBER(AT165),AT165*DD165,0)</f>
        <v>0</v>
      </c>
      <c r="EU165" s="28" t="n">
        <f aca="false">IF(ISNUMBER(AX165),AX165*DE165,0)</f>
        <v>0</v>
      </c>
      <c r="EV165" s="28" t="n">
        <f aca="false">IF(ISNUMBER(BB165),BB165*DF165,0)</f>
        <v>0</v>
      </c>
      <c r="EW165" s="28" t="n">
        <f aca="false">IF(ISNUMBER(BF165),BF165*DG165,0)</f>
        <v>0</v>
      </c>
      <c r="EX165" s="28" t="n">
        <f aca="false">IF(ISNUMBER(BJ165),BJ165*DH165,0)</f>
        <v>0</v>
      </c>
      <c r="EY165" s="28" t="n">
        <f aca="false">IF(ISNUMBER(BN165),BN165*DI165,0)</f>
        <v>0</v>
      </c>
      <c r="EZ165" s="28" t="n">
        <f aca="false">IF(ISNUMBER(BR165),BR165*DJ165,0)</f>
        <v>0</v>
      </c>
      <c r="FA165" s="28" t="n">
        <f aca="false">IF(ISNUMBER(R165),CW165,0)</f>
        <v>1</v>
      </c>
      <c r="FB165" s="28" t="n">
        <f aca="false">IF(ISNUMBER(V165),CX165,0)</f>
        <v>1</v>
      </c>
      <c r="FC165" s="28" t="n">
        <f aca="false">IF(ISNUMBER(Z165),CY165,0)</f>
        <v>1</v>
      </c>
      <c r="FD165" s="28" t="n">
        <f aca="false">IF(ISNUMBER(AD165),CZ165,0)</f>
        <v>0</v>
      </c>
      <c r="FE165" s="28" t="n">
        <f aca="false">IF(ISNUMBER(AH165),DA165,0)</f>
        <v>0</v>
      </c>
      <c r="FF165" s="28" t="n">
        <f aca="false">IF(ISNUMBER(AL165),DB165,0)</f>
        <v>0</v>
      </c>
      <c r="FG165" s="28" t="n">
        <f aca="false">IF(ISNUMBER(AP165),DC165,0)</f>
        <v>2</v>
      </c>
      <c r="FH165" s="28" t="n">
        <f aca="false">IF(ISNUMBER(AT165),DD165,0)</f>
        <v>0</v>
      </c>
      <c r="FI165" s="28" t="n">
        <f aca="false">IF(ISNUMBER(AX165),DE165,0)</f>
        <v>0</v>
      </c>
      <c r="FJ165" s="28" t="n">
        <f aca="false">IF(ISNUMBER(BB165),DF165,0)</f>
        <v>0</v>
      </c>
      <c r="FK165" s="28" t="n">
        <f aca="false">IF(ISNUMBER(BF165),DG165,0)</f>
        <v>0</v>
      </c>
      <c r="FL165" s="28" t="n">
        <f aca="false">IF(ISNUMBER(BJ165),DH165,0)</f>
        <v>0</v>
      </c>
      <c r="FM165" s="28" t="n">
        <f aca="false">IF(ISNUMBER(BN165),DI165,0)</f>
        <v>0</v>
      </c>
      <c r="FN165" s="28" t="n">
        <f aca="false">IF(ISNUMBER(BR165),DJ165,0)</f>
        <v>0</v>
      </c>
      <c r="FO165" s="28" t="str">
        <f aca="false">IFERROR(INDEX(Lists!$G$2:$G$20,MATCH($I165&amp;"|"&amp;$J165,Lists!$F$2:$F$20,0)),"")</f>
        <v>BM Exam</v>
      </c>
    </row>
    <row r="166" customFormat="false" ht="19.5" hidden="false" customHeight="true" outlineLevel="0" collapsed="false">
      <c r="A166" s="29" t="s">
        <v>190</v>
      </c>
      <c r="B166" s="29" t="s">
        <v>405</v>
      </c>
      <c r="C166" s="30" t="s">
        <v>192</v>
      </c>
      <c r="D166" s="30" t="s">
        <v>383</v>
      </c>
      <c r="E166" s="31" t="n">
        <v>6</v>
      </c>
      <c r="F166" s="30" t="n">
        <v>6</v>
      </c>
      <c r="G166" s="30"/>
      <c r="H166" s="32" t="s">
        <v>23</v>
      </c>
      <c r="I166" s="33" t="s">
        <v>365</v>
      </c>
      <c r="J166" s="32" t="s">
        <v>25</v>
      </c>
      <c r="K166" s="34" t="n">
        <f aca="false">IF(OR(M166="",$E166=""),"",M166-$E166)</f>
        <v>0</v>
      </c>
      <c r="L166" s="35" t="n">
        <f aca="false">IF(SUM(FA166:FN166)=0,"",SUM(EM166:EZ166)/SUM(FA166:FN166))</f>
        <v>66.5714285714286</v>
      </c>
      <c r="M166" s="36" t="n">
        <f aca="false">IF(OR(L166="",FO166=""),"",IFERROR(MATCH(L166,INDEX(Boundaries!$B$2:$I$30,MATCH(FO166,Boundaries!$A$2:$A$30,0),0),1)-1,""))</f>
        <v>6</v>
      </c>
      <c r="N166" s="37" t="n">
        <f aca="false">IF(COUNT($DY166:$EL166)&lt;2,"",INDEX($DK166:$DX166,MAX($DY166:$EL166))-INDEX($DK166:$DX166,MIN($DY166:$EL166)))</f>
        <v>-2</v>
      </c>
      <c r="O166" s="37" t="n">
        <f aca="false">IF(COUNT($DY166:$EL166)&lt;2,"",INDEX($DK166:$DX166,MAX($DY166:$EL166))-INDEX($DK166:$DX166,LARGE($DY166:$EL166,2)))</f>
        <v>1</v>
      </c>
      <c r="P166" s="38" t="str">
        <f aca="false">IF(K166="","",IF(K166&gt;=0,"On/above target",IF(AND(N166&lt;&gt;"",N166&gt;=0.5),"Improving towards target",IF(AND(O166&lt;&gt;"",O166&lt;=-0.5),"Declining","Stable below target"))))</f>
        <v>On/above target</v>
      </c>
      <c r="Q166" s="39" t="n">
        <v>18</v>
      </c>
      <c r="R166" s="40" t="n">
        <f aca="false">IF(OR(Q166="",BU166=""),"",Q166/BU166*100)</f>
        <v>75</v>
      </c>
      <c r="S166" s="41" t="n">
        <f aca="false">IF(R166="","",IFERROR(MATCH(R166,INDEX(Boundaries!$B$2:$I$30,MATCH(CI166,Boundaries!$A$2:$A$30,0),0),1)-1,""))</f>
        <v>7</v>
      </c>
      <c r="T166" s="42" t="n">
        <f aca="false">IF(OR(S166="",$E166=""),"",S166-$E166)</f>
        <v>1</v>
      </c>
      <c r="U166" s="39" t="n">
        <v>14</v>
      </c>
      <c r="V166" s="40" t="n">
        <f aca="false">IF(OR(U166="",BV166=""),"",U166/BV166*100)</f>
        <v>70</v>
      </c>
      <c r="W166" s="41" t="n">
        <f aca="false">IF(V166="","",IFERROR(MATCH(V166,INDEX(Boundaries!$B$2:$I$30,MATCH(CJ166,Boundaries!$A$2:$A$30,0),0),1)-1,""))</f>
        <v>6</v>
      </c>
      <c r="X166" s="42" t="n">
        <f aca="false">IF(OR(W166="",$E166=""),"",W166-$E166)</f>
        <v>0</v>
      </c>
      <c r="Y166" s="39" t="n">
        <v>9</v>
      </c>
      <c r="Z166" s="40" t="n">
        <f aca="false">IF(OR(Y166="",BW166=""),"",Y166/BW166*100)</f>
        <v>45</v>
      </c>
      <c r="AA166" s="41" t="n">
        <f aca="false">IF(Z166="","",IFERROR(MATCH(Z166,INDEX(Boundaries!$B$2:$I$30,MATCH(CK166,Boundaries!$A$2:$A$30,0),0),1)-1,""))</f>
        <v>4</v>
      </c>
      <c r="AB166" s="42" t="n">
        <f aca="false">IF(OR(AA166="",$E166=""),"",AA166-$E166)</f>
        <v>-2</v>
      </c>
      <c r="AC166" s="39"/>
      <c r="AD166" s="40" t="str">
        <f aca="false">IF(OR(AC166="",BX166=""),"",AC166/BX166*100)</f>
        <v/>
      </c>
      <c r="AE166" s="41" t="str">
        <f aca="false">IF(AD166="","",IFERROR(MATCH(AD166,INDEX(Boundaries!$B$2:$I$30,MATCH(CL166,Boundaries!$A$2:$A$30,0),0),1)-1,""))</f>
        <v/>
      </c>
      <c r="AF166" s="42" t="str">
        <f aca="false">IF(OR(AE166="",$E166=""),"",AE166-$E166)</f>
        <v/>
      </c>
      <c r="AG166" s="39"/>
      <c r="AH166" s="40" t="str">
        <f aca="false">IF(OR(AG166="",BY166=""),"",AG166/BY166*100)</f>
        <v/>
      </c>
      <c r="AI166" s="41" t="str">
        <f aca="false">IF(AH166="","",IFERROR(MATCH(AH166,INDEX(Boundaries!$B$2:$I$30,MATCH(CM166,Boundaries!$A$2:$A$30,0),0),1)-1,""))</f>
        <v/>
      </c>
      <c r="AJ166" s="42" t="str">
        <f aca="false">IF(OR(AI166="",$E166=""),"",AI166-$E166)</f>
        <v/>
      </c>
      <c r="AK166" s="39"/>
      <c r="AL166" s="40" t="str">
        <f aca="false">IF(OR(AK166="",BZ166=""),"",AK166/BZ166*100)</f>
        <v/>
      </c>
      <c r="AM166" s="41" t="str">
        <f aca="false">IF(AL166="","",IFERROR(MATCH(AL166,INDEX(Boundaries!$B$2:$I$30,MATCH(CN166,Boundaries!$A$2:$A$30,0),0),1)-1,""))</f>
        <v/>
      </c>
      <c r="AN166" s="42" t="str">
        <f aca="false">IF(OR(AM166="",$E166=""),"",AM166-$E166)</f>
        <v/>
      </c>
      <c r="AO166" s="39" t="n">
        <v>5</v>
      </c>
      <c r="AP166" s="40" t="n">
        <f aca="false">IF(OR(AO166="",CA166=""),"",AO166/CA166*100)</f>
        <v>71.4285714285714</v>
      </c>
      <c r="AQ166" s="41" t="n">
        <f aca="false">IF(AP166="","",IFERROR(MATCH(AP166,INDEX(Boundaries!$B$2:$I$30,MATCH(CO166,Boundaries!$A$2:$A$30,0),0),1)-1,""))</f>
        <v>5</v>
      </c>
      <c r="AR166" s="42" t="n">
        <f aca="false">IF(OR(AQ166="",$E166=""),"",AQ166-$E166)</f>
        <v>-1</v>
      </c>
      <c r="AS166" s="39"/>
      <c r="AT166" s="40" t="str">
        <f aca="false">IF(OR(AS166="",CB166=""),"",AS166/CB166*100)</f>
        <v/>
      </c>
      <c r="AU166" s="41" t="str">
        <f aca="false">IF(AT166="","",IFERROR(MATCH(AT166,INDEX(Boundaries!$B$2:$I$30,MATCH(CP166,Boundaries!$A$2:$A$30,0),0),1)-1,""))</f>
        <v/>
      </c>
      <c r="AV166" s="42" t="str">
        <f aca="false">IF(OR(AU166="",$E166=""),"",AU166-$E166)</f>
        <v/>
      </c>
      <c r="AW166" s="39"/>
      <c r="AX166" s="40" t="str">
        <f aca="false">IF(OR(AW166="",CC166=""),"",AW166/CC166*100)</f>
        <v/>
      </c>
      <c r="AY166" s="41" t="str">
        <f aca="false">IF(AX166="","",IFERROR(MATCH(AX166,INDEX(Boundaries!$B$2:$I$30,MATCH(CQ166,Boundaries!$A$2:$A$30,0),0),1)-1,""))</f>
        <v/>
      </c>
      <c r="AZ166" s="42" t="str">
        <f aca="false">IF(OR(AY166="",$E166=""),"",AY166-$E166)</f>
        <v/>
      </c>
      <c r="BA166" s="39"/>
      <c r="BB166" s="40" t="str">
        <f aca="false">IF(OR(BA166="",CD166=""),"",BA166/CD166*100)</f>
        <v/>
      </c>
      <c r="BC166" s="41" t="str">
        <f aca="false">IF(BB166="","",IFERROR(MATCH(BB166,INDEX(Boundaries!$B$2:$I$30,MATCH(CR166,Boundaries!$A$2:$A$30,0),0),1)-1,""))</f>
        <v/>
      </c>
      <c r="BD166" s="42" t="str">
        <f aca="false">IF(OR(BC166="",$E166=""),"",BC166-$E166)</f>
        <v/>
      </c>
      <c r="BE166" s="39"/>
      <c r="BF166" s="40" t="str">
        <f aca="false">IF(OR(BE166="",CE166=""),"",BE166/CE166*100)</f>
        <v/>
      </c>
      <c r="BG166" s="41" t="str">
        <f aca="false">IF(BF166="","",IFERROR(MATCH(BF166,INDEX(Boundaries!$B$2:$I$30,MATCH(CS166,Boundaries!$A$2:$A$30,0),0),1)-1,""))</f>
        <v/>
      </c>
      <c r="BH166" s="42" t="str">
        <f aca="false">IF(OR(BG166="",$E166=""),"",BG166-$E166)</f>
        <v/>
      </c>
      <c r="BI166" s="39"/>
      <c r="BJ166" s="40" t="str">
        <f aca="false">IF(OR(BI166="",CF166=""),"",BI166/CF166*100)</f>
        <v/>
      </c>
      <c r="BK166" s="41" t="str">
        <f aca="false">IF(BJ166="","",IFERROR(MATCH(BJ166,INDEX(Boundaries!$B$2:$I$30,MATCH(CT166,Boundaries!$A$2:$A$30,0),0),1)-1,""))</f>
        <v/>
      </c>
      <c r="BL166" s="42" t="str">
        <f aca="false">IF(OR(BK166="",$E166=""),"",BK166-$E166)</f>
        <v/>
      </c>
      <c r="BM166" s="39"/>
      <c r="BN166" s="40" t="str">
        <f aca="false">IF(OR(BM166="",CG166=""),"",BM166/CG166*100)</f>
        <v/>
      </c>
      <c r="BO166" s="41" t="str">
        <f aca="false">IF(BN166="","",IFERROR(MATCH(BN166,INDEX(Boundaries!$B$2:$I$30,MATCH(CU166,Boundaries!$A$2:$A$30,0),0),1)-1,""))</f>
        <v/>
      </c>
      <c r="BP166" s="42" t="str">
        <f aca="false">IF(OR(BO166="",$E166=""),"",BO166-$E166)</f>
        <v/>
      </c>
      <c r="BQ166" s="39"/>
      <c r="BR166" s="40" t="str">
        <f aca="false">IF(OR(BQ166="",CH166=""),"",BQ166/CH166*100)</f>
        <v/>
      </c>
      <c r="BS166" s="41" t="str">
        <f aca="false">IF(BR166="","",IFERROR(MATCH(BR166,INDEX(Boundaries!$B$2:$I$30,MATCH(CV166,Boundaries!$A$2:$A$30,0),0),1)-1,""))</f>
        <v/>
      </c>
      <c r="BT166" s="42" t="str">
        <f aca="false">IF(OR(BS166="",$E166=""),"",BS166-$E166)</f>
        <v/>
      </c>
      <c r="BU166" s="28" t="n">
        <f aca="false">IFERROR(INDEX(Assessments!$H$2:$H$600,MATCH($H166&amp;"|"&amp;$I166&amp;"|"&amp;$J166&amp;"|"&amp;1,Assessments!$A$2:$A$600,0)),"")</f>
        <v>24</v>
      </c>
      <c r="BV166" s="28" t="n">
        <f aca="false">IFERROR(INDEX(Assessments!$H$2:$H$600,MATCH($H166&amp;"|"&amp;$I166&amp;"|"&amp;$J166&amp;"|"&amp;2,Assessments!$A$2:$A$600,0)),"")</f>
        <v>20</v>
      </c>
      <c r="BW166" s="28" t="n">
        <f aca="false">IFERROR(INDEX(Assessments!$H$2:$H$600,MATCH($H166&amp;"|"&amp;$I166&amp;"|"&amp;$J166&amp;"|"&amp;3,Assessments!$A$2:$A$600,0)),"")</f>
        <v>20</v>
      </c>
      <c r="BX166" s="28" t="n">
        <f aca="false">IFERROR(INDEX(Assessments!$H$2:$H$600,MATCH($H166&amp;"|"&amp;$I166&amp;"|"&amp;$J166&amp;"|"&amp;4,Assessments!$A$2:$A$600,0)),"")</f>
        <v>40</v>
      </c>
      <c r="BY166" s="28" t="n">
        <f aca="false">IFERROR(INDEX(Assessments!$H$2:$H$600,MATCH($H166&amp;"|"&amp;$I166&amp;"|"&amp;$J166&amp;"|"&amp;5,Assessments!$A$2:$A$600,0)),"")</f>
        <v>30</v>
      </c>
      <c r="BZ166" s="28" t="n">
        <f aca="false">IFERROR(INDEX(Assessments!$H$2:$H$600,MATCH($H166&amp;"|"&amp;$I166&amp;"|"&amp;$J166&amp;"|"&amp;6,Assessments!$A$2:$A$600,0)),"")</f>
        <v>20</v>
      </c>
      <c r="CA166" s="28" t="n">
        <f aca="false">IFERROR(INDEX(Assessments!$H$2:$H$600,MATCH($H166&amp;"|"&amp;$I166&amp;"|"&amp;$J166&amp;"|"&amp;7,Assessments!$A$2:$A$600,0)),"")</f>
        <v>7</v>
      </c>
      <c r="CB166" s="28" t="str">
        <f aca="false">IFERROR(INDEX(Assessments!$H$2:$H$600,MATCH($H166&amp;"|"&amp;$I166&amp;"|"&amp;$J166&amp;"|"&amp;8,Assessments!$A$2:$A$600,0)),"")</f>
        <v/>
      </c>
      <c r="CC166" s="28" t="str">
        <f aca="false">IFERROR(INDEX(Assessments!$H$2:$H$600,MATCH($H166&amp;"|"&amp;$I166&amp;"|"&amp;$J166&amp;"|"&amp;9,Assessments!$A$2:$A$600,0)),"")</f>
        <v/>
      </c>
      <c r="CD166" s="28" t="str">
        <f aca="false">IFERROR(INDEX(Assessments!$H$2:$H$600,MATCH($H166&amp;"|"&amp;$I166&amp;"|"&amp;$J166&amp;"|"&amp;10,Assessments!$A$2:$A$600,0)),"")</f>
        <v/>
      </c>
      <c r="CE166" s="28" t="str">
        <f aca="false">IFERROR(INDEX(Assessments!$H$2:$H$600,MATCH($H166&amp;"|"&amp;$I166&amp;"|"&amp;$J166&amp;"|"&amp;11,Assessments!$A$2:$A$600,0)),"")</f>
        <v/>
      </c>
      <c r="CF166" s="28" t="str">
        <f aca="false">IFERROR(INDEX(Assessments!$H$2:$H$600,MATCH($H166&amp;"|"&amp;$I166&amp;"|"&amp;$J166&amp;"|"&amp;12,Assessments!$A$2:$A$600,0)),"")</f>
        <v/>
      </c>
      <c r="CG166" s="28" t="str">
        <f aca="false">IFERROR(INDEX(Assessments!$H$2:$H$600,MATCH($H166&amp;"|"&amp;$I166&amp;"|"&amp;$J166&amp;"|"&amp;13,Assessments!$A$2:$A$600,0)),"")</f>
        <v/>
      </c>
      <c r="CH166" s="28" t="str">
        <f aca="false">IFERROR(INDEX(Assessments!$H$2:$H$600,MATCH($H166&amp;"|"&amp;$I166&amp;"|"&amp;$J166&amp;"|"&amp;14,Assessments!$A$2:$A$600,0)),"")</f>
        <v/>
      </c>
      <c r="CI166" s="28" t="str">
        <f aca="false">IFERROR(INDEX(Assessments!$I$2:$I$600,MATCH($H166&amp;"|"&amp;$I166&amp;"|"&amp;$J166&amp;"|"&amp;1,Assessments!$A$2:$A$600,0)),"")</f>
        <v>BM Test</v>
      </c>
      <c r="CJ166" s="28" t="str">
        <f aca="false">IFERROR(INDEX(Assessments!$I$2:$I$600,MATCH($H166&amp;"|"&amp;$I166&amp;"|"&amp;$J166&amp;"|"&amp;2,Assessments!$A$2:$A$600,0)),"")</f>
        <v>BM Test</v>
      </c>
      <c r="CK166" s="28" t="str">
        <f aca="false">IFERROR(INDEX(Assessments!$I$2:$I$600,MATCH($H166&amp;"|"&amp;$I166&amp;"|"&amp;$J166&amp;"|"&amp;3,Assessments!$A$2:$A$600,0)),"")</f>
        <v>BM Test</v>
      </c>
      <c r="CL166" s="28" t="str">
        <f aca="false">IFERROR(INDEX(Assessments!$I$2:$I$600,MATCH($H166&amp;"|"&amp;$I166&amp;"|"&amp;$J166&amp;"|"&amp;4,Assessments!$A$2:$A$600,0)),"")</f>
        <v>BM Exam</v>
      </c>
      <c r="CM166" s="28" t="str">
        <f aca="false">IFERROR(INDEX(Assessments!$I$2:$I$600,MATCH($H166&amp;"|"&amp;$I166&amp;"|"&amp;$J166&amp;"|"&amp;5,Assessments!$A$2:$A$600,0)),"")</f>
        <v>BM Test</v>
      </c>
      <c r="CN166" s="28" t="str">
        <f aca="false">IFERROR(INDEX(Assessments!$I$2:$I$600,MATCH($H166&amp;"|"&amp;$I166&amp;"|"&amp;$J166&amp;"|"&amp;6,Assessments!$A$2:$A$600,0)),"")</f>
        <v>BM Test</v>
      </c>
      <c r="CO166" s="28" t="str">
        <f aca="false">IFERROR(INDEX(Assessments!$I$2:$I$600,MATCH($H166&amp;"|"&amp;$I166&amp;"|"&amp;$J166&amp;"|"&amp;7,Assessments!$A$2:$A$600,0)),"")</f>
        <v>Grade entered</v>
      </c>
      <c r="CP166" s="28" t="str">
        <f aca="false">IFERROR(INDEX(Assessments!$I$2:$I$600,MATCH($H166&amp;"|"&amp;$I166&amp;"|"&amp;$J166&amp;"|"&amp;8,Assessments!$A$2:$A$600,0)),"")</f>
        <v/>
      </c>
      <c r="CQ166" s="28" t="str">
        <f aca="false">IFERROR(INDEX(Assessments!$I$2:$I$600,MATCH($H166&amp;"|"&amp;$I166&amp;"|"&amp;$J166&amp;"|"&amp;9,Assessments!$A$2:$A$600,0)),"")</f>
        <v/>
      </c>
      <c r="CR166" s="28" t="str">
        <f aca="false">IFERROR(INDEX(Assessments!$I$2:$I$600,MATCH($H166&amp;"|"&amp;$I166&amp;"|"&amp;$J166&amp;"|"&amp;10,Assessments!$A$2:$A$600,0)),"")</f>
        <v/>
      </c>
      <c r="CS166" s="28" t="str">
        <f aca="false">IFERROR(INDEX(Assessments!$I$2:$I$600,MATCH($H166&amp;"|"&amp;$I166&amp;"|"&amp;$J166&amp;"|"&amp;11,Assessments!$A$2:$A$600,0)),"")</f>
        <v/>
      </c>
      <c r="CT166" s="28" t="str">
        <f aca="false">IFERROR(INDEX(Assessments!$I$2:$I$600,MATCH($H166&amp;"|"&amp;$I166&amp;"|"&amp;$J166&amp;"|"&amp;12,Assessments!$A$2:$A$600,0)),"")</f>
        <v/>
      </c>
      <c r="CU166" s="28" t="str">
        <f aca="false">IFERROR(INDEX(Assessments!$I$2:$I$600,MATCH($H166&amp;"|"&amp;$I166&amp;"|"&amp;$J166&amp;"|"&amp;13,Assessments!$A$2:$A$600,0)),"")</f>
        <v/>
      </c>
      <c r="CV166" s="28" t="str">
        <f aca="false">IFERROR(INDEX(Assessments!$I$2:$I$600,MATCH($H166&amp;"|"&amp;$I166&amp;"|"&amp;$J166&amp;"|"&amp;14,Assessments!$A$2:$A$600,0)),"")</f>
        <v/>
      </c>
      <c r="CW166" s="28" t="n">
        <f aca="false">IFERROR(INDEX(Assessments!$J$2:$J$600,MATCH($H166&amp;"|"&amp;$I166&amp;"|"&amp;$J166&amp;"|"&amp;1,Assessments!$A$2:$A$600,0)),0)</f>
        <v>1</v>
      </c>
      <c r="CX166" s="28" t="n">
        <f aca="false">IFERROR(INDEX(Assessments!$J$2:$J$600,MATCH($H166&amp;"|"&amp;$I166&amp;"|"&amp;$J166&amp;"|"&amp;2,Assessments!$A$2:$A$600,0)),0)</f>
        <v>1</v>
      </c>
      <c r="CY166" s="28" t="n">
        <f aca="false">IFERROR(INDEX(Assessments!$J$2:$J$600,MATCH($H166&amp;"|"&amp;$I166&amp;"|"&amp;$J166&amp;"|"&amp;3,Assessments!$A$2:$A$600,0)),0)</f>
        <v>1</v>
      </c>
      <c r="CZ166" s="28" t="n">
        <f aca="false">IFERROR(INDEX(Assessments!$J$2:$J$600,MATCH($H166&amp;"|"&amp;$I166&amp;"|"&amp;$J166&amp;"|"&amp;4,Assessments!$A$2:$A$600,0)),0)</f>
        <v>2</v>
      </c>
      <c r="DA166" s="28" t="n">
        <f aca="false">IFERROR(INDEX(Assessments!$J$2:$J$600,MATCH($H166&amp;"|"&amp;$I166&amp;"|"&amp;$J166&amp;"|"&amp;5,Assessments!$A$2:$A$600,0)),0)</f>
        <v>1</v>
      </c>
      <c r="DB166" s="28" t="n">
        <f aca="false">IFERROR(INDEX(Assessments!$J$2:$J$600,MATCH($H166&amp;"|"&amp;$I166&amp;"|"&amp;$J166&amp;"|"&amp;6,Assessments!$A$2:$A$600,0)),0)</f>
        <v>1</v>
      </c>
      <c r="DC166" s="28" t="n">
        <f aca="false">IFERROR(INDEX(Assessments!$J$2:$J$600,MATCH($H166&amp;"|"&amp;$I166&amp;"|"&amp;$J166&amp;"|"&amp;7,Assessments!$A$2:$A$600,0)),0)</f>
        <v>2</v>
      </c>
      <c r="DD166" s="28" t="n">
        <f aca="false">IFERROR(INDEX(Assessments!$J$2:$J$600,MATCH($H166&amp;"|"&amp;$I166&amp;"|"&amp;$J166&amp;"|"&amp;8,Assessments!$A$2:$A$600,0)),0)</f>
        <v>0</v>
      </c>
      <c r="DE166" s="28" t="n">
        <f aca="false">IFERROR(INDEX(Assessments!$J$2:$J$600,MATCH($H166&amp;"|"&amp;$I166&amp;"|"&amp;$J166&amp;"|"&amp;9,Assessments!$A$2:$A$600,0)),0)</f>
        <v>0</v>
      </c>
      <c r="DF166" s="28" t="n">
        <f aca="false">IFERROR(INDEX(Assessments!$J$2:$J$600,MATCH($H166&amp;"|"&amp;$I166&amp;"|"&amp;$J166&amp;"|"&amp;10,Assessments!$A$2:$A$600,0)),0)</f>
        <v>0</v>
      </c>
      <c r="DG166" s="28" t="n">
        <f aca="false">IFERROR(INDEX(Assessments!$J$2:$J$600,MATCH($H166&amp;"|"&amp;$I166&amp;"|"&amp;$J166&amp;"|"&amp;11,Assessments!$A$2:$A$600,0)),0)</f>
        <v>0</v>
      </c>
      <c r="DH166" s="28" t="n">
        <f aca="false">IFERROR(INDEX(Assessments!$J$2:$J$600,MATCH($H166&amp;"|"&amp;$I166&amp;"|"&amp;$J166&amp;"|"&amp;12,Assessments!$A$2:$A$600,0)),0)</f>
        <v>0</v>
      </c>
      <c r="DI166" s="28" t="n">
        <f aca="false">IFERROR(INDEX(Assessments!$J$2:$J$600,MATCH($H166&amp;"|"&amp;$I166&amp;"|"&amp;$J166&amp;"|"&amp;13,Assessments!$A$2:$A$600,0)),0)</f>
        <v>0</v>
      </c>
      <c r="DJ166" s="28" t="n">
        <f aca="false">IFERROR(INDEX(Assessments!$J$2:$J$600,MATCH($H166&amp;"|"&amp;$I166&amp;"|"&amp;$J166&amp;"|"&amp;14,Assessments!$A$2:$A$600,0)),0)</f>
        <v>0</v>
      </c>
      <c r="DK166" s="28" t="n">
        <f aca="false">S166</f>
        <v>7</v>
      </c>
      <c r="DL166" s="28" t="n">
        <f aca="false">W166</f>
        <v>6</v>
      </c>
      <c r="DM166" s="28" t="n">
        <f aca="false">AA166</f>
        <v>4</v>
      </c>
      <c r="DN166" s="28" t="str">
        <f aca="false">AE166</f>
        <v/>
      </c>
      <c r="DO166" s="28" t="str">
        <f aca="false">AI166</f>
        <v/>
      </c>
      <c r="DP166" s="28" t="str">
        <f aca="false">AM166</f>
        <v/>
      </c>
      <c r="DQ166" s="28" t="n">
        <f aca="false">AQ166</f>
        <v>5</v>
      </c>
      <c r="DR166" s="28" t="str">
        <f aca="false">AU166</f>
        <v/>
      </c>
      <c r="DS166" s="28" t="str">
        <f aca="false">AY166</f>
        <v/>
      </c>
      <c r="DT166" s="28" t="str">
        <f aca="false">BC166</f>
        <v/>
      </c>
      <c r="DU166" s="28" t="str">
        <f aca="false">BG166</f>
        <v/>
      </c>
      <c r="DV166" s="28" t="str">
        <f aca="false">BK166</f>
        <v/>
      </c>
      <c r="DW166" s="28" t="str">
        <f aca="false">BO166</f>
        <v/>
      </c>
      <c r="DX166" s="28" t="str">
        <f aca="false">BS166</f>
        <v/>
      </c>
      <c r="DY166" s="28" t="n">
        <f aca="false">IF(ISNUMBER(S166),1,"")</f>
        <v>1</v>
      </c>
      <c r="DZ166" s="28" t="n">
        <f aca="false">IF(ISNUMBER(W166),2,"")</f>
        <v>2</v>
      </c>
      <c r="EA166" s="28" t="n">
        <f aca="false">IF(ISNUMBER(AA166),3,"")</f>
        <v>3</v>
      </c>
      <c r="EB166" s="28" t="str">
        <f aca="false">IF(ISNUMBER(AE166),4,"")</f>
        <v/>
      </c>
      <c r="EC166" s="28" t="str">
        <f aca="false">IF(ISNUMBER(AI166),5,"")</f>
        <v/>
      </c>
      <c r="ED166" s="28" t="str">
        <f aca="false">IF(ISNUMBER(AM166),6,"")</f>
        <v/>
      </c>
      <c r="EE166" s="28" t="n">
        <f aca="false">IF(ISNUMBER(AQ166),7,"")</f>
        <v>7</v>
      </c>
      <c r="EF166" s="28" t="str">
        <f aca="false">IF(ISNUMBER(AU166),8,"")</f>
        <v/>
      </c>
      <c r="EG166" s="28" t="str">
        <f aca="false">IF(ISNUMBER(AY166),9,"")</f>
        <v/>
      </c>
      <c r="EH166" s="28" t="str">
        <f aca="false">IF(ISNUMBER(BC166),10,"")</f>
        <v/>
      </c>
      <c r="EI166" s="28" t="str">
        <f aca="false">IF(ISNUMBER(BG166),11,"")</f>
        <v/>
      </c>
      <c r="EJ166" s="28" t="str">
        <f aca="false">IF(ISNUMBER(BK166),12,"")</f>
        <v/>
      </c>
      <c r="EK166" s="28" t="str">
        <f aca="false">IF(ISNUMBER(BO166),13,"")</f>
        <v/>
      </c>
      <c r="EL166" s="28" t="str">
        <f aca="false">IF(ISNUMBER(BS166),14,"")</f>
        <v/>
      </c>
      <c r="EM166" s="28" t="n">
        <f aca="false">IF(ISNUMBER(R166),R166*CW166,0)</f>
        <v>75</v>
      </c>
      <c r="EN166" s="28" t="n">
        <f aca="false">IF(ISNUMBER(V166),V166*CX166,0)</f>
        <v>70</v>
      </c>
      <c r="EO166" s="28" t="n">
        <f aca="false">IF(ISNUMBER(Z166),Z166*CY166,0)</f>
        <v>45</v>
      </c>
      <c r="EP166" s="28" t="n">
        <f aca="false">IF(ISNUMBER(AD166),AD166*CZ166,0)</f>
        <v>0</v>
      </c>
      <c r="EQ166" s="28" t="n">
        <f aca="false">IF(ISNUMBER(AH166),AH166*DA166,0)</f>
        <v>0</v>
      </c>
      <c r="ER166" s="28" t="n">
        <f aca="false">IF(ISNUMBER(AL166),AL166*DB166,0)</f>
        <v>0</v>
      </c>
      <c r="ES166" s="28" t="n">
        <f aca="false">IF(ISNUMBER(AP166),AP166*DC166,0)</f>
        <v>142.857142857143</v>
      </c>
      <c r="ET166" s="28" t="n">
        <f aca="false">IF(ISNUMBER(AT166),AT166*DD166,0)</f>
        <v>0</v>
      </c>
      <c r="EU166" s="28" t="n">
        <f aca="false">IF(ISNUMBER(AX166),AX166*DE166,0)</f>
        <v>0</v>
      </c>
      <c r="EV166" s="28" t="n">
        <f aca="false">IF(ISNUMBER(BB166),BB166*DF166,0)</f>
        <v>0</v>
      </c>
      <c r="EW166" s="28" t="n">
        <f aca="false">IF(ISNUMBER(BF166),BF166*DG166,0)</f>
        <v>0</v>
      </c>
      <c r="EX166" s="28" t="n">
        <f aca="false">IF(ISNUMBER(BJ166),BJ166*DH166,0)</f>
        <v>0</v>
      </c>
      <c r="EY166" s="28" t="n">
        <f aca="false">IF(ISNUMBER(BN166),BN166*DI166,0)</f>
        <v>0</v>
      </c>
      <c r="EZ166" s="28" t="n">
        <f aca="false">IF(ISNUMBER(BR166),BR166*DJ166,0)</f>
        <v>0</v>
      </c>
      <c r="FA166" s="28" t="n">
        <f aca="false">IF(ISNUMBER(R166),CW166,0)</f>
        <v>1</v>
      </c>
      <c r="FB166" s="28" t="n">
        <f aca="false">IF(ISNUMBER(V166),CX166,0)</f>
        <v>1</v>
      </c>
      <c r="FC166" s="28" t="n">
        <f aca="false">IF(ISNUMBER(Z166),CY166,0)</f>
        <v>1</v>
      </c>
      <c r="FD166" s="28" t="n">
        <f aca="false">IF(ISNUMBER(AD166),CZ166,0)</f>
        <v>0</v>
      </c>
      <c r="FE166" s="28" t="n">
        <f aca="false">IF(ISNUMBER(AH166),DA166,0)</f>
        <v>0</v>
      </c>
      <c r="FF166" s="28" t="n">
        <f aca="false">IF(ISNUMBER(AL166),DB166,0)</f>
        <v>0</v>
      </c>
      <c r="FG166" s="28" t="n">
        <f aca="false">IF(ISNUMBER(AP166),DC166,0)</f>
        <v>2</v>
      </c>
      <c r="FH166" s="28" t="n">
        <f aca="false">IF(ISNUMBER(AT166),DD166,0)</f>
        <v>0</v>
      </c>
      <c r="FI166" s="28" t="n">
        <f aca="false">IF(ISNUMBER(AX166),DE166,0)</f>
        <v>0</v>
      </c>
      <c r="FJ166" s="28" t="n">
        <f aca="false">IF(ISNUMBER(BB166),DF166,0)</f>
        <v>0</v>
      </c>
      <c r="FK166" s="28" t="n">
        <f aca="false">IF(ISNUMBER(BF166),DG166,0)</f>
        <v>0</v>
      </c>
      <c r="FL166" s="28" t="n">
        <f aca="false">IF(ISNUMBER(BJ166),DH166,0)</f>
        <v>0</v>
      </c>
      <c r="FM166" s="28" t="n">
        <f aca="false">IF(ISNUMBER(BN166),DI166,0)</f>
        <v>0</v>
      </c>
      <c r="FN166" s="28" t="n">
        <f aca="false">IF(ISNUMBER(BR166),DJ166,0)</f>
        <v>0</v>
      </c>
      <c r="FO166" s="28" t="str">
        <f aca="false">IFERROR(INDEX(Lists!$G$2:$G$20,MATCH($I166&amp;"|"&amp;$J166,Lists!$F$2:$F$20,0)),"")</f>
        <v>BM Exam</v>
      </c>
    </row>
    <row r="167" customFormat="false" ht="19.5" hidden="false" customHeight="true" outlineLevel="0" collapsed="false">
      <c r="A167" s="29" t="s">
        <v>238</v>
      </c>
      <c r="B167" s="29" t="s">
        <v>239</v>
      </c>
      <c r="C167" s="30" t="s">
        <v>192</v>
      </c>
      <c r="D167" s="30" t="s">
        <v>383</v>
      </c>
      <c r="E167" s="31" t="n">
        <v>5.4</v>
      </c>
      <c r="F167" s="30" t="n">
        <v>6</v>
      </c>
      <c r="G167" s="30"/>
      <c r="H167" s="32" t="s">
        <v>23</v>
      </c>
      <c r="I167" s="33" t="s">
        <v>365</v>
      </c>
      <c r="J167" s="32" t="s">
        <v>25</v>
      </c>
      <c r="K167" s="34" t="n">
        <f aca="false">IF(OR(M167="",$E167=""),"",M167-$E167)</f>
        <v>1.6</v>
      </c>
      <c r="L167" s="35" t="n">
        <f aca="false">IF(SUM(FA167:FN167)=0,"",SUM(EM167:EZ167)/SUM(FA167:FN167))</f>
        <v>81.1190476190476</v>
      </c>
      <c r="M167" s="36" t="n">
        <f aca="false">IF(OR(L167="",FO167=""),"",IFERROR(MATCH(L167,INDEX(Boundaries!$B$2:$I$30,MATCH(FO167,Boundaries!$A$2:$A$30,0),0),1)-1,""))</f>
        <v>7</v>
      </c>
      <c r="N167" s="37" t="n">
        <f aca="false">IF(COUNT($DY167:$EL167)&lt;2,"",INDEX($DK167:$DX167,MAX($DY167:$EL167))-INDEX($DK167:$DX167,MIN($DY167:$EL167)))</f>
        <v>-1</v>
      </c>
      <c r="O167" s="37" t="n">
        <f aca="false">IF(COUNT($DY167:$EL167)&lt;2,"",INDEX($DK167:$DX167,MAX($DY167:$EL167))-INDEX($DK167:$DX167,LARGE($DY167:$EL167,2)))</f>
        <v>0</v>
      </c>
      <c r="P167" s="38" t="str">
        <f aca="false">IF(K167="","",IF(K167&gt;=0,"On/above target",IF(AND(N167&lt;&gt;"",N167&gt;=0.5),"Improving towards target",IF(AND(O167&lt;&gt;"",O167&lt;=-0.5),"Declining","Stable below target"))))</f>
        <v>On/above target</v>
      </c>
      <c r="Q167" s="39" t="n">
        <v>19</v>
      </c>
      <c r="R167" s="40" t="n">
        <f aca="false">IF(OR(Q167="",BU167=""),"",Q167/BU167*100)</f>
        <v>79.1666666666667</v>
      </c>
      <c r="S167" s="41" t="n">
        <f aca="false">IF(R167="","",IFERROR(MATCH(R167,INDEX(Boundaries!$B$2:$I$30,MATCH(CI167,Boundaries!$A$2:$A$30,0),0),1)-1,""))</f>
        <v>7</v>
      </c>
      <c r="T167" s="42" t="n">
        <f aca="false">IF(OR(S167="",$E167=""),"",S167-$E167)</f>
        <v>1.6</v>
      </c>
      <c r="U167" s="39" t="n">
        <v>17</v>
      </c>
      <c r="V167" s="40" t="n">
        <f aca="false">IF(OR(U167="",BV167=""),"",U167/BV167*100)</f>
        <v>85</v>
      </c>
      <c r="W167" s="41" t="n">
        <f aca="false">IF(V167="","",IFERROR(MATCH(V167,INDEX(Boundaries!$B$2:$I$30,MATCH(CJ167,Boundaries!$A$2:$A$30,0),0),1)-1,""))</f>
        <v>7</v>
      </c>
      <c r="X167" s="42" t="n">
        <f aca="false">IF(OR(W167="",$E167=""),"",W167-$E167)</f>
        <v>1.6</v>
      </c>
      <c r="Y167" s="39" t="n">
        <v>14</v>
      </c>
      <c r="Z167" s="40" t="n">
        <f aca="false">IF(OR(Y167="",BW167=""),"",Y167/BW167*100)</f>
        <v>70</v>
      </c>
      <c r="AA167" s="41" t="n">
        <f aca="false">IF(Z167="","",IFERROR(MATCH(Z167,INDEX(Boundaries!$B$2:$I$30,MATCH(CK167,Boundaries!$A$2:$A$30,0),0),1)-1,""))</f>
        <v>6</v>
      </c>
      <c r="AB167" s="42" t="n">
        <f aca="false">IF(OR(AA167="",$E167=""),"",AA167-$E167)</f>
        <v>0.6</v>
      </c>
      <c r="AC167" s="39"/>
      <c r="AD167" s="40" t="str">
        <f aca="false">IF(OR(AC167="",BX167=""),"",AC167/BX167*100)</f>
        <v/>
      </c>
      <c r="AE167" s="41" t="str">
        <f aca="false">IF(AD167="","",IFERROR(MATCH(AD167,INDEX(Boundaries!$B$2:$I$30,MATCH(CL167,Boundaries!$A$2:$A$30,0),0),1)-1,""))</f>
        <v/>
      </c>
      <c r="AF167" s="42" t="str">
        <f aca="false">IF(OR(AE167="",$E167=""),"",AE167-$E167)</f>
        <v/>
      </c>
      <c r="AG167" s="39"/>
      <c r="AH167" s="40" t="str">
        <f aca="false">IF(OR(AG167="",BY167=""),"",AG167/BY167*100)</f>
        <v/>
      </c>
      <c r="AI167" s="41" t="str">
        <f aca="false">IF(AH167="","",IFERROR(MATCH(AH167,INDEX(Boundaries!$B$2:$I$30,MATCH(CM167,Boundaries!$A$2:$A$30,0),0),1)-1,""))</f>
        <v/>
      </c>
      <c r="AJ167" s="42" t="str">
        <f aca="false">IF(OR(AI167="",$E167=""),"",AI167-$E167)</f>
        <v/>
      </c>
      <c r="AK167" s="39"/>
      <c r="AL167" s="40" t="str">
        <f aca="false">IF(OR(AK167="",BZ167=""),"",AK167/BZ167*100)</f>
        <v/>
      </c>
      <c r="AM167" s="41" t="str">
        <f aca="false">IF(AL167="","",IFERROR(MATCH(AL167,INDEX(Boundaries!$B$2:$I$30,MATCH(CN167,Boundaries!$A$2:$A$30,0),0),1)-1,""))</f>
        <v/>
      </c>
      <c r="AN167" s="42" t="str">
        <f aca="false">IF(OR(AM167="",$E167=""),"",AM167-$E167)</f>
        <v/>
      </c>
      <c r="AO167" s="39" t="n">
        <v>6</v>
      </c>
      <c r="AP167" s="40" t="n">
        <f aca="false">IF(OR(AO167="",CA167=""),"",AO167/CA167*100)</f>
        <v>85.7142857142857</v>
      </c>
      <c r="AQ167" s="41" t="n">
        <f aca="false">IF(AP167="","",IFERROR(MATCH(AP167,INDEX(Boundaries!$B$2:$I$30,MATCH(CO167,Boundaries!$A$2:$A$30,0),0),1)-1,""))</f>
        <v>6</v>
      </c>
      <c r="AR167" s="42" t="n">
        <f aca="false">IF(OR(AQ167="",$E167=""),"",AQ167-$E167)</f>
        <v>0.6</v>
      </c>
      <c r="AS167" s="39"/>
      <c r="AT167" s="40" t="str">
        <f aca="false">IF(OR(AS167="",CB167=""),"",AS167/CB167*100)</f>
        <v/>
      </c>
      <c r="AU167" s="41" t="str">
        <f aca="false">IF(AT167="","",IFERROR(MATCH(AT167,INDEX(Boundaries!$B$2:$I$30,MATCH(CP167,Boundaries!$A$2:$A$30,0),0),1)-1,""))</f>
        <v/>
      </c>
      <c r="AV167" s="42" t="str">
        <f aca="false">IF(OR(AU167="",$E167=""),"",AU167-$E167)</f>
        <v/>
      </c>
      <c r="AW167" s="39"/>
      <c r="AX167" s="40" t="str">
        <f aca="false">IF(OR(AW167="",CC167=""),"",AW167/CC167*100)</f>
        <v/>
      </c>
      <c r="AY167" s="41" t="str">
        <f aca="false">IF(AX167="","",IFERROR(MATCH(AX167,INDEX(Boundaries!$B$2:$I$30,MATCH(CQ167,Boundaries!$A$2:$A$30,0),0),1)-1,""))</f>
        <v/>
      </c>
      <c r="AZ167" s="42" t="str">
        <f aca="false">IF(OR(AY167="",$E167=""),"",AY167-$E167)</f>
        <v/>
      </c>
      <c r="BA167" s="39"/>
      <c r="BB167" s="40" t="str">
        <f aca="false">IF(OR(BA167="",CD167=""),"",BA167/CD167*100)</f>
        <v/>
      </c>
      <c r="BC167" s="41" t="str">
        <f aca="false">IF(BB167="","",IFERROR(MATCH(BB167,INDEX(Boundaries!$B$2:$I$30,MATCH(CR167,Boundaries!$A$2:$A$30,0),0),1)-1,""))</f>
        <v/>
      </c>
      <c r="BD167" s="42" t="str">
        <f aca="false">IF(OR(BC167="",$E167=""),"",BC167-$E167)</f>
        <v/>
      </c>
      <c r="BE167" s="39"/>
      <c r="BF167" s="40" t="str">
        <f aca="false">IF(OR(BE167="",CE167=""),"",BE167/CE167*100)</f>
        <v/>
      </c>
      <c r="BG167" s="41" t="str">
        <f aca="false">IF(BF167="","",IFERROR(MATCH(BF167,INDEX(Boundaries!$B$2:$I$30,MATCH(CS167,Boundaries!$A$2:$A$30,0),0),1)-1,""))</f>
        <v/>
      </c>
      <c r="BH167" s="42" t="str">
        <f aca="false">IF(OR(BG167="",$E167=""),"",BG167-$E167)</f>
        <v/>
      </c>
      <c r="BI167" s="39"/>
      <c r="BJ167" s="40" t="str">
        <f aca="false">IF(OR(BI167="",CF167=""),"",BI167/CF167*100)</f>
        <v/>
      </c>
      <c r="BK167" s="41" t="str">
        <f aca="false">IF(BJ167="","",IFERROR(MATCH(BJ167,INDEX(Boundaries!$B$2:$I$30,MATCH(CT167,Boundaries!$A$2:$A$30,0),0),1)-1,""))</f>
        <v/>
      </c>
      <c r="BL167" s="42" t="str">
        <f aca="false">IF(OR(BK167="",$E167=""),"",BK167-$E167)</f>
        <v/>
      </c>
      <c r="BM167" s="39"/>
      <c r="BN167" s="40" t="str">
        <f aca="false">IF(OR(BM167="",CG167=""),"",BM167/CG167*100)</f>
        <v/>
      </c>
      <c r="BO167" s="41" t="str">
        <f aca="false">IF(BN167="","",IFERROR(MATCH(BN167,INDEX(Boundaries!$B$2:$I$30,MATCH(CU167,Boundaries!$A$2:$A$30,0),0),1)-1,""))</f>
        <v/>
      </c>
      <c r="BP167" s="42" t="str">
        <f aca="false">IF(OR(BO167="",$E167=""),"",BO167-$E167)</f>
        <v/>
      </c>
      <c r="BQ167" s="39"/>
      <c r="BR167" s="40" t="str">
        <f aca="false">IF(OR(BQ167="",CH167=""),"",BQ167/CH167*100)</f>
        <v/>
      </c>
      <c r="BS167" s="41" t="str">
        <f aca="false">IF(BR167="","",IFERROR(MATCH(BR167,INDEX(Boundaries!$B$2:$I$30,MATCH(CV167,Boundaries!$A$2:$A$30,0),0),1)-1,""))</f>
        <v/>
      </c>
      <c r="BT167" s="42" t="str">
        <f aca="false">IF(OR(BS167="",$E167=""),"",BS167-$E167)</f>
        <v/>
      </c>
      <c r="BU167" s="28" t="n">
        <f aca="false">IFERROR(INDEX(Assessments!$H$2:$H$600,MATCH($H167&amp;"|"&amp;$I167&amp;"|"&amp;$J167&amp;"|"&amp;1,Assessments!$A$2:$A$600,0)),"")</f>
        <v>24</v>
      </c>
      <c r="BV167" s="28" t="n">
        <f aca="false">IFERROR(INDEX(Assessments!$H$2:$H$600,MATCH($H167&amp;"|"&amp;$I167&amp;"|"&amp;$J167&amp;"|"&amp;2,Assessments!$A$2:$A$600,0)),"")</f>
        <v>20</v>
      </c>
      <c r="BW167" s="28" t="n">
        <f aca="false">IFERROR(INDEX(Assessments!$H$2:$H$600,MATCH($H167&amp;"|"&amp;$I167&amp;"|"&amp;$J167&amp;"|"&amp;3,Assessments!$A$2:$A$600,0)),"")</f>
        <v>20</v>
      </c>
      <c r="BX167" s="28" t="n">
        <f aca="false">IFERROR(INDEX(Assessments!$H$2:$H$600,MATCH($H167&amp;"|"&amp;$I167&amp;"|"&amp;$J167&amp;"|"&amp;4,Assessments!$A$2:$A$600,0)),"")</f>
        <v>40</v>
      </c>
      <c r="BY167" s="28" t="n">
        <f aca="false">IFERROR(INDEX(Assessments!$H$2:$H$600,MATCH($H167&amp;"|"&amp;$I167&amp;"|"&amp;$J167&amp;"|"&amp;5,Assessments!$A$2:$A$600,0)),"")</f>
        <v>30</v>
      </c>
      <c r="BZ167" s="28" t="n">
        <f aca="false">IFERROR(INDEX(Assessments!$H$2:$H$600,MATCH($H167&amp;"|"&amp;$I167&amp;"|"&amp;$J167&amp;"|"&amp;6,Assessments!$A$2:$A$600,0)),"")</f>
        <v>20</v>
      </c>
      <c r="CA167" s="28" t="n">
        <f aca="false">IFERROR(INDEX(Assessments!$H$2:$H$600,MATCH($H167&amp;"|"&amp;$I167&amp;"|"&amp;$J167&amp;"|"&amp;7,Assessments!$A$2:$A$600,0)),"")</f>
        <v>7</v>
      </c>
      <c r="CB167" s="28" t="str">
        <f aca="false">IFERROR(INDEX(Assessments!$H$2:$H$600,MATCH($H167&amp;"|"&amp;$I167&amp;"|"&amp;$J167&amp;"|"&amp;8,Assessments!$A$2:$A$600,0)),"")</f>
        <v/>
      </c>
      <c r="CC167" s="28" t="str">
        <f aca="false">IFERROR(INDEX(Assessments!$H$2:$H$600,MATCH($H167&amp;"|"&amp;$I167&amp;"|"&amp;$J167&amp;"|"&amp;9,Assessments!$A$2:$A$600,0)),"")</f>
        <v/>
      </c>
      <c r="CD167" s="28" t="str">
        <f aca="false">IFERROR(INDEX(Assessments!$H$2:$H$600,MATCH($H167&amp;"|"&amp;$I167&amp;"|"&amp;$J167&amp;"|"&amp;10,Assessments!$A$2:$A$600,0)),"")</f>
        <v/>
      </c>
      <c r="CE167" s="28" t="str">
        <f aca="false">IFERROR(INDEX(Assessments!$H$2:$H$600,MATCH($H167&amp;"|"&amp;$I167&amp;"|"&amp;$J167&amp;"|"&amp;11,Assessments!$A$2:$A$600,0)),"")</f>
        <v/>
      </c>
      <c r="CF167" s="28" t="str">
        <f aca="false">IFERROR(INDEX(Assessments!$H$2:$H$600,MATCH($H167&amp;"|"&amp;$I167&amp;"|"&amp;$J167&amp;"|"&amp;12,Assessments!$A$2:$A$600,0)),"")</f>
        <v/>
      </c>
      <c r="CG167" s="28" t="str">
        <f aca="false">IFERROR(INDEX(Assessments!$H$2:$H$600,MATCH($H167&amp;"|"&amp;$I167&amp;"|"&amp;$J167&amp;"|"&amp;13,Assessments!$A$2:$A$600,0)),"")</f>
        <v/>
      </c>
      <c r="CH167" s="28" t="str">
        <f aca="false">IFERROR(INDEX(Assessments!$H$2:$H$600,MATCH($H167&amp;"|"&amp;$I167&amp;"|"&amp;$J167&amp;"|"&amp;14,Assessments!$A$2:$A$600,0)),"")</f>
        <v/>
      </c>
      <c r="CI167" s="28" t="str">
        <f aca="false">IFERROR(INDEX(Assessments!$I$2:$I$600,MATCH($H167&amp;"|"&amp;$I167&amp;"|"&amp;$J167&amp;"|"&amp;1,Assessments!$A$2:$A$600,0)),"")</f>
        <v>BM Test</v>
      </c>
      <c r="CJ167" s="28" t="str">
        <f aca="false">IFERROR(INDEX(Assessments!$I$2:$I$600,MATCH($H167&amp;"|"&amp;$I167&amp;"|"&amp;$J167&amp;"|"&amp;2,Assessments!$A$2:$A$600,0)),"")</f>
        <v>BM Test</v>
      </c>
      <c r="CK167" s="28" t="str">
        <f aca="false">IFERROR(INDEX(Assessments!$I$2:$I$600,MATCH($H167&amp;"|"&amp;$I167&amp;"|"&amp;$J167&amp;"|"&amp;3,Assessments!$A$2:$A$600,0)),"")</f>
        <v>BM Test</v>
      </c>
      <c r="CL167" s="28" t="str">
        <f aca="false">IFERROR(INDEX(Assessments!$I$2:$I$600,MATCH($H167&amp;"|"&amp;$I167&amp;"|"&amp;$J167&amp;"|"&amp;4,Assessments!$A$2:$A$600,0)),"")</f>
        <v>BM Exam</v>
      </c>
      <c r="CM167" s="28" t="str">
        <f aca="false">IFERROR(INDEX(Assessments!$I$2:$I$600,MATCH($H167&amp;"|"&amp;$I167&amp;"|"&amp;$J167&amp;"|"&amp;5,Assessments!$A$2:$A$600,0)),"")</f>
        <v>BM Test</v>
      </c>
      <c r="CN167" s="28" t="str">
        <f aca="false">IFERROR(INDEX(Assessments!$I$2:$I$600,MATCH($H167&amp;"|"&amp;$I167&amp;"|"&amp;$J167&amp;"|"&amp;6,Assessments!$A$2:$A$600,0)),"")</f>
        <v>BM Test</v>
      </c>
      <c r="CO167" s="28" t="str">
        <f aca="false">IFERROR(INDEX(Assessments!$I$2:$I$600,MATCH($H167&amp;"|"&amp;$I167&amp;"|"&amp;$J167&amp;"|"&amp;7,Assessments!$A$2:$A$600,0)),"")</f>
        <v>Grade entered</v>
      </c>
      <c r="CP167" s="28" t="str">
        <f aca="false">IFERROR(INDEX(Assessments!$I$2:$I$600,MATCH($H167&amp;"|"&amp;$I167&amp;"|"&amp;$J167&amp;"|"&amp;8,Assessments!$A$2:$A$600,0)),"")</f>
        <v/>
      </c>
      <c r="CQ167" s="28" t="str">
        <f aca="false">IFERROR(INDEX(Assessments!$I$2:$I$600,MATCH($H167&amp;"|"&amp;$I167&amp;"|"&amp;$J167&amp;"|"&amp;9,Assessments!$A$2:$A$600,0)),"")</f>
        <v/>
      </c>
      <c r="CR167" s="28" t="str">
        <f aca="false">IFERROR(INDEX(Assessments!$I$2:$I$600,MATCH($H167&amp;"|"&amp;$I167&amp;"|"&amp;$J167&amp;"|"&amp;10,Assessments!$A$2:$A$600,0)),"")</f>
        <v/>
      </c>
      <c r="CS167" s="28" t="str">
        <f aca="false">IFERROR(INDEX(Assessments!$I$2:$I$600,MATCH($H167&amp;"|"&amp;$I167&amp;"|"&amp;$J167&amp;"|"&amp;11,Assessments!$A$2:$A$600,0)),"")</f>
        <v/>
      </c>
      <c r="CT167" s="28" t="str">
        <f aca="false">IFERROR(INDEX(Assessments!$I$2:$I$600,MATCH($H167&amp;"|"&amp;$I167&amp;"|"&amp;$J167&amp;"|"&amp;12,Assessments!$A$2:$A$600,0)),"")</f>
        <v/>
      </c>
      <c r="CU167" s="28" t="str">
        <f aca="false">IFERROR(INDEX(Assessments!$I$2:$I$600,MATCH($H167&amp;"|"&amp;$I167&amp;"|"&amp;$J167&amp;"|"&amp;13,Assessments!$A$2:$A$600,0)),"")</f>
        <v/>
      </c>
      <c r="CV167" s="28" t="str">
        <f aca="false">IFERROR(INDEX(Assessments!$I$2:$I$600,MATCH($H167&amp;"|"&amp;$I167&amp;"|"&amp;$J167&amp;"|"&amp;14,Assessments!$A$2:$A$600,0)),"")</f>
        <v/>
      </c>
      <c r="CW167" s="28" t="n">
        <f aca="false">IFERROR(INDEX(Assessments!$J$2:$J$600,MATCH($H167&amp;"|"&amp;$I167&amp;"|"&amp;$J167&amp;"|"&amp;1,Assessments!$A$2:$A$600,0)),0)</f>
        <v>1</v>
      </c>
      <c r="CX167" s="28" t="n">
        <f aca="false">IFERROR(INDEX(Assessments!$J$2:$J$600,MATCH($H167&amp;"|"&amp;$I167&amp;"|"&amp;$J167&amp;"|"&amp;2,Assessments!$A$2:$A$600,0)),0)</f>
        <v>1</v>
      </c>
      <c r="CY167" s="28" t="n">
        <f aca="false">IFERROR(INDEX(Assessments!$J$2:$J$600,MATCH($H167&amp;"|"&amp;$I167&amp;"|"&amp;$J167&amp;"|"&amp;3,Assessments!$A$2:$A$600,0)),0)</f>
        <v>1</v>
      </c>
      <c r="CZ167" s="28" t="n">
        <f aca="false">IFERROR(INDEX(Assessments!$J$2:$J$600,MATCH($H167&amp;"|"&amp;$I167&amp;"|"&amp;$J167&amp;"|"&amp;4,Assessments!$A$2:$A$600,0)),0)</f>
        <v>2</v>
      </c>
      <c r="DA167" s="28" t="n">
        <f aca="false">IFERROR(INDEX(Assessments!$J$2:$J$600,MATCH($H167&amp;"|"&amp;$I167&amp;"|"&amp;$J167&amp;"|"&amp;5,Assessments!$A$2:$A$600,0)),0)</f>
        <v>1</v>
      </c>
      <c r="DB167" s="28" t="n">
        <f aca="false">IFERROR(INDEX(Assessments!$J$2:$J$600,MATCH($H167&amp;"|"&amp;$I167&amp;"|"&amp;$J167&amp;"|"&amp;6,Assessments!$A$2:$A$600,0)),0)</f>
        <v>1</v>
      </c>
      <c r="DC167" s="28" t="n">
        <f aca="false">IFERROR(INDEX(Assessments!$J$2:$J$600,MATCH($H167&amp;"|"&amp;$I167&amp;"|"&amp;$J167&amp;"|"&amp;7,Assessments!$A$2:$A$600,0)),0)</f>
        <v>2</v>
      </c>
      <c r="DD167" s="28" t="n">
        <f aca="false">IFERROR(INDEX(Assessments!$J$2:$J$600,MATCH($H167&amp;"|"&amp;$I167&amp;"|"&amp;$J167&amp;"|"&amp;8,Assessments!$A$2:$A$600,0)),0)</f>
        <v>0</v>
      </c>
      <c r="DE167" s="28" t="n">
        <f aca="false">IFERROR(INDEX(Assessments!$J$2:$J$600,MATCH($H167&amp;"|"&amp;$I167&amp;"|"&amp;$J167&amp;"|"&amp;9,Assessments!$A$2:$A$600,0)),0)</f>
        <v>0</v>
      </c>
      <c r="DF167" s="28" t="n">
        <f aca="false">IFERROR(INDEX(Assessments!$J$2:$J$600,MATCH($H167&amp;"|"&amp;$I167&amp;"|"&amp;$J167&amp;"|"&amp;10,Assessments!$A$2:$A$600,0)),0)</f>
        <v>0</v>
      </c>
      <c r="DG167" s="28" t="n">
        <f aca="false">IFERROR(INDEX(Assessments!$J$2:$J$600,MATCH($H167&amp;"|"&amp;$I167&amp;"|"&amp;$J167&amp;"|"&amp;11,Assessments!$A$2:$A$600,0)),0)</f>
        <v>0</v>
      </c>
      <c r="DH167" s="28" t="n">
        <f aca="false">IFERROR(INDEX(Assessments!$J$2:$J$600,MATCH($H167&amp;"|"&amp;$I167&amp;"|"&amp;$J167&amp;"|"&amp;12,Assessments!$A$2:$A$600,0)),0)</f>
        <v>0</v>
      </c>
      <c r="DI167" s="28" t="n">
        <f aca="false">IFERROR(INDEX(Assessments!$J$2:$J$600,MATCH($H167&amp;"|"&amp;$I167&amp;"|"&amp;$J167&amp;"|"&amp;13,Assessments!$A$2:$A$600,0)),0)</f>
        <v>0</v>
      </c>
      <c r="DJ167" s="28" t="n">
        <f aca="false">IFERROR(INDEX(Assessments!$J$2:$J$600,MATCH($H167&amp;"|"&amp;$I167&amp;"|"&amp;$J167&amp;"|"&amp;14,Assessments!$A$2:$A$600,0)),0)</f>
        <v>0</v>
      </c>
      <c r="DK167" s="28" t="n">
        <f aca="false">S167</f>
        <v>7</v>
      </c>
      <c r="DL167" s="28" t="n">
        <f aca="false">W167</f>
        <v>7</v>
      </c>
      <c r="DM167" s="28" t="n">
        <f aca="false">AA167</f>
        <v>6</v>
      </c>
      <c r="DN167" s="28" t="str">
        <f aca="false">AE167</f>
        <v/>
      </c>
      <c r="DO167" s="28" t="str">
        <f aca="false">AI167</f>
        <v/>
      </c>
      <c r="DP167" s="28" t="str">
        <f aca="false">AM167</f>
        <v/>
      </c>
      <c r="DQ167" s="28" t="n">
        <f aca="false">AQ167</f>
        <v>6</v>
      </c>
      <c r="DR167" s="28" t="str">
        <f aca="false">AU167</f>
        <v/>
      </c>
      <c r="DS167" s="28" t="str">
        <f aca="false">AY167</f>
        <v/>
      </c>
      <c r="DT167" s="28" t="str">
        <f aca="false">BC167</f>
        <v/>
      </c>
      <c r="DU167" s="28" t="str">
        <f aca="false">BG167</f>
        <v/>
      </c>
      <c r="DV167" s="28" t="str">
        <f aca="false">BK167</f>
        <v/>
      </c>
      <c r="DW167" s="28" t="str">
        <f aca="false">BO167</f>
        <v/>
      </c>
      <c r="DX167" s="28" t="str">
        <f aca="false">BS167</f>
        <v/>
      </c>
      <c r="DY167" s="28" t="n">
        <f aca="false">IF(ISNUMBER(S167),1,"")</f>
        <v>1</v>
      </c>
      <c r="DZ167" s="28" t="n">
        <f aca="false">IF(ISNUMBER(W167),2,"")</f>
        <v>2</v>
      </c>
      <c r="EA167" s="28" t="n">
        <f aca="false">IF(ISNUMBER(AA167),3,"")</f>
        <v>3</v>
      </c>
      <c r="EB167" s="28" t="str">
        <f aca="false">IF(ISNUMBER(AE167),4,"")</f>
        <v/>
      </c>
      <c r="EC167" s="28" t="str">
        <f aca="false">IF(ISNUMBER(AI167),5,"")</f>
        <v/>
      </c>
      <c r="ED167" s="28" t="str">
        <f aca="false">IF(ISNUMBER(AM167),6,"")</f>
        <v/>
      </c>
      <c r="EE167" s="28" t="n">
        <f aca="false">IF(ISNUMBER(AQ167),7,"")</f>
        <v>7</v>
      </c>
      <c r="EF167" s="28" t="str">
        <f aca="false">IF(ISNUMBER(AU167),8,"")</f>
        <v/>
      </c>
      <c r="EG167" s="28" t="str">
        <f aca="false">IF(ISNUMBER(AY167),9,"")</f>
        <v/>
      </c>
      <c r="EH167" s="28" t="str">
        <f aca="false">IF(ISNUMBER(BC167),10,"")</f>
        <v/>
      </c>
      <c r="EI167" s="28" t="str">
        <f aca="false">IF(ISNUMBER(BG167),11,"")</f>
        <v/>
      </c>
      <c r="EJ167" s="28" t="str">
        <f aca="false">IF(ISNUMBER(BK167),12,"")</f>
        <v/>
      </c>
      <c r="EK167" s="28" t="str">
        <f aca="false">IF(ISNUMBER(BO167),13,"")</f>
        <v/>
      </c>
      <c r="EL167" s="28" t="str">
        <f aca="false">IF(ISNUMBER(BS167),14,"")</f>
        <v/>
      </c>
      <c r="EM167" s="28" t="n">
        <f aca="false">IF(ISNUMBER(R167),R167*CW167,0)</f>
        <v>79.1666666666667</v>
      </c>
      <c r="EN167" s="28" t="n">
        <f aca="false">IF(ISNUMBER(V167),V167*CX167,0)</f>
        <v>85</v>
      </c>
      <c r="EO167" s="28" t="n">
        <f aca="false">IF(ISNUMBER(Z167),Z167*CY167,0)</f>
        <v>70</v>
      </c>
      <c r="EP167" s="28" t="n">
        <f aca="false">IF(ISNUMBER(AD167),AD167*CZ167,0)</f>
        <v>0</v>
      </c>
      <c r="EQ167" s="28" t="n">
        <f aca="false">IF(ISNUMBER(AH167),AH167*DA167,0)</f>
        <v>0</v>
      </c>
      <c r="ER167" s="28" t="n">
        <f aca="false">IF(ISNUMBER(AL167),AL167*DB167,0)</f>
        <v>0</v>
      </c>
      <c r="ES167" s="28" t="n">
        <f aca="false">IF(ISNUMBER(AP167),AP167*DC167,0)</f>
        <v>171.428571428571</v>
      </c>
      <c r="ET167" s="28" t="n">
        <f aca="false">IF(ISNUMBER(AT167),AT167*DD167,0)</f>
        <v>0</v>
      </c>
      <c r="EU167" s="28" t="n">
        <f aca="false">IF(ISNUMBER(AX167),AX167*DE167,0)</f>
        <v>0</v>
      </c>
      <c r="EV167" s="28" t="n">
        <f aca="false">IF(ISNUMBER(BB167),BB167*DF167,0)</f>
        <v>0</v>
      </c>
      <c r="EW167" s="28" t="n">
        <f aca="false">IF(ISNUMBER(BF167),BF167*DG167,0)</f>
        <v>0</v>
      </c>
      <c r="EX167" s="28" t="n">
        <f aca="false">IF(ISNUMBER(BJ167),BJ167*DH167,0)</f>
        <v>0</v>
      </c>
      <c r="EY167" s="28" t="n">
        <f aca="false">IF(ISNUMBER(BN167),BN167*DI167,0)</f>
        <v>0</v>
      </c>
      <c r="EZ167" s="28" t="n">
        <f aca="false">IF(ISNUMBER(BR167),BR167*DJ167,0)</f>
        <v>0</v>
      </c>
      <c r="FA167" s="28" t="n">
        <f aca="false">IF(ISNUMBER(R167),CW167,0)</f>
        <v>1</v>
      </c>
      <c r="FB167" s="28" t="n">
        <f aca="false">IF(ISNUMBER(V167),CX167,0)</f>
        <v>1</v>
      </c>
      <c r="FC167" s="28" t="n">
        <f aca="false">IF(ISNUMBER(Z167),CY167,0)</f>
        <v>1</v>
      </c>
      <c r="FD167" s="28" t="n">
        <f aca="false">IF(ISNUMBER(AD167),CZ167,0)</f>
        <v>0</v>
      </c>
      <c r="FE167" s="28" t="n">
        <f aca="false">IF(ISNUMBER(AH167),DA167,0)</f>
        <v>0</v>
      </c>
      <c r="FF167" s="28" t="n">
        <f aca="false">IF(ISNUMBER(AL167),DB167,0)</f>
        <v>0</v>
      </c>
      <c r="FG167" s="28" t="n">
        <f aca="false">IF(ISNUMBER(AP167),DC167,0)</f>
        <v>2</v>
      </c>
      <c r="FH167" s="28" t="n">
        <f aca="false">IF(ISNUMBER(AT167),DD167,0)</f>
        <v>0</v>
      </c>
      <c r="FI167" s="28" t="n">
        <f aca="false">IF(ISNUMBER(AX167),DE167,0)</f>
        <v>0</v>
      </c>
      <c r="FJ167" s="28" t="n">
        <f aca="false">IF(ISNUMBER(BB167),DF167,0)</f>
        <v>0</v>
      </c>
      <c r="FK167" s="28" t="n">
        <f aca="false">IF(ISNUMBER(BF167),DG167,0)</f>
        <v>0</v>
      </c>
      <c r="FL167" s="28" t="n">
        <f aca="false">IF(ISNUMBER(BJ167),DH167,0)</f>
        <v>0</v>
      </c>
      <c r="FM167" s="28" t="n">
        <f aca="false">IF(ISNUMBER(BN167),DI167,0)</f>
        <v>0</v>
      </c>
      <c r="FN167" s="28" t="n">
        <f aca="false">IF(ISNUMBER(BR167),DJ167,0)</f>
        <v>0</v>
      </c>
      <c r="FO167" s="28" t="str">
        <f aca="false">IFERROR(INDEX(Lists!$G$2:$G$20,MATCH($I167&amp;"|"&amp;$J167,Lists!$F$2:$F$20,0)),"")</f>
        <v>BM Exam</v>
      </c>
    </row>
    <row r="168" customFormat="false" ht="19.5" hidden="false" customHeight="true" outlineLevel="0" collapsed="false">
      <c r="A168" s="29" t="s">
        <v>358</v>
      </c>
      <c r="B168" s="29" t="s">
        <v>359</v>
      </c>
      <c r="C168" s="30" t="s">
        <v>192</v>
      </c>
      <c r="D168" s="30" t="s">
        <v>383</v>
      </c>
      <c r="E168" s="31" t="n">
        <v>6</v>
      </c>
      <c r="F168" s="30" t="n">
        <v>6</v>
      </c>
      <c r="G168" s="30"/>
      <c r="H168" s="32" t="s">
        <v>23</v>
      </c>
      <c r="I168" s="33" t="s">
        <v>365</v>
      </c>
      <c r="J168" s="32" t="s">
        <v>25</v>
      </c>
      <c r="K168" s="34" t="n">
        <f aca="false">IF(OR(M168="",$E168=""),"",M168-$E168)</f>
        <v>0</v>
      </c>
      <c r="L168" s="35" t="n">
        <f aca="false">IF(SUM(FA168:FN168)=0,"",SUM(EM168:EZ168)/SUM(FA168:FN168))</f>
        <v>67.4285714285714</v>
      </c>
      <c r="M168" s="36" t="n">
        <f aca="false">IF(OR(L168="",FO168=""),"",IFERROR(MATCH(L168,INDEX(Boundaries!$B$2:$I$30,MATCH(FO168,Boundaries!$A$2:$A$30,0),0),1)-1,""))</f>
        <v>6</v>
      </c>
      <c r="N168" s="37" t="n">
        <f aca="false">IF(COUNT($DY168:$EL168)&lt;2,"",INDEX($DK168:$DX168,MAX($DY168:$EL168))-INDEX($DK168:$DX168,MIN($DY168:$EL168)))</f>
        <v>-5</v>
      </c>
      <c r="O168" s="37" t="n">
        <f aca="false">IF(COUNT($DY168:$EL168)&lt;2,"",INDEX($DK168:$DX168,MAX($DY168:$EL168))-INDEX($DK168:$DX168,LARGE($DY168:$EL168,2)))</f>
        <v>-5</v>
      </c>
      <c r="P168" s="38" t="str">
        <f aca="false">IF(K168="","",IF(K168&gt;=0,"On/above target",IF(AND(N168&lt;&gt;"",N168&gt;=0.5),"Improving towards target",IF(AND(O168&lt;&gt;"",O168&lt;=-0.5),"Declining","Stable below target"))))</f>
        <v>On/above target</v>
      </c>
      <c r="Q168" s="39" t="n">
        <v>24</v>
      </c>
      <c r="R168" s="40" t="n">
        <f aca="false">IF(OR(Q168="",BU168=""),"",Q168/BU168*100)</f>
        <v>100</v>
      </c>
      <c r="S168" s="41" t="n">
        <f aca="false">IF(R168="","",IFERROR(MATCH(R168,INDEX(Boundaries!$B$2:$I$30,MATCH(CI168,Boundaries!$A$2:$A$30,0),0),1)-1,""))</f>
        <v>7</v>
      </c>
      <c r="T168" s="42" t="n">
        <f aca="false">IF(OR(S168="",$E168=""),"",S168-$E168)</f>
        <v>1</v>
      </c>
      <c r="U168" s="39" t="n">
        <v>18</v>
      </c>
      <c r="V168" s="40" t="n">
        <f aca="false">IF(OR(U168="",BV168=""),"",U168/BV168*100)</f>
        <v>90</v>
      </c>
      <c r="W168" s="41" t="n">
        <f aca="false">IF(V168="","",IFERROR(MATCH(V168,INDEX(Boundaries!$B$2:$I$30,MATCH(CJ168,Boundaries!$A$2:$A$30,0),0),1)-1,""))</f>
        <v>7</v>
      </c>
      <c r="X168" s="42" t="n">
        <f aca="false">IF(OR(W168="",$E168=""),"",W168-$E168)</f>
        <v>1</v>
      </c>
      <c r="Y168" s="39" t="n">
        <v>18</v>
      </c>
      <c r="Z168" s="40" t="n">
        <f aca="false">IF(OR(Y168="",BW168=""),"",Y168/BW168*100)</f>
        <v>90</v>
      </c>
      <c r="AA168" s="41" t="n">
        <f aca="false">IF(Z168="","",IFERROR(MATCH(Z168,INDEX(Boundaries!$B$2:$I$30,MATCH(CK168,Boundaries!$A$2:$A$30,0),0),1)-1,""))</f>
        <v>7</v>
      </c>
      <c r="AB168" s="42" t="n">
        <f aca="false">IF(OR(AA168="",$E168=""),"",AA168-$E168)</f>
        <v>1</v>
      </c>
      <c r="AC168" s="39"/>
      <c r="AD168" s="40" t="str">
        <f aca="false">IF(OR(AC168="",BX168=""),"",AC168/BX168*100)</f>
        <v/>
      </c>
      <c r="AE168" s="41" t="str">
        <f aca="false">IF(AD168="","",IFERROR(MATCH(AD168,INDEX(Boundaries!$B$2:$I$30,MATCH(CL168,Boundaries!$A$2:$A$30,0),0),1)-1,""))</f>
        <v/>
      </c>
      <c r="AF168" s="42" t="str">
        <f aca="false">IF(OR(AE168="",$E168=""),"",AE168-$E168)</f>
        <v/>
      </c>
      <c r="AG168" s="39"/>
      <c r="AH168" s="40" t="str">
        <f aca="false">IF(OR(AG168="",BY168=""),"",AG168/BY168*100)</f>
        <v/>
      </c>
      <c r="AI168" s="41" t="str">
        <f aca="false">IF(AH168="","",IFERROR(MATCH(AH168,INDEX(Boundaries!$B$2:$I$30,MATCH(CM168,Boundaries!$A$2:$A$30,0),0),1)-1,""))</f>
        <v/>
      </c>
      <c r="AJ168" s="42" t="str">
        <f aca="false">IF(OR(AI168="",$E168=""),"",AI168-$E168)</f>
        <v/>
      </c>
      <c r="AK168" s="39"/>
      <c r="AL168" s="40" t="str">
        <f aca="false">IF(OR(AK168="",BZ168=""),"",AK168/BZ168*100)</f>
        <v/>
      </c>
      <c r="AM168" s="41" t="str">
        <f aca="false">IF(AL168="","",IFERROR(MATCH(AL168,INDEX(Boundaries!$B$2:$I$30,MATCH(CN168,Boundaries!$A$2:$A$30,0),0),1)-1,""))</f>
        <v/>
      </c>
      <c r="AN168" s="42" t="str">
        <f aca="false">IF(OR(AM168="",$E168=""),"",AM168-$E168)</f>
        <v/>
      </c>
      <c r="AO168" s="39" t="n">
        <v>2</v>
      </c>
      <c r="AP168" s="40" t="n">
        <f aca="false">IF(OR(AO168="",CA168=""),"",AO168/CA168*100)</f>
        <v>28.5714285714286</v>
      </c>
      <c r="AQ168" s="41" t="n">
        <f aca="false">IF(AP168="","",IFERROR(MATCH(AP168,INDEX(Boundaries!$B$2:$I$30,MATCH(CO168,Boundaries!$A$2:$A$30,0),0),1)-1,""))</f>
        <v>2</v>
      </c>
      <c r="AR168" s="42" t="n">
        <f aca="false">IF(OR(AQ168="",$E168=""),"",AQ168-$E168)</f>
        <v>-4</v>
      </c>
      <c r="AS168" s="39"/>
      <c r="AT168" s="40" t="str">
        <f aca="false">IF(OR(AS168="",CB168=""),"",AS168/CB168*100)</f>
        <v/>
      </c>
      <c r="AU168" s="41" t="str">
        <f aca="false">IF(AT168="","",IFERROR(MATCH(AT168,INDEX(Boundaries!$B$2:$I$30,MATCH(CP168,Boundaries!$A$2:$A$30,0),0),1)-1,""))</f>
        <v/>
      </c>
      <c r="AV168" s="42" t="str">
        <f aca="false">IF(OR(AU168="",$E168=""),"",AU168-$E168)</f>
        <v/>
      </c>
      <c r="AW168" s="39"/>
      <c r="AX168" s="40" t="str">
        <f aca="false">IF(OR(AW168="",CC168=""),"",AW168/CC168*100)</f>
        <v/>
      </c>
      <c r="AY168" s="41" t="str">
        <f aca="false">IF(AX168="","",IFERROR(MATCH(AX168,INDEX(Boundaries!$B$2:$I$30,MATCH(CQ168,Boundaries!$A$2:$A$30,0),0),1)-1,""))</f>
        <v/>
      </c>
      <c r="AZ168" s="42" t="str">
        <f aca="false">IF(OR(AY168="",$E168=""),"",AY168-$E168)</f>
        <v/>
      </c>
      <c r="BA168" s="39"/>
      <c r="BB168" s="40" t="str">
        <f aca="false">IF(OR(BA168="",CD168=""),"",BA168/CD168*100)</f>
        <v/>
      </c>
      <c r="BC168" s="41" t="str">
        <f aca="false">IF(BB168="","",IFERROR(MATCH(BB168,INDEX(Boundaries!$B$2:$I$30,MATCH(CR168,Boundaries!$A$2:$A$30,0),0),1)-1,""))</f>
        <v/>
      </c>
      <c r="BD168" s="42" t="str">
        <f aca="false">IF(OR(BC168="",$E168=""),"",BC168-$E168)</f>
        <v/>
      </c>
      <c r="BE168" s="39"/>
      <c r="BF168" s="40" t="str">
        <f aca="false">IF(OR(BE168="",CE168=""),"",BE168/CE168*100)</f>
        <v/>
      </c>
      <c r="BG168" s="41" t="str">
        <f aca="false">IF(BF168="","",IFERROR(MATCH(BF168,INDEX(Boundaries!$B$2:$I$30,MATCH(CS168,Boundaries!$A$2:$A$30,0),0),1)-1,""))</f>
        <v/>
      </c>
      <c r="BH168" s="42" t="str">
        <f aca="false">IF(OR(BG168="",$E168=""),"",BG168-$E168)</f>
        <v/>
      </c>
      <c r="BI168" s="39"/>
      <c r="BJ168" s="40" t="str">
        <f aca="false">IF(OR(BI168="",CF168=""),"",BI168/CF168*100)</f>
        <v/>
      </c>
      <c r="BK168" s="41" t="str">
        <f aca="false">IF(BJ168="","",IFERROR(MATCH(BJ168,INDEX(Boundaries!$B$2:$I$30,MATCH(CT168,Boundaries!$A$2:$A$30,0),0),1)-1,""))</f>
        <v/>
      </c>
      <c r="BL168" s="42" t="str">
        <f aca="false">IF(OR(BK168="",$E168=""),"",BK168-$E168)</f>
        <v/>
      </c>
      <c r="BM168" s="39"/>
      <c r="BN168" s="40" t="str">
        <f aca="false">IF(OR(BM168="",CG168=""),"",BM168/CG168*100)</f>
        <v/>
      </c>
      <c r="BO168" s="41" t="str">
        <f aca="false">IF(BN168="","",IFERROR(MATCH(BN168,INDEX(Boundaries!$B$2:$I$30,MATCH(CU168,Boundaries!$A$2:$A$30,0),0),1)-1,""))</f>
        <v/>
      </c>
      <c r="BP168" s="42" t="str">
        <f aca="false">IF(OR(BO168="",$E168=""),"",BO168-$E168)</f>
        <v/>
      </c>
      <c r="BQ168" s="39"/>
      <c r="BR168" s="40" t="str">
        <f aca="false">IF(OR(BQ168="",CH168=""),"",BQ168/CH168*100)</f>
        <v/>
      </c>
      <c r="BS168" s="41" t="str">
        <f aca="false">IF(BR168="","",IFERROR(MATCH(BR168,INDEX(Boundaries!$B$2:$I$30,MATCH(CV168,Boundaries!$A$2:$A$30,0),0),1)-1,""))</f>
        <v/>
      </c>
      <c r="BT168" s="42" t="str">
        <f aca="false">IF(OR(BS168="",$E168=""),"",BS168-$E168)</f>
        <v/>
      </c>
      <c r="BU168" s="28" t="n">
        <f aca="false">IFERROR(INDEX(Assessments!$H$2:$H$600,MATCH($H168&amp;"|"&amp;$I168&amp;"|"&amp;$J168&amp;"|"&amp;1,Assessments!$A$2:$A$600,0)),"")</f>
        <v>24</v>
      </c>
      <c r="BV168" s="28" t="n">
        <f aca="false">IFERROR(INDEX(Assessments!$H$2:$H$600,MATCH($H168&amp;"|"&amp;$I168&amp;"|"&amp;$J168&amp;"|"&amp;2,Assessments!$A$2:$A$600,0)),"")</f>
        <v>20</v>
      </c>
      <c r="BW168" s="28" t="n">
        <f aca="false">IFERROR(INDEX(Assessments!$H$2:$H$600,MATCH($H168&amp;"|"&amp;$I168&amp;"|"&amp;$J168&amp;"|"&amp;3,Assessments!$A$2:$A$600,0)),"")</f>
        <v>20</v>
      </c>
      <c r="BX168" s="28" t="n">
        <f aca="false">IFERROR(INDEX(Assessments!$H$2:$H$600,MATCH($H168&amp;"|"&amp;$I168&amp;"|"&amp;$J168&amp;"|"&amp;4,Assessments!$A$2:$A$600,0)),"")</f>
        <v>40</v>
      </c>
      <c r="BY168" s="28" t="n">
        <f aca="false">IFERROR(INDEX(Assessments!$H$2:$H$600,MATCH($H168&amp;"|"&amp;$I168&amp;"|"&amp;$J168&amp;"|"&amp;5,Assessments!$A$2:$A$600,0)),"")</f>
        <v>30</v>
      </c>
      <c r="BZ168" s="28" t="n">
        <f aca="false">IFERROR(INDEX(Assessments!$H$2:$H$600,MATCH($H168&amp;"|"&amp;$I168&amp;"|"&amp;$J168&amp;"|"&amp;6,Assessments!$A$2:$A$600,0)),"")</f>
        <v>20</v>
      </c>
      <c r="CA168" s="28" t="n">
        <f aca="false">IFERROR(INDEX(Assessments!$H$2:$H$600,MATCH($H168&amp;"|"&amp;$I168&amp;"|"&amp;$J168&amp;"|"&amp;7,Assessments!$A$2:$A$600,0)),"")</f>
        <v>7</v>
      </c>
      <c r="CB168" s="28" t="str">
        <f aca="false">IFERROR(INDEX(Assessments!$H$2:$H$600,MATCH($H168&amp;"|"&amp;$I168&amp;"|"&amp;$J168&amp;"|"&amp;8,Assessments!$A$2:$A$600,0)),"")</f>
        <v/>
      </c>
      <c r="CC168" s="28" t="str">
        <f aca="false">IFERROR(INDEX(Assessments!$H$2:$H$600,MATCH($H168&amp;"|"&amp;$I168&amp;"|"&amp;$J168&amp;"|"&amp;9,Assessments!$A$2:$A$600,0)),"")</f>
        <v/>
      </c>
      <c r="CD168" s="28" t="str">
        <f aca="false">IFERROR(INDEX(Assessments!$H$2:$H$600,MATCH($H168&amp;"|"&amp;$I168&amp;"|"&amp;$J168&amp;"|"&amp;10,Assessments!$A$2:$A$600,0)),"")</f>
        <v/>
      </c>
      <c r="CE168" s="28" t="str">
        <f aca="false">IFERROR(INDEX(Assessments!$H$2:$H$600,MATCH($H168&amp;"|"&amp;$I168&amp;"|"&amp;$J168&amp;"|"&amp;11,Assessments!$A$2:$A$600,0)),"")</f>
        <v/>
      </c>
      <c r="CF168" s="28" t="str">
        <f aca="false">IFERROR(INDEX(Assessments!$H$2:$H$600,MATCH($H168&amp;"|"&amp;$I168&amp;"|"&amp;$J168&amp;"|"&amp;12,Assessments!$A$2:$A$600,0)),"")</f>
        <v/>
      </c>
      <c r="CG168" s="28" t="str">
        <f aca="false">IFERROR(INDEX(Assessments!$H$2:$H$600,MATCH($H168&amp;"|"&amp;$I168&amp;"|"&amp;$J168&amp;"|"&amp;13,Assessments!$A$2:$A$600,0)),"")</f>
        <v/>
      </c>
      <c r="CH168" s="28" t="str">
        <f aca="false">IFERROR(INDEX(Assessments!$H$2:$H$600,MATCH($H168&amp;"|"&amp;$I168&amp;"|"&amp;$J168&amp;"|"&amp;14,Assessments!$A$2:$A$600,0)),"")</f>
        <v/>
      </c>
      <c r="CI168" s="28" t="str">
        <f aca="false">IFERROR(INDEX(Assessments!$I$2:$I$600,MATCH($H168&amp;"|"&amp;$I168&amp;"|"&amp;$J168&amp;"|"&amp;1,Assessments!$A$2:$A$600,0)),"")</f>
        <v>BM Test</v>
      </c>
      <c r="CJ168" s="28" t="str">
        <f aca="false">IFERROR(INDEX(Assessments!$I$2:$I$600,MATCH($H168&amp;"|"&amp;$I168&amp;"|"&amp;$J168&amp;"|"&amp;2,Assessments!$A$2:$A$600,0)),"")</f>
        <v>BM Test</v>
      </c>
      <c r="CK168" s="28" t="str">
        <f aca="false">IFERROR(INDEX(Assessments!$I$2:$I$600,MATCH($H168&amp;"|"&amp;$I168&amp;"|"&amp;$J168&amp;"|"&amp;3,Assessments!$A$2:$A$600,0)),"")</f>
        <v>BM Test</v>
      </c>
      <c r="CL168" s="28" t="str">
        <f aca="false">IFERROR(INDEX(Assessments!$I$2:$I$600,MATCH($H168&amp;"|"&amp;$I168&amp;"|"&amp;$J168&amp;"|"&amp;4,Assessments!$A$2:$A$600,0)),"")</f>
        <v>BM Exam</v>
      </c>
      <c r="CM168" s="28" t="str">
        <f aca="false">IFERROR(INDEX(Assessments!$I$2:$I$600,MATCH($H168&amp;"|"&amp;$I168&amp;"|"&amp;$J168&amp;"|"&amp;5,Assessments!$A$2:$A$600,0)),"")</f>
        <v>BM Test</v>
      </c>
      <c r="CN168" s="28" t="str">
        <f aca="false">IFERROR(INDEX(Assessments!$I$2:$I$600,MATCH($H168&amp;"|"&amp;$I168&amp;"|"&amp;$J168&amp;"|"&amp;6,Assessments!$A$2:$A$600,0)),"")</f>
        <v>BM Test</v>
      </c>
      <c r="CO168" s="28" t="str">
        <f aca="false">IFERROR(INDEX(Assessments!$I$2:$I$600,MATCH($H168&amp;"|"&amp;$I168&amp;"|"&amp;$J168&amp;"|"&amp;7,Assessments!$A$2:$A$600,0)),"")</f>
        <v>Grade entered</v>
      </c>
      <c r="CP168" s="28" t="str">
        <f aca="false">IFERROR(INDEX(Assessments!$I$2:$I$600,MATCH($H168&amp;"|"&amp;$I168&amp;"|"&amp;$J168&amp;"|"&amp;8,Assessments!$A$2:$A$600,0)),"")</f>
        <v/>
      </c>
      <c r="CQ168" s="28" t="str">
        <f aca="false">IFERROR(INDEX(Assessments!$I$2:$I$600,MATCH($H168&amp;"|"&amp;$I168&amp;"|"&amp;$J168&amp;"|"&amp;9,Assessments!$A$2:$A$600,0)),"")</f>
        <v/>
      </c>
      <c r="CR168" s="28" t="str">
        <f aca="false">IFERROR(INDEX(Assessments!$I$2:$I$600,MATCH($H168&amp;"|"&amp;$I168&amp;"|"&amp;$J168&amp;"|"&amp;10,Assessments!$A$2:$A$600,0)),"")</f>
        <v/>
      </c>
      <c r="CS168" s="28" t="str">
        <f aca="false">IFERROR(INDEX(Assessments!$I$2:$I$600,MATCH($H168&amp;"|"&amp;$I168&amp;"|"&amp;$J168&amp;"|"&amp;11,Assessments!$A$2:$A$600,0)),"")</f>
        <v/>
      </c>
      <c r="CT168" s="28" t="str">
        <f aca="false">IFERROR(INDEX(Assessments!$I$2:$I$600,MATCH($H168&amp;"|"&amp;$I168&amp;"|"&amp;$J168&amp;"|"&amp;12,Assessments!$A$2:$A$600,0)),"")</f>
        <v/>
      </c>
      <c r="CU168" s="28" t="str">
        <f aca="false">IFERROR(INDEX(Assessments!$I$2:$I$600,MATCH($H168&amp;"|"&amp;$I168&amp;"|"&amp;$J168&amp;"|"&amp;13,Assessments!$A$2:$A$600,0)),"")</f>
        <v/>
      </c>
      <c r="CV168" s="28" t="str">
        <f aca="false">IFERROR(INDEX(Assessments!$I$2:$I$600,MATCH($H168&amp;"|"&amp;$I168&amp;"|"&amp;$J168&amp;"|"&amp;14,Assessments!$A$2:$A$600,0)),"")</f>
        <v/>
      </c>
      <c r="CW168" s="28" t="n">
        <f aca="false">IFERROR(INDEX(Assessments!$J$2:$J$600,MATCH($H168&amp;"|"&amp;$I168&amp;"|"&amp;$J168&amp;"|"&amp;1,Assessments!$A$2:$A$600,0)),0)</f>
        <v>1</v>
      </c>
      <c r="CX168" s="28" t="n">
        <f aca="false">IFERROR(INDEX(Assessments!$J$2:$J$600,MATCH($H168&amp;"|"&amp;$I168&amp;"|"&amp;$J168&amp;"|"&amp;2,Assessments!$A$2:$A$600,0)),0)</f>
        <v>1</v>
      </c>
      <c r="CY168" s="28" t="n">
        <f aca="false">IFERROR(INDEX(Assessments!$J$2:$J$600,MATCH($H168&amp;"|"&amp;$I168&amp;"|"&amp;$J168&amp;"|"&amp;3,Assessments!$A$2:$A$600,0)),0)</f>
        <v>1</v>
      </c>
      <c r="CZ168" s="28" t="n">
        <f aca="false">IFERROR(INDEX(Assessments!$J$2:$J$600,MATCH($H168&amp;"|"&amp;$I168&amp;"|"&amp;$J168&amp;"|"&amp;4,Assessments!$A$2:$A$600,0)),0)</f>
        <v>2</v>
      </c>
      <c r="DA168" s="28" t="n">
        <f aca="false">IFERROR(INDEX(Assessments!$J$2:$J$600,MATCH($H168&amp;"|"&amp;$I168&amp;"|"&amp;$J168&amp;"|"&amp;5,Assessments!$A$2:$A$600,0)),0)</f>
        <v>1</v>
      </c>
      <c r="DB168" s="28" t="n">
        <f aca="false">IFERROR(INDEX(Assessments!$J$2:$J$600,MATCH($H168&amp;"|"&amp;$I168&amp;"|"&amp;$J168&amp;"|"&amp;6,Assessments!$A$2:$A$600,0)),0)</f>
        <v>1</v>
      </c>
      <c r="DC168" s="28" t="n">
        <f aca="false">IFERROR(INDEX(Assessments!$J$2:$J$600,MATCH($H168&amp;"|"&amp;$I168&amp;"|"&amp;$J168&amp;"|"&amp;7,Assessments!$A$2:$A$600,0)),0)</f>
        <v>2</v>
      </c>
      <c r="DD168" s="28" t="n">
        <f aca="false">IFERROR(INDEX(Assessments!$J$2:$J$600,MATCH($H168&amp;"|"&amp;$I168&amp;"|"&amp;$J168&amp;"|"&amp;8,Assessments!$A$2:$A$600,0)),0)</f>
        <v>0</v>
      </c>
      <c r="DE168" s="28" t="n">
        <f aca="false">IFERROR(INDEX(Assessments!$J$2:$J$600,MATCH($H168&amp;"|"&amp;$I168&amp;"|"&amp;$J168&amp;"|"&amp;9,Assessments!$A$2:$A$600,0)),0)</f>
        <v>0</v>
      </c>
      <c r="DF168" s="28" t="n">
        <f aca="false">IFERROR(INDEX(Assessments!$J$2:$J$600,MATCH($H168&amp;"|"&amp;$I168&amp;"|"&amp;$J168&amp;"|"&amp;10,Assessments!$A$2:$A$600,0)),0)</f>
        <v>0</v>
      </c>
      <c r="DG168" s="28" t="n">
        <f aca="false">IFERROR(INDEX(Assessments!$J$2:$J$600,MATCH($H168&amp;"|"&amp;$I168&amp;"|"&amp;$J168&amp;"|"&amp;11,Assessments!$A$2:$A$600,0)),0)</f>
        <v>0</v>
      </c>
      <c r="DH168" s="28" t="n">
        <f aca="false">IFERROR(INDEX(Assessments!$J$2:$J$600,MATCH($H168&amp;"|"&amp;$I168&amp;"|"&amp;$J168&amp;"|"&amp;12,Assessments!$A$2:$A$600,0)),0)</f>
        <v>0</v>
      </c>
      <c r="DI168" s="28" t="n">
        <f aca="false">IFERROR(INDEX(Assessments!$J$2:$J$600,MATCH($H168&amp;"|"&amp;$I168&amp;"|"&amp;$J168&amp;"|"&amp;13,Assessments!$A$2:$A$600,0)),0)</f>
        <v>0</v>
      </c>
      <c r="DJ168" s="28" t="n">
        <f aca="false">IFERROR(INDEX(Assessments!$J$2:$J$600,MATCH($H168&amp;"|"&amp;$I168&amp;"|"&amp;$J168&amp;"|"&amp;14,Assessments!$A$2:$A$600,0)),0)</f>
        <v>0</v>
      </c>
      <c r="DK168" s="28" t="n">
        <f aca="false">S168</f>
        <v>7</v>
      </c>
      <c r="DL168" s="28" t="n">
        <f aca="false">W168</f>
        <v>7</v>
      </c>
      <c r="DM168" s="28" t="n">
        <f aca="false">AA168</f>
        <v>7</v>
      </c>
      <c r="DN168" s="28" t="str">
        <f aca="false">AE168</f>
        <v/>
      </c>
      <c r="DO168" s="28" t="str">
        <f aca="false">AI168</f>
        <v/>
      </c>
      <c r="DP168" s="28" t="str">
        <f aca="false">AM168</f>
        <v/>
      </c>
      <c r="DQ168" s="28" t="n">
        <f aca="false">AQ168</f>
        <v>2</v>
      </c>
      <c r="DR168" s="28" t="str">
        <f aca="false">AU168</f>
        <v/>
      </c>
      <c r="DS168" s="28" t="str">
        <f aca="false">AY168</f>
        <v/>
      </c>
      <c r="DT168" s="28" t="str">
        <f aca="false">BC168</f>
        <v/>
      </c>
      <c r="DU168" s="28" t="str">
        <f aca="false">BG168</f>
        <v/>
      </c>
      <c r="DV168" s="28" t="str">
        <f aca="false">BK168</f>
        <v/>
      </c>
      <c r="DW168" s="28" t="str">
        <f aca="false">BO168</f>
        <v/>
      </c>
      <c r="DX168" s="28" t="str">
        <f aca="false">BS168</f>
        <v/>
      </c>
      <c r="DY168" s="28" t="n">
        <f aca="false">IF(ISNUMBER(S168),1,"")</f>
        <v>1</v>
      </c>
      <c r="DZ168" s="28" t="n">
        <f aca="false">IF(ISNUMBER(W168),2,"")</f>
        <v>2</v>
      </c>
      <c r="EA168" s="28" t="n">
        <f aca="false">IF(ISNUMBER(AA168),3,"")</f>
        <v>3</v>
      </c>
      <c r="EB168" s="28" t="str">
        <f aca="false">IF(ISNUMBER(AE168),4,"")</f>
        <v/>
      </c>
      <c r="EC168" s="28" t="str">
        <f aca="false">IF(ISNUMBER(AI168),5,"")</f>
        <v/>
      </c>
      <c r="ED168" s="28" t="str">
        <f aca="false">IF(ISNUMBER(AM168),6,"")</f>
        <v/>
      </c>
      <c r="EE168" s="28" t="n">
        <f aca="false">IF(ISNUMBER(AQ168),7,"")</f>
        <v>7</v>
      </c>
      <c r="EF168" s="28" t="str">
        <f aca="false">IF(ISNUMBER(AU168),8,"")</f>
        <v/>
      </c>
      <c r="EG168" s="28" t="str">
        <f aca="false">IF(ISNUMBER(AY168),9,"")</f>
        <v/>
      </c>
      <c r="EH168" s="28" t="str">
        <f aca="false">IF(ISNUMBER(BC168),10,"")</f>
        <v/>
      </c>
      <c r="EI168" s="28" t="str">
        <f aca="false">IF(ISNUMBER(BG168),11,"")</f>
        <v/>
      </c>
      <c r="EJ168" s="28" t="str">
        <f aca="false">IF(ISNUMBER(BK168),12,"")</f>
        <v/>
      </c>
      <c r="EK168" s="28" t="str">
        <f aca="false">IF(ISNUMBER(BO168),13,"")</f>
        <v/>
      </c>
      <c r="EL168" s="28" t="str">
        <f aca="false">IF(ISNUMBER(BS168),14,"")</f>
        <v/>
      </c>
      <c r="EM168" s="28" t="n">
        <f aca="false">IF(ISNUMBER(R168),R168*CW168,0)</f>
        <v>100</v>
      </c>
      <c r="EN168" s="28" t="n">
        <f aca="false">IF(ISNUMBER(V168),V168*CX168,0)</f>
        <v>90</v>
      </c>
      <c r="EO168" s="28" t="n">
        <f aca="false">IF(ISNUMBER(Z168),Z168*CY168,0)</f>
        <v>90</v>
      </c>
      <c r="EP168" s="28" t="n">
        <f aca="false">IF(ISNUMBER(AD168),AD168*CZ168,0)</f>
        <v>0</v>
      </c>
      <c r="EQ168" s="28" t="n">
        <f aca="false">IF(ISNUMBER(AH168),AH168*DA168,0)</f>
        <v>0</v>
      </c>
      <c r="ER168" s="28" t="n">
        <f aca="false">IF(ISNUMBER(AL168),AL168*DB168,0)</f>
        <v>0</v>
      </c>
      <c r="ES168" s="28" t="n">
        <f aca="false">IF(ISNUMBER(AP168),AP168*DC168,0)</f>
        <v>57.1428571428571</v>
      </c>
      <c r="ET168" s="28" t="n">
        <f aca="false">IF(ISNUMBER(AT168),AT168*DD168,0)</f>
        <v>0</v>
      </c>
      <c r="EU168" s="28" t="n">
        <f aca="false">IF(ISNUMBER(AX168),AX168*DE168,0)</f>
        <v>0</v>
      </c>
      <c r="EV168" s="28" t="n">
        <f aca="false">IF(ISNUMBER(BB168),BB168*DF168,0)</f>
        <v>0</v>
      </c>
      <c r="EW168" s="28" t="n">
        <f aca="false">IF(ISNUMBER(BF168),BF168*DG168,0)</f>
        <v>0</v>
      </c>
      <c r="EX168" s="28" t="n">
        <f aca="false">IF(ISNUMBER(BJ168),BJ168*DH168,0)</f>
        <v>0</v>
      </c>
      <c r="EY168" s="28" t="n">
        <f aca="false">IF(ISNUMBER(BN168),BN168*DI168,0)</f>
        <v>0</v>
      </c>
      <c r="EZ168" s="28" t="n">
        <f aca="false">IF(ISNUMBER(BR168),BR168*DJ168,0)</f>
        <v>0</v>
      </c>
      <c r="FA168" s="28" t="n">
        <f aca="false">IF(ISNUMBER(R168),CW168,0)</f>
        <v>1</v>
      </c>
      <c r="FB168" s="28" t="n">
        <f aca="false">IF(ISNUMBER(V168),CX168,0)</f>
        <v>1</v>
      </c>
      <c r="FC168" s="28" t="n">
        <f aca="false">IF(ISNUMBER(Z168),CY168,0)</f>
        <v>1</v>
      </c>
      <c r="FD168" s="28" t="n">
        <f aca="false">IF(ISNUMBER(AD168),CZ168,0)</f>
        <v>0</v>
      </c>
      <c r="FE168" s="28" t="n">
        <f aca="false">IF(ISNUMBER(AH168),DA168,0)</f>
        <v>0</v>
      </c>
      <c r="FF168" s="28" t="n">
        <f aca="false">IF(ISNUMBER(AL168),DB168,0)</f>
        <v>0</v>
      </c>
      <c r="FG168" s="28" t="n">
        <f aca="false">IF(ISNUMBER(AP168),DC168,0)</f>
        <v>2</v>
      </c>
      <c r="FH168" s="28" t="n">
        <f aca="false">IF(ISNUMBER(AT168),DD168,0)</f>
        <v>0</v>
      </c>
      <c r="FI168" s="28" t="n">
        <f aca="false">IF(ISNUMBER(AX168),DE168,0)</f>
        <v>0</v>
      </c>
      <c r="FJ168" s="28" t="n">
        <f aca="false">IF(ISNUMBER(BB168),DF168,0)</f>
        <v>0</v>
      </c>
      <c r="FK168" s="28" t="n">
        <f aca="false">IF(ISNUMBER(BF168),DG168,0)</f>
        <v>0</v>
      </c>
      <c r="FL168" s="28" t="n">
        <f aca="false">IF(ISNUMBER(BJ168),DH168,0)</f>
        <v>0</v>
      </c>
      <c r="FM168" s="28" t="n">
        <f aca="false">IF(ISNUMBER(BN168),DI168,0)</f>
        <v>0</v>
      </c>
      <c r="FN168" s="28" t="n">
        <f aca="false">IF(ISNUMBER(BR168),DJ168,0)</f>
        <v>0</v>
      </c>
      <c r="FO168" s="28" t="str">
        <f aca="false">IFERROR(INDEX(Lists!$G$2:$G$20,MATCH($I168&amp;"|"&amp;$J168,Lists!$F$2:$F$20,0)),"")</f>
        <v>BM Exam</v>
      </c>
    </row>
    <row r="169" customFormat="false" ht="19.5" hidden="false" customHeight="true" outlineLevel="0" collapsed="false">
      <c r="A169" s="29" t="s">
        <v>406</v>
      </c>
      <c r="B169" s="29" t="s">
        <v>407</v>
      </c>
      <c r="C169" s="30" t="s">
        <v>192</v>
      </c>
      <c r="D169" s="30" t="s">
        <v>383</v>
      </c>
      <c r="E169" s="31" t="n">
        <v>5.5</v>
      </c>
      <c r="F169" s="30" t="n">
        <v>6</v>
      </c>
      <c r="G169" s="30"/>
      <c r="H169" s="32" t="s">
        <v>23</v>
      </c>
      <c r="I169" s="33" t="s">
        <v>365</v>
      </c>
      <c r="J169" s="32" t="s">
        <v>25</v>
      </c>
      <c r="K169" s="34" t="n">
        <f aca="false">IF(OR(M169="",$E169=""),"",M169-$E169)</f>
        <v>1.5</v>
      </c>
      <c r="L169" s="35" t="n">
        <f aca="false">IF(SUM(FA169:FN169)=0,"",SUM(EM169:EZ169)/SUM(FA169:FN169))</f>
        <v>83.8333333333333</v>
      </c>
      <c r="M169" s="36" t="n">
        <f aca="false">IF(OR(L169="",FO169=""),"",IFERROR(MATCH(L169,INDEX(Boundaries!$B$2:$I$30,MATCH(FO169,Boundaries!$A$2:$A$30,0),0),1)-1,""))</f>
        <v>7</v>
      </c>
      <c r="N169" s="37" t="n">
        <f aca="false">IF(COUNT($DY169:$EL169)&lt;2,"",INDEX($DK169:$DX169,MAX($DY169:$EL169))-INDEX($DK169:$DX169,MIN($DY169:$EL169)))</f>
        <v>0</v>
      </c>
      <c r="O169" s="37" t="n">
        <f aca="false">IF(COUNT($DY169:$EL169)&lt;2,"",INDEX($DK169:$DX169,MAX($DY169:$EL169))-INDEX($DK169:$DX169,LARGE($DY169:$EL169,2)))</f>
        <v>1</v>
      </c>
      <c r="P169" s="38" t="str">
        <f aca="false">IF(K169="","",IF(K169&gt;=0,"On/above target",IF(AND(N169&lt;&gt;"",N169&gt;=0.5),"Improving towards target",IF(AND(O169&lt;&gt;"",O169&lt;=-0.5),"Declining","Stable below target"))))</f>
        <v>On/above target</v>
      </c>
      <c r="Q169" s="39" t="n">
        <v>19</v>
      </c>
      <c r="R169" s="40" t="n">
        <f aca="false">IF(OR(Q169="",BU169=""),"",Q169/BU169*100)</f>
        <v>79.1666666666667</v>
      </c>
      <c r="S169" s="41" t="n">
        <f aca="false">IF(R169="","",IFERROR(MATCH(R169,INDEX(Boundaries!$B$2:$I$30,MATCH(CI169,Boundaries!$A$2:$A$30,0),0),1)-1,""))</f>
        <v>7</v>
      </c>
      <c r="T169" s="42" t="n">
        <f aca="false">IF(OR(S169="",$E169=""),"",S169-$E169)</f>
        <v>1.5</v>
      </c>
      <c r="U169" s="39" t="n">
        <v>14</v>
      </c>
      <c r="V169" s="40" t="n">
        <f aca="false">IF(OR(U169="",BV169=""),"",U169/BV169*100)</f>
        <v>70</v>
      </c>
      <c r="W169" s="41" t="n">
        <f aca="false">IF(V169="","",IFERROR(MATCH(V169,INDEX(Boundaries!$B$2:$I$30,MATCH(CJ169,Boundaries!$A$2:$A$30,0),0),1)-1,""))</f>
        <v>6</v>
      </c>
      <c r="X169" s="42" t="n">
        <f aca="false">IF(OR(W169="",$E169=""),"",W169-$E169)</f>
        <v>0.5</v>
      </c>
      <c r="Y169" s="39" t="n">
        <v>14</v>
      </c>
      <c r="Z169" s="40" t="n">
        <f aca="false">IF(OR(Y169="",BW169=""),"",Y169/BW169*100)</f>
        <v>70</v>
      </c>
      <c r="AA169" s="41" t="n">
        <f aca="false">IF(Z169="","",IFERROR(MATCH(Z169,INDEX(Boundaries!$B$2:$I$30,MATCH(CK169,Boundaries!$A$2:$A$30,0),0),1)-1,""))</f>
        <v>6</v>
      </c>
      <c r="AB169" s="42" t="n">
        <f aca="false">IF(OR(AA169="",$E169=""),"",AA169-$E169)</f>
        <v>0.5</v>
      </c>
      <c r="AC169" s="39"/>
      <c r="AD169" s="40" t="str">
        <f aca="false">IF(OR(AC169="",BX169=""),"",AC169/BX169*100)</f>
        <v/>
      </c>
      <c r="AE169" s="41" t="str">
        <f aca="false">IF(AD169="","",IFERROR(MATCH(AD169,INDEX(Boundaries!$B$2:$I$30,MATCH(CL169,Boundaries!$A$2:$A$30,0),0),1)-1,""))</f>
        <v/>
      </c>
      <c r="AF169" s="42" t="str">
        <f aca="false">IF(OR(AE169="",$E169=""),"",AE169-$E169)</f>
        <v/>
      </c>
      <c r="AG169" s="39"/>
      <c r="AH169" s="40" t="str">
        <f aca="false">IF(OR(AG169="",BY169=""),"",AG169/BY169*100)</f>
        <v/>
      </c>
      <c r="AI169" s="41" t="str">
        <f aca="false">IF(AH169="","",IFERROR(MATCH(AH169,INDEX(Boundaries!$B$2:$I$30,MATCH(CM169,Boundaries!$A$2:$A$30,0),0),1)-1,""))</f>
        <v/>
      </c>
      <c r="AJ169" s="42" t="str">
        <f aca="false">IF(OR(AI169="",$E169=""),"",AI169-$E169)</f>
        <v/>
      </c>
      <c r="AK169" s="39"/>
      <c r="AL169" s="40" t="str">
        <f aca="false">IF(OR(AK169="",BZ169=""),"",AK169/BZ169*100)</f>
        <v/>
      </c>
      <c r="AM169" s="41" t="str">
        <f aca="false">IF(AL169="","",IFERROR(MATCH(AL169,INDEX(Boundaries!$B$2:$I$30,MATCH(CN169,Boundaries!$A$2:$A$30,0),0),1)-1,""))</f>
        <v/>
      </c>
      <c r="AN169" s="42" t="str">
        <f aca="false">IF(OR(AM169="",$E169=""),"",AM169-$E169)</f>
        <v/>
      </c>
      <c r="AO169" s="39" t="n">
        <v>7</v>
      </c>
      <c r="AP169" s="40" t="n">
        <f aca="false">IF(OR(AO169="",CA169=""),"",AO169/CA169*100)</f>
        <v>100</v>
      </c>
      <c r="AQ169" s="41" t="n">
        <f aca="false">IF(AP169="","",IFERROR(MATCH(AP169,INDEX(Boundaries!$B$2:$I$30,MATCH(CO169,Boundaries!$A$2:$A$30,0),0),1)-1,""))</f>
        <v>7</v>
      </c>
      <c r="AR169" s="42" t="n">
        <f aca="false">IF(OR(AQ169="",$E169=""),"",AQ169-$E169)</f>
        <v>1.5</v>
      </c>
      <c r="AS169" s="39"/>
      <c r="AT169" s="40" t="str">
        <f aca="false">IF(OR(AS169="",CB169=""),"",AS169/CB169*100)</f>
        <v/>
      </c>
      <c r="AU169" s="41" t="str">
        <f aca="false">IF(AT169="","",IFERROR(MATCH(AT169,INDEX(Boundaries!$B$2:$I$30,MATCH(CP169,Boundaries!$A$2:$A$30,0),0),1)-1,""))</f>
        <v/>
      </c>
      <c r="AV169" s="42" t="str">
        <f aca="false">IF(OR(AU169="",$E169=""),"",AU169-$E169)</f>
        <v/>
      </c>
      <c r="AW169" s="39"/>
      <c r="AX169" s="40" t="str">
        <f aca="false">IF(OR(AW169="",CC169=""),"",AW169/CC169*100)</f>
        <v/>
      </c>
      <c r="AY169" s="41" t="str">
        <f aca="false">IF(AX169="","",IFERROR(MATCH(AX169,INDEX(Boundaries!$B$2:$I$30,MATCH(CQ169,Boundaries!$A$2:$A$30,0),0),1)-1,""))</f>
        <v/>
      </c>
      <c r="AZ169" s="42" t="str">
        <f aca="false">IF(OR(AY169="",$E169=""),"",AY169-$E169)</f>
        <v/>
      </c>
      <c r="BA169" s="39"/>
      <c r="BB169" s="40" t="str">
        <f aca="false">IF(OR(BA169="",CD169=""),"",BA169/CD169*100)</f>
        <v/>
      </c>
      <c r="BC169" s="41" t="str">
        <f aca="false">IF(BB169="","",IFERROR(MATCH(BB169,INDEX(Boundaries!$B$2:$I$30,MATCH(CR169,Boundaries!$A$2:$A$30,0),0),1)-1,""))</f>
        <v/>
      </c>
      <c r="BD169" s="42" t="str">
        <f aca="false">IF(OR(BC169="",$E169=""),"",BC169-$E169)</f>
        <v/>
      </c>
      <c r="BE169" s="39"/>
      <c r="BF169" s="40" t="str">
        <f aca="false">IF(OR(BE169="",CE169=""),"",BE169/CE169*100)</f>
        <v/>
      </c>
      <c r="BG169" s="41" t="str">
        <f aca="false">IF(BF169="","",IFERROR(MATCH(BF169,INDEX(Boundaries!$B$2:$I$30,MATCH(CS169,Boundaries!$A$2:$A$30,0),0),1)-1,""))</f>
        <v/>
      </c>
      <c r="BH169" s="42" t="str">
        <f aca="false">IF(OR(BG169="",$E169=""),"",BG169-$E169)</f>
        <v/>
      </c>
      <c r="BI169" s="39"/>
      <c r="BJ169" s="40" t="str">
        <f aca="false">IF(OR(BI169="",CF169=""),"",BI169/CF169*100)</f>
        <v/>
      </c>
      <c r="BK169" s="41" t="str">
        <f aca="false">IF(BJ169="","",IFERROR(MATCH(BJ169,INDEX(Boundaries!$B$2:$I$30,MATCH(CT169,Boundaries!$A$2:$A$30,0),0),1)-1,""))</f>
        <v/>
      </c>
      <c r="BL169" s="42" t="str">
        <f aca="false">IF(OR(BK169="",$E169=""),"",BK169-$E169)</f>
        <v/>
      </c>
      <c r="BM169" s="39"/>
      <c r="BN169" s="40" t="str">
        <f aca="false">IF(OR(BM169="",CG169=""),"",BM169/CG169*100)</f>
        <v/>
      </c>
      <c r="BO169" s="41" t="str">
        <f aca="false">IF(BN169="","",IFERROR(MATCH(BN169,INDEX(Boundaries!$B$2:$I$30,MATCH(CU169,Boundaries!$A$2:$A$30,0),0),1)-1,""))</f>
        <v/>
      </c>
      <c r="BP169" s="42" t="str">
        <f aca="false">IF(OR(BO169="",$E169=""),"",BO169-$E169)</f>
        <v/>
      </c>
      <c r="BQ169" s="39"/>
      <c r="BR169" s="40" t="str">
        <f aca="false">IF(OR(BQ169="",CH169=""),"",BQ169/CH169*100)</f>
        <v/>
      </c>
      <c r="BS169" s="41" t="str">
        <f aca="false">IF(BR169="","",IFERROR(MATCH(BR169,INDEX(Boundaries!$B$2:$I$30,MATCH(CV169,Boundaries!$A$2:$A$30,0),0),1)-1,""))</f>
        <v/>
      </c>
      <c r="BT169" s="42" t="str">
        <f aca="false">IF(OR(BS169="",$E169=""),"",BS169-$E169)</f>
        <v/>
      </c>
      <c r="BU169" s="28" t="n">
        <f aca="false">IFERROR(INDEX(Assessments!$H$2:$H$600,MATCH($H169&amp;"|"&amp;$I169&amp;"|"&amp;$J169&amp;"|"&amp;1,Assessments!$A$2:$A$600,0)),"")</f>
        <v>24</v>
      </c>
      <c r="BV169" s="28" t="n">
        <f aca="false">IFERROR(INDEX(Assessments!$H$2:$H$600,MATCH($H169&amp;"|"&amp;$I169&amp;"|"&amp;$J169&amp;"|"&amp;2,Assessments!$A$2:$A$600,0)),"")</f>
        <v>20</v>
      </c>
      <c r="BW169" s="28" t="n">
        <f aca="false">IFERROR(INDEX(Assessments!$H$2:$H$600,MATCH($H169&amp;"|"&amp;$I169&amp;"|"&amp;$J169&amp;"|"&amp;3,Assessments!$A$2:$A$600,0)),"")</f>
        <v>20</v>
      </c>
      <c r="BX169" s="28" t="n">
        <f aca="false">IFERROR(INDEX(Assessments!$H$2:$H$600,MATCH($H169&amp;"|"&amp;$I169&amp;"|"&amp;$J169&amp;"|"&amp;4,Assessments!$A$2:$A$600,0)),"")</f>
        <v>40</v>
      </c>
      <c r="BY169" s="28" t="n">
        <f aca="false">IFERROR(INDEX(Assessments!$H$2:$H$600,MATCH($H169&amp;"|"&amp;$I169&amp;"|"&amp;$J169&amp;"|"&amp;5,Assessments!$A$2:$A$600,0)),"")</f>
        <v>30</v>
      </c>
      <c r="BZ169" s="28" t="n">
        <f aca="false">IFERROR(INDEX(Assessments!$H$2:$H$600,MATCH($H169&amp;"|"&amp;$I169&amp;"|"&amp;$J169&amp;"|"&amp;6,Assessments!$A$2:$A$600,0)),"")</f>
        <v>20</v>
      </c>
      <c r="CA169" s="28" t="n">
        <f aca="false">IFERROR(INDEX(Assessments!$H$2:$H$600,MATCH($H169&amp;"|"&amp;$I169&amp;"|"&amp;$J169&amp;"|"&amp;7,Assessments!$A$2:$A$600,0)),"")</f>
        <v>7</v>
      </c>
      <c r="CB169" s="28" t="str">
        <f aca="false">IFERROR(INDEX(Assessments!$H$2:$H$600,MATCH($H169&amp;"|"&amp;$I169&amp;"|"&amp;$J169&amp;"|"&amp;8,Assessments!$A$2:$A$600,0)),"")</f>
        <v/>
      </c>
      <c r="CC169" s="28" t="str">
        <f aca="false">IFERROR(INDEX(Assessments!$H$2:$H$600,MATCH($H169&amp;"|"&amp;$I169&amp;"|"&amp;$J169&amp;"|"&amp;9,Assessments!$A$2:$A$600,0)),"")</f>
        <v/>
      </c>
      <c r="CD169" s="28" t="str">
        <f aca="false">IFERROR(INDEX(Assessments!$H$2:$H$600,MATCH($H169&amp;"|"&amp;$I169&amp;"|"&amp;$J169&amp;"|"&amp;10,Assessments!$A$2:$A$600,0)),"")</f>
        <v/>
      </c>
      <c r="CE169" s="28" t="str">
        <f aca="false">IFERROR(INDEX(Assessments!$H$2:$H$600,MATCH($H169&amp;"|"&amp;$I169&amp;"|"&amp;$J169&amp;"|"&amp;11,Assessments!$A$2:$A$600,0)),"")</f>
        <v/>
      </c>
      <c r="CF169" s="28" t="str">
        <f aca="false">IFERROR(INDEX(Assessments!$H$2:$H$600,MATCH($H169&amp;"|"&amp;$I169&amp;"|"&amp;$J169&amp;"|"&amp;12,Assessments!$A$2:$A$600,0)),"")</f>
        <v/>
      </c>
      <c r="CG169" s="28" t="str">
        <f aca="false">IFERROR(INDEX(Assessments!$H$2:$H$600,MATCH($H169&amp;"|"&amp;$I169&amp;"|"&amp;$J169&amp;"|"&amp;13,Assessments!$A$2:$A$600,0)),"")</f>
        <v/>
      </c>
      <c r="CH169" s="28" t="str">
        <f aca="false">IFERROR(INDEX(Assessments!$H$2:$H$600,MATCH($H169&amp;"|"&amp;$I169&amp;"|"&amp;$J169&amp;"|"&amp;14,Assessments!$A$2:$A$600,0)),"")</f>
        <v/>
      </c>
      <c r="CI169" s="28" t="str">
        <f aca="false">IFERROR(INDEX(Assessments!$I$2:$I$600,MATCH($H169&amp;"|"&amp;$I169&amp;"|"&amp;$J169&amp;"|"&amp;1,Assessments!$A$2:$A$600,0)),"")</f>
        <v>BM Test</v>
      </c>
      <c r="CJ169" s="28" t="str">
        <f aca="false">IFERROR(INDEX(Assessments!$I$2:$I$600,MATCH($H169&amp;"|"&amp;$I169&amp;"|"&amp;$J169&amp;"|"&amp;2,Assessments!$A$2:$A$600,0)),"")</f>
        <v>BM Test</v>
      </c>
      <c r="CK169" s="28" t="str">
        <f aca="false">IFERROR(INDEX(Assessments!$I$2:$I$600,MATCH($H169&amp;"|"&amp;$I169&amp;"|"&amp;$J169&amp;"|"&amp;3,Assessments!$A$2:$A$600,0)),"")</f>
        <v>BM Test</v>
      </c>
      <c r="CL169" s="28" t="str">
        <f aca="false">IFERROR(INDEX(Assessments!$I$2:$I$600,MATCH($H169&amp;"|"&amp;$I169&amp;"|"&amp;$J169&amp;"|"&amp;4,Assessments!$A$2:$A$600,0)),"")</f>
        <v>BM Exam</v>
      </c>
      <c r="CM169" s="28" t="str">
        <f aca="false">IFERROR(INDEX(Assessments!$I$2:$I$600,MATCH($H169&amp;"|"&amp;$I169&amp;"|"&amp;$J169&amp;"|"&amp;5,Assessments!$A$2:$A$600,0)),"")</f>
        <v>BM Test</v>
      </c>
      <c r="CN169" s="28" t="str">
        <f aca="false">IFERROR(INDEX(Assessments!$I$2:$I$600,MATCH($H169&amp;"|"&amp;$I169&amp;"|"&amp;$J169&amp;"|"&amp;6,Assessments!$A$2:$A$600,0)),"")</f>
        <v>BM Test</v>
      </c>
      <c r="CO169" s="28" t="str">
        <f aca="false">IFERROR(INDEX(Assessments!$I$2:$I$600,MATCH($H169&amp;"|"&amp;$I169&amp;"|"&amp;$J169&amp;"|"&amp;7,Assessments!$A$2:$A$600,0)),"")</f>
        <v>Grade entered</v>
      </c>
      <c r="CP169" s="28" t="str">
        <f aca="false">IFERROR(INDEX(Assessments!$I$2:$I$600,MATCH($H169&amp;"|"&amp;$I169&amp;"|"&amp;$J169&amp;"|"&amp;8,Assessments!$A$2:$A$600,0)),"")</f>
        <v/>
      </c>
      <c r="CQ169" s="28" t="str">
        <f aca="false">IFERROR(INDEX(Assessments!$I$2:$I$600,MATCH($H169&amp;"|"&amp;$I169&amp;"|"&amp;$J169&amp;"|"&amp;9,Assessments!$A$2:$A$600,0)),"")</f>
        <v/>
      </c>
      <c r="CR169" s="28" t="str">
        <f aca="false">IFERROR(INDEX(Assessments!$I$2:$I$600,MATCH($H169&amp;"|"&amp;$I169&amp;"|"&amp;$J169&amp;"|"&amp;10,Assessments!$A$2:$A$600,0)),"")</f>
        <v/>
      </c>
      <c r="CS169" s="28" t="str">
        <f aca="false">IFERROR(INDEX(Assessments!$I$2:$I$600,MATCH($H169&amp;"|"&amp;$I169&amp;"|"&amp;$J169&amp;"|"&amp;11,Assessments!$A$2:$A$600,0)),"")</f>
        <v/>
      </c>
      <c r="CT169" s="28" t="str">
        <f aca="false">IFERROR(INDEX(Assessments!$I$2:$I$600,MATCH($H169&amp;"|"&amp;$I169&amp;"|"&amp;$J169&amp;"|"&amp;12,Assessments!$A$2:$A$600,0)),"")</f>
        <v/>
      </c>
      <c r="CU169" s="28" t="str">
        <f aca="false">IFERROR(INDEX(Assessments!$I$2:$I$600,MATCH($H169&amp;"|"&amp;$I169&amp;"|"&amp;$J169&amp;"|"&amp;13,Assessments!$A$2:$A$600,0)),"")</f>
        <v/>
      </c>
      <c r="CV169" s="28" t="str">
        <f aca="false">IFERROR(INDEX(Assessments!$I$2:$I$600,MATCH($H169&amp;"|"&amp;$I169&amp;"|"&amp;$J169&amp;"|"&amp;14,Assessments!$A$2:$A$600,0)),"")</f>
        <v/>
      </c>
      <c r="CW169" s="28" t="n">
        <f aca="false">IFERROR(INDEX(Assessments!$J$2:$J$600,MATCH($H169&amp;"|"&amp;$I169&amp;"|"&amp;$J169&amp;"|"&amp;1,Assessments!$A$2:$A$600,0)),0)</f>
        <v>1</v>
      </c>
      <c r="CX169" s="28" t="n">
        <f aca="false">IFERROR(INDEX(Assessments!$J$2:$J$600,MATCH($H169&amp;"|"&amp;$I169&amp;"|"&amp;$J169&amp;"|"&amp;2,Assessments!$A$2:$A$600,0)),0)</f>
        <v>1</v>
      </c>
      <c r="CY169" s="28" t="n">
        <f aca="false">IFERROR(INDEX(Assessments!$J$2:$J$600,MATCH($H169&amp;"|"&amp;$I169&amp;"|"&amp;$J169&amp;"|"&amp;3,Assessments!$A$2:$A$600,0)),0)</f>
        <v>1</v>
      </c>
      <c r="CZ169" s="28" t="n">
        <f aca="false">IFERROR(INDEX(Assessments!$J$2:$J$600,MATCH($H169&amp;"|"&amp;$I169&amp;"|"&amp;$J169&amp;"|"&amp;4,Assessments!$A$2:$A$600,0)),0)</f>
        <v>2</v>
      </c>
      <c r="DA169" s="28" t="n">
        <f aca="false">IFERROR(INDEX(Assessments!$J$2:$J$600,MATCH($H169&amp;"|"&amp;$I169&amp;"|"&amp;$J169&amp;"|"&amp;5,Assessments!$A$2:$A$600,0)),0)</f>
        <v>1</v>
      </c>
      <c r="DB169" s="28" t="n">
        <f aca="false">IFERROR(INDEX(Assessments!$J$2:$J$600,MATCH($H169&amp;"|"&amp;$I169&amp;"|"&amp;$J169&amp;"|"&amp;6,Assessments!$A$2:$A$600,0)),0)</f>
        <v>1</v>
      </c>
      <c r="DC169" s="28" t="n">
        <f aca="false">IFERROR(INDEX(Assessments!$J$2:$J$600,MATCH($H169&amp;"|"&amp;$I169&amp;"|"&amp;$J169&amp;"|"&amp;7,Assessments!$A$2:$A$600,0)),0)</f>
        <v>2</v>
      </c>
      <c r="DD169" s="28" t="n">
        <f aca="false">IFERROR(INDEX(Assessments!$J$2:$J$600,MATCH($H169&amp;"|"&amp;$I169&amp;"|"&amp;$J169&amp;"|"&amp;8,Assessments!$A$2:$A$600,0)),0)</f>
        <v>0</v>
      </c>
      <c r="DE169" s="28" t="n">
        <f aca="false">IFERROR(INDEX(Assessments!$J$2:$J$600,MATCH($H169&amp;"|"&amp;$I169&amp;"|"&amp;$J169&amp;"|"&amp;9,Assessments!$A$2:$A$600,0)),0)</f>
        <v>0</v>
      </c>
      <c r="DF169" s="28" t="n">
        <f aca="false">IFERROR(INDEX(Assessments!$J$2:$J$600,MATCH($H169&amp;"|"&amp;$I169&amp;"|"&amp;$J169&amp;"|"&amp;10,Assessments!$A$2:$A$600,0)),0)</f>
        <v>0</v>
      </c>
      <c r="DG169" s="28" t="n">
        <f aca="false">IFERROR(INDEX(Assessments!$J$2:$J$600,MATCH($H169&amp;"|"&amp;$I169&amp;"|"&amp;$J169&amp;"|"&amp;11,Assessments!$A$2:$A$600,0)),0)</f>
        <v>0</v>
      </c>
      <c r="DH169" s="28" t="n">
        <f aca="false">IFERROR(INDEX(Assessments!$J$2:$J$600,MATCH($H169&amp;"|"&amp;$I169&amp;"|"&amp;$J169&amp;"|"&amp;12,Assessments!$A$2:$A$600,0)),0)</f>
        <v>0</v>
      </c>
      <c r="DI169" s="28" t="n">
        <f aca="false">IFERROR(INDEX(Assessments!$J$2:$J$600,MATCH($H169&amp;"|"&amp;$I169&amp;"|"&amp;$J169&amp;"|"&amp;13,Assessments!$A$2:$A$600,0)),0)</f>
        <v>0</v>
      </c>
      <c r="DJ169" s="28" t="n">
        <f aca="false">IFERROR(INDEX(Assessments!$J$2:$J$600,MATCH($H169&amp;"|"&amp;$I169&amp;"|"&amp;$J169&amp;"|"&amp;14,Assessments!$A$2:$A$600,0)),0)</f>
        <v>0</v>
      </c>
      <c r="DK169" s="28" t="n">
        <f aca="false">S169</f>
        <v>7</v>
      </c>
      <c r="DL169" s="28" t="n">
        <f aca="false">W169</f>
        <v>6</v>
      </c>
      <c r="DM169" s="28" t="n">
        <f aca="false">AA169</f>
        <v>6</v>
      </c>
      <c r="DN169" s="28" t="str">
        <f aca="false">AE169</f>
        <v/>
      </c>
      <c r="DO169" s="28" t="str">
        <f aca="false">AI169</f>
        <v/>
      </c>
      <c r="DP169" s="28" t="str">
        <f aca="false">AM169</f>
        <v/>
      </c>
      <c r="DQ169" s="28" t="n">
        <f aca="false">AQ169</f>
        <v>7</v>
      </c>
      <c r="DR169" s="28" t="str">
        <f aca="false">AU169</f>
        <v/>
      </c>
      <c r="DS169" s="28" t="str">
        <f aca="false">AY169</f>
        <v/>
      </c>
      <c r="DT169" s="28" t="str">
        <f aca="false">BC169</f>
        <v/>
      </c>
      <c r="DU169" s="28" t="str">
        <f aca="false">BG169</f>
        <v/>
      </c>
      <c r="DV169" s="28" t="str">
        <f aca="false">BK169</f>
        <v/>
      </c>
      <c r="DW169" s="28" t="str">
        <f aca="false">BO169</f>
        <v/>
      </c>
      <c r="DX169" s="28" t="str">
        <f aca="false">BS169</f>
        <v/>
      </c>
      <c r="DY169" s="28" t="n">
        <f aca="false">IF(ISNUMBER(S169),1,"")</f>
        <v>1</v>
      </c>
      <c r="DZ169" s="28" t="n">
        <f aca="false">IF(ISNUMBER(W169),2,"")</f>
        <v>2</v>
      </c>
      <c r="EA169" s="28" t="n">
        <f aca="false">IF(ISNUMBER(AA169),3,"")</f>
        <v>3</v>
      </c>
      <c r="EB169" s="28" t="str">
        <f aca="false">IF(ISNUMBER(AE169),4,"")</f>
        <v/>
      </c>
      <c r="EC169" s="28" t="str">
        <f aca="false">IF(ISNUMBER(AI169),5,"")</f>
        <v/>
      </c>
      <c r="ED169" s="28" t="str">
        <f aca="false">IF(ISNUMBER(AM169),6,"")</f>
        <v/>
      </c>
      <c r="EE169" s="28" t="n">
        <f aca="false">IF(ISNUMBER(AQ169),7,"")</f>
        <v>7</v>
      </c>
      <c r="EF169" s="28" t="str">
        <f aca="false">IF(ISNUMBER(AU169),8,"")</f>
        <v/>
      </c>
      <c r="EG169" s="28" t="str">
        <f aca="false">IF(ISNUMBER(AY169),9,"")</f>
        <v/>
      </c>
      <c r="EH169" s="28" t="str">
        <f aca="false">IF(ISNUMBER(BC169),10,"")</f>
        <v/>
      </c>
      <c r="EI169" s="28" t="str">
        <f aca="false">IF(ISNUMBER(BG169),11,"")</f>
        <v/>
      </c>
      <c r="EJ169" s="28" t="str">
        <f aca="false">IF(ISNUMBER(BK169),12,"")</f>
        <v/>
      </c>
      <c r="EK169" s="28" t="str">
        <f aca="false">IF(ISNUMBER(BO169),13,"")</f>
        <v/>
      </c>
      <c r="EL169" s="28" t="str">
        <f aca="false">IF(ISNUMBER(BS169),14,"")</f>
        <v/>
      </c>
      <c r="EM169" s="28" t="n">
        <f aca="false">IF(ISNUMBER(R169),R169*CW169,0)</f>
        <v>79.1666666666667</v>
      </c>
      <c r="EN169" s="28" t="n">
        <f aca="false">IF(ISNUMBER(V169),V169*CX169,0)</f>
        <v>70</v>
      </c>
      <c r="EO169" s="28" t="n">
        <f aca="false">IF(ISNUMBER(Z169),Z169*CY169,0)</f>
        <v>70</v>
      </c>
      <c r="EP169" s="28" t="n">
        <f aca="false">IF(ISNUMBER(AD169),AD169*CZ169,0)</f>
        <v>0</v>
      </c>
      <c r="EQ169" s="28" t="n">
        <f aca="false">IF(ISNUMBER(AH169),AH169*DA169,0)</f>
        <v>0</v>
      </c>
      <c r="ER169" s="28" t="n">
        <f aca="false">IF(ISNUMBER(AL169),AL169*DB169,0)</f>
        <v>0</v>
      </c>
      <c r="ES169" s="28" t="n">
        <f aca="false">IF(ISNUMBER(AP169),AP169*DC169,0)</f>
        <v>200</v>
      </c>
      <c r="ET169" s="28" t="n">
        <f aca="false">IF(ISNUMBER(AT169),AT169*DD169,0)</f>
        <v>0</v>
      </c>
      <c r="EU169" s="28" t="n">
        <f aca="false">IF(ISNUMBER(AX169),AX169*DE169,0)</f>
        <v>0</v>
      </c>
      <c r="EV169" s="28" t="n">
        <f aca="false">IF(ISNUMBER(BB169),BB169*DF169,0)</f>
        <v>0</v>
      </c>
      <c r="EW169" s="28" t="n">
        <f aca="false">IF(ISNUMBER(BF169),BF169*DG169,0)</f>
        <v>0</v>
      </c>
      <c r="EX169" s="28" t="n">
        <f aca="false">IF(ISNUMBER(BJ169),BJ169*DH169,0)</f>
        <v>0</v>
      </c>
      <c r="EY169" s="28" t="n">
        <f aca="false">IF(ISNUMBER(BN169),BN169*DI169,0)</f>
        <v>0</v>
      </c>
      <c r="EZ169" s="28" t="n">
        <f aca="false">IF(ISNUMBER(BR169),BR169*DJ169,0)</f>
        <v>0</v>
      </c>
      <c r="FA169" s="28" t="n">
        <f aca="false">IF(ISNUMBER(R169),CW169,0)</f>
        <v>1</v>
      </c>
      <c r="FB169" s="28" t="n">
        <f aca="false">IF(ISNUMBER(V169),CX169,0)</f>
        <v>1</v>
      </c>
      <c r="FC169" s="28" t="n">
        <f aca="false">IF(ISNUMBER(Z169),CY169,0)</f>
        <v>1</v>
      </c>
      <c r="FD169" s="28" t="n">
        <f aca="false">IF(ISNUMBER(AD169),CZ169,0)</f>
        <v>0</v>
      </c>
      <c r="FE169" s="28" t="n">
        <f aca="false">IF(ISNUMBER(AH169),DA169,0)</f>
        <v>0</v>
      </c>
      <c r="FF169" s="28" t="n">
        <f aca="false">IF(ISNUMBER(AL169),DB169,0)</f>
        <v>0</v>
      </c>
      <c r="FG169" s="28" t="n">
        <f aca="false">IF(ISNUMBER(AP169),DC169,0)</f>
        <v>2</v>
      </c>
      <c r="FH169" s="28" t="n">
        <f aca="false">IF(ISNUMBER(AT169),DD169,0)</f>
        <v>0</v>
      </c>
      <c r="FI169" s="28" t="n">
        <f aca="false">IF(ISNUMBER(AX169),DE169,0)</f>
        <v>0</v>
      </c>
      <c r="FJ169" s="28" t="n">
        <f aca="false">IF(ISNUMBER(BB169),DF169,0)</f>
        <v>0</v>
      </c>
      <c r="FK169" s="28" t="n">
        <f aca="false">IF(ISNUMBER(BF169),DG169,0)</f>
        <v>0</v>
      </c>
      <c r="FL169" s="28" t="n">
        <f aca="false">IF(ISNUMBER(BJ169),DH169,0)</f>
        <v>0</v>
      </c>
      <c r="FM169" s="28" t="n">
        <f aca="false">IF(ISNUMBER(BN169),DI169,0)</f>
        <v>0</v>
      </c>
      <c r="FN169" s="28" t="n">
        <f aca="false">IF(ISNUMBER(BR169),DJ169,0)</f>
        <v>0</v>
      </c>
      <c r="FO169" s="28" t="str">
        <f aca="false">IFERROR(INDEX(Lists!$G$2:$G$20,MATCH($I169&amp;"|"&amp;$J169,Lists!$F$2:$F$20,0)),"")</f>
        <v>BM Exam</v>
      </c>
    </row>
    <row r="170" customFormat="false" ht="19.5" hidden="false" customHeight="true" outlineLevel="0" collapsed="false">
      <c r="A170" s="29" t="s">
        <v>289</v>
      </c>
      <c r="B170" s="29" t="s">
        <v>290</v>
      </c>
      <c r="C170" s="30" t="s">
        <v>152</v>
      </c>
      <c r="D170" s="30" t="s">
        <v>408</v>
      </c>
      <c r="E170" s="31" t="n">
        <v>5.9</v>
      </c>
      <c r="F170" s="30" t="n">
        <v>6</v>
      </c>
      <c r="G170" s="30"/>
      <c r="H170" s="32" t="s">
        <v>23</v>
      </c>
      <c r="I170" s="33" t="s">
        <v>365</v>
      </c>
      <c r="J170" s="32" t="s">
        <v>223</v>
      </c>
      <c r="K170" s="34" t="n">
        <f aca="false">IF(OR(M170="",$E170=""),"",M170-$E170)</f>
        <v>-0.9</v>
      </c>
      <c r="L170" s="35" t="n">
        <f aca="false">IF(SUM(FA170:FN170)=0,"",SUM(EM170:EZ170)/SUM(FA170:FN170))</f>
        <v>45.3333333333333</v>
      </c>
      <c r="M170" s="36" t="n">
        <f aca="false">IF(OR(L170="",FO170=""),"",IFERROR(MATCH(L170,INDEX(Boundaries!$B$2:$I$30,MATCH(FO170,Boundaries!$A$2:$A$30,0),0),1)-1,""))</f>
        <v>5</v>
      </c>
      <c r="N170" s="37" t="n">
        <f aca="false">IF(COUNT($DY170:$EL170)&lt;2,"",INDEX($DK170:$DX170,MAX($DY170:$EL170))-INDEX($DK170:$DX170,MIN($DY170:$EL170)))</f>
        <v>-1</v>
      </c>
      <c r="O170" s="37" t="n">
        <f aca="false">IF(COUNT($DY170:$EL170)&lt;2,"",INDEX($DK170:$DX170,MAX($DY170:$EL170))-INDEX($DK170:$DX170,LARGE($DY170:$EL170,2)))</f>
        <v>0</v>
      </c>
      <c r="P170" s="38" t="str">
        <f aca="false">IF(K170="","",IF(K170&gt;=0,"On/above target",IF(AND(N170&lt;&gt;"",N170&gt;=0.5),"Improving towards target",IF(AND(O170&lt;&gt;"",O170&lt;=-0.5),"Declining","Stable below target"))))</f>
        <v>Stable below target</v>
      </c>
      <c r="Q170" s="39" t="n">
        <v>12</v>
      </c>
      <c r="R170" s="40" t="n">
        <f aca="false">IF(OR(Q170="",BU170=""),"",Q170/BU170*100)</f>
        <v>50</v>
      </c>
      <c r="S170" s="41" t="n">
        <f aca="false">IF(R170="","",IFERROR(MATCH(R170,INDEX(Boundaries!$B$2:$I$30,MATCH(CI170,Boundaries!$A$2:$A$30,0),0),1)-1,""))</f>
        <v>5</v>
      </c>
      <c r="T170" s="42" t="n">
        <f aca="false">IF(OR(S170="",$E170=""),"",S170-$E170)</f>
        <v>-0.9</v>
      </c>
      <c r="U170" s="39" t="n">
        <v>10</v>
      </c>
      <c r="V170" s="40" t="n">
        <f aca="false">IF(OR(U170="",BV170=""),"",U170/BV170*100)</f>
        <v>50</v>
      </c>
      <c r="W170" s="41" t="n">
        <f aca="false">IF(V170="","",IFERROR(MATCH(V170,INDEX(Boundaries!$B$2:$I$30,MATCH(CJ170,Boundaries!$A$2:$A$30,0),0),1)-1,""))</f>
        <v>5</v>
      </c>
      <c r="X170" s="42" t="n">
        <f aca="false">IF(OR(W170="",$E170=""),"",W170-$E170)</f>
        <v>-0.9</v>
      </c>
      <c r="Y170" s="39" t="n">
        <v>10</v>
      </c>
      <c r="Z170" s="40" t="n">
        <f aca="false">IF(OR(Y170="",BW170=""),"",Y170/BW170*100)</f>
        <v>41.6666666666667</v>
      </c>
      <c r="AA170" s="41" t="n">
        <f aca="false">IF(Z170="","",IFERROR(MATCH(Z170,INDEX(Boundaries!$B$2:$I$30,MATCH(CK170,Boundaries!$A$2:$A$30,0),0),1)-1,""))</f>
        <v>4</v>
      </c>
      <c r="AB170" s="42" t="n">
        <f aca="false">IF(OR(AA170="",$E170=""),"",AA170-$E170)</f>
        <v>-1.9</v>
      </c>
      <c r="AC170" s="39" t="n">
        <v>17</v>
      </c>
      <c r="AD170" s="40" t="n">
        <f aca="false">IF(OR(AC170="",BX170=""),"",AC170/BX170*100)</f>
        <v>42.5</v>
      </c>
      <c r="AE170" s="41" t="n">
        <f aca="false">IF(AD170="","",IFERROR(MATCH(AD170,INDEX(Boundaries!$B$2:$I$30,MATCH(CL170,Boundaries!$A$2:$A$30,0),0),1)-1,""))</f>
        <v>4</v>
      </c>
      <c r="AF170" s="42" t="n">
        <f aca="false">IF(OR(AE170="",$E170=""),"",AE170-$E170)</f>
        <v>-1.9</v>
      </c>
      <c r="AG170" s="39"/>
      <c r="AH170" s="40" t="str">
        <f aca="false">IF(OR(AG170="",BY170=""),"",AG170/BY170*100)</f>
        <v/>
      </c>
      <c r="AI170" s="41" t="str">
        <f aca="false">IF(AH170="","",IFERROR(MATCH(AH170,INDEX(Boundaries!$B$2:$I$30,MATCH(CM170,Boundaries!$A$2:$A$30,0),0),1)-1,""))</f>
        <v/>
      </c>
      <c r="AJ170" s="42" t="str">
        <f aca="false">IF(OR(AI170="",$E170=""),"",AI170-$E170)</f>
        <v/>
      </c>
      <c r="AK170" s="39"/>
      <c r="AL170" s="40" t="str">
        <f aca="false">IF(OR(AK170="",BZ170=""),"",AK170/BZ170*100)</f>
        <v/>
      </c>
      <c r="AM170" s="41" t="str">
        <f aca="false">IF(AL170="","",IFERROR(MATCH(AL170,INDEX(Boundaries!$B$2:$I$30,MATCH(CN170,Boundaries!$A$2:$A$30,0),0),1)-1,""))</f>
        <v/>
      </c>
      <c r="AN170" s="42" t="str">
        <f aca="false">IF(OR(AM170="",$E170=""),"",AM170-$E170)</f>
        <v/>
      </c>
      <c r="AO170" s="39"/>
      <c r="AP170" s="40" t="str">
        <f aca="false">IF(OR(AO170="",CA170=""),"",AO170/CA170*100)</f>
        <v/>
      </c>
      <c r="AQ170" s="41" t="str">
        <f aca="false">IF(AP170="","",IFERROR(MATCH(AP170,INDEX(Boundaries!$B$2:$I$30,MATCH(CO170,Boundaries!$A$2:$A$30,0),0),1)-1,""))</f>
        <v/>
      </c>
      <c r="AR170" s="42" t="str">
        <f aca="false">IF(OR(AQ170="",$E170=""),"",AQ170-$E170)</f>
        <v/>
      </c>
      <c r="AS170" s="39"/>
      <c r="AT170" s="40" t="str">
        <f aca="false">IF(OR(AS170="",CB170=""),"",AS170/CB170*100)</f>
        <v/>
      </c>
      <c r="AU170" s="41" t="str">
        <f aca="false">IF(AT170="","",IFERROR(MATCH(AT170,INDEX(Boundaries!$B$2:$I$30,MATCH(CP170,Boundaries!$A$2:$A$30,0),0),1)-1,""))</f>
        <v/>
      </c>
      <c r="AV170" s="42" t="str">
        <f aca="false">IF(OR(AU170="",$E170=""),"",AU170-$E170)</f>
        <v/>
      </c>
      <c r="AW170" s="39"/>
      <c r="AX170" s="40" t="str">
        <f aca="false">IF(OR(AW170="",CC170=""),"",AW170/CC170*100)</f>
        <v/>
      </c>
      <c r="AY170" s="41" t="str">
        <f aca="false">IF(AX170="","",IFERROR(MATCH(AX170,INDEX(Boundaries!$B$2:$I$30,MATCH(CQ170,Boundaries!$A$2:$A$30,0),0),1)-1,""))</f>
        <v/>
      </c>
      <c r="AZ170" s="42" t="str">
        <f aca="false">IF(OR(AY170="",$E170=""),"",AY170-$E170)</f>
        <v/>
      </c>
      <c r="BA170" s="39"/>
      <c r="BB170" s="40" t="str">
        <f aca="false">IF(OR(BA170="",CD170=""),"",BA170/CD170*100)</f>
        <v/>
      </c>
      <c r="BC170" s="41" t="str">
        <f aca="false">IF(BB170="","",IFERROR(MATCH(BB170,INDEX(Boundaries!$B$2:$I$30,MATCH(CR170,Boundaries!$A$2:$A$30,0),0),1)-1,""))</f>
        <v/>
      </c>
      <c r="BD170" s="42" t="str">
        <f aca="false">IF(OR(BC170="",$E170=""),"",BC170-$E170)</f>
        <v/>
      </c>
      <c r="BE170" s="39"/>
      <c r="BF170" s="40" t="str">
        <f aca="false">IF(OR(BE170="",CE170=""),"",BE170/CE170*100)</f>
        <v/>
      </c>
      <c r="BG170" s="41" t="str">
        <f aca="false">IF(BF170="","",IFERROR(MATCH(BF170,INDEX(Boundaries!$B$2:$I$30,MATCH(CS170,Boundaries!$A$2:$A$30,0),0),1)-1,""))</f>
        <v/>
      </c>
      <c r="BH170" s="42" t="str">
        <f aca="false">IF(OR(BG170="",$E170=""),"",BG170-$E170)</f>
        <v/>
      </c>
      <c r="BI170" s="39"/>
      <c r="BJ170" s="40" t="str">
        <f aca="false">IF(OR(BI170="",CF170=""),"",BI170/CF170*100)</f>
        <v/>
      </c>
      <c r="BK170" s="41" t="str">
        <f aca="false">IF(BJ170="","",IFERROR(MATCH(BJ170,INDEX(Boundaries!$B$2:$I$30,MATCH(CT170,Boundaries!$A$2:$A$30,0),0),1)-1,""))</f>
        <v/>
      </c>
      <c r="BL170" s="42" t="str">
        <f aca="false">IF(OR(BK170="",$E170=""),"",BK170-$E170)</f>
        <v/>
      </c>
      <c r="BM170" s="39"/>
      <c r="BN170" s="40" t="str">
        <f aca="false">IF(OR(BM170="",CG170=""),"",BM170/CG170*100)</f>
        <v/>
      </c>
      <c r="BO170" s="41" t="str">
        <f aca="false">IF(BN170="","",IFERROR(MATCH(BN170,INDEX(Boundaries!$B$2:$I$30,MATCH(CU170,Boundaries!$A$2:$A$30,0),0),1)-1,""))</f>
        <v/>
      </c>
      <c r="BP170" s="42" t="str">
        <f aca="false">IF(OR(BO170="",$E170=""),"",BO170-$E170)</f>
        <v/>
      </c>
      <c r="BQ170" s="39"/>
      <c r="BR170" s="40" t="str">
        <f aca="false">IF(OR(BQ170="",CH170=""),"",BQ170/CH170*100)</f>
        <v/>
      </c>
      <c r="BS170" s="41" t="str">
        <f aca="false">IF(BR170="","",IFERROR(MATCH(BR170,INDEX(Boundaries!$B$2:$I$30,MATCH(CV170,Boundaries!$A$2:$A$30,0),0),1)-1,""))</f>
        <v/>
      </c>
      <c r="BT170" s="42" t="str">
        <f aca="false">IF(OR(BS170="",$E170=""),"",BS170-$E170)</f>
        <v/>
      </c>
      <c r="BU170" s="28" t="n">
        <f aca="false">IFERROR(INDEX(Assessments!$H$2:$H$600,MATCH($H170&amp;"|"&amp;$I170&amp;"|"&amp;$J170&amp;"|"&amp;1,Assessments!$A$2:$A$600,0)),"")</f>
        <v>24</v>
      </c>
      <c r="BV170" s="28" t="n">
        <f aca="false">IFERROR(INDEX(Assessments!$H$2:$H$600,MATCH($H170&amp;"|"&amp;$I170&amp;"|"&amp;$J170&amp;"|"&amp;2,Assessments!$A$2:$A$600,0)),"")</f>
        <v>20</v>
      </c>
      <c r="BW170" s="28" t="n">
        <f aca="false">IFERROR(INDEX(Assessments!$H$2:$H$600,MATCH($H170&amp;"|"&amp;$I170&amp;"|"&amp;$J170&amp;"|"&amp;3,Assessments!$A$2:$A$600,0)),"")</f>
        <v>24</v>
      </c>
      <c r="BX170" s="28" t="n">
        <f aca="false">IFERROR(INDEX(Assessments!$H$2:$H$600,MATCH($H170&amp;"|"&amp;$I170&amp;"|"&amp;$J170&amp;"|"&amp;4,Assessments!$A$2:$A$600,0)),"")</f>
        <v>40</v>
      </c>
      <c r="BY170" s="28" t="n">
        <f aca="false">IFERROR(INDEX(Assessments!$H$2:$H$600,MATCH($H170&amp;"|"&amp;$I170&amp;"|"&amp;$J170&amp;"|"&amp;5,Assessments!$A$2:$A$600,0)),"")</f>
        <v>30</v>
      </c>
      <c r="BZ170" s="28" t="n">
        <f aca="false">IFERROR(INDEX(Assessments!$H$2:$H$600,MATCH($H170&amp;"|"&amp;$I170&amp;"|"&amp;$J170&amp;"|"&amp;6,Assessments!$A$2:$A$600,0)),"")</f>
        <v>20</v>
      </c>
      <c r="CA170" s="28" t="n">
        <f aca="false">IFERROR(INDEX(Assessments!$H$2:$H$600,MATCH($H170&amp;"|"&amp;$I170&amp;"|"&amp;$J170&amp;"|"&amp;7,Assessments!$A$2:$A$600,0)),"")</f>
        <v>40</v>
      </c>
      <c r="CB170" s="28" t="str">
        <f aca="false">IFERROR(INDEX(Assessments!$H$2:$H$600,MATCH($H170&amp;"|"&amp;$I170&amp;"|"&amp;$J170&amp;"|"&amp;8,Assessments!$A$2:$A$600,0)),"")</f>
        <v/>
      </c>
      <c r="CC170" s="28" t="str">
        <f aca="false">IFERROR(INDEX(Assessments!$H$2:$H$600,MATCH($H170&amp;"|"&amp;$I170&amp;"|"&amp;$J170&amp;"|"&amp;9,Assessments!$A$2:$A$600,0)),"")</f>
        <v/>
      </c>
      <c r="CD170" s="28" t="str">
        <f aca="false">IFERROR(INDEX(Assessments!$H$2:$H$600,MATCH($H170&amp;"|"&amp;$I170&amp;"|"&amp;$J170&amp;"|"&amp;10,Assessments!$A$2:$A$600,0)),"")</f>
        <v/>
      </c>
      <c r="CE170" s="28" t="str">
        <f aca="false">IFERROR(INDEX(Assessments!$H$2:$H$600,MATCH($H170&amp;"|"&amp;$I170&amp;"|"&amp;$J170&amp;"|"&amp;11,Assessments!$A$2:$A$600,0)),"")</f>
        <v/>
      </c>
      <c r="CF170" s="28" t="str">
        <f aca="false">IFERROR(INDEX(Assessments!$H$2:$H$600,MATCH($H170&amp;"|"&amp;$I170&amp;"|"&amp;$J170&amp;"|"&amp;12,Assessments!$A$2:$A$600,0)),"")</f>
        <v/>
      </c>
      <c r="CG170" s="28" t="str">
        <f aca="false">IFERROR(INDEX(Assessments!$H$2:$H$600,MATCH($H170&amp;"|"&amp;$I170&amp;"|"&amp;$J170&amp;"|"&amp;13,Assessments!$A$2:$A$600,0)),"")</f>
        <v/>
      </c>
      <c r="CH170" s="28" t="str">
        <f aca="false">IFERROR(INDEX(Assessments!$H$2:$H$600,MATCH($H170&amp;"|"&amp;$I170&amp;"|"&amp;$J170&amp;"|"&amp;14,Assessments!$A$2:$A$600,0)),"")</f>
        <v/>
      </c>
      <c r="CI170" s="28" t="str">
        <f aca="false">IFERROR(INDEX(Assessments!$I$2:$I$600,MATCH($H170&amp;"|"&amp;$I170&amp;"|"&amp;$J170&amp;"|"&amp;1,Assessments!$A$2:$A$600,0)),"")</f>
        <v>BM Test</v>
      </c>
      <c r="CJ170" s="28" t="str">
        <f aca="false">IFERROR(INDEX(Assessments!$I$2:$I$600,MATCH($H170&amp;"|"&amp;$I170&amp;"|"&amp;$J170&amp;"|"&amp;2,Assessments!$A$2:$A$600,0)),"")</f>
        <v>BM Test</v>
      </c>
      <c r="CK170" s="28" t="str">
        <f aca="false">IFERROR(INDEX(Assessments!$I$2:$I$600,MATCH($H170&amp;"|"&amp;$I170&amp;"|"&amp;$J170&amp;"|"&amp;3,Assessments!$A$2:$A$600,0)),"")</f>
        <v>BM Test</v>
      </c>
      <c r="CL170" s="28" t="str">
        <f aca="false">IFERROR(INDEX(Assessments!$I$2:$I$600,MATCH($H170&amp;"|"&amp;$I170&amp;"|"&amp;$J170&amp;"|"&amp;4,Assessments!$A$2:$A$600,0)),"")</f>
        <v>BM Exam</v>
      </c>
      <c r="CM170" s="28" t="str">
        <f aca="false">IFERROR(INDEX(Assessments!$I$2:$I$600,MATCH($H170&amp;"|"&amp;$I170&amp;"|"&amp;$J170&amp;"|"&amp;5,Assessments!$A$2:$A$600,0)),"")</f>
        <v>BM Test</v>
      </c>
      <c r="CN170" s="28" t="str">
        <f aca="false">IFERROR(INDEX(Assessments!$I$2:$I$600,MATCH($H170&amp;"|"&amp;$I170&amp;"|"&amp;$J170&amp;"|"&amp;6,Assessments!$A$2:$A$600,0)),"")</f>
        <v>BM Test</v>
      </c>
      <c r="CO170" s="28" t="str">
        <f aca="false">IFERROR(INDEX(Assessments!$I$2:$I$600,MATCH($H170&amp;"|"&amp;$I170&amp;"|"&amp;$J170&amp;"|"&amp;7,Assessments!$A$2:$A$600,0)),"")</f>
        <v>BM Exam</v>
      </c>
      <c r="CP170" s="28" t="str">
        <f aca="false">IFERROR(INDEX(Assessments!$I$2:$I$600,MATCH($H170&amp;"|"&amp;$I170&amp;"|"&amp;$J170&amp;"|"&amp;8,Assessments!$A$2:$A$600,0)),"")</f>
        <v/>
      </c>
      <c r="CQ170" s="28" t="str">
        <f aca="false">IFERROR(INDEX(Assessments!$I$2:$I$600,MATCH($H170&amp;"|"&amp;$I170&amp;"|"&amp;$J170&amp;"|"&amp;9,Assessments!$A$2:$A$600,0)),"")</f>
        <v/>
      </c>
      <c r="CR170" s="28" t="str">
        <f aca="false">IFERROR(INDEX(Assessments!$I$2:$I$600,MATCH($H170&amp;"|"&amp;$I170&amp;"|"&amp;$J170&amp;"|"&amp;10,Assessments!$A$2:$A$600,0)),"")</f>
        <v/>
      </c>
      <c r="CS170" s="28" t="str">
        <f aca="false">IFERROR(INDEX(Assessments!$I$2:$I$600,MATCH($H170&amp;"|"&amp;$I170&amp;"|"&amp;$J170&amp;"|"&amp;11,Assessments!$A$2:$A$600,0)),"")</f>
        <v/>
      </c>
      <c r="CT170" s="28" t="str">
        <f aca="false">IFERROR(INDEX(Assessments!$I$2:$I$600,MATCH($H170&amp;"|"&amp;$I170&amp;"|"&amp;$J170&amp;"|"&amp;12,Assessments!$A$2:$A$600,0)),"")</f>
        <v/>
      </c>
      <c r="CU170" s="28" t="str">
        <f aca="false">IFERROR(INDEX(Assessments!$I$2:$I$600,MATCH($H170&amp;"|"&amp;$I170&amp;"|"&amp;$J170&amp;"|"&amp;13,Assessments!$A$2:$A$600,0)),"")</f>
        <v/>
      </c>
      <c r="CV170" s="28" t="str">
        <f aca="false">IFERROR(INDEX(Assessments!$I$2:$I$600,MATCH($H170&amp;"|"&amp;$I170&amp;"|"&amp;$J170&amp;"|"&amp;14,Assessments!$A$2:$A$600,0)),"")</f>
        <v/>
      </c>
      <c r="CW170" s="28" t="n">
        <f aca="false">IFERROR(INDEX(Assessments!$J$2:$J$600,MATCH($H170&amp;"|"&amp;$I170&amp;"|"&amp;$J170&amp;"|"&amp;1,Assessments!$A$2:$A$600,0)),0)</f>
        <v>1</v>
      </c>
      <c r="CX170" s="28" t="n">
        <f aca="false">IFERROR(INDEX(Assessments!$J$2:$J$600,MATCH($H170&amp;"|"&amp;$I170&amp;"|"&amp;$J170&amp;"|"&amp;2,Assessments!$A$2:$A$600,0)),0)</f>
        <v>1</v>
      </c>
      <c r="CY170" s="28" t="n">
        <f aca="false">IFERROR(INDEX(Assessments!$J$2:$J$600,MATCH($H170&amp;"|"&amp;$I170&amp;"|"&amp;$J170&amp;"|"&amp;3,Assessments!$A$2:$A$600,0)),0)</f>
        <v>1</v>
      </c>
      <c r="CZ170" s="28" t="n">
        <f aca="false">IFERROR(INDEX(Assessments!$J$2:$J$600,MATCH($H170&amp;"|"&amp;$I170&amp;"|"&amp;$J170&amp;"|"&amp;4,Assessments!$A$2:$A$600,0)),0)</f>
        <v>2</v>
      </c>
      <c r="DA170" s="28" t="n">
        <f aca="false">IFERROR(INDEX(Assessments!$J$2:$J$600,MATCH($H170&amp;"|"&amp;$I170&amp;"|"&amp;$J170&amp;"|"&amp;5,Assessments!$A$2:$A$600,0)),0)</f>
        <v>1</v>
      </c>
      <c r="DB170" s="28" t="n">
        <f aca="false">IFERROR(INDEX(Assessments!$J$2:$J$600,MATCH($H170&amp;"|"&amp;$I170&amp;"|"&amp;$J170&amp;"|"&amp;6,Assessments!$A$2:$A$600,0)),0)</f>
        <v>1</v>
      </c>
      <c r="DC170" s="28" t="n">
        <f aca="false">IFERROR(INDEX(Assessments!$J$2:$J$600,MATCH($H170&amp;"|"&amp;$I170&amp;"|"&amp;$J170&amp;"|"&amp;7,Assessments!$A$2:$A$600,0)),0)</f>
        <v>2</v>
      </c>
      <c r="DD170" s="28" t="n">
        <f aca="false">IFERROR(INDEX(Assessments!$J$2:$J$600,MATCH($H170&amp;"|"&amp;$I170&amp;"|"&amp;$J170&amp;"|"&amp;8,Assessments!$A$2:$A$600,0)),0)</f>
        <v>0</v>
      </c>
      <c r="DE170" s="28" t="n">
        <f aca="false">IFERROR(INDEX(Assessments!$J$2:$J$600,MATCH($H170&amp;"|"&amp;$I170&amp;"|"&amp;$J170&amp;"|"&amp;9,Assessments!$A$2:$A$600,0)),0)</f>
        <v>0</v>
      </c>
      <c r="DF170" s="28" t="n">
        <f aca="false">IFERROR(INDEX(Assessments!$J$2:$J$600,MATCH($H170&amp;"|"&amp;$I170&amp;"|"&amp;$J170&amp;"|"&amp;10,Assessments!$A$2:$A$600,0)),0)</f>
        <v>0</v>
      </c>
      <c r="DG170" s="28" t="n">
        <f aca="false">IFERROR(INDEX(Assessments!$J$2:$J$600,MATCH($H170&amp;"|"&amp;$I170&amp;"|"&amp;$J170&amp;"|"&amp;11,Assessments!$A$2:$A$600,0)),0)</f>
        <v>0</v>
      </c>
      <c r="DH170" s="28" t="n">
        <f aca="false">IFERROR(INDEX(Assessments!$J$2:$J$600,MATCH($H170&amp;"|"&amp;$I170&amp;"|"&amp;$J170&amp;"|"&amp;12,Assessments!$A$2:$A$600,0)),0)</f>
        <v>0</v>
      </c>
      <c r="DI170" s="28" t="n">
        <f aca="false">IFERROR(INDEX(Assessments!$J$2:$J$600,MATCH($H170&amp;"|"&amp;$I170&amp;"|"&amp;$J170&amp;"|"&amp;13,Assessments!$A$2:$A$600,0)),0)</f>
        <v>0</v>
      </c>
      <c r="DJ170" s="28" t="n">
        <f aca="false">IFERROR(INDEX(Assessments!$J$2:$J$600,MATCH($H170&amp;"|"&amp;$I170&amp;"|"&amp;$J170&amp;"|"&amp;14,Assessments!$A$2:$A$600,0)),0)</f>
        <v>0</v>
      </c>
      <c r="DK170" s="28" t="n">
        <f aca="false">S170</f>
        <v>5</v>
      </c>
      <c r="DL170" s="28" t="n">
        <f aca="false">W170</f>
        <v>5</v>
      </c>
      <c r="DM170" s="28" t="n">
        <f aca="false">AA170</f>
        <v>4</v>
      </c>
      <c r="DN170" s="28" t="n">
        <f aca="false">AE170</f>
        <v>4</v>
      </c>
      <c r="DO170" s="28" t="str">
        <f aca="false">AI170</f>
        <v/>
      </c>
      <c r="DP170" s="28" t="str">
        <f aca="false">AM170</f>
        <v/>
      </c>
      <c r="DQ170" s="28" t="str">
        <f aca="false">AQ170</f>
        <v/>
      </c>
      <c r="DR170" s="28" t="str">
        <f aca="false">AU170</f>
        <v/>
      </c>
      <c r="DS170" s="28" t="str">
        <f aca="false">AY170</f>
        <v/>
      </c>
      <c r="DT170" s="28" t="str">
        <f aca="false">BC170</f>
        <v/>
      </c>
      <c r="DU170" s="28" t="str">
        <f aca="false">BG170</f>
        <v/>
      </c>
      <c r="DV170" s="28" t="str">
        <f aca="false">BK170</f>
        <v/>
      </c>
      <c r="DW170" s="28" t="str">
        <f aca="false">BO170</f>
        <v/>
      </c>
      <c r="DX170" s="28" t="str">
        <f aca="false">BS170</f>
        <v/>
      </c>
      <c r="DY170" s="28" t="n">
        <f aca="false">IF(ISNUMBER(S170),1,"")</f>
        <v>1</v>
      </c>
      <c r="DZ170" s="28" t="n">
        <f aca="false">IF(ISNUMBER(W170),2,"")</f>
        <v>2</v>
      </c>
      <c r="EA170" s="28" t="n">
        <f aca="false">IF(ISNUMBER(AA170),3,"")</f>
        <v>3</v>
      </c>
      <c r="EB170" s="28" t="n">
        <f aca="false">IF(ISNUMBER(AE170),4,"")</f>
        <v>4</v>
      </c>
      <c r="EC170" s="28" t="str">
        <f aca="false">IF(ISNUMBER(AI170),5,"")</f>
        <v/>
      </c>
      <c r="ED170" s="28" t="str">
        <f aca="false">IF(ISNUMBER(AM170),6,"")</f>
        <v/>
      </c>
      <c r="EE170" s="28" t="str">
        <f aca="false">IF(ISNUMBER(AQ170),7,"")</f>
        <v/>
      </c>
      <c r="EF170" s="28" t="str">
        <f aca="false">IF(ISNUMBER(AU170),8,"")</f>
        <v/>
      </c>
      <c r="EG170" s="28" t="str">
        <f aca="false">IF(ISNUMBER(AY170),9,"")</f>
        <v/>
      </c>
      <c r="EH170" s="28" t="str">
        <f aca="false">IF(ISNUMBER(BC170),10,"")</f>
        <v/>
      </c>
      <c r="EI170" s="28" t="str">
        <f aca="false">IF(ISNUMBER(BG170),11,"")</f>
        <v/>
      </c>
      <c r="EJ170" s="28" t="str">
        <f aca="false">IF(ISNUMBER(BK170),12,"")</f>
        <v/>
      </c>
      <c r="EK170" s="28" t="str">
        <f aca="false">IF(ISNUMBER(BO170),13,"")</f>
        <v/>
      </c>
      <c r="EL170" s="28" t="str">
        <f aca="false">IF(ISNUMBER(BS170),14,"")</f>
        <v/>
      </c>
      <c r="EM170" s="28" t="n">
        <f aca="false">IF(ISNUMBER(R170),R170*CW170,0)</f>
        <v>50</v>
      </c>
      <c r="EN170" s="28" t="n">
        <f aca="false">IF(ISNUMBER(V170),V170*CX170,0)</f>
        <v>50</v>
      </c>
      <c r="EO170" s="28" t="n">
        <f aca="false">IF(ISNUMBER(Z170),Z170*CY170,0)</f>
        <v>41.6666666666667</v>
      </c>
      <c r="EP170" s="28" t="n">
        <f aca="false">IF(ISNUMBER(AD170),AD170*CZ170,0)</f>
        <v>85</v>
      </c>
      <c r="EQ170" s="28" t="n">
        <f aca="false">IF(ISNUMBER(AH170),AH170*DA170,0)</f>
        <v>0</v>
      </c>
      <c r="ER170" s="28" t="n">
        <f aca="false">IF(ISNUMBER(AL170),AL170*DB170,0)</f>
        <v>0</v>
      </c>
      <c r="ES170" s="28" t="n">
        <f aca="false">IF(ISNUMBER(AP170),AP170*DC170,0)</f>
        <v>0</v>
      </c>
      <c r="ET170" s="28" t="n">
        <f aca="false">IF(ISNUMBER(AT170),AT170*DD170,0)</f>
        <v>0</v>
      </c>
      <c r="EU170" s="28" t="n">
        <f aca="false">IF(ISNUMBER(AX170),AX170*DE170,0)</f>
        <v>0</v>
      </c>
      <c r="EV170" s="28" t="n">
        <f aca="false">IF(ISNUMBER(BB170),BB170*DF170,0)</f>
        <v>0</v>
      </c>
      <c r="EW170" s="28" t="n">
        <f aca="false">IF(ISNUMBER(BF170),BF170*DG170,0)</f>
        <v>0</v>
      </c>
      <c r="EX170" s="28" t="n">
        <f aca="false">IF(ISNUMBER(BJ170),BJ170*DH170,0)</f>
        <v>0</v>
      </c>
      <c r="EY170" s="28" t="n">
        <f aca="false">IF(ISNUMBER(BN170),BN170*DI170,0)</f>
        <v>0</v>
      </c>
      <c r="EZ170" s="28" t="n">
        <f aca="false">IF(ISNUMBER(BR170),BR170*DJ170,0)</f>
        <v>0</v>
      </c>
      <c r="FA170" s="28" t="n">
        <f aca="false">IF(ISNUMBER(R170),CW170,0)</f>
        <v>1</v>
      </c>
      <c r="FB170" s="28" t="n">
        <f aca="false">IF(ISNUMBER(V170),CX170,0)</f>
        <v>1</v>
      </c>
      <c r="FC170" s="28" t="n">
        <f aca="false">IF(ISNUMBER(Z170),CY170,0)</f>
        <v>1</v>
      </c>
      <c r="FD170" s="28" t="n">
        <f aca="false">IF(ISNUMBER(AD170),CZ170,0)</f>
        <v>2</v>
      </c>
      <c r="FE170" s="28" t="n">
        <f aca="false">IF(ISNUMBER(AH170),DA170,0)</f>
        <v>0</v>
      </c>
      <c r="FF170" s="28" t="n">
        <f aca="false">IF(ISNUMBER(AL170),DB170,0)</f>
        <v>0</v>
      </c>
      <c r="FG170" s="28" t="n">
        <f aca="false">IF(ISNUMBER(AP170),DC170,0)</f>
        <v>0</v>
      </c>
      <c r="FH170" s="28" t="n">
        <f aca="false">IF(ISNUMBER(AT170),DD170,0)</f>
        <v>0</v>
      </c>
      <c r="FI170" s="28" t="n">
        <f aca="false">IF(ISNUMBER(AX170),DE170,0)</f>
        <v>0</v>
      </c>
      <c r="FJ170" s="28" t="n">
        <f aca="false">IF(ISNUMBER(BB170),DF170,0)</f>
        <v>0</v>
      </c>
      <c r="FK170" s="28" t="n">
        <f aca="false">IF(ISNUMBER(BF170),DG170,0)</f>
        <v>0</v>
      </c>
      <c r="FL170" s="28" t="n">
        <f aca="false">IF(ISNUMBER(BJ170),DH170,0)</f>
        <v>0</v>
      </c>
      <c r="FM170" s="28" t="n">
        <f aca="false">IF(ISNUMBER(BN170),DI170,0)</f>
        <v>0</v>
      </c>
      <c r="FN170" s="28" t="n">
        <f aca="false">IF(ISNUMBER(BR170),DJ170,0)</f>
        <v>0</v>
      </c>
      <c r="FO170" s="28" t="str">
        <f aca="false">IFERROR(INDEX(Lists!$G$2:$G$20,MATCH($I170&amp;"|"&amp;$J170,Lists!$F$2:$F$20,0)),"")</f>
        <v>BM Exam</v>
      </c>
    </row>
    <row r="171" customFormat="false" ht="19.5" hidden="false" customHeight="true" outlineLevel="0" collapsed="false">
      <c r="A171" s="29" t="s">
        <v>409</v>
      </c>
      <c r="B171" s="29" t="s">
        <v>410</v>
      </c>
      <c r="C171" s="30" t="s">
        <v>152</v>
      </c>
      <c r="D171" s="30" t="s">
        <v>408</v>
      </c>
      <c r="E171" s="31" t="n">
        <v>6.1</v>
      </c>
      <c r="F171" s="30" t="n">
        <v>6</v>
      </c>
      <c r="G171" s="30"/>
      <c r="H171" s="32" t="s">
        <v>23</v>
      </c>
      <c r="I171" s="33" t="s">
        <v>365</v>
      </c>
      <c r="J171" s="32" t="s">
        <v>223</v>
      </c>
      <c r="K171" s="34" t="n">
        <f aca="false">IF(OR(M171="",$E171=""),"",M171-$E171)</f>
        <v>-1.1</v>
      </c>
      <c r="L171" s="35" t="n">
        <f aca="false">IF(SUM(FA171:FN171)=0,"",SUM(EM171:EZ171)/SUM(FA171:FN171))</f>
        <v>59.3333333333333</v>
      </c>
      <c r="M171" s="36" t="n">
        <f aca="false">IF(OR(L171="",FO171=""),"",IFERROR(MATCH(L171,INDEX(Boundaries!$B$2:$I$30,MATCH(FO171,Boundaries!$A$2:$A$30,0),0),1)-1,""))</f>
        <v>5</v>
      </c>
      <c r="N171" s="37" t="n">
        <f aca="false">IF(COUNT($DY171:$EL171)&lt;2,"",INDEX($DK171:$DX171,MAX($DY171:$EL171))-INDEX($DK171:$DX171,MIN($DY171:$EL171)))</f>
        <v>1</v>
      </c>
      <c r="O171" s="37" t="n">
        <f aca="false">IF(COUNT($DY171:$EL171)&lt;2,"",INDEX($DK171:$DX171,MAX($DY171:$EL171))-INDEX($DK171:$DX171,LARGE($DY171:$EL171,2)))</f>
        <v>5</v>
      </c>
      <c r="P171" s="38" t="str">
        <f aca="false">IF(K171="","",IF(K171&gt;=0,"On/above target",IF(AND(N171&lt;&gt;"",N171&gt;=0.5),"Improving towards target",IF(AND(O171&lt;&gt;"",O171&lt;=-0.5),"Declining","Stable below target"))))</f>
        <v>Improving towards target</v>
      </c>
      <c r="Q171" s="39" t="n">
        <v>16</v>
      </c>
      <c r="R171" s="40" t="n">
        <f aca="false">IF(OR(Q171="",BU171=""),"",Q171/BU171*100)</f>
        <v>66.6666666666667</v>
      </c>
      <c r="S171" s="41" t="n">
        <f aca="false">IF(R171="","",IFERROR(MATCH(R171,INDEX(Boundaries!$B$2:$I$30,MATCH(CI171,Boundaries!$A$2:$A$30,0),0),1)-1,""))</f>
        <v>6</v>
      </c>
      <c r="T171" s="42" t="n">
        <f aca="false">IF(OR(S171="",$E171=""),"",S171-$E171)</f>
        <v>-0.0999999999999996</v>
      </c>
      <c r="U171" s="39" t="n">
        <v>10</v>
      </c>
      <c r="V171" s="40" t="n">
        <f aca="false">IF(OR(U171="",BV171=""),"",U171/BV171*100)</f>
        <v>50</v>
      </c>
      <c r="W171" s="41" t="n">
        <f aca="false">IF(V171="","",IFERROR(MATCH(V171,INDEX(Boundaries!$B$2:$I$30,MATCH(CJ171,Boundaries!$A$2:$A$30,0),0),1)-1,""))</f>
        <v>5</v>
      </c>
      <c r="X171" s="42" t="n">
        <f aca="false">IF(OR(W171="",$E171=""),"",W171-$E171)</f>
        <v>-1.1</v>
      </c>
      <c r="Y171" s="39" t="n">
        <v>6</v>
      </c>
      <c r="Z171" s="40" t="n">
        <f aca="false">IF(OR(Y171="",BW171=""),"",Y171/BW171*100)</f>
        <v>25</v>
      </c>
      <c r="AA171" s="41" t="n">
        <f aca="false">IF(Z171="","",IFERROR(MATCH(Z171,INDEX(Boundaries!$B$2:$I$30,MATCH(CK171,Boundaries!$A$2:$A$30,0),0),1)-1,""))</f>
        <v>2</v>
      </c>
      <c r="AB171" s="42" t="n">
        <f aca="false">IF(OR(AA171="",$E171=""),"",AA171-$E171)</f>
        <v>-4.1</v>
      </c>
      <c r="AC171" s="39" t="n">
        <v>31</v>
      </c>
      <c r="AD171" s="40" t="n">
        <f aca="false">IF(OR(AC171="",BX171=""),"",AC171/BX171*100)</f>
        <v>77.5</v>
      </c>
      <c r="AE171" s="41" t="n">
        <f aca="false">IF(AD171="","",IFERROR(MATCH(AD171,INDEX(Boundaries!$B$2:$I$30,MATCH(CL171,Boundaries!$A$2:$A$30,0),0),1)-1,""))</f>
        <v>7</v>
      </c>
      <c r="AF171" s="42" t="n">
        <f aca="false">IF(OR(AE171="",$E171=""),"",AE171-$E171)</f>
        <v>0.9</v>
      </c>
      <c r="AG171" s="39"/>
      <c r="AH171" s="40" t="str">
        <f aca="false">IF(OR(AG171="",BY171=""),"",AG171/BY171*100)</f>
        <v/>
      </c>
      <c r="AI171" s="41" t="str">
        <f aca="false">IF(AH171="","",IFERROR(MATCH(AH171,INDEX(Boundaries!$B$2:$I$30,MATCH(CM171,Boundaries!$A$2:$A$30,0),0),1)-1,""))</f>
        <v/>
      </c>
      <c r="AJ171" s="42" t="str">
        <f aca="false">IF(OR(AI171="",$E171=""),"",AI171-$E171)</f>
        <v/>
      </c>
      <c r="AK171" s="39"/>
      <c r="AL171" s="40" t="str">
        <f aca="false">IF(OR(AK171="",BZ171=""),"",AK171/BZ171*100)</f>
        <v/>
      </c>
      <c r="AM171" s="41" t="str">
        <f aca="false">IF(AL171="","",IFERROR(MATCH(AL171,INDEX(Boundaries!$B$2:$I$30,MATCH(CN171,Boundaries!$A$2:$A$30,0),0),1)-1,""))</f>
        <v/>
      </c>
      <c r="AN171" s="42" t="str">
        <f aca="false">IF(OR(AM171="",$E171=""),"",AM171-$E171)</f>
        <v/>
      </c>
      <c r="AO171" s="39"/>
      <c r="AP171" s="40" t="str">
        <f aca="false">IF(OR(AO171="",CA171=""),"",AO171/CA171*100)</f>
        <v/>
      </c>
      <c r="AQ171" s="41" t="str">
        <f aca="false">IF(AP171="","",IFERROR(MATCH(AP171,INDEX(Boundaries!$B$2:$I$30,MATCH(CO171,Boundaries!$A$2:$A$30,0),0),1)-1,""))</f>
        <v/>
      </c>
      <c r="AR171" s="42" t="str">
        <f aca="false">IF(OR(AQ171="",$E171=""),"",AQ171-$E171)</f>
        <v/>
      </c>
      <c r="AS171" s="39"/>
      <c r="AT171" s="40" t="str">
        <f aca="false">IF(OR(AS171="",CB171=""),"",AS171/CB171*100)</f>
        <v/>
      </c>
      <c r="AU171" s="41" t="str">
        <f aca="false">IF(AT171="","",IFERROR(MATCH(AT171,INDEX(Boundaries!$B$2:$I$30,MATCH(CP171,Boundaries!$A$2:$A$30,0),0),1)-1,""))</f>
        <v/>
      </c>
      <c r="AV171" s="42" t="str">
        <f aca="false">IF(OR(AU171="",$E171=""),"",AU171-$E171)</f>
        <v/>
      </c>
      <c r="AW171" s="39"/>
      <c r="AX171" s="40" t="str">
        <f aca="false">IF(OR(AW171="",CC171=""),"",AW171/CC171*100)</f>
        <v/>
      </c>
      <c r="AY171" s="41" t="str">
        <f aca="false">IF(AX171="","",IFERROR(MATCH(AX171,INDEX(Boundaries!$B$2:$I$30,MATCH(CQ171,Boundaries!$A$2:$A$30,0),0),1)-1,""))</f>
        <v/>
      </c>
      <c r="AZ171" s="42" t="str">
        <f aca="false">IF(OR(AY171="",$E171=""),"",AY171-$E171)</f>
        <v/>
      </c>
      <c r="BA171" s="39"/>
      <c r="BB171" s="40" t="str">
        <f aca="false">IF(OR(BA171="",CD171=""),"",BA171/CD171*100)</f>
        <v/>
      </c>
      <c r="BC171" s="41" t="str">
        <f aca="false">IF(BB171="","",IFERROR(MATCH(BB171,INDEX(Boundaries!$B$2:$I$30,MATCH(CR171,Boundaries!$A$2:$A$30,0),0),1)-1,""))</f>
        <v/>
      </c>
      <c r="BD171" s="42" t="str">
        <f aca="false">IF(OR(BC171="",$E171=""),"",BC171-$E171)</f>
        <v/>
      </c>
      <c r="BE171" s="39"/>
      <c r="BF171" s="40" t="str">
        <f aca="false">IF(OR(BE171="",CE171=""),"",BE171/CE171*100)</f>
        <v/>
      </c>
      <c r="BG171" s="41" t="str">
        <f aca="false">IF(BF171="","",IFERROR(MATCH(BF171,INDEX(Boundaries!$B$2:$I$30,MATCH(CS171,Boundaries!$A$2:$A$30,0),0),1)-1,""))</f>
        <v/>
      </c>
      <c r="BH171" s="42" t="str">
        <f aca="false">IF(OR(BG171="",$E171=""),"",BG171-$E171)</f>
        <v/>
      </c>
      <c r="BI171" s="39"/>
      <c r="BJ171" s="40" t="str">
        <f aca="false">IF(OR(BI171="",CF171=""),"",BI171/CF171*100)</f>
        <v/>
      </c>
      <c r="BK171" s="41" t="str">
        <f aca="false">IF(BJ171="","",IFERROR(MATCH(BJ171,INDEX(Boundaries!$B$2:$I$30,MATCH(CT171,Boundaries!$A$2:$A$30,0),0),1)-1,""))</f>
        <v/>
      </c>
      <c r="BL171" s="42" t="str">
        <f aca="false">IF(OR(BK171="",$E171=""),"",BK171-$E171)</f>
        <v/>
      </c>
      <c r="BM171" s="39"/>
      <c r="BN171" s="40" t="str">
        <f aca="false">IF(OR(BM171="",CG171=""),"",BM171/CG171*100)</f>
        <v/>
      </c>
      <c r="BO171" s="41" t="str">
        <f aca="false">IF(BN171="","",IFERROR(MATCH(BN171,INDEX(Boundaries!$B$2:$I$30,MATCH(CU171,Boundaries!$A$2:$A$30,0),0),1)-1,""))</f>
        <v/>
      </c>
      <c r="BP171" s="42" t="str">
        <f aca="false">IF(OR(BO171="",$E171=""),"",BO171-$E171)</f>
        <v/>
      </c>
      <c r="BQ171" s="39"/>
      <c r="BR171" s="40" t="str">
        <f aca="false">IF(OR(BQ171="",CH171=""),"",BQ171/CH171*100)</f>
        <v/>
      </c>
      <c r="BS171" s="41" t="str">
        <f aca="false">IF(BR171="","",IFERROR(MATCH(BR171,INDEX(Boundaries!$B$2:$I$30,MATCH(CV171,Boundaries!$A$2:$A$30,0),0),1)-1,""))</f>
        <v/>
      </c>
      <c r="BT171" s="42" t="str">
        <f aca="false">IF(OR(BS171="",$E171=""),"",BS171-$E171)</f>
        <v/>
      </c>
      <c r="BU171" s="28" t="n">
        <f aca="false">IFERROR(INDEX(Assessments!$H$2:$H$600,MATCH($H171&amp;"|"&amp;$I171&amp;"|"&amp;$J171&amp;"|"&amp;1,Assessments!$A$2:$A$600,0)),"")</f>
        <v>24</v>
      </c>
      <c r="BV171" s="28" t="n">
        <f aca="false">IFERROR(INDEX(Assessments!$H$2:$H$600,MATCH($H171&amp;"|"&amp;$I171&amp;"|"&amp;$J171&amp;"|"&amp;2,Assessments!$A$2:$A$600,0)),"")</f>
        <v>20</v>
      </c>
      <c r="BW171" s="28" t="n">
        <f aca="false">IFERROR(INDEX(Assessments!$H$2:$H$600,MATCH($H171&amp;"|"&amp;$I171&amp;"|"&amp;$J171&amp;"|"&amp;3,Assessments!$A$2:$A$600,0)),"")</f>
        <v>24</v>
      </c>
      <c r="BX171" s="28" t="n">
        <f aca="false">IFERROR(INDEX(Assessments!$H$2:$H$600,MATCH($H171&amp;"|"&amp;$I171&amp;"|"&amp;$J171&amp;"|"&amp;4,Assessments!$A$2:$A$600,0)),"")</f>
        <v>40</v>
      </c>
      <c r="BY171" s="28" t="n">
        <f aca="false">IFERROR(INDEX(Assessments!$H$2:$H$600,MATCH($H171&amp;"|"&amp;$I171&amp;"|"&amp;$J171&amp;"|"&amp;5,Assessments!$A$2:$A$600,0)),"")</f>
        <v>30</v>
      </c>
      <c r="BZ171" s="28" t="n">
        <f aca="false">IFERROR(INDEX(Assessments!$H$2:$H$600,MATCH($H171&amp;"|"&amp;$I171&amp;"|"&amp;$J171&amp;"|"&amp;6,Assessments!$A$2:$A$600,0)),"")</f>
        <v>20</v>
      </c>
      <c r="CA171" s="28" t="n">
        <f aca="false">IFERROR(INDEX(Assessments!$H$2:$H$600,MATCH($H171&amp;"|"&amp;$I171&amp;"|"&amp;$J171&amp;"|"&amp;7,Assessments!$A$2:$A$600,0)),"")</f>
        <v>40</v>
      </c>
      <c r="CB171" s="28" t="str">
        <f aca="false">IFERROR(INDEX(Assessments!$H$2:$H$600,MATCH($H171&amp;"|"&amp;$I171&amp;"|"&amp;$J171&amp;"|"&amp;8,Assessments!$A$2:$A$600,0)),"")</f>
        <v/>
      </c>
      <c r="CC171" s="28" t="str">
        <f aca="false">IFERROR(INDEX(Assessments!$H$2:$H$600,MATCH($H171&amp;"|"&amp;$I171&amp;"|"&amp;$J171&amp;"|"&amp;9,Assessments!$A$2:$A$600,0)),"")</f>
        <v/>
      </c>
      <c r="CD171" s="28" t="str">
        <f aca="false">IFERROR(INDEX(Assessments!$H$2:$H$600,MATCH($H171&amp;"|"&amp;$I171&amp;"|"&amp;$J171&amp;"|"&amp;10,Assessments!$A$2:$A$600,0)),"")</f>
        <v/>
      </c>
      <c r="CE171" s="28" t="str">
        <f aca="false">IFERROR(INDEX(Assessments!$H$2:$H$600,MATCH($H171&amp;"|"&amp;$I171&amp;"|"&amp;$J171&amp;"|"&amp;11,Assessments!$A$2:$A$600,0)),"")</f>
        <v/>
      </c>
      <c r="CF171" s="28" t="str">
        <f aca="false">IFERROR(INDEX(Assessments!$H$2:$H$600,MATCH($H171&amp;"|"&amp;$I171&amp;"|"&amp;$J171&amp;"|"&amp;12,Assessments!$A$2:$A$600,0)),"")</f>
        <v/>
      </c>
      <c r="CG171" s="28" t="str">
        <f aca="false">IFERROR(INDEX(Assessments!$H$2:$H$600,MATCH($H171&amp;"|"&amp;$I171&amp;"|"&amp;$J171&amp;"|"&amp;13,Assessments!$A$2:$A$600,0)),"")</f>
        <v/>
      </c>
      <c r="CH171" s="28" t="str">
        <f aca="false">IFERROR(INDEX(Assessments!$H$2:$H$600,MATCH($H171&amp;"|"&amp;$I171&amp;"|"&amp;$J171&amp;"|"&amp;14,Assessments!$A$2:$A$600,0)),"")</f>
        <v/>
      </c>
      <c r="CI171" s="28" t="str">
        <f aca="false">IFERROR(INDEX(Assessments!$I$2:$I$600,MATCH($H171&amp;"|"&amp;$I171&amp;"|"&amp;$J171&amp;"|"&amp;1,Assessments!$A$2:$A$600,0)),"")</f>
        <v>BM Test</v>
      </c>
      <c r="CJ171" s="28" t="str">
        <f aca="false">IFERROR(INDEX(Assessments!$I$2:$I$600,MATCH($H171&amp;"|"&amp;$I171&amp;"|"&amp;$J171&amp;"|"&amp;2,Assessments!$A$2:$A$600,0)),"")</f>
        <v>BM Test</v>
      </c>
      <c r="CK171" s="28" t="str">
        <f aca="false">IFERROR(INDEX(Assessments!$I$2:$I$600,MATCH($H171&amp;"|"&amp;$I171&amp;"|"&amp;$J171&amp;"|"&amp;3,Assessments!$A$2:$A$600,0)),"")</f>
        <v>BM Test</v>
      </c>
      <c r="CL171" s="28" t="str">
        <f aca="false">IFERROR(INDEX(Assessments!$I$2:$I$600,MATCH($H171&amp;"|"&amp;$I171&amp;"|"&amp;$J171&amp;"|"&amp;4,Assessments!$A$2:$A$600,0)),"")</f>
        <v>BM Exam</v>
      </c>
      <c r="CM171" s="28" t="str">
        <f aca="false">IFERROR(INDEX(Assessments!$I$2:$I$600,MATCH($H171&amp;"|"&amp;$I171&amp;"|"&amp;$J171&amp;"|"&amp;5,Assessments!$A$2:$A$600,0)),"")</f>
        <v>BM Test</v>
      </c>
      <c r="CN171" s="28" t="str">
        <f aca="false">IFERROR(INDEX(Assessments!$I$2:$I$600,MATCH($H171&amp;"|"&amp;$I171&amp;"|"&amp;$J171&amp;"|"&amp;6,Assessments!$A$2:$A$600,0)),"")</f>
        <v>BM Test</v>
      </c>
      <c r="CO171" s="28" t="str">
        <f aca="false">IFERROR(INDEX(Assessments!$I$2:$I$600,MATCH($H171&amp;"|"&amp;$I171&amp;"|"&amp;$J171&amp;"|"&amp;7,Assessments!$A$2:$A$600,0)),"")</f>
        <v>BM Exam</v>
      </c>
      <c r="CP171" s="28" t="str">
        <f aca="false">IFERROR(INDEX(Assessments!$I$2:$I$600,MATCH($H171&amp;"|"&amp;$I171&amp;"|"&amp;$J171&amp;"|"&amp;8,Assessments!$A$2:$A$600,0)),"")</f>
        <v/>
      </c>
      <c r="CQ171" s="28" t="str">
        <f aca="false">IFERROR(INDEX(Assessments!$I$2:$I$600,MATCH($H171&amp;"|"&amp;$I171&amp;"|"&amp;$J171&amp;"|"&amp;9,Assessments!$A$2:$A$600,0)),"")</f>
        <v/>
      </c>
      <c r="CR171" s="28" t="str">
        <f aca="false">IFERROR(INDEX(Assessments!$I$2:$I$600,MATCH($H171&amp;"|"&amp;$I171&amp;"|"&amp;$J171&amp;"|"&amp;10,Assessments!$A$2:$A$600,0)),"")</f>
        <v/>
      </c>
      <c r="CS171" s="28" t="str">
        <f aca="false">IFERROR(INDEX(Assessments!$I$2:$I$600,MATCH($H171&amp;"|"&amp;$I171&amp;"|"&amp;$J171&amp;"|"&amp;11,Assessments!$A$2:$A$600,0)),"")</f>
        <v/>
      </c>
      <c r="CT171" s="28" t="str">
        <f aca="false">IFERROR(INDEX(Assessments!$I$2:$I$600,MATCH($H171&amp;"|"&amp;$I171&amp;"|"&amp;$J171&amp;"|"&amp;12,Assessments!$A$2:$A$600,0)),"")</f>
        <v/>
      </c>
      <c r="CU171" s="28" t="str">
        <f aca="false">IFERROR(INDEX(Assessments!$I$2:$I$600,MATCH($H171&amp;"|"&amp;$I171&amp;"|"&amp;$J171&amp;"|"&amp;13,Assessments!$A$2:$A$600,0)),"")</f>
        <v/>
      </c>
      <c r="CV171" s="28" t="str">
        <f aca="false">IFERROR(INDEX(Assessments!$I$2:$I$600,MATCH($H171&amp;"|"&amp;$I171&amp;"|"&amp;$J171&amp;"|"&amp;14,Assessments!$A$2:$A$600,0)),"")</f>
        <v/>
      </c>
      <c r="CW171" s="28" t="n">
        <f aca="false">IFERROR(INDEX(Assessments!$J$2:$J$600,MATCH($H171&amp;"|"&amp;$I171&amp;"|"&amp;$J171&amp;"|"&amp;1,Assessments!$A$2:$A$600,0)),0)</f>
        <v>1</v>
      </c>
      <c r="CX171" s="28" t="n">
        <f aca="false">IFERROR(INDEX(Assessments!$J$2:$J$600,MATCH($H171&amp;"|"&amp;$I171&amp;"|"&amp;$J171&amp;"|"&amp;2,Assessments!$A$2:$A$600,0)),0)</f>
        <v>1</v>
      </c>
      <c r="CY171" s="28" t="n">
        <f aca="false">IFERROR(INDEX(Assessments!$J$2:$J$600,MATCH($H171&amp;"|"&amp;$I171&amp;"|"&amp;$J171&amp;"|"&amp;3,Assessments!$A$2:$A$600,0)),0)</f>
        <v>1</v>
      </c>
      <c r="CZ171" s="28" t="n">
        <f aca="false">IFERROR(INDEX(Assessments!$J$2:$J$600,MATCH($H171&amp;"|"&amp;$I171&amp;"|"&amp;$J171&amp;"|"&amp;4,Assessments!$A$2:$A$600,0)),0)</f>
        <v>2</v>
      </c>
      <c r="DA171" s="28" t="n">
        <f aca="false">IFERROR(INDEX(Assessments!$J$2:$J$600,MATCH($H171&amp;"|"&amp;$I171&amp;"|"&amp;$J171&amp;"|"&amp;5,Assessments!$A$2:$A$600,0)),0)</f>
        <v>1</v>
      </c>
      <c r="DB171" s="28" t="n">
        <f aca="false">IFERROR(INDEX(Assessments!$J$2:$J$600,MATCH($H171&amp;"|"&amp;$I171&amp;"|"&amp;$J171&amp;"|"&amp;6,Assessments!$A$2:$A$600,0)),0)</f>
        <v>1</v>
      </c>
      <c r="DC171" s="28" t="n">
        <f aca="false">IFERROR(INDEX(Assessments!$J$2:$J$600,MATCH($H171&amp;"|"&amp;$I171&amp;"|"&amp;$J171&amp;"|"&amp;7,Assessments!$A$2:$A$600,0)),0)</f>
        <v>2</v>
      </c>
      <c r="DD171" s="28" t="n">
        <f aca="false">IFERROR(INDEX(Assessments!$J$2:$J$600,MATCH($H171&amp;"|"&amp;$I171&amp;"|"&amp;$J171&amp;"|"&amp;8,Assessments!$A$2:$A$600,0)),0)</f>
        <v>0</v>
      </c>
      <c r="DE171" s="28" t="n">
        <f aca="false">IFERROR(INDEX(Assessments!$J$2:$J$600,MATCH($H171&amp;"|"&amp;$I171&amp;"|"&amp;$J171&amp;"|"&amp;9,Assessments!$A$2:$A$600,0)),0)</f>
        <v>0</v>
      </c>
      <c r="DF171" s="28" t="n">
        <f aca="false">IFERROR(INDEX(Assessments!$J$2:$J$600,MATCH($H171&amp;"|"&amp;$I171&amp;"|"&amp;$J171&amp;"|"&amp;10,Assessments!$A$2:$A$600,0)),0)</f>
        <v>0</v>
      </c>
      <c r="DG171" s="28" t="n">
        <f aca="false">IFERROR(INDEX(Assessments!$J$2:$J$600,MATCH($H171&amp;"|"&amp;$I171&amp;"|"&amp;$J171&amp;"|"&amp;11,Assessments!$A$2:$A$600,0)),0)</f>
        <v>0</v>
      </c>
      <c r="DH171" s="28" t="n">
        <f aca="false">IFERROR(INDEX(Assessments!$J$2:$J$600,MATCH($H171&amp;"|"&amp;$I171&amp;"|"&amp;$J171&amp;"|"&amp;12,Assessments!$A$2:$A$600,0)),0)</f>
        <v>0</v>
      </c>
      <c r="DI171" s="28" t="n">
        <f aca="false">IFERROR(INDEX(Assessments!$J$2:$J$600,MATCH($H171&amp;"|"&amp;$I171&amp;"|"&amp;$J171&amp;"|"&amp;13,Assessments!$A$2:$A$600,0)),0)</f>
        <v>0</v>
      </c>
      <c r="DJ171" s="28" t="n">
        <f aca="false">IFERROR(INDEX(Assessments!$J$2:$J$600,MATCH($H171&amp;"|"&amp;$I171&amp;"|"&amp;$J171&amp;"|"&amp;14,Assessments!$A$2:$A$600,0)),0)</f>
        <v>0</v>
      </c>
      <c r="DK171" s="28" t="n">
        <f aca="false">S171</f>
        <v>6</v>
      </c>
      <c r="DL171" s="28" t="n">
        <f aca="false">W171</f>
        <v>5</v>
      </c>
      <c r="DM171" s="28" t="n">
        <f aca="false">AA171</f>
        <v>2</v>
      </c>
      <c r="DN171" s="28" t="n">
        <f aca="false">AE171</f>
        <v>7</v>
      </c>
      <c r="DO171" s="28" t="str">
        <f aca="false">AI171</f>
        <v/>
      </c>
      <c r="DP171" s="28" t="str">
        <f aca="false">AM171</f>
        <v/>
      </c>
      <c r="DQ171" s="28" t="str">
        <f aca="false">AQ171</f>
        <v/>
      </c>
      <c r="DR171" s="28" t="str">
        <f aca="false">AU171</f>
        <v/>
      </c>
      <c r="DS171" s="28" t="str">
        <f aca="false">AY171</f>
        <v/>
      </c>
      <c r="DT171" s="28" t="str">
        <f aca="false">BC171</f>
        <v/>
      </c>
      <c r="DU171" s="28" t="str">
        <f aca="false">BG171</f>
        <v/>
      </c>
      <c r="DV171" s="28" t="str">
        <f aca="false">BK171</f>
        <v/>
      </c>
      <c r="DW171" s="28" t="str">
        <f aca="false">BO171</f>
        <v/>
      </c>
      <c r="DX171" s="28" t="str">
        <f aca="false">BS171</f>
        <v/>
      </c>
      <c r="DY171" s="28" t="n">
        <f aca="false">IF(ISNUMBER(S171),1,"")</f>
        <v>1</v>
      </c>
      <c r="DZ171" s="28" t="n">
        <f aca="false">IF(ISNUMBER(W171),2,"")</f>
        <v>2</v>
      </c>
      <c r="EA171" s="28" t="n">
        <f aca="false">IF(ISNUMBER(AA171),3,"")</f>
        <v>3</v>
      </c>
      <c r="EB171" s="28" t="n">
        <f aca="false">IF(ISNUMBER(AE171),4,"")</f>
        <v>4</v>
      </c>
      <c r="EC171" s="28" t="str">
        <f aca="false">IF(ISNUMBER(AI171),5,"")</f>
        <v/>
      </c>
      <c r="ED171" s="28" t="str">
        <f aca="false">IF(ISNUMBER(AM171),6,"")</f>
        <v/>
      </c>
      <c r="EE171" s="28" t="str">
        <f aca="false">IF(ISNUMBER(AQ171),7,"")</f>
        <v/>
      </c>
      <c r="EF171" s="28" t="str">
        <f aca="false">IF(ISNUMBER(AU171),8,"")</f>
        <v/>
      </c>
      <c r="EG171" s="28" t="str">
        <f aca="false">IF(ISNUMBER(AY171),9,"")</f>
        <v/>
      </c>
      <c r="EH171" s="28" t="str">
        <f aca="false">IF(ISNUMBER(BC171),10,"")</f>
        <v/>
      </c>
      <c r="EI171" s="28" t="str">
        <f aca="false">IF(ISNUMBER(BG171),11,"")</f>
        <v/>
      </c>
      <c r="EJ171" s="28" t="str">
        <f aca="false">IF(ISNUMBER(BK171),12,"")</f>
        <v/>
      </c>
      <c r="EK171" s="28" t="str">
        <f aca="false">IF(ISNUMBER(BO171),13,"")</f>
        <v/>
      </c>
      <c r="EL171" s="28" t="str">
        <f aca="false">IF(ISNUMBER(BS171),14,"")</f>
        <v/>
      </c>
      <c r="EM171" s="28" t="n">
        <f aca="false">IF(ISNUMBER(R171),R171*CW171,0)</f>
        <v>66.6666666666667</v>
      </c>
      <c r="EN171" s="28" t="n">
        <f aca="false">IF(ISNUMBER(V171),V171*CX171,0)</f>
        <v>50</v>
      </c>
      <c r="EO171" s="28" t="n">
        <f aca="false">IF(ISNUMBER(Z171),Z171*CY171,0)</f>
        <v>25</v>
      </c>
      <c r="EP171" s="28" t="n">
        <f aca="false">IF(ISNUMBER(AD171),AD171*CZ171,0)</f>
        <v>155</v>
      </c>
      <c r="EQ171" s="28" t="n">
        <f aca="false">IF(ISNUMBER(AH171),AH171*DA171,0)</f>
        <v>0</v>
      </c>
      <c r="ER171" s="28" t="n">
        <f aca="false">IF(ISNUMBER(AL171),AL171*DB171,0)</f>
        <v>0</v>
      </c>
      <c r="ES171" s="28" t="n">
        <f aca="false">IF(ISNUMBER(AP171),AP171*DC171,0)</f>
        <v>0</v>
      </c>
      <c r="ET171" s="28" t="n">
        <f aca="false">IF(ISNUMBER(AT171),AT171*DD171,0)</f>
        <v>0</v>
      </c>
      <c r="EU171" s="28" t="n">
        <f aca="false">IF(ISNUMBER(AX171),AX171*DE171,0)</f>
        <v>0</v>
      </c>
      <c r="EV171" s="28" t="n">
        <f aca="false">IF(ISNUMBER(BB171),BB171*DF171,0)</f>
        <v>0</v>
      </c>
      <c r="EW171" s="28" t="n">
        <f aca="false">IF(ISNUMBER(BF171),BF171*DG171,0)</f>
        <v>0</v>
      </c>
      <c r="EX171" s="28" t="n">
        <f aca="false">IF(ISNUMBER(BJ171),BJ171*DH171,0)</f>
        <v>0</v>
      </c>
      <c r="EY171" s="28" t="n">
        <f aca="false">IF(ISNUMBER(BN171),BN171*DI171,0)</f>
        <v>0</v>
      </c>
      <c r="EZ171" s="28" t="n">
        <f aca="false">IF(ISNUMBER(BR171),BR171*DJ171,0)</f>
        <v>0</v>
      </c>
      <c r="FA171" s="28" t="n">
        <f aca="false">IF(ISNUMBER(R171),CW171,0)</f>
        <v>1</v>
      </c>
      <c r="FB171" s="28" t="n">
        <f aca="false">IF(ISNUMBER(V171),CX171,0)</f>
        <v>1</v>
      </c>
      <c r="FC171" s="28" t="n">
        <f aca="false">IF(ISNUMBER(Z171),CY171,0)</f>
        <v>1</v>
      </c>
      <c r="FD171" s="28" t="n">
        <f aca="false">IF(ISNUMBER(AD171),CZ171,0)</f>
        <v>2</v>
      </c>
      <c r="FE171" s="28" t="n">
        <f aca="false">IF(ISNUMBER(AH171),DA171,0)</f>
        <v>0</v>
      </c>
      <c r="FF171" s="28" t="n">
        <f aca="false">IF(ISNUMBER(AL171),DB171,0)</f>
        <v>0</v>
      </c>
      <c r="FG171" s="28" t="n">
        <f aca="false">IF(ISNUMBER(AP171),DC171,0)</f>
        <v>0</v>
      </c>
      <c r="FH171" s="28" t="n">
        <f aca="false">IF(ISNUMBER(AT171),DD171,0)</f>
        <v>0</v>
      </c>
      <c r="FI171" s="28" t="n">
        <f aca="false">IF(ISNUMBER(AX171),DE171,0)</f>
        <v>0</v>
      </c>
      <c r="FJ171" s="28" t="n">
        <f aca="false">IF(ISNUMBER(BB171),DF171,0)</f>
        <v>0</v>
      </c>
      <c r="FK171" s="28" t="n">
        <f aca="false">IF(ISNUMBER(BF171),DG171,0)</f>
        <v>0</v>
      </c>
      <c r="FL171" s="28" t="n">
        <f aca="false">IF(ISNUMBER(BJ171),DH171,0)</f>
        <v>0</v>
      </c>
      <c r="FM171" s="28" t="n">
        <f aca="false">IF(ISNUMBER(BN171),DI171,0)</f>
        <v>0</v>
      </c>
      <c r="FN171" s="28" t="n">
        <f aca="false">IF(ISNUMBER(BR171),DJ171,0)</f>
        <v>0</v>
      </c>
      <c r="FO171" s="28" t="str">
        <f aca="false">IFERROR(INDEX(Lists!$G$2:$G$20,MATCH($I171&amp;"|"&amp;$J171,Lists!$F$2:$F$20,0)),"")</f>
        <v>BM Exam</v>
      </c>
    </row>
    <row r="172" customFormat="false" ht="19.5" hidden="false" customHeight="true" outlineLevel="0" collapsed="false">
      <c r="A172" s="29" t="s">
        <v>190</v>
      </c>
      <c r="B172" s="29" t="s">
        <v>191</v>
      </c>
      <c r="C172" s="30" t="s">
        <v>152</v>
      </c>
      <c r="D172" s="30" t="s">
        <v>408</v>
      </c>
      <c r="E172" s="31" t="n">
        <v>5.3</v>
      </c>
      <c r="F172" s="30" t="n">
        <v>6</v>
      </c>
      <c r="G172" s="30"/>
      <c r="H172" s="32" t="s">
        <v>23</v>
      </c>
      <c r="I172" s="33" t="s">
        <v>365</v>
      </c>
      <c r="J172" s="32" t="s">
        <v>223</v>
      </c>
      <c r="K172" s="34" t="n">
        <f aca="false">IF(OR(M172="",$E172=""),"",M172-$E172)</f>
        <v>-1.3</v>
      </c>
      <c r="L172" s="35" t="n">
        <f aca="false">IF(SUM(FA172:FN172)=0,"",SUM(EM172:EZ172)/SUM(FA172:FN172))</f>
        <v>44.3333333333333</v>
      </c>
      <c r="M172" s="36" t="n">
        <f aca="false">IF(OR(L172="",FO172=""),"",IFERROR(MATCH(L172,INDEX(Boundaries!$B$2:$I$30,MATCH(FO172,Boundaries!$A$2:$A$30,0),0),1)-1,""))</f>
        <v>4</v>
      </c>
      <c r="N172" s="37" t="n">
        <f aca="false">IF(COUNT($DY172:$EL172)&lt;2,"",INDEX($DK172:$DX172,MAX($DY172:$EL172))-INDEX($DK172:$DX172,MIN($DY172:$EL172)))</f>
        <v>-3</v>
      </c>
      <c r="O172" s="37" t="n">
        <f aca="false">IF(COUNT($DY172:$EL172)&lt;2,"",INDEX($DK172:$DX172,MAX($DY172:$EL172))-INDEX($DK172:$DX172,LARGE($DY172:$EL172,2)))</f>
        <v>-1</v>
      </c>
      <c r="P172" s="38" t="str">
        <f aca="false">IF(K172="","",IF(K172&gt;=0,"On/above target",IF(AND(N172&lt;&gt;"",N172&gt;=0.5),"Improving towards target",IF(AND(O172&lt;&gt;"",O172&lt;=-0.5),"Declining","Stable below target"))))</f>
        <v>Declining</v>
      </c>
      <c r="Q172" s="39" t="n">
        <v>17</v>
      </c>
      <c r="R172" s="40" t="n">
        <f aca="false">IF(OR(Q172="",BU172=""),"",Q172/BU172*100)</f>
        <v>70.8333333333333</v>
      </c>
      <c r="S172" s="41" t="n">
        <f aca="false">IF(R172="","",IFERROR(MATCH(R172,INDEX(Boundaries!$B$2:$I$30,MATCH(CI172,Boundaries!$A$2:$A$30,0),0),1)-1,""))</f>
        <v>6</v>
      </c>
      <c r="T172" s="42" t="n">
        <f aca="false">IF(OR(S172="",$E172=""),"",S172-$E172)</f>
        <v>0.7</v>
      </c>
      <c r="U172" s="39" t="n">
        <v>8</v>
      </c>
      <c r="V172" s="40" t="n">
        <f aca="false">IF(OR(U172="",BV172=""),"",U172/BV172*100)</f>
        <v>40</v>
      </c>
      <c r="W172" s="41" t="n">
        <f aca="false">IF(V172="","",IFERROR(MATCH(V172,INDEX(Boundaries!$B$2:$I$30,MATCH(CJ172,Boundaries!$A$2:$A$30,0),0),1)-1,""))</f>
        <v>4</v>
      </c>
      <c r="X172" s="42" t="n">
        <f aca="false">IF(OR(W172="",$E172=""),"",W172-$E172)</f>
        <v>-1.3</v>
      </c>
      <c r="Y172" s="39" t="n">
        <v>11</v>
      </c>
      <c r="Z172" s="40" t="n">
        <f aca="false">IF(OR(Y172="",BW172=""),"",Y172/BW172*100)</f>
        <v>45.8333333333333</v>
      </c>
      <c r="AA172" s="41" t="n">
        <f aca="false">IF(Z172="","",IFERROR(MATCH(Z172,INDEX(Boundaries!$B$2:$I$30,MATCH(CK172,Boundaries!$A$2:$A$30,0),0),1)-1,""))</f>
        <v>4</v>
      </c>
      <c r="AB172" s="42" t="n">
        <f aca="false">IF(OR(AA172="",$E172=""),"",AA172-$E172)</f>
        <v>-1.3</v>
      </c>
      <c r="AC172" s="39" t="n">
        <v>13</v>
      </c>
      <c r="AD172" s="40" t="n">
        <f aca="false">IF(OR(AC172="",BX172=""),"",AC172/BX172*100)</f>
        <v>32.5</v>
      </c>
      <c r="AE172" s="41" t="n">
        <f aca="false">IF(AD172="","",IFERROR(MATCH(AD172,INDEX(Boundaries!$B$2:$I$30,MATCH(CL172,Boundaries!$A$2:$A$30,0),0),1)-1,""))</f>
        <v>3</v>
      </c>
      <c r="AF172" s="42" t="n">
        <f aca="false">IF(OR(AE172="",$E172=""),"",AE172-$E172)</f>
        <v>-2.3</v>
      </c>
      <c r="AG172" s="39"/>
      <c r="AH172" s="40" t="str">
        <f aca="false">IF(OR(AG172="",BY172=""),"",AG172/BY172*100)</f>
        <v/>
      </c>
      <c r="AI172" s="41" t="str">
        <f aca="false">IF(AH172="","",IFERROR(MATCH(AH172,INDEX(Boundaries!$B$2:$I$30,MATCH(CM172,Boundaries!$A$2:$A$30,0),0),1)-1,""))</f>
        <v/>
      </c>
      <c r="AJ172" s="42" t="str">
        <f aca="false">IF(OR(AI172="",$E172=""),"",AI172-$E172)</f>
        <v/>
      </c>
      <c r="AK172" s="39"/>
      <c r="AL172" s="40" t="str">
        <f aca="false">IF(OR(AK172="",BZ172=""),"",AK172/BZ172*100)</f>
        <v/>
      </c>
      <c r="AM172" s="41" t="str">
        <f aca="false">IF(AL172="","",IFERROR(MATCH(AL172,INDEX(Boundaries!$B$2:$I$30,MATCH(CN172,Boundaries!$A$2:$A$30,0),0),1)-1,""))</f>
        <v/>
      </c>
      <c r="AN172" s="42" t="str">
        <f aca="false">IF(OR(AM172="",$E172=""),"",AM172-$E172)</f>
        <v/>
      </c>
      <c r="AO172" s="39"/>
      <c r="AP172" s="40" t="str">
        <f aca="false">IF(OR(AO172="",CA172=""),"",AO172/CA172*100)</f>
        <v/>
      </c>
      <c r="AQ172" s="41" t="str">
        <f aca="false">IF(AP172="","",IFERROR(MATCH(AP172,INDEX(Boundaries!$B$2:$I$30,MATCH(CO172,Boundaries!$A$2:$A$30,0),0),1)-1,""))</f>
        <v/>
      </c>
      <c r="AR172" s="42" t="str">
        <f aca="false">IF(OR(AQ172="",$E172=""),"",AQ172-$E172)</f>
        <v/>
      </c>
      <c r="AS172" s="39"/>
      <c r="AT172" s="40" t="str">
        <f aca="false">IF(OR(AS172="",CB172=""),"",AS172/CB172*100)</f>
        <v/>
      </c>
      <c r="AU172" s="41" t="str">
        <f aca="false">IF(AT172="","",IFERROR(MATCH(AT172,INDEX(Boundaries!$B$2:$I$30,MATCH(CP172,Boundaries!$A$2:$A$30,0),0),1)-1,""))</f>
        <v/>
      </c>
      <c r="AV172" s="42" t="str">
        <f aca="false">IF(OR(AU172="",$E172=""),"",AU172-$E172)</f>
        <v/>
      </c>
      <c r="AW172" s="39"/>
      <c r="AX172" s="40" t="str">
        <f aca="false">IF(OR(AW172="",CC172=""),"",AW172/CC172*100)</f>
        <v/>
      </c>
      <c r="AY172" s="41" t="str">
        <f aca="false">IF(AX172="","",IFERROR(MATCH(AX172,INDEX(Boundaries!$B$2:$I$30,MATCH(CQ172,Boundaries!$A$2:$A$30,0),0),1)-1,""))</f>
        <v/>
      </c>
      <c r="AZ172" s="42" t="str">
        <f aca="false">IF(OR(AY172="",$E172=""),"",AY172-$E172)</f>
        <v/>
      </c>
      <c r="BA172" s="39"/>
      <c r="BB172" s="40" t="str">
        <f aca="false">IF(OR(BA172="",CD172=""),"",BA172/CD172*100)</f>
        <v/>
      </c>
      <c r="BC172" s="41" t="str">
        <f aca="false">IF(BB172="","",IFERROR(MATCH(BB172,INDEX(Boundaries!$B$2:$I$30,MATCH(CR172,Boundaries!$A$2:$A$30,0),0),1)-1,""))</f>
        <v/>
      </c>
      <c r="BD172" s="42" t="str">
        <f aca="false">IF(OR(BC172="",$E172=""),"",BC172-$E172)</f>
        <v/>
      </c>
      <c r="BE172" s="39"/>
      <c r="BF172" s="40" t="str">
        <f aca="false">IF(OR(BE172="",CE172=""),"",BE172/CE172*100)</f>
        <v/>
      </c>
      <c r="BG172" s="41" t="str">
        <f aca="false">IF(BF172="","",IFERROR(MATCH(BF172,INDEX(Boundaries!$B$2:$I$30,MATCH(CS172,Boundaries!$A$2:$A$30,0),0),1)-1,""))</f>
        <v/>
      </c>
      <c r="BH172" s="42" t="str">
        <f aca="false">IF(OR(BG172="",$E172=""),"",BG172-$E172)</f>
        <v/>
      </c>
      <c r="BI172" s="39"/>
      <c r="BJ172" s="40" t="str">
        <f aca="false">IF(OR(BI172="",CF172=""),"",BI172/CF172*100)</f>
        <v/>
      </c>
      <c r="BK172" s="41" t="str">
        <f aca="false">IF(BJ172="","",IFERROR(MATCH(BJ172,INDEX(Boundaries!$B$2:$I$30,MATCH(CT172,Boundaries!$A$2:$A$30,0),0),1)-1,""))</f>
        <v/>
      </c>
      <c r="BL172" s="42" t="str">
        <f aca="false">IF(OR(BK172="",$E172=""),"",BK172-$E172)</f>
        <v/>
      </c>
      <c r="BM172" s="39"/>
      <c r="BN172" s="40" t="str">
        <f aca="false">IF(OR(BM172="",CG172=""),"",BM172/CG172*100)</f>
        <v/>
      </c>
      <c r="BO172" s="41" t="str">
        <f aca="false">IF(BN172="","",IFERROR(MATCH(BN172,INDEX(Boundaries!$B$2:$I$30,MATCH(CU172,Boundaries!$A$2:$A$30,0),0),1)-1,""))</f>
        <v/>
      </c>
      <c r="BP172" s="42" t="str">
        <f aca="false">IF(OR(BO172="",$E172=""),"",BO172-$E172)</f>
        <v/>
      </c>
      <c r="BQ172" s="39"/>
      <c r="BR172" s="40" t="str">
        <f aca="false">IF(OR(BQ172="",CH172=""),"",BQ172/CH172*100)</f>
        <v/>
      </c>
      <c r="BS172" s="41" t="str">
        <f aca="false">IF(BR172="","",IFERROR(MATCH(BR172,INDEX(Boundaries!$B$2:$I$30,MATCH(CV172,Boundaries!$A$2:$A$30,0),0),1)-1,""))</f>
        <v/>
      </c>
      <c r="BT172" s="42" t="str">
        <f aca="false">IF(OR(BS172="",$E172=""),"",BS172-$E172)</f>
        <v/>
      </c>
      <c r="BU172" s="28" t="n">
        <f aca="false">IFERROR(INDEX(Assessments!$H$2:$H$600,MATCH($H172&amp;"|"&amp;$I172&amp;"|"&amp;$J172&amp;"|"&amp;1,Assessments!$A$2:$A$600,0)),"")</f>
        <v>24</v>
      </c>
      <c r="BV172" s="28" t="n">
        <f aca="false">IFERROR(INDEX(Assessments!$H$2:$H$600,MATCH($H172&amp;"|"&amp;$I172&amp;"|"&amp;$J172&amp;"|"&amp;2,Assessments!$A$2:$A$600,0)),"")</f>
        <v>20</v>
      </c>
      <c r="BW172" s="28" t="n">
        <f aca="false">IFERROR(INDEX(Assessments!$H$2:$H$600,MATCH($H172&amp;"|"&amp;$I172&amp;"|"&amp;$J172&amp;"|"&amp;3,Assessments!$A$2:$A$600,0)),"")</f>
        <v>24</v>
      </c>
      <c r="BX172" s="28" t="n">
        <f aca="false">IFERROR(INDEX(Assessments!$H$2:$H$600,MATCH($H172&amp;"|"&amp;$I172&amp;"|"&amp;$J172&amp;"|"&amp;4,Assessments!$A$2:$A$600,0)),"")</f>
        <v>40</v>
      </c>
      <c r="BY172" s="28" t="n">
        <f aca="false">IFERROR(INDEX(Assessments!$H$2:$H$600,MATCH($H172&amp;"|"&amp;$I172&amp;"|"&amp;$J172&amp;"|"&amp;5,Assessments!$A$2:$A$600,0)),"")</f>
        <v>30</v>
      </c>
      <c r="BZ172" s="28" t="n">
        <f aca="false">IFERROR(INDEX(Assessments!$H$2:$H$600,MATCH($H172&amp;"|"&amp;$I172&amp;"|"&amp;$J172&amp;"|"&amp;6,Assessments!$A$2:$A$600,0)),"")</f>
        <v>20</v>
      </c>
      <c r="CA172" s="28" t="n">
        <f aca="false">IFERROR(INDEX(Assessments!$H$2:$H$600,MATCH($H172&amp;"|"&amp;$I172&amp;"|"&amp;$J172&amp;"|"&amp;7,Assessments!$A$2:$A$600,0)),"")</f>
        <v>40</v>
      </c>
      <c r="CB172" s="28" t="str">
        <f aca="false">IFERROR(INDEX(Assessments!$H$2:$H$600,MATCH($H172&amp;"|"&amp;$I172&amp;"|"&amp;$J172&amp;"|"&amp;8,Assessments!$A$2:$A$600,0)),"")</f>
        <v/>
      </c>
      <c r="CC172" s="28" t="str">
        <f aca="false">IFERROR(INDEX(Assessments!$H$2:$H$600,MATCH($H172&amp;"|"&amp;$I172&amp;"|"&amp;$J172&amp;"|"&amp;9,Assessments!$A$2:$A$600,0)),"")</f>
        <v/>
      </c>
      <c r="CD172" s="28" t="str">
        <f aca="false">IFERROR(INDEX(Assessments!$H$2:$H$600,MATCH($H172&amp;"|"&amp;$I172&amp;"|"&amp;$J172&amp;"|"&amp;10,Assessments!$A$2:$A$600,0)),"")</f>
        <v/>
      </c>
      <c r="CE172" s="28" t="str">
        <f aca="false">IFERROR(INDEX(Assessments!$H$2:$H$600,MATCH($H172&amp;"|"&amp;$I172&amp;"|"&amp;$J172&amp;"|"&amp;11,Assessments!$A$2:$A$600,0)),"")</f>
        <v/>
      </c>
      <c r="CF172" s="28" t="str">
        <f aca="false">IFERROR(INDEX(Assessments!$H$2:$H$600,MATCH($H172&amp;"|"&amp;$I172&amp;"|"&amp;$J172&amp;"|"&amp;12,Assessments!$A$2:$A$600,0)),"")</f>
        <v/>
      </c>
      <c r="CG172" s="28" t="str">
        <f aca="false">IFERROR(INDEX(Assessments!$H$2:$H$600,MATCH($H172&amp;"|"&amp;$I172&amp;"|"&amp;$J172&amp;"|"&amp;13,Assessments!$A$2:$A$600,0)),"")</f>
        <v/>
      </c>
      <c r="CH172" s="28" t="str">
        <f aca="false">IFERROR(INDEX(Assessments!$H$2:$H$600,MATCH($H172&amp;"|"&amp;$I172&amp;"|"&amp;$J172&amp;"|"&amp;14,Assessments!$A$2:$A$600,0)),"")</f>
        <v/>
      </c>
      <c r="CI172" s="28" t="str">
        <f aca="false">IFERROR(INDEX(Assessments!$I$2:$I$600,MATCH($H172&amp;"|"&amp;$I172&amp;"|"&amp;$J172&amp;"|"&amp;1,Assessments!$A$2:$A$600,0)),"")</f>
        <v>BM Test</v>
      </c>
      <c r="CJ172" s="28" t="str">
        <f aca="false">IFERROR(INDEX(Assessments!$I$2:$I$600,MATCH($H172&amp;"|"&amp;$I172&amp;"|"&amp;$J172&amp;"|"&amp;2,Assessments!$A$2:$A$600,0)),"")</f>
        <v>BM Test</v>
      </c>
      <c r="CK172" s="28" t="str">
        <f aca="false">IFERROR(INDEX(Assessments!$I$2:$I$600,MATCH($H172&amp;"|"&amp;$I172&amp;"|"&amp;$J172&amp;"|"&amp;3,Assessments!$A$2:$A$600,0)),"")</f>
        <v>BM Test</v>
      </c>
      <c r="CL172" s="28" t="str">
        <f aca="false">IFERROR(INDEX(Assessments!$I$2:$I$600,MATCH($H172&amp;"|"&amp;$I172&amp;"|"&amp;$J172&amp;"|"&amp;4,Assessments!$A$2:$A$600,0)),"")</f>
        <v>BM Exam</v>
      </c>
      <c r="CM172" s="28" t="str">
        <f aca="false">IFERROR(INDEX(Assessments!$I$2:$I$600,MATCH($H172&amp;"|"&amp;$I172&amp;"|"&amp;$J172&amp;"|"&amp;5,Assessments!$A$2:$A$600,0)),"")</f>
        <v>BM Test</v>
      </c>
      <c r="CN172" s="28" t="str">
        <f aca="false">IFERROR(INDEX(Assessments!$I$2:$I$600,MATCH($H172&amp;"|"&amp;$I172&amp;"|"&amp;$J172&amp;"|"&amp;6,Assessments!$A$2:$A$600,0)),"")</f>
        <v>BM Test</v>
      </c>
      <c r="CO172" s="28" t="str">
        <f aca="false">IFERROR(INDEX(Assessments!$I$2:$I$600,MATCH($H172&amp;"|"&amp;$I172&amp;"|"&amp;$J172&amp;"|"&amp;7,Assessments!$A$2:$A$600,0)),"")</f>
        <v>BM Exam</v>
      </c>
      <c r="CP172" s="28" t="str">
        <f aca="false">IFERROR(INDEX(Assessments!$I$2:$I$600,MATCH($H172&amp;"|"&amp;$I172&amp;"|"&amp;$J172&amp;"|"&amp;8,Assessments!$A$2:$A$600,0)),"")</f>
        <v/>
      </c>
      <c r="CQ172" s="28" t="str">
        <f aca="false">IFERROR(INDEX(Assessments!$I$2:$I$600,MATCH($H172&amp;"|"&amp;$I172&amp;"|"&amp;$J172&amp;"|"&amp;9,Assessments!$A$2:$A$600,0)),"")</f>
        <v/>
      </c>
      <c r="CR172" s="28" t="str">
        <f aca="false">IFERROR(INDEX(Assessments!$I$2:$I$600,MATCH($H172&amp;"|"&amp;$I172&amp;"|"&amp;$J172&amp;"|"&amp;10,Assessments!$A$2:$A$600,0)),"")</f>
        <v/>
      </c>
      <c r="CS172" s="28" t="str">
        <f aca="false">IFERROR(INDEX(Assessments!$I$2:$I$600,MATCH($H172&amp;"|"&amp;$I172&amp;"|"&amp;$J172&amp;"|"&amp;11,Assessments!$A$2:$A$600,0)),"")</f>
        <v/>
      </c>
      <c r="CT172" s="28" t="str">
        <f aca="false">IFERROR(INDEX(Assessments!$I$2:$I$600,MATCH($H172&amp;"|"&amp;$I172&amp;"|"&amp;$J172&amp;"|"&amp;12,Assessments!$A$2:$A$600,0)),"")</f>
        <v/>
      </c>
      <c r="CU172" s="28" t="str">
        <f aca="false">IFERROR(INDEX(Assessments!$I$2:$I$600,MATCH($H172&amp;"|"&amp;$I172&amp;"|"&amp;$J172&amp;"|"&amp;13,Assessments!$A$2:$A$600,0)),"")</f>
        <v/>
      </c>
      <c r="CV172" s="28" t="str">
        <f aca="false">IFERROR(INDEX(Assessments!$I$2:$I$600,MATCH($H172&amp;"|"&amp;$I172&amp;"|"&amp;$J172&amp;"|"&amp;14,Assessments!$A$2:$A$600,0)),"")</f>
        <v/>
      </c>
      <c r="CW172" s="28" t="n">
        <f aca="false">IFERROR(INDEX(Assessments!$J$2:$J$600,MATCH($H172&amp;"|"&amp;$I172&amp;"|"&amp;$J172&amp;"|"&amp;1,Assessments!$A$2:$A$600,0)),0)</f>
        <v>1</v>
      </c>
      <c r="CX172" s="28" t="n">
        <f aca="false">IFERROR(INDEX(Assessments!$J$2:$J$600,MATCH($H172&amp;"|"&amp;$I172&amp;"|"&amp;$J172&amp;"|"&amp;2,Assessments!$A$2:$A$600,0)),0)</f>
        <v>1</v>
      </c>
      <c r="CY172" s="28" t="n">
        <f aca="false">IFERROR(INDEX(Assessments!$J$2:$J$600,MATCH($H172&amp;"|"&amp;$I172&amp;"|"&amp;$J172&amp;"|"&amp;3,Assessments!$A$2:$A$600,0)),0)</f>
        <v>1</v>
      </c>
      <c r="CZ172" s="28" t="n">
        <f aca="false">IFERROR(INDEX(Assessments!$J$2:$J$600,MATCH($H172&amp;"|"&amp;$I172&amp;"|"&amp;$J172&amp;"|"&amp;4,Assessments!$A$2:$A$600,0)),0)</f>
        <v>2</v>
      </c>
      <c r="DA172" s="28" t="n">
        <f aca="false">IFERROR(INDEX(Assessments!$J$2:$J$600,MATCH($H172&amp;"|"&amp;$I172&amp;"|"&amp;$J172&amp;"|"&amp;5,Assessments!$A$2:$A$600,0)),0)</f>
        <v>1</v>
      </c>
      <c r="DB172" s="28" t="n">
        <f aca="false">IFERROR(INDEX(Assessments!$J$2:$J$600,MATCH($H172&amp;"|"&amp;$I172&amp;"|"&amp;$J172&amp;"|"&amp;6,Assessments!$A$2:$A$600,0)),0)</f>
        <v>1</v>
      </c>
      <c r="DC172" s="28" t="n">
        <f aca="false">IFERROR(INDEX(Assessments!$J$2:$J$600,MATCH($H172&amp;"|"&amp;$I172&amp;"|"&amp;$J172&amp;"|"&amp;7,Assessments!$A$2:$A$600,0)),0)</f>
        <v>2</v>
      </c>
      <c r="DD172" s="28" t="n">
        <f aca="false">IFERROR(INDEX(Assessments!$J$2:$J$600,MATCH($H172&amp;"|"&amp;$I172&amp;"|"&amp;$J172&amp;"|"&amp;8,Assessments!$A$2:$A$600,0)),0)</f>
        <v>0</v>
      </c>
      <c r="DE172" s="28" t="n">
        <f aca="false">IFERROR(INDEX(Assessments!$J$2:$J$600,MATCH($H172&amp;"|"&amp;$I172&amp;"|"&amp;$J172&amp;"|"&amp;9,Assessments!$A$2:$A$600,0)),0)</f>
        <v>0</v>
      </c>
      <c r="DF172" s="28" t="n">
        <f aca="false">IFERROR(INDEX(Assessments!$J$2:$J$600,MATCH($H172&amp;"|"&amp;$I172&amp;"|"&amp;$J172&amp;"|"&amp;10,Assessments!$A$2:$A$600,0)),0)</f>
        <v>0</v>
      </c>
      <c r="DG172" s="28" t="n">
        <f aca="false">IFERROR(INDEX(Assessments!$J$2:$J$600,MATCH($H172&amp;"|"&amp;$I172&amp;"|"&amp;$J172&amp;"|"&amp;11,Assessments!$A$2:$A$600,0)),0)</f>
        <v>0</v>
      </c>
      <c r="DH172" s="28" t="n">
        <f aca="false">IFERROR(INDEX(Assessments!$J$2:$J$600,MATCH($H172&amp;"|"&amp;$I172&amp;"|"&amp;$J172&amp;"|"&amp;12,Assessments!$A$2:$A$600,0)),0)</f>
        <v>0</v>
      </c>
      <c r="DI172" s="28" t="n">
        <f aca="false">IFERROR(INDEX(Assessments!$J$2:$J$600,MATCH($H172&amp;"|"&amp;$I172&amp;"|"&amp;$J172&amp;"|"&amp;13,Assessments!$A$2:$A$600,0)),0)</f>
        <v>0</v>
      </c>
      <c r="DJ172" s="28" t="n">
        <f aca="false">IFERROR(INDEX(Assessments!$J$2:$J$600,MATCH($H172&amp;"|"&amp;$I172&amp;"|"&amp;$J172&amp;"|"&amp;14,Assessments!$A$2:$A$600,0)),0)</f>
        <v>0</v>
      </c>
      <c r="DK172" s="28" t="n">
        <f aca="false">S172</f>
        <v>6</v>
      </c>
      <c r="DL172" s="28" t="n">
        <f aca="false">W172</f>
        <v>4</v>
      </c>
      <c r="DM172" s="28" t="n">
        <f aca="false">AA172</f>
        <v>4</v>
      </c>
      <c r="DN172" s="28" t="n">
        <f aca="false">AE172</f>
        <v>3</v>
      </c>
      <c r="DO172" s="28" t="str">
        <f aca="false">AI172</f>
        <v/>
      </c>
      <c r="DP172" s="28" t="str">
        <f aca="false">AM172</f>
        <v/>
      </c>
      <c r="DQ172" s="28" t="str">
        <f aca="false">AQ172</f>
        <v/>
      </c>
      <c r="DR172" s="28" t="str">
        <f aca="false">AU172</f>
        <v/>
      </c>
      <c r="DS172" s="28" t="str">
        <f aca="false">AY172</f>
        <v/>
      </c>
      <c r="DT172" s="28" t="str">
        <f aca="false">BC172</f>
        <v/>
      </c>
      <c r="DU172" s="28" t="str">
        <f aca="false">BG172</f>
        <v/>
      </c>
      <c r="DV172" s="28" t="str">
        <f aca="false">BK172</f>
        <v/>
      </c>
      <c r="DW172" s="28" t="str">
        <f aca="false">BO172</f>
        <v/>
      </c>
      <c r="DX172" s="28" t="str">
        <f aca="false">BS172</f>
        <v/>
      </c>
      <c r="DY172" s="28" t="n">
        <f aca="false">IF(ISNUMBER(S172),1,"")</f>
        <v>1</v>
      </c>
      <c r="DZ172" s="28" t="n">
        <f aca="false">IF(ISNUMBER(W172),2,"")</f>
        <v>2</v>
      </c>
      <c r="EA172" s="28" t="n">
        <f aca="false">IF(ISNUMBER(AA172),3,"")</f>
        <v>3</v>
      </c>
      <c r="EB172" s="28" t="n">
        <f aca="false">IF(ISNUMBER(AE172),4,"")</f>
        <v>4</v>
      </c>
      <c r="EC172" s="28" t="str">
        <f aca="false">IF(ISNUMBER(AI172),5,"")</f>
        <v/>
      </c>
      <c r="ED172" s="28" t="str">
        <f aca="false">IF(ISNUMBER(AM172),6,"")</f>
        <v/>
      </c>
      <c r="EE172" s="28" t="str">
        <f aca="false">IF(ISNUMBER(AQ172),7,"")</f>
        <v/>
      </c>
      <c r="EF172" s="28" t="str">
        <f aca="false">IF(ISNUMBER(AU172),8,"")</f>
        <v/>
      </c>
      <c r="EG172" s="28" t="str">
        <f aca="false">IF(ISNUMBER(AY172),9,"")</f>
        <v/>
      </c>
      <c r="EH172" s="28" t="str">
        <f aca="false">IF(ISNUMBER(BC172),10,"")</f>
        <v/>
      </c>
      <c r="EI172" s="28" t="str">
        <f aca="false">IF(ISNUMBER(BG172),11,"")</f>
        <v/>
      </c>
      <c r="EJ172" s="28" t="str">
        <f aca="false">IF(ISNUMBER(BK172),12,"")</f>
        <v/>
      </c>
      <c r="EK172" s="28" t="str">
        <f aca="false">IF(ISNUMBER(BO172),13,"")</f>
        <v/>
      </c>
      <c r="EL172" s="28" t="str">
        <f aca="false">IF(ISNUMBER(BS172),14,"")</f>
        <v/>
      </c>
      <c r="EM172" s="28" t="n">
        <f aca="false">IF(ISNUMBER(R172),R172*CW172,0)</f>
        <v>70.8333333333333</v>
      </c>
      <c r="EN172" s="28" t="n">
        <f aca="false">IF(ISNUMBER(V172),V172*CX172,0)</f>
        <v>40</v>
      </c>
      <c r="EO172" s="28" t="n">
        <f aca="false">IF(ISNUMBER(Z172),Z172*CY172,0)</f>
        <v>45.8333333333333</v>
      </c>
      <c r="EP172" s="28" t="n">
        <f aca="false">IF(ISNUMBER(AD172),AD172*CZ172,0)</f>
        <v>65</v>
      </c>
      <c r="EQ172" s="28" t="n">
        <f aca="false">IF(ISNUMBER(AH172),AH172*DA172,0)</f>
        <v>0</v>
      </c>
      <c r="ER172" s="28" t="n">
        <f aca="false">IF(ISNUMBER(AL172),AL172*DB172,0)</f>
        <v>0</v>
      </c>
      <c r="ES172" s="28" t="n">
        <f aca="false">IF(ISNUMBER(AP172),AP172*DC172,0)</f>
        <v>0</v>
      </c>
      <c r="ET172" s="28" t="n">
        <f aca="false">IF(ISNUMBER(AT172),AT172*DD172,0)</f>
        <v>0</v>
      </c>
      <c r="EU172" s="28" t="n">
        <f aca="false">IF(ISNUMBER(AX172),AX172*DE172,0)</f>
        <v>0</v>
      </c>
      <c r="EV172" s="28" t="n">
        <f aca="false">IF(ISNUMBER(BB172),BB172*DF172,0)</f>
        <v>0</v>
      </c>
      <c r="EW172" s="28" t="n">
        <f aca="false">IF(ISNUMBER(BF172),BF172*DG172,0)</f>
        <v>0</v>
      </c>
      <c r="EX172" s="28" t="n">
        <f aca="false">IF(ISNUMBER(BJ172),BJ172*DH172,0)</f>
        <v>0</v>
      </c>
      <c r="EY172" s="28" t="n">
        <f aca="false">IF(ISNUMBER(BN172),BN172*DI172,0)</f>
        <v>0</v>
      </c>
      <c r="EZ172" s="28" t="n">
        <f aca="false">IF(ISNUMBER(BR172),BR172*DJ172,0)</f>
        <v>0</v>
      </c>
      <c r="FA172" s="28" t="n">
        <f aca="false">IF(ISNUMBER(R172),CW172,0)</f>
        <v>1</v>
      </c>
      <c r="FB172" s="28" t="n">
        <f aca="false">IF(ISNUMBER(V172),CX172,0)</f>
        <v>1</v>
      </c>
      <c r="FC172" s="28" t="n">
        <f aca="false">IF(ISNUMBER(Z172),CY172,0)</f>
        <v>1</v>
      </c>
      <c r="FD172" s="28" t="n">
        <f aca="false">IF(ISNUMBER(AD172),CZ172,0)</f>
        <v>2</v>
      </c>
      <c r="FE172" s="28" t="n">
        <f aca="false">IF(ISNUMBER(AH172),DA172,0)</f>
        <v>0</v>
      </c>
      <c r="FF172" s="28" t="n">
        <f aca="false">IF(ISNUMBER(AL172),DB172,0)</f>
        <v>0</v>
      </c>
      <c r="FG172" s="28" t="n">
        <f aca="false">IF(ISNUMBER(AP172),DC172,0)</f>
        <v>0</v>
      </c>
      <c r="FH172" s="28" t="n">
        <f aca="false">IF(ISNUMBER(AT172),DD172,0)</f>
        <v>0</v>
      </c>
      <c r="FI172" s="28" t="n">
        <f aca="false">IF(ISNUMBER(AX172),DE172,0)</f>
        <v>0</v>
      </c>
      <c r="FJ172" s="28" t="n">
        <f aca="false">IF(ISNUMBER(BB172),DF172,0)</f>
        <v>0</v>
      </c>
      <c r="FK172" s="28" t="n">
        <f aca="false">IF(ISNUMBER(BF172),DG172,0)</f>
        <v>0</v>
      </c>
      <c r="FL172" s="28" t="n">
        <f aca="false">IF(ISNUMBER(BJ172),DH172,0)</f>
        <v>0</v>
      </c>
      <c r="FM172" s="28" t="n">
        <f aca="false">IF(ISNUMBER(BN172),DI172,0)</f>
        <v>0</v>
      </c>
      <c r="FN172" s="28" t="n">
        <f aca="false">IF(ISNUMBER(BR172),DJ172,0)</f>
        <v>0</v>
      </c>
      <c r="FO172" s="28" t="str">
        <f aca="false">IFERROR(INDEX(Lists!$G$2:$G$20,MATCH($I172&amp;"|"&amp;$J172,Lists!$F$2:$F$20,0)),"")</f>
        <v>BM Exam</v>
      </c>
    </row>
    <row r="173" customFormat="false" ht="19.5" hidden="false" customHeight="true" outlineLevel="0" collapsed="false">
      <c r="A173" s="29" t="s">
        <v>274</v>
      </c>
      <c r="B173" s="29" t="s">
        <v>275</v>
      </c>
      <c r="C173" s="30" t="s">
        <v>152</v>
      </c>
      <c r="D173" s="30" t="s">
        <v>408</v>
      </c>
      <c r="E173" s="31" t="n">
        <v>6.2</v>
      </c>
      <c r="F173" s="30" t="n">
        <v>7</v>
      </c>
      <c r="G173" s="30"/>
      <c r="H173" s="32" t="s">
        <v>23</v>
      </c>
      <c r="I173" s="33" t="s">
        <v>365</v>
      </c>
      <c r="J173" s="32" t="s">
        <v>223</v>
      </c>
      <c r="K173" s="34" t="n">
        <f aca="false">IF(OR(M173="",$E173=""),"",M173-$E173)</f>
        <v>0.8</v>
      </c>
      <c r="L173" s="35" t="n">
        <f aca="false">IF(SUM(FA173:FN173)=0,"",SUM(EM173:EZ173)/SUM(FA173:FN173))</f>
        <v>75.3333333333333</v>
      </c>
      <c r="M173" s="36" t="n">
        <f aca="false">IF(OR(L173="",FO173=""),"",IFERROR(MATCH(L173,INDEX(Boundaries!$B$2:$I$30,MATCH(FO173,Boundaries!$A$2:$A$30,0),0),1)-1,""))</f>
        <v>7</v>
      </c>
      <c r="N173" s="37" t="n">
        <f aca="false">IF(COUNT($DY173:$EL173)&lt;2,"",INDEX($DK173:$DX173,MAX($DY173:$EL173))-INDEX($DK173:$DX173,MIN($DY173:$EL173)))</f>
        <v>0</v>
      </c>
      <c r="O173" s="37" t="n">
        <f aca="false">IF(COUNT($DY173:$EL173)&lt;2,"",INDEX($DK173:$DX173,MAX($DY173:$EL173))-INDEX($DK173:$DX173,LARGE($DY173:$EL173,2)))</f>
        <v>2</v>
      </c>
      <c r="P173" s="38" t="str">
        <f aca="false">IF(K173="","",IF(K173&gt;=0,"On/above target",IF(AND(N173&lt;&gt;"",N173&gt;=0.5),"Improving towards target",IF(AND(O173&lt;&gt;"",O173&lt;=-0.5),"Declining","Stable below target"))))</f>
        <v>On/above target</v>
      </c>
      <c r="Q173" s="39" t="n">
        <v>21</v>
      </c>
      <c r="R173" s="40" t="n">
        <f aca="false">IF(OR(Q173="",BU173=""),"",Q173/BU173*100)</f>
        <v>87.5</v>
      </c>
      <c r="S173" s="41" t="n">
        <f aca="false">IF(R173="","",IFERROR(MATCH(R173,INDEX(Boundaries!$B$2:$I$30,MATCH(CI173,Boundaries!$A$2:$A$30,0),0),1)-1,""))</f>
        <v>7</v>
      </c>
      <c r="T173" s="42" t="n">
        <f aca="false">IF(OR(S173="",$E173=""),"",S173-$E173)</f>
        <v>0.8</v>
      </c>
      <c r="U173" s="39" t="n">
        <v>15</v>
      </c>
      <c r="V173" s="40" t="n">
        <f aca="false">IF(OR(U173="",BV173=""),"",U173/BV173*100)</f>
        <v>75</v>
      </c>
      <c r="W173" s="41" t="n">
        <f aca="false">IF(V173="","",IFERROR(MATCH(V173,INDEX(Boundaries!$B$2:$I$30,MATCH(CJ173,Boundaries!$A$2:$A$30,0),0),1)-1,""))</f>
        <v>7</v>
      </c>
      <c r="X173" s="42" t="n">
        <f aca="false">IF(OR(W173="",$E173=""),"",W173-$E173)</f>
        <v>0.8</v>
      </c>
      <c r="Y173" s="39" t="n">
        <v>13</v>
      </c>
      <c r="Z173" s="40" t="n">
        <f aca="false">IF(OR(Y173="",BW173=""),"",Y173/BW173*100)</f>
        <v>54.1666666666667</v>
      </c>
      <c r="AA173" s="41" t="n">
        <f aca="false">IF(Z173="","",IFERROR(MATCH(Z173,INDEX(Boundaries!$B$2:$I$30,MATCH(CK173,Boundaries!$A$2:$A$30,0),0),1)-1,""))</f>
        <v>5</v>
      </c>
      <c r="AB173" s="42" t="n">
        <f aca="false">IF(OR(AA173="",$E173=""),"",AA173-$E173)</f>
        <v>-1.2</v>
      </c>
      <c r="AC173" s="39" t="n">
        <v>32</v>
      </c>
      <c r="AD173" s="40" t="n">
        <f aca="false">IF(OR(AC173="",BX173=""),"",AC173/BX173*100)</f>
        <v>80</v>
      </c>
      <c r="AE173" s="41" t="n">
        <f aca="false">IF(AD173="","",IFERROR(MATCH(AD173,INDEX(Boundaries!$B$2:$I$30,MATCH(CL173,Boundaries!$A$2:$A$30,0),0),1)-1,""))</f>
        <v>7</v>
      </c>
      <c r="AF173" s="42" t="n">
        <f aca="false">IF(OR(AE173="",$E173=""),"",AE173-$E173)</f>
        <v>0.8</v>
      </c>
      <c r="AG173" s="39"/>
      <c r="AH173" s="40" t="str">
        <f aca="false">IF(OR(AG173="",BY173=""),"",AG173/BY173*100)</f>
        <v/>
      </c>
      <c r="AI173" s="41" t="str">
        <f aca="false">IF(AH173="","",IFERROR(MATCH(AH173,INDEX(Boundaries!$B$2:$I$30,MATCH(CM173,Boundaries!$A$2:$A$30,0),0),1)-1,""))</f>
        <v/>
      </c>
      <c r="AJ173" s="42" t="str">
        <f aca="false">IF(OR(AI173="",$E173=""),"",AI173-$E173)</f>
        <v/>
      </c>
      <c r="AK173" s="39"/>
      <c r="AL173" s="40" t="str">
        <f aca="false">IF(OR(AK173="",BZ173=""),"",AK173/BZ173*100)</f>
        <v/>
      </c>
      <c r="AM173" s="41" t="str">
        <f aca="false">IF(AL173="","",IFERROR(MATCH(AL173,INDEX(Boundaries!$B$2:$I$30,MATCH(CN173,Boundaries!$A$2:$A$30,0),0),1)-1,""))</f>
        <v/>
      </c>
      <c r="AN173" s="42" t="str">
        <f aca="false">IF(OR(AM173="",$E173=""),"",AM173-$E173)</f>
        <v/>
      </c>
      <c r="AO173" s="39"/>
      <c r="AP173" s="40" t="str">
        <f aca="false">IF(OR(AO173="",CA173=""),"",AO173/CA173*100)</f>
        <v/>
      </c>
      <c r="AQ173" s="41" t="str">
        <f aca="false">IF(AP173="","",IFERROR(MATCH(AP173,INDEX(Boundaries!$B$2:$I$30,MATCH(CO173,Boundaries!$A$2:$A$30,0),0),1)-1,""))</f>
        <v/>
      </c>
      <c r="AR173" s="42" t="str">
        <f aca="false">IF(OR(AQ173="",$E173=""),"",AQ173-$E173)</f>
        <v/>
      </c>
      <c r="AS173" s="39"/>
      <c r="AT173" s="40" t="str">
        <f aca="false">IF(OR(AS173="",CB173=""),"",AS173/CB173*100)</f>
        <v/>
      </c>
      <c r="AU173" s="41" t="str">
        <f aca="false">IF(AT173="","",IFERROR(MATCH(AT173,INDEX(Boundaries!$B$2:$I$30,MATCH(CP173,Boundaries!$A$2:$A$30,0),0),1)-1,""))</f>
        <v/>
      </c>
      <c r="AV173" s="42" t="str">
        <f aca="false">IF(OR(AU173="",$E173=""),"",AU173-$E173)</f>
        <v/>
      </c>
      <c r="AW173" s="39"/>
      <c r="AX173" s="40" t="str">
        <f aca="false">IF(OR(AW173="",CC173=""),"",AW173/CC173*100)</f>
        <v/>
      </c>
      <c r="AY173" s="41" t="str">
        <f aca="false">IF(AX173="","",IFERROR(MATCH(AX173,INDEX(Boundaries!$B$2:$I$30,MATCH(CQ173,Boundaries!$A$2:$A$30,0),0),1)-1,""))</f>
        <v/>
      </c>
      <c r="AZ173" s="42" t="str">
        <f aca="false">IF(OR(AY173="",$E173=""),"",AY173-$E173)</f>
        <v/>
      </c>
      <c r="BA173" s="39"/>
      <c r="BB173" s="40" t="str">
        <f aca="false">IF(OR(BA173="",CD173=""),"",BA173/CD173*100)</f>
        <v/>
      </c>
      <c r="BC173" s="41" t="str">
        <f aca="false">IF(BB173="","",IFERROR(MATCH(BB173,INDEX(Boundaries!$B$2:$I$30,MATCH(CR173,Boundaries!$A$2:$A$30,0),0),1)-1,""))</f>
        <v/>
      </c>
      <c r="BD173" s="42" t="str">
        <f aca="false">IF(OR(BC173="",$E173=""),"",BC173-$E173)</f>
        <v/>
      </c>
      <c r="BE173" s="39"/>
      <c r="BF173" s="40" t="str">
        <f aca="false">IF(OR(BE173="",CE173=""),"",BE173/CE173*100)</f>
        <v/>
      </c>
      <c r="BG173" s="41" t="str">
        <f aca="false">IF(BF173="","",IFERROR(MATCH(BF173,INDEX(Boundaries!$B$2:$I$30,MATCH(CS173,Boundaries!$A$2:$A$30,0),0),1)-1,""))</f>
        <v/>
      </c>
      <c r="BH173" s="42" t="str">
        <f aca="false">IF(OR(BG173="",$E173=""),"",BG173-$E173)</f>
        <v/>
      </c>
      <c r="BI173" s="39"/>
      <c r="BJ173" s="40" t="str">
        <f aca="false">IF(OR(BI173="",CF173=""),"",BI173/CF173*100)</f>
        <v/>
      </c>
      <c r="BK173" s="41" t="str">
        <f aca="false">IF(BJ173="","",IFERROR(MATCH(BJ173,INDEX(Boundaries!$B$2:$I$30,MATCH(CT173,Boundaries!$A$2:$A$30,0),0),1)-1,""))</f>
        <v/>
      </c>
      <c r="BL173" s="42" t="str">
        <f aca="false">IF(OR(BK173="",$E173=""),"",BK173-$E173)</f>
        <v/>
      </c>
      <c r="BM173" s="39"/>
      <c r="BN173" s="40" t="str">
        <f aca="false">IF(OR(BM173="",CG173=""),"",BM173/CG173*100)</f>
        <v/>
      </c>
      <c r="BO173" s="41" t="str">
        <f aca="false">IF(BN173="","",IFERROR(MATCH(BN173,INDEX(Boundaries!$B$2:$I$30,MATCH(CU173,Boundaries!$A$2:$A$30,0),0),1)-1,""))</f>
        <v/>
      </c>
      <c r="BP173" s="42" t="str">
        <f aca="false">IF(OR(BO173="",$E173=""),"",BO173-$E173)</f>
        <v/>
      </c>
      <c r="BQ173" s="39"/>
      <c r="BR173" s="40" t="str">
        <f aca="false">IF(OR(BQ173="",CH173=""),"",BQ173/CH173*100)</f>
        <v/>
      </c>
      <c r="BS173" s="41" t="str">
        <f aca="false">IF(BR173="","",IFERROR(MATCH(BR173,INDEX(Boundaries!$B$2:$I$30,MATCH(CV173,Boundaries!$A$2:$A$30,0),0),1)-1,""))</f>
        <v/>
      </c>
      <c r="BT173" s="42" t="str">
        <f aca="false">IF(OR(BS173="",$E173=""),"",BS173-$E173)</f>
        <v/>
      </c>
      <c r="BU173" s="28" t="n">
        <f aca="false">IFERROR(INDEX(Assessments!$H$2:$H$600,MATCH($H173&amp;"|"&amp;$I173&amp;"|"&amp;$J173&amp;"|"&amp;1,Assessments!$A$2:$A$600,0)),"")</f>
        <v>24</v>
      </c>
      <c r="BV173" s="28" t="n">
        <f aca="false">IFERROR(INDEX(Assessments!$H$2:$H$600,MATCH($H173&amp;"|"&amp;$I173&amp;"|"&amp;$J173&amp;"|"&amp;2,Assessments!$A$2:$A$600,0)),"")</f>
        <v>20</v>
      </c>
      <c r="BW173" s="28" t="n">
        <f aca="false">IFERROR(INDEX(Assessments!$H$2:$H$600,MATCH($H173&amp;"|"&amp;$I173&amp;"|"&amp;$J173&amp;"|"&amp;3,Assessments!$A$2:$A$600,0)),"")</f>
        <v>24</v>
      </c>
      <c r="BX173" s="28" t="n">
        <f aca="false">IFERROR(INDEX(Assessments!$H$2:$H$600,MATCH($H173&amp;"|"&amp;$I173&amp;"|"&amp;$J173&amp;"|"&amp;4,Assessments!$A$2:$A$600,0)),"")</f>
        <v>40</v>
      </c>
      <c r="BY173" s="28" t="n">
        <f aca="false">IFERROR(INDEX(Assessments!$H$2:$H$600,MATCH($H173&amp;"|"&amp;$I173&amp;"|"&amp;$J173&amp;"|"&amp;5,Assessments!$A$2:$A$600,0)),"")</f>
        <v>30</v>
      </c>
      <c r="BZ173" s="28" t="n">
        <f aca="false">IFERROR(INDEX(Assessments!$H$2:$H$600,MATCH($H173&amp;"|"&amp;$I173&amp;"|"&amp;$J173&amp;"|"&amp;6,Assessments!$A$2:$A$600,0)),"")</f>
        <v>20</v>
      </c>
      <c r="CA173" s="28" t="n">
        <f aca="false">IFERROR(INDEX(Assessments!$H$2:$H$600,MATCH($H173&amp;"|"&amp;$I173&amp;"|"&amp;$J173&amp;"|"&amp;7,Assessments!$A$2:$A$600,0)),"")</f>
        <v>40</v>
      </c>
      <c r="CB173" s="28" t="str">
        <f aca="false">IFERROR(INDEX(Assessments!$H$2:$H$600,MATCH($H173&amp;"|"&amp;$I173&amp;"|"&amp;$J173&amp;"|"&amp;8,Assessments!$A$2:$A$600,0)),"")</f>
        <v/>
      </c>
      <c r="CC173" s="28" t="str">
        <f aca="false">IFERROR(INDEX(Assessments!$H$2:$H$600,MATCH($H173&amp;"|"&amp;$I173&amp;"|"&amp;$J173&amp;"|"&amp;9,Assessments!$A$2:$A$600,0)),"")</f>
        <v/>
      </c>
      <c r="CD173" s="28" t="str">
        <f aca="false">IFERROR(INDEX(Assessments!$H$2:$H$600,MATCH($H173&amp;"|"&amp;$I173&amp;"|"&amp;$J173&amp;"|"&amp;10,Assessments!$A$2:$A$600,0)),"")</f>
        <v/>
      </c>
      <c r="CE173" s="28" t="str">
        <f aca="false">IFERROR(INDEX(Assessments!$H$2:$H$600,MATCH($H173&amp;"|"&amp;$I173&amp;"|"&amp;$J173&amp;"|"&amp;11,Assessments!$A$2:$A$600,0)),"")</f>
        <v/>
      </c>
      <c r="CF173" s="28" t="str">
        <f aca="false">IFERROR(INDEX(Assessments!$H$2:$H$600,MATCH($H173&amp;"|"&amp;$I173&amp;"|"&amp;$J173&amp;"|"&amp;12,Assessments!$A$2:$A$600,0)),"")</f>
        <v/>
      </c>
      <c r="CG173" s="28" t="str">
        <f aca="false">IFERROR(INDEX(Assessments!$H$2:$H$600,MATCH($H173&amp;"|"&amp;$I173&amp;"|"&amp;$J173&amp;"|"&amp;13,Assessments!$A$2:$A$600,0)),"")</f>
        <v/>
      </c>
      <c r="CH173" s="28" t="str">
        <f aca="false">IFERROR(INDEX(Assessments!$H$2:$H$600,MATCH($H173&amp;"|"&amp;$I173&amp;"|"&amp;$J173&amp;"|"&amp;14,Assessments!$A$2:$A$600,0)),"")</f>
        <v/>
      </c>
      <c r="CI173" s="28" t="str">
        <f aca="false">IFERROR(INDEX(Assessments!$I$2:$I$600,MATCH($H173&amp;"|"&amp;$I173&amp;"|"&amp;$J173&amp;"|"&amp;1,Assessments!$A$2:$A$600,0)),"")</f>
        <v>BM Test</v>
      </c>
      <c r="CJ173" s="28" t="str">
        <f aca="false">IFERROR(INDEX(Assessments!$I$2:$I$600,MATCH($H173&amp;"|"&amp;$I173&amp;"|"&amp;$J173&amp;"|"&amp;2,Assessments!$A$2:$A$600,0)),"")</f>
        <v>BM Test</v>
      </c>
      <c r="CK173" s="28" t="str">
        <f aca="false">IFERROR(INDEX(Assessments!$I$2:$I$600,MATCH($H173&amp;"|"&amp;$I173&amp;"|"&amp;$J173&amp;"|"&amp;3,Assessments!$A$2:$A$600,0)),"")</f>
        <v>BM Test</v>
      </c>
      <c r="CL173" s="28" t="str">
        <f aca="false">IFERROR(INDEX(Assessments!$I$2:$I$600,MATCH($H173&amp;"|"&amp;$I173&amp;"|"&amp;$J173&amp;"|"&amp;4,Assessments!$A$2:$A$600,0)),"")</f>
        <v>BM Exam</v>
      </c>
      <c r="CM173" s="28" t="str">
        <f aca="false">IFERROR(INDEX(Assessments!$I$2:$I$600,MATCH($H173&amp;"|"&amp;$I173&amp;"|"&amp;$J173&amp;"|"&amp;5,Assessments!$A$2:$A$600,0)),"")</f>
        <v>BM Test</v>
      </c>
      <c r="CN173" s="28" t="str">
        <f aca="false">IFERROR(INDEX(Assessments!$I$2:$I$600,MATCH($H173&amp;"|"&amp;$I173&amp;"|"&amp;$J173&amp;"|"&amp;6,Assessments!$A$2:$A$600,0)),"")</f>
        <v>BM Test</v>
      </c>
      <c r="CO173" s="28" t="str">
        <f aca="false">IFERROR(INDEX(Assessments!$I$2:$I$600,MATCH($H173&amp;"|"&amp;$I173&amp;"|"&amp;$J173&amp;"|"&amp;7,Assessments!$A$2:$A$600,0)),"")</f>
        <v>BM Exam</v>
      </c>
      <c r="CP173" s="28" t="str">
        <f aca="false">IFERROR(INDEX(Assessments!$I$2:$I$600,MATCH($H173&amp;"|"&amp;$I173&amp;"|"&amp;$J173&amp;"|"&amp;8,Assessments!$A$2:$A$600,0)),"")</f>
        <v/>
      </c>
      <c r="CQ173" s="28" t="str">
        <f aca="false">IFERROR(INDEX(Assessments!$I$2:$I$600,MATCH($H173&amp;"|"&amp;$I173&amp;"|"&amp;$J173&amp;"|"&amp;9,Assessments!$A$2:$A$600,0)),"")</f>
        <v/>
      </c>
      <c r="CR173" s="28" t="str">
        <f aca="false">IFERROR(INDEX(Assessments!$I$2:$I$600,MATCH($H173&amp;"|"&amp;$I173&amp;"|"&amp;$J173&amp;"|"&amp;10,Assessments!$A$2:$A$600,0)),"")</f>
        <v/>
      </c>
      <c r="CS173" s="28" t="str">
        <f aca="false">IFERROR(INDEX(Assessments!$I$2:$I$600,MATCH($H173&amp;"|"&amp;$I173&amp;"|"&amp;$J173&amp;"|"&amp;11,Assessments!$A$2:$A$600,0)),"")</f>
        <v/>
      </c>
      <c r="CT173" s="28" t="str">
        <f aca="false">IFERROR(INDEX(Assessments!$I$2:$I$600,MATCH($H173&amp;"|"&amp;$I173&amp;"|"&amp;$J173&amp;"|"&amp;12,Assessments!$A$2:$A$600,0)),"")</f>
        <v/>
      </c>
      <c r="CU173" s="28" t="str">
        <f aca="false">IFERROR(INDEX(Assessments!$I$2:$I$600,MATCH($H173&amp;"|"&amp;$I173&amp;"|"&amp;$J173&amp;"|"&amp;13,Assessments!$A$2:$A$600,0)),"")</f>
        <v/>
      </c>
      <c r="CV173" s="28" t="str">
        <f aca="false">IFERROR(INDEX(Assessments!$I$2:$I$600,MATCH($H173&amp;"|"&amp;$I173&amp;"|"&amp;$J173&amp;"|"&amp;14,Assessments!$A$2:$A$600,0)),"")</f>
        <v/>
      </c>
      <c r="CW173" s="28" t="n">
        <f aca="false">IFERROR(INDEX(Assessments!$J$2:$J$600,MATCH($H173&amp;"|"&amp;$I173&amp;"|"&amp;$J173&amp;"|"&amp;1,Assessments!$A$2:$A$600,0)),0)</f>
        <v>1</v>
      </c>
      <c r="CX173" s="28" t="n">
        <f aca="false">IFERROR(INDEX(Assessments!$J$2:$J$600,MATCH($H173&amp;"|"&amp;$I173&amp;"|"&amp;$J173&amp;"|"&amp;2,Assessments!$A$2:$A$600,0)),0)</f>
        <v>1</v>
      </c>
      <c r="CY173" s="28" t="n">
        <f aca="false">IFERROR(INDEX(Assessments!$J$2:$J$600,MATCH($H173&amp;"|"&amp;$I173&amp;"|"&amp;$J173&amp;"|"&amp;3,Assessments!$A$2:$A$600,0)),0)</f>
        <v>1</v>
      </c>
      <c r="CZ173" s="28" t="n">
        <f aca="false">IFERROR(INDEX(Assessments!$J$2:$J$600,MATCH($H173&amp;"|"&amp;$I173&amp;"|"&amp;$J173&amp;"|"&amp;4,Assessments!$A$2:$A$600,0)),0)</f>
        <v>2</v>
      </c>
      <c r="DA173" s="28" t="n">
        <f aca="false">IFERROR(INDEX(Assessments!$J$2:$J$600,MATCH($H173&amp;"|"&amp;$I173&amp;"|"&amp;$J173&amp;"|"&amp;5,Assessments!$A$2:$A$600,0)),0)</f>
        <v>1</v>
      </c>
      <c r="DB173" s="28" t="n">
        <f aca="false">IFERROR(INDEX(Assessments!$J$2:$J$600,MATCH($H173&amp;"|"&amp;$I173&amp;"|"&amp;$J173&amp;"|"&amp;6,Assessments!$A$2:$A$600,0)),0)</f>
        <v>1</v>
      </c>
      <c r="DC173" s="28" t="n">
        <f aca="false">IFERROR(INDEX(Assessments!$J$2:$J$600,MATCH($H173&amp;"|"&amp;$I173&amp;"|"&amp;$J173&amp;"|"&amp;7,Assessments!$A$2:$A$600,0)),0)</f>
        <v>2</v>
      </c>
      <c r="DD173" s="28" t="n">
        <f aca="false">IFERROR(INDEX(Assessments!$J$2:$J$600,MATCH($H173&amp;"|"&amp;$I173&amp;"|"&amp;$J173&amp;"|"&amp;8,Assessments!$A$2:$A$600,0)),0)</f>
        <v>0</v>
      </c>
      <c r="DE173" s="28" t="n">
        <f aca="false">IFERROR(INDEX(Assessments!$J$2:$J$600,MATCH($H173&amp;"|"&amp;$I173&amp;"|"&amp;$J173&amp;"|"&amp;9,Assessments!$A$2:$A$600,0)),0)</f>
        <v>0</v>
      </c>
      <c r="DF173" s="28" t="n">
        <f aca="false">IFERROR(INDEX(Assessments!$J$2:$J$600,MATCH($H173&amp;"|"&amp;$I173&amp;"|"&amp;$J173&amp;"|"&amp;10,Assessments!$A$2:$A$600,0)),0)</f>
        <v>0</v>
      </c>
      <c r="DG173" s="28" t="n">
        <f aca="false">IFERROR(INDEX(Assessments!$J$2:$J$600,MATCH($H173&amp;"|"&amp;$I173&amp;"|"&amp;$J173&amp;"|"&amp;11,Assessments!$A$2:$A$600,0)),0)</f>
        <v>0</v>
      </c>
      <c r="DH173" s="28" t="n">
        <f aca="false">IFERROR(INDEX(Assessments!$J$2:$J$600,MATCH($H173&amp;"|"&amp;$I173&amp;"|"&amp;$J173&amp;"|"&amp;12,Assessments!$A$2:$A$600,0)),0)</f>
        <v>0</v>
      </c>
      <c r="DI173" s="28" t="n">
        <f aca="false">IFERROR(INDEX(Assessments!$J$2:$J$600,MATCH($H173&amp;"|"&amp;$I173&amp;"|"&amp;$J173&amp;"|"&amp;13,Assessments!$A$2:$A$600,0)),0)</f>
        <v>0</v>
      </c>
      <c r="DJ173" s="28" t="n">
        <f aca="false">IFERROR(INDEX(Assessments!$J$2:$J$600,MATCH($H173&amp;"|"&amp;$I173&amp;"|"&amp;$J173&amp;"|"&amp;14,Assessments!$A$2:$A$600,0)),0)</f>
        <v>0</v>
      </c>
      <c r="DK173" s="28" t="n">
        <f aca="false">S173</f>
        <v>7</v>
      </c>
      <c r="DL173" s="28" t="n">
        <f aca="false">W173</f>
        <v>7</v>
      </c>
      <c r="DM173" s="28" t="n">
        <f aca="false">AA173</f>
        <v>5</v>
      </c>
      <c r="DN173" s="28" t="n">
        <f aca="false">AE173</f>
        <v>7</v>
      </c>
      <c r="DO173" s="28" t="str">
        <f aca="false">AI173</f>
        <v/>
      </c>
      <c r="DP173" s="28" t="str">
        <f aca="false">AM173</f>
        <v/>
      </c>
      <c r="DQ173" s="28" t="str">
        <f aca="false">AQ173</f>
        <v/>
      </c>
      <c r="DR173" s="28" t="str">
        <f aca="false">AU173</f>
        <v/>
      </c>
      <c r="DS173" s="28" t="str">
        <f aca="false">AY173</f>
        <v/>
      </c>
      <c r="DT173" s="28" t="str">
        <f aca="false">BC173</f>
        <v/>
      </c>
      <c r="DU173" s="28" t="str">
        <f aca="false">BG173</f>
        <v/>
      </c>
      <c r="DV173" s="28" t="str">
        <f aca="false">BK173</f>
        <v/>
      </c>
      <c r="DW173" s="28" t="str">
        <f aca="false">BO173</f>
        <v/>
      </c>
      <c r="DX173" s="28" t="str">
        <f aca="false">BS173</f>
        <v/>
      </c>
      <c r="DY173" s="28" t="n">
        <f aca="false">IF(ISNUMBER(S173),1,"")</f>
        <v>1</v>
      </c>
      <c r="DZ173" s="28" t="n">
        <f aca="false">IF(ISNUMBER(W173),2,"")</f>
        <v>2</v>
      </c>
      <c r="EA173" s="28" t="n">
        <f aca="false">IF(ISNUMBER(AA173),3,"")</f>
        <v>3</v>
      </c>
      <c r="EB173" s="28" t="n">
        <f aca="false">IF(ISNUMBER(AE173),4,"")</f>
        <v>4</v>
      </c>
      <c r="EC173" s="28" t="str">
        <f aca="false">IF(ISNUMBER(AI173),5,"")</f>
        <v/>
      </c>
      <c r="ED173" s="28" t="str">
        <f aca="false">IF(ISNUMBER(AM173),6,"")</f>
        <v/>
      </c>
      <c r="EE173" s="28" t="str">
        <f aca="false">IF(ISNUMBER(AQ173),7,"")</f>
        <v/>
      </c>
      <c r="EF173" s="28" t="str">
        <f aca="false">IF(ISNUMBER(AU173),8,"")</f>
        <v/>
      </c>
      <c r="EG173" s="28" t="str">
        <f aca="false">IF(ISNUMBER(AY173),9,"")</f>
        <v/>
      </c>
      <c r="EH173" s="28" t="str">
        <f aca="false">IF(ISNUMBER(BC173),10,"")</f>
        <v/>
      </c>
      <c r="EI173" s="28" t="str">
        <f aca="false">IF(ISNUMBER(BG173),11,"")</f>
        <v/>
      </c>
      <c r="EJ173" s="28" t="str">
        <f aca="false">IF(ISNUMBER(BK173),12,"")</f>
        <v/>
      </c>
      <c r="EK173" s="28" t="str">
        <f aca="false">IF(ISNUMBER(BO173),13,"")</f>
        <v/>
      </c>
      <c r="EL173" s="28" t="str">
        <f aca="false">IF(ISNUMBER(BS173),14,"")</f>
        <v/>
      </c>
      <c r="EM173" s="28" t="n">
        <f aca="false">IF(ISNUMBER(R173),R173*CW173,0)</f>
        <v>87.5</v>
      </c>
      <c r="EN173" s="28" t="n">
        <f aca="false">IF(ISNUMBER(V173),V173*CX173,0)</f>
        <v>75</v>
      </c>
      <c r="EO173" s="28" t="n">
        <f aca="false">IF(ISNUMBER(Z173),Z173*CY173,0)</f>
        <v>54.1666666666667</v>
      </c>
      <c r="EP173" s="28" t="n">
        <f aca="false">IF(ISNUMBER(AD173),AD173*CZ173,0)</f>
        <v>160</v>
      </c>
      <c r="EQ173" s="28" t="n">
        <f aca="false">IF(ISNUMBER(AH173),AH173*DA173,0)</f>
        <v>0</v>
      </c>
      <c r="ER173" s="28" t="n">
        <f aca="false">IF(ISNUMBER(AL173),AL173*DB173,0)</f>
        <v>0</v>
      </c>
      <c r="ES173" s="28" t="n">
        <f aca="false">IF(ISNUMBER(AP173),AP173*DC173,0)</f>
        <v>0</v>
      </c>
      <c r="ET173" s="28" t="n">
        <f aca="false">IF(ISNUMBER(AT173),AT173*DD173,0)</f>
        <v>0</v>
      </c>
      <c r="EU173" s="28" t="n">
        <f aca="false">IF(ISNUMBER(AX173),AX173*DE173,0)</f>
        <v>0</v>
      </c>
      <c r="EV173" s="28" t="n">
        <f aca="false">IF(ISNUMBER(BB173),BB173*DF173,0)</f>
        <v>0</v>
      </c>
      <c r="EW173" s="28" t="n">
        <f aca="false">IF(ISNUMBER(BF173),BF173*DG173,0)</f>
        <v>0</v>
      </c>
      <c r="EX173" s="28" t="n">
        <f aca="false">IF(ISNUMBER(BJ173),BJ173*DH173,0)</f>
        <v>0</v>
      </c>
      <c r="EY173" s="28" t="n">
        <f aca="false">IF(ISNUMBER(BN173),BN173*DI173,0)</f>
        <v>0</v>
      </c>
      <c r="EZ173" s="28" t="n">
        <f aca="false">IF(ISNUMBER(BR173),BR173*DJ173,0)</f>
        <v>0</v>
      </c>
      <c r="FA173" s="28" t="n">
        <f aca="false">IF(ISNUMBER(R173),CW173,0)</f>
        <v>1</v>
      </c>
      <c r="FB173" s="28" t="n">
        <f aca="false">IF(ISNUMBER(V173),CX173,0)</f>
        <v>1</v>
      </c>
      <c r="FC173" s="28" t="n">
        <f aca="false">IF(ISNUMBER(Z173),CY173,0)</f>
        <v>1</v>
      </c>
      <c r="FD173" s="28" t="n">
        <f aca="false">IF(ISNUMBER(AD173),CZ173,0)</f>
        <v>2</v>
      </c>
      <c r="FE173" s="28" t="n">
        <f aca="false">IF(ISNUMBER(AH173),DA173,0)</f>
        <v>0</v>
      </c>
      <c r="FF173" s="28" t="n">
        <f aca="false">IF(ISNUMBER(AL173),DB173,0)</f>
        <v>0</v>
      </c>
      <c r="FG173" s="28" t="n">
        <f aca="false">IF(ISNUMBER(AP173),DC173,0)</f>
        <v>0</v>
      </c>
      <c r="FH173" s="28" t="n">
        <f aca="false">IF(ISNUMBER(AT173),DD173,0)</f>
        <v>0</v>
      </c>
      <c r="FI173" s="28" t="n">
        <f aca="false">IF(ISNUMBER(AX173),DE173,0)</f>
        <v>0</v>
      </c>
      <c r="FJ173" s="28" t="n">
        <f aca="false">IF(ISNUMBER(BB173),DF173,0)</f>
        <v>0</v>
      </c>
      <c r="FK173" s="28" t="n">
        <f aca="false">IF(ISNUMBER(BF173),DG173,0)</f>
        <v>0</v>
      </c>
      <c r="FL173" s="28" t="n">
        <f aca="false">IF(ISNUMBER(BJ173),DH173,0)</f>
        <v>0</v>
      </c>
      <c r="FM173" s="28" t="n">
        <f aca="false">IF(ISNUMBER(BN173),DI173,0)</f>
        <v>0</v>
      </c>
      <c r="FN173" s="28" t="n">
        <f aca="false">IF(ISNUMBER(BR173),DJ173,0)</f>
        <v>0</v>
      </c>
      <c r="FO173" s="28" t="str">
        <f aca="false">IFERROR(INDEX(Lists!$G$2:$G$20,MATCH($I173&amp;"|"&amp;$J173,Lists!$F$2:$F$20,0)),"")</f>
        <v>BM Exam</v>
      </c>
    </row>
    <row r="174" customFormat="false" ht="19.5" hidden="false" customHeight="true" outlineLevel="0" collapsed="false">
      <c r="A174" s="29" t="s">
        <v>200</v>
      </c>
      <c r="B174" s="29" t="s">
        <v>201</v>
      </c>
      <c r="C174" s="30" t="s">
        <v>152</v>
      </c>
      <c r="D174" s="30" t="s">
        <v>408</v>
      </c>
      <c r="E174" s="31" t="n">
        <v>5.9</v>
      </c>
      <c r="F174" s="30" t="n">
        <v>6</v>
      </c>
      <c r="G174" s="30"/>
      <c r="H174" s="32" t="s">
        <v>23</v>
      </c>
      <c r="I174" s="33" t="s">
        <v>365</v>
      </c>
      <c r="J174" s="32" t="s">
        <v>223</v>
      </c>
      <c r="K174" s="34" t="n">
        <f aca="false">IF(OR(M174="",$E174=""),"",M174-$E174)</f>
        <v>1.1</v>
      </c>
      <c r="L174" s="35" t="n">
        <f aca="false">IF(SUM(FA174:FN174)=0,"",SUM(EM174:EZ174)/SUM(FA174:FN174))</f>
        <v>78.6666666666667</v>
      </c>
      <c r="M174" s="36" t="n">
        <f aca="false">IF(OR(L174="",FO174=""),"",IFERROR(MATCH(L174,INDEX(Boundaries!$B$2:$I$30,MATCH(FO174,Boundaries!$A$2:$A$30,0),0),1)-1,""))</f>
        <v>7</v>
      </c>
      <c r="N174" s="37" t="n">
        <f aca="false">IF(COUNT($DY174:$EL174)&lt;2,"",INDEX($DK174:$DX174,MAX($DY174:$EL174))-INDEX($DK174:$DX174,MIN($DY174:$EL174)))</f>
        <v>0</v>
      </c>
      <c r="O174" s="37" t="n">
        <f aca="false">IF(COUNT($DY174:$EL174)&lt;2,"",INDEX($DK174:$DX174,MAX($DY174:$EL174))-INDEX($DK174:$DX174,LARGE($DY174:$EL174,2)))</f>
        <v>1</v>
      </c>
      <c r="P174" s="38" t="str">
        <f aca="false">IF(K174="","",IF(K174&gt;=0,"On/above target",IF(AND(N174&lt;&gt;"",N174&gt;=0.5),"Improving towards target",IF(AND(O174&lt;&gt;"",O174&lt;=-0.5),"Declining","Stable below target"))))</f>
        <v>On/above target</v>
      </c>
      <c r="Q174" s="39" t="n">
        <v>22</v>
      </c>
      <c r="R174" s="40" t="n">
        <f aca="false">IF(OR(Q174="",BU174=""),"",Q174/BU174*100)</f>
        <v>91.6666666666667</v>
      </c>
      <c r="S174" s="41" t="n">
        <f aca="false">IF(R174="","",IFERROR(MATCH(R174,INDEX(Boundaries!$B$2:$I$30,MATCH(CI174,Boundaries!$A$2:$A$30,0),0),1)-1,""))</f>
        <v>7</v>
      </c>
      <c r="T174" s="42" t="n">
        <f aca="false">IF(OR(S174="",$E174=""),"",S174-$E174)</f>
        <v>1.1</v>
      </c>
      <c r="U174" s="39" t="n">
        <v>15</v>
      </c>
      <c r="V174" s="40" t="n">
        <f aca="false">IF(OR(U174="",BV174=""),"",U174/BV174*100)</f>
        <v>75</v>
      </c>
      <c r="W174" s="41" t="n">
        <f aca="false">IF(V174="","",IFERROR(MATCH(V174,INDEX(Boundaries!$B$2:$I$30,MATCH(CJ174,Boundaries!$A$2:$A$30,0),0),1)-1,""))</f>
        <v>7</v>
      </c>
      <c r="X174" s="42" t="n">
        <f aca="false">IF(OR(W174="",$E174=""),"",W174-$E174)</f>
        <v>1.1</v>
      </c>
      <c r="Y174" s="39" t="n">
        <v>16</v>
      </c>
      <c r="Z174" s="40" t="n">
        <f aca="false">IF(OR(Y174="",BW174=""),"",Y174/BW174*100)</f>
        <v>66.6666666666667</v>
      </c>
      <c r="AA174" s="41" t="n">
        <f aca="false">IF(Z174="","",IFERROR(MATCH(Z174,INDEX(Boundaries!$B$2:$I$30,MATCH(CK174,Boundaries!$A$2:$A$30,0),0),1)-1,""))</f>
        <v>6</v>
      </c>
      <c r="AB174" s="42" t="n">
        <f aca="false">IF(OR(AA174="",$E174=""),"",AA174-$E174)</f>
        <v>0.0999999999999996</v>
      </c>
      <c r="AC174" s="39" t="n">
        <v>32</v>
      </c>
      <c r="AD174" s="40" t="n">
        <f aca="false">IF(OR(AC174="",BX174=""),"",AC174/BX174*100)</f>
        <v>80</v>
      </c>
      <c r="AE174" s="41" t="n">
        <f aca="false">IF(AD174="","",IFERROR(MATCH(AD174,INDEX(Boundaries!$B$2:$I$30,MATCH(CL174,Boundaries!$A$2:$A$30,0),0),1)-1,""))</f>
        <v>7</v>
      </c>
      <c r="AF174" s="42" t="n">
        <f aca="false">IF(OR(AE174="",$E174=""),"",AE174-$E174)</f>
        <v>1.1</v>
      </c>
      <c r="AG174" s="39"/>
      <c r="AH174" s="40" t="str">
        <f aca="false">IF(OR(AG174="",BY174=""),"",AG174/BY174*100)</f>
        <v/>
      </c>
      <c r="AI174" s="41" t="str">
        <f aca="false">IF(AH174="","",IFERROR(MATCH(AH174,INDEX(Boundaries!$B$2:$I$30,MATCH(CM174,Boundaries!$A$2:$A$30,0),0),1)-1,""))</f>
        <v/>
      </c>
      <c r="AJ174" s="42" t="str">
        <f aca="false">IF(OR(AI174="",$E174=""),"",AI174-$E174)</f>
        <v/>
      </c>
      <c r="AK174" s="39"/>
      <c r="AL174" s="40" t="str">
        <f aca="false">IF(OR(AK174="",BZ174=""),"",AK174/BZ174*100)</f>
        <v/>
      </c>
      <c r="AM174" s="41" t="str">
        <f aca="false">IF(AL174="","",IFERROR(MATCH(AL174,INDEX(Boundaries!$B$2:$I$30,MATCH(CN174,Boundaries!$A$2:$A$30,0),0),1)-1,""))</f>
        <v/>
      </c>
      <c r="AN174" s="42" t="str">
        <f aca="false">IF(OR(AM174="",$E174=""),"",AM174-$E174)</f>
        <v/>
      </c>
      <c r="AO174" s="39"/>
      <c r="AP174" s="40" t="str">
        <f aca="false">IF(OR(AO174="",CA174=""),"",AO174/CA174*100)</f>
        <v/>
      </c>
      <c r="AQ174" s="41" t="str">
        <f aca="false">IF(AP174="","",IFERROR(MATCH(AP174,INDEX(Boundaries!$B$2:$I$30,MATCH(CO174,Boundaries!$A$2:$A$30,0),0),1)-1,""))</f>
        <v/>
      </c>
      <c r="AR174" s="42" t="str">
        <f aca="false">IF(OR(AQ174="",$E174=""),"",AQ174-$E174)</f>
        <v/>
      </c>
      <c r="AS174" s="39"/>
      <c r="AT174" s="40" t="str">
        <f aca="false">IF(OR(AS174="",CB174=""),"",AS174/CB174*100)</f>
        <v/>
      </c>
      <c r="AU174" s="41" t="str">
        <f aca="false">IF(AT174="","",IFERROR(MATCH(AT174,INDEX(Boundaries!$B$2:$I$30,MATCH(CP174,Boundaries!$A$2:$A$30,0),0),1)-1,""))</f>
        <v/>
      </c>
      <c r="AV174" s="42" t="str">
        <f aca="false">IF(OR(AU174="",$E174=""),"",AU174-$E174)</f>
        <v/>
      </c>
      <c r="AW174" s="39"/>
      <c r="AX174" s="40" t="str">
        <f aca="false">IF(OR(AW174="",CC174=""),"",AW174/CC174*100)</f>
        <v/>
      </c>
      <c r="AY174" s="41" t="str">
        <f aca="false">IF(AX174="","",IFERROR(MATCH(AX174,INDEX(Boundaries!$B$2:$I$30,MATCH(CQ174,Boundaries!$A$2:$A$30,0),0),1)-1,""))</f>
        <v/>
      </c>
      <c r="AZ174" s="42" t="str">
        <f aca="false">IF(OR(AY174="",$E174=""),"",AY174-$E174)</f>
        <v/>
      </c>
      <c r="BA174" s="39"/>
      <c r="BB174" s="40" t="str">
        <f aca="false">IF(OR(BA174="",CD174=""),"",BA174/CD174*100)</f>
        <v/>
      </c>
      <c r="BC174" s="41" t="str">
        <f aca="false">IF(BB174="","",IFERROR(MATCH(BB174,INDEX(Boundaries!$B$2:$I$30,MATCH(CR174,Boundaries!$A$2:$A$30,0),0),1)-1,""))</f>
        <v/>
      </c>
      <c r="BD174" s="42" t="str">
        <f aca="false">IF(OR(BC174="",$E174=""),"",BC174-$E174)</f>
        <v/>
      </c>
      <c r="BE174" s="39"/>
      <c r="BF174" s="40" t="str">
        <f aca="false">IF(OR(BE174="",CE174=""),"",BE174/CE174*100)</f>
        <v/>
      </c>
      <c r="BG174" s="41" t="str">
        <f aca="false">IF(BF174="","",IFERROR(MATCH(BF174,INDEX(Boundaries!$B$2:$I$30,MATCH(CS174,Boundaries!$A$2:$A$30,0),0),1)-1,""))</f>
        <v/>
      </c>
      <c r="BH174" s="42" t="str">
        <f aca="false">IF(OR(BG174="",$E174=""),"",BG174-$E174)</f>
        <v/>
      </c>
      <c r="BI174" s="39"/>
      <c r="BJ174" s="40" t="str">
        <f aca="false">IF(OR(BI174="",CF174=""),"",BI174/CF174*100)</f>
        <v/>
      </c>
      <c r="BK174" s="41" t="str">
        <f aca="false">IF(BJ174="","",IFERROR(MATCH(BJ174,INDEX(Boundaries!$B$2:$I$30,MATCH(CT174,Boundaries!$A$2:$A$30,0),0),1)-1,""))</f>
        <v/>
      </c>
      <c r="BL174" s="42" t="str">
        <f aca="false">IF(OR(BK174="",$E174=""),"",BK174-$E174)</f>
        <v/>
      </c>
      <c r="BM174" s="39"/>
      <c r="BN174" s="40" t="str">
        <f aca="false">IF(OR(BM174="",CG174=""),"",BM174/CG174*100)</f>
        <v/>
      </c>
      <c r="BO174" s="41" t="str">
        <f aca="false">IF(BN174="","",IFERROR(MATCH(BN174,INDEX(Boundaries!$B$2:$I$30,MATCH(CU174,Boundaries!$A$2:$A$30,0),0),1)-1,""))</f>
        <v/>
      </c>
      <c r="BP174" s="42" t="str">
        <f aca="false">IF(OR(BO174="",$E174=""),"",BO174-$E174)</f>
        <v/>
      </c>
      <c r="BQ174" s="39"/>
      <c r="BR174" s="40" t="str">
        <f aca="false">IF(OR(BQ174="",CH174=""),"",BQ174/CH174*100)</f>
        <v/>
      </c>
      <c r="BS174" s="41" t="str">
        <f aca="false">IF(BR174="","",IFERROR(MATCH(BR174,INDEX(Boundaries!$B$2:$I$30,MATCH(CV174,Boundaries!$A$2:$A$30,0),0),1)-1,""))</f>
        <v/>
      </c>
      <c r="BT174" s="42" t="str">
        <f aca="false">IF(OR(BS174="",$E174=""),"",BS174-$E174)</f>
        <v/>
      </c>
      <c r="BU174" s="28" t="n">
        <f aca="false">IFERROR(INDEX(Assessments!$H$2:$H$600,MATCH($H174&amp;"|"&amp;$I174&amp;"|"&amp;$J174&amp;"|"&amp;1,Assessments!$A$2:$A$600,0)),"")</f>
        <v>24</v>
      </c>
      <c r="BV174" s="28" t="n">
        <f aca="false">IFERROR(INDEX(Assessments!$H$2:$H$600,MATCH($H174&amp;"|"&amp;$I174&amp;"|"&amp;$J174&amp;"|"&amp;2,Assessments!$A$2:$A$600,0)),"")</f>
        <v>20</v>
      </c>
      <c r="BW174" s="28" t="n">
        <f aca="false">IFERROR(INDEX(Assessments!$H$2:$H$600,MATCH($H174&amp;"|"&amp;$I174&amp;"|"&amp;$J174&amp;"|"&amp;3,Assessments!$A$2:$A$600,0)),"")</f>
        <v>24</v>
      </c>
      <c r="BX174" s="28" t="n">
        <f aca="false">IFERROR(INDEX(Assessments!$H$2:$H$600,MATCH($H174&amp;"|"&amp;$I174&amp;"|"&amp;$J174&amp;"|"&amp;4,Assessments!$A$2:$A$600,0)),"")</f>
        <v>40</v>
      </c>
      <c r="BY174" s="28" t="n">
        <f aca="false">IFERROR(INDEX(Assessments!$H$2:$H$600,MATCH($H174&amp;"|"&amp;$I174&amp;"|"&amp;$J174&amp;"|"&amp;5,Assessments!$A$2:$A$600,0)),"")</f>
        <v>30</v>
      </c>
      <c r="BZ174" s="28" t="n">
        <f aca="false">IFERROR(INDEX(Assessments!$H$2:$H$600,MATCH($H174&amp;"|"&amp;$I174&amp;"|"&amp;$J174&amp;"|"&amp;6,Assessments!$A$2:$A$600,0)),"")</f>
        <v>20</v>
      </c>
      <c r="CA174" s="28" t="n">
        <f aca="false">IFERROR(INDEX(Assessments!$H$2:$H$600,MATCH($H174&amp;"|"&amp;$I174&amp;"|"&amp;$J174&amp;"|"&amp;7,Assessments!$A$2:$A$600,0)),"")</f>
        <v>40</v>
      </c>
      <c r="CB174" s="28" t="str">
        <f aca="false">IFERROR(INDEX(Assessments!$H$2:$H$600,MATCH($H174&amp;"|"&amp;$I174&amp;"|"&amp;$J174&amp;"|"&amp;8,Assessments!$A$2:$A$600,0)),"")</f>
        <v/>
      </c>
      <c r="CC174" s="28" t="str">
        <f aca="false">IFERROR(INDEX(Assessments!$H$2:$H$600,MATCH($H174&amp;"|"&amp;$I174&amp;"|"&amp;$J174&amp;"|"&amp;9,Assessments!$A$2:$A$600,0)),"")</f>
        <v/>
      </c>
      <c r="CD174" s="28" t="str">
        <f aca="false">IFERROR(INDEX(Assessments!$H$2:$H$600,MATCH($H174&amp;"|"&amp;$I174&amp;"|"&amp;$J174&amp;"|"&amp;10,Assessments!$A$2:$A$600,0)),"")</f>
        <v/>
      </c>
      <c r="CE174" s="28" t="str">
        <f aca="false">IFERROR(INDEX(Assessments!$H$2:$H$600,MATCH($H174&amp;"|"&amp;$I174&amp;"|"&amp;$J174&amp;"|"&amp;11,Assessments!$A$2:$A$600,0)),"")</f>
        <v/>
      </c>
      <c r="CF174" s="28" t="str">
        <f aca="false">IFERROR(INDEX(Assessments!$H$2:$H$600,MATCH($H174&amp;"|"&amp;$I174&amp;"|"&amp;$J174&amp;"|"&amp;12,Assessments!$A$2:$A$600,0)),"")</f>
        <v/>
      </c>
      <c r="CG174" s="28" t="str">
        <f aca="false">IFERROR(INDEX(Assessments!$H$2:$H$600,MATCH($H174&amp;"|"&amp;$I174&amp;"|"&amp;$J174&amp;"|"&amp;13,Assessments!$A$2:$A$600,0)),"")</f>
        <v/>
      </c>
      <c r="CH174" s="28" t="str">
        <f aca="false">IFERROR(INDEX(Assessments!$H$2:$H$600,MATCH($H174&amp;"|"&amp;$I174&amp;"|"&amp;$J174&amp;"|"&amp;14,Assessments!$A$2:$A$600,0)),"")</f>
        <v/>
      </c>
      <c r="CI174" s="28" t="str">
        <f aca="false">IFERROR(INDEX(Assessments!$I$2:$I$600,MATCH($H174&amp;"|"&amp;$I174&amp;"|"&amp;$J174&amp;"|"&amp;1,Assessments!$A$2:$A$600,0)),"")</f>
        <v>BM Test</v>
      </c>
      <c r="CJ174" s="28" t="str">
        <f aca="false">IFERROR(INDEX(Assessments!$I$2:$I$600,MATCH($H174&amp;"|"&amp;$I174&amp;"|"&amp;$J174&amp;"|"&amp;2,Assessments!$A$2:$A$600,0)),"")</f>
        <v>BM Test</v>
      </c>
      <c r="CK174" s="28" t="str">
        <f aca="false">IFERROR(INDEX(Assessments!$I$2:$I$600,MATCH($H174&amp;"|"&amp;$I174&amp;"|"&amp;$J174&amp;"|"&amp;3,Assessments!$A$2:$A$600,0)),"")</f>
        <v>BM Test</v>
      </c>
      <c r="CL174" s="28" t="str">
        <f aca="false">IFERROR(INDEX(Assessments!$I$2:$I$600,MATCH($H174&amp;"|"&amp;$I174&amp;"|"&amp;$J174&amp;"|"&amp;4,Assessments!$A$2:$A$600,0)),"")</f>
        <v>BM Exam</v>
      </c>
      <c r="CM174" s="28" t="str">
        <f aca="false">IFERROR(INDEX(Assessments!$I$2:$I$600,MATCH($H174&amp;"|"&amp;$I174&amp;"|"&amp;$J174&amp;"|"&amp;5,Assessments!$A$2:$A$600,0)),"")</f>
        <v>BM Test</v>
      </c>
      <c r="CN174" s="28" t="str">
        <f aca="false">IFERROR(INDEX(Assessments!$I$2:$I$600,MATCH($H174&amp;"|"&amp;$I174&amp;"|"&amp;$J174&amp;"|"&amp;6,Assessments!$A$2:$A$600,0)),"")</f>
        <v>BM Test</v>
      </c>
      <c r="CO174" s="28" t="str">
        <f aca="false">IFERROR(INDEX(Assessments!$I$2:$I$600,MATCH($H174&amp;"|"&amp;$I174&amp;"|"&amp;$J174&amp;"|"&amp;7,Assessments!$A$2:$A$600,0)),"")</f>
        <v>BM Exam</v>
      </c>
      <c r="CP174" s="28" t="str">
        <f aca="false">IFERROR(INDEX(Assessments!$I$2:$I$600,MATCH($H174&amp;"|"&amp;$I174&amp;"|"&amp;$J174&amp;"|"&amp;8,Assessments!$A$2:$A$600,0)),"")</f>
        <v/>
      </c>
      <c r="CQ174" s="28" t="str">
        <f aca="false">IFERROR(INDEX(Assessments!$I$2:$I$600,MATCH($H174&amp;"|"&amp;$I174&amp;"|"&amp;$J174&amp;"|"&amp;9,Assessments!$A$2:$A$600,0)),"")</f>
        <v/>
      </c>
      <c r="CR174" s="28" t="str">
        <f aca="false">IFERROR(INDEX(Assessments!$I$2:$I$600,MATCH($H174&amp;"|"&amp;$I174&amp;"|"&amp;$J174&amp;"|"&amp;10,Assessments!$A$2:$A$600,0)),"")</f>
        <v/>
      </c>
      <c r="CS174" s="28" t="str">
        <f aca="false">IFERROR(INDEX(Assessments!$I$2:$I$600,MATCH($H174&amp;"|"&amp;$I174&amp;"|"&amp;$J174&amp;"|"&amp;11,Assessments!$A$2:$A$600,0)),"")</f>
        <v/>
      </c>
      <c r="CT174" s="28" t="str">
        <f aca="false">IFERROR(INDEX(Assessments!$I$2:$I$600,MATCH($H174&amp;"|"&amp;$I174&amp;"|"&amp;$J174&amp;"|"&amp;12,Assessments!$A$2:$A$600,0)),"")</f>
        <v/>
      </c>
      <c r="CU174" s="28" t="str">
        <f aca="false">IFERROR(INDEX(Assessments!$I$2:$I$600,MATCH($H174&amp;"|"&amp;$I174&amp;"|"&amp;$J174&amp;"|"&amp;13,Assessments!$A$2:$A$600,0)),"")</f>
        <v/>
      </c>
      <c r="CV174" s="28" t="str">
        <f aca="false">IFERROR(INDEX(Assessments!$I$2:$I$600,MATCH($H174&amp;"|"&amp;$I174&amp;"|"&amp;$J174&amp;"|"&amp;14,Assessments!$A$2:$A$600,0)),"")</f>
        <v/>
      </c>
      <c r="CW174" s="28" t="n">
        <f aca="false">IFERROR(INDEX(Assessments!$J$2:$J$600,MATCH($H174&amp;"|"&amp;$I174&amp;"|"&amp;$J174&amp;"|"&amp;1,Assessments!$A$2:$A$600,0)),0)</f>
        <v>1</v>
      </c>
      <c r="CX174" s="28" t="n">
        <f aca="false">IFERROR(INDEX(Assessments!$J$2:$J$600,MATCH($H174&amp;"|"&amp;$I174&amp;"|"&amp;$J174&amp;"|"&amp;2,Assessments!$A$2:$A$600,0)),0)</f>
        <v>1</v>
      </c>
      <c r="CY174" s="28" t="n">
        <f aca="false">IFERROR(INDEX(Assessments!$J$2:$J$600,MATCH($H174&amp;"|"&amp;$I174&amp;"|"&amp;$J174&amp;"|"&amp;3,Assessments!$A$2:$A$600,0)),0)</f>
        <v>1</v>
      </c>
      <c r="CZ174" s="28" t="n">
        <f aca="false">IFERROR(INDEX(Assessments!$J$2:$J$600,MATCH($H174&amp;"|"&amp;$I174&amp;"|"&amp;$J174&amp;"|"&amp;4,Assessments!$A$2:$A$600,0)),0)</f>
        <v>2</v>
      </c>
      <c r="DA174" s="28" t="n">
        <f aca="false">IFERROR(INDEX(Assessments!$J$2:$J$600,MATCH($H174&amp;"|"&amp;$I174&amp;"|"&amp;$J174&amp;"|"&amp;5,Assessments!$A$2:$A$600,0)),0)</f>
        <v>1</v>
      </c>
      <c r="DB174" s="28" t="n">
        <f aca="false">IFERROR(INDEX(Assessments!$J$2:$J$600,MATCH($H174&amp;"|"&amp;$I174&amp;"|"&amp;$J174&amp;"|"&amp;6,Assessments!$A$2:$A$600,0)),0)</f>
        <v>1</v>
      </c>
      <c r="DC174" s="28" t="n">
        <f aca="false">IFERROR(INDEX(Assessments!$J$2:$J$600,MATCH($H174&amp;"|"&amp;$I174&amp;"|"&amp;$J174&amp;"|"&amp;7,Assessments!$A$2:$A$600,0)),0)</f>
        <v>2</v>
      </c>
      <c r="DD174" s="28" t="n">
        <f aca="false">IFERROR(INDEX(Assessments!$J$2:$J$600,MATCH($H174&amp;"|"&amp;$I174&amp;"|"&amp;$J174&amp;"|"&amp;8,Assessments!$A$2:$A$600,0)),0)</f>
        <v>0</v>
      </c>
      <c r="DE174" s="28" t="n">
        <f aca="false">IFERROR(INDEX(Assessments!$J$2:$J$600,MATCH($H174&amp;"|"&amp;$I174&amp;"|"&amp;$J174&amp;"|"&amp;9,Assessments!$A$2:$A$600,0)),0)</f>
        <v>0</v>
      </c>
      <c r="DF174" s="28" t="n">
        <f aca="false">IFERROR(INDEX(Assessments!$J$2:$J$600,MATCH($H174&amp;"|"&amp;$I174&amp;"|"&amp;$J174&amp;"|"&amp;10,Assessments!$A$2:$A$600,0)),0)</f>
        <v>0</v>
      </c>
      <c r="DG174" s="28" t="n">
        <f aca="false">IFERROR(INDEX(Assessments!$J$2:$J$600,MATCH($H174&amp;"|"&amp;$I174&amp;"|"&amp;$J174&amp;"|"&amp;11,Assessments!$A$2:$A$600,0)),0)</f>
        <v>0</v>
      </c>
      <c r="DH174" s="28" t="n">
        <f aca="false">IFERROR(INDEX(Assessments!$J$2:$J$600,MATCH($H174&amp;"|"&amp;$I174&amp;"|"&amp;$J174&amp;"|"&amp;12,Assessments!$A$2:$A$600,0)),0)</f>
        <v>0</v>
      </c>
      <c r="DI174" s="28" t="n">
        <f aca="false">IFERROR(INDEX(Assessments!$J$2:$J$600,MATCH($H174&amp;"|"&amp;$I174&amp;"|"&amp;$J174&amp;"|"&amp;13,Assessments!$A$2:$A$600,0)),0)</f>
        <v>0</v>
      </c>
      <c r="DJ174" s="28" t="n">
        <f aca="false">IFERROR(INDEX(Assessments!$J$2:$J$600,MATCH($H174&amp;"|"&amp;$I174&amp;"|"&amp;$J174&amp;"|"&amp;14,Assessments!$A$2:$A$600,0)),0)</f>
        <v>0</v>
      </c>
      <c r="DK174" s="28" t="n">
        <f aca="false">S174</f>
        <v>7</v>
      </c>
      <c r="DL174" s="28" t="n">
        <f aca="false">W174</f>
        <v>7</v>
      </c>
      <c r="DM174" s="28" t="n">
        <f aca="false">AA174</f>
        <v>6</v>
      </c>
      <c r="DN174" s="28" t="n">
        <f aca="false">AE174</f>
        <v>7</v>
      </c>
      <c r="DO174" s="28" t="str">
        <f aca="false">AI174</f>
        <v/>
      </c>
      <c r="DP174" s="28" t="str">
        <f aca="false">AM174</f>
        <v/>
      </c>
      <c r="DQ174" s="28" t="str">
        <f aca="false">AQ174</f>
        <v/>
      </c>
      <c r="DR174" s="28" t="str">
        <f aca="false">AU174</f>
        <v/>
      </c>
      <c r="DS174" s="28" t="str">
        <f aca="false">AY174</f>
        <v/>
      </c>
      <c r="DT174" s="28" t="str">
        <f aca="false">BC174</f>
        <v/>
      </c>
      <c r="DU174" s="28" t="str">
        <f aca="false">BG174</f>
        <v/>
      </c>
      <c r="DV174" s="28" t="str">
        <f aca="false">BK174</f>
        <v/>
      </c>
      <c r="DW174" s="28" t="str">
        <f aca="false">BO174</f>
        <v/>
      </c>
      <c r="DX174" s="28" t="str">
        <f aca="false">BS174</f>
        <v/>
      </c>
      <c r="DY174" s="28" t="n">
        <f aca="false">IF(ISNUMBER(S174),1,"")</f>
        <v>1</v>
      </c>
      <c r="DZ174" s="28" t="n">
        <f aca="false">IF(ISNUMBER(W174),2,"")</f>
        <v>2</v>
      </c>
      <c r="EA174" s="28" t="n">
        <f aca="false">IF(ISNUMBER(AA174),3,"")</f>
        <v>3</v>
      </c>
      <c r="EB174" s="28" t="n">
        <f aca="false">IF(ISNUMBER(AE174),4,"")</f>
        <v>4</v>
      </c>
      <c r="EC174" s="28" t="str">
        <f aca="false">IF(ISNUMBER(AI174),5,"")</f>
        <v/>
      </c>
      <c r="ED174" s="28" t="str">
        <f aca="false">IF(ISNUMBER(AM174),6,"")</f>
        <v/>
      </c>
      <c r="EE174" s="28" t="str">
        <f aca="false">IF(ISNUMBER(AQ174),7,"")</f>
        <v/>
      </c>
      <c r="EF174" s="28" t="str">
        <f aca="false">IF(ISNUMBER(AU174),8,"")</f>
        <v/>
      </c>
      <c r="EG174" s="28" t="str">
        <f aca="false">IF(ISNUMBER(AY174),9,"")</f>
        <v/>
      </c>
      <c r="EH174" s="28" t="str">
        <f aca="false">IF(ISNUMBER(BC174),10,"")</f>
        <v/>
      </c>
      <c r="EI174" s="28" t="str">
        <f aca="false">IF(ISNUMBER(BG174),11,"")</f>
        <v/>
      </c>
      <c r="EJ174" s="28" t="str">
        <f aca="false">IF(ISNUMBER(BK174),12,"")</f>
        <v/>
      </c>
      <c r="EK174" s="28" t="str">
        <f aca="false">IF(ISNUMBER(BO174),13,"")</f>
        <v/>
      </c>
      <c r="EL174" s="28" t="str">
        <f aca="false">IF(ISNUMBER(BS174),14,"")</f>
        <v/>
      </c>
      <c r="EM174" s="28" t="n">
        <f aca="false">IF(ISNUMBER(R174),R174*CW174,0)</f>
        <v>91.6666666666667</v>
      </c>
      <c r="EN174" s="28" t="n">
        <f aca="false">IF(ISNUMBER(V174),V174*CX174,0)</f>
        <v>75</v>
      </c>
      <c r="EO174" s="28" t="n">
        <f aca="false">IF(ISNUMBER(Z174),Z174*CY174,0)</f>
        <v>66.6666666666667</v>
      </c>
      <c r="EP174" s="28" t="n">
        <f aca="false">IF(ISNUMBER(AD174),AD174*CZ174,0)</f>
        <v>160</v>
      </c>
      <c r="EQ174" s="28" t="n">
        <f aca="false">IF(ISNUMBER(AH174),AH174*DA174,0)</f>
        <v>0</v>
      </c>
      <c r="ER174" s="28" t="n">
        <f aca="false">IF(ISNUMBER(AL174),AL174*DB174,0)</f>
        <v>0</v>
      </c>
      <c r="ES174" s="28" t="n">
        <f aca="false">IF(ISNUMBER(AP174),AP174*DC174,0)</f>
        <v>0</v>
      </c>
      <c r="ET174" s="28" t="n">
        <f aca="false">IF(ISNUMBER(AT174),AT174*DD174,0)</f>
        <v>0</v>
      </c>
      <c r="EU174" s="28" t="n">
        <f aca="false">IF(ISNUMBER(AX174),AX174*DE174,0)</f>
        <v>0</v>
      </c>
      <c r="EV174" s="28" t="n">
        <f aca="false">IF(ISNUMBER(BB174),BB174*DF174,0)</f>
        <v>0</v>
      </c>
      <c r="EW174" s="28" t="n">
        <f aca="false">IF(ISNUMBER(BF174),BF174*DG174,0)</f>
        <v>0</v>
      </c>
      <c r="EX174" s="28" t="n">
        <f aca="false">IF(ISNUMBER(BJ174),BJ174*DH174,0)</f>
        <v>0</v>
      </c>
      <c r="EY174" s="28" t="n">
        <f aca="false">IF(ISNUMBER(BN174),BN174*DI174,0)</f>
        <v>0</v>
      </c>
      <c r="EZ174" s="28" t="n">
        <f aca="false">IF(ISNUMBER(BR174),BR174*DJ174,0)</f>
        <v>0</v>
      </c>
      <c r="FA174" s="28" t="n">
        <f aca="false">IF(ISNUMBER(R174),CW174,0)</f>
        <v>1</v>
      </c>
      <c r="FB174" s="28" t="n">
        <f aca="false">IF(ISNUMBER(V174),CX174,0)</f>
        <v>1</v>
      </c>
      <c r="FC174" s="28" t="n">
        <f aca="false">IF(ISNUMBER(Z174),CY174,0)</f>
        <v>1</v>
      </c>
      <c r="FD174" s="28" t="n">
        <f aca="false">IF(ISNUMBER(AD174),CZ174,0)</f>
        <v>2</v>
      </c>
      <c r="FE174" s="28" t="n">
        <f aca="false">IF(ISNUMBER(AH174),DA174,0)</f>
        <v>0</v>
      </c>
      <c r="FF174" s="28" t="n">
        <f aca="false">IF(ISNUMBER(AL174),DB174,0)</f>
        <v>0</v>
      </c>
      <c r="FG174" s="28" t="n">
        <f aca="false">IF(ISNUMBER(AP174),DC174,0)</f>
        <v>0</v>
      </c>
      <c r="FH174" s="28" t="n">
        <f aca="false">IF(ISNUMBER(AT174),DD174,0)</f>
        <v>0</v>
      </c>
      <c r="FI174" s="28" t="n">
        <f aca="false">IF(ISNUMBER(AX174),DE174,0)</f>
        <v>0</v>
      </c>
      <c r="FJ174" s="28" t="n">
        <f aca="false">IF(ISNUMBER(BB174),DF174,0)</f>
        <v>0</v>
      </c>
      <c r="FK174" s="28" t="n">
        <f aca="false">IF(ISNUMBER(BF174),DG174,0)</f>
        <v>0</v>
      </c>
      <c r="FL174" s="28" t="n">
        <f aca="false">IF(ISNUMBER(BJ174),DH174,0)</f>
        <v>0</v>
      </c>
      <c r="FM174" s="28" t="n">
        <f aca="false">IF(ISNUMBER(BN174),DI174,0)</f>
        <v>0</v>
      </c>
      <c r="FN174" s="28" t="n">
        <f aca="false">IF(ISNUMBER(BR174),DJ174,0)</f>
        <v>0</v>
      </c>
      <c r="FO174" s="28" t="str">
        <f aca="false">IFERROR(INDEX(Lists!$G$2:$G$20,MATCH($I174&amp;"|"&amp;$J174,Lists!$F$2:$F$20,0)),"")</f>
        <v>BM Exam</v>
      </c>
    </row>
    <row r="175" customFormat="false" ht="19.5" hidden="false" customHeight="true" outlineLevel="0" collapsed="false">
      <c r="A175" s="29" t="s">
        <v>202</v>
      </c>
      <c r="B175" s="29" t="s">
        <v>203</v>
      </c>
      <c r="C175" s="30" t="s">
        <v>152</v>
      </c>
      <c r="D175" s="30" t="s">
        <v>408</v>
      </c>
      <c r="E175" s="31" t="n">
        <v>5</v>
      </c>
      <c r="F175" s="30" t="n">
        <v>5</v>
      </c>
      <c r="G175" s="30"/>
      <c r="H175" s="32" t="s">
        <v>23</v>
      </c>
      <c r="I175" s="33" t="s">
        <v>365</v>
      </c>
      <c r="J175" s="32" t="s">
        <v>223</v>
      </c>
      <c r="K175" s="34" t="n">
        <f aca="false">IF(OR(M175="",$E175=""),"",M175-$E175)</f>
        <v>0</v>
      </c>
      <c r="L175" s="35" t="n">
        <f aca="false">IF(SUM(FA175:FN175)=0,"",SUM(EM175:EZ175)/SUM(FA175:FN175))</f>
        <v>46.1666666666667</v>
      </c>
      <c r="M175" s="36" t="n">
        <f aca="false">IF(OR(L175="",FO175=""),"",IFERROR(MATCH(L175,INDEX(Boundaries!$B$2:$I$30,MATCH(FO175,Boundaries!$A$2:$A$30,0),0),1)-1,""))</f>
        <v>5</v>
      </c>
      <c r="N175" s="37" t="n">
        <f aca="false">IF(COUNT($DY175:$EL175)&lt;2,"",INDEX($DK175:$DX175,MAX($DY175:$EL175))-INDEX($DK175:$DX175,MIN($DY175:$EL175)))</f>
        <v>-4</v>
      </c>
      <c r="O175" s="37" t="n">
        <f aca="false">IF(COUNT($DY175:$EL175)&lt;2,"",INDEX($DK175:$DX175,MAX($DY175:$EL175))-INDEX($DK175:$DX175,LARGE($DY175:$EL175,2)))</f>
        <v>-1</v>
      </c>
      <c r="P175" s="38" t="str">
        <f aca="false">IF(K175="","",IF(K175&gt;=0,"On/above target",IF(AND(N175&lt;&gt;"",N175&gt;=0.5),"Improving towards target",IF(AND(O175&lt;&gt;"",O175&lt;=-0.5),"Declining","Stable below target"))))</f>
        <v>On/above target</v>
      </c>
      <c r="Q175" s="39" t="n">
        <v>18</v>
      </c>
      <c r="R175" s="40" t="n">
        <f aca="false">IF(OR(Q175="",BU175=""),"",Q175/BU175*100)</f>
        <v>75</v>
      </c>
      <c r="S175" s="41" t="n">
        <f aca="false">IF(R175="","",IFERROR(MATCH(R175,INDEX(Boundaries!$B$2:$I$30,MATCH(CI175,Boundaries!$A$2:$A$30,0),0),1)-1,""))</f>
        <v>7</v>
      </c>
      <c r="T175" s="42" t="n">
        <f aca="false">IF(OR(S175="",$E175=""),"",S175-$E175)</f>
        <v>2</v>
      </c>
      <c r="U175" s="39" t="n">
        <v>11</v>
      </c>
      <c r="V175" s="40" t="n">
        <f aca="false">IF(OR(U175="",BV175=""),"",U175/BV175*100)</f>
        <v>55</v>
      </c>
      <c r="W175" s="41" t="n">
        <f aca="false">IF(V175="","",IFERROR(MATCH(V175,INDEX(Boundaries!$B$2:$I$30,MATCH(CJ175,Boundaries!$A$2:$A$30,0),0),1)-1,""))</f>
        <v>5</v>
      </c>
      <c r="X175" s="42" t="n">
        <f aca="false">IF(OR(W175="",$E175=""),"",W175-$E175)</f>
        <v>0</v>
      </c>
      <c r="Y175" s="39" t="n">
        <v>11</v>
      </c>
      <c r="Z175" s="40" t="n">
        <f aca="false">IF(OR(Y175="",BW175=""),"",Y175/BW175*100)</f>
        <v>45.8333333333333</v>
      </c>
      <c r="AA175" s="41" t="n">
        <f aca="false">IF(Z175="","",IFERROR(MATCH(Z175,INDEX(Boundaries!$B$2:$I$30,MATCH(CK175,Boundaries!$A$2:$A$30,0),0),1)-1,""))</f>
        <v>4</v>
      </c>
      <c r="AB175" s="42" t="n">
        <f aca="false">IF(OR(AA175="",$E175=""),"",AA175-$E175)</f>
        <v>-1</v>
      </c>
      <c r="AC175" s="39" t="n">
        <v>11</v>
      </c>
      <c r="AD175" s="40" t="n">
        <f aca="false">IF(OR(AC175="",BX175=""),"",AC175/BX175*100)</f>
        <v>27.5</v>
      </c>
      <c r="AE175" s="41" t="n">
        <f aca="false">IF(AD175="","",IFERROR(MATCH(AD175,INDEX(Boundaries!$B$2:$I$30,MATCH(CL175,Boundaries!$A$2:$A$30,0),0),1)-1,""))</f>
        <v>3</v>
      </c>
      <c r="AF175" s="42" t="n">
        <f aca="false">IF(OR(AE175="",$E175=""),"",AE175-$E175)</f>
        <v>-2</v>
      </c>
      <c r="AG175" s="39"/>
      <c r="AH175" s="40" t="str">
        <f aca="false">IF(OR(AG175="",BY175=""),"",AG175/BY175*100)</f>
        <v/>
      </c>
      <c r="AI175" s="41" t="str">
        <f aca="false">IF(AH175="","",IFERROR(MATCH(AH175,INDEX(Boundaries!$B$2:$I$30,MATCH(CM175,Boundaries!$A$2:$A$30,0),0),1)-1,""))</f>
        <v/>
      </c>
      <c r="AJ175" s="42" t="str">
        <f aca="false">IF(OR(AI175="",$E175=""),"",AI175-$E175)</f>
        <v/>
      </c>
      <c r="AK175" s="39"/>
      <c r="AL175" s="40" t="str">
        <f aca="false">IF(OR(AK175="",BZ175=""),"",AK175/BZ175*100)</f>
        <v/>
      </c>
      <c r="AM175" s="41" t="str">
        <f aca="false">IF(AL175="","",IFERROR(MATCH(AL175,INDEX(Boundaries!$B$2:$I$30,MATCH(CN175,Boundaries!$A$2:$A$30,0),0),1)-1,""))</f>
        <v/>
      </c>
      <c r="AN175" s="42" t="str">
        <f aca="false">IF(OR(AM175="",$E175=""),"",AM175-$E175)</f>
        <v/>
      </c>
      <c r="AO175" s="39"/>
      <c r="AP175" s="40" t="str">
        <f aca="false">IF(OR(AO175="",CA175=""),"",AO175/CA175*100)</f>
        <v/>
      </c>
      <c r="AQ175" s="41" t="str">
        <f aca="false">IF(AP175="","",IFERROR(MATCH(AP175,INDEX(Boundaries!$B$2:$I$30,MATCH(CO175,Boundaries!$A$2:$A$30,0),0),1)-1,""))</f>
        <v/>
      </c>
      <c r="AR175" s="42" t="str">
        <f aca="false">IF(OR(AQ175="",$E175=""),"",AQ175-$E175)</f>
        <v/>
      </c>
      <c r="AS175" s="39"/>
      <c r="AT175" s="40" t="str">
        <f aca="false">IF(OR(AS175="",CB175=""),"",AS175/CB175*100)</f>
        <v/>
      </c>
      <c r="AU175" s="41" t="str">
        <f aca="false">IF(AT175="","",IFERROR(MATCH(AT175,INDEX(Boundaries!$B$2:$I$30,MATCH(CP175,Boundaries!$A$2:$A$30,0),0),1)-1,""))</f>
        <v/>
      </c>
      <c r="AV175" s="42" t="str">
        <f aca="false">IF(OR(AU175="",$E175=""),"",AU175-$E175)</f>
        <v/>
      </c>
      <c r="AW175" s="39"/>
      <c r="AX175" s="40" t="str">
        <f aca="false">IF(OR(AW175="",CC175=""),"",AW175/CC175*100)</f>
        <v/>
      </c>
      <c r="AY175" s="41" t="str">
        <f aca="false">IF(AX175="","",IFERROR(MATCH(AX175,INDEX(Boundaries!$B$2:$I$30,MATCH(CQ175,Boundaries!$A$2:$A$30,0),0),1)-1,""))</f>
        <v/>
      </c>
      <c r="AZ175" s="42" t="str">
        <f aca="false">IF(OR(AY175="",$E175=""),"",AY175-$E175)</f>
        <v/>
      </c>
      <c r="BA175" s="39"/>
      <c r="BB175" s="40" t="str">
        <f aca="false">IF(OR(BA175="",CD175=""),"",BA175/CD175*100)</f>
        <v/>
      </c>
      <c r="BC175" s="41" t="str">
        <f aca="false">IF(BB175="","",IFERROR(MATCH(BB175,INDEX(Boundaries!$B$2:$I$30,MATCH(CR175,Boundaries!$A$2:$A$30,0),0),1)-1,""))</f>
        <v/>
      </c>
      <c r="BD175" s="42" t="str">
        <f aca="false">IF(OR(BC175="",$E175=""),"",BC175-$E175)</f>
        <v/>
      </c>
      <c r="BE175" s="39"/>
      <c r="BF175" s="40" t="str">
        <f aca="false">IF(OR(BE175="",CE175=""),"",BE175/CE175*100)</f>
        <v/>
      </c>
      <c r="BG175" s="41" t="str">
        <f aca="false">IF(BF175="","",IFERROR(MATCH(BF175,INDEX(Boundaries!$B$2:$I$30,MATCH(CS175,Boundaries!$A$2:$A$30,0),0),1)-1,""))</f>
        <v/>
      </c>
      <c r="BH175" s="42" t="str">
        <f aca="false">IF(OR(BG175="",$E175=""),"",BG175-$E175)</f>
        <v/>
      </c>
      <c r="BI175" s="39"/>
      <c r="BJ175" s="40" t="str">
        <f aca="false">IF(OR(BI175="",CF175=""),"",BI175/CF175*100)</f>
        <v/>
      </c>
      <c r="BK175" s="41" t="str">
        <f aca="false">IF(BJ175="","",IFERROR(MATCH(BJ175,INDEX(Boundaries!$B$2:$I$30,MATCH(CT175,Boundaries!$A$2:$A$30,0),0),1)-1,""))</f>
        <v/>
      </c>
      <c r="BL175" s="42" t="str">
        <f aca="false">IF(OR(BK175="",$E175=""),"",BK175-$E175)</f>
        <v/>
      </c>
      <c r="BM175" s="39"/>
      <c r="BN175" s="40" t="str">
        <f aca="false">IF(OR(BM175="",CG175=""),"",BM175/CG175*100)</f>
        <v/>
      </c>
      <c r="BO175" s="41" t="str">
        <f aca="false">IF(BN175="","",IFERROR(MATCH(BN175,INDEX(Boundaries!$B$2:$I$30,MATCH(CU175,Boundaries!$A$2:$A$30,0),0),1)-1,""))</f>
        <v/>
      </c>
      <c r="BP175" s="42" t="str">
        <f aca="false">IF(OR(BO175="",$E175=""),"",BO175-$E175)</f>
        <v/>
      </c>
      <c r="BQ175" s="39"/>
      <c r="BR175" s="40" t="str">
        <f aca="false">IF(OR(BQ175="",CH175=""),"",BQ175/CH175*100)</f>
        <v/>
      </c>
      <c r="BS175" s="41" t="str">
        <f aca="false">IF(BR175="","",IFERROR(MATCH(BR175,INDEX(Boundaries!$B$2:$I$30,MATCH(CV175,Boundaries!$A$2:$A$30,0),0),1)-1,""))</f>
        <v/>
      </c>
      <c r="BT175" s="42" t="str">
        <f aca="false">IF(OR(BS175="",$E175=""),"",BS175-$E175)</f>
        <v/>
      </c>
      <c r="BU175" s="28" t="n">
        <f aca="false">IFERROR(INDEX(Assessments!$H$2:$H$600,MATCH($H175&amp;"|"&amp;$I175&amp;"|"&amp;$J175&amp;"|"&amp;1,Assessments!$A$2:$A$600,0)),"")</f>
        <v>24</v>
      </c>
      <c r="BV175" s="28" t="n">
        <f aca="false">IFERROR(INDEX(Assessments!$H$2:$H$600,MATCH($H175&amp;"|"&amp;$I175&amp;"|"&amp;$J175&amp;"|"&amp;2,Assessments!$A$2:$A$600,0)),"")</f>
        <v>20</v>
      </c>
      <c r="BW175" s="28" t="n">
        <f aca="false">IFERROR(INDEX(Assessments!$H$2:$H$600,MATCH($H175&amp;"|"&amp;$I175&amp;"|"&amp;$J175&amp;"|"&amp;3,Assessments!$A$2:$A$600,0)),"")</f>
        <v>24</v>
      </c>
      <c r="BX175" s="28" t="n">
        <f aca="false">IFERROR(INDEX(Assessments!$H$2:$H$600,MATCH($H175&amp;"|"&amp;$I175&amp;"|"&amp;$J175&amp;"|"&amp;4,Assessments!$A$2:$A$600,0)),"")</f>
        <v>40</v>
      </c>
      <c r="BY175" s="28" t="n">
        <f aca="false">IFERROR(INDEX(Assessments!$H$2:$H$600,MATCH($H175&amp;"|"&amp;$I175&amp;"|"&amp;$J175&amp;"|"&amp;5,Assessments!$A$2:$A$600,0)),"")</f>
        <v>30</v>
      </c>
      <c r="BZ175" s="28" t="n">
        <f aca="false">IFERROR(INDEX(Assessments!$H$2:$H$600,MATCH($H175&amp;"|"&amp;$I175&amp;"|"&amp;$J175&amp;"|"&amp;6,Assessments!$A$2:$A$600,0)),"")</f>
        <v>20</v>
      </c>
      <c r="CA175" s="28" t="n">
        <f aca="false">IFERROR(INDEX(Assessments!$H$2:$H$600,MATCH($H175&amp;"|"&amp;$I175&amp;"|"&amp;$J175&amp;"|"&amp;7,Assessments!$A$2:$A$600,0)),"")</f>
        <v>40</v>
      </c>
      <c r="CB175" s="28" t="str">
        <f aca="false">IFERROR(INDEX(Assessments!$H$2:$H$600,MATCH($H175&amp;"|"&amp;$I175&amp;"|"&amp;$J175&amp;"|"&amp;8,Assessments!$A$2:$A$600,0)),"")</f>
        <v/>
      </c>
      <c r="CC175" s="28" t="str">
        <f aca="false">IFERROR(INDEX(Assessments!$H$2:$H$600,MATCH($H175&amp;"|"&amp;$I175&amp;"|"&amp;$J175&amp;"|"&amp;9,Assessments!$A$2:$A$600,0)),"")</f>
        <v/>
      </c>
      <c r="CD175" s="28" t="str">
        <f aca="false">IFERROR(INDEX(Assessments!$H$2:$H$600,MATCH($H175&amp;"|"&amp;$I175&amp;"|"&amp;$J175&amp;"|"&amp;10,Assessments!$A$2:$A$600,0)),"")</f>
        <v/>
      </c>
      <c r="CE175" s="28" t="str">
        <f aca="false">IFERROR(INDEX(Assessments!$H$2:$H$600,MATCH($H175&amp;"|"&amp;$I175&amp;"|"&amp;$J175&amp;"|"&amp;11,Assessments!$A$2:$A$600,0)),"")</f>
        <v/>
      </c>
      <c r="CF175" s="28" t="str">
        <f aca="false">IFERROR(INDEX(Assessments!$H$2:$H$600,MATCH($H175&amp;"|"&amp;$I175&amp;"|"&amp;$J175&amp;"|"&amp;12,Assessments!$A$2:$A$600,0)),"")</f>
        <v/>
      </c>
      <c r="CG175" s="28" t="str">
        <f aca="false">IFERROR(INDEX(Assessments!$H$2:$H$600,MATCH($H175&amp;"|"&amp;$I175&amp;"|"&amp;$J175&amp;"|"&amp;13,Assessments!$A$2:$A$600,0)),"")</f>
        <v/>
      </c>
      <c r="CH175" s="28" t="str">
        <f aca="false">IFERROR(INDEX(Assessments!$H$2:$H$600,MATCH($H175&amp;"|"&amp;$I175&amp;"|"&amp;$J175&amp;"|"&amp;14,Assessments!$A$2:$A$600,0)),"")</f>
        <v/>
      </c>
      <c r="CI175" s="28" t="str">
        <f aca="false">IFERROR(INDEX(Assessments!$I$2:$I$600,MATCH($H175&amp;"|"&amp;$I175&amp;"|"&amp;$J175&amp;"|"&amp;1,Assessments!$A$2:$A$600,0)),"")</f>
        <v>BM Test</v>
      </c>
      <c r="CJ175" s="28" t="str">
        <f aca="false">IFERROR(INDEX(Assessments!$I$2:$I$600,MATCH($H175&amp;"|"&amp;$I175&amp;"|"&amp;$J175&amp;"|"&amp;2,Assessments!$A$2:$A$600,0)),"")</f>
        <v>BM Test</v>
      </c>
      <c r="CK175" s="28" t="str">
        <f aca="false">IFERROR(INDEX(Assessments!$I$2:$I$600,MATCH($H175&amp;"|"&amp;$I175&amp;"|"&amp;$J175&amp;"|"&amp;3,Assessments!$A$2:$A$600,0)),"")</f>
        <v>BM Test</v>
      </c>
      <c r="CL175" s="28" t="str">
        <f aca="false">IFERROR(INDEX(Assessments!$I$2:$I$600,MATCH($H175&amp;"|"&amp;$I175&amp;"|"&amp;$J175&amp;"|"&amp;4,Assessments!$A$2:$A$600,0)),"")</f>
        <v>BM Exam</v>
      </c>
      <c r="CM175" s="28" t="str">
        <f aca="false">IFERROR(INDEX(Assessments!$I$2:$I$600,MATCH($H175&amp;"|"&amp;$I175&amp;"|"&amp;$J175&amp;"|"&amp;5,Assessments!$A$2:$A$600,0)),"")</f>
        <v>BM Test</v>
      </c>
      <c r="CN175" s="28" t="str">
        <f aca="false">IFERROR(INDEX(Assessments!$I$2:$I$600,MATCH($H175&amp;"|"&amp;$I175&amp;"|"&amp;$J175&amp;"|"&amp;6,Assessments!$A$2:$A$600,0)),"")</f>
        <v>BM Test</v>
      </c>
      <c r="CO175" s="28" t="str">
        <f aca="false">IFERROR(INDEX(Assessments!$I$2:$I$600,MATCH($H175&amp;"|"&amp;$I175&amp;"|"&amp;$J175&amp;"|"&amp;7,Assessments!$A$2:$A$600,0)),"")</f>
        <v>BM Exam</v>
      </c>
      <c r="CP175" s="28" t="str">
        <f aca="false">IFERROR(INDEX(Assessments!$I$2:$I$600,MATCH($H175&amp;"|"&amp;$I175&amp;"|"&amp;$J175&amp;"|"&amp;8,Assessments!$A$2:$A$600,0)),"")</f>
        <v/>
      </c>
      <c r="CQ175" s="28" t="str">
        <f aca="false">IFERROR(INDEX(Assessments!$I$2:$I$600,MATCH($H175&amp;"|"&amp;$I175&amp;"|"&amp;$J175&amp;"|"&amp;9,Assessments!$A$2:$A$600,0)),"")</f>
        <v/>
      </c>
      <c r="CR175" s="28" t="str">
        <f aca="false">IFERROR(INDEX(Assessments!$I$2:$I$600,MATCH($H175&amp;"|"&amp;$I175&amp;"|"&amp;$J175&amp;"|"&amp;10,Assessments!$A$2:$A$600,0)),"")</f>
        <v/>
      </c>
      <c r="CS175" s="28" t="str">
        <f aca="false">IFERROR(INDEX(Assessments!$I$2:$I$600,MATCH($H175&amp;"|"&amp;$I175&amp;"|"&amp;$J175&amp;"|"&amp;11,Assessments!$A$2:$A$600,0)),"")</f>
        <v/>
      </c>
      <c r="CT175" s="28" t="str">
        <f aca="false">IFERROR(INDEX(Assessments!$I$2:$I$600,MATCH($H175&amp;"|"&amp;$I175&amp;"|"&amp;$J175&amp;"|"&amp;12,Assessments!$A$2:$A$600,0)),"")</f>
        <v/>
      </c>
      <c r="CU175" s="28" t="str">
        <f aca="false">IFERROR(INDEX(Assessments!$I$2:$I$600,MATCH($H175&amp;"|"&amp;$I175&amp;"|"&amp;$J175&amp;"|"&amp;13,Assessments!$A$2:$A$600,0)),"")</f>
        <v/>
      </c>
      <c r="CV175" s="28" t="str">
        <f aca="false">IFERROR(INDEX(Assessments!$I$2:$I$600,MATCH($H175&amp;"|"&amp;$I175&amp;"|"&amp;$J175&amp;"|"&amp;14,Assessments!$A$2:$A$600,0)),"")</f>
        <v/>
      </c>
      <c r="CW175" s="28" t="n">
        <f aca="false">IFERROR(INDEX(Assessments!$J$2:$J$600,MATCH($H175&amp;"|"&amp;$I175&amp;"|"&amp;$J175&amp;"|"&amp;1,Assessments!$A$2:$A$600,0)),0)</f>
        <v>1</v>
      </c>
      <c r="CX175" s="28" t="n">
        <f aca="false">IFERROR(INDEX(Assessments!$J$2:$J$600,MATCH($H175&amp;"|"&amp;$I175&amp;"|"&amp;$J175&amp;"|"&amp;2,Assessments!$A$2:$A$600,0)),0)</f>
        <v>1</v>
      </c>
      <c r="CY175" s="28" t="n">
        <f aca="false">IFERROR(INDEX(Assessments!$J$2:$J$600,MATCH($H175&amp;"|"&amp;$I175&amp;"|"&amp;$J175&amp;"|"&amp;3,Assessments!$A$2:$A$600,0)),0)</f>
        <v>1</v>
      </c>
      <c r="CZ175" s="28" t="n">
        <f aca="false">IFERROR(INDEX(Assessments!$J$2:$J$600,MATCH($H175&amp;"|"&amp;$I175&amp;"|"&amp;$J175&amp;"|"&amp;4,Assessments!$A$2:$A$600,0)),0)</f>
        <v>2</v>
      </c>
      <c r="DA175" s="28" t="n">
        <f aca="false">IFERROR(INDEX(Assessments!$J$2:$J$600,MATCH($H175&amp;"|"&amp;$I175&amp;"|"&amp;$J175&amp;"|"&amp;5,Assessments!$A$2:$A$600,0)),0)</f>
        <v>1</v>
      </c>
      <c r="DB175" s="28" t="n">
        <f aca="false">IFERROR(INDEX(Assessments!$J$2:$J$600,MATCH($H175&amp;"|"&amp;$I175&amp;"|"&amp;$J175&amp;"|"&amp;6,Assessments!$A$2:$A$600,0)),0)</f>
        <v>1</v>
      </c>
      <c r="DC175" s="28" t="n">
        <f aca="false">IFERROR(INDEX(Assessments!$J$2:$J$600,MATCH($H175&amp;"|"&amp;$I175&amp;"|"&amp;$J175&amp;"|"&amp;7,Assessments!$A$2:$A$600,0)),0)</f>
        <v>2</v>
      </c>
      <c r="DD175" s="28" t="n">
        <f aca="false">IFERROR(INDEX(Assessments!$J$2:$J$600,MATCH($H175&amp;"|"&amp;$I175&amp;"|"&amp;$J175&amp;"|"&amp;8,Assessments!$A$2:$A$600,0)),0)</f>
        <v>0</v>
      </c>
      <c r="DE175" s="28" t="n">
        <f aca="false">IFERROR(INDEX(Assessments!$J$2:$J$600,MATCH($H175&amp;"|"&amp;$I175&amp;"|"&amp;$J175&amp;"|"&amp;9,Assessments!$A$2:$A$600,0)),0)</f>
        <v>0</v>
      </c>
      <c r="DF175" s="28" t="n">
        <f aca="false">IFERROR(INDEX(Assessments!$J$2:$J$600,MATCH($H175&amp;"|"&amp;$I175&amp;"|"&amp;$J175&amp;"|"&amp;10,Assessments!$A$2:$A$600,0)),0)</f>
        <v>0</v>
      </c>
      <c r="DG175" s="28" t="n">
        <f aca="false">IFERROR(INDEX(Assessments!$J$2:$J$600,MATCH($H175&amp;"|"&amp;$I175&amp;"|"&amp;$J175&amp;"|"&amp;11,Assessments!$A$2:$A$600,0)),0)</f>
        <v>0</v>
      </c>
      <c r="DH175" s="28" t="n">
        <f aca="false">IFERROR(INDEX(Assessments!$J$2:$J$600,MATCH($H175&amp;"|"&amp;$I175&amp;"|"&amp;$J175&amp;"|"&amp;12,Assessments!$A$2:$A$600,0)),0)</f>
        <v>0</v>
      </c>
      <c r="DI175" s="28" t="n">
        <f aca="false">IFERROR(INDEX(Assessments!$J$2:$J$600,MATCH($H175&amp;"|"&amp;$I175&amp;"|"&amp;$J175&amp;"|"&amp;13,Assessments!$A$2:$A$600,0)),0)</f>
        <v>0</v>
      </c>
      <c r="DJ175" s="28" t="n">
        <f aca="false">IFERROR(INDEX(Assessments!$J$2:$J$600,MATCH($H175&amp;"|"&amp;$I175&amp;"|"&amp;$J175&amp;"|"&amp;14,Assessments!$A$2:$A$600,0)),0)</f>
        <v>0</v>
      </c>
      <c r="DK175" s="28" t="n">
        <f aca="false">S175</f>
        <v>7</v>
      </c>
      <c r="DL175" s="28" t="n">
        <f aca="false">W175</f>
        <v>5</v>
      </c>
      <c r="DM175" s="28" t="n">
        <f aca="false">AA175</f>
        <v>4</v>
      </c>
      <c r="DN175" s="28" t="n">
        <f aca="false">AE175</f>
        <v>3</v>
      </c>
      <c r="DO175" s="28" t="str">
        <f aca="false">AI175</f>
        <v/>
      </c>
      <c r="DP175" s="28" t="str">
        <f aca="false">AM175</f>
        <v/>
      </c>
      <c r="DQ175" s="28" t="str">
        <f aca="false">AQ175</f>
        <v/>
      </c>
      <c r="DR175" s="28" t="str">
        <f aca="false">AU175</f>
        <v/>
      </c>
      <c r="DS175" s="28" t="str">
        <f aca="false">AY175</f>
        <v/>
      </c>
      <c r="DT175" s="28" t="str">
        <f aca="false">BC175</f>
        <v/>
      </c>
      <c r="DU175" s="28" t="str">
        <f aca="false">BG175</f>
        <v/>
      </c>
      <c r="DV175" s="28" t="str">
        <f aca="false">BK175</f>
        <v/>
      </c>
      <c r="DW175" s="28" t="str">
        <f aca="false">BO175</f>
        <v/>
      </c>
      <c r="DX175" s="28" t="str">
        <f aca="false">BS175</f>
        <v/>
      </c>
      <c r="DY175" s="28" t="n">
        <f aca="false">IF(ISNUMBER(S175),1,"")</f>
        <v>1</v>
      </c>
      <c r="DZ175" s="28" t="n">
        <f aca="false">IF(ISNUMBER(W175),2,"")</f>
        <v>2</v>
      </c>
      <c r="EA175" s="28" t="n">
        <f aca="false">IF(ISNUMBER(AA175),3,"")</f>
        <v>3</v>
      </c>
      <c r="EB175" s="28" t="n">
        <f aca="false">IF(ISNUMBER(AE175),4,"")</f>
        <v>4</v>
      </c>
      <c r="EC175" s="28" t="str">
        <f aca="false">IF(ISNUMBER(AI175),5,"")</f>
        <v/>
      </c>
      <c r="ED175" s="28" t="str">
        <f aca="false">IF(ISNUMBER(AM175),6,"")</f>
        <v/>
      </c>
      <c r="EE175" s="28" t="str">
        <f aca="false">IF(ISNUMBER(AQ175),7,"")</f>
        <v/>
      </c>
      <c r="EF175" s="28" t="str">
        <f aca="false">IF(ISNUMBER(AU175),8,"")</f>
        <v/>
      </c>
      <c r="EG175" s="28" t="str">
        <f aca="false">IF(ISNUMBER(AY175),9,"")</f>
        <v/>
      </c>
      <c r="EH175" s="28" t="str">
        <f aca="false">IF(ISNUMBER(BC175),10,"")</f>
        <v/>
      </c>
      <c r="EI175" s="28" t="str">
        <f aca="false">IF(ISNUMBER(BG175),11,"")</f>
        <v/>
      </c>
      <c r="EJ175" s="28" t="str">
        <f aca="false">IF(ISNUMBER(BK175),12,"")</f>
        <v/>
      </c>
      <c r="EK175" s="28" t="str">
        <f aca="false">IF(ISNUMBER(BO175),13,"")</f>
        <v/>
      </c>
      <c r="EL175" s="28" t="str">
        <f aca="false">IF(ISNUMBER(BS175),14,"")</f>
        <v/>
      </c>
      <c r="EM175" s="28" t="n">
        <f aca="false">IF(ISNUMBER(R175),R175*CW175,0)</f>
        <v>75</v>
      </c>
      <c r="EN175" s="28" t="n">
        <f aca="false">IF(ISNUMBER(V175),V175*CX175,0)</f>
        <v>55</v>
      </c>
      <c r="EO175" s="28" t="n">
        <f aca="false">IF(ISNUMBER(Z175),Z175*CY175,0)</f>
        <v>45.8333333333333</v>
      </c>
      <c r="EP175" s="28" t="n">
        <f aca="false">IF(ISNUMBER(AD175),AD175*CZ175,0)</f>
        <v>55</v>
      </c>
      <c r="EQ175" s="28" t="n">
        <f aca="false">IF(ISNUMBER(AH175),AH175*DA175,0)</f>
        <v>0</v>
      </c>
      <c r="ER175" s="28" t="n">
        <f aca="false">IF(ISNUMBER(AL175),AL175*DB175,0)</f>
        <v>0</v>
      </c>
      <c r="ES175" s="28" t="n">
        <f aca="false">IF(ISNUMBER(AP175),AP175*DC175,0)</f>
        <v>0</v>
      </c>
      <c r="ET175" s="28" t="n">
        <f aca="false">IF(ISNUMBER(AT175),AT175*DD175,0)</f>
        <v>0</v>
      </c>
      <c r="EU175" s="28" t="n">
        <f aca="false">IF(ISNUMBER(AX175),AX175*DE175,0)</f>
        <v>0</v>
      </c>
      <c r="EV175" s="28" t="n">
        <f aca="false">IF(ISNUMBER(BB175),BB175*DF175,0)</f>
        <v>0</v>
      </c>
      <c r="EW175" s="28" t="n">
        <f aca="false">IF(ISNUMBER(BF175),BF175*DG175,0)</f>
        <v>0</v>
      </c>
      <c r="EX175" s="28" t="n">
        <f aca="false">IF(ISNUMBER(BJ175),BJ175*DH175,0)</f>
        <v>0</v>
      </c>
      <c r="EY175" s="28" t="n">
        <f aca="false">IF(ISNUMBER(BN175),BN175*DI175,0)</f>
        <v>0</v>
      </c>
      <c r="EZ175" s="28" t="n">
        <f aca="false">IF(ISNUMBER(BR175),BR175*DJ175,0)</f>
        <v>0</v>
      </c>
      <c r="FA175" s="28" t="n">
        <f aca="false">IF(ISNUMBER(R175),CW175,0)</f>
        <v>1</v>
      </c>
      <c r="FB175" s="28" t="n">
        <f aca="false">IF(ISNUMBER(V175),CX175,0)</f>
        <v>1</v>
      </c>
      <c r="FC175" s="28" t="n">
        <f aca="false">IF(ISNUMBER(Z175),CY175,0)</f>
        <v>1</v>
      </c>
      <c r="FD175" s="28" t="n">
        <f aca="false">IF(ISNUMBER(AD175),CZ175,0)</f>
        <v>2</v>
      </c>
      <c r="FE175" s="28" t="n">
        <f aca="false">IF(ISNUMBER(AH175),DA175,0)</f>
        <v>0</v>
      </c>
      <c r="FF175" s="28" t="n">
        <f aca="false">IF(ISNUMBER(AL175),DB175,0)</f>
        <v>0</v>
      </c>
      <c r="FG175" s="28" t="n">
        <f aca="false">IF(ISNUMBER(AP175),DC175,0)</f>
        <v>0</v>
      </c>
      <c r="FH175" s="28" t="n">
        <f aca="false">IF(ISNUMBER(AT175),DD175,0)</f>
        <v>0</v>
      </c>
      <c r="FI175" s="28" t="n">
        <f aca="false">IF(ISNUMBER(AX175),DE175,0)</f>
        <v>0</v>
      </c>
      <c r="FJ175" s="28" t="n">
        <f aca="false">IF(ISNUMBER(BB175),DF175,0)</f>
        <v>0</v>
      </c>
      <c r="FK175" s="28" t="n">
        <f aca="false">IF(ISNUMBER(BF175),DG175,0)</f>
        <v>0</v>
      </c>
      <c r="FL175" s="28" t="n">
        <f aca="false">IF(ISNUMBER(BJ175),DH175,0)</f>
        <v>0</v>
      </c>
      <c r="FM175" s="28" t="n">
        <f aca="false">IF(ISNUMBER(BN175),DI175,0)</f>
        <v>0</v>
      </c>
      <c r="FN175" s="28" t="n">
        <f aca="false">IF(ISNUMBER(BR175),DJ175,0)</f>
        <v>0</v>
      </c>
      <c r="FO175" s="28" t="str">
        <f aca="false">IFERROR(INDEX(Lists!$G$2:$G$20,MATCH($I175&amp;"|"&amp;$J175,Lists!$F$2:$F$20,0)),"")</f>
        <v>BM Exam</v>
      </c>
    </row>
    <row r="176" customFormat="false" ht="19.5" hidden="false" customHeight="true" outlineLevel="0" collapsed="false">
      <c r="A176" s="29" t="s">
        <v>295</v>
      </c>
      <c r="B176" s="29" t="s">
        <v>296</v>
      </c>
      <c r="C176" s="30" t="s">
        <v>152</v>
      </c>
      <c r="D176" s="30" t="s">
        <v>408</v>
      </c>
      <c r="E176" s="31" t="n">
        <v>6</v>
      </c>
      <c r="F176" s="30" t="n">
        <v>6</v>
      </c>
      <c r="G176" s="30"/>
      <c r="H176" s="32" t="s">
        <v>23</v>
      </c>
      <c r="I176" s="33" t="s">
        <v>365</v>
      </c>
      <c r="J176" s="32" t="s">
        <v>223</v>
      </c>
      <c r="K176" s="34" t="n">
        <f aca="false">IF(OR(M176="",$E176=""),"",M176-$E176)</f>
        <v>1</v>
      </c>
      <c r="L176" s="35" t="n">
        <f aca="false">IF(SUM(FA176:FN176)=0,"",SUM(EM176:EZ176)/SUM(FA176:FN176))</f>
        <v>77.8333333333333</v>
      </c>
      <c r="M176" s="36" t="n">
        <f aca="false">IF(OR(L176="",FO176=""),"",IFERROR(MATCH(L176,INDEX(Boundaries!$B$2:$I$30,MATCH(FO176,Boundaries!$A$2:$A$30,0),0),1)-1,""))</f>
        <v>7</v>
      </c>
      <c r="N176" s="37" t="n">
        <f aca="false">IF(COUNT($DY176:$EL176)&lt;2,"",INDEX($DK176:$DX176,MAX($DY176:$EL176))-INDEX($DK176:$DX176,MIN($DY176:$EL176)))</f>
        <v>0</v>
      </c>
      <c r="O176" s="37" t="n">
        <f aca="false">IF(COUNT($DY176:$EL176)&lt;2,"",INDEX($DK176:$DX176,MAX($DY176:$EL176))-INDEX($DK176:$DX176,LARGE($DY176:$EL176,2)))</f>
        <v>2</v>
      </c>
      <c r="P176" s="38" t="str">
        <f aca="false">IF(K176="","",IF(K176&gt;=0,"On/above target",IF(AND(N176&lt;&gt;"",N176&gt;=0.5),"Improving towards target",IF(AND(O176&lt;&gt;"",O176&lt;=-0.5),"Declining","Stable below target"))))</f>
        <v>On/above target</v>
      </c>
      <c r="Q176" s="39" t="n">
        <v>22</v>
      </c>
      <c r="R176" s="40" t="n">
        <f aca="false">IF(OR(Q176="",BU176=""),"",Q176/BU176*100)</f>
        <v>91.6666666666667</v>
      </c>
      <c r="S176" s="41" t="n">
        <f aca="false">IF(R176="","",IFERROR(MATCH(R176,INDEX(Boundaries!$B$2:$I$30,MATCH(CI176,Boundaries!$A$2:$A$30,0),0),1)-1,""))</f>
        <v>7</v>
      </c>
      <c r="T176" s="42" t="n">
        <f aca="false">IF(OR(S176="",$E176=""),"",S176-$E176)</f>
        <v>1</v>
      </c>
      <c r="U176" s="39" t="n">
        <v>14</v>
      </c>
      <c r="V176" s="40" t="n">
        <f aca="false">IF(OR(U176="",BV176=""),"",U176/BV176*100)</f>
        <v>70</v>
      </c>
      <c r="W176" s="41" t="n">
        <f aca="false">IF(V176="","",IFERROR(MATCH(V176,INDEX(Boundaries!$B$2:$I$30,MATCH(CJ176,Boundaries!$A$2:$A$30,0),0),1)-1,""))</f>
        <v>6</v>
      </c>
      <c r="X176" s="42" t="n">
        <f aca="false">IF(OR(W176="",$E176=""),"",W176-$E176)</f>
        <v>0</v>
      </c>
      <c r="Y176" s="39" t="n">
        <v>15</v>
      </c>
      <c r="Z176" s="40" t="n">
        <f aca="false">IF(OR(Y176="",BW176=""),"",Y176/BW176*100)</f>
        <v>62.5</v>
      </c>
      <c r="AA176" s="41" t="n">
        <f aca="false">IF(Z176="","",IFERROR(MATCH(Z176,INDEX(Boundaries!$B$2:$I$30,MATCH(CK176,Boundaries!$A$2:$A$30,0),0),1)-1,""))</f>
        <v>5</v>
      </c>
      <c r="AB176" s="42" t="n">
        <f aca="false">IF(OR(AA176="",$E176=""),"",AA176-$E176)</f>
        <v>-1</v>
      </c>
      <c r="AC176" s="39" t="n">
        <v>33</v>
      </c>
      <c r="AD176" s="40" t="n">
        <f aca="false">IF(OR(AC176="",BX176=""),"",AC176/BX176*100)</f>
        <v>82.5</v>
      </c>
      <c r="AE176" s="41" t="n">
        <f aca="false">IF(AD176="","",IFERROR(MATCH(AD176,INDEX(Boundaries!$B$2:$I$30,MATCH(CL176,Boundaries!$A$2:$A$30,0),0),1)-1,""))</f>
        <v>7</v>
      </c>
      <c r="AF176" s="42" t="n">
        <f aca="false">IF(OR(AE176="",$E176=""),"",AE176-$E176)</f>
        <v>1</v>
      </c>
      <c r="AG176" s="39"/>
      <c r="AH176" s="40" t="str">
        <f aca="false">IF(OR(AG176="",BY176=""),"",AG176/BY176*100)</f>
        <v/>
      </c>
      <c r="AI176" s="41" t="str">
        <f aca="false">IF(AH176="","",IFERROR(MATCH(AH176,INDEX(Boundaries!$B$2:$I$30,MATCH(CM176,Boundaries!$A$2:$A$30,0),0),1)-1,""))</f>
        <v/>
      </c>
      <c r="AJ176" s="42" t="str">
        <f aca="false">IF(OR(AI176="",$E176=""),"",AI176-$E176)</f>
        <v/>
      </c>
      <c r="AK176" s="39"/>
      <c r="AL176" s="40" t="str">
        <f aca="false">IF(OR(AK176="",BZ176=""),"",AK176/BZ176*100)</f>
        <v/>
      </c>
      <c r="AM176" s="41" t="str">
        <f aca="false">IF(AL176="","",IFERROR(MATCH(AL176,INDEX(Boundaries!$B$2:$I$30,MATCH(CN176,Boundaries!$A$2:$A$30,0),0),1)-1,""))</f>
        <v/>
      </c>
      <c r="AN176" s="42" t="str">
        <f aca="false">IF(OR(AM176="",$E176=""),"",AM176-$E176)</f>
        <v/>
      </c>
      <c r="AO176" s="39"/>
      <c r="AP176" s="40" t="str">
        <f aca="false">IF(OR(AO176="",CA176=""),"",AO176/CA176*100)</f>
        <v/>
      </c>
      <c r="AQ176" s="41" t="str">
        <f aca="false">IF(AP176="","",IFERROR(MATCH(AP176,INDEX(Boundaries!$B$2:$I$30,MATCH(CO176,Boundaries!$A$2:$A$30,0),0),1)-1,""))</f>
        <v/>
      </c>
      <c r="AR176" s="42" t="str">
        <f aca="false">IF(OR(AQ176="",$E176=""),"",AQ176-$E176)</f>
        <v/>
      </c>
      <c r="AS176" s="39"/>
      <c r="AT176" s="40" t="str">
        <f aca="false">IF(OR(AS176="",CB176=""),"",AS176/CB176*100)</f>
        <v/>
      </c>
      <c r="AU176" s="41" t="str">
        <f aca="false">IF(AT176="","",IFERROR(MATCH(AT176,INDEX(Boundaries!$B$2:$I$30,MATCH(CP176,Boundaries!$A$2:$A$30,0),0),1)-1,""))</f>
        <v/>
      </c>
      <c r="AV176" s="42" t="str">
        <f aca="false">IF(OR(AU176="",$E176=""),"",AU176-$E176)</f>
        <v/>
      </c>
      <c r="AW176" s="39"/>
      <c r="AX176" s="40" t="str">
        <f aca="false">IF(OR(AW176="",CC176=""),"",AW176/CC176*100)</f>
        <v/>
      </c>
      <c r="AY176" s="41" t="str">
        <f aca="false">IF(AX176="","",IFERROR(MATCH(AX176,INDEX(Boundaries!$B$2:$I$30,MATCH(CQ176,Boundaries!$A$2:$A$30,0),0),1)-1,""))</f>
        <v/>
      </c>
      <c r="AZ176" s="42" t="str">
        <f aca="false">IF(OR(AY176="",$E176=""),"",AY176-$E176)</f>
        <v/>
      </c>
      <c r="BA176" s="39"/>
      <c r="BB176" s="40" t="str">
        <f aca="false">IF(OR(BA176="",CD176=""),"",BA176/CD176*100)</f>
        <v/>
      </c>
      <c r="BC176" s="41" t="str">
        <f aca="false">IF(BB176="","",IFERROR(MATCH(BB176,INDEX(Boundaries!$B$2:$I$30,MATCH(CR176,Boundaries!$A$2:$A$30,0),0),1)-1,""))</f>
        <v/>
      </c>
      <c r="BD176" s="42" t="str">
        <f aca="false">IF(OR(BC176="",$E176=""),"",BC176-$E176)</f>
        <v/>
      </c>
      <c r="BE176" s="39"/>
      <c r="BF176" s="40" t="str">
        <f aca="false">IF(OR(BE176="",CE176=""),"",BE176/CE176*100)</f>
        <v/>
      </c>
      <c r="BG176" s="41" t="str">
        <f aca="false">IF(BF176="","",IFERROR(MATCH(BF176,INDEX(Boundaries!$B$2:$I$30,MATCH(CS176,Boundaries!$A$2:$A$30,0),0),1)-1,""))</f>
        <v/>
      </c>
      <c r="BH176" s="42" t="str">
        <f aca="false">IF(OR(BG176="",$E176=""),"",BG176-$E176)</f>
        <v/>
      </c>
      <c r="BI176" s="39"/>
      <c r="BJ176" s="40" t="str">
        <f aca="false">IF(OR(BI176="",CF176=""),"",BI176/CF176*100)</f>
        <v/>
      </c>
      <c r="BK176" s="41" t="str">
        <f aca="false">IF(BJ176="","",IFERROR(MATCH(BJ176,INDEX(Boundaries!$B$2:$I$30,MATCH(CT176,Boundaries!$A$2:$A$30,0),0),1)-1,""))</f>
        <v/>
      </c>
      <c r="BL176" s="42" t="str">
        <f aca="false">IF(OR(BK176="",$E176=""),"",BK176-$E176)</f>
        <v/>
      </c>
      <c r="BM176" s="39"/>
      <c r="BN176" s="40" t="str">
        <f aca="false">IF(OR(BM176="",CG176=""),"",BM176/CG176*100)</f>
        <v/>
      </c>
      <c r="BO176" s="41" t="str">
        <f aca="false">IF(BN176="","",IFERROR(MATCH(BN176,INDEX(Boundaries!$B$2:$I$30,MATCH(CU176,Boundaries!$A$2:$A$30,0),0),1)-1,""))</f>
        <v/>
      </c>
      <c r="BP176" s="42" t="str">
        <f aca="false">IF(OR(BO176="",$E176=""),"",BO176-$E176)</f>
        <v/>
      </c>
      <c r="BQ176" s="39"/>
      <c r="BR176" s="40" t="str">
        <f aca="false">IF(OR(BQ176="",CH176=""),"",BQ176/CH176*100)</f>
        <v/>
      </c>
      <c r="BS176" s="41" t="str">
        <f aca="false">IF(BR176="","",IFERROR(MATCH(BR176,INDEX(Boundaries!$B$2:$I$30,MATCH(CV176,Boundaries!$A$2:$A$30,0),0),1)-1,""))</f>
        <v/>
      </c>
      <c r="BT176" s="42" t="str">
        <f aca="false">IF(OR(BS176="",$E176=""),"",BS176-$E176)</f>
        <v/>
      </c>
      <c r="BU176" s="28" t="n">
        <f aca="false">IFERROR(INDEX(Assessments!$H$2:$H$600,MATCH($H176&amp;"|"&amp;$I176&amp;"|"&amp;$J176&amp;"|"&amp;1,Assessments!$A$2:$A$600,0)),"")</f>
        <v>24</v>
      </c>
      <c r="BV176" s="28" t="n">
        <f aca="false">IFERROR(INDEX(Assessments!$H$2:$H$600,MATCH($H176&amp;"|"&amp;$I176&amp;"|"&amp;$J176&amp;"|"&amp;2,Assessments!$A$2:$A$600,0)),"")</f>
        <v>20</v>
      </c>
      <c r="BW176" s="28" t="n">
        <f aca="false">IFERROR(INDEX(Assessments!$H$2:$H$600,MATCH($H176&amp;"|"&amp;$I176&amp;"|"&amp;$J176&amp;"|"&amp;3,Assessments!$A$2:$A$600,0)),"")</f>
        <v>24</v>
      </c>
      <c r="BX176" s="28" t="n">
        <f aca="false">IFERROR(INDEX(Assessments!$H$2:$H$600,MATCH($H176&amp;"|"&amp;$I176&amp;"|"&amp;$J176&amp;"|"&amp;4,Assessments!$A$2:$A$600,0)),"")</f>
        <v>40</v>
      </c>
      <c r="BY176" s="28" t="n">
        <f aca="false">IFERROR(INDEX(Assessments!$H$2:$H$600,MATCH($H176&amp;"|"&amp;$I176&amp;"|"&amp;$J176&amp;"|"&amp;5,Assessments!$A$2:$A$600,0)),"")</f>
        <v>30</v>
      </c>
      <c r="BZ176" s="28" t="n">
        <f aca="false">IFERROR(INDEX(Assessments!$H$2:$H$600,MATCH($H176&amp;"|"&amp;$I176&amp;"|"&amp;$J176&amp;"|"&amp;6,Assessments!$A$2:$A$600,0)),"")</f>
        <v>20</v>
      </c>
      <c r="CA176" s="28" t="n">
        <f aca="false">IFERROR(INDEX(Assessments!$H$2:$H$600,MATCH($H176&amp;"|"&amp;$I176&amp;"|"&amp;$J176&amp;"|"&amp;7,Assessments!$A$2:$A$600,0)),"")</f>
        <v>40</v>
      </c>
      <c r="CB176" s="28" t="str">
        <f aca="false">IFERROR(INDEX(Assessments!$H$2:$H$600,MATCH($H176&amp;"|"&amp;$I176&amp;"|"&amp;$J176&amp;"|"&amp;8,Assessments!$A$2:$A$600,0)),"")</f>
        <v/>
      </c>
      <c r="CC176" s="28" t="str">
        <f aca="false">IFERROR(INDEX(Assessments!$H$2:$H$600,MATCH($H176&amp;"|"&amp;$I176&amp;"|"&amp;$J176&amp;"|"&amp;9,Assessments!$A$2:$A$600,0)),"")</f>
        <v/>
      </c>
      <c r="CD176" s="28" t="str">
        <f aca="false">IFERROR(INDEX(Assessments!$H$2:$H$600,MATCH($H176&amp;"|"&amp;$I176&amp;"|"&amp;$J176&amp;"|"&amp;10,Assessments!$A$2:$A$600,0)),"")</f>
        <v/>
      </c>
      <c r="CE176" s="28" t="str">
        <f aca="false">IFERROR(INDEX(Assessments!$H$2:$H$600,MATCH($H176&amp;"|"&amp;$I176&amp;"|"&amp;$J176&amp;"|"&amp;11,Assessments!$A$2:$A$600,0)),"")</f>
        <v/>
      </c>
      <c r="CF176" s="28" t="str">
        <f aca="false">IFERROR(INDEX(Assessments!$H$2:$H$600,MATCH($H176&amp;"|"&amp;$I176&amp;"|"&amp;$J176&amp;"|"&amp;12,Assessments!$A$2:$A$600,0)),"")</f>
        <v/>
      </c>
      <c r="CG176" s="28" t="str">
        <f aca="false">IFERROR(INDEX(Assessments!$H$2:$H$600,MATCH($H176&amp;"|"&amp;$I176&amp;"|"&amp;$J176&amp;"|"&amp;13,Assessments!$A$2:$A$600,0)),"")</f>
        <v/>
      </c>
      <c r="CH176" s="28" t="str">
        <f aca="false">IFERROR(INDEX(Assessments!$H$2:$H$600,MATCH($H176&amp;"|"&amp;$I176&amp;"|"&amp;$J176&amp;"|"&amp;14,Assessments!$A$2:$A$600,0)),"")</f>
        <v/>
      </c>
      <c r="CI176" s="28" t="str">
        <f aca="false">IFERROR(INDEX(Assessments!$I$2:$I$600,MATCH($H176&amp;"|"&amp;$I176&amp;"|"&amp;$J176&amp;"|"&amp;1,Assessments!$A$2:$A$600,0)),"")</f>
        <v>BM Test</v>
      </c>
      <c r="CJ176" s="28" t="str">
        <f aca="false">IFERROR(INDEX(Assessments!$I$2:$I$600,MATCH($H176&amp;"|"&amp;$I176&amp;"|"&amp;$J176&amp;"|"&amp;2,Assessments!$A$2:$A$600,0)),"")</f>
        <v>BM Test</v>
      </c>
      <c r="CK176" s="28" t="str">
        <f aca="false">IFERROR(INDEX(Assessments!$I$2:$I$600,MATCH($H176&amp;"|"&amp;$I176&amp;"|"&amp;$J176&amp;"|"&amp;3,Assessments!$A$2:$A$600,0)),"")</f>
        <v>BM Test</v>
      </c>
      <c r="CL176" s="28" t="str">
        <f aca="false">IFERROR(INDEX(Assessments!$I$2:$I$600,MATCH($H176&amp;"|"&amp;$I176&amp;"|"&amp;$J176&amp;"|"&amp;4,Assessments!$A$2:$A$600,0)),"")</f>
        <v>BM Exam</v>
      </c>
      <c r="CM176" s="28" t="str">
        <f aca="false">IFERROR(INDEX(Assessments!$I$2:$I$600,MATCH($H176&amp;"|"&amp;$I176&amp;"|"&amp;$J176&amp;"|"&amp;5,Assessments!$A$2:$A$600,0)),"")</f>
        <v>BM Test</v>
      </c>
      <c r="CN176" s="28" t="str">
        <f aca="false">IFERROR(INDEX(Assessments!$I$2:$I$600,MATCH($H176&amp;"|"&amp;$I176&amp;"|"&amp;$J176&amp;"|"&amp;6,Assessments!$A$2:$A$600,0)),"")</f>
        <v>BM Test</v>
      </c>
      <c r="CO176" s="28" t="str">
        <f aca="false">IFERROR(INDEX(Assessments!$I$2:$I$600,MATCH($H176&amp;"|"&amp;$I176&amp;"|"&amp;$J176&amp;"|"&amp;7,Assessments!$A$2:$A$600,0)),"")</f>
        <v>BM Exam</v>
      </c>
      <c r="CP176" s="28" t="str">
        <f aca="false">IFERROR(INDEX(Assessments!$I$2:$I$600,MATCH($H176&amp;"|"&amp;$I176&amp;"|"&amp;$J176&amp;"|"&amp;8,Assessments!$A$2:$A$600,0)),"")</f>
        <v/>
      </c>
      <c r="CQ176" s="28" t="str">
        <f aca="false">IFERROR(INDEX(Assessments!$I$2:$I$600,MATCH($H176&amp;"|"&amp;$I176&amp;"|"&amp;$J176&amp;"|"&amp;9,Assessments!$A$2:$A$600,0)),"")</f>
        <v/>
      </c>
      <c r="CR176" s="28" t="str">
        <f aca="false">IFERROR(INDEX(Assessments!$I$2:$I$600,MATCH($H176&amp;"|"&amp;$I176&amp;"|"&amp;$J176&amp;"|"&amp;10,Assessments!$A$2:$A$600,0)),"")</f>
        <v/>
      </c>
      <c r="CS176" s="28" t="str">
        <f aca="false">IFERROR(INDEX(Assessments!$I$2:$I$600,MATCH($H176&amp;"|"&amp;$I176&amp;"|"&amp;$J176&amp;"|"&amp;11,Assessments!$A$2:$A$600,0)),"")</f>
        <v/>
      </c>
      <c r="CT176" s="28" t="str">
        <f aca="false">IFERROR(INDEX(Assessments!$I$2:$I$600,MATCH($H176&amp;"|"&amp;$I176&amp;"|"&amp;$J176&amp;"|"&amp;12,Assessments!$A$2:$A$600,0)),"")</f>
        <v/>
      </c>
      <c r="CU176" s="28" t="str">
        <f aca="false">IFERROR(INDEX(Assessments!$I$2:$I$600,MATCH($H176&amp;"|"&amp;$I176&amp;"|"&amp;$J176&amp;"|"&amp;13,Assessments!$A$2:$A$600,0)),"")</f>
        <v/>
      </c>
      <c r="CV176" s="28" t="str">
        <f aca="false">IFERROR(INDEX(Assessments!$I$2:$I$600,MATCH($H176&amp;"|"&amp;$I176&amp;"|"&amp;$J176&amp;"|"&amp;14,Assessments!$A$2:$A$600,0)),"")</f>
        <v/>
      </c>
      <c r="CW176" s="28" t="n">
        <f aca="false">IFERROR(INDEX(Assessments!$J$2:$J$600,MATCH($H176&amp;"|"&amp;$I176&amp;"|"&amp;$J176&amp;"|"&amp;1,Assessments!$A$2:$A$600,0)),0)</f>
        <v>1</v>
      </c>
      <c r="CX176" s="28" t="n">
        <f aca="false">IFERROR(INDEX(Assessments!$J$2:$J$600,MATCH($H176&amp;"|"&amp;$I176&amp;"|"&amp;$J176&amp;"|"&amp;2,Assessments!$A$2:$A$600,0)),0)</f>
        <v>1</v>
      </c>
      <c r="CY176" s="28" t="n">
        <f aca="false">IFERROR(INDEX(Assessments!$J$2:$J$600,MATCH($H176&amp;"|"&amp;$I176&amp;"|"&amp;$J176&amp;"|"&amp;3,Assessments!$A$2:$A$600,0)),0)</f>
        <v>1</v>
      </c>
      <c r="CZ176" s="28" t="n">
        <f aca="false">IFERROR(INDEX(Assessments!$J$2:$J$600,MATCH($H176&amp;"|"&amp;$I176&amp;"|"&amp;$J176&amp;"|"&amp;4,Assessments!$A$2:$A$600,0)),0)</f>
        <v>2</v>
      </c>
      <c r="DA176" s="28" t="n">
        <f aca="false">IFERROR(INDEX(Assessments!$J$2:$J$600,MATCH($H176&amp;"|"&amp;$I176&amp;"|"&amp;$J176&amp;"|"&amp;5,Assessments!$A$2:$A$600,0)),0)</f>
        <v>1</v>
      </c>
      <c r="DB176" s="28" t="n">
        <f aca="false">IFERROR(INDEX(Assessments!$J$2:$J$600,MATCH($H176&amp;"|"&amp;$I176&amp;"|"&amp;$J176&amp;"|"&amp;6,Assessments!$A$2:$A$600,0)),0)</f>
        <v>1</v>
      </c>
      <c r="DC176" s="28" t="n">
        <f aca="false">IFERROR(INDEX(Assessments!$J$2:$J$600,MATCH($H176&amp;"|"&amp;$I176&amp;"|"&amp;$J176&amp;"|"&amp;7,Assessments!$A$2:$A$600,0)),0)</f>
        <v>2</v>
      </c>
      <c r="DD176" s="28" t="n">
        <f aca="false">IFERROR(INDEX(Assessments!$J$2:$J$600,MATCH($H176&amp;"|"&amp;$I176&amp;"|"&amp;$J176&amp;"|"&amp;8,Assessments!$A$2:$A$600,0)),0)</f>
        <v>0</v>
      </c>
      <c r="DE176" s="28" t="n">
        <f aca="false">IFERROR(INDEX(Assessments!$J$2:$J$600,MATCH($H176&amp;"|"&amp;$I176&amp;"|"&amp;$J176&amp;"|"&amp;9,Assessments!$A$2:$A$600,0)),0)</f>
        <v>0</v>
      </c>
      <c r="DF176" s="28" t="n">
        <f aca="false">IFERROR(INDEX(Assessments!$J$2:$J$600,MATCH($H176&amp;"|"&amp;$I176&amp;"|"&amp;$J176&amp;"|"&amp;10,Assessments!$A$2:$A$600,0)),0)</f>
        <v>0</v>
      </c>
      <c r="DG176" s="28" t="n">
        <f aca="false">IFERROR(INDEX(Assessments!$J$2:$J$600,MATCH($H176&amp;"|"&amp;$I176&amp;"|"&amp;$J176&amp;"|"&amp;11,Assessments!$A$2:$A$600,0)),0)</f>
        <v>0</v>
      </c>
      <c r="DH176" s="28" t="n">
        <f aca="false">IFERROR(INDEX(Assessments!$J$2:$J$600,MATCH($H176&amp;"|"&amp;$I176&amp;"|"&amp;$J176&amp;"|"&amp;12,Assessments!$A$2:$A$600,0)),0)</f>
        <v>0</v>
      </c>
      <c r="DI176" s="28" t="n">
        <f aca="false">IFERROR(INDEX(Assessments!$J$2:$J$600,MATCH($H176&amp;"|"&amp;$I176&amp;"|"&amp;$J176&amp;"|"&amp;13,Assessments!$A$2:$A$600,0)),0)</f>
        <v>0</v>
      </c>
      <c r="DJ176" s="28" t="n">
        <f aca="false">IFERROR(INDEX(Assessments!$J$2:$J$600,MATCH($H176&amp;"|"&amp;$I176&amp;"|"&amp;$J176&amp;"|"&amp;14,Assessments!$A$2:$A$600,0)),0)</f>
        <v>0</v>
      </c>
      <c r="DK176" s="28" t="n">
        <f aca="false">S176</f>
        <v>7</v>
      </c>
      <c r="DL176" s="28" t="n">
        <f aca="false">W176</f>
        <v>6</v>
      </c>
      <c r="DM176" s="28" t="n">
        <f aca="false">AA176</f>
        <v>5</v>
      </c>
      <c r="DN176" s="28" t="n">
        <f aca="false">AE176</f>
        <v>7</v>
      </c>
      <c r="DO176" s="28" t="str">
        <f aca="false">AI176</f>
        <v/>
      </c>
      <c r="DP176" s="28" t="str">
        <f aca="false">AM176</f>
        <v/>
      </c>
      <c r="DQ176" s="28" t="str">
        <f aca="false">AQ176</f>
        <v/>
      </c>
      <c r="DR176" s="28" t="str">
        <f aca="false">AU176</f>
        <v/>
      </c>
      <c r="DS176" s="28" t="str">
        <f aca="false">AY176</f>
        <v/>
      </c>
      <c r="DT176" s="28" t="str">
        <f aca="false">BC176</f>
        <v/>
      </c>
      <c r="DU176" s="28" t="str">
        <f aca="false">BG176</f>
        <v/>
      </c>
      <c r="DV176" s="28" t="str">
        <f aca="false">BK176</f>
        <v/>
      </c>
      <c r="DW176" s="28" t="str">
        <f aca="false">BO176</f>
        <v/>
      </c>
      <c r="DX176" s="28" t="str">
        <f aca="false">BS176</f>
        <v/>
      </c>
      <c r="DY176" s="28" t="n">
        <f aca="false">IF(ISNUMBER(S176),1,"")</f>
        <v>1</v>
      </c>
      <c r="DZ176" s="28" t="n">
        <f aca="false">IF(ISNUMBER(W176),2,"")</f>
        <v>2</v>
      </c>
      <c r="EA176" s="28" t="n">
        <f aca="false">IF(ISNUMBER(AA176),3,"")</f>
        <v>3</v>
      </c>
      <c r="EB176" s="28" t="n">
        <f aca="false">IF(ISNUMBER(AE176),4,"")</f>
        <v>4</v>
      </c>
      <c r="EC176" s="28" t="str">
        <f aca="false">IF(ISNUMBER(AI176),5,"")</f>
        <v/>
      </c>
      <c r="ED176" s="28" t="str">
        <f aca="false">IF(ISNUMBER(AM176),6,"")</f>
        <v/>
      </c>
      <c r="EE176" s="28" t="str">
        <f aca="false">IF(ISNUMBER(AQ176),7,"")</f>
        <v/>
      </c>
      <c r="EF176" s="28" t="str">
        <f aca="false">IF(ISNUMBER(AU176),8,"")</f>
        <v/>
      </c>
      <c r="EG176" s="28" t="str">
        <f aca="false">IF(ISNUMBER(AY176),9,"")</f>
        <v/>
      </c>
      <c r="EH176" s="28" t="str">
        <f aca="false">IF(ISNUMBER(BC176),10,"")</f>
        <v/>
      </c>
      <c r="EI176" s="28" t="str">
        <f aca="false">IF(ISNUMBER(BG176),11,"")</f>
        <v/>
      </c>
      <c r="EJ176" s="28" t="str">
        <f aca="false">IF(ISNUMBER(BK176),12,"")</f>
        <v/>
      </c>
      <c r="EK176" s="28" t="str">
        <f aca="false">IF(ISNUMBER(BO176),13,"")</f>
        <v/>
      </c>
      <c r="EL176" s="28" t="str">
        <f aca="false">IF(ISNUMBER(BS176),14,"")</f>
        <v/>
      </c>
      <c r="EM176" s="28" t="n">
        <f aca="false">IF(ISNUMBER(R176),R176*CW176,0)</f>
        <v>91.6666666666667</v>
      </c>
      <c r="EN176" s="28" t="n">
        <f aca="false">IF(ISNUMBER(V176),V176*CX176,0)</f>
        <v>70</v>
      </c>
      <c r="EO176" s="28" t="n">
        <f aca="false">IF(ISNUMBER(Z176),Z176*CY176,0)</f>
        <v>62.5</v>
      </c>
      <c r="EP176" s="28" t="n">
        <f aca="false">IF(ISNUMBER(AD176),AD176*CZ176,0)</f>
        <v>165</v>
      </c>
      <c r="EQ176" s="28" t="n">
        <f aca="false">IF(ISNUMBER(AH176),AH176*DA176,0)</f>
        <v>0</v>
      </c>
      <c r="ER176" s="28" t="n">
        <f aca="false">IF(ISNUMBER(AL176),AL176*DB176,0)</f>
        <v>0</v>
      </c>
      <c r="ES176" s="28" t="n">
        <f aca="false">IF(ISNUMBER(AP176),AP176*DC176,0)</f>
        <v>0</v>
      </c>
      <c r="ET176" s="28" t="n">
        <f aca="false">IF(ISNUMBER(AT176),AT176*DD176,0)</f>
        <v>0</v>
      </c>
      <c r="EU176" s="28" t="n">
        <f aca="false">IF(ISNUMBER(AX176),AX176*DE176,0)</f>
        <v>0</v>
      </c>
      <c r="EV176" s="28" t="n">
        <f aca="false">IF(ISNUMBER(BB176),BB176*DF176,0)</f>
        <v>0</v>
      </c>
      <c r="EW176" s="28" t="n">
        <f aca="false">IF(ISNUMBER(BF176),BF176*DG176,0)</f>
        <v>0</v>
      </c>
      <c r="EX176" s="28" t="n">
        <f aca="false">IF(ISNUMBER(BJ176),BJ176*DH176,0)</f>
        <v>0</v>
      </c>
      <c r="EY176" s="28" t="n">
        <f aca="false">IF(ISNUMBER(BN176),BN176*DI176,0)</f>
        <v>0</v>
      </c>
      <c r="EZ176" s="28" t="n">
        <f aca="false">IF(ISNUMBER(BR176),BR176*DJ176,0)</f>
        <v>0</v>
      </c>
      <c r="FA176" s="28" t="n">
        <f aca="false">IF(ISNUMBER(R176),CW176,0)</f>
        <v>1</v>
      </c>
      <c r="FB176" s="28" t="n">
        <f aca="false">IF(ISNUMBER(V176),CX176,0)</f>
        <v>1</v>
      </c>
      <c r="FC176" s="28" t="n">
        <f aca="false">IF(ISNUMBER(Z176),CY176,0)</f>
        <v>1</v>
      </c>
      <c r="FD176" s="28" t="n">
        <f aca="false">IF(ISNUMBER(AD176),CZ176,0)</f>
        <v>2</v>
      </c>
      <c r="FE176" s="28" t="n">
        <f aca="false">IF(ISNUMBER(AH176),DA176,0)</f>
        <v>0</v>
      </c>
      <c r="FF176" s="28" t="n">
        <f aca="false">IF(ISNUMBER(AL176),DB176,0)</f>
        <v>0</v>
      </c>
      <c r="FG176" s="28" t="n">
        <f aca="false">IF(ISNUMBER(AP176),DC176,0)</f>
        <v>0</v>
      </c>
      <c r="FH176" s="28" t="n">
        <f aca="false">IF(ISNUMBER(AT176),DD176,0)</f>
        <v>0</v>
      </c>
      <c r="FI176" s="28" t="n">
        <f aca="false">IF(ISNUMBER(AX176),DE176,0)</f>
        <v>0</v>
      </c>
      <c r="FJ176" s="28" t="n">
        <f aca="false">IF(ISNUMBER(BB176),DF176,0)</f>
        <v>0</v>
      </c>
      <c r="FK176" s="28" t="n">
        <f aca="false">IF(ISNUMBER(BF176),DG176,0)</f>
        <v>0</v>
      </c>
      <c r="FL176" s="28" t="n">
        <f aca="false">IF(ISNUMBER(BJ176),DH176,0)</f>
        <v>0</v>
      </c>
      <c r="FM176" s="28" t="n">
        <f aca="false">IF(ISNUMBER(BN176),DI176,0)</f>
        <v>0</v>
      </c>
      <c r="FN176" s="28" t="n">
        <f aca="false">IF(ISNUMBER(BR176),DJ176,0)</f>
        <v>0</v>
      </c>
      <c r="FO176" s="28" t="str">
        <f aca="false">IFERROR(INDEX(Lists!$G$2:$G$20,MATCH($I176&amp;"|"&amp;$J176,Lists!$F$2:$F$20,0)),"")</f>
        <v>BM Exam</v>
      </c>
    </row>
    <row r="177" customFormat="false" ht="19.5" hidden="false" customHeight="true" outlineLevel="0" collapsed="false">
      <c r="A177" s="29" t="s">
        <v>411</v>
      </c>
      <c r="B177" s="29" t="s">
        <v>412</v>
      </c>
      <c r="C177" s="30" t="s">
        <v>152</v>
      </c>
      <c r="D177" s="30" t="s">
        <v>408</v>
      </c>
      <c r="E177" s="31" t="n">
        <v>5.8</v>
      </c>
      <c r="F177" s="30" t="n">
        <v>6</v>
      </c>
      <c r="G177" s="30"/>
      <c r="H177" s="32" t="s">
        <v>23</v>
      </c>
      <c r="I177" s="33" t="s">
        <v>365</v>
      </c>
      <c r="J177" s="32" t="s">
        <v>223</v>
      </c>
      <c r="K177" s="34" t="n">
        <f aca="false">IF(OR(M177="",$E177=""),"",M177-$E177)</f>
        <v>1.2</v>
      </c>
      <c r="L177" s="35" t="n">
        <f aca="false">IF(SUM(FA177:FN177)=0,"",SUM(EM177:EZ177)/SUM(FA177:FN177))</f>
        <v>84.5</v>
      </c>
      <c r="M177" s="36" t="n">
        <f aca="false">IF(OR(L177="",FO177=""),"",IFERROR(MATCH(L177,INDEX(Boundaries!$B$2:$I$30,MATCH(FO177,Boundaries!$A$2:$A$30,0),0),1)-1,""))</f>
        <v>7</v>
      </c>
      <c r="N177" s="37" t="n">
        <f aca="false">IF(COUNT($DY177:$EL177)&lt;2,"",INDEX($DK177:$DX177,MAX($DY177:$EL177))-INDEX($DK177:$DX177,MIN($DY177:$EL177)))</f>
        <v>0</v>
      </c>
      <c r="O177" s="37" t="n">
        <f aca="false">IF(COUNT($DY177:$EL177)&lt;2,"",INDEX($DK177:$DX177,MAX($DY177:$EL177))-INDEX($DK177:$DX177,LARGE($DY177:$EL177,2)))</f>
        <v>1</v>
      </c>
      <c r="P177" s="38" t="str">
        <f aca="false">IF(K177="","",IF(K177&gt;=0,"On/above target",IF(AND(N177&lt;&gt;"",N177&gt;=0.5),"Improving towards target",IF(AND(O177&lt;&gt;"",O177&lt;=-0.5),"Declining","Stable below target"))))</f>
        <v>On/above target</v>
      </c>
      <c r="Q177" s="39" t="n">
        <v>22</v>
      </c>
      <c r="R177" s="40" t="n">
        <f aca="false">IF(OR(Q177="",BU177=""),"",Q177/BU177*100)</f>
        <v>91.6666666666667</v>
      </c>
      <c r="S177" s="41" t="n">
        <f aca="false">IF(R177="","",IFERROR(MATCH(R177,INDEX(Boundaries!$B$2:$I$30,MATCH(CI177,Boundaries!$A$2:$A$30,0),0),1)-1,""))</f>
        <v>7</v>
      </c>
      <c r="T177" s="42" t="n">
        <f aca="false">IF(OR(S177="",$E177=""),"",S177-$E177)</f>
        <v>1.2</v>
      </c>
      <c r="U177" s="39" t="n">
        <v>14</v>
      </c>
      <c r="V177" s="40" t="n">
        <f aca="false">IF(OR(U177="",BV177=""),"",U177/BV177*100)</f>
        <v>70</v>
      </c>
      <c r="W177" s="41" t="n">
        <f aca="false">IF(V177="","",IFERROR(MATCH(V177,INDEX(Boundaries!$B$2:$I$30,MATCH(CJ177,Boundaries!$A$2:$A$30,0),0),1)-1,""))</f>
        <v>6</v>
      </c>
      <c r="X177" s="42" t="n">
        <f aca="false">IF(OR(W177="",$E177=""),"",W177-$E177)</f>
        <v>0.2</v>
      </c>
      <c r="Y177" s="39" t="n">
        <v>17</v>
      </c>
      <c r="Z177" s="40" t="n">
        <f aca="false">IF(OR(Y177="",BW177=""),"",Y177/BW177*100)</f>
        <v>70.8333333333333</v>
      </c>
      <c r="AA177" s="41" t="n">
        <f aca="false">IF(Z177="","",IFERROR(MATCH(Z177,INDEX(Boundaries!$B$2:$I$30,MATCH(CK177,Boundaries!$A$2:$A$30,0),0),1)-1,""))</f>
        <v>6</v>
      </c>
      <c r="AB177" s="42" t="n">
        <f aca="false">IF(OR(AA177="",$E177=""),"",AA177-$E177)</f>
        <v>0.2</v>
      </c>
      <c r="AC177" s="39" t="n">
        <v>38</v>
      </c>
      <c r="AD177" s="40" t="n">
        <f aca="false">IF(OR(AC177="",BX177=""),"",AC177/BX177*100)</f>
        <v>95</v>
      </c>
      <c r="AE177" s="41" t="n">
        <f aca="false">IF(AD177="","",IFERROR(MATCH(AD177,INDEX(Boundaries!$B$2:$I$30,MATCH(CL177,Boundaries!$A$2:$A$30,0),0),1)-1,""))</f>
        <v>7</v>
      </c>
      <c r="AF177" s="42" t="n">
        <f aca="false">IF(OR(AE177="",$E177=""),"",AE177-$E177)</f>
        <v>1.2</v>
      </c>
      <c r="AG177" s="39"/>
      <c r="AH177" s="40" t="str">
        <f aca="false">IF(OR(AG177="",BY177=""),"",AG177/BY177*100)</f>
        <v/>
      </c>
      <c r="AI177" s="41" t="str">
        <f aca="false">IF(AH177="","",IFERROR(MATCH(AH177,INDEX(Boundaries!$B$2:$I$30,MATCH(CM177,Boundaries!$A$2:$A$30,0),0),1)-1,""))</f>
        <v/>
      </c>
      <c r="AJ177" s="42" t="str">
        <f aca="false">IF(OR(AI177="",$E177=""),"",AI177-$E177)</f>
        <v/>
      </c>
      <c r="AK177" s="39"/>
      <c r="AL177" s="40" t="str">
        <f aca="false">IF(OR(AK177="",BZ177=""),"",AK177/BZ177*100)</f>
        <v/>
      </c>
      <c r="AM177" s="41" t="str">
        <f aca="false">IF(AL177="","",IFERROR(MATCH(AL177,INDEX(Boundaries!$B$2:$I$30,MATCH(CN177,Boundaries!$A$2:$A$30,0),0),1)-1,""))</f>
        <v/>
      </c>
      <c r="AN177" s="42" t="str">
        <f aca="false">IF(OR(AM177="",$E177=""),"",AM177-$E177)</f>
        <v/>
      </c>
      <c r="AO177" s="39"/>
      <c r="AP177" s="40" t="str">
        <f aca="false">IF(OR(AO177="",CA177=""),"",AO177/CA177*100)</f>
        <v/>
      </c>
      <c r="AQ177" s="41" t="str">
        <f aca="false">IF(AP177="","",IFERROR(MATCH(AP177,INDEX(Boundaries!$B$2:$I$30,MATCH(CO177,Boundaries!$A$2:$A$30,0),0),1)-1,""))</f>
        <v/>
      </c>
      <c r="AR177" s="42" t="str">
        <f aca="false">IF(OR(AQ177="",$E177=""),"",AQ177-$E177)</f>
        <v/>
      </c>
      <c r="AS177" s="39"/>
      <c r="AT177" s="40" t="str">
        <f aca="false">IF(OR(AS177="",CB177=""),"",AS177/CB177*100)</f>
        <v/>
      </c>
      <c r="AU177" s="41" t="str">
        <f aca="false">IF(AT177="","",IFERROR(MATCH(AT177,INDEX(Boundaries!$B$2:$I$30,MATCH(CP177,Boundaries!$A$2:$A$30,0),0),1)-1,""))</f>
        <v/>
      </c>
      <c r="AV177" s="42" t="str">
        <f aca="false">IF(OR(AU177="",$E177=""),"",AU177-$E177)</f>
        <v/>
      </c>
      <c r="AW177" s="39"/>
      <c r="AX177" s="40" t="str">
        <f aca="false">IF(OR(AW177="",CC177=""),"",AW177/CC177*100)</f>
        <v/>
      </c>
      <c r="AY177" s="41" t="str">
        <f aca="false">IF(AX177="","",IFERROR(MATCH(AX177,INDEX(Boundaries!$B$2:$I$30,MATCH(CQ177,Boundaries!$A$2:$A$30,0),0),1)-1,""))</f>
        <v/>
      </c>
      <c r="AZ177" s="42" t="str">
        <f aca="false">IF(OR(AY177="",$E177=""),"",AY177-$E177)</f>
        <v/>
      </c>
      <c r="BA177" s="39"/>
      <c r="BB177" s="40" t="str">
        <f aca="false">IF(OR(BA177="",CD177=""),"",BA177/CD177*100)</f>
        <v/>
      </c>
      <c r="BC177" s="41" t="str">
        <f aca="false">IF(BB177="","",IFERROR(MATCH(BB177,INDEX(Boundaries!$B$2:$I$30,MATCH(CR177,Boundaries!$A$2:$A$30,0),0),1)-1,""))</f>
        <v/>
      </c>
      <c r="BD177" s="42" t="str">
        <f aca="false">IF(OR(BC177="",$E177=""),"",BC177-$E177)</f>
        <v/>
      </c>
      <c r="BE177" s="39"/>
      <c r="BF177" s="40" t="str">
        <f aca="false">IF(OR(BE177="",CE177=""),"",BE177/CE177*100)</f>
        <v/>
      </c>
      <c r="BG177" s="41" t="str">
        <f aca="false">IF(BF177="","",IFERROR(MATCH(BF177,INDEX(Boundaries!$B$2:$I$30,MATCH(CS177,Boundaries!$A$2:$A$30,0),0),1)-1,""))</f>
        <v/>
      </c>
      <c r="BH177" s="42" t="str">
        <f aca="false">IF(OR(BG177="",$E177=""),"",BG177-$E177)</f>
        <v/>
      </c>
      <c r="BI177" s="39"/>
      <c r="BJ177" s="40" t="str">
        <f aca="false">IF(OR(BI177="",CF177=""),"",BI177/CF177*100)</f>
        <v/>
      </c>
      <c r="BK177" s="41" t="str">
        <f aca="false">IF(BJ177="","",IFERROR(MATCH(BJ177,INDEX(Boundaries!$B$2:$I$30,MATCH(CT177,Boundaries!$A$2:$A$30,0),0),1)-1,""))</f>
        <v/>
      </c>
      <c r="BL177" s="42" t="str">
        <f aca="false">IF(OR(BK177="",$E177=""),"",BK177-$E177)</f>
        <v/>
      </c>
      <c r="BM177" s="39"/>
      <c r="BN177" s="40" t="str">
        <f aca="false">IF(OR(BM177="",CG177=""),"",BM177/CG177*100)</f>
        <v/>
      </c>
      <c r="BO177" s="41" t="str">
        <f aca="false">IF(BN177="","",IFERROR(MATCH(BN177,INDEX(Boundaries!$B$2:$I$30,MATCH(CU177,Boundaries!$A$2:$A$30,0),0),1)-1,""))</f>
        <v/>
      </c>
      <c r="BP177" s="42" t="str">
        <f aca="false">IF(OR(BO177="",$E177=""),"",BO177-$E177)</f>
        <v/>
      </c>
      <c r="BQ177" s="39"/>
      <c r="BR177" s="40" t="str">
        <f aca="false">IF(OR(BQ177="",CH177=""),"",BQ177/CH177*100)</f>
        <v/>
      </c>
      <c r="BS177" s="41" t="str">
        <f aca="false">IF(BR177="","",IFERROR(MATCH(BR177,INDEX(Boundaries!$B$2:$I$30,MATCH(CV177,Boundaries!$A$2:$A$30,0),0),1)-1,""))</f>
        <v/>
      </c>
      <c r="BT177" s="42" t="str">
        <f aca="false">IF(OR(BS177="",$E177=""),"",BS177-$E177)</f>
        <v/>
      </c>
      <c r="BU177" s="28" t="n">
        <f aca="false">IFERROR(INDEX(Assessments!$H$2:$H$600,MATCH($H177&amp;"|"&amp;$I177&amp;"|"&amp;$J177&amp;"|"&amp;1,Assessments!$A$2:$A$600,0)),"")</f>
        <v>24</v>
      </c>
      <c r="BV177" s="28" t="n">
        <f aca="false">IFERROR(INDEX(Assessments!$H$2:$H$600,MATCH($H177&amp;"|"&amp;$I177&amp;"|"&amp;$J177&amp;"|"&amp;2,Assessments!$A$2:$A$600,0)),"")</f>
        <v>20</v>
      </c>
      <c r="BW177" s="28" t="n">
        <f aca="false">IFERROR(INDEX(Assessments!$H$2:$H$600,MATCH($H177&amp;"|"&amp;$I177&amp;"|"&amp;$J177&amp;"|"&amp;3,Assessments!$A$2:$A$600,0)),"")</f>
        <v>24</v>
      </c>
      <c r="BX177" s="28" t="n">
        <f aca="false">IFERROR(INDEX(Assessments!$H$2:$H$600,MATCH($H177&amp;"|"&amp;$I177&amp;"|"&amp;$J177&amp;"|"&amp;4,Assessments!$A$2:$A$600,0)),"")</f>
        <v>40</v>
      </c>
      <c r="BY177" s="28" t="n">
        <f aca="false">IFERROR(INDEX(Assessments!$H$2:$H$600,MATCH($H177&amp;"|"&amp;$I177&amp;"|"&amp;$J177&amp;"|"&amp;5,Assessments!$A$2:$A$600,0)),"")</f>
        <v>30</v>
      </c>
      <c r="BZ177" s="28" t="n">
        <f aca="false">IFERROR(INDEX(Assessments!$H$2:$H$600,MATCH($H177&amp;"|"&amp;$I177&amp;"|"&amp;$J177&amp;"|"&amp;6,Assessments!$A$2:$A$600,0)),"")</f>
        <v>20</v>
      </c>
      <c r="CA177" s="28" t="n">
        <f aca="false">IFERROR(INDEX(Assessments!$H$2:$H$600,MATCH($H177&amp;"|"&amp;$I177&amp;"|"&amp;$J177&amp;"|"&amp;7,Assessments!$A$2:$A$600,0)),"")</f>
        <v>40</v>
      </c>
      <c r="CB177" s="28" t="str">
        <f aca="false">IFERROR(INDEX(Assessments!$H$2:$H$600,MATCH($H177&amp;"|"&amp;$I177&amp;"|"&amp;$J177&amp;"|"&amp;8,Assessments!$A$2:$A$600,0)),"")</f>
        <v/>
      </c>
      <c r="CC177" s="28" t="str">
        <f aca="false">IFERROR(INDEX(Assessments!$H$2:$H$600,MATCH($H177&amp;"|"&amp;$I177&amp;"|"&amp;$J177&amp;"|"&amp;9,Assessments!$A$2:$A$600,0)),"")</f>
        <v/>
      </c>
      <c r="CD177" s="28" t="str">
        <f aca="false">IFERROR(INDEX(Assessments!$H$2:$H$600,MATCH($H177&amp;"|"&amp;$I177&amp;"|"&amp;$J177&amp;"|"&amp;10,Assessments!$A$2:$A$600,0)),"")</f>
        <v/>
      </c>
      <c r="CE177" s="28" t="str">
        <f aca="false">IFERROR(INDEX(Assessments!$H$2:$H$600,MATCH($H177&amp;"|"&amp;$I177&amp;"|"&amp;$J177&amp;"|"&amp;11,Assessments!$A$2:$A$600,0)),"")</f>
        <v/>
      </c>
      <c r="CF177" s="28" t="str">
        <f aca="false">IFERROR(INDEX(Assessments!$H$2:$H$600,MATCH($H177&amp;"|"&amp;$I177&amp;"|"&amp;$J177&amp;"|"&amp;12,Assessments!$A$2:$A$600,0)),"")</f>
        <v/>
      </c>
      <c r="CG177" s="28" t="str">
        <f aca="false">IFERROR(INDEX(Assessments!$H$2:$H$600,MATCH($H177&amp;"|"&amp;$I177&amp;"|"&amp;$J177&amp;"|"&amp;13,Assessments!$A$2:$A$600,0)),"")</f>
        <v/>
      </c>
      <c r="CH177" s="28" t="str">
        <f aca="false">IFERROR(INDEX(Assessments!$H$2:$H$600,MATCH($H177&amp;"|"&amp;$I177&amp;"|"&amp;$J177&amp;"|"&amp;14,Assessments!$A$2:$A$600,0)),"")</f>
        <v/>
      </c>
      <c r="CI177" s="28" t="str">
        <f aca="false">IFERROR(INDEX(Assessments!$I$2:$I$600,MATCH($H177&amp;"|"&amp;$I177&amp;"|"&amp;$J177&amp;"|"&amp;1,Assessments!$A$2:$A$600,0)),"")</f>
        <v>BM Test</v>
      </c>
      <c r="CJ177" s="28" t="str">
        <f aca="false">IFERROR(INDEX(Assessments!$I$2:$I$600,MATCH($H177&amp;"|"&amp;$I177&amp;"|"&amp;$J177&amp;"|"&amp;2,Assessments!$A$2:$A$600,0)),"")</f>
        <v>BM Test</v>
      </c>
      <c r="CK177" s="28" t="str">
        <f aca="false">IFERROR(INDEX(Assessments!$I$2:$I$600,MATCH($H177&amp;"|"&amp;$I177&amp;"|"&amp;$J177&amp;"|"&amp;3,Assessments!$A$2:$A$600,0)),"")</f>
        <v>BM Test</v>
      </c>
      <c r="CL177" s="28" t="str">
        <f aca="false">IFERROR(INDEX(Assessments!$I$2:$I$600,MATCH($H177&amp;"|"&amp;$I177&amp;"|"&amp;$J177&amp;"|"&amp;4,Assessments!$A$2:$A$600,0)),"")</f>
        <v>BM Exam</v>
      </c>
      <c r="CM177" s="28" t="str">
        <f aca="false">IFERROR(INDEX(Assessments!$I$2:$I$600,MATCH($H177&amp;"|"&amp;$I177&amp;"|"&amp;$J177&amp;"|"&amp;5,Assessments!$A$2:$A$600,0)),"")</f>
        <v>BM Test</v>
      </c>
      <c r="CN177" s="28" t="str">
        <f aca="false">IFERROR(INDEX(Assessments!$I$2:$I$600,MATCH($H177&amp;"|"&amp;$I177&amp;"|"&amp;$J177&amp;"|"&amp;6,Assessments!$A$2:$A$600,0)),"")</f>
        <v>BM Test</v>
      </c>
      <c r="CO177" s="28" t="str">
        <f aca="false">IFERROR(INDEX(Assessments!$I$2:$I$600,MATCH($H177&amp;"|"&amp;$I177&amp;"|"&amp;$J177&amp;"|"&amp;7,Assessments!$A$2:$A$600,0)),"")</f>
        <v>BM Exam</v>
      </c>
      <c r="CP177" s="28" t="str">
        <f aca="false">IFERROR(INDEX(Assessments!$I$2:$I$600,MATCH($H177&amp;"|"&amp;$I177&amp;"|"&amp;$J177&amp;"|"&amp;8,Assessments!$A$2:$A$600,0)),"")</f>
        <v/>
      </c>
      <c r="CQ177" s="28" t="str">
        <f aca="false">IFERROR(INDEX(Assessments!$I$2:$I$600,MATCH($H177&amp;"|"&amp;$I177&amp;"|"&amp;$J177&amp;"|"&amp;9,Assessments!$A$2:$A$600,0)),"")</f>
        <v/>
      </c>
      <c r="CR177" s="28" t="str">
        <f aca="false">IFERROR(INDEX(Assessments!$I$2:$I$600,MATCH($H177&amp;"|"&amp;$I177&amp;"|"&amp;$J177&amp;"|"&amp;10,Assessments!$A$2:$A$600,0)),"")</f>
        <v/>
      </c>
      <c r="CS177" s="28" t="str">
        <f aca="false">IFERROR(INDEX(Assessments!$I$2:$I$600,MATCH($H177&amp;"|"&amp;$I177&amp;"|"&amp;$J177&amp;"|"&amp;11,Assessments!$A$2:$A$600,0)),"")</f>
        <v/>
      </c>
      <c r="CT177" s="28" t="str">
        <f aca="false">IFERROR(INDEX(Assessments!$I$2:$I$600,MATCH($H177&amp;"|"&amp;$I177&amp;"|"&amp;$J177&amp;"|"&amp;12,Assessments!$A$2:$A$600,0)),"")</f>
        <v/>
      </c>
      <c r="CU177" s="28" t="str">
        <f aca="false">IFERROR(INDEX(Assessments!$I$2:$I$600,MATCH($H177&amp;"|"&amp;$I177&amp;"|"&amp;$J177&amp;"|"&amp;13,Assessments!$A$2:$A$600,0)),"")</f>
        <v/>
      </c>
      <c r="CV177" s="28" t="str">
        <f aca="false">IFERROR(INDEX(Assessments!$I$2:$I$600,MATCH($H177&amp;"|"&amp;$I177&amp;"|"&amp;$J177&amp;"|"&amp;14,Assessments!$A$2:$A$600,0)),"")</f>
        <v/>
      </c>
      <c r="CW177" s="28" t="n">
        <f aca="false">IFERROR(INDEX(Assessments!$J$2:$J$600,MATCH($H177&amp;"|"&amp;$I177&amp;"|"&amp;$J177&amp;"|"&amp;1,Assessments!$A$2:$A$600,0)),0)</f>
        <v>1</v>
      </c>
      <c r="CX177" s="28" t="n">
        <f aca="false">IFERROR(INDEX(Assessments!$J$2:$J$600,MATCH($H177&amp;"|"&amp;$I177&amp;"|"&amp;$J177&amp;"|"&amp;2,Assessments!$A$2:$A$600,0)),0)</f>
        <v>1</v>
      </c>
      <c r="CY177" s="28" t="n">
        <f aca="false">IFERROR(INDEX(Assessments!$J$2:$J$600,MATCH($H177&amp;"|"&amp;$I177&amp;"|"&amp;$J177&amp;"|"&amp;3,Assessments!$A$2:$A$600,0)),0)</f>
        <v>1</v>
      </c>
      <c r="CZ177" s="28" t="n">
        <f aca="false">IFERROR(INDEX(Assessments!$J$2:$J$600,MATCH($H177&amp;"|"&amp;$I177&amp;"|"&amp;$J177&amp;"|"&amp;4,Assessments!$A$2:$A$600,0)),0)</f>
        <v>2</v>
      </c>
      <c r="DA177" s="28" t="n">
        <f aca="false">IFERROR(INDEX(Assessments!$J$2:$J$600,MATCH($H177&amp;"|"&amp;$I177&amp;"|"&amp;$J177&amp;"|"&amp;5,Assessments!$A$2:$A$600,0)),0)</f>
        <v>1</v>
      </c>
      <c r="DB177" s="28" t="n">
        <f aca="false">IFERROR(INDEX(Assessments!$J$2:$J$600,MATCH($H177&amp;"|"&amp;$I177&amp;"|"&amp;$J177&amp;"|"&amp;6,Assessments!$A$2:$A$600,0)),0)</f>
        <v>1</v>
      </c>
      <c r="DC177" s="28" t="n">
        <f aca="false">IFERROR(INDEX(Assessments!$J$2:$J$600,MATCH($H177&amp;"|"&amp;$I177&amp;"|"&amp;$J177&amp;"|"&amp;7,Assessments!$A$2:$A$600,0)),0)</f>
        <v>2</v>
      </c>
      <c r="DD177" s="28" t="n">
        <f aca="false">IFERROR(INDEX(Assessments!$J$2:$J$600,MATCH($H177&amp;"|"&amp;$I177&amp;"|"&amp;$J177&amp;"|"&amp;8,Assessments!$A$2:$A$600,0)),0)</f>
        <v>0</v>
      </c>
      <c r="DE177" s="28" t="n">
        <f aca="false">IFERROR(INDEX(Assessments!$J$2:$J$600,MATCH($H177&amp;"|"&amp;$I177&amp;"|"&amp;$J177&amp;"|"&amp;9,Assessments!$A$2:$A$600,0)),0)</f>
        <v>0</v>
      </c>
      <c r="DF177" s="28" t="n">
        <f aca="false">IFERROR(INDEX(Assessments!$J$2:$J$600,MATCH($H177&amp;"|"&amp;$I177&amp;"|"&amp;$J177&amp;"|"&amp;10,Assessments!$A$2:$A$600,0)),0)</f>
        <v>0</v>
      </c>
      <c r="DG177" s="28" t="n">
        <f aca="false">IFERROR(INDEX(Assessments!$J$2:$J$600,MATCH($H177&amp;"|"&amp;$I177&amp;"|"&amp;$J177&amp;"|"&amp;11,Assessments!$A$2:$A$600,0)),0)</f>
        <v>0</v>
      </c>
      <c r="DH177" s="28" t="n">
        <f aca="false">IFERROR(INDEX(Assessments!$J$2:$J$600,MATCH($H177&amp;"|"&amp;$I177&amp;"|"&amp;$J177&amp;"|"&amp;12,Assessments!$A$2:$A$600,0)),0)</f>
        <v>0</v>
      </c>
      <c r="DI177" s="28" t="n">
        <f aca="false">IFERROR(INDEX(Assessments!$J$2:$J$600,MATCH($H177&amp;"|"&amp;$I177&amp;"|"&amp;$J177&amp;"|"&amp;13,Assessments!$A$2:$A$600,0)),0)</f>
        <v>0</v>
      </c>
      <c r="DJ177" s="28" t="n">
        <f aca="false">IFERROR(INDEX(Assessments!$J$2:$J$600,MATCH($H177&amp;"|"&amp;$I177&amp;"|"&amp;$J177&amp;"|"&amp;14,Assessments!$A$2:$A$600,0)),0)</f>
        <v>0</v>
      </c>
      <c r="DK177" s="28" t="n">
        <f aca="false">S177</f>
        <v>7</v>
      </c>
      <c r="DL177" s="28" t="n">
        <f aca="false">W177</f>
        <v>6</v>
      </c>
      <c r="DM177" s="28" t="n">
        <f aca="false">AA177</f>
        <v>6</v>
      </c>
      <c r="DN177" s="28" t="n">
        <f aca="false">AE177</f>
        <v>7</v>
      </c>
      <c r="DO177" s="28" t="str">
        <f aca="false">AI177</f>
        <v/>
      </c>
      <c r="DP177" s="28" t="str">
        <f aca="false">AM177</f>
        <v/>
      </c>
      <c r="DQ177" s="28" t="str">
        <f aca="false">AQ177</f>
        <v/>
      </c>
      <c r="DR177" s="28" t="str">
        <f aca="false">AU177</f>
        <v/>
      </c>
      <c r="DS177" s="28" t="str">
        <f aca="false">AY177</f>
        <v/>
      </c>
      <c r="DT177" s="28" t="str">
        <f aca="false">BC177</f>
        <v/>
      </c>
      <c r="DU177" s="28" t="str">
        <f aca="false">BG177</f>
        <v/>
      </c>
      <c r="DV177" s="28" t="str">
        <f aca="false">BK177</f>
        <v/>
      </c>
      <c r="DW177" s="28" t="str">
        <f aca="false">BO177</f>
        <v/>
      </c>
      <c r="DX177" s="28" t="str">
        <f aca="false">BS177</f>
        <v/>
      </c>
      <c r="DY177" s="28" t="n">
        <f aca="false">IF(ISNUMBER(S177),1,"")</f>
        <v>1</v>
      </c>
      <c r="DZ177" s="28" t="n">
        <f aca="false">IF(ISNUMBER(W177),2,"")</f>
        <v>2</v>
      </c>
      <c r="EA177" s="28" t="n">
        <f aca="false">IF(ISNUMBER(AA177),3,"")</f>
        <v>3</v>
      </c>
      <c r="EB177" s="28" t="n">
        <f aca="false">IF(ISNUMBER(AE177),4,"")</f>
        <v>4</v>
      </c>
      <c r="EC177" s="28" t="str">
        <f aca="false">IF(ISNUMBER(AI177),5,"")</f>
        <v/>
      </c>
      <c r="ED177" s="28" t="str">
        <f aca="false">IF(ISNUMBER(AM177),6,"")</f>
        <v/>
      </c>
      <c r="EE177" s="28" t="str">
        <f aca="false">IF(ISNUMBER(AQ177),7,"")</f>
        <v/>
      </c>
      <c r="EF177" s="28" t="str">
        <f aca="false">IF(ISNUMBER(AU177),8,"")</f>
        <v/>
      </c>
      <c r="EG177" s="28" t="str">
        <f aca="false">IF(ISNUMBER(AY177),9,"")</f>
        <v/>
      </c>
      <c r="EH177" s="28" t="str">
        <f aca="false">IF(ISNUMBER(BC177),10,"")</f>
        <v/>
      </c>
      <c r="EI177" s="28" t="str">
        <f aca="false">IF(ISNUMBER(BG177),11,"")</f>
        <v/>
      </c>
      <c r="EJ177" s="28" t="str">
        <f aca="false">IF(ISNUMBER(BK177),12,"")</f>
        <v/>
      </c>
      <c r="EK177" s="28" t="str">
        <f aca="false">IF(ISNUMBER(BO177),13,"")</f>
        <v/>
      </c>
      <c r="EL177" s="28" t="str">
        <f aca="false">IF(ISNUMBER(BS177),14,"")</f>
        <v/>
      </c>
      <c r="EM177" s="28" t="n">
        <f aca="false">IF(ISNUMBER(R177),R177*CW177,0)</f>
        <v>91.6666666666667</v>
      </c>
      <c r="EN177" s="28" t="n">
        <f aca="false">IF(ISNUMBER(V177),V177*CX177,0)</f>
        <v>70</v>
      </c>
      <c r="EO177" s="28" t="n">
        <f aca="false">IF(ISNUMBER(Z177),Z177*CY177,0)</f>
        <v>70.8333333333333</v>
      </c>
      <c r="EP177" s="28" t="n">
        <f aca="false">IF(ISNUMBER(AD177),AD177*CZ177,0)</f>
        <v>190</v>
      </c>
      <c r="EQ177" s="28" t="n">
        <f aca="false">IF(ISNUMBER(AH177),AH177*DA177,0)</f>
        <v>0</v>
      </c>
      <c r="ER177" s="28" t="n">
        <f aca="false">IF(ISNUMBER(AL177),AL177*DB177,0)</f>
        <v>0</v>
      </c>
      <c r="ES177" s="28" t="n">
        <f aca="false">IF(ISNUMBER(AP177),AP177*DC177,0)</f>
        <v>0</v>
      </c>
      <c r="ET177" s="28" t="n">
        <f aca="false">IF(ISNUMBER(AT177),AT177*DD177,0)</f>
        <v>0</v>
      </c>
      <c r="EU177" s="28" t="n">
        <f aca="false">IF(ISNUMBER(AX177),AX177*DE177,0)</f>
        <v>0</v>
      </c>
      <c r="EV177" s="28" t="n">
        <f aca="false">IF(ISNUMBER(BB177),BB177*DF177,0)</f>
        <v>0</v>
      </c>
      <c r="EW177" s="28" t="n">
        <f aca="false">IF(ISNUMBER(BF177),BF177*DG177,0)</f>
        <v>0</v>
      </c>
      <c r="EX177" s="28" t="n">
        <f aca="false">IF(ISNUMBER(BJ177),BJ177*DH177,0)</f>
        <v>0</v>
      </c>
      <c r="EY177" s="28" t="n">
        <f aca="false">IF(ISNUMBER(BN177),BN177*DI177,0)</f>
        <v>0</v>
      </c>
      <c r="EZ177" s="28" t="n">
        <f aca="false">IF(ISNUMBER(BR177),BR177*DJ177,0)</f>
        <v>0</v>
      </c>
      <c r="FA177" s="28" t="n">
        <f aca="false">IF(ISNUMBER(R177),CW177,0)</f>
        <v>1</v>
      </c>
      <c r="FB177" s="28" t="n">
        <f aca="false">IF(ISNUMBER(V177),CX177,0)</f>
        <v>1</v>
      </c>
      <c r="FC177" s="28" t="n">
        <f aca="false">IF(ISNUMBER(Z177),CY177,0)</f>
        <v>1</v>
      </c>
      <c r="FD177" s="28" t="n">
        <f aca="false">IF(ISNUMBER(AD177),CZ177,0)</f>
        <v>2</v>
      </c>
      <c r="FE177" s="28" t="n">
        <f aca="false">IF(ISNUMBER(AH177),DA177,0)</f>
        <v>0</v>
      </c>
      <c r="FF177" s="28" t="n">
        <f aca="false">IF(ISNUMBER(AL177),DB177,0)</f>
        <v>0</v>
      </c>
      <c r="FG177" s="28" t="n">
        <f aca="false">IF(ISNUMBER(AP177),DC177,0)</f>
        <v>0</v>
      </c>
      <c r="FH177" s="28" t="n">
        <f aca="false">IF(ISNUMBER(AT177),DD177,0)</f>
        <v>0</v>
      </c>
      <c r="FI177" s="28" t="n">
        <f aca="false">IF(ISNUMBER(AX177),DE177,0)</f>
        <v>0</v>
      </c>
      <c r="FJ177" s="28" t="n">
        <f aca="false">IF(ISNUMBER(BB177),DF177,0)</f>
        <v>0</v>
      </c>
      <c r="FK177" s="28" t="n">
        <f aca="false">IF(ISNUMBER(BF177),DG177,0)</f>
        <v>0</v>
      </c>
      <c r="FL177" s="28" t="n">
        <f aca="false">IF(ISNUMBER(BJ177),DH177,0)</f>
        <v>0</v>
      </c>
      <c r="FM177" s="28" t="n">
        <f aca="false">IF(ISNUMBER(BN177),DI177,0)</f>
        <v>0</v>
      </c>
      <c r="FN177" s="28" t="n">
        <f aca="false">IF(ISNUMBER(BR177),DJ177,0)</f>
        <v>0</v>
      </c>
      <c r="FO177" s="28" t="str">
        <f aca="false">IFERROR(INDEX(Lists!$G$2:$G$20,MATCH($I177&amp;"|"&amp;$J177,Lists!$F$2:$F$20,0)),"")</f>
        <v>BM Exam</v>
      </c>
    </row>
    <row r="178" customFormat="false" ht="19.5" hidden="false" customHeight="true" outlineLevel="0" collapsed="false">
      <c r="A178" s="29" t="s">
        <v>208</v>
      </c>
      <c r="B178" s="29" t="s">
        <v>209</v>
      </c>
      <c r="C178" s="30" t="s">
        <v>152</v>
      </c>
      <c r="D178" s="30" t="s">
        <v>408</v>
      </c>
      <c r="E178" s="31" t="n">
        <v>6.3</v>
      </c>
      <c r="F178" s="30" t="n">
        <v>7</v>
      </c>
      <c r="G178" s="30"/>
      <c r="H178" s="32" t="s">
        <v>23</v>
      </c>
      <c r="I178" s="33" t="s">
        <v>365</v>
      </c>
      <c r="J178" s="32" t="s">
        <v>223</v>
      </c>
      <c r="K178" s="34" t="n">
        <f aca="false">IF(OR(M178="",$E178=""),"",M178-$E178)</f>
        <v>0.7</v>
      </c>
      <c r="L178" s="35" t="n">
        <f aca="false">IF(SUM(FA178:FN178)=0,"",SUM(EM178:EZ178)/SUM(FA178:FN178))</f>
        <v>71.6666666666667</v>
      </c>
      <c r="M178" s="36" t="n">
        <f aca="false">IF(OR(L178="",FO178=""),"",IFERROR(MATCH(L178,INDEX(Boundaries!$B$2:$I$30,MATCH(FO178,Boundaries!$A$2:$A$30,0),0),1)-1,""))</f>
        <v>7</v>
      </c>
      <c r="N178" s="37" t="n">
        <f aca="false">IF(COUNT($DY178:$EL178)&lt;2,"",INDEX($DK178:$DX178,MAX($DY178:$EL178))-INDEX($DK178:$DX178,MIN($DY178:$EL178)))</f>
        <v>0</v>
      </c>
      <c r="O178" s="37" t="n">
        <f aca="false">IF(COUNT($DY178:$EL178)&lt;2,"",INDEX($DK178:$DX178,MAX($DY178:$EL178))-INDEX($DK178:$DX178,LARGE($DY178:$EL178,2)))</f>
        <v>2</v>
      </c>
      <c r="P178" s="38" t="str">
        <f aca="false">IF(K178="","",IF(K178&gt;=0,"On/above target",IF(AND(N178&lt;&gt;"",N178&gt;=0.5),"Improving towards target",IF(AND(O178&lt;&gt;"",O178&lt;=-0.5),"Declining","Stable below target"))))</f>
        <v>On/above target</v>
      </c>
      <c r="Q178" s="39" t="n">
        <v>20</v>
      </c>
      <c r="R178" s="40" t="n">
        <f aca="false">IF(OR(Q178="",BU178=""),"",Q178/BU178*100)</f>
        <v>83.3333333333333</v>
      </c>
      <c r="S178" s="41" t="n">
        <f aca="false">IF(R178="","",IFERROR(MATCH(R178,INDEX(Boundaries!$B$2:$I$30,MATCH(CI178,Boundaries!$A$2:$A$30,0),0),1)-1,""))</f>
        <v>7</v>
      </c>
      <c r="T178" s="42" t="n">
        <f aca="false">IF(OR(S178="",$E178=""),"",S178-$E178)</f>
        <v>0.7</v>
      </c>
      <c r="U178" s="39" t="n">
        <v>13</v>
      </c>
      <c r="V178" s="40" t="n">
        <f aca="false">IF(OR(U178="",BV178=""),"",U178/BV178*100)</f>
        <v>65</v>
      </c>
      <c r="W178" s="41" t="n">
        <f aca="false">IF(V178="","",IFERROR(MATCH(V178,INDEX(Boundaries!$B$2:$I$30,MATCH(CJ178,Boundaries!$A$2:$A$30,0),0),1)-1,""))</f>
        <v>6</v>
      </c>
      <c r="X178" s="42" t="n">
        <f aca="false">IF(OR(W178="",$E178=""),"",W178-$E178)</f>
        <v>-0.3</v>
      </c>
      <c r="Y178" s="39" t="n">
        <v>12</v>
      </c>
      <c r="Z178" s="40" t="n">
        <f aca="false">IF(OR(Y178="",BW178=""),"",Y178/BW178*100)</f>
        <v>50</v>
      </c>
      <c r="AA178" s="41" t="n">
        <f aca="false">IF(Z178="","",IFERROR(MATCH(Z178,INDEX(Boundaries!$B$2:$I$30,MATCH(CK178,Boundaries!$A$2:$A$30,0),0),1)-1,""))</f>
        <v>5</v>
      </c>
      <c r="AB178" s="42" t="n">
        <f aca="false">IF(OR(AA178="",$E178=""),"",AA178-$E178)</f>
        <v>-1.3</v>
      </c>
      <c r="AC178" s="39" t="n">
        <v>32</v>
      </c>
      <c r="AD178" s="40" t="n">
        <f aca="false">IF(OR(AC178="",BX178=""),"",AC178/BX178*100)</f>
        <v>80</v>
      </c>
      <c r="AE178" s="41" t="n">
        <f aca="false">IF(AD178="","",IFERROR(MATCH(AD178,INDEX(Boundaries!$B$2:$I$30,MATCH(CL178,Boundaries!$A$2:$A$30,0),0),1)-1,""))</f>
        <v>7</v>
      </c>
      <c r="AF178" s="42" t="n">
        <f aca="false">IF(OR(AE178="",$E178=""),"",AE178-$E178)</f>
        <v>0.7</v>
      </c>
      <c r="AG178" s="39"/>
      <c r="AH178" s="40" t="str">
        <f aca="false">IF(OR(AG178="",BY178=""),"",AG178/BY178*100)</f>
        <v/>
      </c>
      <c r="AI178" s="41" t="str">
        <f aca="false">IF(AH178="","",IFERROR(MATCH(AH178,INDEX(Boundaries!$B$2:$I$30,MATCH(CM178,Boundaries!$A$2:$A$30,0),0),1)-1,""))</f>
        <v/>
      </c>
      <c r="AJ178" s="42" t="str">
        <f aca="false">IF(OR(AI178="",$E178=""),"",AI178-$E178)</f>
        <v/>
      </c>
      <c r="AK178" s="39"/>
      <c r="AL178" s="40" t="str">
        <f aca="false">IF(OR(AK178="",BZ178=""),"",AK178/BZ178*100)</f>
        <v/>
      </c>
      <c r="AM178" s="41" t="str">
        <f aca="false">IF(AL178="","",IFERROR(MATCH(AL178,INDEX(Boundaries!$B$2:$I$30,MATCH(CN178,Boundaries!$A$2:$A$30,0),0),1)-1,""))</f>
        <v/>
      </c>
      <c r="AN178" s="42" t="str">
        <f aca="false">IF(OR(AM178="",$E178=""),"",AM178-$E178)</f>
        <v/>
      </c>
      <c r="AO178" s="39"/>
      <c r="AP178" s="40" t="str">
        <f aca="false">IF(OR(AO178="",CA178=""),"",AO178/CA178*100)</f>
        <v/>
      </c>
      <c r="AQ178" s="41" t="str">
        <f aca="false">IF(AP178="","",IFERROR(MATCH(AP178,INDEX(Boundaries!$B$2:$I$30,MATCH(CO178,Boundaries!$A$2:$A$30,0),0),1)-1,""))</f>
        <v/>
      </c>
      <c r="AR178" s="42" t="str">
        <f aca="false">IF(OR(AQ178="",$E178=""),"",AQ178-$E178)</f>
        <v/>
      </c>
      <c r="AS178" s="39"/>
      <c r="AT178" s="40" t="str">
        <f aca="false">IF(OR(AS178="",CB178=""),"",AS178/CB178*100)</f>
        <v/>
      </c>
      <c r="AU178" s="41" t="str">
        <f aca="false">IF(AT178="","",IFERROR(MATCH(AT178,INDEX(Boundaries!$B$2:$I$30,MATCH(CP178,Boundaries!$A$2:$A$30,0),0),1)-1,""))</f>
        <v/>
      </c>
      <c r="AV178" s="42" t="str">
        <f aca="false">IF(OR(AU178="",$E178=""),"",AU178-$E178)</f>
        <v/>
      </c>
      <c r="AW178" s="39"/>
      <c r="AX178" s="40" t="str">
        <f aca="false">IF(OR(AW178="",CC178=""),"",AW178/CC178*100)</f>
        <v/>
      </c>
      <c r="AY178" s="41" t="str">
        <f aca="false">IF(AX178="","",IFERROR(MATCH(AX178,INDEX(Boundaries!$B$2:$I$30,MATCH(CQ178,Boundaries!$A$2:$A$30,0),0),1)-1,""))</f>
        <v/>
      </c>
      <c r="AZ178" s="42" t="str">
        <f aca="false">IF(OR(AY178="",$E178=""),"",AY178-$E178)</f>
        <v/>
      </c>
      <c r="BA178" s="39"/>
      <c r="BB178" s="40" t="str">
        <f aca="false">IF(OR(BA178="",CD178=""),"",BA178/CD178*100)</f>
        <v/>
      </c>
      <c r="BC178" s="41" t="str">
        <f aca="false">IF(BB178="","",IFERROR(MATCH(BB178,INDEX(Boundaries!$B$2:$I$30,MATCH(CR178,Boundaries!$A$2:$A$30,0),0),1)-1,""))</f>
        <v/>
      </c>
      <c r="BD178" s="42" t="str">
        <f aca="false">IF(OR(BC178="",$E178=""),"",BC178-$E178)</f>
        <v/>
      </c>
      <c r="BE178" s="39"/>
      <c r="BF178" s="40" t="str">
        <f aca="false">IF(OR(BE178="",CE178=""),"",BE178/CE178*100)</f>
        <v/>
      </c>
      <c r="BG178" s="41" t="str">
        <f aca="false">IF(BF178="","",IFERROR(MATCH(BF178,INDEX(Boundaries!$B$2:$I$30,MATCH(CS178,Boundaries!$A$2:$A$30,0),0),1)-1,""))</f>
        <v/>
      </c>
      <c r="BH178" s="42" t="str">
        <f aca="false">IF(OR(BG178="",$E178=""),"",BG178-$E178)</f>
        <v/>
      </c>
      <c r="BI178" s="39"/>
      <c r="BJ178" s="40" t="str">
        <f aca="false">IF(OR(BI178="",CF178=""),"",BI178/CF178*100)</f>
        <v/>
      </c>
      <c r="BK178" s="41" t="str">
        <f aca="false">IF(BJ178="","",IFERROR(MATCH(BJ178,INDEX(Boundaries!$B$2:$I$30,MATCH(CT178,Boundaries!$A$2:$A$30,0),0),1)-1,""))</f>
        <v/>
      </c>
      <c r="BL178" s="42" t="str">
        <f aca="false">IF(OR(BK178="",$E178=""),"",BK178-$E178)</f>
        <v/>
      </c>
      <c r="BM178" s="39"/>
      <c r="BN178" s="40" t="str">
        <f aca="false">IF(OR(BM178="",CG178=""),"",BM178/CG178*100)</f>
        <v/>
      </c>
      <c r="BO178" s="41" t="str">
        <f aca="false">IF(BN178="","",IFERROR(MATCH(BN178,INDEX(Boundaries!$B$2:$I$30,MATCH(CU178,Boundaries!$A$2:$A$30,0),0),1)-1,""))</f>
        <v/>
      </c>
      <c r="BP178" s="42" t="str">
        <f aca="false">IF(OR(BO178="",$E178=""),"",BO178-$E178)</f>
        <v/>
      </c>
      <c r="BQ178" s="39"/>
      <c r="BR178" s="40" t="str">
        <f aca="false">IF(OR(BQ178="",CH178=""),"",BQ178/CH178*100)</f>
        <v/>
      </c>
      <c r="BS178" s="41" t="str">
        <f aca="false">IF(BR178="","",IFERROR(MATCH(BR178,INDEX(Boundaries!$B$2:$I$30,MATCH(CV178,Boundaries!$A$2:$A$30,0),0),1)-1,""))</f>
        <v/>
      </c>
      <c r="BT178" s="42" t="str">
        <f aca="false">IF(OR(BS178="",$E178=""),"",BS178-$E178)</f>
        <v/>
      </c>
      <c r="BU178" s="28" t="n">
        <f aca="false">IFERROR(INDEX(Assessments!$H$2:$H$600,MATCH($H178&amp;"|"&amp;$I178&amp;"|"&amp;$J178&amp;"|"&amp;1,Assessments!$A$2:$A$600,0)),"")</f>
        <v>24</v>
      </c>
      <c r="BV178" s="28" t="n">
        <f aca="false">IFERROR(INDEX(Assessments!$H$2:$H$600,MATCH($H178&amp;"|"&amp;$I178&amp;"|"&amp;$J178&amp;"|"&amp;2,Assessments!$A$2:$A$600,0)),"")</f>
        <v>20</v>
      </c>
      <c r="BW178" s="28" t="n">
        <f aca="false">IFERROR(INDEX(Assessments!$H$2:$H$600,MATCH($H178&amp;"|"&amp;$I178&amp;"|"&amp;$J178&amp;"|"&amp;3,Assessments!$A$2:$A$600,0)),"")</f>
        <v>24</v>
      </c>
      <c r="BX178" s="28" t="n">
        <f aca="false">IFERROR(INDEX(Assessments!$H$2:$H$600,MATCH($H178&amp;"|"&amp;$I178&amp;"|"&amp;$J178&amp;"|"&amp;4,Assessments!$A$2:$A$600,0)),"")</f>
        <v>40</v>
      </c>
      <c r="BY178" s="28" t="n">
        <f aca="false">IFERROR(INDEX(Assessments!$H$2:$H$600,MATCH($H178&amp;"|"&amp;$I178&amp;"|"&amp;$J178&amp;"|"&amp;5,Assessments!$A$2:$A$600,0)),"")</f>
        <v>30</v>
      </c>
      <c r="BZ178" s="28" t="n">
        <f aca="false">IFERROR(INDEX(Assessments!$H$2:$H$600,MATCH($H178&amp;"|"&amp;$I178&amp;"|"&amp;$J178&amp;"|"&amp;6,Assessments!$A$2:$A$600,0)),"")</f>
        <v>20</v>
      </c>
      <c r="CA178" s="28" t="n">
        <f aca="false">IFERROR(INDEX(Assessments!$H$2:$H$600,MATCH($H178&amp;"|"&amp;$I178&amp;"|"&amp;$J178&amp;"|"&amp;7,Assessments!$A$2:$A$600,0)),"")</f>
        <v>40</v>
      </c>
      <c r="CB178" s="28" t="str">
        <f aca="false">IFERROR(INDEX(Assessments!$H$2:$H$600,MATCH($H178&amp;"|"&amp;$I178&amp;"|"&amp;$J178&amp;"|"&amp;8,Assessments!$A$2:$A$600,0)),"")</f>
        <v/>
      </c>
      <c r="CC178" s="28" t="str">
        <f aca="false">IFERROR(INDEX(Assessments!$H$2:$H$600,MATCH($H178&amp;"|"&amp;$I178&amp;"|"&amp;$J178&amp;"|"&amp;9,Assessments!$A$2:$A$600,0)),"")</f>
        <v/>
      </c>
      <c r="CD178" s="28" t="str">
        <f aca="false">IFERROR(INDEX(Assessments!$H$2:$H$600,MATCH($H178&amp;"|"&amp;$I178&amp;"|"&amp;$J178&amp;"|"&amp;10,Assessments!$A$2:$A$600,0)),"")</f>
        <v/>
      </c>
      <c r="CE178" s="28" t="str">
        <f aca="false">IFERROR(INDEX(Assessments!$H$2:$H$600,MATCH($H178&amp;"|"&amp;$I178&amp;"|"&amp;$J178&amp;"|"&amp;11,Assessments!$A$2:$A$600,0)),"")</f>
        <v/>
      </c>
      <c r="CF178" s="28" t="str">
        <f aca="false">IFERROR(INDEX(Assessments!$H$2:$H$600,MATCH($H178&amp;"|"&amp;$I178&amp;"|"&amp;$J178&amp;"|"&amp;12,Assessments!$A$2:$A$600,0)),"")</f>
        <v/>
      </c>
      <c r="CG178" s="28" t="str">
        <f aca="false">IFERROR(INDEX(Assessments!$H$2:$H$600,MATCH($H178&amp;"|"&amp;$I178&amp;"|"&amp;$J178&amp;"|"&amp;13,Assessments!$A$2:$A$600,0)),"")</f>
        <v/>
      </c>
      <c r="CH178" s="28" t="str">
        <f aca="false">IFERROR(INDEX(Assessments!$H$2:$H$600,MATCH($H178&amp;"|"&amp;$I178&amp;"|"&amp;$J178&amp;"|"&amp;14,Assessments!$A$2:$A$600,0)),"")</f>
        <v/>
      </c>
      <c r="CI178" s="28" t="str">
        <f aca="false">IFERROR(INDEX(Assessments!$I$2:$I$600,MATCH($H178&amp;"|"&amp;$I178&amp;"|"&amp;$J178&amp;"|"&amp;1,Assessments!$A$2:$A$600,0)),"")</f>
        <v>BM Test</v>
      </c>
      <c r="CJ178" s="28" t="str">
        <f aca="false">IFERROR(INDEX(Assessments!$I$2:$I$600,MATCH($H178&amp;"|"&amp;$I178&amp;"|"&amp;$J178&amp;"|"&amp;2,Assessments!$A$2:$A$600,0)),"")</f>
        <v>BM Test</v>
      </c>
      <c r="CK178" s="28" t="str">
        <f aca="false">IFERROR(INDEX(Assessments!$I$2:$I$600,MATCH($H178&amp;"|"&amp;$I178&amp;"|"&amp;$J178&amp;"|"&amp;3,Assessments!$A$2:$A$600,0)),"")</f>
        <v>BM Test</v>
      </c>
      <c r="CL178" s="28" t="str">
        <f aca="false">IFERROR(INDEX(Assessments!$I$2:$I$600,MATCH($H178&amp;"|"&amp;$I178&amp;"|"&amp;$J178&amp;"|"&amp;4,Assessments!$A$2:$A$600,0)),"")</f>
        <v>BM Exam</v>
      </c>
      <c r="CM178" s="28" t="str">
        <f aca="false">IFERROR(INDEX(Assessments!$I$2:$I$600,MATCH($H178&amp;"|"&amp;$I178&amp;"|"&amp;$J178&amp;"|"&amp;5,Assessments!$A$2:$A$600,0)),"")</f>
        <v>BM Test</v>
      </c>
      <c r="CN178" s="28" t="str">
        <f aca="false">IFERROR(INDEX(Assessments!$I$2:$I$600,MATCH($H178&amp;"|"&amp;$I178&amp;"|"&amp;$J178&amp;"|"&amp;6,Assessments!$A$2:$A$600,0)),"")</f>
        <v>BM Test</v>
      </c>
      <c r="CO178" s="28" t="str">
        <f aca="false">IFERROR(INDEX(Assessments!$I$2:$I$600,MATCH($H178&amp;"|"&amp;$I178&amp;"|"&amp;$J178&amp;"|"&amp;7,Assessments!$A$2:$A$600,0)),"")</f>
        <v>BM Exam</v>
      </c>
      <c r="CP178" s="28" t="str">
        <f aca="false">IFERROR(INDEX(Assessments!$I$2:$I$600,MATCH($H178&amp;"|"&amp;$I178&amp;"|"&amp;$J178&amp;"|"&amp;8,Assessments!$A$2:$A$600,0)),"")</f>
        <v/>
      </c>
      <c r="CQ178" s="28" t="str">
        <f aca="false">IFERROR(INDEX(Assessments!$I$2:$I$600,MATCH($H178&amp;"|"&amp;$I178&amp;"|"&amp;$J178&amp;"|"&amp;9,Assessments!$A$2:$A$600,0)),"")</f>
        <v/>
      </c>
      <c r="CR178" s="28" t="str">
        <f aca="false">IFERROR(INDEX(Assessments!$I$2:$I$600,MATCH($H178&amp;"|"&amp;$I178&amp;"|"&amp;$J178&amp;"|"&amp;10,Assessments!$A$2:$A$600,0)),"")</f>
        <v/>
      </c>
      <c r="CS178" s="28" t="str">
        <f aca="false">IFERROR(INDEX(Assessments!$I$2:$I$600,MATCH($H178&amp;"|"&amp;$I178&amp;"|"&amp;$J178&amp;"|"&amp;11,Assessments!$A$2:$A$600,0)),"")</f>
        <v/>
      </c>
      <c r="CT178" s="28" t="str">
        <f aca="false">IFERROR(INDEX(Assessments!$I$2:$I$600,MATCH($H178&amp;"|"&amp;$I178&amp;"|"&amp;$J178&amp;"|"&amp;12,Assessments!$A$2:$A$600,0)),"")</f>
        <v/>
      </c>
      <c r="CU178" s="28" t="str">
        <f aca="false">IFERROR(INDEX(Assessments!$I$2:$I$600,MATCH($H178&amp;"|"&amp;$I178&amp;"|"&amp;$J178&amp;"|"&amp;13,Assessments!$A$2:$A$600,0)),"")</f>
        <v/>
      </c>
      <c r="CV178" s="28" t="str">
        <f aca="false">IFERROR(INDEX(Assessments!$I$2:$I$600,MATCH($H178&amp;"|"&amp;$I178&amp;"|"&amp;$J178&amp;"|"&amp;14,Assessments!$A$2:$A$600,0)),"")</f>
        <v/>
      </c>
      <c r="CW178" s="28" t="n">
        <f aca="false">IFERROR(INDEX(Assessments!$J$2:$J$600,MATCH($H178&amp;"|"&amp;$I178&amp;"|"&amp;$J178&amp;"|"&amp;1,Assessments!$A$2:$A$600,0)),0)</f>
        <v>1</v>
      </c>
      <c r="CX178" s="28" t="n">
        <f aca="false">IFERROR(INDEX(Assessments!$J$2:$J$600,MATCH($H178&amp;"|"&amp;$I178&amp;"|"&amp;$J178&amp;"|"&amp;2,Assessments!$A$2:$A$600,0)),0)</f>
        <v>1</v>
      </c>
      <c r="CY178" s="28" t="n">
        <f aca="false">IFERROR(INDEX(Assessments!$J$2:$J$600,MATCH($H178&amp;"|"&amp;$I178&amp;"|"&amp;$J178&amp;"|"&amp;3,Assessments!$A$2:$A$600,0)),0)</f>
        <v>1</v>
      </c>
      <c r="CZ178" s="28" t="n">
        <f aca="false">IFERROR(INDEX(Assessments!$J$2:$J$600,MATCH($H178&amp;"|"&amp;$I178&amp;"|"&amp;$J178&amp;"|"&amp;4,Assessments!$A$2:$A$600,0)),0)</f>
        <v>2</v>
      </c>
      <c r="DA178" s="28" t="n">
        <f aca="false">IFERROR(INDEX(Assessments!$J$2:$J$600,MATCH($H178&amp;"|"&amp;$I178&amp;"|"&amp;$J178&amp;"|"&amp;5,Assessments!$A$2:$A$600,0)),0)</f>
        <v>1</v>
      </c>
      <c r="DB178" s="28" t="n">
        <f aca="false">IFERROR(INDEX(Assessments!$J$2:$J$600,MATCH($H178&amp;"|"&amp;$I178&amp;"|"&amp;$J178&amp;"|"&amp;6,Assessments!$A$2:$A$600,0)),0)</f>
        <v>1</v>
      </c>
      <c r="DC178" s="28" t="n">
        <f aca="false">IFERROR(INDEX(Assessments!$J$2:$J$600,MATCH($H178&amp;"|"&amp;$I178&amp;"|"&amp;$J178&amp;"|"&amp;7,Assessments!$A$2:$A$600,0)),0)</f>
        <v>2</v>
      </c>
      <c r="DD178" s="28" t="n">
        <f aca="false">IFERROR(INDEX(Assessments!$J$2:$J$600,MATCH($H178&amp;"|"&amp;$I178&amp;"|"&amp;$J178&amp;"|"&amp;8,Assessments!$A$2:$A$600,0)),0)</f>
        <v>0</v>
      </c>
      <c r="DE178" s="28" t="n">
        <f aca="false">IFERROR(INDEX(Assessments!$J$2:$J$600,MATCH($H178&amp;"|"&amp;$I178&amp;"|"&amp;$J178&amp;"|"&amp;9,Assessments!$A$2:$A$600,0)),0)</f>
        <v>0</v>
      </c>
      <c r="DF178" s="28" t="n">
        <f aca="false">IFERROR(INDEX(Assessments!$J$2:$J$600,MATCH($H178&amp;"|"&amp;$I178&amp;"|"&amp;$J178&amp;"|"&amp;10,Assessments!$A$2:$A$600,0)),0)</f>
        <v>0</v>
      </c>
      <c r="DG178" s="28" t="n">
        <f aca="false">IFERROR(INDEX(Assessments!$J$2:$J$600,MATCH($H178&amp;"|"&amp;$I178&amp;"|"&amp;$J178&amp;"|"&amp;11,Assessments!$A$2:$A$600,0)),0)</f>
        <v>0</v>
      </c>
      <c r="DH178" s="28" t="n">
        <f aca="false">IFERROR(INDEX(Assessments!$J$2:$J$600,MATCH($H178&amp;"|"&amp;$I178&amp;"|"&amp;$J178&amp;"|"&amp;12,Assessments!$A$2:$A$600,0)),0)</f>
        <v>0</v>
      </c>
      <c r="DI178" s="28" t="n">
        <f aca="false">IFERROR(INDEX(Assessments!$J$2:$J$600,MATCH($H178&amp;"|"&amp;$I178&amp;"|"&amp;$J178&amp;"|"&amp;13,Assessments!$A$2:$A$600,0)),0)</f>
        <v>0</v>
      </c>
      <c r="DJ178" s="28" t="n">
        <f aca="false">IFERROR(INDEX(Assessments!$J$2:$J$600,MATCH($H178&amp;"|"&amp;$I178&amp;"|"&amp;$J178&amp;"|"&amp;14,Assessments!$A$2:$A$600,0)),0)</f>
        <v>0</v>
      </c>
      <c r="DK178" s="28" t="n">
        <f aca="false">S178</f>
        <v>7</v>
      </c>
      <c r="DL178" s="28" t="n">
        <f aca="false">W178</f>
        <v>6</v>
      </c>
      <c r="DM178" s="28" t="n">
        <f aca="false">AA178</f>
        <v>5</v>
      </c>
      <c r="DN178" s="28" t="n">
        <f aca="false">AE178</f>
        <v>7</v>
      </c>
      <c r="DO178" s="28" t="str">
        <f aca="false">AI178</f>
        <v/>
      </c>
      <c r="DP178" s="28" t="str">
        <f aca="false">AM178</f>
        <v/>
      </c>
      <c r="DQ178" s="28" t="str">
        <f aca="false">AQ178</f>
        <v/>
      </c>
      <c r="DR178" s="28" t="str">
        <f aca="false">AU178</f>
        <v/>
      </c>
      <c r="DS178" s="28" t="str">
        <f aca="false">AY178</f>
        <v/>
      </c>
      <c r="DT178" s="28" t="str">
        <f aca="false">BC178</f>
        <v/>
      </c>
      <c r="DU178" s="28" t="str">
        <f aca="false">BG178</f>
        <v/>
      </c>
      <c r="DV178" s="28" t="str">
        <f aca="false">BK178</f>
        <v/>
      </c>
      <c r="DW178" s="28" t="str">
        <f aca="false">BO178</f>
        <v/>
      </c>
      <c r="DX178" s="28" t="str">
        <f aca="false">BS178</f>
        <v/>
      </c>
      <c r="DY178" s="28" t="n">
        <f aca="false">IF(ISNUMBER(S178),1,"")</f>
        <v>1</v>
      </c>
      <c r="DZ178" s="28" t="n">
        <f aca="false">IF(ISNUMBER(W178),2,"")</f>
        <v>2</v>
      </c>
      <c r="EA178" s="28" t="n">
        <f aca="false">IF(ISNUMBER(AA178),3,"")</f>
        <v>3</v>
      </c>
      <c r="EB178" s="28" t="n">
        <f aca="false">IF(ISNUMBER(AE178),4,"")</f>
        <v>4</v>
      </c>
      <c r="EC178" s="28" t="str">
        <f aca="false">IF(ISNUMBER(AI178),5,"")</f>
        <v/>
      </c>
      <c r="ED178" s="28" t="str">
        <f aca="false">IF(ISNUMBER(AM178),6,"")</f>
        <v/>
      </c>
      <c r="EE178" s="28" t="str">
        <f aca="false">IF(ISNUMBER(AQ178),7,"")</f>
        <v/>
      </c>
      <c r="EF178" s="28" t="str">
        <f aca="false">IF(ISNUMBER(AU178),8,"")</f>
        <v/>
      </c>
      <c r="EG178" s="28" t="str">
        <f aca="false">IF(ISNUMBER(AY178),9,"")</f>
        <v/>
      </c>
      <c r="EH178" s="28" t="str">
        <f aca="false">IF(ISNUMBER(BC178),10,"")</f>
        <v/>
      </c>
      <c r="EI178" s="28" t="str">
        <f aca="false">IF(ISNUMBER(BG178),11,"")</f>
        <v/>
      </c>
      <c r="EJ178" s="28" t="str">
        <f aca="false">IF(ISNUMBER(BK178),12,"")</f>
        <v/>
      </c>
      <c r="EK178" s="28" t="str">
        <f aca="false">IF(ISNUMBER(BO178),13,"")</f>
        <v/>
      </c>
      <c r="EL178" s="28" t="str">
        <f aca="false">IF(ISNUMBER(BS178),14,"")</f>
        <v/>
      </c>
      <c r="EM178" s="28" t="n">
        <f aca="false">IF(ISNUMBER(R178),R178*CW178,0)</f>
        <v>83.3333333333333</v>
      </c>
      <c r="EN178" s="28" t="n">
        <f aca="false">IF(ISNUMBER(V178),V178*CX178,0)</f>
        <v>65</v>
      </c>
      <c r="EO178" s="28" t="n">
        <f aca="false">IF(ISNUMBER(Z178),Z178*CY178,0)</f>
        <v>50</v>
      </c>
      <c r="EP178" s="28" t="n">
        <f aca="false">IF(ISNUMBER(AD178),AD178*CZ178,0)</f>
        <v>160</v>
      </c>
      <c r="EQ178" s="28" t="n">
        <f aca="false">IF(ISNUMBER(AH178),AH178*DA178,0)</f>
        <v>0</v>
      </c>
      <c r="ER178" s="28" t="n">
        <f aca="false">IF(ISNUMBER(AL178),AL178*DB178,0)</f>
        <v>0</v>
      </c>
      <c r="ES178" s="28" t="n">
        <f aca="false">IF(ISNUMBER(AP178),AP178*DC178,0)</f>
        <v>0</v>
      </c>
      <c r="ET178" s="28" t="n">
        <f aca="false">IF(ISNUMBER(AT178),AT178*DD178,0)</f>
        <v>0</v>
      </c>
      <c r="EU178" s="28" t="n">
        <f aca="false">IF(ISNUMBER(AX178),AX178*DE178,0)</f>
        <v>0</v>
      </c>
      <c r="EV178" s="28" t="n">
        <f aca="false">IF(ISNUMBER(BB178),BB178*DF178,0)</f>
        <v>0</v>
      </c>
      <c r="EW178" s="28" t="n">
        <f aca="false">IF(ISNUMBER(BF178),BF178*DG178,0)</f>
        <v>0</v>
      </c>
      <c r="EX178" s="28" t="n">
        <f aca="false">IF(ISNUMBER(BJ178),BJ178*DH178,0)</f>
        <v>0</v>
      </c>
      <c r="EY178" s="28" t="n">
        <f aca="false">IF(ISNUMBER(BN178),BN178*DI178,0)</f>
        <v>0</v>
      </c>
      <c r="EZ178" s="28" t="n">
        <f aca="false">IF(ISNUMBER(BR178),BR178*DJ178,0)</f>
        <v>0</v>
      </c>
      <c r="FA178" s="28" t="n">
        <f aca="false">IF(ISNUMBER(R178),CW178,0)</f>
        <v>1</v>
      </c>
      <c r="FB178" s="28" t="n">
        <f aca="false">IF(ISNUMBER(V178),CX178,0)</f>
        <v>1</v>
      </c>
      <c r="FC178" s="28" t="n">
        <f aca="false">IF(ISNUMBER(Z178),CY178,0)</f>
        <v>1</v>
      </c>
      <c r="FD178" s="28" t="n">
        <f aca="false">IF(ISNUMBER(AD178),CZ178,0)</f>
        <v>2</v>
      </c>
      <c r="FE178" s="28" t="n">
        <f aca="false">IF(ISNUMBER(AH178),DA178,0)</f>
        <v>0</v>
      </c>
      <c r="FF178" s="28" t="n">
        <f aca="false">IF(ISNUMBER(AL178),DB178,0)</f>
        <v>0</v>
      </c>
      <c r="FG178" s="28" t="n">
        <f aca="false">IF(ISNUMBER(AP178),DC178,0)</f>
        <v>0</v>
      </c>
      <c r="FH178" s="28" t="n">
        <f aca="false">IF(ISNUMBER(AT178),DD178,0)</f>
        <v>0</v>
      </c>
      <c r="FI178" s="28" t="n">
        <f aca="false">IF(ISNUMBER(AX178),DE178,0)</f>
        <v>0</v>
      </c>
      <c r="FJ178" s="28" t="n">
        <f aca="false">IF(ISNUMBER(BB178),DF178,0)</f>
        <v>0</v>
      </c>
      <c r="FK178" s="28" t="n">
        <f aca="false">IF(ISNUMBER(BF178),DG178,0)</f>
        <v>0</v>
      </c>
      <c r="FL178" s="28" t="n">
        <f aca="false">IF(ISNUMBER(BJ178),DH178,0)</f>
        <v>0</v>
      </c>
      <c r="FM178" s="28" t="n">
        <f aca="false">IF(ISNUMBER(BN178),DI178,0)</f>
        <v>0</v>
      </c>
      <c r="FN178" s="28" t="n">
        <f aca="false">IF(ISNUMBER(BR178),DJ178,0)</f>
        <v>0</v>
      </c>
      <c r="FO178" s="28" t="str">
        <f aca="false">IFERROR(INDEX(Lists!$G$2:$G$20,MATCH($I178&amp;"|"&amp;$J178,Lists!$F$2:$F$20,0)),"")</f>
        <v>BM Exam</v>
      </c>
    </row>
    <row r="179" customFormat="false" ht="19.5" hidden="false" customHeight="true" outlineLevel="0" collapsed="false">
      <c r="A179" s="29" t="s">
        <v>279</v>
      </c>
      <c r="B179" s="29" t="s">
        <v>280</v>
      </c>
      <c r="C179" s="30" t="s">
        <v>152</v>
      </c>
      <c r="D179" s="30" t="s">
        <v>408</v>
      </c>
      <c r="E179" s="31" t="n">
        <v>5.6</v>
      </c>
      <c r="F179" s="30" t="n">
        <v>6</v>
      </c>
      <c r="G179" s="30"/>
      <c r="H179" s="32" t="s">
        <v>23</v>
      </c>
      <c r="I179" s="33" t="s">
        <v>365</v>
      </c>
      <c r="J179" s="32" t="s">
        <v>223</v>
      </c>
      <c r="K179" s="34" t="n">
        <f aca="false">IF(OR(M179="",$E179=""),"",M179-$E179)</f>
        <v>0.4</v>
      </c>
      <c r="L179" s="35" t="n">
        <f aca="false">IF(SUM(FA179:FN179)=0,"",SUM(EM179:EZ179)/SUM(FA179:FN179))</f>
        <v>61.5</v>
      </c>
      <c r="M179" s="36" t="n">
        <f aca="false">IF(OR(L179="",FO179=""),"",IFERROR(MATCH(L179,INDEX(Boundaries!$B$2:$I$30,MATCH(FO179,Boundaries!$A$2:$A$30,0),0),1)-1,""))</f>
        <v>6</v>
      </c>
      <c r="N179" s="37" t="n">
        <f aca="false">IF(COUNT($DY179:$EL179)&lt;2,"",INDEX($DK179:$DX179,MAX($DY179:$EL179))-INDEX($DK179:$DX179,MIN($DY179:$EL179)))</f>
        <v>-1</v>
      </c>
      <c r="O179" s="37" t="n">
        <f aca="false">IF(COUNT($DY179:$EL179)&lt;2,"",INDEX($DK179:$DX179,MAX($DY179:$EL179))-INDEX($DK179:$DX179,LARGE($DY179:$EL179,2)))</f>
        <v>1</v>
      </c>
      <c r="P179" s="38" t="str">
        <f aca="false">IF(K179="","",IF(K179&gt;=0,"On/above target",IF(AND(N179&lt;&gt;"",N179&gt;=0.5),"Improving towards target",IF(AND(O179&lt;&gt;"",O179&lt;=-0.5),"Declining","Stable below target"))))</f>
        <v>On/above target</v>
      </c>
      <c r="Q179" s="39" t="n">
        <v>19</v>
      </c>
      <c r="R179" s="40" t="n">
        <f aca="false">IF(OR(Q179="",BU179=""),"",Q179/BU179*100)</f>
        <v>79.1666666666667</v>
      </c>
      <c r="S179" s="41" t="n">
        <f aca="false">IF(R179="","",IFERROR(MATCH(R179,INDEX(Boundaries!$B$2:$I$30,MATCH(CI179,Boundaries!$A$2:$A$30,0),0),1)-1,""))</f>
        <v>7</v>
      </c>
      <c r="T179" s="42" t="n">
        <f aca="false">IF(OR(S179="",$E179=""),"",S179-$E179)</f>
        <v>1.4</v>
      </c>
      <c r="U179" s="39" t="n">
        <v>10</v>
      </c>
      <c r="V179" s="40" t="n">
        <f aca="false">IF(OR(U179="",BV179=""),"",U179/BV179*100)</f>
        <v>50</v>
      </c>
      <c r="W179" s="41" t="n">
        <f aca="false">IF(V179="","",IFERROR(MATCH(V179,INDEX(Boundaries!$B$2:$I$30,MATCH(CJ179,Boundaries!$A$2:$A$30,0),0),1)-1,""))</f>
        <v>5</v>
      </c>
      <c r="X179" s="42" t="n">
        <f aca="false">IF(OR(W179="",$E179=""),"",W179-$E179)</f>
        <v>-0.6</v>
      </c>
      <c r="Y179" s="39" t="n">
        <v>14</v>
      </c>
      <c r="Z179" s="40" t="n">
        <f aca="false">IF(OR(Y179="",BW179=""),"",Y179/BW179*100)</f>
        <v>58.3333333333333</v>
      </c>
      <c r="AA179" s="41" t="n">
        <f aca="false">IF(Z179="","",IFERROR(MATCH(Z179,INDEX(Boundaries!$B$2:$I$30,MATCH(CK179,Boundaries!$A$2:$A$30,0),0),1)-1,""))</f>
        <v>5</v>
      </c>
      <c r="AB179" s="42" t="n">
        <f aca="false">IF(OR(AA179="",$E179=""),"",AA179-$E179)</f>
        <v>-0.6</v>
      </c>
      <c r="AC179" s="39" t="n">
        <v>24</v>
      </c>
      <c r="AD179" s="40" t="n">
        <f aca="false">IF(OR(AC179="",BX179=""),"",AC179/BX179*100)</f>
        <v>60</v>
      </c>
      <c r="AE179" s="41" t="n">
        <f aca="false">IF(AD179="","",IFERROR(MATCH(AD179,INDEX(Boundaries!$B$2:$I$30,MATCH(CL179,Boundaries!$A$2:$A$30,0),0),1)-1,""))</f>
        <v>6</v>
      </c>
      <c r="AF179" s="42" t="n">
        <f aca="false">IF(OR(AE179="",$E179=""),"",AE179-$E179)</f>
        <v>0.4</v>
      </c>
      <c r="AG179" s="39"/>
      <c r="AH179" s="40" t="str">
        <f aca="false">IF(OR(AG179="",BY179=""),"",AG179/BY179*100)</f>
        <v/>
      </c>
      <c r="AI179" s="41" t="str">
        <f aca="false">IF(AH179="","",IFERROR(MATCH(AH179,INDEX(Boundaries!$B$2:$I$30,MATCH(CM179,Boundaries!$A$2:$A$30,0),0),1)-1,""))</f>
        <v/>
      </c>
      <c r="AJ179" s="42" t="str">
        <f aca="false">IF(OR(AI179="",$E179=""),"",AI179-$E179)</f>
        <v/>
      </c>
      <c r="AK179" s="39"/>
      <c r="AL179" s="40" t="str">
        <f aca="false">IF(OR(AK179="",BZ179=""),"",AK179/BZ179*100)</f>
        <v/>
      </c>
      <c r="AM179" s="41" t="str">
        <f aca="false">IF(AL179="","",IFERROR(MATCH(AL179,INDEX(Boundaries!$B$2:$I$30,MATCH(CN179,Boundaries!$A$2:$A$30,0),0),1)-1,""))</f>
        <v/>
      </c>
      <c r="AN179" s="42" t="str">
        <f aca="false">IF(OR(AM179="",$E179=""),"",AM179-$E179)</f>
        <v/>
      </c>
      <c r="AO179" s="39"/>
      <c r="AP179" s="40" t="str">
        <f aca="false">IF(OR(AO179="",CA179=""),"",AO179/CA179*100)</f>
        <v/>
      </c>
      <c r="AQ179" s="41" t="str">
        <f aca="false">IF(AP179="","",IFERROR(MATCH(AP179,INDEX(Boundaries!$B$2:$I$30,MATCH(CO179,Boundaries!$A$2:$A$30,0),0),1)-1,""))</f>
        <v/>
      </c>
      <c r="AR179" s="42" t="str">
        <f aca="false">IF(OR(AQ179="",$E179=""),"",AQ179-$E179)</f>
        <v/>
      </c>
      <c r="AS179" s="39"/>
      <c r="AT179" s="40" t="str">
        <f aca="false">IF(OR(AS179="",CB179=""),"",AS179/CB179*100)</f>
        <v/>
      </c>
      <c r="AU179" s="41" t="str">
        <f aca="false">IF(AT179="","",IFERROR(MATCH(AT179,INDEX(Boundaries!$B$2:$I$30,MATCH(CP179,Boundaries!$A$2:$A$30,0),0),1)-1,""))</f>
        <v/>
      </c>
      <c r="AV179" s="42" t="str">
        <f aca="false">IF(OR(AU179="",$E179=""),"",AU179-$E179)</f>
        <v/>
      </c>
      <c r="AW179" s="39"/>
      <c r="AX179" s="40" t="str">
        <f aca="false">IF(OR(AW179="",CC179=""),"",AW179/CC179*100)</f>
        <v/>
      </c>
      <c r="AY179" s="41" t="str">
        <f aca="false">IF(AX179="","",IFERROR(MATCH(AX179,INDEX(Boundaries!$B$2:$I$30,MATCH(CQ179,Boundaries!$A$2:$A$30,0),0),1)-1,""))</f>
        <v/>
      </c>
      <c r="AZ179" s="42" t="str">
        <f aca="false">IF(OR(AY179="",$E179=""),"",AY179-$E179)</f>
        <v/>
      </c>
      <c r="BA179" s="39"/>
      <c r="BB179" s="40" t="str">
        <f aca="false">IF(OR(BA179="",CD179=""),"",BA179/CD179*100)</f>
        <v/>
      </c>
      <c r="BC179" s="41" t="str">
        <f aca="false">IF(BB179="","",IFERROR(MATCH(BB179,INDEX(Boundaries!$B$2:$I$30,MATCH(CR179,Boundaries!$A$2:$A$30,0),0),1)-1,""))</f>
        <v/>
      </c>
      <c r="BD179" s="42" t="str">
        <f aca="false">IF(OR(BC179="",$E179=""),"",BC179-$E179)</f>
        <v/>
      </c>
      <c r="BE179" s="39"/>
      <c r="BF179" s="40" t="str">
        <f aca="false">IF(OR(BE179="",CE179=""),"",BE179/CE179*100)</f>
        <v/>
      </c>
      <c r="BG179" s="41" t="str">
        <f aca="false">IF(BF179="","",IFERROR(MATCH(BF179,INDEX(Boundaries!$B$2:$I$30,MATCH(CS179,Boundaries!$A$2:$A$30,0),0),1)-1,""))</f>
        <v/>
      </c>
      <c r="BH179" s="42" t="str">
        <f aca="false">IF(OR(BG179="",$E179=""),"",BG179-$E179)</f>
        <v/>
      </c>
      <c r="BI179" s="39"/>
      <c r="BJ179" s="40" t="str">
        <f aca="false">IF(OR(BI179="",CF179=""),"",BI179/CF179*100)</f>
        <v/>
      </c>
      <c r="BK179" s="41" t="str">
        <f aca="false">IF(BJ179="","",IFERROR(MATCH(BJ179,INDEX(Boundaries!$B$2:$I$30,MATCH(CT179,Boundaries!$A$2:$A$30,0),0),1)-1,""))</f>
        <v/>
      </c>
      <c r="BL179" s="42" t="str">
        <f aca="false">IF(OR(BK179="",$E179=""),"",BK179-$E179)</f>
        <v/>
      </c>
      <c r="BM179" s="39"/>
      <c r="BN179" s="40" t="str">
        <f aca="false">IF(OR(BM179="",CG179=""),"",BM179/CG179*100)</f>
        <v/>
      </c>
      <c r="BO179" s="41" t="str">
        <f aca="false">IF(BN179="","",IFERROR(MATCH(BN179,INDEX(Boundaries!$B$2:$I$30,MATCH(CU179,Boundaries!$A$2:$A$30,0),0),1)-1,""))</f>
        <v/>
      </c>
      <c r="BP179" s="42" t="str">
        <f aca="false">IF(OR(BO179="",$E179=""),"",BO179-$E179)</f>
        <v/>
      </c>
      <c r="BQ179" s="39"/>
      <c r="BR179" s="40" t="str">
        <f aca="false">IF(OR(BQ179="",CH179=""),"",BQ179/CH179*100)</f>
        <v/>
      </c>
      <c r="BS179" s="41" t="str">
        <f aca="false">IF(BR179="","",IFERROR(MATCH(BR179,INDEX(Boundaries!$B$2:$I$30,MATCH(CV179,Boundaries!$A$2:$A$30,0),0),1)-1,""))</f>
        <v/>
      </c>
      <c r="BT179" s="42" t="str">
        <f aca="false">IF(OR(BS179="",$E179=""),"",BS179-$E179)</f>
        <v/>
      </c>
      <c r="BU179" s="28" t="n">
        <f aca="false">IFERROR(INDEX(Assessments!$H$2:$H$600,MATCH($H179&amp;"|"&amp;$I179&amp;"|"&amp;$J179&amp;"|"&amp;1,Assessments!$A$2:$A$600,0)),"")</f>
        <v>24</v>
      </c>
      <c r="BV179" s="28" t="n">
        <f aca="false">IFERROR(INDEX(Assessments!$H$2:$H$600,MATCH($H179&amp;"|"&amp;$I179&amp;"|"&amp;$J179&amp;"|"&amp;2,Assessments!$A$2:$A$600,0)),"")</f>
        <v>20</v>
      </c>
      <c r="BW179" s="28" t="n">
        <f aca="false">IFERROR(INDEX(Assessments!$H$2:$H$600,MATCH($H179&amp;"|"&amp;$I179&amp;"|"&amp;$J179&amp;"|"&amp;3,Assessments!$A$2:$A$600,0)),"")</f>
        <v>24</v>
      </c>
      <c r="BX179" s="28" t="n">
        <f aca="false">IFERROR(INDEX(Assessments!$H$2:$H$600,MATCH($H179&amp;"|"&amp;$I179&amp;"|"&amp;$J179&amp;"|"&amp;4,Assessments!$A$2:$A$600,0)),"")</f>
        <v>40</v>
      </c>
      <c r="BY179" s="28" t="n">
        <f aca="false">IFERROR(INDEX(Assessments!$H$2:$H$600,MATCH($H179&amp;"|"&amp;$I179&amp;"|"&amp;$J179&amp;"|"&amp;5,Assessments!$A$2:$A$600,0)),"")</f>
        <v>30</v>
      </c>
      <c r="BZ179" s="28" t="n">
        <f aca="false">IFERROR(INDEX(Assessments!$H$2:$H$600,MATCH($H179&amp;"|"&amp;$I179&amp;"|"&amp;$J179&amp;"|"&amp;6,Assessments!$A$2:$A$600,0)),"")</f>
        <v>20</v>
      </c>
      <c r="CA179" s="28" t="n">
        <f aca="false">IFERROR(INDEX(Assessments!$H$2:$H$600,MATCH($H179&amp;"|"&amp;$I179&amp;"|"&amp;$J179&amp;"|"&amp;7,Assessments!$A$2:$A$600,0)),"")</f>
        <v>40</v>
      </c>
      <c r="CB179" s="28" t="str">
        <f aca="false">IFERROR(INDEX(Assessments!$H$2:$H$600,MATCH($H179&amp;"|"&amp;$I179&amp;"|"&amp;$J179&amp;"|"&amp;8,Assessments!$A$2:$A$600,0)),"")</f>
        <v/>
      </c>
      <c r="CC179" s="28" t="str">
        <f aca="false">IFERROR(INDEX(Assessments!$H$2:$H$600,MATCH($H179&amp;"|"&amp;$I179&amp;"|"&amp;$J179&amp;"|"&amp;9,Assessments!$A$2:$A$600,0)),"")</f>
        <v/>
      </c>
      <c r="CD179" s="28" t="str">
        <f aca="false">IFERROR(INDEX(Assessments!$H$2:$H$600,MATCH($H179&amp;"|"&amp;$I179&amp;"|"&amp;$J179&amp;"|"&amp;10,Assessments!$A$2:$A$600,0)),"")</f>
        <v/>
      </c>
      <c r="CE179" s="28" t="str">
        <f aca="false">IFERROR(INDEX(Assessments!$H$2:$H$600,MATCH($H179&amp;"|"&amp;$I179&amp;"|"&amp;$J179&amp;"|"&amp;11,Assessments!$A$2:$A$600,0)),"")</f>
        <v/>
      </c>
      <c r="CF179" s="28" t="str">
        <f aca="false">IFERROR(INDEX(Assessments!$H$2:$H$600,MATCH($H179&amp;"|"&amp;$I179&amp;"|"&amp;$J179&amp;"|"&amp;12,Assessments!$A$2:$A$600,0)),"")</f>
        <v/>
      </c>
      <c r="CG179" s="28" t="str">
        <f aca="false">IFERROR(INDEX(Assessments!$H$2:$H$600,MATCH($H179&amp;"|"&amp;$I179&amp;"|"&amp;$J179&amp;"|"&amp;13,Assessments!$A$2:$A$600,0)),"")</f>
        <v/>
      </c>
      <c r="CH179" s="28" t="str">
        <f aca="false">IFERROR(INDEX(Assessments!$H$2:$H$600,MATCH($H179&amp;"|"&amp;$I179&amp;"|"&amp;$J179&amp;"|"&amp;14,Assessments!$A$2:$A$600,0)),"")</f>
        <v/>
      </c>
      <c r="CI179" s="28" t="str">
        <f aca="false">IFERROR(INDEX(Assessments!$I$2:$I$600,MATCH($H179&amp;"|"&amp;$I179&amp;"|"&amp;$J179&amp;"|"&amp;1,Assessments!$A$2:$A$600,0)),"")</f>
        <v>BM Test</v>
      </c>
      <c r="CJ179" s="28" t="str">
        <f aca="false">IFERROR(INDEX(Assessments!$I$2:$I$600,MATCH($H179&amp;"|"&amp;$I179&amp;"|"&amp;$J179&amp;"|"&amp;2,Assessments!$A$2:$A$600,0)),"")</f>
        <v>BM Test</v>
      </c>
      <c r="CK179" s="28" t="str">
        <f aca="false">IFERROR(INDEX(Assessments!$I$2:$I$600,MATCH($H179&amp;"|"&amp;$I179&amp;"|"&amp;$J179&amp;"|"&amp;3,Assessments!$A$2:$A$600,0)),"")</f>
        <v>BM Test</v>
      </c>
      <c r="CL179" s="28" t="str">
        <f aca="false">IFERROR(INDEX(Assessments!$I$2:$I$600,MATCH($H179&amp;"|"&amp;$I179&amp;"|"&amp;$J179&amp;"|"&amp;4,Assessments!$A$2:$A$600,0)),"")</f>
        <v>BM Exam</v>
      </c>
      <c r="CM179" s="28" t="str">
        <f aca="false">IFERROR(INDEX(Assessments!$I$2:$I$600,MATCH($H179&amp;"|"&amp;$I179&amp;"|"&amp;$J179&amp;"|"&amp;5,Assessments!$A$2:$A$600,0)),"")</f>
        <v>BM Test</v>
      </c>
      <c r="CN179" s="28" t="str">
        <f aca="false">IFERROR(INDEX(Assessments!$I$2:$I$600,MATCH($H179&amp;"|"&amp;$I179&amp;"|"&amp;$J179&amp;"|"&amp;6,Assessments!$A$2:$A$600,0)),"")</f>
        <v>BM Test</v>
      </c>
      <c r="CO179" s="28" t="str">
        <f aca="false">IFERROR(INDEX(Assessments!$I$2:$I$600,MATCH($H179&amp;"|"&amp;$I179&amp;"|"&amp;$J179&amp;"|"&amp;7,Assessments!$A$2:$A$600,0)),"")</f>
        <v>BM Exam</v>
      </c>
      <c r="CP179" s="28" t="str">
        <f aca="false">IFERROR(INDEX(Assessments!$I$2:$I$600,MATCH($H179&amp;"|"&amp;$I179&amp;"|"&amp;$J179&amp;"|"&amp;8,Assessments!$A$2:$A$600,0)),"")</f>
        <v/>
      </c>
      <c r="CQ179" s="28" t="str">
        <f aca="false">IFERROR(INDEX(Assessments!$I$2:$I$600,MATCH($H179&amp;"|"&amp;$I179&amp;"|"&amp;$J179&amp;"|"&amp;9,Assessments!$A$2:$A$600,0)),"")</f>
        <v/>
      </c>
      <c r="CR179" s="28" t="str">
        <f aca="false">IFERROR(INDEX(Assessments!$I$2:$I$600,MATCH($H179&amp;"|"&amp;$I179&amp;"|"&amp;$J179&amp;"|"&amp;10,Assessments!$A$2:$A$600,0)),"")</f>
        <v/>
      </c>
      <c r="CS179" s="28" t="str">
        <f aca="false">IFERROR(INDEX(Assessments!$I$2:$I$600,MATCH($H179&amp;"|"&amp;$I179&amp;"|"&amp;$J179&amp;"|"&amp;11,Assessments!$A$2:$A$600,0)),"")</f>
        <v/>
      </c>
      <c r="CT179" s="28" t="str">
        <f aca="false">IFERROR(INDEX(Assessments!$I$2:$I$600,MATCH($H179&amp;"|"&amp;$I179&amp;"|"&amp;$J179&amp;"|"&amp;12,Assessments!$A$2:$A$600,0)),"")</f>
        <v/>
      </c>
      <c r="CU179" s="28" t="str">
        <f aca="false">IFERROR(INDEX(Assessments!$I$2:$I$600,MATCH($H179&amp;"|"&amp;$I179&amp;"|"&amp;$J179&amp;"|"&amp;13,Assessments!$A$2:$A$600,0)),"")</f>
        <v/>
      </c>
      <c r="CV179" s="28" t="str">
        <f aca="false">IFERROR(INDEX(Assessments!$I$2:$I$600,MATCH($H179&amp;"|"&amp;$I179&amp;"|"&amp;$J179&amp;"|"&amp;14,Assessments!$A$2:$A$600,0)),"")</f>
        <v/>
      </c>
      <c r="CW179" s="28" t="n">
        <f aca="false">IFERROR(INDEX(Assessments!$J$2:$J$600,MATCH($H179&amp;"|"&amp;$I179&amp;"|"&amp;$J179&amp;"|"&amp;1,Assessments!$A$2:$A$600,0)),0)</f>
        <v>1</v>
      </c>
      <c r="CX179" s="28" t="n">
        <f aca="false">IFERROR(INDEX(Assessments!$J$2:$J$600,MATCH($H179&amp;"|"&amp;$I179&amp;"|"&amp;$J179&amp;"|"&amp;2,Assessments!$A$2:$A$600,0)),0)</f>
        <v>1</v>
      </c>
      <c r="CY179" s="28" t="n">
        <f aca="false">IFERROR(INDEX(Assessments!$J$2:$J$600,MATCH($H179&amp;"|"&amp;$I179&amp;"|"&amp;$J179&amp;"|"&amp;3,Assessments!$A$2:$A$600,0)),0)</f>
        <v>1</v>
      </c>
      <c r="CZ179" s="28" t="n">
        <f aca="false">IFERROR(INDEX(Assessments!$J$2:$J$600,MATCH($H179&amp;"|"&amp;$I179&amp;"|"&amp;$J179&amp;"|"&amp;4,Assessments!$A$2:$A$600,0)),0)</f>
        <v>2</v>
      </c>
      <c r="DA179" s="28" t="n">
        <f aca="false">IFERROR(INDEX(Assessments!$J$2:$J$600,MATCH($H179&amp;"|"&amp;$I179&amp;"|"&amp;$J179&amp;"|"&amp;5,Assessments!$A$2:$A$600,0)),0)</f>
        <v>1</v>
      </c>
      <c r="DB179" s="28" t="n">
        <f aca="false">IFERROR(INDEX(Assessments!$J$2:$J$600,MATCH($H179&amp;"|"&amp;$I179&amp;"|"&amp;$J179&amp;"|"&amp;6,Assessments!$A$2:$A$600,0)),0)</f>
        <v>1</v>
      </c>
      <c r="DC179" s="28" t="n">
        <f aca="false">IFERROR(INDEX(Assessments!$J$2:$J$600,MATCH($H179&amp;"|"&amp;$I179&amp;"|"&amp;$J179&amp;"|"&amp;7,Assessments!$A$2:$A$600,0)),0)</f>
        <v>2</v>
      </c>
      <c r="DD179" s="28" t="n">
        <f aca="false">IFERROR(INDEX(Assessments!$J$2:$J$600,MATCH($H179&amp;"|"&amp;$I179&amp;"|"&amp;$J179&amp;"|"&amp;8,Assessments!$A$2:$A$600,0)),0)</f>
        <v>0</v>
      </c>
      <c r="DE179" s="28" t="n">
        <f aca="false">IFERROR(INDEX(Assessments!$J$2:$J$600,MATCH($H179&amp;"|"&amp;$I179&amp;"|"&amp;$J179&amp;"|"&amp;9,Assessments!$A$2:$A$600,0)),0)</f>
        <v>0</v>
      </c>
      <c r="DF179" s="28" t="n">
        <f aca="false">IFERROR(INDEX(Assessments!$J$2:$J$600,MATCH($H179&amp;"|"&amp;$I179&amp;"|"&amp;$J179&amp;"|"&amp;10,Assessments!$A$2:$A$600,0)),0)</f>
        <v>0</v>
      </c>
      <c r="DG179" s="28" t="n">
        <f aca="false">IFERROR(INDEX(Assessments!$J$2:$J$600,MATCH($H179&amp;"|"&amp;$I179&amp;"|"&amp;$J179&amp;"|"&amp;11,Assessments!$A$2:$A$600,0)),0)</f>
        <v>0</v>
      </c>
      <c r="DH179" s="28" t="n">
        <f aca="false">IFERROR(INDEX(Assessments!$J$2:$J$600,MATCH($H179&amp;"|"&amp;$I179&amp;"|"&amp;$J179&amp;"|"&amp;12,Assessments!$A$2:$A$600,0)),0)</f>
        <v>0</v>
      </c>
      <c r="DI179" s="28" t="n">
        <f aca="false">IFERROR(INDEX(Assessments!$J$2:$J$600,MATCH($H179&amp;"|"&amp;$I179&amp;"|"&amp;$J179&amp;"|"&amp;13,Assessments!$A$2:$A$600,0)),0)</f>
        <v>0</v>
      </c>
      <c r="DJ179" s="28" t="n">
        <f aca="false">IFERROR(INDEX(Assessments!$J$2:$J$600,MATCH($H179&amp;"|"&amp;$I179&amp;"|"&amp;$J179&amp;"|"&amp;14,Assessments!$A$2:$A$600,0)),0)</f>
        <v>0</v>
      </c>
      <c r="DK179" s="28" t="n">
        <f aca="false">S179</f>
        <v>7</v>
      </c>
      <c r="DL179" s="28" t="n">
        <f aca="false">W179</f>
        <v>5</v>
      </c>
      <c r="DM179" s="28" t="n">
        <f aca="false">AA179</f>
        <v>5</v>
      </c>
      <c r="DN179" s="28" t="n">
        <f aca="false">AE179</f>
        <v>6</v>
      </c>
      <c r="DO179" s="28" t="str">
        <f aca="false">AI179</f>
        <v/>
      </c>
      <c r="DP179" s="28" t="str">
        <f aca="false">AM179</f>
        <v/>
      </c>
      <c r="DQ179" s="28" t="str">
        <f aca="false">AQ179</f>
        <v/>
      </c>
      <c r="DR179" s="28" t="str">
        <f aca="false">AU179</f>
        <v/>
      </c>
      <c r="DS179" s="28" t="str">
        <f aca="false">AY179</f>
        <v/>
      </c>
      <c r="DT179" s="28" t="str">
        <f aca="false">BC179</f>
        <v/>
      </c>
      <c r="DU179" s="28" t="str">
        <f aca="false">BG179</f>
        <v/>
      </c>
      <c r="DV179" s="28" t="str">
        <f aca="false">BK179</f>
        <v/>
      </c>
      <c r="DW179" s="28" t="str">
        <f aca="false">BO179</f>
        <v/>
      </c>
      <c r="DX179" s="28" t="str">
        <f aca="false">BS179</f>
        <v/>
      </c>
      <c r="DY179" s="28" t="n">
        <f aca="false">IF(ISNUMBER(S179),1,"")</f>
        <v>1</v>
      </c>
      <c r="DZ179" s="28" t="n">
        <f aca="false">IF(ISNUMBER(W179),2,"")</f>
        <v>2</v>
      </c>
      <c r="EA179" s="28" t="n">
        <f aca="false">IF(ISNUMBER(AA179),3,"")</f>
        <v>3</v>
      </c>
      <c r="EB179" s="28" t="n">
        <f aca="false">IF(ISNUMBER(AE179),4,"")</f>
        <v>4</v>
      </c>
      <c r="EC179" s="28" t="str">
        <f aca="false">IF(ISNUMBER(AI179),5,"")</f>
        <v/>
      </c>
      <c r="ED179" s="28" t="str">
        <f aca="false">IF(ISNUMBER(AM179),6,"")</f>
        <v/>
      </c>
      <c r="EE179" s="28" t="str">
        <f aca="false">IF(ISNUMBER(AQ179),7,"")</f>
        <v/>
      </c>
      <c r="EF179" s="28" t="str">
        <f aca="false">IF(ISNUMBER(AU179),8,"")</f>
        <v/>
      </c>
      <c r="EG179" s="28" t="str">
        <f aca="false">IF(ISNUMBER(AY179),9,"")</f>
        <v/>
      </c>
      <c r="EH179" s="28" t="str">
        <f aca="false">IF(ISNUMBER(BC179),10,"")</f>
        <v/>
      </c>
      <c r="EI179" s="28" t="str">
        <f aca="false">IF(ISNUMBER(BG179),11,"")</f>
        <v/>
      </c>
      <c r="EJ179" s="28" t="str">
        <f aca="false">IF(ISNUMBER(BK179),12,"")</f>
        <v/>
      </c>
      <c r="EK179" s="28" t="str">
        <f aca="false">IF(ISNUMBER(BO179),13,"")</f>
        <v/>
      </c>
      <c r="EL179" s="28" t="str">
        <f aca="false">IF(ISNUMBER(BS179),14,"")</f>
        <v/>
      </c>
      <c r="EM179" s="28" t="n">
        <f aca="false">IF(ISNUMBER(R179),R179*CW179,0)</f>
        <v>79.1666666666667</v>
      </c>
      <c r="EN179" s="28" t="n">
        <f aca="false">IF(ISNUMBER(V179),V179*CX179,0)</f>
        <v>50</v>
      </c>
      <c r="EO179" s="28" t="n">
        <f aca="false">IF(ISNUMBER(Z179),Z179*CY179,0)</f>
        <v>58.3333333333333</v>
      </c>
      <c r="EP179" s="28" t="n">
        <f aca="false">IF(ISNUMBER(AD179),AD179*CZ179,0)</f>
        <v>120</v>
      </c>
      <c r="EQ179" s="28" t="n">
        <f aca="false">IF(ISNUMBER(AH179),AH179*DA179,0)</f>
        <v>0</v>
      </c>
      <c r="ER179" s="28" t="n">
        <f aca="false">IF(ISNUMBER(AL179),AL179*DB179,0)</f>
        <v>0</v>
      </c>
      <c r="ES179" s="28" t="n">
        <f aca="false">IF(ISNUMBER(AP179),AP179*DC179,0)</f>
        <v>0</v>
      </c>
      <c r="ET179" s="28" t="n">
        <f aca="false">IF(ISNUMBER(AT179),AT179*DD179,0)</f>
        <v>0</v>
      </c>
      <c r="EU179" s="28" t="n">
        <f aca="false">IF(ISNUMBER(AX179),AX179*DE179,0)</f>
        <v>0</v>
      </c>
      <c r="EV179" s="28" t="n">
        <f aca="false">IF(ISNUMBER(BB179),BB179*DF179,0)</f>
        <v>0</v>
      </c>
      <c r="EW179" s="28" t="n">
        <f aca="false">IF(ISNUMBER(BF179),BF179*DG179,0)</f>
        <v>0</v>
      </c>
      <c r="EX179" s="28" t="n">
        <f aca="false">IF(ISNUMBER(BJ179),BJ179*DH179,0)</f>
        <v>0</v>
      </c>
      <c r="EY179" s="28" t="n">
        <f aca="false">IF(ISNUMBER(BN179),BN179*DI179,0)</f>
        <v>0</v>
      </c>
      <c r="EZ179" s="28" t="n">
        <f aca="false">IF(ISNUMBER(BR179),BR179*DJ179,0)</f>
        <v>0</v>
      </c>
      <c r="FA179" s="28" t="n">
        <f aca="false">IF(ISNUMBER(R179),CW179,0)</f>
        <v>1</v>
      </c>
      <c r="FB179" s="28" t="n">
        <f aca="false">IF(ISNUMBER(V179),CX179,0)</f>
        <v>1</v>
      </c>
      <c r="FC179" s="28" t="n">
        <f aca="false">IF(ISNUMBER(Z179),CY179,0)</f>
        <v>1</v>
      </c>
      <c r="FD179" s="28" t="n">
        <f aca="false">IF(ISNUMBER(AD179),CZ179,0)</f>
        <v>2</v>
      </c>
      <c r="FE179" s="28" t="n">
        <f aca="false">IF(ISNUMBER(AH179),DA179,0)</f>
        <v>0</v>
      </c>
      <c r="FF179" s="28" t="n">
        <f aca="false">IF(ISNUMBER(AL179),DB179,0)</f>
        <v>0</v>
      </c>
      <c r="FG179" s="28" t="n">
        <f aca="false">IF(ISNUMBER(AP179),DC179,0)</f>
        <v>0</v>
      </c>
      <c r="FH179" s="28" t="n">
        <f aca="false">IF(ISNUMBER(AT179),DD179,0)</f>
        <v>0</v>
      </c>
      <c r="FI179" s="28" t="n">
        <f aca="false">IF(ISNUMBER(AX179),DE179,0)</f>
        <v>0</v>
      </c>
      <c r="FJ179" s="28" t="n">
        <f aca="false">IF(ISNUMBER(BB179),DF179,0)</f>
        <v>0</v>
      </c>
      <c r="FK179" s="28" t="n">
        <f aca="false">IF(ISNUMBER(BF179),DG179,0)</f>
        <v>0</v>
      </c>
      <c r="FL179" s="28" t="n">
        <f aca="false">IF(ISNUMBER(BJ179),DH179,0)</f>
        <v>0</v>
      </c>
      <c r="FM179" s="28" t="n">
        <f aca="false">IF(ISNUMBER(BN179),DI179,0)</f>
        <v>0</v>
      </c>
      <c r="FN179" s="28" t="n">
        <f aca="false">IF(ISNUMBER(BR179),DJ179,0)</f>
        <v>0</v>
      </c>
      <c r="FO179" s="28" t="str">
        <f aca="false">IFERROR(INDEX(Lists!$G$2:$G$20,MATCH($I179&amp;"|"&amp;$J179,Lists!$F$2:$F$20,0)),"")</f>
        <v>BM Exam</v>
      </c>
    </row>
    <row r="180" customFormat="false" ht="19.5" hidden="false" customHeight="true" outlineLevel="0" collapsed="false">
      <c r="A180" s="29" t="s">
        <v>413</v>
      </c>
      <c r="B180" s="29" t="s">
        <v>414</v>
      </c>
      <c r="C180" s="30" t="s">
        <v>152</v>
      </c>
      <c r="D180" s="30" t="s">
        <v>408</v>
      </c>
      <c r="E180" s="31" t="n">
        <v>6.2</v>
      </c>
      <c r="F180" s="30" t="n">
        <v>7</v>
      </c>
      <c r="G180" s="30"/>
      <c r="H180" s="32" t="s">
        <v>23</v>
      </c>
      <c r="I180" s="33" t="s">
        <v>365</v>
      </c>
      <c r="J180" s="32" t="s">
        <v>223</v>
      </c>
      <c r="K180" s="34" t="n">
        <f aca="false">IF(OR(M180="",$E180=""),"",M180-$E180)</f>
        <v>0.8</v>
      </c>
      <c r="L180" s="35" t="n">
        <f aca="false">IF(SUM(FA180:FN180)=0,"",SUM(EM180:EZ180)/SUM(FA180:FN180))</f>
        <v>70.8333333333333</v>
      </c>
      <c r="M180" s="36" t="n">
        <f aca="false">IF(OR(L180="",FO180=""),"",IFERROR(MATCH(L180,INDEX(Boundaries!$B$2:$I$30,MATCH(FO180,Boundaries!$A$2:$A$30,0),0),1)-1,""))</f>
        <v>7</v>
      </c>
      <c r="N180" s="37" t="n">
        <f aca="false">IF(COUNT($DY180:$EL180)&lt;2,"",INDEX($DK180:$DX180,MAX($DY180:$EL180))-INDEX($DK180:$DX180,MIN($DY180:$EL180)))</f>
        <v>0</v>
      </c>
      <c r="O180" s="37" t="n">
        <f aca="false">IF(COUNT($DY180:$EL180)&lt;2,"",INDEX($DK180:$DX180,MAX($DY180:$EL180))-INDEX($DK180:$DX180,LARGE($DY180:$EL180,2)))</f>
        <v>2</v>
      </c>
      <c r="P180" s="38" t="str">
        <f aca="false">IF(K180="","",IF(K180&gt;=0,"On/above target",IF(AND(N180&lt;&gt;"",N180&gt;=0.5),"Improving towards target",IF(AND(O180&lt;&gt;"",O180&lt;=-0.5),"Declining","Stable below target"))))</f>
        <v>On/above target</v>
      </c>
      <c r="Q180" s="39" t="n">
        <v>19</v>
      </c>
      <c r="R180" s="40" t="n">
        <f aca="false">IF(OR(Q180="",BU180=""),"",Q180/BU180*100)</f>
        <v>79.1666666666667</v>
      </c>
      <c r="S180" s="41" t="n">
        <f aca="false">IF(R180="","",IFERROR(MATCH(R180,INDEX(Boundaries!$B$2:$I$30,MATCH(CI180,Boundaries!$A$2:$A$30,0),0),1)-1,""))</f>
        <v>7</v>
      </c>
      <c r="T180" s="42" t="n">
        <f aca="false">IF(OR(S180="",$E180=""),"",S180-$E180)</f>
        <v>0.8</v>
      </c>
      <c r="U180" s="39" t="n">
        <v>15</v>
      </c>
      <c r="V180" s="40" t="n">
        <f aca="false">IF(OR(U180="",BV180=""),"",U180/BV180*100)</f>
        <v>75</v>
      </c>
      <c r="W180" s="41" t="n">
        <f aca="false">IF(V180="","",IFERROR(MATCH(V180,INDEX(Boundaries!$B$2:$I$30,MATCH(CJ180,Boundaries!$A$2:$A$30,0),0),1)-1,""))</f>
        <v>7</v>
      </c>
      <c r="X180" s="42" t="n">
        <f aca="false">IF(OR(W180="",$E180=""),"",W180-$E180)</f>
        <v>0.8</v>
      </c>
      <c r="Y180" s="39" t="n">
        <v>12</v>
      </c>
      <c r="Z180" s="40" t="n">
        <f aca="false">IF(OR(Y180="",BW180=""),"",Y180/BW180*100)</f>
        <v>50</v>
      </c>
      <c r="AA180" s="41" t="n">
        <f aca="false">IF(Z180="","",IFERROR(MATCH(Z180,INDEX(Boundaries!$B$2:$I$30,MATCH(CK180,Boundaries!$A$2:$A$30,0),0),1)-1,""))</f>
        <v>5</v>
      </c>
      <c r="AB180" s="42" t="n">
        <f aca="false">IF(OR(AA180="",$E180=""),"",AA180-$E180)</f>
        <v>-1.2</v>
      </c>
      <c r="AC180" s="39" t="n">
        <v>30</v>
      </c>
      <c r="AD180" s="40" t="n">
        <f aca="false">IF(OR(AC180="",BX180=""),"",AC180/BX180*100)</f>
        <v>75</v>
      </c>
      <c r="AE180" s="41" t="n">
        <f aca="false">IF(AD180="","",IFERROR(MATCH(AD180,INDEX(Boundaries!$B$2:$I$30,MATCH(CL180,Boundaries!$A$2:$A$30,0),0),1)-1,""))</f>
        <v>7</v>
      </c>
      <c r="AF180" s="42" t="n">
        <f aca="false">IF(OR(AE180="",$E180=""),"",AE180-$E180)</f>
        <v>0.8</v>
      </c>
      <c r="AG180" s="39"/>
      <c r="AH180" s="40" t="str">
        <f aca="false">IF(OR(AG180="",BY180=""),"",AG180/BY180*100)</f>
        <v/>
      </c>
      <c r="AI180" s="41" t="str">
        <f aca="false">IF(AH180="","",IFERROR(MATCH(AH180,INDEX(Boundaries!$B$2:$I$30,MATCH(CM180,Boundaries!$A$2:$A$30,0),0),1)-1,""))</f>
        <v/>
      </c>
      <c r="AJ180" s="42" t="str">
        <f aca="false">IF(OR(AI180="",$E180=""),"",AI180-$E180)</f>
        <v/>
      </c>
      <c r="AK180" s="39"/>
      <c r="AL180" s="40" t="str">
        <f aca="false">IF(OR(AK180="",BZ180=""),"",AK180/BZ180*100)</f>
        <v/>
      </c>
      <c r="AM180" s="41" t="str">
        <f aca="false">IF(AL180="","",IFERROR(MATCH(AL180,INDEX(Boundaries!$B$2:$I$30,MATCH(CN180,Boundaries!$A$2:$A$30,0),0),1)-1,""))</f>
        <v/>
      </c>
      <c r="AN180" s="42" t="str">
        <f aca="false">IF(OR(AM180="",$E180=""),"",AM180-$E180)</f>
        <v/>
      </c>
      <c r="AO180" s="39"/>
      <c r="AP180" s="40" t="str">
        <f aca="false">IF(OR(AO180="",CA180=""),"",AO180/CA180*100)</f>
        <v/>
      </c>
      <c r="AQ180" s="41" t="str">
        <f aca="false">IF(AP180="","",IFERROR(MATCH(AP180,INDEX(Boundaries!$B$2:$I$30,MATCH(CO180,Boundaries!$A$2:$A$30,0),0),1)-1,""))</f>
        <v/>
      </c>
      <c r="AR180" s="42" t="str">
        <f aca="false">IF(OR(AQ180="",$E180=""),"",AQ180-$E180)</f>
        <v/>
      </c>
      <c r="AS180" s="39"/>
      <c r="AT180" s="40" t="str">
        <f aca="false">IF(OR(AS180="",CB180=""),"",AS180/CB180*100)</f>
        <v/>
      </c>
      <c r="AU180" s="41" t="str">
        <f aca="false">IF(AT180="","",IFERROR(MATCH(AT180,INDEX(Boundaries!$B$2:$I$30,MATCH(CP180,Boundaries!$A$2:$A$30,0),0),1)-1,""))</f>
        <v/>
      </c>
      <c r="AV180" s="42" t="str">
        <f aca="false">IF(OR(AU180="",$E180=""),"",AU180-$E180)</f>
        <v/>
      </c>
      <c r="AW180" s="39"/>
      <c r="AX180" s="40" t="str">
        <f aca="false">IF(OR(AW180="",CC180=""),"",AW180/CC180*100)</f>
        <v/>
      </c>
      <c r="AY180" s="41" t="str">
        <f aca="false">IF(AX180="","",IFERROR(MATCH(AX180,INDEX(Boundaries!$B$2:$I$30,MATCH(CQ180,Boundaries!$A$2:$A$30,0),0),1)-1,""))</f>
        <v/>
      </c>
      <c r="AZ180" s="42" t="str">
        <f aca="false">IF(OR(AY180="",$E180=""),"",AY180-$E180)</f>
        <v/>
      </c>
      <c r="BA180" s="39"/>
      <c r="BB180" s="40" t="str">
        <f aca="false">IF(OR(BA180="",CD180=""),"",BA180/CD180*100)</f>
        <v/>
      </c>
      <c r="BC180" s="41" t="str">
        <f aca="false">IF(BB180="","",IFERROR(MATCH(BB180,INDEX(Boundaries!$B$2:$I$30,MATCH(CR180,Boundaries!$A$2:$A$30,0),0),1)-1,""))</f>
        <v/>
      </c>
      <c r="BD180" s="42" t="str">
        <f aca="false">IF(OR(BC180="",$E180=""),"",BC180-$E180)</f>
        <v/>
      </c>
      <c r="BE180" s="39"/>
      <c r="BF180" s="40" t="str">
        <f aca="false">IF(OR(BE180="",CE180=""),"",BE180/CE180*100)</f>
        <v/>
      </c>
      <c r="BG180" s="41" t="str">
        <f aca="false">IF(BF180="","",IFERROR(MATCH(BF180,INDEX(Boundaries!$B$2:$I$30,MATCH(CS180,Boundaries!$A$2:$A$30,0),0),1)-1,""))</f>
        <v/>
      </c>
      <c r="BH180" s="42" t="str">
        <f aca="false">IF(OR(BG180="",$E180=""),"",BG180-$E180)</f>
        <v/>
      </c>
      <c r="BI180" s="39"/>
      <c r="BJ180" s="40" t="str">
        <f aca="false">IF(OR(BI180="",CF180=""),"",BI180/CF180*100)</f>
        <v/>
      </c>
      <c r="BK180" s="41" t="str">
        <f aca="false">IF(BJ180="","",IFERROR(MATCH(BJ180,INDEX(Boundaries!$B$2:$I$30,MATCH(CT180,Boundaries!$A$2:$A$30,0),0),1)-1,""))</f>
        <v/>
      </c>
      <c r="BL180" s="42" t="str">
        <f aca="false">IF(OR(BK180="",$E180=""),"",BK180-$E180)</f>
        <v/>
      </c>
      <c r="BM180" s="39"/>
      <c r="BN180" s="40" t="str">
        <f aca="false">IF(OR(BM180="",CG180=""),"",BM180/CG180*100)</f>
        <v/>
      </c>
      <c r="BO180" s="41" t="str">
        <f aca="false">IF(BN180="","",IFERROR(MATCH(BN180,INDEX(Boundaries!$B$2:$I$30,MATCH(CU180,Boundaries!$A$2:$A$30,0),0),1)-1,""))</f>
        <v/>
      </c>
      <c r="BP180" s="42" t="str">
        <f aca="false">IF(OR(BO180="",$E180=""),"",BO180-$E180)</f>
        <v/>
      </c>
      <c r="BQ180" s="39"/>
      <c r="BR180" s="40" t="str">
        <f aca="false">IF(OR(BQ180="",CH180=""),"",BQ180/CH180*100)</f>
        <v/>
      </c>
      <c r="BS180" s="41" t="str">
        <f aca="false">IF(BR180="","",IFERROR(MATCH(BR180,INDEX(Boundaries!$B$2:$I$30,MATCH(CV180,Boundaries!$A$2:$A$30,0),0),1)-1,""))</f>
        <v/>
      </c>
      <c r="BT180" s="42" t="str">
        <f aca="false">IF(OR(BS180="",$E180=""),"",BS180-$E180)</f>
        <v/>
      </c>
      <c r="BU180" s="28" t="n">
        <f aca="false">IFERROR(INDEX(Assessments!$H$2:$H$600,MATCH($H180&amp;"|"&amp;$I180&amp;"|"&amp;$J180&amp;"|"&amp;1,Assessments!$A$2:$A$600,0)),"")</f>
        <v>24</v>
      </c>
      <c r="BV180" s="28" t="n">
        <f aca="false">IFERROR(INDEX(Assessments!$H$2:$H$600,MATCH($H180&amp;"|"&amp;$I180&amp;"|"&amp;$J180&amp;"|"&amp;2,Assessments!$A$2:$A$600,0)),"")</f>
        <v>20</v>
      </c>
      <c r="BW180" s="28" t="n">
        <f aca="false">IFERROR(INDEX(Assessments!$H$2:$H$600,MATCH($H180&amp;"|"&amp;$I180&amp;"|"&amp;$J180&amp;"|"&amp;3,Assessments!$A$2:$A$600,0)),"")</f>
        <v>24</v>
      </c>
      <c r="BX180" s="28" t="n">
        <f aca="false">IFERROR(INDEX(Assessments!$H$2:$H$600,MATCH($H180&amp;"|"&amp;$I180&amp;"|"&amp;$J180&amp;"|"&amp;4,Assessments!$A$2:$A$600,0)),"")</f>
        <v>40</v>
      </c>
      <c r="BY180" s="28" t="n">
        <f aca="false">IFERROR(INDEX(Assessments!$H$2:$H$600,MATCH($H180&amp;"|"&amp;$I180&amp;"|"&amp;$J180&amp;"|"&amp;5,Assessments!$A$2:$A$600,0)),"")</f>
        <v>30</v>
      </c>
      <c r="BZ180" s="28" t="n">
        <f aca="false">IFERROR(INDEX(Assessments!$H$2:$H$600,MATCH($H180&amp;"|"&amp;$I180&amp;"|"&amp;$J180&amp;"|"&amp;6,Assessments!$A$2:$A$600,0)),"")</f>
        <v>20</v>
      </c>
      <c r="CA180" s="28" t="n">
        <f aca="false">IFERROR(INDEX(Assessments!$H$2:$H$600,MATCH($H180&amp;"|"&amp;$I180&amp;"|"&amp;$J180&amp;"|"&amp;7,Assessments!$A$2:$A$600,0)),"")</f>
        <v>40</v>
      </c>
      <c r="CB180" s="28" t="str">
        <f aca="false">IFERROR(INDEX(Assessments!$H$2:$H$600,MATCH($H180&amp;"|"&amp;$I180&amp;"|"&amp;$J180&amp;"|"&amp;8,Assessments!$A$2:$A$600,0)),"")</f>
        <v/>
      </c>
      <c r="CC180" s="28" t="str">
        <f aca="false">IFERROR(INDEX(Assessments!$H$2:$H$600,MATCH($H180&amp;"|"&amp;$I180&amp;"|"&amp;$J180&amp;"|"&amp;9,Assessments!$A$2:$A$600,0)),"")</f>
        <v/>
      </c>
      <c r="CD180" s="28" t="str">
        <f aca="false">IFERROR(INDEX(Assessments!$H$2:$H$600,MATCH($H180&amp;"|"&amp;$I180&amp;"|"&amp;$J180&amp;"|"&amp;10,Assessments!$A$2:$A$600,0)),"")</f>
        <v/>
      </c>
      <c r="CE180" s="28" t="str">
        <f aca="false">IFERROR(INDEX(Assessments!$H$2:$H$600,MATCH($H180&amp;"|"&amp;$I180&amp;"|"&amp;$J180&amp;"|"&amp;11,Assessments!$A$2:$A$600,0)),"")</f>
        <v/>
      </c>
      <c r="CF180" s="28" t="str">
        <f aca="false">IFERROR(INDEX(Assessments!$H$2:$H$600,MATCH($H180&amp;"|"&amp;$I180&amp;"|"&amp;$J180&amp;"|"&amp;12,Assessments!$A$2:$A$600,0)),"")</f>
        <v/>
      </c>
      <c r="CG180" s="28" t="str">
        <f aca="false">IFERROR(INDEX(Assessments!$H$2:$H$600,MATCH($H180&amp;"|"&amp;$I180&amp;"|"&amp;$J180&amp;"|"&amp;13,Assessments!$A$2:$A$600,0)),"")</f>
        <v/>
      </c>
      <c r="CH180" s="28" t="str">
        <f aca="false">IFERROR(INDEX(Assessments!$H$2:$H$600,MATCH($H180&amp;"|"&amp;$I180&amp;"|"&amp;$J180&amp;"|"&amp;14,Assessments!$A$2:$A$600,0)),"")</f>
        <v/>
      </c>
      <c r="CI180" s="28" t="str">
        <f aca="false">IFERROR(INDEX(Assessments!$I$2:$I$600,MATCH($H180&amp;"|"&amp;$I180&amp;"|"&amp;$J180&amp;"|"&amp;1,Assessments!$A$2:$A$600,0)),"")</f>
        <v>BM Test</v>
      </c>
      <c r="CJ180" s="28" t="str">
        <f aca="false">IFERROR(INDEX(Assessments!$I$2:$I$600,MATCH($H180&amp;"|"&amp;$I180&amp;"|"&amp;$J180&amp;"|"&amp;2,Assessments!$A$2:$A$600,0)),"")</f>
        <v>BM Test</v>
      </c>
      <c r="CK180" s="28" t="str">
        <f aca="false">IFERROR(INDEX(Assessments!$I$2:$I$600,MATCH($H180&amp;"|"&amp;$I180&amp;"|"&amp;$J180&amp;"|"&amp;3,Assessments!$A$2:$A$600,0)),"")</f>
        <v>BM Test</v>
      </c>
      <c r="CL180" s="28" t="str">
        <f aca="false">IFERROR(INDEX(Assessments!$I$2:$I$600,MATCH($H180&amp;"|"&amp;$I180&amp;"|"&amp;$J180&amp;"|"&amp;4,Assessments!$A$2:$A$600,0)),"")</f>
        <v>BM Exam</v>
      </c>
      <c r="CM180" s="28" t="str">
        <f aca="false">IFERROR(INDEX(Assessments!$I$2:$I$600,MATCH($H180&amp;"|"&amp;$I180&amp;"|"&amp;$J180&amp;"|"&amp;5,Assessments!$A$2:$A$600,0)),"")</f>
        <v>BM Test</v>
      </c>
      <c r="CN180" s="28" t="str">
        <f aca="false">IFERROR(INDEX(Assessments!$I$2:$I$600,MATCH($H180&amp;"|"&amp;$I180&amp;"|"&amp;$J180&amp;"|"&amp;6,Assessments!$A$2:$A$600,0)),"")</f>
        <v>BM Test</v>
      </c>
      <c r="CO180" s="28" t="str">
        <f aca="false">IFERROR(INDEX(Assessments!$I$2:$I$600,MATCH($H180&amp;"|"&amp;$I180&amp;"|"&amp;$J180&amp;"|"&amp;7,Assessments!$A$2:$A$600,0)),"")</f>
        <v>BM Exam</v>
      </c>
      <c r="CP180" s="28" t="str">
        <f aca="false">IFERROR(INDEX(Assessments!$I$2:$I$600,MATCH($H180&amp;"|"&amp;$I180&amp;"|"&amp;$J180&amp;"|"&amp;8,Assessments!$A$2:$A$600,0)),"")</f>
        <v/>
      </c>
      <c r="CQ180" s="28" t="str">
        <f aca="false">IFERROR(INDEX(Assessments!$I$2:$I$600,MATCH($H180&amp;"|"&amp;$I180&amp;"|"&amp;$J180&amp;"|"&amp;9,Assessments!$A$2:$A$600,0)),"")</f>
        <v/>
      </c>
      <c r="CR180" s="28" t="str">
        <f aca="false">IFERROR(INDEX(Assessments!$I$2:$I$600,MATCH($H180&amp;"|"&amp;$I180&amp;"|"&amp;$J180&amp;"|"&amp;10,Assessments!$A$2:$A$600,0)),"")</f>
        <v/>
      </c>
      <c r="CS180" s="28" t="str">
        <f aca="false">IFERROR(INDEX(Assessments!$I$2:$I$600,MATCH($H180&amp;"|"&amp;$I180&amp;"|"&amp;$J180&amp;"|"&amp;11,Assessments!$A$2:$A$600,0)),"")</f>
        <v/>
      </c>
      <c r="CT180" s="28" t="str">
        <f aca="false">IFERROR(INDEX(Assessments!$I$2:$I$600,MATCH($H180&amp;"|"&amp;$I180&amp;"|"&amp;$J180&amp;"|"&amp;12,Assessments!$A$2:$A$600,0)),"")</f>
        <v/>
      </c>
      <c r="CU180" s="28" t="str">
        <f aca="false">IFERROR(INDEX(Assessments!$I$2:$I$600,MATCH($H180&amp;"|"&amp;$I180&amp;"|"&amp;$J180&amp;"|"&amp;13,Assessments!$A$2:$A$600,0)),"")</f>
        <v/>
      </c>
      <c r="CV180" s="28" t="str">
        <f aca="false">IFERROR(INDEX(Assessments!$I$2:$I$600,MATCH($H180&amp;"|"&amp;$I180&amp;"|"&amp;$J180&amp;"|"&amp;14,Assessments!$A$2:$A$600,0)),"")</f>
        <v/>
      </c>
      <c r="CW180" s="28" t="n">
        <f aca="false">IFERROR(INDEX(Assessments!$J$2:$J$600,MATCH($H180&amp;"|"&amp;$I180&amp;"|"&amp;$J180&amp;"|"&amp;1,Assessments!$A$2:$A$600,0)),0)</f>
        <v>1</v>
      </c>
      <c r="CX180" s="28" t="n">
        <f aca="false">IFERROR(INDEX(Assessments!$J$2:$J$600,MATCH($H180&amp;"|"&amp;$I180&amp;"|"&amp;$J180&amp;"|"&amp;2,Assessments!$A$2:$A$600,0)),0)</f>
        <v>1</v>
      </c>
      <c r="CY180" s="28" t="n">
        <f aca="false">IFERROR(INDEX(Assessments!$J$2:$J$600,MATCH($H180&amp;"|"&amp;$I180&amp;"|"&amp;$J180&amp;"|"&amp;3,Assessments!$A$2:$A$600,0)),0)</f>
        <v>1</v>
      </c>
      <c r="CZ180" s="28" t="n">
        <f aca="false">IFERROR(INDEX(Assessments!$J$2:$J$600,MATCH($H180&amp;"|"&amp;$I180&amp;"|"&amp;$J180&amp;"|"&amp;4,Assessments!$A$2:$A$600,0)),0)</f>
        <v>2</v>
      </c>
      <c r="DA180" s="28" t="n">
        <f aca="false">IFERROR(INDEX(Assessments!$J$2:$J$600,MATCH($H180&amp;"|"&amp;$I180&amp;"|"&amp;$J180&amp;"|"&amp;5,Assessments!$A$2:$A$600,0)),0)</f>
        <v>1</v>
      </c>
      <c r="DB180" s="28" t="n">
        <f aca="false">IFERROR(INDEX(Assessments!$J$2:$J$600,MATCH($H180&amp;"|"&amp;$I180&amp;"|"&amp;$J180&amp;"|"&amp;6,Assessments!$A$2:$A$600,0)),0)</f>
        <v>1</v>
      </c>
      <c r="DC180" s="28" t="n">
        <f aca="false">IFERROR(INDEX(Assessments!$J$2:$J$600,MATCH($H180&amp;"|"&amp;$I180&amp;"|"&amp;$J180&amp;"|"&amp;7,Assessments!$A$2:$A$600,0)),0)</f>
        <v>2</v>
      </c>
      <c r="DD180" s="28" t="n">
        <f aca="false">IFERROR(INDEX(Assessments!$J$2:$J$600,MATCH($H180&amp;"|"&amp;$I180&amp;"|"&amp;$J180&amp;"|"&amp;8,Assessments!$A$2:$A$600,0)),0)</f>
        <v>0</v>
      </c>
      <c r="DE180" s="28" t="n">
        <f aca="false">IFERROR(INDEX(Assessments!$J$2:$J$600,MATCH($H180&amp;"|"&amp;$I180&amp;"|"&amp;$J180&amp;"|"&amp;9,Assessments!$A$2:$A$600,0)),0)</f>
        <v>0</v>
      </c>
      <c r="DF180" s="28" t="n">
        <f aca="false">IFERROR(INDEX(Assessments!$J$2:$J$600,MATCH($H180&amp;"|"&amp;$I180&amp;"|"&amp;$J180&amp;"|"&amp;10,Assessments!$A$2:$A$600,0)),0)</f>
        <v>0</v>
      </c>
      <c r="DG180" s="28" t="n">
        <f aca="false">IFERROR(INDEX(Assessments!$J$2:$J$600,MATCH($H180&amp;"|"&amp;$I180&amp;"|"&amp;$J180&amp;"|"&amp;11,Assessments!$A$2:$A$600,0)),0)</f>
        <v>0</v>
      </c>
      <c r="DH180" s="28" t="n">
        <f aca="false">IFERROR(INDEX(Assessments!$J$2:$J$600,MATCH($H180&amp;"|"&amp;$I180&amp;"|"&amp;$J180&amp;"|"&amp;12,Assessments!$A$2:$A$600,0)),0)</f>
        <v>0</v>
      </c>
      <c r="DI180" s="28" t="n">
        <f aca="false">IFERROR(INDEX(Assessments!$J$2:$J$600,MATCH($H180&amp;"|"&amp;$I180&amp;"|"&amp;$J180&amp;"|"&amp;13,Assessments!$A$2:$A$600,0)),0)</f>
        <v>0</v>
      </c>
      <c r="DJ180" s="28" t="n">
        <f aca="false">IFERROR(INDEX(Assessments!$J$2:$J$600,MATCH($H180&amp;"|"&amp;$I180&amp;"|"&amp;$J180&amp;"|"&amp;14,Assessments!$A$2:$A$600,0)),0)</f>
        <v>0</v>
      </c>
      <c r="DK180" s="28" t="n">
        <f aca="false">S180</f>
        <v>7</v>
      </c>
      <c r="DL180" s="28" t="n">
        <f aca="false">W180</f>
        <v>7</v>
      </c>
      <c r="DM180" s="28" t="n">
        <f aca="false">AA180</f>
        <v>5</v>
      </c>
      <c r="DN180" s="28" t="n">
        <f aca="false">AE180</f>
        <v>7</v>
      </c>
      <c r="DO180" s="28" t="str">
        <f aca="false">AI180</f>
        <v/>
      </c>
      <c r="DP180" s="28" t="str">
        <f aca="false">AM180</f>
        <v/>
      </c>
      <c r="DQ180" s="28" t="str">
        <f aca="false">AQ180</f>
        <v/>
      </c>
      <c r="DR180" s="28" t="str">
        <f aca="false">AU180</f>
        <v/>
      </c>
      <c r="DS180" s="28" t="str">
        <f aca="false">AY180</f>
        <v/>
      </c>
      <c r="DT180" s="28" t="str">
        <f aca="false">BC180</f>
        <v/>
      </c>
      <c r="DU180" s="28" t="str">
        <f aca="false">BG180</f>
        <v/>
      </c>
      <c r="DV180" s="28" t="str">
        <f aca="false">BK180</f>
        <v/>
      </c>
      <c r="DW180" s="28" t="str">
        <f aca="false">BO180</f>
        <v/>
      </c>
      <c r="DX180" s="28" t="str">
        <f aca="false">BS180</f>
        <v/>
      </c>
      <c r="DY180" s="28" t="n">
        <f aca="false">IF(ISNUMBER(S180),1,"")</f>
        <v>1</v>
      </c>
      <c r="DZ180" s="28" t="n">
        <f aca="false">IF(ISNUMBER(W180),2,"")</f>
        <v>2</v>
      </c>
      <c r="EA180" s="28" t="n">
        <f aca="false">IF(ISNUMBER(AA180),3,"")</f>
        <v>3</v>
      </c>
      <c r="EB180" s="28" t="n">
        <f aca="false">IF(ISNUMBER(AE180),4,"")</f>
        <v>4</v>
      </c>
      <c r="EC180" s="28" t="str">
        <f aca="false">IF(ISNUMBER(AI180),5,"")</f>
        <v/>
      </c>
      <c r="ED180" s="28" t="str">
        <f aca="false">IF(ISNUMBER(AM180),6,"")</f>
        <v/>
      </c>
      <c r="EE180" s="28" t="str">
        <f aca="false">IF(ISNUMBER(AQ180),7,"")</f>
        <v/>
      </c>
      <c r="EF180" s="28" t="str">
        <f aca="false">IF(ISNUMBER(AU180),8,"")</f>
        <v/>
      </c>
      <c r="EG180" s="28" t="str">
        <f aca="false">IF(ISNUMBER(AY180),9,"")</f>
        <v/>
      </c>
      <c r="EH180" s="28" t="str">
        <f aca="false">IF(ISNUMBER(BC180),10,"")</f>
        <v/>
      </c>
      <c r="EI180" s="28" t="str">
        <f aca="false">IF(ISNUMBER(BG180),11,"")</f>
        <v/>
      </c>
      <c r="EJ180" s="28" t="str">
        <f aca="false">IF(ISNUMBER(BK180),12,"")</f>
        <v/>
      </c>
      <c r="EK180" s="28" t="str">
        <f aca="false">IF(ISNUMBER(BO180),13,"")</f>
        <v/>
      </c>
      <c r="EL180" s="28" t="str">
        <f aca="false">IF(ISNUMBER(BS180),14,"")</f>
        <v/>
      </c>
      <c r="EM180" s="28" t="n">
        <f aca="false">IF(ISNUMBER(R180),R180*CW180,0)</f>
        <v>79.1666666666667</v>
      </c>
      <c r="EN180" s="28" t="n">
        <f aca="false">IF(ISNUMBER(V180),V180*CX180,0)</f>
        <v>75</v>
      </c>
      <c r="EO180" s="28" t="n">
        <f aca="false">IF(ISNUMBER(Z180),Z180*CY180,0)</f>
        <v>50</v>
      </c>
      <c r="EP180" s="28" t="n">
        <f aca="false">IF(ISNUMBER(AD180),AD180*CZ180,0)</f>
        <v>150</v>
      </c>
      <c r="EQ180" s="28" t="n">
        <f aca="false">IF(ISNUMBER(AH180),AH180*DA180,0)</f>
        <v>0</v>
      </c>
      <c r="ER180" s="28" t="n">
        <f aca="false">IF(ISNUMBER(AL180),AL180*DB180,0)</f>
        <v>0</v>
      </c>
      <c r="ES180" s="28" t="n">
        <f aca="false">IF(ISNUMBER(AP180),AP180*DC180,0)</f>
        <v>0</v>
      </c>
      <c r="ET180" s="28" t="n">
        <f aca="false">IF(ISNUMBER(AT180),AT180*DD180,0)</f>
        <v>0</v>
      </c>
      <c r="EU180" s="28" t="n">
        <f aca="false">IF(ISNUMBER(AX180),AX180*DE180,0)</f>
        <v>0</v>
      </c>
      <c r="EV180" s="28" t="n">
        <f aca="false">IF(ISNUMBER(BB180),BB180*DF180,0)</f>
        <v>0</v>
      </c>
      <c r="EW180" s="28" t="n">
        <f aca="false">IF(ISNUMBER(BF180),BF180*DG180,0)</f>
        <v>0</v>
      </c>
      <c r="EX180" s="28" t="n">
        <f aca="false">IF(ISNUMBER(BJ180),BJ180*DH180,0)</f>
        <v>0</v>
      </c>
      <c r="EY180" s="28" t="n">
        <f aca="false">IF(ISNUMBER(BN180),BN180*DI180,0)</f>
        <v>0</v>
      </c>
      <c r="EZ180" s="28" t="n">
        <f aca="false">IF(ISNUMBER(BR180),BR180*DJ180,0)</f>
        <v>0</v>
      </c>
      <c r="FA180" s="28" t="n">
        <f aca="false">IF(ISNUMBER(R180),CW180,0)</f>
        <v>1</v>
      </c>
      <c r="FB180" s="28" t="n">
        <f aca="false">IF(ISNUMBER(V180),CX180,0)</f>
        <v>1</v>
      </c>
      <c r="FC180" s="28" t="n">
        <f aca="false">IF(ISNUMBER(Z180),CY180,0)</f>
        <v>1</v>
      </c>
      <c r="FD180" s="28" t="n">
        <f aca="false">IF(ISNUMBER(AD180),CZ180,0)</f>
        <v>2</v>
      </c>
      <c r="FE180" s="28" t="n">
        <f aca="false">IF(ISNUMBER(AH180),DA180,0)</f>
        <v>0</v>
      </c>
      <c r="FF180" s="28" t="n">
        <f aca="false">IF(ISNUMBER(AL180),DB180,0)</f>
        <v>0</v>
      </c>
      <c r="FG180" s="28" t="n">
        <f aca="false">IF(ISNUMBER(AP180),DC180,0)</f>
        <v>0</v>
      </c>
      <c r="FH180" s="28" t="n">
        <f aca="false">IF(ISNUMBER(AT180),DD180,0)</f>
        <v>0</v>
      </c>
      <c r="FI180" s="28" t="n">
        <f aca="false">IF(ISNUMBER(AX180),DE180,0)</f>
        <v>0</v>
      </c>
      <c r="FJ180" s="28" t="n">
        <f aca="false">IF(ISNUMBER(BB180),DF180,0)</f>
        <v>0</v>
      </c>
      <c r="FK180" s="28" t="n">
        <f aca="false">IF(ISNUMBER(BF180),DG180,0)</f>
        <v>0</v>
      </c>
      <c r="FL180" s="28" t="n">
        <f aca="false">IF(ISNUMBER(BJ180),DH180,0)</f>
        <v>0</v>
      </c>
      <c r="FM180" s="28" t="n">
        <f aca="false">IF(ISNUMBER(BN180),DI180,0)</f>
        <v>0</v>
      </c>
      <c r="FN180" s="28" t="n">
        <f aca="false">IF(ISNUMBER(BR180),DJ180,0)</f>
        <v>0</v>
      </c>
      <c r="FO180" s="28" t="str">
        <f aca="false">IFERROR(INDEX(Lists!$G$2:$G$20,MATCH($I180&amp;"|"&amp;$J180,Lists!$F$2:$F$20,0)),"")</f>
        <v>BM Exam</v>
      </c>
    </row>
    <row r="181" customFormat="false" ht="19.5" hidden="false" customHeight="true" outlineLevel="0" collapsed="false">
      <c r="A181" s="29" t="s">
        <v>287</v>
      </c>
      <c r="B181" s="29" t="s">
        <v>288</v>
      </c>
      <c r="C181" s="30" t="s">
        <v>152</v>
      </c>
      <c r="D181" s="30" t="s">
        <v>408</v>
      </c>
      <c r="E181" s="31" t="n">
        <v>6.2</v>
      </c>
      <c r="F181" s="30" t="n">
        <v>7</v>
      </c>
      <c r="G181" s="30"/>
      <c r="H181" s="32" t="s">
        <v>23</v>
      </c>
      <c r="I181" s="33" t="s">
        <v>365</v>
      </c>
      <c r="J181" s="32" t="s">
        <v>223</v>
      </c>
      <c r="K181" s="34" t="n">
        <f aca="false">IF(OR(M181="",$E181=""),"",M181-$E181)</f>
        <v>-0.2</v>
      </c>
      <c r="L181" s="35" t="n">
        <f aca="false">IF(SUM(FA181:FN181)=0,"",SUM(EM181:EZ181)/SUM(FA181:FN181))</f>
        <v>67.2222222222222</v>
      </c>
      <c r="M181" s="36" t="n">
        <f aca="false">IF(OR(L181="",FO181=""),"",IFERROR(MATCH(L181,INDEX(Boundaries!$B$2:$I$30,MATCH(FO181,Boundaries!$A$2:$A$30,0),0),1)-1,""))</f>
        <v>6</v>
      </c>
      <c r="N181" s="37" t="n">
        <f aca="false">IF(COUNT($DY181:$EL181)&lt;2,"",INDEX($DK181:$DX181,MAX($DY181:$EL181))-INDEX($DK181:$DX181,MIN($DY181:$EL181)))</f>
        <v>0</v>
      </c>
      <c r="O181" s="37" t="n">
        <f aca="false">IF(COUNT($DY181:$EL181)&lt;2,"",INDEX($DK181:$DX181,MAX($DY181:$EL181))-INDEX($DK181:$DX181,LARGE($DY181:$EL181,2)))</f>
        <v>-2</v>
      </c>
      <c r="P181" s="38" t="str">
        <f aca="false">IF(K181="","",IF(K181&gt;=0,"On/above target",IF(AND(N181&lt;&gt;"",N181&gt;=0.5),"Improving towards target",IF(AND(O181&lt;&gt;"",O181&lt;=-0.5),"Declining","Stable below target"))))</f>
        <v>Declining</v>
      </c>
      <c r="Q181" s="39" t="n">
        <v>13</v>
      </c>
      <c r="R181" s="40" t="n">
        <f aca="false">IF(OR(Q181="",BU181=""),"",Q181/BU181*100)</f>
        <v>54.1666666666667</v>
      </c>
      <c r="S181" s="41" t="n">
        <f aca="false">IF(R181="","",IFERROR(MATCH(R181,INDEX(Boundaries!$B$2:$I$30,MATCH(CI181,Boundaries!$A$2:$A$30,0),0),1)-1,""))</f>
        <v>5</v>
      </c>
      <c r="T181" s="42" t="n">
        <f aca="false">IF(OR(S181="",$E181=""),"",S181-$E181)</f>
        <v>-1.2</v>
      </c>
      <c r="U181" s="39" t="n">
        <v>17</v>
      </c>
      <c r="V181" s="40" t="n">
        <f aca="false">IF(OR(U181="",BV181=""),"",U181/BV181*100)</f>
        <v>85</v>
      </c>
      <c r="W181" s="41" t="n">
        <f aca="false">IF(V181="","",IFERROR(MATCH(V181,INDEX(Boundaries!$B$2:$I$30,MATCH(CJ181,Boundaries!$A$2:$A$30,0),0),1)-1,""))</f>
        <v>7</v>
      </c>
      <c r="X181" s="42" t="n">
        <f aca="false">IF(OR(W181="",$E181=""),"",W181-$E181)</f>
        <v>0.8</v>
      </c>
      <c r="Y181" s="39" t="n">
        <v>15</v>
      </c>
      <c r="Z181" s="40" t="n">
        <f aca="false">IF(OR(Y181="",BW181=""),"",Y181/BW181*100)</f>
        <v>62.5</v>
      </c>
      <c r="AA181" s="41" t="n">
        <f aca="false">IF(Z181="","",IFERROR(MATCH(Z181,INDEX(Boundaries!$B$2:$I$30,MATCH(CK181,Boundaries!$A$2:$A$30,0),0),1)-1,""))</f>
        <v>5</v>
      </c>
      <c r="AB181" s="42" t="n">
        <f aca="false">IF(OR(AA181="",$E181=""),"",AA181-$E181)</f>
        <v>-1.2</v>
      </c>
      <c r="AC181" s="39"/>
      <c r="AD181" s="40" t="str">
        <f aca="false">IF(OR(AC181="",BX181=""),"",AC181/BX181*100)</f>
        <v/>
      </c>
      <c r="AE181" s="41" t="str">
        <f aca="false">IF(AD181="","",IFERROR(MATCH(AD181,INDEX(Boundaries!$B$2:$I$30,MATCH(CL181,Boundaries!$A$2:$A$30,0),0),1)-1,""))</f>
        <v/>
      </c>
      <c r="AF181" s="42" t="str">
        <f aca="false">IF(OR(AE181="",$E181=""),"",AE181-$E181)</f>
        <v/>
      </c>
      <c r="AG181" s="39"/>
      <c r="AH181" s="40" t="str">
        <f aca="false">IF(OR(AG181="",BY181=""),"",AG181/BY181*100)</f>
        <v/>
      </c>
      <c r="AI181" s="41" t="str">
        <f aca="false">IF(AH181="","",IFERROR(MATCH(AH181,INDEX(Boundaries!$B$2:$I$30,MATCH(CM181,Boundaries!$A$2:$A$30,0),0),1)-1,""))</f>
        <v/>
      </c>
      <c r="AJ181" s="42" t="str">
        <f aca="false">IF(OR(AI181="",$E181=""),"",AI181-$E181)</f>
        <v/>
      </c>
      <c r="AK181" s="39"/>
      <c r="AL181" s="40" t="str">
        <f aca="false">IF(OR(AK181="",BZ181=""),"",AK181/BZ181*100)</f>
        <v/>
      </c>
      <c r="AM181" s="41" t="str">
        <f aca="false">IF(AL181="","",IFERROR(MATCH(AL181,INDEX(Boundaries!$B$2:$I$30,MATCH(CN181,Boundaries!$A$2:$A$30,0),0),1)-1,""))</f>
        <v/>
      </c>
      <c r="AN181" s="42" t="str">
        <f aca="false">IF(OR(AM181="",$E181=""),"",AM181-$E181)</f>
        <v/>
      </c>
      <c r="AO181" s="39"/>
      <c r="AP181" s="40" t="str">
        <f aca="false">IF(OR(AO181="",CA181=""),"",AO181/CA181*100)</f>
        <v/>
      </c>
      <c r="AQ181" s="41" t="str">
        <f aca="false">IF(AP181="","",IFERROR(MATCH(AP181,INDEX(Boundaries!$B$2:$I$30,MATCH(CO181,Boundaries!$A$2:$A$30,0),0),1)-1,""))</f>
        <v/>
      </c>
      <c r="AR181" s="42" t="str">
        <f aca="false">IF(OR(AQ181="",$E181=""),"",AQ181-$E181)</f>
        <v/>
      </c>
      <c r="AS181" s="39"/>
      <c r="AT181" s="40" t="str">
        <f aca="false">IF(OR(AS181="",CB181=""),"",AS181/CB181*100)</f>
        <v/>
      </c>
      <c r="AU181" s="41" t="str">
        <f aca="false">IF(AT181="","",IFERROR(MATCH(AT181,INDEX(Boundaries!$B$2:$I$30,MATCH(CP181,Boundaries!$A$2:$A$30,0),0),1)-1,""))</f>
        <v/>
      </c>
      <c r="AV181" s="42" t="str">
        <f aca="false">IF(OR(AU181="",$E181=""),"",AU181-$E181)</f>
        <v/>
      </c>
      <c r="AW181" s="39"/>
      <c r="AX181" s="40" t="str">
        <f aca="false">IF(OR(AW181="",CC181=""),"",AW181/CC181*100)</f>
        <v/>
      </c>
      <c r="AY181" s="41" t="str">
        <f aca="false">IF(AX181="","",IFERROR(MATCH(AX181,INDEX(Boundaries!$B$2:$I$30,MATCH(CQ181,Boundaries!$A$2:$A$30,0),0),1)-1,""))</f>
        <v/>
      </c>
      <c r="AZ181" s="42" t="str">
        <f aca="false">IF(OR(AY181="",$E181=""),"",AY181-$E181)</f>
        <v/>
      </c>
      <c r="BA181" s="39"/>
      <c r="BB181" s="40" t="str">
        <f aca="false">IF(OR(BA181="",CD181=""),"",BA181/CD181*100)</f>
        <v/>
      </c>
      <c r="BC181" s="41" t="str">
        <f aca="false">IF(BB181="","",IFERROR(MATCH(BB181,INDEX(Boundaries!$B$2:$I$30,MATCH(CR181,Boundaries!$A$2:$A$30,0),0),1)-1,""))</f>
        <v/>
      </c>
      <c r="BD181" s="42" t="str">
        <f aca="false">IF(OR(BC181="",$E181=""),"",BC181-$E181)</f>
        <v/>
      </c>
      <c r="BE181" s="39"/>
      <c r="BF181" s="40" t="str">
        <f aca="false">IF(OR(BE181="",CE181=""),"",BE181/CE181*100)</f>
        <v/>
      </c>
      <c r="BG181" s="41" t="str">
        <f aca="false">IF(BF181="","",IFERROR(MATCH(BF181,INDEX(Boundaries!$B$2:$I$30,MATCH(CS181,Boundaries!$A$2:$A$30,0),0),1)-1,""))</f>
        <v/>
      </c>
      <c r="BH181" s="42" t="str">
        <f aca="false">IF(OR(BG181="",$E181=""),"",BG181-$E181)</f>
        <v/>
      </c>
      <c r="BI181" s="39"/>
      <c r="BJ181" s="40" t="str">
        <f aca="false">IF(OR(BI181="",CF181=""),"",BI181/CF181*100)</f>
        <v/>
      </c>
      <c r="BK181" s="41" t="str">
        <f aca="false">IF(BJ181="","",IFERROR(MATCH(BJ181,INDEX(Boundaries!$B$2:$I$30,MATCH(CT181,Boundaries!$A$2:$A$30,0),0),1)-1,""))</f>
        <v/>
      </c>
      <c r="BL181" s="42" t="str">
        <f aca="false">IF(OR(BK181="",$E181=""),"",BK181-$E181)</f>
        <v/>
      </c>
      <c r="BM181" s="39"/>
      <c r="BN181" s="40" t="str">
        <f aca="false">IF(OR(BM181="",CG181=""),"",BM181/CG181*100)</f>
        <v/>
      </c>
      <c r="BO181" s="41" t="str">
        <f aca="false">IF(BN181="","",IFERROR(MATCH(BN181,INDEX(Boundaries!$B$2:$I$30,MATCH(CU181,Boundaries!$A$2:$A$30,0),0),1)-1,""))</f>
        <v/>
      </c>
      <c r="BP181" s="42" t="str">
        <f aca="false">IF(OR(BO181="",$E181=""),"",BO181-$E181)</f>
        <v/>
      </c>
      <c r="BQ181" s="39"/>
      <c r="BR181" s="40" t="str">
        <f aca="false">IF(OR(BQ181="",CH181=""),"",BQ181/CH181*100)</f>
        <v/>
      </c>
      <c r="BS181" s="41" t="str">
        <f aca="false">IF(BR181="","",IFERROR(MATCH(BR181,INDEX(Boundaries!$B$2:$I$30,MATCH(CV181,Boundaries!$A$2:$A$30,0),0),1)-1,""))</f>
        <v/>
      </c>
      <c r="BT181" s="42" t="str">
        <f aca="false">IF(OR(BS181="",$E181=""),"",BS181-$E181)</f>
        <v/>
      </c>
      <c r="BU181" s="28" t="n">
        <f aca="false">IFERROR(INDEX(Assessments!$H$2:$H$600,MATCH($H181&amp;"|"&amp;$I181&amp;"|"&amp;$J181&amp;"|"&amp;1,Assessments!$A$2:$A$600,0)),"")</f>
        <v>24</v>
      </c>
      <c r="BV181" s="28" t="n">
        <f aca="false">IFERROR(INDEX(Assessments!$H$2:$H$600,MATCH($H181&amp;"|"&amp;$I181&amp;"|"&amp;$J181&amp;"|"&amp;2,Assessments!$A$2:$A$600,0)),"")</f>
        <v>20</v>
      </c>
      <c r="BW181" s="28" t="n">
        <f aca="false">IFERROR(INDEX(Assessments!$H$2:$H$600,MATCH($H181&amp;"|"&amp;$I181&amp;"|"&amp;$J181&amp;"|"&amp;3,Assessments!$A$2:$A$600,0)),"")</f>
        <v>24</v>
      </c>
      <c r="BX181" s="28" t="n">
        <f aca="false">IFERROR(INDEX(Assessments!$H$2:$H$600,MATCH($H181&amp;"|"&amp;$I181&amp;"|"&amp;$J181&amp;"|"&amp;4,Assessments!$A$2:$A$600,0)),"")</f>
        <v>40</v>
      </c>
      <c r="BY181" s="28" t="n">
        <f aca="false">IFERROR(INDEX(Assessments!$H$2:$H$600,MATCH($H181&amp;"|"&amp;$I181&amp;"|"&amp;$J181&amp;"|"&amp;5,Assessments!$A$2:$A$600,0)),"")</f>
        <v>30</v>
      </c>
      <c r="BZ181" s="28" t="n">
        <f aca="false">IFERROR(INDEX(Assessments!$H$2:$H$600,MATCH($H181&amp;"|"&amp;$I181&amp;"|"&amp;$J181&amp;"|"&amp;6,Assessments!$A$2:$A$600,0)),"")</f>
        <v>20</v>
      </c>
      <c r="CA181" s="28" t="n">
        <f aca="false">IFERROR(INDEX(Assessments!$H$2:$H$600,MATCH($H181&amp;"|"&amp;$I181&amp;"|"&amp;$J181&amp;"|"&amp;7,Assessments!$A$2:$A$600,0)),"")</f>
        <v>40</v>
      </c>
      <c r="CB181" s="28" t="str">
        <f aca="false">IFERROR(INDEX(Assessments!$H$2:$H$600,MATCH($H181&amp;"|"&amp;$I181&amp;"|"&amp;$J181&amp;"|"&amp;8,Assessments!$A$2:$A$600,0)),"")</f>
        <v/>
      </c>
      <c r="CC181" s="28" t="str">
        <f aca="false">IFERROR(INDEX(Assessments!$H$2:$H$600,MATCH($H181&amp;"|"&amp;$I181&amp;"|"&amp;$J181&amp;"|"&amp;9,Assessments!$A$2:$A$600,0)),"")</f>
        <v/>
      </c>
      <c r="CD181" s="28" t="str">
        <f aca="false">IFERROR(INDEX(Assessments!$H$2:$H$600,MATCH($H181&amp;"|"&amp;$I181&amp;"|"&amp;$J181&amp;"|"&amp;10,Assessments!$A$2:$A$600,0)),"")</f>
        <v/>
      </c>
      <c r="CE181" s="28" t="str">
        <f aca="false">IFERROR(INDEX(Assessments!$H$2:$H$600,MATCH($H181&amp;"|"&amp;$I181&amp;"|"&amp;$J181&amp;"|"&amp;11,Assessments!$A$2:$A$600,0)),"")</f>
        <v/>
      </c>
      <c r="CF181" s="28" t="str">
        <f aca="false">IFERROR(INDEX(Assessments!$H$2:$H$600,MATCH($H181&amp;"|"&amp;$I181&amp;"|"&amp;$J181&amp;"|"&amp;12,Assessments!$A$2:$A$600,0)),"")</f>
        <v/>
      </c>
      <c r="CG181" s="28" t="str">
        <f aca="false">IFERROR(INDEX(Assessments!$H$2:$H$600,MATCH($H181&amp;"|"&amp;$I181&amp;"|"&amp;$J181&amp;"|"&amp;13,Assessments!$A$2:$A$600,0)),"")</f>
        <v/>
      </c>
      <c r="CH181" s="28" t="str">
        <f aca="false">IFERROR(INDEX(Assessments!$H$2:$H$600,MATCH($H181&amp;"|"&amp;$I181&amp;"|"&amp;$J181&amp;"|"&amp;14,Assessments!$A$2:$A$600,0)),"")</f>
        <v/>
      </c>
      <c r="CI181" s="28" t="str">
        <f aca="false">IFERROR(INDEX(Assessments!$I$2:$I$600,MATCH($H181&amp;"|"&amp;$I181&amp;"|"&amp;$J181&amp;"|"&amp;1,Assessments!$A$2:$A$600,0)),"")</f>
        <v>BM Test</v>
      </c>
      <c r="CJ181" s="28" t="str">
        <f aca="false">IFERROR(INDEX(Assessments!$I$2:$I$600,MATCH($H181&amp;"|"&amp;$I181&amp;"|"&amp;$J181&amp;"|"&amp;2,Assessments!$A$2:$A$600,0)),"")</f>
        <v>BM Test</v>
      </c>
      <c r="CK181" s="28" t="str">
        <f aca="false">IFERROR(INDEX(Assessments!$I$2:$I$600,MATCH($H181&amp;"|"&amp;$I181&amp;"|"&amp;$J181&amp;"|"&amp;3,Assessments!$A$2:$A$600,0)),"")</f>
        <v>BM Test</v>
      </c>
      <c r="CL181" s="28" t="str">
        <f aca="false">IFERROR(INDEX(Assessments!$I$2:$I$600,MATCH($H181&amp;"|"&amp;$I181&amp;"|"&amp;$J181&amp;"|"&amp;4,Assessments!$A$2:$A$600,0)),"")</f>
        <v>BM Exam</v>
      </c>
      <c r="CM181" s="28" t="str">
        <f aca="false">IFERROR(INDEX(Assessments!$I$2:$I$600,MATCH($H181&amp;"|"&amp;$I181&amp;"|"&amp;$J181&amp;"|"&amp;5,Assessments!$A$2:$A$600,0)),"")</f>
        <v>BM Test</v>
      </c>
      <c r="CN181" s="28" t="str">
        <f aca="false">IFERROR(INDEX(Assessments!$I$2:$I$600,MATCH($H181&amp;"|"&amp;$I181&amp;"|"&amp;$J181&amp;"|"&amp;6,Assessments!$A$2:$A$600,0)),"")</f>
        <v>BM Test</v>
      </c>
      <c r="CO181" s="28" t="str">
        <f aca="false">IFERROR(INDEX(Assessments!$I$2:$I$600,MATCH($H181&amp;"|"&amp;$I181&amp;"|"&amp;$J181&amp;"|"&amp;7,Assessments!$A$2:$A$600,0)),"")</f>
        <v>BM Exam</v>
      </c>
      <c r="CP181" s="28" t="str">
        <f aca="false">IFERROR(INDEX(Assessments!$I$2:$I$600,MATCH($H181&amp;"|"&amp;$I181&amp;"|"&amp;$J181&amp;"|"&amp;8,Assessments!$A$2:$A$600,0)),"")</f>
        <v/>
      </c>
      <c r="CQ181" s="28" t="str">
        <f aca="false">IFERROR(INDEX(Assessments!$I$2:$I$600,MATCH($H181&amp;"|"&amp;$I181&amp;"|"&amp;$J181&amp;"|"&amp;9,Assessments!$A$2:$A$600,0)),"")</f>
        <v/>
      </c>
      <c r="CR181" s="28" t="str">
        <f aca="false">IFERROR(INDEX(Assessments!$I$2:$I$600,MATCH($H181&amp;"|"&amp;$I181&amp;"|"&amp;$J181&amp;"|"&amp;10,Assessments!$A$2:$A$600,0)),"")</f>
        <v/>
      </c>
      <c r="CS181" s="28" t="str">
        <f aca="false">IFERROR(INDEX(Assessments!$I$2:$I$600,MATCH($H181&amp;"|"&amp;$I181&amp;"|"&amp;$J181&amp;"|"&amp;11,Assessments!$A$2:$A$600,0)),"")</f>
        <v/>
      </c>
      <c r="CT181" s="28" t="str">
        <f aca="false">IFERROR(INDEX(Assessments!$I$2:$I$600,MATCH($H181&amp;"|"&amp;$I181&amp;"|"&amp;$J181&amp;"|"&amp;12,Assessments!$A$2:$A$600,0)),"")</f>
        <v/>
      </c>
      <c r="CU181" s="28" t="str">
        <f aca="false">IFERROR(INDEX(Assessments!$I$2:$I$600,MATCH($H181&amp;"|"&amp;$I181&amp;"|"&amp;$J181&amp;"|"&amp;13,Assessments!$A$2:$A$600,0)),"")</f>
        <v/>
      </c>
      <c r="CV181" s="28" t="str">
        <f aca="false">IFERROR(INDEX(Assessments!$I$2:$I$600,MATCH($H181&amp;"|"&amp;$I181&amp;"|"&amp;$J181&amp;"|"&amp;14,Assessments!$A$2:$A$600,0)),"")</f>
        <v/>
      </c>
      <c r="CW181" s="28" t="n">
        <f aca="false">IFERROR(INDEX(Assessments!$J$2:$J$600,MATCH($H181&amp;"|"&amp;$I181&amp;"|"&amp;$J181&amp;"|"&amp;1,Assessments!$A$2:$A$600,0)),0)</f>
        <v>1</v>
      </c>
      <c r="CX181" s="28" t="n">
        <f aca="false">IFERROR(INDEX(Assessments!$J$2:$J$600,MATCH($H181&amp;"|"&amp;$I181&amp;"|"&amp;$J181&amp;"|"&amp;2,Assessments!$A$2:$A$600,0)),0)</f>
        <v>1</v>
      </c>
      <c r="CY181" s="28" t="n">
        <f aca="false">IFERROR(INDEX(Assessments!$J$2:$J$600,MATCH($H181&amp;"|"&amp;$I181&amp;"|"&amp;$J181&amp;"|"&amp;3,Assessments!$A$2:$A$600,0)),0)</f>
        <v>1</v>
      </c>
      <c r="CZ181" s="28" t="n">
        <f aca="false">IFERROR(INDEX(Assessments!$J$2:$J$600,MATCH($H181&amp;"|"&amp;$I181&amp;"|"&amp;$J181&amp;"|"&amp;4,Assessments!$A$2:$A$600,0)),0)</f>
        <v>2</v>
      </c>
      <c r="DA181" s="28" t="n">
        <f aca="false">IFERROR(INDEX(Assessments!$J$2:$J$600,MATCH($H181&amp;"|"&amp;$I181&amp;"|"&amp;$J181&amp;"|"&amp;5,Assessments!$A$2:$A$600,0)),0)</f>
        <v>1</v>
      </c>
      <c r="DB181" s="28" t="n">
        <f aca="false">IFERROR(INDEX(Assessments!$J$2:$J$600,MATCH($H181&amp;"|"&amp;$I181&amp;"|"&amp;$J181&amp;"|"&amp;6,Assessments!$A$2:$A$600,0)),0)</f>
        <v>1</v>
      </c>
      <c r="DC181" s="28" t="n">
        <f aca="false">IFERROR(INDEX(Assessments!$J$2:$J$600,MATCH($H181&amp;"|"&amp;$I181&amp;"|"&amp;$J181&amp;"|"&amp;7,Assessments!$A$2:$A$600,0)),0)</f>
        <v>2</v>
      </c>
      <c r="DD181" s="28" t="n">
        <f aca="false">IFERROR(INDEX(Assessments!$J$2:$J$600,MATCH($H181&amp;"|"&amp;$I181&amp;"|"&amp;$J181&amp;"|"&amp;8,Assessments!$A$2:$A$600,0)),0)</f>
        <v>0</v>
      </c>
      <c r="DE181" s="28" t="n">
        <f aca="false">IFERROR(INDEX(Assessments!$J$2:$J$600,MATCH($H181&amp;"|"&amp;$I181&amp;"|"&amp;$J181&amp;"|"&amp;9,Assessments!$A$2:$A$600,0)),0)</f>
        <v>0</v>
      </c>
      <c r="DF181" s="28" t="n">
        <f aca="false">IFERROR(INDEX(Assessments!$J$2:$J$600,MATCH($H181&amp;"|"&amp;$I181&amp;"|"&amp;$J181&amp;"|"&amp;10,Assessments!$A$2:$A$600,0)),0)</f>
        <v>0</v>
      </c>
      <c r="DG181" s="28" t="n">
        <f aca="false">IFERROR(INDEX(Assessments!$J$2:$J$600,MATCH($H181&amp;"|"&amp;$I181&amp;"|"&amp;$J181&amp;"|"&amp;11,Assessments!$A$2:$A$600,0)),0)</f>
        <v>0</v>
      </c>
      <c r="DH181" s="28" t="n">
        <f aca="false">IFERROR(INDEX(Assessments!$J$2:$J$600,MATCH($H181&amp;"|"&amp;$I181&amp;"|"&amp;$J181&amp;"|"&amp;12,Assessments!$A$2:$A$600,0)),0)</f>
        <v>0</v>
      </c>
      <c r="DI181" s="28" t="n">
        <f aca="false">IFERROR(INDEX(Assessments!$J$2:$J$600,MATCH($H181&amp;"|"&amp;$I181&amp;"|"&amp;$J181&amp;"|"&amp;13,Assessments!$A$2:$A$600,0)),0)</f>
        <v>0</v>
      </c>
      <c r="DJ181" s="28" t="n">
        <f aca="false">IFERROR(INDEX(Assessments!$J$2:$J$600,MATCH($H181&amp;"|"&amp;$I181&amp;"|"&amp;$J181&amp;"|"&amp;14,Assessments!$A$2:$A$600,0)),0)</f>
        <v>0</v>
      </c>
      <c r="DK181" s="28" t="n">
        <f aca="false">S181</f>
        <v>5</v>
      </c>
      <c r="DL181" s="28" t="n">
        <f aca="false">W181</f>
        <v>7</v>
      </c>
      <c r="DM181" s="28" t="n">
        <f aca="false">AA181</f>
        <v>5</v>
      </c>
      <c r="DN181" s="28" t="str">
        <f aca="false">AE181</f>
        <v/>
      </c>
      <c r="DO181" s="28" t="str">
        <f aca="false">AI181</f>
        <v/>
      </c>
      <c r="DP181" s="28" t="str">
        <f aca="false">AM181</f>
        <v/>
      </c>
      <c r="DQ181" s="28" t="str">
        <f aca="false">AQ181</f>
        <v/>
      </c>
      <c r="DR181" s="28" t="str">
        <f aca="false">AU181</f>
        <v/>
      </c>
      <c r="DS181" s="28" t="str">
        <f aca="false">AY181</f>
        <v/>
      </c>
      <c r="DT181" s="28" t="str">
        <f aca="false">BC181</f>
        <v/>
      </c>
      <c r="DU181" s="28" t="str">
        <f aca="false">BG181</f>
        <v/>
      </c>
      <c r="DV181" s="28" t="str">
        <f aca="false">BK181</f>
        <v/>
      </c>
      <c r="DW181" s="28" t="str">
        <f aca="false">BO181</f>
        <v/>
      </c>
      <c r="DX181" s="28" t="str">
        <f aca="false">BS181</f>
        <v/>
      </c>
      <c r="DY181" s="28" t="n">
        <f aca="false">IF(ISNUMBER(S181),1,"")</f>
        <v>1</v>
      </c>
      <c r="DZ181" s="28" t="n">
        <f aca="false">IF(ISNUMBER(W181),2,"")</f>
        <v>2</v>
      </c>
      <c r="EA181" s="28" t="n">
        <f aca="false">IF(ISNUMBER(AA181),3,"")</f>
        <v>3</v>
      </c>
      <c r="EB181" s="28" t="str">
        <f aca="false">IF(ISNUMBER(AE181),4,"")</f>
        <v/>
      </c>
      <c r="EC181" s="28" t="str">
        <f aca="false">IF(ISNUMBER(AI181),5,"")</f>
        <v/>
      </c>
      <c r="ED181" s="28" t="str">
        <f aca="false">IF(ISNUMBER(AM181),6,"")</f>
        <v/>
      </c>
      <c r="EE181" s="28" t="str">
        <f aca="false">IF(ISNUMBER(AQ181),7,"")</f>
        <v/>
      </c>
      <c r="EF181" s="28" t="str">
        <f aca="false">IF(ISNUMBER(AU181),8,"")</f>
        <v/>
      </c>
      <c r="EG181" s="28" t="str">
        <f aca="false">IF(ISNUMBER(AY181),9,"")</f>
        <v/>
      </c>
      <c r="EH181" s="28" t="str">
        <f aca="false">IF(ISNUMBER(BC181),10,"")</f>
        <v/>
      </c>
      <c r="EI181" s="28" t="str">
        <f aca="false">IF(ISNUMBER(BG181),11,"")</f>
        <v/>
      </c>
      <c r="EJ181" s="28" t="str">
        <f aca="false">IF(ISNUMBER(BK181),12,"")</f>
        <v/>
      </c>
      <c r="EK181" s="28" t="str">
        <f aca="false">IF(ISNUMBER(BO181),13,"")</f>
        <v/>
      </c>
      <c r="EL181" s="28" t="str">
        <f aca="false">IF(ISNUMBER(BS181),14,"")</f>
        <v/>
      </c>
      <c r="EM181" s="28" t="n">
        <f aca="false">IF(ISNUMBER(R181),R181*CW181,0)</f>
        <v>54.1666666666667</v>
      </c>
      <c r="EN181" s="28" t="n">
        <f aca="false">IF(ISNUMBER(V181),V181*CX181,0)</f>
        <v>85</v>
      </c>
      <c r="EO181" s="28" t="n">
        <f aca="false">IF(ISNUMBER(Z181),Z181*CY181,0)</f>
        <v>62.5</v>
      </c>
      <c r="EP181" s="28" t="n">
        <f aca="false">IF(ISNUMBER(AD181),AD181*CZ181,0)</f>
        <v>0</v>
      </c>
      <c r="EQ181" s="28" t="n">
        <f aca="false">IF(ISNUMBER(AH181),AH181*DA181,0)</f>
        <v>0</v>
      </c>
      <c r="ER181" s="28" t="n">
        <f aca="false">IF(ISNUMBER(AL181),AL181*DB181,0)</f>
        <v>0</v>
      </c>
      <c r="ES181" s="28" t="n">
        <f aca="false">IF(ISNUMBER(AP181),AP181*DC181,0)</f>
        <v>0</v>
      </c>
      <c r="ET181" s="28" t="n">
        <f aca="false">IF(ISNUMBER(AT181),AT181*DD181,0)</f>
        <v>0</v>
      </c>
      <c r="EU181" s="28" t="n">
        <f aca="false">IF(ISNUMBER(AX181),AX181*DE181,0)</f>
        <v>0</v>
      </c>
      <c r="EV181" s="28" t="n">
        <f aca="false">IF(ISNUMBER(BB181),BB181*DF181,0)</f>
        <v>0</v>
      </c>
      <c r="EW181" s="28" t="n">
        <f aca="false">IF(ISNUMBER(BF181),BF181*DG181,0)</f>
        <v>0</v>
      </c>
      <c r="EX181" s="28" t="n">
        <f aca="false">IF(ISNUMBER(BJ181),BJ181*DH181,0)</f>
        <v>0</v>
      </c>
      <c r="EY181" s="28" t="n">
        <f aca="false">IF(ISNUMBER(BN181),BN181*DI181,0)</f>
        <v>0</v>
      </c>
      <c r="EZ181" s="28" t="n">
        <f aca="false">IF(ISNUMBER(BR181),BR181*DJ181,0)</f>
        <v>0</v>
      </c>
      <c r="FA181" s="28" t="n">
        <f aca="false">IF(ISNUMBER(R181),CW181,0)</f>
        <v>1</v>
      </c>
      <c r="FB181" s="28" t="n">
        <f aca="false">IF(ISNUMBER(V181),CX181,0)</f>
        <v>1</v>
      </c>
      <c r="FC181" s="28" t="n">
        <f aca="false">IF(ISNUMBER(Z181),CY181,0)</f>
        <v>1</v>
      </c>
      <c r="FD181" s="28" t="n">
        <f aca="false">IF(ISNUMBER(AD181),CZ181,0)</f>
        <v>0</v>
      </c>
      <c r="FE181" s="28" t="n">
        <f aca="false">IF(ISNUMBER(AH181),DA181,0)</f>
        <v>0</v>
      </c>
      <c r="FF181" s="28" t="n">
        <f aca="false">IF(ISNUMBER(AL181),DB181,0)</f>
        <v>0</v>
      </c>
      <c r="FG181" s="28" t="n">
        <f aca="false">IF(ISNUMBER(AP181),DC181,0)</f>
        <v>0</v>
      </c>
      <c r="FH181" s="28" t="n">
        <f aca="false">IF(ISNUMBER(AT181),DD181,0)</f>
        <v>0</v>
      </c>
      <c r="FI181" s="28" t="n">
        <f aca="false">IF(ISNUMBER(AX181),DE181,0)</f>
        <v>0</v>
      </c>
      <c r="FJ181" s="28" t="n">
        <f aca="false">IF(ISNUMBER(BB181),DF181,0)</f>
        <v>0</v>
      </c>
      <c r="FK181" s="28" t="n">
        <f aca="false">IF(ISNUMBER(BF181),DG181,0)</f>
        <v>0</v>
      </c>
      <c r="FL181" s="28" t="n">
        <f aca="false">IF(ISNUMBER(BJ181),DH181,0)</f>
        <v>0</v>
      </c>
      <c r="FM181" s="28" t="n">
        <f aca="false">IF(ISNUMBER(BN181),DI181,0)</f>
        <v>0</v>
      </c>
      <c r="FN181" s="28" t="n">
        <f aca="false">IF(ISNUMBER(BR181),DJ181,0)</f>
        <v>0</v>
      </c>
      <c r="FO181" s="28" t="str">
        <f aca="false">IFERROR(INDEX(Lists!$G$2:$G$20,MATCH($I181&amp;"|"&amp;$J181,Lists!$F$2:$F$20,0)),"")</f>
        <v>BM Exam</v>
      </c>
    </row>
    <row r="182" customFormat="false" ht="19.5" hidden="false" customHeight="true" outlineLevel="0" collapsed="false">
      <c r="A182" s="29" t="s">
        <v>299</v>
      </c>
      <c r="B182" s="29" t="s">
        <v>300</v>
      </c>
      <c r="C182" s="30" t="s">
        <v>152</v>
      </c>
      <c r="D182" s="30" t="s">
        <v>415</v>
      </c>
      <c r="E182" s="31" t="n">
        <v>6.8</v>
      </c>
      <c r="F182" s="30" t="n">
        <v>7</v>
      </c>
      <c r="G182" s="30"/>
      <c r="H182" s="32" t="s">
        <v>23</v>
      </c>
      <c r="I182" s="33" t="s">
        <v>416</v>
      </c>
      <c r="J182" s="32" t="s">
        <v>25</v>
      </c>
      <c r="K182" s="34" t="n">
        <f aca="false">IF(OR(M182="",$E182=""),"",M182-$E182)</f>
        <v>0.2</v>
      </c>
      <c r="L182" s="35" t="n">
        <f aca="false">IF(SUM(FA182:FN182)=0,"",SUM(EM182:EZ182)/SUM(FA182:FN182))</f>
        <v>78.2948717948718</v>
      </c>
      <c r="M182" s="36" t="n">
        <f aca="false">IF(OR(L182="",FO182=""),"",IFERROR(MATCH(L182,INDEX(Boundaries!$B$2:$I$30,MATCH(FO182,Boundaries!$A$2:$A$30,0),0),1)-1,""))</f>
        <v>7</v>
      </c>
      <c r="N182" s="37" t="n">
        <f aca="false">IF(COUNT($DY182:$EL182)&lt;2,"",INDEX($DK182:$DX182,MAX($DY182:$EL182))-INDEX($DK182:$DX182,MIN($DY182:$EL182)))</f>
        <v>1</v>
      </c>
      <c r="O182" s="37" t="n">
        <f aca="false">IF(COUNT($DY182:$EL182)&lt;2,"",INDEX($DK182:$DX182,MAX($DY182:$EL182))-INDEX($DK182:$DX182,LARGE($DY182:$EL182,2)))</f>
        <v>0</v>
      </c>
      <c r="P182" s="38" t="str">
        <f aca="false">IF(K182="","",IF(K182&gt;=0,"On/above target",IF(AND(N182&lt;&gt;"",N182&gt;=0.5),"Improving towards target",IF(AND(O182&lt;&gt;"",O182&lt;=-0.5),"Declining","Stable below target"))))</f>
        <v>On/above target</v>
      </c>
      <c r="Q182" s="39" t="n">
        <v>18</v>
      </c>
      <c r="R182" s="40" t="n">
        <f aca="false">IF(OR(Q182="",BU182=""),"",Q182/BU182*100)</f>
        <v>75</v>
      </c>
      <c r="S182" s="41" t="n">
        <f aca="false">IF(R182="","",IFERROR(MATCH(R182,INDEX(Boundaries!$B$2:$I$30,MATCH(CI182,Boundaries!$A$2:$A$30,0),0),1)-1,""))</f>
        <v>6</v>
      </c>
      <c r="T182" s="42" t="n">
        <f aca="false">IF(OR(S182="",$E182=""),"",S182-$E182)</f>
        <v>-0.8</v>
      </c>
      <c r="U182" s="39" t="n">
        <v>11</v>
      </c>
      <c r="V182" s="40" t="n">
        <f aca="false">IF(OR(U182="",BV182=""),"",U182/BV182*100)</f>
        <v>73.3333333333333</v>
      </c>
      <c r="W182" s="41" t="n">
        <f aca="false">IF(V182="","",IFERROR(MATCH(V182,INDEX(Boundaries!$B$2:$I$30,MATCH(CJ182,Boundaries!$A$2:$A$30,0),0),1)-1,""))</f>
        <v>6</v>
      </c>
      <c r="X182" s="42" t="n">
        <f aca="false">IF(OR(W182="",$E182=""),"",W182-$E182)</f>
        <v>-0.8</v>
      </c>
      <c r="Y182" s="39" t="n">
        <v>18</v>
      </c>
      <c r="Z182" s="40" t="n">
        <f aca="false">IF(OR(Y182="",BW182=""),"",Y182/BW182*100)</f>
        <v>75</v>
      </c>
      <c r="AA182" s="41" t="n">
        <f aca="false">IF(Z182="","",IFERROR(MATCH(Z182,INDEX(Boundaries!$B$2:$I$30,MATCH(CK182,Boundaries!$A$2:$A$30,0),0),1)-1,""))</f>
        <v>6</v>
      </c>
      <c r="AB182" s="42" t="n">
        <f aca="false">IF(OR(AA182="",$E182=""),"",AA182-$E182)</f>
        <v>-0.8</v>
      </c>
      <c r="AC182" s="39" t="n">
        <v>12</v>
      </c>
      <c r="AD182" s="40" t="n">
        <f aca="false">IF(OR(AC182="",BX182=""),"",AC182/BX182*100)</f>
        <v>80</v>
      </c>
      <c r="AE182" s="41" t="n">
        <f aca="false">IF(AD182="","",IFERROR(MATCH(AD182,INDEX(Boundaries!$B$2:$I$30,MATCH(CL182,Boundaries!$A$2:$A$30,0),0),1)-1,""))</f>
        <v>6</v>
      </c>
      <c r="AF182" s="42" t="n">
        <f aca="false">IF(OR(AE182="",$E182=""),"",AE182-$E182)</f>
        <v>-0.8</v>
      </c>
      <c r="AG182" s="39" t="n">
        <v>12</v>
      </c>
      <c r="AH182" s="40" t="n">
        <f aca="false">IF(OR(AG182="",BY182=""),"",AG182/BY182*100)</f>
        <v>80</v>
      </c>
      <c r="AI182" s="41" t="n">
        <f aca="false">IF(AH182="","",IFERROR(MATCH(AH182,INDEX(Boundaries!$B$2:$I$30,MATCH(CM182,Boundaries!$A$2:$A$30,0),0),1)-1,""))</f>
        <v>7</v>
      </c>
      <c r="AJ182" s="42" t="n">
        <f aca="false">IF(OR(AI182="",$E182=""),"",AI182-$E182)</f>
        <v>0.2</v>
      </c>
      <c r="AK182" s="39" t="n">
        <v>20</v>
      </c>
      <c r="AL182" s="40" t="n">
        <f aca="false">IF(OR(AK182="",BZ182=""),"",AK182/BZ182*100)</f>
        <v>83.3333333333333</v>
      </c>
      <c r="AM182" s="41" t="n">
        <f aca="false">IF(AL182="","",IFERROR(MATCH(AL182,INDEX(Boundaries!$B$2:$I$30,MATCH(CN182,Boundaries!$A$2:$A$30,0),0),1)-1,""))</f>
        <v>7</v>
      </c>
      <c r="AN182" s="42" t="n">
        <f aca="false">IF(OR(AM182="",$E182=""),"",AM182-$E182)</f>
        <v>0.2</v>
      </c>
      <c r="AO182" s="39" t="n">
        <v>20</v>
      </c>
      <c r="AP182" s="40" t="n">
        <f aca="false">IF(OR(AO182="",CA182=""),"",AO182/CA182*100)</f>
        <v>66.6666666666667</v>
      </c>
      <c r="AQ182" s="41" t="n">
        <f aca="false">IF(AP182="","",IFERROR(MATCH(AP182,INDEX(Boundaries!$B$2:$I$30,MATCH(CO182,Boundaries!$A$2:$A$30,0),0),1)-1,""))</f>
        <v>6</v>
      </c>
      <c r="AR182" s="42" t="n">
        <f aca="false">IF(OR(AQ182="",$E182=""),"",AQ182-$E182)</f>
        <v>-0.8</v>
      </c>
      <c r="AS182" s="39" t="n">
        <v>12</v>
      </c>
      <c r="AT182" s="40" t="n">
        <f aca="false">IF(OR(AS182="",CB182=""),"",AS182/CB182*100)</f>
        <v>80</v>
      </c>
      <c r="AU182" s="41" t="n">
        <f aca="false">IF(AT182="","",IFERROR(MATCH(AT182,INDEX(Boundaries!$B$2:$I$30,MATCH(CP182,Boundaries!$A$2:$A$30,0),0),1)-1,""))</f>
        <v>7</v>
      </c>
      <c r="AV182" s="42" t="n">
        <f aca="false">IF(OR(AU182="",$E182=""),"",AU182-$E182)</f>
        <v>0.2</v>
      </c>
      <c r="AW182" s="39" t="n">
        <v>21</v>
      </c>
      <c r="AX182" s="40" t="n">
        <f aca="false">IF(OR(AW182="",CC182=""),"",AW182/CC182*100)</f>
        <v>87.5</v>
      </c>
      <c r="AY182" s="41" t="n">
        <f aca="false">IF(AX182="","",IFERROR(MATCH(AX182,INDEX(Boundaries!$B$2:$I$30,MATCH(CQ182,Boundaries!$A$2:$A$30,0),0),1)-1,""))</f>
        <v>7</v>
      </c>
      <c r="AZ182" s="42" t="n">
        <f aca="false">IF(OR(AY182="",$E182=""),"",AY182-$E182)</f>
        <v>0.2</v>
      </c>
      <c r="BA182" s="39"/>
      <c r="BB182" s="40" t="str">
        <f aca="false">IF(OR(BA182="",CD182=""),"",BA182/CD182*100)</f>
        <v/>
      </c>
      <c r="BC182" s="41" t="str">
        <f aca="false">IF(BB182="","",IFERROR(MATCH(BB182,INDEX(Boundaries!$B$2:$I$30,MATCH(CR182,Boundaries!$A$2:$A$30,0),0),1)-1,""))</f>
        <v/>
      </c>
      <c r="BD182" s="42" t="str">
        <f aca="false">IF(OR(BC182="",$E182=""),"",BC182-$E182)</f>
        <v/>
      </c>
      <c r="BE182" s="39"/>
      <c r="BF182" s="40" t="str">
        <f aca="false">IF(OR(BE182="",CE182=""),"",BE182/CE182*100)</f>
        <v/>
      </c>
      <c r="BG182" s="41" t="str">
        <f aca="false">IF(BF182="","",IFERROR(MATCH(BF182,INDEX(Boundaries!$B$2:$I$30,MATCH(CS182,Boundaries!$A$2:$A$30,0),0),1)-1,""))</f>
        <v/>
      </c>
      <c r="BH182" s="42" t="str">
        <f aca="false">IF(OR(BG182="",$E182=""),"",BG182-$E182)</f>
        <v/>
      </c>
      <c r="BI182" s="39" t="n">
        <v>87</v>
      </c>
      <c r="BJ182" s="40" t="n">
        <f aca="false">IF(OR(BI182="",CF182=""),"",BI182/CF182*100)</f>
        <v>87</v>
      </c>
      <c r="BK182" s="41" t="n">
        <f aca="false">IF(BJ182="","",IFERROR(MATCH(BJ182,INDEX(Boundaries!$B$2:$I$30,MATCH(CT182,Boundaries!$A$2:$A$30,0),0),1)-1,""))</f>
        <v>7</v>
      </c>
      <c r="BL182" s="42" t="n">
        <f aca="false">IF(OR(BK182="",$E182=""),"",BK182-$E182)</f>
        <v>0.2</v>
      </c>
      <c r="BM182" s="39"/>
      <c r="BN182" s="40" t="str">
        <f aca="false">IF(OR(BM182="",CG182=""),"",BM182/CG182*100)</f>
        <v/>
      </c>
      <c r="BO182" s="41" t="str">
        <f aca="false">IF(BN182="","",IFERROR(MATCH(BN182,INDEX(Boundaries!$B$2:$I$30,MATCH(CU182,Boundaries!$A$2:$A$30,0),0),1)-1,""))</f>
        <v/>
      </c>
      <c r="BP182" s="42" t="str">
        <f aca="false">IF(OR(BO182="",$E182=""),"",BO182-$E182)</f>
        <v/>
      </c>
      <c r="BQ182" s="39"/>
      <c r="BR182" s="40" t="str">
        <f aca="false">IF(OR(BQ182="",CH182=""),"",BQ182/CH182*100)</f>
        <v/>
      </c>
      <c r="BS182" s="41" t="str">
        <f aca="false">IF(BR182="","",IFERROR(MATCH(BR182,INDEX(Boundaries!$B$2:$I$30,MATCH(CV182,Boundaries!$A$2:$A$30,0),0),1)-1,""))</f>
        <v/>
      </c>
      <c r="BT182" s="42" t="str">
        <f aca="false">IF(OR(BS182="",$E182=""),"",BS182-$E182)</f>
        <v/>
      </c>
      <c r="BU182" s="28" t="n">
        <f aca="false">IFERROR(INDEX(Assessments!$H$2:$H$600,MATCH($H182&amp;"|"&amp;$I182&amp;"|"&amp;$J182&amp;"|"&amp;1,Assessments!$A$2:$A$600,0)),"")</f>
        <v>24</v>
      </c>
      <c r="BV182" s="28" t="n">
        <f aca="false">IFERROR(INDEX(Assessments!$H$2:$H$600,MATCH($H182&amp;"|"&amp;$I182&amp;"|"&amp;$J182&amp;"|"&amp;2,Assessments!$A$2:$A$600,0)),"")</f>
        <v>15</v>
      </c>
      <c r="BW182" s="28" t="n">
        <f aca="false">IFERROR(INDEX(Assessments!$H$2:$H$600,MATCH($H182&amp;"|"&amp;$I182&amp;"|"&amp;$J182&amp;"|"&amp;3,Assessments!$A$2:$A$600,0)),"")</f>
        <v>24</v>
      </c>
      <c r="BX182" s="28" t="n">
        <f aca="false">IFERROR(INDEX(Assessments!$H$2:$H$600,MATCH($H182&amp;"|"&amp;$I182&amp;"|"&amp;$J182&amp;"|"&amp;4,Assessments!$A$2:$A$600,0)),"")</f>
        <v>15</v>
      </c>
      <c r="BY182" s="28" t="n">
        <f aca="false">IFERROR(INDEX(Assessments!$H$2:$H$600,MATCH($H182&amp;"|"&amp;$I182&amp;"|"&amp;$J182&amp;"|"&amp;5,Assessments!$A$2:$A$600,0)),"")</f>
        <v>15</v>
      </c>
      <c r="BZ182" s="28" t="n">
        <f aca="false">IFERROR(INDEX(Assessments!$H$2:$H$600,MATCH($H182&amp;"|"&amp;$I182&amp;"|"&amp;$J182&amp;"|"&amp;6,Assessments!$A$2:$A$600,0)),"")</f>
        <v>24</v>
      </c>
      <c r="CA182" s="28" t="n">
        <f aca="false">IFERROR(INDEX(Assessments!$H$2:$H$600,MATCH($H182&amp;"|"&amp;$I182&amp;"|"&amp;$J182&amp;"|"&amp;7,Assessments!$A$2:$A$600,0)),"")</f>
        <v>30</v>
      </c>
      <c r="CB182" s="28" t="n">
        <f aca="false">IFERROR(INDEX(Assessments!$H$2:$H$600,MATCH($H182&amp;"|"&amp;$I182&amp;"|"&amp;$J182&amp;"|"&amp;8,Assessments!$A$2:$A$600,0)),"")</f>
        <v>15</v>
      </c>
      <c r="CC182" s="28" t="n">
        <f aca="false">IFERROR(INDEX(Assessments!$H$2:$H$600,MATCH($H182&amp;"|"&amp;$I182&amp;"|"&amp;$J182&amp;"|"&amp;9,Assessments!$A$2:$A$600,0)),"")</f>
        <v>24</v>
      </c>
      <c r="CD182" s="28" t="n">
        <f aca="false">IFERROR(INDEX(Assessments!$H$2:$H$600,MATCH($H182&amp;"|"&amp;$I182&amp;"|"&amp;$J182&amp;"|"&amp;10,Assessments!$A$2:$A$600,0)),"")</f>
        <v>15</v>
      </c>
      <c r="CE182" s="28" t="n">
        <f aca="false">IFERROR(INDEX(Assessments!$H$2:$H$600,MATCH($H182&amp;"|"&amp;$I182&amp;"|"&amp;$J182&amp;"|"&amp;11,Assessments!$A$2:$A$600,0)),"")</f>
        <v>15</v>
      </c>
      <c r="CF182" s="28" t="n">
        <f aca="false">IFERROR(INDEX(Assessments!$H$2:$H$600,MATCH($H182&amp;"|"&amp;$I182&amp;"|"&amp;$J182&amp;"|"&amp;12,Assessments!$A$2:$A$600,0)),"")</f>
        <v>100</v>
      </c>
      <c r="CG182" s="28" t="n">
        <f aca="false">IFERROR(INDEX(Assessments!$H$2:$H$600,MATCH($H182&amp;"|"&amp;$I182&amp;"|"&amp;$J182&amp;"|"&amp;13,Assessments!$A$2:$A$600,0)),"")</f>
        <v>15</v>
      </c>
      <c r="CH182" s="28" t="str">
        <f aca="false">IFERROR(INDEX(Assessments!$H$2:$H$600,MATCH($H182&amp;"|"&amp;$I182&amp;"|"&amp;$J182&amp;"|"&amp;14,Assessments!$A$2:$A$600,0)),"")</f>
        <v/>
      </c>
      <c r="CI182" s="28" t="str">
        <f aca="false">IFERROR(INDEX(Assessments!$I$2:$I$600,MATCH($H182&amp;"|"&amp;$I182&amp;"|"&amp;$J182&amp;"|"&amp;1,Assessments!$A$2:$A$600,0)),"")</f>
        <v>Hist Paper 1</v>
      </c>
      <c r="CJ182" s="28" t="str">
        <f aca="false">IFERROR(INDEX(Assessments!$I$2:$I$600,MATCH($H182&amp;"|"&amp;$I182&amp;"|"&amp;$J182&amp;"|"&amp;2,Assessments!$A$2:$A$600,0)),"")</f>
        <v>Hist P3 essay</v>
      </c>
      <c r="CK182" s="28" t="str">
        <f aca="false">IFERROR(INDEX(Assessments!$I$2:$I$600,MATCH($H182&amp;"|"&amp;$I182&amp;"|"&amp;$J182&amp;"|"&amp;3,Assessments!$A$2:$A$600,0)),"")</f>
        <v>Hist Paper 1</v>
      </c>
      <c r="CL182" s="28" t="str">
        <f aca="false">IFERROR(INDEX(Assessments!$I$2:$I$600,MATCH($H182&amp;"|"&amp;$I182&amp;"|"&amp;$J182&amp;"|"&amp;4,Assessments!$A$2:$A$600,0)),"")</f>
        <v>Hist P2 partial</v>
      </c>
      <c r="CM182" s="28" t="str">
        <f aca="false">IFERROR(INDEX(Assessments!$I$2:$I$600,MATCH($H182&amp;"|"&amp;$I182&amp;"|"&amp;$J182&amp;"|"&amp;5,Assessments!$A$2:$A$600,0)),"")</f>
        <v>Hist P3 essay</v>
      </c>
      <c r="CN182" s="28" t="str">
        <f aca="false">IFERROR(INDEX(Assessments!$I$2:$I$600,MATCH($H182&amp;"|"&amp;$I182&amp;"|"&amp;$J182&amp;"|"&amp;6,Assessments!$A$2:$A$600,0)),"")</f>
        <v>Hist Paper 1</v>
      </c>
      <c r="CO182" s="28" t="str">
        <f aca="false">IFERROR(INDEX(Assessments!$I$2:$I$600,MATCH($H182&amp;"|"&amp;$I182&amp;"|"&amp;$J182&amp;"|"&amp;7,Assessments!$A$2:$A$600,0)),"")</f>
        <v>Hist P2 full</v>
      </c>
      <c r="CP182" s="28" t="str">
        <f aca="false">IFERROR(INDEX(Assessments!$I$2:$I$600,MATCH($H182&amp;"|"&amp;$I182&amp;"|"&amp;$J182&amp;"|"&amp;8,Assessments!$A$2:$A$600,0)),"")</f>
        <v>Hist P3 full</v>
      </c>
      <c r="CQ182" s="28" t="str">
        <f aca="false">IFERROR(INDEX(Assessments!$I$2:$I$600,MATCH($H182&amp;"|"&amp;$I182&amp;"|"&amp;$J182&amp;"|"&amp;9,Assessments!$A$2:$A$600,0)),"")</f>
        <v>Hist Paper 1</v>
      </c>
      <c r="CR182" s="28" t="str">
        <f aca="false">IFERROR(INDEX(Assessments!$I$2:$I$600,MATCH($H182&amp;"|"&amp;$I182&amp;"|"&amp;$J182&amp;"|"&amp;10,Assessments!$A$2:$A$600,0)),"")</f>
        <v>Hist P2 partial</v>
      </c>
      <c r="CS182" s="28" t="str">
        <f aca="false">IFERROR(INDEX(Assessments!$I$2:$I$600,MATCH($H182&amp;"|"&amp;$I182&amp;"|"&amp;$J182&amp;"|"&amp;11,Assessments!$A$2:$A$600,0)),"")</f>
        <v>Hist P3 essay</v>
      </c>
      <c r="CT182" s="28" t="str">
        <f aca="false">IFERROR(INDEX(Assessments!$I$2:$I$600,MATCH($H182&amp;"|"&amp;$I182&amp;"|"&amp;$J182&amp;"|"&amp;12,Assessments!$A$2:$A$600,0)),"")</f>
        <v>Hist P3 essay</v>
      </c>
      <c r="CU182" s="28" t="str">
        <f aca="false">IFERROR(INDEX(Assessments!$I$2:$I$600,MATCH($H182&amp;"|"&amp;$I182&amp;"|"&amp;$J182&amp;"|"&amp;13,Assessments!$A$2:$A$600,0)),"")</f>
        <v>Hist P3 essay</v>
      </c>
      <c r="CV182" s="28" t="str">
        <f aca="false">IFERROR(INDEX(Assessments!$I$2:$I$600,MATCH($H182&amp;"|"&amp;$I182&amp;"|"&amp;$J182&amp;"|"&amp;14,Assessments!$A$2:$A$600,0)),"")</f>
        <v/>
      </c>
      <c r="CW182" s="28" t="n">
        <f aca="false">IFERROR(INDEX(Assessments!$J$2:$J$600,MATCH($H182&amp;"|"&amp;$I182&amp;"|"&amp;$J182&amp;"|"&amp;1,Assessments!$A$2:$A$600,0)),0)</f>
        <v>1</v>
      </c>
      <c r="CX182" s="28" t="n">
        <f aca="false">IFERROR(INDEX(Assessments!$J$2:$J$600,MATCH($H182&amp;"|"&amp;$I182&amp;"|"&amp;$J182&amp;"|"&amp;2,Assessments!$A$2:$A$600,0)),0)</f>
        <v>1</v>
      </c>
      <c r="CY182" s="28" t="n">
        <f aca="false">IFERROR(INDEX(Assessments!$J$2:$J$600,MATCH($H182&amp;"|"&amp;$I182&amp;"|"&amp;$J182&amp;"|"&amp;3,Assessments!$A$2:$A$600,0)),0)</f>
        <v>1</v>
      </c>
      <c r="CZ182" s="28" t="n">
        <f aca="false">IFERROR(INDEX(Assessments!$J$2:$J$600,MATCH($H182&amp;"|"&amp;$I182&amp;"|"&amp;$J182&amp;"|"&amp;4,Assessments!$A$2:$A$600,0)),0)</f>
        <v>1</v>
      </c>
      <c r="DA182" s="28" t="n">
        <f aca="false">IFERROR(INDEX(Assessments!$J$2:$J$600,MATCH($H182&amp;"|"&amp;$I182&amp;"|"&amp;$J182&amp;"|"&amp;5,Assessments!$A$2:$A$600,0)),0)</f>
        <v>1</v>
      </c>
      <c r="DB182" s="28" t="n">
        <f aca="false">IFERROR(INDEX(Assessments!$J$2:$J$600,MATCH($H182&amp;"|"&amp;$I182&amp;"|"&amp;$J182&amp;"|"&amp;6,Assessments!$A$2:$A$600,0)),0)</f>
        <v>2</v>
      </c>
      <c r="DC182" s="28" t="n">
        <f aca="false">IFERROR(INDEX(Assessments!$J$2:$J$600,MATCH($H182&amp;"|"&amp;$I182&amp;"|"&amp;$J182&amp;"|"&amp;7,Assessments!$A$2:$A$600,0)),0)</f>
        <v>2</v>
      </c>
      <c r="DD182" s="28" t="n">
        <f aca="false">IFERROR(INDEX(Assessments!$J$2:$J$600,MATCH($H182&amp;"|"&amp;$I182&amp;"|"&amp;$J182&amp;"|"&amp;8,Assessments!$A$2:$A$600,0)),0)</f>
        <v>2</v>
      </c>
      <c r="DE182" s="28" t="n">
        <f aca="false">IFERROR(INDEX(Assessments!$J$2:$J$600,MATCH($H182&amp;"|"&amp;$I182&amp;"|"&amp;$J182&amp;"|"&amp;9,Assessments!$A$2:$A$600,0)),0)</f>
        <v>1</v>
      </c>
      <c r="DF182" s="28" t="n">
        <f aca="false">IFERROR(INDEX(Assessments!$J$2:$J$600,MATCH($H182&amp;"|"&amp;$I182&amp;"|"&amp;$J182&amp;"|"&amp;10,Assessments!$A$2:$A$600,0)),0)</f>
        <v>1</v>
      </c>
      <c r="DG182" s="28" t="n">
        <f aca="false">IFERROR(INDEX(Assessments!$J$2:$J$600,MATCH($H182&amp;"|"&amp;$I182&amp;"|"&amp;$J182&amp;"|"&amp;11,Assessments!$A$2:$A$600,0)),0)</f>
        <v>1</v>
      </c>
      <c r="DH182" s="28" t="n">
        <f aca="false">IFERROR(INDEX(Assessments!$J$2:$J$600,MATCH($H182&amp;"|"&amp;$I182&amp;"|"&amp;$J182&amp;"|"&amp;12,Assessments!$A$2:$A$600,0)),0)</f>
        <v>1</v>
      </c>
      <c r="DI182" s="28" t="n">
        <f aca="false">IFERROR(INDEX(Assessments!$J$2:$J$600,MATCH($H182&amp;"|"&amp;$I182&amp;"|"&amp;$J182&amp;"|"&amp;13,Assessments!$A$2:$A$600,0)),0)</f>
        <v>1</v>
      </c>
      <c r="DJ182" s="28" t="n">
        <f aca="false">IFERROR(INDEX(Assessments!$J$2:$J$600,MATCH($H182&amp;"|"&amp;$I182&amp;"|"&amp;$J182&amp;"|"&amp;14,Assessments!$A$2:$A$600,0)),0)</f>
        <v>0</v>
      </c>
      <c r="DK182" s="28" t="n">
        <f aca="false">S182</f>
        <v>6</v>
      </c>
      <c r="DL182" s="28" t="n">
        <f aca="false">W182</f>
        <v>6</v>
      </c>
      <c r="DM182" s="28" t="n">
        <f aca="false">AA182</f>
        <v>6</v>
      </c>
      <c r="DN182" s="28" t="n">
        <f aca="false">AE182</f>
        <v>6</v>
      </c>
      <c r="DO182" s="28" t="n">
        <f aca="false">AI182</f>
        <v>7</v>
      </c>
      <c r="DP182" s="28" t="n">
        <f aca="false">AM182</f>
        <v>7</v>
      </c>
      <c r="DQ182" s="28" t="n">
        <f aca="false">AQ182</f>
        <v>6</v>
      </c>
      <c r="DR182" s="28" t="n">
        <f aca="false">AU182</f>
        <v>7</v>
      </c>
      <c r="DS182" s="28" t="n">
        <f aca="false">AY182</f>
        <v>7</v>
      </c>
      <c r="DT182" s="28" t="str">
        <f aca="false">BC182</f>
        <v/>
      </c>
      <c r="DU182" s="28" t="str">
        <f aca="false">BG182</f>
        <v/>
      </c>
      <c r="DV182" s="28" t="n">
        <f aca="false">BK182</f>
        <v>7</v>
      </c>
      <c r="DW182" s="28" t="str">
        <f aca="false">BO182</f>
        <v/>
      </c>
      <c r="DX182" s="28" t="str">
        <f aca="false">BS182</f>
        <v/>
      </c>
      <c r="DY182" s="28" t="n">
        <f aca="false">IF(ISNUMBER(S182),1,"")</f>
        <v>1</v>
      </c>
      <c r="DZ182" s="28" t="n">
        <f aca="false">IF(ISNUMBER(W182),2,"")</f>
        <v>2</v>
      </c>
      <c r="EA182" s="28" t="n">
        <f aca="false">IF(ISNUMBER(AA182),3,"")</f>
        <v>3</v>
      </c>
      <c r="EB182" s="28" t="n">
        <f aca="false">IF(ISNUMBER(AE182),4,"")</f>
        <v>4</v>
      </c>
      <c r="EC182" s="28" t="n">
        <f aca="false">IF(ISNUMBER(AI182),5,"")</f>
        <v>5</v>
      </c>
      <c r="ED182" s="28" t="n">
        <f aca="false">IF(ISNUMBER(AM182),6,"")</f>
        <v>6</v>
      </c>
      <c r="EE182" s="28" t="n">
        <f aca="false">IF(ISNUMBER(AQ182),7,"")</f>
        <v>7</v>
      </c>
      <c r="EF182" s="28" t="n">
        <f aca="false">IF(ISNUMBER(AU182),8,"")</f>
        <v>8</v>
      </c>
      <c r="EG182" s="28" t="n">
        <f aca="false">IF(ISNUMBER(AY182),9,"")</f>
        <v>9</v>
      </c>
      <c r="EH182" s="28" t="str">
        <f aca="false">IF(ISNUMBER(BC182),10,"")</f>
        <v/>
      </c>
      <c r="EI182" s="28" t="str">
        <f aca="false">IF(ISNUMBER(BG182),11,"")</f>
        <v/>
      </c>
      <c r="EJ182" s="28" t="n">
        <f aca="false">IF(ISNUMBER(BK182),12,"")</f>
        <v>12</v>
      </c>
      <c r="EK182" s="28" t="str">
        <f aca="false">IF(ISNUMBER(BO182),13,"")</f>
        <v/>
      </c>
      <c r="EL182" s="28" t="str">
        <f aca="false">IF(ISNUMBER(BS182),14,"")</f>
        <v/>
      </c>
      <c r="EM182" s="28" t="n">
        <f aca="false">IF(ISNUMBER(R182),R182*CW182,0)</f>
        <v>75</v>
      </c>
      <c r="EN182" s="28" t="n">
        <f aca="false">IF(ISNUMBER(V182),V182*CX182,0)</f>
        <v>73.3333333333333</v>
      </c>
      <c r="EO182" s="28" t="n">
        <f aca="false">IF(ISNUMBER(Z182),Z182*CY182,0)</f>
        <v>75</v>
      </c>
      <c r="EP182" s="28" t="n">
        <f aca="false">IF(ISNUMBER(AD182),AD182*CZ182,0)</f>
        <v>80</v>
      </c>
      <c r="EQ182" s="28" t="n">
        <f aca="false">IF(ISNUMBER(AH182),AH182*DA182,0)</f>
        <v>80</v>
      </c>
      <c r="ER182" s="28" t="n">
        <f aca="false">IF(ISNUMBER(AL182),AL182*DB182,0)</f>
        <v>166.666666666667</v>
      </c>
      <c r="ES182" s="28" t="n">
        <f aca="false">IF(ISNUMBER(AP182),AP182*DC182,0)</f>
        <v>133.333333333333</v>
      </c>
      <c r="ET182" s="28" t="n">
        <f aca="false">IF(ISNUMBER(AT182),AT182*DD182,0)</f>
        <v>160</v>
      </c>
      <c r="EU182" s="28" t="n">
        <f aca="false">IF(ISNUMBER(AX182),AX182*DE182,0)</f>
        <v>87.5</v>
      </c>
      <c r="EV182" s="28" t="n">
        <f aca="false">IF(ISNUMBER(BB182),BB182*DF182,0)</f>
        <v>0</v>
      </c>
      <c r="EW182" s="28" t="n">
        <f aca="false">IF(ISNUMBER(BF182),BF182*DG182,0)</f>
        <v>0</v>
      </c>
      <c r="EX182" s="28" t="n">
        <f aca="false">IF(ISNUMBER(BJ182),BJ182*DH182,0)</f>
        <v>87</v>
      </c>
      <c r="EY182" s="28" t="n">
        <f aca="false">IF(ISNUMBER(BN182),BN182*DI182,0)</f>
        <v>0</v>
      </c>
      <c r="EZ182" s="28" t="n">
        <f aca="false">IF(ISNUMBER(BR182),BR182*DJ182,0)</f>
        <v>0</v>
      </c>
      <c r="FA182" s="28" t="n">
        <f aca="false">IF(ISNUMBER(R182),CW182,0)</f>
        <v>1</v>
      </c>
      <c r="FB182" s="28" t="n">
        <f aca="false">IF(ISNUMBER(V182),CX182,0)</f>
        <v>1</v>
      </c>
      <c r="FC182" s="28" t="n">
        <f aca="false">IF(ISNUMBER(Z182),CY182,0)</f>
        <v>1</v>
      </c>
      <c r="FD182" s="28" t="n">
        <f aca="false">IF(ISNUMBER(AD182),CZ182,0)</f>
        <v>1</v>
      </c>
      <c r="FE182" s="28" t="n">
        <f aca="false">IF(ISNUMBER(AH182),DA182,0)</f>
        <v>1</v>
      </c>
      <c r="FF182" s="28" t="n">
        <f aca="false">IF(ISNUMBER(AL182),DB182,0)</f>
        <v>2</v>
      </c>
      <c r="FG182" s="28" t="n">
        <f aca="false">IF(ISNUMBER(AP182),DC182,0)</f>
        <v>2</v>
      </c>
      <c r="FH182" s="28" t="n">
        <f aca="false">IF(ISNUMBER(AT182),DD182,0)</f>
        <v>2</v>
      </c>
      <c r="FI182" s="28" t="n">
        <f aca="false">IF(ISNUMBER(AX182),DE182,0)</f>
        <v>1</v>
      </c>
      <c r="FJ182" s="28" t="n">
        <f aca="false">IF(ISNUMBER(BB182),DF182,0)</f>
        <v>0</v>
      </c>
      <c r="FK182" s="28" t="n">
        <f aca="false">IF(ISNUMBER(BF182),DG182,0)</f>
        <v>0</v>
      </c>
      <c r="FL182" s="28" t="n">
        <f aca="false">IF(ISNUMBER(BJ182),DH182,0)</f>
        <v>1</v>
      </c>
      <c r="FM182" s="28" t="n">
        <f aca="false">IF(ISNUMBER(BN182),DI182,0)</f>
        <v>0</v>
      </c>
      <c r="FN182" s="28" t="n">
        <f aca="false">IF(ISNUMBER(BR182),DJ182,0)</f>
        <v>0</v>
      </c>
      <c r="FO182" s="28" t="str">
        <f aca="false">IFERROR(INDEX(Lists!$G$2:$G$20,MATCH($I182&amp;"|"&amp;$J182,Lists!$F$2:$F$20,0)),"")</f>
        <v>Hist Overall HL</v>
      </c>
    </row>
    <row r="183" customFormat="false" ht="19.5" hidden="false" customHeight="true" outlineLevel="0" collapsed="false">
      <c r="A183" s="29" t="s">
        <v>301</v>
      </c>
      <c r="B183" s="29" t="s">
        <v>302</v>
      </c>
      <c r="C183" s="30" t="s">
        <v>152</v>
      </c>
      <c r="D183" s="30" t="s">
        <v>415</v>
      </c>
      <c r="E183" s="31" t="n">
        <v>6</v>
      </c>
      <c r="F183" s="30" t="n">
        <v>6</v>
      </c>
      <c r="G183" s="30"/>
      <c r="H183" s="32" t="s">
        <v>23</v>
      </c>
      <c r="I183" s="33" t="s">
        <v>416</v>
      </c>
      <c r="J183" s="32" t="s">
        <v>25</v>
      </c>
      <c r="K183" s="34" t="n">
        <f aca="false">IF(OR(M183="",$E183=""),"",M183-$E183)</f>
        <v>0</v>
      </c>
      <c r="L183" s="35" t="n">
        <f aca="false">IF(SUM(FA183:FN183)=0,"",SUM(EM183:EZ183)/SUM(FA183:FN183))</f>
        <v>69.7948717948718</v>
      </c>
      <c r="M183" s="36" t="n">
        <f aca="false">IF(OR(L183="",FO183=""),"",IFERROR(MATCH(L183,INDEX(Boundaries!$B$2:$I$30,MATCH(FO183,Boundaries!$A$2:$A$30,0),0),1)-1,""))</f>
        <v>6</v>
      </c>
      <c r="N183" s="37" t="n">
        <f aca="false">IF(COUNT($DY183:$EL183)&lt;2,"",INDEX($DK183:$DX183,MAX($DY183:$EL183))-INDEX($DK183:$DX183,MIN($DY183:$EL183)))</f>
        <v>-1</v>
      </c>
      <c r="O183" s="37" t="n">
        <f aca="false">IF(COUNT($DY183:$EL183)&lt;2,"",INDEX($DK183:$DX183,MAX($DY183:$EL183))-INDEX($DK183:$DX183,LARGE($DY183:$EL183,2)))</f>
        <v>-1</v>
      </c>
      <c r="P183" s="38" t="str">
        <f aca="false">IF(K183="","",IF(K183&gt;=0,"On/above target",IF(AND(N183&lt;&gt;"",N183&gt;=0.5),"Improving towards target",IF(AND(O183&lt;&gt;"",O183&lt;=-0.5),"Declining","Stable below target"))))</f>
        <v>On/above target</v>
      </c>
      <c r="Q183" s="39" t="n">
        <v>19</v>
      </c>
      <c r="R183" s="40" t="n">
        <f aca="false">IF(OR(Q183="",BU183=""),"",Q183/BU183*100)</f>
        <v>79.1666666666667</v>
      </c>
      <c r="S183" s="41" t="n">
        <f aca="false">IF(R183="","",IFERROR(MATCH(R183,INDEX(Boundaries!$B$2:$I$30,MATCH(CI183,Boundaries!$A$2:$A$30,0),0),1)-1,""))</f>
        <v>7</v>
      </c>
      <c r="T183" s="42" t="n">
        <f aca="false">IF(OR(S183="",$E183=""),"",S183-$E183)</f>
        <v>1</v>
      </c>
      <c r="U183" s="39" t="n">
        <v>10</v>
      </c>
      <c r="V183" s="40" t="n">
        <f aca="false">IF(OR(U183="",BV183=""),"",U183/BV183*100)</f>
        <v>66.6666666666667</v>
      </c>
      <c r="W183" s="41" t="n">
        <f aca="false">IF(V183="","",IFERROR(MATCH(V183,INDEX(Boundaries!$B$2:$I$30,MATCH(CJ183,Boundaries!$A$2:$A$30,0),0),1)-1,""))</f>
        <v>5</v>
      </c>
      <c r="X183" s="42" t="n">
        <f aca="false">IF(OR(W183="",$E183=""),"",W183-$E183)</f>
        <v>-1</v>
      </c>
      <c r="Y183" s="39" t="n">
        <v>19</v>
      </c>
      <c r="Z183" s="40" t="n">
        <f aca="false">IF(OR(Y183="",BW183=""),"",Y183/BW183*100)</f>
        <v>79.1666666666667</v>
      </c>
      <c r="AA183" s="41" t="n">
        <f aca="false">IF(Z183="","",IFERROR(MATCH(Z183,INDEX(Boundaries!$B$2:$I$30,MATCH(CK183,Boundaries!$A$2:$A$30,0),0),1)-1,""))</f>
        <v>7</v>
      </c>
      <c r="AB183" s="42" t="n">
        <f aca="false">IF(OR(AA183="",$E183=""),"",AA183-$E183)</f>
        <v>1</v>
      </c>
      <c r="AC183" s="39" t="n">
        <v>11</v>
      </c>
      <c r="AD183" s="40" t="n">
        <f aca="false">IF(OR(AC183="",BX183=""),"",AC183/BX183*100)</f>
        <v>73.3333333333333</v>
      </c>
      <c r="AE183" s="41" t="n">
        <f aca="false">IF(AD183="","",IFERROR(MATCH(AD183,INDEX(Boundaries!$B$2:$I$30,MATCH(CL183,Boundaries!$A$2:$A$30,0),0),1)-1,""))</f>
        <v>6</v>
      </c>
      <c r="AF183" s="42" t="n">
        <f aca="false">IF(OR(AE183="",$E183=""),"",AE183-$E183)</f>
        <v>0</v>
      </c>
      <c r="AG183" s="39" t="n">
        <v>9</v>
      </c>
      <c r="AH183" s="40" t="n">
        <f aca="false">IF(OR(AG183="",BY183=""),"",AG183/BY183*100)</f>
        <v>60</v>
      </c>
      <c r="AI183" s="41" t="n">
        <f aca="false">IF(AH183="","",IFERROR(MATCH(AH183,INDEX(Boundaries!$B$2:$I$30,MATCH(CM183,Boundaries!$A$2:$A$30,0),0),1)-1,""))</f>
        <v>5</v>
      </c>
      <c r="AJ183" s="42" t="n">
        <f aca="false">IF(OR(AI183="",$E183=""),"",AI183-$E183)</f>
        <v>-1</v>
      </c>
      <c r="AK183" s="39" t="n">
        <v>18</v>
      </c>
      <c r="AL183" s="40" t="n">
        <f aca="false">IF(OR(AK183="",BZ183=""),"",AK183/BZ183*100)</f>
        <v>75</v>
      </c>
      <c r="AM183" s="41" t="n">
        <f aca="false">IF(AL183="","",IFERROR(MATCH(AL183,INDEX(Boundaries!$B$2:$I$30,MATCH(CN183,Boundaries!$A$2:$A$30,0),0),1)-1,""))</f>
        <v>6</v>
      </c>
      <c r="AN183" s="42" t="n">
        <f aca="false">IF(OR(AM183="",$E183=""),"",AM183-$E183)</f>
        <v>0</v>
      </c>
      <c r="AO183" s="39" t="n">
        <v>21</v>
      </c>
      <c r="AP183" s="40" t="n">
        <f aca="false">IF(OR(AO183="",CA183=""),"",AO183/CA183*100)</f>
        <v>70</v>
      </c>
      <c r="AQ183" s="41" t="n">
        <f aca="false">IF(AP183="","",IFERROR(MATCH(AP183,INDEX(Boundaries!$B$2:$I$30,MATCH(CO183,Boundaries!$A$2:$A$30,0),0),1)-1,""))</f>
        <v>6</v>
      </c>
      <c r="AR183" s="42" t="n">
        <f aca="false">IF(OR(AQ183="",$E183=""),"",AQ183-$E183)</f>
        <v>0</v>
      </c>
      <c r="AS183" s="39" t="n">
        <v>8</v>
      </c>
      <c r="AT183" s="40" t="n">
        <f aca="false">IF(OR(AS183="",CB183=""),"",AS183/CB183*100)</f>
        <v>53.3333333333333</v>
      </c>
      <c r="AU183" s="41" t="n">
        <f aca="false">IF(AT183="","",IFERROR(MATCH(AT183,INDEX(Boundaries!$B$2:$I$30,MATCH(CP183,Boundaries!$A$2:$A$30,0),0),1)-1,""))</f>
        <v>5</v>
      </c>
      <c r="AV183" s="42" t="n">
        <f aca="false">IF(OR(AU183="",$E183=""),"",AU183-$E183)</f>
        <v>-1</v>
      </c>
      <c r="AW183" s="39" t="n">
        <v>20</v>
      </c>
      <c r="AX183" s="40" t="n">
        <f aca="false">IF(OR(AW183="",CC183=""),"",AW183/CC183*100)</f>
        <v>83.3333333333333</v>
      </c>
      <c r="AY183" s="41" t="n">
        <f aca="false">IF(AX183="","",IFERROR(MATCH(AX183,INDEX(Boundaries!$B$2:$I$30,MATCH(CQ183,Boundaries!$A$2:$A$30,0),0),1)-1,""))</f>
        <v>7</v>
      </c>
      <c r="AZ183" s="42" t="n">
        <f aca="false">IF(OR(AY183="",$E183=""),"",AY183-$E183)</f>
        <v>1</v>
      </c>
      <c r="BA183" s="39"/>
      <c r="BB183" s="40" t="str">
        <f aca="false">IF(OR(BA183="",CD183=""),"",BA183/CD183*100)</f>
        <v/>
      </c>
      <c r="BC183" s="41" t="str">
        <f aca="false">IF(BB183="","",IFERROR(MATCH(BB183,INDEX(Boundaries!$B$2:$I$30,MATCH(CR183,Boundaries!$A$2:$A$30,0),0),1)-1,""))</f>
        <v/>
      </c>
      <c r="BD183" s="42" t="str">
        <f aca="false">IF(OR(BC183="",$E183=""),"",BC183-$E183)</f>
        <v/>
      </c>
      <c r="BE183" s="39"/>
      <c r="BF183" s="40" t="str">
        <f aca="false">IF(OR(BE183="",CE183=""),"",BE183/CE183*100)</f>
        <v/>
      </c>
      <c r="BG183" s="41" t="str">
        <f aca="false">IF(BF183="","",IFERROR(MATCH(BF183,INDEX(Boundaries!$B$2:$I$30,MATCH(CS183,Boundaries!$A$2:$A$30,0),0),1)-1,""))</f>
        <v/>
      </c>
      <c r="BH183" s="42" t="str">
        <f aca="false">IF(OR(BG183="",$E183=""),"",BG183-$E183)</f>
        <v/>
      </c>
      <c r="BI183" s="39" t="n">
        <v>69</v>
      </c>
      <c r="BJ183" s="40" t="n">
        <f aca="false">IF(OR(BI183="",CF183=""),"",BI183/CF183*100)</f>
        <v>69</v>
      </c>
      <c r="BK183" s="41" t="n">
        <f aca="false">IF(BJ183="","",IFERROR(MATCH(BJ183,INDEX(Boundaries!$B$2:$I$30,MATCH(CT183,Boundaries!$A$2:$A$30,0),0),1)-1,""))</f>
        <v>6</v>
      </c>
      <c r="BL183" s="42" t="n">
        <f aca="false">IF(OR(BK183="",$E183=""),"",BK183-$E183)</f>
        <v>0</v>
      </c>
      <c r="BM183" s="39"/>
      <c r="BN183" s="40" t="str">
        <f aca="false">IF(OR(BM183="",CG183=""),"",BM183/CG183*100)</f>
        <v/>
      </c>
      <c r="BO183" s="41" t="str">
        <f aca="false">IF(BN183="","",IFERROR(MATCH(BN183,INDEX(Boundaries!$B$2:$I$30,MATCH(CU183,Boundaries!$A$2:$A$30,0),0),1)-1,""))</f>
        <v/>
      </c>
      <c r="BP183" s="42" t="str">
        <f aca="false">IF(OR(BO183="",$E183=""),"",BO183-$E183)</f>
        <v/>
      </c>
      <c r="BQ183" s="39"/>
      <c r="BR183" s="40" t="str">
        <f aca="false">IF(OR(BQ183="",CH183=""),"",BQ183/CH183*100)</f>
        <v/>
      </c>
      <c r="BS183" s="41" t="str">
        <f aca="false">IF(BR183="","",IFERROR(MATCH(BR183,INDEX(Boundaries!$B$2:$I$30,MATCH(CV183,Boundaries!$A$2:$A$30,0),0),1)-1,""))</f>
        <v/>
      </c>
      <c r="BT183" s="42" t="str">
        <f aca="false">IF(OR(BS183="",$E183=""),"",BS183-$E183)</f>
        <v/>
      </c>
      <c r="BU183" s="28" t="n">
        <f aca="false">IFERROR(INDEX(Assessments!$H$2:$H$600,MATCH($H183&amp;"|"&amp;$I183&amp;"|"&amp;$J183&amp;"|"&amp;1,Assessments!$A$2:$A$600,0)),"")</f>
        <v>24</v>
      </c>
      <c r="BV183" s="28" t="n">
        <f aca="false">IFERROR(INDEX(Assessments!$H$2:$H$600,MATCH($H183&amp;"|"&amp;$I183&amp;"|"&amp;$J183&amp;"|"&amp;2,Assessments!$A$2:$A$600,0)),"")</f>
        <v>15</v>
      </c>
      <c r="BW183" s="28" t="n">
        <f aca="false">IFERROR(INDEX(Assessments!$H$2:$H$600,MATCH($H183&amp;"|"&amp;$I183&amp;"|"&amp;$J183&amp;"|"&amp;3,Assessments!$A$2:$A$600,0)),"")</f>
        <v>24</v>
      </c>
      <c r="BX183" s="28" t="n">
        <f aca="false">IFERROR(INDEX(Assessments!$H$2:$H$600,MATCH($H183&amp;"|"&amp;$I183&amp;"|"&amp;$J183&amp;"|"&amp;4,Assessments!$A$2:$A$600,0)),"")</f>
        <v>15</v>
      </c>
      <c r="BY183" s="28" t="n">
        <f aca="false">IFERROR(INDEX(Assessments!$H$2:$H$600,MATCH($H183&amp;"|"&amp;$I183&amp;"|"&amp;$J183&amp;"|"&amp;5,Assessments!$A$2:$A$600,0)),"")</f>
        <v>15</v>
      </c>
      <c r="BZ183" s="28" t="n">
        <f aca="false">IFERROR(INDEX(Assessments!$H$2:$H$600,MATCH($H183&amp;"|"&amp;$I183&amp;"|"&amp;$J183&amp;"|"&amp;6,Assessments!$A$2:$A$600,0)),"")</f>
        <v>24</v>
      </c>
      <c r="CA183" s="28" t="n">
        <f aca="false">IFERROR(INDEX(Assessments!$H$2:$H$600,MATCH($H183&amp;"|"&amp;$I183&amp;"|"&amp;$J183&amp;"|"&amp;7,Assessments!$A$2:$A$600,0)),"")</f>
        <v>30</v>
      </c>
      <c r="CB183" s="28" t="n">
        <f aca="false">IFERROR(INDEX(Assessments!$H$2:$H$600,MATCH($H183&amp;"|"&amp;$I183&amp;"|"&amp;$J183&amp;"|"&amp;8,Assessments!$A$2:$A$600,0)),"")</f>
        <v>15</v>
      </c>
      <c r="CC183" s="28" t="n">
        <f aca="false">IFERROR(INDEX(Assessments!$H$2:$H$600,MATCH($H183&amp;"|"&amp;$I183&amp;"|"&amp;$J183&amp;"|"&amp;9,Assessments!$A$2:$A$600,0)),"")</f>
        <v>24</v>
      </c>
      <c r="CD183" s="28" t="n">
        <f aca="false">IFERROR(INDEX(Assessments!$H$2:$H$600,MATCH($H183&amp;"|"&amp;$I183&amp;"|"&amp;$J183&amp;"|"&amp;10,Assessments!$A$2:$A$600,0)),"")</f>
        <v>15</v>
      </c>
      <c r="CE183" s="28" t="n">
        <f aca="false">IFERROR(INDEX(Assessments!$H$2:$H$600,MATCH($H183&amp;"|"&amp;$I183&amp;"|"&amp;$J183&amp;"|"&amp;11,Assessments!$A$2:$A$600,0)),"")</f>
        <v>15</v>
      </c>
      <c r="CF183" s="28" t="n">
        <f aca="false">IFERROR(INDEX(Assessments!$H$2:$H$600,MATCH($H183&amp;"|"&amp;$I183&amp;"|"&amp;$J183&amp;"|"&amp;12,Assessments!$A$2:$A$600,0)),"")</f>
        <v>100</v>
      </c>
      <c r="CG183" s="28" t="n">
        <f aca="false">IFERROR(INDEX(Assessments!$H$2:$H$600,MATCH($H183&amp;"|"&amp;$I183&amp;"|"&amp;$J183&amp;"|"&amp;13,Assessments!$A$2:$A$600,0)),"")</f>
        <v>15</v>
      </c>
      <c r="CH183" s="28" t="str">
        <f aca="false">IFERROR(INDEX(Assessments!$H$2:$H$600,MATCH($H183&amp;"|"&amp;$I183&amp;"|"&amp;$J183&amp;"|"&amp;14,Assessments!$A$2:$A$600,0)),"")</f>
        <v/>
      </c>
      <c r="CI183" s="28" t="str">
        <f aca="false">IFERROR(INDEX(Assessments!$I$2:$I$600,MATCH($H183&amp;"|"&amp;$I183&amp;"|"&amp;$J183&amp;"|"&amp;1,Assessments!$A$2:$A$600,0)),"")</f>
        <v>Hist Paper 1</v>
      </c>
      <c r="CJ183" s="28" t="str">
        <f aca="false">IFERROR(INDEX(Assessments!$I$2:$I$600,MATCH($H183&amp;"|"&amp;$I183&amp;"|"&amp;$J183&amp;"|"&amp;2,Assessments!$A$2:$A$600,0)),"")</f>
        <v>Hist P3 essay</v>
      </c>
      <c r="CK183" s="28" t="str">
        <f aca="false">IFERROR(INDEX(Assessments!$I$2:$I$600,MATCH($H183&amp;"|"&amp;$I183&amp;"|"&amp;$J183&amp;"|"&amp;3,Assessments!$A$2:$A$600,0)),"")</f>
        <v>Hist Paper 1</v>
      </c>
      <c r="CL183" s="28" t="str">
        <f aca="false">IFERROR(INDEX(Assessments!$I$2:$I$600,MATCH($H183&amp;"|"&amp;$I183&amp;"|"&amp;$J183&amp;"|"&amp;4,Assessments!$A$2:$A$600,0)),"")</f>
        <v>Hist P2 partial</v>
      </c>
      <c r="CM183" s="28" t="str">
        <f aca="false">IFERROR(INDEX(Assessments!$I$2:$I$600,MATCH($H183&amp;"|"&amp;$I183&amp;"|"&amp;$J183&amp;"|"&amp;5,Assessments!$A$2:$A$600,0)),"")</f>
        <v>Hist P3 essay</v>
      </c>
      <c r="CN183" s="28" t="str">
        <f aca="false">IFERROR(INDEX(Assessments!$I$2:$I$600,MATCH($H183&amp;"|"&amp;$I183&amp;"|"&amp;$J183&amp;"|"&amp;6,Assessments!$A$2:$A$600,0)),"")</f>
        <v>Hist Paper 1</v>
      </c>
      <c r="CO183" s="28" t="str">
        <f aca="false">IFERROR(INDEX(Assessments!$I$2:$I$600,MATCH($H183&amp;"|"&amp;$I183&amp;"|"&amp;$J183&amp;"|"&amp;7,Assessments!$A$2:$A$600,0)),"")</f>
        <v>Hist P2 full</v>
      </c>
      <c r="CP183" s="28" t="str">
        <f aca="false">IFERROR(INDEX(Assessments!$I$2:$I$600,MATCH($H183&amp;"|"&amp;$I183&amp;"|"&amp;$J183&amp;"|"&amp;8,Assessments!$A$2:$A$600,0)),"")</f>
        <v>Hist P3 full</v>
      </c>
      <c r="CQ183" s="28" t="str">
        <f aca="false">IFERROR(INDEX(Assessments!$I$2:$I$600,MATCH($H183&amp;"|"&amp;$I183&amp;"|"&amp;$J183&amp;"|"&amp;9,Assessments!$A$2:$A$600,0)),"")</f>
        <v>Hist Paper 1</v>
      </c>
      <c r="CR183" s="28" t="str">
        <f aca="false">IFERROR(INDEX(Assessments!$I$2:$I$600,MATCH($H183&amp;"|"&amp;$I183&amp;"|"&amp;$J183&amp;"|"&amp;10,Assessments!$A$2:$A$600,0)),"")</f>
        <v>Hist P2 partial</v>
      </c>
      <c r="CS183" s="28" t="str">
        <f aca="false">IFERROR(INDEX(Assessments!$I$2:$I$600,MATCH($H183&amp;"|"&amp;$I183&amp;"|"&amp;$J183&amp;"|"&amp;11,Assessments!$A$2:$A$600,0)),"")</f>
        <v>Hist P3 essay</v>
      </c>
      <c r="CT183" s="28" t="str">
        <f aca="false">IFERROR(INDEX(Assessments!$I$2:$I$600,MATCH($H183&amp;"|"&amp;$I183&amp;"|"&amp;$J183&amp;"|"&amp;12,Assessments!$A$2:$A$600,0)),"")</f>
        <v>Hist P3 essay</v>
      </c>
      <c r="CU183" s="28" t="str">
        <f aca="false">IFERROR(INDEX(Assessments!$I$2:$I$600,MATCH($H183&amp;"|"&amp;$I183&amp;"|"&amp;$J183&amp;"|"&amp;13,Assessments!$A$2:$A$600,0)),"")</f>
        <v>Hist P3 essay</v>
      </c>
      <c r="CV183" s="28" t="str">
        <f aca="false">IFERROR(INDEX(Assessments!$I$2:$I$600,MATCH($H183&amp;"|"&amp;$I183&amp;"|"&amp;$J183&amp;"|"&amp;14,Assessments!$A$2:$A$600,0)),"")</f>
        <v/>
      </c>
      <c r="CW183" s="28" t="n">
        <f aca="false">IFERROR(INDEX(Assessments!$J$2:$J$600,MATCH($H183&amp;"|"&amp;$I183&amp;"|"&amp;$J183&amp;"|"&amp;1,Assessments!$A$2:$A$600,0)),0)</f>
        <v>1</v>
      </c>
      <c r="CX183" s="28" t="n">
        <f aca="false">IFERROR(INDEX(Assessments!$J$2:$J$600,MATCH($H183&amp;"|"&amp;$I183&amp;"|"&amp;$J183&amp;"|"&amp;2,Assessments!$A$2:$A$600,0)),0)</f>
        <v>1</v>
      </c>
      <c r="CY183" s="28" t="n">
        <f aca="false">IFERROR(INDEX(Assessments!$J$2:$J$600,MATCH($H183&amp;"|"&amp;$I183&amp;"|"&amp;$J183&amp;"|"&amp;3,Assessments!$A$2:$A$600,0)),0)</f>
        <v>1</v>
      </c>
      <c r="CZ183" s="28" t="n">
        <f aca="false">IFERROR(INDEX(Assessments!$J$2:$J$600,MATCH($H183&amp;"|"&amp;$I183&amp;"|"&amp;$J183&amp;"|"&amp;4,Assessments!$A$2:$A$600,0)),0)</f>
        <v>1</v>
      </c>
      <c r="DA183" s="28" t="n">
        <f aca="false">IFERROR(INDEX(Assessments!$J$2:$J$600,MATCH($H183&amp;"|"&amp;$I183&amp;"|"&amp;$J183&amp;"|"&amp;5,Assessments!$A$2:$A$600,0)),0)</f>
        <v>1</v>
      </c>
      <c r="DB183" s="28" t="n">
        <f aca="false">IFERROR(INDEX(Assessments!$J$2:$J$600,MATCH($H183&amp;"|"&amp;$I183&amp;"|"&amp;$J183&amp;"|"&amp;6,Assessments!$A$2:$A$600,0)),0)</f>
        <v>2</v>
      </c>
      <c r="DC183" s="28" t="n">
        <f aca="false">IFERROR(INDEX(Assessments!$J$2:$J$600,MATCH($H183&amp;"|"&amp;$I183&amp;"|"&amp;$J183&amp;"|"&amp;7,Assessments!$A$2:$A$600,0)),0)</f>
        <v>2</v>
      </c>
      <c r="DD183" s="28" t="n">
        <f aca="false">IFERROR(INDEX(Assessments!$J$2:$J$600,MATCH($H183&amp;"|"&amp;$I183&amp;"|"&amp;$J183&amp;"|"&amp;8,Assessments!$A$2:$A$600,0)),0)</f>
        <v>2</v>
      </c>
      <c r="DE183" s="28" t="n">
        <f aca="false">IFERROR(INDEX(Assessments!$J$2:$J$600,MATCH($H183&amp;"|"&amp;$I183&amp;"|"&amp;$J183&amp;"|"&amp;9,Assessments!$A$2:$A$600,0)),0)</f>
        <v>1</v>
      </c>
      <c r="DF183" s="28" t="n">
        <f aca="false">IFERROR(INDEX(Assessments!$J$2:$J$600,MATCH($H183&amp;"|"&amp;$I183&amp;"|"&amp;$J183&amp;"|"&amp;10,Assessments!$A$2:$A$600,0)),0)</f>
        <v>1</v>
      </c>
      <c r="DG183" s="28" t="n">
        <f aca="false">IFERROR(INDEX(Assessments!$J$2:$J$600,MATCH($H183&amp;"|"&amp;$I183&amp;"|"&amp;$J183&amp;"|"&amp;11,Assessments!$A$2:$A$600,0)),0)</f>
        <v>1</v>
      </c>
      <c r="DH183" s="28" t="n">
        <f aca="false">IFERROR(INDEX(Assessments!$J$2:$J$600,MATCH($H183&amp;"|"&amp;$I183&amp;"|"&amp;$J183&amp;"|"&amp;12,Assessments!$A$2:$A$600,0)),0)</f>
        <v>1</v>
      </c>
      <c r="DI183" s="28" t="n">
        <f aca="false">IFERROR(INDEX(Assessments!$J$2:$J$600,MATCH($H183&amp;"|"&amp;$I183&amp;"|"&amp;$J183&amp;"|"&amp;13,Assessments!$A$2:$A$600,0)),0)</f>
        <v>1</v>
      </c>
      <c r="DJ183" s="28" t="n">
        <f aca="false">IFERROR(INDEX(Assessments!$J$2:$J$600,MATCH($H183&amp;"|"&amp;$I183&amp;"|"&amp;$J183&amp;"|"&amp;14,Assessments!$A$2:$A$600,0)),0)</f>
        <v>0</v>
      </c>
      <c r="DK183" s="28" t="n">
        <f aca="false">S183</f>
        <v>7</v>
      </c>
      <c r="DL183" s="28" t="n">
        <f aca="false">W183</f>
        <v>5</v>
      </c>
      <c r="DM183" s="28" t="n">
        <f aca="false">AA183</f>
        <v>7</v>
      </c>
      <c r="DN183" s="28" t="n">
        <f aca="false">AE183</f>
        <v>6</v>
      </c>
      <c r="DO183" s="28" t="n">
        <f aca="false">AI183</f>
        <v>5</v>
      </c>
      <c r="DP183" s="28" t="n">
        <f aca="false">AM183</f>
        <v>6</v>
      </c>
      <c r="DQ183" s="28" t="n">
        <f aca="false">AQ183</f>
        <v>6</v>
      </c>
      <c r="DR183" s="28" t="n">
        <f aca="false">AU183</f>
        <v>5</v>
      </c>
      <c r="DS183" s="28" t="n">
        <f aca="false">AY183</f>
        <v>7</v>
      </c>
      <c r="DT183" s="28" t="str">
        <f aca="false">BC183</f>
        <v/>
      </c>
      <c r="DU183" s="28" t="str">
        <f aca="false">BG183</f>
        <v/>
      </c>
      <c r="DV183" s="28" t="n">
        <f aca="false">BK183</f>
        <v>6</v>
      </c>
      <c r="DW183" s="28" t="str">
        <f aca="false">BO183</f>
        <v/>
      </c>
      <c r="DX183" s="28" t="str">
        <f aca="false">BS183</f>
        <v/>
      </c>
      <c r="DY183" s="28" t="n">
        <f aca="false">IF(ISNUMBER(S183),1,"")</f>
        <v>1</v>
      </c>
      <c r="DZ183" s="28" t="n">
        <f aca="false">IF(ISNUMBER(W183),2,"")</f>
        <v>2</v>
      </c>
      <c r="EA183" s="28" t="n">
        <f aca="false">IF(ISNUMBER(AA183),3,"")</f>
        <v>3</v>
      </c>
      <c r="EB183" s="28" t="n">
        <f aca="false">IF(ISNUMBER(AE183),4,"")</f>
        <v>4</v>
      </c>
      <c r="EC183" s="28" t="n">
        <f aca="false">IF(ISNUMBER(AI183),5,"")</f>
        <v>5</v>
      </c>
      <c r="ED183" s="28" t="n">
        <f aca="false">IF(ISNUMBER(AM183),6,"")</f>
        <v>6</v>
      </c>
      <c r="EE183" s="28" t="n">
        <f aca="false">IF(ISNUMBER(AQ183),7,"")</f>
        <v>7</v>
      </c>
      <c r="EF183" s="28" t="n">
        <f aca="false">IF(ISNUMBER(AU183),8,"")</f>
        <v>8</v>
      </c>
      <c r="EG183" s="28" t="n">
        <f aca="false">IF(ISNUMBER(AY183),9,"")</f>
        <v>9</v>
      </c>
      <c r="EH183" s="28" t="str">
        <f aca="false">IF(ISNUMBER(BC183),10,"")</f>
        <v/>
      </c>
      <c r="EI183" s="28" t="str">
        <f aca="false">IF(ISNUMBER(BG183),11,"")</f>
        <v/>
      </c>
      <c r="EJ183" s="28" t="n">
        <f aca="false">IF(ISNUMBER(BK183),12,"")</f>
        <v>12</v>
      </c>
      <c r="EK183" s="28" t="str">
        <f aca="false">IF(ISNUMBER(BO183),13,"")</f>
        <v/>
      </c>
      <c r="EL183" s="28" t="str">
        <f aca="false">IF(ISNUMBER(BS183),14,"")</f>
        <v/>
      </c>
      <c r="EM183" s="28" t="n">
        <f aca="false">IF(ISNUMBER(R183),R183*CW183,0)</f>
        <v>79.1666666666667</v>
      </c>
      <c r="EN183" s="28" t="n">
        <f aca="false">IF(ISNUMBER(V183),V183*CX183,0)</f>
        <v>66.6666666666667</v>
      </c>
      <c r="EO183" s="28" t="n">
        <f aca="false">IF(ISNUMBER(Z183),Z183*CY183,0)</f>
        <v>79.1666666666667</v>
      </c>
      <c r="EP183" s="28" t="n">
        <f aca="false">IF(ISNUMBER(AD183),AD183*CZ183,0)</f>
        <v>73.3333333333333</v>
      </c>
      <c r="EQ183" s="28" t="n">
        <f aca="false">IF(ISNUMBER(AH183),AH183*DA183,0)</f>
        <v>60</v>
      </c>
      <c r="ER183" s="28" t="n">
        <f aca="false">IF(ISNUMBER(AL183),AL183*DB183,0)</f>
        <v>150</v>
      </c>
      <c r="ES183" s="28" t="n">
        <f aca="false">IF(ISNUMBER(AP183),AP183*DC183,0)</f>
        <v>140</v>
      </c>
      <c r="ET183" s="28" t="n">
        <f aca="false">IF(ISNUMBER(AT183),AT183*DD183,0)</f>
        <v>106.666666666667</v>
      </c>
      <c r="EU183" s="28" t="n">
        <f aca="false">IF(ISNUMBER(AX183),AX183*DE183,0)</f>
        <v>83.3333333333333</v>
      </c>
      <c r="EV183" s="28" t="n">
        <f aca="false">IF(ISNUMBER(BB183),BB183*DF183,0)</f>
        <v>0</v>
      </c>
      <c r="EW183" s="28" t="n">
        <f aca="false">IF(ISNUMBER(BF183),BF183*DG183,0)</f>
        <v>0</v>
      </c>
      <c r="EX183" s="28" t="n">
        <f aca="false">IF(ISNUMBER(BJ183),BJ183*DH183,0)</f>
        <v>69</v>
      </c>
      <c r="EY183" s="28" t="n">
        <f aca="false">IF(ISNUMBER(BN183),BN183*DI183,0)</f>
        <v>0</v>
      </c>
      <c r="EZ183" s="28" t="n">
        <f aca="false">IF(ISNUMBER(BR183),BR183*DJ183,0)</f>
        <v>0</v>
      </c>
      <c r="FA183" s="28" t="n">
        <f aca="false">IF(ISNUMBER(R183),CW183,0)</f>
        <v>1</v>
      </c>
      <c r="FB183" s="28" t="n">
        <f aca="false">IF(ISNUMBER(V183),CX183,0)</f>
        <v>1</v>
      </c>
      <c r="FC183" s="28" t="n">
        <f aca="false">IF(ISNUMBER(Z183),CY183,0)</f>
        <v>1</v>
      </c>
      <c r="FD183" s="28" t="n">
        <f aca="false">IF(ISNUMBER(AD183),CZ183,0)</f>
        <v>1</v>
      </c>
      <c r="FE183" s="28" t="n">
        <f aca="false">IF(ISNUMBER(AH183),DA183,0)</f>
        <v>1</v>
      </c>
      <c r="FF183" s="28" t="n">
        <f aca="false">IF(ISNUMBER(AL183),DB183,0)</f>
        <v>2</v>
      </c>
      <c r="FG183" s="28" t="n">
        <f aca="false">IF(ISNUMBER(AP183),DC183,0)</f>
        <v>2</v>
      </c>
      <c r="FH183" s="28" t="n">
        <f aca="false">IF(ISNUMBER(AT183),DD183,0)</f>
        <v>2</v>
      </c>
      <c r="FI183" s="28" t="n">
        <f aca="false">IF(ISNUMBER(AX183),DE183,0)</f>
        <v>1</v>
      </c>
      <c r="FJ183" s="28" t="n">
        <f aca="false">IF(ISNUMBER(BB183),DF183,0)</f>
        <v>0</v>
      </c>
      <c r="FK183" s="28" t="n">
        <f aca="false">IF(ISNUMBER(BF183),DG183,0)</f>
        <v>0</v>
      </c>
      <c r="FL183" s="28" t="n">
        <f aca="false">IF(ISNUMBER(BJ183),DH183,0)</f>
        <v>1</v>
      </c>
      <c r="FM183" s="28" t="n">
        <f aca="false">IF(ISNUMBER(BN183),DI183,0)</f>
        <v>0</v>
      </c>
      <c r="FN183" s="28" t="n">
        <f aca="false">IF(ISNUMBER(BR183),DJ183,0)</f>
        <v>0</v>
      </c>
      <c r="FO183" s="28" t="str">
        <f aca="false">IFERROR(INDEX(Lists!$G$2:$G$20,MATCH($I183&amp;"|"&amp;$J183,Lists!$F$2:$F$20,0)),"")</f>
        <v>Hist Overall HL</v>
      </c>
    </row>
    <row r="184" customFormat="false" ht="19.5" hidden="false" customHeight="true" outlineLevel="0" collapsed="false">
      <c r="A184" s="29" t="s">
        <v>417</v>
      </c>
      <c r="B184" s="29" t="s">
        <v>418</v>
      </c>
      <c r="C184" s="30" t="s">
        <v>152</v>
      </c>
      <c r="D184" s="30" t="s">
        <v>415</v>
      </c>
      <c r="E184" s="31" t="n">
        <v>6.6</v>
      </c>
      <c r="F184" s="30" t="n">
        <v>7</v>
      </c>
      <c r="G184" s="30"/>
      <c r="H184" s="32" t="s">
        <v>23</v>
      </c>
      <c r="I184" s="33" t="s">
        <v>416</v>
      </c>
      <c r="J184" s="32" t="s">
        <v>25</v>
      </c>
      <c r="K184" s="34" t="n">
        <f aca="false">IF(OR(M184="",$E184=""),"",M184-$E184)</f>
        <v>0.4</v>
      </c>
      <c r="L184" s="35" t="n">
        <f aca="false">IF(SUM(FA184:FN184)=0,"",SUM(EM184:EZ184)/SUM(FA184:FN184))</f>
        <v>82.2179487179487</v>
      </c>
      <c r="M184" s="36" t="n">
        <f aca="false">IF(OR(L184="",FO184=""),"",IFERROR(MATCH(L184,INDEX(Boundaries!$B$2:$I$30,MATCH(FO184,Boundaries!$A$2:$A$30,0),0),1)-1,""))</f>
        <v>7</v>
      </c>
      <c r="N184" s="37" t="n">
        <f aca="false">IF(COUNT($DY184:$EL184)&lt;2,"",INDEX($DK184:$DX184,MAX($DY184:$EL184))-INDEX($DK184:$DX184,MIN($DY184:$EL184)))</f>
        <v>0</v>
      </c>
      <c r="O184" s="37" t="n">
        <f aca="false">IF(COUNT($DY184:$EL184)&lt;2,"",INDEX($DK184:$DX184,MAX($DY184:$EL184))-INDEX($DK184:$DX184,LARGE($DY184:$EL184,2)))</f>
        <v>0</v>
      </c>
      <c r="P184" s="38" t="str">
        <f aca="false">IF(K184="","",IF(K184&gt;=0,"On/above target",IF(AND(N184&lt;&gt;"",N184&gt;=0.5),"Improving towards target",IF(AND(O184&lt;&gt;"",O184&lt;=-0.5),"Declining","Stable below target"))))</f>
        <v>On/above target</v>
      </c>
      <c r="Q184" s="39" t="n">
        <v>20</v>
      </c>
      <c r="R184" s="40" t="n">
        <f aca="false">IF(OR(Q184="",BU184=""),"",Q184/BU184*100)</f>
        <v>83.3333333333333</v>
      </c>
      <c r="S184" s="41" t="n">
        <f aca="false">IF(R184="","",IFERROR(MATCH(R184,INDEX(Boundaries!$B$2:$I$30,MATCH(CI184,Boundaries!$A$2:$A$30,0),0),1)-1,""))</f>
        <v>7</v>
      </c>
      <c r="T184" s="42" t="n">
        <f aca="false">IF(OR(S184="",$E184=""),"",S184-$E184)</f>
        <v>0.4</v>
      </c>
      <c r="U184" s="39" t="n">
        <v>12</v>
      </c>
      <c r="V184" s="40" t="n">
        <f aca="false">IF(OR(U184="",BV184=""),"",U184/BV184*100)</f>
        <v>80</v>
      </c>
      <c r="W184" s="41" t="n">
        <f aca="false">IF(V184="","",IFERROR(MATCH(V184,INDEX(Boundaries!$B$2:$I$30,MATCH(CJ184,Boundaries!$A$2:$A$30,0),0),1)-1,""))</f>
        <v>7</v>
      </c>
      <c r="X184" s="42" t="n">
        <f aca="false">IF(OR(W184="",$E184=""),"",W184-$E184)</f>
        <v>0.4</v>
      </c>
      <c r="Y184" s="39" t="n">
        <v>19</v>
      </c>
      <c r="Z184" s="40" t="n">
        <f aca="false">IF(OR(Y184="",BW184=""),"",Y184/BW184*100)</f>
        <v>79.1666666666667</v>
      </c>
      <c r="AA184" s="41" t="n">
        <f aca="false">IF(Z184="","",IFERROR(MATCH(Z184,INDEX(Boundaries!$B$2:$I$30,MATCH(CK184,Boundaries!$A$2:$A$30,0),0),1)-1,""))</f>
        <v>7</v>
      </c>
      <c r="AB184" s="42" t="n">
        <f aca="false">IF(OR(AA184="",$E184=""),"",AA184-$E184)</f>
        <v>0.4</v>
      </c>
      <c r="AC184" s="39" t="n">
        <v>13</v>
      </c>
      <c r="AD184" s="40" t="n">
        <f aca="false">IF(OR(AC184="",BX184=""),"",AC184/BX184*100)</f>
        <v>86.6666666666667</v>
      </c>
      <c r="AE184" s="41" t="n">
        <f aca="false">IF(AD184="","",IFERROR(MATCH(AD184,INDEX(Boundaries!$B$2:$I$30,MATCH(CL184,Boundaries!$A$2:$A$30,0),0),1)-1,""))</f>
        <v>7</v>
      </c>
      <c r="AF184" s="42" t="n">
        <f aca="false">IF(OR(AE184="",$E184=""),"",AE184-$E184)</f>
        <v>0.4</v>
      </c>
      <c r="AG184" s="39" t="n">
        <v>13</v>
      </c>
      <c r="AH184" s="40" t="n">
        <f aca="false">IF(OR(AG184="",BY184=""),"",AG184/BY184*100)</f>
        <v>86.6666666666667</v>
      </c>
      <c r="AI184" s="41" t="n">
        <f aca="false">IF(AH184="","",IFERROR(MATCH(AH184,INDEX(Boundaries!$B$2:$I$30,MATCH(CM184,Boundaries!$A$2:$A$30,0),0),1)-1,""))</f>
        <v>7</v>
      </c>
      <c r="AJ184" s="42" t="n">
        <f aca="false">IF(OR(AI184="",$E184=""),"",AI184-$E184)</f>
        <v>0.4</v>
      </c>
      <c r="AK184" s="39" t="n">
        <v>20</v>
      </c>
      <c r="AL184" s="40" t="n">
        <f aca="false">IF(OR(AK184="",BZ184=""),"",AK184/BZ184*100)</f>
        <v>83.3333333333333</v>
      </c>
      <c r="AM184" s="41" t="n">
        <f aca="false">IF(AL184="","",IFERROR(MATCH(AL184,INDEX(Boundaries!$B$2:$I$30,MATCH(CN184,Boundaries!$A$2:$A$30,0),0),1)-1,""))</f>
        <v>7</v>
      </c>
      <c r="AN184" s="42" t="n">
        <f aca="false">IF(OR(AM184="",$E184=""),"",AM184-$E184)</f>
        <v>0.4</v>
      </c>
      <c r="AO184" s="39" t="n">
        <v>24</v>
      </c>
      <c r="AP184" s="40" t="n">
        <f aca="false">IF(OR(AO184="",CA184=""),"",AO184/CA184*100)</f>
        <v>80</v>
      </c>
      <c r="AQ184" s="41" t="n">
        <f aca="false">IF(AP184="","",IFERROR(MATCH(AP184,INDEX(Boundaries!$B$2:$I$30,MATCH(CO184,Boundaries!$A$2:$A$30,0),0),1)-1,""))</f>
        <v>7</v>
      </c>
      <c r="AR184" s="42" t="n">
        <f aca="false">IF(OR(AQ184="",$E184=""),"",AQ184-$E184)</f>
        <v>0.4</v>
      </c>
      <c r="AS184" s="39" t="n">
        <v>11</v>
      </c>
      <c r="AT184" s="40" t="n">
        <f aca="false">IF(OR(AS184="",CB184=""),"",AS184/CB184*100)</f>
        <v>73.3333333333333</v>
      </c>
      <c r="AU184" s="41" t="n">
        <f aca="false">IF(AT184="","",IFERROR(MATCH(AT184,INDEX(Boundaries!$B$2:$I$30,MATCH(CP184,Boundaries!$A$2:$A$30,0),0),1)-1,""))</f>
        <v>7</v>
      </c>
      <c r="AV184" s="42" t="n">
        <f aca="false">IF(OR(AU184="",$E184=""),"",AU184-$E184)</f>
        <v>0.4</v>
      </c>
      <c r="AW184" s="39" t="n">
        <v>22</v>
      </c>
      <c r="AX184" s="40" t="n">
        <f aca="false">IF(OR(AW184="",CC184=""),"",AW184/CC184*100)</f>
        <v>91.6666666666667</v>
      </c>
      <c r="AY184" s="41" t="n">
        <f aca="false">IF(AX184="","",IFERROR(MATCH(AX184,INDEX(Boundaries!$B$2:$I$30,MATCH(CQ184,Boundaries!$A$2:$A$30,0),0),1)-1,""))</f>
        <v>7</v>
      </c>
      <c r="AZ184" s="42" t="n">
        <f aca="false">IF(OR(AY184="",$E184=""),"",AY184-$E184)</f>
        <v>0.4</v>
      </c>
      <c r="BA184" s="39"/>
      <c r="BB184" s="40" t="str">
        <f aca="false">IF(OR(BA184="",CD184=""),"",BA184/CD184*100)</f>
        <v/>
      </c>
      <c r="BC184" s="41" t="str">
        <f aca="false">IF(BB184="","",IFERROR(MATCH(BB184,INDEX(Boundaries!$B$2:$I$30,MATCH(CR184,Boundaries!$A$2:$A$30,0),0),1)-1,""))</f>
        <v/>
      </c>
      <c r="BD184" s="42" t="str">
        <f aca="false">IF(OR(BC184="",$E184=""),"",BC184-$E184)</f>
        <v/>
      </c>
      <c r="BE184" s="39"/>
      <c r="BF184" s="40" t="str">
        <f aca="false">IF(OR(BE184="",CE184=""),"",BE184/CE184*100)</f>
        <v/>
      </c>
      <c r="BG184" s="41" t="str">
        <f aca="false">IF(BF184="","",IFERROR(MATCH(BF184,INDEX(Boundaries!$B$2:$I$30,MATCH(CS184,Boundaries!$A$2:$A$30,0),0),1)-1,""))</f>
        <v/>
      </c>
      <c r="BH184" s="42" t="str">
        <f aca="false">IF(OR(BG184="",$E184=""),"",BG184-$E184)</f>
        <v/>
      </c>
      <c r="BI184" s="39" t="n">
        <v>88</v>
      </c>
      <c r="BJ184" s="40" t="n">
        <f aca="false">IF(OR(BI184="",CF184=""),"",BI184/CF184*100)</f>
        <v>88</v>
      </c>
      <c r="BK184" s="41" t="n">
        <f aca="false">IF(BJ184="","",IFERROR(MATCH(BJ184,INDEX(Boundaries!$B$2:$I$30,MATCH(CT184,Boundaries!$A$2:$A$30,0),0),1)-1,""))</f>
        <v>7</v>
      </c>
      <c r="BL184" s="42" t="n">
        <f aca="false">IF(OR(BK184="",$E184=""),"",BK184-$E184)</f>
        <v>0.4</v>
      </c>
      <c r="BM184" s="39"/>
      <c r="BN184" s="40" t="str">
        <f aca="false">IF(OR(BM184="",CG184=""),"",BM184/CG184*100)</f>
        <v/>
      </c>
      <c r="BO184" s="41" t="str">
        <f aca="false">IF(BN184="","",IFERROR(MATCH(BN184,INDEX(Boundaries!$B$2:$I$30,MATCH(CU184,Boundaries!$A$2:$A$30,0),0),1)-1,""))</f>
        <v/>
      </c>
      <c r="BP184" s="42" t="str">
        <f aca="false">IF(OR(BO184="",$E184=""),"",BO184-$E184)</f>
        <v/>
      </c>
      <c r="BQ184" s="39"/>
      <c r="BR184" s="40" t="str">
        <f aca="false">IF(OR(BQ184="",CH184=""),"",BQ184/CH184*100)</f>
        <v/>
      </c>
      <c r="BS184" s="41" t="str">
        <f aca="false">IF(BR184="","",IFERROR(MATCH(BR184,INDEX(Boundaries!$B$2:$I$30,MATCH(CV184,Boundaries!$A$2:$A$30,0),0),1)-1,""))</f>
        <v/>
      </c>
      <c r="BT184" s="42" t="str">
        <f aca="false">IF(OR(BS184="",$E184=""),"",BS184-$E184)</f>
        <v/>
      </c>
      <c r="BU184" s="28" t="n">
        <f aca="false">IFERROR(INDEX(Assessments!$H$2:$H$600,MATCH($H184&amp;"|"&amp;$I184&amp;"|"&amp;$J184&amp;"|"&amp;1,Assessments!$A$2:$A$600,0)),"")</f>
        <v>24</v>
      </c>
      <c r="BV184" s="28" t="n">
        <f aca="false">IFERROR(INDEX(Assessments!$H$2:$H$600,MATCH($H184&amp;"|"&amp;$I184&amp;"|"&amp;$J184&amp;"|"&amp;2,Assessments!$A$2:$A$600,0)),"")</f>
        <v>15</v>
      </c>
      <c r="BW184" s="28" t="n">
        <f aca="false">IFERROR(INDEX(Assessments!$H$2:$H$600,MATCH($H184&amp;"|"&amp;$I184&amp;"|"&amp;$J184&amp;"|"&amp;3,Assessments!$A$2:$A$600,0)),"")</f>
        <v>24</v>
      </c>
      <c r="BX184" s="28" t="n">
        <f aca="false">IFERROR(INDEX(Assessments!$H$2:$H$600,MATCH($H184&amp;"|"&amp;$I184&amp;"|"&amp;$J184&amp;"|"&amp;4,Assessments!$A$2:$A$600,0)),"")</f>
        <v>15</v>
      </c>
      <c r="BY184" s="28" t="n">
        <f aca="false">IFERROR(INDEX(Assessments!$H$2:$H$600,MATCH($H184&amp;"|"&amp;$I184&amp;"|"&amp;$J184&amp;"|"&amp;5,Assessments!$A$2:$A$600,0)),"")</f>
        <v>15</v>
      </c>
      <c r="BZ184" s="28" t="n">
        <f aca="false">IFERROR(INDEX(Assessments!$H$2:$H$600,MATCH($H184&amp;"|"&amp;$I184&amp;"|"&amp;$J184&amp;"|"&amp;6,Assessments!$A$2:$A$600,0)),"")</f>
        <v>24</v>
      </c>
      <c r="CA184" s="28" t="n">
        <f aca="false">IFERROR(INDEX(Assessments!$H$2:$H$600,MATCH($H184&amp;"|"&amp;$I184&amp;"|"&amp;$J184&amp;"|"&amp;7,Assessments!$A$2:$A$600,0)),"")</f>
        <v>30</v>
      </c>
      <c r="CB184" s="28" t="n">
        <f aca="false">IFERROR(INDEX(Assessments!$H$2:$H$600,MATCH($H184&amp;"|"&amp;$I184&amp;"|"&amp;$J184&amp;"|"&amp;8,Assessments!$A$2:$A$600,0)),"")</f>
        <v>15</v>
      </c>
      <c r="CC184" s="28" t="n">
        <f aca="false">IFERROR(INDEX(Assessments!$H$2:$H$600,MATCH($H184&amp;"|"&amp;$I184&amp;"|"&amp;$J184&amp;"|"&amp;9,Assessments!$A$2:$A$600,0)),"")</f>
        <v>24</v>
      </c>
      <c r="CD184" s="28" t="n">
        <f aca="false">IFERROR(INDEX(Assessments!$H$2:$H$600,MATCH($H184&amp;"|"&amp;$I184&amp;"|"&amp;$J184&amp;"|"&amp;10,Assessments!$A$2:$A$600,0)),"")</f>
        <v>15</v>
      </c>
      <c r="CE184" s="28" t="n">
        <f aca="false">IFERROR(INDEX(Assessments!$H$2:$H$600,MATCH($H184&amp;"|"&amp;$I184&amp;"|"&amp;$J184&amp;"|"&amp;11,Assessments!$A$2:$A$600,0)),"")</f>
        <v>15</v>
      </c>
      <c r="CF184" s="28" t="n">
        <f aca="false">IFERROR(INDEX(Assessments!$H$2:$H$600,MATCH($H184&amp;"|"&amp;$I184&amp;"|"&amp;$J184&amp;"|"&amp;12,Assessments!$A$2:$A$600,0)),"")</f>
        <v>100</v>
      </c>
      <c r="CG184" s="28" t="n">
        <f aca="false">IFERROR(INDEX(Assessments!$H$2:$H$600,MATCH($H184&amp;"|"&amp;$I184&amp;"|"&amp;$J184&amp;"|"&amp;13,Assessments!$A$2:$A$600,0)),"")</f>
        <v>15</v>
      </c>
      <c r="CH184" s="28" t="str">
        <f aca="false">IFERROR(INDEX(Assessments!$H$2:$H$600,MATCH($H184&amp;"|"&amp;$I184&amp;"|"&amp;$J184&amp;"|"&amp;14,Assessments!$A$2:$A$600,0)),"")</f>
        <v/>
      </c>
      <c r="CI184" s="28" t="str">
        <f aca="false">IFERROR(INDEX(Assessments!$I$2:$I$600,MATCH($H184&amp;"|"&amp;$I184&amp;"|"&amp;$J184&amp;"|"&amp;1,Assessments!$A$2:$A$600,0)),"")</f>
        <v>Hist Paper 1</v>
      </c>
      <c r="CJ184" s="28" t="str">
        <f aca="false">IFERROR(INDEX(Assessments!$I$2:$I$600,MATCH($H184&amp;"|"&amp;$I184&amp;"|"&amp;$J184&amp;"|"&amp;2,Assessments!$A$2:$A$600,0)),"")</f>
        <v>Hist P3 essay</v>
      </c>
      <c r="CK184" s="28" t="str">
        <f aca="false">IFERROR(INDEX(Assessments!$I$2:$I$600,MATCH($H184&amp;"|"&amp;$I184&amp;"|"&amp;$J184&amp;"|"&amp;3,Assessments!$A$2:$A$600,0)),"")</f>
        <v>Hist Paper 1</v>
      </c>
      <c r="CL184" s="28" t="str">
        <f aca="false">IFERROR(INDEX(Assessments!$I$2:$I$600,MATCH($H184&amp;"|"&amp;$I184&amp;"|"&amp;$J184&amp;"|"&amp;4,Assessments!$A$2:$A$600,0)),"")</f>
        <v>Hist P2 partial</v>
      </c>
      <c r="CM184" s="28" t="str">
        <f aca="false">IFERROR(INDEX(Assessments!$I$2:$I$600,MATCH($H184&amp;"|"&amp;$I184&amp;"|"&amp;$J184&amp;"|"&amp;5,Assessments!$A$2:$A$600,0)),"")</f>
        <v>Hist P3 essay</v>
      </c>
      <c r="CN184" s="28" t="str">
        <f aca="false">IFERROR(INDEX(Assessments!$I$2:$I$600,MATCH($H184&amp;"|"&amp;$I184&amp;"|"&amp;$J184&amp;"|"&amp;6,Assessments!$A$2:$A$600,0)),"")</f>
        <v>Hist Paper 1</v>
      </c>
      <c r="CO184" s="28" t="str">
        <f aca="false">IFERROR(INDEX(Assessments!$I$2:$I$600,MATCH($H184&amp;"|"&amp;$I184&amp;"|"&amp;$J184&amp;"|"&amp;7,Assessments!$A$2:$A$600,0)),"")</f>
        <v>Hist P2 full</v>
      </c>
      <c r="CP184" s="28" t="str">
        <f aca="false">IFERROR(INDEX(Assessments!$I$2:$I$600,MATCH($H184&amp;"|"&amp;$I184&amp;"|"&amp;$J184&amp;"|"&amp;8,Assessments!$A$2:$A$600,0)),"")</f>
        <v>Hist P3 full</v>
      </c>
      <c r="CQ184" s="28" t="str">
        <f aca="false">IFERROR(INDEX(Assessments!$I$2:$I$600,MATCH($H184&amp;"|"&amp;$I184&amp;"|"&amp;$J184&amp;"|"&amp;9,Assessments!$A$2:$A$600,0)),"")</f>
        <v>Hist Paper 1</v>
      </c>
      <c r="CR184" s="28" t="str">
        <f aca="false">IFERROR(INDEX(Assessments!$I$2:$I$600,MATCH($H184&amp;"|"&amp;$I184&amp;"|"&amp;$J184&amp;"|"&amp;10,Assessments!$A$2:$A$600,0)),"")</f>
        <v>Hist P2 partial</v>
      </c>
      <c r="CS184" s="28" t="str">
        <f aca="false">IFERROR(INDEX(Assessments!$I$2:$I$600,MATCH($H184&amp;"|"&amp;$I184&amp;"|"&amp;$J184&amp;"|"&amp;11,Assessments!$A$2:$A$600,0)),"")</f>
        <v>Hist P3 essay</v>
      </c>
      <c r="CT184" s="28" t="str">
        <f aca="false">IFERROR(INDEX(Assessments!$I$2:$I$600,MATCH($H184&amp;"|"&amp;$I184&amp;"|"&amp;$J184&amp;"|"&amp;12,Assessments!$A$2:$A$600,0)),"")</f>
        <v>Hist P3 essay</v>
      </c>
      <c r="CU184" s="28" t="str">
        <f aca="false">IFERROR(INDEX(Assessments!$I$2:$I$600,MATCH($H184&amp;"|"&amp;$I184&amp;"|"&amp;$J184&amp;"|"&amp;13,Assessments!$A$2:$A$600,0)),"")</f>
        <v>Hist P3 essay</v>
      </c>
      <c r="CV184" s="28" t="str">
        <f aca="false">IFERROR(INDEX(Assessments!$I$2:$I$600,MATCH($H184&amp;"|"&amp;$I184&amp;"|"&amp;$J184&amp;"|"&amp;14,Assessments!$A$2:$A$600,0)),"")</f>
        <v/>
      </c>
      <c r="CW184" s="28" t="n">
        <f aca="false">IFERROR(INDEX(Assessments!$J$2:$J$600,MATCH($H184&amp;"|"&amp;$I184&amp;"|"&amp;$J184&amp;"|"&amp;1,Assessments!$A$2:$A$600,0)),0)</f>
        <v>1</v>
      </c>
      <c r="CX184" s="28" t="n">
        <f aca="false">IFERROR(INDEX(Assessments!$J$2:$J$600,MATCH($H184&amp;"|"&amp;$I184&amp;"|"&amp;$J184&amp;"|"&amp;2,Assessments!$A$2:$A$600,0)),0)</f>
        <v>1</v>
      </c>
      <c r="CY184" s="28" t="n">
        <f aca="false">IFERROR(INDEX(Assessments!$J$2:$J$600,MATCH($H184&amp;"|"&amp;$I184&amp;"|"&amp;$J184&amp;"|"&amp;3,Assessments!$A$2:$A$600,0)),0)</f>
        <v>1</v>
      </c>
      <c r="CZ184" s="28" t="n">
        <f aca="false">IFERROR(INDEX(Assessments!$J$2:$J$600,MATCH($H184&amp;"|"&amp;$I184&amp;"|"&amp;$J184&amp;"|"&amp;4,Assessments!$A$2:$A$600,0)),0)</f>
        <v>1</v>
      </c>
      <c r="DA184" s="28" t="n">
        <f aca="false">IFERROR(INDEX(Assessments!$J$2:$J$600,MATCH($H184&amp;"|"&amp;$I184&amp;"|"&amp;$J184&amp;"|"&amp;5,Assessments!$A$2:$A$600,0)),0)</f>
        <v>1</v>
      </c>
      <c r="DB184" s="28" t="n">
        <f aca="false">IFERROR(INDEX(Assessments!$J$2:$J$600,MATCH($H184&amp;"|"&amp;$I184&amp;"|"&amp;$J184&amp;"|"&amp;6,Assessments!$A$2:$A$600,0)),0)</f>
        <v>2</v>
      </c>
      <c r="DC184" s="28" t="n">
        <f aca="false">IFERROR(INDEX(Assessments!$J$2:$J$600,MATCH($H184&amp;"|"&amp;$I184&amp;"|"&amp;$J184&amp;"|"&amp;7,Assessments!$A$2:$A$600,0)),0)</f>
        <v>2</v>
      </c>
      <c r="DD184" s="28" t="n">
        <f aca="false">IFERROR(INDEX(Assessments!$J$2:$J$600,MATCH($H184&amp;"|"&amp;$I184&amp;"|"&amp;$J184&amp;"|"&amp;8,Assessments!$A$2:$A$600,0)),0)</f>
        <v>2</v>
      </c>
      <c r="DE184" s="28" t="n">
        <f aca="false">IFERROR(INDEX(Assessments!$J$2:$J$600,MATCH($H184&amp;"|"&amp;$I184&amp;"|"&amp;$J184&amp;"|"&amp;9,Assessments!$A$2:$A$600,0)),0)</f>
        <v>1</v>
      </c>
      <c r="DF184" s="28" t="n">
        <f aca="false">IFERROR(INDEX(Assessments!$J$2:$J$600,MATCH($H184&amp;"|"&amp;$I184&amp;"|"&amp;$J184&amp;"|"&amp;10,Assessments!$A$2:$A$600,0)),0)</f>
        <v>1</v>
      </c>
      <c r="DG184" s="28" t="n">
        <f aca="false">IFERROR(INDEX(Assessments!$J$2:$J$600,MATCH($H184&amp;"|"&amp;$I184&amp;"|"&amp;$J184&amp;"|"&amp;11,Assessments!$A$2:$A$600,0)),0)</f>
        <v>1</v>
      </c>
      <c r="DH184" s="28" t="n">
        <f aca="false">IFERROR(INDEX(Assessments!$J$2:$J$600,MATCH($H184&amp;"|"&amp;$I184&amp;"|"&amp;$J184&amp;"|"&amp;12,Assessments!$A$2:$A$600,0)),0)</f>
        <v>1</v>
      </c>
      <c r="DI184" s="28" t="n">
        <f aca="false">IFERROR(INDEX(Assessments!$J$2:$J$600,MATCH($H184&amp;"|"&amp;$I184&amp;"|"&amp;$J184&amp;"|"&amp;13,Assessments!$A$2:$A$600,0)),0)</f>
        <v>1</v>
      </c>
      <c r="DJ184" s="28" t="n">
        <f aca="false">IFERROR(INDEX(Assessments!$J$2:$J$600,MATCH($H184&amp;"|"&amp;$I184&amp;"|"&amp;$J184&amp;"|"&amp;14,Assessments!$A$2:$A$600,0)),0)</f>
        <v>0</v>
      </c>
      <c r="DK184" s="28" t="n">
        <f aca="false">S184</f>
        <v>7</v>
      </c>
      <c r="DL184" s="28" t="n">
        <f aca="false">W184</f>
        <v>7</v>
      </c>
      <c r="DM184" s="28" t="n">
        <f aca="false">AA184</f>
        <v>7</v>
      </c>
      <c r="DN184" s="28" t="n">
        <f aca="false">AE184</f>
        <v>7</v>
      </c>
      <c r="DO184" s="28" t="n">
        <f aca="false">AI184</f>
        <v>7</v>
      </c>
      <c r="DP184" s="28" t="n">
        <f aca="false">AM184</f>
        <v>7</v>
      </c>
      <c r="DQ184" s="28" t="n">
        <f aca="false">AQ184</f>
        <v>7</v>
      </c>
      <c r="DR184" s="28" t="n">
        <f aca="false">AU184</f>
        <v>7</v>
      </c>
      <c r="DS184" s="28" t="n">
        <f aca="false">AY184</f>
        <v>7</v>
      </c>
      <c r="DT184" s="28" t="str">
        <f aca="false">BC184</f>
        <v/>
      </c>
      <c r="DU184" s="28" t="str">
        <f aca="false">BG184</f>
        <v/>
      </c>
      <c r="DV184" s="28" t="n">
        <f aca="false">BK184</f>
        <v>7</v>
      </c>
      <c r="DW184" s="28" t="str">
        <f aca="false">BO184</f>
        <v/>
      </c>
      <c r="DX184" s="28" t="str">
        <f aca="false">BS184</f>
        <v/>
      </c>
      <c r="DY184" s="28" t="n">
        <f aca="false">IF(ISNUMBER(S184),1,"")</f>
        <v>1</v>
      </c>
      <c r="DZ184" s="28" t="n">
        <f aca="false">IF(ISNUMBER(W184),2,"")</f>
        <v>2</v>
      </c>
      <c r="EA184" s="28" t="n">
        <f aca="false">IF(ISNUMBER(AA184),3,"")</f>
        <v>3</v>
      </c>
      <c r="EB184" s="28" t="n">
        <f aca="false">IF(ISNUMBER(AE184),4,"")</f>
        <v>4</v>
      </c>
      <c r="EC184" s="28" t="n">
        <f aca="false">IF(ISNUMBER(AI184),5,"")</f>
        <v>5</v>
      </c>
      <c r="ED184" s="28" t="n">
        <f aca="false">IF(ISNUMBER(AM184),6,"")</f>
        <v>6</v>
      </c>
      <c r="EE184" s="28" t="n">
        <f aca="false">IF(ISNUMBER(AQ184),7,"")</f>
        <v>7</v>
      </c>
      <c r="EF184" s="28" t="n">
        <f aca="false">IF(ISNUMBER(AU184),8,"")</f>
        <v>8</v>
      </c>
      <c r="EG184" s="28" t="n">
        <f aca="false">IF(ISNUMBER(AY184),9,"")</f>
        <v>9</v>
      </c>
      <c r="EH184" s="28" t="str">
        <f aca="false">IF(ISNUMBER(BC184),10,"")</f>
        <v/>
      </c>
      <c r="EI184" s="28" t="str">
        <f aca="false">IF(ISNUMBER(BG184),11,"")</f>
        <v/>
      </c>
      <c r="EJ184" s="28" t="n">
        <f aca="false">IF(ISNUMBER(BK184),12,"")</f>
        <v>12</v>
      </c>
      <c r="EK184" s="28" t="str">
        <f aca="false">IF(ISNUMBER(BO184),13,"")</f>
        <v/>
      </c>
      <c r="EL184" s="28" t="str">
        <f aca="false">IF(ISNUMBER(BS184),14,"")</f>
        <v/>
      </c>
      <c r="EM184" s="28" t="n">
        <f aca="false">IF(ISNUMBER(R184),R184*CW184,0)</f>
        <v>83.3333333333333</v>
      </c>
      <c r="EN184" s="28" t="n">
        <f aca="false">IF(ISNUMBER(V184),V184*CX184,0)</f>
        <v>80</v>
      </c>
      <c r="EO184" s="28" t="n">
        <f aca="false">IF(ISNUMBER(Z184),Z184*CY184,0)</f>
        <v>79.1666666666667</v>
      </c>
      <c r="EP184" s="28" t="n">
        <f aca="false">IF(ISNUMBER(AD184),AD184*CZ184,0)</f>
        <v>86.6666666666667</v>
      </c>
      <c r="EQ184" s="28" t="n">
        <f aca="false">IF(ISNUMBER(AH184),AH184*DA184,0)</f>
        <v>86.6666666666667</v>
      </c>
      <c r="ER184" s="28" t="n">
        <f aca="false">IF(ISNUMBER(AL184),AL184*DB184,0)</f>
        <v>166.666666666667</v>
      </c>
      <c r="ES184" s="28" t="n">
        <f aca="false">IF(ISNUMBER(AP184),AP184*DC184,0)</f>
        <v>160</v>
      </c>
      <c r="ET184" s="28" t="n">
        <f aca="false">IF(ISNUMBER(AT184),AT184*DD184,0)</f>
        <v>146.666666666667</v>
      </c>
      <c r="EU184" s="28" t="n">
        <f aca="false">IF(ISNUMBER(AX184),AX184*DE184,0)</f>
        <v>91.6666666666667</v>
      </c>
      <c r="EV184" s="28" t="n">
        <f aca="false">IF(ISNUMBER(BB184),BB184*DF184,0)</f>
        <v>0</v>
      </c>
      <c r="EW184" s="28" t="n">
        <f aca="false">IF(ISNUMBER(BF184),BF184*DG184,0)</f>
        <v>0</v>
      </c>
      <c r="EX184" s="28" t="n">
        <f aca="false">IF(ISNUMBER(BJ184),BJ184*DH184,0)</f>
        <v>88</v>
      </c>
      <c r="EY184" s="28" t="n">
        <f aca="false">IF(ISNUMBER(BN184),BN184*DI184,0)</f>
        <v>0</v>
      </c>
      <c r="EZ184" s="28" t="n">
        <f aca="false">IF(ISNUMBER(BR184),BR184*DJ184,0)</f>
        <v>0</v>
      </c>
      <c r="FA184" s="28" t="n">
        <f aca="false">IF(ISNUMBER(R184),CW184,0)</f>
        <v>1</v>
      </c>
      <c r="FB184" s="28" t="n">
        <f aca="false">IF(ISNUMBER(V184),CX184,0)</f>
        <v>1</v>
      </c>
      <c r="FC184" s="28" t="n">
        <f aca="false">IF(ISNUMBER(Z184),CY184,0)</f>
        <v>1</v>
      </c>
      <c r="FD184" s="28" t="n">
        <f aca="false">IF(ISNUMBER(AD184),CZ184,0)</f>
        <v>1</v>
      </c>
      <c r="FE184" s="28" t="n">
        <f aca="false">IF(ISNUMBER(AH184),DA184,0)</f>
        <v>1</v>
      </c>
      <c r="FF184" s="28" t="n">
        <f aca="false">IF(ISNUMBER(AL184),DB184,0)</f>
        <v>2</v>
      </c>
      <c r="FG184" s="28" t="n">
        <f aca="false">IF(ISNUMBER(AP184),DC184,0)</f>
        <v>2</v>
      </c>
      <c r="FH184" s="28" t="n">
        <f aca="false">IF(ISNUMBER(AT184),DD184,0)</f>
        <v>2</v>
      </c>
      <c r="FI184" s="28" t="n">
        <f aca="false">IF(ISNUMBER(AX184),DE184,0)</f>
        <v>1</v>
      </c>
      <c r="FJ184" s="28" t="n">
        <f aca="false">IF(ISNUMBER(BB184),DF184,0)</f>
        <v>0</v>
      </c>
      <c r="FK184" s="28" t="n">
        <f aca="false">IF(ISNUMBER(BF184),DG184,0)</f>
        <v>0</v>
      </c>
      <c r="FL184" s="28" t="n">
        <f aca="false">IF(ISNUMBER(BJ184),DH184,0)</f>
        <v>1</v>
      </c>
      <c r="FM184" s="28" t="n">
        <f aca="false">IF(ISNUMBER(BN184),DI184,0)</f>
        <v>0</v>
      </c>
      <c r="FN184" s="28" t="n">
        <f aca="false">IF(ISNUMBER(BR184),DJ184,0)</f>
        <v>0</v>
      </c>
      <c r="FO184" s="28" t="str">
        <f aca="false">IFERROR(INDEX(Lists!$G$2:$G$20,MATCH($I184&amp;"|"&amp;$J184,Lists!$F$2:$F$20,0)),"")</f>
        <v>Hist Overall HL</v>
      </c>
    </row>
    <row r="185" customFormat="false" ht="19.5" hidden="false" customHeight="true" outlineLevel="0" collapsed="false">
      <c r="A185" s="29" t="s">
        <v>406</v>
      </c>
      <c r="B185" s="29" t="s">
        <v>407</v>
      </c>
      <c r="C185" s="30" t="s">
        <v>152</v>
      </c>
      <c r="D185" s="30" t="s">
        <v>415</v>
      </c>
      <c r="E185" s="31" t="n">
        <v>5.5</v>
      </c>
      <c r="F185" s="30" t="n">
        <v>6</v>
      </c>
      <c r="G185" s="30"/>
      <c r="H185" s="32" t="s">
        <v>23</v>
      </c>
      <c r="I185" s="33" t="s">
        <v>416</v>
      </c>
      <c r="J185" s="32" t="s">
        <v>25</v>
      </c>
      <c r="K185" s="34" t="n">
        <f aca="false">IF(OR(M185="",$E185=""),"",M185-$E185)</f>
        <v>-0.5</v>
      </c>
      <c r="L185" s="35" t="n">
        <f aca="false">IF(SUM(FA185:FN185)=0,"",SUM(EM185:EZ185)/SUM(FA185:FN185))</f>
        <v>59.5833333333333</v>
      </c>
      <c r="M185" s="36" t="n">
        <f aca="false">IF(OR(L185="",FO185=""),"",IFERROR(MATCH(L185,INDEX(Boundaries!$B$2:$I$30,MATCH(FO185,Boundaries!$A$2:$A$30,0),0),1)-1,""))</f>
        <v>5</v>
      </c>
      <c r="N185" s="37" t="n">
        <f aca="false">IF(COUNT($DY185:$EL185)&lt;2,"",INDEX($DK185:$DX185,MAX($DY185:$EL185))-INDEX($DK185:$DX185,MIN($DY185:$EL185)))</f>
        <v>-1</v>
      </c>
      <c r="O185" s="37" t="n">
        <f aca="false">IF(COUNT($DY185:$EL185)&lt;2,"",INDEX($DK185:$DX185,MAX($DY185:$EL185))-INDEX($DK185:$DX185,LARGE($DY185:$EL185,2)))</f>
        <v>-1</v>
      </c>
      <c r="P185" s="38" t="str">
        <f aca="false">IF(K185="","",IF(K185&gt;=0,"On/above target",IF(AND(N185&lt;&gt;"",N185&gt;=0.5),"Improving towards target",IF(AND(O185&lt;&gt;"",O185&lt;=-0.5),"Declining","Stable below target"))))</f>
        <v>Declining</v>
      </c>
      <c r="Q185" s="39" t="n">
        <v>15</v>
      </c>
      <c r="R185" s="40" t="n">
        <f aca="false">IF(OR(Q185="",BU185=""),"",Q185/BU185*100)</f>
        <v>62.5</v>
      </c>
      <c r="S185" s="41" t="n">
        <f aca="false">IF(R185="","",IFERROR(MATCH(R185,INDEX(Boundaries!$B$2:$I$30,MATCH(CI185,Boundaries!$A$2:$A$30,0),0),1)-1,""))</f>
        <v>5</v>
      </c>
      <c r="T185" s="42" t="n">
        <f aca="false">IF(OR(S185="",$E185=""),"",S185-$E185)</f>
        <v>-0.5</v>
      </c>
      <c r="U185" s="39" t="n">
        <v>9</v>
      </c>
      <c r="V185" s="40" t="n">
        <f aca="false">IF(OR(U185="",BV185=""),"",U185/BV185*100)</f>
        <v>60</v>
      </c>
      <c r="W185" s="41" t="n">
        <f aca="false">IF(V185="","",IFERROR(MATCH(V185,INDEX(Boundaries!$B$2:$I$30,MATCH(CJ185,Boundaries!$A$2:$A$30,0),0),1)-1,""))</f>
        <v>5</v>
      </c>
      <c r="X185" s="42" t="n">
        <f aca="false">IF(OR(W185="",$E185=""),"",W185-$E185)</f>
        <v>-0.5</v>
      </c>
      <c r="Y185" s="39" t="n">
        <v>16</v>
      </c>
      <c r="Z185" s="40" t="n">
        <f aca="false">IF(OR(Y185="",BW185=""),"",Y185/BW185*100)</f>
        <v>66.6666666666667</v>
      </c>
      <c r="AA185" s="41" t="n">
        <f aca="false">IF(Z185="","",IFERROR(MATCH(Z185,INDEX(Boundaries!$B$2:$I$30,MATCH(CK185,Boundaries!$A$2:$A$30,0),0),1)-1,""))</f>
        <v>6</v>
      </c>
      <c r="AB185" s="42" t="n">
        <f aca="false">IF(OR(AA185="",$E185=""),"",AA185-$E185)</f>
        <v>0.5</v>
      </c>
      <c r="AC185" s="39" t="n">
        <v>10</v>
      </c>
      <c r="AD185" s="40" t="n">
        <f aca="false">IF(OR(AC185="",BX185=""),"",AC185/BX185*100)</f>
        <v>66.6666666666667</v>
      </c>
      <c r="AE185" s="41" t="n">
        <f aca="false">IF(AD185="","",IFERROR(MATCH(AD185,INDEX(Boundaries!$B$2:$I$30,MATCH(CL185,Boundaries!$A$2:$A$30,0),0),1)-1,""))</f>
        <v>5</v>
      </c>
      <c r="AF185" s="42" t="n">
        <f aca="false">IF(OR(AE185="",$E185=""),"",AE185-$E185)</f>
        <v>-0.5</v>
      </c>
      <c r="AG185" s="39" t="n">
        <v>8</v>
      </c>
      <c r="AH185" s="40" t="n">
        <f aca="false">IF(OR(AG185="",BY185=""),"",AG185/BY185*100)</f>
        <v>53.3333333333333</v>
      </c>
      <c r="AI185" s="41" t="n">
        <f aca="false">IF(AH185="","",IFERROR(MATCH(AH185,INDEX(Boundaries!$B$2:$I$30,MATCH(CM185,Boundaries!$A$2:$A$30,0),0),1)-1,""))</f>
        <v>5</v>
      </c>
      <c r="AJ185" s="42" t="n">
        <f aca="false">IF(OR(AI185="",$E185=""),"",AI185-$E185)</f>
        <v>-0.5</v>
      </c>
      <c r="AK185" s="39" t="n">
        <v>15</v>
      </c>
      <c r="AL185" s="40" t="n">
        <f aca="false">IF(OR(AK185="",BZ185=""),"",AK185/BZ185*100)</f>
        <v>62.5</v>
      </c>
      <c r="AM185" s="41" t="n">
        <f aca="false">IF(AL185="","",IFERROR(MATCH(AL185,INDEX(Boundaries!$B$2:$I$30,MATCH(CN185,Boundaries!$A$2:$A$30,0),0),1)-1,""))</f>
        <v>5</v>
      </c>
      <c r="AN185" s="42" t="n">
        <f aca="false">IF(OR(AM185="",$E185=""),"",AM185-$E185)</f>
        <v>-0.5</v>
      </c>
      <c r="AO185" s="39" t="n">
        <v>18</v>
      </c>
      <c r="AP185" s="40" t="n">
        <f aca="false">IF(OR(AO185="",CA185=""),"",AO185/CA185*100)</f>
        <v>60</v>
      </c>
      <c r="AQ185" s="41" t="n">
        <f aca="false">IF(AP185="","",IFERROR(MATCH(AP185,INDEX(Boundaries!$B$2:$I$30,MATCH(CO185,Boundaries!$A$2:$A$30,0),0),1)-1,""))</f>
        <v>5</v>
      </c>
      <c r="AR185" s="42" t="n">
        <f aca="false">IF(OR(AQ185="",$E185=""),"",AQ185-$E185)</f>
        <v>-0.5</v>
      </c>
      <c r="AS185" s="39" t="n">
        <v>7</v>
      </c>
      <c r="AT185" s="40" t="n">
        <f aca="false">IF(OR(AS185="",CB185=""),"",AS185/CB185*100)</f>
        <v>46.6666666666667</v>
      </c>
      <c r="AU185" s="41" t="n">
        <f aca="false">IF(AT185="","",IFERROR(MATCH(AT185,INDEX(Boundaries!$B$2:$I$30,MATCH(CP185,Boundaries!$A$2:$A$30,0),0),1)-1,""))</f>
        <v>4</v>
      </c>
      <c r="AV185" s="42" t="n">
        <f aca="false">IF(OR(AU185="",$E185=""),"",AU185-$E185)</f>
        <v>-1.5</v>
      </c>
      <c r="AW185" s="39" t="n">
        <v>18</v>
      </c>
      <c r="AX185" s="40" t="n">
        <f aca="false">IF(OR(AW185="",CC185=""),"",AW185/CC185*100)</f>
        <v>75</v>
      </c>
      <c r="AY185" s="41" t="n">
        <f aca="false">IF(AX185="","",IFERROR(MATCH(AX185,INDEX(Boundaries!$B$2:$I$30,MATCH(CQ185,Boundaries!$A$2:$A$30,0),0),1)-1,""))</f>
        <v>6</v>
      </c>
      <c r="AZ185" s="42" t="n">
        <f aca="false">IF(OR(AY185="",$E185=""),"",AY185-$E185)</f>
        <v>0.5</v>
      </c>
      <c r="BA185" s="39"/>
      <c r="BB185" s="40" t="str">
        <f aca="false">IF(OR(BA185="",CD185=""),"",BA185/CD185*100)</f>
        <v/>
      </c>
      <c r="BC185" s="41" t="str">
        <f aca="false">IF(BB185="","",IFERROR(MATCH(BB185,INDEX(Boundaries!$B$2:$I$30,MATCH(CR185,Boundaries!$A$2:$A$30,0),0),1)-1,""))</f>
        <v/>
      </c>
      <c r="BD185" s="42" t="str">
        <f aca="false">IF(OR(BC185="",$E185=""),"",BC185-$E185)</f>
        <v/>
      </c>
      <c r="BE185" s="39"/>
      <c r="BF185" s="40" t="str">
        <f aca="false">IF(OR(BE185="",CE185=""),"",BE185/CE185*100)</f>
        <v/>
      </c>
      <c r="BG185" s="41" t="str">
        <f aca="false">IF(BF185="","",IFERROR(MATCH(BF185,INDEX(Boundaries!$B$2:$I$30,MATCH(CS185,Boundaries!$A$2:$A$30,0),0),1)-1,""))</f>
        <v/>
      </c>
      <c r="BH185" s="42" t="str">
        <f aca="false">IF(OR(BG185="",$E185=""),"",BG185-$E185)</f>
        <v/>
      </c>
      <c r="BI185" s="39" t="n">
        <v>65</v>
      </c>
      <c r="BJ185" s="40" t="n">
        <f aca="false">IF(OR(BI185="",CF185=""),"",BI185/CF185*100)</f>
        <v>65</v>
      </c>
      <c r="BK185" s="41" t="n">
        <f aca="false">IF(BJ185="","",IFERROR(MATCH(BJ185,INDEX(Boundaries!$B$2:$I$30,MATCH(CT185,Boundaries!$A$2:$A$30,0),0),1)-1,""))</f>
        <v>5</v>
      </c>
      <c r="BL185" s="42" t="n">
        <f aca="false">IF(OR(BK185="",$E185=""),"",BK185-$E185)</f>
        <v>-0.5</v>
      </c>
      <c r="BM185" s="39" t="n">
        <v>7</v>
      </c>
      <c r="BN185" s="40" t="n">
        <f aca="false">IF(OR(BM185="",CG185=""),"",BM185/CG185*100)</f>
        <v>46.6666666666667</v>
      </c>
      <c r="BO185" s="41" t="n">
        <f aca="false">IF(BN185="","",IFERROR(MATCH(BN185,INDEX(Boundaries!$B$2:$I$30,MATCH(CU185,Boundaries!$A$2:$A$30,0),0),1)-1,""))</f>
        <v>4</v>
      </c>
      <c r="BP185" s="42" t="n">
        <f aca="false">IF(OR(BO185="",$E185=""),"",BO185-$E185)</f>
        <v>-1.5</v>
      </c>
      <c r="BQ185" s="39"/>
      <c r="BR185" s="40" t="str">
        <f aca="false">IF(OR(BQ185="",CH185=""),"",BQ185/CH185*100)</f>
        <v/>
      </c>
      <c r="BS185" s="41" t="str">
        <f aca="false">IF(BR185="","",IFERROR(MATCH(BR185,INDEX(Boundaries!$B$2:$I$30,MATCH(CV185,Boundaries!$A$2:$A$30,0),0),1)-1,""))</f>
        <v/>
      </c>
      <c r="BT185" s="42" t="str">
        <f aca="false">IF(OR(BS185="",$E185=""),"",BS185-$E185)</f>
        <v/>
      </c>
      <c r="BU185" s="28" t="n">
        <f aca="false">IFERROR(INDEX(Assessments!$H$2:$H$600,MATCH($H185&amp;"|"&amp;$I185&amp;"|"&amp;$J185&amp;"|"&amp;1,Assessments!$A$2:$A$600,0)),"")</f>
        <v>24</v>
      </c>
      <c r="BV185" s="28" t="n">
        <f aca="false">IFERROR(INDEX(Assessments!$H$2:$H$600,MATCH($H185&amp;"|"&amp;$I185&amp;"|"&amp;$J185&amp;"|"&amp;2,Assessments!$A$2:$A$600,0)),"")</f>
        <v>15</v>
      </c>
      <c r="BW185" s="28" t="n">
        <f aca="false">IFERROR(INDEX(Assessments!$H$2:$H$600,MATCH($H185&amp;"|"&amp;$I185&amp;"|"&amp;$J185&amp;"|"&amp;3,Assessments!$A$2:$A$600,0)),"")</f>
        <v>24</v>
      </c>
      <c r="BX185" s="28" t="n">
        <f aca="false">IFERROR(INDEX(Assessments!$H$2:$H$600,MATCH($H185&amp;"|"&amp;$I185&amp;"|"&amp;$J185&amp;"|"&amp;4,Assessments!$A$2:$A$600,0)),"")</f>
        <v>15</v>
      </c>
      <c r="BY185" s="28" t="n">
        <f aca="false">IFERROR(INDEX(Assessments!$H$2:$H$600,MATCH($H185&amp;"|"&amp;$I185&amp;"|"&amp;$J185&amp;"|"&amp;5,Assessments!$A$2:$A$600,0)),"")</f>
        <v>15</v>
      </c>
      <c r="BZ185" s="28" t="n">
        <f aca="false">IFERROR(INDEX(Assessments!$H$2:$H$600,MATCH($H185&amp;"|"&amp;$I185&amp;"|"&amp;$J185&amp;"|"&amp;6,Assessments!$A$2:$A$600,0)),"")</f>
        <v>24</v>
      </c>
      <c r="CA185" s="28" t="n">
        <f aca="false">IFERROR(INDEX(Assessments!$H$2:$H$600,MATCH($H185&amp;"|"&amp;$I185&amp;"|"&amp;$J185&amp;"|"&amp;7,Assessments!$A$2:$A$600,0)),"")</f>
        <v>30</v>
      </c>
      <c r="CB185" s="28" t="n">
        <f aca="false">IFERROR(INDEX(Assessments!$H$2:$H$600,MATCH($H185&amp;"|"&amp;$I185&amp;"|"&amp;$J185&amp;"|"&amp;8,Assessments!$A$2:$A$600,0)),"")</f>
        <v>15</v>
      </c>
      <c r="CC185" s="28" t="n">
        <f aca="false">IFERROR(INDEX(Assessments!$H$2:$H$600,MATCH($H185&amp;"|"&amp;$I185&amp;"|"&amp;$J185&amp;"|"&amp;9,Assessments!$A$2:$A$600,0)),"")</f>
        <v>24</v>
      </c>
      <c r="CD185" s="28" t="n">
        <f aca="false">IFERROR(INDEX(Assessments!$H$2:$H$600,MATCH($H185&amp;"|"&amp;$I185&amp;"|"&amp;$J185&amp;"|"&amp;10,Assessments!$A$2:$A$600,0)),"")</f>
        <v>15</v>
      </c>
      <c r="CE185" s="28" t="n">
        <f aca="false">IFERROR(INDEX(Assessments!$H$2:$H$600,MATCH($H185&amp;"|"&amp;$I185&amp;"|"&amp;$J185&amp;"|"&amp;11,Assessments!$A$2:$A$600,0)),"")</f>
        <v>15</v>
      </c>
      <c r="CF185" s="28" t="n">
        <f aca="false">IFERROR(INDEX(Assessments!$H$2:$H$600,MATCH($H185&amp;"|"&amp;$I185&amp;"|"&amp;$J185&amp;"|"&amp;12,Assessments!$A$2:$A$600,0)),"")</f>
        <v>100</v>
      </c>
      <c r="CG185" s="28" t="n">
        <f aca="false">IFERROR(INDEX(Assessments!$H$2:$H$600,MATCH($H185&amp;"|"&amp;$I185&amp;"|"&amp;$J185&amp;"|"&amp;13,Assessments!$A$2:$A$600,0)),"")</f>
        <v>15</v>
      </c>
      <c r="CH185" s="28" t="str">
        <f aca="false">IFERROR(INDEX(Assessments!$H$2:$H$600,MATCH($H185&amp;"|"&amp;$I185&amp;"|"&amp;$J185&amp;"|"&amp;14,Assessments!$A$2:$A$600,0)),"")</f>
        <v/>
      </c>
      <c r="CI185" s="28" t="str">
        <f aca="false">IFERROR(INDEX(Assessments!$I$2:$I$600,MATCH($H185&amp;"|"&amp;$I185&amp;"|"&amp;$J185&amp;"|"&amp;1,Assessments!$A$2:$A$600,0)),"")</f>
        <v>Hist Paper 1</v>
      </c>
      <c r="CJ185" s="28" t="str">
        <f aca="false">IFERROR(INDEX(Assessments!$I$2:$I$600,MATCH($H185&amp;"|"&amp;$I185&amp;"|"&amp;$J185&amp;"|"&amp;2,Assessments!$A$2:$A$600,0)),"")</f>
        <v>Hist P3 essay</v>
      </c>
      <c r="CK185" s="28" t="str">
        <f aca="false">IFERROR(INDEX(Assessments!$I$2:$I$600,MATCH($H185&amp;"|"&amp;$I185&amp;"|"&amp;$J185&amp;"|"&amp;3,Assessments!$A$2:$A$600,0)),"")</f>
        <v>Hist Paper 1</v>
      </c>
      <c r="CL185" s="28" t="str">
        <f aca="false">IFERROR(INDEX(Assessments!$I$2:$I$600,MATCH($H185&amp;"|"&amp;$I185&amp;"|"&amp;$J185&amp;"|"&amp;4,Assessments!$A$2:$A$600,0)),"")</f>
        <v>Hist P2 partial</v>
      </c>
      <c r="CM185" s="28" t="str">
        <f aca="false">IFERROR(INDEX(Assessments!$I$2:$I$600,MATCH($H185&amp;"|"&amp;$I185&amp;"|"&amp;$J185&amp;"|"&amp;5,Assessments!$A$2:$A$600,0)),"")</f>
        <v>Hist P3 essay</v>
      </c>
      <c r="CN185" s="28" t="str">
        <f aca="false">IFERROR(INDEX(Assessments!$I$2:$I$600,MATCH($H185&amp;"|"&amp;$I185&amp;"|"&amp;$J185&amp;"|"&amp;6,Assessments!$A$2:$A$600,0)),"")</f>
        <v>Hist Paper 1</v>
      </c>
      <c r="CO185" s="28" t="str">
        <f aca="false">IFERROR(INDEX(Assessments!$I$2:$I$600,MATCH($H185&amp;"|"&amp;$I185&amp;"|"&amp;$J185&amp;"|"&amp;7,Assessments!$A$2:$A$600,0)),"")</f>
        <v>Hist P2 full</v>
      </c>
      <c r="CP185" s="28" t="str">
        <f aca="false">IFERROR(INDEX(Assessments!$I$2:$I$600,MATCH($H185&amp;"|"&amp;$I185&amp;"|"&amp;$J185&amp;"|"&amp;8,Assessments!$A$2:$A$600,0)),"")</f>
        <v>Hist P3 full</v>
      </c>
      <c r="CQ185" s="28" t="str">
        <f aca="false">IFERROR(INDEX(Assessments!$I$2:$I$600,MATCH($H185&amp;"|"&amp;$I185&amp;"|"&amp;$J185&amp;"|"&amp;9,Assessments!$A$2:$A$600,0)),"")</f>
        <v>Hist Paper 1</v>
      </c>
      <c r="CR185" s="28" t="str">
        <f aca="false">IFERROR(INDEX(Assessments!$I$2:$I$600,MATCH($H185&amp;"|"&amp;$I185&amp;"|"&amp;$J185&amp;"|"&amp;10,Assessments!$A$2:$A$600,0)),"")</f>
        <v>Hist P2 partial</v>
      </c>
      <c r="CS185" s="28" t="str">
        <f aca="false">IFERROR(INDEX(Assessments!$I$2:$I$600,MATCH($H185&amp;"|"&amp;$I185&amp;"|"&amp;$J185&amp;"|"&amp;11,Assessments!$A$2:$A$600,0)),"")</f>
        <v>Hist P3 essay</v>
      </c>
      <c r="CT185" s="28" t="str">
        <f aca="false">IFERROR(INDEX(Assessments!$I$2:$I$600,MATCH($H185&amp;"|"&amp;$I185&amp;"|"&amp;$J185&amp;"|"&amp;12,Assessments!$A$2:$A$600,0)),"")</f>
        <v>Hist P3 essay</v>
      </c>
      <c r="CU185" s="28" t="str">
        <f aca="false">IFERROR(INDEX(Assessments!$I$2:$I$600,MATCH($H185&amp;"|"&amp;$I185&amp;"|"&amp;$J185&amp;"|"&amp;13,Assessments!$A$2:$A$600,0)),"")</f>
        <v>Hist P3 essay</v>
      </c>
      <c r="CV185" s="28" t="str">
        <f aca="false">IFERROR(INDEX(Assessments!$I$2:$I$600,MATCH($H185&amp;"|"&amp;$I185&amp;"|"&amp;$J185&amp;"|"&amp;14,Assessments!$A$2:$A$600,0)),"")</f>
        <v/>
      </c>
      <c r="CW185" s="28" t="n">
        <f aca="false">IFERROR(INDEX(Assessments!$J$2:$J$600,MATCH($H185&amp;"|"&amp;$I185&amp;"|"&amp;$J185&amp;"|"&amp;1,Assessments!$A$2:$A$600,0)),0)</f>
        <v>1</v>
      </c>
      <c r="CX185" s="28" t="n">
        <f aca="false">IFERROR(INDEX(Assessments!$J$2:$J$600,MATCH($H185&amp;"|"&amp;$I185&amp;"|"&amp;$J185&amp;"|"&amp;2,Assessments!$A$2:$A$600,0)),0)</f>
        <v>1</v>
      </c>
      <c r="CY185" s="28" t="n">
        <f aca="false">IFERROR(INDEX(Assessments!$J$2:$J$600,MATCH($H185&amp;"|"&amp;$I185&amp;"|"&amp;$J185&amp;"|"&amp;3,Assessments!$A$2:$A$600,0)),0)</f>
        <v>1</v>
      </c>
      <c r="CZ185" s="28" t="n">
        <f aca="false">IFERROR(INDEX(Assessments!$J$2:$J$600,MATCH($H185&amp;"|"&amp;$I185&amp;"|"&amp;$J185&amp;"|"&amp;4,Assessments!$A$2:$A$600,0)),0)</f>
        <v>1</v>
      </c>
      <c r="DA185" s="28" t="n">
        <f aca="false">IFERROR(INDEX(Assessments!$J$2:$J$600,MATCH($H185&amp;"|"&amp;$I185&amp;"|"&amp;$J185&amp;"|"&amp;5,Assessments!$A$2:$A$600,0)),0)</f>
        <v>1</v>
      </c>
      <c r="DB185" s="28" t="n">
        <f aca="false">IFERROR(INDEX(Assessments!$J$2:$J$600,MATCH($H185&amp;"|"&amp;$I185&amp;"|"&amp;$J185&amp;"|"&amp;6,Assessments!$A$2:$A$600,0)),0)</f>
        <v>2</v>
      </c>
      <c r="DC185" s="28" t="n">
        <f aca="false">IFERROR(INDEX(Assessments!$J$2:$J$600,MATCH($H185&amp;"|"&amp;$I185&amp;"|"&amp;$J185&amp;"|"&amp;7,Assessments!$A$2:$A$600,0)),0)</f>
        <v>2</v>
      </c>
      <c r="DD185" s="28" t="n">
        <f aca="false">IFERROR(INDEX(Assessments!$J$2:$J$600,MATCH($H185&amp;"|"&amp;$I185&amp;"|"&amp;$J185&amp;"|"&amp;8,Assessments!$A$2:$A$600,0)),0)</f>
        <v>2</v>
      </c>
      <c r="DE185" s="28" t="n">
        <f aca="false">IFERROR(INDEX(Assessments!$J$2:$J$600,MATCH($H185&amp;"|"&amp;$I185&amp;"|"&amp;$J185&amp;"|"&amp;9,Assessments!$A$2:$A$600,0)),0)</f>
        <v>1</v>
      </c>
      <c r="DF185" s="28" t="n">
        <f aca="false">IFERROR(INDEX(Assessments!$J$2:$J$600,MATCH($H185&amp;"|"&amp;$I185&amp;"|"&amp;$J185&amp;"|"&amp;10,Assessments!$A$2:$A$600,0)),0)</f>
        <v>1</v>
      </c>
      <c r="DG185" s="28" t="n">
        <f aca="false">IFERROR(INDEX(Assessments!$J$2:$J$600,MATCH($H185&amp;"|"&amp;$I185&amp;"|"&amp;$J185&amp;"|"&amp;11,Assessments!$A$2:$A$600,0)),0)</f>
        <v>1</v>
      </c>
      <c r="DH185" s="28" t="n">
        <f aca="false">IFERROR(INDEX(Assessments!$J$2:$J$600,MATCH($H185&amp;"|"&amp;$I185&amp;"|"&amp;$J185&amp;"|"&amp;12,Assessments!$A$2:$A$600,0)),0)</f>
        <v>1</v>
      </c>
      <c r="DI185" s="28" t="n">
        <f aca="false">IFERROR(INDEX(Assessments!$J$2:$J$600,MATCH($H185&amp;"|"&amp;$I185&amp;"|"&amp;$J185&amp;"|"&amp;13,Assessments!$A$2:$A$600,0)),0)</f>
        <v>1</v>
      </c>
      <c r="DJ185" s="28" t="n">
        <f aca="false">IFERROR(INDEX(Assessments!$J$2:$J$600,MATCH($H185&amp;"|"&amp;$I185&amp;"|"&amp;$J185&amp;"|"&amp;14,Assessments!$A$2:$A$600,0)),0)</f>
        <v>0</v>
      </c>
      <c r="DK185" s="28" t="n">
        <f aca="false">S185</f>
        <v>5</v>
      </c>
      <c r="DL185" s="28" t="n">
        <f aca="false">W185</f>
        <v>5</v>
      </c>
      <c r="DM185" s="28" t="n">
        <f aca="false">AA185</f>
        <v>6</v>
      </c>
      <c r="DN185" s="28" t="n">
        <f aca="false">AE185</f>
        <v>5</v>
      </c>
      <c r="DO185" s="28" t="n">
        <f aca="false">AI185</f>
        <v>5</v>
      </c>
      <c r="DP185" s="28" t="n">
        <f aca="false">AM185</f>
        <v>5</v>
      </c>
      <c r="DQ185" s="28" t="n">
        <f aca="false">AQ185</f>
        <v>5</v>
      </c>
      <c r="DR185" s="28" t="n">
        <f aca="false">AU185</f>
        <v>4</v>
      </c>
      <c r="DS185" s="28" t="n">
        <f aca="false">AY185</f>
        <v>6</v>
      </c>
      <c r="DT185" s="28" t="str">
        <f aca="false">BC185</f>
        <v/>
      </c>
      <c r="DU185" s="28" t="str">
        <f aca="false">BG185</f>
        <v/>
      </c>
      <c r="DV185" s="28" t="n">
        <f aca="false">BK185</f>
        <v>5</v>
      </c>
      <c r="DW185" s="28" t="n">
        <f aca="false">BO185</f>
        <v>4</v>
      </c>
      <c r="DX185" s="28" t="str">
        <f aca="false">BS185</f>
        <v/>
      </c>
      <c r="DY185" s="28" t="n">
        <f aca="false">IF(ISNUMBER(S185),1,"")</f>
        <v>1</v>
      </c>
      <c r="DZ185" s="28" t="n">
        <f aca="false">IF(ISNUMBER(W185),2,"")</f>
        <v>2</v>
      </c>
      <c r="EA185" s="28" t="n">
        <f aca="false">IF(ISNUMBER(AA185),3,"")</f>
        <v>3</v>
      </c>
      <c r="EB185" s="28" t="n">
        <f aca="false">IF(ISNUMBER(AE185),4,"")</f>
        <v>4</v>
      </c>
      <c r="EC185" s="28" t="n">
        <f aca="false">IF(ISNUMBER(AI185),5,"")</f>
        <v>5</v>
      </c>
      <c r="ED185" s="28" t="n">
        <f aca="false">IF(ISNUMBER(AM185),6,"")</f>
        <v>6</v>
      </c>
      <c r="EE185" s="28" t="n">
        <f aca="false">IF(ISNUMBER(AQ185),7,"")</f>
        <v>7</v>
      </c>
      <c r="EF185" s="28" t="n">
        <f aca="false">IF(ISNUMBER(AU185),8,"")</f>
        <v>8</v>
      </c>
      <c r="EG185" s="28" t="n">
        <f aca="false">IF(ISNUMBER(AY185),9,"")</f>
        <v>9</v>
      </c>
      <c r="EH185" s="28" t="str">
        <f aca="false">IF(ISNUMBER(BC185),10,"")</f>
        <v/>
      </c>
      <c r="EI185" s="28" t="str">
        <f aca="false">IF(ISNUMBER(BG185),11,"")</f>
        <v/>
      </c>
      <c r="EJ185" s="28" t="n">
        <f aca="false">IF(ISNUMBER(BK185),12,"")</f>
        <v>12</v>
      </c>
      <c r="EK185" s="28" t="n">
        <f aca="false">IF(ISNUMBER(BO185),13,"")</f>
        <v>13</v>
      </c>
      <c r="EL185" s="28" t="str">
        <f aca="false">IF(ISNUMBER(BS185),14,"")</f>
        <v/>
      </c>
      <c r="EM185" s="28" t="n">
        <f aca="false">IF(ISNUMBER(R185),R185*CW185,0)</f>
        <v>62.5</v>
      </c>
      <c r="EN185" s="28" t="n">
        <f aca="false">IF(ISNUMBER(V185),V185*CX185,0)</f>
        <v>60</v>
      </c>
      <c r="EO185" s="28" t="n">
        <f aca="false">IF(ISNUMBER(Z185),Z185*CY185,0)</f>
        <v>66.6666666666667</v>
      </c>
      <c r="EP185" s="28" t="n">
        <f aca="false">IF(ISNUMBER(AD185),AD185*CZ185,0)</f>
        <v>66.6666666666667</v>
      </c>
      <c r="EQ185" s="28" t="n">
        <f aca="false">IF(ISNUMBER(AH185),AH185*DA185,0)</f>
        <v>53.3333333333333</v>
      </c>
      <c r="ER185" s="28" t="n">
        <f aca="false">IF(ISNUMBER(AL185),AL185*DB185,0)</f>
        <v>125</v>
      </c>
      <c r="ES185" s="28" t="n">
        <f aca="false">IF(ISNUMBER(AP185),AP185*DC185,0)</f>
        <v>120</v>
      </c>
      <c r="ET185" s="28" t="n">
        <f aca="false">IF(ISNUMBER(AT185),AT185*DD185,0)</f>
        <v>93.3333333333333</v>
      </c>
      <c r="EU185" s="28" t="n">
        <f aca="false">IF(ISNUMBER(AX185),AX185*DE185,0)</f>
        <v>75</v>
      </c>
      <c r="EV185" s="28" t="n">
        <f aca="false">IF(ISNUMBER(BB185),BB185*DF185,0)</f>
        <v>0</v>
      </c>
      <c r="EW185" s="28" t="n">
        <f aca="false">IF(ISNUMBER(BF185),BF185*DG185,0)</f>
        <v>0</v>
      </c>
      <c r="EX185" s="28" t="n">
        <f aca="false">IF(ISNUMBER(BJ185),BJ185*DH185,0)</f>
        <v>65</v>
      </c>
      <c r="EY185" s="28" t="n">
        <f aca="false">IF(ISNUMBER(BN185),BN185*DI185,0)</f>
        <v>46.6666666666667</v>
      </c>
      <c r="EZ185" s="28" t="n">
        <f aca="false">IF(ISNUMBER(BR185),BR185*DJ185,0)</f>
        <v>0</v>
      </c>
      <c r="FA185" s="28" t="n">
        <f aca="false">IF(ISNUMBER(R185),CW185,0)</f>
        <v>1</v>
      </c>
      <c r="FB185" s="28" t="n">
        <f aca="false">IF(ISNUMBER(V185),CX185,0)</f>
        <v>1</v>
      </c>
      <c r="FC185" s="28" t="n">
        <f aca="false">IF(ISNUMBER(Z185),CY185,0)</f>
        <v>1</v>
      </c>
      <c r="FD185" s="28" t="n">
        <f aca="false">IF(ISNUMBER(AD185),CZ185,0)</f>
        <v>1</v>
      </c>
      <c r="FE185" s="28" t="n">
        <f aca="false">IF(ISNUMBER(AH185),DA185,0)</f>
        <v>1</v>
      </c>
      <c r="FF185" s="28" t="n">
        <f aca="false">IF(ISNUMBER(AL185),DB185,0)</f>
        <v>2</v>
      </c>
      <c r="FG185" s="28" t="n">
        <f aca="false">IF(ISNUMBER(AP185),DC185,0)</f>
        <v>2</v>
      </c>
      <c r="FH185" s="28" t="n">
        <f aca="false">IF(ISNUMBER(AT185),DD185,0)</f>
        <v>2</v>
      </c>
      <c r="FI185" s="28" t="n">
        <f aca="false">IF(ISNUMBER(AX185),DE185,0)</f>
        <v>1</v>
      </c>
      <c r="FJ185" s="28" t="n">
        <f aca="false">IF(ISNUMBER(BB185),DF185,0)</f>
        <v>0</v>
      </c>
      <c r="FK185" s="28" t="n">
        <f aca="false">IF(ISNUMBER(BF185),DG185,0)</f>
        <v>0</v>
      </c>
      <c r="FL185" s="28" t="n">
        <f aca="false">IF(ISNUMBER(BJ185),DH185,0)</f>
        <v>1</v>
      </c>
      <c r="FM185" s="28" t="n">
        <f aca="false">IF(ISNUMBER(BN185),DI185,0)</f>
        <v>1</v>
      </c>
      <c r="FN185" s="28" t="n">
        <f aca="false">IF(ISNUMBER(BR185),DJ185,0)</f>
        <v>0</v>
      </c>
      <c r="FO185" s="28" t="str">
        <f aca="false">IFERROR(INDEX(Lists!$G$2:$G$20,MATCH($I185&amp;"|"&amp;$J185,Lists!$F$2:$F$20,0)),"")</f>
        <v>Hist Overall HL</v>
      </c>
    </row>
    <row r="186" customFormat="false" ht="19.5" hidden="false" customHeight="true" outlineLevel="0" collapsed="false">
      <c r="A186" s="29" t="s">
        <v>419</v>
      </c>
      <c r="B186" s="29" t="s">
        <v>420</v>
      </c>
      <c r="C186" s="30" t="s">
        <v>421</v>
      </c>
      <c r="D186" s="30" t="s">
        <v>415</v>
      </c>
      <c r="E186" s="31" t="n">
        <v>6</v>
      </c>
      <c r="F186" s="30" t="n">
        <v>6</v>
      </c>
      <c r="G186" s="30"/>
      <c r="H186" s="32" t="s">
        <v>23</v>
      </c>
      <c r="I186" s="33" t="s">
        <v>416</v>
      </c>
      <c r="J186" s="32" t="s">
        <v>25</v>
      </c>
      <c r="K186" s="34" t="n">
        <f aca="false">IF(OR(M186="",$E186=""),"",M186-$E186)</f>
        <v>0</v>
      </c>
      <c r="L186" s="35" t="n">
        <f aca="false">IF(SUM(FA186:FN186)=0,"",SUM(EM186:EZ186)/SUM(FA186:FN186))</f>
        <v>72.8703703703704</v>
      </c>
      <c r="M186" s="36" t="n">
        <f aca="false">IF(OR(L186="",FO186=""),"",IFERROR(MATCH(L186,INDEX(Boundaries!$B$2:$I$30,MATCH(FO186,Boundaries!$A$2:$A$30,0),0),1)-1,""))</f>
        <v>6</v>
      </c>
      <c r="N186" s="37" t="n">
        <f aca="false">IF(COUNT($DY186:$EL186)&lt;2,"",INDEX($DK186:$DX186,MAX($DY186:$EL186))-INDEX($DK186:$DX186,MIN($DY186:$EL186)))</f>
        <v>0</v>
      </c>
      <c r="O186" s="37" t="n">
        <f aca="false">IF(COUNT($DY186:$EL186)&lt;2,"",INDEX($DK186:$DX186,MAX($DY186:$EL186))-INDEX($DK186:$DX186,LARGE($DY186:$EL186,2)))</f>
        <v>-2</v>
      </c>
      <c r="P186" s="38" t="str">
        <f aca="false">IF(K186="","",IF(K186&gt;=0,"On/above target",IF(AND(N186&lt;&gt;"",N186&gt;=0.5),"Improving towards target",IF(AND(O186&lt;&gt;"",O186&lt;=-0.5),"Declining","Stable below target"))))</f>
        <v>On/above target</v>
      </c>
      <c r="Q186" s="39" t="n">
        <v>13</v>
      </c>
      <c r="R186" s="40" t="n">
        <f aca="false">IF(OR(Q186="",BU186=""),"",Q186/BU186*100)</f>
        <v>54.1666666666667</v>
      </c>
      <c r="S186" s="41" t="n">
        <f aca="false">IF(R186="","",IFERROR(MATCH(R186,INDEX(Boundaries!$B$2:$I$30,MATCH(CI186,Boundaries!$A$2:$A$30,0),0),1)-1,""))</f>
        <v>5</v>
      </c>
      <c r="T186" s="42" t="n">
        <f aca="false">IF(OR(S186="",$E186=""),"",S186-$E186)</f>
        <v>-1</v>
      </c>
      <c r="U186" s="39"/>
      <c r="V186" s="40" t="str">
        <f aca="false">IF(OR(U186="",BV186=""),"",U186/BV186*100)</f>
        <v/>
      </c>
      <c r="W186" s="41" t="str">
        <f aca="false">IF(V186="","",IFERROR(MATCH(V186,INDEX(Boundaries!$B$2:$I$30,MATCH(CJ186,Boundaries!$A$2:$A$30,0),0),1)-1,""))</f>
        <v/>
      </c>
      <c r="X186" s="42" t="str">
        <f aca="false">IF(OR(W186="",$E186=""),"",W186-$E186)</f>
        <v/>
      </c>
      <c r="Y186" s="39" t="n">
        <v>18</v>
      </c>
      <c r="Z186" s="40" t="n">
        <f aca="false">IF(OR(Y186="",BW186=""),"",Y186/BW186*100)</f>
        <v>75</v>
      </c>
      <c r="AA186" s="41" t="n">
        <f aca="false">IF(Z186="","",IFERROR(MATCH(Z186,INDEX(Boundaries!$B$2:$I$30,MATCH(CK186,Boundaries!$A$2:$A$30,0),0),1)-1,""))</f>
        <v>6</v>
      </c>
      <c r="AB186" s="42" t="n">
        <f aca="false">IF(OR(AA186="",$E186=""),"",AA186-$E186)</f>
        <v>0</v>
      </c>
      <c r="AC186" s="39" t="n">
        <v>13</v>
      </c>
      <c r="AD186" s="40" t="n">
        <f aca="false">IF(OR(AC186="",BX186=""),"",AC186/BX186*100)</f>
        <v>86.6666666666667</v>
      </c>
      <c r="AE186" s="41" t="n">
        <f aca="false">IF(AD186="","",IFERROR(MATCH(AD186,INDEX(Boundaries!$B$2:$I$30,MATCH(CL186,Boundaries!$A$2:$A$30,0),0),1)-1,""))</f>
        <v>7</v>
      </c>
      <c r="AF186" s="42" t="n">
        <f aca="false">IF(OR(AE186="",$E186=""),"",AE186-$E186)</f>
        <v>1</v>
      </c>
      <c r="AG186" s="39"/>
      <c r="AH186" s="40" t="str">
        <f aca="false">IF(OR(AG186="",BY186=""),"",AG186/BY186*100)</f>
        <v/>
      </c>
      <c r="AI186" s="41" t="str">
        <f aca="false">IF(AH186="","",IFERROR(MATCH(AH186,INDEX(Boundaries!$B$2:$I$30,MATCH(CM186,Boundaries!$A$2:$A$30,0),0),1)-1,""))</f>
        <v/>
      </c>
      <c r="AJ186" s="42" t="str">
        <f aca="false">IF(OR(AI186="",$E186=""),"",AI186-$E186)</f>
        <v/>
      </c>
      <c r="AK186" s="39" t="n">
        <v>18</v>
      </c>
      <c r="AL186" s="40" t="n">
        <f aca="false">IF(OR(AK186="",BZ186=""),"",AK186/BZ186*100)</f>
        <v>75</v>
      </c>
      <c r="AM186" s="41" t="n">
        <f aca="false">IF(AL186="","",IFERROR(MATCH(AL186,INDEX(Boundaries!$B$2:$I$30,MATCH(CN186,Boundaries!$A$2:$A$30,0),0),1)-1,""))</f>
        <v>6</v>
      </c>
      <c r="AN186" s="42" t="n">
        <f aca="false">IF(OR(AM186="",$E186=""),"",AM186-$E186)</f>
        <v>0</v>
      </c>
      <c r="AO186" s="39" t="n">
        <v>21</v>
      </c>
      <c r="AP186" s="40" t="n">
        <f aca="false">IF(OR(AO186="",CA186=""),"",AO186/CA186*100)</f>
        <v>70</v>
      </c>
      <c r="AQ186" s="41" t="n">
        <f aca="false">IF(AP186="","",IFERROR(MATCH(AP186,INDEX(Boundaries!$B$2:$I$30,MATCH(CO186,Boundaries!$A$2:$A$30,0),0),1)-1,""))</f>
        <v>6</v>
      </c>
      <c r="AR186" s="42" t="n">
        <f aca="false">IF(OR(AQ186="",$E186=""),"",AQ186-$E186)</f>
        <v>0</v>
      </c>
      <c r="AS186" s="39"/>
      <c r="AT186" s="40" t="str">
        <f aca="false">IF(OR(AS186="",CB186=""),"",AS186/CB186*100)</f>
        <v/>
      </c>
      <c r="AU186" s="41" t="str">
        <f aca="false">IF(AT186="","",IFERROR(MATCH(AT186,INDEX(Boundaries!$B$2:$I$30,MATCH(CP186,Boundaries!$A$2:$A$30,0),0),1)-1,""))</f>
        <v/>
      </c>
      <c r="AV186" s="42" t="str">
        <f aca="false">IF(OR(AU186="",$E186=""),"",AU186-$E186)</f>
        <v/>
      </c>
      <c r="AW186" s="39" t="n">
        <v>20</v>
      </c>
      <c r="AX186" s="40" t="n">
        <f aca="false">IF(OR(AW186="",CC186=""),"",AW186/CC186*100)</f>
        <v>83.3333333333333</v>
      </c>
      <c r="AY186" s="41" t="n">
        <f aca="false">IF(AX186="","",IFERROR(MATCH(AX186,INDEX(Boundaries!$B$2:$I$30,MATCH(CQ186,Boundaries!$A$2:$A$30,0),0),1)-1,""))</f>
        <v>7</v>
      </c>
      <c r="AZ186" s="42" t="n">
        <f aca="false">IF(OR(AY186="",$E186=""),"",AY186-$E186)</f>
        <v>1</v>
      </c>
      <c r="BA186" s="39"/>
      <c r="BB186" s="40" t="str">
        <f aca="false">IF(OR(BA186="",CD186=""),"",BA186/CD186*100)</f>
        <v/>
      </c>
      <c r="BC186" s="41" t="str">
        <f aca="false">IF(BB186="","",IFERROR(MATCH(BB186,INDEX(Boundaries!$B$2:$I$30,MATCH(CR186,Boundaries!$A$2:$A$30,0),0),1)-1,""))</f>
        <v/>
      </c>
      <c r="BD186" s="42" t="str">
        <f aca="false">IF(OR(BC186="",$E186=""),"",BC186-$E186)</f>
        <v/>
      </c>
      <c r="BE186" s="39"/>
      <c r="BF186" s="40" t="str">
        <f aca="false">IF(OR(BE186="",CE186=""),"",BE186/CE186*100)</f>
        <v/>
      </c>
      <c r="BG186" s="41" t="str">
        <f aca="false">IF(BF186="","",IFERROR(MATCH(BF186,INDEX(Boundaries!$B$2:$I$30,MATCH(CS186,Boundaries!$A$2:$A$30,0),0),1)-1,""))</f>
        <v/>
      </c>
      <c r="BH186" s="42" t="str">
        <f aca="false">IF(OR(BG186="",$E186=""),"",BG186-$E186)</f>
        <v/>
      </c>
      <c r="BI186" s="39"/>
      <c r="BJ186" s="40" t="str">
        <f aca="false">IF(OR(BI186="",CF186=""),"",BI186/CF186*100)</f>
        <v/>
      </c>
      <c r="BK186" s="41" t="str">
        <f aca="false">IF(BJ186="","",IFERROR(MATCH(BJ186,INDEX(Boundaries!$B$2:$I$30,MATCH(CT186,Boundaries!$A$2:$A$30,0),0),1)-1,""))</f>
        <v/>
      </c>
      <c r="BL186" s="42" t="str">
        <f aca="false">IF(OR(BK186="",$E186=""),"",BK186-$E186)</f>
        <v/>
      </c>
      <c r="BM186" s="39" t="n">
        <v>10</v>
      </c>
      <c r="BN186" s="40" t="n">
        <f aca="false">IF(OR(BM186="",CG186=""),"",BM186/CG186*100)</f>
        <v>66.6666666666667</v>
      </c>
      <c r="BO186" s="41" t="n">
        <f aca="false">IF(BN186="","",IFERROR(MATCH(BN186,INDEX(Boundaries!$B$2:$I$30,MATCH(CU186,Boundaries!$A$2:$A$30,0),0),1)-1,""))</f>
        <v>5</v>
      </c>
      <c r="BP186" s="42" t="n">
        <f aca="false">IF(OR(BO186="",$E186=""),"",BO186-$E186)</f>
        <v>-1</v>
      </c>
      <c r="BQ186" s="39"/>
      <c r="BR186" s="40" t="str">
        <f aca="false">IF(OR(BQ186="",CH186=""),"",BQ186/CH186*100)</f>
        <v/>
      </c>
      <c r="BS186" s="41" t="str">
        <f aca="false">IF(BR186="","",IFERROR(MATCH(BR186,INDEX(Boundaries!$B$2:$I$30,MATCH(CV186,Boundaries!$A$2:$A$30,0),0),1)-1,""))</f>
        <v/>
      </c>
      <c r="BT186" s="42" t="str">
        <f aca="false">IF(OR(BS186="",$E186=""),"",BS186-$E186)</f>
        <v/>
      </c>
      <c r="BU186" s="28" t="n">
        <f aca="false">IFERROR(INDEX(Assessments!$H$2:$H$600,MATCH($H186&amp;"|"&amp;$I186&amp;"|"&amp;$J186&amp;"|"&amp;1,Assessments!$A$2:$A$600,0)),"")</f>
        <v>24</v>
      </c>
      <c r="BV186" s="28" t="n">
        <f aca="false">IFERROR(INDEX(Assessments!$H$2:$H$600,MATCH($H186&amp;"|"&amp;$I186&amp;"|"&amp;$J186&amp;"|"&amp;2,Assessments!$A$2:$A$600,0)),"")</f>
        <v>15</v>
      </c>
      <c r="BW186" s="28" t="n">
        <f aca="false">IFERROR(INDEX(Assessments!$H$2:$H$600,MATCH($H186&amp;"|"&amp;$I186&amp;"|"&amp;$J186&amp;"|"&amp;3,Assessments!$A$2:$A$600,0)),"")</f>
        <v>24</v>
      </c>
      <c r="BX186" s="28" t="n">
        <f aca="false">IFERROR(INDEX(Assessments!$H$2:$H$600,MATCH($H186&amp;"|"&amp;$I186&amp;"|"&amp;$J186&amp;"|"&amp;4,Assessments!$A$2:$A$600,0)),"")</f>
        <v>15</v>
      </c>
      <c r="BY186" s="28" t="n">
        <f aca="false">IFERROR(INDEX(Assessments!$H$2:$H$600,MATCH($H186&amp;"|"&amp;$I186&amp;"|"&amp;$J186&amp;"|"&amp;5,Assessments!$A$2:$A$600,0)),"")</f>
        <v>15</v>
      </c>
      <c r="BZ186" s="28" t="n">
        <f aca="false">IFERROR(INDEX(Assessments!$H$2:$H$600,MATCH($H186&amp;"|"&amp;$I186&amp;"|"&amp;$J186&amp;"|"&amp;6,Assessments!$A$2:$A$600,0)),"")</f>
        <v>24</v>
      </c>
      <c r="CA186" s="28" t="n">
        <f aca="false">IFERROR(INDEX(Assessments!$H$2:$H$600,MATCH($H186&amp;"|"&amp;$I186&amp;"|"&amp;$J186&amp;"|"&amp;7,Assessments!$A$2:$A$600,0)),"")</f>
        <v>30</v>
      </c>
      <c r="CB186" s="28" t="n">
        <f aca="false">IFERROR(INDEX(Assessments!$H$2:$H$600,MATCH($H186&amp;"|"&amp;$I186&amp;"|"&amp;$J186&amp;"|"&amp;8,Assessments!$A$2:$A$600,0)),"")</f>
        <v>15</v>
      </c>
      <c r="CC186" s="28" t="n">
        <f aca="false">IFERROR(INDEX(Assessments!$H$2:$H$600,MATCH($H186&amp;"|"&amp;$I186&amp;"|"&amp;$J186&amp;"|"&amp;9,Assessments!$A$2:$A$600,0)),"")</f>
        <v>24</v>
      </c>
      <c r="CD186" s="28" t="n">
        <f aca="false">IFERROR(INDEX(Assessments!$H$2:$H$600,MATCH($H186&amp;"|"&amp;$I186&amp;"|"&amp;$J186&amp;"|"&amp;10,Assessments!$A$2:$A$600,0)),"")</f>
        <v>15</v>
      </c>
      <c r="CE186" s="28" t="n">
        <f aca="false">IFERROR(INDEX(Assessments!$H$2:$H$600,MATCH($H186&amp;"|"&amp;$I186&amp;"|"&amp;$J186&amp;"|"&amp;11,Assessments!$A$2:$A$600,0)),"")</f>
        <v>15</v>
      </c>
      <c r="CF186" s="28" t="n">
        <f aca="false">IFERROR(INDEX(Assessments!$H$2:$H$600,MATCH($H186&amp;"|"&amp;$I186&amp;"|"&amp;$J186&amp;"|"&amp;12,Assessments!$A$2:$A$600,0)),"")</f>
        <v>100</v>
      </c>
      <c r="CG186" s="28" t="n">
        <f aca="false">IFERROR(INDEX(Assessments!$H$2:$H$600,MATCH($H186&amp;"|"&amp;$I186&amp;"|"&amp;$J186&amp;"|"&amp;13,Assessments!$A$2:$A$600,0)),"")</f>
        <v>15</v>
      </c>
      <c r="CH186" s="28" t="str">
        <f aca="false">IFERROR(INDEX(Assessments!$H$2:$H$600,MATCH($H186&amp;"|"&amp;$I186&amp;"|"&amp;$J186&amp;"|"&amp;14,Assessments!$A$2:$A$600,0)),"")</f>
        <v/>
      </c>
      <c r="CI186" s="28" t="str">
        <f aca="false">IFERROR(INDEX(Assessments!$I$2:$I$600,MATCH($H186&amp;"|"&amp;$I186&amp;"|"&amp;$J186&amp;"|"&amp;1,Assessments!$A$2:$A$600,0)),"")</f>
        <v>Hist Paper 1</v>
      </c>
      <c r="CJ186" s="28" t="str">
        <f aca="false">IFERROR(INDEX(Assessments!$I$2:$I$600,MATCH($H186&amp;"|"&amp;$I186&amp;"|"&amp;$J186&amp;"|"&amp;2,Assessments!$A$2:$A$600,0)),"")</f>
        <v>Hist P3 essay</v>
      </c>
      <c r="CK186" s="28" t="str">
        <f aca="false">IFERROR(INDEX(Assessments!$I$2:$I$600,MATCH($H186&amp;"|"&amp;$I186&amp;"|"&amp;$J186&amp;"|"&amp;3,Assessments!$A$2:$A$600,0)),"")</f>
        <v>Hist Paper 1</v>
      </c>
      <c r="CL186" s="28" t="str">
        <f aca="false">IFERROR(INDEX(Assessments!$I$2:$I$600,MATCH($H186&amp;"|"&amp;$I186&amp;"|"&amp;$J186&amp;"|"&amp;4,Assessments!$A$2:$A$600,0)),"")</f>
        <v>Hist P2 partial</v>
      </c>
      <c r="CM186" s="28" t="str">
        <f aca="false">IFERROR(INDEX(Assessments!$I$2:$I$600,MATCH($H186&amp;"|"&amp;$I186&amp;"|"&amp;$J186&amp;"|"&amp;5,Assessments!$A$2:$A$600,0)),"")</f>
        <v>Hist P3 essay</v>
      </c>
      <c r="CN186" s="28" t="str">
        <f aca="false">IFERROR(INDEX(Assessments!$I$2:$I$600,MATCH($H186&amp;"|"&amp;$I186&amp;"|"&amp;$J186&amp;"|"&amp;6,Assessments!$A$2:$A$600,0)),"")</f>
        <v>Hist Paper 1</v>
      </c>
      <c r="CO186" s="28" t="str">
        <f aca="false">IFERROR(INDEX(Assessments!$I$2:$I$600,MATCH($H186&amp;"|"&amp;$I186&amp;"|"&amp;$J186&amp;"|"&amp;7,Assessments!$A$2:$A$600,0)),"")</f>
        <v>Hist P2 full</v>
      </c>
      <c r="CP186" s="28" t="str">
        <f aca="false">IFERROR(INDEX(Assessments!$I$2:$I$600,MATCH($H186&amp;"|"&amp;$I186&amp;"|"&amp;$J186&amp;"|"&amp;8,Assessments!$A$2:$A$600,0)),"")</f>
        <v>Hist P3 full</v>
      </c>
      <c r="CQ186" s="28" t="str">
        <f aca="false">IFERROR(INDEX(Assessments!$I$2:$I$600,MATCH($H186&amp;"|"&amp;$I186&amp;"|"&amp;$J186&amp;"|"&amp;9,Assessments!$A$2:$A$600,0)),"")</f>
        <v>Hist Paper 1</v>
      </c>
      <c r="CR186" s="28" t="str">
        <f aca="false">IFERROR(INDEX(Assessments!$I$2:$I$600,MATCH($H186&amp;"|"&amp;$I186&amp;"|"&amp;$J186&amp;"|"&amp;10,Assessments!$A$2:$A$600,0)),"")</f>
        <v>Hist P2 partial</v>
      </c>
      <c r="CS186" s="28" t="str">
        <f aca="false">IFERROR(INDEX(Assessments!$I$2:$I$600,MATCH($H186&amp;"|"&amp;$I186&amp;"|"&amp;$J186&amp;"|"&amp;11,Assessments!$A$2:$A$600,0)),"")</f>
        <v>Hist P3 essay</v>
      </c>
      <c r="CT186" s="28" t="str">
        <f aca="false">IFERROR(INDEX(Assessments!$I$2:$I$600,MATCH($H186&amp;"|"&amp;$I186&amp;"|"&amp;$J186&amp;"|"&amp;12,Assessments!$A$2:$A$600,0)),"")</f>
        <v>Hist P3 essay</v>
      </c>
      <c r="CU186" s="28" t="str">
        <f aca="false">IFERROR(INDEX(Assessments!$I$2:$I$600,MATCH($H186&amp;"|"&amp;$I186&amp;"|"&amp;$J186&amp;"|"&amp;13,Assessments!$A$2:$A$600,0)),"")</f>
        <v>Hist P3 essay</v>
      </c>
      <c r="CV186" s="28" t="str">
        <f aca="false">IFERROR(INDEX(Assessments!$I$2:$I$600,MATCH($H186&amp;"|"&amp;$I186&amp;"|"&amp;$J186&amp;"|"&amp;14,Assessments!$A$2:$A$600,0)),"")</f>
        <v/>
      </c>
      <c r="CW186" s="28" t="n">
        <f aca="false">IFERROR(INDEX(Assessments!$J$2:$J$600,MATCH($H186&amp;"|"&amp;$I186&amp;"|"&amp;$J186&amp;"|"&amp;1,Assessments!$A$2:$A$600,0)),0)</f>
        <v>1</v>
      </c>
      <c r="CX186" s="28" t="n">
        <f aca="false">IFERROR(INDEX(Assessments!$J$2:$J$600,MATCH($H186&amp;"|"&amp;$I186&amp;"|"&amp;$J186&amp;"|"&amp;2,Assessments!$A$2:$A$600,0)),0)</f>
        <v>1</v>
      </c>
      <c r="CY186" s="28" t="n">
        <f aca="false">IFERROR(INDEX(Assessments!$J$2:$J$600,MATCH($H186&amp;"|"&amp;$I186&amp;"|"&amp;$J186&amp;"|"&amp;3,Assessments!$A$2:$A$600,0)),0)</f>
        <v>1</v>
      </c>
      <c r="CZ186" s="28" t="n">
        <f aca="false">IFERROR(INDEX(Assessments!$J$2:$J$600,MATCH($H186&amp;"|"&amp;$I186&amp;"|"&amp;$J186&amp;"|"&amp;4,Assessments!$A$2:$A$600,0)),0)</f>
        <v>1</v>
      </c>
      <c r="DA186" s="28" t="n">
        <f aca="false">IFERROR(INDEX(Assessments!$J$2:$J$600,MATCH($H186&amp;"|"&amp;$I186&amp;"|"&amp;$J186&amp;"|"&amp;5,Assessments!$A$2:$A$600,0)),0)</f>
        <v>1</v>
      </c>
      <c r="DB186" s="28" t="n">
        <f aca="false">IFERROR(INDEX(Assessments!$J$2:$J$600,MATCH($H186&amp;"|"&amp;$I186&amp;"|"&amp;$J186&amp;"|"&amp;6,Assessments!$A$2:$A$600,0)),0)</f>
        <v>2</v>
      </c>
      <c r="DC186" s="28" t="n">
        <f aca="false">IFERROR(INDEX(Assessments!$J$2:$J$600,MATCH($H186&amp;"|"&amp;$I186&amp;"|"&amp;$J186&amp;"|"&amp;7,Assessments!$A$2:$A$600,0)),0)</f>
        <v>2</v>
      </c>
      <c r="DD186" s="28" t="n">
        <f aca="false">IFERROR(INDEX(Assessments!$J$2:$J$600,MATCH($H186&amp;"|"&amp;$I186&amp;"|"&amp;$J186&amp;"|"&amp;8,Assessments!$A$2:$A$600,0)),0)</f>
        <v>2</v>
      </c>
      <c r="DE186" s="28" t="n">
        <f aca="false">IFERROR(INDEX(Assessments!$J$2:$J$600,MATCH($H186&amp;"|"&amp;$I186&amp;"|"&amp;$J186&amp;"|"&amp;9,Assessments!$A$2:$A$600,0)),0)</f>
        <v>1</v>
      </c>
      <c r="DF186" s="28" t="n">
        <f aca="false">IFERROR(INDEX(Assessments!$J$2:$J$600,MATCH($H186&amp;"|"&amp;$I186&amp;"|"&amp;$J186&amp;"|"&amp;10,Assessments!$A$2:$A$600,0)),0)</f>
        <v>1</v>
      </c>
      <c r="DG186" s="28" t="n">
        <f aca="false">IFERROR(INDEX(Assessments!$J$2:$J$600,MATCH($H186&amp;"|"&amp;$I186&amp;"|"&amp;$J186&amp;"|"&amp;11,Assessments!$A$2:$A$600,0)),0)</f>
        <v>1</v>
      </c>
      <c r="DH186" s="28" t="n">
        <f aca="false">IFERROR(INDEX(Assessments!$J$2:$J$600,MATCH($H186&amp;"|"&amp;$I186&amp;"|"&amp;$J186&amp;"|"&amp;12,Assessments!$A$2:$A$600,0)),0)</f>
        <v>1</v>
      </c>
      <c r="DI186" s="28" t="n">
        <f aca="false">IFERROR(INDEX(Assessments!$J$2:$J$600,MATCH($H186&amp;"|"&amp;$I186&amp;"|"&amp;$J186&amp;"|"&amp;13,Assessments!$A$2:$A$600,0)),0)</f>
        <v>1</v>
      </c>
      <c r="DJ186" s="28" t="n">
        <f aca="false">IFERROR(INDEX(Assessments!$J$2:$J$600,MATCH($H186&amp;"|"&amp;$I186&amp;"|"&amp;$J186&amp;"|"&amp;14,Assessments!$A$2:$A$600,0)),0)</f>
        <v>0</v>
      </c>
      <c r="DK186" s="28" t="n">
        <f aca="false">S186</f>
        <v>5</v>
      </c>
      <c r="DL186" s="28" t="str">
        <f aca="false">W186</f>
        <v/>
      </c>
      <c r="DM186" s="28" t="n">
        <f aca="false">AA186</f>
        <v>6</v>
      </c>
      <c r="DN186" s="28" t="n">
        <f aca="false">AE186</f>
        <v>7</v>
      </c>
      <c r="DO186" s="28" t="str">
        <f aca="false">AI186</f>
        <v/>
      </c>
      <c r="DP186" s="28" t="n">
        <f aca="false">AM186</f>
        <v>6</v>
      </c>
      <c r="DQ186" s="28" t="n">
        <f aca="false">AQ186</f>
        <v>6</v>
      </c>
      <c r="DR186" s="28" t="str">
        <f aca="false">AU186</f>
        <v/>
      </c>
      <c r="DS186" s="28" t="n">
        <f aca="false">AY186</f>
        <v>7</v>
      </c>
      <c r="DT186" s="28" t="str">
        <f aca="false">BC186</f>
        <v/>
      </c>
      <c r="DU186" s="28" t="str">
        <f aca="false">BG186</f>
        <v/>
      </c>
      <c r="DV186" s="28" t="str">
        <f aca="false">BK186</f>
        <v/>
      </c>
      <c r="DW186" s="28" t="n">
        <f aca="false">BO186</f>
        <v>5</v>
      </c>
      <c r="DX186" s="28" t="str">
        <f aca="false">BS186</f>
        <v/>
      </c>
      <c r="DY186" s="28" t="n">
        <f aca="false">IF(ISNUMBER(S186),1,"")</f>
        <v>1</v>
      </c>
      <c r="DZ186" s="28" t="str">
        <f aca="false">IF(ISNUMBER(W186),2,"")</f>
        <v/>
      </c>
      <c r="EA186" s="28" t="n">
        <f aca="false">IF(ISNUMBER(AA186),3,"")</f>
        <v>3</v>
      </c>
      <c r="EB186" s="28" t="n">
        <f aca="false">IF(ISNUMBER(AE186),4,"")</f>
        <v>4</v>
      </c>
      <c r="EC186" s="28" t="str">
        <f aca="false">IF(ISNUMBER(AI186),5,"")</f>
        <v/>
      </c>
      <c r="ED186" s="28" t="n">
        <f aca="false">IF(ISNUMBER(AM186),6,"")</f>
        <v>6</v>
      </c>
      <c r="EE186" s="28" t="n">
        <f aca="false">IF(ISNUMBER(AQ186),7,"")</f>
        <v>7</v>
      </c>
      <c r="EF186" s="28" t="str">
        <f aca="false">IF(ISNUMBER(AU186),8,"")</f>
        <v/>
      </c>
      <c r="EG186" s="28" t="n">
        <f aca="false">IF(ISNUMBER(AY186),9,"")</f>
        <v>9</v>
      </c>
      <c r="EH186" s="28" t="str">
        <f aca="false">IF(ISNUMBER(BC186),10,"")</f>
        <v/>
      </c>
      <c r="EI186" s="28" t="str">
        <f aca="false">IF(ISNUMBER(BG186),11,"")</f>
        <v/>
      </c>
      <c r="EJ186" s="28" t="str">
        <f aca="false">IF(ISNUMBER(BK186),12,"")</f>
        <v/>
      </c>
      <c r="EK186" s="28" t="n">
        <f aca="false">IF(ISNUMBER(BO186),13,"")</f>
        <v>13</v>
      </c>
      <c r="EL186" s="28" t="str">
        <f aca="false">IF(ISNUMBER(BS186),14,"")</f>
        <v/>
      </c>
      <c r="EM186" s="28" t="n">
        <f aca="false">IF(ISNUMBER(R186),R186*CW186,0)</f>
        <v>54.1666666666667</v>
      </c>
      <c r="EN186" s="28" t="n">
        <f aca="false">IF(ISNUMBER(V186),V186*CX186,0)</f>
        <v>0</v>
      </c>
      <c r="EO186" s="28" t="n">
        <f aca="false">IF(ISNUMBER(Z186),Z186*CY186,0)</f>
        <v>75</v>
      </c>
      <c r="EP186" s="28" t="n">
        <f aca="false">IF(ISNUMBER(AD186),AD186*CZ186,0)</f>
        <v>86.6666666666667</v>
      </c>
      <c r="EQ186" s="28" t="n">
        <f aca="false">IF(ISNUMBER(AH186),AH186*DA186,0)</f>
        <v>0</v>
      </c>
      <c r="ER186" s="28" t="n">
        <f aca="false">IF(ISNUMBER(AL186),AL186*DB186,0)</f>
        <v>150</v>
      </c>
      <c r="ES186" s="28" t="n">
        <f aca="false">IF(ISNUMBER(AP186),AP186*DC186,0)</f>
        <v>140</v>
      </c>
      <c r="ET186" s="28" t="n">
        <f aca="false">IF(ISNUMBER(AT186),AT186*DD186,0)</f>
        <v>0</v>
      </c>
      <c r="EU186" s="28" t="n">
        <f aca="false">IF(ISNUMBER(AX186),AX186*DE186,0)</f>
        <v>83.3333333333333</v>
      </c>
      <c r="EV186" s="28" t="n">
        <f aca="false">IF(ISNUMBER(BB186),BB186*DF186,0)</f>
        <v>0</v>
      </c>
      <c r="EW186" s="28" t="n">
        <f aca="false">IF(ISNUMBER(BF186),BF186*DG186,0)</f>
        <v>0</v>
      </c>
      <c r="EX186" s="28" t="n">
        <f aca="false">IF(ISNUMBER(BJ186),BJ186*DH186,0)</f>
        <v>0</v>
      </c>
      <c r="EY186" s="28" t="n">
        <f aca="false">IF(ISNUMBER(BN186),BN186*DI186,0)</f>
        <v>66.6666666666667</v>
      </c>
      <c r="EZ186" s="28" t="n">
        <f aca="false">IF(ISNUMBER(BR186),BR186*DJ186,0)</f>
        <v>0</v>
      </c>
      <c r="FA186" s="28" t="n">
        <f aca="false">IF(ISNUMBER(R186),CW186,0)</f>
        <v>1</v>
      </c>
      <c r="FB186" s="28" t="n">
        <f aca="false">IF(ISNUMBER(V186),CX186,0)</f>
        <v>0</v>
      </c>
      <c r="FC186" s="28" t="n">
        <f aca="false">IF(ISNUMBER(Z186),CY186,0)</f>
        <v>1</v>
      </c>
      <c r="FD186" s="28" t="n">
        <f aca="false">IF(ISNUMBER(AD186),CZ186,0)</f>
        <v>1</v>
      </c>
      <c r="FE186" s="28" t="n">
        <f aca="false">IF(ISNUMBER(AH186),DA186,0)</f>
        <v>0</v>
      </c>
      <c r="FF186" s="28" t="n">
        <f aca="false">IF(ISNUMBER(AL186),DB186,0)</f>
        <v>2</v>
      </c>
      <c r="FG186" s="28" t="n">
        <f aca="false">IF(ISNUMBER(AP186),DC186,0)</f>
        <v>2</v>
      </c>
      <c r="FH186" s="28" t="n">
        <f aca="false">IF(ISNUMBER(AT186),DD186,0)</f>
        <v>0</v>
      </c>
      <c r="FI186" s="28" t="n">
        <f aca="false">IF(ISNUMBER(AX186),DE186,0)</f>
        <v>1</v>
      </c>
      <c r="FJ186" s="28" t="n">
        <f aca="false">IF(ISNUMBER(BB186),DF186,0)</f>
        <v>0</v>
      </c>
      <c r="FK186" s="28" t="n">
        <f aca="false">IF(ISNUMBER(BF186),DG186,0)</f>
        <v>0</v>
      </c>
      <c r="FL186" s="28" t="n">
        <f aca="false">IF(ISNUMBER(BJ186),DH186,0)</f>
        <v>0</v>
      </c>
      <c r="FM186" s="28" t="n">
        <f aca="false">IF(ISNUMBER(BN186),DI186,0)</f>
        <v>1</v>
      </c>
      <c r="FN186" s="28" t="n">
        <f aca="false">IF(ISNUMBER(BR186),DJ186,0)</f>
        <v>0</v>
      </c>
      <c r="FO186" s="28" t="str">
        <f aca="false">IFERROR(INDEX(Lists!$G$2:$G$20,MATCH($I186&amp;"|"&amp;$J186,Lists!$F$2:$F$20,0)),"")</f>
        <v>Hist Overall HL</v>
      </c>
    </row>
    <row r="187" customFormat="false" ht="19.5" hidden="false" customHeight="true" outlineLevel="0" collapsed="false">
      <c r="A187" s="29" t="s">
        <v>419</v>
      </c>
      <c r="B187" s="29" t="s">
        <v>420</v>
      </c>
      <c r="C187" s="30" t="s">
        <v>152</v>
      </c>
      <c r="D187" s="30" t="s">
        <v>422</v>
      </c>
      <c r="E187" s="31" t="n">
        <v>6</v>
      </c>
      <c r="F187" s="30" t="n">
        <v>6</v>
      </c>
      <c r="G187" s="30"/>
      <c r="H187" s="32" t="s">
        <v>23</v>
      </c>
      <c r="I187" s="33" t="s">
        <v>416</v>
      </c>
      <c r="J187" s="32" t="s">
        <v>223</v>
      </c>
      <c r="K187" s="34" t="n">
        <f aca="false">IF(OR(M187="",$E187=""),"",M187-$E187)</f>
        <v>0</v>
      </c>
      <c r="L187" s="35" t="n">
        <f aca="false">IF(SUM(FA187:FN187)=0,"",SUM(EM187:EZ187)/SUM(FA187:FN187))</f>
        <v>72.6041666666667</v>
      </c>
      <c r="M187" s="36" t="n">
        <f aca="false">IF(OR(L187="",FO187=""),"",IFERROR(MATCH(L187,INDEX(Boundaries!$B$2:$I$30,MATCH(FO187,Boundaries!$A$2:$A$30,0),0),1)-1,""))</f>
        <v>6</v>
      </c>
      <c r="N187" s="37" t="n">
        <f aca="false">IF(COUNT($DY187:$EL187)&lt;2,"",INDEX($DK187:$DX187,MAX($DY187:$EL187))-INDEX($DK187:$DX187,MIN($DY187:$EL187)))</f>
        <v>1</v>
      </c>
      <c r="O187" s="37" t="n">
        <f aca="false">IF(COUNT($DY187:$EL187)&lt;2,"",INDEX($DK187:$DX187,MAX($DY187:$EL187))-INDEX($DK187:$DX187,LARGE($DY187:$EL187,2)))</f>
        <v>0</v>
      </c>
      <c r="P187" s="38" t="str">
        <f aca="false">IF(K187="","",IF(K187&gt;=0,"On/above target",IF(AND(N187&lt;&gt;"",N187&gt;=0.5),"Improving towards target",IF(AND(O187&lt;&gt;"",O187&lt;=-0.5),"Declining","Stable below target"))))</f>
        <v>On/above target</v>
      </c>
      <c r="Q187" s="39" t="n">
        <v>13</v>
      </c>
      <c r="R187" s="40" t="n">
        <f aca="false">IF(OR(Q187="",BU187=""),"",Q187/BU187*100)</f>
        <v>54.1666666666667</v>
      </c>
      <c r="S187" s="41" t="n">
        <f aca="false">IF(R187="","",IFERROR(MATCH(R187,INDEX(Boundaries!$B$2:$I$30,MATCH(CI187,Boundaries!$A$2:$A$30,0),0),1)-1,""))</f>
        <v>5</v>
      </c>
      <c r="T187" s="42" t="n">
        <f aca="false">IF(OR(S187="",$E187=""),"",S187-$E187)</f>
        <v>-1</v>
      </c>
      <c r="U187" s="39" t="n">
        <v>18</v>
      </c>
      <c r="V187" s="40" t="n">
        <f aca="false">IF(OR(U187="",BV187=""),"",U187/BV187*100)</f>
        <v>75</v>
      </c>
      <c r="W187" s="41" t="n">
        <f aca="false">IF(V187="","",IFERROR(MATCH(V187,INDEX(Boundaries!$B$2:$I$30,MATCH(CJ187,Boundaries!$A$2:$A$30,0),0),1)-1,""))</f>
        <v>6</v>
      </c>
      <c r="X187" s="42" t="n">
        <f aca="false">IF(OR(W187="",$E187=""),"",W187-$E187)</f>
        <v>0</v>
      </c>
      <c r="Y187" s="39" t="n">
        <v>13</v>
      </c>
      <c r="Z187" s="40" t="n">
        <f aca="false">IF(OR(Y187="",BW187=""),"",Y187/BW187*100)</f>
        <v>86.6666666666667</v>
      </c>
      <c r="AA187" s="41" t="n">
        <f aca="false">IF(Z187="","",IFERROR(MATCH(Z187,INDEX(Boundaries!$B$2:$I$30,MATCH(CK187,Boundaries!$A$2:$A$30,0),0),1)-1,""))</f>
        <v>7</v>
      </c>
      <c r="AB187" s="42" t="n">
        <f aca="false">IF(OR(AA187="",$E187=""),"",AA187-$E187)</f>
        <v>1</v>
      </c>
      <c r="AC187" s="39" t="n">
        <v>18</v>
      </c>
      <c r="AD187" s="40" t="n">
        <f aca="false">IF(OR(AC187="",BX187=""),"",AC187/BX187*100)</f>
        <v>75</v>
      </c>
      <c r="AE187" s="41" t="n">
        <f aca="false">IF(AD187="","",IFERROR(MATCH(AD187,INDEX(Boundaries!$B$2:$I$30,MATCH(CL187,Boundaries!$A$2:$A$30,0),0),1)-1,""))</f>
        <v>6</v>
      </c>
      <c r="AF187" s="42" t="n">
        <f aca="false">IF(OR(AE187="",$E187=""),"",AE187-$E187)</f>
        <v>0</v>
      </c>
      <c r="AG187" s="39" t="n">
        <v>21</v>
      </c>
      <c r="AH187" s="40" t="n">
        <f aca="false">IF(OR(AG187="",BY187=""),"",AG187/BY187*100)</f>
        <v>70</v>
      </c>
      <c r="AI187" s="41" t="n">
        <f aca="false">IF(AH187="","",IFERROR(MATCH(AH187,INDEX(Boundaries!$B$2:$I$30,MATCH(CM187,Boundaries!$A$2:$A$30,0),0),1)-1,""))</f>
        <v>6</v>
      </c>
      <c r="AJ187" s="42" t="n">
        <f aca="false">IF(OR(AI187="",$E187=""),"",AI187-$E187)</f>
        <v>0</v>
      </c>
      <c r="AK187" s="39" t="n">
        <v>18</v>
      </c>
      <c r="AL187" s="40" t="n">
        <f aca="false">IF(OR(AK187="",BZ187=""),"",AK187/BZ187*100)</f>
        <v>75</v>
      </c>
      <c r="AM187" s="41" t="n">
        <f aca="false">IF(AL187="","",IFERROR(MATCH(AL187,INDEX(Boundaries!$B$2:$I$30,MATCH(CN187,Boundaries!$A$2:$A$30,0),0),1)-1,""))</f>
        <v>6</v>
      </c>
      <c r="AN187" s="42" t="n">
        <f aca="false">IF(OR(AM187="",$E187=""),"",AM187-$E187)</f>
        <v>0</v>
      </c>
      <c r="AO187" s="39"/>
      <c r="AP187" s="40" t="str">
        <f aca="false">IF(OR(AO187="",CA187=""),"",AO187/CA187*100)</f>
        <v/>
      </c>
      <c r="AQ187" s="41" t="str">
        <f aca="false">IF(AP187="","",IFERROR(MATCH(AP187,INDEX(Boundaries!$B$2:$I$30,MATCH(CO187,Boundaries!$A$2:$A$30,0),0),1)-1,""))</f>
        <v/>
      </c>
      <c r="AR187" s="42" t="str">
        <f aca="false">IF(OR(AQ187="",$E187=""),"",AQ187-$E187)</f>
        <v/>
      </c>
      <c r="AS187" s="39"/>
      <c r="AT187" s="40" t="str">
        <f aca="false">IF(OR(AS187="",CB187=""),"",AS187/CB187*100)</f>
        <v/>
      </c>
      <c r="AU187" s="41" t="str">
        <f aca="false">IF(AT187="","",IFERROR(MATCH(AT187,INDEX(Boundaries!$B$2:$I$30,MATCH(CP187,Boundaries!$A$2:$A$30,0),0),1)-1,""))</f>
        <v/>
      </c>
      <c r="AV187" s="42" t="str">
        <f aca="false">IF(OR(AU187="",$E187=""),"",AU187-$E187)</f>
        <v/>
      </c>
      <c r="AW187" s="39"/>
      <c r="AX187" s="40" t="str">
        <f aca="false">IF(OR(AW187="",CC187=""),"",AW187/CC187*100)</f>
        <v/>
      </c>
      <c r="AY187" s="41" t="str">
        <f aca="false">IF(AX187="","",IFERROR(MATCH(AX187,INDEX(Boundaries!$B$2:$I$30,MATCH(CQ187,Boundaries!$A$2:$A$30,0),0),1)-1,""))</f>
        <v/>
      </c>
      <c r="AZ187" s="42" t="str">
        <f aca="false">IF(OR(AY187="",$E187=""),"",AY187-$E187)</f>
        <v/>
      </c>
      <c r="BA187" s="39"/>
      <c r="BB187" s="40" t="str">
        <f aca="false">IF(OR(BA187="",CD187=""),"",BA187/CD187*100)</f>
        <v/>
      </c>
      <c r="BC187" s="41" t="str">
        <f aca="false">IF(BB187="","",IFERROR(MATCH(BB187,INDEX(Boundaries!$B$2:$I$30,MATCH(CR187,Boundaries!$A$2:$A$30,0),0),1)-1,""))</f>
        <v/>
      </c>
      <c r="BD187" s="42" t="str">
        <f aca="false">IF(OR(BC187="",$E187=""),"",BC187-$E187)</f>
        <v/>
      </c>
      <c r="BE187" s="39"/>
      <c r="BF187" s="40" t="str">
        <f aca="false">IF(OR(BE187="",CE187=""),"",BE187/CE187*100)</f>
        <v/>
      </c>
      <c r="BG187" s="41" t="str">
        <f aca="false">IF(BF187="","",IFERROR(MATCH(BF187,INDEX(Boundaries!$B$2:$I$30,MATCH(CS187,Boundaries!$A$2:$A$30,0),0),1)-1,""))</f>
        <v/>
      </c>
      <c r="BH187" s="42" t="str">
        <f aca="false">IF(OR(BG187="",$E187=""),"",BG187-$E187)</f>
        <v/>
      </c>
      <c r="BI187" s="39"/>
      <c r="BJ187" s="40" t="str">
        <f aca="false">IF(OR(BI187="",CF187=""),"",BI187/CF187*100)</f>
        <v/>
      </c>
      <c r="BK187" s="41" t="str">
        <f aca="false">IF(BJ187="","",IFERROR(MATCH(BJ187,INDEX(Boundaries!$B$2:$I$30,MATCH(CT187,Boundaries!$A$2:$A$30,0),0),1)-1,""))</f>
        <v/>
      </c>
      <c r="BL187" s="42" t="str">
        <f aca="false">IF(OR(BK187="",$E187=""),"",BK187-$E187)</f>
        <v/>
      </c>
      <c r="BM187" s="39"/>
      <c r="BN187" s="40" t="str">
        <f aca="false">IF(OR(BM187="",CG187=""),"",BM187/CG187*100)</f>
        <v/>
      </c>
      <c r="BO187" s="41" t="str">
        <f aca="false">IF(BN187="","",IFERROR(MATCH(BN187,INDEX(Boundaries!$B$2:$I$30,MATCH(CU187,Boundaries!$A$2:$A$30,0),0),1)-1,""))</f>
        <v/>
      </c>
      <c r="BP187" s="42" t="str">
        <f aca="false">IF(OR(BO187="",$E187=""),"",BO187-$E187)</f>
        <v/>
      </c>
      <c r="BQ187" s="39"/>
      <c r="BR187" s="40" t="str">
        <f aca="false">IF(OR(BQ187="",CH187=""),"",BQ187/CH187*100)</f>
        <v/>
      </c>
      <c r="BS187" s="41" t="str">
        <f aca="false">IF(BR187="","",IFERROR(MATCH(BR187,INDEX(Boundaries!$B$2:$I$30,MATCH(CV187,Boundaries!$A$2:$A$30,0),0),1)-1,""))</f>
        <v/>
      </c>
      <c r="BT187" s="42" t="str">
        <f aca="false">IF(OR(BS187="",$E187=""),"",BS187-$E187)</f>
        <v/>
      </c>
      <c r="BU187" s="28" t="n">
        <f aca="false">IFERROR(INDEX(Assessments!$H$2:$H$600,MATCH($H187&amp;"|"&amp;$I187&amp;"|"&amp;$J187&amp;"|"&amp;1,Assessments!$A$2:$A$600,0)),"")</f>
        <v>24</v>
      </c>
      <c r="BV187" s="28" t="n">
        <f aca="false">IFERROR(INDEX(Assessments!$H$2:$H$600,MATCH($H187&amp;"|"&amp;$I187&amp;"|"&amp;$J187&amp;"|"&amp;2,Assessments!$A$2:$A$600,0)),"")</f>
        <v>24</v>
      </c>
      <c r="BW187" s="28" t="n">
        <f aca="false">IFERROR(INDEX(Assessments!$H$2:$H$600,MATCH($H187&amp;"|"&amp;$I187&amp;"|"&amp;$J187&amp;"|"&amp;3,Assessments!$A$2:$A$600,0)),"")</f>
        <v>15</v>
      </c>
      <c r="BX187" s="28" t="n">
        <f aca="false">IFERROR(INDEX(Assessments!$H$2:$H$600,MATCH($H187&amp;"|"&amp;$I187&amp;"|"&amp;$J187&amp;"|"&amp;4,Assessments!$A$2:$A$600,0)),"")</f>
        <v>24</v>
      </c>
      <c r="BY187" s="28" t="n">
        <f aca="false">IFERROR(INDEX(Assessments!$H$2:$H$600,MATCH($H187&amp;"|"&amp;$I187&amp;"|"&amp;$J187&amp;"|"&amp;5,Assessments!$A$2:$A$600,0)),"")</f>
        <v>30</v>
      </c>
      <c r="BZ187" s="28" t="n">
        <f aca="false">IFERROR(INDEX(Assessments!$H$2:$H$600,MATCH($H187&amp;"|"&amp;$I187&amp;"|"&amp;$J187&amp;"|"&amp;6,Assessments!$A$2:$A$600,0)),"")</f>
        <v>24</v>
      </c>
      <c r="CA187" s="28" t="n">
        <f aca="false">IFERROR(INDEX(Assessments!$H$2:$H$600,MATCH($H187&amp;"|"&amp;$I187&amp;"|"&amp;$J187&amp;"|"&amp;7,Assessments!$A$2:$A$600,0)),"")</f>
        <v>15</v>
      </c>
      <c r="CB187" s="28" t="n">
        <f aca="false">IFERROR(INDEX(Assessments!$H$2:$H$600,MATCH($H187&amp;"|"&amp;$I187&amp;"|"&amp;$J187&amp;"|"&amp;8,Assessments!$A$2:$A$600,0)),"")</f>
        <v>15</v>
      </c>
      <c r="CC187" s="28" t="str">
        <f aca="false">IFERROR(INDEX(Assessments!$H$2:$H$600,MATCH($H187&amp;"|"&amp;$I187&amp;"|"&amp;$J187&amp;"|"&amp;9,Assessments!$A$2:$A$600,0)),"")</f>
        <v/>
      </c>
      <c r="CD187" s="28" t="str">
        <f aca="false">IFERROR(INDEX(Assessments!$H$2:$H$600,MATCH($H187&amp;"|"&amp;$I187&amp;"|"&amp;$J187&amp;"|"&amp;10,Assessments!$A$2:$A$600,0)),"")</f>
        <v/>
      </c>
      <c r="CE187" s="28" t="str">
        <f aca="false">IFERROR(INDEX(Assessments!$H$2:$H$600,MATCH($H187&amp;"|"&amp;$I187&amp;"|"&amp;$J187&amp;"|"&amp;11,Assessments!$A$2:$A$600,0)),"")</f>
        <v/>
      </c>
      <c r="CF187" s="28" t="str">
        <f aca="false">IFERROR(INDEX(Assessments!$H$2:$H$600,MATCH($H187&amp;"|"&amp;$I187&amp;"|"&amp;$J187&amp;"|"&amp;12,Assessments!$A$2:$A$600,0)),"")</f>
        <v/>
      </c>
      <c r="CG187" s="28" t="str">
        <f aca="false">IFERROR(INDEX(Assessments!$H$2:$H$600,MATCH($H187&amp;"|"&amp;$I187&amp;"|"&amp;$J187&amp;"|"&amp;13,Assessments!$A$2:$A$600,0)),"")</f>
        <v/>
      </c>
      <c r="CH187" s="28" t="str">
        <f aca="false">IFERROR(INDEX(Assessments!$H$2:$H$600,MATCH($H187&amp;"|"&amp;$I187&amp;"|"&amp;$J187&amp;"|"&amp;14,Assessments!$A$2:$A$600,0)),"")</f>
        <v/>
      </c>
      <c r="CI187" s="28" t="str">
        <f aca="false">IFERROR(INDEX(Assessments!$I$2:$I$600,MATCH($H187&amp;"|"&amp;$I187&amp;"|"&amp;$J187&amp;"|"&amp;1,Assessments!$A$2:$A$600,0)),"")</f>
        <v>Hist Paper 1</v>
      </c>
      <c r="CJ187" s="28" t="str">
        <f aca="false">IFERROR(INDEX(Assessments!$I$2:$I$600,MATCH($H187&amp;"|"&amp;$I187&amp;"|"&amp;$J187&amp;"|"&amp;2,Assessments!$A$2:$A$600,0)),"")</f>
        <v>Hist Paper 1</v>
      </c>
      <c r="CK187" s="28" t="str">
        <f aca="false">IFERROR(INDEX(Assessments!$I$2:$I$600,MATCH($H187&amp;"|"&amp;$I187&amp;"|"&amp;$J187&amp;"|"&amp;3,Assessments!$A$2:$A$600,0)),"")</f>
        <v>Hist P2 partial</v>
      </c>
      <c r="CL187" s="28" t="str">
        <f aca="false">IFERROR(INDEX(Assessments!$I$2:$I$600,MATCH($H187&amp;"|"&amp;$I187&amp;"|"&amp;$J187&amp;"|"&amp;4,Assessments!$A$2:$A$600,0)),"")</f>
        <v>Hist Paper 1</v>
      </c>
      <c r="CM187" s="28" t="str">
        <f aca="false">IFERROR(INDEX(Assessments!$I$2:$I$600,MATCH($H187&amp;"|"&amp;$I187&amp;"|"&amp;$J187&amp;"|"&amp;5,Assessments!$A$2:$A$600,0)),"")</f>
        <v>Hist P2 full</v>
      </c>
      <c r="CN187" s="28" t="str">
        <f aca="false">IFERROR(INDEX(Assessments!$I$2:$I$600,MATCH($H187&amp;"|"&amp;$I187&amp;"|"&amp;$J187&amp;"|"&amp;6,Assessments!$A$2:$A$600,0)),"")</f>
        <v>Hist Paper 1</v>
      </c>
      <c r="CO187" s="28" t="str">
        <f aca="false">IFERROR(INDEX(Assessments!$I$2:$I$600,MATCH($H187&amp;"|"&amp;$I187&amp;"|"&amp;$J187&amp;"|"&amp;7,Assessments!$A$2:$A$600,0)),"")</f>
        <v>Hist P2 partial</v>
      </c>
      <c r="CP187" s="28" t="str">
        <f aca="false">IFERROR(INDEX(Assessments!$I$2:$I$600,MATCH($H187&amp;"|"&amp;$I187&amp;"|"&amp;$J187&amp;"|"&amp;8,Assessments!$A$2:$A$600,0)),"")</f>
        <v>Hist P3 essay</v>
      </c>
      <c r="CQ187" s="28" t="str">
        <f aca="false">IFERROR(INDEX(Assessments!$I$2:$I$600,MATCH($H187&amp;"|"&amp;$I187&amp;"|"&amp;$J187&amp;"|"&amp;9,Assessments!$A$2:$A$600,0)),"")</f>
        <v/>
      </c>
      <c r="CR187" s="28" t="str">
        <f aca="false">IFERROR(INDEX(Assessments!$I$2:$I$600,MATCH($H187&amp;"|"&amp;$I187&amp;"|"&amp;$J187&amp;"|"&amp;10,Assessments!$A$2:$A$600,0)),"")</f>
        <v/>
      </c>
      <c r="CS187" s="28" t="str">
        <f aca="false">IFERROR(INDEX(Assessments!$I$2:$I$600,MATCH($H187&amp;"|"&amp;$I187&amp;"|"&amp;$J187&amp;"|"&amp;11,Assessments!$A$2:$A$600,0)),"")</f>
        <v/>
      </c>
      <c r="CT187" s="28" t="str">
        <f aca="false">IFERROR(INDEX(Assessments!$I$2:$I$600,MATCH($H187&amp;"|"&amp;$I187&amp;"|"&amp;$J187&amp;"|"&amp;12,Assessments!$A$2:$A$600,0)),"")</f>
        <v/>
      </c>
      <c r="CU187" s="28" t="str">
        <f aca="false">IFERROR(INDEX(Assessments!$I$2:$I$600,MATCH($H187&amp;"|"&amp;$I187&amp;"|"&amp;$J187&amp;"|"&amp;13,Assessments!$A$2:$A$600,0)),"")</f>
        <v/>
      </c>
      <c r="CV187" s="28" t="str">
        <f aca="false">IFERROR(INDEX(Assessments!$I$2:$I$600,MATCH($H187&amp;"|"&amp;$I187&amp;"|"&amp;$J187&amp;"|"&amp;14,Assessments!$A$2:$A$600,0)),"")</f>
        <v/>
      </c>
      <c r="CW187" s="28" t="n">
        <f aca="false">IFERROR(INDEX(Assessments!$J$2:$J$600,MATCH($H187&amp;"|"&amp;$I187&amp;"|"&amp;$J187&amp;"|"&amp;1,Assessments!$A$2:$A$600,0)),0)</f>
        <v>1</v>
      </c>
      <c r="CX187" s="28" t="n">
        <f aca="false">IFERROR(INDEX(Assessments!$J$2:$J$600,MATCH($H187&amp;"|"&amp;$I187&amp;"|"&amp;$J187&amp;"|"&amp;2,Assessments!$A$2:$A$600,0)),0)</f>
        <v>1</v>
      </c>
      <c r="CY187" s="28" t="n">
        <f aca="false">IFERROR(INDEX(Assessments!$J$2:$J$600,MATCH($H187&amp;"|"&amp;$I187&amp;"|"&amp;$J187&amp;"|"&amp;3,Assessments!$A$2:$A$600,0)),0)</f>
        <v>1</v>
      </c>
      <c r="CZ187" s="28" t="n">
        <f aca="false">IFERROR(INDEX(Assessments!$J$2:$J$600,MATCH($H187&amp;"|"&amp;$I187&amp;"|"&amp;$J187&amp;"|"&amp;4,Assessments!$A$2:$A$600,0)),0)</f>
        <v>2</v>
      </c>
      <c r="DA187" s="28" t="n">
        <f aca="false">IFERROR(INDEX(Assessments!$J$2:$J$600,MATCH($H187&amp;"|"&amp;$I187&amp;"|"&amp;$J187&amp;"|"&amp;5,Assessments!$A$2:$A$600,0)),0)</f>
        <v>2</v>
      </c>
      <c r="DB187" s="28" t="n">
        <f aca="false">IFERROR(INDEX(Assessments!$J$2:$J$600,MATCH($H187&amp;"|"&amp;$I187&amp;"|"&amp;$J187&amp;"|"&amp;6,Assessments!$A$2:$A$600,0)),0)</f>
        <v>1</v>
      </c>
      <c r="DC187" s="28" t="n">
        <f aca="false">IFERROR(INDEX(Assessments!$J$2:$J$600,MATCH($H187&amp;"|"&amp;$I187&amp;"|"&amp;$J187&amp;"|"&amp;7,Assessments!$A$2:$A$600,0)),0)</f>
        <v>1</v>
      </c>
      <c r="DD187" s="28" t="n">
        <f aca="false">IFERROR(INDEX(Assessments!$J$2:$J$600,MATCH($H187&amp;"|"&amp;$I187&amp;"|"&amp;$J187&amp;"|"&amp;8,Assessments!$A$2:$A$600,0)),0)</f>
        <v>1</v>
      </c>
      <c r="DE187" s="28" t="n">
        <f aca="false">IFERROR(INDEX(Assessments!$J$2:$J$600,MATCH($H187&amp;"|"&amp;$I187&amp;"|"&amp;$J187&amp;"|"&amp;9,Assessments!$A$2:$A$600,0)),0)</f>
        <v>0</v>
      </c>
      <c r="DF187" s="28" t="n">
        <f aca="false">IFERROR(INDEX(Assessments!$J$2:$J$600,MATCH($H187&amp;"|"&amp;$I187&amp;"|"&amp;$J187&amp;"|"&amp;10,Assessments!$A$2:$A$600,0)),0)</f>
        <v>0</v>
      </c>
      <c r="DG187" s="28" t="n">
        <f aca="false">IFERROR(INDEX(Assessments!$J$2:$J$600,MATCH($H187&amp;"|"&amp;$I187&amp;"|"&amp;$J187&amp;"|"&amp;11,Assessments!$A$2:$A$600,0)),0)</f>
        <v>0</v>
      </c>
      <c r="DH187" s="28" t="n">
        <f aca="false">IFERROR(INDEX(Assessments!$J$2:$J$600,MATCH($H187&amp;"|"&amp;$I187&amp;"|"&amp;$J187&amp;"|"&amp;12,Assessments!$A$2:$A$600,0)),0)</f>
        <v>0</v>
      </c>
      <c r="DI187" s="28" t="n">
        <f aca="false">IFERROR(INDEX(Assessments!$J$2:$J$600,MATCH($H187&amp;"|"&amp;$I187&amp;"|"&amp;$J187&amp;"|"&amp;13,Assessments!$A$2:$A$600,0)),0)</f>
        <v>0</v>
      </c>
      <c r="DJ187" s="28" t="n">
        <f aca="false">IFERROR(INDEX(Assessments!$J$2:$J$600,MATCH($H187&amp;"|"&amp;$I187&amp;"|"&amp;$J187&amp;"|"&amp;14,Assessments!$A$2:$A$600,0)),0)</f>
        <v>0</v>
      </c>
      <c r="DK187" s="28" t="n">
        <f aca="false">S187</f>
        <v>5</v>
      </c>
      <c r="DL187" s="28" t="n">
        <f aca="false">W187</f>
        <v>6</v>
      </c>
      <c r="DM187" s="28" t="n">
        <f aca="false">AA187</f>
        <v>7</v>
      </c>
      <c r="DN187" s="28" t="n">
        <f aca="false">AE187</f>
        <v>6</v>
      </c>
      <c r="DO187" s="28" t="n">
        <f aca="false">AI187</f>
        <v>6</v>
      </c>
      <c r="DP187" s="28" t="n">
        <f aca="false">AM187</f>
        <v>6</v>
      </c>
      <c r="DQ187" s="28" t="str">
        <f aca="false">AQ187</f>
        <v/>
      </c>
      <c r="DR187" s="28" t="str">
        <f aca="false">AU187</f>
        <v/>
      </c>
      <c r="DS187" s="28" t="str">
        <f aca="false">AY187</f>
        <v/>
      </c>
      <c r="DT187" s="28" t="str">
        <f aca="false">BC187</f>
        <v/>
      </c>
      <c r="DU187" s="28" t="str">
        <f aca="false">BG187</f>
        <v/>
      </c>
      <c r="DV187" s="28" t="str">
        <f aca="false">BK187</f>
        <v/>
      </c>
      <c r="DW187" s="28" t="str">
        <f aca="false">BO187</f>
        <v/>
      </c>
      <c r="DX187" s="28" t="str">
        <f aca="false">BS187</f>
        <v/>
      </c>
      <c r="DY187" s="28" t="n">
        <f aca="false">IF(ISNUMBER(S187),1,"")</f>
        <v>1</v>
      </c>
      <c r="DZ187" s="28" t="n">
        <f aca="false">IF(ISNUMBER(W187),2,"")</f>
        <v>2</v>
      </c>
      <c r="EA187" s="28" t="n">
        <f aca="false">IF(ISNUMBER(AA187),3,"")</f>
        <v>3</v>
      </c>
      <c r="EB187" s="28" t="n">
        <f aca="false">IF(ISNUMBER(AE187),4,"")</f>
        <v>4</v>
      </c>
      <c r="EC187" s="28" t="n">
        <f aca="false">IF(ISNUMBER(AI187),5,"")</f>
        <v>5</v>
      </c>
      <c r="ED187" s="28" t="n">
        <f aca="false">IF(ISNUMBER(AM187),6,"")</f>
        <v>6</v>
      </c>
      <c r="EE187" s="28" t="str">
        <f aca="false">IF(ISNUMBER(AQ187),7,"")</f>
        <v/>
      </c>
      <c r="EF187" s="28" t="str">
        <f aca="false">IF(ISNUMBER(AU187),8,"")</f>
        <v/>
      </c>
      <c r="EG187" s="28" t="str">
        <f aca="false">IF(ISNUMBER(AY187),9,"")</f>
        <v/>
      </c>
      <c r="EH187" s="28" t="str">
        <f aca="false">IF(ISNUMBER(BC187),10,"")</f>
        <v/>
      </c>
      <c r="EI187" s="28" t="str">
        <f aca="false">IF(ISNUMBER(BG187),11,"")</f>
        <v/>
      </c>
      <c r="EJ187" s="28" t="str">
        <f aca="false">IF(ISNUMBER(BK187),12,"")</f>
        <v/>
      </c>
      <c r="EK187" s="28" t="str">
        <f aca="false">IF(ISNUMBER(BO187),13,"")</f>
        <v/>
      </c>
      <c r="EL187" s="28" t="str">
        <f aca="false">IF(ISNUMBER(BS187),14,"")</f>
        <v/>
      </c>
      <c r="EM187" s="28" t="n">
        <f aca="false">IF(ISNUMBER(R187),R187*CW187,0)</f>
        <v>54.1666666666667</v>
      </c>
      <c r="EN187" s="28" t="n">
        <f aca="false">IF(ISNUMBER(V187),V187*CX187,0)</f>
        <v>75</v>
      </c>
      <c r="EO187" s="28" t="n">
        <f aca="false">IF(ISNUMBER(Z187),Z187*CY187,0)</f>
        <v>86.6666666666667</v>
      </c>
      <c r="EP187" s="28" t="n">
        <f aca="false">IF(ISNUMBER(AD187),AD187*CZ187,0)</f>
        <v>150</v>
      </c>
      <c r="EQ187" s="28" t="n">
        <f aca="false">IF(ISNUMBER(AH187),AH187*DA187,0)</f>
        <v>140</v>
      </c>
      <c r="ER187" s="28" t="n">
        <f aca="false">IF(ISNUMBER(AL187),AL187*DB187,0)</f>
        <v>75</v>
      </c>
      <c r="ES187" s="28" t="n">
        <f aca="false">IF(ISNUMBER(AP187),AP187*DC187,0)</f>
        <v>0</v>
      </c>
      <c r="ET187" s="28" t="n">
        <f aca="false">IF(ISNUMBER(AT187),AT187*DD187,0)</f>
        <v>0</v>
      </c>
      <c r="EU187" s="28" t="n">
        <f aca="false">IF(ISNUMBER(AX187),AX187*DE187,0)</f>
        <v>0</v>
      </c>
      <c r="EV187" s="28" t="n">
        <f aca="false">IF(ISNUMBER(BB187),BB187*DF187,0)</f>
        <v>0</v>
      </c>
      <c r="EW187" s="28" t="n">
        <f aca="false">IF(ISNUMBER(BF187),BF187*DG187,0)</f>
        <v>0</v>
      </c>
      <c r="EX187" s="28" t="n">
        <f aca="false">IF(ISNUMBER(BJ187),BJ187*DH187,0)</f>
        <v>0</v>
      </c>
      <c r="EY187" s="28" t="n">
        <f aca="false">IF(ISNUMBER(BN187),BN187*DI187,0)</f>
        <v>0</v>
      </c>
      <c r="EZ187" s="28" t="n">
        <f aca="false">IF(ISNUMBER(BR187),BR187*DJ187,0)</f>
        <v>0</v>
      </c>
      <c r="FA187" s="28" t="n">
        <f aca="false">IF(ISNUMBER(R187),CW187,0)</f>
        <v>1</v>
      </c>
      <c r="FB187" s="28" t="n">
        <f aca="false">IF(ISNUMBER(V187),CX187,0)</f>
        <v>1</v>
      </c>
      <c r="FC187" s="28" t="n">
        <f aca="false">IF(ISNUMBER(Z187),CY187,0)</f>
        <v>1</v>
      </c>
      <c r="FD187" s="28" t="n">
        <f aca="false">IF(ISNUMBER(AD187),CZ187,0)</f>
        <v>2</v>
      </c>
      <c r="FE187" s="28" t="n">
        <f aca="false">IF(ISNUMBER(AH187),DA187,0)</f>
        <v>2</v>
      </c>
      <c r="FF187" s="28" t="n">
        <f aca="false">IF(ISNUMBER(AL187),DB187,0)</f>
        <v>1</v>
      </c>
      <c r="FG187" s="28" t="n">
        <f aca="false">IF(ISNUMBER(AP187),DC187,0)</f>
        <v>0</v>
      </c>
      <c r="FH187" s="28" t="n">
        <f aca="false">IF(ISNUMBER(AT187),DD187,0)</f>
        <v>0</v>
      </c>
      <c r="FI187" s="28" t="n">
        <f aca="false">IF(ISNUMBER(AX187),DE187,0)</f>
        <v>0</v>
      </c>
      <c r="FJ187" s="28" t="n">
        <f aca="false">IF(ISNUMBER(BB187),DF187,0)</f>
        <v>0</v>
      </c>
      <c r="FK187" s="28" t="n">
        <f aca="false">IF(ISNUMBER(BF187),DG187,0)</f>
        <v>0</v>
      </c>
      <c r="FL187" s="28" t="n">
        <f aca="false">IF(ISNUMBER(BJ187),DH187,0)</f>
        <v>0</v>
      </c>
      <c r="FM187" s="28" t="n">
        <f aca="false">IF(ISNUMBER(BN187),DI187,0)</f>
        <v>0</v>
      </c>
      <c r="FN187" s="28" t="n">
        <f aca="false">IF(ISNUMBER(BR187),DJ187,0)</f>
        <v>0</v>
      </c>
      <c r="FO187" s="28" t="str">
        <f aca="false">IFERROR(INDEX(Lists!$G$2:$G$20,MATCH($I187&amp;"|"&amp;$J187,Lists!$F$2:$F$20,0)),"")</f>
        <v>Hist Overall SL</v>
      </c>
    </row>
    <row r="188" customFormat="false" ht="19.5" hidden="false" customHeight="true" outlineLevel="0" collapsed="false">
      <c r="A188" s="29" t="s">
        <v>269</v>
      </c>
      <c r="B188" s="29" t="s">
        <v>270</v>
      </c>
      <c r="C188" s="30" t="s">
        <v>152</v>
      </c>
      <c r="D188" s="30" t="s">
        <v>422</v>
      </c>
      <c r="E188" s="31" t="n">
        <v>5.7</v>
      </c>
      <c r="F188" s="30" t="n">
        <v>6</v>
      </c>
      <c r="G188" s="30" t="s">
        <v>154</v>
      </c>
      <c r="H188" s="32" t="s">
        <v>23</v>
      </c>
      <c r="I188" s="33" t="s">
        <v>416</v>
      </c>
      <c r="J188" s="32" t="s">
        <v>223</v>
      </c>
      <c r="K188" s="34" t="n">
        <f aca="false">IF(OR(M188="",$E188=""),"",M188-$E188)</f>
        <v>0.3</v>
      </c>
      <c r="L188" s="35" t="n">
        <f aca="false">IF(SUM(FA188:FN188)=0,"",SUM(EM188:EZ188)/SUM(FA188:FN188))</f>
        <v>63.4375</v>
      </c>
      <c r="M188" s="36" t="n">
        <f aca="false">IF(OR(L188="",FO188=""),"",IFERROR(MATCH(L188,INDEX(Boundaries!$B$2:$I$30,MATCH(FO188,Boundaries!$A$2:$A$30,0),0),1)-1,""))</f>
        <v>6</v>
      </c>
      <c r="N188" s="37" t="n">
        <f aca="false">IF(COUNT($DY188:$EL188)&lt;2,"",INDEX($DK188:$DX188,MAX($DY188:$EL188))-INDEX($DK188:$DX188,MIN($DY188:$EL188)))</f>
        <v>1</v>
      </c>
      <c r="O188" s="37" t="n">
        <f aca="false">IF(COUNT($DY188:$EL188)&lt;2,"",INDEX($DK188:$DX188,MAX($DY188:$EL188))-INDEX($DK188:$DX188,LARGE($DY188:$EL188,2)))</f>
        <v>1</v>
      </c>
      <c r="P188" s="38" t="str">
        <f aca="false">IF(K188="","",IF(K188&gt;=0,"On/above target",IF(AND(N188&lt;&gt;"",N188&gt;=0.5),"Improving towards target",IF(AND(O188&lt;&gt;"",O188&lt;=-0.5),"Declining","Stable below target"))))</f>
        <v>On/above target</v>
      </c>
      <c r="Q188" s="39" t="n">
        <v>15</v>
      </c>
      <c r="R188" s="40" t="n">
        <f aca="false">IF(OR(Q188="",BU188=""),"",Q188/BU188*100)</f>
        <v>62.5</v>
      </c>
      <c r="S188" s="41" t="n">
        <f aca="false">IF(R188="","",IFERROR(MATCH(R188,INDEX(Boundaries!$B$2:$I$30,MATCH(CI188,Boundaries!$A$2:$A$30,0),0),1)-1,""))</f>
        <v>5</v>
      </c>
      <c r="T188" s="42" t="n">
        <f aca="false">IF(OR(S188="",$E188=""),"",S188-$E188)</f>
        <v>-0.7</v>
      </c>
      <c r="U188" s="39" t="n">
        <v>14</v>
      </c>
      <c r="V188" s="40" t="n">
        <f aca="false">IF(OR(U188="",BV188=""),"",U188/BV188*100)</f>
        <v>58.3333333333333</v>
      </c>
      <c r="W188" s="41" t="n">
        <f aca="false">IF(V188="","",IFERROR(MATCH(V188,INDEX(Boundaries!$B$2:$I$30,MATCH(CJ188,Boundaries!$A$2:$A$30,0),0),1)-1,""))</f>
        <v>5</v>
      </c>
      <c r="X188" s="42" t="n">
        <f aca="false">IF(OR(W188="",$E188=""),"",W188-$E188)</f>
        <v>-0.7</v>
      </c>
      <c r="Y188" s="39" t="n">
        <v>10</v>
      </c>
      <c r="Z188" s="40" t="n">
        <f aca="false">IF(OR(Y188="",BW188=""),"",Y188/BW188*100)</f>
        <v>66.6666666666667</v>
      </c>
      <c r="AA188" s="41" t="n">
        <f aca="false">IF(Z188="","",IFERROR(MATCH(Z188,INDEX(Boundaries!$B$2:$I$30,MATCH(CK188,Boundaries!$A$2:$A$30,0),0),1)-1,""))</f>
        <v>5</v>
      </c>
      <c r="AB188" s="42" t="n">
        <f aca="false">IF(OR(AA188="",$E188=""),"",AA188-$E188)</f>
        <v>-0.7</v>
      </c>
      <c r="AC188" s="39" t="n">
        <v>15</v>
      </c>
      <c r="AD188" s="40" t="n">
        <f aca="false">IF(OR(AC188="",BX188=""),"",AC188/BX188*100)</f>
        <v>62.5</v>
      </c>
      <c r="AE188" s="41" t="n">
        <f aca="false">IF(AD188="","",IFERROR(MATCH(AD188,INDEX(Boundaries!$B$2:$I$30,MATCH(CL188,Boundaries!$A$2:$A$30,0),0),1)-1,""))</f>
        <v>5</v>
      </c>
      <c r="AF188" s="42" t="n">
        <f aca="false">IF(OR(AE188="",$E188=""),"",AE188-$E188)</f>
        <v>-0.7</v>
      </c>
      <c r="AG188" s="39" t="n">
        <v>18</v>
      </c>
      <c r="AH188" s="40" t="n">
        <f aca="false">IF(OR(AG188="",BY188=""),"",AG188/BY188*100)</f>
        <v>60</v>
      </c>
      <c r="AI188" s="41" t="n">
        <f aca="false">IF(AH188="","",IFERROR(MATCH(AH188,INDEX(Boundaries!$B$2:$I$30,MATCH(CM188,Boundaries!$A$2:$A$30,0),0),1)-1,""))</f>
        <v>5</v>
      </c>
      <c r="AJ188" s="42" t="n">
        <f aca="false">IF(OR(AI188="",$E188=""),"",AI188-$E188)</f>
        <v>-0.7</v>
      </c>
      <c r="AK188" s="39" t="n">
        <v>18</v>
      </c>
      <c r="AL188" s="40" t="n">
        <f aca="false">IF(OR(AK188="",BZ188=""),"",AK188/BZ188*100)</f>
        <v>75</v>
      </c>
      <c r="AM188" s="41" t="n">
        <f aca="false">IF(AL188="","",IFERROR(MATCH(AL188,INDEX(Boundaries!$B$2:$I$30,MATCH(CN188,Boundaries!$A$2:$A$30,0),0),1)-1,""))</f>
        <v>6</v>
      </c>
      <c r="AN188" s="42" t="n">
        <f aca="false">IF(OR(AM188="",$E188=""),"",AM188-$E188)</f>
        <v>0.3</v>
      </c>
      <c r="AO188" s="39"/>
      <c r="AP188" s="40" t="str">
        <f aca="false">IF(OR(AO188="",CA188=""),"",AO188/CA188*100)</f>
        <v/>
      </c>
      <c r="AQ188" s="41" t="str">
        <f aca="false">IF(AP188="","",IFERROR(MATCH(AP188,INDEX(Boundaries!$B$2:$I$30,MATCH(CO188,Boundaries!$A$2:$A$30,0),0),1)-1,""))</f>
        <v/>
      </c>
      <c r="AR188" s="42" t="str">
        <f aca="false">IF(OR(AQ188="",$E188=""),"",AQ188-$E188)</f>
        <v/>
      </c>
      <c r="AS188" s="39"/>
      <c r="AT188" s="40" t="str">
        <f aca="false">IF(OR(AS188="",CB188=""),"",AS188/CB188*100)</f>
        <v/>
      </c>
      <c r="AU188" s="41" t="str">
        <f aca="false">IF(AT188="","",IFERROR(MATCH(AT188,INDEX(Boundaries!$B$2:$I$30,MATCH(CP188,Boundaries!$A$2:$A$30,0),0),1)-1,""))</f>
        <v/>
      </c>
      <c r="AV188" s="42" t="str">
        <f aca="false">IF(OR(AU188="",$E188=""),"",AU188-$E188)</f>
        <v/>
      </c>
      <c r="AW188" s="39"/>
      <c r="AX188" s="40" t="str">
        <f aca="false">IF(OR(AW188="",CC188=""),"",AW188/CC188*100)</f>
        <v/>
      </c>
      <c r="AY188" s="41" t="str">
        <f aca="false">IF(AX188="","",IFERROR(MATCH(AX188,INDEX(Boundaries!$B$2:$I$30,MATCH(CQ188,Boundaries!$A$2:$A$30,0),0),1)-1,""))</f>
        <v/>
      </c>
      <c r="AZ188" s="42" t="str">
        <f aca="false">IF(OR(AY188="",$E188=""),"",AY188-$E188)</f>
        <v/>
      </c>
      <c r="BA188" s="39"/>
      <c r="BB188" s="40" t="str">
        <f aca="false">IF(OR(BA188="",CD188=""),"",BA188/CD188*100)</f>
        <v/>
      </c>
      <c r="BC188" s="41" t="str">
        <f aca="false">IF(BB188="","",IFERROR(MATCH(BB188,INDEX(Boundaries!$B$2:$I$30,MATCH(CR188,Boundaries!$A$2:$A$30,0),0),1)-1,""))</f>
        <v/>
      </c>
      <c r="BD188" s="42" t="str">
        <f aca="false">IF(OR(BC188="",$E188=""),"",BC188-$E188)</f>
        <v/>
      </c>
      <c r="BE188" s="39"/>
      <c r="BF188" s="40" t="str">
        <f aca="false">IF(OR(BE188="",CE188=""),"",BE188/CE188*100)</f>
        <v/>
      </c>
      <c r="BG188" s="41" t="str">
        <f aca="false">IF(BF188="","",IFERROR(MATCH(BF188,INDEX(Boundaries!$B$2:$I$30,MATCH(CS188,Boundaries!$A$2:$A$30,0),0),1)-1,""))</f>
        <v/>
      </c>
      <c r="BH188" s="42" t="str">
        <f aca="false">IF(OR(BG188="",$E188=""),"",BG188-$E188)</f>
        <v/>
      </c>
      <c r="BI188" s="39"/>
      <c r="BJ188" s="40" t="str">
        <f aca="false">IF(OR(BI188="",CF188=""),"",BI188/CF188*100)</f>
        <v/>
      </c>
      <c r="BK188" s="41" t="str">
        <f aca="false">IF(BJ188="","",IFERROR(MATCH(BJ188,INDEX(Boundaries!$B$2:$I$30,MATCH(CT188,Boundaries!$A$2:$A$30,0),0),1)-1,""))</f>
        <v/>
      </c>
      <c r="BL188" s="42" t="str">
        <f aca="false">IF(OR(BK188="",$E188=""),"",BK188-$E188)</f>
        <v/>
      </c>
      <c r="BM188" s="39"/>
      <c r="BN188" s="40" t="str">
        <f aca="false">IF(OR(BM188="",CG188=""),"",BM188/CG188*100)</f>
        <v/>
      </c>
      <c r="BO188" s="41" t="str">
        <f aca="false">IF(BN188="","",IFERROR(MATCH(BN188,INDEX(Boundaries!$B$2:$I$30,MATCH(CU188,Boundaries!$A$2:$A$30,0),0),1)-1,""))</f>
        <v/>
      </c>
      <c r="BP188" s="42" t="str">
        <f aca="false">IF(OR(BO188="",$E188=""),"",BO188-$E188)</f>
        <v/>
      </c>
      <c r="BQ188" s="39"/>
      <c r="BR188" s="40" t="str">
        <f aca="false">IF(OR(BQ188="",CH188=""),"",BQ188/CH188*100)</f>
        <v/>
      </c>
      <c r="BS188" s="41" t="str">
        <f aca="false">IF(BR188="","",IFERROR(MATCH(BR188,INDEX(Boundaries!$B$2:$I$30,MATCH(CV188,Boundaries!$A$2:$A$30,0),0),1)-1,""))</f>
        <v/>
      </c>
      <c r="BT188" s="42" t="str">
        <f aca="false">IF(OR(BS188="",$E188=""),"",BS188-$E188)</f>
        <v/>
      </c>
      <c r="BU188" s="28" t="n">
        <f aca="false">IFERROR(INDEX(Assessments!$H$2:$H$600,MATCH($H188&amp;"|"&amp;$I188&amp;"|"&amp;$J188&amp;"|"&amp;1,Assessments!$A$2:$A$600,0)),"")</f>
        <v>24</v>
      </c>
      <c r="BV188" s="28" t="n">
        <f aca="false">IFERROR(INDEX(Assessments!$H$2:$H$600,MATCH($H188&amp;"|"&amp;$I188&amp;"|"&amp;$J188&amp;"|"&amp;2,Assessments!$A$2:$A$600,0)),"")</f>
        <v>24</v>
      </c>
      <c r="BW188" s="28" t="n">
        <f aca="false">IFERROR(INDEX(Assessments!$H$2:$H$600,MATCH($H188&amp;"|"&amp;$I188&amp;"|"&amp;$J188&amp;"|"&amp;3,Assessments!$A$2:$A$600,0)),"")</f>
        <v>15</v>
      </c>
      <c r="BX188" s="28" t="n">
        <f aca="false">IFERROR(INDEX(Assessments!$H$2:$H$600,MATCH($H188&amp;"|"&amp;$I188&amp;"|"&amp;$J188&amp;"|"&amp;4,Assessments!$A$2:$A$600,0)),"")</f>
        <v>24</v>
      </c>
      <c r="BY188" s="28" t="n">
        <f aca="false">IFERROR(INDEX(Assessments!$H$2:$H$600,MATCH($H188&amp;"|"&amp;$I188&amp;"|"&amp;$J188&amp;"|"&amp;5,Assessments!$A$2:$A$600,0)),"")</f>
        <v>30</v>
      </c>
      <c r="BZ188" s="28" t="n">
        <f aca="false">IFERROR(INDEX(Assessments!$H$2:$H$600,MATCH($H188&amp;"|"&amp;$I188&amp;"|"&amp;$J188&amp;"|"&amp;6,Assessments!$A$2:$A$600,0)),"")</f>
        <v>24</v>
      </c>
      <c r="CA188" s="28" t="n">
        <f aca="false">IFERROR(INDEX(Assessments!$H$2:$H$600,MATCH($H188&amp;"|"&amp;$I188&amp;"|"&amp;$J188&amp;"|"&amp;7,Assessments!$A$2:$A$600,0)),"")</f>
        <v>15</v>
      </c>
      <c r="CB188" s="28" t="n">
        <f aca="false">IFERROR(INDEX(Assessments!$H$2:$H$600,MATCH($H188&amp;"|"&amp;$I188&amp;"|"&amp;$J188&amp;"|"&amp;8,Assessments!$A$2:$A$600,0)),"")</f>
        <v>15</v>
      </c>
      <c r="CC188" s="28" t="str">
        <f aca="false">IFERROR(INDEX(Assessments!$H$2:$H$600,MATCH($H188&amp;"|"&amp;$I188&amp;"|"&amp;$J188&amp;"|"&amp;9,Assessments!$A$2:$A$600,0)),"")</f>
        <v/>
      </c>
      <c r="CD188" s="28" t="str">
        <f aca="false">IFERROR(INDEX(Assessments!$H$2:$H$600,MATCH($H188&amp;"|"&amp;$I188&amp;"|"&amp;$J188&amp;"|"&amp;10,Assessments!$A$2:$A$600,0)),"")</f>
        <v/>
      </c>
      <c r="CE188" s="28" t="str">
        <f aca="false">IFERROR(INDEX(Assessments!$H$2:$H$600,MATCH($H188&amp;"|"&amp;$I188&amp;"|"&amp;$J188&amp;"|"&amp;11,Assessments!$A$2:$A$600,0)),"")</f>
        <v/>
      </c>
      <c r="CF188" s="28" t="str">
        <f aca="false">IFERROR(INDEX(Assessments!$H$2:$H$600,MATCH($H188&amp;"|"&amp;$I188&amp;"|"&amp;$J188&amp;"|"&amp;12,Assessments!$A$2:$A$600,0)),"")</f>
        <v/>
      </c>
      <c r="CG188" s="28" t="str">
        <f aca="false">IFERROR(INDEX(Assessments!$H$2:$H$600,MATCH($H188&amp;"|"&amp;$I188&amp;"|"&amp;$J188&amp;"|"&amp;13,Assessments!$A$2:$A$600,0)),"")</f>
        <v/>
      </c>
      <c r="CH188" s="28" t="str">
        <f aca="false">IFERROR(INDEX(Assessments!$H$2:$H$600,MATCH($H188&amp;"|"&amp;$I188&amp;"|"&amp;$J188&amp;"|"&amp;14,Assessments!$A$2:$A$600,0)),"")</f>
        <v/>
      </c>
      <c r="CI188" s="28" t="str">
        <f aca="false">IFERROR(INDEX(Assessments!$I$2:$I$600,MATCH($H188&amp;"|"&amp;$I188&amp;"|"&amp;$J188&amp;"|"&amp;1,Assessments!$A$2:$A$600,0)),"")</f>
        <v>Hist Paper 1</v>
      </c>
      <c r="CJ188" s="28" t="str">
        <f aca="false">IFERROR(INDEX(Assessments!$I$2:$I$600,MATCH($H188&amp;"|"&amp;$I188&amp;"|"&amp;$J188&amp;"|"&amp;2,Assessments!$A$2:$A$600,0)),"")</f>
        <v>Hist Paper 1</v>
      </c>
      <c r="CK188" s="28" t="str">
        <f aca="false">IFERROR(INDEX(Assessments!$I$2:$I$600,MATCH($H188&amp;"|"&amp;$I188&amp;"|"&amp;$J188&amp;"|"&amp;3,Assessments!$A$2:$A$600,0)),"")</f>
        <v>Hist P2 partial</v>
      </c>
      <c r="CL188" s="28" t="str">
        <f aca="false">IFERROR(INDEX(Assessments!$I$2:$I$600,MATCH($H188&amp;"|"&amp;$I188&amp;"|"&amp;$J188&amp;"|"&amp;4,Assessments!$A$2:$A$600,0)),"")</f>
        <v>Hist Paper 1</v>
      </c>
      <c r="CM188" s="28" t="str">
        <f aca="false">IFERROR(INDEX(Assessments!$I$2:$I$600,MATCH($H188&amp;"|"&amp;$I188&amp;"|"&amp;$J188&amp;"|"&amp;5,Assessments!$A$2:$A$600,0)),"")</f>
        <v>Hist P2 full</v>
      </c>
      <c r="CN188" s="28" t="str">
        <f aca="false">IFERROR(INDEX(Assessments!$I$2:$I$600,MATCH($H188&amp;"|"&amp;$I188&amp;"|"&amp;$J188&amp;"|"&amp;6,Assessments!$A$2:$A$600,0)),"")</f>
        <v>Hist Paper 1</v>
      </c>
      <c r="CO188" s="28" t="str">
        <f aca="false">IFERROR(INDEX(Assessments!$I$2:$I$600,MATCH($H188&amp;"|"&amp;$I188&amp;"|"&amp;$J188&amp;"|"&amp;7,Assessments!$A$2:$A$600,0)),"")</f>
        <v>Hist P2 partial</v>
      </c>
      <c r="CP188" s="28" t="str">
        <f aca="false">IFERROR(INDEX(Assessments!$I$2:$I$600,MATCH($H188&amp;"|"&amp;$I188&amp;"|"&amp;$J188&amp;"|"&amp;8,Assessments!$A$2:$A$600,0)),"")</f>
        <v>Hist P3 essay</v>
      </c>
      <c r="CQ188" s="28" t="str">
        <f aca="false">IFERROR(INDEX(Assessments!$I$2:$I$600,MATCH($H188&amp;"|"&amp;$I188&amp;"|"&amp;$J188&amp;"|"&amp;9,Assessments!$A$2:$A$600,0)),"")</f>
        <v/>
      </c>
      <c r="CR188" s="28" t="str">
        <f aca="false">IFERROR(INDEX(Assessments!$I$2:$I$600,MATCH($H188&amp;"|"&amp;$I188&amp;"|"&amp;$J188&amp;"|"&amp;10,Assessments!$A$2:$A$600,0)),"")</f>
        <v/>
      </c>
      <c r="CS188" s="28" t="str">
        <f aca="false">IFERROR(INDEX(Assessments!$I$2:$I$600,MATCH($H188&amp;"|"&amp;$I188&amp;"|"&amp;$J188&amp;"|"&amp;11,Assessments!$A$2:$A$600,0)),"")</f>
        <v/>
      </c>
      <c r="CT188" s="28" t="str">
        <f aca="false">IFERROR(INDEX(Assessments!$I$2:$I$600,MATCH($H188&amp;"|"&amp;$I188&amp;"|"&amp;$J188&amp;"|"&amp;12,Assessments!$A$2:$A$600,0)),"")</f>
        <v/>
      </c>
      <c r="CU188" s="28" t="str">
        <f aca="false">IFERROR(INDEX(Assessments!$I$2:$I$600,MATCH($H188&amp;"|"&amp;$I188&amp;"|"&amp;$J188&amp;"|"&amp;13,Assessments!$A$2:$A$600,0)),"")</f>
        <v/>
      </c>
      <c r="CV188" s="28" t="str">
        <f aca="false">IFERROR(INDEX(Assessments!$I$2:$I$600,MATCH($H188&amp;"|"&amp;$I188&amp;"|"&amp;$J188&amp;"|"&amp;14,Assessments!$A$2:$A$600,0)),"")</f>
        <v/>
      </c>
      <c r="CW188" s="28" t="n">
        <f aca="false">IFERROR(INDEX(Assessments!$J$2:$J$600,MATCH($H188&amp;"|"&amp;$I188&amp;"|"&amp;$J188&amp;"|"&amp;1,Assessments!$A$2:$A$600,0)),0)</f>
        <v>1</v>
      </c>
      <c r="CX188" s="28" t="n">
        <f aca="false">IFERROR(INDEX(Assessments!$J$2:$J$600,MATCH($H188&amp;"|"&amp;$I188&amp;"|"&amp;$J188&amp;"|"&amp;2,Assessments!$A$2:$A$600,0)),0)</f>
        <v>1</v>
      </c>
      <c r="CY188" s="28" t="n">
        <f aca="false">IFERROR(INDEX(Assessments!$J$2:$J$600,MATCH($H188&amp;"|"&amp;$I188&amp;"|"&amp;$J188&amp;"|"&amp;3,Assessments!$A$2:$A$600,0)),0)</f>
        <v>1</v>
      </c>
      <c r="CZ188" s="28" t="n">
        <f aca="false">IFERROR(INDEX(Assessments!$J$2:$J$600,MATCH($H188&amp;"|"&amp;$I188&amp;"|"&amp;$J188&amp;"|"&amp;4,Assessments!$A$2:$A$600,0)),0)</f>
        <v>2</v>
      </c>
      <c r="DA188" s="28" t="n">
        <f aca="false">IFERROR(INDEX(Assessments!$J$2:$J$600,MATCH($H188&amp;"|"&amp;$I188&amp;"|"&amp;$J188&amp;"|"&amp;5,Assessments!$A$2:$A$600,0)),0)</f>
        <v>2</v>
      </c>
      <c r="DB188" s="28" t="n">
        <f aca="false">IFERROR(INDEX(Assessments!$J$2:$J$600,MATCH($H188&amp;"|"&amp;$I188&amp;"|"&amp;$J188&amp;"|"&amp;6,Assessments!$A$2:$A$600,0)),0)</f>
        <v>1</v>
      </c>
      <c r="DC188" s="28" t="n">
        <f aca="false">IFERROR(INDEX(Assessments!$J$2:$J$600,MATCH($H188&amp;"|"&amp;$I188&amp;"|"&amp;$J188&amp;"|"&amp;7,Assessments!$A$2:$A$600,0)),0)</f>
        <v>1</v>
      </c>
      <c r="DD188" s="28" t="n">
        <f aca="false">IFERROR(INDEX(Assessments!$J$2:$J$600,MATCH($H188&amp;"|"&amp;$I188&amp;"|"&amp;$J188&amp;"|"&amp;8,Assessments!$A$2:$A$600,0)),0)</f>
        <v>1</v>
      </c>
      <c r="DE188" s="28" t="n">
        <f aca="false">IFERROR(INDEX(Assessments!$J$2:$J$600,MATCH($H188&amp;"|"&amp;$I188&amp;"|"&amp;$J188&amp;"|"&amp;9,Assessments!$A$2:$A$600,0)),0)</f>
        <v>0</v>
      </c>
      <c r="DF188" s="28" t="n">
        <f aca="false">IFERROR(INDEX(Assessments!$J$2:$J$600,MATCH($H188&amp;"|"&amp;$I188&amp;"|"&amp;$J188&amp;"|"&amp;10,Assessments!$A$2:$A$600,0)),0)</f>
        <v>0</v>
      </c>
      <c r="DG188" s="28" t="n">
        <f aca="false">IFERROR(INDEX(Assessments!$J$2:$J$600,MATCH($H188&amp;"|"&amp;$I188&amp;"|"&amp;$J188&amp;"|"&amp;11,Assessments!$A$2:$A$600,0)),0)</f>
        <v>0</v>
      </c>
      <c r="DH188" s="28" t="n">
        <f aca="false">IFERROR(INDEX(Assessments!$J$2:$J$600,MATCH($H188&amp;"|"&amp;$I188&amp;"|"&amp;$J188&amp;"|"&amp;12,Assessments!$A$2:$A$600,0)),0)</f>
        <v>0</v>
      </c>
      <c r="DI188" s="28" t="n">
        <f aca="false">IFERROR(INDEX(Assessments!$J$2:$J$600,MATCH($H188&amp;"|"&amp;$I188&amp;"|"&amp;$J188&amp;"|"&amp;13,Assessments!$A$2:$A$600,0)),0)</f>
        <v>0</v>
      </c>
      <c r="DJ188" s="28" t="n">
        <f aca="false">IFERROR(INDEX(Assessments!$J$2:$J$600,MATCH($H188&amp;"|"&amp;$I188&amp;"|"&amp;$J188&amp;"|"&amp;14,Assessments!$A$2:$A$600,0)),0)</f>
        <v>0</v>
      </c>
      <c r="DK188" s="28" t="n">
        <f aca="false">S188</f>
        <v>5</v>
      </c>
      <c r="DL188" s="28" t="n">
        <f aca="false">W188</f>
        <v>5</v>
      </c>
      <c r="DM188" s="28" t="n">
        <f aca="false">AA188</f>
        <v>5</v>
      </c>
      <c r="DN188" s="28" t="n">
        <f aca="false">AE188</f>
        <v>5</v>
      </c>
      <c r="DO188" s="28" t="n">
        <f aca="false">AI188</f>
        <v>5</v>
      </c>
      <c r="DP188" s="28" t="n">
        <f aca="false">AM188</f>
        <v>6</v>
      </c>
      <c r="DQ188" s="28" t="str">
        <f aca="false">AQ188</f>
        <v/>
      </c>
      <c r="DR188" s="28" t="str">
        <f aca="false">AU188</f>
        <v/>
      </c>
      <c r="DS188" s="28" t="str">
        <f aca="false">AY188</f>
        <v/>
      </c>
      <c r="DT188" s="28" t="str">
        <f aca="false">BC188</f>
        <v/>
      </c>
      <c r="DU188" s="28" t="str">
        <f aca="false">BG188</f>
        <v/>
      </c>
      <c r="DV188" s="28" t="str">
        <f aca="false">BK188</f>
        <v/>
      </c>
      <c r="DW188" s="28" t="str">
        <f aca="false">BO188</f>
        <v/>
      </c>
      <c r="DX188" s="28" t="str">
        <f aca="false">BS188</f>
        <v/>
      </c>
      <c r="DY188" s="28" t="n">
        <f aca="false">IF(ISNUMBER(S188),1,"")</f>
        <v>1</v>
      </c>
      <c r="DZ188" s="28" t="n">
        <f aca="false">IF(ISNUMBER(W188),2,"")</f>
        <v>2</v>
      </c>
      <c r="EA188" s="28" t="n">
        <f aca="false">IF(ISNUMBER(AA188),3,"")</f>
        <v>3</v>
      </c>
      <c r="EB188" s="28" t="n">
        <f aca="false">IF(ISNUMBER(AE188),4,"")</f>
        <v>4</v>
      </c>
      <c r="EC188" s="28" t="n">
        <f aca="false">IF(ISNUMBER(AI188),5,"")</f>
        <v>5</v>
      </c>
      <c r="ED188" s="28" t="n">
        <f aca="false">IF(ISNUMBER(AM188),6,"")</f>
        <v>6</v>
      </c>
      <c r="EE188" s="28" t="str">
        <f aca="false">IF(ISNUMBER(AQ188),7,"")</f>
        <v/>
      </c>
      <c r="EF188" s="28" t="str">
        <f aca="false">IF(ISNUMBER(AU188),8,"")</f>
        <v/>
      </c>
      <c r="EG188" s="28" t="str">
        <f aca="false">IF(ISNUMBER(AY188),9,"")</f>
        <v/>
      </c>
      <c r="EH188" s="28" t="str">
        <f aca="false">IF(ISNUMBER(BC188),10,"")</f>
        <v/>
      </c>
      <c r="EI188" s="28" t="str">
        <f aca="false">IF(ISNUMBER(BG188),11,"")</f>
        <v/>
      </c>
      <c r="EJ188" s="28" t="str">
        <f aca="false">IF(ISNUMBER(BK188),12,"")</f>
        <v/>
      </c>
      <c r="EK188" s="28" t="str">
        <f aca="false">IF(ISNUMBER(BO188),13,"")</f>
        <v/>
      </c>
      <c r="EL188" s="28" t="str">
        <f aca="false">IF(ISNUMBER(BS188),14,"")</f>
        <v/>
      </c>
      <c r="EM188" s="28" t="n">
        <f aca="false">IF(ISNUMBER(R188),R188*CW188,0)</f>
        <v>62.5</v>
      </c>
      <c r="EN188" s="28" t="n">
        <f aca="false">IF(ISNUMBER(V188),V188*CX188,0)</f>
        <v>58.3333333333333</v>
      </c>
      <c r="EO188" s="28" t="n">
        <f aca="false">IF(ISNUMBER(Z188),Z188*CY188,0)</f>
        <v>66.6666666666667</v>
      </c>
      <c r="EP188" s="28" t="n">
        <f aca="false">IF(ISNUMBER(AD188),AD188*CZ188,0)</f>
        <v>125</v>
      </c>
      <c r="EQ188" s="28" t="n">
        <f aca="false">IF(ISNUMBER(AH188),AH188*DA188,0)</f>
        <v>120</v>
      </c>
      <c r="ER188" s="28" t="n">
        <f aca="false">IF(ISNUMBER(AL188),AL188*DB188,0)</f>
        <v>75</v>
      </c>
      <c r="ES188" s="28" t="n">
        <f aca="false">IF(ISNUMBER(AP188),AP188*DC188,0)</f>
        <v>0</v>
      </c>
      <c r="ET188" s="28" t="n">
        <f aca="false">IF(ISNUMBER(AT188),AT188*DD188,0)</f>
        <v>0</v>
      </c>
      <c r="EU188" s="28" t="n">
        <f aca="false">IF(ISNUMBER(AX188),AX188*DE188,0)</f>
        <v>0</v>
      </c>
      <c r="EV188" s="28" t="n">
        <f aca="false">IF(ISNUMBER(BB188),BB188*DF188,0)</f>
        <v>0</v>
      </c>
      <c r="EW188" s="28" t="n">
        <f aca="false">IF(ISNUMBER(BF188),BF188*DG188,0)</f>
        <v>0</v>
      </c>
      <c r="EX188" s="28" t="n">
        <f aca="false">IF(ISNUMBER(BJ188),BJ188*DH188,0)</f>
        <v>0</v>
      </c>
      <c r="EY188" s="28" t="n">
        <f aca="false">IF(ISNUMBER(BN188),BN188*DI188,0)</f>
        <v>0</v>
      </c>
      <c r="EZ188" s="28" t="n">
        <f aca="false">IF(ISNUMBER(BR188),BR188*DJ188,0)</f>
        <v>0</v>
      </c>
      <c r="FA188" s="28" t="n">
        <f aca="false">IF(ISNUMBER(R188),CW188,0)</f>
        <v>1</v>
      </c>
      <c r="FB188" s="28" t="n">
        <f aca="false">IF(ISNUMBER(V188),CX188,0)</f>
        <v>1</v>
      </c>
      <c r="FC188" s="28" t="n">
        <f aca="false">IF(ISNUMBER(Z188),CY188,0)</f>
        <v>1</v>
      </c>
      <c r="FD188" s="28" t="n">
        <f aca="false">IF(ISNUMBER(AD188),CZ188,0)</f>
        <v>2</v>
      </c>
      <c r="FE188" s="28" t="n">
        <f aca="false">IF(ISNUMBER(AH188),DA188,0)</f>
        <v>2</v>
      </c>
      <c r="FF188" s="28" t="n">
        <f aca="false">IF(ISNUMBER(AL188),DB188,0)</f>
        <v>1</v>
      </c>
      <c r="FG188" s="28" t="n">
        <f aca="false">IF(ISNUMBER(AP188),DC188,0)</f>
        <v>0</v>
      </c>
      <c r="FH188" s="28" t="n">
        <f aca="false">IF(ISNUMBER(AT188),DD188,0)</f>
        <v>0</v>
      </c>
      <c r="FI188" s="28" t="n">
        <f aca="false">IF(ISNUMBER(AX188),DE188,0)</f>
        <v>0</v>
      </c>
      <c r="FJ188" s="28" t="n">
        <f aca="false">IF(ISNUMBER(BB188),DF188,0)</f>
        <v>0</v>
      </c>
      <c r="FK188" s="28" t="n">
        <f aca="false">IF(ISNUMBER(BF188),DG188,0)</f>
        <v>0</v>
      </c>
      <c r="FL188" s="28" t="n">
        <f aca="false">IF(ISNUMBER(BJ188),DH188,0)</f>
        <v>0</v>
      </c>
      <c r="FM188" s="28" t="n">
        <f aca="false">IF(ISNUMBER(BN188),DI188,0)</f>
        <v>0</v>
      </c>
      <c r="FN188" s="28" t="n">
        <f aca="false">IF(ISNUMBER(BR188),DJ188,0)</f>
        <v>0</v>
      </c>
      <c r="FO188" s="28" t="str">
        <f aca="false">IFERROR(INDEX(Lists!$G$2:$G$20,MATCH($I188&amp;"|"&amp;$J188,Lists!$F$2:$F$20,0)),"")</f>
        <v>Hist Overall SL</v>
      </c>
    </row>
    <row r="189" customFormat="false" ht="19.5" hidden="false" customHeight="true" outlineLevel="0" collapsed="false">
      <c r="A189" s="29" t="s">
        <v>272</v>
      </c>
      <c r="B189" s="29" t="s">
        <v>273</v>
      </c>
      <c r="C189" s="30" t="s">
        <v>152</v>
      </c>
      <c r="D189" s="30" t="s">
        <v>422</v>
      </c>
      <c r="E189" s="31" t="n">
        <v>6</v>
      </c>
      <c r="F189" s="30" t="n">
        <v>6</v>
      </c>
      <c r="G189" s="30"/>
      <c r="H189" s="32" t="s">
        <v>23</v>
      </c>
      <c r="I189" s="33" t="s">
        <v>416</v>
      </c>
      <c r="J189" s="32" t="s">
        <v>223</v>
      </c>
      <c r="K189" s="34" t="n">
        <f aca="false">IF(OR(M189="",$E189=""),"",M189-$E189)</f>
        <v>0</v>
      </c>
      <c r="L189" s="35" t="n">
        <f aca="false">IF(SUM(FA189:FN189)=0,"",SUM(EM189:EZ189)/SUM(FA189:FN189))</f>
        <v>75.2083333333333</v>
      </c>
      <c r="M189" s="36" t="n">
        <f aca="false">IF(OR(L189="",FO189=""),"",IFERROR(MATCH(L189,INDEX(Boundaries!$B$2:$I$30,MATCH(FO189,Boundaries!$A$2:$A$30,0),0),1)-1,""))</f>
        <v>6</v>
      </c>
      <c r="N189" s="37" t="n">
        <f aca="false">IF(COUNT($DY189:$EL189)&lt;2,"",INDEX($DK189:$DX189,MAX($DY189:$EL189))-INDEX($DK189:$DX189,MIN($DY189:$EL189)))</f>
        <v>0</v>
      </c>
      <c r="O189" s="37" t="n">
        <f aca="false">IF(COUNT($DY189:$EL189)&lt;2,"",INDEX($DK189:$DX189,MAX($DY189:$EL189))-INDEX($DK189:$DX189,LARGE($DY189:$EL189,2)))</f>
        <v>0</v>
      </c>
      <c r="P189" s="38" t="str">
        <f aca="false">IF(K189="","",IF(K189&gt;=0,"On/above target",IF(AND(N189&lt;&gt;"",N189&gt;=0.5),"Improving towards target",IF(AND(O189&lt;&gt;"",O189&lt;=-0.5),"Declining","Stable below target"))))</f>
        <v>On/above target</v>
      </c>
      <c r="Q189" s="39" t="n">
        <v>18</v>
      </c>
      <c r="R189" s="40" t="n">
        <f aca="false">IF(OR(Q189="",BU189=""),"",Q189/BU189*100)</f>
        <v>75</v>
      </c>
      <c r="S189" s="41" t="n">
        <f aca="false">IF(R189="","",IFERROR(MATCH(R189,INDEX(Boundaries!$B$2:$I$30,MATCH(CI189,Boundaries!$A$2:$A$30,0),0),1)-1,""))</f>
        <v>6</v>
      </c>
      <c r="T189" s="42" t="n">
        <f aca="false">IF(OR(S189="",$E189=""),"",S189-$E189)</f>
        <v>0</v>
      </c>
      <c r="U189" s="39" t="n">
        <v>18</v>
      </c>
      <c r="V189" s="40" t="n">
        <f aca="false">IF(OR(U189="",BV189=""),"",U189/BV189*100)</f>
        <v>75</v>
      </c>
      <c r="W189" s="41" t="n">
        <f aca="false">IF(V189="","",IFERROR(MATCH(V189,INDEX(Boundaries!$B$2:$I$30,MATCH(CJ189,Boundaries!$A$2:$A$30,0),0),1)-1,""))</f>
        <v>6</v>
      </c>
      <c r="X189" s="42" t="n">
        <f aca="false">IF(OR(W189="",$E189=""),"",W189-$E189)</f>
        <v>0</v>
      </c>
      <c r="Y189" s="39" t="n">
        <v>11</v>
      </c>
      <c r="Z189" s="40" t="n">
        <f aca="false">IF(OR(Y189="",BW189=""),"",Y189/BW189*100)</f>
        <v>73.3333333333333</v>
      </c>
      <c r="AA189" s="41" t="n">
        <f aca="false">IF(Z189="","",IFERROR(MATCH(Z189,INDEX(Boundaries!$B$2:$I$30,MATCH(CK189,Boundaries!$A$2:$A$30,0),0),1)-1,""))</f>
        <v>6</v>
      </c>
      <c r="AB189" s="42" t="n">
        <f aca="false">IF(OR(AA189="",$E189=""),"",AA189-$E189)</f>
        <v>0</v>
      </c>
      <c r="AC189" s="39" t="n">
        <v>18</v>
      </c>
      <c r="AD189" s="40" t="n">
        <f aca="false">IF(OR(AC189="",BX189=""),"",AC189/BX189*100)</f>
        <v>75</v>
      </c>
      <c r="AE189" s="41" t="n">
        <f aca="false">IF(AD189="","",IFERROR(MATCH(AD189,INDEX(Boundaries!$B$2:$I$30,MATCH(CL189,Boundaries!$A$2:$A$30,0),0),1)-1,""))</f>
        <v>6</v>
      </c>
      <c r="AF189" s="42" t="n">
        <f aca="false">IF(OR(AE189="",$E189=""),"",AE189-$E189)</f>
        <v>0</v>
      </c>
      <c r="AG189" s="39" t="n">
        <v>23</v>
      </c>
      <c r="AH189" s="40" t="n">
        <f aca="false">IF(OR(AG189="",BY189=""),"",AG189/BY189*100)</f>
        <v>76.6666666666667</v>
      </c>
      <c r="AI189" s="41" t="n">
        <f aca="false">IF(AH189="","",IFERROR(MATCH(AH189,INDEX(Boundaries!$B$2:$I$30,MATCH(CM189,Boundaries!$A$2:$A$30,0),0),1)-1,""))</f>
        <v>6</v>
      </c>
      <c r="AJ189" s="42" t="n">
        <f aca="false">IF(OR(AI189="",$E189=""),"",AI189-$E189)</f>
        <v>0</v>
      </c>
      <c r="AK189" s="39" t="n">
        <v>18</v>
      </c>
      <c r="AL189" s="40" t="n">
        <f aca="false">IF(OR(AK189="",BZ189=""),"",AK189/BZ189*100)</f>
        <v>75</v>
      </c>
      <c r="AM189" s="41" t="n">
        <f aca="false">IF(AL189="","",IFERROR(MATCH(AL189,INDEX(Boundaries!$B$2:$I$30,MATCH(CN189,Boundaries!$A$2:$A$30,0),0),1)-1,""))</f>
        <v>6</v>
      </c>
      <c r="AN189" s="42" t="n">
        <f aca="false">IF(OR(AM189="",$E189=""),"",AM189-$E189)</f>
        <v>0</v>
      </c>
      <c r="AO189" s="39"/>
      <c r="AP189" s="40" t="str">
        <f aca="false">IF(OR(AO189="",CA189=""),"",AO189/CA189*100)</f>
        <v/>
      </c>
      <c r="AQ189" s="41" t="str">
        <f aca="false">IF(AP189="","",IFERROR(MATCH(AP189,INDEX(Boundaries!$B$2:$I$30,MATCH(CO189,Boundaries!$A$2:$A$30,0),0),1)-1,""))</f>
        <v/>
      </c>
      <c r="AR189" s="42" t="str">
        <f aca="false">IF(OR(AQ189="",$E189=""),"",AQ189-$E189)</f>
        <v/>
      </c>
      <c r="AS189" s="39"/>
      <c r="AT189" s="40" t="str">
        <f aca="false">IF(OR(AS189="",CB189=""),"",AS189/CB189*100)</f>
        <v/>
      </c>
      <c r="AU189" s="41" t="str">
        <f aca="false">IF(AT189="","",IFERROR(MATCH(AT189,INDEX(Boundaries!$B$2:$I$30,MATCH(CP189,Boundaries!$A$2:$A$30,0),0),1)-1,""))</f>
        <v/>
      </c>
      <c r="AV189" s="42" t="str">
        <f aca="false">IF(OR(AU189="",$E189=""),"",AU189-$E189)</f>
        <v/>
      </c>
      <c r="AW189" s="39"/>
      <c r="AX189" s="40" t="str">
        <f aca="false">IF(OR(AW189="",CC189=""),"",AW189/CC189*100)</f>
        <v/>
      </c>
      <c r="AY189" s="41" t="str">
        <f aca="false">IF(AX189="","",IFERROR(MATCH(AX189,INDEX(Boundaries!$B$2:$I$30,MATCH(CQ189,Boundaries!$A$2:$A$30,0),0),1)-1,""))</f>
        <v/>
      </c>
      <c r="AZ189" s="42" t="str">
        <f aca="false">IF(OR(AY189="",$E189=""),"",AY189-$E189)</f>
        <v/>
      </c>
      <c r="BA189" s="39"/>
      <c r="BB189" s="40" t="str">
        <f aca="false">IF(OR(BA189="",CD189=""),"",BA189/CD189*100)</f>
        <v/>
      </c>
      <c r="BC189" s="41" t="str">
        <f aca="false">IF(BB189="","",IFERROR(MATCH(BB189,INDEX(Boundaries!$B$2:$I$30,MATCH(CR189,Boundaries!$A$2:$A$30,0),0),1)-1,""))</f>
        <v/>
      </c>
      <c r="BD189" s="42" t="str">
        <f aca="false">IF(OR(BC189="",$E189=""),"",BC189-$E189)</f>
        <v/>
      </c>
      <c r="BE189" s="39"/>
      <c r="BF189" s="40" t="str">
        <f aca="false">IF(OR(BE189="",CE189=""),"",BE189/CE189*100)</f>
        <v/>
      </c>
      <c r="BG189" s="41" t="str">
        <f aca="false">IF(BF189="","",IFERROR(MATCH(BF189,INDEX(Boundaries!$B$2:$I$30,MATCH(CS189,Boundaries!$A$2:$A$30,0),0),1)-1,""))</f>
        <v/>
      </c>
      <c r="BH189" s="42" t="str">
        <f aca="false">IF(OR(BG189="",$E189=""),"",BG189-$E189)</f>
        <v/>
      </c>
      <c r="BI189" s="39"/>
      <c r="BJ189" s="40" t="str">
        <f aca="false">IF(OR(BI189="",CF189=""),"",BI189/CF189*100)</f>
        <v/>
      </c>
      <c r="BK189" s="41" t="str">
        <f aca="false">IF(BJ189="","",IFERROR(MATCH(BJ189,INDEX(Boundaries!$B$2:$I$30,MATCH(CT189,Boundaries!$A$2:$A$30,0),0),1)-1,""))</f>
        <v/>
      </c>
      <c r="BL189" s="42" t="str">
        <f aca="false">IF(OR(BK189="",$E189=""),"",BK189-$E189)</f>
        <v/>
      </c>
      <c r="BM189" s="39"/>
      <c r="BN189" s="40" t="str">
        <f aca="false">IF(OR(BM189="",CG189=""),"",BM189/CG189*100)</f>
        <v/>
      </c>
      <c r="BO189" s="41" t="str">
        <f aca="false">IF(BN189="","",IFERROR(MATCH(BN189,INDEX(Boundaries!$B$2:$I$30,MATCH(CU189,Boundaries!$A$2:$A$30,0),0),1)-1,""))</f>
        <v/>
      </c>
      <c r="BP189" s="42" t="str">
        <f aca="false">IF(OR(BO189="",$E189=""),"",BO189-$E189)</f>
        <v/>
      </c>
      <c r="BQ189" s="39"/>
      <c r="BR189" s="40" t="str">
        <f aca="false">IF(OR(BQ189="",CH189=""),"",BQ189/CH189*100)</f>
        <v/>
      </c>
      <c r="BS189" s="41" t="str">
        <f aca="false">IF(BR189="","",IFERROR(MATCH(BR189,INDEX(Boundaries!$B$2:$I$30,MATCH(CV189,Boundaries!$A$2:$A$30,0),0),1)-1,""))</f>
        <v/>
      </c>
      <c r="BT189" s="42" t="str">
        <f aca="false">IF(OR(BS189="",$E189=""),"",BS189-$E189)</f>
        <v/>
      </c>
      <c r="BU189" s="28" t="n">
        <f aca="false">IFERROR(INDEX(Assessments!$H$2:$H$600,MATCH($H189&amp;"|"&amp;$I189&amp;"|"&amp;$J189&amp;"|"&amp;1,Assessments!$A$2:$A$600,0)),"")</f>
        <v>24</v>
      </c>
      <c r="BV189" s="28" t="n">
        <f aca="false">IFERROR(INDEX(Assessments!$H$2:$H$600,MATCH($H189&amp;"|"&amp;$I189&amp;"|"&amp;$J189&amp;"|"&amp;2,Assessments!$A$2:$A$600,0)),"")</f>
        <v>24</v>
      </c>
      <c r="BW189" s="28" t="n">
        <f aca="false">IFERROR(INDEX(Assessments!$H$2:$H$600,MATCH($H189&amp;"|"&amp;$I189&amp;"|"&amp;$J189&amp;"|"&amp;3,Assessments!$A$2:$A$600,0)),"")</f>
        <v>15</v>
      </c>
      <c r="BX189" s="28" t="n">
        <f aca="false">IFERROR(INDEX(Assessments!$H$2:$H$600,MATCH($H189&amp;"|"&amp;$I189&amp;"|"&amp;$J189&amp;"|"&amp;4,Assessments!$A$2:$A$600,0)),"")</f>
        <v>24</v>
      </c>
      <c r="BY189" s="28" t="n">
        <f aca="false">IFERROR(INDEX(Assessments!$H$2:$H$600,MATCH($H189&amp;"|"&amp;$I189&amp;"|"&amp;$J189&amp;"|"&amp;5,Assessments!$A$2:$A$600,0)),"")</f>
        <v>30</v>
      </c>
      <c r="BZ189" s="28" t="n">
        <f aca="false">IFERROR(INDEX(Assessments!$H$2:$H$600,MATCH($H189&amp;"|"&amp;$I189&amp;"|"&amp;$J189&amp;"|"&amp;6,Assessments!$A$2:$A$600,0)),"")</f>
        <v>24</v>
      </c>
      <c r="CA189" s="28" t="n">
        <f aca="false">IFERROR(INDEX(Assessments!$H$2:$H$600,MATCH($H189&amp;"|"&amp;$I189&amp;"|"&amp;$J189&amp;"|"&amp;7,Assessments!$A$2:$A$600,0)),"")</f>
        <v>15</v>
      </c>
      <c r="CB189" s="28" t="n">
        <f aca="false">IFERROR(INDEX(Assessments!$H$2:$H$600,MATCH($H189&amp;"|"&amp;$I189&amp;"|"&amp;$J189&amp;"|"&amp;8,Assessments!$A$2:$A$600,0)),"")</f>
        <v>15</v>
      </c>
      <c r="CC189" s="28" t="str">
        <f aca="false">IFERROR(INDEX(Assessments!$H$2:$H$600,MATCH($H189&amp;"|"&amp;$I189&amp;"|"&amp;$J189&amp;"|"&amp;9,Assessments!$A$2:$A$600,0)),"")</f>
        <v/>
      </c>
      <c r="CD189" s="28" t="str">
        <f aca="false">IFERROR(INDEX(Assessments!$H$2:$H$600,MATCH($H189&amp;"|"&amp;$I189&amp;"|"&amp;$J189&amp;"|"&amp;10,Assessments!$A$2:$A$600,0)),"")</f>
        <v/>
      </c>
      <c r="CE189" s="28" t="str">
        <f aca="false">IFERROR(INDEX(Assessments!$H$2:$H$600,MATCH($H189&amp;"|"&amp;$I189&amp;"|"&amp;$J189&amp;"|"&amp;11,Assessments!$A$2:$A$600,0)),"")</f>
        <v/>
      </c>
      <c r="CF189" s="28" t="str">
        <f aca="false">IFERROR(INDEX(Assessments!$H$2:$H$600,MATCH($H189&amp;"|"&amp;$I189&amp;"|"&amp;$J189&amp;"|"&amp;12,Assessments!$A$2:$A$600,0)),"")</f>
        <v/>
      </c>
      <c r="CG189" s="28" t="str">
        <f aca="false">IFERROR(INDEX(Assessments!$H$2:$H$600,MATCH($H189&amp;"|"&amp;$I189&amp;"|"&amp;$J189&amp;"|"&amp;13,Assessments!$A$2:$A$600,0)),"")</f>
        <v/>
      </c>
      <c r="CH189" s="28" t="str">
        <f aca="false">IFERROR(INDEX(Assessments!$H$2:$H$600,MATCH($H189&amp;"|"&amp;$I189&amp;"|"&amp;$J189&amp;"|"&amp;14,Assessments!$A$2:$A$600,0)),"")</f>
        <v/>
      </c>
      <c r="CI189" s="28" t="str">
        <f aca="false">IFERROR(INDEX(Assessments!$I$2:$I$600,MATCH($H189&amp;"|"&amp;$I189&amp;"|"&amp;$J189&amp;"|"&amp;1,Assessments!$A$2:$A$600,0)),"")</f>
        <v>Hist Paper 1</v>
      </c>
      <c r="CJ189" s="28" t="str">
        <f aca="false">IFERROR(INDEX(Assessments!$I$2:$I$600,MATCH($H189&amp;"|"&amp;$I189&amp;"|"&amp;$J189&amp;"|"&amp;2,Assessments!$A$2:$A$600,0)),"")</f>
        <v>Hist Paper 1</v>
      </c>
      <c r="CK189" s="28" t="str">
        <f aca="false">IFERROR(INDEX(Assessments!$I$2:$I$600,MATCH($H189&amp;"|"&amp;$I189&amp;"|"&amp;$J189&amp;"|"&amp;3,Assessments!$A$2:$A$600,0)),"")</f>
        <v>Hist P2 partial</v>
      </c>
      <c r="CL189" s="28" t="str">
        <f aca="false">IFERROR(INDEX(Assessments!$I$2:$I$600,MATCH($H189&amp;"|"&amp;$I189&amp;"|"&amp;$J189&amp;"|"&amp;4,Assessments!$A$2:$A$600,0)),"")</f>
        <v>Hist Paper 1</v>
      </c>
      <c r="CM189" s="28" t="str">
        <f aca="false">IFERROR(INDEX(Assessments!$I$2:$I$600,MATCH($H189&amp;"|"&amp;$I189&amp;"|"&amp;$J189&amp;"|"&amp;5,Assessments!$A$2:$A$600,0)),"")</f>
        <v>Hist P2 full</v>
      </c>
      <c r="CN189" s="28" t="str">
        <f aca="false">IFERROR(INDEX(Assessments!$I$2:$I$600,MATCH($H189&amp;"|"&amp;$I189&amp;"|"&amp;$J189&amp;"|"&amp;6,Assessments!$A$2:$A$600,0)),"")</f>
        <v>Hist Paper 1</v>
      </c>
      <c r="CO189" s="28" t="str">
        <f aca="false">IFERROR(INDEX(Assessments!$I$2:$I$600,MATCH($H189&amp;"|"&amp;$I189&amp;"|"&amp;$J189&amp;"|"&amp;7,Assessments!$A$2:$A$600,0)),"")</f>
        <v>Hist P2 partial</v>
      </c>
      <c r="CP189" s="28" t="str">
        <f aca="false">IFERROR(INDEX(Assessments!$I$2:$I$600,MATCH($H189&amp;"|"&amp;$I189&amp;"|"&amp;$J189&amp;"|"&amp;8,Assessments!$A$2:$A$600,0)),"")</f>
        <v>Hist P3 essay</v>
      </c>
      <c r="CQ189" s="28" t="str">
        <f aca="false">IFERROR(INDEX(Assessments!$I$2:$I$600,MATCH($H189&amp;"|"&amp;$I189&amp;"|"&amp;$J189&amp;"|"&amp;9,Assessments!$A$2:$A$600,0)),"")</f>
        <v/>
      </c>
      <c r="CR189" s="28" t="str">
        <f aca="false">IFERROR(INDEX(Assessments!$I$2:$I$600,MATCH($H189&amp;"|"&amp;$I189&amp;"|"&amp;$J189&amp;"|"&amp;10,Assessments!$A$2:$A$600,0)),"")</f>
        <v/>
      </c>
      <c r="CS189" s="28" t="str">
        <f aca="false">IFERROR(INDEX(Assessments!$I$2:$I$600,MATCH($H189&amp;"|"&amp;$I189&amp;"|"&amp;$J189&amp;"|"&amp;11,Assessments!$A$2:$A$600,0)),"")</f>
        <v/>
      </c>
      <c r="CT189" s="28" t="str">
        <f aca="false">IFERROR(INDEX(Assessments!$I$2:$I$600,MATCH($H189&amp;"|"&amp;$I189&amp;"|"&amp;$J189&amp;"|"&amp;12,Assessments!$A$2:$A$600,0)),"")</f>
        <v/>
      </c>
      <c r="CU189" s="28" t="str">
        <f aca="false">IFERROR(INDEX(Assessments!$I$2:$I$600,MATCH($H189&amp;"|"&amp;$I189&amp;"|"&amp;$J189&amp;"|"&amp;13,Assessments!$A$2:$A$600,0)),"")</f>
        <v/>
      </c>
      <c r="CV189" s="28" t="str">
        <f aca="false">IFERROR(INDEX(Assessments!$I$2:$I$600,MATCH($H189&amp;"|"&amp;$I189&amp;"|"&amp;$J189&amp;"|"&amp;14,Assessments!$A$2:$A$600,0)),"")</f>
        <v/>
      </c>
      <c r="CW189" s="28" t="n">
        <f aca="false">IFERROR(INDEX(Assessments!$J$2:$J$600,MATCH($H189&amp;"|"&amp;$I189&amp;"|"&amp;$J189&amp;"|"&amp;1,Assessments!$A$2:$A$600,0)),0)</f>
        <v>1</v>
      </c>
      <c r="CX189" s="28" t="n">
        <f aca="false">IFERROR(INDEX(Assessments!$J$2:$J$600,MATCH($H189&amp;"|"&amp;$I189&amp;"|"&amp;$J189&amp;"|"&amp;2,Assessments!$A$2:$A$600,0)),0)</f>
        <v>1</v>
      </c>
      <c r="CY189" s="28" t="n">
        <f aca="false">IFERROR(INDEX(Assessments!$J$2:$J$600,MATCH($H189&amp;"|"&amp;$I189&amp;"|"&amp;$J189&amp;"|"&amp;3,Assessments!$A$2:$A$600,0)),0)</f>
        <v>1</v>
      </c>
      <c r="CZ189" s="28" t="n">
        <f aca="false">IFERROR(INDEX(Assessments!$J$2:$J$600,MATCH($H189&amp;"|"&amp;$I189&amp;"|"&amp;$J189&amp;"|"&amp;4,Assessments!$A$2:$A$600,0)),0)</f>
        <v>2</v>
      </c>
      <c r="DA189" s="28" t="n">
        <f aca="false">IFERROR(INDEX(Assessments!$J$2:$J$600,MATCH($H189&amp;"|"&amp;$I189&amp;"|"&amp;$J189&amp;"|"&amp;5,Assessments!$A$2:$A$600,0)),0)</f>
        <v>2</v>
      </c>
      <c r="DB189" s="28" t="n">
        <f aca="false">IFERROR(INDEX(Assessments!$J$2:$J$600,MATCH($H189&amp;"|"&amp;$I189&amp;"|"&amp;$J189&amp;"|"&amp;6,Assessments!$A$2:$A$600,0)),0)</f>
        <v>1</v>
      </c>
      <c r="DC189" s="28" t="n">
        <f aca="false">IFERROR(INDEX(Assessments!$J$2:$J$600,MATCH($H189&amp;"|"&amp;$I189&amp;"|"&amp;$J189&amp;"|"&amp;7,Assessments!$A$2:$A$600,0)),0)</f>
        <v>1</v>
      </c>
      <c r="DD189" s="28" t="n">
        <f aca="false">IFERROR(INDEX(Assessments!$J$2:$J$600,MATCH($H189&amp;"|"&amp;$I189&amp;"|"&amp;$J189&amp;"|"&amp;8,Assessments!$A$2:$A$600,0)),0)</f>
        <v>1</v>
      </c>
      <c r="DE189" s="28" t="n">
        <f aca="false">IFERROR(INDEX(Assessments!$J$2:$J$600,MATCH($H189&amp;"|"&amp;$I189&amp;"|"&amp;$J189&amp;"|"&amp;9,Assessments!$A$2:$A$600,0)),0)</f>
        <v>0</v>
      </c>
      <c r="DF189" s="28" t="n">
        <f aca="false">IFERROR(INDEX(Assessments!$J$2:$J$600,MATCH($H189&amp;"|"&amp;$I189&amp;"|"&amp;$J189&amp;"|"&amp;10,Assessments!$A$2:$A$600,0)),0)</f>
        <v>0</v>
      </c>
      <c r="DG189" s="28" t="n">
        <f aca="false">IFERROR(INDEX(Assessments!$J$2:$J$600,MATCH($H189&amp;"|"&amp;$I189&amp;"|"&amp;$J189&amp;"|"&amp;11,Assessments!$A$2:$A$600,0)),0)</f>
        <v>0</v>
      </c>
      <c r="DH189" s="28" t="n">
        <f aca="false">IFERROR(INDEX(Assessments!$J$2:$J$600,MATCH($H189&amp;"|"&amp;$I189&amp;"|"&amp;$J189&amp;"|"&amp;12,Assessments!$A$2:$A$600,0)),0)</f>
        <v>0</v>
      </c>
      <c r="DI189" s="28" t="n">
        <f aca="false">IFERROR(INDEX(Assessments!$J$2:$J$600,MATCH($H189&amp;"|"&amp;$I189&amp;"|"&amp;$J189&amp;"|"&amp;13,Assessments!$A$2:$A$600,0)),0)</f>
        <v>0</v>
      </c>
      <c r="DJ189" s="28" t="n">
        <f aca="false">IFERROR(INDEX(Assessments!$J$2:$J$600,MATCH($H189&amp;"|"&amp;$I189&amp;"|"&amp;$J189&amp;"|"&amp;14,Assessments!$A$2:$A$600,0)),0)</f>
        <v>0</v>
      </c>
      <c r="DK189" s="28" t="n">
        <f aca="false">S189</f>
        <v>6</v>
      </c>
      <c r="DL189" s="28" t="n">
        <f aca="false">W189</f>
        <v>6</v>
      </c>
      <c r="DM189" s="28" t="n">
        <f aca="false">AA189</f>
        <v>6</v>
      </c>
      <c r="DN189" s="28" t="n">
        <f aca="false">AE189</f>
        <v>6</v>
      </c>
      <c r="DO189" s="28" t="n">
        <f aca="false">AI189</f>
        <v>6</v>
      </c>
      <c r="DP189" s="28" t="n">
        <f aca="false">AM189</f>
        <v>6</v>
      </c>
      <c r="DQ189" s="28" t="str">
        <f aca="false">AQ189</f>
        <v/>
      </c>
      <c r="DR189" s="28" t="str">
        <f aca="false">AU189</f>
        <v/>
      </c>
      <c r="DS189" s="28" t="str">
        <f aca="false">AY189</f>
        <v/>
      </c>
      <c r="DT189" s="28" t="str">
        <f aca="false">BC189</f>
        <v/>
      </c>
      <c r="DU189" s="28" t="str">
        <f aca="false">BG189</f>
        <v/>
      </c>
      <c r="DV189" s="28" t="str">
        <f aca="false">BK189</f>
        <v/>
      </c>
      <c r="DW189" s="28" t="str">
        <f aca="false">BO189</f>
        <v/>
      </c>
      <c r="DX189" s="28" t="str">
        <f aca="false">BS189</f>
        <v/>
      </c>
      <c r="DY189" s="28" t="n">
        <f aca="false">IF(ISNUMBER(S189),1,"")</f>
        <v>1</v>
      </c>
      <c r="DZ189" s="28" t="n">
        <f aca="false">IF(ISNUMBER(W189),2,"")</f>
        <v>2</v>
      </c>
      <c r="EA189" s="28" t="n">
        <f aca="false">IF(ISNUMBER(AA189),3,"")</f>
        <v>3</v>
      </c>
      <c r="EB189" s="28" t="n">
        <f aca="false">IF(ISNUMBER(AE189),4,"")</f>
        <v>4</v>
      </c>
      <c r="EC189" s="28" t="n">
        <f aca="false">IF(ISNUMBER(AI189),5,"")</f>
        <v>5</v>
      </c>
      <c r="ED189" s="28" t="n">
        <f aca="false">IF(ISNUMBER(AM189),6,"")</f>
        <v>6</v>
      </c>
      <c r="EE189" s="28" t="str">
        <f aca="false">IF(ISNUMBER(AQ189),7,"")</f>
        <v/>
      </c>
      <c r="EF189" s="28" t="str">
        <f aca="false">IF(ISNUMBER(AU189),8,"")</f>
        <v/>
      </c>
      <c r="EG189" s="28" t="str">
        <f aca="false">IF(ISNUMBER(AY189),9,"")</f>
        <v/>
      </c>
      <c r="EH189" s="28" t="str">
        <f aca="false">IF(ISNUMBER(BC189),10,"")</f>
        <v/>
      </c>
      <c r="EI189" s="28" t="str">
        <f aca="false">IF(ISNUMBER(BG189),11,"")</f>
        <v/>
      </c>
      <c r="EJ189" s="28" t="str">
        <f aca="false">IF(ISNUMBER(BK189),12,"")</f>
        <v/>
      </c>
      <c r="EK189" s="28" t="str">
        <f aca="false">IF(ISNUMBER(BO189),13,"")</f>
        <v/>
      </c>
      <c r="EL189" s="28" t="str">
        <f aca="false">IF(ISNUMBER(BS189),14,"")</f>
        <v/>
      </c>
      <c r="EM189" s="28" t="n">
        <f aca="false">IF(ISNUMBER(R189),R189*CW189,0)</f>
        <v>75</v>
      </c>
      <c r="EN189" s="28" t="n">
        <f aca="false">IF(ISNUMBER(V189),V189*CX189,0)</f>
        <v>75</v>
      </c>
      <c r="EO189" s="28" t="n">
        <f aca="false">IF(ISNUMBER(Z189),Z189*CY189,0)</f>
        <v>73.3333333333333</v>
      </c>
      <c r="EP189" s="28" t="n">
        <f aca="false">IF(ISNUMBER(AD189),AD189*CZ189,0)</f>
        <v>150</v>
      </c>
      <c r="EQ189" s="28" t="n">
        <f aca="false">IF(ISNUMBER(AH189),AH189*DA189,0)</f>
        <v>153.333333333333</v>
      </c>
      <c r="ER189" s="28" t="n">
        <f aca="false">IF(ISNUMBER(AL189),AL189*DB189,0)</f>
        <v>75</v>
      </c>
      <c r="ES189" s="28" t="n">
        <f aca="false">IF(ISNUMBER(AP189),AP189*DC189,0)</f>
        <v>0</v>
      </c>
      <c r="ET189" s="28" t="n">
        <f aca="false">IF(ISNUMBER(AT189),AT189*DD189,0)</f>
        <v>0</v>
      </c>
      <c r="EU189" s="28" t="n">
        <f aca="false">IF(ISNUMBER(AX189),AX189*DE189,0)</f>
        <v>0</v>
      </c>
      <c r="EV189" s="28" t="n">
        <f aca="false">IF(ISNUMBER(BB189),BB189*DF189,0)</f>
        <v>0</v>
      </c>
      <c r="EW189" s="28" t="n">
        <f aca="false">IF(ISNUMBER(BF189),BF189*DG189,0)</f>
        <v>0</v>
      </c>
      <c r="EX189" s="28" t="n">
        <f aca="false">IF(ISNUMBER(BJ189),BJ189*DH189,0)</f>
        <v>0</v>
      </c>
      <c r="EY189" s="28" t="n">
        <f aca="false">IF(ISNUMBER(BN189),BN189*DI189,0)</f>
        <v>0</v>
      </c>
      <c r="EZ189" s="28" t="n">
        <f aca="false">IF(ISNUMBER(BR189),BR189*DJ189,0)</f>
        <v>0</v>
      </c>
      <c r="FA189" s="28" t="n">
        <f aca="false">IF(ISNUMBER(R189),CW189,0)</f>
        <v>1</v>
      </c>
      <c r="FB189" s="28" t="n">
        <f aca="false">IF(ISNUMBER(V189),CX189,0)</f>
        <v>1</v>
      </c>
      <c r="FC189" s="28" t="n">
        <f aca="false">IF(ISNUMBER(Z189),CY189,0)</f>
        <v>1</v>
      </c>
      <c r="FD189" s="28" t="n">
        <f aca="false">IF(ISNUMBER(AD189),CZ189,0)</f>
        <v>2</v>
      </c>
      <c r="FE189" s="28" t="n">
        <f aca="false">IF(ISNUMBER(AH189),DA189,0)</f>
        <v>2</v>
      </c>
      <c r="FF189" s="28" t="n">
        <f aca="false">IF(ISNUMBER(AL189),DB189,0)</f>
        <v>1</v>
      </c>
      <c r="FG189" s="28" t="n">
        <f aca="false">IF(ISNUMBER(AP189),DC189,0)</f>
        <v>0</v>
      </c>
      <c r="FH189" s="28" t="n">
        <f aca="false">IF(ISNUMBER(AT189),DD189,0)</f>
        <v>0</v>
      </c>
      <c r="FI189" s="28" t="n">
        <f aca="false">IF(ISNUMBER(AX189),DE189,0)</f>
        <v>0</v>
      </c>
      <c r="FJ189" s="28" t="n">
        <f aca="false">IF(ISNUMBER(BB189),DF189,0)</f>
        <v>0</v>
      </c>
      <c r="FK189" s="28" t="n">
        <f aca="false">IF(ISNUMBER(BF189),DG189,0)</f>
        <v>0</v>
      </c>
      <c r="FL189" s="28" t="n">
        <f aca="false">IF(ISNUMBER(BJ189),DH189,0)</f>
        <v>0</v>
      </c>
      <c r="FM189" s="28" t="n">
        <f aca="false">IF(ISNUMBER(BN189),DI189,0)</f>
        <v>0</v>
      </c>
      <c r="FN189" s="28" t="n">
        <f aca="false">IF(ISNUMBER(BR189),DJ189,0)</f>
        <v>0</v>
      </c>
      <c r="FO189" s="28" t="str">
        <f aca="false">IFERROR(INDEX(Lists!$G$2:$G$20,MATCH($I189&amp;"|"&amp;$J189,Lists!$F$2:$F$20,0)),"")</f>
        <v>Hist Overall SL</v>
      </c>
    </row>
    <row r="190" customFormat="false" ht="19.5" hidden="false" customHeight="true" outlineLevel="0" collapsed="false">
      <c r="A190" s="29" t="s">
        <v>402</v>
      </c>
      <c r="B190" s="29" t="s">
        <v>403</v>
      </c>
      <c r="C190" s="30" t="s">
        <v>152</v>
      </c>
      <c r="D190" s="30" t="s">
        <v>422</v>
      </c>
      <c r="E190" s="31" t="n">
        <v>5.5</v>
      </c>
      <c r="F190" s="30" t="n">
        <v>6</v>
      </c>
      <c r="G190" s="30" t="s">
        <v>154</v>
      </c>
      <c r="H190" s="32" t="s">
        <v>23</v>
      </c>
      <c r="I190" s="33" t="s">
        <v>416</v>
      </c>
      <c r="J190" s="32" t="s">
        <v>223</v>
      </c>
      <c r="K190" s="34" t="n">
        <f aca="false">IF(OR(M190="",$E190=""),"",M190-$E190)</f>
        <v>0.5</v>
      </c>
      <c r="L190" s="35" t="n">
        <f aca="false">IF(SUM(FA190:FN190)=0,"",SUM(EM190:EZ190)/SUM(FA190:FN190))</f>
        <v>62.1875</v>
      </c>
      <c r="M190" s="36" t="n">
        <f aca="false">IF(OR(L190="",FO190=""),"",IFERROR(MATCH(L190,INDEX(Boundaries!$B$2:$I$30,MATCH(FO190,Boundaries!$A$2:$A$30,0),0),1)-1,""))</f>
        <v>6</v>
      </c>
      <c r="N190" s="37" t="n">
        <f aca="false">IF(COUNT($DY190:$EL190)&lt;2,"",INDEX($DK190:$DX190,MAX($DY190:$EL190))-INDEX($DK190:$DX190,MIN($DY190:$EL190)))</f>
        <v>1</v>
      </c>
      <c r="O190" s="37" t="n">
        <f aca="false">IF(COUNT($DY190:$EL190)&lt;2,"",INDEX($DK190:$DX190,MAX($DY190:$EL190))-INDEX($DK190:$DX190,LARGE($DY190:$EL190,2)))</f>
        <v>2</v>
      </c>
      <c r="P190" s="38" t="str">
        <f aca="false">IF(K190="","",IF(K190&gt;=0,"On/above target",IF(AND(N190&lt;&gt;"",N190&gt;=0.5),"Improving towards target",IF(AND(O190&lt;&gt;"",O190&lt;=-0.5),"Declining","Stable below target"))))</f>
        <v>On/above target</v>
      </c>
      <c r="Q190" s="39" t="n">
        <v>16</v>
      </c>
      <c r="R190" s="40" t="n">
        <f aca="false">IF(OR(Q190="",BU190=""),"",Q190/BU190*100)</f>
        <v>66.6666666666667</v>
      </c>
      <c r="S190" s="41" t="n">
        <f aca="false">IF(R190="","",IFERROR(MATCH(R190,INDEX(Boundaries!$B$2:$I$30,MATCH(CI190,Boundaries!$A$2:$A$30,0),0),1)-1,""))</f>
        <v>6</v>
      </c>
      <c r="T190" s="42" t="n">
        <f aca="false">IF(OR(S190="",$E190=""),"",S190-$E190)</f>
        <v>0.5</v>
      </c>
      <c r="U190" s="39" t="n">
        <v>14</v>
      </c>
      <c r="V190" s="40" t="n">
        <f aca="false">IF(OR(U190="",BV190=""),"",U190/BV190*100)</f>
        <v>58.3333333333333</v>
      </c>
      <c r="W190" s="41" t="n">
        <f aca="false">IF(V190="","",IFERROR(MATCH(V190,INDEX(Boundaries!$B$2:$I$30,MATCH(CJ190,Boundaries!$A$2:$A$30,0),0),1)-1,""))</f>
        <v>5</v>
      </c>
      <c r="X190" s="42" t="n">
        <f aca="false">IF(OR(W190="",$E190=""),"",W190-$E190)</f>
        <v>-0.5</v>
      </c>
      <c r="Y190" s="39" t="n">
        <v>8</v>
      </c>
      <c r="Z190" s="40" t="n">
        <f aca="false">IF(OR(Y190="",BW190=""),"",Y190/BW190*100)</f>
        <v>53.3333333333333</v>
      </c>
      <c r="AA190" s="41" t="n">
        <f aca="false">IF(Z190="","",IFERROR(MATCH(Z190,INDEX(Boundaries!$B$2:$I$30,MATCH(CK190,Boundaries!$A$2:$A$30,0),0),1)-1,""))</f>
        <v>4</v>
      </c>
      <c r="AB190" s="42" t="n">
        <f aca="false">IF(OR(AA190="",$E190=""),"",AA190-$E190)</f>
        <v>-1.5</v>
      </c>
      <c r="AC190" s="39" t="n">
        <v>15</v>
      </c>
      <c r="AD190" s="40" t="n">
        <f aca="false">IF(OR(AC190="",BX190=""),"",AC190/BX190*100)</f>
        <v>62.5</v>
      </c>
      <c r="AE190" s="41" t="n">
        <f aca="false">IF(AD190="","",IFERROR(MATCH(AD190,INDEX(Boundaries!$B$2:$I$30,MATCH(CL190,Boundaries!$A$2:$A$30,0),0),1)-1,""))</f>
        <v>5</v>
      </c>
      <c r="AF190" s="42" t="n">
        <f aca="false">IF(OR(AE190="",$E190=""),"",AE190-$E190)</f>
        <v>-0.5</v>
      </c>
      <c r="AG190" s="39" t="n">
        <v>16</v>
      </c>
      <c r="AH190" s="40" t="n">
        <f aca="false">IF(OR(AG190="",BY190=""),"",AG190/BY190*100)</f>
        <v>53.3333333333333</v>
      </c>
      <c r="AI190" s="41" t="n">
        <f aca="false">IF(AH190="","",IFERROR(MATCH(AH190,INDEX(Boundaries!$B$2:$I$30,MATCH(CM190,Boundaries!$A$2:$A$30,0),0),1)-1,""))</f>
        <v>5</v>
      </c>
      <c r="AJ190" s="42" t="n">
        <f aca="false">IF(OR(AI190="",$E190=""),"",AI190-$E190)</f>
        <v>-0.5</v>
      </c>
      <c r="AK190" s="39" t="n">
        <v>21</v>
      </c>
      <c r="AL190" s="40" t="n">
        <f aca="false">IF(OR(AK190="",BZ190=""),"",AK190/BZ190*100)</f>
        <v>87.5</v>
      </c>
      <c r="AM190" s="41" t="n">
        <f aca="false">IF(AL190="","",IFERROR(MATCH(AL190,INDEX(Boundaries!$B$2:$I$30,MATCH(CN190,Boundaries!$A$2:$A$30,0),0),1)-1,""))</f>
        <v>7</v>
      </c>
      <c r="AN190" s="42" t="n">
        <f aca="false">IF(OR(AM190="",$E190=""),"",AM190-$E190)</f>
        <v>1.5</v>
      </c>
      <c r="AO190" s="39"/>
      <c r="AP190" s="40" t="str">
        <f aca="false">IF(OR(AO190="",CA190=""),"",AO190/CA190*100)</f>
        <v/>
      </c>
      <c r="AQ190" s="41" t="str">
        <f aca="false">IF(AP190="","",IFERROR(MATCH(AP190,INDEX(Boundaries!$B$2:$I$30,MATCH(CO190,Boundaries!$A$2:$A$30,0),0),1)-1,""))</f>
        <v/>
      </c>
      <c r="AR190" s="42" t="str">
        <f aca="false">IF(OR(AQ190="",$E190=""),"",AQ190-$E190)</f>
        <v/>
      </c>
      <c r="AS190" s="39"/>
      <c r="AT190" s="40" t="str">
        <f aca="false">IF(OR(AS190="",CB190=""),"",AS190/CB190*100)</f>
        <v/>
      </c>
      <c r="AU190" s="41" t="str">
        <f aca="false">IF(AT190="","",IFERROR(MATCH(AT190,INDEX(Boundaries!$B$2:$I$30,MATCH(CP190,Boundaries!$A$2:$A$30,0),0),1)-1,""))</f>
        <v/>
      </c>
      <c r="AV190" s="42" t="str">
        <f aca="false">IF(OR(AU190="",$E190=""),"",AU190-$E190)</f>
        <v/>
      </c>
      <c r="AW190" s="39"/>
      <c r="AX190" s="40" t="str">
        <f aca="false">IF(OR(AW190="",CC190=""),"",AW190/CC190*100)</f>
        <v/>
      </c>
      <c r="AY190" s="41" t="str">
        <f aca="false">IF(AX190="","",IFERROR(MATCH(AX190,INDEX(Boundaries!$B$2:$I$30,MATCH(CQ190,Boundaries!$A$2:$A$30,0),0),1)-1,""))</f>
        <v/>
      </c>
      <c r="AZ190" s="42" t="str">
        <f aca="false">IF(OR(AY190="",$E190=""),"",AY190-$E190)</f>
        <v/>
      </c>
      <c r="BA190" s="39"/>
      <c r="BB190" s="40" t="str">
        <f aca="false">IF(OR(BA190="",CD190=""),"",BA190/CD190*100)</f>
        <v/>
      </c>
      <c r="BC190" s="41" t="str">
        <f aca="false">IF(BB190="","",IFERROR(MATCH(BB190,INDEX(Boundaries!$B$2:$I$30,MATCH(CR190,Boundaries!$A$2:$A$30,0),0),1)-1,""))</f>
        <v/>
      </c>
      <c r="BD190" s="42" t="str">
        <f aca="false">IF(OR(BC190="",$E190=""),"",BC190-$E190)</f>
        <v/>
      </c>
      <c r="BE190" s="39"/>
      <c r="BF190" s="40" t="str">
        <f aca="false">IF(OR(BE190="",CE190=""),"",BE190/CE190*100)</f>
        <v/>
      </c>
      <c r="BG190" s="41" t="str">
        <f aca="false">IF(BF190="","",IFERROR(MATCH(BF190,INDEX(Boundaries!$B$2:$I$30,MATCH(CS190,Boundaries!$A$2:$A$30,0),0),1)-1,""))</f>
        <v/>
      </c>
      <c r="BH190" s="42" t="str">
        <f aca="false">IF(OR(BG190="",$E190=""),"",BG190-$E190)</f>
        <v/>
      </c>
      <c r="BI190" s="39"/>
      <c r="BJ190" s="40" t="str">
        <f aca="false">IF(OR(BI190="",CF190=""),"",BI190/CF190*100)</f>
        <v/>
      </c>
      <c r="BK190" s="41" t="str">
        <f aca="false">IF(BJ190="","",IFERROR(MATCH(BJ190,INDEX(Boundaries!$B$2:$I$30,MATCH(CT190,Boundaries!$A$2:$A$30,0),0),1)-1,""))</f>
        <v/>
      </c>
      <c r="BL190" s="42" t="str">
        <f aca="false">IF(OR(BK190="",$E190=""),"",BK190-$E190)</f>
        <v/>
      </c>
      <c r="BM190" s="39"/>
      <c r="BN190" s="40" t="str">
        <f aca="false">IF(OR(BM190="",CG190=""),"",BM190/CG190*100)</f>
        <v/>
      </c>
      <c r="BO190" s="41" t="str">
        <f aca="false">IF(BN190="","",IFERROR(MATCH(BN190,INDEX(Boundaries!$B$2:$I$30,MATCH(CU190,Boundaries!$A$2:$A$30,0),0),1)-1,""))</f>
        <v/>
      </c>
      <c r="BP190" s="42" t="str">
        <f aca="false">IF(OR(BO190="",$E190=""),"",BO190-$E190)</f>
        <v/>
      </c>
      <c r="BQ190" s="39"/>
      <c r="BR190" s="40" t="str">
        <f aca="false">IF(OR(BQ190="",CH190=""),"",BQ190/CH190*100)</f>
        <v/>
      </c>
      <c r="BS190" s="41" t="str">
        <f aca="false">IF(BR190="","",IFERROR(MATCH(BR190,INDEX(Boundaries!$B$2:$I$30,MATCH(CV190,Boundaries!$A$2:$A$30,0),0),1)-1,""))</f>
        <v/>
      </c>
      <c r="BT190" s="42" t="str">
        <f aca="false">IF(OR(BS190="",$E190=""),"",BS190-$E190)</f>
        <v/>
      </c>
      <c r="BU190" s="28" t="n">
        <f aca="false">IFERROR(INDEX(Assessments!$H$2:$H$600,MATCH($H190&amp;"|"&amp;$I190&amp;"|"&amp;$J190&amp;"|"&amp;1,Assessments!$A$2:$A$600,0)),"")</f>
        <v>24</v>
      </c>
      <c r="BV190" s="28" t="n">
        <f aca="false">IFERROR(INDEX(Assessments!$H$2:$H$600,MATCH($H190&amp;"|"&amp;$I190&amp;"|"&amp;$J190&amp;"|"&amp;2,Assessments!$A$2:$A$600,0)),"")</f>
        <v>24</v>
      </c>
      <c r="BW190" s="28" t="n">
        <f aca="false">IFERROR(INDEX(Assessments!$H$2:$H$600,MATCH($H190&amp;"|"&amp;$I190&amp;"|"&amp;$J190&amp;"|"&amp;3,Assessments!$A$2:$A$600,0)),"")</f>
        <v>15</v>
      </c>
      <c r="BX190" s="28" t="n">
        <f aca="false">IFERROR(INDEX(Assessments!$H$2:$H$600,MATCH($H190&amp;"|"&amp;$I190&amp;"|"&amp;$J190&amp;"|"&amp;4,Assessments!$A$2:$A$600,0)),"")</f>
        <v>24</v>
      </c>
      <c r="BY190" s="28" t="n">
        <f aca="false">IFERROR(INDEX(Assessments!$H$2:$H$600,MATCH($H190&amp;"|"&amp;$I190&amp;"|"&amp;$J190&amp;"|"&amp;5,Assessments!$A$2:$A$600,0)),"")</f>
        <v>30</v>
      </c>
      <c r="BZ190" s="28" t="n">
        <f aca="false">IFERROR(INDEX(Assessments!$H$2:$H$600,MATCH($H190&amp;"|"&amp;$I190&amp;"|"&amp;$J190&amp;"|"&amp;6,Assessments!$A$2:$A$600,0)),"")</f>
        <v>24</v>
      </c>
      <c r="CA190" s="28" t="n">
        <f aca="false">IFERROR(INDEX(Assessments!$H$2:$H$600,MATCH($H190&amp;"|"&amp;$I190&amp;"|"&amp;$J190&amp;"|"&amp;7,Assessments!$A$2:$A$600,0)),"")</f>
        <v>15</v>
      </c>
      <c r="CB190" s="28" t="n">
        <f aca="false">IFERROR(INDEX(Assessments!$H$2:$H$600,MATCH($H190&amp;"|"&amp;$I190&amp;"|"&amp;$J190&amp;"|"&amp;8,Assessments!$A$2:$A$600,0)),"")</f>
        <v>15</v>
      </c>
      <c r="CC190" s="28" t="str">
        <f aca="false">IFERROR(INDEX(Assessments!$H$2:$H$600,MATCH($H190&amp;"|"&amp;$I190&amp;"|"&amp;$J190&amp;"|"&amp;9,Assessments!$A$2:$A$600,0)),"")</f>
        <v/>
      </c>
      <c r="CD190" s="28" t="str">
        <f aca="false">IFERROR(INDEX(Assessments!$H$2:$H$600,MATCH($H190&amp;"|"&amp;$I190&amp;"|"&amp;$J190&amp;"|"&amp;10,Assessments!$A$2:$A$600,0)),"")</f>
        <v/>
      </c>
      <c r="CE190" s="28" t="str">
        <f aca="false">IFERROR(INDEX(Assessments!$H$2:$H$600,MATCH($H190&amp;"|"&amp;$I190&amp;"|"&amp;$J190&amp;"|"&amp;11,Assessments!$A$2:$A$600,0)),"")</f>
        <v/>
      </c>
      <c r="CF190" s="28" t="str">
        <f aca="false">IFERROR(INDEX(Assessments!$H$2:$H$600,MATCH($H190&amp;"|"&amp;$I190&amp;"|"&amp;$J190&amp;"|"&amp;12,Assessments!$A$2:$A$600,0)),"")</f>
        <v/>
      </c>
      <c r="CG190" s="28" t="str">
        <f aca="false">IFERROR(INDEX(Assessments!$H$2:$H$600,MATCH($H190&amp;"|"&amp;$I190&amp;"|"&amp;$J190&amp;"|"&amp;13,Assessments!$A$2:$A$600,0)),"")</f>
        <v/>
      </c>
      <c r="CH190" s="28" t="str">
        <f aca="false">IFERROR(INDEX(Assessments!$H$2:$H$600,MATCH($H190&amp;"|"&amp;$I190&amp;"|"&amp;$J190&amp;"|"&amp;14,Assessments!$A$2:$A$600,0)),"")</f>
        <v/>
      </c>
      <c r="CI190" s="28" t="str">
        <f aca="false">IFERROR(INDEX(Assessments!$I$2:$I$600,MATCH($H190&amp;"|"&amp;$I190&amp;"|"&amp;$J190&amp;"|"&amp;1,Assessments!$A$2:$A$600,0)),"")</f>
        <v>Hist Paper 1</v>
      </c>
      <c r="CJ190" s="28" t="str">
        <f aca="false">IFERROR(INDEX(Assessments!$I$2:$I$600,MATCH($H190&amp;"|"&amp;$I190&amp;"|"&amp;$J190&amp;"|"&amp;2,Assessments!$A$2:$A$600,0)),"")</f>
        <v>Hist Paper 1</v>
      </c>
      <c r="CK190" s="28" t="str">
        <f aca="false">IFERROR(INDEX(Assessments!$I$2:$I$600,MATCH($H190&amp;"|"&amp;$I190&amp;"|"&amp;$J190&amp;"|"&amp;3,Assessments!$A$2:$A$600,0)),"")</f>
        <v>Hist P2 partial</v>
      </c>
      <c r="CL190" s="28" t="str">
        <f aca="false">IFERROR(INDEX(Assessments!$I$2:$I$600,MATCH($H190&amp;"|"&amp;$I190&amp;"|"&amp;$J190&amp;"|"&amp;4,Assessments!$A$2:$A$600,0)),"")</f>
        <v>Hist Paper 1</v>
      </c>
      <c r="CM190" s="28" t="str">
        <f aca="false">IFERROR(INDEX(Assessments!$I$2:$I$600,MATCH($H190&amp;"|"&amp;$I190&amp;"|"&amp;$J190&amp;"|"&amp;5,Assessments!$A$2:$A$600,0)),"")</f>
        <v>Hist P2 full</v>
      </c>
      <c r="CN190" s="28" t="str">
        <f aca="false">IFERROR(INDEX(Assessments!$I$2:$I$600,MATCH($H190&amp;"|"&amp;$I190&amp;"|"&amp;$J190&amp;"|"&amp;6,Assessments!$A$2:$A$600,0)),"")</f>
        <v>Hist Paper 1</v>
      </c>
      <c r="CO190" s="28" t="str">
        <f aca="false">IFERROR(INDEX(Assessments!$I$2:$I$600,MATCH($H190&amp;"|"&amp;$I190&amp;"|"&amp;$J190&amp;"|"&amp;7,Assessments!$A$2:$A$600,0)),"")</f>
        <v>Hist P2 partial</v>
      </c>
      <c r="CP190" s="28" t="str">
        <f aca="false">IFERROR(INDEX(Assessments!$I$2:$I$600,MATCH($H190&amp;"|"&amp;$I190&amp;"|"&amp;$J190&amp;"|"&amp;8,Assessments!$A$2:$A$600,0)),"")</f>
        <v>Hist P3 essay</v>
      </c>
      <c r="CQ190" s="28" t="str">
        <f aca="false">IFERROR(INDEX(Assessments!$I$2:$I$600,MATCH($H190&amp;"|"&amp;$I190&amp;"|"&amp;$J190&amp;"|"&amp;9,Assessments!$A$2:$A$600,0)),"")</f>
        <v/>
      </c>
      <c r="CR190" s="28" t="str">
        <f aca="false">IFERROR(INDEX(Assessments!$I$2:$I$600,MATCH($H190&amp;"|"&amp;$I190&amp;"|"&amp;$J190&amp;"|"&amp;10,Assessments!$A$2:$A$600,0)),"")</f>
        <v/>
      </c>
      <c r="CS190" s="28" t="str">
        <f aca="false">IFERROR(INDEX(Assessments!$I$2:$I$600,MATCH($H190&amp;"|"&amp;$I190&amp;"|"&amp;$J190&amp;"|"&amp;11,Assessments!$A$2:$A$600,0)),"")</f>
        <v/>
      </c>
      <c r="CT190" s="28" t="str">
        <f aca="false">IFERROR(INDEX(Assessments!$I$2:$I$600,MATCH($H190&amp;"|"&amp;$I190&amp;"|"&amp;$J190&amp;"|"&amp;12,Assessments!$A$2:$A$600,0)),"")</f>
        <v/>
      </c>
      <c r="CU190" s="28" t="str">
        <f aca="false">IFERROR(INDEX(Assessments!$I$2:$I$600,MATCH($H190&amp;"|"&amp;$I190&amp;"|"&amp;$J190&amp;"|"&amp;13,Assessments!$A$2:$A$600,0)),"")</f>
        <v/>
      </c>
      <c r="CV190" s="28" t="str">
        <f aca="false">IFERROR(INDEX(Assessments!$I$2:$I$600,MATCH($H190&amp;"|"&amp;$I190&amp;"|"&amp;$J190&amp;"|"&amp;14,Assessments!$A$2:$A$600,0)),"")</f>
        <v/>
      </c>
      <c r="CW190" s="28" t="n">
        <f aca="false">IFERROR(INDEX(Assessments!$J$2:$J$600,MATCH($H190&amp;"|"&amp;$I190&amp;"|"&amp;$J190&amp;"|"&amp;1,Assessments!$A$2:$A$600,0)),0)</f>
        <v>1</v>
      </c>
      <c r="CX190" s="28" t="n">
        <f aca="false">IFERROR(INDEX(Assessments!$J$2:$J$600,MATCH($H190&amp;"|"&amp;$I190&amp;"|"&amp;$J190&amp;"|"&amp;2,Assessments!$A$2:$A$600,0)),0)</f>
        <v>1</v>
      </c>
      <c r="CY190" s="28" t="n">
        <f aca="false">IFERROR(INDEX(Assessments!$J$2:$J$600,MATCH($H190&amp;"|"&amp;$I190&amp;"|"&amp;$J190&amp;"|"&amp;3,Assessments!$A$2:$A$600,0)),0)</f>
        <v>1</v>
      </c>
      <c r="CZ190" s="28" t="n">
        <f aca="false">IFERROR(INDEX(Assessments!$J$2:$J$600,MATCH($H190&amp;"|"&amp;$I190&amp;"|"&amp;$J190&amp;"|"&amp;4,Assessments!$A$2:$A$600,0)),0)</f>
        <v>2</v>
      </c>
      <c r="DA190" s="28" t="n">
        <f aca="false">IFERROR(INDEX(Assessments!$J$2:$J$600,MATCH($H190&amp;"|"&amp;$I190&amp;"|"&amp;$J190&amp;"|"&amp;5,Assessments!$A$2:$A$600,0)),0)</f>
        <v>2</v>
      </c>
      <c r="DB190" s="28" t="n">
        <f aca="false">IFERROR(INDEX(Assessments!$J$2:$J$600,MATCH($H190&amp;"|"&amp;$I190&amp;"|"&amp;$J190&amp;"|"&amp;6,Assessments!$A$2:$A$600,0)),0)</f>
        <v>1</v>
      </c>
      <c r="DC190" s="28" t="n">
        <f aca="false">IFERROR(INDEX(Assessments!$J$2:$J$600,MATCH($H190&amp;"|"&amp;$I190&amp;"|"&amp;$J190&amp;"|"&amp;7,Assessments!$A$2:$A$600,0)),0)</f>
        <v>1</v>
      </c>
      <c r="DD190" s="28" t="n">
        <f aca="false">IFERROR(INDEX(Assessments!$J$2:$J$600,MATCH($H190&amp;"|"&amp;$I190&amp;"|"&amp;$J190&amp;"|"&amp;8,Assessments!$A$2:$A$600,0)),0)</f>
        <v>1</v>
      </c>
      <c r="DE190" s="28" t="n">
        <f aca="false">IFERROR(INDEX(Assessments!$J$2:$J$600,MATCH($H190&amp;"|"&amp;$I190&amp;"|"&amp;$J190&amp;"|"&amp;9,Assessments!$A$2:$A$600,0)),0)</f>
        <v>0</v>
      </c>
      <c r="DF190" s="28" t="n">
        <f aca="false">IFERROR(INDEX(Assessments!$J$2:$J$600,MATCH($H190&amp;"|"&amp;$I190&amp;"|"&amp;$J190&amp;"|"&amp;10,Assessments!$A$2:$A$600,0)),0)</f>
        <v>0</v>
      </c>
      <c r="DG190" s="28" t="n">
        <f aca="false">IFERROR(INDEX(Assessments!$J$2:$J$600,MATCH($H190&amp;"|"&amp;$I190&amp;"|"&amp;$J190&amp;"|"&amp;11,Assessments!$A$2:$A$600,0)),0)</f>
        <v>0</v>
      </c>
      <c r="DH190" s="28" t="n">
        <f aca="false">IFERROR(INDEX(Assessments!$J$2:$J$600,MATCH($H190&amp;"|"&amp;$I190&amp;"|"&amp;$J190&amp;"|"&amp;12,Assessments!$A$2:$A$600,0)),0)</f>
        <v>0</v>
      </c>
      <c r="DI190" s="28" t="n">
        <f aca="false">IFERROR(INDEX(Assessments!$J$2:$J$600,MATCH($H190&amp;"|"&amp;$I190&amp;"|"&amp;$J190&amp;"|"&amp;13,Assessments!$A$2:$A$600,0)),0)</f>
        <v>0</v>
      </c>
      <c r="DJ190" s="28" t="n">
        <f aca="false">IFERROR(INDEX(Assessments!$J$2:$J$600,MATCH($H190&amp;"|"&amp;$I190&amp;"|"&amp;$J190&amp;"|"&amp;14,Assessments!$A$2:$A$600,0)),0)</f>
        <v>0</v>
      </c>
      <c r="DK190" s="28" t="n">
        <f aca="false">S190</f>
        <v>6</v>
      </c>
      <c r="DL190" s="28" t="n">
        <f aca="false">W190</f>
        <v>5</v>
      </c>
      <c r="DM190" s="28" t="n">
        <f aca="false">AA190</f>
        <v>4</v>
      </c>
      <c r="DN190" s="28" t="n">
        <f aca="false">AE190</f>
        <v>5</v>
      </c>
      <c r="DO190" s="28" t="n">
        <f aca="false">AI190</f>
        <v>5</v>
      </c>
      <c r="DP190" s="28" t="n">
        <f aca="false">AM190</f>
        <v>7</v>
      </c>
      <c r="DQ190" s="28" t="str">
        <f aca="false">AQ190</f>
        <v/>
      </c>
      <c r="DR190" s="28" t="str">
        <f aca="false">AU190</f>
        <v/>
      </c>
      <c r="DS190" s="28" t="str">
        <f aca="false">AY190</f>
        <v/>
      </c>
      <c r="DT190" s="28" t="str">
        <f aca="false">BC190</f>
        <v/>
      </c>
      <c r="DU190" s="28" t="str">
        <f aca="false">BG190</f>
        <v/>
      </c>
      <c r="DV190" s="28" t="str">
        <f aca="false">BK190</f>
        <v/>
      </c>
      <c r="DW190" s="28" t="str">
        <f aca="false">BO190</f>
        <v/>
      </c>
      <c r="DX190" s="28" t="str">
        <f aca="false">BS190</f>
        <v/>
      </c>
      <c r="DY190" s="28" t="n">
        <f aca="false">IF(ISNUMBER(S190),1,"")</f>
        <v>1</v>
      </c>
      <c r="DZ190" s="28" t="n">
        <f aca="false">IF(ISNUMBER(W190),2,"")</f>
        <v>2</v>
      </c>
      <c r="EA190" s="28" t="n">
        <f aca="false">IF(ISNUMBER(AA190),3,"")</f>
        <v>3</v>
      </c>
      <c r="EB190" s="28" t="n">
        <f aca="false">IF(ISNUMBER(AE190),4,"")</f>
        <v>4</v>
      </c>
      <c r="EC190" s="28" t="n">
        <f aca="false">IF(ISNUMBER(AI190),5,"")</f>
        <v>5</v>
      </c>
      <c r="ED190" s="28" t="n">
        <f aca="false">IF(ISNUMBER(AM190),6,"")</f>
        <v>6</v>
      </c>
      <c r="EE190" s="28" t="str">
        <f aca="false">IF(ISNUMBER(AQ190),7,"")</f>
        <v/>
      </c>
      <c r="EF190" s="28" t="str">
        <f aca="false">IF(ISNUMBER(AU190),8,"")</f>
        <v/>
      </c>
      <c r="EG190" s="28" t="str">
        <f aca="false">IF(ISNUMBER(AY190),9,"")</f>
        <v/>
      </c>
      <c r="EH190" s="28" t="str">
        <f aca="false">IF(ISNUMBER(BC190),10,"")</f>
        <v/>
      </c>
      <c r="EI190" s="28" t="str">
        <f aca="false">IF(ISNUMBER(BG190),11,"")</f>
        <v/>
      </c>
      <c r="EJ190" s="28" t="str">
        <f aca="false">IF(ISNUMBER(BK190),12,"")</f>
        <v/>
      </c>
      <c r="EK190" s="28" t="str">
        <f aca="false">IF(ISNUMBER(BO190),13,"")</f>
        <v/>
      </c>
      <c r="EL190" s="28" t="str">
        <f aca="false">IF(ISNUMBER(BS190),14,"")</f>
        <v/>
      </c>
      <c r="EM190" s="28" t="n">
        <f aca="false">IF(ISNUMBER(R190),R190*CW190,0)</f>
        <v>66.6666666666667</v>
      </c>
      <c r="EN190" s="28" t="n">
        <f aca="false">IF(ISNUMBER(V190),V190*CX190,0)</f>
        <v>58.3333333333333</v>
      </c>
      <c r="EO190" s="28" t="n">
        <f aca="false">IF(ISNUMBER(Z190),Z190*CY190,0)</f>
        <v>53.3333333333333</v>
      </c>
      <c r="EP190" s="28" t="n">
        <f aca="false">IF(ISNUMBER(AD190),AD190*CZ190,0)</f>
        <v>125</v>
      </c>
      <c r="EQ190" s="28" t="n">
        <f aca="false">IF(ISNUMBER(AH190),AH190*DA190,0)</f>
        <v>106.666666666667</v>
      </c>
      <c r="ER190" s="28" t="n">
        <f aca="false">IF(ISNUMBER(AL190),AL190*DB190,0)</f>
        <v>87.5</v>
      </c>
      <c r="ES190" s="28" t="n">
        <f aca="false">IF(ISNUMBER(AP190),AP190*DC190,0)</f>
        <v>0</v>
      </c>
      <c r="ET190" s="28" t="n">
        <f aca="false">IF(ISNUMBER(AT190),AT190*DD190,0)</f>
        <v>0</v>
      </c>
      <c r="EU190" s="28" t="n">
        <f aca="false">IF(ISNUMBER(AX190),AX190*DE190,0)</f>
        <v>0</v>
      </c>
      <c r="EV190" s="28" t="n">
        <f aca="false">IF(ISNUMBER(BB190),BB190*DF190,0)</f>
        <v>0</v>
      </c>
      <c r="EW190" s="28" t="n">
        <f aca="false">IF(ISNUMBER(BF190),BF190*DG190,0)</f>
        <v>0</v>
      </c>
      <c r="EX190" s="28" t="n">
        <f aca="false">IF(ISNUMBER(BJ190),BJ190*DH190,0)</f>
        <v>0</v>
      </c>
      <c r="EY190" s="28" t="n">
        <f aca="false">IF(ISNUMBER(BN190),BN190*DI190,0)</f>
        <v>0</v>
      </c>
      <c r="EZ190" s="28" t="n">
        <f aca="false">IF(ISNUMBER(BR190),BR190*DJ190,0)</f>
        <v>0</v>
      </c>
      <c r="FA190" s="28" t="n">
        <f aca="false">IF(ISNUMBER(R190),CW190,0)</f>
        <v>1</v>
      </c>
      <c r="FB190" s="28" t="n">
        <f aca="false">IF(ISNUMBER(V190),CX190,0)</f>
        <v>1</v>
      </c>
      <c r="FC190" s="28" t="n">
        <f aca="false">IF(ISNUMBER(Z190),CY190,0)</f>
        <v>1</v>
      </c>
      <c r="FD190" s="28" t="n">
        <f aca="false">IF(ISNUMBER(AD190),CZ190,0)</f>
        <v>2</v>
      </c>
      <c r="FE190" s="28" t="n">
        <f aca="false">IF(ISNUMBER(AH190),DA190,0)</f>
        <v>2</v>
      </c>
      <c r="FF190" s="28" t="n">
        <f aca="false">IF(ISNUMBER(AL190),DB190,0)</f>
        <v>1</v>
      </c>
      <c r="FG190" s="28" t="n">
        <f aca="false">IF(ISNUMBER(AP190),DC190,0)</f>
        <v>0</v>
      </c>
      <c r="FH190" s="28" t="n">
        <f aca="false">IF(ISNUMBER(AT190),DD190,0)</f>
        <v>0</v>
      </c>
      <c r="FI190" s="28" t="n">
        <f aca="false">IF(ISNUMBER(AX190),DE190,0)</f>
        <v>0</v>
      </c>
      <c r="FJ190" s="28" t="n">
        <f aca="false">IF(ISNUMBER(BB190),DF190,0)</f>
        <v>0</v>
      </c>
      <c r="FK190" s="28" t="n">
        <f aca="false">IF(ISNUMBER(BF190),DG190,0)</f>
        <v>0</v>
      </c>
      <c r="FL190" s="28" t="n">
        <f aca="false">IF(ISNUMBER(BJ190),DH190,0)</f>
        <v>0</v>
      </c>
      <c r="FM190" s="28" t="n">
        <f aca="false">IF(ISNUMBER(BN190),DI190,0)</f>
        <v>0</v>
      </c>
      <c r="FN190" s="28" t="n">
        <f aca="false">IF(ISNUMBER(BR190),DJ190,0)</f>
        <v>0</v>
      </c>
      <c r="FO190" s="28" t="str">
        <f aca="false">IFERROR(INDEX(Lists!$G$2:$G$20,MATCH($I190&amp;"|"&amp;$J190,Lists!$F$2:$F$20,0)),"")</f>
        <v>Hist Overall SL</v>
      </c>
    </row>
    <row r="191" customFormat="false" ht="19.5" hidden="false" customHeight="true" outlineLevel="0" collapsed="false">
      <c r="A191" s="29" t="s">
        <v>297</v>
      </c>
      <c r="B191" s="29" t="s">
        <v>298</v>
      </c>
      <c r="C191" s="30" t="s">
        <v>152</v>
      </c>
      <c r="D191" s="30" t="s">
        <v>422</v>
      </c>
      <c r="E191" s="31" t="n">
        <v>5.8</v>
      </c>
      <c r="F191" s="30" t="n">
        <v>6</v>
      </c>
      <c r="G191" s="30"/>
      <c r="H191" s="32" t="s">
        <v>23</v>
      </c>
      <c r="I191" s="33" t="s">
        <v>416</v>
      </c>
      <c r="J191" s="32" t="s">
        <v>223</v>
      </c>
      <c r="K191" s="34" t="n">
        <f aca="false">IF(OR(M191="",$E191=""),"",M191-$E191)</f>
        <v>0.2</v>
      </c>
      <c r="L191" s="35" t="n">
        <f aca="false">IF(SUM(FA191:FN191)=0,"",SUM(EM191:EZ191)/SUM(FA191:FN191))</f>
        <v>70.9375</v>
      </c>
      <c r="M191" s="36" t="n">
        <f aca="false">IF(OR(L191="",FO191=""),"",IFERROR(MATCH(L191,INDEX(Boundaries!$B$2:$I$30,MATCH(FO191,Boundaries!$A$2:$A$30,0),0),1)-1,""))</f>
        <v>6</v>
      </c>
      <c r="N191" s="37" t="n">
        <f aca="false">IF(COUNT($DY191:$EL191)&lt;2,"",INDEX($DK191:$DX191,MAX($DY191:$EL191))-INDEX($DK191:$DX191,MIN($DY191:$EL191)))</f>
        <v>-2</v>
      </c>
      <c r="O191" s="37" t="n">
        <f aca="false">IF(COUNT($DY191:$EL191)&lt;2,"",INDEX($DK191:$DX191,MAX($DY191:$EL191))-INDEX($DK191:$DX191,LARGE($DY191:$EL191,2)))</f>
        <v>-1</v>
      </c>
      <c r="P191" s="38" t="str">
        <f aca="false">IF(K191="","",IF(K191&gt;=0,"On/above target",IF(AND(N191&lt;&gt;"",N191&gt;=0.5),"Improving towards target",IF(AND(O191&lt;&gt;"",O191&lt;=-0.5),"Declining","Stable below target"))))</f>
        <v>On/above target</v>
      </c>
      <c r="Q191" s="39" t="n">
        <v>19</v>
      </c>
      <c r="R191" s="40" t="n">
        <f aca="false">IF(OR(Q191="",BU191=""),"",Q191/BU191*100)</f>
        <v>79.1666666666667</v>
      </c>
      <c r="S191" s="41" t="n">
        <f aca="false">IF(R191="","",IFERROR(MATCH(R191,INDEX(Boundaries!$B$2:$I$30,MATCH(CI191,Boundaries!$A$2:$A$30,0),0),1)-1,""))</f>
        <v>7</v>
      </c>
      <c r="T191" s="42" t="n">
        <f aca="false">IF(OR(S191="",$E191=""),"",S191-$E191)</f>
        <v>1.2</v>
      </c>
      <c r="U191" s="39" t="n">
        <v>17</v>
      </c>
      <c r="V191" s="40" t="n">
        <f aca="false">IF(OR(U191="",BV191=""),"",U191/BV191*100)</f>
        <v>70.8333333333333</v>
      </c>
      <c r="W191" s="41" t="n">
        <f aca="false">IF(V191="","",IFERROR(MATCH(V191,INDEX(Boundaries!$B$2:$I$30,MATCH(CJ191,Boundaries!$A$2:$A$30,0),0),1)-1,""))</f>
        <v>6</v>
      </c>
      <c r="X191" s="42" t="n">
        <f aca="false">IF(OR(W191="",$E191=""),"",W191-$E191)</f>
        <v>0.2</v>
      </c>
      <c r="Y191" s="39" t="n">
        <v>10</v>
      </c>
      <c r="Z191" s="40" t="n">
        <f aca="false">IF(OR(Y191="",BW191=""),"",Y191/BW191*100)</f>
        <v>66.6666666666667</v>
      </c>
      <c r="AA191" s="41" t="n">
        <f aca="false">IF(Z191="","",IFERROR(MATCH(Z191,INDEX(Boundaries!$B$2:$I$30,MATCH(CK191,Boundaries!$A$2:$A$30,0),0),1)-1,""))</f>
        <v>5</v>
      </c>
      <c r="AB191" s="42" t="n">
        <f aca="false">IF(OR(AA191="",$E191=""),"",AA191-$E191)</f>
        <v>-0.8</v>
      </c>
      <c r="AC191" s="39" t="n">
        <v>17</v>
      </c>
      <c r="AD191" s="40" t="n">
        <f aca="false">IF(OR(AC191="",BX191=""),"",AC191/BX191*100)</f>
        <v>70.8333333333333</v>
      </c>
      <c r="AE191" s="41" t="n">
        <f aca="false">IF(AD191="","",IFERROR(MATCH(AD191,INDEX(Boundaries!$B$2:$I$30,MATCH(CL191,Boundaries!$A$2:$A$30,0),0),1)-1,""))</f>
        <v>6</v>
      </c>
      <c r="AF191" s="42" t="n">
        <f aca="false">IF(OR(AE191="",$E191=""),"",AE191-$E191)</f>
        <v>0.2</v>
      </c>
      <c r="AG191" s="39" t="n">
        <v>22</v>
      </c>
      <c r="AH191" s="40" t="n">
        <f aca="false">IF(OR(AG191="",BY191=""),"",AG191/BY191*100)</f>
        <v>73.3333333333333</v>
      </c>
      <c r="AI191" s="41" t="n">
        <f aca="false">IF(AH191="","",IFERROR(MATCH(AH191,INDEX(Boundaries!$B$2:$I$30,MATCH(CM191,Boundaries!$A$2:$A$30,0),0),1)-1,""))</f>
        <v>6</v>
      </c>
      <c r="AJ191" s="42" t="n">
        <f aca="false">IF(OR(AI191="",$E191=""),"",AI191-$E191)</f>
        <v>0.2</v>
      </c>
      <c r="AK191" s="39" t="n">
        <v>15</v>
      </c>
      <c r="AL191" s="40" t="n">
        <f aca="false">IF(OR(AK191="",BZ191=""),"",AK191/BZ191*100)</f>
        <v>62.5</v>
      </c>
      <c r="AM191" s="41" t="n">
        <f aca="false">IF(AL191="","",IFERROR(MATCH(AL191,INDEX(Boundaries!$B$2:$I$30,MATCH(CN191,Boundaries!$A$2:$A$30,0),0),1)-1,""))</f>
        <v>5</v>
      </c>
      <c r="AN191" s="42" t="n">
        <f aca="false">IF(OR(AM191="",$E191=""),"",AM191-$E191)</f>
        <v>-0.8</v>
      </c>
      <c r="AO191" s="39"/>
      <c r="AP191" s="40" t="str">
        <f aca="false">IF(OR(AO191="",CA191=""),"",AO191/CA191*100)</f>
        <v/>
      </c>
      <c r="AQ191" s="41" t="str">
        <f aca="false">IF(AP191="","",IFERROR(MATCH(AP191,INDEX(Boundaries!$B$2:$I$30,MATCH(CO191,Boundaries!$A$2:$A$30,0),0),1)-1,""))</f>
        <v/>
      </c>
      <c r="AR191" s="42" t="str">
        <f aca="false">IF(OR(AQ191="",$E191=""),"",AQ191-$E191)</f>
        <v/>
      </c>
      <c r="AS191" s="39"/>
      <c r="AT191" s="40" t="str">
        <f aca="false">IF(OR(AS191="",CB191=""),"",AS191/CB191*100)</f>
        <v/>
      </c>
      <c r="AU191" s="41" t="str">
        <f aca="false">IF(AT191="","",IFERROR(MATCH(AT191,INDEX(Boundaries!$B$2:$I$30,MATCH(CP191,Boundaries!$A$2:$A$30,0),0),1)-1,""))</f>
        <v/>
      </c>
      <c r="AV191" s="42" t="str">
        <f aca="false">IF(OR(AU191="",$E191=""),"",AU191-$E191)</f>
        <v/>
      </c>
      <c r="AW191" s="39"/>
      <c r="AX191" s="40" t="str">
        <f aca="false">IF(OR(AW191="",CC191=""),"",AW191/CC191*100)</f>
        <v/>
      </c>
      <c r="AY191" s="41" t="str">
        <f aca="false">IF(AX191="","",IFERROR(MATCH(AX191,INDEX(Boundaries!$B$2:$I$30,MATCH(CQ191,Boundaries!$A$2:$A$30,0),0),1)-1,""))</f>
        <v/>
      </c>
      <c r="AZ191" s="42" t="str">
        <f aca="false">IF(OR(AY191="",$E191=""),"",AY191-$E191)</f>
        <v/>
      </c>
      <c r="BA191" s="39"/>
      <c r="BB191" s="40" t="str">
        <f aca="false">IF(OR(BA191="",CD191=""),"",BA191/CD191*100)</f>
        <v/>
      </c>
      <c r="BC191" s="41" t="str">
        <f aca="false">IF(BB191="","",IFERROR(MATCH(BB191,INDEX(Boundaries!$B$2:$I$30,MATCH(CR191,Boundaries!$A$2:$A$30,0),0),1)-1,""))</f>
        <v/>
      </c>
      <c r="BD191" s="42" t="str">
        <f aca="false">IF(OR(BC191="",$E191=""),"",BC191-$E191)</f>
        <v/>
      </c>
      <c r="BE191" s="39"/>
      <c r="BF191" s="40" t="str">
        <f aca="false">IF(OR(BE191="",CE191=""),"",BE191/CE191*100)</f>
        <v/>
      </c>
      <c r="BG191" s="41" t="str">
        <f aca="false">IF(BF191="","",IFERROR(MATCH(BF191,INDEX(Boundaries!$B$2:$I$30,MATCH(CS191,Boundaries!$A$2:$A$30,0),0),1)-1,""))</f>
        <v/>
      </c>
      <c r="BH191" s="42" t="str">
        <f aca="false">IF(OR(BG191="",$E191=""),"",BG191-$E191)</f>
        <v/>
      </c>
      <c r="BI191" s="39"/>
      <c r="BJ191" s="40" t="str">
        <f aca="false">IF(OR(BI191="",CF191=""),"",BI191/CF191*100)</f>
        <v/>
      </c>
      <c r="BK191" s="41" t="str">
        <f aca="false">IF(BJ191="","",IFERROR(MATCH(BJ191,INDEX(Boundaries!$B$2:$I$30,MATCH(CT191,Boundaries!$A$2:$A$30,0),0),1)-1,""))</f>
        <v/>
      </c>
      <c r="BL191" s="42" t="str">
        <f aca="false">IF(OR(BK191="",$E191=""),"",BK191-$E191)</f>
        <v/>
      </c>
      <c r="BM191" s="39"/>
      <c r="BN191" s="40" t="str">
        <f aca="false">IF(OR(BM191="",CG191=""),"",BM191/CG191*100)</f>
        <v/>
      </c>
      <c r="BO191" s="41" t="str">
        <f aca="false">IF(BN191="","",IFERROR(MATCH(BN191,INDEX(Boundaries!$B$2:$I$30,MATCH(CU191,Boundaries!$A$2:$A$30,0),0),1)-1,""))</f>
        <v/>
      </c>
      <c r="BP191" s="42" t="str">
        <f aca="false">IF(OR(BO191="",$E191=""),"",BO191-$E191)</f>
        <v/>
      </c>
      <c r="BQ191" s="39"/>
      <c r="BR191" s="40" t="str">
        <f aca="false">IF(OR(BQ191="",CH191=""),"",BQ191/CH191*100)</f>
        <v/>
      </c>
      <c r="BS191" s="41" t="str">
        <f aca="false">IF(BR191="","",IFERROR(MATCH(BR191,INDEX(Boundaries!$B$2:$I$30,MATCH(CV191,Boundaries!$A$2:$A$30,0),0),1)-1,""))</f>
        <v/>
      </c>
      <c r="BT191" s="42" t="str">
        <f aca="false">IF(OR(BS191="",$E191=""),"",BS191-$E191)</f>
        <v/>
      </c>
      <c r="BU191" s="28" t="n">
        <f aca="false">IFERROR(INDEX(Assessments!$H$2:$H$600,MATCH($H191&amp;"|"&amp;$I191&amp;"|"&amp;$J191&amp;"|"&amp;1,Assessments!$A$2:$A$600,0)),"")</f>
        <v>24</v>
      </c>
      <c r="BV191" s="28" t="n">
        <f aca="false">IFERROR(INDEX(Assessments!$H$2:$H$600,MATCH($H191&amp;"|"&amp;$I191&amp;"|"&amp;$J191&amp;"|"&amp;2,Assessments!$A$2:$A$600,0)),"")</f>
        <v>24</v>
      </c>
      <c r="BW191" s="28" t="n">
        <f aca="false">IFERROR(INDEX(Assessments!$H$2:$H$600,MATCH($H191&amp;"|"&amp;$I191&amp;"|"&amp;$J191&amp;"|"&amp;3,Assessments!$A$2:$A$600,0)),"")</f>
        <v>15</v>
      </c>
      <c r="BX191" s="28" t="n">
        <f aca="false">IFERROR(INDEX(Assessments!$H$2:$H$600,MATCH($H191&amp;"|"&amp;$I191&amp;"|"&amp;$J191&amp;"|"&amp;4,Assessments!$A$2:$A$600,0)),"")</f>
        <v>24</v>
      </c>
      <c r="BY191" s="28" t="n">
        <f aca="false">IFERROR(INDEX(Assessments!$H$2:$H$600,MATCH($H191&amp;"|"&amp;$I191&amp;"|"&amp;$J191&amp;"|"&amp;5,Assessments!$A$2:$A$600,0)),"")</f>
        <v>30</v>
      </c>
      <c r="BZ191" s="28" t="n">
        <f aca="false">IFERROR(INDEX(Assessments!$H$2:$H$600,MATCH($H191&amp;"|"&amp;$I191&amp;"|"&amp;$J191&amp;"|"&amp;6,Assessments!$A$2:$A$600,0)),"")</f>
        <v>24</v>
      </c>
      <c r="CA191" s="28" t="n">
        <f aca="false">IFERROR(INDEX(Assessments!$H$2:$H$600,MATCH($H191&amp;"|"&amp;$I191&amp;"|"&amp;$J191&amp;"|"&amp;7,Assessments!$A$2:$A$600,0)),"")</f>
        <v>15</v>
      </c>
      <c r="CB191" s="28" t="n">
        <f aca="false">IFERROR(INDEX(Assessments!$H$2:$H$600,MATCH($H191&amp;"|"&amp;$I191&amp;"|"&amp;$J191&amp;"|"&amp;8,Assessments!$A$2:$A$600,0)),"")</f>
        <v>15</v>
      </c>
      <c r="CC191" s="28" t="str">
        <f aca="false">IFERROR(INDEX(Assessments!$H$2:$H$600,MATCH($H191&amp;"|"&amp;$I191&amp;"|"&amp;$J191&amp;"|"&amp;9,Assessments!$A$2:$A$600,0)),"")</f>
        <v/>
      </c>
      <c r="CD191" s="28" t="str">
        <f aca="false">IFERROR(INDEX(Assessments!$H$2:$H$600,MATCH($H191&amp;"|"&amp;$I191&amp;"|"&amp;$J191&amp;"|"&amp;10,Assessments!$A$2:$A$600,0)),"")</f>
        <v/>
      </c>
      <c r="CE191" s="28" t="str">
        <f aca="false">IFERROR(INDEX(Assessments!$H$2:$H$600,MATCH($H191&amp;"|"&amp;$I191&amp;"|"&amp;$J191&amp;"|"&amp;11,Assessments!$A$2:$A$600,0)),"")</f>
        <v/>
      </c>
      <c r="CF191" s="28" t="str">
        <f aca="false">IFERROR(INDEX(Assessments!$H$2:$H$600,MATCH($H191&amp;"|"&amp;$I191&amp;"|"&amp;$J191&amp;"|"&amp;12,Assessments!$A$2:$A$600,0)),"")</f>
        <v/>
      </c>
      <c r="CG191" s="28" t="str">
        <f aca="false">IFERROR(INDEX(Assessments!$H$2:$H$600,MATCH($H191&amp;"|"&amp;$I191&amp;"|"&amp;$J191&amp;"|"&amp;13,Assessments!$A$2:$A$600,0)),"")</f>
        <v/>
      </c>
      <c r="CH191" s="28" t="str">
        <f aca="false">IFERROR(INDEX(Assessments!$H$2:$H$600,MATCH($H191&amp;"|"&amp;$I191&amp;"|"&amp;$J191&amp;"|"&amp;14,Assessments!$A$2:$A$600,0)),"")</f>
        <v/>
      </c>
      <c r="CI191" s="28" t="str">
        <f aca="false">IFERROR(INDEX(Assessments!$I$2:$I$600,MATCH($H191&amp;"|"&amp;$I191&amp;"|"&amp;$J191&amp;"|"&amp;1,Assessments!$A$2:$A$600,0)),"")</f>
        <v>Hist Paper 1</v>
      </c>
      <c r="CJ191" s="28" t="str">
        <f aca="false">IFERROR(INDEX(Assessments!$I$2:$I$600,MATCH($H191&amp;"|"&amp;$I191&amp;"|"&amp;$J191&amp;"|"&amp;2,Assessments!$A$2:$A$600,0)),"")</f>
        <v>Hist Paper 1</v>
      </c>
      <c r="CK191" s="28" t="str">
        <f aca="false">IFERROR(INDEX(Assessments!$I$2:$I$600,MATCH($H191&amp;"|"&amp;$I191&amp;"|"&amp;$J191&amp;"|"&amp;3,Assessments!$A$2:$A$600,0)),"")</f>
        <v>Hist P2 partial</v>
      </c>
      <c r="CL191" s="28" t="str">
        <f aca="false">IFERROR(INDEX(Assessments!$I$2:$I$600,MATCH($H191&amp;"|"&amp;$I191&amp;"|"&amp;$J191&amp;"|"&amp;4,Assessments!$A$2:$A$600,0)),"")</f>
        <v>Hist Paper 1</v>
      </c>
      <c r="CM191" s="28" t="str">
        <f aca="false">IFERROR(INDEX(Assessments!$I$2:$I$600,MATCH($H191&amp;"|"&amp;$I191&amp;"|"&amp;$J191&amp;"|"&amp;5,Assessments!$A$2:$A$600,0)),"")</f>
        <v>Hist P2 full</v>
      </c>
      <c r="CN191" s="28" t="str">
        <f aca="false">IFERROR(INDEX(Assessments!$I$2:$I$600,MATCH($H191&amp;"|"&amp;$I191&amp;"|"&amp;$J191&amp;"|"&amp;6,Assessments!$A$2:$A$600,0)),"")</f>
        <v>Hist Paper 1</v>
      </c>
      <c r="CO191" s="28" t="str">
        <f aca="false">IFERROR(INDEX(Assessments!$I$2:$I$600,MATCH($H191&amp;"|"&amp;$I191&amp;"|"&amp;$J191&amp;"|"&amp;7,Assessments!$A$2:$A$600,0)),"")</f>
        <v>Hist P2 partial</v>
      </c>
      <c r="CP191" s="28" t="str">
        <f aca="false">IFERROR(INDEX(Assessments!$I$2:$I$600,MATCH($H191&amp;"|"&amp;$I191&amp;"|"&amp;$J191&amp;"|"&amp;8,Assessments!$A$2:$A$600,0)),"")</f>
        <v>Hist P3 essay</v>
      </c>
      <c r="CQ191" s="28" t="str">
        <f aca="false">IFERROR(INDEX(Assessments!$I$2:$I$600,MATCH($H191&amp;"|"&amp;$I191&amp;"|"&amp;$J191&amp;"|"&amp;9,Assessments!$A$2:$A$600,0)),"")</f>
        <v/>
      </c>
      <c r="CR191" s="28" t="str">
        <f aca="false">IFERROR(INDEX(Assessments!$I$2:$I$600,MATCH($H191&amp;"|"&amp;$I191&amp;"|"&amp;$J191&amp;"|"&amp;10,Assessments!$A$2:$A$600,0)),"")</f>
        <v/>
      </c>
      <c r="CS191" s="28" t="str">
        <f aca="false">IFERROR(INDEX(Assessments!$I$2:$I$600,MATCH($H191&amp;"|"&amp;$I191&amp;"|"&amp;$J191&amp;"|"&amp;11,Assessments!$A$2:$A$600,0)),"")</f>
        <v/>
      </c>
      <c r="CT191" s="28" t="str">
        <f aca="false">IFERROR(INDEX(Assessments!$I$2:$I$600,MATCH($H191&amp;"|"&amp;$I191&amp;"|"&amp;$J191&amp;"|"&amp;12,Assessments!$A$2:$A$600,0)),"")</f>
        <v/>
      </c>
      <c r="CU191" s="28" t="str">
        <f aca="false">IFERROR(INDEX(Assessments!$I$2:$I$600,MATCH($H191&amp;"|"&amp;$I191&amp;"|"&amp;$J191&amp;"|"&amp;13,Assessments!$A$2:$A$600,0)),"")</f>
        <v/>
      </c>
      <c r="CV191" s="28" t="str">
        <f aca="false">IFERROR(INDEX(Assessments!$I$2:$I$600,MATCH($H191&amp;"|"&amp;$I191&amp;"|"&amp;$J191&amp;"|"&amp;14,Assessments!$A$2:$A$600,0)),"")</f>
        <v/>
      </c>
      <c r="CW191" s="28" t="n">
        <f aca="false">IFERROR(INDEX(Assessments!$J$2:$J$600,MATCH($H191&amp;"|"&amp;$I191&amp;"|"&amp;$J191&amp;"|"&amp;1,Assessments!$A$2:$A$600,0)),0)</f>
        <v>1</v>
      </c>
      <c r="CX191" s="28" t="n">
        <f aca="false">IFERROR(INDEX(Assessments!$J$2:$J$600,MATCH($H191&amp;"|"&amp;$I191&amp;"|"&amp;$J191&amp;"|"&amp;2,Assessments!$A$2:$A$600,0)),0)</f>
        <v>1</v>
      </c>
      <c r="CY191" s="28" t="n">
        <f aca="false">IFERROR(INDEX(Assessments!$J$2:$J$600,MATCH($H191&amp;"|"&amp;$I191&amp;"|"&amp;$J191&amp;"|"&amp;3,Assessments!$A$2:$A$600,0)),0)</f>
        <v>1</v>
      </c>
      <c r="CZ191" s="28" t="n">
        <f aca="false">IFERROR(INDEX(Assessments!$J$2:$J$600,MATCH($H191&amp;"|"&amp;$I191&amp;"|"&amp;$J191&amp;"|"&amp;4,Assessments!$A$2:$A$600,0)),0)</f>
        <v>2</v>
      </c>
      <c r="DA191" s="28" t="n">
        <f aca="false">IFERROR(INDEX(Assessments!$J$2:$J$600,MATCH($H191&amp;"|"&amp;$I191&amp;"|"&amp;$J191&amp;"|"&amp;5,Assessments!$A$2:$A$600,0)),0)</f>
        <v>2</v>
      </c>
      <c r="DB191" s="28" t="n">
        <f aca="false">IFERROR(INDEX(Assessments!$J$2:$J$600,MATCH($H191&amp;"|"&amp;$I191&amp;"|"&amp;$J191&amp;"|"&amp;6,Assessments!$A$2:$A$600,0)),0)</f>
        <v>1</v>
      </c>
      <c r="DC191" s="28" t="n">
        <f aca="false">IFERROR(INDEX(Assessments!$J$2:$J$600,MATCH($H191&amp;"|"&amp;$I191&amp;"|"&amp;$J191&amp;"|"&amp;7,Assessments!$A$2:$A$600,0)),0)</f>
        <v>1</v>
      </c>
      <c r="DD191" s="28" t="n">
        <f aca="false">IFERROR(INDEX(Assessments!$J$2:$J$600,MATCH($H191&amp;"|"&amp;$I191&amp;"|"&amp;$J191&amp;"|"&amp;8,Assessments!$A$2:$A$600,0)),0)</f>
        <v>1</v>
      </c>
      <c r="DE191" s="28" t="n">
        <f aca="false">IFERROR(INDEX(Assessments!$J$2:$J$600,MATCH($H191&amp;"|"&amp;$I191&amp;"|"&amp;$J191&amp;"|"&amp;9,Assessments!$A$2:$A$600,0)),0)</f>
        <v>0</v>
      </c>
      <c r="DF191" s="28" t="n">
        <f aca="false">IFERROR(INDEX(Assessments!$J$2:$J$600,MATCH($H191&amp;"|"&amp;$I191&amp;"|"&amp;$J191&amp;"|"&amp;10,Assessments!$A$2:$A$600,0)),0)</f>
        <v>0</v>
      </c>
      <c r="DG191" s="28" t="n">
        <f aca="false">IFERROR(INDEX(Assessments!$J$2:$J$600,MATCH($H191&amp;"|"&amp;$I191&amp;"|"&amp;$J191&amp;"|"&amp;11,Assessments!$A$2:$A$600,0)),0)</f>
        <v>0</v>
      </c>
      <c r="DH191" s="28" t="n">
        <f aca="false">IFERROR(INDEX(Assessments!$J$2:$J$600,MATCH($H191&amp;"|"&amp;$I191&amp;"|"&amp;$J191&amp;"|"&amp;12,Assessments!$A$2:$A$600,0)),0)</f>
        <v>0</v>
      </c>
      <c r="DI191" s="28" t="n">
        <f aca="false">IFERROR(INDEX(Assessments!$J$2:$J$600,MATCH($H191&amp;"|"&amp;$I191&amp;"|"&amp;$J191&amp;"|"&amp;13,Assessments!$A$2:$A$600,0)),0)</f>
        <v>0</v>
      </c>
      <c r="DJ191" s="28" t="n">
        <f aca="false">IFERROR(INDEX(Assessments!$J$2:$J$600,MATCH($H191&amp;"|"&amp;$I191&amp;"|"&amp;$J191&amp;"|"&amp;14,Assessments!$A$2:$A$600,0)),0)</f>
        <v>0</v>
      </c>
      <c r="DK191" s="28" t="n">
        <f aca="false">S191</f>
        <v>7</v>
      </c>
      <c r="DL191" s="28" t="n">
        <f aca="false">W191</f>
        <v>6</v>
      </c>
      <c r="DM191" s="28" t="n">
        <f aca="false">AA191</f>
        <v>5</v>
      </c>
      <c r="DN191" s="28" t="n">
        <f aca="false">AE191</f>
        <v>6</v>
      </c>
      <c r="DO191" s="28" t="n">
        <f aca="false">AI191</f>
        <v>6</v>
      </c>
      <c r="DP191" s="28" t="n">
        <f aca="false">AM191</f>
        <v>5</v>
      </c>
      <c r="DQ191" s="28" t="str">
        <f aca="false">AQ191</f>
        <v/>
      </c>
      <c r="DR191" s="28" t="str">
        <f aca="false">AU191</f>
        <v/>
      </c>
      <c r="DS191" s="28" t="str">
        <f aca="false">AY191</f>
        <v/>
      </c>
      <c r="DT191" s="28" t="str">
        <f aca="false">BC191</f>
        <v/>
      </c>
      <c r="DU191" s="28" t="str">
        <f aca="false">BG191</f>
        <v/>
      </c>
      <c r="DV191" s="28" t="str">
        <f aca="false">BK191</f>
        <v/>
      </c>
      <c r="DW191" s="28" t="str">
        <f aca="false">BO191</f>
        <v/>
      </c>
      <c r="DX191" s="28" t="str">
        <f aca="false">BS191</f>
        <v/>
      </c>
      <c r="DY191" s="28" t="n">
        <f aca="false">IF(ISNUMBER(S191),1,"")</f>
        <v>1</v>
      </c>
      <c r="DZ191" s="28" t="n">
        <f aca="false">IF(ISNUMBER(W191),2,"")</f>
        <v>2</v>
      </c>
      <c r="EA191" s="28" t="n">
        <f aca="false">IF(ISNUMBER(AA191),3,"")</f>
        <v>3</v>
      </c>
      <c r="EB191" s="28" t="n">
        <f aca="false">IF(ISNUMBER(AE191),4,"")</f>
        <v>4</v>
      </c>
      <c r="EC191" s="28" t="n">
        <f aca="false">IF(ISNUMBER(AI191),5,"")</f>
        <v>5</v>
      </c>
      <c r="ED191" s="28" t="n">
        <f aca="false">IF(ISNUMBER(AM191),6,"")</f>
        <v>6</v>
      </c>
      <c r="EE191" s="28" t="str">
        <f aca="false">IF(ISNUMBER(AQ191),7,"")</f>
        <v/>
      </c>
      <c r="EF191" s="28" t="str">
        <f aca="false">IF(ISNUMBER(AU191),8,"")</f>
        <v/>
      </c>
      <c r="EG191" s="28" t="str">
        <f aca="false">IF(ISNUMBER(AY191),9,"")</f>
        <v/>
      </c>
      <c r="EH191" s="28" t="str">
        <f aca="false">IF(ISNUMBER(BC191),10,"")</f>
        <v/>
      </c>
      <c r="EI191" s="28" t="str">
        <f aca="false">IF(ISNUMBER(BG191),11,"")</f>
        <v/>
      </c>
      <c r="EJ191" s="28" t="str">
        <f aca="false">IF(ISNUMBER(BK191),12,"")</f>
        <v/>
      </c>
      <c r="EK191" s="28" t="str">
        <f aca="false">IF(ISNUMBER(BO191),13,"")</f>
        <v/>
      </c>
      <c r="EL191" s="28" t="str">
        <f aca="false">IF(ISNUMBER(BS191),14,"")</f>
        <v/>
      </c>
      <c r="EM191" s="28" t="n">
        <f aca="false">IF(ISNUMBER(R191),R191*CW191,0)</f>
        <v>79.1666666666667</v>
      </c>
      <c r="EN191" s="28" t="n">
        <f aca="false">IF(ISNUMBER(V191),V191*CX191,0)</f>
        <v>70.8333333333333</v>
      </c>
      <c r="EO191" s="28" t="n">
        <f aca="false">IF(ISNUMBER(Z191),Z191*CY191,0)</f>
        <v>66.6666666666667</v>
      </c>
      <c r="EP191" s="28" t="n">
        <f aca="false">IF(ISNUMBER(AD191),AD191*CZ191,0)</f>
        <v>141.666666666667</v>
      </c>
      <c r="EQ191" s="28" t="n">
        <f aca="false">IF(ISNUMBER(AH191),AH191*DA191,0)</f>
        <v>146.666666666667</v>
      </c>
      <c r="ER191" s="28" t="n">
        <f aca="false">IF(ISNUMBER(AL191),AL191*DB191,0)</f>
        <v>62.5</v>
      </c>
      <c r="ES191" s="28" t="n">
        <f aca="false">IF(ISNUMBER(AP191),AP191*DC191,0)</f>
        <v>0</v>
      </c>
      <c r="ET191" s="28" t="n">
        <f aca="false">IF(ISNUMBER(AT191),AT191*DD191,0)</f>
        <v>0</v>
      </c>
      <c r="EU191" s="28" t="n">
        <f aca="false">IF(ISNUMBER(AX191),AX191*DE191,0)</f>
        <v>0</v>
      </c>
      <c r="EV191" s="28" t="n">
        <f aca="false">IF(ISNUMBER(BB191),BB191*DF191,0)</f>
        <v>0</v>
      </c>
      <c r="EW191" s="28" t="n">
        <f aca="false">IF(ISNUMBER(BF191),BF191*DG191,0)</f>
        <v>0</v>
      </c>
      <c r="EX191" s="28" t="n">
        <f aca="false">IF(ISNUMBER(BJ191),BJ191*DH191,0)</f>
        <v>0</v>
      </c>
      <c r="EY191" s="28" t="n">
        <f aca="false">IF(ISNUMBER(BN191),BN191*DI191,0)</f>
        <v>0</v>
      </c>
      <c r="EZ191" s="28" t="n">
        <f aca="false">IF(ISNUMBER(BR191),BR191*DJ191,0)</f>
        <v>0</v>
      </c>
      <c r="FA191" s="28" t="n">
        <f aca="false">IF(ISNUMBER(R191),CW191,0)</f>
        <v>1</v>
      </c>
      <c r="FB191" s="28" t="n">
        <f aca="false">IF(ISNUMBER(V191),CX191,0)</f>
        <v>1</v>
      </c>
      <c r="FC191" s="28" t="n">
        <f aca="false">IF(ISNUMBER(Z191),CY191,0)</f>
        <v>1</v>
      </c>
      <c r="FD191" s="28" t="n">
        <f aca="false">IF(ISNUMBER(AD191),CZ191,0)</f>
        <v>2</v>
      </c>
      <c r="FE191" s="28" t="n">
        <f aca="false">IF(ISNUMBER(AH191),DA191,0)</f>
        <v>2</v>
      </c>
      <c r="FF191" s="28" t="n">
        <f aca="false">IF(ISNUMBER(AL191),DB191,0)</f>
        <v>1</v>
      </c>
      <c r="FG191" s="28" t="n">
        <f aca="false">IF(ISNUMBER(AP191),DC191,0)</f>
        <v>0</v>
      </c>
      <c r="FH191" s="28" t="n">
        <f aca="false">IF(ISNUMBER(AT191),DD191,0)</f>
        <v>0</v>
      </c>
      <c r="FI191" s="28" t="n">
        <f aca="false">IF(ISNUMBER(AX191),DE191,0)</f>
        <v>0</v>
      </c>
      <c r="FJ191" s="28" t="n">
        <f aca="false">IF(ISNUMBER(BB191),DF191,0)</f>
        <v>0</v>
      </c>
      <c r="FK191" s="28" t="n">
        <f aca="false">IF(ISNUMBER(BF191),DG191,0)</f>
        <v>0</v>
      </c>
      <c r="FL191" s="28" t="n">
        <f aca="false">IF(ISNUMBER(BJ191),DH191,0)</f>
        <v>0</v>
      </c>
      <c r="FM191" s="28" t="n">
        <f aca="false">IF(ISNUMBER(BN191),DI191,0)</f>
        <v>0</v>
      </c>
      <c r="FN191" s="28" t="n">
        <f aca="false">IF(ISNUMBER(BR191),DJ191,0)</f>
        <v>0</v>
      </c>
      <c r="FO191" s="28" t="str">
        <f aca="false">IFERROR(INDEX(Lists!$G$2:$G$20,MATCH($I191&amp;"|"&amp;$J191,Lists!$F$2:$F$20,0)),"")</f>
        <v>Hist Overall SL</v>
      </c>
    </row>
    <row r="192" customFormat="false" ht="19.5" hidden="false" customHeight="true" outlineLevel="0" collapsed="false">
      <c r="A192" s="29" t="s">
        <v>281</v>
      </c>
      <c r="B192" s="29" t="s">
        <v>282</v>
      </c>
      <c r="C192" s="30" t="s">
        <v>152</v>
      </c>
      <c r="D192" s="30" t="s">
        <v>422</v>
      </c>
      <c r="E192" s="31" t="n">
        <v>5.7</v>
      </c>
      <c r="F192" s="30" t="n">
        <v>6</v>
      </c>
      <c r="G192" s="30" t="s">
        <v>154</v>
      </c>
      <c r="H192" s="32" t="s">
        <v>23</v>
      </c>
      <c r="I192" s="33" t="s">
        <v>416</v>
      </c>
      <c r="J192" s="32" t="s">
        <v>223</v>
      </c>
      <c r="K192" s="34" t="n">
        <f aca="false">IF(OR(M192="",$E192=""),"",M192-$E192)</f>
        <v>-0.7</v>
      </c>
      <c r="L192" s="35" t="n">
        <f aca="false">IF(SUM(FA192:FN192)=0,"",SUM(EM192:EZ192)/SUM(FA192:FN192))</f>
        <v>61.7708333333333</v>
      </c>
      <c r="M192" s="36" t="n">
        <f aca="false">IF(OR(L192="",FO192=""),"",IFERROR(MATCH(L192,INDEX(Boundaries!$B$2:$I$30,MATCH(FO192,Boundaries!$A$2:$A$30,0),0),1)-1,""))</f>
        <v>5</v>
      </c>
      <c r="N192" s="37" t="n">
        <f aca="false">IF(COUNT($DY192:$EL192)&lt;2,"",INDEX($DK192:$DX192,MAX($DY192:$EL192))-INDEX($DK192:$DX192,MIN($DY192:$EL192)))</f>
        <v>2</v>
      </c>
      <c r="O192" s="37" t="n">
        <f aca="false">IF(COUNT($DY192:$EL192)&lt;2,"",INDEX($DK192:$DX192,MAX($DY192:$EL192))-INDEX($DK192:$DX192,LARGE($DY192:$EL192,2)))</f>
        <v>2</v>
      </c>
      <c r="P192" s="38" t="str">
        <f aca="false">IF(K192="","",IF(K192&gt;=0,"On/above target",IF(AND(N192&lt;&gt;"",N192&gt;=0.5),"Improving towards target",IF(AND(O192&lt;&gt;"",O192&lt;=-0.5),"Declining","Stable below target"))))</f>
        <v>Improving towards target</v>
      </c>
      <c r="Q192" s="39" t="n">
        <v>15</v>
      </c>
      <c r="R192" s="40" t="n">
        <f aca="false">IF(OR(Q192="",BU192=""),"",Q192/BU192*100)</f>
        <v>62.5</v>
      </c>
      <c r="S192" s="41" t="n">
        <f aca="false">IF(R192="","",IFERROR(MATCH(R192,INDEX(Boundaries!$B$2:$I$30,MATCH(CI192,Boundaries!$A$2:$A$30,0),0),1)-1,""))</f>
        <v>5</v>
      </c>
      <c r="T192" s="42" t="n">
        <f aca="false">IF(OR(S192="",$E192=""),"",S192-$E192)</f>
        <v>-0.7</v>
      </c>
      <c r="U192" s="39" t="n">
        <v>14</v>
      </c>
      <c r="V192" s="40" t="n">
        <f aca="false">IF(OR(U192="",BV192=""),"",U192/BV192*100)</f>
        <v>58.3333333333333</v>
      </c>
      <c r="W192" s="41" t="n">
        <f aca="false">IF(V192="","",IFERROR(MATCH(V192,INDEX(Boundaries!$B$2:$I$30,MATCH(CJ192,Boundaries!$A$2:$A$30,0),0),1)-1,""))</f>
        <v>5</v>
      </c>
      <c r="X192" s="42" t="n">
        <f aca="false">IF(OR(W192="",$E192=""),"",W192-$E192)</f>
        <v>-0.7</v>
      </c>
      <c r="Y192" s="39" t="n">
        <v>9</v>
      </c>
      <c r="Z192" s="40" t="n">
        <f aca="false">IF(OR(Y192="",BW192=""),"",Y192/BW192*100)</f>
        <v>60</v>
      </c>
      <c r="AA192" s="41" t="n">
        <f aca="false">IF(Z192="","",IFERROR(MATCH(Z192,INDEX(Boundaries!$B$2:$I$30,MATCH(CK192,Boundaries!$A$2:$A$30,0),0),1)-1,""))</f>
        <v>5</v>
      </c>
      <c r="AB192" s="42" t="n">
        <f aca="false">IF(OR(AA192="",$E192=""),"",AA192-$E192)</f>
        <v>-0.7</v>
      </c>
      <c r="AC192" s="39" t="n">
        <v>14</v>
      </c>
      <c r="AD192" s="40" t="n">
        <f aca="false">IF(OR(AC192="",BX192=""),"",AC192/BX192*100)</f>
        <v>58.3333333333333</v>
      </c>
      <c r="AE192" s="41" t="n">
        <f aca="false">IF(AD192="","",IFERROR(MATCH(AD192,INDEX(Boundaries!$B$2:$I$30,MATCH(CL192,Boundaries!$A$2:$A$30,0),0),1)-1,""))</f>
        <v>5</v>
      </c>
      <c r="AF192" s="42" t="n">
        <f aca="false">IF(OR(AE192="",$E192=""),"",AE192-$E192)</f>
        <v>-0.7</v>
      </c>
      <c r="AG192" s="39" t="n">
        <v>17</v>
      </c>
      <c r="AH192" s="40" t="n">
        <f aca="false">IF(OR(AG192="",BY192=""),"",AG192/BY192*100)</f>
        <v>56.6666666666667</v>
      </c>
      <c r="AI192" s="41" t="n">
        <f aca="false">IF(AH192="","",IFERROR(MATCH(AH192,INDEX(Boundaries!$B$2:$I$30,MATCH(CM192,Boundaries!$A$2:$A$30,0),0),1)-1,""))</f>
        <v>5</v>
      </c>
      <c r="AJ192" s="42" t="n">
        <f aca="false">IF(OR(AI192="",$E192=""),"",AI192-$E192)</f>
        <v>-0.7</v>
      </c>
      <c r="AK192" s="39" t="n">
        <v>20</v>
      </c>
      <c r="AL192" s="40" t="n">
        <f aca="false">IF(OR(AK192="",BZ192=""),"",AK192/BZ192*100)</f>
        <v>83.3333333333333</v>
      </c>
      <c r="AM192" s="41" t="n">
        <f aca="false">IF(AL192="","",IFERROR(MATCH(AL192,INDEX(Boundaries!$B$2:$I$30,MATCH(CN192,Boundaries!$A$2:$A$30,0),0),1)-1,""))</f>
        <v>7</v>
      </c>
      <c r="AN192" s="42" t="n">
        <f aca="false">IF(OR(AM192="",$E192=""),"",AM192-$E192)</f>
        <v>1.3</v>
      </c>
      <c r="AO192" s="39"/>
      <c r="AP192" s="40" t="str">
        <f aca="false">IF(OR(AO192="",CA192=""),"",AO192/CA192*100)</f>
        <v/>
      </c>
      <c r="AQ192" s="41" t="str">
        <f aca="false">IF(AP192="","",IFERROR(MATCH(AP192,INDEX(Boundaries!$B$2:$I$30,MATCH(CO192,Boundaries!$A$2:$A$30,0),0),1)-1,""))</f>
        <v/>
      </c>
      <c r="AR192" s="42" t="str">
        <f aca="false">IF(OR(AQ192="",$E192=""),"",AQ192-$E192)</f>
        <v/>
      </c>
      <c r="AS192" s="39"/>
      <c r="AT192" s="40" t="str">
        <f aca="false">IF(OR(AS192="",CB192=""),"",AS192/CB192*100)</f>
        <v/>
      </c>
      <c r="AU192" s="41" t="str">
        <f aca="false">IF(AT192="","",IFERROR(MATCH(AT192,INDEX(Boundaries!$B$2:$I$30,MATCH(CP192,Boundaries!$A$2:$A$30,0),0),1)-1,""))</f>
        <v/>
      </c>
      <c r="AV192" s="42" t="str">
        <f aca="false">IF(OR(AU192="",$E192=""),"",AU192-$E192)</f>
        <v/>
      </c>
      <c r="AW192" s="39"/>
      <c r="AX192" s="40" t="str">
        <f aca="false">IF(OR(AW192="",CC192=""),"",AW192/CC192*100)</f>
        <v/>
      </c>
      <c r="AY192" s="41" t="str">
        <f aca="false">IF(AX192="","",IFERROR(MATCH(AX192,INDEX(Boundaries!$B$2:$I$30,MATCH(CQ192,Boundaries!$A$2:$A$30,0),0),1)-1,""))</f>
        <v/>
      </c>
      <c r="AZ192" s="42" t="str">
        <f aca="false">IF(OR(AY192="",$E192=""),"",AY192-$E192)</f>
        <v/>
      </c>
      <c r="BA192" s="39"/>
      <c r="BB192" s="40" t="str">
        <f aca="false">IF(OR(BA192="",CD192=""),"",BA192/CD192*100)</f>
        <v/>
      </c>
      <c r="BC192" s="41" t="str">
        <f aca="false">IF(BB192="","",IFERROR(MATCH(BB192,INDEX(Boundaries!$B$2:$I$30,MATCH(CR192,Boundaries!$A$2:$A$30,0),0),1)-1,""))</f>
        <v/>
      </c>
      <c r="BD192" s="42" t="str">
        <f aca="false">IF(OR(BC192="",$E192=""),"",BC192-$E192)</f>
        <v/>
      </c>
      <c r="BE192" s="39"/>
      <c r="BF192" s="40" t="str">
        <f aca="false">IF(OR(BE192="",CE192=""),"",BE192/CE192*100)</f>
        <v/>
      </c>
      <c r="BG192" s="41" t="str">
        <f aca="false">IF(BF192="","",IFERROR(MATCH(BF192,INDEX(Boundaries!$B$2:$I$30,MATCH(CS192,Boundaries!$A$2:$A$30,0),0),1)-1,""))</f>
        <v/>
      </c>
      <c r="BH192" s="42" t="str">
        <f aca="false">IF(OR(BG192="",$E192=""),"",BG192-$E192)</f>
        <v/>
      </c>
      <c r="BI192" s="39"/>
      <c r="BJ192" s="40" t="str">
        <f aca="false">IF(OR(BI192="",CF192=""),"",BI192/CF192*100)</f>
        <v/>
      </c>
      <c r="BK192" s="41" t="str">
        <f aca="false">IF(BJ192="","",IFERROR(MATCH(BJ192,INDEX(Boundaries!$B$2:$I$30,MATCH(CT192,Boundaries!$A$2:$A$30,0),0),1)-1,""))</f>
        <v/>
      </c>
      <c r="BL192" s="42" t="str">
        <f aca="false">IF(OR(BK192="",$E192=""),"",BK192-$E192)</f>
        <v/>
      </c>
      <c r="BM192" s="39"/>
      <c r="BN192" s="40" t="str">
        <f aca="false">IF(OR(BM192="",CG192=""),"",BM192/CG192*100)</f>
        <v/>
      </c>
      <c r="BO192" s="41" t="str">
        <f aca="false">IF(BN192="","",IFERROR(MATCH(BN192,INDEX(Boundaries!$B$2:$I$30,MATCH(CU192,Boundaries!$A$2:$A$30,0),0),1)-1,""))</f>
        <v/>
      </c>
      <c r="BP192" s="42" t="str">
        <f aca="false">IF(OR(BO192="",$E192=""),"",BO192-$E192)</f>
        <v/>
      </c>
      <c r="BQ192" s="39"/>
      <c r="BR192" s="40" t="str">
        <f aca="false">IF(OR(BQ192="",CH192=""),"",BQ192/CH192*100)</f>
        <v/>
      </c>
      <c r="BS192" s="41" t="str">
        <f aca="false">IF(BR192="","",IFERROR(MATCH(BR192,INDEX(Boundaries!$B$2:$I$30,MATCH(CV192,Boundaries!$A$2:$A$30,0),0),1)-1,""))</f>
        <v/>
      </c>
      <c r="BT192" s="42" t="str">
        <f aca="false">IF(OR(BS192="",$E192=""),"",BS192-$E192)</f>
        <v/>
      </c>
      <c r="BU192" s="28" t="n">
        <f aca="false">IFERROR(INDEX(Assessments!$H$2:$H$600,MATCH($H192&amp;"|"&amp;$I192&amp;"|"&amp;$J192&amp;"|"&amp;1,Assessments!$A$2:$A$600,0)),"")</f>
        <v>24</v>
      </c>
      <c r="BV192" s="28" t="n">
        <f aca="false">IFERROR(INDEX(Assessments!$H$2:$H$600,MATCH($H192&amp;"|"&amp;$I192&amp;"|"&amp;$J192&amp;"|"&amp;2,Assessments!$A$2:$A$600,0)),"")</f>
        <v>24</v>
      </c>
      <c r="BW192" s="28" t="n">
        <f aca="false">IFERROR(INDEX(Assessments!$H$2:$H$600,MATCH($H192&amp;"|"&amp;$I192&amp;"|"&amp;$J192&amp;"|"&amp;3,Assessments!$A$2:$A$600,0)),"")</f>
        <v>15</v>
      </c>
      <c r="BX192" s="28" t="n">
        <f aca="false">IFERROR(INDEX(Assessments!$H$2:$H$600,MATCH($H192&amp;"|"&amp;$I192&amp;"|"&amp;$J192&amp;"|"&amp;4,Assessments!$A$2:$A$600,0)),"")</f>
        <v>24</v>
      </c>
      <c r="BY192" s="28" t="n">
        <f aca="false">IFERROR(INDEX(Assessments!$H$2:$H$600,MATCH($H192&amp;"|"&amp;$I192&amp;"|"&amp;$J192&amp;"|"&amp;5,Assessments!$A$2:$A$600,0)),"")</f>
        <v>30</v>
      </c>
      <c r="BZ192" s="28" t="n">
        <f aca="false">IFERROR(INDEX(Assessments!$H$2:$H$600,MATCH($H192&amp;"|"&amp;$I192&amp;"|"&amp;$J192&amp;"|"&amp;6,Assessments!$A$2:$A$600,0)),"")</f>
        <v>24</v>
      </c>
      <c r="CA192" s="28" t="n">
        <f aca="false">IFERROR(INDEX(Assessments!$H$2:$H$600,MATCH($H192&amp;"|"&amp;$I192&amp;"|"&amp;$J192&amp;"|"&amp;7,Assessments!$A$2:$A$600,0)),"")</f>
        <v>15</v>
      </c>
      <c r="CB192" s="28" t="n">
        <f aca="false">IFERROR(INDEX(Assessments!$H$2:$H$600,MATCH($H192&amp;"|"&amp;$I192&amp;"|"&amp;$J192&amp;"|"&amp;8,Assessments!$A$2:$A$600,0)),"")</f>
        <v>15</v>
      </c>
      <c r="CC192" s="28" t="str">
        <f aca="false">IFERROR(INDEX(Assessments!$H$2:$H$600,MATCH($H192&amp;"|"&amp;$I192&amp;"|"&amp;$J192&amp;"|"&amp;9,Assessments!$A$2:$A$600,0)),"")</f>
        <v/>
      </c>
      <c r="CD192" s="28" t="str">
        <f aca="false">IFERROR(INDEX(Assessments!$H$2:$H$600,MATCH($H192&amp;"|"&amp;$I192&amp;"|"&amp;$J192&amp;"|"&amp;10,Assessments!$A$2:$A$600,0)),"")</f>
        <v/>
      </c>
      <c r="CE192" s="28" t="str">
        <f aca="false">IFERROR(INDEX(Assessments!$H$2:$H$600,MATCH($H192&amp;"|"&amp;$I192&amp;"|"&amp;$J192&amp;"|"&amp;11,Assessments!$A$2:$A$600,0)),"")</f>
        <v/>
      </c>
      <c r="CF192" s="28" t="str">
        <f aca="false">IFERROR(INDEX(Assessments!$H$2:$H$600,MATCH($H192&amp;"|"&amp;$I192&amp;"|"&amp;$J192&amp;"|"&amp;12,Assessments!$A$2:$A$600,0)),"")</f>
        <v/>
      </c>
      <c r="CG192" s="28" t="str">
        <f aca="false">IFERROR(INDEX(Assessments!$H$2:$H$600,MATCH($H192&amp;"|"&amp;$I192&amp;"|"&amp;$J192&amp;"|"&amp;13,Assessments!$A$2:$A$600,0)),"")</f>
        <v/>
      </c>
      <c r="CH192" s="28" t="str">
        <f aca="false">IFERROR(INDEX(Assessments!$H$2:$H$600,MATCH($H192&amp;"|"&amp;$I192&amp;"|"&amp;$J192&amp;"|"&amp;14,Assessments!$A$2:$A$600,0)),"")</f>
        <v/>
      </c>
      <c r="CI192" s="28" t="str">
        <f aca="false">IFERROR(INDEX(Assessments!$I$2:$I$600,MATCH($H192&amp;"|"&amp;$I192&amp;"|"&amp;$J192&amp;"|"&amp;1,Assessments!$A$2:$A$600,0)),"")</f>
        <v>Hist Paper 1</v>
      </c>
      <c r="CJ192" s="28" t="str">
        <f aca="false">IFERROR(INDEX(Assessments!$I$2:$I$600,MATCH($H192&amp;"|"&amp;$I192&amp;"|"&amp;$J192&amp;"|"&amp;2,Assessments!$A$2:$A$600,0)),"")</f>
        <v>Hist Paper 1</v>
      </c>
      <c r="CK192" s="28" t="str">
        <f aca="false">IFERROR(INDEX(Assessments!$I$2:$I$600,MATCH($H192&amp;"|"&amp;$I192&amp;"|"&amp;$J192&amp;"|"&amp;3,Assessments!$A$2:$A$600,0)),"")</f>
        <v>Hist P2 partial</v>
      </c>
      <c r="CL192" s="28" t="str">
        <f aca="false">IFERROR(INDEX(Assessments!$I$2:$I$600,MATCH($H192&amp;"|"&amp;$I192&amp;"|"&amp;$J192&amp;"|"&amp;4,Assessments!$A$2:$A$600,0)),"")</f>
        <v>Hist Paper 1</v>
      </c>
      <c r="CM192" s="28" t="str">
        <f aca="false">IFERROR(INDEX(Assessments!$I$2:$I$600,MATCH($H192&amp;"|"&amp;$I192&amp;"|"&amp;$J192&amp;"|"&amp;5,Assessments!$A$2:$A$600,0)),"")</f>
        <v>Hist P2 full</v>
      </c>
      <c r="CN192" s="28" t="str">
        <f aca="false">IFERROR(INDEX(Assessments!$I$2:$I$600,MATCH($H192&amp;"|"&amp;$I192&amp;"|"&amp;$J192&amp;"|"&amp;6,Assessments!$A$2:$A$600,0)),"")</f>
        <v>Hist Paper 1</v>
      </c>
      <c r="CO192" s="28" t="str">
        <f aca="false">IFERROR(INDEX(Assessments!$I$2:$I$600,MATCH($H192&amp;"|"&amp;$I192&amp;"|"&amp;$J192&amp;"|"&amp;7,Assessments!$A$2:$A$600,0)),"")</f>
        <v>Hist P2 partial</v>
      </c>
      <c r="CP192" s="28" t="str">
        <f aca="false">IFERROR(INDEX(Assessments!$I$2:$I$600,MATCH($H192&amp;"|"&amp;$I192&amp;"|"&amp;$J192&amp;"|"&amp;8,Assessments!$A$2:$A$600,0)),"")</f>
        <v>Hist P3 essay</v>
      </c>
      <c r="CQ192" s="28" t="str">
        <f aca="false">IFERROR(INDEX(Assessments!$I$2:$I$600,MATCH($H192&amp;"|"&amp;$I192&amp;"|"&amp;$J192&amp;"|"&amp;9,Assessments!$A$2:$A$600,0)),"")</f>
        <v/>
      </c>
      <c r="CR192" s="28" t="str">
        <f aca="false">IFERROR(INDEX(Assessments!$I$2:$I$600,MATCH($H192&amp;"|"&amp;$I192&amp;"|"&amp;$J192&amp;"|"&amp;10,Assessments!$A$2:$A$600,0)),"")</f>
        <v/>
      </c>
      <c r="CS192" s="28" t="str">
        <f aca="false">IFERROR(INDEX(Assessments!$I$2:$I$600,MATCH($H192&amp;"|"&amp;$I192&amp;"|"&amp;$J192&amp;"|"&amp;11,Assessments!$A$2:$A$600,0)),"")</f>
        <v/>
      </c>
      <c r="CT192" s="28" t="str">
        <f aca="false">IFERROR(INDEX(Assessments!$I$2:$I$600,MATCH($H192&amp;"|"&amp;$I192&amp;"|"&amp;$J192&amp;"|"&amp;12,Assessments!$A$2:$A$600,0)),"")</f>
        <v/>
      </c>
      <c r="CU192" s="28" t="str">
        <f aca="false">IFERROR(INDEX(Assessments!$I$2:$I$600,MATCH($H192&amp;"|"&amp;$I192&amp;"|"&amp;$J192&amp;"|"&amp;13,Assessments!$A$2:$A$600,0)),"")</f>
        <v/>
      </c>
      <c r="CV192" s="28" t="str">
        <f aca="false">IFERROR(INDEX(Assessments!$I$2:$I$600,MATCH($H192&amp;"|"&amp;$I192&amp;"|"&amp;$J192&amp;"|"&amp;14,Assessments!$A$2:$A$600,0)),"")</f>
        <v/>
      </c>
      <c r="CW192" s="28" t="n">
        <f aca="false">IFERROR(INDEX(Assessments!$J$2:$J$600,MATCH($H192&amp;"|"&amp;$I192&amp;"|"&amp;$J192&amp;"|"&amp;1,Assessments!$A$2:$A$600,0)),0)</f>
        <v>1</v>
      </c>
      <c r="CX192" s="28" t="n">
        <f aca="false">IFERROR(INDEX(Assessments!$J$2:$J$600,MATCH($H192&amp;"|"&amp;$I192&amp;"|"&amp;$J192&amp;"|"&amp;2,Assessments!$A$2:$A$600,0)),0)</f>
        <v>1</v>
      </c>
      <c r="CY192" s="28" t="n">
        <f aca="false">IFERROR(INDEX(Assessments!$J$2:$J$600,MATCH($H192&amp;"|"&amp;$I192&amp;"|"&amp;$J192&amp;"|"&amp;3,Assessments!$A$2:$A$600,0)),0)</f>
        <v>1</v>
      </c>
      <c r="CZ192" s="28" t="n">
        <f aca="false">IFERROR(INDEX(Assessments!$J$2:$J$600,MATCH($H192&amp;"|"&amp;$I192&amp;"|"&amp;$J192&amp;"|"&amp;4,Assessments!$A$2:$A$600,0)),0)</f>
        <v>2</v>
      </c>
      <c r="DA192" s="28" t="n">
        <f aca="false">IFERROR(INDEX(Assessments!$J$2:$J$600,MATCH($H192&amp;"|"&amp;$I192&amp;"|"&amp;$J192&amp;"|"&amp;5,Assessments!$A$2:$A$600,0)),0)</f>
        <v>2</v>
      </c>
      <c r="DB192" s="28" t="n">
        <f aca="false">IFERROR(INDEX(Assessments!$J$2:$J$600,MATCH($H192&amp;"|"&amp;$I192&amp;"|"&amp;$J192&amp;"|"&amp;6,Assessments!$A$2:$A$600,0)),0)</f>
        <v>1</v>
      </c>
      <c r="DC192" s="28" t="n">
        <f aca="false">IFERROR(INDEX(Assessments!$J$2:$J$600,MATCH($H192&amp;"|"&amp;$I192&amp;"|"&amp;$J192&amp;"|"&amp;7,Assessments!$A$2:$A$600,0)),0)</f>
        <v>1</v>
      </c>
      <c r="DD192" s="28" t="n">
        <f aca="false">IFERROR(INDEX(Assessments!$J$2:$J$600,MATCH($H192&amp;"|"&amp;$I192&amp;"|"&amp;$J192&amp;"|"&amp;8,Assessments!$A$2:$A$600,0)),0)</f>
        <v>1</v>
      </c>
      <c r="DE192" s="28" t="n">
        <f aca="false">IFERROR(INDEX(Assessments!$J$2:$J$600,MATCH($H192&amp;"|"&amp;$I192&amp;"|"&amp;$J192&amp;"|"&amp;9,Assessments!$A$2:$A$600,0)),0)</f>
        <v>0</v>
      </c>
      <c r="DF192" s="28" t="n">
        <f aca="false">IFERROR(INDEX(Assessments!$J$2:$J$600,MATCH($H192&amp;"|"&amp;$I192&amp;"|"&amp;$J192&amp;"|"&amp;10,Assessments!$A$2:$A$600,0)),0)</f>
        <v>0</v>
      </c>
      <c r="DG192" s="28" t="n">
        <f aca="false">IFERROR(INDEX(Assessments!$J$2:$J$600,MATCH($H192&amp;"|"&amp;$I192&amp;"|"&amp;$J192&amp;"|"&amp;11,Assessments!$A$2:$A$600,0)),0)</f>
        <v>0</v>
      </c>
      <c r="DH192" s="28" t="n">
        <f aca="false">IFERROR(INDEX(Assessments!$J$2:$J$600,MATCH($H192&amp;"|"&amp;$I192&amp;"|"&amp;$J192&amp;"|"&amp;12,Assessments!$A$2:$A$600,0)),0)</f>
        <v>0</v>
      </c>
      <c r="DI192" s="28" t="n">
        <f aca="false">IFERROR(INDEX(Assessments!$J$2:$J$600,MATCH($H192&amp;"|"&amp;$I192&amp;"|"&amp;$J192&amp;"|"&amp;13,Assessments!$A$2:$A$600,0)),0)</f>
        <v>0</v>
      </c>
      <c r="DJ192" s="28" t="n">
        <f aca="false">IFERROR(INDEX(Assessments!$J$2:$J$600,MATCH($H192&amp;"|"&amp;$I192&amp;"|"&amp;$J192&amp;"|"&amp;14,Assessments!$A$2:$A$600,0)),0)</f>
        <v>0</v>
      </c>
      <c r="DK192" s="28" t="n">
        <f aca="false">S192</f>
        <v>5</v>
      </c>
      <c r="DL192" s="28" t="n">
        <f aca="false">W192</f>
        <v>5</v>
      </c>
      <c r="DM192" s="28" t="n">
        <f aca="false">AA192</f>
        <v>5</v>
      </c>
      <c r="DN192" s="28" t="n">
        <f aca="false">AE192</f>
        <v>5</v>
      </c>
      <c r="DO192" s="28" t="n">
        <f aca="false">AI192</f>
        <v>5</v>
      </c>
      <c r="DP192" s="28" t="n">
        <f aca="false">AM192</f>
        <v>7</v>
      </c>
      <c r="DQ192" s="28" t="str">
        <f aca="false">AQ192</f>
        <v/>
      </c>
      <c r="DR192" s="28" t="str">
        <f aca="false">AU192</f>
        <v/>
      </c>
      <c r="DS192" s="28" t="str">
        <f aca="false">AY192</f>
        <v/>
      </c>
      <c r="DT192" s="28" t="str">
        <f aca="false">BC192</f>
        <v/>
      </c>
      <c r="DU192" s="28" t="str">
        <f aca="false">BG192</f>
        <v/>
      </c>
      <c r="DV192" s="28" t="str">
        <f aca="false">BK192</f>
        <v/>
      </c>
      <c r="DW192" s="28" t="str">
        <f aca="false">BO192</f>
        <v/>
      </c>
      <c r="DX192" s="28" t="str">
        <f aca="false">BS192</f>
        <v/>
      </c>
      <c r="DY192" s="28" t="n">
        <f aca="false">IF(ISNUMBER(S192),1,"")</f>
        <v>1</v>
      </c>
      <c r="DZ192" s="28" t="n">
        <f aca="false">IF(ISNUMBER(W192),2,"")</f>
        <v>2</v>
      </c>
      <c r="EA192" s="28" t="n">
        <f aca="false">IF(ISNUMBER(AA192),3,"")</f>
        <v>3</v>
      </c>
      <c r="EB192" s="28" t="n">
        <f aca="false">IF(ISNUMBER(AE192),4,"")</f>
        <v>4</v>
      </c>
      <c r="EC192" s="28" t="n">
        <f aca="false">IF(ISNUMBER(AI192),5,"")</f>
        <v>5</v>
      </c>
      <c r="ED192" s="28" t="n">
        <f aca="false">IF(ISNUMBER(AM192),6,"")</f>
        <v>6</v>
      </c>
      <c r="EE192" s="28" t="str">
        <f aca="false">IF(ISNUMBER(AQ192),7,"")</f>
        <v/>
      </c>
      <c r="EF192" s="28" t="str">
        <f aca="false">IF(ISNUMBER(AU192),8,"")</f>
        <v/>
      </c>
      <c r="EG192" s="28" t="str">
        <f aca="false">IF(ISNUMBER(AY192),9,"")</f>
        <v/>
      </c>
      <c r="EH192" s="28" t="str">
        <f aca="false">IF(ISNUMBER(BC192),10,"")</f>
        <v/>
      </c>
      <c r="EI192" s="28" t="str">
        <f aca="false">IF(ISNUMBER(BG192),11,"")</f>
        <v/>
      </c>
      <c r="EJ192" s="28" t="str">
        <f aca="false">IF(ISNUMBER(BK192),12,"")</f>
        <v/>
      </c>
      <c r="EK192" s="28" t="str">
        <f aca="false">IF(ISNUMBER(BO192),13,"")</f>
        <v/>
      </c>
      <c r="EL192" s="28" t="str">
        <f aca="false">IF(ISNUMBER(BS192),14,"")</f>
        <v/>
      </c>
      <c r="EM192" s="28" t="n">
        <f aca="false">IF(ISNUMBER(R192),R192*CW192,0)</f>
        <v>62.5</v>
      </c>
      <c r="EN192" s="28" t="n">
        <f aca="false">IF(ISNUMBER(V192),V192*CX192,0)</f>
        <v>58.3333333333333</v>
      </c>
      <c r="EO192" s="28" t="n">
        <f aca="false">IF(ISNUMBER(Z192),Z192*CY192,0)</f>
        <v>60</v>
      </c>
      <c r="EP192" s="28" t="n">
        <f aca="false">IF(ISNUMBER(AD192),AD192*CZ192,0)</f>
        <v>116.666666666667</v>
      </c>
      <c r="EQ192" s="28" t="n">
        <f aca="false">IF(ISNUMBER(AH192),AH192*DA192,0)</f>
        <v>113.333333333333</v>
      </c>
      <c r="ER192" s="28" t="n">
        <f aca="false">IF(ISNUMBER(AL192),AL192*DB192,0)</f>
        <v>83.3333333333333</v>
      </c>
      <c r="ES192" s="28" t="n">
        <f aca="false">IF(ISNUMBER(AP192),AP192*DC192,0)</f>
        <v>0</v>
      </c>
      <c r="ET192" s="28" t="n">
        <f aca="false">IF(ISNUMBER(AT192),AT192*DD192,0)</f>
        <v>0</v>
      </c>
      <c r="EU192" s="28" t="n">
        <f aca="false">IF(ISNUMBER(AX192),AX192*DE192,0)</f>
        <v>0</v>
      </c>
      <c r="EV192" s="28" t="n">
        <f aca="false">IF(ISNUMBER(BB192),BB192*DF192,0)</f>
        <v>0</v>
      </c>
      <c r="EW192" s="28" t="n">
        <f aca="false">IF(ISNUMBER(BF192),BF192*DG192,0)</f>
        <v>0</v>
      </c>
      <c r="EX192" s="28" t="n">
        <f aca="false">IF(ISNUMBER(BJ192),BJ192*DH192,0)</f>
        <v>0</v>
      </c>
      <c r="EY192" s="28" t="n">
        <f aca="false">IF(ISNUMBER(BN192),BN192*DI192,0)</f>
        <v>0</v>
      </c>
      <c r="EZ192" s="28" t="n">
        <f aca="false">IF(ISNUMBER(BR192),BR192*DJ192,0)</f>
        <v>0</v>
      </c>
      <c r="FA192" s="28" t="n">
        <f aca="false">IF(ISNUMBER(R192),CW192,0)</f>
        <v>1</v>
      </c>
      <c r="FB192" s="28" t="n">
        <f aca="false">IF(ISNUMBER(V192),CX192,0)</f>
        <v>1</v>
      </c>
      <c r="FC192" s="28" t="n">
        <f aca="false">IF(ISNUMBER(Z192),CY192,0)</f>
        <v>1</v>
      </c>
      <c r="FD192" s="28" t="n">
        <f aca="false">IF(ISNUMBER(AD192),CZ192,0)</f>
        <v>2</v>
      </c>
      <c r="FE192" s="28" t="n">
        <f aca="false">IF(ISNUMBER(AH192),DA192,0)</f>
        <v>2</v>
      </c>
      <c r="FF192" s="28" t="n">
        <f aca="false">IF(ISNUMBER(AL192),DB192,0)</f>
        <v>1</v>
      </c>
      <c r="FG192" s="28" t="n">
        <f aca="false">IF(ISNUMBER(AP192),DC192,0)</f>
        <v>0</v>
      </c>
      <c r="FH192" s="28" t="n">
        <f aca="false">IF(ISNUMBER(AT192),DD192,0)</f>
        <v>0</v>
      </c>
      <c r="FI192" s="28" t="n">
        <f aca="false">IF(ISNUMBER(AX192),DE192,0)</f>
        <v>0</v>
      </c>
      <c r="FJ192" s="28" t="n">
        <f aca="false">IF(ISNUMBER(BB192),DF192,0)</f>
        <v>0</v>
      </c>
      <c r="FK192" s="28" t="n">
        <f aca="false">IF(ISNUMBER(BF192),DG192,0)</f>
        <v>0</v>
      </c>
      <c r="FL192" s="28" t="n">
        <f aca="false">IF(ISNUMBER(BJ192),DH192,0)</f>
        <v>0</v>
      </c>
      <c r="FM192" s="28" t="n">
        <f aca="false">IF(ISNUMBER(BN192),DI192,0)</f>
        <v>0</v>
      </c>
      <c r="FN192" s="28" t="n">
        <f aca="false">IF(ISNUMBER(BR192),DJ192,0)</f>
        <v>0</v>
      </c>
      <c r="FO192" s="28" t="str">
        <f aca="false">IFERROR(INDEX(Lists!$G$2:$G$20,MATCH($I192&amp;"|"&amp;$J192,Lists!$F$2:$F$20,0)),"")</f>
        <v>Hist Overall SL</v>
      </c>
    </row>
    <row r="193" customFormat="false" ht="19.5" hidden="false" customHeight="true" outlineLevel="0" collapsed="false">
      <c r="A193" s="29" t="s">
        <v>303</v>
      </c>
      <c r="B193" s="29" t="s">
        <v>304</v>
      </c>
      <c r="C193" s="30" t="s">
        <v>152</v>
      </c>
      <c r="D193" s="30" t="s">
        <v>422</v>
      </c>
      <c r="E193" s="31" t="n">
        <v>6</v>
      </c>
      <c r="F193" s="30" t="n">
        <v>6</v>
      </c>
      <c r="G193" s="30"/>
      <c r="H193" s="32" t="s">
        <v>23</v>
      </c>
      <c r="I193" s="33" t="s">
        <v>416</v>
      </c>
      <c r="J193" s="32" t="s">
        <v>223</v>
      </c>
      <c r="K193" s="34" t="n">
        <f aca="false">IF(OR(M193="",$E193=""),"",M193-$E193)</f>
        <v>0</v>
      </c>
      <c r="L193" s="35" t="n">
        <f aca="false">IF(SUM(FA193:FN193)=0,"",SUM(EM193:EZ193)/SUM(FA193:FN193))</f>
        <v>71.0416666666667</v>
      </c>
      <c r="M193" s="36" t="n">
        <f aca="false">IF(OR(L193="",FO193=""),"",IFERROR(MATCH(L193,INDEX(Boundaries!$B$2:$I$30,MATCH(FO193,Boundaries!$A$2:$A$30,0),0),1)-1,""))</f>
        <v>6</v>
      </c>
      <c r="N193" s="37" t="n">
        <f aca="false">IF(COUNT($DY193:$EL193)&lt;2,"",INDEX($DK193:$DX193,MAX($DY193:$EL193))-INDEX($DK193:$DX193,MIN($DY193:$EL193)))</f>
        <v>1</v>
      </c>
      <c r="O193" s="37" t="n">
        <f aca="false">IF(COUNT($DY193:$EL193)&lt;2,"",INDEX($DK193:$DX193,MAX($DY193:$EL193))-INDEX($DK193:$DX193,LARGE($DY193:$EL193,2)))</f>
        <v>1</v>
      </c>
      <c r="P193" s="38" t="str">
        <f aca="false">IF(K193="","",IF(K193&gt;=0,"On/above target",IF(AND(N193&lt;&gt;"",N193&gt;=0.5),"Improving towards target",IF(AND(O193&lt;&gt;"",O193&lt;=-0.5),"Declining","Stable below target"))))</f>
        <v>On/above target</v>
      </c>
      <c r="Q193" s="39" t="n">
        <v>16</v>
      </c>
      <c r="R193" s="40" t="n">
        <f aca="false">IF(OR(Q193="",BU193=""),"",Q193/BU193*100)</f>
        <v>66.6666666666667</v>
      </c>
      <c r="S193" s="41" t="n">
        <f aca="false">IF(R193="","",IFERROR(MATCH(R193,INDEX(Boundaries!$B$2:$I$30,MATCH(CI193,Boundaries!$A$2:$A$30,0),0),1)-1,""))</f>
        <v>6</v>
      </c>
      <c r="T193" s="42" t="n">
        <f aca="false">IF(OR(S193="",$E193=""),"",S193-$E193)</f>
        <v>0</v>
      </c>
      <c r="U193" s="39" t="n">
        <v>18</v>
      </c>
      <c r="V193" s="40" t="n">
        <f aca="false">IF(OR(U193="",BV193=""),"",U193/BV193*100)</f>
        <v>75</v>
      </c>
      <c r="W193" s="41" t="n">
        <f aca="false">IF(V193="","",IFERROR(MATCH(V193,INDEX(Boundaries!$B$2:$I$30,MATCH(CJ193,Boundaries!$A$2:$A$30,0),0),1)-1,""))</f>
        <v>6</v>
      </c>
      <c r="X193" s="42" t="n">
        <f aca="false">IF(OR(W193="",$E193=""),"",W193-$E193)</f>
        <v>0</v>
      </c>
      <c r="Y193" s="39" t="n">
        <v>10</v>
      </c>
      <c r="Z193" s="40" t="n">
        <f aca="false">IF(OR(Y193="",BW193=""),"",Y193/BW193*100)</f>
        <v>66.6666666666667</v>
      </c>
      <c r="AA193" s="41" t="n">
        <f aca="false">IF(Z193="","",IFERROR(MATCH(Z193,INDEX(Boundaries!$B$2:$I$30,MATCH(CK193,Boundaries!$A$2:$A$30,0),0),1)-1,""))</f>
        <v>5</v>
      </c>
      <c r="AB193" s="42" t="n">
        <f aca="false">IF(OR(AA193="",$E193=""),"",AA193-$E193)</f>
        <v>-1</v>
      </c>
      <c r="AC193" s="39" t="n">
        <v>18</v>
      </c>
      <c r="AD193" s="40" t="n">
        <f aca="false">IF(OR(AC193="",BX193=""),"",AC193/BX193*100)</f>
        <v>75</v>
      </c>
      <c r="AE193" s="41" t="n">
        <f aca="false">IF(AD193="","",IFERROR(MATCH(AD193,INDEX(Boundaries!$B$2:$I$30,MATCH(CL193,Boundaries!$A$2:$A$30,0),0),1)-1,""))</f>
        <v>6</v>
      </c>
      <c r="AF193" s="42" t="n">
        <f aca="false">IF(OR(AE193="",$E193=""),"",AE193-$E193)</f>
        <v>0</v>
      </c>
      <c r="AG193" s="39" t="n">
        <v>19</v>
      </c>
      <c r="AH193" s="40" t="n">
        <f aca="false">IF(OR(AG193="",BY193=""),"",AG193/BY193*100)</f>
        <v>63.3333333333333</v>
      </c>
      <c r="AI193" s="41" t="n">
        <f aca="false">IF(AH193="","",IFERROR(MATCH(AH193,INDEX(Boundaries!$B$2:$I$30,MATCH(CM193,Boundaries!$A$2:$A$30,0),0),1)-1,""))</f>
        <v>6</v>
      </c>
      <c r="AJ193" s="42" t="n">
        <f aca="false">IF(OR(AI193="",$E193=""),"",AI193-$E193)</f>
        <v>0</v>
      </c>
      <c r="AK193" s="39" t="n">
        <v>20</v>
      </c>
      <c r="AL193" s="40" t="n">
        <f aca="false">IF(OR(AK193="",BZ193=""),"",AK193/BZ193*100)</f>
        <v>83.3333333333333</v>
      </c>
      <c r="AM193" s="41" t="n">
        <f aca="false">IF(AL193="","",IFERROR(MATCH(AL193,INDEX(Boundaries!$B$2:$I$30,MATCH(CN193,Boundaries!$A$2:$A$30,0),0),1)-1,""))</f>
        <v>7</v>
      </c>
      <c r="AN193" s="42" t="n">
        <f aca="false">IF(OR(AM193="",$E193=""),"",AM193-$E193)</f>
        <v>1</v>
      </c>
      <c r="AO193" s="39"/>
      <c r="AP193" s="40" t="str">
        <f aca="false">IF(OR(AO193="",CA193=""),"",AO193/CA193*100)</f>
        <v/>
      </c>
      <c r="AQ193" s="41" t="str">
        <f aca="false">IF(AP193="","",IFERROR(MATCH(AP193,INDEX(Boundaries!$B$2:$I$30,MATCH(CO193,Boundaries!$A$2:$A$30,0),0),1)-1,""))</f>
        <v/>
      </c>
      <c r="AR193" s="42" t="str">
        <f aca="false">IF(OR(AQ193="",$E193=""),"",AQ193-$E193)</f>
        <v/>
      </c>
      <c r="AS193" s="39"/>
      <c r="AT193" s="40" t="str">
        <f aca="false">IF(OR(AS193="",CB193=""),"",AS193/CB193*100)</f>
        <v/>
      </c>
      <c r="AU193" s="41" t="str">
        <f aca="false">IF(AT193="","",IFERROR(MATCH(AT193,INDEX(Boundaries!$B$2:$I$30,MATCH(CP193,Boundaries!$A$2:$A$30,0),0),1)-1,""))</f>
        <v/>
      </c>
      <c r="AV193" s="42" t="str">
        <f aca="false">IF(OR(AU193="",$E193=""),"",AU193-$E193)</f>
        <v/>
      </c>
      <c r="AW193" s="39"/>
      <c r="AX193" s="40" t="str">
        <f aca="false">IF(OR(AW193="",CC193=""),"",AW193/CC193*100)</f>
        <v/>
      </c>
      <c r="AY193" s="41" t="str">
        <f aca="false">IF(AX193="","",IFERROR(MATCH(AX193,INDEX(Boundaries!$B$2:$I$30,MATCH(CQ193,Boundaries!$A$2:$A$30,0),0),1)-1,""))</f>
        <v/>
      </c>
      <c r="AZ193" s="42" t="str">
        <f aca="false">IF(OR(AY193="",$E193=""),"",AY193-$E193)</f>
        <v/>
      </c>
      <c r="BA193" s="39"/>
      <c r="BB193" s="40" t="str">
        <f aca="false">IF(OR(BA193="",CD193=""),"",BA193/CD193*100)</f>
        <v/>
      </c>
      <c r="BC193" s="41" t="str">
        <f aca="false">IF(BB193="","",IFERROR(MATCH(BB193,INDEX(Boundaries!$B$2:$I$30,MATCH(CR193,Boundaries!$A$2:$A$30,0),0),1)-1,""))</f>
        <v/>
      </c>
      <c r="BD193" s="42" t="str">
        <f aca="false">IF(OR(BC193="",$E193=""),"",BC193-$E193)</f>
        <v/>
      </c>
      <c r="BE193" s="39"/>
      <c r="BF193" s="40" t="str">
        <f aca="false">IF(OR(BE193="",CE193=""),"",BE193/CE193*100)</f>
        <v/>
      </c>
      <c r="BG193" s="41" t="str">
        <f aca="false">IF(BF193="","",IFERROR(MATCH(BF193,INDEX(Boundaries!$B$2:$I$30,MATCH(CS193,Boundaries!$A$2:$A$30,0),0),1)-1,""))</f>
        <v/>
      </c>
      <c r="BH193" s="42" t="str">
        <f aca="false">IF(OR(BG193="",$E193=""),"",BG193-$E193)</f>
        <v/>
      </c>
      <c r="BI193" s="39"/>
      <c r="BJ193" s="40" t="str">
        <f aca="false">IF(OR(BI193="",CF193=""),"",BI193/CF193*100)</f>
        <v/>
      </c>
      <c r="BK193" s="41" t="str">
        <f aca="false">IF(BJ193="","",IFERROR(MATCH(BJ193,INDEX(Boundaries!$B$2:$I$30,MATCH(CT193,Boundaries!$A$2:$A$30,0),0),1)-1,""))</f>
        <v/>
      </c>
      <c r="BL193" s="42" t="str">
        <f aca="false">IF(OR(BK193="",$E193=""),"",BK193-$E193)</f>
        <v/>
      </c>
      <c r="BM193" s="39"/>
      <c r="BN193" s="40" t="str">
        <f aca="false">IF(OR(BM193="",CG193=""),"",BM193/CG193*100)</f>
        <v/>
      </c>
      <c r="BO193" s="41" t="str">
        <f aca="false">IF(BN193="","",IFERROR(MATCH(BN193,INDEX(Boundaries!$B$2:$I$30,MATCH(CU193,Boundaries!$A$2:$A$30,0),0),1)-1,""))</f>
        <v/>
      </c>
      <c r="BP193" s="42" t="str">
        <f aca="false">IF(OR(BO193="",$E193=""),"",BO193-$E193)</f>
        <v/>
      </c>
      <c r="BQ193" s="39"/>
      <c r="BR193" s="40" t="str">
        <f aca="false">IF(OR(BQ193="",CH193=""),"",BQ193/CH193*100)</f>
        <v/>
      </c>
      <c r="BS193" s="41" t="str">
        <f aca="false">IF(BR193="","",IFERROR(MATCH(BR193,INDEX(Boundaries!$B$2:$I$30,MATCH(CV193,Boundaries!$A$2:$A$30,0),0),1)-1,""))</f>
        <v/>
      </c>
      <c r="BT193" s="42" t="str">
        <f aca="false">IF(OR(BS193="",$E193=""),"",BS193-$E193)</f>
        <v/>
      </c>
      <c r="BU193" s="28" t="n">
        <f aca="false">IFERROR(INDEX(Assessments!$H$2:$H$600,MATCH($H193&amp;"|"&amp;$I193&amp;"|"&amp;$J193&amp;"|"&amp;1,Assessments!$A$2:$A$600,0)),"")</f>
        <v>24</v>
      </c>
      <c r="BV193" s="28" t="n">
        <f aca="false">IFERROR(INDEX(Assessments!$H$2:$H$600,MATCH($H193&amp;"|"&amp;$I193&amp;"|"&amp;$J193&amp;"|"&amp;2,Assessments!$A$2:$A$600,0)),"")</f>
        <v>24</v>
      </c>
      <c r="BW193" s="28" t="n">
        <f aca="false">IFERROR(INDEX(Assessments!$H$2:$H$600,MATCH($H193&amp;"|"&amp;$I193&amp;"|"&amp;$J193&amp;"|"&amp;3,Assessments!$A$2:$A$600,0)),"")</f>
        <v>15</v>
      </c>
      <c r="BX193" s="28" t="n">
        <f aca="false">IFERROR(INDEX(Assessments!$H$2:$H$600,MATCH($H193&amp;"|"&amp;$I193&amp;"|"&amp;$J193&amp;"|"&amp;4,Assessments!$A$2:$A$600,0)),"")</f>
        <v>24</v>
      </c>
      <c r="BY193" s="28" t="n">
        <f aca="false">IFERROR(INDEX(Assessments!$H$2:$H$600,MATCH($H193&amp;"|"&amp;$I193&amp;"|"&amp;$J193&amp;"|"&amp;5,Assessments!$A$2:$A$600,0)),"")</f>
        <v>30</v>
      </c>
      <c r="BZ193" s="28" t="n">
        <f aca="false">IFERROR(INDEX(Assessments!$H$2:$H$600,MATCH($H193&amp;"|"&amp;$I193&amp;"|"&amp;$J193&amp;"|"&amp;6,Assessments!$A$2:$A$600,0)),"")</f>
        <v>24</v>
      </c>
      <c r="CA193" s="28" t="n">
        <f aca="false">IFERROR(INDEX(Assessments!$H$2:$H$600,MATCH($H193&amp;"|"&amp;$I193&amp;"|"&amp;$J193&amp;"|"&amp;7,Assessments!$A$2:$A$600,0)),"")</f>
        <v>15</v>
      </c>
      <c r="CB193" s="28" t="n">
        <f aca="false">IFERROR(INDEX(Assessments!$H$2:$H$600,MATCH($H193&amp;"|"&amp;$I193&amp;"|"&amp;$J193&amp;"|"&amp;8,Assessments!$A$2:$A$600,0)),"")</f>
        <v>15</v>
      </c>
      <c r="CC193" s="28" t="str">
        <f aca="false">IFERROR(INDEX(Assessments!$H$2:$H$600,MATCH($H193&amp;"|"&amp;$I193&amp;"|"&amp;$J193&amp;"|"&amp;9,Assessments!$A$2:$A$600,0)),"")</f>
        <v/>
      </c>
      <c r="CD193" s="28" t="str">
        <f aca="false">IFERROR(INDEX(Assessments!$H$2:$H$600,MATCH($H193&amp;"|"&amp;$I193&amp;"|"&amp;$J193&amp;"|"&amp;10,Assessments!$A$2:$A$600,0)),"")</f>
        <v/>
      </c>
      <c r="CE193" s="28" t="str">
        <f aca="false">IFERROR(INDEX(Assessments!$H$2:$H$600,MATCH($H193&amp;"|"&amp;$I193&amp;"|"&amp;$J193&amp;"|"&amp;11,Assessments!$A$2:$A$600,0)),"")</f>
        <v/>
      </c>
      <c r="CF193" s="28" t="str">
        <f aca="false">IFERROR(INDEX(Assessments!$H$2:$H$600,MATCH($H193&amp;"|"&amp;$I193&amp;"|"&amp;$J193&amp;"|"&amp;12,Assessments!$A$2:$A$600,0)),"")</f>
        <v/>
      </c>
      <c r="CG193" s="28" t="str">
        <f aca="false">IFERROR(INDEX(Assessments!$H$2:$H$600,MATCH($H193&amp;"|"&amp;$I193&amp;"|"&amp;$J193&amp;"|"&amp;13,Assessments!$A$2:$A$600,0)),"")</f>
        <v/>
      </c>
      <c r="CH193" s="28" t="str">
        <f aca="false">IFERROR(INDEX(Assessments!$H$2:$H$600,MATCH($H193&amp;"|"&amp;$I193&amp;"|"&amp;$J193&amp;"|"&amp;14,Assessments!$A$2:$A$600,0)),"")</f>
        <v/>
      </c>
      <c r="CI193" s="28" t="str">
        <f aca="false">IFERROR(INDEX(Assessments!$I$2:$I$600,MATCH($H193&amp;"|"&amp;$I193&amp;"|"&amp;$J193&amp;"|"&amp;1,Assessments!$A$2:$A$600,0)),"")</f>
        <v>Hist Paper 1</v>
      </c>
      <c r="CJ193" s="28" t="str">
        <f aca="false">IFERROR(INDEX(Assessments!$I$2:$I$600,MATCH($H193&amp;"|"&amp;$I193&amp;"|"&amp;$J193&amp;"|"&amp;2,Assessments!$A$2:$A$600,0)),"")</f>
        <v>Hist Paper 1</v>
      </c>
      <c r="CK193" s="28" t="str">
        <f aca="false">IFERROR(INDEX(Assessments!$I$2:$I$600,MATCH($H193&amp;"|"&amp;$I193&amp;"|"&amp;$J193&amp;"|"&amp;3,Assessments!$A$2:$A$600,0)),"")</f>
        <v>Hist P2 partial</v>
      </c>
      <c r="CL193" s="28" t="str">
        <f aca="false">IFERROR(INDEX(Assessments!$I$2:$I$600,MATCH($H193&amp;"|"&amp;$I193&amp;"|"&amp;$J193&amp;"|"&amp;4,Assessments!$A$2:$A$600,0)),"")</f>
        <v>Hist Paper 1</v>
      </c>
      <c r="CM193" s="28" t="str">
        <f aca="false">IFERROR(INDEX(Assessments!$I$2:$I$600,MATCH($H193&amp;"|"&amp;$I193&amp;"|"&amp;$J193&amp;"|"&amp;5,Assessments!$A$2:$A$600,0)),"")</f>
        <v>Hist P2 full</v>
      </c>
      <c r="CN193" s="28" t="str">
        <f aca="false">IFERROR(INDEX(Assessments!$I$2:$I$600,MATCH($H193&amp;"|"&amp;$I193&amp;"|"&amp;$J193&amp;"|"&amp;6,Assessments!$A$2:$A$600,0)),"")</f>
        <v>Hist Paper 1</v>
      </c>
      <c r="CO193" s="28" t="str">
        <f aca="false">IFERROR(INDEX(Assessments!$I$2:$I$600,MATCH($H193&amp;"|"&amp;$I193&amp;"|"&amp;$J193&amp;"|"&amp;7,Assessments!$A$2:$A$600,0)),"")</f>
        <v>Hist P2 partial</v>
      </c>
      <c r="CP193" s="28" t="str">
        <f aca="false">IFERROR(INDEX(Assessments!$I$2:$I$600,MATCH($H193&amp;"|"&amp;$I193&amp;"|"&amp;$J193&amp;"|"&amp;8,Assessments!$A$2:$A$600,0)),"")</f>
        <v>Hist P3 essay</v>
      </c>
      <c r="CQ193" s="28" t="str">
        <f aca="false">IFERROR(INDEX(Assessments!$I$2:$I$600,MATCH($H193&amp;"|"&amp;$I193&amp;"|"&amp;$J193&amp;"|"&amp;9,Assessments!$A$2:$A$600,0)),"")</f>
        <v/>
      </c>
      <c r="CR193" s="28" t="str">
        <f aca="false">IFERROR(INDEX(Assessments!$I$2:$I$600,MATCH($H193&amp;"|"&amp;$I193&amp;"|"&amp;$J193&amp;"|"&amp;10,Assessments!$A$2:$A$600,0)),"")</f>
        <v/>
      </c>
      <c r="CS193" s="28" t="str">
        <f aca="false">IFERROR(INDEX(Assessments!$I$2:$I$600,MATCH($H193&amp;"|"&amp;$I193&amp;"|"&amp;$J193&amp;"|"&amp;11,Assessments!$A$2:$A$600,0)),"")</f>
        <v/>
      </c>
      <c r="CT193" s="28" t="str">
        <f aca="false">IFERROR(INDEX(Assessments!$I$2:$I$600,MATCH($H193&amp;"|"&amp;$I193&amp;"|"&amp;$J193&amp;"|"&amp;12,Assessments!$A$2:$A$600,0)),"")</f>
        <v/>
      </c>
      <c r="CU193" s="28" t="str">
        <f aca="false">IFERROR(INDEX(Assessments!$I$2:$I$600,MATCH($H193&amp;"|"&amp;$I193&amp;"|"&amp;$J193&amp;"|"&amp;13,Assessments!$A$2:$A$600,0)),"")</f>
        <v/>
      </c>
      <c r="CV193" s="28" t="str">
        <f aca="false">IFERROR(INDEX(Assessments!$I$2:$I$600,MATCH($H193&amp;"|"&amp;$I193&amp;"|"&amp;$J193&amp;"|"&amp;14,Assessments!$A$2:$A$600,0)),"")</f>
        <v/>
      </c>
      <c r="CW193" s="28" t="n">
        <f aca="false">IFERROR(INDEX(Assessments!$J$2:$J$600,MATCH($H193&amp;"|"&amp;$I193&amp;"|"&amp;$J193&amp;"|"&amp;1,Assessments!$A$2:$A$600,0)),0)</f>
        <v>1</v>
      </c>
      <c r="CX193" s="28" t="n">
        <f aca="false">IFERROR(INDEX(Assessments!$J$2:$J$600,MATCH($H193&amp;"|"&amp;$I193&amp;"|"&amp;$J193&amp;"|"&amp;2,Assessments!$A$2:$A$600,0)),0)</f>
        <v>1</v>
      </c>
      <c r="CY193" s="28" t="n">
        <f aca="false">IFERROR(INDEX(Assessments!$J$2:$J$600,MATCH($H193&amp;"|"&amp;$I193&amp;"|"&amp;$J193&amp;"|"&amp;3,Assessments!$A$2:$A$600,0)),0)</f>
        <v>1</v>
      </c>
      <c r="CZ193" s="28" t="n">
        <f aca="false">IFERROR(INDEX(Assessments!$J$2:$J$600,MATCH($H193&amp;"|"&amp;$I193&amp;"|"&amp;$J193&amp;"|"&amp;4,Assessments!$A$2:$A$600,0)),0)</f>
        <v>2</v>
      </c>
      <c r="DA193" s="28" t="n">
        <f aca="false">IFERROR(INDEX(Assessments!$J$2:$J$600,MATCH($H193&amp;"|"&amp;$I193&amp;"|"&amp;$J193&amp;"|"&amp;5,Assessments!$A$2:$A$600,0)),0)</f>
        <v>2</v>
      </c>
      <c r="DB193" s="28" t="n">
        <f aca="false">IFERROR(INDEX(Assessments!$J$2:$J$600,MATCH($H193&amp;"|"&amp;$I193&amp;"|"&amp;$J193&amp;"|"&amp;6,Assessments!$A$2:$A$600,0)),0)</f>
        <v>1</v>
      </c>
      <c r="DC193" s="28" t="n">
        <f aca="false">IFERROR(INDEX(Assessments!$J$2:$J$600,MATCH($H193&amp;"|"&amp;$I193&amp;"|"&amp;$J193&amp;"|"&amp;7,Assessments!$A$2:$A$600,0)),0)</f>
        <v>1</v>
      </c>
      <c r="DD193" s="28" t="n">
        <f aca="false">IFERROR(INDEX(Assessments!$J$2:$J$600,MATCH($H193&amp;"|"&amp;$I193&amp;"|"&amp;$J193&amp;"|"&amp;8,Assessments!$A$2:$A$600,0)),0)</f>
        <v>1</v>
      </c>
      <c r="DE193" s="28" t="n">
        <f aca="false">IFERROR(INDEX(Assessments!$J$2:$J$600,MATCH($H193&amp;"|"&amp;$I193&amp;"|"&amp;$J193&amp;"|"&amp;9,Assessments!$A$2:$A$600,0)),0)</f>
        <v>0</v>
      </c>
      <c r="DF193" s="28" t="n">
        <f aca="false">IFERROR(INDEX(Assessments!$J$2:$J$600,MATCH($H193&amp;"|"&amp;$I193&amp;"|"&amp;$J193&amp;"|"&amp;10,Assessments!$A$2:$A$600,0)),0)</f>
        <v>0</v>
      </c>
      <c r="DG193" s="28" t="n">
        <f aca="false">IFERROR(INDEX(Assessments!$J$2:$J$600,MATCH($H193&amp;"|"&amp;$I193&amp;"|"&amp;$J193&amp;"|"&amp;11,Assessments!$A$2:$A$600,0)),0)</f>
        <v>0</v>
      </c>
      <c r="DH193" s="28" t="n">
        <f aca="false">IFERROR(INDEX(Assessments!$J$2:$J$600,MATCH($H193&amp;"|"&amp;$I193&amp;"|"&amp;$J193&amp;"|"&amp;12,Assessments!$A$2:$A$600,0)),0)</f>
        <v>0</v>
      </c>
      <c r="DI193" s="28" t="n">
        <f aca="false">IFERROR(INDEX(Assessments!$J$2:$J$600,MATCH($H193&amp;"|"&amp;$I193&amp;"|"&amp;$J193&amp;"|"&amp;13,Assessments!$A$2:$A$600,0)),0)</f>
        <v>0</v>
      </c>
      <c r="DJ193" s="28" t="n">
        <f aca="false">IFERROR(INDEX(Assessments!$J$2:$J$600,MATCH($H193&amp;"|"&amp;$I193&amp;"|"&amp;$J193&amp;"|"&amp;14,Assessments!$A$2:$A$600,0)),0)</f>
        <v>0</v>
      </c>
      <c r="DK193" s="28" t="n">
        <f aca="false">S193</f>
        <v>6</v>
      </c>
      <c r="DL193" s="28" t="n">
        <f aca="false">W193</f>
        <v>6</v>
      </c>
      <c r="DM193" s="28" t="n">
        <f aca="false">AA193</f>
        <v>5</v>
      </c>
      <c r="DN193" s="28" t="n">
        <f aca="false">AE193</f>
        <v>6</v>
      </c>
      <c r="DO193" s="28" t="n">
        <f aca="false">AI193</f>
        <v>6</v>
      </c>
      <c r="DP193" s="28" t="n">
        <f aca="false">AM193</f>
        <v>7</v>
      </c>
      <c r="DQ193" s="28" t="str">
        <f aca="false">AQ193</f>
        <v/>
      </c>
      <c r="DR193" s="28" t="str">
        <f aca="false">AU193</f>
        <v/>
      </c>
      <c r="DS193" s="28" t="str">
        <f aca="false">AY193</f>
        <v/>
      </c>
      <c r="DT193" s="28" t="str">
        <f aca="false">BC193</f>
        <v/>
      </c>
      <c r="DU193" s="28" t="str">
        <f aca="false">BG193</f>
        <v/>
      </c>
      <c r="DV193" s="28" t="str">
        <f aca="false">BK193</f>
        <v/>
      </c>
      <c r="DW193" s="28" t="str">
        <f aca="false">BO193</f>
        <v/>
      </c>
      <c r="DX193" s="28" t="str">
        <f aca="false">BS193</f>
        <v/>
      </c>
      <c r="DY193" s="28" t="n">
        <f aca="false">IF(ISNUMBER(S193),1,"")</f>
        <v>1</v>
      </c>
      <c r="DZ193" s="28" t="n">
        <f aca="false">IF(ISNUMBER(W193),2,"")</f>
        <v>2</v>
      </c>
      <c r="EA193" s="28" t="n">
        <f aca="false">IF(ISNUMBER(AA193),3,"")</f>
        <v>3</v>
      </c>
      <c r="EB193" s="28" t="n">
        <f aca="false">IF(ISNUMBER(AE193),4,"")</f>
        <v>4</v>
      </c>
      <c r="EC193" s="28" t="n">
        <f aca="false">IF(ISNUMBER(AI193),5,"")</f>
        <v>5</v>
      </c>
      <c r="ED193" s="28" t="n">
        <f aca="false">IF(ISNUMBER(AM193),6,"")</f>
        <v>6</v>
      </c>
      <c r="EE193" s="28" t="str">
        <f aca="false">IF(ISNUMBER(AQ193),7,"")</f>
        <v/>
      </c>
      <c r="EF193" s="28" t="str">
        <f aca="false">IF(ISNUMBER(AU193),8,"")</f>
        <v/>
      </c>
      <c r="EG193" s="28" t="str">
        <f aca="false">IF(ISNUMBER(AY193),9,"")</f>
        <v/>
      </c>
      <c r="EH193" s="28" t="str">
        <f aca="false">IF(ISNUMBER(BC193),10,"")</f>
        <v/>
      </c>
      <c r="EI193" s="28" t="str">
        <f aca="false">IF(ISNUMBER(BG193),11,"")</f>
        <v/>
      </c>
      <c r="EJ193" s="28" t="str">
        <f aca="false">IF(ISNUMBER(BK193),12,"")</f>
        <v/>
      </c>
      <c r="EK193" s="28" t="str">
        <f aca="false">IF(ISNUMBER(BO193),13,"")</f>
        <v/>
      </c>
      <c r="EL193" s="28" t="str">
        <f aca="false">IF(ISNUMBER(BS193),14,"")</f>
        <v/>
      </c>
      <c r="EM193" s="28" t="n">
        <f aca="false">IF(ISNUMBER(R193),R193*CW193,0)</f>
        <v>66.6666666666667</v>
      </c>
      <c r="EN193" s="28" t="n">
        <f aca="false">IF(ISNUMBER(V193),V193*CX193,0)</f>
        <v>75</v>
      </c>
      <c r="EO193" s="28" t="n">
        <f aca="false">IF(ISNUMBER(Z193),Z193*CY193,0)</f>
        <v>66.6666666666667</v>
      </c>
      <c r="EP193" s="28" t="n">
        <f aca="false">IF(ISNUMBER(AD193),AD193*CZ193,0)</f>
        <v>150</v>
      </c>
      <c r="EQ193" s="28" t="n">
        <f aca="false">IF(ISNUMBER(AH193),AH193*DA193,0)</f>
        <v>126.666666666667</v>
      </c>
      <c r="ER193" s="28" t="n">
        <f aca="false">IF(ISNUMBER(AL193),AL193*DB193,0)</f>
        <v>83.3333333333333</v>
      </c>
      <c r="ES193" s="28" t="n">
        <f aca="false">IF(ISNUMBER(AP193),AP193*DC193,0)</f>
        <v>0</v>
      </c>
      <c r="ET193" s="28" t="n">
        <f aca="false">IF(ISNUMBER(AT193),AT193*DD193,0)</f>
        <v>0</v>
      </c>
      <c r="EU193" s="28" t="n">
        <f aca="false">IF(ISNUMBER(AX193),AX193*DE193,0)</f>
        <v>0</v>
      </c>
      <c r="EV193" s="28" t="n">
        <f aca="false">IF(ISNUMBER(BB193),BB193*DF193,0)</f>
        <v>0</v>
      </c>
      <c r="EW193" s="28" t="n">
        <f aca="false">IF(ISNUMBER(BF193),BF193*DG193,0)</f>
        <v>0</v>
      </c>
      <c r="EX193" s="28" t="n">
        <f aca="false">IF(ISNUMBER(BJ193),BJ193*DH193,0)</f>
        <v>0</v>
      </c>
      <c r="EY193" s="28" t="n">
        <f aca="false">IF(ISNUMBER(BN193),BN193*DI193,0)</f>
        <v>0</v>
      </c>
      <c r="EZ193" s="28" t="n">
        <f aca="false">IF(ISNUMBER(BR193),BR193*DJ193,0)</f>
        <v>0</v>
      </c>
      <c r="FA193" s="28" t="n">
        <f aca="false">IF(ISNUMBER(R193),CW193,0)</f>
        <v>1</v>
      </c>
      <c r="FB193" s="28" t="n">
        <f aca="false">IF(ISNUMBER(V193),CX193,0)</f>
        <v>1</v>
      </c>
      <c r="FC193" s="28" t="n">
        <f aca="false">IF(ISNUMBER(Z193),CY193,0)</f>
        <v>1</v>
      </c>
      <c r="FD193" s="28" t="n">
        <f aca="false">IF(ISNUMBER(AD193),CZ193,0)</f>
        <v>2</v>
      </c>
      <c r="FE193" s="28" t="n">
        <f aca="false">IF(ISNUMBER(AH193),DA193,0)</f>
        <v>2</v>
      </c>
      <c r="FF193" s="28" t="n">
        <f aca="false">IF(ISNUMBER(AL193),DB193,0)</f>
        <v>1</v>
      </c>
      <c r="FG193" s="28" t="n">
        <f aca="false">IF(ISNUMBER(AP193),DC193,0)</f>
        <v>0</v>
      </c>
      <c r="FH193" s="28" t="n">
        <f aca="false">IF(ISNUMBER(AT193),DD193,0)</f>
        <v>0</v>
      </c>
      <c r="FI193" s="28" t="n">
        <f aca="false">IF(ISNUMBER(AX193),DE193,0)</f>
        <v>0</v>
      </c>
      <c r="FJ193" s="28" t="n">
        <f aca="false">IF(ISNUMBER(BB193),DF193,0)</f>
        <v>0</v>
      </c>
      <c r="FK193" s="28" t="n">
        <f aca="false">IF(ISNUMBER(BF193),DG193,0)</f>
        <v>0</v>
      </c>
      <c r="FL193" s="28" t="n">
        <f aca="false">IF(ISNUMBER(BJ193),DH193,0)</f>
        <v>0</v>
      </c>
      <c r="FM193" s="28" t="n">
        <f aca="false">IF(ISNUMBER(BN193),DI193,0)</f>
        <v>0</v>
      </c>
      <c r="FN193" s="28" t="n">
        <f aca="false">IF(ISNUMBER(BR193),DJ193,0)</f>
        <v>0</v>
      </c>
      <c r="FO193" s="28" t="str">
        <f aca="false">IFERROR(INDEX(Lists!$G$2:$G$20,MATCH($I193&amp;"|"&amp;$J193,Lists!$F$2:$F$20,0)),"")</f>
        <v>Hist Overall SL</v>
      </c>
    </row>
    <row r="194" customFormat="false" ht="19.5" hidden="false" customHeight="true" outlineLevel="0" collapsed="false">
      <c r="A194" s="29" t="s">
        <v>305</v>
      </c>
      <c r="B194" s="29" t="s">
        <v>306</v>
      </c>
      <c r="C194" s="30" t="s">
        <v>152</v>
      </c>
      <c r="D194" s="30" t="s">
        <v>422</v>
      </c>
      <c r="E194" s="31" t="n">
        <v>6.2</v>
      </c>
      <c r="F194" s="30" t="n">
        <v>7</v>
      </c>
      <c r="G194" s="30"/>
      <c r="H194" s="32" t="s">
        <v>23</v>
      </c>
      <c r="I194" s="33" t="s">
        <v>416</v>
      </c>
      <c r="J194" s="32" t="s">
        <v>223</v>
      </c>
      <c r="K194" s="34" t="n">
        <f aca="false">IF(OR(M194="",$E194=""),"",M194-$E194)</f>
        <v>-0.2</v>
      </c>
      <c r="L194" s="35" t="n">
        <f aca="false">IF(SUM(FA194:FN194)=0,"",SUM(EM194:EZ194)/SUM(FA194:FN194))</f>
        <v>75.7291666666667</v>
      </c>
      <c r="M194" s="36" t="n">
        <f aca="false">IF(OR(L194="",FO194=""),"",IFERROR(MATCH(L194,INDEX(Boundaries!$B$2:$I$30,MATCH(FO194,Boundaries!$A$2:$A$30,0),0),1)-1,""))</f>
        <v>6</v>
      </c>
      <c r="N194" s="37" t="n">
        <f aca="false">IF(COUNT($DY194:$EL194)&lt;2,"",INDEX($DK194:$DX194,MAX($DY194:$EL194))-INDEX($DK194:$DX194,MIN($DY194:$EL194)))</f>
        <v>0</v>
      </c>
      <c r="O194" s="37" t="n">
        <f aca="false">IF(COUNT($DY194:$EL194)&lt;2,"",INDEX($DK194:$DX194,MAX($DY194:$EL194))-INDEX($DK194:$DX194,LARGE($DY194:$EL194,2)))</f>
        <v>0</v>
      </c>
      <c r="P194" s="38" t="str">
        <f aca="false">IF(K194="","",IF(K194&gt;=0,"On/above target",IF(AND(N194&lt;&gt;"",N194&gt;=0.5),"Improving towards target",IF(AND(O194&lt;&gt;"",O194&lt;=-0.5),"Declining","Stable below target"))))</f>
        <v>Stable below target</v>
      </c>
      <c r="Q194" s="39" t="n">
        <v>17</v>
      </c>
      <c r="R194" s="40" t="n">
        <f aca="false">IF(OR(Q194="",BU194=""),"",Q194/BU194*100)</f>
        <v>70.8333333333333</v>
      </c>
      <c r="S194" s="41" t="n">
        <f aca="false">IF(R194="","",IFERROR(MATCH(R194,INDEX(Boundaries!$B$2:$I$30,MATCH(CI194,Boundaries!$A$2:$A$30,0),0),1)-1,""))</f>
        <v>6</v>
      </c>
      <c r="T194" s="42" t="n">
        <f aca="false">IF(OR(S194="",$E194=""),"",S194-$E194)</f>
        <v>-0.2</v>
      </c>
      <c r="U194" s="39" t="n">
        <v>20</v>
      </c>
      <c r="V194" s="40" t="n">
        <f aca="false">IF(OR(U194="",BV194=""),"",U194/BV194*100)</f>
        <v>83.3333333333333</v>
      </c>
      <c r="W194" s="41" t="n">
        <f aca="false">IF(V194="","",IFERROR(MATCH(V194,INDEX(Boundaries!$B$2:$I$30,MATCH(CJ194,Boundaries!$A$2:$A$30,0),0),1)-1,""))</f>
        <v>7</v>
      </c>
      <c r="X194" s="42" t="n">
        <f aca="false">IF(OR(W194="",$E194=""),"",W194-$E194)</f>
        <v>0.8</v>
      </c>
      <c r="Y194" s="39" t="n">
        <v>11</v>
      </c>
      <c r="Z194" s="40" t="n">
        <f aca="false">IF(OR(Y194="",BW194=""),"",Y194/BW194*100)</f>
        <v>73.3333333333333</v>
      </c>
      <c r="AA194" s="41" t="n">
        <f aca="false">IF(Z194="","",IFERROR(MATCH(Z194,INDEX(Boundaries!$B$2:$I$30,MATCH(CK194,Boundaries!$A$2:$A$30,0),0),1)-1,""))</f>
        <v>6</v>
      </c>
      <c r="AB194" s="42" t="n">
        <f aca="false">IF(OR(AA194="",$E194=""),"",AA194-$E194)</f>
        <v>-0.2</v>
      </c>
      <c r="AC194" s="39" t="n">
        <v>18</v>
      </c>
      <c r="AD194" s="40" t="n">
        <f aca="false">IF(OR(AC194="",BX194=""),"",AC194/BX194*100)</f>
        <v>75</v>
      </c>
      <c r="AE194" s="41" t="n">
        <f aca="false">IF(AD194="","",IFERROR(MATCH(AD194,INDEX(Boundaries!$B$2:$I$30,MATCH(CL194,Boundaries!$A$2:$A$30,0),0),1)-1,""))</f>
        <v>6</v>
      </c>
      <c r="AF194" s="42" t="n">
        <f aca="false">IF(OR(AE194="",$E194=""),"",AE194-$E194)</f>
        <v>-0.2</v>
      </c>
      <c r="AG194" s="39" t="n">
        <v>23</v>
      </c>
      <c r="AH194" s="40" t="n">
        <f aca="false">IF(OR(AG194="",BY194=""),"",AG194/BY194*100)</f>
        <v>76.6666666666667</v>
      </c>
      <c r="AI194" s="41" t="n">
        <f aca="false">IF(AH194="","",IFERROR(MATCH(AH194,INDEX(Boundaries!$B$2:$I$30,MATCH(CM194,Boundaries!$A$2:$A$30,0),0),1)-1,""))</f>
        <v>6</v>
      </c>
      <c r="AJ194" s="42" t="n">
        <f aca="false">IF(OR(AI194="",$E194=""),"",AI194-$E194)</f>
        <v>-0.2</v>
      </c>
      <c r="AK194" s="39" t="n">
        <v>18</v>
      </c>
      <c r="AL194" s="40" t="n">
        <f aca="false">IF(OR(AK194="",BZ194=""),"",AK194/BZ194*100)</f>
        <v>75</v>
      </c>
      <c r="AM194" s="41" t="n">
        <f aca="false">IF(AL194="","",IFERROR(MATCH(AL194,INDEX(Boundaries!$B$2:$I$30,MATCH(CN194,Boundaries!$A$2:$A$30,0),0),1)-1,""))</f>
        <v>6</v>
      </c>
      <c r="AN194" s="42" t="n">
        <f aca="false">IF(OR(AM194="",$E194=""),"",AM194-$E194)</f>
        <v>-0.2</v>
      </c>
      <c r="AO194" s="39"/>
      <c r="AP194" s="40" t="str">
        <f aca="false">IF(OR(AO194="",CA194=""),"",AO194/CA194*100)</f>
        <v/>
      </c>
      <c r="AQ194" s="41" t="str">
        <f aca="false">IF(AP194="","",IFERROR(MATCH(AP194,INDEX(Boundaries!$B$2:$I$30,MATCH(CO194,Boundaries!$A$2:$A$30,0),0),1)-1,""))</f>
        <v/>
      </c>
      <c r="AR194" s="42" t="str">
        <f aca="false">IF(OR(AQ194="",$E194=""),"",AQ194-$E194)</f>
        <v/>
      </c>
      <c r="AS194" s="39"/>
      <c r="AT194" s="40" t="str">
        <f aca="false">IF(OR(AS194="",CB194=""),"",AS194/CB194*100)</f>
        <v/>
      </c>
      <c r="AU194" s="41" t="str">
        <f aca="false">IF(AT194="","",IFERROR(MATCH(AT194,INDEX(Boundaries!$B$2:$I$30,MATCH(CP194,Boundaries!$A$2:$A$30,0),0),1)-1,""))</f>
        <v/>
      </c>
      <c r="AV194" s="42" t="str">
        <f aca="false">IF(OR(AU194="",$E194=""),"",AU194-$E194)</f>
        <v/>
      </c>
      <c r="AW194" s="39"/>
      <c r="AX194" s="40" t="str">
        <f aca="false">IF(OR(AW194="",CC194=""),"",AW194/CC194*100)</f>
        <v/>
      </c>
      <c r="AY194" s="41" t="str">
        <f aca="false">IF(AX194="","",IFERROR(MATCH(AX194,INDEX(Boundaries!$B$2:$I$30,MATCH(CQ194,Boundaries!$A$2:$A$30,0),0),1)-1,""))</f>
        <v/>
      </c>
      <c r="AZ194" s="42" t="str">
        <f aca="false">IF(OR(AY194="",$E194=""),"",AY194-$E194)</f>
        <v/>
      </c>
      <c r="BA194" s="39"/>
      <c r="BB194" s="40" t="str">
        <f aca="false">IF(OR(BA194="",CD194=""),"",BA194/CD194*100)</f>
        <v/>
      </c>
      <c r="BC194" s="41" t="str">
        <f aca="false">IF(BB194="","",IFERROR(MATCH(BB194,INDEX(Boundaries!$B$2:$I$30,MATCH(CR194,Boundaries!$A$2:$A$30,0),0),1)-1,""))</f>
        <v/>
      </c>
      <c r="BD194" s="42" t="str">
        <f aca="false">IF(OR(BC194="",$E194=""),"",BC194-$E194)</f>
        <v/>
      </c>
      <c r="BE194" s="39"/>
      <c r="BF194" s="40" t="str">
        <f aca="false">IF(OR(BE194="",CE194=""),"",BE194/CE194*100)</f>
        <v/>
      </c>
      <c r="BG194" s="41" t="str">
        <f aca="false">IF(BF194="","",IFERROR(MATCH(BF194,INDEX(Boundaries!$B$2:$I$30,MATCH(CS194,Boundaries!$A$2:$A$30,0),0),1)-1,""))</f>
        <v/>
      </c>
      <c r="BH194" s="42" t="str">
        <f aca="false">IF(OR(BG194="",$E194=""),"",BG194-$E194)</f>
        <v/>
      </c>
      <c r="BI194" s="39"/>
      <c r="BJ194" s="40" t="str">
        <f aca="false">IF(OR(BI194="",CF194=""),"",BI194/CF194*100)</f>
        <v/>
      </c>
      <c r="BK194" s="41" t="str">
        <f aca="false">IF(BJ194="","",IFERROR(MATCH(BJ194,INDEX(Boundaries!$B$2:$I$30,MATCH(CT194,Boundaries!$A$2:$A$30,0),0),1)-1,""))</f>
        <v/>
      </c>
      <c r="BL194" s="42" t="str">
        <f aca="false">IF(OR(BK194="",$E194=""),"",BK194-$E194)</f>
        <v/>
      </c>
      <c r="BM194" s="39"/>
      <c r="BN194" s="40" t="str">
        <f aca="false">IF(OR(BM194="",CG194=""),"",BM194/CG194*100)</f>
        <v/>
      </c>
      <c r="BO194" s="41" t="str">
        <f aca="false">IF(BN194="","",IFERROR(MATCH(BN194,INDEX(Boundaries!$B$2:$I$30,MATCH(CU194,Boundaries!$A$2:$A$30,0),0),1)-1,""))</f>
        <v/>
      </c>
      <c r="BP194" s="42" t="str">
        <f aca="false">IF(OR(BO194="",$E194=""),"",BO194-$E194)</f>
        <v/>
      </c>
      <c r="BQ194" s="39"/>
      <c r="BR194" s="40" t="str">
        <f aca="false">IF(OR(BQ194="",CH194=""),"",BQ194/CH194*100)</f>
        <v/>
      </c>
      <c r="BS194" s="41" t="str">
        <f aca="false">IF(BR194="","",IFERROR(MATCH(BR194,INDEX(Boundaries!$B$2:$I$30,MATCH(CV194,Boundaries!$A$2:$A$30,0),0),1)-1,""))</f>
        <v/>
      </c>
      <c r="BT194" s="42" t="str">
        <f aca="false">IF(OR(BS194="",$E194=""),"",BS194-$E194)</f>
        <v/>
      </c>
      <c r="BU194" s="28" t="n">
        <f aca="false">IFERROR(INDEX(Assessments!$H$2:$H$600,MATCH($H194&amp;"|"&amp;$I194&amp;"|"&amp;$J194&amp;"|"&amp;1,Assessments!$A$2:$A$600,0)),"")</f>
        <v>24</v>
      </c>
      <c r="BV194" s="28" t="n">
        <f aca="false">IFERROR(INDEX(Assessments!$H$2:$H$600,MATCH($H194&amp;"|"&amp;$I194&amp;"|"&amp;$J194&amp;"|"&amp;2,Assessments!$A$2:$A$600,0)),"")</f>
        <v>24</v>
      </c>
      <c r="BW194" s="28" t="n">
        <f aca="false">IFERROR(INDEX(Assessments!$H$2:$H$600,MATCH($H194&amp;"|"&amp;$I194&amp;"|"&amp;$J194&amp;"|"&amp;3,Assessments!$A$2:$A$600,0)),"")</f>
        <v>15</v>
      </c>
      <c r="BX194" s="28" t="n">
        <f aca="false">IFERROR(INDEX(Assessments!$H$2:$H$600,MATCH($H194&amp;"|"&amp;$I194&amp;"|"&amp;$J194&amp;"|"&amp;4,Assessments!$A$2:$A$600,0)),"")</f>
        <v>24</v>
      </c>
      <c r="BY194" s="28" t="n">
        <f aca="false">IFERROR(INDEX(Assessments!$H$2:$H$600,MATCH($H194&amp;"|"&amp;$I194&amp;"|"&amp;$J194&amp;"|"&amp;5,Assessments!$A$2:$A$600,0)),"")</f>
        <v>30</v>
      </c>
      <c r="BZ194" s="28" t="n">
        <f aca="false">IFERROR(INDEX(Assessments!$H$2:$H$600,MATCH($H194&amp;"|"&amp;$I194&amp;"|"&amp;$J194&amp;"|"&amp;6,Assessments!$A$2:$A$600,0)),"")</f>
        <v>24</v>
      </c>
      <c r="CA194" s="28" t="n">
        <f aca="false">IFERROR(INDEX(Assessments!$H$2:$H$600,MATCH($H194&amp;"|"&amp;$I194&amp;"|"&amp;$J194&amp;"|"&amp;7,Assessments!$A$2:$A$600,0)),"")</f>
        <v>15</v>
      </c>
      <c r="CB194" s="28" t="n">
        <f aca="false">IFERROR(INDEX(Assessments!$H$2:$H$600,MATCH($H194&amp;"|"&amp;$I194&amp;"|"&amp;$J194&amp;"|"&amp;8,Assessments!$A$2:$A$600,0)),"")</f>
        <v>15</v>
      </c>
      <c r="CC194" s="28" t="str">
        <f aca="false">IFERROR(INDEX(Assessments!$H$2:$H$600,MATCH($H194&amp;"|"&amp;$I194&amp;"|"&amp;$J194&amp;"|"&amp;9,Assessments!$A$2:$A$600,0)),"")</f>
        <v/>
      </c>
      <c r="CD194" s="28" t="str">
        <f aca="false">IFERROR(INDEX(Assessments!$H$2:$H$600,MATCH($H194&amp;"|"&amp;$I194&amp;"|"&amp;$J194&amp;"|"&amp;10,Assessments!$A$2:$A$600,0)),"")</f>
        <v/>
      </c>
      <c r="CE194" s="28" t="str">
        <f aca="false">IFERROR(INDEX(Assessments!$H$2:$H$600,MATCH($H194&amp;"|"&amp;$I194&amp;"|"&amp;$J194&amp;"|"&amp;11,Assessments!$A$2:$A$600,0)),"")</f>
        <v/>
      </c>
      <c r="CF194" s="28" t="str">
        <f aca="false">IFERROR(INDEX(Assessments!$H$2:$H$600,MATCH($H194&amp;"|"&amp;$I194&amp;"|"&amp;$J194&amp;"|"&amp;12,Assessments!$A$2:$A$600,0)),"")</f>
        <v/>
      </c>
      <c r="CG194" s="28" t="str">
        <f aca="false">IFERROR(INDEX(Assessments!$H$2:$H$600,MATCH($H194&amp;"|"&amp;$I194&amp;"|"&amp;$J194&amp;"|"&amp;13,Assessments!$A$2:$A$600,0)),"")</f>
        <v/>
      </c>
      <c r="CH194" s="28" t="str">
        <f aca="false">IFERROR(INDEX(Assessments!$H$2:$H$600,MATCH($H194&amp;"|"&amp;$I194&amp;"|"&amp;$J194&amp;"|"&amp;14,Assessments!$A$2:$A$600,0)),"")</f>
        <v/>
      </c>
      <c r="CI194" s="28" t="str">
        <f aca="false">IFERROR(INDEX(Assessments!$I$2:$I$600,MATCH($H194&amp;"|"&amp;$I194&amp;"|"&amp;$J194&amp;"|"&amp;1,Assessments!$A$2:$A$600,0)),"")</f>
        <v>Hist Paper 1</v>
      </c>
      <c r="CJ194" s="28" t="str">
        <f aca="false">IFERROR(INDEX(Assessments!$I$2:$I$600,MATCH($H194&amp;"|"&amp;$I194&amp;"|"&amp;$J194&amp;"|"&amp;2,Assessments!$A$2:$A$600,0)),"")</f>
        <v>Hist Paper 1</v>
      </c>
      <c r="CK194" s="28" t="str">
        <f aca="false">IFERROR(INDEX(Assessments!$I$2:$I$600,MATCH($H194&amp;"|"&amp;$I194&amp;"|"&amp;$J194&amp;"|"&amp;3,Assessments!$A$2:$A$600,0)),"")</f>
        <v>Hist P2 partial</v>
      </c>
      <c r="CL194" s="28" t="str">
        <f aca="false">IFERROR(INDEX(Assessments!$I$2:$I$600,MATCH($H194&amp;"|"&amp;$I194&amp;"|"&amp;$J194&amp;"|"&amp;4,Assessments!$A$2:$A$600,0)),"")</f>
        <v>Hist Paper 1</v>
      </c>
      <c r="CM194" s="28" t="str">
        <f aca="false">IFERROR(INDEX(Assessments!$I$2:$I$600,MATCH($H194&amp;"|"&amp;$I194&amp;"|"&amp;$J194&amp;"|"&amp;5,Assessments!$A$2:$A$600,0)),"")</f>
        <v>Hist P2 full</v>
      </c>
      <c r="CN194" s="28" t="str">
        <f aca="false">IFERROR(INDEX(Assessments!$I$2:$I$600,MATCH($H194&amp;"|"&amp;$I194&amp;"|"&amp;$J194&amp;"|"&amp;6,Assessments!$A$2:$A$600,0)),"")</f>
        <v>Hist Paper 1</v>
      </c>
      <c r="CO194" s="28" t="str">
        <f aca="false">IFERROR(INDEX(Assessments!$I$2:$I$600,MATCH($H194&amp;"|"&amp;$I194&amp;"|"&amp;$J194&amp;"|"&amp;7,Assessments!$A$2:$A$600,0)),"")</f>
        <v>Hist P2 partial</v>
      </c>
      <c r="CP194" s="28" t="str">
        <f aca="false">IFERROR(INDEX(Assessments!$I$2:$I$600,MATCH($H194&amp;"|"&amp;$I194&amp;"|"&amp;$J194&amp;"|"&amp;8,Assessments!$A$2:$A$600,0)),"")</f>
        <v>Hist P3 essay</v>
      </c>
      <c r="CQ194" s="28" t="str">
        <f aca="false">IFERROR(INDEX(Assessments!$I$2:$I$600,MATCH($H194&amp;"|"&amp;$I194&amp;"|"&amp;$J194&amp;"|"&amp;9,Assessments!$A$2:$A$600,0)),"")</f>
        <v/>
      </c>
      <c r="CR194" s="28" t="str">
        <f aca="false">IFERROR(INDEX(Assessments!$I$2:$I$600,MATCH($H194&amp;"|"&amp;$I194&amp;"|"&amp;$J194&amp;"|"&amp;10,Assessments!$A$2:$A$600,0)),"")</f>
        <v/>
      </c>
      <c r="CS194" s="28" t="str">
        <f aca="false">IFERROR(INDEX(Assessments!$I$2:$I$600,MATCH($H194&amp;"|"&amp;$I194&amp;"|"&amp;$J194&amp;"|"&amp;11,Assessments!$A$2:$A$600,0)),"")</f>
        <v/>
      </c>
      <c r="CT194" s="28" t="str">
        <f aca="false">IFERROR(INDEX(Assessments!$I$2:$I$600,MATCH($H194&amp;"|"&amp;$I194&amp;"|"&amp;$J194&amp;"|"&amp;12,Assessments!$A$2:$A$600,0)),"")</f>
        <v/>
      </c>
      <c r="CU194" s="28" t="str">
        <f aca="false">IFERROR(INDEX(Assessments!$I$2:$I$600,MATCH($H194&amp;"|"&amp;$I194&amp;"|"&amp;$J194&amp;"|"&amp;13,Assessments!$A$2:$A$600,0)),"")</f>
        <v/>
      </c>
      <c r="CV194" s="28" t="str">
        <f aca="false">IFERROR(INDEX(Assessments!$I$2:$I$600,MATCH($H194&amp;"|"&amp;$I194&amp;"|"&amp;$J194&amp;"|"&amp;14,Assessments!$A$2:$A$600,0)),"")</f>
        <v/>
      </c>
      <c r="CW194" s="28" t="n">
        <f aca="false">IFERROR(INDEX(Assessments!$J$2:$J$600,MATCH($H194&amp;"|"&amp;$I194&amp;"|"&amp;$J194&amp;"|"&amp;1,Assessments!$A$2:$A$600,0)),0)</f>
        <v>1</v>
      </c>
      <c r="CX194" s="28" t="n">
        <f aca="false">IFERROR(INDEX(Assessments!$J$2:$J$600,MATCH($H194&amp;"|"&amp;$I194&amp;"|"&amp;$J194&amp;"|"&amp;2,Assessments!$A$2:$A$600,0)),0)</f>
        <v>1</v>
      </c>
      <c r="CY194" s="28" t="n">
        <f aca="false">IFERROR(INDEX(Assessments!$J$2:$J$600,MATCH($H194&amp;"|"&amp;$I194&amp;"|"&amp;$J194&amp;"|"&amp;3,Assessments!$A$2:$A$600,0)),0)</f>
        <v>1</v>
      </c>
      <c r="CZ194" s="28" t="n">
        <f aca="false">IFERROR(INDEX(Assessments!$J$2:$J$600,MATCH($H194&amp;"|"&amp;$I194&amp;"|"&amp;$J194&amp;"|"&amp;4,Assessments!$A$2:$A$600,0)),0)</f>
        <v>2</v>
      </c>
      <c r="DA194" s="28" t="n">
        <f aca="false">IFERROR(INDEX(Assessments!$J$2:$J$600,MATCH($H194&amp;"|"&amp;$I194&amp;"|"&amp;$J194&amp;"|"&amp;5,Assessments!$A$2:$A$600,0)),0)</f>
        <v>2</v>
      </c>
      <c r="DB194" s="28" t="n">
        <f aca="false">IFERROR(INDEX(Assessments!$J$2:$J$600,MATCH($H194&amp;"|"&amp;$I194&amp;"|"&amp;$J194&amp;"|"&amp;6,Assessments!$A$2:$A$600,0)),0)</f>
        <v>1</v>
      </c>
      <c r="DC194" s="28" t="n">
        <f aca="false">IFERROR(INDEX(Assessments!$J$2:$J$600,MATCH($H194&amp;"|"&amp;$I194&amp;"|"&amp;$J194&amp;"|"&amp;7,Assessments!$A$2:$A$600,0)),0)</f>
        <v>1</v>
      </c>
      <c r="DD194" s="28" t="n">
        <f aca="false">IFERROR(INDEX(Assessments!$J$2:$J$600,MATCH($H194&amp;"|"&amp;$I194&amp;"|"&amp;$J194&amp;"|"&amp;8,Assessments!$A$2:$A$600,0)),0)</f>
        <v>1</v>
      </c>
      <c r="DE194" s="28" t="n">
        <f aca="false">IFERROR(INDEX(Assessments!$J$2:$J$600,MATCH($H194&amp;"|"&amp;$I194&amp;"|"&amp;$J194&amp;"|"&amp;9,Assessments!$A$2:$A$600,0)),0)</f>
        <v>0</v>
      </c>
      <c r="DF194" s="28" t="n">
        <f aca="false">IFERROR(INDEX(Assessments!$J$2:$J$600,MATCH($H194&amp;"|"&amp;$I194&amp;"|"&amp;$J194&amp;"|"&amp;10,Assessments!$A$2:$A$600,0)),0)</f>
        <v>0</v>
      </c>
      <c r="DG194" s="28" t="n">
        <f aca="false">IFERROR(INDEX(Assessments!$J$2:$J$600,MATCH($H194&amp;"|"&amp;$I194&amp;"|"&amp;$J194&amp;"|"&amp;11,Assessments!$A$2:$A$600,0)),0)</f>
        <v>0</v>
      </c>
      <c r="DH194" s="28" t="n">
        <f aca="false">IFERROR(INDEX(Assessments!$J$2:$J$600,MATCH($H194&amp;"|"&amp;$I194&amp;"|"&amp;$J194&amp;"|"&amp;12,Assessments!$A$2:$A$600,0)),0)</f>
        <v>0</v>
      </c>
      <c r="DI194" s="28" t="n">
        <f aca="false">IFERROR(INDEX(Assessments!$J$2:$J$600,MATCH($H194&amp;"|"&amp;$I194&amp;"|"&amp;$J194&amp;"|"&amp;13,Assessments!$A$2:$A$600,0)),0)</f>
        <v>0</v>
      </c>
      <c r="DJ194" s="28" t="n">
        <f aca="false">IFERROR(INDEX(Assessments!$J$2:$J$600,MATCH($H194&amp;"|"&amp;$I194&amp;"|"&amp;$J194&amp;"|"&amp;14,Assessments!$A$2:$A$600,0)),0)</f>
        <v>0</v>
      </c>
      <c r="DK194" s="28" t="n">
        <f aca="false">S194</f>
        <v>6</v>
      </c>
      <c r="DL194" s="28" t="n">
        <f aca="false">W194</f>
        <v>7</v>
      </c>
      <c r="DM194" s="28" t="n">
        <f aca="false">AA194</f>
        <v>6</v>
      </c>
      <c r="DN194" s="28" t="n">
        <f aca="false">AE194</f>
        <v>6</v>
      </c>
      <c r="DO194" s="28" t="n">
        <f aca="false">AI194</f>
        <v>6</v>
      </c>
      <c r="DP194" s="28" t="n">
        <f aca="false">AM194</f>
        <v>6</v>
      </c>
      <c r="DQ194" s="28" t="str">
        <f aca="false">AQ194</f>
        <v/>
      </c>
      <c r="DR194" s="28" t="str">
        <f aca="false">AU194</f>
        <v/>
      </c>
      <c r="DS194" s="28" t="str">
        <f aca="false">AY194</f>
        <v/>
      </c>
      <c r="DT194" s="28" t="str">
        <f aca="false">BC194</f>
        <v/>
      </c>
      <c r="DU194" s="28" t="str">
        <f aca="false">BG194</f>
        <v/>
      </c>
      <c r="DV194" s="28" t="str">
        <f aca="false">BK194</f>
        <v/>
      </c>
      <c r="DW194" s="28" t="str">
        <f aca="false">BO194</f>
        <v/>
      </c>
      <c r="DX194" s="28" t="str">
        <f aca="false">BS194</f>
        <v/>
      </c>
      <c r="DY194" s="28" t="n">
        <f aca="false">IF(ISNUMBER(S194),1,"")</f>
        <v>1</v>
      </c>
      <c r="DZ194" s="28" t="n">
        <f aca="false">IF(ISNUMBER(W194),2,"")</f>
        <v>2</v>
      </c>
      <c r="EA194" s="28" t="n">
        <f aca="false">IF(ISNUMBER(AA194),3,"")</f>
        <v>3</v>
      </c>
      <c r="EB194" s="28" t="n">
        <f aca="false">IF(ISNUMBER(AE194),4,"")</f>
        <v>4</v>
      </c>
      <c r="EC194" s="28" t="n">
        <f aca="false">IF(ISNUMBER(AI194),5,"")</f>
        <v>5</v>
      </c>
      <c r="ED194" s="28" t="n">
        <f aca="false">IF(ISNUMBER(AM194),6,"")</f>
        <v>6</v>
      </c>
      <c r="EE194" s="28" t="str">
        <f aca="false">IF(ISNUMBER(AQ194),7,"")</f>
        <v/>
      </c>
      <c r="EF194" s="28" t="str">
        <f aca="false">IF(ISNUMBER(AU194),8,"")</f>
        <v/>
      </c>
      <c r="EG194" s="28" t="str">
        <f aca="false">IF(ISNUMBER(AY194),9,"")</f>
        <v/>
      </c>
      <c r="EH194" s="28" t="str">
        <f aca="false">IF(ISNUMBER(BC194),10,"")</f>
        <v/>
      </c>
      <c r="EI194" s="28" t="str">
        <f aca="false">IF(ISNUMBER(BG194),11,"")</f>
        <v/>
      </c>
      <c r="EJ194" s="28" t="str">
        <f aca="false">IF(ISNUMBER(BK194),12,"")</f>
        <v/>
      </c>
      <c r="EK194" s="28" t="str">
        <f aca="false">IF(ISNUMBER(BO194),13,"")</f>
        <v/>
      </c>
      <c r="EL194" s="28" t="str">
        <f aca="false">IF(ISNUMBER(BS194),14,"")</f>
        <v/>
      </c>
      <c r="EM194" s="28" t="n">
        <f aca="false">IF(ISNUMBER(R194),R194*CW194,0)</f>
        <v>70.8333333333333</v>
      </c>
      <c r="EN194" s="28" t="n">
        <f aca="false">IF(ISNUMBER(V194),V194*CX194,0)</f>
        <v>83.3333333333333</v>
      </c>
      <c r="EO194" s="28" t="n">
        <f aca="false">IF(ISNUMBER(Z194),Z194*CY194,0)</f>
        <v>73.3333333333333</v>
      </c>
      <c r="EP194" s="28" t="n">
        <f aca="false">IF(ISNUMBER(AD194),AD194*CZ194,0)</f>
        <v>150</v>
      </c>
      <c r="EQ194" s="28" t="n">
        <f aca="false">IF(ISNUMBER(AH194),AH194*DA194,0)</f>
        <v>153.333333333333</v>
      </c>
      <c r="ER194" s="28" t="n">
        <f aca="false">IF(ISNUMBER(AL194),AL194*DB194,0)</f>
        <v>75</v>
      </c>
      <c r="ES194" s="28" t="n">
        <f aca="false">IF(ISNUMBER(AP194),AP194*DC194,0)</f>
        <v>0</v>
      </c>
      <c r="ET194" s="28" t="n">
        <f aca="false">IF(ISNUMBER(AT194),AT194*DD194,0)</f>
        <v>0</v>
      </c>
      <c r="EU194" s="28" t="n">
        <f aca="false">IF(ISNUMBER(AX194),AX194*DE194,0)</f>
        <v>0</v>
      </c>
      <c r="EV194" s="28" t="n">
        <f aca="false">IF(ISNUMBER(BB194),BB194*DF194,0)</f>
        <v>0</v>
      </c>
      <c r="EW194" s="28" t="n">
        <f aca="false">IF(ISNUMBER(BF194),BF194*DG194,0)</f>
        <v>0</v>
      </c>
      <c r="EX194" s="28" t="n">
        <f aca="false">IF(ISNUMBER(BJ194),BJ194*DH194,0)</f>
        <v>0</v>
      </c>
      <c r="EY194" s="28" t="n">
        <f aca="false">IF(ISNUMBER(BN194),BN194*DI194,0)</f>
        <v>0</v>
      </c>
      <c r="EZ194" s="28" t="n">
        <f aca="false">IF(ISNUMBER(BR194),BR194*DJ194,0)</f>
        <v>0</v>
      </c>
      <c r="FA194" s="28" t="n">
        <f aca="false">IF(ISNUMBER(R194),CW194,0)</f>
        <v>1</v>
      </c>
      <c r="FB194" s="28" t="n">
        <f aca="false">IF(ISNUMBER(V194),CX194,0)</f>
        <v>1</v>
      </c>
      <c r="FC194" s="28" t="n">
        <f aca="false">IF(ISNUMBER(Z194),CY194,0)</f>
        <v>1</v>
      </c>
      <c r="FD194" s="28" t="n">
        <f aca="false">IF(ISNUMBER(AD194),CZ194,0)</f>
        <v>2</v>
      </c>
      <c r="FE194" s="28" t="n">
        <f aca="false">IF(ISNUMBER(AH194),DA194,0)</f>
        <v>2</v>
      </c>
      <c r="FF194" s="28" t="n">
        <f aca="false">IF(ISNUMBER(AL194),DB194,0)</f>
        <v>1</v>
      </c>
      <c r="FG194" s="28" t="n">
        <f aca="false">IF(ISNUMBER(AP194),DC194,0)</f>
        <v>0</v>
      </c>
      <c r="FH194" s="28" t="n">
        <f aca="false">IF(ISNUMBER(AT194),DD194,0)</f>
        <v>0</v>
      </c>
      <c r="FI194" s="28" t="n">
        <f aca="false">IF(ISNUMBER(AX194),DE194,0)</f>
        <v>0</v>
      </c>
      <c r="FJ194" s="28" t="n">
        <f aca="false">IF(ISNUMBER(BB194),DF194,0)</f>
        <v>0</v>
      </c>
      <c r="FK194" s="28" t="n">
        <f aca="false">IF(ISNUMBER(BF194),DG194,0)</f>
        <v>0</v>
      </c>
      <c r="FL194" s="28" t="n">
        <f aca="false">IF(ISNUMBER(BJ194),DH194,0)</f>
        <v>0</v>
      </c>
      <c r="FM194" s="28" t="n">
        <f aca="false">IF(ISNUMBER(BN194),DI194,0)</f>
        <v>0</v>
      </c>
      <c r="FN194" s="28" t="n">
        <f aca="false">IF(ISNUMBER(BR194),DJ194,0)</f>
        <v>0</v>
      </c>
      <c r="FO194" s="28" t="str">
        <f aca="false">IFERROR(INDEX(Lists!$G$2:$G$20,MATCH($I194&amp;"|"&amp;$J194,Lists!$F$2:$F$20,0)),"")</f>
        <v>Hist Overall SL</v>
      </c>
    </row>
    <row r="195" customFormat="false" ht="19.5" hidden="false" customHeight="true" outlineLevel="0" collapsed="false">
      <c r="A195" s="29" t="s">
        <v>423</v>
      </c>
      <c r="B195" s="29" t="s">
        <v>424</v>
      </c>
      <c r="C195" s="30" t="s">
        <v>152</v>
      </c>
      <c r="D195" s="30" t="s">
        <v>422</v>
      </c>
      <c r="E195" s="31" t="n">
        <v>5.6</v>
      </c>
      <c r="F195" s="30" t="n">
        <v>6</v>
      </c>
      <c r="G195" s="30"/>
      <c r="H195" s="32" t="s">
        <v>23</v>
      </c>
      <c r="I195" s="33" t="s">
        <v>416</v>
      </c>
      <c r="J195" s="32" t="s">
        <v>223</v>
      </c>
      <c r="K195" s="34" t="n">
        <f aca="false">IF(OR(M195="",$E195=""),"",M195-$E195)</f>
        <v>0.4</v>
      </c>
      <c r="L195" s="35" t="n">
        <f aca="false">IF(SUM(FA195:FN195)=0,"",SUM(EM195:EZ195)/SUM(FA195:FN195))</f>
        <v>67.0833333333333</v>
      </c>
      <c r="M195" s="36" t="n">
        <f aca="false">IF(OR(L195="",FO195=""),"",IFERROR(MATCH(L195,INDEX(Boundaries!$B$2:$I$30,MATCH(FO195,Boundaries!$A$2:$A$30,0),0),1)-1,""))</f>
        <v>6</v>
      </c>
      <c r="N195" s="37" t="n">
        <f aca="false">IF(COUNT($DY195:$EL195)&lt;2,"",INDEX($DK195:$DX195,MAX($DY195:$EL195))-INDEX($DK195:$DX195,MIN($DY195:$EL195)))</f>
        <v>0</v>
      </c>
      <c r="O195" s="37" t="n">
        <f aca="false">IF(COUNT($DY195:$EL195)&lt;2,"",INDEX($DK195:$DX195,MAX($DY195:$EL195))-INDEX($DK195:$DX195,LARGE($DY195:$EL195,2)))</f>
        <v>0</v>
      </c>
      <c r="P195" s="38" t="str">
        <f aca="false">IF(K195="","",IF(K195&gt;=0,"On/above target",IF(AND(N195&lt;&gt;"",N195&gt;=0.5),"Improving towards target",IF(AND(O195&lt;&gt;"",O195&lt;=-0.5),"Declining","Stable below target"))))</f>
        <v>On/above target</v>
      </c>
      <c r="Q195" s="39" t="n">
        <v>16</v>
      </c>
      <c r="R195" s="40" t="n">
        <f aca="false">IF(OR(Q195="",BU195=""),"",Q195/BU195*100)</f>
        <v>66.6666666666667</v>
      </c>
      <c r="S195" s="41" t="n">
        <f aca="false">IF(R195="","",IFERROR(MATCH(R195,INDEX(Boundaries!$B$2:$I$30,MATCH(CI195,Boundaries!$A$2:$A$30,0),0),1)-1,""))</f>
        <v>6</v>
      </c>
      <c r="T195" s="42" t="n">
        <f aca="false">IF(OR(S195="",$E195=""),"",S195-$E195)</f>
        <v>0.4</v>
      </c>
      <c r="U195" s="39" t="n">
        <v>14</v>
      </c>
      <c r="V195" s="40" t="n">
        <f aca="false">IF(OR(U195="",BV195=""),"",U195/BV195*100)</f>
        <v>58.3333333333333</v>
      </c>
      <c r="W195" s="41" t="n">
        <f aca="false">IF(V195="","",IFERROR(MATCH(V195,INDEX(Boundaries!$B$2:$I$30,MATCH(CJ195,Boundaries!$A$2:$A$30,0),0),1)-1,""))</f>
        <v>5</v>
      </c>
      <c r="X195" s="42" t="n">
        <f aca="false">IF(OR(W195="",$E195=""),"",W195-$E195)</f>
        <v>-0.6</v>
      </c>
      <c r="Y195" s="39" t="n">
        <v>9</v>
      </c>
      <c r="Z195" s="40" t="n">
        <f aca="false">IF(OR(Y195="",BW195=""),"",Y195/BW195*100)</f>
        <v>60</v>
      </c>
      <c r="AA195" s="41" t="n">
        <f aca="false">IF(Z195="","",IFERROR(MATCH(Z195,INDEX(Boundaries!$B$2:$I$30,MATCH(CK195,Boundaries!$A$2:$A$30,0),0),1)-1,""))</f>
        <v>5</v>
      </c>
      <c r="AB195" s="42" t="n">
        <f aca="false">IF(OR(AA195="",$E195=""),"",AA195-$E195)</f>
        <v>-0.6</v>
      </c>
      <c r="AC195" s="39" t="n">
        <v>18</v>
      </c>
      <c r="AD195" s="40" t="n">
        <f aca="false">IF(OR(AC195="",BX195=""),"",AC195/BX195*100)</f>
        <v>75</v>
      </c>
      <c r="AE195" s="41" t="n">
        <f aca="false">IF(AD195="","",IFERROR(MATCH(AD195,INDEX(Boundaries!$B$2:$I$30,MATCH(CL195,Boundaries!$A$2:$A$30,0),0),1)-1,""))</f>
        <v>6</v>
      </c>
      <c r="AF195" s="42" t="n">
        <f aca="false">IF(OR(AE195="",$E195=""),"",AE195-$E195)</f>
        <v>0.4</v>
      </c>
      <c r="AG195" s="39" t="n">
        <v>19</v>
      </c>
      <c r="AH195" s="40" t="n">
        <f aca="false">IF(OR(AG195="",BY195=""),"",AG195/BY195*100)</f>
        <v>63.3333333333333</v>
      </c>
      <c r="AI195" s="41" t="n">
        <f aca="false">IF(AH195="","",IFERROR(MATCH(AH195,INDEX(Boundaries!$B$2:$I$30,MATCH(CM195,Boundaries!$A$2:$A$30,0),0),1)-1,""))</f>
        <v>6</v>
      </c>
      <c r="AJ195" s="42" t="n">
        <f aca="false">IF(OR(AI195="",$E195=""),"",AI195-$E195)</f>
        <v>0.4</v>
      </c>
      <c r="AK195" s="39" t="n">
        <v>18</v>
      </c>
      <c r="AL195" s="40" t="n">
        <f aca="false">IF(OR(AK195="",BZ195=""),"",AK195/BZ195*100)</f>
        <v>75</v>
      </c>
      <c r="AM195" s="41" t="n">
        <f aca="false">IF(AL195="","",IFERROR(MATCH(AL195,INDEX(Boundaries!$B$2:$I$30,MATCH(CN195,Boundaries!$A$2:$A$30,0),0),1)-1,""))</f>
        <v>6</v>
      </c>
      <c r="AN195" s="42" t="n">
        <f aca="false">IF(OR(AM195="",$E195=""),"",AM195-$E195)</f>
        <v>0.4</v>
      </c>
      <c r="AO195" s="39"/>
      <c r="AP195" s="40" t="str">
        <f aca="false">IF(OR(AO195="",CA195=""),"",AO195/CA195*100)</f>
        <v/>
      </c>
      <c r="AQ195" s="41" t="str">
        <f aca="false">IF(AP195="","",IFERROR(MATCH(AP195,INDEX(Boundaries!$B$2:$I$30,MATCH(CO195,Boundaries!$A$2:$A$30,0),0),1)-1,""))</f>
        <v/>
      </c>
      <c r="AR195" s="42" t="str">
        <f aca="false">IF(OR(AQ195="",$E195=""),"",AQ195-$E195)</f>
        <v/>
      </c>
      <c r="AS195" s="39"/>
      <c r="AT195" s="40" t="str">
        <f aca="false">IF(OR(AS195="",CB195=""),"",AS195/CB195*100)</f>
        <v/>
      </c>
      <c r="AU195" s="41" t="str">
        <f aca="false">IF(AT195="","",IFERROR(MATCH(AT195,INDEX(Boundaries!$B$2:$I$30,MATCH(CP195,Boundaries!$A$2:$A$30,0),0),1)-1,""))</f>
        <v/>
      </c>
      <c r="AV195" s="42" t="str">
        <f aca="false">IF(OR(AU195="",$E195=""),"",AU195-$E195)</f>
        <v/>
      </c>
      <c r="AW195" s="39"/>
      <c r="AX195" s="40" t="str">
        <f aca="false">IF(OR(AW195="",CC195=""),"",AW195/CC195*100)</f>
        <v/>
      </c>
      <c r="AY195" s="41" t="str">
        <f aca="false">IF(AX195="","",IFERROR(MATCH(AX195,INDEX(Boundaries!$B$2:$I$30,MATCH(CQ195,Boundaries!$A$2:$A$30,0),0),1)-1,""))</f>
        <v/>
      </c>
      <c r="AZ195" s="42" t="str">
        <f aca="false">IF(OR(AY195="",$E195=""),"",AY195-$E195)</f>
        <v/>
      </c>
      <c r="BA195" s="39"/>
      <c r="BB195" s="40" t="str">
        <f aca="false">IF(OR(BA195="",CD195=""),"",BA195/CD195*100)</f>
        <v/>
      </c>
      <c r="BC195" s="41" t="str">
        <f aca="false">IF(BB195="","",IFERROR(MATCH(BB195,INDEX(Boundaries!$B$2:$I$30,MATCH(CR195,Boundaries!$A$2:$A$30,0),0),1)-1,""))</f>
        <v/>
      </c>
      <c r="BD195" s="42" t="str">
        <f aca="false">IF(OR(BC195="",$E195=""),"",BC195-$E195)</f>
        <v/>
      </c>
      <c r="BE195" s="39"/>
      <c r="BF195" s="40" t="str">
        <f aca="false">IF(OR(BE195="",CE195=""),"",BE195/CE195*100)</f>
        <v/>
      </c>
      <c r="BG195" s="41" t="str">
        <f aca="false">IF(BF195="","",IFERROR(MATCH(BF195,INDEX(Boundaries!$B$2:$I$30,MATCH(CS195,Boundaries!$A$2:$A$30,0),0),1)-1,""))</f>
        <v/>
      </c>
      <c r="BH195" s="42" t="str">
        <f aca="false">IF(OR(BG195="",$E195=""),"",BG195-$E195)</f>
        <v/>
      </c>
      <c r="BI195" s="39"/>
      <c r="BJ195" s="40" t="str">
        <f aca="false">IF(OR(BI195="",CF195=""),"",BI195/CF195*100)</f>
        <v/>
      </c>
      <c r="BK195" s="41" t="str">
        <f aca="false">IF(BJ195="","",IFERROR(MATCH(BJ195,INDEX(Boundaries!$B$2:$I$30,MATCH(CT195,Boundaries!$A$2:$A$30,0),0),1)-1,""))</f>
        <v/>
      </c>
      <c r="BL195" s="42" t="str">
        <f aca="false">IF(OR(BK195="",$E195=""),"",BK195-$E195)</f>
        <v/>
      </c>
      <c r="BM195" s="39"/>
      <c r="BN195" s="40" t="str">
        <f aca="false">IF(OR(BM195="",CG195=""),"",BM195/CG195*100)</f>
        <v/>
      </c>
      <c r="BO195" s="41" t="str">
        <f aca="false">IF(BN195="","",IFERROR(MATCH(BN195,INDEX(Boundaries!$B$2:$I$30,MATCH(CU195,Boundaries!$A$2:$A$30,0),0),1)-1,""))</f>
        <v/>
      </c>
      <c r="BP195" s="42" t="str">
        <f aca="false">IF(OR(BO195="",$E195=""),"",BO195-$E195)</f>
        <v/>
      </c>
      <c r="BQ195" s="39"/>
      <c r="BR195" s="40" t="str">
        <f aca="false">IF(OR(BQ195="",CH195=""),"",BQ195/CH195*100)</f>
        <v/>
      </c>
      <c r="BS195" s="41" t="str">
        <f aca="false">IF(BR195="","",IFERROR(MATCH(BR195,INDEX(Boundaries!$B$2:$I$30,MATCH(CV195,Boundaries!$A$2:$A$30,0),0),1)-1,""))</f>
        <v/>
      </c>
      <c r="BT195" s="42" t="str">
        <f aca="false">IF(OR(BS195="",$E195=""),"",BS195-$E195)</f>
        <v/>
      </c>
      <c r="BU195" s="28" t="n">
        <f aca="false">IFERROR(INDEX(Assessments!$H$2:$H$600,MATCH($H195&amp;"|"&amp;$I195&amp;"|"&amp;$J195&amp;"|"&amp;1,Assessments!$A$2:$A$600,0)),"")</f>
        <v>24</v>
      </c>
      <c r="BV195" s="28" t="n">
        <f aca="false">IFERROR(INDEX(Assessments!$H$2:$H$600,MATCH($H195&amp;"|"&amp;$I195&amp;"|"&amp;$J195&amp;"|"&amp;2,Assessments!$A$2:$A$600,0)),"")</f>
        <v>24</v>
      </c>
      <c r="BW195" s="28" t="n">
        <f aca="false">IFERROR(INDEX(Assessments!$H$2:$H$600,MATCH($H195&amp;"|"&amp;$I195&amp;"|"&amp;$J195&amp;"|"&amp;3,Assessments!$A$2:$A$600,0)),"")</f>
        <v>15</v>
      </c>
      <c r="BX195" s="28" t="n">
        <f aca="false">IFERROR(INDEX(Assessments!$H$2:$H$600,MATCH($H195&amp;"|"&amp;$I195&amp;"|"&amp;$J195&amp;"|"&amp;4,Assessments!$A$2:$A$600,0)),"")</f>
        <v>24</v>
      </c>
      <c r="BY195" s="28" t="n">
        <f aca="false">IFERROR(INDEX(Assessments!$H$2:$H$600,MATCH($H195&amp;"|"&amp;$I195&amp;"|"&amp;$J195&amp;"|"&amp;5,Assessments!$A$2:$A$600,0)),"")</f>
        <v>30</v>
      </c>
      <c r="BZ195" s="28" t="n">
        <f aca="false">IFERROR(INDEX(Assessments!$H$2:$H$600,MATCH($H195&amp;"|"&amp;$I195&amp;"|"&amp;$J195&amp;"|"&amp;6,Assessments!$A$2:$A$600,0)),"")</f>
        <v>24</v>
      </c>
      <c r="CA195" s="28" t="n">
        <f aca="false">IFERROR(INDEX(Assessments!$H$2:$H$600,MATCH($H195&amp;"|"&amp;$I195&amp;"|"&amp;$J195&amp;"|"&amp;7,Assessments!$A$2:$A$600,0)),"")</f>
        <v>15</v>
      </c>
      <c r="CB195" s="28" t="n">
        <f aca="false">IFERROR(INDEX(Assessments!$H$2:$H$600,MATCH($H195&amp;"|"&amp;$I195&amp;"|"&amp;$J195&amp;"|"&amp;8,Assessments!$A$2:$A$600,0)),"")</f>
        <v>15</v>
      </c>
      <c r="CC195" s="28" t="str">
        <f aca="false">IFERROR(INDEX(Assessments!$H$2:$H$600,MATCH($H195&amp;"|"&amp;$I195&amp;"|"&amp;$J195&amp;"|"&amp;9,Assessments!$A$2:$A$600,0)),"")</f>
        <v/>
      </c>
      <c r="CD195" s="28" t="str">
        <f aca="false">IFERROR(INDEX(Assessments!$H$2:$H$600,MATCH($H195&amp;"|"&amp;$I195&amp;"|"&amp;$J195&amp;"|"&amp;10,Assessments!$A$2:$A$600,0)),"")</f>
        <v/>
      </c>
      <c r="CE195" s="28" t="str">
        <f aca="false">IFERROR(INDEX(Assessments!$H$2:$H$600,MATCH($H195&amp;"|"&amp;$I195&amp;"|"&amp;$J195&amp;"|"&amp;11,Assessments!$A$2:$A$600,0)),"")</f>
        <v/>
      </c>
      <c r="CF195" s="28" t="str">
        <f aca="false">IFERROR(INDEX(Assessments!$H$2:$H$600,MATCH($H195&amp;"|"&amp;$I195&amp;"|"&amp;$J195&amp;"|"&amp;12,Assessments!$A$2:$A$600,0)),"")</f>
        <v/>
      </c>
      <c r="CG195" s="28" t="str">
        <f aca="false">IFERROR(INDEX(Assessments!$H$2:$H$600,MATCH($H195&amp;"|"&amp;$I195&amp;"|"&amp;$J195&amp;"|"&amp;13,Assessments!$A$2:$A$600,0)),"")</f>
        <v/>
      </c>
      <c r="CH195" s="28" t="str">
        <f aca="false">IFERROR(INDEX(Assessments!$H$2:$H$600,MATCH($H195&amp;"|"&amp;$I195&amp;"|"&amp;$J195&amp;"|"&amp;14,Assessments!$A$2:$A$600,0)),"")</f>
        <v/>
      </c>
      <c r="CI195" s="28" t="str">
        <f aca="false">IFERROR(INDEX(Assessments!$I$2:$I$600,MATCH($H195&amp;"|"&amp;$I195&amp;"|"&amp;$J195&amp;"|"&amp;1,Assessments!$A$2:$A$600,0)),"")</f>
        <v>Hist Paper 1</v>
      </c>
      <c r="CJ195" s="28" t="str">
        <f aca="false">IFERROR(INDEX(Assessments!$I$2:$I$600,MATCH($H195&amp;"|"&amp;$I195&amp;"|"&amp;$J195&amp;"|"&amp;2,Assessments!$A$2:$A$600,0)),"")</f>
        <v>Hist Paper 1</v>
      </c>
      <c r="CK195" s="28" t="str">
        <f aca="false">IFERROR(INDEX(Assessments!$I$2:$I$600,MATCH($H195&amp;"|"&amp;$I195&amp;"|"&amp;$J195&amp;"|"&amp;3,Assessments!$A$2:$A$600,0)),"")</f>
        <v>Hist P2 partial</v>
      </c>
      <c r="CL195" s="28" t="str">
        <f aca="false">IFERROR(INDEX(Assessments!$I$2:$I$600,MATCH($H195&amp;"|"&amp;$I195&amp;"|"&amp;$J195&amp;"|"&amp;4,Assessments!$A$2:$A$600,0)),"")</f>
        <v>Hist Paper 1</v>
      </c>
      <c r="CM195" s="28" t="str">
        <f aca="false">IFERROR(INDEX(Assessments!$I$2:$I$600,MATCH($H195&amp;"|"&amp;$I195&amp;"|"&amp;$J195&amp;"|"&amp;5,Assessments!$A$2:$A$600,0)),"")</f>
        <v>Hist P2 full</v>
      </c>
      <c r="CN195" s="28" t="str">
        <f aca="false">IFERROR(INDEX(Assessments!$I$2:$I$600,MATCH($H195&amp;"|"&amp;$I195&amp;"|"&amp;$J195&amp;"|"&amp;6,Assessments!$A$2:$A$600,0)),"")</f>
        <v>Hist Paper 1</v>
      </c>
      <c r="CO195" s="28" t="str">
        <f aca="false">IFERROR(INDEX(Assessments!$I$2:$I$600,MATCH($H195&amp;"|"&amp;$I195&amp;"|"&amp;$J195&amp;"|"&amp;7,Assessments!$A$2:$A$600,0)),"")</f>
        <v>Hist P2 partial</v>
      </c>
      <c r="CP195" s="28" t="str">
        <f aca="false">IFERROR(INDEX(Assessments!$I$2:$I$600,MATCH($H195&amp;"|"&amp;$I195&amp;"|"&amp;$J195&amp;"|"&amp;8,Assessments!$A$2:$A$600,0)),"")</f>
        <v>Hist P3 essay</v>
      </c>
      <c r="CQ195" s="28" t="str">
        <f aca="false">IFERROR(INDEX(Assessments!$I$2:$I$600,MATCH($H195&amp;"|"&amp;$I195&amp;"|"&amp;$J195&amp;"|"&amp;9,Assessments!$A$2:$A$600,0)),"")</f>
        <v/>
      </c>
      <c r="CR195" s="28" t="str">
        <f aca="false">IFERROR(INDEX(Assessments!$I$2:$I$600,MATCH($H195&amp;"|"&amp;$I195&amp;"|"&amp;$J195&amp;"|"&amp;10,Assessments!$A$2:$A$600,0)),"")</f>
        <v/>
      </c>
      <c r="CS195" s="28" t="str">
        <f aca="false">IFERROR(INDEX(Assessments!$I$2:$I$600,MATCH($H195&amp;"|"&amp;$I195&amp;"|"&amp;$J195&amp;"|"&amp;11,Assessments!$A$2:$A$600,0)),"")</f>
        <v/>
      </c>
      <c r="CT195" s="28" t="str">
        <f aca="false">IFERROR(INDEX(Assessments!$I$2:$I$600,MATCH($H195&amp;"|"&amp;$I195&amp;"|"&amp;$J195&amp;"|"&amp;12,Assessments!$A$2:$A$600,0)),"")</f>
        <v/>
      </c>
      <c r="CU195" s="28" t="str">
        <f aca="false">IFERROR(INDEX(Assessments!$I$2:$I$600,MATCH($H195&amp;"|"&amp;$I195&amp;"|"&amp;$J195&amp;"|"&amp;13,Assessments!$A$2:$A$600,0)),"")</f>
        <v/>
      </c>
      <c r="CV195" s="28" t="str">
        <f aca="false">IFERROR(INDEX(Assessments!$I$2:$I$600,MATCH($H195&amp;"|"&amp;$I195&amp;"|"&amp;$J195&amp;"|"&amp;14,Assessments!$A$2:$A$600,0)),"")</f>
        <v/>
      </c>
      <c r="CW195" s="28" t="n">
        <f aca="false">IFERROR(INDEX(Assessments!$J$2:$J$600,MATCH($H195&amp;"|"&amp;$I195&amp;"|"&amp;$J195&amp;"|"&amp;1,Assessments!$A$2:$A$600,0)),0)</f>
        <v>1</v>
      </c>
      <c r="CX195" s="28" t="n">
        <f aca="false">IFERROR(INDEX(Assessments!$J$2:$J$600,MATCH($H195&amp;"|"&amp;$I195&amp;"|"&amp;$J195&amp;"|"&amp;2,Assessments!$A$2:$A$600,0)),0)</f>
        <v>1</v>
      </c>
      <c r="CY195" s="28" t="n">
        <f aca="false">IFERROR(INDEX(Assessments!$J$2:$J$600,MATCH($H195&amp;"|"&amp;$I195&amp;"|"&amp;$J195&amp;"|"&amp;3,Assessments!$A$2:$A$600,0)),0)</f>
        <v>1</v>
      </c>
      <c r="CZ195" s="28" t="n">
        <f aca="false">IFERROR(INDEX(Assessments!$J$2:$J$600,MATCH($H195&amp;"|"&amp;$I195&amp;"|"&amp;$J195&amp;"|"&amp;4,Assessments!$A$2:$A$600,0)),0)</f>
        <v>2</v>
      </c>
      <c r="DA195" s="28" t="n">
        <f aca="false">IFERROR(INDEX(Assessments!$J$2:$J$600,MATCH($H195&amp;"|"&amp;$I195&amp;"|"&amp;$J195&amp;"|"&amp;5,Assessments!$A$2:$A$600,0)),0)</f>
        <v>2</v>
      </c>
      <c r="DB195" s="28" t="n">
        <f aca="false">IFERROR(INDEX(Assessments!$J$2:$J$600,MATCH($H195&amp;"|"&amp;$I195&amp;"|"&amp;$J195&amp;"|"&amp;6,Assessments!$A$2:$A$600,0)),0)</f>
        <v>1</v>
      </c>
      <c r="DC195" s="28" t="n">
        <f aca="false">IFERROR(INDEX(Assessments!$J$2:$J$600,MATCH($H195&amp;"|"&amp;$I195&amp;"|"&amp;$J195&amp;"|"&amp;7,Assessments!$A$2:$A$600,0)),0)</f>
        <v>1</v>
      </c>
      <c r="DD195" s="28" t="n">
        <f aca="false">IFERROR(INDEX(Assessments!$J$2:$J$600,MATCH($H195&amp;"|"&amp;$I195&amp;"|"&amp;$J195&amp;"|"&amp;8,Assessments!$A$2:$A$600,0)),0)</f>
        <v>1</v>
      </c>
      <c r="DE195" s="28" t="n">
        <f aca="false">IFERROR(INDEX(Assessments!$J$2:$J$600,MATCH($H195&amp;"|"&amp;$I195&amp;"|"&amp;$J195&amp;"|"&amp;9,Assessments!$A$2:$A$600,0)),0)</f>
        <v>0</v>
      </c>
      <c r="DF195" s="28" t="n">
        <f aca="false">IFERROR(INDEX(Assessments!$J$2:$J$600,MATCH($H195&amp;"|"&amp;$I195&amp;"|"&amp;$J195&amp;"|"&amp;10,Assessments!$A$2:$A$600,0)),0)</f>
        <v>0</v>
      </c>
      <c r="DG195" s="28" t="n">
        <f aca="false">IFERROR(INDEX(Assessments!$J$2:$J$600,MATCH($H195&amp;"|"&amp;$I195&amp;"|"&amp;$J195&amp;"|"&amp;11,Assessments!$A$2:$A$600,0)),0)</f>
        <v>0</v>
      </c>
      <c r="DH195" s="28" t="n">
        <f aca="false">IFERROR(INDEX(Assessments!$J$2:$J$600,MATCH($H195&amp;"|"&amp;$I195&amp;"|"&amp;$J195&amp;"|"&amp;12,Assessments!$A$2:$A$600,0)),0)</f>
        <v>0</v>
      </c>
      <c r="DI195" s="28" t="n">
        <f aca="false">IFERROR(INDEX(Assessments!$J$2:$J$600,MATCH($H195&amp;"|"&amp;$I195&amp;"|"&amp;$J195&amp;"|"&amp;13,Assessments!$A$2:$A$600,0)),0)</f>
        <v>0</v>
      </c>
      <c r="DJ195" s="28" t="n">
        <f aca="false">IFERROR(INDEX(Assessments!$J$2:$J$600,MATCH($H195&amp;"|"&amp;$I195&amp;"|"&amp;$J195&amp;"|"&amp;14,Assessments!$A$2:$A$600,0)),0)</f>
        <v>0</v>
      </c>
      <c r="DK195" s="28" t="n">
        <f aca="false">S195</f>
        <v>6</v>
      </c>
      <c r="DL195" s="28" t="n">
        <f aca="false">W195</f>
        <v>5</v>
      </c>
      <c r="DM195" s="28" t="n">
        <f aca="false">AA195</f>
        <v>5</v>
      </c>
      <c r="DN195" s="28" t="n">
        <f aca="false">AE195</f>
        <v>6</v>
      </c>
      <c r="DO195" s="28" t="n">
        <f aca="false">AI195</f>
        <v>6</v>
      </c>
      <c r="DP195" s="28" t="n">
        <f aca="false">AM195</f>
        <v>6</v>
      </c>
      <c r="DQ195" s="28" t="str">
        <f aca="false">AQ195</f>
        <v/>
      </c>
      <c r="DR195" s="28" t="str">
        <f aca="false">AU195</f>
        <v/>
      </c>
      <c r="DS195" s="28" t="str">
        <f aca="false">AY195</f>
        <v/>
      </c>
      <c r="DT195" s="28" t="str">
        <f aca="false">BC195</f>
        <v/>
      </c>
      <c r="DU195" s="28" t="str">
        <f aca="false">BG195</f>
        <v/>
      </c>
      <c r="DV195" s="28" t="str">
        <f aca="false">BK195</f>
        <v/>
      </c>
      <c r="DW195" s="28" t="str">
        <f aca="false">BO195</f>
        <v/>
      </c>
      <c r="DX195" s="28" t="str">
        <f aca="false">BS195</f>
        <v/>
      </c>
      <c r="DY195" s="28" t="n">
        <f aca="false">IF(ISNUMBER(S195),1,"")</f>
        <v>1</v>
      </c>
      <c r="DZ195" s="28" t="n">
        <f aca="false">IF(ISNUMBER(W195),2,"")</f>
        <v>2</v>
      </c>
      <c r="EA195" s="28" t="n">
        <f aca="false">IF(ISNUMBER(AA195),3,"")</f>
        <v>3</v>
      </c>
      <c r="EB195" s="28" t="n">
        <f aca="false">IF(ISNUMBER(AE195),4,"")</f>
        <v>4</v>
      </c>
      <c r="EC195" s="28" t="n">
        <f aca="false">IF(ISNUMBER(AI195),5,"")</f>
        <v>5</v>
      </c>
      <c r="ED195" s="28" t="n">
        <f aca="false">IF(ISNUMBER(AM195),6,"")</f>
        <v>6</v>
      </c>
      <c r="EE195" s="28" t="str">
        <f aca="false">IF(ISNUMBER(AQ195),7,"")</f>
        <v/>
      </c>
      <c r="EF195" s="28" t="str">
        <f aca="false">IF(ISNUMBER(AU195),8,"")</f>
        <v/>
      </c>
      <c r="EG195" s="28" t="str">
        <f aca="false">IF(ISNUMBER(AY195),9,"")</f>
        <v/>
      </c>
      <c r="EH195" s="28" t="str">
        <f aca="false">IF(ISNUMBER(BC195),10,"")</f>
        <v/>
      </c>
      <c r="EI195" s="28" t="str">
        <f aca="false">IF(ISNUMBER(BG195),11,"")</f>
        <v/>
      </c>
      <c r="EJ195" s="28" t="str">
        <f aca="false">IF(ISNUMBER(BK195),12,"")</f>
        <v/>
      </c>
      <c r="EK195" s="28" t="str">
        <f aca="false">IF(ISNUMBER(BO195),13,"")</f>
        <v/>
      </c>
      <c r="EL195" s="28" t="str">
        <f aca="false">IF(ISNUMBER(BS195),14,"")</f>
        <v/>
      </c>
      <c r="EM195" s="28" t="n">
        <f aca="false">IF(ISNUMBER(R195),R195*CW195,0)</f>
        <v>66.6666666666667</v>
      </c>
      <c r="EN195" s="28" t="n">
        <f aca="false">IF(ISNUMBER(V195),V195*CX195,0)</f>
        <v>58.3333333333333</v>
      </c>
      <c r="EO195" s="28" t="n">
        <f aca="false">IF(ISNUMBER(Z195),Z195*CY195,0)</f>
        <v>60</v>
      </c>
      <c r="EP195" s="28" t="n">
        <f aca="false">IF(ISNUMBER(AD195),AD195*CZ195,0)</f>
        <v>150</v>
      </c>
      <c r="EQ195" s="28" t="n">
        <f aca="false">IF(ISNUMBER(AH195),AH195*DA195,0)</f>
        <v>126.666666666667</v>
      </c>
      <c r="ER195" s="28" t="n">
        <f aca="false">IF(ISNUMBER(AL195),AL195*DB195,0)</f>
        <v>75</v>
      </c>
      <c r="ES195" s="28" t="n">
        <f aca="false">IF(ISNUMBER(AP195),AP195*DC195,0)</f>
        <v>0</v>
      </c>
      <c r="ET195" s="28" t="n">
        <f aca="false">IF(ISNUMBER(AT195),AT195*DD195,0)</f>
        <v>0</v>
      </c>
      <c r="EU195" s="28" t="n">
        <f aca="false">IF(ISNUMBER(AX195),AX195*DE195,0)</f>
        <v>0</v>
      </c>
      <c r="EV195" s="28" t="n">
        <f aca="false">IF(ISNUMBER(BB195),BB195*DF195,0)</f>
        <v>0</v>
      </c>
      <c r="EW195" s="28" t="n">
        <f aca="false">IF(ISNUMBER(BF195),BF195*DG195,0)</f>
        <v>0</v>
      </c>
      <c r="EX195" s="28" t="n">
        <f aca="false">IF(ISNUMBER(BJ195),BJ195*DH195,0)</f>
        <v>0</v>
      </c>
      <c r="EY195" s="28" t="n">
        <f aca="false">IF(ISNUMBER(BN195),BN195*DI195,0)</f>
        <v>0</v>
      </c>
      <c r="EZ195" s="28" t="n">
        <f aca="false">IF(ISNUMBER(BR195),BR195*DJ195,0)</f>
        <v>0</v>
      </c>
      <c r="FA195" s="28" t="n">
        <f aca="false">IF(ISNUMBER(R195),CW195,0)</f>
        <v>1</v>
      </c>
      <c r="FB195" s="28" t="n">
        <f aca="false">IF(ISNUMBER(V195),CX195,0)</f>
        <v>1</v>
      </c>
      <c r="FC195" s="28" t="n">
        <f aca="false">IF(ISNUMBER(Z195),CY195,0)</f>
        <v>1</v>
      </c>
      <c r="FD195" s="28" t="n">
        <f aca="false">IF(ISNUMBER(AD195),CZ195,0)</f>
        <v>2</v>
      </c>
      <c r="FE195" s="28" t="n">
        <f aca="false">IF(ISNUMBER(AH195),DA195,0)</f>
        <v>2</v>
      </c>
      <c r="FF195" s="28" t="n">
        <f aca="false">IF(ISNUMBER(AL195),DB195,0)</f>
        <v>1</v>
      </c>
      <c r="FG195" s="28" t="n">
        <f aca="false">IF(ISNUMBER(AP195),DC195,0)</f>
        <v>0</v>
      </c>
      <c r="FH195" s="28" t="n">
        <f aca="false">IF(ISNUMBER(AT195),DD195,0)</f>
        <v>0</v>
      </c>
      <c r="FI195" s="28" t="n">
        <f aca="false">IF(ISNUMBER(AX195),DE195,0)</f>
        <v>0</v>
      </c>
      <c r="FJ195" s="28" t="n">
        <f aca="false">IF(ISNUMBER(BB195),DF195,0)</f>
        <v>0</v>
      </c>
      <c r="FK195" s="28" t="n">
        <f aca="false">IF(ISNUMBER(BF195),DG195,0)</f>
        <v>0</v>
      </c>
      <c r="FL195" s="28" t="n">
        <f aca="false">IF(ISNUMBER(BJ195),DH195,0)</f>
        <v>0</v>
      </c>
      <c r="FM195" s="28" t="n">
        <f aca="false">IF(ISNUMBER(BN195),DI195,0)</f>
        <v>0</v>
      </c>
      <c r="FN195" s="28" t="n">
        <f aca="false">IF(ISNUMBER(BR195),DJ195,0)</f>
        <v>0</v>
      </c>
      <c r="FO195" s="28" t="str">
        <f aca="false">IFERROR(INDEX(Lists!$G$2:$G$20,MATCH($I195&amp;"|"&amp;$J195,Lists!$F$2:$F$20,0)),"")</f>
        <v>Hist Overall SL</v>
      </c>
    </row>
    <row r="196" customFormat="false" ht="19.5" hidden="false" customHeight="true" outlineLevel="0" collapsed="false">
      <c r="A196" s="29" t="s">
        <v>425</v>
      </c>
      <c r="B196" s="29" t="s">
        <v>426</v>
      </c>
      <c r="C196" s="30" t="s">
        <v>152</v>
      </c>
      <c r="D196" s="30" t="s">
        <v>427</v>
      </c>
      <c r="E196" s="31"/>
      <c r="F196" s="30" t="n">
        <v>7</v>
      </c>
      <c r="G196" s="30"/>
      <c r="H196" s="32" t="s">
        <v>428</v>
      </c>
      <c r="I196" s="33" t="s">
        <v>24</v>
      </c>
      <c r="J196" s="32" t="s">
        <v>25</v>
      </c>
      <c r="K196" s="34" t="str">
        <f aca="false">IF(OR(M196="",$E196=""),"",M196-$E196)</f>
        <v/>
      </c>
      <c r="L196" s="35" t="n">
        <f aca="false">IF(SUM(FA196:FN196)=0,"",SUM(EM196:EZ196)/SUM(FA196:FN196))</f>
        <v>90</v>
      </c>
      <c r="M196" s="36" t="n">
        <f aca="false">IF(OR(L196="",FO196=""),"",IFERROR(MATCH(L196,INDEX(Boundaries!$B$2:$I$30,MATCH(FO196,Boundaries!$A$2:$A$30,0),0),1)-1,""))</f>
        <v>7</v>
      </c>
      <c r="N196" s="37" t="str">
        <f aca="false">IF(COUNT($DY196:$EL196)&lt;2,"",INDEX($DK196:$DX196,MAX($DY196:$EL196))-INDEX($DK196:$DX196,MIN($DY196:$EL196)))</f>
        <v/>
      </c>
      <c r="O196" s="37" t="str">
        <f aca="false">IF(COUNT($DY196:$EL196)&lt;2,"",INDEX($DK196:$DX196,MAX($DY196:$EL196))-INDEX($DK196:$DX196,LARGE($DY196:$EL196,2)))</f>
        <v/>
      </c>
      <c r="P196" s="38" t="str">
        <f aca="false">IF(K196="","",IF(K196&gt;=0,"On/above target",IF(AND(N196&lt;&gt;"",N196&gt;=0.5),"Improving towards target",IF(AND(O196&lt;&gt;"",O196&lt;=-0.5),"Declining","Stable below target"))))</f>
        <v/>
      </c>
      <c r="Q196" s="39" t="n">
        <v>18</v>
      </c>
      <c r="R196" s="40" t="n">
        <f aca="false">IF(OR(Q196="",BU196=""),"",Q196/BU196*100)</f>
        <v>90</v>
      </c>
      <c r="S196" s="41" t="n">
        <f aca="false">IF(R196="","",IFERROR(MATCH(R196,INDEX(Boundaries!$B$2:$I$30,MATCH(CI196,Boundaries!$A$2:$A$30,0),0),1)-1,""))</f>
        <v>7</v>
      </c>
      <c r="T196" s="42" t="str">
        <f aca="false">IF(OR(S196="",$E196=""),"",S196-$E196)</f>
        <v/>
      </c>
      <c r="U196" s="39"/>
      <c r="V196" s="40" t="str">
        <f aca="false">IF(OR(U196="",BV196=""),"",U196/BV196*100)</f>
        <v/>
      </c>
      <c r="W196" s="41" t="str">
        <f aca="false">IF(V196="","",IFERROR(MATCH(V196,INDEX(Boundaries!$B$2:$I$30,MATCH(CJ196,Boundaries!$A$2:$A$30,0),0),1)-1,""))</f>
        <v/>
      </c>
      <c r="X196" s="42" t="str">
        <f aca="false">IF(OR(W196="",$E196=""),"",W196-$E196)</f>
        <v/>
      </c>
      <c r="Y196" s="39"/>
      <c r="Z196" s="40" t="str">
        <f aca="false">IF(OR(Y196="",BW196=""),"",Y196/BW196*100)</f>
        <v/>
      </c>
      <c r="AA196" s="41" t="str">
        <f aca="false">IF(Z196="","",IFERROR(MATCH(Z196,INDEX(Boundaries!$B$2:$I$30,MATCH(CK196,Boundaries!$A$2:$A$30,0),0),1)-1,""))</f>
        <v/>
      </c>
      <c r="AB196" s="42" t="str">
        <f aca="false">IF(OR(AA196="",$E196=""),"",AA196-$E196)</f>
        <v/>
      </c>
      <c r="AC196" s="39"/>
      <c r="AD196" s="40" t="str">
        <f aca="false">IF(OR(AC196="",BX196=""),"",AC196/BX196*100)</f>
        <v/>
      </c>
      <c r="AE196" s="41" t="str">
        <f aca="false">IF(AD196="","",IFERROR(MATCH(AD196,INDEX(Boundaries!$B$2:$I$30,MATCH(CL196,Boundaries!$A$2:$A$30,0),0),1)-1,""))</f>
        <v/>
      </c>
      <c r="AF196" s="42" t="str">
        <f aca="false">IF(OR(AE196="",$E196=""),"",AE196-$E196)</f>
        <v/>
      </c>
      <c r="AG196" s="39"/>
      <c r="AH196" s="40" t="str">
        <f aca="false">IF(OR(AG196="",BY196=""),"",AG196/BY196*100)</f>
        <v/>
      </c>
      <c r="AI196" s="41" t="str">
        <f aca="false">IF(AH196="","",IFERROR(MATCH(AH196,INDEX(Boundaries!$B$2:$I$30,MATCH(CM196,Boundaries!$A$2:$A$30,0),0),1)-1,""))</f>
        <v/>
      </c>
      <c r="AJ196" s="42" t="str">
        <f aca="false">IF(OR(AI196="",$E196=""),"",AI196-$E196)</f>
        <v/>
      </c>
      <c r="AK196" s="39"/>
      <c r="AL196" s="40" t="str">
        <f aca="false">IF(OR(AK196="",BZ196=""),"",AK196/BZ196*100)</f>
        <v/>
      </c>
      <c r="AM196" s="41" t="str">
        <f aca="false">IF(AL196="","",IFERROR(MATCH(AL196,INDEX(Boundaries!$B$2:$I$30,MATCH(CN196,Boundaries!$A$2:$A$30,0),0),1)-1,""))</f>
        <v/>
      </c>
      <c r="AN196" s="42" t="str">
        <f aca="false">IF(OR(AM196="",$E196=""),"",AM196-$E196)</f>
        <v/>
      </c>
      <c r="AO196" s="39"/>
      <c r="AP196" s="40" t="str">
        <f aca="false">IF(OR(AO196="",CA196=""),"",AO196/CA196*100)</f>
        <v/>
      </c>
      <c r="AQ196" s="41" t="str">
        <f aca="false">IF(AP196="","",IFERROR(MATCH(AP196,INDEX(Boundaries!$B$2:$I$30,MATCH(CO196,Boundaries!$A$2:$A$30,0),0),1)-1,""))</f>
        <v/>
      </c>
      <c r="AR196" s="42" t="str">
        <f aca="false">IF(OR(AQ196="",$E196=""),"",AQ196-$E196)</f>
        <v/>
      </c>
      <c r="AS196" s="39"/>
      <c r="AT196" s="40" t="str">
        <f aca="false">IF(OR(AS196="",CB196=""),"",AS196/CB196*100)</f>
        <v/>
      </c>
      <c r="AU196" s="41" t="str">
        <f aca="false">IF(AT196="","",IFERROR(MATCH(AT196,INDEX(Boundaries!$B$2:$I$30,MATCH(CP196,Boundaries!$A$2:$A$30,0),0),1)-1,""))</f>
        <v/>
      </c>
      <c r="AV196" s="42" t="str">
        <f aca="false">IF(OR(AU196="",$E196=""),"",AU196-$E196)</f>
        <v/>
      </c>
      <c r="AW196" s="39"/>
      <c r="AX196" s="40" t="str">
        <f aca="false">IF(OR(AW196="",CC196=""),"",AW196/CC196*100)</f>
        <v/>
      </c>
      <c r="AY196" s="41" t="str">
        <f aca="false">IF(AX196="","",IFERROR(MATCH(AX196,INDEX(Boundaries!$B$2:$I$30,MATCH(CQ196,Boundaries!$A$2:$A$30,0),0),1)-1,""))</f>
        <v/>
      </c>
      <c r="AZ196" s="42" t="str">
        <f aca="false">IF(OR(AY196="",$E196=""),"",AY196-$E196)</f>
        <v/>
      </c>
      <c r="BA196" s="39"/>
      <c r="BB196" s="40" t="str">
        <f aca="false">IF(OR(BA196="",CD196=""),"",BA196/CD196*100)</f>
        <v/>
      </c>
      <c r="BC196" s="41" t="str">
        <f aca="false">IF(BB196="","",IFERROR(MATCH(BB196,INDEX(Boundaries!$B$2:$I$30,MATCH(CR196,Boundaries!$A$2:$A$30,0),0),1)-1,""))</f>
        <v/>
      </c>
      <c r="BD196" s="42" t="str">
        <f aca="false">IF(OR(BC196="",$E196=""),"",BC196-$E196)</f>
        <v/>
      </c>
      <c r="BE196" s="39"/>
      <c r="BF196" s="40" t="str">
        <f aca="false">IF(OR(BE196="",CE196=""),"",BE196/CE196*100)</f>
        <v/>
      </c>
      <c r="BG196" s="41" t="str">
        <f aca="false">IF(BF196="","",IFERROR(MATCH(BF196,INDEX(Boundaries!$B$2:$I$30,MATCH(CS196,Boundaries!$A$2:$A$30,0),0),1)-1,""))</f>
        <v/>
      </c>
      <c r="BH196" s="42" t="str">
        <f aca="false">IF(OR(BG196="",$E196=""),"",BG196-$E196)</f>
        <v/>
      </c>
      <c r="BI196" s="39"/>
      <c r="BJ196" s="40" t="str">
        <f aca="false">IF(OR(BI196="",CF196=""),"",BI196/CF196*100)</f>
        <v/>
      </c>
      <c r="BK196" s="41" t="str">
        <f aca="false">IF(BJ196="","",IFERROR(MATCH(BJ196,INDEX(Boundaries!$B$2:$I$30,MATCH(CT196,Boundaries!$A$2:$A$30,0),0),1)-1,""))</f>
        <v/>
      </c>
      <c r="BL196" s="42" t="str">
        <f aca="false">IF(OR(BK196="",$E196=""),"",BK196-$E196)</f>
        <v/>
      </c>
      <c r="BM196" s="39"/>
      <c r="BN196" s="40" t="str">
        <f aca="false">IF(OR(BM196="",CG196=""),"",BM196/CG196*100)</f>
        <v/>
      </c>
      <c r="BO196" s="41" t="str">
        <f aca="false">IF(BN196="","",IFERROR(MATCH(BN196,INDEX(Boundaries!$B$2:$I$30,MATCH(CU196,Boundaries!$A$2:$A$30,0),0),1)-1,""))</f>
        <v/>
      </c>
      <c r="BP196" s="42" t="str">
        <f aca="false">IF(OR(BO196="",$E196=""),"",BO196-$E196)</f>
        <v/>
      </c>
      <c r="BQ196" s="39"/>
      <c r="BR196" s="40" t="str">
        <f aca="false">IF(OR(BQ196="",CH196=""),"",BQ196/CH196*100)</f>
        <v/>
      </c>
      <c r="BS196" s="41" t="str">
        <f aca="false">IF(BR196="","",IFERROR(MATCH(BR196,INDEX(Boundaries!$B$2:$I$30,MATCH(CV196,Boundaries!$A$2:$A$30,0),0),1)-1,""))</f>
        <v/>
      </c>
      <c r="BT196" s="42" t="str">
        <f aca="false">IF(OR(BS196="",$E196=""),"",BS196-$E196)</f>
        <v/>
      </c>
      <c r="BU196" s="28" t="n">
        <f aca="false">IFERROR(INDEX(Assessments!$H$2:$H$600,MATCH($H196&amp;"|"&amp;$I196&amp;"|"&amp;$J196&amp;"|"&amp;1,Assessments!$A$2:$A$600,0)),"")</f>
        <v>20</v>
      </c>
      <c r="BV196" s="28" t="n">
        <f aca="false">IFERROR(INDEX(Assessments!$H$2:$H$600,MATCH($H196&amp;"|"&amp;$I196&amp;"|"&amp;$J196&amp;"|"&amp;2,Assessments!$A$2:$A$600,0)),"")</f>
        <v>20</v>
      </c>
      <c r="BW196" s="28" t="n">
        <f aca="false">IFERROR(INDEX(Assessments!$H$2:$H$600,MATCH($H196&amp;"|"&amp;$I196&amp;"|"&amp;$J196&amp;"|"&amp;3,Assessments!$A$2:$A$600,0)),"")</f>
        <v>20</v>
      </c>
      <c r="BX196" s="28" t="n">
        <f aca="false">IFERROR(INDEX(Assessments!$H$2:$H$600,MATCH($H196&amp;"|"&amp;$I196&amp;"|"&amp;$J196&amp;"|"&amp;4,Assessments!$A$2:$A$600,0)),"")</f>
        <v>20</v>
      </c>
      <c r="BY196" s="28" t="n">
        <f aca="false">IFERROR(INDEX(Assessments!$H$2:$H$600,MATCH($H196&amp;"|"&amp;$I196&amp;"|"&amp;$J196&amp;"|"&amp;5,Assessments!$A$2:$A$600,0)),"")</f>
        <v>20</v>
      </c>
      <c r="BZ196" s="28" t="n">
        <f aca="false">IFERROR(INDEX(Assessments!$H$2:$H$600,MATCH($H196&amp;"|"&amp;$I196&amp;"|"&amp;$J196&amp;"|"&amp;6,Assessments!$A$2:$A$600,0)),"")</f>
        <v>40</v>
      </c>
      <c r="CA196" s="28" t="n">
        <f aca="false">IFERROR(INDEX(Assessments!$H$2:$H$600,MATCH($H196&amp;"|"&amp;$I196&amp;"|"&amp;$J196&amp;"|"&amp;7,Assessments!$A$2:$A$600,0)),"")</f>
        <v>50</v>
      </c>
      <c r="CB196" s="28" t="str">
        <f aca="false">IFERROR(INDEX(Assessments!$H$2:$H$600,MATCH($H196&amp;"|"&amp;$I196&amp;"|"&amp;$J196&amp;"|"&amp;8,Assessments!$A$2:$A$600,0)),"")</f>
        <v/>
      </c>
      <c r="CC196" s="28" t="str">
        <f aca="false">IFERROR(INDEX(Assessments!$H$2:$H$600,MATCH($H196&amp;"|"&amp;$I196&amp;"|"&amp;$J196&amp;"|"&amp;9,Assessments!$A$2:$A$600,0)),"")</f>
        <v/>
      </c>
      <c r="CD196" s="28" t="str">
        <f aca="false">IFERROR(INDEX(Assessments!$H$2:$H$600,MATCH($H196&amp;"|"&amp;$I196&amp;"|"&amp;$J196&amp;"|"&amp;10,Assessments!$A$2:$A$600,0)),"")</f>
        <v/>
      </c>
      <c r="CE196" s="28" t="str">
        <f aca="false">IFERROR(INDEX(Assessments!$H$2:$H$600,MATCH($H196&amp;"|"&amp;$I196&amp;"|"&amp;$J196&amp;"|"&amp;11,Assessments!$A$2:$A$600,0)),"")</f>
        <v/>
      </c>
      <c r="CF196" s="28" t="str">
        <f aca="false">IFERROR(INDEX(Assessments!$H$2:$H$600,MATCH($H196&amp;"|"&amp;$I196&amp;"|"&amp;$J196&amp;"|"&amp;12,Assessments!$A$2:$A$600,0)),"")</f>
        <v/>
      </c>
      <c r="CG196" s="28" t="str">
        <f aca="false">IFERROR(INDEX(Assessments!$H$2:$H$600,MATCH($H196&amp;"|"&amp;$I196&amp;"|"&amp;$J196&amp;"|"&amp;13,Assessments!$A$2:$A$600,0)),"")</f>
        <v/>
      </c>
      <c r="CH196" s="28" t="str">
        <f aca="false">IFERROR(INDEX(Assessments!$H$2:$H$600,MATCH($H196&amp;"|"&amp;$I196&amp;"|"&amp;$J196&amp;"|"&amp;14,Assessments!$A$2:$A$600,0)),"")</f>
        <v/>
      </c>
      <c r="CI196" s="28" t="str">
        <f aca="false">IFERROR(INDEX(Assessments!$I$2:$I$600,MATCH($H196&amp;"|"&amp;$I196&amp;"|"&amp;$J196&amp;"|"&amp;1,Assessments!$A$2:$A$600,0)),"")</f>
        <v>Geog Paper 1</v>
      </c>
      <c r="CJ196" s="28" t="str">
        <f aca="false">IFERROR(INDEX(Assessments!$I$2:$I$600,MATCH($H196&amp;"|"&amp;$I196&amp;"|"&amp;$J196&amp;"|"&amp;2,Assessments!$A$2:$A$600,0)),"")</f>
        <v>Geog Paper 1</v>
      </c>
      <c r="CK196" s="28" t="str">
        <f aca="false">IFERROR(INDEX(Assessments!$I$2:$I$600,MATCH($H196&amp;"|"&amp;$I196&amp;"|"&amp;$J196&amp;"|"&amp;3,Assessments!$A$2:$A$600,0)),"")</f>
        <v>Geog Paper 2</v>
      </c>
      <c r="CL196" s="28" t="str">
        <f aca="false">IFERROR(INDEX(Assessments!$I$2:$I$600,MATCH($H196&amp;"|"&amp;$I196&amp;"|"&amp;$J196&amp;"|"&amp;4,Assessments!$A$2:$A$600,0)),"")</f>
        <v>Geog Paper 1</v>
      </c>
      <c r="CM196" s="28" t="str">
        <f aca="false">IFERROR(INDEX(Assessments!$I$2:$I$600,MATCH($H196&amp;"|"&amp;$I196&amp;"|"&amp;$J196&amp;"|"&amp;5,Assessments!$A$2:$A$600,0)),"")</f>
        <v>Geog Paper 1</v>
      </c>
      <c r="CN196" s="28" t="str">
        <f aca="false">IFERROR(INDEX(Assessments!$I$2:$I$600,MATCH($H196&amp;"|"&amp;$I196&amp;"|"&amp;$J196&amp;"|"&amp;6,Assessments!$A$2:$A$600,0)),"")</f>
        <v>Geog Paper 1</v>
      </c>
      <c r="CO196" s="28" t="str">
        <f aca="false">IFERROR(INDEX(Assessments!$I$2:$I$600,MATCH($H196&amp;"|"&amp;$I196&amp;"|"&amp;$J196&amp;"|"&amp;7,Assessments!$A$2:$A$600,0)),"")</f>
        <v>Geog Paper 2</v>
      </c>
      <c r="CP196" s="28" t="str">
        <f aca="false">IFERROR(INDEX(Assessments!$I$2:$I$600,MATCH($H196&amp;"|"&amp;$I196&amp;"|"&amp;$J196&amp;"|"&amp;8,Assessments!$A$2:$A$600,0)),"")</f>
        <v/>
      </c>
      <c r="CQ196" s="28" t="str">
        <f aca="false">IFERROR(INDEX(Assessments!$I$2:$I$600,MATCH($H196&amp;"|"&amp;$I196&amp;"|"&amp;$J196&amp;"|"&amp;9,Assessments!$A$2:$A$600,0)),"")</f>
        <v/>
      </c>
      <c r="CR196" s="28" t="str">
        <f aca="false">IFERROR(INDEX(Assessments!$I$2:$I$600,MATCH($H196&amp;"|"&amp;$I196&amp;"|"&amp;$J196&amp;"|"&amp;10,Assessments!$A$2:$A$600,0)),"")</f>
        <v/>
      </c>
      <c r="CS196" s="28" t="str">
        <f aca="false">IFERROR(INDEX(Assessments!$I$2:$I$600,MATCH($H196&amp;"|"&amp;$I196&amp;"|"&amp;$J196&amp;"|"&amp;11,Assessments!$A$2:$A$600,0)),"")</f>
        <v/>
      </c>
      <c r="CT196" s="28" t="str">
        <f aca="false">IFERROR(INDEX(Assessments!$I$2:$I$600,MATCH($H196&amp;"|"&amp;$I196&amp;"|"&amp;$J196&amp;"|"&amp;12,Assessments!$A$2:$A$600,0)),"")</f>
        <v/>
      </c>
      <c r="CU196" s="28" t="str">
        <f aca="false">IFERROR(INDEX(Assessments!$I$2:$I$600,MATCH($H196&amp;"|"&amp;$I196&amp;"|"&amp;$J196&amp;"|"&amp;13,Assessments!$A$2:$A$600,0)),"")</f>
        <v/>
      </c>
      <c r="CV196" s="28" t="str">
        <f aca="false">IFERROR(INDEX(Assessments!$I$2:$I$600,MATCH($H196&amp;"|"&amp;$I196&amp;"|"&amp;$J196&amp;"|"&amp;14,Assessments!$A$2:$A$600,0)),"")</f>
        <v/>
      </c>
      <c r="CW196" s="28" t="n">
        <f aca="false">IFERROR(INDEX(Assessments!$J$2:$J$600,MATCH($H196&amp;"|"&amp;$I196&amp;"|"&amp;$J196&amp;"|"&amp;1,Assessments!$A$2:$A$600,0)),0)</f>
        <v>1</v>
      </c>
      <c r="CX196" s="28" t="n">
        <f aca="false">IFERROR(INDEX(Assessments!$J$2:$J$600,MATCH($H196&amp;"|"&amp;$I196&amp;"|"&amp;$J196&amp;"|"&amp;2,Assessments!$A$2:$A$600,0)),0)</f>
        <v>1</v>
      </c>
      <c r="CY196" s="28" t="n">
        <f aca="false">IFERROR(INDEX(Assessments!$J$2:$J$600,MATCH($H196&amp;"|"&amp;$I196&amp;"|"&amp;$J196&amp;"|"&amp;3,Assessments!$A$2:$A$600,0)),0)</f>
        <v>1</v>
      </c>
      <c r="CZ196" s="28" t="n">
        <f aca="false">IFERROR(INDEX(Assessments!$J$2:$J$600,MATCH($H196&amp;"|"&amp;$I196&amp;"|"&amp;$J196&amp;"|"&amp;4,Assessments!$A$2:$A$600,0)),0)</f>
        <v>1</v>
      </c>
      <c r="DA196" s="28" t="n">
        <f aca="false">IFERROR(INDEX(Assessments!$J$2:$J$600,MATCH($H196&amp;"|"&amp;$I196&amp;"|"&amp;$J196&amp;"|"&amp;5,Assessments!$A$2:$A$600,0)),0)</f>
        <v>1</v>
      </c>
      <c r="DB196" s="28" t="n">
        <f aca="false">IFERROR(INDEX(Assessments!$J$2:$J$600,MATCH($H196&amp;"|"&amp;$I196&amp;"|"&amp;$J196&amp;"|"&amp;6,Assessments!$A$2:$A$600,0)),0)</f>
        <v>2</v>
      </c>
      <c r="DC196" s="28" t="n">
        <f aca="false">IFERROR(INDEX(Assessments!$J$2:$J$600,MATCH($H196&amp;"|"&amp;$I196&amp;"|"&amp;$J196&amp;"|"&amp;7,Assessments!$A$2:$A$600,0)),0)</f>
        <v>2</v>
      </c>
      <c r="DD196" s="28" t="n">
        <f aca="false">IFERROR(INDEX(Assessments!$J$2:$J$600,MATCH($H196&amp;"|"&amp;$I196&amp;"|"&amp;$J196&amp;"|"&amp;8,Assessments!$A$2:$A$600,0)),0)</f>
        <v>0</v>
      </c>
      <c r="DE196" s="28" t="n">
        <f aca="false">IFERROR(INDEX(Assessments!$J$2:$J$600,MATCH($H196&amp;"|"&amp;$I196&amp;"|"&amp;$J196&amp;"|"&amp;9,Assessments!$A$2:$A$600,0)),0)</f>
        <v>0</v>
      </c>
      <c r="DF196" s="28" t="n">
        <f aca="false">IFERROR(INDEX(Assessments!$J$2:$J$600,MATCH($H196&amp;"|"&amp;$I196&amp;"|"&amp;$J196&amp;"|"&amp;10,Assessments!$A$2:$A$600,0)),0)</f>
        <v>0</v>
      </c>
      <c r="DG196" s="28" t="n">
        <f aca="false">IFERROR(INDEX(Assessments!$J$2:$J$600,MATCH($H196&amp;"|"&amp;$I196&amp;"|"&amp;$J196&amp;"|"&amp;11,Assessments!$A$2:$A$600,0)),0)</f>
        <v>0</v>
      </c>
      <c r="DH196" s="28" t="n">
        <f aca="false">IFERROR(INDEX(Assessments!$J$2:$J$600,MATCH($H196&amp;"|"&amp;$I196&amp;"|"&amp;$J196&amp;"|"&amp;12,Assessments!$A$2:$A$600,0)),0)</f>
        <v>0</v>
      </c>
      <c r="DI196" s="28" t="n">
        <f aca="false">IFERROR(INDEX(Assessments!$J$2:$J$600,MATCH($H196&amp;"|"&amp;$I196&amp;"|"&amp;$J196&amp;"|"&amp;13,Assessments!$A$2:$A$600,0)),0)</f>
        <v>0</v>
      </c>
      <c r="DJ196" s="28" t="n">
        <f aca="false">IFERROR(INDEX(Assessments!$J$2:$J$600,MATCH($H196&amp;"|"&amp;$I196&amp;"|"&amp;$J196&amp;"|"&amp;14,Assessments!$A$2:$A$600,0)),0)</f>
        <v>0</v>
      </c>
      <c r="DK196" s="28" t="n">
        <f aca="false">S196</f>
        <v>7</v>
      </c>
      <c r="DL196" s="28" t="str">
        <f aca="false">W196</f>
        <v/>
      </c>
      <c r="DM196" s="28" t="str">
        <f aca="false">AA196</f>
        <v/>
      </c>
      <c r="DN196" s="28" t="str">
        <f aca="false">AE196</f>
        <v/>
      </c>
      <c r="DO196" s="28" t="str">
        <f aca="false">AI196</f>
        <v/>
      </c>
      <c r="DP196" s="28" t="str">
        <f aca="false">AM196</f>
        <v/>
      </c>
      <c r="DQ196" s="28" t="str">
        <f aca="false">AQ196</f>
        <v/>
      </c>
      <c r="DR196" s="28" t="str">
        <f aca="false">AU196</f>
        <v/>
      </c>
      <c r="DS196" s="28" t="str">
        <f aca="false">AY196</f>
        <v/>
      </c>
      <c r="DT196" s="28" t="str">
        <f aca="false">BC196</f>
        <v/>
      </c>
      <c r="DU196" s="28" t="str">
        <f aca="false">BG196</f>
        <v/>
      </c>
      <c r="DV196" s="28" t="str">
        <f aca="false">BK196</f>
        <v/>
      </c>
      <c r="DW196" s="28" t="str">
        <f aca="false">BO196</f>
        <v/>
      </c>
      <c r="DX196" s="28" t="str">
        <f aca="false">BS196</f>
        <v/>
      </c>
      <c r="DY196" s="28" t="n">
        <f aca="false">IF(ISNUMBER(S196),1,"")</f>
        <v>1</v>
      </c>
      <c r="DZ196" s="28" t="str">
        <f aca="false">IF(ISNUMBER(W196),2,"")</f>
        <v/>
      </c>
      <c r="EA196" s="28" t="str">
        <f aca="false">IF(ISNUMBER(AA196),3,"")</f>
        <v/>
      </c>
      <c r="EB196" s="28" t="str">
        <f aca="false">IF(ISNUMBER(AE196),4,"")</f>
        <v/>
      </c>
      <c r="EC196" s="28" t="str">
        <f aca="false">IF(ISNUMBER(AI196),5,"")</f>
        <v/>
      </c>
      <c r="ED196" s="28" t="str">
        <f aca="false">IF(ISNUMBER(AM196),6,"")</f>
        <v/>
      </c>
      <c r="EE196" s="28" t="str">
        <f aca="false">IF(ISNUMBER(AQ196),7,"")</f>
        <v/>
      </c>
      <c r="EF196" s="28" t="str">
        <f aca="false">IF(ISNUMBER(AU196),8,"")</f>
        <v/>
      </c>
      <c r="EG196" s="28" t="str">
        <f aca="false">IF(ISNUMBER(AY196),9,"")</f>
        <v/>
      </c>
      <c r="EH196" s="28" t="str">
        <f aca="false">IF(ISNUMBER(BC196),10,"")</f>
        <v/>
      </c>
      <c r="EI196" s="28" t="str">
        <f aca="false">IF(ISNUMBER(BG196),11,"")</f>
        <v/>
      </c>
      <c r="EJ196" s="28" t="str">
        <f aca="false">IF(ISNUMBER(BK196),12,"")</f>
        <v/>
      </c>
      <c r="EK196" s="28" t="str">
        <f aca="false">IF(ISNUMBER(BO196),13,"")</f>
        <v/>
      </c>
      <c r="EL196" s="28" t="str">
        <f aca="false">IF(ISNUMBER(BS196),14,"")</f>
        <v/>
      </c>
      <c r="EM196" s="28" t="n">
        <f aca="false">IF(ISNUMBER(R196),R196*CW196,0)</f>
        <v>90</v>
      </c>
      <c r="EN196" s="28" t="n">
        <f aca="false">IF(ISNUMBER(V196),V196*CX196,0)</f>
        <v>0</v>
      </c>
      <c r="EO196" s="28" t="n">
        <f aca="false">IF(ISNUMBER(Z196),Z196*CY196,0)</f>
        <v>0</v>
      </c>
      <c r="EP196" s="28" t="n">
        <f aca="false">IF(ISNUMBER(AD196),AD196*CZ196,0)</f>
        <v>0</v>
      </c>
      <c r="EQ196" s="28" t="n">
        <f aca="false">IF(ISNUMBER(AH196),AH196*DA196,0)</f>
        <v>0</v>
      </c>
      <c r="ER196" s="28" t="n">
        <f aca="false">IF(ISNUMBER(AL196),AL196*DB196,0)</f>
        <v>0</v>
      </c>
      <c r="ES196" s="28" t="n">
        <f aca="false">IF(ISNUMBER(AP196),AP196*DC196,0)</f>
        <v>0</v>
      </c>
      <c r="ET196" s="28" t="n">
        <f aca="false">IF(ISNUMBER(AT196),AT196*DD196,0)</f>
        <v>0</v>
      </c>
      <c r="EU196" s="28" t="n">
        <f aca="false">IF(ISNUMBER(AX196),AX196*DE196,0)</f>
        <v>0</v>
      </c>
      <c r="EV196" s="28" t="n">
        <f aca="false">IF(ISNUMBER(BB196),BB196*DF196,0)</f>
        <v>0</v>
      </c>
      <c r="EW196" s="28" t="n">
        <f aca="false">IF(ISNUMBER(BF196),BF196*DG196,0)</f>
        <v>0</v>
      </c>
      <c r="EX196" s="28" t="n">
        <f aca="false">IF(ISNUMBER(BJ196),BJ196*DH196,0)</f>
        <v>0</v>
      </c>
      <c r="EY196" s="28" t="n">
        <f aca="false">IF(ISNUMBER(BN196),BN196*DI196,0)</f>
        <v>0</v>
      </c>
      <c r="EZ196" s="28" t="n">
        <f aca="false">IF(ISNUMBER(BR196),BR196*DJ196,0)</f>
        <v>0</v>
      </c>
      <c r="FA196" s="28" t="n">
        <f aca="false">IF(ISNUMBER(R196),CW196,0)</f>
        <v>1</v>
      </c>
      <c r="FB196" s="28" t="n">
        <f aca="false">IF(ISNUMBER(V196),CX196,0)</f>
        <v>0</v>
      </c>
      <c r="FC196" s="28" t="n">
        <f aca="false">IF(ISNUMBER(Z196),CY196,0)</f>
        <v>0</v>
      </c>
      <c r="FD196" s="28" t="n">
        <f aca="false">IF(ISNUMBER(AD196),CZ196,0)</f>
        <v>0</v>
      </c>
      <c r="FE196" s="28" t="n">
        <f aca="false">IF(ISNUMBER(AH196),DA196,0)</f>
        <v>0</v>
      </c>
      <c r="FF196" s="28" t="n">
        <f aca="false">IF(ISNUMBER(AL196),DB196,0)</f>
        <v>0</v>
      </c>
      <c r="FG196" s="28" t="n">
        <f aca="false">IF(ISNUMBER(AP196),DC196,0)</f>
        <v>0</v>
      </c>
      <c r="FH196" s="28" t="n">
        <f aca="false">IF(ISNUMBER(AT196),DD196,0)</f>
        <v>0</v>
      </c>
      <c r="FI196" s="28" t="n">
        <f aca="false">IF(ISNUMBER(AX196),DE196,0)</f>
        <v>0</v>
      </c>
      <c r="FJ196" s="28" t="n">
        <f aca="false">IF(ISNUMBER(BB196),DF196,0)</f>
        <v>0</v>
      </c>
      <c r="FK196" s="28" t="n">
        <f aca="false">IF(ISNUMBER(BF196),DG196,0)</f>
        <v>0</v>
      </c>
      <c r="FL196" s="28" t="n">
        <f aca="false">IF(ISNUMBER(BJ196),DH196,0)</f>
        <v>0</v>
      </c>
      <c r="FM196" s="28" t="n">
        <f aca="false">IF(ISNUMBER(BN196),DI196,0)</f>
        <v>0</v>
      </c>
      <c r="FN196" s="28" t="n">
        <f aca="false">IF(ISNUMBER(BR196),DJ196,0)</f>
        <v>0</v>
      </c>
      <c r="FO196" s="28" t="str">
        <f aca="false">IFERROR(INDEX(Lists!$G$2:$G$20,MATCH($I196&amp;"|"&amp;$J196,Lists!$F$2:$F$20,0)),"")</f>
        <v>Geog Overall HL</v>
      </c>
    </row>
    <row r="197" customFormat="false" ht="19.5" hidden="false" customHeight="true" outlineLevel="0" collapsed="false">
      <c r="A197" s="29" t="s">
        <v>429</v>
      </c>
      <c r="B197" s="29" t="s">
        <v>430</v>
      </c>
      <c r="C197" s="30" t="s">
        <v>152</v>
      </c>
      <c r="D197" s="30" t="s">
        <v>427</v>
      </c>
      <c r="E197" s="31"/>
      <c r="F197" s="30" t="n">
        <v>6</v>
      </c>
      <c r="G197" s="30"/>
      <c r="H197" s="32" t="s">
        <v>428</v>
      </c>
      <c r="I197" s="33" t="s">
        <v>24</v>
      </c>
      <c r="J197" s="32" t="s">
        <v>25</v>
      </c>
      <c r="K197" s="34" t="str">
        <f aca="false">IF(OR(M197="",$E197=""),"",M197-$E197)</f>
        <v/>
      </c>
      <c r="L197" s="35" t="n">
        <f aca="false">IF(SUM(FA197:FN197)=0,"",SUM(EM197:EZ197)/SUM(FA197:FN197))</f>
        <v>90</v>
      </c>
      <c r="M197" s="36" t="n">
        <f aca="false">IF(OR(L197="",FO197=""),"",IFERROR(MATCH(L197,INDEX(Boundaries!$B$2:$I$30,MATCH(FO197,Boundaries!$A$2:$A$30,0),0),1)-1,""))</f>
        <v>7</v>
      </c>
      <c r="N197" s="37" t="str">
        <f aca="false">IF(COUNT($DY197:$EL197)&lt;2,"",INDEX($DK197:$DX197,MAX($DY197:$EL197))-INDEX($DK197:$DX197,MIN($DY197:$EL197)))</f>
        <v/>
      </c>
      <c r="O197" s="37" t="str">
        <f aca="false">IF(COUNT($DY197:$EL197)&lt;2,"",INDEX($DK197:$DX197,MAX($DY197:$EL197))-INDEX($DK197:$DX197,LARGE($DY197:$EL197,2)))</f>
        <v/>
      </c>
      <c r="P197" s="38" t="str">
        <f aca="false">IF(K197="","",IF(K197&gt;=0,"On/above target",IF(AND(N197&lt;&gt;"",N197&gt;=0.5),"Improving towards target",IF(AND(O197&lt;&gt;"",O197&lt;=-0.5),"Declining","Stable below target"))))</f>
        <v/>
      </c>
      <c r="Q197" s="39" t="n">
        <v>18</v>
      </c>
      <c r="R197" s="40" t="n">
        <f aca="false">IF(OR(Q197="",BU197=""),"",Q197/BU197*100)</f>
        <v>90</v>
      </c>
      <c r="S197" s="41" t="n">
        <f aca="false">IF(R197="","",IFERROR(MATCH(R197,INDEX(Boundaries!$B$2:$I$30,MATCH(CI197,Boundaries!$A$2:$A$30,0),0),1)-1,""))</f>
        <v>7</v>
      </c>
      <c r="T197" s="42" t="str">
        <f aca="false">IF(OR(S197="",$E197=""),"",S197-$E197)</f>
        <v/>
      </c>
      <c r="U197" s="39"/>
      <c r="V197" s="40" t="str">
        <f aca="false">IF(OR(U197="",BV197=""),"",U197/BV197*100)</f>
        <v/>
      </c>
      <c r="W197" s="41" t="str">
        <f aca="false">IF(V197="","",IFERROR(MATCH(V197,INDEX(Boundaries!$B$2:$I$30,MATCH(CJ197,Boundaries!$A$2:$A$30,0),0),1)-1,""))</f>
        <v/>
      </c>
      <c r="X197" s="42" t="str">
        <f aca="false">IF(OR(W197="",$E197=""),"",W197-$E197)</f>
        <v/>
      </c>
      <c r="Y197" s="39"/>
      <c r="Z197" s="40" t="str">
        <f aca="false">IF(OR(Y197="",BW197=""),"",Y197/BW197*100)</f>
        <v/>
      </c>
      <c r="AA197" s="41" t="str">
        <f aca="false">IF(Z197="","",IFERROR(MATCH(Z197,INDEX(Boundaries!$B$2:$I$30,MATCH(CK197,Boundaries!$A$2:$A$30,0),0),1)-1,""))</f>
        <v/>
      </c>
      <c r="AB197" s="42" t="str">
        <f aca="false">IF(OR(AA197="",$E197=""),"",AA197-$E197)</f>
        <v/>
      </c>
      <c r="AC197" s="39"/>
      <c r="AD197" s="40" t="str">
        <f aca="false">IF(OR(AC197="",BX197=""),"",AC197/BX197*100)</f>
        <v/>
      </c>
      <c r="AE197" s="41" t="str">
        <f aca="false">IF(AD197="","",IFERROR(MATCH(AD197,INDEX(Boundaries!$B$2:$I$30,MATCH(CL197,Boundaries!$A$2:$A$30,0),0),1)-1,""))</f>
        <v/>
      </c>
      <c r="AF197" s="42" t="str">
        <f aca="false">IF(OR(AE197="",$E197=""),"",AE197-$E197)</f>
        <v/>
      </c>
      <c r="AG197" s="39"/>
      <c r="AH197" s="40" t="str">
        <f aca="false">IF(OR(AG197="",BY197=""),"",AG197/BY197*100)</f>
        <v/>
      </c>
      <c r="AI197" s="41" t="str">
        <f aca="false">IF(AH197="","",IFERROR(MATCH(AH197,INDEX(Boundaries!$B$2:$I$30,MATCH(CM197,Boundaries!$A$2:$A$30,0),0),1)-1,""))</f>
        <v/>
      </c>
      <c r="AJ197" s="42" t="str">
        <f aca="false">IF(OR(AI197="",$E197=""),"",AI197-$E197)</f>
        <v/>
      </c>
      <c r="AK197" s="39"/>
      <c r="AL197" s="40" t="str">
        <f aca="false">IF(OR(AK197="",BZ197=""),"",AK197/BZ197*100)</f>
        <v/>
      </c>
      <c r="AM197" s="41" t="str">
        <f aca="false">IF(AL197="","",IFERROR(MATCH(AL197,INDEX(Boundaries!$B$2:$I$30,MATCH(CN197,Boundaries!$A$2:$A$30,0),0),1)-1,""))</f>
        <v/>
      </c>
      <c r="AN197" s="42" t="str">
        <f aca="false">IF(OR(AM197="",$E197=""),"",AM197-$E197)</f>
        <v/>
      </c>
      <c r="AO197" s="39"/>
      <c r="AP197" s="40" t="str">
        <f aca="false">IF(OR(AO197="",CA197=""),"",AO197/CA197*100)</f>
        <v/>
      </c>
      <c r="AQ197" s="41" t="str">
        <f aca="false">IF(AP197="","",IFERROR(MATCH(AP197,INDEX(Boundaries!$B$2:$I$30,MATCH(CO197,Boundaries!$A$2:$A$30,0),0),1)-1,""))</f>
        <v/>
      </c>
      <c r="AR197" s="42" t="str">
        <f aca="false">IF(OR(AQ197="",$E197=""),"",AQ197-$E197)</f>
        <v/>
      </c>
      <c r="AS197" s="39"/>
      <c r="AT197" s="40" t="str">
        <f aca="false">IF(OR(AS197="",CB197=""),"",AS197/CB197*100)</f>
        <v/>
      </c>
      <c r="AU197" s="41" t="str">
        <f aca="false">IF(AT197="","",IFERROR(MATCH(AT197,INDEX(Boundaries!$B$2:$I$30,MATCH(CP197,Boundaries!$A$2:$A$30,0),0),1)-1,""))</f>
        <v/>
      </c>
      <c r="AV197" s="42" t="str">
        <f aca="false">IF(OR(AU197="",$E197=""),"",AU197-$E197)</f>
        <v/>
      </c>
      <c r="AW197" s="39"/>
      <c r="AX197" s="40" t="str">
        <f aca="false">IF(OR(AW197="",CC197=""),"",AW197/CC197*100)</f>
        <v/>
      </c>
      <c r="AY197" s="41" t="str">
        <f aca="false">IF(AX197="","",IFERROR(MATCH(AX197,INDEX(Boundaries!$B$2:$I$30,MATCH(CQ197,Boundaries!$A$2:$A$30,0),0),1)-1,""))</f>
        <v/>
      </c>
      <c r="AZ197" s="42" t="str">
        <f aca="false">IF(OR(AY197="",$E197=""),"",AY197-$E197)</f>
        <v/>
      </c>
      <c r="BA197" s="39"/>
      <c r="BB197" s="40" t="str">
        <f aca="false">IF(OR(BA197="",CD197=""),"",BA197/CD197*100)</f>
        <v/>
      </c>
      <c r="BC197" s="41" t="str">
        <f aca="false">IF(BB197="","",IFERROR(MATCH(BB197,INDEX(Boundaries!$B$2:$I$30,MATCH(CR197,Boundaries!$A$2:$A$30,0),0),1)-1,""))</f>
        <v/>
      </c>
      <c r="BD197" s="42" t="str">
        <f aca="false">IF(OR(BC197="",$E197=""),"",BC197-$E197)</f>
        <v/>
      </c>
      <c r="BE197" s="39"/>
      <c r="BF197" s="40" t="str">
        <f aca="false">IF(OR(BE197="",CE197=""),"",BE197/CE197*100)</f>
        <v/>
      </c>
      <c r="BG197" s="41" t="str">
        <f aca="false">IF(BF197="","",IFERROR(MATCH(BF197,INDEX(Boundaries!$B$2:$I$30,MATCH(CS197,Boundaries!$A$2:$A$30,0),0),1)-1,""))</f>
        <v/>
      </c>
      <c r="BH197" s="42" t="str">
        <f aca="false">IF(OR(BG197="",$E197=""),"",BG197-$E197)</f>
        <v/>
      </c>
      <c r="BI197" s="39"/>
      <c r="BJ197" s="40" t="str">
        <f aca="false">IF(OR(BI197="",CF197=""),"",BI197/CF197*100)</f>
        <v/>
      </c>
      <c r="BK197" s="41" t="str">
        <f aca="false">IF(BJ197="","",IFERROR(MATCH(BJ197,INDEX(Boundaries!$B$2:$I$30,MATCH(CT197,Boundaries!$A$2:$A$30,0),0),1)-1,""))</f>
        <v/>
      </c>
      <c r="BL197" s="42" t="str">
        <f aca="false">IF(OR(BK197="",$E197=""),"",BK197-$E197)</f>
        <v/>
      </c>
      <c r="BM197" s="39"/>
      <c r="BN197" s="40" t="str">
        <f aca="false">IF(OR(BM197="",CG197=""),"",BM197/CG197*100)</f>
        <v/>
      </c>
      <c r="BO197" s="41" t="str">
        <f aca="false">IF(BN197="","",IFERROR(MATCH(BN197,INDEX(Boundaries!$B$2:$I$30,MATCH(CU197,Boundaries!$A$2:$A$30,0),0),1)-1,""))</f>
        <v/>
      </c>
      <c r="BP197" s="42" t="str">
        <f aca="false">IF(OR(BO197="",$E197=""),"",BO197-$E197)</f>
        <v/>
      </c>
      <c r="BQ197" s="39"/>
      <c r="BR197" s="40" t="str">
        <f aca="false">IF(OR(BQ197="",CH197=""),"",BQ197/CH197*100)</f>
        <v/>
      </c>
      <c r="BS197" s="41" t="str">
        <f aca="false">IF(BR197="","",IFERROR(MATCH(BR197,INDEX(Boundaries!$B$2:$I$30,MATCH(CV197,Boundaries!$A$2:$A$30,0),0),1)-1,""))</f>
        <v/>
      </c>
      <c r="BT197" s="42" t="str">
        <f aca="false">IF(OR(BS197="",$E197=""),"",BS197-$E197)</f>
        <v/>
      </c>
      <c r="BU197" s="28" t="n">
        <f aca="false">IFERROR(INDEX(Assessments!$H$2:$H$600,MATCH($H197&amp;"|"&amp;$I197&amp;"|"&amp;$J197&amp;"|"&amp;1,Assessments!$A$2:$A$600,0)),"")</f>
        <v>20</v>
      </c>
      <c r="BV197" s="28" t="n">
        <f aca="false">IFERROR(INDEX(Assessments!$H$2:$H$600,MATCH($H197&amp;"|"&amp;$I197&amp;"|"&amp;$J197&amp;"|"&amp;2,Assessments!$A$2:$A$600,0)),"")</f>
        <v>20</v>
      </c>
      <c r="BW197" s="28" t="n">
        <f aca="false">IFERROR(INDEX(Assessments!$H$2:$H$600,MATCH($H197&amp;"|"&amp;$I197&amp;"|"&amp;$J197&amp;"|"&amp;3,Assessments!$A$2:$A$600,0)),"")</f>
        <v>20</v>
      </c>
      <c r="BX197" s="28" t="n">
        <f aca="false">IFERROR(INDEX(Assessments!$H$2:$H$600,MATCH($H197&amp;"|"&amp;$I197&amp;"|"&amp;$J197&amp;"|"&amp;4,Assessments!$A$2:$A$600,0)),"")</f>
        <v>20</v>
      </c>
      <c r="BY197" s="28" t="n">
        <f aca="false">IFERROR(INDEX(Assessments!$H$2:$H$600,MATCH($H197&amp;"|"&amp;$I197&amp;"|"&amp;$J197&amp;"|"&amp;5,Assessments!$A$2:$A$600,0)),"")</f>
        <v>20</v>
      </c>
      <c r="BZ197" s="28" t="n">
        <f aca="false">IFERROR(INDEX(Assessments!$H$2:$H$600,MATCH($H197&amp;"|"&amp;$I197&amp;"|"&amp;$J197&amp;"|"&amp;6,Assessments!$A$2:$A$600,0)),"")</f>
        <v>40</v>
      </c>
      <c r="CA197" s="28" t="n">
        <f aca="false">IFERROR(INDEX(Assessments!$H$2:$H$600,MATCH($H197&amp;"|"&amp;$I197&amp;"|"&amp;$J197&amp;"|"&amp;7,Assessments!$A$2:$A$600,0)),"")</f>
        <v>50</v>
      </c>
      <c r="CB197" s="28" t="str">
        <f aca="false">IFERROR(INDEX(Assessments!$H$2:$H$600,MATCH($H197&amp;"|"&amp;$I197&amp;"|"&amp;$J197&amp;"|"&amp;8,Assessments!$A$2:$A$600,0)),"")</f>
        <v/>
      </c>
      <c r="CC197" s="28" t="str">
        <f aca="false">IFERROR(INDEX(Assessments!$H$2:$H$600,MATCH($H197&amp;"|"&amp;$I197&amp;"|"&amp;$J197&amp;"|"&amp;9,Assessments!$A$2:$A$600,0)),"")</f>
        <v/>
      </c>
      <c r="CD197" s="28" t="str">
        <f aca="false">IFERROR(INDEX(Assessments!$H$2:$H$600,MATCH($H197&amp;"|"&amp;$I197&amp;"|"&amp;$J197&amp;"|"&amp;10,Assessments!$A$2:$A$600,0)),"")</f>
        <v/>
      </c>
      <c r="CE197" s="28" t="str">
        <f aca="false">IFERROR(INDEX(Assessments!$H$2:$H$600,MATCH($H197&amp;"|"&amp;$I197&amp;"|"&amp;$J197&amp;"|"&amp;11,Assessments!$A$2:$A$600,0)),"")</f>
        <v/>
      </c>
      <c r="CF197" s="28" t="str">
        <f aca="false">IFERROR(INDEX(Assessments!$H$2:$H$600,MATCH($H197&amp;"|"&amp;$I197&amp;"|"&amp;$J197&amp;"|"&amp;12,Assessments!$A$2:$A$600,0)),"")</f>
        <v/>
      </c>
      <c r="CG197" s="28" t="str">
        <f aca="false">IFERROR(INDEX(Assessments!$H$2:$H$600,MATCH($H197&amp;"|"&amp;$I197&amp;"|"&amp;$J197&amp;"|"&amp;13,Assessments!$A$2:$A$600,0)),"")</f>
        <v/>
      </c>
      <c r="CH197" s="28" t="str">
        <f aca="false">IFERROR(INDEX(Assessments!$H$2:$H$600,MATCH($H197&amp;"|"&amp;$I197&amp;"|"&amp;$J197&amp;"|"&amp;14,Assessments!$A$2:$A$600,0)),"")</f>
        <v/>
      </c>
      <c r="CI197" s="28" t="str">
        <f aca="false">IFERROR(INDEX(Assessments!$I$2:$I$600,MATCH($H197&amp;"|"&amp;$I197&amp;"|"&amp;$J197&amp;"|"&amp;1,Assessments!$A$2:$A$600,0)),"")</f>
        <v>Geog Paper 1</v>
      </c>
      <c r="CJ197" s="28" t="str">
        <f aca="false">IFERROR(INDEX(Assessments!$I$2:$I$600,MATCH($H197&amp;"|"&amp;$I197&amp;"|"&amp;$J197&amp;"|"&amp;2,Assessments!$A$2:$A$600,0)),"")</f>
        <v>Geog Paper 1</v>
      </c>
      <c r="CK197" s="28" t="str">
        <f aca="false">IFERROR(INDEX(Assessments!$I$2:$I$600,MATCH($H197&amp;"|"&amp;$I197&amp;"|"&amp;$J197&amp;"|"&amp;3,Assessments!$A$2:$A$600,0)),"")</f>
        <v>Geog Paper 2</v>
      </c>
      <c r="CL197" s="28" t="str">
        <f aca="false">IFERROR(INDEX(Assessments!$I$2:$I$600,MATCH($H197&amp;"|"&amp;$I197&amp;"|"&amp;$J197&amp;"|"&amp;4,Assessments!$A$2:$A$600,0)),"")</f>
        <v>Geog Paper 1</v>
      </c>
      <c r="CM197" s="28" t="str">
        <f aca="false">IFERROR(INDEX(Assessments!$I$2:$I$600,MATCH($H197&amp;"|"&amp;$I197&amp;"|"&amp;$J197&amp;"|"&amp;5,Assessments!$A$2:$A$600,0)),"")</f>
        <v>Geog Paper 1</v>
      </c>
      <c r="CN197" s="28" t="str">
        <f aca="false">IFERROR(INDEX(Assessments!$I$2:$I$600,MATCH($H197&amp;"|"&amp;$I197&amp;"|"&amp;$J197&amp;"|"&amp;6,Assessments!$A$2:$A$600,0)),"")</f>
        <v>Geog Paper 1</v>
      </c>
      <c r="CO197" s="28" t="str">
        <f aca="false">IFERROR(INDEX(Assessments!$I$2:$I$600,MATCH($H197&amp;"|"&amp;$I197&amp;"|"&amp;$J197&amp;"|"&amp;7,Assessments!$A$2:$A$600,0)),"")</f>
        <v>Geog Paper 2</v>
      </c>
      <c r="CP197" s="28" t="str">
        <f aca="false">IFERROR(INDEX(Assessments!$I$2:$I$600,MATCH($H197&amp;"|"&amp;$I197&amp;"|"&amp;$J197&amp;"|"&amp;8,Assessments!$A$2:$A$600,0)),"")</f>
        <v/>
      </c>
      <c r="CQ197" s="28" t="str">
        <f aca="false">IFERROR(INDEX(Assessments!$I$2:$I$600,MATCH($H197&amp;"|"&amp;$I197&amp;"|"&amp;$J197&amp;"|"&amp;9,Assessments!$A$2:$A$600,0)),"")</f>
        <v/>
      </c>
      <c r="CR197" s="28" t="str">
        <f aca="false">IFERROR(INDEX(Assessments!$I$2:$I$600,MATCH($H197&amp;"|"&amp;$I197&amp;"|"&amp;$J197&amp;"|"&amp;10,Assessments!$A$2:$A$600,0)),"")</f>
        <v/>
      </c>
      <c r="CS197" s="28" t="str">
        <f aca="false">IFERROR(INDEX(Assessments!$I$2:$I$600,MATCH($H197&amp;"|"&amp;$I197&amp;"|"&amp;$J197&amp;"|"&amp;11,Assessments!$A$2:$A$600,0)),"")</f>
        <v/>
      </c>
      <c r="CT197" s="28" t="str">
        <f aca="false">IFERROR(INDEX(Assessments!$I$2:$I$600,MATCH($H197&amp;"|"&amp;$I197&amp;"|"&amp;$J197&amp;"|"&amp;12,Assessments!$A$2:$A$600,0)),"")</f>
        <v/>
      </c>
      <c r="CU197" s="28" t="str">
        <f aca="false">IFERROR(INDEX(Assessments!$I$2:$I$600,MATCH($H197&amp;"|"&amp;$I197&amp;"|"&amp;$J197&amp;"|"&amp;13,Assessments!$A$2:$A$600,0)),"")</f>
        <v/>
      </c>
      <c r="CV197" s="28" t="str">
        <f aca="false">IFERROR(INDEX(Assessments!$I$2:$I$600,MATCH($H197&amp;"|"&amp;$I197&amp;"|"&amp;$J197&amp;"|"&amp;14,Assessments!$A$2:$A$600,0)),"")</f>
        <v/>
      </c>
      <c r="CW197" s="28" t="n">
        <f aca="false">IFERROR(INDEX(Assessments!$J$2:$J$600,MATCH($H197&amp;"|"&amp;$I197&amp;"|"&amp;$J197&amp;"|"&amp;1,Assessments!$A$2:$A$600,0)),0)</f>
        <v>1</v>
      </c>
      <c r="CX197" s="28" t="n">
        <f aca="false">IFERROR(INDEX(Assessments!$J$2:$J$600,MATCH($H197&amp;"|"&amp;$I197&amp;"|"&amp;$J197&amp;"|"&amp;2,Assessments!$A$2:$A$600,0)),0)</f>
        <v>1</v>
      </c>
      <c r="CY197" s="28" t="n">
        <f aca="false">IFERROR(INDEX(Assessments!$J$2:$J$600,MATCH($H197&amp;"|"&amp;$I197&amp;"|"&amp;$J197&amp;"|"&amp;3,Assessments!$A$2:$A$600,0)),0)</f>
        <v>1</v>
      </c>
      <c r="CZ197" s="28" t="n">
        <f aca="false">IFERROR(INDEX(Assessments!$J$2:$J$600,MATCH($H197&amp;"|"&amp;$I197&amp;"|"&amp;$J197&amp;"|"&amp;4,Assessments!$A$2:$A$600,0)),0)</f>
        <v>1</v>
      </c>
      <c r="DA197" s="28" t="n">
        <f aca="false">IFERROR(INDEX(Assessments!$J$2:$J$600,MATCH($H197&amp;"|"&amp;$I197&amp;"|"&amp;$J197&amp;"|"&amp;5,Assessments!$A$2:$A$600,0)),0)</f>
        <v>1</v>
      </c>
      <c r="DB197" s="28" t="n">
        <f aca="false">IFERROR(INDEX(Assessments!$J$2:$J$600,MATCH($H197&amp;"|"&amp;$I197&amp;"|"&amp;$J197&amp;"|"&amp;6,Assessments!$A$2:$A$600,0)),0)</f>
        <v>2</v>
      </c>
      <c r="DC197" s="28" t="n">
        <f aca="false">IFERROR(INDEX(Assessments!$J$2:$J$600,MATCH($H197&amp;"|"&amp;$I197&amp;"|"&amp;$J197&amp;"|"&amp;7,Assessments!$A$2:$A$600,0)),0)</f>
        <v>2</v>
      </c>
      <c r="DD197" s="28" t="n">
        <f aca="false">IFERROR(INDEX(Assessments!$J$2:$J$600,MATCH($H197&amp;"|"&amp;$I197&amp;"|"&amp;$J197&amp;"|"&amp;8,Assessments!$A$2:$A$600,0)),0)</f>
        <v>0</v>
      </c>
      <c r="DE197" s="28" t="n">
        <f aca="false">IFERROR(INDEX(Assessments!$J$2:$J$600,MATCH($H197&amp;"|"&amp;$I197&amp;"|"&amp;$J197&amp;"|"&amp;9,Assessments!$A$2:$A$600,0)),0)</f>
        <v>0</v>
      </c>
      <c r="DF197" s="28" t="n">
        <f aca="false">IFERROR(INDEX(Assessments!$J$2:$J$600,MATCH($H197&amp;"|"&amp;$I197&amp;"|"&amp;$J197&amp;"|"&amp;10,Assessments!$A$2:$A$600,0)),0)</f>
        <v>0</v>
      </c>
      <c r="DG197" s="28" t="n">
        <f aca="false">IFERROR(INDEX(Assessments!$J$2:$J$600,MATCH($H197&amp;"|"&amp;$I197&amp;"|"&amp;$J197&amp;"|"&amp;11,Assessments!$A$2:$A$600,0)),0)</f>
        <v>0</v>
      </c>
      <c r="DH197" s="28" t="n">
        <f aca="false">IFERROR(INDEX(Assessments!$J$2:$J$600,MATCH($H197&amp;"|"&amp;$I197&amp;"|"&amp;$J197&amp;"|"&amp;12,Assessments!$A$2:$A$600,0)),0)</f>
        <v>0</v>
      </c>
      <c r="DI197" s="28" t="n">
        <f aca="false">IFERROR(INDEX(Assessments!$J$2:$J$600,MATCH($H197&amp;"|"&amp;$I197&amp;"|"&amp;$J197&amp;"|"&amp;13,Assessments!$A$2:$A$600,0)),0)</f>
        <v>0</v>
      </c>
      <c r="DJ197" s="28" t="n">
        <f aca="false">IFERROR(INDEX(Assessments!$J$2:$J$600,MATCH($H197&amp;"|"&amp;$I197&amp;"|"&amp;$J197&amp;"|"&amp;14,Assessments!$A$2:$A$600,0)),0)</f>
        <v>0</v>
      </c>
      <c r="DK197" s="28" t="n">
        <f aca="false">S197</f>
        <v>7</v>
      </c>
      <c r="DL197" s="28" t="str">
        <f aca="false">W197</f>
        <v/>
      </c>
      <c r="DM197" s="28" t="str">
        <f aca="false">AA197</f>
        <v/>
      </c>
      <c r="DN197" s="28" t="str">
        <f aca="false">AE197</f>
        <v/>
      </c>
      <c r="DO197" s="28" t="str">
        <f aca="false">AI197</f>
        <v/>
      </c>
      <c r="DP197" s="28" t="str">
        <f aca="false">AM197</f>
        <v/>
      </c>
      <c r="DQ197" s="28" t="str">
        <f aca="false">AQ197</f>
        <v/>
      </c>
      <c r="DR197" s="28" t="str">
        <f aca="false">AU197</f>
        <v/>
      </c>
      <c r="DS197" s="28" t="str">
        <f aca="false">AY197</f>
        <v/>
      </c>
      <c r="DT197" s="28" t="str">
        <f aca="false">BC197</f>
        <v/>
      </c>
      <c r="DU197" s="28" t="str">
        <f aca="false">BG197</f>
        <v/>
      </c>
      <c r="DV197" s="28" t="str">
        <f aca="false">BK197</f>
        <v/>
      </c>
      <c r="DW197" s="28" t="str">
        <f aca="false">BO197</f>
        <v/>
      </c>
      <c r="DX197" s="28" t="str">
        <f aca="false">BS197</f>
        <v/>
      </c>
      <c r="DY197" s="28" t="n">
        <f aca="false">IF(ISNUMBER(S197),1,"")</f>
        <v>1</v>
      </c>
      <c r="DZ197" s="28" t="str">
        <f aca="false">IF(ISNUMBER(W197),2,"")</f>
        <v/>
      </c>
      <c r="EA197" s="28" t="str">
        <f aca="false">IF(ISNUMBER(AA197),3,"")</f>
        <v/>
      </c>
      <c r="EB197" s="28" t="str">
        <f aca="false">IF(ISNUMBER(AE197),4,"")</f>
        <v/>
      </c>
      <c r="EC197" s="28" t="str">
        <f aca="false">IF(ISNUMBER(AI197),5,"")</f>
        <v/>
      </c>
      <c r="ED197" s="28" t="str">
        <f aca="false">IF(ISNUMBER(AM197),6,"")</f>
        <v/>
      </c>
      <c r="EE197" s="28" t="str">
        <f aca="false">IF(ISNUMBER(AQ197),7,"")</f>
        <v/>
      </c>
      <c r="EF197" s="28" t="str">
        <f aca="false">IF(ISNUMBER(AU197),8,"")</f>
        <v/>
      </c>
      <c r="EG197" s="28" t="str">
        <f aca="false">IF(ISNUMBER(AY197),9,"")</f>
        <v/>
      </c>
      <c r="EH197" s="28" t="str">
        <f aca="false">IF(ISNUMBER(BC197),10,"")</f>
        <v/>
      </c>
      <c r="EI197" s="28" t="str">
        <f aca="false">IF(ISNUMBER(BG197),11,"")</f>
        <v/>
      </c>
      <c r="EJ197" s="28" t="str">
        <f aca="false">IF(ISNUMBER(BK197),12,"")</f>
        <v/>
      </c>
      <c r="EK197" s="28" t="str">
        <f aca="false">IF(ISNUMBER(BO197),13,"")</f>
        <v/>
      </c>
      <c r="EL197" s="28" t="str">
        <f aca="false">IF(ISNUMBER(BS197),14,"")</f>
        <v/>
      </c>
      <c r="EM197" s="28" t="n">
        <f aca="false">IF(ISNUMBER(R197),R197*CW197,0)</f>
        <v>90</v>
      </c>
      <c r="EN197" s="28" t="n">
        <f aca="false">IF(ISNUMBER(V197),V197*CX197,0)</f>
        <v>0</v>
      </c>
      <c r="EO197" s="28" t="n">
        <f aca="false">IF(ISNUMBER(Z197),Z197*CY197,0)</f>
        <v>0</v>
      </c>
      <c r="EP197" s="28" t="n">
        <f aca="false">IF(ISNUMBER(AD197),AD197*CZ197,0)</f>
        <v>0</v>
      </c>
      <c r="EQ197" s="28" t="n">
        <f aca="false">IF(ISNUMBER(AH197),AH197*DA197,0)</f>
        <v>0</v>
      </c>
      <c r="ER197" s="28" t="n">
        <f aca="false">IF(ISNUMBER(AL197),AL197*DB197,0)</f>
        <v>0</v>
      </c>
      <c r="ES197" s="28" t="n">
        <f aca="false">IF(ISNUMBER(AP197),AP197*DC197,0)</f>
        <v>0</v>
      </c>
      <c r="ET197" s="28" t="n">
        <f aca="false">IF(ISNUMBER(AT197),AT197*DD197,0)</f>
        <v>0</v>
      </c>
      <c r="EU197" s="28" t="n">
        <f aca="false">IF(ISNUMBER(AX197),AX197*DE197,0)</f>
        <v>0</v>
      </c>
      <c r="EV197" s="28" t="n">
        <f aca="false">IF(ISNUMBER(BB197),BB197*DF197,0)</f>
        <v>0</v>
      </c>
      <c r="EW197" s="28" t="n">
        <f aca="false">IF(ISNUMBER(BF197),BF197*DG197,0)</f>
        <v>0</v>
      </c>
      <c r="EX197" s="28" t="n">
        <f aca="false">IF(ISNUMBER(BJ197),BJ197*DH197,0)</f>
        <v>0</v>
      </c>
      <c r="EY197" s="28" t="n">
        <f aca="false">IF(ISNUMBER(BN197),BN197*DI197,0)</f>
        <v>0</v>
      </c>
      <c r="EZ197" s="28" t="n">
        <f aca="false">IF(ISNUMBER(BR197),BR197*DJ197,0)</f>
        <v>0</v>
      </c>
      <c r="FA197" s="28" t="n">
        <f aca="false">IF(ISNUMBER(R197),CW197,0)</f>
        <v>1</v>
      </c>
      <c r="FB197" s="28" t="n">
        <f aca="false">IF(ISNUMBER(V197),CX197,0)</f>
        <v>0</v>
      </c>
      <c r="FC197" s="28" t="n">
        <f aca="false">IF(ISNUMBER(Z197),CY197,0)</f>
        <v>0</v>
      </c>
      <c r="FD197" s="28" t="n">
        <f aca="false">IF(ISNUMBER(AD197),CZ197,0)</f>
        <v>0</v>
      </c>
      <c r="FE197" s="28" t="n">
        <f aca="false">IF(ISNUMBER(AH197),DA197,0)</f>
        <v>0</v>
      </c>
      <c r="FF197" s="28" t="n">
        <f aca="false">IF(ISNUMBER(AL197),DB197,0)</f>
        <v>0</v>
      </c>
      <c r="FG197" s="28" t="n">
        <f aca="false">IF(ISNUMBER(AP197),DC197,0)</f>
        <v>0</v>
      </c>
      <c r="FH197" s="28" t="n">
        <f aca="false">IF(ISNUMBER(AT197),DD197,0)</f>
        <v>0</v>
      </c>
      <c r="FI197" s="28" t="n">
        <f aca="false">IF(ISNUMBER(AX197),DE197,0)</f>
        <v>0</v>
      </c>
      <c r="FJ197" s="28" t="n">
        <f aca="false">IF(ISNUMBER(BB197),DF197,0)</f>
        <v>0</v>
      </c>
      <c r="FK197" s="28" t="n">
        <f aca="false">IF(ISNUMBER(BF197),DG197,0)</f>
        <v>0</v>
      </c>
      <c r="FL197" s="28" t="n">
        <f aca="false">IF(ISNUMBER(BJ197),DH197,0)</f>
        <v>0</v>
      </c>
      <c r="FM197" s="28" t="n">
        <f aca="false">IF(ISNUMBER(BN197),DI197,0)</f>
        <v>0</v>
      </c>
      <c r="FN197" s="28" t="n">
        <f aca="false">IF(ISNUMBER(BR197),DJ197,0)</f>
        <v>0</v>
      </c>
      <c r="FO197" s="28" t="str">
        <f aca="false">IFERROR(INDEX(Lists!$G$2:$G$20,MATCH($I197&amp;"|"&amp;$J197,Lists!$F$2:$F$20,0)),"")</f>
        <v>Geog Overall HL</v>
      </c>
    </row>
    <row r="198" customFormat="false" ht="19.5" hidden="false" customHeight="true" outlineLevel="0" collapsed="false">
      <c r="A198" s="29" t="s">
        <v>431</v>
      </c>
      <c r="B198" s="29" t="s">
        <v>432</v>
      </c>
      <c r="C198" s="30" t="s">
        <v>152</v>
      </c>
      <c r="D198" s="30" t="s">
        <v>427</v>
      </c>
      <c r="E198" s="31"/>
      <c r="F198" s="30" t="n">
        <v>7</v>
      </c>
      <c r="G198" s="30"/>
      <c r="H198" s="32" t="s">
        <v>428</v>
      </c>
      <c r="I198" s="33" t="s">
        <v>24</v>
      </c>
      <c r="J198" s="32" t="s">
        <v>25</v>
      </c>
      <c r="K198" s="34" t="str">
        <f aca="false">IF(OR(M198="",$E198=""),"",M198-$E198)</f>
        <v/>
      </c>
      <c r="L198" s="35" t="n">
        <f aca="false">IF(SUM(FA198:FN198)=0,"",SUM(EM198:EZ198)/SUM(FA198:FN198))</f>
        <v>80</v>
      </c>
      <c r="M198" s="36" t="n">
        <f aca="false">IF(OR(L198="",FO198=""),"",IFERROR(MATCH(L198,INDEX(Boundaries!$B$2:$I$30,MATCH(FO198,Boundaries!$A$2:$A$30,0),0),1)-1,""))</f>
        <v>7</v>
      </c>
      <c r="N198" s="37" t="str">
        <f aca="false">IF(COUNT($DY198:$EL198)&lt;2,"",INDEX($DK198:$DX198,MAX($DY198:$EL198))-INDEX($DK198:$DX198,MIN($DY198:$EL198)))</f>
        <v/>
      </c>
      <c r="O198" s="37" t="str">
        <f aca="false">IF(COUNT($DY198:$EL198)&lt;2,"",INDEX($DK198:$DX198,MAX($DY198:$EL198))-INDEX($DK198:$DX198,LARGE($DY198:$EL198,2)))</f>
        <v/>
      </c>
      <c r="P198" s="38" t="str">
        <f aca="false">IF(K198="","",IF(K198&gt;=0,"On/above target",IF(AND(N198&lt;&gt;"",N198&gt;=0.5),"Improving towards target",IF(AND(O198&lt;&gt;"",O198&lt;=-0.5),"Declining","Stable below target"))))</f>
        <v/>
      </c>
      <c r="Q198" s="39" t="n">
        <v>16</v>
      </c>
      <c r="R198" s="40" t="n">
        <f aca="false">IF(OR(Q198="",BU198=""),"",Q198/BU198*100)</f>
        <v>80</v>
      </c>
      <c r="S198" s="41" t="n">
        <f aca="false">IF(R198="","",IFERROR(MATCH(R198,INDEX(Boundaries!$B$2:$I$30,MATCH(CI198,Boundaries!$A$2:$A$30,0),0),1)-1,""))</f>
        <v>7</v>
      </c>
      <c r="T198" s="42" t="str">
        <f aca="false">IF(OR(S198="",$E198=""),"",S198-$E198)</f>
        <v/>
      </c>
      <c r="U198" s="39"/>
      <c r="V198" s="40" t="str">
        <f aca="false">IF(OR(U198="",BV198=""),"",U198/BV198*100)</f>
        <v/>
      </c>
      <c r="W198" s="41" t="str">
        <f aca="false">IF(V198="","",IFERROR(MATCH(V198,INDEX(Boundaries!$B$2:$I$30,MATCH(CJ198,Boundaries!$A$2:$A$30,0),0),1)-1,""))</f>
        <v/>
      </c>
      <c r="X198" s="42" t="str">
        <f aca="false">IF(OR(W198="",$E198=""),"",W198-$E198)</f>
        <v/>
      </c>
      <c r="Y198" s="39"/>
      <c r="Z198" s="40" t="str">
        <f aca="false">IF(OR(Y198="",BW198=""),"",Y198/BW198*100)</f>
        <v/>
      </c>
      <c r="AA198" s="41" t="str">
        <f aca="false">IF(Z198="","",IFERROR(MATCH(Z198,INDEX(Boundaries!$B$2:$I$30,MATCH(CK198,Boundaries!$A$2:$A$30,0),0),1)-1,""))</f>
        <v/>
      </c>
      <c r="AB198" s="42" t="str">
        <f aca="false">IF(OR(AA198="",$E198=""),"",AA198-$E198)</f>
        <v/>
      </c>
      <c r="AC198" s="39"/>
      <c r="AD198" s="40" t="str">
        <f aca="false">IF(OR(AC198="",BX198=""),"",AC198/BX198*100)</f>
        <v/>
      </c>
      <c r="AE198" s="41" t="str">
        <f aca="false">IF(AD198="","",IFERROR(MATCH(AD198,INDEX(Boundaries!$B$2:$I$30,MATCH(CL198,Boundaries!$A$2:$A$30,0),0),1)-1,""))</f>
        <v/>
      </c>
      <c r="AF198" s="42" t="str">
        <f aca="false">IF(OR(AE198="",$E198=""),"",AE198-$E198)</f>
        <v/>
      </c>
      <c r="AG198" s="39"/>
      <c r="AH198" s="40" t="str">
        <f aca="false">IF(OR(AG198="",BY198=""),"",AG198/BY198*100)</f>
        <v/>
      </c>
      <c r="AI198" s="41" t="str">
        <f aca="false">IF(AH198="","",IFERROR(MATCH(AH198,INDEX(Boundaries!$B$2:$I$30,MATCH(CM198,Boundaries!$A$2:$A$30,0),0),1)-1,""))</f>
        <v/>
      </c>
      <c r="AJ198" s="42" t="str">
        <f aca="false">IF(OR(AI198="",$E198=""),"",AI198-$E198)</f>
        <v/>
      </c>
      <c r="AK198" s="39"/>
      <c r="AL198" s="40" t="str">
        <f aca="false">IF(OR(AK198="",BZ198=""),"",AK198/BZ198*100)</f>
        <v/>
      </c>
      <c r="AM198" s="41" t="str">
        <f aca="false">IF(AL198="","",IFERROR(MATCH(AL198,INDEX(Boundaries!$B$2:$I$30,MATCH(CN198,Boundaries!$A$2:$A$30,0),0),1)-1,""))</f>
        <v/>
      </c>
      <c r="AN198" s="42" t="str">
        <f aca="false">IF(OR(AM198="",$E198=""),"",AM198-$E198)</f>
        <v/>
      </c>
      <c r="AO198" s="39"/>
      <c r="AP198" s="40" t="str">
        <f aca="false">IF(OR(AO198="",CA198=""),"",AO198/CA198*100)</f>
        <v/>
      </c>
      <c r="AQ198" s="41" t="str">
        <f aca="false">IF(AP198="","",IFERROR(MATCH(AP198,INDEX(Boundaries!$B$2:$I$30,MATCH(CO198,Boundaries!$A$2:$A$30,0),0),1)-1,""))</f>
        <v/>
      </c>
      <c r="AR198" s="42" t="str">
        <f aca="false">IF(OR(AQ198="",$E198=""),"",AQ198-$E198)</f>
        <v/>
      </c>
      <c r="AS198" s="39"/>
      <c r="AT198" s="40" t="str">
        <f aca="false">IF(OR(AS198="",CB198=""),"",AS198/CB198*100)</f>
        <v/>
      </c>
      <c r="AU198" s="41" t="str">
        <f aca="false">IF(AT198="","",IFERROR(MATCH(AT198,INDEX(Boundaries!$B$2:$I$30,MATCH(CP198,Boundaries!$A$2:$A$30,0),0),1)-1,""))</f>
        <v/>
      </c>
      <c r="AV198" s="42" t="str">
        <f aca="false">IF(OR(AU198="",$E198=""),"",AU198-$E198)</f>
        <v/>
      </c>
      <c r="AW198" s="39"/>
      <c r="AX198" s="40" t="str">
        <f aca="false">IF(OR(AW198="",CC198=""),"",AW198/CC198*100)</f>
        <v/>
      </c>
      <c r="AY198" s="41" t="str">
        <f aca="false">IF(AX198="","",IFERROR(MATCH(AX198,INDEX(Boundaries!$B$2:$I$30,MATCH(CQ198,Boundaries!$A$2:$A$30,0),0),1)-1,""))</f>
        <v/>
      </c>
      <c r="AZ198" s="42" t="str">
        <f aca="false">IF(OR(AY198="",$E198=""),"",AY198-$E198)</f>
        <v/>
      </c>
      <c r="BA198" s="39"/>
      <c r="BB198" s="40" t="str">
        <f aca="false">IF(OR(BA198="",CD198=""),"",BA198/CD198*100)</f>
        <v/>
      </c>
      <c r="BC198" s="41" t="str">
        <f aca="false">IF(BB198="","",IFERROR(MATCH(BB198,INDEX(Boundaries!$B$2:$I$30,MATCH(CR198,Boundaries!$A$2:$A$30,0),0),1)-1,""))</f>
        <v/>
      </c>
      <c r="BD198" s="42" t="str">
        <f aca="false">IF(OR(BC198="",$E198=""),"",BC198-$E198)</f>
        <v/>
      </c>
      <c r="BE198" s="39"/>
      <c r="BF198" s="40" t="str">
        <f aca="false">IF(OR(BE198="",CE198=""),"",BE198/CE198*100)</f>
        <v/>
      </c>
      <c r="BG198" s="41" t="str">
        <f aca="false">IF(BF198="","",IFERROR(MATCH(BF198,INDEX(Boundaries!$B$2:$I$30,MATCH(CS198,Boundaries!$A$2:$A$30,0),0),1)-1,""))</f>
        <v/>
      </c>
      <c r="BH198" s="42" t="str">
        <f aca="false">IF(OR(BG198="",$E198=""),"",BG198-$E198)</f>
        <v/>
      </c>
      <c r="BI198" s="39"/>
      <c r="BJ198" s="40" t="str">
        <f aca="false">IF(OR(BI198="",CF198=""),"",BI198/CF198*100)</f>
        <v/>
      </c>
      <c r="BK198" s="41" t="str">
        <f aca="false">IF(BJ198="","",IFERROR(MATCH(BJ198,INDEX(Boundaries!$B$2:$I$30,MATCH(CT198,Boundaries!$A$2:$A$30,0),0),1)-1,""))</f>
        <v/>
      </c>
      <c r="BL198" s="42" t="str">
        <f aca="false">IF(OR(BK198="",$E198=""),"",BK198-$E198)</f>
        <v/>
      </c>
      <c r="BM198" s="39"/>
      <c r="BN198" s="40" t="str">
        <f aca="false">IF(OR(BM198="",CG198=""),"",BM198/CG198*100)</f>
        <v/>
      </c>
      <c r="BO198" s="41" t="str">
        <f aca="false">IF(BN198="","",IFERROR(MATCH(BN198,INDEX(Boundaries!$B$2:$I$30,MATCH(CU198,Boundaries!$A$2:$A$30,0),0),1)-1,""))</f>
        <v/>
      </c>
      <c r="BP198" s="42" t="str">
        <f aca="false">IF(OR(BO198="",$E198=""),"",BO198-$E198)</f>
        <v/>
      </c>
      <c r="BQ198" s="39"/>
      <c r="BR198" s="40" t="str">
        <f aca="false">IF(OR(BQ198="",CH198=""),"",BQ198/CH198*100)</f>
        <v/>
      </c>
      <c r="BS198" s="41" t="str">
        <f aca="false">IF(BR198="","",IFERROR(MATCH(BR198,INDEX(Boundaries!$B$2:$I$30,MATCH(CV198,Boundaries!$A$2:$A$30,0),0),1)-1,""))</f>
        <v/>
      </c>
      <c r="BT198" s="42" t="str">
        <f aca="false">IF(OR(BS198="",$E198=""),"",BS198-$E198)</f>
        <v/>
      </c>
      <c r="BU198" s="28" t="n">
        <f aca="false">IFERROR(INDEX(Assessments!$H$2:$H$600,MATCH($H198&amp;"|"&amp;$I198&amp;"|"&amp;$J198&amp;"|"&amp;1,Assessments!$A$2:$A$600,0)),"")</f>
        <v>20</v>
      </c>
      <c r="BV198" s="28" t="n">
        <f aca="false">IFERROR(INDEX(Assessments!$H$2:$H$600,MATCH($H198&amp;"|"&amp;$I198&amp;"|"&amp;$J198&amp;"|"&amp;2,Assessments!$A$2:$A$600,0)),"")</f>
        <v>20</v>
      </c>
      <c r="BW198" s="28" t="n">
        <f aca="false">IFERROR(INDEX(Assessments!$H$2:$H$600,MATCH($H198&amp;"|"&amp;$I198&amp;"|"&amp;$J198&amp;"|"&amp;3,Assessments!$A$2:$A$600,0)),"")</f>
        <v>20</v>
      </c>
      <c r="BX198" s="28" t="n">
        <f aca="false">IFERROR(INDEX(Assessments!$H$2:$H$600,MATCH($H198&amp;"|"&amp;$I198&amp;"|"&amp;$J198&amp;"|"&amp;4,Assessments!$A$2:$A$600,0)),"")</f>
        <v>20</v>
      </c>
      <c r="BY198" s="28" t="n">
        <f aca="false">IFERROR(INDEX(Assessments!$H$2:$H$600,MATCH($H198&amp;"|"&amp;$I198&amp;"|"&amp;$J198&amp;"|"&amp;5,Assessments!$A$2:$A$600,0)),"")</f>
        <v>20</v>
      </c>
      <c r="BZ198" s="28" t="n">
        <f aca="false">IFERROR(INDEX(Assessments!$H$2:$H$600,MATCH($H198&amp;"|"&amp;$I198&amp;"|"&amp;$J198&amp;"|"&amp;6,Assessments!$A$2:$A$600,0)),"")</f>
        <v>40</v>
      </c>
      <c r="CA198" s="28" t="n">
        <f aca="false">IFERROR(INDEX(Assessments!$H$2:$H$600,MATCH($H198&amp;"|"&amp;$I198&amp;"|"&amp;$J198&amp;"|"&amp;7,Assessments!$A$2:$A$600,0)),"")</f>
        <v>50</v>
      </c>
      <c r="CB198" s="28" t="str">
        <f aca="false">IFERROR(INDEX(Assessments!$H$2:$H$600,MATCH($H198&amp;"|"&amp;$I198&amp;"|"&amp;$J198&amp;"|"&amp;8,Assessments!$A$2:$A$600,0)),"")</f>
        <v/>
      </c>
      <c r="CC198" s="28" t="str">
        <f aca="false">IFERROR(INDEX(Assessments!$H$2:$H$600,MATCH($H198&amp;"|"&amp;$I198&amp;"|"&amp;$J198&amp;"|"&amp;9,Assessments!$A$2:$A$600,0)),"")</f>
        <v/>
      </c>
      <c r="CD198" s="28" t="str">
        <f aca="false">IFERROR(INDEX(Assessments!$H$2:$H$600,MATCH($H198&amp;"|"&amp;$I198&amp;"|"&amp;$J198&amp;"|"&amp;10,Assessments!$A$2:$A$600,0)),"")</f>
        <v/>
      </c>
      <c r="CE198" s="28" t="str">
        <f aca="false">IFERROR(INDEX(Assessments!$H$2:$H$600,MATCH($H198&amp;"|"&amp;$I198&amp;"|"&amp;$J198&amp;"|"&amp;11,Assessments!$A$2:$A$600,0)),"")</f>
        <v/>
      </c>
      <c r="CF198" s="28" t="str">
        <f aca="false">IFERROR(INDEX(Assessments!$H$2:$H$600,MATCH($H198&amp;"|"&amp;$I198&amp;"|"&amp;$J198&amp;"|"&amp;12,Assessments!$A$2:$A$600,0)),"")</f>
        <v/>
      </c>
      <c r="CG198" s="28" t="str">
        <f aca="false">IFERROR(INDEX(Assessments!$H$2:$H$600,MATCH($H198&amp;"|"&amp;$I198&amp;"|"&amp;$J198&amp;"|"&amp;13,Assessments!$A$2:$A$600,0)),"")</f>
        <v/>
      </c>
      <c r="CH198" s="28" t="str">
        <f aca="false">IFERROR(INDEX(Assessments!$H$2:$H$600,MATCH($H198&amp;"|"&amp;$I198&amp;"|"&amp;$J198&amp;"|"&amp;14,Assessments!$A$2:$A$600,0)),"")</f>
        <v/>
      </c>
      <c r="CI198" s="28" t="str">
        <f aca="false">IFERROR(INDEX(Assessments!$I$2:$I$600,MATCH($H198&amp;"|"&amp;$I198&amp;"|"&amp;$J198&amp;"|"&amp;1,Assessments!$A$2:$A$600,0)),"")</f>
        <v>Geog Paper 1</v>
      </c>
      <c r="CJ198" s="28" t="str">
        <f aca="false">IFERROR(INDEX(Assessments!$I$2:$I$600,MATCH($H198&amp;"|"&amp;$I198&amp;"|"&amp;$J198&amp;"|"&amp;2,Assessments!$A$2:$A$600,0)),"")</f>
        <v>Geog Paper 1</v>
      </c>
      <c r="CK198" s="28" t="str">
        <f aca="false">IFERROR(INDEX(Assessments!$I$2:$I$600,MATCH($H198&amp;"|"&amp;$I198&amp;"|"&amp;$J198&amp;"|"&amp;3,Assessments!$A$2:$A$600,0)),"")</f>
        <v>Geog Paper 2</v>
      </c>
      <c r="CL198" s="28" t="str">
        <f aca="false">IFERROR(INDEX(Assessments!$I$2:$I$600,MATCH($H198&amp;"|"&amp;$I198&amp;"|"&amp;$J198&amp;"|"&amp;4,Assessments!$A$2:$A$600,0)),"")</f>
        <v>Geog Paper 1</v>
      </c>
      <c r="CM198" s="28" t="str">
        <f aca="false">IFERROR(INDEX(Assessments!$I$2:$I$600,MATCH($H198&amp;"|"&amp;$I198&amp;"|"&amp;$J198&amp;"|"&amp;5,Assessments!$A$2:$A$600,0)),"")</f>
        <v>Geog Paper 1</v>
      </c>
      <c r="CN198" s="28" t="str">
        <f aca="false">IFERROR(INDEX(Assessments!$I$2:$I$600,MATCH($H198&amp;"|"&amp;$I198&amp;"|"&amp;$J198&amp;"|"&amp;6,Assessments!$A$2:$A$600,0)),"")</f>
        <v>Geog Paper 1</v>
      </c>
      <c r="CO198" s="28" t="str">
        <f aca="false">IFERROR(INDEX(Assessments!$I$2:$I$600,MATCH($H198&amp;"|"&amp;$I198&amp;"|"&amp;$J198&amp;"|"&amp;7,Assessments!$A$2:$A$600,0)),"")</f>
        <v>Geog Paper 2</v>
      </c>
      <c r="CP198" s="28" t="str">
        <f aca="false">IFERROR(INDEX(Assessments!$I$2:$I$600,MATCH($H198&amp;"|"&amp;$I198&amp;"|"&amp;$J198&amp;"|"&amp;8,Assessments!$A$2:$A$600,0)),"")</f>
        <v/>
      </c>
      <c r="CQ198" s="28" t="str">
        <f aca="false">IFERROR(INDEX(Assessments!$I$2:$I$600,MATCH($H198&amp;"|"&amp;$I198&amp;"|"&amp;$J198&amp;"|"&amp;9,Assessments!$A$2:$A$600,0)),"")</f>
        <v/>
      </c>
      <c r="CR198" s="28" t="str">
        <f aca="false">IFERROR(INDEX(Assessments!$I$2:$I$600,MATCH($H198&amp;"|"&amp;$I198&amp;"|"&amp;$J198&amp;"|"&amp;10,Assessments!$A$2:$A$600,0)),"")</f>
        <v/>
      </c>
      <c r="CS198" s="28" t="str">
        <f aca="false">IFERROR(INDEX(Assessments!$I$2:$I$600,MATCH($H198&amp;"|"&amp;$I198&amp;"|"&amp;$J198&amp;"|"&amp;11,Assessments!$A$2:$A$600,0)),"")</f>
        <v/>
      </c>
      <c r="CT198" s="28" t="str">
        <f aca="false">IFERROR(INDEX(Assessments!$I$2:$I$600,MATCH($H198&amp;"|"&amp;$I198&amp;"|"&amp;$J198&amp;"|"&amp;12,Assessments!$A$2:$A$600,0)),"")</f>
        <v/>
      </c>
      <c r="CU198" s="28" t="str">
        <f aca="false">IFERROR(INDEX(Assessments!$I$2:$I$600,MATCH($H198&amp;"|"&amp;$I198&amp;"|"&amp;$J198&amp;"|"&amp;13,Assessments!$A$2:$A$600,0)),"")</f>
        <v/>
      </c>
      <c r="CV198" s="28" t="str">
        <f aca="false">IFERROR(INDEX(Assessments!$I$2:$I$600,MATCH($H198&amp;"|"&amp;$I198&amp;"|"&amp;$J198&amp;"|"&amp;14,Assessments!$A$2:$A$600,0)),"")</f>
        <v/>
      </c>
      <c r="CW198" s="28" t="n">
        <f aca="false">IFERROR(INDEX(Assessments!$J$2:$J$600,MATCH($H198&amp;"|"&amp;$I198&amp;"|"&amp;$J198&amp;"|"&amp;1,Assessments!$A$2:$A$600,0)),0)</f>
        <v>1</v>
      </c>
      <c r="CX198" s="28" t="n">
        <f aca="false">IFERROR(INDEX(Assessments!$J$2:$J$600,MATCH($H198&amp;"|"&amp;$I198&amp;"|"&amp;$J198&amp;"|"&amp;2,Assessments!$A$2:$A$600,0)),0)</f>
        <v>1</v>
      </c>
      <c r="CY198" s="28" t="n">
        <f aca="false">IFERROR(INDEX(Assessments!$J$2:$J$600,MATCH($H198&amp;"|"&amp;$I198&amp;"|"&amp;$J198&amp;"|"&amp;3,Assessments!$A$2:$A$600,0)),0)</f>
        <v>1</v>
      </c>
      <c r="CZ198" s="28" t="n">
        <f aca="false">IFERROR(INDEX(Assessments!$J$2:$J$600,MATCH($H198&amp;"|"&amp;$I198&amp;"|"&amp;$J198&amp;"|"&amp;4,Assessments!$A$2:$A$600,0)),0)</f>
        <v>1</v>
      </c>
      <c r="DA198" s="28" t="n">
        <f aca="false">IFERROR(INDEX(Assessments!$J$2:$J$600,MATCH($H198&amp;"|"&amp;$I198&amp;"|"&amp;$J198&amp;"|"&amp;5,Assessments!$A$2:$A$600,0)),0)</f>
        <v>1</v>
      </c>
      <c r="DB198" s="28" t="n">
        <f aca="false">IFERROR(INDEX(Assessments!$J$2:$J$600,MATCH($H198&amp;"|"&amp;$I198&amp;"|"&amp;$J198&amp;"|"&amp;6,Assessments!$A$2:$A$600,0)),0)</f>
        <v>2</v>
      </c>
      <c r="DC198" s="28" t="n">
        <f aca="false">IFERROR(INDEX(Assessments!$J$2:$J$600,MATCH($H198&amp;"|"&amp;$I198&amp;"|"&amp;$J198&amp;"|"&amp;7,Assessments!$A$2:$A$600,0)),0)</f>
        <v>2</v>
      </c>
      <c r="DD198" s="28" t="n">
        <f aca="false">IFERROR(INDEX(Assessments!$J$2:$J$600,MATCH($H198&amp;"|"&amp;$I198&amp;"|"&amp;$J198&amp;"|"&amp;8,Assessments!$A$2:$A$600,0)),0)</f>
        <v>0</v>
      </c>
      <c r="DE198" s="28" t="n">
        <f aca="false">IFERROR(INDEX(Assessments!$J$2:$J$600,MATCH($H198&amp;"|"&amp;$I198&amp;"|"&amp;$J198&amp;"|"&amp;9,Assessments!$A$2:$A$600,0)),0)</f>
        <v>0</v>
      </c>
      <c r="DF198" s="28" t="n">
        <f aca="false">IFERROR(INDEX(Assessments!$J$2:$J$600,MATCH($H198&amp;"|"&amp;$I198&amp;"|"&amp;$J198&amp;"|"&amp;10,Assessments!$A$2:$A$600,0)),0)</f>
        <v>0</v>
      </c>
      <c r="DG198" s="28" t="n">
        <f aca="false">IFERROR(INDEX(Assessments!$J$2:$J$600,MATCH($H198&amp;"|"&amp;$I198&amp;"|"&amp;$J198&amp;"|"&amp;11,Assessments!$A$2:$A$600,0)),0)</f>
        <v>0</v>
      </c>
      <c r="DH198" s="28" t="n">
        <f aca="false">IFERROR(INDEX(Assessments!$J$2:$J$600,MATCH($H198&amp;"|"&amp;$I198&amp;"|"&amp;$J198&amp;"|"&amp;12,Assessments!$A$2:$A$600,0)),0)</f>
        <v>0</v>
      </c>
      <c r="DI198" s="28" t="n">
        <f aca="false">IFERROR(INDEX(Assessments!$J$2:$J$600,MATCH($H198&amp;"|"&amp;$I198&amp;"|"&amp;$J198&amp;"|"&amp;13,Assessments!$A$2:$A$600,0)),0)</f>
        <v>0</v>
      </c>
      <c r="DJ198" s="28" t="n">
        <f aca="false">IFERROR(INDEX(Assessments!$J$2:$J$600,MATCH($H198&amp;"|"&amp;$I198&amp;"|"&amp;$J198&amp;"|"&amp;14,Assessments!$A$2:$A$600,0)),0)</f>
        <v>0</v>
      </c>
      <c r="DK198" s="28" t="n">
        <f aca="false">S198</f>
        <v>7</v>
      </c>
      <c r="DL198" s="28" t="str">
        <f aca="false">W198</f>
        <v/>
      </c>
      <c r="DM198" s="28" t="str">
        <f aca="false">AA198</f>
        <v/>
      </c>
      <c r="DN198" s="28" t="str">
        <f aca="false">AE198</f>
        <v/>
      </c>
      <c r="DO198" s="28" t="str">
        <f aca="false">AI198</f>
        <v/>
      </c>
      <c r="DP198" s="28" t="str">
        <f aca="false">AM198</f>
        <v/>
      </c>
      <c r="DQ198" s="28" t="str">
        <f aca="false">AQ198</f>
        <v/>
      </c>
      <c r="DR198" s="28" t="str">
        <f aca="false">AU198</f>
        <v/>
      </c>
      <c r="DS198" s="28" t="str">
        <f aca="false">AY198</f>
        <v/>
      </c>
      <c r="DT198" s="28" t="str">
        <f aca="false">BC198</f>
        <v/>
      </c>
      <c r="DU198" s="28" t="str">
        <f aca="false">BG198</f>
        <v/>
      </c>
      <c r="DV198" s="28" t="str">
        <f aca="false">BK198</f>
        <v/>
      </c>
      <c r="DW198" s="28" t="str">
        <f aca="false">BO198</f>
        <v/>
      </c>
      <c r="DX198" s="28" t="str">
        <f aca="false">BS198</f>
        <v/>
      </c>
      <c r="DY198" s="28" t="n">
        <f aca="false">IF(ISNUMBER(S198),1,"")</f>
        <v>1</v>
      </c>
      <c r="DZ198" s="28" t="str">
        <f aca="false">IF(ISNUMBER(W198),2,"")</f>
        <v/>
      </c>
      <c r="EA198" s="28" t="str">
        <f aca="false">IF(ISNUMBER(AA198),3,"")</f>
        <v/>
      </c>
      <c r="EB198" s="28" t="str">
        <f aca="false">IF(ISNUMBER(AE198),4,"")</f>
        <v/>
      </c>
      <c r="EC198" s="28" t="str">
        <f aca="false">IF(ISNUMBER(AI198),5,"")</f>
        <v/>
      </c>
      <c r="ED198" s="28" t="str">
        <f aca="false">IF(ISNUMBER(AM198),6,"")</f>
        <v/>
      </c>
      <c r="EE198" s="28" t="str">
        <f aca="false">IF(ISNUMBER(AQ198),7,"")</f>
        <v/>
      </c>
      <c r="EF198" s="28" t="str">
        <f aca="false">IF(ISNUMBER(AU198),8,"")</f>
        <v/>
      </c>
      <c r="EG198" s="28" t="str">
        <f aca="false">IF(ISNUMBER(AY198),9,"")</f>
        <v/>
      </c>
      <c r="EH198" s="28" t="str">
        <f aca="false">IF(ISNUMBER(BC198),10,"")</f>
        <v/>
      </c>
      <c r="EI198" s="28" t="str">
        <f aca="false">IF(ISNUMBER(BG198),11,"")</f>
        <v/>
      </c>
      <c r="EJ198" s="28" t="str">
        <f aca="false">IF(ISNUMBER(BK198),12,"")</f>
        <v/>
      </c>
      <c r="EK198" s="28" t="str">
        <f aca="false">IF(ISNUMBER(BO198),13,"")</f>
        <v/>
      </c>
      <c r="EL198" s="28" t="str">
        <f aca="false">IF(ISNUMBER(BS198),14,"")</f>
        <v/>
      </c>
      <c r="EM198" s="28" t="n">
        <f aca="false">IF(ISNUMBER(R198),R198*CW198,0)</f>
        <v>80</v>
      </c>
      <c r="EN198" s="28" t="n">
        <f aca="false">IF(ISNUMBER(V198),V198*CX198,0)</f>
        <v>0</v>
      </c>
      <c r="EO198" s="28" t="n">
        <f aca="false">IF(ISNUMBER(Z198),Z198*CY198,0)</f>
        <v>0</v>
      </c>
      <c r="EP198" s="28" t="n">
        <f aca="false">IF(ISNUMBER(AD198),AD198*CZ198,0)</f>
        <v>0</v>
      </c>
      <c r="EQ198" s="28" t="n">
        <f aca="false">IF(ISNUMBER(AH198),AH198*DA198,0)</f>
        <v>0</v>
      </c>
      <c r="ER198" s="28" t="n">
        <f aca="false">IF(ISNUMBER(AL198),AL198*DB198,0)</f>
        <v>0</v>
      </c>
      <c r="ES198" s="28" t="n">
        <f aca="false">IF(ISNUMBER(AP198),AP198*DC198,0)</f>
        <v>0</v>
      </c>
      <c r="ET198" s="28" t="n">
        <f aca="false">IF(ISNUMBER(AT198),AT198*DD198,0)</f>
        <v>0</v>
      </c>
      <c r="EU198" s="28" t="n">
        <f aca="false">IF(ISNUMBER(AX198),AX198*DE198,0)</f>
        <v>0</v>
      </c>
      <c r="EV198" s="28" t="n">
        <f aca="false">IF(ISNUMBER(BB198),BB198*DF198,0)</f>
        <v>0</v>
      </c>
      <c r="EW198" s="28" t="n">
        <f aca="false">IF(ISNUMBER(BF198),BF198*DG198,0)</f>
        <v>0</v>
      </c>
      <c r="EX198" s="28" t="n">
        <f aca="false">IF(ISNUMBER(BJ198),BJ198*DH198,0)</f>
        <v>0</v>
      </c>
      <c r="EY198" s="28" t="n">
        <f aca="false">IF(ISNUMBER(BN198),BN198*DI198,0)</f>
        <v>0</v>
      </c>
      <c r="EZ198" s="28" t="n">
        <f aca="false">IF(ISNUMBER(BR198),BR198*DJ198,0)</f>
        <v>0</v>
      </c>
      <c r="FA198" s="28" t="n">
        <f aca="false">IF(ISNUMBER(R198),CW198,0)</f>
        <v>1</v>
      </c>
      <c r="FB198" s="28" t="n">
        <f aca="false">IF(ISNUMBER(V198),CX198,0)</f>
        <v>0</v>
      </c>
      <c r="FC198" s="28" t="n">
        <f aca="false">IF(ISNUMBER(Z198),CY198,0)</f>
        <v>0</v>
      </c>
      <c r="FD198" s="28" t="n">
        <f aca="false">IF(ISNUMBER(AD198),CZ198,0)</f>
        <v>0</v>
      </c>
      <c r="FE198" s="28" t="n">
        <f aca="false">IF(ISNUMBER(AH198),DA198,0)</f>
        <v>0</v>
      </c>
      <c r="FF198" s="28" t="n">
        <f aca="false">IF(ISNUMBER(AL198),DB198,0)</f>
        <v>0</v>
      </c>
      <c r="FG198" s="28" t="n">
        <f aca="false">IF(ISNUMBER(AP198),DC198,0)</f>
        <v>0</v>
      </c>
      <c r="FH198" s="28" t="n">
        <f aca="false">IF(ISNUMBER(AT198),DD198,0)</f>
        <v>0</v>
      </c>
      <c r="FI198" s="28" t="n">
        <f aca="false">IF(ISNUMBER(AX198),DE198,0)</f>
        <v>0</v>
      </c>
      <c r="FJ198" s="28" t="n">
        <f aca="false">IF(ISNUMBER(BB198),DF198,0)</f>
        <v>0</v>
      </c>
      <c r="FK198" s="28" t="n">
        <f aca="false">IF(ISNUMBER(BF198),DG198,0)</f>
        <v>0</v>
      </c>
      <c r="FL198" s="28" t="n">
        <f aca="false">IF(ISNUMBER(BJ198),DH198,0)</f>
        <v>0</v>
      </c>
      <c r="FM198" s="28" t="n">
        <f aca="false">IF(ISNUMBER(BN198),DI198,0)</f>
        <v>0</v>
      </c>
      <c r="FN198" s="28" t="n">
        <f aca="false">IF(ISNUMBER(BR198),DJ198,0)</f>
        <v>0</v>
      </c>
      <c r="FO198" s="28" t="str">
        <f aca="false">IFERROR(INDEX(Lists!$G$2:$G$20,MATCH($I198&amp;"|"&amp;$J198,Lists!$F$2:$F$20,0)),"")</f>
        <v>Geog Overall HL</v>
      </c>
    </row>
    <row r="199" customFormat="false" ht="19.5" hidden="false" customHeight="true" outlineLevel="0" collapsed="false">
      <c r="A199" s="29" t="s">
        <v>433</v>
      </c>
      <c r="B199" s="29" t="s">
        <v>434</v>
      </c>
      <c r="C199" s="30" t="s">
        <v>152</v>
      </c>
      <c r="D199" s="30" t="s">
        <v>427</v>
      </c>
      <c r="E199" s="31"/>
      <c r="F199" s="30" t="n">
        <v>6</v>
      </c>
      <c r="G199" s="30"/>
      <c r="H199" s="32" t="s">
        <v>428</v>
      </c>
      <c r="I199" s="33" t="s">
        <v>24</v>
      </c>
      <c r="J199" s="32" t="s">
        <v>25</v>
      </c>
      <c r="K199" s="34" t="str">
        <f aca="false">IF(OR(M199="",$E199=""),"",M199-$E199)</f>
        <v/>
      </c>
      <c r="L199" s="35" t="n">
        <f aca="false">IF(SUM(FA199:FN199)=0,"",SUM(EM199:EZ199)/SUM(FA199:FN199))</f>
        <v>60</v>
      </c>
      <c r="M199" s="36" t="n">
        <f aca="false">IF(OR(L199="",FO199=""),"",IFERROR(MATCH(L199,INDEX(Boundaries!$B$2:$I$30,MATCH(FO199,Boundaries!$A$2:$A$30,0),0),1)-1,""))</f>
        <v>5</v>
      </c>
      <c r="N199" s="37" t="str">
        <f aca="false">IF(COUNT($DY199:$EL199)&lt;2,"",INDEX($DK199:$DX199,MAX($DY199:$EL199))-INDEX($DK199:$DX199,MIN($DY199:$EL199)))</f>
        <v/>
      </c>
      <c r="O199" s="37" t="str">
        <f aca="false">IF(COUNT($DY199:$EL199)&lt;2,"",INDEX($DK199:$DX199,MAX($DY199:$EL199))-INDEX($DK199:$DX199,LARGE($DY199:$EL199,2)))</f>
        <v/>
      </c>
      <c r="P199" s="38" t="str">
        <f aca="false">IF(K199="","",IF(K199&gt;=0,"On/above target",IF(AND(N199&lt;&gt;"",N199&gt;=0.5),"Improving towards target",IF(AND(O199&lt;&gt;"",O199&lt;=-0.5),"Declining","Stable below target"))))</f>
        <v/>
      </c>
      <c r="Q199" s="39" t="n">
        <v>12</v>
      </c>
      <c r="R199" s="40" t="n">
        <f aca="false">IF(OR(Q199="",BU199=""),"",Q199/BU199*100)</f>
        <v>60</v>
      </c>
      <c r="S199" s="41" t="n">
        <f aca="false">IF(R199="","",IFERROR(MATCH(R199,INDEX(Boundaries!$B$2:$I$30,MATCH(CI199,Boundaries!$A$2:$A$30,0),0),1)-1,""))</f>
        <v>5</v>
      </c>
      <c r="T199" s="42" t="str">
        <f aca="false">IF(OR(S199="",$E199=""),"",S199-$E199)</f>
        <v/>
      </c>
      <c r="U199" s="39"/>
      <c r="V199" s="40" t="str">
        <f aca="false">IF(OR(U199="",BV199=""),"",U199/BV199*100)</f>
        <v/>
      </c>
      <c r="W199" s="41" t="str">
        <f aca="false">IF(V199="","",IFERROR(MATCH(V199,INDEX(Boundaries!$B$2:$I$30,MATCH(CJ199,Boundaries!$A$2:$A$30,0),0),1)-1,""))</f>
        <v/>
      </c>
      <c r="X199" s="42" t="str">
        <f aca="false">IF(OR(W199="",$E199=""),"",W199-$E199)</f>
        <v/>
      </c>
      <c r="Y199" s="39"/>
      <c r="Z199" s="40" t="str">
        <f aca="false">IF(OR(Y199="",BW199=""),"",Y199/BW199*100)</f>
        <v/>
      </c>
      <c r="AA199" s="41" t="str">
        <f aca="false">IF(Z199="","",IFERROR(MATCH(Z199,INDEX(Boundaries!$B$2:$I$30,MATCH(CK199,Boundaries!$A$2:$A$30,0),0),1)-1,""))</f>
        <v/>
      </c>
      <c r="AB199" s="42" t="str">
        <f aca="false">IF(OR(AA199="",$E199=""),"",AA199-$E199)</f>
        <v/>
      </c>
      <c r="AC199" s="39"/>
      <c r="AD199" s="40" t="str">
        <f aca="false">IF(OR(AC199="",BX199=""),"",AC199/BX199*100)</f>
        <v/>
      </c>
      <c r="AE199" s="41" t="str">
        <f aca="false">IF(AD199="","",IFERROR(MATCH(AD199,INDEX(Boundaries!$B$2:$I$30,MATCH(CL199,Boundaries!$A$2:$A$30,0),0),1)-1,""))</f>
        <v/>
      </c>
      <c r="AF199" s="42" t="str">
        <f aca="false">IF(OR(AE199="",$E199=""),"",AE199-$E199)</f>
        <v/>
      </c>
      <c r="AG199" s="39"/>
      <c r="AH199" s="40" t="str">
        <f aca="false">IF(OR(AG199="",BY199=""),"",AG199/BY199*100)</f>
        <v/>
      </c>
      <c r="AI199" s="41" t="str">
        <f aca="false">IF(AH199="","",IFERROR(MATCH(AH199,INDEX(Boundaries!$B$2:$I$30,MATCH(CM199,Boundaries!$A$2:$A$30,0),0),1)-1,""))</f>
        <v/>
      </c>
      <c r="AJ199" s="42" t="str">
        <f aca="false">IF(OR(AI199="",$E199=""),"",AI199-$E199)</f>
        <v/>
      </c>
      <c r="AK199" s="39"/>
      <c r="AL199" s="40" t="str">
        <f aca="false">IF(OR(AK199="",BZ199=""),"",AK199/BZ199*100)</f>
        <v/>
      </c>
      <c r="AM199" s="41" t="str">
        <f aca="false">IF(AL199="","",IFERROR(MATCH(AL199,INDEX(Boundaries!$B$2:$I$30,MATCH(CN199,Boundaries!$A$2:$A$30,0),0),1)-1,""))</f>
        <v/>
      </c>
      <c r="AN199" s="42" t="str">
        <f aca="false">IF(OR(AM199="",$E199=""),"",AM199-$E199)</f>
        <v/>
      </c>
      <c r="AO199" s="39"/>
      <c r="AP199" s="40" t="str">
        <f aca="false">IF(OR(AO199="",CA199=""),"",AO199/CA199*100)</f>
        <v/>
      </c>
      <c r="AQ199" s="41" t="str">
        <f aca="false">IF(AP199="","",IFERROR(MATCH(AP199,INDEX(Boundaries!$B$2:$I$30,MATCH(CO199,Boundaries!$A$2:$A$30,0),0),1)-1,""))</f>
        <v/>
      </c>
      <c r="AR199" s="42" t="str">
        <f aca="false">IF(OR(AQ199="",$E199=""),"",AQ199-$E199)</f>
        <v/>
      </c>
      <c r="AS199" s="39"/>
      <c r="AT199" s="40" t="str">
        <f aca="false">IF(OR(AS199="",CB199=""),"",AS199/CB199*100)</f>
        <v/>
      </c>
      <c r="AU199" s="41" t="str">
        <f aca="false">IF(AT199="","",IFERROR(MATCH(AT199,INDEX(Boundaries!$B$2:$I$30,MATCH(CP199,Boundaries!$A$2:$A$30,0),0),1)-1,""))</f>
        <v/>
      </c>
      <c r="AV199" s="42" t="str">
        <f aca="false">IF(OR(AU199="",$E199=""),"",AU199-$E199)</f>
        <v/>
      </c>
      <c r="AW199" s="39"/>
      <c r="AX199" s="40" t="str">
        <f aca="false">IF(OR(AW199="",CC199=""),"",AW199/CC199*100)</f>
        <v/>
      </c>
      <c r="AY199" s="41" t="str">
        <f aca="false">IF(AX199="","",IFERROR(MATCH(AX199,INDEX(Boundaries!$B$2:$I$30,MATCH(CQ199,Boundaries!$A$2:$A$30,0),0),1)-1,""))</f>
        <v/>
      </c>
      <c r="AZ199" s="42" t="str">
        <f aca="false">IF(OR(AY199="",$E199=""),"",AY199-$E199)</f>
        <v/>
      </c>
      <c r="BA199" s="39"/>
      <c r="BB199" s="40" t="str">
        <f aca="false">IF(OR(BA199="",CD199=""),"",BA199/CD199*100)</f>
        <v/>
      </c>
      <c r="BC199" s="41" t="str">
        <f aca="false">IF(BB199="","",IFERROR(MATCH(BB199,INDEX(Boundaries!$B$2:$I$30,MATCH(CR199,Boundaries!$A$2:$A$30,0),0),1)-1,""))</f>
        <v/>
      </c>
      <c r="BD199" s="42" t="str">
        <f aca="false">IF(OR(BC199="",$E199=""),"",BC199-$E199)</f>
        <v/>
      </c>
      <c r="BE199" s="39"/>
      <c r="BF199" s="40" t="str">
        <f aca="false">IF(OR(BE199="",CE199=""),"",BE199/CE199*100)</f>
        <v/>
      </c>
      <c r="BG199" s="41" t="str">
        <f aca="false">IF(BF199="","",IFERROR(MATCH(BF199,INDEX(Boundaries!$B$2:$I$30,MATCH(CS199,Boundaries!$A$2:$A$30,0),0),1)-1,""))</f>
        <v/>
      </c>
      <c r="BH199" s="42" t="str">
        <f aca="false">IF(OR(BG199="",$E199=""),"",BG199-$E199)</f>
        <v/>
      </c>
      <c r="BI199" s="39"/>
      <c r="BJ199" s="40" t="str">
        <f aca="false">IF(OR(BI199="",CF199=""),"",BI199/CF199*100)</f>
        <v/>
      </c>
      <c r="BK199" s="41" t="str">
        <f aca="false">IF(BJ199="","",IFERROR(MATCH(BJ199,INDEX(Boundaries!$B$2:$I$30,MATCH(CT199,Boundaries!$A$2:$A$30,0),0),1)-1,""))</f>
        <v/>
      </c>
      <c r="BL199" s="42" t="str">
        <f aca="false">IF(OR(BK199="",$E199=""),"",BK199-$E199)</f>
        <v/>
      </c>
      <c r="BM199" s="39"/>
      <c r="BN199" s="40" t="str">
        <f aca="false">IF(OR(BM199="",CG199=""),"",BM199/CG199*100)</f>
        <v/>
      </c>
      <c r="BO199" s="41" t="str">
        <f aca="false">IF(BN199="","",IFERROR(MATCH(BN199,INDEX(Boundaries!$B$2:$I$30,MATCH(CU199,Boundaries!$A$2:$A$30,0),0),1)-1,""))</f>
        <v/>
      </c>
      <c r="BP199" s="42" t="str">
        <f aca="false">IF(OR(BO199="",$E199=""),"",BO199-$E199)</f>
        <v/>
      </c>
      <c r="BQ199" s="39"/>
      <c r="BR199" s="40" t="str">
        <f aca="false">IF(OR(BQ199="",CH199=""),"",BQ199/CH199*100)</f>
        <v/>
      </c>
      <c r="BS199" s="41" t="str">
        <f aca="false">IF(BR199="","",IFERROR(MATCH(BR199,INDEX(Boundaries!$B$2:$I$30,MATCH(CV199,Boundaries!$A$2:$A$30,0),0),1)-1,""))</f>
        <v/>
      </c>
      <c r="BT199" s="42" t="str">
        <f aca="false">IF(OR(BS199="",$E199=""),"",BS199-$E199)</f>
        <v/>
      </c>
      <c r="BU199" s="28" t="n">
        <f aca="false">IFERROR(INDEX(Assessments!$H$2:$H$600,MATCH($H199&amp;"|"&amp;$I199&amp;"|"&amp;$J199&amp;"|"&amp;1,Assessments!$A$2:$A$600,0)),"")</f>
        <v>20</v>
      </c>
      <c r="BV199" s="28" t="n">
        <f aca="false">IFERROR(INDEX(Assessments!$H$2:$H$600,MATCH($H199&amp;"|"&amp;$I199&amp;"|"&amp;$J199&amp;"|"&amp;2,Assessments!$A$2:$A$600,0)),"")</f>
        <v>20</v>
      </c>
      <c r="BW199" s="28" t="n">
        <f aca="false">IFERROR(INDEX(Assessments!$H$2:$H$600,MATCH($H199&amp;"|"&amp;$I199&amp;"|"&amp;$J199&amp;"|"&amp;3,Assessments!$A$2:$A$600,0)),"")</f>
        <v>20</v>
      </c>
      <c r="BX199" s="28" t="n">
        <f aca="false">IFERROR(INDEX(Assessments!$H$2:$H$600,MATCH($H199&amp;"|"&amp;$I199&amp;"|"&amp;$J199&amp;"|"&amp;4,Assessments!$A$2:$A$600,0)),"")</f>
        <v>20</v>
      </c>
      <c r="BY199" s="28" t="n">
        <f aca="false">IFERROR(INDEX(Assessments!$H$2:$H$600,MATCH($H199&amp;"|"&amp;$I199&amp;"|"&amp;$J199&amp;"|"&amp;5,Assessments!$A$2:$A$600,0)),"")</f>
        <v>20</v>
      </c>
      <c r="BZ199" s="28" t="n">
        <f aca="false">IFERROR(INDEX(Assessments!$H$2:$H$600,MATCH($H199&amp;"|"&amp;$I199&amp;"|"&amp;$J199&amp;"|"&amp;6,Assessments!$A$2:$A$600,0)),"")</f>
        <v>40</v>
      </c>
      <c r="CA199" s="28" t="n">
        <f aca="false">IFERROR(INDEX(Assessments!$H$2:$H$600,MATCH($H199&amp;"|"&amp;$I199&amp;"|"&amp;$J199&amp;"|"&amp;7,Assessments!$A$2:$A$600,0)),"")</f>
        <v>50</v>
      </c>
      <c r="CB199" s="28" t="str">
        <f aca="false">IFERROR(INDEX(Assessments!$H$2:$H$600,MATCH($H199&amp;"|"&amp;$I199&amp;"|"&amp;$J199&amp;"|"&amp;8,Assessments!$A$2:$A$600,0)),"")</f>
        <v/>
      </c>
      <c r="CC199" s="28" t="str">
        <f aca="false">IFERROR(INDEX(Assessments!$H$2:$H$600,MATCH($H199&amp;"|"&amp;$I199&amp;"|"&amp;$J199&amp;"|"&amp;9,Assessments!$A$2:$A$600,0)),"")</f>
        <v/>
      </c>
      <c r="CD199" s="28" t="str">
        <f aca="false">IFERROR(INDEX(Assessments!$H$2:$H$600,MATCH($H199&amp;"|"&amp;$I199&amp;"|"&amp;$J199&amp;"|"&amp;10,Assessments!$A$2:$A$600,0)),"")</f>
        <v/>
      </c>
      <c r="CE199" s="28" t="str">
        <f aca="false">IFERROR(INDEX(Assessments!$H$2:$H$600,MATCH($H199&amp;"|"&amp;$I199&amp;"|"&amp;$J199&amp;"|"&amp;11,Assessments!$A$2:$A$600,0)),"")</f>
        <v/>
      </c>
      <c r="CF199" s="28" t="str">
        <f aca="false">IFERROR(INDEX(Assessments!$H$2:$H$600,MATCH($H199&amp;"|"&amp;$I199&amp;"|"&amp;$J199&amp;"|"&amp;12,Assessments!$A$2:$A$600,0)),"")</f>
        <v/>
      </c>
      <c r="CG199" s="28" t="str">
        <f aca="false">IFERROR(INDEX(Assessments!$H$2:$H$600,MATCH($H199&amp;"|"&amp;$I199&amp;"|"&amp;$J199&amp;"|"&amp;13,Assessments!$A$2:$A$600,0)),"")</f>
        <v/>
      </c>
      <c r="CH199" s="28" t="str">
        <f aca="false">IFERROR(INDEX(Assessments!$H$2:$H$600,MATCH($H199&amp;"|"&amp;$I199&amp;"|"&amp;$J199&amp;"|"&amp;14,Assessments!$A$2:$A$600,0)),"")</f>
        <v/>
      </c>
      <c r="CI199" s="28" t="str">
        <f aca="false">IFERROR(INDEX(Assessments!$I$2:$I$600,MATCH($H199&amp;"|"&amp;$I199&amp;"|"&amp;$J199&amp;"|"&amp;1,Assessments!$A$2:$A$600,0)),"")</f>
        <v>Geog Paper 1</v>
      </c>
      <c r="CJ199" s="28" t="str">
        <f aca="false">IFERROR(INDEX(Assessments!$I$2:$I$600,MATCH($H199&amp;"|"&amp;$I199&amp;"|"&amp;$J199&amp;"|"&amp;2,Assessments!$A$2:$A$600,0)),"")</f>
        <v>Geog Paper 1</v>
      </c>
      <c r="CK199" s="28" t="str">
        <f aca="false">IFERROR(INDEX(Assessments!$I$2:$I$600,MATCH($H199&amp;"|"&amp;$I199&amp;"|"&amp;$J199&amp;"|"&amp;3,Assessments!$A$2:$A$600,0)),"")</f>
        <v>Geog Paper 2</v>
      </c>
      <c r="CL199" s="28" t="str">
        <f aca="false">IFERROR(INDEX(Assessments!$I$2:$I$600,MATCH($H199&amp;"|"&amp;$I199&amp;"|"&amp;$J199&amp;"|"&amp;4,Assessments!$A$2:$A$600,0)),"")</f>
        <v>Geog Paper 1</v>
      </c>
      <c r="CM199" s="28" t="str">
        <f aca="false">IFERROR(INDEX(Assessments!$I$2:$I$600,MATCH($H199&amp;"|"&amp;$I199&amp;"|"&amp;$J199&amp;"|"&amp;5,Assessments!$A$2:$A$600,0)),"")</f>
        <v>Geog Paper 1</v>
      </c>
      <c r="CN199" s="28" t="str">
        <f aca="false">IFERROR(INDEX(Assessments!$I$2:$I$600,MATCH($H199&amp;"|"&amp;$I199&amp;"|"&amp;$J199&amp;"|"&amp;6,Assessments!$A$2:$A$600,0)),"")</f>
        <v>Geog Paper 1</v>
      </c>
      <c r="CO199" s="28" t="str">
        <f aca="false">IFERROR(INDEX(Assessments!$I$2:$I$600,MATCH($H199&amp;"|"&amp;$I199&amp;"|"&amp;$J199&amp;"|"&amp;7,Assessments!$A$2:$A$600,0)),"")</f>
        <v>Geog Paper 2</v>
      </c>
      <c r="CP199" s="28" t="str">
        <f aca="false">IFERROR(INDEX(Assessments!$I$2:$I$600,MATCH($H199&amp;"|"&amp;$I199&amp;"|"&amp;$J199&amp;"|"&amp;8,Assessments!$A$2:$A$600,0)),"")</f>
        <v/>
      </c>
      <c r="CQ199" s="28" t="str">
        <f aca="false">IFERROR(INDEX(Assessments!$I$2:$I$600,MATCH($H199&amp;"|"&amp;$I199&amp;"|"&amp;$J199&amp;"|"&amp;9,Assessments!$A$2:$A$600,0)),"")</f>
        <v/>
      </c>
      <c r="CR199" s="28" t="str">
        <f aca="false">IFERROR(INDEX(Assessments!$I$2:$I$600,MATCH($H199&amp;"|"&amp;$I199&amp;"|"&amp;$J199&amp;"|"&amp;10,Assessments!$A$2:$A$600,0)),"")</f>
        <v/>
      </c>
      <c r="CS199" s="28" t="str">
        <f aca="false">IFERROR(INDEX(Assessments!$I$2:$I$600,MATCH($H199&amp;"|"&amp;$I199&amp;"|"&amp;$J199&amp;"|"&amp;11,Assessments!$A$2:$A$600,0)),"")</f>
        <v/>
      </c>
      <c r="CT199" s="28" t="str">
        <f aca="false">IFERROR(INDEX(Assessments!$I$2:$I$600,MATCH($H199&amp;"|"&amp;$I199&amp;"|"&amp;$J199&amp;"|"&amp;12,Assessments!$A$2:$A$600,0)),"")</f>
        <v/>
      </c>
      <c r="CU199" s="28" t="str">
        <f aca="false">IFERROR(INDEX(Assessments!$I$2:$I$600,MATCH($H199&amp;"|"&amp;$I199&amp;"|"&amp;$J199&amp;"|"&amp;13,Assessments!$A$2:$A$600,0)),"")</f>
        <v/>
      </c>
      <c r="CV199" s="28" t="str">
        <f aca="false">IFERROR(INDEX(Assessments!$I$2:$I$600,MATCH($H199&amp;"|"&amp;$I199&amp;"|"&amp;$J199&amp;"|"&amp;14,Assessments!$A$2:$A$600,0)),"")</f>
        <v/>
      </c>
      <c r="CW199" s="28" t="n">
        <f aca="false">IFERROR(INDEX(Assessments!$J$2:$J$600,MATCH($H199&amp;"|"&amp;$I199&amp;"|"&amp;$J199&amp;"|"&amp;1,Assessments!$A$2:$A$600,0)),0)</f>
        <v>1</v>
      </c>
      <c r="CX199" s="28" t="n">
        <f aca="false">IFERROR(INDEX(Assessments!$J$2:$J$600,MATCH($H199&amp;"|"&amp;$I199&amp;"|"&amp;$J199&amp;"|"&amp;2,Assessments!$A$2:$A$600,0)),0)</f>
        <v>1</v>
      </c>
      <c r="CY199" s="28" t="n">
        <f aca="false">IFERROR(INDEX(Assessments!$J$2:$J$600,MATCH($H199&amp;"|"&amp;$I199&amp;"|"&amp;$J199&amp;"|"&amp;3,Assessments!$A$2:$A$600,0)),0)</f>
        <v>1</v>
      </c>
      <c r="CZ199" s="28" t="n">
        <f aca="false">IFERROR(INDEX(Assessments!$J$2:$J$600,MATCH($H199&amp;"|"&amp;$I199&amp;"|"&amp;$J199&amp;"|"&amp;4,Assessments!$A$2:$A$600,0)),0)</f>
        <v>1</v>
      </c>
      <c r="DA199" s="28" t="n">
        <f aca="false">IFERROR(INDEX(Assessments!$J$2:$J$600,MATCH($H199&amp;"|"&amp;$I199&amp;"|"&amp;$J199&amp;"|"&amp;5,Assessments!$A$2:$A$600,0)),0)</f>
        <v>1</v>
      </c>
      <c r="DB199" s="28" t="n">
        <f aca="false">IFERROR(INDEX(Assessments!$J$2:$J$600,MATCH($H199&amp;"|"&amp;$I199&amp;"|"&amp;$J199&amp;"|"&amp;6,Assessments!$A$2:$A$600,0)),0)</f>
        <v>2</v>
      </c>
      <c r="DC199" s="28" t="n">
        <f aca="false">IFERROR(INDEX(Assessments!$J$2:$J$600,MATCH($H199&amp;"|"&amp;$I199&amp;"|"&amp;$J199&amp;"|"&amp;7,Assessments!$A$2:$A$600,0)),0)</f>
        <v>2</v>
      </c>
      <c r="DD199" s="28" t="n">
        <f aca="false">IFERROR(INDEX(Assessments!$J$2:$J$600,MATCH($H199&amp;"|"&amp;$I199&amp;"|"&amp;$J199&amp;"|"&amp;8,Assessments!$A$2:$A$600,0)),0)</f>
        <v>0</v>
      </c>
      <c r="DE199" s="28" t="n">
        <f aca="false">IFERROR(INDEX(Assessments!$J$2:$J$600,MATCH($H199&amp;"|"&amp;$I199&amp;"|"&amp;$J199&amp;"|"&amp;9,Assessments!$A$2:$A$600,0)),0)</f>
        <v>0</v>
      </c>
      <c r="DF199" s="28" t="n">
        <f aca="false">IFERROR(INDEX(Assessments!$J$2:$J$600,MATCH($H199&amp;"|"&amp;$I199&amp;"|"&amp;$J199&amp;"|"&amp;10,Assessments!$A$2:$A$600,0)),0)</f>
        <v>0</v>
      </c>
      <c r="DG199" s="28" t="n">
        <f aca="false">IFERROR(INDEX(Assessments!$J$2:$J$600,MATCH($H199&amp;"|"&amp;$I199&amp;"|"&amp;$J199&amp;"|"&amp;11,Assessments!$A$2:$A$600,0)),0)</f>
        <v>0</v>
      </c>
      <c r="DH199" s="28" t="n">
        <f aca="false">IFERROR(INDEX(Assessments!$J$2:$J$600,MATCH($H199&amp;"|"&amp;$I199&amp;"|"&amp;$J199&amp;"|"&amp;12,Assessments!$A$2:$A$600,0)),0)</f>
        <v>0</v>
      </c>
      <c r="DI199" s="28" t="n">
        <f aca="false">IFERROR(INDEX(Assessments!$J$2:$J$600,MATCH($H199&amp;"|"&amp;$I199&amp;"|"&amp;$J199&amp;"|"&amp;13,Assessments!$A$2:$A$600,0)),0)</f>
        <v>0</v>
      </c>
      <c r="DJ199" s="28" t="n">
        <f aca="false">IFERROR(INDEX(Assessments!$J$2:$J$600,MATCH($H199&amp;"|"&amp;$I199&amp;"|"&amp;$J199&amp;"|"&amp;14,Assessments!$A$2:$A$600,0)),0)</f>
        <v>0</v>
      </c>
      <c r="DK199" s="28" t="n">
        <f aca="false">S199</f>
        <v>5</v>
      </c>
      <c r="DL199" s="28" t="str">
        <f aca="false">W199</f>
        <v/>
      </c>
      <c r="DM199" s="28" t="str">
        <f aca="false">AA199</f>
        <v/>
      </c>
      <c r="DN199" s="28" t="str">
        <f aca="false">AE199</f>
        <v/>
      </c>
      <c r="DO199" s="28" t="str">
        <f aca="false">AI199</f>
        <v/>
      </c>
      <c r="DP199" s="28" t="str">
        <f aca="false">AM199</f>
        <v/>
      </c>
      <c r="DQ199" s="28" t="str">
        <f aca="false">AQ199</f>
        <v/>
      </c>
      <c r="DR199" s="28" t="str">
        <f aca="false">AU199</f>
        <v/>
      </c>
      <c r="DS199" s="28" t="str">
        <f aca="false">AY199</f>
        <v/>
      </c>
      <c r="DT199" s="28" t="str">
        <f aca="false">BC199</f>
        <v/>
      </c>
      <c r="DU199" s="28" t="str">
        <f aca="false">BG199</f>
        <v/>
      </c>
      <c r="DV199" s="28" t="str">
        <f aca="false">BK199</f>
        <v/>
      </c>
      <c r="DW199" s="28" t="str">
        <f aca="false">BO199</f>
        <v/>
      </c>
      <c r="DX199" s="28" t="str">
        <f aca="false">BS199</f>
        <v/>
      </c>
      <c r="DY199" s="28" t="n">
        <f aca="false">IF(ISNUMBER(S199),1,"")</f>
        <v>1</v>
      </c>
      <c r="DZ199" s="28" t="str">
        <f aca="false">IF(ISNUMBER(W199),2,"")</f>
        <v/>
      </c>
      <c r="EA199" s="28" t="str">
        <f aca="false">IF(ISNUMBER(AA199),3,"")</f>
        <v/>
      </c>
      <c r="EB199" s="28" t="str">
        <f aca="false">IF(ISNUMBER(AE199),4,"")</f>
        <v/>
      </c>
      <c r="EC199" s="28" t="str">
        <f aca="false">IF(ISNUMBER(AI199),5,"")</f>
        <v/>
      </c>
      <c r="ED199" s="28" t="str">
        <f aca="false">IF(ISNUMBER(AM199),6,"")</f>
        <v/>
      </c>
      <c r="EE199" s="28" t="str">
        <f aca="false">IF(ISNUMBER(AQ199),7,"")</f>
        <v/>
      </c>
      <c r="EF199" s="28" t="str">
        <f aca="false">IF(ISNUMBER(AU199),8,"")</f>
        <v/>
      </c>
      <c r="EG199" s="28" t="str">
        <f aca="false">IF(ISNUMBER(AY199),9,"")</f>
        <v/>
      </c>
      <c r="EH199" s="28" t="str">
        <f aca="false">IF(ISNUMBER(BC199),10,"")</f>
        <v/>
      </c>
      <c r="EI199" s="28" t="str">
        <f aca="false">IF(ISNUMBER(BG199),11,"")</f>
        <v/>
      </c>
      <c r="EJ199" s="28" t="str">
        <f aca="false">IF(ISNUMBER(BK199),12,"")</f>
        <v/>
      </c>
      <c r="EK199" s="28" t="str">
        <f aca="false">IF(ISNUMBER(BO199),13,"")</f>
        <v/>
      </c>
      <c r="EL199" s="28" t="str">
        <f aca="false">IF(ISNUMBER(BS199),14,"")</f>
        <v/>
      </c>
      <c r="EM199" s="28" t="n">
        <f aca="false">IF(ISNUMBER(R199),R199*CW199,0)</f>
        <v>60</v>
      </c>
      <c r="EN199" s="28" t="n">
        <f aca="false">IF(ISNUMBER(V199),V199*CX199,0)</f>
        <v>0</v>
      </c>
      <c r="EO199" s="28" t="n">
        <f aca="false">IF(ISNUMBER(Z199),Z199*CY199,0)</f>
        <v>0</v>
      </c>
      <c r="EP199" s="28" t="n">
        <f aca="false">IF(ISNUMBER(AD199),AD199*CZ199,0)</f>
        <v>0</v>
      </c>
      <c r="EQ199" s="28" t="n">
        <f aca="false">IF(ISNUMBER(AH199),AH199*DA199,0)</f>
        <v>0</v>
      </c>
      <c r="ER199" s="28" t="n">
        <f aca="false">IF(ISNUMBER(AL199),AL199*DB199,0)</f>
        <v>0</v>
      </c>
      <c r="ES199" s="28" t="n">
        <f aca="false">IF(ISNUMBER(AP199),AP199*DC199,0)</f>
        <v>0</v>
      </c>
      <c r="ET199" s="28" t="n">
        <f aca="false">IF(ISNUMBER(AT199),AT199*DD199,0)</f>
        <v>0</v>
      </c>
      <c r="EU199" s="28" t="n">
        <f aca="false">IF(ISNUMBER(AX199),AX199*DE199,0)</f>
        <v>0</v>
      </c>
      <c r="EV199" s="28" t="n">
        <f aca="false">IF(ISNUMBER(BB199),BB199*DF199,0)</f>
        <v>0</v>
      </c>
      <c r="EW199" s="28" t="n">
        <f aca="false">IF(ISNUMBER(BF199),BF199*DG199,0)</f>
        <v>0</v>
      </c>
      <c r="EX199" s="28" t="n">
        <f aca="false">IF(ISNUMBER(BJ199),BJ199*DH199,0)</f>
        <v>0</v>
      </c>
      <c r="EY199" s="28" t="n">
        <f aca="false">IF(ISNUMBER(BN199),BN199*DI199,0)</f>
        <v>0</v>
      </c>
      <c r="EZ199" s="28" t="n">
        <f aca="false">IF(ISNUMBER(BR199),BR199*DJ199,0)</f>
        <v>0</v>
      </c>
      <c r="FA199" s="28" t="n">
        <f aca="false">IF(ISNUMBER(R199),CW199,0)</f>
        <v>1</v>
      </c>
      <c r="FB199" s="28" t="n">
        <f aca="false">IF(ISNUMBER(V199),CX199,0)</f>
        <v>0</v>
      </c>
      <c r="FC199" s="28" t="n">
        <f aca="false">IF(ISNUMBER(Z199),CY199,0)</f>
        <v>0</v>
      </c>
      <c r="FD199" s="28" t="n">
        <f aca="false">IF(ISNUMBER(AD199),CZ199,0)</f>
        <v>0</v>
      </c>
      <c r="FE199" s="28" t="n">
        <f aca="false">IF(ISNUMBER(AH199),DA199,0)</f>
        <v>0</v>
      </c>
      <c r="FF199" s="28" t="n">
        <f aca="false">IF(ISNUMBER(AL199),DB199,0)</f>
        <v>0</v>
      </c>
      <c r="FG199" s="28" t="n">
        <f aca="false">IF(ISNUMBER(AP199),DC199,0)</f>
        <v>0</v>
      </c>
      <c r="FH199" s="28" t="n">
        <f aca="false">IF(ISNUMBER(AT199),DD199,0)</f>
        <v>0</v>
      </c>
      <c r="FI199" s="28" t="n">
        <f aca="false">IF(ISNUMBER(AX199),DE199,0)</f>
        <v>0</v>
      </c>
      <c r="FJ199" s="28" t="n">
        <f aca="false">IF(ISNUMBER(BB199),DF199,0)</f>
        <v>0</v>
      </c>
      <c r="FK199" s="28" t="n">
        <f aca="false">IF(ISNUMBER(BF199),DG199,0)</f>
        <v>0</v>
      </c>
      <c r="FL199" s="28" t="n">
        <f aca="false">IF(ISNUMBER(BJ199),DH199,0)</f>
        <v>0</v>
      </c>
      <c r="FM199" s="28" t="n">
        <f aca="false">IF(ISNUMBER(BN199),DI199,0)</f>
        <v>0</v>
      </c>
      <c r="FN199" s="28" t="n">
        <f aca="false">IF(ISNUMBER(BR199),DJ199,0)</f>
        <v>0</v>
      </c>
      <c r="FO199" s="28" t="str">
        <f aca="false">IFERROR(INDEX(Lists!$G$2:$G$20,MATCH($I199&amp;"|"&amp;$J199,Lists!$F$2:$F$20,0)),"")</f>
        <v>Geog Overall HL</v>
      </c>
    </row>
    <row r="200" customFormat="false" ht="19.5" hidden="false" customHeight="true" outlineLevel="0" collapsed="false">
      <c r="A200" s="29" t="s">
        <v>435</v>
      </c>
      <c r="B200" s="29" t="s">
        <v>391</v>
      </c>
      <c r="C200" s="30" t="s">
        <v>152</v>
      </c>
      <c r="D200" s="30" t="s">
        <v>427</v>
      </c>
      <c r="E200" s="31"/>
      <c r="F200" s="30" t="n">
        <v>5</v>
      </c>
      <c r="G200" s="30"/>
      <c r="H200" s="32" t="s">
        <v>428</v>
      </c>
      <c r="I200" s="33" t="s">
        <v>24</v>
      </c>
      <c r="J200" s="32" t="s">
        <v>25</v>
      </c>
      <c r="K200" s="34" t="str">
        <f aca="false">IF(OR(M200="",$E200=""),"",M200-$E200)</f>
        <v/>
      </c>
      <c r="L200" s="35" t="n">
        <f aca="false">IF(SUM(FA200:FN200)=0,"",SUM(EM200:EZ200)/SUM(FA200:FN200))</f>
        <v>100</v>
      </c>
      <c r="M200" s="36" t="n">
        <f aca="false">IF(OR(L200="",FO200=""),"",IFERROR(MATCH(L200,INDEX(Boundaries!$B$2:$I$30,MATCH(FO200,Boundaries!$A$2:$A$30,0),0),1)-1,""))</f>
        <v>7</v>
      </c>
      <c r="N200" s="37" t="str">
        <f aca="false">IF(COUNT($DY200:$EL200)&lt;2,"",INDEX($DK200:$DX200,MAX($DY200:$EL200))-INDEX($DK200:$DX200,MIN($DY200:$EL200)))</f>
        <v/>
      </c>
      <c r="O200" s="37" t="str">
        <f aca="false">IF(COUNT($DY200:$EL200)&lt;2,"",INDEX($DK200:$DX200,MAX($DY200:$EL200))-INDEX($DK200:$DX200,LARGE($DY200:$EL200,2)))</f>
        <v/>
      </c>
      <c r="P200" s="38" t="str">
        <f aca="false">IF(K200="","",IF(K200&gt;=0,"On/above target",IF(AND(N200&lt;&gt;"",N200&gt;=0.5),"Improving towards target",IF(AND(O200&lt;&gt;"",O200&lt;=-0.5),"Declining","Stable below target"))))</f>
        <v/>
      </c>
      <c r="Q200" s="39" t="n">
        <v>20</v>
      </c>
      <c r="R200" s="40" t="n">
        <f aca="false">IF(OR(Q200="",BU200=""),"",Q200/BU200*100)</f>
        <v>100</v>
      </c>
      <c r="S200" s="41" t="n">
        <f aca="false">IF(R200="","",IFERROR(MATCH(R200,INDEX(Boundaries!$B$2:$I$30,MATCH(CI200,Boundaries!$A$2:$A$30,0),0),1)-1,""))</f>
        <v>7</v>
      </c>
      <c r="T200" s="42" t="str">
        <f aca="false">IF(OR(S200="",$E200=""),"",S200-$E200)</f>
        <v/>
      </c>
      <c r="U200" s="39"/>
      <c r="V200" s="40" t="str">
        <f aca="false">IF(OR(U200="",BV200=""),"",U200/BV200*100)</f>
        <v/>
      </c>
      <c r="W200" s="41" t="str">
        <f aca="false">IF(V200="","",IFERROR(MATCH(V200,INDEX(Boundaries!$B$2:$I$30,MATCH(CJ200,Boundaries!$A$2:$A$30,0),0),1)-1,""))</f>
        <v/>
      </c>
      <c r="X200" s="42" t="str">
        <f aca="false">IF(OR(W200="",$E200=""),"",W200-$E200)</f>
        <v/>
      </c>
      <c r="Y200" s="39"/>
      <c r="Z200" s="40" t="str">
        <f aca="false">IF(OR(Y200="",BW200=""),"",Y200/BW200*100)</f>
        <v/>
      </c>
      <c r="AA200" s="41" t="str">
        <f aca="false">IF(Z200="","",IFERROR(MATCH(Z200,INDEX(Boundaries!$B$2:$I$30,MATCH(CK200,Boundaries!$A$2:$A$30,0),0),1)-1,""))</f>
        <v/>
      </c>
      <c r="AB200" s="42" t="str">
        <f aca="false">IF(OR(AA200="",$E200=""),"",AA200-$E200)</f>
        <v/>
      </c>
      <c r="AC200" s="39"/>
      <c r="AD200" s="40" t="str">
        <f aca="false">IF(OR(AC200="",BX200=""),"",AC200/BX200*100)</f>
        <v/>
      </c>
      <c r="AE200" s="41" t="str">
        <f aca="false">IF(AD200="","",IFERROR(MATCH(AD200,INDEX(Boundaries!$B$2:$I$30,MATCH(CL200,Boundaries!$A$2:$A$30,0),0),1)-1,""))</f>
        <v/>
      </c>
      <c r="AF200" s="42" t="str">
        <f aca="false">IF(OR(AE200="",$E200=""),"",AE200-$E200)</f>
        <v/>
      </c>
      <c r="AG200" s="39"/>
      <c r="AH200" s="40" t="str">
        <f aca="false">IF(OR(AG200="",BY200=""),"",AG200/BY200*100)</f>
        <v/>
      </c>
      <c r="AI200" s="41" t="str">
        <f aca="false">IF(AH200="","",IFERROR(MATCH(AH200,INDEX(Boundaries!$B$2:$I$30,MATCH(CM200,Boundaries!$A$2:$A$30,0),0),1)-1,""))</f>
        <v/>
      </c>
      <c r="AJ200" s="42" t="str">
        <f aca="false">IF(OR(AI200="",$E200=""),"",AI200-$E200)</f>
        <v/>
      </c>
      <c r="AK200" s="39"/>
      <c r="AL200" s="40" t="str">
        <f aca="false">IF(OR(AK200="",BZ200=""),"",AK200/BZ200*100)</f>
        <v/>
      </c>
      <c r="AM200" s="41" t="str">
        <f aca="false">IF(AL200="","",IFERROR(MATCH(AL200,INDEX(Boundaries!$B$2:$I$30,MATCH(CN200,Boundaries!$A$2:$A$30,0),0),1)-1,""))</f>
        <v/>
      </c>
      <c r="AN200" s="42" t="str">
        <f aca="false">IF(OR(AM200="",$E200=""),"",AM200-$E200)</f>
        <v/>
      </c>
      <c r="AO200" s="39"/>
      <c r="AP200" s="40" t="str">
        <f aca="false">IF(OR(AO200="",CA200=""),"",AO200/CA200*100)</f>
        <v/>
      </c>
      <c r="AQ200" s="41" t="str">
        <f aca="false">IF(AP200="","",IFERROR(MATCH(AP200,INDEX(Boundaries!$B$2:$I$30,MATCH(CO200,Boundaries!$A$2:$A$30,0),0),1)-1,""))</f>
        <v/>
      </c>
      <c r="AR200" s="42" t="str">
        <f aca="false">IF(OR(AQ200="",$E200=""),"",AQ200-$E200)</f>
        <v/>
      </c>
      <c r="AS200" s="39"/>
      <c r="AT200" s="40" t="str">
        <f aca="false">IF(OR(AS200="",CB200=""),"",AS200/CB200*100)</f>
        <v/>
      </c>
      <c r="AU200" s="41" t="str">
        <f aca="false">IF(AT200="","",IFERROR(MATCH(AT200,INDEX(Boundaries!$B$2:$I$30,MATCH(CP200,Boundaries!$A$2:$A$30,0),0),1)-1,""))</f>
        <v/>
      </c>
      <c r="AV200" s="42" t="str">
        <f aca="false">IF(OR(AU200="",$E200=""),"",AU200-$E200)</f>
        <v/>
      </c>
      <c r="AW200" s="39"/>
      <c r="AX200" s="40" t="str">
        <f aca="false">IF(OR(AW200="",CC200=""),"",AW200/CC200*100)</f>
        <v/>
      </c>
      <c r="AY200" s="41" t="str">
        <f aca="false">IF(AX200="","",IFERROR(MATCH(AX200,INDEX(Boundaries!$B$2:$I$30,MATCH(CQ200,Boundaries!$A$2:$A$30,0),0),1)-1,""))</f>
        <v/>
      </c>
      <c r="AZ200" s="42" t="str">
        <f aca="false">IF(OR(AY200="",$E200=""),"",AY200-$E200)</f>
        <v/>
      </c>
      <c r="BA200" s="39"/>
      <c r="BB200" s="40" t="str">
        <f aca="false">IF(OR(BA200="",CD200=""),"",BA200/CD200*100)</f>
        <v/>
      </c>
      <c r="BC200" s="41" t="str">
        <f aca="false">IF(BB200="","",IFERROR(MATCH(BB200,INDEX(Boundaries!$B$2:$I$30,MATCH(CR200,Boundaries!$A$2:$A$30,0),0),1)-1,""))</f>
        <v/>
      </c>
      <c r="BD200" s="42" t="str">
        <f aca="false">IF(OR(BC200="",$E200=""),"",BC200-$E200)</f>
        <v/>
      </c>
      <c r="BE200" s="39"/>
      <c r="BF200" s="40" t="str">
        <f aca="false">IF(OR(BE200="",CE200=""),"",BE200/CE200*100)</f>
        <v/>
      </c>
      <c r="BG200" s="41" t="str">
        <f aca="false">IF(BF200="","",IFERROR(MATCH(BF200,INDEX(Boundaries!$B$2:$I$30,MATCH(CS200,Boundaries!$A$2:$A$30,0),0),1)-1,""))</f>
        <v/>
      </c>
      <c r="BH200" s="42" t="str">
        <f aca="false">IF(OR(BG200="",$E200=""),"",BG200-$E200)</f>
        <v/>
      </c>
      <c r="BI200" s="39"/>
      <c r="BJ200" s="40" t="str">
        <f aca="false">IF(OR(BI200="",CF200=""),"",BI200/CF200*100)</f>
        <v/>
      </c>
      <c r="BK200" s="41" t="str">
        <f aca="false">IF(BJ200="","",IFERROR(MATCH(BJ200,INDEX(Boundaries!$B$2:$I$30,MATCH(CT200,Boundaries!$A$2:$A$30,0),0),1)-1,""))</f>
        <v/>
      </c>
      <c r="BL200" s="42" t="str">
        <f aca="false">IF(OR(BK200="",$E200=""),"",BK200-$E200)</f>
        <v/>
      </c>
      <c r="BM200" s="39"/>
      <c r="BN200" s="40" t="str">
        <f aca="false">IF(OR(BM200="",CG200=""),"",BM200/CG200*100)</f>
        <v/>
      </c>
      <c r="BO200" s="41" t="str">
        <f aca="false">IF(BN200="","",IFERROR(MATCH(BN200,INDEX(Boundaries!$B$2:$I$30,MATCH(CU200,Boundaries!$A$2:$A$30,0),0),1)-1,""))</f>
        <v/>
      </c>
      <c r="BP200" s="42" t="str">
        <f aca="false">IF(OR(BO200="",$E200=""),"",BO200-$E200)</f>
        <v/>
      </c>
      <c r="BQ200" s="39"/>
      <c r="BR200" s="40" t="str">
        <f aca="false">IF(OR(BQ200="",CH200=""),"",BQ200/CH200*100)</f>
        <v/>
      </c>
      <c r="BS200" s="41" t="str">
        <f aca="false">IF(BR200="","",IFERROR(MATCH(BR200,INDEX(Boundaries!$B$2:$I$30,MATCH(CV200,Boundaries!$A$2:$A$30,0),0),1)-1,""))</f>
        <v/>
      </c>
      <c r="BT200" s="42" t="str">
        <f aca="false">IF(OR(BS200="",$E200=""),"",BS200-$E200)</f>
        <v/>
      </c>
      <c r="BU200" s="28" t="n">
        <f aca="false">IFERROR(INDEX(Assessments!$H$2:$H$600,MATCH($H200&amp;"|"&amp;$I200&amp;"|"&amp;$J200&amp;"|"&amp;1,Assessments!$A$2:$A$600,0)),"")</f>
        <v>20</v>
      </c>
      <c r="BV200" s="28" t="n">
        <f aca="false">IFERROR(INDEX(Assessments!$H$2:$H$600,MATCH($H200&amp;"|"&amp;$I200&amp;"|"&amp;$J200&amp;"|"&amp;2,Assessments!$A$2:$A$600,0)),"")</f>
        <v>20</v>
      </c>
      <c r="BW200" s="28" t="n">
        <f aca="false">IFERROR(INDEX(Assessments!$H$2:$H$600,MATCH($H200&amp;"|"&amp;$I200&amp;"|"&amp;$J200&amp;"|"&amp;3,Assessments!$A$2:$A$600,0)),"")</f>
        <v>20</v>
      </c>
      <c r="BX200" s="28" t="n">
        <f aca="false">IFERROR(INDEX(Assessments!$H$2:$H$600,MATCH($H200&amp;"|"&amp;$I200&amp;"|"&amp;$J200&amp;"|"&amp;4,Assessments!$A$2:$A$600,0)),"")</f>
        <v>20</v>
      </c>
      <c r="BY200" s="28" t="n">
        <f aca="false">IFERROR(INDEX(Assessments!$H$2:$H$600,MATCH($H200&amp;"|"&amp;$I200&amp;"|"&amp;$J200&amp;"|"&amp;5,Assessments!$A$2:$A$600,0)),"")</f>
        <v>20</v>
      </c>
      <c r="BZ200" s="28" t="n">
        <f aca="false">IFERROR(INDEX(Assessments!$H$2:$H$600,MATCH($H200&amp;"|"&amp;$I200&amp;"|"&amp;$J200&amp;"|"&amp;6,Assessments!$A$2:$A$600,0)),"")</f>
        <v>40</v>
      </c>
      <c r="CA200" s="28" t="n">
        <f aca="false">IFERROR(INDEX(Assessments!$H$2:$H$600,MATCH($H200&amp;"|"&amp;$I200&amp;"|"&amp;$J200&amp;"|"&amp;7,Assessments!$A$2:$A$600,0)),"")</f>
        <v>50</v>
      </c>
      <c r="CB200" s="28" t="str">
        <f aca="false">IFERROR(INDEX(Assessments!$H$2:$H$600,MATCH($H200&amp;"|"&amp;$I200&amp;"|"&amp;$J200&amp;"|"&amp;8,Assessments!$A$2:$A$600,0)),"")</f>
        <v/>
      </c>
      <c r="CC200" s="28" t="str">
        <f aca="false">IFERROR(INDEX(Assessments!$H$2:$H$600,MATCH($H200&amp;"|"&amp;$I200&amp;"|"&amp;$J200&amp;"|"&amp;9,Assessments!$A$2:$A$600,0)),"")</f>
        <v/>
      </c>
      <c r="CD200" s="28" t="str">
        <f aca="false">IFERROR(INDEX(Assessments!$H$2:$H$600,MATCH($H200&amp;"|"&amp;$I200&amp;"|"&amp;$J200&amp;"|"&amp;10,Assessments!$A$2:$A$600,0)),"")</f>
        <v/>
      </c>
      <c r="CE200" s="28" t="str">
        <f aca="false">IFERROR(INDEX(Assessments!$H$2:$H$600,MATCH($H200&amp;"|"&amp;$I200&amp;"|"&amp;$J200&amp;"|"&amp;11,Assessments!$A$2:$A$600,0)),"")</f>
        <v/>
      </c>
      <c r="CF200" s="28" t="str">
        <f aca="false">IFERROR(INDEX(Assessments!$H$2:$H$600,MATCH($H200&amp;"|"&amp;$I200&amp;"|"&amp;$J200&amp;"|"&amp;12,Assessments!$A$2:$A$600,0)),"")</f>
        <v/>
      </c>
      <c r="CG200" s="28" t="str">
        <f aca="false">IFERROR(INDEX(Assessments!$H$2:$H$600,MATCH($H200&amp;"|"&amp;$I200&amp;"|"&amp;$J200&amp;"|"&amp;13,Assessments!$A$2:$A$600,0)),"")</f>
        <v/>
      </c>
      <c r="CH200" s="28" t="str">
        <f aca="false">IFERROR(INDEX(Assessments!$H$2:$H$600,MATCH($H200&amp;"|"&amp;$I200&amp;"|"&amp;$J200&amp;"|"&amp;14,Assessments!$A$2:$A$600,0)),"")</f>
        <v/>
      </c>
      <c r="CI200" s="28" t="str">
        <f aca="false">IFERROR(INDEX(Assessments!$I$2:$I$600,MATCH($H200&amp;"|"&amp;$I200&amp;"|"&amp;$J200&amp;"|"&amp;1,Assessments!$A$2:$A$600,0)),"")</f>
        <v>Geog Paper 1</v>
      </c>
      <c r="CJ200" s="28" t="str">
        <f aca="false">IFERROR(INDEX(Assessments!$I$2:$I$600,MATCH($H200&amp;"|"&amp;$I200&amp;"|"&amp;$J200&amp;"|"&amp;2,Assessments!$A$2:$A$600,0)),"")</f>
        <v>Geog Paper 1</v>
      </c>
      <c r="CK200" s="28" t="str">
        <f aca="false">IFERROR(INDEX(Assessments!$I$2:$I$600,MATCH($H200&amp;"|"&amp;$I200&amp;"|"&amp;$J200&amp;"|"&amp;3,Assessments!$A$2:$A$600,0)),"")</f>
        <v>Geog Paper 2</v>
      </c>
      <c r="CL200" s="28" t="str">
        <f aca="false">IFERROR(INDEX(Assessments!$I$2:$I$600,MATCH($H200&amp;"|"&amp;$I200&amp;"|"&amp;$J200&amp;"|"&amp;4,Assessments!$A$2:$A$600,0)),"")</f>
        <v>Geog Paper 1</v>
      </c>
      <c r="CM200" s="28" t="str">
        <f aca="false">IFERROR(INDEX(Assessments!$I$2:$I$600,MATCH($H200&amp;"|"&amp;$I200&amp;"|"&amp;$J200&amp;"|"&amp;5,Assessments!$A$2:$A$600,0)),"")</f>
        <v>Geog Paper 1</v>
      </c>
      <c r="CN200" s="28" t="str">
        <f aca="false">IFERROR(INDEX(Assessments!$I$2:$I$600,MATCH($H200&amp;"|"&amp;$I200&amp;"|"&amp;$J200&amp;"|"&amp;6,Assessments!$A$2:$A$600,0)),"")</f>
        <v>Geog Paper 1</v>
      </c>
      <c r="CO200" s="28" t="str">
        <f aca="false">IFERROR(INDEX(Assessments!$I$2:$I$600,MATCH($H200&amp;"|"&amp;$I200&amp;"|"&amp;$J200&amp;"|"&amp;7,Assessments!$A$2:$A$600,0)),"")</f>
        <v>Geog Paper 2</v>
      </c>
      <c r="CP200" s="28" t="str">
        <f aca="false">IFERROR(INDEX(Assessments!$I$2:$I$600,MATCH($H200&amp;"|"&amp;$I200&amp;"|"&amp;$J200&amp;"|"&amp;8,Assessments!$A$2:$A$600,0)),"")</f>
        <v/>
      </c>
      <c r="CQ200" s="28" t="str">
        <f aca="false">IFERROR(INDEX(Assessments!$I$2:$I$600,MATCH($H200&amp;"|"&amp;$I200&amp;"|"&amp;$J200&amp;"|"&amp;9,Assessments!$A$2:$A$600,0)),"")</f>
        <v/>
      </c>
      <c r="CR200" s="28" t="str">
        <f aca="false">IFERROR(INDEX(Assessments!$I$2:$I$600,MATCH($H200&amp;"|"&amp;$I200&amp;"|"&amp;$J200&amp;"|"&amp;10,Assessments!$A$2:$A$600,0)),"")</f>
        <v/>
      </c>
      <c r="CS200" s="28" t="str">
        <f aca="false">IFERROR(INDEX(Assessments!$I$2:$I$600,MATCH($H200&amp;"|"&amp;$I200&amp;"|"&amp;$J200&amp;"|"&amp;11,Assessments!$A$2:$A$600,0)),"")</f>
        <v/>
      </c>
      <c r="CT200" s="28" t="str">
        <f aca="false">IFERROR(INDEX(Assessments!$I$2:$I$600,MATCH($H200&amp;"|"&amp;$I200&amp;"|"&amp;$J200&amp;"|"&amp;12,Assessments!$A$2:$A$600,0)),"")</f>
        <v/>
      </c>
      <c r="CU200" s="28" t="str">
        <f aca="false">IFERROR(INDEX(Assessments!$I$2:$I$600,MATCH($H200&amp;"|"&amp;$I200&amp;"|"&amp;$J200&amp;"|"&amp;13,Assessments!$A$2:$A$600,0)),"")</f>
        <v/>
      </c>
      <c r="CV200" s="28" t="str">
        <f aca="false">IFERROR(INDEX(Assessments!$I$2:$I$600,MATCH($H200&amp;"|"&amp;$I200&amp;"|"&amp;$J200&amp;"|"&amp;14,Assessments!$A$2:$A$600,0)),"")</f>
        <v/>
      </c>
      <c r="CW200" s="28" t="n">
        <f aca="false">IFERROR(INDEX(Assessments!$J$2:$J$600,MATCH($H200&amp;"|"&amp;$I200&amp;"|"&amp;$J200&amp;"|"&amp;1,Assessments!$A$2:$A$600,0)),0)</f>
        <v>1</v>
      </c>
      <c r="CX200" s="28" t="n">
        <f aca="false">IFERROR(INDEX(Assessments!$J$2:$J$600,MATCH($H200&amp;"|"&amp;$I200&amp;"|"&amp;$J200&amp;"|"&amp;2,Assessments!$A$2:$A$600,0)),0)</f>
        <v>1</v>
      </c>
      <c r="CY200" s="28" t="n">
        <f aca="false">IFERROR(INDEX(Assessments!$J$2:$J$600,MATCH($H200&amp;"|"&amp;$I200&amp;"|"&amp;$J200&amp;"|"&amp;3,Assessments!$A$2:$A$600,0)),0)</f>
        <v>1</v>
      </c>
      <c r="CZ200" s="28" t="n">
        <f aca="false">IFERROR(INDEX(Assessments!$J$2:$J$600,MATCH($H200&amp;"|"&amp;$I200&amp;"|"&amp;$J200&amp;"|"&amp;4,Assessments!$A$2:$A$600,0)),0)</f>
        <v>1</v>
      </c>
      <c r="DA200" s="28" t="n">
        <f aca="false">IFERROR(INDEX(Assessments!$J$2:$J$600,MATCH($H200&amp;"|"&amp;$I200&amp;"|"&amp;$J200&amp;"|"&amp;5,Assessments!$A$2:$A$600,0)),0)</f>
        <v>1</v>
      </c>
      <c r="DB200" s="28" t="n">
        <f aca="false">IFERROR(INDEX(Assessments!$J$2:$J$600,MATCH($H200&amp;"|"&amp;$I200&amp;"|"&amp;$J200&amp;"|"&amp;6,Assessments!$A$2:$A$600,0)),0)</f>
        <v>2</v>
      </c>
      <c r="DC200" s="28" t="n">
        <f aca="false">IFERROR(INDEX(Assessments!$J$2:$J$600,MATCH($H200&amp;"|"&amp;$I200&amp;"|"&amp;$J200&amp;"|"&amp;7,Assessments!$A$2:$A$600,0)),0)</f>
        <v>2</v>
      </c>
      <c r="DD200" s="28" t="n">
        <f aca="false">IFERROR(INDEX(Assessments!$J$2:$J$600,MATCH($H200&amp;"|"&amp;$I200&amp;"|"&amp;$J200&amp;"|"&amp;8,Assessments!$A$2:$A$600,0)),0)</f>
        <v>0</v>
      </c>
      <c r="DE200" s="28" t="n">
        <f aca="false">IFERROR(INDEX(Assessments!$J$2:$J$600,MATCH($H200&amp;"|"&amp;$I200&amp;"|"&amp;$J200&amp;"|"&amp;9,Assessments!$A$2:$A$600,0)),0)</f>
        <v>0</v>
      </c>
      <c r="DF200" s="28" t="n">
        <f aca="false">IFERROR(INDEX(Assessments!$J$2:$J$600,MATCH($H200&amp;"|"&amp;$I200&amp;"|"&amp;$J200&amp;"|"&amp;10,Assessments!$A$2:$A$600,0)),0)</f>
        <v>0</v>
      </c>
      <c r="DG200" s="28" t="n">
        <f aca="false">IFERROR(INDEX(Assessments!$J$2:$J$600,MATCH($H200&amp;"|"&amp;$I200&amp;"|"&amp;$J200&amp;"|"&amp;11,Assessments!$A$2:$A$600,0)),0)</f>
        <v>0</v>
      </c>
      <c r="DH200" s="28" t="n">
        <f aca="false">IFERROR(INDEX(Assessments!$J$2:$J$600,MATCH($H200&amp;"|"&amp;$I200&amp;"|"&amp;$J200&amp;"|"&amp;12,Assessments!$A$2:$A$600,0)),0)</f>
        <v>0</v>
      </c>
      <c r="DI200" s="28" t="n">
        <f aca="false">IFERROR(INDEX(Assessments!$J$2:$J$600,MATCH($H200&amp;"|"&amp;$I200&amp;"|"&amp;$J200&amp;"|"&amp;13,Assessments!$A$2:$A$600,0)),0)</f>
        <v>0</v>
      </c>
      <c r="DJ200" s="28" t="n">
        <f aca="false">IFERROR(INDEX(Assessments!$J$2:$J$600,MATCH($H200&amp;"|"&amp;$I200&amp;"|"&amp;$J200&amp;"|"&amp;14,Assessments!$A$2:$A$600,0)),0)</f>
        <v>0</v>
      </c>
      <c r="DK200" s="28" t="n">
        <f aca="false">S200</f>
        <v>7</v>
      </c>
      <c r="DL200" s="28" t="str">
        <f aca="false">W200</f>
        <v/>
      </c>
      <c r="DM200" s="28" t="str">
        <f aca="false">AA200</f>
        <v/>
      </c>
      <c r="DN200" s="28" t="str">
        <f aca="false">AE200</f>
        <v/>
      </c>
      <c r="DO200" s="28" t="str">
        <f aca="false">AI200</f>
        <v/>
      </c>
      <c r="DP200" s="28" t="str">
        <f aca="false">AM200</f>
        <v/>
      </c>
      <c r="DQ200" s="28" t="str">
        <f aca="false">AQ200</f>
        <v/>
      </c>
      <c r="DR200" s="28" t="str">
        <f aca="false">AU200</f>
        <v/>
      </c>
      <c r="DS200" s="28" t="str">
        <f aca="false">AY200</f>
        <v/>
      </c>
      <c r="DT200" s="28" t="str">
        <f aca="false">BC200</f>
        <v/>
      </c>
      <c r="DU200" s="28" t="str">
        <f aca="false">BG200</f>
        <v/>
      </c>
      <c r="DV200" s="28" t="str">
        <f aca="false">BK200</f>
        <v/>
      </c>
      <c r="DW200" s="28" t="str">
        <f aca="false">BO200</f>
        <v/>
      </c>
      <c r="DX200" s="28" t="str">
        <f aca="false">BS200</f>
        <v/>
      </c>
      <c r="DY200" s="28" t="n">
        <f aca="false">IF(ISNUMBER(S200),1,"")</f>
        <v>1</v>
      </c>
      <c r="DZ200" s="28" t="str">
        <f aca="false">IF(ISNUMBER(W200),2,"")</f>
        <v/>
      </c>
      <c r="EA200" s="28" t="str">
        <f aca="false">IF(ISNUMBER(AA200),3,"")</f>
        <v/>
      </c>
      <c r="EB200" s="28" t="str">
        <f aca="false">IF(ISNUMBER(AE200),4,"")</f>
        <v/>
      </c>
      <c r="EC200" s="28" t="str">
        <f aca="false">IF(ISNUMBER(AI200),5,"")</f>
        <v/>
      </c>
      <c r="ED200" s="28" t="str">
        <f aca="false">IF(ISNUMBER(AM200),6,"")</f>
        <v/>
      </c>
      <c r="EE200" s="28" t="str">
        <f aca="false">IF(ISNUMBER(AQ200),7,"")</f>
        <v/>
      </c>
      <c r="EF200" s="28" t="str">
        <f aca="false">IF(ISNUMBER(AU200),8,"")</f>
        <v/>
      </c>
      <c r="EG200" s="28" t="str">
        <f aca="false">IF(ISNUMBER(AY200),9,"")</f>
        <v/>
      </c>
      <c r="EH200" s="28" t="str">
        <f aca="false">IF(ISNUMBER(BC200),10,"")</f>
        <v/>
      </c>
      <c r="EI200" s="28" t="str">
        <f aca="false">IF(ISNUMBER(BG200),11,"")</f>
        <v/>
      </c>
      <c r="EJ200" s="28" t="str">
        <f aca="false">IF(ISNUMBER(BK200),12,"")</f>
        <v/>
      </c>
      <c r="EK200" s="28" t="str">
        <f aca="false">IF(ISNUMBER(BO200),13,"")</f>
        <v/>
      </c>
      <c r="EL200" s="28" t="str">
        <f aca="false">IF(ISNUMBER(BS200),14,"")</f>
        <v/>
      </c>
      <c r="EM200" s="28" t="n">
        <f aca="false">IF(ISNUMBER(R200),R200*CW200,0)</f>
        <v>100</v>
      </c>
      <c r="EN200" s="28" t="n">
        <f aca="false">IF(ISNUMBER(V200),V200*CX200,0)</f>
        <v>0</v>
      </c>
      <c r="EO200" s="28" t="n">
        <f aca="false">IF(ISNUMBER(Z200),Z200*CY200,0)</f>
        <v>0</v>
      </c>
      <c r="EP200" s="28" t="n">
        <f aca="false">IF(ISNUMBER(AD200),AD200*CZ200,0)</f>
        <v>0</v>
      </c>
      <c r="EQ200" s="28" t="n">
        <f aca="false">IF(ISNUMBER(AH200),AH200*DA200,0)</f>
        <v>0</v>
      </c>
      <c r="ER200" s="28" t="n">
        <f aca="false">IF(ISNUMBER(AL200),AL200*DB200,0)</f>
        <v>0</v>
      </c>
      <c r="ES200" s="28" t="n">
        <f aca="false">IF(ISNUMBER(AP200),AP200*DC200,0)</f>
        <v>0</v>
      </c>
      <c r="ET200" s="28" t="n">
        <f aca="false">IF(ISNUMBER(AT200),AT200*DD200,0)</f>
        <v>0</v>
      </c>
      <c r="EU200" s="28" t="n">
        <f aca="false">IF(ISNUMBER(AX200),AX200*DE200,0)</f>
        <v>0</v>
      </c>
      <c r="EV200" s="28" t="n">
        <f aca="false">IF(ISNUMBER(BB200),BB200*DF200,0)</f>
        <v>0</v>
      </c>
      <c r="EW200" s="28" t="n">
        <f aca="false">IF(ISNUMBER(BF200),BF200*DG200,0)</f>
        <v>0</v>
      </c>
      <c r="EX200" s="28" t="n">
        <f aca="false">IF(ISNUMBER(BJ200),BJ200*DH200,0)</f>
        <v>0</v>
      </c>
      <c r="EY200" s="28" t="n">
        <f aca="false">IF(ISNUMBER(BN200),BN200*DI200,0)</f>
        <v>0</v>
      </c>
      <c r="EZ200" s="28" t="n">
        <f aca="false">IF(ISNUMBER(BR200),BR200*DJ200,0)</f>
        <v>0</v>
      </c>
      <c r="FA200" s="28" t="n">
        <f aca="false">IF(ISNUMBER(R200),CW200,0)</f>
        <v>1</v>
      </c>
      <c r="FB200" s="28" t="n">
        <f aca="false">IF(ISNUMBER(V200),CX200,0)</f>
        <v>0</v>
      </c>
      <c r="FC200" s="28" t="n">
        <f aca="false">IF(ISNUMBER(Z200),CY200,0)</f>
        <v>0</v>
      </c>
      <c r="FD200" s="28" t="n">
        <f aca="false">IF(ISNUMBER(AD200),CZ200,0)</f>
        <v>0</v>
      </c>
      <c r="FE200" s="28" t="n">
        <f aca="false">IF(ISNUMBER(AH200),DA200,0)</f>
        <v>0</v>
      </c>
      <c r="FF200" s="28" t="n">
        <f aca="false">IF(ISNUMBER(AL200),DB200,0)</f>
        <v>0</v>
      </c>
      <c r="FG200" s="28" t="n">
        <f aca="false">IF(ISNUMBER(AP200),DC200,0)</f>
        <v>0</v>
      </c>
      <c r="FH200" s="28" t="n">
        <f aca="false">IF(ISNUMBER(AT200),DD200,0)</f>
        <v>0</v>
      </c>
      <c r="FI200" s="28" t="n">
        <f aca="false">IF(ISNUMBER(AX200),DE200,0)</f>
        <v>0</v>
      </c>
      <c r="FJ200" s="28" t="n">
        <f aca="false">IF(ISNUMBER(BB200),DF200,0)</f>
        <v>0</v>
      </c>
      <c r="FK200" s="28" t="n">
        <f aca="false">IF(ISNUMBER(BF200),DG200,0)</f>
        <v>0</v>
      </c>
      <c r="FL200" s="28" t="n">
        <f aca="false">IF(ISNUMBER(BJ200),DH200,0)</f>
        <v>0</v>
      </c>
      <c r="FM200" s="28" t="n">
        <f aca="false">IF(ISNUMBER(BN200),DI200,0)</f>
        <v>0</v>
      </c>
      <c r="FN200" s="28" t="n">
        <f aca="false">IF(ISNUMBER(BR200),DJ200,0)</f>
        <v>0</v>
      </c>
      <c r="FO200" s="28" t="str">
        <f aca="false">IFERROR(INDEX(Lists!$G$2:$G$20,MATCH($I200&amp;"|"&amp;$J200,Lists!$F$2:$F$20,0)),"")</f>
        <v>Geog Overall HL</v>
      </c>
    </row>
    <row r="201" customFormat="false" ht="19.5" hidden="false" customHeight="true" outlineLevel="0" collapsed="false">
      <c r="A201" s="29" t="s">
        <v>436</v>
      </c>
      <c r="B201" s="29" t="s">
        <v>437</v>
      </c>
      <c r="C201" s="30" t="s">
        <v>152</v>
      </c>
      <c r="D201" s="30" t="s">
        <v>427</v>
      </c>
      <c r="E201" s="31"/>
      <c r="F201" s="30" t="n">
        <v>6</v>
      </c>
      <c r="G201" s="30"/>
      <c r="H201" s="32" t="s">
        <v>428</v>
      </c>
      <c r="I201" s="33" t="s">
        <v>24</v>
      </c>
      <c r="J201" s="32" t="s">
        <v>25</v>
      </c>
      <c r="K201" s="34" t="str">
        <f aca="false">IF(OR(M201="",$E201=""),"",M201-$E201)</f>
        <v/>
      </c>
      <c r="L201" s="35" t="n">
        <f aca="false">IF(SUM(FA201:FN201)=0,"",SUM(EM201:EZ201)/SUM(FA201:FN201))</f>
        <v>100</v>
      </c>
      <c r="M201" s="36" t="n">
        <f aca="false">IF(OR(L201="",FO201=""),"",IFERROR(MATCH(L201,INDEX(Boundaries!$B$2:$I$30,MATCH(FO201,Boundaries!$A$2:$A$30,0),0),1)-1,""))</f>
        <v>7</v>
      </c>
      <c r="N201" s="37" t="str">
        <f aca="false">IF(COUNT($DY201:$EL201)&lt;2,"",INDEX($DK201:$DX201,MAX($DY201:$EL201))-INDEX($DK201:$DX201,MIN($DY201:$EL201)))</f>
        <v/>
      </c>
      <c r="O201" s="37" t="str">
        <f aca="false">IF(COUNT($DY201:$EL201)&lt;2,"",INDEX($DK201:$DX201,MAX($DY201:$EL201))-INDEX($DK201:$DX201,LARGE($DY201:$EL201,2)))</f>
        <v/>
      </c>
      <c r="P201" s="38" t="str">
        <f aca="false">IF(K201="","",IF(K201&gt;=0,"On/above target",IF(AND(N201&lt;&gt;"",N201&gt;=0.5),"Improving towards target",IF(AND(O201&lt;&gt;"",O201&lt;=-0.5),"Declining","Stable below target"))))</f>
        <v/>
      </c>
      <c r="Q201" s="39" t="n">
        <v>20</v>
      </c>
      <c r="R201" s="40" t="n">
        <f aca="false">IF(OR(Q201="",BU201=""),"",Q201/BU201*100)</f>
        <v>100</v>
      </c>
      <c r="S201" s="41" t="n">
        <f aca="false">IF(R201="","",IFERROR(MATCH(R201,INDEX(Boundaries!$B$2:$I$30,MATCH(CI201,Boundaries!$A$2:$A$30,0),0),1)-1,""))</f>
        <v>7</v>
      </c>
      <c r="T201" s="42" t="str">
        <f aca="false">IF(OR(S201="",$E201=""),"",S201-$E201)</f>
        <v/>
      </c>
      <c r="U201" s="39"/>
      <c r="V201" s="40" t="str">
        <f aca="false">IF(OR(U201="",BV201=""),"",U201/BV201*100)</f>
        <v/>
      </c>
      <c r="W201" s="41" t="str">
        <f aca="false">IF(V201="","",IFERROR(MATCH(V201,INDEX(Boundaries!$B$2:$I$30,MATCH(CJ201,Boundaries!$A$2:$A$30,0),0),1)-1,""))</f>
        <v/>
      </c>
      <c r="X201" s="42" t="str">
        <f aca="false">IF(OR(W201="",$E201=""),"",W201-$E201)</f>
        <v/>
      </c>
      <c r="Y201" s="39"/>
      <c r="Z201" s="40" t="str">
        <f aca="false">IF(OR(Y201="",BW201=""),"",Y201/BW201*100)</f>
        <v/>
      </c>
      <c r="AA201" s="41" t="str">
        <f aca="false">IF(Z201="","",IFERROR(MATCH(Z201,INDEX(Boundaries!$B$2:$I$30,MATCH(CK201,Boundaries!$A$2:$A$30,0),0),1)-1,""))</f>
        <v/>
      </c>
      <c r="AB201" s="42" t="str">
        <f aca="false">IF(OR(AA201="",$E201=""),"",AA201-$E201)</f>
        <v/>
      </c>
      <c r="AC201" s="39"/>
      <c r="AD201" s="40" t="str">
        <f aca="false">IF(OR(AC201="",BX201=""),"",AC201/BX201*100)</f>
        <v/>
      </c>
      <c r="AE201" s="41" t="str">
        <f aca="false">IF(AD201="","",IFERROR(MATCH(AD201,INDEX(Boundaries!$B$2:$I$30,MATCH(CL201,Boundaries!$A$2:$A$30,0),0),1)-1,""))</f>
        <v/>
      </c>
      <c r="AF201" s="42" t="str">
        <f aca="false">IF(OR(AE201="",$E201=""),"",AE201-$E201)</f>
        <v/>
      </c>
      <c r="AG201" s="39"/>
      <c r="AH201" s="40" t="str">
        <f aca="false">IF(OR(AG201="",BY201=""),"",AG201/BY201*100)</f>
        <v/>
      </c>
      <c r="AI201" s="41" t="str">
        <f aca="false">IF(AH201="","",IFERROR(MATCH(AH201,INDEX(Boundaries!$B$2:$I$30,MATCH(CM201,Boundaries!$A$2:$A$30,0),0),1)-1,""))</f>
        <v/>
      </c>
      <c r="AJ201" s="42" t="str">
        <f aca="false">IF(OR(AI201="",$E201=""),"",AI201-$E201)</f>
        <v/>
      </c>
      <c r="AK201" s="39"/>
      <c r="AL201" s="40" t="str">
        <f aca="false">IF(OR(AK201="",BZ201=""),"",AK201/BZ201*100)</f>
        <v/>
      </c>
      <c r="AM201" s="41" t="str">
        <f aca="false">IF(AL201="","",IFERROR(MATCH(AL201,INDEX(Boundaries!$B$2:$I$30,MATCH(CN201,Boundaries!$A$2:$A$30,0),0),1)-1,""))</f>
        <v/>
      </c>
      <c r="AN201" s="42" t="str">
        <f aca="false">IF(OR(AM201="",$E201=""),"",AM201-$E201)</f>
        <v/>
      </c>
      <c r="AO201" s="39"/>
      <c r="AP201" s="40" t="str">
        <f aca="false">IF(OR(AO201="",CA201=""),"",AO201/CA201*100)</f>
        <v/>
      </c>
      <c r="AQ201" s="41" t="str">
        <f aca="false">IF(AP201="","",IFERROR(MATCH(AP201,INDEX(Boundaries!$B$2:$I$30,MATCH(CO201,Boundaries!$A$2:$A$30,0),0),1)-1,""))</f>
        <v/>
      </c>
      <c r="AR201" s="42" t="str">
        <f aca="false">IF(OR(AQ201="",$E201=""),"",AQ201-$E201)</f>
        <v/>
      </c>
      <c r="AS201" s="39"/>
      <c r="AT201" s="40" t="str">
        <f aca="false">IF(OR(AS201="",CB201=""),"",AS201/CB201*100)</f>
        <v/>
      </c>
      <c r="AU201" s="41" t="str">
        <f aca="false">IF(AT201="","",IFERROR(MATCH(AT201,INDEX(Boundaries!$B$2:$I$30,MATCH(CP201,Boundaries!$A$2:$A$30,0),0),1)-1,""))</f>
        <v/>
      </c>
      <c r="AV201" s="42" t="str">
        <f aca="false">IF(OR(AU201="",$E201=""),"",AU201-$E201)</f>
        <v/>
      </c>
      <c r="AW201" s="39"/>
      <c r="AX201" s="40" t="str">
        <f aca="false">IF(OR(AW201="",CC201=""),"",AW201/CC201*100)</f>
        <v/>
      </c>
      <c r="AY201" s="41" t="str">
        <f aca="false">IF(AX201="","",IFERROR(MATCH(AX201,INDEX(Boundaries!$B$2:$I$30,MATCH(CQ201,Boundaries!$A$2:$A$30,0),0),1)-1,""))</f>
        <v/>
      </c>
      <c r="AZ201" s="42" t="str">
        <f aca="false">IF(OR(AY201="",$E201=""),"",AY201-$E201)</f>
        <v/>
      </c>
      <c r="BA201" s="39"/>
      <c r="BB201" s="40" t="str">
        <f aca="false">IF(OR(BA201="",CD201=""),"",BA201/CD201*100)</f>
        <v/>
      </c>
      <c r="BC201" s="41" t="str">
        <f aca="false">IF(BB201="","",IFERROR(MATCH(BB201,INDEX(Boundaries!$B$2:$I$30,MATCH(CR201,Boundaries!$A$2:$A$30,0),0),1)-1,""))</f>
        <v/>
      </c>
      <c r="BD201" s="42" t="str">
        <f aca="false">IF(OR(BC201="",$E201=""),"",BC201-$E201)</f>
        <v/>
      </c>
      <c r="BE201" s="39"/>
      <c r="BF201" s="40" t="str">
        <f aca="false">IF(OR(BE201="",CE201=""),"",BE201/CE201*100)</f>
        <v/>
      </c>
      <c r="BG201" s="41" t="str">
        <f aca="false">IF(BF201="","",IFERROR(MATCH(BF201,INDEX(Boundaries!$B$2:$I$30,MATCH(CS201,Boundaries!$A$2:$A$30,0),0),1)-1,""))</f>
        <v/>
      </c>
      <c r="BH201" s="42" t="str">
        <f aca="false">IF(OR(BG201="",$E201=""),"",BG201-$E201)</f>
        <v/>
      </c>
      <c r="BI201" s="39"/>
      <c r="BJ201" s="40" t="str">
        <f aca="false">IF(OR(BI201="",CF201=""),"",BI201/CF201*100)</f>
        <v/>
      </c>
      <c r="BK201" s="41" t="str">
        <f aca="false">IF(BJ201="","",IFERROR(MATCH(BJ201,INDEX(Boundaries!$B$2:$I$30,MATCH(CT201,Boundaries!$A$2:$A$30,0),0),1)-1,""))</f>
        <v/>
      </c>
      <c r="BL201" s="42" t="str">
        <f aca="false">IF(OR(BK201="",$E201=""),"",BK201-$E201)</f>
        <v/>
      </c>
      <c r="BM201" s="39"/>
      <c r="BN201" s="40" t="str">
        <f aca="false">IF(OR(BM201="",CG201=""),"",BM201/CG201*100)</f>
        <v/>
      </c>
      <c r="BO201" s="41" t="str">
        <f aca="false">IF(BN201="","",IFERROR(MATCH(BN201,INDEX(Boundaries!$B$2:$I$30,MATCH(CU201,Boundaries!$A$2:$A$30,0),0),1)-1,""))</f>
        <v/>
      </c>
      <c r="BP201" s="42" t="str">
        <f aca="false">IF(OR(BO201="",$E201=""),"",BO201-$E201)</f>
        <v/>
      </c>
      <c r="BQ201" s="39"/>
      <c r="BR201" s="40" t="str">
        <f aca="false">IF(OR(BQ201="",CH201=""),"",BQ201/CH201*100)</f>
        <v/>
      </c>
      <c r="BS201" s="41" t="str">
        <f aca="false">IF(BR201="","",IFERROR(MATCH(BR201,INDEX(Boundaries!$B$2:$I$30,MATCH(CV201,Boundaries!$A$2:$A$30,0),0),1)-1,""))</f>
        <v/>
      </c>
      <c r="BT201" s="42" t="str">
        <f aca="false">IF(OR(BS201="",$E201=""),"",BS201-$E201)</f>
        <v/>
      </c>
      <c r="BU201" s="28" t="n">
        <f aca="false">IFERROR(INDEX(Assessments!$H$2:$H$600,MATCH($H201&amp;"|"&amp;$I201&amp;"|"&amp;$J201&amp;"|"&amp;1,Assessments!$A$2:$A$600,0)),"")</f>
        <v>20</v>
      </c>
      <c r="BV201" s="28" t="n">
        <f aca="false">IFERROR(INDEX(Assessments!$H$2:$H$600,MATCH($H201&amp;"|"&amp;$I201&amp;"|"&amp;$J201&amp;"|"&amp;2,Assessments!$A$2:$A$600,0)),"")</f>
        <v>20</v>
      </c>
      <c r="BW201" s="28" t="n">
        <f aca="false">IFERROR(INDEX(Assessments!$H$2:$H$600,MATCH($H201&amp;"|"&amp;$I201&amp;"|"&amp;$J201&amp;"|"&amp;3,Assessments!$A$2:$A$600,0)),"")</f>
        <v>20</v>
      </c>
      <c r="BX201" s="28" t="n">
        <f aca="false">IFERROR(INDEX(Assessments!$H$2:$H$600,MATCH($H201&amp;"|"&amp;$I201&amp;"|"&amp;$J201&amp;"|"&amp;4,Assessments!$A$2:$A$600,0)),"")</f>
        <v>20</v>
      </c>
      <c r="BY201" s="28" t="n">
        <f aca="false">IFERROR(INDEX(Assessments!$H$2:$H$600,MATCH($H201&amp;"|"&amp;$I201&amp;"|"&amp;$J201&amp;"|"&amp;5,Assessments!$A$2:$A$600,0)),"")</f>
        <v>20</v>
      </c>
      <c r="BZ201" s="28" t="n">
        <f aca="false">IFERROR(INDEX(Assessments!$H$2:$H$600,MATCH($H201&amp;"|"&amp;$I201&amp;"|"&amp;$J201&amp;"|"&amp;6,Assessments!$A$2:$A$600,0)),"")</f>
        <v>40</v>
      </c>
      <c r="CA201" s="28" t="n">
        <f aca="false">IFERROR(INDEX(Assessments!$H$2:$H$600,MATCH($H201&amp;"|"&amp;$I201&amp;"|"&amp;$J201&amp;"|"&amp;7,Assessments!$A$2:$A$600,0)),"")</f>
        <v>50</v>
      </c>
      <c r="CB201" s="28" t="str">
        <f aca="false">IFERROR(INDEX(Assessments!$H$2:$H$600,MATCH($H201&amp;"|"&amp;$I201&amp;"|"&amp;$J201&amp;"|"&amp;8,Assessments!$A$2:$A$600,0)),"")</f>
        <v/>
      </c>
      <c r="CC201" s="28" t="str">
        <f aca="false">IFERROR(INDEX(Assessments!$H$2:$H$600,MATCH($H201&amp;"|"&amp;$I201&amp;"|"&amp;$J201&amp;"|"&amp;9,Assessments!$A$2:$A$600,0)),"")</f>
        <v/>
      </c>
      <c r="CD201" s="28" t="str">
        <f aca="false">IFERROR(INDEX(Assessments!$H$2:$H$600,MATCH($H201&amp;"|"&amp;$I201&amp;"|"&amp;$J201&amp;"|"&amp;10,Assessments!$A$2:$A$600,0)),"")</f>
        <v/>
      </c>
      <c r="CE201" s="28" t="str">
        <f aca="false">IFERROR(INDEX(Assessments!$H$2:$H$600,MATCH($H201&amp;"|"&amp;$I201&amp;"|"&amp;$J201&amp;"|"&amp;11,Assessments!$A$2:$A$600,0)),"")</f>
        <v/>
      </c>
      <c r="CF201" s="28" t="str">
        <f aca="false">IFERROR(INDEX(Assessments!$H$2:$H$600,MATCH($H201&amp;"|"&amp;$I201&amp;"|"&amp;$J201&amp;"|"&amp;12,Assessments!$A$2:$A$600,0)),"")</f>
        <v/>
      </c>
      <c r="CG201" s="28" t="str">
        <f aca="false">IFERROR(INDEX(Assessments!$H$2:$H$600,MATCH($H201&amp;"|"&amp;$I201&amp;"|"&amp;$J201&amp;"|"&amp;13,Assessments!$A$2:$A$600,0)),"")</f>
        <v/>
      </c>
      <c r="CH201" s="28" t="str">
        <f aca="false">IFERROR(INDEX(Assessments!$H$2:$H$600,MATCH($H201&amp;"|"&amp;$I201&amp;"|"&amp;$J201&amp;"|"&amp;14,Assessments!$A$2:$A$600,0)),"")</f>
        <v/>
      </c>
      <c r="CI201" s="28" t="str">
        <f aca="false">IFERROR(INDEX(Assessments!$I$2:$I$600,MATCH($H201&amp;"|"&amp;$I201&amp;"|"&amp;$J201&amp;"|"&amp;1,Assessments!$A$2:$A$600,0)),"")</f>
        <v>Geog Paper 1</v>
      </c>
      <c r="CJ201" s="28" t="str">
        <f aca="false">IFERROR(INDEX(Assessments!$I$2:$I$600,MATCH($H201&amp;"|"&amp;$I201&amp;"|"&amp;$J201&amp;"|"&amp;2,Assessments!$A$2:$A$600,0)),"")</f>
        <v>Geog Paper 1</v>
      </c>
      <c r="CK201" s="28" t="str">
        <f aca="false">IFERROR(INDEX(Assessments!$I$2:$I$600,MATCH($H201&amp;"|"&amp;$I201&amp;"|"&amp;$J201&amp;"|"&amp;3,Assessments!$A$2:$A$600,0)),"")</f>
        <v>Geog Paper 2</v>
      </c>
      <c r="CL201" s="28" t="str">
        <f aca="false">IFERROR(INDEX(Assessments!$I$2:$I$600,MATCH($H201&amp;"|"&amp;$I201&amp;"|"&amp;$J201&amp;"|"&amp;4,Assessments!$A$2:$A$600,0)),"")</f>
        <v>Geog Paper 1</v>
      </c>
      <c r="CM201" s="28" t="str">
        <f aca="false">IFERROR(INDEX(Assessments!$I$2:$I$600,MATCH($H201&amp;"|"&amp;$I201&amp;"|"&amp;$J201&amp;"|"&amp;5,Assessments!$A$2:$A$600,0)),"")</f>
        <v>Geog Paper 1</v>
      </c>
      <c r="CN201" s="28" t="str">
        <f aca="false">IFERROR(INDEX(Assessments!$I$2:$I$600,MATCH($H201&amp;"|"&amp;$I201&amp;"|"&amp;$J201&amp;"|"&amp;6,Assessments!$A$2:$A$600,0)),"")</f>
        <v>Geog Paper 1</v>
      </c>
      <c r="CO201" s="28" t="str">
        <f aca="false">IFERROR(INDEX(Assessments!$I$2:$I$600,MATCH($H201&amp;"|"&amp;$I201&amp;"|"&amp;$J201&amp;"|"&amp;7,Assessments!$A$2:$A$600,0)),"")</f>
        <v>Geog Paper 2</v>
      </c>
      <c r="CP201" s="28" t="str">
        <f aca="false">IFERROR(INDEX(Assessments!$I$2:$I$600,MATCH($H201&amp;"|"&amp;$I201&amp;"|"&amp;$J201&amp;"|"&amp;8,Assessments!$A$2:$A$600,0)),"")</f>
        <v/>
      </c>
      <c r="CQ201" s="28" t="str">
        <f aca="false">IFERROR(INDEX(Assessments!$I$2:$I$600,MATCH($H201&amp;"|"&amp;$I201&amp;"|"&amp;$J201&amp;"|"&amp;9,Assessments!$A$2:$A$600,0)),"")</f>
        <v/>
      </c>
      <c r="CR201" s="28" t="str">
        <f aca="false">IFERROR(INDEX(Assessments!$I$2:$I$600,MATCH($H201&amp;"|"&amp;$I201&amp;"|"&amp;$J201&amp;"|"&amp;10,Assessments!$A$2:$A$600,0)),"")</f>
        <v/>
      </c>
      <c r="CS201" s="28" t="str">
        <f aca="false">IFERROR(INDEX(Assessments!$I$2:$I$600,MATCH($H201&amp;"|"&amp;$I201&amp;"|"&amp;$J201&amp;"|"&amp;11,Assessments!$A$2:$A$600,0)),"")</f>
        <v/>
      </c>
      <c r="CT201" s="28" t="str">
        <f aca="false">IFERROR(INDEX(Assessments!$I$2:$I$600,MATCH($H201&amp;"|"&amp;$I201&amp;"|"&amp;$J201&amp;"|"&amp;12,Assessments!$A$2:$A$600,0)),"")</f>
        <v/>
      </c>
      <c r="CU201" s="28" t="str">
        <f aca="false">IFERROR(INDEX(Assessments!$I$2:$I$600,MATCH($H201&amp;"|"&amp;$I201&amp;"|"&amp;$J201&amp;"|"&amp;13,Assessments!$A$2:$A$600,0)),"")</f>
        <v/>
      </c>
      <c r="CV201" s="28" t="str">
        <f aca="false">IFERROR(INDEX(Assessments!$I$2:$I$600,MATCH($H201&amp;"|"&amp;$I201&amp;"|"&amp;$J201&amp;"|"&amp;14,Assessments!$A$2:$A$600,0)),"")</f>
        <v/>
      </c>
      <c r="CW201" s="28" t="n">
        <f aca="false">IFERROR(INDEX(Assessments!$J$2:$J$600,MATCH($H201&amp;"|"&amp;$I201&amp;"|"&amp;$J201&amp;"|"&amp;1,Assessments!$A$2:$A$600,0)),0)</f>
        <v>1</v>
      </c>
      <c r="CX201" s="28" t="n">
        <f aca="false">IFERROR(INDEX(Assessments!$J$2:$J$600,MATCH($H201&amp;"|"&amp;$I201&amp;"|"&amp;$J201&amp;"|"&amp;2,Assessments!$A$2:$A$600,0)),0)</f>
        <v>1</v>
      </c>
      <c r="CY201" s="28" t="n">
        <f aca="false">IFERROR(INDEX(Assessments!$J$2:$J$600,MATCH($H201&amp;"|"&amp;$I201&amp;"|"&amp;$J201&amp;"|"&amp;3,Assessments!$A$2:$A$600,0)),0)</f>
        <v>1</v>
      </c>
      <c r="CZ201" s="28" t="n">
        <f aca="false">IFERROR(INDEX(Assessments!$J$2:$J$600,MATCH($H201&amp;"|"&amp;$I201&amp;"|"&amp;$J201&amp;"|"&amp;4,Assessments!$A$2:$A$600,0)),0)</f>
        <v>1</v>
      </c>
      <c r="DA201" s="28" t="n">
        <f aca="false">IFERROR(INDEX(Assessments!$J$2:$J$600,MATCH($H201&amp;"|"&amp;$I201&amp;"|"&amp;$J201&amp;"|"&amp;5,Assessments!$A$2:$A$600,0)),0)</f>
        <v>1</v>
      </c>
      <c r="DB201" s="28" t="n">
        <f aca="false">IFERROR(INDEX(Assessments!$J$2:$J$600,MATCH($H201&amp;"|"&amp;$I201&amp;"|"&amp;$J201&amp;"|"&amp;6,Assessments!$A$2:$A$600,0)),0)</f>
        <v>2</v>
      </c>
      <c r="DC201" s="28" t="n">
        <f aca="false">IFERROR(INDEX(Assessments!$J$2:$J$600,MATCH($H201&amp;"|"&amp;$I201&amp;"|"&amp;$J201&amp;"|"&amp;7,Assessments!$A$2:$A$600,0)),0)</f>
        <v>2</v>
      </c>
      <c r="DD201" s="28" t="n">
        <f aca="false">IFERROR(INDEX(Assessments!$J$2:$J$600,MATCH($H201&amp;"|"&amp;$I201&amp;"|"&amp;$J201&amp;"|"&amp;8,Assessments!$A$2:$A$600,0)),0)</f>
        <v>0</v>
      </c>
      <c r="DE201" s="28" t="n">
        <f aca="false">IFERROR(INDEX(Assessments!$J$2:$J$600,MATCH($H201&amp;"|"&amp;$I201&amp;"|"&amp;$J201&amp;"|"&amp;9,Assessments!$A$2:$A$600,0)),0)</f>
        <v>0</v>
      </c>
      <c r="DF201" s="28" t="n">
        <f aca="false">IFERROR(INDEX(Assessments!$J$2:$J$600,MATCH($H201&amp;"|"&amp;$I201&amp;"|"&amp;$J201&amp;"|"&amp;10,Assessments!$A$2:$A$600,0)),0)</f>
        <v>0</v>
      </c>
      <c r="DG201" s="28" t="n">
        <f aca="false">IFERROR(INDEX(Assessments!$J$2:$J$600,MATCH($H201&amp;"|"&amp;$I201&amp;"|"&amp;$J201&amp;"|"&amp;11,Assessments!$A$2:$A$600,0)),0)</f>
        <v>0</v>
      </c>
      <c r="DH201" s="28" t="n">
        <f aca="false">IFERROR(INDEX(Assessments!$J$2:$J$600,MATCH($H201&amp;"|"&amp;$I201&amp;"|"&amp;$J201&amp;"|"&amp;12,Assessments!$A$2:$A$600,0)),0)</f>
        <v>0</v>
      </c>
      <c r="DI201" s="28" t="n">
        <f aca="false">IFERROR(INDEX(Assessments!$J$2:$J$600,MATCH($H201&amp;"|"&amp;$I201&amp;"|"&amp;$J201&amp;"|"&amp;13,Assessments!$A$2:$A$600,0)),0)</f>
        <v>0</v>
      </c>
      <c r="DJ201" s="28" t="n">
        <f aca="false">IFERROR(INDEX(Assessments!$J$2:$J$600,MATCH($H201&amp;"|"&amp;$I201&amp;"|"&amp;$J201&amp;"|"&amp;14,Assessments!$A$2:$A$600,0)),0)</f>
        <v>0</v>
      </c>
      <c r="DK201" s="28" t="n">
        <f aca="false">S201</f>
        <v>7</v>
      </c>
      <c r="DL201" s="28" t="str">
        <f aca="false">W201</f>
        <v/>
      </c>
      <c r="DM201" s="28" t="str">
        <f aca="false">AA201</f>
        <v/>
      </c>
      <c r="DN201" s="28" t="str">
        <f aca="false">AE201</f>
        <v/>
      </c>
      <c r="DO201" s="28" t="str">
        <f aca="false">AI201</f>
        <v/>
      </c>
      <c r="DP201" s="28" t="str">
        <f aca="false">AM201</f>
        <v/>
      </c>
      <c r="DQ201" s="28" t="str">
        <f aca="false">AQ201</f>
        <v/>
      </c>
      <c r="DR201" s="28" t="str">
        <f aca="false">AU201</f>
        <v/>
      </c>
      <c r="DS201" s="28" t="str">
        <f aca="false">AY201</f>
        <v/>
      </c>
      <c r="DT201" s="28" t="str">
        <f aca="false">BC201</f>
        <v/>
      </c>
      <c r="DU201" s="28" t="str">
        <f aca="false">BG201</f>
        <v/>
      </c>
      <c r="DV201" s="28" t="str">
        <f aca="false">BK201</f>
        <v/>
      </c>
      <c r="DW201" s="28" t="str">
        <f aca="false">BO201</f>
        <v/>
      </c>
      <c r="DX201" s="28" t="str">
        <f aca="false">BS201</f>
        <v/>
      </c>
      <c r="DY201" s="28" t="n">
        <f aca="false">IF(ISNUMBER(S201),1,"")</f>
        <v>1</v>
      </c>
      <c r="DZ201" s="28" t="str">
        <f aca="false">IF(ISNUMBER(W201),2,"")</f>
        <v/>
      </c>
      <c r="EA201" s="28" t="str">
        <f aca="false">IF(ISNUMBER(AA201),3,"")</f>
        <v/>
      </c>
      <c r="EB201" s="28" t="str">
        <f aca="false">IF(ISNUMBER(AE201),4,"")</f>
        <v/>
      </c>
      <c r="EC201" s="28" t="str">
        <f aca="false">IF(ISNUMBER(AI201),5,"")</f>
        <v/>
      </c>
      <c r="ED201" s="28" t="str">
        <f aca="false">IF(ISNUMBER(AM201),6,"")</f>
        <v/>
      </c>
      <c r="EE201" s="28" t="str">
        <f aca="false">IF(ISNUMBER(AQ201),7,"")</f>
        <v/>
      </c>
      <c r="EF201" s="28" t="str">
        <f aca="false">IF(ISNUMBER(AU201),8,"")</f>
        <v/>
      </c>
      <c r="EG201" s="28" t="str">
        <f aca="false">IF(ISNUMBER(AY201),9,"")</f>
        <v/>
      </c>
      <c r="EH201" s="28" t="str">
        <f aca="false">IF(ISNUMBER(BC201),10,"")</f>
        <v/>
      </c>
      <c r="EI201" s="28" t="str">
        <f aca="false">IF(ISNUMBER(BG201),11,"")</f>
        <v/>
      </c>
      <c r="EJ201" s="28" t="str">
        <f aca="false">IF(ISNUMBER(BK201),12,"")</f>
        <v/>
      </c>
      <c r="EK201" s="28" t="str">
        <f aca="false">IF(ISNUMBER(BO201),13,"")</f>
        <v/>
      </c>
      <c r="EL201" s="28" t="str">
        <f aca="false">IF(ISNUMBER(BS201),14,"")</f>
        <v/>
      </c>
      <c r="EM201" s="28" t="n">
        <f aca="false">IF(ISNUMBER(R201),R201*CW201,0)</f>
        <v>100</v>
      </c>
      <c r="EN201" s="28" t="n">
        <f aca="false">IF(ISNUMBER(V201),V201*CX201,0)</f>
        <v>0</v>
      </c>
      <c r="EO201" s="28" t="n">
        <f aca="false">IF(ISNUMBER(Z201),Z201*CY201,0)</f>
        <v>0</v>
      </c>
      <c r="EP201" s="28" t="n">
        <f aca="false">IF(ISNUMBER(AD201),AD201*CZ201,0)</f>
        <v>0</v>
      </c>
      <c r="EQ201" s="28" t="n">
        <f aca="false">IF(ISNUMBER(AH201),AH201*DA201,0)</f>
        <v>0</v>
      </c>
      <c r="ER201" s="28" t="n">
        <f aca="false">IF(ISNUMBER(AL201),AL201*DB201,0)</f>
        <v>0</v>
      </c>
      <c r="ES201" s="28" t="n">
        <f aca="false">IF(ISNUMBER(AP201),AP201*DC201,0)</f>
        <v>0</v>
      </c>
      <c r="ET201" s="28" t="n">
        <f aca="false">IF(ISNUMBER(AT201),AT201*DD201,0)</f>
        <v>0</v>
      </c>
      <c r="EU201" s="28" t="n">
        <f aca="false">IF(ISNUMBER(AX201),AX201*DE201,0)</f>
        <v>0</v>
      </c>
      <c r="EV201" s="28" t="n">
        <f aca="false">IF(ISNUMBER(BB201),BB201*DF201,0)</f>
        <v>0</v>
      </c>
      <c r="EW201" s="28" t="n">
        <f aca="false">IF(ISNUMBER(BF201),BF201*DG201,0)</f>
        <v>0</v>
      </c>
      <c r="EX201" s="28" t="n">
        <f aca="false">IF(ISNUMBER(BJ201),BJ201*DH201,0)</f>
        <v>0</v>
      </c>
      <c r="EY201" s="28" t="n">
        <f aca="false">IF(ISNUMBER(BN201),BN201*DI201,0)</f>
        <v>0</v>
      </c>
      <c r="EZ201" s="28" t="n">
        <f aca="false">IF(ISNUMBER(BR201),BR201*DJ201,0)</f>
        <v>0</v>
      </c>
      <c r="FA201" s="28" t="n">
        <f aca="false">IF(ISNUMBER(R201),CW201,0)</f>
        <v>1</v>
      </c>
      <c r="FB201" s="28" t="n">
        <f aca="false">IF(ISNUMBER(V201),CX201,0)</f>
        <v>0</v>
      </c>
      <c r="FC201" s="28" t="n">
        <f aca="false">IF(ISNUMBER(Z201),CY201,0)</f>
        <v>0</v>
      </c>
      <c r="FD201" s="28" t="n">
        <f aca="false">IF(ISNUMBER(AD201),CZ201,0)</f>
        <v>0</v>
      </c>
      <c r="FE201" s="28" t="n">
        <f aca="false">IF(ISNUMBER(AH201),DA201,0)</f>
        <v>0</v>
      </c>
      <c r="FF201" s="28" t="n">
        <f aca="false">IF(ISNUMBER(AL201),DB201,0)</f>
        <v>0</v>
      </c>
      <c r="FG201" s="28" t="n">
        <f aca="false">IF(ISNUMBER(AP201),DC201,0)</f>
        <v>0</v>
      </c>
      <c r="FH201" s="28" t="n">
        <f aca="false">IF(ISNUMBER(AT201),DD201,0)</f>
        <v>0</v>
      </c>
      <c r="FI201" s="28" t="n">
        <f aca="false">IF(ISNUMBER(AX201),DE201,0)</f>
        <v>0</v>
      </c>
      <c r="FJ201" s="28" t="n">
        <f aca="false">IF(ISNUMBER(BB201),DF201,0)</f>
        <v>0</v>
      </c>
      <c r="FK201" s="28" t="n">
        <f aca="false">IF(ISNUMBER(BF201),DG201,0)</f>
        <v>0</v>
      </c>
      <c r="FL201" s="28" t="n">
        <f aca="false">IF(ISNUMBER(BJ201),DH201,0)</f>
        <v>0</v>
      </c>
      <c r="FM201" s="28" t="n">
        <f aca="false">IF(ISNUMBER(BN201),DI201,0)</f>
        <v>0</v>
      </c>
      <c r="FN201" s="28" t="n">
        <f aca="false">IF(ISNUMBER(BR201),DJ201,0)</f>
        <v>0</v>
      </c>
      <c r="FO201" s="28" t="str">
        <f aca="false">IFERROR(INDEX(Lists!$G$2:$G$20,MATCH($I201&amp;"|"&amp;$J201,Lists!$F$2:$F$20,0)),"")</f>
        <v>Geog Overall HL</v>
      </c>
    </row>
    <row r="202" customFormat="false" ht="19.5" hidden="false" customHeight="true" outlineLevel="0" collapsed="false">
      <c r="A202" s="29" t="s">
        <v>438</v>
      </c>
      <c r="B202" s="29" t="s">
        <v>439</v>
      </c>
      <c r="C202" s="30" t="s">
        <v>152</v>
      </c>
      <c r="D202" s="30" t="s">
        <v>427</v>
      </c>
      <c r="E202" s="31"/>
      <c r="F202" s="30" t="n">
        <v>6</v>
      </c>
      <c r="G202" s="30"/>
      <c r="H202" s="32" t="s">
        <v>428</v>
      </c>
      <c r="I202" s="33" t="s">
        <v>24</v>
      </c>
      <c r="J202" s="32" t="s">
        <v>25</v>
      </c>
      <c r="K202" s="34" t="str">
        <f aca="false">IF(OR(M202="",$E202=""),"",M202-$E202)</f>
        <v/>
      </c>
      <c r="L202" s="35" t="n">
        <f aca="false">IF(SUM(FA202:FN202)=0,"",SUM(EM202:EZ202)/SUM(FA202:FN202))</f>
        <v>90</v>
      </c>
      <c r="M202" s="36" t="n">
        <f aca="false">IF(OR(L202="",FO202=""),"",IFERROR(MATCH(L202,INDEX(Boundaries!$B$2:$I$30,MATCH(FO202,Boundaries!$A$2:$A$30,0),0),1)-1,""))</f>
        <v>7</v>
      </c>
      <c r="N202" s="37" t="str">
        <f aca="false">IF(COUNT($DY202:$EL202)&lt;2,"",INDEX($DK202:$DX202,MAX($DY202:$EL202))-INDEX($DK202:$DX202,MIN($DY202:$EL202)))</f>
        <v/>
      </c>
      <c r="O202" s="37" t="str">
        <f aca="false">IF(COUNT($DY202:$EL202)&lt;2,"",INDEX($DK202:$DX202,MAX($DY202:$EL202))-INDEX($DK202:$DX202,LARGE($DY202:$EL202,2)))</f>
        <v/>
      </c>
      <c r="P202" s="38" t="str">
        <f aca="false">IF(K202="","",IF(K202&gt;=0,"On/above target",IF(AND(N202&lt;&gt;"",N202&gt;=0.5),"Improving towards target",IF(AND(O202&lt;&gt;"",O202&lt;=-0.5),"Declining","Stable below target"))))</f>
        <v/>
      </c>
      <c r="Q202" s="39" t="n">
        <v>18</v>
      </c>
      <c r="R202" s="40" t="n">
        <f aca="false">IF(OR(Q202="",BU202=""),"",Q202/BU202*100)</f>
        <v>90</v>
      </c>
      <c r="S202" s="41" t="n">
        <f aca="false">IF(R202="","",IFERROR(MATCH(R202,INDEX(Boundaries!$B$2:$I$30,MATCH(CI202,Boundaries!$A$2:$A$30,0),0),1)-1,""))</f>
        <v>7</v>
      </c>
      <c r="T202" s="42" t="str">
        <f aca="false">IF(OR(S202="",$E202=""),"",S202-$E202)</f>
        <v/>
      </c>
      <c r="U202" s="39"/>
      <c r="V202" s="40" t="str">
        <f aca="false">IF(OR(U202="",BV202=""),"",U202/BV202*100)</f>
        <v/>
      </c>
      <c r="W202" s="41" t="str">
        <f aca="false">IF(V202="","",IFERROR(MATCH(V202,INDEX(Boundaries!$B$2:$I$30,MATCH(CJ202,Boundaries!$A$2:$A$30,0),0),1)-1,""))</f>
        <v/>
      </c>
      <c r="X202" s="42" t="str">
        <f aca="false">IF(OR(W202="",$E202=""),"",W202-$E202)</f>
        <v/>
      </c>
      <c r="Y202" s="39"/>
      <c r="Z202" s="40" t="str">
        <f aca="false">IF(OR(Y202="",BW202=""),"",Y202/BW202*100)</f>
        <v/>
      </c>
      <c r="AA202" s="41" t="str">
        <f aca="false">IF(Z202="","",IFERROR(MATCH(Z202,INDEX(Boundaries!$B$2:$I$30,MATCH(CK202,Boundaries!$A$2:$A$30,0),0),1)-1,""))</f>
        <v/>
      </c>
      <c r="AB202" s="42" t="str">
        <f aca="false">IF(OR(AA202="",$E202=""),"",AA202-$E202)</f>
        <v/>
      </c>
      <c r="AC202" s="39"/>
      <c r="AD202" s="40" t="str">
        <f aca="false">IF(OR(AC202="",BX202=""),"",AC202/BX202*100)</f>
        <v/>
      </c>
      <c r="AE202" s="41" t="str">
        <f aca="false">IF(AD202="","",IFERROR(MATCH(AD202,INDEX(Boundaries!$B$2:$I$30,MATCH(CL202,Boundaries!$A$2:$A$30,0),0),1)-1,""))</f>
        <v/>
      </c>
      <c r="AF202" s="42" t="str">
        <f aca="false">IF(OR(AE202="",$E202=""),"",AE202-$E202)</f>
        <v/>
      </c>
      <c r="AG202" s="39"/>
      <c r="AH202" s="40" t="str">
        <f aca="false">IF(OR(AG202="",BY202=""),"",AG202/BY202*100)</f>
        <v/>
      </c>
      <c r="AI202" s="41" t="str">
        <f aca="false">IF(AH202="","",IFERROR(MATCH(AH202,INDEX(Boundaries!$B$2:$I$30,MATCH(CM202,Boundaries!$A$2:$A$30,0),0),1)-1,""))</f>
        <v/>
      </c>
      <c r="AJ202" s="42" t="str">
        <f aca="false">IF(OR(AI202="",$E202=""),"",AI202-$E202)</f>
        <v/>
      </c>
      <c r="AK202" s="39"/>
      <c r="AL202" s="40" t="str">
        <f aca="false">IF(OR(AK202="",BZ202=""),"",AK202/BZ202*100)</f>
        <v/>
      </c>
      <c r="AM202" s="41" t="str">
        <f aca="false">IF(AL202="","",IFERROR(MATCH(AL202,INDEX(Boundaries!$B$2:$I$30,MATCH(CN202,Boundaries!$A$2:$A$30,0),0),1)-1,""))</f>
        <v/>
      </c>
      <c r="AN202" s="42" t="str">
        <f aca="false">IF(OR(AM202="",$E202=""),"",AM202-$E202)</f>
        <v/>
      </c>
      <c r="AO202" s="39"/>
      <c r="AP202" s="40" t="str">
        <f aca="false">IF(OR(AO202="",CA202=""),"",AO202/CA202*100)</f>
        <v/>
      </c>
      <c r="AQ202" s="41" t="str">
        <f aca="false">IF(AP202="","",IFERROR(MATCH(AP202,INDEX(Boundaries!$B$2:$I$30,MATCH(CO202,Boundaries!$A$2:$A$30,0),0),1)-1,""))</f>
        <v/>
      </c>
      <c r="AR202" s="42" t="str">
        <f aca="false">IF(OR(AQ202="",$E202=""),"",AQ202-$E202)</f>
        <v/>
      </c>
      <c r="AS202" s="39"/>
      <c r="AT202" s="40" t="str">
        <f aca="false">IF(OR(AS202="",CB202=""),"",AS202/CB202*100)</f>
        <v/>
      </c>
      <c r="AU202" s="41" t="str">
        <f aca="false">IF(AT202="","",IFERROR(MATCH(AT202,INDEX(Boundaries!$B$2:$I$30,MATCH(CP202,Boundaries!$A$2:$A$30,0),0),1)-1,""))</f>
        <v/>
      </c>
      <c r="AV202" s="42" t="str">
        <f aca="false">IF(OR(AU202="",$E202=""),"",AU202-$E202)</f>
        <v/>
      </c>
      <c r="AW202" s="39"/>
      <c r="AX202" s="40" t="str">
        <f aca="false">IF(OR(AW202="",CC202=""),"",AW202/CC202*100)</f>
        <v/>
      </c>
      <c r="AY202" s="41" t="str">
        <f aca="false">IF(AX202="","",IFERROR(MATCH(AX202,INDEX(Boundaries!$B$2:$I$30,MATCH(CQ202,Boundaries!$A$2:$A$30,0),0),1)-1,""))</f>
        <v/>
      </c>
      <c r="AZ202" s="42" t="str">
        <f aca="false">IF(OR(AY202="",$E202=""),"",AY202-$E202)</f>
        <v/>
      </c>
      <c r="BA202" s="39"/>
      <c r="BB202" s="40" t="str">
        <f aca="false">IF(OR(BA202="",CD202=""),"",BA202/CD202*100)</f>
        <v/>
      </c>
      <c r="BC202" s="41" t="str">
        <f aca="false">IF(BB202="","",IFERROR(MATCH(BB202,INDEX(Boundaries!$B$2:$I$30,MATCH(CR202,Boundaries!$A$2:$A$30,0),0),1)-1,""))</f>
        <v/>
      </c>
      <c r="BD202" s="42" t="str">
        <f aca="false">IF(OR(BC202="",$E202=""),"",BC202-$E202)</f>
        <v/>
      </c>
      <c r="BE202" s="39"/>
      <c r="BF202" s="40" t="str">
        <f aca="false">IF(OR(BE202="",CE202=""),"",BE202/CE202*100)</f>
        <v/>
      </c>
      <c r="BG202" s="41" t="str">
        <f aca="false">IF(BF202="","",IFERROR(MATCH(BF202,INDEX(Boundaries!$B$2:$I$30,MATCH(CS202,Boundaries!$A$2:$A$30,0),0),1)-1,""))</f>
        <v/>
      </c>
      <c r="BH202" s="42" t="str">
        <f aca="false">IF(OR(BG202="",$E202=""),"",BG202-$E202)</f>
        <v/>
      </c>
      <c r="BI202" s="39"/>
      <c r="BJ202" s="40" t="str">
        <f aca="false">IF(OR(BI202="",CF202=""),"",BI202/CF202*100)</f>
        <v/>
      </c>
      <c r="BK202" s="41" t="str">
        <f aca="false">IF(BJ202="","",IFERROR(MATCH(BJ202,INDEX(Boundaries!$B$2:$I$30,MATCH(CT202,Boundaries!$A$2:$A$30,0),0),1)-1,""))</f>
        <v/>
      </c>
      <c r="BL202" s="42" t="str">
        <f aca="false">IF(OR(BK202="",$E202=""),"",BK202-$E202)</f>
        <v/>
      </c>
      <c r="BM202" s="39"/>
      <c r="BN202" s="40" t="str">
        <f aca="false">IF(OR(BM202="",CG202=""),"",BM202/CG202*100)</f>
        <v/>
      </c>
      <c r="BO202" s="41" t="str">
        <f aca="false">IF(BN202="","",IFERROR(MATCH(BN202,INDEX(Boundaries!$B$2:$I$30,MATCH(CU202,Boundaries!$A$2:$A$30,0),0),1)-1,""))</f>
        <v/>
      </c>
      <c r="BP202" s="42" t="str">
        <f aca="false">IF(OR(BO202="",$E202=""),"",BO202-$E202)</f>
        <v/>
      </c>
      <c r="BQ202" s="39"/>
      <c r="BR202" s="40" t="str">
        <f aca="false">IF(OR(BQ202="",CH202=""),"",BQ202/CH202*100)</f>
        <v/>
      </c>
      <c r="BS202" s="41" t="str">
        <f aca="false">IF(BR202="","",IFERROR(MATCH(BR202,INDEX(Boundaries!$B$2:$I$30,MATCH(CV202,Boundaries!$A$2:$A$30,0),0),1)-1,""))</f>
        <v/>
      </c>
      <c r="BT202" s="42" t="str">
        <f aca="false">IF(OR(BS202="",$E202=""),"",BS202-$E202)</f>
        <v/>
      </c>
      <c r="BU202" s="28" t="n">
        <f aca="false">IFERROR(INDEX(Assessments!$H$2:$H$600,MATCH($H202&amp;"|"&amp;$I202&amp;"|"&amp;$J202&amp;"|"&amp;1,Assessments!$A$2:$A$600,0)),"")</f>
        <v>20</v>
      </c>
      <c r="BV202" s="28" t="n">
        <f aca="false">IFERROR(INDEX(Assessments!$H$2:$H$600,MATCH($H202&amp;"|"&amp;$I202&amp;"|"&amp;$J202&amp;"|"&amp;2,Assessments!$A$2:$A$600,0)),"")</f>
        <v>20</v>
      </c>
      <c r="BW202" s="28" t="n">
        <f aca="false">IFERROR(INDEX(Assessments!$H$2:$H$600,MATCH($H202&amp;"|"&amp;$I202&amp;"|"&amp;$J202&amp;"|"&amp;3,Assessments!$A$2:$A$600,0)),"")</f>
        <v>20</v>
      </c>
      <c r="BX202" s="28" t="n">
        <f aca="false">IFERROR(INDEX(Assessments!$H$2:$H$600,MATCH($H202&amp;"|"&amp;$I202&amp;"|"&amp;$J202&amp;"|"&amp;4,Assessments!$A$2:$A$600,0)),"")</f>
        <v>20</v>
      </c>
      <c r="BY202" s="28" t="n">
        <f aca="false">IFERROR(INDEX(Assessments!$H$2:$H$600,MATCH($H202&amp;"|"&amp;$I202&amp;"|"&amp;$J202&amp;"|"&amp;5,Assessments!$A$2:$A$600,0)),"")</f>
        <v>20</v>
      </c>
      <c r="BZ202" s="28" t="n">
        <f aca="false">IFERROR(INDEX(Assessments!$H$2:$H$600,MATCH($H202&amp;"|"&amp;$I202&amp;"|"&amp;$J202&amp;"|"&amp;6,Assessments!$A$2:$A$600,0)),"")</f>
        <v>40</v>
      </c>
      <c r="CA202" s="28" t="n">
        <f aca="false">IFERROR(INDEX(Assessments!$H$2:$H$600,MATCH($H202&amp;"|"&amp;$I202&amp;"|"&amp;$J202&amp;"|"&amp;7,Assessments!$A$2:$A$600,0)),"")</f>
        <v>50</v>
      </c>
      <c r="CB202" s="28" t="str">
        <f aca="false">IFERROR(INDEX(Assessments!$H$2:$H$600,MATCH($H202&amp;"|"&amp;$I202&amp;"|"&amp;$J202&amp;"|"&amp;8,Assessments!$A$2:$A$600,0)),"")</f>
        <v/>
      </c>
      <c r="CC202" s="28" t="str">
        <f aca="false">IFERROR(INDEX(Assessments!$H$2:$H$600,MATCH($H202&amp;"|"&amp;$I202&amp;"|"&amp;$J202&amp;"|"&amp;9,Assessments!$A$2:$A$600,0)),"")</f>
        <v/>
      </c>
      <c r="CD202" s="28" t="str">
        <f aca="false">IFERROR(INDEX(Assessments!$H$2:$H$600,MATCH($H202&amp;"|"&amp;$I202&amp;"|"&amp;$J202&amp;"|"&amp;10,Assessments!$A$2:$A$600,0)),"")</f>
        <v/>
      </c>
      <c r="CE202" s="28" t="str">
        <f aca="false">IFERROR(INDEX(Assessments!$H$2:$H$600,MATCH($H202&amp;"|"&amp;$I202&amp;"|"&amp;$J202&amp;"|"&amp;11,Assessments!$A$2:$A$600,0)),"")</f>
        <v/>
      </c>
      <c r="CF202" s="28" t="str">
        <f aca="false">IFERROR(INDEX(Assessments!$H$2:$H$600,MATCH($H202&amp;"|"&amp;$I202&amp;"|"&amp;$J202&amp;"|"&amp;12,Assessments!$A$2:$A$600,0)),"")</f>
        <v/>
      </c>
      <c r="CG202" s="28" t="str">
        <f aca="false">IFERROR(INDEX(Assessments!$H$2:$H$600,MATCH($H202&amp;"|"&amp;$I202&amp;"|"&amp;$J202&amp;"|"&amp;13,Assessments!$A$2:$A$600,0)),"")</f>
        <v/>
      </c>
      <c r="CH202" s="28" t="str">
        <f aca="false">IFERROR(INDEX(Assessments!$H$2:$H$600,MATCH($H202&amp;"|"&amp;$I202&amp;"|"&amp;$J202&amp;"|"&amp;14,Assessments!$A$2:$A$600,0)),"")</f>
        <v/>
      </c>
      <c r="CI202" s="28" t="str">
        <f aca="false">IFERROR(INDEX(Assessments!$I$2:$I$600,MATCH($H202&amp;"|"&amp;$I202&amp;"|"&amp;$J202&amp;"|"&amp;1,Assessments!$A$2:$A$600,0)),"")</f>
        <v>Geog Paper 1</v>
      </c>
      <c r="CJ202" s="28" t="str">
        <f aca="false">IFERROR(INDEX(Assessments!$I$2:$I$600,MATCH($H202&amp;"|"&amp;$I202&amp;"|"&amp;$J202&amp;"|"&amp;2,Assessments!$A$2:$A$600,0)),"")</f>
        <v>Geog Paper 1</v>
      </c>
      <c r="CK202" s="28" t="str">
        <f aca="false">IFERROR(INDEX(Assessments!$I$2:$I$600,MATCH($H202&amp;"|"&amp;$I202&amp;"|"&amp;$J202&amp;"|"&amp;3,Assessments!$A$2:$A$600,0)),"")</f>
        <v>Geog Paper 2</v>
      </c>
      <c r="CL202" s="28" t="str">
        <f aca="false">IFERROR(INDEX(Assessments!$I$2:$I$600,MATCH($H202&amp;"|"&amp;$I202&amp;"|"&amp;$J202&amp;"|"&amp;4,Assessments!$A$2:$A$600,0)),"")</f>
        <v>Geog Paper 1</v>
      </c>
      <c r="CM202" s="28" t="str">
        <f aca="false">IFERROR(INDEX(Assessments!$I$2:$I$600,MATCH($H202&amp;"|"&amp;$I202&amp;"|"&amp;$J202&amp;"|"&amp;5,Assessments!$A$2:$A$600,0)),"")</f>
        <v>Geog Paper 1</v>
      </c>
      <c r="CN202" s="28" t="str">
        <f aca="false">IFERROR(INDEX(Assessments!$I$2:$I$600,MATCH($H202&amp;"|"&amp;$I202&amp;"|"&amp;$J202&amp;"|"&amp;6,Assessments!$A$2:$A$600,0)),"")</f>
        <v>Geog Paper 1</v>
      </c>
      <c r="CO202" s="28" t="str">
        <f aca="false">IFERROR(INDEX(Assessments!$I$2:$I$600,MATCH($H202&amp;"|"&amp;$I202&amp;"|"&amp;$J202&amp;"|"&amp;7,Assessments!$A$2:$A$600,0)),"")</f>
        <v>Geog Paper 2</v>
      </c>
      <c r="CP202" s="28" t="str">
        <f aca="false">IFERROR(INDEX(Assessments!$I$2:$I$600,MATCH($H202&amp;"|"&amp;$I202&amp;"|"&amp;$J202&amp;"|"&amp;8,Assessments!$A$2:$A$600,0)),"")</f>
        <v/>
      </c>
      <c r="CQ202" s="28" t="str">
        <f aca="false">IFERROR(INDEX(Assessments!$I$2:$I$600,MATCH($H202&amp;"|"&amp;$I202&amp;"|"&amp;$J202&amp;"|"&amp;9,Assessments!$A$2:$A$600,0)),"")</f>
        <v/>
      </c>
      <c r="CR202" s="28" t="str">
        <f aca="false">IFERROR(INDEX(Assessments!$I$2:$I$600,MATCH($H202&amp;"|"&amp;$I202&amp;"|"&amp;$J202&amp;"|"&amp;10,Assessments!$A$2:$A$600,0)),"")</f>
        <v/>
      </c>
      <c r="CS202" s="28" t="str">
        <f aca="false">IFERROR(INDEX(Assessments!$I$2:$I$600,MATCH($H202&amp;"|"&amp;$I202&amp;"|"&amp;$J202&amp;"|"&amp;11,Assessments!$A$2:$A$600,0)),"")</f>
        <v/>
      </c>
      <c r="CT202" s="28" t="str">
        <f aca="false">IFERROR(INDEX(Assessments!$I$2:$I$600,MATCH($H202&amp;"|"&amp;$I202&amp;"|"&amp;$J202&amp;"|"&amp;12,Assessments!$A$2:$A$600,0)),"")</f>
        <v/>
      </c>
      <c r="CU202" s="28" t="str">
        <f aca="false">IFERROR(INDEX(Assessments!$I$2:$I$600,MATCH($H202&amp;"|"&amp;$I202&amp;"|"&amp;$J202&amp;"|"&amp;13,Assessments!$A$2:$A$600,0)),"")</f>
        <v/>
      </c>
      <c r="CV202" s="28" t="str">
        <f aca="false">IFERROR(INDEX(Assessments!$I$2:$I$600,MATCH($H202&amp;"|"&amp;$I202&amp;"|"&amp;$J202&amp;"|"&amp;14,Assessments!$A$2:$A$600,0)),"")</f>
        <v/>
      </c>
      <c r="CW202" s="28" t="n">
        <f aca="false">IFERROR(INDEX(Assessments!$J$2:$J$600,MATCH($H202&amp;"|"&amp;$I202&amp;"|"&amp;$J202&amp;"|"&amp;1,Assessments!$A$2:$A$600,0)),0)</f>
        <v>1</v>
      </c>
      <c r="CX202" s="28" t="n">
        <f aca="false">IFERROR(INDEX(Assessments!$J$2:$J$600,MATCH($H202&amp;"|"&amp;$I202&amp;"|"&amp;$J202&amp;"|"&amp;2,Assessments!$A$2:$A$600,0)),0)</f>
        <v>1</v>
      </c>
      <c r="CY202" s="28" t="n">
        <f aca="false">IFERROR(INDEX(Assessments!$J$2:$J$600,MATCH($H202&amp;"|"&amp;$I202&amp;"|"&amp;$J202&amp;"|"&amp;3,Assessments!$A$2:$A$600,0)),0)</f>
        <v>1</v>
      </c>
      <c r="CZ202" s="28" t="n">
        <f aca="false">IFERROR(INDEX(Assessments!$J$2:$J$600,MATCH($H202&amp;"|"&amp;$I202&amp;"|"&amp;$J202&amp;"|"&amp;4,Assessments!$A$2:$A$600,0)),0)</f>
        <v>1</v>
      </c>
      <c r="DA202" s="28" t="n">
        <f aca="false">IFERROR(INDEX(Assessments!$J$2:$J$600,MATCH($H202&amp;"|"&amp;$I202&amp;"|"&amp;$J202&amp;"|"&amp;5,Assessments!$A$2:$A$600,0)),0)</f>
        <v>1</v>
      </c>
      <c r="DB202" s="28" t="n">
        <f aca="false">IFERROR(INDEX(Assessments!$J$2:$J$600,MATCH($H202&amp;"|"&amp;$I202&amp;"|"&amp;$J202&amp;"|"&amp;6,Assessments!$A$2:$A$600,0)),0)</f>
        <v>2</v>
      </c>
      <c r="DC202" s="28" t="n">
        <f aca="false">IFERROR(INDEX(Assessments!$J$2:$J$600,MATCH($H202&amp;"|"&amp;$I202&amp;"|"&amp;$J202&amp;"|"&amp;7,Assessments!$A$2:$A$600,0)),0)</f>
        <v>2</v>
      </c>
      <c r="DD202" s="28" t="n">
        <f aca="false">IFERROR(INDEX(Assessments!$J$2:$J$600,MATCH($H202&amp;"|"&amp;$I202&amp;"|"&amp;$J202&amp;"|"&amp;8,Assessments!$A$2:$A$600,0)),0)</f>
        <v>0</v>
      </c>
      <c r="DE202" s="28" t="n">
        <f aca="false">IFERROR(INDEX(Assessments!$J$2:$J$600,MATCH($H202&amp;"|"&amp;$I202&amp;"|"&amp;$J202&amp;"|"&amp;9,Assessments!$A$2:$A$600,0)),0)</f>
        <v>0</v>
      </c>
      <c r="DF202" s="28" t="n">
        <f aca="false">IFERROR(INDEX(Assessments!$J$2:$J$600,MATCH($H202&amp;"|"&amp;$I202&amp;"|"&amp;$J202&amp;"|"&amp;10,Assessments!$A$2:$A$600,0)),0)</f>
        <v>0</v>
      </c>
      <c r="DG202" s="28" t="n">
        <f aca="false">IFERROR(INDEX(Assessments!$J$2:$J$600,MATCH($H202&amp;"|"&amp;$I202&amp;"|"&amp;$J202&amp;"|"&amp;11,Assessments!$A$2:$A$600,0)),0)</f>
        <v>0</v>
      </c>
      <c r="DH202" s="28" t="n">
        <f aca="false">IFERROR(INDEX(Assessments!$J$2:$J$600,MATCH($H202&amp;"|"&amp;$I202&amp;"|"&amp;$J202&amp;"|"&amp;12,Assessments!$A$2:$A$600,0)),0)</f>
        <v>0</v>
      </c>
      <c r="DI202" s="28" t="n">
        <f aca="false">IFERROR(INDEX(Assessments!$J$2:$J$600,MATCH($H202&amp;"|"&amp;$I202&amp;"|"&amp;$J202&amp;"|"&amp;13,Assessments!$A$2:$A$600,0)),0)</f>
        <v>0</v>
      </c>
      <c r="DJ202" s="28" t="n">
        <f aca="false">IFERROR(INDEX(Assessments!$J$2:$J$600,MATCH($H202&amp;"|"&amp;$I202&amp;"|"&amp;$J202&amp;"|"&amp;14,Assessments!$A$2:$A$600,0)),0)</f>
        <v>0</v>
      </c>
      <c r="DK202" s="28" t="n">
        <f aca="false">S202</f>
        <v>7</v>
      </c>
      <c r="DL202" s="28" t="str">
        <f aca="false">W202</f>
        <v/>
      </c>
      <c r="DM202" s="28" t="str">
        <f aca="false">AA202</f>
        <v/>
      </c>
      <c r="DN202" s="28" t="str">
        <f aca="false">AE202</f>
        <v/>
      </c>
      <c r="DO202" s="28" t="str">
        <f aca="false">AI202</f>
        <v/>
      </c>
      <c r="DP202" s="28" t="str">
        <f aca="false">AM202</f>
        <v/>
      </c>
      <c r="DQ202" s="28" t="str">
        <f aca="false">AQ202</f>
        <v/>
      </c>
      <c r="DR202" s="28" t="str">
        <f aca="false">AU202</f>
        <v/>
      </c>
      <c r="DS202" s="28" t="str">
        <f aca="false">AY202</f>
        <v/>
      </c>
      <c r="DT202" s="28" t="str">
        <f aca="false">BC202</f>
        <v/>
      </c>
      <c r="DU202" s="28" t="str">
        <f aca="false">BG202</f>
        <v/>
      </c>
      <c r="DV202" s="28" t="str">
        <f aca="false">BK202</f>
        <v/>
      </c>
      <c r="DW202" s="28" t="str">
        <f aca="false">BO202</f>
        <v/>
      </c>
      <c r="DX202" s="28" t="str">
        <f aca="false">BS202</f>
        <v/>
      </c>
      <c r="DY202" s="28" t="n">
        <f aca="false">IF(ISNUMBER(S202),1,"")</f>
        <v>1</v>
      </c>
      <c r="DZ202" s="28" t="str">
        <f aca="false">IF(ISNUMBER(W202),2,"")</f>
        <v/>
      </c>
      <c r="EA202" s="28" t="str">
        <f aca="false">IF(ISNUMBER(AA202),3,"")</f>
        <v/>
      </c>
      <c r="EB202" s="28" t="str">
        <f aca="false">IF(ISNUMBER(AE202),4,"")</f>
        <v/>
      </c>
      <c r="EC202" s="28" t="str">
        <f aca="false">IF(ISNUMBER(AI202),5,"")</f>
        <v/>
      </c>
      <c r="ED202" s="28" t="str">
        <f aca="false">IF(ISNUMBER(AM202),6,"")</f>
        <v/>
      </c>
      <c r="EE202" s="28" t="str">
        <f aca="false">IF(ISNUMBER(AQ202),7,"")</f>
        <v/>
      </c>
      <c r="EF202" s="28" t="str">
        <f aca="false">IF(ISNUMBER(AU202),8,"")</f>
        <v/>
      </c>
      <c r="EG202" s="28" t="str">
        <f aca="false">IF(ISNUMBER(AY202),9,"")</f>
        <v/>
      </c>
      <c r="EH202" s="28" t="str">
        <f aca="false">IF(ISNUMBER(BC202),10,"")</f>
        <v/>
      </c>
      <c r="EI202" s="28" t="str">
        <f aca="false">IF(ISNUMBER(BG202),11,"")</f>
        <v/>
      </c>
      <c r="EJ202" s="28" t="str">
        <f aca="false">IF(ISNUMBER(BK202),12,"")</f>
        <v/>
      </c>
      <c r="EK202" s="28" t="str">
        <f aca="false">IF(ISNUMBER(BO202),13,"")</f>
        <v/>
      </c>
      <c r="EL202" s="28" t="str">
        <f aca="false">IF(ISNUMBER(BS202),14,"")</f>
        <v/>
      </c>
      <c r="EM202" s="28" t="n">
        <f aca="false">IF(ISNUMBER(R202),R202*CW202,0)</f>
        <v>90</v>
      </c>
      <c r="EN202" s="28" t="n">
        <f aca="false">IF(ISNUMBER(V202),V202*CX202,0)</f>
        <v>0</v>
      </c>
      <c r="EO202" s="28" t="n">
        <f aca="false">IF(ISNUMBER(Z202),Z202*CY202,0)</f>
        <v>0</v>
      </c>
      <c r="EP202" s="28" t="n">
        <f aca="false">IF(ISNUMBER(AD202),AD202*CZ202,0)</f>
        <v>0</v>
      </c>
      <c r="EQ202" s="28" t="n">
        <f aca="false">IF(ISNUMBER(AH202),AH202*DA202,0)</f>
        <v>0</v>
      </c>
      <c r="ER202" s="28" t="n">
        <f aca="false">IF(ISNUMBER(AL202),AL202*DB202,0)</f>
        <v>0</v>
      </c>
      <c r="ES202" s="28" t="n">
        <f aca="false">IF(ISNUMBER(AP202),AP202*DC202,0)</f>
        <v>0</v>
      </c>
      <c r="ET202" s="28" t="n">
        <f aca="false">IF(ISNUMBER(AT202),AT202*DD202,0)</f>
        <v>0</v>
      </c>
      <c r="EU202" s="28" t="n">
        <f aca="false">IF(ISNUMBER(AX202),AX202*DE202,0)</f>
        <v>0</v>
      </c>
      <c r="EV202" s="28" t="n">
        <f aca="false">IF(ISNUMBER(BB202),BB202*DF202,0)</f>
        <v>0</v>
      </c>
      <c r="EW202" s="28" t="n">
        <f aca="false">IF(ISNUMBER(BF202),BF202*DG202,0)</f>
        <v>0</v>
      </c>
      <c r="EX202" s="28" t="n">
        <f aca="false">IF(ISNUMBER(BJ202),BJ202*DH202,0)</f>
        <v>0</v>
      </c>
      <c r="EY202" s="28" t="n">
        <f aca="false">IF(ISNUMBER(BN202),BN202*DI202,0)</f>
        <v>0</v>
      </c>
      <c r="EZ202" s="28" t="n">
        <f aca="false">IF(ISNUMBER(BR202),BR202*DJ202,0)</f>
        <v>0</v>
      </c>
      <c r="FA202" s="28" t="n">
        <f aca="false">IF(ISNUMBER(R202),CW202,0)</f>
        <v>1</v>
      </c>
      <c r="FB202" s="28" t="n">
        <f aca="false">IF(ISNUMBER(V202),CX202,0)</f>
        <v>0</v>
      </c>
      <c r="FC202" s="28" t="n">
        <f aca="false">IF(ISNUMBER(Z202),CY202,0)</f>
        <v>0</v>
      </c>
      <c r="FD202" s="28" t="n">
        <f aca="false">IF(ISNUMBER(AD202),CZ202,0)</f>
        <v>0</v>
      </c>
      <c r="FE202" s="28" t="n">
        <f aca="false">IF(ISNUMBER(AH202),DA202,0)</f>
        <v>0</v>
      </c>
      <c r="FF202" s="28" t="n">
        <f aca="false">IF(ISNUMBER(AL202),DB202,0)</f>
        <v>0</v>
      </c>
      <c r="FG202" s="28" t="n">
        <f aca="false">IF(ISNUMBER(AP202),DC202,0)</f>
        <v>0</v>
      </c>
      <c r="FH202" s="28" t="n">
        <f aca="false">IF(ISNUMBER(AT202),DD202,0)</f>
        <v>0</v>
      </c>
      <c r="FI202" s="28" t="n">
        <f aca="false">IF(ISNUMBER(AX202),DE202,0)</f>
        <v>0</v>
      </c>
      <c r="FJ202" s="28" t="n">
        <f aca="false">IF(ISNUMBER(BB202),DF202,0)</f>
        <v>0</v>
      </c>
      <c r="FK202" s="28" t="n">
        <f aca="false">IF(ISNUMBER(BF202),DG202,0)</f>
        <v>0</v>
      </c>
      <c r="FL202" s="28" t="n">
        <f aca="false">IF(ISNUMBER(BJ202),DH202,0)</f>
        <v>0</v>
      </c>
      <c r="FM202" s="28" t="n">
        <f aca="false">IF(ISNUMBER(BN202),DI202,0)</f>
        <v>0</v>
      </c>
      <c r="FN202" s="28" t="n">
        <f aca="false">IF(ISNUMBER(BR202),DJ202,0)</f>
        <v>0</v>
      </c>
      <c r="FO202" s="28" t="str">
        <f aca="false">IFERROR(INDEX(Lists!$G$2:$G$20,MATCH($I202&amp;"|"&amp;$J202,Lists!$F$2:$F$20,0)),"")</f>
        <v>Geog Overall HL</v>
      </c>
    </row>
    <row r="203" customFormat="false" ht="19.5" hidden="false" customHeight="true" outlineLevel="0" collapsed="false">
      <c r="A203" s="29" t="s">
        <v>440</v>
      </c>
      <c r="B203" s="29" t="s">
        <v>241</v>
      </c>
      <c r="C203" s="30" t="s">
        <v>152</v>
      </c>
      <c r="D203" s="30" t="s">
        <v>427</v>
      </c>
      <c r="E203" s="31"/>
      <c r="F203" s="30" t="n">
        <v>7</v>
      </c>
      <c r="G203" s="30"/>
      <c r="H203" s="32" t="s">
        <v>428</v>
      </c>
      <c r="I203" s="33" t="s">
        <v>24</v>
      </c>
      <c r="J203" s="32" t="s">
        <v>25</v>
      </c>
      <c r="K203" s="34" t="str">
        <f aca="false">IF(OR(M203="",$E203=""),"",M203-$E203)</f>
        <v/>
      </c>
      <c r="L203" s="35" t="n">
        <f aca="false">IF(SUM(FA203:FN203)=0,"",SUM(EM203:EZ203)/SUM(FA203:FN203))</f>
        <v>90</v>
      </c>
      <c r="M203" s="36" t="n">
        <f aca="false">IF(OR(L203="",FO203=""),"",IFERROR(MATCH(L203,INDEX(Boundaries!$B$2:$I$30,MATCH(FO203,Boundaries!$A$2:$A$30,0),0),1)-1,""))</f>
        <v>7</v>
      </c>
      <c r="N203" s="37" t="str">
        <f aca="false">IF(COUNT($DY203:$EL203)&lt;2,"",INDEX($DK203:$DX203,MAX($DY203:$EL203))-INDEX($DK203:$DX203,MIN($DY203:$EL203)))</f>
        <v/>
      </c>
      <c r="O203" s="37" t="str">
        <f aca="false">IF(COUNT($DY203:$EL203)&lt;2,"",INDEX($DK203:$DX203,MAX($DY203:$EL203))-INDEX($DK203:$DX203,LARGE($DY203:$EL203,2)))</f>
        <v/>
      </c>
      <c r="P203" s="38" t="str">
        <f aca="false">IF(K203="","",IF(K203&gt;=0,"On/above target",IF(AND(N203&lt;&gt;"",N203&gt;=0.5),"Improving towards target",IF(AND(O203&lt;&gt;"",O203&lt;=-0.5),"Declining","Stable below target"))))</f>
        <v/>
      </c>
      <c r="Q203" s="39" t="n">
        <v>18</v>
      </c>
      <c r="R203" s="40" t="n">
        <f aca="false">IF(OR(Q203="",BU203=""),"",Q203/BU203*100)</f>
        <v>90</v>
      </c>
      <c r="S203" s="41" t="n">
        <f aca="false">IF(R203="","",IFERROR(MATCH(R203,INDEX(Boundaries!$B$2:$I$30,MATCH(CI203,Boundaries!$A$2:$A$30,0),0),1)-1,""))</f>
        <v>7</v>
      </c>
      <c r="T203" s="42" t="str">
        <f aca="false">IF(OR(S203="",$E203=""),"",S203-$E203)</f>
        <v/>
      </c>
      <c r="U203" s="39"/>
      <c r="V203" s="40" t="str">
        <f aca="false">IF(OR(U203="",BV203=""),"",U203/BV203*100)</f>
        <v/>
      </c>
      <c r="W203" s="41" t="str">
        <f aca="false">IF(V203="","",IFERROR(MATCH(V203,INDEX(Boundaries!$B$2:$I$30,MATCH(CJ203,Boundaries!$A$2:$A$30,0),0),1)-1,""))</f>
        <v/>
      </c>
      <c r="X203" s="42" t="str">
        <f aca="false">IF(OR(W203="",$E203=""),"",W203-$E203)</f>
        <v/>
      </c>
      <c r="Y203" s="39"/>
      <c r="Z203" s="40" t="str">
        <f aca="false">IF(OR(Y203="",BW203=""),"",Y203/BW203*100)</f>
        <v/>
      </c>
      <c r="AA203" s="41" t="str">
        <f aca="false">IF(Z203="","",IFERROR(MATCH(Z203,INDEX(Boundaries!$B$2:$I$30,MATCH(CK203,Boundaries!$A$2:$A$30,0),0),1)-1,""))</f>
        <v/>
      </c>
      <c r="AB203" s="42" t="str">
        <f aca="false">IF(OR(AA203="",$E203=""),"",AA203-$E203)</f>
        <v/>
      </c>
      <c r="AC203" s="39"/>
      <c r="AD203" s="40" t="str">
        <f aca="false">IF(OR(AC203="",BX203=""),"",AC203/BX203*100)</f>
        <v/>
      </c>
      <c r="AE203" s="41" t="str">
        <f aca="false">IF(AD203="","",IFERROR(MATCH(AD203,INDEX(Boundaries!$B$2:$I$30,MATCH(CL203,Boundaries!$A$2:$A$30,0),0),1)-1,""))</f>
        <v/>
      </c>
      <c r="AF203" s="42" t="str">
        <f aca="false">IF(OR(AE203="",$E203=""),"",AE203-$E203)</f>
        <v/>
      </c>
      <c r="AG203" s="39"/>
      <c r="AH203" s="40" t="str">
        <f aca="false">IF(OR(AG203="",BY203=""),"",AG203/BY203*100)</f>
        <v/>
      </c>
      <c r="AI203" s="41" t="str">
        <f aca="false">IF(AH203="","",IFERROR(MATCH(AH203,INDEX(Boundaries!$B$2:$I$30,MATCH(CM203,Boundaries!$A$2:$A$30,0),0),1)-1,""))</f>
        <v/>
      </c>
      <c r="AJ203" s="42" t="str">
        <f aca="false">IF(OR(AI203="",$E203=""),"",AI203-$E203)</f>
        <v/>
      </c>
      <c r="AK203" s="39"/>
      <c r="AL203" s="40" t="str">
        <f aca="false">IF(OR(AK203="",BZ203=""),"",AK203/BZ203*100)</f>
        <v/>
      </c>
      <c r="AM203" s="41" t="str">
        <f aca="false">IF(AL203="","",IFERROR(MATCH(AL203,INDEX(Boundaries!$B$2:$I$30,MATCH(CN203,Boundaries!$A$2:$A$30,0),0),1)-1,""))</f>
        <v/>
      </c>
      <c r="AN203" s="42" t="str">
        <f aca="false">IF(OR(AM203="",$E203=""),"",AM203-$E203)</f>
        <v/>
      </c>
      <c r="AO203" s="39"/>
      <c r="AP203" s="40" t="str">
        <f aca="false">IF(OR(AO203="",CA203=""),"",AO203/CA203*100)</f>
        <v/>
      </c>
      <c r="AQ203" s="41" t="str">
        <f aca="false">IF(AP203="","",IFERROR(MATCH(AP203,INDEX(Boundaries!$B$2:$I$30,MATCH(CO203,Boundaries!$A$2:$A$30,0),0),1)-1,""))</f>
        <v/>
      </c>
      <c r="AR203" s="42" t="str">
        <f aca="false">IF(OR(AQ203="",$E203=""),"",AQ203-$E203)</f>
        <v/>
      </c>
      <c r="AS203" s="39"/>
      <c r="AT203" s="40" t="str">
        <f aca="false">IF(OR(AS203="",CB203=""),"",AS203/CB203*100)</f>
        <v/>
      </c>
      <c r="AU203" s="41" t="str">
        <f aca="false">IF(AT203="","",IFERROR(MATCH(AT203,INDEX(Boundaries!$B$2:$I$30,MATCH(CP203,Boundaries!$A$2:$A$30,0),0),1)-1,""))</f>
        <v/>
      </c>
      <c r="AV203" s="42" t="str">
        <f aca="false">IF(OR(AU203="",$E203=""),"",AU203-$E203)</f>
        <v/>
      </c>
      <c r="AW203" s="39"/>
      <c r="AX203" s="40" t="str">
        <f aca="false">IF(OR(AW203="",CC203=""),"",AW203/CC203*100)</f>
        <v/>
      </c>
      <c r="AY203" s="41" t="str">
        <f aca="false">IF(AX203="","",IFERROR(MATCH(AX203,INDEX(Boundaries!$B$2:$I$30,MATCH(CQ203,Boundaries!$A$2:$A$30,0),0),1)-1,""))</f>
        <v/>
      </c>
      <c r="AZ203" s="42" t="str">
        <f aca="false">IF(OR(AY203="",$E203=""),"",AY203-$E203)</f>
        <v/>
      </c>
      <c r="BA203" s="39"/>
      <c r="BB203" s="40" t="str">
        <f aca="false">IF(OR(BA203="",CD203=""),"",BA203/CD203*100)</f>
        <v/>
      </c>
      <c r="BC203" s="41" t="str">
        <f aca="false">IF(BB203="","",IFERROR(MATCH(BB203,INDEX(Boundaries!$B$2:$I$30,MATCH(CR203,Boundaries!$A$2:$A$30,0),0),1)-1,""))</f>
        <v/>
      </c>
      <c r="BD203" s="42" t="str">
        <f aca="false">IF(OR(BC203="",$E203=""),"",BC203-$E203)</f>
        <v/>
      </c>
      <c r="BE203" s="39"/>
      <c r="BF203" s="40" t="str">
        <f aca="false">IF(OR(BE203="",CE203=""),"",BE203/CE203*100)</f>
        <v/>
      </c>
      <c r="BG203" s="41" t="str">
        <f aca="false">IF(BF203="","",IFERROR(MATCH(BF203,INDEX(Boundaries!$B$2:$I$30,MATCH(CS203,Boundaries!$A$2:$A$30,0),0),1)-1,""))</f>
        <v/>
      </c>
      <c r="BH203" s="42" t="str">
        <f aca="false">IF(OR(BG203="",$E203=""),"",BG203-$E203)</f>
        <v/>
      </c>
      <c r="BI203" s="39"/>
      <c r="BJ203" s="40" t="str">
        <f aca="false">IF(OR(BI203="",CF203=""),"",BI203/CF203*100)</f>
        <v/>
      </c>
      <c r="BK203" s="41" t="str">
        <f aca="false">IF(BJ203="","",IFERROR(MATCH(BJ203,INDEX(Boundaries!$B$2:$I$30,MATCH(CT203,Boundaries!$A$2:$A$30,0),0),1)-1,""))</f>
        <v/>
      </c>
      <c r="BL203" s="42" t="str">
        <f aca="false">IF(OR(BK203="",$E203=""),"",BK203-$E203)</f>
        <v/>
      </c>
      <c r="BM203" s="39"/>
      <c r="BN203" s="40" t="str">
        <f aca="false">IF(OR(BM203="",CG203=""),"",BM203/CG203*100)</f>
        <v/>
      </c>
      <c r="BO203" s="41" t="str">
        <f aca="false">IF(BN203="","",IFERROR(MATCH(BN203,INDEX(Boundaries!$B$2:$I$30,MATCH(CU203,Boundaries!$A$2:$A$30,0),0),1)-1,""))</f>
        <v/>
      </c>
      <c r="BP203" s="42" t="str">
        <f aca="false">IF(OR(BO203="",$E203=""),"",BO203-$E203)</f>
        <v/>
      </c>
      <c r="BQ203" s="39"/>
      <c r="BR203" s="40" t="str">
        <f aca="false">IF(OR(BQ203="",CH203=""),"",BQ203/CH203*100)</f>
        <v/>
      </c>
      <c r="BS203" s="41" t="str">
        <f aca="false">IF(BR203="","",IFERROR(MATCH(BR203,INDEX(Boundaries!$B$2:$I$30,MATCH(CV203,Boundaries!$A$2:$A$30,0),0),1)-1,""))</f>
        <v/>
      </c>
      <c r="BT203" s="42" t="str">
        <f aca="false">IF(OR(BS203="",$E203=""),"",BS203-$E203)</f>
        <v/>
      </c>
      <c r="BU203" s="28" t="n">
        <f aca="false">IFERROR(INDEX(Assessments!$H$2:$H$600,MATCH($H203&amp;"|"&amp;$I203&amp;"|"&amp;$J203&amp;"|"&amp;1,Assessments!$A$2:$A$600,0)),"")</f>
        <v>20</v>
      </c>
      <c r="BV203" s="28" t="n">
        <f aca="false">IFERROR(INDEX(Assessments!$H$2:$H$600,MATCH($H203&amp;"|"&amp;$I203&amp;"|"&amp;$J203&amp;"|"&amp;2,Assessments!$A$2:$A$600,0)),"")</f>
        <v>20</v>
      </c>
      <c r="BW203" s="28" t="n">
        <f aca="false">IFERROR(INDEX(Assessments!$H$2:$H$600,MATCH($H203&amp;"|"&amp;$I203&amp;"|"&amp;$J203&amp;"|"&amp;3,Assessments!$A$2:$A$600,0)),"")</f>
        <v>20</v>
      </c>
      <c r="BX203" s="28" t="n">
        <f aca="false">IFERROR(INDEX(Assessments!$H$2:$H$600,MATCH($H203&amp;"|"&amp;$I203&amp;"|"&amp;$J203&amp;"|"&amp;4,Assessments!$A$2:$A$600,0)),"")</f>
        <v>20</v>
      </c>
      <c r="BY203" s="28" t="n">
        <f aca="false">IFERROR(INDEX(Assessments!$H$2:$H$600,MATCH($H203&amp;"|"&amp;$I203&amp;"|"&amp;$J203&amp;"|"&amp;5,Assessments!$A$2:$A$600,0)),"")</f>
        <v>20</v>
      </c>
      <c r="BZ203" s="28" t="n">
        <f aca="false">IFERROR(INDEX(Assessments!$H$2:$H$600,MATCH($H203&amp;"|"&amp;$I203&amp;"|"&amp;$J203&amp;"|"&amp;6,Assessments!$A$2:$A$600,0)),"")</f>
        <v>40</v>
      </c>
      <c r="CA203" s="28" t="n">
        <f aca="false">IFERROR(INDEX(Assessments!$H$2:$H$600,MATCH($H203&amp;"|"&amp;$I203&amp;"|"&amp;$J203&amp;"|"&amp;7,Assessments!$A$2:$A$600,0)),"")</f>
        <v>50</v>
      </c>
      <c r="CB203" s="28" t="str">
        <f aca="false">IFERROR(INDEX(Assessments!$H$2:$H$600,MATCH($H203&amp;"|"&amp;$I203&amp;"|"&amp;$J203&amp;"|"&amp;8,Assessments!$A$2:$A$600,0)),"")</f>
        <v/>
      </c>
      <c r="CC203" s="28" t="str">
        <f aca="false">IFERROR(INDEX(Assessments!$H$2:$H$600,MATCH($H203&amp;"|"&amp;$I203&amp;"|"&amp;$J203&amp;"|"&amp;9,Assessments!$A$2:$A$600,0)),"")</f>
        <v/>
      </c>
      <c r="CD203" s="28" t="str">
        <f aca="false">IFERROR(INDEX(Assessments!$H$2:$H$600,MATCH($H203&amp;"|"&amp;$I203&amp;"|"&amp;$J203&amp;"|"&amp;10,Assessments!$A$2:$A$600,0)),"")</f>
        <v/>
      </c>
      <c r="CE203" s="28" t="str">
        <f aca="false">IFERROR(INDEX(Assessments!$H$2:$H$600,MATCH($H203&amp;"|"&amp;$I203&amp;"|"&amp;$J203&amp;"|"&amp;11,Assessments!$A$2:$A$600,0)),"")</f>
        <v/>
      </c>
      <c r="CF203" s="28" t="str">
        <f aca="false">IFERROR(INDEX(Assessments!$H$2:$H$600,MATCH($H203&amp;"|"&amp;$I203&amp;"|"&amp;$J203&amp;"|"&amp;12,Assessments!$A$2:$A$600,0)),"")</f>
        <v/>
      </c>
      <c r="CG203" s="28" t="str">
        <f aca="false">IFERROR(INDEX(Assessments!$H$2:$H$600,MATCH($H203&amp;"|"&amp;$I203&amp;"|"&amp;$J203&amp;"|"&amp;13,Assessments!$A$2:$A$600,0)),"")</f>
        <v/>
      </c>
      <c r="CH203" s="28" t="str">
        <f aca="false">IFERROR(INDEX(Assessments!$H$2:$H$600,MATCH($H203&amp;"|"&amp;$I203&amp;"|"&amp;$J203&amp;"|"&amp;14,Assessments!$A$2:$A$600,0)),"")</f>
        <v/>
      </c>
      <c r="CI203" s="28" t="str">
        <f aca="false">IFERROR(INDEX(Assessments!$I$2:$I$600,MATCH($H203&amp;"|"&amp;$I203&amp;"|"&amp;$J203&amp;"|"&amp;1,Assessments!$A$2:$A$600,0)),"")</f>
        <v>Geog Paper 1</v>
      </c>
      <c r="CJ203" s="28" t="str">
        <f aca="false">IFERROR(INDEX(Assessments!$I$2:$I$600,MATCH($H203&amp;"|"&amp;$I203&amp;"|"&amp;$J203&amp;"|"&amp;2,Assessments!$A$2:$A$600,0)),"")</f>
        <v>Geog Paper 1</v>
      </c>
      <c r="CK203" s="28" t="str">
        <f aca="false">IFERROR(INDEX(Assessments!$I$2:$I$600,MATCH($H203&amp;"|"&amp;$I203&amp;"|"&amp;$J203&amp;"|"&amp;3,Assessments!$A$2:$A$600,0)),"")</f>
        <v>Geog Paper 2</v>
      </c>
      <c r="CL203" s="28" t="str">
        <f aca="false">IFERROR(INDEX(Assessments!$I$2:$I$600,MATCH($H203&amp;"|"&amp;$I203&amp;"|"&amp;$J203&amp;"|"&amp;4,Assessments!$A$2:$A$600,0)),"")</f>
        <v>Geog Paper 1</v>
      </c>
      <c r="CM203" s="28" t="str">
        <f aca="false">IFERROR(INDEX(Assessments!$I$2:$I$600,MATCH($H203&amp;"|"&amp;$I203&amp;"|"&amp;$J203&amp;"|"&amp;5,Assessments!$A$2:$A$600,0)),"")</f>
        <v>Geog Paper 1</v>
      </c>
      <c r="CN203" s="28" t="str">
        <f aca="false">IFERROR(INDEX(Assessments!$I$2:$I$600,MATCH($H203&amp;"|"&amp;$I203&amp;"|"&amp;$J203&amp;"|"&amp;6,Assessments!$A$2:$A$600,0)),"")</f>
        <v>Geog Paper 1</v>
      </c>
      <c r="CO203" s="28" t="str">
        <f aca="false">IFERROR(INDEX(Assessments!$I$2:$I$600,MATCH($H203&amp;"|"&amp;$I203&amp;"|"&amp;$J203&amp;"|"&amp;7,Assessments!$A$2:$A$600,0)),"")</f>
        <v>Geog Paper 2</v>
      </c>
      <c r="CP203" s="28" t="str">
        <f aca="false">IFERROR(INDEX(Assessments!$I$2:$I$600,MATCH($H203&amp;"|"&amp;$I203&amp;"|"&amp;$J203&amp;"|"&amp;8,Assessments!$A$2:$A$600,0)),"")</f>
        <v/>
      </c>
      <c r="CQ203" s="28" t="str">
        <f aca="false">IFERROR(INDEX(Assessments!$I$2:$I$600,MATCH($H203&amp;"|"&amp;$I203&amp;"|"&amp;$J203&amp;"|"&amp;9,Assessments!$A$2:$A$600,0)),"")</f>
        <v/>
      </c>
      <c r="CR203" s="28" t="str">
        <f aca="false">IFERROR(INDEX(Assessments!$I$2:$I$600,MATCH($H203&amp;"|"&amp;$I203&amp;"|"&amp;$J203&amp;"|"&amp;10,Assessments!$A$2:$A$600,0)),"")</f>
        <v/>
      </c>
      <c r="CS203" s="28" t="str">
        <f aca="false">IFERROR(INDEX(Assessments!$I$2:$I$600,MATCH($H203&amp;"|"&amp;$I203&amp;"|"&amp;$J203&amp;"|"&amp;11,Assessments!$A$2:$A$600,0)),"")</f>
        <v/>
      </c>
      <c r="CT203" s="28" t="str">
        <f aca="false">IFERROR(INDEX(Assessments!$I$2:$I$600,MATCH($H203&amp;"|"&amp;$I203&amp;"|"&amp;$J203&amp;"|"&amp;12,Assessments!$A$2:$A$600,0)),"")</f>
        <v/>
      </c>
      <c r="CU203" s="28" t="str">
        <f aca="false">IFERROR(INDEX(Assessments!$I$2:$I$600,MATCH($H203&amp;"|"&amp;$I203&amp;"|"&amp;$J203&amp;"|"&amp;13,Assessments!$A$2:$A$600,0)),"")</f>
        <v/>
      </c>
      <c r="CV203" s="28" t="str">
        <f aca="false">IFERROR(INDEX(Assessments!$I$2:$I$600,MATCH($H203&amp;"|"&amp;$I203&amp;"|"&amp;$J203&amp;"|"&amp;14,Assessments!$A$2:$A$600,0)),"")</f>
        <v/>
      </c>
      <c r="CW203" s="28" t="n">
        <f aca="false">IFERROR(INDEX(Assessments!$J$2:$J$600,MATCH($H203&amp;"|"&amp;$I203&amp;"|"&amp;$J203&amp;"|"&amp;1,Assessments!$A$2:$A$600,0)),0)</f>
        <v>1</v>
      </c>
      <c r="CX203" s="28" t="n">
        <f aca="false">IFERROR(INDEX(Assessments!$J$2:$J$600,MATCH($H203&amp;"|"&amp;$I203&amp;"|"&amp;$J203&amp;"|"&amp;2,Assessments!$A$2:$A$600,0)),0)</f>
        <v>1</v>
      </c>
      <c r="CY203" s="28" t="n">
        <f aca="false">IFERROR(INDEX(Assessments!$J$2:$J$600,MATCH($H203&amp;"|"&amp;$I203&amp;"|"&amp;$J203&amp;"|"&amp;3,Assessments!$A$2:$A$600,0)),0)</f>
        <v>1</v>
      </c>
      <c r="CZ203" s="28" t="n">
        <f aca="false">IFERROR(INDEX(Assessments!$J$2:$J$600,MATCH($H203&amp;"|"&amp;$I203&amp;"|"&amp;$J203&amp;"|"&amp;4,Assessments!$A$2:$A$600,0)),0)</f>
        <v>1</v>
      </c>
      <c r="DA203" s="28" t="n">
        <f aca="false">IFERROR(INDEX(Assessments!$J$2:$J$600,MATCH($H203&amp;"|"&amp;$I203&amp;"|"&amp;$J203&amp;"|"&amp;5,Assessments!$A$2:$A$600,0)),0)</f>
        <v>1</v>
      </c>
      <c r="DB203" s="28" t="n">
        <f aca="false">IFERROR(INDEX(Assessments!$J$2:$J$600,MATCH($H203&amp;"|"&amp;$I203&amp;"|"&amp;$J203&amp;"|"&amp;6,Assessments!$A$2:$A$600,0)),0)</f>
        <v>2</v>
      </c>
      <c r="DC203" s="28" t="n">
        <f aca="false">IFERROR(INDEX(Assessments!$J$2:$J$600,MATCH($H203&amp;"|"&amp;$I203&amp;"|"&amp;$J203&amp;"|"&amp;7,Assessments!$A$2:$A$600,0)),0)</f>
        <v>2</v>
      </c>
      <c r="DD203" s="28" t="n">
        <f aca="false">IFERROR(INDEX(Assessments!$J$2:$J$600,MATCH($H203&amp;"|"&amp;$I203&amp;"|"&amp;$J203&amp;"|"&amp;8,Assessments!$A$2:$A$600,0)),0)</f>
        <v>0</v>
      </c>
      <c r="DE203" s="28" t="n">
        <f aca="false">IFERROR(INDEX(Assessments!$J$2:$J$600,MATCH($H203&amp;"|"&amp;$I203&amp;"|"&amp;$J203&amp;"|"&amp;9,Assessments!$A$2:$A$600,0)),0)</f>
        <v>0</v>
      </c>
      <c r="DF203" s="28" t="n">
        <f aca="false">IFERROR(INDEX(Assessments!$J$2:$J$600,MATCH($H203&amp;"|"&amp;$I203&amp;"|"&amp;$J203&amp;"|"&amp;10,Assessments!$A$2:$A$600,0)),0)</f>
        <v>0</v>
      </c>
      <c r="DG203" s="28" t="n">
        <f aca="false">IFERROR(INDEX(Assessments!$J$2:$J$600,MATCH($H203&amp;"|"&amp;$I203&amp;"|"&amp;$J203&amp;"|"&amp;11,Assessments!$A$2:$A$600,0)),0)</f>
        <v>0</v>
      </c>
      <c r="DH203" s="28" t="n">
        <f aca="false">IFERROR(INDEX(Assessments!$J$2:$J$600,MATCH($H203&amp;"|"&amp;$I203&amp;"|"&amp;$J203&amp;"|"&amp;12,Assessments!$A$2:$A$600,0)),0)</f>
        <v>0</v>
      </c>
      <c r="DI203" s="28" t="n">
        <f aca="false">IFERROR(INDEX(Assessments!$J$2:$J$600,MATCH($H203&amp;"|"&amp;$I203&amp;"|"&amp;$J203&amp;"|"&amp;13,Assessments!$A$2:$A$600,0)),0)</f>
        <v>0</v>
      </c>
      <c r="DJ203" s="28" t="n">
        <f aca="false">IFERROR(INDEX(Assessments!$J$2:$J$600,MATCH($H203&amp;"|"&amp;$I203&amp;"|"&amp;$J203&amp;"|"&amp;14,Assessments!$A$2:$A$600,0)),0)</f>
        <v>0</v>
      </c>
      <c r="DK203" s="28" t="n">
        <f aca="false">S203</f>
        <v>7</v>
      </c>
      <c r="DL203" s="28" t="str">
        <f aca="false">W203</f>
        <v/>
      </c>
      <c r="DM203" s="28" t="str">
        <f aca="false">AA203</f>
        <v/>
      </c>
      <c r="DN203" s="28" t="str">
        <f aca="false">AE203</f>
        <v/>
      </c>
      <c r="DO203" s="28" t="str">
        <f aca="false">AI203</f>
        <v/>
      </c>
      <c r="DP203" s="28" t="str">
        <f aca="false">AM203</f>
        <v/>
      </c>
      <c r="DQ203" s="28" t="str">
        <f aca="false">AQ203</f>
        <v/>
      </c>
      <c r="DR203" s="28" t="str">
        <f aca="false">AU203</f>
        <v/>
      </c>
      <c r="DS203" s="28" t="str">
        <f aca="false">AY203</f>
        <v/>
      </c>
      <c r="DT203" s="28" t="str">
        <f aca="false">BC203</f>
        <v/>
      </c>
      <c r="DU203" s="28" t="str">
        <f aca="false">BG203</f>
        <v/>
      </c>
      <c r="DV203" s="28" t="str">
        <f aca="false">BK203</f>
        <v/>
      </c>
      <c r="DW203" s="28" t="str">
        <f aca="false">BO203</f>
        <v/>
      </c>
      <c r="DX203" s="28" t="str">
        <f aca="false">BS203</f>
        <v/>
      </c>
      <c r="DY203" s="28" t="n">
        <f aca="false">IF(ISNUMBER(S203),1,"")</f>
        <v>1</v>
      </c>
      <c r="DZ203" s="28" t="str">
        <f aca="false">IF(ISNUMBER(W203),2,"")</f>
        <v/>
      </c>
      <c r="EA203" s="28" t="str">
        <f aca="false">IF(ISNUMBER(AA203),3,"")</f>
        <v/>
      </c>
      <c r="EB203" s="28" t="str">
        <f aca="false">IF(ISNUMBER(AE203),4,"")</f>
        <v/>
      </c>
      <c r="EC203" s="28" t="str">
        <f aca="false">IF(ISNUMBER(AI203),5,"")</f>
        <v/>
      </c>
      <c r="ED203" s="28" t="str">
        <f aca="false">IF(ISNUMBER(AM203),6,"")</f>
        <v/>
      </c>
      <c r="EE203" s="28" t="str">
        <f aca="false">IF(ISNUMBER(AQ203),7,"")</f>
        <v/>
      </c>
      <c r="EF203" s="28" t="str">
        <f aca="false">IF(ISNUMBER(AU203),8,"")</f>
        <v/>
      </c>
      <c r="EG203" s="28" t="str">
        <f aca="false">IF(ISNUMBER(AY203),9,"")</f>
        <v/>
      </c>
      <c r="EH203" s="28" t="str">
        <f aca="false">IF(ISNUMBER(BC203),10,"")</f>
        <v/>
      </c>
      <c r="EI203" s="28" t="str">
        <f aca="false">IF(ISNUMBER(BG203),11,"")</f>
        <v/>
      </c>
      <c r="EJ203" s="28" t="str">
        <f aca="false">IF(ISNUMBER(BK203),12,"")</f>
        <v/>
      </c>
      <c r="EK203" s="28" t="str">
        <f aca="false">IF(ISNUMBER(BO203),13,"")</f>
        <v/>
      </c>
      <c r="EL203" s="28" t="str">
        <f aca="false">IF(ISNUMBER(BS203),14,"")</f>
        <v/>
      </c>
      <c r="EM203" s="28" t="n">
        <f aca="false">IF(ISNUMBER(R203),R203*CW203,0)</f>
        <v>90</v>
      </c>
      <c r="EN203" s="28" t="n">
        <f aca="false">IF(ISNUMBER(V203),V203*CX203,0)</f>
        <v>0</v>
      </c>
      <c r="EO203" s="28" t="n">
        <f aca="false">IF(ISNUMBER(Z203),Z203*CY203,0)</f>
        <v>0</v>
      </c>
      <c r="EP203" s="28" t="n">
        <f aca="false">IF(ISNUMBER(AD203),AD203*CZ203,0)</f>
        <v>0</v>
      </c>
      <c r="EQ203" s="28" t="n">
        <f aca="false">IF(ISNUMBER(AH203),AH203*DA203,0)</f>
        <v>0</v>
      </c>
      <c r="ER203" s="28" t="n">
        <f aca="false">IF(ISNUMBER(AL203),AL203*DB203,0)</f>
        <v>0</v>
      </c>
      <c r="ES203" s="28" t="n">
        <f aca="false">IF(ISNUMBER(AP203),AP203*DC203,0)</f>
        <v>0</v>
      </c>
      <c r="ET203" s="28" t="n">
        <f aca="false">IF(ISNUMBER(AT203),AT203*DD203,0)</f>
        <v>0</v>
      </c>
      <c r="EU203" s="28" t="n">
        <f aca="false">IF(ISNUMBER(AX203),AX203*DE203,0)</f>
        <v>0</v>
      </c>
      <c r="EV203" s="28" t="n">
        <f aca="false">IF(ISNUMBER(BB203),BB203*DF203,0)</f>
        <v>0</v>
      </c>
      <c r="EW203" s="28" t="n">
        <f aca="false">IF(ISNUMBER(BF203),BF203*DG203,0)</f>
        <v>0</v>
      </c>
      <c r="EX203" s="28" t="n">
        <f aca="false">IF(ISNUMBER(BJ203),BJ203*DH203,0)</f>
        <v>0</v>
      </c>
      <c r="EY203" s="28" t="n">
        <f aca="false">IF(ISNUMBER(BN203),BN203*DI203,0)</f>
        <v>0</v>
      </c>
      <c r="EZ203" s="28" t="n">
        <f aca="false">IF(ISNUMBER(BR203),BR203*DJ203,0)</f>
        <v>0</v>
      </c>
      <c r="FA203" s="28" t="n">
        <f aca="false">IF(ISNUMBER(R203),CW203,0)</f>
        <v>1</v>
      </c>
      <c r="FB203" s="28" t="n">
        <f aca="false">IF(ISNUMBER(V203),CX203,0)</f>
        <v>0</v>
      </c>
      <c r="FC203" s="28" t="n">
        <f aca="false">IF(ISNUMBER(Z203),CY203,0)</f>
        <v>0</v>
      </c>
      <c r="FD203" s="28" t="n">
        <f aca="false">IF(ISNUMBER(AD203),CZ203,0)</f>
        <v>0</v>
      </c>
      <c r="FE203" s="28" t="n">
        <f aca="false">IF(ISNUMBER(AH203),DA203,0)</f>
        <v>0</v>
      </c>
      <c r="FF203" s="28" t="n">
        <f aca="false">IF(ISNUMBER(AL203),DB203,0)</f>
        <v>0</v>
      </c>
      <c r="FG203" s="28" t="n">
        <f aca="false">IF(ISNUMBER(AP203),DC203,0)</f>
        <v>0</v>
      </c>
      <c r="FH203" s="28" t="n">
        <f aca="false">IF(ISNUMBER(AT203),DD203,0)</f>
        <v>0</v>
      </c>
      <c r="FI203" s="28" t="n">
        <f aca="false">IF(ISNUMBER(AX203),DE203,0)</f>
        <v>0</v>
      </c>
      <c r="FJ203" s="28" t="n">
        <f aca="false">IF(ISNUMBER(BB203),DF203,0)</f>
        <v>0</v>
      </c>
      <c r="FK203" s="28" t="n">
        <f aca="false">IF(ISNUMBER(BF203),DG203,0)</f>
        <v>0</v>
      </c>
      <c r="FL203" s="28" t="n">
        <f aca="false">IF(ISNUMBER(BJ203),DH203,0)</f>
        <v>0</v>
      </c>
      <c r="FM203" s="28" t="n">
        <f aca="false">IF(ISNUMBER(BN203),DI203,0)</f>
        <v>0</v>
      </c>
      <c r="FN203" s="28" t="n">
        <f aca="false">IF(ISNUMBER(BR203),DJ203,0)</f>
        <v>0</v>
      </c>
      <c r="FO203" s="28" t="str">
        <f aca="false">IFERROR(INDEX(Lists!$G$2:$G$20,MATCH($I203&amp;"|"&amp;$J203,Lists!$F$2:$F$20,0)),"")</f>
        <v>Geog Overall HL</v>
      </c>
    </row>
    <row r="204" customFormat="false" ht="19.5" hidden="false" customHeight="true" outlineLevel="0" collapsed="false">
      <c r="A204" s="29" t="s">
        <v>441</v>
      </c>
      <c r="B204" s="29" t="s">
        <v>442</v>
      </c>
      <c r="C204" s="30" t="s">
        <v>192</v>
      </c>
      <c r="D204" s="30" t="s">
        <v>177</v>
      </c>
      <c r="E204" s="31"/>
      <c r="F204" s="30" t="n">
        <v>6</v>
      </c>
      <c r="G204" s="30"/>
      <c r="H204" s="32" t="s">
        <v>428</v>
      </c>
      <c r="I204" s="33" t="s">
        <v>24</v>
      </c>
      <c r="J204" s="32" t="s">
        <v>25</v>
      </c>
      <c r="K204" s="34" t="str">
        <f aca="false">IF(OR(M204="",$E204=""),"",M204-$E204)</f>
        <v/>
      </c>
      <c r="L204" s="35" t="n">
        <f aca="false">IF(SUM(FA204:FN204)=0,"",SUM(EM204:EZ204)/SUM(FA204:FN204))</f>
        <v>40</v>
      </c>
      <c r="M204" s="36" t="n">
        <f aca="false">IF(OR(L204="",FO204=""),"",IFERROR(MATCH(L204,INDEX(Boundaries!$B$2:$I$30,MATCH(FO204,Boundaries!$A$2:$A$30,0),0),1)-1,""))</f>
        <v>3</v>
      </c>
      <c r="N204" s="37" t="str">
        <f aca="false">IF(COUNT($DY204:$EL204)&lt;2,"",INDEX($DK204:$DX204,MAX($DY204:$EL204))-INDEX($DK204:$DX204,MIN($DY204:$EL204)))</f>
        <v/>
      </c>
      <c r="O204" s="37" t="str">
        <f aca="false">IF(COUNT($DY204:$EL204)&lt;2,"",INDEX($DK204:$DX204,MAX($DY204:$EL204))-INDEX($DK204:$DX204,LARGE($DY204:$EL204,2)))</f>
        <v/>
      </c>
      <c r="P204" s="38" t="str">
        <f aca="false">IF(K204="","",IF(K204&gt;=0,"On/above target",IF(AND(N204&lt;&gt;"",N204&gt;=0.5),"Improving towards target",IF(AND(O204&lt;&gt;"",O204&lt;=-0.5),"Declining","Stable below target"))))</f>
        <v/>
      </c>
      <c r="Q204" s="39" t="n">
        <v>8</v>
      </c>
      <c r="R204" s="40" t="n">
        <f aca="false">IF(OR(Q204="",BU204=""),"",Q204/BU204*100)</f>
        <v>40</v>
      </c>
      <c r="S204" s="41" t="n">
        <f aca="false">IF(R204="","",IFERROR(MATCH(R204,INDEX(Boundaries!$B$2:$I$30,MATCH(CI204,Boundaries!$A$2:$A$30,0),0),1)-1,""))</f>
        <v>3</v>
      </c>
      <c r="T204" s="42" t="str">
        <f aca="false">IF(OR(S204="",$E204=""),"",S204-$E204)</f>
        <v/>
      </c>
      <c r="U204" s="39"/>
      <c r="V204" s="40" t="str">
        <f aca="false">IF(OR(U204="",BV204=""),"",U204/BV204*100)</f>
        <v/>
      </c>
      <c r="W204" s="41" t="str">
        <f aca="false">IF(V204="","",IFERROR(MATCH(V204,INDEX(Boundaries!$B$2:$I$30,MATCH(CJ204,Boundaries!$A$2:$A$30,0),0),1)-1,""))</f>
        <v/>
      </c>
      <c r="X204" s="42" t="str">
        <f aca="false">IF(OR(W204="",$E204=""),"",W204-$E204)</f>
        <v/>
      </c>
      <c r="Y204" s="39"/>
      <c r="Z204" s="40" t="str">
        <f aca="false">IF(OR(Y204="",BW204=""),"",Y204/BW204*100)</f>
        <v/>
      </c>
      <c r="AA204" s="41" t="str">
        <f aca="false">IF(Z204="","",IFERROR(MATCH(Z204,INDEX(Boundaries!$B$2:$I$30,MATCH(CK204,Boundaries!$A$2:$A$30,0),0),1)-1,""))</f>
        <v/>
      </c>
      <c r="AB204" s="42" t="str">
        <f aca="false">IF(OR(AA204="",$E204=""),"",AA204-$E204)</f>
        <v/>
      </c>
      <c r="AC204" s="39"/>
      <c r="AD204" s="40" t="str">
        <f aca="false">IF(OR(AC204="",BX204=""),"",AC204/BX204*100)</f>
        <v/>
      </c>
      <c r="AE204" s="41" t="str">
        <f aca="false">IF(AD204="","",IFERROR(MATCH(AD204,INDEX(Boundaries!$B$2:$I$30,MATCH(CL204,Boundaries!$A$2:$A$30,0),0),1)-1,""))</f>
        <v/>
      </c>
      <c r="AF204" s="42" t="str">
        <f aca="false">IF(OR(AE204="",$E204=""),"",AE204-$E204)</f>
        <v/>
      </c>
      <c r="AG204" s="39"/>
      <c r="AH204" s="40" t="str">
        <f aca="false">IF(OR(AG204="",BY204=""),"",AG204/BY204*100)</f>
        <v/>
      </c>
      <c r="AI204" s="41" t="str">
        <f aca="false">IF(AH204="","",IFERROR(MATCH(AH204,INDEX(Boundaries!$B$2:$I$30,MATCH(CM204,Boundaries!$A$2:$A$30,0),0),1)-1,""))</f>
        <v/>
      </c>
      <c r="AJ204" s="42" t="str">
        <f aca="false">IF(OR(AI204="",$E204=""),"",AI204-$E204)</f>
        <v/>
      </c>
      <c r="AK204" s="39"/>
      <c r="AL204" s="40" t="str">
        <f aca="false">IF(OR(AK204="",BZ204=""),"",AK204/BZ204*100)</f>
        <v/>
      </c>
      <c r="AM204" s="41" t="str">
        <f aca="false">IF(AL204="","",IFERROR(MATCH(AL204,INDEX(Boundaries!$B$2:$I$30,MATCH(CN204,Boundaries!$A$2:$A$30,0),0),1)-1,""))</f>
        <v/>
      </c>
      <c r="AN204" s="42" t="str">
        <f aca="false">IF(OR(AM204="",$E204=""),"",AM204-$E204)</f>
        <v/>
      </c>
      <c r="AO204" s="39"/>
      <c r="AP204" s="40" t="str">
        <f aca="false">IF(OR(AO204="",CA204=""),"",AO204/CA204*100)</f>
        <v/>
      </c>
      <c r="AQ204" s="41" t="str">
        <f aca="false">IF(AP204="","",IFERROR(MATCH(AP204,INDEX(Boundaries!$B$2:$I$30,MATCH(CO204,Boundaries!$A$2:$A$30,0),0),1)-1,""))</f>
        <v/>
      </c>
      <c r="AR204" s="42" t="str">
        <f aca="false">IF(OR(AQ204="",$E204=""),"",AQ204-$E204)</f>
        <v/>
      </c>
      <c r="AS204" s="39"/>
      <c r="AT204" s="40" t="str">
        <f aca="false">IF(OR(AS204="",CB204=""),"",AS204/CB204*100)</f>
        <v/>
      </c>
      <c r="AU204" s="41" t="str">
        <f aca="false">IF(AT204="","",IFERROR(MATCH(AT204,INDEX(Boundaries!$B$2:$I$30,MATCH(CP204,Boundaries!$A$2:$A$30,0),0),1)-1,""))</f>
        <v/>
      </c>
      <c r="AV204" s="42" t="str">
        <f aca="false">IF(OR(AU204="",$E204=""),"",AU204-$E204)</f>
        <v/>
      </c>
      <c r="AW204" s="39"/>
      <c r="AX204" s="40" t="str">
        <f aca="false">IF(OR(AW204="",CC204=""),"",AW204/CC204*100)</f>
        <v/>
      </c>
      <c r="AY204" s="41" t="str">
        <f aca="false">IF(AX204="","",IFERROR(MATCH(AX204,INDEX(Boundaries!$B$2:$I$30,MATCH(CQ204,Boundaries!$A$2:$A$30,0),0),1)-1,""))</f>
        <v/>
      </c>
      <c r="AZ204" s="42" t="str">
        <f aca="false">IF(OR(AY204="",$E204=""),"",AY204-$E204)</f>
        <v/>
      </c>
      <c r="BA204" s="39"/>
      <c r="BB204" s="40" t="str">
        <f aca="false">IF(OR(BA204="",CD204=""),"",BA204/CD204*100)</f>
        <v/>
      </c>
      <c r="BC204" s="41" t="str">
        <f aca="false">IF(BB204="","",IFERROR(MATCH(BB204,INDEX(Boundaries!$B$2:$I$30,MATCH(CR204,Boundaries!$A$2:$A$30,0),0),1)-1,""))</f>
        <v/>
      </c>
      <c r="BD204" s="42" t="str">
        <f aca="false">IF(OR(BC204="",$E204=""),"",BC204-$E204)</f>
        <v/>
      </c>
      <c r="BE204" s="39"/>
      <c r="BF204" s="40" t="str">
        <f aca="false">IF(OR(BE204="",CE204=""),"",BE204/CE204*100)</f>
        <v/>
      </c>
      <c r="BG204" s="41" t="str">
        <f aca="false">IF(BF204="","",IFERROR(MATCH(BF204,INDEX(Boundaries!$B$2:$I$30,MATCH(CS204,Boundaries!$A$2:$A$30,0),0),1)-1,""))</f>
        <v/>
      </c>
      <c r="BH204" s="42" t="str">
        <f aca="false">IF(OR(BG204="",$E204=""),"",BG204-$E204)</f>
        <v/>
      </c>
      <c r="BI204" s="39"/>
      <c r="BJ204" s="40" t="str">
        <f aca="false">IF(OR(BI204="",CF204=""),"",BI204/CF204*100)</f>
        <v/>
      </c>
      <c r="BK204" s="41" t="str">
        <f aca="false">IF(BJ204="","",IFERROR(MATCH(BJ204,INDEX(Boundaries!$B$2:$I$30,MATCH(CT204,Boundaries!$A$2:$A$30,0),0),1)-1,""))</f>
        <v/>
      </c>
      <c r="BL204" s="42" t="str">
        <f aca="false">IF(OR(BK204="",$E204=""),"",BK204-$E204)</f>
        <v/>
      </c>
      <c r="BM204" s="39"/>
      <c r="BN204" s="40" t="str">
        <f aca="false">IF(OR(BM204="",CG204=""),"",BM204/CG204*100)</f>
        <v/>
      </c>
      <c r="BO204" s="41" t="str">
        <f aca="false">IF(BN204="","",IFERROR(MATCH(BN204,INDEX(Boundaries!$B$2:$I$30,MATCH(CU204,Boundaries!$A$2:$A$30,0),0),1)-1,""))</f>
        <v/>
      </c>
      <c r="BP204" s="42" t="str">
        <f aca="false">IF(OR(BO204="",$E204=""),"",BO204-$E204)</f>
        <v/>
      </c>
      <c r="BQ204" s="39"/>
      <c r="BR204" s="40" t="str">
        <f aca="false">IF(OR(BQ204="",CH204=""),"",BQ204/CH204*100)</f>
        <v/>
      </c>
      <c r="BS204" s="41" t="str">
        <f aca="false">IF(BR204="","",IFERROR(MATCH(BR204,INDEX(Boundaries!$B$2:$I$30,MATCH(CV204,Boundaries!$A$2:$A$30,0),0),1)-1,""))</f>
        <v/>
      </c>
      <c r="BT204" s="42" t="str">
        <f aca="false">IF(OR(BS204="",$E204=""),"",BS204-$E204)</f>
        <v/>
      </c>
      <c r="BU204" s="28" t="n">
        <f aca="false">IFERROR(INDEX(Assessments!$H$2:$H$600,MATCH($H204&amp;"|"&amp;$I204&amp;"|"&amp;$J204&amp;"|"&amp;1,Assessments!$A$2:$A$600,0)),"")</f>
        <v>20</v>
      </c>
      <c r="BV204" s="28" t="n">
        <f aca="false">IFERROR(INDEX(Assessments!$H$2:$H$600,MATCH($H204&amp;"|"&amp;$I204&amp;"|"&amp;$J204&amp;"|"&amp;2,Assessments!$A$2:$A$600,0)),"")</f>
        <v>20</v>
      </c>
      <c r="BW204" s="28" t="n">
        <f aca="false">IFERROR(INDEX(Assessments!$H$2:$H$600,MATCH($H204&amp;"|"&amp;$I204&amp;"|"&amp;$J204&amp;"|"&amp;3,Assessments!$A$2:$A$600,0)),"")</f>
        <v>20</v>
      </c>
      <c r="BX204" s="28" t="n">
        <f aca="false">IFERROR(INDEX(Assessments!$H$2:$H$600,MATCH($H204&amp;"|"&amp;$I204&amp;"|"&amp;$J204&amp;"|"&amp;4,Assessments!$A$2:$A$600,0)),"")</f>
        <v>20</v>
      </c>
      <c r="BY204" s="28" t="n">
        <f aca="false">IFERROR(INDEX(Assessments!$H$2:$H$600,MATCH($H204&amp;"|"&amp;$I204&amp;"|"&amp;$J204&amp;"|"&amp;5,Assessments!$A$2:$A$600,0)),"")</f>
        <v>20</v>
      </c>
      <c r="BZ204" s="28" t="n">
        <f aca="false">IFERROR(INDEX(Assessments!$H$2:$H$600,MATCH($H204&amp;"|"&amp;$I204&amp;"|"&amp;$J204&amp;"|"&amp;6,Assessments!$A$2:$A$600,0)),"")</f>
        <v>40</v>
      </c>
      <c r="CA204" s="28" t="n">
        <f aca="false">IFERROR(INDEX(Assessments!$H$2:$H$600,MATCH($H204&amp;"|"&amp;$I204&amp;"|"&amp;$J204&amp;"|"&amp;7,Assessments!$A$2:$A$600,0)),"")</f>
        <v>50</v>
      </c>
      <c r="CB204" s="28" t="str">
        <f aca="false">IFERROR(INDEX(Assessments!$H$2:$H$600,MATCH($H204&amp;"|"&amp;$I204&amp;"|"&amp;$J204&amp;"|"&amp;8,Assessments!$A$2:$A$600,0)),"")</f>
        <v/>
      </c>
      <c r="CC204" s="28" t="str">
        <f aca="false">IFERROR(INDEX(Assessments!$H$2:$H$600,MATCH($H204&amp;"|"&amp;$I204&amp;"|"&amp;$J204&amp;"|"&amp;9,Assessments!$A$2:$A$600,0)),"")</f>
        <v/>
      </c>
      <c r="CD204" s="28" t="str">
        <f aca="false">IFERROR(INDEX(Assessments!$H$2:$H$600,MATCH($H204&amp;"|"&amp;$I204&amp;"|"&amp;$J204&amp;"|"&amp;10,Assessments!$A$2:$A$600,0)),"")</f>
        <v/>
      </c>
      <c r="CE204" s="28" t="str">
        <f aca="false">IFERROR(INDEX(Assessments!$H$2:$H$600,MATCH($H204&amp;"|"&amp;$I204&amp;"|"&amp;$J204&amp;"|"&amp;11,Assessments!$A$2:$A$600,0)),"")</f>
        <v/>
      </c>
      <c r="CF204" s="28" t="str">
        <f aca="false">IFERROR(INDEX(Assessments!$H$2:$H$600,MATCH($H204&amp;"|"&amp;$I204&amp;"|"&amp;$J204&amp;"|"&amp;12,Assessments!$A$2:$A$600,0)),"")</f>
        <v/>
      </c>
      <c r="CG204" s="28" t="str">
        <f aca="false">IFERROR(INDEX(Assessments!$H$2:$H$600,MATCH($H204&amp;"|"&amp;$I204&amp;"|"&amp;$J204&amp;"|"&amp;13,Assessments!$A$2:$A$600,0)),"")</f>
        <v/>
      </c>
      <c r="CH204" s="28" t="str">
        <f aca="false">IFERROR(INDEX(Assessments!$H$2:$H$600,MATCH($H204&amp;"|"&amp;$I204&amp;"|"&amp;$J204&amp;"|"&amp;14,Assessments!$A$2:$A$600,0)),"")</f>
        <v/>
      </c>
      <c r="CI204" s="28" t="str">
        <f aca="false">IFERROR(INDEX(Assessments!$I$2:$I$600,MATCH($H204&amp;"|"&amp;$I204&amp;"|"&amp;$J204&amp;"|"&amp;1,Assessments!$A$2:$A$600,0)),"")</f>
        <v>Geog Paper 1</v>
      </c>
      <c r="CJ204" s="28" t="str">
        <f aca="false">IFERROR(INDEX(Assessments!$I$2:$I$600,MATCH($H204&amp;"|"&amp;$I204&amp;"|"&amp;$J204&amp;"|"&amp;2,Assessments!$A$2:$A$600,0)),"")</f>
        <v>Geog Paper 1</v>
      </c>
      <c r="CK204" s="28" t="str">
        <f aca="false">IFERROR(INDEX(Assessments!$I$2:$I$600,MATCH($H204&amp;"|"&amp;$I204&amp;"|"&amp;$J204&amp;"|"&amp;3,Assessments!$A$2:$A$600,0)),"")</f>
        <v>Geog Paper 2</v>
      </c>
      <c r="CL204" s="28" t="str">
        <f aca="false">IFERROR(INDEX(Assessments!$I$2:$I$600,MATCH($H204&amp;"|"&amp;$I204&amp;"|"&amp;$J204&amp;"|"&amp;4,Assessments!$A$2:$A$600,0)),"")</f>
        <v>Geog Paper 1</v>
      </c>
      <c r="CM204" s="28" t="str">
        <f aca="false">IFERROR(INDEX(Assessments!$I$2:$I$600,MATCH($H204&amp;"|"&amp;$I204&amp;"|"&amp;$J204&amp;"|"&amp;5,Assessments!$A$2:$A$600,0)),"")</f>
        <v>Geog Paper 1</v>
      </c>
      <c r="CN204" s="28" t="str">
        <f aca="false">IFERROR(INDEX(Assessments!$I$2:$I$600,MATCH($H204&amp;"|"&amp;$I204&amp;"|"&amp;$J204&amp;"|"&amp;6,Assessments!$A$2:$A$600,0)),"")</f>
        <v>Geog Paper 1</v>
      </c>
      <c r="CO204" s="28" t="str">
        <f aca="false">IFERROR(INDEX(Assessments!$I$2:$I$600,MATCH($H204&amp;"|"&amp;$I204&amp;"|"&amp;$J204&amp;"|"&amp;7,Assessments!$A$2:$A$600,0)),"")</f>
        <v>Geog Paper 2</v>
      </c>
      <c r="CP204" s="28" t="str">
        <f aca="false">IFERROR(INDEX(Assessments!$I$2:$I$600,MATCH($H204&amp;"|"&amp;$I204&amp;"|"&amp;$J204&amp;"|"&amp;8,Assessments!$A$2:$A$600,0)),"")</f>
        <v/>
      </c>
      <c r="CQ204" s="28" t="str">
        <f aca="false">IFERROR(INDEX(Assessments!$I$2:$I$600,MATCH($H204&amp;"|"&amp;$I204&amp;"|"&amp;$J204&amp;"|"&amp;9,Assessments!$A$2:$A$600,0)),"")</f>
        <v/>
      </c>
      <c r="CR204" s="28" t="str">
        <f aca="false">IFERROR(INDEX(Assessments!$I$2:$I$600,MATCH($H204&amp;"|"&amp;$I204&amp;"|"&amp;$J204&amp;"|"&amp;10,Assessments!$A$2:$A$600,0)),"")</f>
        <v/>
      </c>
      <c r="CS204" s="28" t="str">
        <f aca="false">IFERROR(INDEX(Assessments!$I$2:$I$600,MATCH($H204&amp;"|"&amp;$I204&amp;"|"&amp;$J204&amp;"|"&amp;11,Assessments!$A$2:$A$600,0)),"")</f>
        <v/>
      </c>
      <c r="CT204" s="28" t="str">
        <f aca="false">IFERROR(INDEX(Assessments!$I$2:$I$600,MATCH($H204&amp;"|"&amp;$I204&amp;"|"&amp;$J204&amp;"|"&amp;12,Assessments!$A$2:$A$600,0)),"")</f>
        <v/>
      </c>
      <c r="CU204" s="28" t="str">
        <f aca="false">IFERROR(INDEX(Assessments!$I$2:$I$600,MATCH($H204&amp;"|"&amp;$I204&amp;"|"&amp;$J204&amp;"|"&amp;13,Assessments!$A$2:$A$600,0)),"")</f>
        <v/>
      </c>
      <c r="CV204" s="28" t="str">
        <f aca="false">IFERROR(INDEX(Assessments!$I$2:$I$600,MATCH($H204&amp;"|"&amp;$I204&amp;"|"&amp;$J204&amp;"|"&amp;14,Assessments!$A$2:$A$600,0)),"")</f>
        <v/>
      </c>
      <c r="CW204" s="28" t="n">
        <f aca="false">IFERROR(INDEX(Assessments!$J$2:$J$600,MATCH($H204&amp;"|"&amp;$I204&amp;"|"&amp;$J204&amp;"|"&amp;1,Assessments!$A$2:$A$600,0)),0)</f>
        <v>1</v>
      </c>
      <c r="CX204" s="28" t="n">
        <f aca="false">IFERROR(INDEX(Assessments!$J$2:$J$600,MATCH($H204&amp;"|"&amp;$I204&amp;"|"&amp;$J204&amp;"|"&amp;2,Assessments!$A$2:$A$600,0)),0)</f>
        <v>1</v>
      </c>
      <c r="CY204" s="28" t="n">
        <f aca="false">IFERROR(INDEX(Assessments!$J$2:$J$600,MATCH($H204&amp;"|"&amp;$I204&amp;"|"&amp;$J204&amp;"|"&amp;3,Assessments!$A$2:$A$600,0)),0)</f>
        <v>1</v>
      </c>
      <c r="CZ204" s="28" t="n">
        <f aca="false">IFERROR(INDEX(Assessments!$J$2:$J$600,MATCH($H204&amp;"|"&amp;$I204&amp;"|"&amp;$J204&amp;"|"&amp;4,Assessments!$A$2:$A$600,0)),0)</f>
        <v>1</v>
      </c>
      <c r="DA204" s="28" t="n">
        <f aca="false">IFERROR(INDEX(Assessments!$J$2:$J$600,MATCH($H204&amp;"|"&amp;$I204&amp;"|"&amp;$J204&amp;"|"&amp;5,Assessments!$A$2:$A$600,0)),0)</f>
        <v>1</v>
      </c>
      <c r="DB204" s="28" t="n">
        <f aca="false">IFERROR(INDEX(Assessments!$J$2:$J$600,MATCH($H204&amp;"|"&amp;$I204&amp;"|"&amp;$J204&amp;"|"&amp;6,Assessments!$A$2:$A$600,0)),0)</f>
        <v>2</v>
      </c>
      <c r="DC204" s="28" t="n">
        <f aca="false">IFERROR(INDEX(Assessments!$J$2:$J$600,MATCH($H204&amp;"|"&amp;$I204&amp;"|"&amp;$J204&amp;"|"&amp;7,Assessments!$A$2:$A$600,0)),0)</f>
        <v>2</v>
      </c>
      <c r="DD204" s="28" t="n">
        <f aca="false">IFERROR(INDEX(Assessments!$J$2:$J$600,MATCH($H204&amp;"|"&amp;$I204&amp;"|"&amp;$J204&amp;"|"&amp;8,Assessments!$A$2:$A$600,0)),0)</f>
        <v>0</v>
      </c>
      <c r="DE204" s="28" t="n">
        <f aca="false">IFERROR(INDEX(Assessments!$J$2:$J$600,MATCH($H204&amp;"|"&amp;$I204&amp;"|"&amp;$J204&amp;"|"&amp;9,Assessments!$A$2:$A$600,0)),0)</f>
        <v>0</v>
      </c>
      <c r="DF204" s="28" t="n">
        <f aca="false">IFERROR(INDEX(Assessments!$J$2:$J$600,MATCH($H204&amp;"|"&amp;$I204&amp;"|"&amp;$J204&amp;"|"&amp;10,Assessments!$A$2:$A$600,0)),0)</f>
        <v>0</v>
      </c>
      <c r="DG204" s="28" t="n">
        <f aca="false">IFERROR(INDEX(Assessments!$J$2:$J$600,MATCH($H204&amp;"|"&amp;$I204&amp;"|"&amp;$J204&amp;"|"&amp;11,Assessments!$A$2:$A$600,0)),0)</f>
        <v>0</v>
      </c>
      <c r="DH204" s="28" t="n">
        <f aca="false">IFERROR(INDEX(Assessments!$J$2:$J$600,MATCH($H204&amp;"|"&amp;$I204&amp;"|"&amp;$J204&amp;"|"&amp;12,Assessments!$A$2:$A$600,0)),0)</f>
        <v>0</v>
      </c>
      <c r="DI204" s="28" t="n">
        <f aca="false">IFERROR(INDEX(Assessments!$J$2:$J$600,MATCH($H204&amp;"|"&amp;$I204&amp;"|"&amp;$J204&amp;"|"&amp;13,Assessments!$A$2:$A$600,0)),0)</f>
        <v>0</v>
      </c>
      <c r="DJ204" s="28" t="n">
        <f aca="false">IFERROR(INDEX(Assessments!$J$2:$J$600,MATCH($H204&amp;"|"&amp;$I204&amp;"|"&amp;$J204&amp;"|"&amp;14,Assessments!$A$2:$A$600,0)),0)</f>
        <v>0</v>
      </c>
      <c r="DK204" s="28" t="n">
        <f aca="false">S204</f>
        <v>3</v>
      </c>
      <c r="DL204" s="28" t="str">
        <f aca="false">W204</f>
        <v/>
      </c>
      <c r="DM204" s="28" t="str">
        <f aca="false">AA204</f>
        <v/>
      </c>
      <c r="DN204" s="28" t="str">
        <f aca="false">AE204</f>
        <v/>
      </c>
      <c r="DO204" s="28" t="str">
        <f aca="false">AI204</f>
        <v/>
      </c>
      <c r="DP204" s="28" t="str">
        <f aca="false">AM204</f>
        <v/>
      </c>
      <c r="DQ204" s="28" t="str">
        <f aca="false">AQ204</f>
        <v/>
      </c>
      <c r="DR204" s="28" t="str">
        <f aca="false">AU204</f>
        <v/>
      </c>
      <c r="DS204" s="28" t="str">
        <f aca="false">AY204</f>
        <v/>
      </c>
      <c r="DT204" s="28" t="str">
        <f aca="false">BC204</f>
        <v/>
      </c>
      <c r="DU204" s="28" t="str">
        <f aca="false">BG204</f>
        <v/>
      </c>
      <c r="DV204" s="28" t="str">
        <f aca="false">BK204</f>
        <v/>
      </c>
      <c r="DW204" s="28" t="str">
        <f aca="false">BO204</f>
        <v/>
      </c>
      <c r="DX204" s="28" t="str">
        <f aca="false">BS204</f>
        <v/>
      </c>
      <c r="DY204" s="28" t="n">
        <f aca="false">IF(ISNUMBER(S204),1,"")</f>
        <v>1</v>
      </c>
      <c r="DZ204" s="28" t="str">
        <f aca="false">IF(ISNUMBER(W204),2,"")</f>
        <v/>
      </c>
      <c r="EA204" s="28" t="str">
        <f aca="false">IF(ISNUMBER(AA204),3,"")</f>
        <v/>
      </c>
      <c r="EB204" s="28" t="str">
        <f aca="false">IF(ISNUMBER(AE204),4,"")</f>
        <v/>
      </c>
      <c r="EC204" s="28" t="str">
        <f aca="false">IF(ISNUMBER(AI204),5,"")</f>
        <v/>
      </c>
      <c r="ED204" s="28" t="str">
        <f aca="false">IF(ISNUMBER(AM204),6,"")</f>
        <v/>
      </c>
      <c r="EE204" s="28" t="str">
        <f aca="false">IF(ISNUMBER(AQ204),7,"")</f>
        <v/>
      </c>
      <c r="EF204" s="28" t="str">
        <f aca="false">IF(ISNUMBER(AU204),8,"")</f>
        <v/>
      </c>
      <c r="EG204" s="28" t="str">
        <f aca="false">IF(ISNUMBER(AY204),9,"")</f>
        <v/>
      </c>
      <c r="EH204" s="28" t="str">
        <f aca="false">IF(ISNUMBER(BC204),10,"")</f>
        <v/>
      </c>
      <c r="EI204" s="28" t="str">
        <f aca="false">IF(ISNUMBER(BG204),11,"")</f>
        <v/>
      </c>
      <c r="EJ204" s="28" t="str">
        <f aca="false">IF(ISNUMBER(BK204),12,"")</f>
        <v/>
      </c>
      <c r="EK204" s="28" t="str">
        <f aca="false">IF(ISNUMBER(BO204),13,"")</f>
        <v/>
      </c>
      <c r="EL204" s="28" t="str">
        <f aca="false">IF(ISNUMBER(BS204),14,"")</f>
        <v/>
      </c>
      <c r="EM204" s="28" t="n">
        <f aca="false">IF(ISNUMBER(R204),R204*CW204,0)</f>
        <v>40</v>
      </c>
      <c r="EN204" s="28" t="n">
        <f aca="false">IF(ISNUMBER(V204),V204*CX204,0)</f>
        <v>0</v>
      </c>
      <c r="EO204" s="28" t="n">
        <f aca="false">IF(ISNUMBER(Z204),Z204*CY204,0)</f>
        <v>0</v>
      </c>
      <c r="EP204" s="28" t="n">
        <f aca="false">IF(ISNUMBER(AD204),AD204*CZ204,0)</f>
        <v>0</v>
      </c>
      <c r="EQ204" s="28" t="n">
        <f aca="false">IF(ISNUMBER(AH204),AH204*DA204,0)</f>
        <v>0</v>
      </c>
      <c r="ER204" s="28" t="n">
        <f aca="false">IF(ISNUMBER(AL204),AL204*DB204,0)</f>
        <v>0</v>
      </c>
      <c r="ES204" s="28" t="n">
        <f aca="false">IF(ISNUMBER(AP204),AP204*DC204,0)</f>
        <v>0</v>
      </c>
      <c r="ET204" s="28" t="n">
        <f aca="false">IF(ISNUMBER(AT204),AT204*DD204,0)</f>
        <v>0</v>
      </c>
      <c r="EU204" s="28" t="n">
        <f aca="false">IF(ISNUMBER(AX204),AX204*DE204,0)</f>
        <v>0</v>
      </c>
      <c r="EV204" s="28" t="n">
        <f aca="false">IF(ISNUMBER(BB204),BB204*DF204,0)</f>
        <v>0</v>
      </c>
      <c r="EW204" s="28" t="n">
        <f aca="false">IF(ISNUMBER(BF204),BF204*DG204,0)</f>
        <v>0</v>
      </c>
      <c r="EX204" s="28" t="n">
        <f aca="false">IF(ISNUMBER(BJ204),BJ204*DH204,0)</f>
        <v>0</v>
      </c>
      <c r="EY204" s="28" t="n">
        <f aca="false">IF(ISNUMBER(BN204),BN204*DI204,0)</f>
        <v>0</v>
      </c>
      <c r="EZ204" s="28" t="n">
        <f aca="false">IF(ISNUMBER(BR204),BR204*DJ204,0)</f>
        <v>0</v>
      </c>
      <c r="FA204" s="28" t="n">
        <f aca="false">IF(ISNUMBER(R204),CW204,0)</f>
        <v>1</v>
      </c>
      <c r="FB204" s="28" t="n">
        <f aca="false">IF(ISNUMBER(V204),CX204,0)</f>
        <v>0</v>
      </c>
      <c r="FC204" s="28" t="n">
        <f aca="false">IF(ISNUMBER(Z204),CY204,0)</f>
        <v>0</v>
      </c>
      <c r="FD204" s="28" t="n">
        <f aca="false">IF(ISNUMBER(AD204),CZ204,0)</f>
        <v>0</v>
      </c>
      <c r="FE204" s="28" t="n">
        <f aca="false">IF(ISNUMBER(AH204),DA204,0)</f>
        <v>0</v>
      </c>
      <c r="FF204" s="28" t="n">
        <f aca="false">IF(ISNUMBER(AL204),DB204,0)</f>
        <v>0</v>
      </c>
      <c r="FG204" s="28" t="n">
        <f aca="false">IF(ISNUMBER(AP204),DC204,0)</f>
        <v>0</v>
      </c>
      <c r="FH204" s="28" t="n">
        <f aca="false">IF(ISNUMBER(AT204),DD204,0)</f>
        <v>0</v>
      </c>
      <c r="FI204" s="28" t="n">
        <f aca="false">IF(ISNUMBER(AX204),DE204,0)</f>
        <v>0</v>
      </c>
      <c r="FJ204" s="28" t="n">
        <f aca="false">IF(ISNUMBER(BB204),DF204,0)</f>
        <v>0</v>
      </c>
      <c r="FK204" s="28" t="n">
        <f aca="false">IF(ISNUMBER(BF204),DG204,0)</f>
        <v>0</v>
      </c>
      <c r="FL204" s="28" t="n">
        <f aca="false">IF(ISNUMBER(BJ204),DH204,0)</f>
        <v>0</v>
      </c>
      <c r="FM204" s="28" t="n">
        <f aca="false">IF(ISNUMBER(BN204),DI204,0)</f>
        <v>0</v>
      </c>
      <c r="FN204" s="28" t="n">
        <f aca="false">IF(ISNUMBER(BR204),DJ204,0)</f>
        <v>0</v>
      </c>
      <c r="FO204" s="28" t="str">
        <f aca="false">IFERROR(INDEX(Lists!$G$2:$G$20,MATCH($I204&amp;"|"&amp;$J204,Lists!$F$2:$F$20,0)),"")</f>
        <v>Geog Overall HL</v>
      </c>
    </row>
    <row r="205" customFormat="false" ht="19.5" hidden="false" customHeight="true" outlineLevel="0" collapsed="false">
      <c r="A205" s="29" t="s">
        <v>443</v>
      </c>
      <c r="B205" s="29" t="s">
        <v>444</v>
      </c>
      <c r="C205" s="30" t="s">
        <v>192</v>
      </c>
      <c r="D205" s="30" t="s">
        <v>177</v>
      </c>
      <c r="E205" s="31"/>
      <c r="F205" s="30" t="n">
        <v>5</v>
      </c>
      <c r="G205" s="30"/>
      <c r="H205" s="32" t="s">
        <v>428</v>
      </c>
      <c r="I205" s="33" t="s">
        <v>24</v>
      </c>
      <c r="J205" s="32" t="s">
        <v>25</v>
      </c>
      <c r="K205" s="34" t="str">
        <f aca="false">IF(OR(M205="",$E205=""),"",M205-$E205)</f>
        <v/>
      </c>
      <c r="L205" s="35" t="n">
        <f aca="false">IF(SUM(FA205:FN205)=0,"",SUM(EM205:EZ205)/SUM(FA205:FN205))</f>
        <v>45</v>
      </c>
      <c r="M205" s="36" t="n">
        <f aca="false">IF(OR(L205="",FO205=""),"",IFERROR(MATCH(L205,INDEX(Boundaries!$B$2:$I$30,MATCH(FO205,Boundaries!$A$2:$A$30,0),0),1)-1,""))</f>
        <v>4</v>
      </c>
      <c r="N205" s="37" t="str">
        <f aca="false">IF(COUNT($DY205:$EL205)&lt;2,"",INDEX($DK205:$DX205,MAX($DY205:$EL205))-INDEX($DK205:$DX205,MIN($DY205:$EL205)))</f>
        <v/>
      </c>
      <c r="O205" s="37" t="str">
        <f aca="false">IF(COUNT($DY205:$EL205)&lt;2,"",INDEX($DK205:$DX205,MAX($DY205:$EL205))-INDEX($DK205:$DX205,LARGE($DY205:$EL205,2)))</f>
        <v/>
      </c>
      <c r="P205" s="38" t="str">
        <f aca="false">IF(K205="","",IF(K205&gt;=0,"On/above target",IF(AND(N205&lt;&gt;"",N205&gt;=0.5),"Improving towards target",IF(AND(O205&lt;&gt;"",O205&lt;=-0.5),"Declining","Stable below target"))))</f>
        <v/>
      </c>
      <c r="Q205" s="39" t="n">
        <v>9</v>
      </c>
      <c r="R205" s="40" t="n">
        <f aca="false">IF(OR(Q205="",BU205=""),"",Q205/BU205*100)</f>
        <v>45</v>
      </c>
      <c r="S205" s="41" t="n">
        <f aca="false">IF(R205="","",IFERROR(MATCH(R205,INDEX(Boundaries!$B$2:$I$30,MATCH(CI205,Boundaries!$A$2:$A$30,0),0),1)-1,""))</f>
        <v>4</v>
      </c>
      <c r="T205" s="42" t="str">
        <f aca="false">IF(OR(S205="",$E205=""),"",S205-$E205)</f>
        <v/>
      </c>
      <c r="U205" s="39"/>
      <c r="V205" s="40" t="str">
        <f aca="false">IF(OR(U205="",BV205=""),"",U205/BV205*100)</f>
        <v/>
      </c>
      <c r="W205" s="41" t="str">
        <f aca="false">IF(V205="","",IFERROR(MATCH(V205,INDEX(Boundaries!$B$2:$I$30,MATCH(CJ205,Boundaries!$A$2:$A$30,0),0),1)-1,""))</f>
        <v/>
      </c>
      <c r="X205" s="42" t="str">
        <f aca="false">IF(OR(W205="",$E205=""),"",W205-$E205)</f>
        <v/>
      </c>
      <c r="Y205" s="39"/>
      <c r="Z205" s="40" t="str">
        <f aca="false">IF(OR(Y205="",BW205=""),"",Y205/BW205*100)</f>
        <v/>
      </c>
      <c r="AA205" s="41" t="str">
        <f aca="false">IF(Z205="","",IFERROR(MATCH(Z205,INDEX(Boundaries!$B$2:$I$30,MATCH(CK205,Boundaries!$A$2:$A$30,0),0),1)-1,""))</f>
        <v/>
      </c>
      <c r="AB205" s="42" t="str">
        <f aca="false">IF(OR(AA205="",$E205=""),"",AA205-$E205)</f>
        <v/>
      </c>
      <c r="AC205" s="39"/>
      <c r="AD205" s="40" t="str">
        <f aca="false">IF(OR(AC205="",BX205=""),"",AC205/BX205*100)</f>
        <v/>
      </c>
      <c r="AE205" s="41" t="str">
        <f aca="false">IF(AD205="","",IFERROR(MATCH(AD205,INDEX(Boundaries!$B$2:$I$30,MATCH(CL205,Boundaries!$A$2:$A$30,0),0),1)-1,""))</f>
        <v/>
      </c>
      <c r="AF205" s="42" t="str">
        <f aca="false">IF(OR(AE205="",$E205=""),"",AE205-$E205)</f>
        <v/>
      </c>
      <c r="AG205" s="39"/>
      <c r="AH205" s="40" t="str">
        <f aca="false">IF(OR(AG205="",BY205=""),"",AG205/BY205*100)</f>
        <v/>
      </c>
      <c r="AI205" s="41" t="str">
        <f aca="false">IF(AH205="","",IFERROR(MATCH(AH205,INDEX(Boundaries!$B$2:$I$30,MATCH(CM205,Boundaries!$A$2:$A$30,0),0),1)-1,""))</f>
        <v/>
      </c>
      <c r="AJ205" s="42" t="str">
        <f aca="false">IF(OR(AI205="",$E205=""),"",AI205-$E205)</f>
        <v/>
      </c>
      <c r="AK205" s="39"/>
      <c r="AL205" s="40" t="str">
        <f aca="false">IF(OR(AK205="",BZ205=""),"",AK205/BZ205*100)</f>
        <v/>
      </c>
      <c r="AM205" s="41" t="str">
        <f aca="false">IF(AL205="","",IFERROR(MATCH(AL205,INDEX(Boundaries!$B$2:$I$30,MATCH(CN205,Boundaries!$A$2:$A$30,0),0),1)-1,""))</f>
        <v/>
      </c>
      <c r="AN205" s="42" t="str">
        <f aca="false">IF(OR(AM205="",$E205=""),"",AM205-$E205)</f>
        <v/>
      </c>
      <c r="AO205" s="39"/>
      <c r="AP205" s="40" t="str">
        <f aca="false">IF(OR(AO205="",CA205=""),"",AO205/CA205*100)</f>
        <v/>
      </c>
      <c r="AQ205" s="41" t="str">
        <f aca="false">IF(AP205="","",IFERROR(MATCH(AP205,INDEX(Boundaries!$B$2:$I$30,MATCH(CO205,Boundaries!$A$2:$A$30,0),0),1)-1,""))</f>
        <v/>
      </c>
      <c r="AR205" s="42" t="str">
        <f aca="false">IF(OR(AQ205="",$E205=""),"",AQ205-$E205)</f>
        <v/>
      </c>
      <c r="AS205" s="39"/>
      <c r="AT205" s="40" t="str">
        <f aca="false">IF(OR(AS205="",CB205=""),"",AS205/CB205*100)</f>
        <v/>
      </c>
      <c r="AU205" s="41" t="str">
        <f aca="false">IF(AT205="","",IFERROR(MATCH(AT205,INDEX(Boundaries!$B$2:$I$30,MATCH(CP205,Boundaries!$A$2:$A$30,0),0),1)-1,""))</f>
        <v/>
      </c>
      <c r="AV205" s="42" t="str">
        <f aca="false">IF(OR(AU205="",$E205=""),"",AU205-$E205)</f>
        <v/>
      </c>
      <c r="AW205" s="39"/>
      <c r="AX205" s="40" t="str">
        <f aca="false">IF(OR(AW205="",CC205=""),"",AW205/CC205*100)</f>
        <v/>
      </c>
      <c r="AY205" s="41" t="str">
        <f aca="false">IF(AX205="","",IFERROR(MATCH(AX205,INDEX(Boundaries!$B$2:$I$30,MATCH(CQ205,Boundaries!$A$2:$A$30,0),0),1)-1,""))</f>
        <v/>
      </c>
      <c r="AZ205" s="42" t="str">
        <f aca="false">IF(OR(AY205="",$E205=""),"",AY205-$E205)</f>
        <v/>
      </c>
      <c r="BA205" s="39"/>
      <c r="BB205" s="40" t="str">
        <f aca="false">IF(OR(BA205="",CD205=""),"",BA205/CD205*100)</f>
        <v/>
      </c>
      <c r="BC205" s="41" t="str">
        <f aca="false">IF(BB205="","",IFERROR(MATCH(BB205,INDEX(Boundaries!$B$2:$I$30,MATCH(CR205,Boundaries!$A$2:$A$30,0),0),1)-1,""))</f>
        <v/>
      </c>
      <c r="BD205" s="42" t="str">
        <f aca="false">IF(OR(BC205="",$E205=""),"",BC205-$E205)</f>
        <v/>
      </c>
      <c r="BE205" s="39"/>
      <c r="BF205" s="40" t="str">
        <f aca="false">IF(OR(BE205="",CE205=""),"",BE205/CE205*100)</f>
        <v/>
      </c>
      <c r="BG205" s="41" t="str">
        <f aca="false">IF(BF205="","",IFERROR(MATCH(BF205,INDEX(Boundaries!$B$2:$I$30,MATCH(CS205,Boundaries!$A$2:$A$30,0),0),1)-1,""))</f>
        <v/>
      </c>
      <c r="BH205" s="42" t="str">
        <f aca="false">IF(OR(BG205="",$E205=""),"",BG205-$E205)</f>
        <v/>
      </c>
      <c r="BI205" s="39"/>
      <c r="BJ205" s="40" t="str">
        <f aca="false">IF(OR(BI205="",CF205=""),"",BI205/CF205*100)</f>
        <v/>
      </c>
      <c r="BK205" s="41" t="str">
        <f aca="false">IF(BJ205="","",IFERROR(MATCH(BJ205,INDEX(Boundaries!$B$2:$I$30,MATCH(CT205,Boundaries!$A$2:$A$30,0),0),1)-1,""))</f>
        <v/>
      </c>
      <c r="BL205" s="42" t="str">
        <f aca="false">IF(OR(BK205="",$E205=""),"",BK205-$E205)</f>
        <v/>
      </c>
      <c r="BM205" s="39"/>
      <c r="BN205" s="40" t="str">
        <f aca="false">IF(OR(BM205="",CG205=""),"",BM205/CG205*100)</f>
        <v/>
      </c>
      <c r="BO205" s="41" t="str">
        <f aca="false">IF(BN205="","",IFERROR(MATCH(BN205,INDEX(Boundaries!$B$2:$I$30,MATCH(CU205,Boundaries!$A$2:$A$30,0),0),1)-1,""))</f>
        <v/>
      </c>
      <c r="BP205" s="42" t="str">
        <f aca="false">IF(OR(BO205="",$E205=""),"",BO205-$E205)</f>
        <v/>
      </c>
      <c r="BQ205" s="39"/>
      <c r="BR205" s="40" t="str">
        <f aca="false">IF(OR(BQ205="",CH205=""),"",BQ205/CH205*100)</f>
        <v/>
      </c>
      <c r="BS205" s="41" t="str">
        <f aca="false">IF(BR205="","",IFERROR(MATCH(BR205,INDEX(Boundaries!$B$2:$I$30,MATCH(CV205,Boundaries!$A$2:$A$30,0),0),1)-1,""))</f>
        <v/>
      </c>
      <c r="BT205" s="42" t="str">
        <f aca="false">IF(OR(BS205="",$E205=""),"",BS205-$E205)</f>
        <v/>
      </c>
      <c r="BU205" s="28" t="n">
        <f aca="false">IFERROR(INDEX(Assessments!$H$2:$H$600,MATCH($H205&amp;"|"&amp;$I205&amp;"|"&amp;$J205&amp;"|"&amp;1,Assessments!$A$2:$A$600,0)),"")</f>
        <v>20</v>
      </c>
      <c r="BV205" s="28" t="n">
        <f aca="false">IFERROR(INDEX(Assessments!$H$2:$H$600,MATCH($H205&amp;"|"&amp;$I205&amp;"|"&amp;$J205&amp;"|"&amp;2,Assessments!$A$2:$A$600,0)),"")</f>
        <v>20</v>
      </c>
      <c r="BW205" s="28" t="n">
        <f aca="false">IFERROR(INDEX(Assessments!$H$2:$H$600,MATCH($H205&amp;"|"&amp;$I205&amp;"|"&amp;$J205&amp;"|"&amp;3,Assessments!$A$2:$A$600,0)),"")</f>
        <v>20</v>
      </c>
      <c r="BX205" s="28" t="n">
        <f aca="false">IFERROR(INDEX(Assessments!$H$2:$H$600,MATCH($H205&amp;"|"&amp;$I205&amp;"|"&amp;$J205&amp;"|"&amp;4,Assessments!$A$2:$A$600,0)),"")</f>
        <v>20</v>
      </c>
      <c r="BY205" s="28" t="n">
        <f aca="false">IFERROR(INDEX(Assessments!$H$2:$H$600,MATCH($H205&amp;"|"&amp;$I205&amp;"|"&amp;$J205&amp;"|"&amp;5,Assessments!$A$2:$A$600,0)),"")</f>
        <v>20</v>
      </c>
      <c r="BZ205" s="28" t="n">
        <f aca="false">IFERROR(INDEX(Assessments!$H$2:$H$600,MATCH($H205&amp;"|"&amp;$I205&amp;"|"&amp;$J205&amp;"|"&amp;6,Assessments!$A$2:$A$600,0)),"")</f>
        <v>40</v>
      </c>
      <c r="CA205" s="28" t="n">
        <f aca="false">IFERROR(INDEX(Assessments!$H$2:$H$600,MATCH($H205&amp;"|"&amp;$I205&amp;"|"&amp;$J205&amp;"|"&amp;7,Assessments!$A$2:$A$600,0)),"")</f>
        <v>50</v>
      </c>
      <c r="CB205" s="28" t="str">
        <f aca="false">IFERROR(INDEX(Assessments!$H$2:$H$600,MATCH($H205&amp;"|"&amp;$I205&amp;"|"&amp;$J205&amp;"|"&amp;8,Assessments!$A$2:$A$600,0)),"")</f>
        <v/>
      </c>
      <c r="CC205" s="28" t="str">
        <f aca="false">IFERROR(INDEX(Assessments!$H$2:$H$600,MATCH($H205&amp;"|"&amp;$I205&amp;"|"&amp;$J205&amp;"|"&amp;9,Assessments!$A$2:$A$600,0)),"")</f>
        <v/>
      </c>
      <c r="CD205" s="28" t="str">
        <f aca="false">IFERROR(INDEX(Assessments!$H$2:$H$600,MATCH($H205&amp;"|"&amp;$I205&amp;"|"&amp;$J205&amp;"|"&amp;10,Assessments!$A$2:$A$600,0)),"")</f>
        <v/>
      </c>
      <c r="CE205" s="28" t="str">
        <f aca="false">IFERROR(INDEX(Assessments!$H$2:$H$600,MATCH($H205&amp;"|"&amp;$I205&amp;"|"&amp;$J205&amp;"|"&amp;11,Assessments!$A$2:$A$600,0)),"")</f>
        <v/>
      </c>
      <c r="CF205" s="28" t="str">
        <f aca="false">IFERROR(INDEX(Assessments!$H$2:$H$600,MATCH($H205&amp;"|"&amp;$I205&amp;"|"&amp;$J205&amp;"|"&amp;12,Assessments!$A$2:$A$600,0)),"")</f>
        <v/>
      </c>
      <c r="CG205" s="28" t="str">
        <f aca="false">IFERROR(INDEX(Assessments!$H$2:$H$600,MATCH($H205&amp;"|"&amp;$I205&amp;"|"&amp;$J205&amp;"|"&amp;13,Assessments!$A$2:$A$600,0)),"")</f>
        <v/>
      </c>
      <c r="CH205" s="28" t="str">
        <f aca="false">IFERROR(INDEX(Assessments!$H$2:$H$600,MATCH($H205&amp;"|"&amp;$I205&amp;"|"&amp;$J205&amp;"|"&amp;14,Assessments!$A$2:$A$600,0)),"")</f>
        <v/>
      </c>
      <c r="CI205" s="28" t="str">
        <f aca="false">IFERROR(INDEX(Assessments!$I$2:$I$600,MATCH($H205&amp;"|"&amp;$I205&amp;"|"&amp;$J205&amp;"|"&amp;1,Assessments!$A$2:$A$600,0)),"")</f>
        <v>Geog Paper 1</v>
      </c>
      <c r="CJ205" s="28" t="str">
        <f aca="false">IFERROR(INDEX(Assessments!$I$2:$I$600,MATCH($H205&amp;"|"&amp;$I205&amp;"|"&amp;$J205&amp;"|"&amp;2,Assessments!$A$2:$A$600,0)),"")</f>
        <v>Geog Paper 1</v>
      </c>
      <c r="CK205" s="28" t="str">
        <f aca="false">IFERROR(INDEX(Assessments!$I$2:$I$600,MATCH($H205&amp;"|"&amp;$I205&amp;"|"&amp;$J205&amp;"|"&amp;3,Assessments!$A$2:$A$600,0)),"")</f>
        <v>Geog Paper 2</v>
      </c>
      <c r="CL205" s="28" t="str">
        <f aca="false">IFERROR(INDEX(Assessments!$I$2:$I$600,MATCH($H205&amp;"|"&amp;$I205&amp;"|"&amp;$J205&amp;"|"&amp;4,Assessments!$A$2:$A$600,0)),"")</f>
        <v>Geog Paper 1</v>
      </c>
      <c r="CM205" s="28" t="str">
        <f aca="false">IFERROR(INDEX(Assessments!$I$2:$I$600,MATCH($H205&amp;"|"&amp;$I205&amp;"|"&amp;$J205&amp;"|"&amp;5,Assessments!$A$2:$A$600,0)),"")</f>
        <v>Geog Paper 1</v>
      </c>
      <c r="CN205" s="28" t="str">
        <f aca="false">IFERROR(INDEX(Assessments!$I$2:$I$600,MATCH($H205&amp;"|"&amp;$I205&amp;"|"&amp;$J205&amp;"|"&amp;6,Assessments!$A$2:$A$600,0)),"")</f>
        <v>Geog Paper 1</v>
      </c>
      <c r="CO205" s="28" t="str">
        <f aca="false">IFERROR(INDEX(Assessments!$I$2:$I$600,MATCH($H205&amp;"|"&amp;$I205&amp;"|"&amp;$J205&amp;"|"&amp;7,Assessments!$A$2:$A$600,0)),"")</f>
        <v>Geog Paper 2</v>
      </c>
      <c r="CP205" s="28" t="str">
        <f aca="false">IFERROR(INDEX(Assessments!$I$2:$I$600,MATCH($H205&amp;"|"&amp;$I205&amp;"|"&amp;$J205&amp;"|"&amp;8,Assessments!$A$2:$A$600,0)),"")</f>
        <v/>
      </c>
      <c r="CQ205" s="28" t="str">
        <f aca="false">IFERROR(INDEX(Assessments!$I$2:$I$600,MATCH($H205&amp;"|"&amp;$I205&amp;"|"&amp;$J205&amp;"|"&amp;9,Assessments!$A$2:$A$600,0)),"")</f>
        <v/>
      </c>
      <c r="CR205" s="28" t="str">
        <f aca="false">IFERROR(INDEX(Assessments!$I$2:$I$600,MATCH($H205&amp;"|"&amp;$I205&amp;"|"&amp;$J205&amp;"|"&amp;10,Assessments!$A$2:$A$600,0)),"")</f>
        <v/>
      </c>
      <c r="CS205" s="28" t="str">
        <f aca="false">IFERROR(INDEX(Assessments!$I$2:$I$600,MATCH($H205&amp;"|"&amp;$I205&amp;"|"&amp;$J205&amp;"|"&amp;11,Assessments!$A$2:$A$600,0)),"")</f>
        <v/>
      </c>
      <c r="CT205" s="28" t="str">
        <f aca="false">IFERROR(INDEX(Assessments!$I$2:$I$600,MATCH($H205&amp;"|"&amp;$I205&amp;"|"&amp;$J205&amp;"|"&amp;12,Assessments!$A$2:$A$600,0)),"")</f>
        <v/>
      </c>
      <c r="CU205" s="28" t="str">
        <f aca="false">IFERROR(INDEX(Assessments!$I$2:$I$600,MATCH($H205&amp;"|"&amp;$I205&amp;"|"&amp;$J205&amp;"|"&amp;13,Assessments!$A$2:$A$600,0)),"")</f>
        <v/>
      </c>
      <c r="CV205" s="28" t="str">
        <f aca="false">IFERROR(INDEX(Assessments!$I$2:$I$600,MATCH($H205&amp;"|"&amp;$I205&amp;"|"&amp;$J205&amp;"|"&amp;14,Assessments!$A$2:$A$600,0)),"")</f>
        <v/>
      </c>
      <c r="CW205" s="28" t="n">
        <f aca="false">IFERROR(INDEX(Assessments!$J$2:$J$600,MATCH($H205&amp;"|"&amp;$I205&amp;"|"&amp;$J205&amp;"|"&amp;1,Assessments!$A$2:$A$600,0)),0)</f>
        <v>1</v>
      </c>
      <c r="CX205" s="28" t="n">
        <f aca="false">IFERROR(INDEX(Assessments!$J$2:$J$600,MATCH($H205&amp;"|"&amp;$I205&amp;"|"&amp;$J205&amp;"|"&amp;2,Assessments!$A$2:$A$600,0)),0)</f>
        <v>1</v>
      </c>
      <c r="CY205" s="28" t="n">
        <f aca="false">IFERROR(INDEX(Assessments!$J$2:$J$600,MATCH($H205&amp;"|"&amp;$I205&amp;"|"&amp;$J205&amp;"|"&amp;3,Assessments!$A$2:$A$600,0)),0)</f>
        <v>1</v>
      </c>
      <c r="CZ205" s="28" t="n">
        <f aca="false">IFERROR(INDEX(Assessments!$J$2:$J$600,MATCH($H205&amp;"|"&amp;$I205&amp;"|"&amp;$J205&amp;"|"&amp;4,Assessments!$A$2:$A$600,0)),0)</f>
        <v>1</v>
      </c>
      <c r="DA205" s="28" t="n">
        <f aca="false">IFERROR(INDEX(Assessments!$J$2:$J$600,MATCH($H205&amp;"|"&amp;$I205&amp;"|"&amp;$J205&amp;"|"&amp;5,Assessments!$A$2:$A$600,0)),0)</f>
        <v>1</v>
      </c>
      <c r="DB205" s="28" t="n">
        <f aca="false">IFERROR(INDEX(Assessments!$J$2:$J$600,MATCH($H205&amp;"|"&amp;$I205&amp;"|"&amp;$J205&amp;"|"&amp;6,Assessments!$A$2:$A$600,0)),0)</f>
        <v>2</v>
      </c>
      <c r="DC205" s="28" t="n">
        <f aca="false">IFERROR(INDEX(Assessments!$J$2:$J$600,MATCH($H205&amp;"|"&amp;$I205&amp;"|"&amp;$J205&amp;"|"&amp;7,Assessments!$A$2:$A$600,0)),0)</f>
        <v>2</v>
      </c>
      <c r="DD205" s="28" t="n">
        <f aca="false">IFERROR(INDEX(Assessments!$J$2:$J$600,MATCH($H205&amp;"|"&amp;$I205&amp;"|"&amp;$J205&amp;"|"&amp;8,Assessments!$A$2:$A$600,0)),0)</f>
        <v>0</v>
      </c>
      <c r="DE205" s="28" t="n">
        <f aca="false">IFERROR(INDEX(Assessments!$J$2:$J$600,MATCH($H205&amp;"|"&amp;$I205&amp;"|"&amp;$J205&amp;"|"&amp;9,Assessments!$A$2:$A$600,0)),0)</f>
        <v>0</v>
      </c>
      <c r="DF205" s="28" t="n">
        <f aca="false">IFERROR(INDEX(Assessments!$J$2:$J$600,MATCH($H205&amp;"|"&amp;$I205&amp;"|"&amp;$J205&amp;"|"&amp;10,Assessments!$A$2:$A$600,0)),0)</f>
        <v>0</v>
      </c>
      <c r="DG205" s="28" t="n">
        <f aca="false">IFERROR(INDEX(Assessments!$J$2:$J$600,MATCH($H205&amp;"|"&amp;$I205&amp;"|"&amp;$J205&amp;"|"&amp;11,Assessments!$A$2:$A$600,0)),0)</f>
        <v>0</v>
      </c>
      <c r="DH205" s="28" t="n">
        <f aca="false">IFERROR(INDEX(Assessments!$J$2:$J$600,MATCH($H205&amp;"|"&amp;$I205&amp;"|"&amp;$J205&amp;"|"&amp;12,Assessments!$A$2:$A$600,0)),0)</f>
        <v>0</v>
      </c>
      <c r="DI205" s="28" t="n">
        <f aca="false">IFERROR(INDEX(Assessments!$J$2:$J$600,MATCH($H205&amp;"|"&amp;$I205&amp;"|"&amp;$J205&amp;"|"&amp;13,Assessments!$A$2:$A$600,0)),0)</f>
        <v>0</v>
      </c>
      <c r="DJ205" s="28" t="n">
        <f aca="false">IFERROR(INDEX(Assessments!$J$2:$J$600,MATCH($H205&amp;"|"&amp;$I205&amp;"|"&amp;$J205&amp;"|"&amp;14,Assessments!$A$2:$A$600,0)),0)</f>
        <v>0</v>
      </c>
      <c r="DK205" s="28" t="n">
        <f aca="false">S205</f>
        <v>4</v>
      </c>
      <c r="DL205" s="28" t="str">
        <f aca="false">W205</f>
        <v/>
      </c>
      <c r="DM205" s="28" t="str">
        <f aca="false">AA205</f>
        <v/>
      </c>
      <c r="DN205" s="28" t="str">
        <f aca="false">AE205</f>
        <v/>
      </c>
      <c r="DO205" s="28" t="str">
        <f aca="false">AI205</f>
        <v/>
      </c>
      <c r="DP205" s="28" t="str">
        <f aca="false">AM205</f>
        <v/>
      </c>
      <c r="DQ205" s="28" t="str">
        <f aca="false">AQ205</f>
        <v/>
      </c>
      <c r="DR205" s="28" t="str">
        <f aca="false">AU205</f>
        <v/>
      </c>
      <c r="DS205" s="28" t="str">
        <f aca="false">AY205</f>
        <v/>
      </c>
      <c r="DT205" s="28" t="str">
        <f aca="false">BC205</f>
        <v/>
      </c>
      <c r="DU205" s="28" t="str">
        <f aca="false">BG205</f>
        <v/>
      </c>
      <c r="DV205" s="28" t="str">
        <f aca="false">BK205</f>
        <v/>
      </c>
      <c r="DW205" s="28" t="str">
        <f aca="false">BO205</f>
        <v/>
      </c>
      <c r="DX205" s="28" t="str">
        <f aca="false">BS205</f>
        <v/>
      </c>
      <c r="DY205" s="28" t="n">
        <f aca="false">IF(ISNUMBER(S205),1,"")</f>
        <v>1</v>
      </c>
      <c r="DZ205" s="28" t="str">
        <f aca="false">IF(ISNUMBER(W205),2,"")</f>
        <v/>
      </c>
      <c r="EA205" s="28" t="str">
        <f aca="false">IF(ISNUMBER(AA205),3,"")</f>
        <v/>
      </c>
      <c r="EB205" s="28" t="str">
        <f aca="false">IF(ISNUMBER(AE205),4,"")</f>
        <v/>
      </c>
      <c r="EC205" s="28" t="str">
        <f aca="false">IF(ISNUMBER(AI205),5,"")</f>
        <v/>
      </c>
      <c r="ED205" s="28" t="str">
        <f aca="false">IF(ISNUMBER(AM205),6,"")</f>
        <v/>
      </c>
      <c r="EE205" s="28" t="str">
        <f aca="false">IF(ISNUMBER(AQ205),7,"")</f>
        <v/>
      </c>
      <c r="EF205" s="28" t="str">
        <f aca="false">IF(ISNUMBER(AU205),8,"")</f>
        <v/>
      </c>
      <c r="EG205" s="28" t="str">
        <f aca="false">IF(ISNUMBER(AY205),9,"")</f>
        <v/>
      </c>
      <c r="EH205" s="28" t="str">
        <f aca="false">IF(ISNUMBER(BC205),10,"")</f>
        <v/>
      </c>
      <c r="EI205" s="28" t="str">
        <f aca="false">IF(ISNUMBER(BG205),11,"")</f>
        <v/>
      </c>
      <c r="EJ205" s="28" t="str">
        <f aca="false">IF(ISNUMBER(BK205),12,"")</f>
        <v/>
      </c>
      <c r="EK205" s="28" t="str">
        <f aca="false">IF(ISNUMBER(BO205),13,"")</f>
        <v/>
      </c>
      <c r="EL205" s="28" t="str">
        <f aca="false">IF(ISNUMBER(BS205),14,"")</f>
        <v/>
      </c>
      <c r="EM205" s="28" t="n">
        <f aca="false">IF(ISNUMBER(R205),R205*CW205,0)</f>
        <v>45</v>
      </c>
      <c r="EN205" s="28" t="n">
        <f aca="false">IF(ISNUMBER(V205),V205*CX205,0)</f>
        <v>0</v>
      </c>
      <c r="EO205" s="28" t="n">
        <f aca="false">IF(ISNUMBER(Z205),Z205*CY205,0)</f>
        <v>0</v>
      </c>
      <c r="EP205" s="28" t="n">
        <f aca="false">IF(ISNUMBER(AD205),AD205*CZ205,0)</f>
        <v>0</v>
      </c>
      <c r="EQ205" s="28" t="n">
        <f aca="false">IF(ISNUMBER(AH205),AH205*DA205,0)</f>
        <v>0</v>
      </c>
      <c r="ER205" s="28" t="n">
        <f aca="false">IF(ISNUMBER(AL205),AL205*DB205,0)</f>
        <v>0</v>
      </c>
      <c r="ES205" s="28" t="n">
        <f aca="false">IF(ISNUMBER(AP205),AP205*DC205,0)</f>
        <v>0</v>
      </c>
      <c r="ET205" s="28" t="n">
        <f aca="false">IF(ISNUMBER(AT205),AT205*DD205,0)</f>
        <v>0</v>
      </c>
      <c r="EU205" s="28" t="n">
        <f aca="false">IF(ISNUMBER(AX205),AX205*DE205,0)</f>
        <v>0</v>
      </c>
      <c r="EV205" s="28" t="n">
        <f aca="false">IF(ISNUMBER(BB205),BB205*DF205,0)</f>
        <v>0</v>
      </c>
      <c r="EW205" s="28" t="n">
        <f aca="false">IF(ISNUMBER(BF205),BF205*DG205,0)</f>
        <v>0</v>
      </c>
      <c r="EX205" s="28" t="n">
        <f aca="false">IF(ISNUMBER(BJ205),BJ205*DH205,0)</f>
        <v>0</v>
      </c>
      <c r="EY205" s="28" t="n">
        <f aca="false">IF(ISNUMBER(BN205),BN205*DI205,0)</f>
        <v>0</v>
      </c>
      <c r="EZ205" s="28" t="n">
        <f aca="false">IF(ISNUMBER(BR205),BR205*DJ205,0)</f>
        <v>0</v>
      </c>
      <c r="FA205" s="28" t="n">
        <f aca="false">IF(ISNUMBER(R205),CW205,0)</f>
        <v>1</v>
      </c>
      <c r="FB205" s="28" t="n">
        <f aca="false">IF(ISNUMBER(V205),CX205,0)</f>
        <v>0</v>
      </c>
      <c r="FC205" s="28" t="n">
        <f aca="false">IF(ISNUMBER(Z205),CY205,0)</f>
        <v>0</v>
      </c>
      <c r="FD205" s="28" t="n">
        <f aca="false">IF(ISNUMBER(AD205),CZ205,0)</f>
        <v>0</v>
      </c>
      <c r="FE205" s="28" t="n">
        <f aca="false">IF(ISNUMBER(AH205),DA205,0)</f>
        <v>0</v>
      </c>
      <c r="FF205" s="28" t="n">
        <f aca="false">IF(ISNUMBER(AL205),DB205,0)</f>
        <v>0</v>
      </c>
      <c r="FG205" s="28" t="n">
        <f aca="false">IF(ISNUMBER(AP205),DC205,0)</f>
        <v>0</v>
      </c>
      <c r="FH205" s="28" t="n">
        <f aca="false">IF(ISNUMBER(AT205),DD205,0)</f>
        <v>0</v>
      </c>
      <c r="FI205" s="28" t="n">
        <f aca="false">IF(ISNUMBER(AX205),DE205,0)</f>
        <v>0</v>
      </c>
      <c r="FJ205" s="28" t="n">
        <f aca="false">IF(ISNUMBER(BB205),DF205,0)</f>
        <v>0</v>
      </c>
      <c r="FK205" s="28" t="n">
        <f aca="false">IF(ISNUMBER(BF205),DG205,0)</f>
        <v>0</v>
      </c>
      <c r="FL205" s="28" t="n">
        <f aca="false">IF(ISNUMBER(BJ205),DH205,0)</f>
        <v>0</v>
      </c>
      <c r="FM205" s="28" t="n">
        <f aca="false">IF(ISNUMBER(BN205),DI205,0)</f>
        <v>0</v>
      </c>
      <c r="FN205" s="28" t="n">
        <f aca="false">IF(ISNUMBER(BR205),DJ205,0)</f>
        <v>0</v>
      </c>
      <c r="FO205" s="28" t="str">
        <f aca="false">IFERROR(INDEX(Lists!$G$2:$G$20,MATCH($I205&amp;"|"&amp;$J205,Lists!$F$2:$F$20,0)),"")</f>
        <v>Geog Overall HL</v>
      </c>
    </row>
    <row r="206" customFormat="false" ht="19.5" hidden="false" customHeight="true" outlineLevel="0" collapsed="false">
      <c r="A206" s="29" t="s">
        <v>445</v>
      </c>
      <c r="B206" s="29" t="s">
        <v>446</v>
      </c>
      <c r="C206" s="30" t="s">
        <v>192</v>
      </c>
      <c r="D206" s="30" t="s">
        <v>177</v>
      </c>
      <c r="E206" s="31"/>
      <c r="F206" s="30" t="n">
        <v>6</v>
      </c>
      <c r="G206" s="30"/>
      <c r="H206" s="32" t="s">
        <v>428</v>
      </c>
      <c r="I206" s="33" t="s">
        <v>24</v>
      </c>
      <c r="J206" s="32" t="s">
        <v>25</v>
      </c>
      <c r="K206" s="34" t="str">
        <f aca="false">IF(OR(M206="",$E206=""),"",M206-$E206)</f>
        <v/>
      </c>
      <c r="L206" s="35" t="n">
        <f aca="false">IF(SUM(FA206:FN206)=0,"",SUM(EM206:EZ206)/SUM(FA206:FN206))</f>
        <v>40</v>
      </c>
      <c r="M206" s="36" t="n">
        <f aca="false">IF(OR(L206="",FO206=""),"",IFERROR(MATCH(L206,INDEX(Boundaries!$B$2:$I$30,MATCH(FO206,Boundaries!$A$2:$A$30,0),0),1)-1,""))</f>
        <v>3</v>
      </c>
      <c r="N206" s="37" t="str">
        <f aca="false">IF(COUNT($DY206:$EL206)&lt;2,"",INDEX($DK206:$DX206,MAX($DY206:$EL206))-INDEX($DK206:$DX206,MIN($DY206:$EL206)))</f>
        <v/>
      </c>
      <c r="O206" s="37" t="str">
        <f aca="false">IF(COUNT($DY206:$EL206)&lt;2,"",INDEX($DK206:$DX206,MAX($DY206:$EL206))-INDEX($DK206:$DX206,LARGE($DY206:$EL206,2)))</f>
        <v/>
      </c>
      <c r="P206" s="38" t="str">
        <f aca="false">IF(K206="","",IF(K206&gt;=0,"On/above target",IF(AND(N206&lt;&gt;"",N206&gt;=0.5),"Improving towards target",IF(AND(O206&lt;&gt;"",O206&lt;=-0.5),"Declining","Stable below target"))))</f>
        <v/>
      </c>
      <c r="Q206" s="39" t="n">
        <v>8</v>
      </c>
      <c r="R206" s="40" t="n">
        <f aca="false">IF(OR(Q206="",BU206=""),"",Q206/BU206*100)</f>
        <v>40</v>
      </c>
      <c r="S206" s="41" t="n">
        <f aca="false">IF(R206="","",IFERROR(MATCH(R206,INDEX(Boundaries!$B$2:$I$30,MATCH(CI206,Boundaries!$A$2:$A$30,0),0),1)-1,""))</f>
        <v>3</v>
      </c>
      <c r="T206" s="42" t="str">
        <f aca="false">IF(OR(S206="",$E206=""),"",S206-$E206)</f>
        <v/>
      </c>
      <c r="U206" s="39"/>
      <c r="V206" s="40" t="str">
        <f aca="false">IF(OR(U206="",BV206=""),"",U206/BV206*100)</f>
        <v/>
      </c>
      <c r="W206" s="41" t="str">
        <f aca="false">IF(V206="","",IFERROR(MATCH(V206,INDEX(Boundaries!$B$2:$I$30,MATCH(CJ206,Boundaries!$A$2:$A$30,0),0),1)-1,""))</f>
        <v/>
      </c>
      <c r="X206" s="42" t="str">
        <f aca="false">IF(OR(W206="",$E206=""),"",W206-$E206)</f>
        <v/>
      </c>
      <c r="Y206" s="39"/>
      <c r="Z206" s="40" t="str">
        <f aca="false">IF(OR(Y206="",BW206=""),"",Y206/BW206*100)</f>
        <v/>
      </c>
      <c r="AA206" s="41" t="str">
        <f aca="false">IF(Z206="","",IFERROR(MATCH(Z206,INDEX(Boundaries!$B$2:$I$30,MATCH(CK206,Boundaries!$A$2:$A$30,0),0),1)-1,""))</f>
        <v/>
      </c>
      <c r="AB206" s="42" t="str">
        <f aca="false">IF(OR(AA206="",$E206=""),"",AA206-$E206)</f>
        <v/>
      </c>
      <c r="AC206" s="39"/>
      <c r="AD206" s="40" t="str">
        <f aca="false">IF(OR(AC206="",BX206=""),"",AC206/BX206*100)</f>
        <v/>
      </c>
      <c r="AE206" s="41" t="str">
        <f aca="false">IF(AD206="","",IFERROR(MATCH(AD206,INDEX(Boundaries!$B$2:$I$30,MATCH(CL206,Boundaries!$A$2:$A$30,0),0),1)-1,""))</f>
        <v/>
      </c>
      <c r="AF206" s="42" t="str">
        <f aca="false">IF(OR(AE206="",$E206=""),"",AE206-$E206)</f>
        <v/>
      </c>
      <c r="AG206" s="39"/>
      <c r="AH206" s="40" t="str">
        <f aca="false">IF(OR(AG206="",BY206=""),"",AG206/BY206*100)</f>
        <v/>
      </c>
      <c r="AI206" s="41" t="str">
        <f aca="false">IF(AH206="","",IFERROR(MATCH(AH206,INDEX(Boundaries!$B$2:$I$30,MATCH(CM206,Boundaries!$A$2:$A$30,0),0),1)-1,""))</f>
        <v/>
      </c>
      <c r="AJ206" s="42" t="str">
        <f aca="false">IF(OR(AI206="",$E206=""),"",AI206-$E206)</f>
        <v/>
      </c>
      <c r="AK206" s="39"/>
      <c r="AL206" s="40" t="str">
        <f aca="false">IF(OR(AK206="",BZ206=""),"",AK206/BZ206*100)</f>
        <v/>
      </c>
      <c r="AM206" s="41" t="str">
        <f aca="false">IF(AL206="","",IFERROR(MATCH(AL206,INDEX(Boundaries!$B$2:$I$30,MATCH(CN206,Boundaries!$A$2:$A$30,0),0),1)-1,""))</f>
        <v/>
      </c>
      <c r="AN206" s="42" t="str">
        <f aca="false">IF(OR(AM206="",$E206=""),"",AM206-$E206)</f>
        <v/>
      </c>
      <c r="AO206" s="39"/>
      <c r="AP206" s="40" t="str">
        <f aca="false">IF(OR(AO206="",CA206=""),"",AO206/CA206*100)</f>
        <v/>
      </c>
      <c r="AQ206" s="41" t="str">
        <f aca="false">IF(AP206="","",IFERROR(MATCH(AP206,INDEX(Boundaries!$B$2:$I$30,MATCH(CO206,Boundaries!$A$2:$A$30,0),0),1)-1,""))</f>
        <v/>
      </c>
      <c r="AR206" s="42" t="str">
        <f aca="false">IF(OR(AQ206="",$E206=""),"",AQ206-$E206)</f>
        <v/>
      </c>
      <c r="AS206" s="39"/>
      <c r="AT206" s="40" t="str">
        <f aca="false">IF(OR(AS206="",CB206=""),"",AS206/CB206*100)</f>
        <v/>
      </c>
      <c r="AU206" s="41" t="str">
        <f aca="false">IF(AT206="","",IFERROR(MATCH(AT206,INDEX(Boundaries!$B$2:$I$30,MATCH(CP206,Boundaries!$A$2:$A$30,0),0),1)-1,""))</f>
        <v/>
      </c>
      <c r="AV206" s="42" t="str">
        <f aca="false">IF(OR(AU206="",$E206=""),"",AU206-$E206)</f>
        <v/>
      </c>
      <c r="AW206" s="39"/>
      <c r="AX206" s="40" t="str">
        <f aca="false">IF(OR(AW206="",CC206=""),"",AW206/CC206*100)</f>
        <v/>
      </c>
      <c r="AY206" s="41" t="str">
        <f aca="false">IF(AX206="","",IFERROR(MATCH(AX206,INDEX(Boundaries!$B$2:$I$30,MATCH(CQ206,Boundaries!$A$2:$A$30,0),0),1)-1,""))</f>
        <v/>
      </c>
      <c r="AZ206" s="42" t="str">
        <f aca="false">IF(OR(AY206="",$E206=""),"",AY206-$E206)</f>
        <v/>
      </c>
      <c r="BA206" s="39"/>
      <c r="BB206" s="40" t="str">
        <f aca="false">IF(OR(BA206="",CD206=""),"",BA206/CD206*100)</f>
        <v/>
      </c>
      <c r="BC206" s="41" t="str">
        <f aca="false">IF(BB206="","",IFERROR(MATCH(BB206,INDEX(Boundaries!$B$2:$I$30,MATCH(CR206,Boundaries!$A$2:$A$30,0),0),1)-1,""))</f>
        <v/>
      </c>
      <c r="BD206" s="42" t="str">
        <f aca="false">IF(OR(BC206="",$E206=""),"",BC206-$E206)</f>
        <v/>
      </c>
      <c r="BE206" s="39"/>
      <c r="BF206" s="40" t="str">
        <f aca="false">IF(OR(BE206="",CE206=""),"",BE206/CE206*100)</f>
        <v/>
      </c>
      <c r="BG206" s="41" t="str">
        <f aca="false">IF(BF206="","",IFERROR(MATCH(BF206,INDEX(Boundaries!$B$2:$I$30,MATCH(CS206,Boundaries!$A$2:$A$30,0),0),1)-1,""))</f>
        <v/>
      </c>
      <c r="BH206" s="42" t="str">
        <f aca="false">IF(OR(BG206="",$E206=""),"",BG206-$E206)</f>
        <v/>
      </c>
      <c r="BI206" s="39"/>
      <c r="BJ206" s="40" t="str">
        <f aca="false">IF(OR(BI206="",CF206=""),"",BI206/CF206*100)</f>
        <v/>
      </c>
      <c r="BK206" s="41" t="str">
        <f aca="false">IF(BJ206="","",IFERROR(MATCH(BJ206,INDEX(Boundaries!$B$2:$I$30,MATCH(CT206,Boundaries!$A$2:$A$30,0),0),1)-1,""))</f>
        <v/>
      </c>
      <c r="BL206" s="42" t="str">
        <f aca="false">IF(OR(BK206="",$E206=""),"",BK206-$E206)</f>
        <v/>
      </c>
      <c r="BM206" s="39"/>
      <c r="BN206" s="40" t="str">
        <f aca="false">IF(OR(BM206="",CG206=""),"",BM206/CG206*100)</f>
        <v/>
      </c>
      <c r="BO206" s="41" t="str">
        <f aca="false">IF(BN206="","",IFERROR(MATCH(BN206,INDEX(Boundaries!$B$2:$I$30,MATCH(CU206,Boundaries!$A$2:$A$30,0),0),1)-1,""))</f>
        <v/>
      </c>
      <c r="BP206" s="42" t="str">
        <f aca="false">IF(OR(BO206="",$E206=""),"",BO206-$E206)</f>
        <v/>
      </c>
      <c r="BQ206" s="39"/>
      <c r="BR206" s="40" t="str">
        <f aca="false">IF(OR(BQ206="",CH206=""),"",BQ206/CH206*100)</f>
        <v/>
      </c>
      <c r="BS206" s="41" t="str">
        <f aca="false">IF(BR206="","",IFERROR(MATCH(BR206,INDEX(Boundaries!$B$2:$I$30,MATCH(CV206,Boundaries!$A$2:$A$30,0),0),1)-1,""))</f>
        <v/>
      </c>
      <c r="BT206" s="42" t="str">
        <f aca="false">IF(OR(BS206="",$E206=""),"",BS206-$E206)</f>
        <v/>
      </c>
      <c r="BU206" s="28" t="n">
        <f aca="false">IFERROR(INDEX(Assessments!$H$2:$H$600,MATCH($H206&amp;"|"&amp;$I206&amp;"|"&amp;$J206&amp;"|"&amp;1,Assessments!$A$2:$A$600,0)),"")</f>
        <v>20</v>
      </c>
      <c r="BV206" s="28" t="n">
        <f aca="false">IFERROR(INDEX(Assessments!$H$2:$H$600,MATCH($H206&amp;"|"&amp;$I206&amp;"|"&amp;$J206&amp;"|"&amp;2,Assessments!$A$2:$A$600,0)),"")</f>
        <v>20</v>
      </c>
      <c r="BW206" s="28" t="n">
        <f aca="false">IFERROR(INDEX(Assessments!$H$2:$H$600,MATCH($H206&amp;"|"&amp;$I206&amp;"|"&amp;$J206&amp;"|"&amp;3,Assessments!$A$2:$A$600,0)),"")</f>
        <v>20</v>
      </c>
      <c r="BX206" s="28" t="n">
        <f aca="false">IFERROR(INDEX(Assessments!$H$2:$H$600,MATCH($H206&amp;"|"&amp;$I206&amp;"|"&amp;$J206&amp;"|"&amp;4,Assessments!$A$2:$A$600,0)),"")</f>
        <v>20</v>
      </c>
      <c r="BY206" s="28" t="n">
        <f aca="false">IFERROR(INDEX(Assessments!$H$2:$H$600,MATCH($H206&amp;"|"&amp;$I206&amp;"|"&amp;$J206&amp;"|"&amp;5,Assessments!$A$2:$A$600,0)),"")</f>
        <v>20</v>
      </c>
      <c r="BZ206" s="28" t="n">
        <f aca="false">IFERROR(INDEX(Assessments!$H$2:$H$600,MATCH($H206&amp;"|"&amp;$I206&amp;"|"&amp;$J206&amp;"|"&amp;6,Assessments!$A$2:$A$600,0)),"")</f>
        <v>40</v>
      </c>
      <c r="CA206" s="28" t="n">
        <f aca="false">IFERROR(INDEX(Assessments!$H$2:$H$600,MATCH($H206&amp;"|"&amp;$I206&amp;"|"&amp;$J206&amp;"|"&amp;7,Assessments!$A$2:$A$600,0)),"")</f>
        <v>50</v>
      </c>
      <c r="CB206" s="28" t="str">
        <f aca="false">IFERROR(INDEX(Assessments!$H$2:$H$600,MATCH($H206&amp;"|"&amp;$I206&amp;"|"&amp;$J206&amp;"|"&amp;8,Assessments!$A$2:$A$600,0)),"")</f>
        <v/>
      </c>
      <c r="CC206" s="28" t="str">
        <f aca="false">IFERROR(INDEX(Assessments!$H$2:$H$600,MATCH($H206&amp;"|"&amp;$I206&amp;"|"&amp;$J206&amp;"|"&amp;9,Assessments!$A$2:$A$600,0)),"")</f>
        <v/>
      </c>
      <c r="CD206" s="28" t="str">
        <f aca="false">IFERROR(INDEX(Assessments!$H$2:$H$600,MATCH($H206&amp;"|"&amp;$I206&amp;"|"&amp;$J206&amp;"|"&amp;10,Assessments!$A$2:$A$600,0)),"")</f>
        <v/>
      </c>
      <c r="CE206" s="28" t="str">
        <f aca="false">IFERROR(INDEX(Assessments!$H$2:$H$600,MATCH($H206&amp;"|"&amp;$I206&amp;"|"&amp;$J206&amp;"|"&amp;11,Assessments!$A$2:$A$600,0)),"")</f>
        <v/>
      </c>
      <c r="CF206" s="28" t="str">
        <f aca="false">IFERROR(INDEX(Assessments!$H$2:$H$600,MATCH($H206&amp;"|"&amp;$I206&amp;"|"&amp;$J206&amp;"|"&amp;12,Assessments!$A$2:$A$600,0)),"")</f>
        <v/>
      </c>
      <c r="CG206" s="28" t="str">
        <f aca="false">IFERROR(INDEX(Assessments!$H$2:$H$600,MATCH($H206&amp;"|"&amp;$I206&amp;"|"&amp;$J206&amp;"|"&amp;13,Assessments!$A$2:$A$600,0)),"")</f>
        <v/>
      </c>
      <c r="CH206" s="28" t="str">
        <f aca="false">IFERROR(INDEX(Assessments!$H$2:$H$600,MATCH($H206&amp;"|"&amp;$I206&amp;"|"&amp;$J206&amp;"|"&amp;14,Assessments!$A$2:$A$600,0)),"")</f>
        <v/>
      </c>
      <c r="CI206" s="28" t="str">
        <f aca="false">IFERROR(INDEX(Assessments!$I$2:$I$600,MATCH($H206&amp;"|"&amp;$I206&amp;"|"&amp;$J206&amp;"|"&amp;1,Assessments!$A$2:$A$600,0)),"")</f>
        <v>Geog Paper 1</v>
      </c>
      <c r="CJ206" s="28" t="str">
        <f aca="false">IFERROR(INDEX(Assessments!$I$2:$I$600,MATCH($H206&amp;"|"&amp;$I206&amp;"|"&amp;$J206&amp;"|"&amp;2,Assessments!$A$2:$A$600,0)),"")</f>
        <v>Geog Paper 1</v>
      </c>
      <c r="CK206" s="28" t="str">
        <f aca="false">IFERROR(INDEX(Assessments!$I$2:$I$600,MATCH($H206&amp;"|"&amp;$I206&amp;"|"&amp;$J206&amp;"|"&amp;3,Assessments!$A$2:$A$600,0)),"")</f>
        <v>Geog Paper 2</v>
      </c>
      <c r="CL206" s="28" t="str">
        <f aca="false">IFERROR(INDEX(Assessments!$I$2:$I$600,MATCH($H206&amp;"|"&amp;$I206&amp;"|"&amp;$J206&amp;"|"&amp;4,Assessments!$A$2:$A$600,0)),"")</f>
        <v>Geog Paper 1</v>
      </c>
      <c r="CM206" s="28" t="str">
        <f aca="false">IFERROR(INDEX(Assessments!$I$2:$I$600,MATCH($H206&amp;"|"&amp;$I206&amp;"|"&amp;$J206&amp;"|"&amp;5,Assessments!$A$2:$A$600,0)),"")</f>
        <v>Geog Paper 1</v>
      </c>
      <c r="CN206" s="28" t="str">
        <f aca="false">IFERROR(INDEX(Assessments!$I$2:$I$600,MATCH($H206&amp;"|"&amp;$I206&amp;"|"&amp;$J206&amp;"|"&amp;6,Assessments!$A$2:$A$600,0)),"")</f>
        <v>Geog Paper 1</v>
      </c>
      <c r="CO206" s="28" t="str">
        <f aca="false">IFERROR(INDEX(Assessments!$I$2:$I$600,MATCH($H206&amp;"|"&amp;$I206&amp;"|"&amp;$J206&amp;"|"&amp;7,Assessments!$A$2:$A$600,0)),"")</f>
        <v>Geog Paper 2</v>
      </c>
      <c r="CP206" s="28" t="str">
        <f aca="false">IFERROR(INDEX(Assessments!$I$2:$I$600,MATCH($H206&amp;"|"&amp;$I206&amp;"|"&amp;$J206&amp;"|"&amp;8,Assessments!$A$2:$A$600,0)),"")</f>
        <v/>
      </c>
      <c r="CQ206" s="28" t="str">
        <f aca="false">IFERROR(INDEX(Assessments!$I$2:$I$600,MATCH($H206&amp;"|"&amp;$I206&amp;"|"&amp;$J206&amp;"|"&amp;9,Assessments!$A$2:$A$600,0)),"")</f>
        <v/>
      </c>
      <c r="CR206" s="28" t="str">
        <f aca="false">IFERROR(INDEX(Assessments!$I$2:$I$600,MATCH($H206&amp;"|"&amp;$I206&amp;"|"&amp;$J206&amp;"|"&amp;10,Assessments!$A$2:$A$600,0)),"")</f>
        <v/>
      </c>
      <c r="CS206" s="28" t="str">
        <f aca="false">IFERROR(INDEX(Assessments!$I$2:$I$600,MATCH($H206&amp;"|"&amp;$I206&amp;"|"&amp;$J206&amp;"|"&amp;11,Assessments!$A$2:$A$600,0)),"")</f>
        <v/>
      </c>
      <c r="CT206" s="28" t="str">
        <f aca="false">IFERROR(INDEX(Assessments!$I$2:$I$600,MATCH($H206&amp;"|"&amp;$I206&amp;"|"&amp;$J206&amp;"|"&amp;12,Assessments!$A$2:$A$600,0)),"")</f>
        <v/>
      </c>
      <c r="CU206" s="28" t="str">
        <f aca="false">IFERROR(INDEX(Assessments!$I$2:$I$600,MATCH($H206&amp;"|"&amp;$I206&amp;"|"&amp;$J206&amp;"|"&amp;13,Assessments!$A$2:$A$600,0)),"")</f>
        <v/>
      </c>
      <c r="CV206" s="28" t="str">
        <f aca="false">IFERROR(INDEX(Assessments!$I$2:$I$600,MATCH($H206&amp;"|"&amp;$I206&amp;"|"&amp;$J206&amp;"|"&amp;14,Assessments!$A$2:$A$600,0)),"")</f>
        <v/>
      </c>
      <c r="CW206" s="28" t="n">
        <f aca="false">IFERROR(INDEX(Assessments!$J$2:$J$600,MATCH($H206&amp;"|"&amp;$I206&amp;"|"&amp;$J206&amp;"|"&amp;1,Assessments!$A$2:$A$600,0)),0)</f>
        <v>1</v>
      </c>
      <c r="CX206" s="28" t="n">
        <f aca="false">IFERROR(INDEX(Assessments!$J$2:$J$600,MATCH($H206&amp;"|"&amp;$I206&amp;"|"&amp;$J206&amp;"|"&amp;2,Assessments!$A$2:$A$600,0)),0)</f>
        <v>1</v>
      </c>
      <c r="CY206" s="28" t="n">
        <f aca="false">IFERROR(INDEX(Assessments!$J$2:$J$600,MATCH($H206&amp;"|"&amp;$I206&amp;"|"&amp;$J206&amp;"|"&amp;3,Assessments!$A$2:$A$600,0)),0)</f>
        <v>1</v>
      </c>
      <c r="CZ206" s="28" t="n">
        <f aca="false">IFERROR(INDEX(Assessments!$J$2:$J$600,MATCH($H206&amp;"|"&amp;$I206&amp;"|"&amp;$J206&amp;"|"&amp;4,Assessments!$A$2:$A$600,0)),0)</f>
        <v>1</v>
      </c>
      <c r="DA206" s="28" t="n">
        <f aca="false">IFERROR(INDEX(Assessments!$J$2:$J$600,MATCH($H206&amp;"|"&amp;$I206&amp;"|"&amp;$J206&amp;"|"&amp;5,Assessments!$A$2:$A$600,0)),0)</f>
        <v>1</v>
      </c>
      <c r="DB206" s="28" t="n">
        <f aca="false">IFERROR(INDEX(Assessments!$J$2:$J$600,MATCH($H206&amp;"|"&amp;$I206&amp;"|"&amp;$J206&amp;"|"&amp;6,Assessments!$A$2:$A$600,0)),0)</f>
        <v>2</v>
      </c>
      <c r="DC206" s="28" t="n">
        <f aca="false">IFERROR(INDEX(Assessments!$J$2:$J$600,MATCH($H206&amp;"|"&amp;$I206&amp;"|"&amp;$J206&amp;"|"&amp;7,Assessments!$A$2:$A$600,0)),0)</f>
        <v>2</v>
      </c>
      <c r="DD206" s="28" t="n">
        <f aca="false">IFERROR(INDEX(Assessments!$J$2:$J$600,MATCH($H206&amp;"|"&amp;$I206&amp;"|"&amp;$J206&amp;"|"&amp;8,Assessments!$A$2:$A$600,0)),0)</f>
        <v>0</v>
      </c>
      <c r="DE206" s="28" t="n">
        <f aca="false">IFERROR(INDEX(Assessments!$J$2:$J$600,MATCH($H206&amp;"|"&amp;$I206&amp;"|"&amp;$J206&amp;"|"&amp;9,Assessments!$A$2:$A$600,0)),0)</f>
        <v>0</v>
      </c>
      <c r="DF206" s="28" t="n">
        <f aca="false">IFERROR(INDEX(Assessments!$J$2:$J$600,MATCH($H206&amp;"|"&amp;$I206&amp;"|"&amp;$J206&amp;"|"&amp;10,Assessments!$A$2:$A$600,0)),0)</f>
        <v>0</v>
      </c>
      <c r="DG206" s="28" t="n">
        <f aca="false">IFERROR(INDEX(Assessments!$J$2:$J$600,MATCH($H206&amp;"|"&amp;$I206&amp;"|"&amp;$J206&amp;"|"&amp;11,Assessments!$A$2:$A$600,0)),0)</f>
        <v>0</v>
      </c>
      <c r="DH206" s="28" t="n">
        <f aca="false">IFERROR(INDEX(Assessments!$J$2:$J$600,MATCH($H206&amp;"|"&amp;$I206&amp;"|"&amp;$J206&amp;"|"&amp;12,Assessments!$A$2:$A$600,0)),0)</f>
        <v>0</v>
      </c>
      <c r="DI206" s="28" t="n">
        <f aca="false">IFERROR(INDEX(Assessments!$J$2:$J$600,MATCH($H206&amp;"|"&amp;$I206&amp;"|"&amp;$J206&amp;"|"&amp;13,Assessments!$A$2:$A$600,0)),0)</f>
        <v>0</v>
      </c>
      <c r="DJ206" s="28" t="n">
        <f aca="false">IFERROR(INDEX(Assessments!$J$2:$J$600,MATCH($H206&amp;"|"&amp;$I206&amp;"|"&amp;$J206&amp;"|"&amp;14,Assessments!$A$2:$A$600,0)),0)</f>
        <v>0</v>
      </c>
      <c r="DK206" s="28" t="n">
        <f aca="false">S206</f>
        <v>3</v>
      </c>
      <c r="DL206" s="28" t="str">
        <f aca="false">W206</f>
        <v/>
      </c>
      <c r="DM206" s="28" t="str">
        <f aca="false">AA206</f>
        <v/>
      </c>
      <c r="DN206" s="28" t="str">
        <f aca="false">AE206</f>
        <v/>
      </c>
      <c r="DO206" s="28" t="str">
        <f aca="false">AI206</f>
        <v/>
      </c>
      <c r="DP206" s="28" t="str">
        <f aca="false">AM206</f>
        <v/>
      </c>
      <c r="DQ206" s="28" t="str">
        <f aca="false">AQ206</f>
        <v/>
      </c>
      <c r="DR206" s="28" t="str">
        <f aca="false">AU206</f>
        <v/>
      </c>
      <c r="DS206" s="28" t="str">
        <f aca="false">AY206</f>
        <v/>
      </c>
      <c r="DT206" s="28" t="str">
        <f aca="false">BC206</f>
        <v/>
      </c>
      <c r="DU206" s="28" t="str">
        <f aca="false">BG206</f>
        <v/>
      </c>
      <c r="DV206" s="28" t="str">
        <f aca="false">BK206</f>
        <v/>
      </c>
      <c r="DW206" s="28" t="str">
        <f aca="false">BO206</f>
        <v/>
      </c>
      <c r="DX206" s="28" t="str">
        <f aca="false">BS206</f>
        <v/>
      </c>
      <c r="DY206" s="28" t="n">
        <f aca="false">IF(ISNUMBER(S206),1,"")</f>
        <v>1</v>
      </c>
      <c r="DZ206" s="28" t="str">
        <f aca="false">IF(ISNUMBER(W206),2,"")</f>
        <v/>
      </c>
      <c r="EA206" s="28" t="str">
        <f aca="false">IF(ISNUMBER(AA206),3,"")</f>
        <v/>
      </c>
      <c r="EB206" s="28" t="str">
        <f aca="false">IF(ISNUMBER(AE206),4,"")</f>
        <v/>
      </c>
      <c r="EC206" s="28" t="str">
        <f aca="false">IF(ISNUMBER(AI206),5,"")</f>
        <v/>
      </c>
      <c r="ED206" s="28" t="str">
        <f aca="false">IF(ISNUMBER(AM206),6,"")</f>
        <v/>
      </c>
      <c r="EE206" s="28" t="str">
        <f aca="false">IF(ISNUMBER(AQ206),7,"")</f>
        <v/>
      </c>
      <c r="EF206" s="28" t="str">
        <f aca="false">IF(ISNUMBER(AU206),8,"")</f>
        <v/>
      </c>
      <c r="EG206" s="28" t="str">
        <f aca="false">IF(ISNUMBER(AY206),9,"")</f>
        <v/>
      </c>
      <c r="EH206" s="28" t="str">
        <f aca="false">IF(ISNUMBER(BC206),10,"")</f>
        <v/>
      </c>
      <c r="EI206" s="28" t="str">
        <f aca="false">IF(ISNUMBER(BG206),11,"")</f>
        <v/>
      </c>
      <c r="EJ206" s="28" t="str">
        <f aca="false">IF(ISNUMBER(BK206),12,"")</f>
        <v/>
      </c>
      <c r="EK206" s="28" t="str">
        <f aca="false">IF(ISNUMBER(BO206),13,"")</f>
        <v/>
      </c>
      <c r="EL206" s="28" t="str">
        <f aca="false">IF(ISNUMBER(BS206),14,"")</f>
        <v/>
      </c>
      <c r="EM206" s="28" t="n">
        <f aca="false">IF(ISNUMBER(R206),R206*CW206,0)</f>
        <v>40</v>
      </c>
      <c r="EN206" s="28" t="n">
        <f aca="false">IF(ISNUMBER(V206),V206*CX206,0)</f>
        <v>0</v>
      </c>
      <c r="EO206" s="28" t="n">
        <f aca="false">IF(ISNUMBER(Z206),Z206*CY206,0)</f>
        <v>0</v>
      </c>
      <c r="EP206" s="28" t="n">
        <f aca="false">IF(ISNUMBER(AD206),AD206*CZ206,0)</f>
        <v>0</v>
      </c>
      <c r="EQ206" s="28" t="n">
        <f aca="false">IF(ISNUMBER(AH206),AH206*DA206,0)</f>
        <v>0</v>
      </c>
      <c r="ER206" s="28" t="n">
        <f aca="false">IF(ISNUMBER(AL206),AL206*DB206,0)</f>
        <v>0</v>
      </c>
      <c r="ES206" s="28" t="n">
        <f aca="false">IF(ISNUMBER(AP206),AP206*DC206,0)</f>
        <v>0</v>
      </c>
      <c r="ET206" s="28" t="n">
        <f aca="false">IF(ISNUMBER(AT206),AT206*DD206,0)</f>
        <v>0</v>
      </c>
      <c r="EU206" s="28" t="n">
        <f aca="false">IF(ISNUMBER(AX206),AX206*DE206,0)</f>
        <v>0</v>
      </c>
      <c r="EV206" s="28" t="n">
        <f aca="false">IF(ISNUMBER(BB206),BB206*DF206,0)</f>
        <v>0</v>
      </c>
      <c r="EW206" s="28" t="n">
        <f aca="false">IF(ISNUMBER(BF206),BF206*DG206,0)</f>
        <v>0</v>
      </c>
      <c r="EX206" s="28" t="n">
        <f aca="false">IF(ISNUMBER(BJ206),BJ206*DH206,0)</f>
        <v>0</v>
      </c>
      <c r="EY206" s="28" t="n">
        <f aca="false">IF(ISNUMBER(BN206),BN206*DI206,0)</f>
        <v>0</v>
      </c>
      <c r="EZ206" s="28" t="n">
        <f aca="false">IF(ISNUMBER(BR206),BR206*DJ206,0)</f>
        <v>0</v>
      </c>
      <c r="FA206" s="28" t="n">
        <f aca="false">IF(ISNUMBER(R206),CW206,0)</f>
        <v>1</v>
      </c>
      <c r="FB206" s="28" t="n">
        <f aca="false">IF(ISNUMBER(V206),CX206,0)</f>
        <v>0</v>
      </c>
      <c r="FC206" s="28" t="n">
        <f aca="false">IF(ISNUMBER(Z206),CY206,0)</f>
        <v>0</v>
      </c>
      <c r="FD206" s="28" t="n">
        <f aca="false">IF(ISNUMBER(AD206),CZ206,0)</f>
        <v>0</v>
      </c>
      <c r="FE206" s="28" t="n">
        <f aca="false">IF(ISNUMBER(AH206),DA206,0)</f>
        <v>0</v>
      </c>
      <c r="FF206" s="28" t="n">
        <f aca="false">IF(ISNUMBER(AL206),DB206,0)</f>
        <v>0</v>
      </c>
      <c r="FG206" s="28" t="n">
        <f aca="false">IF(ISNUMBER(AP206),DC206,0)</f>
        <v>0</v>
      </c>
      <c r="FH206" s="28" t="n">
        <f aca="false">IF(ISNUMBER(AT206),DD206,0)</f>
        <v>0</v>
      </c>
      <c r="FI206" s="28" t="n">
        <f aca="false">IF(ISNUMBER(AX206),DE206,0)</f>
        <v>0</v>
      </c>
      <c r="FJ206" s="28" t="n">
        <f aca="false">IF(ISNUMBER(BB206),DF206,0)</f>
        <v>0</v>
      </c>
      <c r="FK206" s="28" t="n">
        <f aca="false">IF(ISNUMBER(BF206),DG206,0)</f>
        <v>0</v>
      </c>
      <c r="FL206" s="28" t="n">
        <f aca="false">IF(ISNUMBER(BJ206),DH206,0)</f>
        <v>0</v>
      </c>
      <c r="FM206" s="28" t="n">
        <f aca="false">IF(ISNUMBER(BN206),DI206,0)</f>
        <v>0</v>
      </c>
      <c r="FN206" s="28" t="n">
        <f aca="false">IF(ISNUMBER(BR206),DJ206,0)</f>
        <v>0</v>
      </c>
      <c r="FO206" s="28" t="str">
        <f aca="false">IFERROR(INDEX(Lists!$G$2:$G$20,MATCH($I206&amp;"|"&amp;$J206,Lists!$F$2:$F$20,0)),"")</f>
        <v>Geog Overall HL</v>
      </c>
    </row>
    <row r="207" customFormat="false" ht="19.5" hidden="false" customHeight="true" outlineLevel="0" collapsed="false">
      <c r="A207" s="29" t="s">
        <v>447</v>
      </c>
      <c r="B207" s="29" t="s">
        <v>448</v>
      </c>
      <c r="C207" s="30" t="s">
        <v>192</v>
      </c>
      <c r="D207" s="30" t="s">
        <v>177</v>
      </c>
      <c r="E207" s="31"/>
      <c r="F207" s="30" t="n">
        <v>6</v>
      </c>
      <c r="G207" s="30"/>
      <c r="H207" s="32" t="s">
        <v>428</v>
      </c>
      <c r="I207" s="33" t="s">
        <v>24</v>
      </c>
      <c r="J207" s="32" t="s">
        <v>25</v>
      </c>
      <c r="K207" s="34" t="str">
        <f aca="false">IF(OR(M207="",$E207=""),"",M207-$E207)</f>
        <v/>
      </c>
      <c r="L207" s="35" t="n">
        <f aca="false">IF(SUM(FA207:FN207)=0,"",SUM(EM207:EZ207)/SUM(FA207:FN207))</f>
        <v>50</v>
      </c>
      <c r="M207" s="36" t="n">
        <f aca="false">IF(OR(L207="",FO207=""),"",IFERROR(MATCH(L207,INDEX(Boundaries!$B$2:$I$30,MATCH(FO207,Boundaries!$A$2:$A$30,0),0),1)-1,""))</f>
        <v>4</v>
      </c>
      <c r="N207" s="37" t="str">
        <f aca="false">IF(COUNT($DY207:$EL207)&lt;2,"",INDEX($DK207:$DX207,MAX($DY207:$EL207))-INDEX($DK207:$DX207,MIN($DY207:$EL207)))</f>
        <v/>
      </c>
      <c r="O207" s="37" t="str">
        <f aca="false">IF(COUNT($DY207:$EL207)&lt;2,"",INDEX($DK207:$DX207,MAX($DY207:$EL207))-INDEX($DK207:$DX207,LARGE($DY207:$EL207,2)))</f>
        <v/>
      </c>
      <c r="P207" s="38" t="str">
        <f aca="false">IF(K207="","",IF(K207&gt;=0,"On/above target",IF(AND(N207&lt;&gt;"",N207&gt;=0.5),"Improving towards target",IF(AND(O207&lt;&gt;"",O207&lt;=-0.5),"Declining","Stable below target"))))</f>
        <v/>
      </c>
      <c r="Q207" s="39" t="n">
        <v>10</v>
      </c>
      <c r="R207" s="40" t="n">
        <f aca="false">IF(OR(Q207="",BU207=""),"",Q207/BU207*100)</f>
        <v>50</v>
      </c>
      <c r="S207" s="41" t="n">
        <f aca="false">IF(R207="","",IFERROR(MATCH(R207,INDEX(Boundaries!$B$2:$I$30,MATCH(CI207,Boundaries!$A$2:$A$30,0),0),1)-1,""))</f>
        <v>4</v>
      </c>
      <c r="T207" s="42" t="str">
        <f aca="false">IF(OR(S207="",$E207=""),"",S207-$E207)</f>
        <v/>
      </c>
      <c r="U207" s="39"/>
      <c r="V207" s="40" t="str">
        <f aca="false">IF(OR(U207="",BV207=""),"",U207/BV207*100)</f>
        <v/>
      </c>
      <c r="W207" s="41" t="str">
        <f aca="false">IF(V207="","",IFERROR(MATCH(V207,INDEX(Boundaries!$B$2:$I$30,MATCH(CJ207,Boundaries!$A$2:$A$30,0),0),1)-1,""))</f>
        <v/>
      </c>
      <c r="X207" s="42" t="str">
        <f aca="false">IF(OR(W207="",$E207=""),"",W207-$E207)</f>
        <v/>
      </c>
      <c r="Y207" s="39"/>
      <c r="Z207" s="40" t="str">
        <f aca="false">IF(OR(Y207="",BW207=""),"",Y207/BW207*100)</f>
        <v/>
      </c>
      <c r="AA207" s="41" t="str">
        <f aca="false">IF(Z207="","",IFERROR(MATCH(Z207,INDEX(Boundaries!$B$2:$I$30,MATCH(CK207,Boundaries!$A$2:$A$30,0),0),1)-1,""))</f>
        <v/>
      </c>
      <c r="AB207" s="42" t="str">
        <f aca="false">IF(OR(AA207="",$E207=""),"",AA207-$E207)</f>
        <v/>
      </c>
      <c r="AC207" s="39"/>
      <c r="AD207" s="40" t="str">
        <f aca="false">IF(OR(AC207="",BX207=""),"",AC207/BX207*100)</f>
        <v/>
      </c>
      <c r="AE207" s="41" t="str">
        <f aca="false">IF(AD207="","",IFERROR(MATCH(AD207,INDEX(Boundaries!$B$2:$I$30,MATCH(CL207,Boundaries!$A$2:$A$30,0),0),1)-1,""))</f>
        <v/>
      </c>
      <c r="AF207" s="42" t="str">
        <f aca="false">IF(OR(AE207="",$E207=""),"",AE207-$E207)</f>
        <v/>
      </c>
      <c r="AG207" s="39"/>
      <c r="AH207" s="40" t="str">
        <f aca="false">IF(OR(AG207="",BY207=""),"",AG207/BY207*100)</f>
        <v/>
      </c>
      <c r="AI207" s="41" t="str">
        <f aca="false">IF(AH207="","",IFERROR(MATCH(AH207,INDEX(Boundaries!$B$2:$I$30,MATCH(CM207,Boundaries!$A$2:$A$30,0),0),1)-1,""))</f>
        <v/>
      </c>
      <c r="AJ207" s="42" t="str">
        <f aca="false">IF(OR(AI207="",$E207=""),"",AI207-$E207)</f>
        <v/>
      </c>
      <c r="AK207" s="39"/>
      <c r="AL207" s="40" t="str">
        <f aca="false">IF(OR(AK207="",BZ207=""),"",AK207/BZ207*100)</f>
        <v/>
      </c>
      <c r="AM207" s="41" t="str">
        <f aca="false">IF(AL207="","",IFERROR(MATCH(AL207,INDEX(Boundaries!$B$2:$I$30,MATCH(CN207,Boundaries!$A$2:$A$30,0),0),1)-1,""))</f>
        <v/>
      </c>
      <c r="AN207" s="42" t="str">
        <f aca="false">IF(OR(AM207="",$E207=""),"",AM207-$E207)</f>
        <v/>
      </c>
      <c r="AO207" s="39"/>
      <c r="AP207" s="40" t="str">
        <f aca="false">IF(OR(AO207="",CA207=""),"",AO207/CA207*100)</f>
        <v/>
      </c>
      <c r="AQ207" s="41" t="str">
        <f aca="false">IF(AP207="","",IFERROR(MATCH(AP207,INDEX(Boundaries!$B$2:$I$30,MATCH(CO207,Boundaries!$A$2:$A$30,0),0),1)-1,""))</f>
        <v/>
      </c>
      <c r="AR207" s="42" t="str">
        <f aca="false">IF(OR(AQ207="",$E207=""),"",AQ207-$E207)</f>
        <v/>
      </c>
      <c r="AS207" s="39"/>
      <c r="AT207" s="40" t="str">
        <f aca="false">IF(OR(AS207="",CB207=""),"",AS207/CB207*100)</f>
        <v/>
      </c>
      <c r="AU207" s="41" t="str">
        <f aca="false">IF(AT207="","",IFERROR(MATCH(AT207,INDEX(Boundaries!$B$2:$I$30,MATCH(CP207,Boundaries!$A$2:$A$30,0),0),1)-1,""))</f>
        <v/>
      </c>
      <c r="AV207" s="42" t="str">
        <f aca="false">IF(OR(AU207="",$E207=""),"",AU207-$E207)</f>
        <v/>
      </c>
      <c r="AW207" s="39"/>
      <c r="AX207" s="40" t="str">
        <f aca="false">IF(OR(AW207="",CC207=""),"",AW207/CC207*100)</f>
        <v/>
      </c>
      <c r="AY207" s="41" t="str">
        <f aca="false">IF(AX207="","",IFERROR(MATCH(AX207,INDEX(Boundaries!$B$2:$I$30,MATCH(CQ207,Boundaries!$A$2:$A$30,0),0),1)-1,""))</f>
        <v/>
      </c>
      <c r="AZ207" s="42" t="str">
        <f aca="false">IF(OR(AY207="",$E207=""),"",AY207-$E207)</f>
        <v/>
      </c>
      <c r="BA207" s="39"/>
      <c r="BB207" s="40" t="str">
        <f aca="false">IF(OR(BA207="",CD207=""),"",BA207/CD207*100)</f>
        <v/>
      </c>
      <c r="BC207" s="41" t="str">
        <f aca="false">IF(BB207="","",IFERROR(MATCH(BB207,INDEX(Boundaries!$B$2:$I$30,MATCH(CR207,Boundaries!$A$2:$A$30,0),0),1)-1,""))</f>
        <v/>
      </c>
      <c r="BD207" s="42" t="str">
        <f aca="false">IF(OR(BC207="",$E207=""),"",BC207-$E207)</f>
        <v/>
      </c>
      <c r="BE207" s="39"/>
      <c r="BF207" s="40" t="str">
        <f aca="false">IF(OR(BE207="",CE207=""),"",BE207/CE207*100)</f>
        <v/>
      </c>
      <c r="BG207" s="41" t="str">
        <f aca="false">IF(BF207="","",IFERROR(MATCH(BF207,INDEX(Boundaries!$B$2:$I$30,MATCH(CS207,Boundaries!$A$2:$A$30,0),0),1)-1,""))</f>
        <v/>
      </c>
      <c r="BH207" s="42" t="str">
        <f aca="false">IF(OR(BG207="",$E207=""),"",BG207-$E207)</f>
        <v/>
      </c>
      <c r="BI207" s="39"/>
      <c r="BJ207" s="40" t="str">
        <f aca="false">IF(OR(BI207="",CF207=""),"",BI207/CF207*100)</f>
        <v/>
      </c>
      <c r="BK207" s="41" t="str">
        <f aca="false">IF(BJ207="","",IFERROR(MATCH(BJ207,INDEX(Boundaries!$B$2:$I$30,MATCH(CT207,Boundaries!$A$2:$A$30,0),0),1)-1,""))</f>
        <v/>
      </c>
      <c r="BL207" s="42" t="str">
        <f aca="false">IF(OR(BK207="",$E207=""),"",BK207-$E207)</f>
        <v/>
      </c>
      <c r="BM207" s="39"/>
      <c r="BN207" s="40" t="str">
        <f aca="false">IF(OR(BM207="",CG207=""),"",BM207/CG207*100)</f>
        <v/>
      </c>
      <c r="BO207" s="41" t="str">
        <f aca="false">IF(BN207="","",IFERROR(MATCH(BN207,INDEX(Boundaries!$B$2:$I$30,MATCH(CU207,Boundaries!$A$2:$A$30,0),0),1)-1,""))</f>
        <v/>
      </c>
      <c r="BP207" s="42" t="str">
        <f aca="false">IF(OR(BO207="",$E207=""),"",BO207-$E207)</f>
        <v/>
      </c>
      <c r="BQ207" s="39"/>
      <c r="BR207" s="40" t="str">
        <f aca="false">IF(OR(BQ207="",CH207=""),"",BQ207/CH207*100)</f>
        <v/>
      </c>
      <c r="BS207" s="41" t="str">
        <f aca="false">IF(BR207="","",IFERROR(MATCH(BR207,INDEX(Boundaries!$B$2:$I$30,MATCH(CV207,Boundaries!$A$2:$A$30,0),0),1)-1,""))</f>
        <v/>
      </c>
      <c r="BT207" s="42" t="str">
        <f aca="false">IF(OR(BS207="",$E207=""),"",BS207-$E207)</f>
        <v/>
      </c>
      <c r="BU207" s="28" t="n">
        <f aca="false">IFERROR(INDEX(Assessments!$H$2:$H$600,MATCH($H207&amp;"|"&amp;$I207&amp;"|"&amp;$J207&amp;"|"&amp;1,Assessments!$A$2:$A$600,0)),"")</f>
        <v>20</v>
      </c>
      <c r="BV207" s="28" t="n">
        <f aca="false">IFERROR(INDEX(Assessments!$H$2:$H$600,MATCH($H207&amp;"|"&amp;$I207&amp;"|"&amp;$J207&amp;"|"&amp;2,Assessments!$A$2:$A$600,0)),"")</f>
        <v>20</v>
      </c>
      <c r="BW207" s="28" t="n">
        <f aca="false">IFERROR(INDEX(Assessments!$H$2:$H$600,MATCH($H207&amp;"|"&amp;$I207&amp;"|"&amp;$J207&amp;"|"&amp;3,Assessments!$A$2:$A$600,0)),"")</f>
        <v>20</v>
      </c>
      <c r="BX207" s="28" t="n">
        <f aca="false">IFERROR(INDEX(Assessments!$H$2:$H$600,MATCH($H207&amp;"|"&amp;$I207&amp;"|"&amp;$J207&amp;"|"&amp;4,Assessments!$A$2:$A$600,0)),"")</f>
        <v>20</v>
      </c>
      <c r="BY207" s="28" t="n">
        <f aca="false">IFERROR(INDEX(Assessments!$H$2:$H$600,MATCH($H207&amp;"|"&amp;$I207&amp;"|"&amp;$J207&amp;"|"&amp;5,Assessments!$A$2:$A$600,0)),"")</f>
        <v>20</v>
      </c>
      <c r="BZ207" s="28" t="n">
        <f aca="false">IFERROR(INDEX(Assessments!$H$2:$H$600,MATCH($H207&amp;"|"&amp;$I207&amp;"|"&amp;$J207&amp;"|"&amp;6,Assessments!$A$2:$A$600,0)),"")</f>
        <v>40</v>
      </c>
      <c r="CA207" s="28" t="n">
        <f aca="false">IFERROR(INDEX(Assessments!$H$2:$H$600,MATCH($H207&amp;"|"&amp;$I207&amp;"|"&amp;$J207&amp;"|"&amp;7,Assessments!$A$2:$A$600,0)),"")</f>
        <v>50</v>
      </c>
      <c r="CB207" s="28" t="str">
        <f aca="false">IFERROR(INDEX(Assessments!$H$2:$H$600,MATCH($H207&amp;"|"&amp;$I207&amp;"|"&amp;$J207&amp;"|"&amp;8,Assessments!$A$2:$A$600,0)),"")</f>
        <v/>
      </c>
      <c r="CC207" s="28" t="str">
        <f aca="false">IFERROR(INDEX(Assessments!$H$2:$H$600,MATCH($H207&amp;"|"&amp;$I207&amp;"|"&amp;$J207&amp;"|"&amp;9,Assessments!$A$2:$A$600,0)),"")</f>
        <v/>
      </c>
      <c r="CD207" s="28" t="str">
        <f aca="false">IFERROR(INDEX(Assessments!$H$2:$H$600,MATCH($H207&amp;"|"&amp;$I207&amp;"|"&amp;$J207&amp;"|"&amp;10,Assessments!$A$2:$A$600,0)),"")</f>
        <v/>
      </c>
      <c r="CE207" s="28" t="str">
        <f aca="false">IFERROR(INDEX(Assessments!$H$2:$H$600,MATCH($H207&amp;"|"&amp;$I207&amp;"|"&amp;$J207&amp;"|"&amp;11,Assessments!$A$2:$A$600,0)),"")</f>
        <v/>
      </c>
      <c r="CF207" s="28" t="str">
        <f aca="false">IFERROR(INDEX(Assessments!$H$2:$H$600,MATCH($H207&amp;"|"&amp;$I207&amp;"|"&amp;$J207&amp;"|"&amp;12,Assessments!$A$2:$A$600,0)),"")</f>
        <v/>
      </c>
      <c r="CG207" s="28" t="str">
        <f aca="false">IFERROR(INDEX(Assessments!$H$2:$H$600,MATCH($H207&amp;"|"&amp;$I207&amp;"|"&amp;$J207&amp;"|"&amp;13,Assessments!$A$2:$A$600,0)),"")</f>
        <v/>
      </c>
      <c r="CH207" s="28" t="str">
        <f aca="false">IFERROR(INDEX(Assessments!$H$2:$H$600,MATCH($H207&amp;"|"&amp;$I207&amp;"|"&amp;$J207&amp;"|"&amp;14,Assessments!$A$2:$A$600,0)),"")</f>
        <v/>
      </c>
      <c r="CI207" s="28" t="str">
        <f aca="false">IFERROR(INDEX(Assessments!$I$2:$I$600,MATCH($H207&amp;"|"&amp;$I207&amp;"|"&amp;$J207&amp;"|"&amp;1,Assessments!$A$2:$A$600,0)),"")</f>
        <v>Geog Paper 1</v>
      </c>
      <c r="CJ207" s="28" t="str">
        <f aca="false">IFERROR(INDEX(Assessments!$I$2:$I$600,MATCH($H207&amp;"|"&amp;$I207&amp;"|"&amp;$J207&amp;"|"&amp;2,Assessments!$A$2:$A$600,0)),"")</f>
        <v>Geog Paper 1</v>
      </c>
      <c r="CK207" s="28" t="str">
        <f aca="false">IFERROR(INDEX(Assessments!$I$2:$I$600,MATCH($H207&amp;"|"&amp;$I207&amp;"|"&amp;$J207&amp;"|"&amp;3,Assessments!$A$2:$A$600,0)),"")</f>
        <v>Geog Paper 2</v>
      </c>
      <c r="CL207" s="28" t="str">
        <f aca="false">IFERROR(INDEX(Assessments!$I$2:$I$600,MATCH($H207&amp;"|"&amp;$I207&amp;"|"&amp;$J207&amp;"|"&amp;4,Assessments!$A$2:$A$600,0)),"")</f>
        <v>Geog Paper 1</v>
      </c>
      <c r="CM207" s="28" t="str">
        <f aca="false">IFERROR(INDEX(Assessments!$I$2:$I$600,MATCH($H207&amp;"|"&amp;$I207&amp;"|"&amp;$J207&amp;"|"&amp;5,Assessments!$A$2:$A$600,0)),"")</f>
        <v>Geog Paper 1</v>
      </c>
      <c r="CN207" s="28" t="str">
        <f aca="false">IFERROR(INDEX(Assessments!$I$2:$I$600,MATCH($H207&amp;"|"&amp;$I207&amp;"|"&amp;$J207&amp;"|"&amp;6,Assessments!$A$2:$A$600,0)),"")</f>
        <v>Geog Paper 1</v>
      </c>
      <c r="CO207" s="28" t="str">
        <f aca="false">IFERROR(INDEX(Assessments!$I$2:$I$600,MATCH($H207&amp;"|"&amp;$I207&amp;"|"&amp;$J207&amp;"|"&amp;7,Assessments!$A$2:$A$600,0)),"")</f>
        <v>Geog Paper 2</v>
      </c>
      <c r="CP207" s="28" t="str">
        <f aca="false">IFERROR(INDEX(Assessments!$I$2:$I$600,MATCH($H207&amp;"|"&amp;$I207&amp;"|"&amp;$J207&amp;"|"&amp;8,Assessments!$A$2:$A$600,0)),"")</f>
        <v/>
      </c>
      <c r="CQ207" s="28" t="str">
        <f aca="false">IFERROR(INDEX(Assessments!$I$2:$I$600,MATCH($H207&amp;"|"&amp;$I207&amp;"|"&amp;$J207&amp;"|"&amp;9,Assessments!$A$2:$A$600,0)),"")</f>
        <v/>
      </c>
      <c r="CR207" s="28" t="str">
        <f aca="false">IFERROR(INDEX(Assessments!$I$2:$I$600,MATCH($H207&amp;"|"&amp;$I207&amp;"|"&amp;$J207&amp;"|"&amp;10,Assessments!$A$2:$A$600,0)),"")</f>
        <v/>
      </c>
      <c r="CS207" s="28" t="str">
        <f aca="false">IFERROR(INDEX(Assessments!$I$2:$I$600,MATCH($H207&amp;"|"&amp;$I207&amp;"|"&amp;$J207&amp;"|"&amp;11,Assessments!$A$2:$A$600,0)),"")</f>
        <v/>
      </c>
      <c r="CT207" s="28" t="str">
        <f aca="false">IFERROR(INDEX(Assessments!$I$2:$I$600,MATCH($H207&amp;"|"&amp;$I207&amp;"|"&amp;$J207&amp;"|"&amp;12,Assessments!$A$2:$A$600,0)),"")</f>
        <v/>
      </c>
      <c r="CU207" s="28" t="str">
        <f aca="false">IFERROR(INDEX(Assessments!$I$2:$I$600,MATCH($H207&amp;"|"&amp;$I207&amp;"|"&amp;$J207&amp;"|"&amp;13,Assessments!$A$2:$A$600,0)),"")</f>
        <v/>
      </c>
      <c r="CV207" s="28" t="str">
        <f aca="false">IFERROR(INDEX(Assessments!$I$2:$I$600,MATCH($H207&amp;"|"&amp;$I207&amp;"|"&amp;$J207&amp;"|"&amp;14,Assessments!$A$2:$A$600,0)),"")</f>
        <v/>
      </c>
      <c r="CW207" s="28" t="n">
        <f aca="false">IFERROR(INDEX(Assessments!$J$2:$J$600,MATCH($H207&amp;"|"&amp;$I207&amp;"|"&amp;$J207&amp;"|"&amp;1,Assessments!$A$2:$A$600,0)),0)</f>
        <v>1</v>
      </c>
      <c r="CX207" s="28" t="n">
        <f aca="false">IFERROR(INDEX(Assessments!$J$2:$J$600,MATCH($H207&amp;"|"&amp;$I207&amp;"|"&amp;$J207&amp;"|"&amp;2,Assessments!$A$2:$A$600,0)),0)</f>
        <v>1</v>
      </c>
      <c r="CY207" s="28" t="n">
        <f aca="false">IFERROR(INDEX(Assessments!$J$2:$J$600,MATCH($H207&amp;"|"&amp;$I207&amp;"|"&amp;$J207&amp;"|"&amp;3,Assessments!$A$2:$A$600,0)),0)</f>
        <v>1</v>
      </c>
      <c r="CZ207" s="28" t="n">
        <f aca="false">IFERROR(INDEX(Assessments!$J$2:$J$600,MATCH($H207&amp;"|"&amp;$I207&amp;"|"&amp;$J207&amp;"|"&amp;4,Assessments!$A$2:$A$600,0)),0)</f>
        <v>1</v>
      </c>
      <c r="DA207" s="28" t="n">
        <f aca="false">IFERROR(INDEX(Assessments!$J$2:$J$600,MATCH($H207&amp;"|"&amp;$I207&amp;"|"&amp;$J207&amp;"|"&amp;5,Assessments!$A$2:$A$600,0)),0)</f>
        <v>1</v>
      </c>
      <c r="DB207" s="28" t="n">
        <f aca="false">IFERROR(INDEX(Assessments!$J$2:$J$600,MATCH($H207&amp;"|"&amp;$I207&amp;"|"&amp;$J207&amp;"|"&amp;6,Assessments!$A$2:$A$600,0)),0)</f>
        <v>2</v>
      </c>
      <c r="DC207" s="28" t="n">
        <f aca="false">IFERROR(INDEX(Assessments!$J$2:$J$600,MATCH($H207&amp;"|"&amp;$I207&amp;"|"&amp;$J207&amp;"|"&amp;7,Assessments!$A$2:$A$600,0)),0)</f>
        <v>2</v>
      </c>
      <c r="DD207" s="28" t="n">
        <f aca="false">IFERROR(INDEX(Assessments!$J$2:$J$600,MATCH($H207&amp;"|"&amp;$I207&amp;"|"&amp;$J207&amp;"|"&amp;8,Assessments!$A$2:$A$600,0)),0)</f>
        <v>0</v>
      </c>
      <c r="DE207" s="28" t="n">
        <f aca="false">IFERROR(INDEX(Assessments!$J$2:$J$600,MATCH($H207&amp;"|"&amp;$I207&amp;"|"&amp;$J207&amp;"|"&amp;9,Assessments!$A$2:$A$600,0)),0)</f>
        <v>0</v>
      </c>
      <c r="DF207" s="28" t="n">
        <f aca="false">IFERROR(INDEX(Assessments!$J$2:$J$600,MATCH($H207&amp;"|"&amp;$I207&amp;"|"&amp;$J207&amp;"|"&amp;10,Assessments!$A$2:$A$600,0)),0)</f>
        <v>0</v>
      </c>
      <c r="DG207" s="28" t="n">
        <f aca="false">IFERROR(INDEX(Assessments!$J$2:$J$600,MATCH($H207&amp;"|"&amp;$I207&amp;"|"&amp;$J207&amp;"|"&amp;11,Assessments!$A$2:$A$600,0)),0)</f>
        <v>0</v>
      </c>
      <c r="DH207" s="28" t="n">
        <f aca="false">IFERROR(INDEX(Assessments!$J$2:$J$600,MATCH($H207&amp;"|"&amp;$I207&amp;"|"&amp;$J207&amp;"|"&amp;12,Assessments!$A$2:$A$600,0)),0)</f>
        <v>0</v>
      </c>
      <c r="DI207" s="28" t="n">
        <f aca="false">IFERROR(INDEX(Assessments!$J$2:$J$600,MATCH($H207&amp;"|"&amp;$I207&amp;"|"&amp;$J207&amp;"|"&amp;13,Assessments!$A$2:$A$600,0)),0)</f>
        <v>0</v>
      </c>
      <c r="DJ207" s="28" t="n">
        <f aca="false">IFERROR(INDEX(Assessments!$J$2:$J$600,MATCH($H207&amp;"|"&amp;$I207&amp;"|"&amp;$J207&amp;"|"&amp;14,Assessments!$A$2:$A$600,0)),0)</f>
        <v>0</v>
      </c>
      <c r="DK207" s="28" t="n">
        <f aca="false">S207</f>
        <v>4</v>
      </c>
      <c r="DL207" s="28" t="str">
        <f aca="false">W207</f>
        <v/>
      </c>
      <c r="DM207" s="28" t="str">
        <f aca="false">AA207</f>
        <v/>
      </c>
      <c r="DN207" s="28" t="str">
        <f aca="false">AE207</f>
        <v/>
      </c>
      <c r="DO207" s="28" t="str">
        <f aca="false">AI207</f>
        <v/>
      </c>
      <c r="DP207" s="28" t="str">
        <f aca="false">AM207</f>
        <v/>
      </c>
      <c r="DQ207" s="28" t="str">
        <f aca="false">AQ207</f>
        <v/>
      </c>
      <c r="DR207" s="28" t="str">
        <f aca="false">AU207</f>
        <v/>
      </c>
      <c r="DS207" s="28" t="str">
        <f aca="false">AY207</f>
        <v/>
      </c>
      <c r="DT207" s="28" t="str">
        <f aca="false">BC207</f>
        <v/>
      </c>
      <c r="DU207" s="28" t="str">
        <f aca="false">BG207</f>
        <v/>
      </c>
      <c r="DV207" s="28" t="str">
        <f aca="false">BK207</f>
        <v/>
      </c>
      <c r="DW207" s="28" t="str">
        <f aca="false">BO207</f>
        <v/>
      </c>
      <c r="DX207" s="28" t="str">
        <f aca="false">BS207</f>
        <v/>
      </c>
      <c r="DY207" s="28" t="n">
        <f aca="false">IF(ISNUMBER(S207),1,"")</f>
        <v>1</v>
      </c>
      <c r="DZ207" s="28" t="str">
        <f aca="false">IF(ISNUMBER(W207),2,"")</f>
        <v/>
      </c>
      <c r="EA207" s="28" t="str">
        <f aca="false">IF(ISNUMBER(AA207),3,"")</f>
        <v/>
      </c>
      <c r="EB207" s="28" t="str">
        <f aca="false">IF(ISNUMBER(AE207),4,"")</f>
        <v/>
      </c>
      <c r="EC207" s="28" t="str">
        <f aca="false">IF(ISNUMBER(AI207),5,"")</f>
        <v/>
      </c>
      <c r="ED207" s="28" t="str">
        <f aca="false">IF(ISNUMBER(AM207),6,"")</f>
        <v/>
      </c>
      <c r="EE207" s="28" t="str">
        <f aca="false">IF(ISNUMBER(AQ207),7,"")</f>
        <v/>
      </c>
      <c r="EF207" s="28" t="str">
        <f aca="false">IF(ISNUMBER(AU207),8,"")</f>
        <v/>
      </c>
      <c r="EG207" s="28" t="str">
        <f aca="false">IF(ISNUMBER(AY207),9,"")</f>
        <v/>
      </c>
      <c r="EH207" s="28" t="str">
        <f aca="false">IF(ISNUMBER(BC207),10,"")</f>
        <v/>
      </c>
      <c r="EI207" s="28" t="str">
        <f aca="false">IF(ISNUMBER(BG207),11,"")</f>
        <v/>
      </c>
      <c r="EJ207" s="28" t="str">
        <f aca="false">IF(ISNUMBER(BK207),12,"")</f>
        <v/>
      </c>
      <c r="EK207" s="28" t="str">
        <f aca="false">IF(ISNUMBER(BO207),13,"")</f>
        <v/>
      </c>
      <c r="EL207" s="28" t="str">
        <f aca="false">IF(ISNUMBER(BS207),14,"")</f>
        <v/>
      </c>
      <c r="EM207" s="28" t="n">
        <f aca="false">IF(ISNUMBER(R207),R207*CW207,0)</f>
        <v>50</v>
      </c>
      <c r="EN207" s="28" t="n">
        <f aca="false">IF(ISNUMBER(V207),V207*CX207,0)</f>
        <v>0</v>
      </c>
      <c r="EO207" s="28" t="n">
        <f aca="false">IF(ISNUMBER(Z207),Z207*CY207,0)</f>
        <v>0</v>
      </c>
      <c r="EP207" s="28" t="n">
        <f aca="false">IF(ISNUMBER(AD207),AD207*CZ207,0)</f>
        <v>0</v>
      </c>
      <c r="EQ207" s="28" t="n">
        <f aca="false">IF(ISNUMBER(AH207),AH207*DA207,0)</f>
        <v>0</v>
      </c>
      <c r="ER207" s="28" t="n">
        <f aca="false">IF(ISNUMBER(AL207),AL207*DB207,0)</f>
        <v>0</v>
      </c>
      <c r="ES207" s="28" t="n">
        <f aca="false">IF(ISNUMBER(AP207),AP207*DC207,0)</f>
        <v>0</v>
      </c>
      <c r="ET207" s="28" t="n">
        <f aca="false">IF(ISNUMBER(AT207),AT207*DD207,0)</f>
        <v>0</v>
      </c>
      <c r="EU207" s="28" t="n">
        <f aca="false">IF(ISNUMBER(AX207),AX207*DE207,0)</f>
        <v>0</v>
      </c>
      <c r="EV207" s="28" t="n">
        <f aca="false">IF(ISNUMBER(BB207),BB207*DF207,0)</f>
        <v>0</v>
      </c>
      <c r="EW207" s="28" t="n">
        <f aca="false">IF(ISNUMBER(BF207),BF207*DG207,0)</f>
        <v>0</v>
      </c>
      <c r="EX207" s="28" t="n">
        <f aca="false">IF(ISNUMBER(BJ207),BJ207*DH207,0)</f>
        <v>0</v>
      </c>
      <c r="EY207" s="28" t="n">
        <f aca="false">IF(ISNUMBER(BN207),BN207*DI207,0)</f>
        <v>0</v>
      </c>
      <c r="EZ207" s="28" t="n">
        <f aca="false">IF(ISNUMBER(BR207),BR207*DJ207,0)</f>
        <v>0</v>
      </c>
      <c r="FA207" s="28" t="n">
        <f aca="false">IF(ISNUMBER(R207),CW207,0)</f>
        <v>1</v>
      </c>
      <c r="FB207" s="28" t="n">
        <f aca="false">IF(ISNUMBER(V207),CX207,0)</f>
        <v>0</v>
      </c>
      <c r="FC207" s="28" t="n">
        <f aca="false">IF(ISNUMBER(Z207),CY207,0)</f>
        <v>0</v>
      </c>
      <c r="FD207" s="28" t="n">
        <f aca="false">IF(ISNUMBER(AD207),CZ207,0)</f>
        <v>0</v>
      </c>
      <c r="FE207" s="28" t="n">
        <f aca="false">IF(ISNUMBER(AH207),DA207,0)</f>
        <v>0</v>
      </c>
      <c r="FF207" s="28" t="n">
        <f aca="false">IF(ISNUMBER(AL207),DB207,0)</f>
        <v>0</v>
      </c>
      <c r="FG207" s="28" t="n">
        <f aca="false">IF(ISNUMBER(AP207),DC207,0)</f>
        <v>0</v>
      </c>
      <c r="FH207" s="28" t="n">
        <f aca="false">IF(ISNUMBER(AT207),DD207,0)</f>
        <v>0</v>
      </c>
      <c r="FI207" s="28" t="n">
        <f aca="false">IF(ISNUMBER(AX207),DE207,0)</f>
        <v>0</v>
      </c>
      <c r="FJ207" s="28" t="n">
        <f aca="false">IF(ISNUMBER(BB207),DF207,0)</f>
        <v>0</v>
      </c>
      <c r="FK207" s="28" t="n">
        <f aca="false">IF(ISNUMBER(BF207),DG207,0)</f>
        <v>0</v>
      </c>
      <c r="FL207" s="28" t="n">
        <f aca="false">IF(ISNUMBER(BJ207),DH207,0)</f>
        <v>0</v>
      </c>
      <c r="FM207" s="28" t="n">
        <f aca="false">IF(ISNUMBER(BN207),DI207,0)</f>
        <v>0</v>
      </c>
      <c r="FN207" s="28" t="n">
        <f aca="false">IF(ISNUMBER(BR207),DJ207,0)</f>
        <v>0</v>
      </c>
      <c r="FO207" s="28" t="str">
        <f aca="false">IFERROR(INDEX(Lists!$G$2:$G$20,MATCH($I207&amp;"|"&amp;$J207,Lists!$F$2:$F$20,0)),"")</f>
        <v>Geog Overall HL</v>
      </c>
    </row>
    <row r="208" customFormat="false" ht="19.5" hidden="false" customHeight="true" outlineLevel="0" collapsed="false">
      <c r="A208" s="29" t="s">
        <v>449</v>
      </c>
      <c r="B208" s="29" t="s">
        <v>348</v>
      </c>
      <c r="C208" s="30" t="s">
        <v>192</v>
      </c>
      <c r="D208" s="30" t="s">
        <v>177</v>
      </c>
      <c r="E208" s="31"/>
      <c r="F208" s="30" t="n">
        <v>5</v>
      </c>
      <c r="G208" s="30"/>
      <c r="H208" s="32" t="s">
        <v>428</v>
      </c>
      <c r="I208" s="33" t="s">
        <v>24</v>
      </c>
      <c r="J208" s="32" t="s">
        <v>25</v>
      </c>
      <c r="K208" s="34" t="str">
        <f aca="false">IF(OR(M208="",$E208=""),"",M208-$E208)</f>
        <v/>
      </c>
      <c r="L208" s="35" t="n">
        <f aca="false">IF(SUM(FA208:FN208)=0,"",SUM(EM208:EZ208)/SUM(FA208:FN208))</f>
        <v>35</v>
      </c>
      <c r="M208" s="36" t="n">
        <f aca="false">IF(OR(L208="",FO208=""),"",IFERROR(MATCH(L208,INDEX(Boundaries!$B$2:$I$30,MATCH(FO208,Boundaries!$A$2:$A$30,0),0),1)-1,""))</f>
        <v>3</v>
      </c>
      <c r="N208" s="37" t="str">
        <f aca="false">IF(COUNT($DY208:$EL208)&lt;2,"",INDEX($DK208:$DX208,MAX($DY208:$EL208))-INDEX($DK208:$DX208,MIN($DY208:$EL208)))</f>
        <v/>
      </c>
      <c r="O208" s="37" t="str">
        <f aca="false">IF(COUNT($DY208:$EL208)&lt;2,"",INDEX($DK208:$DX208,MAX($DY208:$EL208))-INDEX($DK208:$DX208,LARGE($DY208:$EL208,2)))</f>
        <v/>
      </c>
      <c r="P208" s="38" t="str">
        <f aca="false">IF(K208="","",IF(K208&gt;=0,"On/above target",IF(AND(N208&lt;&gt;"",N208&gt;=0.5),"Improving towards target",IF(AND(O208&lt;&gt;"",O208&lt;=-0.5),"Declining","Stable below target"))))</f>
        <v/>
      </c>
      <c r="Q208" s="39" t="n">
        <v>7</v>
      </c>
      <c r="R208" s="40" t="n">
        <f aca="false">IF(OR(Q208="",BU208=""),"",Q208/BU208*100)</f>
        <v>35</v>
      </c>
      <c r="S208" s="41" t="n">
        <f aca="false">IF(R208="","",IFERROR(MATCH(R208,INDEX(Boundaries!$B$2:$I$30,MATCH(CI208,Boundaries!$A$2:$A$30,0),0),1)-1,""))</f>
        <v>3</v>
      </c>
      <c r="T208" s="42" t="str">
        <f aca="false">IF(OR(S208="",$E208=""),"",S208-$E208)</f>
        <v/>
      </c>
      <c r="U208" s="39"/>
      <c r="V208" s="40" t="str">
        <f aca="false">IF(OR(U208="",BV208=""),"",U208/BV208*100)</f>
        <v/>
      </c>
      <c r="W208" s="41" t="str">
        <f aca="false">IF(V208="","",IFERROR(MATCH(V208,INDEX(Boundaries!$B$2:$I$30,MATCH(CJ208,Boundaries!$A$2:$A$30,0),0),1)-1,""))</f>
        <v/>
      </c>
      <c r="X208" s="42" t="str">
        <f aca="false">IF(OR(W208="",$E208=""),"",W208-$E208)</f>
        <v/>
      </c>
      <c r="Y208" s="39"/>
      <c r="Z208" s="40" t="str">
        <f aca="false">IF(OR(Y208="",BW208=""),"",Y208/BW208*100)</f>
        <v/>
      </c>
      <c r="AA208" s="41" t="str">
        <f aca="false">IF(Z208="","",IFERROR(MATCH(Z208,INDEX(Boundaries!$B$2:$I$30,MATCH(CK208,Boundaries!$A$2:$A$30,0),0),1)-1,""))</f>
        <v/>
      </c>
      <c r="AB208" s="42" t="str">
        <f aca="false">IF(OR(AA208="",$E208=""),"",AA208-$E208)</f>
        <v/>
      </c>
      <c r="AC208" s="39"/>
      <c r="AD208" s="40" t="str">
        <f aca="false">IF(OR(AC208="",BX208=""),"",AC208/BX208*100)</f>
        <v/>
      </c>
      <c r="AE208" s="41" t="str">
        <f aca="false">IF(AD208="","",IFERROR(MATCH(AD208,INDEX(Boundaries!$B$2:$I$30,MATCH(CL208,Boundaries!$A$2:$A$30,0),0),1)-1,""))</f>
        <v/>
      </c>
      <c r="AF208" s="42" t="str">
        <f aca="false">IF(OR(AE208="",$E208=""),"",AE208-$E208)</f>
        <v/>
      </c>
      <c r="AG208" s="39"/>
      <c r="AH208" s="40" t="str">
        <f aca="false">IF(OR(AG208="",BY208=""),"",AG208/BY208*100)</f>
        <v/>
      </c>
      <c r="AI208" s="41" t="str">
        <f aca="false">IF(AH208="","",IFERROR(MATCH(AH208,INDEX(Boundaries!$B$2:$I$30,MATCH(CM208,Boundaries!$A$2:$A$30,0),0),1)-1,""))</f>
        <v/>
      </c>
      <c r="AJ208" s="42" t="str">
        <f aca="false">IF(OR(AI208="",$E208=""),"",AI208-$E208)</f>
        <v/>
      </c>
      <c r="AK208" s="39"/>
      <c r="AL208" s="40" t="str">
        <f aca="false">IF(OR(AK208="",BZ208=""),"",AK208/BZ208*100)</f>
        <v/>
      </c>
      <c r="AM208" s="41" t="str">
        <f aca="false">IF(AL208="","",IFERROR(MATCH(AL208,INDEX(Boundaries!$B$2:$I$30,MATCH(CN208,Boundaries!$A$2:$A$30,0),0),1)-1,""))</f>
        <v/>
      </c>
      <c r="AN208" s="42" t="str">
        <f aca="false">IF(OR(AM208="",$E208=""),"",AM208-$E208)</f>
        <v/>
      </c>
      <c r="AO208" s="39"/>
      <c r="AP208" s="40" t="str">
        <f aca="false">IF(OR(AO208="",CA208=""),"",AO208/CA208*100)</f>
        <v/>
      </c>
      <c r="AQ208" s="41" t="str">
        <f aca="false">IF(AP208="","",IFERROR(MATCH(AP208,INDEX(Boundaries!$B$2:$I$30,MATCH(CO208,Boundaries!$A$2:$A$30,0),0),1)-1,""))</f>
        <v/>
      </c>
      <c r="AR208" s="42" t="str">
        <f aca="false">IF(OR(AQ208="",$E208=""),"",AQ208-$E208)</f>
        <v/>
      </c>
      <c r="AS208" s="39"/>
      <c r="AT208" s="40" t="str">
        <f aca="false">IF(OR(AS208="",CB208=""),"",AS208/CB208*100)</f>
        <v/>
      </c>
      <c r="AU208" s="41" t="str">
        <f aca="false">IF(AT208="","",IFERROR(MATCH(AT208,INDEX(Boundaries!$B$2:$I$30,MATCH(CP208,Boundaries!$A$2:$A$30,0),0),1)-1,""))</f>
        <v/>
      </c>
      <c r="AV208" s="42" t="str">
        <f aca="false">IF(OR(AU208="",$E208=""),"",AU208-$E208)</f>
        <v/>
      </c>
      <c r="AW208" s="39"/>
      <c r="AX208" s="40" t="str">
        <f aca="false">IF(OR(AW208="",CC208=""),"",AW208/CC208*100)</f>
        <v/>
      </c>
      <c r="AY208" s="41" t="str">
        <f aca="false">IF(AX208="","",IFERROR(MATCH(AX208,INDEX(Boundaries!$B$2:$I$30,MATCH(CQ208,Boundaries!$A$2:$A$30,0),0),1)-1,""))</f>
        <v/>
      </c>
      <c r="AZ208" s="42" t="str">
        <f aca="false">IF(OR(AY208="",$E208=""),"",AY208-$E208)</f>
        <v/>
      </c>
      <c r="BA208" s="39"/>
      <c r="BB208" s="40" t="str">
        <f aca="false">IF(OR(BA208="",CD208=""),"",BA208/CD208*100)</f>
        <v/>
      </c>
      <c r="BC208" s="41" t="str">
        <f aca="false">IF(BB208="","",IFERROR(MATCH(BB208,INDEX(Boundaries!$B$2:$I$30,MATCH(CR208,Boundaries!$A$2:$A$30,0),0),1)-1,""))</f>
        <v/>
      </c>
      <c r="BD208" s="42" t="str">
        <f aca="false">IF(OR(BC208="",$E208=""),"",BC208-$E208)</f>
        <v/>
      </c>
      <c r="BE208" s="39"/>
      <c r="BF208" s="40" t="str">
        <f aca="false">IF(OR(BE208="",CE208=""),"",BE208/CE208*100)</f>
        <v/>
      </c>
      <c r="BG208" s="41" t="str">
        <f aca="false">IF(BF208="","",IFERROR(MATCH(BF208,INDEX(Boundaries!$B$2:$I$30,MATCH(CS208,Boundaries!$A$2:$A$30,0),0),1)-1,""))</f>
        <v/>
      </c>
      <c r="BH208" s="42" t="str">
        <f aca="false">IF(OR(BG208="",$E208=""),"",BG208-$E208)</f>
        <v/>
      </c>
      <c r="BI208" s="39"/>
      <c r="BJ208" s="40" t="str">
        <f aca="false">IF(OR(BI208="",CF208=""),"",BI208/CF208*100)</f>
        <v/>
      </c>
      <c r="BK208" s="41" t="str">
        <f aca="false">IF(BJ208="","",IFERROR(MATCH(BJ208,INDEX(Boundaries!$B$2:$I$30,MATCH(CT208,Boundaries!$A$2:$A$30,0),0),1)-1,""))</f>
        <v/>
      </c>
      <c r="BL208" s="42" t="str">
        <f aca="false">IF(OR(BK208="",$E208=""),"",BK208-$E208)</f>
        <v/>
      </c>
      <c r="BM208" s="39"/>
      <c r="BN208" s="40" t="str">
        <f aca="false">IF(OR(BM208="",CG208=""),"",BM208/CG208*100)</f>
        <v/>
      </c>
      <c r="BO208" s="41" t="str">
        <f aca="false">IF(BN208="","",IFERROR(MATCH(BN208,INDEX(Boundaries!$B$2:$I$30,MATCH(CU208,Boundaries!$A$2:$A$30,0),0),1)-1,""))</f>
        <v/>
      </c>
      <c r="BP208" s="42" t="str">
        <f aca="false">IF(OR(BO208="",$E208=""),"",BO208-$E208)</f>
        <v/>
      </c>
      <c r="BQ208" s="39"/>
      <c r="BR208" s="40" t="str">
        <f aca="false">IF(OR(BQ208="",CH208=""),"",BQ208/CH208*100)</f>
        <v/>
      </c>
      <c r="BS208" s="41" t="str">
        <f aca="false">IF(BR208="","",IFERROR(MATCH(BR208,INDEX(Boundaries!$B$2:$I$30,MATCH(CV208,Boundaries!$A$2:$A$30,0),0),1)-1,""))</f>
        <v/>
      </c>
      <c r="BT208" s="42" t="str">
        <f aca="false">IF(OR(BS208="",$E208=""),"",BS208-$E208)</f>
        <v/>
      </c>
      <c r="BU208" s="28" t="n">
        <f aca="false">IFERROR(INDEX(Assessments!$H$2:$H$600,MATCH($H208&amp;"|"&amp;$I208&amp;"|"&amp;$J208&amp;"|"&amp;1,Assessments!$A$2:$A$600,0)),"")</f>
        <v>20</v>
      </c>
      <c r="BV208" s="28" t="n">
        <f aca="false">IFERROR(INDEX(Assessments!$H$2:$H$600,MATCH($H208&amp;"|"&amp;$I208&amp;"|"&amp;$J208&amp;"|"&amp;2,Assessments!$A$2:$A$600,0)),"")</f>
        <v>20</v>
      </c>
      <c r="BW208" s="28" t="n">
        <f aca="false">IFERROR(INDEX(Assessments!$H$2:$H$600,MATCH($H208&amp;"|"&amp;$I208&amp;"|"&amp;$J208&amp;"|"&amp;3,Assessments!$A$2:$A$600,0)),"")</f>
        <v>20</v>
      </c>
      <c r="BX208" s="28" t="n">
        <f aca="false">IFERROR(INDEX(Assessments!$H$2:$H$600,MATCH($H208&amp;"|"&amp;$I208&amp;"|"&amp;$J208&amp;"|"&amp;4,Assessments!$A$2:$A$600,0)),"")</f>
        <v>20</v>
      </c>
      <c r="BY208" s="28" t="n">
        <f aca="false">IFERROR(INDEX(Assessments!$H$2:$H$600,MATCH($H208&amp;"|"&amp;$I208&amp;"|"&amp;$J208&amp;"|"&amp;5,Assessments!$A$2:$A$600,0)),"")</f>
        <v>20</v>
      </c>
      <c r="BZ208" s="28" t="n">
        <f aca="false">IFERROR(INDEX(Assessments!$H$2:$H$600,MATCH($H208&amp;"|"&amp;$I208&amp;"|"&amp;$J208&amp;"|"&amp;6,Assessments!$A$2:$A$600,0)),"")</f>
        <v>40</v>
      </c>
      <c r="CA208" s="28" t="n">
        <f aca="false">IFERROR(INDEX(Assessments!$H$2:$H$600,MATCH($H208&amp;"|"&amp;$I208&amp;"|"&amp;$J208&amp;"|"&amp;7,Assessments!$A$2:$A$600,0)),"")</f>
        <v>50</v>
      </c>
      <c r="CB208" s="28" t="str">
        <f aca="false">IFERROR(INDEX(Assessments!$H$2:$H$600,MATCH($H208&amp;"|"&amp;$I208&amp;"|"&amp;$J208&amp;"|"&amp;8,Assessments!$A$2:$A$600,0)),"")</f>
        <v/>
      </c>
      <c r="CC208" s="28" t="str">
        <f aca="false">IFERROR(INDEX(Assessments!$H$2:$H$600,MATCH($H208&amp;"|"&amp;$I208&amp;"|"&amp;$J208&amp;"|"&amp;9,Assessments!$A$2:$A$600,0)),"")</f>
        <v/>
      </c>
      <c r="CD208" s="28" t="str">
        <f aca="false">IFERROR(INDEX(Assessments!$H$2:$H$600,MATCH($H208&amp;"|"&amp;$I208&amp;"|"&amp;$J208&amp;"|"&amp;10,Assessments!$A$2:$A$600,0)),"")</f>
        <v/>
      </c>
      <c r="CE208" s="28" t="str">
        <f aca="false">IFERROR(INDEX(Assessments!$H$2:$H$600,MATCH($H208&amp;"|"&amp;$I208&amp;"|"&amp;$J208&amp;"|"&amp;11,Assessments!$A$2:$A$600,0)),"")</f>
        <v/>
      </c>
      <c r="CF208" s="28" t="str">
        <f aca="false">IFERROR(INDEX(Assessments!$H$2:$H$600,MATCH($H208&amp;"|"&amp;$I208&amp;"|"&amp;$J208&amp;"|"&amp;12,Assessments!$A$2:$A$600,0)),"")</f>
        <v/>
      </c>
      <c r="CG208" s="28" t="str">
        <f aca="false">IFERROR(INDEX(Assessments!$H$2:$H$600,MATCH($H208&amp;"|"&amp;$I208&amp;"|"&amp;$J208&amp;"|"&amp;13,Assessments!$A$2:$A$600,0)),"")</f>
        <v/>
      </c>
      <c r="CH208" s="28" t="str">
        <f aca="false">IFERROR(INDEX(Assessments!$H$2:$H$600,MATCH($H208&amp;"|"&amp;$I208&amp;"|"&amp;$J208&amp;"|"&amp;14,Assessments!$A$2:$A$600,0)),"")</f>
        <v/>
      </c>
      <c r="CI208" s="28" t="str">
        <f aca="false">IFERROR(INDEX(Assessments!$I$2:$I$600,MATCH($H208&amp;"|"&amp;$I208&amp;"|"&amp;$J208&amp;"|"&amp;1,Assessments!$A$2:$A$600,0)),"")</f>
        <v>Geog Paper 1</v>
      </c>
      <c r="CJ208" s="28" t="str">
        <f aca="false">IFERROR(INDEX(Assessments!$I$2:$I$600,MATCH($H208&amp;"|"&amp;$I208&amp;"|"&amp;$J208&amp;"|"&amp;2,Assessments!$A$2:$A$600,0)),"")</f>
        <v>Geog Paper 1</v>
      </c>
      <c r="CK208" s="28" t="str">
        <f aca="false">IFERROR(INDEX(Assessments!$I$2:$I$600,MATCH($H208&amp;"|"&amp;$I208&amp;"|"&amp;$J208&amp;"|"&amp;3,Assessments!$A$2:$A$600,0)),"")</f>
        <v>Geog Paper 2</v>
      </c>
      <c r="CL208" s="28" t="str">
        <f aca="false">IFERROR(INDEX(Assessments!$I$2:$I$600,MATCH($H208&amp;"|"&amp;$I208&amp;"|"&amp;$J208&amp;"|"&amp;4,Assessments!$A$2:$A$600,0)),"")</f>
        <v>Geog Paper 1</v>
      </c>
      <c r="CM208" s="28" t="str">
        <f aca="false">IFERROR(INDEX(Assessments!$I$2:$I$600,MATCH($H208&amp;"|"&amp;$I208&amp;"|"&amp;$J208&amp;"|"&amp;5,Assessments!$A$2:$A$600,0)),"")</f>
        <v>Geog Paper 1</v>
      </c>
      <c r="CN208" s="28" t="str">
        <f aca="false">IFERROR(INDEX(Assessments!$I$2:$I$600,MATCH($H208&amp;"|"&amp;$I208&amp;"|"&amp;$J208&amp;"|"&amp;6,Assessments!$A$2:$A$600,0)),"")</f>
        <v>Geog Paper 1</v>
      </c>
      <c r="CO208" s="28" t="str">
        <f aca="false">IFERROR(INDEX(Assessments!$I$2:$I$600,MATCH($H208&amp;"|"&amp;$I208&amp;"|"&amp;$J208&amp;"|"&amp;7,Assessments!$A$2:$A$600,0)),"")</f>
        <v>Geog Paper 2</v>
      </c>
      <c r="CP208" s="28" t="str">
        <f aca="false">IFERROR(INDEX(Assessments!$I$2:$I$600,MATCH($H208&amp;"|"&amp;$I208&amp;"|"&amp;$J208&amp;"|"&amp;8,Assessments!$A$2:$A$600,0)),"")</f>
        <v/>
      </c>
      <c r="CQ208" s="28" t="str">
        <f aca="false">IFERROR(INDEX(Assessments!$I$2:$I$600,MATCH($H208&amp;"|"&amp;$I208&amp;"|"&amp;$J208&amp;"|"&amp;9,Assessments!$A$2:$A$600,0)),"")</f>
        <v/>
      </c>
      <c r="CR208" s="28" t="str">
        <f aca="false">IFERROR(INDEX(Assessments!$I$2:$I$600,MATCH($H208&amp;"|"&amp;$I208&amp;"|"&amp;$J208&amp;"|"&amp;10,Assessments!$A$2:$A$600,0)),"")</f>
        <v/>
      </c>
      <c r="CS208" s="28" t="str">
        <f aca="false">IFERROR(INDEX(Assessments!$I$2:$I$600,MATCH($H208&amp;"|"&amp;$I208&amp;"|"&amp;$J208&amp;"|"&amp;11,Assessments!$A$2:$A$600,0)),"")</f>
        <v/>
      </c>
      <c r="CT208" s="28" t="str">
        <f aca="false">IFERROR(INDEX(Assessments!$I$2:$I$600,MATCH($H208&amp;"|"&amp;$I208&amp;"|"&amp;$J208&amp;"|"&amp;12,Assessments!$A$2:$A$600,0)),"")</f>
        <v/>
      </c>
      <c r="CU208" s="28" t="str">
        <f aca="false">IFERROR(INDEX(Assessments!$I$2:$I$600,MATCH($H208&amp;"|"&amp;$I208&amp;"|"&amp;$J208&amp;"|"&amp;13,Assessments!$A$2:$A$600,0)),"")</f>
        <v/>
      </c>
      <c r="CV208" s="28" t="str">
        <f aca="false">IFERROR(INDEX(Assessments!$I$2:$I$600,MATCH($H208&amp;"|"&amp;$I208&amp;"|"&amp;$J208&amp;"|"&amp;14,Assessments!$A$2:$A$600,0)),"")</f>
        <v/>
      </c>
      <c r="CW208" s="28" t="n">
        <f aca="false">IFERROR(INDEX(Assessments!$J$2:$J$600,MATCH($H208&amp;"|"&amp;$I208&amp;"|"&amp;$J208&amp;"|"&amp;1,Assessments!$A$2:$A$600,0)),0)</f>
        <v>1</v>
      </c>
      <c r="CX208" s="28" t="n">
        <f aca="false">IFERROR(INDEX(Assessments!$J$2:$J$600,MATCH($H208&amp;"|"&amp;$I208&amp;"|"&amp;$J208&amp;"|"&amp;2,Assessments!$A$2:$A$600,0)),0)</f>
        <v>1</v>
      </c>
      <c r="CY208" s="28" t="n">
        <f aca="false">IFERROR(INDEX(Assessments!$J$2:$J$600,MATCH($H208&amp;"|"&amp;$I208&amp;"|"&amp;$J208&amp;"|"&amp;3,Assessments!$A$2:$A$600,0)),0)</f>
        <v>1</v>
      </c>
      <c r="CZ208" s="28" t="n">
        <f aca="false">IFERROR(INDEX(Assessments!$J$2:$J$600,MATCH($H208&amp;"|"&amp;$I208&amp;"|"&amp;$J208&amp;"|"&amp;4,Assessments!$A$2:$A$600,0)),0)</f>
        <v>1</v>
      </c>
      <c r="DA208" s="28" t="n">
        <f aca="false">IFERROR(INDEX(Assessments!$J$2:$J$600,MATCH($H208&amp;"|"&amp;$I208&amp;"|"&amp;$J208&amp;"|"&amp;5,Assessments!$A$2:$A$600,0)),0)</f>
        <v>1</v>
      </c>
      <c r="DB208" s="28" t="n">
        <f aca="false">IFERROR(INDEX(Assessments!$J$2:$J$600,MATCH($H208&amp;"|"&amp;$I208&amp;"|"&amp;$J208&amp;"|"&amp;6,Assessments!$A$2:$A$600,0)),0)</f>
        <v>2</v>
      </c>
      <c r="DC208" s="28" t="n">
        <f aca="false">IFERROR(INDEX(Assessments!$J$2:$J$600,MATCH($H208&amp;"|"&amp;$I208&amp;"|"&amp;$J208&amp;"|"&amp;7,Assessments!$A$2:$A$600,0)),0)</f>
        <v>2</v>
      </c>
      <c r="DD208" s="28" t="n">
        <f aca="false">IFERROR(INDEX(Assessments!$J$2:$J$600,MATCH($H208&amp;"|"&amp;$I208&amp;"|"&amp;$J208&amp;"|"&amp;8,Assessments!$A$2:$A$600,0)),0)</f>
        <v>0</v>
      </c>
      <c r="DE208" s="28" t="n">
        <f aca="false">IFERROR(INDEX(Assessments!$J$2:$J$600,MATCH($H208&amp;"|"&amp;$I208&amp;"|"&amp;$J208&amp;"|"&amp;9,Assessments!$A$2:$A$600,0)),0)</f>
        <v>0</v>
      </c>
      <c r="DF208" s="28" t="n">
        <f aca="false">IFERROR(INDEX(Assessments!$J$2:$J$600,MATCH($H208&amp;"|"&amp;$I208&amp;"|"&amp;$J208&amp;"|"&amp;10,Assessments!$A$2:$A$600,0)),0)</f>
        <v>0</v>
      </c>
      <c r="DG208" s="28" t="n">
        <f aca="false">IFERROR(INDEX(Assessments!$J$2:$J$600,MATCH($H208&amp;"|"&amp;$I208&amp;"|"&amp;$J208&amp;"|"&amp;11,Assessments!$A$2:$A$600,0)),0)</f>
        <v>0</v>
      </c>
      <c r="DH208" s="28" t="n">
        <f aca="false">IFERROR(INDEX(Assessments!$J$2:$J$600,MATCH($H208&amp;"|"&amp;$I208&amp;"|"&amp;$J208&amp;"|"&amp;12,Assessments!$A$2:$A$600,0)),0)</f>
        <v>0</v>
      </c>
      <c r="DI208" s="28" t="n">
        <f aca="false">IFERROR(INDEX(Assessments!$J$2:$J$600,MATCH($H208&amp;"|"&amp;$I208&amp;"|"&amp;$J208&amp;"|"&amp;13,Assessments!$A$2:$A$600,0)),0)</f>
        <v>0</v>
      </c>
      <c r="DJ208" s="28" t="n">
        <f aca="false">IFERROR(INDEX(Assessments!$J$2:$J$600,MATCH($H208&amp;"|"&amp;$I208&amp;"|"&amp;$J208&amp;"|"&amp;14,Assessments!$A$2:$A$600,0)),0)</f>
        <v>0</v>
      </c>
      <c r="DK208" s="28" t="n">
        <f aca="false">S208</f>
        <v>3</v>
      </c>
      <c r="DL208" s="28" t="str">
        <f aca="false">W208</f>
        <v/>
      </c>
      <c r="DM208" s="28" t="str">
        <f aca="false">AA208</f>
        <v/>
      </c>
      <c r="DN208" s="28" t="str">
        <f aca="false">AE208</f>
        <v/>
      </c>
      <c r="DO208" s="28" t="str">
        <f aca="false">AI208</f>
        <v/>
      </c>
      <c r="DP208" s="28" t="str">
        <f aca="false">AM208</f>
        <v/>
      </c>
      <c r="DQ208" s="28" t="str">
        <f aca="false">AQ208</f>
        <v/>
      </c>
      <c r="DR208" s="28" t="str">
        <f aca="false">AU208</f>
        <v/>
      </c>
      <c r="DS208" s="28" t="str">
        <f aca="false">AY208</f>
        <v/>
      </c>
      <c r="DT208" s="28" t="str">
        <f aca="false">BC208</f>
        <v/>
      </c>
      <c r="DU208" s="28" t="str">
        <f aca="false">BG208</f>
        <v/>
      </c>
      <c r="DV208" s="28" t="str">
        <f aca="false">BK208</f>
        <v/>
      </c>
      <c r="DW208" s="28" t="str">
        <f aca="false">BO208</f>
        <v/>
      </c>
      <c r="DX208" s="28" t="str">
        <f aca="false">BS208</f>
        <v/>
      </c>
      <c r="DY208" s="28" t="n">
        <f aca="false">IF(ISNUMBER(S208),1,"")</f>
        <v>1</v>
      </c>
      <c r="DZ208" s="28" t="str">
        <f aca="false">IF(ISNUMBER(W208),2,"")</f>
        <v/>
      </c>
      <c r="EA208" s="28" t="str">
        <f aca="false">IF(ISNUMBER(AA208),3,"")</f>
        <v/>
      </c>
      <c r="EB208" s="28" t="str">
        <f aca="false">IF(ISNUMBER(AE208),4,"")</f>
        <v/>
      </c>
      <c r="EC208" s="28" t="str">
        <f aca="false">IF(ISNUMBER(AI208),5,"")</f>
        <v/>
      </c>
      <c r="ED208" s="28" t="str">
        <f aca="false">IF(ISNUMBER(AM208),6,"")</f>
        <v/>
      </c>
      <c r="EE208" s="28" t="str">
        <f aca="false">IF(ISNUMBER(AQ208),7,"")</f>
        <v/>
      </c>
      <c r="EF208" s="28" t="str">
        <f aca="false">IF(ISNUMBER(AU208),8,"")</f>
        <v/>
      </c>
      <c r="EG208" s="28" t="str">
        <f aca="false">IF(ISNUMBER(AY208),9,"")</f>
        <v/>
      </c>
      <c r="EH208" s="28" t="str">
        <f aca="false">IF(ISNUMBER(BC208),10,"")</f>
        <v/>
      </c>
      <c r="EI208" s="28" t="str">
        <f aca="false">IF(ISNUMBER(BG208),11,"")</f>
        <v/>
      </c>
      <c r="EJ208" s="28" t="str">
        <f aca="false">IF(ISNUMBER(BK208),12,"")</f>
        <v/>
      </c>
      <c r="EK208" s="28" t="str">
        <f aca="false">IF(ISNUMBER(BO208),13,"")</f>
        <v/>
      </c>
      <c r="EL208" s="28" t="str">
        <f aca="false">IF(ISNUMBER(BS208),14,"")</f>
        <v/>
      </c>
      <c r="EM208" s="28" t="n">
        <f aca="false">IF(ISNUMBER(R208),R208*CW208,0)</f>
        <v>35</v>
      </c>
      <c r="EN208" s="28" t="n">
        <f aca="false">IF(ISNUMBER(V208),V208*CX208,0)</f>
        <v>0</v>
      </c>
      <c r="EO208" s="28" t="n">
        <f aca="false">IF(ISNUMBER(Z208),Z208*CY208,0)</f>
        <v>0</v>
      </c>
      <c r="EP208" s="28" t="n">
        <f aca="false">IF(ISNUMBER(AD208),AD208*CZ208,0)</f>
        <v>0</v>
      </c>
      <c r="EQ208" s="28" t="n">
        <f aca="false">IF(ISNUMBER(AH208),AH208*DA208,0)</f>
        <v>0</v>
      </c>
      <c r="ER208" s="28" t="n">
        <f aca="false">IF(ISNUMBER(AL208),AL208*DB208,0)</f>
        <v>0</v>
      </c>
      <c r="ES208" s="28" t="n">
        <f aca="false">IF(ISNUMBER(AP208),AP208*DC208,0)</f>
        <v>0</v>
      </c>
      <c r="ET208" s="28" t="n">
        <f aca="false">IF(ISNUMBER(AT208),AT208*DD208,0)</f>
        <v>0</v>
      </c>
      <c r="EU208" s="28" t="n">
        <f aca="false">IF(ISNUMBER(AX208),AX208*DE208,0)</f>
        <v>0</v>
      </c>
      <c r="EV208" s="28" t="n">
        <f aca="false">IF(ISNUMBER(BB208),BB208*DF208,0)</f>
        <v>0</v>
      </c>
      <c r="EW208" s="28" t="n">
        <f aca="false">IF(ISNUMBER(BF208),BF208*DG208,0)</f>
        <v>0</v>
      </c>
      <c r="EX208" s="28" t="n">
        <f aca="false">IF(ISNUMBER(BJ208),BJ208*DH208,0)</f>
        <v>0</v>
      </c>
      <c r="EY208" s="28" t="n">
        <f aca="false">IF(ISNUMBER(BN208),BN208*DI208,0)</f>
        <v>0</v>
      </c>
      <c r="EZ208" s="28" t="n">
        <f aca="false">IF(ISNUMBER(BR208),BR208*DJ208,0)</f>
        <v>0</v>
      </c>
      <c r="FA208" s="28" t="n">
        <f aca="false">IF(ISNUMBER(R208),CW208,0)</f>
        <v>1</v>
      </c>
      <c r="FB208" s="28" t="n">
        <f aca="false">IF(ISNUMBER(V208),CX208,0)</f>
        <v>0</v>
      </c>
      <c r="FC208" s="28" t="n">
        <f aca="false">IF(ISNUMBER(Z208),CY208,0)</f>
        <v>0</v>
      </c>
      <c r="FD208" s="28" t="n">
        <f aca="false">IF(ISNUMBER(AD208),CZ208,0)</f>
        <v>0</v>
      </c>
      <c r="FE208" s="28" t="n">
        <f aca="false">IF(ISNUMBER(AH208),DA208,0)</f>
        <v>0</v>
      </c>
      <c r="FF208" s="28" t="n">
        <f aca="false">IF(ISNUMBER(AL208),DB208,0)</f>
        <v>0</v>
      </c>
      <c r="FG208" s="28" t="n">
        <f aca="false">IF(ISNUMBER(AP208),DC208,0)</f>
        <v>0</v>
      </c>
      <c r="FH208" s="28" t="n">
        <f aca="false">IF(ISNUMBER(AT208),DD208,0)</f>
        <v>0</v>
      </c>
      <c r="FI208" s="28" t="n">
        <f aca="false">IF(ISNUMBER(AX208),DE208,0)</f>
        <v>0</v>
      </c>
      <c r="FJ208" s="28" t="n">
        <f aca="false">IF(ISNUMBER(BB208),DF208,0)</f>
        <v>0</v>
      </c>
      <c r="FK208" s="28" t="n">
        <f aca="false">IF(ISNUMBER(BF208),DG208,0)</f>
        <v>0</v>
      </c>
      <c r="FL208" s="28" t="n">
        <f aca="false">IF(ISNUMBER(BJ208),DH208,0)</f>
        <v>0</v>
      </c>
      <c r="FM208" s="28" t="n">
        <f aca="false">IF(ISNUMBER(BN208),DI208,0)</f>
        <v>0</v>
      </c>
      <c r="FN208" s="28" t="n">
        <f aca="false">IF(ISNUMBER(BR208),DJ208,0)</f>
        <v>0</v>
      </c>
      <c r="FO208" s="28" t="str">
        <f aca="false">IFERROR(INDEX(Lists!$G$2:$G$20,MATCH($I208&amp;"|"&amp;$J208,Lists!$F$2:$F$20,0)),"")</f>
        <v>Geog Overall HL</v>
      </c>
    </row>
    <row r="209" customFormat="false" ht="19.5" hidden="false" customHeight="true" outlineLevel="0" collapsed="false">
      <c r="A209" s="29" t="s">
        <v>450</v>
      </c>
      <c r="B209" s="29" t="s">
        <v>451</v>
      </c>
      <c r="C209" s="30" t="s">
        <v>192</v>
      </c>
      <c r="D209" s="30" t="s">
        <v>177</v>
      </c>
      <c r="E209" s="31"/>
      <c r="F209" s="30" t="n">
        <v>6</v>
      </c>
      <c r="G209" s="30"/>
      <c r="H209" s="32" t="s">
        <v>428</v>
      </c>
      <c r="I209" s="33" t="s">
        <v>24</v>
      </c>
      <c r="J209" s="32" t="s">
        <v>25</v>
      </c>
      <c r="K209" s="34" t="str">
        <f aca="false">IF(OR(M209="",$E209=""),"",M209-$E209)</f>
        <v/>
      </c>
      <c r="L209" s="35" t="str">
        <f aca="false">IF(SUM(FA209:FN209)=0,"",SUM(EM209:EZ209)/SUM(FA209:FN209))</f>
        <v/>
      </c>
      <c r="M209" s="36" t="str">
        <f aca="false">IF(OR(L209="",FO209=""),"",IFERROR(MATCH(L209,INDEX(Boundaries!$B$2:$I$30,MATCH(FO209,Boundaries!$A$2:$A$30,0),0),1)-1,""))</f>
        <v/>
      </c>
      <c r="N209" s="37" t="str">
        <f aca="false">IF(COUNT($DY209:$EL209)&lt;2,"",INDEX($DK209:$DX209,MAX($DY209:$EL209))-INDEX($DK209:$DX209,MIN($DY209:$EL209)))</f>
        <v/>
      </c>
      <c r="O209" s="37" t="str">
        <f aca="false">IF(COUNT($DY209:$EL209)&lt;2,"",INDEX($DK209:$DX209,MAX($DY209:$EL209))-INDEX($DK209:$DX209,LARGE($DY209:$EL209,2)))</f>
        <v/>
      </c>
      <c r="P209" s="38" t="str">
        <f aca="false">IF(K209="","",IF(K209&gt;=0,"On/above target",IF(AND(N209&lt;&gt;"",N209&gt;=0.5),"Improving towards target",IF(AND(O209&lt;&gt;"",O209&lt;=-0.5),"Declining","Stable below target"))))</f>
        <v/>
      </c>
      <c r="Q209" s="39"/>
      <c r="R209" s="40" t="str">
        <f aca="false">IF(OR(Q209="",BU209=""),"",Q209/BU209*100)</f>
        <v/>
      </c>
      <c r="S209" s="41" t="str">
        <f aca="false">IF(R209="","",IFERROR(MATCH(R209,INDEX(Boundaries!$B$2:$I$30,MATCH(CI209,Boundaries!$A$2:$A$30,0),0),1)-1,""))</f>
        <v/>
      </c>
      <c r="T209" s="42" t="str">
        <f aca="false">IF(OR(S209="",$E209=""),"",S209-$E209)</f>
        <v/>
      </c>
      <c r="U209" s="39"/>
      <c r="V209" s="40" t="str">
        <f aca="false">IF(OR(U209="",BV209=""),"",U209/BV209*100)</f>
        <v/>
      </c>
      <c r="W209" s="41" t="str">
        <f aca="false">IF(V209="","",IFERROR(MATCH(V209,INDEX(Boundaries!$B$2:$I$30,MATCH(CJ209,Boundaries!$A$2:$A$30,0),0),1)-1,""))</f>
        <v/>
      </c>
      <c r="X209" s="42" t="str">
        <f aca="false">IF(OR(W209="",$E209=""),"",W209-$E209)</f>
        <v/>
      </c>
      <c r="Y209" s="39"/>
      <c r="Z209" s="40" t="str">
        <f aca="false">IF(OR(Y209="",BW209=""),"",Y209/BW209*100)</f>
        <v/>
      </c>
      <c r="AA209" s="41" t="str">
        <f aca="false">IF(Z209="","",IFERROR(MATCH(Z209,INDEX(Boundaries!$B$2:$I$30,MATCH(CK209,Boundaries!$A$2:$A$30,0),0),1)-1,""))</f>
        <v/>
      </c>
      <c r="AB209" s="42" t="str">
        <f aca="false">IF(OR(AA209="",$E209=""),"",AA209-$E209)</f>
        <v/>
      </c>
      <c r="AC209" s="39"/>
      <c r="AD209" s="40" t="str">
        <f aca="false">IF(OR(AC209="",BX209=""),"",AC209/BX209*100)</f>
        <v/>
      </c>
      <c r="AE209" s="41" t="str">
        <f aca="false">IF(AD209="","",IFERROR(MATCH(AD209,INDEX(Boundaries!$B$2:$I$30,MATCH(CL209,Boundaries!$A$2:$A$30,0),0),1)-1,""))</f>
        <v/>
      </c>
      <c r="AF209" s="42" t="str">
        <f aca="false">IF(OR(AE209="",$E209=""),"",AE209-$E209)</f>
        <v/>
      </c>
      <c r="AG209" s="39"/>
      <c r="AH209" s="40" t="str">
        <f aca="false">IF(OR(AG209="",BY209=""),"",AG209/BY209*100)</f>
        <v/>
      </c>
      <c r="AI209" s="41" t="str">
        <f aca="false">IF(AH209="","",IFERROR(MATCH(AH209,INDEX(Boundaries!$B$2:$I$30,MATCH(CM209,Boundaries!$A$2:$A$30,0),0),1)-1,""))</f>
        <v/>
      </c>
      <c r="AJ209" s="42" t="str">
        <f aca="false">IF(OR(AI209="",$E209=""),"",AI209-$E209)</f>
        <v/>
      </c>
      <c r="AK209" s="39"/>
      <c r="AL209" s="40" t="str">
        <f aca="false">IF(OR(AK209="",BZ209=""),"",AK209/BZ209*100)</f>
        <v/>
      </c>
      <c r="AM209" s="41" t="str">
        <f aca="false">IF(AL209="","",IFERROR(MATCH(AL209,INDEX(Boundaries!$B$2:$I$30,MATCH(CN209,Boundaries!$A$2:$A$30,0),0),1)-1,""))</f>
        <v/>
      </c>
      <c r="AN209" s="42" t="str">
        <f aca="false">IF(OR(AM209="",$E209=""),"",AM209-$E209)</f>
        <v/>
      </c>
      <c r="AO209" s="39"/>
      <c r="AP209" s="40" t="str">
        <f aca="false">IF(OR(AO209="",CA209=""),"",AO209/CA209*100)</f>
        <v/>
      </c>
      <c r="AQ209" s="41" t="str">
        <f aca="false">IF(AP209="","",IFERROR(MATCH(AP209,INDEX(Boundaries!$B$2:$I$30,MATCH(CO209,Boundaries!$A$2:$A$30,0),0),1)-1,""))</f>
        <v/>
      </c>
      <c r="AR209" s="42" t="str">
        <f aca="false">IF(OR(AQ209="",$E209=""),"",AQ209-$E209)</f>
        <v/>
      </c>
      <c r="AS209" s="39"/>
      <c r="AT209" s="40" t="str">
        <f aca="false">IF(OR(AS209="",CB209=""),"",AS209/CB209*100)</f>
        <v/>
      </c>
      <c r="AU209" s="41" t="str">
        <f aca="false">IF(AT209="","",IFERROR(MATCH(AT209,INDEX(Boundaries!$B$2:$I$30,MATCH(CP209,Boundaries!$A$2:$A$30,0),0),1)-1,""))</f>
        <v/>
      </c>
      <c r="AV209" s="42" t="str">
        <f aca="false">IF(OR(AU209="",$E209=""),"",AU209-$E209)</f>
        <v/>
      </c>
      <c r="AW209" s="39"/>
      <c r="AX209" s="40" t="str">
        <f aca="false">IF(OR(AW209="",CC209=""),"",AW209/CC209*100)</f>
        <v/>
      </c>
      <c r="AY209" s="41" t="str">
        <f aca="false">IF(AX209="","",IFERROR(MATCH(AX209,INDEX(Boundaries!$B$2:$I$30,MATCH(CQ209,Boundaries!$A$2:$A$30,0),0),1)-1,""))</f>
        <v/>
      </c>
      <c r="AZ209" s="42" t="str">
        <f aca="false">IF(OR(AY209="",$E209=""),"",AY209-$E209)</f>
        <v/>
      </c>
      <c r="BA209" s="39"/>
      <c r="BB209" s="40" t="str">
        <f aca="false">IF(OR(BA209="",CD209=""),"",BA209/CD209*100)</f>
        <v/>
      </c>
      <c r="BC209" s="41" t="str">
        <f aca="false">IF(BB209="","",IFERROR(MATCH(BB209,INDEX(Boundaries!$B$2:$I$30,MATCH(CR209,Boundaries!$A$2:$A$30,0),0),1)-1,""))</f>
        <v/>
      </c>
      <c r="BD209" s="42" t="str">
        <f aca="false">IF(OR(BC209="",$E209=""),"",BC209-$E209)</f>
        <v/>
      </c>
      <c r="BE209" s="39"/>
      <c r="BF209" s="40" t="str">
        <f aca="false">IF(OR(BE209="",CE209=""),"",BE209/CE209*100)</f>
        <v/>
      </c>
      <c r="BG209" s="41" t="str">
        <f aca="false">IF(BF209="","",IFERROR(MATCH(BF209,INDEX(Boundaries!$B$2:$I$30,MATCH(CS209,Boundaries!$A$2:$A$30,0),0),1)-1,""))</f>
        <v/>
      </c>
      <c r="BH209" s="42" t="str">
        <f aca="false">IF(OR(BG209="",$E209=""),"",BG209-$E209)</f>
        <v/>
      </c>
      <c r="BI209" s="39"/>
      <c r="BJ209" s="40" t="str">
        <f aca="false">IF(OR(BI209="",CF209=""),"",BI209/CF209*100)</f>
        <v/>
      </c>
      <c r="BK209" s="41" t="str">
        <f aca="false">IF(BJ209="","",IFERROR(MATCH(BJ209,INDEX(Boundaries!$B$2:$I$30,MATCH(CT209,Boundaries!$A$2:$A$30,0),0),1)-1,""))</f>
        <v/>
      </c>
      <c r="BL209" s="42" t="str">
        <f aca="false">IF(OR(BK209="",$E209=""),"",BK209-$E209)</f>
        <v/>
      </c>
      <c r="BM209" s="39"/>
      <c r="BN209" s="40" t="str">
        <f aca="false">IF(OR(BM209="",CG209=""),"",BM209/CG209*100)</f>
        <v/>
      </c>
      <c r="BO209" s="41" t="str">
        <f aca="false">IF(BN209="","",IFERROR(MATCH(BN209,INDEX(Boundaries!$B$2:$I$30,MATCH(CU209,Boundaries!$A$2:$A$30,0),0),1)-1,""))</f>
        <v/>
      </c>
      <c r="BP209" s="42" t="str">
        <f aca="false">IF(OR(BO209="",$E209=""),"",BO209-$E209)</f>
        <v/>
      </c>
      <c r="BQ209" s="39"/>
      <c r="BR209" s="40" t="str">
        <f aca="false">IF(OR(BQ209="",CH209=""),"",BQ209/CH209*100)</f>
        <v/>
      </c>
      <c r="BS209" s="41" t="str">
        <f aca="false">IF(BR209="","",IFERROR(MATCH(BR209,INDEX(Boundaries!$B$2:$I$30,MATCH(CV209,Boundaries!$A$2:$A$30,0),0),1)-1,""))</f>
        <v/>
      </c>
      <c r="BT209" s="42" t="str">
        <f aca="false">IF(OR(BS209="",$E209=""),"",BS209-$E209)</f>
        <v/>
      </c>
      <c r="BU209" s="28" t="n">
        <f aca="false">IFERROR(INDEX(Assessments!$H$2:$H$600,MATCH($H209&amp;"|"&amp;$I209&amp;"|"&amp;$J209&amp;"|"&amp;1,Assessments!$A$2:$A$600,0)),"")</f>
        <v>20</v>
      </c>
      <c r="BV209" s="28" t="n">
        <f aca="false">IFERROR(INDEX(Assessments!$H$2:$H$600,MATCH($H209&amp;"|"&amp;$I209&amp;"|"&amp;$J209&amp;"|"&amp;2,Assessments!$A$2:$A$600,0)),"")</f>
        <v>20</v>
      </c>
      <c r="BW209" s="28" t="n">
        <f aca="false">IFERROR(INDEX(Assessments!$H$2:$H$600,MATCH($H209&amp;"|"&amp;$I209&amp;"|"&amp;$J209&amp;"|"&amp;3,Assessments!$A$2:$A$600,0)),"")</f>
        <v>20</v>
      </c>
      <c r="BX209" s="28" t="n">
        <f aca="false">IFERROR(INDEX(Assessments!$H$2:$H$600,MATCH($H209&amp;"|"&amp;$I209&amp;"|"&amp;$J209&amp;"|"&amp;4,Assessments!$A$2:$A$600,0)),"")</f>
        <v>20</v>
      </c>
      <c r="BY209" s="28" t="n">
        <f aca="false">IFERROR(INDEX(Assessments!$H$2:$H$600,MATCH($H209&amp;"|"&amp;$I209&amp;"|"&amp;$J209&amp;"|"&amp;5,Assessments!$A$2:$A$600,0)),"")</f>
        <v>20</v>
      </c>
      <c r="BZ209" s="28" t="n">
        <f aca="false">IFERROR(INDEX(Assessments!$H$2:$H$600,MATCH($H209&amp;"|"&amp;$I209&amp;"|"&amp;$J209&amp;"|"&amp;6,Assessments!$A$2:$A$600,0)),"")</f>
        <v>40</v>
      </c>
      <c r="CA209" s="28" t="n">
        <f aca="false">IFERROR(INDEX(Assessments!$H$2:$H$600,MATCH($H209&amp;"|"&amp;$I209&amp;"|"&amp;$J209&amp;"|"&amp;7,Assessments!$A$2:$A$600,0)),"")</f>
        <v>50</v>
      </c>
      <c r="CB209" s="28" t="str">
        <f aca="false">IFERROR(INDEX(Assessments!$H$2:$H$600,MATCH($H209&amp;"|"&amp;$I209&amp;"|"&amp;$J209&amp;"|"&amp;8,Assessments!$A$2:$A$600,0)),"")</f>
        <v/>
      </c>
      <c r="CC209" s="28" t="str">
        <f aca="false">IFERROR(INDEX(Assessments!$H$2:$H$600,MATCH($H209&amp;"|"&amp;$I209&amp;"|"&amp;$J209&amp;"|"&amp;9,Assessments!$A$2:$A$600,0)),"")</f>
        <v/>
      </c>
      <c r="CD209" s="28" t="str">
        <f aca="false">IFERROR(INDEX(Assessments!$H$2:$H$600,MATCH($H209&amp;"|"&amp;$I209&amp;"|"&amp;$J209&amp;"|"&amp;10,Assessments!$A$2:$A$600,0)),"")</f>
        <v/>
      </c>
      <c r="CE209" s="28" t="str">
        <f aca="false">IFERROR(INDEX(Assessments!$H$2:$H$600,MATCH($H209&amp;"|"&amp;$I209&amp;"|"&amp;$J209&amp;"|"&amp;11,Assessments!$A$2:$A$600,0)),"")</f>
        <v/>
      </c>
      <c r="CF209" s="28" t="str">
        <f aca="false">IFERROR(INDEX(Assessments!$H$2:$H$600,MATCH($H209&amp;"|"&amp;$I209&amp;"|"&amp;$J209&amp;"|"&amp;12,Assessments!$A$2:$A$600,0)),"")</f>
        <v/>
      </c>
      <c r="CG209" s="28" t="str">
        <f aca="false">IFERROR(INDEX(Assessments!$H$2:$H$600,MATCH($H209&amp;"|"&amp;$I209&amp;"|"&amp;$J209&amp;"|"&amp;13,Assessments!$A$2:$A$600,0)),"")</f>
        <v/>
      </c>
      <c r="CH209" s="28" t="str">
        <f aca="false">IFERROR(INDEX(Assessments!$H$2:$H$600,MATCH($H209&amp;"|"&amp;$I209&amp;"|"&amp;$J209&amp;"|"&amp;14,Assessments!$A$2:$A$600,0)),"")</f>
        <v/>
      </c>
      <c r="CI209" s="28" t="str">
        <f aca="false">IFERROR(INDEX(Assessments!$I$2:$I$600,MATCH($H209&amp;"|"&amp;$I209&amp;"|"&amp;$J209&amp;"|"&amp;1,Assessments!$A$2:$A$600,0)),"")</f>
        <v>Geog Paper 1</v>
      </c>
      <c r="CJ209" s="28" t="str">
        <f aca="false">IFERROR(INDEX(Assessments!$I$2:$I$600,MATCH($H209&amp;"|"&amp;$I209&amp;"|"&amp;$J209&amp;"|"&amp;2,Assessments!$A$2:$A$600,0)),"")</f>
        <v>Geog Paper 1</v>
      </c>
      <c r="CK209" s="28" t="str">
        <f aca="false">IFERROR(INDEX(Assessments!$I$2:$I$600,MATCH($H209&amp;"|"&amp;$I209&amp;"|"&amp;$J209&amp;"|"&amp;3,Assessments!$A$2:$A$600,0)),"")</f>
        <v>Geog Paper 2</v>
      </c>
      <c r="CL209" s="28" t="str">
        <f aca="false">IFERROR(INDEX(Assessments!$I$2:$I$600,MATCH($H209&amp;"|"&amp;$I209&amp;"|"&amp;$J209&amp;"|"&amp;4,Assessments!$A$2:$A$600,0)),"")</f>
        <v>Geog Paper 1</v>
      </c>
      <c r="CM209" s="28" t="str">
        <f aca="false">IFERROR(INDEX(Assessments!$I$2:$I$600,MATCH($H209&amp;"|"&amp;$I209&amp;"|"&amp;$J209&amp;"|"&amp;5,Assessments!$A$2:$A$600,0)),"")</f>
        <v>Geog Paper 1</v>
      </c>
      <c r="CN209" s="28" t="str">
        <f aca="false">IFERROR(INDEX(Assessments!$I$2:$I$600,MATCH($H209&amp;"|"&amp;$I209&amp;"|"&amp;$J209&amp;"|"&amp;6,Assessments!$A$2:$A$600,0)),"")</f>
        <v>Geog Paper 1</v>
      </c>
      <c r="CO209" s="28" t="str">
        <f aca="false">IFERROR(INDEX(Assessments!$I$2:$I$600,MATCH($H209&amp;"|"&amp;$I209&amp;"|"&amp;$J209&amp;"|"&amp;7,Assessments!$A$2:$A$600,0)),"")</f>
        <v>Geog Paper 2</v>
      </c>
      <c r="CP209" s="28" t="str">
        <f aca="false">IFERROR(INDEX(Assessments!$I$2:$I$600,MATCH($H209&amp;"|"&amp;$I209&amp;"|"&amp;$J209&amp;"|"&amp;8,Assessments!$A$2:$A$600,0)),"")</f>
        <v/>
      </c>
      <c r="CQ209" s="28" t="str">
        <f aca="false">IFERROR(INDEX(Assessments!$I$2:$I$600,MATCH($H209&amp;"|"&amp;$I209&amp;"|"&amp;$J209&amp;"|"&amp;9,Assessments!$A$2:$A$600,0)),"")</f>
        <v/>
      </c>
      <c r="CR209" s="28" t="str">
        <f aca="false">IFERROR(INDEX(Assessments!$I$2:$I$600,MATCH($H209&amp;"|"&amp;$I209&amp;"|"&amp;$J209&amp;"|"&amp;10,Assessments!$A$2:$A$600,0)),"")</f>
        <v/>
      </c>
      <c r="CS209" s="28" t="str">
        <f aca="false">IFERROR(INDEX(Assessments!$I$2:$I$600,MATCH($H209&amp;"|"&amp;$I209&amp;"|"&amp;$J209&amp;"|"&amp;11,Assessments!$A$2:$A$600,0)),"")</f>
        <v/>
      </c>
      <c r="CT209" s="28" t="str">
        <f aca="false">IFERROR(INDEX(Assessments!$I$2:$I$600,MATCH($H209&amp;"|"&amp;$I209&amp;"|"&amp;$J209&amp;"|"&amp;12,Assessments!$A$2:$A$600,0)),"")</f>
        <v/>
      </c>
      <c r="CU209" s="28" t="str">
        <f aca="false">IFERROR(INDEX(Assessments!$I$2:$I$600,MATCH($H209&amp;"|"&amp;$I209&amp;"|"&amp;$J209&amp;"|"&amp;13,Assessments!$A$2:$A$600,0)),"")</f>
        <v/>
      </c>
      <c r="CV209" s="28" t="str">
        <f aca="false">IFERROR(INDEX(Assessments!$I$2:$I$600,MATCH($H209&amp;"|"&amp;$I209&amp;"|"&amp;$J209&amp;"|"&amp;14,Assessments!$A$2:$A$600,0)),"")</f>
        <v/>
      </c>
      <c r="CW209" s="28" t="n">
        <f aca="false">IFERROR(INDEX(Assessments!$J$2:$J$600,MATCH($H209&amp;"|"&amp;$I209&amp;"|"&amp;$J209&amp;"|"&amp;1,Assessments!$A$2:$A$600,0)),0)</f>
        <v>1</v>
      </c>
      <c r="CX209" s="28" t="n">
        <f aca="false">IFERROR(INDEX(Assessments!$J$2:$J$600,MATCH($H209&amp;"|"&amp;$I209&amp;"|"&amp;$J209&amp;"|"&amp;2,Assessments!$A$2:$A$600,0)),0)</f>
        <v>1</v>
      </c>
      <c r="CY209" s="28" t="n">
        <f aca="false">IFERROR(INDEX(Assessments!$J$2:$J$600,MATCH($H209&amp;"|"&amp;$I209&amp;"|"&amp;$J209&amp;"|"&amp;3,Assessments!$A$2:$A$600,0)),0)</f>
        <v>1</v>
      </c>
      <c r="CZ209" s="28" t="n">
        <f aca="false">IFERROR(INDEX(Assessments!$J$2:$J$600,MATCH($H209&amp;"|"&amp;$I209&amp;"|"&amp;$J209&amp;"|"&amp;4,Assessments!$A$2:$A$600,0)),0)</f>
        <v>1</v>
      </c>
      <c r="DA209" s="28" t="n">
        <f aca="false">IFERROR(INDEX(Assessments!$J$2:$J$600,MATCH($H209&amp;"|"&amp;$I209&amp;"|"&amp;$J209&amp;"|"&amp;5,Assessments!$A$2:$A$600,0)),0)</f>
        <v>1</v>
      </c>
      <c r="DB209" s="28" t="n">
        <f aca="false">IFERROR(INDEX(Assessments!$J$2:$J$600,MATCH($H209&amp;"|"&amp;$I209&amp;"|"&amp;$J209&amp;"|"&amp;6,Assessments!$A$2:$A$600,0)),0)</f>
        <v>2</v>
      </c>
      <c r="DC209" s="28" t="n">
        <f aca="false">IFERROR(INDEX(Assessments!$J$2:$J$600,MATCH($H209&amp;"|"&amp;$I209&amp;"|"&amp;$J209&amp;"|"&amp;7,Assessments!$A$2:$A$600,0)),0)</f>
        <v>2</v>
      </c>
      <c r="DD209" s="28" t="n">
        <f aca="false">IFERROR(INDEX(Assessments!$J$2:$J$600,MATCH($H209&amp;"|"&amp;$I209&amp;"|"&amp;$J209&amp;"|"&amp;8,Assessments!$A$2:$A$600,0)),0)</f>
        <v>0</v>
      </c>
      <c r="DE209" s="28" t="n">
        <f aca="false">IFERROR(INDEX(Assessments!$J$2:$J$600,MATCH($H209&amp;"|"&amp;$I209&amp;"|"&amp;$J209&amp;"|"&amp;9,Assessments!$A$2:$A$600,0)),0)</f>
        <v>0</v>
      </c>
      <c r="DF209" s="28" t="n">
        <f aca="false">IFERROR(INDEX(Assessments!$J$2:$J$600,MATCH($H209&amp;"|"&amp;$I209&amp;"|"&amp;$J209&amp;"|"&amp;10,Assessments!$A$2:$A$600,0)),0)</f>
        <v>0</v>
      </c>
      <c r="DG209" s="28" t="n">
        <f aca="false">IFERROR(INDEX(Assessments!$J$2:$J$600,MATCH($H209&amp;"|"&amp;$I209&amp;"|"&amp;$J209&amp;"|"&amp;11,Assessments!$A$2:$A$600,0)),0)</f>
        <v>0</v>
      </c>
      <c r="DH209" s="28" t="n">
        <f aca="false">IFERROR(INDEX(Assessments!$J$2:$J$600,MATCH($H209&amp;"|"&amp;$I209&amp;"|"&amp;$J209&amp;"|"&amp;12,Assessments!$A$2:$A$600,0)),0)</f>
        <v>0</v>
      </c>
      <c r="DI209" s="28" t="n">
        <f aca="false">IFERROR(INDEX(Assessments!$J$2:$J$600,MATCH($H209&amp;"|"&amp;$I209&amp;"|"&amp;$J209&amp;"|"&amp;13,Assessments!$A$2:$A$600,0)),0)</f>
        <v>0</v>
      </c>
      <c r="DJ209" s="28" t="n">
        <f aca="false">IFERROR(INDEX(Assessments!$J$2:$J$600,MATCH($H209&amp;"|"&amp;$I209&amp;"|"&amp;$J209&amp;"|"&amp;14,Assessments!$A$2:$A$600,0)),0)</f>
        <v>0</v>
      </c>
      <c r="DK209" s="28" t="str">
        <f aca="false">S209</f>
        <v/>
      </c>
      <c r="DL209" s="28" t="str">
        <f aca="false">W209</f>
        <v/>
      </c>
      <c r="DM209" s="28" t="str">
        <f aca="false">AA209</f>
        <v/>
      </c>
      <c r="DN209" s="28" t="str">
        <f aca="false">AE209</f>
        <v/>
      </c>
      <c r="DO209" s="28" t="str">
        <f aca="false">AI209</f>
        <v/>
      </c>
      <c r="DP209" s="28" t="str">
        <f aca="false">AM209</f>
        <v/>
      </c>
      <c r="DQ209" s="28" t="str">
        <f aca="false">AQ209</f>
        <v/>
      </c>
      <c r="DR209" s="28" t="str">
        <f aca="false">AU209</f>
        <v/>
      </c>
      <c r="DS209" s="28" t="str">
        <f aca="false">AY209</f>
        <v/>
      </c>
      <c r="DT209" s="28" t="str">
        <f aca="false">BC209</f>
        <v/>
      </c>
      <c r="DU209" s="28" t="str">
        <f aca="false">BG209</f>
        <v/>
      </c>
      <c r="DV209" s="28" t="str">
        <f aca="false">BK209</f>
        <v/>
      </c>
      <c r="DW209" s="28" t="str">
        <f aca="false">BO209</f>
        <v/>
      </c>
      <c r="DX209" s="28" t="str">
        <f aca="false">BS209</f>
        <v/>
      </c>
      <c r="DY209" s="28" t="str">
        <f aca="false">IF(ISNUMBER(S209),1,"")</f>
        <v/>
      </c>
      <c r="DZ209" s="28" t="str">
        <f aca="false">IF(ISNUMBER(W209),2,"")</f>
        <v/>
      </c>
      <c r="EA209" s="28" t="str">
        <f aca="false">IF(ISNUMBER(AA209),3,"")</f>
        <v/>
      </c>
      <c r="EB209" s="28" t="str">
        <f aca="false">IF(ISNUMBER(AE209),4,"")</f>
        <v/>
      </c>
      <c r="EC209" s="28" t="str">
        <f aca="false">IF(ISNUMBER(AI209),5,"")</f>
        <v/>
      </c>
      <c r="ED209" s="28" t="str">
        <f aca="false">IF(ISNUMBER(AM209),6,"")</f>
        <v/>
      </c>
      <c r="EE209" s="28" t="str">
        <f aca="false">IF(ISNUMBER(AQ209),7,"")</f>
        <v/>
      </c>
      <c r="EF209" s="28" t="str">
        <f aca="false">IF(ISNUMBER(AU209),8,"")</f>
        <v/>
      </c>
      <c r="EG209" s="28" t="str">
        <f aca="false">IF(ISNUMBER(AY209),9,"")</f>
        <v/>
      </c>
      <c r="EH209" s="28" t="str">
        <f aca="false">IF(ISNUMBER(BC209),10,"")</f>
        <v/>
      </c>
      <c r="EI209" s="28" t="str">
        <f aca="false">IF(ISNUMBER(BG209),11,"")</f>
        <v/>
      </c>
      <c r="EJ209" s="28" t="str">
        <f aca="false">IF(ISNUMBER(BK209),12,"")</f>
        <v/>
      </c>
      <c r="EK209" s="28" t="str">
        <f aca="false">IF(ISNUMBER(BO209),13,"")</f>
        <v/>
      </c>
      <c r="EL209" s="28" t="str">
        <f aca="false">IF(ISNUMBER(BS209),14,"")</f>
        <v/>
      </c>
      <c r="EM209" s="28" t="n">
        <f aca="false">IF(ISNUMBER(R209),R209*CW209,0)</f>
        <v>0</v>
      </c>
      <c r="EN209" s="28" t="n">
        <f aca="false">IF(ISNUMBER(V209),V209*CX209,0)</f>
        <v>0</v>
      </c>
      <c r="EO209" s="28" t="n">
        <f aca="false">IF(ISNUMBER(Z209),Z209*CY209,0)</f>
        <v>0</v>
      </c>
      <c r="EP209" s="28" t="n">
        <f aca="false">IF(ISNUMBER(AD209),AD209*CZ209,0)</f>
        <v>0</v>
      </c>
      <c r="EQ209" s="28" t="n">
        <f aca="false">IF(ISNUMBER(AH209),AH209*DA209,0)</f>
        <v>0</v>
      </c>
      <c r="ER209" s="28" t="n">
        <f aca="false">IF(ISNUMBER(AL209),AL209*DB209,0)</f>
        <v>0</v>
      </c>
      <c r="ES209" s="28" t="n">
        <f aca="false">IF(ISNUMBER(AP209),AP209*DC209,0)</f>
        <v>0</v>
      </c>
      <c r="ET209" s="28" t="n">
        <f aca="false">IF(ISNUMBER(AT209),AT209*DD209,0)</f>
        <v>0</v>
      </c>
      <c r="EU209" s="28" t="n">
        <f aca="false">IF(ISNUMBER(AX209),AX209*DE209,0)</f>
        <v>0</v>
      </c>
      <c r="EV209" s="28" t="n">
        <f aca="false">IF(ISNUMBER(BB209),BB209*DF209,0)</f>
        <v>0</v>
      </c>
      <c r="EW209" s="28" t="n">
        <f aca="false">IF(ISNUMBER(BF209),BF209*DG209,0)</f>
        <v>0</v>
      </c>
      <c r="EX209" s="28" t="n">
        <f aca="false">IF(ISNUMBER(BJ209),BJ209*DH209,0)</f>
        <v>0</v>
      </c>
      <c r="EY209" s="28" t="n">
        <f aca="false">IF(ISNUMBER(BN209),BN209*DI209,0)</f>
        <v>0</v>
      </c>
      <c r="EZ209" s="28" t="n">
        <f aca="false">IF(ISNUMBER(BR209),BR209*DJ209,0)</f>
        <v>0</v>
      </c>
      <c r="FA209" s="28" t="n">
        <f aca="false">IF(ISNUMBER(R209),CW209,0)</f>
        <v>0</v>
      </c>
      <c r="FB209" s="28" t="n">
        <f aca="false">IF(ISNUMBER(V209),CX209,0)</f>
        <v>0</v>
      </c>
      <c r="FC209" s="28" t="n">
        <f aca="false">IF(ISNUMBER(Z209),CY209,0)</f>
        <v>0</v>
      </c>
      <c r="FD209" s="28" t="n">
        <f aca="false">IF(ISNUMBER(AD209),CZ209,0)</f>
        <v>0</v>
      </c>
      <c r="FE209" s="28" t="n">
        <f aca="false">IF(ISNUMBER(AH209),DA209,0)</f>
        <v>0</v>
      </c>
      <c r="FF209" s="28" t="n">
        <f aca="false">IF(ISNUMBER(AL209),DB209,0)</f>
        <v>0</v>
      </c>
      <c r="FG209" s="28" t="n">
        <f aca="false">IF(ISNUMBER(AP209),DC209,0)</f>
        <v>0</v>
      </c>
      <c r="FH209" s="28" t="n">
        <f aca="false">IF(ISNUMBER(AT209),DD209,0)</f>
        <v>0</v>
      </c>
      <c r="FI209" s="28" t="n">
        <f aca="false">IF(ISNUMBER(AX209),DE209,0)</f>
        <v>0</v>
      </c>
      <c r="FJ209" s="28" t="n">
        <f aca="false">IF(ISNUMBER(BB209),DF209,0)</f>
        <v>0</v>
      </c>
      <c r="FK209" s="28" t="n">
        <f aca="false">IF(ISNUMBER(BF209),DG209,0)</f>
        <v>0</v>
      </c>
      <c r="FL209" s="28" t="n">
        <f aca="false">IF(ISNUMBER(BJ209),DH209,0)</f>
        <v>0</v>
      </c>
      <c r="FM209" s="28" t="n">
        <f aca="false">IF(ISNUMBER(BN209),DI209,0)</f>
        <v>0</v>
      </c>
      <c r="FN209" s="28" t="n">
        <f aca="false">IF(ISNUMBER(BR209),DJ209,0)</f>
        <v>0</v>
      </c>
      <c r="FO209" s="28" t="str">
        <f aca="false">IFERROR(INDEX(Lists!$G$2:$G$20,MATCH($I209&amp;"|"&amp;$J209,Lists!$F$2:$F$20,0)),"")</f>
        <v>Geog Overall HL</v>
      </c>
    </row>
    <row r="210" customFormat="false" ht="19.5" hidden="false" customHeight="true" outlineLevel="0" collapsed="false">
      <c r="A210" s="29" t="s">
        <v>340</v>
      </c>
      <c r="B210" s="29" t="s">
        <v>452</v>
      </c>
      <c r="C210" s="30" t="s">
        <v>192</v>
      </c>
      <c r="D210" s="30" t="s">
        <v>177</v>
      </c>
      <c r="E210" s="31"/>
      <c r="F210" s="30" t="n">
        <v>6</v>
      </c>
      <c r="G210" s="30"/>
      <c r="H210" s="32" t="s">
        <v>428</v>
      </c>
      <c r="I210" s="33" t="s">
        <v>24</v>
      </c>
      <c r="J210" s="32" t="s">
        <v>25</v>
      </c>
      <c r="K210" s="34" t="str">
        <f aca="false">IF(OR(M210="",$E210=""),"",M210-$E210)</f>
        <v/>
      </c>
      <c r="L210" s="35" t="n">
        <f aca="false">IF(SUM(FA210:FN210)=0,"",SUM(EM210:EZ210)/SUM(FA210:FN210))</f>
        <v>45</v>
      </c>
      <c r="M210" s="36" t="n">
        <f aca="false">IF(OR(L210="",FO210=""),"",IFERROR(MATCH(L210,INDEX(Boundaries!$B$2:$I$30,MATCH(FO210,Boundaries!$A$2:$A$30,0),0),1)-1,""))</f>
        <v>4</v>
      </c>
      <c r="N210" s="37" t="str">
        <f aca="false">IF(COUNT($DY210:$EL210)&lt;2,"",INDEX($DK210:$DX210,MAX($DY210:$EL210))-INDEX($DK210:$DX210,MIN($DY210:$EL210)))</f>
        <v/>
      </c>
      <c r="O210" s="37" t="str">
        <f aca="false">IF(COUNT($DY210:$EL210)&lt;2,"",INDEX($DK210:$DX210,MAX($DY210:$EL210))-INDEX($DK210:$DX210,LARGE($DY210:$EL210,2)))</f>
        <v/>
      </c>
      <c r="P210" s="38" t="str">
        <f aca="false">IF(K210="","",IF(K210&gt;=0,"On/above target",IF(AND(N210&lt;&gt;"",N210&gt;=0.5),"Improving towards target",IF(AND(O210&lt;&gt;"",O210&lt;=-0.5),"Declining","Stable below target"))))</f>
        <v/>
      </c>
      <c r="Q210" s="39" t="n">
        <v>9</v>
      </c>
      <c r="R210" s="40" t="n">
        <f aca="false">IF(OR(Q210="",BU210=""),"",Q210/BU210*100)</f>
        <v>45</v>
      </c>
      <c r="S210" s="41" t="n">
        <f aca="false">IF(R210="","",IFERROR(MATCH(R210,INDEX(Boundaries!$B$2:$I$30,MATCH(CI210,Boundaries!$A$2:$A$30,0),0),1)-1,""))</f>
        <v>4</v>
      </c>
      <c r="T210" s="42" t="str">
        <f aca="false">IF(OR(S210="",$E210=""),"",S210-$E210)</f>
        <v/>
      </c>
      <c r="U210" s="39"/>
      <c r="V210" s="40" t="str">
        <f aca="false">IF(OR(U210="",BV210=""),"",U210/BV210*100)</f>
        <v/>
      </c>
      <c r="W210" s="41" t="str">
        <f aca="false">IF(V210="","",IFERROR(MATCH(V210,INDEX(Boundaries!$B$2:$I$30,MATCH(CJ210,Boundaries!$A$2:$A$30,0),0),1)-1,""))</f>
        <v/>
      </c>
      <c r="X210" s="42" t="str">
        <f aca="false">IF(OR(W210="",$E210=""),"",W210-$E210)</f>
        <v/>
      </c>
      <c r="Y210" s="39"/>
      <c r="Z210" s="40" t="str">
        <f aca="false">IF(OR(Y210="",BW210=""),"",Y210/BW210*100)</f>
        <v/>
      </c>
      <c r="AA210" s="41" t="str">
        <f aca="false">IF(Z210="","",IFERROR(MATCH(Z210,INDEX(Boundaries!$B$2:$I$30,MATCH(CK210,Boundaries!$A$2:$A$30,0),0),1)-1,""))</f>
        <v/>
      </c>
      <c r="AB210" s="42" t="str">
        <f aca="false">IF(OR(AA210="",$E210=""),"",AA210-$E210)</f>
        <v/>
      </c>
      <c r="AC210" s="39"/>
      <c r="AD210" s="40" t="str">
        <f aca="false">IF(OR(AC210="",BX210=""),"",AC210/BX210*100)</f>
        <v/>
      </c>
      <c r="AE210" s="41" t="str">
        <f aca="false">IF(AD210="","",IFERROR(MATCH(AD210,INDEX(Boundaries!$B$2:$I$30,MATCH(CL210,Boundaries!$A$2:$A$30,0),0),1)-1,""))</f>
        <v/>
      </c>
      <c r="AF210" s="42" t="str">
        <f aca="false">IF(OR(AE210="",$E210=""),"",AE210-$E210)</f>
        <v/>
      </c>
      <c r="AG210" s="39"/>
      <c r="AH210" s="40" t="str">
        <f aca="false">IF(OR(AG210="",BY210=""),"",AG210/BY210*100)</f>
        <v/>
      </c>
      <c r="AI210" s="41" t="str">
        <f aca="false">IF(AH210="","",IFERROR(MATCH(AH210,INDEX(Boundaries!$B$2:$I$30,MATCH(CM210,Boundaries!$A$2:$A$30,0),0),1)-1,""))</f>
        <v/>
      </c>
      <c r="AJ210" s="42" t="str">
        <f aca="false">IF(OR(AI210="",$E210=""),"",AI210-$E210)</f>
        <v/>
      </c>
      <c r="AK210" s="39"/>
      <c r="AL210" s="40" t="str">
        <f aca="false">IF(OR(AK210="",BZ210=""),"",AK210/BZ210*100)</f>
        <v/>
      </c>
      <c r="AM210" s="41" t="str">
        <f aca="false">IF(AL210="","",IFERROR(MATCH(AL210,INDEX(Boundaries!$B$2:$I$30,MATCH(CN210,Boundaries!$A$2:$A$30,0),0),1)-1,""))</f>
        <v/>
      </c>
      <c r="AN210" s="42" t="str">
        <f aca="false">IF(OR(AM210="",$E210=""),"",AM210-$E210)</f>
        <v/>
      </c>
      <c r="AO210" s="39"/>
      <c r="AP210" s="40" t="str">
        <f aca="false">IF(OR(AO210="",CA210=""),"",AO210/CA210*100)</f>
        <v/>
      </c>
      <c r="AQ210" s="41" t="str">
        <f aca="false">IF(AP210="","",IFERROR(MATCH(AP210,INDEX(Boundaries!$B$2:$I$30,MATCH(CO210,Boundaries!$A$2:$A$30,0),0),1)-1,""))</f>
        <v/>
      </c>
      <c r="AR210" s="42" t="str">
        <f aca="false">IF(OR(AQ210="",$E210=""),"",AQ210-$E210)</f>
        <v/>
      </c>
      <c r="AS210" s="39"/>
      <c r="AT210" s="40" t="str">
        <f aca="false">IF(OR(AS210="",CB210=""),"",AS210/CB210*100)</f>
        <v/>
      </c>
      <c r="AU210" s="41" t="str">
        <f aca="false">IF(AT210="","",IFERROR(MATCH(AT210,INDEX(Boundaries!$B$2:$I$30,MATCH(CP210,Boundaries!$A$2:$A$30,0),0),1)-1,""))</f>
        <v/>
      </c>
      <c r="AV210" s="42" t="str">
        <f aca="false">IF(OR(AU210="",$E210=""),"",AU210-$E210)</f>
        <v/>
      </c>
      <c r="AW210" s="39"/>
      <c r="AX210" s="40" t="str">
        <f aca="false">IF(OR(AW210="",CC210=""),"",AW210/CC210*100)</f>
        <v/>
      </c>
      <c r="AY210" s="41" t="str">
        <f aca="false">IF(AX210="","",IFERROR(MATCH(AX210,INDEX(Boundaries!$B$2:$I$30,MATCH(CQ210,Boundaries!$A$2:$A$30,0),0),1)-1,""))</f>
        <v/>
      </c>
      <c r="AZ210" s="42" t="str">
        <f aca="false">IF(OR(AY210="",$E210=""),"",AY210-$E210)</f>
        <v/>
      </c>
      <c r="BA210" s="39"/>
      <c r="BB210" s="40" t="str">
        <f aca="false">IF(OR(BA210="",CD210=""),"",BA210/CD210*100)</f>
        <v/>
      </c>
      <c r="BC210" s="41" t="str">
        <f aca="false">IF(BB210="","",IFERROR(MATCH(BB210,INDEX(Boundaries!$B$2:$I$30,MATCH(CR210,Boundaries!$A$2:$A$30,0),0),1)-1,""))</f>
        <v/>
      </c>
      <c r="BD210" s="42" t="str">
        <f aca="false">IF(OR(BC210="",$E210=""),"",BC210-$E210)</f>
        <v/>
      </c>
      <c r="BE210" s="39"/>
      <c r="BF210" s="40" t="str">
        <f aca="false">IF(OR(BE210="",CE210=""),"",BE210/CE210*100)</f>
        <v/>
      </c>
      <c r="BG210" s="41" t="str">
        <f aca="false">IF(BF210="","",IFERROR(MATCH(BF210,INDEX(Boundaries!$B$2:$I$30,MATCH(CS210,Boundaries!$A$2:$A$30,0),0),1)-1,""))</f>
        <v/>
      </c>
      <c r="BH210" s="42" t="str">
        <f aca="false">IF(OR(BG210="",$E210=""),"",BG210-$E210)</f>
        <v/>
      </c>
      <c r="BI210" s="39"/>
      <c r="BJ210" s="40" t="str">
        <f aca="false">IF(OR(BI210="",CF210=""),"",BI210/CF210*100)</f>
        <v/>
      </c>
      <c r="BK210" s="41" t="str">
        <f aca="false">IF(BJ210="","",IFERROR(MATCH(BJ210,INDEX(Boundaries!$B$2:$I$30,MATCH(CT210,Boundaries!$A$2:$A$30,0),0),1)-1,""))</f>
        <v/>
      </c>
      <c r="BL210" s="42" t="str">
        <f aca="false">IF(OR(BK210="",$E210=""),"",BK210-$E210)</f>
        <v/>
      </c>
      <c r="BM210" s="39"/>
      <c r="BN210" s="40" t="str">
        <f aca="false">IF(OR(BM210="",CG210=""),"",BM210/CG210*100)</f>
        <v/>
      </c>
      <c r="BO210" s="41" t="str">
        <f aca="false">IF(BN210="","",IFERROR(MATCH(BN210,INDEX(Boundaries!$B$2:$I$30,MATCH(CU210,Boundaries!$A$2:$A$30,0),0),1)-1,""))</f>
        <v/>
      </c>
      <c r="BP210" s="42" t="str">
        <f aca="false">IF(OR(BO210="",$E210=""),"",BO210-$E210)</f>
        <v/>
      </c>
      <c r="BQ210" s="39"/>
      <c r="BR210" s="40" t="str">
        <f aca="false">IF(OR(BQ210="",CH210=""),"",BQ210/CH210*100)</f>
        <v/>
      </c>
      <c r="BS210" s="41" t="str">
        <f aca="false">IF(BR210="","",IFERROR(MATCH(BR210,INDEX(Boundaries!$B$2:$I$30,MATCH(CV210,Boundaries!$A$2:$A$30,0),0),1)-1,""))</f>
        <v/>
      </c>
      <c r="BT210" s="42" t="str">
        <f aca="false">IF(OR(BS210="",$E210=""),"",BS210-$E210)</f>
        <v/>
      </c>
      <c r="BU210" s="28" t="n">
        <f aca="false">IFERROR(INDEX(Assessments!$H$2:$H$600,MATCH($H210&amp;"|"&amp;$I210&amp;"|"&amp;$J210&amp;"|"&amp;1,Assessments!$A$2:$A$600,0)),"")</f>
        <v>20</v>
      </c>
      <c r="BV210" s="28" t="n">
        <f aca="false">IFERROR(INDEX(Assessments!$H$2:$H$600,MATCH($H210&amp;"|"&amp;$I210&amp;"|"&amp;$J210&amp;"|"&amp;2,Assessments!$A$2:$A$600,0)),"")</f>
        <v>20</v>
      </c>
      <c r="BW210" s="28" t="n">
        <f aca="false">IFERROR(INDEX(Assessments!$H$2:$H$600,MATCH($H210&amp;"|"&amp;$I210&amp;"|"&amp;$J210&amp;"|"&amp;3,Assessments!$A$2:$A$600,0)),"")</f>
        <v>20</v>
      </c>
      <c r="BX210" s="28" t="n">
        <f aca="false">IFERROR(INDEX(Assessments!$H$2:$H$600,MATCH($H210&amp;"|"&amp;$I210&amp;"|"&amp;$J210&amp;"|"&amp;4,Assessments!$A$2:$A$600,0)),"")</f>
        <v>20</v>
      </c>
      <c r="BY210" s="28" t="n">
        <f aca="false">IFERROR(INDEX(Assessments!$H$2:$H$600,MATCH($H210&amp;"|"&amp;$I210&amp;"|"&amp;$J210&amp;"|"&amp;5,Assessments!$A$2:$A$600,0)),"")</f>
        <v>20</v>
      </c>
      <c r="BZ210" s="28" t="n">
        <f aca="false">IFERROR(INDEX(Assessments!$H$2:$H$600,MATCH($H210&amp;"|"&amp;$I210&amp;"|"&amp;$J210&amp;"|"&amp;6,Assessments!$A$2:$A$600,0)),"")</f>
        <v>40</v>
      </c>
      <c r="CA210" s="28" t="n">
        <f aca="false">IFERROR(INDEX(Assessments!$H$2:$H$600,MATCH($H210&amp;"|"&amp;$I210&amp;"|"&amp;$J210&amp;"|"&amp;7,Assessments!$A$2:$A$600,0)),"")</f>
        <v>50</v>
      </c>
      <c r="CB210" s="28" t="str">
        <f aca="false">IFERROR(INDEX(Assessments!$H$2:$H$600,MATCH($H210&amp;"|"&amp;$I210&amp;"|"&amp;$J210&amp;"|"&amp;8,Assessments!$A$2:$A$600,0)),"")</f>
        <v/>
      </c>
      <c r="CC210" s="28" t="str">
        <f aca="false">IFERROR(INDEX(Assessments!$H$2:$H$600,MATCH($H210&amp;"|"&amp;$I210&amp;"|"&amp;$J210&amp;"|"&amp;9,Assessments!$A$2:$A$600,0)),"")</f>
        <v/>
      </c>
      <c r="CD210" s="28" t="str">
        <f aca="false">IFERROR(INDEX(Assessments!$H$2:$H$600,MATCH($H210&amp;"|"&amp;$I210&amp;"|"&amp;$J210&amp;"|"&amp;10,Assessments!$A$2:$A$600,0)),"")</f>
        <v/>
      </c>
      <c r="CE210" s="28" t="str">
        <f aca="false">IFERROR(INDEX(Assessments!$H$2:$H$600,MATCH($H210&amp;"|"&amp;$I210&amp;"|"&amp;$J210&amp;"|"&amp;11,Assessments!$A$2:$A$600,0)),"")</f>
        <v/>
      </c>
      <c r="CF210" s="28" t="str">
        <f aca="false">IFERROR(INDEX(Assessments!$H$2:$H$600,MATCH($H210&amp;"|"&amp;$I210&amp;"|"&amp;$J210&amp;"|"&amp;12,Assessments!$A$2:$A$600,0)),"")</f>
        <v/>
      </c>
      <c r="CG210" s="28" t="str">
        <f aca="false">IFERROR(INDEX(Assessments!$H$2:$H$600,MATCH($H210&amp;"|"&amp;$I210&amp;"|"&amp;$J210&amp;"|"&amp;13,Assessments!$A$2:$A$600,0)),"")</f>
        <v/>
      </c>
      <c r="CH210" s="28" t="str">
        <f aca="false">IFERROR(INDEX(Assessments!$H$2:$H$600,MATCH($H210&amp;"|"&amp;$I210&amp;"|"&amp;$J210&amp;"|"&amp;14,Assessments!$A$2:$A$600,0)),"")</f>
        <v/>
      </c>
      <c r="CI210" s="28" t="str">
        <f aca="false">IFERROR(INDEX(Assessments!$I$2:$I$600,MATCH($H210&amp;"|"&amp;$I210&amp;"|"&amp;$J210&amp;"|"&amp;1,Assessments!$A$2:$A$600,0)),"")</f>
        <v>Geog Paper 1</v>
      </c>
      <c r="CJ210" s="28" t="str">
        <f aca="false">IFERROR(INDEX(Assessments!$I$2:$I$600,MATCH($H210&amp;"|"&amp;$I210&amp;"|"&amp;$J210&amp;"|"&amp;2,Assessments!$A$2:$A$600,0)),"")</f>
        <v>Geog Paper 1</v>
      </c>
      <c r="CK210" s="28" t="str">
        <f aca="false">IFERROR(INDEX(Assessments!$I$2:$I$600,MATCH($H210&amp;"|"&amp;$I210&amp;"|"&amp;$J210&amp;"|"&amp;3,Assessments!$A$2:$A$600,0)),"")</f>
        <v>Geog Paper 2</v>
      </c>
      <c r="CL210" s="28" t="str">
        <f aca="false">IFERROR(INDEX(Assessments!$I$2:$I$600,MATCH($H210&amp;"|"&amp;$I210&amp;"|"&amp;$J210&amp;"|"&amp;4,Assessments!$A$2:$A$600,0)),"")</f>
        <v>Geog Paper 1</v>
      </c>
      <c r="CM210" s="28" t="str">
        <f aca="false">IFERROR(INDEX(Assessments!$I$2:$I$600,MATCH($H210&amp;"|"&amp;$I210&amp;"|"&amp;$J210&amp;"|"&amp;5,Assessments!$A$2:$A$600,0)),"")</f>
        <v>Geog Paper 1</v>
      </c>
      <c r="CN210" s="28" t="str">
        <f aca="false">IFERROR(INDEX(Assessments!$I$2:$I$600,MATCH($H210&amp;"|"&amp;$I210&amp;"|"&amp;$J210&amp;"|"&amp;6,Assessments!$A$2:$A$600,0)),"")</f>
        <v>Geog Paper 1</v>
      </c>
      <c r="CO210" s="28" t="str">
        <f aca="false">IFERROR(INDEX(Assessments!$I$2:$I$600,MATCH($H210&amp;"|"&amp;$I210&amp;"|"&amp;$J210&amp;"|"&amp;7,Assessments!$A$2:$A$600,0)),"")</f>
        <v>Geog Paper 2</v>
      </c>
      <c r="CP210" s="28" t="str">
        <f aca="false">IFERROR(INDEX(Assessments!$I$2:$I$600,MATCH($H210&amp;"|"&amp;$I210&amp;"|"&amp;$J210&amp;"|"&amp;8,Assessments!$A$2:$A$600,0)),"")</f>
        <v/>
      </c>
      <c r="CQ210" s="28" t="str">
        <f aca="false">IFERROR(INDEX(Assessments!$I$2:$I$600,MATCH($H210&amp;"|"&amp;$I210&amp;"|"&amp;$J210&amp;"|"&amp;9,Assessments!$A$2:$A$600,0)),"")</f>
        <v/>
      </c>
      <c r="CR210" s="28" t="str">
        <f aca="false">IFERROR(INDEX(Assessments!$I$2:$I$600,MATCH($H210&amp;"|"&amp;$I210&amp;"|"&amp;$J210&amp;"|"&amp;10,Assessments!$A$2:$A$600,0)),"")</f>
        <v/>
      </c>
      <c r="CS210" s="28" t="str">
        <f aca="false">IFERROR(INDEX(Assessments!$I$2:$I$600,MATCH($H210&amp;"|"&amp;$I210&amp;"|"&amp;$J210&amp;"|"&amp;11,Assessments!$A$2:$A$600,0)),"")</f>
        <v/>
      </c>
      <c r="CT210" s="28" t="str">
        <f aca="false">IFERROR(INDEX(Assessments!$I$2:$I$600,MATCH($H210&amp;"|"&amp;$I210&amp;"|"&amp;$J210&amp;"|"&amp;12,Assessments!$A$2:$A$600,0)),"")</f>
        <v/>
      </c>
      <c r="CU210" s="28" t="str">
        <f aca="false">IFERROR(INDEX(Assessments!$I$2:$I$600,MATCH($H210&amp;"|"&amp;$I210&amp;"|"&amp;$J210&amp;"|"&amp;13,Assessments!$A$2:$A$600,0)),"")</f>
        <v/>
      </c>
      <c r="CV210" s="28" t="str">
        <f aca="false">IFERROR(INDEX(Assessments!$I$2:$I$600,MATCH($H210&amp;"|"&amp;$I210&amp;"|"&amp;$J210&amp;"|"&amp;14,Assessments!$A$2:$A$600,0)),"")</f>
        <v/>
      </c>
      <c r="CW210" s="28" t="n">
        <f aca="false">IFERROR(INDEX(Assessments!$J$2:$J$600,MATCH($H210&amp;"|"&amp;$I210&amp;"|"&amp;$J210&amp;"|"&amp;1,Assessments!$A$2:$A$600,0)),0)</f>
        <v>1</v>
      </c>
      <c r="CX210" s="28" t="n">
        <f aca="false">IFERROR(INDEX(Assessments!$J$2:$J$600,MATCH($H210&amp;"|"&amp;$I210&amp;"|"&amp;$J210&amp;"|"&amp;2,Assessments!$A$2:$A$600,0)),0)</f>
        <v>1</v>
      </c>
      <c r="CY210" s="28" t="n">
        <f aca="false">IFERROR(INDEX(Assessments!$J$2:$J$600,MATCH($H210&amp;"|"&amp;$I210&amp;"|"&amp;$J210&amp;"|"&amp;3,Assessments!$A$2:$A$600,0)),0)</f>
        <v>1</v>
      </c>
      <c r="CZ210" s="28" t="n">
        <f aca="false">IFERROR(INDEX(Assessments!$J$2:$J$600,MATCH($H210&amp;"|"&amp;$I210&amp;"|"&amp;$J210&amp;"|"&amp;4,Assessments!$A$2:$A$600,0)),0)</f>
        <v>1</v>
      </c>
      <c r="DA210" s="28" t="n">
        <f aca="false">IFERROR(INDEX(Assessments!$J$2:$J$600,MATCH($H210&amp;"|"&amp;$I210&amp;"|"&amp;$J210&amp;"|"&amp;5,Assessments!$A$2:$A$600,0)),0)</f>
        <v>1</v>
      </c>
      <c r="DB210" s="28" t="n">
        <f aca="false">IFERROR(INDEX(Assessments!$J$2:$J$600,MATCH($H210&amp;"|"&amp;$I210&amp;"|"&amp;$J210&amp;"|"&amp;6,Assessments!$A$2:$A$600,0)),0)</f>
        <v>2</v>
      </c>
      <c r="DC210" s="28" t="n">
        <f aca="false">IFERROR(INDEX(Assessments!$J$2:$J$600,MATCH($H210&amp;"|"&amp;$I210&amp;"|"&amp;$J210&amp;"|"&amp;7,Assessments!$A$2:$A$600,0)),0)</f>
        <v>2</v>
      </c>
      <c r="DD210" s="28" t="n">
        <f aca="false">IFERROR(INDEX(Assessments!$J$2:$J$600,MATCH($H210&amp;"|"&amp;$I210&amp;"|"&amp;$J210&amp;"|"&amp;8,Assessments!$A$2:$A$600,0)),0)</f>
        <v>0</v>
      </c>
      <c r="DE210" s="28" t="n">
        <f aca="false">IFERROR(INDEX(Assessments!$J$2:$J$600,MATCH($H210&amp;"|"&amp;$I210&amp;"|"&amp;$J210&amp;"|"&amp;9,Assessments!$A$2:$A$600,0)),0)</f>
        <v>0</v>
      </c>
      <c r="DF210" s="28" t="n">
        <f aca="false">IFERROR(INDEX(Assessments!$J$2:$J$600,MATCH($H210&amp;"|"&amp;$I210&amp;"|"&amp;$J210&amp;"|"&amp;10,Assessments!$A$2:$A$600,0)),0)</f>
        <v>0</v>
      </c>
      <c r="DG210" s="28" t="n">
        <f aca="false">IFERROR(INDEX(Assessments!$J$2:$J$600,MATCH($H210&amp;"|"&amp;$I210&amp;"|"&amp;$J210&amp;"|"&amp;11,Assessments!$A$2:$A$600,0)),0)</f>
        <v>0</v>
      </c>
      <c r="DH210" s="28" t="n">
        <f aca="false">IFERROR(INDEX(Assessments!$J$2:$J$600,MATCH($H210&amp;"|"&amp;$I210&amp;"|"&amp;$J210&amp;"|"&amp;12,Assessments!$A$2:$A$600,0)),0)</f>
        <v>0</v>
      </c>
      <c r="DI210" s="28" t="n">
        <f aca="false">IFERROR(INDEX(Assessments!$J$2:$J$600,MATCH($H210&amp;"|"&amp;$I210&amp;"|"&amp;$J210&amp;"|"&amp;13,Assessments!$A$2:$A$600,0)),0)</f>
        <v>0</v>
      </c>
      <c r="DJ210" s="28" t="n">
        <f aca="false">IFERROR(INDEX(Assessments!$J$2:$J$600,MATCH($H210&amp;"|"&amp;$I210&amp;"|"&amp;$J210&amp;"|"&amp;14,Assessments!$A$2:$A$600,0)),0)</f>
        <v>0</v>
      </c>
      <c r="DK210" s="28" t="n">
        <f aca="false">S210</f>
        <v>4</v>
      </c>
      <c r="DL210" s="28" t="str">
        <f aca="false">W210</f>
        <v/>
      </c>
      <c r="DM210" s="28" t="str">
        <f aca="false">AA210</f>
        <v/>
      </c>
      <c r="DN210" s="28" t="str">
        <f aca="false">AE210</f>
        <v/>
      </c>
      <c r="DO210" s="28" t="str">
        <f aca="false">AI210</f>
        <v/>
      </c>
      <c r="DP210" s="28" t="str">
        <f aca="false">AM210</f>
        <v/>
      </c>
      <c r="DQ210" s="28" t="str">
        <f aca="false">AQ210</f>
        <v/>
      </c>
      <c r="DR210" s="28" t="str">
        <f aca="false">AU210</f>
        <v/>
      </c>
      <c r="DS210" s="28" t="str">
        <f aca="false">AY210</f>
        <v/>
      </c>
      <c r="DT210" s="28" t="str">
        <f aca="false">BC210</f>
        <v/>
      </c>
      <c r="DU210" s="28" t="str">
        <f aca="false">BG210</f>
        <v/>
      </c>
      <c r="DV210" s="28" t="str">
        <f aca="false">BK210</f>
        <v/>
      </c>
      <c r="DW210" s="28" t="str">
        <f aca="false">BO210</f>
        <v/>
      </c>
      <c r="DX210" s="28" t="str">
        <f aca="false">BS210</f>
        <v/>
      </c>
      <c r="DY210" s="28" t="n">
        <f aca="false">IF(ISNUMBER(S210),1,"")</f>
        <v>1</v>
      </c>
      <c r="DZ210" s="28" t="str">
        <f aca="false">IF(ISNUMBER(W210),2,"")</f>
        <v/>
      </c>
      <c r="EA210" s="28" t="str">
        <f aca="false">IF(ISNUMBER(AA210),3,"")</f>
        <v/>
      </c>
      <c r="EB210" s="28" t="str">
        <f aca="false">IF(ISNUMBER(AE210),4,"")</f>
        <v/>
      </c>
      <c r="EC210" s="28" t="str">
        <f aca="false">IF(ISNUMBER(AI210),5,"")</f>
        <v/>
      </c>
      <c r="ED210" s="28" t="str">
        <f aca="false">IF(ISNUMBER(AM210),6,"")</f>
        <v/>
      </c>
      <c r="EE210" s="28" t="str">
        <f aca="false">IF(ISNUMBER(AQ210),7,"")</f>
        <v/>
      </c>
      <c r="EF210" s="28" t="str">
        <f aca="false">IF(ISNUMBER(AU210),8,"")</f>
        <v/>
      </c>
      <c r="EG210" s="28" t="str">
        <f aca="false">IF(ISNUMBER(AY210),9,"")</f>
        <v/>
      </c>
      <c r="EH210" s="28" t="str">
        <f aca="false">IF(ISNUMBER(BC210),10,"")</f>
        <v/>
      </c>
      <c r="EI210" s="28" t="str">
        <f aca="false">IF(ISNUMBER(BG210),11,"")</f>
        <v/>
      </c>
      <c r="EJ210" s="28" t="str">
        <f aca="false">IF(ISNUMBER(BK210),12,"")</f>
        <v/>
      </c>
      <c r="EK210" s="28" t="str">
        <f aca="false">IF(ISNUMBER(BO210),13,"")</f>
        <v/>
      </c>
      <c r="EL210" s="28" t="str">
        <f aca="false">IF(ISNUMBER(BS210),14,"")</f>
        <v/>
      </c>
      <c r="EM210" s="28" t="n">
        <f aca="false">IF(ISNUMBER(R210),R210*CW210,0)</f>
        <v>45</v>
      </c>
      <c r="EN210" s="28" t="n">
        <f aca="false">IF(ISNUMBER(V210),V210*CX210,0)</f>
        <v>0</v>
      </c>
      <c r="EO210" s="28" t="n">
        <f aca="false">IF(ISNUMBER(Z210),Z210*CY210,0)</f>
        <v>0</v>
      </c>
      <c r="EP210" s="28" t="n">
        <f aca="false">IF(ISNUMBER(AD210),AD210*CZ210,0)</f>
        <v>0</v>
      </c>
      <c r="EQ210" s="28" t="n">
        <f aca="false">IF(ISNUMBER(AH210),AH210*DA210,0)</f>
        <v>0</v>
      </c>
      <c r="ER210" s="28" t="n">
        <f aca="false">IF(ISNUMBER(AL210),AL210*DB210,0)</f>
        <v>0</v>
      </c>
      <c r="ES210" s="28" t="n">
        <f aca="false">IF(ISNUMBER(AP210),AP210*DC210,0)</f>
        <v>0</v>
      </c>
      <c r="ET210" s="28" t="n">
        <f aca="false">IF(ISNUMBER(AT210),AT210*DD210,0)</f>
        <v>0</v>
      </c>
      <c r="EU210" s="28" t="n">
        <f aca="false">IF(ISNUMBER(AX210),AX210*DE210,0)</f>
        <v>0</v>
      </c>
      <c r="EV210" s="28" t="n">
        <f aca="false">IF(ISNUMBER(BB210),BB210*DF210,0)</f>
        <v>0</v>
      </c>
      <c r="EW210" s="28" t="n">
        <f aca="false">IF(ISNUMBER(BF210),BF210*DG210,0)</f>
        <v>0</v>
      </c>
      <c r="EX210" s="28" t="n">
        <f aca="false">IF(ISNUMBER(BJ210),BJ210*DH210,0)</f>
        <v>0</v>
      </c>
      <c r="EY210" s="28" t="n">
        <f aca="false">IF(ISNUMBER(BN210),BN210*DI210,0)</f>
        <v>0</v>
      </c>
      <c r="EZ210" s="28" t="n">
        <f aca="false">IF(ISNUMBER(BR210),BR210*DJ210,0)</f>
        <v>0</v>
      </c>
      <c r="FA210" s="28" t="n">
        <f aca="false">IF(ISNUMBER(R210),CW210,0)</f>
        <v>1</v>
      </c>
      <c r="FB210" s="28" t="n">
        <f aca="false">IF(ISNUMBER(V210),CX210,0)</f>
        <v>0</v>
      </c>
      <c r="FC210" s="28" t="n">
        <f aca="false">IF(ISNUMBER(Z210),CY210,0)</f>
        <v>0</v>
      </c>
      <c r="FD210" s="28" t="n">
        <f aca="false">IF(ISNUMBER(AD210),CZ210,0)</f>
        <v>0</v>
      </c>
      <c r="FE210" s="28" t="n">
        <f aca="false">IF(ISNUMBER(AH210),DA210,0)</f>
        <v>0</v>
      </c>
      <c r="FF210" s="28" t="n">
        <f aca="false">IF(ISNUMBER(AL210),DB210,0)</f>
        <v>0</v>
      </c>
      <c r="FG210" s="28" t="n">
        <f aca="false">IF(ISNUMBER(AP210),DC210,0)</f>
        <v>0</v>
      </c>
      <c r="FH210" s="28" t="n">
        <f aca="false">IF(ISNUMBER(AT210),DD210,0)</f>
        <v>0</v>
      </c>
      <c r="FI210" s="28" t="n">
        <f aca="false">IF(ISNUMBER(AX210),DE210,0)</f>
        <v>0</v>
      </c>
      <c r="FJ210" s="28" t="n">
        <f aca="false">IF(ISNUMBER(BB210),DF210,0)</f>
        <v>0</v>
      </c>
      <c r="FK210" s="28" t="n">
        <f aca="false">IF(ISNUMBER(BF210),DG210,0)</f>
        <v>0</v>
      </c>
      <c r="FL210" s="28" t="n">
        <f aca="false">IF(ISNUMBER(BJ210),DH210,0)</f>
        <v>0</v>
      </c>
      <c r="FM210" s="28" t="n">
        <f aca="false">IF(ISNUMBER(BN210),DI210,0)</f>
        <v>0</v>
      </c>
      <c r="FN210" s="28" t="n">
        <f aca="false">IF(ISNUMBER(BR210),DJ210,0)</f>
        <v>0</v>
      </c>
      <c r="FO210" s="28" t="str">
        <f aca="false">IFERROR(INDEX(Lists!$G$2:$G$20,MATCH($I210&amp;"|"&amp;$J210,Lists!$F$2:$F$20,0)),"")</f>
        <v>Geog Overall HL</v>
      </c>
    </row>
    <row r="211" customFormat="false" ht="19.5" hidden="false" customHeight="true" outlineLevel="0" collapsed="false">
      <c r="A211" s="29" t="s">
        <v>453</v>
      </c>
      <c r="B211" s="29" t="s">
        <v>454</v>
      </c>
      <c r="C211" s="30" t="s">
        <v>192</v>
      </c>
      <c r="D211" s="30" t="s">
        <v>177</v>
      </c>
      <c r="E211" s="31"/>
      <c r="F211" s="30" t="n">
        <v>7</v>
      </c>
      <c r="G211" s="30"/>
      <c r="H211" s="32" t="s">
        <v>428</v>
      </c>
      <c r="I211" s="33" t="s">
        <v>24</v>
      </c>
      <c r="J211" s="32" t="s">
        <v>25</v>
      </c>
      <c r="K211" s="34" t="str">
        <f aca="false">IF(OR(M211="",$E211=""),"",M211-$E211)</f>
        <v/>
      </c>
      <c r="L211" s="35" t="n">
        <f aca="false">IF(SUM(FA211:FN211)=0,"",SUM(EM211:EZ211)/SUM(FA211:FN211))</f>
        <v>40</v>
      </c>
      <c r="M211" s="36" t="n">
        <f aca="false">IF(OR(L211="",FO211=""),"",IFERROR(MATCH(L211,INDEX(Boundaries!$B$2:$I$30,MATCH(FO211,Boundaries!$A$2:$A$30,0),0),1)-1,""))</f>
        <v>3</v>
      </c>
      <c r="N211" s="37" t="str">
        <f aca="false">IF(COUNT($DY211:$EL211)&lt;2,"",INDEX($DK211:$DX211,MAX($DY211:$EL211))-INDEX($DK211:$DX211,MIN($DY211:$EL211)))</f>
        <v/>
      </c>
      <c r="O211" s="37" t="str">
        <f aca="false">IF(COUNT($DY211:$EL211)&lt;2,"",INDEX($DK211:$DX211,MAX($DY211:$EL211))-INDEX($DK211:$DX211,LARGE($DY211:$EL211,2)))</f>
        <v/>
      </c>
      <c r="P211" s="38" t="str">
        <f aca="false">IF(K211="","",IF(K211&gt;=0,"On/above target",IF(AND(N211&lt;&gt;"",N211&gt;=0.5),"Improving towards target",IF(AND(O211&lt;&gt;"",O211&lt;=-0.5),"Declining","Stable below target"))))</f>
        <v/>
      </c>
      <c r="Q211" s="39" t="n">
        <v>8</v>
      </c>
      <c r="R211" s="40" t="n">
        <f aca="false">IF(OR(Q211="",BU211=""),"",Q211/BU211*100)</f>
        <v>40</v>
      </c>
      <c r="S211" s="41" t="n">
        <f aca="false">IF(R211="","",IFERROR(MATCH(R211,INDEX(Boundaries!$B$2:$I$30,MATCH(CI211,Boundaries!$A$2:$A$30,0),0),1)-1,""))</f>
        <v>3</v>
      </c>
      <c r="T211" s="42" t="str">
        <f aca="false">IF(OR(S211="",$E211=""),"",S211-$E211)</f>
        <v/>
      </c>
      <c r="U211" s="39"/>
      <c r="V211" s="40" t="str">
        <f aca="false">IF(OR(U211="",BV211=""),"",U211/BV211*100)</f>
        <v/>
      </c>
      <c r="W211" s="41" t="str">
        <f aca="false">IF(V211="","",IFERROR(MATCH(V211,INDEX(Boundaries!$B$2:$I$30,MATCH(CJ211,Boundaries!$A$2:$A$30,0),0),1)-1,""))</f>
        <v/>
      </c>
      <c r="X211" s="42" t="str">
        <f aca="false">IF(OR(W211="",$E211=""),"",W211-$E211)</f>
        <v/>
      </c>
      <c r="Y211" s="39"/>
      <c r="Z211" s="40" t="str">
        <f aca="false">IF(OR(Y211="",BW211=""),"",Y211/BW211*100)</f>
        <v/>
      </c>
      <c r="AA211" s="41" t="str">
        <f aca="false">IF(Z211="","",IFERROR(MATCH(Z211,INDEX(Boundaries!$B$2:$I$30,MATCH(CK211,Boundaries!$A$2:$A$30,0),0),1)-1,""))</f>
        <v/>
      </c>
      <c r="AB211" s="42" t="str">
        <f aca="false">IF(OR(AA211="",$E211=""),"",AA211-$E211)</f>
        <v/>
      </c>
      <c r="AC211" s="39"/>
      <c r="AD211" s="40" t="str">
        <f aca="false">IF(OR(AC211="",BX211=""),"",AC211/BX211*100)</f>
        <v/>
      </c>
      <c r="AE211" s="41" t="str">
        <f aca="false">IF(AD211="","",IFERROR(MATCH(AD211,INDEX(Boundaries!$B$2:$I$30,MATCH(CL211,Boundaries!$A$2:$A$30,0),0),1)-1,""))</f>
        <v/>
      </c>
      <c r="AF211" s="42" t="str">
        <f aca="false">IF(OR(AE211="",$E211=""),"",AE211-$E211)</f>
        <v/>
      </c>
      <c r="AG211" s="39"/>
      <c r="AH211" s="40" t="str">
        <f aca="false">IF(OR(AG211="",BY211=""),"",AG211/BY211*100)</f>
        <v/>
      </c>
      <c r="AI211" s="41" t="str">
        <f aca="false">IF(AH211="","",IFERROR(MATCH(AH211,INDEX(Boundaries!$B$2:$I$30,MATCH(CM211,Boundaries!$A$2:$A$30,0),0),1)-1,""))</f>
        <v/>
      </c>
      <c r="AJ211" s="42" t="str">
        <f aca="false">IF(OR(AI211="",$E211=""),"",AI211-$E211)</f>
        <v/>
      </c>
      <c r="AK211" s="39"/>
      <c r="AL211" s="40" t="str">
        <f aca="false">IF(OR(AK211="",BZ211=""),"",AK211/BZ211*100)</f>
        <v/>
      </c>
      <c r="AM211" s="41" t="str">
        <f aca="false">IF(AL211="","",IFERROR(MATCH(AL211,INDEX(Boundaries!$B$2:$I$30,MATCH(CN211,Boundaries!$A$2:$A$30,0),0),1)-1,""))</f>
        <v/>
      </c>
      <c r="AN211" s="42" t="str">
        <f aca="false">IF(OR(AM211="",$E211=""),"",AM211-$E211)</f>
        <v/>
      </c>
      <c r="AO211" s="39"/>
      <c r="AP211" s="40" t="str">
        <f aca="false">IF(OR(AO211="",CA211=""),"",AO211/CA211*100)</f>
        <v/>
      </c>
      <c r="AQ211" s="41" t="str">
        <f aca="false">IF(AP211="","",IFERROR(MATCH(AP211,INDEX(Boundaries!$B$2:$I$30,MATCH(CO211,Boundaries!$A$2:$A$30,0),0),1)-1,""))</f>
        <v/>
      </c>
      <c r="AR211" s="42" t="str">
        <f aca="false">IF(OR(AQ211="",$E211=""),"",AQ211-$E211)</f>
        <v/>
      </c>
      <c r="AS211" s="39"/>
      <c r="AT211" s="40" t="str">
        <f aca="false">IF(OR(AS211="",CB211=""),"",AS211/CB211*100)</f>
        <v/>
      </c>
      <c r="AU211" s="41" t="str">
        <f aca="false">IF(AT211="","",IFERROR(MATCH(AT211,INDEX(Boundaries!$B$2:$I$30,MATCH(CP211,Boundaries!$A$2:$A$30,0),0),1)-1,""))</f>
        <v/>
      </c>
      <c r="AV211" s="42" t="str">
        <f aca="false">IF(OR(AU211="",$E211=""),"",AU211-$E211)</f>
        <v/>
      </c>
      <c r="AW211" s="39"/>
      <c r="AX211" s="40" t="str">
        <f aca="false">IF(OR(AW211="",CC211=""),"",AW211/CC211*100)</f>
        <v/>
      </c>
      <c r="AY211" s="41" t="str">
        <f aca="false">IF(AX211="","",IFERROR(MATCH(AX211,INDEX(Boundaries!$B$2:$I$30,MATCH(CQ211,Boundaries!$A$2:$A$30,0),0),1)-1,""))</f>
        <v/>
      </c>
      <c r="AZ211" s="42" t="str">
        <f aca="false">IF(OR(AY211="",$E211=""),"",AY211-$E211)</f>
        <v/>
      </c>
      <c r="BA211" s="39"/>
      <c r="BB211" s="40" t="str">
        <f aca="false">IF(OR(BA211="",CD211=""),"",BA211/CD211*100)</f>
        <v/>
      </c>
      <c r="BC211" s="41" t="str">
        <f aca="false">IF(BB211="","",IFERROR(MATCH(BB211,INDEX(Boundaries!$B$2:$I$30,MATCH(CR211,Boundaries!$A$2:$A$30,0),0),1)-1,""))</f>
        <v/>
      </c>
      <c r="BD211" s="42" t="str">
        <f aca="false">IF(OR(BC211="",$E211=""),"",BC211-$E211)</f>
        <v/>
      </c>
      <c r="BE211" s="39"/>
      <c r="BF211" s="40" t="str">
        <f aca="false">IF(OR(BE211="",CE211=""),"",BE211/CE211*100)</f>
        <v/>
      </c>
      <c r="BG211" s="41" t="str">
        <f aca="false">IF(BF211="","",IFERROR(MATCH(BF211,INDEX(Boundaries!$B$2:$I$30,MATCH(CS211,Boundaries!$A$2:$A$30,0),0),1)-1,""))</f>
        <v/>
      </c>
      <c r="BH211" s="42" t="str">
        <f aca="false">IF(OR(BG211="",$E211=""),"",BG211-$E211)</f>
        <v/>
      </c>
      <c r="BI211" s="39"/>
      <c r="BJ211" s="40" t="str">
        <f aca="false">IF(OR(BI211="",CF211=""),"",BI211/CF211*100)</f>
        <v/>
      </c>
      <c r="BK211" s="41" t="str">
        <f aca="false">IF(BJ211="","",IFERROR(MATCH(BJ211,INDEX(Boundaries!$B$2:$I$30,MATCH(CT211,Boundaries!$A$2:$A$30,0),0),1)-1,""))</f>
        <v/>
      </c>
      <c r="BL211" s="42" t="str">
        <f aca="false">IF(OR(BK211="",$E211=""),"",BK211-$E211)</f>
        <v/>
      </c>
      <c r="BM211" s="39"/>
      <c r="BN211" s="40" t="str">
        <f aca="false">IF(OR(BM211="",CG211=""),"",BM211/CG211*100)</f>
        <v/>
      </c>
      <c r="BO211" s="41" t="str">
        <f aca="false">IF(BN211="","",IFERROR(MATCH(BN211,INDEX(Boundaries!$B$2:$I$30,MATCH(CU211,Boundaries!$A$2:$A$30,0),0),1)-1,""))</f>
        <v/>
      </c>
      <c r="BP211" s="42" t="str">
        <f aca="false">IF(OR(BO211="",$E211=""),"",BO211-$E211)</f>
        <v/>
      </c>
      <c r="BQ211" s="39"/>
      <c r="BR211" s="40" t="str">
        <f aca="false">IF(OR(BQ211="",CH211=""),"",BQ211/CH211*100)</f>
        <v/>
      </c>
      <c r="BS211" s="41" t="str">
        <f aca="false">IF(BR211="","",IFERROR(MATCH(BR211,INDEX(Boundaries!$B$2:$I$30,MATCH(CV211,Boundaries!$A$2:$A$30,0),0),1)-1,""))</f>
        <v/>
      </c>
      <c r="BT211" s="42" t="str">
        <f aca="false">IF(OR(BS211="",$E211=""),"",BS211-$E211)</f>
        <v/>
      </c>
      <c r="BU211" s="28" t="n">
        <f aca="false">IFERROR(INDEX(Assessments!$H$2:$H$600,MATCH($H211&amp;"|"&amp;$I211&amp;"|"&amp;$J211&amp;"|"&amp;1,Assessments!$A$2:$A$600,0)),"")</f>
        <v>20</v>
      </c>
      <c r="BV211" s="28" t="n">
        <f aca="false">IFERROR(INDEX(Assessments!$H$2:$H$600,MATCH($H211&amp;"|"&amp;$I211&amp;"|"&amp;$J211&amp;"|"&amp;2,Assessments!$A$2:$A$600,0)),"")</f>
        <v>20</v>
      </c>
      <c r="BW211" s="28" t="n">
        <f aca="false">IFERROR(INDEX(Assessments!$H$2:$H$600,MATCH($H211&amp;"|"&amp;$I211&amp;"|"&amp;$J211&amp;"|"&amp;3,Assessments!$A$2:$A$600,0)),"")</f>
        <v>20</v>
      </c>
      <c r="BX211" s="28" t="n">
        <f aca="false">IFERROR(INDEX(Assessments!$H$2:$H$600,MATCH($H211&amp;"|"&amp;$I211&amp;"|"&amp;$J211&amp;"|"&amp;4,Assessments!$A$2:$A$600,0)),"")</f>
        <v>20</v>
      </c>
      <c r="BY211" s="28" t="n">
        <f aca="false">IFERROR(INDEX(Assessments!$H$2:$H$600,MATCH($H211&amp;"|"&amp;$I211&amp;"|"&amp;$J211&amp;"|"&amp;5,Assessments!$A$2:$A$600,0)),"")</f>
        <v>20</v>
      </c>
      <c r="BZ211" s="28" t="n">
        <f aca="false">IFERROR(INDEX(Assessments!$H$2:$H$600,MATCH($H211&amp;"|"&amp;$I211&amp;"|"&amp;$J211&amp;"|"&amp;6,Assessments!$A$2:$A$600,0)),"")</f>
        <v>40</v>
      </c>
      <c r="CA211" s="28" t="n">
        <f aca="false">IFERROR(INDEX(Assessments!$H$2:$H$600,MATCH($H211&amp;"|"&amp;$I211&amp;"|"&amp;$J211&amp;"|"&amp;7,Assessments!$A$2:$A$600,0)),"")</f>
        <v>50</v>
      </c>
      <c r="CB211" s="28" t="str">
        <f aca="false">IFERROR(INDEX(Assessments!$H$2:$H$600,MATCH($H211&amp;"|"&amp;$I211&amp;"|"&amp;$J211&amp;"|"&amp;8,Assessments!$A$2:$A$600,0)),"")</f>
        <v/>
      </c>
      <c r="CC211" s="28" t="str">
        <f aca="false">IFERROR(INDEX(Assessments!$H$2:$H$600,MATCH($H211&amp;"|"&amp;$I211&amp;"|"&amp;$J211&amp;"|"&amp;9,Assessments!$A$2:$A$600,0)),"")</f>
        <v/>
      </c>
      <c r="CD211" s="28" t="str">
        <f aca="false">IFERROR(INDEX(Assessments!$H$2:$H$600,MATCH($H211&amp;"|"&amp;$I211&amp;"|"&amp;$J211&amp;"|"&amp;10,Assessments!$A$2:$A$600,0)),"")</f>
        <v/>
      </c>
      <c r="CE211" s="28" t="str">
        <f aca="false">IFERROR(INDEX(Assessments!$H$2:$H$600,MATCH($H211&amp;"|"&amp;$I211&amp;"|"&amp;$J211&amp;"|"&amp;11,Assessments!$A$2:$A$600,0)),"")</f>
        <v/>
      </c>
      <c r="CF211" s="28" t="str">
        <f aca="false">IFERROR(INDEX(Assessments!$H$2:$H$600,MATCH($H211&amp;"|"&amp;$I211&amp;"|"&amp;$J211&amp;"|"&amp;12,Assessments!$A$2:$A$600,0)),"")</f>
        <v/>
      </c>
      <c r="CG211" s="28" t="str">
        <f aca="false">IFERROR(INDEX(Assessments!$H$2:$H$600,MATCH($H211&amp;"|"&amp;$I211&amp;"|"&amp;$J211&amp;"|"&amp;13,Assessments!$A$2:$A$600,0)),"")</f>
        <v/>
      </c>
      <c r="CH211" s="28" t="str">
        <f aca="false">IFERROR(INDEX(Assessments!$H$2:$H$600,MATCH($H211&amp;"|"&amp;$I211&amp;"|"&amp;$J211&amp;"|"&amp;14,Assessments!$A$2:$A$600,0)),"")</f>
        <v/>
      </c>
      <c r="CI211" s="28" t="str">
        <f aca="false">IFERROR(INDEX(Assessments!$I$2:$I$600,MATCH($H211&amp;"|"&amp;$I211&amp;"|"&amp;$J211&amp;"|"&amp;1,Assessments!$A$2:$A$600,0)),"")</f>
        <v>Geog Paper 1</v>
      </c>
      <c r="CJ211" s="28" t="str">
        <f aca="false">IFERROR(INDEX(Assessments!$I$2:$I$600,MATCH($H211&amp;"|"&amp;$I211&amp;"|"&amp;$J211&amp;"|"&amp;2,Assessments!$A$2:$A$600,0)),"")</f>
        <v>Geog Paper 1</v>
      </c>
      <c r="CK211" s="28" t="str">
        <f aca="false">IFERROR(INDEX(Assessments!$I$2:$I$600,MATCH($H211&amp;"|"&amp;$I211&amp;"|"&amp;$J211&amp;"|"&amp;3,Assessments!$A$2:$A$600,0)),"")</f>
        <v>Geog Paper 2</v>
      </c>
      <c r="CL211" s="28" t="str">
        <f aca="false">IFERROR(INDEX(Assessments!$I$2:$I$600,MATCH($H211&amp;"|"&amp;$I211&amp;"|"&amp;$J211&amp;"|"&amp;4,Assessments!$A$2:$A$600,0)),"")</f>
        <v>Geog Paper 1</v>
      </c>
      <c r="CM211" s="28" t="str">
        <f aca="false">IFERROR(INDEX(Assessments!$I$2:$I$600,MATCH($H211&amp;"|"&amp;$I211&amp;"|"&amp;$J211&amp;"|"&amp;5,Assessments!$A$2:$A$600,0)),"")</f>
        <v>Geog Paper 1</v>
      </c>
      <c r="CN211" s="28" t="str">
        <f aca="false">IFERROR(INDEX(Assessments!$I$2:$I$600,MATCH($H211&amp;"|"&amp;$I211&amp;"|"&amp;$J211&amp;"|"&amp;6,Assessments!$A$2:$A$600,0)),"")</f>
        <v>Geog Paper 1</v>
      </c>
      <c r="CO211" s="28" t="str">
        <f aca="false">IFERROR(INDEX(Assessments!$I$2:$I$600,MATCH($H211&amp;"|"&amp;$I211&amp;"|"&amp;$J211&amp;"|"&amp;7,Assessments!$A$2:$A$600,0)),"")</f>
        <v>Geog Paper 2</v>
      </c>
      <c r="CP211" s="28" t="str">
        <f aca="false">IFERROR(INDEX(Assessments!$I$2:$I$600,MATCH($H211&amp;"|"&amp;$I211&amp;"|"&amp;$J211&amp;"|"&amp;8,Assessments!$A$2:$A$600,0)),"")</f>
        <v/>
      </c>
      <c r="CQ211" s="28" t="str">
        <f aca="false">IFERROR(INDEX(Assessments!$I$2:$I$600,MATCH($H211&amp;"|"&amp;$I211&amp;"|"&amp;$J211&amp;"|"&amp;9,Assessments!$A$2:$A$600,0)),"")</f>
        <v/>
      </c>
      <c r="CR211" s="28" t="str">
        <f aca="false">IFERROR(INDEX(Assessments!$I$2:$I$600,MATCH($H211&amp;"|"&amp;$I211&amp;"|"&amp;$J211&amp;"|"&amp;10,Assessments!$A$2:$A$600,0)),"")</f>
        <v/>
      </c>
      <c r="CS211" s="28" t="str">
        <f aca="false">IFERROR(INDEX(Assessments!$I$2:$I$600,MATCH($H211&amp;"|"&amp;$I211&amp;"|"&amp;$J211&amp;"|"&amp;11,Assessments!$A$2:$A$600,0)),"")</f>
        <v/>
      </c>
      <c r="CT211" s="28" t="str">
        <f aca="false">IFERROR(INDEX(Assessments!$I$2:$I$600,MATCH($H211&amp;"|"&amp;$I211&amp;"|"&amp;$J211&amp;"|"&amp;12,Assessments!$A$2:$A$600,0)),"")</f>
        <v/>
      </c>
      <c r="CU211" s="28" t="str">
        <f aca="false">IFERROR(INDEX(Assessments!$I$2:$I$600,MATCH($H211&amp;"|"&amp;$I211&amp;"|"&amp;$J211&amp;"|"&amp;13,Assessments!$A$2:$A$600,0)),"")</f>
        <v/>
      </c>
      <c r="CV211" s="28" t="str">
        <f aca="false">IFERROR(INDEX(Assessments!$I$2:$I$600,MATCH($H211&amp;"|"&amp;$I211&amp;"|"&amp;$J211&amp;"|"&amp;14,Assessments!$A$2:$A$600,0)),"")</f>
        <v/>
      </c>
      <c r="CW211" s="28" t="n">
        <f aca="false">IFERROR(INDEX(Assessments!$J$2:$J$600,MATCH($H211&amp;"|"&amp;$I211&amp;"|"&amp;$J211&amp;"|"&amp;1,Assessments!$A$2:$A$600,0)),0)</f>
        <v>1</v>
      </c>
      <c r="CX211" s="28" t="n">
        <f aca="false">IFERROR(INDEX(Assessments!$J$2:$J$600,MATCH($H211&amp;"|"&amp;$I211&amp;"|"&amp;$J211&amp;"|"&amp;2,Assessments!$A$2:$A$600,0)),0)</f>
        <v>1</v>
      </c>
      <c r="CY211" s="28" t="n">
        <f aca="false">IFERROR(INDEX(Assessments!$J$2:$J$600,MATCH($H211&amp;"|"&amp;$I211&amp;"|"&amp;$J211&amp;"|"&amp;3,Assessments!$A$2:$A$600,0)),0)</f>
        <v>1</v>
      </c>
      <c r="CZ211" s="28" t="n">
        <f aca="false">IFERROR(INDEX(Assessments!$J$2:$J$600,MATCH($H211&amp;"|"&amp;$I211&amp;"|"&amp;$J211&amp;"|"&amp;4,Assessments!$A$2:$A$600,0)),0)</f>
        <v>1</v>
      </c>
      <c r="DA211" s="28" t="n">
        <f aca="false">IFERROR(INDEX(Assessments!$J$2:$J$600,MATCH($H211&amp;"|"&amp;$I211&amp;"|"&amp;$J211&amp;"|"&amp;5,Assessments!$A$2:$A$600,0)),0)</f>
        <v>1</v>
      </c>
      <c r="DB211" s="28" t="n">
        <f aca="false">IFERROR(INDEX(Assessments!$J$2:$J$600,MATCH($H211&amp;"|"&amp;$I211&amp;"|"&amp;$J211&amp;"|"&amp;6,Assessments!$A$2:$A$600,0)),0)</f>
        <v>2</v>
      </c>
      <c r="DC211" s="28" t="n">
        <f aca="false">IFERROR(INDEX(Assessments!$J$2:$J$600,MATCH($H211&amp;"|"&amp;$I211&amp;"|"&amp;$J211&amp;"|"&amp;7,Assessments!$A$2:$A$600,0)),0)</f>
        <v>2</v>
      </c>
      <c r="DD211" s="28" t="n">
        <f aca="false">IFERROR(INDEX(Assessments!$J$2:$J$600,MATCH($H211&amp;"|"&amp;$I211&amp;"|"&amp;$J211&amp;"|"&amp;8,Assessments!$A$2:$A$600,0)),0)</f>
        <v>0</v>
      </c>
      <c r="DE211" s="28" t="n">
        <f aca="false">IFERROR(INDEX(Assessments!$J$2:$J$600,MATCH($H211&amp;"|"&amp;$I211&amp;"|"&amp;$J211&amp;"|"&amp;9,Assessments!$A$2:$A$600,0)),0)</f>
        <v>0</v>
      </c>
      <c r="DF211" s="28" t="n">
        <f aca="false">IFERROR(INDEX(Assessments!$J$2:$J$600,MATCH($H211&amp;"|"&amp;$I211&amp;"|"&amp;$J211&amp;"|"&amp;10,Assessments!$A$2:$A$600,0)),0)</f>
        <v>0</v>
      </c>
      <c r="DG211" s="28" t="n">
        <f aca="false">IFERROR(INDEX(Assessments!$J$2:$J$600,MATCH($H211&amp;"|"&amp;$I211&amp;"|"&amp;$J211&amp;"|"&amp;11,Assessments!$A$2:$A$600,0)),0)</f>
        <v>0</v>
      </c>
      <c r="DH211" s="28" t="n">
        <f aca="false">IFERROR(INDEX(Assessments!$J$2:$J$600,MATCH($H211&amp;"|"&amp;$I211&amp;"|"&amp;$J211&amp;"|"&amp;12,Assessments!$A$2:$A$600,0)),0)</f>
        <v>0</v>
      </c>
      <c r="DI211" s="28" t="n">
        <f aca="false">IFERROR(INDEX(Assessments!$J$2:$J$600,MATCH($H211&amp;"|"&amp;$I211&amp;"|"&amp;$J211&amp;"|"&amp;13,Assessments!$A$2:$A$600,0)),0)</f>
        <v>0</v>
      </c>
      <c r="DJ211" s="28" t="n">
        <f aca="false">IFERROR(INDEX(Assessments!$J$2:$J$600,MATCH($H211&amp;"|"&amp;$I211&amp;"|"&amp;$J211&amp;"|"&amp;14,Assessments!$A$2:$A$600,0)),0)</f>
        <v>0</v>
      </c>
      <c r="DK211" s="28" t="n">
        <f aca="false">S211</f>
        <v>3</v>
      </c>
      <c r="DL211" s="28" t="str">
        <f aca="false">W211</f>
        <v/>
      </c>
      <c r="DM211" s="28" t="str">
        <f aca="false">AA211</f>
        <v/>
      </c>
      <c r="DN211" s="28" t="str">
        <f aca="false">AE211</f>
        <v/>
      </c>
      <c r="DO211" s="28" t="str">
        <f aca="false">AI211</f>
        <v/>
      </c>
      <c r="DP211" s="28" t="str">
        <f aca="false">AM211</f>
        <v/>
      </c>
      <c r="DQ211" s="28" t="str">
        <f aca="false">AQ211</f>
        <v/>
      </c>
      <c r="DR211" s="28" t="str">
        <f aca="false">AU211</f>
        <v/>
      </c>
      <c r="DS211" s="28" t="str">
        <f aca="false">AY211</f>
        <v/>
      </c>
      <c r="DT211" s="28" t="str">
        <f aca="false">BC211</f>
        <v/>
      </c>
      <c r="DU211" s="28" t="str">
        <f aca="false">BG211</f>
        <v/>
      </c>
      <c r="DV211" s="28" t="str">
        <f aca="false">BK211</f>
        <v/>
      </c>
      <c r="DW211" s="28" t="str">
        <f aca="false">BO211</f>
        <v/>
      </c>
      <c r="DX211" s="28" t="str">
        <f aca="false">BS211</f>
        <v/>
      </c>
      <c r="DY211" s="28" t="n">
        <f aca="false">IF(ISNUMBER(S211),1,"")</f>
        <v>1</v>
      </c>
      <c r="DZ211" s="28" t="str">
        <f aca="false">IF(ISNUMBER(W211),2,"")</f>
        <v/>
      </c>
      <c r="EA211" s="28" t="str">
        <f aca="false">IF(ISNUMBER(AA211),3,"")</f>
        <v/>
      </c>
      <c r="EB211" s="28" t="str">
        <f aca="false">IF(ISNUMBER(AE211),4,"")</f>
        <v/>
      </c>
      <c r="EC211" s="28" t="str">
        <f aca="false">IF(ISNUMBER(AI211),5,"")</f>
        <v/>
      </c>
      <c r="ED211" s="28" t="str">
        <f aca="false">IF(ISNUMBER(AM211),6,"")</f>
        <v/>
      </c>
      <c r="EE211" s="28" t="str">
        <f aca="false">IF(ISNUMBER(AQ211),7,"")</f>
        <v/>
      </c>
      <c r="EF211" s="28" t="str">
        <f aca="false">IF(ISNUMBER(AU211),8,"")</f>
        <v/>
      </c>
      <c r="EG211" s="28" t="str">
        <f aca="false">IF(ISNUMBER(AY211),9,"")</f>
        <v/>
      </c>
      <c r="EH211" s="28" t="str">
        <f aca="false">IF(ISNUMBER(BC211),10,"")</f>
        <v/>
      </c>
      <c r="EI211" s="28" t="str">
        <f aca="false">IF(ISNUMBER(BG211),11,"")</f>
        <v/>
      </c>
      <c r="EJ211" s="28" t="str">
        <f aca="false">IF(ISNUMBER(BK211),12,"")</f>
        <v/>
      </c>
      <c r="EK211" s="28" t="str">
        <f aca="false">IF(ISNUMBER(BO211),13,"")</f>
        <v/>
      </c>
      <c r="EL211" s="28" t="str">
        <f aca="false">IF(ISNUMBER(BS211),14,"")</f>
        <v/>
      </c>
      <c r="EM211" s="28" t="n">
        <f aca="false">IF(ISNUMBER(R211),R211*CW211,0)</f>
        <v>40</v>
      </c>
      <c r="EN211" s="28" t="n">
        <f aca="false">IF(ISNUMBER(V211),V211*CX211,0)</f>
        <v>0</v>
      </c>
      <c r="EO211" s="28" t="n">
        <f aca="false">IF(ISNUMBER(Z211),Z211*CY211,0)</f>
        <v>0</v>
      </c>
      <c r="EP211" s="28" t="n">
        <f aca="false">IF(ISNUMBER(AD211),AD211*CZ211,0)</f>
        <v>0</v>
      </c>
      <c r="EQ211" s="28" t="n">
        <f aca="false">IF(ISNUMBER(AH211),AH211*DA211,0)</f>
        <v>0</v>
      </c>
      <c r="ER211" s="28" t="n">
        <f aca="false">IF(ISNUMBER(AL211),AL211*DB211,0)</f>
        <v>0</v>
      </c>
      <c r="ES211" s="28" t="n">
        <f aca="false">IF(ISNUMBER(AP211),AP211*DC211,0)</f>
        <v>0</v>
      </c>
      <c r="ET211" s="28" t="n">
        <f aca="false">IF(ISNUMBER(AT211),AT211*DD211,0)</f>
        <v>0</v>
      </c>
      <c r="EU211" s="28" t="n">
        <f aca="false">IF(ISNUMBER(AX211),AX211*DE211,0)</f>
        <v>0</v>
      </c>
      <c r="EV211" s="28" t="n">
        <f aca="false">IF(ISNUMBER(BB211),BB211*DF211,0)</f>
        <v>0</v>
      </c>
      <c r="EW211" s="28" t="n">
        <f aca="false">IF(ISNUMBER(BF211),BF211*DG211,0)</f>
        <v>0</v>
      </c>
      <c r="EX211" s="28" t="n">
        <f aca="false">IF(ISNUMBER(BJ211),BJ211*DH211,0)</f>
        <v>0</v>
      </c>
      <c r="EY211" s="28" t="n">
        <f aca="false">IF(ISNUMBER(BN211),BN211*DI211,0)</f>
        <v>0</v>
      </c>
      <c r="EZ211" s="28" t="n">
        <f aca="false">IF(ISNUMBER(BR211),BR211*DJ211,0)</f>
        <v>0</v>
      </c>
      <c r="FA211" s="28" t="n">
        <f aca="false">IF(ISNUMBER(R211),CW211,0)</f>
        <v>1</v>
      </c>
      <c r="FB211" s="28" t="n">
        <f aca="false">IF(ISNUMBER(V211),CX211,0)</f>
        <v>0</v>
      </c>
      <c r="FC211" s="28" t="n">
        <f aca="false">IF(ISNUMBER(Z211),CY211,0)</f>
        <v>0</v>
      </c>
      <c r="FD211" s="28" t="n">
        <f aca="false">IF(ISNUMBER(AD211),CZ211,0)</f>
        <v>0</v>
      </c>
      <c r="FE211" s="28" t="n">
        <f aca="false">IF(ISNUMBER(AH211),DA211,0)</f>
        <v>0</v>
      </c>
      <c r="FF211" s="28" t="n">
        <f aca="false">IF(ISNUMBER(AL211),DB211,0)</f>
        <v>0</v>
      </c>
      <c r="FG211" s="28" t="n">
        <f aca="false">IF(ISNUMBER(AP211),DC211,0)</f>
        <v>0</v>
      </c>
      <c r="FH211" s="28" t="n">
        <f aca="false">IF(ISNUMBER(AT211),DD211,0)</f>
        <v>0</v>
      </c>
      <c r="FI211" s="28" t="n">
        <f aca="false">IF(ISNUMBER(AX211),DE211,0)</f>
        <v>0</v>
      </c>
      <c r="FJ211" s="28" t="n">
        <f aca="false">IF(ISNUMBER(BB211),DF211,0)</f>
        <v>0</v>
      </c>
      <c r="FK211" s="28" t="n">
        <f aca="false">IF(ISNUMBER(BF211),DG211,0)</f>
        <v>0</v>
      </c>
      <c r="FL211" s="28" t="n">
        <f aca="false">IF(ISNUMBER(BJ211),DH211,0)</f>
        <v>0</v>
      </c>
      <c r="FM211" s="28" t="n">
        <f aca="false">IF(ISNUMBER(BN211),DI211,0)</f>
        <v>0</v>
      </c>
      <c r="FN211" s="28" t="n">
        <f aca="false">IF(ISNUMBER(BR211),DJ211,0)</f>
        <v>0</v>
      </c>
      <c r="FO211" s="28" t="str">
        <f aca="false">IFERROR(INDEX(Lists!$G$2:$G$20,MATCH($I211&amp;"|"&amp;$J211,Lists!$F$2:$F$20,0)),"")</f>
        <v>Geog Overall HL</v>
      </c>
    </row>
    <row r="212" customFormat="false" ht="19.5" hidden="false" customHeight="true" outlineLevel="0" collapsed="false">
      <c r="A212" s="29" t="s">
        <v>455</v>
      </c>
      <c r="B212" s="29" t="s">
        <v>456</v>
      </c>
      <c r="C212" s="30" t="s">
        <v>192</v>
      </c>
      <c r="D212" s="30" t="s">
        <v>177</v>
      </c>
      <c r="E212" s="31"/>
      <c r="F212" s="30" t="n">
        <v>8</v>
      </c>
      <c r="G212" s="30"/>
      <c r="H212" s="32" t="s">
        <v>428</v>
      </c>
      <c r="I212" s="33" t="s">
        <v>24</v>
      </c>
      <c r="J212" s="32" t="s">
        <v>25</v>
      </c>
      <c r="K212" s="34" t="str">
        <f aca="false">IF(OR(M212="",$E212=""),"",M212-$E212)</f>
        <v/>
      </c>
      <c r="L212" s="35" t="n">
        <f aca="false">IF(SUM(FA212:FN212)=0,"",SUM(EM212:EZ212)/SUM(FA212:FN212))</f>
        <v>45</v>
      </c>
      <c r="M212" s="36" t="n">
        <f aca="false">IF(OR(L212="",FO212=""),"",IFERROR(MATCH(L212,INDEX(Boundaries!$B$2:$I$30,MATCH(FO212,Boundaries!$A$2:$A$30,0),0),1)-1,""))</f>
        <v>4</v>
      </c>
      <c r="N212" s="37" t="str">
        <f aca="false">IF(COUNT($DY212:$EL212)&lt;2,"",INDEX($DK212:$DX212,MAX($DY212:$EL212))-INDEX($DK212:$DX212,MIN($DY212:$EL212)))</f>
        <v/>
      </c>
      <c r="O212" s="37" t="str">
        <f aca="false">IF(COUNT($DY212:$EL212)&lt;2,"",INDEX($DK212:$DX212,MAX($DY212:$EL212))-INDEX($DK212:$DX212,LARGE($DY212:$EL212,2)))</f>
        <v/>
      </c>
      <c r="P212" s="38" t="str">
        <f aca="false">IF(K212="","",IF(K212&gt;=0,"On/above target",IF(AND(N212&lt;&gt;"",N212&gt;=0.5),"Improving towards target",IF(AND(O212&lt;&gt;"",O212&lt;=-0.5),"Declining","Stable below target"))))</f>
        <v/>
      </c>
      <c r="Q212" s="39" t="n">
        <v>9</v>
      </c>
      <c r="R212" s="40" t="n">
        <f aca="false">IF(OR(Q212="",BU212=""),"",Q212/BU212*100)</f>
        <v>45</v>
      </c>
      <c r="S212" s="41" t="n">
        <f aca="false">IF(R212="","",IFERROR(MATCH(R212,INDEX(Boundaries!$B$2:$I$30,MATCH(CI212,Boundaries!$A$2:$A$30,0),0),1)-1,""))</f>
        <v>4</v>
      </c>
      <c r="T212" s="42" t="str">
        <f aca="false">IF(OR(S212="",$E212=""),"",S212-$E212)</f>
        <v/>
      </c>
      <c r="U212" s="39"/>
      <c r="V212" s="40" t="str">
        <f aca="false">IF(OR(U212="",BV212=""),"",U212/BV212*100)</f>
        <v/>
      </c>
      <c r="W212" s="41" t="str">
        <f aca="false">IF(V212="","",IFERROR(MATCH(V212,INDEX(Boundaries!$B$2:$I$30,MATCH(CJ212,Boundaries!$A$2:$A$30,0),0),1)-1,""))</f>
        <v/>
      </c>
      <c r="X212" s="42" t="str">
        <f aca="false">IF(OR(W212="",$E212=""),"",W212-$E212)</f>
        <v/>
      </c>
      <c r="Y212" s="39"/>
      <c r="Z212" s="40" t="str">
        <f aca="false">IF(OR(Y212="",BW212=""),"",Y212/BW212*100)</f>
        <v/>
      </c>
      <c r="AA212" s="41" t="str">
        <f aca="false">IF(Z212="","",IFERROR(MATCH(Z212,INDEX(Boundaries!$B$2:$I$30,MATCH(CK212,Boundaries!$A$2:$A$30,0),0),1)-1,""))</f>
        <v/>
      </c>
      <c r="AB212" s="42" t="str">
        <f aca="false">IF(OR(AA212="",$E212=""),"",AA212-$E212)</f>
        <v/>
      </c>
      <c r="AC212" s="39"/>
      <c r="AD212" s="40" t="str">
        <f aca="false">IF(OR(AC212="",BX212=""),"",AC212/BX212*100)</f>
        <v/>
      </c>
      <c r="AE212" s="41" t="str">
        <f aca="false">IF(AD212="","",IFERROR(MATCH(AD212,INDEX(Boundaries!$B$2:$I$30,MATCH(CL212,Boundaries!$A$2:$A$30,0),0),1)-1,""))</f>
        <v/>
      </c>
      <c r="AF212" s="42" t="str">
        <f aca="false">IF(OR(AE212="",$E212=""),"",AE212-$E212)</f>
        <v/>
      </c>
      <c r="AG212" s="39"/>
      <c r="AH212" s="40" t="str">
        <f aca="false">IF(OR(AG212="",BY212=""),"",AG212/BY212*100)</f>
        <v/>
      </c>
      <c r="AI212" s="41" t="str">
        <f aca="false">IF(AH212="","",IFERROR(MATCH(AH212,INDEX(Boundaries!$B$2:$I$30,MATCH(CM212,Boundaries!$A$2:$A$30,0),0),1)-1,""))</f>
        <v/>
      </c>
      <c r="AJ212" s="42" t="str">
        <f aca="false">IF(OR(AI212="",$E212=""),"",AI212-$E212)</f>
        <v/>
      </c>
      <c r="AK212" s="39"/>
      <c r="AL212" s="40" t="str">
        <f aca="false">IF(OR(AK212="",BZ212=""),"",AK212/BZ212*100)</f>
        <v/>
      </c>
      <c r="AM212" s="41" t="str">
        <f aca="false">IF(AL212="","",IFERROR(MATCH(AL212,INDEX(Boundaries!$B$2:$I$30,MATCH(CN212,Boundaries!$A$2:$A$30,0),0),1)-1,""))</f>
        <v/>
      </c>
      <c r="AN212" s="42" t="str">
        <f aca="false">IF(OR(AM212="",$E212=""),"",AM212-$E212)</f>
        <v/>
      </c>
      <c r="AO212" s="39"/>
      <c r="AP212" s="40" t="str">
        <f aca="false">IF(OR(AO212="",CA212=""),"",AO212/CA212*100)</f>
        <v/>
      </c>
      <c r="AQ212" s="41" t="str">
        <f aca="false">IF(AP212="","",IFERROR(MATCH(AP212,INDEX(Boundaries!$B$2:$I$30,MATCH(CO212,Boundaries!$A$2:$A$30,0),0),1)-1,""))</f>
        <v/>
      </c>
      <c r="AR212" s="42" t="str">
        <f aca="false">IF(OR(AQ212="",$E212=""),"",AQ212-$E212)</f>
        <v/>
      </c>
      <c r="AS212" s="39"/>
      <c r="AT212" s="40" t="str">
        <f aca="false">IF(OR(AS212="",CB212=""),"",AS212/CB212*100)</f>
        <v/>
      </c>
      <c r="AU212" s="41" t="str">
        <f aca="false">IF(AT212="","",IFERROR(MATCH(AT212,INDEX(Boundaries!$B$2:$I$30,MATCH(CP212,Boundaries!$A$2:$A$30,0),0),1)-1,""))</f>
        <v/>
      </c>
      <c r="AV212" s="42" t="str">
        <f aca="false">IF(OR(AU212="",$E212=""),"",AU212-$E212)</f>
        <v/>
      </c>
      <c r="AW212" s="39"/>
      <c r="AX212" s="40" t="str">
        <f aca="false">IF(OR(AW212="",CC212=""),"",AW212/CC212*100)</f>
        <v/>
      </c>
      <c r="AY212" s="41" t="str">
        <f aca="false">IF(AX212="","",IFERROR(MATCH(AX212,INDEX(Boundaries!$B$2:$I$30,MATCH(CQ212,Boundaries!$A$2:$A$30,0),0),1)-1,""))</f>
        <v/>
      </c>
      <c r="AZ212" s="42" t="str">
        <f aca="false">IF(OR(AY212="",$E212=""),"",AY212-$E212)</f>
        <v/>
      </c>
      <c r="BA212" s="39"/>
      <c r="BB212" s="40" t="str">
        <f aca="false">IF(OR(BA212="",CD212=""),"",BA212/CD212*100)</f>
        <v/>
      </c>
      <c r="BC212" s="41" t="str">
        <f aca="false">IF(BB212="","",IFERROR(MATCH(BB212,INDEX(Boundaries!$B$2:$I$30,MATCH(CR212,Boundaries!$A$2:$A$30,0),0),1)-1,""))</f>
        <v/>
      </c>
      <c r="BD212" s="42" t="str">
        <f aca="false">IF(OR(BC212="",$E212=""),"",BC212-$E212)</f>
        <v/>
      </c>
      <c r="BE212" s="39"/>
      <c r="BF212" s="40" t="str">
        <f aca="false">IF(OR(BE212="",CE212=""),"",BE212/CE212*100)</f>
        <v/>
      </c>
      <c r="BG212" s="41" t="str">
        <f aca="false">IF(BF212="","",IFERROR(MATCH(BF212,INDEX(Boundaries!$B$2:$I$30,MATCH(CS212,Boundaries!$A$2:$A$30,0),0),1)-1,""))</f>
        <v/>
      </c>
      <c r="BH212" s="42" t="str">
        <f aca="false">IF(OR(BG212="",$E212=""),"",BG212-$E212)</f>
        <v/>
      </c>
      <c r="BI212" s="39"/>
      <c r="BJ212" s="40" t="str">
        <f aca="false">IF(OR(BI212="",CF212=""),"",BI212/CF212*100)</f>
        <v/>
      </c>
      <c r="BK212" s="41" t="str">
        <f aca="false">IF(BJ212="","",IFERROR(MATCH(BJ212,INDEX(Boundaries!$B$2:$I$30,MATCH(CT212,Boundaries!$A$2:$A$30,0),0),1)-1,""))</f>
        <v/>
      </c>
      <c r="BL212" s="42" t="str">
        <f aca="false">IF(OR(BK212="",$E212=""),"",BK212-$E212)</f>
        <v/>
      </c>
      <c r="BM212" s="39"/>
      <c r="BN212" s="40" t="str">
        <f aca="false">IF(OR(BM212="",CG212=""),"",BM212/CG212*100)</f>
        <v/>
      </c>
      <c r="BO212" s="41" t="str">
        <f aca="false">IF(BN212="","",IFERROR(MATCH(BN212,INDEX(Boundaries!$B$2:$I$30,MATCH(CU212,Boundaries!$A$2:$A$30,0),0),1)-1,""))</f>
        <v/>
      </c>
      <c r="BP212" s="42" t="str">
        <f aca="false">IF(OR(BO212="",$E212=""),"",BO212-$E212)</f>
        <v/>
      </c>
      <c r="BQ212" s="39"/>
      <c r="BR212" s="40" t="str">
        <f aca="false">IF(OR(BQ212="",CH212=""),"",BQ212/CH212*100)</f>
        <v/>
      </c>
      <c r="BS212" s="41" t="str">
        <f aca="false">IF(BR212="","",IFERROR(MATCH(BR212,INDEX(Boundaries!$B$2:$I$30,MATCH(CV212,Boundaries!$A$2:$A$30,0),0),1)-1,""))</f>
        <v/>
      </c>
      <c r="BT212" s="42" t="str">
        <f aca="false">IF(OR(BS212="",$E212=""),"",BS212-$E212)</f>
        <v/>
      </c>
      <c r="BU212" s="28" t="n">
        <f aca="false">IFERROR(INDEX(Assessments!$H$2:$H$600,MATCH($H212&amp;"|"&amp;$I212&amp;"|"&amp;$J212&amp;"|"&amp;1,Assessments!$A$2:$A$600,0)),"")</f>
        <v>20</v>
      </c>
      <c r="BV212" s="28" t="n">
        <f aca="false">IFERROR(INDEX(Assessments!$H$2:$H$600,MATCH($H212&amp;"|"&amp;$I212&amp;"|"&amp;$J212&amp;"|"&amp;2,Assessments!$A$2:$A$600,0)),"")</f>
        <v>20</v>
      </c>
      <c r="BW212" s="28" t="n">
        <f aca="false">IFERROR(INDEX(Assessments!$H$2:$H$600,MATCH($H212&amp;"|"&amp;$I212&amp;"|"&amp;$J212&amp;"|"&amp;3,Assessments!$A$2:$A$600,0)),"")</f>
        <v>20</v>
      </c>
      <c r="BX212" s="28" t="n">
        <f aca="false">IFERROR(INDEX(Assessments!$H$2:$H$600,MATCH($H212&amp;"|"&amp;$I212&amp;"|"&amp;$J212&amp;"|"&amp;4,Assessments!$A$2:$A$600,0)),"")</f>
        <v>20</v>
      </c>
      <c r="BY212" s="28" t="n">
        <f aca="false">IFERROR(INDEX(Assessments!$H$2:$H$600,MATCH($H212&amp;"|"&amp;$I212&amp;"|"&amp;$J212&amp;"|"&amp;5,Assessments!$A$2:$A$600,0)),"")</f>
        <v>20</v>
      </c>
      <c r="BZ212" s="28" t="n">
        <f aca="false">IFERROR(INDEX(Assessments!$H$2:$H$600,MATCH($H212&amp;"|"&amp;$I212&amp;"|"&amp;$J212&amp;"|"&amp;6,Assessments!$A$2:$A$600,0)),"")</f>
        <v>40</v>
      </c>
      <c r="CA212" s="28" t="n">
        <f aca="false">IFERROR(INDEX(Assessments!$H$2:$H$600,MATCH($H212&amp;"|"&amp;$I212&amp;"|"&amp;$J212&amp;"|"&amp;7,Assessments!$A$2:$A$600,0)),"")</f>
        <v>50</v>
      </c>
      <c r="CB212" s="28" t="str">
        <f aca="false">IFERROR(INDEX(Assessments!$H$2:$H$600,MATCH($H212&amp;"|"&amp;$I212&amp;"|"&amp;$J212&amp;"|"&amp;8,Assessments!$A$2:$A$600,0)),"")</f>
        <v/>
      </c>
      <c r="CC212" s="28" t="str">
        <f aca="false">IFERROR(INDEX(Assessments!$H$2:$H$600,MATCH($H212&amp;"|"&amp;$I212&amp;"|"&amp;$J212&amp;"|"&amp;9,Assessments!$A$2:$A$600,0)),"")</f>
        <v/>
      </c>
      <c r="CD212" s="28" t="str">
        <f aca="false">IFERROR(INDEX(Assessments!$H$2:$H$600,MATCH($H212&amp;"|"&amp;$I212&amp;"|"&amp;$J212&amp;"|"&amp;10,Assessments!$A$2:$A$600,0)),"")</f>
        <v/>
      </c>
      <c r="CE212" s="28" t="str">
        <f aca="false">IFERROR(INDEX(Assessments!$H$2:$H$600,MATCH($H212&amp;"|"&amp;$I212&amp;"|"&amp;$J212&amp;"|"&amp;11,Assessments!$A$2:$A$600,0)),"")</f>
        <v/>
      </c>
      <c r="CF212" s="28" t="str">
        <f aca="false">IFERROR(INDEX(Assessments!$H$2:$H$600,MATCH($H212&amp;"|"&amp;$I212&amp;"|"&amp;$J212&amp;"|"&amp;12,Assessments!$A$2:$A$600,0)),"")</f>
        <v/>
      </c>
      <c r="CG212" s="28" t="str">
        <f aca="false">IFERROR(INDEX(Assessments!$H$2:$H$600,MATCH($H212&amp;"|"&amp;$I212&amp;"|"&amp;$J212&amp;"|"&amp;13,Assessments!$A$2:$A$600,0)),"")</f>
        <v/>
      </c>
      <c r="CH212" s="28" t="str">
        <f aca="false">IFERROR(INDEX(Assessments!$H$2:$H$600,MATCH($H212&amp;"|"&amp;$I212&amp;"|"&amp;$J212&amp;"|"&amp;14,Assessments!$A$2:$A$600,0)),"")</f>
        <v/>
      </c>
      <c r="CI212" s="28" t="str">
        <f aca="false">IFERROR(INDEX(Assessments!$I$2:$I$600,MATCH($H212&amp;"|"&amp;$I212&amp;"|"&amp;$J212&amp;"|"&amp;1,Assessments!$A$2:$A$600,0)),"")</f>
        <v>Geog Paper 1</v>
      </c>
      <c r="CJ212" s="28" t="str">
        <f aca="false">IFERROR(INDEX(Assessments!$I$2:$I$600,MATCH($H212&amp;"|"&amp;$I212&amp;"|"&amp;$J212&amp;"|"&amp;2,Assessments!$A$2:$A$600,0)),"")</f>
        <v>Geog Paper 1</v>
      </c>
      <c r="CK212" s="28" t="str">
        <f aca="false">IFERROR(INDEX(Assessments!$I$2:$I$600,MATCH($H212&amp;"|"&amp;$I212&amp;"|"&amp;$J212&amp;"|"&amp;3,Assessments!$A$2:$A$600,0)),"")</f>
        <v>Geog Paper 2</v>
      </c>
      <c r="CL212" s="28" t="str">
        <f aca="false">IFERROR(INDEX(Assessments!$I$2:$I$600,MATCH($H212&amp;"|"&amp;$I212&amp;"|"&amp;$J212&amp;"|"&amp;4,Assessments!$A$2:$A$600,0)),"")</f>
        <v>Geog Paper 1</v>
      </c>
      <c r="CM212" s="28" t="str">
        <f aca="false">IFERROR(INDEX(Assessments!$I$2:$I$600,MATCH($H212&amp;"|"&amp;$I212&amp;"|"&amp;$J212&amp;"|"&amp;5,Assessments!$A$2:$A$600,0)),"")</f>
        <v>Geog Paper 1</v>
      </c>
      <c r="CN212" s="28" t="str">
        <f aca="false">IFERROR(INDEX(Assessments!$I$2:$I$600,MATCH($H212&amp;"|"&amp;$I212&amp;"|"&amp;$J212&amp;"|"&amp;6,Assessments!$A$2:$A$600,0)),"")</f>
        <v>Geog Paper 1</v>
      </c>
      <c r="CO212" s="28" t="str">
        <f aca="false">IFERROR(INDEX(Assessments!$I$2:$I$600,MATCH($H212&amp;"|"&amp;$I212&amp;"|"&amp;$J212&amp;"|"&amp;7,Assessments!$A$2:$A$600,0)),"")</f>
        <v>Geog Paper 2</v>
      </c>
      <c r="CP212" s="28" t="str">
        <f aca="false">IFERROR(INDEX(Assessments!$I$2:$I$600,MATCH($H212&amp;"|"&amp;$I212&amp;"|"&amp;$J212&amp;"|"&amp;8,Assessments!$A$2:$A$600,0)),"")</f>
        <v/>
      </c>
      <c r="CQ212" s="28" t="str">
        <f aca="false">IFERROR(INDEX(Assessments!$I$2:$I$600,MATCH($H212&amp;"|"&amp;$I212&amp;"|"&amp;$J212&amp;"|"&amp;9,Assessments!$A$2:$A$600,0)),"")</f>
        <v/>
      </c>
      <c r="CR212" s="28" t="str">
        <f aca="false">IFERROR(INDEX(Assessments!$I$2:$I$600,MATCH($H212&amp;"|"&amp;$I212&amp;"|"&amp;$J212&amp;"|"&amp;10,Assessments!$A$2:$A$600,0)),"")</f>
        <v/>
      </c>
      <c r="CS212" s="28" t="str">
        <f aca="false">IFERROR(INDEX(Assessments!$I$2:$I$600,MATCH($H212&amp;"|"&amp;$I212&amp;"|"&amp;$J212&amp;"|"&amp;11,Assessments!$A$2:$A$600,0)),"")</f>
        <v/>
      </c>
      <c r="CT212" s="28" t="str">
        <f aca="false">IFERROR(INDEX(Assessments!$I$2:$I$600,MATCH($H212&amp;"|"&amp;$I212&amp;"|"&amp;$J212&amp;"|"&amp;12,Assessments!$A$2:$A$600,0)),"")</f>
        <v/>
      </c>
      <c r="CU212" s="28" t="str">
        <f aca="false">IFERROR(INDEX(Assessments!$I$2:$I$600,MATCH($H212&amp;"|"&amp;$I212&amp;"|"&amp;$J212&amp;"|"&amp;13,Assessments!$A$2:$A$600,0)),"")</f>
        <v/>
      </c>
      <c r="CV212" s="28" t="str">
        <f aca="false">IFERROR(INDEX(Assessments!$I$2:$I$600,MATCH($H212&amp;"|"&amp;$I212&amp;"|"&amp;$J212&amp;"|"&amp;14,Assessments!$A$2:$A$600,0)),"")</f>
        <v/>
      </c>
      <c r="CW212" s="28" t="n">
        <f aca="false">IFERROR(INDEX(Assessments!$J$2:$J$600,MATCH($H212&amp;"|"&amp;$I212&amp;"|"&amp;$J212&amp;"|"&amp;1,Assessments!$A$2:$A$600,0)),0)</f>
        <v>1</v>
      </c>
      <c r="CX212" s="28" t="n">
        <f aca="false">IFERROR(INDEX(Assessments!$J$2:$J$600,MATCH($H212&amp;"|"&amp;$I212&amp;"|"&amp;$J212&amp;"|"&amp;2,Assessments!$A$2:$A$600,0)),0)</f>
        <v>1</v>
      </c>
      <c r="CY212" s="28" t="n">
        <f aca="false">IFERROR(INDEX(Assessments!$J$2:$J$600,MATCH($H212&amp;"|"&amp;$I212&amp;"|"&amp;$J212&amp;"|"&amp;3,Assessments!$A$2:$A$600,0)),0)</f>
        <v>1</v>
      </c>
      <c r="CZ212" s="28" t="n">
        <f aca="false">IFERROR(INDEX(Assessments!$J$2:$J$600,MATCH($H212&amp;"|"&amp;$I212&amp;"|"&amp;$J212&amp;"|"&amp;4,Assessments!$A$2:$A$600,0)),0)</f>
        <v>1</v>
      </c>
      <c r="DA212" s="28" t="n">
        <f aca="false">IFERROR(INDEX(Assessments!$J$2:$J$600,MATCH($H212&amp;"|"&amp;$I212&amp;"|"&amp;$J212&amp;"|"&amp;5,Assessments!$A$2:$A$600,0)),0)</f>
        <v>1</v>
      </c>
      <c r="DB212" s="28" t="n">
        <f aca="false">IFERROR(INDEX(Assessments!$J$2:$J$600,MATCH($H212&amp;"|"&amp;$I212&amp;"|"&amp;$J212&amp;"|"&amp;6,Assessments!$A$2:$A$600,0)),0)</f>
        <v>2</v>
      </c>
      <c r="DC212" s="28" t="n">
        <f aca="false">IFERROR(INDEX(Assessments!$J$2:$J$600,MATCH($H212&amp;"|"&amp;$I212&amp;"|"&amp;$J212&amp;"|"&amp;7,Assessments!$A$2:$A$600,0)),0)</f>
        <v>2</v>
      </c>
      <c r="DD212" s="28" t="n">
        <f aca="false">IFERROR(INDEX(Assessments!$J$2:$J$600,MATCH($H212&amp;"|"&amp;$I212&amp;"|"&amp;$J212&amp;"|"&amp;8,Assessments!$A$2:$A$600,0)),0)</f>
        <v>0</v>
      </c>
      <c r="DE212" s="28" t="n">
        <f aca="false">IFERROR(INDEX(Assessments!$J$2:$J$600,MATCH($H212&amp;"|"&amp;$I212&amp;"|"&amp;$J212&amp;"|"&amp;9,Assessments!$A$2:$A$600,0)),0)</f>
        <v>0</v>
      </c>
      <c r="DF212" s="28" t="n">
        <f aca="false">IFERROR(INDEX(Assessments!$J$2:$J$600,MATCH($H212&amp;"|"&amp;$I212&amp;"|"&amp;$J212&amp;"|"&amp;10,Assessments!$A$2:$A$600,0)),0)</f>
        <v>0</v>
      </c>
      <c r="DG212" s="28" t="n">
        <f aca="false">IFERROR(INDEX(Assessments!$J$2:$J$600,MATCH($H212&amp;"|"&amp;$I212&amp;"|"&amp;$J212&amp;"|"&amp;11,Assessments!$A$2:$A$600,0)),0)</f>
        <v>0</v>
      </c>
      <c r="DH212" s="28" t="n">
        <f aca="false">IFERROR(INDEX(Assessments!$J$2:$J$600,MATCH($H212&amp;"|"&amp;$I212&amp;"|"&amp;$J212&amp;"|"&amp;12,Assessments!$A$2:$A$600,0)),0)</f>
        <v>0</v>
      </c>
      <c r="DI212" s="28" t="n">
        <f aca="false">IFERROR(INDEX(Assessments!$J$2:$J$600,MATCH($H212&amp;"|"&amp;$I212&amp;"|"&amp;$J212&amp;"|"&amp;13,Assessments!$A$2:$A$600,0)),0)</f>
        <v>0</v>
      </c>
      <c r="DJ212" s="28" t="n">
        <f aca="false">IFERROR(INDEX(Assessments!$J$2:$J$600,MATCH($H212&amp;"|"&amp;$I212&amp;"|"&amp;$J212&amp;"|"&amp;14,Assessments!$A$2:$A$600,0)),0)</f>
        <v>0</v>
      </c>
      <c r="DK212" s="28" t="n">
        <f aca="false">S212</f>
        <v>4</v>
      </c>
      <c r="DL212" s="28" t="str">
        <f aca="false">W212</f>
        <v/>
      </c>
      <c r="DM212" s="28" t="str">
        <f aca="false">AA212</f>
        <v/>
      </c>
      <c r="DN212" s="28" t="str">
        <f aca="false">AE212</f>
        <v/>
      </c>
      <c r="DO212" s="28" t="str">
        <f aca="false">AI212</f>
        <v/>
      </c>
      <c r="DP212" s="28" t="str">
        <f aca="false">AM212</f>
        <v/>
      </c>
      <c r="DQ212" s="28" t="str">
        <f aca="false">AQ212</f>
        <v/>
      </c>
      <c r="DR212" s="28" t="str">
        <f aca="false">AU212</f>
        <v/>
      </c>
      <c r="DS212" s="28" t="str">
        <f aca="false">AY212</f>
        <v/>
      </c>
      <c r="DT212" s="28" t="str">
        <f aca="false">BC212</f>
        <v/>
      </c>
      <c r="DU212" s="28" t="str">
        <f aca="false">BG212</f>
        <v/>
      </c>
      <c r="DV212" s="28" t="str">
        <f aca="false">BK212</f>
        <v/>
      </c>
      <c r="DW212" s="28" t="str">
        <f aca="false">BO212</f>
        <v/>
      </c>
      <c r="DX212" s="28" t="str">
        <f aca="false">BS212</f>
        <v/>
      </c>
      <c r="DY212" s="28" t="n">
        <f aca="false">IF(ISNUMBER(S212),1,"")</f>
        <v>1</v>
      </c>
      <c r="DZ212" s="28" t="str">
        <f aca="false">IF(ISNUMBER(W212),2,"")</f>
        <v/>
      </c>
      <c r="EA212" s="28" t="str">
        <f aca="false">IF(ISNUMBER(AA212),3,"")</f>
        <v/>
      </c>
      <c r="EB212" s="28" t="str">
        <f aca="false">IF(ISNUMBER(AE212),4,"")</f>
        <v/>
      </c>
      <c r="EC212" s="28" t="str">
        <f aca="false">IF(ISNUMBER(AI212),5,"")</f>
        <v/>
      </c>
      <c r="ED212" s="28" t="str">
        <f aca="false">IF(ISNUMBER(AM212),6,"")</f>
        <v/>
      </c>
      <c r="EE212" s="28" t="str">
        <f aca="false">IF(ISNUMBER(AQ212),7,"")</f>
        <v/>
      </c>
      <c r="EF212" s="28" t="str">
        <f aca="false">IF(ISNUMBER(AU212),8,"")</f>
        <v/>
      </c>
      <c r="EG212" s="28" t="str">
        <f aca="false">IF(ISNUMBER(AY212),9,"")</f>
        <v/>
      </c>
      <c r="EH212" s="28" t="str">
        <f aca="false">IF(ISNUMBER(BC212),10,"")</f>
        <v/>
      </c>
      <c r="EI212" s="28" t="str">
        <f aca="false">IF(ISNUMBER(BG212),11,"")</f>
        <v/>
      </c>
      <c r="EJ212" s="28" t="str">
        <f aca="false">IF(ISNUMBER(BK212),12,"")</f>
        <v/>
      </c>
      <c r="EK212" s="28" t="str">
        <f aca="false">IF(ISNUMBER(BO212),13,"")</f>
        <v/>
      </c>
      <c r="EL212" s="28" t="str">
        <f aca="false">IF(ISNUMBER(BS212),14,"")</f>
        <v/>
      </c>
      <c r="EM212" s="28" t="n">
        <f aca="false">IF(ISNUMBER(R212),R212*CW212,0)</f>
        <v>45</v>
      </c>
      <c r="EN212" s="28" t="n">
        <f aca="false">IF(ISNUMBER(V212),V212*CX212,0)</f>
        <v>0</v>
      </c>
      <c r="EO212" s="28" t="n">
        <f aca="false">IF(ISNUMBER(Z212),Z212*CY212,0)</f>
        <v>0</v>
      </c>
      <c r="EP212" s="28" t="n">
        <f aca="false">IF(ISNUMBER(AD212),AD212*CZ212,0)</f>
        <v>0</v>
      </c>
      <c r="EQ212" s="28" t="n">
        <f aca="false">IF(ISNUMBER(AH212),AH212*DA212,0)</f>
        <v>0</v>
      </c>
      <c r="ER212" s="28" t="n">
        <f aca="false">IF(ISNUMBER(AL212),AL212*DB212,0)</f>
        <v>0</v>
      </c>
      <c r="ES212" s="28" t="n">
        <f aca="false">IF(ISNUMBER(AP212),AP212*DC212,0)</f>
        <v>0</v>
      </c>
      <c r="ET212" s="28" t="n">
        <f aca="false">IF(ISNUMBER(AT212),AT212*DD212,0)</f>
        <v>0</v>
      </c>
      <c r="EU212" s="28" t="n">
        <f aca="false">IF(ISNUMBER(AX212),AX212*DE212,0)</f>
        <v>0</v>
      </c>
      <c r="EV212" s="28" t="n">
        <f aca="false">IF(ISNUMBER(BB212),BB212*DF212,0)</f>
        <v>0</v>
      </c>
      <c r="EW212" s="28" t="n">
        <f aca="false">IF(ISNUMBER(BF212),BF212*DG212,0)</f>
        <v>0</v>
      </c>
      <c r="EX212" s="28" t="n">
        <f aca="false">IF(ISNUMBER(BJ212),BJ212*DH212,0)</f>
        <v>0</v>
      </c>
      <c r="EY212" s="28" t="n">
        <f aca="false">IF(ISNUMBER(BN212),BN212*DI212,0)</f>
        <v>0</v>
      </c>
      <c r="EZ212" s="28" t="n">
        <f aca="false">IF(ISNUMBER(BR212),BR212*DJ212,0)</f>
        <v>0</v>
      </c>
      <c r="FA212" s="28" t="n">
        <f aca="false">IF(ISNUMBER(R212),CW212,0)</f>
        <v>1</v>
      </c>
      <c r="FB212" s="28" t="n">
        <f aca="false">IF(ISNUMBER(V212),CX212,0)</f>
        <v>0</v>
      </c>
      <c r="FC212" s="28" t="n">
        <f aca="false">IF(ISNUMBER(Z212),CY212,0)</f>
        <v>0</v>
      </c>
      <c r="FD212" s="28" t="n">
        <f aca="false">IF(ISNUMBER(AD212),CZ212,0)</f>
        <v>0</v>
      </c>
      <c r="FE212" s="28" t="n">
        <f aca="false">IF(ISNUMBER(AH212),DA212,0)</f>
        <v>0</v>
      </c>
      <c r="FF212" s="28" t="n">
        <f aca="false">IF(ISNUMBER(AL212),DB212,0)</f>
        <v>0</v>
      </c>
      <c r="FG212" s="28" t="n">
        <f aca="false">IF(ISNUMBER(AP212),DC212,0)</f>
        <v>0</v>
      </c>
      <c r="FH212" s="28" t="n">
        <f aca="false">IF(ISNUMBER(AT212),DD212,0)</f>
        <v>0</v>
      </c>
      <c r="FI212" s="28" t="n">
        <f aca="false">IF(ISNUMBER(AX212),DE212,0)</f>
        <v>0</v>
      </c>
      <c r="FJ212" s="28" t="n">
        <f aca="false">IF(ISNUMBER(BB212),DF212,0)</f>
        <v>0</v>
      </c>
      <c r="FK212" s="28" t="n">
        <f aca="false">IF(ISNUMBER(BF212),DG212,0)</f>
        <v>0</v>
      </c>
      <c r="FL212" s="28" t="n">
        <f aca="false">IF(ISNUMBER(BJ212),DH212,0)</f>
        <v>0</v>
      </c>
      <c r="FM212" s="28" t="n">
        <f aca="false">IF(ISNUMBER(BN212),DI212,0)</f>
        <v>0</v>
      </c>
      <c r="FN212" s="28" t="n">
        <f aca="false">IF(ISNUMBER(BR212),DJ212,0)</f>
        <v>0</v>
      </c>
      <c r="FO212" s="28" t="str">
        <f aca="false">IFERROR(INDEX(Lists!$G$2:$G$20,MATCH($I212&amp;"|"&amp;$J212,Lists!$F$2:$F$20,0)),"")</f>
        <v>Geog Overall HL</v>
      </c>
    </row>
    <row r="213" customFormat="false" ht="19.5" hidden="false" customHeight="true" outlineLevel="0" collapsed="false">
      <c r="A213" s="29" t="s">
        <v>457</v>
      </c>
      <c r="B213" s="29" t="s">
        <v>458</v>
      </c>
      <c r="C213" s="30" t="s">
        <v>152</v>
      </c>
      <c r="D213" s="30" t="s">
        <v>153</v>
      </c>
      <c r="E213" s="31"/>
      <c r="F213" s="30"/>
      <c r="G213" s="30"/>
      <c r="H213" s="32" t="s">
        <v>428</v>
      </c>
      <c r="I213" s="33" t="s">
        <v>24</v>
      </c>
      <c r="J213" s="32" t="s">
        <v>223</v>
      </c>
      <c r="K213" s="34" t="str">
        <f aca="false">IF(OR(M213="",$E213=""),"",M213-$E213)</f>
        <v/>
      </c>
      <c r="L213" s="35" t="str">
        <f aca="false">IF(SUM(FA213:FN213)=0,"",SUM(EM213:EZ213)/SUM(FA213:FN213))</f>
        <v/>
      </c>
      <c r="M213" s="36" t="str">
        <f aca="false">IF(OR(L213="",FO213=""),"",IFERROR(MATCH(L213,INDEX(Boundaries!$B$2:$I$30,MATCH(FO213,Boundaries!$A$2:$A$30,0),0),1)-1,""))</f>
        <v/>
      </c>
      <c r="N213" s="37" t="str">
        <f aca="false">IF(COUNT($DY213:$EL213)&lt;2,"",INDEX($DK213:$DX213,MAX($DY213:$EL213))-INDEX($DK213:$DX213,MIN($DY213:$EL213)))</f>
        <v/>
      </c>
      <c r="O213" s="37" t="str">
        <f aca="false">IF(COUNT($DY213:$EL213)&lt;2,"",INDEX($DK213:$DX213,MAX($DY213:$EL213))-INDEX($DK213:$DX213,LARGE($DY213:$EL213,2)))</f>
        <v/>
      </c>
      <c r="P213" s="38" t="str">
        <f aca="false">IF(K213="","",IF(K213&gt;=0,"On/above target",IF(AND(N213&lt;&gt;"",N213&gt;=0.5),"Improving towards target",IF(AND(O213&lt;&gt;"",O213&lt;=-0.5),"Declining","Stable below target"))))</f>
        <v/>
      </c>
      <c r="Q213" s="39"/>
      <c r="R213" s="40" t="str">
        <f aca="false">IF(OR(Q213="",BU213=""),"",Q213/BU213*100)</f>
        <v/>
      </c>
      <c r="S213" s="41" t="str">
        <f aca="false">IF(R213="","",IFERROR(MATCH(R213,INDEX(Boundaries!$B$2:$I$30,MATCH(CI213,Boundaries!$A$2:$A$30,0),0),1)-1,""))</f>
        <v/>
      </c>
      <c r="T213" s="42" t="str">
        <f aca="false">IF(OR(S213="",$E213=""),"",S213-$E213)</f>
        <v/>
      </c>
      <c r="U213" s="39"/>
      <c r="V213" s="40" t="str">
        <f aca="false">IF(OR(U213="",BV213=""),"",U213/BV213*100)</f>
        <v/>
      </c>
      <c r="W213" s="41" t="str">
        <f aca="false">IF(V213="","",IFERROR(MATCH(V213,INDEX(Boundaries!$B$2:$I$30,MATCH(CJ213,Boundaries!$A$2:$A$30,0),0),1)-1,""))</f>
        <v/>
      </c>
      <c r="X213" s="42" t="str">
        <f aca="false">IF(OR(W213="",$E213=""),"",W213-$E213)</f>
        <v/>
      </c>
      <c r="Y213" s="39"/>
      <c r="Z213" s="40" t="str">
        <f aca="false">IF(OR(Y213="",BW213=""),"",Y213/BW213*100)</f>
        <v/>
      </c>
      <c r="AA213" s="41" t="str">
        <f aca="false">IF(Z213="","",IFERROR(MATCH(Z213,INDEX(Boundaries!$B$2:$I$30,MATCH(CK213,Boundaries!$A$2:$A$30,0),0),1)-1,""))</f>
        <v/>
      </c>
      <c r="AB213" s="42" t="str">
        <f aca="false">IF(OR(AA213="",$E213=""),"",AA213-$E213)</f>
        <v/>
      </c>
      <c r="AC213" s="39"/>
      <c r="AD213" s="40" t="str">
        <f aca="false">IF(OR(AC213="",BX213=""),"",AC213/BX213*100)</f>
        <v/>
      </c>
      <c r="AE213" s="41" t="str">
        <f aca="false">IF(AD213="","",IFERROR(MATCH(AD213,INDEX(Boundaries!$B$2:$I$30,MATCH(CL213,Boundaries!$A$2:$A$30,0),0),1)-1,""))</f>
        <v/>
      </c>
      <c r="AF213" s="42" t="str">
        <f aca="false">IF(OR(AE213="",$E213=""),"",AE213-$E213)</f>
        <v/>
      </c>
      <c r="AG213" s="39"/>
      <c r="AH213" s="40" t="str">
        <f aca="false">IF(OR(AG213="",BY213=""),"",AG213/BY213*100)</f>
        <v/>
      </c>
      <c r="AI213" s="41" t="str">
        <f aca="false">IF(AH213="","",IFERROR(MATCH(AH213,INDEX(Boundaries!$B$2:$I$30,MATCH(CM213,Boundaries!$A$2:$A$30,0),0),1)-1,""))</f>
        <v/>
      </c>
      <c r="AJ213" s="42" t="str">
        <f aca="false">IF(OR(AI213="",$E213=""),"",AI213-$E213)</f>
        <v/>
      </c>
      <c r="AK213" s="39"/>
      <c r="AL213" s="40" t="str">
        <f aca="false">IF(OR(AK213="",BZ213=""),"",AK213/BZ213*100)</f>
        <v/>
      </c>
      <c r="AM213" s="41" t="str">
        <f aca="false">IF(AL213="","",IFERROR(MATCH(AL213,INDEX(Boundaries!$B$2:$I$30,MATCH(CN213,Boundaries!$A$2:$A$30,0),0),1)-1,""))</f>
        <v/>
      </c>
      <c r="AN213" s="42" t="str">
        <f aca="false">IF(OR(AM213="",$E213=""),"",AM213-$E213)</f>
        <v/>
      </c>
      <c r="AO213" s="39"/>
      <c r="AP213" s="40" t="str">
        <f aca="false">IF(OR(AO213="",CA213=""),"",AO213/CA213*100)</f>
        <v/>
      </c>
      <c r="AQ213" s="41" t="str">
        <f aca="false">IF(AP213="","",IFERROR(MATCH(AP213,INDEX(Boundaries!$B$2:$I$30,MATCH(CO213,Boundaries!$A$2:$A$30,0),0),1)-1,""))</f>
        <v/>
      </c>
      <c r="AR213" s="42" t="str">
        <f aca="false">IF(OR(AQ213="",$E213=""),"",AQ213-$E213)</f>
        <v/>
      </c>
      <c r="AS213" s="39"/>
      <c r="AT213" s="40" t="str">
        <f aca="false">IF(OR(AS213="",CB213=""),"",AS213/CB213*100)</f>
        <v/>
      </c>
      <c r="AU213" s="41" t="str">
        <f aca="false">IF(AT213="","",IFERROR(MATCH(AT213,INDEX(Boundaries!$B$2:$I$30,MATCH(CP213,Boundaries!$A$2:$A$30,0),0),1)-1,""))</f>
        <v/>
      </c>
      <c r="AV213" s="42" t="str">
        <f aca="false">IF(OR(AU213="",$E213=""),"",AU213-$E213)</f>
        <v/>
      </c>
      <c r="AW213" s="39"/>
      <c r="AX213" s="40" t="str">
        <f aca="false">IF(OR(AW213="",CC213=""),"",AW213/CC213*100)</f>
        <v/>
      </c>
      <c r="AY213" s="41" t="str">
        <f aca="false">IF(AX213="","",IFERROR(MATCH(AX213,INDEX(Boundaries!$B$2:$I$30,MATCH(CQ213,Boundaries!$A$2:$A$30,0),0),1)-1,""))</f>
        <v/>
      </c>
      <c r="AZ213" s="42" t="str">
        <f aca="false">IF(OR(AY213="",$E213=""),"",AY213-$E213)</f>
        <v/>
      </c>
      <c r="BA213" s="39"/>
      <c r="BB213" s="40" t="str">
        <f aca="false">IF(OR(BA213="",CD213=""),"",BA213/CD213*100)</f>
        <v/>
      </c>
      <c r="BC213" s="41" t="str">
        <f aca="false">IF(BB213="","",IFERROR(MATCH(BB213,INDEX(Boundaries!$B$2:$I$30,MATCH(CR213,Boundaries!$A$2:$A$30,0),0),1)-1,""))</f>
        <v/>
      </c>
      <c r="BD213" s="42" t="str">
        <f aca="false">IF(OR(BC213="",$E213=""),"",BC213-$E213)</f>
        <v/>
      </c>
      <c r="BE213" s="39"/>
      <c r="BF213" s="40" t="str">
        <f aca="false">IF(OR(BE213="",CE213=""),"",BE213/CE213*100)</f>
        <v/>
      </c>
      <c r="BG213" s="41" t="str">
        <f aca="false">IF(BF213="","",IFERROR(MATCH(BF213,INDEX(Boundaries!$B$2:$I$30,MATCH(CS213,Boundaries!$A$2:$A$30,0),0),1)-1,""))</f>
        <v/>
      </c>
      <c r="BH213" s="42" t="str">
        <f aca="false">IF(OR(BG213="",$E213=""),"",BG213-$E213)</f>
        <v/>
      </c>
      <c r="BI213" s="39"/>
      <c r="BJ213" s="40" t="str">
        <f aca="false">IF(OR(BI213="",CF213=""),"",BI213/CF213*100)</f>
        <v/>
      </c>
      <c r="BK213" s="41" t="str">
        <f aca="false">IF(BJ213="","",IFERROR(MATCH(BJ213,INDEX(Boundaries!$B$2:$I$30,MATCH(CT213,Boundaries!$A$2:$A$30,0),0),1)-1,""))</f>
        <v/>
      </c>
      <c r="BL213" s="42" t="str">
        <f aca="false">IF(OR(BK213="",$E213=""),"",BK213-$E213)</f>
        <v/>
      </c>
      <c r="BM213" s="39"/>
      <c r="BN213" s="40" t="str">
        <f aca="false">IF(OR(BM213="",CG213=""),"",BM213/CG213*100)</f>
        <v/>
      </c>
      <c r="BO213" s="41" t="str">
        <f aca="false">IF(BN213="","",IFERROR(MATCH(BN213,INDEX(Boundaries!$B$2:$I$30,MATCH(CU213,Boundaries!$A$2:$A$30,0),0),1)-1,""))</f>
        <v/>
      </c>
      <c r="BP213" s="42" t="str">
        <f aca="false">IF(OR(BO213="",$E213=""),"",BO213-$E213)</f>
        <v/>
      </c>
      <c r="BQ213" s="39"/>
      <c r="BR213" s="40" t="str">
        <f aca="false">IF(OR(BQ213="",CH213=""),"",BQ213/CH213*100)</f>
        <v/>
      </c>
      <c r="BS213" s="41" t="str">
        <f aca="false">IF(BR213="","",IFERROR(MATCH(BR213,INDEX(Boundaries!$B$2:$I$30,MATCH(CV213,Boundaries!$A$2:$A$30,0),0),1)-1,""))</f>
        <v/>
      </c>
      <c r="BT213" s="42" t="str">
        <f aca="false">IF(OR(BS213="",$E213=""),"",BS213-$E213)</f>
        <v/>
      </c>
      <c r="BU213" s="28" t="n">
        <f aca="false">IFERROR(INDEX(Assessments!$H$2:$H$600,MATCH($H213&amp;"|"&amp;$I213&amp;"|"&amp;$J213&amp;"|"&amp;1,Assessments!$A$2:$A$600,0)),"")</f>
        <v>10</v>
      </c>
      <c r="BV213" s="28" t="n">
        <f aca="false">IFERROR(INDEX(Assessments!$H$2:$H$600,MATCH($H213&amp;"|"&amp;$I213&amp;"|"&amp;$J213&amp;"|"&amp;2,Assessments!$A$2:$A$600,0)),"")</f>
        <v>10</v>
      </c>
      <c r="BW213" s="28" t="n">
        <f aca="false">IFERROR(INDEX(Assessments!$H$2:$H$600,MATCH($H213&amp;"|"&amp;$I213&amp;"|"&amp;$J213&amp;"|"&amp;3,Assessments!$A$2:$A$600,0)),"")</f>
        <v>20</v>
      </c>
      <c r="BX213" s="28" t="n">
        <f aca="false">IFERROR(INDEX(Assessments!$H$2:$H$600,MATCH($H213&amp;"|"&amp;$I213&amp;"|"&amp;$J213&amp;"|"&amp;4,Assessments!$A$2:$A$600,0)),"")</f>
        <v>20</v>
      </c>
      <c r="BY213" s="28" t="n">
        <f aca="false">IFERROR(INDEX(Assessments!$H$2:$H$600,MATCH($H213&amp;"|"&amp;$I213&amp;"|"&amp;$J213&amp;"|"&amp;5,Assessments!$A$2:$A$600,0)),"")</f>
        <v>50</v>
      </c>
      <c r="BZ213" s="28" t="str">
        <f aca="false">IFERROR(INDEX(Assessments!$H$2:$H$600,MATCH($H213&amp;"|"&amp;$I213&amp;"|"&amp;$J213&amp;"|"&amp;6,Assessments!$A$2:$A$600,0)),"")</f>
        <v/>
      </c>
      <c r="CA213" s="28" t="str">
        <f aca="false">IFERROR(INDEX(Assessments!$H$2:$H$600,MATCH($H213&amp;"|"&amp;$I213&amp;"|"&amp;$J213&amp;"|"&amp;7,Assessments!$A$2:$A$600,0)),"")</f>
        <v/>
      </c>
      <c r="CB213" s="28" t="str">
        <f aca="false">IFERROR(INDEX(Assessments!$H$2:$H$600,MATCH($H213&amp;"|"&amp;$I213&amp;"|"&amp;$J213&amp;"|"&amp;8,Assessments!$A$2:$A$600,0)),"")</f>
        <v/>
      </c>
      <c r="CC213" s="28" t="str">
        <f aca="false">IFERROR(INDEX(Assessments!$H$2:$H$600,MATCH($H213&amp;"|"&amp;$I213&amp;"|"&amp;$J213&amp;"|"&amp;9,Assessments!$A$2:$A$600,0)),"")</f>
        <v/>
      </c>
      <c r="CD213" s="28" t="str">
        <f aca="false">IFERROR(INDEX(Assessments!$H$2:$H$600,MATCH($H213&amp;"|"&amp;$I213&amp;"|"&amp;$J213&amp;"|"&amp;10,Assessments!$A$2:$A$600,0)),"")</f>
        <v/>
      </c>
      <c r="CE213" s="28" t="str">
        <f aca="false">IFERROR(INDEX(Assessments!$H$2:$H$600,MATCH($H213&amp;"|"&amp;$I213&amp;"|"&amp;$J213&amp;"|"&amp;11,Assessments!$A$2:$A$600,0)),"")</f>
        <v/>
      </c>
      <c r="CF213" s="28" t="str">
        <f aca="false">IFERROR(INDEX(Assessments!$H$2:$H$600,MATCH($H213&amp;"|"&amp;$I213&amp;"|"&amp;$J213&amp;"|"&amp;12,Assessments!$A$2:$A$600,0)),"")</f>
        <v/>
      </c>
      <c r="CG213" s="28" t="str">
        <f aca="false">IFERROR(INDEX(Assessments!$H$2:$H$600,MATCH($H213&amp;"|"&amp;$I213&amp;"|"&amp;$J213&amp;"|"&amp;13,Assessments!$A$2:$A$600,0)),"")</f>
        <v/>
      </c>
      <c r="CH213" s="28" t="str">
        <f aca="false">IFERROR(INDEX(Assessments!$H$2:$H$600,MATCH($H213&amp;"|"&amp;$I213&amp;"|"&amp;$J213&amp;"|"&amp;14,Assessments!$A$2:$A$600,0)),"")</f>
        <v/>
      </c>
      <c r="CI213" s="28" t="str">
        <f aca="false">IFERROR(INDEX(Assessments!$I$2:$I$600,MATCH($H213&amp;"|"&amp;$I213&amp;"|"&amp;$J213&amp;"|"&amp;1,Assessments!$A$2:$A$600,0)),"")</f>
        <v>Geog Paper 2</v>
      </c>
      <c r="CJ213" s="28" t="str">
        <f aca="false">IFERROR(INDEX(Assessments!$I$2:$I$600,MATCH($H213&amp;"|"&amp;$I213&amp;"|"&amp;$J213&amp;"|"&amp;2,Assessments!$A$2:$A$600,0)),"")</f>
        <v>Geog Paper 2</v>
      </c>
      <c r="CK213" s="28" t="str">
        <f aca="false">IFERROR(INDEX(Assessments!$I$2:$I$600,MATCH($H213&amp;"|"&amp;$I213&amp;"|"&amp;$J213&amp;"|"&amp;3,Assessments!$A$2:$A$600,0)),"")</f>
        <v>Geog Paper 1</v>
      </c>
      <c r="CL213" s="28" t="str">
        <f aca="false">IFERROR(INDEX(Assessments!$I$2:$I$600,MATCH($H213&amp;"|"&amp;$I213&amp;"|"&amp;$J213&amp;"|"&amp;4,Assessments!$A$2:$A$600,0)),"")</f>
        <v>Geog Paper 1</v>
      </c>
      <c r="CM213" s="28" t="str">
        <f aca="false">IFERROR(INDEX(Assessments!$I$2:$I$600,MATCH($H213&amp;"|"&amp;$I213&amp;"|"&amp;$J213&amp;"|"&amp;5,Assessments!$A$2:$A$600,0)),"")</f>
        <v>Geog Paper 2</v>
      </c>
      <c r="CN213" s="28" t="str">
        <f aca="false">IFERROR(INDEX(Assessments!$I$2:$I$600,MATCH($H213&amp;"|"&amp;$I213&amp;"|"&amp;$J213&amp;"|"&amp;6,Assessments!$A$2:$A$600,0)),"")</f>
        <v/>
      </c>
      <c r="CO213" s="28" t="str">
        <f aca="false">IFERROR(INDEX(Assessments!$I$2:$I$600,MATCH($H213&amp;"|"&amp;$I213&amp;"|"&amp;$J213&amp;"|"&amp;7,Assessments!$A$2:$A$600,0)),"")</f>
        <v/>
      </c>
      <c r="CP213" s="28" t="str">
        <f aca="false">IFERROR(INDEX(Assessments!$I$2:$I$600,MATCH($H213&amp;"|"&amp;$I213&amp;"|"&amp;$J213&amp;"|"&amp;8,Assessments!$A$2:$A$600,0)),"")</f>
        <v/>
      </c>
      <c r="CQ213" s="28" t="str">
        <f aca="false">IFERROR(INDEX(Assessments!$I$2:$I$600,MATCH($H213&amp;"|"&amp;$I213&amp;"|"&amp;$J213&amp;"|"&amp;9,Assessments!$A$2:$A$600,0)),"")</f>
        <v/>
      </c>
      <c r="CR213" s="28" t="str">
        <f aca="false">IFERROR(INDEX(Assessments!$I$2:$I$600,MATCH($H213&amp;"|"&amp;$I213&amp;"|"&amp;$J213&amp;"|"&amp;10,Assessments!$A$2:$A$600,0)),"")</f>
        <v/>
      </c>
      <c r="CS213" s="28" t="str">
        <f aca="false">IFERROR(INDEX(Assessments!$I$2:$I$600,MATCH($H213&amp;"|"&amp;$I213&amp;"|"&amp;$J213&amp;"|"&amp;11,Assessments!$A$2:$A$600,0)),"")</f>
        <v/>
      </c>
      <c r="CT213" s="28" t="str">
        <f aca="false">IFERROR(INDEX(Assessments!$I$2:$I$600,MATCH($H213&amp;"|"&amp;$I213&amp;"|"&amp;$J213&amp;"|"&amp;12,Assessments!$A$2:$A$600,0)),"")</f>
        <v/>
      </c>
      <c r="CU213" s="28" t="str">
        <f aca="false">IFERROR(INDEX(Assessments!$I$2:$I$600,MATCH($H213&amp;"|"&amp;$I213&amp;"|"&amp;$J213&amp;"|"&amp;13,Assessments!$A$2:$A$600,0)),"")</f>
        <v/>
      </c>
      <c r="CV213" s="28" t="str">
        <f aca="false">IFERROR(INDEX(Assessments!$I$2:$I$600,MATCH($H213&amp;"|"&amp;$I213&amp;"|"&amp;$J213&amp;"|"&amp;14,Assessments!$A$2:$A$600,0)),"")</f>
        <v/>
      </c>
      <c r="CW213" s="28" t="n">
        <f aca="false">IFERROR(INDEX(Assessments!$J$2:$J$600,MATCH($H213&amp;"|"&amp;$I213&amp;"|"&amp;$J213&amp;"|"&amp;1,Assessments!$A$2:$A$600,0)),0)</f>
        <v>1</v>
      </c>
      <c r="CX213" s="28" t="n">
        <f aca="false">IFERROR(INDEX(Assessments!$J$2:$J$600,MATCH($H213&amp;"|"&amp;$I213&amp;"|"&amp;$J213&amp;"|"&amp;2,Assessments!$A$2:$A$600,0)),0)</f>
        <v>1</v>
      </c>
      <c r="CY213" s="28" t="n">
        <f aca="false">IFERROR(INDEX(Assessments!$J$2:$J$600,MATCH($H213&amp;"|"&amp;$I213&amp;"|"&amp;$J213&amp;"|"&amp;3,Assessments!$A$2:$A$600,0)),0)</f>
        <v>1</v>
      </c>
      <c r="CZ213" s="28" t="n">
        <f aca="false">IFERROR(INDEX(Assessments!$J$2:$J$600,MATCH($H213&amp;"|"&amp;$I213&amp;"|"&amp;$J213&amp;"|"&amp;4,Assessments!$A$2:$A$600,0)),0)</f>
        <v>2</v>
      </c>
      <c r="DA213" s="28" t="n">
        <f aca="false">IFERROR(INDEX(Assessments!$J$2:$J$600,MATCH($H213&amp;"|"&amp;$I213&amp;"|"&amp;$J213&amp;"|"&amp;5,Assessments!$A$2:$A$600,0)),0)</f>
        <v>2</v>
      </c>
      <c r="DB213" s="28" t="n">
        <f aca="false">IFERROR(INDEX(Assessments!$J$2:$J$600,MATCH($H213&amp;"|"&amp;$I213&amp;"|"&amp;$J213&amp;"|"&amp;6,Assessments!$A$2:$A$600,0)),0)</f>
        <v>0</v>
      </c>
      <c r="DC213" s="28" t="n">
        <f aca="false">IFERROR(INDEX(Assessments!$J$2:$J$600,MATCH($H213&amp;"|"&amp;$I213&amp;"|"&amp;$J213&amp;"|"&amp;7,Assessments!$A$2:$A$600,0)),0)</f>
        <v>0</v>
      </c>
      <c r="DD213" s="28" t="n">
        <f aca="false">IFERROR(INDEX(Assessments!$J$2:$J$600,MATCH($H213&amp;"|"&amp;$I213&amp;"|"&amp;$J213&amp;"|"&amp;8,Assessments!$A$2:$A$600,0)),0)</f>
        <v>0</v>
      </c>
      <c r="DE213" s="28" t="n">
        <f aca="false">IFERROR(INDEX(Assessments!$J$2:$J$600,MATCH($H213&amp;"|"&amp;$I213&amp;"|"&amp;$J213&amp;"|"&amp;9,Assessments!$A$2:$A$600,0)),0)</f>
        <v>0</v>
      </c>
      <c r="DF213" s="28" t="n">
        <f aca="false">IFERROR(INDEX(Assessments!$J$2:$J$600,MATCH($H213&amp;"|"&amp;$I213&amp;"|"&amp;$J213&amp;"|"&amp;10,Assessments!$A$2:$A$600,0)),0)</f>
        <v>0</v>
      </c>
      <c r="DG213" s="28" t="n">
        <f aca="false">IFERROR(INDEX(Assessments!$J$2:$J$600,MATCH($H213&amp;"|"&amp;$I213&amp;"|"&amp;$J213&amp;"|"&amp;11,Assessments!$A$2:$A$600,0)),0)</f>
        <v>0</v>
      </c>
      <c r="DH213" s="28" t="n">
        <f aca="false">IFERROR(INDEX(Assessments!$J$2:$J$600,MATCH($H213&amp;"|"&amp;$I213&amp;"|"&amp;$J213&amp;"|"&amp;12,Assessments!$A$2:$A$600,0)),0)</f>
        <v>0</v>
      </c>
      <c r="DI213" s="28" t="n">
        <f aca="false">IFERROR(INDEX(Assessments!$J$2:$J$600,MATCH($H213&amp;"|"&amp;$I213&amp;"|"&amp;$J213&amp;"|"&amp;13,Assessments!$A$2:$A$600,0)),0)</f>
        <v>0</v>
      </c>
      <c r="DJ213" s="28" t="n">
        <f aca="false">IFERROR(INDEX(Assessments!$J$2:$J$600,MATCH($H213&amp;"|"&amp;$I213&amp;"|"&amp;$J213&amp;"|"&amp;14,Assessments!$A$2:$A$600,0)),0)</f>
        <v>0</v>
      </c>
      <c r="DK213" s="28" t="str">
        <f aca="false">S213</f>
        <v/>
      </c>
      <c r="DL213" s="28" t="str">
        <f aca="false">W213</f>
        <v/>
      </c>
      <c r="DM213" s="28" t="str">
        <f aca="false">AA213</f>
        <v/>
      </c>
      <c r="DN213" s="28" t="str">
        <f aca="false">AE213</f>
        <v/>
      </c>
      <c r="DO213" s="28" t="str">
        <f aca="false">AI213</f>
        <v/>
      </c>
      <c r="DP213" s="28" t="str">
        <f aca="false">AM213</f>
        <v/>
      </c>
      <c r="DQ213" s="28" t="str">
        <f aca="false">AQ213</f>
        <v/>
      </c>
      <c r="DR213" s="28" t="str">
        <f aca="false">AU213</f>
        <v/>
      </c>
      <c r="DS213" s="28" t="str">
        <f aca="false">AY213</f>
        <v/>
      </c>
      <c r="DT213" s="28" t="str">
        <f aca="false">BC213</f>
        <v/>
      </c>
      <c r="DU213" s="28" t="str">
        <f aca="false">BG213</f>
        <v/>
      </c>
      <c r="DV213" s="28" t="str">
        <f aca="false">BK213</f>
        <v/>
      </c>
      <c r="DW213" s="28" t="str">
        <f aca="false">BO213</f>
        <v/>
      </c>
      <c r="DX213" s="28" t="str">
        <f aca="false">BS213</f>
        <v/>
      </c>
      <c r="DY213" s="28" t="str">
        <f aca="false">IF(ISNUMBER(S213),1,"")</f>
        <v/>
      </c>
      <c r="DZ213" s="28" t="str">
        <f aca="false">IF(ISNUMBER(W213),2,"")</f>
        <v/>
      </c>
      <c r="EA213" s="28" t="str">
        <f aca="false">IF(ISNUMBER(AA213),3,"")</f>
        <v/>
      </c>
      <c r="EB213" s="28" t="str">
        <f aca="false">IF(ISNUMBER(AE213),4,"")</f>
        <v/>
      </c>
      <c r="EC213" s="28" t="str">
        <f aca="false">IF(ISNUMBER(AI213),5,"")</f>
        <v/>
      </c>
      <c r="ED213" s="28" t="str">
        <f aca="false">IF(ISNUMBER(AM213),6,"")</f>
        <v/>
      </c>
      <c r="EE213" s="28" t="str">
        <f aca="false">IF(ISNUMBER(AQ213),7,"")</f>
        <v/>
      </c>
      <c r="EF213" s="28" t="str">
        <f aca="false">IF(ISNUMBER(AU213),8,"")</f>
        <v/>
      </c>
      <c r="EG213" s="28" t="str">
        <f aca="false">IF(ISNUMBER(AY213),9,"")</f>
        <v/>
      </c>
      <c r="EH213" s="28" t="str">
        <f aca="false">IF(ISNUMBER(BC213),10,"")</f>
        <v/>
      </c>
      <c r="EI213" s="28" t="str">
        <f aca="false">IF(ISNUMBER(BG213),11,"")</f>
        <v/>
      </c>
      <c r="EJ213" s="28" t="str">
        <f aca="false">IF(ISNUMBER(BK213),12,"")</f>
        <v/>
      </c>
      <c r="EK213" s="28" t="str">
        <f aca="false">IF(ISNUMBER(BO213),13,"")</f>
        <v/>
      </c>
      <c r="EL213" s="28" t="str">
        <f aca="false">IF(ISNUMBER(BS213),14,"")</f>
        <v/>
      </c>
      <c r="EM213" s="28" t="n">
        <f aca="false">IF(ISNUMBER(R213),R213*CW213,0)</f>
        <v>0</v>
      </c>
      <c r="EN213" s="28" t="n">
        <f aca="false">IF(ISNUMBER(V213),V213*CX213,0)</f>
        <v>0</v>
      </c>
      <c r="EO213" s="28" t="n">
        <f aca="false">IF(ISNUMBER(Z213),Z213*CY213,0)</f>
        <v>0</v>
      </c>
      <c r="EP213" s="28" t="n">
        <f aca="false">IF(ISNUMBER(AD213),AD213*CZ213,0)</f>
        <v>0</v>
      </c>
      <c r="EQ213" s="28" t="n">
        <f aca="false">IF(ISNUMBER(AH213),AH213*DA213,0)</f>
        <v>0</v>
      </c>
      <c r="ER213" s="28" t="n">
        <f aca="false">IF(ISNUMBER(AL213),AL213*DB213,0)</f>
        <v>0</v>
      </c>
      <c r="ES213" s="28" t="n">
        <f aca="false">IF(ISNUMBER(AP213),AP213*DC213,0)</f>
        <v>0</v>
      </c>
      <c r="ET213" s="28" t="n">
        <f aca="false">IF(ISNUMBER(AT213),AT213*DD213,0)</f>
        <v>0</v>
      </c>
      <c r="EU213" s="28" t="n">
        <f aca="false">IF(ISNUMBER(AX213),AX213*DE213,0)</f>
        <v>0</v>
      </c>
      <c r="EV213" s="28" t="n">
        <f aca="false">IF(ISNUMBER(BB213),BB213*DF213,0)</f>
        <v>0</v>
      </c>
      <c r="EW213" s="28" t="n">
        <f aca="false">IF(ISNUMBER(BF213),BF213*DG213,0)</f>
        <v>0</v>
      </c>
      <c r="EX213" s="28" t="n">
        <f aca="false">IF(ISNUMBER(BJ213),BJ213*DH213,0)</f>
        <v>0</v>
      </c>
      <c r="EY213" s="28" t="n">
        <f aca="false">IF(ISNUMBER(BN213),BN213*DI213,0)</f>
        <v>0</v>
      </c>
      <c r="EZ213" s="28" t="n">
        <f aca="false">IF(ISNUMBER(BR213),BR213*DJ213,0)</f>
        <v>0</v>
      </c>
      <c r="FA213" s="28" t="n">
        <f aca="false">IF(ISNUMBER(R213),CW213,0)</f>
        <v>0</v>
      </c>
      <c r="FB213" s="28" t="n">
        <f aca="false">IF(ISNUMBER(V213),CX213,0)</f>
        <v>0</v>
      </c>
      <c r="FC213" s="28" t="n">
        <f aca="false">IF(ISNUMBER(Z213),CY213,0)</f>
        <v>0</v>
      </c>
      <c r="FD213" s="28" t="n">
        <f aca="false">IF(ISNUMBER(AD213),CZ213,0)</f>
        <v>0</v>
      </c>
      <c r="FE213" s="28" t="n">
        <f aca="false">IF(ISNUMBER(AH213),DA213,0)</f>
        <v>0</v>
      </c>
      <c r="FF213" s="28" t="n">
        <f aca="false">IF(ISNUMBER(AL213),DB213,0)</f>
        <v>0</v>
      </c>
      <c r="FG213" s="28" t="n">
        <f aca="false">IF(ISNUMBER(AP213),DC213,0)</f>
        <v>0</v>
      </c>
      <c r="FH213" s="28" t="n">
        <f aca="false">IF(ISNUMBER(AT213),DD213,0)</f>
        <v>0</v>
      </c>
      <c r="FI213" s="28" t="n">
        <f aca="false">IF(ISNUMBER(AX213),DE213,0)</f>
        <v>0</v>
      </c>
      <c r="FJ213" s="28" t="n">
        <f aca="false">IF(ISNUMBER(BB213),DF213,0)</f>
        <v>0</v>
      </c>
      <c r="FK213" s="28" t="n">
        <f aca="false">IF(ISNUMBER(BF213),DG213,0)</f>
        <v>0</v>
      </c>
      <c r="FL213" s="28" t="n">
        <f aca="false">IF(ISNUMBER(BJ213),DH213,0)</f>
        <v>0</v>
      </c>
      <c r="FM213" s="28" t="n">
        <f aca="false">IF(ISNUMBER(BN213),DI213,0)</f>
        <v>0</v>
      </c>
      <c r="FN213" s="28" t="n">
        <f aca="false">IF(ISNUMBER(BR213),DJ213,0)</f>
        <v>0</v>
      </c>
      <c r="FO213" s="28" t="str">
        <f aca="false">IFERROR(INDEX(Lists!$G$2:$G$20,MATCH($I213&amp;"|"&amp;$J213,Lists!$F$2:$F$20,0)),"")</f>
        <v>Geog Overall SL</v>
      </c>
    </row>
    <row r="214" customFormat="false" ht="19.5" hidden="false" customHeight="true" outlineLevel="0" collapsed="false">
      <c r="A214" s="29" t="s">
        <v>459</v>
      </c>
      <c r="B214" s="29" t="s">
        <v>348</v>
      </c>
      <c r="C214" s="30" t="s">
        <v>152</v>
      </c>
      <c r="D214" s="30" t="s">
        <v>153</v>
      </c>
      <c r="E214" s="31"/>
      <c r="F214" s="30"/>
      <c r="G214" s="30"/>
      <c r="H214" s="32" t="s">
        <v>428</v>
      </c>
      <c r="I214" s="33" t="s">
        <v>24</v>
      </c>
      <c r="J214" s="32" t="s">
        <v>223</v>
      </c>
      <c r="K214" s="34" t="str">
        <f aca="false">IF(OR(M214="",$E214=""),"",M214-$E214)</f>
        <v/>
      </c>
      <c r="L214" s="35" t="str">
        <f aca="false">IF(SUM(FA214:FN214)=0,"",SUM(EM214:EZ214)/SUM(FA214:FN214))</f>
        <v/>
      </c>
      <c r="M214" s="36" t="str">
        <f aca="false">IF(OR(L214="",FO214=""),"",IFERROR(MATCH(L214,INDEX(Boundaries!$B$2:$I$30,MATCH(FO214,Boundaries!$A$2:$A$30,0),0),1)-1,""))</f>
        <v/>
      </c>
      <c r="N214" s="37" t="str">
        <f aca="false">IF(COUNT($DY214:$EL214)&lt;2,"",INDEX($DK214:$DX214,MAX($DY214:$EL214))-INDEX($DK214:$DX214,MIN($DY214:$EL214)))</f>
        <v/>
      </c>
      <c r="O214" s="37" t="str">
        <f aca="false">IF(COUNT($DY214:$EL214)&lt;2,"",INDEX($DK214:$DX214,MAX($DY214:$EL214))-INDEX($DK214:$DX214,LARGE($DY214:$EL214,2)))</f>
        <v/>
      </c>
      <c r="P214" s="38" t="str">
        <f aca="false">IF(K214="","",IF(K214&gt;=0,"On/above target",IF(AND(N214&lt;&gt;"",N214&gt;=0.5),"Improving towards target",IF(AND(O214&lt;&gt;"",O214&lt;=-0.5),"Declining","Stable below target"))))</f>
        <v/>
      </c>
      <c r="Q214" s="39"/>
      <c r="R214" s="40" t="str">
        <f aca="false">IF(OR(Q214="",BU214=""),"",Q214/BU214*100)</f>
        <v/>
      </c>
      <c r="S214" s="41" t="str">
        <f aca="false">IF(R214="","",IFERROR(MATCH(R214,INDEX(Boundaries!$B$2:$I$30,MATCH(CI214,Boundaries!$A$2:$A$30,0),0),1)-1,""))</f>
        <v/>
      </c>
      <c r="T214" s="42" t="str">
        <f aca="false">IF(OR(S214="",$E214=""),"",S214-$E214)</f>
        <v/>
      </c>
      <c r="U214" s="39"/>
      <c r="V214" s="40" t="str">
        <f aca="false">IF(OR(U214="",BV214=""),"",U214/BV214*100)</f>
        <v/>
      </c>
      <c r="W214" s="41" t="str">
        <f aca="false">IF(V214="","",IFERROR(MATCH(V214,INDEX(Boundaries!$B$2:$I$30,MATCH(CJ214,Boundaries!$A$2:$A$30,0),0),1)-1,""))</f>
        <v/>
      </c>
      <c r="X214" s="42" t="str">
        <f aca="false">IF(OR(W214="",$E214=""),"",W214-$E214)</f>
        <v/>
      </c>
      <c r="Y214" s="39"/>
      <c r="Z214" s="40" t="str">
        <f aca="false">IF(OR(Y214="",BW214=""),"",Y214/BW214*100)</f>
        <v/>
      </c>
      <c r="AA214" s="41" t="str">
        <f aca="false">IF(Z214="","",IFERROR(MATCH(Z214,INDEX(Boundaries!$B$2:$I$30,MATCH(CK214,Boundaries!$A$2:$A$30,0),0),1)-1,""))</f>
        <v/>
      </c>
      <c r="AB214" s="42" t="str">
        <f aca="false">IF(OR(AA214="",$E214=""),"",AA214-$E214)</f>
        <v/>
      </c>
      <c r="AC214" s="39"/>
      <c r="AD214" s="40" t="str">
        <f aca="false">IF(OR(AC214="",BX214=""),"",AC214/BX214*100)</f>
        <v/>
      </c>
      <c r="AE214" s="41" t="str">
        <f aca="false">IF(AD214="","",IFERROR(MATCH(AD214,INDEX(Boundaries!$B$2:$I$30,MATCH(CL214,Boundaries!$A$2:$A$30,0),0),1)-1,""))</f>
        <v/>
      </c>
      <c r="AF214" s="42" t="str">
        <f aca="false">IF(OR(AE214="",$E214=""),"",AE214-$E214)</f>
        <v/>
      </c>
      <c r="AG214" s="39"/>
      <c r="AH214" s="40" t="str">
        <f aca="false">IF(OR(AG214="",BY214=""),"",AG214/BY214*100)</f>
        <v/>
      </c>
      <c r="AI214" s="41" t="str">
        <f aca="false">IF(AH214="","",IFERROR(MATCH(AH214,INDEX(Boundaries!$B$2:$I$30,MATCH(CM214,Boundaries!$A$2:$A$30,0),0),1)-1,""))</f>
        <v/>
      </c>
      <c r="AJ214" s="42" t="str">
        <f aca="false">IF(OR(AI214="",$E214=""),"",AI214-$E214)</f>
        <v/>
      </c>
      <c r="AK214" s="39"/>
      <c r="AL214" s="40" t="str">
        <f aca="false">IF(OR(AK214="",BZ214=""),"",AK214/BZ214*100)</f>
        <v/>
      </c>
      <c r="AM214" s="41" t="str">
        <f aca="false">IF(AL214="","",IFERROR(MATCH(AL214,INDEX(Boundaries!$B$2:$I$30,MATCH(CN214,Boundaries!$A$2:$A$30,0),0),1)-1,""))</f>
        <v/>
      </c>
      <c r="AN214" s="42" t="str">
        <f aca="false">IF(OR(AM214="",$E214=""),"",AM214-$E214)</f>
        <v/>
      </c>
      <c r="AO214" s="39"/>
      <c r="AP214" s="40" t="str">
        <f aca="false">IF(OR(AO214="",CA214=""),"",AO214/CA214*100)</f>
        <v/>
      </c>
      <c r="AQ214" s="41" t="str">
        <f aca="false">IF(AP214="","",IFERROR(MATCH(AP214,INDEX(Boundaries!$B$2:$I$30,MATCH(CO214,Boundaries!$A$2:$A$30,0),0),1)-1,""))</f>
        <v/>
      </c>
      <c r="AR214" s="42" t="str">
        <f aca="false">IF(OR(AQ214="",$E214=""),"",AQ214-$E214)</f>
        <v/>
      </c>
      <c r="AS214" s="39"/>
      <c r="AT214" s="40" t="str">
        <f aca="false">IF(OR(AS214="",CB214=""),"",AS214/CB214*100)</f>
        <v/>
      </c>
      <c r="AU214" s="41" t="str">
        <f aca="false">IF(AT214="","",IFERROR(MATCH(AT214,INDEX(Boundaries!$B$2:$I$30,MATCH(CP214,Boundaries!$A$2:$A$30,0),0),1)-1,""))</f>
        <v/>
      </c>
      <c r="AV214" s="42" t="str">
        <f aca="false">IF(OR(AU214="",$E214=""),"",AU214-$E214)</f>
        <v/>
      </c>
      <c r="AW214" s="39"/>
      <c r="AX214" s="40" t="str">
        <f aca="false">IF(OR(AW214="",CC214=""),"",AW214/CC214*100)</f>
        <v/>
      </c>
      <c r="AY214" s="41" t="str">
        <f aca="false">IF(AX214="","",IFERROR(MATCH(AX214,INDEX(Boundaries!$B$2:$I$30,MATCH(CQ214,Boundaries!$A$2:$A$30,0),0),1)-1,""))</f>
        <v/>
      </c>
      <c r="AZ214" s="42" t="str">
        <f aca="false">IF(OR(AY214="",$E214=""),"",AY214-$E214)</f>
        <v/>
      </c>
      <c r="BA214" s="39"/>
      <c r="BB214" s="40" t="str">
        <f aca="false">IF(OR(BA214="",CD214=""),"",BA214/CD214*100)</f>
        <v/>
      </c>
      <c r="BC214" s="41" t="str">
        <f aca="false">IF(BB214="","",IFERROR(MATCH(BB214,INDEX(Boundaries!$B$2:$I$30,MATCH(CR214,Boundaries!$A$2:$A$30,0),0),1)-1,""))</f>
        <v/>
      </c>
      <c r="BD214" s="42" t="str">
        <f aca="false">IF(OR(BC214="",$E214=""),"",BC214-$E214)</f>
        <v/>
      </c>
      <c r="BE214" s="39"/>
      <c r="BF214" s="40" t="str">
        <f aca="false">IF(OR(BE214="",CE214=""),"",BE214/CE214*100)</f>
        <v/>
      </c>
      <c r="BG214" s="41" t="str">
        <f aca="false">IF(BF214="","",IFERROR(MATCH(BF214,INDEX(Boundaries!$B$2:$I$30,MATCH(CS214,Boundaries!$A$2:$A$30,0),0),1)-1,""))</f>
        <v/>
      </c>
      <c r="BH214" s="42" t="str">
        <f aca="false">IF(OR(BG214="",$E214=""),"",BG214-$E214)</f>
        <v/>
      </c>
      <c r="BI214" s="39"/>
      <c r="BJ214" s="40" t="str">
        <f aca="false">IF(OR(BI214="",CF214=""),"",BI214/CF214*100)</f>
        <v/>
      </c>
      <c r="BK214" s="41" t="str">
        <f aca="false">IF(BJ214="","",IFERROR(MATCH(BJ214,INDEX(Boundaries!$B$2:$I$30,MATCH(CT214,Boundaries!$A$2:$A$30,0),0),1)-1,""))</f>
        <v/>
      </c>
      <c r="BL214" s="42" t="str">
        <f aca="false">IF(OR(BK214="",$E214=""),"",BK214-$E214)</f>
        <v/>
      </c>
      <c r="BM214" s="39"/>
      <c r="BN214" s="40" t="str">
        <f aca="false">IF(OR(BM214="",CG214=""),"",BM214/CG214*100)</f>
        <v/>
      </c>
      <c r="BO214" s="41" t="str">
        <f aca="false">IF(BN214="","",IFERROR(MATCH(BN214,INDEX(Boundaries!$B$2:$I$30,MATCH(CU214,Boundaries!$A$2:$A$30,0),0),1)-1,""))</f>
        <v/>
      </c>
      <c r="BP214" s="42" t="str">
        <f aca="false">IF(OR(BO214="",$E214=""),"",BO214-$E214)</f>
        <v/>
      </c>
      <c r="BQ214" s="39"/>
      <c r="BR214" s="40" t="str">
        <f aca="false">IF(OR(BQ214="",CH214=""),"",BQ214/CH214*100)</f>
        <v/>
      </c>
      <c r="BS214" s="41" t="str">
        <f aca="false">IF(BR214="","",IFERROR(MATCH(BR214,INDEX(Boundaries!$B$2:$I$30,MATCH(CV214,Boundaries!$A$2:$A$30,0),0),1)-1,""))</f>
        <v/>
      </c>
      <c r="BT214" s="42" t="str">
        <f aca="false">IF(OR(BS214="",$E214=""),"",BS214-$E214)</f>
        <v/>
      </c>
      <c r="BU214" s="28" t="n">
        <f aca="false">IFERROR(INDEX(Assessments!$H$2:$H$600,MATCH($H214&amp;"|"&amp;$I214&amp;"|"&amp;$J214&amp;"|"&amp;1,Assessments!$A$2:$A$600,0)),"")</f>
        <v>10</v>
      </c>
      <c r="BV214" s="28" t="n">
        <f aca="false">IFERROR(INDEX(Assessments!$H$2:$H$600,MATCH($H214&amp;"|"&amp;$I214&amp;"|"&amp;$J214&amp;"|"&amp;2,Assessments!$A$2:$A$600,0)),"")</f>
        <v>10</v>
      </c>
      <c r="BW214" s="28" t="n">
        <f aca="false">IFERROR(INDEX(Assessments!$H$2:$H$600,MATCH($H214&amp;"|"&amp;$I214&amp;"|"&amp;$J214&amp;"|"&amp;3,Assessments!$A$2:$A$600,0)),"")</f>
        <v>20</v>
      </c>
      <c r="BX214" s="28" t="n">
        <f aca="false">IFERROR(INDEX(Assessments!$H$2:$H$600,MATCH($H214&amp;"|"&amp;$I214&amp;"|"&amp;$J214&amp;"|"&amp;4,Assessments!$A$2:$A$600,0)),"")</f>
        <v>20</v>
      </c>
      <c r="BY214" s="28" t="n">
        <f aca="false">IFERROR(INDEX(Assessments!$H$2:$H$600,MATCH($H214&amp;"|"&amp;$I214&amp;"|"&amp;$J214&amp;"|"&amp;5,Assessments!$A$2:$A$600,0)),"")</f>
        <v>50</v>
      </c>
      <c r="BZ214" s="28" t="str">
        <f aca="false">IFERROR(INDEX(Assessments!$H$2:$H$600,MATCH($H214&amp;"|"&amp;$I214&amp;"|"&amp;$J214&amp;"|"&amp;6,Assessments!$A$2:$A$600,0)),"")</f>
        <v/>
      </c>
      <c r="CA214" s="28" t="str">
        <f aca="false">IFERROR(INDEX(Assessments!$H$2:$H$600,MATCH($H214&amp;"|"&amp;$I214&amp;"|"&amp;$J214&amp;"|"&amp;7,Assessments!$A$2:$A$600,0)),"")</f>
        <v/>
      </c>
      <c r="CB214" s="28" t="str">
        <f aca="false">IFERROR(INDEX(Assessments!$H$2:$H$600,MATCH($H214&amp;"|"&amp;$I214&amp;"|"&amp;$J214&amp;"|"&amp;8,Assessments!$A$2:$A$600,0)),"")</f>
        <v/>
      </c>
      <c r="CC214" s="28" t="str">
        <f aca="false">IFERROR(INDEX(Assessments!$H$2:$H$600,MATCH($H214&amp;"|"&amp;$I214&amp;"|"&amp;$J214&amp;"|"&amp;9,Assessments!$A$2:$A$600,0)),"")</f>
        <v/>
      </c>
      <c r="CD214" s="28" t="str">
        <f aca="false">IFERROR(INDEX(Assessments!$H$2:$H$600,MATCH($H214&amp;"|"&amp;$I214&amp;"|"&amp;$J214&amp;"|"&amp;10,Assessments!$A$2:$A$600,0)),"")</f>
        <v/>
      </c>
      <c r="CE214" s="28" t="str">
        <f aca="false">IFERROR(INDEX(Assessments!$H$2:$H$600,MATCH($H214&amp;"|"&amp;$I214&amp;"|"&amp;$J214&amp;"|"&amp;11,Assessments!$A$2:$A$600,0)),"")</f>
        <v/>
      </c>
      <c r="CF214" s="28" t="str">
        <f aca="false">IFERROR(INDEX(Assessments!$H$2:$H$600,MATCH($H214&amp;"|"&amp;$I214&amp;"|"&amp;$J214&amp;"|"&amp;12,Assessments!$A$2:$A$600,0)),"")</f>
        <v/>
      </c>
      <c r="CG214" s="28" t="str">
        <f aca="false">IFERROR(INDEX(Assessments!$H$2:$H$600,MATCH($H214&amp;"|"&amp;$I214&amp;"|"&amp;$J214&amp;"|"&amp;13,Assessments!$A$2:$A$600,0)),"")</f>
        <v/>
      </c>
      <c r="CH214" s="28" t="str">
        <f aca="false">IFERROR(INDEX(Assessments!$H$2:$H$600,MATCH($H214&amp;"|"&amp;$I214&amp;"|"&amp;$J214&amp;"|"&amp;14,Assessments!$A$2:$A$600,0)),"")</f>
        <v/>
      </c>
      <c r="CI214" s="28" t="str">
        <f aca="false">IFERROR(INDEX(Assessments!$I$2:$I$600,MATCH($H214&amp;"|"&amp;$I214&amp;"|"&amp;$J214&amp;"|"&amp;1,Assessments!$A$2:$A$600,0)),"")</f>
        <v>Geog Paper 2</v>
      </c>
      <c r="CJ214" s="28" t="str">
        <f aca="false">IFERROR(INDEX(Assessments!$I$2:$I$600,MATCH($H214&amp;"|"&amp;$I214&amp;"|"&amp;$J214&amp;"|"&amp;2,Assessments!$A$2:$A$600,0)),"")</f>
        <v>Geog Paper 2</v>
      </c>
      <c r="CK214" s="28" t="str">
        <f aca="false">IFERROR(INDEX(Assessments!$I$2:$I$600,MATCH($H214&amp;"|"&amp;$I214&amp;"|"&amp;$J214&amp;"|"&amp;3,Assessments!$A$2:$A$600,0)),"")</f>
        <v>Geog Paper 1</v>
      </c>
      <c r="CL214" s="28" t="str">
        <f aca="false">IFERROR(INDEX(Assessments!$I$2:$I$600,MATCH($H214&amp;"|"&amp;$I214&amp;"|"&amp;$J214&amp;"|"&amp;4,Assessments!$A$2:$A$600,0)),"")</f>
        <v>Geog Paper 1</v>
      </c>
      <c r="CM214" s="28" t="str">
        <f aca="false">IFERROR(INDEX(Assessments!$I$2:$I$600,MATCH($H214&amp;"|"&amp;$I214&amp;"|"&amp;$J214&amp;"|"&amp;5,Assessments!$A$2:$A$600,0)),"")</f>
        <v>Geog Paper 2</v>
      </c>
      <c r="CN214" s="28" t="str">
        <f aca="false">IFERROR(INDEX(Assessments!$I$2:$I$600,MATCH($H214&amp;"|"&amp;$I214&amp;"|"&amp;$J214&amp;"|"&amp;6,Assessments!$A$2:$A$600,0)),"")</f>
        <v/>
      </c>
      <c r="CO214" s="28" t="str">
        <f aca="false">IFERROR(INDEX(Assessments!$I$2:$I$600,MATCH($H214&amp;"|"&amp;$I214&amp;"|"&amp;$J214&amp;"|"&amp;7,Assessments!$A$2:$A$600,0)),"")</f>
        <v/>
      </c>
      <c r="CP214" s="28" t="str">
        <f aca="false">IFERROR(INDEX(Assessments!$I$2:$I$600,MATCH($H214&amp;"|"&amp;$I214&amp;"|"&amp;$J214&amp;"|"&amp;8,Assessments!$A$2:$A$600,0)),"")</f>
        <v/>
      </c>
      <c r="CQ214" s="28" t="str">
        <f aca="false">IFERROR(INDEX(Assessments!$I$2:$I$600,MATCH($H214&amp;"|"&amp;$I214&amp;"|"&amp;$J214&amp;"|"&amp;9,Assessments!$A$2:$A$600,0)),"")</f>
        <v/>
      </c>
      <c r="CR214" s="28" t="str">
        <f aca="false">IFERROR(INDEX(Assessments!$I$2:$I$600,MATCH($H214&amp;"|"&amp;$I214&amp;"|"&amp;$J214&amp;"|"&amp;10,Assessments!$A$2:$A$600,0)),"")</f>
        <v/>
      </c>
      <c r="CS214" s="28" t="str">
        <f aca="false">IFERROR(INDEX(Assessments!$I$2:$I$600,MATCH($H214&amp;"|"&amp;$I214&amp;"|"&amp;$J214&amp;"|"&amp;11,Assessments!$A$2:$A$600,0)),"")</f>
        <v/>
      </c>
      <c r="CT214" s="28" t="str">
        <f aca="false">IFERROR(INDEX(Assessments!$I$2:$I$600,MATCH($H214&amp;"|"&amp;$I214&amp;"|"&amp;$J214&amp;"|"&amp;12,Assessments!$A$2:$A$600,0)),"")</f>
        <v/>
      </c>
      <c r="CU214" s="28" t="str">
        <f aca="false">IFERROR(INDEX(Assessments!$I$2:$I$600,MATCH($H214&amp;"|"&amp;$I214&amp;"|"&amp;$J214&amp;"|"&amp;13,Assessments!$A$2:$A$600,0)),"")</f>
        <v/>
      </c>
      <c r="CV214" s="28" t="str">
        <f aca="false">IFERROR(INDEX(Assessments!$I$2:$I$600,MATCH($H214&amp;"|"&amp;$I214&amp;"|"&amp;$J214&amp;"|"&amp;14,Assessments!$A$2:$A$600,0)),"")</f>
        <v/>
      </c>
      <c r="CW214" s="28" t="n">
        <f aca="false">IFERROR(INDEX(Assessments!$J$2:$J$600,MATCH($H214&amp;"|"&amp;$I214&amp;"|"&amp;$J214&amp;"|"&amp;1,Assessments!$A$2:$A$600,0)),0)</f>
        <v>1</v>
      </c>
      <c r="CX214" s="28" t="n">
        <f aca="false">IFERROR(INDEX(Assessments!$J$2:$J$600,MATCH($H214&amp;"|"&amp;$I214&amp;"|"&amp;$J214&amp;"|"&amp;2,Assessments!$A$2:$A$600,0)),0)</f>
        <v>1</v>
      </c>
      <c r="CY214" s="28" t="n">
        <f aca="false">IFERROR(INDEX(Assessments!$J$2:$J$600,MATCH($H214&amp;"|"&amp;$I214&amp;"|"&amp;$J214&amp;"|"&amp;3,Assessments!$A$2:$A$600,0)),0)</f>
        <v>1</v>
      </c>
      <c r="CZ214" s="28" t="n">
        <f aca="false">IFERROR(INDEX(Assessments!$J$2:$J$600,MATCH($H214&amp;"|"&amp;$I214&amp;"|"&amp;$J214&amp;"|"&amp;4,Assessments!$A$2:$A$600,0)),0)</f>
        <v>2</v>
      </c>
      <c r="DA214" s="28" t="n">
        <f aca="false">IFERROR(INDEX(Assessments!$J$2:$J$600,MATCH($H214&amp;"|"&amp;$I214&amp;"|"&amp;$J214&amp;"|"&amp;5,Assessments!$A$2:$A$600,0)),0)</f>
        <v>2</v>
      </c>
      <c r="DB214" s="28" t="n">
        <f aca="false">IFERROR(INDEX(Assessments!$J$2:$J$600,MATCH($H214&amp;"|"&amp;$I214&amp;"|"&amp;$J214&amp;"|"&amp;6,Assessments!$A$2:$A$600,0)),0)</f>
        <v>0</v>
      </c>
      <c r="DC214" s="28" t="n">
        <f aca="false">IFERROR(INDEX(Assessments!$J$2:$J$600,MATCH($H214&amp;"|"&amp;$I214&amp;"|"&amp;$J214&amp;"|"&amp;7,Assessments!$A$2:$A$600,0)),0)</f>
        <v>0</v>
      </c>
      <c r="DD214" s="28" t="n">
        <f aca="false">IFERROR(INDEX(Assessments!$J$2:$J$600,MATCH($H214&amp;"|"&amp;$I214&amp;"|"&amp;$J214&amp;"|"&amp;8,Assessments!$A$2:$A$600,0)),0)</f>
        <v>0</v>
      </c>
      <c r="DE214" s="28" t="n">
        <f aca="false">IFERROR(INDEX(Assessments!$J$2:$J$600,MATCH($H214&amp;"|"&amp;$I214&amp;"|"&amp;$J214&amp;"|"&amp;9,Assessments!$A$2:$A$600,0)),0)</f>
        <v>0</v>
      </c>
      <c r="DF214" s="28" t="n">
        <f aca="false">IFERROR(INDEX(Assessments!$J$2:$J$600,MATCH($H214&amp;"|"&amp;$I214&amp;"|"&amp;$J214&amp;"|"&amp;10,Assessments!$A$2:$A$600,0)),0)</f>
        <v>0</v>
      </c>
      <c r="DG214" s="28" t="n">
        <f aca="false">IFERROR(INDEX(Assessments!$J$2:$J$600,MATCH($H214&amp;"|"&amp;$I214&amp;"|"&amp;$J214&amp;"|"&amp;11,Assessments!$A$2:$A$600,0)),0)</f>
        <v>0</v>
      </c>
      <c r="DH214" s="28" t="n">
        <f aca="false">IFERROR(INDEX(Assessments!$J$2:$J$600,MATCH($H214&amp;"|"&amp;$I214&amp;"|"&amp;$J214&amp;"|"&amp;12,Assessments!$A$2:$A$600,0)),0)</f>
        <v>0</v>
      </c>
      <c r="DI214" s="28" t="n">
        <f aca="false">IFERROR(INDEX(Assessments!$J$2:$J$600,MATCH($H214&amp;"|"&amp;$I214&amp;"|"&amp;$J214&amp;"|"&amp;13,Assessments!$A$2:$A$600,0)),0)</f>
        <v>0</v>
      </c>
      <c r="DJ214" s="28" t="n">
        <f aca="false">IFERROR(INDEX(Assessments!$J$2:$J$600,MATCH($H214&amp;"|"&amp;$I214&amp;"|"&amp;$J214&amp;"|"&amp;14,Assessments!$A$2:$A$600,0)),0)</f>
        <v>0</v>
      </c>
      <c r="DK214" s="28" t="str">
        <f aca="false">S214</f>
        <v/>
      </c>
      <c r="DL214" s="28" t="str">
        <f aca="false">W214</f>
        <v/>
      </c>
      <c r="DM214" s="28" t="str">
        <f aca="false">AA214</f>
        <v/>
      </c>
      <c r="DN214" s="28" t="str">
        <f aca="false">AE214</f>
        <v/>
      </c>
      <c r="DO214" s="28" t="str">
        <f aca="false">AI214</f>
        <v/>
      </c>
      <c r="DP214" s="28" t="str">
        <f aca="false">AM214</f>
        <v/>
      </c>
      <c r="DQ214" s="28" t="str">
        <f aca="false">AQ214</f>
        <v/>
      </c>
      <c r="DR214" s="28" t="str">
        <f aca="false">AU214</f>
        <v/>
      </c>
      <c r="DS214" s="28" t="str">
        <f aca="false">AY214</f>
        <v/>
      </c>
      <c r="DT214" s="28" t="str">
        <f aca="false">BC214</f>
        <v/>
      </c>
      <c r="DU214" s="28" t="str">
        <f aca="false">BG214</f>
        <v/>
      </c>
      <c r="DV214" s="28" t="str">
        <f aca="false">BK214</f>
        <v/>
      </c>
      <c r="DW214" s="28" t="str">
        <f aca="false">BO214</f>
        <v/>
      </c>
      <c r="DX214" s="28" t="str">
        <f aca="false">BS214</f>
        <v/>
      </c>
      <c r="DY214" s="28" t="str">
        <f aca="false">IF(ISNUMBER(S214),1,"")</f>
        <v/>
      </c>
      <c r="DZ214" s="28" t="str">
        <f aca="false">IF(ISNUMBER(W214),2,"")</f>
        <v/>
      </c>
      <c r="EA214" s="28" t="str">
        <f aca="false">IF(ISNUMBER(AA214),3,"")</f>
        <v/>
      </c>
      <c r="EB214" s="28" t="str">
        <f aca="false">IF(ISNUMBER(AE214),4,"")</f>
        <v/>
      </c>
      <c r="EC214" s="28" t="str">
        <f aca="false">IF(ISNUMBER(AI214),5,"")</f>
        <v/>
      </c>
      <c r="ED214" s="28" t="str">
        <f aca="false">IF(ISNUMBER(AM214),6,"")</f>
        <v/>
      </c>
      <c r="EE214" s="28" t="str">
        <f aca="false">IF(ISNUMBER(AQ214),7,"")</f>
        <v/>
      </c>
      <c r="EF214" s="28" t="str">
        <f aca="false">IF(ISNUMBER(AU214),8,"")</f>
        <v/>
      </c>
      <c r="EG214" s="28" t="str">
        <f aca="false">IF(ISNUMBER(AY214),9,"")</f>
        <v/>
      </c>
      <c r="EH214" s="28" t="str">
        <f aca="false">IF(ISNUMBER(BC214),10,"")</f>
        <v/>
      </c>
      <c r="EI214" s="28" t="str">
        <f aca="false">IF(ISNUMBER(BG214),11,"")</f>
        <v/>
      </c>
      <c r="EJ214" s="28" t="str">
        <f aca="false">IF(ISNUMBER(BK214),12,"")</f>
        <v/>
      </c>
      <c r="EK214" s="28" t="str">
        <f aca="false">IF(ISNUMBER(BO214),13,"")</f>
        <v/>
      </c>
      <c r="EL214" s="28" t="str">
        <f aca="false">IF(ISNUMBER(BS214),14,"")</f>
        <v/>
      </c>
      <c r="EM214" s="28" t="n">
        <f aca="false">IF(ISNUMBER(R214),R214*CW214,0)</f>
        <v>0</v>
      </c>
      <c r="EN214" s="28" t="n">
        <f aca="false">IF(ISNUMBER(V214),V214*CX214,0)</f>
        <v>0</v>
      </c>
      <c r="EO214" s="28" t="n">
        <f aca="false">IF(ISNUMBER(Z214),Z214*CY214,0)</f>
        <v>0</v>
      </c>
      <c r="EP214" s="28" t="n">
        <f aca="false">IF(ISNUMBER(AD214),AD214*CZ214,0)</f>
        <v>0</v>
      </c>
      <c r="EQ214" s="28" t="n">
        <f aca="false">IF(ISNUMBER(AH214),AH214*DA214,0)</f>
        <v>0</v>
      </c>
      <c r="ER214" s="28" t="n">
        <f aca="false">IF(ISNUMBER(AL214),AL214*DB214,0)</f>
        <v>0</v>
      </c>
      <c r="ES214" s="28" t="n">
        <f aca="false">IF(ISNUMBER(AP214),AP214*DC214,0)</f>
        <v>0</v>
      </c>
      <c r="ET214" s="28" t="n">
        <f aca="false">IF(ISNUMBER(AT214),AT214*DD214,0)</f>
        <v>0</v>
      </c>
      <c r="EU214" s="28" t="n">
        <f aca="false">IF(ISNUMBER(AX214),AX214*DE214,0)</f>
        <v>0</v>
      </c>
      <c r="EV214" s="28" t="n">
        <f aca="false">IF(ISNUMBER(BB214),BB214*DF214,0)</f>
        <v>0</v>
      </c>
      <c r="EW214" s="28" t="n">
        <f aca="false">IF(ISNUMBER(BF214),BF214*DG214,0)</f>
        <v>0</v>
      </c>
      <c r="EX214" s="28" t="n">
        <f aca="false">IF(ISNUMBER(BJ214),BJ214*DH214,0)</f>
        <v>0</v>
      </c>
      <c r="EY214" s="28" t="n">
        <f aca="false">IF(ISNUMBER(BN214),BN214*DI214,0)</f>
        <v>0</v>
      </c>
      <c r="EZ214" s="28" t="n">
        <f aca="false">IF(ISNUMBER(BR214),BR214*DJ214,0)</f>
        <v>0</v>
      </c>
      <c r="FA214" s="28" t="n">
        <f aca="false">IF(ISNUMBER(R214),CW214,0)</f>
        <v>0</v>
      </c>
      <c r="FB214" s="28" t="n">
        <f aca="false">IF(ISNUMBER(V214),CX214,0)</f>
        <v>0</v>
      </c>
      <c r="FC214" s="28" t="n">
        <f aca="false">IF(ISNUMBER(Z214),CY214,0)</f>
        <v>0</v>
      </c>
      <c r="FD214" s="28" t="n">
        <f aca="false">IF(ISNUMBER(AD214),CZ214,0)</f>
        <v>0</v>
      </c>
      <c r="FE214" s="28" t="n">
        <f aca="false">IF(ISNUMBER(AH214),DA214,0)</f>
        <v>0</v>
      </c>
      <c r="FF214" s="28" t="n">
        <f aca="false">IF(ISNUMBER(AL214),DB214,0)</f>
        <v>0</v>
      </c>
      <c r="FG214" s="28" t="n">
        <f aca="false">IF(ISNUMBER(AP214),DC214,0)</f>
        <v>0</v>
      </c>
      <c r="FH214" s="28" t="n">
        <f aca="false">IF(ISNUMBER(AT214),DD214,0)</f>
        <v>0</v>
      </c>
      <c r="FI214" s="28" t="n">
        <f aca="false">IF(ISNUMBER(AX214),DE214,0)</f>
        <v>0</v>
      </c>
      <c r="FJ214" s="28" t="n">
        <f aca="false">IF(ISNUMBER(BB214),DF214,0)</f>
        <v>0</v>
      </c>
      <c r="FK214" s="28" t="n">
        <f aca="false">IF(ISNUMBER(BF214),DG214,0)</f>
        <v>0</v>
      </c>
      <c r="FL214" s="28" t="n">
        <f aca="false">IF(ISNUMBER(BJ214),DH214,0)</f>
        <v>0</v>
      </c>
      <c r="FM214" s="28" t="n">
        <f aca="false">IF(ISNUMBER(BN214),DI214,0)</f>
        <v>0</v>
      </c>
      <c r="FN214" s="28" t="n">
        <f aca="false">IF(ISNUMBER(BR214),DJ214,0)</f>
        <v>0</v>
      </c>
      <c r="FO214" s="28" t="str">
        <f aca="false">IFERROR(INDEX(Lists!$G$2:$G$20,MATCH($I214&amp;"|"&amp;$J214,Lists!$F$2:$F$20,0)),"")</f>
        <v>Geog Overall SL</v>
      </c>
    </row>
    <row r="215" customFormat="false" ht="19.5" hidden="false" customHeight="true" outlineLevel="0" collapsed="false">
      <c r="A215" s="29" t="s">
        <v>460</v>
      </c>
      <c r="B215" s="29" t="s">
        <v>461</v>
      </c>
      <c r="C215" s="30" t="s">
        <v>152</v>
      </c>
      <c r="D215" s="30" t="s">
        <v>153</v>
      </c>
      <c r="E215" s="31"/>
      <c r="F215" s="30"/>
      <c r="G215" s="30"/>
      <c r="H215" s="32" t="s">
        <v>428</v>
      </c>
      <c r="I215" s="33" t="s">
        <v>24</v>
      </c>
      <c r="J215" s="32" t="s">
        <v>223</v>
      </c>
      <c r="K215" s="34" t="str">
        <f aca="false">IF(OR(M215="",$E215=""),"",M215-$E215)</f>
        <v/>
      </c>
      <c r="L215" s="35" t="str">
        <f aca="false">IF(SUM(FA215:FN215)=0,"",SUM(EM215:EZ215)/SUM(FA215:FN215))</f>
        <v/>
      </c>
      <c r="M215" s="36" t="str">
        <f aca="false">IF(OR(L215="",FO215=""),"",IFERROR(MATCH(L215,INDEX(Boundaries!$B$2:$I$30,MATCH(FO215,Boundaries!$A$2:$A$30,0),0),1)-1,""))</f>
        <v/>
      </c>
      <c r="N215" s="37" t="str">
        <f aca="false">IF(COUNT($DY215:$EL215)&lt;2,"",INDEX($DK215:$DX215,MAX($DY215:$EL215))-INDEX($DK215:$DX215,MIN($DY215:$EL215)))</f>
        <v/>
      </c>
      <c r="O215" s="37" t="str">
        <f aca="false">IF(COUNT($DY215:$EL215)&lt;2,"",INDEX($DK215:$DX215,MAX($DY215:$EL215))-INDEX($DK215:$DX215,LARGE($DY215:$EL215,2)))</f>
        <v/>
      </c>
      <c r="P215" s="38" t="str">
        <f aca="false">IF(K215="","",IF(K215&gt;=0,"On/above target",IF(AND(N215&lt;&gt;"",N215&gt;=0.5),"Improving towards target",IF(AND(O215&lt;&gt;"",O215&lt;=-0.5),"Declining","Stable below target"))))</f>
        <v/>
      </c>
      <c r="Q215" s="39"/>
      <c r="R215" s="40" t="str">
        <f aca="false">IF(OR(Q215="",BU215=""),"",Q215/BU215*100)</f>
        <v/>
      </c>
      <c r="S215" s="41" t="str">
        <f aca="false">IF(R215="","",IFERROR(MATCH(R215,INDEX(Boundaries!$B$2:$I$30,MATCH(CI215,Boundaries!$A$2:$A$30,0),0),1)-1,""))</f>
        <v/>
      </c>
      <c r="T215" s="42" t="str">
        <f aca="false">IF(OR(S215="",$E215=""),"",S215-$E215)</f>
        <v/>
      </c>
      <c r="U215" s="39"/>
      <c r="V215" s="40" t="str">
        <f aca="false">IF(OR(U215="",BV215=""),"",U215/BV215*100)</f>
        <v/>
      </c>
      <c r="W215" s="41" t="str">
        <f aca="false">IF(V215="","",IFERROR(MATCH(V215,INDEX(Boundaries!$B$2:$I$30,MATCH(CJ215,Boundaries!$A$2:$A$30,0),0),1)-1,""))</f>
        <v/>
      </c>
      <c r="X215" s="42" t="str">
        <f aca="false">IF(OR(W215="",$E215=""),"",W215-$E215)</f>
        <v/>
      </c>
      <c r="Y215" s="39"/>
      <c r="Z215" s="40" t="str">
        <f aca="false">IF(OR(Y215="",BW215=""),"",Y215/BW215*100)</f>
        <v/>
      </c>
      <c r="AA215" s="41" t="str">
        <f aca="false">IF(Z215="","",IFERROR(MATCH(Z215,INDEX(Boundaries!$B$2:$I$30,MATCH(CK215,Boundaries!$A$2:$A$30,0),0),1)-1,""))</f>
        <v/>
      </c>
      <c r="AB215" s="42" t="str">
        <f aca="false">IF(OR(AA215="",$E215=""),"",AA215-$E215)</f>
        <v/>
      </c>
      <c r="AC215" s="39"/>
      <c r="AD215" s="40" t="str">
        <f aca="false">IF(OR(AC215="",BX215=""),"",AC215/BX215*100)</f>
        <v/>
      </c>
      <c r="AE215" s="41" t="str">
        <f aca="false">IF(AD215="","",IFERROR(MATCH(AD215,INDEX(Boundaries!$B$2:$I$30,MATCH(CL215,Boundaries!$A$2:$A$30,0),0),1)-1,""))</f>
        <v/>
      </c>
      <c r="AF215" s="42" t="str">
        <f aca="false">IF(OR(AE215="",$E215=""),"",AE215-$E215)</f>
        <v/>
      </c>
      <c r="AG215" s="39"/>
      <c r="AH215" s="40" t="str">
        <f aca="false">IF(OR(AG215="",BY215=""),"",AG215/BY215*100)</f>
        <v/>
      </c>
      <c r="AI215" s="41" t="str">
        <f aca="false">IF(AH215="","",IFERROR(MATCH(AH215,INDEX(Boundaries!$B$2:$I$30,MATCH(CM215,Boundaries!$A$2:$A$30,0),0),1)-1,""))</f>
        <v/>
      </c>
      <c r="AJ215" s="42" t="str">
        <f aca="false">IF(OR(AI215="",$E215=""),"",AI215-$E215)</f>
        <v/>
      </c>
      <c r="AK215" s="39"/>
      <c r="AL215" s="40" t="str">
        <f aca="false">IF(OR(AK215="",BZ215=""),"",AK215/BZ215*100)</f>
        <v/>
      </c>
      <c r="AM215" s="41" t="str">
        <f aca="false">IF(AL215="","",IFERROR(MATCH(AL215,INDEX(Boundaries!$B$2:$I$30,MATCH(CN215,Boundaries!$A$2:$A$30,0),0),1)-1,""))</f>
        <v/>
      </c>
      <c r="AN215" s="42" t="str">
        <f aca="false">IF(OR(AM215="",$E215=""),"",AM215-$E215)</f>
        <v/>
      </c>
      <c r="AO215" s="39"/>
      <c r="AP215" s="40" t="str">
        <f aca="false">IF(OR(AO215="",CA215=""),"",AO215/CA215*100)</f>
        <v/>
      </c>
      <c r="AQ215" s="41" t="str">
        <f aca="false">IF(AP215="","",IFERROR(MATCH(AP215,INDEX(Boundaries!$B$2:$I$30,MATCH(CO215,Boundaries!$A$2:$A$30,0),0),1)-1,""))</f>
        <v/>
      </c>
      <c r="AR215" s="42" t="str">
        <f aca="false">IF(OR(AQ215="",$E215=""),"",AQ215-$E215)</f>
        <v/>
      </c>
      <c r="AS215" s="39"/>
      <c r="AT215" s="40" t="str">
        <f aca="false">IF(OR(AS215="",CB215=""),"",AS215/CB215*100)</f>
        <v/>
      </c>
      <c r="AU215" s="41" t="str">
        <f aca="false">IF(AT215="","",IFERROR(MATCH(AT215,INDEX(Boundaries!$B$2:$I$30,MATCH(CP215,Boundaries!$A$2:$A$30,0),0),1)-1,""))</f>
        <v/>
      </c>
      <c r="AV215" s="42" t="str">
        <f aca="false">IF(OR(AU215="",$E215=""),"",AU215-$E215)</f>
        <v/>
      </c>
      <c r="AW215" s="39"/>
      <c r="AX215" s="40" t="str">
        <f aca="false">IF(OR(AW215="",CC215=""),"",AW215/CC215*100)</f>
        <v/>
      </c>
      <c r="AY215" s="41" t="str">
        <f aca="false">IF(AX215="","",IFERROR(MATCH(AX215,INDEX(Boundaries!$B$2:$I$30,MATCH(CQ215,Boundaries!$A$2:$A$30,0),0),1)-1,""))</f>
        <v/>
      </c>
      <c r="AZ215" s="42" t="str">
        <f aca="false">IF(OR(AY215="",$E215=""),"",AY215-$E215)</f>
        <v/>
      </c>
      <c r="BA215" s="39"/>
      <c r="BB215" s="40" t="str">
        <f aca="false">IF(OR(BA215="",CD215=""),"",BA215/CD215*100)</f>
        <v/>
      </c>
      <c r="BC215" s="41" t="str">
        <f aca="false">IF(BB215="","",IFERROR(MATCH(BB215,INDEX(Boundaries!$B$2:$I$30,MATCH(CR215,Boundaries!$A$2:$A$30,0),0),1)-1,""))</f>
        <v/>
      </c>
      <c r="BD215" s="42" t="str">
        <f aca="false">IF(OR(BC215="",$E215=""),"",BC215-$E215)</f>
        <v/>
      </c>
      <c r="BE215" s="39"/>
      <c r="BF215" s="40" t="str">
        <f aca="false">IF(OR(BE215="",CE215=""),"",BE215/CE215*100)</f>
        <v/>
      </c>
      <c r="BG215" s="41" t="str">
        <f aca="false">IF(BF215="","",IFERROR(MATCH(BF215,INDEX(Boundaries!$B$2:$I$30,MATCH(CS215,Boundaries!$A$2:$A$30,0),0),1)-1,""))</f>
        <v/>
      </c>
      <c r="BH215" s="42" t="str">
        <f aca="false">IF(OR(BG215="",$E215=""),"",BG215-$E215)</f>
        <v/>
      </c>
      <c r="BI215" s="39"/>
      <c r="BJ215" s="40" t="str">
        <f aca="false">IF(OR(BI215="",CF215=""),"",BI215/CF215*100)</f>
        <v/>
      </c>
      <c r="BK215" s="41" t="str">
        <f aca="false">IF(BJ215="","",IFERROR(MATCH(BJ215,INDEX(Boundaries!$B$2:$I$30,MATCH(CT215,Boundaries!$A$2:$A$30,0),0),1)-1,""))</f>
        <v/>
      </c>
      <c r="BL215" s="42" t="str">
        <f aca="false">IF(OR(BK215="",$E215=""),"",BK215-$E215)</f>
        <v/>
      </c>
      <c r="BM215" s="39"/>
      <c r="BN215" s="40" t="str">
        <f aca="false">IF(OR(BM215="",CG215=""),"",BM215/CG215*100)</f>
        <v/>
      </c>
      <c r="BO215" s="41" t="str">
        <f aca="false">IF(BN215="","",IFERROR(MATCH(BN215,INDEX(Boundaries!$B$2:$I$30,MATCH(CU215,Boundaries!$A$2:$A$30,0),0),1)-1,""))</f>
        <v/>
      </c>
      <c r="BP215" s="42" t="str">
        <f aca="false">IF(OR(BO215="",$E215=""),"",BO215-$E215)</f>
        <v/>
      </c>
      <c r="BQ215" s="39"/>
      <c r="BR215" s="40" t="str">
        <f aca="false">IF(OR(BQ215="",CH215=""),"",BQ215/CH215*100)</f>
        <v/>
      </c>
      <c r="BS215" s="41" t="str">
        <f aca="false">IF(BR215="","",IFERROR(MATCH(BR215,INDEX(Boundaries!$B$2:$I$30,MATCH(CV215,Boundaries!$A$2:$A$30,0),0),1)-1,""))</f>
        <v/>
      </c>
      <c r="BT215" s="42" t="str">
        <f aca="false">IF(OR(BS215="",$E215=""),"",BS215-$E215)</f>
        <v/>
      </c>
      <c r="BU215" s="28" t="n">
        <f aca="false">IFERROR(INDEX(Assessments!$H$2:$H$600,MATCH($H215&amp;"|"&amp;$I215&amp;"|"&amp;$J215&amp;"|"&amp;1,Assessments!$A$2:$A$600,0)),"")</f>
        <v>10</v>
      </c>
      <c r="BV215" s="28" t="n">
        <f aca="false">IFERROR(INDEX(Assessments!$H$2:$H$600,MATCH($H215&amp;"|"&amp;$I215&amp;"|"&amp;$J215&amp;"|"&amp;2,Assessments!$A$2:$A$600,0)),"")</f>
        <v>10</v>
      </c>
      <c r="BW215" s="28" t="n">
        <f aca="false">IFERROR(INDEX(Assessments!$H$2:$H$600,MATCH($H215&amp;"|"&amp;$I215&amp;"|"&amp;$J215&amp;"|"&amp;3,Assessments!$A$2:$A$600,0)),"")</f>
        <v>20</v>
      </c>
      <c r="BX215" s="28" t="n">
        <f aca="false">IFERROR(INDEX(Assessments!$H$2:$H$600,MATCH($H215&amp;"|"&amp;$I215&amp;"|"&amp;$J215&amp;"|"&amp;4,Assessments!$A$2:$A$600,0)),"")</f>
        <v>20</v>
      </c>
      <c r="BY215" s="28" t="n">
        <f aca="false">IFERROR(INDEX(Assessments!$H$2:$H$600,MATCH($H215&amp;"|"&amp;$I215&amp;"|"&amp;$J215&amp;"|"&amp;5,Assessments!$A$2:$A$600,0)),"")</f>
        <v>50</v>
      </c>
      <c r="BZ215" s="28" t="str">
        <f aca="false">IFERROR(INDEX(Assessments!$H$2:$H$600,MATCH($H215&amp;"|"&amp;$I215&amp;"|"&amp;$J215&amp;"|"&amp;6,Assessments!$A$2:$A$600,0)),"")</f>
        <v/>
      </c>
      <c r="CA215" s="28" t="str">
        <f aca="false">IFERROR(INDEX(Assessments!$H$2:$H$600,MATCH($H215&amp;"|"&amp;$I215&amp;"|"&amp;$J215&amp;"|"&amp;7,Assessments!$A$2:$A$600,0)),"")</f>
        <v/>
      </c>
      <c r="CB215" s="28" t="str">
        <f aca="false">IFERROR(INDEX(Assessments!$H$2:$H$600,MATCH($H215&amp;"|"&amp;$I215&amp;"|"&amp;$J215&amp;"|"&amp;8,Assessments!$A$2:$A$600,0)),"")</f>
        <v/>
      </c>
      <c r="CC215" s="28" t="str">
        <f aca="false">IFERROR(INDEX(Assessments!$H$2:$H$600,MATCH($H215&amp;"|"&amp;$I215&amp;"|"&amp;$J215&amp;"|"&amp;9,Assessments!$A$2:$A$600,0)),"")</f>
        <v/>
      </c>
      <c r="CD215" s="28" t="str">
        <f aca="false">IFERROR(INDEX(Assessments!$H$2:$H$600,MATCH($H215&amp;"|"&amp;$I215&amp;"|"&amp;$J215&amp;"|"&amp;10,Assessments!$A$2:$A$600,0)),"")</f>
        <v/>
      </c>
      <c r="CE215" s="28" t="str">
        <f aca="false">IFERROR(INDEX(Assessments!$H$2:$H$600,MATCH($H215&amp;"|"&amp;$I215&amp;"|"&amp;$J215&amp;"|"&amp;11,Assessments!$A$2:$A$600,0)),"")</f>
        <v/>
      </c>
      <c r="CF215" s="28" t="str">
        <f aca="false">IFERROR(INDEX(Assessments!$H$2:$H$600,MATCH($H215&amp;"|"&amp;$I215&amp;"|"&amp;$J215&amp;"|"&amp;12,Assessments!$A$2:$A$600,0)),"")</f>
        <v/>
      </c>
      <c r="CG215" s="28" t="str">
        <f aca="false">IFERROR(INDEX(Assessments!$H$2:$H$600,MATCH($H215&amp;"|"&amp;$I215&amp;"|"&amp;$J215&amp;"|"&amp;13,Assessments!$A$2:$A$600,0)),"")</f>
        <v/>
      </c>
      <c r="CH215" s="28" t="str">
        <f aca="false">IFERROR(INDEX(Assessments!$H$2:$H$600,MATCH($H215&amp;"|"&amp;$I215&amp;"|"&amp;$J215&amp;"|"&amp;14,Assessments!$A$2:$A$600,0)),"")</f>
        <v/>
      </c>
      <c r="CI215" s="28" t="str">
        <f aca="false">IFERROR(INDEX(Assessments!$I$2:$I$600,MATCH($H215&amp;"|"&amp;$I215&amp;"|"&amp;$J215&amp;"|"&amp;1,Assessments!$A$2:$A$600,0)),"")</f>
        <v>Geog Paper 2</v>
      </c>
      <c r="CJ215" s="28" t="str">
        <f aca="false">IFERROR(INDEX(Assessments!$I$2:$I$600,MATCH($H215&amp;"|"&amp;$I215&amp;"|"&amp;$J215&amp;"|"&amp;2,Assessments!$A$2:$A$600,0)),"")</f>
        <v>Geog Paper 2</v>
      </c>
      <c r="CK215" s="28" t="str">
        <f aca="false">IFERROR(INDEX(Assessments!$I$2:$I$600,MATCH($H215&amp;"|"&amp;$I215&amp;"|"&amp;$J215&amp;"|"&amp;3,Assessments!$A$2:$A$600,0)),"")</f>
        <v>Geog Paper 1</v>
      </c>
      <c r="CL215" s="28" t="str">
        <f aca="false">IFERROR(INDEX(Assessments!$I$2:$I$600,MATCH($H215&amp;"|"&amp;$I215&amp;"|"&amp;$J215&amp;"|"&amp;4,Assessments!$A$2:$A$600,0)),"")</f>
        <v>Geog Paper 1</v>
      </c>
      <c r="CM215" s="28" t="str">
        <f aca="false">IFERROR(INDEX(Assessments!$I$2:$I$600,MATCH($H215&amp;"|"&amp;$I215&amp;"|"&amp;$J215&amp;"|"&amp;5,Assessments!$A$2:$A$600,0)),"")</f>
        <v>Geog Paper 2</v>
      </c>
      <c r="CN215" s="28" t="str">
        <f aca="false">IFERROR(INDEX(Assessments!$I$2:$I$600,MATCH($H215&amp;"|"&amp;$I215&amp;"|"&amp;$J215&amp;"|"&amp;6,Assessments!$A$2:$A$600,0)),"")</f>
        <v/>
      </c>
      <c r="CO215" s="28" t="str">
        <f aca="false">IFERROR(INDEX(Assessments!$I$2:$I$600,MATCH($H215&amp;"|"&amp;$I215&amp;"|"&amp;$J215&amp;"|"&amp;7,Assessments!$A$2:$A$600,0)),"")</f>
        <v/>
      </c>
      <c r="CP215" s="28" t="str">
        <f aca="false">IFERROR(INDEX(Assessments!$I$2:$I$600,MATCH($H215&amp;"|"&amp;$I215&amp;"|"&amp;$J215&amp;"|"&amp;8,Assessments!$A$2:$A$600,0)),"")</f>
        <v/>
      </c>
      <c r="CQ215" s="28" t="str">
        <f aca="false">IFERROR(INDEX(Assessments!$I$2:$I$600,MATCH($H215&amp;"|"&amp;$I215&amp;"|"&amp;$J215&amp;"|"&amp;9,Assessments!$A$2:$A$600,0)),"")</f>
        <v/>
      </c>
      <c r="CR215" s="28" t="str">
        <f aca="false">IFERROR(INDEX(Assessments!$I$2:$I$600,MATCH($H215&amp;"|"&amp;$I215&amp;"|"&amp;$J215&amp;"|"&amp;10,Assessments!$A$2:$A$600,0)),"")</f>
        <v/>
      </c>
      <c r="CS215" s="28" t="str">
        <f aca="false">IFERROR(INDEX(Assessments!$I$2:$I$600,MATCH($H215&amp;"|"&amp;$I215&amp;"|"&amp;$J215&amp;"|"&amp;11,Assessments!$A$2:$A$600,0)),"")</f>
        <v/>
      </c>
      <c r="CT215" s="28" t="str">
        <f aca="false">IFERROR(INDEX(Assessments!$I$2:$I$600,MATCH($H215&amp;"|"&amp;$I215&amp;"|"&amp;$J215&amp;"|"&amp;12,Assessments!$A$2:$A$600,0)),"")</f>
        <v/>
      </c>
      <c r="CU215" s="28" t="str">
        <f aca="false">IFERROR(INDEX(Assessments!$I$2:$I$600,MATCH($H215&amp;"|"&amp;$I215&amp;"|"&amp;$J215&amp;"|"&amp;13,Assessments!$A$2:$A$600,0)),"")</f>
        <v/>
      </c>
      <c r="CV215" s="28" t="str">
        <f aca="false">IFERROR(INDEX(Assessments!$I$2:$I$600,MATCH($H215&amp;"|"&amp;$I215&amp;"|"&amp;$J215&amp;"|"&amp;14,Assessments!$A$2:$A$600,0)),"")</f>
        <v/>
      </c>
      <c r="CW215" s="28" t="n">
        <f aca="false">IFERROR(INDEX(Assessments!$J$2:$J$600,MATCH($H215&amp;"|"&amp;$I215&amp;"|"&amp;$J215&amp;"|"&amp;1,Assessments!$A$2:$A$600,0)),0)</f>
        <v>1</v>
      </c>
      <c r="CX215" s="28" t="n">
        <f aca="false">IFERROR(INDEX(Assessments!$J$2:$J$600,MATCH($H215&amp;"|"&amp;$I215&amp;"|"&amp;$J215&amp;"|"&amp;2,Assessments!$A$2:$A$600,0)),0)</f>
        <v>1</v>
      </c>
      <c r="CY215" s="28" t="n">
        <f aca="false">IFERROR(INDEX(Assessments!$J$2:$J$600,MATCH($H215&amp;"|"&amp;$I215&amp;"|"&amp;$J215&amp;"|"&amp;3,Assessments!$A$2:$A$600,0)),0)</f>
        <v>1</v>
      </c>
      <c r="CZ215" s="28" t="n">
        <f aca="false">IFERROR(INDEX(Assessments!$J$2:$J$600,MATCH($H215&amp;"|"&amp;$I215&amp;"|"&amp;$J215&amp;"|"&amp;4,Assessments!$A$2:$A$600,0)),0)</f>
        <v>2</v>
      </c>
      <c r="DA215" s="28" t="n">
        <f aca="false">IFERROR(INDEX(Assessments!$J$2:$J$600,MATCH($H215&amp;"|"&amp;$I215&amp;"|"&amp;$J215&amp;"|"&amp;5,Assessments!$A$2:$A$600,0)),0)</f>
        <v>2</v>
      </c>
      <c r="DB215" s="28" t="n">
        <f aca="false">IFERROR(INDEX(Assessments!$J$2:$J$600,MATCH($H215&amp;"|"&amp;$I215&amp;"|"&amp;$J215&amp;"|"&amp;6,Assessments!$A$2:$A$600,0)),0)</f>
        <v>0</v>
      </c>
      <c r="DC215" s="28" t="n">
        <f aca="false">IFERROR(INDEX(Assessments!$J$2:$J$600,MATCH($H215&amp;"|"&amp;$I215&amp;"|"&amp;$J215&amp;"|"&amp;7,Assessments!$A$2:$A$600,0)),0)</f>
        <v>0</v>
      </c>
      <c r="DD215" s="28" t="n">
        <f aca="false">IFERROR(INDEX(Assessments!$J$2:$J$600,MATCH($H215&amp;"|"&amp;$I215&amp;"|"&amp;$J215&amp;"|"&amp;8,Assessments!$A$2:$A$600,0)),0)</f>
        <v>0</v>
      </c>
      <c r="DE215" s="28" t="n">
        <f aca="false">IFERROR(INDEX(Assessments!$J$2:$J$600,MATCH($H215&amp;"|"&amp;$I215&amp;"|"&amp;$J215&amp;"|"&amp;9,Assessments!$A$2:$A$600,0)),0)</f>
        <v>0</v>
      </c>
      <c r="DF215" s="28" t="n">
        <f aca="false">IFERROR(INDEX(Assessments!$J$2:$J$600,MATCH($H215&amp;"|"&amp;$I215&amp;"|"&amp;$J215&amp;"|"&amp;10,Assessments!$A$2:$A$600,0)),0)</f>
        <v>0</v>
      </c>
      <c r="DG215" s="28" t="n">
        <f aca="false">IFERROR(INDEX(Assessments!$J$2:$J$600,MATCH($H215&amp;"|"&amp;$I215&amp;"|"&amp;$J215&amp;"|"&amp;11,Assessments!$A$2:$A$600,0)),0)</f>
        <v>0</v>
      </c>
      <c r="DH215" s="28" t="n">
        <f aca="false">IFERROR(INDEX(Assessments!$J$2:$J$600,MATCH($H215&amp;"|"&amp;$I215&amp;"|"&amp;$J215&amp;"|"&amp;12,Assessments!$A$2:$A$600,0)),0)</f>
        <v>0</v>
      </c>
      <c r="DI215" s="28" t="n">
        <f aca="false">IFERROR(INDEX(Assessments!$J$2:$J$600,MATCH($H215&amp;"|"&amp;$I215&amp;"|"&amp;$J215&amp;"|"&amp;13,Assessments!$A$2:$A$600,0)),0)</f>
        <v>0</v>
      </c>
      <c r="DJ215" s="28" t="n">
        <f aca="false">IFERROR(INDEX(Assessments!$J$2:$J$600,MATCH($H215&amp;"|"&amp;$I215&amp;"|"&amp;$J215&amp;"|"&amp;14,Assessments!$A$2:$A$600,0)),0)</f>
        <v>0</v>
      </c>
      <c r="DK215" s="28" t="str">
        <f aca="false">S215</f>
        <v/>
      </c>
      <c r="DL215" s="28" t="str">
        <f aca="false">W215</f>
        <v/>
      </c>
      <c r="DM215" s="28" t="str">
        <f aca="false">AA215</f>
        <v/>
      </c>
      <c r="DN215" s="28" t="str">
        <f aca="false">AE215</f>
        <v/>
      </c>
      <c r="DO215" s="28" t="str">
        <f aca="false">AI215</f>
        <v/>
      </c>
      <c r="DP215" s="28" t="str">
        <f aca="false">AM215</f>
        <v/>
      </c>
      <c r="DQ215" s="28" t="str">
        <f aca="false">AQ215</f>
        <v/>
      </c>
      <c r="DR215" s="28" t="str">
        <f aca="false">AU215</f>
        <v/>
      </c>
      <c r="DS215" s="28" t="str">
        <f aca="false">AY215</f>
        <v/>
      </c>
      <c r="DT215" s="28" t="str">
        <f aca="false">BC215</f>
        <v/>
      </c>
      <c r="DU215" s="28" t="str">
        <f aca="false">BG215</f>
        <v/>
      </c>
      <c r="DV215" s="28" t="str">
        <f aca="false">BK215</f>
        <v/>
      </c>
      <c r="DW215" s="28" t="str">
        <f aca="false">BO215</f>
        <v/>
      </c>
      <c r="DX215" s="28" t="str">
        <f aca="false">BS215</f>
        <v/>
      </c>
      <c r="DY215" s="28" t="str">
        <f aca="false">IF(ISNUMBER(S215),1,"")</f>
        <v/>
      </c>
      <c r="DZ215" s="28" t="str">
        <f aca="false">IF(ISNUMBER(W215),2,"")</f>
        <v/>
      </c>
      <c r="EA215" s="28" t="str">
        <f aca="false">IF(ISNUMBER(AA215),3,"")</f>
        <v/>
      </c>
      <c r="EB215" s="28" t="str">
        <f aca="false">IF(ISNUMBER(AE215),4,"")</f>
        <v/>
      </c>
      <c r="EC215" s="28" t="str">
        <f aca="false">IF(ISNUMBER(AI215),5,"")</f>
        <v/>
      </c>
      <c r="ED215" s="28" t="str">
        <f aca="false">IF(ISNUMBER(AM215),6,"")</f>
        <v/>
      </c>
      <c r="EE215" s="28" t="str">
        <f aca="false">IF(ISNUMBER(AQ215),7,"")</f>
        <v/>
      </c>
      <c r="EF215" s="28" t="str">
        <f aca="false">IF(ISNUMBER(AU215),8,"")</f>
        <v/>
      </c>
      <c r="EG215" s="28" t="str">
        <f aca="false">IF(ISNUMBER(AY215),9,"")</f>
        <v/>
      </c>
      <c r="EH215" s="28" t="str">
        <f aca="false">IF(ISNUMBER(BC215),10,"")</f>
        <v/>
      </c>
      <c r="EI215" s="28" t="str">
        <f aca="false">IF(ISNUMBER(BG215),11,"")</f>
        <v/>
      </c>
      <c r="EJ215" s="28" t="str">
        <f aca="false">IF(ISNUMBER(BK215),12,"")</f>
        <v/>
      </c>
      <c r="EK215" s="28" t="str">
        <f aca="false">IF(ISNUMBER(BO215),13,"")</f>
        <v/>
      </c>
      <c r="EL215" s="28" t="str">
        <f aca="false">IF(ISNUMBER(BS215),14,"")</f>
        <v/>
      </c>
      <c r="EM215" s="28" t="n">
        <f aca="false">IF(ISNUMBER(R215),R215*CW215,0)</f>
        <v>0</v>
      </c>
      <c r="EN215" s="28" t="n">
        <f aca="false">IF(ISNUMBER(V215),V215*CX215,0)</f>
        <v>0</v>
      </c>
      <c r="EO215" s="28" t="n">
        <f aca="false">IF(ISNUMBER(Z215),Z215*CY215,0)</f>
        <v>0</v>
      </c>
      <c r="EP215" s="28" t="n">
        <f aca="false">IF(ISNUMBER(AD215),AD215*CZ215,0)</f>
        <v>0</v>
      </c>
      <c r="EQ215" s="28" t="n">
        <f aca="false">IF(ISNUMBER(AH215),AH215*DA215,0)</f>
        <v>0</v>
      </c>
      <c r="ER215" s="28" t="n">
        <f aca="false">IF(ISNUMBER(AL215),AL215*DB215,0)</f>
        <v>0</v>
      </c>
      <c r="ES215" s="28" t="n">
        <f aca="false">IF(ISNUMBER(AP215),AP215*DC215,0)</f>
        <v>0</v>
      </c>
      <c r="ET215" s="28" t="n">
        <f aca="false">IF(ISNUMBER(AT215),AT215*DD215,0)</f>
        <v>0</v>
      </c>
      <c r="EU215" s="28" t="n">
        <f aca="false">IF(ISNUMBER(AX215),AX215*DE215,0)</f>
        <v>0</v>
      </c>
      <c r="EV215" s="28" t="n">
        <f aca="false">IF(ISNUMBER(BB215),BB215*DF215,0)</f>
        <v>0</v>
      </c>
      <c r="EW215" s="28" t="n">
        <f aca="false">IF(ISNUMBER(BF215),BF215*DG215,0)</f>
        <v>0</v>
      </c>
      <c r="EX215" s="28" t="n">
        <f aca="false">IF(ISNUMBER(BJ215),BJ215*DH215,0)</f>
        <v>0</v>
      </c>
      <c r="EY215" s="28" t="n">
        <f aca="false">IF(ISNUMBER(BN215),BN215*DI215,0)</f>
        <v>0</v>
      </c>
      <c r="EZ215" s="28" t="n">
        <f aca="false">IF(ISNUMBER(BR215),BR215*DJ215,0)</f>
        <v>0</v>
      </c>
      <c r="FA215" s="28" t="n">
        <f aca="false">IF(ISNUMBER(R215),CW215,0)</f>
        <v>0</v>
      </c>
      <c r="FB215" s="28" t="n">
        <f aca="false">IF(ISNUMBER(V215),CX215,0)</f>
        <v>0</v>
      </c>
      <c r="FC215" s="28" t="n">
        <f aca="false">IF(ISNUMBER(Z215),CY215,0)</f>
        <v>0</v>
      </c>
      <c r="FD215" s="28" t="n">
        <f aca="false">IF(ISNUMBER(AD215),CZ215,0)</f>
        <v>0</v>
      </c>
      <c r="FE215" s="28" t="n">
        <f aca="false">IF(ISNUMBER(AH215),DA215,0)</f>
        <v>0</v>
      </c>
      <c r="FF215" s="28" t="n">
        <f aca="false">IF(ISNUMBER(AL215),DB215,0)</f>
        <v>0</v>
      </c>
      <c r="FG215" s="28" t="n">
        <f aca="false">IF(ISNUMBER(AP215),DC215,0)</f>
        <v>0</v>
      </c>
      <c r="FH215" s="28" t="n">
        <f aca="false">IF(ISNUMBER(AT215),DD215,0)</f>
        <v>0</v>
      </c>
      <c r="FI215" s="28" t="n">
        <f aca="false">IF(ISNUMBER(AX215),DE215,0)</f>
        <v>0</v>
      </c>
      <c r="FJ215" s="28" t="n">
        <f aca="false">IF(ISNUMBER(BB215),DF215,0)</f>
        <v>0</v>
      </c>
      <c r="FK215" s="28" t="n">
        <f aca="false">IF(ISNUMBER(BF215),DG215,0)</f>
        <v>0</v>
      </c>
      <c r="FL215" s="28" t="n">
        <f aca="false">IF(ISNUMBER(BJ215),DH215,0)</f>
        <v>0</v>
      </c>
      <c r="FM215" s="28" t="n">
        <f aca="false">IF(ISNUMBER(BN215),DI215,0)</f>
        <v>0</v>
      </c>
      <c r="FN215" s="28" t="n">
        <f aca="false">IF(ISNUMBER(BR215),DJ215,0)</f>
        <v>0</v>
      </c>
      <c r="FO215" s="28" t="str">
        <f aca="false">IFERROR(INDEX(Lists!$G$2:$G$20,MATCH($I215&amp;"|"&amp;$J215,Lists!$F$2:$F$20,0)),"")</f>
        <v>Geog Overall SL</v>
      </c>
    </row>
    <row r="216" customFormat="false" ht="19.5" hidden="false" customHeight="true" outlineLevel="0" collapsed="false">
      <c r="A216" s="29" t="s">
        <v>462</v>
      </c>
      <c r="B216" s="29" t="s">
        <v>463</v>
      </c>
      <c r="C216" s="30" t="s">
        <v>152</v>
      </c>
      <c r="D216" s="30" t="s">
        <v>153</v>
      </c>
      <c r="E216" s="31"/>
      <c r="F216" s="30"/>
      <c r="G216" s="30"/>
      <c r="H216" s="32" t="s">
        <v>428</v>
      </c>
      <c r="I216" s="33" t="s">
        <v>24</v>
      </c>
      <c r="J216" s="32" t="s">
        <v>223</v>
      </c>
      <c r="K216" s="34" t="str">
        <f aca="false">IF(OR(M216="",$E216=""),"",M216-$E216)</f>
        <v/>
      </c>
      <c r="L216" s="35" t="str">
        <f aca="false">IF(SUM(FA216:FN216)=0,"",SUM(EM216:EZ216)/SUM(FA216:FN216))</f>
        <v/>
      </c>
      <c r="M216" s="36" t="str">
        <f aca="false">IF(OR(L216="",FO216=""),"",IFERROR(MATCH(L216,INDEX(Boundaries!$B$2:$I$30,MATCH(FO216,Boundaries!$A$2:$A$30,0),0),1)-1,""))</f>
        <v/>
      </c>
      <c r="N216" s="37" t="str">
        <f aca="false">IF(COUNT($DY216:$EL216)&lt;2,"",INDEX($DK216:$DX216,MAX($DY216:$EL216))-INDEX($DK216:$DX216,MIN($DY216:$EL216)))</f>
        <v/>
      </c>
      <c r="O216" s="37" t="str">
        <f aca="false">IF(COUNT($DY216:$EL216)&lt;2,"",INDEX($DK216:$DX216,MAX($DY216:$EL216))-INDEX($DK216:$DX216,LARGE($DY216:$EL216,2)))</f>
        <v/>
      </c>
      <c r="P216" s="38" t="str">
        <f aca="false">IF(K216="","",IF(K216&gt;=0,"On/above target",IF(AND(N216&lt;&gt;"",N216&gt;=0.5),"Improving towards target",IF(AND(O216&lt;&gt;"",O216&lt;=-0.5),"Declining","Stable below target"))))</f>
        <v/>
      </c>
      <c r="Q216" s="39"/>
      <c r="R216" s="40" t="str">
        <f aca="false">IF(OR(Q216="",BU216=""),"",Q216/BU216*100)</f>
        <v/>
      </c>
      <c r="S216" s="41" t="str">
        <f aca="false">IF(R216="","",IFERROR(MATCH(R216,INDEX(Boundaries!$B$2:$I$30,MATCH(CI216,Boundaries!$A$2:$A$30,0),0),1)-1,""))</f>
        <v/>
      </c>
      <c r="T216" s="42" t="str">
        <f aca="false">IF(OR(S216="",$E216=""),"",S216-$E216)</f>
        <v/>
      </c>
      <c r="U216" s="39"/>
      <c r="V216" s="40" t="str">
        <f aca="false">IF(OR(U216="",BV216=""),"",U216/BV216*100)</f>
        <v/>
      </c>
      <c r="W216" s="41" t="str">
        <f aca="false">IF(V216="","",IFERROR(MATCH(V216,INDEX(Boundaries!$B$2:$I$30,MATCH(CJ216,Boundaries!$A$2:$A$30,0),0),1)-1,""))</f>
        <v/>
      </c>
      <c r="X216" s="42" t="str">
        <f aca="false">IF(OR(W216="",$E216=""),"",W216-$E216)</f>
        <v/>
      </c>
      <c r="Y216" s="39"/>
      <c r="Z216" s="40" t="str">
        <f aca="false">IF(OR(Y216="",BW216=""),"",Y216/BW216*100)</f>
        <v/>
      </c>
      <c r="AA216" s="41" t="str">
        <f aca="false">IF(Z216="","",IFERROR(MATCH(Z216,INDEX(Boundaries!$B$2:$I$30,MATCH(CK216,Boundaries!$A$2:$A$30,0),0),1)-1,""))</f>
        <v/>
      </c>
      <c r="AB216" s="42" t="str">
        <f aca="false">IF(OR(AA216="",$E216=""),"",AA216-$E216)</f>
        <v/>
      </c>
      <c r="AC216" s="39"/>
      <c r="AD216" s="40" t="str">
        <f aca="false">IF(OR(AC216="",BX216=""),"",AC216/BX216*100)</f>
        <v/>
      </c>
      <c r="AE216" s="41" t="str">
        <f aca="false">IF(AD216="","",IFERROR(MATCH(AD216,INDEX(Boundaries!$B$2:$I$30,MATCH(CL216,Boundaries!$A$2:$A$30,0),0),1)-1,""))</f>
        <v/>
      </c>
      <c r="AF216" s="42" t="str">
        <f aca="false">IF(OR(AE216="",$E216=""),"",AE216-$E216)</f>
        <v/>
      </c>
      <c r="AG216" s="39"/>
      <c r="AH216" s="40" t="str">
        <f aca="false">IF(OR(AG216="",BY216=""),"",AG216/BY216*100)</f>
        <v/>
      </c>
      <c r="AI216" s="41" t="str">
        <f aca="false">IF(AH216="","",IFERROR(MATCH(AH216,INDEX(Boundaries!$B$2:$I$30,MATCH(CM216,Boundaries!$A$2:$A$30,0),0),1)-1,""))</f>
        <v/>
      </c>
      <c r="AJ216" s="42" t="str">
        <f aca="false">IF(OR(AI216="",$E216=""),"",AI216-$E216)</f>
        <v/>
      </c>
      <c r="AK216" s="39"/>
      <c r="AL216" s="40" t="str">
        <f aca="false">IF(OR(AK216="",BZ216=""),"",AK216/BZ216*100)</f>
        <v/>
      </c>
      <c r="AM216" s="41" t="str">
        <f aca="false">IF(AL216="","",IFERROR(MATCH(AL216,INDEX(Boundaries!$B$2:$I$30,MATCH(CN216,Boundaries!$A$2:$A$30,0),0),1)-1,""))</f>
        <v/>
      </c>
      <c r="AN216" s="42" t="str">
        <f aca="false">IF(OR(AM216="",$E216=""),"",AM216-$E216)</f>
        <v/>
      </c>
      <c r="AO216" s="39"/>
      <c r="AP216" s="40" t="str">
        <f aca="false">IF(OR(AO216="",CA216=""),"",AO216/CA216*100)</f>
        <v/>
      </c>
      <c r="AQ216" s="41" t="str">
        <f aca="false">IF(AP216="","",IFERROR(MATCH(AP216,INDEX(Boundaries!$B$2:$I$30,MATCH(CO216,Boundaries!$A$2:$A$30,0),0),1)-1,""))</f>
        <v/>
      </c>
      <c r="AR216" s="42" t="str">
        <f aca="false">IF(OR(AQ216="",$E216=""),"",AQ216-$E216)</f>
        <v/>
      </c>
      <c r="AS216" s="39"/>
      <c r="AT216" s="40" t="str">
        <f aca="false">IF(OR(AS216="",CB216=""),"",AS216/CB216*100)</f>
        <v/>
      </c>
      <c r="AU216" s="41" t="str">
        <f aca="false">IF(AT216="","",IFERROR(MATCH(AT216,INDEX(Boundaries!$B$2:$I$30,MATCH(CP216,Boundaries!$A$2:$A$30,0),0),1)-1,""))</f>
        <v/>
      </c>
      <c r="AV216" s="42" t="str">
        <f aca="false">IF(OR(AU216="",$E216=""),"",AU216-$E216)</f>
        <v/>
      </c>
      <c r="AW216" s="39"/>
      <c r="AX216" s="40" t="str">
        <f aca="false">IF(OR(AW216="",CC216=""),"",AW216/CC216*100)</f>
        <v/>
      </c>
      <c r="AY216" s="41" t="str">
        <f aca="false">IF(AX216="","",IFERROR(MATCH(AX216,INDEX(Boundaries!$B$2:$I$30,MATCH(CQ216,Boundaries!$A$2:$A$30,0),0),1)-1,""))</f>
        <v/>
      </c>
      <c r="AZ216" s="42" t="str">
        <f aca="false">IF(OR(AY216="",$E216=""),"",AY216-$E216)</f>
        <v/>
      </c>
      <c r="BA216" s="39"/>
      <c r="BB216" s="40" t="str">
        <f aca="false">IF(OR(BA216="",CD216=""),"",BA216/CD216*100)</f>
        <v/>
      </c>
      <c r="BC216" s="41" t="str">
        <f aca="false">IF(BB216="","",IFERROR(MATCH(BB216,INDEX(Boundaries!$B$2:$I$30,MATCH(CR216,Boundaries!$A$2:$A$30,0),0),1)-1,""))</f>
        <v/>
      </c>
      <c r="BD216" s="42" t="str">
        <f aca="false">IF(OR(BC216="",$E216=""),"",BC216-$E216)</f>
        <v/>
      </c>
      <c r="BE216" s="39"/>
      <c r="BF216" s="40" t="str">
        <f aca="false">IF(OR(BE216="",CE216=""),"",BE216/CE216*100)</f>
        <v/>
      </c>
      <c r="BG216" s="41" t="str">
        <f aca="false">IF(BF216="","",IFERROR(MATCH(BF216,INDEX(Boundaries!$B$2:$I$30,MATCH(CS216,Boundaries!$A$2:$A$30,0),0),1)-1,""))</f>
        <v/>
      </c>
      <c r="BH216" s="42" t="str">
        <f aca="false">IF(OR(BG216="",$E216=""),"",BG216-$E216)</f>
        <v/>
      </c>
      <c r="BI216" s="39"/>
      <c r="BJ216" s="40" t="str">
        <f aca="false">IF(OR(BI216="",CF216=""),"",BI216/CF216*100)</f>
        <v/>
      </c>
      <c r="BK216" s="41" t="str">
        <f aca="false">IF(BJ216="","",IFERROR(MATCH(BJ216,INDEX(Boundaries!$B$2:$I$30,MATCH(CT216,Boundaries!$A$2:$A$30,0),0),1)-1,""))</f>
        <v/>
      </c>
      <c r="BL216" s="42" t="str">
        <f aca="false">IF(OR(BK216="",$E216=""),"",BK216-$E216)</f>
        <v/>
      </c>
      <c r="BM216" s="39"/>
      <c r="BN216" s="40" t="str">
        <f aca="false">IF(OR(BM216="",CG216=""),"",BM216/CG216*100)</f>
        <v/>
      </c>
      <c r="BO216" s="41" t="str">
        <f aca="false">IF(BN216="","",IFERROR(MATCH(BN216,INDEX(Boundaries!$B$2:$I$30,MATCH(CU216,Boundaries!$A$2:$A$30,0),0),1)-1,""))</f>
        <v/>
      </c>
      <c r="BP216" s="42" t="str">
        <f aca="false">IF(OR(BO216="",$E216=""),"",BO216-$E216)</f>
        <v/>
      </c>
      <c r="BQ216" s="39"/>
      <c r="BR216" s="40" t="str">
        <f aca="false">IF(OR(BQ216="",CH216=""),"",BQ216/CH216*100)</f>
        <v/>
      </c>
      <c r="BS216" s="41" t="str">
        <f aca="false">IF(BR216="","",IFERROR(MATCH(BR216,INDEX(Boundaries!$B$2:$I$30,MATCH(CV216,Boundaries!$A$2:$A$30,0),0),1)-1,""))</f>
        <v/>
      </c>
      <c r="BT216" s="42" t="str">
        <f aca="false">IF(OR(BS216="",$E216=""),"",BS216-$E216)</f>
        <v/>
      </c>
      <c r="BU216" s="28" t="n">
        <f aca="false">IFERROR(INDEX(Assessments!$H$2:$H$600,MATCH($H216&amp;"|"&amp;$I216&amp;"|"&amp;$J216&amp;"|"&amp;1,Assessments!$A$2:$A$600,0)),"")</f>
        <v>10</v>
      </c>
      <c r="BV216" s="28" t="n">
        <f aca="false">IFERROR(INDEX(Assessments!$H$2:$H$600,MATCH($H216&amp;"|"&amp;$I216&amp;"|"&amp;$J216&amp;"|"&amp;2,Assessments!$A$2:$A$600,0)),"")</f>
        <v>10</v>
      </c>
      <c r="BW216" s="28" t="n">
        <f aca="false">IFERROR(INDEX(Assessments!$H$2:$H$600,MATCH($H216&amp;"|"&amp;$I216&amp;"|"&amp;$J216&amp;"|"&amp;3,Assessments!$A$2:$A$600,0)),"")</f>
        <v>20</v>
      </c>
      <c r="BX216" s="28" t="n">
        <f aca="false">IFERROR(INDEX(Assessments!$H$2:$H$600,MATCH($H216&amp;"|"&amp;$I216&amp;"|"&amp;$J216&amp;"|"&amp;4,Assessments!$A$2:$A$600,0)),"")</f>
        <v>20</v>
      </c>
      <c r="BY216" s="28" t="n">
        <f aca="false">IFERROR(INDEX(Assessments!$H$2:$H$600,MATCH($H216&amp;"|"&amp;$I216&amp;"|"&amp;$J216&amp;"|"&amp;5,Assessments!$A$2:$A$600,0)),"")</f>
        <v>50</v>
      </c>
      <c r="BZ216" s="28" t="str">
        <f aca="false">IFERROR(INDEX(Assessments!$H$2:$H$600,MATCH($H216&amp;"|"&amp;$I216&amp;"|"&amp;$J216&amp;"|"&amp;6,Assessments!$A$2:$A$600,0)),"")</f>
        <v/>
      </c>
      <c r="CA216" s="28" t="str">
        <f aca="false">IFERROR(INDEX(Assessments!$H$2:$H$600,MATCH($H216&amp;"|"&amp;$I216&amp;"|"&amp;$J216&amp;"|"&amp;7,Assessments!$A$2:$A$600,0)),"")</f>
        <v/>
      </c>
      <c r="CB216" s="28" t="str">
        <f aca="false">IFERROR(INDEX(Assessments!$H$2:$H$600,MATCH($H216&amp;"|"&amp;$I216&amp;"|"&amp;$J216&amp;"|"&amp;8,Assessments!$A$2:$A$600,0)),"")</f>
        <v/>
      </c>
      <c r="CC216" s="28" t="str">
        <f aca="false">IFERROR(INDEX(Assessments!$H$2:$H$600,MATCH($H216&amp;"|"&amp;$I216&amp;"|"&amp;$J216&amp;"|"&amp;9,Assessments!$A$2:$A$600,0)),"")</f>
        <v/>
      </c>
      <c r="CD216" s="28" t="str">
        <f aca="false">IFERROR(INDEX(Assessments!$H$2:$H$600,MATCH($H216&amp;"|"&amp;$I216&amp;"|"&amp;$J216&amp;"|"&amp;10,Assessments!$A$2:$A$600,0)),"")</f>
        <v/>
      </c>
      <c r="CE216" s="28" t="str">
        <f aca="false">IFERROR(INDEX(Assessments!$H$2:$H$600,MATCH($H216&amp;"|"&amp;$I216&amp;"|"&amp;$J216&amp;"|"&amp;11,Assessments!$A$2:$A$600,0)),"")</f>
        <v/>
      </c>
      <c r="CF216" s="28" t="str">
        <f aca="false">IFERROR(INDEX(Assessments!$H$2:$H$600,MATCH($H216&amp;"|"&amp;$I216&amp;"|"&amp;$J216&amp;"|"&amp;12,Assessments!$A$2:$A$600,0)),"")</f>
        <v/>
      </c>
      <c r="CG216" s="28" t="str">
        <f aca="false">IFERROR(INDEX(Assessments!$H$2:$H$600,MATCH($H216&amp;"|"&amp;$I216&amp;"|"&amp;$J216&amp;"|"&amp;13,Assessments!$A$2:$A$600,0)),"")</f>
        <v/>
      </c>
      <c r="CH216" s="28" t="str">
        <f aca="false">IFERROR(INDEX(Assessments!$H$2:$H$600,MATCH($H216&amp;"|"&amp;$I216&amp;"|"&amp;$J216&amp;"|"&amp;14,Assessments!$A$2:$A$600,0)),"")</f>
        <v/>
      </c>
      <c r="CI216" s="28" t="str">
        <f aca="false">IFERROR(INDEX(Assessments!$I$2:$I$600,MATCH($H216&amp;"|"&amp;$I216&amp;"|"&amp;$J216&amp;"|"&amp;1,Assessments!$A$2:$A$600,0)),"")</f>
        <v>Geog Paper 2</v>
      </c>
      <c r="CJ216" s="28" t="str">
        <f aca="false">IFERROR(INDEX(Assessments!$I$2:$I$600,MATCH($H216&amp;"|"&amp;$I216&amp;"|"&amp;$J216&amp;"|"&amp;2,Assessments!$A$2:$A$600,0)),"")</f>
        <v>Geog Paper 2</v>
      </c>
      <c r="CK216" s="28" t="str">
        <f aca="false">IFERROR(INDEX(Assessments!$I$2:$I$600,MATCH($H216&amp;"|"&amp;$I216&amp;"|"&amp;$J216&amp;"|"&amp;3,Assessments!$A$2:$A$600,0)),"")</f>
        <v>Geog Paper 1</v>
      </c>
      <c r="CL216" s="28" t="str">
        <f aca="false">IFERROR(INDEX(Assessments!$I$2:$I$600,MATCH($H216&amp;"|"&amp;$I216&amp;"|"&amp;$J216&amp;"|"&amp;4,Assessments!$A$2:$A$600,0)),"")</f>
        <v>Geog Paper 1</v>
      </c>
      <c r="CM216" s="28" t="str">
        <f aca="false">IFERROR(INDEX(Assessments!$I$2:$I$600,MATCH($H216&amp;"|"&amp;$I216&amp;"|"&amp;$J216&amp;"|"&amp;5,Assessments!$A$2:$A$600,0)),"")</f>
        <v>Geog Paper 2</v>
      </c>
      <c r="CN216" s="28" t="str">
        <f aca="false">IFERROR(INDEX(Assessments!$I$2:$I$600,MATCH($H216&amp;"|"&amp;$I216&amp;"|"&amp;$J216&amp;"|"&amp;6,Assessments!$A$2:$A$600,0)),"")</f>
        <v/>
      </c>
      <c r="CO216" s="28" t="str">
        <f aca="false">IFERROR(INDEX(Assessments!$I$2:$I$600,MATCH($H216&amp;"|"&amp;$I216&amp;"|"&amp;$J216&amp;"|"&amp;7,Assessments!$A$2:$A$600,0)),"")</f>
        <v/>
      </c>
      <c r="CP216" s="28" t="str">
        <f aca="false">IFERROR(INDEX(Assessments!$I$2:$I$600,MATCH($H216&amp;"|"&amp;$I216&amp;"|"&amp;$J216&amp;"|"&amp;8,Assessments!$A$2:$A$600,0)),"")</f>
        <v/>
      </c>
      <c r="CQ216" s="28" t="str">
        <f aca="false">IFERROR(INDEX(Assessments!$I$2:$I$600,MATCH($H216&amp;"|"&amp;$I216&amp;"|"&amp;$J216&amp;"|"&amp;9,Assessments!$A$2:$A$600,0)),"")</f>
        <v/>
      </c>
      <c r="CR216" s="28" t="str">
        <f aca="false">IFERROR(INDEX(Assessments!$I$2:$I$600,MATCH($H216&amp;"|"&amp;$I216&amp;"|"&amp;$J216&amp;"|"&amp;10,Assessments!$A$2:$A$600,0)),"")</f>
        <v/>
      </c>
      <c r="CS216" s="28" t="str">
        <f aca="false">IFERROR(INDEX(Assessments!$I$2:$I$600,MATCH($H216&amp;"|"&amp;$I216&amp;"|"&amp;$J216&amp;"|"&amp;11,Assessments!$A$2:$A$600,0)),"")</f>
        <v/>
      </c>
      <c r="CT216" s="28" t="str">
        <f aca="false">IFERROR(INDEX(Assessments!$I$2:$I$600,MATCH($H216&amp;"|"&amp;$I216&amp;"|"&amp;$J216&amp;"|"&amp;12,Assessments!$A$2:$A$600,0)),"")</f>
        <v/>
      </c>
      <c r="CU216" s="28" t="str">
        <f aca="false">IFERROR(INDEX(Assessments!$I$2:$I$600,MATCH($H216&amp;"|"&amp;$I216&amp;"|"&amp;$J216&amp;"|"&amp;13,Assessments!$A$2:$A$600,0)),"")</f>
        <v/>
      </c>
      <c r="CV216" s="28" t="str">
        <f aca="false">IFERROR(INDEX(Assessments!$I$2:$I$600,MATCH($H216&amp;"|"&amp;$I216&amp;"|"&amp;$J216&amp;"|"&amp;14,Assessments!$A$2:$A$600,0)),"")</f>
        <v/>
      </c>
      <c r="CW216" s="28" t="n">
        <f aca="false">IFERROR(INDEX(Assessments!$J$2:$J$600,MATCH($H216&amp;"|"&amp;$I216&amp;"|"&amp;$J216&amp;"|"&amp;1,Assessments!$A$2:$A$600,0)),0)</f>
        <v>1</v>
      </c>
      <c r="CX216" s="28" t="n">
        <f aca="false">IFERROR(INDEX(Assessments!$J$2:$J$600,MATCH($H216&amp;"|"&amp;$I216&amp;"|"&amp;$J216&amp;"|"&amp;2,Assessments!$A$2:$A$600,0)),0)</f>
        <v>1</v>
      </c>
      <c r="CY216" s="28" t="n">
        <f aca="false">IFERROR(INDEX(Assessments!$J$2:$J$600,MATCH($H216&amp;"|"&amp;$I216&amp;"|"&amp;$J216&amp;"|"&amp;3,Assessments!$A$2:$A$600,0)),0)</f>
        <v>1</v>
      </c>
      <c r="CZ216" s="28" t="n">
        <f aca="false">IFERROR(INDEX(Assessments!$J$2:$J$600,MATCH($H216&amp;"|"&amp;$I216&amp;"|"&amp;$J216&amp;"|"&amp;4,Assessments!$A$2:$A$600,0)),0)</f>
        <v>2</v>
      </c>
      <c r="DA216" s="28" t="n">
        <f aca="false">IFERROR(INDEX(Assessments!$J$2:$J$600,MATCH($H216&amp;"|"&amp;$I216&amp;"|"&amp;$J216&amp;"|"&amp;5,Assessments!$A$2:$A$600,0)),0)</f>
        <v>2</v>
      </c>
      <c r="DB216" s="28" t="n">
        <f aca="false">IFERROR(INDEX(Assessments!$J$2:$J$600,MATCH($H216&amp;"|"&amp;$I216&amp;"|"&amp;$J216&amp;"|"&amp;6,Assessments!$A$2:$A$600,0)),0)</f>
        <v>0</v>
      </c>
      <c r="DC216" s="28" t="n">
        <f aca="false">IFERROR(INDEX(Assessments!$J$2:$J$600,MATCH($H216&amp;"|"&amp;$I216&amp;"|"&amp;$J216&amp;"|"&amp;7,Assessments!$A$2:$A$600,0)),0)</f>
        <v>0</v>
      </c>
      <c r="DD216" s="28" t="n">
        <f aca="false">IFERROR(INDEX(Assessments!$J$2:$J$600,MATCH($H216&amp;"|"&amp;$I216&amp;"|"&amp;$J216&amp;"|"&amp;8,Assessments!$A$2:$A$600,0)),0)</f>
        <v>0</v>
      </c>
      <c r="DE216" s="28" t="n">
        <f aca="false">IFERROR(INDEX(Assessments!$J$2:$J$600,MATCH($H216&amp;"|"&amp;$I216&amp;"|"&amp;$J216&amp;"|"&amp;9,Assessments!$A$2:$A$600,0)),0)</f>
        <v>0</v>
      </c>
      <c r="DF216" s="28" t="n">
        <f aca="false">IFERROR(INDEX(Assessments!$J$2:$J$600,MATCH($H216&amp;"|"&amp;$I216&amp;"|"&amp;$J216&amp;"|"&amp;10,Assessments!$A$2:$A$600,0)),0)</f>
        <v>0</v>
      </c>
      <c r="DG216" s="28" t="n">
        <f aca="false">IFERROR(INDEX(Assessments!$J$2:$J$600,MATCH($H216&amp;"|"&amp;$I216&amp;"|"&amp;$J216&amp;"|"&amp;11,Assessments!$A$2:$A$600,0)),0)</f>
        <v>0</v>
      </c>
      <c r="DH216" s="28" t="n">
        <f aca="false">IFERROR(INDEX(Assessments!$J$2:$J$600,MATCH($H216&amp;"|"&amp;$I216&amp;"|"&amp;$J216&amp;"|"&amp;12,Assessments!$A$2:$A$600,0)),0)</f>
        <v>0</v>
      </c>
      <c r="DI216" s="28" t="n">
        <f aca="false">IFERROR(INDEX(Assessments!$J$2:$J$600,MATCH($H216&amp;"|"&amp;$I216&amp;"|"&amp;$J216&amp;"|"&amp;13,Assessments!$A$2:$A$600,0)),0)</f>
        <v>0</v>
      </c>
      <c r="DJ216" s="28" t="n">
        <f aca="false">IFERROR(INDEX(Assessments!$J$2:$J$600,MATCH($H216&amp;"|"&amp;$I216&amp;"|"&amp;$J216&amp;"|"&amp;14,Assessments!$A$2:$A$600,0)),0)</f>
        <v>0</v>
      </c>
      <c r="DK216" s="28" t="str">
        <f aca="false">S216</f>
        <v/>
      </c>
      <c r="DL216" s="28" t="str">
        <f aca="false">W216</f>
        <v/>
      </c>
      <c r="DM216" s="28" t="str">
        <f aca="false">AA216</f>
        <v/>
      </c>
      <c r="DN216" s="28" t="str">
        <f aca="false">AE216</f>
        <v/>
      </c>
      <c r="DO216" s="28" t="str">
        <f aca="false">AI216</f>
        <v/>
      </c>
      <c r="DP216" s="28" t="str">
        <f aca="false">AM216</f>
        <v/>
      </c>
      <c r="DQ216" s="28" t="str">
        <f aca="false">AQ216</f>
        <v/>
      </c>
      <c r="DR216" s="28" t="str">
        <f aca="false">AU216</f>
        <v/>
      </c>
      <c r="DS216" s="28" t="str">
        <f aca="false">AY216</f>
        <v/>
      </c>
      <c r="DT216" s="28" t="str">
        <f aca="false">BC216</f>
        <v/>
      </c>
      <c r="DU216" s="28" t="str">
        <f aca="false">BG216</f>
        <v/>
      </c>
      <c r="DV216" s="28" t="str">
        <f aca="false">BK216</f>
        <v/>
      </c>
      <c r="DW216" s="28" t="str">
        <f aca="false">BO216</f>
        <v/>
      </c>
      <c r="DX216" s="28" t="str">
        <f aca="false">BS216</f>
        <v/>
      </c>
      <c r="DY216" s="28" t="str">
        <f aca="false">IF(ISNUMBER(S216),1,"")</f>
        <v/>
      </c>
      <c r="DZ216" s="28" t="str">
        <f aca="false">IF(ISNUMBER(W216),2,"")</f>
        <v/>
      </c>
      <c r="EA216" s="28" t="str">
        <f aca="false">IF(ISNUMBER(AA216),3,"")</f>
        <v/>
      </c>
      <c r="EB216" s="28" t="str">
        <f aca="false">IF(ISNUMBER(AE216),4,"")</f>
        <v/>
      </c>
      <c r="EC216" s="28" t="str">
        <f aca="false">IF(ISNUMBER(AI216),5,"")</f>
        <v/>
      </c>
      <c r="ED216" s="28" t="str">
        <f aca="false">IF(ISNUMBER(AM216),6,"")</f>
        <v/>
      </c>
      <c r="EE216" s="28" t="str">
        <f aca="false">IF(ISNUMBER(AQ216),7,"")</f>
        <v/>
      </c>
      <c r="EF216" s="28" t="str">
        <f aca="false">IF(ISNUMBER(AU216),8,"")</f>
        <v/>
      </c>
      <c r="EG216" s="28" t="str">
        <f aca="false">IF(ISNUMBER(AY216),9,"")</f>
        <v/>
      </c>
      <c r="EH216" s="28" t="str">
        <f aca="false">IF(ISNUMBER(BC216),10,"")</f>
        <v/>
      </c>
      <c r="EI216" s="28" t="str">
        <f aca="false">IF(ISNUMBER(BG216),11,"")</f>
        <v/>
      </c>
      <c r="EJ216" s="28" t="str">
        <f aca="false">IF(ISNUMBER(BK216),12,"")</f>
        <v/>
      </c>
      <c r="EK216" s="28" t="str">
        <f aca="false">IF(ISNUMBER(BO216),13,"")</f>
        <v/>
      </c>
      <c r="EL216" s="28" t="str">
        <f aca="false">IF(ISNUMBER(BS216),14,"")</f>
        <v/>
      </c>
      <c r="EM216" s="28" t="n">
        <f aca="false">IF(ISNUMBER(R216),R216*CW216,0)</f>
        <v>0</v>
      </c>
      <c r="EN216" s="28" t="n">
        <f aca="false">IF(ISNUMBER(V216),V216*CX216,0)</f>
        <v>0</v>
      </c>
      <c r="EO216" s="28" t="n">
        <f aca="false">IF(ISNUMBER(Z216),Z216*CY216,0)</f>
        <v>0</v>
      </c>
      <c r="EP216" s="28" t="n">
        <f aca="false">IF(ISNUMBER(AD216),AD216*CZ216,0)</f>
        <v>0</v>
      </c>
      <c r="EQ216" s="28" t="n">
        <f aca="false">IF(ISNUMBER(AH216),AH216*DA216,0)</f>
        <v>0</v>
      </c>
      <c r="ER216" s="28" t="n">
        <f aca="false">IF(ISNUMBER(AL216),AL216*DB216,0)</f>
        <v>0</v>
      </c>
      <c r="ES216" s="28" t="n">
        <f aca="false">IF(ISNUMBER(AP216),AP216*DC216,0)</f>
        <v>0</v>
      </c>
      <c r="ET216" s="28" t="n">
        <f aca="false">IF(ISNUMBER(AT216),AT216*DD216,0)</f>
        <v>0</v>
      </c>
      <c r="EU216" s="28" t="n">
        <f aca="false">IF(ISNUMBER(AX216),AX216*DE216,0)</f>
        <v>0</v>
      </c>
      <c r="EV216" s="28" t="n">
        <f aca="false">IF(ISNUMBER(BB216),BB216*DF216,0)</f>
        <v>0</v>
      </c>
      <c r="EW216" s="28" t="n">
        <f aca="false">IF(ISNUMBER(BF216),BF216*DG216,0)</f>
        <v>0</v>
      </c>
      <c r="EX216" s="28" t="n">
        <f aca="false">IF(ISNUMBER(BJ216),BJ216*DH216,0)</f>
        <v>0</v>
      </c>
      <c r="EY216" s="28" t="n">
        <f aca="false">IF(ISNUMBER(BN216),BN216*DI216,0)</f>
        <v>0</v>
      </c>
      <c r="EZ216" s="28" t="n">
        <f aca="false">IF(ISNUMBER(BR216),BR216*DJ216,0)</f>
        <v>0</v>
      </c>
      <c r="FA216" s="28" t="n">
        <f aca="false">IF(ISNUMBER(R216),CW216,0)</f>
        <v>0</v>
      </c>
      <c r="FB216" s="28" t="n">
        <f aca="false">IF(ISNUMBER(V216),CX216,0)</f>
        <v>0</v>
      </c>
      <c r="FC216" s="28" t="n">
        <f aca="false">IF(ISNUMBER(Z216),CY216,0)</f>
        <v>0</v>
      </c>
      <c r="FD216" s="28" t="n">
        <f aca="false">IF(ISNUMBER(AD216),CZ216,0)</f>
        <v>0</v>
      </c>
      <c r="FE216" s="28" t="n">
        <f aca="false">IF(ISNUMBER(AH216),DA216,0)</f>
        <v>0</v>
      </c>
      <c r="FF216" s="28" t="n">
        <f aca="false">IF(ISNUMBER(AL216),DB216,0)</f>
        <v>0</v>
      </c>
      <c r="FG216" s="28" t="n">
        <f aca="false">IF(ISNUMBER(AP216),DC216,0)</f>
        <v>0</v>
      </c>
      <c r="FH216" s="28" t="n">
        <f aca="false">IF(ISNUMBER(AT216),DD216,0)</f>
        <v>0</v>
      </c>
      <c r="FI216" s="28" t="n">
        <f aca="false">IF(ISNUMBER(AX216),DE216,0)</f>
        <v>0</v>
      </c>
      <c r="FJ216" s="28" t="n">
        <f aca="false">IF(ISNUMBER(BB216),DF216,0)</f>
        <v>0</v>
      </c>
      <c r="FK216" s="28" t="n">
        <f aca="false">IF(ISNUMBER(BF216),DG216,0)</f>
        <v>0</v>
      </c>
      <c r="FL216" s="28" t="n">
        <f aca="false">IF(ISNUMBER(BJ216),DH216,0)</f>
        <v>0</v>
      </c>
      <c r="FM216" s="28" t="n">
        <f aca="false">IF(ISNUMBER(BN216),DI216,0)</f>
        <v>0</v>
      </c>
      <c r="FN216" s="28" t="n">
        <f aca="false">IF(ISNUMBER(BR216),DJ216,0)</f>
        <v>0</v>
      </c>
      <c r="FO216" s="28" t="str">
        <f aca="false">IFERROR(INDEX(Lists!$G$2:$G$20,MATCH($I216&amp;"|"&amp;$J216,Lists!$F$2:$F$20,0)),"")</f>
        <v>Geog Overall SL</v>
      </c>
    </row>
    <row r="217" customFormat="false" ht="19.5" hidden="false" customHeight="true" outlineLevel="0" collapsed="false">
      <c r="A217" s="29" t="s">
        <v>464</v>
      </c>
      <c r="B217" s="29" t="s">
        <v>465</v>
      </c>
      <c r="C217" s="30" t="s">
        <v>152</v>
      </c>
      <c r="D217" s="30" t="s">
        <v>153</v>
      </c>
      <c r="E217" s="31"/>
      <c r="F217" s="30"/>
      <c r="G217" s="30"/>
      <c r="H217" s="32" t="s">
        <v>428</v>
      </c>
      <c r="I217" s="33" t="s">
        <v>24</v>
      </c>
      <c r="J217" s="32" t="s">
        <v>223</v>
      </c>
      <c r="K217" s="34" t="str">
        <f aca="false">IF(OR(M217="",$E217=""),"",M217-$E217)</f>
        <v/>
      </c>
      <c r="L217" s="35" t="str">
        <f aca="false">IF(SUM(FA217:FN217)=0,"",SUM(EM217:EZ217)/SUM(FA217:FN217))</f>
        <v/>
      </c>
      <c r="M217" s="36" t="str">
        <f aca="false">IF(OR(L217="",FO217=""),"",IFERROR(MATCH(L217,INDEX(Boundaries!$B$2:$I$30,MATCH(FO217,Boundaries!$A$2:$A$30,0),0),1)-1,""))</f>
        <v/>
      </c>
      <c r="N217" s="37" t="str">
        <f aca="false">IF(COUNT($DY217:$EL217)&lt;2,"",INDEX($DK217:$DX217,MAX($DY217:$EL217))-INDEX($DK217:$DX217,MIN($DY217:$EL217)))</f>
        <v/>
      </c>
      <c r="O217" s="37" t="str">
        <f aca="false">IF(COUNT($DY217:$EL217)&lt;2,"",INDEX($DK217:$DX217,MAX($DY217:$EL217))-INDEX($DK217:$DX217,LARGE($DY217:$EL217,2)))</f>
        <v/>
      </c>
      <c r="P217" s="38" t="str">
        <f aca="false">IF(K217="","",IF(K217&gt;=0,"On/above target",IF(AND(N217&lt;&gt;"",N217&gt;=0.5),"Improving towards target",IF(AND(O217&lt;&gt;"",O217&lt;=-0.5),"Declining","Stable below target"))))</f>
        <v/>
      </c>
      <c r="Q217" s="39"/>
      <c r="R217" s="40" t="str">
        <f aca="false">IF(OR(Q217="",BU217=""),"",Q217/BU217*100)</f>
        <v/>
      </c>
      <c r="S217" s="41" t="str">
        <f aca="false">IF(R217="","",IFERROR(MATCH(R217,INDEX(Boundaries!$B$2:$I$30,MATCH(CI217,Boundaries!$A$2:$A$30,0),0),1)-1,""))</f>
        <v/>
      </c>
      <c r="T217" s="42" t="str">
        <f aca="false">IF(OR(S217="",$E217=""),"",S217-$E217)</f>
        <v/>
      </c>
      <c r="U217" s="39"/>
      <c r="V217" s="40" t="str">
        <f aca="false">IF(OR(U217="",BV217=""),"",U217/BV217*100)</f>
        <v/>
      </c>
      <c r="W217" s="41" t="str">
        <f aca="false">IF(V217="","",IFERROR(MATCH(V217,INDEX(Boundaries!$B$2:$I$30,MATCH(CJ217,Boundaries!$A$2:$A$30,0),0),1)-1,""))</f>
        <v/>
      </c>
      <c r="X217" s="42" t="str">
        <f aca="false">IF(OR(W217="",$E217=""),"",W217-$E217)</f>
        <v/>
      </c>
      <c r="Y217" s="39"/>
      <c r="Z217" s="40" t="str">
        <f aca="false">IF(OR(Y217="",BW217=""),"",Y217/BW217*100)</f>
        <v/>
      </c>
      <c r="AA217" s="41" t="str">
        <f aca="false">IF(Z217="","",IFERROR(MATCH(Z217,INDEX(Boundaries!$B$2:$I$30,MATCH(CK217,Boundaries!$A$2:$A$30,0),0),1)-1,""))</f>
        <v/>
      </c>
      <c r="AB217" s="42" t="str">
        <f aca="false">IF(OR(AA217="",$E217=""),"",AA217-$E217)</f>
        <v/>
      </c>
      <c r="AC217" s="39"/>
      <c r="AD217" s="40" t="str">
        <f aca="false">IF(OR(AC217="",BX217=""),"",AC217/BX217*100)</f>
        <v/>
      </c>
      <c r="AE217" s="41" t="str">
        <f aca="false">IF(AD217="","",IFERROR(MATCH(AD217,INDEX(Boundaries!$B$2:$I$30,MATCH(CL217,Boundaries!$A$2:$A$30,0),0),1)-1,""))</f>
        <v/>
      </c>
      <c r="AF217" s="42" t="str">
        <f aca="false">IF(OR(AE217="",$E217=""),"",AE217-$E217)</f>
        <v/>
      </c>
      <c r="AG217" s="39"/>
      <c r="AH217" s="40" t="str">
        <f aca="false">IF(OR(AG217="",BY217=""),"",AG217/BY217*100)</f>
        <v/>
      </c>
      <c r="AI217" s="41" t="str">
        <f aca="false">IF(AH217="","",IFERROR(MATCH(AH217,INDEX(Boundaries!$B$2:$I$30,MATCH(CM217,Boundaries!$A$2:$A$30,0),0),1)-1,""))</f>
        <v/>
      </c>
      <c r="AJ217" s="42" t="str">
        <f aca="false">IF(OR(AI217="",$E217=""),"",AI217-$E217)</f>
        <v/>
      </c>
      <c r="AK217" s="39"/>
      <c r="AL217" s="40" t="str">
        <f aca="false">IF(OR(AK217="",BZ217=""),"",AK217/BZ217*100)</f>
        <v/>
      </c>
      <c r="AM217" s="41" t="str">
        <f aca="false">IF(AL217="","",IFERROR(MATCH(AL217,INDEX(Boundaries!$B$2:$I$30,MATCH(CN217,Boundaries!$A$2:$A$30,0),0),1)-1,""))</f>
        <v/>
      </c>
      <c r="AN217" s="42" t="str">
        <f aca="false">IF(OR(AM217="",$E217=""),"",AM217-$E217)</f>
        <v/>
      </c>
      <c r="AO217" s="39"/>
      <c r="AP217" s="40" t="str">
        <f aca="false">IF(OR(AO217="",CA217=""),"",AO217/CA217*100)</f>
        <v/>
      </c>
      <c r="AQ217" s="41" t="str">
        <f aca="false">IF(AP217="","",IFERROR(MATCH(AP217,INDEX(Boundaries!$B$2:$I$30,MATCH(CO217,Boundaries!$A$2:$A$30,0),0),1)-1,""))</f>
        <v/>
      </c>
      <c r="AR217" s="42" t="str">
        <f aca="false">IF(OR(AQ217="",$E217=""),"",AQ217-$E217)</f>
        <v/>
      </c>
      <c r="AS217" s="39"/>
      <c r="AT217" s="40" t="str">
        <f aca="false">IF(OR(AS217="",CB217=""),"",AS217/CB217*100)</f>
        <v/>
      </c>
      <c r="AU217" s="41" t="str">
        <f aca="false">IF(AT217="","",IFERROR(MATCH(AT217,INDEX(Boundaries!$B$2:$I$30,MATCH(CP217,Boundaries!$A$2:$A$30,0),0),1)-1,""))</f>
        <v/>
      </c>
      <c r="AV217" s="42" t="str">
        <f aca="false">IF(OR(AU217="",$E217=""),"",AU217-$E217)</f>
        <v/>
      </c>
      <c r="AW217" s="39"/>
      <c r="AX217" s="40" t="str">
        <f aca="false">IF(OR(AW217="",CC217=""),"",AW217/CC217*100)</f>
        <v/>
      </c>
      <c r="AY217" s="41" t="str">
        <f aca="false">IF(AX217="","",IFERROR(MATCH(AX217,INDEX(Boundaries!$B$2:$I$30,MATCH(CQ217,Boundaries!$A$2:$A$30,0),0),1)-1,""))</f>
        <v/>
      </c>
      <c r="AZ217" s="42" t="str">
        <f aca="false">IF(OR(AY217="",$E217=""),"",AY217-$E217)</f>
        <v/>
      </c>
      <c r="BA217" s="39"/>
      <c r="BB217" s="40" t="str">
        <f aca="false">IF(OR(BA217="",CD217=""),"",BA217/CD217*100)</f>
        <v/>
      </c>
      <c r="BC217" s="41" t="str">
        <f aca="false">IF(BB217="","",IFERROR(MATCH(BB217,INDEX(Boundaries!$B$2:$I$30,MATCH(CR217,Boundaries!$A$2:$A$30,0),0),1)-1,""))</f>
        <v/>
      </c>
      <c r="BD217" s="42" t="str">
        <f aca="false">IF(OR(BC217="",$E217=""),"",BC217-$E217)</f>
        <v/>
      </c>
      <c r="BE217" s="39"/>
      <c r="BF217" s="40" t="str">
        <f aca="false">IF(OR(BE217="",CE217=""),"",BE217/CE217*100)</f>
        <v/>
      </c>
      <c r="BG217" s="41" t="str">
        <f aca="false">IF(BF217="","",IFERROR(MATCH(BF217,INDEX(Boundaries!$B$2:$I$30,MATCH(CS217,Boundaries!$A$2:$A$30,0),0),1)-1,""))</f>
        <v/>
      </c>
      <c r="BH217" s="42" t="str">
        <f aca="false">IF(OR(BG217="",$E217=""),"",BG217-$E217)</f>
        <v/>
      </c>
      <c r="BI217" s="39"/>
      <c r="BJ217" s="40" t="str">
        <f aca="false">IF(OR(BI217="",CF217=""),"",BI217/CF217*100)</f>
        <v/>
      </c>
      <c r="BK217" s="41" t="str">
        <f aca="false">IF(BJ217="","",IFERROR(MATCH(BJ217,INDEX(Boundaries!$B$2:$I$30,MATCH(CT217,Boundaries!$A$2:$A$30,0),0),1)-1,""))</f>
        <v/>
      </c>
      <c r="BL217" s="42" t="str">
        <f aca="false">IF(OR(BK217="",$E217=""),"",BK217-$E217)</f>
        <v/>
      </c>
      <c r="BM217" s="39"/>
      <c r="BN217" s="40" t="str">
        <f aca="false">IF(OR(BM217="",CG217=""),"",BM217/CG217*100)</f>
        <v/>
      </c>
      <c r="BO217" s="41" t="str">
        <f aca="false">IF(BN217="","",IFERROR(MATCH(BN217,INDEX(Boundaries!$B$2:$I$30,MATCH(CU217,Boundaries!$A$2:$A$30,0),0),1)-1,""))</f>
        <v/>
      </c>
      <c r="BP217" s="42" t="str">
        <f aca="false">IF(OR(BO217="",$E217=""),"",BO217-$E217)</f>
        <v/>
      </c>
      <c r="BQ217" s="39"/>
      <c r="BR217" s="40" t="str">
        <f aca="false">IF(OR(BQ217="",CH217=""),"",BQ217/CH217*100)</f>
        <v/>
      </c>
      <c r="BS217" s="41" t="str">
        <f aca="false">IF(BR217="","",IFERROR(MATCH(BR217,INDEX(Boundaries!$B$2:$I$30,MATCH(CV217,Boundaries!$A$2:$A$30,0),0),1)-1,""))</f>
        <v/>
      </c>
      <c r="BT217" s="42" t="str">
        <f aca="false">IF(OR(BS217="",$E217=""),"",BS217-$E217)</f>
        <v/>
      </c>
      <c r="BU217" s="28" t="n">
        <f aca="false">IFERROR(INDEX(Assessments!$H$2:$H$600,MATCH($H217&amp;"|"&amp;$I217&amp;"|"&amp;$J217&amp;"|"&amp;1,Assessments!$A$2:$A$600,0)),"")</f>
        <v>10</v>
      </c>
      <c r="BV217" s="28" t="n">
        <f aca="false">IFERROR(INDEX(Assessments!$H$2:$H$600,MATCH($H217&amp;"|"&amp;$I217&amp;"|"&amp;$J217&amp;"|"&amp;2,Assessments!$A$2:$A$600,0)),"")</f>
        <v>10</v>
      </c>
      <c r="BW217" s="28" t="n">
        <f aca="false">IFERROR(INDEX(Assessments!$H$2:$H$600,MATCH($H217&amp;"|"&amp;$I217&amp;"|"&amp;$J217&amp;"|"&amp;3,Assessments!$A$2:$A$600,0)),"")</f>
        <v>20</v>
      </c>
      <c r="BX217" s="28" t="n">
        <f aca="false">IFERROR(INDEX(Assessments!$H$2:$H$600,MATCH($H217&amp;"|"&amp;$I217&amp;"|"&amp;$J217&amp;"|"&amp;4,Assessments!$A$2:$A$600,0)),"")</f>
        <v>20</v>
      </c>
      <c r="BY217" s="28" t="n">
        <f aca="false">IFERROR(INDEX(Assessments!$H$2:$H$600,MATCH($H217&amp;"|"&amp;$I217&amp;"|"&amp;$J217&amp;"|"&amp;5,Assessments!$A$2:$A$600,0)),"")</f>
        <v>50</v>
      </c>
      <c r="BZ217" s="28" t="str">
        <f aca="false">IFERROR(INDEX(Assessments!$H$2:$H$600,MATCH($H217&amp;"|"&amp;$I217&amp;"|"&amp;$J217&amp;"|"&amp;6,Assessments!$A$2:$A$600,0)),"")</f>
        <v/>
      </c>
      <c r="CA217" s="28" t="str">
        <f aca="false">IFERROR(INDEX(Assessments!$H$2:$H$600,MATCH($H217&amp;"|"&amp;$I217&amp;"|"&amp;$J217&amp;"|"&amp;7,Assessments!$A$2:$A$600,0)),"")</f>
        <v/>
      </c>
      <c r="CB217" s="28" t="str">
        <f aca="false">IFERROR(INDEX(Assessments!$H$2:$H$600,MATCH($H217&amp;"|"&amp;$I217&amp;"|"&amp;$J217&amp;"|"&amp;8,Assessments!$A$2:$A$600,0)),"")</f>
        <v/>
      </c>
      <c r="CC217" s="28" t="str">
        <f aca="false">IFERROR(INDEX(Assessments!$H$2:$H$600,MATCH($H217&amp;"|"&amp;$I217&amp;"|"&amp;$J217&amp;"|"&amp;9,Assessments!$A$2:$A$600,0)),"")</f>
        <v/>
      </c>
      <c r="CD217" s="28" t="str">
        <f aca="false">IFERROR(INDEX(Assessments!$H$2:$H$600,MATCH($H217&amp;"|"&amp;$I217&amp;"|"&amp;$J217&amp;"|"&amp;10,Assessments!$A$2:$A$600,0)),"")</f>
        <v/>
      </c>
      <c r="CE217" s="28" t="str">
        <f aca="false">IFERROR(INDEX(Assessments!$H$2:$H$600,MATCH($H217&amp;"|"&amp;$I217&amp;"|"&amp;$J217&amp;"|"&amp;11,Assessments!$A$2:$A$600,0)),"")</f>
        <v/>
      </c>
      <c r="CF217" s="28" t="str">
        <f aca="false">IFERROR(INDEX(Assessments!$H$2:$H$600,MATCH($H217&amp;"|"&amp;$I217&amp;"|"&amp;$J217&amp;"|"&amp;12,Assessments!$A$2:$A$600,0)),"")</f>
        <v/>
      </c>
      <c r="CG217" s="28" t="str">
        <f aca="false">IFERROR(INDEX(Assessments!$H$2:$H$600,MATCH($H217&amp;"|"&amp;$I217&amp;"|"&amp;$J217&amp;"|"&amp;13,Assessments!$A$2:$A$600,0)),"")</f>
        <v/>
      </c>
      <c r="CH217" s="28" t="str">
        <f aca="false">IFERROR(INDEX(Assessments!$H$2:$H$600,MATCH($H217&amp;"|"&amp;$I217&amp;"|"&amp;$J217&amp;"|"&amp;14,Assessments!$A$2:$A$600,0)),"")</f>
        <v/>
      </c>
      <c r="CI217" s="28" t="str">
        <f aca="false">IFERROR(INDEX(Assessments!$I$2:$I$600,MATCH($H217&amp;"|"&amp;$I217&amp;"|"&amp;$J217&amp;"|"&amp;1,Assessments!$A$2:$A$600,0)),"")</f>
        <v>Geog Paper 2</v>
      </c>
      <c r="CJ217" s="28" t="str">
        <f aca="false">IFERROR(INDEX(Assessments!$I$2:$I$600,MATCH($H217&amp;"|"&amp;$I217&amp;"|"&amp;$J217&amp;"|"&amp;2,Assessments!$A$2:$A$600,0)),"")</f>
        <v>Geog Paper 2</v>
      </c>
      <c r="CK217" s="28" t="str">
        <f aca="false">IFERROR(INDEX(Assessments!$I$2:$I$600,MATCH($H217&amp;"|"&amp;$I217&amp;"|"&amp;$J217&amp;"|"&amp;3,Assessments!$A$2:$A$600,0)),"")</f>
        <v>Geog Paper 1</v>
      </c>
      <c r="CL217" s="28" t="str">
        <f aca="false">IFERROR(INDEX(Assessments!$I$2:$I$600,MATCH($H217&amp;"|"&amp;$I217&amp;"|"&amp;$J217&amp;"|"&amp;4,Assessments!$A$2:$A$600,0)),"")</f>
        <v>Geog Paper 1</v>
      </c>
      <c r="CM217" s="28" t="str">
        <f aca="false">IFERROR(INDEX(Assessments!$I$2:$I$600,MATCH($H217&amp;"|"&amp;$I217&amp;"|"&amp;$J217&amp;"|"&amp;5,Assessments!$A$2:$A$600,0)),"")</f>
        <v>Geog Paper 2</v>
      </c>
      <c r="CN217" s="28" t="str">
        <f aca="false">IFERROR(INDEX(Assessments!$I$2:$I$600,MATCH($H217&amp;"|"&amp;$I217&amp;"|"&amp;$J217&amp;"|"&amp;6,Assessments!$A$2:$A$600,0)),"")</f>
        <v/>
      </c>
      <c r="CO217" s="28" t="str">
        <f aca="false">IFERROR(INDEX(Assessments!$I$2:$I$600,MATCH($H217&amp;"|"&amp;$I217&amp;"|"&amp;$J217&amp;"|"&amp;7,Assessments!$A$2:$A$600,0)),"")</f>
        <v/>
      </c>
      <c r="CP217" s="28" t="str">
        <f aca="false">IFERROR(INDEX(Assessments!$I$2:$I$600,MATCH($H217&amp;"|"&amp;$I217&amp;"|"&amp;$J217&amp;"|"&amp;8,Assessments!$A$2:$A$600,0)),"")</f>
        <v/>
      </c>
      <c r="CQ217" s="28" t="str">
        <f aca="false">IFERROR(INDEX(Assessments!$I$2:$I$600,MATCH($H217&amp;"|"&amp;$I217&amp;"|"&amp;$J217&amp;"|"&amp;9,Assessments!$A$2:$A$600,0)),"")</f>
        <v/>
      </c>
      <c r="CR217" s="28" t="str">
        <f aca="false">IFERROR(INDEX(Assessments!$I$2:$I$600,MATCH($H217&amp;"|"&amp;$I217&amp;"|"&amp;$J217&amp;"|"&amp;10,Assessments!$A$2:$A$600,0)),"")</f>
        <v/>
      </c>
      <c r="CS217" s="28" t="str">
        <f aca="false">IFERROR(INDEX(Assessments!$I$2:$I$600,MATCH($H217&amp;"|"&amp;$I217&amp;"|"&amp;$J217&amp;"|"&amp;11,Assessments!$A$2:$A$600,0)),"")</f>
        <v/>
      </c>
      <c r="CT217" s="28" t="str">
        <f aca="false">IFERROR(INDEX(Assessments!$I$2:$I$600,MATCH($H217&amp;"|"&amp;$I217&amp;"|"&amp;$J217&amp;"|"&amp;12,Assessments!$A$2:$A$600,0)),"")</f>
        <v/>
      </c>
      <c r="CU217" s="28" t="str">
        <f aca="false">IFERROR(INDEX(Assessments!$I$2:$I$600,MATCH($H217&amp;"|"&amp;$I217&amp;"|"&amp;$J217&amp;"|"&amp;13,Assessments!$A$2:$A$600,0)),"")</f>
        <v/>
      </c>
      <c r="CV217" s="28" t="str">
        <f aca="false">IFERROR(INDEX(Assessments!$I$2:$I$600,MATCH($H217&amp;"|"&amp;$I217&amp;"|"&amp;$J217&amp;"|"&amp;14,Assessments!$A$2:$A$600,0)),"")</f>
        <v/>
      </c>
      <c r="CW217" s="28" t="n">
        <f aca="false">IFERROR(INDEX(Assessments!$J$2:$J$600,MATCH($H217&amp;"|"&amp;$I217&amp;"|"&amp;$J217&amp;"|"&amp;1,Assessments!$A$2:$A$600,0)),0)</f>
        <v>1</v>
      </c>
      <c r="CX217" s="28" t="n">
        <f aca="false">IFERROR(INDEX(Assessments!$J$2:$J$600,MATCH($H217&amp;"|"&amp;$I217&amp;"|"&amp;$J217&amp;"|"&amp;2,Assessments!$A$2:$A$600,0)),0)</f>
        <v>1</v>
      </c>
      <c r="CY217" s="28" t="n">
        <f aca="false">IFERROR(INDEX(Assessments!$J$2:$J$600,MATCH($H217&amp;"|"&amp;$I217&amp;"|"&amp;$J217&amp;"|"&amp;3,Assessments!$A$2:$A$600,0)),0)</f>
        <v>1</v>
      </c>
      <c r="CZ217" s="28" t="n">
        <f aca="false">IFERROR(INDEX(Assessments!$J$2:$J$600,MATCH($H217&amp;"|"&amp;$I217&amp;"|"&amp;$J217&amp;"|"&amp;4,Assessments!$A$2:$A$600,0)),0)</f>
        <v>2</v>
      </c>
      <c r="DA217" s="28" t="n">
        <f aca="false">IFERROR(INDEX(Assessments!$J$2:$J$600,MATCH($H217&amp;"|"&amp;$I217&amp;"|"&amp;$J217&amp;"|"&amp;5,Assessments!$A$2:$A$600,0)),0)</f>
        <v>2</v>
      </c>
      <c r="DB217" s="28" t="n">
        <f aca="false">IFERROR(INDEX(Assessments!$J$2:$J$600,MATCH($H217&amp;"|"&amp;$I217&amp;"|"&amp;$J217&amp;"|"&amp;6,Assessments!$A$2:$A$600,0)),0)</f>
        <v>0</v>
      </c>
      <c r="DC217" s="28" t="n">
        <f aca="false">IFERROR(INDEX(Assessments!$J$2:$J$600,MATCH($H217&amp;"|"&amp;$I217&amp;"|"&amp;$J217&amp;"|"&amp;7,Assessments!$A$2:$A$600,0)),0)</f>
        <v>0</v>
      </c>
      <c r="DD217" s="28" t="n">
        <f aca="false">IFERROR(INDEX(Assessments!$J$2:$J$600,MATCH($H217&amp;"|"&amp;$I217&amp;"|"&amp;$J217&amp;"|"&amp;8,Assessments!$A$2:$A$600,0)),0)</f>
        <v>0</v>
      </c>
      <c r="DE217" s="28" t="n">
        <f aca="false">IFERROR(INDEX(Assessments!$J$2:$J$600,MATCH($H217&amp;"|"&amp;$I217&amp;"|"&amp;$J217&amp;"|"&amp;9,Assessments!$A$2:$A$600,0)),0)</f>
        <v>0</v>
      </c>
      <c r="DF217" s="28" t="n">
        <f aca="false">IFERROR(INDEX(Assessments!$J$2:$J$600,MATCH($H217&amp;"|"&amp;$I217&amp;"|"&amp;$J217&amp;"|"&amp;10,Assessments!$A$2:$A$600,0)),0)</f>
        <v>0</v>
      </c>
      <c r="DG217" s="28" t="n">
        <f aca="false">IFERROR(INDEX(Assessments!$J$2:$J$600,MATCH($H217&amp;"|"&amp;$I217&amp;"|"&amp;$J217&amp;"|"&amp;11,Assessments!$A$2:$A$600,0)),0)</f>
        <v>0</v>
      </c>
      <c r="DH217" s="28" t="n">
        <f aca="false">IFERROR(INDEX(Assessments!$J$2:$J$600,MATCH($H217&amp;"|"&amp;$I217&amp;"|"&amp;$J217&amp;"|"&amp;12,Assessments!$A$2:$A$600,0)),0)</f>
        <v>0</v>
      </c>
      <c r="DI217" s="28" t="n">
        <f aca="false">IFERROR(INDEX(Assessments!$J$2:$J$600,MATCH($H217&amp;"|"&amp;$I217&amp;"|"&amp;$J217&amp;"|"&amp;13,Assessments!$A$2:$A$600,0)),0)</f>
        <v>0</v>
      </c>
      <c r="DJ217" s="28" t="n">
        <f aca="false">IFERROR(INDEX(Assessments!$J$2:$J$600,MATCH($H217&amp;"|"&amp;$I217&amp;"|"&amp;$J217&amp;"|"&amp;14,Assessments!$A$2:$A$600,0)),0)</f>
        <v>0</v>
      </c>
      <c r="DK217" s="28" t="str">
        <f aca="false">S217</f>
        <v/>
      </c>
      <c r="DL217" s="28" t="str">
        <f aca="false">W217</f>
        <v/>
      </c>
      <c r="DM217" s="28" t="str">
        <f aca="false">AA217</f>
        <v/>
      </c>
      <c r="DN217" s="28" t="str">
        <f aca="false">AE217</f>
        <v/>
      </c>
      <c r="DO217" s="28" t="str">
        <f aca="false">AI217</f>
        <v/>
      </c>
      <c r="DP217" s="28" t="str">
        <f aca="false">AM217</f>
        <v/>
      </c>
      <c r="DQ217" s="28" t="str">
        <f aca="false">AQ217</f>
        <v/>
      </c>
      <c r="DR217" s="28" t="str">
        <f aca="false">AU217</f>
        <v/>
      </c>
      <c r="DS217" s="28" t="str">
        <f aca="false">AY217</f>
        <v/>
      </c>
      <c r="DT217" s="28" t="str">
        <f aca="false">BC217</f>
        <v/>
      </c>
      <c r="DU217" s="28" t="str">
        <f aca="false">BG217</f>
        <v/>
      </c>
      <c r="DV217" s="28" t="str">
        <f aca="false">BK217</f>
        <v/>
      </c>
      <c r="DW217" s="28" t="str">
        <f aca="false">BO217</f>
        <v/>
      </c>
      <c r="DX217" s="28" t="str">
        <f aca="false">BS217</f>
        <v/>
      </c>
      <c r="DY217" s="28" t="str">
        <f aca="false">IF(ISNUMBER(S217),1,"")</f>
        <v/>
      </c>
      <c r="DZ217" s="28" t="str">
        <f aca="false">IF(ISNUMBER(W217),2,"")</f>
        <v/>
      </c>
      <c r="EA217" s="28" t="str">
        <f aca="false">IF(ISNUMBER(AA217),3,"")</f>
        <v/>
      </c>
      <c r="EB217" s="28" t="str">
        <f aca="false">IF(ISNUMBER(AE217),4,"")</f>
        <v/>
      </c>
      <c r="EC217" s="28" t="str">
        <f aca="false">IF(ISNUMBER(AI217),5,"")</f>
        <v/>
      </c>
      <c r="ED217" s="28" t="str">
        <f aca="false">IF(ISNUMBER(AM217),6,"")</f>
        <v/>
      </c>
      <c r="EE217" s="28" t="str">
        <f aca="false">IF(ISNUMBER(AQ217),7,"")</f>
        <v/>
      </c>
      <c r="EF217" s="28" t="str">
        <f aca="false">IF(ISNUMBER(AU217),8,"")</f>
        <v/>
      </c>
      <c r="EG217" s="28" t="str">
        <f aca="false">IF(ISNUMBER(AY217),9,"")</f>
        <v/>
      </c>
      <c r="EH217" s="28" t="str">
        <f aca="false">IF(ISNUMBER(BC217),10,"")</f>
        <v/>
      </c>
      <c r="EI217" s="28" t="str">
        <f aca="false">IF(ISNUMBER(BG217),11,"")</f>
        <v/>
      </c>
      <c r="EJ217" s="28" t="str">
        <f aca="false">IF(ISNUMBER(BK217),12,"")</f>
        <v/>
      </c>
      <c r="EK217" s="28" t="str">
        <f aca="false">IF(ISNUMBER(BO217),13,"")</f>
        <v/>
      </c>
      <c r="EL217" s="28" t="str">
        <f aca="false">IF(ISNUMBER(BS217),14,"")</f>
        <v/>
      </c>
      <c r="EM217" s="28" t="n">
        <f aca="false">IF(ISNUMBER(R217),R217*CW217,0)</f>
        <v>0</v>
      </c>
      <c r="EN217" s="28" t="n">
        <f aca="false">IF(ISNUMBER(V217),V217*CX217,0)</f>
        <v>0</v>
      </c>
      <c r="EO217" s="28" t="n">
        <f aca="false">IF(ISNUMBER(Z217),Z217*CY217,0)</f>
        <v>0</v>
      </c>
      <c r="EP217" s="28" t="n">
        <f aca="false">IF(ISNUMBER(AD217),AD217*CZ217,0)</f>
        <v>0</v>
      </c>
      <c r="EQ217" s="28" t="n">
        <f aca="false">IF(ISNUMBER(AH217),AH217*DA217,0)</f>
        <v>0</v>
      </c>
      <c r="ER217" s="28" t="n">
        <f aca="false">IF(ISNUMBER(AL217),AL217*DB217,0)</f>
        <v>0</v>
      </c>
      <c r="ES217" s="28" t="n">
        <f aca="false">IF(ISNUMBER(AP217),AP217*DC217,0)</f>
        <v>0</v>
      </c>
      <c r="ET217" s="28" t="n">
        <f aca="false">IF(ISNUMBER(AT217),AT217*DD217,0)</f>
        <v>0</v>
      </c>
      <c r="EU217" s="28" t="n">
        <f aca="false">IF(ISNUMBER(AX217),AX217*DE217,0)</f>
        <v>0</v>
      </c>
      <c r="EV217" s="28" t="n">
        <f aca="false">IF(ISNUMBER(BB217),BB217*DF217,0)</f>
        <v>0</v>
      </c>
      <c r="EW217" s="28" t="n">
        <f aca="false">IF(ISNUMBER(BF217),BF217*DG217,0)</f>
        <v>0</v>
      </c>
      <c r="EX217" s="28" t="n">
        <f aca="false">IF(ISNUMBER(BJ217),BJ217*DH217,0)</f>
        <v>0</v>
      </c>
      <c r="EY217" s="28" t="n">
        <f aca="false">IF(ISNUMBER(BN217),BN217*DI217,0)</f>
        <v>0</v>
      </c>
      <c r="EZ217" s="28" t="n">
        <f aca="false">IF(ISNUMBER(BR217),BR217*DJ217,0)</f>
        <v>0</v>
      </c>
      <c r="FA217" s="28" t="n">
        <f aca="false">IF(ISNUMBER(R217),CW217,0)</f>
        <v>0</v>
      </c>
      <c r="FB217" s="28" t="n">
        <f aca="false">IF(ISNUMBER(V217),CX217,0)</f>
        <v>0</v>
      </c>
      <c r="FC217" s="28" t="n">
        <f aca="false">IF(ISNUMBER(Z217),CY217,0)</f>
        <v>0</v>
      </c>
      <c r="FD217" s="28" t="n">
        <f aca="false">IF(ISNUMBER(AD217),CZ217,0)</f>
        <v>0</v>
      </c>
      <c r="FE217" s="28" t="n">
        <f aca="false">IF(ISNUMBER(AH217),DA217,0)</f>
        <v>0</v>
      </c>
      <c r="FF217" s="28" t="n">
        <f aca="false">IF(ISNUMBER(AL217),DB217,0)</f>
        <v>0</v>
      </c>
      <c r="FG217" s="28" t="n">
        <f aca="false">IF(ISNUMBER(AP217),DC217,0)</f>
        <v>0</v>
      </c>
      <c r="FH217" s="28" t="n">
        <f aca="false">IF(ISNUMBER(AT217),DD217,0)</f>
        <v>0</v>
      </c>
      <c r="FI217" s="28" t="n">
        <f aca="false">IF(ISNUMBER(AX217),DE217,0)</f>
        <v>0</v>
      </c>
      <c r="FJ217" s="28" t="n">
        <f aca="false">IF(ISNUMBER(BB217),DF217,0)</f>
        <v>0</v>
      </c>
      <c r="FK217" s="28" t="n">
        <f aca="false">IF(ISNUMBER(BF217),DG217,0)</f>
        <v>0</v>
      </c>
      <c r="FL217" s="28" t="n">
        <f aca="false">IF(ISNUMBER(BJ217),DH217,0)</f>
        <v>0</v>
      </c>
      <c r="FM217" s="28" t="n">
        <f aca="false">IF(ISNUMBER(BN217),DI217,0)</f>
        <v>0</v>
      </c>
      <c r="FN217" s="28" t="n">
        <f aca="false">IF(ISNUMBER(BR217),DJ217,0)</f>
        <v>0</v>
      </c>
      <c r="FO217" s="28" t="str">
        <f aca="false">IFERROR(INDEX(Lists!$G$2:$G$20,MATCH($I217&amp;"|"&amp;$J217,Lists!$F$2:$F$20,0)),"")</f>
        <v>Geog Overall SL</v>
      </c>
    </row>
    <row r="218" customFormat="false" ht="19.5" hidden="false" customHeight="true" outlineLevel="0" collapsed="false">
      <c r="A218" s="29" t="s">
        <v>466</v>
      </c>
      <c r="B218" s="29" t="s">
        <v>467</v>
      </c>
      <c r="C218" s="30" t="s">
        <v>152</v>
      </c>
      <c r="D218" s="30" t="s">
        <v>153</v>
      </c>
      <c r="E218" s="31"/>
      <c r="F218" s="30"/>
      <c r="G218" s="30"/>
      <c r="H218" s="32" t="s">
        <v>428</v>
      </c>
      <c r="I218" s="33" t="s">
        <v>24</v>
      </c>
      <c r="J218" s="32" t="s">
        <v>223</v>
      </c>
      <c r="K218" s="34" t="str">
        <f aca="false">IF(OR(M218="",$E218=""),"",M218-$E218)</f>
        <v/>
      </c>
      <c r="L218" s="35" t="str">
        <f aca="false">IF(SUM(FA218:FN218)=0,"",SUM(EM218:EZ218)/SUM(FA218:FN218))</f>
        <v/>
      </c>
      <c r="M218" s="36" t="str">
        <f aca="false">IF(OR(L218="",FO218=""),"",IFERROR(MATCH(L218,INDEX(Boundaries!$B$2:$I$30,MATCH(FO218,Boundaries!$A$2:$A$30,0),0),1)-1,""))</f>
        <v/>
      </c>
      <c r="N218" s="37" t="str">
        <f aca="false">IF(COUNT($DY218:$EL218)&lt;2,"",INDEX($DK218:$DX218,MAX($DY218:$EL218))-INDEX($DK218:$DX218,MIN($DY218:$EL218)))</f>
        <v/>
      </c>
      <c r="O218" s="37" t="str">
        <f aca="false">IF(COUNT($DY218:$EL218)&lt;2,"",INDEX($DK218:$DX218,MAX($DY218:$EL218))-INDEX($DK218:$DX218,LARGE($DY218:$EL218,2)))</f>
        <v/>
      </c>
      <c r="P218" s="38" t="str">
        <f aca="false">IF(K218="","",IF(K218&gt;=0,"On/above target",IF(AND(N218&lt;&gt;"",N218&gt;=0.5),"Improving towards target",IF(AND(O218&lt;&gt;"",O218&lt;=-0.5),"Declining","Stable below target"))))</f>
        <v/>
      </c>
      <c r="Q218" s="39"/>
      <c r="R218" s="40" t="str">
        <f aca="false">IF(OR(Q218="",BU218=""),"",Q218/BU218*100)</f>
        <v/>
      </c>
      <c r="S218" s="41" t="str">
        <f aca="false">IF(R218="","",IFERROR(MATCH(R218,INDEX(Boundaries!$B$2:$I$30,MATCH(CI218,Boundaries!$A$2:$A$30,0),0),1)-1,""))</f>
        <v/>
      </c>
      <c r="T218" s="42" t="str">
        <f aca="false">IF(OR(S218="",$E218=""),"",S218-$E218)</f>
        <v/>
      </c>
      <c r="U218" s="39"/>
      <c r="V218" s="40" t="str">
        <f aca="false">IF(OR(U218="",BV218=""),"",U218/BV218*100)</f>
        <v/>
      </c>
      <c r="W218" s="41" t="str">
        <f aca="false">IF(V218="","",IFERROR(MATCH(V218,INDEX(Boundaries!$B$2:$I$30,MATCH(CJ218,Boundaries!$A$2:$A$30,0),0),1)-1,""))</f>
        <v/>
      </c>
      <c r="X218" s="42" t="str">
        <f aca="false">IF(OR(W218="",$E218=""),"",W218-$E218)</f>
        <v/>
      </c>
      <c r="Y218" s="39"/>
      <c r="Z218" s="40" t="str">
        <f aca="false">IF(OR(Y218="",BW218=""),"",Y218/BW218*100)</f>
        <v/>
      </c>
      <c r="AA218" s="41" t="str">
        <f aca="false">IF(Z218="","",IFERROR(MATCH(Z218,INDEX(Boundaries!$B$2:$I$30,MATCH(CK218,Boundaries!$A$2:$A$30,0),0),1)-1,""))</f>
        <v/>
      </c>
      <c r="AB218" s="42" t="str">
        <f aca="false">IF(OR(AA218="",$E218=""),"",AA218-$E218)</f>
        <v/>
      </c>
      <c r="AC218" s="39"/>
      <c r="AD218" s="40" t="str">
        <f aca="false">IF(OR(AC218="",BX218=""),"",AC218/BX218*100)</f>
        <v/>
      </c>
      <c r="AE218" s="41" t="str">
        <f aca="false">IF(AD218="","",IFERROR(MATCH(AD218,INDEX(Boundaries!$B$2:$I$30,MATCH(CL218,Boundaries!$A$2:$A$30,0),0),1)-1,""))</f>
        <v/>
      </c>
      <c r="AF218" s="42" t="str">
        <f aca="false">IF(OR(AE218="",$E218=""),"",AE218-$E218)</f>
        <v/>
      </c>
      <c r="AG218" s="39"/>
      <c r="AH218" s="40" t="str">
        <f aca="false">IF(OR(AG218="",BY218=""),"",AG218/BY218*100)</f>
        <v/>
      </c>
      <c r="AI218" s="41" t="str">
        <f aca="false">IF(AH218="","",IFERROR(MATCH(AH218,INDEX(Boundaries!$B$2:$I$30,MATCH(CM218,Boundaries!$A$2:$A$30,0),0),1)-1,""))</f>
        <v/>
      </c>
      <c r="AJ218" s="42" t="str">
        <f aca="false">IF(OR(AI218="",$E218=""),"",AI218-$E218)</f>
        <v/>
      </c>
      <c r="AK218" s="39"/>
      <c r="AL218" s="40" t="str">
        <f aca="false">IF(OR(AK218="",BZ218=""),"",AK218/BZ218*100)</f>
        <v/>
      </c>
      <c r="AM218" s="41" t="str">
        <f aca="false">IF(AL218="","",IFERROR(MATCH(AL218,INDEX(Boundaries!$B$2:$I$30,MATCH(CN218,Boundaries!$A$2:$A$30,0),0),1)-1,""))</f>
        <v/>
      </c>
      <c r="AN218" s="42" t="str">
        <f aca="false">IF(OR(AM218="",$E218=""),"",AM218-$E218)</f>
        <v/>
      </c>
      <c r="AO218" s="39"/>
      <c r="AP218" s="40" t="str">
        <f aca="false">IF(OR(AO218="",CA218=""),"",AO218/CA218*100)</f>
        <v/>
      </c>
      <c r="AQ218" s="41" t="str">
        <f aca="false">IF(AP218="","",IFERROR(MATCH(AP218,INDEX(Boundaries!$B$2:$I$30,MATCH(CO218,Boundaries!$A$2:$A$30,0),0),1)-1,""))</f>
        <v/>
      </c>
      <c r="AR218" s="42" t="str">
        <f aca="false">IF(OR(AQ218="",$E218=""),"",AQ218-$E218)</f>
        <v/>
      </c>
      <c r="AS218" s="39"/>
      <c r="AT218" s="40" t="str">
        <f aca="false">IF(OR(AS218="",CB218=""),"",AS218/CB218*100)</f>
        <v/>
      </c>
      <c r="AU218" s="41" t="str">
        <f aca="false">IF(AT218="","",IFERROR(MATCH(AT218,INDEX(Boundaries!$B$2:$I$30,MATCH(CP218,Boundaries!$A$2:$A$30,0),0),1)-1,""))</f>
        <v/>
      </c>
      <c r="AV218" s="42" t="str">
        <f aca="false">IF(OR(AU218="",$E218=""),"",AU218-$E218)</f>
        <v/>
      </c>
      <c r="AW218" s="39"/>
      <c r="AX218" s="40" t="str">
        <f aca="false">IF(OR(AW218="",CC218=""),"",AW218/CC218*100)</f>
        <v/>
      </c>
      <c r="AY218" s="41" t="str">
        <f aca="false">IF(AX218="","",IFERROR(MATCH(AX218,INDEX(Boundaries!$B$2:$I$30,MATCH(CQ218,Boundaries!$A$2:$A$30,0),0),1)-1,""))</f>
        <v/>
      </c>
      <c r="AZ218" s="42" t="str">
        <f aca="false">IF(OR(AY218="",$E218=""),"",AY218-$E218)</f>
        <v/>
      </c>
      <c r="BA218" s="39"/>
      <c r="BB218" s="40" t="str">
        <f aca="false">IF(OR(BA218="",CD218=""),"",BA218/CD218*100)</f>
        <v/>
      </c>
      <c r="BC218" s="41" t="str">
        <f aca="false">IF(BB218="","",IFERROR(MATCH(BB218,INDEX(Boundaries!$B$2:$I$30,MATCH(CR218,Boundaries!$A$2:$A$30,0),0),1)-1,""))</f>
        <v/>
      </c>
      <c r="BD218" s="42" t="str">
        <f aca="false">IF(OR(BC218="",$E218=""),"",BC218-$E218)</f>
        <v/>
      </c>
      <c r="BE218" s="39"/>
      <c r="BF218" s="40" t="str">
        <f aca="false">IF(OR(BE218="",CE218=""),"",BE218/CE218*100)</f>
        <v/>
      </c>
      <c r="BG218" s="41" t="str">
        <f aca="false">IF(BF218="","",IFERROR(MATCH(BF218,INDEX(Boundaries!$B$2:$I$30,MATCH(CS218,Boundaries!$A$2:$A$30,0),0),1)-1,""))</f>
        <v/>
      </c>
      <c r="BH218" s="42" t="str">
        <f aca="false">IF(OR(BG218="",$E218=""),"",BG218-$E218)</f>
        <v/>
      </c>
      <c r="BI218" s="39"/>
      <c r="BJ218" s="40" t="str">
        <f aca="false">IF(OR(BI218="",CF218=""),"",BI218/CF218*100)</f>
        <v/>
      </c>
      <c r="BK218" s="41" t="str">
        <f aca="false">IF(BJ218="","",IFERROR(MATCH(BJ218,INDEX(Boundaries!$B$2:$I$30,MATCH(CT218,Boundaries!$A$2:$A$30,0),0),1)-1,""))</f>
        <v/>
      </c>
      <c r="BL218" s="42" t="str">
        <f aca="false">IF(OR(BK218="",$E218=""),"",BK218-$E218)</f>
        <v/>
      </c>
      <c r="BM218" s="39"/>
      <c r="BN218" s="40" t="str">
        <f aca="false">IF(OR(BM218="",CG218=""),"",BM218/CG218*100)</f>
        <v/>
      </c>
      <c r="BO218" s="41" t="str">
        <f aca="false">IF(BN218="","",IFERROR(MATCH(BN218,INDEX(Boundaries!$B$2:$I$30,MATCH(CU218,Boundaries!$A$2:$A$30,0),0),1)-1,""))</f>
        <v/>
      </c>
      <c r="BP218" s="42" t="str">
        <f aca="false">IF(OR(BO218="",$E218=""),"",BO218-$E218)</f>
        <v/>
      </c>
      <c r="BQ218" s="39"/>
      <c r="BR218" s="40" t="str">
        <f aca="false">IF(OR(BQ218="",CH218=""),"",BQ218/CH218*100)</f>
        <v/>
      </c>
      <c r="BS218" s="41" t="str">
        <f aca="false">IF(BR218="","",IFERROR(MATCH(BR218,INDEX(Boundaries!$B$2:$I$30,MATCH(CV218,Boundaries!$A$2:$A$30,0),0),1)-1,""))</f>
        <v/>
      </c>
      <c r="BT218" s="42" t="str">
        <f aca="false">IF(OR(BS218="",$E218=""),"",BS218-$E218)</f>
        <v/>
      </c>
      <c r="BU218" s="28" t="n">
        <f aca="false">IFERROR(INDEX(Assessments!$H$2:$H$600,MATCH($H218&amp;"|"&amp;$I218&amp;"|"&amp;$J218&amp;"|"&amp;1,Assessments!$A$2:$A$600,0)),"")</f>
        <v>10</v>
      </c>
      <c r="BV218" s="28" t="n">
        <f aca="false">IFERROR(INDEX(Assessments!$H$2:$H$600,MATCH($H218&amp;"|"&amp;$I218&amp;"|"&amp;$J218&amp;"|"&amp;2,Assessments!$A$2:$A$600,0)),"")</f>
        <v>10</v>
      </c>
      <c r="BW218" s="28" t="n">
        <f aca="false">IFERROR(INDEX(Assessments!$H$2:$H$600,MATCH($H218&amp;"|"&amp;$I218&amp;"|"&amp;$J218&amp;"|"&amp;3,Assessments!$A$2:$A$600,0)),"")</f>
        <v>20</v>
      </c>
      <c r="BX218" s="28" t="n">
        <f aca="false">IFERROR(INDEX(Assessments!$H$2:$H$600,MATCH($H218&amp;"|"&amp;$I218&amp;"|"&amp;$J218&amp;"|"&amp;4,Assessments!$A$2:$A$600,0)),"")</f>
        <v>20</v>
      </c>
      <c r="BY218" s="28" t="n">
        <f aca="false">IFERROR(INDEX(Assessments!$H$2:$H$600,MATCH($H218&amp;"|"&amp;$I218&amp;"|"&amp;$J218&amp;"|"&amp;5,Assessments!$A$2:$A$600,0)),"")</f>
        <v>50</v>
      </c>
      <c r="BZ218" s="28" t="str">
        <f aca="false">IFERROR(INDEX(Assessments!$H$2:$H$600,MATCH($H218&amp;"|"&amp;$I218&amp;"|"&amp;$J218&amp;"|"&amp;6,Assessments!$A$2:$A$600,0)),"")</f>
        <v/>
      </c>
      <c r="CA218" s="28" t="str">
        <f aca="false">IFERROR(INDEX(Assessments!$H$2:$H$600,MATCH($H218&amp;"|"&amp;$I218&amp;"|"&amp;$J218&amp;"|"&amp;7,Assessments!$A$2:$A$600,0)),"")</f>
        <v/>
      </c>
      <c r="CB218" s="28" t="str">
        <f aca="false">IFERROR(INDEX(Assessments!$H$2:$H$600,MATCH($H218&amp;"|"&amp;$I218&amp;"|"&amp;$J218&amp;"|"&amp;8,Assessments!$A$2:$A$600,0)),"")</f>
        <v/>
      </c>
      <c r="CC218" s="28" t="str">
        <f aca="false">IFERROR(INDEX(Assessments!$H$2:$H$600,MATCH($H218&amp;"|"&amp;$I218&amp;"|"&amp;$J218&amp;"|"&amp;9,Assessments!$A$2:$A$600,0)),"")</f>
        <v/>
      </c>
      <c r="CD218" s="28" t="str">
        <f aca="false">IFERROR(INDEX(Assessments!$H$2:$H$600,MATCH($H218&amp;"|"&amp;$I218&amp;"|"&amp;$J218&amp;"|"&amp;10,Assessments!$A$2:$A$600,0)),"")</f>
        <v/>
      </c>
      <c r="CE218" s="28" t="str">
        <f aca="false">IFERROR(INDEX(Assessments!$H$2:$H$600,MATCH($H218&amp;"|"&amp;$I218&amp;"|"&amp;$J218&amp;"|"&amp;11,Assessments!$A$2:$A$600,0)),"")</f>
        <v/>
      </c>
      <c r="CF218" s="28" t="str">
        <f aca="false">IFERROR(INDEX(Assessments!$H$2:$H$600,MATCH($H218&amp;"|"&amp;$I218&amp;"|"&amp;$J218&amp;"|"&amp;12,Assessments!$A$2:$A$600,0)),"")</f>
        <v/>
      </c>
      <c r="CG218" s="28" t="str">
        <f aca="false">IFERROR(INDEX(Assessments!$H$2:$H$600,MATCH($H218&amp;"|"&amp;$I218&amp;"|"&amp;$J218&amp;"|"&amp;13,Assessments!$A$2:$A$600,0)),"")</f>
        <v/>
      </c>
      <c r="CH218" s="28" t="str">
        <f aca="false">IFERROR(INDEX(Assessments!$H$2:$H$600,MATCH($H218&amp;"|"&amp;$I218&amp;"|"&amp;$J218&amp;"|"&amp;14,Assessments!$A$2:$A$600,0)),"")</f>
        <v/>
      </c>
      <c r="CI218" s="28" t="str">
        <f aca="false">IFERROR(INDEX(Assessments!$I$2:$I$600,MATCH($H218&amp;"|"&amp;$I218&amp;"|"&amp;$J218&amp;"|"&amp;1,Assessments!$A$2:$A$600,0)),"")</f>
        <v>Geog Paper 2</v>
      </c>
      <c r="CJ218" s="28" t="str">
        <f aca="false">IFERROR(INDEX(Assessments!$I$2:$I$600,MATCH($H218&amp;"|"&amp;$I218&amp;"|"&amp;$J218&amp;"|"&amp;2,Assessments!$A$2:$A$600,0)),"")</f>
        <v>Geog Paper 2</v>
      </c>
      <c r="CK218" s="28" t="str">
        <f aca="false">IFERROR(INDEX(Assessments!$I$2:$I$600,MATCH($H218&amp;"|"&amp;$I218&amp;"|"&amp;$J218&amp;"|"&amp;3,Assessments!$A$2:$A$600,0)),"")</f>
        <v>Geog Paper 1</v>
      </c>
      <c r="CL218" s="28" t="str">
        <f aca="false">IFERROR(INDEX(Assessments!$I$2:$I$600,MATCH($H218&amp;"|"&amp;$I218&amp;"|"&amp;$J218&amp;"|"&amp;4,Assessments!$A$2:$A$600,0)),"")</f>
        <v>Geog Paper 1</v>
      </c>
      <c r="CM218" s="28" t="str">
        <f aca="false">IFERROR(INDEX(Assessments!$I$2:$I$600,MATCH($H218&amp;"|"&amp;$I218&amp;"|"&amp;$J218&amp;"|"&amp;5,Assessments!$A$2:$A$600,0)),"")</f>
        <v>Geog Paper 2</v>
      </c>
      <c r="CN218" s="28" t="str">
        <f aca="false">IFERROR(INDEX(Assessments!$I$2:$I$600,MATCH($H218&amp;"|"&amp;$I218&amp;"|"&amp;$J218&amp;"|"&amp;6,Assessments!$A$2:$A$600,0)),"")</f>
        <v/>
      </c>
      <c r="CO218" s="28" t="str">
        <f aca="false">IFERROR(INDEX(Assessments!$I$2:$I$600,MATCH($H218&amp;"|"&amp;$I218&amp;"|"&amp;$J218&amp;"|"&amp;7,Assessments!$A$2:$A$600,0)),"")</f>
        <v/>
      </c>
      <c r="CP218" s="28" t="str">
        <f aca="false">IFERROR(INDEX(Assessments!$I$2:$I$600,MATCH($H218&amp;"|"&amp;$I218&amp;"|"&amp;$J218&amp;"|"&amp;8,Assessments!$A$2:$A$600,0)),"")</f>
        <v/>
      </c>
      <c r="CQ218" s="28" t="str">
        <f aca="false">IFERROR(INDEX(Assessments!$I$2:$I$600,MATCH($H218&amp;"|"&amp;$I218&amp;"|"&amp;$J218&amp;"|"&amp;9,Assessments!$A$2:$A$600,0)),"")</f>
        <v/>
      </c>
      <c r="CR218" s="28" t="str">
        <f aca="false">IFERROR(INDEX(Assessments!$I$2:$I$600,MATCH($H218&amp;"|"&amp;$I218&amp;"|"&amp;$J218&amp;"|"&amp;10,Assessments!$A$2:$A$600,0)),"")</f>
        <v/>
      </c>
      <c r="CS218" s="28" t="str">
        <f aca="false">IFERROR(INDEX(Assessments!$I$2:$I$600,MATCH($H218&amp;"|"&amp;$I218&amp;"|"&amp;$J218&amp;"|"&amp;11,Assessments!$A$2:$A$600,0)),"")</f>
        <v/>
      </c>
      <c r="CT218" s="28" t="str">
        <f aca="false">IFERROR(INDEX(Assessments!$I$2:$I$600,MATCH($H218&amp;"|"&amp;$I218&amp;"|"&amp;$J218&amp;"|"&amp;12,Assessments!$A$2:$A$600,0)),"")</f>
        <v/>
      </c>
      <c r="CU218" s="28" t="str">
        <f aca="false">IFERROR(INDEX(Assessments!$I$2:$I$600,MATCH($H218&amp;"|"&amp;$I218&amp;"|"&amp;$J218&amp;"|"&amp;13,Assessments!$A$2:$A$600,0)),"")</f>
        <v/>
      </c>
      <c r="CV218" s="28" t="str">
        <f aca="false">IFERROR(INDEX(Assessments!$I$2:$I$600,MATCH($H218&amp;"|"&amp;$I218&amp;"|"&amp;$J218&amp;"|"&amp;14,Assessments!$A$2:$A$600,0)),"")</f>
        <v/>
      </c>
      <c r="CW218" s="28" t="n">
        <f aca="false">IFERROR(INDEX(Assessments!$J$2:$J$600,MATCH($H218&amp;"|"&amp;$I218&amp;"|"&amp;$J218&amp;"|"&amp;1,Assessments!$A$2:$A$600,0)),0)</f>
        <v>1</v>
      </c>
      <c r="CX218" s="28" t="n">
        <f aca="false">IFERROR(INDEX(Assessments!$J$2:$J$600,MATCH($H218&amp;"|"&amp;$I218&amp;"|"&amp;$J218&amp;"|"&amp;2,Assessments!$A$2:$A$600,0)),0)</f>
        <v>1</v>
      </c>
      <c r="CY218" s="28" t="n">
        <f aca="false">IFERROR(INDEX(Assessments!$J$2:$J$600,MATCH($H218&amp;"|"&amp;$I218&amp;"|"&amp;$J218&amp;"|"&amp;3,Assessments!$A$2:$A$600,0)),0)</f>
        <v>1</v>
      </c>
      <c r="CZ218" s="28" t="n">
        <f aca="false">IFERROR(INDEX(Assessments!$J$2:$J$600,MATCH($H218&amp;"|"&amp;$I218&amp;"|"&amp;$J218&amp;"|"&amp;4,Assessments!$A$2:$A$600,0)),0)</f>
        <v>2</v>
      </c>
      <c r="DA218" s="28" t="n">
        <f aca="false">IFERROR(INDEX(Assessments!$J$2:$J$600,MATCH($H218&amp;"|"&amp;$I218&amp;"|"&amp;$J218&amp;"|"&amp;5,Assessments!$A$2:$A$600,0)),0)</f>
        <v>2</v>
      </c>
      <c r="DB218" s="28" t="n">
        <f aca="false">IFERROR(INDEX(Assessments!$J$2:$J$600,MATCH($H218&amp;"|"&amp;$I218&amp;"|"&amp;$J218&amp;"|"&amp;6,Assessments!$A$2:$A$600,0)),0)</f>
        <v>0</v>
      </c>
      <c r="DC218" s="28" t="n">
        <f aca="false">IFERROR(INDEX(Assessments!$J$2:$J$600,MATCH($H218&amp;"|"&amp;$I218&amp;"|"&amp;$J218&amp;"|"&amp;7,Assessments!$A$2:$A$600,0)),0)</f>
        <v>0</v>
      </c>
      <c r="DD218" s="28" t="n">
        <f aca="false">IFERROR(INDEX(Assessments!$J$2:$J$600,MATCH($H218&amp;"|"&amp;$I218&amp;"|"&amp;$J218&amp;"|"&amp;8,Assessments!$A$2:$A$600,0)),0)</f>
        <v>0</v>
      </c>
      <c r="DE218" s="28" t="n">
        <f aca="false">IFERROR(INDEX(Assessments!$J$2:$J$600,MATCH($H218&amp;"|"&amp;$I218&amp;"|"&amp;$J218&amp;"|"&amp;9,Assessments!$A$2:$A$600,0)),0)</f>
        <v>0</v>
      </c>
      <c r="DF218" s="28" t="n">
        <f aca="false">IFERROR(INDEX(Assessments!$J$2:$J$600,MATCH($H218&amp;"|"&amp;$I218&amp;"|"&amp;$J218&amp;"|"&amp;10,Assessments!$A$2:$A$600,0)),0)</f>
        <v>0</v>
      </c>
      <c r="DG218" s="28" t="n">
        <f aca="false">IFERROR(INDEX(Assessments!$J$2:$J$600,MATCH($H218&amp;"|"&amp;$I218&amp;"|"&amp;$J218&amp;"|"&amp;11,Assessments!$A$2:$A$600,0)),0)</f>
        <v>0</v>
      </c>
      <c r="DH218" s="28" t="n">
        <f aca="false">IFERROR(INDEX(Assessments!$J$2:$J$600,MATCH($H218&amp;"|"&amp;$I218&amp;"|"&amp;$J218&amp;"|"&amp;12,Assessments!$A$2:$A$600,0)),0)</f>
        <v>0</v>
      </c>
      <c r="DI218" s="28" t="n">
        <f aca="false">IFERROR(INDEX(Assessments!$J$2:$J$600,MATCH($H218&amp;"|"&amp;$I218&amp;"|"&amp;$J218&amp;"|"&amp;13,Assessments!$A$2:$A$600,0)),0)</f>
        <v>0</v>
      </c>
      <c r="DJ218" s="28" t="n">
        <f aca="false">IFERROR(INDEX(Assessments!$J$2:$J$600,MATCH($H218&amp;"|"&amp;$I218&amp;"|"&amp;$J218&amp;"|"&amp;14,Assessments!$A$2:$A$600,0)),0)</f>
        <v>0</v>
      </c>
      <c r="DK218" s="28" t="str">
        <f aca="false">S218</f>
        <v/>
      </c>
      <c r="DL218" s="28" t="str">
        <f aca="false">W218</f>
        <v/>
      </c>
      <c r="DM218" s="28" t="str">
        <f aca="false">AA218</f>
        <v/>
      </c>
      <c r="DN218" s="28" t="str">
        <f aca="false">AE218</f>
        <v/>
      </c>
      <c r="DO218" s="28" t="str">
        <f aca="false">AI218</f>
        <v/>
      </c>
      <c r="DP218" s="28" t="str">
        <f aca="false">AM218</f>
        <v/>
      </c>
      <c r="DQ218" s="28" t="str">
        <f aca="false">AQ218</f>
        <v/>
      </c>
      <c r="DR218" s="28" t="str">
        <f aca="false">AU218</f>
        <v/>
      </c>
      <c r="DS218" s="28" t="str">
        <f aca="false">AY218</f>
        <v/>
      </c>
      <c r="DT218" s="28" t="str">
        <f aca="false">BC218</f>
        <v/>
      </c>
      <c r="DU218" s="28" t="str">
        <f aca="false">BG218</f>
        <v/>
      </c>
      <c r="DV218" s="28" t="str">
        <f aca="false">BK218</f>
        <v/>
      </c>
      <c r="DW218" s="28" t="str">
        <f aca="false">BO218</f>
        <v/>
      </c>
      <c r="DX218" s="28" t="str">
        <f aca="false">BS218</f>
        <v/>
      </c>
      <c r="DY218" s="28" t="str">
        <f aca="false">IF(ISNUMBER(S218),1,"")</f>
        <v/>
      </c>
      <c r="DZ218" s="28" t="str">
        <f aca="false">IF(ISNUMBER(W218),2,"")</f>
        <v/>
      </c>
      <c r="EA218" s="28" t="str">
        <f aca="false">IF(ISNUMBER(AA218),3,"")</f>
        <v/>
      </c>
      <c r="EB218" s="28" t="str">
        <f aca="false">IF(ISNUMBER(AE218),4,"")</f>
        <v/>
      </c>
      <c r="EC218" s="28" t="str">
        <f aca="false">IF(ISNUMBER(AI218),5,"")</f>
        <v/>
      </c>
      <c r="ED218" s="28" t="str">
        <f aca="false">IF(ISNUMBER(AM218),6,"")</f>
        <v/>
      </c>
      <c r="EE218" s="28" t="str">
        <f aca="false">IF(ISNUMBER(AQ218),7,"")</f>
        <v/>
      </c>
      <c r="EF218" s="28" t="str">
        <f aca="false">IF(ISNUMBER(AU218),8,"")</f>
        <v/>
      </c>
      <c r="EG218" s="28" t="str">
        <f aca="false">IF(ISNUMBER(AY218),9,"")</f>
        <v/>
      </c>
      <c r="EH218" s="28" t="str">
        <f aca="false">IF(ISNUMBER(BC218),10,"")</f>
        <v/>
      </c>
      <c r="EI218" s="28" t="str">
        <f aca="false">IF(ISNUMBER(BG218),11,"")</f>
        <v/>
      </c>
      <c r="EJ218" s="28" t="str">
        <f aca="false">IF(ISNUMBER(BK218),12,"")</f>
        <v/>
      </c>
      <c r="EK218" s="28" t="str">
        <f aca="false">IF(ISNUMBER(BO218),13,"")</f>
        <v/>
      </c>
      <c r="EL218" s="28" t="str">
        <f aca="false">IF(ISNUMBER(BS218),14,"")</f>
        <v/>
      </c>
      <c r="EM218" s="28" t="n">
        <f aca="false">IF(ISNUMBER(R218),R218*CW218,0)</f>
        <v>0</v>
      </c>
      <c r="EN218" s="28" t="n">
        <f aca="false">IF(ISNUMBER(V218),V218*CX218,0)</f>
        <v>0</v>
      </c>
      <c r="EO218" s="28" t="n">
        <f aca="false">IF(ISNUMBER(Z218),Z218*CY218,0)</f>
        <v>0</v>
      </c>
      <c r="EP218" s="28" t="n">
        <f aca="false">IF(ISNUMBER(AD218),AD218*CZ218,0)</f>
        <v>0</v>
      </c>
      <c r="EQ218" s="28" t="n">
        <f aca="false">IF(ISNUMBER(AH218),AH218*DA218,0)</f>
        <v>0</v>
      </c>
      <c r="ER218" s="28" t="n">
        <f aca="false">IF(ISNUMBER(AL218),AL218*DB218,0)</f>
        <v>0</v>
      </c>
      <c r="ES218" s="28" t="n">
        <f aca="false">IF(ISNUMBER(AP218),AP218*DC218,0)</f>
        <v>0</v>
      </c>
      <c r="ET218" s="28" t="n">
        <f aca="false">IF(ISNUMBER(AT218),AT218*DD218,0)</f>
        <v>0</v>
      </c>
      <c r="EU218" s="28" t="n">
        <f aca="false">IF(ISNUMBER(AX218),AX218*DE218,0)</f>
        <v>0</v>
      </c>
      <c r="EV218" s="28" t="n">
        <f aca="false">IF(ISNUMBER(BB218),BB218*DF218,0)</f>
        <v>0</v>
      </c>
      <c r="EW218" s="28" t="n">
        <f aca="false">IF(ISNUMBER(BF218),BF218*DG218,0)</f>
        <v>0</v>
      </c>
      <c r="EX218" s="28" t="n">
        <f aca="false">IF(ISNUMBER(BJ218),BJ218*DH218,0)</f>
        <v>0</v>
      </c>
      <c r="EY218" s="28" t="n">
        <f aca="false">IF(ISNUMBER(BN218),BN218*DI218,0)</f>
        <v>0</v>
      </c>
      <c r="EZ218" s="28" t="n">
        <f aca="false">IF(ISNUMBER(BR218),BR218*DJ218,0)</f>
        <v>0</v>
      </c>
      <c r="FA218" s="28" t="n">
        <f aca="false">IF(ISNUMBER(R218),CW218,0)</f>
        <v>0</v>
      </c>
      <c r="FB218" s="28" t="n">
        <f aca="false">IF(ISNUMBER(V218),CX218,0)</f>
        <v>0</v>
      </c>
      <c r="FC218" s="28" t="n">
        <f aca="false">IF(ISNUMBER(Z218),CY218,0)</f>
        <v>0</v>
      </c>
      <c r="FD218" s="28" t="n">
        <f aca="false">IF(ISNUMBER(AD218),CZ218,0)</f>
        <v>0</v>
      </c>
      <c r="FE218" s="28" t="n">
        <f aca="false">IF(ISNUMBER(AH218),DA218,0)</f>
        <v>0</v>
      </c>
      <c r="FF218" s="28" t="n">
        <f aca="false">IF(ISNUMBER(AL218),DB218,0)</f>
        <v>0</v>
      </c>
      <c r="FG218" s="28" t="n">
        <f aca="false">IF(ISNUMBER(AP218),DC218,0)</f>
        <v>0</v>
      </c>
      <c r="FH218" s="28" t="n">
        <f aca="false">IF(ISNUMBER(AT218),DD218,0)</f>
        <v>0</v>
      </c>
      <c r="FI218" s="28" t="n">
        <f aca="false">IF(ISNUMBER(AX218),DE218,0)</f>
        <v>0</v>
      </c>
      <c r="FJ218" s="28" t="n">
        <f aca="false">IF(ISNUMBER(BB218),DF218,0)</f>
        <v>0</v>
      </c>
      <c r="FK218" s="28" t="n">
        <f aca="false">IF(ISNUMBER(BF218),DG218,0)</f>
        <v>0</v>
      </c>
      <c r="FL218" s="28" t="n">
        <f aca="false">IF(ISNUMBER(BJ218),DH218,0)</f>
        <v>0</v>
      </c>
      <c r="FM218" s="28" t="n">
        <f aca="false">IF(ISNUMBER(BN218),DI218,0)</f>
        <v>0</v>
      </c>
      <c r="FN218" s="28" t="n">
        <f aca="false">IF(ISNUMBER(BR218),DJ218,0)</f>
        <v>0</v>
      </c>
      <c r="FO218" s="28" t="str">
        <f aca="false">IFERROR(INDEX(Lists!$G$2:$G$20,MATCH($I218&amp;"|"&amp;$J218,Lists!$F$2:$F$20,0)),"")</f>
        <v>Geog Overall SL</v>
      </c>
    </row>
    <row r="219" customFormat="false" ht="19.5" hidden="false" customHeight="true" outlineLevel="0" collapsed="false">
      <c r="A219" s="29" t="s">
        <v>468</v>
      </c>
      <c r="B219" s="29" t="s">
        <v>469</v>
      </c>
      <c r="C219" s="30" t="s">
        <v>152</v>
      </c>
      <c r="D219" s="30" t="s">
        <v>153</v>
      </c>
      <c r="E219" s="31"/>
      <c r="F219" s="30"/>
      <c r="G219" s="30"/>
      <c r="H219" s="32" t="s">
        <v>428</v>
      </c>
      <c r="I219" s="33" t="s">
        <v>24</v>
      </c>
      <c r="J219" s="32" t="s">
        <v>223</v>
      </c>
      <c r="K219" s="34" t="str">
        <f aca="false">IF(OR(M219="",$E219=""),"",M219-$E219)</f>
        <v/>
      </c>
      <c r="L219" s="35" t="str">
        <f aca="false">IF(SUM(FA219:FN219)=0,"",SUM(EM219:EZ219)/SUM(FA219:FN219))</f>
        <v/>
      </c>
      <c r="M219" s="36" t="str">
        <f aca="false">IF(OR(L219="",FO219=""),"",IFERROR(MATCH(L219,INDEX(Boundaries!$B$2:$I$30,MATCH(FO219,Boundaries!$A$2:$A$30,0),0),1)-1,""))</f>
        <v/>
      </c>
      <c r="N219" s="37" t="str">
        <f aca="false">IF(COUNT($DY219:$EL219)&lt;2,"",INDEX($DK219:$DX219,MAX($DY219:$EL219))-INDEX($DK219:$DX219,MIN($DY219:$EL219)))</f>
        <v/>
      </c>
      <c r="O219" s="37" t="str">
        <f aca="false">IF(COUNT($DY219:$EL219)&lt;2,"",INDEX($DK219:$DX219,MAX($DY219:$EL219))-INDEX($DK219:$DX219,LARGE($DY219:$EL219,2)))</f>
        <v/>
      </c>
      <c r="P219" s="38" t="str">
        <f aca="false">IF(K219="","",IF(K219&gt;=0,"On/above target",IF(AND(N219&lt;&gt;"",N219&gt;=0.5),"Improving towards target",IF(AND(O219&lt;&gt;"",O219&lt;=-0.5),"Declining","Stable below target"))))</f>
        <v/>
      </c>
      <c r="Q219" s="39"/>
      <c r="R219" s="40" t="str">
        <f aca="false">IF(OR(Q219="",BU219=""),"",Q219/BU219*100)</f>
        <v/>
      </c>
      <c r="S219" s="41" t="str">
        <f aca="false">IF(R219="","",IFERROR(MATCH(R219,INDEX(Boundaries!$B$2:$I$30,MATCH(CI219,Boundaries!$A$2:$A$30,0),0),1)-1,""))</f>
        <v/>
      </c>
      <c r="T219" s="42" t="str">
        <f aca="false">IF(OR(S219="",$E219=""),"",S219-$E219)</f>
        <v/>
      </c>
      <c r="U219" s="39"/>
      <c r="V219" s="40" t="str">
        <f aca="false">IF(OR(U219="",BV219=""),"",U219/BV219*100)</f>
        <v/>
      </c>
      <c r="W219" s="41" t="str">
        <f aca="false">IF(V219="","",IFERROR(MATCH(V219,INDEX(Boundaries!$B$2:$I$30,MATCH(CJ219,Boundaries!$A$2:$A$30,0),0),1)-1,""))</f>
        <v/>
      </c>
      <c r="X219" s="42" t="str">
        <f aca="false">IF(OR(W219="",$E219=""),"",W219-$E219)</f>
        <v/>
      </c>
      <c r="Y219" s="39"/>
      <c r="Z219" s="40" t="str">
        <f aca="false">IF(OR(Y219="",BW219=""),"",Y219/BW219*100)</f>
        <v/>
      </c>
      <c r="AA219" s="41" t="str">
        <f aca="false">IF(Z219="","",IFERROR(MATCH(Z219,INDEX(Boundaries!$B$2:$I$30,MATCH(CK219,Boundaries!$A$2:$A$30,0),0),1)-1,""))</f>
        <v/>
      </c>
      <c r="AB219" s="42" t="str">
        <f aca="false">IF(OR(AA219="",$E219=""),"",AA219-$E219)</f>
        <v/>
      </c>
      <c r="AC219" s="39"/>
      <c r="AD219" s="40" t="str">
        <f aca="false">IF(OR(AC219="",BX219=""),"",AC219/BX219*100)</f>
        <v/>
      </c>
      <c r="AE219" s="41" t="str">
        <f aca="false">IF(AD219="","",IFERROR(MATCH(AD219,INDEX(Boundaries!$B$2:$I$30,MATCH(CL219,Boundaries!$A$2:$A$30,0),0),1)-1,""))</f>
        <v/>
      </c>
      <c r="AF219" s="42" t="str">
        <f aca="false">IF(OR(AE219="",$E219=""),"",AE219-$E219)</f>
        <v/>
      </c>
      <c r="AG219" s="39"/>
      <c r="AH219" s="40" t="str">
        <f aca="false">IF(OR(AG219="",BY219=""),"",AG219/BY219*100)</f>
        <v/>
      </c>
      <c r="AI219" s="41" t="str">
        <f aca="false">IF(AH219="","",IFERROR(MATCH(AH219,INDEX(Boundaries!$B$2:$I$30,MATCH(CM219,Boundaries!$A$2:$A$30,0),0),1)-1,""))</f>
        <v/>
      </c>
      <c r="AJ219" s="42" t="str">
        <f aca="false">IF(OR(AI219="",$E219=""),"",AI219-$E219)</f>
        <v/>
      </c>
      <c r="AK219" s="39"/>
      <c r="AL219" s="40" t="str">
        <f aca="false">IF(OR(AK219="",BZ219=""),"",AK219/BZ219*100)</f>
        <v/>
      </c>
      <c r="AM219" s="41" t="str">
        <f aca="false">IF(AL219="","",IFERROR(MATCH(AL219,INDEX(Boundaries!$B$2:$I$30,MATCH(CN219,Boundaries!$A$2:$A$30,0),0),1)-1,""))</f>
        <v/>
      </c>
      <c r="AN219" s="42" t="str">
        <f aca="false">IF(OR(AM219="",$E219=""),"",AM219-$E219)</f>
        <v/>
      </c>
      <c r="AO219" s="39"/>
      <c r="AP219" s="40" t="str">
        <f aca="false">IF(OR(AO219="",CA219=""),"",AO219/CA219*100)</f>
        <v/>
      </c>
      <c r="AQ219" s="41" t="str">
        <f aca="false">IF(AP219="","",IFERROR(MATCH(AP219,INDEX(Boundaries!$B$2:$I$30,MATCH(CO219,Boundaries!$A$2:$A$30,0),0),1)-1,""))</f>
        <v/>
      </c>
      <c r="AR219" s="42" t="str">
        <f aca="false">IF(OR(AQ219="",$E219=""),"",AQ219-$E219)</f>
        <v/>
      </c>
      <c r="AS219" s="39"/>
      <c r="AT219" s="40" t="str">
        <f aca="false">IF(OR(AS219="",CB219=""),"",AS219/CB219*100)</f>
        <v/>
      </c>
      <c r="AU219" s="41" t="str">
        <f aca="false">IF(AT219="","",IFERROR(MATCH(AT219,INDEX(Boundaries!$B$2:$I$30,MATCH(CP219,Boundaries!$A$2:$A$30,0),0),1)-1,""))</f>
        <v/>
      </c>
      <c r="AV219" s="42" t="str">
        <f aca="false">IF(OR(AU219="",$E219=""),"",AU219-$E219)</f>
        <v/>
      </c>
      <c r="AW219" s="39"/>
      <c r="AX219" s="40" t="str">
        <f aca="false">IF(OR(AW219="",CC219=""),"",AW219/CC219*100)</f>
        <v/>
      </c>
      <c r="AY219" s="41" t="str">
        <f aca="false">IF(AX219="","",IFERROR(MATCH(AX219,INDEX(Boundaries!$B$2:$I$30,MATCH(CQ219,Boundaries!$A$2:$A$30,0),0),1)-1,""))</f>
        <v/>
      </c>
      <c r="AZ219" s="42" t="str">
        <f aca="false">IF(OR(AY219="",$E219=""),"",AY219-$E219)</f>
        <v/>
      </c>
      <c r="BA219" s="39"/>
      <c r="BB219" s="40" t="str">
        <f aca="false">IF(OR(BA219="",CD219=""),"",BA219/CD219*100)</f>
        <v/>
      </c>
      <c r="BC219" s="41" t="str">
        <f aca="false">IF(BB219="","",IFERROR(MATCH(BB219,INDEX(Boundaries!$B$2:$I$30,MATCH(CR219,Boundaries!$A$2:$A$30,0),0),1)-1,""))</f>
        <v/>
      </c>
      <c r="BD219" s="42" t="str">
        <f aca="false">IF(OR(BC219="",$E219=""),"",BC219-$E219)</f>
        <v/>
      </c>
      <c r="BE219" s="39"/>
      <c r="BF219" s="40" t="str">
        <f aca="false">IF(OR(BE219="",CE219=""),"",BE219/CE219*100)</f>
        <v/>
      </c>
      <c r="BG219" s="41" t="str">
        <f aca="false">IF(BF219="","",IFERROR(MATCH(BF219,INDEX(Boundaries!$B$2:$I$30,MATCH(CS219,Boundaries!$A$2:$A$30,0),0),1)-1,""))</f>
        <v/>
      </c>
      <c r="BH219" s="42" t="str">
        <f aca="false">IF(OR(BG219="",$E219=""),"",BG219-$E219)</f>
        <v/>
      </c>
      <c r="BI219" s="39"/>
      <c r="BJ219" s="40" t="str">
        <f aca="false">IF(OR(BI219="",CF219=""),"",BI219/CF219*100)</f>
        <v/>
      </c>
      <c r="BK219" s="41" t="str">
        <f aca="false">IF(BJ219="","",IFERROR(MATCH(BJ219,INDEX(Boundaries!$B$2:$I$30,MATCH(CT219,Boundaries!$A$2:$A$30,0),0),1)-1,""))</f>
        <v/>
      </c>
      <c r="BL219" s="42" t="str">
        <f aca="false">IF(OR(BK219="",$E219=""),"",BK219-$E219)</f>
        <v/>
      </c>
      <c r="BM219" s="39"/>
      <c r="BN219" s="40" t="str">
        <f aca="false">IF(OR(BM219="",CG219=""),"",BM219/CG219*100)</f>
        <v/>
      </c>
      <c r="BO219" s="41" t="str">
        <f aca="false">IF(BN219="","",IFERROR(MATCH(BN219,INDEX(Boundaries!$B$2:$I$30,MATCH(CU219,Boundaries!$A$2:$A$30,0),0),1)-1,""))</f>
        <v/>
      </c>
      <c r="BP219" s="42" t="str">
        <f aca="false">IF(OR(BO219="",$E219=""),"",BO219-$E219)</f>
        <v/>
      </c>
      <c r="BQ219" s="39"/>
      <c r="BR219" s="40" t="str">
        <f aca="false">IF(OR(BQ219="",CH219=""),"",BQ219/CH219*100)</f>
        <v/>
      </c>
      <c r="BS219" s="41" t="str">
        <f aca="false">IF(BR219="","",IFERROR(MATCH(BR219,INDEX(Boundaries!$B$2:$I$30,MATCH(CV219,Boundaries!$A$2:$A$30,0),0),1)-1,""))</f>
        <v/>
      </c>
      <c r="BT219" s="42" t="str">
        <f aca="false">IF(OR(BS219="",$E219=""),"",BS219-$E219)</f>
        <v/>
      </c>
      <c r="BU219" s="28" t="n">
        <f aca="false">IFERROR(INDEX(Assessments!$H$2:$H$600,MATCH($H219&amp;"|"&amp;$I219&amp;"|"&amp;$J219&amp;"|"&amp;1,Assessments!$A$2:$A$600,0)),"")</f>
        <v>10</v>
      </c>
      <c r="BV219" s="28" t="n">
        <f aca="false">IFERROR(INDEX(Assessments!$H$2:$H$600,MATCH($H219&amp;"|"&amp;$I219&amp;"|"&amp;$J219&amp;"|"&amp;2,Assessments!$A$2:$A$600,0)),"")</f>
        <v>10</v>
      </c>
      <c r="BW219" s="28" t="n">
        <f aca="false">IFERROR(INDEX(Assessments!$H$2:$H$600,MATCH($H219&amp;"|"&amp;$I219&amp;"|"&amp;$J219&amp;"|"&amp;3,Assessments!$A$2:$A$600,0)),"")</f>
        <v>20</v>
      </c>
      <c r="BX219" s="28" t="n">
        <f aca="false">IFERROR(INDEX(Assessments!$H$2:$H$600,MATCH($H219&amp;"|"&amp;$I219&amp;"|"&amp;$J219&amp;"|"&amp;4,Assessments!$A$2:$A$600,0)),"")</f>
        <v>20</v>
      </c>
      <c r="BY219" s="28" t="n">
        <f aca="false">IFERROR(INDEX(Assessments!$H$2:$H$600,MATCH($H219&amp;"|"&amp;$I219&amp;"|"&amp;$J219&amp;"|"&amp;5,Assessments!$A$2:$A$600,0)),"")</f>
        <v>50</v>
      </c>
      <c r="BZ219" s="28" t="str">
        <f aca="false">IFERROR(INDEX(Assessments!$H$2:$H$600,MATCH($H219&amp;"|"&amp;$I219&amp;"|"&amp;$J219&amp;"|"&amp;6,Assessments!$A$2:$A$600,0)),"")</f>
        <v/>
      </c>
      <c r="CA219" s="28" t="str">
        <f aca="false">IFERROR(INDEX(Assessments!$H$2:$H$600,MATCH($H219&amp;"|"&amp;$I219&amp;"|"&amp;$J219&amp;"|"&amp;7,Assessments!$A$2:$A$600,0)),"")</f>
        <v/>
      </c>
      <c r="CB219" s="28" t="str">
        <f aca="false">IFERROR(INDEX(Assessments!$H$2:$H$600,MATCH($H219&amp;"|"&amp;$I219&amp;"|"&amp;$J219&amp;"|"&amp;8,Assessments!$A$2:$A$600,0)),"")</f>
        <v/>
      </c>
      <c r="CC219" s="28" t="str">
        <f aca="false">IFERROR(INDEX(Assessments!$H$2:$H$600,MATCH($H219&amp;"|"&amp;$I219&amp;"|"&amp;$J219&amp;"|"&amp;9,Assessments!$A$2:$A$600,0)),"")</f>
        <v/>
      </c>
      <c r="CD219" s="28" t="str">
        <f aca="false">IFERROR(INDEX(Assessments!$H$2:$H$600,MATCH($H219&amp;"|"&amp;$I219&amp;"|"&amp;$J219&amp;"|"&amp;10,Assessments!$A$2:$A$600,0)),"")</f>
        <v/>
      </c>
      <c r="CE219" s="28" t="str">
        <f aca="false">IFERROR(INDEX(Assessments!$H$2:$H$600,MATCH($H219&amp;"|"&amp;$I219&amp;"|"&amp;$J219&amp;"|"&amp;11,Assessments!$A$2:$A$600,0)),"")</f>
        <v/>
      </c>
      <c r="CF219" s="28" t="str">
        <f aca="false">IFERROR(INDEX(Assessments!$H$2:$H$600,MATCH($H219&amp;"|"&amp;$I219&amp;"|"&amp;$J219&amp;"|"&amp;12,Assessments!$A$2:$A$600,0)),"")</f>
        <v/>
      </c>
      <c r="CG219" s="28" t="str">
        <f aca="false">IFERROR(INDEX(Assessments!$H$2:$H$600,MATCH($H219&amp;"|"&amp;$I219&amp;"|"&amp;$J219&amp;"|"&amp;13,Assessments!$A$2:$A$600,0)),"")</f>
        <v/>
      </c>
      <c r="CH219" s="28" t="str">
        <f aca="false">IFERROR(INDEX(Assessments!$H$2:$H$600,MATCH($H219&amp;"|"&amp;$I219&amp;"|"&amp;$J219&amp;"|"&amp;14,Assessments!$A$2:$A$600,0)),"")</f>
        <v/>
      </c>
      <c r="CI219" s="28" t="str">
        <f aca="false">IFERROR(INDEX(Assessments!$I$2:$I$600,MATCH($H219&amp;"|"&amp;$I219&amp;"|"&amp;$J219&amp;"|"&amp;1,Assessments!$A$2:$A$600,0)),"")</f>
        <v>Geog Paper 2</v>
      </c>
      <c r="CJ219" s="28" t="str">
        <f aca="false">IFERROR(INDEX(Assessments!$I$2:$I$600,MATCH($H219&amp;"|"&amp;$I219&amp;"|"&amp;$J219&amp;"|"&amp;2,Assessments!$A$2:$A$600,0)),"")</f>
        <v>Geog Paper 2</v>
      </c>
      <c r="CK219" s="28" t="str">
        <f aca="false">IFERROR(INDEX(Assessments!$I$2:$I$600,MATCH($H219&amp;"|"&amp;$I219&amp;"|"&amp;$J219&amp;"|"&amp;3,Assessments!$A$2:$A$600,0)),"")</f>
        <v>Geog Paper 1</v>
      </c>
      <c r="CL219" s="28" t="str">
        <f aca="false">IFERROR(INDEX(Assessments!$I$2:$I$600,MATCH($H219&amp;"|"&amp;$I219&amp;"|"&amp;$J219&amp;"|"&amp;4,Assessments!$A$2:$A$600,0)),"")</f>
        <v>Geog Paper 1</v>
      </c>
      <c r="CM219" s="28" t="str">
        <f aca="false">IFERROR(INDEX(Assessments!$I$2:$I$600,MATCH($H219&amp;"|"&amp;$I219&amp;"|"&amp;$J219&amp;"|"&amp;5,Assessments!$A$2:$A$600,0)),"")</f>
        <v>Geog Paper 2</v>
      </c>
      <c r="CN219" s="28" t="str">
        <f aca="false">IFERROR(INDEX(Assessments!$I$2:$I$600,MATCH($H219&amp;"|"&amp;$I219&amp;"|"&amp;$J219&amp;"|"&amp;6,Assessments!$A$2:$A$600,0)),"")</f>
        <v/>
      </c>
      <c r="CO219" s="28" t="str">
        <f aca="false">IFERROR(INDEX(Assessments!$I$2:$I$600,MATCH($H219&amp;"|"&amp;$I219&amp;"|"&amp;$J219&amp;"|"&amp;7,Assessments!$A$2:$A$600,0)),"")</f>
        <v/>
      </c>
      <c r="CP219" s="28" t="str">
        <f aca="false">IFERROR(INDEX(Assessments!$I$2:$I$600,MATCH($H219&amp;"|"&amp;$I219&amp;"|"&amp;$J219&amp;"|"&amp;8,Assessments!$A$2:$A$600,0)),"")</f>
        <v/>
      </c>
      <c r="CQ219" s="28" t="str">
        <f aca="false">IFERROR(INDEX(Assessments!$I$2:$I$600,MATCH($H219&amp;"|"&amp;$I219&amp;"|"&amp;$J219&amp;"|"&amp;9,Assessments!$A$2:$A$600,0)),"")</f>
        <v/>
      </c>
      <c r="CR219" s="28" t="str">
        <f aca="false">IFERROR(INDEX(Assessments!$I$2:$I$600,MATCH($H219&amp;"|"&amp;$I219&amp;"|"&amp;$J219&amp;"|"&amp;10,Assessments!$A$2:$A$600,0)),"")</f>
        <v/>
      </c>
      <c r="CS219" s="28" t="str">
        <f aca="false">IFERROR(INDEX(Assessments!$I$2:$I$600,MATCH($H219&amp;"|"&amp;$I219&amp;"|"&amp;$J219&amp;"|"&amp;11,Assessments!$A$2:$A$600,0)),"")</f>
        <v/>
      </c>
      <c r="CT219" s="28" t="str">
        <f aca="false">IFERROR(INDEX(Assessments!$I$2:$I$600,MATCH($H219&amp;"|"&amp;$I219&amp;"|"&amp;$J219&amp;"|"&amp;12,Assessments!$A$2:$A$600,0)),"")</f>
        <v/>
      </c>
      <c r="CU219" s="28" t="str">
        <f aca="false">IFERROR(INDEX(Assessments!$I$2:$I$600,MATCH($H219&amp;"|"&amp;$I219&amp;"|"&amp;$J219&amp;"|"&amp;13,Assessments!$A$2:$A$600,0)),"")</f>
        <v/>
      </c>
      <c r="CV219" s="28" t="str">
        <f aca="false">IFERROR(INDEX(Assessments!$I$2:$I$600,MATCH($H219&amp;"|"&amp;$I219&amp;"|"&amp;$J219&amp;"|"&amp;14,Assessments!$A$2:$A$600,0)),"")</f>
        <v/>
      </c>
      <c r="CW219" s="28" t="n">
        <f aca="false">IFERROR(INDEX(Assessments!$J$2:$J$600,MATCH($H219&amp;"|"&amp;$I219&amp;"|"&amp;$J219&amp;"|"&amp;1,Assessments!$A$2:$A$600,0)),0)</f>
        <v>1</v>
      </c>
      <c r="CX219" s="28" t="n">
        <f aca="false">IFERROR(INDEX(Assessments!$J$2:$J$600,MATCH($H219&amp;"|"&amp;$I219&amp;"|"&amp;$J219&amp;"|"&amp;2,Assessments!$A$2:$A$600,0)),0)</f>
        <v>1</v>
      </c>
      <c r="CY219" s="28" t="n">
        <f aca="false">IFERROR(INDEX(Assessments!$J$2:$J$600,MATCH($H219&amp;"|"&amp;$I219&amp;"|"&amp;$J219&amp;"|"&amp;3,Assessments!$A$2:$A$600,0)),0)</f>
        <v>1</v>
      </c>
      <c r="CZ219" s="28" t="n">
        <f aca="false">IFERROR(INDEX(Assessments!$J$2:$J$600,MATCH($H219&amp;"|"&amp;$I219&amp;"|"&amp;$J219&amp;"|"&amp;4,Assessments!$A$2:$A$600,0)),0)</f>
        <v>2</v>
      </c>
      <c r="DA219" s="28" t="n">
        <f aca="false">IFERROR(INDEX(Assessments!$J$2:$J$600,MATCH($H219&amp;"|"&amp;$I219&amp;"|"&amp;$J219&amp;"|"&amp;5,Assessments!$A$2:$A$600,0)),0)</f>
        <v>2</v>
      </c>
      <c r="DB219" s="28" t="n">
        <f aca="false">IFERROR(INDEX(Assessments!$J$2:$J$600,MATCH($H219&amp;"|"&amp;$I219&amp;"|"&amp;$J219&amp;"|"&amp;6,Assessments!$A$2:$A$600,0)),0)</f>
        <v>0</v>
      </c>
      <c r="DC219" s="28" t="n">
        <f aca="false">IFERROR(INDEX(Assessments!$J$2:$J$600,MATCH($H219&amp;"|"&amp;$I219&amp;"|"&amp;$J219&amp;"|"&amp;7,Assessments!$A$2:$A$600,0)),0)</f>
        <v>0</v>
      </c>
      <c r="DD219" s="28" t="n">
        <f aca="false">IFERROR(INDEX(Assessments!$J$2:$J$600,MATCH($H219&amp;"|"&amp;$I219&amp;"|"&amp;$J219&amp;"|"&amp;8,Assessments!$A$2:$A$600,0)),0)</f>
        <v>0</v>
      </c>
      <c r="DE219" s="28" t="n">
        <f aca="false">IFERROR(INDEX(Assessments!$J$2:$J$600,MATCH($H219&amp;"|"&amp;$I219&amp;"|"&amp;$J219&amp;"|"&amp;9,Assessments!$A$2:$A$600,0)),0)</f>
        <v>0</v>
      </c>
      <c r="DF219" s="28" t="n">
        <f aca="false">IFERROR(INDEX(Assessments!$J$2:$J$600,MATCH($H219&amp;"|"&amp;$I219&amp;"|"&amp;$J219&amp;"|"&amp;10,Assessments!$A$2:$A$600,0)),0)</f>
        <v>0</v>
      </c>
      <c r="DG219" s="28" t="n">
        <f aca="false">IFERROR(INDEX(Assessments!$J$2:$J$600,MATCH($H219&amp;"|"&amp;$I219&amp;"|"&amp;$J219&amp;"|"&amp;11,Assessments!$A$2:$A$600,0)),0)</f>
        <v>0</v>
      </c>
      <c r="DH219" s="28" t="n">
        <f aca="false">IFERROR(INDEX(Assessments!$J$2:$J$600,MATCH($H219&amp;"|"&amp;$I219&amp;"|"&amp;$J219&amp;"|"&amp;12,Assessments!$A$2:$A$600,0)),0)</f>
        <v>0</v>
      </c>
      <c r="DI219" s="28" t="n">
        <f aca="false">IFERROR(INDEX(Assessments!$J$2:$J$600,MATCH($H219&amp;"|"&amp;$I219&amp;"|"&amp;$J219&amp;"|"&amp;13,Assessments!$A$2:$A$600,0)),0)</f>
        <v>0</v>
      </c>
      <c r="DJ219" s="28" t="n">
        <f aca="false">IFERROR(INDEX(Assessments!$J$2:$J$600,MATCH($H219&amp;"|"&amp;$I219&amp;"|"&amp;$J219&amp;"|"&amp;14,Assessments!$A$2:$A$600,0)),0)</f>
        <v>0</v>
      </c>
      <c r="DK219" s="28" t="str">
        <f aca="false">S219</f>
        <v/>
      </c>
      <c r="DL219" s="28" t="str">
        <f aca="false">W219</f>
        <v/>
      </c>
      <c r="DM219" s="28" t="str">
        <f aca="false">AA219</f>
        <v/>
      </c>
      <c r="DN219" s="28" t="str">
        <f aca="false">AE219</f>
        <v/>
      </c>
      <c r="DO219" s="28" t="str">
        <f aca="false">AI219</f>
        <v/>
      </c>
      <c r="DP219" s="28" t="str">
        <f aca="false">AM219</f>
        <v/>
      </c>
      <c r="DQ219" s="28" t="str">
        <f aca="false">AQ219</f>
        <v/>
      </c>
      <c r="DR219" s="28" t="str">
        <f aca="false">AU219</f>
        <v/>
      </c>
      <c r="DS219" s="28" t="str">
        <f aca="false">AY219</f>
        <v/>
      </c>
      <c r="DT219" s="28" t="str">
        <f aca="false">BC219</f>
        <v/>
      </c>
      <c r="DU219" s="28" t="str">
        <f aca="false">BG219</f>
        <v/>
      </c>
      <c r="DV219" s="28" t="str">
        <f aca="false">BK219</f>
        <v/>
      </c>
      <c r="DW219" s="28" t="str">
        <f aca="false">BO219</f>
        <v/>
      </c>
      <c r="DX219" s="28" t="str">
        <f aca="false">BS219</f>
        <v/>
      </c>
      <c r="DY219" s="28" t="str">
        <f aca="false">IF(ISNUMBER(S219),1,"")</f>
        <v/>
      </c>
      <c r="DZ219" s="28" t="str">
        <f aca="false">IF(ISNUMBER(W219),2,"")</f>
        <v/>
      </c>
      <c r="EA219" s="28" t="str">
        <f aca="false">IF(ISNUMBER(AA219),3,"")</f>
        <v/>
      </c>
      <c r="EB219" s="28" t="str">
        <f aca="false">IF(ISNUMBER(AE219),4,"")</f>
        <v/>
      </c>
      <c r="EC219" s="28" t="str">
        <f aca="false">IF(ISNUMBER(AI219),5,"")</f>
        <v/>
      </c>
      <c r="ED219" s="28" t="str">
        <f aca="false">IF(ISNUMBER(AM219),6,"")</f>
        <v/>
      </c>
      <c r="EE219" s="28" t="str">
        <f aca="false">IF(ISNUMBER(AQ219),7,"")</f>
        <v/>
      </c>
      <c r="EF219" s="28" t="str">
        <f aca="false">IF(ISNUMBER(AU219),8,"")</f>
        <v/>
      </c>
      <c r="EG219" s="28" t="str">
        <f aca="false">IF(ISNUMBER(AY219),9,"")</f>
        <v/>
      </c>
      <c r="EH219" s="28" t="str">
        <f aca="false">IF(ISNUMBER(BC219),10,"")</f>
        <v/>
      </c>
      <c r="EI219" s="28" t="str">
        <f aca="false">IF(ISNUMBER(BG219),11,"")</f>
        <v/>
      </c>
      <c r="EJ219" s="28" t="str">
        <f aca="false">IF(ISNUMBER(BK219),12,"")</f>
        <v/>
      </c>
      <c r="EK219" s="28" t="str">
        <f aca="false">IF(ISNUMBER(BO219),13,"")</f>
        <v/>
      </c>
      <c r="EL219" s="28" t="str">
        <f aca="false">IF(ISNUMBER(BS219),14,"")</f>
        <v/>
      </c>
      <c r="EM219" s="28" t="n">
        <f aca="false">IF(ISNUMBER(R219),R219*CW219,0)</f>
        <v>0</v>
      </c>
      <c r="EN219" s="28" t="n">
        <f aca="false">IF(ISNUMBER(V219),V219*CX219,0)</f>
        <v>0</v>
      </c>
      <c r="EO219" s="28" t="n">
        <f aca="false">IF(ISNUMBER(Z219),Z219*CY219,0)</f>
        <v>0</v>
      </c>
      <c r="EP219" s="28" t="n">
        <f aca="false">IF(ISNUMBER(AD219),AD219*CZ219,0)</f>
        <v>0</v>
      </c>
      <c r="EQ219" s="28" t="n">
        <f aca="false">IF(ISNUMBER(AH219),AH219*DA219,0)</f>
        <v>0</v>
      </c>
      <c r="ER219" s="28" t="n">
        <f aca="false">IF(ISNUMBER(AL219),AL219*DB219,0)</f>
        <v>0</v>
      </c>
      <c r="ES219" s="28" t="n">
        <f aca="false">IF(ISNUMBER(AP219),AP219*DC219,0)</f>
        <v>0</v>
      </c>
      <c r="ET219" s="28" t="n">
        <f aca="false">IF(ISNUMBER(AT219),AT219*DD219,0)</f>
        <v>0</v>
      </c>
      <c r="EU219" s="28" t="n">
        <f aca="false">IF(ISNUMBER(AX219),AX219*DE219,0)</f>
        <v>0</v>
      </c>
      <c r="EV219" s="28" t="n">
        <f aca="false">IF(ISNUMBER(BB219),BB219*DF219,0)</f>
        <v>0</v>
      </c>
      <c r="EW219" s="28" t="n">
        <f aca="false">IF(ISNUMBER(BF219),BF219*DG219,0)</f>
        <v>0</v>
      </c>
      <c r="EX219" s="28" t="n">
        <f aca="false">IF(ISNUMBER(BJ219),BJ219*DH219,0)</f>
        <v>0</v>
      </c>
      <c r="EY219" s="28" t="n">
        <f aca="false">IF(ISNUMBER(BN219),BN219*DI219,0)</f>
        <v>0</v>
      </c>
      <c r="EZ219" s="28" t="n">
        <f aca="false">IF(ISNUMBER(BR219),BR219*DJ219,0)</f>
        <v>0</v>
      </c>
      <c r="FA219" s="28" t="n">
        <f aca="false">IF(ISNUMBER(R219),CW219,0)</f>
        <v>0</v>
      </c>
      <c r="FB219" s="28" t="n">
        <f aca="false">IF(ISNUMBER(V219),CX219,0)</f>
        <v>0</v>
      </c>
      <c r="FC219" s="28" t="n">
        <f aca="false">IF(ISNUMBER(Z219),CY219,0)</f>
        <v>0</v>
      </c>
      <c r="FD219" s="28" t="n">
        <f aca="false">IF(ISNUMBER(AD219),CZ219,0)</f>
        <v>0</v>
      </c>
      <c r="FE219" s="28" t="n">
        <f aca="false">IF(ISNUMBER(AH219),DA219,0)</f>
        <v>0</v>
      </c>
      <c r="FF219" s="28" t="n">
        <f aca="false">IF(ISNUMBER(AL219),DB219,0)</f>
        <v>0</v>
      </c>
      <c r="FG219" s="28" t="n">
        <f aca="false">IF(ISNUMBER(AP219),DC219,0)</f>
        <v>0</v>
      </c>
      <c r="FH219" s="28" t="n">
        <f aca="false">IF(ISNUMBER(AT219),DD219,0)</f>
        <v>0</v>
      </c>
      <c r="FI219" s="28" t="n">
        <f aca="false">IF(ISNUMBER(AX219),DE219,0)</f>
        <v>0</v>
      </c>
      <c r="FJ219" s="28" t="n">
        <f aca="false">IF(ISNUMBER(BB219),DF219,0)</f>
        <v>0</v>
      </c>
      <c r="FK219" s="28" t="n">
        <f aca="false">IF(ISNUMBER(BF219),DG219,0)</f>
        <v>0</v>
      </c>
      <c r="FL219" s="28" t="n">
        <f aca="false">IF(ISNUMBER(BJ219),DH219,0)</f>
        <v>0</v>
      </c>
      <c r="FM219" s="28" t="n">
        <f aca="false">IF(ISNUMBER(BN219),DI219,0)</f>
        <v>0</v>
      </c>
      <c r="FN219" s="28" t="n">
        <f aca="false">IF(ISNUMBER(BR219),DJ219,0)</f>
        <v>0</v>
      </c>
      <c r="FO219" s="28" t="str">
        <f aca="false">IFERROR(INDEX(Lists!$G$2:$G$20,MATCH($I219&amp;"|"&amp;$J219,Lists!$F$2:$F$20,0)),"")</f>
        <v>Geog Overall SL</v>
      </c>
    </row>
    <row r="220" customFormat="false" ht="19.5" hidden="false" customHeight="true" outlineLevel="0" collapsed="false">
      <c r="A220" s="29" t="s">
        <v>470</v>
      </c>
      <c r="B220" s="29" t="s">
        <v>471</v>
      </c>
      <c r="C220" s="30" t="s">
        <v>152</v>
      </c>
      <c r="D220" s="30" t="s">
        <v>153</v>
      </c>
      <c r="E220" s="31"/>
      <c r="F220" s="30"/>
      <c r="G220" s="30"/>
      <c r="H220" s="32" t="s">
        <v>428</v>
      </c>
      <c r="I220" s="33" t="s">
        <v>24</v>
      </c>
      <c r="J220" s="32" t="s">
        <v>223</v>
      </c>
      <c r="K220" s="34" t="str">
        <f aca="false">IF(OR(M220="",$E220=""),"",M220-$E220)</f>
        <v/>
      </c>
      <c r="L220" s="35" t="str">
        <f aca="false">IF(SUM(FA220:FN220)=0,"",SUM(EM220:EZ220)/SUM(FA220:FN220))</f>
        <v/>
      </c>
      <c r="M220" s="36" t="str">
        <f aca="false">IF(OR(L220="",FO220=""),"",IFERROR(MATCH(L220,INDEX(Boundaries!$B$2:$I$30,MATCH(FO220,Boundaries!$A$2:$A$30,0),0),1)-1,""))</f>
        <v/>
      </c>
      <c r="N220" s="37" t="str">
        <f aca="false">IF(COUNT($DY220:$EL220)&lt;2,"",INDEX($DK220:$DX220,MAX($DY220:$EL220))-INDEX($DK220:$DX220,MIN($DY220:$EL220)))</f>
        <v/>
      </c>
      <c r="O220" s="37" t="str">
        <f aca="false">IF(COUNT($DY220:$EL220)&lt;2,"",INDEX($DK220:$DX220,MAX($DY220:$EL220))-INDEX($DK220:$DX220,LARGE($DY220:$EL220,2)))</f>
        <v/>
      </c>
      <c r="P220" s="38" t="str">
        <f aca="false">IF(K220="","",IF(K220&gt;=0,"On/above target",IF(AND(N220&lt;&gt;"",N220&gt;=0.5),"Improving towards target",IF(AND(O220&lt;&gt;"",O220&lt;=-0.5),"Declining","Stable below target"))))</f>
        <v/>
      </c>
      <c r="Q220" s="39"/>
      <c r="R220" s="40" t="str">
        <f aca="false">IF(OR(Q220="",BU220=""),"",Q220/BU220*100)</f>
        <v/>
      </c>
      <c r="S220" s="41" t="str">
        <f aca="false">IF(R220="","",IFERROR(MATCH(R220,INDEX(Boundaries!$B$2:$I$30,MATCH(CI220,Boundaries!$A$2:$A$30,0),0),1)-1,""))</f>
        <v/>
      </c>
      <c r="T220" s="42" t="str">
        <f aca="false">IF(OR(S220="",$E220=""),"",S220-$E220)</f>
        <v/>
      </c>
      <c r="U220" s="39"/>
      <c r="V220" s="40" t="str">
        <f aca="false">IF(OR(U220="",BV220=""),"",U220/BV220*100)</f>
        <v/>
      </c>
      <c r="W220" s="41" t="str">
        <f aca="false">IF(V220="","",IFERROR(MATCH(V220,INDEX(Boundaries!$B$2:$I$30,MATCH(CJ220,Boundaries!$A$2:$A$30,0),0),1)-1,""))</f>
        <v/>
      </c>
      <c r="X220" s="42" t="str">
        <f aca="false">IF(OR(W220="",$E220=""),"",W220-$E220)</f>
        <v/>
      </c>
      <c r="Y220" s="39"/>
      <c r="Z220" s="40" t="str">
        <f aca="false">IF(OR(Y220="",BW220=""),"",Y220/BW220*100)</f>
        <v/>
      </c>
      <c r="AA220" s="41" t="str">
        <f aca="false">IF(Z220="","",IFERROR(MATCH(Z220,INDEX(Boundaries!$B$2:$I$30,MATCH(CK220,Boundaries!$A$2:$A$30,0),0),1)-1,""))</f>
        <v/>
      </c>
      <c r="AB220" s="42" t="str">
        <f aca="false">IF(OR(AA220="",$E220=""),"",AA220-$E220)</f>
        <v/>
      </c>
      <c r="AC220" s="39"/>
      <c r="AD220" s="40" t="str">
        <f aca="false">IF(OR(AC220="",BX220=""),"",AC220/BX220*100)</f>
        <v/>
      </c>
      <c r="AE220" s="41" t="str">
        <f aca="false">IF(AD220="","",IFERROR(MATCH(AD220,INDEX(Boundaries!$B$2:$I$30,MATCH(CL220,Boundaries!$A$2:$A$30,0),0),1)-1,""))</f>
        <v/>
      </c>
      <c r="AF220" s="42" t="str">
        <f aca="false">IF(OR(AE220="",$E220=""),"",AE220-$E220)</f>
        <v/>
      </c>
      <c r="AG220" s="39"/>
      <c r="AH220" s="40" t="str">
        <f aca="false">IF(OR(AG220="",BY220=""),"",AG220/BY220*100)</f>
        <v/>
      </c>
      <c r="AI220" s="41" t="str">
        <f aca="false">IF(AH220="","",IFERROR(MATCH(AH220,INDEX(Boundaries!$B$2:$I$30,MATCH(CM220,Boundaries!$A$2:$A$30,0),0),1)-1,""))</f>
        <v/>
      </c>
      <c r="AJ220" s="42" t="str">
        <f aca="false">IF(OR(AI220="",$E220=""),"",AI220-$E220)</f>
        <v/>
      </c>
      <c r="AK220" s="39"/>
      <c r="AL220" s="40" t="str">
        <f aca="false">IF(OR(AK220="",BZ220=""),"",AK220/BZ220*100)</f>
        <v/>
      </c>
      <c r="AM220" s="41" t="str">
        <f aca="false">IF(AL220="","",IFERROR(MATCH(AL220,INDEX(Boundaries!$B$2:$I$30,MATCH(CN220,Boundaries!$A$2:$A$30,0),0),1)-1,""))</f>
        <v/>
      </c>
      <c r="AN220" s="42" t="str">
        <f aca="false">IF(OR(AM220="",$E220=""),"",AM220-$E220)</f>
        <v/>
      </c>
      <c r="AO220" s="39"/>
      <c r="AP220" s="40" t="str">
        <f aca="false">IF(OR(AO220="",CA220=""),"",AO220/CA220*100)</f>
        <v/>
      </c>
      <c r="AQ220" s="41" t="str">
        <f aca="false">IF(AP220="","",IFERROR(MATCH(AP220,INDEX(Boundaries!$B$2:$I$30,MATCH(CO220,Boundaries!$A$2:$A$30,0),0),1)-1,""))</f>
        <v/>
      </c>
      <c r="AR220" s="42" t="str">
        <f aca="false">IF(OR(AQ220="",$E220=""),"",AQ220-$E220)</f>
        <v/>
      </c>
      <c r="AS220" s="39"/>
      <c r="AT220" s="40" t="str">
        <f aca="false">IF(OR(AS220="",CB220=""),"",AS220/CB220*100)</f>
        <v/>
      </c>
      <c r="AU220" s="41" t="str">
        <f aca="false">IF(AT220="","",IFERROR(MATCH(AT220,INDEX(Boundaries!$B$2:$I$30,MATCH(CP220,Boundaries!$A$2:$A$30,0),0),1)-1,""))</f>
        <v/>
      </c>
      <c r="AV220" s="42" t="str">
        <f aca="false">IF(OR(AU220="",$E220=""),"",AU220-$E220)</f>
        <v/>
      </c>
      <c r="AW220" s="39"/>
      <c r="AX220" s="40" t="str">
        <f aca="false">IF(OR(AW220="",CC220=""),"",AW220/CC220*100)</f>
        <v/>
      </c>
      <c r="AY220" s="41" t="str">
        <f aca="false">IF(AX220="","",IFERROR(MATCH(AX220,INDEX(Boundaries!$B$2:$I$30,MATCH(CQ220,Boundaries!$A$2:$A$30,0),0),1)-1,""))</f>
        <v/>
      </c>
      <c r="AZ220" s="42" t="str">
        <f aca="false">IF(OR(AY220="",$E220=""),"",AY220-$E220)</f>
        <v/>
      </c>
      <c r="BA220" s="39"/>
      <c r="BB220" s="40" t="str">
        <f aca="false">IF(OR(BA220="",CD220=""),"",BA220/CD220*100)</f>
        <v/>
      </c>
      <c r="BC220" s="41" t="str">
        <f aca="false">IF(BB220="","",IFERROR(MATCH(BB220,INDEX(Boundaries!$B$2:$I$30,MATCH(CR220,Boundaries!$A$2:$A$30,0),0),1)-1,""))</f>
        <v/>
      </c>
      <c r="BD220" s="42" t="str">
        <f aca="false">IF(OR(BC220="",$E220=""),"",BC220-$E220)</f>
        <v/>
      </c>
      <c r="BE220" s="39"/>
      <c r="BF220" s="40" t="str">
        <f aca="false">IF(OR(BE220="",CE220=""),"",BE220/CE220*100)</f>
        <v/>
      </c>
      <c r="BG220" s="41" t="str">
        <f aca="false">IF(BF220="","",IFERROR(MATCH(BF220,INDEX(Boundaries!$B$2:$I$30,MATCH(CS220,Boundaries!$A$2:$A$30,0),0),1)-1,""))</f>
        <v/>
      </c>
      <c r="BH220" s="42" t="str">
        <f aca="false">IF(OR(BG220="",$E220=""),"",BG220-$E220)</f>
        <v/>
      </c>
      <c r="BI220" s="39"/>
      <c r="BJ220" s="40" t="str">
        <f aca="false">IF(OR(BI220="",CF220=""),"",BI220/CF220*100)</f>
        <v/>
      </c>
      <c r="BK220" s="41" t="str">
        <f aca="false">IF(BJ220="","",IFERROR(MATCH(BJ220,INDEX(Boundaries!$B$2:$I$30,MATCH(CT220,Boundaries!$A$2:$A$30,0),0),1)-1,""))</f>
        <v/>
      </c>
      <c r="BL220" s="42" t="str">
        <f aca="false">IF(OR(BK220="",$E220=""),"",BK220-$E220)</f>
        <v/>
      </c>
      <c r="BM220" s="39"/>
      <c r="BN220" s="40" t="str">
        <f aca="false">IF(OR(BM220="",CG220=""),"",BM220/CG220*100)</f>
        <v/>
      </c>
      <c r="BO220" s="41" t="str">
        <f aca="false">IF(BN220="","",IFERROR(MATCH(BN220,INDEX(Boundaries!$B$2:$I$30,MATCH(CU220,Boundaries!$A$2:$A$30,0),0),1)-1,""))</f>
        <v/>
      </c>
      <c r="BP220" s="42" t="str">
        <f aca="false">IF(OR(BO220="",$E220=""),"",BO220-$E220)</f>
        <v/>
      </c>
      <c r="BQ220" s="39"/>
      <c r="BR220" s="40" t="str">
        <f aca="false">IF(OR(BQ220="",CH220=""),"",BQ220/CH220*100)</f>
        <v/>
      </c>
      <c r="BS220" s="41" t="str">
        <f aca="false">IF(BR220="","",IFERROR(MATCH(BR220,INDEX(Boundaries!$B$2:$I$30,MATCH(CV220,Boundaries!$A$2:$A$30,0),0),1)-1,""))</f>
        <v/>
      </c>
      <c r="BT220" s="42" t="str">
        <f aca="false">IF(OR(BS220="",$E220=""),"",BS220-$E220)</f>
        <v/>
      </c>
      <c r="BU220" s="28" t="n">
        <f aca="false">IFERROR(INDEX(Assessments!$H$2:$H$600,MATCH($H220&amp;"|"&amp;$I220&amp;"|"&amp;$J220&amp;"|"&amp;1,Assessments!$A$2:$A$600,0)),"")</f>
        <v>10</v>
      </c>
      <c r="BV220" s="28" t="n">
        <f aca="false">IFERROR(INDEX(Assessments!$H$2:$H$600,MATCH($H220&amp;"|"&amp;$I220&amp;"|"&amp;$J220&amp;"|"&amp;2,Assessments!$A$2:$A$600,0)),"")</f>
        <v>10</v>
      </c>
      <c r="BW220" s="28" t="n">
        <f aca="false">IFERROR(INDEX(Assessments!$H$2:$H$600,MATCH($H220&amp;"|"&amp;$I220&amp;"|"&amp;$J220&amp;"|"&amp;3,Assessments!$A$2:$A$600,0)),"")</f>
        <v>20</v>
      </c>
      <c r="BX220" s="28" t="n">
        <f aca="false">IFERROR(INDEX(Assessments!$H$2:$H$600,MATCH($H220&amp;"|"&amp;$I220&amp;"|"&amp;$J220&amp;"|"&amp;4,Assessments!$A$2:$A$600,0)),"")</f>
        <v>20</v>
      </c>
      <c r="BY220" s="28" t="n">
        <f aca="false">IFERROR(INDEX(Assessments!$H$2:$H$600,MATCH($H220&amp;"|"&amp;$I220&amp;"|"&amp;$J220&amp;"|"&amp;5,Assessments!$A$2:$A$600,0)),"")</f>
        <v>50</v>
      </c>
      <c r="BZ220" s="28" t="str">
        <f aca="false">IFERROR(INDEX(Assessments!$H$2:$H$600,MATCH($H220&amp;"|"&amp;$I220&amp;"|"&amp;$J220&amp;"|"&amp;6,Assessments!$A$2:$A$600,0)),"")</f>
        <v/>
      </c>
      <c r="CA220" s="28" t="str">
        <f aca="false">IFERROR(INDEX(Assessments!$H$2:$H$600,MATCH($H220&amp;"|"&amp;$I220&amp;"|"&amp;$J220&amp;"|"&amp;7,Assessments!$A$2:$A$600,0)),"")</f>
        <v/>
      </c>
      <c r="CB220" s="28" t="str">
        <f aca="false">IFERROR(INDEX(Assessments!$H$2:$H$600,MATCH($H220&amp;"|"&amp;$I220&amp;"|"&amp;$J220&amp;"|"&amp;8,Assessments!$A$2:$A$600,0)),"")</f>
        <v/>
      </c>
      <c r="CC220" s="28" t="str">
        <f aca="false">IFERROR(INDEX(Assessments!$H$2:$H$600,MATCH($H220&amp;"|"&amp;$I220&amp;"|"&amp;$J220&amp;"|"&amp;9,Assessments!$A$2:$A$600,0)),"")</f>
        <v/>
      </c>
      <c r="CD220" s="28" t="str">
        <f aca="false">IFERROR(INDEX(Assessments!$H$2:$H$600,MATCH($H220&amp;"|"&amp;$I220&amp;"|"&amp;$J220&amp;"|"&amp;10,Assessments!$A$2:$A$600,0)),"")</f>
        <v/>
      </c>
      <c r="CE220" s="28" t="str">
        <f aca="false">IFERROR(INDEX(Assessments!$H$2:$H$600,MATCH($H220&amp;"|"&amp;$I220&amp;"|"&amp;$J220&amp;"|"&amp;11,Assessments!$A$2:$A$600,0)),"")</f>
        <v/>
      </c>
      <c r="CF220" s="28" t="str">
        <f aca="false">IFERROR(INDEX(Assessments!$H$2:$H$600,MATCH($H220&amp;"|"&amp;$I220&amp;"|"&amp;$J220&amp;"|"&amp;12,Assessments!$A$2:$A$600,0)),"")</f>
        <v/>
      </c>
      <c r="CG220" s="28" t="str">
        <f aca="false">IFERROR(INDEX(Assessments!$H$2:$H$600,MATCH($H220&amp;"|"&amp;$I220&amp;"|"&amp;$J220&amp;"|"&amp;13,Assessments!$A$2:$A$600,0)),"")</f>
        <v/>
      </c>
      <c r="CH220" s="28" t="str">
        <f aca="false">IFERROR(INDEX(Assessments!$H$2:$H$600,MATCH($H220&amp;"|"&amp;$I220&amp;"|"&amp;$J220&amp;"|"&amp;14,Assessments!$A$2:$A$600,0)),"")</f>
        <v/>
      </c>
      <c r="CI220" s="28" t="str">
        <f aca="false">IFERROR(INDEX(Assessments!$I$2:$I$600,MATCH($H220&amp;"|"&amp;$I220&amp;"|"&amp;$J220&amp;"|"&amp;1,Assessments!$A$2:$A$600,0)),"")</f>
        <v>Geog Paper 2</v>
      </c>
      <c r="CJ220" s="28" t="str">
        <f aca="false">IFERROR(INDEX(Assessments!$I$2:$I$600,MATCH($H220&amp;"|"&amp;$I220&amp;"|"&amp;$J220&amp;"|"&amp;2,Assessments!$A$2:$A$600,0)),"")</f>
        <v>Geog Paper 2</v>
      </c>
      <c r="CK220" s="28" t="str">
        <f aca="false">IFERROR(INDEX(Assessments!$I$2:$I$600,MATCH($H220&amp;"|"&amp;$I220&amp;"|"&amp;$J220&amp;"|"&amp;3,Assessments!$A$2:$A$600,0)),"")</f>
        <v>Geog Paper 1</v>
      </c>
      <c r="CL220" s="28" t="str">
        <f aca="false">IFERROR(INDEX(Assessments!$I$2:$I$600,MATCH($H220&amp;"|"&amp;$I220&amp;"|"&amp;$J220&amp;"|"&amp;4,Assessments!$A$2:$A$600,0)),"")</f>
        <v>Geog Paper 1</v>
      </c>
      <c r="CM220" s="28" t="str">
        <f aca="false">IFERROR(INDEX(Assessments!$I$2:$I$600,MATCH($H220&amp;"|"&amp;$I220&amp;"|"&amp;$J220&amp;"|"&amp;5,Assessments!$A$2:$A$600,0)),"")</f>
        <v>Geog Paper 2</v>
      </c>
      <c r="CN220" s="28" t="str">
        <f aca="false">IFERROR(INDEX(Assessments!$I$2:$I$600,MATCH($H220&amp;"|"&amp;$I220&amp;"|"&amp;$J220&amp;"|"&amp;6,Assessments!$A$2:$A$600,0)),"")</f>
        <v/>
      </c>
      <c r="CO220" s="28" t="str">
        <f aca="false">IFERROR(INDEX(Assessments!$I$2:$I$600,MATCH($H220&amp;"|"&amp;$I220&amp;"|"&amp;$J220&amp;"|"&amp;7,Assessments!$A$2:$A$600,0)),"")</f>
        <v/>
      </c>
      <c r="CP220" s="28" t="str">
        <f aca="false">IFERROR(INDEX(Assessments!$I$2:$I$600,MATCH($H220&amp;"|"&amp;$I220&amp;"|"&amp;$J220&amp;"|"&amp;8,Assessments!$A$2:$A$600,0)),"")</f>
        <v/>
      </c>
      <c r="CQ220" s="28" t="str">
        <f aca="false">IFERROR(INDEX(Assessments!$I$2:$I$600,MATCH($H220&amp;"|"&amp;$I220&amp;"|"&amp;$J220&amp;"|"&amp;9,Assessments!$A$2:$A$600,0)),"")</f>
        <v/>
      </c>
      <c r="CR220" s="28" t="str">
        <f aca="false">IFERROR(INDEX(Assessments!$I$2:$I$600,MATCH($H220&amp;"|"&amp;$I220&amp;"|"&amp;$J220&amp;"|"&amp;10,Assessments!$A$2:$A$600,0)),"")</f>
        <v/>
      </c>
      <c r="CS220" s="28" t="str">
        <f aca="false">IFERROR(INDEX(Assessments!$I$2:$I$600,MATCH($H220&amp;"|"&amp;$I220&amp;"|"&amp;$J220&amp;"|"&amp;11,Assessments!$A$2:$A$600,0)),"")</f>
        <v/>
      </c>
      <c r="CT220" s="28" t="str">
        <f aca="false">IFERROR(INDEX(Assessments!$I$2:$I$600,MATCH($H220&amp;"|"&amp;$I220&amp;"|"&amp;$J220&amp;"|"&amp;12,Assessments!$A$2:$A$600,0)),"")</f>
        <v/>
      </c>
      <c r="CU220" s="28" t="str">
        <f aca="false">IFERROR(INDEX(Assessments!$I$2:$I$600,MATCH($H220&amp;"|"&amp;$I220&amp;"|"&amp;$J220&amp;"|"&amp;13,Assessments!$A$2:$A$600,0)),"")</f>
        <v/>
      </c>
      <c r="CV220" s="28" t="str">
        <f aca="false">IFERROR(INDEX(Assessments!$I$2:$I$600,MATCH($H220&amp;"|"&amp;$I220&amp;"|"&amp;$J220&amp;"|"&amp;14,Assessments!$A$2:$A$600,0)),"")</f>
        <v/>
      </c>
      <c r="CW220" s="28" t="n">
        <f aca="false">IFERROR(INDEX(Assessments!$J$2:$J$600,MATCH($H220&amp;"|"&amp;$I220&amp;"|"&amp;$J220&amp;"|"&amp;1,Assessments!$A$2:$A$600,0)),0)</f>
        <v>1</v>
      </c>
      <c r="CX220" s="28" t="n">
        <f aca="false">IFERROR(INDEX(Assessments!$J$2:$J$600,MATCH($H220&amp;"|"&amp;$I220&amp;"|"&amp;$J220&amp;"|"&amp;2,Assessments!$A$2:$A$600,0)),0)</f>
        <v>1</v>
      </c>
      <c r="CY220" s="28" t="n">
        <f aca="false">IFERROR(INDEX(Assessments!$J$2:$J$600,MATCH($H220&amp;"|"&amp;$I220&amp;"|"&amp;$J220&amp;"|"&amp;3,Assessments!$A$2:$A$600,0)),0)</f>
        <v>1</v>
      </c>
      <c r="CZ220" s="28" t="n">
        <f aca="false">IFERROR(INDEX(Assessments!$J$2:$J$600,MATCH($H220&amp;"|"&amp;$I220&amp;"|"&amp;$J220&amp;"|"&amp;4,Assessments!$A$2:$A$600,0)),0)</f>
        <v>2</v>
      </c>
      <c r="DA220" s="28" t="n">
        <f aca="false">IFERROR(INDEX(Assessments!$J$2:$J$600,MATCH($H220&amp;"|"&amp;$I220&amp;"|"&amp;$J220&amp;"|"&amp;5,Assessments!$A$2:$A$600,0)),0)</f>
        <v>2</v>
      </c>
      <c r="DB220" s="28" t="n">
        <f aca="false">IFERROR(INDEX(Assessments!$J$2:$J$600,MATCH($H220&amp;"|"&amp;$I220&amp;"|"&amp;$J220&amp;"|"&amp;6,Assessments!$A$2:$A$600,0)),0)</f>
        <v>0</v>
      </c>
      <c r="DC220" s="28" t="n">
        <f aca="false">IFERROR(INDEX(Assessments!$J$2:$J$600,MATCH($H220&amp;"|"&amp;$I220&amp;"|"&amp;$J220&amp;"|"&amp;7,Assessments!$A$2:$A$600,0)),0)</f>
        <v>0</v>
      </c>
      <c r="DD220" s="28" t="n">
        <f aca="false">IFERROR(INDEX(Assessments!$J$2:$J$600,MATCH($H220&amp;"|"&amp;$I220&amp;"|"&amp;$J220&amp;"|"&amp;8,Assessments!$A$2:$A$600,0)),0)</f>
        <v>0</v>
      </c>
      <c r="DE220" s="28" t="n">
        <f aca="false">IFERROR(INDEX(Assessments!$J$2:$J$600,MATCH($H220&amp;"|"&amp;$I220&amp;"|"&amp;$J220&amp;"|"&amp;9,Assessments!$A$2:$A$600,0)),0)</f>
        <v>0</v>
      </c>
      <c r="DF220" s="28" t="n">
        <f aca="false">IFERROR(INDEX(Assessments!$J$2:$J$600,MATCH($H220&amp;"|"&amp;$I220&amp;"|"&amp;$J220&amp;"|"&amp;10,Assessments!$A$2:$A$600,0)),0)</f>
        <v>0</v>
      </c>
      <c r="DG220" s="28" t="n">
        <f aca="false">IFERROR(INDEX(Assessments!$J$2:$J$600,MATCH($H220&amp;"|"&amp;$I220&amp;"|"&amp;$J220&amp;"|"&amp;11,Assessments!$A$2:$A$600,0)),0)</f>
        <v>0</v>
      </c>
      <c r="DH220" s="28" t="n">
        <f aca="false">IFERROR(INDEX(Assessments!$J$2:$J$600,MATCH($H220&amp;"|"&amp;$I220&amp;"|"&amp;$J220&amp;"|"&amp;12,Assessments!$A$2:$A$600,0)),0)</f>
        <v>0</v>
      </c>
      <c r="DI220" s="28" t="n">
        <f aca="false">IFERROR(INDEX(Assessments!$J$2:$J$600,MATCH($H220&amp;"|"&amp;$I220&amp;"|"&amp;$J220&amp;"|"&amp;13,Assessments!$A$2:$A$600,0)),0)</f>
        <v>0</v>
      </c>
      <c r="DJ220" s="28" t="n">
        <f aca="false">IFERROR(INDEX(Assessments!$J$2:$J$600,MATCH($H220&amp;"|"&amp;$I220&amp;"|"&amp;$J220&amp;"|"&amp;14,Assessments!$A$2:$A$600,0)),0)</f>
        <v>0</v>
      </c>
      <c r="DK220" s="28" t="str">
        <f aca="false">S220</f>
        <v/>
      </c>
      <c r="DL220" s="28" t="str">
        <f aca="false">W220</f>
        <v/>
      </c>
      <c r="DM220" s="28" t="str">
        <f aca="false">AA220</f>
        <v/>
      </c>
      <c r="DN220" s="28" t="str">
        <f aca="false">AE220</f>
        <v/>
      </c>
      <c r="DO220" s="28" t="str">
        <f aca="false">AI220</f>
        <v/>
      </c>
      <c r="DP220" s="28" t="str">
        <f aca="false">AM220</f>
        <v/>
      </c>
      <c r="DQ220" s="28" t="str">
        <f aca="false">AQ220</f>
        <v/>
      </c>
      <c r="DR220" s="28" t="str">
        <f aca="false">AU220</f>
        <v/>
      </c>
      <c r="DS220" s="28" t="str">
        <f aca="false">AY220</f>
        <v/>
      </c>
      <c r="DT220" s="28" t="str">
        <f aca="false">BC220</f>
        <v/>
      </c>
      <c r="DU220" s="28" t="str">
        <f aca="false">BG220</f>
        <v/>
      </c>
      <c r="DV220" s="28" t="str">
        <f aca="false">BK220</f>
        <v/>
      </c>
      <c r="DW220" s="28" t="str">
        <f aca="false">BO220</f>
        <v/>
      </c>
      <c r="DX220" s="28" t="str">
        <f aca="false">BS220</f>
        <v/>
      </c>
      <c r="DY220" s="28" t="str">
        <f aca="false">IF(ISNUMBER(S220),1,"")</f>
        <v/>
      </c>
      <c r="DZ220" s="28" t="str">
        <f aca="false">IF(ISNUMBER(W220),2,"")</f>
        <v/>
      </c>
      <c r="EA220" s="28" t="str">
        <f aca="false">IF(ISNUMBER(AA220),3,"")</f>
        <v/>
      </c>
      <c r="EB220" s="28" t="str">
        <f aca="false">IF(ISNUMBER(AE220),4,"")</f>
        <v/>
      </c>
      <c r="EC220" s="28" t="str">
        <f aca="false">IF(ISNUMBER(AI220),5,"")</f>
        <v/>
      </c>
      <c r="ED220" s="28" t="str">
        <f aca="false">IF(ISNUMBER(AM220),6,"")</f>
        <v/>
      </c>
      <c r="EE220" s="28" t="str">
        <f aca="false">IF(ISNUMBER(AQ220),7,"")</f>
        <v/>
      </c>
      <c r="EF220" s="28" t="str">
        <f aca="false">IF(ISNUMBER(AU220),8,"")</f>
        <v/>
      </c>
      <c r="EG220" s="28" t="str">
        <f aca="false">IF(ISNUMBER(AY220),9,"")</f>
        <v/>
      </c>
      <c r="EH220" s="28" t="str">
        <f aca="false">IF(ISNUMBER(BC220),10,"")</f>
        <v/>
      </c>
      <c r="EI220" s="28" t="str">
        <f aca="false">IF(ISNUMBER(BG220),11,"")</f>
        <v/>
      </c>
      <c r="EJ220" s="28" t="str">
        <f aca="false">IF(ISNUMBER(BK220),12,"")</f>
        <v/>
      </c>
      <c r="EK220" s="28" t="str">
        <f aca="false">IF(ISNUMBER(BO220),13,"")</f>
        <v/>
      </c>
      <c r="EL220" s="28" t="str">
        <f aca="false">IF(ISNUMBER(BS220),14,"")</f>
        <v/>
      </c>
      <c r="EM220" s="28" t="n">
        <f aca="false">IF(ISNUMBER(R220),R220*CW220,0)</f>
        <v>0</v>
      </c>
      <c r="EN220" s="28" t="n">
        <f aca="false">IF(ISNUMBER(V220),V220*CX220,0)</f>
        <v>0</v>
      </c>
      <c r="EO220" s="28" t="n">
        <f aca="false">IF(ISNUMBER(Z220),Z220*CY220,0)</f>
        <v>0</v>
      </c>
      <c r="EP220" s="28" t="n">
        <f aca="false">IF(ISNUMBER(AD220),AD220*CZ220,0)</f>
        <v>0</v>
      </c>
      <c r="EQ220" s="28" t="n">
        <f aca="false">IF(ISNUMBER(AH220),AH220*DA220,0)</f>
        <v>0</v>
      </c>
      <c r="ER220" s="28" t="n">
        <f aca="false">IF(ISNUMBER(AL220),AL220*DB220,0)</f>
        <v>0</v>
      </c>
      <c r="ES220" s="28" t="n">
        <f aca="false">IF(ISNUMBER(AP220),AP220*DC220,0)</f>
        <v>0</v>
      </c>
      <c r="ET220" s="28" t="n">
        <f aca="false">IF(ISNUMBER(AT220),AT220*DD220,0)</f>
        <v>0</v>
      </c>
      <c r="EU220" s="28" t="n">
        <f aca="false">IF(ISNUMBER(AX220),AX220*DE220,0)</f>
        <v>0</v>
      </c>
      <c r="EV220" s="28" t="n">
        <f aca="false">IF(ISNUMBER(BB220),BB220*DF220,0)</f>
        <v>0</v>
      </c>
      <c r="EW220" s="28" t="n">
        <f aca="false">IF(ISNUMBER(BF220),BF220*DG220,0)</f>
        <v>0</v>
      </c>
      <c r="EX220" s="28" t="n">
        <f aca="false">IF(ISNUMBER(BJ220),BJ220*DH220,0)</f>
        <v>0</v>
      </c>
      <c r="EY220" s="28" t="n">
        <f aca="false">IF(ISNUMBER(BN220),BN220*DI220,0)</f>
        <v>0</v>
      </c>
      <c r="EZ220" s="28" t="n">
        <f aca="false">IF(ISNUMBER(BR220),BR220*DJ220,0)</f>
        <v>0</v>
      </c>
      <c r="FA220" s="28" t="n">
        <f aca="false">IF(ISNUMBER(R220),CW220,0)</f>
        <v>0</v>
      </c>
      <c r="FB220" s="28" t="n">
        <f aca="false">IF(ISNUMBER(V220),CX220,0)</f>
        <v>0</v>
      </c>
      <c r="FC220" s="28" t="n">
        <f aca="false">IF(ISNUMBER(Z220),CY220,0)</f>
        <v>0</v>
      </c>
      <c r="FD220" s="28" t="n">
        <f aca="false">IF(ISNUMBER(AD220),CZ220,0)</f>
        <v>0</v>
      </c>
      <c r="FE220" s="28" t="n">
        <f aca="false">IF(ISNUMBER(AH220),DA220,0)</f>
        <v>0</v>
      </c>
      <c r="FF220" s="28" t="n">
        <f aca="false">IF(ISNUMBER(AL220),DB220,0)</f>
        <v>0</v>
      </c>
      <c r="FG220" s="28" t="n">
        <f aca="false">IF(ISNUMBER(AP220),DC220,0)</f>
        <v>0</v>
      </c>
      <c r="FH220" s="28" t="n">
        <f aca="false">IF(ISNUMBER(AT220),DD220,0)</f>
        <v>0</v>
      </c>
      <c r="FI220" s="28" t="n">
        <f aca="false">IF(ISNUMBER(AX220),DE220,0)</f>
        <v>0</v>
      </c>
      <c r="FJ220" s="28" t="n">
        <f aca="false">IF(ISNUMBER(BB220),DF220,0)</f>
        <v>0</v>
      </c>
      <c r="FK220" s="28" t="n">
        <f aca="false">IF(ISNUMBER(BF220),DG220,0)</f>
        <v>0</v>
      </c>
      <c r="FL220" s="28" t="n">
        <f aca="false">IF(ISNUMBER(BJ220),DH220,0)</f>
        <v>0</v>
      </c>
      <c r="FM220" s="28" t="n">
        <f aca="false">IF(ISNUMBER(BN220),DI220,0)</f>
        <v>0</v>
      </c>
      <c r="FN220" s="28" t="n">
        <f aca="false">IF(ISNUMBER(BR220),DJ220,0)</f>
        <v>0</v>
      </c>
      <c r="FO220" s="28" t="str">
        <f aca="false">IFERROR(INDEX(Lists!$G$2:$G$20,MATCH($I220&amp;"|"&amp;$J220,Lists!$F$2:$F$20,0)),"")</f>
        <v>Geog Overall SL</v>
      </c>
    </row>
    <row r="221" customFormat="false" ht="19.5" hidden="false" customHeight="true" outlineLevel="0" collapsed="false">
      <c r="A221" s="29"/>
      <c r="B221" s="29" t="s">
        <v>472</v>
      </c>
      <c r="C221" s="30" t="s">
        <v>192</v>
      </c>
      <c r="D221" s="30" t="s">
        <v>177</v>
      </c>
      <c r="E221" s="31"/>
      <c r="F221" s="30"/>
      <c r="G221" s="30"/>
      <c r="H221" s="32" t="s">
        <v>428</v>
      </c>
      <c r="I221" s="33" t="s">
        <v>24</v>
      </c>
      <c r="J221" s="32" t="s">
        <v>223</v>
      </c>
      <c r="K221" s="34" t="str">
        <f aca="false">IF(OR(M221="",$E221=""),"",M221-$E221)</f>
        <v/>
      </c>
      <c r="L221" s="35" t="n">
        <f aca="false">IF(SUM(FA221:FN221)=0,"",SUM(EM221:EZ221)/SUM(FA221:FN221))</f>
        <v>100</v>
      </c>
      <c r="M221" s="36" t="n">
        <f aca="false">IF(OR(L221="",FO221=""),"",IFERROR(MATCH(L221,INDEX(Boundaries!$B$2:$I$30,MATCH(FO221,Boundaries!$A$2:$A$30,0),0),1)-1,""))</f>
        <v>7</v>
      </c>
      <c r="N221" s="37" t="str">
        <f aca="false">IF(COUNT($DY221:$EL221)&lt;2,"",INDEX($DK221:$DX221,MAX($DY221:$EL221))-INDEX($DK221:$DX221,MIN($DY221:$EL221)))</f>
        <v/>
      </c>
      <c r="O221" s="37" t="str">
        <f aca="false">IF(COUNT($DY221:$EL221)&lt;2,"",INDEX($DK221:$DX221,MAX($DY221:$EL221))-INDEX($DK221:$DX221,LARGE($DY221:$EL221,2)))</f>
        <v/>
      </c>
      <c r="P221" s="38" t="str">
        <f aca="false">IF(K221="","",IF(K221&gt;=0,"On/above target",IF(AND(N221&lt;&gt;"",N221&gt;=0.5),"Improving towards target",IF(AND(O221&lt;&gt;"",O221&lt;=-0.5),"Declining","Stable below target"))))</f>
        <v/>
      </c>
      <c r="Q221" s="39" t="n">
        <v>10</v>
      </c>
      <c r="R221" s="40" t="n">
        <f aca="false">IF(OR(Q221="",BU221=""),"",Q221/BU221*100)</f>
        <v>100</v>
      </c>
      <c r="S221" s="41" t="n">
        <f aca="false">IF(R221="","",IFERROR(MATCH(R221,INDEX(Boundaries!$B$2:$I$30,MATCH(CI221,Boundaries!$A$2:$A$30,0),0),1)-1,""))</f>
        <v>7</v>
      </c>
      <c r="T221" s="42" t="str">
        <f aca="false">IF(OR(S221="",$E221=""),"",S221-$E221)</f>
        <v/>
      </c>
      <c r="U221" s="39"/>
      <c r="V221" s="40" t="str">
        <f aca="false">IF(OR(U221="",BV221=""),"",U221/BV221*100)</f>
        <v/>
      </c>
      <c r="W221" s="41" t="str">
        <f aca="false">IF(V221="","",IFERROR(MATCH(V221,INDEX(Boundaries!$B$2:$I$30,MATCH(CJ221,Boundaries!$A$2:$A$30,0),0),1)-1,""))</f>
        <v/>
      </c>
      <c r="X221" s="42" t="str">
        <f aca="false">IF(OR(W221="",$E221=""),"",W221-$E221)</f>
        <v/>
      </c>
      <c r="Y221" s="39"/>
      <c r="Z221" s="40" t="str">
        <f aca="false">IF(OR(Y221="",BW221=""),"",Y221/BW221*100)</f>
        <v/>
      </c>
      <c r="AA221" s="41" t="str">
        <f aca="false">IF(Z221="","",IFERROR(MATCH(Z221,INDEX(Boundaries!$B$2:$I$30,MATCH(CK221,Boundaries!$A$2:$A$30,0),0),1)-1,""))</f>
        <v/>
      </c>
      <c r="AB221" s="42" t="str">
        <f aca="false">IF(OR(AA221="",$E221=""),"",AA221-$E221)</f>
        <v/>
      </c>
      <c r="AC221" s="39"/>
      <c r="AD221" s="40" t="str">
        <f aca="false">IF(OR(AC221="",BX221=""),"",AC221/BX221*100)</f>
        <v/>
      </c>
      <c r="AE221" s="41" t="str">
        <f aca="false">IF(AD221="","",IFERROR(MATCH(AD221,INDEX(Boundaries!$B$2:$I$30,MATCH(CL221,Boundaries!$A$2:$A$30,0),0),1)-1,""))</f>
        <v/>
      </c>
      <c r="AF221" s="42" t="str">
        <f aca="false">IF(OR(AE221="",$E221=""),"",AE221-$E221)</f>
        <v/>
      </c>
      <c r="AG221" s="39"/>
      <c r="AH221" s="40" t="str">
        <f aca="false">IF(OR(AG221="",BY221=""),"",AG221/BY221*100)</f>
        <v/>
      </c>
      <c r="AI221" s="41" t="str">
        <f aca="false">IF(AH221="","",IFERROR(MATCH(AH221,INDEX(Boundaries!$B$2:$I$30,MATCH(CM221,Boundaries!$A$2:$A$30,0),0),1)-1,""))</f>
        <v/>
      </c>
      <c r="AJ221" s="42" t="str">
        <f aca="false">IF(OR(AI221="",$E221=""),"",AI221-$E221)</f>
        <v/>
      </c>
      <c r="AK221" s="39"/>
      <c r="AL221" s="40" t="str">
        <f aca="false">IF(OR(AK221="",BZ221=""),"",AK221/BZ221*100)</f>
        <v/>
      </c>
      <c r="AM221" s="41" t="str">
        <f aca="false">IF(AL221="","",IFERROR(MATCH(AL221,INDEX(Boundaries!$B$2:$I$30,MATCH(CN221,Boundaries!$A$2:$A$30,0),0),1)-1,""))</f>
        <v/>
      </c>
      <c r="AN221" s="42" t="str">
        <f aca="false">IF(OR(AM221="",$E221=""),"",AM221-$E221)</f>
        <v/>
      </c>
      <c r="AO221" s="39"/>
      <c r="AP221" s="40" t="str">
        <f aca="false">IF(OR(AO221="",CA221=""),"",AO221/CA221*100)</f>
        <v/>
      </c>
      <c r="AQ221" s="41" t="str">
        <f aca="false">IF(AP221="","",IFERROR(MATCH(AP221,INDEX(Boundaries!$B$2:$I$30,MATCH(CO221,Boundaries!$A$2:$A$30,0),0),1)-1,""))</f>
        <v/>
      </c>
      <c r="AR221" s="42" t="str">
        <f aca="false">IF(OR(AQ221="",$E221=""),"",AQ221-$E221)</f>
        <v/>
      </c>
      <c r="AS221" s="39"/>
      <c r="AT221" s="40" t="str">
        <f aca="false">IF(OR(AS221="",CB221=""),"",AS221/CB221*100)</f>
        <v/>
      </c>
      <c r="AU221" s="41" t="str">
        <f aca="false">IF(AT221="","",IFERROR(MATCH(AT221,INDEX(Boundaries!$B$2:$I$30,MATCH(CP221,Boundaries!$A$2:$A$30,0),0),1)-1,""))</f>
        <v/>
      </c>
      <c r="AV221" s="42" t="str">
        <f aca="false">IF(OR(AU221="",$E221=""),"",AU221-$E221)</f>
        <v/>
      </c>
      <c r="AW221" s="39"/>
      <c r="AX221" s="40" t="str">
        <f aca="false">IF(OR(AW221="",CC221=""),"",AW221/CC221*100)</f>
        <v/>
      </c>
      <c r="AY221" s="41" t="str">
        <f aca="false">IF(AX221="","",IFERROR(MATCH(AX221,INDEX(Boundaries!$B$2:$I$30,MATCH(CQ221,Boundaries!$A$2:$A$30,0),0),1)-1,""))</f>
        <v/>
      </c>
      <c r="AZ221" s="42" t="str">
        <f aca="false">IF(OR(AY221="",$E221=""),"",AY221-$E221)</f>
        <v/>
      </c>
      <c r="BA221" s="39"/>
      <c r="BB221" s="40" t="str">
        <f aca="false">IF(OR(BA221="",CD221=""),"",BA221/CD221*100)</f>
        <v/>
      </c>
      <c r="BC221" s="41" t="str">
        <f aca="false">IF(BB221="","",IFERROR(MATCH(BB221,INDEX(Boundaries!$B$2:$I$30,MATCH(CR221,Boundaries!$A$2:$A$30,0),0),1)-1,""))</f>
        <v/>
      </c>
      <c r="BD221" s="42" t="str">
        <f aca="false">IF(OR(BC221="",$E221=""),"",BC221-$E221)</f>
        <v/>
      </c>
      <c r="BE221" s="39"/>
      <c r="BF221" s="40" t="str">
        <f aca="false">IF(OR(BE221="",CE221=""),"",BE221/CE221*100)</f>
        <v/>
      </c>
      <c r="BG221" s="41" t="str">
        <f aca="false">IF(BF221="","",IFERROR(MATCH(BF221,INDEX(Boundaries!$B$2:$I$30,MATCH(CS221,Boundaries!$A$2:$A$30,0),0),1)-1,""))</f>
        <v/>
      </c>
      <c r="BH221" s="42" t="str">
        <f aca="false">IF(OR(BG221="",$E221=""),"",BG221-$E221)</f>
        <v/>
      </c>
      <c r="BI221" s="39"/>
      <c r="BJ221" s="40" t="str">
        <f aca="false">IF(OR(BI221="",CF221=""),"",BI221/CF221*100)</f>
        <v/>
      </c>
      <c r="BK221" s="41" t="str">
        <f aca="false">IF(BJ221="","",IFERROR(MATCH(BJ221,INDEX(Boundaries!$B$2:$I$30,MATCH(CT221,Boundaries!$A$2:$A$30,0),0),1)-1,""))</f>
        <v/>
      </c>
      <c r="BL221" s="42" t="str">
        <f aca="false">IF(OR(BK221="",$E221=""),"",BK221-$E221)</f>
        <v/>
      </c>
      <c r="BM221" s="39"/>
      <c r="BN221" s="40" t="str">
        <f aca="false">IF(OR(BM221="",CG221=""),"",BM221/CG221*100)</f>
        <v/>
      </c>
      <c r="BO221" s="41" t="str">
        <f aca="false">IF(BN221="","",IFERROR(MATCH(BN221,INDEX(Boundaries!$B$2:$I$30,MATCH(CU221,Boundaries!$A$2:$A$30,0),0),1)-1,""))</f>
        <v/>
      </c>
      <c r="BP221" s="42" t="str">
        <f aca="false">IF(OR(BO221="",$E221=""),"",BO221-$E221)</f>
        <v/>
      </c>
      <c r="BQ221" s="39"/>
      <c r="BR221" s="40" t="str">
        <f aca="false">IF(OR(BQ221="",CH221=""),"",BQ221/CH221*100)</f>
        <v/>
      </c>
      <c r="BS221" s="41" t="str">
        <f aca="false">IF(BR221="","",IFERROR(MATCH(BR221,INDEX(Boundaries!$B$2:$I$30,MATCH(CV221,Boundaries!$A$2:$A$30,0),0),1)-1,""))</f>
        <v/>
      </c>
      <c r="BT221" s="42" t="str">
        <f aca="false">IF(OR(BS221="",$E221=""),"",BS221-$E221)</f>
        <v/>
      </c>
      <c r="BU221" s="28" t="n">
        <f aca="false">IFERROR(INDEX(Assessments!$H$2:$H$600,MATCH($H221&amp;"|"&amp;$I221&amp;"|"&amp;$J221&amp;"|"&amp;1,Assessments!$A$2:$A$600,0)),"")</f>
        <v>10</v>
      </c>
      <c r="BV221" s="28" t="n">
        <f aca="false">IFERROR(INDEX(Assessments!$H$2:$H$600,MATCH($H221&amp;"|"&amp;$I221&amp;"|"&amp;$J221&amp;"|"&amp;2,Assessments!$A$2:$A$600,0)),"")</f>
        <v>10</v>
      </c>
      <c r="BW221" s="28" t="n">
        <f aca="false">IFERROR(INDEX(Assessments!$H$2:$H$600,MATCH($H221&amp;"|"&amp;$I221&amp;"|"&amp;$J221&amp;"|"&amp;3,Assessments!$A$2:$A$600,0)),"")</f>
        <v>20</v>
      </c>
      <c r="BX221" s="28" t="n">
        <f aca="false">IFERROR(INDEX(Assessments!$H$2:$H$600,MATCH($H221&amp;"|"&amp;$I221&amp;"|"&amp;$J221&amp;"|"&amp;4,Assessments!$A$2:$A$600,0)),"")</f>
        <v>20</v>
      </c>
      <c r="BY221" s="28" t="n">
        <f aca="false">IFERROR(INDEX(Assessments!$H$2:$H$600,MATCH($H221&amp;"|"&amp;$I221&amp;"|"&amp;$J221&amp;"|"&amp;5,Assessments!$A$2:$A$600,0)),"")</f>
        <v>50</v>
      </c>
      <c r="BZ221" s="28" t="str">
        <f aca="false">IFERROR(INDEX(Assessments!$H$2:$H$600,MATCH($H221&amp;"|"&amp;$I221&amp;"|"&amp;$J221&amp;"|"&amp;6,Assessments!$A$2:$A$600,0)),"")</f>
        <v/>
      </c>
      <c r="CA221" s="28" t="str">
        <f aca="false">IFERROR(INDEX(Assessments!$H$2:$H$600,MATCH($H221&amp;"|"&amp;$I221&amp;"|"&amp;$J221&amp;"|"&amp;7,Assessments!$A$2:$A$600,0)),"")</f>
        <v/>
      </c>
      <c r="CB221" s="28" t="str">
        <f aca="false">IFERROR(INDEX(Assessments!$H$2:$H$600,MATCH($H221&amp;"|"&amp;$I221&amp;"|"&amp;$J221&amp;"|"&amp;8,Assessments!$A$2:$A$600,0)),"")</f>
        <v/>
      </c>
      <c r="CC221" s="28" t="str">
        <f aca="false">IFERROR(INDEX(Assessments!$H$2:$H$600,MATCH($H221&amp;"|"&amp;$I221&amp;"|"&amp;$J221&amp;"|"&amp;9,Assessments!$A$2:$A$600,0)),"")</f>
        <v/>
      </c>
      <c r="CD221" s="28" t="str">
        <f aca="false">IFERROR(INDEX(Assessments!$H$2:$H$600,MATCH($H221&amp;"|"&amp;$I221&amp;"|"&amp;$J221&amp;"|"&amp;10,Assessments!$A$2:$A$600,0)),"")</f>
        <v/>
      </c>
      <c r="CE221" s="28" t="str">
        <f aca="false">IFERROR(INDEX(Assessments!$H$2:$H$600,MATCH($H221&amp;"|"&amp;$I221&amp;"|"&amp;$J221&amp;"|"&amp;11,Assessments!$A$2:$A$600,0)),"")</f>
        <v/>
      </c>
      <c r="CF221" s="28" t="str">
        <f aca="false">IFERROR(INDEX(Assessments!$H$2:$H$600,MATCH($H221&amp;"|"&amp;$I221&amp;"|"&amp;$J221&amp;"|"&amp;12,Assessments!$A$2:$A$600,0)),"")</f>
        <v/>
      </c>
      <c r="CG221" s="28" t="str">
        <f aca="false">IFERROR(INDEX(Assessments!$H$2:$H$600,MATCH($H221&amp;"|"&amp;$I221&amp;"|"&amp;$J221&amp;"|"&amp;13,Assessments!$A$2:$A$600,0)),"")</f>
        <v/>
      </c>
      <c r="CH221" s="28" t="str">
        <f aca="false">IFERROR(INDEX(Assessments!$H$2:$H$600,MATCH($H221&amp;"|"&amp;$I221&amp;"|"&amp;$J221&amp;"|"&amp;14,Assessments!$A$2:$A$600,0)),"")</f>
        <v/>
      </c>
      <c r="CI221" s="28" t="str">
        <f aca="false">IFERROR(INDEX(Assessments!$I$2:$I$600,MATCH($H221&amp;"|"&amp;$I221&amp;"|"&amp;$J221&amp;"|"&amp;1,Assessments!$A$2:$A$600,0)),"")</f>
        <v>Geog Paper 2</v>
      </c>
      <c r="CJ221" s="28" t="str">
        <f aca="false">IFERROR(INDEX(Assessments!$I$2:$I$600,MATCH($H221&amp;"|"&amp;$I221&amp;"|"&amp;$J221&amp;"|"&amp;2,Assessments!$A$2:$A$600,0)),"")</f>
        <v>Geog Paper 2</v>
      </c>
      <c r="CK221" s="28" t="str">
        <f aca="false">IFERROR(INDEX(Assessments!$I$2:$I$600,MATCH($H221&amp;"|"&amp;$I221&amp;"|"&amp;$J221&amp;"|"&amp;3,Assessments!$A$2:$A$600,0)),"")</f>
        <v>Geog Paper 1</v>
      </c>
      <c r="CL221" s="28" t="str">
        <f aca="false">IFERROR(INDEX(Assessments!$I$2:$I$600,MATCH($H221&amp;"|"&amp;$I221&amp;"|"&amp;$J221&amp;"|"&amp;4,Assessments!$A$2:$A$600,0)),"")</f>
        <v>Geog Paper 1</v>
      </c>
      <c r="CM221" s="28" t="str">
        <f aca="false">IFERROR(INDEX(Assessments!$I$2:$I$600,MATCH($H221&amp;"|"&amp;$I221&amp;"|"&amp;$J221&amp;"|"&amp;5,Assessments!$A$2:$A$600,0)),"")</f>
        <v>Geog Paper 2</v>
      </c>
      <c r="CN221" s="28" t="str">
        <f aca="false">IFERROR(INDEX(Assessments!$I$2:$I$600,MATCH($H221&amp;"|"&amp;$I221&amp;"|"&amp;$J221&amp;"|"&amp;6,Assessments!$A$2:$A$600,0)),"")</f>
        <v/>
      </c>
      <c r="CO221" s="28" t="str">
        <f aca="false">IFERROR(INDEX(Assessments!$I$2:$I$600,MATCH($H221&amp;"|"&amp;$I221&amp;"|"&amp;$J221&amp;"|"&amp;7,Assessments!$A$2:$A$600,0)),"")</f>
        <v/>
      </c>
      <c r="CP221" s="28" t="str">
        <f aca="false">IFERROR(INDEX(Assessments!$I$2:$I$600,MATCH($H221&amp;"|"&amp;$I221&amp;"|"&amp;$J221&amp;"|"&amp;8,Assessments!$A$2:$A$600,0)),"")</f>
        <v/>
      </c>
      <c r="CQ221" s="28" t="str">
        <f aca="false">IFERROR(INDEX(Assessments!$I$2:$I$600,MATCH($H221&amp;"|"&amp;$I221&amp;"|"&amp;$J221&amp;"|"&amp;9,Assessments!$A$2:$A$600,0)),"")</f>
        <v/>
      </c>
      <c r="CR221" s="28" t="str">
        <f aca="false">IFERROR(INDEX(Assessments!$I$2:$I$600,MATCH($H221&amp;"|"&amp;$I221&amp;"|"&amp;$J221&amp;"|"&amp;10,Assessments!$A$2:$A$600,0)),"")</f>
        <v/>
      </c>
      <c r="CS221" s="28" t="str">
        <f aca="false">IFERROR(INDEX(Assessments!$I$2:$I$600,MATCH($H221&amp;"|"&amp;$I221&amp;"|"&amp;$J221&amp;"|"&amp;11,Assessments!$A$2:$A$600,0)),"")</f>
        <v/>
      </c>
      <c r="CT221" s="28" t="str">
        <f aca="false">IFERROR(INDEX(Assessments!$I$2:$I$600,MATCH($H221&amp;"|"&amp;$I221&amp;"|"&amp;$J221&amp;"|"&amp;12,Assessments!$A$2:$A$600,0)),"")</f>
        <v/>
      </c>
      <c r="CU221" s="28" t="str">
        <f aca="false">IFERROR(INDEX(Assessments!$I$2:$I$600,MATCH($H221&amp;"|"&amp;$I221&amp;"|"&amp;$J221&amp;"|"&amp;13,Assessments!$A$2:$A$600,0)),"")</f>
        <v/>
      </c>
      <c r="CV221" s="28" t="str">
        <f aca="false">IFERROR(INDEX(Assessments!$I$2:$I$600,MATCH($H221&amp;"|"&amp;$I221&amp;"|"&amp;$J221&amp;"|"&amp;14,Assessments!$A$2:$A$600,0)),"")</f>
        <v/>
      </c>
      <c r="CW221" s="28" t="n">
        <f aca="false">IFERROR(INDEX(Assessments!$J$2:$J$600,MATCH($H221&amp;"|"&amp;$I221&amp;"|"&amp;$J221&amp;"|"&amp;1,Assessments!$A$2:$A$600,0)),0)</f>
        <v>1</v>
      </c>
      <c r="CX221" s="28" t="n">
        <f aca="false">IFERROR(INDEX(Assessments!$J$2:$J$600,MATCH($H221&amp;"|"&amp;$I221&amp;"|"&amp;$J221&amp;"|"&amp;2,Assessments!$A$2:$A$600,0)),0)</f>
        <v>1</v>
      </c>
      <c r="CY221" s="28" t="n">
        <f aca="false">IFERROR(INDEX(Assessments!$J$2:$J$600,MATCH($H221&amp;"|"&amp;$I221&amp;"|"&amp;$J221&amp;"|"&amp;3,Assessments!$A$2:$A$600,0)),0)</f>
        <v>1</v>
      </c>
      <c r="CZ221" s="28" t="n">
        <f aca="false">IFERROR(INDEX(Assessments!$J$2:$J$600,MATCH($H221&amp;"|"&amp;$I221&amp;"|"&amp;$J221&amp;"|"&amp;4,Assessments!$A$2:$A$600,0)),0)</f>
        <v>2</v>
      </c>
      <c r="DA221" s="28" t="n">
        <f aca="false">IFERROR(INDEX(Assessments!$J$2:$J$600,MATCH($H221&amp;"|"&amp;$I221&amp;"|"&amp;$J221&amp;"|"&amp;5,Assessments!$A$2:$A$600,0)),0)</f>
        <v>2</v>
      </c>
      <c r="DB221" s="28" t="n">
        <f aca="false">IFERROR(INDEX(Assessments!$J$2:$J$600,MATCH($H221&amp;"|"&amp;$I221&amp;"|"&amp;$J221&amp;"|"&amp;6,Assessments!$A$2:$A$600,0)),0)</f>
        <v>0</v>
      </c>
      <c r="DC221" s="28" t="n">
        <f aca="false">IFERROR(INDEX(Assessments!$J$2:$J$600,MATCH($H221&amp;"|"&amp;$I221&amp;"|"&amp;$J221&amp;"|"&amp;7,Assessments!$A$2:$A$600,0)),0)</f>
        <v>0</v>
      </c>
      <c r="DD221" s="28" t="n">
        <f aca="false">IFERROR(INDEX(Assessments!$J$2:$J$600,MATCH($H221&amp;"|"&amp;$I221&amp;"|"&amp;$J221&amp;"|"&amp;8,Assessments!$A$2:$A$600,0)),0)</f>
        <v>0</v>
      </c>
      <c r="DE221" s="28" t="n">
        <f aca="false">IFERROR(INDEX(Assessments!$J$2:$J$600,MATCH($H221&amp;"|"&amp;$I221&amp;"|"&amp;$J221&amp;"|"&amp;9,Assessments!$A$2:$A$600,0)),0)</f>
        <v>0</v>
      </c>
      <c r="DF221" s="28" t="n">
        <f aca="false">IFERROR(INDEX(Assessments!$J$2:$J$600,MATCH($H221&amp;"|"&amp;$I221&amp;"|"&amp;$J221&amp;"|"&amp;10,Assessments!$A$2:$A$600,0)),0)</f>
        <v>0</v>
      </c>
      <c r="DG221" s="28" t="n">
        <f aca="false">IFERROR(INDEX(Assessments!$J$2:$J$600,MATCH($H221&amp;"|"&amp;$I221&amp;"|"&amp;$J221&amp;"|"&amp;11,Assessments!$A$2:$A$600,0)),0)</f>
        <v>0</v>
      </c>
      <c r="DH221" s="28" t="n">
        <f aca="false">IFERROR(INDEX(Assessments!$J$2:$J$600,MATCH($H221&amp;"|"&amp;$I221&amp;"|"&amp;$J221&amp;"|"&amp;12,Assessments!$A$2:$A$600,0)),0)</f>
        <v>0</v>
      </c>
      <c r="DI221" s="28" t="n">
        <f aca="false">IFERROR(INDEX(Assessments!$J$2:$J$600,MATCH($H221&amp;"|"&amp;$I221&amp;"|"&amp;$J221&amp;"|"&amp;13,Assessments!$A$2:$A$600,0)),0)</f>
        <v>0</v>
      </c>
      <c r="DJ221" s="28" t="n">
        <f aca="false">IFERROR(INDEX(Assessments!$J$2:$J$600,MATCH($H221&amp;"|"&amp;$I221&amp;"|"&amp;$J221&amp;"|"&amp;14,Assessments!$A$2:$A$600,0)),0)</f>
        <v>0</v>
      </c>
      <c r="DK221" s="28" t="n">
        <f aca="false">S221</f>
        <v>7</v>
      </c>
      <c r="DL221" s="28" t="str">
        <f aca="false">W221</f>
        <v/>
      </c>
      <c r="DM221" s="28" t="str">
        <f aca="false">AA221</f>
        <v/>
      </c>
      <c r="DN221" s="28" t="str">
        <f aca="false">AE221</f>
        <v/>
      </c>
      <c r="DO221" s="28" t="str">
        <f aca="false">AI221</f>
        <v/>
      </c>
      <c r="DP221" s="28" t="str">
        <f aca="false">AM221</f>
        <v/>
      </c>
      <c r="DQ221" s="28" t="str">
        <f aca="false">AQ221</f>
        <v/>
      </c>
      <c r="DR221" s="28" t="str">
        <f aca="false">AU221</f>
        <v/>
      </c>
      <c r="DS221" s="28" t="str">
        <f aca="false">AY221</f>
        <v/>
      </c>
      <c r="DT221" s="28" t="str">
        <f aca="false">BC221</f>
        <v/>
      </c>
      <c r="DU221" s="28" t="str">
        <f aca="false">BG221</f>
        <v/>
      </c>
      <c r="DV221" s="28" t="str">
        <f aca="false">BK221</f>
        <v/>
      </c>
      <c r="DW221" s="28" t="str">
        <f aca="false">BO221</f>
        <v/>
      </c>
      <c r="DX221" s="28" t="str">
        <f aca="false">BS221</f>
        <v/>
      </c>
      <c r="DY221" s="28" t="n">
        <f aca="false">IF(ISNUMBER(S221),1,"")</f>
        <v>1</v>
      </c>
      <c r="DZ221" s="28" t="str">
        <f aca="false">IF(ISNUMBER(W221),2,"")</f>
        <v/>
      </c>
      <c r="EA221" s="28" t="str">
        <f aca="false">IF(ISNUMBER(AA221),3,"")</f>
        <v/>
      </c>
      <c r="EB221" s="28" t="str">
        <f aca="false">IF(ISNUMBER(AE221),4,"")</f>
        <v/>
      </c>
      <c r="EC221" s="28" t="str">
        <f aca="false">IF(ISNUMBER(AI221),5,"")</f>
        <v/>
      </c>
      <c r="ED221" s="28" t="str">
        <f aca="false">IF(ISNUMBER(AM221),6,"")</f>
        <v/>
      </c>
      <c r="EE221" s="28" t="str">
        <f aca="false">IF(ISNUMBER(AQ221),7,"")</f>
        <v/>
      </c>
      <c r="EF221" s="28" t="str">
        <f aca="false">IF(ISNUMBER(AU221),8,"")</f>
        <v/>
      </c>
      <c r="EG221" s="28" t="str">
        <f aca="false">IF(ISNUMBER(AY221),9,"")</f>
        <v/>
      </c>
      <c r="EH221" s="28" t="str">
        <f aca="false">IF(ISNUMBER(BC221),10,"")</f>
        <v/>
      </c>
      <c r="EI221" s="28" t="str">
        <f aca="false">IF(ISNUMBER(BG221),11,"")</f>
        <v/>
      </c>
      <c r="EJ221" s="28" t="str">
        <f aca="false">IF(ISNUMBER(BK221),12,"")</f>
        <v/>
      </c>
      <c r="EK221" s="28" t="str">
        <f aca="false">IF(ISNUMBER(BO221),13,"")</f>
        <v/>
      </c>
      <c r="EL221" s="28" t="str">
        <f aca="false">IF(ISNUMBER(BS221),14,"")</f>
        <v/>
      </c>
      <c r="EM221" s="28" t="n">
        <f aca="false">IF(ISNUMBER(R221),R221*CW221,0)</f>
        <v>100</v>
      </c>
      <c r="EN221" s="28" t="n">
        <f aca="false">IF(ISNUMBER(V221),V221*CX221,0)</f>
        <v>0</v>
      </c>
      <c r="EO221" s="28" t="n">
        <f aca="false">IF(ISNUMBER(Z221),Z221*CY221,0)</f>
        <v>0</v>
      </c>
      <c r="EP221" s="28" t="n">
        <f aca="false">IF(ISNUMBER(AD221),AD221*CZ221,0)</f>
        <v>0</v>
      </c>
      <c r="EQ221" s="28" t="n">
        <f aca="false">IF(ISNUMBER(AH221),AH221*DA221,0)</f>
        <v>0</v>
      </c>
      <c r="ER221" s="28" t="n">
        <f aca="false">IF(ISNUMBER(AL221),AL221*DB221,0)</f>
        <v>0</v>
      </c>
      <c r="ES221" s="28" t="n">
        <f aca="false">IF(ISNUMBER(AP221),AP221*DC221,0)</f>
        <v>0</v>
      </c>
      <c r="ET221" s="28" t="n">
        <f aca="false">IF(ISNUMBER(AT221),AT221*DD221,0)</f>
        <v>0</v>
      </c>
      <c r="EU221" s="28" t="n">
        <f aca="false">IF(ISNUMBER(AX221),AX221*DE221,0)</f>
        <v>0</v>
      </c>
      <c r="EV221" s="28" t="n">
        <f aca="false">IF(ISNUMBER(BB221),BB221*DF221,0)</f>
        <v>0</v>
      </c>
      <c r="EW221" s="28" t="n">
        <f aca="false">IF(ISNUMBER(BF221),BF221*DG221,0)</f>
        <v>0</v>
      </c>
      <c r="EX221" s="28" t="n">
        <f aca="false">IF(ISNUMBER(BJ221),BJ221*DH221,0)</f>
        <v>0</v>
      </c>
      <c r="EY221" s="28" t="n">
        <f aca="false">IF(ISNUMBER(BN221),BN221*DI221,0)</f>
        <v>0</v>
      </c>
      <c r="EZ221" s="28" t="n">
        <f aca="false">IF(ISNUMBER(BR221),BR221*DJ221,0)</f>
        <v>0</v>
      </c>
      <c r="FA221" s="28" t="n">
        <f aca="false">IF(ISNUMBER(R221),CW221,0)</f>
        <v>1</v>
      </c>
      <c r="FB221" s="28" t="n">
        <f aca="false">IF(ISNUMBER(V221),CX221,0)</f>
        <v>0</v>
      </c>
      <c r="FC221" s="28" t="n">
        <f aca="false">IF(ISNUMBER(Z221),CY221,0)</f>
        <v>0</v>
      </c>
      <c r="FD221" s="28" t="n">
        <f aca="false">IF(ISNUMBER(AD221),CZ221,0)</f>
        <v>0</v>
      </c>
      <c r="FE221" s="28" t="n">
        <f aca="false">IF(ISNUMBER(AH221),DA221,0)</f>
        <v>0</v>
      </c>
      <c r="FF221" s="28" t="n">
        <f aca="false">IF(ISNUMBER(AL221),DB221,0)</f>
        <v>0</v>
      </c>
      <c r="FG221" s="28" t="n">
        <f aca="false">IF(ISNUMBER(AP221),DC221,0)</f>
        <v>0</v>
      </c>
      <c r="FH221" s="28" t="n">
        <f aca="false">IF(ISNUMBER(AT221),DD221,0)</f>
        <v>0</v>
      </c>
      <c r="FI221" s="28" t="n">
        <f aca="false">IF(ISNUMBER(AX221),DE221,0)</f>
        <v>0</v>
      </c>
      <c r="FJ221" s="28" t="n">
        <f aca="false">IF(ISNUMBER(BB221),DF221,0)</f>
        <v>0</v>
      </c>
      <c r="FK221" s="28" t="n">
        <f aca="false">IF(ISNUMBER(BF221),DG221,0)</f>
        <v>0</v>
      </c>
      <c r="FL221" s="28" t="n">
        <f aca="false">IF(ISNUMBER(BJ221),DH221,0)</f>
        <v>0</v>
      </c>
      <c r="FM221" s="28" t="n">
        <f aca="false">IF(ISNUMBER(BN221),DI221,0)</f>
        <v>0</v>
      </c>
      <c r="FN221" s="28" t="n">
        <f aca="false">IF(ISNUMBER(BR221),DJ221,0)</f>
        <v>0</v>
      </c>
      <c r="FO221" s="28" t="str">
        <f aca="false">IFERROR(INDEX(Lists!$G$2:$G$20,MATCH($I221&amp;"|"&amp;$J221,Lists!$F$2:$F$20,0)),"")</f>
        <v>Geog Overall SL</v>
      </c>
    </row>
    <row r="222" customFormat="false" ht="19.5" hidden="false" customHeight="true" outlineLevel="0" collapsed="false">
      <c r="A222" s="29" t="s">
        <v>473</v>
      </c>
      <c r="B222" s="29" t="s">
        <v>474</v>
      </c>
      <c r="C222" s="30" t="s">
        <v>152</v>
      </c>
      <c r="D222" s="30" t="s">
        <v>271</v>
      </c>
      <c r="E222" s="31"/>
      <c r="F222" s="30"/>
      <c r="G222" s="30"/>
      <c r="H222" s="32" t="s">
        <v>428</v>
      </c>
      <c r="I222" s="33" t="s">
        <v>229</v>
      </c>
      <c r="J222" s="32" t="s">
        <v>25</v>
      </c>
      <c r="K222" s="34" t="str">
        <f aca="false">IF(OR(M222="",$E222=""),"",M222-$E222)</f>
        <v/>
      </c>
      <c r="L222" s="35" t="str">
        <f aca="false">IF(SUM(FA222:FN222)=0,"",SUM(EM222:EZ222)/SUM(FA222:FN222))</f>
        <v/>
      </c>
      <c r="M222" s="36" t="str">
        <f aca="false">IF(OR(L222="",FO222=""),"",IFERROR(MATCH(L222,INDEX(Boundaries!$B$2:$I$30,MATCH(FO222,Boundaries!$A$2:$A$30,0),0),1)-1,""))</f>
        <v/>
      </c>
      <c r="N222" s="37" t="str">
        <f aca="false">IF(COUNT($DY222:$EL222)&lt;2,"",INDEX($DK222:$DX222,MAX($DY222:$EL222))-INDEX($DK222:$DX222,MIN($DY222:$EL222)))</f>
        <v/>
      </c>
      <c r="O222" s="37" t="str">
        <f aca="false">IF(COUNT($DY222:$EL222)&lt;2,"",INDEX($DK222:$DX222,MAX($DY222:$EL222))-INDEX($DK222:$DX222,LARGE($DY222:$EL222,2)))</f>
        <v/>
      </c>
      <c r="P222" s="38" t="str">
        <f aca="false">IF(K222="","",IF(K222&gt;=0,"On/above target",IF(AND(N222&lt;&gt;"",N222&gt;=0.5),"Improving towards target",IF(AND(O222&lt;&gt;"",O222&lt;=-0.5),"Declining","Stable below target"))))</f>
        <v/>
      </c>
      <c r="Q222" s="39"/>
      <c r="R222" s="40" t="str">
        <f aca="false">IF(OR(Q222="",BU222=""),"",Q222/BU222*100)</f>
        <v/>
      </c>
      <c r="S222" s="41" t="str">
        <f aca="false">IF(R222="","",IFERROR(MATCH(R222,INDEX(Boundaries!$B$2:$I$30,MATCH(CI222,Boundaries!$A$2:$A$30,0),0),1)-1,""))</f>
        <v/>
      </c>
      <c r="T222" s="42" t="str">
        <f aca="false">IF(OR(S222="",$E222=""),"",S222-$E222)</f>
        <v/>
      </c>
      <c r="U222" s="39"/>
      <c r="V222" s="40" t="str">
        <f aca="false">IF(OR(U222="",BV222=""),"",U222/BV222*100)</f>
        <v/>
      </c>
      <c r="W222" s="41" t="str">
        <f aca="false">IF(V222="","",IFERROR(MATCH(V222,INDEX(Boundaries!$B$2:$I$30,MATCH(CJ222,Boundaries!$A$2:$A$30,0),0),1)-1,""))</f>
        <v/>
      </c>
      <c r="X222" s="42" t="str">
        <f aca="false">IF(OR(W222="",$E222=""),"",W222-$E222)</f>
        <v/>
      </c>
      <c r="Y222" s="39"/>
      <c r="Z222" s="40" t="str">
        <f aca="false">IF(OR(Y222="",BW222=""),"",Y222/BW222*100)</f>
        <v/>
      </c>
      <c r="AA222" s="41" t="str">
        <f aca="false">IF(Z222="","",IFERROR(MATCH(Z222,INDEX(Boundaries!$B$2:$I$30,MATCH(CK222,Boundaries!$A$2:$A$30,0),0),1)-1,""))</f>
        <v/>
      </c>
      <c r="AB222" s="42" t="str">
        <f aca="false">IF(OR(AA222="",$E222=""),"",AA222-$E222)</f>
        <v/>
      </c>
      <c r="AC222" s="39"/>
      <c r="AD222" s="40" t="str">
        <f aca="false">IF(OR(AC222="",BX222=""),"",AC222/BX222*100)</f>
        <v/>
      </c>
      <c r="AE222" s="41" t="str">
        <f aca="false">IF(AD222="","",IFERROR(MATCH(AD222,INDEX(Boundaries!$B$2:$I$30,MATCH(CL222,Boundaries!$A$2:$A$30,0),0),1)-1,""))</f>
        <v/>
      </c>
      <c r="AF222" s="42" t="str">
        <f aca="false">IF(OR(AE222="",$E222=""),"",AE222-$E222)</f>
        <v/>
      </c>
      <c r="AG222" s="39"/>
      <c r="AH222" s="40" t="str">
        <f aca="false">IF(OR(AG222="",BY222=""),"",AG222/BY222*100)</f>
        <v/>
      </c>
      <c r="AI222" s="41" t="str">
        <f aca="false">IF(AH222="","",IFERROR(MATCH(AH222,INDEX(Boundaries!$B$2:$I$30,MATCH(CM222,Boundaries!$A$2:$A$30,0),0),1)-1,""))</f>
        <v/>
      </c>
      <c r="AJ222" s="42" t="str">
        <f aca="false">IF(OR(AI222="",$E222=""),"",AI222-$E222)</f>
        <v/>
      </c>
      <c r="AK222" s="39"/>
      <c r="AL222" s="40" t="str">
        <f aca="false">IF(OR(AK222="",BZ222=""),"",AK222/BZ222*100)</f>
        <v/>
      </c>
      <c r="AM222" s="41" t="str">
        <f aca="false">IF(AL222="","",IFERROR(MATCH(AL222,INDEX(Boundaries!$B$2:$I$30,MATCH(CN222,Boundaries!$A$2:$A$30,0),0),1)-1,""))</f>
        <v/>
      </c>
      <c r="AN222" s="42" t="str">
        <f aca="false">IF(OR(AM222="",$E222=""),"",AM222-$E222)</f>
        <v/>
      </c>
      <c r="AO222" s="39"/>
      <c r="AP222" s="40" t="str">
        <f aca="false">IF(OR(AO222="",CA222=""),"",AO222/CA222*100)</f>
        <v/>
      </c>
      <c r="AQ222" s="41" t="str">
        <f aca="false">IF(AP222="","",IFERROR(MATCH(AP222,INDEX(Boundaries!$B$2:$I$30,MATCH(CO222,Boundaries!$A$2:$A$30,0),0),1)-1,""))</f>
        <v/>
      </c>
      <c r="AR222" s="42" t="str">
        <f aca="false">IF(OR(AQ222="",$E222=""),"",AQ222-$E222)</f>
        <v/>
      </c>
      <c r="AS222" s="39"/>
      <c r="AT222" s="40" t="str">
        <f aca="false">IF(OR(AS222="",CB222=""),"",AS222/CB222*100)</f>
        <v/>
      </c>
      <c r="AU222" s="41" t="str">
        <f aca="false">IF(AT222="","",IFERROR(MATCH(AT222,INDEX(Boundaries!$B$2:$I$30,MATCH(CP222,Boundaries!$A$2:$A$30,0),0),1)-1,""))</f>
        <v/>
      </c>
      <c r="AV222" s="42" t="str">
        <f aca="false">IF(OR(AU222="",$E222=""),"",AU222-$E222)</f>
        <v/>
      </c>
      <c r="AW222" s="39"/>
      <c r="AX222" s="40" t="str">
        <f aca="false">IF(OR(AW222="",CC222=""),"",AW222/CC222*100)</f>
        <v/>
      </c>
      <c r="AY222" s="41" t="str">
        <f aca="false">IF(AX222="","",IFERROR(MATCH(AX222,INDEX(Boundaries!$B$2:$I$30,MATCH(CQ222,Boundaries!$A$2:$A$30,0),0),1)-1,""))</f>
        <v/>
      </c>
      <c r="AZ222" s="42" t="str">
        <f aca="false">IF(OR(AY222="",$E222=""),"",AY222-$E222)</f>
        <v/>
      </c>
      <c r="BA222" s="39"/>
      <c r="BB222" s="40" t="str">
        <f aca="false">IF(OR(BA222="",CD222=""),"",BA222/CD222*100)</f>
        <v/>
      </c>
      <c r="BC222" s="41" t="str">
        <f aca="false">IF(BB222="","",IFERROR(MATCH(BB222,INDEX(Boundaries!$B$2:$I$30,MATCH(CR222,Boundaries!$A$2:$A$30,0),0),1)-1,""))</f>
        <v/>
      </c>
      <c r="BD222" s="42" t="str">
        <f aca="false">IF(OR(BC222="",$E222=""),"",BC222-$E222)</f>
        <v/>
      </c>
      <c r="BE222" s="39"/>
      <c r="BF222" s="40" t="str">
        <f aca="false">IF(OR(BE222="",CE222=""),"",BE222/CE222*100)</f>
        <v/>
      </c>
      <c r="BG222" s="41" t="str">
        <f aca="false">IF(BF222="","",IFERROR(MATCH(BF222,INDEX(Boundaries!$B$2:$I$30,MATCH(CS222,Boundaries!$A$2:$A$30,0),0),1)-1,""))</f>
        <v/>
      </c>
      <c r="BH222" s="42" t="str">
        <f aca="false">IF(OR(BG222="",$E222=""),"",BG222-$E222)</f>
        <v/>
      </c>
      <c r="BI222" s="39"/>
      <c r="BJ222" s="40" t="str">
        <f aca="false">IF(OR(BI222="",CF222=""),"",BI222/CF222*100)</f>
        <v/>
      </c>
      <c r="BK222" s="41" t="str">
        <f aca="false">IF(BJ222="","",IFERROR(MATCH(BJ222,INDEX(Boundaries!$B$2:$I$30,MATCH(CT222,Boundaries!$A$2:$A$30,0),0),1)-1,""))</f>
        <v/>
      </c>
      <c r="BL222" s="42" t="str">
        <f aca="false">IF(OR(BK222="",$E222=""),"",BK222-$E222)</f>
        <v/>
      </c>
      <c r="BM222" s="39"/>
      <c r="BN222" s="40" t="str">
        <f aca="false">IF(OR(BM222="",CG222=""),"",BM222/CG222*100)</f>
        <v/>
      </c>
      <c r="BO222" s="41" t="str">
        <f aca="false">IF(BN222="","",IFERROR(MATCH(BN222,INDEX(Boundaries!$B$2:$I$30,MATCH(CU222,Boundaries!$A$2:$A$30,0),0),1)-1,""))</f>
        <v/>
      </c>
      <c r="BP222" s="42" t="str">
        <f aca="false">IF(OR(BO222="",$E222=""),"",BO222-$E222)</f>
        <v/>
      </c>
      <c r="BQ222" s="39"/>
      <c r="BR222" s="40" t="str">
        <f aca="false">IF(OR(BQ222="",CH222=""),"",BQ222/CH222*100)</f>
        <v/>
      </c>
      <c r="BS222" s="41" t="str">
        <f aca="false">IF(BR222="","",IFERROR(MATCH(BR222,INDEX(Boundaries!$B$2:$I$30,MATCH(CV222,Boundaries!$A$2:$A$30,0),0),1)-1,""))</f>
        <v/>
      </c>
      <c r="BT222" s="42" t="str">
        <f aca="false">IF(OR(BS222="",$E222=""),"",BS222-$E222)</f>
        <v/>
      </c>
      <c r="BU222" s="28" t="n">
        <f aca="false">IFERROR(INDEX(Assessments!$H$2:$H$600,MATCH($H222&amp;"|"&amp;$I222&amp;"|"&amp;$J222&amp;"|"&amp;1,Assessments!$A$2:$A$600,0)),"")</f>
        <v>25</v>
      </c>
      <c r="BV222" s="28" t="n">
        <f aca="false">IFERROR(INDEX(Assessments!$H$2:$H$600,MATCH($H222&amp;"|"&amp;$I222&amp;"|"&amp;$J222&amp;"|"&amp;2,Assessments!$A$2:$A$600,0)),"")</f>
        <v>24</v>
      </c>
      <c r="BW222" s="28" t="n">
        <f aca="false">IFERROR(INDEX(Assessments!$H$2:$H$600,MATCH($H222&amp;"|"&amp;$I222&amp;"|"&amp;$J222&amp;"|"&amp;3,Assessments!$A$2:$A$600,0)),"")</f>
        <v>25</v>
      </c>
      <c r="BX222" s="28" t="n">
        <f aca="false">IFERROR(INDEX(Assessments!$H$2:$H$600,MATCH($H222&amp;"|"&amp;$I222&amp;"|"&amp;$J222&amp;"|"&amp;4,Assessments!$A$2:$A$600,0)),"")</f>
        <v>35</v>
      </c>
      <c r="BY222" s="28" t="n">
        <f aca="false">IFERROR(INDEX(Assessments!$H$2:$H$600,MATCH($H222&amp;"|"&amp;$I222&amp;"|"&amp;$J222&amp;"|"&amp;5,Assessments!$A$2:$A$600,0)),"")</f>
        <v>55</v>
      </c>
      <c r="BZ222" s="28" t="n">
        <f aca="false">IFERROR(INDEX(Assessments!$H$2:$H$600,MATCH($H222&amp;"|"&amp;$I222&amp;"|"&amp;$J222&amp;"|"&amp;6,Assessments!$A$2:$A$600,0)),"")</f>
        <v>28</v>
      </c>
      <c r="CA222" s="28" t="n">
        <f aca="false">IFERROR(INDEX(Assessments!$H$2:$H$600,MATCH($H222&amp;"|"&amp;$I222&amp;"|"&amp;$J222&amp;"|"&amp;7,Assessments!$A$2:$A$600,0)),"")</f>
        <v>95</v>
      </c>
      <c r="CB222" s="28" t="str">
        <f aca="false">IFERROR(INDEX(Assessments!$H$2:$H$600,MATCH($H222&amp;"|"&amp;$I222&amp;"|"&amp;$J222&amp;"|"&amp;8,Assessments!$A$2:$A$600,0)),"")</f>
        <v/>
      </c>
      <c r="CC222" s="28" t="str">
        <f aca="false">IFERROR(INDEX(Assessments!$H$2:$H$600,MATCH($H222&amp;"|"&amp;$I222&amp;"|"&amp;$J222&amp;"|"&amp;9,Assessments!$A$2:$A$600,0)),"")</f>
        <v/>
      </c>
      <c r="CD222" s="28" t="str">
        <f aca="false">IFERROR(INDEX(Assessments!$H$2:$H$600,MATCH($H222&amp;"|"&amp;$I222&amp;"|"&amp;$J222&amp;"|"&amp;10,Assessments!$A$2:$A$600,0)),"")</f>
        <v/>
      </c>
      <c r="CE222" s="28" t="str">
        <f aca="false">IFERROR(INDEX(Assessments!$H$2:$H$600,MATCH($H222&amp;"|"&amp;$I222&amp;"|"&amp;$J222&amp;"|"&amp;11,Assessments!$A$2:$A$600,0)),"")</f>
        <v/>
      </c>
      <c r="CF222" s="28" t="str">
        <f aca="false">IFERROR(INDEX(Assessments!$H$2:$H$600,MATCH($H222&amp;"|"&amp;$I222&amp;"|"&amp;$J222&amp;"|"&amp;12,Assessments!$A$2:$A$600,0)),"")</f>
        <v/>
      </c>
      <c r="CG222" s="28" t="str">
        <f aca="false">IFERROR(INDEX(Assessments!$H$2:$H$600,MATCH($H222&amp;"|"&amp;$I222&amp;"|"&amp;$J222&amp;"|"&amp;13,Assessments!$A$2:$A$600,0)),"")</f>
        <v/>
      </c>
      <c r="CH222" s="28" t="str">
        <f aca="false">IFERROR(INDEX(Assessments!$H$2:$H$600,MATCH($H222&amp;"|"&amp;$I222&amp;"|"&amp;$J222&amp;"|"&amp;14,Assessments!$A$2:$A$600,0)),"")</f>
        <v/>
      </c>
      <c r="CI222" s="28" t="str">
        <f aca="false">IFERROR(INDEX(Assessments!$I$2:$I$600,MATCH($H222&amp;"|"&amp;$I222&amp;"|"&amp;$J222&amp;"|"&amp;1,Assessments!$A$2:$A$600,0)),"")</f>
        <v>Econ Test</v>
      </c>
      <c r="CJ222" s="28" t="str">
        <f aca="false">IFERROR(INDEX(Assessments!$I$2:$I$600,MATCH($H222&amp;"|"&amp;$I222&amp;"|"&amp;$J222&amp;"|"&amp;2,Assessments!$A$2:$A$600,0)),"")</f>
        <v>Econ Test</v>
      </c>
      <c r="CK222" s="28" t="str">
        <f aca="false">IFERROR(INDEX(Assessments!$I$2:$I$600,MATCH($H222&amp;"|"&amp;$I222&amp;"|"&amp;$J222&amp;"|"&amp;3,Assessments!$A$2:$A$600,0)),"")</f>
        <v>Econ Test</v>
      </c>
      <c r="CL222" s="28" t="str">
        <f aca="false">IFERROR(INDEX(Assessments!$I$2:$I$600,MATCH($H222&amp;"|"&amp;$I222&amp;"|"&amp;$J222&amp;"|"&amp;4,Assessments!$A$2:$A$600,0)),"")</f>
        <v>Econ Test</v>
      </c>
      <c r="CM222" s="28" t="str">
        <f aca="false">IFERROR(INDEX(Assessments!$I$2:$I$600,MATCH($H222&amp;"|"&amp;$I222&amp;"|"&amp;$J222&amp;"|"&amp;5,Assessments!$A$2:$A$600,0)),"")</f>
        <v>Econ Exam</v>
      </c>
      <c r="CN222" s="28" t="str">
        <f aca="false">IFERROR(INDEX(Assessments!$I$2:$I$600,MATCH($H222&amp;"|"&amp;$I222&amp;"|"&amp;$J222&amp;"|"&amp;6,Assessments!$A$2:$A$600,0)),"")</f>
        <v>Econ Test</v>
      </c>
      <c r="CO222" s="28" t="str">
        <f aca="false">IFERROR(INDEX(Assessments!$I$2:$I$600,MATCH($H222&amp;"|"&amp;$I222&amp;"|"&amp;$J222&amp;"|"&amp;7,Assessments!$A$2:$A$600,0)),"")</f>
        <v>Econ Exam</v>
      </c>
      <c r="CP222" s="28" t="str">
        <f aca="false">IFERROR(INDEX(Assessments!$I$2:$I$600,MATCH($H222&amp;"|"&amp;$I222&amp;"|"&amp;$J222&amp;"|"&amp;8,Assessments!$A$2:$A$600,0)),"")</f>
        <v/>
      </c>
      <c r="CQ222" s="28" t="str">
        <f aca="false">IFERROR(INDEX(Assessments!$I$2:$I$600,MATCH($H222&amp;"|"&amp;$I222&amp;"|"&amp;$J222&amp;"|"&amp;9,Assessments!$A$2:$A$600,0)),"")</f>
        <v/>
      </c>
      <c r="CR222" s="28" t="str">
        <f aca="false">IFERROR(INDEX(Assessments!$I$2:$I$600,MATCH($H222&amp;"|"&amp;$I222&amp;"|"&amp;$J222&amp;"|"&amp;10,Assessments!$A$2:$A$600,0)),"")</f>
        <v/>
      </c>
      <c r="CS222" s="28" t="str">
        <f aca="false">IFERROR(INDEX(Assessments!$I$2:$I$600,MATCH($H222&amp;"|"&amp;$I222&amp;"|"&amp;$J222&amp;"|"&amp;11,Assessments!$A$2:$A$600,0)),"")</f>
        <v/>
      </c>
      <c r="CT222" s="28" t="str">
        <f aca="false">IFERROR(INDEX(Assessments!$I$2:$I$600,MATCH($H222&amp;"|"&amp;$I222&amp;"|"&amp;$J222&amp;"|"&amp;12,Assessments!$A$2:$A$600,0)),"")</f>
        <v/>
      </c>
      <c r="CU222" s="28" t="str">
        <f aca="false">IFERROR(INDEX(Assessments!$I$2:$I$600,MATCH($H222&amp;"|"&amp;$I222&amp;"|"&amp;$J222&amp;"|"&amp;13,Assessments!$A$2:$A$600,0)),"")</f>
        <v/>
      </c>
      <c r="CV222" s="28" t="str">
        <f aca="false">IFERROR(INDEX(Assessments!$I$2:$I$600,MATCH($H222&amp;"|"&amp;$I222&amp;"|"&amp;$J222&amp;"|"&amp;14,Assessments!$A$2:$A$600,0)),"")</f>
        <v/>
      </c>
      <c r="CW222" s="28" t="n">
        <f aca="false">IFERROR(INDEX(Assessments!$J$2:$J$600,MATCH($H222&amp;"|"&amp;$I222&amp;"|"&amp;$J222&amp;"|"&amp;1,Assessments!$A$2:$A$600,0)),0)</f>
        <v>1</v>
      </c>
      <c r="CX222" s="28" t="n">
        <f aca="false">IFERROR(INDEX(Assessments!$J$2:$J$600,MATCH($H222&amp;"|"&amp;$I222&amp;"|"&amp;$J222&amp;"|"&amp;2,Assessments!$A$2:$A$600,0)),0)</f>
        <v>1</v>
      </c>
      <c r="CY222" s="28" t="n">
        <f aca="false">IFERROR(INDEX(Assessments!$J$2:$J$600,MATCH($H222&amp;"|"&amp;$I222&amp;"|"&amp;$J222&amp;"|"&amp;3,Assessments!$A$2:$A$600,0)),0)</f>
        <v>1</v>
      </c>
      <c r="CZ222" s="28" t="n">
        <f aca="false">IFERROR(INDEX(Assessments!$J$2:$J$600,MATCH($H222&amp;"|"&amp;$I222&amp;"|"&amp;$J222&amp;"|"&amp;4,Assessments!$A$2:$A$600,0)),0)</f>
        <v>1</v>
      </c>
      <c r="DA222" s="28" t="n">
        <f aca="false">IFERROR(INDEX(Assessments!$J$2:$J$600,MATCH($H222&amp;"|"&amp;$I222&amp;"|"&amp;$J222&amp;"|"&amp;5,Assessments!$A$2:$A$600,0)),0)</f>
        <v>2</v>
      </c>
      <c r="DB222" s="28" t="n">
        <f aca="false">IFERROR(INDEX(Assessments!$J$2:$J$600,MATCH($H222&amp;"|"&amp;$I222&amp;"|"&amp;$J222&amp;"|"&amp;6,Assessments!$A$2:$A$600,0)),0)</f>
        <v>1</v>
      </c>
      <c r="DC222" s="28" t="n">
        <f aca="false">IFERROR(INDEX(Assessments!$J$2:$J$600,MATCH($H222&amp;"|"&amp;$I222&amp;"|"&amp;$J222&amp;"|"&amp;7,Assessments!$A$2:$A$600,0)),0)</f>
        <v>2</v>
      </c>
      <c r="DD222" s="28" t="n">
        <f aca="false">IFERROR(INDEX(Assessments!$J$2:$J$600,MATCH($H222&amp;"|"&amp;$I222&amp;"|"&amp;$J222&amp;"|"&amp;8,Assessments!$A$2:$A$600,0)),0)</f>
        <v>0</v>
      </c>
      <c r="DE222" s="28" t="n">
        <f aca="false">IFERROR(INDEX(Assessments!$J$2:$J$600,MATCH($H222&amp;"|"&amp;$I222&amp;"|"&amp;$J222&amp;"|"&amp;9,Assessments!$A$2:$A$600,0)),0)</f>
        <v>0</v>
      </c>
      <c r="DF222" s="28" t="n">
        <f aca="false">IFERROR(INDEX(Assessments!$J$2:$J$600,MATCH($H222&amp;"|"&amp;$I222&amp;"|"&amp;$J222&amp;"|"&amp;10,Assessments!$A$2:$A$600,0)),0)</f>
        <v>0</v>
      </c>
      <c r="DG222" s="28" t="n">
        <f aca="false">IFERROR(INDEX(Assessments!$J$2:$J$600,MATCH($H222&amp;"|"&amp;$I222&amp;"|"&amp;$J222&amp;"|"&amp;11,Assessments!$A$2:$A$600,0)),0)</f>
        <v>0</v>
      </c>
      <c r="DH222" s="28" t="n">
        <f aca="false">IFERROR(INDEX(Assessments!$J$2:$J$600,MATCH($H222&amp;"|"&amp;$I222&amp;"|"&amp;$J222&amp;"|"&amp;12,Assessments!$A$2:$A$600,0)),0)</f>
        <v>0</v>
      </c>
      <c r="DI222" s="28" t="n">
        <f aca="false">IFERROR(INDEX(Assessments!$J$2:$J$600,MATCH($H222&amp;"|"&amp;$I222&amp;"|"&amp;$J222&amp;"|"&amp;13,Assessments!$A$2:$A$600,0)),0)</f>
        <v>0</v>
      </c>
      <c r="DJ222" s="28" t="n">
        <f aca="false">IFERROR(INDEX(Assessments!$J$2:$J$600,MATCH($H222&amp;"|"&amp;$I222&amp;"|"&amp;$J222&amp;"|"&amp;14,Assessments!$A$2:$A$600,0)),0)</f>
        <v>0</v>
      </c>
      <c r="DK222" s="28" t="str">
        <f aca="false">S222</f>
        <v/>
      </c>
      <c r="DL222" s="28" t="str">
        <f aca="false">W222</f>
        <v/>
      </c>
      <c r="DM222" s="28" t="str">
        <f aca="false">AA222</f>
        <v/>
      </c>
      <c r="DN222" s="28" t="str">
        <f aca="false">AE222</f>
        <v/>
      </c>
      <c r="DO222" s="28" t="str">
        <f aca="false">AI222</f>
        <v/>
      </c>
      <c r="DP222" s="28" t="str">
        <f aca="false">AM222</f>
        <v/>
      </c>
      <c r="DQ222" s="28" t="str">
        <f aca="false">AQ222</f>
        <v/>
      </c>
      <c r="DR222" s="28" t="str">
        <f aca="false">AU222</f>
        <v/>
      </c>
      <c r="DS222" s="28" t="str">
        <f aca="false">AY222</f>
        <v/>
      </c>
      <c r="DT222" s="28" t="str">
        <f aca="false">BC222</f>
        <v/>
      </c>
      <c r="DU222" s="28" t="str">
        <f aca="false">BG222</f>
        <v/>
      </c>
      <c r="DV222" s="28" t="str">
        <f aca="false">BK222</f>
        <v/>
      </c>
      <c r="DW222" s="28" t="str">
        <f aca="false">BO222</f>
        <v/>
      </c>
      <c r="DX222" s="28" t="str">
        <f aca="false">BS222</f>
        <v/>
      </c>
      <c r="DY222" s="28" t="str">
        <f aca="false">IF(ISNUMBER(S222),1,"")</f>
        <v/>
      </c>
      <c r="DZ222" s="28" t="str">
        <f aca="false">IF(ISNUMBER(W222),2,"")</f>
        <v/>
      </c>
      <c r="EA222" s="28" t="str">
        <f aca="false">IF(ISNUMBER(AA222),3,"")</f>
        <v/>
      </c>
      <c r="EB222" s="28" t="str">
        <f aca="false">IF(ISNUMBER(AE222),4,"")</f>
        <v/>
      </c>
      <c r="EC222" s="28" t="str">
        <f aca="false">IF(ISNUMBER(AI222),5,"")</f>
        <v/>
      </c>
      <c r="ED222" s="28" t="str">
        <f aca="false">IF(ISNUMBER(AM222),6,"")</f>
        <v/>
      </c>
      <c r="EE222" s="28" t="str">
        <f aca="false">IF(ISNUMBER(AQ222),7,"")</f>
        <v/>
      </c>
      <c r="EF222" s="28" t="str">
        <f aca="false">IF(ISNUMBER(AU222),8,"")</f>
        <v/>
      </c>
      <c r="EG222" s="28" t="str">
        <f aca="false">IF(ISNUMBER(AY222),9,"")</f>
        <v/>
      </c>
      <c r="EH222" s="28" t="str">
        <f aca="false">IF(ISNUMBER(BC222),10,"")</f>
        <v/>
      </c>
      <c r="EI222" s="28" t="str">
        <f aca="false">IF(ISNUMBER(BG222),11,"")</f>
        <v/>
      </c>
      <c r="EJ222" s="28" t="str">
        <f aca="false">IF(ISNUMBER(BK222),12,"")</f>
        <v/>
      </c>
      <c r="EK222" s="28" t="str">
        <f aca="false">IF(ISNUMBER(BO222),13,"")</f>
        <v/>
      </c>
      <c r="EL222" s="28" t="str">
        <f aca="false">IF(ISNUMBER(BS222),14,"")</f>
        <v/>
      </c>
      <c r="EM222" s="28" t="n">
        <f aca="false">IF(ISNUMBER(R222),R222*CW222,0)</f>
        <v>0</v>
      </c>
      <c r="EN222" s="28" t="n">
        <f aca="false">IF(ISNUMBER(V222),V222*CX222,0)</f>
        <v>0</v>
      </c>
      <c r="EO222" s="28" t="n">
        <f aca="false">IF(ISNUMBER(Z222),Z222*CY222,0)</f>
        <v>0</v>
      </c>
      <c r="EP222" s="28" t="n">
        <f aca="false">IF(ISNUMBER(AD222),AD222*CZ222,0)</f>
        <v>0</v>
      </c>
      <c r="EQ222" s="28" t="n">
        <f aca="false">IF(ISNUMBER(AH222),AH222*DA222,0)</f>
        <v>0</v>
      </c>
      <c r="ER222" s="28" t="n">
        <f aca="false">IF(ISNUMBER(AL222),AL222*DB222,0)</f>
        <v>0</v>
      </c>
      <c r="ES222" s="28" t="n">
        <f aca="false">IF(ISNUMBER(AP222),AP222*DC222,0)</f>
        <v>0</v>
      </c>
      <c r="ET222" s="28" t="n">
        <f aca="false">IF(ISNUMBER(AT222),AT222*DD222,0)</f>
        <v>0</v>
      </c>
      <c r="EU222" s="28" t="n">
        <f aca="false">IF(ISNUMBER(AX222),AX222*DE222,0)</f>
        <v>0</v>
      </c>
      <c r="EV222" s="28" t="n">
        <f aca="false">IF(ISNUMBER(BB222),BB222*DF222,0)</f>
        <v>0</v>
      </c>
      <c r="EW222" s="28" t="n">
        <f aca="false">IF(ISNUMBER(BF222),BF222*DG222,0)</f>
        <v>0</v>
      </c>
      <c r="EX222" s="28" t="n">
        <f aca="false">IF(ISNUMBER(BJ222),BJ222*DH222,0)</f>
        <v>0</v>
      </c>
      <c r="EY222" s="28" t="n">
        <f aca="false">IF(ISNUMBER(BN222),BN222*DI222,0)</f>
        <v>0</v>
      </c>
      <c r="EZ222" s="28" t="n">
        <f aca="false">IF(ISNUMBER(BR222),BR222*DJ222,0)</f>
        <v>0</v>
      </c>
      <c r="FA222" s="28" t="n">
        <f aca="false">IF(ISNUMBER(R222),CW222,0)</f>
        <v>0</v>
      </c>
      <c r="FB222" s="28" t="n">
        <f aca="false">IF(ISNUMBER(V222),CX222,0)</f>
        <v>0</v>
      </c>
      <c r="FC222" s="28" t="n">
        <f aca="false">IF(ISNUMBER(Z222),CY222,0)</f>
        <v>0</v>
      </c>
      <c r="FD222" s="28" t="n">
        <f aca="false">IF(ISNUMBER(AD222),CZ222,0)</f>
        <v>0</v>
      </c>
      <c r="FE222" s="28" t="n">
        <f aca="false">IF(ISNUMBER(AH222),DA222,0)</f>
        <v>0</v>
      </c>
      <c r="FF222" s="28" t="n">
        <f aca="false">IF(ISNUMBER(AL222),DB222,0)</f>
        <v>0</v>
      </c>
      <c r="FG222" s="28" t="n">
        <f aca="false">IF(ISNUMBER(AP222),DC222,0)</f>
        <v>0</v>
      </c>
      <c r="FH222" s="28" t="n">
        <f aca="false">IF(ISNUMBER(AT222),DD222,0)</f>
        <v>0</v>
      </c>
      <c r="FI222" s="28" t="n">
        <f aca="false">IF(ISNUMBER(AX222),DE222,0)</f>
        <v>0</v>
      </c>
      <c r="FJ222" s="28" t="n">
        <f aca="false">IF(ISNUMBER(BB222),DF222,0)</f>
        <v>0</v>
      </c>
      <c r="FK222" s="28" t="n">
        <f aca="false">IF(ISNUMBER(BF222),DG222,0)</f>
        <v>0</v>
      </c>
      <c r="FL222" s="28" t="n">
        <f aca="false">IF(ISNUMBER(BJ222),DH222,0)</f>
        <v>0</v>
      </c>
      <c r="FM222" s="28" t="n">
        <f aca="false">IF(ISNUMBER(BN222),DI222,0)</f>
        <v>0</v>
      </c>
      <c r="FN222" s="28" t="n">
        <f aca="false">IF(ISNUMBER(BR222),DJ222,0)</f>
        <v>0</v>
      </c>
      <c r="FO222" s="28" t="str">
        <f aca="false">IFERROR(INDEX(Lists!$G$2:$G$20,MATCH($I222&amp;"|"&amp;$J222,Lists!$F$2:$F$20,0)),"")</f>
        <v>Econ Exam</v>
      </c>
    </row>
    <row r="223" customFormat="false" ht="19.5" hidden="false" customHeight="true" outlineLevel="0" collapsed="false">
      <c r="A223" s="29" t="s">
        <v>443</v>
      </c>
      <c r="B223" s="29" t="s">
        <v>444</v>
      </c>
      <c r="C223" s="30" t="s">
        <v>152</v>
      </c>
      <c r="D223" s="30" t="s">
        <v>271</v>
      </c>
      <c r="E223" s="31"/>
      <c r="F223" s="30"/>
      <c r="G223" s="30"/>
      <c r="H223" s="32" t="s">
        <v>428</v>
      </c>
      <c r="I223" s="33" t="s">
        <v>229</v>
      </c>
      <c r="J223" s="32" t="s">
        <v>25</v>
      </c>
      <c r="K223" s="34" t="str">
        <f aca="false">IF(OR(M223="",$E223=""),"",M223-$E223)</f>
        <v/>
      </c>
      <c r="L223" s="35" t="str">
        <f aca="false">IF(SUM(FA223:FN223)=0,"",SUM(EM223:EZ223)/SUM(FA223:FN223))</f>
        <v/>
      </c>
      <c r="M223" s="36" t="str">
        <f aca="false">IF(OR(L223="",FO223=""),"",IFERROR(MATCH(L223,INDEX(Boundaries!$B$2:$I$30,MATCH(FO223,Boundaries!$A$2:$A$30,0),0),1)-1,""))</f>
        <v/>
      </c>
      <c r="N223" s="37" t="str">
        <f aca="false">IF(COUNT($DY223:$EL223)&lt;2,"",INDEX($DK223:$DX223,MAX($DY223:$EL223))-INDEX($DK223:$DX223,MIN($DY223:$EL223)))</f>
        <v/>
      </c>
      <c r="O223" s="37" t="str">
        <f aca="false">IF(COUNT($DY223:$EL223)&lt;2,"",INDEX($DK223:$DX223,MAX($DY223:$EL223))-INDEX($DK223:$DX223,LARGE($DY223:$EL223,2)))</f>
        <v/>
      </c>
      <c r="P223" s="38" t="str">
        <f aca="false">IF(K223="","",IF(K223&gt;=0,"On/above target",IF(AND(N223&lt;&gt;"",N223&gt;=0.5),"Improving towards target",IF(AND(O223&lt;&gt;"",O223&lt;=-0.5),"Declining","Stable below target"))))</f>
        <v/>
      </c>
      <c r="Q223" s="39"/>
      <c r="R223" s="40" t="str">
        <f aca="false">IF(OR(Q223="",BU223=""),"",Q223/BU223*100)</f>
        <v/>
      </c>
      <c r="S223" s="41" t="str">
        <f aca="false">IF(R223="","",IFERROR(MATCH(R223,INDEX(Boundaries!$B$2:$I$30,MATCH(CI223,Boundaries!$A$2:$A$30,0),0),1)-1,""))</f>
        <v/>
      </c>
      <c r="T223" s="42" t="str">
        <f aca="false">IF(OR(S223="",$E223=""),"",S223-$E223)</f>
        <v/>
      </c>
      <c r="U223" s="39"/>
      <c r="V223" s="40" t="str">
        <f aca="false">IF(OR(U223="",BV223=""),"",U223/BV223*100)</f>
        <v/>
      </c>
      <c r="W223" s="41" t="str">
        <f aca="false">IF(V223="","",IFERROR(MATCH(V223,INDEX(Boundaries!$B$2:$I$30,MATCH(CJ223,Boundaries!$A$2:$A$30,0),0),1)-1,""))</f>
        <v/>
      </c>
      <c r="X223" s="42" t="str">
        <f aca="false">IF(OR(W223="",$E223=""),"",W223-$E223)</f>
        <v/>
      </c>
      <c r="Y223" s="39"/>
      <c r="Z223" s="40" t="str">
        <f aca="false">IF(OR(Y223="",BW223=""),"",Y223/BW223*100)</f>
        <v/>
      </c>
      <c r="AA223" s="41" t="str">
        <f aca="false">IF(Z223="","",IFERROR(MATCH(Z223,INDEX(Boundaries!$B$2:$I$30,MATCH(CK223,Boundaries!$A$2:$A$30,0),0),1)-1,""))</f>
        <v/>
      </c>
      <c r="AB223" s="42" t="str">
        <f aca="false">IF(OR(AA223="",$E223=""),"",AA223-$E223)</f>
        <v/>
      </c>
      <c r="AC223" s="39"/>
      <c r="AD223" s="40" t="str">
        <f aca="false">IF(OR(AC223="",BX223=""),"",AC223/BX223*100)</f>
        <v/>
      </c>
      <c r="AE223" s="41" t="str">
        <f aca="false">IF(AD223="","",IFERROR(MATCH(AD223,INDEX(Boundaries!$B$2:$I$30,MATCH(CL223,Boundaries!$A$2:$A$30,0),0),1)-1,""))</f>
        <v/>
      </c>
      <c r="AF223" s="42" t="str">
        <f aca="false">IF(OR(AE223="",$E223=""),"",AE223-$E223)</f>
        <v/>
      </c>
      <c r="AG223" s="39"/>
      <c r="AH223" s="40" t="str">
        <f aca="false">IF(OR(AG223="",BY223=""),"",AG223/BY223*100)</f>
        <v/>
      </c>
      <c r="AI223" s="41" t="str">
        <f aca="false">IF(AH223="","",IFERROR(MATCH(AH223,INDEX(Boundaries!$B$2:$I$30,MATCH(CM223,Boundaries!$A$2:$A$30,0),0),1)-1,""))</f>
        <v/>
      </c>
      <c r="AJ223" s="42" t="str">
        <f aca="false">IF(OR(AI223="",$E223=""),"",AI223-$E223)</f>
        <v/>
      </c>
      <c r="AK223" s="39"/>
      <c r="AL223" s="40" t="str">
        <f aca="false">IF(OR(AK223="",BZ223=""),"",AK223/BZ223*100)</f>
        <v/>
      </c>
      <c r="AM223" s="41" t="str">
        <f aca="false">IF(AL223="","",IFERROR(MATCH(AL223,INDEX(Boundaries!$B$2:$I$30,MATCH(CN223,Boundaries!$A$2:$A$30,0),0),1)-1,""))</f>
        <v/>
      </c>
      <c r="AN223" s="42" t="str">
        <f aca="false">IF(OR(AM223="",$E223=""),"",AM223-$E223)</f>
        <v/>
      </c>
      <c r="AO223" s="39"/>
      <c r="AP223" s="40" t="str">
        <f aca="false">IF(OR(AO223="",CA223=""),"",AO223/CA223*100)</f>
        <v/>
      </c>
      <c r="AQ223" s="41" t="str">
        <f aca="false">IF(AP223="","",IFERROR(MATCH(AP223,INDEX(Boundaries!$B$2:$I$30,MATCH(CO223,Boundaries!$A$2:$A$30,0),0),1)-1,""))</f>
        <v/>
      </c>
      <c r="AR223" s="42" t="str">
        <f aca="false">IF(OR(AQ223="",$E223=""),"",AQ223-$E223)</f>
        <v/>
      </c>
      <c r="AS223" s="39"/>
      <c r="AT223" s="40" t="str">
        <f aca="false">IF(OR(AS223="",CB223=""),"",AS223/CB223*100)</f>
        <v/>
      </c>
      <c r="AU223" s="41" t="str">
        <f aca="false">IF(AT223="","",IFERROR(MATCH(AT223,INDEX(Boundaries!$B$2:$I$30,MATCH(CP223,Boundaries!$A$2:$A$30,0),0),1)-1,""))</f>
        <v/>
      </c>
      <c r="AV223" s="42" t="str">
        <f aca="false">IF(OR(AU223="",$E223=""),"",AU223-$E223)</f>
        <v/>
      </c>
      <c r="AW223" s="39"/>
      <c r="AX223" s="40" t="str">
        <f aca="false">IF(OR(AW223="",CC223=""),"",AW223/CC223*100)</f>
        <v/>
      </c>
      <c r="AY223" s="41" t="str">
        <f aca="false">IF(AX223="","",IFERROR(MATCH(AX223,INDEX(Boundaries!$B$2:$I$30,MATCH(CQ223,Boundaries!$A$2:$A$30,0),0),1)-1,""))</f>
        <v/>
      </c>
      <c r="AZ223" s="42" t="str">
        <f aca="false">IF(OR(AY223="",$E223=""),"",AY223-$E223)</f>
        <v/>
      </c>
      <c r="BA223" s="39"/>
      <c r="BB223" s="40" t="str">
        <f aca="false">IF(OR(BA223="",CD223=""),"",BA223/CD223*100)</f>
        <v/>
      </c>
      <c r="BC223" s="41" t="str">
        <f aca="false">IF(BB223="","",IFERROR(MATCH(BB223,INDEX(Boundaries!$B$2:$I$30,MATCH(CR223,Boundaries!$A$2:$A$30,0),0),1)-1,""))</f>
        <v/>
      </c>
      <c r="BD223" s="42" t="str">
        <f aca="false">IF(OR(BC223="",$E223=""),"",BC223-$E223)</f>
        <v/>
      </c>
      <c r="BE223" s="39"/>
      <c r="BF223" s="40" t="str">
        <f aca="false">IF(OR(BE223="",CE223=""),"",BE223/CE223*100)</f>
        <v/>
      </c>
      <c r="BG223" s="41" t="str">
        <f aca="false">IF(BF223="","",IFERROR(MATCH(BF223,INDEX(Boundaries!$B$2:$I$30,MATCH(CS223,Boundaries!$A$2:$A$30,0),0),1)-1,""))</f>
        <v/>
      </c>
      <c r="BH223" s="42" t="str">
        <f aca="false">IF(OR(BG223="",$E223=""),"",BG223-$E223)</f>
        <v/>
      </c>
      <c r="BI223" s="39"/>
      <c r="BJ223" s="40" t="str">
        <f aca="false">IF(OR(BI223="",CF223=""),"",BI223/CF223*100)</f>
        <v/>
      </c>
      <c r="BK223" s="41" t="str">
        <f aca="false">IF(BJ223="","",IFERROR(MATCH(BJ223,INDEX(Boundaries!$B$2:$I$30,MATCH(CT223,Boundaries!$A$2:$A$30,0),0),1)-1,""))</f>
        <v/>
      </c>
      <c r="BL223" s="42" t="str">
        <f aca="false">IF(OR(BK223="",$E223=""),"",BK223-$E223)</f>
        <v/>
      </c>
      <c r="BM223" s="39"/>
      <c r="BN223" s="40" t="str">
        <f aca="false">IF(OR(BM223="",CG223=""),"",BM223/CG223*100)</f>
        <v/>
      </c>
      <c r="BO223" s="41" t="str">
        <f aca="false">IF(BN223="","",IFERROR(MATCH(BN223,INDEX(Boundaries!$B$2:$I$30,MATCH(CU223,Boundaries!$A$2:$A$30,0),0),1)-1,""))</f>
        <v/>
      </c>
      <c r="BP223" s="42" t="str">
        <f aca="false">IF(OR(BO223="",$E223=""),"",BO223-$E223)</f>
        <v/>
      </c>
      <c r="BQ223" s="39"/>
      <c r="BR223" s="40" t="str">
        <f aca="false">IF(OR(BQ223="",CH223=""),"",BQ223/CH223*100)</f>
        <v/>
      </c>
      <c r="BS223" s="41" t="str">
        <f aca="false">IF(BR223="","",IFERROR(MATCH(BR223,INDEX(Boundaries!$B$2:$I$30,MATCH(CV223,Boundaries!$A$2:$A$30,0),0),1)-1,""))</f>
        <v/>
      </c>
      <c r="BT223" s="42" t="str">
        <f aca="false">IF(OR(BS223="",$E223=""),"",BS223-$E223)</f>
        <v/>
      </c>
      <c r="BU223" s="28" t="n">
        <f aca="false">IFERROR(INDEX(Assessments!$H$2:$H$600,MATCH($H223&amp;"|"&amp;$I223&amp;"|"&amp;$J223&amp;"|"&amp;1,Assessments!$A$2:$A$600,0)),"")</f>
        <v>25</v>
      </c>
      <c r="BV223" s="28" t="n">
        <f aca="false">IFERROR(INDEX(Assessments!$H$2:$H$600,MATCH($H223&amp;"|"&amp;$I223&amp;"|"&amp;$J223&amp;"|"&amp;2,Assessments!$A$2:$A$600,0)),"")</f>
        <v>24</v>
      </c>
      <c r="BW223" s="28" t="n">
        <f aca="false">IFERROR(INDEX(Assessments!$H$2:$H$600,MATCH($H223&amp;"|"&amp;$I223&amp;"|"&amp;$J223&amp;"|"&amp;3,Assessments!$A$2:$A$600,0)),"")</f>
        <v>25</v>
      </c>
      <c r="BX223" s="28" t="n">
        <f aca="false">IFERROR(INDEX(Assessments!$H$2:$H$600,MATCH($H223&amp;"|"&amp;$I223&amp;"|"&amp;$J223&amp;"|"&amp;4,Assessments!$A$2:$A$600,0)),"")</f>
        <v>35</v>
      </c>
      <c r="BY223" s="28" t="n">
        <f aca="false">IFERROR(INDEX(Assessments!$H$2:$H$600,MATCH($H223&amp;"|"&amp;$I223&amp;"|"&amp;$J223&amp;"|"&amp;5,Assessments!$A$2:$A$600,0)),"")</f>
        <v>55</v>
      </c>
      <c r="BZ223" s="28" t="n">
        <f aca="false">IFERROR(INDEX(Assessments!$H$2:$H$600,MATCH($H223&amp;"|"&amp;$I223&amp;"|"&amp;$J223&amp;"|"&amp;6,Assessments!$A$2:$A$600,0)),"")</f>
        <v>28</v>
      </c>
      <c r="CA223" s="28" t="n">
        <f aca="false">IFERROR(INDEX(Assessments!$H$2:$H$600,MATCH($H223&amp;"|"&amp;$I223&amp;"|"&amp;$J223&amp;"|"&amp;7,Assessments!$A$2:$A$600,0)),"")</f>
        <v>95</v>
      </c>
      <c r="CB223" s="28" t="str">
        <f aca="false">IFERROR(INDEX(Assessments!$H$2:$H$600,MATCH($H223&amp;"|"&amp;$I223&amp;"|"&amp;$J223&amp;"|"&amp;8,Assessments!$A$2:$A$600,0)),"")</f>
        <v/>
      </c>
      <c r="CC223" s="28" t="str">
        <f aca="false">IFERROR(INDEX(Assessments!$H$2:$H$600,MATCH($H223&amp;"|"&amp;$I223&amp;"|"&amp;$J223&amp;"|"&amp;9,Assessments!$A$2:$A$600,0)),"")</f>
        <v/>
      </c>
      <c r="CD223" s="28" t="str">
        <f aca="false">IFERROR(INDEX(Assessments!$H$2:$H$600,MATCH($H223&amp;"|"&amp;$I223&amp;"|"&amp;$J223&amp;"|"&amp;10,Assessments!$A$2:$A$600,0)),"")</f>
        <v/>
      </c>
      <c r="CE223" s="28" t="str">
        <f aca="false">IFERROR(INDEX(Assessments!$H$2:$H$600,MATCH($H223&amp;"|"&amp;$I223&amp;"|"&amp;$J223&amp;"|"&amp;11,Assessments!$A$2:$A$600,0)),"")</f>
        <v/>
      </c>
      <c r="CF223" s="28" t="str">
        <f aca="false">IFERROR(INDEX(Assessments!$H$2:$H$600,MATCH($H223&amp;"|"&amp;$I223&amp;"|"&amp;$J223&amp;"|"&amp;12,Assessments!$A$2:$A$600,0)),"")</f>
        <v/>
      </c>
      <c r="CG223" s="28" t="str">
        <f aca="false">IFERROR(INDEX(Assessments!$H$2:$H$600,MATCH($H223&amp;"|"&amp;$I223&amp;"|"&amp;$J223&amp;"|"&amp;13,Assessments!$A$2:$A$600,0)),"")</f>
        <v/>
      </c>
      <c r="CH223" s="28" t="str">
        <f aca="false">IFERROR(INDEX(Assessments!$H$2:$H$600,MATCH($H223&amp;"|"&amp;$I223&amp;"|"&amp;$J223&amp;"|"&amp;14,Assessments!$A$2:$A$600,0)),"")</f>
        <v/>
      </c>
      <c r="CI223" s="28" t="str">
        <f aca="false">IFERROR(INDEX(Assessments!$I$2:$I$600,MATCH($H223&amp;"|"&amp;$I223&amp;"|"&amp;$J223&amp;"|"&amp;1,Assessments!$A$2:$A$600,0)),"")</f>
        <v>Econ Test</v>
      </c>
      <c r="CJ223" s="28" t="str">
        <f aca="false">IFERROR(INDEX(Assessments!$I$2:$I$600,MATCH($H223&amp;"|"&amp;$I223&amp;"|"&amp;$J223&amp;"|"&amp;2,Assessments!$A$2:$A$600,0)),"")</f>
        <v>Econ Test</v>
      </c>
      <c r="CK223" s="28" t="str">
        <f aca="false">IFERROR(INDEX(Assessments!$I$2:$I$600,MATCH($H223&amp;"|"&amp;$I223&amp;"|"&amp;$J223&amp;"|"&amp;3,Assessments!$A$2:$A$600,0)),"")</f>
        <v>Econ Test</v>
      </c>
      <c r="CL223" s="28" t="str">
        <f aca="false">IFERROR(INDEX(Assessments!$I$2:$I$600,MATCH($H223&amp;"|"&amp;$I223&amp;"|"&amp;$J223&amp;"|"&amp;4,Assessments!$A$2:$A$600,0)),"")</f>
        <v>Econ Test</v>
      </c>
      <c r="CM223" s="28" t="str">
        <f aca="false">IFERROR(INDEX(Assessments!$I$2:$I$600,MATCH($H223&amp;"|"&amp;$I223&amp;"|"&amp;$J223&amp;"|"&amp;5,Assessments!$A$2:$A$600,0)),"")</f>
        <v>Econ Exam</v>
      </c>
      <c r="CN223" s="28" t="str">
        <f aca="false">IFERROR(INDEX(Assessments!$I$2:$I$600,MATCH($H223&amp;"|"&amp;$I223&amp;"|"&amp;$J223&amp;"|"&amp;6,Assessments!$A$2:$A$600,0)),"")</f>
        <v>Econ Test</v>
      </c>
      <c r="CO223" s="28" t="str">
        <f aca="false">IFERROR(INDEX(Assessments!$I$2:$I$600,MATCH($H223&amp;"|"&amp;$I223&amp;"|"&amp;$J223&amp;"|"&amp;7,Assessments!$A$2:$A$600,0)),"")</f>
        <v>Econ Exam</v>
      </c>
      <c r="CP223" s="28" t="str">
        <f aca="false">IFERROR(INDEX(Assessments!$I$2:$I$600,MATCH($H223&amp;"|"&amp;$I223&amp;"|"&amp;$J223&amp;"|"&amp;8,Assessments!$A$2:$A$600,0)),"")</f>
        <v/>
      </c>
      <c r="CQ223" s="28" t="str">
        <f aca="false">IFERROR(INDEX(Assessments!$I$2:$I$600,MATCH($H223&amp;"|"&amp;$I223&amp;"|"&amp;$J223&amp;"|"&amp;9,Assessments!$A$2:$A$600,0)),"")</f>
        <v/>
      </c>
      <c r="CR223" s="28" t="str">
        <f aca="false">IFERROR(INDEX(Assessments!$I$2:$I$600,MATCH($H223&amp;"|"&amp;$I223&amp;"|"&amp;$J223&amp;"|"&amp;10,Assessments!$A$2:$A$600,0)),"")</f>
        <v/>
      </c>
      <c r="CS223" s="28" t="str">
        <f aca="false">IFERROR(INDEX(Assessments!$I$2:$I$600,MATCH($H223&amp;"|"&amp;$I223&amp;"|"&amp;$J223&amp;"|"&amp;11,Assessments!$A$2:$A$600,0)),"")</f>
        <v/>
      </c>
      <c r="CT223" s="28" t="str">
        <f aca="false">IFERROR(INDEX(Assessments!$I$2:$I$600,MATCH($H223&amp;"|"&amp;$I223&amp;"|"&amp;$J223&amp;"|"&amp;12,Assessments!$A$2:$A$600,0)),"")</f>
        <v/>
      </c>
      <c r="CU223" s="28" t="str">
        <f aca="false">IFERROR(INDEX(Assessments!$I$2:$I$600,MATCH($H223&amp;"|"&amp;$I223&amp;"|"&amp;$J223&amp;"|"&amp;13,Assessments!$A$2:$A$600,0)),"")</f>
        <v/>
      </c>
      <c r="CV223" s="28" t="str">
        <f aca="false">IFERROR(INDEX(Assessments!$I$2:$I$600,MATCH($H223&amp;"|"&amp;$I223&amp;"|"&amp;$J223&amp;"|"&amp;14,Assessments!$A$2:$A$600,0)),"")</f>
        <v/>
      </c>
      <c r="CW223" s="28" t="n">
        <f aca="false">IFERROR(INDEX(Assessments!$J$2:$J$600,MATCH($H223&amp;"|"&amp;$I223&amp;"|"&amp;$J223&amp;"|"&amp;1,Assessments!$A$2:$A$600,0)),0)</f>
        <v>1</v>
      </c>
      <c r="CX223" s="28" t="n">
        <f aca="false">IFERROR(INDEX(Assessments!$J$2:$J$600,MATCH($H223&amp;"|"&amp;$I223&amp;"|"&amp;$J223&amp;"|"&amp;2,Assessments!$A$2:$A$600,0)),0)</f>
        <v>1</v>
      </c>
      <c r="CY223" s="28" t="n">
        <f aca="false">IFERROR(INDEX(Assessments!$J$2:$J$600,MATCH($H223&amp;"|"&amp;$I223&amp;"|"&amp;$J223&amp;"|"&amp;3,Assessments!$A$2:$A$600,0)),0)</f>
        <v>1</v>
      </c>
      <c r="CZ223" s="28" t="n">
        <f aca="false">IFERROR(INDEX(Assessments!$J$2:$J$600,MATCH($H223&amp;"|"&amp;$I223&amp;"|"&amp;$J223&amp;"|"&amp;4,Assessments!$A$2:$A$600,0)),0)</f>
        <v>1</v>
      </c>
      <c r="DA223" s="28" t="n">
        <f aca="false">IFERROR(INDEX(Assessments!$J$2:$J$600,MATCH($H223&amp;"|"&amp;$I223&amp;"|"&amp;$J223&amp;"|"&amp;5,Assessments!$A$2:$A$600,0)),0)</f>
        <v>2</v>
      </c>
      <c r="DB223" s="28" t="n">
        <f aca="false">IFERROR(INDEX(Assessments!$J$2:$J$600,MATCH($H223&amp;"|"&amp;$I223&amp;"|"&amp;$J223&amp;"|"&amp;6,Assessments!$A$2:$A$600,0)),0)</f>
        <v>1</v>
      </c>
      <c r="DC223" s="28" t="n">
        <f aca="false">IFERROR(INDEX(Assessments!$J$2:$J$600,MATCH($H223&amp;"|"&amp;$I223&amp;"|"&amp;$J223&amp;"|"&amp;7,Assessments!$A$2:$A$600,0)),0)</f>
        <v>2</v>
      </c>
      <c r="DD223" s="28" t="n">
        <f aca="false">IFERROR(INDEX(Assessments!$J$2:$J$600,MATCH($H223&amp;"|"&amp;$I223&amp;"|"&amp;$J223&amp;"|"&amp;8,Assessments!$A$2:$A$600,0)),0)</f>
        <v>0</v>
      </c>
      <c r="DE223" s="28" t="n">
        <f aca="false">IFERROR(INDEX(Assessments!$J$2:$J$600,MATCH($H223&amp;"|"&amp;$I223&amp;"|"&amp;$J223&amp;"|"&amp;9,Assessments!$A$2:$A$600,0)),0)</f>
        <v>0</v>
      </c>
      <c r="DF223" s="28" t="n">
        <f aca="false">IFERROR(INDEX(Assessments!$J$2:$J$600,MATCH($H223&amp;"|"&amp;$I223&amp;"|"&amp;$J223&amp;"|"&amp;10,Assessments!$A$2:$A$600,0)),0)</f>
        <v>0</v>
      </c>
      <c r="DG223" s="28" t="n">
        <f aca="false">IFERROR(INDEX(Assessments!$J$2:$J$600,MATCH($H223&amp;"|"&amp;$I223&amp;"|"&amp;$J223&amp;"|"&amp;11,Assessments!$A$2:$A$600,0)),0)</f>
        <v>0</v>
      </c>
      <c r="DH223" s="28" t="n">
        <f aca="false">IFERROR(INDEX(Assessments!$J$2:$J$600,MATCH($H223&amp;"|"&amp;$I223&amp;"|"&amp;$J223&amp;"|"&amp;12,Assessments!$A$2:$A$600,0)),0)</f>
        <v>0</v>
      </c>
      <c r="DI223" s="28" t="n">
        <f aca="false">IFERROR(INDEX(Assessments!$J$2:$J$600,MATCH($H223&amp;"|"&amp;$I223&amp;"|"&amp;$J223&amp;"|"&amp;13,Assessments!$A$2:$A$600,0)),0)</f>
        <v>0</v>
      </c>
      <c r="DJ223" s="28" t="n">
        <f aca="false">IFERROR(INDEX(Assessments!$J$2:$J$600,MATCH($H223&amp;"|"&amp;$I223&amp;"|"&amp;$J223&amp;"|"&amp;14,Assessments!$A$2:$A$600,0)),0)</f>
        <v>0</v>
      </c>
      <c r="DK223" s="28" t="str">
        <f aca="false">S223</f>
        <v/>
      </c>
      <c r="DL223" s="28" t="str">
        <f aca="false">W223</f>
        <v/>
      </c>
      <c r="DM223" s="28" t="str">
        <f aca="false">AA223</f>
        <v/>
      </c>
      <c r="DN223" s="28" t="str">
        <f aca="false">AE223</f>
        <v/>
      </c>
      <c r="DO223" s="28" t="str">
        <f aca="false">AI223</f>
        <v/>
      </c>
      <c r="DP223" s="28" t="str">
        <f aca="false">AM223</f>
        <v/>
      </c>
      <c r="DQ223" s="28" t="str">
        <f aca="false">AQ223</f>
        <v/>
      </c>
      <c r="DR223" s="28" t="str">
        <f aca="false">AU223</f>
        <v/>
      </c>
      <c r="DS223" s="28" t="str">
        <f aca="false">AY223</f>
        <v/>
      </c>
      <c r="DT223" s="28" t="str">
        <f aca="false">BC223</f>
        <v/>
      </c>
      <c r="DU223" s="28" t="str">
        <f aca="false">BG223</f>
        <v/>
      </c>
      <c r="DV223" s="28" t="str">
        <f aca="false">BK223</f>
        <v/>
      </c>
      <c r="DW223" s="28" t="str">
        <f aca="false">BO223</f>
        <v/>
      </c>
      <c r="DX223" s="28" t="str">
        <f aca="false">BS223</f>
        <v/>
      </c>
      <c r="DY223" s="28" t="str">
        <f aca="false">IF(ISNUMBER(S223),1,"")</f>
        <v/>
      </c>
      <c r="DZ223" s="28" t="str">
        <f aca="false">IF(ISNUMBER(W223),2,"")</f>
        <v/>
      </c>
      <c r="EA223" s="28" t="str">
        <f aca="false">IF(ISNUMBER(AA223),3,"")</f>
        <v/>
      </c>
      <c r="EB223" s="28" t="str">
        <f aca="false">IF(ISNUMBER(AE223),4,"")</f>
        <v/>
      </c>
      <c r="EC223" s="28" t="str">
        <f aca="false">IF(ISNUMBER(AI223),5,"")</f>
        <v/>
      </c>
      <c r="ED223" s="28" t="str">
        <f aca="false">IF(ISNUMBER(AM223),6,"")</f>
        <v/>
      </c>
      <c r="EE223" s="28" t="str">
        <f aca="false">IF(ISNUMBER(AQ223),7,"")</f>
        <v/>
      </c>
      <c r="EF223" s="28" t="str">
        <f aca="false">IF(ISNUMBER(AU223),8,"")</f>
        <v/>
      </c>
      <c r="EG223" s="28" t="str">
        <f aca="false">IF(ISNUMBER(AY223),9,"")</f>
        <v/>
      </c>
      <c r="EH223" s="28" t="str">
        <f aca="false">IF(ISNUMBER(BC223),10,"")</f>
        <v/>
      </c>
      <c r="EI223" s="28" t="str">
        <f aca="false">IF(ISNUMBER(BG223),11,"")</f>
        <v/>
      </c>
      <c r="EJ223" s="28" t="str">
        <f aca="false">IF(ISNUMBER(BK223),12,"")</f>
        <v/>
      </c>
      <c r="EK223" s="28" t="str">
        <f aca="false">IF(ISNUMBER(BO223),13,"")</f>
        <v/>
      </c>
      <c r="EL223" s="28" t="str">
        <f aca="false">IF(ISNUMBER(BS223),14,"")</f>
        <v/>
      </c>
      <c r="EM223" s="28" t="n">
        <f aca="false">IF(ISNUMBER(R223),R223*CW223,0)</f>
        <v>0</v>
      </c>
      <c r="EN223" s="28" t="n">
        <f aca="false">IF(ISNUMBER(V223),V223*CX223,0)</f>
        <v>0</v>
      </c>
      <c r="EO223" s="28" t="n">
        <f aca="false">IF(ISNUMBER(Z223),Z223*CY223,0)</f>
        <v>0</v>
      </c>
      <c r="EP223" s="28" t="n">
        <f aca="false">IF(ISNUMBER(AD223),AD223*CZ223,0)</f>
        <v>0</v>
      </c>
      <c r="EQ223" s="28" t="n">
        <f aca="false">IF(ISNUMBER(AH223),AH223*DA223,0)</f>
        <v>0</v>
      </c>
      <c r="ER223" s="28" t="n">
        <f aca="false">IF(ISNUMBER(AL223),AL223*DB223,0)</f>
        <v>0</v>
      </c>
      <c r="ES223" s="28" t="n">
        <f aca="false">IF(ISNUMBER(AP223),AP223*DC223,0)</f>
        <v>0</v>
      </c>
      <c r="ET223" s="28" t="n">
        <f aca="false">IF(ISNUMBER(AT223),AT223*DD223,0)</f>
        <v>0</v>
      </c>
      <c r="EU223" s="28" t="n">
        <f aca="false">IF(ISNUMBER(AX223),AX223*DE223,0)</f>
        <v>0</v>
      </c>
      <c r="EV223" s="28" t="n">
        <f aca="false">IF(ISNUMBER(BB223),BB223*DF223,0)</f>
        <v>0</v>
      </c>
      <c r="EW223" s="28" t="n">
        <f aca="false">IF(ISNUMBER(BF223),BF223*DG223,0)</f>
        <v>0</v>
      </c>
      <c r="EX223" s="28" t="n">
        <f aca="false">IF(ISNUMBER(BJ223),BJ223*DH223,0)</f>
        <v>0</v>
      </c>
      <c r="EY223" s="28" t="n">
        <f aca="false">IF(ISNUMBER(BN223),BN223*DI223,0)</f>
        <v>0</v>
      </c>
      <c r="EZ223" s="28" t="n">
        <f aca="false">IF(ISNUMBER(BR223),BR223*DJ223,0)</f>
        <v>0</v>
      </c>
      <c r="FA223" s="28" t="n">
        <f aca="false">IF(ISNUMBER(R223),CW223,0)</f>
        <v>0</v>
      </c>
      <c r="FB223" s="28" t="n">
        <f aca="false">IF(ISNUMBER(V223),CX223,0)</f>
        <v>0</v>
      </c>
      <c r="FC223" s="28" t="n">
        <f aca="false">IF(ISNUMBER(Z223),CY223,0)</f>
        <v>0</v>
      </c>
      <c r="FD223" s="28" t="n">
        <f aca="false">IF(ISNUMBER(AD223),CZ223,0)</f>
        <v>0</v>
      </c>
      <c r="FE223" s="28" t="n">
        <f aca="false">IF(ISNUMBER(AH223),DA223,0)</f>
        <v>0</v>
      </c>
      <c r="FF223" s="28" t="n">
        <f aca="false">IF(ISNUMBER(AL223),DB223,0)</f>
        <v>0</v>
      </c>
      <c r="FG223" s="28" t="n">
        <f aca="false">IF(ISNUMBER(AP223),DC223,0)</f>
        <v>0</v>
      </c>
      <c r="FH223" s="28" t="n">
        <f aca="false">IF(ISNUMBER(AT223),DD223,0)</f>
        <v>0</v>
      </c>
      <c r="FI223" s="28" t="n">
        <f aca="false">IF(ISNUMBER(AX223),DE223,0)</f>
        <v>0</v>
      </c>
      <c r="FJ223" s="28" t="n">
        <f aca="false">IF(ISNUMBER(BB223),DF223,0)</f>
        <v>0</v>
      </c>
      <c r="FK223" s="28" t="n">
        <f aca="false">IF(ISNUMBER(BF223),DG223,0)</f>
        <v>0</v>
      </c>
      <c r="FL223" s="28" t="n">
        <f aca="false">IF(ISNUMBER(BJ223),DH223,0)</f>
        <v>0</v>
      </c>
      <c r="FM223" s="28" t="n">
        <f aca="false">IF(ISNUMBER(BN223),DI223,0)</f>
        <v>0</v>
      </c>
      <c r="FN223" s="28" t="n">
        <f aca="false">IF(ISNUMBER(BR223),DJ223,0)</f>
        <v>0</v>
      </c>
      <c r="FO223" s="28" t="str">
        <f aca="false">IFERROR(INDEX(Lists!$G$2:$G$20,MATCH($I223&amp;"|"&amp;$J223,Lists!$F$2:$F$20,0)),"")</f>
        <v>Econ Exam</v>
      </c>
    </row>
    <row r="224" customFormat="false" ht="19.5" hidden="false" customHeight="true" outlineLevel="0" collapsed="false">
      <c r="A224" s="29" t="s">
        <v>447</v>
      </c>
      <c r="B224" s="29" t="s">
        <v>448</v>
      </c>
      <c r="C224" s="30" t="s">
        <v>152</v>
      </c>
      <c r="D224" s="30" t="s">
        <v>271</v>
      </c>
      <c r="E224" s="31"/>
      <c r="F224" s="30"/>
      <c r="G224" s="30"/>
      <c r="H224" s="32" t="s">
        <v>428</v>
      </c>
      <c r="I224" s="33" t="s">
        <v>229</v>
      </c>
      <c r="J224" s="32" t="s">
        <v>25</v>
      </c>
      <c r="K224" s="34" t="str">
        <f aca="false">IF(OR(M224="",$E224=""),"",M224-$E224)</f>
        <v/>
      </c>
      <c r="L224" s="35" t="str">
        <f aca="false">IF(SUM(FA224:FN224)=0,"",SUM(EM224:EZ224)/SUM(FA224:FN224))</f>
        <v/>
      </c>
      <c r="M224" s="36" t="str">
        <f aca="false">IF(OR(L224="",FO224=""),"",IFERROR(MATCH(L224,INDEX(Boundaries!$B$2:$I$30,MATCH(FO224,Boundaries!$A$2:$A$30,0),0),1)-1,""))</f>
        <v/>
      </c>
      <c r="N224" s="37" t="str">
        <f aca="false">IF(COUNT($DY224:$EL224)&lt;2,"",INDEX($DK224:$DX224,MAX($DY224:$EL224))-INDEX($DK224:$DX224,MIN($DY224:$EL224)))</f>
        <v/>
      </c>
      <c r="O224" s="37" t="str">
        <f aca="false">IF(COUNT($DY224:$EL224)&lt;2,"",INDEX($DK224:$DX224,MAX($DY224:$EL224))-INDEX($DK224:$DX224,LARGE($DY224:$EL224,2)))</f>
        <v/>
      </c>
      <c r="P224" s="38" t="str">
        <f aca="false">IF(K224="","",IF(K224&gt;=0,"On/above target",IF(AND(N224&lt;&gt;"",N224&gt;=0.5),"Improving towards target",IF(AND(O224&lt;&gt;"",O224&lt;=-0.5),"Declining","Stable below target"))))</f>
        <v/>
      </c>
      <c r="Q224" s="39"/>
      <c r="R224" s="40" t="str">
        <f aca="false">IF(OR(Q224="",BU224=""),"",Q224/BU224*100)</f>
        <v/>
      </c>
      <c r="S224" s="41" t="str">
        <f aca="false">IF(R224="","",IFERROR(MATCH(R224,INDEX(Boundaries!$B$2:$I$30,MATCH(CI224,Boundaries!$A$2:$A$30,0),0),1)-1,""))</f>
        <v/>
      </c>
      <c r="T224" s="42" t="str">
        <f aca="false">IF(OR(S224="",$E224=""),"",S224-$E224)</f>
        <v/>
      </c>
      <c r="U224" s="39"/>
      <c r="V224" s="40" t="str">
        <f aca="false">IF(OR(U224="",BV224=""),"",U224/BV224*100)</f>
        <v/>
      </c>
      <c r="W224" s="41" t="str">
        <f aca="false">IF(V224="","",IFERROR(MATCH(V224,INDEX(Boundaries!$B$2:$I$30,MATCH(CJ224,Boundaries!$A$2:$A$30,0),0),1)-1,""))</f>
        <v/>
      </c>
      <c r="X224" s="42" t="str">
        <f aca="false">IF(OR(W224="",$E224=""),"",W224-$E224)</f>
        <v/>
      </c>
      <c r="Y224" s="39"/>
      <c r="Z224" s="40" t="str">
        <f aca="false">IF(OR(Y224="",BW224=""),"",Y224/BW224*100)</f>
        <v/>
      </c>
      <c r="AA224" s="41" t="str">
        <f aca="false">IF(Z224="","",IFERROR(MATCH(Z224,INDEX(Boundaries!$B$2:$I$30,MATCH(CK224,Boundaries!$A$2:$A$30,0),0),1)-1,""))</f>
        <v/>
      </c>
      <c r="AB224" s="42" t="str">
        <f aca="false">IF(OR(AA224="",$E224=""),"",AA224-$E224)</f>
        <v/>
      </c>
      <c r="AC224" s="39"/>
      <c r="AD224" s="40" t="str">
        <f aca="false">IF(OR(AC224="",BX224=""),"",AC224/BX224*100)</f>
        <v/>
      </c>
      <c r="AE224" s="41" t="str">
        <f aca="false">IF(AD224="","",IFERROR(MATCH(AD224,INDEX(Boundaries!$B$2:$I$30,MATCH(CL224,Boundaries!$A$2:$A$30,0),0),1)-1,""))</f>
        <v/>
      </c>
      <c r="AF224" s="42" t="str">
        <f aca="false">IF(OR(AE224="",$E224=""),"",AE224-$E224)</f>
        <v/>
      </c>
      <c r="AG224" s="39"/>
      <c r="AH224" s="40" t="str">
        <f aca="false">IF(OR(AG224="",BY224=""),"",AG224/BY224*100)</f>
        <v/>
      </c>
      <c r="AI224" s="41" t="str">
        <f aca="false">IF(AH224="","",IFERROR(MATCH(AH224,INDEX(Boundaries!$B$2:$I$30,MATCH(CM224,Boundaries!$A$2:$A$30,0),0),1)-1,""))</f>
        <v/>
      </c>
      <c r="AJ224" s="42" t="str">
        <f aca="false">IF(OR(AI224="",$E224=""),"",AI224-$E224)</f>
        <v/>
      </c>
      <c r="AK224" s="39"/>
      <c r="AL224" s="40" t="str">
        <f aca="false">IF(OR(AK224="",BZ224=""),"",AK224/BZ224*100)</f>
        <v/>
      </c>
      <c r="AM224" s="41" t="str">
        <f aca="false">IF(AL224="","",IFERROR(MATCH(AL224,INDEX(Boundaries!$B$2:$I$30,MATCH(CN224,Boundaries!$A$2:$A$30,0),0),1)-1,""))</f>
        <v/>
      </c>
      <c r="AN224" s="42" t="str">
        <f aca="false">IF(OR(AM224="",$E224=""),"",AM224-$E224)</f>
        <v/>
      </c>
      <c r="AO224" s="39"/>
      <c r="AP224" s="40" t="str">
        <f aca="false">IF(OR(AO224="",CA224=""),"",AO224/CA224*100)</f>
        <v/>
      </c>
      <c r="AQ224" s="41" t="str">
        <f aca="false">IF(AP224="","",IFERROR(MATCH(AP224,INDEX(Boundaries!$B$2:$I$30,MATCH(CO224,Boundaries!$A$2:$A$30,0),0),1)-1,""))</f>
        <v/>
      </c>
      <c r="AR224" s="42" t="str">
        <f aca="false">IF(OR(AQ224="",$E224=""),"",AQ224-$E224)</f>
        <v/>
      </c>
      <c r="AS224" s="39"/>
      <c r="AT224" s="40" t="str">
        <f aca="false">IF(OR(AS224="",CB224=""),"",AS224/CB224*100)</f>
        <v/>
      </c>
      <c r="AU224" s="41" t="str">
        <f aca="false">IF(AT224="","",IFERROR(MATCH(AT224,INDEX(Boundaries!$B$2:$I$30,MATCH(CP224,Boundaries!$A$2:$A$30,0),0),1)-1,""))</f>
        <v/>
      </c>
      <c r="AV224" s="42" t="str">
        <f aca="false">IF(OR(AU224="",$E224=""),"",AU224-$E224)</f>
        <v/>
      </c>
      <c r="AW224" s="39"/>
      <c r="AX224" s="40" t="str">
        <f aca="false">IF(OR(AW224="",CC224=""),"",AW224/CC224*100)</f>
        <v/>
      </c>
      <c r="AY224" s="41" t="str">
        <f aca="false">IF(AX224="","",IFERROR(MATCH(AX224,INDEX(Boundaries!$B$2:$I$30,MATCH(CQ224,Boundaries!$A$2:$A$30,0),0),1)-1,""))</f>
        <v/>
      </c>
      <c r="AZ224" s="42" t="str">
        <f aca="false">IF(OR(AY224="",$E224=""),"",AY224-$E224)</f>
        <v/>
      </c>
      <c r="BA224" s="39"/>
      <c r="BB224" s="40" t="str">
        <f aca="false">IF(OR(BA224="",CD224=""),"",BA224/CD224*100)</f>
        <v/>
      </c>
      <c r="BC224" s="41" t="str">
        <f aca="false">IF(BB224="","",IFERROR(MATCH(BB224,INDEX(Boundaries!$B$2:$I$30,MATCH(CR224,Boundaries!$A$2:$A$30,0),0),1)-1,""))</f>
        <v/>
      </c>
      <c r="BD224" s="42" t="str">
        <f aca="false">IF(OR(BC224="",$E224=""),"",BC224-$E224)</f>
        <v/>
      </c>
      <c r="BE224" s="39"/>
      <c r="BF224" s="40" t="str">
        <f aca="false">IF(OR(BE224="",CE224=""),"",BE224/CE224*100)</f>
        <v/>
      </c>
      <c r="BG224" s="41" t="str">
        <f aca="false">IF(BF224="","",IFERROR(MATCH(BF224,INDEX(Boundaries!$B$2:$I$30,MATCH(CS224,Boundaries!$A$2:$A$30,0),0),1)-1,""))</f>
        <v/>
      </c>
      <c r="BH224" s="42" t="str">
        <f aca="false">IF(OR(BG224="",$E224=""),"",BG224-$E224)</f>
        <v/>
      </c>
      <c r="BI224" s="39"/>
      <c r="BJ224" s="40" t="str">
        <f aca="false">IF(OR(BI224="",CF224=""),"",BI224/CF224*100)</f>
        <v/>
      </c>
      <c r="BK224" s="41" t="str">
        <f aca="false">IF(BJ224="","",IFERROR(MATCH(BJ224,INDEX(Boundaries!$B$2:$I$30,MATCH(CT224,Boundaries!$A$2:$A$30,0),0),1)-1,""))</f>
        <v/>
      </c>
      <c r="BL224" s="42" t="str">
        <f aca="false">IF(OR(BK224="",$E224=""),"",BK224-$E224)</f>
        <v/>
      </c>
      <c r="BM224" s="39"/>
      <c r="BN224" s="40" t="str">
        <f aca="false">IF(OR(BM224="",CG224=""),"",BM224/CG224*100)</f>
        <v/>
      </c>
      <c r="BO224" s="41" t="str">
        <f aca="false">IF(BN224="","",IFERROR(MATCH(BN224,INDEX(Boundaries!$B$2:$I$30,MATCH(CU224,Boundaries!$A$2:$A$30,0),0),1)-1,""))</f>
        <v/>
      </c>
      <c r="BP224" s="42" t="str">
        <f aca="false">IF(OR(BO224="",$E224=""),"",BO224-$E224)</f>
        <v/>
      </c>
      <c r="BQ224" s="39"/>
      <c r="BR224" s="40" t="str">
        <f aca="false">IF(OR(BQ224="",CH224=""),"",BQ224/CH224*100)</f>
        <v/>
      </c>
      <c r="BS224" s="41" t="str">
        <f aca="false">IF(BR224="","",IFERROR(MATCH(BR224,INDEX(Boundaries!$B$2:$I$30,MATCH(CV224,Boundaries!$A$2:$A$30,0),0),1)-1,""))</f>
        <v/>
      </c>
      <c r="BT224" s="42" t="str">
        <f aca="false">IF(OR(BS224="",$E224=""),"",BS224-$E224)</f>
        <v/>
      </c>
      <c r="BU224" s="28" t="n">
        <f aca="false">IFERROR(INDEX(Assessments!$H$2:$H$600,MATCH($H224&amp;"|"&amp;$I224&amp;"|"&amp;$J224&amp;"|"&amp;1,Assessments!$A$2:$A$600,0)),"")</f>
        <v>25</v>
      </c>
      <c r="BV224" s="28" t="n">
        <f aca="false">IFERROR(INDEX(Assessments!$H$2:$H$600,MATCH($H224&amp;"|"&amp;$I224&amp;"|"&amp;$J224&amp;"|"&amp;2,Assessments!$A$2:$A$600,0)),"")</f>
        <v>24</v>
      </c>
      <c r="BW224" s="28" t="n">
        <f aca="false">IFERROR(INDEX(Assessments!$H$2:$H$600,MATCH($H224&amp;"|"&amp;$I224&amp;"|"&amp;$J224&amp;"|"&amp;3,Assessments!$A$2:$A$600,0)),"")</f>
        <v>25</v>
      </c>
      <c r="BX224" s="28" t="n">
        <f aca="false">IFERROR(INDEX(Assessments!$H$2:$H$600,MATCH($H224&amp;"|"&amp;$I224&amp;"|"&amp;$J224&amp;"|"&amp;4,Assessments!$A$2:$A$600,0)),"")</f>
        <v>35</v>
      </c>
      <c r="BY224" s="28" t="n">
        <f aca="false">IFERROR(INDEX(Assessments!$H$2:$H$600,MATCH($H224&amp;"|"&amp;$I224&amp;"|"&amp;$J224&amp;"|"&amp;5,Assessments!$A$2:$A$600,0)),"")</f>
        <v>55</v>
      </c>
      <c r="BZ224" s="28" t="n">
        <f aca="false">IFERROR(INDEX(Assessments!$H$2:$H$600,MATCH($H224&amp;"|"&amp;$I224&amp;"|"&amp;$J224&amp;"|"&amp;6,Assessments!$A$2:$A$600,0)),"")</f>
        <v>28</v>
      </c>
      <c r="CA224" s="28" t="n">
        <f aca="false">IFERROR(INDEX(Assessments!$H$2:$H$600,MATCH($H224&amp;"|"&amp;$I224&amp;"|"&amp;$J224&amp;"|"&amp;7,Assessments!$A$2:$A$600,0)),"")</f>
        <v>95</v>
      </c>
      <c r="CB224" s="28" t="str">
        <f aca="false">IFERROR(INDEX(Assessments!$H$2:$H$600,MATCH($H224&amp;"|"&amp;$I224&amp;"|"&amp;$J224&amp;"|"&amp;8,Assessments!$A$2:$A$600,0)),"")</f>
        <v/>
      </c>
      <c r="CC224" s="28" t="str">
        <f aca="false">IFERROR(INDEX(Assessments!$H$2:$H$600,MATCH($H224&amp;"|"&amp;$I224&amp;"|"&amp;$J224&amp;"|"&amp;9,Assessments!$A$2:$A$600,0)),"")</f>
        <v/>
      </c>
      <c r="CD224" s="28" t="str">
        <f aca="false">IFERROR(INDEX(Assessments!$H$2:$H$600,MATCH($H224&amp;"|"&amp;$I224&amp;"|"&amp;$J224&amp;"|"&amp;10,Assessments!$A$2:$A$600,0)),"")</f>
        <v/>
      </c>
      <c r="CE224" s="28" t="str">
        <f aca="false">IFERROR(INDEX(Assessments!$H$2:$H$600,MATCH($H224&amp;"|"&amp;$I224&amp;"|"&amp;$J224&amp;"|"&amp;11,Assessments!$A$2:$A$600,0)),"")</f>
        <v/>
      </c>
      <c r="CF224" s="28" t="str">
        <f aca="false">IFERROR(INDEX(Assessments!$H$2:$H$600,MATCH($H224&amp;"|"&amp;$I224&amp;"|"&amp;$J224&amp;"|"&amp;12,Assessments!$A$2:$A$600,0)),"")</f>
        <v/>
      </c>
      <c r="CG224" s="28" t="str">
        <f aca="false">IFERROR(INDEX(Assessments!$H$2:$H$600,MATCH($H224&amp;"|"&amp;$I224&amp;"|"&amp;$J224&amp;"|"&amp;13,Assessments!$A$2:$A$600,0)),"")</f>
        <v/>
      </c>
      <c r="CH224" s="28" t="str">
        <f aca="false">IFERROR(INDEX(Assessments!$H$2:$H$600,MATCH($H224&amp;"|"&amp;$I224&amp;"|"&amp;$J224&amp;"|"&amp;14,Assessments!$A$2:$A$600,0)),"")</f>
        <v/>
      </c>
      <c r="CI224" s="28" t="str">
        <f aca="false">IFERROR(INDEX(Assessments!$I$2:$I$600,MATCH($H224&amp;"|"&amp;$I224&amp;"|"&amp;$J224&amp;"|"&amp;1,Assessments!$A$2:$A$600,0)),"")</f>
        <v>Econ Test</v>
      </c>
      <c r="CJ224" s="28" t="str">
        <f aca="false">IFERROR(INDEX(Assessments!$I$2:$I$600,MATCH($H224&amp;"|"&amp;$I224&amp;"|"&amp;$J224&amp;"|"&amp;2,Assessments!$A$2:$A$600,0)),"")</f>
        <v>Econ Test</v>
      </c>
      <c r="CK224" s="28" t="str">
        <f aca="false">IFERROR(INDEX(Assessments!$I$2:$I$600,MATCH($H224&amp;"|"&amp;$I224&amp;"|"&amp;$J224&amp;"|"&amp;3,Assessments!$A$2:$A$600,0)),"")</f>
        <v>Econ Test</v>
      </c>
      <c r="CL224" s="28" t="str">
        <f aca="false">IFERROR(INDEX(Assessments!$I$2:$I$600,MATCH($H224&amp;"|"&amp;$I224&amp;"|"&amp;$J224&amp;"|"&amp;4,Assessments!$A$2:$A$600,0)),"")</f>
        <v>Econ Test</v>
      </c>
      <c r="CM224" s="28" t="str">
        <f aca="false">IFERROR(INDEX(Assessments!$I$2:$I$600,MATCH($H224&amp;"|"&amp;$I224&amp;"|"&amp;$J224&amp;"|"&amp;5,Assessments!$A$2:$A$600,0)),"")</f>
        <v>Econ Exam</v>
      </c>
      <c r="CN224" s="28" t="str">
        <f aca="false">IFERROR(INDEX(Assessments!$I$2:$I$600,MATCH($H224&amp;"|"&amp;$I224&amp;"|"&amp;$J224&amp;"|"&amp;6,Assessments!$A$2:$A$600,0)),"")</f>
        <v>Econ Test</v>
      </c>
      <c r="CO224" s="28" t="str">
        <f aca="false">IFERROR(INDEX(Assessments!$I$2:$I$600,MATCH($H224&amp;"|"&amp;$I224&amp;"|"&amp;$J224&amp;"|"&amp;7,Assessments!$A$2:$A$600,0)),"")</f>
        <v>Econ Exam</v>
      </c>
      <c r="CP224" s="28" t="str">
        <f aca="false">IFERROR(INDEX(Assessments!$I$2:$I$600,MATCH($H224&amp;"|"&amp;$I224&amp;"|"&amp;$J224&amp;"|"&amp;8,Assessments!$A$2:$A$600,0)),"")</f>
        <v/>
      </c>
      <c r="CQ224" s="28" t="str">
        <f aca="false">IFERROR(INDEX(Assessments!$I$2:$I$600,MATCH($H224&amp;"|"&amp;$I224&amp;"|"&amp;$J224&amp;"|"&amp;9,Assessments!$A$2:$A$600,0)),"")</f>
        <v/>
      </c>
      <c r="CR224" s="28" t="str">
        <f aca="false">IFERROR(INDEX(Assessments!$I$2:$I$600,MATCH($H224&amp;"|"&amp;$I224&amp;"|"&amp;$J224&amp;"|"&amp;10,Assessments!$A$2:$A$600,0)),"")</f>
        <v/>
      </c>
      <c r="CS224" s="28" t="str">
        <f aca="false">IFERROR(INDEX(Assessments!$I$2:$I$600,MATCH($H224&amp;"|"&amp;$I224&amp;"|"&amp;$J224&amp;"|"&amp;11,Assessments!$A$2:$A$600,0)),"")</f>
        <v/>
      </c>
      <c r="CT224" s="28" t="str">
        <f aca="false">IFERROR(INDEX(Assessments!$I$2:$I$600,MATCH($H224&amp;"|"&amp;$I224&amp;"|"&amp;$J224&amp;"|"&amp;12,Assessments!$A$2:$A$600,0)),"")</f>
        <v/>
      </c>
      <c r="CU224" s="28" t="str">
        <f aca="false">IFERROR(INDEX(Assessments!$I$2:$I$600,MATCH($H224&amp;"|"&amp;$I224&amp;"|"&amp;$J224&amp;"|"&amp;13,Assessments!$A$2:$A$600,0)),"")</f>
        <v/>
      </c>
      <c r="CV224" s="28" t="str">
        <f aca="false">IFERROR(INDEX(Assessments!$I$2:$I$600,MATCH($H224&amp;"|"&amp;$I224&amp;"|"&amp;$J224&amp;"|"&amp;14,Assessments!$A$2:$A$600,0)),"")</f>
        <v/>
      </c>
      <c r="CW224" s="28" t="n">
        <f aca="false">IFERROR(INDEX(Assessments!$J$2:$J$600,MATCH($H224&amp;"|"&amp;$I224&amp;"|"&amp;$J224&amp;"|"&amp;1,Assessments!$A$2:$A$600,0)),0)</f>
        <v>1</v>
      </c>
      <c r="CX224" s="28" t="n">
        <f aca="false">IFERROR(INDEX(Assessments!$J$2:$J$600,MATCH($H224&amp;"|"&amp;$I224&amp;"|"&amp;$J224&amp;"|"&amp;2,Assessments!$A$2:$A$600,0)),0)</f>
        <v>1</v>
      </c>
      <c r="CY224" s="28" t="n">
        <f aca="false">IFERROR(INDEX(Assessments!$J$2:$J$600,MATCH($H224&amp;"|"&amp;$I224&amp;"|"&amp;$J224&amp;"|"&amp;3,Assessments!$A$2:$A$600,0)),0)</f>
        <v>1</v>
      </c>
      <c r="CZ224" s="28" t="n">
        <f aca="false">IFERROR(INDEX(Assessments!$J$2:$J$600,MATCH($H224&amp;"|"&amp;$I224&amp;"|"&amp;$J224&amp;"|"&amp;4,Assessments!$A$2:$A$600,0)),0)</f>
        <v>1</v>
      </c>
      <c r="DA224" s="28" t="n">
        <f aca="false">IFERROR(INDEX(Assessments!$J$2:$J$600,MATCH($H224&amp;"|"&amp;$I224&amp;"|"&amp;$J224&amp;"|"&amp;5,Assessments!$A$2:$A$600,0)),0)</f>
        <v>2</v>
      </c>
      <c r="DB224" s="28" t="n">
        <f aca="false">IFERROR(INDEX(Assessments!$J$2:$J$600,MATCH($H224&amp;"|"&amp;$I224&amp;"|"&amp;$J224&amp;"|"&amp;6,Assessments!$A$2:$A$600,0)),0)</f>
        <v>1</v>
      </c>
      <c r="DC224" s="28" t="n">
        <f aca="false">IFERROR(INDEX(Assessments!$J$2:$J$600,MATCH($H224&amp;"|"&amp;$I224&amp;"|"&amp;$J224&amp;"|"&amp;7,Assessments!$A$2:$A$600,0)),0)</f>
        <v>2</v>
      </c>
      <c r="DD224" s="28" t="n">
        <f aca="false">IFERROR(INDEX(Assessments!$J$2:$J$600,MATCH($H224&amp;"|"&amp;$I224&amp;"|"&amp;$J224&amp;"|"&amp;8,Assessments!$A$2:$A$600,0)),0)</f>
        <v>0</v>
      </c>
      <c r="DE224" s="28" t="n">
        <f aca="false">IFERROR(INDEX(Assessments!$J$2:$J$600,MATCH($H224&amp;"|"&amp;$I224&amp;"|"&amp;$J224&amp;"|"&amp;9,Assessments!$A$2:$A$600,0)),0)</f>
        <v>0</v>
      </c>
      <c r="DF224" s="28" t="n">
        <f aca="false">IFERROR(INDEX(Assessments!$J$2:$J$600,MATCH($H224&amp;"|"&amp;$I224&amp;"|"&amp;$J224&amp;"|"&amp;10,Assessments!$A$2:$A$600,0)),0)</f>
        <v>0</v>
      </c>
      <c r="DG224" s="28" t="n">
        <f aca="false">IFERROR(INDEX(Assessments!$J$2:$J$600,MATCH($H224&amp;"|"&amp;$I224&amp;"|"&amp;$J224&amp;"|"&amp;11,Assessments!$A$2:$A$600,0)),0)</f>
        <v>0</v>
      </c>
      <c r="DH224" s="28" t="n">
        <f aca="false">IFERROR(INDEX(Assessments!$J$2:$J$600,MATCH($H224&amp;"|"&amp;$I224&amp;"|"&amp;$J224&amp;"|"&amp;12,Assessments!$A$2:$A$600,0)),0)</f>
        <v>0</v>
      </c>
      <c r="DI224" s="28" t="n">
        <f aca="false">IFERROR(INDEX(Assessments!$J$2:$J$600,MATCH($H224&amp;"|"&amp;$I224&amp;"|"&amp;$J224&amp;"|"&amp;13,Assessments!$A$2:$A$600,0)),0)</f>
        <v>0</v>
      </c>
      <c r="DJ224" s="28" t="n">
        <f aca="false">IFERROR(INDEX(Assessments!$J$2:$J$600,MATCH($H224&amp;"|"&amp;$I224&amp;"|"&amp;$J224&amp;"|"&amp;14,Assessments!$A$2:$A$600,0)),0)</f>
        <v>0</v>
      </c>
      <c r="DK224" s="28" t="str">
        <f aca="false">S224</f>
        <v/>
      </c>
      <c r="DL224" s="28" t="str">
        <f aca="false">W224</f>
        <v/>
      </c>
      <c r="DM224" s="28" t="str">
        <f aca="false">AA224</f>
        <v/>
      </c>
      <c r="DN224" s="28" t="str">
        <f aca="false">AE224</f>
        <v/>
      </c>
      <c r="DO224" s="28" t="str">
        <f aca="false">AI224</f>
        <v/>
      </c>
      <c r="DP224" s="28" t="str">
        <f aca="false">AM224</f>
        <v/>
      </c>
      <c r="DQ224" s="28" t="str">
        <f aca="false">AQ224</f>
        <v/>
      </c>
      <c r="DR224" s="28" t="str">
        <f aca="false">AU224</f>
        <v/>
      </c>
      <c r="DS224" s="28" t="str">
        <f aca="false">AY224</f>
        <v/>
      </c>
      <c r="DT224" s="28" t="str">
        <f aca="false">BC224</f>
        <v/>
      </c>
      <c r="DU224" s="28" t="str">
        <f aca="false">BG224</f>
        <v/>
      </c>
      <c r="DV224" s="28" t="str">
        <f aca="false">BK224</f>
        <v/>
      </c>
      <c r="DW224" s="28" t="str">
        <f aca="false">BO224</f>
        <v/>
      </c>
      <c r="DX224" s="28" t="str">
        <f aca="false">BS224</f>
        <v/>
      </c>
      <c r="DY224" s="28" t="str">
        <f aca="false">IF(ISNUMBER(S224),1,"")</f>
        <v/>
      </c>
      <c r="DZ224" s="28" t="str">
        <f aca="false">IF(ISNUMBER(W224),2,"")</f>
        <v/>
      </c>
      <c r="EA224" s="28" t="str">
        <f aca="false">IF(ISNUMBER(AA224),3,"")</f>
        <v/>
      </c>
      <c r="EB224" s="28" t="str">
        <f aca="false">IF(ISNUMBER(AE224),4,"")</f>
        <v/>
      </c>
      <c r="EC224" s="28" t="str">
        <f aca="false">IF(ISNUMBER(AI224),5,"")</f>
        <v/>
      </c>
      <c r="ED224" s="28" t="str">
        <f aca="false">IF(ISNUMBER(AM224),6,"")</f>
        <v/>
      </c>
      <c r="EE224" s="28" t="str">
        <f aca="false">IF(ISNUMBER(AQ224),7,"")</f>
        <v/>
      </c>
      <c r="EF224" s="28" t="str">
        <f aca="false">IF(ISNUMBER(AU224),8,"")</f>
        <v/>
      </c>
      <c r="EG224" s="28" t="str">
        <f aca="false">IF(ISNUMBER(AY224),9,"")</f>
        <v/>
      </c>
      <c r="EH224" s="28" t="str">
        <f aca="false">IF(ISNUMBER(BC224),10,"")</f>
        <v/>
      </c>
      <c r="EI224" s="28" t="str">
        <f aca="false">IF(ISNUMBER(BG224),11,"")</f>
        <v/>
      </c>
      <c r="EJ224" s="28" t="str">
        <f aca="false">IF(ISNUMBER(BK224),12,"")</f>
        <v/>
      </c>
      <c r="EK224" s="28" t="str">
        <f aca="false">IF(ISNUMBER(BO224),13,"")</f>
        <v/>
      </c>
      <c r="EL224" s="28" t="str">
        <f aca="false">IF(ISNUMBER(BS224),14,"")</f>
        <v/>
      </c>
      <c r="EM224" s="28" t="n">
        <f aca="false">IF(ISNUMBER(R224),R224*CW224,0)</f>
        <v>0</v>
      </c>
      <c r="EN224" s="28" t="n">
        <f aca="false">IF(ISNUMBER(V224),V224*CX224,0)</f>
        <v>0</v>
      </c>
      <c r="EO224" s="28" t="n">
        <f aca="false">IF(ISNUMBER(Z224),Z224*CY224,0)</f>
        <v>0</v>
      </c>
      <c r="EP224" s="28" t="n">
        <f aca="false">IF(ISNUMBER(AD224),AD224*CZ224,0)</f>
        <v>0</v>
      </c>
      <c r="EQ224" s="28" t="n">
        <f aca="false">IF(ISNUMBER(AH224),AH224*DA224,0)</f>
        <v>0</v>
      </c>
      <c r="ER224" s="28" t="n">
        <f aca="false">IF(ISNUMBER(AL224),AL224*DB224,0)</f>
        <v>0</v>
      </c>
      <c r="ES224" s="28" t="n">
        <f aca="false">IF(ISNUMBER(AP224),AP224*DC224,0)</f>
        <v>0</v>
      </c>
      <c r="ET224" s="28" t="n">
        <f aca="false">IF(ISNUMBER(AT224),AT224*DD224,0)</f>
        <v>0</v>
      </c>
      <c r="EU224" s="28" t="n">
        <f aca="false">IF(ISNUMBER(AX224),AX224*DE224,0)</f>
        <v>0</v>
      </c>
      <c r="EV224" s="28" t="n">
        <f aca="false">IF(ISNUMBER(BB224),BB224*DF224,0)</f>
        <v>0</v>
      </c>
      <c r="EW224" s="28" t="n">
        <f aca="false">IF(ISNUMBER(BF224),BF224*DG224,0)</f>
        <v>0</v>
      </c>
      <c r="EX224" s="28" t="n">
        <f aca="false">IF(ISNUMBER(BJ224),BJ224*DH224,0)</f>
        <v>0</v>
      </c>
      <c r="EY224" s="28" t="n">
        <f aca="false">IF(ISNUMBER(BN224),BN224*DI224,0)</f>
        <v>0</v>
      </c>
      <c r="EZ224" s="28" t="n">
        <f aca="false">IF(ISNUMBER(BR224),BR224*DJ224,0)</f>
        <v>0</v>
      </c>
      <c r="FA224" s="28" t="n">
        <f aca="false">IF(ISNUMBER(R224),CW224,0)</f>
        <v>0</v>
      </c>
      <c r="FB224" s="28" t="n">
        <f aca="false">IF(ISNUMBER(V224),CX224,0)</f>
        <v>0</v>
      </c>
      <c r="FC224" s="28" t="n">
        <f aca="false">IF(ISNUMBER(Z224),CY224,0)</f>
        <v>0</v>
      </c>
      <c r="FD224" s="28" t="n">
        <f aca="false">IF(ISNUMBER(AD224),CZ224,0)</f>
        <v>0</v>
      </c>
      <c r="FE224" s="28" t="n">
        <f aca="false">IF(ISNUMBER(AH224),DA224,0)</f>
        <v>0</v>
      </c>
      <c r="FF224" s="28" t="n">
        <f aca="false">IF(ISNUMBER(AL224),DB224,0)</f>
        <v>0</v>
      </c>
      <c r="FG224" s="28" t="n">
        <f aca="false">IF(ISNUMBER(AP224),DC224,0)</f>
        <v>0</v>
      </c>
      <c r="FH224" s="28" t="n">
        <f aca="false">IF(ISNUMBER(AT224),DD224,0)</f>
        <v>0</v>
      </c>
      <c r="FI224" s="28" t="n">
        <f aca="false">IF(ISNUMBER(AX224),DE224,0)</f>
        <v>0</v>
      </c>
      <c r="FJ224" s="28" t="n">
        <f aca="false">IF(ISNUMBER(BB224),DF224,0)</f>
        <v>0</v>
      </c>
      <c r="FK224" s="28" t="n">
        <f aca="false">IF(ISNUMBER(BF224),DG224,0)</f>
        <v>0</v>
      </c>
      <c r="FL224" s="28" t="n">
        <f aca="false">IF(ISNUMBER(BJ224),DH224,0)</f>
        <v>0</v>
      </c>
      <c r="FM224" s="28" t="n">
        <f aca="false">IF(ISNUMBER(BN224),DI224,0)</f>
        <v>0</v>
      </c>
      <c r="FN224" s="28" t="n">
        <f aca="false">IF(ISNUMBER(BR224),DJ224,0)</f>
        <v>0</v>
      </c>
      <c r="FO224" s="28" t="str">
        <f aca="false">IFERROR(INDEX(Lists!$G$2:$G$20,MATCH($I224&amp;"|"&amp;$J224,Lists!$F$2:$F$20,0)),"")</f>
        <v>Econ Exam</v>
      </c>
    </row>
    <row r="225" customFormat="false" ht="19.5" hidden="false" customHeight="true" outlineLevel="0" collapsed="false">
      <c r="A225" s="29" t="s">
        <v>475</v>
      </c>
      <c r="B225" s="29" t="s">
        <v>476</v>
      </c>
      <c r="C225" s="30" t="s">
        <v>152</v>
      </c>
      <c r="D225" s="30" t="s">
        <v>271</v>
      </c>
      <c r="E225" s="31"/>
      <c r="F225" s="30"/>
      <c r="G225" s="30"/>
      <c r="H225" s="32" t="s">
        <v>428</v>
      </c>
      <c r="I225" s="33" t="s">
        <v>229</v>
      </c>
      <c r="J225" s="32" t="s">
        <v>25</v>
      </c>
      <c r="K225" s="34" t="str">
        <f aca="false">IF(OR(M225="",$E225=""),"",M225-$E225)</f>
        <v/>
      </c>
      <c r="L225" s="35" t="str">
        <f aca="false">IF(SUM(FA225:FN225)=0,"",SUM(EM225:EZ225)/SUM(FA225:FN225))</f>
        <v/>
      </c>
      <c r="M225" s="36" t="str">
        <f aca="false">IF(OR(L225="",FO225=""),"",IFERROR(MATCH(L225,INDEX(Boundaries!$B$2:$I$30,MATCH(FO225,Boundaries!$A$2:$A$30,0),0),1)-1,""))</f>
        <v/>
      </c>
      <c r="N225" s="37" t="str">
        <f aca="false">IF(COUNT($DY225:$EL225)&lt;2,"",INDEX($DK225:$DX225,MAX($DY225:$EL225))-INDEX($DK225:$DX225,MIN($DY225:$EL225)))</f>
        <v/>
      </c>
      <c r="O225" s="37" t="str">
        <f aca="false">IF(COUNT($DY225:$EL225)&lt;2,"",INDEX($DK225:$DX225,MAX($DY225:$EL225))-INDEX($DK225:$DX225,LARGE($DY225:$EL225,2)))</f>
        <v/>
      </c>
      <c r="P225" s="38" t="str">
        <f aca="false">IF(K225="","",IF(K225&gt;=0,"On/above target",IF(AND(N225&lt;&gt;"",N225&gt;=0.5),"Improving towards target",IF(AND(O225&lt;&gt;"",O225&lt;=-0.5),"Declining","Stable below target"))))</f>
        <v/>
      </c>
      <c r="Q225" s="39"/>
      <c r="R225" s="40" t="str">
        <f aca="false">IF(OR(Q225="",BU225=""),"",Q225/BU225*100)</f>
        <v/>
      </c>
      <c r="S225" s="41" t="str">
        <f aca="false">IF(R225="","",IFERROR(MATCH(R225,INDEX(Boundaries!$B$2:$I$30,MATCH(CI225,Boundaries!$A$2:$A$30,0),0),1)-1,""))</f>
        <v/>
      </c>
      <c r="T225" s="42" t="str">
        <f aca="false">IF(OR(S225="",$E225=""),"",S225-$E225)</f>
        <v/>
      </c>
      <c r="U225" s="39"/>
      <c r="V225" s="40" t="str">
        <f aca="false">IF(OR(U225="",BV225=""),"",U225/BV225*100)</f>
        <v/>
      </c>
      <c r="W225" s="41" t="str">
        <f aca="false">IF(V225="","",IFERROR(MATCH(V225,INDEX(Boundaries!$B$2:$I$30,MATCH(CJ225,Boundaries!$A$2:$A$30,0),0),1)-1,""))</f>
        <v/>
      </c>
      <c r="X225" s="42" t="str">
        <f aca="false">IF(OR(W225="",$E225=""),"",W225-$E225)</f>
        <v/>
      </c>
      <c r="Y225" s="39"/>
      <c r="Z225" s="40" t="str">
        <f aca="false">IF(OR(Y225="",BW225=""),"",Y225/BW225*100)</f>
        <v/>
      </c>
      <c r="AA225" s="41" t="str">
        <f aca="false">IF(Z225="","",IFERROR(MATCH(Z225,INDEX(Boundaries!$B$2:$I$30,MATCH(CK225,Boundaries!$A$2:$A$30,0),0),1)-1,""))</f>
        <v/>
      </c>
      <c r="AB225" s="42" t="str">
        <f aca="false">IF(OR(AA225="",$E225=""),"",AA225-$E225)</f>
        <v/>
      </c>
      <c r="AC225" s="39"/>
      <c r="AD225" s="40" t="str">
        <f aca="false">IF(OR(AC225="",BX225=""),"",AC225/BX225*100)</f>
        <v/>
      </c>
      <c r="AE225" s="41" t="str">
        <f aca="false">IF(AD225="","",IFERROR(MATCH(AD225,INDEX(Boundaries!$B$2:$I$30,MATCH(CL225,Boundaries!$A$2:$A$30,0),0),1)-1,""))</f>
        <v/>
      </c>
      <c r="AF225" s="42" t="str">
        <f aca="false">IF(OR(AE225="",$E225=""),"",AE225-$E225)</f>
        <v/>
      </c>
      <c r="AG225" s="39"/>
      <c r="AH225" s="40" t="str">
        <f aca="false">IF(OR(AG225="",BY225=""),"",AG225/BY225*100)</f>
        <v/>
      </c>
      <c r="AI225" s="41" t="str">
        <f aca="false">IF(AH225="","",IFERROR(MATCH(AH225,INDEX(Boundaries!$B$2:$I$30,MATCH(CM225,Boundaries!$A$2:$A$30,0),0),1)-1,""))</f>
        <v/>
      </c>
      <c r="AJ225" s="42" t="str">
        <f aca="false">IF(OR(AI225="",$E225=""),"",AI225-$E225)</f>
        <v/>
      </c>
      <c r="AK225" s="39"/>
      <c r="AL225" s="40" t="str">
        <f aca="false">IF(OR(AK225="",BZ225=""),"",AK225/BZ225*100)</f>
        <v/>
      </c>
      <c r="AM225" s="41" t="str">
        <f aca="false">IF(AL225="","",IFERROR(MATCH(AL225,INDEX(Boundaries!$B$2:$I$30,MATCH(CN225,Boundaries!$A$2:$A$30,0),0),1)-1,""))</f>
        <v/>
      </c>
      <c r="AN225" s="42" t="str">
        <f aca="false">IF(OR(AM225="",$E225=""),"",AM225-$E225)</f>
        <v/>
      </c>
      <c r="AO225" s="39"/>
      <c r="AP225" s="40" t="str">
        <f aca="false">IF(OR(AO225="",CA225=""),"",AO225/CA225*100)</f>
        <v/>
      </c>
      <c r="AQ225" s="41" t="str">
        <f aca="false">IF(AP225="","",IFERROR(MATCH(AP225,INDEX(Boundaries!$B$2:$I$30,MATCH(CO225,Boundaries!$A$2:$A$30,0),0),1)-1,""))</f>
        <v/>
      </c>
      <c r="AR225" s="42" t="str">
        <f aca="false">IF(OR(AQ225="",$E225=""),"",AQ225-$E225)</f>
        <v/>
      </c>
      <c r="AS225" s="39"/>
      <c r="AT225" s="40" t="str">
        <f aca="false">IF(OR(AS225="",CB225=""),"",AS225/CB225*100)</f>
        <v/>
      </c>
      <c r="AU225" s="41" t="str">
        <f aca="false">IF(AT225="","",IFERROR(MATCH(AT225,INDEX(Boundaries!$B$2:$I$30,MATCH(CP225,Boundaries!$A$2:$A$30,0),0),1)-1,""))</f>
        <v/>
      </c>
      <c r="AV225" s="42" t="str">
        <f aca="false">IF(OR(AU225="",$E225=""),"",AU225-$E225)</f>
        <v/>
      </c>
      <c r="AW225" s="39"/>
      <c r="AX225" s="40" t="str">
        <f aca="false">IF(OR(AW225="",CC225=""),"",AW225/CC225*100)</f>
        <v/>
      </c>
      <c r="AY225" s="41" t="str">
        <f aca="false">IF(AX225="","",IFERROR(MATCH(AX225,INDEX(Boundaries!$B$2:$I$30,MATCH(CQ225,Boundaries!$A$2:$A$30,0),0),1)-1,""))</f>
        <v/>
      </c>
      <c r="AZ225" s="42" t="str">
        <f aca="false">IF(OR(AY225="",$E225=""),"",AY225-$E225)</f>
        <v/>
      </c>
      <c r="BA225" s="39"/>
      <c r="BB225" s="40" t="str">
        <f aca="false">IF(OR(BA225="",CD225=""),"",BA225/CD225*100)</f>
        <v/>
      </c>
      <c r="BC225" s="41" t="str">
        <f aca="false">IF(BB225="","",IFERROR(MATCH(BB225,INDEX(Boundaries!$B$2:$I$30,MATCH(CR225,Boundaries!$A$2:$A$30,0),0),1)-1,""))</f>
        <v/>
      </c>
      <c r="BD225" s="42" t="str">
        <f aca="false">IF(OR(BC225="",$E225=""),"",BC225-$E225)</f>
        <v/>
      </c>
      <c r="BE225" s="39"/>
      <c r="BF225" s="40" t="str">
        <f aca="false">IF(OR(BE225="",CE225=""),"",BE225/CE225*100)</f>
        <v/>
      </c>
      <c r="BG225" s="41" t="str">
        <f aca="false">IF(BF225="","",IFERROR(MATCH(BF225,INDEX(Boundaries!$B$2:$I$30,MATCH(CS225,Boundaries!$A$2:$A$30,0),0),1)-1,""))</f>
        <v/>
      </c>
      <c r="BH225" s="42" t="str">
        <f aca="false">IF(OR(BG225="",$E225=""),"",BG225-$E225)</f>
        <v/>
      </c>
      <c r="BI225" s="39"/>
      <c r="BJ225" s="40" t="str">
        <f aca="false">IF(OR(BI225="",CF225=""),"",BI225/CF225*100)</f>
        <v/>
      </c>
      <c r="BK225" s="41" t="str">
        <f aca="false">IF(BJ225="","",IFERROR(MATCH(BJ225,INDEX(Boundaries!$B$2:$I$30,MATCH(CT225,Boundaries!$A$2:$A$30,0),0),1)-1,""))</f>
        <v/>
      </c>
      <c r="BL225" s="42" t="str">
        <f aca="false">IF(OR(BK225="",$E225=""),"",BK225-$E225)</f>
        <v/>
      </c>
      <c r="BM225" s="39"/>
      <c r="BN225" s="40" t="str">
        <f aca="false">IF(OR(BM225="",CG225=""),"",BM225/CG225*100)</f>
        <v/>
      </c>
      <c r="BO225" s="41" t="str">
        <f aca="false">IF(BN225="","",IFERROR(MATCH(BN225,INDEX(Boundaries!$B$2:$I$30,MATCH(CU225,Boundaries!$A$2:$A$30,0),0),1)-1,""))</f>
        <v/>
      </c>
      <c r="BP225" s="42" t="str">
        <f aca="false">IF(OR(BO225="",$E225=""),"",BO225-$E225)</f>
        <v/>
      </c>
      <c r="BQ225" s="39"/>
      <c r="BR225" s="40" t="str">
        <f aca="false">IF(OR(BQ225="",CH225=""),"",BQ225/CH225*100)</f>
        <v/>
      </c>
      <c r="BS225" s="41" t="str">
        <f aca="false">IF(BR225="","",IFERROR(MATCH(BR225,INDEX(Boundaries!$B$2:$I$30,MATCH(CV225,Boundaries!$A$2:$A$30,0),0),1)-1,""))</f>
        <v/>
      </c>
      <c r="BT225" s="42" t="str">
        <f aca="false">IF(OR(BS225="",$E225=""),"",BS225-$E225)</f>
        <v/>
      </c>
      <c r="BU225" s="28" t="n">
        <f aca="false">IFERROR(INDEX(Assessments!$H$2:$H$600,MATCH($H225&amp;"|"&amp;$I225&amp;"|"&amp;$J225&amp;"|"&amp;1,Assessments!$A$2:$A$600,0)),"")</f>
        <v>25</v>
      </c>
      <c r="BV225" s="28" t="n">
        <f aca="false">IFERROR(INDEX(Assessments!$H$2:$H$600,MATCH($H225&amp;"|"&amp;$I225&amp;"|"&amp;$J225&amp;"|"&amp;2,Assessments!$A$2:$A$600,0)),"")</f>
        <v>24</v>
      </c>
      <c r="BW225" s="28" t="n">
        <f aca="false">IFERROR(INDEX(Assessments!$H$2:$H$600,MATCH($H225&amp;"|"&amp;$I225&amp;"|"&amp;$J225&amp;"|"&amp;3,Assessments!$A$2:$A$600,0)),"")</f>
        <v>25</v>
      </c>
      <c r="BX225" s="28" t="n">
        <f aca="false">IFERROR(INDEX(Assessments!$H$2:$H$600,MATCH($H225&amp;"|"&amp;$I225&amp;"|"&amp;$J225&amp;"|"&amp;4,Assessments!$A$2:$A$600,0)),"")</f>
        <v>35</v>
      </c>
      <c r="BY225" s="28" t="n">
        <f aca="false">IFERROR(INDEX(Assessments!$H$2:$H$600,MATCH($H225&amp;"|"&amp;$I225&amp;"|"&amp;$J225&amp;"|"&amp;5,Assessments!$A$2:$A$600,0)),"")</f>
        <v>55</v>
      </c>
      <c r="BZ225" s="28" t="n">
        <f aca="false">IFERROR(INDEX(Assessments!$H$2:$H$600,MATCH($H225&amp;"|"&amp;$I225&amp;"|"&amp;$J225&amp;"|"&amp;6,Assessments!$A$2:$A$600,0)),"")</f>
        <v>28</v>
      </c>
      <c r="CA225" s="28" t="n">
        <f aca="false">IFERROR(INDEX(Assessments!$H$2:$H$600,MATCH($H225&amp;"|"&amp;$I225&amp;"|"&amp;$J225&amp;"|"&amp;7,Assessments!$A$2:$A$600,0)),"")</f>
        <v>95</v>
      </c>
      <c r="CB225" s="28" t="str">
        <f aca="false">IFERROR(INDEX(Assessments!$H$2:$H$600,MATCH($H225&amp;"|"&amp;$I225&amp;"|"&amp;$J225&amp;"|"&amp;8,Assessments!$A$2:$A$600,0)),"")</f>
        <v/>
      </c>
      <c r="CC225" s="28" t="str">
        <f aca="false">IFERROR(INDEX(Assessments!$H$2:$H$600,MATCH($H225&amp;"|"&amp;$I225&amp;"|"&amp;$J225&amp;"|"&amp;9,Assessments!$A$2:$A$600,0)),"")</f>
        <v/>
      </c>
      <c r="CD225" s="28" t="str">
        <f aca="false">IFERROR(INDEX(Assessments!$H$2:$H$600,MATCH($H225&amp;"|"&amp;$I225&amp;"|"&amp;$J225&amp;"|"&amp;10,Assessments!$A$2:$A$600,0)),"")</f>
        <v/>
      </c>
      <c r="CE225" s="28" t="str">
        <f aca="false">IFERROR(INDEX(Assessments!$H$2:$H$600,MATCH($H225&amp;"|"&amp;$I225&amp;"|"&amp;$J225&amp;"|"&amp;11,Assessments!$A$2:$A$600,0)),"")</f>
        <v/>
      </c>
      <c r="CF225" s="28" t="str">
        <f aca="false">IFERROR(INDEX(Assessments!$H$2:$H$600,MATCH($H225&amp;"|"&amp;$I225&amp;"|"&amp;$J225&amp;"|"&amp;12,Assessments!$A$2:$A$600,0)),"")</f>
        <v/>
      </c>
      <c r="CG225" s="28" t="str">
        <f aca="false">IFERROR(INDEX(Assessments!$H$2:$H$600,MATCH($H225&amp;"|"&amp;$I225&amp;"|"&amp;$J225&amp;"|"&amp;13,Assessments!$A$2:$A$600,0)),"")</f>
        <v/>
      </c>
      <c r="CH225" s="28" t="str">
        <f aca="false">IFERROR(INDEX(Assessments!$H$2:$H$600,MATCH($H225&amp;"|"&amp;$I225&amp;"|"&amp;$J225&amp;"|"&amp;14,Assessments!$A$2:$A$600,0)),"")</f>
        <v/>
      </c>
      <c r="CI225" s="28" t="str">
        <f aca="false">IFERROR(INDEX(Assessments!$I$2:$I$600,MATCH($H225&amp;"|"&amp;$I225&amp;"|"&amp;$J225&amp;"|"&amp;1,Assessments!$A$2:$A$600,0)),"")</f>
        <v>Econ Test</v>
      </c>
      <c r="CJ225" s="28" t="str">
        <f aca="false">IFERROR(INDEX(Assessments!$I$2:$I$600,MATCH($H225&amp;"|"&amp;$I225&amp;"|"&amp;$J225&amp;"|"&amp;2,Assessments!$A$2:$A$600,0)),"")</f>
        <v>Econ Test</v>
      </c>
      <c r="CK225" s="28" t="str">
        <f aca="false">IFERROR(INDEX(Assessments!$I$2:$I$600,MATCH($H225&amp;"|"&amp;$I225&amp;"|"&amp;$J225&amp;"|"&amp;3,Assessments!$A$2:$A$600,0)),"")</f>
        <v>Econ Test</v>
      </c>
      <c r="CL225" s="28" t="str">
        <f aca="false">IFERROR(INDEX(Assessments!$I$2:$I$600,MATCH($H225&amp;"|"&amp;$I225&amp;"|"&amp;$J225&amp;"|"&amp;4,Assessments!$A$2:$A$600,0)),"")</f>
        <v>Econ Test</v>
      </c>
      <c r="CM225" s="28" t="str">
        <f aca="false">IFERROR(INDEX(Assessments!$I$2:$I$600,MATCH($H225&amp;"|"&amp;$I225&amp;"|"&amp;$J225&amp;"|"&amp;5,Assessments!$A$2:$A$600,0)),"")</f>
        <v>Econ Exam</v>
      </c>
      <c r="CN225" s="28" t="str">
        <f aca="false">IFERROR(INDEX(Assessments!$I$2:$I$600,MATCH($H225&amp;"|"&amp;$I225&amp;"|"&amp;$J225&amp;"|"&amp;6,Assessments!$A$2:$A$600,0)),"")</f>
        <v>Econ Test</v>
      </c>
      <c r="CO225" s="28" t="str">
        <f aca="false">IFERROR(INDEX(Assessments!$I$2:$I$600,MATCH($H225&amp;"|"&amp;$I225&amp;"|"&amp;$J225&amp;"|"&amp;7,Assessments!$A$2:$A$600,0)),"")</f>
        <v>Econ Exam</v>
      </c>
      <c r="CP225" s="28" t="str">
        <f aca="false">IFERROR(INDEX(Assessments!$I$2:$I$600,MATCH($H225&amp;"|"&amp;$I225&amp;"|"&amp;$J225&amp;"|"&amp;8,Assessments!$A$2:$A$600,0)),"")</f>
        <v/>
      </c>
      <c r="CQ225" s="28" t="str">
        <f aca="false">IFERROR(INDEX(Assessments!$I$2:$I$600,MATCH($H225&amp;"|"&amp;$I225&amp;"|"&amp;$J225&amp;"|"&amp;9,Assessments!$A$2:$A$600,0)),"")</f>
        <v/>
      </c>
      <c r="CR225" s="28" t="str">
        <f aca="false">IFERROR(INDEX(Assessments!$I$2:$I$600,MATCH($H225&amp;"|"&amp;$I225&amp;"|"&amp;$J225&amp;"|"&amp;10,Assessments!$A$2:$A$600,0)),"")</f>
        <v/>
      </c>
      <c r="CS225" s="28" t="str">
        <f aca="false">IFERROR(INDEX(Assessments!$I$2:$I$600,MATCH($H225&amp;"|"&amp;$I225&amp;"|"&amp;$J225&amp;"|"&amp;11,Assessments!$A$2:$A$600,0)),"")</f>
        <v/>
      </c>
      <c r="CT225" s="28" t="str">
        <f aca="false">IFERROR(INDEX(Assessments!$I$2:$I$600,MATCH($H225&amp;"|"&amp;$I225&amp;"|"&amp;$J225&amp;"|"&amp;12,Assessments!$A$2:$A$600,0)),"")</f>
        <v/>
      </c>
      <c r="CU225" s="28" t="str">
        <f aca="false">IFERROR(INDEX(Assessments!$I$2:$I$600,MATCH($H225&amp;"|"&amp;$I225&amp;"|"&amp;$J225&amp;"|"&amp;13,Assessments!$A$2:$A$600,0)),"")</f>
        <v/>
      </c>
      <c r="CV225" s="28" t="str">
        <f aca="false">IFERROR(INDEX(Assessments!$I$2:$I$600,MATCH($H225&amp;"|"&amp;$I225&amp;"|"&amp;$J225&amp;"|"&amp;14,Assessments!$A$2:$A$600,0)),"")</f>
        <v/>
      </c>
      <c r="CW225" s="28" t="n">
        <f aca="false">IFERROR(INDEX(Assessments!$J$2:$J$600,MATCH($H225&amp;"|"&amp;$I225&amp;"|"&amp;$J225&amp;"|"&amp;1,Assessments!$A$2:$A$600,0)),0)</f>
        <v>1</v>
      </c>
      <c r="CX225" s="28" t="n">
        <f aca="false">IFERROR(INDEX(Assessments!$J$2:$J$600,MATCH($H225&amp;"|"&amp;$I225&amp;"|"&amp;$J225&amp;"|"&amp;2,Assessments!$A$2:$A$600,0)),0)</f>
        <v>1</v>
      </c>
      <c r="CY225" s="28" t="n">
        <f aca="false">IFERROR(INDEX(Assessments!$J$2:$J$600,MATCH($H225&amp;"|"&amp;$I225&amp;"|"&amp;$J225&amp;"|"&amp;3,Assessments!$A$2:$A$600,0)),0)</f>
        <v>1</v>
      </c>
      <c r="CZ225" s="28" t="n">
        <f aca="false">IFERROR(INDEX(Assessments!$J$2:$J$600,MATCH($H225&amp;"|"&amp;$I225&amp;"|"&amp;$J225&amp;"|"&amp;4,Assessments!$A$2:$A$600,0)),0)</f>
        <v>1</v>
      </c>
      <c r="DA225" s="28" t="n">
        <f aca="false">IFERROR(INDEX(Assessments!$J$2:$J$600,MATCH($H225&amp;"|"&amp;$I225&amp;"|"&amp;$J225&amp;"|"&amp;5,Assessments!$A$2:$A$600,0)),0)</f>
        <v>2</v>
      </c>
      <c r="DB225" s="28" t="n">
        <f aca="false">IFERROR(INDEX(Assessments!$J$2:$J$600,MATCH($H225&amp;"|"&amp;$I225&amp;"|"&amp;$J225&amp;"|"&amp;6,Assessments!$A$2:$A$600,0)),0)</f>
        <v>1</v>
      </c>
      <c r="DC225" s="28" t="n">
        <f aca="false">IFERROR(INDEX(Assessments!$J$2:$J$600,MATCH($H225&amp;"|"&amp;$I225&amp;"|"&amp;$J225&amp;"|"&amp;7,Assessments!$A$2:$A$600,0)),0)</f>
        <v>2</v>
      </c>
      <c r="DD225" s="28" t="n">
        <f aca="false">IFERROR(INDEX(Assessments!$J$2:$J$600,MATCH($H225&amp;"|"&amp;$I225&amp;"|"&amp;$J225&amp;"|"&amp;8,Assessments!$A$2:$A$600,0)),0)</f>
        <v>0</v>
      </c>
      <c r="DE225" s="28" t="n">
        <f aca="false">IFERROR(INDEX(Assessments!$J$2:$J$600,MATCH($H225&amp;"|"&amp;$I225&amp;"|"&amp;$J225&amp;"|"&amp;9,Assessments!$A$2:$A$600,0)),0)</f>
        <v>0</v>
      </c>
      <c r="DF225" s="28" t="n">
        <f aca="false">IFERROR(INDEX(Assessments!$J$2:$J$600,MATCH($H225&amp;"|"&amp;$I225&amp;"|"&amp;$J225&amp;"|"&amp;10,Assessments!$A$2:$A$600,0)),0)</f>
        <v>0</v>
      </c>
      <c r="DG225" s="28" t="n">
        <f aca="false">IFERROR(INDEX(Assessments!$J$2:$J$600,MATCH($H225&amp;"|"&amp;$I225&amp;"|"&amp;$J225&amp;"|"&amp;11,Assessments!$A$2:$A$600,0)),0)</f>
        <v>0</v>
      </c>
      <c r="DH225" s="28" t="n">
        <f aca="false">IFERROR(INDEX(Assessments!$J$2:$J$600,MATCH($H225&amp;"|"&amp;$I225&amp;"|"&amp;$J225&amp;"|"&amp;12,Assessments!$A$2:$A$600,0)),0)</f>
        <v>0</v>
      </c>
      <c r="DI225" s="28" t="n">
        <f aca="false">IFERROR(INDEX(Assessments!$J$2:$J$600,MATCH($H225&amp;"|"&amp;$I225&amp;"|"&amp;$J225&amp;"|"&amp;13,Assessments!$A$2:$A$600,0)),0)</f>
        <v>0</v>
      </c>
      <c r="DJ225" s="28" t="n">
        <f aca="false">IFERROR(INDEX(Assessments!$J$2:$J$600,MATCH($H225&amp;"|"&amp;$I225&amp;"|"&amp;$J225&amp;"|"&amp;14,Assessments!$A$2:$A$600,0)),0)</f>
        <v>0</v>
      </c>
      <c r="DK225" s="28" t="str">
        <f aca="false">S225</f>
        <v/>
      </c>
      <c r="DL225" s="28" t="str">
        <f aca="false">W225</f>
        <v/>
      </c>
      <c r="DM225" s="28" t="str">
        <f aca="false">AA225</f>
        <v/>
      </c>
      <c r="DN225" s="28" t="str">
        <f aca="false">AE225</f>
        <v/>
      </c>
      <c r="DO225" s="28" t="str">
        <f aca="false">AI225</f>
        <v/>
      </c>
      <c r="DP225" s="28" t="str">
        <f aca="false">AM225</f>
        <v/>
      </c>
      <c r="DQ225" s="28" t="str">
        <f aca="false">AQ225</f>
        <v/>
      </c>
      <c r="DR225" s="28" t="str">
        <f aca="false">AU225</f>
        <v/>
      </c>
      <c r="DS225" s="28" t="str">
        <f aca="false">AY225</f>
        <v/>
      </c>
      <c r="DT225" s="28" t="str">
        <f aca="false">BC225</f>
        <v/>
      </c>
      <c r="DU225" s="28" t="str">
        <f aca="false">BG225</f>
        <v/>
      </c>
      <c r="DV225" s="28" t="str">
        <f aca="false">BK225</f>
        <v/>
      </c>
      <c r="DW225" s="28" t="str">
        <f aca="false">BO225</f>
        <v/>
      </c>
      <c r="DX225" s="28" t="str">
        <f aca="false">BS225</f>
        <v/>
      </c>
      <c r="DY225" s="28" t="str">
        <f aca="false">IF(ISNUMBER(S225),1,"")</f>
        <v/>
      </c>
      <c r="DZ225" s="28" t="str">
        <f aca="false">IF(ISNUMBER(W225),2,"")</f>
        <v/>
      </c>
      <c r="EA225" s="28" t="str">
        <f aca="false">IF(ISNUMBER(AA225),3,"")</f>
        <v/>
      </c>
      <c r="EB225" s="28" t="str">
        <f aca="false">IF(ISNUMBER(AE225),4,"")</f>
        <v/>
      </c>
      <c r="EC225" s="28" t="str">
        <f aca="false">IF(ISNUMBER(AI225),5,"")</f>
        <v/>
      </c>
      <c r="ED225" s="28" t="str">
        <f aca="false">IF(ISNUMBER(AM225),6,"")</f>
        <v/>
      </c>
      <c r="EE225" s="28" t="str">
        <f aca="false">IF(ISNUMBER(AQ225),7,"")</f>
        <v/>
      </c>
      <c r="EF225" s="28" t="str">
        <f aca="false">IF(ISNUMBER(AU225),8,"")</f>
        <v/>
      </c>
      <c r="EG225" s="28" t="str">
        <f aca="false">IF(ISNUMBER(AY225),9,"")</f>
        <v/>
      </c>
      <c r="EH225" s="28" t="str">
        <f aca="false">IF(ISNUMBER(BC225),10,"")</f>
        <v/>
      </c>
      <c r="EI225" s="28" t="str">
        <f aca="false">IF(ISNUMBER(BG225),11,"")</f>
        <v/>
      </c>
      <c r="EJ225" s="28" t="str">
        <f aca="false">IF(ISNUMBER(BK225),12,"")</f>
        <v/>
      </c>
      <c r="EK225" s="28" t="str">
        <f aca="false">IF(ISNUMBER(BO225),13,"")</f>
        <v/>
      </c>
      <c r="EL225" s="28" t="str">
        <f aca="false">IF(ISNUMBER(BS225),14,"")</f>
        <v/>
      </c>
      <c r="EM225" s="28" t="n">
        <f aca="false">IF(ISNUMBER(R225),R225*CW225,0)</f>
        <v>0</v>
      </c>
      <c r="EN225" s="28" t="n">
        <f aca="false">IF(ISNUMBER(V225),V225*CX225,0)</f>
        <v>0</v>
      </c>
      <c r="EO225" s="28" t="n">
        <f aca="false">IF(ISNUMBER(Z225),Z225*CY225,0)</f>
        <v>0</v>
      </c>
      <c r="EP225" s="28" t="n">
        <f aca="false">IF(ISNUMBER(AD225),AD225*CZ225,0)</f>
        <v>0</v>
      </c>
      <c r="EQ225" s="28" t="n">
        <f aca="false">IF(ISNUMBER(AH225),AH225*DA225,0)</f>
        <v>0</v>
      </c>
      <c r="ER225" s="28" t="n">
        <f aca="false">IF(ISNUMBER(AL225),AL225*DB225,0)</f>
        <v>0</v>
      </c>
      <c r="ES225" s="28" t="n">
        <f aca="false">IF(ISNUMBER(AP225),AP225*DC225,0)</f>
        <v>0</v>
      </c>
      <c r="ET225" s="28" t="n">
        <f aca="false">IF(ISNUMBER(AT225),AT225*DD225,0)</f>
        <v>0</v>
      </c>
      <c r="EU225" s="28" t="n">
        <f aca="false">IF(ISNUMBER(AX225),AX225*DE225,0)</f>
        <v>0</v>
      </c>
      <c r="EV225" s="28" t="n">
        <f aca="false">IF(ISNUMBER(BB225),BB225*DF225,0)</f>
        <v>0</v>
      </c>
      <c r="EW225" s="28" t="n">
        <f aca="false">IF(ISNUMBER(BF225),BF225*DG225,0)</f>
        <v>0</v>
      </c>
      <c r="EX225" s="28" t="n">
        <f aca="false">IF(ISNUMBER(BJ225),BJ225*DH225,0)</f>
        <v>0</v>
      </c>
      <c r="EY225" s="28" t="n">
        <f aca="false">IF(ISNUMBER(BN225),BN225*DI225,0)</f>
        <v>0</v>
      </c>
      <c r="EZ225" s="28" t="n">
        <f aca="false">IF(ISNUMBER(BR225),BR225*DJ225,0)</f>
        <v>0</v>
      </c>
      <c r="FA225" s="28" t="n">
        <f aca="false">IF(ISNUMBER(R225),CW225,0)</f>
        <v>0</v>
      </c>
      <c r="FB225" s="28" t="n">
        <f aca="false">IF(ISNUMBER(V225),CX225,0)</f>
        <v>0</v>
      </c>
      <c r="FC225" s="28" t="n">
        <f aca="false">IF(ISNUMBER(Z225),CY225,0)</f>
        <v>0</v>
      </c>
      <c r="FD225" s="28" t="n">
        <f aca="false">IF(ISNUMBER(AD225),CZ225,0)</f>
        <v>0</v>
      </c>
      <c r="FE225" s="28" t="n">
        <f aca="false">IF(ISNUMBER(AH225),DA225,0)</f>
        <v>0</v>
      </c>
      <c r="FF225" s="28" t="n">
        <f aca="false">IF(ISNUMBER(AL225),DB225,0)</f>
        <v>0</v>
      </c>
      <c r="FG225" s="28" t="n">
        <f aca="false">IF(ISNUMBER(AP225),DC225,0)</f>
        <v>0</v>
      </c>
      <c r="FH225" s="28" t="n">
        <f aca="false">IF(ISNUMBER(AT225),DD225,0)</f>
        <v>0</v>
      </c>
      <c r="FI225" s="28" t="n">
        <f aca="false">IF(ISNUMBER(AX225),DE225,0)</f>
        <v>0</v>
      </c>
      <c r="FJ225" s="28" t="n">
        <f aca="false">IF(ISNUMBER(BB225),DF225,0)</f>
        <v>0</v>
      </c>
      <c r="FK225" s="28" t="n">
        <f aca="false">IF(ISNUMBER(BF225),DG225,0)</f>
        <v>0</v>
      </c>
      <c r="FL225" s="28" t="n">
        <f aca="false">IF(ISNUMBER(BJ225),DH225,0)</f>
        <v>0</v>
      </c>
      <c r="FM225" s="28" t="n">
        <f aca="false">IF(ISNUMBER(BN225),DI225,0)</f>
        <v>0</v>
      </c>
      <c r="FN225" s="28" t="n">
        <f aca="false">IF(ISNUMBER(BR225),DJ225,0)</f>
        <v>0</v>
      </c>
      <c r="FO225" s="28" t="str">
        <f aca="false">IFERROR(INDEX(Lists!$G$2:$G$20,MATCH($I225&amp;"|"&amp;$J225,Lists!$F$2:$F$20,0)),"")</f>
        <v>Econ Exam</v>
      </c>
    </row>
    <row r="226" customFormat="false" ht="19.5" hidden="false" customHeight="true" outlineLevel="0" collapsed="false">
      <c r="A226" s="29" t="s">
        <v>477</v>
      </c>
      <c r="B226" s="29" t="s">
        <v>180</v>
      </c>
      <c r="C226" s="30" t="s">
        <v>152</v>
      </c>
      <c r="D226" s="30" t="s">
        <v>271</v>
      </c>
      <c r="E226" s="31"/>
      <c r="F226" s="30"/>
      <c r="G226" s="30"/>
      <c r="H226" s="32" t="s">
        <v>428</v>
      </c>
      <c r="I226" s="33" t="s">
        <v>229</v>
      </c>
      <c r="J226" s="32" t="s">
        <v>25</v>
      </c>
      <c r="K226" s="34" t="str">
        <f aca="false">IF(OR(M226="",$E226=""),"",M226-$E226)</f>
        <v/>
      </c>
      <c r="L226" s="35" t="str">
        <f aca="false">IF(SUM(FA226:FN226)=0,"",SUM(EM226:EZ226)/SUM(FA226:FN226))</f>
        <v/>
      </c>
      <c r="M226" s="36" t="str">
        <f aca="false">IF(OR(L226="",FO226=""),"",IFERROR(MATCH(L226,INDEX(Boundaries!$B$2:$I$30,MATCH(FO226,Boundaries!$A$2:$A$30,0),0),1)-1,""))</f>
        <v/>
      </c>
      <c r="N226" s="37" t="str">
        <f aca="false">IF(COUNT($DY226:$EL226)&lt;2,"",INDEX($DK226:$DX226,MAX($DY226:$EL226))-INDEX($DK226:$DX226,MIN($DY226:$EL226)))</f>
        <v/>
      </c>
      <c r="O226" s="37" t="str">
        <f aca="false">IF(COUNT($DY226:$EL226)&lt;2,"",INDEX($DK226:$DX226,MAX($DY226:$EL226))-INDEX($DK226:$DX226,LARGE($DY226:$EL226,2)))</f>
        <v/>
      </c>
      <c r="P226" s="38" t="str">
        <f aca="false">IF(K226="","",IF(K226&gt;=0,"On/above target",IF(AND(N226&lt;&gt;"",N226&gt;=0.5),"Improving towards target",IF(AND(O226&lt;&gt;"",O226&lt;=-0.5),"Declining","Stable below target"))))</f>
        <v/>
      </c>
      <c r="Q226" s="39"/>
      <c r="R226" s="40" t="str">
        <f aca="false">IF(OR(Q226="",BU226=""),"",Q226/BU226*100)</f>
        <v/>
      </c>
      <c r="S226" s="41" t="str">
        <f aca="false">IF(R226="","",IFERROR(MATCH(R226,INDEX(Boundaries!$B$2:$I$30,MATCH(CI226,Boundaries!$A$2:$A$30,0),0),1)-1,""))</f>
        <v/>
      </c>
      <c r="T226" s="42" t="str">
        <f aca="false">IF(OR(S226="",$E226=""),"",S226-$E226)</f>
        <v/>
      </c>
      <c r="U226" s="39"/>
      <c r="V226" s="40" t="str">
        <f aca="false">IF(OR(U226="",BV226=""),"",U226/BV226*100)</f>
        <v/>
      </c>
      <c r="W226" s="41" t="str">
        <f aca="false">IF(V226="","",IFERROR(MATCH(V226,INDEX(Boundaries!$B$2:$I$30,MATCH(CJ226,Boundaries!$A$2:$A$30,0),0),1)-1,""))</f>
        <v/>
      </c>
      <c r="X226" s="42" t="str">
        <f aca="false">IF(OR(W226="",$E226=""),"",W226-$E226)</f>
        <v/>
      </c>
      <c r="Y226" s="39"/>
      <c r="Z226" s="40" t="str">
        <f aca="false">IF(OR(Y226="",BW226=""),"",Y226/BW226*100)</f>
        <v/>
      </c>
      <c r="AA226" s="41" t="str">
        <f aca="false">IF(Z226="","",IFERROR(MATCH(Z226,INDEX(Boundaries!$B$2:$I$30,MATCH(CK226,Boundaries!$A$2:$A$30,0),0),1)-1,""))</f>
        <v/>
      </c>
      <c r="AB226" s="42" t="str">
        <f aca="false">IF(OR(AA226="",$E226=""),"",AA226-$E226)</f>
        <v/>
      </c>
      <c r="AC226" s="39"/>
      <c r="AD226" s="40" t="str">
        <f aca="false">IF(OR(AC226="",BX226=""),"",AC226/BX226*100)</f>
        <v/>
      </c>
      <c r="AE226" s="41" t="str">
        <f aca="false">IF(AD226="","",IFERROR(MATCH(AD226,INDEX(Boundaries!$B$2:$I$30,MATCH(CL226,Boundaries!$A$2:$A$30,0),0),1)-1,""))</f>
        <v/>
      </c>
      <c r="AF226" s="42" t="str">
        <f aca="false">IF(OR(AE226="",$E226=""),"",AE226-$E226)</f>
        <v/>
      </c>
      <c r="AG226" s="39"/>
      <c r="AH226" s="40" t="str">
        <f aca="false">IF(OR(AG226="",BY226=""),"",AG226/BY226*100)</f>
        <v/>
      </c>
      <c r="AI226" s="41" t="str">
        <f aca="false">IF(AH226="","",IFERROR(MATCH(AH226,INDEX(Boundaries!$B$2:$I$30,MATCH(CM226,Boundaries!$A$2:$A$30,0),0),1)-1,""))</f>
        <v/>
      </c>
      <c r="AJ226" s="42" t="str">
        <f aca="false">IF(OR(AI226="",$E226=""),"",AI226-$E226)</f>
        <v/>
      </c>
      <c r="AK226" s="39"/>
      <c r="AL226" s="40" t="str">
        <f aca="false">IF(OR(AK226="",BZ226=""),"",AK226/BZ226*100)</f>
        <v/>
      </c>
      <c r="AM226" s="41" t="str">
        <f aca="false">IF(AL226="","",IFERROR(MATCH(AL226,INDEX(Boundaries!$B$2:$I$30,MATCH(CN226,Boundaries!$A$2:$A$30,0),0),1)-1,""))</f>
        <v/>
      </c>
      <c r="AN226" s="42" t="str">
        <f aca="false">IF(OR(AM226="",$E226=""),"",AM226-$E226)</f>
        <v/>
      </c>
      <c r="AO226" s="39"/>
      <c r="AP226" s="40" t="str">
        <f aca="false">IF(OR(AO226="",CA226=""),"",AO226/CA226*100)</f>
        <v/>
      </c>
      <c r="AQ226" s="41" t="str">
        <f aca="false">IF(AP226="","",IFERROR(MATCH(AP226,INDEX(Boundaries!$B$2:$I$30,MATCH(CO226,Boundaries!$A$2:$A$30,0),0),1)-1,""))</f>
        <v/>
      </c>
      <c r="AR226" s="42" t="str">
        <f aca="false">IF(OR(AQ226="",$E226=""),"",AQ226-$E226)</f>
        <v/>
      </c>
      <c r="AS226" s="39"/>
      <c r="AT226" s="40" t="str">
        <f aca="false">IF(OR(AS226="",CB226=""),"",AS226/CB226*100)</f>
        <v/>
      </c>
      <c r="AU226" s="41" t="str">
        <f aca="false">IF(AT226="","",IFERROR(MATCH(AT226,INDEX(Boundaries!$B$2:$I$30,MATCH(CP226,Boundaries!$A$2:$A$30,0),0),1)-1,""))</f>
        <v/>
      </c>
      <c r="AV226" s="42" t="str">
        <f aca="false">IF(OR(AU226="",$E226=""),"",AU226-$E226)</f>
        <v/>
      </c>
      <c r="AW226" s="39"/>
      <c r="AX226" s="40" t="str">
        <f aca="false">IF(OR(AW226="",CC226=""),"",AW226/CC226*100)</f>
        <v/>
      </c>
      <c r="AY226" s="41" t="str">
        <f aca="false">IF(AX226="","",IFERROR(MATCH(AX226,INDEX(Boundaries!$B$2:$I$30,MATCH(CQ226,Boundaries!$A$2:$A$30,0),0),1)-1,""))</f>
        <v/>
      </c>
      <c r="AZ226" s="42" t="str">
        <f aca="false">IF(OR(AY226="",$E226=""),"",AY226-$E226)</f>
        <v/>
      </c>
      <c r="BA226" s="39"/>
      <c r="BB226" s="40" t="str">
        <f aca="false">IF(OR(BA226="",CD226=""),"",BA226/CD226*100)</f>
        <v/>
      </c>
      <c r="BC226" s="41" t="str">
        <f aca="false">IF(BB226="","",IFERROR(MATCH(BB226,INDEX(Boundaries!$B$2:$I$30,MATCH(CR226,Boundaries!$A$2:$A$30,0),0),1)-1,""))</f>
        <v/>
      </c>
      <c r="BD226" s="42" t="str">
        <f aca="false">IF(OR(BC226="",$E226=""),"",BC226-$E226)</f>
        <v/>
      </c>
      <c r="BE226" s="39"/>
      <c r="BF226" s="40" t="str">
        <f aca="false">IF(OR(BE226="",CE226=""),"",BE226/CE226*100)</f>
        <v/>
      </c>
      <c r="BG226" s="41" t="str">
        <f aca="false">IF(BF226="","",IFERROR(MATCH(BF226,INDEX(Boundaries!$B$2:$I$30,MATCH(CS226,Boundaries!$A$2:$A$30,0),0),1)-1,""))</f>
        <v/>
      </c>
      <c r="BH226" s="42" t="str">
        <f aca="false">IF(OR(BG226="",$E226=""),"",BG226-$E226)</f>
        <v/>
      </c>
      <c r="BI226" s="39"/>
      <c r="BJ226" s="40" t="str">
        <f aca="false">IF(OR(BI226="",CF226=""),"",BI226/CF226*100)</f>
        <v/>
      </c>
      <c r="BK226" s="41" t="str">
        <f aca="false">IF(BJ226="","",IFERROR(MATCH(BJ226,INDEX(Boundaries!$B$2:$I$30,MATCH(CT226,Boundaries!$A$2:$A$30,0),0),1)-1,""))</f>
        <v/>
      </c>
      <c r="BL226" s="42" t="str">
        <f aca="false">IF(OR(BK226="",$E226=""),"",BK226-$E226)</f>
        <v/>
      </c>
      <c r="BM226" s="39"/>
      <c r="BN226" s="40" t="str">
        <f aca="false">IF(OR(BM226="",CG226=""),"",BM226/CG226*100)</f>
        <v/>
      </c>
      <c r="BO226" s="41" t="str">
        <f aca="false">IF(BN226="","",IFERROR(MATCH(BN226,INDEX(Boundaries!$B$2:$I$30,MATCH(CU226,Boundaries!$A$2:$A$30,0),0),1)-1,""))</f>
        <v/>
      </c>
      <c r="BP226" s="42" t="str">
        <f aca="false">IF(OR(BO226="",$E226=""),"",BO226-$E226)</f>
        <v/>
      </c>
      <c r="BQ226" s="39"/>
      <c r="BR226" s="40" t="str">
        <f aca="false">IF(OR(BQ226="",CH226=""),"",BQ226/CH226*100)</f>
        <v/>
      </c>
      <c r="BS226" s="41" t="str">
        <f aca="false">IF(BR226="","",IFERROR(MATCH(BR226,INDEX(Boundaries!$B$2:$I$30,MATCH(CV226,Boundaries!$A$2:$A$30,0),0),1)-1,""))</f>
        <v/>
      </c>
      <c r="BT226" s="42" t="str">
        <f aca="false">IF(OR(BS226="",$E226=""),"",BS226-$E226)</f>
        <v/>
      </c>
      <c r="BU226" s="28" t="n">
        <f aca="false">IFERROR(INDEX(Assessments!$H$2:$H$600,MATCH($H226&amp;"|"&amp;$I226&amp;"|"&amp;$J226&amp;"|"&amp;1,Assessments!$A$2:$A$600,0)),"")</f>
        <v>25</v>
      </c>
      <c r="BV226" s="28" t="n">
        <f aca="false">IFERROR(INDEX(Assessments!$H$2:$H$600,MATCH($H226&amp;"|"&amp;$I226&amp;"|"&amp;$J226&amp;"|"&amp;2,Assessments!$A$2:$A$600,0)),"")</f>
        <v>24</v>
      </c>
      <c r="BW226" s="28" t="n">
        <f aca="false">IFERROR(INDEX(Assessments!$H$2:$H$600,MATCH($H226&amp;"|"&amp;$I226&amp;"|"&amp;$J226&amp;"|"&amp;3,Assessments!$A$2:$A$600,0)),"")</f>
        <v>25</v>
      </c>
      <c r="BX226" s="28" t="n">
        <f aca="false">IFERROR(INDEX(Assessments!$H$2:$H$600,MATCH($H226&amp;"|"&amp;$I226&amp;"|"&amp;$J226&amp;"|"&amp;4,Assessments!$A$2:$A$600,0)),"")</f>
        <v>35</v>
      </c>
      <c r="BY226" s="28" t="n">
        <f aca="false">IFERROR(INDEX(Assessments!$H$2:$H$600,MATCH($H226&amp;"|"&amp;$I226&amp;"|"&amp;$J226&amp;"|"&amp;5,Assessments!$A$2:$A$600,0)),"")</f>
        <v>55</v>
      </c>
      <c r="BZ226" s="28" t="n">
        <f aca="false">IFERROR(INDEX(Assessments!$H$2:$H$600,MATCH($H226&amp;"|"&amp;$I226&amp;"|"&amp;$J226&amp;"|"&amp;6,Assessments!$A$2:$A$600,0)),"")</f>
        <v>28</v>
      </c>
      <c r="CA226" s="28" t="n">
        <f aca="false">IFERROR(INDEX(Assessments!$H$2:$H$600,MATCH($H226&amp;"|"&amp;$I226&amp;"|"&amp;$J226&amp;"|"&amp;7,Assessments!$A$2:$A$600,0)),"")</f>
        <v>95</v>
      </c>
      <c r="CB226" s="28" t="str">
        <f aca="false">IFERROR(INDEX(Assessments!$H$2:$H$600,MATCH($H226&amp;"|"&amp;$I226&amp;"|"&amp;$J226&amp;"|"&amp;8,Assessments!$A$2:$A$600,0)),"")</f>
        <v/>
      </c>
      <c r="CC226" s="28" t="str">
        <f aca="false">IFERROR(INDEX(Assessments!$H$2:$H$600,MATCH($H226&amp;"|"&amp;$I226&amp;"|"&amp;$J226&amp;"|"&amp;9,Assessments!$A$2:$A$600,0)),"")</f>
        <v/>
      </c>
      <c r="CD226" s="28" t="str">
        <f aca="false">IFERROR(INDEX(Assessments!$H$2:$H$600,MATCH($H226&amp;"|"&amp;$I226&amp;"|"&amp;$J226&amp;"|"&amp;10,Assessments!$A$2:$A$600,0)),"")</f>
        <v/>
      </c>
      <c r="CE226" s="28" t="str">
        <f aca="false">IFERROR(INDEX(Assessments!$H$2:$H$600,MATCH($H226&amp;"|"&amp;$I226&amp;"|"&amp;$J226&amp;"|"&amp;11,Assessments!$A$2:$A$600,0)),"")</f>
        <v/>
      </c>
      <c r="CF226" s="28" t="str">
        <f aca="false">IFERROR(INDEX(Assessments!$H$2:$H$600,MATCH($H226&amp;"|"&amp;$I226&amp;"|"&amp;$J226&amp;"|"&amp;12,Assessments!$A$2:$A$600,0)),"")</f>
        <v/>
      </c>
      <c r="CG226" s="28" t="str">
        <f aca="false">IFERROR(INDEX(Assessments!$H$2:$H$600,MATCH($H226&amp;"|"&amp;$I226&amp;"|"&amp;$J226&amp;"|"&amp;13,Assessments!$A$2:$A$600,0)),"")</f>
        <v/>
      </c>
      <c r="CH226" s="28" t="str">
        <f aca="false">IFERROR(INDEX(Assessments!$H$2:$H$600,MATCH($H226&amp;"|"&amp;$I226&amp;"|"&amp;$J226&amp;"|"&amp;14,Assessments!$A$2:$A$600,0)),"")</f>
        <v/>
      </c>
      <c r="CI226" s="28" t="str">
        <f aca="false">IFERROR(INDEX(Assessments!$I$2:$I$600,MATCH($H226&amp;"|"&amp;$I226&amp;"|"&amp;$J226&amp;"|"&amp;1,Assessments!$A$2:$A$600,0)),"")</f>
        <v>Econ Test</v>
      </c>
      <c r="CJ226" s="28" t="str">
        <f aca="false">IFERROR(INDEX(Assessments!$I$2:$I$600,MATCH($H226&amp;"|"&amp;$I226&amp;"|"&amp;$J226&amp;"|"&amp;2,Assessments!$A$2:$A$600,0)),"")</f>
        <v>Econ Test</v>
      </c>
      <c r="CK226" s="28" t="str">
        <f aca="false">IFERROR(INDEX(Assessments!$I$2:$I$600,MATCH($H226&amp;"|"&amp;$I226&amp;"|"&amp;$J226&amp;"|"&amp;3,Assessments!$A$2:$A$600,0)),"")</f>
        <v>Econ Test</v>
      </c>
      <c r="CL226" s="28" t="str">
        <f aca="false">IFERROR(INDEX(Assessments!$I$2:$I$600,MATCH($H226&amp;"|"&amp;$I226&amp;"|"&amp;$J226&amp;"|"&amp;4,Assessments!$A$2:$A$600,0)),"")</f>
        <v>Econ Test</v>
      </c>
      <c r="CM226" s="28" t="str">
        <f aca="false">IFERROR(INDEX(Assessments!$I$2:$I$600,MATCH($H226&amp;"|"&amp;$I226&amp;"|"&amp;$J226&amp;"|"&amp;5,Assessments!$A$2:$A$600,0)),"")</f>
        <v>Econ Exam</v>
      </c>
      <c r="CN226" s="28" t="str">
        <f aca="false">IFERROR(INDEX(Assessments!$I$2:$I$600,MATCH($H226&amp;"|"&amp;$I226&amp;"|"&amp;$J226&amp;"|"&amp;6,Assessments!$A$2:$A$600,0)),"")</f>
        <v>Econ Test</v>
      </c>
      <c r="CO226" s="28" t="str">
        <f aca="false">IFERROR(INDEX(Assessments!$I$2:$I$600,MATCH($H226&amp;"|"&amp;$I226&amp;"|"&amp;$J226&amp;"|"&amp;7,Assessments!$A$2:$A$600,0)),"")</f>
        <v>Econ Exam</v>
      </c>
      <c r="CP226" s="28" t="str">
        <f aca="false">IFERROR(INDEX(Assessments!$I$2:$I$600,MATCH($H226&amp;"|"&amp;$I226&amp;"|"&amp;$J226&amp;"|"&amp;8,Assessments!$A$2:$A$600,0)),"")</f>
        <v/>
      </c>
      <c r="CQ226" s="28" t="str">
        <f aca="false">IFERROR(INDEX(Assessments!$I$2:$I$600,MATCH($H226&amp;"|"&amp;$I226&amp;"|"&amp;$J226&amp;"|"&amp;9,Assessments!$A$2:$A$600,0)),"")</f>
        <v/>
      </c>
      <c r="CR226" s="28" t="str">
        <f aca="false">IFERROR(INDEX(Assessments!$I$2:$I$600,MATCH($H226&amp;"|"&amp;$I226&amp;"|"&amp;$J226&amp;"|"&amp;10,Assessments!$A$2:$A$600,0)),"")</f>
        <v/>
      </c>
      <c r="CS226" s="28" t="str">
        <f aca="false">IFERROR(INDEX(Assessments!$I$2:$I$600,MATCH($H226&amp;"|"&amp;$I226&amp;"|"&amp;$J226&amp;"|"&amp;11,Assessments!$A$2:$A$600,0)),"")</f>
        <v/>
      </c>
      <c r="CT226" s="28" t="str">
        <f aca="false">IFERROR(INDEX(Assessments!$I$2:$I$600,MATCH($H226&amp;"|"&amp;$I226&amp;"|"&amp;$J226&amp;"|"&amp;12,Assessments!$A$2:$A$600,0)),"")</f>
        <v/>
      </c>
      <c r="CU226" s="28" t="str">
        <f aca="false">IFERROR(INDEX(Assessments!$I$2:$I$600,MATCH($H226&amp;"|"&amp;$I226&amp;"|"&amp;$J226&amp;"|"&amp;13,Assessments!$A$2:$A$600,0)),"")</f>
        <v/>
      </c>
      <c r="CV226" s="28" t="str">
        <f aca="false">IFERROR(INDEX(Assessments!$I$2:$I$600,MATCH($H226&amp;"|"&amp;$I226&amp;"|"&amp;$J226&amp;"|"&amp;14,Assessments!$A$2:$A$600,0)),"")</f>
        <v/>
      </c>
      <c r="CW226" s="28" t="n">
        <f aca="false">IFERROR(INDEX(Assessments!$J$2:$J$600,MATCH($H226&amp;"|"&amp;$I226&amp;"|"&amp;$J226&amp;"|"&amp;1,Assessments!$A$2:$A$600,0)),0)</f>
        <v>1</v>
      </c>
      <c r="CX226" s="28" t="n">
        <f aca="false">IFERROR(INDEX(Assessments!$J$2:$J$600,MATCH($H226&amp;"|"&amp;$I226&amp;"|"&amp;$J226&amp;"|"&amp;2,Assessments!$A$2:$A$600,0)),0)</f>
        <v>1</v>
      </c>
      <c r="CY226" s="28" t="n">
        <f aca="false">IFERROR(INDEX(Assessments!$J$2:$J$600,MATCH($H226&amp;"|"&amp;$I226&amp;"|"&amp;$J226&amp;"|"&amp;3,Assessments!$A$2:$A$600,0)),0)</f>
        <v>1</v>
      </c>
      <c r="CZ226" s="28" t="n">
        <f aca="false">IFERROR(INDEX(Assessments!$J$2:$J$600,MATCH($H226&amp;"|"&amp;$I226&amp;"|"&amp;$J226&amp;"|"&amp;4,Assessments!$A$2:$A$600,0)),0)</f>
        <v>1</v>
      </c>
      <c r="DA226" s="28" t="n">
        <f aca="false">IFERROR(INDEX(Assessments!$J$2:$J$600,MATCH($H226&amp;"|"&amp;$I226&amp;"|"&amp;$J226&amp;"|"&amp;5,Assessments!$A$2:$A$600,0)),0)</f>
        <v>2</v>
      </c>
      <c r="DB226" s="28" t="n">
        <f aca="false">IFERROR(INDEX(Assessments!$J$2:$J$600,MATCH($H226&amp;"|"&amp;$I226&amp;"|"&amp;$J226&amp;"|"&amp;6,Assessments!$A$2:$A$600,0)),0)</f>
        <v>1</v>
      </c>
      <c r="DC226" s="28" t="n">
        <f aca="false">IFERROR(INDEX(Assessments!$J$2:$J$600,MATCH($H226&amp;"|"&amp;$I226&amp;"|"&amp;$J226&amp;"|"&amp;7,Assessments!$A$2:$A$600,0)),0)</f>
        <v>2</v>
      </c>
      <c r="DD226" s="28" t="n">
        <f aca="false">IFERROR(INDEX(Assessments!$J$2:$J$600,MATCH($H226&amp;"|"&amp;$I226&amp;"|"&amp;$J226&amp;"|"&amp;8,Assessments!$A$2:$A$600,0)),0)</f>
        <v>0</v>
      </c>
      <c r="DE226" s="28" t="n">
        <f aca="false">IFERROR(INDEX(Assessments!$J$2:$J$600,MATCH($H226&amp;"|"&amp;$I226&amp;"|"&amp;$J226&amp;"|"&amp;9,Assessments!$A$2:$A$600,0)),0)</f>
        <v>0</v>
      </c>
      <c r="DF226" s="28" t="n">
        <f aca="false">IFERROR(INDEX(Assessments!$J$2:$J$600,MATCH($H226&amp;"|"&amp;$I226&amp;"|"&amp;$J226&amp;"|"&amp;10,Assessments!$A$2:$A$600,0)),0)</f>
        <v>0</v>
      </c>
      <c r="DG226" s="28" t="n">
        <f aca="false">IFERROR(INDEX(Assessments!$J$2:$J$600,MATCH($H226&amp;"|"&amp;$I226&amp;"|"&amp;$J226&amp;"|"&amp;11,Assessments!$A$2:$A$600,0)),0)</f>
        <v>0</v>
      </c>
      <c r="DH226" s="28" t="n">
        <f aca="false">IFERROR(INDEX(Assessments!$J$2:$J$600,MATCH($H226&amp;"|"&amp;$I226&amp;"|"&amp;$J226&amp;"|"&amp;12,Assessments!$A$2:$A$600,0)),0)</f>
        <v>0</v>
      </c>
      <c r="DI226" s="28" t="n">
        <f aca="false">IFERROR(INDEX(Assessments!$J$2:$J$600,MATCH($H226&amp;"|"&amp;$I226&amp;"|"&amp;$J226&amp;"|"&amp;13,Assessments!$A$2:$A$600,0)),0)</f>
        <v>0</v>
      </c>
      <c r="DJ226" s="28" t="n">
        <f aca="false">IFERROR(INDEX(Assessments!$J$2:$J$600,MATCH($H226&amp;"|"&amp;$I226&amp;"|"&amp;$J226&amp;"|"&amp;14,Assessments!$A$2:$A$600,0)),0)</f>
        <v>0</v>
      </c>
      <c r="DK226" s="28" t="str">
        <f aca="false">S226</f>
        <v/>
      </c>
      <c r="DL226" s="28" t="str">
        <f aca="false">W226</f>
        <v/>
      </c>
      <c r="DM226" s="28" t="str">
        <f aca="false">AA226</f>
        <v/>
      </c>
      <c r="DN226" s="28" t="str">
        <f aca="false">AE226</f>
        <v/>
      </c>
      <c r="DO226" s="28" t="str">
        <f aca="false">AI226</f>
        <v/>
      </c>
      <c r="DP226" s="28" t="str">
        <f aca="false">AM226</f>
        <v/>
      </c>
      <c r="DQ226" s="28" t="str">
        <f aca="false">AQ226</f>
        <v/>
      </c>
      <c r="DR226" s="28" t="str">
        <f aca="false">AU226</f>
        <v/>
      </c>
      <c r="DS226" s="28" t="str">
        <f aca="false">AY226</f>
        <v/>
      </c>
      <c r="DT226" s="28" t="str">
        <f aca="false">BC226</f>
        <v/>
      </c>
      <c r="DU226" s="28" t="str">
        <f aca="false">BG226</f>
        <v/>
      </c>
      <c r="DV226" s="28" t="str">
        <f aca="false">BK226</f>
        <v/>
      </c>
      <c r="DW226" s="28" t="str">
        <f aca="false">BO226</f>
        <v/>
      </c>
      <c r="DX226" s="28" t="str">
        <f aca="false">BS226</f>
        <v/>
      </c>
      <c r="DY226" s="28" t="str">
        <f aca="false">IF(ISNUMBER(S226),1,"")</f>
        <v/>
      </c>
      <c r="DZ226" s="28" t="str">
        <f aca="false">IF(ISNUMBER(W226),2,"")</f>
        <v/>
      </c>
      <c r="EA226" s="28" t="str">
        <f aca="false">IF(ISNUMBER(AA226),3,"")</f>
        <v/>
      </c>
      <c r="EB226" s="28" t="str">
        <f aca="false">IF(ISNUMBER(AE226),4,"")</f>
        <v/>
      </c>
      <c r="EC226" s="28" t="str">
        <f aca="false">IF(ISNUMBER(AI226),5,"")</f>
        <v/>
      </c>
      <c r="ED226" s="28" t="str">
        <f aca="false">IF(ISNUMBER(AM226),6,"")</f>
        <v/>
      </c>
      <c r="EE226" s="28" t="str">
        <f aca="false">IF(ISNUMBER(AQ226),7,"")</f>
        <v/>
      </c>
      <c r="EF226" s="28" t="str">
        <f aca="false">IF(ISNUMBER(AU226),8,"")</f>
        <v/>
      </c>
      <c r="EG226" s="28" t="str">
        <f aca="false">IF(ISNUMBER(AY226),9,"")</f>
        <v/>
      </c>
      <c r="EH226" s="28" t="str">
        <f aca="false">IF(ISNUMBER(BC226),10,"")</f>
        <v/>
      </c>
      <c r="EI226" s="28" t="str">
        <f aca="false">IF(ISNUMBER(BG226),11,"")</f>
        <v/>
      </c>
      <c r="EJ226" s="28" t="str">
        <f aca="false">IF(ISNUMBER(BK226),12,"")</f>
        <v/>
      </c>
      <c r="EK226" s="28" t="str">
        <f aca="false">IF(ISNUMBER(BO226),13,"")</f>
        <v/>
      </c>
      <c r="EL226" s="28" t="str">
        <f aca="false">IF(ISNUMBER(BS226),14,"")</f>
        <v/>
      </c>
      <c r="EM226" s="28" t="n">
        <f aca="false">IF(ISNUMBER(R226),R226*CW226,0)</f>
        <v>0</v>
      </c>
      <c r="EN226" s="28" t="n">
        <f aca="false">IF(ISNUMBER(V226),V226*CX226,0)</f>
        <v>0</v>
      </c>
      <c r="EO226" s="28" t="n">
        <f aca="false">IF(ISNUMBER(Z226),Z226*CY226,0)</f>
        <v>0</v>
      </c>
      <c r="EP226" s="28" t="n">
        <f aca="false">IF(ISNUMBER(AD226),AD226*CZ226,0)</f>
        <v>0</v>
      </c>
      <c r="EQ226" s="28" t="n">
        <f aca="false">IF(ISNUMBER(AH226),AH226*DA226,0)</f>
        <v>0</v>
      </c>
      <c r="ER226" s="28" t="n">
        <f aca="false">IF(ISNUMBER(AL226),AL226*DB226,0)</f>
        <v>0</v>
      </c>
      <c r="ES226" s="28" t="n">
        <f aca="false">IF(ISNUMBER(AP226),AP226*DC226,0)</f>
        <v>0</v>
      </c>
      <c r="ET226" s="28" t="n">
        <f aca="false">IF(ISNUMBER(AT226),AT226*DD226,0)</f>
        <v>0</v>
      </c>
      <c r="EU226" s="28" t="n">
        <f aca="false">IF(ISNUMBER(AX226),AX226*DE226,0)</f>
        <v>0</v>
      </c>
      <c r="EV226" s="28" t="n">
        <f aca="false">IF(ISNUMBER(BB226),BB226*DF226,0)</f>
        <v>0</v>
      </c>
      <c r="EW226" s="28" t="n">
        <f aca="false">IF(ISNUMBER(BF226),BF226*DG226,0)</f>
        <v>0</v>
      </c>
      <c r="EX226" s="28" t="n">
        <f aca="false">IF(ISNUMBER(BJ226),BJ226*DH226,0)</f>
        <v>0</v>
      </c>
      <c r="EY226" s="28" t="n">
        <f aca="false">IF(ISNUMBER(BN226),BN226*DI226,0)</f>
        <v>0</v>
      </c>
      <c r="EZ226" s="28" t="n">
        <f aca="false">IF(ISNUMBER(BR226),BR226*DJ226,0)</f>
        <v>0</v>
      </c>
      <c r="FA226" s="28" t="n">
        <f aca="false">IF(ISNUMBER(R226),CW226,0)</f>
        <v>0</v>
      </c>
      <c r="FB226" s="28" t="n">
        <f aca="false">IF(ISNUMBER(V226),CX226,0)</f>
        <v>0</v>
      </c>
      <c r="FC226" s="28" t="n">
        <f aca="false">IF(ISNUMBER(Z226),CY226,0)</f>
        <v>0</v>
      </c>
      <c r="FD226" s="28" t="n">
        <f aca="false">IF(ISNUMBER(AD226),CZ226,0)</f>
        <v>0</v>
      </c>
      <c r="FE226" s="28" t="n">
        <f aca="false">IF(ISNUMBER(AH226),DA226,0)</f>
        <v>0</v>
      </c>
      <c r="FF226" s="28" t="n">
        <f aca="false">IF(ISNUMBER(AL226),DB226,0)</f>
        <v>0</v>
      </c>
      <c r="FG226" s="28" t="n">
        <f aca="false">IF(ISNUMBER(AP226),DC226,0)</f>
        <v>0</v>
      </c>
      <c r="FH226" s="28" t="n">
        <f aca="false">IF(ISNUMBER(AT226),DD226,0)</f>
        <v>0</v>
      </c>
      <c r="FI226" s="28" t="n">
        <f aca="false">IF(ISNUMBER(AX226),DE226,0)</f>
        <v>0</v>
      </c>
      <c r="FJ226" s="28" t="n">
        <f aca="false">IF(ISNUMBER(BB226),DF226,0)</f>
        <v>0</v>
      </c>
      <c r="FK226" s="28" t="n">
        <f aca="false">IF(ISNUMBER(BF226),DG226,0)</f>
        <v>0</v>
      </c>
      <c r="FL226" s="28" t="n">
        <f aca="false">IF(ISNUMBER(BJ226),DH226,0)</f>
        <v>0</v>
      </c>
      <c r="FM226" s="28" t="n">
        <f aca="false">IF(ISNUMBER(BN226),DI226,0)</f>
        <v>0</v>
      </c>
      <c r="FN226" s="28" t="n">
        <f aca="false">IF(ISNUMBER(BR226),DJ226,0)</f>
        <v>0</v>
      </c>
      <c r="FO226" s="28" t="str">
        <f aca="false">IFERROR(INDEX(Lists!$G$2:$G$20,MATCH($I226&amp;"|"&amp;$J226,Lists!$F$2:$F$20,0)),"")</f>
        <v>Econ Exam</v>
      </c>
    </row>
    <row r="227" customFormat="false" ht="19.5" hidden="false" customHeight="true" outlineLevel="0" collapsed="false">
      <c r="A227" s="29" t="s">
        <v>478</v>
      </c>
      <c r="B227" s="29" t="s">
        <v>479</v>
      </c>
      <c r="C227" s="30" t="s">
        <v>152</v>
      </c>
      <c r="D227" s="30" t="s">
        <v>271</v>
      </c>
      <c r="E227" s="31"/>
      <c r="F227" s="30"/>
      <c r="G227" s="30"/>
      <c r="H227" s="32" t="s">
        <v>428</v>
      </c>
      <c r="I227" s="33" t="s">
        <v>229</v>
      </c>
      <c r="J227" s="32" t="s">
        <v>25</v>
      </c>
      <c r="K227" s="34" t="str">
        <f aca="false">IF(OR(M227="",$E227=""),"",M227-$E227)</f>
        <v/>
      </c>
      <c r="L227" s="35" t="str">
        <f aca="false">IF(SUM(FA227:FN227)=0,"",SUM(EM227:EZ227)/SUM(FA227:FN227))</f>
        <v/>
      </c>
      <c r="M227" s="36" t="str">
        <f aca="false">IF(OR(L227="",FO227=""),"",IFERROR(MATCH(L227,INDEX(Boundaries!$B$2:$I$30,MATCH(FO227,Boundaries!$A$2:$A$30,0),0),1)-1,""))</f>
        <v/>
      </c>
      <c r="N227" s="37" t="str">
        <f aca="false">IF(COUNT($DY227:$EL227)&lt;2,"",INDEX($DK227:$DX227,MAX($DY227:$EL227))-INDEX($DK227:$DX227,MIN($DY227:$EL227)))</f>
        <v/>
      </c>
      <c r="O227" s="37" t="str">
        <f aca="false">IF(COUNT($DY227:$EL227)&lt;2,"",INDEX($DK227:$DX227,MAX($DY227:$EL227))-INDEX($DK227:$DX227,LARGE($DY227:$EL227,2)))</f>
        <v/>
      </c>
      <c r="P227" s="38" t="str">
        <f aca="false">IF(K227="","",IF(K227&gt;=0,"On/above target",IF(AND(N227&lt;&gt;"",N227&gt;=0.5),"Improving towards target",IF(AND(O227&lt;&gt;"",O227&lt;=-0.5),"Declining","Stable below target"))))</f>
        <v/>
      </c>
      <c r="Q227" s="39"/>
      <c r="R227" s="40" t="str">
        <f aca="false">IF(OR(Q227="",BU227=""),"",Q227/BU227*100)</f>
        <v/>
      </c>
      <c r="S227" s="41" t="str">
        <f aca="false">IF(R227="","",IFERROR(MATCH(R227,INDEX(Boundaries!$B$2:$I$30,MATCH(CI227,Boundaries!$A$2:$A$30,0),0),1)-1,""))</f>
        <v/>
      </c>
      <c r="T227" s="42" t="str">
        <f aca="false">IF(OR(S227="",$E227=""),"",S227-$E227)</f>
        <v/>
      </c>
      <c r="U227" s="39"/>
      <c r="V227" s="40" t="str">
        <f aca="false">IF(OR(U227="",BV227=""),"",U227/BV227*100)</f>
        <v/>
      </c>
      <c r="W227" s="41" t="str">
        <f aca="false">IF(V227="","",IFERROR(MATCH(V227,INDEX(Boundaries!$B$2:$I$30,MATCH(CJ227,Boundaries!$A$2:$A$30,0),0),1)-1,""))</f>
        <v/>
      </c>
      <c r="X227" s="42" t="str">
        <f aca="false">IF(OR(W227="",$E227=""),"",W227-$E227)</f>
        <v/>
      </c>
      <c r="Y227" s="39"/>
      <c r="Z227" s="40" t="str">
        <f aca="false">IF(OR(Y227="",BW227=""),"",Y227/BW227*100)</f>
        <v/>
      </c>
      <c r="AA227" s="41" t="str">
        <f aca="false">IF(Z227="","",IFERROR(MATCH(Z227,INDEX(Boundaries!$B$2:$I$30,MATCH(CK227,Boundaries!$A$2:$A$30,0),0),1)-1,""))</f>
        <v/>
      </c>
      <c r="AB227" s="42" t="str">
        <f aca="false">IF(OR(AA227="",$E227=""),"",AA227-$E227)</f>
        <v/>
      </c>
      <c r="AC227" s="39"/>
      <c r="AD227" s="40" t="str">
        <f aca="false">IF(OR(AC227="",BX227=""),"",AC227/BX227*100)</f>
        <v/>
      </c>
      <c r="AE227" s="41" t="str">
        <f aca="false">IF(AD227="","",IFERROR(MATCH(AD227,INDEX(Boundaries!$B$2:$I$30,MATCH(CL227,Boundaries!$A$2:$A$30,0),0),1)-1,""))</f>
        <v/>
      </c>
      <c r="AF227" s="42" t="str">
        <f aca="false">IF(OR(AE227="",$E227=""),"",AE227-$E227)</f>
        <v/>
      </c>
      <c r="AG227" s="39"/>
      <c r="AH227" s="40" t="str">
        <f aca="false">IF(OR(AG227="",BY227=""),"",AG227/BY227*100)</f>
        <v/>
      </c>
      <c r="AI227" s="41" t="str">
        <f aca="false">IF(AH227="","",IFERROR(MATCH(AH227,INDEX(Boundaries!$B$2:$I$30,MATCH(CM227,Boundaries!$A$2:$A$30,0),0),1)-1,""))</f>
        <v/>
      </c>
      <c r="AJ227" s="42" t="str">
        <f aca="false">IF(OR(AI227="",$E227=""),"",AI227-$E227)</f>
        <v/>
      </c>
      <c r="AK227" s="39"/>
      <c r="AL227" s="40" t="str">
        <f aca="false">IF(OR(AK227="",BZ227=""),"",AK227/BZ227*100)</f>
        <v/>
      </c>
      <c r="AM227" s="41" t="str">
        <f aca="false">IF(AL227="","",IFERROR(MATCH(AL227,INDEX(Boundaries!$B$2:$I$30,MATCH(CN227,Boundaries!$A$2:$A$30,0),0),1)-1,""))</f>
        <v/>
      </c>
      <c r="AN227" s="42" t="str">
        <f aca="false">IF(OR(AM227="",$E227=""),"",AM227-$E227)</f>
        <v/>
      </c>
      <c r="AO227" s="39"/>
      <c r="AP227" s="40" t="str">
        <f aca="false">IF(OR(AO227="",CA227=""),"",AO227/CA227*100)</f>
        <v/>
      </c>
      <c r="AQ227" s="41" t="str">
        <f aca="false">IF(AP227="","",IFERROR(MATCH(AP227,INDEX(Boundaries!$B$2:$I$30,MATCH(CO227,Boundaries!$A$2:$A$30,0),0),1)-1,""))</f>
        <v/>
      </c>
      <c r="AR227" s="42" t="str">
        <f aca="false">IF(OR(AQ227="",$E227=""),"",AQ227-$E227)</f>
        <v/>
      </c>
      <c r="AS227" s="39"/>
      <c r="AT227" s="40" t="str">
        <f aca="false">IF(OR(AS227="",CB227=""),"",AS227/CB227*100)</f>
        <v/>
      </c>
      <c r="AU227" s="41" t="str">
        <f aca="false">IF(AT227="","",IFERROR(MATCH(AT227,INDEX(Boundaries!$B$2:$I$30,MATCH(CP227,Boundaries!$A$2:$A$30,0),0),1)-1,""))</f>
        <v/>
      </c>
      <c r="AV227" s="42" t="str">
        <f aca="false">IF(OR(AU227="",$E227=""),"",AU227-$E227)</f>
        <v/>
      </c>
      <c r="AW227" s="39"/>
      <c r="AX227" s="40" t="str">
        <f aca="false">IF(OR(AW227="",CC227=""),"",AW227/CC227*100)</f>
        <v/>
      </c>
      <c r="AY227" s="41" t="str">
        <f aca="false">IF(AX227="","",IFERROR(MATCH(AX227,INDEX(Boundaries!$B$2:$I$30,MATCH(CQ227,Boundaries!$A$2:$A$30,0),0),1)-1,""))</f>
        <v/>
      </c>
      <c r="AZ227" s="42" t="str">
        <f aca="false">IF(OR(AY227="",$E227=""),"",AY227-$E227)</f>
        <v/>
      </c>
      <c r="BA227" s="39"/>
      <c r="BB227" s="40" t="str">
        <f aca="false">IF(OR(BA227="",CD227=""),"",BA227/CD227*100)</f>
        <v/>
      </c>
      <c r="BC227" s="41" t="str">
        <f aca="false">IF(BB227="","",IFERROR(MATCH(BB227,INDEX(Boundaries!$B$2:$I$30,MATCH(CR227,Boundaries!$A$2:$A$30,0),0),1)-1,""))</f>
        <v/>
      </c>
      <c r="BD227" s="42" t="str">
        <f aca="false">IF(OR(BC227="",$E227=""),"",BC227-$E227)</f>
        <v/>
      </c>
      <c r="BE227" s="39"/>
      <c r="BF227" s="40" t="str">
        <f aca="false">IF(OR(BE227="",CE227=""),"",BE227/CE227*100)</f>
        <v/>
      </c>
      <c r="BG227" s="41" t="str">
        <f aca="false">IF(BF227="","",IFERROR(MATCH(BF227,INDEX(Boundaries!$B$2:$I$30,MATCH(CS227,Boundaries!$A$2:$A$30,0),0),1)-1,""))</f>
        <v/>
      </c>
      <c r="BH227" s="42" t="str">
        <f aca="false">IF(OR(BG227="",$E227=""),"",BG227-$E227)</f>
        <v/>
      </c>
      <c r="BI227" s="39"/>
      <c r="BJ227" s="40" t="str">
        <f aca="false">IF(OR(BI227="",CF227=""),"",BI227/CF227*100)</f>
        <v/>
      </c>
      <c r="BK227" s="41" t="str">
        <f aca="false">IF(BJ227="","",IFERROR(MATCH(BJ227,INDEX(Boundaries!$B$2:$I$30,MATCH(CT227,Boundaries!$A$2:$A$30,0),0),1)-1,""))</f>
        <v/>
      </c>
      <c r="BL227" s="42" t="str">
        <f aca="false">IF(OR(BK227="",$E227=""),"",BK227-$E227)</f>
        <v/>
      </c>
      <c r="BM227" s="39"/>
      <c r="BN227" s="40" t="str">
        <f aca="false">IF(OR(BM227="",CG227=""),"",BM227/CG227*100)</f>
        <v/>
      </c>
      <c r="BO227" s="41" t="str">
        <f aca="false">IF(BN227="","",IFERROR(MATCH(BN227,INDEX(Boundaries!$B$2:$I$30,MATCH(CU227,Boundaries!$A$2:$A$30,0),0),1)-1,""))</f>
        <v/>
      </c>
      <c r="BP227" s="42" t="str">
        <f aca="false">IF(OR(BO227="",$E227=""),"",BO227-$E227)</f>
        <v/>
      </c>
      <c r="BQ227" s="39"/>
      <c r="BR227" s="40" t="str">
        <f aca="false">IF(OR(BQ227="",CH227=""),"",BQ227/CH227*100)</f>
        <v/>
      </c>
      <c r="BS227" s="41" t="str">
        <f aca="false">IF(BR227="","",IFERROR(MATCH(BR227,INDEX(Boundaries!$B$2:$I$30,MATCH(CV227,Boundaries!$A$2:$A$30,0),0),1)-1,""))</f>
        <v/>
      </c>
      <c r="BT227" s="42" t="str">
        <f aca="false">IF(OR(BS227="",$E227=""),"",BS227-$E227)</f>
        <v/>
      </c>
      <c r="BU227" s="28" t="n">
        <f aca="false">IFERROR(INDEX(Assessments!$H$2:$H$600,MATCH($H227&amp;"|"&amp;$I227&amp;"|"&amp;$J227&amp;"|"&amp;1,Assessments!$A$2:$A$600,0)),"")</f>
        <v>25</v>
      </c>
      <c r="BV227" s="28" t="n">
        <f aca="false">IFERROR(INDEX(Assessments!$H$2:$H$600,MATCH($H227&amp;"|"&amp;$I227&amp;"|"&amp;$J227&amp;"|"&amp;2,Assessments!$A$2:$A$600,0)),"")</f>
        <v>24</v>
      </c>
      <c r="BW227" s="28" t="n">
        <f aca="false">IFERROR(INDEX(Assessments!$H$2:$H$600,MATCH($H227&amp;"|"&amp;$I227&amp;"|"&amp;$J227&amp;"|"&amp;3,Assessments!$A$2:$A$600,0)),"")</f>
        <v>25</v>
      </c>
      <c r="BX227" s="28" t="n">
        <f aca="false">IFERROR(INDEX(Assessments!$H$2:$H$600,MATCH($H227&amp;"|"&amp;$I227&amp;"|"&amp;$J227&amp;"|"&amp;4,Assessments!$A$2:$A$600,0)),"")</f>
        <v>35</v>
      </c>
      <c r="BY227" s="28" t="n">
        <f aca="false">IFERROR(INDEX(Assessments!$H$2:$H$600,MATCH($H227&amp;"|"&amp;$I227&amp;"|"&amp;$J227&amp;"|"&amp;5,Assessments!$A$2:$A$600,0)),"")</f>
        <v>55</v>
      </c>
      <c r="BZ227" s="28" t="n">
        <f aca="false">IFERROR(INDEX(Assessments!$H$2:$H$600,MATCH($H227&amp;"|"&amp;$I227&amp;"|"&amp;$J227&amp;"|"&amp;6,Assessments!$A$2:$A$600,0)),"")</f>
        <v>28</v>
      </c>
      <c r="CA227" s="28" t="n">
        <f aca="false">IFERROR(INDEX(Assessments!$H$2:$H$600,MATCH($H227&amp;"|"&amp;$I227&amp;"|"&amp;$J227&amp;"|"&amp;7,Assessments!$A$2:$A$600,0)),"")</f>
        <v>95</v>
      </c>
      <c r="CB227" s="28" t="str">
        <f aca="false">IFERROR(INDEX(Assessments!$H$2:$H$600,MATCH($H227&amp;"|"&amp;$I227&amp;"|"&amp;$J227&amp;"|"&amp;8,Assessments!$A$2:$A$600,0)),"")</f>
        <v/>
      </c>
      <c r="CC227" s="28" t="str">
        <f aca="false">IFERROR(INDEX(Assessments!$H$2:$H$600,MATCH($H227&amp;"|"&amp;$I227&amp;"|"&amp;$J227&amp;"|"&amp;9,Assessments!$A$2:$A$600,0)),"")</f>
        <v/>
      </c>
      <c r="CD227" s="28" t="str">
        <f aca="false">IFERROR(INDEX(Assessments!$H$2:$H$600,MATCH($H227&amp;"|"&amp;$I227&amp;"|"&amp;$J227&amp;"|"&amp;10,Assessments!$A$2:$A$600,0)),"")</f>
        <v/>
      </c>
      <c r="CE227" s="28" t="str">
        <f aca="false">IFERROR(INDEX(Assessments!$H$2:$H$600,MATCH($H227&amp;"|"&amp;$I227&amp;"|"&amp;$J227&amp;"|"&amp;11,Assessments!$A$2:$A$600,0)),"")</f>
        <v/>
      </c>
      <c r="CF227" s="28" t="str">
        <f aca="false">IFERROR(INDEX(Assessments!$H$2:$H$600,MATCH($H227&amp;"|"&amp;$I227&amp;"|"&amp;$J227&amp;"|"&amp;12,Assessments!$A$2:$A$600,0)),"")</f>
        <v/>
      </c>
      <c r="CG227" s="28" t="str">
        <f aca="false">IFERROR(INDEX(Assessments!$H$2:$H$600,MATCH($H227&amp;"|"&amp;$I227&amp;"|"&amp;$J227&amp;"|"&amp;13,Assessments!$A$2:$A$600,0)),"")</f>
        <v/>
      </c>
      <c r="CH227" s="28" t="str">
        <f aca="false">IFERROR(INDEX(Assessments!$H$2:$H$600,MATCH($H227&amp;"|"&amp;$I227&amp;"|"&amp;$J227&amp;"|"&amp;14,Assessments!$A$2:$A$600,0)),"")</f>
        <v/>
      </c>
      <c r="CI227" s="28" t="str">
        <f aca="false">IFERROR(INDEX(Assessments!$I$2:$I$600,MATCH($H227&amp;"|"&amp;$I227&amp;"|"&amp;$J227&amp;"|"&amp;1,Assessments!$A$2:$A$600,0)),"")</f>
        <v>Econ Test</v>
      </c>
      <c r="CJ227" s="28" t="str">
        <f aca="false">IFERROR(INDEX(Assessments!$I$2:$I$600,MATCH($H227&amp;"|"&amp;$I227&amp;"|"&amp;$J227&amp;"|"&amp;2,Assessments!$A$2:$A$600,0)),"")</f>
        <v>Econ Test</v>
      </c>
      <c r="CK227" s="28" t="str">
        <f aca="false">IFERROR(INDEX(Assessments!$I$2:$I$600,MATCH($H227&amp;"|"&amp;$I227&amp;"|"&amp;$J227&amp;"|"&amp;3,Assessments!$A$2:$A$600,0)),"")</f>
        <v>Econ Test</v>
      </c>
      <c r="CL227" s="28" t="str">
        <f aca="false">IFERROR(INDEX(Assessments!$I$2:$I$600,MATCH($H227&amp;"|"&amp;$I227&amp;"|"&amp;$J227&amp;"|"&amp;4,Assessments!$A$2:$A$600,0)),"")</f>
        <v>Econ Test</v>
      </c>
      <c r="CM227" s="28" t="str">
        <f aca="false">IFERROR(INDEX(Assessments!$I$2:$I$600,MATCH($H227&amp;"|"&amp;$I227&amp;"|"&amp;$J227&amp;"|"&amp;5,Assessments!$A$2:$A$600,0)),"")</f>
        <v>Econ Exam</v>
      </c>
      <c r="CN227" s="28" t="str">
        <f aca="false">IFERROR(INDEX(Assessments!$I$2:$I$600,MATCH($H227&amp;"|"&amp;$I227&amp;"|"&amp;$J227&amp;"|"&amp;6,Assessments!$A$2:$A$600,0)),"")</f>
        <v>Econ Test</v>
      </c>
      <c r="CO227" s="28" t="str">
        <f aca="false">IFERROR(INDEX(Assessments!$I$2:$I$600,MATCH($H227&amp;"|"&amp;$I227&amp;"|"&amp;$J227&amp;"|"&amp;7,Assessments!$A$2:$A$600,0)),"")</f>
        <v>Econ Exam</v>
      </c>
      <c r="CP227" s="28" t="str">
        <f aca="false">IFERROR(INDEX(Assessments!$I$2:$I$600,MATCH($H227&amp;"|"&amp;$I227&amp;"|"&amp;$J227&amp;"|"&amp;8,Assessments!$A$2:$A$600,0)),"")</f>
        <v/>
      </c>
      <c r="CQ227" s="28" t="str">
        <f aca="false">IFERROR(INDEX(Assessments!$I$2:$I$600,MATCH($H227&amp;"|"&amp;$I227&amp;"|"&amp;$J227&amp;"|"&amp;9,Assessments!$A$2:$A$600,0)),"")</f>
        <v/>
      </c>
      <c r="CR227" s="28" t="str">
        <f aca="false">IFERROR(INDEX(Assessments!$I$2:$I$600,MATCH($H227&amp;"|"&amp;$I227&amp;"|"&amp;$J227&amp;"|"&amp;10,Assessments!$A$2:$A$600,0)),"")</f>
        <v/>
      </c>
      <c r="CS227" s="28" t="str">
        <f aca="false">IFERROR(INDEX(Assessments!$I$2:$I$600,MATCH($H227&amp;"|"&amp;$I227&amp;"|"&amp;$J227&amp;"|"&amp;11,Assessments!$A$2:$A$600,0)),"")</f>
        <v/>
      </c>
      <c r="CT227" s="28" t="str">
        <f aca="false">IFERROR(INDEX(Assessments!$I$2:$I$600,MATCH($H227&amp;"|"&amp;$I227&amp;"|"&amp;$J227&amp;"|"&amp;12,Assessments!$A$2:$A$600,0)),"")</f>
        <v/>
      </c>
      <c r="CU227" s="28" t="str">
        <f aca="false">IFERROR(INDEX(Assessments!$I$2:$I$600,MATCH($H227&amp;"|"&amp;$I227&amp;"|"&amp;$J227&amp;"|"&amp;13,Assessments!$A$2:$A$600,0)),"")</f>
        <v/>
      </c>
      <c r="CV227" s="28" t="str">
        <f aca="false">IFERROR(INDEX(Assessments!$I$2:$I$600,MATCH($H227&amp;"|"&amp;$I227&amp;"|"&amp;$J227&amp;"|"&amp;14,Assessments!$A$2:$A$600,0)),"")</f>
        <v/>
      </c>
      <c r="CW227" s="28" t="n">
        <f aca="false">IFERROR(INDEX(Assessments!$J$2:$J$600,MATCH($H227&amp;"|"&amp;$I227&amp;"|"&amp;$J227&amp;"|"&amp;1,Assessments!$A$2:$A$600,0)),0)</f>
        <v>1</v>
      </c>
      <c r="CX227" s="28" t="n">
        <f aca="false">IFERROR(INDEX(Assessments!$J$2:$J$600,MATCH($H227&amp;"|"&amp;$I227&amp;"|"&amp;$J227&amp;"|"&amp;2,Assessments!$A$2:$A$600,0)),0)</f>
        <v>1</v>
      </c>
      <c r="CY227" s="28" t="n">
        <f aca="false">IFERROR(INDEX(Assessments!$J$2:$J$600,MATCH($H227&amp;"|"&amp;$I227&amp;"|"&amp;$J227&amp;"|"&amp;3,Assessments!$A$2:$A$600,0)),0)</f>
        <v>1</v>
      </c>
      <c r="CZ227" s="28" t="n">
        <f aca="false">IFERROR(INDEX(Assessments!$J$2:$J$600,MATCH($H227&amp;"|"&amp;$I227&amp;"|"&amp;$J227&amp;"|"&amp;4,Assessments!$A$2:$A$600,0)),0)</f>
        <v>1</v>
      </c>
      <c r="DA227" s="28" t="n">
        <f aca="false">IFERROR(INDEX(Assessments!$J$2:$J$600,MATCH($H227&amp;"|"&amp;$I227&amp;"|"&amp;$J227&amp;"|"&amp;5,Assessments!$A$2:$A$600,0)),0)</f>
        <v>2</v>
      </c>
      <c r="DB227" s="28" t="n">
        <f aca="false">IFERROR(INDEX(Assessments!$J$2:$J$600,MATCH($H227&amp;"|"&amp;$I227&amp;"|"&amp;$J227&amp;"|"&amp;6,Assessments!$A$2:$A$600,0)),0)</f>
        <v>1</v>
      </c>
      <c r="DC227" s="28" t="n">
        <f aca="false">IFERROR(INDEX(Assessments!$J$2:$J$600,MATCH($H227&amp;"|"&amp;$I227&amp;"|"&amp;$J227&amp;"|"&amp;7,Assessments!$A$2:$A$600,0)),0)</f>
        <v>2</v>
      </c>
      <c r="DD227" s="28" t="n">
        <f aca="false">IFERROR(INDEX(Assessments!$J$2:$J$600,MATCH($H227&amp;"|"&amp;$I227&amp;"|"&amp;$J227&amp;"|"&amp;8,Assessments!$A$2:$A$600,0)),0)</f>
        <v>0</v>
      </c>
      <c r="DE227" s="28" t="n">
        <f aca="false">IFERROR(INDEX(Assessments!$J$2:$J$600,MATCH($H227&amp;"|"&amp;$I227&amp;"|"&amp;$J227&amp;"|"&amp;9,Assessments!$A$2:$A$600,0)),0)</f>
        <v>0</v>
      </c>
      <c r="DF227" s="28" t="n">
        <f aca="false">IFERROR(INDEX(Assessments!$J$2:$J$600,MATCH($H227&amp;"|"&amp;$I227&amp;"|"&amp;$J227&amp;"|"&amp;10,Assessments!$A$2:$A$600,0)),0)</f>
        <v>0</v>
      </c>
      <c r="DG227" s="28" t="n">
        <f aca="false">IFERROR(INDEX(Assessments!$J$2:$J$600,MATCH($H227&amp;"|"&amp;$I227&amp;"|"&amp;$J227&amp;"|"&amp;11,Assessments!$A$2:$A$600,0)),0)</f>
        <v>0</v>
      </c>
      <c r="DH227" s="28" t="n">
        <f aca="false">IFERROR(INDEX(Assessments!$J$2:$J$600,MATCH($H227&amp;"|"&amp;$I227&amp;"|"&amp;$J227&amp;"|"&amp;12,Assessments!$A$2:$A$600,0)),0)</f>
        <v>0</v>
      </c>
      <c r="DI227" s="28" t="n">
        <f aca="false">IFERROR(INDEX(Assessments!$J$2:$J$600,MATCH($H227&amp;"|"&amp;$I227&amp;"|"&amp;$J227&amp;"|"&amp;13,Assessments!$A$2:$A$600,0)),0)</f>
        <v>0</v>
      </c>
      <c r="DJ227" s="28" t="n">
        <f aca="false">IFERROR(INDEX(Assessments!$J$2:$J$600,MATCH($H227&amp;"|"&amp;$I227&amp;"|"&amp;$J227&amp;"|"&amp;14,Assessments!$A$2:$A$600,0)),0)</f>
        <v>0</v>
      </c>
      <c r="DK227" s="28" t="str">
        <f aca="false">S227</f>
        <v/>
      </c>
      <c r="DL227" s="28" t="str">
        <f aca="false">W227</f>
        <v/>
      </c>
      <c r="DM227" s="28" t="str">
        <f aca="false">AA227</f>
        <v/>
      </c>
      <c r="DN227" s="28" t="str">
        <f aca="false">AE227</f>
        <v/>
      </c>
      <c r="DO227" s="28" t="str">
        <f aca="false">AI227</f>
        <v/>
      </c>
      <c r="DP227" s="28" t="str">
        <f aca="false">AM227</f>
        <v/>
      </c>
      <c r="DQ227" s="28" t="str">
        <f aca="false">AQ227</f>
        <v/>
      </c>
      <c r="DR227" s="28" t="str">
        <f aca="false">AU227</f>
        <v/>
      </c>
      <c r="DS227" s="28" t="str">
        <f aca="false">AY227</f>
        <v/>
      </c>
      <c r="DT227" s="28" t="str">
        <f aca="false">BC227</f>
        <v/>
      </c>
      <c r="DU227" s="28" t="str">
        <f aca="false">BG227</f>
        <v/>
      </c>
      <c r="DV227" s="28" t="str">
        <f aca="false">BK227</f>
        <v/>
      </c>
      <c r="DW227" s="28" t="str">
        <f aca="false">BO227</f>
        <v/>
      </c>
      <c r="DX227" s="28" t="str">
        <f aca="false">BS227</f>
        <v/>
      </c>
      <c r="DY227" s="28" t="str">
        <f aca="false">IF(ISNUMBER(S227),1,"")</f>
        <v/>
      </c>
      <c r="DZ227" s="28" t="str">
        <f aca="false">IF(ISNUMBER(W227),2,"")</f>
        <v/>
      </c>
      <c r="EA227" s="28" t="str">
        <f aca="false">IF(ISNUMBER(AA227),3,"")</f>
        <v/>
      </c>
      <c r="EB227" s="28" t="str">
        <f aca="false">IF(ISNUMBER(AE227),4,"")</f>
        <v/>
      </c>
      <c r="EC227" s="28" t="str">
        <f aca="false">IF(ISNUMBER(AI227),5,"")</f>
        <v/>
      </c>
      <c r="ED227" s="28" t="str">
        <f aca="false">IF(ISNUMBER(AM227),6,"")</f>
        <v/>
      </c>
      <c r="EE227" s="28" t="str">
        <f aca="false">IF(ISNUMBER(AQ227),7,"")</f>
        <v/>
      </c>
      <c r="EF227" s="28" t="str">
        <f aca="false">IF(ISNUMBER(AU227),8,"")</f>
        <v/>
      </c>
      <c r="EG227" s="28" t="str">
        <f aca="false">IF(ISNUMBER(AY227),9,"")</f>
        <v/>
      </c>
      <c r="EH227" s="28" t="str">
        <f aca="false">IF(ISNUMBER(BC227),10,"")</f>
        <v/>
      </c>
      <c r="EI227" s="28" t="str">
        <f aca="false">IF(ISNUMBER(BG227),11,"")</f>
        <v/>
      </c>
      <c r="EJ227" s="28" t="str">
        <f aca="false">IF(ISNUMBER(BK227),12,"")</f>
        <v/>
      </c>
      <c r="EK227" s="28" t="str">
        <f aca="false">IF(ISNUMBER(BO227),13,"")</f>
        <v/>
      </c>
      <c r="EL227" s="28" t="str">
        <f aca="false">IF(ISNUMBER(BS227),14,"")</f>
        <v/>
      </c>
      <c r="EM227" s="28" t="n">
        <f aca="false">IF(ISNUMBER(R227),R227*CW227,0)</f>
        <v>0</v>
      </c>
      <c r="EN227" s="28" t="n">
        <f aca="false">IF(ISNUMBER(V227),V227*CX227,0)</f>
        <v>0</v>
      </c>
      <c r="EO227" s="28" t="n">
        <f aca="false">IF(ISNUMBER(Z227),Z227*CY227,0)</f>
        <v>0</v>
      </c>
      <c r="EP227" s="28" t="n">
        <f aca="false">IF(ISNUMBER(AD227),AD227*CZ227,0)</f>
        <v>0</v>
      </c>
      <c r="EQ227" s="28" t="n">
        <f aca="false">IF(ISNUMBER(AH227),AH227*DA227,0)</f>
        <v>0</v>
      </c>
      <c r="ER227" s="28" t="n">
        <f aca="false">IF(ISNUMBER(AL227),AL227*DB227,0)</f>
        <v>0</v>
      </c>
      <c r="ES227" s="28" t="n">
        <f aca="false">IF(ISNUMBER(AP227),AP227*DC227,0)</f>
        <v>0</v>
      </c>
      <c r="ET227" s="28" t="n">
        <f aca="false">IF(ISNUMBER(AT227),AT227*DD227,0)</f>
        <v>0</v>
      </c>
      <c r="EU227" s="28" t="n">
        <f aca="false">IF(ISNUMBER(AX227),AX227*DE227,0)</f>
        <v>0</v>
      </c>
      <c r="EV227" s="28" t="n">
        <f aca="false">IF(ISNUMBER(BB227),BB227*DF227,0)</f>
        <v>0</v>
      </c>
      <c r="EW227" s="28" t="n">
        <f aca="false">IF(ISNUMBER(BF227),BF227*DG227,0)</f>
        <v>0</v>
      </c>
      <c r="EX227" s="28" t="n">
        <f aca="false">IF(ISNUMBER(BJ227),BJ227*DH227,0)</f>
        <v>0</v>
      </c>
      <c r="EY227" s="28" t="n">
        <f aca="false">IF(ISNUMBER(BN227),BN227*DI227,0)</f>
        <v>0</v>
      </c>
      <c r="EZ227" s="28" t="n">
        <f aca="false">IF(ISNUMBER(BR227),BR227*DJ227,0)</f>
        <v>0</v>
      </c>
      <c r="FA227" s="28" t="n">
        <f aca="false">IF(ISNUMBER(R227),CW227,0)</f>
        <v>0</v>
      </c>
      <c r="FB227" s="28" t="n">
        <f aca="false">IF(ISNUMBER(V227),CX227,0)</f>
        <v>0</v>
      </c>
      <c r="FC227" s="28" t="n">
        <f aca="false">IF(ISNUMBER(Z227),CY227,0)</f>
        <v>0</v>
      </c>
      <c r="FD227" s="28" t="n">
        <f aca="false">IF(ISNUMBER(AD227),CZ227,0)</f>
        <v>0</v>
      </c>
      <c r="FE227" s="28" t="n">
        <f aca="false">IF(ISNUMBER(AH227),DA227,0)</f>
        <v>0</v>
      </c>
      <c r="FF227" s="28" t="n">
        <f aca="false">IF(ISNUMBER(AL227),DB227,0)</f>
        <v>0</v>
      </c>
      <c r="FG227" s="28" t="n">
        <f aca="false">IF(ISNUMBER(AP227),DC227,0)</f>
        <v>0</v>
      </c>
      <c r="FH227" s="28" t="n">
        <f aca="false">IF(ISNUMBER(AT227),DD227,0)</f>
        <v>0</v>
      </c>
      <c r="FI227" s="28" t="n">
        <f aca="false">IF(ISNUMBER(AX227),DE227,0)</f>
        <v>0</v>
      </c>
      <c r="FJ227" s="28" t="n">
        <f aca="false">IF(ISNUMBER(BB227),DF227,0)</f>
        <v>0</v>
      </c>
      <c r="FK227" s="28" t="n">
        <f aca="false">IF(ISNUMBER(BF227),DG227,0)</f>
        <v>0</v>
      </c>
      <c r="FL227" s="28" t="n">
        <f aca="false">IF(ISNUMBER(BJ227),DH227,0)</f>
        <v>0</v>
      </c>
      <c r="FM227" s="28" t="n">
        <f aca="false">IF(ISNUMBER(BN227),DI227,0)</f>
        <v>0</v>
      </c>
      <c r="FN227" s="28" t="n">
        <f aca="false">IF(ISNUMBER(BR227),DJ227,0)</f>
        <v>0</v>
      </c>
      <c r="FO227" s="28" t="str">
        <f aca="false">IFERROR(INDEX(Lists!$G$2:$G$20,MATCH($I227&amp;"|"&amp;$J227,Lists!$F$2:$F$20,0)),"")</f>
        <v>Econ Exam</v>
      </c>
    </row>
    <row r="228" customFormat="false" ht="19.5" hidden="false" customHeight="true" outlineLevel="0" collapsed="false">
      <c r="A228" s="29" t="s">
        <v>480</v>
      </c>
      <c r="B228" s="29" t="s">
        <v>481</v>
      </c>
      <c r="C228" s="30" t="s">
        <v>152</v>
      </c>
      <c r="D228" s="30" t="s">
        <v>271</v>
      </c>
      <c r="E228" s="31"/>
      <c r="F228" s="30"/>
      <c r="G228" s="30"/>
      <c r="H228" s="32" t="s">
        <v>428</v>
      </c>
      <c r="I228" s="33" t="s">
        <v>229</v>
      </c>
      <c r="J228" s="32" t="s">
        <v>25</v>
      </c>
      <c r="K228" s="34" t="str">
        <f aca="false">IF(OR(M228="",$E228=""),"",M228-$E228)</f>
        <v/>
      </c>
      <c r="L228" s="35" t="str">
        <f aca="false">IF(SUM(FA228:FN228)=0,"",SUM(EM228:EZ228)/SUM(FA228:FN228))</f>
        <v/>
      </c>
      <c r="M228" s="36" t="str">
        <f aca="false">IF(OR(L228="",FO228=""),"",IFERROR(MATCH(L228,INDEX(Boundaries!$B$2:$I$30,MATCH(FO228,Boundaries!$A$2:$A$30,0),0),1)-1,""))</f>
        <v/>
      </c>
      <c r="N228" s="37" t="str">
        <f aca="false">IF(COUNT($DY228:$EL228)&lt;2,"",INDEX($DK228:$DX228,MAX($DY228:$EL228))-INDEX($DK228:$DX228,MIN($DY228:$EL228)))</f>
        <v/>
      </c>
      <c r="O228" s="37" t="str">
        <f aca="false">IF(COUNT($DY228:$EL228)&lt;2,"",INDEX($DK228:$DX228,MAX($DY228:$EL228))-INDEX($DK228:$DX228,LARGE($DY228:$EL228,2)))</f>
        <v/>
      </c>
      <c r="P228" s="38" t="str">
        <f aca="false">IF(K228="","",IF(K228&gt;=0,"On/above target",IF(AND(N228&lt;&gt;"",N228&gt;=0.5),"Improving towards target",IF(AND(O228&lt;&gt;"",O228&lt;=-0.5),"Declining","Stable below target"))))</f>
        <v/>
      </c>
      <c r="Q228" s="39"/>
      <c r="R228" s="40" t="str">
        <f aca="false">IF(OR(Q228="",BU228=""),"",Q228/BU228*100)</f>
        <v/>
      </c>
      <c r="S228" s="41" t="str">
        <f aca="false">IF(R228="","",IFERROR(MATCH(R228,INDEX(Boundaries!$B$2:$I$30,MATCH(CI228,Boundaries!$A$2:$A$30,0),0),1)-1,""))</f>
        <v/>
      </c>
      <c r="T228" s="42" t="str">
        <f aca="false">IF(OR(S228="",$E228=""),"",S228-$E228)</f>
        <v/>
      </c>
      <c r="U228" s="39"/>
      <c r="V228" s="40" t="str">
        <f aca="false">IF(OR(U228="",BV228=""),"",U228/BV228*100)</f>
        <v/>
      </c>
      <c r="W228" s="41" t="str">
        <f aca="false">IF(V228="","",IFERROR(MATCH(V228,INDEX(Boundaries!$B$2:$I$30,MATCH(CJ228,Boundaries!$A$2:$A$30,0),0),1)-1,""))</f>
        <v/>
      </c>
      <c r="X228" s="42" t="str">
        <f aca="false">IF(OR(W228="",$E228=""),"",W228-$E228)</f>
        <v/>
      </c>
      <c r="Y228" s="39"/>
      <c r="Z228" s="40" t="str">
        <f aca="false">IF(OR(Y228="",BW228=""),"",Y228/BW228*100)</f>
        <v/>
      </c>
      <c r="AA228" s="41" t="str">
        <f aca="false">IF(Z228="","",IFERROR(MATCH(Z228,INDEX(Boundaries!$B$2:$I$30,MATCH(CK228,Boundaries!$A$2:$A$30,0),0),1)-1,""))</f>
        <v/>
      </c>
      <c r="AB228" s="42" t="str">
        <f aca="false">IF(OR(AA228="",$E228=""),"",AA228-$E228)</f>
        <v/>
      </c>
      <c r="AC228" s="39"/>
      <c r="AD228" s="40" t="str">
        <f aca="false">IF(OR(AC228="",BX228=""),"",AC228/BX228*100)</f>
        <v/>
      </c>
      <c r="AE228" s="41" t="str">
        <f aca="false">IF(AD228="","",IFERROR(MATCH(AD228,INDEX(Boundaries!$B$2:$I$30,MATCH(CL228,Boundaries!$A$2:$A$30,0),0),1)-1,""))</f>
        <v/>
      </c>
      <c r="AF228" s="42" t="str">
        <f aca="false">IF(OR(AE228="",$E228=""),"",AE228-$E228)</f>
        <v/>
      </c>
      <c r="AG228" s="39"/>
      <c r="AH228" s="40" t="str">
        <f aca="false">IF(OR(AG228="",BY228=""),"",AG228/BY228*100)</f>
        <v/>
      </c>
      <c r="AI228" s="41" t="str">
        <f aca="false">IF(AH228="","",IFERROR(MATCH(AH228,INDEX(Boundaries!$B$2:$I$30,MATCH(CM228,Boundaries!$A$2:$A$30,0),0),1)-1,""))</f>
        <v/>
      </c>
      <c r="AJ228" s="42" t="str">
        <f aca="false">IF(OR(AI228="",$E228=""),"",AI228-$E228)</f>
        <v/>
      </c>
      <c r="AK228" s="39"/>
      <c r="AL228" s="40" t="str">
        <f aca="false">IF(OR(AK228="",BZ228=""),"",AK228/BZ228*100)</f>
        <v/>
      </c>
      <c r="AM228" s="41" t="str">
        <f aca="false">IF(AL228="","",IFERROR(MATCH(AL228,INDEX(Boundaries!$B$2:$I$30,MATCH(CN228,Boundaries!$A$2:$A$30,0),0),1)-1,""))</f>
        <v/>
      </c>
      <c r="AN228" s="42" t="str">
        <f aca="false">IF(OR(AM228="",$E228=""),"",AM228-$E228)</f>
        <v/>
      </c>
      <c r="AO228" s="39"/>
      <c r="AP228" s="40" t="str">
        <f aca="false">IF(OR(AO228="",CA228=""),"",AO228/CA228*100)</f>
        <v/>
      </c>
      <c r="AQ228" s="41" t="str">
        <f aca="false">IF(AP228="","",IFERROR(MATCH(AP228,INDEX(Boundaries!$B$2:$I$30,MATCH(CO228,Boundaries!$A$2:$A$30,0),0),1)-1,""))</f>
        <v/>
      </c>
      <c r="AR228" s="42" t="str">
        <f aca="false">IF(OR(AQ228="",$E228=""),"",AQ228-$E228)</f>
        <v/>
      </c>
      <c r="AS228" s="39"/>
      <c r="AT228" s="40" t="str">
        <f aca="false">IF(OR(AS228="",CB228=""),"",AS228/CB228*100)</f>
        <v/>
      </c>
      <c r="AU228" s="41" t="str">
        <f aca="false">IF(AT228="","",IFERROR(MATCH(AT228,INDEX(Boundaries!$B$2:$I$30,MATCH(CP228,Boundaries!$A$2:$A$30,0),0),1)-1,""))</f>
        <v/>
      </c>
      <c r="AV228" s="42" t="str">
        <f aca="false">IF(OR(AU228="",$E228=""),"",AU228-$E228)</f>
        <v/>
      </c>
      <c r="AW228" s="39"/>
      <c r="AX228" s="40" t="str">
        <f aca="false">IF(OR(AW228="",CC228=""),"",AW228/CC228*100)</f>
        <v/>
      </c>
      <c r="AY228" s="41" t="str">
        <f aca="false">IF(AX228="","",IFERROR(MATCH(AX228,INDEX(Boundaries!$B$2:$I$30,MATCH(CQ228,Boundaries!$A$2:$A$30,0),0),1)-1,""))</f>
        <v/>
      </c>
      <c r="AZ228" s="42" t="str">
        <f aca="false">IF(OR(AY228="",$E228=""),"",AY228-$E228)</f>
        <v/>
      </c>
      <c r="BA228" s="39"/>
      <c r="BB228" s="40" t="str">
        <f aca="false">IF(OR(BA228="",CD228=""),"",BA228/CD228*100)</f>
        <v/>
      </c>
      <c r="BC228" s="41" t="str">
        <f aca="false">IF(BB228="","",IFERROR(MATCH(BB228,INDEX(Boundaries!$B$2:$I$30,MATCH(CR228,Boundaries!$A$2:$A$30,0),0),1)-1,""))</f>
        <v/>
      </c>
      <c r="BD228" s="42" t="str">
        <f aca="false">IF(OR(BC228="",$E228=""),"",BC228-$E228)</f>
        <v/>
      </c>
      <c r="BE228" s="39"/>
      <c r="BF228" s="40" t="str">
        <f aca="false">IF(OR(BE228="",CE228=""),"",BE228/CE228*100)</f>
        <v/>
      </c>
      <c r="BG228" s="41" t="str">
        <f aca="false">IF(BF228="","",IFERROR(MATCH(BF228,INDEX(Boundaries!$B$2:$I$30,MATCH(CS228,Boundaries!$A$2:$A$30,0),0),1)-1,""))</f>
        <v/>
      </c>
      <c r="BH228" s="42" t="str">
        <f aca="false">IF(OR(BG228="",$E228=""),"",BG228-$E228)</f>
        <v/>
      </c>
      <c r="BI228" s="39"/>
      <c r="BJ228" s="40" t="str">
        <f aca="false">IF(OR(BI228="",CF228=""),"",BI228/CF228*100)</f>
        <v/>
      </c>
      <c r="BK228" s="41" t="str">
        <f aca="false">IF(BJ228="","",IFERROR(MATCH(BJ228,INDEX(Boundaries!$B$2:$I$30,MATCH(CT228,Boundaries!$A$2:$A$30,0),0),1)-1,""))</f>
        <v/>
      </c>
      <c r="BL228" s="42" t="str">
        <f aca="false">IF(OR(BK228="",$E228=""),"",BK228-$E228)</f>
        <v/>
      </c>
      <c r="BM228" s="39"/>
      <c r="BN228" s="40" t="str">
        <f aca="false">IF(OR(BM228="",CG228=""),"",BM228/CG228*100)</f>
        <v/>
      </c>
      <c r="BO228" s="41" t="str">
        <f aca="false">IF(BN228="","",IFERROR(MATCH(BN228,INDEX(Boundaries!$B$2:$I$30,MATCH(CU228,Boundaries!$A$2:$A$30,0),0),1)-1,""))</f>
        <v/>
      </c>
      <c r="BP228" s="42" t="str">
        <f aca="false">IF(OR(BO228="",$E228=""),"",BO228-$E228)</f>
        <v/>
      </c>
      <c r="BQ228" s="39"/>
      <c r="BR228" s="40" t="str">
        <f aca="false">IF(OR(BQ228="",CH228=""),"",BQ228/CH228*100)</f>
        <v/>
      </c>
      <c r="BS228" s="41" t="str">
        <f aca="false">IF(BR228="","",IFERROR(MATCH(BR228,INDEX(Boundaries!$B$2:$I$30,MATCH(CV228,Boundaries!$A$2:$A$30,0),0),1)-1,""))</f>
        <v/>
      </c>
      <c r="BT228" s="42" t="str">
        <f aca="false">IF(OR(BS228="",$E228=""),"",BS228-$E228)</f>
        <v/>
      </c>
      <c r="BU228" s="28" t="n">
        <f aca="false">IFERROR(INDEX(Assessments!$H$2:$H$600,MATCH($H228&amp;"|"&amp;$I228&amp;"|"&amp;$J228&amp;"|"&amp;1,Assessments!$A$2:$A$600,0)),"")</f>
        <v>25</v>
      </c>
      <c r="BV228" s="28" t="n">
        <f aca="false">IFERROR(INDEX(Assessments!$H$2:$H$600,MATCH($H228&amp;"|"&amp;$I228&amp;"|"&amp;$J228&amp;"|"&amp;2,Assessments!$A$2:$A$600,0)),"")</f>
        <v>24</v>
      </c>
      <c r="BW228" s="28" t="n">
        <f aca="false">IFERROR(INDEX(Assessments!$H$2:$H$600,MATCH($H228&amp;"|"&amp;$I228&amp;"|"&amp;$J228&amp;"|"&amp;3,Assessments!$A$2:$A$600,0)),"")</f>
        <v>25</v>
      </c>
      <c r="BX228" s="28" t="n">
        <f aca="false">IFERROR(INDEX(Assessments!$H$2:$H$600,MATCH($H228&amp;"|"&amp;$I228&amp;"|"&amp;$J228&amp;"|"&amp;4,Assessments!$A$2:$A$600,0)),"")</f>
        <v>35</v>
      </c>
      <c r="BY228" s="28" t="n">
        <f aca="false">IFERROR(INDEX(Assessments!$H$2:$H$600,MATCH($H228&amp;"|"&amp;$I228&amp;"|"&amp;$J228&amp;"|"&amp;5,Assessments!$A$2:$A$600,0)),"")</f>
        <v>55</v>
      </c>
      <c r="BZ228" s="28" t="n">
        <f aca="false">IFERROR(INDEX(Assessments!$H$2:$H$600,MATCH($H228&amp;"|"&amp;$I228&amp;"|"&amp;$J228&amp;"|"&amp;6,Assessments!$A$2:$A$600,0)),"")</f>
        <v>28</v>
      </c>
      <c r="CA228" s="28" t="n">
        <f aca="false">IFERROR(INDEX(Assessments!$H$2:$H$600,MATCH($H228&amp;"|"&amp;$I228&amp;"|"&amp;$J228&amp;"|"&amp;7,Assessments!$A$2:$A$600,0)),"")</f>
        <v>95</v>
      </c>
      <c r="CB228" s="28" t="str">
        <f aca="false">IFERROR(INDEX(Assessments!$H$2:$H$600,MATCH($H228&amp;"|"&amp;$I228&amp;"|"&amp;$J228&amp;"|"&amp;8,Assessments!$A$2:$A$600,0)),"")</f>
        <v/>
      </c>
      <c r="CC228" s="28" t="str">
        <f aca="false">IFERROR(INDEX(Assessments!$H$2:$H$600,MATCH($H228&amp;"|"&amp;$I228&amp;"|"&amp;$J228&amp;"|"&amp;9,Assessments!$A$2:$A$600,0)),"")</f>
        <v/>
      </c>
      <c r="CD228" s="28" t="str">
        <f aca="false">IFERROR(INDEX(Assessments!$H$2:$H$600,MATCH($H228&amp;"|"&amp;$I228&amp;"|"&amp;$J228&amp;"|"&amp;10,Assessments!$A$2:$A$600,0)),"")</f>
        <v/>
      </c>
      <c r="CE228" s="28" t="str">
        <f aca="false">IFERROR(INDEX(Assessments!$H$2:$H$600,MATCH($H228&amp;"|"&amp;$I228&amp;"|"&amp;$J228&amp;"|"&amp;11,Assessments!$A$2:$A$600,0)),"")</f>
        <v/>
      </c>
      <c r="CF228" s="28" t="str">
        <f aca="false">IFERROR(INDEX(Assessments!$H$2:$H$600,MATCH($H228&amp;"|"&amp;$I228&amp;"|"&amp;$J228&amp;"|"&amp;12,Assessments!$A$2:$A$600,0)),"")</f>
        <v/>
      </c>
      <c r="CG228" s="28" t="str">
        <f aca="false">IFERROR(INDEX(Assessments!$H$2:$H$600,MATCH($H228&amp;"|"&amp;$I228&amp;"|"&amp;$J228&amp;"|"&amp;13,Assessments!$A$2:$A$600,0)),"")</f>
        <v/>
      </c>
      <c r="CH228" s="28" t="str">
        <f aca="false">IFERROR(INDEX(Assessments!$H$2:$H$600,MATCH($H228&amp;"|"&amp;$I228&amp;"|"&amp;$J228&amp;"|"&amp;14,Assessments!$A$2:$A$600,0)),"")</f>
        <v/>
      </c>
      <c r="CI228" s="28" t="str">
        <f aca="false">IFERROR(INDEX(Assessments!$I$2:$I$600,MATCH($H228&amp;"|"&amp;$I228&amp;"|"&amp;$J228&amp;"|"&amp;1,Assessments!$A$2:$A$600,0)),"")</f>
        <v>Econ Test</v>
      </c>
      <c r="CJ228" s="28" t="str">
        <f aca="false">IFERROR(INDEX(Assessments!$I$2:$I$600,MATCH($H228&amp;"|"&amp;$I228&amp;"|"&amp;$J228&amp;"|"&amp;2,Assessments!$A$2:$A$600,0)),"")</f>
        <v>Econ Test</v>
      </c>
      <c r="CK228" s="28" t="str">
        <f aca="false">IFERROR(INDEX(Assessments!$I$2:$I$600,MATCH($H228&amp;"|"&amp;$I228&amp;"|"&amp;$J228&amp;"|"&amp;3,Assessments!$A$2:$A$600,0)),"")</f>
        <v>Econ Test</v>
      </c>
      <c r="CL228" s="28" t="str">
        <f aca="false">IFERROR(INDEX(Assessments!$I$2:$I$600,MATCH($H228&amp;"|"&amp;$I228&amp;"|"&amp;$J228&amp;"|"&amp;4,Assessments!$A$2:$A$600,0)),"")</f>
        <v>Econ Test</v>
      </c>
      <c r="CM228" s="28" t="str">
        <f aca="false">IFERROR(INDEX(Assessments!$I$2:$I$600,MATCH($H228&amp;"|"&amp;$I228&amp;"|"&amp;$J228&amp;"|"&amp;5,Assessments!$A$2:$A$600,0)),"")</f>
        <v>Econ Exam</v>
      </c>
      <c r="CN228" s="28" t="str">
        <f aca="false">IFERROR(INDEX(Assessments!$I$2:$I$600,MATCH($H228&amp;"|"&amp;$I228&amp;"|"&amp;$J228&amp;"|"&amp;6,Assessments!$A$2:$A$600,0)),"")</f>
        <v>Econ Test</v>
      </c>
      <c r="CO228" s="28" t="str">
        <f aca="false">IFERROR(INDEX(Assessments!$I$2:$I$600,MATCH($H228&amp;"|"&amp;$I228&amp;"|"&amp;$J228&amp;"|"&amp;7,Assessments!$A$2:$A$600,0)),"")</f>
        <v>Econ Exam</v>
      </c>
      <c r="CP228" s="28" t="str">
        <f aca="false">IFERROR(INDEX(Assessments!$I$2:$I$600,MATCH($H228&amp;"|"&amp;$I228&amp;"|"&amp;$J228&amp;"|"&amp;8,Assessments!$A$2:$A$600,0)),"")</f>
        <v/>
      </c>
      <c r="CQ228" s="28" t="str">
        <f aca="false">IFERROR(INDEX(Assessments!$I$2:$I$600,MATCH($H228&amp;"|"&amp;$I228&amp;"|"&amp;$J228&amp;"|"&amp;9,Assessments!$A$2:$A$600,0)),"")</f>
        <v/>
      </c>
      <c r="CR228" s="28" t="str">
        <f aca="false">IFERROR(INDEX(Assessments!$I$2:$I$600,MATCH($H228&amp;"|"&amp;$I228&amp;"|"&amp;$J228&amp;"|"&amp;10,Assessments!$A$2:$A$600,0)),"")</f>
        <v/>
      </c>
      <c r="CS228" s="28" t="str">
        <f aca="false">IFERROR(INDEX(Assessments!$I$2:$I$600,MATCH($H228&amp;"|"&amp;$I228&amp;"|"&amp;$J228&amp;"|"&amp;11,Assessments!$A$2:$A$600,0)),"")</f>
        <v/>
      </c>
      <c r="CT228" s="28" t="str">
        <f aca="false">IFERROR(INDEX(Assessments!$I$2:$I$600,MATCH($H228&amp;"|"&amp;$I228&amp;"|"&amp;$J228&amp;"|"&amp;12,Assessments!$A$2:$A$600,0)),"")</f>
        <v/>
      </c>
      <c r="CU228" s="28" t="str">
        <f aca="false">IFERROR(INDEX(Assessments!$I$2:$I$600,MATCH($H228&amp;"|"&amp;$I228&amp;"|"&amp;$J228&amp;"|"&amp;13,Assessments!$A$2:$A$600,0)),"")</f>
        <v/>
      </c>
      <c r="CV228" s="28" t="str">
        <f aca="false">IFERROR(INDEX(Assessments!$I$2:$I$600,MATCH($H228&amp;"|"&amp;$I228&amp;"|"&amp;$J228&amp;"|"&amp;14,Assessments!$A$2:$A$600,0)),"")</f>
        <v/>
      </c>
      <c r="CW228" s="28" t="n">
        <f aca="false">IFERROR(INDEX(Assessments!$J$2:$J$600,MATCH($H228&amp;"|"&amp;$I228&amp;"|"&amp;$J228&amp;"|"&amp;1,Assessments!$A$2:$A$600,0)),0)</f>
        <v>1</v>
      </c>
      <c r="CX228" s="28" t="n">
        <f aca="false">IFERROR(INDEX(Assessments!$J$2:$J$600,MATCH($H228&amp;"|"&amp;$I228&amp;"|"&amp;$J228&amp;"|"&amp;2,Assessments!$A$2:$A$600,0)),0)</f>
        <v>1</v>
      </c>
      <c r="CY228" s="28" t="n">
        <f aca="false">IFERROR(INDEX(Assessments!$J$2:$J$600,MATCH($H228&amp;"|"&amp;$I228&amp;"|"&amp;$J228&amp;"|"&amp;3,Assessments!$A$2:$A$600,0)),0)</f>
        <v>1</v>
      </c>
      <c r="CZ228" s="28" t="n">
        <f aca="false">IFERROR(INDEX(Assessments!$J$2:$J$600,MATCH($H228&amp;"|"&amp;$I228&amp;"|"&amp;$J228&amp;"|"&amp;4,Assessments!$A$2:$A$600,0)),0)</f>
        <v>1</v>
      </c>
      <c r="DA228" s="28" t="n">
        <f aca="false">IFERROR(INDEX(Assessments!$J$2:$J$600,MATCH($H228&amp;"|"&amp;$I228&amp;"|"&amp;$J228&amp;"|"&amp;5,Assessments!$A$2:$A$600,0)),0)</f>
        <v>2</v>
      </c>
      <c r="DB228" s="28" t="n">
        <f aca="false">IFERROR(INDEX(Assessments!$J$2:$J$600,MATCH($H228&amp;"|"&amp;$I228&amp;"|"&amp;$J228&amp;"|"&amp;6,Assessments!$A$2:$A$600,0)),0)</f>
        <v>1</v>
      </c>
      <c r="DC228" s="28" t="n">
        <f aca="false">IFERROR(INDEX(Assessments!$J$2:$J$600,MATCH($H228&amp;"|"&amp;$I228&amp;"|"&amp;$J228&amp;"|"&amp;7,Assessments!$A$2:$A$600,0)),0)</f>
        <v>2</v>
      </c>
      <c r="DD228" s="28" t="n">
        <f aca="false">IFERROR(INDEX(Assessments!$J$2:$J$600,MATCH($H228&amp;"|"&amp;$I228&amp;"|"&amp;$J228&amp;"|"&amp;8,Assessments!$A$2:$A$600,0)),0)</f>
        <v>0</v>
      </c>
      <c r="DE228" s="28" t="n">
        <f aca="false">IFERROR(INDEX(Assessments!$J$2:$J$600,MATCH($H228&amp;"|"&amp;$I228&amp;"|"&amp;$J228&amp;"|"&amp;9,Assessments!$A$2:$A$600,0)),0)</f>
        <v>0</v>
      </c>
      <c r="DF228" s="28" t="n">
        <f aca="false">IFERROR(INDEX(Assessments!$J$2:$J$600,MATCH($H228&amp;"|"&amp;$I228&amp;"|"&amp;$J228&amp;"|"&amp;10,Assessments!$A$2:$A$600,0)),0)</f>
        <v>0</v>
      </c>
      <c r="DG228" s="28" t="n">
        <f aca="false">IFERROR(INDEX(Assessments!$J$2:$J$600,MATCH($H228&amp;"|"&amp;$I228&amp;"|"&amp;$J228&amp;"|"&amp;11,Assessments!$A$2:$A$600,0)),0)</f>
        <v>0</v>
      </c>
      <c r="DH228" s="28" t="n">
        <f aca="false">IFERROR(INDEX(Assessments!$J$2:$J$600,MATCH($H228&amp;"|"&amp;$I228&amp;"|"&amp;$J228&amp;"|"&amp;12,Assessments!$A$2:$A$600,0)),0)</f>
        <v>0</v>
      </c>
      <c r="DI228" s="28" t="n">
        <f aca="false">IFERROR(INDEX(Assessments!$J$2:$J$600,MATCH($H228&amp;"|"&amp;$I228&amp;"|"&amp;$J228&amp;"|"&amp;13,Assessments!$A$2:$A$600,0)),0)</f>
        <v>0</v>
      </c>
      <c r="DJ228" s="28" t="n">
        <f aca="false">IFERROR(INDEX(Assessments!$J$2:$J$600,MATCH($H228&amp;"|"&amp;$I228&amp;"|"&amp;$J228&amp;"|"&amp;14,Assessments!$A$2:$A$600,0)),0)</f>
        <v>0</v>
      </c>
      <c r="DK228" s="28" t="str">
        <f aca="false">S228</f>
        <v/>
      </c>
      <c r="DL228" s="28" t="str">
        <f aca="false">W228</f>
        <v/>
      </c>
      <c r="DM228" s="28" t="str">
        <f aca="false">AA228</f>
        <v/>
      </c>
      <c r="DN228" s="28" t="str">
        <f aca="false">AE228</f>
        <v/>
      </c>
      <c r="DO228" s="28" t="str">
        <f aca="false">AI228</f>
        <v/>
      </c>
      <c r="DP228" s="28" t="str">
        <f aca="false">AM228</f>
        <v/>
      </c>
      <c r="DQ228" s="28" t="str">
        <f aca="false">AQ228</f>
        <v/>
      </c>
      <c r="DR228" s="28" t="str">
        <f aca="false">AU228</f>
        <v/>
      </c>
      <c r="DS228" s="28" t="str">
        <f aca="false">AY228</f>
        <v/>
      </c>
      <c r="DT228" s="28" t="str">
        <f aca="false">BC228</f>
        <v/>
      </c>
      <c r="DU228" s="28" t="str">
        <f aca="false">BG228</f>
        <v/>
      </c>
      <c r="DV228" s="28" t="str">
        <f aca="false">BK228</f>
        <v/>
      </c>
      <c r="DW228" s="28" t="str">
        <f aca="false">BO228</f>
        <v/>
      </c>
      <c r="DX228" s="28" t="str">
        <f aca="false">BS228</f>
        <v/>
      </c>
      <c r="DY228" s="28" t="str">
        <f aca="false">IF(ISNUMBER(S228),1,"")</f>
        <v/>
      </c>
      <c r="DZ228" s="28" t="str">
        <f aca="false">IF(ISNUMBER(W228),2,"")</f>
        <v/>
      </c>
      <c r="EA228" s="28" t="str">
        <f aca="false">IF(ISNUMBER(AA228),3,"")</f>
        <v/>
      </c>
      <c r="EB228" s="28" t="str">
        <f aca="false">IF(ISNUMBER(AE228),4,"")</f>
        <v/>
      </c>
      <c r="EC228" s="28" t="str">
        <f aca="false">IF(ISNUMBER(AI228),5,"")</f>
        <v/>
      </c>
      <c r="ED228" s="28" t="str">
        <f aca="false">IF(ISNUMBER(AM228),6,"")</f>
        <v/>
      </c>
      <c r="EE228" s="28" t="str">
        <f aca="false">IF(ISNUMBER(AQ228),7,"")</f>
        <v/>
      </c>
      <c r="EF228" s="28" t="str">
        <f aca="false">IF(ISNUMBER(AU228),8,"")</f>
        <v/>
      </c>
      <c r="EG228" s="28" t="str">
        <f aca="false">IF(ISNUMBER(AY228),9,"")</f>
        <v/>
      </c>
      <c r="EH228" s="28" t="str">
        <f aca="false">IF(ISNUMBER(BC228),10,"")</f>
        <v/>
      </c>
      <c r="EI228" s="28" t="str">
        <f aca="false">IF(ISNUMBER(BG228),11,"")</f>
        <v/>
      </c>
      <c r="EJ228" s="28" t="str">
        <f aca="false">IF(ISNUMBER(BK228),12,"")</f>
        <v/>
      </c>
      <c r="EK228" s="28" t="str">
        <f aca="false">IF(ISNUMBER(BO228),13,"")</f>
        <v/>
      </c>
      <c r="EL228" s="28" t="str">
        <f aca="false">IF(ISNUMBER(BS228),14,"")</f>
        <v/>
      </c>
      <c r="EM228" s="28" t="n">
        <f aca="false">IF(ISNUMBER(R228),R228*CW228,0)</f>
        <v>0</v>
      </c>
      <c r="EN228" s="28" t="n">
        <f aca="false">IF(ISNUMBER(V228),V228*CX228,0)</f>
        <v>0</v>
      </c>
      <c r="EO228" s="28" t="n">
        <f aca="false">IF(ISNUMBER(Z228),Z228*CY228,0)</f>
        <v>0</v>
      </c>
      <c r="EP228" s="28" t="n">
        <f aca="false">IF(ISNUMBER(AD228),AD228*CZ228,0)</f>
        <v>0</v>
      </c>
      <c r="EQ228" s="28" t="n">
        <f aca="false">IF(ISNUMBER(AH228),AH228*DA228,0)</f>
        <v>0</v>
      </c>
      <c r="ER228" s="28" t="n">
        <f aca="false">IF(ISNUMBER(AL228),AL228*DB228,0)</f>
        <v>0</v>
      </c>
      <c r="ES228" s="28" t="n">
        <f aca="false">IF(ISNUMBER(AP228),AP228*DC228,0)</f>
        <v>0</v>
      </c>
      <c r="ET228" s="28" t="n">
        <f aca="false">IF(ISNUMBER(AT228),AT228*DD228,0)</f>
        <v>0</v>
      </c>
      <c r="EU228" s="28" t="n">
        <f aca="false">IF(ISNUMBER(AX228),AX228*DE228,0)</f>
        <v>0</v>
      </c>
      <c r="EV228" s="28" t="n">
        <f aca="false">IF(ISNUMBER(BB228),BB228*DF228,0)</f>
        <v>0</v>
      </c>
      <c r="EW228" s="28" t="n">
        <f aca="false">IF(ISNUMBER(BF228),BF228*DG228,0)</f>
        <v>0</v>
      </c>
      <c r="EX228" s="28" t="n">
        <f aca="false">IF(ISNUMBER(BJ228),BJ228*DH228,0)</f>
        <v>0</v>
      </c>
      <c r="EY228" s="28" t="n">
        <f aca="false">IF(ISNUMBER(BN228),BN228*DI228,0)</f>
        <v>0</v>
      </c>
      <c r="EZ228" s="28" t="n">
        <f aca="false">IF(ISNUMBER(BR228),BR228*DJ228,0)</f>
        <v>0</v>
      </c>
      <c r="FA228" s="28" t="n">
        <f aca="false">IF(ISNUMBER(R228),CW228,0)</f>
        <v>0</v>
      </c>
      <c r="FB228" s="28" t="n">
        <f aca="false">IF(ISNUMBER(V228),CX228,0)</f>
        <v>0</v>
      </c>
      <c r="FC228" s="28" t="n">
        <f aca="false">IF(ISNUMBER(Z228),CY228,0)</f>
        <v>0</v>
      </c>
      <c r="FD228" s="28" t="n">
        <f aca="false">IF(ISNUMBER(AD228),CZ228,0)</f>
        <v>0</v>
      </c>
      <c r="FE228" s="28" t="n">
        <f aca="false">IF(ISNUMBER(AH228),DA228,0)</f>
        <v>0</v>
      </c>
      <c r="FF228" s="28" t="n">
        <f aca="false">IF(ISNUMBER(AL228),DB228,0)</f>
        <v>0</v>
      </c>
      <c r="FG228" s="28" t="n">
        <f aca="false">IF(ISNUMBER(AP228),DC228,0)</f>
        <v>0</v>
      </c>
      <c r="FH228" s="28" t="n">
        <f aca="false">IF(ISNUMBER(AT228),DD228,0)</f>
        <v>0</v>
      </c>
      <c r="FI228" s="28" t="n">
        <f aca="false">IF(ISNUMBER(AX228),DE228,0)</f>
        <v>0</v>
      </c>
      <c r="FJ228" s="28" t="n">
        <f aca="false">IF(ISNUMBER(BB228),DF228,0)</f>
        <v>0</v>
      </c>
      <c r="FK228" s="28" t="n">
        <f aca="false">IF(ISNUMBER(BF228),DG228,0)</f>
        <v>0</v>
      </c>
      <c r="FL228" s="28" t="n">
        <f aca="false">IF(ISNUMBER(BJ228),DH228,0)</f>
        <v>0</v>
      </c>
      <c r="FM228" s="28" t="n">
        <f aca="false">IF(ISNUMBER(BN228),DI228,0)</f>
        <v>0</v>
      </c>
      <c r="FN228" s="28" t="n">
        <f aca="false">IF(ISNUMBER(BR228),DJ228,0)</f>
        <v>0</v>
      </c>
      <c r="FO228" s="28" t="str">
        <f aca="false">IFERROR(INDEX(Lists!$G$2:$G$20,MATCH($I228&amp;"|"&amp;$J228,Lists!$F$2:$F$20,0)),"")</f>
        <v>Econ Exam</v>
      </c>
    </row>
    <row r="229" customFormat="false" ht="19.5" hidden="false" customHeight="true" outlineLevel="0" collapsed="false">
      <c r="A229" s="29" t="s">
        <v>482</v>
      </c>
      <c r="B229" s="29" t="s">
        <v>483</v>
      </c>
      <c r="C229" s="30" t="s">
        <v>152</v>
      </c>
      <c r="D229" s="30" t="s">
        <v>271</v>
      </c>
      <c r="E229" s="31"/>
      <c r="F229" s="30"/>
      <c r="G229" s="30"/>
      <c r="H229" s="32" t="s">
        <v>428</v>
      </c>
      <c r="I229" s="33" t="s">
        <v>229</v>
      </c>
      <c r="J229" s="32" t="s">
        <v>25</v>
      </c>
      <c r="K229" s="34" t="str">
        <f aca="false">IF(OR(M229="",$E229=""),"",M229-$E229)</f>
        <v/>
      </c>
      <c r="L229" s="35" t="str">
        <f aca="false">IF(SUM(FA229:FN229)=0,"",SUM(EM229:EZ229)/SUM(FA229:FN229))</f>
        <v/>
      </c>
      <c r="M229" s="36" t="str">
        <f aca="false">IF(OR(L229="",FO229=""),"",IFERROR(MATCH(L229,INDEX(Boundaries!$B$2:$I$30,MATCH(FO229,Boundaries!$A$2:$A$30,0),0),1)-1,""))</f>
        <v/>
      </c>
      <c r="N229" s="37" t="str">
        <f aca="false">IF(COUNT($DY229:$EL229)&lt;2,"",INDEX($DK229:$DX229,MAX($DY229:$EL229))-INDEX($DK229:$DX229,MIN($DY229:$EL229)))</f>
        <v/>
      </c>
      <c r="O229" s="37" t="str">
        <f aca="false">IF(COUNT($DY229:$EL229)&lt;2,"",INDEX($DK229:$DX229,MAX($DY229:$EL229))-INDEX($DK229:$DX229,LARGE($DY229:$EL229,2)))</f>
        <v/>
      </c>
      <c r="P229" s="38" t="str">
        <f aca="false">IF(K229="","",IF(K229&gt;=0,"On/above target",IF(AND(N229&lt;&gt;"",N229&gt;=0.5),"Improving towards target",IF(AND(O229&lt;&gt;"",O229&lt;=-0.5),"Declining","Stable below target"))))</f>
        <v/>
      </c>
      <c r="Q229" s="39"/>
      <c r="R229" s="40" t="str">
        <f aca="false">IF(OR(Q229="",BU229=""),"",Q229/BU229*100)</f>
        <v/>
      </c>
      <c r="S229" s="41" t="str">
        <f aca="false">IF(R229="","",IFERROR(MATCH(R229,INDEX(Boundaries!$B$2:$I$30,MATCH(CI229,Boundaries!$A$2:$A$30,0),0),1)-1,""))</f>
        <v/>
      </c>
      <c r="T229" s="42" t="str">
        <f aca="false">IF(OR(S229="",$E229=""),"",S229-$E229)</f>
        <v/>
      </c>
      <c r="U229" s="39"/>
      <c r="V229" s="40" t="str">
        <f aca="false">IF(OR(U229="",BV229=""),"",U229/BV229*100)</f>
        <v/>
      </c>
      <c r="W229" s="41" t="str">
        <f aca="false">IF(V229="","",IFERROR(MATCH(V229,INDEX(Boundaries!$B$2:$I$30,MATCH(CJ229,Boundaries!$A$2:$A$30,0),0),1)-1,""))</f>
        <v/>
      </c>
      <c r="X229" s="42" t="str">
        <f aca="false">IF(OR(W229="",$E229=""),"",W229-$E229)</f>
        <v/>
      </c>
      <c r="Y229" s="39"/>
      <c r="Z229" s="40" t="str">
        <f aca="false">IF(OR(Y229="",BW229=""),"",Y229/BW229*100)</f>
        <v/>
      </c>
      <c r="AA229" s="41" t="str">
        <f aca="false">IF(Z229="","",IFERROR(MATCH(Z229,INDEX(Boundaries!$B$2:$I$30,MATCH(CK229,Boundaries!$A$2:$A$30,0),0),1)-1,""))</f>
        <v/>
      </c>
      <c r="AB229" s="42" t="str">
        <f aca="false">IF(OR(AA229="",$E229=""),"",AA229-$E229)</f>
        <v/>
      </c>
      <c r="AC229" s="39"/>
      <c r="AD229" s="40" t="str">
        <f aca="false">IF(OR(AC229="",BX229=""),"",AC229/BX229*100)</f>
        <v/>
      </c>
      <c r="AE229" s="41" t="str">
        <f aca="false">IF(AD229="","",IFERROR(MATCH(AD229,INDEX(Boundaries!$B$2:$I$30,MATCH(CL229,Boundaries!$A$2:$A$30,0),0),1)-1,""))</f>
        <v/>
      </c>
      <c r="AF229" s="42" t="str">
        <f aca="false">IF(OR(AE229="",$E229=""),"",AE229-$E229)</f>
        <v/>
      </c>
      <c r="AG229" s="39"/>
      <c r="AH229" s="40" t="str">
        <f aca="false">IF(OR(AG229="",BY229=""),"",AG229/BY229*100)</f>
        <v/>
      </c>
      <c r="AI229" s="41" t="str">
        <f aca="false">IF(AH229="","",IFERROR(MATCH(AH229,INDEX(Boundaries!$B$2:$I$30,MATCH(CM229,Boundaries!$A$2:$A$30,0),0),1)-1,""))</f>
        <v/>
      </c>
      <c r="AJ229" s="42" t="str">
        <f aca="false">IF(OR(AI229="",$E229=""),"",AI229-$E229)</f>
        <v/>
      </c>
      <c r="AK229" s="39"/>
      <c r="AL229" s="40" t="str">
        <f aca="false">IF(OR(AK229="",BZ229=""),"",AK229/BZ229*100)</f>
        <v/>
      </c>
      <c r="AM229" s="41" t="str">
        <f aca="false">IF(AL229="","",IFERROR(MATCH(AL229,INDEX(Boundaries!$B$2:$I$30,MATCH(CN229,Boundaries!$A$2:$A$30,0),0),1)-1,""))</f>
        <v/>
      </c>
      <c r="AN229" s="42" t="str">
        <f aca="false">IF(OR(AM229="",$E229=""),"",AM229-$E229)</f>
        <v/>
      </c>
      <c r="AO229" s="39"/>
      <c r="AP229" s="40" t="str">
        <f aca="false">IF(OR(AO229="",CA229=""),"",AO229/CA229*100)</f>
        <v/>
      </c>
      <c r="AQ229" s="41" t="str">
        <f aca="false">IF(AP229="","",IFERROR(MATCH(AP229,INDEX(Boundaries!$B$2:$I$30,MATCH(CO229,Boundaries!$A$2:$A$30,0),0),1)-1,""))</f>
        <v/>
      </c>
      <c r="AR229" s="42" t="str">
        <f aca="false">IF(OR(AQ229="",$E229=""),"",AQ229-$E229)</f>
        <v/>
      </c>
      <c r="AS229" s="39"/>
      <c r="AT229" s="40" t="str">
        <f aca="false">IF(OR(AS229="",CB229=""),"",AS229/CB229*100)</f>
        <v/>
      </c>
      <c r="AU229" s="41" t="str">
        <f aca="false">IF(AT229="","",IFERROR(MATCH(AT229,INDEX(Boundaries!$B$2:$I$30,MATCH(CP229,Boundaries!$A$2:$A$30,0),0),1)-1,""))</f>
        <v/>
      </c>
      <c r="AV229" s="42" t="str">
        <f aca="false">IF(OR(AU229="",$E229=""),"",AU229-$E229)</f>
        <v/>
      </c>
      <c r="AW229" s="39"/>
      <c r="AX229" s="40" t="str">
        <f aca="false">IF(OR(AW229="",CC229=""),"",AW229/CC229*100)</f>
        <v/>
      </c>
      <c r="AY229" s="41" t="str">
        <f aca="false">IF(AX229="","",IFERROR(MATCH(AX229,INDEX(Boundaries!$B$2:$I$30,MATCH(CQ229,Boundaries!$A$2:$A$30,0),0),1)-1,""))</f>
        <v/>
      </c>
      <c r="AZ229" s="42" t="str">
        <f aca="false">IF(OR(AY229="",$E229=""),"",AY229-$E229)</f>
        <v/>
      </c>
      <c r="BA229" s="39"/>
      <c r="BB229" s="40" t="str">
        <f aca="false">IF(OR(BA229="",CD229=""),"",BA229/CD229*100)</f>
        <v/>
      </c>
      <c r="BC229" s="41" t="str">
        <f aca="false">IF(BB229="","",IFERROR(MATCH(BB229,INDEX(Boundaries!$B$2:$I$30,MATCH(CR229,Boundaries!$A$2:$A$30,0),0),1)-1,""))</f>
        <v/>
      </c>
      <c r="BD229" s="42" t="str">
        <f aca="false">IF(OR(BC229="",$E229=""),"",BC229-$E229)</f>
        <v/>
      </c>
      <c r="BE229" s="39"/>
      <c r="BF229" s="40" t="str">
        <f aca="false">IF(OR(BE229="",CE229=""),"",BE229/CE229*100)</f>
        <v/>
      </c>
      <c r="BG229" s="41" t="str">
        <f aca="false">IF(BF229="","",IFERROR(MATCH(BF229,INDEX(Boundaries!$B$2:$I$30,MATCH(CS229,Boundaries!$A$2:$A$30,0),0),1)-1,""))</f>
        <v/>
      </c>
      <c r="BH229" s="42" t="str">
        <f aca="false">IF(OR(BG229="",$E229=""),"",BG229-$E229)</f>
        <v/>
      </c>
      <c r="BI229" s="39"/>
      <c r="BJ229" s="40" t="str">
        <f aca="false">IF(OR(BI229="",CF229=""),"",BI229/CF229*100)</f>
        <v/>
      </c>
      <c r="BK229" s="41" t="str">
        <f aca="false">IF(BJ229="","",IFERROR(MATCH(BJ229,INDEX(Boundaries!$B$2:$I$30,MATCH(CT229,Boundaries!$A$2:$A$30,0),0),1)-1,""))</f>
        <v/>
      </c>
      <c r="BL229" s="42" t="str">
        <f aca="false">IF(OR(BK229="",$E229=""),"",BK229-$E229)</f>
        <v/>
      </c>
      <c r="BM229" s="39"/>
      <c r="BN229" s="40" t="str">
        <f aca="false">IF(OR(BM229="",CG229=""),"",BM229/CG229*100)</f>
        <v/>
      </c>
      <c r="BO229" s="41" t="str">
        <f aca="false">IF(BN229="","",IFERROR(MATCH(BN229,INDEX(Boundaries!$B$2:$I$30,MATCH(CU229,Boundaries!$A$2:$A$30,0),0),1)-1,""))</f>
        <v/>
      </c>
      <c r="BP229" s="42" t="str">
        <f aca="false">IF(OR(BO229="",$E229=""),"",BO229-$E229)</f>
        <v/>
      </c>
      <c r="BQ229" s="39"/>
      <c r="BR229" s="40" t="str">
        <f aca="false">IF(OR(BQ229="",CH229=""),"",BQ229/CH229*100)</f>
        <v/>
      </c>
      <c r="BS229" s="41" t="str">
        <f aca="false">IF(BR229="","",IFERROR(MATCH(BR229,INDEX(Boundaries!$B$2:$I$30,MATCH(CV229,Boundaries!$A$2:$A$30,0),0),1)-1,""))</f>
        <v/>
      </c>
      <c r="BT229" s="42" t="str">
        <f aca="false">IF(OR(BS229="",$E229=""),"",BS229-$E229)</f>
        <v/>
      </c>
      <c r="BU229" s="28" t="n">
        <f aca="false">IFERROR(INDEX(Assessments!$H$2:$H$600,MATCH($H229&amp;"|"&amp;$I229&amp;"|"&amp;$J229&amp;"|"&amp;1,Assessments!$A$2:$A$600,0)),"")</f>
        <v>25</v>
      </c>
      <c r="BV229" s="28" t="n">
        <f aca="false">IFERROR(INDEX(Assessments!$H$2:$H$600,MATCH($H229&amp;"|"&amp;$I229&amp;"|"&amp;$J229&amp;"|"&amp;2,Assessments!$A$2:$A$600,0)),"")</f>
        <v>24</v>
      </c>
      <c r="BW229" s="28" t="n">
        <f aca="false">IFERROR(INDEX(Assessments!$H$2:$H$600,MATCH($H229&amp;"|"&amp;$I229&amp;"|"&amp;$J229&amp;"|"&amp;3,Assessments!$A$2:$A$600,0)),"")</f>
        <v>25</v>
      </c>
      <c r="BX229" s="28" t="n">
        <f aca="false">IFERROR(INDEX(Assessments!$H$2:$H$600,MATCH($H229&amp;"|"&amp;$I229&amp;"|"&amp;$J229&amp;"|"&amp;4,Assessments!$A$2:$A$600,0)),"")</f>
        <v>35</v>
      </c>
      <c r="BY229" s="28" t="n">
        <f aca="false">IFERROR(INDEX(Assessments!$H$2:$H$600,MATCH($H229&amp;"|"&amp;$I229&amp;"|"&amp;$J229&amp;"|"&amp;5,Assessments!$A$2:$A$600,0)),"")</f>
        <v>55</v>
      </c>
      <c r="BZ229" s="28" t="n">
        <f aca="false">IFERROR(INDEX(Assessments!$H$2:$H$600,MATCH($H229&amp;"|"&amp;$I229&amp;"|"&amp;$J229&amp;"|"&amp;6,Assessments!$A$2:$A$600,0)),"")</f>
        <v>28</v>
      </c>
      <c r="CA229" s="28" t="n">
        <f aca="false">IFERROR(INDEX(Assessments!$H$2:$H$600,MATCH($H229&amp;"|"&amp;$I229&amp;"|"&amp;$J229&amp;"|"&amp;7,Assessments!$A$2:$A$600,0)),"")</f>
        <v>95</v>
      </c>
      <c r="CB229" s="28" t="str">
        <f aca="false">IFERROR(INDEX(Assessments!$H$2:$H$600,MATCH($H229&amp;"|"&amp;$I229&amp;"|"&amp;$J229&amp;"|"&amp;8,Assessments!$A$2:$A$600,0)),"")</f>
        <v/>
      </c>
      <c r="CC229" s="28" t="str">
        <f aca="false">IFERROR(INDEX(Assessments!$H$2:$H$600,MATCH($H229&amp;"|"&amp;$I229&amp;"|"&amp;$J229&amp;"|"&amp;9,Assessments!$A$2:$A$600,0)),"")</f>
        <v/>
      </c>
      <c r="CD229" s="28" t="str">
        <f aca="false">IFERROR(INDEX(Assessments!$H$2:$H$600,MATCH($H229&amp;"|"&amp;$I229&amp;"|"&amp;$J229&amp;"|"&amp;10,Assessments!$A$2:$A$600,0)),"")</f>
        <v/>
      </c>
      <c r="CE229" s="28" t="str">
        <f aca="false">IFERROR(INDEX(Assessments!$H$2:$H$600,MATCH($H229&amp;"|"&amp;$I229&amp;"|"&amp;$J229&amp;"|"&amp;11,Assessments!$A$2:$A$600,0)),"")</f>
        <v/>
      </c>
      <c r="CF229" s="28" t="str">
        <f aca="false">IFERROR(INDEX(Assessments!$H$2:$H$600,MATCH($H229&amp;"|"&amp;$I229&amp;"|"&amp;$J229&amp;"|"&amp;12,Assessments!$A$2:$A$600,0)),"")</f>
        <v/>
      </c>
      <c r="CG229" s="28" t="str">
        <f aca="false">IFERROR(INDEX(Assessments!$H$2:$H$600,MATCH($H229&amp;"|"&amp;$I229&amp;"|"&amp;$J229&amp;"|"&amp;13,Assessments!$A$2:$A$600,0)),"")</f>
        <v/>
      </c>
      <c r="CH229" s="28" t="str">
        <f aca="false">IFERROR(INDEX(Assessments!$H$2:$H$600,MATCH($H229&amp;"|"&amp;$I229&amp;"|"&amp;$J229&amp;"|"&amp;14,Assessments!$A$2:$A$600,0)),"")</f>
        <v/>
      </c>
      <c r="CI229" s="28" t="str">
        <f aca="false">IFERROR(INDEX(Assessments!$I$2:$I$600,MATCH($H229&amp;"|"&amp;$I229&amp;"|"&amp;$J229&amp;"|"&amp;1,Assessments!$A$2:$A$600,0)),"")</f>
        <v>Econ Test</v>
      </c>
      <c r="CJ229" s="28" t="str">
        <f aca="false">IFERROR(INDEX(Assessments!$I$2:$I$600,MATCH($H229&amp;"|"&amp;$I229&amp;"|"&amp;$J229&amp;"|"&amp;2,Assessments!$A$2:$A$600,0)),"")</f>
        <v>Econ Test</v>
      </c>
      <c r="CK229" s="28" t="str">
        <f aca="false">IFERROR(INDEX(Assessments!$I$2:$I$600,MATCH($H229&amp;"|"&amp;$I229&amp;"|"&amp;$J229&amp;"|"&amp;3,Assessments!$A$2:$A$600,0)),"")</f>
        <v>Econ Test</v>
      </c>
      <c r="CL229" s="28" t="str">
        <f aca="false">IFERROR(INDEX(Assessments!$I$2:$I$600,MATCH($H229&amp;"|"&amp;$I229&amp;"|"&amp;$J229&amp;"|"&amp;4,Assessments!$A$2:$A$600,0)),"")</f>
        <v>Econ Test</v>
      </c>
      <c r="CM229" s="28" t="str">
        <f aca="false">IFERROR(INDEX(Assessments!$I$2:$I$600,MATCH($H229&amp;"|"&amp;$I229&amp;"|"&amp;$J229&amp;"|"&amp;5,Assessments!$A$2:$A$600,0)),"")</f>
        <v>Econ Exam</v>
      </c>
      <c r="CN229" s="28" t="str">
        <f aca="false">IFERROR(INDEX(Assessments!$I$2:$I$600,MATCH($H229&amp;"|"&amp;$I229&amp;"|"&amp;$J229&amp;"|"&amp;6,Assessments!$A$2:$A$600,0)),"")</f>
        <v>Econ Test</v>
      </c>
      <c r="CO229" s="28" t="str">
        <f aca="false">IFERROR(INDEX(Assessments!$I$2:$I$600,MATCH($H229&amp;"|"&amp;$I229&amp;"|"&amp;$J229&amp;"|"&amp;7,Assessments!$A$2:$A$600,0)),"")</f>
        <v>Econ Exam</v>
      </c>
      <c r="CP229" s="28" t="str">
        <f aca="false">IFERROR(INDEX(Assessments!$I$2:$I$600,MATCH($H229&amp;"|"&amp;$I229&amp;"|"&amp;$J229&amp;"|"&amp;8,Assessments!$A$2:$A$600,0)),"")</f>
        <v/>
      </c>
      <c r="CQ229" s="28" t="str">
        <f aca="false">IFERROR(INDEX(Assessments!$I$2:$I$600,MATCH($H229&amp;"|"&amp;$I229&amp;"|"&amp;$J229&amp;"|"&amp;9,Assessments!$A$2:$A$600,0)),"")</f>
        <v/>
      </c>
      <c r="CR229" s="28" t="str">
        <f aca="false">IFERROR(INDEX(Assessments!$I$2:$I$600,MATCH($H229&amp;"|"&amp;$I229&amp;"|"&amp;$J229&amp;"|"&amp;10,Assessments!$A$2:$A$600,0)),"")</f>
        <v/>
      </c>
      <c r="CS229" s="28" t="str">
        <f aca="false">IFERROR(INDEX(Assessments!$I$2:$I$600,MATCH($H229&amp;"|"&amp;$I229&amp;"|"&amp;$J229&amp;"|"&amp;11,Assessments!$A$2:$A$600,0)),"")</f>
        <v/>
      </c>
      <c r="CT229" s="28" t="str">
        <f aca="false">IFERROR(INDEX(Assessments!$I$2:$I$600,MATCH($H229&amp;"|"&amp;$I229&amp;"|"&amp;$J229&amp;"|"&amp;12,Assessments!$A$2:$A$600,0)),"")</f>
        <v/>
      </c>
      <c r="CU229" s="28" t="str">
        <f aca="false">IFERROR(INDEX(Assessments!$I$2:$I$600,MATCH($H229&amp;"|"&amp;$I229&amp;"|"&amp;$J229&amp;"|"&amp;13,Assessments!$A$2:$A$600,0)),"")</f>
        <v/>
      </c>
      <c r="CV229" s="28" t="str">
        <f aca="false">IFERROR(INDEX(Assessments!$I$2:$I$600,MATCH($H229&amp;"|"&amp;$I229&amp;"|"&amp;$J229&amp;"|"&amp;14,Assessments!$A$2:$A$600,0)),"")</f>
        <v/>
      </c>
      <c r="CW229" s="28" t="n">
        <f aca="false">IFERROR(INDEX(Assessments!$J$2:$J$600,MATCH($H229&amp;"|"&amp;$I229&amp;"|"&amp;$J229&amp;"|"&amp;1,Assessments!$A$2:$A$600,0)),0)</f>
        <v>1</v>
      </c>
      <c r="CX229" s="28" t="n">
        <f aca="false">IFERROR(INDEX(Assessments!$J$2:$J$600,MATCH($H229&amp;"|"&amp;$I229&amp;"|"&amp;$J229&amp;"|"&amp;2,Assessments!$A$2:$A$600,0)),0)</f>
        <v>1</v>
      </c>
      <c r="CY229" s="28" t="n">
        <f aca="false">IFERROR(INDEX(Assessments!$J$2:$J$600,MATCH($H229&amp;"|"&amp;$I229&amp;"|"&amp;$J229&amp;"|"&amp;3,Assessments!$A$2:$A$600,0)),0)</f>
        <v>1</v>
      </c>
      <c r="CZ229" s="28" t="n">
        <f aca="false">IFERROR(INDEX(Assessments!$J$2:$J$600,MATCH($H229&amp;"|"&amp;$I229&amp;"|"&amp;$J229&amp;"|"&amp;4,Assessments!$A$2:$A$600,0)),0)</f>
        <v>1</v>
      </c>
      <c r="DA229" s="28" t="n">
        <f aca="false">IFERROR(INDEX(Assessments!$J$2:$J$600,MATCH($H229&amp;"|"&amp;$I229&amp;"|"&amp;$J229&amp;"|"&amp;5,Assessments!$A$2:$A$600,0)),0)</f>
        <v>2</v>
      </c>
      <c r="DB229" s="28" t="n">
        <f aca="false">IFERROR(INDEX(Assessments!$J$2:$J$600,MATCH($H229&amp;"|"&amp;$I229&amp;"|"&amp;$J229&amp;"|"&amp;6,Assessments!$A$2:$A$600,0)),0)</f>
        <v>1</v>
      </c>
      <c r="DC229" s="28" t="n">
        <f aca="false">IFERROR(INDEX(Assessments!$J$2:$J$600,MATCH($H229&amp;"|"&amp;$I229&amp;"|"&amp;$J229&amp;"|"&amp;7,Assessments!$A$2:$A$600,0)),0)</f>
        <v>2</v>
      </c>
      <c r="DD229" s="28" t="n">
        <f aca="false">IFERROR(INDEX(Assessments!$J$2:$J$600,MATCH($H229&amp;"|"&amp;$I229&amp;"|"&amp;$J229&amp;"|"&amp;8,Assessments!$A$2:$A$600,0)),0)</f>
        <v>0</v>
      </c>
      <c r="DE229" s="28" t="n">
        <f aca="false">IFERROR(INDEX(Assessments!$J$2:$J$600,MATCH($H229&amp;"|"&amp;$I229&amp;"|"&amp;$J229&amp;"|"&amp;9,Assessments!$A$2:$A$600,0)),0)</f>
        <v>0</v>
      </c>
      <c r="DF229" s="28" t="n">
        <f aca="false">IFERROR(INDEX(Assessments!$J$2:$J$600,MATCH($H229&amp;"|"&amp;$I229&amp;"|"&amp;$J229&amp;"|"&amp;10,Assessments!$A$2:$A$600,0)),0)</f>
        <v>0</v>
      </c>
      <c r="DG229" s="28" t="n">
        <f aca="false">IFERROR(INDEX(Assessments!$J$2:$J$600,MATCH($H229&amp;"|"&amp;$I229&amp;"|"&amp;$J229&amp;"|"&amp;11,Assessments!$A$2:$A$600,0)),0)</f>
        <v>0</v>
      </c>
      <c r="DH229" s="28" t="n">
        <f aca="false">IFERROR(INDEX(Assessments!$J$2:$J$600,MATCH($H229&amp;"|"&amp;$I229&amp;"|"&amp;$J229&amp;"|"&amp;12,Assessments!$A$2:$A$600,0)),0)</f>
        <v>0</v>
      </c>
      <c r="DI229" s="28" t="n">
        <f aca="false">IFERROR(INDEX(Assessments!$J$2:$J$600,MATCH($H229&amp;"|"&amp;$I229&amp;"|"&amp;$J229&amp;"|"&amp;13,Assessments!$A$2:$A$600,0)),0)</f>
        <v>0</v>
      </c>
      <c r="DJ229" s="28" t="n">
        <f aca="false">IFERROR(INDEX(Assessments!$J$2:$J$600,MATCH($H229&amp;"|"&amp;$I229&amp;"|"&amp;$J229&amp;"|"&amp;14,Assessments!$A$2:$A$600,0)),0)</f>
        <v>0</v>
      </c>
      <c r="DK229" s="28" t="str">
        <f aca="false">S229</f>
        <v/>
      </c>
      <c r="DL229" s="28" t="str">
        <f aca="false">W229</f>
        <v/>
      </c>
      <c r="DM229" s="28" t="str">
        <f aca="false">AA229</f>
        <v/>
      </c>
      <c r="DN229" s="28" t="str">
        <f aca="false">AE229</f>
        <v/>
      </c>
      <c r="DO229" s="28" t="str">
        <f aca="false">AI229</f>
        <v/>
      </c>
      <c r="DP229" s="28" t="str">
        <f aca="false">AM229</f>
        <v/>
      </c>
      <c r="DQ229" s="28" t="str">
        <f aca="false">AQ229</f>
        <v/>
      </c>
      <c r="DR229" s="28" t="str">
        <f aca="false">AU229</f>
        <v/>
      </c>
      <c r="DS229" s="28" t="str">
        <f aca="false">AY229</f>
        <v/>
      </c>
      <c r="DT229" s="28" t="str">
        <f aca="false">BC229</f>
        <v/>
      </c>
      <c r="DU229" s="28" t="str">
        <f aca="false">BG229</f>
        <v/>
      </c>
      <c r="DV229" s="28" t="str">
        <f aca="false">BK229</f>
        <v/>
      </c>
      <c r="DW229" s="28" t="str">
        <f aca="false">BO229</f>
        <v/>
      </c>
      <c r="DX229" s="28" t="str">
        <f aca="false">BS229</f>
        <v/>
      </c>
      <c r="DY229" s="28" t="str">
        <f aca="false">IF(ISNUMBER(S229),1,"")</f>
        <v/>
      </c>
      <c r="DZ229" s="28" t="str">
        <f aca="false">IF(ISNUMBER(W229),2,"")</f>
        <v/>
      </c>
      <c r="EA229" s="28" t="str">
        <f aca="false">IF(ISNUMBER(AA229),3,"")</f>
        <v/>
      </c>
      <c r="EB229" s="28" t="str">
        <f aca="false">IF(ISNUMBER(AE229),4,"")</f>
        <v/>
      </c>
      <c r="EC229" s="28" t="str">
        <f aca="false">IF(ISNUMBER(AI229),5,"")</f>
        <v/>
      </c>
      <c r="ED229" s="28" t="str">
        <f aca="false">IF(ISNUMBER(AM229),6,"")</f>
        <v/>
      </c>
      <c r="EE229" s="28" t="str">
        <f aca="false">IF(ISNUMBER(AQ229),7,"")</f>
        <v/>
      </c>
      <c r="EF229" s="28" t="str">
        <f aca="false">IF(ISNUMBER(AU229),8,"")</f>
        <v/>
      </c>
      <c r="EG229" s="28" t="str">
        <f aca="false">IF(ISNUMBER(AY229),9,"")</f>
        <v/>
      </c>
      <c r="EH229" s="28" t="str">
        <f aca="false">IF(ISNUMBER(BC229),10,"")</f>
        <v/>
      </c>
      <c r="EI229" s="28" t="str">
        <f aca="false">IF(ISNUMBER(BG229),11,"")</f>
        <v/>
      </c>
      <c r="EJ229" s="28" t="str">
        <f aca="false">IF(ISNUMBER(BK229),12,"")</f>
        <v/>
      </c>
      <c r="EK229" s="28" t="str">
        <f aca="false">IF(ISNUMBER(BO229),13,"")</f>
        <v/>
      </c>
      <c r="EL229" s="28" t="str">
        <f aca="false">IF(ISNUMBER(BS229),14,"")</f>
        <v/>
      </c>
      <c r="EM229" s="28" t="n">
        <f aca="false">IF(ISNUMBER(R229),R229*CW229,0)</f>
        <v>0</v>
      </c>
      <c r="EN229" s="28" t="n">
        <f aca="false">IF(ISNUMBER(V229),V229*CX229,0)</f>
        <v>0</v>
      </c>
      <c r="EO229" s="28" t="n">
        <f aca="false">IF(ISNUMBER(Z229),Z229*CY229,0)</f>
        <v>0</v>
      </c>
      <c r="EP229" s="28" t="n">
        <f aca="false">IF(ISNUMBER(AD229),AD229*CZ229,0)</f>
        <v>0</v>
      </c>
      <c r="EQ229" s="28" t="n">
        <f aca="false">IF(ISNUMBER(AH229),AH229*DA229,0)</f>
        <v>0</v>
      </c>
      <c r="ER229" s="28" t="n">
        <f aca="false">IF(ISNUMBER(AL229),AL229*DB229,0)</f>
        <v>0</v>
      </c>
      <c r="ES229" s="28" t="n">
        <f aca="false">IF(ISNUMBER(AP229),AP229*DC229,0)</f>
        <v>0</v>
      </c>
      <c r="ET229" s="28" t="n">
        <f aca="false">IF(ISNUMBER(AT229),AT229*DD229,0)</f>
        <v>0</v>
      </c>
      <c r="EU229" s="28" t="n">
        <f aca="false">IF(ISNUMBER(AX229),AX229*DE229,0)</f>
        <v>0</v>
      </c>
      <c r="EV229" s="28" t="n">
        <f aca="false">IF(ISNUMBER(BB229),BB229*DF229,0)</f>
        <v>0</v>
      </c>
      <c r="EW229" s="28" t="n">
        <f aca="false">IF(ISNUMBER(BF229),BF229*DG229,0)</f>
        <v>0</v>
      </c>
      <c r="EX229" s="28" t="n">
        <f aca="false">IF(ISNUMBER(BJ229),BJ229*DH229,0)</f>
        <v>0</v>
      </c>
      <c r="EY229" s="28" t="n">
        <f aca="false">IF(ISNUMBER(BN229),BN229*DI229,0)</f>
        <v>0</v>
      </c>
      <c r="EZ229" s="28" t="n">
        <f aca="false">IF(ISNUMBER(BR229),BR229*DJ229,0)</f>
        <v>0</v>
      </c>
      <c r="FA229" s="28" t="n">
        <f aca="false">IF(ISNUMBER(R229),CW229,0)</f>
        <v>0</v>
      </c>
      <c r="FB229" s="28" t="n">
        <f aca="false">IF(ISNUMBER(V229),CX229,0)</f>
        <v>0</v>
      </c>
      <c r="FC229" s="28" t="n">
        <f aca="false">IF(ISNUMBER(Z229),CY229,0)</f>
        <v>0</v>
      </c>
      <c r="FD229" s="28" t="n">
        <f aca="false">IF(ISNUMBER(AD229),CZ229,0)</f>
        <v>0</v>
      </c>
      <c r="FE229" s="28" t="n">
        <f aca="false">IF(ISNUMBER(AH229),DA229,0)</f>
        <v>0</v>
      </c>
      <c r="FF229" s="28" t="n">
        <f aca="false">IF(ISNUMBER(AL229),DB229,0)</f>
        <v>0</v>
      </c>
      <c r="FG229" s="28" t="n">
        <f aca="false">IF(ISNUMBER(AP229),DC229,0)</f>
        <v>0</v>
      </c>
      <c r="FH229" s="28" t="n">
        <f aca="false">IF(ISNUMBER(AT229),DD229,0)</f>
        <v>0</v>
      </c>
      <c r="FI229" s="28" t="n">
        <f aca="false">IF(ISNUMBER(AX229),DE229,0)</f>
        <v>0</v>
      </c>
      <c r="FJ229" s="28" t="n">
        <f aca="false">IF(ISNUMBER(BB229),DF229,0)</f>
        <v>0</v>
      </c>
      <c r="FK229" s="28" t="n">
        <f aca="false">IF(ISNUMBER(BF229),DG229,0)</f>
        <v>0</v>
      </c>
      <c r="FL229" s="28" t="n">
        <f aca="false">IF(ISNUMBER(BJ229),DH229,0)</f>
        <v>0</v>
      </c>
      <c r="FM229" s="28" t="n">
        <f aca="false">IF(ISNUMBER(BN229),DI229,0)</f>
        <v>0</v>
      </c>
      <c r="FN229" s="28" t="n">
        <f aca="false">IF(ISNUMBER(BR229),DJ229,0)</f>
        <v>0</v>
      </c>
      <c r="FO229" s="28" t="str">
        <f aca="false">IFERROR(INDEX(Lists!$G$2:$G$20,MATCH($I229&amp;"|"&amp;$J229,Lists!$F$2:$F$20,0)),"")</f>
        <v>Econ Exam</v>
      </c>
    </row>
    <row r="230" customFormat="false" ht="19.5" hidden="false" customHeight="true" outlineLevel="0" collapsed="false">
      <c r="A230" s="29" t="s">
        <v>484</v>
      </c>
      <c r="B230" s="29" t="s">
        <v>485</v>
      </c>
      <c r="C230" s="30" t="s">
        <v>152</v>
      </c>
      <c r="D230" s="30" t="s">
        <v>271</v>
      </c>
      <c r="E230" s="31"/>
      <c r="F230" s="30"/>
      <c r="G230" s="30"/>
      <c r="H230" s="32" t="s">
        <v>428</v>
      </c>
      <c r="I230" s="33" t="s">
        <v>229</v>
      </c>
      <c r="J230" s="32" t="s">
        <v>25</v>
      </c>
      <c r="K230" s="34" t="str">
        <f aca="false">IF(OR(M230="",$E230=""),"",M230-$E230)</f>
        <v/>
      </c>
      <c r="L230" s="35" t="str">
        <f aca="false">IF(SUM(FA230:FN230)=0,"",SUM(EM230:EZ230)/SUM(FA230:FN230))</f>
        <v/>
      </c>
      <c r="M230" s="36" t="str">
        <f aca="false">IF(OR(L230="",FO230=""),"",IFERROR(MATCH(L230,INDEX(Boundaries!$B$2:$I$30,MATCH(FO230,Boundaries!$A$2:$A$30,0),0),1)-1,""))</f>
        <v/>
      </c>
      <c r="N230" s="37" t="str">
        <f aca="false">IF(COUNT($DY230:$EL230)&lt;2,"",INDEX($DK230:$DX230,MAX($DY230:$EL230))-INDEX($DK230:$DX230,MIN($DY230:$EL230)))</f>
        <v/>
      </c>
      <c r="O230" s="37" t="str">
        <f aca="false">IF(COUNT($DY230:$EL230)&lt;2,"",INDEX($DK230:$DX230,MAX($DY230:$EL230))-INDEX($DK230:$DX230,LARGE($DY230:$EL230,2)))</f>
        <v/>
      </c>
      <c r="P230" s="38" t="str">
        <f aca="false">IF(K230="","",IF(K230&gt;=0,"On/above target",IF(AND(N230&lt;&gt;"",N230&gt;=0.5),"Improving towards target",IF(AND(O230&lt;&gt;"",O230&lt;=-0.5),"Declining","Stable below target"))))</f>
        <v/>
      </c>
      <c r="Q230" s="39"/>
      <c r="R230" s="40" t="str">
        <f aca="false">IF(OR(Q230="",BU230=""),"",Q230/BU230*100)</f>
        <v/>
      </c>
      <c r="S230" s="41" t="str">
        <f aca="false">IF(R230="","",IFERROR(MATCH(R230,INDEX(Boundaries!$B$2:$I$30,MATCH(CI230,Boundaries!$A$2:$A$30,0),0),1)-1,""))</f>
        <v/>
      </c>
      <c r="T230" s="42" t="str">
        <f aca="false">IF(OR(S230="",$E230=""),"",S230-$E230)</f>
        <v/>
      </c>
      <c r="U230" s="39"/>
      <c r="V230" s="40" t="str">
        <f aca="false">IF(OR(U230="",BV230=""),"",U230/BV230*100)</f>
        <v/>
      </c>
      <c r="W230" s="41" t="str">
        <f aca="false">IF(V230="","",IFERROR(MATCH(V230,INDEX(Boundaries!$B$2:$I$30,MATCH(CJ230,Boundaries!$A$2:$A$30,0),0),1)-1,""))</f>
        <v/>
      </c>
      <c r="X230" s="42" t="str">
        <f aca="false">IF(OR(W230="",$E230=""),"",W230-$E230)</f>
        <v/>
      </c>
      <c r="Y230" s="39"/>
      <c r="Z230" s="40" t="str">
        <f aca="false">IF(OR(Y230="",BW230=""),"",Y230/BW230*100)</f>
        <v/>
      </c>
      <c r="AA230" s="41" t="str">
        <f aca="false">IF(Z230="","",IFERROR(MATCH(Z230,INDEX(Boundaries!$B$2:$I$30,MATCH(CK230,Boundaries!$A$2:$A$30,0),0),1)-1,""))</f>
        <v/>
      </c>
      <c r="AB230" s="42" t="str">
        <f aca="false">IF(OR(AA230="",$E230=""),"",AA230-$E230)</f>
        <v/>
      </c>
      <c r="AC230" s="39"/>
      <c r="AD230" s="40" t="str">
        <f aca="false">IF(OR(AC230="",BX230=""),"",AC230/BX230*100)</f>
        <v/>
      </c>
      <c r="AE230" s="41" t="str">
        <f aca="false">IF(AD230="","",IFERROR(MATCH(AD230,INDEX(Boundaries!$B$2:$I$30,MATCH(CL230,Boundaries!$A$2:$A$30,0),0),1)-1,""))</f>
        <v/>
      </c>
      <c r="AF230" s="42" t="str">
        <f aca="false">IF(OR(AE230="",$E230=""),"",AE230-$E230)</f>
        <v/>
      </c>
      <c r="AG230" s="39"/>
      <c r="AH230" s="40" t="str">
        <f aca="false">IF(OR(AG230="",BY230=""),"",AG230/BY230*100)</f>
        <v/>
      </c>
      <c r="AI230" s="41" t="str">
        <f aca="false">IF(AH230="","",IFERROR(MATCH(AH230,INDEX(Boundaries!$B$2:$I$30,MATCH(CM230,Boundaries!$A$2:$A$30,0),0),1)-1,""))</f>
        <v/>
      </c>
      <c r="AJ230" s="42" t="str">
        <f aca="false">IF(OR(AI230="",$E230=""),"",AI230-$E230)</f>
        <v/>
      </c>
      <c r="AK230" s="39"/>
      <c r="AL230" s="40" t="str">
        <f aca="false">IF(OR(AK230="",BZ230=""),"",AK230/BZ230*100)</f>
        <v/>
      </c>
      <c r="AM230" s="41" t="str">
        <f aca="false">IF(AL230="","",IFERROR(MATCH(AL230,INDEX(Boundaries!$B$2:$I$30,MATCH(CN230,Boundaries!$A$2:$A$30,0),0),1)-1,""))</f>
        <v/>
      </c>
      <c r="AN230" s="42" t="str">
        <f aca="false">IF(OR(AM230="",$E230=""),"",AM230-$E230)</f>
        <v/>
      </c>
      <c r="AO230" s="39"/>
      <c r="AP230" s="40" t="str">
        <f aca="false">IF(OR(AO230="",CA230=""),"",AO230/CA230*100)</f>
        <v/>
      </c>
      <c r="AQ230" s="41" t="str">
        <f aca="false">IF(AP230="","",IFERROR(MATCH(AP230,INDEX(Boundaries!$B$2:$I$30,MATCH(CO230,Boundaries!$A$2:$A$30,0),0),1)-1,""))</f>
        <v/>
      </c>
      <c r="AR230" s="42" t="str">
        <f aca="false">IF(OR(AQ230="",$E230=""),"",AQ230-$E230)</f>
        <v/>
      </c>
      <c r="AS230" s="39"/>
      <c r="AT230" s="40" t="str">
        <f aca="false">IF(OR(AS230="",CB230=""),"",AS230/CB230*100)</f>
        <v/>
      </c>
      <c r="AU230" s="41" t="str">
        <f aca="false">IF(AT230="","",IFERROR(MATCH(AT230,INDEX(Boundaries!$B$2:$I$30,MATCH(CP230,Boundaries!$A$2:$A$30,0),0),1)-1,""))</f>
        <v/>
      </c>
      <c r="AV230" s="42" t="str">
        <f aca="false">IF(OR(AU230="",$E230=""),"",AU230-$E230)</f>
        <v/>
      </c>
      <c r="AW230" s="39"/>
      <c r="AX230" s="40" t="str">
        <f aca="false">IF(OR(AW230="",CC230=""),"",AW230/CC230*100)</f>
        <v/>
      </c>
      <c r="AY230" s="41" t="str">
        <f aca="false">IF(AX230="","",IFERROR(MATCH(AX230,INDEX(Boundaries!$B$2:$I$30,MATCH(CQ230,Boundaries!$A$2:$A$30,0),0),1)-1,""))</f>
        <v/>
      </c>
      <c r="AZ230" s="42" t="str">
        <f aca="false">IF(OR(AY230="",$E230=""),"",AY230-$E230)</f>
        <v/>
      </c>
      <c r="BA230" s="39"/>
      <c r="BB230" s="40" t="str">
        <f aca="false">IF(OR(BA230="",CD230=""),"",BA230/CD230*100)</f>
        <v/>
      </c>
      <c r="BC230" s="41" t="str">
        <f aca="false">IF(BB230="","",IFERROR(MATCH(BB230,INDEX(Boundaries!$B$2:$I$30,MATCH(CR230,Boundaries!$A$2:$A$30,0),0),1)-1,""))</f>
        <v/>
      </c>
      <c r="BD230" s="42" t="str">
        <f aca="false">IF(OR(BC230="",$E230=""),"",BC230-$E230)</f>
        <v/>
      </c>
      <c r="BE230" s="39"/>
      <c r="BF230" s="40" t="str">
        <f aca="false">IF(OR(BE230="",CE230=""),"",BE230/CE230*100)</f>
        <v/>
      </c>
      <c r="BG230" s="41" t="str">
        <f aca="false">IF(BF230="","",IFERROR(MATCH(BF230,INDEX(Boundaries!$B$2:$I$30,MATCH(CS230,Boundaries!$A$2:$A$30,0),0),1)-1,""))</f>
        <v/>
      </c>
      <c r="BH230" s="42" t="str">
        <f aca="false">IF(OR(BG230="",$E230=""),"",BG230-$E230)</f>
        <v/>
      </c>
      <c r="BI230" s="39"/>
      <c r="BJ230" s="40" t="str">
        <f aca="false">IF(OR(BI230="",CF230=""),"",BI230/CF230*100)</f>
        <v/>
      </c>
      <c r="BK230" s="41" t="str">
        <f aca="false">IF(BJ230="","",IFERROR(MATCH(BJ230,INDEX(Boundaries!$B$2:$I$30,MATCH(CT230,Boundaries!$A$2:$A$30,0),0),1)-1,""))</f>
        <v/>
      </c>
      <c r="BL230" s="42" t="str">
        <f aca="false">IF(OR(BK230="",$E230=""),"",BK230-$E230)</f>
        <v/>
      </c>
      <c r="BM230" s="39"/>
      <c r="BN230" s="40" t="str">
        <f aca="false">IF(OR(BM230="",CG230=""),"",BM230/CG230*100)</f>
        <v/>
      </c>
      <c r="BO230" s="41" t="str">
        <f aca="false">IF(BN230="","",IFERROR(MATCH(BN230,INDEX(Boundaries!$B$2:$I$30,MATCH(CU230,Boundaries!$A$2:$A$30,0),0),1)-1,""))</f>
        <v/>
      </c>
      <c r="BP230" s="42" t="str">
        <f aca="false">IF(OR(BO230="",$E230=""),"",BO230-$E230)</f>
        <v/>
      </c>
      <c r="BQ230" s="39"/>
      <c r="BR230" s="40" t="str">
        <f aca="false">IF(OR(BQ230="",CH230=""),"",BQ230/CH230*100)</f>
        <v/>
      </c>
      <c r="BS230" s="41" t="str">
        <f aca="false">IF(BR230="","",IFERROR(MATCH(BR230,INDEX(Boundaries!$B$2:$I$30,MATCH(CV230,Boundaries!$A$2:$A$30,0),0),1)-1,""))</f>
        <v/>
      </c>
      <c r="BT230" s="42" t="str">
        <f aca="false">IF(OR(BS230="",$E230=""),"",BS230-$E230)</f>
        <v/>
      </c>
      <c r="BU230" s="28" t="n">
        <f aca="false">IFERROR(INDEX(Assessments!$H$2:$H$600,MATCH($H230&amp;"|"&amp;$I230&amp;"|"&amp;$J230&amp;"|"&amp;1,Assessments!$A$2:$A$600,0)),"")</f>
        <v>25</v>
      </c>
      <c r="BV230" s="28" t="n">
        <f aca="false">IFERROR(INDEX(Assessments!$H$2:$H$600,MATCH($H230&amp;"|"&amp;$I230&amp;"|"&amp;$J230&amp;"|"&amp;2,Assessments!$A$2:$A$600,0)),"")</f>
        <v>24</v>
      </c>
      <c r="BW230" s="28" t="n">
        <f aca="false">IFERROR(INDEX(Assessments!$H$2:$H$600,MATCH($H230&amp;"|"&amp;$I230&amp;"|"&amp;$J230&amp;"|"&amp;3,Assessments!$A$2:$A$600,0)),"")</f>
        <v>25</v>
      </c>
      <c r="BX230" s="28" t="n">
        <f aca="false">IFERROR(INDEX(Assessments!$H$2:$H$600,MATCH($H230&amp;"|"&amp;$I230&amp;"|"&amp;$J230&amp;"|"&amp;4,Assessments!$A$2:$A$600,0)),"")</f>
        <v>35</v>
      </c>
      <c r="BY230" s="28" t="n">
        <f aca="false">IFERROR(INDEX(Assessments!$H$2:$H$600,MATCH($H230&amp;"|"&amp;$I230&amp;"|"&amp;$J230&amp;"|"&amp;5,Assessments!$A$2:$A$600,0)),"")</f>
        <v>55</v>
      </c>
      <c r="BZ230" s="28" t="n">
        <f aca="false">IFERROR(INDEX(Assessments!$H$2:$H$600,MATCH($H230&amp;"|"&amp;$I230&amp;"|"&amp;$J230&amp;"|"&amp;6,Assessments!$A$2:$A$600,0)),"")</f>
        <v>28</v>
      </c>
      <c r="CA230" s="28" t="n">
        <f aca="false">IFERROR(INDEX(Assessments!$H$2:$H$600,MATCH($H230&amp;"|"&amp;$I230&amp;"|"&amp;$J230&amp;"|"&amp;7,Assessments!$A$2:$A$600,0)),"")</f>
        <v>95</v>
      </c>
      <c r="CB230" s="28" t="str">
        <f aca="false">IFERROR(INDEX(Assessments!$H$2:$H$600,MATCH($H230&amp;"|"&amp;$I230&amp;"|"&amp;$J230&amp;"|"&amp;8,Assessments!$A$2:$A$600,0)),"")</f>
        <v/>
      </c>
      <c r="CC230" s="28" t="str">
        <f aca="false">IFERROR(INDEX(Assessments!$H$2:$H$600,MATCH($H230&amp;"|"&amp;$I230&amp;"|"&amp;$J230&amp;"|"&amp;9,Assessments!$A$2:$A$600,0)),"")</f>
        <v/>
      </c>
      <c r="CD230" s="28" t="str">
        <f aca="false">IFERROR(INDEX(Assessments!$H$2:$H$600,MATCH($H230&amp;"|"&amp;$I230&amp;"|"&amp;$J230&amp;"|"&amp;10,Assessments!$A$2:$A$600,0)),"")</f>
        <v/>
      </c>
      <c r="CE230" s="28" t="str">
        <f aca="false">IFERROR(INDEX(Assessments!$H$2:$H$600,MATCH($H230&amp;"|"&amp;$I230&amp;"|"&amp;$J230&amp;"|"&amp;11,Assessments!$A$2:$A$600,0)),"")</f>
        <v/>
      </c>
      <c r="CF230" s="28" t="str">
        <f aca="false">IFERROR(INDEX(Assessments!$H$2:$H$600,MATCH($H230&amp;"|"&amp;$I230&amp;"|"&amp;$J230&amp;"|"&amp;12,Assessments!$A$2:$A$600,0)),"")</f>
        <v/>
      </c>
      <c r="CG230" s="28" t="str">
        <f aca="false">IFERROR(INDEX(Assessments!$H$2:$H$600,MATCH($H230&amp;"|"&amp;$I230&amp;"|"&amp;$J230&amp;"|"&amp;13,Assessments!$A$2:$A$600,0)),"")</f>
        <v/>
      </c>
      <c r="CH230" s="28" t="str">
        <f aca="false">IFERROR(INDEX(Assessments!$H$2:$H$600,MATCH($H230&amp;"|"&amp;$I230&amp;"|"&amp;$J230&amp;"|"&amp;14,Assessments!$A$2:$A$600,0)),"")</f>
        <v/>
      </c>
      <c r="CI230" s="28" t="str">
        <f aca="false">IFERROR(INDEX(Assessments!$I$2:$I$600,MATCH($H230&amp;"|"&amp;$I230&amp;"|"&amp;$J230&amp;"|"&amp;1,Assessments!$A$2:$A$600,0)),"")</f>
        <v>Econ Test</v>
      </c>
      <c r="CJ230" s="28" t="str">
        <f aca="false">IFERROR(INDEX(Assessments!$I$2:$I$600,MATCH($H230&amp;"|"&amp;$I230&amp;"|"&amp;$J230&amp;"|"&amp;2,Assessments!$A$2:$A$600,0)),"")</f>
        <v>Econ Test</v>
      </c>
      <c r="CK230" s="28" t="str">
        <f aca="false">IFERROR(INDEX(Assessments!$I$2:$I$600,MATCH($H230&amp;"|"&amp;$I230&amp;"|"&amp;$J230&amp;"|"&amp;3,Assessments!$A$2:$A$600,0)),"")</f>
        <v>Econ Test</v>
      </c>
      <c r="CL230" s="28" t="str">
        <f aca="false">IFERROR(INDEX(Assessments!$I$2:$I$600,MATCH($H230&amp;"|"&amp;$I230&amp;"|"&amp;$J230&amp;"|"&amp;4,Assessments!$A$2:$A$600,0)),"")</f>
        <v>Econ Test</v>
      </c>
      <c r="CM230" s="28" t="str">
        <f aca="false">IFERROR(INDEX(Assessments!$I$2:$I$600,MATCH($H230&amp;"|"&amp;$I230&amp;"|"&amp;$J230&amp;"|"&amp;5,Assessments!$A$2:$A$600,0)),"")</f>
        <v>Econ Exam</v>
      </c>
      <c r="CN230" s="28" t="str">
        <f aca="false">IFERROR(INDEX(Assessments!$I$2:$I$600,MATCH($H230&amp;"|"&amp;$I230&amp;"|"&amp;$J230&amp;"|"&amp;6,Assessments!$A$2:$A$600,0)),"")</f>
        <v>Econ Test</v>
      </c>
      <c r="CO230" s="28" t="str">
        <f aca="false">IFERROR(INDEX(Assessments!$I$2:$I$600,MATCH($H230&amp;"|"&amp;$I230&amp;"|"&amp;$J230&amp;"|"&amp;7,Assessments!$A$2:$A$600,0)),"")</f>
        <v>Econ Exam</v>
      </c>
      <c r="CP230" s="28" t="str">
        <f aca="false">IFERROR(INDEX(Assessments!$I$2:$I$600,MATCH($H230&amp;"|"&amp;$I230&amp;"|"&amp;$J230&amp;"|"&amp;8,Assessments!$A$2:$A$600,0)),"")</f>
        <v/>
      </c>
      <c r="CQ230" s="28" t="str">
        <f aca="false">IFERROR(INDEX(Assessments!$I$2:$I$600,MATCH($H230&amp;"|"&amp;$I230&amp;"|"&amp;$J230&amp;"|"&amp;9,Assessments!$A$2:$A$600,0)),"")</f>
        <v/>
      </c>
      <c r="CR230" s="28" t="str">
        <f aca="false">IFERROR(INDEX(Assessments!$I$2:$I$600,MATCH($H230&amp;"|"&amp;$I230&amp;"|"&amp;$J230&amp;"|"&amp;10,Assessments!$A$2:$A$600,0)),"")</f>
        <v/>
      </c>
      <c r="CS230" s="28" t="str">
        <f aca="false">IFERROR(INDEX(Assessments!$I$2:$I$600,MATCH($H230&amp;"|"&amp;$I230&amp;"|"&amp;$J230&amp;"|"&amp;11,Assessments!$A$2:$A$600,0)),"")</f>
        <v/>
      </c>
      <c r="CT230" s="28" t="str">
        <f aca="false">IFERROR(INDEX(Assessments!$I$2:$I$600,MATCH($H230&amp;"|"&amp;$I230&amp;"|"&amp;$J230&amp;"|"&amp;12,Assessments!$A$2:$A$600,0)),"")</f>
        <v/>
      </c>
      <c r="CU230" s="28" t="str">
        <f aca="false">IFERROR(INDEX(Assessments!$I$2:$I$600,MATCH($H230&amp;"|"&amp;$I230&amp;"|"&amp;$J230&amp;"|"&amp;13,Assessments!$A$2:$A$600,0)),"")</f>
        <v/>
      </c>
      <c r="CV230" s="28" t="str">
        <f aca="false">IFERROR(INDEX(Assessments!$I$2:$I$600,MATCH($H230&amp;"|"&amp;$I230&amp;"|"&amp;$J230&amp;"|"&amp;14,Assessments!$A$2:$A$600,0)),"")</f>
        <v/>
      </c>
      <c r="CW230" s="28" t="n">
        <f aca="false">IFERROR(INDEX(Assessments!$J$2:$J$600,MATCH($H230&amp;"|"&amp;$I230&amp;"|"&amp;$J230&amp;"|"&amp;1,Assessments!$A$2:$A$600,0)),0)</f>
        <v>1</v>
      </c>
      <c r="CX230" s="28" t="n">
        <f aca="false">IFERROR(INDEX(Assessments!$J$2:$J$600,MATCH($H230&amp;"|"&amp;$I230&amp;"|"&amp;$J230&amp;"|"&amp;2,Assessments!$A$2:$A$600,0)),0)</f>
        <v>1</v>
      </c>
      <c r="CY230" s="28" t="n">
        <f aca="false">IFERROR(INDEX(Assessments!$J$2:$J$600,MATCH($H230&amp;"|"&amp;$I230&amp;"|"&amp;$J230&amp;"|"&amp;3,Assessments!$A$2:$A$600,0)),0)</f>
        <v>1</v>
      </c>
      <c r="CZ230" s="28" t="n">
        <f aca="false">IFERROR(INDEX(Assessments!$J$2:$J$600,MATCH($H230&amp;"|"&amp;$I230&amp;"|"&amp;$J230&amp;"|"&amp;4,Assessments!$A$2:$A$600,0)),0)</f>
        <v>1</v>
      </c>
      <c r="DA230" s="28" t="n">
        <f aca="false">IFERROR(INDEX(Assessments!$J$2:$J$600,MATCH($H230&amp;"|"&amp;$I230&amp;"|"&amp;$J230&amp;"|"&amp;5,Assessments!$A$2:$A$600,0)),0)</f>
        <v>2</v>
      </c>
      <c r="DB230" s="28" t="n">
        <f aca="false">IFERROR(INDEX(Assessments!$J$2:$J$600,MATCH($H230&amp;"|"&amp;$I230&amp;"|"&amp;$J230&amp;"|"&amp;6,Assessments!$A$2:$A$600,0)),0)</f>
        <v>1</v>
      </c>
      <c r="DC230" s="28" t="n">
        <f aca="false">IFERROR(INDEX(Assessments!$J$2:$J$600,MATCH($H230&amp;"|"&amp;$I230&amp;"|"&amp;$J230&amp;"|"&amp;7,Assessments!$A$2:$A$600,0)),0)</f>
        <v>2</v>
      </c>
      <c r="DD230" s="28" t="n">
        <f aca="false">IFERROR(INDEX(Assessments!$J$2:$J$600,MATCH($H230&amp;"|"&amp;$I230&amp;"|"&amp;$J230&amp;"|"&amp;8,Assessments!$A$2:$A$600,0)),0)</f>
        <v>0</v>
      </c>
      <c r="DE230" s="28" t="n">
        <f aca="false">IFERROR(INDEX(Assessments!$J$2:$J$600,MATCH($H230&amp;"|"&amp;$I230&amp;"|"&amp;$J230&amp;"|"&amp;9,Assessments!$A$2:$A$600,0)),0)</f>
        <v>0</v>
      </c>
      <c r="DF230" s="28" t="n">
        <f aca="false">IFERROR(INDEX(Assessments!$J$2:$J$600,MATCH($H230&amp;"|"&amp;$I230&amp;"|"&amp;$J230&amp;"|"&amp;10,Assessments!$A$2:$A$600,0)),0)</f>
        <v>0</v>
      </c>
      <c r="DG230" s="28" t="n">
        <f aca="false">IFERROR(INDEX(Assessments!$J$2:$J$600,MATCH($H230&amp;"|"&amp;$I230&amp;"|"&amp;$J230&amp;"|"&amp;11,Assessments!$A$2:$A$600,0)),0)</f>
        <v>0</v>
      </c>
      <c r="DH230" s="28" t="n">
        <f aca="false">IFERROR(INDEX(Assessments!$J$2:$J$600,MATCH($H230&amp;"|"&amp;$I230&amp;"|"&amp;$J230&amp;"|"&amp;12,Assessments!$A$2:$A$600,0)),0)</f>
        <v>0</v>
      </c>
      <c r="DI230" s="28" t="n">
        <f aca="false">IFERROR(INDEX(Assessments!$J$2:$J$600,MATCH($H230&amp;"|"&amp;$I230&amp;"|"&amp;$J230&amp;"|"&amp;13,Assessments!$A$2:$A$600,0)),0)</f>
        <v>0</v>
      </c>
      <c r="DJ230" s="28" t="n">
        <f aca="false">IFERROR(INDEX(Assessments!$J$2:$J$600,MATCH($H230&amp;"|"&amp;$I230&amp;"|"&amp;$J230&amp;"|"&amp;14,Assessments!$A$2:$A$600,0)),0)</f>
        <v>0</v>
      </c>
      <c r="DK230" s="28" t="str">
        <f aca="false">S230</f>
        <v/>
      </c>
      <c r="DL230" s="28" t="str">
        <f aca="false">W230</f>
        <v/>
      </c>
      <c r="DM230" s="28" t="str">
        <f aca="false">AA230</f>
        <v/>
      </c>
      <c r="DN230" s="28" t="str">
        <f aca="false">AE230</f>
        <v/>
      </c>
      <c r="DO230" s="28" t="str">
        <f aca="false">AI230</f>
        <v/>
      </c>
      <c r="DP230" s="28" t="str">
        <f aca="false">AM230</f>
        <v/>
      </c>
      <c r="DQ230" s="28" t="str">
        <f aca="false">AQ230</f>
        <v/>
      </c>
      <c r="DR230" s="28" t="str">
        <f aca="false">AU230</f>
        <v/>
      </c>
      <c r="DS230" s="28" t="str">
        <f aca="false">AY230</f>
        <v/>
      </c>
      <c r="DT230" s="28" t="str">
        <f aca="false">BC230</f>
        <v/>
      </c>
      <c r="DU230" s="28" t="str">
        <f aca="false">BG230</f>
        <v/>
      </c>
      <c r="DV230" s="28" t="str">
        <f aca="false">BK230</f>
        <v/>
      </c>
      <c r="DW230" s="28" t="str">
        <f aca="false">BO230</f>
        <v/>
      </c>
      <c r="DX230" s="28" t="str">
        <f aca="false">BS230</f>
        <v/>
      </c>
      <c r="DY230" s="28" t="str">
        <f aca="false">IF(ISNUMBER(S230),1,"")</f>
        <v/>
      </c>
      <c r="DZ230" s="28" t="str">
        <f aca="false">IF(ISNUMBER(W230),2,"")</f>
        <v/>
      </c>
      <c r="EA230" s="28" t="str">
        <f aca="false">IF(ISNUMBER(AA230),3,"")</f>
        <v/>
      </c>
      <c r="EB230" s="28" t="str">
        <f aca="false">IF(ISNUMBER(AE230),4,"")</f>
        <v/>
      </c>
      <c r="EC230" s="28" t="str">
        <f aca="false">IF(ISNUMBER(AI230),5,"")</f>
        <v/>
      </c>
      <c r="ED230" s="28" t="str">
        <f aca="false">IF(ISNUMBER(AM230),6,"")</f>
        <v/>
      </c>
      <c r="EE230" s="28" t="str">
        <f aca="false">IF(ISNUMBER(AQ230),7,"")</f>
        <v/>
      </c>
      <c r="EF230" s="28" t="str">
        <f aca="false">IF(ISNUMBER(AU230),8,"")</f>
        <v/>
      </c>
      <c r="EG230" s="28" t="str">
        <f aca="false">IF(ISNUMBER(AY230),9,"")</f>
        <v/>
      </c>
      <c r="EH230" s="28" t="str">
        <f aca="false">IF(ISNUMBER(BC230),10,"")</f>
        <v/>
      </c>
      <c r="EI230" s="28" t="str">
        <f aca="false">IF(ISNUMBER(BG230),11,"")</f>
        <v/>
      </c>
      <c r="EJ230" s="28" t="str">
        <f aca="false">IF(ISNUMBER(BK230),12,"")</f>
        <v/>
      </c>
      <c r="EK230" s="28" t="str">
        <f aca="false">IF(ISNUMBER(BO230),13,"")</f>
        <v/>
      </c>
      <c r="EL230" s="28" t="str">
        <f aca="false">IF(ISNUMBER(BS230),14,"")</f>
        <v/>
      </c>
      <c r="EM230" s="28" t="n">
        <f aca="false">IF(ISNUMBER(R230),R230*CW230,0)</f>
        <v>0</v>
      </c>
      <c r="EN230" s="28" t="n">
        <f aca="false">IF(ISNUMBER(V230),V230*CX230,0)</f>
        <v>0</v>
      </c>
      <c r="EO230" s="28" t="n">
        <f aca="false">IF(ISNUMBER(Z230),Z230*CY230,0)</f>
        <v>0</v>
      </c>
      <c r="EP230" s="28" t="n">
        <f aca="false">IF(ISNUMBER(AD230),AD230*CZ230,0)</f>
        <v>0</v>
      </c>
      <c r="EQ230" s="28" t="n">
        <f aca="false">IF(ISNUMBER(AH230),AH230*DA230,0)</f>
        <v>0</v>
      </c>
      <c r="ER230" s="28" t="n">
        <f aca="false">IF(ISNUMBER(AL230),AL230*DB230,0)</f>
        <v>0</v>
      </c>
      <c r="ES230" s="28" t="n">
        <f aca="false">IF(ISNUMBER(AP230),AP230*DC230,0)</f>
        <v>0</v>
      </c>
      <c r="ET230" s="28" t="n">
        <f aca="false">IF(ISNUMBER(AT230),AT230*DD230,0)</f>
        <v>0</v>
      </c>
      <c r="EU230" s="28" t="n">
        <f aca="false">IF(ISNUMBER(AX230),AX230*DE230,0)</f>
        <v>0</v>
      </c>
      <c r="EV230" s="28" t="n">
        <f aca="false">IF(ISNUMBER(BB230),BB230*DF230,0)</f>
        <v>0</v>
      </c>
      <c r="EW230" s="28" t="n">
        <f aca="false">IF(ISNUMBER(BF230),BF230*DG230,0)</f>
        <v>0</v>
      </c>
      <c r="EX230" s="28" t="n">
        <f aca="false">IF(ISNUMBER(BJ230),BJ230*DH230,0)</f>
        <v>0</v>
      </c>
      <c r="EY230" s="28" t="n">
        <f aca="false">IF(ISNUMBER(BN230),BN230*DI230,0)</f>
        <v>0</v>
      </c>
      <c r="EZ230" s="28" t="n">
        <f aca="false">IF(ISNUMBER(BR230),BR230*DJ230,0)</f>
        <v>0</v>
      </c>
      <c r="FA230" s="28" t="n">
        <f aca="false">IF(ISNUMBER(R230),CW230,0)</f>
        <v>0</v>
      </c>
      <c r="FB230" s="28" t="n">
        <f aca="false">IF(ISNUMBER(V230),CX230,0)</f>
        <v>0</v>
      </c>
      <c r="FC230" s="28" t="n">
        <f aca="false">IF(ISNUMBER(Z230),CY230,0)</f>
        <v>0</v>
      </c>
      <c r="FD230" s="28" t="n">
        <f aca="false">IF(ISNUMBER(AD230),CZ230,0)</f>
        <v>0</v>
      </c>
      <c r="FE230" s="28" t="n">
        <f aca="false">IF(ISNUMBER(AH230),DA230,0)</f>
        <v>0</v>
      </c>
      <c r="FF230" s="28" t="n">
        <f aca="false">IF(ISNUMBER(AL230),DB230,0)</f>
        <v>0</v>
      </c>
      <c r="FG230" s="28" t="n">
        <f aca="false">IF(ISNUMBER(AP230),DC230,0)</f>
        <v>0</v>
      </c>
      <c r="FH230" s="28" t="n">
        <f aca="false">IF(ISNUMBER(AT230),DD230,0)</f>
        <v>0</v>
      </c>
      <c r="FI230" s="28" t="n">
        <f aca="false">IF(ISNUMBER(AX230),DE230,0)</f>
        <v>0</v>
      </c>
      <c r="FJ230" s="28" t="n">
        <f aca="false">IF(ISNUMBER(BB230),DF230,0)</f>
        <v>0</v>
      </c>
      <c r="FK230" s="28" t="n">
        <f aca="false">IF(ISNUMBER(BF230),DG230,0)</f>
        <v>0</v>
      </c>
      <c r="FL230" s="28" t="n">
        <f aca="false">IF(ISNUMBER(BJ230),DH230,0)</f>
        <v>0</v>
      </c>
      <c r="FM230" s="28" t="n">
        <f aca="false">IF(ISNUMBER(BN230),DI230,0)</f>
        <v>0</v>
      </c>
      <c r="FN230" s="28" t="n">
        <f aca="false">IF(ISNUMBER(BR230),DJ230,0)</f>
        <v>0</v>
      </c>
      <c r="FO230" s="28" t="str">
        <f aca="false">IFERROR(INDEX(Lists!$G$2:$G$20,MATCH($I230&amp;"|"&amp;$J230,Lists!$F$2:$F$20,0)),"")</f>
        <v>Econ Exam</v>
      </c>
    </row>
    <row r="231" customFormat="false" ht="19.5" hidden="false" customHeight="true" outlineLevel="0" collapsed="false">
      <c r="A231" s="29" t="s">
        <v>486</v>
      </c>
      <c r="B231" s="29" t="s">
        <v>487</v>
      </c>
      <c r="C231" s="30" t="s">
        <v>152</v>
      </c>
      <c r="D231" s="30" t="s">
        <v>271</v>
      </c>
      <c r="E231" s="31"/>
      <c r="F231" s="30"/>
      <c r="G231" s="30"/>
      <c r="H231" s="32" t="s">
        <v>428</v>
      </c>
      <c r="I231" s="33" t="s">
        <v>229</v>
      </c>
      <c r="J231" s="32" t="s">
        <v>25</v>
      </c>
      <c r="K231" s="34" t="str">
        <f aca="false">IF(OR(M231="",$E231=""),"",M231-$E231)</f>
        <v/>
      </c>
      <c r="L231" s="35" t="str">
        <f aca="false">IF(SUM(FA231:FN231)=0,"",SUM(EM231:EZ231)/SUM(FA231:FN231))</f>
        <v/>
      </c>
      <c r="M231" s="36" t="str">
        <f aca="false">IF(OR(L231="",FO231=""),"",IFERROR(MATCH(L231,INDEX(Boundaries!$B$2:$I$30,MATCH(FO231,Boundaries!$A$2:$A$30,0),0),1)-1,""))</f>
        <v/>
      </c>
      <c r="N231" s="37" t="str">
        <f aca="false">IF(COUNT($DY231:$EL231)&lt;2,"",INDEX($DK231:$DX231,MAX($DY231:$EL231))-INDEX($DK231:$DX231,MIN($DY231:$EL231)))</f>
        <v/>
      </c>
      <c r="O231" s="37" t="str">
        <f aca="false">IF(COUNT($DY231:$EL231)&lt;2,"",INDEX($DK231:$DX231,MAX($DY231:$EL231))-INDEX($DK231:$DX231,LARGE($DY231:$EL231,2)))</f>
        <v/>
      </c>
      <c r="P231" s="38" t="str">
        <f aca="false">IF(K231="","",IF(K231&gt;=0,"On/above target",IF(AND(N231&lt;&gt;"",N231&gt;=0.5),"Improving towards target",IF(AND(O231&lt;&gt;"",O231&lt;=-0.5),"Declining","Stable below target"))))</f>
        <v/>
      </c>
      <c r="Q231" s="39"/>
      <c r="R231" s="40" t="str">
        <f aca="false">IF(OR(Q231="",BU231=""),"",Q231/BU231*100)</f>
        <v/>
      </c>
      <c r="S231" s="41" t="str">
        <f aca="false">IF(R231="","",IFERROR(MATCH(R231,INDEX(Boundaries!$B$2:$I$30,MATCH(CI231,Boundaries!$A$2:$A$30,0),0),1)-1,""))</f>
        <v/>
      </c>
      <c r="T231" s="42" t="str">
        <f aca="false">IF(OR(S231="",$E231=""),"",S231-$E231)</f>
        <v/>
      </c>
      <c r="U231" s="39"/>
      <c r="V231" s="40" t="str">
        <f aca="false">IF(OR(U231="",BV231=""),"",U231/BV231*100)</f>
        <v/>
      </c>
      <c r="W231" s="41" t="str">
        <f aca="false">IF(V231="","",IFERROR(MATCH(V231,INDEX(Boundaries!$B$2:$I$30,MATCH(CJ231,Boundaries!$A$2:$A$30,0),0),1)-1,""))</f>
        <v/>
      </c>
      <c r="X231" s="42" t="str">
        <f aca="false">IF(OR(W231="",$E231=""),"",W231-$E231)</f>
        <v/>
      </c>
      <c r="Y231" s="39"/>
      <c r="Z231" s="40" t="str">
        <f aca="false">IF(OR(Y231="",BW231=""),"",Y231/BW231*100)</f>
        <v/>
      </c>
      <c r="AA231" s="41" t="str">
        <f aca="false">IF(Z231="","",IFERROR(MATCH(Z231,INDEX(Boundaries!$B$2:$I$30,MATCH(CK231,Boundaries!$A$2:$A$30,0),0),1)-1,""))</f>
        <v/>
      </c>
      <c r="AB231" s="42" t="str">
        <f aca="false">IF(OR(AA231="",$E231=""),"",AA231-$E231)</f>
        <v/>
      </c>
      <c r="AC231" s="39"/>
      <c r="AD231" s="40" t="str">
        <f aca="false">IF(OR(AC231="",BX231=""),"",AC231/BX231*100)</f>
        <v/>
      </c>
      <c r="AE231" s="41" t="str">
        <f aca="false">IF(AD231="","",IFERROR(MATCH(AD231,INDEX(Boundaries!$B$2:$I$30,MATCH(CL231,Boundaries!$A$2:$A$30,0),0),1)-1,""))</f>
        <v/>
      </c>
      <c r="AF231" s="42" t="str">
        <f aca="false">IF(OR(AE231="",$E231=""),"",AE231-$E231)</f>
        <v/>
      </c>
      <c r="AG231" s="39"/>
      <c r="AH231" s="40" t="str">
        <f aca="false">IF(OR(AG231="",BY231=""),"",AG231/BY231*100)</f>
        <v/>
      </c>
      <c r="AI231" s="41" t="str">
        <f aca="false">IF(AH231="","",IFERROR(MATCH(AH231,INDEX(Boundaries!$B$2:$I$30,MATCH(CM231,Boundaries!$A$2:$A$30,0),0),1)-1,""))</f>
        <v/>
      </c>
      <c r="AJ231" s="42" t="str">
        <f aca="false">IF(OR(AI231="",$E231=""),"",AI231-$E231)</f>
        <v/>
      </c>
      <c r="AK231" s="39"/>
      <c r="AL231" s="40" t="str">
        <f aca="false">IF(OR(AK231="",BZ231=""),"",AK231/BZ231*100)</f>
        <v/>
      </c>
      <c r="AM231" s="41" t="str">
        <f aca="false">IF(AL231="","",IFERROR(MATCH(AL231,INDEX(Boundaries!$B$2:$I$30,MATCH(CN231,Boundaries!$A$2:$A$30,0),0),1)-1,""))</f>
        <v/>
      </c>
      <c r="AN231" s="42" t="str">
        <f aca="false">IF(OR(AM231="",$E231=""),"",AM231-$E231)</f>
        <v/>
      </c>
      <c r="AO231" s="39"/>
      <c r="AP231" s="40" t="str">
        <f aca="false">IF(OR(AO231="",CA231=""),"",AO231/CA231*100)</f>
        <v/>
      </c>
      <c r="AQ231" s="41" t="str">
        <f aca="false">IF(AP231="","",IFERROR(MATCH(AP231,INDEX(Boundaries!$B$2:$I$30,MATCH(CO231,Boundaries!$A$2:$A$30,0),0),1)-1,""))</f>
        <v/>
      </c>
      <c r="AR231" s="42" t="str">
        <f aca="false">IF(OR(AQ231="",$E231=""),"",AQ231-$E231)</f>
        <v/>
      </c>
      <c r="AS231" s="39"/>
      <c r="AT231" s="40" t="str">
        <f aca="false">IF(OR(AS231="",CB231=""),"",AS231/CB231*100)</f>
        <v/>
      </c>
      <c r="AU231" s="41" t="str">
        <f aca="false">IF(AT231="","",IFERROR(MATCH(AT231,INDEX(Boundaries!$B$2:$I$30,MATCH(CP231,Boundaries!$A$2:$A$30,0),0),1)-1,""))</f>
        <v/>
      </c>
      <c r="AV231" s="42" t="str">
        <f aca="false">IF(OR(AU231="",$E231=""),"",AU231-$E231)</f>
        <v/>
      </c>
      <c r="AW231" s="39"/>
      <c r="AX231" s="40" t="str">
        <f aca="false">IF(OR(AW231="",CC231=""),"",AW231/CC231*100)</f>
        <v/>
      </c>
      <c r="AY231" s="41" t="str">
        <f aca="false">IF(AX231="","",IFERROR(MATCH(AX231,INDEX(Boundaries!$B$2:$I$30,MATCH(CQ231,Boundaries!$A$2:$A$30,0),0),1)-1,""))</f>
        <v/>
      </c>
      <c r="AZ231" s="42" t="str">
        <f aca="false">IF(OR(AY231="",$E231=""),"",AY231-$E231)</f>
        <v/>
      </c>
      <c r="BA231" s="39"/>
      <c r="BB231" s="40" t="str">
        <f aca="false">IF(OR(BA231="",CD231=""),"",BA231/CD231*100)</f>
        <v/>
      </c>
      <c r="BC231" s="41" t="str">
        <f aca="false">IF(BB231="","",IFERROR(MATCH(BB231,INDEX(Boundaries!$B$2:$I$30,MATCH(CR231,Boundaries!$A$2:$A$30,0),0),1)-1,""))</f>
        <v/>
      </c>
      <c r="BD231" s="42" t="str">
        <f aca="false">IF(OR(BC231="",$E231=""),"",BC231-$E231)</f>
        <v/>
      </c>
      <c r="BE231" s="39"/>
      <c r="BF231" s="40" t="str">
        <f aca="false">IF(OR(BE231="",CE231=""),"",BE231/CE231*100)</f>
        <v/>
      </c>
      <c r="BG231" s="41" t="str">
        <f aca="false">IF(BF231="","",IFERROR(MATCH(BF231,INDEX(Boundaries!$B$2:$I$30,MATCH(CS231,Boundaries!$A$2:$A$30,0),0),1)-1,""))</f>
        <v/>
      </c>
      <c r="BH231" s="42" t="str">
        <f aca="false">IF(OR(BG231="",$E231=""),"",BG231-$E231)</f>
        <v/>
      </c>
      <c r="BI231" s="39"/>
      <c r="BJ231" s="40" t="str">
        <f aca="false">IF(OR(BI231="",CF231=""),"",BI231/CF231*100)</f>
        <v/>
      </c>
      <c r="BK231" s="41" t="str">
        <f aca="false">IF(BJ231="","",IFERROR(MATCH(BJ231,INDEX(Boundaries!$B$2:$I$30,MATCH(CT231,Boundaries!$A$2:$A$30,0),0),1)-1,""))</f>
        <v/>
      </c>
      <c r="BL231" s="42" t="str">
        <f aca="false">IF(OR(BK231="",$E231=""),"",BK231-$E231)</f>
        <v/>
      </c>
      <c r="BM231" s="39"/>
      <c r="BN231" s="40" t="str">
        <f aca="false">IF(OR(BM231="",CG231=""),"",BM231/CG231*100)</f>
        <v/>
      </c>
      <c r="BO231" s="41" t="str">
        <f aca="false">IF(BN231="","",IFERROR(MATCH(BN231,INDEX(Boundaries!$B$2:$I$30,MATCH(CU231,Boundaries!$A$2:$A$30,0),0),1)-1,""))</f>
        <v/>
      </c>
      <c r="BP231" s="42" t="str">
        <f aca="false">IF(OR(BO231="",$E231=""),"",BO231-$E231)</f>
        <v/>
      </c>
      <c r="BQ231" s="39"/>
      <c r="BR231" s="40" t="str">
        <f aca="false">IF(OR(BQ231="",CH231=""),"",BQ231/CH231*100)</f>
        <v/>
      </c>
      <c r="BS231" s="41" t="str">
        <f aca="false">IF(BR231="","",IFERROR(MATCH(BR231,INDEX(Boundaries!$B$2:$I$30,MATCH(CV231,Boundaries!$A$2:$A$30,0),0),1)-1,""))</f>
        <v/>
      </c>
      <c r="BT231" s="42" t="str">
        <f aca="false">IF(OR(BS231="",$E231=""),"",BS231-$E231)</f>
        <v/>
      </c>
      <c r="BU231" s="28" t="n">
        <f aca="false">IFERROR(INDEX(Assessments!$H$2:$H$600,MATCH($H231&amp;"|"&amp;$I231&amp;"|"&amp;$J231&amp;"|"&amp;1,Assessments!$A$2:$A$600,0)),"")</f>
        <v>25</v>
      </c>
      <c r="BV231" s="28" t="n">
        <f aca="false">IFERROR(INDEX(Assessments!$H$2:$H$600,MATCH($H231&amp;"|"&amp;$I231&amp;"|"&amp;$J231&amp;"|"&amp;2,Assessments!$A$2:$A$600,0)),"")</f>
        <v>24</v>
      </c>
      <c r="BW231" s="28" t="n">
        <f aca="false">IFERROR(INDEX(Assessments!$H$2:$H$600,MATCH($H231&amp;"|"&amp;$I231&amp;"|"&amp;$J231&amp;"|"&amp;3,Assessments!$A$2:$A$600,0)),"")</f>
        <v>25</v>
      </c>
      <c r="BX231" s="28" t="n">
        <f aca="false">IFERROR(INDEX(Assessments!$H$2:$H$600,MATCH($H231&amp;"|"&amp;$I231&amp;"|"&amp;$J231&amp;"|"&amp;4,Assessments!$A$2:$A$600,0)),"")</f>
        <v>35</v>
      </c>
      <c r="BY231" s="28" t="n">
        <f aca="false">IFERROR(INDEX(Assessments!$H$2:$H$600,MATCH($H231&amp;"|"&amp;$I231&amp;"|"&amp;$J231&amp;"|"&amp;5,Assessments!$A$2:$A$600,0)),"")</f>
        <v>55</v>
      </c>
      <c r="BZ231" s="28" t="n">
        <f aca="false">IFERROR(INDEX(Assessments!$H$2:$H$600,MATCH($H231&amp;"|"&amp;$I231&amp;"|"&amp;$J231&amp;"|"&amp;6,Assessments!$A$2:$A$600,0)),"")</f>
        <v>28</v>
      </c>
      <c r="CA231" s="28" t="n">
        <f aca="false">IFERROR(INDEX(Assessments!$H$2:$H$600,MATCH($H231&amp;"|"&amp;$I231&amp;"|"&amp;$J231&amp;"|"&amp;7,Assessments!$A$2:$A$600,0)),"")</f>
        <v>95</v>
      </c>
      <c r="CB231" s="28" t="str">
        <f aca="false">IFERROR(INDEX(Assessments!$H$2:$H$600,MATCH($H231&amp;"|"&amp;$I231&amp;"|"&amp;$J231&amp;"|"&amp;8,Assessments!$A$2:$A$600,0)),"")</f>
        <v/>
      </c>
      <c r="CC231" s="28" t="str">
        <f aca="false">IFERROR(INDEX(Assessments!$H$2:$H$600,MATCH($H231&amp;"|"&amp;$I231&amp;"|"&amp;$J231&amp;"|"&amp;9,Assessments!$A$2:$A$600,0)),"")</f>
        <v/>
      </c>
      <c r="CD231" s="28" t="str">
        <f aca="false">IFERROR(INDEX(Assessments!$H$2:$H$600,MATCH($H231&amp;"|"&amp;$I231&amp;"|"&amp;$J231&amp;"|"&amp;10,Assessments!$A$2:$A$600,0)),"")</f>
        <v/>
      </c>
      <c r="CE231" s="28" t="str">
        <f aca="false">IFERROR(INDEX(Assessments!$H$2:$H$600,MATCH($H231&amp;"|"&amp;$I231&amp;"|"&amp;$J231&amp;"|"&amp;11,Assessments!$A$2:$A$600,0)),"")</f>
        <v/>
      </c>
      <c r="CF231" s="28" t="str">
        <f aca="false">IFERROR(INDEX(Assessments!$H$2:$H$600,MATCH($H231&amp;"|"&amp;$I231&amp;"|"&amp;$J231&amp;"|"&amp;12,Assessments!$A$2:$A$600,0)),"")</f>
        <v/>
      </c>
      <c r="CG231" s="28" t="str">
        <f aca="false">IFERROR(INDEX(Assessments!$H$2:$H$600,MATCH($H231&amp;"|"&amp;$I231&amp;"|"&amp;$J231&amp;"|"&amp;13,Assessments!$A$2:$A$600,0)),"")</f>
        <v/>
      </c>
      <c r="CH231" s="28" t="str">
        <f aca="false">IFERROR(INDEX(Assessments!$H$2:$H$600,MATCH($H231&amp;"|"&amp;$I231&amp;"|"&amp;$J231&amp;"|"&amp;14,Assessments!$A$2:$A$600,0)),"")</f>
        <v/>
      </c>
      <c r="CI231" s="28" t="str">
        <f aca="false">IFERROR(INDEX(Assessments!$I$2:$I$600,MATCH($H231&amp;"|"&amp;$I231&amp;"|"&amp;$J231&amp;"|"&amp;1,Assessments!$A$2:$A$600,0)),"")</f>
        <v>Econ Test</v>
      </c>
      <c r="CJ231" s="28" t="str">
        <f aca="false">IFERROR(INDEX(Assessments!$I$2:$I$600,MATCH($H231&amp;"|"&amp;$I231&amp;"|"&amp;$J231&amp;"|"&amp;2,Assessments!$A$2:$A$600,0)),"")</f>
        <v>Econ Test</v>
      </c>
      <c r="CK231" s="28" t="str">
        <f aca="false">IFERROR(INDEX(Assessments!$I$2:$I$600,MATCH($H231&amp;"|"&amp;$I231&amp;"|"&amp;$J231&amp;"|"&amp;3,Assessments!$A$2:$A$600,0)),"")</f>
        <v>Econ Test</v>
      </c>
      <c r="CL231" s="28" t="str">
        <f aca="false">IFERROR(INDEX(Assessments!$I$2:$I$600,MATCH($H231&amp;"|"&amp;$I231&amp;"|"&amp;$J231&amp;"|"&amp;4,Assessments!$A$2:$A$600,0)),"")</f>
        <v>Econ Test</v>
      </c>
      <c r="CM231" s="28" t="str">
        <f aca="false">IFERROR(INDEX(Assessments!$I$2:$I$600,MATCH($H231&amp;"|"&amp;$I231&amp;"|"&amp;$J231&amp;"|"&amp;5,Assessments!$A$2:$A$600,0)),"")</f>
        <v>Econ Exam</v>
      </c>
      <c r="CN231" s="28" t="str">
        <f aca="false">IFERROR(INDEX(Assessments!$I$2:$I$600,MATCH($H231&amp;"|"&amp;$I231&amp;"|"&amp;$J231&amp;"|"&amp;6,Assessments!$A$2:$A$600,0)),"")</f>
        <v>Econ Test</v>
      </c>
      <c r="CO231" s="28" t="str">
        <f aca="false">IFERROR(INDEX(Assessments!$I$2:$I$600,MATCH($H231&amp;"|"&amp;$I231&amp;"|"&amp;$J231&amp;"|"&amp;7,Assessments!$A$2:$A$600,0)),"")</f>
        <v>Econ Exam</v>
      </c>
      <c r="CP231" s="28" t="str">
        <f aca="false">IFERROR(INDEX(Assessments!$I$2:$I$600,MATCH($H231&amp;"|"&amp;$I231&amp;"|"&amp;$J231&amp;"|"&amp;8,Assessments!$A$2:$A$600,0)),"")</f>
        <v/>
      </c>
      <c r="CQ231" s="28" t="str">
        <f aca="false">IFERROR(INDEX(Assessments!$I$2:$I$600,MATCH($H231&amp;"|"&amp;$I231&amp;"|"&amp;$J231&amp;"|"&amp;9,Assessments!$A$2:$A$600,0)),"")</f>
        <v/>
      </c>
      <c r="CR231" s="28" t="str">
        <f aca="false">IFERROR(INDEX(Assessments!$I$2:$I$600,MATCH($H231&amp;"|"&amp;$I231&amp;"|"&amp;$J231&amp;"|"&amp;10,Assessments!$A$2:$A$600,0)),"")</f>
        <v/>
      </c>
      <c r="CS231" s="28" t="str">
        <f aca="false">IFERROR(INDEX(Assessments!$I$2:$I$600,MATCH($H231&amp;"|"&amp;$I231&amp;"|"&amp;$J231&amp;"|"&amp;11,Assessments!$A$2:$A$600,0)),"")</f>
        <v/>
      </c>
      <c r="CT231" s="28" t="str">
        <f aca="false">IFERROR(INDEX(Assessments!$I$2:$I$600,MATCH($H231&amp;"|"&amp;$I231&amp;"|"&amp;$J231&amp;"|"&amp;12,Assessments!$A$2:$A$600,0)),"")</f>
        <v/>
      </c>
      <c r="CU231" s="28" t="str">
        <f aca="false">IFERROR(INDEX(Assessments!$I$2:$I$600,MATCH($H231&amp;"|"&amp;$I231&amp;"|"&amp;$J231&amp;"|"&amp;13,Assessments!$A$2:$A$600,0)),"")</f>
        <v/>
      </c>
      <c r="CV231" s="28" t="str">
        <f aca="false">IFERROR(INDEX(Assessments!$I$2:$I$600,MATCH($H231&amp;"|"&amp;$I231&amp;"|"&amp;$J231&amp;"|"&amp;14,Assessments!$A$2:$A$600,0)),"")</f>
        <v/>
      </c>
      <c r="CW231" s="28" t="n">
        <f aca="false">IFERROR(INDEX(Assessments!$J$2:$J$600,MATCH($H231&amp;"|"&amp;$I231&amp;"|"&amp;$J231&amp;"|"&amp;1,Assessments!$A$2:$A$600,0)),0)</f>
        <v>1</v>
      </c>
      <c r="CX231" s="28" t="n">
        <f aca="false">IFERROR(INDEX(Assessments!$J$2:$J$600,MATCH($H231&amp;"|"&amp;$I231&amp;"|"&amp;$J231&amp;"|"&amp;2,Assessments!$A$2:$A$600,0)),0)</f>
        <v>1</v>
      </c>
      <c r="CY231" s="28" t="n">
        <f aca="false">IFERROR(INDEX(Assessments!$J$2:$J$600,MATCH($H231&amp;"|"&amp;$I231&amp;"|"&amp;$J231&amp;"|"&amp;3,Assessments!$A$2:$A$600,0)),0)</f>
        <v>1</v>
      </c>
      <c r="CZ231" s="28" t="n">
        <f aca="false">IFERROR(INDEX(Assessments!$J$2:$J$600,MATCH($H231&amp;"|"&amp;$I231&amp;"|"&amp;$J231&amp;"|"&amp;4,Assessments!$A$2:$A$600,0)),0)</f>
        <v>1</v>
      </c>
      <c r="DA231" s="28" t="n">
        <f aca="false">IFERROR(INDEX(Assessments!$J$2:$J$600,MATCH($H231&amp;"|"&amp;$I231&amp;"|"&amp;$J231&amp;"|"&amp;5,Assessments!$A$2:$A$600,0)),0)</f>
        <v>2</v>
      </c>
      <c r="DB231" s="28" t="n">
        <f aca="false">IFERROR(INDEX(Assessments!$J$2:$J$600,MATCH($H231&amp;"|"&amp;$I231&amp;"|"&amp;$J231&amp;"|"&amp;6,Assessments!$A$2:$A$600,0)),0)</f>
        <v>1</v>
      </c>
      <c r="DC231" s="28" t="n">
        <f aca="false">IFERROR(INDEX(Assessments!$J$2:$J$600,MATCH($H231&amp;"|"&amp;$I231&amp;"|"&amp;$J231&amp;"|"&amp;7,Assessments!$A$2:$A$600,0)),0)</f>
        <v>2</v>
      </c>
      <c r="DD231" s="28" t="n">
        <f aca="false">IFERROR(INDEX(Assessments!$J$2:$J$600,MATCH($H231&amp;"|"&amp;$I231&amp;"|"&amp;$J231&amp;"|"&amp;8,Assessments!$A$2:$A$600,0)),0)</f>
        <v>0</v>
      </c>
      <c r="DE231" s="28" t="n">
        <f aca="false">IFERROR(INDEX(Assessments!$J$2:$J$600,MATCH($H231&amp;"|"&amp;$I231&amp;"|"&amp;$J231&amp;"|"&amp;9,Assessments!$A$2:$A$600,0)),0)</f>
        <v>0</v>
      </c>
      <c r="DF231" s="28" t="n">
        <f aca="false">IFERROR(INDEX(Assessments!$J$2:$J$600,MATCH($H231&amp;"|"&amp;$I231&amp;"|"&amp;$J231&amp;"|"&amp;10,Assessments!$A$2:$A$600,0)),0)</f>
        <v>0</v>
      </c>
      <c r="DG231" s="28" t="n">
        <f aca="false">IFERROR(INDEX(Assessments!$J$2:$J$600,MATCH($H231&amp;"|"&amp;$I231&amp;"|"&amp;$J231&amp;"|"&amp;11,Assessments!$A$2:$A$600,0)),0)</f>
        <v>0</v>
      </c>
      <c r="DH231" s="28" t="n">
        <f aca="false">IFERROR(INDEX(Assessments!$J$2:$J$600,MATCH($H231&amp;"|"&amp;$I231&amp;"|"&amp;$J231&amp;"|"&amp;12,Assessments!$A$2:$A$600,0)),0)</f>
        <v>0</v>
      </c>
      <c r="DI231" s="28" t="n">
        <f aca="false">IFERROR(INDEX(Assessments!$J$2:$J$600,MATCH($H231&amp;"|"&amp;$I231&amp;"|"&amp;$J231&amp;"|"&amp;13,Assessments!$A$2:$A$600,0)),0)</f>
        <v>0</v>
      </c>
      <c r="DJ231" s="28" t="n">
        <f aca="false">IFERROR(INDEX(Assessments!$J$2:$J$600,MATCH($H231&amp;"|"&amp;$I231&amp;"|"&amp;$J231&amp;"|"&amp;14,Assessments!$A$2:$A$600,0)),0)</f>
        <v>0</v>
      </c>
      <c r="DK231" s="28" t="str">
        <f aca="false">S231</f>
        <v/>
      </c>
      <c r="DL231" s="28" t="str">
        <f aca="false">W231</f>
        <v/>
      </c>
      <c r="DM231" s="28" t="str">
        <f aca="false">AA231</f>
        <v/>
      </c>
      <c r="DN231" s="28" t="str">
        <f aca="false">AE231</f>
        <v/>
      </c>
      <c r="DO231" s="28" t="str">
        <f aca="false">AI231</f>
        <v/>
      </c>
      <c r="DP231" s="28" t="str">
        <f aca="false">AM231</f>
        <v/>
      </c>
      <c r="DQ231" s="28" t="str">
        <f aca="false">AQ231</f>
        <v/>
      </c>
      <c r="DR231" s="28" t="str">
        <f aca="false">AU231</f>
        <v/>
      </c>
      <c r="DS231" s="28" t="str">
        <f aca="false">AY231</f>
        <v/>
      </c>
      <c r="DT231" s="28" t="str">
        <f aca="false">BC231</f>
        <v/>
      </c>
      <c r="DU231" s="28" t="str">
        <f aca="false">BG231</f>
        <v/>
      </c>
      <c r="DV231" s="28" t="str">
        <f aca="false">BK231</f>
        <v/>
      </c>
      <c r="DW231" s="28" t="str">
        <f aca="false">BO231</f>
        <v/>
      </c>
      <c r="DX231" s="28" t="str">
        <f aca="false">BS231</f>
        <v/>
      </c>
      <c r="DY231" s="28" t="str">
        <f aca="false">IF(ISNUMBER(S231),1,"")</f>
        <v/>
      </c>
      <c r="DZ231" s="28" t="str">
        <f aca="false">IF(ISNUMBER(W231),2,"")</f>
        <v/>
      </c>
      <c r="EA231" s="28" t="str">
        <f aca="false">IF(ISNUMBER(AA231),3,"")</f>
        <v/>
      </c>
      <c r="EB231" s="28" t="str">
        <f aca="false">IF(ISNUMBER(AE231),4,"")</f>
        <v/>
      </c>
      <c r="EC231" s="28" t="str">
        <f aca="false">IF(ISNUMBER(AI231),5,"")</f>
        <v/>
      </c>
      <c r="ED231" s="28" t="str">
        <f aca="false">IF(ISNUMBER(AM231),6,"")</f>
        <v/>
      </c>
      <c r="EE231" s="28" t="str">
        <f aca="false">IF(ISNUMBER(AQ231),7,"")</f>
        <v/>
      </c>
      <c r="EF231" s="28" t="str">
        <f aca="false">IF(ISNUMBER(AU231),8,"")</f>
        <v/>
      </c>
      <c r="EG231" s="28" t="str">
        <f aca="false">IF(ISNUMBER(AY231),9,"")</f>
        <v/>
      </c>
      <c r="EH231" s="28" t="str">
        <f aca="false">IF(ISNUMBER(BC231),10,"")</f>
        <v/>
      </c>
      <c r="EI231" s="28" t="str">
        <f aca="false">IF(ISNUMBER(BG231),11,"")</f>
        <v/>
      </c>
      <c r="EJ231" s="28" t="str">
        <f aca="false">IF(ISNUMBER(BK231),12,"")</f>
        <v/>
      </c>
      <c r="EK231" s="28" t="str">
        <f aca="false">IF(ISNUMBER(BO231),13,"")</f>
        <v/>
      </c>
      <c r="EL231" s="28" t="str">
        <f aca="false">IF(ISNUMBER(BS231),14,"")</f>
        <v/>
      </c>
      <c r="EM231" s="28" t="n">
        <f aca="false">IF(ISNUMBER(R231),R231*CW231,0)</f>
        <v>0</v>
      </c>
      <c r="EN231" s="28" t="n">
        <f aca="false">IF(ISNUMBER(V231),V231*CX231,0)</f>
        <v>0</v>
      </c>
      <c r="EO231" s="28" t="n">
        <f aca="false">IF(ISNUMBER(Z231),Z231*CY231,0)</f>
        <v>0</v>
      </c>
      <c r="EP231" s="28" t="n">
        <f aca="false">IF(ISNUMBER(AD231),AD231*CZ231,0)</f>
        <v>0</v>
      </c>
      <c r="EQ231" s="28" t="n">
        <f aca="false">IF(ISNUMBER(AH231),AH231*DA231,0)</f>
        <v>0</v>
      </c>
      <c r="ER231" s="28" t="n">
        <f aca="false">IF(ISNUMBER(AL231),AL231*DB231,0)</f>
        <v>0</v>
      </c>
      <c r="ES231" s="28" t="n">
        <f aca="false">IF(ISNUMBER(AP231),AP231*DC231,0)</f>
        <v>0</v>
      </c>
      <c r="ET231" s="28" t="n">
        <f aca="false">IF(ISNUMBER(AT231),AT231*DD231,0)</f>
        <v>0</v>
      </c>
      <c r="EU231" s="28" t="n">
        <f aca="false">IF(ISNUMBER(AX231),AX231*DE231,0)</f>
        <v>0</v>
      </c>
      <c r="EV231" s="28" t="n">
        <f aca="false">IF(ISNUMBER(BB231),BB231*DF231,0)</f>
        <v>0</v>
      </c>
      <c r="EW231" s="28" t="n">
        <f aca="false">IF(ISNUMBER(BF231),BF231*DG231,0)</f>
        <v>0</v>
      </c>
      <c r="EX231" s="28" t="n">
        <f aca="false">IF(ISNUMBER(BJ231),BJ231*DH231,0)</f>
        <v>0</v>
      </c>
      <c r="EY231" s="28" t="n">
        <f aca="false">IF(ISNUMBER(BN231),BN231*DI231,0)</f>
        <v>0</v>
      </c>
      <c r="EZ231" s="28" t="n">
        <f aca="false">IF(ISNUMBER(BR231),BR231*DJ231,0)</f>
        <v>0</v>
      </c>
      <c r="FA231" s="28" t="n">
        <f aca="false">IF(ISNUMBER(R231),CW231,0)</f>
        <v>0</v>
      </c>
      <c r="FB231" s="28" t="n">
        <f aca="false">IF(ISNUMBER(V231),CX231,0)</f>
        <v>0</v>
      </c>
      <c r="FC231" s="28" t="n">
        <f aca="false">IF(ISNUMBER(Z231),CY231,0)</f>
        <v>0</v>
      </c>
      <c r="FD231" s="28" t="n">
        <f aca="false">IF(ISNUMBER(AD231),CZ231,0)</f>
        <v>0</v>
      </c>
      <c r="FE231" s="28" t="n">
        <f aca="false">IF(ISNUMBER(AH231),DA231,0)</f>
        <v>0</v>
      </c>
      <c r="FF231" s="28" t="n">
        <f aca="false">IF(ISNUMBER(AL231),DB231,0)</f>
        <v>0</v>
      </c>
      <c r="FG231" s="28" t="n">
        <f aca="false">IF(ISNUMBER(AP231),DC231,0)</f>
        <v>0</v>
      </c>
      <c r="FH231" s="28" t="n">
        <f aca="false">IF(ISNUMBER(AT231),DD231,0)</f>
        <v>0</v>
      </c>
      <c r="FI231" s="28" t="n">
        <f aca="false">IF(ISNUMBER(AX231),DE231,0)</f>
        <v>0</v>
      </c>
      <c r="FJ231" s="28" t="n">
        <f aca="false">IF(ISNUMBER(BB231),DF231,0)</f>
        <v>0</v>
      </c>
      <c r="FK231" s="28" t="n">
        <f aca="false">IF(ISNUMBER(BF231),DG231,0)</f>
        <v>0</v>
      </c>
      <c r="FL231" s="28" t="n">
        <f aca="false">IF(ISNUMBER(BJ231),DH231,0)</f>
        <v>0</v>
      </c>
      <c r="FM231" s="28" t="n">
        <f aca="false">IF(ISNUMBER(BN231),DI231,0)</f>
        <v>0</v>
      </c>
      <c r="FN231" s="28" t="n">
        <f aca="false">IF(ISNUMBER(BR231),DJ231,0)</f>
        <v>0</v>
      </c>
      <c r="FO231" s="28" t="str">
        <f aca="false">IFERROR(INDEX(Lists!$G$2:$G$20,MATCH($I231&amp;"|"&amp;$J231,Lists!$F$2:$F$20,0)),"")</f>
        <v>Econ Exam</v>
      </c>
    </row>
    <row r="232" customFormat="false" ht="19.5" hidden="false" customHeight="true" outlineLevel="0" collapsed="false">
      <c r="A232" s="29" t="s">
        <v>488</v>
      </c>
      <c r="B232" s="29" t="s">
        <v>489</v>
      </c>
      <c r="C232" s="30" t="s">
        <v>152</v>
      </c>
      <c r="D232" s="30" t="s">
        <v>271</v>
      </c>
      <c r="E232" s="31"/>
      <c r="F232" s="30"/>
      <c r="G232" s="30"/>
      <c r="H232" s="32" t="s">
        <v>428</v>
      </c>
      <c r="I232" s="33" t="s">
        <v>229</v>
      </c>
      <c r="J232" s="32" t="s">
        <v>25</v>
      </c>
      <c r="K232" s="34" t="str">
        <f aca="false">IF(OR(M232="",$E232=""),"",M232-$E232)</f>
        <v/>
      </c>
      <c r="L232" s="35" t="str">
        <f aca="false">IF(SUM(FA232:FN232)=0,"",SUM(EM232:EZ232)/SUM(FA232:FN232))</f>
        <v/>
      </c>
      <c r="M232" s="36" t="str">
        <f aca="false">IF(OR(L232="",FO232=""),"",IFERROR(MATCH(L232,INDEX(Boundaries!$B$2:$I$30,MATCH(FO232,Boundaries!$A$2:$A$30,0),0),1)-1,""))</f>
        <v/>
      </c>
      <c r="N232" s="37" t="str">
        <f aca="false">IF(COUNT($DY232:$EL232)&lt;2,"",INDEX($DK232:$DX232,MAX($DY232:$EL232))-INDEX($DK232:$DX232,MIN($DY232:$EL232)))</f>
        <v/>
      </c>
      <c r="O232" s="37" t="str">
        <f aca="false">IF(COUNT($DY232:$EL232)&lt;2,"",INDEX($DK232:$DX232,MAX($DY232:$EL232))-INDEX($DK232:$DX232,LARGE($DY232:$EL232,2)))</f>
        <v/>
      </c>
      <c r="P232" s="38" t="str">
        <f aca="false">IF(K232="","",IF(K232&gt;=0,"On/above target",IF(AND(N232&lt;&gt;"",N232&gt;=0.5),"Improving towards target",IF(AND(O232&lt;&gt;"",O232&lt;=-0.5),"Declining","Stable below target"))))</f>
        <v/>
      </c>
      <c r="Q232" s="39"/>
      <c r="R232" s="40" t="str">
        <f aca="false">IF(OR(Q232="",BU232=""),"",Q232/BU232*100)</f>
        <v/>
      </c>
      <c r="S232" s="41" t="str">
        <f aca="false">IF(R232="","",IFERROR(MATCH(R232,INDEX(Boundaries!$B$2:$I$30,MATCH(CI232,Boundaries!$A$2:$A$30,0),0),1)-1,""))</f>
        <v/>
      </c>
      <c r="T232" s="42" t="str">
        <f aca="false">IF(OR(S232="",$E232=""),"",S232-$E232)</f>
        <v/>
      </c>
      <c r="U232" s="39"/>
      <c r="V232" s="40" t="str">
        <f aca="false">IF(OR(U232="",BV232=""),"",U232/BV232*100)</f>
        <v/>
      </c>
      <c r="W232" s="41" t="str">
        <f aca="false">IF(V232="","",IFERROR(MATCH(V232,INDEX(Boundaries!$B$2:$I$30,MATCH(CJ232,Boundaries!$A$2:$A$30,0),0),1)-1,""))</f>
        <v/>
      </c>
      <c r="X232" s="42" t="str">
        <f aca="false">IF(OR(W232="",$E232=""),"",W232-$E232)</f>
        <v/>
      </c>
      <c r="Y232" s="39"/>
      <c r="Z232" s="40" t="str">
        <f aca="false">IF(OR(Y232="",BW232=""),"",Y232/BW232*100)</f>
        <v/>
      </c>
      <c r="AA232" s="41" t="str">
        <f aca="false">IF(Z232="","",IFERROR(MATCH(Z232,INDEX(Boundaries!$B$2:$I$30,MATCH(CK232,Boundaries!$A$2:$A$30,0),0),1)-1,""))</f>
        <v/>
      </c>
      <c r="AB232" s="42" t="str">
        <f aca="false">IF(OR(AA232="",$E232=""),"",AA232-$E232)</f>
        <v/>
      </c>
      <c r="AC232" s="39"/>
      <c r="AD232" s="40" t="str">
        <f aca="false">IF(OR(AC232="",BX232=""),"",AC232/BX232*100)</f>
        <v/>
      </c>
      <c r="AE232" s="41" t="str">
        <f aca="false">IF(AD232="","",IFERROR(MATCH(AD232,INDEX(Boundaries!$B$2:$I$30,MATCH(CL232,Boundaries!$A$2:$A$30,0),0),1)-1,""))</f>
        <v/>
      </c>
      <c r="AF232" s="42" t="str">
        <f aca="false">IF(OR(AE232="",$E232=""),"",AE232-$E232)</f>
        <v/>
      </c>
      <c r="AG232" s="39"/>
      <c r="AH232" s="40" t="str">
        <f aca="false">IF(OR(AG232="",BY232=""),"",AG232/BY232*100)</f>
        <v/>
      </c>
      <c r="AI232" s="41" t="str">
        <f aca="false">IF(AH232="","",IFERROR(MATCH(AH232,INDEX(Boundaries!$B$2:$I$30,MATCH(CM232,Boundaries!$A$2:$A$30,0),0),1)-1,""))</f>
        <v/>
      </c>
      <c r="AJ232" s="42" t="str">
        <f aca="false">IF(OR(AI232="",$E232=""),"",AI232-$E232)</f>
        <v/>
      </c>
      <c r="AK232" s="39"/>
      <c r="AL232" s="40" t="str">
        <f aca="false">IF(OR(AK232="",BZ232=""),"",AK232/BZ232*100)</f>
        <v/>
      </c>
      <c r="AM232" s="41" t="str">
        <f aca="false">IF(AL232="","",IFERROR(MATCH(AL232,INDEX(Boundaries!$B$2:$I$30,MATCH(CN232,Boundaries!$A$2:$A$30,0),0),1)-1,""))</f>
        <v/>
      </c>
      <c r="AN232" s="42" t="str">
        <f aca="false">IF(OR(AM232="",$E232=""),"",AM232-$E232)</f>
        <v/>
      </c>
      <c r="AO232" s="39"/>
      <c r="AP232" s="40" t="str">
        <f aca="false">IF(OR(AO232="",CA232=""),"",AO232/CA232*100)</f>
        <v/>
      </c>
      <c r="AQ232" s="41" t="str">
        <f aca="false">IF(AP232="","",IFERROR(MATCH(AP232,INDEX(Boundaries!$B$2:$I$30,MATCH(CO232,Boundaries!$A$2:$A$30,0),0),1)-1,""))</f>
        <v/>
      </c>
      <c r="AR232" s="42" t="str">
        <f aca="false">IF(OR(AQ232="",$E232=""),"",AQ232-$E232)</f>
        <v/>
      </c>
      <c r="AS232" s="39"/>
      <c r="AT232" s="40" t="str">
        <f aca="false">IF(OR(AS232="",CB232=""),"",AS232/CB232*100)</f>
        <v/>
      </c>
      <c r="AU232" s="41" t="str">
        <f aca="false">IF(AT232="","",IFERROR(MATCH(AT232,INDEX(Boundaries!$B$2:$I$30,MATCH(CP232,Boundaries!$A$2:$A$30,0),0),1)-1,""))</f>
        <v/>
      </c>
      <c r="AV232" s="42" t="str">
        <f aca="false">IF(OR(AU232="",$E232=""),"",AU232-$E232)</f>
        <v/>
      </c>
      <c r="AW232" s="39"/>
      <c r="AX232" s="40" t="str">
        <f aca="false">IF(OR(AW232="",CC232=""),"",AW232/CC232*100)</f>
        <v/>
      </c>
      <c r="AY232" s="41" t="str">
        <f aca="false">IF(AX232="","",IFERROR(MATCH(AX232,INDEX(Boundaries!$B$2:$I$30,MATCH(CQ232,Boundaries!$A$2:$A$30,0),0),1)-1,""))</f>
        <v/>
      </c>
      <c r="AZ232" s="42" t="str">
        <f aca="false">IF(OR(AY232="",$E232=""),"",AY232-$E232)</f>
        <v/>
      </c>
      <c r="BA232" s="39"/>
      <c r="BB232" s="40" t="str">
        <f aca="false">IF(OR(BA232="",CD232=""),"",BA232/CD232*100)</f>
        <v/>
      </c>
      <c r="BC232" s="41" t="str">
        <f aca="false">IF(BB232="","",IFERROR(MATCH(BB232,INDEX(Boundaries!$B$2:$I$30,MATCH(CR232,Boundaries!$A$2:$A$30,0),0),1)-1,""))</f>
        <v/>
      </c>
      <c r="BD232" s="42" t="str">
        <f aca="false">IF(OR(BC232="",$E232=""),"",BC232-$E232)</f>
        <v/>
      </c>
      <c r="BE232" s="39"/>
      <c r="BF232" s="40" t="str">
        <f aca="false">IF(OR(BE232="",CE232=""),"",BE232/CE232*100)</f>
        <v/>
      </c>
      <c r="BG232" s="41" t="str">
        <f aca="false">IF(BF232="","",IFERROR(MATCH(BF232,INDEX(Boundaries!$B$2:$I$30,MATCH(CS232,Boundaries!$A$2:$A$30,0),0),1)-1,""))</f>
        <v/>
      </c>
      <c r="BH232" s="42" t="str">
        <f aca="false">IF(OR(BG232="",$E232=""),"",BG232-$E232)</f>
        <v/>
      </c>
      <c r="BI232" s="39"/>
      <c r="BJ232" s="40" t="str">
        <f aca="false">IF(OR(BI232="",CF232=""),"",BI232/CF232*100)</f>
        <v/>
      </c>
      <c r="BK232" s="41" t="str">
        <f aca="false">IF(BJ232="","",IFERROR(MATCH(BJ232,INDEX(Boundaries!$B$2:$I$30,MATCH(CT232,Boundaries!$A$2:$A$30,0),0),1)-1,""))</f>
        <v/>
      </c>
      <c r="BL232" s="42" t="str">
        <f aca="false">IF(OR(BK232="",$E232=""),"",BK232-$E232)</f>
        <v/>
      </c>
      <c r="BM232" s="39"/>
      <c r="BN232" s="40" t="str">
        <f aca="false">IF(OR(BM232="",CG232=""),"",BM232/CG232*100)</f>
        <v/>
      </c>
      <c r="BO232" s="41" t="str">
        <f aca="false">IF(BN232="","",IFERROR(MATCH(BN232,INDEX(Boundaries!$B$2:$I$30,MATCH(CU232,Boundaries!$A$2:$A$30,0),0),1)-1,""))</f>
        <v/>
      </c>
      <c r="BP232" s="42" t="str">
        <f aca="false">IF(OR(BO232="",$E232=""),"",BO232-$E232)</f>
        <v/>
      </c>
      <c r="BQ232" s="39"/>
      <c r="BR232" s="40" t="str">
        <f aca="false">IF(OR(BQ232="",CH232=""),"",BQ232/CH232*100)</f>
        <v/>
      </c>
      <c r="BS232" s="41" t="str">
        <f aca="false">IF(BR232="","",IFERROR(MATCH(BR232,INDEX(Boundaries!$B$2:$I$30,MATCH(CV232,Boundaries!$A$2:$A$30,0),0),1)-1,""))</f>
        <v/>
      </c>
      <c r="BT232" s="42" t="str">
        <f aca="false">IF(OR(BS232="",$E232=""),"",BS232-$E232)</f>
        <v/>
      </c>
      <c r="BU232" s="28" t="n">
        <f aca="false">IFERROR(INDEX(Assessments!$H$2:$H$600,MATCH($H232&amp;"|"&amp;$I232&amp;"|"&amp;$J232&amp;"|"&amp;1,Assessments!$A$2:$A$600,0)),"")</f>
        <v>25</v>
      </c>
      <c r="BV232" s="28" t="n">
        <f aca="false">IFERROR(INDEX(Assessments!$H$2:$H$600,MATCH($H232&amp;"|"&amp;$I232&amp;"|"&amp;$J232&amp;"|"&amp;2,Assessments!$A$2:$A$600,0)),"")</f>
        <v>24</v>
      </c>
      <c r="BW232" s="28" t="n">
        <f aca="false">IFERROR(INDEX(Assessments!$H$2:$H$600,MATCH($H232&amp;"|"&amp;$I232&amp;"|"&amp;$J232&amp;"|"&amp;3,Assessments!$A$2:$A$600,0)),"")</f>
        <v>25</v>
      </c>
      <c r="BX232" s="28" t="n">
        <f aca="false">IFERROR(INDEX(Assessments!$H$2:$H$600,MATCH($H232&amp;"|"&amp;$I232&amp;"|"&amp;$J232&amp;"|"&amp;4,Assessments!$A$2:$A$600,0)),"")</f>
        <v>35</v>
      </c>
      <c r="BY232" s="28" t="n">
        <f aca="false">IFERROR(INDEX(Assessments!$H$2:$H$600,MATCH($H232&amp;"|"&amp;$I232&amp;"|"&amp;$J232&amp;"|"&amp;5,Assessments!$A$2:$A$600,0)),"")</f>
        <v>55</v>
      </c>
      <c r="BZ232" s="28" t="n">
        <f aca="false">IFERROR(INDEX(Assessments!$H$2:$H$600,MATCH($H232&amp;"|"&amp;$I232&amp;"|"&amp;$J232&amp;"|"&amp;6,Assessments!$A$2:$A$600,0)),"")</f>
        <v>28</v>
      </c>
      <c r="CA232" s="28" t="n">
        <f aca="false">IFERROR(INDEX(Assessments!$H$2:$H$600,MATCH($H232&amp;"|"&amp;$I232&amp;"|"&amp;$J232&amp;"|"&amp;7,Assessments!$A$2:$A$600,0)),"")</f>
        <v>95</v>
      </c>
      <c r="CB232" s="28" t="str">
        <f aca="false">IFERROR(INDEX(Assessments!$H$2:$H$600,MATCH($H232&amp;"|"&amp;$I232&amp;"|"&amp;$J232&amp;"|"&amp;8,Assessments!$A$2:$A$600,0)),"")</f>
        <v/>
      </c>
      <c r="CC232" s="28" t="str">
        <f aca="false">IFERROR(INDEX(Assessments!$H$2:$H$600,MATCH($H232&amp;"|"&amp;$I232&amp;"|"&amp;$J232&amp;"|"&amp;9,Assessments!$A$2:$A$600,0)),"")</f>
        <v/>
      </c>
      <c r="CD232" s="28" t="str">
        <f aca="false">IFERROR(INDEX(Assessments!$H$2:$H$600,MATCH($H232&amp;"|"&amp;$I232&amp;"|"&amp;$J232&amp;"|"&amp;10,Assessments!$A$2:$A$600,0)),"")</f>
        <v/>
      </c>
      <c r="CE232" s="28" t="str">
        <f aca="false">IFERROR(INDEX(Assessments!$H$2:$H$600,MATCH($H232&amp;"|"&amp;$I232&amp;"|"&amp;$J232&amp;"|"&amp;11,Assessments!$A$2:$A$600,0)),"")</f>
        <v/>
      </c>
      <c r="CF232" s="28" t="str">
        <f aca="false">IFERROR(INDEX(Assessments!$H$2:$H$600,MATCH($H232&amp;"|"&amp;$I232&amp;"|"&amp;$J232&amp;"|"&amp;12,Assessments!$A$2:$A$600,0)),"")</f>
        <v/>
      </c>
      <c r="CG232" s="28" t="str">
        <f aca="false">IFERROR(INDEX(Assessments!$H$2:$H$600,MATCH($H232&amp;"|"&amp;$I232&amp;"|"&amp;$J232&amp;"|"&amp;13,Assessments!$A$2:$A$600,0)),"")</f>
        <v/>
      </c>
      <c r="CH232" s="28" t="str">
        <f aca="false">IFERROR(INDEX(Assessments!$H$2:$H$600,MATCH($H232&amp;"|"&amp;$I232&amp;"|"&amp;$J232&amp;"|"&amp;14,Assessments!$A$2:$A$600,0)),"")</f>
        <v/>
      </c>
      <c r="CI232" s="28" t="str">
        <f aca="false">IFERROR(INDEX(Assessments!$I$2:$I$600,MATCH($H232&amp;"|"&amp;$I232&amp;"|"&amp;$J232&amp;"|"&amp;1,Assessments!$A$2:$A$600,0)),"")</f>
        <v>Econ Test</v>
      </c>
      <c r="CJ232" s="28" t="str">
        <f aca="false">IFERROR(INDEX(Assessments!$I$2:$I$600,MATCH($H232&amp;"|"&amp;$I232&amp;"|"&amp;$J232&amp;"|"&amp;2,Assessments!$A$2:$A$600,0)),"")</f>
        <v>Econ Test</v>
      </c>
      <c r="CK232" s="28" t="str">
        <f aca="false">IFERROR(INDEX(Assessments!$I$2:$I$600,MATCH($H232&amp;"|"&amp;$I232&amp;"|"&amp;$J232&amp;"|"&amp;3,Assessments!$A$2:$A$600,0)),"")</f>
        <v>Econ Test</v>
      </c>
      <c r="CL232" s="28" t="str">
        <f aca="false">IFERROR(INDEX(Assessments!$I$2:$I$600,MATCH($H232&amp;"|"&amp;$I232&amp;"|"&amp;$J232&amp;"|"&amp;4,Assessments!$A$2:$A$600,0)),"")</f>
        <v>Econ Test</v>
      </c>
      <c r="CM232" s="28" t="str">
        <f aca="false">IFERROR(INDEX(Assessments!$I$2:$I$600,MATCH($H232&amp;"|"&amp;$I232&amp;"|"&amp;$J232&amp;"|"&amp;5,Assessments!$A$2:$A$600,0)),"")</f>
        <v>Econ Exam</v>
      </c>
      <c r="CN232" s="28" t="str">
        <f aca="false">IFERROR(INDEX(Assessments!$I$2:$I$600,MATCH($H232&amp;"|"&amp;$I232&amp;"|"&amp;$J232&amp;"|"&amp;6,Assessments!$A$2:$A$600,0)),"")</f>
        <v>Econ Test</v>
      </c>
      <c r="CO232" s="28" t="str">
        <f aca="false">IFERROR(INDEX(Assessments!$I$2:$I$600,MATCH($H232&amp;"|"&amp;$I232&amp;"|"&amp;$J232&amp;"|"&amp;7,Assessments!$A$2:$A$600,0)),"")</f>
        <v>Econ Exam</v>
      </c>
      <c r="CP232" s="28" t="str">
        <f aca="false">IFERROR(INDEX(Assessments!$I$2:$I$600,MATCH($H232&amp;"|"&amp;$I232&amp;"|"&amp;$J232&amp;"|"&amp;8,Assessments!$A$2:$A$600,0)),"")</f>
        <v/>
      </c>
      <c r="CQ232" s="28" t="str">
        <f aca="false">IFERROR(INDEX(Assessments!$I$2:$I$600,MATCH($H232&amp;"|"&amp;$I232&amp;"|"&amp;$J232&amp;"|"&amp;9,Assessments!$A$2:$A$600,0)),"")</f>
        <v/>
      </c>
      <c r="CR232" s="28" t="str">
        <f aca="false">IFERROR(INDEX(Assessments!$I$2:$I$600,MATCH($H232&amp;"|"&amp;$I232&amp;"|"&amp;$J232&amp;"|"&amp;10,Assessments!$A$2:$A$600,0)),"")</f>
        <v/>
      </c>
      <c r="CS232" s="28" t="str">
        <f aca="false">IFERROR(INDEX(Assessments!$I$2:$I$600,MATCH($H232&amp;"|"&amp;$I232&amp;"|"&amp;$J232&amp;"|"&amp;11,Assessments!$A$2:$A$600,0)),"")</f>
        <v/>
      </c>
      <c r="CT232" s="28" t="str">
        <f aca="false">IFERROR(INDEX(Assessments!$I$2:$I$600,MATCH($H232&amp;"|"&amp;$I232&amp;"|"&amp;$J232&amp;"|"&amp;12,Assessments!$A$2:$A$600,0)),"")</f>
        <v/>
      </c>
      <c r="CU232" s="28" t="str">
        <f aca="false">IFERROR(INDEX(Assessments!$I$2:$I$600,MATCH($H232&amp;"|"&amp;$I232&amp;"|"&amp;$J232&amp;"|"&amp;13,Assessments!$A$2:$A$600,0)),"")</f>
        <v/>
      </c>
      <c r="CV232" s="28" t="str">
        <f aca="false">IFERROR(INDEX(Assessments!$I$2:$I$600,MATCH($H232&amp;"|"&amp;$I232&amp;"|"&amp;$J232&amp;"|"&amp;14,Assessments!$A$2:$A$600,0)),"")</f>
        <v/>
      </c>
      <c r="CW232" s="28" t="n">
        <f aca="false">IFERROR(INDEX(Assessments!$J$2:$J$600,MATCH($H232&amp;"|"&amp;$I232&amp;"|"&amp;$J232&amp;"|"&amp;1,Assessments!$A$2:$A$600,0)),0)</f>
        <v>1</v>
      </c>
      <c r="CX232" s="28" t="n">
        <f aca="false">IFERROR(INDEX(Assessments!$J$2:$J$600,MATCH($H232&amp;"|"&amp;$I232&amp;"|"&amp;$J232&amp;"|"&amp;2,Assessments!$A$2:$A$600,0)),0)</f>
        <v>1</v>
      </c>
      <c r="CY232" s="28" t="n">
        <f aca="false">IFERROR(INDEX(Assessments!$J$2:$J$600,MATCH($H232&amp;"|"&amp;$I232&amp;"|"&amp;$J232&amp;"|"&amp;3,Assessments!$A$2:$A$600,0)),0)</f>
        <v>1</v>
      </c>
      <c r="CZ232" s="28" t="n">
        <f aca="false">IFERROR(INDEX(Assessments!$J$2:$J$600,MATCH($H232&amp;"|"&amp;$I232&amp;"|"&amp;$J232&amp;"|"&amp;4,Assessments!$A$2:$A$600,0)),0)</f>
        <v>1</v>
      </c>
      <c r="DA232" s="28" t="n">
        <f aca="false">IFERROR(INDEX(Assessments!$J$2:$J$600,MATCH($H232&amp;"|"&amp;$I232&amp;"|"&amp;$J232&amp;"|"&amp;5,Assessments!$A$2:$A$600,0)),0)</f>
        <v>2</v>
      </c>
      <c r="DB232" s="28" t="n">
        <f aca="false">IFERROR(INDEX(Assessments!$J$2:$J$600,MATCH($H232&amp;"|"&amp;$I232&amp;"|"&amp;$J232&amp;"|"&amp;6,Assessments!$A$2:$A$600,0)),0)</f>
        <v>1</v>
      </c>
      <c r="DC232" s="28" t="n">
        <f aca="false">IFERROR(INDEX(Assessments!$J$2:$J$600,MATCH($H232&amp;"|"&amp;$I232&amp;"|"&amp;$J232&amp;"|"&amp;7,Assessments!$A$2:$A$600,0)),0)</f>
        <v>2</v>
      </c>
      <c r="DD232" s="28" t="n">
        <f aca="false">IFERROR(INDEX(Assessments!$J$2:$J$600,MATCH($H232&amp;"|"&amp;$I232&amp;"|"&amp;$J232&amp;"|"&amp;8,Assessments!$A$2:$A$600,0)),0)</f>
        <v>0</v>
      </c>
      <c r="DE232" s="28" t="n">
        <f aca="false">IFERROR(INDEX(Assessments!$J$2:$J$600,MATCH($H232&amp;"|"&amp;$I232&amp;"|"&amp;$J232&amp;"|"&amp;9,Assessments!$A$2:$A$600,0)),0)</f>
        <v>0</v>
      </c>
      <c r="DF232" s="28" t="n">
        <f aca="false">IFERROR(INDEX(Assessments!$J$2:$J$600,MATCH($H232&amp;"|"&amp;$I232&amp;"|"&amp;$J232&amp;"|"&amp;10,Assessments!$A$2:$A$600,0)),0)</f>
        <v>0</v>
      </c>
      <c r="DG232" s="28" t="n">
        <f aca="false">IFERROR(INDEX(Assessments!$J$2:$J$600,MATCH($H232&amp;"|"&amp;$I232&amp;"|"&amp;$J232&amp;"|"&amp;11,Assessments!$A$2:$A$600,0)),0)</f>
        <v>0</v>
      </c>
      <c r="DH232" s="28" t="n">
        <f aca="false">IFERROR(INDEX(Assessments!$J$2:$J$600,MATCH($H232&amp;"|"&amp;$I232&amp;"|"&amp;$J232&amp;"|"&amp;12,Assessments!$A$2:$A$600,0)),0)</f>
        <v>0</v>
      </c>
      <c r="DI232" s="28" t="n">
        <f aca="false">IFERROR(INDEX(Assessments!$J$2:$J$600,MATCH($H232&amp;"|"&amp;$I232&amp;"|"&amp;$J232&amp;"|"&amp;13,Assessments!$A$2:$A$600,0)),0)</f>
        <v>0</v>
      </c>
      <c r="DJ232" s="28" t="n">
        <f aca="false">IFERROR(INDEX(Assessments!$J$2:$J$600,MATCH($H232&amp;"|"&amp;$I232&amp;"|"&amp;$J232&amp;"|"&amp;14,Assessments!$A$2:$A$600,0)),0)</f>
        <v>0</v>
      </c>
      <c r="DK232" s="28" t="str">
        <f aca="false">S232</f>
        <v/>
      </c>
      <c r="DL232" s="28" t="str">
        <f aca="false">W232</f>
        <v/>
      </c>
      <c r="DM232" s="28" t="str">
        <f aca="false">AA232</f>
        <v/>
      </c>
      <c r="DN232" s="28" t="str">
        <f aca="false">AE232</f>
        <v/>
      </c>
      <c r="DO232" s="28" t="str">
        <f aca="false">AI232</f>
        <v/>
      </c>
      <c r="DP232" s="28" t="str">
        <f aca="false">AM232</f>
        <v/>
      </c>
      <c r="DQ232" s="28" t="str">
        <f aca="false">AQ232</f>
        <v/>
      </c>
      <c r="DR232" s="28" t="str">
        <f aca="false">AU232</f>
        <v/>
      </c>
      <c r="DS232" s="28" t="str">
        <f aca="false">AY232</f>
        <v/>
      </c>
      <c r="DT232" s="28" t="str">
        <f aca="false">BC232</f>
        <v/>
      </c>
      <c r="DU232" s="28" t="str">
        <f aca="false">BG232</f>
        <v/>
      </c>
      <c r="DV232" s="28" t="str">
        <f aca="false">BK232</f>
        <v/>
      </c>
      <c r="DW232" s="28" t="str">
        <f aca="false">BO232</f>
        <v/>
      </c>
      <c r="DX232" s="28" t="str">
        <f aca="false">BS232</f>
        <v/>
      </c>
      <c r="DY232" s="28" t="str">
        <f aca="false">IF(ISNUMBER(S232),1,"")</f>
        <v/>
      </c>
      <c r="DZ232" s="28" t="str">
        <f aca="false">IF(ISNUMBER(W232),2,"")</f>
        <v/>
      </c>
      <c r="EA232" s="28" t="str">
        <f aca="false">IF(ISNUMBER(AA232),3,"")</f>
        <v/>
      </c>
      <c r="EB232" s="28" t="str">
        <f aca="false">IF(ISNUMBER(AE232),4,"")</f>
        <v/>
      </c>
      <c r="EC232" s="28" t="str">
        <f aca="false">IF(ISNUMBER(AI232),5,"")</f>
        <v/>
      </c>
      <c r="ED232" s="28" t="str">
        <f aca="false">IF(ISNUMBER(AM232),6,"")</f>
        <v/>
      </c>
      <c r="EE232" s="28" t="str">
        <f aca="false">IF(ISNUMBER(AQ232),7,"")</f>
        <v/>
      </c>
      <c r="EF232" s="28" t="str">
        <f aca="false">IF(ISNUMBER(AU232),8,"")</f>
        <v/>
      </c>
      <c r="EG232" s="28" t="str">
        <f aca="false">IF(ISNUMBER(AY232),9,"")</f>
        <v/>
      </c>
      <c r="EH232" s="28" t="str">
        <f aca="false">IF(ISNUMBER(BC232),10,"")</f>
        <v/>
      </c>
      <c r="EI232" s="28" t="str">
        <f aca="false">IF(ISNUMBER(BG232),11,"")</f>
        <v/>
      </c>
      <c r="EJ232" s="28" t="str">
        <f aca="false">IF(ISNUMBER(BK232),12,"")</f>
        <v/>
      </c>
      <c r="EK232" s="28" t="str">
        <f aca="false">IF(ISNUMBER(BO232),13,"")</f>
        <v/>
      </c>
      <c r="EL232" s="28" t="str">
        <f aca="false">IF(ISNUMBER(BS232),14,"")</f>
        <v/>
      </c>
      <c r="EM232" s="28" t="n">
        <f aca="false">IF(ISNUMBER(R232),R232*CW232,0)</f>
        <v>0</v>
      </c>
      <c r="EN232" s="28" t="n">
        <f aca="false">IF(ISNUMBER(V232),V232*CX232,0)</f>
        <v>0</v>
      </c>
      <c r="EO232" s="28" t="n">
        <f aca="false">IF(ISNUMBER(Z232),Z232*CY232,0)</f>
        <v>0</v>
      </c>
      <c r="EP232" s="28" t="n">
        <f aca="false">IF(ISNUMBER(AD232),AD232*CZ232,0)</f>
        <v>0</v>
      </c>
      <c r="EQ232" s="28" t="n">
        <f aca="false">IF(ISNUMBER(AH232),AH232*DA232,0)</f>
        <v>0</v>
      </c>
      <c r="ER232" s="28" t="n">
        <f aca="false">IF(ISNUMBER(AL232),AL232*DB232,0)</f>
        <v>0</v>
      </c>
      <c r="ES232" s="28" t="n">
        <f aca="false">IF(ISNUMBER(AP232),AP232*DC232,0)</f>
        <v>0</v>
      </c>
      <c r="ET232" s="28" t="n">
        <f aca="false">IF(ISNUMBER(AT232),AT232*DD232,0)</f>
        <v>0</v>
      </c>
      <c r="EU232" s="28" t="n">
        <f aca="false">IF(ISNUMBER(AX232),AX232*DE232,0)</f>
        <v>0</v>
      </c>
      <c r="EV232" s="28" t="n">
        <f aca="false">IF(ISNUMBER(BB232),BB232*DF232,0)</f>
        <v>0</v>
      </c>
      <c r="EW232" s="28" t="n">
        <f aca="false">IF(ISNUMBER(BF232),BF232*DG232,0)</f>
        <v>0</v>
      </c>
      <c r="EX232" s="28" t="n">
        <f aca="false">IF(ISNUMBER(BJ232),BJ232*DH232,0)</f>
        <v>0</v>
      </c>
      <c r="EY232" s="28" t="n">
        <f aca="false">IF(ISNUMBER(BN232),BN232*DI232,0)</f>
        <v>0</v>
      </c>
      <c r="EZ232" s="28" t="n">
        <f aca="false">IF(ISNUMBER(BR232),BR232*DJ232,0)</f>
        <v>0</v>
      </c>
      <c r="FA232" s="28" t="n">
        <f aca="false">IF(ISNUMBER(R232),CW232,0)</f>
        <v>0</v>
      </c>
      <c r="FB232" s="28" t="n">
        <f aca="false">IF(ISNUMBER(V232),CX232,0)</f>
        <v>0</v>
      </c>
      <c r="FC232" s="28" t="n">
        <f aca="false">IF(ISNUMBER(Z232),CY232,0)</f>
        <v>0</v>
      </c>
      <c r="FD232" s="28" t="n">
        <f aca="false">IF(ISNUMBER(AD232),CZ232,0)</f>
        <v>0</v>
      </c>
      <c r="FE232" s="28" t="n">
        <f aca="false">IF(ISNUMBER(AH232),DA232,0)</f>
        <v>0</v>
      </c>
      <c r="FF232" s="28" t="n">
        <f aca="false">IF(ISNUMBER(AL232),DB232,0)</f>
        <v>0</v>
      </c>
      <c r="FG232" s="28" t="n">
        <f aca="false">IF(ISNUMBER(AP232),DC232,0)</f>
        <v>0</v>
      </c>
      <c r="FH232" s="28" t="n">
        <f aca="false">IF(ISNUMBER(AT232),DD232,0)</f>
        <v>0</v>
      </c>
      <c r="FI232" s="28" t="n">
        <f aca="false">IF(ISNUMBER(AX232),DE232,0)</f>
        <v>0</v>
      </c>
      <c r="FJ232" s="28" t="n">
        <f aca="false">IF(ISNUMBER(BB232),DF232,0)</f>
        <v>0</v>
      </c>
      <c r="FK232" s="28" t="n">
        <f aca="false">IF(ISNUMBER(BF232),DG232,0)</f>
        <v>0</v>
      </c>
      <c r="FL232" s="28" t="n">
        <f aca="false">IF(ISNUMBER(BJ232),DH232,0)</f>
        <v>0</v>
      </c>
      <c r="FM232" s="28" t="n">
        <f aca="false">IF(ISNUMBER(BN232),DI232,0)</f>
        <v>0</v>
      </c>
      <c r="FN232" s="28" t="n">
        <f aca="false">IF(ISNUMBER(BR232),DJ232,0)</f>
        <v>0</v>
      </c>
      <c r="FO232" s="28" t="str">
        <f aca="false">IFERROR(INDEX(Lists!$G$2:$G$20,MATCH($I232&amp;"|"&amp;$J232,Lists!$F$2:$F$20,0)),"")</f>
        <v>Econ Exam</v>
      </c>
    </row>
    <row r="233" customFormat="false" ht="19.5" hidden="false" customHeight="true" outlineLevel="0" collapsed="false">
      <c r="A233" s="29" t="s">
        <v>433</v>
      </c>
      <c r="B233" s="29" t="s">
        <v>490</v>
      </c>
      <c r="C233" s="30" t="s">
        <v>152</v>
      </c>
      <c r="D233" s="30" t="s">
        <v>271</v>
      </c>
      <c r="E233" s="31"/>
      <c r="F233" s="30"/>
      <c r="G233" s="30"/>
      <c r="H233" s="32" t="s">
        <v>428</v>
      </c>
      <c r="I233" s="33" t="s">
        <v>229</v>
      </c>
      <c r="J233" s="32" t="s">
        <v>25</v>
      </c>
      <c r="K233" s="34" t="str">
        <f aca="false">IF(OR(M233="",$E233=""),"",M233-$E233)</f>
        <v/>
      </c>
      <c r="L233" s="35" t="str">
        <f aca="false">IF(SUM(FA233:FN233)=0,"",SUM(EM233:EZ233)/SUM(FA233:FN233))</f>
        <v/>
      </c>
      <c r="M233" s="36" t="str">
        <f aca="false">IF(OR(L233="",FO233=""),"",IFERROR(MATCH(L233,INDEX(Boundaries!$B$2:$I$30,MATCH(FO233,Boundaries!$A$2:$A$30,0),0),1)-1,""))</f>
        <v/>
      </c>
      <c r="N233" s="37" t="str">
        <f aca="false">IF(COUNT($DY233:$EL233)&lt;2,"",INDEX($DK233:$DX233,MAX($DY233:$EL233))-INDEX($DK233:$DX233,MIN($DY233:$EL233)))</f>
        <v/>
      </c>
      <c r="O233" s="37" t="str">
        <f aca="false">IF(COUNT($DY233:$EL233)&lt;2,"",INDEX($DK233:$DX233,MAX($DY233:$EL233))-INDEX($DK233:$DX233,LARGE($DY233:$EL233,2)))</f>
        <v/>
      </c>
      <c r="P233" s="38" t="str">
        <f aca="false">IF(K233="","",IF(K233&gt;=0,"On/above target",IF(AND(N233&lt;&gt;"",N233&gt;=0.5),"Improving towards target",IF(AND(O233&lt;&gt;"",O233&lt;=-0.5),"Declining","Stable below target"))))</f>
        <v/>
      </c>
      <c r="Q233" s="39"/>
      <c r="R233" s="40" t="str">
        <f aca="false">IF(OR(Q233="",BU233=""),"",Q233/BU233*100)</f>
        <v/>
      </c>
      <c r="S233" s="41" t="str">
        <f aca="false">IF(R233="","",IFERROR(MATCH(R233,INDEX(Boundaries!$B$2:$I$30,MATCH(CI233,Boundaries!$A$2:$A$30,0),0),1)-1,""))</f>
        <v/>
      </c>
      <c r="T233" s="42" t="str">
        <f aca="false">IF(OR(S233="",$E233=""),"",S233-$E233)</f>
        <v/>
      </c>
      <c r="U233" s="39"/>
      <c r="V233" s="40" t="str">
        <f aca="false">IF(OR(U233="",BV233=""),"",U233/BV233*100)</f>
        <v/>
      </c>
      <c r="W233" s="41" t="str">
        <f aca="false">IF(V233="","",IFERROR(MATCH(V233,INDEX(Boundaries!$B$2:$I$30,MATCH(CJ233,Boundaries!$A$2:$A$30,0),0),1)-1,""))</f>
        <v/>
      </c>
      <c r="X233" s="42" t="str">
        <f aca="false">IF(OR(W233="",$E233=""),"",W233-$E233)</f>
        <v/>
      </c>
      <c r="Y233" s="39"/>
      <c r="Z233" s="40" t="str">
        <f aca="false">IF(OR(Y233="",BW233=""),"",Y233/BW233*100)</f>
        <v/>
      </c>
      <c r="AA233" s="41" t="str">
        <f aca="false">IF(Z233="","",IFERROR(MATCH(Z233,INDEX(Boundaries!$B$2:$I$30,MATCH(CK233,Boundaries!$A$2:$A$30,0),0),1)-1,""))</f>
        <v/>
      </c>
      <c r="AB233" s="42" t="str">
        <f aca="false">IF(OR(AA233="",$E233=""),"",AA233-$E233)</f>
        <v/>
      </c>
      <c r="AC233" s="39"/>
      <c r="AD233" s="40" t="str">
        <f aca="false">IF(OR(AC233="",BX233=""),"",AC233/BX233*100)</f>
        <v/>
      </c>
      <c r="AE233" s="41" t="str">
        <f aca="false">IF(AD233="","",IFERROR(MATCH(AD233,INDEX(Boundaries!$B$2:$I$30,MATCH(CL233,Boundaries!$A$2:$A$30,0),0),1)-1,""))</f>
        <v/>
      </c>
      <c r="AF233" s="42" t="str">
        <f aca="false">IF(OR(AE233="",$E233=""),"",AE233-$E233)</f>
        <v/>
      </c>
      <c r="AG233" s="39"/>
      <c r="AH233" s="40" t="str">
        <f aca="false">IF(OR(AG233="",BY233=""),"",AG233/BY233*100)</f>
        <v/>
      </c>
      <c r="AI233" s="41" t="str">
        <f aca="false">IF(AH233="","",IFERROR(MATCH(AH233,INDEX(Boundaries!$B$2:$I$30,MATCH(CM233,Boundaries!$A$2:$A$30,0),0),1)-1,""))</f>
        <v/>
      </c>
      <c r="AJ233" s="42" t="str">
        <f aca="false">IF(OR(AI233="",$E233=""),"",AI233-$E233)</f>
        <v/>
      </c>
      <c r="AK233" s="39"/>
      <c r="AL233" s="40" t="str">
        <f aca="false">IF(OR(AK233="",BZ233=""),"",AK233/BZ233*100)</f>
        <v/>
      </c>
      <c r="AM233" s="41" t="str">
        <f aca="false">IF(AL233="","",IFERROR(MATCH(AL233,INDEX(Boundaries!$B$2:$I$30,MATCH(CN233,Boundaries!$A$2:$A$30,0),0),1)-1,""))</f>
        <v/>
      </c>
      <c r="AN233" s="42" t="str">
        <f aca="false">IF(OR(AM233="",$E233=""),"",AM233-$E233)</f>
        <v/>
      </c>
      <c r="AO233" s="39"/>
      <c r="AP233" s="40" t="str">
        <f aca="false">IF(OR(AO233="",CA233=""),"",AO233/CA233*100)</f>
        <v/>
      </c>
      <c r="AQ233" s="41" t="str">
        <f aca="false">IF(AP233="","",IFERROR(MATCH(AP233,INDEX(Boundaries!$B$2:$I$30,MATCH(CO233,Boundaries!$A$2:$A$30,0),0),1)-1,""))</f>
        <v/>
      </c>
      <c r="AR233" s="42" t="str">
        <f aca="false">IF(OR(AQ233="",$E233=""),"",AQ233-$E233)</f>
        <v/>
      </c>
      <c r="AS233" s="39"/>
      <c r="AT233" s="40" t="str">
        <f aca="false">IF(OR(AS233="",CB233=""),"",AS233/CB233*100)</f>
        <v/>
      </c>
      <c r="AU233" s="41" t="str">
        <f aca="false">IF(AT233="","",IFERROR(MATCH(AT233,INDEX(Boundaries!$B$2:$I$30,MATCH(CP233,Boundaries!$A$2:$A$30,0),0),1)-1,""))</f>
        <v/>
      </c>
      <c r="AV233" s="42" t="str">
        <f aca="false">IF(OR(AU233="",$E233=""),"",AU233-$E233)</f>
        <v/>
      </c>
      <c r="AW233" s="39"/>
      <c r="AX233" s="40" t="str">
        <f aca="false">IF(OR(AW233="",CC233=""),"",AW233/CC233*100)</f>
        <v/>
      </c>
      <c r="AY233" s="41" t="str">
        <f aca="false">IF(AX233="","",IFERROR(MATCH(AX233,INDEX(Boundaries!$B$2:$I$30,MATCH(CQ233,Boundaries!$A$2:$A$30,0),0),1)-1,""))</f>
        <v/>
      </c>
      <c r="AZ233" s="42" t="str">
        <f aca="false">IF(OR(AY233="",$E233=""),"",AY233-$E233)</f>
        <v/>
      </c>
      <c r="BA233" s="39"/>
      <c r="BB233" s="40" t="str">
        <f aca="false">IF(OR(BA233="",CD233=""),"",BA233/CD233*100)</f>
        <v/>
      </c>
      <c r="BC233" s="41" t="str">
        <f aca="false">IF(BB233="","",IFERROR(MATCH(BB233,INDEX(Boundaries!$B$2:$I$30,MATCH(CR233,Boundaries!$A$2:$A$30,0),0),1)-1,""))</f>
        <v/>
      </c>
      <c r="BD233" s="42" t="str">
        <f aca="false">IF(OR(BC233="",$E233=""),"",BC233-$E233)</f>
        <v/>
      </c>
      <c r="BE233" s="39"/>
      <c r="BF233" s="40" t="str">
        <f aca="false">IF(OR(BE233="",CE233=""),"",BE233/CE233*100)</f>
        <v/>
      </c>
      <c r="BG233" s="41" t="str">
        <f aca="false">IF(BF233="","",IFERROR(MATCH(BF233,INDEX(Boundaries!$B$2:$I$30,MATCH(CS233,Boundaries!$A$2:$A$30,0),0),1)-1,""))</f>
        <v/>
      </c>
      <c r="BH233" s="42" t="str">
        <f aca="false">IF(OR(BG233="",$E233=""),"",BG233-$E233)</f>
        <v/>
      </c>
      <c r="BI233" s="39"/>
      <c r="BJ233" s="40" t="str">
        <f aca="false">IF(OR(BI233="",CF233=""),"",BI233/CF233*100)</f>
        <v/>
      </c>
      <c r="BK233" s="41" t="str">
        <f aca="false">IF(BJ233="","",IFERROR(MATCH(BJ233,INDEX(Boundaries!$B$2:$I$30,MATCH(CT233,Boundaries!$A$2:$A$30,0),0),1)-1,""))</f>
        <v/>
      </c>
      <c r="BL233" s="42" t="str">
        <f aca="false">IF(OR(BK233="",$E233=""),"",BK233-$E233)</f>
        <v/>
      </c>
      <c r="BM233" s="39"/>
      <c r="BN233" s="40" t="str">
        <f aca="false">IF(OR(BM233="",CG233=""),"",BM233/CG233*100)</f>
        <v/>
      </c>
      <c r="BO233" s="41" t="str">
        <f aca="false">IF(BN233="","",IFERROR(MATCH(BN233,INDEX(Boundaries!$B$2:$I$30,MATCH(CU233,Boundaries!$A$2:$A$30,0),0),1)-1,""))</f>
        <v/>
      </c>
      <c r="BP233" s="42" t="str">
        <f aca="false">IF(OR(BO233="",$E233=""),"",BO233-$E233)</f>
        <v/>
      </c>
      <c r="BQ233" s="39"/>
      <c r="BR233" s="40" t="str">
        <f aca="false">IF(OR(BQ233="",CH233=""),"",BQ233/CH233*100)</f>
        <v/>
      </c>
      <c r="BS233" s="41" t="str">
        <f aca="false">IF(BR233="","",IFERROR(MATCH(BR233,INDEX(Boundaries!$B$2:$I$30,MATCH(CV233,Boundaries!$A$2:$A$30,0),0),1)-1,""))</f>
        <v/>
      </c>
      <c r="BT233" s="42" t="str">
        <f aca="false">IF(OR(BS233="",$E233=""),"",BS233-$E233)</f>
        <v/>
      </c>
      <c r="BU233" s="28" t="n">
        <f aca="false">IFERROR(INDEX(Assessments!$H$2:$H$600,MATCH($H233&amp;"|"&amp;$I233&amp;"|"&amp;$J233&amp;"|"&amp;1,Assessments!$A$2:$A$600,0)),"")</f>
        <v>25</v>
      </c>
      <c r="BV233" s="28" t="n">
        <f aca="false">IFERROR(INDEX(Assessments!$H$2:$H$600,MATCH($H233&amp;"|"&amp;$I233&amp;"|"&amp;$J233&amp;"|"&amp;2,Assessments!$A$2:$A$600,0)),"")</f>
        <v>24</v>
      </c>
      <c r="BW233" s="28" t="n">
        <f aca="false">IFERROR(INDEX(Assessments!$H$2:$H$600,MATCH($H233&amp;"|"&amp;$I233&amp;"|"&amp;$J233&amp;"|"&amp;3,Assessments!$A$2:$A$600,0)),"")</f>
        <v>25</v>
      </c>
      <c r="BX233" s="28" t="n">
        <f aca="false">IFERROR(INDEX(Assessments!$H$2:$H$600,MATCH($H233&amp;"|"&amp;$I233&amp;"|"&amp;$J233&amp;"|"&amp;4,Assessments!$A$2:$A$600,0)),"")</f>
        <v>35</v>
      </c>
      <c r="BY233" s="28" t="n">
        <f aca="false">IFERROR(INDEX(Assessments!$H$2:$H$600,MATCH($H233&amp;"|"&amp;$I233&amp;"|"&amp;$J233&amp;"|"&amp;5,Assessments!$A$2:$A$600,0)),"")</f>
        <v>55</v>
      </c>
      <c r="BZ233" s="28" t="n">
        <f aca="false">IFERROR(INDEX(Assessments!$H$2:$H$600,MATCH($H233&amp;"|"&amp;$I233&amp;"|"&amp;$J233&amp;"|"&amp;6,Assessments!$A$2:$A$600,0)),"")</f>
        <v>28</v>
      </c>
      <c r="CA233" s="28" t="n">
        <f aca="false">IFERROR(INDEX(Assessments!$H$2:$H$600,MATCH($H233&amp;"|"&amp;$I233&amp;"|"&amp;$J233&amp;"|"&amp;7,Assessments!$A$2:$A$600,0)),"")</f>
        <v>95</v>
      </c>
      <c r="CB233" s="28" t="str">
        <f aca="false">IFERROR(INDEX(Assessments!$H$2:$H$600,MATCH($H233&amp;"|"&amp;$I233&amp;"|"&amp;$J233&amp;"|"&amp;8,Assessments!$A$2:$A$600,0)),"")</f>
        <v/>
      </c>
      <c r="CC233" s="28" t="str">
        <f aca="false">IFERROR(INDEX(Assessments!$H$2:$H$600,MATCH($H233&amp;"|"&amp;$I233&amp;"|"&amp;$J233&amp;"|"&amp;9,Assessments!$A$2:$A$600,0)),"")</f>
        <v/>
      </c>
      <c r="CD233" s="28" t="str">
        <f aca="false">IFERROR(INDEX(Assessments!$H$2:$H$600,MATCH($H233&amp;"|"&amp;$I233&amp;"|"&amp;$J233&amp;"|"&amp;10,Assessments!$A$2:$A$600,0)),"")</f>
        <v/>
      </c>
      <c r="CE233" s="28" t="str">
        <f aca="false">IFERROR(INDEX(Assessments!$H$2:$H$600,MATCH($H233&amp;"|"&amp;$I233&amp;"|"&amp;$J233&amp;"|"&amp;11,Assessments!$A$2:$A$600,0)),"")</f>
        <v/>
      </c>
      <c r="CF233" s="28" t="str">
        <f aca="false">IFERROR(INDEX(Assessments!$H$2:$H$600,MATCH($H233&amp;"|"&amp;$I233&amp;"|"&amp;$J233&amp;"|"&amp;12,Assessments!$A$2:$A$600,0)),"")</f>
        <v/>
      </c>
      <c r="CG233" s="28" t="str">
        <f aca="false">IFERROR(INDEX(Assessments!$H$2:$H$600,MATCH($H233&amp;"|"&amp;$I233&amp;"|"&amp;$J233&amp;"|"&amp;13,Assessments!$A$2:$A$600,0)),"")</f>
        <v/>
      </c>
      <c r="CH233" s="28" t="str">
        <f aca="false">IFERROR(INDEX(Assessments!$H$2:$H$600,MATCH($H233&amp;"|"&amp;$I233&amp;"|"&amp;$J233&amp;"|"&amp;14,Assessments!$A$2:$A$600,0)),"")</f>
        <v/>
      </c>
      <c r="CI233" s="28" t="str">
        <f aca="false">IFERROR(INDEX(Assessments!$I$2:$I$600,MATCH($H233&amp;"|"&amp;$I233&amp;"|"&amp;$J233&amp;"|"&amp;1,Assessments!$A$2:$A$600,0)),"")</f>
        <v>Econ Test</v>
      </c>
      <c r="CJ233" s="28" t="str">
        <f aca="false">IFERROR(INDEX(Assessments!$I$2:$I$600,MATCH($H233&amp;"|"&amp;$I233&amp;"|"&amp;$J233&amp;"|"&amp;2,Assessments!$A$2:$A$600,0)),"")</f>
        <v>Econ Test</v>
      </c>
      <c r="CK233" s="28" t="str">
        <f aca="false">IFERROR(INDEX(Assessments!$I$2:$I$600,MATCH($H233&amp;"|"&amp;$I233&amp;"|"&amp;$J233&amp;"|"&amp;3,Assessments!$A$2:$A$600,0)),"")</f>
        <v>Econ Test</v>
      </c>
      <c r="CL233" s="28" t="str">
        <f aca="false">IFERROR(INDEX(Assessments!$I$2:$I$600,MATCH($H233&amp;"|"&amp;$I233&amp;"|"&amp;$J233&amp;"|"&amp;4,Assessments!$A$2:$A$600,0)),"")</f>
        <v>Econ Test</v>
      </c>
      <c r="CM233" s="28" t="str">
        <f aca="false">IFERROR(INDEX(Assessments!$I$2:$I$600,MATCH($H233&amp;"|"&amp;$I233&amp;"|"&amp;$J233&amp;"|"&amp;5,Assessments!$A$2:$A$600,0)),"")</f>
        <v>Econ Exam</v>
      </c>
      <c r="CN233" s="28" t="str">
        <f aca="false">IFERROR(INDEX(Assessments!$I$2:$I$600,MATCH($H233&amp;"|"&amp;$I233&amp;"|"&amp;$J233&amp;"|"&amp;6,Assessments!$A$2:$A$600,0)),"")</f>
        <v>Econ Test</v>
      </c>
      <c r="CO233" s="28" t="str">
        <f aca="false">IFERROR(INDEX(Assessments!$I$2:$I$600,MATCH($H233&amp;"|"&amp;$I233&amp;"|"&amp;$J233&amp;"|"&amp;7,Assessments!$A$2:$A$600,0)),"")</f>
        <v>Econ Exam</v>
      </c>
      <c r="CP233" s="28" t="str">
        <f aca="false">IFERROR(INDEX(Assessments!$I$2:$I$600,MATCH($H233&amp;"|"&amp;$I233&amp;"|"&amp;$J233&amp;"|"&amp;8,Assessments!$A$2:$A$600,0)),"")</f>
        <v/>
      </c>
      <c r="CQ233" s="28" t="str">
        <f aca="false">IFERROR(INDEX(Assessments!$I$2:$I$600,MATCH($H233&amp;"|"&amp;$I233&amp;"|"&amp;$J233&amp;"|"&amp;9,Assessments!$A$2:$A$600,0)),"")</f>
        <v/>
      </c>
      <c r="CR233" s="28" t="str">
        <f aca="false">IFERROR(INDEX(Assessments!$I$2:$I$600,MATCH($H233&amp;"|"&amp;$I233&amp;"|"&amp;$J233&amp;"|"&amp;10,Assessments!$A$2:$A$600,0)),"")</f>
        <v/>
      </c>
      <c r="CS233" s="28" t="str">
        <f aca="false">IFERROR(INDEX(Assessments!$I$2:$I$600,MATCH($H233&amp;"|"&amp;$I233&amp;"|"&amp;$J233&amp;"|"&amp;11,Assessments!$A$2:$A$600,0)),"")</f>
        <v/>
      </c>
      <c r="CT233" s="28" t="str">
        <f aca="false">IFERROR(INDEX(Assessments!$I$2:$I$600,MATCH($H233&amp;"|"&amp;$I233&amp;"|"&amp;$J233&amp;"|"&amp;12,Assessments!$A$2:$A$600,0)),"")</f>
        <v/>
      </c>
      <c r="CU233" s="28" t="str">
        <f aca="false">IFERROR(INDEX(Assessments!$I$2:$I$600,MATCH($H233&amp;"|"&amp;$I233&amp;"|"&amp;$J233&amp;"|"&amp;13,Assessments!$A$2:$A$600,0)),"")</f>
        <v/>
      </c>
      <c r="CV233" s="28" t="str">
        <f aca="false">IFERROR(INDEX(Assessments!$I$2:$I$600,MATCH($H233&amp;"|"&amp;$I233&amp;"|"&amp;$J233&amp;"|"&amp;14,Assessments!$A$2:$A$600,0)),"")</f>
        <v/>
      </c>
      <c r="CW233" s="28" t="n">
        <f aca="false">IFERROR(INDEX(Assessments!$J$2:$J$600,MATCH($H233&amp;"|"&amp;$I233&amp;"|"&amp;$J233&amp;"|"&amp;1,Assessments!$A$2:$A$600,0)),0)</f>
        <v>1</v>
      </c>
      <c r="CX233" s="28" t="n">
        <f aca="false">IFERROR(INDEX(Assessments!$J$2:$J$600,MATCH($H233&amp;"|"&amp;$I233&amp;"|"&amp;$J233&amp;"|"&amp;2,Assessments!$A$2:$A$600,0)),0)</f>
        <v>1</v>
      </c>
      <c r="CY233" s="28" t="n">
        <f aca="false">IFERROR(INDEX(Assessments!$J$2:$J$600,MATCH($H233&amp;"|"&amp;$I233&amp;"|"&amp;$J233&amp;"|"&amp;3,Assessments!$A$2:$A$600,0)),0)</f>
        <v>1</v>
      </c>
      <c r="CZ233" s="28" t="n">
        <f aca="false">IFERROR(INDEX(Assessments!$J$2:$J$600,MATCH($H233&amp;"|"&amp;$I233&amp;"|"&amp;$J233&amp;"|"&amp;4,Assessments!$A$2:$A$600,0)),0)</f>
        <v>1</v>
      </c>
      <c r="DA233" s="28" t="n">
        <f aca="false">IFERROR(INDEX(Assessments!$J$2:$J$600,MATCH($H233&amp;"|"&amp;$I233&amp;"|"&amp;$J233&amp;"|"&amp;5,Assessments!$A$2:$A$600,0)),0)</f>
        <v>2</v>
      </c>
      <c r="DB233" s="28" t="n">
        <f aca="false">IFERROR(INDEX(Assessments!$J$2:$J$600,MATCH($H233&amp;"|"&amp;$I233&amp;"|"&amp;$J233&amp;"|"&amp;6,Assessments!$A$2:$A$600,0)),0)</f>
        <v>1</v>
      </c>
      <c r="DC233" s="28" t="n">
        <f aca="false">IFERROR(INDEX(Assessments!$J$2:$J$600,MATCH($H233&amp;"|"&amp;$I233&amp;"|"&amp;$J233&amp;"|"&amp;7,Assessments!$A$2:$A$600,0)),0)</f>
        <v>2</v>
      </c>
      <c r="DD233" s="28" t="n">
        <f aca="false">IFERROR(INDEX(Assessments!$J$2:$J$600,MATCH($H233&amp;"|"&amp;$I233&amp;"|"&amp;$J233&amp;"|"&amp;8,Assessments!$A$2:$A$600,0)),0)</f>
        <v>0</v>
      </c>
      <c r="DE233" s="28" t="n">
        <f aca="false">IFERROR(INDEX(Assessments!$J$2:$J$600,MATCH($H233&amp;"|"&amp;$I233&amp;"|"&amp;$J233&amp;"|"&amp;9,Assessments!$A$2:$A$600,0)),0)</f>
        <v>0</v>
      </c>
      <c r="DF233" s="28" t="n">
        <f aca="false">IFERROR(INDEX(Assessments!$J$2:$J$600,MATCH($H233&amp;"|"&amp;$I233&amp;"|"&amp;$J233&amp;"|"&amp;10,Assessments!$A$2:$A$600,0)),0)</f>
        <v>0</v>
      </c>
      <c r="DG233" s="28" t="n">
        <f aca="false">IFERROR(INDEX(Assessments!$J$2:$J$600,MATCH($H233&amp;"|"&amp;$I233&amp;"|"&amp;$J233&amp;"|"&amp;11,Assessments!$A$2:$A$600,0)),0)</f>
        <v>0</v>
      </c>
      <c r="DH233" s="28" t="n">
        <f aca="false">IFERROR(INDEX(Assessments!$J$2:$J$600,MATCH($H233&amp;"|"&amp;$I233&amp;"|"&amp;$J233&amp;"|"&amp;12,Assessments!$A$2:$A$600,0)),0)</f>
        <v>0</v>
      </c>
      <c r="DI233" s="28" t="n">
        <f aca="false">IFERROR(INDEX(Assessments!$J$2:$J$600,MATCH($H233&amp;"|"&amp;$I233&amp;"|"&amp;$J233&amp;"|"&amp;13,Assessments!$A$2:$A$600,0)),0)</f>
        <v>0</v>
      </c>
      <c r="DJ233" s="28" t="n">
        <f aca="false">IFERROR(INDEX(Assessments!$J$2:$J$600,MATCH($H233&amp;"|"&amp;$I233&amp;"|"&amp;$J233&amp;"|"&amp;14,Assessments!$A$2:$A$600,0)),0)</f>
        <v>0</v>
      </c>
      <c r="DK233" s="28" t="str">
        <f aca="false">S233</f>
        <v/>
      </c>
      <c r="DL233" s="28" t="str">
        <f aca="false">W233</f>
        <v/>
      </c>
      <c r="DM233" s="28" t="str">
        <f aca="false">AA233</f>
        <v/>
      </c>
      <c r="DN233" s="28" t="str">
        <f aca="false">AE233</f>
        <v/>
      </c>
      <c r="DO233" s="28" t="str">
        <f aca="false">AI233</f>
        <v/>
      </c>
      <c r="DP233" s="28" t="str">
        <f aca="false">AM233</f>
        <v/>
      </c>
      <c r="DQ233" s="28" t="str">
        <f aca="false">AQ233</f>
        <v/>
      </c>
      <c r="DR233" s="28" t="str">
        <f aca="false">AU233</f>
        <v/>
      </c>
      <c r="DS233" s="28" t="str">
        <f aca="false">AY233</f>
        <v/>
      </c>
      <c r="DT233" s="28" t="str">
        <f aca="false">BC233</f>
        <v/>
      </c>
      <c r="DU233" s="28" t="str">
        <f aca="false">BG233</f>
        <v/>
      </c>
      <c r="DV233" s="28" t="str">
        <f aca="false">BK233</f>
        <v/>
      </c>
      <c r="DW233" s="28" t="str">
        <f aca="false">BO233</f>
        <v/>
      </c>
      <c r="DX233" s="28" t="str">
        <f aca="false">BS233</f>
        <v/>
      </c>
      <c r="DY233" s="28" t="str">
        <f aca="false">IF(ISNUMBER(S233),1,"")</f>
        <v/>
      </c>
      <c r="DZ233" s="28" t="str">
        <f aca="false">IF(ISNUMBER(W233),2,"")</f>
        <v/>
      </c>
      <c r="EA233" s="28" t="str">
        <f aca="false">IF(ISNUMBER(AA233),3,"")</f>
        <v/>
      </c>
      <c r="EB233" s="28" t="str">
        <f aca="false">IF(ISNUMBER(AE233),4,"")</f>
        <v/>
      </c>
      <c r="EC233" s="28" t="str">
        <f aca="false">IF(ISNUMBER(AI233),5,"")</f>
        <v/>
      </c>
      <c r="ED233" s="28" t="str">
        <f aca="false">IF(ISNUMBER(AM233),6,"")</f>
        <v/>
      </c>
      <c r="EE233" s="28" t="str">
        <f aca="false">IF(ISNUMBER(AQ233),7,"")</f>
        <v/>
      </c>
      <c r="EF233" s="28" t="str">
        <f aca="false">IF(ISNUMBER(AU233),8,"")</f>
        <v/>
      </c>
      <c r="EG233" s="28" t="str">
        <f aca="false">IF(ISNUMBER(AY233),9,"")</f>
        <v/>
      </c>
      <c r="EH233" s="28" t="str">
        <f aca="false">IF(ISNUMBER(BC233),10,"")</f>
        <v/>
      </c>
      <c r="EI233" s="28" t="str">
        <f aca="false">IF(ISNUMBER(BG233),11,"")</f>
        <v/>
      </c>
      <c r="EJ233" s="28" t="str">
        <f aca="false">IF(ISNUMBER(BK233),12,"")</f>
        <v/>
      </c>
      <c r="EK233" s="28" t="str">
        <f aca="false">IF(ISNUMBER(BO233),13,"")</f>
        <v/>
      </c>
      <c r="EL233" s="28" t="str">
        <f aca="false">IF(ISNUMBER(BS233),14,"")</f>
        <v/>
      </c>
      <c r="EM233" s="28" t="n">
        <f aca="false">IF(ISNUMBER(R233),R233*CW233,0)</f>
        <v>0</v>
      </c>
      <c r="EN233" s="28" t="n">
        <f aca="false">IF(ISNUMBER(V233),V233*CX233,0)</f>
        <v>0</v>
      </c>
      <c r="EO233" s="28" t="n">
        <f aca="false">IF(ISNUMBER(Z233),Z233*CY233,0)</f>
        <v>0</v>
      </c>
      <c r="EP233" s="28" t="n">
        <f aca="false">IF(ISNUMBER(AD233),AD233*CZ233,0)</f>
        <v>0</v>
      </c>
      <c r="EQ233" s="28" t="n">
        <f aca="false">IF(ISNUMBER(AH233),AH233*DA233,0)</f>
        <v>0</v>
      </c>
      <c r="ER233" s="28" t="n">
        <f aca="false">IF(ISNUMBER(AL233),AL233*DB233,0)</f>
        <v>0</v>
      </c>
      <c r="ES233" s="28" t="n">
        <f aca="false">IF(ISNUMBER(AP233),AP233*DC233,0)</f>
        <v>0</v>
      </c>
      <c r="ET233" s="28" t="n">
        <f aca="false">IF(ISNUMBER(AT233),AT233*DD233,0)</f>
        <v>0</v>
      </c>
      <c r="EU233" s="28" t="n">
        <f aca="false">IF(ISNUMBER(AX233),AX233*DE233,0)</f>
        <v>0</v>
      </c>
      <c r="EV233" s="28" t="n">
        <f aca="false">IF(ISNUMBER(BB233),BB233*DF233,0)</f>
        <v>0</v>
      </c>
      <c r="EW233" s="28" t="n">
        <f aca="false">IF(ISNUMBER(BF233),BF233*DG233,0)</f>
        <v>0</v>
      </c>
      <c r="EX233" s="28" t="n">
        <f aca="false">IF(ISNUMBER(BJ233),BJ233*DH233,0)</f>
        <v>0</v>
      </c>
      <c r="EY233" s="28" t="n">
        <f aca="false">IF(ISNUMBER(BN233),BN233*DI233,0)</f>
        <v>0</v>
      </c>
      <c r="EZ233" s="28" t="n">
        <f aca="false">IF(ISNUMBER(BR233),BR233*DJ233,0)</f>
        <v>0</v>
      </c>
      <c r="FA233" s="28" t="n">
        <f aca="false">IF(ISNUMBER(R233),CW233,0)</f>
        <v>0</v>
      </c>
      <c r="FB233" s="28" t="n">
        <f aca="false">IF(ISNUMBER(V233),CX233,0)</f>
        <v>0</v>
      </c>
      <c r="FC233" s="28" t="n">
        <f aca="false">IF(ISNUMBER(Z233),CY233,0)</f>
        <v>0</v>
      </c>
      <c r="FD233" s="28" t="n">
        <f aca="false">IF(ISNUMBER(AD233),CZ233,0)</f>
        <v>0</v>
      </c>
      <c r="FE233" s="28" t="n">
        <f aca="false">IF(ISNUMBER(AH233),DA233,0)</f>
        <v>0</v>
      </c>
      <c r="FF233" s="28" t="n">
        <f aca="false">IF(ISNUMBER(AL233),DB233,0)</f>
        <v>0</v>
      </c>
      <c r="FG233" s="28" t="n">
        <f aca="false">IF(ISNUMBER(AP233),DC233,0)</f>
        <v>0</v>
      </c>
      <c r="FH233" s="28" t="n">
        <f aca="false">IF(ISNUMBER(AT233),DD233,0)</f>
        <v>0</v>
      </c>
      <c r="FI233" s="28" t="n">
        <f aca="false">IF(ISNUMBER(AX233),DE233,0)</f>
        <v>0</v>
      </c>
      <c r="FJ233" s="28" t="n">
        <f aca="false">IF(ISNUMBER(BB233),DF233,0)</f>
        <v>0</v>
      </c>
      <c r="FK233" s="28" t="n">
        <f aca="false">IF(ISNUMBER(BF233),DG233,0)</f>
        <v>0</v>
      </c>
      <c r="FL233" s="28" t="n">
        <f aca="false">IF(ISNUMBER(BJ233),DH233,0)</f>
        <v>0</v>
      </c>
      <c r="FM233" s="28" t="n">
        <f aca="false">IF(ISNUMBER(BN233),DI233,0)</f>
        <v>0</v>
      </c>
      <c r="FN233" s="28" t="n">
        <f aca="false">IF(ISNUMBER(BR233),DJ233,0)</f>
        <v>0</v>
      </c>
      <c r="FO233" s="28" t="str">
        <f aca="false">IFERROR(INDEX(Lists!$G$2:$G$20,MATCH($I233&amp;"|"&amp;$J233,Lists!$F$2:$F$20,0)),"")</f>
        <v>Econ Exam</v>
      </c>
    </row>
    <row r="234" customFormat="false" ht="19.5" hidden="false" customHeight="true" outlineLevel="0" collapsed="false">
      <c r="A234" s="29" t="s">
        <v>491</v>
      </c>
      <c r="B234" s="29" t="s">
        <v>492</v>
      </c>
      <c r="C234" s="30" t="s">
        <v>152</v>
      </c>
      <c r="D234" s="30" t="s">
        <v>271</v>
      </c>
      <c r="E234" s="31"/>
      <c r="F234" s="30"/>
      <c r="G234" s="30"/>
      <c r="H234" s="32" t="s">
        <v>428</v>
      </c>
      <c r="I234" s="33" t="s">
        <v>229</v>
      </c>
      <c r="J234" s="32" t="s">
        <v>25</v>
      </c>
      <c r="K234" s="34" t="str">
        <f aca="false">IF(OR(M234="",$E234=""),"",M234-$E234)</f>
        <v/>
      </c>
      <c r="L234" s="35" t="str">
        <f aca="false">IF(SUM(FA234:FN234)=0,"",SUM(EM234:EZ234)/SUM(FA234:FN234))</f>
        <v/>
      </c>
      <c r="M234" s="36" t="str">
        <f aca="false">IF(OR(L234="",FO234=""),"",IFERROR(MATCH(L234,INDEX(Boundaries!$B$2:$I$30,MATCH(FO234,Boundaries!$A$2:$A$30,0),0),1)-1,""))</f>
        <v/>
      </c>
      <c r="N234" s="37" t="str">
        <f aca="false">IF(COUNT($DY234:$EL234)&lt;2,"",INDEX($DK234:$DX234,MAX($DY234:$EL234))-INDEX($DK234:$DX234,MIN($DY234:$EL234)))</f>
        <v/>
      </c>
      <c r="O234" s="37" t="str">
        <f aca="false">IF(COUNT($DY234:$EL234)&lt;2,"",INDEX($DK234:$DX234,MAX($DY234:$EL234))-INDEX($DK234:$DX234,LARGE($DY234:$EL234,2)))</f>
        <v/>
      </c>
      <c r="P234" s="38" t="str">
        <f aca="false">IF(K234="","",IF(K234&gt;=0,"On/above target",IF(AND(N234&lt;&gt;"",N234&gt;=0.5),"Improving towards target",IF(AND(O234&lt;&gt;"",O234&lt;=-0.5),"Declining","Stable below target"))))</f>
        <v/>
      </c>
      <c r="Q234" s="39"/>
      <c r="R234" s="40" t="str">
        <f aca="false">IF(OR(Q234="",BU234=""),"",Q234/BU234*100)</f>
        <v/>
      </c>
      <c r="S234" s="41" t="str">
        <f aca="false">IF(R234="","",IFERROR(MATCH(R234,INDEX(Boundaries!$B$2:$I$30,MATCH(CI234,Boundaries!$A$2:$A$30,0),0),1)-1,""))</f>
        <v/>
      </c>
      <c r="T234" s="42" t="str">
        <f aca="false">IF(OR(S234="",$E234=""),"",S234-$E234)</f>
        <v/>
      </c>
      <c r="U234" s="39"/>
      <c r="V234" s="40" t="str">
        <f aca="false">IF(OR(U234="",BV234=""),"",U234/BV234*100)</f>
        <v/>
      </c>
      <c r="W234" s="41" t="str">
        <f aca="false">IF(V234="","",IFERROR(MATCH(V234,INDEX(Boundaries!$B$2:$I$30,MATCH(CJ234,Boundaries!$A$2:$A$30,0),0),1)-1,""))</f>
        <v/>
      </c>
      <c r="X234" s="42" t="str">
        <f aca="false">IF(OR(W234="",$E234=""),"",W234-$E234)</f>
        <v/>
      </c>
      <c r="Y234" s="39"/>
      <c r="Z234" s="40" t="str">
        <f aca="false">IF(OR(Y234="",BW234=""),"",Y234/BW234*100)</f>
        <v/>
      </c>
      <c r="AA234" s="41" t="str">
        <f aca="false">IF(Z234="","",IFERROR(MATCH(Z234,INDEX(Boundaries!$B$2:$I$30,MATCH(CK234,Boundaries!$A$2:$A$30,0),0),1)-1,""))</f>
        <v/>
      </c>
      <c r="AB234" s="42" t="str">
        <f aca="false">IF(OR(AA234="",$E234=""),"",AA234-$E234)</f>
        <v/>
      </c>
      <c r="AC234" s="39"/>
      <c r="AD234" s="40" t="str">
        <f aca="false">IF(OR(AC234="",BX234=""),"",AC234/BX234*100)</f>
        <v/>
      </c>
      <c r="AE234" s="41" t="str">
        <f aca="false">IF(AD234="","",IFERROR(MATCH(AD234,INDEX(Boundaries!$B$2:$I$30,MATCH(CL234,Boundaries!$A$2:$A$30,0),0),1)-1,""))</f>
        <v/>
      </c>
      <c r="AF234" s="42" t="str">
        <f aca="false">IF(OR(AE234="",$E234=""),"",AE234-$E234)</f>
        <v/>
      </c>
      <c r="AG234" s="39"/>
      <c r="AH234" s="40" t="str">
        <f aca="false">IF(OR(AG234="",BY234=""),"",AG234/BY234*100)</f>
        <v/>
      </c>
      <c r="AI234" s="41" t="str">
        <f aca="false">IF(AH234="","",IFERROR(MATCH(AH234,INDEX(Boundaries!$B$2:$I$30,MATCH(CM234,Boundaries!$A$2:$A$30,0),0),1)-1,""))</f>
        <v/>
      </c>
      <c r="AJ234" s="42" t="str">
        <f aca="false">IF(OR(AI234="",$E234=""),"",AI234-$E234)</f>
        <v/>
      </c>
      <c r="AK234" s="39"/>
      <c r="AL234" s="40" t="str">
        <f aca="false">IF(OR(AK234="",BZ234=""),"",AK234/BZ234*100)</f>
        <v/>
      </c>
      <c r="AM234" s="41" t="str">
        <f aca="false">IF(AL234="","",IFERROR(MATCH(AL234,INDEX(Boundaries!$B$2:$I$30,MATCH(CN234,Boundaries!$A$2:$A$30,0),0),1)-1,""))</f>
        <v/>
      </c>
      <c r="AN234" s="42" t="str">
        <f aca="false">IF(OR(AM234="",$E234=""),"",AM234-$E234)</f>
        <v/>
      </c>
      <c r="AO234" s="39"/>
      <c r="AP234" s="40" t="str">
        <f aca="false">IF(OR(AO234="",CA234=""),"",AO234/CA234*100)</f>
        <v/>
      </c>
      <c r="AQ234" s="41" t="str">
        <f aca="false">IF(AP234="","",IFERROR(MATCH(AP234,INDEX(Boundaries!$B$2:$I$30,MATCH(CO234,Boundaries!$A$2:$A$30,0),0),1)-1,""))</f>
        <v/>
      </c>
      <c r="AR234" s="42" t="str">
        <f aca="false">IF(OR(AQ234="",$E234=""),"",AQ234-$E234)</f>
        <v/>
      </c>
      <c r="AS234" s="39"/>
      <c r="AT234" s="40" t="str">
        <f aca="false">IF(OR(AS234="",CB234=""),"",AS234/CB234*100)</f>
        <v/>
      </c>
      <c r="AU234" s="41" t="str">
        <f aca="false">IF(AT234="","",IFERROR(MATCH(AT234,INDEX(Boundaries!$B$2:$I$30,MATCH(CP234,Boundaries!$A$2:$A$30,0),0),1)-1,""))</f>
        <v/>
      </c>
      <c r="AV234" s="42" t="str">
        <f aca="false">IF(OR(AU234="",$E234=""),"",AU234-$E234)</f>
        <v/>
      </c>
      <c r="AW234" s="39"/>
      <c r="AX234" s="40" t="str">
        <f aca="false">IF(OR(AW234="",CC234=""),"",AW234/CC234*100)</f>
        <v/>
      </c>
      <c r="AY234" s="41" t="str">
        <f aca="false">IF(AX234="","",IFERROR(MATCH(AX234,INDEX(Boundaries!$B$2:$I$30,MATCH(CQ234,Boundaries!$A$2:$A$30,0),0),1)-1,""))</f>
        <v/>
      </c>
      <c r="AZ234" s="42" t="str">
        <f aca="false">IF(OR(AY234="",$E234=""),"",AY234-$E234)</f>
        <v/>
      </c>
      <c r="BA234" s="39"/>
      <c r="BB234" s="40" t="str">
        <f aca="false">IF(OR(BA234="",CD234=""),"",BA234/CD234*100)</f>
        <v/>
      </c>
      <c r="BC234" s="41" t="str">
        <f aca="false">IF(BB234="","",IFERROR(MATCH(BB234,INDEX(Boundaries!$B$2:$I$30,MATCH(CR234,Boundaries!$A$2:$A$30,0),0),1)-1,""))</f>
        <v/>
      </c>
      <c r="BD234" s="42" t="str">
        <f aca="false">IF(OR(BC234="",$E234=""),"",BC234-$E234)</f>
        <v/>
      </c>
      <c r="BE234" s="39"/>
      <c r="BF234" s="40" t="str">
        <f aca="false">IF(OR(BE234="",CE234=""),"",BE234/CE234*100)</f>
        <v/>
      </c>
      <c r="BG234" s="41" t="str">
        <f aca="false">IF(BF234="","",IFERROR(MATCH(BF234,INDEX(Boundaries!$B$2:$I$30,MATCH(CS234,Boundaries!$A$2:$A$30,0),0),1)-1,""))</f>
        <v/>
      </c>
      <c r="BH234" s="42" t="str">
        <f aca="false">IF(OR(BG234="",$E234=""),"",BG234-$E234)</f>
        <v/>
      </c>
      <c r="BI234" s="39"/>
      <c r="BJ234" s="40" t="str">
        <f aca="false">IF(OR(BI234="",CF234=""),"",BI234/CF234*100)</f>
        <v/>
      </c>
      <c r="BK234" s="41" t="str">
        <f aca="false">IF(BJ234="","",IFERROR(MATCH(BJ234,INDEX(Boundaries!$B$2:$I$30,MATCH(CT234,Boundaries!$A$2:$A$30,0),0),1)-1,""))</f>
        <v/>
      </c>
      <c r="BL234" s="42" t="str">
        <f aca="false">IF(OR(BK234="",$E234=""),"",BK234-$E234)</f>
        <v/>
      </c>
      <c r="BM234" s="39"/>
      <c r="BN234" s="40" t="str">
        <f aca="false">IF(OR(BM234="",CG234=""),"",BM234/CG234*100)</f>
        <v/>
      </c>
      <c r="BO234" s="41" t="str">
        <f aca="false">IF(BN234="","",IFERROR(MATCH(BN234,INDEX(Boundaries!$B$2:$I$30,MATCH(CU234,Boundaries!$A$2:$A$30,0),0),1)-1,""))</f>
        <v/>
      </c>
      <c r="BP234" s="42" t="str">
        <f aca="false">IF(OR(BO234="",$E234=""),"",BO234-$E234)</f>
        <v/>
      </c>
      <c r="BQ234" s="39"/>
      <c r="BR234" s="40" t="str">
        <f aca="false">IF(OR(BQ234="",CH234=""),"",BQ234/CH234*100)</f>
        <v/>
      </c>
      <c r="BS234" s="41" t="str">
        <f aca="false">IF(BR234="","",IFERROR(MATCH(BR234,INDEX(Boundaries!$B$2:$I$30,MATCH(CV234,Boundaries!$A$2:$A$30,0),0),1)-1,""))</f>
        <v/>
      </c>
      <c r="BT234" s="42" t="str">
        <f aca="false">IF(OR(BS234="",$E234=""),"",BS234-$E234)</f>
        <v/>
      </c>
      <c r="BU234" s="28" t="n">
        <f aca="false">IFERROR(INDEX(Assessments!$H$2:$H$600,MATCH($H234&amp;"|"&amp;$I234&amp;"|"&amp;$J234&amp;"|"&amp;1,Assessments!$A$2:$A$600,0)),"")</f>
        <v>25</v>
      </c>
      <c r="BV234" s="28" t="n">
        <f aca="false">IFERROR(INDEX(Assessments!$H$2:$H$600,MATCH($H234&amp;"|"&amp;$I234&amp;"|"&amp;$J234&amp;"|"&amp;2,Assessments!$A$2:$A$600,0)),"")</f>
        <v>24</v>
      </c>
      <c r="BW234" s="28" t="n">
        <f aca="false">IFERROR(INDEX(Assessments!$H$2:$H$600,MATCH($H234&amp;"|"&amp;$I234&amp;"|"&amp;$J234&amp;"|"&amp;3,Assessments!$A$2:$A$600,0)),"")</f>
        <v>25</v>
      </c>
      <c r="BX234" s="28" t="n">
        <f aca="false">IFERROR(INDEX(Assessments!$H$2:$H$600,MATCH($H234&amp;"|"&amp;$I234&amp;"|"&amp;$J234&amp;"|"&amp;4,Assessments!$A$2:$A$600,0)),"")</f>
        <v>35</v>
      </c>
      <c r="BY234" s="28" t="n">
        <f aca="false">IFERROR(INDEX(Assessments!$H$2:$H$600,MATCH($H234&amp;"|"&amp;$I234&amp;"|"&amp;$J234&amp;"|"&amp;5,Assessments!$A$2:$A$600,0)),"")</f>
        <v>55</v>
      </c>
      <c r="BZ234" s="28" t="n">
        <f aca="false">IFERROR(INDEX(Assessments!$H$2:$H$600,MATCH($H234&amp;"|"&amp;$I234&amp;"|"&amp;$J234&amp;"|"&amp;6,Assessments!$A$2:$A$600,0)),"")</f>
        <v>28</v>
      </c>
      <c r="CA234" s="28" t="n">
        <f aca="false">IFERROR(INDEX(Assessments!$H$2:$H$600,MATCH($H234&amp;"|"&amp;$I234&amp;"|"&amp;$J234&amp;"|"&amp;7,Assessments!$A$2:$A$600,0)),"")</f>
        <v>95</v>
      </c>
      <c r="CB234" s="28" t="str">
        <f aca="false">IFERROR(INDEX(Assessments!$H$2:$H$600,MATCH($H234&amp;"|"&amp;$I234&amp;"|"&amp;$J234&amp;"|"&amp;8,Assessments!$A$2:$A$600,0)),"")</f>
        <v/>
      </c>
      <c r="CC234" s="28" t="str">
        <f aca="false">IFERROR(INDEX(Assessments!$H$2:$H$600,MATCH($H234&amp;"|"&amp;$I234&amp;"|"&amp;$J234&amp;"|"&amp;9,Assessments!$A$2:$A$600,0)),"")</f>
        <v/>
      </c>
      <c r="CD234" s="28" t="str">
        <f aca="false">IFERROR(INDEX(Assessments!$H$2:$H$600,MATCH($H234&amp;"|"&amp;$I234&amp;"|"&amp;$J234&amp;"|"&amp;10,Assessments!$A$2:$A$600,0)),"")</f>
        <v/>
      </c>
      <c r="CE234" s="28" t="str">
        <f aca="false">IFERROR(INDEX(Assessments!$H$2:$H$600,MATCH($H234&amp;"|"&amp;$I234&amp;"|"&amp;$J234&amp;"|"&amp;11,Assessments!$A$2:$A$600,0)),"")</f>
        <v/>
      </c>
      <c r="CF234" s="28" t="str">
        <f aca="false">IFERROR(INDEX(Assessments!$H$2:$H$600,MATCH($H234&amp;"|"&amp;$I234&amp;"|"&amp;$J234&amp;"|"&amp;12,Assessments!$A$2:$A$600,0)),"")</f>
        <v/>
      </c>
      <c r="CG234" s="28" t="str">
        <f aca="false">IFERROR(INDEX(Assessments!$H$2:$H$600,MATCH($H234&amp;"|"&amp;$I234&amp;"|"&amp;$J234&amp;"|"&amp;13,Assessments!$A$2:$A$600,0)),"")</f>
        <v/>
      </c>
      <c r="CH234" s="28" t="str">
        <f aca="false">IFERROR(INDEX(Assessments!$H$2:$H$600,MATCH($H234&amp;"|"&amp;$I234&amp;"|"&amp;$J234&amp;"|"&amp;14,Assessments!$A$2:$A$600,0)),"")</f>
        <v/>
      </c>
      <c r="CI234" s="28" t="str">
        <f aca="false">IFERROR(INDEX(Assessments!$I$2:$I$600,MATCH($H234&amp;"|"&amp;$I234&amp;"|"&amp;$J234&amp;"|"&amp;1,Assessments!$A$2:$A$600,0)),"")</f>
        <v>Econ Test</v>
      </c>
      <c r="CJ234" s="28" t="str">
        <f aca="false">IFERROR(INDEX(Assessments!$I$2:$I$600,MATCH($H234&amp;"|"&amp;$I234&amp;"|"&amp;$J234&amp;"|"&amp;2,Assessments!$A$2:$A$600,0)),"")</f>
        <v>Econ Test</v>
      </c>
      <c r="CK234" s="28" t="str">
        <f aca="false">IFERROR(INDEX(Assessments!$I$2:$I$600,MATCH($H234&amp;"|"&amp;$I234&amp;"|"&amp;$J234&amp;"|"&amp;3,Assessments!$A$2:$A$600,0)),"")</f>
        <v>Econ Test</v>
      </c>
      <c r="CL234" s="28" t="str">
        <f aca="false">IFERROR(INDEX(Assessments!$I$2:$I$600,MATCH($H234&amp;"|"&amp;$I234&amp;"|"&amp;$J234&amp;"|"&amp;4,Assessments!$A$2:$A$600,0)),"")</f>
        <v>Econ Test</v>
      </c>
      <c r="CM234" s="28" t="str">
        <f aca="false">IFERROR(INDEX(Assessments!$I$2:$I$600,MATCH($H234&amp;"|"&amp;$I234&amp;"|"&amp;$J234&amp;"|"&amp;5,Assessments!$A$2:$A$600,0)),"")</f>
        <v>Econ Exam</v>
      </c>
      <c r="CN234" s="28" t="str">
        <f aca="false">IFERROR(INDEX(Assessments!$I$2:$I$600,MATCH($H234&amp;"|"&amp;$I234&amp;"|"&amp;$J234&amp;"|"&amp;6,Assessments!$A$2:$A$600,0)),"")</f>
        <v>Econ Test</v>
      </c>
      <c r="CO234" s="28" t="str">
        <f aca="false">IFERROR(INDEX(Assessments!$I$2:$I$600,MATCH($H234&amp;"|"&amp;$I234&amp;"|"&amp;$J234&amp;"|"&amp;7,Assessments!$A$2:$A$600,0)),"")</f>
        <v>Econ Exam</v>
      </c>
      <c r="CP234" s="28" t="str">
        <f aca="false">IFERROR(INDEX(Assessments!$I$2:$I$600,MATCH($H234&amp;"|"&amp;$I234&amp;"|"&amp;$J234&amp;"|"&amp;8,Assessments!$A$2:$A$600,0)),"")</f>
        <v/>
      </c>
      <c r="CQ234" s="28" t="str">
        <f aca="false">IFERROR(INDEX(Assessments!$I$2:$I$600,MATCH($H234&amp;"|"&amp;$I234&amp;"|"&amp;$J234&amp;"|"&amp;9,Assessments!$A$2:$A$600,0)),"")</f>
        <v/>
      </c>
      <c r="CR234" s="28" t="str">
        <f aca="false">IFERROR(INDEX(Assessments!$I$2:$I$600,MATCH($H234&amp;"|"&amp;$I234&amp;"|"&amp;$J234&amp;"|"&amp;10,Assessments!$A$2:$A$600,0)),"")</f>
        <v/>
      </c>
      <c r="CS234" s="28" t="str">
        <f aca="false">IFERROR(INDEX(Assessments!$I$2:$I$600,MATCH($H234&amp;"|"&amp;$I234&amp;"|"&amp;$J234&amp;"|"&amp;11,Assessments!$A$2:$A$600,0)),"")</f>
        <v/>
      </c>
      <c r="CT234" s="28" t="str">
        <f aca="false">IFERROR(INDEX(Assessments!$I$2:$I$600,MATCH($H234&amp;"|"&amp;$I234&amp;"|"&amp;$J234&amp;"|"&amp;12,Assessments!$A$2:$A$600,0)),"")</f>
        <v/>
      </c>
      <c r="CU234" s="28" t="str">
        <f aca="false">IFERROR(INDEX(Assessments!$I$2:$I$600,MATCH($H234&amp;"|"&amp;$I234&amp;"|"&amp;$J234&amp;"|"&amp;13,Assessments!$A$2:$A$600,0)),"")</f>
        <v/>
      </c>
      <c r="CV234" s="28" t="str">
        <f aca="false">IFERROR(INDEX(Assessments!$I$2:$I$600,MATCH($H234&amp;"|"&amp;$I234&amp;"|"&amp;$J234&amp;"|"&amp;14,Assessments!$A$2:$A$600,0)),"")</f>
        <v/>
      </c>
      <c r="CW234" s="28" t="n">
        <f aca="false">IFERROR(INDEX(Assessments!$J$2:$J$600,MATCH($H234&amp;"|"&amp;$I234&amp;"|"&amp;$J234&amp;"|"&amp;1,Assessments!$A$2:$A$600,0)),0)</f>
        <v>1</v>
      </c>
      <c r="CX234" s="28" t="n">
        <f aca="false">IFERROR(INDEX(Assessments!$J$2:$J$600,MATCH($H234&amp;"|"&amp;$I234&amp;"|"&amp;$J234&amp;"|"&amp;2,Assessments!$A$2:$A$600,0)),0)</f>
        <v>1</v>
      </c>
      <c r="CY234" s="28" t="n">
        <f aca="false">IFERROR(INDEX(Assessments!$J$2:$J$600,MATCH($H234&amp;"|"&amp;$I234&amp;"|"&amp;$J234&amp;"|"&amp;3,Assessments!$A$2:$A$600,0)),0)</f>
        <v>1</v>
      </c>
      <c r="CZ234" s="28" t="n">
        <f aca="false">IFERROR(INDEX(Assessments!$J$2:$J$600,MATCH($H234&amp;"|"&amp;$I234&amp;"|"&amp;$J234&amp;"|"&amp;4,Assessments!$A$2:$A$600,0)),0)</f>
        <v>1</v>
      </c>
      <c r="DA234" s="28" t="n">
        <f aca="false">IFERROR(INDEX(Assessments!$J$2:$J$600,MATCH($H234&amp;"|"&amp;$I234&amp;"|"&amp;$J234&amp;"|"&amp;5,Assessments!$A$2:$A$600,0)),0)</f>
        <v>2</v>
      </c>
      <c r="DB234" s="28" t="n">
        <f aca="false">IFERROR(INDEX(Assessments!$J$2:$J$600,MATCH($H234&amp;"|"&amp;$I234&amp;"|"&amp;$J234&amp;"|"&amp;6,Assessments!$A$2:$A$600,0)),0)</f>
        <v>1</v>
      </c>
      <c r="DC234" s="28" t="n">
        <f aca="false">IFERROR(INDEX(Assessments!$J$2:$J$600,MATCH($H234&amp;"|"&amp;$I234&amp;"|"&amp;$J234&amp;"|"&amp;7,Assessments!$A$2:$A$600,0)),0)</f>
        <v>2</v>
      </c>
      <c r="DD234" s="28" t="n">
        <f aca="false">IFERROR(INDEX(Assessments!$J$2:$J$600,MATCH($H234&amp;"|"&amp;$I234&amp;"|"&amp;$J234&amp;"|"&amp;8,Assessments!$A$2:$A$600,0)),0)</f>
        <v>0</v>
      </c>
      <c r="DE234" s="28" t="n">
        <f aca="false">IFERROR(INDEX(Assessments!$J$2:$J$600,MATCH($H234&amp;"|"&amp;$I234&amp;"|"&amp;$J234&amp;"|"&amp;9,Assessments!$A$2:$A$600,0)),0)</f>
        <v>0</v>
      </c>
      <c r="DF234" s="28" t="n">
        <f aca="false">IFERROR(INDEX(Assessments!$J$2:$J$600,MATCH($H234&amp;"|"&amp;$I234&amp;"|"&amp;$J234&amp;"|"&amp;10,Assessments!$A$2:$A$600,0)),0)</f>
        <v>0</v>
      </c>
      <c r="DG234" s="28" t="n">
        <f aca="false">IFERROR(INDEX(Assessments!$J$2:$J$600,MATCH($H234&amp;"|"&amp;$I234&amp;"|"&amp;$J234&amp;"|"&amp;11,Assessments!$A$2:$A$600,0)),0)</f>
        <v>0</v>
      </c>
      <c r="DH234" s="28" t="n">
        <f aca="false">IFERROR(INDEX(Assessments!$J$2:$J$600,MATCH($H234&amp;"|"&amp;$I234&amp;"|"&amp;$J234&amp;"|"&amp;12,Assessments!$A$2:$A$600,0)),0)</f>
        <v>0</v>
      </c>
      <c r="DI234" s="28" t="n">
        <f aca="false">IFERROR(INDEX(Assessments!$J$2:$J$600,MATCH($H234&amp;"|"&amp;$I234&amp;"|"&amp;$J234&amp;"|"&amp;13,Assessments!$A$2:$A$600,0)),0)</f>
        <v>0</v>
      </c>
      <c r="DJ234" s="28" t="n">
        <f aca="false">IFERROR(INDEX(Assessments!$J$2:$J$600,MATCH($H234&amp;"|"&amp;$I234&amp;"|"&amp;$J234&amp;"|"&amp;14,Assessments!$A$2:$A$600,0)),0)</f>
        <v>0</v>
      </c>
      <c r="DK234" s="28" t="str">
        <f aca="false">S234</f>
        <v/>
      </c>
      <c r="DL234" s="28" t="str">
        <f aca="false">W234</f>
        <v/>
      </c>
      <c r="DM234" s="28" t="str">
        <f aca="false">AA234</f>
        <v/>
      </c>
      <c r="DN234" s="28" t="str">
        <f aca="false">AE234</f>
        <v/>
      </c>
      <c r="DO234" s="28" t="str">
        <f aca="false">AI234</f>
        <v/>
      </c>
      <c r="DP234" s="28" t="str">
        <f aca="false">AM234</f>
        <v/>
      </c>
      <c r="DQ234" s="28" t="str">
        <f aca="false">AQ234</f>
        <v/>
      </c>
      <c r="DR234" s="28" t="str">
        <f aca="false">AU234</f>
        <v/>
      </c>
      <c r="DS234" s="28" t="str">
        <f aca="false">AY234</f>
        <v/>
      </c>
      <c r="DT234" s="28" t="str">
        <f aca="false">BC234</f>
        <v/>
      </c>
      <c r="DU234" s="28" t="str">
        <f aca="false">BG234</f>
        <v/>
      </c>
      <c r="DV234" s="28" t="str">
        <f aca="false">BK234</f>
        <v/>
      </c>
      <c r="DW234" s="28" t="str">
        <f aca="false">BO234</f>
        <v/>
      </c>
      <c r="DX234" s="28" t="str">
        <f aca="false">BS234</f>
        <v/>
      </c>
      <c r="DY234" s="28" t="str">
        <f aca="false">IF(ISNUMBER(S234),1,"")</f>
        <v/>
      </c>
      <c r="DZ234" s="28" t="str">
        <f aca="false">IF(ISNUMBER(W234),2,"")</f>
        <v/>
      </c>
      <c r="EA234" s="28" t="str">
        <f aca="false">IF(ISNUMBER(AA234),3,"")</f>
        <v/>
      </c>
      <c r="EB234" s="28" t="str">
        <f aca="false">IF(ISNUMBER(AE234),4,"")</f>
        <v/>
      </c>
      <c r="EC234" s="28" t="str">
        <f aca="false">IF(ISNUMBER(AI234),5,"")</f>
        <v/>
      </c>
      <c r="ED234" s="28" t="str">
        <f aca="false">IF(ISNUMBER(AM234),6,"")</f>
        <v/>
      </c>
      <c r="EE234" s="28" t="str">
        <f aca="false">IF(ISNUMBER(AQ234),7,"")</f>
        <v/>
      </c>
      <c r="EF234" s="28" t="str">
        <f aca="false">IF(ISNUMBER(AU234),8,"")</f>
        <v/>
      </c>
      <c r="EG234" s="28" t="str">
        <f aca="false">IF(ISNUMBER(AY234),9,"")</f>
        <v/>
      </c>
      <c r="EH234" s="28" t="str">
        <f aca="false">IF(ISNUMBER(BC234),10,"")</f>
        <v/>
      </c>
      <c r="EI234" s="28" t="str">
        <f aca="false">IF(ISNUMBER(BG234),11,"")</f>
        <v/>
      </c>
      <c r="EJ234" s="28" t="str">
        <f aca="false">IF(ISNUMBER(BK234),12,"")</f>
        <v/>
      </c>
      <c r="EK234" s="28" t="str">
        <f aca="false">IF(ISNUMBER(BO234),13,"")</f>
        <v/>
      </c>
      <c r="EL234" s="28" t="str">
        <f aca="false">IF(ISNUMBER(BS234),14,"")</f>
        <v/>
      </c>
      <c r="EM234" s="28" t="n">
        <f aca="false">IF(ISNUMBER(R234),R234*CW234,0)</f>
        <v>0</v>
      </c>
      <c r="EN234" s="28" t="n">
        <f aca="false">IF(ISNUMBER(V234),V234*CX234,0)</f>
        <v>0</v>
      </c>
      <c r="EO234" s="28" t="n">
        <f aca="false">IF(ISNUMBER(Z234),Z234*CY234,0)</f>
        <v>0</v>
      </c>
      <c r="EP234" s="28" t="n">
        <f aca="false">IF(ISNUMBER(AD234),AD234*CZ234,0)</f>
        <v>0</v>
      </c>
      <c r="EQ234" s="28" t="n">
        <f aca="false">IF(ISNUMBER(AH234),AH234*DA234,0)</f>
        <v>0</v>
      </c>
      <c r="ER234" s="28" t="n">
        <f aca="false">IF(ISNUMBER(AL234),AL234*DB234,0)</f>
        <v>0</v>
      </c>
      <c r="ES234" s="28" t="n">
        <f aca="false">IF(ISNUMBER(AP234),AP234*DC234,0)</f>
        <v>0</v>
      </c>
      <c r="ET234" s="28" t="n">
        <f aca="false">IF(ISNUMBER(AT234),AT234*DD234,0)</f>
        <v>0</v>
      </c>
      <c r="EU234" s="28" t="n">
        <f aca="false">IF(ISNUMBER(AX234),AX234*DE234,0)</f>
        <v>0</v>
      </c>
      <c r="EV234" s="28" t="n">
        <f aca="false">IF(ISNUMBER(BB234),BB234*DF234,0)</f>
        <v>0</v>
      </c>
      <c r="EW234" s="28" t="n">
        <f aca="false">IF(ISNUMBER(BF234),BF234*DG234,0)</f>
        <v>0</v>
      </c>
      <c r="EX234" s="28" t="n">
        <f aca="false">IF(ISNUMBER(BJ234),BJ234*DH234,0)</f>
        <v>0</v>
      </c>
      <c r="EY234" s="28" t="n">
        <f aca="false">IF(ISNUMBER(BN234),BN234*DI234,0)</f>
        <v>0</v>
      </c>
      <c r="EZ234" s="28" t="n">
        <f aca="false">IF(ISNUMBER(BR234),BR234*DJ234,0)</f>
        <v>0</v>
      </c>
      <c r="FA234" s="28" t="n">
        <f aca="false">IF(ISNUMBER(R234),CW234,0)</f>
        <v>0</v>
      </c>
      <c r="FB234" s="28" t="n">
        <f aca="false">IF(ISNUMBER(V234),CX234,0)</f>
        <v>0</v>
      </c>
      <c r="FC234" s="28" t="n">
        <f aca="false">IF(ISNUMBER(Z234),CY234,0)</f>
        <v>0</v>
      </c>
      <c r="FD234" s="28" t="n">
        <f aca="false">IF(ISNUMBER(AD234),CZ234,0)</f>
        <v>0</v>
      </c>
      <c r="FE234" s="28" t="n">
        <f aca="false">IF(ISNUMBER(AH234),DA234,0)</f>
        <v>0</v>
      </c>
      <c r="FF234" s="28" t="n">
        <f aca="false">IF(ISNUMBER(AL234),DB234,0)</f>
        <v>0</v>
      </c>
      <c r="FG234" s="28" t="n">
        <f aca="false">IF(ISNUMBER(AP234),DC234,0)</f>
        <v>0</v>
      </c>
      <c r="FH234" s="28" t="n">
        <f aca="false">IF(ISNUMBER(AT234),DD234,0)</f>
        <v>0</v>
      </c>
      <c r="FI234" s="28" t="n">
        <f aca="false">IF(ISNUMBER(AX234),DE234,0)</f>
        <v>0</v>
      </c>
      <c r="FJ234" s="28" t="n">
        <f aca="false">IF(ISNUMBER(BB234),DF234,0)</f>
        <v>0</v>
      </c>
      <c r="FK234" s="28" t="n">
        <f aca="false">IF(ISNUMBER(BF234),DG234,0)</f>
        <v>0</v>
      </c>
      <c r="FL234" s="28" t="n">
        <f aca="false">IF(ISNUMBER(BJ234),DH234,0)</f>
        <v>0</v>
      </c>
      <c r="FM234" s="28" t="n">
        <f aca="false">IF(ISNUMBER(BN234),DI234,0)</f>
        <v>0</v>
      </c>
      <c r="FN234" s="28" t="n">
        <f aca="false">IF(ISNUMBER(BR234),DJ234,0)</f>
        <v>0</v>
      </c>
      <c r="FO234" s="28" t="str">
        <f aca="false">IFERROR(INDEX(Lists!$G$2:$G$20,MATCH($I234&amp;"|"&amp;$J234,Lists!$F$2:$F$20,0)),"")</f>
        <v>Econ Exam</v>
      </c>
    </row>
    <row r="235" customFormat="false" ht="19.5" hidden="false" customHeight="true" outlineLevel="0" collapsed="false">
      <c r="A235" s="29" t="s">
        <v>493</v>
      </c>
      <c r="B235" s="29" t="s">
        <v>494</v>
      </c>
      <c r="C235" s="30" t="s">
        <v>152</v>
      </c>
      <c r="D235" s="30" t="s">
        <v>271</v>
      </c>
      <c r="E235" s="31"/>
      <c r="F235" s="30"/>
      <c r="G235" s="30"/>
      <c r="H235" s="32" t="s">
        <v>428</v>
      </c>
      <c r="I235" s="33" t="s">
        <v>229</v>
      </c>
      <c r="J235" s="32" t="s">
        <v>25</v>
      </c>
      <c r="K235" s="34" t="str">
        <f aca="false">IF(OR(M235="",$E235=""),"",M235-$E235)</f>
        <v/>
      </c>
      <c r="L235" s="35" t="str">
        <f aca="false">IF(SUM(FA235:FN235)=0,"",SUM(EM235:EZ235)/SUM(FA235:FN235))</f>
        <v/>
      </c>
      <c r="M235" s="36" t="str">
        <f aca="false">IF(OR(L235="",FO235=""),"",IFERROR(MATCH(L235,INDEX(Boundaries!$B$2:$I$30,MATCH(FO235,Boundaries!$A$2:$A$30,0),0),1)-1,""))</f>
        <v/>
      </c>
      <c r="N235" s="37" t="str">
        <f aca="false">IF(COUNT($DY235:$EL235)&lt;2,"",INDEX($DK235:$DX235,MAX($DY235:$EL235))-INDEX($DK235:$DX235,MIN($DY235:$EL235)))</f>
        <v/>
      </c>
      <c r="O235" s="37" t="str">
        <f aca="false">IF(COUNT($DY235:$EL235)&lt;2,"",INDEX($DK235:$DX235,MAX($DY235:$EL235))-INDEX($DK235:$DX235,LARGE($DY235:$EL235,2)))</f>
        <v/>
      </c>
      <c r="P235" s="38" t="str">
        <f aca="false">IF(K235="","",IF(K235&gt;=0,"On/above target",IF(AND(N235&lt;&gt;"",N235&gt;=0.5),"Improving towards target",IF(AND(O235&lt;&gt;"",O235&lt;=-0.5),"Declining","Stable below target"))))</f>
        <v/>
      </c>
      <c r="Q235" s="39"/>
      <c r="R235" s="40" t="str">
        <f aca="false">IF(OR(Q235="",BU235=""),"",Q235/BU235*100)</f>
        <v/>
      </c>
      <c r="S235" s="41" t="str">
        <f aca="false">IF(R235="","",IFERROR(MATCH(R235,INDEX(Boundaries!$B$2:$I$30,MATCH(CI235,Boundaries!$A$2:$A$30,0),0),1)-1,""))</f>
        <v/>
      </c>
      <c r="T235" s="42" t="str">
        <f aca="false">IF(OR(S235="",$E235=""),"",S235-$E235)</f>
        <v/>
      </c>
      <c r="U235" s="39"/>
      <c r="V235" s="40" t="str">
        <f aca="false">IF(OR(U235="",BV235=""),"",U235/BV235*100)</f>
        <v/>
      </c>
      <c r="W235" s="41" t="str">
        <f aca="false">IF(V235="","",IFERROR(MATCH(V235,INDEX(Boundaries!$B$2:$I$30,MATCH(CJ235,Boundaries!$A$2:$A$30,0),0),1)-1,""))</f>
        <v/>
      </c>
      <c r="X235" s="42" t="str">
        <f aca="false">IF(OR(W235="",$E235=""),"",W235-$E235)</f>
        <v/>
      </c>
      <c r="Y235" s="39"/>
      <c r="Z235" s="40" t="str">
        <f aca="false">IF(OR(Y235="",BW235=""),"",Y235/BW235*100)</f>
        <v/>
      </c>
      <c r="AA235" s="41" t="str">
        <f aca="false">IF(Z235="","",IFERROR(MATCH(Z235,INDEX(Boundaries!$B$2:$I$30,MATCH(CK235,Boundaries!$A$2:$A$30,0),0),1)-1,""))</f>
        <v/>
      </c>
      <c r="AB235" s="42" t="str">
        <f aca="false">IF(OR(AA235="",$E235=""),"",AA235-$E235)</f>
        <v/>
      </c>
      <c r="AC235" s="39"/>
      <c r="AD235" s="40" t="str">
        <f aca="false">IF(OR(AC235="",BX235=""),"",AC235/BX235*100)</f>
        <v/>
      </c>
      <c r="AE235" s="41" t="str">
        <f aca="false">IF(AD235="","",IFERROR(MATCH(AD235,INDEX(Boundaries!$B$2:$I$30,MATCH(CL235,Boundaries!$A$2:$A$30,0),0),1)-1,""))</f>
        <v/>
      </c>
      <c r="AF235" s="42" t="str">
        <f aca="false">IF(OR(AE235="",$E235=""),"",AE235-$E235)</f>
        <v/>
      </c>
      <c r="AG235" s="39"/>
      <c r="AH235" s="40" t="str">
        <f aca="false">IF(OR(AG235="",BY235=""),"",AG235/BY235*100)</f>
        <v/>
      </c>
      <c r="AI235" s="41" t="str">
        <f aca="false">IF(AH235="","",IFERROR(MATCH(AH235,INDEX(Boundaries!$B$2:$I$30,MATCH(CM235,Boundaries!$A$2:$A$30,0),0),1)-1,""))</f>
        <v/>
      </c>
      <c r="AJ235" s="42" t="str">
        <f aca="false">IF(OR(AI235="",$E235=""),"",AI235-$E235)</f>
        <v/>
      </c>
      <c r="AK235" s="39"/>
      <c r="AL235" s="40" t="str">
        <f aca="false">IF(OR(AK235="",BZ235=""),"",AK235/BZ235*100)</f>
        <v/>
      </c>
      <c r="AM235" s="41" t="str">
        <f aca="false">IF(AL235="","",IFERROR(MATCH(AL235,INDEX(Boundaries!$B$2:$I$30,MATCH(CN235,Boundaries!$A$2:$A$30,0),0),1)-1,""))</f>
        <v/>
      </c>
      <c r="AN235" s="42" t="str">
        <f aca="false">IF(OR(AM235="",$E235=""),"",AM235-$E235)</f>
        <v/>
      </c>
      <c r="AO235" s="39"/>
      <c r="AP235" s="40" t="str">
        <f aca="false">IF(OR(AO235="",CA235=""),"",AO235/CA235*100)</f>
        <v/>
      </c>
      <c r="AQ235" s="41" t="str">
        <f aca="false">IF(AP235="","",IFERROR(MATCH(AP235,INDEX(Boundaries!$B$2:$I$30,MATCH(CO235,Boundaries!$A$2:$A$30,0),0),1)-1,""))</f>
        <v/>
      </c>
      <c r="AR235" s="42" t="str">
        <f aca="false">IF(OR(AQ235="",$E235=""),"",AQ235-$E235)</f>
        <v/>
      </c>
      <c r="AS235" s="39"/>
      <c r="AT235" s="40" t="str">
        <f aca="false">IF(OR(AS235="",CB235=""),"",AS235/CB235*100)</f>
        <v/>
      </c>
      <c r="AU235" s="41" t="str">
        <f aca="false">IF(AT235="","",IFERROR(MATCH(AT235,INDEX(Boundaries!$B$2:$I$30,MATCH(CP235,Boundaries!$A$2:$A$30,0),0),1)-1,""))</f>
        <v/>
      </c>
      <c r="AV235" s="42" t="str">
        <f aca="false">IF(OR(AU235="",$E235=""),"",AU235-$E235)</f>
        <v/>
      </c>
      <c r="AW235" s="39"/>
      <c r="AX235" s="40" t="str">
        <f aca="false">IF(OR(AW235="",CC235=""),"",AW235/CC235*100)</f>
        <v/>
      </c>
      <c r="AY235" s="41" t="str">
        <f aca="false">IF(AX235="","",IFERROR(MATCH(AX235,INDEX(Boundaries!$B$2:$I$30,MATCH(CQ235,Boundaries!$A$2:$A$30,0),0),1)-1,""))</f>
        <v/>
      </c>
      <c r="AZ235" s="42" t="str">
        <f aca="false">IF(OR(AY235="",$E235=""),"",AY235-$E235)</f>
        <v/>
      </c>
      <c r="BA235" s="39"/>
      <c r="BB235" s="40" t="str">
        <f aca="false">IF(OR(BA235="",CD235=""),"",BA235/CD235*100)</f>
        <v/>
      </c>
      <c r="BC235" s="41" t="str">
        <f aca="false">IF(BB235="","",IFERROR(MATCH(BB235,INDEX(Boundaries!$B$2:$I$30,MATCH(CR235,Boundaries!$A$2:$A$30,0),0),1)-1,""))</f>
        <v/>
      </c>
      <c r="BD235" s="42" t="str">
        <f aca="false">IF(OR(BC235="",$E235=""),"",BC235-$E235)</f>
        <v/>
      </c>
      <c r="BE235" s="39"/>
      <c r="BF235" s="40" t="str">
        <f aca="false">IF(OR(BE235="",CE235=""),"",BE235/CE235*100)</f>
        <v/>
      </c>
      <c r="BG235" s="41" t="str">
        <f aca="false">IF(BF235="","",IFERROR(MATCH(BF235,INDEX(Boundaries!$B$2:$I$30,MATCH(CS235,Boundaries!$A$2:$A$30,0),0),1)-1,""))</f>
        <v/>
      </c>
      <c r="BH235" s="42" t="str">
        <f aca="false">IF(OR(BG235="",$E235=""),"",BG235-$E235)</f>
        <v/>
      </c>
      <c r="BI235" s="39"/>
      <c r="BJ235" s="40" t="str">
        <f aca="false">IF(OR(BI235="",CF235=""),"",BI235/CF235*100)</f>
        <v/>
      </c>
      <c r="BK235" s="41" t="str">
        <f aca="false">IF(BJ235="","",IFERROR(MATCH(BJ235,INDEX(Boundaries!$B$2:$I$30,MATCH(CT235,Boundaries!$A$2:$A$30,0),0),1)-1,""))</f>
        <v/>
      </c>
      <c r="BL235" s="42" t="str">
        <f aca="false">IF(OR(BK235="",$E235=""),"",BK235-$E235)</f>
        <v/>
      </c>
      <c r="BM235" s="39"/>
      <c r="BN235" s="40" t="str">
        <f aca="false">IF(OR(BM235="",CG235=""),"",BM235/CG235*100)</f>
        <v/>
      </c>
      <c r="BO235" s="41" t="str">
        <f aca="false">IF(BN235="","",IFERROR(MATCH(BN235,INDEX(Boundaries!$B$2:$I$30,MATCH(CU235,Boundaries!$A$2:$A$30,0),0),1)-1,""))</f>
        <v/>
      </c>
      <c r="BP235" s="42" t="str">
        <f aca="false">IF(OR(BO235="",$E235=""),"",BO235-$E235)</f>
        <v/>
      </c>
      <c r="BQ235" s="39"/>
      <c r="BR235" s="40" t="str">
        <f aca="false">IF(OR(BQ235="",CH235=""),"",BQ235/CH235*100)</f>
        <v/>
      </c>
      <c r="BS235" s="41" t="str">
        <f aca="false">IF(BR235="","",IFERROR(MATCH(BR235,INDEX(Boundaries!$B$2:$I$30,MATCH(CV235,Boundaries!$A$2:$A$30,0),0),1)-1,""))</f>
        <v/>
      </c>
      <c r="BT235" s="42" t="str">
        <f aca="false">IF(OR(BS235="",$E235=""),"",BS235-$E235)</f>
        <v/>
      </c>
      <c r="BU235" s="28" t="n">
        <f aca="false">IFERROR(INDEX(Assessments!$H$2:$H$600,MATCH($H235&amp;"|"&amp;$I235&amp;"|"&amp;$J235&amp;"|"&amp;1,Assessments!$A$2:$A$600,0)),"")</f>
        <v>25</v>
      </c>
      <c r="BV235" s="28" t="n">
        <f aca="false">IFERROR(INDEX(Assessments!$H$2:$H$600,MATCH($H235&amp;"|"&amp;$I235&amp;"|"&amp;$J235&amp;"|"&amp;2,Assessments!$A$2:$A$600,0)),"")</f>
        <v>24</v>
      </c>
      <c r="BW235" s="28" t="n">
        <f aca="false">IFERROR(INDEX(Assessments!$H$2:$H$600,MATCH($H235&amp;"|"&amp;$I235&amp;"|"&amp;$J235&amp;"|"&amp;3,Assessments!$A$2:$A$600,0)),"")</f>
        <v>25</v>
      </c>
      <c r="BX235" s="28" t="n">
        <f aca="false">IFERROR(INDEX(Assessments!$H$2:$H$600,MATCH($H235&amp;"|"&amp;$I235&amp;"|"&amp;$J235&amp;"|"&amp;4,Assessments!$A$2:$A$600,0)),"")</f>
        <v>35</v>
      </c>
      <c r="BY235" s="28" t="n">
        <f aca="false">IFERROR(INDEX(Assessments!$H$2:$H$600,MATCH($H235&amp;"|"&amp;$I235&amp;"|"&amp;$J235&amp;"|"&amp;5,Assessments!$A$2:$A$600,0)),"")</f>
        <v>55</v>
      </c>
      <c r="BZ235" s="28" t="n">
        <f aca="false">IFERROR(INDEX(Assessments!$H$2:$H$600,MATCH($H235&amp;"|"&amp;$I235&amp;"|"&amp;$J235&amp;"|"&amp;6,Assessments!$A$2:$A$600,0)),"")</f>
        <v>28</v>
      </c>
      <c r="CA235" s="28" t="n">
        <f aca="false">IFERROR(INDEX(Assessments!$H$2:$H$600,MATCH($H235&amp;"|"&amp;$I235&amp;"|"&amp;$J235&amp;"|"&amp;7,Assessments!$A$2:$A$600,0)),"")</f>
        <v>95</v>
      </c>
      <c r="CB235" s="28" t="str">
        <f aca="false">IFERROR(INDEX(Assessments!$H$2:$H$600,MATCH($H235&amp;"|"&amp;$I235&amp;"|"&amp;$J235&amp;"|"&amp;8,Assessments!$A$2:$A$600,0)),"")</f>
        <v/>
      </c>
      <c r="CC235" s="28" t="str">
        <f aca="false">IFERROR(INDEX(Assessments!$H$2:$H$600,MATCH($H235&amp;"|"&amp;$I235&amp;"|"&amp;$J235&amp;"|"&amp;9,Assessments!$A$2:$A$600,0)),"")</f>
        <v/>
      </c>
      <c r="CD235" s="28" t="str">
        <f aca="false">IFERROR(INDEX(Assessments!$H$2:$H$600,MATCH($H235&amp;"|"&amp;$I235&amp;"|"&amp;$J235&amp;"|"&amp;10,Assessments!$A$2:$A$600,0)),"")</f>
        <v/>
      </c>
      <c r="CE235" s="28" t="str">
        <f aca="false">IFERROR(INDEX(Assessments!$H$2:$H$600,MATCH($H235&amp;"|"&amp;$I235&amp;"|"&amp;$J235&amp;"|"&amp;11,Assessments!$A$2:$A$600,0)),"")</f>
        <v/>
      </c>
      <c r="CF235" s="28" t="str">
        <f aca="false">IFERROR(INDEX(Assessments!$H$2:$H$600,MATCH($H235&amp;"|"&amp;$I235&amp;"|"&amp;$J235&amp;"|"&amp;12,Assessments!$A$2:$A$600,0)),"")</f>
        <v/>
      </c>
      <c r="CG235" s="28" t="str">
        <f aca="false">IFERROR(INDEX(Assessments!$H$2:$H$600,MATCH($H235&amp;"|"&amp;$I235&amp;"|"&amp;$J235&amp;"|"&amp;13,Assessments!$A$2:$A$600,0)),"")</f>
        <v/>
      </c>
      <c r="CH235" s="28" t="str">
        <f aca="false">IFERROR(INDEX(Assessments!$H$2:$H$600,MATCH($H235&amp;"|"&amp;$I235&amp;"|"&amp;$J235&amp;"|"&amp;14,Assessments!$A$2:$A$600,0)),"")</f>
        <v/>
      </c>
      <c r="CI235" s="28" t="str">
        <f aca="false">IFERROR(INDEX(Assessments!$I$2:$I$600,MATCH($H235&amp;"|"&amp;$I235&amp;"|"&amp;$J235&amp;"|"&amp;1,Assessments!$A$2:$A$600,0)),"")</f>
        <v>Econ Test</v>
      </c>
      <c r="CJ235" s="28" t="str">
        <f aca="false">IFERROR(INDEX(Assessments!$I$2:$I$600,MATCH($H235&amp;"|"&amp;$I235&amp;"|"&amp;$J235&amp;"|"&amp;2,Assessments!$A$2:$A$600,0)),"")</f>
        <v>Econ Test</v>
      </c>
      <c r="CK235" s="28" t="str">
        <f aca="false">IFERROR(INDEX(Assessments!$I$2:$I$600,MATCH($H235&amp;"|"&amp;$I235&amp;"|"&amp;$J235&amp;"|"&amp;3,Assessments!$A$2:$A$600,0)),"")</f>
        <v>Econ Test</v>
      </c>
      <c r="CL235" s="28" t="str">
        <f aca="false">IFERROR(INDEX(Assessments!$I$2:$I$600,MATCH($H235&amp;"|"&amp;$I235&amp;"|"&amp;$J235&amp;"|"&amp;4,Assessments!$A$2:$A$600,0)),"")</f>
        <v>Econ Test</v>
      </c>
      <c r="CM235" s="28" t="str">
        <f aca="false">IFERROR(INDEX(Assessments!$I$2:$I$600,MATCH($H235&amp;"|"&amp;$I235&amp;"|"&amp;$J235&amp;"|"&amp;5,Assessments!$A$2:$A$600,0)),"")</f>
        <v>Econ Exam</v>
      </c>
      <c r="CN235" s="28" t="str">
        <f aca="false">IFERROR(INDEX(Assessments!$I$2:$I$600,MATCH($H235&amp;"|"&amp;$I235&amp;"|"&amp;$J235&amp;"|"&amp;6,Assessments!$A$2:$A$600,0)),"")</f>
        <v>Econ Test</v>
      </c>
      <c r="CO235" s="28" t="str">
        <f aca="false">IFERROR(INDEX(Assessments!$I$2:$I$600,MATCH($H235&amp;"|"&amp;$I235&amp;"|"&amp;$J235&amp;"|"&amp;7,Assessments!$A$2:$A$600,0)),"")</f>
        <v>Econ Exam</v>
      </c>
      <c r="CP235" s="28" t="str">
        <f aca="false">IFERROR(INDEX(Assessments!$I$2:$I$600,MATCH($H235&amp;"|"&amp;$I235&amp;"|"&amp;$J235&amp;"|"&amp;8,Assessments!$A$2:$A$600,0)),"")</f>
        <v/>
      </c>
      <c r="CQ235" s="28" t="str">
        <f aca="false">IFERROR(INDEX(Assessments!$I$2:$I$600,MATCH($H235&amp;"|"&amp;$I235&amp;"|"&amp;$J235&amp;"|"&amp;9,Assessments!$A$2:$A$600,0)),"")</f>
        <v/>
      </c>
      <c r="CR235" s="28" t="str">
        <f aca="false">IFERROR(INDEX(Assessments!$I$2:$I$600,MATCH($H235&amp;"|"&amp;$I235&amp;"|"&amp;$J235&amp;"|"&amp;10,Assessments!$A$2:$A$600,0)),"")</f>
        <v/>
      </c>
      <c r="CS235" s="28" t="str">
        <f aca="false">IFERROR(INDEX(Assessments!$I$2:$I$600,MATCH($H235&amp;"|"&amp;$I235&amp;"|"&amp;$J235&amp;"|"&amp;11,Assessments!$A$2:$A$600,0)),"")</f>
        <v/>
      </c>
      <c r="CT235" s="28" t="str">
        <f aca="false">IFERROR(INDEX(Assessments!$I$2:$I$600,MATCH($H235&amp;"|"&amp;$I235&amp;"|"&amp;$J235&amp;"|"&amp;12,Assessments!$A$2:$A$600,0)),"")</f>
        <v/>
      </c>
      <c r="CU235" s="28" t="str">
        <f aca="false">IFERROR(INDEX(Assessments!$I$2:$I$600,MATCH($H235&amp;"|"&amp;$I235&amp;"|"&amp;$J235&amp;"|"&amp;13,Assessments!$A$2:$A$600,0)),"")</f>
        <v/>
      </c>
      <c r="CV235" s="28" t="str">
        <f aca="false">IFERROR(INDEX(Assessments!$I$2:$I$600,MATCH($H235&amp;"|"&amp;$I235&amp;"|"&amp;$J235&amp;"|"&amp;14,Assessments!$A$2:$A$600,0)),"")</f>
        <v/>
      </c>
      <c r="CW235" s="28" t="n">
        <f aca="false">IFERROR(INDEX(Assessments!$J$2:$J$600,MATCH($H235&amp;"|"&amp;$I235&amp;"|"&amp;$J235&amp;"|"&amp;1,Assessments!$A$2:$A$600,0)),0)</f>
        <v>1</v>
      </c>
      <c r="CX235" s="28" t="n">
        <f aca="false">IFERROR(INDEX(Assessments!$J$2:$J$600,MATCH($H235&amp;"|"&amp;$I235&amp;"|"&amp;$J235&amp;"|"&amp;2,Assessments!$A$2:$A$600,0)),0)</f>
        <v>1</v>
      </c>
      <c r="CY235" s="28" t="n">
        <f aca="false">IFERROR(INDEX(Assessments!$J$2:$J$600,MATCH($H235&amp;"|"&amp;$I235&amp;"|"&amp;$J235&amp;"|"&amp;3,Assessments!$A$2:$A$600,0)),0)</f>
        <v>1</v>
      </c>
      <c r="CZ235" s="28" t="n">
        <f aca="false">IFERROR(INDEX(Assessments!$J$2:$J$600,MATCH($H235&amp;"|"&amp;$I235&amp;"|"&amp;$J235&amp;"|"&amp;4,Assessments!$A$2:$A$600,0)),0)</f>
        <v>1</v>
      </c>
      <c r="DA235" s="28" t="n">
        <f aca="false">IFERROR(INDEX(Assessments!$J$2:$J$600,MATCH($H235&amp;"|"&amp;$I235&amp;"|"&amp;$J235&amp;"|"&amp;5,Assessments!$A$2:$A$600,0)),0)</f>
        <v>2</v>
      </c>
      <c r="DB235" s="28" t="n">
        <f aca="false">IFERROR(INDEX(Assessments!$J$2:$J$600,MATCH($H235&amp;"|"&amp;$I235&amp;"|"&amp;$J235&amp;"|"&amp;6,Assessments!$A$2:$A$600,0)),0)</f>
        <v>1</v>
      </c>
      <c r="DC235" s="28" t="n">
        <f aca="false">IFERROR(INDEX(Assessments!$J$2:$J$600,MATCH($H235&amp;"|"&amp;$I235&amp;"|"&amp;$J235&amp;"|"&amp;7,Assessments!$A$2:$A$600,0)),0)</f>
        <v>2</v>
      </c>
      <c r="DD235" s="28" t="n">
        <f aca="false">IFERROR(INDEX(Assessments!$J$2:$J$600,MATCH($H235&amp;"|"&amp;$I235&amp;"|"&amp;$J235&amp;"|"&amp;8,Assessments!$A$2:$A$600,0)),0)</f>
        <v>0</v>
      </c>
      <c r="DE235" s="28" t="n">
        <f aca="false">IFERROR(INDEX(Assessments!$J$2:$J$600,MATCH($H235&amp;"|"&amp;$I235&amp;"|"&amp;$J235&amp;"|"&amp;9,Assessments!$A$2:$A$600,0)),0)</f>
        <v>0</v>
      </c>
      <c r="DF235" s="28" t="n">
        <f aca="false">IFERROR(INDEX(Assessments!$J$2:$J$600,MATCH($H235&amp;"|"&amp;$I235&amp;"|"&amp;$J235&amp;"|"&amp;10,Assessments!$A$2:$A$600,0)),0)</f>
        <v>0</v>
      </c>
      <c r="DG235" s="28" t="n">
        <f aca="false">IFERROR(INDEX(Assessments!$J$2:$J$600,MATCH($H235&amp;"|"&amp;$I235&amp;"|"&amp;$J235&amp;"|"&amp;11,Assessments!$A$2:$A$600,0)),0)</f>
        <v>0</v>
      </c>
      <c r="DH235" s="28" t="n">
        <f aca="false">IFERROR(INDEX(Assessments!$J$2:$J$600,MATCH($H235&amp;"|"&amp;$I235&amp;"|"&amp;$J235&amp;"|"&amp;12,Assessments!$A$2:$A$600,0)),0)</f>
        <v>0</v>
      </c>
      <c r="DI235" s="28" t="n">
        <f aca="false">IFERROR(INDEX(Assessments!$J$2:$J$600,MATCH($H235&amp;"|"&amp;$I235&amp;"|"&amp;$J235&amp;"|"&amp;13,Assessments!$A$2:$A$600,0)),0)</f>
        <v>0</v>
      </c>
      <c r="DJ235" s="28" t="n">
        <f aca="false">IFERROR(INDEX(Assessments!$J$2:$J$600,MATCH($H235&amp;"|"&amp;$I235&amp;"|"&amp;$J235&amp;"|"&amp;14,Assessments!$A$2:$A$600,0)),0)</f>
        <v>0</v>
      </c>
      <c r="DK235" s="28" t="str">
        <f aca="false">S235</f>
        <v/>
      </c>
      <c r="DL235" s="28" t="str">
        <f aca="false">W235</f>
        <v/>
      </c>
      <c r="DM235" s="28" t="str">
        <f aca="false">AA235</f>
        <v/>
      </c>
      <c r="DN235" s="28" t="str">
        <f aca="false">AE235</f>
        <v/>
      </c>
      <c r="DO235" s="28" t="str">
        <f aca="false">AI235</f>
        <v/>
      </c>
      <c r="DP235" s="28" t="str">
        <f aca="false">AM235</f>
        <v/>
      </c>
      <c r="DQ235" s="28" t="str">
        <f aca="false">AQ235</f>
        <v/>
      </c>
      <c r="DR235" s="28" t="str">
        <f aca="false">AU235</f>
        <v/>
      </c>
      <c r="DS235" s="28" t="str">
        <f aca="false">AY235</f>
        <v/>
      </c>
      <c r="DT235" s="28" t="str">
        <f aca="false">BC235</f>
        <v/>
      </c>
      <c r="DU235" s="28" t="str">
        <f aca="false">BG235</f>
        <v/>
      </c>
      <c r="DV235" s="28" t="str">
        <f aca="false">BK235</f>
        <v/>
      </c>
      <c r="DW235" s="28" t="str">
        <f aca="false">BO235</f>
        <v/>
      </c>
      <c r="DX235" s="28" t="str">
        <f aca="false">BS235</f>
        <v/>
      </c>
      <c r="DY235" s="28" t="str">
        <f aca="false">IF(ISNUMBER(S235),1,"")</f>
        <v/>
      </c>
      <c r="DZ235" s="28" t="str">
        <f aca="false">IF(ISNUMBER(W235),2,"")</f>
        <v/>
      </c>
      <c r="EA235" s="28" t="str">
        <f aca="false">IF(ISNUMBER(AA235),3,"")</f>
        <v/>
      </c>
      <c r="EB235" s="28" t="str">
        <f aca="false">IF(ISNUMBER(AE235),4,"")</f>
        <v/>
      </c>
      <c r="EC235" s="28" t="str">
        <f aca="false">IF(ISNUMBER(AI235),5,"")</f>
        <v/>
      </c>
      <c r="ED235" s="28" t="str">
        <f aca="false">IF(ISNUMBER(AM235),6,"")</f>
        <v/>
      </c>
      <c r="EE235" s="28" t="str">
        <f aca="false">IF(ISNUMBER(AQ235),7,"")</f>
        <v/>
      </c>
      <c r="EF235" s="28" t="str">
        <f aca="false">IF(ISNUMBER(AU235),8,"")</f>
        <v/>
      </c>
      <c r="EG235" s="28" t="str">
        <f aca="false">IF(ISNUMBER(AY235),9,"")</f>
        <v/>
      </c>
      <c r="EH235" s="28" t="str">
        <f aca="false">IF(ISNUMBER(BC235),10,"")</f>
        <v/>
      </c>
      <c r="EI235" s="28" t="str">
        <f aca="false">IF(ISNUMBER(BG235),11,"")</f>
        <v/>
      </c>
      <c r="EJ235" s="28" t="str">
        <f aca="false">IF(ISNUMBER(BK235),12,"")</f>
        <v/>
      </c>
      <c r="EK235" s="28" t="str">
        <f aca="false">IF(ISNUMBER(BO235),13,"")</f>
        <v/>
      </c>
      <c r="EL235" s="28" t="str">
        <f aca="false">IF(ISNUMBER(BS235),14,"")</f>
        <v/>
      </c>
      <c r="EM235" s="28" t="n">
        <f aca="false">IF(ISNUMBER(R235),R235*CW235,0)</f>
        <v>0</v>
      </c>
      <c r="EN235" s="28" t="n">
        <f aca="false">IF(ISNUMBER(V235),V235*CX235,0)</f>
        <v>0</v>
      </c>
      <c r="EO235" s="28" t="n">
        <f aca="false">IF(ISNUMBER(Z235),Z235*CY235,0)</f>
        <v>0</v>
      </c>
      <c r="EP235" s="28" t="n">
        <f aca="false">IF(ISNUMBER(AD235),AD235*CZ235,0)</f>
        <v>0</v>
      </c>
      <c r="EQ235" s="28" t="n">
        <f aca="false">IF(ISNUMBER(AH235),AH235*DA235,0)</f>
        <v>0</v>
      </c>
      <c r="ER235" s="28" t="n">
        <f aca="false">IF(ISNUMBER(AL235),AL235*DB235,0)</f>
        <v>0</v>
      </c>
      <c r="ES235" s="28" t="n">
        <f aca="false">IF(ISNUMBER(AP235),AP235*DC235,0)</f>
        <v>0</v>
      </c>
      <c r="ET235" s="28" t="n">
        <f aca="false">IF(ISNUMBER(AT235),AT235*DD235,0)</f>
        <v>0</v>
      </c>
      <c r="EU235" s="28" t="n">
        <f aca="false">IF(ISNUMBER(AX235),AX235*DE235,0)</f>
        <v>0</v>
      </c>
      <c r="EV235" s="28" t="n">
        <f aca="false">IF(ISNUMBER(BB235),BB235*DF235,0)</f>
        <v>0</v>
      </c>
      <c r="EW235" s="28" t="n">
        <f aca="false">IF(ISNUMBER(BF235),BF235*DG235,0)</f>
        <v>0</v>
      </c>
      <c r="EX235" s="28" t="n">
        <f aca="false">IF(ISNUMBER(BJ235),BJ235*DH235,0)</f>
        <v>0</v>
      </c>
      <c r="EY235" s="28" t="n">
        <f aca="false">IF(ISNUMBER(BN235),BN235*DI235,0)</f>
        <v>0</v>
      </c>
      <c r="EZ235" s="28" t="n">
        <f aca="false">IF(ISNUMBER(BR235),BR235*DJ235,0)</f>
        <v>0</v>
      </c>
      <c r="FA235" s="28" t="n">
        <f aca="false">IF(ISNUMBER(R235),CW235,0)</f>
        <v>0</v>
      </c>
      <c r="FB235" s="28" t="n">
        <f aca="false">IF(ISNUMBER(V235),CX235,0)</f>
        <v>0</v>
      </c>
      <c r="FC235" s="28" t="n">
        <f aca="false">IF(ISNUMBER(Z235),CY235,0)</f>
        <v>0</v>
      </c>
      <c r="FD235" s="28" t="n">
        <f aca="false">IF(ISNUMBER(AD235),CZ235,0)</f>
        <v>0</v>
      </c>
      <c r="FE235" s="28" t="n">
        <f aca="false">IF(ISNUMBER(AH235),DA235,0)</f>
        <v>0</v>
      </c>
      <c r="FF235" s="28" t="n">
        <f aca="false">IF(ISNUMBER(AL235),DB235,0)</f>
        <v>0</v>
      </c>
      <c r="FG235" s="28" t="n">
        <f aca="false">IF(ISNUMBER(AP235),DC235,0)</f>
        <v>0</v>
      </c>
      <c r="FH235" s="28" t="n">
        <f aca="false">IF(ISNUMBER(AT235),DD235,0)</f>
        <v>0</v>
      </c>
      <c r="FI235" s="28" t="n">
        <f aca="false">IF(ISNUMBER(AX235),DE235,0)</f>
        <v>0</v>
      </c>
      <c r="FJ235" s="28" t="n">
        <f aca="false">IF(ISNUMBER(BB235),DF235,0)</f>
        <v>0</v>
      </c>
      <c r="FK235" s="28" t="n">
        <f aca="false">IF(ISNUMBER(BF235),DG235,0)</f>
        <v>0</v>
      </c>
      <c r="FL235" s="28" t="n">
        <f aca="false">IF(ISNUMBER(BJ235),DH235,0)</f>
        <v>0</v>
      </c>
      <c r="FM235" s="28" t="n">
        <f aca="false">IF(ISNUMBER(BN235),DI235,0)</f>
        <v>0</v>
      </c>
      <c r="FN235" s="28" t="n">
        <f aca="false">IF(ISNUMBER(BR235),DJ235,0)</f>
        <v>0</v>
      </c>
      <c r="FO235" s="28" t="str">
        <f aca="false">IFERROR(INDEX(Lists!$G$2:$G$20,MATCH($I235&amp;"|"&amp;$J235,Lists!$F$2:$F$20,0)),"")</f>
        <v>Econ Exam</v>
      </c>
    </row>
    <row r="236" customFormat="false" ht="19.5" hidden="false" customHeight="true" outlineLevel="0" collapsed="false">
      <c r="A236" s="29" t="s">
        <v>340</v>
      </c>
      <c r="B236" s="29" t="s">
        <v>495</v>
      </c>
      <c r="C236" s="30" t="s">
        <v>152</v>
      </c>
      <c r="D236" s="30" t="s">
        <v>291</v>
      </c>
      <c r="E236" s="31"/>
      <c r="F236" s="30"/>
      <c r="G236" s="30"/>
      <c r="H236" s="32" t="s">
        <v>428</v>
      </c>
      <c r="I236" s="33" t="s">
        <v>229</v>
      </c>
      <c r="J236" s="32" t="s">
        <v>25</v>
      </c>
      <c r="K236" s="34" t="str">
        <f aca="false">IF(OR(M236="",$E236=""),"",M236-$E236)</f>
        <v/>
      </c>
      <c r="L236" s="35" t="n">
        <f aca="false">IF(SUM(FA236:FN236)=0,"",SUM(EM236:EZ236)/SUM(FA236:FN236))</f>
        <v>72</v>
      </c>
      <c r="M236" s="36" t="n">
        <f aca="false">IF(OR(L236="",FO236=""),"",IFERROR(MATCH(L236,INDEX(Boundaries!$B$2:$I$30,MATCH(FO236,Boundaries!$A$2:$A$30,0),0),1)-1,""))</f>
        <v>6</v>
      </c>
      <c r="N236" s="37" t="str">
        <f aca="false">IF(COUNT($DY236:$EL236)&lt;2,"",INDEX($DK236:$DX236,MAX($DY236:$EL236))-INDEX($DK236:$DX236,MIN($DY236:$EL236)))</f>
        <v/>
      </c>
      <c r="O236" s="37" t="str">
        <f aca="false">IF(COUNT($DY236:$EL236)&lt;2,"",INDEX($DK236:$DX236,MAX($DY236:$EL236))-INDEX($DK236:$DX236,LARGE($DY236:$EL236,2)))</f>
        <v/>
      </c>
      <c r="P236" s="38" t="str">
        <f aca="false">IF(K236="","",IF(K236&gt;=0,"On/above target",IF(AND(N236&lt;&gt;"",N236&gt;=0.5),"Improving towards target",IF(AND(O236&lt;&gt;"",O236&lt;=-0.5),"Declining","Stable below target"))))</f>
        <v/>
      </c>
      <c r="Q236" s="39" t="n">
        <v>18</v>
      </c>
      <c r="R236" s="40" t="n">
        <f aca="false">IF(OR(Q236="",BU236=""),"",Q236/BU236*100)</f>
        <v>72</v>
      </c>
      <c r="S236" s="41" t="n">
        <f aca="false">IF(R236="","",IFERROR(MATCH(R236,INDEX(Boundaries!$B$2:$I$30,MATCH(CI236,Boundaries!$A$2:$A$30,0),0),1)-1,""))</f>
        <v>5</v>
      </c>
      <c r="T236" s="42" t="str">
        <f aca="false">IF(OR(S236="",$E236=""),"",S236-$E236)</f>
        <v/>
      </c>
      <c r="U236" s="39"/>
      <c r="V236" s="40" t="str">
        <f aca="false">IF(OR(U236="",BV236=""),"",U236/BV236*100)</f>
        <v/>
      </c>
      <c r="W236" s="41" t="str">
        <f aca="false">IF(V236="","",IFERROR(MATCH(V236,INDEX(Boundaries!$B$2:$I$30,MATCH(CJ236,Boundaries!$A$2:$A$30,0),0),1)-1,""))</f>
        <v/>
      </c>
      <c r="X236" s="42" t="str">
        <f aca="false">IF(OR(W236="",$E236=""),"",W236-$E236)</f>
        <v/>
      </c>
      <c r="Y236" s="39"/>
      <c r="Z236" s="40" t="str">
        <f aca="false">IF(OR(Y236="",BW236=""),"",Y236/BW236*100)</f>
        <v/>
      </c>
      <c r="AA236" s="41" t="str">
        <f aca="false">IF(Z236="","",IFERROR(MATCH(Z236,INDEX(Boundaries!$B$2:$I$30,MATCH(CK236,Boundaries!$A$2:$A$30,0),0),1)-1,""))</f>
        <v/>
      </c>
      <c r="AB236" s="42" t="str">
        <f aca="false">IF(OR(AA236="",$E236=""),"",AA236-$E236)</f>
        <v/>
      </c>
      <c r="AC236" s="39"/>
      <c r="AD236" s="40" t="str">
        <f aca="false">IF(OR(AC236="",BX236=""),"",AC236/BX236*100)</f>
        <v/>
      </c>
      <c r="AE236" s="41" t="str">
        <f aca="false">IF(AD236="","",IFERROR(MATCH(AD236,INDEX(Boundaries!$B$2:$I$30,MATCH(CL236,Boundaries!$A$2:$A$30,0),0),1)-1,""))</f>
        <v/>
      </c>
      <c r="AF236" s="42" t="str">
        <f aca="false">IF(OR(AE236="",$E236=""),"",AE236-$E236)</f>
        <v/>
      </c>
      <c r="AG236" s="39"/>
      <c r="AH236" s="40" t="str">
        <f aca="false">IF(OR(AG236="",BY236=""),"",AG236/BY236*100)</f>
        <v/>
      </c>
      <c r="AI236" s="41" t="str">
        <f aca="false">IF(AH236="","",IFERROR(MATCH(AH236,INDEX(Boundaries!$B$2:$I$30,MATCH(CM236,Boundaries!$A$2:$A$30,0),0),1)-1,""))</f>
        <v/>
      </c>
      <c r="AJ236" s="42" t="str">
        <f aca="false">IF(OR(AI236="",$E236=""),"",AI236-$E236)</f>
        <v/>
      </c>
      <c r="AK236" s="39"/>
      <c r="AL236" s="40" t="str">
        <f aca="false">IF(OR(AK236="",BZ236=""),"",AK236/BZ236*100)</f>
        <v/>
      </c>
      <c r="AM236" s="41" t="str">
        <f aca="false">IF(AL236="","",IFERROR(MATCH(AL236,INDEX(Boundaries!$B$2:$I$30,MATCH(CN236,Boundaries!$A$2:$A$30,0),0),1)-1,""))</f>
        <v/>
      </c>
      <c r="AN236" s="42" t="str">
        <f aca="false">IF(OR(AM236="",$E236=""),"",AM236-$E236)</f>
        <v/>
      </c>
      <c r="AO236" s="39"/>
      <c r="AP236" s="40" t="str">
        <f aca="false">IF(OR(AO236="",CA236=""),"",AO236/CA236*100)</f>
        <v/>
      </c>
      <c r="AQ236" s="41" t="str">
        <f aca="false">IF(AP236="","",IFERROR(MATCH(AP236,INDEX(Boundaries!$B$2:$I$30,MATCH(CO236,Boundaries!$A$2:$A$30,0),0),1)-1,""))</f>
        <v/>
      </c>
      <c r="AR236" s="42" t="str">
        <f aca="false">IF(OR(AQ236="",$E236=""),"",AQ236-$E236)</f>
        <v/>
      </c>
      <c r="AS236" s="39"/>
      <c r="AT236" s="40" t="str">
        <f aca="false">IF(OR(AS236="",CB236=""),"",AS236/CB236*100)</f>
        <v/>
      </c>
      <c r="AU236" s="41" t="str">
        <f aca="false">IF(AT236="","",IFERROR(MATCH(AT236,INDEX(Boundaries!$B$2:$I$30,MATCH(CP236,Boundaries!$A$2:$A$30,0),0),1)-1,""))</f>
        <v/>
      </c>
      <c r="AV236" s="42" t="str">
        <f aca="false">IF(OR(AU236="",$E236=""),"",AU236-$E236)</f>
        <v/>
      </c>
      <c r="AW236" s="39"/>
      <c r="AX236" s="40" t="str">
        <f aca="false">IF(OR(AW236="",CC236=""),"",AW236/CC236*100)</f>
        <v/>
      </c>
      <c r="AY236" s="41" t="str">
        <f aca="false">IF(AX236="","",IFERROR(MATCH(AX236,INDEX(Boundaries!$B$2:$I$30,MATCH(CQ236,Boundaries!$A$2:$A$30,0),0),1)-1,""))</f>
        <v/>
      </c>
      <c r="AZ236" s="42" t="str">
        <f aca="false">IF(OR(AY236="",$E236=""),"",AY236-$E236)</f>
        <v/>
      </c>
      <c r="BA236" s="39"/>
      <c r="BB236" s="40" t="str">
        <f aca="false">IF(OR(BA236="",CD236=""),"",BA236/CD236*100)</f>
        <v/>
      </c>
      <c r="BC236" s="41" t="str">
        <f aca="false">IF(BB236="","",IFERROR(MATCH(BB236,INDEX(Boundaries!$B$2:$I$30,MATCH(CR236,Boundaries!$A$2:$A$30,0),0),1)-1,""))</f>
        <v/>
      </c>
      <c r="BD236" s="42" t="str">
        <f aca="false">IF(OR(BC236="",$E236=""),"",BC236-$E236)</f>
        <v/>
      </c>
      <c r="BE236" s="39"/>
      <c r="BF236" s="40" t="str">
        <f aca="false">IF(OR(BE236="",CE236=""),"",BE236/CE236*100)</f>
        <v/>
      </c>
      <c r="BG236" s="41" t="str">
        <f aca="false">IF(BF236="","",IFERROR(MATCH(BF236,INDEX(Boundaries!$B$2:$I$30,MATCH(CS236,Boundaries!$A$2:$A$30,0),0),1)-1,""))</f>
        <v/>
      </c>
      <c r="BH236" s="42" t="str">
        <f aca="false">IF(OR(BG236="",$E236=""),"",BG236-$E236)</f>
        <v/>
      </c>
      <c r="BI236" s="39"/>
      <c r="BJ236" s="40" t="str">
        <f aca="false">IF(OR(BI236="",CF236=""),"",BI236/CF236*100)</f>
        <v/>
      </c>
      <c r="BK236" s="41" t="str">
        <f aca="false">IF(BJ236="","",IFERROR(MATCH(BJ236,INDEX(Boundaries!$B$2:$I$30,MATCH(CT236,Boundaries!$A$2:$A$30,0),0),1)-1,""))</f>
        <v/>
      </c>
      <c r="BL236" s="42" t="str">
        <f aca="false">IF(OR(BK236="",$E236=""),"",BK236-$E236)</f>
        <v/>
      </c>
      <c r="BM236" s="39"/>
      <c r="BN236" s="40" t="str">
        <f aca="false">IF(OR(BM236="",CG236=""),"",BM236/CG236*100)</f>
        <v/>
      </c>
      <c r="BO236" s="41" t="str">
        <f aca="false">IF(BN236="","",IFERROR(MATCH(BN236,INDEX(Boundaries!$B$2:$I$30,MATCH(CU236,Boundaries!$A$2:$A$30,0),0),1)-1,""))</f>
        <v/>
      </c>
      <c r="BP236" s="42" t="str">
        <f aca="false">IF(OR(BO236="",$E236=""),"",BO236-$E236)</f>
        <v/>
      </c>
      <c r="BQ236" s="39"/>
      <c r="BR236" s="40" t="str">
        <f aca="false">IF(OR(BQ236="",CH236=""),"",BQ236/CH236*100)</f>
        <v/>
      </c>
      <c r="BS236" s="41" t="str">
        <f aca="false">IF(BR236="","",IFERROR(MATCH(BR236,INDEX(Boundaries!$B$2:$I$30,MATCH(CV236,Boundaries!$A$2:$A$30,0),0),1)-1,""))</f>
        <v/>
      </c>
      <c r="BT236" s="42" t="str">
        <f aca="false">IF(OR(BS236="",$E236=""),"",BS236-$E236)</f>
        <v/>
      </c>
      <c r="BU236" s="28" t="n">
        <f aca="false">IFERROR(INDEX(Assessments!$H$2:$H$600,MATCH($H236&amp;"|"&amp;$I236&amp;"|"&amp;$J236&amp;"|"&amp;1,Assessments!$A$2:$A$600,0)),"")</f>
        <v>25</v>
      </c>
      <c r="BV236" s="28" t="n">
        <f aca="false">IFERROR(INDEX(Assessments!$H$2:$H$600,MATCH($H236&amp;"|"&amp;$I236&amp;"|"&amp;$J236&amp;"|"&amp;2,Assessments!$A$2:$A$600,0)),"")</f>
        <v>24</v>
      </c>
      <c r="BW236" s="28" t="n">
        <f aca="false">IFERROR(INDEX(Assessments!$H$2:$H$600,MATCH($H236&amp;"|"&amp;$I236&amp;"|"&amp;$J236&amp;"|"&amp;3,Assessments!$A$2:$A$600,0)),"")</f>
        <v>25</v>
      </c>
      <c r="BX236" s="28" t="n">
        <f aca="false">IFERROR(INDEX(Assessments!$H$2:$H$600,MATCH($H236&amp;"|"&amp;$I236&amp;"|"&amp;$J236&amp;"|"&amp;4,Assessments!$A$2:$A$600,0)),"")</f>
        <v>35</v>
      </c>
      <c r="BY236" s="28" t="n">
        <f aca="false">IFERROR(INDEX(Assessments!$H$2:$H$600,MATCH($H236&amp;"|"&amp;$I236&amp;"|"&amp;$J236&amp;"|"&amp;5,Assessments!$A$2:$A$600,0)),"")</f>
        <v>55</v>
      </c>
      <c r="BZ236" s="28" t="n">
        <f aca="false">IFERROR(INDEX(Assessments!$H$2:$H$600,MATCH($H236&amp;"|"&amp;$I236&amp;"|"&amp;$J236&amp;"|"&amp;6,Assessments!$A$2:$A$600,0)),"")</f>
        <v>28</v>
      </c>
      <c r="CA236" s="28" t="n">
        <f aca="false">IFERROR(INDEX(Assessments!$H$2:$H$600,MATCH($H236&amp;"|"&amp;$I236&amp;"|"&amp;$J236&amp;"|"&amp;7,Assessments!$A$2:$A$600,0)),"")</f>
        <v>95</v>
      </c>
      <c r="CB236" s="28" t="str">
        <f aca="false">IFERROR(INDEX(Assessments!$H$2:$H$600,MATCH($H236&amp;"|"&amp;$I236&amp;"|"&amp;$J236&amp;"|"&amp;8,Assessments!$A$2:$A$600,0)),"")</f>
        <v/>
      </c>
      <c r="CC236" s="28" t="str">
        <f aca="false">IFERROR(INDEX(Assessments!$H$2:$H$600,MATCH($H236&amp;"|"&amp;$I236&amp;"|"&amp;$J236&amp;"|"&amp;9,Assessments!$A$2:$A$600,0)),"")</f>
        <v/>
      </c>
      <c r="CD236" s="28" t="str">
        <f aca="false">IFERROR(INDEX(Assessments!$H$2:$H$600,MATCH($H236&amp;"|"&amp;$I236&amp;"|"&amp;$J236&amp;"|"&amp;10,Assessments!$A$2:$A$600,0)),"")</f>
        <v/>
      </c>
      <c r="CE236" s="28" t="str">
        <f aca="false">IFERROR(INDEX(Assessments!$H$2:$H$600,MATCH($H236&amp;"|"&amp;$I236&amp;"|"&amp;$J236&amp;"|"&amp;11,Assessments!$A$2:$A$600,0)),"")</f>
        <v/>
      </c>
      <c r="CF236" s="28" t="str">
        <f aca="false">IFERROR(INDEX(Assessments!$H$2:$H$600,MATCH($H236&amp;"|"&amp;$I236&amp;"|"&amp;$J236&amp;"|"&amp;12,Assessments!$A$2:$A$600,0)),"")</f>
        <v/>
      </c>
      <c r="CG236" s="28" t="str">
        <f aca="false">IFERROR(INDEX(Assessments!$H$2:$H$600,MATCH($H236&amp;"|"&amp;$I236&amp;"|"&amp;$J236&amp;"|"&amp;13,Assessments!$A$2:$A$600,0)),"")</f>
        <v/>
      </c>
      <c r="CH236" s="28" t="str">
        <f aca="false">IFERROR(INDEX(Assessments!$H$2:$H$600,MATCH($H236&amp;"|"&amp;$I236&amp;"|"&amp;$J236&amp;"|"&amp;14,Assessments!$A$2:$A$600,0)),"")</f>
        <v/>
      </c>
      <c r="CI236" s="28" t="str">
        <f aca="false">IFERROR(INDEX(Assessments!$I$2:$I$600,MATCH($H236&amp;"|"&amp;$I236&amp;"|"&amp;$J236&amp;"|"&amp;1,Assessments!$A$2:$A$600,0)),"")</f>
        <v>Econ Test</v>
      </c>
      <c r="CJ236" s="28" t="str">
        <f aca="false">IFERROR(INDEX(Assessments!$I$2:$I$600,MATCH($H236&amp;"|"&amp;$I236&amp;"|"&amp;$J236&amp;"|"&amp;2,Assessments!$A$2:$A$600,0)),"")</f>
        <v>Econ Test</v>
      </c>
      <c r="CK236" s="28" t="str">
        <f aca="false">IFERROR(INDEX(Assessments!$I$2:$I$600,MATCH($H236&amp;"|"&amp;$I236&amp;"|"&amp;$J236&amp;"|"&amp;3,Assessments!$A$2:$A$600,0)),"")</f>
        <v>Econ Test</v>
      </c>
      <c r="CL236" s="28" t="str">
        <f aca="false">IFERROR(INDEX(Assessments!$I$2:$I$600,MATCH($H236&amp;"|"&amp;$I236&amp;"|"&amp;$J236&amp;"|"&amp;4,Assessments!$A$2:$A$600,0)),"")</f>
        <v>Econ Test</v>
      </c>
      <c r="CM236" s="28" t="str">
        <f aca="false">IFERROR(INDEX(Assessments!$I$2:$I$600,MATCH($H236&amp;"|"&amp;$I236&amp;"|"&amp;$J236&amp;"|"&amp;5,Assessments!$A$2:$A$600,0)),"")</f>
        <v>Econ Exam</v>
      </c>
      <c r="CN236" s="28" t="str">
        <f aca="false">IFERROR(INDEX(Assessments!$I$2:$I$600,MATCH($H236&amp;"|"&amp;$I236&amp;"|"&amp;$J236&amp;"|"&amp;6,Assessments!$A$2:$A$600,0)),"")</f>
        <v>Econ Test</v>
      </c>
      <c r="CO236" s="28" t="str">
        <f aca="false">IFERROR(INDEX(Assessments!$I$2:$I$600,MATCH($H236&amp;"|"&amp;$I236&amp;"|"&amp;$J236&amp;"|"&amp;7,Assessments!$A$2:$A$600,0)),"")</f>
        <v>Econ Exam</v>
      </c>
      <c r="CP236" s="28" t="str">
        <f aca="false">IFERROR(INDEX(Assessments!$I$2:$I$600,MATCH($H236&amp;"|"&amp;$I236&amp;"|"&amp;$J236&amp;"|"&amp;8,Assessments!$A$2:$A$600,0)),"")</f>
        <v/>
      </c>
      <c r="CQ236" s="28" t="str">
        <f aca="false">IFERROR(INDEX(Assessments!$I$2:$I$600,MATCH($H236&amp;"|"&amp;$I236&amp;"|"&amp;$J236&amp;"|"&amp;9,Assessments!$A$2:$A$600,0)),"")</f>
        <v/>
      </c>
      <c r="CR236" s="28" t="str">
        <f aca="false">IFERROR(INDEX(Assessments!$I$2:$I$600,MATCH($H236&amp;"|"&amp;$I236&amp;"|"&amp;$J236&amp;"|"&amp;10,Assessments!$A$2:$A$600,0)),"")</f>
        <v/>
      </c>
      <c r="CS236" s="28" t="str">
        <f aca="false">IFERROR(INDEX(Assessments!$I$2:$I$600,MATCH($H236&amp;"|"&amp;$I236&amp;"|"&amp;$J236&amp;"|"&amp;11,Assessments!$A$2:$A$600,0)),"")</f>
        <v/>
      </c>
      <c r="CT236" s="28" t="str">
        <f aca="false">IFERROR(INDEX(Assessments!$I$2:$I$600,MATCH($H236&amp;"|"&amp;$I236&amp;"|"&amp;$J236&amp;"|"&amp;12,Assessments!$A$2:$A$600,0)),"")</f>
        <v/>
      </c>
      <c r="CU236" s="28" t="str">
        <f aca="false">IFERROR(INDEX(Assessments!$I$2:$I$600,MATCH($H236&amp;"|"&amp;$I236&amp;"|"&amp;$J236&amp;"|"&amp;13,Assessments!$A$2:$A$600,0)),"")</f>
        <v/>
      </c>
      <c r="CV236" s="28" t="str">
        <f aca="false">IFERROR(INDEX(Assessments!$I$2:$I$600,MATCH($H236&amp;"|"&amp;$I236&amp;"|"&amp;$J236&amp;"|"&amp;14,Assessments!$A$2:$A$600,0)),"")</f>
        <v/>
      </c>
      <c r="CW236" s="28" t="n">
        <f aca="false">IFERROR(INDEX(Assessments!$J$2:$J$600,MATCH($H236&amp;"|"&amp;$I236&amp;"|"&amp;$J236&amp;"|"&amp;1,Assessments!$A$2:$A$600,0)),0)</f>
        <v>1</v>
      </c>
      <c r="CX236" s="28" t="n">
        <f aca="false">IFERROR(INDEX(Assessments!$J$2:$J$600,MATCH($H236&amp;"|"&amp;$I236&amp;"|"&amp;$J236&amp;"|"&amp;2,Assessments!$A$2:$A$600,0)),0)</f>
        <v>1</v>
      </c>
      <c r="CY236" s="28" t="n">
        <f aca="false">IFERROR(INDEX(Assessments!$J$2:$J$600,MATCH($H236&amp;"|"&amp;$I236&amp;"|"&amp;$J236&amp;"|"&amp;3,Assessments!$A$2:$A$600,0)),0)</f>
        <v>1</v>
      </c>
      <c r="CZ236" s="28" t="n">
        <f aca="false">IFERROR(INDEX(Assessments!$J$2:$J$600,MATCH($H236&amp;"|"&amp;$I236&amp;"|"&amp;$J236&amp;"|"&amp;4,Assessments!$A$2:$A$600,0)),0)</f>
        <v>1</v>
      </c>
      <c r="DA236" s="28" t="n">
        <f aca="false">IFERROR(INDEX(Assessments!$J$2:$J$600,MATCH($H236&amp;"|"&amp;$I236&amp;"|"&amp;$J236&amp;"|"&amp;5,Assessments!$A$2:$A$600,0)),0)</f>
        <v>2</v>
      </c>
      <c r="DB236" s="28" t="n">
        <f aca="false">IFERROR(INDEX(Assessments!$J$2:$J$600,MATCH($H236&amp;"|"&amp;$I236&amp;"|"&amp;$J236&amp;"|"&amp;6,Assessments!$A$2:$A$600,0)),0)</f>
        <v>1</v>
      </c>
      <c r="DC236" s="28" t="n">
        <f aca="false">IFERROR(INDEX(Assessments!$J$2:$J$600,MATCH($H236&amp;"|"&amp;$I236&amp;"|"&amp;$J236&amp;"|"&amp;7,Assessments!$A$2:$A$600,0)),0)</f>
        <v>2</v>
      </c>
      <c r="DD236" s="28" t="n">
        <f aca="false">IFERROR(INDEX(Assessments!$J$2:$J$600,MATCH($H236&amp;"|"&amp;$I236&amp;"|"&amp;$J236&amp;"|"&amp;8,Assessments!$A$2:$A$600,0)),0)</f>
        <v>0</v>
      </c>
      <c r="DE236" s="28" t="n">
        <f aca="false">IFERROR(INDEX(Assessments!$J$2:$J$600,MATCH($H236&amp;"|"&amp;$I236&amp;"|"&amp;$J236&amp;"|"&amp;9,Assessments!$A$2:$A$600,0)),0)</f>
        <v>0</v>
      </c>
      <c r="DF236" s="28" t="n">
        <f aca="false">IFERROR(INDEX(Assessments!$J$2:$J$600,MATCH($H236&amp;"|"&amp;$I236&amp;"|"&amp;$J236&amp;"|"&amp;10,Assessments!$A$2:$A$600,0)),0)</f>
        <v>0</v>
      </c>
      <c r="DG236" s="28" t="n">
        <f aca="false">IFERROR(INDEX(Assessments!$J$2:$J$600,MATCH($H236&amp;"|"&amp;$I236&amp;"|"&amp;$J236&amp;"|"&amp;11,Assessments!$A$2:$A$600,0)),0)</f>
        <v>0</v>
      </c>
      <c r="DH236" s="28" t="n">
        <f aca="false">IFERROR(INDEX(Assessments!$J$2:$J$600,MATCH($H236&amp;"|"&amp;$I236&amp;"|"&amp;$J236&amp;"|"&amp;12,Assessments!$A$2:$A$600,0)),0)</f>
        <v>0</v>
      </c>
      <c r="DI236" s="28" t="n">
        <f aca="false">IFERROR(INDEX(Assessments!$J$2:$J$600,MATCH($H236&amp;"|"&amp;$I236&amp;"|"&amp;$J236&amp;"|"&amp;13,Assessments!$A$2:$A$600,0)),0)</f>
        <v>0</v>
      </c>
      <c r="DJ236" s="28" t="n">
        <f aca="false">IFERROR(INDEX(Assessments!$J$2:$J$600,MATCH($H236&amp;"|"&amp;$I236&amp;"|"&amp;$J236&amp;"|"&amp;14,Assessments!$A$2:$A$600,0)),0)</f>
        <v>0</v>
      </c>
      <c r="DK236" s="28" t="n">
        <f aca="false">S236</f>
        <v>5</v>
      </c>
      <c r="DL236" s="28" t="str">
        <f aca="false">W236</f>
        <v/>
      </c>
      <c r="DM236" s="28" t="str">
        <f aca="false">AA236</f>
        <v/>
      </c>
      <c r="DN236" s="28" t="str">
        <f aca="false">AE236</f>
        <v/>
      </c>
      <c r="DO236" s="28" t="str">
        <f aca="false">AI236</f>
        <v/>
      </c>
      <c r="DP236" s="28" t="str">
        <f aca="false">AM236</f>
        <v/>
      </c>
      <c r="DQ236" s="28" t="str">
        <f aca="false">AQ236</f>
        <v/>
      </c>
      <c r="DR236" s="28" t="str">
        <f aca="false">AU236</f>
        <v/>
      </c>
      <c r="DS236" s="28" t="str">
        <f aca="false">AY236</f>
        <v/>
      </c>
      <c r="DT236" s="28" t="str">
        <f aca="false">BC236</f>
        <v/>
      </c>
      <c r="DU236" s="28" t="str">
        <f aca="false">BG236</f>
        <v/>
      </c>
      <c r="DV236" s="28" t="str">
        <f aca="false">BK236</f>
        <v/>
      </c>
      <c r="DW236" s="28" t="str">
        <f aca="false">BO236</f>
        <v/>
      </c>
      <c r="DX236" s="28" t="str">
        <f aca="false">BS236</f>
        <v/>
      </c>
      <c r="DY236" s="28" t="n">
        <f aca="false">IF(ISNUMBER(S236),1,"")</f>
        <v>1</v>
      </c>
      <c r="DZ236" s="28" t="str">
        <f aca="false">IF(ISNUMBER(W236),2,"")</f>
        <v/>
      </c>
      <c r="EA236" s="28" t="str">
        <f aca="false">IF(ISNUMBER(AA236),3,"")</f>
        <v/>
      </c>
      <c r="EB236" s="28" t="str">
        <f aca="false">IF(ISNUMBER(AE236),4,"")</f>
        <v/>
      </c>
      <c r="EC236" s="28" t="str">
        <f aca="false">IF(ISNUMBER(AI236),5,"")</f>
        <v/>
      </c>
      <c r="ED236" s="28" t="str">
        <f aca="false">IF(ISNUMBER(AM236),6,"")</f>
        <v/>
      </c>
      <c r="EE236" s="28" t="str">
        <f aca="false">IF(ISNUMBER(AQ236),7,"")</f>
        <v/>
      </c>
      <c r="EF236" s="28" t="str">
        <f aca="false">IF(ISNUMBER(AU236),8,"")</f>
        <v/>
      </c>
      <c r="EG236" s="28" t="str">
        <f aca="false">IF(ISNUMBER(AY236),9,"")</f>
        <v/>
      </c>
      <c r="EH236" s="28" t="str">
        <f aca="false">IF(ISNUMBER(BC236),10,"")</f>
        <v/>
      </c>
      <c r="EI236" s="28" t="str">
        <f aca="false">IF(ISNUMBER(BG236),11,"")</f>
        <v/>
      </c>
      <c r="EJ236" s="28" t="str">
        <f aca="false">IF(ISNUMBER(BK236),12,"")</f>
        <v/>
      </c>
      <c r="EK236" s="28" t="str">
        <f aca="false">IF(ISNUMBER(BO236),13,"")</f>
        <v/>
      </c>
      <c r="EL236" s="28" t="str">
        <f aca="false">IF(ISNUMBER(BS236),14,"")</f>
        <v/>
      </c>
      <c r="EM236" s="28" t="n">
        <f aca="false">IF(ISNUMBER(R236),R236*CW236,0)</f>
        <v>72</v>
      </c>
      <c r="EN236" s="28" t="n">
        <f aca="false">IF(ISNUMBER(V236),V236*CX236,0)</f>
        <v>0</v>
      </c>
      <c r="EO236" s="28" t="n">
        <f aca="false">IF(ISNUMBER(Z236),Z236*CY236,0)</f>
        <v>0</v>
      </c>
      <c r="EP236" s="28" t="n">
        <f aca="false">IF(ISNUMBER(AD236),AD236*CZ236,0)</f>
        <v>0</v>
      </c>
      <c r="EQ236" s="28" t="n">
        <f aca="false">IF(ISNUMBER(AH236),AH236*DA236,0)</f>
        <v>0</v>
      </c>
      <c r="ER236" s="28" t="n">
        <f aca="false">IF(ISNUMBER(AL236),AL236*DB236,0)</f>
        <v>0</v>
      </c>
      <c r="ES236" s="28" t="n">
        <f aca="false">IF(ISNUMBER(AP236),AP236*DC236,0)</f>
        <v>0</v>
      </c>
      <c r="ET236" s="28" t="n">
        <f aca="false">IF(ISNUMBER(AT236),AT236*DD236,0)</f>
        <v>0</v>
      </c>
      <c r="EU236" s="28" t="n">
        <f aca="false">IF(ISNUMBER(AX236),AX236*DE236,0)</f>
        <v>0</v>
      </c>
      <c r="EV236" s="28" t="n">
        <f aca="false">IF(ISNUMBER(BB236),BB236*DF236,0)</f>
        <v>0</v>
      </c>
      <c r="EW236" s="28" t="n">
        <f aca="false">IF(ISNUMBER(BF236),BF236*DG236,0)</f>
        <v>0</v>
      </c>
      <c r="EX236" s="28" t="n">
        <f aca="false">IF(ISNUMBER(BJ236),BJ236*DH236,0)</f>
        <v>0</v>
      </c>
      <c r="EY236" s="28" t="n">
        <f aca="false">IF(ISNUMBER(BN236),BN236*DI236,0)</f>
        <v>0</v>
      </c>
      <c r="EZ236" s="28" t="n">
        <f aca="false">IF(ISNUMBER(BR236),BR236*DJ236,0)</f>
        <v>0</v>
      </c>
      <c r="FA236" s="28" t="n">
        <f aca="false">IF(ISNUMBER(R236),CW236,0)</f>
        <v>1</v>
      </c>
      <c r="FB236" s="28" t="n">
        <f aca="false">IF(ISNUMBER(V236),CX236,0)</f>
        <v>0</v>
      </c>
      <c r="FC236" s="28" t="n">
        <f aca="false">IF(ISNUMBER(Z236),CY236,0)</f>
        <v>0</v>
      </c>
      <c r="FD236" s="28" t="n">
        <f aca="false">IF(ISNUMBER(AD236),CZ236,0)</f>
        <v>0</v>
      </c>
      <c r="FE236" s="28" t="n">
        <f aca="false">IF(ISNUMBER(AH236),DA236,0)</f>
        <v>0</v>
      </c>
      <c r="FF236" s="28" t="n">
        <f aca="false">IF(ISNUMBER(AL236),DB236,0)</f>
        <v>0</v>
      </c>
      <c r="FG236" s="28" t="n">
        <f aca="false">IF(ISNUMBER(AP236),DC236,0)</f>
        <v>0</v>
      </c>
      <c r="FH236" s="28" t="n">
        <f aca="false">IF(ISNUMBER(AT236),DD236,0)</f>
        <v>0</v>
      </c>
      <c r="FI236" s="28" t="n">
        <f aca="false">IF(ISNUMBER(AX236),DE236,0)</f>
        <v>0</v>
      </c>
      <c r="FJ236" s="28" t="n">
        <f aca="false">IF(ISNUMBER(BB236),DF236,0)</f>
        <v>0</v>
      </c>
      <c r="FK236" s="28" t="n">
        <f aca="false">IF(ISNUMBER(BF236),DG236,0)</f>
        <v>0</v>
      </c>
      <c r="FL236" s="28" t="n">
        <f aca="false">IF(ISNUMBER(BJ236),DH236,0)</f>
        <v>0</v>
      </c>
      <c r="FM236" s="28" t="n">
        <f aca="false">IF(ISNUMBER(BN236),DI236,0)</f>
        <v>0</v>
      </c>
      <c r="FN236" s="28" t="n">
        <f aca="false">IF(ISNUMBER(BR236),DJ236,0)</f>
        <v>0</v>
      </c>
      <c r="FO236" s="28" t="str">
        <f aca="false">IFERROR(INDEX(Lists!$G$2:$G$20,MATCH($I236&amp;"|"&amp;$J236,Lists!$F$2:$F$20,0)),"")</f>
        <v>Econ Exam</v>
      </c>
    </row>
    <row r="237" customFormat="false" ht="19.5" hidden="false" customHeight="true" outlineLevel="0" collapsed="false">
      <c r="A237" s="29" t="s">
        <v>496</v>
      </c>
      <c r="B237" s="29" t="s">
        <v>497</v>
      </c>
      <c r="C237" s="30" t="s">
        <v>152</v>
      </c>
      <c r="D237" s="30" t="s">
        <v>291</v>
      </c>
      <c r="E237" s="31"/>
      <c r="F237" s="30"/>
      <c r="G237" s="30"/>
      <c r="H237" s="32" t="s">
        <v>428</v>
      </c>
      <c r="I237" s="33" t="s">
        <v>229</v>
      </c>
      <c r="J237" s="32" t="s">
        <v>25</v>
      </c>
      <c r="K237" s="34" t="str">
        <f aca="false">IF(OR(M237="",$E237=""),"",M237-$E237)</f>
        <v/>
      </c>
      <c r="L237" s="35" t="n">
        <f aca="false">IF(SUM(FA237:FN237)=0,"",SUM(EM237:EZ237)/SUM(FA237:FN237))</f>
        <v>72</v>
      </c>
      <c r="M237" s="36" t="n">
        <f aca="false">IF(OR(L237="",FO237=""),"",IFERROR(MATCH(L237,INDEX(Boundaries!$B$2:$I$30,MATCH(FO237,Boundaries!$A$2:$A$30,0),0),1)-1,""))</f>
        <v>6</v>
      </c>
      <c r="N237" s="37" t="str">
        <f aca="false">IF(COUNT($DY237:$EL237)&lt;2,"",INDEX($DK237:$DX237,MAX($DY237:$EL237))-INDEX($DK237:$DX237,MIN($DY237:$EL237)))</f>
        <v/>
      </c>
      <c r="O237" s="37" t="str">
        <f aca="false">IF(COUNT($DY237:$EL237)&lt;2,"",INDEX($DK237:$DX237,MAX($DY237:$EL237))-INDEX($DK237:$DX237,LARGE($DY237:$EL237,2)))</f>
        <v/>
      </c>
      <c r="P237" s="38" t="str">
        <f aca="false">IF(K237="","",IF(K237&gt;=0,"On/above target",IF(AND(N237&lt;&gt;"",N237&gt;=0.5),"Improving towards target",IF(AND(O237&lt;&gt;"",O237&lt;=-0.5),"Declining","Stable below target"))))</f>
        <v/>
      </c>
      <c r="Q237" s="39" t="n">
        <v>18</v>
      </c>
      <c r="R237" s="40" t="n">
        <f aca="false">IF(OR(Q237="",BU237=""),"",Q237/BU237*100)</f>
        <v>72</v>
      </c>
      <c r="S237" s="41" t="n">
        <f aca="false">IF(R237="","",IFERROR(MATCH(R237,INDEX(Boundaries!$B$2:$I$30,MATCH(CI237,Boundaries!$A$2:$A$30,0),0),1)-1,""))</f>
        <v>5</v>
      </c>
      <c r="T237" s="42" t="str">
        <f aca="false">IF(OR(S237="",$E237=""),"",S237-$E237)</f>
        <v/>
      </c>
      <c r="U237" s="39"/>
      <c r="V237" s="40" t="str">
        <f aca="false">IF(OR(U237="",BV237=""),"",U237/BV237*100)</f>
        <v/>
      </c>
      <c r="W237" s="41" t="str">
        <f aca="false">IF(V237="","",IFERROR(MATCH(V237,INDEX(Boundaries!$B$2:$I$30,MATCH(CJ237,Boundaries!$A$2:$A$30,0),0),1)-1,""))</f>
        <v/>
      </c>
      <c r="X237" s="42" t="str">
        <f aca="false">IF(OR(W237="",$E237=""),"",W237-$E237)</f>
        <v/>
      </c>
      <c r="Y237" s="39"/>
      <c r="Z237" s="40" t="str">
        <f aca="false">IF(OR(Y237="",BW237=""),"",Y237/BW237*100)</f>
        <v/>
      </c>
      <c r="AA237" s="41" t="str">
        <f aca="false">IF(Z237="","",IFERROR(MATCH(Z237,INDEX(Boundaries!$B$2:$I$30,MATCH(CK237,Boundaries!$A$2:$A$30,0),0),1)-1,""))</f>
        <v/>
      </c>
      <c r="AB237" s="42" t="str">
        <f aca="false">IF(OR(AA237="",$E237=""),"",AA237-$E237)</f>
        <v/>
      </c>
      <c r="AC237" s="39"/>
      <c r="AD237" s="40" t="str">
        <f aca="false">IF(OR(AC237="",BX237=""),"",AC237/BX237*100)</f>
        <v/>
      </c>
      <c r="AE237" s="41" t="str">
        <f aca="false">IF(AD237="","",IFERROR(MATCH(AD237,INDEX(Boundaries!$B$2:$I$30,MATCH(CL237,Boundaries!$A$2:$A$30,0),0),1)-1,""))</f>
        <v/>
      </c>
      <c r="AF237" s="42" t="str">
        <f aca="false">IF(OR(AE237="",$E237=""),"",AE237-$E237)</f>
        <v/>
      </c>
      <c r="AG237" s="39"/>
      <c r="AH237" s="40" t="str">
        <f aca="false">IF(OR(AG237="",BY237=""),"",AG237/BY237*100)</f>
        <v/>
      </c>
      <c r="AI237" s="41" t="str">
        <f aca="false">IF(AH237="","",IFERROR(MATCH(AH237,INDEX(Boundaries!$B$2:$I$30,MATCH(CM237,Boundaries!$A$2:$A$30,0),0),1)-1,""))</f>
        <v/>
      </c>
      <c r="AJ237" s="42" t="str">
        <f aca="false">IF(OR(AI237="",$E237=""),"",AI237-$E237)</f>
        <v/>
      </c>
      <c r="AK237" s="39"/>
      <c r="AL237" s="40" t="str">
        <f aca="false">IF(OR(AK237="",BZ237=""),"",AK237/BZ237*100)</f>
        <v/>
      </c>
      <c r="AM237" s="41" t="str">
        <f aca="false">IF(AL237="","",IFERROR(MATCH(AL237,INDEX(Boundaries!$B$2:$I$30,MATCH(CN237,Boundaries!$A$2:$A$30,0),0),1)-1,""))</f>
        <v/>
      </c>
      <c r="AN237" s="42" t="str">
        <f aca="false">IF(OR(AM237="",$E237=""),"",AM237-$E237)</f>
        <v/>
      </c>
      <c r="AO237" s="39"/>
      <c r="AP237" s="40" t="str">
        <f aca="false">IF(OR(AO237="",CA237=""),"",AO237/CA237*100)</f>
        <v/>
      </c>
      <c r="AQ237" s="41" t="str">
        <f aca="false">IF(AP237="","",IFERROR(MATCH(AP237,INDEX(Boundaries!$B$2:$I$30,MATCH(CO237,Boundaries!$A$2:$A$30,0),0),1)-1,""))</f>
        <v/>
      </c>
      <c r="AR237" s="42" t="str">
        <f aca="false">IF(OR(AQ237="",$E237=""),"",AQ237-$E237)</f>
        <v/>
      </c>
      <c r="AS237" s="39"/>
      <c r="AT237" s="40" t="str">
        <f aca="false">IF(OR(AS237="",CB237=""),"",AS237/CB237*100)</f>
        <v/>
      </c>
      <c r="AU237" s="41" t="str">
        <f aca="false">IF(AT237="","",IFERROR(MATCH(AT237,INDEX(Boundaries!$B$2:$I$30,MATCH(CP237,Boundaries!$A$2:$A$30,0),0),1)-1,""))</f>
        <v/>
      </c>
      <c r="AV237" s="42" t="str">
        <f aca="false">IF(OR(AU237="",$E237=""),"",AU237-$E237)</f>
        <v/>
      </c>
      <c r="AW237" s="39"/>
      <c r="AX237" s="40" t="str">
        <f aca="false">IF(OR(AW237="",CC237=""),"",AW237/CC237*100)</f>
        <v/>
      </c>
      <c r="AY237" s="41" t="str">
        <f aca="false">IF(AX237="","",IFERROR(MATCH(AX237,INDEX(Boundaries!$B$2:$I$30,MATCH(CQ237,Boundaries!$A$2:$A$30,0),0),1)-1,""))</f>
        <v/>
      </c>
      <c r="AZ237" s="42" t="str">
        <f aca="false">IF(OR(AY237="",$E237=""),"",AY237-$E237)</f>
        <v/>
      </c>
      <c r="BA237" s="39"/>
      <c r="BB237" s="40" t="str">
        <f aca="false">IF(OR(BA237="",CD237=""),"",BA237/CD237*100)</f>
        <v/>
      </c>
      <c r="BC237" s="41" t="str">
        <f aca="false">IF(BB237="","",IFERROR(MATCH(BB237,INDEX(Boundaries!$B$2:$I$30,MATCH(CR237,Boundaries!$A$2:$A$30,0),0),1)-1,""))</f>
        <v/>
      </c>
      <c r="BD237" s="42" t="str">
        <f aca="false">IF(OR(BC237="",$E237=""),"",BC237-$E237)</f>
        <v/>
      </c>
      <c r="BE237" s="39"/>
      <c r="BF237" s="40" t="str">
        <f aca="false">IF(OR(BE237="",CE237=""),"",BE237/CE237*100)</f>
        <v/>
      </c>
      <c r="BG237" s="41" t="str">
        <f aca="false">IF(BF237="","",IFERROR(MATCH(BF237,INDEX(Boundaries!$B$2:$I$30,MATCH(CS237,Boundaries!$A$2:$A$30,0),0),1)-1,""))</f>
        <v/>
      </c>
      <c r="BH237" s="42" t="str">
        <f aca="false">IF(OR(BG237="",$E237=""),"",BG237-$E237)</f>
        <v/>
      </c>
      <c r="BI237" s="39"/>
      <c r="BJ237" s="40" t="str">
        <f aca="false">IF(OR(BI237="",CF237=""),"",BI237/CF237*100)</f>
        <v/>
      </c>
      <c r="BK237" s="41" t="str">
        <f aca="false">IF(BJ237="","",IFERROR(MATCH(BJ237,INDEX(Boundaries!$B$2:$I$30,MATCH(CT237,Boundaries!$A$2:$A$30,0),0),1)-1,""))</f>
        <v/>
      </c>
      <c r="BL237" s="42" t="str">
        <f aca="false">IF(OR(BK237="",$E237=""),"",BK237-$E237)</f>
        <v/>
      </c>
      <c r="BM237" s="39"/>
      <c r="BN237" s="40" t="str">
        <f aca="false">IF(OR(BM237="",CG237=""),"",BM237/CG237*100)</f>
        <v/>
      </c>
      <c r="BO237" s="41" t="str">
        <f aca="false">IF(BN237="","",IFERROR(MATCH(BN237,INDEX(Boundaries!$B$2:$I$30,MATCH(CU237,Boundaries!$A$2:$A$30,0),0),1)-1,""))</f>
        <v/>
      </c>
      <c r="BP237" s="42" t="str">
        <f aca="false">IF(OR(BO237="",$E237=""),"",BO237-$E237)</f>
        <v/>
      </c>
      <c r="BQ237" s="39"/>
      <c r="BR237" s="40" t="str">
        <f aca="false">IF(OR(BQ237="",CH237=""),"",BQ237/CH237*100)</f>
        <v/>
      </c>
      <c r="BS237" s="41" t="str">
        <f aca="false">IF(BR237="","",IFERROR(MATCH(BR237,INDEX(Boundaries!$B$2:$I$30,MATCH(CV237,Boundaries!$A$2:$A$30,0),0),1)-1,""))</f>
        <v/>
      </c>
      <c r="BT237" s="42" t="str">
        <f aca="false">IF(OR(BS237="",$E237=""),"",BS237-$E237)</f>
        <v/>
      </c>
      <c r="BU237" s="28" t="n">
        <f aca="false">IFERROR(INDEX(Assessments!$H$2:$H$600,MATCH($H237&amp;"|"&amp;$I237&amp;"|"&amp;$J237&amp;"|"&amp;1,Assessments!$A$2:$A$600,0)),"")</f>
        <v>25</v>
      </c>
      <c r="BV237" s="28" t="n">
        <f aca="false">IFERROR(INDEX(Assessments!$H$2:$H$600,MATCH($H237&amp;"|"&amp;$I237&amp;"|"&amp;$J237&amp;"|"&amp;2,Assessments!$A$2:$A$600,0)),"")</f>
        <v>24</v>
      </c>
      <c r="BW237" s="28" t="n">
        <f aca="false">IFERROR(INDEX(Assessments!$H$2:$H$600,MATCH($H237&amp;"|"&amp;$I237&amp;"|"&amp;$J237&amp;"|"&amp;3,Assessments!$A$2:$A$600,0)),"")</f>
        <v>25</v>
      </c>
      <c r="BX237" s="28" t="n">
        <f aca="false">IFERROR(INDEX(Assessments!$H$2:$H$600,MATCH($H237&amp;"|"&amp;$I237&amp;"|"&amp;$J237&amp;"|"&amp;4,Assessments!$A$2:$A$600,0)),"")</f>
        <v>35</v>
      </c>
      <c r="BY237" s="28" t="n">
        <f aca="false">IFERROR(INDEX(Assessments!$H$2:$H$600,MATCH($H237&amp;"|"&amp;$I237&amp;"|"&amp;$J237&amp;"|"&amp;5,Assessments!$A$2:$A$600,0)),"")</f>
        <v>55</v>
      </c>
      <c r="BZ237" s="28" t="n">
        <f aca="false">IFERROR(INDEX(Assessments!$H$2:$H$600,MATCH($H237&amp;"|"&amp;$I237&amp;"|"&amp;$J237&amp;"|"&amp;6,Assessments!$A$2:$A$600,0)),"")</f>
        <v>28</v>
      </c>
      <c r="CA237" s="28" t="n">
        <f aca="false">IFERROR(INDEX(Assessments!$H$2:$H$600,MATCH($H237&amp;"|"&amp;$I237&amp;"|"&amp;$J237&amp;"|"&amp;7,Assessments!$A$2:$A$600,0)),"")</f>
        <v>95</v>
      </c>
      <c r="CB237" s="28" t="str">
        <f aca="false">IFERROR(INDEX(Assessments!$H$2:$H$600,MATCH($H237&amp;"|"&amp;$I237&amp;"|"&amp;$J237&amp;"|"&amp;8,Assessments!$A$2:$A$600,0)),"")</f>
        <v/>
      </c>
      <c r="CC237" s="28" t="str">
        <f aca="false">IFERROR(INDEX(Assessments!$H$2:$H$600,MATCH($H237&amp;"|"&amp;$I237&amp;"|"&amp;$J237&amp;"|"&amp;9,Assessments!$A$2:$A$600,0)),"")</f>
        <v/>
      </c>
      <c r="CD237" s="28" t="str">
        <f aca="false">IFERROR(INDEX(Assessments!$H$2:$H$600,MATCH($H237&amp;"|"&amp;$I237&amp;"|"&amp;$J237&amp;"|"&amp;10,Assessments!$A$2:$A$600,0)),"")</f>
        <v/>
      </c>
      <c r="CE237" s="28" t="str">
        <f aca="false">IFERROR(INDEX(Assessments!$H$2:$H$600,MATCH($H237&amp;"|"&amp;$I237&amp;"|"&amp;$J237&amp;"|"&amp;11,Assessments!$A$2:$A$600,0)),"")</f>
        <v/>
      </c>
      <c r="CF237" s="28" t="str">
        <f aca="false">IFERROR(INDEX(Assessments!$H$2:$H$600,MATCH($H237&amp;"|"&amp;$I237&amp;"|"&amp;$J237&amp;"|"&amp;12,Assessments!$A$2:$A$600,0)),"")</f>
        <v/>
      </c>
      <c r="CG237" s="28" t="str">
        <f aca="false">IFERROR(INDEX(Assessments!$H$2:$H$600,MATCH($H237&amp;"|"&amp;$I237&amp;"|"&amp;$J237&amp;"|"&amp;13,Assessments!$A$2:$A$600,0)),"")</f>
        <v/>
      </c>
      <c r="CH237" s="28" t="str">
        <f aca="false">IFERROR(INDEX(Assessments!$H$2:$H$600,MATCH($H237&amp;"|"&amp;$I237&amp;"|"&amp;$J237&amp;"|"&amp;14,Assessments!$A$2:$A$600,0)),"")</f>
        <v/>
      </c>
      <c r="CI237" s="28" t="str">
        <f aca="false">IFERROR(INDEX(Assessments!$I$2:$I$600,MATCH($H237&amp;"|"&amp;$I237&amp;"|"&amp;$J237&amp;"|"&amp;1,Assessments!$A$2:$A$600,0)),"")</f>
        <v>Econ Test</v>
      </c>
      <c r="CJ237" s="28" t="str">
        <f aca="false">IFERROR(INDEX(Assessments!$I$2:$I$600,MATCH($H237&amp;"|"&amp;$I237&amp;"|"&amp;$J237&amp;"|"&amp;2,Assessments!$A$2:$A$600,0)),"")</f>
        <v>Econ Test</v>
      </c>
      <c r="CK237" s="28" t="str">
        <f aca="false">IFERROR(INDEX(Assessments!$I$2:$I$600,MATCH($H237&amp;"|"&amp;$I237&amp;"|"&amp;$J237&amp;"|"&amp;3,Assessments!$A$2:$A$600,0)),"")</f>
        <v>Econ Test</v>
      </c>
      <c r="CL237" s="28" t="str">
        <f aca="false">IFERROR(INDEX(Assessments!$I$2:$I$600,MATCH($H237&amp;"|"&amp;$I237&amp;"|"&amp;$J237&amp;"|"&amp;4,Assessments!$A$2:$A$600,0)),"")</f>
        <v>Econ Test</v>
      </c>
      <c r="CM237" s="28" t="str">
        <f aca="false">IFERROR(INDEX(Assessments!$I$2:$I$600,MATCH($H237&amp;"|"&amp;$I237&amp;"|"&amp;$J237&amp;"|"&amp;5,Assessments!$A$2:$A$600,0)),"")</f>
        <v>Econ Exam</v>
      </c>
      <c r="CN237" s="28" t="str">
        <f aca="false">IFERROR(INDEX(Assessments!$I$2:$I$600,MATCH($H237&amp;"|"&amp;$I237&amp;"|"&amp;$J237&amp;"|"&amp;6,Assessments!$A$2:$A$600,0)),"")</f>
        <v>Econ Test</v>
      </c>
      <c r="CO237" s="28" t="str">
        <f aca="false">IFERROR(INDEX(Assessments!$I$2:$I$600,MATCH($H237&amp;"|"&amp;$I237&amp;"|"&amp;$J237&amp;"|"&amp;7,Assessments!$A$2:$A$600,0)),"")</f>
        <v>Econ Exam</v>
      </c>
      <c r="CP237" s="28" t="str">
        <f aca="false">IFERROR(INDEX(Assessments!$I$2:$I$600,MATCH($H237&amp;"|"&amp;$I237&amp;"|"&amp;$J237&amp;"|"&amp;8,Assessments!$A$2:$A$600,0)),"")</f>
        <v/>
      </c>
      <c r="CQ237" s="28" t="str">
        <f aca="false">IFERROR(INDEX(Assessments!$I$2:$I$600,MATCH($H237&amp;"|"&amp;$I237&amp;"|"&amp;$J237&amp;"|"&amp;9,Assessments!$A$2:$A$600,0)),"")</f>
        <v/>
      </c>
      <c r="CR237" s="28" t="str">
        <f aca="false">IFERROR(INDEX(Assessments!$I$2:$I$600,MATCH($H237&amp;"|"&amp;$I237&amp;"|"&amp;$J237&amp;"|"&amp;10,Assessments!$A$2:$A$600,0)),"")</f>
        <v/>
      </c>
      <c r="CS237" s="28" t="str">
        <f aca="false">IFERROR(INDEX(Assessments!$I$2:$I$600,MATCH($H237&amp;"|"&amp;$I237&amp;"|"&amp;$J237&amp;"|"&amp;11,Assessments!$A$2:$A$600,0)),"")</f>
        <v/>
      </c>
      <c r="CT237" s="28" t="str">
        <f aca="false">IFERROR(INDEX(Assessments!$I$2:$I$600,MATCH($H237&amp;"|"&amp;$I237&amp;"|"&amp;$J237&amp;"|"&amp;12,Assessments!$A$2:$A$600,0)),"")</f>
        <v/>
      </c>
      <c r="CU237" s="28" t="str">
        <f aca="false">IFERROR(INDEX(Assessments!$I$2:$I$600,MATCH($H237&amp;"|"&amp;$I237&amp;"|"&amp;$J237&amp;"|"&amp;13,Assessments!$A$2:$A$600,0)),"")</f>
        <v/>
      </c>
      <c r="CV237" s="28" t="str">
        <f aca="false">IFERROR(INDEX(Assessments!$I$2:$I$600,MATCH($H237&amp;"|"&amp;$I237&amp;"|"&amp;$J237&amp;"|"&amp;14,Assessments!$A$2:$A$600,0)),"")</f>
        <v/>
      </c>
      <c r="CW237" s="28" t="n">
        <f aca="false">IFERROR(INDEX(Assessments!$J$2:$J$600,MATCH($H237&amp;"|"&amp;$I237&amp;"|"&amp;$J237&amp;"|"&amp;1,Assessments!$A$2:$A$600,0)),0)</f>
        <v>1</v>
      </c>
      <c r="CX237" s="28" t="n">
        <f aca="false">IFERROR(INDEX(Assessments!$J$2:$J$600,MATCH($H237&amp;"|"&amp;$I237&amp;"|"&amp;$J237&amp;"|"&amp;2,Assessments!$A$2:$A$600,0)),0)</f>
        <v>1</v>
      </c>
      <c r="CY237" s="28" t="n">
        <f aca="false">IFERROR(INDEX(Assessments!$J$2:$J$600,MATCH($H237&amp;"|"&amp;$I237&amp;"|"&amp;$J237&amp;"|"&amp;3,Assessments!$A$2:$A$600,0)),0)</f>
        <v>1</v>
      </c>
      <c r="CZ237" s="28" t="n">
        <f aca="false">IFERROR(INDEX(Assessments!$J$2:$J$600,MATCH($H237&amp;"|"&amp;$I237&amp;"|"&amp;$J237&amp;"|"&amp;4,Assessments!$A$2:$A$600,0)),0)</f>
        <v>1</v>
      </c>
      <c r="DA237" s="28" t="n">
        <f aca="false">IFERROR(INDEX(Assessments!$J$2:$J$600,MATCH($H237&amp;"|"&amp;$I237&amp;"|"&amp;$J237&amp;"|"&amp;5,Assessments!$A$2:$A$600,0)),0)</f>
        <v>2</v>
      </c>
      <c r="DB237" s="28" t="n">
        <f aca="false">IFERROR(INDEX(Assessments!$J$2:$J$600,MATCH($H237&amp;"|"&amp;$I237&amp;"|"&amp;$J237&amp;"|"&amp;6,Assessments!$A$2:$A$600,0)),0)</f>
        <v>1</v>
      </c>
      <c r="DC237" s="28" t="n">
        <f aca="false">IFERROR(INDEX(Assessments!$J$2:$J$600,MATCH($H237&amp;"|"&amp;$I237&amp;"|"&amp;$J237&amp;"|"&amp;7,Assessments!$A$2:$A$600,0)),0)</f>
        <v>2</v>
      </c>
      <c r="DD237" s="28" t="n">
        <f aca="false">IFERROR(INDEX(Assessments!$J$2:$J$600,MATCH($H237&amp;"|"&amp;$I237&amp;"|"&amp;$J237&amp;"|"&amp;8,Assessments!$A$2:$A$600,0)),0)</f>
        <v>0</v>
      </c>
      <c r="DE237" s="28" t="n">
        <f aca="false">IFERROR(INDEX(Assessments!$J$2:$J$600,MATCH($H237&amp;"|"&amp;$I237&amp;"|"&amp;$J237&amp;"|"&amp;9,Assessments!$A$2:$A$600,0)),0)</f>
        <v>0</v>
      </c>
      <c r="DF237" s="28" t="n">
        <f aca="false">IFERROR(INDEX(Assessments!$J$2:$J$600,MATCH($H237&amp;"|"&amp;$I237&amp;"|"&amp;$J237&amp;"|"&amp;10,Assessments!$A$2:$A$600,0)),0)</f>
        <v>0</v>
      </c>
      <c r="DG237" s="28" t="n">
        <f aca="false">IFERROR(INDEX(Assessments!$J$2:$J$600,MATCH($H237&amp;"|"&amp;$I237&amp;"|"&amp;$J237&amp;"|"&amp;11,Assessments!$A$2:$A$600,0)),0)</f>
        <v>0</v>
      </c>
      <c r="DH237" s="28" t="n">
        <f aca="false">IFERROR(INDEX(Assessments!$J$2:$J$600,MATCH($H237&amp;"|"&amp;$I237&amp;"|"&amp;$J237&amp;"|"&amp;12,Assessments!$A$2:$A$600,0)),0)</f>
        <v>0</v>
      </c>
      <c r="DI237" s="28" t="n">
        <f aca="false">IFERROR(INDEX(Assessments!$J$2:$J$600,MATCH($H237&amp;"|"&amp;$I237&amp;"|"&amp;$J237&amp;"|"&amp;13,Assessments!$A$2:$A$600,0)),0)</f>
        <v>0</v>
      </c>
      <c r="DJ237" s="28" t="n">
        <f aca="false">IFERROR(INDEX(Assessments!$J$2:$J$600,MATCH($H237&amp;"|"&amp;$I237&amp;"|"&amp;$J237&amp;"|"&amp;14,Assessments!$A$2:$A$600,0)),0)</f>
        <v>0</v>
      </c>
      <c r="DK237" s="28" t="n">
        <f aca="false">S237</f>
        <v>5</v>
      </c>
      <c r="DL237" s="28" t="str">
        <f aca="false">W237</f>
        <v/>
      </c>
      <c r="DM237" s="28" t="str">
        <f aca="false">AA237</f>
        <v/>
      </c>
      <c r="DN237" s="28" t="str">
        <f aca="false">AE237</f>
        <v/>
      </c>
      <c r="DO237" s="28" t="str">
        <f aca="false">AI237</f>
        <v/>
      </c>
      <c r="DP237" s="28" t="str">
        <f aca="false">AM237</f>
        <v/>
      </c>
      <c r="DQ237" s="28" t="str">
        <f aca="false">AQ237</f>
        <v/>
      </c>
      <c r="DR237" s="28" t="str">
        <f aca="false">AU237</f>
        <v/>
      </c>
      <c r="DS237" s="28" t="str">
        <f aca="false">AY237</f>
        <v/>
      </c>
      <c r="DT237" s="28" t="str">
        <f aca="false">BC237</f>
        <v/>
      </c>
      <c r="DU237" s="28" t="str">
        <f aca="false">BG237</f>
        <v/>
      </c>
      <c r="DV237" s="28" t="str">
        <f aca="false">BK237</f>
        <v/>
      </c>
      <c r="DW237" s="28" t="str">
        <f aca="false">BO237</f>
        <v/>
      </c>
      <c r="DX237" s="28" t="str">
        <f aca="false">BS237</f>
        <v/>
      </c>
      <c r="DY237" s="28" t="n">
        <f aca="false">IF(ISNUMBER(S237),1,"")</f>
        <v>1</v>
      </c>
      <c r="DZ237" s="28" t="str">
        <f aca="false">IF(ISNUMBER(W237),2,"")</f>
        <v/>
      </c>
      <c r="EA237" s="28" t="str">
        <f aca="false">IF(ISNUMBER(AA237),3,"")</f>
        <v/>
      </c>
      <c r="EB237" s="28" t="str">
        <f aca="false">IF(ISNUMBER(AE237),4,"")</f>
        <v/>
      </c>
      <c r="EC237" s="28" t="str">
        <f aca="false">IF(ISNUMBER(AI237),5,"")</f>
        <v/>
      </c>
      <c r="ED237" s="28" t="str">
        <f aca="false">IF(ISNUMBER(AM237),6,"")</f>
        <v/>
      </c>
      <c r="EE237" s="28" t="str">
        <f aca="false">IF(ISNUMBER(AQ237),7,"")</f>
        <v/>
      </c>
      <c r="EF237" s="28" t="str">
        <f aca="false">IF(ISNUMBER(AU237),8,"")</f>
        <v/>
      </c>
      <c r="EG237" s="28" t="str">
        <f aca="false">IF(ISNUMBER(AY237),9,"")</f>
        <v/>
      </c>
      <c r="EH237" s="28" t="str">
        <f aca="false">IF(ISNUMBER(BC237),10,"")</f>
        <v/>
      </c>
      <c r="EI237" s="28" t="str">
        <f aca="false">IF(ISNUMBER(BG237),11,"")</f>
        <v/>
      </c>
      <c r="EJ237" s="28" t="str">
        <f aca="false">IF(ISNUMBER(BK237),12,"")</f>
        <v/>
      </c>
      <c r="EK237" s="28" t="str">
        <f aca="false">IF(ISNUMBER(BO237),13,"")</f>
        <v/>
      </c>
      <c r="EL237" s="28" t="str">
        <f aca="false">IF(ISNUMBER(BS237),14,"")</f>
        <v/>
      </c>
      <c r="EM237" s="28" t="n">
        <f aca="false">IF(ISNUMBER(R237),R237*CW237,0)</f>
        <v>72</v>
      </c>
      <c r="EN237" s="28" t="n">
        <f aca="false">IF(ISNUMBER(V237),V237*CX237,0)</f>
        <v>0</v>
      </c>
      <c r="EO237" s="28" t="n">
        <f aca="false">IF(ISNUMBER(Z237),Z237*CY237,0)</f>
        <v>0</v>
      </c>
      <c r="EP237" s="28" t="n">
        <f aca="false">IF(ISNUMBER(AD237),AD237*CZ237,0)</f>
        <v>0</v>
      </c>
      <c r="EQ237" s="28" t="n">
        <f aca="false">IF(ISNUMBER(AH237),AH237*DA237,0)</f>
        <v>0</v>
      </c>
      <c r="ER237" s="28" t="n">
        <f aca="false">IF(ISNUMBER(AL237),AL237*DB237,0)</f>
        <v>0</v>
      </c>
      <c r="ES237" s="28" t="n">
        <f aca="false">IF(ISNUMBER(AP237),AP237*DC237,0)</f>
        <v>0</v>
      </c>
      <c r="ET237" s="28" t="n">
        <f aca="false">IF(ISNUMBER(AT237),AT237*DD237,0)</f>
        <v>0</v>
      </c>
      <c r="EU237" s="28" t="n">
        <f aca="false">IF(ISNUMBER(AX237),AX237*DE237,0)</f>
        <v>0</v>
      </c>
      <c r="EV237" s="28" t="n">
        <f aca="false">IF(ISNUMBER(BB237),BB237*DF237,0)</f>
        <v>0</v>
      </c>
      <c r="EW237" s="28" t="n">
        <f aca="false">IF(ISNUMBER(BF237),BF237*DG237,0)</f>
        <v>0</v>
      </c>
      <c r="EX237" s="28" t="n">
        <f aca="false">IF(ISNUMBER(BJ237),BJ237*DH237,0)</f>
        <v>0</v>
      </c>
      <c r="EY237" s="28" t="n">
        <f aca="false">IF(ISNUMBER(BN237),BN237*DI237,0)</f>
        <v>0</v>
      </c>
      <c r="EZ237" s="28" t="n">
        <f aca="false">IF(ISNUMBER(BR237),BR237*DJ237,0)</f>
        <v>0</v>
      </c>
      <c r="FA237" s="28" t="n">
        <f aca="false">IF(ISNUMBER(R237),CW237,0)</f>
        <v>1</v>
      </c>
      <c r="FB237" s="28" t="n">
        <f aca="false">IF(ISNUMBER(V237),CX237,0)</f>
        <v>0</v>
      </c>
      <c r="FC237" s="28" t="n">
        <f aca="false">IF(ISNUMBER(Z237),CY237,0)</f>
        <v>0</v>
      </c>
      <c r="FD237" s="28" t="n">
        <f aca="false">IF(ISNUMBER(AD237),CZ237,0)</f>
        <v>0</v>
      </c>
      <c r="FE237" s="28" t="n">
        <f aca="false">IF(ISNUMBER(AH237),DA237,0)</f>
        <v>0</v>
      </c>
      <c r="FF237" s="28" t="n">
        <f aca="false">IF(ISNUMBER(AL237),DB237,0)</f>
        <v>0</v>
      </c>
      <c r="FG237" s="28" t="n">
        <f aca="false">IF(ISNUMBER(AP237),DC237,0)</f>
        <v>0</v>
      </c>
      <c r="FH237" s="28" t="n">
        <f aca="false">IF(ISNUMBER(AT237),DD237,0)</f>
        <v>0</v>
      </c>
      <c r="FI237" s="28" t="n">
        <f aca="false">IF(ISNUMBER(AX237),DE237,0)</f>
        <v>0</v>
      </c>
      <c r="FJ237" s="28" t="n">
        <f aca="false">IF(ISNUMBER(BB237),DF237,0)</f>
        <v>0</v>
      </c>
      <c r="FK237" s="28" t="n">
        <f aca="false">IF(ISNUMBER(BF237),DG237,0)</f>
        <v>0</v>
      </c>
      <c r="FL237" s="28" t="n">
        <f aca="false">IF(ISNUMBER(BJ237),DH237,0)</f>
        <v>0</v>
      </c>
      <c r="FM237" s="28" t="n">
        <f aca="false">IF(ISNUMBER(BN237),DI237,0)</f>
        <v>0</v>
      </c>
      <c r="FN237" s="28" t="n">
        <f aca="false">IF(ISNUMBER(BR237),DJ237,0)</f>
        <v>0</v>
      </c>
      <c r="FO237" s="28" t="str">
        <f aca="false">IFERROR(INDEX(Lists!$G$2:$G$20,MATCH($I237&amp;"|"&amp;$J237,Lists!$F$2:$F$20,0)),"")</f>
        <v>Econ Exam</v>
      </c>
    </row>
    <row r="238" customFormat="false" ht="19.5" hidden="false" customHeight="true" outlineLevel="0" collapsed="false">
      <c r="A238" s="29" t="s">
        <v>216</v>
      </c>
      <c r="B238" s="29" t="s">
        <v>430</v>
      </c>
      <c r="C238" s="30" t="s">
        <v>152</v>
      </c>
      <c r="D238" s="30" t="s">
        <v>291</v>
      </c>
      <c r="E238" s="31"/>
      <c r="F238" s="30"/>
      <c r="G238" s="30"/>
      <c r="H238" s="32" t="s">
        <v>428</v>
      </c>
      <c r="I238" s="33" t="s">
        <v>229</v>
      </c>
      <c r="J238" s="32" t="s">
        <v>25</v>
      </c>
      <c r="K238" s="34" t="str">
        <f aca="false">IF(OR(M238="",$E238=""),"",M238-$E238)</f>
        <v/>
      </c>
      <c r="L238" s="35" t="n">
        <f aca="false">IF(SUM(FA238:FN238)=0,"",SUM(EM238:EZ238)/SUM(FA238:FN238))</f>
        <v>72</v>
      </c>
      <c r="M238" s="36" t="n">
        <f aca="false">IF(OR(L238="",FO238=""),"",IFERROR(MATCH(L238,INDEX(Boundaries!$B$2:$I$30,MATCH(FO238,Boundaries!$A$2:$A$30,0),0),1)-1,""))</f>
        <v>6</v>
      </c>
      <c r="N238" s="37" t="str">
        <f aca="false">IF(COUNT($DY238:$EL238)&lt;2,"",INDEX($DK238:$DX238,MAX($DY238:$EL238))-INDEX($DK238:$DX238,MIN($DY238:$EL238)))</f>
        <v/>
      </c>
      <c r="O238" s="37" t="str">
        <f aca="false">IF(COUNT($DY238:$EL238)&lt;2,"",INDEX($DK238:$DX238,MAX($DY238:$EL238))-INDEX($DK238:$DX238,LARGE($DY238:$EL238,2)))</f>
        <v/>
      </c>
      <c r="P238" s="38" t="str">
        <f aca="false">IF(K238="","",IF(K238&gt;=0,"On/above target",IF(AND(N238&lt;&gt;"",N238&gt;=0.5),"Improving towards target",IF(AND(O238&lt;&gt;"",O238&lt;=-0.5),"Declining","Stable below target"))))</f>
        <v/>
      </c>
      <c r="Q238" s="39" t="n">
        <v>18</v>
      </c>
      <c r="R238" s="40" t="n">
        <f aca="false">IF(OR(Q238="",BU238=""),"",Q238/BU238*100)</f>
        <v>72</v>
      </c>
      <c r="S238" s="41" t="n">
        <f aca="false">IF(R238="","",IFERROR(MATCH(R238,INDEX(Boundaries!$B$2:$I$30,MATCH(CI238,Boundaries!$A$2:$A$30,0),0),1)-1,""))</f>
        <v>5</v>
      </c>
      <c r="T238" s="42" t="str">
        <f aca="false">IF(OR(S238="",$E238=""),"",S238-$E238)</f>
        <v/>
      </c>
      <c r="U238" s="39"/>
      <c r="V238" s="40" t="str">
        <f aca="false">IF(OR(U238="",BV238=""),"",U238/BV238*100)</f>
        <v/>
      </c>
      <c r="W238" s="41" t="str">
        <f aca="false">IF(V238="","",IFERROR(MATCH(V238,INDEX(Boundaries!$B$2:$I$30,MATCH(CJ238,Boundaries!$A$2:$A$30,0),0),1)-1,""))</f>
        <v/>
      </c>
      <c r="X238" s="42" t="str">
        <f aca="false">IF(OR(W238="",$E238=""),"",W238-$E238)</f>
        <v/>
      </c>
      <c r="Y238" s="39"/>
      <c r="Z238" s="40" t="str">
        <f aca="false">IF(OR(Y238="",BW238=""),"",Y238/BW238*100)</f>
        <v/>
      </c>
      <c r="AA238" s="41" t="str">
        <f aca="false">IF(Z238="","",IFERROR(MATCH(Z238,INDEX(Boundaries!$B$2:$I$30,MATCH(CK238,Boundaries!$A$2:$A$30,0),0),1)-1,""))</f>
        <v/>
      </c>
      <c r="AB238" s="42" t="str">
        <f aca="false">IF(OR(AA238="",$E238=""),"",AA238-$E238)</f>
        <v/>
      </c>
      <c r="AC238" s="39"/>
      <c r="AD238" s="40" t="str">
        <f aca="false">IF(OR(AC238="",BX238=""),"",AC238/BX238*100)</f>
        <v/>
      </c>
      <c r="AE238" s="41" t="str">
        <f aca="false">IF(AD238="","",IFERROR(MATCH(AD238,INDEX(Boundaries!$B$2:$I$30,MATCH(CL238,Boundaries!$A$2:$A$30,0),0),1)-1,""))</f>
        <v/>
      </c>
      <c r="AF238" s="42" t="str">
        <f aca="false">IF(OR(AE238="",$E238=""),"",AE238-$E238)</f>
        <v/>
      </c>
      <c r="AG238" s="39"/>
      <c r="AH238" s="40" t="str">
        <f aca="false">IF(OR(AG238="",BY238=""),"",AG238/BY238*100)</f>
        <v/>
      </c>
      <c r="AI238" s="41" t="str">
        <f aca="false">IF(AH238="","",IFERROR(MATCH(AH238,INDEX(Boundaries!$B$2:$I$30,MATCH(CM238,Boundaries!$A$2:$A$30,0),0),1)-1,""))</f>
        <v/>
      </c>
      <c r="AJ238" s="42" t="str">
        <f aca="false">IF(OR(AI238="",$E238=""),"",AI238-$E238)</f>
        <v/>
      </c>
      <c r="AK238" s="39"/>
      <c r="AL238" s="40" t="str">
        <f aca="false">IF(OR(AK238="",BZ238=""),"",AK238/BZ238*100)</f>
        <v/>
      </c>
      <c r="AM238" s="41" t="str">
        <f aca="false">IF(AL238="","",IFERROR(MATCH(AL238,INDEX(Boundaries!$B$2:$I$30,MATCH(CN238,Boundaries!$A$2:$A$30,0),0),1)-1,""))</f>
        <v/>
      </c>
      <c r="AN238" s="42" t="str">
        <f aca="false">IF(OR(AM238="",$E238=""),"",AM238-$E238)</f>
        <v/>
      </c>
      <c r="AO238" s="39"/>
      <c r="AP238" s="40" t="str">
        <f aca="false">IF(OR(AO238="",CA238=""),"",AO238/CA238*100)</f>
        <v/>
      </c>
      <c r="AQ238" s="41" t="str">
        <f aca="false">IF(AP238="","",IFERROR(MATCH(AP238,INDEX(Boundaries!$B$2:$I$30,MATCH(CO238,Boundaries!$A$2:$A$30,0),0),1)-1,""))</f>
        <v/>
      </c>
      <c r="AR238" s="42" t="str">
        <f aca="false">IF(OR(AQ238="",$E238=""),"",AQ238-$E238)</f>
        <v/>
      </c>
      <c r="AS238" s="39"/>
      <c r="AT238" s="40" t="str">
        <f aca="false">IF(OR(AS238="",CB238=""),"",AS238/CB238*100)</f>
        <v/>
      </c>
      <c r="AU238" s="41" t="str">
        <f aca="false">IF(AT238="","",IFERROR(MATCH(AT238,INDEX(Boundaries!$B$2:$I$30,MATCH(CP238,Boundaries!$A$2:$A$30,0),0),1)-1,""))</f>
        <v/>
      </c>
      <c r="AV238" s="42" t="str">
        <f aca="false">IF(OR(AU238="",$E238=""),"",AU238-$E238)</f>
        <v/>
      </c>
      <c r="AW238" s="39"/>
      <c r="AX238" s="40" t="str">
        <f aca="false">IF(OR(AW238="",CC238=""),"",AW238/CC238*100)</f>
        <v/>
      </c>
      <c r="AY238" s="41" t="str">
        <f aca="false">IF(AX238="","",IFERROR(MATCH(AX238,INDEX(Boundaries!$B$2:$I$30,MATCH(CQ238,Boundaries!$A$2:$A$30,0),0),1)-1,""))</f>
        <v/>
      </c>
      <c r="AZ238" s="42" t="str">
        <f aca="false">IF(OR(AY238="",$E238=""),"",AY238-$E238)</f>
        <v/>
      </c>
      <c r="BA238" s="39"/>
      <c r="BB238" s="40" t="str">
        <f aca="false">IF(OR(BA238="",CD238=""),"",BA238/CD238*100)</f>
        <v/>
      </c>
      <c r="BC238" s="41" t="str">
        <f aca="false">IF(BB238="","",IFERROR(MATCH(BB238,INDEX(Boundaries!$B$2:$I$30,MATCH(CR238,Boundaries!$A$2:$A$30,0),0),1)-1,""))</f>
        <v/>
      </c>
      <c r="BD238" s="42" t="str">
        <f aca="false">IF(OR(BC238="",$E238=""),"",BC238-$E238)</f>
        <v/>
      </c>
      <c r="BE238" s="39"/>
      <c r="BF238" s="40" t="str">
        <f aca="false">IF(OR(BE238="",CE238=""),"",BE238/CE238*100)</f>
        <v/>
      </c>
      <c r="BG238" s="41" t="str">
        <f aca="false">IF(BF238="","",IFERROR(MATCH(BF238,INDEX(Boundaries!$B$2:$I$30,MATCH(CS238,Boundaries!$A$2:$A$30,0),0),1)-1,""))</f>
        <v/>
      </c>
      <c r="BH238" s="42" t="str">
        <f aca="false">IF(OR(BG238="",$E238=""),"",BG238-$E238)</f>
        <v/>
      </c>
      <c r="BI238" s="39"/>
      <c r="BJ238" s="40" t="str">
        <f aca="false">IF(OR(BI238="",CF238=""),"",BI238/CF238*100)</f>
        <v/>
      </c>
      <c r="BK238" s="41" t="str">
        <f aca="false">IF(BJ238="","",IFERROR(MATCH(BJ238,INDEX(Boundaries!$B$2:$I$30,MATCH(CT238,Boundaries!$A$2:$A$30,0),0),1)-1,""))</f>
        <v/>
      </c>
      <c r="BL238" s="42" t="str">
        <f aca="false">IF(OR(BK238="",$E238=""),"",BK238-$E238)</f>
        <v/>
      </c>
      <c r="BM238" s="39"/>
      <c r="BN238" s="40" t="str">
        <f aca="false">IF(OR(BM238="",CG238=""),"",BM238/CG238*100)</f>
        <v/>
      </c>
      <c r="BO238" s="41" t="str">
        <f aca="false">IF(BN238="","",IFERROR(MATCH(BN238,INDEX(Boundaries!$B$2:$I$30,MATCH(CU238,Boundaries!$A$2:$A$30,0),0),1)-1,""))</f>
        <v/>
      </c>
      <c r="BP238" s="42" t="str">
        <f aca="false">IF(OR(BO238="",$E238=""),"",BO238-$E238)</f>
        <v/>
      </c>
      <c r="BQ238" s="39"/>
      <c r="BR238" s="40" t="str">
        <f aca="false">IF(OR(BQ238="",CH238=""),"",BQ238/CH238*100)</f>
        <v/>
      </c>
      <c r="BS238" s="41" t="str">
        <f aca="false">IF(BR238="","",IFERROR(MATCH(BR238,INDEX(Boundaries!$B$2:$I$30,MATCH(CV238,Boundaries!$A$2:$A$30,0),0),1)-1,""))</f>
        <v/>
      </c>
      <c r="BT238" s="42" t="str">
        <f aca="false">IF(OR(BS238="",$E238=""),"",BS238-$E238)</f>
        <v/>
      </c>
      <c r="BU238" s="28" t="n">
        <f aca="false">IFERROR(INDEX(Assessments!$H$2:$H$600,MATCH($H238&amp;"|"&amp;$I238&amp;"|"&amp;$J238&amp;"|"&amp;1,Assessments!$A$2:$A$600,0)),"")</f>
        <v>25</v>
      </c>
      <c r="BV238" s="28" t="n">
        <f aca="false">IFERROR(INDEX(Assessments!$H$2:$H$600,MATCH($H238&amp;"|"&amp;$I238&amp;"|"&amp;$J238&amp;"|"&amp;2,Assessments!$A$2:$A$600,0)),"")</f>
        <v>24</v>
      </c>
      <c r="BW238" s="28" t="n">
        <f aca="false">IFERROR(INDEX(Assessments!$H$2:$H$600,MATCH($H238&amp;"|"&amp;$I238&amp;"|"&amp;$J238&amp;"|"&amp;3,Assessments!$A$2:$A$600,0)),"")</f>
        <v>25</v>
      </c>
      <c r="BX238" s="28" t="n">
        <f aca="false">IFERROR(INDEX(Assessments!$H$2:$H$600,MATCH($H238&amp;"|"&amp;$I238&amp;"|"&amp;$J238&amp;"|"&amp;4,Assessments!$A$2:$A$600,0)),"")</f>
        <v>35</v>
      </c>
      <c r="BY238" s="28" t="n">
        <f aca="false">IFERROR(INDEX(Assessments!$H$2:$H$600,MATCH($H238&amp;"|"&amp;$I238&amp;"|"&amp;$J238&amp;"|"&amp;5,Assessments!$A$2:$A$600,0)),"")</f>
        <v>55</v>
      </c>
      <c r="BZ238" s="28" t="n">
        <f aca="false">IFERROR(INDEX(Assessments!$H$2:$H$600,MATCH($H238&amp;"|"&amp;$I238&amp;"|"&amp;$J238&amp;"|"&amp;6,Assessments!$A$2:$A$600,0)),"")</f>
        <v>28</v>
      </c>
      <c r="CA238" s="28" t="n">
        <f aca="false">IFERROR(INDEX(Assessments!$H$2:$H$600,MATCH($H238&amp;"|"&amp;$I238&amp;"|"&amp;$J238&amp;"|"&amp;7,Assessments!$A$2:$A$600,0)),"")</f>
        <v>95</v>
      </c>
      <c r="CB238" s="28" t="str">
        <f aca="false">IFERROR(INDEX(Assessments!$H$2:$H$600,MATCH($H238&amp;"|"&amp;$I238&amp;"|"&amp;$J238&amp;"|"&amp;8,Assessments!$A$2:$A$600,0)),"")</f>
        <v/>
      </c>
      <c r="CC238" s="28" t="str">
        <f aca="false">IFERROR(INDEX(Assessments!$H$2:$H$600,MATCH($H238&amp;"|"&amp;$I238&amp;"|"&amp;$J238&amp;"|"&amp;9,Assessments!$A$2:$A$600,0)),"")</f>
        <v/>
      </c>
      <c r="CD238" s="28" t="str">
        <f aca="false">IFERROR(INDEX(Assessments!$H$2:$H$600,MATCH($H238&amp;"|"&amp;$I238&amp;"|"&amp;$J238&amp;"|"&amp;10,Assessments!$A$2:$A$600,0)),"")</f>
        <v/>
      </c>
      <c r="CE238" s="28" t="str">
        <f aca="false">IFERROR(INDEX(Assessments!$H$2:$H$600,MATCH($H238&amp;"|"&amp;$I238&amp;"|"&amp;$J238&amp;"|"&amp;11,Assessments!$A$2:$A$600,0)),"")</f>
        <v/>
      </c>
      <c r="CF238" s="28" t="str">
        <f aca="false">IFERROR(INDEX(Assessments!$H$2:$H$600,MATCH($H238&amp;"|"&amp;$I238&amp;"|"&amp;$J238&amp;"|"&amp;12,Assessments!$A$2:$A$600,0)),"")</f>
        <v/>
      </c>
      <c r="CG238" s="28" t="str">
        <f aca="false">IFERROR(INDEX(Assessments!$H$2:$H$600,MATCH($H238&amp;"|"&amp;$I238&amp;"|"&amp;$J238&amp;"|"&amp;13,Assessments!$A$2:$A$600,0)),"")</f>
        <v/>
      </c>
      <c r="CH238" s="28" t="str">
        <f aca="false">IFERROR(INDEX(Assessments!$H$2:$H$600,MATCH($H238&amp;"|"&amp;$I238&amp;"|"&amp;$J238&amp;"|"&amp;14,Assessments!$A$2:$A$600,0)),"")</f>
        <v/>
      </c>
      <c r="CI238" s="28" t="str">
        <f aca="false">IFERROR(INDEX(Assessments!$I$2:$I$600,MATCH($H238&amp;"|"&amp;$I238&amp;"|"&amp;$J238&amp;"|"&amp;1,Assessments!$A$2:$A$600,0)),"")</f>
        <v>Econ Test</v>
      </c>
      <c r="CJ238" s="28" t="str">
        <f aca="false">IFERROR(INDEX(Assessments!$I$2:$I$600,MATCH($H238&amp;"|"&amp;$I238&amp;"|"&amp;$J238&amp;"|"&amp;2,Assessments!$A$2:$A$600,0)),"")</f>
        <v>Econ Test</v>
      </c>
      <c r="CK238" s="28" t="str">
        <f aca="false">IFERROR(INDEX(Assessments!$I$2:$I$600,MATCH($H238&amp;"|"&amp;$I238&amp;"|"&amp;$J238&amp;"|"&amp;3,Assessments!$A$2:$A$600,0)),"")</f>
        <v>Econ Test</v>
      </c>
      <c r="CL238" s="28" t="str">
        <f aca="false">IFERROR(INDEX(Assessments!$I$2:$I$600,MATCH($H238&amp;"|"&amp;$I238&amp;"|"&amp;$J238&amp;"|"&amp;4,Assessments!$A$2:$A$600,0)),"")</f>
        <v>Econ Test</v>
      </c>
      <c r="CM238" s="28" t="str">
        <f aca="false">IFERROR(INDEX(Assessments!$I$2:$I$600,MATCH($H238&amp;"|"&amp;$I238&amp;"|"&amp;$J238&amp;"|"&amp;5,Assessments!$A$2:$A$600,0)),"")</f>
        <v>Econ Exam</v>
      </c>
      <c r="CN238" s="28" t="str">
        <f aca="false">IFERROR(INDEX(Assessments!$I$2:$I$600,MATCH($H238&amp;"|"&amp;$I238&amp;"|"&amp;$J238&amp;"|"&amp;6,Assessments!$A$2:$A$600,0)),"")</f>
        <v>Econ Test</v>
      </c>
      <c r="CO238" s="28" t="str">
        <f aca="false">IFERROR(INDEX(Assessments!$I$2:$I$600,MATCH($H238&amp;"|"&amp;$I238&amp;"|"&amp;$J238&amp;"|"&amp;7,Assessments!$A$2:$A$600,0)),"")</f>
        <v>Econ Exam</v>
      </c>
      <c r="CP238" s="28" t="str">
        <f aca="false">IFERROR(INDEX(Assessments!$I$2:$I$600,MATCH($H238&amp;"|"&amp;$I238&amp;"|"&amp;$J238&amp;"|"&amp;8,Assessments!$A$2:$A$600,0)),"")</f>
        <v/>
      </c>
      <c r="CQ238" s="28" t="str">
        <f aca="false">IFERROR(INDEX(Assessments!$I$2:$I$600,MATCH($H238&amp;"|"&amp;$I238&amp;"|"&amp;$J238&amp;"|"&amp;9,Assessments!$A$2:$A$600,0)),"")</f>
        <v/>
      </c>
      <c r="CR238" s="28" t="str">
        <f aca="false">IFERROR(INDEX(Assessments!$I$2:$I$600,MATCH($H238&amp;"|"&amp;$I238&amp;"|"&amp;$J238&amp;"|"&amp;10,Assessments!$A$2:$A$600,0)),"")</f>
        <v/>
      </c>
      <c r="CS238" s="28" t="str">
        <f aca="false">IFERROR(INDEX(Assessments!$I$2:$I$600,MATCH($H238&amp;"|"&amp;$I238&amp;"|"&amp;$J238&amp;"|"&amp;11,Assessments!$A$2:$A$600,0)),"")</f>
        <v/>
      </c>
      <c r="CT238" s="28" t="str">
        <f aca="false">IFERROR(INDEX(Assessments!$I$2:$I$600,MATCH($H238&amp;"|"&amp;$I238&amp;"|"&amp;$J238&amp;"|"&amp;12,Assessments!$A$2:$A$600,0)),"")</f>
        <v/>
      </c>
      <c r="CU238" s="28" t="str">
        <f aca="false">IFERROR(INDEX(Assessments!$I$2:$I$600,MATCH($H238&amp;"|"&amp;$I238&amp;"|"&amp;$J238&amp;"|"&amp;13,Assessments!$A$2:$A$600,0)),"")</f>
        <v/>
      </c>
      <c r="CV238" s="28" t="str">
        <f aca="false">IFERROR(INDEX(Assessments!$I$2:$I$600,MATCH($H238&amp;"|"&amp;$I238&amp;"|"&amp;$J238&amp;"|"&amp;14,Assessments!$A$2:$A$600,0)),"")</f>
        <v/>
      </c>
      <c r="CW238" s="28" t="n">
        <f aca="false">IFERROR(INDEX(Assessments!$J$2:$J$600,MATCH($H238&amp;"|"&amp;$I238&amp;"|"&amp;$J238&amp;"|"&amp;1,Assessments!$A$2:$A$600,0)),0)</f>
        <v>1</v>
      </c>
      <c r="CX238" s="28" t="n">
        <f aca="false">IFERROR(INDEX(Assessments!$J$2:$J$600,MATCH($H238&amp;"|"&amp;$I238&amp;"|"&amp;$J238&amp;"|"&amp;2,Assessments!$A$2:$A$600,0)),0)</f>
        <v>1</v>
      </c>
      <c r="CY238" s="28" t="n">
        <f aca="false">IFERROR(INDEX(Assessments!$J$2:$J$600,MATCH($H238&amp;"|"&amp;$I238&amp;"|"&amp;$J238&amp;"|"&amp;3,Assessments!$A$2:$A$600,0)),0)</f>
        <v>1</v>
      </c>
      <c r="CZ238" s="28" t="n">
        <f aca="false">IFERROR(INDEX(Assessments!$J$2:$J$600,MATCH($H238&amp;"|"&amp;$I238&amp;"|"&amp;$J238&amp;"|"&amp;4,Assessments!$A$2:$A$600,0)),0)</f>
        <v>1</v>
      </c>
      <c r="DA238" s="28" t="n">
        <f aca="false">IFERROR(INDEX(Assessments!$J$2:$J$600,MATCH($H238&amp;"|"&amp;$I238&amp;"|"&amp;$J238&amp;"|"&amp;5,Assessments!$A$2:$A$600,0)),0)</f>
        <v>2</v>
      </c>
      <c r="DB238" s="28" t="n">
        <f aca="false">IFERROR(INDEX(Assessments!$J$2:$J$600,MATCH($H238&amp;"|"&amp;$I238&amp;"|"&amp;$J238&amp;"|"&amp;6,Assessments!$A$2:$A$600,0)),0)</f>
        <v>1</v>
      </c>
      <c r="DC238" s="28" t="n">
        <f aca="false">IFERROR(INDEX(Assessments!$J$2:$J$600,MATCH($H238&amp;"|"&amp;$I238&amp;"|"&amp;$J238&amp;"|"&amp;7,Assessments!$A$2:$A$600,0)),0)</f>
        <v>2</v>
      </c>
      <c r="DD238" s="28" t="n">
        <f aca="false">IFERROR(INDEX(Assessments!$J$2:$J$600,MATCH($H238&amp;"|"&amp;$I238&amp;"|"&amp;$J238&amp;"|"&amp;8,Assessments!$A$2:$A$600,0)),0)</f>
        <v>0</v>
      </c>
      <c r="DE238" s="28" t="n">
        <f aca="false">IFERROR(INDEX(Assessments!$J$2:$J$600,MATCH($H238&amp;"|"&amp;$I238&amp;"|"&amp;$J238&amp;"|"&amp;9,Assessments!$A$2:$A$600,0)),0)</f>
        <v>0</v>
      </c>
      <c r="DF238" s="28" t="n">
        <f aca="false">IFERROR(INDEX(Assessments!$J$2:$J$600,MATCH($H238&amp;"|"&amp;$I238&amp;"|"&amp;$J238&amp;"|"&amp;10,Assessments!$A$2:$A$600,0)),0)</f>
        <v>0</v>
      </c>
      <c r="DG238" s="28" t="n">
        <f aca="false">IFERROR(INDEX(Assessments!$J$2:$J$600,MATCH($H238&amp;"|"&amp;$I238&amp;"|"&amp;$J238&amp;"|"&amp;11,Assessments!$A$2:$A$600,0)),0)</f>
        <v>0</v>
      </c>
      <c r="DH238" s="28" t="n">
        <f aca="false">IFERROR(INDEX(Assessments!$J$2:$J$600,MATCH($H238&amp;"|"&amp;$I238&amp;"|"&amp;$J238&amp;"|"&amp;12,Assessments!$A$2:$A$600,0)),0)</f>
        <v>0</v>
      </c>
      <c r="DI238" s="28" t="n">
        <f aca="false">IFERROR(INDEX(Assessments!$J$2:$J$600,MATCH($H238&amp;"|"&amp;$I238&amp;"|"&amp;$J238&amp;"|"&amp;13,Assessments!$A$2:$A$600,0)),0)</f>
        <v>0</v>
      </c>
      <c r="DJ238" s="28" t="n">
        <f aca="false">IFERROR(INDEX(Assessments!$J$2:$J$600,MATCH($H238&amp;"|"&amp;$I238&amp;"|"&amp;$J238&amp;"|"&amp;14,Assessments!$A$2:$A$600,0)),0)</f>
        <v>0</v>
      </c>
      <c r="DK238" s="28" t="n">
        <f aca="false">S238</f>
        <v>5</v>
      </c>
      <c r="DL238" s="28" t="str">
        <f aca="false">W238</f>
        <v/>
      </c>
      <c r="DM238" s="28" t="str">
        <f aca="false">AA238</f>
        <v/>
      </c>
      <c r="DN238" s="28" t="str">
        <f aca="false">AE238</f>
        <v/>
      </c>
      <c r="DO238" s="28" t="str">
        <f aca="false">AI238</f>
        <v/>
      </c>
      <c r="DP238" s="28" t="str">
        <f aca="false">AM238</f>
        <v/>
      </c>
      <c r="DQ238" s="28" t="str">
        <f aca="false">AQ238</f>
        <v/>
      </c>
      <c r="DR238" s="28" t="str">
        <f aca="false">AU238</f>
        <v/>
      </c>
      <c r="DS238" s="28" t="str">
        <f aca="false">AY238</f>
        <v/>
      </c>
      <c r="DT238" s="28" t="str">
        <f aca="false">BC238</f>
        <v/>
      </c>
      <c r="DU238" s="28" t="str">
        <f aca="false">BG238</f>
        <v/>
      </c>
      <c r="DV238" s="28" t="str">
        <f aca="false">BK238</f>
        <v/>
      </c>
      <c r="DW238" s="28" t="str">
        <f aca="false">BO238</f>
        <v/>
      </c>
      <c r="DX238" s="28" t="str">
        <f aca="false">BS238</f>
        <v/>
      </c>
      <c r="DY238" s="28" t="n">
        <f aca="false">IF(ISNUMBER(S238),1,"")</f>
        <v>1</v>
      </c>
      <c r="DZ238" s="28" t="str">
        <f aca="false">IF(ISNUMBER(W238),2,"")</f>
        <v/>
      </c>
      <c r="EA238" s="28" t="str">
        <f aca="false">IF(ISNUMBER(AA238),3,"")</f>
        <v/>
      </c>
      <c r="EB238" s="28" t="str">
        <f aca="false">IF(ISNUMBER(AE238),4,"")</f>
        <v/>
      </c>
      <c r="EC238" s="28" t="str">
        <f aca="false">IF(ISNUMBER(AI238),5,"")</f>
        <v/>
      </c>
      <c r="ED238" s="28" t="str">
        <f aca="false">IF(ISNUMBER(AM238),6,"")</f>
        <v/>
      </c>
      <c r="EE238" s="28" t="str">
        <f aca="false">IF(ISNUMBER(AQ238),7,"")</f>
        <v/>
      </c>
      <c r="EF238" s="28" t="str">
        <f aca="false">IF(ISNUMBER(AU238),8,"")</f>
        <v/>
      </c>
      <c r="EG238" s="28" t="str">
        <f aca="false">IF(ISNUMBER(AY238),9,"")</f>
        <v/>
      </c>
      <c r="EH238" s="28" t="str">
        <f aca="false">IF(ISNUMBER(BC238),10,"")</f>
        <v/>
      </c>
      <c r="EI238" s="28" t="str">
        <f aca="false">IF(ISNUMBER(BG238),11,"")</f>
        <v/>
      </c>
      <c r="EJ238" s="28" t="str">
        <f aca="false">IF(ISNUMBER(BK238),12,"")</f>
        <v/>
      </c>
      <c r="EK238" s="28" t="str">
        <f aca="false">IF(ISNUMBER(BO238),13,"")</f>
        <v/>
      </c>
      <c r="EL238" s="28" t="str">
        <f aca="false">IF(ISNUMBER(BS238),14,"")</f>
        <v/>
      </c>
      <c r="EM238" s="28" t="n">
        <f aca="false">IF(ISNUMBER(R238),R238*CW238,0)</f>
        <v>72</v>
      </c>
      <c r="EN238" s="28" t="n">
        <f aca="false">IF(ISNUMBER(V238),V238*CX238,0)</f>
        <v>0</v>
      </c>
      <c r="EO238" s="28" t="n">
        <f aca="false">IF(ISNUMBER(Z238),Z238*CY238,0)</f>
        <v>0</v>
      </c>
      <c r="EP238" s="28" t="n">
        <f aca="false">IF(ISNUMBER(AD238),AD238*CZ238,0)</f>
        <v>0</v>
      </c>
      <c r="EQ238" s="28" t="n">
        <f aca="false">IF(ISNUMBER(AH238),AH238*DA238,0)</f>
        <v>0</v>
      </c>
      <c r="ER238" s="28" t="n">
        <f aca="false">IF(ISNUMBER(AL238),AL238*DB238,0)</f>
        <v>0</v>
      </c>
      <c r="ES238" s="28" t="n">
        <f aca="false">IF(ISNUMBER(AP238),AP238*DC238,0)</f>
        <v>0</v>
      </c>
      <c r="ET238" s="28" t="n">
        <f aca="false">IF(ISNUMBER(AT238),AT238*DD238,0)</f>
        <v>0</v>
      </c>
      <c r="EU238" s="28" t="n">
        <f aca="false">IF(ISNUMBER(AX238),AX238*DE238,0)</f>
        <v>0</v>
      </c>
      <c r="EV238" s="28" t="n">
        <f aca="false">IF(ISNUMBER(BB238),BB238*DF238,0)</f>
        <v>0</v>
      </c>
      <c r="EW238" s="28" t="n">
        <f aca="false">IF(ISNUMBER(BF238),BF238*DG238,0)</f>
        <v>0</v>
      </c>
      <c r="EX238" s="28" t="n">
        <f aca="false">IF(ISNUMBER(BJ238),BJ238*DH238,0)</f>
        <v>0</v>
      </c>
      <c r="EY238" s="28" t="n">
        <f aca="false">IF(ISNUMBER(BN238),BN238*DI238,0)</f>
        <v>0</v>
      </c>
      <c r="EZ238" s="28" t="n">
        <f aca="false">IF(ISNUMBER(BR238),BR238*DJ238,0)</f>
        <v>0</v>
      </c>
      <c r="FA238" s="28" t="n">
        <f aca="false">IF(ISNUMBER(R238),CW238,0)</f>
        <v>1</v>
      </c>
      <c r="FB238" s="28" t="n">
        <f aca="false">IF(ISNUMBER(V238),CX238,0)</f>
        <v>0</v>
      </c>
      <c r="FC238" s="28" t="n">
        <f aca="false">IF(ISNUMBER(Z238),CY238,0)</f>
        <v>0</v>
      </c>
      <c r="FD238" s="28" t="n">
        <f aca="false">IF(ISNUMBER(AD238),CZ238,0)</f>
        <v>0</v>
      </c>
      <c r="FE238" s="28" t="n">
        <f aca="false">IF(ISNUMBER(AH238),DA238,0)</f>
        <v>0</v>
      </c>
      <c r="FF238" s="28" t="n">
        <f aca="false">IF(ISNUMBER(AL238),DB238,0)</f>
        <v>0</v>
      </c>
      <c r="FG238" s="28" t="n">
        <f aca="false">IF(ISNUMBER(AP238),DC238,0)</f>
        <v>0</v>
      </c>
      <c r="FH238" s="28" t="n">
        <f aca="false">IF(ISNUMBER(AT238),DD238,0)</f>
        <v>0</v>
      </c>
      <c r="FI238" s="28" t="n">
        <f aca="false">IF(ISNUMBER(AX238),DE238,0)</f>
        <v>0</v>
      </c>
      <c r="FJ238" s="28" t="n">
        <f aca="false">IF(ISNUMBER(BB238),DF238,0)</f>
        <v>0</v>
      </c>
      <c r="FK238" s="28" t="n">
        <f aca="false">IF(ISNUMBER(BF238),DG238,0)</f>
        <v>0</v>
      </c>
      <c r="FL238" s="28" t="n">
        <f aca="false">IF(ISNUMBER(BJ238),DH238,0)</f>
        <v>0</v>
      </c>
      <c r="FM238" s="28" t="n">
        <f aca="false">IF(ISNUMBER(BN238),DI238,0)</f>
        <v>0</v>
      </c>
      <c r="FN238" s="28" t="n">
        <f aca="false">IF(ISNUMBER(BR238),DJ238,0)</f>
        <v>0</v>
      </c>
      <c r="FO238" s="28" t="str">
        <f aca="false">IFERROR(INDEX(Lists!$G$2:$G$20,MATCH($I238&amp;"|"&amp;$J238,Lists!$F$2:$F$20,0)),"")</f>
        <v>Econ Exam</v>
      </c>
    </row>
    <row r="239" customFormat="false" ht="19.5" hidden="false" customHeight="true" outlineLevel="0" collapsed="false">
      <c r="A239" s="29" t="s">
        <v>441</v>
      </c>
      <c r="B239" s="29" t="s">
        <v>442</v>
      </c>
      <c r="C239" s="30" t="s">
        <v>152</v>
      </c>
      <c r="D239" s="30" t="s">
        <v>291</v>
      </c>
      <c r="E239" s="31"/>
      <c r="F239" s="30"/>
      <c r="G239" s="30"/>
      <c r="H239" s="32" t="s">
        <v>428</v>
      </c>
      <c r="I239" s="33" t="s">
        <v>229</v>
      </c>
      <c r="J239" s="32" t="s">
        <v>25</v>
      </c>
      <c r="K239" s="34" t="str">
        <f aca="false">IF(OR(M239="",$E239=""),"",M239-$E239)</f>
        <v/>
      </c>
      <c r="L239" s="35" t="n">
        <f aca="false">IF(SUM(FA239:FN239)=0,"",SUM(EM239:EZ239)/SUM(FA239:FN239))</f>
        <v>76</v>
      </c>
      <c r="M239" s="36" t="n">
        <f aca="false">IF(OR(L239="",FO239=""),"",IFERROR(MATCH(L239,INDEX(Boundaries!$B$2:$I$30,MATCH(FO239,Boundaries!$A$2:$A$30,0),0),1)-1,""))</f>
        <v>6</v>
      </c>
      <c r="N239" s="37" t="str">
        <f aca="false">IF(COUNT($DY239:$EL239)&lt;2,"",INDEX($DK239:$DX239,MAX($DY239:$EL239))-INDEX($DK239:$DX239,MIN($DY239:$EL239)))</f>
        <v/>
      </c>
      <c r="O239" s="37" t="str">
        <f aca="false">IF(COUNT($DY239:$EL239)&lt;2,"",INDEX($DK239:$DX239,MAX($DY239:$EL239))-INDEX($DK239:$DX239,LARGE($DY239:$EL239,2)))</f>
        <v/>
      </c>
      <c r="P239" s="38" t="str">
        <f aca="false">IF(K239="","",IF(K239&gt;=0,"On/above target",IF(AND(N239&lt;&gt;"",N239&gt;=0.5),"Improving towards target",IF(AND(O239&lt;&gt;"",O239&lt;=-0.5),"Declining","Stable below target"))))</f>
        <v/>
      </c>
      <c r="Q239" s="39" t="n">
        <v>19</v>
      </c>
      <c r="R239" s="40" t="n">
        <f aca="false">IF(OR(Q239="",BU239=""),"",Q239/BU239*100)</f>
        <v>76</v>
      </c>
      <c r="S239" s="41" t="n">
        <f aca="false">IF(R239="","",IFERROR(MATCH(R239,INDEX(Boundaries!$B$2:$I$30,MATCH(CI239,Boundaries!$A$2:$A$30,0),0),1)-1,""))</f>
        <v>6</v>
      </c>
      <c r="T239" s="42" t="str">
        <f aca="false">IF(OR(S239="",$E239=""),"",S239-$E239)</f>
        <v/>
      </c>
      <c r="U239" s="39"/>
      <c r="V239" s="40" t="str">
        <f aca="false">IF(OR(U239="",BV239=""),"",U239/BV239*100)</f>
        <v/>
      </c>
      <c r="W239" s="41" t="str">
        <f aca="false">IF(V239="","",IFERROR(MATCH(V239,INDEX(Boundaries!$B$2:$I$30,MATCH(CJ239,Boundaries!$A$2:$A$30,0),0),1)-1,""))</f>
        <v/>
      </c>
      <c r="X239" s="42" t="str">
        <f aca="false">IF(OR(W239="",$E239=""),"",W239-$E239)</f>
        <v/>
      </c>
      <c r="Y239" s="39"/>
      <c r="Z239" s="40" t="str">
        <f aca="false">IF(OR(Y239="",BW239=""),"",Y239/BW239*100)</f>
        <v/>
      </c>
      <c r="AA239" s="41" t="str">
        <f aca="false">IF(Z239="","",IFERROR(MATCH(Z239,INDEX(Boundaries!$B$2:$I$30,MATCH(CK239,Boundaries!$A$2:$A$30,0),0),1)-1,""))</f>
        <v/>
      </c>
      <c r="AB239" s="42" t="str">
        <f aca="false">IF(OR(AA239="",$E239=""),"",AA239-$E239)</f>
        <v/>
      </c>
      <c r="AC239" s="39"/>
      <c r="AD239" s="40" t="str">
        <f aca="false">IF(OR(AC239="",BX239=""),"",AC239/BX239*100)</f>
        <v/>
      </c>
      <c r="AE239" s="41" t="str">
        <f aca="false">IF(AD239="","",IFERROR(MATCH(AD239,INDEX(Boundaries!$B$2:$I$30,MATCH(CL239,Boundaries!$A$2:$A$30,0),0),1)-1,""))</f>
        <v/>
      </c>
      <c r="AF239" s="42" t="str">
        <f aca="false">IF(OR(AE239="",$E239=""),"",AE239-$E239)</f>
        <v/>
      </c>
      <c r="AG239" s="39"/>
      <c r="AH239" s="40" t="str">
        <f aca="false">IF(OR(AG239="",BY239=""),"",AG239/BY239*100)</f>
        <v/>
      </c>
      <c r="AI239" s="41" t="str">
        <f aca="false">IF(AH239="","",IFERROR(MATCH(AH239,INDEX(Boundaries!$B$2:$I$30,MATCH(CM239,Boundaries!$A$2:$A$30,0),0),1)-1,""))</f>
        <v/>
      </c>
      <c r="AJ239" s="42" t="str">
        <f aca="false">IF(OR(AI239="",$E239=""),"",AI239-$E239)</f>
        <v/>
      </c>
      <c r="AK239" s="39"/>
      <c r="AL239" s="40" t="str">
        <f aca="false">IF(OR(AK239="",BZ239=""),"",AK239/BZ239*100)</f>
        <v/>
      </c>
      <c r="AM239" s="41" t="str">
        <f aca="false">IF(AL239="","",IFERROR(MATCH(AL239,INDEX(Boundaries!$B$2:$I$30,MATCH(CN239,Boundaries!$A$2:$A$30,0),0),1)-1,""))</f>
        <v/>
      </c>
      <c r="AN239" s="42" t="str">
        <f aca="false">IF(OR(AM239="",$E239=""),"",AM239-$E239)</f>
        <v/>
      </c>
      <c r="AO239" s="39"/>
      <c r="AP239" s="40" t="str">
        <f aca="false">IF(OR(AO239="",CA239=""),"",AO239/CA239*100)</f>
        <v/>
      </c>
      <c r="AQ239" s="41" t="str">
        <f aca="false">IF(AP239="","",IFERROR(MATCH(AP239,INDEX(Boundaries!$B$2:$I$30,MATCH(CO239,Boundaries!$A$2:$A$30,0),0),1)-1,""))</f>
        <v/>
      </c>
      <c r="AR239" s="42" t="str">
        <f aca="false">IF(OR(AQ239="",$E239=""),"",AQ239-$E239)</f>
        <v/>
      </c>
      <c r="AS239" s="39"/>
      <c r="AT239" s="40" t="str">
        <f aca="false">IF(OR(AS239="",CB239=""),"",AS239/CB239*100)</f>
        <v/>
      </c>
      <c r="AU239" s="41" t="str">
        <f aca="false">IF(AT239="","",IFERROR(MATCH(AT239,INDEX(Boundaries!$B$2:$I$30,MATCH(CP239,Boundaries!$A$2:$A$30,0),0),1)-1,""))</f>
        <v/>
      </c>
      <c r="AV239" s="42" t="str">
        <f aca="false">IF(OR(AU239="",$E239=""),"",AU239-$E239)</f>
        <v/>
      </c>
      <c r="AW239" s="39"/>
      <c r="AX239" s="40" t="str">
        <f aca="false">IF(OR(AW239="",CC239=""),"",AW239/CC239*100)</f>
        <v/>
      </c>
      <c r="AY239" s="41" t="str">
        <f aca="false">IF(AX239="","",IFERROR(MATCH(AX239,INDEX(Boundaries!$B$2:$I$30,MATCH(CQ239,Boundaries!$A$2:$A$30,0),0),1)-1,""))</f>
        <v/>
      </c>
      <c r="AZ239" s="42" t="str">
        <f aca="false">IF(OR(AY239="",$E239=""),"",AY239-$E239)</f>
        <v/>
      </c>
      <c r="BA239" s="39"/>
      <c r="BB239" s="40" t="str">
        <f aca="false">IF(OR(BA239="",CD239=""),"",BA239/CD239*100)</f>
        <v/>
      </c>
      <c r="BC239" s="41" t="str">
        <f aca="false">IF(BB239="","",IFERROR(MATCH(BB239,INDEX(Boundaries!$B$2:$I$30,MATCH(CR239,Boundaries!$A$2:$A$30,0),0),1)-1,""))</f>
        <v/>
      </c>
      <c r="BD239" s="42" t="str">
        <f aca="false">IF(OR(BC239="",$E239=""),"",BC239-$E239)</f>
        <v/>
      </c>
      <c r="BE239" s="39"/>
      <c r="BF239" s="40" t="str">
        <f aca="false">IF(OR(BE239="",CE239=""),"",BE239/CE239*100)</f>
        <v/>
      </c>
      <c r="BG239" s="41" t="str">
        <f aca="false">IF(BF239="","",IFERROR(MATCH(BF239,INDEX(Boundaries!$B$2:$I$30,MATCH(CS239,Boundaries!$A$2:$A$30,0),0),1)-1,""))</f>
        <v/>
      </c>
      <c r="BH239" s="42" t="str">
        <f aca="false">IF(OR(BG239="",$E239=""),"",BG239-$E239)</f>
        <v/>
      </c>
      <c r="BI239" s="39"/>
      <c r="BJ239" s="40" t="str">
        <f aca="false">IF(OR(BI239="",CF239=""),"",BI239/CF239*100)</f>
        <v/>
      </c>
      <c r="BK239" s="41" t="str">
        <f aca="false">IF(BJ239="","",IFERROR(MATCH(BJ239,INDEX(Boundaries!$B$2:$I$30,MATCH(CT239,Boundaries!$A$2:$A$30,0),0),1)-1,""))</f>
        <v/>
      </c>
      <c r="BL239" s="42" t="str">
        <f aca="false">IF(OR(BK239="",$E239=""),"",BK239-$E239)</f>
        <v/>
      </c>
      <c r="BM239" s="39"/>
      <c r="BN239" s="40" t="str">
        <f aca="false">IF(OR(BM239="",CG239=""),"",BM239/CG239*100)</f>
        <v/>
      </c>
      <c r="BO239" s="41" t="str">
        <f aca="false">IF(BN239="","",IFERROR(MATCH(BN239,INDEX(Boundaries!$B$2:$I$30,MATCH(CU239,Boundaries!$A$2:$A$30,0),0),1)-1,""))</f>
        <v/>
      </c>
      <c r="BP239" s="42" t="str">
        <f aca="false">IF(OR(BO239="",$E239=""),"",BO239-$E239)</f>
        <v/>
      </c>
      <c r="BQ239" s="39"/>
      <c r="BR239" s="40" t="str">
        <f aca="false">IF(OR(BQ239="",CH239=""),"",BQ239/CH239*100)</f>
        <v/>
      </c>
      <c r="BS239" s="41" t="str">
        <f aca="false">IF(BR239="","",IFERROR(MATCH(BR239,INDEX(Boundaries!$B$2:$I$30,MATCH(CV239,Boundaries!$A$2:$A$30,0),0),1)-1,""))</f>
        <v/>
      </c>
      <c r="BT239" s="42" t="str">
        <f aca="false">IF(OR(BS239="",$E239=""),"",BS239-$E239)</f>
        <v/>
      </c>
      <c r="BU239" s="28" t="n">
        <f aca="false">IFERROR(INDEX(Assessments!$H$2:$H$600,MATCH($H239&amp;"|"&amp;$I239&amp;"|"&amp;$J239&amp;"|"&amp;1,Assessments!$A$2:$A$600,0)),"")</f>
        <v>25</v>
      </c>
      <c r="BV239" s="28" t="n">
        <f aca="false">IFERROR(INDEX(Assessments!$H$2:$H$600,MATCH($H239&amp;"|"&amp;$I239&amp;"|"&amp;$J239&amp;"|"&amp;2,Assessments!$A$2:$A$600,0)),"")</f>
        <v>24</v>
      </c>
      <c r="BW239" s="28" t="n">
        <f aca="false">IFERROR(INDEX(Assessments!$H$2:$H$600,MATCH($H239&amp;"|"&amp;$I239&amp;"|"&amp;$J239&amp;"|"&amp;3,Assessments!$A$2:$A$600,0)),"")</f>
        <v>25</v>
      </c>
      <c r="BX239" s="28" t="n">
        <f aca="false">IFERROR(INDEX(Assessments!$H$2:$H$600,MATCH($H239&amp;"|"&amp;$I239&amp;"|"&amp;$J239&amp;"|"&amp;4,Assessments!$A$2:$A$600,0)),"")</f>
        <v>35</v>
      </c>
      <c r="BY239" s="28" t="n">
        <f aca="false">IFERROR(INDEX(Assessments!$H$2:$H$600,MATCH($H239&amp;"|"&amp;$I239&amp;"|"&amp;$J239&amp;"|"&amp;5,Assessments!$A$2:$A$600,0)),"")</f>
        <v>55</v>
      </c>
      <c r="BZ239" s="28" t="n">
        <f aca="false">IFERROR(INDEX(Assessments!$H$2:$H$600,MATCH($H239&amp;"|"&amp;$I239&amp;"|"&amp;$J239&amp;"|"&amp;6,Assessments!$A$2:$A$600,0)),"")</f>
        <v>28</v>
      </c>
      <c r="CA239" s="28" t="n">
        <f aca="false">IFERROR(INDEX(Assessments!$H$2:$H$600,MATCH($H239&amp;"|"&amp;$I239&amp;"|"&amp;$J239&amp;"|"&amp;7,Assessments!$A$2:$A$600,0)),"")</f>
        <v>95</v>
      </c>
      <c r="CB239" s="28" t="str">
        <f aca="false">IFERROR(INDEX(Assessments!$H$2:$H$600,MATCH($H239&amp;"|"&amp;$I239&amp;"|"&amp;$J239&amp;"|"&amp;8,Assessments!$A$2:$A$600,0)),"")</f>
        <v/>
      </c>
      <c r="CC239" s="28" t="str">
        <f aca="false">IFERROR(INDEX(Assessments!$H$2:$H$600,MATCH($H239&amp;"|"&amp;$I239&amp;"|"&amp;$J239&amp;"|"&amp;9,Assessments!$A$2:$A$600,0)),"")</f>
        <v/>
      </c>
      <c r="CD239" s="28" t="str">
        <f aca="false">IFERROR(INDEX(Assessments!$H$2:$H$600,MATCH($H239&amp;"|"&amp;$I239&amp;"|"&amp;$J239&amp;"|"&amp;10,Assessments!$A$2:$A$600,0)),"")</f>
        <v/>
      </c>
      <c r="CE239" s="28" t="str">
        <f aca="false">IFERROR(INDEX(Assessments!$H$2:$H$600,MATCH($H239&amp;"|"&amp;$I239&amp;"|"&amp;$J239&amp;"|"&amp;11,Assessments!$A$2:$A$600,0)),"")</f>
        <v/>
      </c>
      <c r="CF239" s="28" t="str">
        <f aca="false">IFERROR(INDEX(Assessments!$H$2:$H$600,MATCH($H239&amp;"|"&amp;$I239&amp;"|"&amp;$J239&amp;"|"&amp;12,Assessments!$A$2:$A$600,0)),"")</f>
        <v/>
      </c>
      <c r="CG239" s="28" t="str">
        <f aca="false">IFERROR(INDEX(Assessments!$H$2:$H$600,MATCH($H239&amp;"|"&amp;$I239&amp;"|"&amp;$J239&amp;"|"&amp;13,Assessments!$A$2:$A$600,0)),"")</f>
        <v/>
      </c>
      <c r="CH239" s="28" t="str">
        <f aca="false">IFERROR(INDEX(Assessments!$H$2:$H$600,MATCH($H239&amp;"|"&amp;$I239&amp;"|"&amp;$J239&amp;"|"&amp;14,Assessments!$A$2:$A$600,0)),"")</f>
        <v/>
      </c>
      <c r="CI239" s="28" t="str">
        <f aca="false">IFERROR(INDEX(Assessments!$I$2:$I$600,MATCH($H239&amp;"|"&amp;$I239&amp;"|"&amp;$J239&amp;"|"&amp;1,Assessments!$A$2:$A$600,0)),"")</f>
        <v>Econ Test</v>
      </c>
      <c r="CJ239" s="28" t="str">
        <f aca="false">IFERROR(INDEX(Assessments!$I$2:$I$600,MATCH($H239&amp;"|"&amp;$I239&amp;"|"&amp;$J239&amp;"|"&amp;2,Assessments!$A$2:$A$600,0)),"")</f>
        <v>Econ Test</v>
      </c>
      <c r="CK239" s="28" t="str">
        <f aca="false">IFERROR(INDEX(Assessments!$I$2:$I$600,MATCH($H239&amp;"|"&amp;$I239&amp;"|"&amp;$J239&amp;"|"&amp;3,Assessments!$A$2:$A$600,0)),"")</f>
        <v>Econ Test</v>
      </c>
      <c r="CL239" s="28" t="str">
        <f aca="false">IFERROR(INDEX(Assessments!$I$2:$I$600,MATCH($H239&amp;"|"&amp;$I239&amp;"|"&amp;$J239&amp;"|"&amp;4,Assessments!$A$2:$A$600,0)),"")</f>
        <v>Econ Test</v>
      </c>
      <c r="CM239" s="28" t="str">
        <f aca="false">IFERROR(INDEX(Assessments!$I$2:$I$600,MATCH($H239&amp;"|"&amp;$I239&amp;"|"&amp;$J239&amp;"|"&amp;5,Assessments!$A$2:$A$600,0)),"")</f>
        <v>Econ Exam</v>
      </c>
      <c r="CN239" s="28" t="str">
        <f aca="false">IFERROR(INDEX(Assessments!$I$2:$I$600,MATCH($H239&amp;"|"&amp;$I239&amp;"|"&amp;$J239&amp;"|"&amp;6,Assessments!$A$2:$A$600,0)),"")</f>
        <v>Econ Test</v>
      </c>
      <c r="CO239" s="28" t="str">
        <f aca="false">IFERROR(INDEX(Assessments!$I$2:$I$600,MATCH($H239&amp;"|"&amp;$I239&amp;"|"&amp;$J239&amp;"|"&amp;7,Assessments!$A$2:$A$600,0)),"")</f>
        <v>Econ Exam</v>
      </c>
      <c r="CP239" s="28" t="str">
        <f aca="false">IFERROR(INDEX(Assessments!$I$2:$I$600,MATCH($H239&amp;"|"&amp;$I239&amp;"|"&amp;$J239&amp;"|"&amp;8,Assessments!$A$2:$A$600,0)),"")</f>
        <v/>
      </c>
      <c r="CQ239" s="28" t="str">
        <f aca="false">IFERROR(INDEX(Assessments!$I$2:$I$600,MATCH($H239&amp;"|"&amp;$I239&amp;"|"&amp;$J239&amp;"|"&amp;9,Assessments!$A$2:$A$600,0)),"")</f>
        <v/>
      </c>
      <c r="CR239" s="28" t="str">
        <f aca="false">IFERROR(INDEX(Assessments!$I$2:$I$600,MATCH($H239&amp;"|"&amp;$I239&amp;"|"&amp;$J239&amp;"|"&amp;10,Assessments!$A$2:$A$600,0)),"")</f>
        <v/>
      </c>
      <c r="CS239" s="28" t="str">
        <f aca="false">IFERROR(INDEX(Assessments!$I$2:$I$600,MATCH($H239&amp;"|"&amp;$I239&amp;"|"&amp;$J239&amp;"|"&amp;11,Assessments!$A$2:$A$600,0)),"")</f>
        <v/>
      </c>
      <c r="CT239" s="28" t="str">
        <f aca="false">IFERROR(INDEX(Assessments!$I$2:$I$600,MATCH($H239&amp;"|"&amp;$I239&amp;"|"&amp;$J239&amp;"|"&amp;12,Assessments!$A$2:$A$600,0)),"")</f>
        <v/>
      </c>
      <c r="CU239" s="28" t="str">
        <f aca="false">IFERROR(INDEX(Assessments!$I$2:$I$600,MATCH($H239&amp;"|"&amp;$I239&amp;"|"&amp;$J239&amp;"|"&amp;13,Assessments!$A$2:$A$600,0)),"")</f>
        <v/>
      </c>
      <c r="CV239" s="28" t="str">
        <f aca="false">IFERROR(INDEX(Assessments!$I$2:$I$600,MATCH($H239&amp;"|"&amp;$I239&amp;"|"&amp;$J239&amp;"|"&amp;14,Assessments!$A$2:$A$600,0)),"")</f>
        <v/>
      </c>
      <c r="CW239" s="28" t="n">
        <f aca="false">IFERROR(INDEX(Assessments!$J$2:$J$600,MATCH($H239&amp;"|"&amp;$I239&amp;"|"&amp;$J239&amp;"|"&amp;1,Assessments!$A$2:$A$600,0)),0)</f>
        <v>1</v>
      </c>
      <c r="CX239" s="28" t="n">
        <f aca="false">IFERROR(INDEX(Assessments!$J$2:$J$600,MATCH($H239&amp;"|"&amp;$I239&amp;"|"&amp;$J239&amp;"|"&amp;2,Assessments!$A$2:$A$600,0)),0)</f>
        <v>1</v>
      </c>
      <c r="CY239" s="28" t="n">
        <f aca="false">IFERROR(INDEX(Assessments!$J$2:$J$600,MATCH($H239&amp;"|"&amp;$I239&amp;"|"&amp;$J239&amp;"|"&amp;3,Assessments!$A$2:$A$600,0)),0)</f>
        <v>1</v>
      </c>
      <c r="CZ239" s="28" t="n">
        <f aca="false">IFERROR(INDEX(Assessments!$J$2:$J$600,MATCH($H239&amp;"|"&amp;$I239&amp;"|"&amp;$J239&amp;"|"&amp;4,Assessments!$A$2:$A$600,0)),0)</f>
        <v>1</v>
      </c>
      <c r="DA239" s="28" t="n">
        <f aca="false">IFERROR(INDEX(Assessments!$J$2:$J$600,MATCH($H239&amp;"|"&amp;$I239&amp;"|"&amp;$J239&amp;"|"&amp;5,Assessments!$A$2:$A$600,0)),0)</f>
        <v>2</v>
      </c>
      <c r="DB239" s="28" t="n">
        <f aca="false">IFERROR(INDEX(Assessments!$J$2:$J$600,MATCH($H239&amp;"|"&amp;$I239&amp;"|"&amp;$J239&amp;"|"&amp;6,Assessments!$A$2:$A$600,0)),0)</f>
        <v>1</v>
      </c>
      <c r="DC239" s="28" t="n">
        <f aca="false">IFERROR(INDEX(Assessments!$J$2:$J$600,MATCH($H239&amp;"|"&amp;$I239&amp;"|"&amp;$J239&amp;"|"&amp;7,Assessments!$A$2:$A$600,0)),0)</f>
        <v>2</v>
      </c>
      <c r="DD239" s="28" t="n">
        <f aca="false">IFERROR(INDEX(Assessments!$J$2:$J$600,MATCH($H239&amp;"|"&amp;$I239&amp;"|"&amp;$J239&amp;"|"&amp;8,Assessments!$A$2:$A$600,0)),0)</f>
        <v>0</v>
      </c>
      <c r="DE239" s="28" t="n">
        <f aca="false">IFERROR(INDEX(Assessments!$J$2:$J$600,MATCH($H239&amp;"|"&amp;$I239&amp;"|"&amp;$J239&amp;"|"&amp;9,Assessments!$A$2:$A$600,0)),0)</f>
        <v>0</v>
      </c>
      <c r="DF239" s="28" t="n">
        <f aca="false">IFERROR(INDEX(Assessments!$J$2:$J$600,MATCH($H239&amp;"|"&amp;$I239&amp;"|"&amp;$J239&amp;"|"&amp;10,Assessments!$A$2:$A$600,0)),0)</f>
        <v>0</v>
      </c>
      <c r="DG239" s="28" t="n">
        <f aca="false">IFERROR(INDEX(Assessments!$J$2:$J$600,MATCH($H239&amp;"|"&amp;$I239&amp;"|"&amp;$J239&amp;"|"&amp;11,Assessments!$A$2:$A$600,0)),0)</f>
        <v>0</v>
      </c>
      <c r="DH239" s="28" t="n">
        <f aca="false">IFERROR(INDEX(Assessments!$J$2:$J$600,MATCH($H239&amp;"|"&amp;$I239&amp;"|"&amp;$J239&amp;"|"&amp;12,Assessments!$A$2:$A$600,0)),0)</f>
        <v>0</v>
      </c>
      <c r="DI239" s="28" t="n">
        <f aca="false">IFERROR(INDEX(Assessments!$J$2:$J$600,MATCH($H239&amp;"|"&amp;$I239&amp;"|"&amp;$J239&amp;"|"&amp;13,Assessments!$A$2:$A$600,0)),0)</f>
        <v>0</v>
      </c>
      <c r="DJ239" s="28" t="n">
        <f aca="false">IFERROR(INDEX(Assessments!$J$2:$J$600,MATCH($H239&amp;"|"&amp;$I239&amp;"|"&amp;$J239&amp;"|"&amp;14,Assessments!$A$2:$A$600,0)),0)</f>
        <v>0</v>
      </c>
      <c r="DK239" s="28" t="n">
        <f aca="false">S239</f>
        <v>6</v>
      </c>
      <c r="DL239" s="28" t="str">
        <f aca="false">W239</f>
        <v/>
      </c>
      <c r="DM239" s="28" t="str">
        <f aca="false">AA239</f>
        <v/>
      </c>
      <c r="DN239" s="28" t="str">
        <f aca="false">AE239</f>
        <v/>
      </c>
      <c r="DO239" s="28" t="str">
        <f aca="false">AI239</f>
        <v/>
      </c>
      <c r="DP239" s="28" t="str">
        <f aca="false">AM239</f>
        <v/>
      </c>
      <c r="DQ239" s="28" t="str">
        <f aca="false">AQ239</f>
        <v/>
      </c>
      <c r="DR239" s="28" t="str">
        <f aca="false">AU239</f>
        <v/>
      </c>
      <c r="DS239" s="28" t="str">
        <f aca="false">AY239</f>
        <v/>
      </c>
      <c r="DT239" s="28" t="str">
        <f aca="false">BC239</f>
        <v/>
      </c>
      <c r="DU239" s="28" t="str">
        <f aca="false">BG239</f>
        <v/>
      </c>
      <c r="DV239" s="28" t="str">
        <f aca="false">BK239</f>
        <v/>
      </c>
      <c r="DW239" s="28" t="str">
        <f aca="false">BO239</f>
        <v/>
      </c>
      <c r="DX239" s="28" t="str">
        <f aca="false">BS239</f>
        <v/>
      </c>
      <c r="DY239" s="28" t="n">
        <f aca="false">IF(ISNUMBER(S239),1,"")</f>
        <v>1</v>
      </c>
      <c r="DZ239" s="28" t="str">
        <f aca="false">IF(ISNUMBER(W239),2,"")</f>
        <v/>
      </c>
      <c r="EA239" s="28" t="str">
        <f aca="false">IF(ISNUMBER(AA239),3,"")</f>
        <v/>
      </c>
      <c r="EB239" s="28" t="str">
        <f aca="false">IF(ISNUMBER(AE239),4,"")</f>
        <v/>
      </c>
      <c r="EC239" s="28" t="str">
        <f aca="false">IF(ISNUMBER(AI239),5,"")</f>
        <v/>
      </c>
      <c r="ED239" s="28" t="str">
        <f aca="false">IF(ISNUMBER(AM239),6,"")</f>
        <v/>
      </c>
      <c r="EE239" s="28" t="str">
        <f aca="false">IF(ISNUMBER(AQ239),7,"")</f>
        <v/>
      </c>
      <c r="EF239" s="28" t="str">
        <f aca="false">IF(ISNUMBER(AU239),8,"")</f>
        <v/>
      </c>
      <c r="EG239" s="28" t="str">
        <f aca="false">IF(ISNUMBER(AY239),9,"")</f>
        <v/>
      </c>
      <c r="EH239" s="28" t="str">
        <f aca="false">IF(ISNUMBER(BC239),10,"")</f>
        <v/>
      </c>
      <c r="EI239" s="28" t="str">
        <f aca="false">IF(ISNUMBER(BG239),11,"")</f>
        <v/>
      </c>
      <c r="EJ239" s="28" t="str">
        <f aca="false">IF(ISNUMBER(BK239),12,"")</f>
        <v/>
      </c>
      <c r="EK239" s="28" t="str">
        <f aca="false">IF(ISNUMBER(BO239),13,"")</f>
        <v/>
      </c>
      <c r="EL239" s="28" t="str">
        <f aca="false">IF(ISNUMBER(BS239),14,"")</f>
        <v/>
      </c>
      <c r="EM239" s="28" t="n">
        <f aca="false">IF(ISNUMBER(R239),R239*CW239,0)</f>
        <v>76</v>
      </c>
      <c r="EN239" s="28" t="n">
        <f aca="false">IF(ISNUMBER(V239),V239*CX239,0)</f>
        <v>0</v>
      </c>
      <c r="EO239" s="28" t="n">
        <f aca="false">IF(ISNUMBER(Z239),Z239*CY239,0)</f>
        <v>0</v>
      </c>
      <c r="EP239" s="28" t="n">
        <f aca="false">IF(ISNUMBER(AD239),AD239*CZ239,0)</f>
        <v>0</v>
      </c>
      <c r="EQ239" s="28" t="n">
        <f aca="false">IF(ISNUMBER(AH239),AH239*DA239,0)</f>
        <v>0</v>
      </c>
      <c r="ER239" s="28" t="n">
        <f aca="false">IF(ISNUMBER(AL239),AL239*DB239,0)</f>
        <v>0</v>
      </c>
      <c r="ES239" s="28" t="n">
        <f aca="false">IF(ISNUMBER(AP239),AP239*DC239,0)</f>
        <v>0</v>
      </c>
      <c r="ET239" s="28" t="n">
        <f aca="false">IF(ISNUMBER(AT239),AT239*DD239,0)</f>
        <v>0</v>
      </c>
      <c r="EU239" s="28" t="n">
        <f aca="false">IF(ISNUMBER(AX239),AX239*DE239,0)</f>
        <v>0</v>
      </c>
      <c r="EV239" s="28" t="n">
        <f aca="false">IF(ISNUMBER(BB239),BB239*DF239,0)</f>
        <v>0</v>
      </c>
      <c r="EW239" s="28" t="n">
        <f aca="false">IF(ISNUMBER(BF239),BF239*DG239,0)</f>
        <v>0</v>
      </c>
      <c r="EX239" s="28" t="n">
        <f aca="false">IF(ISNUMBER(BJ239),BJ239*DH239,0)</f>
        <v>0</v>
      </c>
      <c r="EY239" s="28" t="n">
        <f aca="false">IF(ISNUMBER(BN239),BN239*DI239,0)</f>
        <v>0</v>
      </c>
      <c r="EZ239" s="28" t="n">
        <f aca="false">IF(ISNUMBER(BR239),BR239*DJ239,0)</f>
        <v>0</v>
      </c>
      <c r="FA239" s="28" t="n">
        <f aca="false">IF(ISNUMBER(R239),CW239,0)</f>
        <v>1</v>
      </c>
      <c r="FB239" s="28" t="n">
        <f aca="false">IF(ISNUMBER(V239),CX239,0)</f>
        <v>0</v>
      </c>
      <c r="FC239" s="28" t="n">
        <f aca="false">IF(ISNUMBER(Z239),CY239,0)</f>
        <v>0</v>
      </c>
      <c r="FD239" s="28" t="n">
        <f aca="false">IF(ISNUMBER(AD239),CZ239,0)</f>
        <v>0</v>
      </c>
      <c r="FE239" s="28" t="n">
        <f aca="false">IF(ISNUMBER(AH239),DA239,0)</f>
        <v>0</v>
      </c>
      <c r="FF239" s="28" t="n">
        <f aca="false">IF(ISNUMBER(AL239),DB239,0)</f>
        <v>0</v>
      </c>
      <c r="FG239" s="28" t="n">
        <f aca="false">IF(ISNUMBER(AP239),DC239,0)</f>
        <v>0</v>
      </c>
      <c r="FH239" s="28" t="n">
        <f aca="false">IF(ISNUMBER(AT239),DD239,0)</f>
        <v>0</v>
      </c>
      <c r="FI239" s="28" t="n">
        <f aca="false">IF(ISNUMBER(AX239),DE239,0)</f>
        <v>0</v>
      </c>
      <c r="FJ239" s="28" t="n">
        <f aca="false">IF(ISNUMBER(BB239),DF239,0)</f>
        <v>0</v>
      </c>
      <c r="FK239" s="28" t="n">
        <f aca="false">IF(ISNUMBER(BF239),DG239,0)</f>
        <v>0</v>
      </c>
      <c r="FL239" s="28" t="n">
        <f aca="false">IF(ISNUMBER(BJ239),DH239,0)</f>
        <v>0</v>
      </c>
      <c r="FM239" s="28" t="n">
        <f aca="false">IF(ISNUMBER(BN239),DI239,0)</f>
        <v>0</v>
      </c>
      <c r="FN239" s="28" t="n">
        <f aca="false">IF(ISNUMBER(BR239),DJ239,0)</f>
        <v>0</v>
      </c>
      <c r="FO239" s="28" t="str">
        <f aca="false">IFERROR(INDEX(Lists!$G$2:$G$20,MATCH($I239&amp;"|"&amp;$J239,Lists!$F$2:$F$20,0)),"")</f>
        <v>Econ Exam</v>
      </c>
    </row>
    <row r="240" customFormat="false" ht="19.5" hidden="false" customHeight="true" outlineLevel="0" collapsed="false">
      <c r="A240" s="29" t="s">
        <v>498</v>
      </c>
      <c r="B240" s="29" t="s">
        <v>499</v>
      </c>
      <c r="C240" s="30" t="s">
        <v>152</v>
      </c>
      <c r="D240" s="30" t="s">
        <v>291</v>
      </c>
      <c r="E240" s="31"/>
      <c r="F240" s="30"/>
      <c r="G240" s="30"/>
      <c r="H240" s="32" t="s">
        <v>428</v>
      </c>
      <c r="I240" s="33" t="s">
        <v>229</v>
      </c>
      <c r="J240" s="32" t="s">
        <v>25</v>
      </c>
      <c r="K240" s="34" t="str">
        <f aca="false">IF(OR(M240="",$E240=""),"",M240-$E240)</f>
        <v/>
      </c>
      <c r="L240" s="35" t="n">
        <f aca="false">IF(SUM(FA240:FN240)=0,"",SUM(EM240:EZ240)/SUM(FA240:FN240))</f>
        <v>84</v>
      </c>
      <c r="M240" s="36" t="n">
        <f aca="false">IF(OR(L240="",FO240=""),"",IFERROR(MATCH(L240,INDEX(Boundaries!$B$2:$I$30,MATCH(FO240,Boundaries!$A$2:$A$30,0),0),1)-1,""))</f>
        <v>7</v>
      </c>
      <c r="N240" s="37" t="str">
        <f aca="false">IF(COUNT($DY240:$EL240)&lt;2,"",INDEX($DK240:$DX240,MAX($DY240:$EL240))-INDEX($DK240:$DX240,MIN($DY240:$EL240)))</f>
        <v/>
      </c>
      <c r="O240" s="37" t="str">
        <f aca="false">IF(COUNT($DY240:$EL240)&lt;2,"",INDEX($DK240:$DX240,MAX($DY240:$EL240))-INDEX($DK240:$DX240,LARGE($DY240:$EL240,2)))</f>
        <v/>
      </c>
      <c r="P240" s="38" t="str">
        <f aca="false">IF(K240="","",IF(K240&gt;=0,"On/above target",IF(AND(N240&lt;&gt;"",N240&gt;=0.5),"Improving towards target",IF(AND(O240&lt;&gt;"",O240&lt;=-0.5),"Declining","Stable below target"))))</f>
        <v/>
      </c>
      <c r="Q240" s="39" t="n">
        <v>21</v>
      </c>
      <c r="R240" s="40" t="n">
        <f aca="false">IF(OR(Q240="",BU240=""),"",Q240/BU240*100)</f>
        <v>84</v>
      </c>
      <c r="S240" s="41" t="n">
        <f aca="false">IF(R240="","",IFERROR(MATCH(R240,INDEX(Boundaries!$B$2:$I$30,MATCH(CI240,Boundaries!$A$2:$A$30,0),0),1)-1,""))</f>
        <v>6</v>
      </c>
      <c r="T240" s="42" t="str">
        <f aca="false">IF(OR(S240="",$E240=""),"",S240-$E240)</f>
        <v/>
      </c>
      <c r="U240" s="39"/>
      <c r="V240" s="40" t="str">
        <f aca="false">IF(OR(U240="",BV240=""),"",U240/BV240*100)</f>
        <v/>
      </c>
      <c r="W240" s="41" t="str">
        <f aca="false">IF(V240="","",IFERROR(MATCH(V240,INDEX(Boundaries!$B$2:$I$30,MATCH(CJ240,Boundaries!$A$2:$A$30,0),0),1)-1,""))</f>
        <v/>
      </c>
      <c r="X240" s="42" t="str">
        <f aca="false">IF(OR(W240="",$E240=""),"",W240-$E240)</f>
        <v/>
      </c>
      <c r="Y240" s="39"/>
      <c r="Z240" s="40" t="str">
        <f aca="false">IF(OR(Y240="",BW240=""),"",Y240/BW240*100)</f>
        <v/>
      </c>
      <c r="AA240" s="41" t="str">
        <f aca="false">IF(Z240="","",IFERROR(MATCH(Z240,INDEX(Boundaries!$B$2:$I$30,MATCH(CK240,Boundaries!$A$2:$A$30,0),0),1)-1,""))</f>
        <v/>
      </c>
      <c r="AB240" s="42" t="str">
        <f aca="false">IF(OR(AA240="",$E240=""),"",AA240-$E240)</f>
        <v/>
      </c>
      <c r="AC240" s="39"/>
      <c r="AD240" s="40" t="str">
        <f aca="false">IF(OR(AC240="",BX240=""),"",AC240/BX240*100)</f>
        <v/>
      </c>
      <c r="AE240" s="41" t="str">
        <f aca="false">IF(AD240="","",IFERROR(MATCH(AD240,INDEX(Boundaries!$B$2:$I$30,MATCH(CL240,Boundaries!$A$2:$A$30,0),0),1)-1,""))</f>
        <v/>
      </c>
      <c r="AF240" s="42" t="str">
        <f aca="false">IF(OR(AE240="",$E240=""),"",AE240-$E240)</f>
        <v/>
      </c>
      <c r="AG240" s="39"/>
      <c r="AH240" s="40" t="str">
        <f aca="false">IF(OR(AG240="",BY240=""),"",AG240/BY240*100)</f>
        <v/>
      </c>
      <c r="AI240" s="41" t="str">
        <f aca="false">IF(AH240="","",IFERROR(MATCH(AH240,INDEX(Boundaries!$B$2:$I$30,MATCH(CM240,Boundaries!$A$2:$A$30,0),0),1)-1,""))</f>
        <v/>
      </c>
      <c r="AJ240" s="42" t="str">
        <f aca="false">IF(OR(AI240="",$E240=""),"",AI240-$E240)</f>
        <v/>
      </c>
      <c r="AK240" s="39"/>
      <c r="AL240" s="40" t="str">
        <f aca="false">IF(OR(AK240="",BZ240=""),"",AK240/BZ240*100)</f>
        <v/>
      </c>
      <c r="AM240" s="41" t="str">
        <f aca="false">IF(AL240="","",IFERROR(MATCH(AL240,INDEX(Boundaries!$B$2:$I$30,MATCH(CN240,Boundaries!$A$2:$A$30,0),0),1)-1,""))</f>
        <v/>
      </c>
      <c r="AN240" s="42" t="str">
        <f aca="false">IF(OR(AM240="",$E240=""),"",AM240-$E240)</f>
        <v/>
      </c>
      <c r="AO240" s="39"/>
      <c r="AP240" s="40" t="str">
        <f aca="false">IF(OR(AO240="",CA240=""),"",AO240/CA240*100)</f>
        <v/>
      </c>
      <c r="AQ240" s="41" t="str">
        <f aca="false">IF(AP240="","",IFERROR(MATCH(AP240,INDEX(Boundaries!$B$2:$I$30,MATCH(CO240,Boundaries!$A$2:$A$30,0),0),1)-1,""))</f>
        <v/>
      </c>
      <c r="AR240" s="42" t="str">
        <f aca="false">IF(OR(AQ240="",$E240=""),"",AQ240-$E240)</f>
        <v/>
      </c>
      <c r="AS240" s="39"/>
      <c r="AT240" s="40" t="str">
        <f aca="false">IF(OR(AS240="",CB240=""),"",AS240/CB240*100)</f>
        <v/>
      </c>
      <c r="AU240" s="41" t="str">
        <f aca="false">IF(AT240="","",IFERROR(MATCH(AT240,INDEX(Boundaries!$B$2:$I$30,MATCH(CP240,Boundaries!$A$2:$A$30,0),0),1)-1,""))</f>
        <v/>
      </c>
      <c r="AV240" s="42" t="str">
        <f aca="false">IF(OR(AU240="",$E240=""),"",AU240-$E240)</f>
        <v/>
      </c>
      <c r="AW240" s="39"/>
      <c r="AX240" s="40" t="str">
        <f aca="false">IF(OR(AW240="",CC240=""),"",AW240/CC240*100)</f>
        <v/>
      </c>
      <c r="AY240" s="41" t="str">
        <f aca="false">IF(AX240="","",IFERROR(MATCH(AX240,INDEX(Boundaries!$B$2:$I$30,MATCH(CQ240,Boundaries!$A$2:$A$30,0),0),1)-1,""))</f>
        <v/>
      </c>
      <c r="AZ240" s="42" t="str">
        <f aca="false">IF(OR(AY240="",$E240=""),"",AY240-$E240)</f>
        <v/>
      </c>
      <c r="BA240" s="39"/>
      <c r="BB240" s="40" t="str">
        <f aca="false">IF(OR(BA240="",CD240=""),"",BA240/CD240*100)</f>
        <v/>
      </c>
      <c r="BC240" s="41" t="str">
        <f aca="false">IF(BB240="","",IFERROR(MATCH(BB240,INDEX(Boundaries!$B$2:$I$30,MATCH(CR240,Boundaries!$A$2:$A$30,0),0),1)-1,""))</f>
        <v/>
      </c>
      <c r="BD240" s="42" t="str">
        <f aca="false">IF(OR(BC240="",$E240=""),"",BC240-$E240)</f>
        <v/>
      </c>
      <c r="BE240" s="39"/>
      <c r="BF240" s="40" t="str">
        <f aca="false">IF(OR(BE240="",CE240=""),"",BE240/CE240*100)</f>
        <v/>
      </c>
      <c r="BG240" s="41" t="str">
        <f aca="false">IF(BF240="","",IFERROR(MATCH(BF240,INDEX(Boundaries!$B$2:$I$30,MATCH(CS240,Boundaries!$A$2:$A$30,0),0),1)-1,""))</f>
        <v/>
      </c>
      <c r="BH240" s="42" t="str">
        <f aca="false">IF(OR(BG240="",$E240=""),"",BG240-$E240)</f>
        <v/>
      </c>
      <c r="BI240" s="39"/>
      <c r="BJ240" s="40" t="str">
        <f aca="false">IF(OR(BI240="",CF240=""),"",BI240/CF240*100)</f>
        <v/>
      </c>
      <c r="BK240" s="41" t="str">
        <f aca="false">IF(BJ240="","",IFERROR(MATCH(BJ240,INDEX(Boundaries!$B$2:$I$30,MATCH(CT240,Boundaries!$A$2:$A$30,0),0),1)-1,""))</f>
        <v/>
      </c>
      <c r="BL240" s="42" t="str">
        <f aca="false">IF(OR(BK240="",$E240=""),"",BK240-$E240)</f>
        <v/>
      </c>
      <c r="BM240" s="39"/>
      <c r="BN240" s="40" t="str">
        <f aca="false">IF(OR(BM240="",CG240=""),"",BM240/CG240*100)</f>
        <v/>
      </c>
      <c r="BO240" s="41" t="str">
        <f aca="false">IF(BN240="","",IFERROR(MATCH(BN240,INDEX(Boundaries!$B$2:$I$30,MATCH(CU240,Boundaries!$A$2:$A$30,0),0),1)-1,""))</f>
        <v/>
      </c>
      <c r="BP240" s="42" t="str">
        <f aca="false">IF(OR(BO240="",$E240=""),"",BO240-$E240)</f>
        <v/>
      </c>
      <c r="BQ240" s="39"/>
      <c r="BR240" s="40" t="str">
        <f aca="false">IF(OR(BQ240="",CH240=""),"",BQ240/CH240*100)</f>
        <v/>
      </c>
      <c r="BS240" s="41" t="str">
        <f aca="false">IF(BR240="","",IFERROR(MATCH(BR240,INDEX(Boundaries!$B$2:$I$30,MATCH(CV240,Boundaries!$A$2:$A$30,0),0),1)-1,""))</f>
        <v/>
      </c>
      <c r="BT240" s="42" t="str">
        <f aca="false">IF(OR(BS240="",$E240=""),"",BS240-$E240)</f>
        <v/>
      </c>
      <c r="BU240" s="28" t="n">
        <f aca="false">IFERROR(INDEX(Assessments!$H$2:$H$600,MATCH($H240&amp;"|"&amp;$I240&amp;"|"&amp;$J240&amp;"|"&amp;1,Assessments!$A$2:$A$600,0)),"")</f>
        <v>25</v>
      </c>
      <c r="BV240" s="28" t="n">
        <f aca="false">IFERROR(INDEX(Assessments!$H$2:$H$600,MATCH($H240&amp;"|"&amp;$I240&amp;"|"&amp;$J240&amp;"|"&amp;2,Assessments!$A$2:$A$600,0)),"")</f>
        <v>24</v>
      </c>
      <c r="BW240" s="28" t="n">
        <f aca="false">IFERROR(INDEX(Assessments!$H$2:$H$600,MATCH($H240&amp;"|"&amp;$I240&amp;"|"&amp;$J240&amp;"|"&amp;3,Assessments!$A$2:$A$600,0)),"")</f>
        <v>25</v>
      </c>
      <c r="BX240" s="28" t="n">
        <f aca="false">IFERROR(INDEX(Assessments!$H$2:$H$600,MATCH($H240&amp;"|"&amp;$I240&amp;"|"&amp;$J240&amp;"|"&amp;4,Assessments!$A$2:$A$600,0)),"")</f>
        <v>35</v>
      </c>
      <c r="BY240" s="28" t="n">
        <f aca="false">IFERROR(INDEX(Assessments!$H$2:$H$600,MATCH($H240&amp;"|"&amp;$I240&amp;"|"&amp;$J240&amp;"|"&amp;5,Assessments!$A$2:$A$600,0)),"")</f>
        <v>55</v>
      </c>
      <c r="BZ240" s="28" t="n">
        <f aca="false">IFERROR(INDEX(Assessments!$H$2:$H$600,MATCH($H240&amp;"|"&amp;$I240&amp;"|"&amp;$J240&amp;"|"&amp;6,Assessments!$A$2:$A$600,0)),"")</f>
        <v>28</v>
      </c>
      <c r="CA240" s="28" t="n">
        <f aca="false">IFERROR(INDEX(Assessments!$H$2:$H$600,MATCH($H240&amp;"|"&amp;$I240&amp;"|"&amp;$J240&amp;"|"&amp;7,Assessments!$A$2:$A$600,0)),"")</f>
        <v>95</v>
      </c>
      <c r="CB240" s="28" t="str">
        <f aca="false">IFERROR(INDEX(Assessments!$H$2:$H$600,MATCH($H240&amp;"|"&amp;$I240&amp;"|"&amp;$J240&amp;"|"&amp;8,Assessments!$A$2:$A$600,0)),"")</f>
        <v/>
      </c>
      <c r="CC240" s="28" t="str">
        <f aca="false">IFERROR(INDEX(Assessments!$H$2:$H$600,MATCH($H240&amp;"|"&amp;$I240&amp;"|"&amp;$J240&amp;"|"&amp;9,Assessments!$A$2:$A$600,0)),"")</f>
        <v/>
      </c>
      <c r="CD240" s="28" t="str">
        <f aca="false">IFERROR(INDEX(Assessments!$H$2:$H$600,MATCH($H240&amp;"|"&amp;$I240&amp;"|"&amp;$J240&amp;"|"&amp;10,Assessments!$A$2:$A$600,0)),"")</f>
        <v/>
      </c>
      <c r="CE240" s="28" t="str">
        <f aca="false">IFERROR(INDEX(Assessments!$H$2:$H$600,MATCH($H240&amp;"|"&amp;$I240&amp;"|"&amp;$J240&amp;"|"&amp;11,Assessments!$A$2:$A$600,0)),"")</f>
        <v/>
      </c>
      <c r="CF240" s="28" t="str">
        <f aca="false">IFERROR(INDEX(Assessments!$H$2:$H$600,MATCH($H240&amp;"|"&amp;$I240&amp;"|"&amp;$J240&amp;"|"&amp;12,Assessments!$A$2:$A$600,0)),"")</f>
        <v/>
      </c>
      <c r="CG240" s="28" t="str">
        <f aca="false">IFERROR(INDEX(Assessments!$H$2:$H$600,MATCH($H240&amp;"|"&amp;$I240&amp;"|"&amp;$J240&amp;"|"&amp;13,Assessments!$A$2:$A$600,0)),"")</f>
        <v/>
      </c>
      <c r="CH240" s="28" t="str">
        <f aca="false">IFERROR(INDEX(Assessments!$H$2:$H$600,MATCH($H240&amp;"|"&amp;$I240&amp;"|"&amp;$J240&amp;"|"&amp;14,Assessments!$A$2:$A$600,0)),"")</f>
        <v/>
      </c>
      <c r="CI240" s="28" t="str">
        <f aca="false">IFERROR(INDEX(Assessments!$I$2:$I$600,MATCH($H240&amp;"|"&amp;$I240&amp;"|"&amp;$J240&amp;"|"&amp;1,Assessments!$A$2:$A$600,0)),"")</f>
        <v>Econ Test</v>
      </c>
      <c r="CJ240" s="28" t="str">
        <f aca="false">IFERROR(INDEX(Assessments!$I$2:$I$600,MATCH($H240&amp;"|"&amp;$I240&amp;"|"&amp;$J240&amp;"|"&amp;2,Assessments!$A$2:$A$600,0)),"")</f>
        <v>Econ Test</v>
      </c>
      <c r="CK240" s="28" t="str">
        <f aca="false">IFERROR(INDEX(Assessments!$I$2:$I$600,MATCH($H240&amp;"|"&amp;$I240&amp;"|"&amp;$J240&amp;"|"&amp;3,Assessments!$A$2:$A$600,0)),"")</f>
        <v>Econ Test</v>
      </c>
      <c r="CL240" s="28" t="str">
        <f aca="false">IFERROR(INDEX(Assessments!$I$2:$I$600,MATCH($H240&amp;"|"&amp;$I240&amp;"|"&amp;$J240&amp;"|"&amp;4,Assessments!$A$2:$A$600,0)),"")</f>
        <v>Econ Test</v>
      </c>
      <c r="CM240" s="28" t="str">
        <f aca="false">IFERROR(INDEX(Assessments!$I$2:$I$600,MATCH($H240&amp;"|"&amp;$I240&amp;"|"&amp;$J240&amp;"|"&amp;5,Assessments!$A$2:$A$600,0)),"")</f>
        <v>Econ Exam</v>
      </c>
      <c r="CN240" s="28" t="str">
        <f aca="false">IFERROR(INDEX(Assessments!$I$2:$I$600,MATCH($H240&amp;"|"&amp;$I240&amp;"|"&amp;$J240&amp;"|"&amp;6,Assessments!$A$2:$A$600,0)),"")</f>
        <v>Econ Test</v>
      </c>
      <c r="CO240" s="28" t="str">
        <f aca="false">IFERROR(INDEX(Assessments!$I$2:$I$600,MATCH($H240&amp;"|"&amp;$I240&amp;"|"&amp;$J240&amp;"|"&amp;7,Assessments!$A$2:$A$600,0)),"")</f>
        <v>Econ Exam</v>
      </c>
      <c r="CP240" s="28" t="str">
        <f aca="false">IFERROR(INDEX(Assessments!$I$2:$I$600,MATCH($H240&amp;"|"&amp;$I240&amp;"|"&amp;$J240&amp;"|"&amp;8,Assessments!$A$2:$A$600,0)),"")</f>
        <v/>
      </c>
      <c r="CQ240" s="28" t="str">
        <f aca="false">IFERROR(INDEX(Assessments!$I$2:$I$600,MATCH($H240&amp;"|"&amp;$I240&amp;"|"&amp;$J240&amp;"|"&amp;9,Assessments!$A$2:$A$600,0)),"")</f>
        <v/>
      </c>
      <c r="CR240" s="28" t="str">
        <f aca="false">IFERROR(INDEX(Assessments!$I$2:$I$600,MATCH($H240&amp;"|"&amp;$I240&amp;"|"&amp;$J240&amp;"|"&amp;10,Assessments!$A$2:$A$600,0)),"")</f>
        <v/>
      </c>
      <c r="CS240" s="28" t="str">
        <f aca="false">IFERROR(INDEX(Assessments!$I$2:$I$600,MATCH($H240&amp;"|"&amp;$I240&amp;"|"&amp;$J240&amp;"|"&amp;11,Assessments!$A$2:$A$600,0)),"")</f>
        <v/>
      </c>
      <c r="CT240" s="28" t="str">
        <f aca="false">IFERROR(INDEX(Assessments!$I$2:$I$600,MATCH($H240&amp;"|"&amp;$I240&amp;"|"&amp;$J240&amp;"|"&amp;12,Assessments!$A$2:$A$600,0)),"")</f>
        <v/>
      </c>
      <c r="CU240" s="28" t="str">
        <f aca="false">IFERROR(INDEX(Assessments!$I$2:$I$600,MATCH($H240&amp;"|"&amp;$I240&amp;"|"&amp;$J240&amp;"|"&amp;13,Assessments!$A$2:$A$600,0)),"")</f>
        <v/>
      </c>
      <c r="CV240" s="28" t="str">
        <f aca="false">IFERROR(INDEX(Assessments!$I$2:$I$600,MATCH($H240&amp;"|"&amp;$I240&amp;"|"&amp;$J240&amp;"|"&amp;14,Assessments!$A$2:$A$600,0)),"")</f>
        <v/>
      </c>
      <c r="CW240" s="28" t="n">
        <f aca="false">IFERROR(INDEX(Assessments!$J$2:$J$600,MATCH($H240&amp;"|"&amp;$I240&amp;"|"&amp;$J240&amp;"|"&amp;1,Assessments!$A$2:$A$600,0)),0)</f>
        <v>1</v>
      </c>
      <c r="CX240" s="28" t="n">
        <f aca="false">IFERROR(INDEX(Assessments!$J$2:$J$600,MATCH($H240&amp;"|"&amp;$I240&amp;"|"&amp;$J240&amp;"|"&amp;2,Assessments!$A$2:$A$600,0)),0)</f>
        <v>1</v>
      </c>
      <c r="CY240" s="28" t="n">
        <f aca="false">IFERROR(INDEX(Assessments!$J$2:$J$600,MATCH($H240&amp;"|"&amp;$I240&amp;"|"&amp;$J240&amp;"|"&amp;3,Assessments!$A$2:$A$600,0)),0)</f>
        <v>1</v>
      </c>
      <c r="CZ240" s="28" t="n">
        <f aca="false">IFERROR(INDEX(Assessments!$J$2:$J$600,MATCH($H240&amp;"|"&amp;$I240&amp;"|"&amp;$J240&amp;"|"&amp;4,Assessments!$A$2:$A$600,0)),0)</f>
        <v>1</v>
      </c>
      <c r="DA240" s="28" t="n">
        <f aca="false">IFERROR(INDEX(Assessments!$J$2:$J$600,MATCH($H240&amp;"|"&amp;$I240&amp;"|"&amp;$J240&amp;"|"&amp;5,Assessments!$A$2:$A$600,0)),0)</f>
        <v>2</v>
      </c>
      <c r="DB240" s="28" t="n">
        <f aca="false">IFERROR(INDEX(Assessments!$J$2:$J$600,MATCH($H240&amp;"|"&amp;$I240&amp;"|"&amp;$J240&amp;"|"&amp;6,Assessments!$A$2:$A$600,0)),0)</f>
        <v>1</v>
      </c>
      <c r="DC240" s="28" t="n">
        <f aca="false">IFERROR(INDEX(Assessments!$J$2:$J$600,MATCH($H240&amp;"|"&amp;$I240&amp;"|"&amp;$J240&amp;"|"&amp;7,Assessments!$A$2:$A$600,0)),0)</f>
        <v>2</v>
      </c>
      <c r="DD240" s="28" t="n">
        <f aca="false">IFERROR(INDEX(Assessments!$J$2:$J$600,MATCH($H240&amp;"|"&amp;$I240&amp;"|"&amp;$J240&amp;"|"&amp;8,Assessments!$A$2:$A$600,0)),0)</f>
        <v>0</v>
      </c>
      <c r="DE240" s="28" t="n">
        <f aca="false">IFERROR(INDEX(Assessments!$J$2:$J$600,MATCH($H240&amp;"|"&amp;$I240&amp;"|"&amp;$J240&amp;"|"&amp;9,Assessments!$A$2:$A$600,0)),0)</f>
        <v>0</v>
      </c>
      <c r="DF240" s="28" t="n">
        <f aca="false">IFERROR(INDEX(Assessments!$J$2:$J$600,MATCH($H240&amp;"|"&amp;$I240&amp;"|"&amp;$J240&amp;"|"&amp;10,Assessments!$A$2:$A$600,0)),0)</f>
        <v>0</v>
      </c>
      <c r="DG240" s="28" t="n">
        <f aca="false">IFERROR(INDEX(Assessments!$J$2:$J$600,MATCH($H240&amp;"|"&amp;$I240&amp;"|"&amp;$J240&amp;"|"&amp;11,Assessments!$A$2:$A$600,0)),0)</f>
        <v>0</v>
      </c>
      <c r="DH240" s="28" t="n">
        <f aca="false">IFERROR(INDEX(Assessments!$J$2:$J$600,MATCH($H240&amp;"|"&amp;$I240&amp;"|"&amp;$J240&amp;"|"&amp;12,Assessments!$A$2:$A$600,0)),0)</f>
        <v>0</v>
      </c>
      <c r="DI240" s="28" t="n">
        <f aca="false">IFERROR(INDEX(Assessments!$J$2:$J$600,MATCH($H240&amp;"|"&amp;$I240&amp;"|"&amp;$J240&amp;"|"&amp;13,Assessments!$A$2:$A$600,0)),0)</f>
        <v>0</v>
      </c>
      <c r="DJ240" s="28" t="n">
        <f aca="false">IFERROR(INDEX(Assessments!$J$2:$J$600,MATCH($H240&amp;"|"&amp;$I240&amp;"|"&amp;$J240&amp;"|"&amp;14,Assessments!$A$2:$A$600,0)),0)</f>
        <v>0</v>
      </c>
      <c r="DK240" s="28" t="n">
        <f aca="false">S240</f>
        <v>6</v>
      </c>
      <c r="DL240" s="28" t="str">
        <f aca="false">W240</f>
        <v/>
      </c>
      <c r="DM240" s="28" t="str">
        <f aca="false">AA240</f>
        <v/>
      </c>
      <c r="DN240" s="28" t="str">
        <f aca="false">AE240</f>
        <v/>
      </c>
      <c r="DO240" s="28" t="str">
        <f aca="false">AI240</f>
        <v/>
      </c>
      <c r="DP240" s="28" t="str">
        <f aca="false">AM240</f>
        <v/>
      </c>
      <c r="DQ240" s="28" t="str">
        <f aca="false">AQ240</f>
        <v/>
      </c>
      <c r="DR240" s="28" t="str">
        <f aca="false">AU240</f>
        <v/>
      </c>
      <c r="DS240" s="28" t="str">
        <f aca="false">AY240</f>
        <v/>
      </c>
      <c r="DT240" s="28" t="str">
        <f aca="false">BC240</f>
        <v/>
      </c>
      <c r="DU240" s="28" t="str">
        <f aca="false">BG240</f>
        <v/>
      </c>
      <c r="DV240" s="28" t="str">
        <f aca="false">BK240</f>
        <v/>
      </c>
      <c r="DW240" s="28" t="str">
        <f aca="false">BO240</f>
        <v/>
      </c>
      <c r="DX240" s="28" t="str">
        <f aca="false">BS240</f>
        <v/>
      </c>
      <c r="DY240" s="28" t="n">
        <f aca="false">IF(ISNUMBER(S240),1,"")</f>
        <v>1</v>
      </c>
      <c r="DZ240" s="28" t="str">
        <f aca="false">IF(ISNUMBER(W240),2,"")</f>
        <v/>
      </c>
      <c r="EA240" s="28" t="str">
        <f aca="false">IF(ISNUMBER(AA240),3,"")</f>
        <v/>
      </c>
      <c r="EB240" s="28" t="str">
        <f aca="false">IF(ISNUMBER(AE240),4,"")</f>
        <v/>
      </c>
      <c r="EC240" s="28" t="str">
        <f aca="false">IF(ISNUMBER(AI240),5,"")</f>
        <v/>
      </c>
      <c r="ED240" s="28" t="str">
        <f aca="false">IF(ISNUMBER(AM240),6,"")</f>
        <v/>
      </c>
      <c r="EE240" s="28" t="str">
        <f aca="false">IF(ISNUMBER(AQ240),7,"")</f>
        <v/>
      </c>
      <c r="EF240" s="28" t="str">
        <f aca="false">IF(ISNUMBER(AU240),8,"")</f>
        <v/>
      </c>
      <c r="EG240" s="28" t="str">
        <f aca="false">IF(ISNUMBER(AY240),9,"")</f>
        <v/>
      </c>
      <c r="EH240" s="28" t="str">
        <f aca="false">IF(ISNUMBER(BC240),10,"")</f>
        <v/>
      </c>
      <c r="EI240" s="28" t="str">
        <f aca="false">IF(ISNUMBER(BG240),11,"")</f>
        <v/>
      </c>
      <c r="EJ240" s="28" t="str">
        <f aca="false">IF(ISNUMBER(BK240),12,"")</f>
        <v/>
      </c>
      <c r="EK240" s="28" t="str">
        <f aca="false">IF(ISNUMBER(BO240),13,"")</f>
        <v/>
      </c>
      <c r="EL240" s="28" t="str">
        <f aca="false">IF(ISNUMBER(BS240),14,"")</f>
        <v/>
      </c>
      <c r="EM240" s="28" t="n">
        <f aca="false">IF(ISNUMBER(R240),R240*CW240,0)</f>
        <v>84</v>
      </c>
      <c r="EN240" s="28" t="n">
        <f aca="false">IF(ISNUMBER(V240),V240*CX240,0)</f>
        <v>0</v>
      </c>
      <c r="EO240" s="28" t="n">
        <f aca="false">IF(ISNUMBER(Z240),Z240*CY240,0)</f>
        <v>0</v>
      </c>
      <c r="EP240" s="28" t="n">
        <f aca="false">IF(ISNUMBER(AD240),AD240*CZ240,0)</f>
        <v>0</v>
      </c>
      <c r="EQ240" s="28" t="n">
        <f aca="false">IF(ISNUMBER(AH240),AH240*DA240,0)</f>
        <v>0</v>
      </c>
      <c r="ER240" s="28" t="n">
        <f aca="false">IF(ISNUMBER(AL240),AL240*DB240,0)</f>
        <v>0</v>
      </c>
      <c r="ES240" s="28" t="n">
        <f aca="false">IF(ISNUMBER(AP240),AP240*DC240,0)</f>
        <v>0</v>
      </c>
      <c r="ET240" s="28" t="n">
        <f aca="false">IF(ISNUMBER(AT240),AT240*DD240,0)</f>
        <v>0</v>
      </c>
      <c r="EU240" s="28" t="n">
        <f aca="false">IF(ISNUMBER(AX240),AX240*DE240,0)</f>
        <v>0</v>
      </c>
      <c r="EV240" s="28" t="n">
        <f aca="false">IF(ISNUMBER(BB240),BB240*DF240,0)</f>
        <v>0</v>
      </c>
      <c r="EW240" s="28" t="n">
        <f aca="false">IF(ISNUMBER(BF240),BF240*DG240,0)</f>
        <v>0</v>
      </c>
      <c r="EX240" s="28" t="n">
        <f aca="false">IF(ISNUMBER(BJ240),BJ240*DH240,0)</f>
        <v>0</v>
      </c>
      <c r="EY240" s="28" t="n">
        <f aca="false">IF(ISNUMBER(BN240),BN240*DI240,0)</f>
        <v>0</v>
      </c>
      <c r="EZ240" s="28" t="n">
        <f aca="false">IF(ISNUMBER(BR240),BR240*DJ240,0)</f>
        <v>0</v>
      </c>
      <c r="FA240" s="28" t="n">
        <f aca="false">IF(ISNUMBER(R240),CW240,0)</f>
        <v>1</v>
      </c>
      <c r="FB240" s="28" t="n">
        <f aca="false">IF(ISNUMBER(V240),CX240,0)</f>
        <v>0</v>
      </c>
      <c r="FC240" s="28" t="n">
        <f aca="false">IF(ISNUMBER(Z240),CY240,0)</f>
        <v>0</v>
      </c>
      <c r="FD240" s="28" t="n">
        <f aca="false">IF(ISNUMBER(AD240),CZ240,0)</f>
        <v>0</v>
      </c>
      <c r="FE240" s="28" t="n">
        <f aca="false">IF(ISNUMBER(AH240),DA240,0)</f>
        <v>0</v>
      </c>
      <c r="FF240" s="28" t="n">
        <f aca="false">IF(ISNUMBER(AL240),DB240,0)</f>
        <v>0</v>
      </c>
      <c r="FG240" s="28" t="n">
        <f aca="false">IF(ISNUMBER(AP240),DC240,0)</f>
        <v>0</v>
      </c>
      <c r="FH240" s="28" t="n">
        <f aca="false">IF(ISNUMBER(AT240),DD240,0)</f>
        <v>0</v>
      </c>
      <c r="FI240" s="28" t="n">
        <f aca="false">IF(ISNUMBER(AX240),DE240,0)</f>
        <v>0</v>
      </c>
      <c r="FJ240" s="28" t="n">
        <f aca="false">IF(ISNUMBER(BB240),DF240,0)</f>
        <v>0</v>
      </c>
      <c r="FK240" s="28" t="n">
        <f aca="false">IF(ISNUMBER(BF240),DG240,0)</f>
        <v>0</v>
      </c>
      <c r="FL240" s="28" t="n">
        <f aca="false">IF(ISNUMBER(BJ240),DH240,0)</f>
        <v>0</v>
      </c>
      <c r="FM240" s="28" t="n">
        <f aca="false">IF(ISNUMBER(BN240),DI240,0)</f>
        <v>0</v>
      </c>
      <c r="FN240" s="28" t="n">
        <f aca="false">IF(ISNUMBER(BR240),DJ240,0)</f>
        <v>0</v>
      </c>
      <c r="FO240" s="28" t="str">
        <f aca="false">IFERROR(INDEX(Lists!$G$2:$G$20,MATCH($I240&amp;"|"&amp;$J240,Lists!$F$2:$F$20,0)),"")</f>
        <v>Econ Exam</v>
      </c>
    </row>
    <row r="241" customFormat="false" ht="19.5" hidden="false" customHeight="true" outlineLevel="0" collapsed="false">
      <c r="A241" s="29" t="s">
        <v>500</v>
      </c>
      <c r="B241" s="29" t="s">
        <v>501</v>
      </c>
      <c r="C241" s="30" t="s">
        <v>152</v>
      </c>
      <c r="D241" s="30" t="s">
        <v>291</v>
      </c>
      <c r="E241" s="31"/>
      <c r="F241" s="30"/>
      <c r="G241" s="30"/>
      <c r="H241" s="32" t="s">
        <v>428</v>
      </c>
      <c r="I241" s="33" t="s">
        <v>229</v>
      </c>
      <c r="J241" s="32" t="s">
        <v>25</v>
      </c>
      <c r="K241" s="34" t="str">
        <f aca="false">IF(OR(M241="",$E241=""),"",M241-$E241)</f>
        <v/>
      </c>
      <c r="L241" s="35" t="n">
        <f aca="false">IF(SUM(FA241:FN241)=0,"",SUM(EM241:EZ241)/SUM(FA241:FN241))</f>
        <v>88</v>
      </c>
      <c r="M241" s="36" t="n">
        <f aca="false">IF(OR(L241="",FO241=""),"",IFERROR(MATCH(L241,INDEX(Boundaries!$B$2:$I$30,MATCH(FO241,Boundaries!$A$2:$A$30,0),0),1)-1,""))</f>
        <v>7</v>
      </c>
      <c r="N241" s="37" t="str">
        <f aca="false">IF(COUNT($DY241:$EL241)&lt;2,"",INDEX($DK241:$DX241,MAX($DY241:$EL241))-INDEX($DK241:$DX241,MIN($DY241:$EL241)))</f>
        <v/>
      </c>
      <c r="O241" s="37" t="str">
        <f aca="false">IF(COUNT($DY241:$EL241)&lt;2,"",INDEX($DK241:$DX241,MAX($DY241:$EL241))-INDEX($DK241:$DX241,LARGE($DY241:$EL241,2)))</f>
        <v/>
      </c>
      <c r="P241" s="38" t="str">
        <f aca="false">IF(K241="","",IF(K241&gt;=0,"On/above target",IF(AND(N241&lt;&gt;"",N241&gt;=0.5),"Improving towards target",IF(AND(O241&lt;&gt;"",O241&lt;=-0.5),"Declining","Stable below target"))))</f>
        <v/>
      </c>
      <c r="Q241" s="39" t="n">
        <v>22</v>
      </c>
      <c r="R241" s="40" t="n">
        <f aca="false">IF(OR(Q241="",BU241=""),"",Q241/BU241*100)</f>
        <v>88</v>
      </c>
      <c r="S241" s="41" t="n">
        <f aca="false">IF(R241="","",IFERROR(MATCH(R241,INDEX(Boundaries!$B$2:$I$30,MATCH(CI241,Boundaries!$A$2:$A$30,0),0),1)-1,""))</f>
        <v>7</v>
      </c>
      <c r="T241" s="42" t="str">
        <f aca="false">IF(OR(S241="",$E241=""),"",S241-$E241)</f>
        <v/>
      </c>
      <c r="U241" s="39"/>
      <c r="V241" s="40" t="str">
        <f aca="false">IF(OR(U241="",BV241=""),"",U241/BV241*100)</f>
        <v/>
      </c>
      <c r="W241" s="41" t="str">
        <f aca="false">IF(V241="","",IFERROR(MATCH(V241,INDEX(Boundaries!$B$2:$I$30,MATCH(CJ241,Boundaries!$A$2:$A$30,0),0),1)-1,""))</f>
        <v/>
      </c>
      <c r="X241" s="42" t="str">
        <f aca="false">IF(OR(W241="",$E241=""),"",W241-$E241)</f>
        <v/>
      </c>
      <c r="Y241" s="39"/>
      <c r="Z241" s="40" t="str">
        <f aca="false">IF(OR(Y241="",BW241=""),"",Y241/BW241*100)</f>
        <v/>
      </c>
      <c r="AA241" s="41" t="str">
        <f aca="false">IF(Z241="","",IFERROR(MATCH(Z241,INDEX(Boundaries!$B$2:$I$30,MATCH(CK241,Boundaries!$A$2:$A$30,0),0),1)-1,""))</f>
        <v/>
      </c>
      <c r="AB241" s="42" t="str">
        <f aca="false">IF(OR(AA241="",$E241=""),"",AA241-$E241)</f>
        <v/>
      </c>
      <c r="AC241" s="39"/>
      <c r="AD241" s="40" t="str">
        <f aca="false">IF(OR(AC241="",BX241=""),"",AC241/BX241*100)</f>
        <v/>
      </c>
      <c r="AE241" s="41" t="str">
        <f aca="false">IF(AD241="","",IFERROR(MATCH(AD241,INDEX(Boundaries!$B$2:$I$30,MATCH(CL241,Boundaries!$A$2:$A$30,0),0),1)-1,""))</f>
        <v/>
      </c>
      <c r="AF241" s="42" t="str">
        <f aca="false">IF(OR(AE241="",$E241=""),"",AE241-$E241)</f>
        <v/>
      </c>
      <c r="AG241" s="39"/>
      <c r="AH241" s="40" t="str">
        <f aca="false">IF(OR(AG241="",BY241=""),"",AG241/BY241*100)</f>
        <v/>
      </c>
      <c r="AI241" s="41" t="str">
        <f aca="false">IF(AH241="","",IFERROR(MATCH(AH241,INDEX(Boundaries!$B$2:$I$30,MATCH(CM241,Boundaries!$A$2:$A$30,0),0),1)-1,""))</f>
        <v/>
      </c>
      <c r="AJ241" s="42" t="str">
        <f aca="false">IF(OR(AI241="",$E241=""),"",AI241-$E241)</f>
        <v/>
      </c>
      <c r="AK241" s="39"/>
      <c r="AL241" s="40" t="str">
        <f aca="false">IF(OR(AK241="",BZ241=""),"",AK241/BZ241*100)</f>
        <v/>
      </c>
      <c r="AM241" s="41" t="str">
        <f aca="false">IF(AL241="","",IFERROR(MATCH(AL241,INDEX(Boundaries!$B$2:$I$30,MATCH(CN241,Boundaries!$A$2:$A$30,0),0),1)-1,""))</f>
        <v/>
      </c>
      <c r="AN241" s="42" t="str">
        <f aca="false">IF(OR(AM241="",$E241=""),"",AM241-$E241)</f>
        <v/>
      </c>
      <c r="AO241" s="39"/>
      <c r="AP241" s="40" t="str">
        <f aca="false">IF(OR(AO241="",CA241=""),"",AO241/CA241*100)</f>
        <v/>
      </c>
      <c r="AQ241" s="41" t="str">
        <f aca="false">IF(AP241="","",IFERROR(MATCH(AP241,INDEX(Boundaries!$B$2:$I$30,MATCH(CO241,Boundaries!$A$2:$A$30,0),0),1)-1,""))</f>
        <v/>
      </c>
      <c r="AR241" s="42" t="str">
        <f aca="false">IF(OR(AQ241="",$E241=""),"",AQ241-$E241)</f>
        <v/>
      </c>
      <c r="AS241" s="39"/>
      <c r="AT241" s="40" t="str">
        <f aca="false">IF(OR(AS241="",CB241=""),"",AS241/CB241*100)</f>
        <v/>
      </c>
      <c r="AU241" s="41" t="str">
        <f aca="false">IF(AT241="","",IFERROR(MATCH(AT241,INDEX(Boundaries!$B$2:$I$30,MATCH(CP241,Boundaries!$A$2:$A$30,0),0),1)-1,""))</f>
        <v/>
      </c>
      <c r="AV241" s="42" t="str">
        <f aca="false">IF(OR(AU241="",$E241=""),"",AU241-$E241)</f>
        <v/>
      </c>
      <c r="AW241" s="39"/>
      <c r="AX241" s="40" t="str">
        <f aca="false">IF(OR(AW241="",CC241=""),"",AW241/CC241*100)</f>
        <v/>
      </c>
      <c r="AY241" s="41" t="str">
        <f aca="false">IF(AX241="","",IFERROR(MATCH(AX241,INDEX(Boundaries!$B$2:$I$30,MATCH(CQ241,Boundaries!$A$2:$A$30,0),0),1)-1,""))</f>
        <v/>
      </c>
      <c r="AZ241" s="42" t="str">
        <f aca="false">IF(OR(AY241="",$E241=""),"",AY241-$E241)</f>
        <v/>
      </c>
      <c r="BA241" s="39"/>
      <c r="BB241" s="40" t="str">
        <f aca="false">IF(OR(BA241="",CD241=""),"",BA241/CD241*100)</f>
        <v/>
      </c>
      <c r="BC241" s="41" t="str">
        <f aca="false">IF(BB241="","",IFERROR(MATCH(BB241,INDEX(Boundaries!$B$2:$I$30,MATCH(CR241,Boundaries!$A$2:$A$30,0),0),1)-1,""))</f>
        <v/>
      </c>
      <c r="BD241" s="42" t="str">
        <f aca="false">IF(OR(BC241="",$E241=""),"",BC241-$E241)</f>
        <v/>
      </c>
      <c r="BE241" s="39"/>
      <c r="BF241" s="40" t="str">
        <f aca="false">IF(OR(BE241="",CE241=""),"",BE241/CE241*100)</f>
        <v/>
      </c>
      <c r="BG241" s="41" t="str">
        <f aca="false">IF(BF241="","",IFERROR(MATCH(BF241,INDEX(Boundaries!$B$2:$I$30,MATCH(CS241,Boundaries!$A$2:$A$30,0),0),1)-1,""))</f>
        <v/>
      </c>
      <c r="BH241" s="42" t="str">
        <f aca="false">IF(OR(BG241="",$E241=""),"",BG241-$E241)</f>
        <v/>
      </c>
      <c r="BI241" s="39"/>
      <c r="BJ241" s="40" t="str">
        <f aca="false">IF(OR(BI241="",CF241=""),"",BI241/CF241*100)</f>
        <v/>
      </c>
      <c r="BK241" s="41" t="str">
        <f aca="false">IF(BJ241="","",IFERROR(MATCH(BJ241,INDEX(Boundaries!$B$2:$I$30,MATCH(CT241,Boundaries!$A$2:$A$30,0),0),1)-1,""))</f>
        <v/>
      </c>
      <c r="BL241" s="42" t="str">
        <f aca="false">IF(OR(BK241="",$E241=""),"",BK241-$E241)</f>
        <v/>
      </c>
      <c r="BM241" s="39"/>
      <c r="BN241" s="40" t="str">
        <f aca="false">IF(OR(BM241="",CG241=""),"",BM241/CG241*100)</f>
        <v/>
      </c>
      <c r="BO241" s="41" t="str">
        <f aca="false">IF(BN241="","",IFERROR(MATCH(BN241,INDEX(Boundaries!$B$2:$I$30,MATCH(CU241,Boundaries!$A$2:$A$30,0),0),1)-1,""))</f>
        <v/>
      </c>
      <c r="BP241" s="42" t="str">
        <f aca="false">IF(OR(BO241="",$E241=""),"",BO241-$E241)</f>
        <v/>
      </c>
      <c r="BQ241" s="39"/>
      <c r="BR241" s="40" t="str">
        <f aca="false">IF(OR(BQ241="",CH241=""),"",BQ241/CH241*100)</f>
        <v/>
      </c>
      <c r="BS241" s="41" t="str">
        <f aca="false">IF(BR241="","",IFERROR(MATCH(BR241,INDEX(Boundaries!$B$2:$I$30,MATCH(CV241,Boundaries!$A$2:$A$30,0),0),1)-1,""))</f>
        <v/>
      </c>
      <c r="BT241" s="42" t="str">
        <f aca="false">IF(OR(BS241="",$E241=""),"",BS241-$E241)</f>
        <v/>
      </c>
      <c r="BU241" s="28" t="n">
        <f aca="false">IFERROR(INDEX(Assessments!$H$2:$H$600,MATCH($H241&amp;"|"&amp;$I241&amp;"|"&amp;$J241&amp;"|"&amp;1,Assessments!$A$2:$A$600,0)),"")</f>
        <v>25</v>
      </c>
      <c r="BV241" s="28" t="n">
        <f aca="false">IFERROR(INDEX(Assessments!$H$2:$H$600,MATCH($H241&amp;"|"&amp;$I241&amp;"|"&amp;$J241&amp;"|"&amp;2,Assessments!$A$2:$A$600,0)),"")</f>
        <v>24</v>
      </c>
      <c r="BW241" s="28" t="n">
        <f aca="false">IFERROR(INDEX(Assessments!$H$2:$H$600,MATCH($H241&amp;"|"&amp;$I241&amp;"|"&amp;$J241&amp;"|"&amp;3,Assessments!$A$2:$A$600,0)),"")</f>
        <v>25</v>
      </c>
      <c r="BX241" s="28" t="n">
        <f aca="false">IFERROR(INDEX(Assessments!$H$2:$H$600,MATCH($H241&amp;"|"&amp;$I241&amp;"|"&amp;$J241&amp;"|"&amp;4,Assessments!$A$2:$A$600,0)),"")</f>
        <v>35</v>
      </c>
      <c r="BY241" s="28" t="n">
        <f aca="false">IFERROR(INDEX(Assessments!$H$2:$H$600,MATCH($H241&amp;"|"&amp;$I241&amp;"|"&amp;$J241&amp;"|"&amp;5,Assessments!$A$2:$A$600,0)),"")</f>
        <v>55</v>
      </c>
      <c r="BZ241" s="28" t="n">
        <f aca="false">IFERROR(INDEX(Assessments!$H$2:$H$600,MATCH($H241&amp;"|"&amp;$I241&amp;"|"&amp;$J241&amp;"|"&amp;6,Assessments!$A$2:$A$600,0)),"")</f>
        <v>28</v>
      </c>
      <c r="CA241" s="28" t="n">
        <f aca="false">IFERROR(INDEX(Assessments!$H$2:$H$600,MATCH($H241&amp;"|"&amp;$I241&amp;"|"&amp;$J241&amp;"|"&amp;7,Assessments!$A$2:$A$600,0)),"")</f>
        <v>95</v>
      </c>
      <c r="CB241" s="28" t="str">
        <f aca="false">IFERROR(INDEX(Assessments!$H$2:$H$600,MATCH($H241&amp;"|"&amp;$I241&amp;"|"&amp;$J241&amp;"|"&amp;8,Assessments!$A$2:$A$600,0)),"")</f>
        <v/>
      </c>
      <c r="CC241" s="28" t="str">
        <f aca="false">IFERROR(INDEX(Assessments!$H$2:$H$600,MATCH($H241&amp;"|"&amp;$I241&amp;"|"&amp;$J241&amp;"|"&amp;9,Assessments!$A$2:$A$600,0)),"")</f>
        <v/>
      </c>
      <c r="CD241" s="28" t="str">
        <f aca="false">IFERROR(INDEX(Assessments!$H$2:$H$600,MATCH($H241&amp;"|"&amp;$I241&amp;"|"&amp;$J241&amp;"|"&amp;10,Assessments!$A$2:$A$600,0)),"")</f>
        <v/>
      </c>
      <c r="CE241" s="28" t="str">
        <f aca="false">IFERROR(INDEX(Assessments!$H$2:$H$600,MATCH($H241&amp;"|"&amp;$I241&amp;"|"&amp;$J241&amp;"|"&amp;11,Assessments!$A$2:$A$600,0)),"")</f>
        <v/>
      </c>
      <c r="CF241" s="28" t="str">
        <f aca="false">IFERROR(INDEX(Assessments!$H$2:$H$600,MATCH($H241&amp;"|"&amp;$I241&amp;"|"&amp;$J241&amp;"|"&amp;12,Assessments!$A$2:$A$600,0)),"")</f>
        <v/>
      </c>
      <c r="CG241" s="28" t="str">
        <f aca="false">IFERROR(INDEX(Assessments!$H$2:$H$600,MATCH($H241&amp;"|"&amp;$I241&amp;"|"&amp;$J241&amp;"|"&amp;13,Assessments!$A$2:$A$600,0)),"")</f>
        <v/>
      </c>
      <c r="CH241" s="28" t="str">
        <f aca="false">IFERROR(INDEX(Assessments!$H$2:$H$600,MATCH($H241&amp;"|"&amp;$I241&amp;"|"&amp;$J241&amp;"|"&amp;14,Assessments!$A$2:$A$600,0)),"")</f>
        <v/>
      </c>
      <c r="CI241" s="28" t="str">
        <f aca="false">IFERROR(INDEX(Assessments!$I$2:$I$600,MATCH($H241&amp;"|"&amp;$I241&amp;"|"&amp;$J241&amp;"|"&amp;1,Assessments!$A$2:$A$600,0)),"")</f>
        <v>Econ Test</v>
      </c>
      <c r="CJ241" s="28" t="str">
        <f aca="false">IFERROR(INDEX(Assessments!$I$2:$I$600,MATCH($H241&amp;"|"&amp;$I241&amp;"|"&amp;$J241&amp;"|"&amp;2,Assessments!$A$2:$A$600,0)),"")</f>
        <v>Econ Test</v>
      </c>
      <c r="CK241" s="28" t="str">
        <f aca="false">IFERROR(INDEX(Assessments!$I$2:$I$600,MATCH($H241&amp;"|"&amp;$I241&amp;"|"&amp;$J241&amp;"|"&amp;3,Assessments!$A$2:$A$600,0)),"")</f>
        <v>Econ Test</v>
      </c>
      <c r="CL241" s="28" t="str">
        <f aca="false">IFERROR(INDEX(Assessments!$I$2:$I$600,MATCH($H241&amp;"|"&amp;$I241&amp;"|"&amp;$J241&amp;"|"&amp;4,Assessments!$A$2:$A$600,0)),"")</f>
        <v>Econ Test</v>
      </c>
      <c r="CM241" s="28" t="str">
        <f aca="false">IFERROR(INDEX(Assessments!$I$2:$I$600,MATCH($H241&amp;"|"&amp;$I241&amp;"|"&amp;$J241&amp;"|"&amp;5,Assessments!$A$2:$A$600,0)),"")</f>
        <v>Econ Exam</v>
      </c>
      <c r="CN241" s="28" t="str">
        <f aca="false">IFERROR(INDEX(Assessments!$I$2:$I$600,MATCH($H241&amp;"|"&amp;$I241&amp;"|"&amp;$J241&amp;"|"&amp;6,Assessments!$A$2:$A$600,0)),"")</f>
        <v>Econ Test</v>
      </c>
      <c r="CO241" s="28" t="str">
        <f aca="false">IFERROR(INDEX(Assessments!$I$2:$I$600,MATCH($H241&amp;"|"&amp;$I241&amp;"|"&amp;$J241&amp;"|"&amp;7,Assessments!$A$2:$A$600,0)),"")</f>
        <v>Econ Exam</v>
      </c>
      <c r="CP241" s="28" t="str">
        <f aca="false">IFERROR(INDEX(Assessments!$I$2:$I$600,MATCH($H241&amp;"|"&amp;$I241&amp;"|"&amp;$J241&amp;"|"&amp;8,Assessments!$A$2:$A$600,0)),"")</f>
        <v/>
      </c>
      <c r="CQ241" s="28" t="str">
        <f aca="false">IFERROR(INDEX(Assessments!$I$2:$I$600,MATCH($H241&amp;"|"&amp;$I241&amp;"|"&amp;$J241&amp;"|"&amp;9,Assessments!$A$2:$A$600,0)),"")</f>
        <v/>
      </c>
      <c r="CR241" s="28" t="str">
        <f aca="false">IFERROR(INDEX(Assessments!$I$2:$I$600,MATCH($H241&amp;"|"&amp;$I241&amp;"|"&amp;$J241&amp;"|"&amp;10,Assessments!$A$2:$A$600,0)),"")</f>
        <v/>
      </c>
      <c r="CS241" s="28" t="str">
        <f aca="false">IFERROR(INDEX(Assessments!$I$2:$I$600,MATCH($H241&amp;"|"&amp;$I241&amp;"|"&amp;$J241&amp;"|"&amp;11,Assessments!$A$2:$A$600,0)),"")</f>
        <v/>
      </c>
      <c r="CT241" s="28" t="str">
        <f aca="false">IFERROR(INDEX(Assessments!$I$2:$I$600,MATCH($H241&amp;"|"&amp;$I241&amp;"|"&amp;$J241&amp;"|"&amp;12,Assessments!$A$2:$A$600,0)),"")</f>
        <v/>
      </c>
      <c r="CU241" s="28" t="str">
        <f aca="false">IFERROR(INDEX(Assessments!$I$2:$I$600,MATCH($H241&amp;"|"&amp;$I241&amp;"|"&amp;$J241&amp;"|"&amp;13,Assessments!$A$2:$A$600,0)),"")</f>
        <v/>
      </c>
      <c r="CV241" s="28" t="str">
        <f aca="false">IFERROR(INDEX(Assessments!$I$2:$I$600,MATCH($H241&amp;"|"&amp;$I241&amp;"|"&amp;$J241&amp;"|"&amp;14,Assessments!$A$2:$A$600,0)),"")</f>
        <v/>
      </c>
      <c r="CW241" s="28" t="n">
        <f aca="false">IFERROR(INDEX(Assessments!$J$2:$J$600,MATCH($H241&amp;"|"&amp;$I241&amp;"|"&amp;$J241&amp;"|"&amp;1,Assessments!$A$2:$A$600,0)),0)</f>
        <v>1</v>
      </c>
      <c r="CX241" s="28" t="n">
        <f aca="false">IFERROR(INDEX(Assessments!$J$2:$J$600,MATCH($H241&amp;"|"&amp;$I241&amp;"|"&amp;$J241&amp;"|"&amp;2,Assessments!$A$2:$A$600,0)),0)</f>
        <v>1</v>
      </c>
      <c r="CY241" s="28" t="n">
        <f aca="false">IFERROR(INDEX(Assessments!$J$2:$J$600,MATCH($H241&amp;"|"&amp;$I241&amp;"|"&amp;$J241&amp;"|"&amp;3,Assessments!$A$2:$A$600,0)),0)</f>
        <v>1</v>
      </c>
      <c r="CZ241" s="28" t="n">
        <f aca="false">IFERROR(INDEX(Assessments!$J$2:$J$600,MATCH($H241&amp;"|"&amp;$I241&amp;"|"&amp;$J241&amp;"|"&amp;4,Assessments!$A$2:$A$600,0)),0)</f>
        <v>1</v>
      </c>
      <c r="DA241" s="28" t="n">
        <f aca="false">IFERROR(INDEX(Assessments!$J$2:$J$600,MATCH($H241&amp;"|"&amp;$I241&amp;"|"&amp;$J241&amp;"|"&amp;5,Assessments!$A$2:$A$600,0)),0)</f>
        <v>2</v>
      </c>
      <c r="DB241" s="28" t="n">
        <f aca="false">IFERROR(INDEX(Assessments!$J$2:$J$600,MATCH($H241&amp;"|"&amp;$I241&amp;"|"&amp;$J241&amp;"|"&amp;6,Assessments!$A$2:$A$600,0)),0)</f>
        <v>1</v>
      </c>
      <c r="DC241" s="28" t="n">
        <f aca="false">IFERROR(INDEX(Assessments!$J$2:$J$600,MATCH($H241&amp;"|"&amp;$I241&amp;"|"&amp;$J241&amp;"|"&amp;7,Assessments!$A$2:$A$600,0)),0)</f>
        <v>2</v>
      </c>
      <c r="DD241" s="28" t="n">
        <f aca="false">IFERROR(INDEX(Assessments!$J$2:$J$600,MATCH($H241&amp;"|"&amp;$I241&amp;"|"&amp;$J241&amp;"|"&amp;8,Assessments!$A$2:$A$600,0)),0)</f>
        <v>0</v>
      </c>
      <c r="DE241" s="28" t="n">
        <f aca="false">IFERROR(INDEX(Assessments!$J$2:$J$600,MATCH($H241&amp;"|"&amp;$I241&amp;"|"&amp;$J241&amp;"|"&amp;9,Assessments!$A$2:$A$600,0)),0)</f>
        <v>0</v>
      </c>
      <c r="DF241" s="28" t="n">
        <f aca="false">IFERROR(INDEX(Assessments!$J$2:$J$600,MATCH($H241&amp;"|"&amp;$I241&amp;"|"&amp;$J241&amp;"|"&amp;10,Assessments!$A$2:$A$600,0)),0)</f>
        <v>0</v>
      </c>
      <c r="DG241" s="28" t="n">
        <f aca="false">IFERROR(INDEX(Assessments!$J$2:$J$600,MATCH($H241&amp;"|"&amp;$I241&amp;"|"&amp;$J241&amp;"|"&amp;11,Assessments!$A$2:$A$600,0)),0)</f>
        <v>0</v>
      </c>
      <c r="DH241" s="28" t="n">
        <f aca="false">IFERROR(INDEX(Assessments!$J$2:$J$600,MATCH($H241&amp;"|"&amp;$I241&amp;"|"&amp;$J241&amp;"|"&amp;12,Assessments!$A$2:$A$600,0)),0)</f>
        <v>0</v>
      </c>
      <c r="DI241" s="28" t="n">
        <f aca="false">IFERROR(INDEX(Assessments!$J$2:$J$600,MATCH($H241&amp;"|"&amp;$I241&amp;"|"&amp;$J241&amp;"|"&amp;13,Assessments!$A$2:$A$600,0)),0)</f>
        <v>0</v>
      </c>
      <c r="DJ241" s="28" t="n">
        <f aca="false">IFERROR(INDEX(Assessments!$J$2:$J$600,MATCH($H241&amp;"|"&amp;$I241&amp;"|"&amp;$J241&amp;"|"&amp;14,Assessments!$A$2:$A$600,0)),0)</f>
        <v>0</v>
      </c>
      <c r="DK241" s="28" t="n">
        <f aca="false">S241</f>
        <v>7</v>
      </c>
      <c r="DL241" s="28" t="str">
        <f aca="false">W241</f>
        <v/>
      </c>
      <c r="DM241" s="28" t="str">
        <f aca="false">AA241</f>
        <v/>
      </c>
      <c r="DN241" s="28" t="str">
        <f aca="false">AE241</f>
        <v/>
      </c>
      <c r="DO241" s="28" t="str">
        <f aca="false">AI241</f>
        <v/>
      </c>
      <c r="DP241" s="28" t="str">
        <f aca="false">AM241</f>
        <v/>
      </c>
      <c r="DQ241" s="28" t="str">
        <f aca="false">AQ241</f>
        <v/>
      </c>
      <c r="DR241" s="28" t="str">
        <f aca="false">AU241</f>
        <v/>
      </c>
      <c r="DS241" s="28" t="str">
        <f aca="false">AY241</f>
        <v/>
      </c>
      <c r="DT241" s="28" t="str">
        <f aca="false">BC241</f>
        <v/>
      </c>
      <c r="DU241" s="28" t="str">
        <f aca="false">BG241</f>
        <v/>
      </c>
      <c r="DV241" s="28" t="str">
        <f aca="false">BK241</f>
        <v/>
      </c>
      <c r="DW241" s="28" t="str">
        <f aca="false">BO241</f>
        <v/>
      </c>
      <c r="DX241" s="28" t="str">
        <f aca="false">BS241</f>
        <v/>
      </c>
      <c r="DY241" s="28" t="n">
        <f aca="false">IF(ISNUMBER(S241),1,"")</f>
        <v>1</v>
      </c>
      <c r="DZ241" s="28" t="str">
        <f aca="false">IF(ISNUMBER(W241),2,"")</f>
        <v/>
      </c>
      <c r="EA241" s="28" t="str">
        <f aca="false">IF(ISNUMBER(AA241),3,"")</f>
        <v/>
      </c>
      <c r="EB241" s="28" t="str">
        <f aca="false">IF(ISNUMBER(AE241),4,"")</f>
        <v/>
      </c>
      <c r="EC241" s="28" t="str">
        <f aca="false">IF(ISNUMBER(AI241),5,"")</f>
        <v/>
      </c>
      <c r="ED241" s="28" t="str">
        <f aca="false">IF(ISNUMBER(AM241),6,"")</f>
        <v/>
      </c>
      <c r="EE241" s="28" t="str">
        <f aca="false">IF(ISNUMBER(AQ241),7,"")</f>
        <v/>
      </c>
      <c r="EF241" s="28" t="str">
        <f aca="false">IF(ISNUMBER(AU241),8,"")</f>
        <v/>
      </c>
      <c r="EG241" s="28" t="str">
        <f aca="false">IF(ISNUMBER(AY241),9,"")</f>
        <v/>
      </c>
      <c r="EH241" s="28" t="str">
        <f aca="false">IF(ISNUMBER(BC241),10,"")</f>
        <v/>
      </c>
      <c r="EI241" s="28" t="str">
        <f aca="false">IF(ISNUMBER(BG241),11,"")</f>
        <v/>
      </c>
      <c r="EJ241" s="28" t="str">
        <f aca="false">IF(ISNUMBER(BK241),12,"")</f>
        <v/>
      </c>
      <c r="EK241" s="28" t="str">
        <f aca="false">IF(ISNUMBER(BO241),13,"")</f>
        <v/>
      </c>
      <c r="EL241" s="28" t="str">
        <f aca="false">IF(ISNUMBER(BS241),14,"")</f>
        <v/>
      </c>
      <c r="EM241" s="28" t="n">
        <f aca="false">IF(ISNUMBER(R241),R241*CW241,0)</f>
        <v>88</v>
      </c>
      <c r="EN241" s="28" t="n">
        <f aca="false">IF(ISNUMBER(V241),V241*CX241,0)</f>
        <v>0</v>
      </c>
      <c r="EO241" s="28" t="n">
        <f aca="false">IF(ISNUMBER(Z241),Z241*CY241,0)</f>
        <v>0</v>
      </c>
      <c r="EP241" s="28" t="n">
        <f aca="false">IF(ISNUMBER(AD241),AD241*CZ241,0)</f>
        <v>0</v>
      </c>
      <c r="EQ241" s="28" t="n">
        <f aca="false">IF(ISNUMBER(AH241),AH241*DA241,0)</f>
        <v>0</v>
      </c>
      <c r="ER241" s="28" t="n">
        <f aca="false">IF(ISNUMBER(AL241),AL241*DB241,0)</f>
        <v>0</v>
      </c>
      <c r="ES241" s="28" t="n">
        <f aca="false">IF(ISNUMBER(AP241),AP241*DC241,0)</f>
        <v>0</v>
      </c>
      <c r="ET241" s="28" t="n">
        <f aca="false">IF(ISNUMBER(AT241),AT241*DD241,0)</f>
        <v>0</v>
      </c>
      <c r="EU241" s="28" t="n">
        <f aca="false">IF(ISNUMBER(AX241),AX241*DE241,0)</f>
        <v>0</v>
      </c>
      <c r="EV241" s="28" t="n">
        <f aca="false">IF(ISNUMBER(BB241),BB241*DF241,0)</f>
        <v>0</v>
      </c>
      <c r="EW241" s="28" t="n">
        <f aca="false">IF(ISNUMBER(BF241),BF241*DG241,0)</f>
        <v>0</v>
      </c>
      <c r="EX241" s="28" t="n">
        <f aca="false">IF(ISNUMBER(BJ241),BJ241*DH241,0)</f>
        <v>0</v>
      </c>
      <c r="EY241" s="28" t="n">
        <f aca="false">IF(ISNUMBER(BN241),BN241*DI241,0)</f>
        <v>0</v>
      </c>
      <c r="EZ241" s="28" t="n">
        <f aca="false">IF(ISNUMBER(BR241),BR241*DJ241,0)</f>
        <v>0</v>
      </c>
      <c r="FA241" s="28" t="n">
        <f aca="false">IF(ISNUMBER(R241),CW241,0)</f>
        <v>1</v>
      </c>
      <c r="FB241" s="28" t="n">
        <f aca="false">IF(ISNUMBER(V241),CX241,0)</f>
        <v>0</v>
      </c>
      <c r="FC241" s="28" t="n">
        <f aca="false">IF(ISNUMBER(Z241),CY241,0)</f>
        <v>0</v>
      </c>
      <c r="FD241" s="28" t="n">
        <f aca="false">IF(ISNUMBER(AD241),CZ241,0)</f>
        <v>0</v>
      </c>
      <c r="FE241" s="28" t="n">
        <f aca="false">IF(ISNUMBER(AH241),DA241,0)</f>
        <v>0</v>
      </c>
      <c r="FF241" s="28" t="n">
        <f aca="false">IF(ISNUMBER(AL241),DB241,0)</f>
        <v>0</v>
      </c>
      <c r="FG241" s="28" t="n">
        <f aca="false">IF(ISNUMBER(AP241),DC241,0)</f>
        <v>0</v>
      </c>
      <c r="FH241" s="28" t="n">
        <f aca="false">IF(ISNUMBER(AT241),DD241,0)</f>
        <v>0</v>
      </c>
      <c r="FI241" s="28" t="n">
        <f aca="false">IF(ISNUMBER(AX241),DE241,0)</f>
        <v>0</v>
      </c>
      <c r="FJ241" s="28" t="n">
        <f aca="false">IF(ISNUMBER(BB241),DF241,0)</f>
        <v>0</v>
      </c>
      <c r="FK241" s="28" t="n">
        <f aca="false">IF(ISNUMBER(BF241),DG241,0)</f>
        <v>0</v>
      </c>
      <c r="FL241" s="28" t="n">
        <f aca="false">IF(ISNUMBER(BJ241),DH241,0)</f>
        <v>0</v>
      </c>
      <c r="FM241" s="28" t="n">
        <f aca="false">IF(ISNUMBER(BN241),DI241,0)</f>
        <v>0</v>
      </c>
      <c r="FN241" s="28" t="n">
        <f aca="false">IF(ISNUMBER(BR241),DJ241,0)</f>
        <v>0</v>
      </c>
      <c r="FO241" s="28" t="str">
        <f aca="false">IFERROR(INDEX(Lists!$G$2:$G$20,MATCH($I241&amp;"|"&amp;$J241,Lists!$F$2:$F$20,0)),"")</f>
        <v>Econ Exam</v>
      </c>
    </row>
    <row r="242" customFormat="false" ht="19.5" hidden="false" customHeight="true" outlineLevel="0" collapsed="false">
      <c r="A242" s="29" t="s">
        <v>502</v>
      </c>
      <c r="B242" s="29" t="s">
        <v>503</v>
      </c>
      <c r="C242" s="30" t="s">
        <v>152</v>
      </c>
      <c r="D242" s="30" t="s">
        <v>291</v>
      </c>
      <c r="E242" s="31"/>
      <c r="F242" s="30"/>
      <c r="G242" s="30"/>
      <c r="H242" s="32" t="s">
        <v>428</v>
      </c>
      <c r="I242" s="33" t="s">
        <v>229</v>
      </c>
      <c r="J242" s="32" t="s">
        <v>25</v>
      </c>
      <c r="K242" s="34" t="str">
        <f aca="false">IF(OR(M242="",$E242=""),"",M242-$E242)</f>
        <v/>
      </c>
      <c r="L242" s="35" t="n">
        <f aca="false">IF(SUM(FA242:FN242)=0,"",SUM(EM242:EZ242)/SUM(FA242:FN242))</f>
        <v>92</v>
      </c>
      <c r="M242" s="36" t="n">
        <f aca="false">IF(OR(L242="",FO242=""),"",IFERROR(MATCH(L242,INDEX(Boundaries!$B$2:$I$30,MATCH(FO242,Boundaries!$A$2:$A$30,0),0),1)-1,""))</f>
        <v>7</v>
      </c>
      <c r="N242" s="37" t="str">
        <f aca="false">IF(COUNT($DY242:$EL242)&lt;2,"",INDEX($DK242:$DX242,MAX($DY242:$EL242))-INDEX($DK242:$DX242,MIN($DY242:$EL242)))</f>
        <v/>
      </c>
      <c r="O242" s="37" t="str">
        <f aca="false">IF(COUNT($DY242:$EL242)&lt;2,"",INDEX($DK242:$DX242,MAX($DY242:$EL242))-INDEX($DK242:$DX242,LARGE($DY242:$EL242,2)))</f>
        <v/>
      </c>
      <c r="P242" s="38" t="str">
        <f aca="false">IF(K242="","",IF(K242&gt;=0,"On/above target",IF(AND(N242&lt;&gt;"",N242&gt;=0.5),"Improving towards target",IF(AND(O242&lt;&gt;"",O242&lt;=-0.5),"Declining","Stable below target"))))</f>
        <v/>
      </c>
      <c r="Q242" s="39" t="n">
        <v>23</v>
      </c>
      <c r="R242" s="40" t="n">
        <f aca="false">IF(OR(Q242="",BU242=""),"",Q242/BU242*100)</f>
        <v>92</v>
      </c>
      <c r="S242" s="41" t="n">
        <f aca="false">IF(R242="","",IFERROR(MATCH(R242,INDEX(Boundaries!$B$2:$I$30,MATCH(CI242,Boundaries!$A$2:$A$30,0),0),1)-1,""))</f>
        <v>7</v>
      </c>
      <c r="T242" s="42" t="str">
        <f aca="false">IF(OR(S242="",$E242=""),"",S242-$E242)</f>
        <v/>
      </c>
      <c r="U242" s="39"/>
      <c r="V242" s="40" t="str">
        <f aca="false">IF(OR(U242="",BV242=""),"",U242/BV242*100)</f>
        <v/>
      </c>
      <c r="W242" s="41" t="str">
        <f aca="false">IF(V242="","",IFERROR(MATCH(V242,INDEX(Boundaries!$B$2:$I$30,MATCH(CJ242,Boundaries!$A$2:$A$30,0),0),1)-1,""))</f>
        <v/>
      </c>
      <c r="X242" s="42" t="str">
        <f aca="false">IF(OR(W242="",$E242=""),"",W242-$E242)</f>
        <v/>
      </c>
      <c r="Y242" s="39"/>
      <c r="Z242" s="40" t="str">
        <f aca="false">IF(OR(Y242="",BW242=""),"",Y242/BW242*100)</f>
        <v/>
      </c>
      <c r="AA242" s="41" t="str">
        <f aca="false">IF(Z242="","",IFERROR(MATCH(Z242,INDEX(Boundaries!$B$2:$I$30,MATCH(CK242,Boundaries!$A$2:$A$30,0),0),1)-1,""))</f>
        <v/>
      </c>
      <c r="AB242" s="42" t="str">
        <f aca="false">IF(OR(AA242="",$E242=""),"",AA242-$E242)</f>
        <v/>
      </c>
      <c r="AC242" s="39"/>
      <c r="AD242" s="40" t="str">
        <f aca="false">IF(OR(AC242="",BX242=""),"",AC242/BX242*100)</f>
        <v/>
      </c>
      <c r="AE242" s="41" t="str">
        <f aca="false">IF(AD242="","",IFERROR(MATCH(AD242,INDEX(Boundaries!$B$2:$I$30,MATCH(CL242,Boundaries!$A$2:$A$30,0),0),1)-1,""))</f>
        <v/>
      </c>
      <c r="AF242" s="42" t="str">
        <f aca="false">IF(OR(AE242="",$E242=""),"",AE242-$E242)</f>
        <v/>
      </c>
      <c r="AG242" s="39"/>
      <c r="AH242" s="40" t="str">
        <f aca="false">IF(OR(AG242="",BY242=""),"",AG242/BY242*100)</f>
        <v/>
      </c>
      <c r="AI242" s="41" t="str">
        <f aca="false">IF(AH242="","",IFERROR(MATCH(AH242,INDEX(Boundaries!$B$2:$I$30,MATCH(CM242,Boundaries!$A$2:$A$30,0),0),1)-1,""))</f>
        <v/>
      </c>
      <c r="AJ242" s="42" t="str">
        <f aca="false">IF(OR(AI242="",$E242=""),"",AI242-$E242)</f>
        <v/>
      </c>
      <c r="AK242" s="39"/>
      <c r="AL242" s="40" t="str">
        <f aca="false">IF(OR(AK242="",BZ242=""),"",AK242/BZ242*100)</f>
        <v/>
      </c>
      <c r="AM242" s="41" t="str">
        <f aca="false">IF(AL242="","",IFERROR(MATCH(AL242,INDEX(Boundaries!$B$2:$I$30,MATCH(CN242,Boundaries!$A$2:$A$30,0),0),1)-1,""))</f>
        <v/>
      </c>
      <c r="AN242" s="42" t="str">
        <f aca="false">IF(OR(AM242="",$E242=""),"",AM242-$E242)</f>
        <v/>
      </c>
      <c r="AO242" s="39"/>
      <c r="AP242" s="40" t="str">
        <f aca="false">IF(OR(AO242="",CA242=""),"",AO242/CA242*100)</f>
        <v/>
      </c>
      <c r="AQ242" s="41" t="str">
        <f aca="false">IF(AP242="","",IFERROR(MATCH(AP242,INDEX(Boundaries!$B$2:$I$30,MATCH(CO242,Boundaries!$A$2:$A$30,0),0),1)-1,""))</f>
        <v/>
      </c>
      <c r="AR242" s="42" t="str">
        <f aca="false">IF(OR(AQ242="",$E242=""),"",AQ242-$E242)</f>
        <v/>
      </c>
      <c r="AS242" s="39"/>
      <c r="AT242" s="40" t="str">
        <f aca="false">IF(OR(AS242="",CB242=""),"",AS242/CB242*100)</f>
        <v/>
      </c>
      <c r="AU242" s="41" t="str">
        <f aca="false">IF(AT242="","",IFERROR(MATCH(AT242,INDEX(Boundaries!$B$2:$I$30,MATCH(CP242,Boundaries!$A$2:$A$30,0),0),1)-1,""))</f>
        <v/>
      </c>
      <c r="AV242" s="42" t="str">
        <f aca="false">IF(OR(AU242="",$E242=""),"",AU242-$E242)</f>
        <v/>
      </c>
      <c r="AW242" s="39"/>
      <c r="AX242" s="40" t="str">
        <f aca="false">IF(OR(AW242="",CC242=""),"",AW242/CC242*100)</f>
        <v/>
      </c>
      <c r="AY242" s="41" t="str">
        <f aca="false">IF(AX242="","",IFERROR(MATCH(AX242,INDEX(Boundaries!$B$2:$I$30,MATCH(CQ242,Boundaries!$A$2:$A$30,0),0),1)-1,""))</f>
        <v/>
      </c>
      <c r="AZ242" s="42" t="str">
        <f aca="false">IF(OR(AY242="",$E242=""),"",AY242-$E242)</f>
        <v/>
      </c>
      <c r="BA242" s="39"/>
      <c r="BB242" s="40" t="str">
        <f aca="false">IF(OR(BA242="",CD242=""),"",BA242/CD242*100)</f>
        <v/>
      </c>
      <c r="BC242" s="41" t="str">
        <f aca="false">IF(BB242="","",IFERROR(MATCH(BB242,INDEX(Boundaries!$B$2:$I$30,MATCH(CR242,Boundaries!$A$2:$A$30,0),0),1)-1,""))</f>
        <v/>
      </c>
      <c r="BD242" s="42" t="str">
        <f aca="false">IF(OR(BC242="",$E242=""),"",BC242-$E242)</f>
        <v/>
      </c>
      <c r="BE242" s="39"/>
      <c r="BF242" s="40" t="str">
        <f aca="false">IF(OR(BE242="",CE242=""),"",BE242/CE242*100)</f>
        <v/>
      </c>
      <c r="BG242" s="41" t="str">
        <f aca="false">IF(BF242="","",IFERROR(MATCH(BF242,INDEX(Boundaries!$B$2:$I$30,MATCH(CS242,Boundaries!$A$2:$A$30,0),0),1)-1,""))</f>
        <v/>
      </c>
      <c r="BH242" s="42" t="str">
        <f aca="false">IF(OR(BG242="",$E242=""),"",BG242-$E242)</f>
        <v/>
      </c>
      <c r="BI242" s="39"/>
      <c r="BJ242" s="40" t="str">
        <f aca="false">IF(OR(BI242="",CF242=""),"",BI242/CF242*100)</f>
        <v/>
      </c>
      <c r="BK242" s="41" t="str">
        <f aca="false">IF(BJ242="","",IFERROR(MATCH(BJ242,INDEX(Boundaries!$B$2:$I$30,MATCH(CT242,Boundaries!$A$2:$A$30,0),0),1)-1,""))</f>
        <v/>
      </c>
      <c r="BL242" s="42" t="str">
        <f aca="false">IF(OR(BK242="",$E242=""),"",BK242-$E242)</f>
        <v/>
      </c>
      <c r="BM242" s="39"/>
      <c r="BN242" s="40" t="str">
        <f aca="false">IF(OR(BM242="",CG242=""),"",BM242/CG242*100)</f>
        <v/>
      </c>
      <c r="BO242" s="41" t="str">
        <f aca="false">IF(BN242="","",IFERROR(MATCH(BN242,INDEX(Boundaries!$B$2:$I$30,MATCH(CU242,Boundaries!$A$2:$A$30,0),0),1)-1,""))</f>
        <v/>
      </c>
      <c r="BP242" s="42" t="str">
        <f aca="false">IF(OR(BO242="",$E242=""),"",BO242-$E242)</f>
        <v/>
      </c>
      <c r="BQ242" s="39"/>
      <c r="BR242" s="40" t="str">
        <f aca="false">IF(OR(BQ242="",CH242=""),"",BQ242/CH242*100)</f>
        <v/>
      </c>
      <c r="BS242" s="41" t="str">
        <f aca="false">IF(BR242="","",IFERROR(MATCH(BR242,INDEX(Boundaries!$B$2:$I$30,MATCH(CV242,Boundaries!$A$2:$A$30,0),0),1)-1,""))</f>
        <v/>
      </c>
      <c r="BT242" s="42" t="str">
        <f aca="false">IF(OR(BS242="",$E242=""),"",BS242-$E242)</f>
        <v/>
      </c>
      <c r="BU242" s="28" t="n">
        <f aca="false">IFERROR(INDEX(Assessments!$H$2:$H$600,MATCH($H242&amp;"|"&amp;$I242&amp;"|"&amp;$J242&amp;"|"&amp;1,Assessments!$A$2:$A$600,0)),"")</f>
        <v>25</v>
      </c>
      <c r="BV242" s="28" t="n">
        <f aca="false">IFERROR(INDEX(Assessments!$H$2:$H$600,MATCH($H242&amp;"|"&amp;$I242&amp;"|"&amp;$J242&amp;"|"&amp;2,Assessments!$A$2:$A$600,0)),"")</f>
        <v>24</v>
      </c>
      <c r="BW242" s="28" t="n">
        <f aca="false">IFERROR(INDEX(Assessments!$H$2:$H$600,MATCH($H242&amp;"|"&amp;$I242&amp;"|"&amp;$J242&amp;"|"&amp;3,Assessments!$A$2:$A$600,0)),"")</f>
        <v>25</v>
      </c>
      <c r="BX242" s="28" t="n">
        <f aca="false">IFERROR(INDEX(Assessments!$H$2:$H$600,MATCH($H242&amp;"|"&amp;$I242&amp;"|"&amp;$J242&amp;"|"&amp;4,Assessments!$A$2:$A$600,0)),"")</f>
        <v>35</v>
      </c>
      <c r="BY242" s="28" t="n">
        <f aca="false">IFERROR(INDEX(Assessments!$H$2:$H$600,MATCH($H242&amp;"|"&amp;$I242&amp;"|"&amp;$J242&amp;"|"&amp;5,Assessments!$A$2:$A$600,0)),"")</f>
        <v>55</v>
      </c>
      <c r="BZ242" s="28" t="n">
        <f aca="false">IFERROR(INDEX(Assessments!$H$2:$H$600,MATCH($H242&amp;"|"&amp;$I242&amp;"|"&amp;$J242&amp;"|"&amp;6,Assessments!$A$2:$A$600,0)),"")</f>
        <v>28</v>
      </c>
      <c r="CA242" s="28" t="n">
        <f aca="false">IFERROR(INDEX(Assessments!$H$2:$H$600,MATCH($H242&amp;"|"&amp;$I242&amp;"|"&amp;$J242&amp;"|"&amp;7,Assessments!$A$2:$A$600,0)),"")</f>
        <v>95</v>
      </c>
      <c r="CB242" s="28" t="str">
        <f aca="false">IFERROR(INDEX(Assessments!$H$2:$H$600,MATCH($H242&amp;"|"&amp;$I242&amp;"|"&amp;$J242&amp;"|"&amp;8,Assessments!$A$2:$A$600,0)),"")</f>
        <v/>
      </c>
      <c r="CC242" s="28" t="str">
        <f aca="false">IFERROR(INDEX(Assessments!$H$2:$H$600,MATCH($H242&amp;"|"&amp;$I242&amp;"|"&amp;$J242&amp;"|"&amp;9,Assessments!$A$2:$A$600,0)),"")</f>
        <v/>
      </c>
      <c r="CD242" s="28" t="str">
        <f aca="false">IFERROR(INDEX(Assessments!$H$2:$H$600,MATCH($H242&amp;"|"&amp;$I242&amp;"|"&amp;$J242&amp;"|"&amp;10,Assessments!$A$2:$A$600,0)),"")</f>
        <v/>
      </c>
      <c r="CE242" s="28" t="str">
        <f aca="false">IFERROR(INDEX(Assessments!$H$2:$H$600,MATCH($H242&amp;"|"&amp;$I242&amp;"|"&amp;$J242&amp;"|"&amp;11,Assessments!$A$2:$A$600,0)),"")</f>
        <v/>
      </c>
      <c r="CF242" s="28" t="str">
        <f aca="false">IFERROR(INDEX(Assessments!$H$2:$H$600,MATCH($H242&amp;"|"&amp;$I242&amp;"|"&amp;$J242&amp;"|"&amp;12,Assessments!$A$2:$A$600,0)),"")</f>
        <v/>
      </c>
      <c r="CG242" s="28" t="str">
        <f aca="false">IFERROR(INDEX(Assessments!$H$2:$H$600,MATCH($H242&amp;"|"&amp;$I242&amp;"|"&amp;$J242&amp;"|"&amp;13,Assessments!$A$2:$A$600,0)),"")</f>
        <v/>
      </c>
      <c r="CH242" s="28" t="str">
        <f aca="false">IFERROR(INDEX(Assessments!$H$2:$H$600,MATCH($H242&amp;"|"&amp;$I242&amp;"|"&amp;$J242&amp;"|"&amp;14,Assessments!$A$2:$A$600,0)),"")</f>
        <v/>
      </c>
      <c r="CI242" s="28" t="str">
        <f aca="false">IFERROR(INDEX(Assessments!$I$2:$I$600,MATCH($H242&amp;"|"&amp;$I242&amp;"|"&amp;$J242&amp;"|"&amp;1,Assessments!$A$2:$A$600,0)),"")</f>
        <v>Econ Test</v>
      </c>
      <c r="CJ242" s="28" t="str">
        <f aca="false">IFERROR(INDEX(Assessments!$I$2:$I$600,MATCH($H242&amp;"|"&amp;$I242&amp;"|"&amp;$J242&amp;"|"&amp;2,Assessments!$A$2:$A$600,0)),"")</f>
        <v>Econ Test</v>
      </c>
      <c r="CK242" s="28" t="str">
        <f aca="false">IFERROR(INDEX(Assessments!$I$2:$I$600,MATCH($H242&amp;"|"&amp;$I242&amp;"|"&amp;$J242&amp;"|"&amp;3,Assessments!$A$2:$A$600,0)),"")</f>
        <v>Econ Test</v>
      </c>
      <c r="CL242" s="28" t="str">
        <f aca="false">IFERROR(INDEX(Assessments!$I$2:$I$600,MATCH($H242&amp;"|"&amp;$I242&amp;"|"&amp;$J242&amp;"|"&amp;4,Assessments!$A$2:$A$600,0)),"")</f>
        <v>Econ Test</v>
      </c>
      <c r="CM242" s="28" t="str">
        <f aca="false">IFERROR(INDEX(Assessments!$I$2:$I$600,MATCH($H242&amp;"|"&amp;$I242&amp;"|"&amp;$J242&amp;"|"&amp;5,Assessments!$A$2:$A$600,0)),"")</f>
        <v>Econ Exam</v>
      </c>
      <c r="CN242" s="28" t="str">
        <f aca="false">IFERROR(INDEX(Assessments!$I$2:$I$600,MATCH($H242&amp;"|"&amp;$I242&amp;"|"&amp;$J242&amp;"|"&amp;6,Assessments!$A$2:$A$600,0)),"")</f>
        <v>Econ Test</v>
      </c>
      <c r="CO242" s="28" t="str">
        <f aca="false">IFERROR(INDEX(Assessments!$I$2:$I$600,MATCH($H242&amp;"|"&amp;$I242&amp;"|"&amp;$J242&amp;"|"&amp;7,Assessments!$A$2:$A$600,0)),"")</f>
        <v>Econ Exam</v>
      </c>
      <c r="CP242" s="28" t="str">
        <f aca="false">IFERROR(INDEX(Assessments!$I$2:$I$600,MATCH($H242&amp;"|"&amp;$I242&amp;"|"&amp;$J242&amp;"|"&amp;8,Assessments!$A$2:$A$600,0)),"")</f>
        <v/>
      </c>
      <c r="CQ242" s="28" t="str">
        <f aca="false">IFERROR(INDEX(Assessments!$I$2:$I$600,MATCH($H242&amp;"|"&amp;$I242&amp;"|"&amp;$J242&amp;"|"&amp;9,Assessments!$A$2:$A$600,0)),"")</f>
        <v/>
      </c>
      <c r="CR242" s="28" t="str">
        <f aca="false">IFERROR(INDEX(Assessments!$I$2:$I$600,MATCH($H242&amp;"|"&amp;$I242&amp;"|"&amp;$J242&amp;"|"&amp;10,Assessments!$A$2:$A$600,0)),"")</f>
        <v/>
      </c>
      <c r="CS242" s="28" t="str">
        <f aca="false">IFERROR(INDEX(Assessments!$I$2:$I$600,MATCH($H242&amp;"|"&amp;$I242&amp;"|"&amp;$J242&amp;"|"&amp;11,Assessments!$A$2:$A$600,0)),"")</f>
        <v/>
      </c>
      <c r="CT242" s="28" t="str">
        <f aca="false">IFERROR(INDEX(Assessments!$I$2:$I$600,MATCH($H242&amp;"|"&amp;$I242&amp;"|"&amp;$J242&amp;"|"&amp;12,Assessments!$A$2:$A$600,0)),"")</f>
        <v/>
      </c>
      <c r="CU242" s="28" t="str">
        <f aca="false">IFERROR(INDEX(Assessments!$I$2:$I$600,MATCH($H242&amp;"|"&amp;$I242&amp;"|"&amp;$J242&amp;"|"&amp;13,Assessments!$A$2:$A$600,0)),"")</f>
        <v/>
      </c>
      <c r="CV242" s="28" t="str">
        <f aca="false">IFERROR(INDEX(Assessments!$I$2:$I$600,MATCH($H242&amp;"|"&amp;$I242&amp;"|"&amp;$J242&amp;"|"&amp;14,Assessments!$A$2:$A$600,0)),"")</f>
        <v/>
      </c>
      <c r="CW242" s="28" t="n">
        <f aca="false">IFERROR(INDEX(Assessments!$J$2:$J$600,MATCH($H242&amp;"|"&amp;$I242&amp;"|"&amp;$J242&amp;"|"&amp;1,Assessments!$A$2:$A$600,0)),0)</f>
        <v>1</v>
      </c>
      <c r="CX242" s="28" t="n">
        <f aca="false">IFERROR(INDEX(Assessments!$J$2:$J$600,MATCH($H242&amp;"|"&amp;$I242&amp;"|"&amp;$J242&amp;"|"&amp;2,Assessments!$A$2:$A$600,0)),0)</f>
        <v>1</v>
      </c>
      <c r="CY242" s="28" t="n">
        <f aca="false">IFERROR(INDEX(Assessments!$J$2:$J$600,MATCH($H242&amp;"|"&amp;$I242&amp;"|"&amp;$J242&amp;"|"&amp;3,Assessments!$A$2:$A$600,0)),0)</f>
        <v>1</v>
      </c>
      <c r="CZ242" s="28" t="n">
        <f aca="false">IFERROR(INDEX(Assessments!$J$2:$J$600,MATCH($H242&amp;"|"&amp;$I242&amp;"|"&amp;$J242&amp;"|"&amp;4,Assessments!$A$2:$A$600,0)),0)</f>
        <v>1</v>
      </c>
      <c r="DA242" s="28" t="n">
        <f aca="false">IFERROR(INDEX(Assessments!$J$2:$J$600,MATCH($H242&amp;"|"&amp;$I242&amp;"|"&amp;$J242&amp;"|"&amp;5,Assessments!$A$2:$A$600,0)),0)</f>
        <v>2</v>
      </c>
      <c r="DB242" s="28" t="n">
        <f aca="false">IFERROR(INDEX(Assessments!$J$2:$J$600,MATCH($H242&amp;"|"&amp;$I242&amp;"|"&amp;$J242&amp;"|"&amp;6,Assessments!$A$2:$A$600,0)),0)</f>
        <v>1</v>
      </c>
      <c r="DC242" s="28" t="n">
        <f aca="false">IFERROR(INDEX(Assessments!$J$2:$J$600,MATCH($H242&amp;"|"&amp;$I242&amp;"|"&amp;$J242&amp;"|"&amp;7,Assessments!$A$2:$A$600,0)),0)</f>
        <v>2</v>
      </c>
      <c r="DD242" s="28" t="n">
        <f aca="false">IFERROR(INDEX(Assessments!$J$2:$J$600,MATCH($H242&amp;"|"&amp;$I242&amp;"|"&amp;$J242&amp;"|"&amp;8,Assessments!$A$2:$A$600,0)),0)</f>
        <v>0</v>
      </c>
      <c r="DE242" s="28" t="n">
        <f aca="false">IFERROR(INDEX(Assessments!$J$2:$J$600,MATCH($H242&amp;"|"&amp;$I242&amp;"|"&amp;$J242&amp;"|"&amp;9,Assessments!$A$2:$A$600,0)),0)</f>
        <v>0</v>
      </c>
      <c r="DF242" s="28" t="n">
        <f aca="false">IFERROR(INDEX(Assessments!$J$2:$J$600,MATCH($H242&amp;"|"&amp;$I242&amp;"|"&amp;$J242&amp;"|"&amp;10,Assessments!$A$2:$A$600,0)),0)</f>
        <v>0</v>
      </c>
      <c r="DG242" s="28" t="n">
        <f aca="false">IFERROR(INDEX(Assessments!$J$2:$J$600,MATCH($H242&amp;"|"&amp;$I242&amp;"|"&amp;$J242&amp;"|"&amp;11,Assessments!$A$2:$A$600,0)),0)</f>
        <v>0</v>
      </c>
      <c r="DH242" s="28" t="n">
        <f aca="false">IFERROR(INDEX(Assessments!$J$2:$J$600,MATCH($H242&amp;"|"&amp;$I242&amp;"|"&amp;$J242&amp;"|"&amp;12,Assessments!$A$2:$A$600,0)),0)</f>
        <v>0</v>
      </c>
      <c r="DI242" s="28" t="n">
        <f aca="false">IFERROR(INDEX(Assessments!$J$2:$J$600,MATCH($H242&amp;"|"&amp;$I242&amp;"|"&amp;$J242&amp;"|"&amp;13,Assessments!$A$2:$A$600,0)),0)</f>
        <v>0</v>
      </c>
      <c r="DJ242" s="28" t="n">
        <f aca="false">IFERROR(INDEX(Assessments!$J$2:$J$600,MATCH($H242&amp;"|"&amp;$I242&amp;"|"&amp;$J242&amp;"|"&amp;14,Assessments!$A$2:$A$600,0)),0)</f>
        <v>0</v>
      </c>
      <c r="DK242" s="28" t="n">
        <f aca="false">S242</f>
        <v>7</v>
      </c>
      <c r="DL242" s="28" t="str">
        <f aca="false">W242</f>
        <v/>
      </c>
      <c r="DM242" s="28" t="str">
        <f aca="false">AA242</f>
        <v/>
      </c>
      <c r="DN242" s="28" t="str">
        <f aca="false">AE242</f>
        <v/>
      </c>
      <c r="DO242" s="28" t="str">
        <f aca="false">AI242</f>
        <v/>
      </c>
      <c r="DP242" s="28" t="str">
        <f aca="false">AM242</f>
        <v/>
      </c>
      <c r="DQ242" s="28" t="str">
        <f aca="false">AQ242</f>
        <v/>
      </c>
      <c r="DR242" s="28" t="str">
        <f aca="false">AU242</f>
        <v/>
      </c>
      <c r="DS242" s="28" t="str">
        <f aca="false">AY242</f>
        <v/>
      </c>
      <c r="DT242" s="28" t="str">
        <f aca="false">BC242</f>
        <v/>
      </c>
      <c r="DU242" s="28" t="str">
        <f aca="false">BG242</f>
        <v/>
      </c>
      <c r="DV242" s="28" t="str">
        <f aca="false">BK242</f>
        <v/>
      </c>
      <c r="DW242" s="28" t="str">
        <f aca="false">BO242</f>
        <v/>
      </c>
      <c r="DX242" s="28" t="str">
        <f aca="false">BS242</f>
        <v/>
      </c>
      <c r="DY242" s="28" t="n">
        <f aca="false">IF(ISNUMBER(S242),1,"")</f>
        <v>1</v>
      </c>
      <c r="DZ242" s="28" t="str">
        <f aca="false">IF(ISNUMBER(W242),2,"")</f>
        <v/>
      </c>
      <c r="EA242" s="28" t="str">
        <f aca="false">IF(ISNUMBER(AA242),3,"")</f>
        <v/>
      </c>
      <c r="EB242" s="28" t="str">
        <f aca="false">IF(ISNUMBER(AE242),4,"")</f>
        <v/>
      </c>
      <c r="EC242" s="28" t="str">
        <f aca="false">IF(ISNUMBER(AI242),5,"")</f>
        <v/>
      </c>
      <c r="ED242" s="28" t="str">
        <f aca="false">IF(ISNUMBER(AM242),6,"")</f>
        <v/>
      </c>
      <c r="EE242" s="28" t="str">
        <f aca="false">IF(ISNUMBER(AQ242),7,"")</f>
        <v/>
      </c>
      <c r="EF242" s="28" t="str">
        <f aca="false">IF(ISNUMBER(AU242),8,"")</f>
        <v/>
      </c>
      <c r="EG242" s="28" t="str">
        <f aca="false">IF(ISNUMBER(AY242),9,"")</f>
        <v/>
      </c>
      <c r="EH242" s="28" t="str">
        <f aca="false">IF(ISNUMBER(BC242),10,"")</f>
        <v/>
      </c>
      <c r="EI242" s="28" t="str">
        <f aca="false">IF(ISNUMBER(BG242),11,"")</f>
        <v/>
      </c>
      <c r="EJ242" s="28" t="str">
        <f aca="false">IF(ISNUMBER(BK242),12,"")</f>
        <v/>
      </c>
      <c r="EK242" s="28" t="str">
        <f aca="false">IF(ISNUMBER(BO242),13,"")</f>
        <v/>
      </c>
      <c r="EL242" s="28" t="str">
        <f aca="false">IF(ISNUMBER(BS242),14,"")</f>
        <v/>
      </c>
      <c r="EM242" s="28" t="n">
        <f aca="false">IF(ISNUMBER(R242),R242*CW242,0)</f>
        <v>92</v>
      </c>
      <c r="EN242" s="28" t="n">
        <f aca="false">IF(ISNUMBER(V242),V242*CX242,0)</f>
        <v>0</v>
      </c>
      <c r="EO242" s="28" t="n">
        <f aca="false">IF(ISNUMBER(Z242),Z242*CY242,0)</f>
        <v>0</v>
      </c>
      <c r="EP242" s="28" t="n">
        <f aca="false">IF(ISNUMBER(AD242),AD242*CZ242,0)</f>
        <v>0</v>
      </c>
      <c r="EQ242" s="28" t="n">
        <f aca="false">IF(ISNUMBER(AH242),AH242*DA242,0)</f>
        <v>0</v>
      </c>
      <c r="ER242" s="28" t="n">
        <f aca="false">IF(ISNUMBER(AL242),AL242*DB242,0)</f>
        <v>0</v>
      </c>
      <c r="ES242" s="28" t="n">
        <f aca="false">IF(ISNUMBER(AP242),AP242*DC242,0)</f>
        <v>0</v>
      </c>
      <c r="ET242" s="28" t="n">
        <f aca="false">IF(ISNUMBER(AT242),AT242*DD242,0)</f>
        <v>0</v>
      </c>
      <c r="EU242" s="28" t="n">
        <f aca="false">IF(ISNUMBER(AX242),AX242*DE242,0)</f>
        <v>0</v>
      </c>
      <c r="EV242" s="28" t="n">
        <f aca="false">IF(ISNUMBER(BB242),BB242*DF242,0)</f>
        <v>0</v>
      </c>
      <c r="EW242" s="28" t="n">
        <f aca="false">IF(ISNUMBER(BF242),BF242*DG242,0)</f>
        <v>0</v>
      </c>
      <c r="EX242" s="28" t="n">
        <f aca="false">IF(ISNUMBER(BJ242),BJ242*DH242,0)</f>
        <v>0</v>
      </c>
      <c r="EY242" s="28" t="n">
        <f aca="false">IF(ISNUMBER(BN242),BN242*DI242,0)</f>
        <v>0</v>
      </c>
      <c r="EZ242" s="28" t="n">
        <f aca="false">IF(ISNUMBER(BR242),BR242*DJ242,0)</f>
        <v>0</v>
      </c>
      <c r="FA242" s="28" t="n">
        <f aca="false">IF(ISNUMBER(R242),CW242,0)</f>
        <v>1</v>
      </c>
      <c r="FB242" s="28" t="n">
        <f aca="false">IF(ISNUMBER(V242),CX242,0)</f>
        <v>0</v>
      </c>
      <c r="FC242" s="28" t="n">
        <f aca="false">IF(ISNUMBER(Z242),CY242,0)</f>
        <v>0</v>
      </c>
      <c r="FD242" s="28" t="n">
        <f aca="false">IF(ISNUMBER(AD242),CZ242,0)</f>
        <v>0</v>
      </c>
      <c r="FE242" s="28" t="n">
        <f aca="false">IF(ISNUMBER(AH242),DA242,0)</f>
        <v>0</v>
      </c>
      <c r="FF242" s="28" t="n">
        <f aca="false">IF(ISNUMBER(AL242),DB242,0)</f>
        <v>0</v>
      </c>
      <c r="FG242" s="28" t="n">
        <f aca="false">IF(ISNUMBER(AP242),DC242,0)</f>
        <v>0</v>
      </c>
      <c r="FH242" s="28" t="n">
        <f aca="false">IF(ISNUMBER(AT242),DD242,0)</f>
        <v>0</v>
      </c>
      <c r="FI242" s="28" t="n">
        <f aca="false">IF(ISNUMBER(AX242),DE242,0)</f>
        <v>0</v>
      </c>
      <c r="FJ242" s="28" t="n">
        <f aca="false">IF(ISNUMBER(BB242),DF242,0)</f>
        <v>0</v>
      </c>
      <c r="FK242" s="28" t="n">
        <f aca="false">IF(ISNUMBER(BF242),DG242,0)</f>
        <v>0</v>
      </c>
      <c r="FL242" s="28" t="n">
        <f aca="false">IF(ISNUMBER(BJ242),DH242,0)</f>
        <v>0</v>
      </c>
      <c r="FM242" s="28" t="n">
        <f aca="false">IF(ISNUMBER(BN242),DI242,0)</f>
        <v>0</v>
      </c>
      <c r="FN242" s="28" t="n">
        <f aca="false">IF(ISNUMBER(BR242),DJ242,0)</f>
        <v>0</v>
      </c>
      <c r="FO242" s="28" t="str">
        <f aca="false">IFERROR(INDEX(Lists!$G$2:$G$20,MATCH($I242&amp;"|"&amp;$J242,Lists!$F$2:$F$20,0)),"")</f>
        <v>Econ Exam</v>
      </c>
    </row>
    <row r="243" customFormat="false" ht="19.5" hidden="false" customHeight="true" outlineLevel="0" collapsed="false">
      <c r="A243" s="29" t="s">
        <v>504</v>
      </c>
      <c r="B243" s="29" t="s">
        <v>505</v>
      </c>
      <c r="C243" s="30" t="s">
        <v>152</v>
      </c>
      <c r="D243" s="30" t="s">
        <v>291</v>
      </c>
      <c r="E243" s="31"/>
      <c r="F243" s="30"/>
      <c r="G243" s="30"/>
      <c r="H243" s="32" t="s">
        <v>428</v>
      </c>
      <c r="I243" s="33" t="s">
        <v>229</v>
      </c>
      <c r="J243" s="32" t="s">
        <v>25</v>
      </c>
      <c r="K243" s="34" t="str">
        <f aca="false">IF(OR(M243="",$E243=""),"",M243-$E243)</f>
        <v/>
      </c>
      <c r="L243" s="35" t="n">
        <f aca="false">IF(SUM(FA243:FN243)=0,"",SUM(EM243:EZ243)/SUM(FA243:FN243))</f>
        <v>88</v>
      </c>
      <c r="M243" s="36" t="n">
        <f aca="false">IF(OR(L243="",FO243=""),"",IFERROR(MATCH(L243,INDEX(Boundaries!$B$2:$I$30,MATCH(FO243,Boundaries!$A$2:$A$30,0),0),1)-1,""))</f>
        <v>7</v>
      </c>
      <c r="N243" s="37" t="str">
        <f aca="false">IF(COUNT($DY243:$EL243)&lt;2,"",INDEX($DK243:$DX243,MAX($DY243:$EL243))-INDEX($DK243:$DX243,MIN($DY243:$EL243)))</f>
        <v/>
      </c>
      <c r="O243" s="37" t="str">
        <f aca="false">IF(COUNT($DY243:$EL243)&lt;2,"",INDEX($DK243:$DX243,MAX($DY243:$EL243))-INDEX($DK243:$DX243,LARGE($DY243:$EL243,2)))</f>
        <v/>
      </c>
      <c r="P243" s="38" t="str">
        <f aca="false">IF(K243="","",IF(K243&gt;=0,"On/above target",IF(AND(N243&lt;&gt;"",N243&gt;=0.5),"Improving towards target",IF(AND(O243&lt;&gt;"",O243&lt;=-0.5),"Declining","Stable below target"))))</f>
        <v/>
      </c>
      <c r="Q243" s="39" t="n">
        <v>22</v>
      </c>
      <c r="R243" s="40" t="n">
        <f aca="false">IF(OR(Q243="",BU243=""),"",Q243/BU243*100)</f>
        <v>88</v>
      </c>
      <c r="S243" s="41" t="n">
        <f aca="false">IF(R243="","",IFERROR(MATCH(R243,INDEX(Boundaries!$B$2:$I$30,MATCH(CI243,Boundaries!$A$2:$A$30,0),0),1)-1,""))</f>
        <v>7</v>
      </c>
      <c r="T243" s="42" t="str">
        <f aca="false">IF(OR(S243="",$E243=""),"",S243-$E243)</f>
        <v/>
      </c>
      <c r="U243" s="39"/>
      <c r="V243" s="40" t="str">
        <f aca="false">IF(OR(U243="",BV243=""),"",U243/BV243*100)</f>
        <v/>
      </c>
      <c r="W243" s="41" t="str">
        <f aca="false">IF(V243="","",IFERROR(MATCH(V243,INDEX(Boundaries!$B$2:$I$30,MATCH(CJ243,Boundaries!$A$2:$A$30,0),0),1)-1,""))</f>
        <v/>
      </c>
      <c r="X243" s="42" t="str">
        <f aca="false">IF(OR(W243="",$E243=""),"",W243-$E243)</f>
        <v/>
      </c>
      <c r="Y243" s="39"/>
      <c r="Z243" s="40" t="str">
        <f aca="false">IF(OR(Y243="",BW243=""),"",Y243/BW243*100)</f>
        <v/>
      </c>
      <c r="AA243" s="41" t="str">
        <f aca="false">IF(Z243="","",IFERROR(MATCH(Z243,INDEX(Boundaries!$B$2:$I$30,MATCH(CK243,Boundaries!$A$2:$A$30,0),0),1)-1,""))</f>
        <v/>
      </c>
      <c r="AB243" s="42" t="str">
        <f aca="false">IF(OR(AA243="",$E243=""),"",AA243-$E243)</f>
        <v/>
      </c>
      <c r="AC243" s="39"/>
      <c r="AD243" s="40" t="str">
        <f aca="false">IF(OR(AC243="",BX243=""),"",AC243/BX243*100)</f>
        <v/>
      </c>
      <c r="AE243" s="41" t="str">
        <f aca="false">IF(AD243="","",IFERROR(MATCH(AD243,INDEX(Boundaries!$B$2:$I$30,MATCH(CL243,Boundaries!$A$2:$A$30,0),0),1)-1,""))</f>
        <v/>
      </c>
      <c r="AF243" s="42" t="str">
        <f aca="false">IF(OR(AE243="",$E243=""),"",AE243-$E243)</f>
        <v/>
      </c>
      <c r="AG243" s="39"/>
      <c r="AH243" s="40" t="str">
        <f aca="false">IF(OR(AG243="",BY243=""),"",AG243/BY243*100)</f>
        <v/>
      </c>
      <c r="AI243" s="41" t="str">
        <f aca="false">IF(AH243="","",IFERROR(MATCH(AH243,INDEX(Boundaries!$B$2:$I$30,MATCH(CM243,Boundaries!$A$2:$A$30,0),0),1)-1,""))</f>
        <v/>
      </c>
      <c r="AJ243" s="42" t="str">
        <f aca="false">IF(OR(AI243="",$E243=""),"",AI243-$E243)</f>
        <v/>
      </c>
      <c r="AK243" s="39"/>
      <c r="AL243" s="40" t="str">
        <f aca="false">IF(OR(AK243="",BZ243=""),"",AK243/BZ243*100)</f>
        <v/>
      </c>
      <c r="AM243" s="41" t="str">
        <f aca="false">IF(AL243="","",IFERROR(MATCH(AL243,INDEX(Boundaries!$B$2:$I$30,MATCH(CN243,Boundaries!$A$2:$A$30,0),0),1)-1,""))</f>
        <v/>
      </c>
      <c r="AN243" s="42" t="str">
        <f aca="false">IF(OR(AM243="",$E243=""),"",AM243-$E243)</f>
        <v/>
      </c>
      <c r="AO243" s="39"/>
      <c r="AP243" s="40" t="str">
        <f aca="false">IF(OR(AO243="",CA243=""),"",AO243/CA243*100)</f>
        <v/>
      </c>
      <c r="AQ243" s="41" t="str">
        <f aca="false">IF(AP243="","",IFERROR(MATCH(AP243,INDEX(Boundaries!$B$2:$I$30,MATCH(CO243,Boundaries!$A$2:$A$30,0),0),1)-1,""))</f>
        <v/>
      </c>
      <c r="AR243" s="42" t="str">
        <f aca="false">IF(OR(AQ243="",$E243=""),"",AQ243-$E243)</f>
        <v/>
      </c>
      <c r="AS243" s="39"/>
      <c r="AT243" s="40" t="str">
        <f aca="false">IF(OR(AS243="",CB243=""),"",AS243/CB243*100)</f>
        <v/>
      </c>
      <c r="AU243" s="41" t="str">
        <f aca="false">IF(AT243="","",IFERROR(MATCH(AT243,INDEX(Boundaries!$B$2:$I$30,MATCH(CP243,Boundaries!$A$2:$A$30,0),0),1)-1,""))</f>
        <v/>
      </c>
      <c r="AV243" s="42" t="str">
        <f aca="false">IF(OR(AU243="",$E243=""),"",AU243-$E243)</f>
        <v/>
      </c>
      <c r="AW243" s="39"/>
      <c r="AX243" s="40" t="str">
        <f aca="false">IF(OR(AW243="",CC243=""),"",AW243/CC243*100)</f>
        <v/>
      </c>
      <c r="AY243" s="41" t="str">
        <f aca="false">IF(AX243="","",IFERROR(MATCH(AX243,INDEX(Boundaries!$B$2:$I$30,MATCH(CQ243,Boundaries!$A$2:$A$30,0),0),1)-1,""))</f>
        <v/>
      </c>
      <c r="AZ243" s="42" t="str">
        <f aca="false">IF(OR(AY243="",$E243=""),"",AY243-$E243)</f>
        <v/>
      </c>
      <c r="BA243" s="39"/>
      <c r="BB243" s="40" t="str">
        <f aca="false">IF(OR(BA243="",CD243=""),"",BA243/CD243*100)</f>
        <v/>
      </c>
      <c r="BC243" s="41" t="str">
        <f aca="false">IF(BB243="","",IFERROR(MATCH(BB243,INDEX(Boundaries!$B$2:$I$30,MATCH(CR243,Boundaries!$A$2:$A$30,0),0),1)-1,""))</f>
        <v/>
      </c>
      <c r="BD243" s="42" t="str">
        <f aca="false">IF(OR(BC243="",$E243=""),"",BC243-$E243)</f>
        <v/>
      </c>
      <c r="BE243" s="39"/>
      <c r="BF243" s="40" t="str">
        <f aca="false">IF(OR(BE243="",CE243=""),"",BE243/CE243*100)</f>
        <v/>
      </c>
      <c r="BG243" s="41" t="str">
        <f aca="false">IF(BF243="","",IFERROR(MATCH(BF243,INDEX(Boundaries!$B$2:$I$30,MATCH(CS243,Boundaries!$A$2:$A$30,0),0),1)-1,""))</f>
        <v/>
      </c>
      <c r="BH243" s="42" t="str">
        <f aca="false">IF(OR(BG243="",$E243=""),"",BG243-$E243)</f>
        <v/>
      </c>
      <c r="BI243" s="39"/>
      <c r="BJ243" s="40" t="str">
        <f aca="false">IF(OR(BI243="",CF243=""),"",BI243/CF243*100)</f>
        <v/>
      </c>
      <c r="BK243" s="41" t="str">
        <f aca="false">IF(BJ243="","",IFERROR(MATCH(BJ243,INDEX(Boundaries!$B$2:$I$30,MATCH(CT243,Boundaries!$A$2:$A$30,0),0),1)-1,""))</f>
        <v/>
      </c>
      <c r="BL243" s="42" t="str">
        <f aca="false">IF(OR(BK243="",$E243=""),"",BK243-$E243)</f>
        <v/>
      </c>
      <c r="BM243" s="39"/>
      <c r="BN243" s="40" t="str">
        <f aca="false">IF(OR(BM243="",CG243=""),"",BM243/CG243*100)</f>
        <v/>
      </c>
      <c r="BO243" s="41" t="str">
        <f aca="false">IF(BN243="","",IFERROR(MATCH(BN243,INDEX(Boundaries!$B$2:$I$30,MATCH(CU243,Boundaries!$A$2:$A$30,0),0),1)-1,""))</f>
        <v/>
      </c>
      <c r="BP243" s="42" t="str">
        <f aca="false">IF(OR(BO243="",$E243=""),"",BO243-$E243)</f>
        <v/>
      </c>
      <c r="BQ243" s="39"/>
      <c r="BR243" s="40" t="str">
        <f aca="false">IF(OR(BQ243="",CH243=""),"",BQ243/CH243*100)</f>
        <v/>
      </c>
      <c r="BS243" s="41" t="str">
        <f aca="false">IF(BR243="","",IFERROR(MATCH(BR243,INDEX(Boundaries!$B$2:$I$30,MATCH(CV243,Boundaries!$A$2:$A$30,0),0),1)-1,""))</f>
        <v/>
      </c>
      <c r="BT243" s="42" t="str">
        <f aca="false">IF(OR(BS243="",$E243=""),"",BS243-$E243)</f>
        <v/>
      </c>
      <c r="BU243" s="28" t="n">
        <f aca="false">IFERROR(INDEX(Assessments!$H$2:$H$600,MATCH($H243&amp;"|"&amp;$I243&amp;"|"&amp;$J243&amp;"|"&amp;1,Assessments!$A$2:$A$600,0)),"")</f>
        <v>25</v>
      </c>
      <c r="BV243" s="28" t="n">
        <f aca="false">IFERROR(INDEX(Assessments!$H$2:$H$600,MATCH($H243&amp;"|"&amp;$I243&amp;"|"&amp;$J243&amp;"|"&amp;2,Assessments!$A$2:$A$600,0)),"")</f>
        <v>24</v>
      </c>
      <c r="BW243" s="28" t="n">
        <f aca="false">IFERROR(INDEX(Assessments!$H$2:$H$600,MATCH($H243&amp;"|"&amp;$I243&amp;"|"&amp;$J243&amp;"|"&amp;3,Assessments!$A$2:$A$600,0)),"")</f>
        <v>25</v>
      </c>
      <c r="BX243" s="28" t="n">
        <f aca="false">IFERROR(INDEX(Assessments!$H$2:$H$600,MATCH($H243&amp;"|"&amp;$I243&amp;"|"&amp;$J243&amp;"|"&amp;4,Assessments!$A$2:$A$600,0)),"")</f>
        <v>35</v>
      </c>
      <c r="BY243" s="28" t="n">
        <f aca="false">IFERROR(INDEX(Assessments!$H$2:$H$600,MATCH($H243&amp;"|"&amp;$I243&amp;"|"&amp;$J243&amp;"|"&amp;5,Assessments!$A$2:$A$600,0)),"")</f>
        <v>55</v>
      </c>
      <c r="BZ243" s="28" t="n">
        <f aca="false">IFERROR(INDEX(Assessments!$H$2:$H$600,MATCH($H243&amp;"|"&amp;$I243&amp;"|"&amp;$J243&amp;"|"&amp;6,Assessments!$A$2:$A$600,0)),"")</f>
        <v>28</v>
      </c>
      <c r="CA243" s="28" t="n">
        <f aca="false">IFERROR(INDEX(Assessments!$H$2:$H$600,MATCH($H243&amp;"|"&amp;$I243&amp;"|"&amp;$J243&amp;"|"&amp;7,Assessments!$A$2:$A$600,0)),"")</f>
        <v>95</v>
      </c>
      <c r="CB243" s="28" t="str">
        <f aca="false">IFERROR(INDEX(Assessments!$H$2:$H$600,MATCH($H243&amp;"|"&amp;$I243&amp;"|"&amp;$J243&amp;"|"&amp;8,Assessments!$A$2:$A$600,0)),"")</f>
        <v/>
      </c>
      <c r="CC243" s="28" t="str">
        <f aca="false">IFERROR(INDEX(Assessments!$H$2:$H$600,MATCH($H243&amp;"|"&amp;$I243&amp;"|"&amp;$J243&amp;"|"&amp;9,Assessments!$A$2:$A$600,0)),"")</f>
        <v/>
      </c>
      <c r="CD243" s="28" t="str">
        <f aca="false">IFERROR(INDEX(Assessments!$H$2:$H$600,MATCH($H243&amp;"|"&amp;$I243&amp;"|"&amp;$J243&amp;"|"&amp;10,Assessments!$A$2:$A$600,0)),"")</f>
        <v/>
      </c>
      <c r="CE243" s="28" t="str">
        <f aca="false">IFERROR(INDEX(Assessments!$H$2:$H$600,MATCH($H243&amp;"|"&amp;$I243&amp;"|"&amp;$J243&amp;"|"&amp;11,Assessments!$A$2:$A$600,0)),"")</f>
        <v/>
      </c>
      <c r="CF243" s="28" t="str">
        <f aca="false">IFERROR(INDEX(Assessments!$H$2:$H$600,MATCH($H243&amp;"|"&amp;$I243&amp;"|"&amp;$J243&amp;"|"&amp;12,Assessments!$A$2:$A$600,0)),"")</f>
        <v/>
      </c>
      <c r="CG243" s="28" t="str">
        <f aca="false">IFERROR(INDEX(Assessments!$H$2:$H$600,MATCH($H243&amp;"|"&amp;$I243&amp;"|"&amp;$J243&amp;"|"&amp;13,Assessments!$A$2:$A$600,0)),"")</f>
        <v/>
      </c>
      <c r="CH243" s="28" t="str">
        <f aca="false">IFERROR(INDEX(Assessments!$H$2:$H$600,MATCH($H243&amp;"|"&amp;$I243&amp;"|"&amp;$J243&amp;"|"&amp;14,Assessments!$A$2:$A$600,0)),"")</f>
        <v/>
      </c>
      <c r="CI243" s="28" t="str">
        <f aca="false">IFERROR(INDEX(Assessments!$I$2:$I$600,MATCH($H243&amp;"|"&amp;$I243&amp;"|"&amp;$J243&amp;"|"&amp;1,Assessments!$A$2:$A$600,0)),"")</f>
        <v>Econ Test</v>
      </c>
      <c r="CJ243" s="28" t="str">
        <f aca="false">IFERROR(INDEX(Assessments!$I$2:$I$600,MATCH($H243&amp;"|"&amp;$I243&amp;"|"&amp;$J243&amp;"|"&amp;2,Assessments!$A$2:$A$600,0)),"")</f>
        <v>Econ Test</v>
      </c>
      <c r="CK243" s="28" t="str">
        <f aca="false">IFERROR(INDEX(Assessments!$I$2:$I$600,MATCH($H243&amp;"|"&amp;$I243&amp;"|"&amp;$J243&amp;"|"&amp;3,Assessments!$A$2:$A$600,0)),"")</f>
        <v>Econ Test</v>
      </c>
      <c r="CL243" s="28" t="str">
        <f aca="false">IFERROR(INDEX(Assessments!$I$2:$I$600,MATCH($H243&amp;"|"&amp;$I243&amp;"|"&amp;$J243&amp;"|"&amp;4,Assessments!$A$2:$A$600,0)),"")</f>
        <v>Econ Test</v>
      </c>
      <c r="CM243" s="28" t="str">
        <f aca="false">IFERROR(INDEX(Assessments!$I$2:$I$600,MATCH($H243&amp;"|"&amp;$I243&amp;"|"&amp;$J243&amp;"|"&amp;5,Assessments!$A$2:$A$600,0)),"")</f>
        <v>Econ Exam</v>
      </c>
      <c r="CN243" s="28" t="str">
        <f aca="false">IFERROR(INDEX(Assessments!$I$2:$I$600,MATCH($H243&amp;"|"&amp;$I243&amp;"|"&amp;$J243&amp;"|"&amp;6,Assessments!$A$2:$A$600,0)),"")</f>
        <v>Econ Test</v>
      </c>
      <c r="CO243" s="28" t="str">
        <f aca="false">IFERROR(INDEX(Assessments!$I$2:$I$600,MATCH($H243&amp;"|"&amp;$I243&amp;"|"&amp;$J243&amp;"|"&amp;7,Assessments!$A$2:$A$600,0)),"")</f>
        <v>Econ Exam</v>
      </c>
      <c r="CP243" s="28" t="str">
        <f aca="false">IFERROR(INDEX(Assessments!$I$2:$I$600,MATCH($H243&amp;"|"&amp;$I243&amp;"|"&amp;$J243&amp;"|"&amp;8,Assessments!$A$2:$A$600,0)),"")</f>
        <v/>
      </c>
      <c r="CQ243" s="28" t="str">
        <f aca="false">IFERROR(INDEX(Assessments!$I$2:$I$600,MATCH($H243&amp;"|"&amp;$I243&amp;"|"&amp;$J243&amp;"|"&amp;9,Assessments!$A$2:$A$600,0)),"")</f>
        <v/>
      </c>
      <c r="CR243" s="28" t="str">
        <f aca="false">IFERROR(INDEX(Assessments!$I$2:$I$600,MATCH($H243&amp;"|"&amp;$I243&amp;"|"&amp;$J243&amp;"|"&amp;10,Assessments!$A$2:$A$600,0)),"")</f>
        <v/>
      </c>
      <c r="CS243" s="28" t="str">
        <f aca="false">IFERROR(INDEX(Assessments!$I$2:$I$600,MATCH($H243&amp;"|"&amp;$I243&amp;"|"&amp;$J243&amp;"|"&amp;11,Assessments!$A$2:$A$600,0)),"")</f>
        <v/>
      </c>
      <c r="CT243" s="28" t="str">
        <f aca="false">IFERROR(INDEX(Assessments!$I$2:$I$600,MATCH($H243&amp;"|"&amp;$I243&amp;"|"&amp;$J243&amp;"|"&amp;12,Assessments!$A$2:$A$600,0)),"")</f>
        <v/>
      </c>
      <c r="CU243" s="28" t="str">
        <f aca="false">IFERROR(INDEX(Assessments!$I$2:$I$600,MATCH($H243&amp;"|"&amp;$I243&amp;"|"&amp;$J243&amp;"|"&amp;13,Assessments!$A$2:$A$600,0)),"")</f>
        <v/>
      </c>
      <c r="CV243" s="28" t="str">
        <f aca="false">IFERROR(INDEX(Assessments!$I$2:$I$600,MATCH($H243&amp;"|"&amp;$I243&amp;"|"&amp;$J243&amp;"|"&amp;14,Assessments!$A$2:$A$600,0)),"")</f>
        <v/>
      </c>
      <c r="CW243" s="28" t="n">
        <f aca="false">IFERROR(INDEX(Assessments!$J$2:$J$600,MATCH($H243&amp;"|"&amp;$I243&amp;"|"&amp;$J243&amp;"|"&amp;1,Assessments!$A$2:$A$600,0)),0)</f>
        <v>1</v>
      </c>
      <c r="CX243" s="28" t="n">
        <f aca="false">IFERROR(INDEX(Assessments!$J$2:$J$600,MATCH($H243&amp;"|"&amp;$I243&amp;"|"&amp;$J243&amp;"|"&amp;2,Assessments!$A$2:$A$600,0)),0)</f>
        <v>1</v>
      </c>
      <c r="CY243" s="28" t="n">
        <f aca="false">IFERROR(INDEX(Assessments!$J$2:$J$600,MATCH($H243&amp;"|"&amp;$I243&amp;"|"&amp;$J243&amp;"|"&amp;3,Assessments!$A$2:$A$600,0)),0)</f>
        <v>1</v>
      </c>
      <c r="CZ243" s="28" t="n">
        <f aca="false">IFERROR(INDEX(Assessments!$J$2:$J$600,MATCH($H243&amp;"|"&amp;$I243&amp;"|"&amp;$J243&amp;"|"&amp;4,Assessments!$A$2:$A$600,0)),0)</f>
        <v>1</v>
      </c>
      <c r="DA243" s="28" t="n">
        <f aca="false">IFERROR(INDEX(Assessments!$J$2:$J$600,MATCH($H243&amp;"|"&amp;$I243&amp;"|"&amp;$J243&amp;"|"&amp;5,Assessments!$A$2:$A$600,0)),0)</f>
        <v>2</v>
      </c>
      <c r="DB243" s="28" t="n">
        <f aca="false">IFERROR(INDEX(Assessments!$J$2:$J$600,MATCH($H243&amp;"|"&amp;$I243&amp;"|"&amp;$J243&amp;"|"&amp;6,Assessments!$A$2:$A$600,0)),0)</f>
        <v>1</v>
      </c>
      <c r="DC243" s="28" t="n">
        <f aca="false">IFERROR(INDEX(Assessments!$J$2:$J$600,MATCH($H243&amp;"|"&amp;$I243&amp;"|"&amp;$J243&amp;"|"&amp;7,Assessments!$A$2:$A$600,0)),0)</f>
        <v>2</v>
      </c>
      <c r="DD243" s="28" t="n">
        <f aca="false">IFERROR(INDEX(Assessments!$J$2:$J$600,MATCH($H243&amp;"|"&amp;$I243&amp;"|"&amp;$J243&amp;"|"&amp;8,Assessments!$A$2:$A$600,0)),0)</f>
        <v>0</v>
      </c>
      <c r="DE243" s="28" t="n">
        <f aca="false">IFERROR(INDEX(Assessments!$J$2:$J$600,MATCH($H243&amp;"|"&amp;$I243&amp;"|"&amp;$J243&amp;"|"&amp;9,Assessments!$A$2:$A$600,0)),0)</f>
        <v>0</v>
      </c>
      <c r="DF243" s="28" t="n">
        <f aca="false">IFERROR(INDEX(Assessments!$J$2:$J$600,MATCH($H243&amp;"|"&amp;$I243&amp;"|"&amp;$J243&amp;"|"&amp;10,Assessments!$A$2:$A$600,0)),0)</f>
        <v>0</v>
      </c>
      <c r="DG243" s="28" t="n">
        <f aca="false">IFERROR(INDEX(Assessments!$J$2:$J$600,MATCH($H243&amp;"|"&amp;$I243&amp;"|"&amp;$J243&amp;"|"&amp;11,Assessments!$A$2:$A$600,0)),0)</f>
        <v>0</v>
      </c>
      <c r="DH243" s="28" t="n">
        <f aca="false">IFERROR(INDEX(Assessments!$J$2:$J$600,MATCH($H243&amp;"|"&amp;$I243&amp;"|"&amp;$J243&amp;"|"&amp;12,Assessments!$A$2:$A$600,0)),0)</f>
        <v>0</v>
      </c>
      <c r="DI243" s="28" t="n">
        <f aca="false">IFERROR(INDEX(Assessments!$J$2:$J$600,MATCH($H243&amp;"|"&amp;$I243&amp;"|"&amp;$J243&amp;"|"&amp;13,Assessments!$A$2:$A$600,0)),0)</f>
        <v>0</v>
      </c>
      <c r="DJ243" s="28" t="n">
        <f aca="false">IFERROR(INDEX(Assessments!$J$2:$J$600,MATCH($H243&amp;"|"&amp;$I243&amp;"|"&amp;$J243&amp;"|"&amp;14,Assessments!$A$2:$A$600,0)),0)</f>
        <v>0</v>
      </c>
      <c r="DK243" s="28" t="n">
        <f aca="false">S243</f>
        <v>7</v>
      </c>
      <c r="DL243" s="28" t="str">
        <f aca="false">W243</f>
        <v/>
      </c>
      <c r="DM243" s="28" t="str">
        <f aca="false">AA243</f>
        <v/>
      </c>
      <c r="DN243" s="28" t="str">
        <f aca="false">AE243</f>
        <v/>
      </c>
      <c r="DO243" s="28" t="str">
        <f aca="false">AI243</f>
        <v/>
      </c>
      <c r="DP243" s="28" t="str">
        <f aca="false">AM243</f>
        <v/>
      </c>
      <c r="DQ243" s="28" t="str">
        <f aca="false">AQ243</f>
        <v/>
      </c>
      <c r="DR243" s="28" t="str">
        <f aca="false">AU243</f>
        <v/>
      </c>
      <c r="DS243" s="28" t="str">
        <f aca="false">AY243</f>
        <v/>
      </c>
      <c r="DT243" s="28" t="str">
        <f aca="false">BC243</f>
        <v/>
      </c>
      <c r="DU243" s="28" t="str">
        <f aca="false">BG243</f>
        <v/>
      </c>
      <c r="DV243" s="28" t="str">
        <f aca="false">BK243</f>
        <v/>
      </c>
      <c r="DW243" s="28" t="str">
        <f aca="false">BO243</f>
        <v/>
      </c>
      <c r="DX243" s="28" t="str">
        <f aca="false">BS243</f>
        <v/>
      </c>
      <c r="DY243" s="28" t="n">
        <f aca="false">IF(ISNUMBER(S243),1,"")</f>
        <v>1</v>
      </c>
      <c r="DZ243" s="28" t="str">
        <f aca="false">IF(ISNUMBER(W243),2,"")</f>
        <v/>
      </c>
      <c r="EA243" s="28" t="str">
        <f aca="false">IF(ISNUMBER(AA243),3,"")</f>
        <v/>
      </c>
      <c r="EB243" s="28" t="str">
        <f aca="false">IF(ISNUMBER(AE243),4,"")</f>
        <v/>
      </c>
      <c r="EC243" s="28" t="str">
        <f aca="false">IF(ISNUMBER(AI243),5,"")</f>
        <v/>
      </c>
      <c r="ED243" s="28" t="str">
        <f aca="false">IF(ISNUMBER(AM243),6,"")</f>
        <v/>
      </c>
      <c r="EE243" s="28" t="str">
        <f aca="false">IF(ISNUMBER(AQ243),7,"")</f>
        <v/>
      </c>
      <c r="EF243" s="28" t="str">
        <f aca="false">IF(ISNUMBER(AU243),8,"")</f>
        <v/>
      </c>
      <c r="EG243" s="28" t="str">
        <f aca="false">IF(ISNUMBER(AY243),9,"")</f>
        <v/>
      </c>
      <c r="EH243" s="28" t="str">
        <f aca="false">IF(ISNUMBER(BC243),10,"")</f>
        <v/>
      </c>
      <c r="EI243" s="28" t="str">
        <f aca="false">IF(ISNUMBER(BG243),11,"")</f>
        <v/>
      </c>
      <c r="EJ243" s="28" t="str">
        <f aca="false">IF(ISNUMBER(BK243),12,"")</f>
        <v/>
      </c>
      <c r="EK243" s="28" t="str">
        <f aca="false">IF(ISNUMBER(BO243),13,"")</f>
        <v/>
      </c>
      <c r="EL243" s="28" t="str">
        <f aca="false">IF(ISNUMBER(BS243),14,"")</f>
        <v/>
      </c>
      <c r="EM243" s="28" t="n">
        <f aca="false">IF(ISNUMBER(R243),R243*CW243,0)</f>
        <v>88</v>
      </c>
      <c r="EN243" s="28" t="n">
        <f aca="false">IF(ISNUMBER(V243),V243*CX243,0)</f>
        <v>0</v>
      </c>
      <c r="EO243" s="28" t="n">
        <f aca="false">IF(ISNUMBER(Z243),Z243*CY243,0)</f>
        <v>0</v>
      </c>
      <c r="EP243" s="28" t="n">
        <f aca="false">IF(ISNUMBER(AD243),AD243*CZ243,0)</f>
        <v>0</v>
      </c>
      <c r="EQ243" s="28" t="n">
        <f aca="false">IF(ISNUMBER(AH243),AH243*DA243,0)</f>
        <v>0</v>
      </c>
      <c r="ER243" s="28" t="n">
        <f aca="false">IF(ISNUMBER(AL243),AL243*DB243,0)</f>
        <v>0</v>
      </c>
      <c r="ES243" s="28" t="n">
        <f aca="false">IF(ISNUMBER(AP243),AP243*DC243,0)</f>
        <v>0</v>
      </c>
      <c r="ET243" s="28" t="n">
        <f aca="false">IF(ISNUMBER(AT243),AT243*DD243,0)</f>
        <v>0</v>
      </c>
      <c r="EU243" s="28" t="n">
        <f aca="false">IF(ISNUMBER(AX243),AX243*DE243,0)</f>
        <v>0</v>
      </c>
      <c r="EV243" s="28" t="n">
        <f aca="false">IF(ISNUMBER(BB243),BB243*DF243,0)</f>
        <v>0</v>
      </c>
      <c r="EW243" s="28" t="n">
        <f aca="false">IF(ISNUMBER(BF243),BF243*DG243,0)</f>
        <v>0</v>
      </c>
      <c r="EX243" s="28" t="n">
        <f aca="false">IF(ISNUMBER(BJ243),BJ243*DH243,0)</f>
        <v>0</v>
      </c>
      <c r="EY243" s="28" t="n">
        <f aca="false">IF(ISNUMBER(BN243),BN243*DI243,0)</f>
        <v>0</v>
      </c>
      <c r="EZ243" s="28" t="n">
        <f aca="false">IF(ISNUMBER(BR243),BR243*DJ243,0)</f>
        <v>0</v>
      </c>
      <c r="FA243" s="28" t="n">
        <f aca="false">IF(ISNUMBER(R243),CW243,0)</f>
        <v>1</v>
      </c>
      <c r="FB243" s="28" t="n">
        <f aca="false">IF(ISNUMBER(V243),CX243,0)</f>
        <v>0</v>
      </c>
      <c r="FC243" s="28" t="n">
        <f aca="false">IF(ISNUMBER(Z243),CY243,0)</f>
        <v>0</v>
      </c>
      <c r="FD243" s="28" t="n">
        <f aca="false">IF(ISNUMBER(AD243),CZ243,0)</f>
        <v>0</v>
      </c>
      <c r="FE243" s="28" t="n">
        <f aca="false">IF(ISNUMBER(AH243),DA243,0)</f>
        <v>0</v>
      </c>
      <c r="FF243" s="28" t="n">
        <f aca="false">IF(ISNUMBER(AL243),DB243,0)</f>
        <v>0</v>
      </c>
      <c r="FG243" s="28" t="n">
        <f aca="false">IF(ISNUMBER(AP243),DC243,0)</f>
        <v>0</v>
      </c>
      <c r="FH243" s="28" t="n">
        <f aca="false">IF(ISNUMBER(AT243),DD243,0)</f>
        <v>0</v>
      </c>
      <c r="FI243" s="28" t="n">
        <f aca="false">IF(ISNUMBER(AX243),DE243,0)</f>
        <v>0</v>
      </c>
      <c r="FJ243" s="28" t="n">
        <f aca="false">IF(ISNUMBER(BB243),DF243,0)</f>
        <v>0</v>
      </c>
      <c r="FK243" s="28" t="n">
        <f aca="false">IF(ISNUMBER(BF243),DG243,0)</f>
        <v>0</v>
      </c>
      <c r="FL243" s="28" t="n">
        <f aca="false">IF(ISNUMBER(BJ243),DH243,0)</f>
        <v>0</v>
      </c>
      <c r="FM243" s="28" t="n">
        <f aca="false">IF(ISNUMBER(BN243),DI243,0)</f>
        <v>0</v>
      </c>
      <c r="FN243" s="28" t="n">
        <f aca="false">IF(ISNUMBER(BR243),DJ243,0)</f>
        <v>0</v>
      </c>
      <c r="FO243" s="28" t="str">
        <f aca="false">IFERROR(INDEX(Lists!$G$2:$G$20,MATCH($I243&amp;"|"&amp;$J243,Lists!$F$2:$F$20,0)),"")</f>
        <v>Econ Exam</v>
      </c>
    </row>
    <row r="244" customFormat="false" ht="19.5" hidden="false" customHeight="true" outlineLevel="0" collapsed="false">
      <c r="A244" s="29" t="s">
        <v>506</v>
      </c>
      <c r="B244" s="29" t="s">
        <v>507</v>
      </c>
      <c r="C244" s="30" t="s">
        <v>152</v>
      </c>
      <c r="D244" s="30" t="s">
        <v>291</v>
      </c>
      <c r="E244" s="31"/>
      <c r="F244" s="30"/>
      <c r="G244" s="30"/>
      <c r="H244" s="32" t="s">
        <v>428</v>
      </c>
      <c r="I244" s="33" t="s">
        <v>229</v>
      </c>
      <c r="J244" s="32" t="s">
        <v>25</v>
      </c>
      <c r="K244" s="34" t="str">
        <f aca="false">IF(OR(M244="",$E244=""),"",M244-$E244)</f>
        <v/>
      </c>
      <c r="L244" s="35" t="n">
        <f aca="false">IF(SUM(FA244:FN244)=0,"",SUM(EM244:EZ244)/SUM(FA244:FN244))</f>
        <v>84</v>
      </c>
      <c r="M244" s="36" t="n">
        <f aca="false">IF(OR(L244="",FO244=""),"",IFERROR(MATCH(L244,INDEX(Boundaries!$B$2:$I$30,MATCH(FO244,Boundaries!$A$2:$A$30,0),0),1)-1,""))</f>
        <v>7</v>
      </c>
      <c r="N244" s="37" t="str">
        <f aca="false">IF(COUNT($DY244:$EL244)&lt;2,"",INDEX($DK244:$DX244,MAX($DY244:$EL244))-INDEX($DK244:$DX244,MIN($DY244:$EL244)))</f>
        <v/>
      </c>
      <c r="O244" s="37" t="str">
        <f aca="false">IF(COUNT($DY244:$EL244)&lt;2,"",INDEX($DK244:$DX244,MAX($DY244:$EL244))-INDEX($DK244:$DX244,LARGE($DY244:$EL244,2)))</f>
        <v/>
      </c>
      <c r="P244" s="38" t="str">
        <f aca="false">IF(K244="","",IF(K244&gt;=0,"On/above target",IF(AND(N244&lt;&gt;"",N244&gt;=0.5),"Improving towards target",IF(AND(O244&lt;&gt;"",O244&lt;=-0.5),"Declining","Stable below target"))))</f>
        <v/>
      </c>
      <c r="Q244" s="39" t="n">
        <v>21</v>
      </c>
      <c r="R244" s="40" t="n">
        <f aca="false">IF(OR(Q244="",BU244=""),"",Q244/BU244*100)</f>
        <v>84</v>
      </c>
      <c r="S244" s="41" t="n">
        <f aca="false">IF(R244="","",IFERROR(MATCH(R244,INDEX(Boundaries!$B$2:$I$30,MATCH(CI244,Boundaries!$A$2:$A$30,0),0),1)-1,""))</f>
        <v>6</v>
      </c>
      <c r="T244" s="42" t="str">
        <f aca="false">IF(OR(S244="",$E244=""),"",S244-$E244)</f>
        <v/>
      </c>
      <c r="U244" s="39"/>
      <c r="V244" s="40" t="str">
        <f aca="false">IF(OR(U244="",BV244=""),"",U244/BV244*100)</f>
        <v/>
      </c>
      <c r="W244" s="41" t="str">
        <f aca="false">IF(V244="","",IFERROR(MATCH(V244,INDEX(Boundaries!$B$2:$I$30,MATCH(CJ244,Boundaries!$A$2:$A$30,0),0),1)-1,""))</f>
        <v/>
      </c>
      <c r="X244" s="42" t="str">
        <f aca="false">IF(OR(W244="",$E244=""),"",W244-$E244)</f>
        <v/>
      </c>
      <c r="Y244" s="39"/>
      <c r="Z244" s="40" t="str">
        <f aca="false">IF(OR(Y244="",BW244=""),"",Y244/BW244*100)</f>
        <v/>
      </c>
      <c r="AA244" s="41" t="str">
        <f aca="false">IF(Z244="","",IFERROR(MATCH(Z244,INDEX(Boundaries!$B$2:$I$30,MATCH(CK244,Boundaries!$A$2:$A$30,0),0),1)-1,""))</f>
        <v/>
      </c>
      <c r="AB244" s="42" t="str">
        <f aca="false">IF(OR(AA244="",$E244=""),"",AA244-$E244)</f>
        <v/>
      </c>
      <c r="AC244" s="39"/>
      <c r="AD244" s="40" t="str">
        <f aca="false">IF(OR(AC244="",BX244=""),"",AC244/BX244*100)</f>
        <v/>
      </c>
      <c r="AE244" s="41" t="str">
        <f aca="false">IF(AD244="","",IFERROR(MATCH(AD244,INDEX(Boundaries!$B$2:$I$30,MATCH(CL244,Boundaries!$A$2:$A$30,0),0),1)-1,""))</f>
        <v/>
      </c>
      <c r="AF244" s="42" t="str">
        <f aca="false">IF(OR(AE244="",$E244=""),"",AE244-$E244)</f>
        <v/>
      </c>
      <c r="AG244" s="39"/>
      <c r="AH244" s="40" t="str">
        <f aca="false">IF(OR(AG244="",BY244=""),"",AG244/BY244*100)</f>
        <v/>
      </c>
      <c r="AI244" s="41" t="str">
        <f aca="false">IF(AH244="","",IFERROR(MATCH(AH244,INDEX(Boundaries!$B$2:$I$30,MATCH(CM244,Boundaries!$A$2:$A$30,0),0),1)-1,""))</f>
        <v/>
      </c>
      <c r="AJ244" s="42" t="str">
        <f aca="false">IF(OR(AI244="",$E244=""),"",AI244-$E244)</f>
        <v/>
      </c>
      <c r="AK244" s="39"/>
      <c r="AL244" s="40" t="str">
        <f aca="false">IF(OR(AK244="",BZ244=""),"",AK244/BZ244*100)</f>
        <v/>
      </c>
      <c r="AM244" s="41" t="str">
        <f aca="false">IF(AL244="","",IFERROR(MATCH(AL244,INDEX(Boundaries!$B$2:$I$30,MATCH(CN244,Boundaries!$A$2:$A$30,0),0),1)-1,""))</f>
        <v/>
      </c>
      <c r="AN244" s="42" t="str">
        <f aca="false">IF(OR(AM244="",$E244=""),"",AM244-$E244)</f>
        <v/>
      </c>
      <c r="AO244" s="39"/>
      <c r="AP244" s="40" t="str">
        <f aca="false">IF(OR(AO244="",CA244=""),"",AO244/CA244*100)</f>
        <v/>
      </c>
      <c r="AQ244" s="41" t="str">
        <f aca="false">IF(AP244="","",IFERROR(MATCH(AP244,INDEX(Boundaries!$B$2:$I$30,MATCH(CO244,Boundaries!$A$2:$A$30,0),0),1)-1,""))</f>
        <v/>
      </c>
      <c r="AR244" s="42" t="str">
        <f aca="false">IF(OR(AQ244="",$E244=""),"",AQ244-$E244)</f>
        <v/>
      </c>
      <c r="AS244" s="39"/>
      <c r="AT244" s="40" t="str">
        <f aca="false">IF(OR(AS244="",CB244=""),"",AS244/CB244*100)</f>
        <v/>
      </c>
      <c r="AU244" s="41" t="str">
        <f aca="false">IF(AT244="","",IFERROR(MATCH(AT244,INDEX(Boundaries!$B$2:$I$30,MATCH(CP244,Boundaries!$A$2:$A$30,0),0),1)-1,""))</f>
        <v/>
      </c>
      <c r="AV244" s="42" t="str">
        <f aca="false">IF(OR(AU244="",$E244=""),"",AU244-$E244)</f>
        <v/>
      </c>
      <c r="AW244" s="39"/>
      <c r="AX244" s="40" t="str">
        <f aca="false">IF(OR(AW244="",CC244=""),"",AW244/CC244*100)</f>
        <v/>
      </c>
      <c r="AY244" s="41" t="str">
        <f aca="false">IF(AX244="","",IFERROR(MATCH(AX244,INDEX(Boundaries!$B$2:$I$30,MATCH(CQ244,Boundaries!$A$2:$A$30,0),0),1)-1,""))</f>
        <v/>
      </c>
      <c r="AZ244" s="42" t="str">
        <f aca="false">IF(OR(AY244="",$E244=""),"",AY244-$E244)</f>
        <v/>
      </c>
      <c r="BA244" s="39"/>
      <c r="BB244" s="40" t="str">
        <f aca="false">IF(OR(BA244="",CD244=""),"",BA244/CD244*100)</f>
        <v/>
      </c>
      <c r="BC244" s="41" t="str">
        <f aca="false">IF(BB244="","",IFERROR(MATCH(BB244,INDEX(Boundaries!$B$2:$I$30,MATCH(CR244,Boundaries!$A$2:$A$30,0),0),1)-1,""))</f>
        <v/>
      </c>
      <c r="BD244" s="42" t="str">
        <f aca="false">IF(OR(BC244="",$E244=""),"",BC244-$E244)</f>
        <v/>
      </c>
      <c r="BE244" s="39"/>
      <c r="BF244" s="40" t="str">
        <f aca="false">IF(OR(BE244="",CE244=""),"",BE244/CE244*100)</f>
        <v/>
      </c>
      <c r="BG244" s="41" t="str">
        <f aca="false">IF(BF244="","",IFERROR(MATCH(BF244,INDEX(Boundaries!$B$2:$I$30,MATCH(CS244,Boundaries!$A$2:$A$30,0),0),1)-1,""))</f>
        <v/>
      </c>
      <c r="BH244" s="42" t="str">
        <f aca="false">IF(OR(BG244="",$E244=""),"",BG244-$E244)</f>
        <v/>
      </c>
      <c r="BI244" s="39"/>
      <c r="BJ244" s="40" t="str">
        <f aca="false">IF(OR(BI244="",CF244=""),"",BI244/CF244*100)</f>
        <v/>
      </c>
      <c r="BK244" s="41" t="str">
        <f aca="false">IF(BJ244="","",IFERROR(MATCH(BJ244,INDEX(Boundaries!$B$2:$I$30,MATCH(CT244,Boundaries!$A$2:$A$30,0),0),1)-1,""))</f>
        <v/>
      </c>
      <c r="BL244" s="42" t="str">
        <f aca="false">IF(OR(BK244="",$E244=""),"",BK244-$E244)</f>
        <v/>
      </c>
      <c r="BM244" s="39"/>
      <c r="BN244" s="40" t="str">
        <f aca="false">IF(OR(BM244="",CG244=""),"",BM244/CG244*100)</f>
        <v/>
      </c>
      <c r="BO244" s="41" t="str">
        <f aca="false">IF(BN244="","",IFERROR(MATCH(BN244,INDEX(Boundaries!$B$2:$I$30,MATCH(CU244,Boundaries!$A$2:$A$30,0),0),1)-1,""))</f>
        <v/>
      </c>
      <c r="BP244" s="42" t="str">
        <f aca="false">IF(OR(BO244="",$E244=""),"",BO244-$E244)</f>
        <v/>
      </c>
      <c r="BQ244" s="39"/>
      <c r="BR244" s="40" t="str">
        <f aca="false">IF(OR(BQ244="",CH244=""),"",BQ244/CH244*100)</f>
        <v/>
      </c>
      <c r="BS244" s="41" t="str">
        <f aca="false">IF(BR244="","",IFERROR(MATCH(BR244,INDEX(Boundaries!$B$2:$I$30,MATCH(CV244,Boundaries!$A$2:$A$30,0),0),1)-1,""))</f>
        <v/>
      </c>
      <c r="BT244" s="42" t="str">
        <f aca="false">IF(OR(BS244="",$E244=""),"",BS244-$E244)</f>
        <v/>
      </c>
      <c r="BU244" s="28" t="n">
        <f aca="false">IFERROR(INDEX(Assessments!$H$2:$H$600,MATCH($H244&amp;"|"&amp;$I244&amp;"|"&amp;$J244&amp;"|"&amp;1,Assessments!$A$2:$A$600,0)),"")</f>
        <v>25</v>
      </c>
      <c r="BV244" s="28" t="n">
        <f aca="false">IFERROR(INDEX(Assessments!$H$2:$H$600,MATCH($H244&amp;"|"&amp;$I244&amp;"|"&amp;$J244&amp;"|"&amp;2,Assessments!$A$2:$A$600,0)),"")</f>
        <v>24</v>
      </c>
      <c r="BW244" s="28" t="n">
        <f aca="false">IFERROR(INDEX(Assessments!$H$2:$H$600,MATCH($H244&amp;"|"&amp;$I244&amp;"|"&amp;$J244&amp;"|"&amp;3,Assessments!$A$2:$A$600,0)),"")</f>
        <v>25</v>
      </c>
      <c r="BX244" s="28" t="n">
        <f aca="false">IFERROR(INDEX(Assessments!$H$2:$H$600,MATCH($H244&amp;"|"&amp;$I244&amp;"|"&amp;$J244&amp;"|"&amp;4,Assessments!$A$2:$A$600,0)),"")</f>
        <v>35</v>
      </c>
      <c r="BY244" s="28" t="n">
        <f aca="false">IFERROR(INDEX(Assessments!$H$2:$H$600,MATCH($H244&amp;"|"&amp;$I244&amp;"|"&amp;$J244&amp;"|"&amp;5,Assessments!$A$2:$A$600,0)),"")</f>
        <v>55</v>
      </c>
      <c r="BZ244" s="28" t="n">
        <f aca="false">IFERROR(INDEX(Assessments!$H$2:$H$600,MATCH($H244&amp;"|"&amp;$I244&amp;"|"&amp;$J244&amp;"|"&amp;6,Assessments!$A$2:$A$600,0)),"")</f>
        <v>28</v>
      </c>
      <c r="CA244" s="28" t="n">
        <f aca="false">IFERROR(INDEX(Assessments!$H$2:$H$600,MATCH($H244&amp;"|"&amp;$I244&amp;"|"&amp;$J244&amp;"|"&amp;7,Assessments!$A$2:$A$600,0)),"")</f>
        <v>95</v>
      </c>
      <c r="CB244" s="28" t="str">
        <f aca="false">IFERROR(INDEX(Assessments!$H$2:$H$600,MATCH($H244&amp;"|"&amp;$I244&amp;"|"&amp;$J244&amp;"|"&amp;8,Assessments!$A$2:$A$600,0)),"")</f>
        <v/>
      </c>
      <c r="CC244" s="28" t="str">
        <f aca="false">IFERROR(INDEX(Assessments!$H$2:$H$600,MATCH($H244&amp;"|"&amp;$I244&amp;"|"&amp;$J244&amp;"|"&amp;9,Assessments!$A$2:$A$600,0)),"")</f>
        <v/>
      </c>
      <c r="CD244" s="28" t="str">
        <f aca="false">IFERROR(INDEX(Assessments!$H$2:$H$600,MATCH($H244&amp;"|"&amp;$I244&amp;"|"&amp;$J244&amp;"|"&amp;10,Assessments!$A$2:$A$600,0)),"")</f>
        <v/>
      </c>
      <c r="CE244" s="28" t="str">
        <f aca="false">IFERROR(INDEX(Assessments!$H$2:$H$600,MATCH($H244&amp;"|"&amp;$I244&amp;"|"&amp;$J244&amp;"|"&amp;11,Assessments!$A$2:$A$600,0)),"")</f>
        <v/>
      </c>
      <c r="CF244" s="28" t="str">
        <f aca="false">IFERROR(INDEX(Assessments!$H$2:$H$600,MATCH($H244&amp;"|"&amp;$I244&amp;"|"&amp;$J244&amp;"|"&amp;12,Assessments!$A$2:$A$600,0)),"")</f>
        <v/>
      </c>
      <c r="CG244" s="28" t="str">
        <f aca="false">IFERROR(INDEX(Assessments!$H$2:$H$600,MATCH($H244&amp;"|"&amp;$I244&amp;"|"&amp;$J244&amp;"|"&amp;13,Assessments!$A$2:$A$600,0)),"")</f>
        <v/>
      </c>
      <c r="CH244" s="28" t="str">
        <f aca="false">IFERROR(INDEX(Assessments!$H$2:$H$600,MATCH($H244&amp;"|"&amp;$I244&amp;"|"&amp;$J244&amp;"|"&amp;14,Assessments!$A$2:$A$600,0)),"")</f>
        <v/>
      </c>
      <c r="CI244" s="28" t="str">
        <f aca="false">IFERROR(INDEX(Assessments!$I$2:$I$600,MATCH($H244&amp;"|"&amp;$I244&amp;"|"&amp;$J244&amp;"|"&amp;1,Assessments!$A$2:$A$600,0)),"")</f>
        <v>Econ Test</v>
      </c>
      <c r="CJ244" s="28" t="str">
        <f aca="false">IFERROR(INDEX(Assessments!$I$2:$I$600,MATCH($H244&amp;"|"&amp;$I244&amp;"|"&amp;$J244&amp;"|"&amp;2,Assessments!$A$2:$A$600,0)),"")</f>
        <v>Econ Test</v>
      </c>
      <c r="CK244" s="28" t="str">
        <f aca="false">IFERROR(INDEX(Assessments!$I$2:$I$600,MATCH($H244&amp;"|"&amp;$I244&amp;"|"&amp;$J244&amp;"|"&amp;3,Assessments!$A$2:$A$600,0)),"")</f>
        <v>Econ Test</v>
      </c>
      <c r="CL244" s="28" t="str">
        <f aca="false">IFERROR(INDEX(Assessments!$I$2:$I$600,MATCH($H244&amp;"|"&amp;$I244&amp;"|"&amp;$J244&amp;"|"&amp;4,Assessments!$A$2:$A$600,0)),"")</f>
        <v>Econ Test</v>
      </c>
      <c r="CM244" s="28" t="str">
        <f aca="false">IFERROR(INDEX(Assessments!$I$2:$I$600,MATCH($H244&amp;"|"&amp;$I244&amp;"|"&amp;$J244&amp;"|"&amp;5,Assessments!$A$2:$A$600,0)),"")</f>
        <v>Econ Exam</v>
      </c>
      <c r="CN244" s="28" t="str">
        <f aca="false">IFERROR(INDEX(Assessments!$I$2:$I$600,MATCH($H244&amp;"|"&amp;$I244&amp;"|"&amp;$J244&amp;"|"&amp;6,Assessments!$A$2:$A$600,0)),"")</f>
        <v>Econ Test</v>
      </c>
      <c r="CO244" s="28" t="str">
        <f aca="false">IFERROR(INDEX(Assessments!$I$2:$I$600,MATCH($H244&amp;"|"&amp;$I244&amp;"|"&amp;$J244&amp;"|"&amp;7,Assessments!$A$2:$A$600,0)),"")</f>
        <v>Econ Exam</v>
      </c>
      <c r="CP244" s="28" t="str">
        <f aca="false">IFERROR(INDEX(Assessments!$I$2:$I$600,MATCH($H244&amp;"|"&amp;$I244&amp;"|"&amp;$J244&amp;"|"&amp;8,Assessments!$A$2:$A$600,0)),"")</f>
        <v/>
      </c>
      <c r="CQ244" s="28" t="str">
        <f aca="false">IFERROR(INDEX(Assessments!$I$2:$I$600,MATCH($H244&amp;"|"&amp;$I244&amp;"|"&amp;$J244&amp;"|"&amp;9,Assessments!$A$2:$A$600,0)),"")</f>
        <v/>
      </c>
      <c r="CR244" s="28" t="str">
        <f aca="false">IFERROR(INDEX(Assessments!$I$2:$I$600,MATCH($H244&amp;"|"&amp;$I244&amp;"|"&amp;$J244&amp;"|"&amp;10,Assessments!$A$2:$A$600,0)),"")</f>
        <v/>
      </c>
      <c r="CS244" s="28" t="str">
        <f aca="false">IFERROR(INDEX(Assessments!$I$2:$I$600,MATCH($H244&amp;"|"&amp;$I244&amp;"|"&amp;$J244&amp;"|"&amp;11,Assessments!$A$2:$A$600,0)),"")</f>
        <v/>
      </c>
      <c r="CT244" s="28" t="str">
        <f aca="false">IFERROR(INDEX(Assessments!$I$2:$I$600,MATCH($H244&amp;"|"&amp;$I244&amp;"|"&amp;$J244&amp;"|"&amp;12,Assessments!$A$2:$A$600,0)),"")</f>
        <v/>
      </c>
      <c r="CU244" s="28" t="str">
        <f aca="false">IFERROR(INDEX(Assessments!$I$2:$I$600,MATCH($H244&amp;"|"&amp;$I244&amp;"|"&amp;$J244&amp;"|"&amp;13,Assessments!$A$2:$A$600,0)),"")</f>
        <v/>
      </c>
      <c r="CV244" s="28" t="str">
        <f aca="false">IFERROR(INDEX(Assessments!$I$2:$I$600,MATCH($H244&amp;"|"&amp;$I244&amp;"|"&amp;$J244&amp;"|"&amp;14,Assessments!$A$2:$A$600,0)),"")</f>
        <v/>
      </c>
      <c r="CW244" s="28" t="n">
        <f aca="false">IFERROR(INDEX(Assessments!$J$2:$J$600,MATCH($H244&amp;"|"&amp;$I244&amp;"|"&amp;$J244&amp;"|"&amp;1,Assessments!$A$2:$A$600,0)),0)</f>
        <v>1</v>
      </c>
      <c r="CX244" s="28" t="n">
        <f aca="false">IFERROR(INDEX(Assessments!$J$2:$J$600,MATCH($H244&amp;"|"&amp;$I244&amp;"|"&amp;$J244&amp;"|"&amp;2,Assessments!$A$2:$A$600,0)),0)</f>
        <v>1</v>
      </c>
      <c r="CY244" s="28" t="n">
        <f aca="false">IFERROR(INDEX(Assessments!$J$2:$J$600,MATCH($H244&amp;"|"&amp;$I244&amp;"|"&amp;$J244&amp;"|"&amp;3,Assessments!$A$2:$A$600,0)),0)</f>
        <v>1</v>
      </c>
      <c r="CZ244" s="28" t="n">
        <f aca="false">IFERROR(INDEX(Assessments!$J$2:$J$600,MATCH($H244&amp;"|"&amp;$I244&amp;"|"&amp;$J244&amp;"|"&amp;4,Assessments!$A$2:$A$600,0)),0)</f>
        <v>1</v>
      </c>
      <c r="DA244" s="28" t="n">
        <f aca="false">IFERROR(INDEX(Assessments!$J$2:$J$600,MATCH($H244&amp;"|"&amp;$I244&amp;"|"&amp;$J244&amp;"|"&amp;5,Assessments!$A$2:$A$600,0)),0)</f>
        <v>2</v>
      </c>
      <c r="DB244" s="28" t="n">
        <f aca="false">IFERROR(INDEX(Assessments!$J$2:$J$600,MATCH($H244&amp;"|"&amp;$I244&amp;"|"&amp;$J244&amp;"|"&amp;6,Assessments!$A$2:$A$600,0)),0)</f>
        <v>1</v>
      </c>
      <c r="DC244" s="28" t="n">
        <f aca="false">IFERROR(INDEX(Assessments!$J$2:$J$600,MATCH($H244&amp;"|"&amp;$I244&amp;"|"&amp;$J244&amp;"|"&amp;7,Assessments!$A$2:$A$600,0)),0)</f>
        <v>2</v>
      </c>
      <c r="DD244" s="28" t="n">
        <f aca="false">IFERROR(INDEX(Assessments!$J$2:$J$600,MATCH($H244&amp;"|"&amp;$I244&amp;"|"&amp;$J244&amp;"|"&amp;8,Assessments!$A$2:$A$600,0)),0)</f>
        <v>0</v>
      </c>
      <c r="DE244" s="28" t="n">
        <f aca="false">IFERROR(INDEX(Assessments!$J$2:$J$600,MATCH($H244&amp;"|"&amp;$I244&amp;"|"&amp;$J244&amp;"|"&amp;9,Assessments!$A$2:$A$600,0)),0)</f>
        <v>0</v>
      </c>
      <c r="DF244" s="28" t="n">
        <f aca="false">IFERROR(INDEX(Assessments!$J$2:$J$600,MATCH($H244&amp;"|"&amp;$I244&amp;"|"&amp;$J244&amp;"|"&amp;10,Assessments!$A$2:$A$600,0)),0)</f>
        <v>0</v>
      </c>
      <c r="DG244" s="28" t="n">
        <f aca="false">IFERROR(INDEX(Assessments!$J$2:$J$600,MATCH($H244&amp;"|"&amp;$I244&amp;"|"&amp;$J244&amp;"|"&amp;11,Assessments!$A$2:$A$600,0)),0)</f>
        <v>0</v>
      </c>
      <c r="DH244" s="28" t="n">
        <f aca="false">IFERROR(INDEX(Assessments!$J$2:$J$600,MATCH($H244&amp;"|"&amp;$I244&amp;"|"&amp;$J244&amp;"|"&amp;12,Assessments!$A$2:$A$600,0)),0)</f>
        <v>0</v>
      </c>
      <c r="DI244" s="28" t="n">
        <f aca="false">IFERROR(INDEX(Assessments!$J$2:$J$600,MATCH($H244&amp;"|"&amp;$I244&amp;"|"&amp;$J244&amp;"|"&amp;13,Assessments!$A$2:$A$600,0)),0)</f>
        <v>0</v>
      </c>
      <c r="DJ244" s="28" t="n">
        <f aca="false">IFERROR(INDEX(Assessments!$J$2:$J$600,MATCH($H244&amp;"|"&amp;$I244&amp;"|"&amp;$J244&amp;"|"&amp;14,Assessments!$A$2:$A$600,0)),0)</f>
        <v>0</v>
      </c>
      <c r="DK244" s="28" t="n">
        <f aca="false">S244</f>
        <v>6</v>
      </c>
      <c r="DL244" s="28" t="str">
        <f aca="false">W244</f>
        <v/>
      </c>
      <c r="DM244" s="28" t="str">
        <f aca="false">AA244</f>
        <v/>
      </c>
      <c r="DN244" s="28" t="str">
        <f aca="false">AE244</f>
        <v/>
      </c>
      <c r="DO244" s="28" t="str">
        <f aca="false">AI244</f>
        <v/>
      </c>
      <c r="DP244" s="28" t="str">
        <f aca="false">AM244</f>
        <v/>
      </c>
      <c r="DQ244" s="28" t="str">
        <f aca="false">AQ244</f>
        <v/>
      </c>
      <c r="DR244" s="28" t="str">
        <f aca="false">AU244</f>
        <v/>
      </c>
      <c r="DS244" s="28" t="str">
        <f aca="false">AY244</f>
        <v/>
      </c>
      <c r="DT244" s="28" t="str">
        <f aca="false">BC244</f>
        <v/>
      </c>
      <c r="DU244" s="28" t="str">
        <f aca="false">BG244</f>
        <v/>
      </c>
      <c r="DV244" s="28" t="str">
        <f aca="false">BK244</f>
        <v/>
      </c>
      <c r="DW244" s="28" t="str">
        <f aca="false">BO244</f>
        <v/>
      </c>
      <c r="DX244" s="28" t="str">
        <f aca="false">BS244</f>
        <v/>
      </c>
      <c r="DY244" s="28" t="n">
        <f aca="false">IF(ISNUMBER(S244),1,"")</f>
        <v>1</v>
      </c>
      <c r="DZ244" s="28" t="str">
        <f aca="false">IF(ISNUMBER(W244),2,"")</f>
        <v/>
      </c>
      <c r="EA244" s="28" t="str">
        <f aca="false">IF(ISNUMBER(AA244),3,"")</f>
        <v/>
      </c>
      <c r="EB244" s="28" t="str">
        <f aca="false">IF(ISNUMBER(AE244),4,"")</f>
        <v/>
      </c>
      <c r="EC244" s="28" t="str">
        <f aca="false">IF(ISNUMBER(AI244),5,"")</f>
        <v/>
      </c>
      <c r="ED244" s="28" t="str">
        <f aca="false">IF(ISNUMBER(AM244),6,"")</f>
        <v/>
      </c>
      <c r="EE244" s="28" t="str">
        <f aca="false">IF(ISNUMBER(AQ244),7,"")</f>
        <v/>
      </c>
      <c r="EF244" s="28" t="str">
        <f aca="false">IF(ISNUMBER(AU244),8,"")</f>
        <v/>
      </c>
      <c r="EG244" s="28" t="str">
        <f aca="false">IF(ISNUMBER(AY244),9,"")</f>
        <v/>
      </c>
      <c r="EH244" s="28" t="str">
        <f aca="false">IF(ISNUMBER(BC244),10,"")</f>
        <v/>
      </c>
      <c r="EI244" s="28" t="str">
        <f aca="false">IF(ISNUMBER(BG244),11,"")</f>
        <v/>
      </c>
      <c r="EJ244" s="28" t="str">
        <f aca="false">IF(ISNUMBER(BK244),12,"")</f>
        <v/>
      </c>
      <c r="EK244" s="28" t="str">
        <f aca="false">IF(ISNUMBER(BO244),13,"")</f>
        <v/>
      </c>
      <c r="EL244" s="28" t="str">
        <f aca="false">IF(ISNUMBER(BS244),14,"")</f>
        <v/>
      </c>
      <c r="EM244" s="28" t="n">
        <f aca="false">IF(ISNUMBER(R244),R244*CW244,0)</f>
        <v>84</v>
      </c>
      <c r="EN244" s="28" t="n">
        <f aca="false">IF(ISNUMBER(V244),V244*CX244,0)</f>
        <v>0</v>
      </c>
      <c r="EO244" s="28" t="n">
        <f aca="false">IF(ISNUMBER(Z244),Z244*CY244,0)</f>
        <v>0</v>
      </c>
      <c r="EP244" s="28" t="n">
        <f aca="false">IF(ISNUMBER(AD244),AD244*CZ244,0)</f>
        <v>0</v>
      </c>
      <c r="EQ244" s="28" t="n">
        <f aca="false">IF(ISNUMBER(AH244),AH244*DA244,0)</f>
        <v>0</v>
      </c>
      <c r="ER244" s="28" t="n">
        <f aca="false">IF(ISNUMBER(AL244),AL244*DB244,0)</f>
        <v>0</v>
      </c>
      <c r="ES244" s="28" t="n">
        <f aca="false">IF(ISNUMBER(AP244),AP244*DC244,0)</f>
        <v>0</v>
      </c>
      <c r="ET244" s="28" t="n">
        <f aca="false">IF(ISNUMBER(AT244),AT244*DD244,0)</f>
        <v>0</v>
      </c>
      <c r="EU244" s="28" t="n">
        <f aca="false">IF(ISNUMBER(AX244),AX244*DE244,0)</f>
        <v>0</v>
      </c>
      <c r="EV244" s="28" t="n">
        <f aca="false">IF(ISNUMBER(BB244),BB244*DF244,0)</f>
        <v>0</v>
      </c>
      <c r="EW244" s="28" t="n">
        <f aca="false">IF(ISNUMBER(BF244),BF244*DG244,0)</f>
        <v>0</v>
      </c>
      <c r="EX244" s="28" t="n">
        <f aca="false">IF(ISNUMBER(BJ244),BJ244*DH244,0)</f>
        <v>0</v>
      </c>
      <c r="EY244" s="28" t="n">
        <f aca="false">IF(ISNUMBER(BN244),BN244*DI244,0)</f>
        <v>0</v>
      </c>
      <c r="EZ244" s="28" t="n">
        <f aca="false">IF(ISNUMBER(BR244),BR244*DJ244,0)</f>
        <v>0</v>
      </c>
      <c r="FA244" s="28" t="n">
        <f aca="false">IF(ISNUMBER(R244),CW244,0)</f>
        <v>1</v>
      </c>
      <c r="FB244" s="28" t="n">
        <f aca="false">IF(ISNUMBER(V244),CX244,0)</f>
        <v>0</v>
      </c>
      <c r="FC244" s="28" t="n">
        <f aca="false">IF(ISNUMBER(Z244),CY244,0)</f>
        <v>0</v>
      </c>
      <c r="FD244" s="28" t="n">
        <f aca="false">IF(ISNUMBER(AD244),CZ244,0)</f>
        <v>0</v>
      </c>
      <c r="FE244" s="28" t="n">
        <f aca="false">IF(ISNUMBER(AH244),DA244,0)</f>
        <v>0</v>
      </c>
      <c r="FF244" s="28" t="n">
        <f aca="false">IF(ISNUMBER(AL244),DB244,0)</f>
        <v>0</v>
      </c>
      <c r="FG244" s="28" t="n">
        <f aca="false">IF(ISNUMBER(AP244),DC244,0)</f>
        <v>0</v>
      </c>
      <c r="FH244" s="28" t="n">
        <f aca="false">IF(ISNUMBER(AT244),DD244,0)</f>
        <v>0</v>
      </c>
      <c r="FI244" s="28" t="n">
        <f aca="false">IF(ISNUMBER(AX244),DE244,0)</f>
        <v>0</v>
      </c>
      <c r="FJ244" s="28" t="n">
        <f aca="false">IF(ISNUMBER(BB244),DF244,0)</f>
        <v>0</v>
      </c>
      <c r="FK244" s="28" t="n">
        <f aca="false">IF(ISNUMBER(BF244),DG244,0)</f>
        <v>0</v>
      </c>
      <c r="FL244" s="28" t="n">
        <f aca="false">IF(ISNUMBER(BJ244),DH244,0)</f>
        <v>0</v>
      </c>
      <c r="FM244" s="28" t="n">
        <f aca="false">IF(ISNUMBER(BN244),DI244,0)</f>
        <v>0</v>
      </c>
      <c r="FN244" s="28" t="n">
        <f aca="false">IF(ISNUMBER(BR244),DJ244,0)</f>
        <v>0</v>
      </c>
      <c r="FO244" s="28" t="str">
        <f aca="false">IFERROR(INDEX(Lists!$G$2:$G$20,MATCH($I244&amp;"|"&amp;$J244,Lists!$F$2:$F$20,0)),"")</f>
        <v>Econ Exam</v>
      </c>
    </row>
    <row r="245" customFormat="false" ht="19.5" hidden="false" customHeight="true" outlineLevel="0" collapsed="false">
      <c r="A245" s="29" t="s">
        <v>508</v>
      </c>
      <c r="B245" s="29" t="s">
        <v>509</v>
      </c>
      <c r="C245" s="30" t="s">
        <v>152</v>
      </c>
      <c r="D245" s="30" t="s">
        <v>291</v>
      </c>
      <c r="E245" s="31"/>
      <c r="F245" s="30"/>
      <c r="G245" s="30"/>
      <c r="H245" s="32" t="s">
        <v>428</v>
      </c>
      <c r="I245" s="33" t="s">
        <v>229</v>
      </c>
      <c r="J245" s="32" t="s">
        <v>25</v>
      </c>
      <c r="K245" s="34" t="str">
        <f aca="false">IF(OR(M245="",$E245=""),"",M245-$E245)</f>
        <v/>
      </c>
      <c r="L245" s="35" t="n">
        <f aca="false">IF(SUM(FA245:FN245)=0,"",SUM(EM245:EZ245)/SUM(FA245:FN245))</f>
        <v>76</v>
      </c>
      <c r="M245" s="36" t="n">
        <f aca="false">IF(OR(L245="",FO245=""),"",IFERROR(MATCH(L245,INDEX(Boundaries!$B$2:$I$30,MATCH(FO245,Boundaries!$A$2:$A$30,0),0),1)-1,""))</f>
        <v>6</v>
      </c>
      <c r="N245" s="37" t="str">
        <f aca="false">IF(COUNT($DY245:$EL245)&lt;2,"",INDEX($DK245:$DX245,MAX($DY245:$EL245))-INDEX($DK245:$DX245,MIN($DY245:$EL245)))</f>
        <v/>
      </c>
      <c r="O245" s="37" t="str">
        <f aca="false">IF(COUNT($DY245:$EL245)&lt;2,"",INDEX($DK245:$DX245,MAX($DY245:$EL245))-INDEX($DK245:$DX245,LARGE($DY245:$EL245,2)))</f>
        <v/>
      </c>
      <c r="P245" s="38" t="str">
        <f aca="false">IF(K245="","",IF(K245&gt;=0,"On/above target",IF(AND(N245&lt;&gt;"",N245&gt;=0.5),"Improving towards target",IF(AND(O245&lt;&gt;"",O245&lt;=-0.5),"Declining","Stable below target"))))</f>
        <v/>
      </c>
      <c r="Q245" s="39" t="n">
        <v>19</v>
      </c>
      <c r="R245" s="40" t="n">
        <f aca="false">IF(OR(Q245="",BU245=""),"",Q245/BU245*100)</f>
        <v>76</v>
      </c>
      <c r="S245" s="41" t="n">
        <f aca="false">IF(R245="","",IFERROR(MATCH(R245,INDEX(Boundaries!$B$2:$I$30,MATCH(CI245,Boundaries!$A$2:$A$30,0),0),1)-1,""))</f>
        <v>6</v>
      </c>
      <c r="T245" s="42" t="str">
        <f aca="false">IF(OR(S245="",$E245=""),"",S245-$E245)</f>
        <v/>
      </c>
      <c r="U245" s="39"/>
      <c r="V245" s="40" t="str">
        <f aca="false">IF(OR(U245="",BV245=""),"",U245/BV245*100)</f>
        <v/>
      </c>
      <c r="W245" s="41" t="str">
        <f aca="false">IF(V245="","",IFERROR(MATCH(V245,INDEX(Boundaries!$B$2:$I$30,MATCH(CJ245,Boundaries!$A$2:$A$30,0),0),1)-1,""))</f>
        <v/>
      </c>
      <c r="X245" s="42" t="str">
        <f aca="false">IF(OR(W245="",$E245=""),"",W245-$E245)</f>
        <v/>
      </c>
      <c r="Y245" s="39"/>
      <c r="Z245" s="40" t="str">
        <f aca="false">IF(OR(Y245="",BW245=""),"",Y245/BW245*100)</f>
        <v/>
      </c>
      <c r="AA245" s="41" t="str">
        <f aca="false">IF(Z245="","",IFERROR(MATCH(Z245,INDEX(Boundaries!$B$2:$I$30,MATCH(CK245,Boundaries!$A$2:$A$30,0),0),1)-1,""))</f>
        <v/>
      </c>
      <c r="AB245" s="42" t="str">
        <f aca="false">IF(OR(AA245="",$E245=""),"",AA245-$E245)</f>
        <v/>
      </c>
      <c r="AC245" s="39"/>
      <c r="AD245" s="40" t="str">
        <f aca="false">IF(OR(AC245="",BX245=""),"",AC245/BX245*100)</f>
        <v/>
      </c>
      <c r="AE245" s="41" t="str">
        <f aca="false">IF(AD245="","",IFERROR(MATCH(AD245,INDEX(Boundaries!$B$2:$I$30,MATCH(CL245,Boundaries!$A$2:$A$30,0),0),1)-1,""))</f>
        <v/>
      </c>
      <c r="AF245" s="42" t="str">
        <f aca="false">IF(OR(AE245="",$E245=""),"",AE245-$E245)</f>
        <v/>
      </c>
      <c r="AG245" s="39"/>
      <c r="AH245" s="40" t="str">
        <f aca="false">IF(OR(AG245="",BY245=""),"",AG245/BY245*100)</f>
        <v/>
      </c>
      <c r="AI245" s="41" t="str">
        <f aca="false">IF(AH245="","",IFERROR(MATCH(AH245,INDEX(Boundaries!$B$2:$I$30,MATCH(CM245,Boundaries!$A$2:$A$30,0),0),1)-1,""))</f>
        <v/>
      </c>
      <c r="AJ245" s="42" t="str">
        <f aca="false">IF(OR(AI245="",$E245=""),"",AI245-$E245)</f>
        <v/>
      </c>
      <c r="AK245" s="39"/>
      <c r="AL245" s="40" t="str">
        <f aca="false">IF(OR(AK245="",BZ245=""),"",AK245/BZ245*100)</f>
        <v/>
      </c>
      <c r="AM245" s="41" t="str">
        <f aca="false">IF(AL245="","",IFERROR(MATCH(AL245,INDEX(Boundaries!$B$2:$I$30,MATCH(CN245,Boundaries!$A$2:$A$30,0),0),1)-1,""))</f>
        <v/>
      </c>
      <c r="AN245" s="42" t="str">
        <f aca="false">IF(OR(AM245="",$E245=""),"",AM245-$E245)</f>
        <v/>
      </c>
      <c r="AO245" s="39"/>
      <c r="AP245" s="40" t="str">
        <f aca="false">IF(OR(AO245="",CA245=""),"",AO245/CA245*100)</f>
        <v/>
      </c>
      <c r="AQ245" s="41" t="str">
        <f aca="false">IF(AP245="","",IFERROR(MATCH(AP245,INDEX(Boundaries!$B$2:$I$30,MATCH(CO245,Boundaries!$A$2:$A$30,0),0),1)-1,""))</f>
        <v/>
      </c>
      <c r="AR245" s="42" t="str">
        <f aca="false">IF(OR(AQ245="",$E245=""),"",AQ245-$E245)</f>
        <v/>
      </c>
      <c r="AS245" s="39"/>
      <c r="AT245" s="40" t="str">
        <f aca="false">IF(OR(AS245="",CB245=""),"",AS245/CB245*100)</f>
        <v/>
      </c>
      <c r="AU245" s="41" t="str">
        <f aca="false">IF(AT245="","",IFERROR(MATCH(AT245,INDEX(Boundaries!$B$2:$I$30,MATCH(CP245,Boundaries!$A$2:$A$30,0),0),1)-1,""))</f>
        <v/>
      </c>
      <c r="AV245" s="42" t="str">
        <f aca="false">IF(OR(AU245="",$E245=""),"",AU245-$E245)</f>
        <v/>
      </c>
      <c r="AW245" s="39"/>
      <c r="AX245" s="40" t="str">
        <f aca="false">IF(OR(AW245="",CC245=""),"",AW245/CC245*100)</f>
        <v/>
      </c>
      <c r="AY245" s="41" t="str">
        <f aca="false">IF(AX245="","",IFERROR(MATCH(AX245,INDEX(Boundaries!$B$2:$I$30,MATCH(CQ245,Boundaries!$A$2:$A$30,0),0),1)-1,""))</f>
        <v/>
      </c>
      <c r="AZ245" s="42" t="str">
        <f aca="false">IF(OR(AY245="",$E245=""),"",AY245-$E245)</f>
        <v/>
      </c>
      <c r="BA245" s="39"/>
      <c r="BB245" s="40" t="str">
        <f aca="false">IF(OR(BA245="",CD245=""),"",BA245/CD245*100)</f>
        <v/>
      </c>
      <c r="BC245" s="41" t="str">
        <f aca="false">IF(BB245="","",IFERROR(MATCH(BB245,INDEX(Boundaries!$B$2:$I$30,MATCH(CR245,Boundaries!$A$2:$A$30,0),0),1)-1,""))</f>
        <v/>
      </c>
      <c r="BD245" s="42" t="str">
        <f aca="false">IF(OR(BC245="",$E245=""),"",BC245-$E245)</f>
        <v/>
      </c>
      <c r="BE245" s="39"/>
      <c r="BF245" s="40" t="str">
        <f aca="false">IF(OR(BE245="",CE245=""),"",BE245/CE245*100)</f>
        <v/>
      </c>
      <c r="BG245" s="41" t="str">
        <f aca="false">IF(BF245="","",IFERROR(MATCH(BF245,INDEX(Boundaries!$B$2:$I$30,MATCH(CS245,Boundaries!$A$2:$A$30,0),0),1)-1,""))</f>
        <v/>
      </c>
      <c r="BH245" s="42" t="str">
        <f aca="false">IF(OR(BG245="",$E245=""),"",BG245-$E245)</f>
        <v/>
      </c>
      <c r="BI245" s="39"/>
      <c r="BJ245" s="40" t="str">
        <f aca="false">IF(OR(BI245="",CF245=""),"",BI245/CF245*100)</f>
        <v/>
      </c>
      <c r="BK245" s="41" t="str">
        <f aca="false">IF(BJ245="","",IFERROR(MATCH(BJ245,INDEX(Boundaries!$B$2:$I$30,MATCH(CT245,Boundaries!$A$2:$A$30,0),0),1)-1,""))</f>
        <v/>
      </c>
      <c r="BL245" s="42" t="str">
        <f aca="false">IF(OR(BK245="",$E245=""),"",BK245-$E245)</f>
        <v/>
      </c>
      <c r="BM245" s="39"/>
      <c r="BN245" s="40" t="str">
        <f aca="false">IF(OR(BM245="",CG245=""),"",BM245/CG245*100)</f>
        <v/>
      </c>
      <c r="BO245" s="41" t="str">
        <f aca="false">IF(BN245="","",IFERROR(MATCH(BN245,INDEX(Boundaries!$B$2:$I$30,MATCH(CU245,Boundaries!$A$2:$A$30,0),0),1)-1,""))</f>
        <v/>
      </c>
      <c r="BP245" s="42" t="str">
        <f aca="false">IF(OR(BO245="",$E245=""),"",BO245-$E245)</f>
        <v/>
      </c>
      <c r="BQ245" s="39"/>
      <c r="BR245" s="40" t="str">
        <f aca="false">IF(OR(BQ245="",CH245=""),"",BQ245/CH245*100)</f>
        <v/>
      </c>
      <c r="BS245" s="41" t="str">
        <f aca="false">IF(BR245="","",IFERROR(MATCH(BR245,INDEX(Boundaries!$B$2:$I$30,MATCH(CV245,Boundaries!$A$2:$A$30,0),0),1)-1,""))</f>
        <v/>
      </c>
      <c r="BT245" s="42" t="str">
        <f aca="false">IF(OR(BS245="",$E245=""),"",BS245-$E245)</f>
        <v/>
      </c>
      <c r="BU245" s="28" t="n">
        <f aca="false">IFERROR(INDEX(Assessments!$H$2:$H$600,MATCH($H245&amp;"|"&amp;$I245&amp;"|"&amp;$J245&amp;"|"&amp;1,Assessments!$A$2:$A$600,0)),"")</f>
        <v>25</v>
      </c>
      <c r="BV245" s="28" t="n">
        <f aca="false">IFERROR(INDEX(Assessments!$H$2:$H$600,MATCH($H245&amp;"|"&amp;$I245&amp;"|"&amp;$J245&amp;"|"&amp;2,Assessments!$A$2:$A$600,0)),"")</f>
        <v>24</v>
      </c>
      <c r="BW245" s="28" t="n">
        <f aca="false">IFERROR(INDEX(Assessments!$H$2:$H$600,MATCH($H245&amp;"|"&amp;$I245&amp;"|"&amp;$J245&amp;"|"&amp;3,Assessments!$A$2:$A$600,0)),"")</f>
        <v>25</v>
      </c>
      <c r="BX245" s="28" t="n">
        <f aca="false">IFERROR(INDEX(Assessments!$H$2:$H$600,MATCH($H245&amp;"|"&amp;$I245&amp;"|"&amp;$J245&amp;"|"&amp;4,Assessments!$A$2:$A$600,0)),"")</f>
        <v>35</v>
      </c>
      <c r="BY245" s="28" t="n">
        <f aca="false">IFERROR(INDEX(Assessments!$H$2:$H$600,MATCH($H245&amp;"|"&amp;$I245&amp;"|"&amp;$J245&amp;"|"&amp;5,Assessments!$A$2:$A$600,0)),"")</f>
        <v>55</v>
      </c>
      <c r="BZ245" s="28" t="n">
        <f aca="false">IFERROR(INDEX(Assessments!$H$2:$H$600,MATCH($H245&amp;"|"&amp;$I245&amp;"|"&amp;$J245&amp;"|"&amp;6,Assessments!$A$2:$A$600,0)),"")</f>
        <v>28</v>
      </c>
      <c r="CA245" s="28" t="n">
        <f aca="false">IFERROR(INDEX(Assessments!$H$2:$H$600,MATCH($H245&amp;"|"&amp;$I245&amp;"|"&amp;$J245&amp;"|"&amp;7,Assessments!$A$2:$A$600,0)),"")</f>
        <v>95</v>
      </c>
      <c r="CB245" s="28" t="str">
        <f aca="false">IFERROR(INDEX(Assessments!$H$2:$H$600,MATCH($H245&amp;"|"&amp;$I245&amp;"|"&amp;$J245&amp;"|"&amp;8,Assessments!$A$2:$A$600,0)),"")</f>
        <v/>
      </c>
      <c r="CC245" s="28" t="str">
        <f aca="false">IFERROR(INDEX(Assessments!$H$2:$H$600,MATCH($H245&amp;"|"&amp;$I245&amp;"|"&amp;$J245&amp;"|"&amp;9,Assessments!$A$2:$A$600,0)),"")</f>
        <v/>
      </c>
      <c r="CD245" s="28" t="str">
        <f aca="false">IFERROR(INDEX(Assessments!$H$2:$H$600,MATCH($H245&amp;"|"&amp;$I245&amp;"|"&amp;$J245&amp;"|"&amp;10,Assessments!$A$2:$A$600,0)),"")</f>
        <v/>
      </c>
      <c r="CE245" s="28" t="str">
        <f aca="false">IFERROR(INDEX(Assessments!$H$2:$H$600,MATCH($H245&amp;"|"&amp;$I245&amp;"|"&amp;$J245&amp;"|"&amp;11,Assessments!$A$2:$A$600,0)),"")</f>
        <v/>
      </c>
      <c r="CF245" s="28" t="str">
        <f aca="false">IFERROR(INDEX(Assessments!$H$2:$H$600,MATCH($H245&amp;"|"&amp;$I245&amp;"|"&amp;$J245&amp;"|"&amp;12,Assessments!$A$2:$A$600,0)),"")</f>
        <v/>
      </c>
      <c r="CG245" s="28" t="str">
        <f aca="false">IFERROR(INDEX(Assessments!$H$2:$H$600,MATCH($H245&amp;"|"&amp;$I245&amp;"|"&amp;$J245&amp;"|"&amp;13,Assessments!$A$2:$A$600,0)),"")</f>
        <v/>
      </c>
      <c r="CH245" s="28" t="str">
        <f aca="false">IFERROR(INDEX(Assessments!$H$2:$H$600,MATCH($H245&amp;"|"&amp;$I245&amp;"|"&amp;$J245&amp;"|"&amp;14,Assessments!$A$2:$A$600,0)),"")</f>
        <v/>
      </c>
      <c r="CI245" s="28" t="str">
        <f aca="false">IFERROR(INDEX(Assessments!$I$2:$I$600,MATCH($H245&amp;"|"&amp;$I245&amp;"|"&amp;$J245&amp;"|"&amp;1,Assessments!$A$2:$A$600,0)),"")</f>
        <v>Econ Test</v>
      </c>
      <c r="CJ245" s="28" t="str">
        <f aca="false">IFERROR(INDEX(Assessments!$I$2:$I$600,MATCH($H245&amp;"|"&amp;$I245&amp;"|"&amp;$J245&amp;"|"&amp;2,Assessments!$A$2:$A$600,0)),"")</f>
        <v>Econ Test</v>
      </c>
      <c r="CK245" s="28" t="str">
        <f aca="false">IFERROR(INDEX(Assessments!$I$2:$I$600,MATCH($H245&amp;"|"&amp;$I245&amp;"|"&amp;$J245&amp;"|"&amp;3,Assessments!$A$2:$A$600,0)),"")</f>
        <v>Econ Test</v>
      </c>
      <c r="CL245" s="28" t="str">
        <f aca="false">IFERROR(INDEX(Assessments!$I$2:$I$600,MATCH($H245&amp;"|"&amp;$I245&amp;"|"&amp;$J245&amp;"|"&amp;4,Assessments!$A$2:$A$600,0)),"")</f>
        <v>Econ Test</v>
      </c>
      <c r="CM245" s="28" t="str">
        <f aca="false">IFERROR(INDEX(Assessments!$I$2:$I$600,MATCH($H245&amp;"|"&amp;$I245&amp;"|"&amp;$J245&amp;"|"&amp;5,Assessments!$A$2:$A$600,0)),"")</f>
        <v>Econ Exam</v>
      </c>
      <c r="CN245" s="28" t="str">
        <f aca="false">IFERROR(INDEX(Assessments!$I$2:$I$600,MATCH($H245&amp;"|"&amp;$I245&amp;"|"&amp;$J245&amp;"|"&amp;6,Assessments!$A$2:$A$600,0)),"")</f>
        <v>Econ Test</v>
      </c>
      <c r="CO245" s="28" t="str">
        <f aca="false">IFERROR(INDEX(Assessments!$I$2:$I$600,MATCH($H245&amp;"|"&amp;$I245&amp;"|"&amp;$J245&amp;"|"&amp;7,Assessments!$A$2:$A$600,0)),"")</f>
        <v>Econ Exam</v>
      </c>
      <c r="CP245" s="28" t="str">
        <f aca="false">IFERROR(INDEX(Assessments!$I$2:$I$600,MATCH($H245&amp;"|"&amp;$I245&amp;"|"&amp;$J245&amp;"|"&amp;8,Assessments!$A$2:$A$600,0)),"")</f>
        <v/>
      </c>
      <c r="CQ245" s="28" t="str">
        <f aca="false">IFERROR(INDEX(Assessments!$I$2:$I$600,MATCH($H245&amp;"|"&amp;$I245&amp;"|"&amp;$J245&amp;"|"&amp;9,Assessments!$A$2:$A$600,0)),"")</f>
        <v/>
      </c>
      <c r="CR245" s="28" t="str">
        <f aca="false">IFERROR(INDEX(Assessments!$I$2:$I$600,MATCH($H245&amp;"|"&amp;$I245&amp;"|"&amp;$J245&amp;"|"&amp;10,Assessments!$A$2:$A$600,0)),"")</f>
        <v/>
      </c>
      <c r="CS245" s="28" t="str">
        <f aca="false">IFERROR(INDEX(Assessments!$I$2:$I$600,MATCH($H245&amp;"|"&amp;$I245&amp;"|"&amp;$J245&amp;"|"&amp;11,Assessments!$A$2:$A$600,0)),"")</f>
        <v/>
      </c>
      <c r="CT245" s="28" t="str">
        <f aca="false">IFERROR(INDEX(Assessments!$I$2:$I$600,MATCH($H245&amp;"|"&amp;$I245&amp;"|"&amp;$J245&amp;"|"&amp;12,Assessments!$A$2:$A$600,0)),"")</f>
        <v/>
      </c>
      <c r="CU245" s="28" t="str">
        <f aca="false">IFERROR(INDEX(Assessments!$I$2:$I$600,MATCH($H245&amp;"|"&amp;$I245&amp;"|"&amp;$J245&amp;"|"&amp;13,Assessments!$A$2:$A$600,0)),"")</f>
        <v/>
      </c>
      <c r="CV245" s="28" t="str">
        <f aca="false">IFERROR(INDEX(Assessments!$I$2:$I$600,MATCH($H245&amp;"|"&amp;$I245&amp;"|"&amp;$J245&amp;"|"&amp;14,Assessments!$A$2:$A$600,0)),"")</f>
        <v/>
      </c>
      <c r="CW245" s="28" t="n">
        <f aca="false">IFERROR(INDEX(Assessments!$J$2:$J$600,MATCH($H245&amp;"|"&amp;$I245&amp;"|"&amp;$J245&amp;"|"&amp;1,Assessments!$A$2:$A$600,0)),0)</f>
        <v>1</v>
      </c>
      <c r="CX245" s="28" t="n">
        <f aca="false">IFERROR(INDEX(Assessments!$J$2:$J$600,MATCH($H245&amp;"|"&amp;$I245&amp;"|"&amp;$J245&amp;"|"&amp;2,Assessments!$A$2:$A$600,0)),0)</f>
        <v>1</v>
      </c>
      <c r="CY245" s="28" t="n">
        <f aca="false">IFERROR(INDEX(Assessments!$J$2:$J$600,MATCH($H245&amp;"|"&amp;$I245&amp;"|"&amp;$J245&amp;"|"&amp;3,Assessments!$A$2:$A$600,0)),0)</f>
        <v>1</v>
      </c>
      <c r="CZ245" s="28" t="n">
        <f aca="false">IFERROR(INDEX(Assessments!$J$2:$J$600,MATCH($H245&amp;"|"&amp;$I245&amp;"|"&amp;$J245&amp;"|"&amp;4,Assessments!$A$2:$A$600,0)),0)</f>
        <v>1</v>
      </c>
      <c r="DA245" s="28" t="n">
        <f aca="false">IFERROR(INDEX(Assessments!$J$2:$J$600,MATCH($H245&amp;"|"&amp;$I245&amp;"|"&amp;$J245&amp;"|"&amp;5,Assessments!$A$2:$A$600,0)),0)</f>
        <v>2</v>
      </c>
      <c r="DB245" s="28" t="n">
        <f aca="false">IFERROR(INDEX(Assessments!$J$2:$J$600,MATCH($H245&amp;"|"&amp;$I245&amp;"|"&amp;$J245&amp;"|"&amp;6,Assessments!$A$2:$A$600,0)),0)</f>
        <v>1</v>
      </c>
      <c r="DC245" s="28" t="n">
        <f aca="false">IFERROR(INDEX(Assessments!$J$2:$J$600,MATCH($H245&amp;"|"&amp;$I245&amp;"|"&amp;$J245&amp;"|"&amp;7,Assessments!$A$2:$A$600,0)),0)</f>
        <v>2</v>
      </c>
      <c r="DD245" s="28" t="n">
        <f aca="false">IFERROR(INDEX(Assessments!$J$2:$J$600,MATCH($H245&amp;"|"&amp;$I245&amp;"|"&amp;$J245&amp;"|"&amp;8,Assessments!$A$2:$A$600,0)),0)</f>
        <v>0</v>
      </c>
      <c r="DE245" s="28" t="n">
        <f aca="false">IFERROR(INDEX(Assessments!$J$2:$J$600,MATCH($H245&amp;"|"&amp;$I245&amp;"|"&amp;$J245&amp;"|"&amp;9,Assessments!$A$2:$A$600,0)),0)</f>
        <v>0</v>
      </c>
      <c r="DF245" s="28" t="n">
        <f aca="false">IFERROR(INDEX(Assessments!$J$2:$J$600,MATCH($H245&amp;"|"&amp;$I245&amp;"|"&amp;$J245&amp;"|"&amp;10,Assessments!$A$2:$A$600,0)),0)</f>
        <v>0</v>
      </c>
      <c r="DG245" s="28" t="n">
        <f aca="false">IFERROR(INDEX(Assessments!$J$2:$J$600,MATCH($H245&amp;"|"&amp;$I245&amp;"|"&amp;$J245&amp;"|"&amp;11,Assessments!$A$2:$A$600,0)),0)</f>
        <v>0</v>
      </c>
      <c r="DH245" s="28" t="n">
        <f aca="false">IFERROR(INDEX(Assessments!$J$2:$J$600,MATCH($H245&amp;"|"&amp;$I245&amp;"|"&amp;$J245&amp;"|"&amp;12,Assessments!$A$2:$A$600,0)),0)</f>
        <v>0</v>
      </c>
      <c r="DI245" s="28" t="n">
        <f aca="false">IFERROR(INDEX(Assessments!$J$2:$J$600,MATCH($H245&amp;"|"&amp;$I245&amp;"|"&amp;$J245&amp;"|"&amp;13,Assessments!$A$2:$A$600,0)),0)</f>
        <v>0</v>
      </c>
      <c r="DJ245" s="28" t="n">
        <f aca="false">IFERROR(INDEX(Assessments!$J$2:$J$600,MATCH($H245&amp;"|"&amp;$I245&amp;"|"&amp;$J245&amp;"|"&amp;14,Assessments!$A$2:$A$600,0)),0)</f>
        <v>0</v>
      </c>
      <c r="DK245" s="28" t="n">
        <f aca="false">S245</f>
        <v>6</v>
      </c>
      <c r="DL245" s="28" t="str">
        <f aca="false">W245</f>
        <v/>
      </c>
      <c r="DM245" s="28" t="str">
        <f aca="false">AA245</f>
        <v/>
      </c>
      <c r="DN245" s="28" t="str">
        <f aca="false">AE245</f>
        <v/>
      </c>
      <c r="DO245" s="28" t="str">
        <f aca="false">AI245</f>
        <v/>
      </c>
      <c r="DP245" s="28" t="str">
        <f aca="false">AM245</f>
        <v/>
      </c>
      <c r="DQ245" s="28" t="str">
        <f aca="false">AQ245</f>
        <v/>
      </c>
      <c r="DR245" s="28" t="str">
        <f aca="false">AU245</f>
        <v/>
      </c>
      <c r="DS245" s="28" t="str">
        <f aca="false">AY245</f>
        <v/>
      </c>
      <c r="DT245" s="28" t="str">
        <f aca="false">BC245</f>
        <v/>
      </c>
      <c r="DU245" s="28" t="str">
        <f aca="false">BG245</f>
        <v/>
      </c>
      <c r="DV245" s="28" t="str">
        <f aca="false">BK245</f>
        <v/>
      </c>
      <c r="DW245" s="28" t="str">
        <f aca="false">BO245</f>
        <v/>
      </c>
      <c r="DX245" s="28" t="str">
        <f aca="false">BS245</f>
        <v/>
      </c>
      <c r="DY245" s="28" t="n">
        <f aca="false">IF(ISNUMBER(S245),1,"")</f>
        <v>1</v>
      </c>
      <c r="DZ245" s="28" t="str">
        <f aca="false">IF(ISNUMBER(W245),2,"")</f>
        <v/>
      </c>
      <c r="EA245" s="28" t="str">
        <f aca="false">IF(ISNUMBER(AA245),3,"")</f>
        <v/>
      </c>
      <c r="EB245" s="28" t="str">
        <f aca="false">IF(ISNUMBER(AE245),4,"")</f>
        <v/>
      </c>
      <c r="EC245" s="28" t="str">
        <f aca="false">IF(ISNUMBER(AI245),5,"")</f>
        <v/>
      </c>
      <c r="ED245" s="28" t="str">
        <f aca="false">IF(ISNUMBER(AM245),6,"")</f>
        <v/>
      </c>
      <c r="EE245" s="28" t="str">
        <f aca="false">IF(ISNUMBER(AQ245),7,"")</f>
        <v/>
      </c>
      <c r="EF245" s="28" t="str">
        <f aca="false">IF(ISNUMBER(AU245),8,"")</f>
        <v/>
      </c>
      <c r="EG245" s="28" t="str">
        <f aca="false">IF(ISNUMBER(AY245),9,"")</f>
        <v/>
      </c>
      <c r="EH245" s="28" t="str">
        <f aca="false">IF(ISNUMBER(BC245),10,"")</f>
        <v/>
      </c>
      <c r="EI245" s="28" t="str">
        <f aca="false">IF(ISNUMBER(BG245),11,"")</f>
        <v/>
      </c>
      <c r="EJ245" s="28" t="str">
        <f aca="false">IF(ISNUMBER(BK245),12,"")</f>
        <v/>
      </c>
      <c r="EK245" s="28" t="str">
        <f aca="false">IF(ISNUMBER(BO245),13,"")</f>
        <v/>
      </c>
      <c r="EL245" s="28" t="str">
        <f aca="false">IF(ISNUMBER(BS245),14,"")</f>
        <v/>
      </c>
      <c r="EM245" s="28" t="n">
        <f aca="false">IF(ISNUMBER(R245),R245*CW245,0)</f>
        <v>76</v>
      </c>
      <c r="EN245" s="28" t="n">
        <f aca="false">IF(ISNUMBER(V245),V245*CX245,0)</f>
        <v>0</v>
      </c>
      <c r="EO245" s="28" t="n">
        <f aca="false">IF(ISNUMBER(Z245),Z245*CY245,0)</f>
        <v>0</v>
      </c>
      <c r="EP245" s="28" t="n">
        <f aca="false">IF(ISNUMBER(AD245),AD245*CZ245,0)</f>
        <v>0</v>
      </c>
      <c r="EQ245" s="28" t="n">
        <f aca="false">IF(ISNUMBER(AH245),AH245*DA245,0)</f>
        <v>0</v>
      </c>
      <c r="ER245" s="28" t="n">
        <f aca="false">IF(ISNUMBER(AL245),AL245*DB245,0)</f>
        <v>0</v>
      </c>
      <c r="ES245" s="28" t="n">
        <f aca="false">IF(ISNUMBER(AP245),AP245*DC245,0)</f>
        <v>0</v>
      </c>
      <c r="ET245" s="28" t="n">
        <f aca="false">IF(ISNUMBER(AT245),AT245*DD245,0)</f>
        <v>0</v>
      </c>
      <c r="EU245" s="28" t="n">
        <f aca="false">IF(ISNUMBER(AX245),AX245*DE245,0)</f>
        <v>0</v>
      </c>
      <c r="EV245" s="28" t="n">
        <f aca="false">IF(ISNUMBER(BB245),BB245*DF245,0)</f>
        <v>0</v>
      </c>
      <c r="EW245" s="28" t="n">
        <f aca="false">IF(ISNUMBER(BF245),BF245*DG245,0)</f>
        <v>0</v>
      </c>
      <c r="EX245" s="28" t="n">
        <f aca="false">IF(ISNUMBER(BJ245),BJ245*DH245,0)</f>
        <v>0</v>
      </c>
      <c r="EY245" s="28" t="n">
        <f aca="false">IF(ISNUMBER(BN245),BN245*DI245,0)</f>
        <v>0</v>
      </c>
      <c r="EZ245" s="28" t="n">
        <f aca="false">IF(ISNUMBER(BR245),BR245*DJ245,0)</f>
        <v>0</v>
      </c>
      <c r="FA245" s="28" t="n">
        <f aca="false">IF(ISNUMBER(R245),CW245,0)</f>
        <v>1</v>
      </c>
      <c r="FB245" s="28" t="n">
        <f aca="false">IF(ISNUMBER(V245),CX245,0)</f>
        <v>0</v>
      </c>
      <c r="FC245" s="28" t="n">
        <f aca="false">IF(ISNUMBER(Z245),CY245,0)</f>
        <v>0</v>
      </c>
      <c r="FD245" s="28" t="n">
        <f aca="false">IF(ISNUMBER(AD245),CZ245,0)</f>
        <v>0</v>
      </c>
      <c r="FE245" s="28" t="n">
        <f aca="false">IF(ISNUMBER(AH245),DA245,0)</f>
        <v>0</v>
      </c>
      <c r="FF245" s="28" t="n">
        <f aca="false">IF(ISNUMBER(AL245),DB245,0)</f>
        <v>0</v>
      </c>
      <c r="FG245" s="28" t="n">
        <f aca="false">IF(ISNUMBER(AP245),DC245,0)</f>
        <v>0</v>
      </c>
      <c r="FH245" s="28" t="n">
        <f aca="false">IF(ISNUMBER(AT245),DD245,0)</f>
        <v>0</v>
      </c>
      <c r="FI245" s="28" t="n">
        <f aca="false">IF(ISNUMBER(AX245),DE245,0)</f>
        <v>0</v>
      </c>
      <c r="FJ245" s="28" t="n">
        <f aca="false">IF(ISNUMBER(BB245),DF245,0)</f>
        <v>0</v>
      </c>
      <c r="FK245" s="28" t="n">
        <f aca="false">IF(ISNUMBER(BF245),DG245,0)</f>
        <v>0</v>
      </c>
      <c r="FL245" s="28" t="n">
        <f aca="false">IF(ISNUMBER(BJ245),DH245,0)</f>
        <v>0</v>
      </c>
      <c r="FM245" s="28" t="n">
        <f aca="false">IF(ISNUMBER(BN245),DI245,0)</f>
        <v>0</v>
      </c>
      <c r="FN245" s="28" t="n">
        <f aca="false">IF(ISNUMBER(BR245),DJ245,0)</f>
        <v>0</v>
      </c>
      <c r="FO245" s="28" t="str">
        <f aca="false">IFERROR(INDEX(Lists!$G$2:$G$20,MATCH($I245&amp;"|"&amp;$J245,Lists!$F$2:$F$20,0)),"")</f>
        <v>Econ Exam</v>
      </c>
    </row>
    <row r="246" customFormat="false" ht="19.5" hidden="false" customHeight="true" outlineLevel="0" collapsed="false">
      <c r="A246" s="29" t="s">
        <v>510</v>
      </c>
      <c r="B246" s="29" t="s">
        <v>511</v>
      </c>
      <c r="C246" s="30" t="s">
        <v>152</v>
      </c>
      <c r="D246" s="30" t="s">
        <v>291</v>
      </c>
      <c r="E246" s="31"/>
      <c r="F246" s="30"/>
      <c r="G246" s="30"/>
      <c r="H246" s="32" t="s">
        <v>428</v>
      </c>
      <c r="I246" s="33" t="s">
        <v>229</v>
      </c>
      <c r="J246" s="32" t="s">
        <v>25</v>
      </c>
      <c r="K246" s="34" t="str">
        <f aca="false">IF(OR(M246="",$E246=""),"",M246-$E246)</f>
        <v/>
      </c>
      <c r="L246" s="35" t="n">
        <f aca="false">IF(SUM(FA246:FN246)=0,"",SUM(EM246:EZ246)/SUM(FA246:FN246))</f>
        <v>92</v>
      </c>
      <c r="M246" s="36" t="n">
        <f aca="false">IF(OR(L246="",FO246=""),"",IFERROR(MATCH(L246,INDEX(Boundaries!$B$2:$I$30,MATCH(FO246,Boundaries!$A$2:$A$30,0),0),1)-1,""))</f>
        <v>7</v>
      </c>
      <c r="N246" s="37" t="str">
        <f aca="false">IF(COUNT($DY246:$EL246)&lt;2,"",INDEX($DK246:$DX246,MAX($DY246:$EL246))-INDEX($DK246:$DX246,MIN($DY246:$EL246)))</f>
        <v/>
      </c>
      <c r="O246" s="37" t="str">
        <f aca="false">IF(COUNT($DY246:$EL246)&lt;2,"",INDEX($DK246:$DX246,MAX($DY246:$EL246))-INDEX($DK246:$DX246,LARGE($DY246:$EL246,2)))</f>
        <v/>
      </c>
      <c r="P246" s="38" t="str">
        <f aca="false">IF(K246="","",IF(K246&gt;=0,"On/above target",IF(AND(N246&lt;&gt;"",N246&gt;=0.5),"Improving towards target",IF(AND(O246&lt;&gt;"",O246&lt;=-0.5),"Declining","Stable below target"))))</f>
        <v/>
      </c>
      <c r="Q246" s="39" t="n">
        <v>23</v>
      </c>
      <c r="R246" s="40" t="n">
        <f aca="false">IF(OR(Q246="",BU246=""),"",Q246/BU246*100)</f>
        <v>92</v>
      </c>
      <c r="S246" s="41" t="n">
        <f aca="false">IF(R246="","",IFERROR(MATCH(R246,INDEX(Boundaries!$B$2:$I$30,MATCH(CI246,Boundaries!$A$2:$A$30,0),0),1)-1,""))</f>
        <v>7</v>
      </c>
      <c r="T246" s="42" t="str">
        <f aca="false">IF(OR(S246="",$E246=""),"",S246-$E246)</f>
        <v/>
      </c>
      <c r="U246" s="39"/>
      <c r="V246" s="40" t="str">
        <f aca="false">IF(OR(U246="",BV246=""),"",U246/BV246*100)</f>
        <v/>
      </c>
      <c r="W246" s="41" t="str">
        <f aca="false">IF(V246="","",IFERROR(MATCH(V246,INDEX(Boundaries!$B$2:$I$30,MATCH(CJ246,Boundaries!$A$2:$A$30,0),0),1)-1,""))</f>
        <v/>
      </c>
      <c r="X246" s="42" t="str">
        <f aca="false">IF(OR(W246="",$E246=""),"",W246-$E246)</f>
        <v/>
      </c>
      <c r="Y246" s="39"/>
      <c r="Z246" s="40" t="str">
        <f aca="false">IF(OR(Y246="",BW246=""),"",Y246/BW246*100)</f>
        <v/>
      </c>
      <c r="AA246" s="41" t="str">
        <f aca="false">IF(Z246="","",IFERROR(MATCH(Z246,INDEX(Boundaries!$B$2:$I$30,MATCH(CK246,Boundaries!$A$2:$A$30,0),0),1)-1,""))</f>
        <v/>
      </c>
      <c r="AB246" s="42" t="str">
        <f aca="false">IF(OR(AA246="",$E246=""),"",AA246-$E246)</f>
        <v/>
      </c>
      <c r="AC246" s="39"/>
      <c r="AD246" s="40" t="str">
        <f aca="false">IF(OR(AC246="",BX246=""),"",AC246/BX246*100)</f>
        <v/>
      </c>
      <c r="AE246" s="41" t="str">
        <f aca="false">IF(AD246="","",IFERROR(MATCH(AD246,INDEX(Boundaries!$B$2:$I$30,MATCH(CL246,Boundaries!$A$2:$A$30,0),0),1)-1,""))</f>
        <v/>
      </c>
      <c r="AF246" s="42" t="str">
        <f aca="false">IF(OR(AE246="",$E246=""),"",AE246-$E246)</f>
        <v/>
      </c>
      <c r="AG246" s="39"/>
      <c r="AH246" s="40" t="str">
        <f aca="false">IF(OR(AG246="",BY246=""),"",AG246/BY246*100)</f>
        <v/>
      </c>
      <c r="AI246" s="41" t="str">
        <f aca="false">IF(AH246="","",IFERROR(MATCH(AH246,INDEX(Boundaries!$B$2:$I$30,MATCH(CM246,Boundaries!$A$2:$A$30,0),0),1)-1,""))</f>
        <v/>
      </c>
      <c r="AJ246" s="42" t="str">
        <f aca="false">IF(OR(AI246="",$E246=""),"",AI246-$E246)</f>
        <v/>
      </c>
      <c r="AK246" s="39"/>
      <c r="AL246" s="40" t="str">
        <f aca="false">IF(OR(AK246="",BZ246=""),"",AK246/BZ246*100)</f>
        <v/>
      </c>
      <c r="AM246" s="41" t="str">
        <f aca="false">IF(AL246="","",IFERROR(MATCH(AL246,INDEX(Boundaries!$B$2:$I$30,MATCH(CN246,Boundaries!$A$2:$A$30,0),0),1)-1,""))</f>
        <v/>
      </c>
      <c r="AN246" s="42" t="str">
        <f aca="false">IF(OR(AM246="",$E246=""),"",AM246-$E246)</f>
        <v/>
      </c>
      <c r="AO246" s="39"/>
      <c r="AP246" s="40" t="str">
        <f aca="false">IF(OR(AO246="",CA246=""),"",AO246/CA246*100)</f>
        <v/>
      </c>
      <c r="AQ246" s="41" t="str">
        <f aca="false">IF(AP246="","",IFERROR(MATCH(AP246,INDEX(Boundaries!$B$2:$I$30,MATCH(CO246,Boundaries!$A$2:$A$30,0),0),1)-1,""))</f>
        <v/>
      </c>
      <c r="AR246" s="42" t="str">
        <f aca="false">IF(OR(AQ246="",$E246=""),"",AQ246-$E246)</f>
        <v/>
      </c>
      <c r="AS246" s="39"/>
      <c r="AT246" s="40" t="str">
        <f aca="false">IF(OR(AS246="",CB246=""),"",AS246/CB246*100)</f>
        <v/>
      </c>
      <c r="AU246" s="41" t="str">
        <f aca="false">IF(AT246="","",IFERROR(MATCH(AT246,INDEX(Boundaries!$B$2:$I$30,MATCH(CP246,Boundaries!$A$2:$A$30,0),0),1)-1,""))</f>
        <v/>
      </c>
      <c r="AV246" s="42" t="str">
        <f aca="false">IF(OR(AU246="",$E246=""),"",AU246-$E246)</f>
        <v/>
      </c>
      <c r="AW246" s="39"/>
      <c r="AX246" s="40" t="str">
        <f aca="false">IF(OR(AW246="",CC246=""),"",AW246/CC246*100)</f>
        <v/>
      </c>
      <c r="AY246" s="41" t="str">
        <f aca="false">IF(AX246="","",IFERROR(MATCH(AX246,INDEX(Boundaries!$B$2:$I$30,MATCH(CQ246,Boundaries!$A$2:$A$30,0),0),1)-1,""))</f>
        <v/>
      </c>
      <c r="AZ246" s="42" t="str">
        <f aca="false">IF(OR(AY246="",$E246=""),"",AY246-$E246)</f>
        <v/>
      </c>
      <c r="BA246" s="39"/>
      <c r="BB246" s="40" t="str">
        <f aca="false">IF(OR(BA246="",CD246=""),"",BA246/CD246*100)</f>
        <v/>
      </c>
      <c r="BC246" s="41" t="str">
        <f aca="false">IF(BB246="","",IFERROR(MATCH(BB246,INDEX(Boundaries!$B$2:$I$30,MATCH(CR246,Boundaries!$A$2:$A$30,0),0),1)-1,""))</f>
        <v/>
      </c>
      <c r="BD246" s="42" t="str">
        <f aca="false">IF(OR(BC246="",$E246=""),"",BC246-$E246)</f>
        <v/>
      </c>
      <c r="BE246" s="39"/>
      <c r="BF246" s="40" t="str">
        <f aca="false">IF(OR(BE246="",CE246=""),"",BE246/CE246*100)</f>
        <v/>
      </c>
      <c r="BG246" s="41" t="str">
        <f aca="false">IF(BF246="","",IFERROR(MATCH(BF246,INDEX(Boundaries!$B$2:$I$30,MATCH(CS246,Boundaries!$A$2:$A$30,0),0),1)-1,""))</f>
        <v/>
      </c>
      <c r="BH246" s="42" t="str">
        <f aca="false">IF(OR(BG246="",$E246=""),"",BG246-$E246)</f>
        <v/>
      </c>
      <c r="BI246" s="39"/>
      <c r="BJ246" s="40" t="str">
        <f aca="false">IF(OR(BI246="",CF246=""),"",BI246/CF246*100)</f>
        <v/>
      </c>
      <c r="BK246" s="41" t="str">
        <f aca="false">IF(BJ246="","",IFERROR(MATCH(BJ246,INDEX(Boundaries!$B$2:$I$30,MATCH(CT246,Boundaries!$A$2:$A$30,0),0),1)-1,""))</f>
        <v/>
      </c>
      <c r="BL246" s="42" t="str">
        <f aca="false">IF(OR(BK246="",$E246=""),"",BK246-$E246)</f>
        <v/>
      </c>
      <c r="BM246" s="39"/>
      <c r="BN246" s="40" t="str">
        <f aca="false">IF(OR(BM246="",CG246=""),"",BM246/CG246*100)</f>
        <v/>
      </c>
      <c r="BO246" s="41" t="str">
        <f aca="false">IF(BN246="","",IFERROR(MATCH(BN246,INDEX(Boundaries!$B$2:$I$30,MATCH(CU246,Boundaries!$A$2:$A$30,0),0),1)-1,""))</f>
        <v/>
      </c>
      <c r="BP246" s="42" t="str">
        <f aca="false">IF(OR(BO246="",$E246=""),"",BO246-$E246)</f>
        <v/>
      </c>
      <c r="BQ246" s="39"/>
      <c r="BR246" s="40" t="str">
        <f aca="false">IF(OR(BQ246="",CH246=""),"",BQ246/CH246*100)</f>
        <v/>
      </c>
      <c r="BS246" s="41" t="str">
        <f aca="false">IF(BR246="","",IFERROR(MATCH(BR246,INDEX(Boundaries!$B$2:$I$30,MATCH(CV246,Boundaries!$A$2:$A$30,0),0),1)-1,""))</f>
        <v/>
      </c>
      <c r="BT246" s="42" t="str">
        <f aca="false">IF(OR(BS246="",$E246=""),"",BS246-$E246)</f>
        <v/>
      </c>
      <c r="BU246" s="28" t="n">
        <f aca="false">IFERROR(INDEX(Assessments!$H$2:$H$600,MATCH($H246&amp;"|"&amp;$I246&amp;"|"&amp;$J246&amp;"|"&amp;1,Assessments!$A$2:$A$600,0)),"")</f>
        <v>25</v>
      </c>
      <c r="BV246" s="28" t="n">
        <f aca="false">IFERROR(INDEX(Assessments!$H$2:$H$600,MATCH($H246&amp;"|"&amp;$I246&amp;"|"&amp;$J246&amp;"|"&amp;2,Assessments!$A$2:$A$600,0)),"")</f>
        <v>24</v>
      </c>
      <c r="BW246" s="28" t="n">
        <f aca="false">IFERROR(INDEX(Assessments!$H$2:$H$600,MATCH($H246&amp;"|"&amp;$I246&amp;"|"&amp;$J246&amp;"|"&amp;3,Assessments!$A$2:$A$600,0)),"")</f>
        <v>25</v>
      </c>
      <c r="BX246" s="28" t="n">
        <f aca="false">IFERROR(INDEX(Assessments!$H$2:$H$600,MATCH($H246&amp;"|"&amp;$I246&amp;"|"&amp;$J246&amp;"|"&amp;4,Assessments!$A$2:$A$600,0)),"")</f>
        <v>35</v>
      </c>
      <c r="BY246" s="28" t="n">
        <f aca="false">IFERROR(INDEX(Assessments!$H$2:$H$600,MATCH($H246&amp;"|"&amp;$I246&amp;"|"&amp;$J246&amp;"|"&amp;5,Assessments!$A$2:$A$600,0)),"")</f>
        <v>55</v>
      </c>
      <c r="BZ246" s="28" t="n">
        <f aca="false">IFERROR(INDEX(Assessments!$H$2:$H$600,MATCH($H246&amp;"|"&amp;$I246&amp;"|"&amp;$J246&amp;"|"&amp;6,Assessments!$A$2:$A$600,0)),"")</f>
        <v>28</v>
      </c>
      <c r="CA246" s="28" t="n">
        <f aca="false">IFERROR(INDEX(Assessments!$H$2:$H$600,MATCH($H246&amp;"|"&amp;$I246&amp;"|"&amp;$J246&amp;"|"&amp;7,Assessments!$A$2:$A$600,0)),"")</f>
        <v>95</v>
      </c>
      <c r="CB246" s="28" t="str">
        <f aca="false">IFERROR(INDEX(Assessments!$H$2:$H$600,MATCH($H246&amp;"|"&amp;$I246&amp;"|"&amp;$J246&amp;"|"&amp;8,Assessments!$A$2:$A$600,0)),"")</f>
        <v/>
      </c>
      <c r="CC246" s="28" t="str">
        <f aca="false">IFERROR(INDEX(Assessments!$H$2:$H$600,MATCH($H246&amp;"|"&amp;$I246&amp;"|"&amp;$J246&amp;"|"&amp;9,Assessments!$A$2:$A$600,0)),"")</f>
        <v/>
      </c>
      <c r="CD246" s="28" t="str">
        <f aca="false">IFERROR(INDEX(Assessments!$H$2:$H$600,MATCH($H246&amp;"|"&amp;$I246&amp;"|"&amp;$J246&amp;"|"&amp;10,Assessments!$A$2:$A$600,0)),"")</f>
        <v/>
      </c>
      <c r="CE246" s="28" t="str">
        <f aca="false">IFERROR(INDEX(Assessments!$H$2:$H$600,MATCH($H246&amp;"|"&amp;$I246&amp;"|"&amp;$J246&amp;"|"&amp;11,Assessments!$A$2:$A$600,0)),"")</f>
        <v/>
      </c>
      <c r="CF246" s="28" t="str">
        <f aca="false">IFERROR(INDEX(Assessments!$H$2:$H$600,MATCH($H246&amp;"|"&amp;$I246&amp;"|"&amp;$J246&amp;"|"&amp;12,Assessments!$A$2:$A$600,0)),"")</f>
        <v/>
      </c>
      <c r="CG246" s="28" t="str">
        <f aca="false">IFERROR(INDEX(Assessments!$H$2:$H$600,MATCH($H246&amp;"|"&amp;$I246&amp;"|"&amp;$J246&amp;"|"&amp;13,Assessments!$A$2:$A$600,0)),"")</f>
        <v/>
      </c>
      <c r="CH246" s="28" t="str">
        <f aca="false">IFERROR(INDEX(Assessments!$H$2:$H$600,MATCH($H246&amp;"|"&amp;$I246&amp;"|"&amp;$J246&amp;"|"&amp;14,Assessments!$A$2:$A$600,0)),"")</f>
        <v/>
      </c>
      <c r="CI246" s="28" t="str">
        <f aca="false">IFERROR(INDEX(Assessments!$I$2:$I$600,MATCH($H246&amp;"|"&amp;$I246&amp;"|"&amp;$J246&amp;"|"&amp;1,Assessments!$A$2:$A$600,0)),"")</f>
        <v>Econ Test</v>
      </c>
      <c r="CJ246" s="28" t="str">
        <f aca="false">IFERROR(INDEX(Assessments!$I$2:$I$600,MATCH($H246&amp;"|"&amp;$I246&amp;"|"&amp;$J246&amp;"|"&amp;2,Assessments!$A$2:$A$600,0)),"")</f>
        <v>Econ Test</v>
      </c>
      <c r="CK246" s="28" t="str">
        <f aca="false">IFERROR(INDEX(Assessments!$I$2:$I$600,MATCH($H246&amp;"|"&amp;$I246&amp;"|"&amp;$J246&amp;"|"&amp;3,Assessments!$A$2:$A$600,0)),"")</f>
        <v>Econ Test</v>
      </c>
      <c r="CL246" s="28" t="str">
        <f aca="false">IFERROR(INDEX(Assessments!$I$2:$I$600,MATCH($H246&amp;"|"&amp;$I246&amp;"|"&amp;$J246&amp;"|"&amp;4,Assessments!$A$2:$A$600,0)),"")</f>
        <v>Econ Test</v>
      </c>
      <c r="CM246" s="28" t="str">
        <f aca="false">IFERROR(INDEX(Assessments!$I$2:$I$600,MATCH($H246&amp;"|"&amp;$I246&amp;"|"&amp;$J246&amp;"|"&amp;5,Assessments!$A$2:$A$600,0)),"")</f>
        <v>Econ Exam</v>
      </c>
      <c r="CN246" s="28" t="str">
        <f aca="false">IFERROR(INDEX(Assessments!$I$2:$I$600,MATCH($H246&amp;"|"&amp;$I246&amp;"|"&amp;$J246&amp;"|"&amp;6,Assessments!$A$2:$A$600,0)),"")</f>
        <v>Econ Test</v>
      </c>
      <c r="CO246" s="28" t="str">
        <f aca="false">IFERROR(INDEX(Assessments!$I$2:$I$600,MATCH($H246&amp;"|"&amp;$I246&amp;"|"&amp;$J246&amp;"|"&amp;7,Assessments!$A$2:$A$600,0)),"")</f>
        <v>Econ Exam</v>
      </c>
      <c r="CP246" s="28" t="str">
        <f aca="false">IFERROR(INDEX(Assessments!$I$2:$I$600,MATCH($H246&amp;"|"&amp;$I246&amp;"|"&amp;$J246&amp;"|"&amp;8,Assessments!$A$2:$A$600,0)),"")</f>
        <v/>
      </c>
      <c r="CQ246" s="28" t="str">
        <f aca="false">IFERROR(INDEX(Assessments!$I$2:$I$600,MATCH($H246&amp;"|"&amp;$I246&amp;"|"&amp;$J246&amp;"|"&amp;9,Assessments!$A$2:$A$600,0)),"")</f>
        <v/>
      </c>
      <c r="CR246" s="28" t="str">
        <f aca="false">IFERROR(INDEX(Assessments!$I$2:$I$600,MATCH($H246&amp;"|"&amp;$I246&amp;"|"&amp;$J246&amp;"|"&amp;10,Assessments!$A$2:$A$600,0)),"")</f>
        <v/>
      </c>
      <c r="CS246" s="28" t="str">
        <f aca="false">IFERROR(INDEX(Assessments!$I$2:$I$600,MATCH($H246&amp;"|"&amp;$I246&amp;"|"&amp;$J246&amp;"|"&amp;11,Assessments!$A$2:$A$600,0)),"")</f>
        <v/>
      </c>
      <c r="CT246" s="28" t="str">
        <f aca="false">IFERROR(INDEX(Assessments!$I$2:$I$600,MATCH($H246&amp;"|"&amp;$I246&amp;"|"&amp;$J246&amp;"|"&amp;12,Assessments!$A$2:$A$600,0)),"")</f>
        <v/>
      </c>
      <c r="CU246" s="28" t="str">
        <f aca="false">IFERROR(INDEX(Assessments!$I$2:$I$600,MATCH($H246&amp;"|"&amp;$I246&amp;"|"&amp;$J246&amp;"|"&amp;13,Assessments!$A$2:$A$600,0)),"")</f>
        <v/>
      </c>
      <c r="CV246" s="28" t="str">
        <f aca="false">IFERROR(INDEX(Assessments!$I$2:$I$600,MATCH($H246&amp;"|"&amp;$I246&amp;"|"&amp;$J246&amp;"|"&amp;14,Assessments!$A$2:$A$600,0)),"")</f>
        <v/>
      </c>
      <c r="CW246" s="28" t="n">
        <f aca="false">IFERROR(INDEX(Assessments!$J$2:$J$600,MATCH($H246&amp;"|"&amp;$I246&amp;"|"&amp;$J246&amp;"|"&amp;1,Assessments!$A$2:$A$600,0)),0)</f>
        <v>1</v>
      </c>
      <c r="CX246" s="28" t="n">
        <f aca="false">IFERROR(INDEX(Assessments!$J$2:$J$600,MATCH($H246&amp;"|"&amp;$I246&amp;"|"&amp;$J246&amp;"|"&amp;2,Assessments!$A$2:$A$600,0)),0)</f>
        <v>1</v>
      </c>
      <c r="CY246" s="28" t="n">
        <f aca="false">IFERROR(INDEX(Assessments!$J$2:$J$600,MATCH($H246&amp;"|"&amp;$I246&amp;"|"&amp;$J246&amp;"|"&amp;3,Assessments!$A$2:$A$600,0)),0)</f>
        <v>1</v>
      </c>
      <c r="CZ246" s="28" t="n">
        <f aca="false">IFERROR(INDEX(Assessments!$J$2:$J$600,MATCH($H246&amp;"|"&amp;$I246&amp;"|"&amp;$J246&amp;"|"&amp;4,Assessments!$A$2:$A$600,0)),0)</f>
        <v>1</v>
      </c>
      <c r="DA246" s="28" t="n">
        <f aca="false">IFERROR(INDEX(Assessments!$J$2:$J$600,MATCH($H246&amp;"|"&amp;$I246&amp;"|"&amp;$J246&amp;"|"&amp;5,Assessments!$A$2:$A$600,0)),0)</f>
        <v>2</v>
      </c>
      <c r="DB246" s="28" t="n">
        <f aca="false">IFERROR(INDEX(Assessments!$J$2:$J$600,MATCH($H246&amp;"|"&amp;$I246&amp;"|"&amp;$J246&amp;"|"&amp;6,Assessments!$A$2:$A$600,0)),0)</f>
        <v>1</v>
      </c>
      <c r="DC246" s="28" t="n">
        <f aca="false">IFERROR(INDEX(Assessments!$J$2:$J$600,MATCH($H246&amp;"|"&amp;$I246&amp;"|"&amp;$J246&amp;"|"&amp;7,Assessments!$A$2:$A$600,0)),0)</f>
        <v>2</v>
      </c>
      <c r="DD246" s="28" t="n">
        <f aca="false">IFERROR(INDEX(Assessments!$J$2:$J$600,MATCH($H246&amp;"|"&amp;$I246&amp;"|"&amp;$J246&amp;"|"&amp;8,Assessments!$A$2:$A$600,0)),0)</f>
        <v>0</v>
      </c>
      <c r="DE246" s="28" t="n">
        <f aca="false">IFERROR(INDEX(Assessments!$J$2:$J$600,MATCH($H246&amp;"|"&amp;$I246&amp;"|"&amp;$J246&amp;"|"&amp;9,Assessments!$A$2:$A$600,0)),0)</f>
        <v>0</v>
      </c>
      <c r="DF246" s="28" t="n">
        <f aca="false">IFERROR(INDEX(Assessments!$J$2:$J$600,MATCH($H246&amp;"|"&amp;$I246&amp;"|"&amp;$J246&amp;"|"&amp;10,Assessments!$A$2:$A$600,0)),0)</f>
        <v>0</v>
      </c>
      <c r="DG246" s="28" t="n">
        <f aca="false">IFERROR(INDEX(Assessments!$J$2:$J$600,MATCH($H246&amp;"|"&amp;$I246&amp;"|"&amp;$J246&amp;"|"&amp;11,Assessments!$A$2:$A$600,0)),0)</f>
        <v>0</v>
      </c>
      <c r="DH246" s="28" t="n">
        <f aca="false">IFERROR(INDEX(Assessments!$J$2:$J$600,MATCH($H246&amp;"|"&amp;$I246&amp;"|"&amp;$J246&amp;"|"&amp;12,Assessments!$A$2:$A$600,0)),0)</f>
        <v>0</v>
      </c>
      <c r="DI246" s="28" t="n">
        <f aca="false">IFERROR(INDEX(Assessments!$J$2:$J$600,MATCH($H246&amp;"|"&amp;$I246&amp;"|"&amp;$J246&amp;"|"&amp;13,Assessments!$A$2:$A$600,0)),0)</f>
        <v>0</v>
      </c>
      <c r="DJ246" s="28" t="n">
        <f aca="false">IFERROR(INDEX(Assessments!$J$2:$J$600,MATCH($H246&amp;"|"&amp;$I246&amp;"|"&amp;$J246&amp;"|"&amp;14,Assessments!$A$2:$A$600,0)),0)</f>
        <v>0</v>
      </c>
      <c r="DK246" s="28" t="n">
        <f aca="false">S246</f>
        <v>7</v>
      </c>
      <c r="DL246" s="28" t="str">
        <f aca="false">W246</f>
        <v/>
      </c>
      <c r="DM246" s="28" t="str">
        <f aca="false">AA246</f>
        <v/>
      </c>
      <c r="DN246" s="28" t="str">
        <f aca="false">AE246</f>
        <v/>
      </c>
      <c r="DO246" s="28" t="str">
        <f aca="false">AI246</f>
        <v/>
      </c>
      <c r="DP246" s="28" t="str">
        <f aca="false">AM246</f>
        <v/>
      </c>
      <c r="DQ246" s="28" t="str">
        <f aca="false">AQ246</f>
        <v/>
      </c>
      <c r="DR246" s="28" t="str">
        <f aca="false">AU246</f>
        <v/>
      </c>
      <c r="DS246" s="28" t="str">
        <f aca="false">AY246</f>
        <v/>
      </c>
      <c r="DT246" s="28" t="str">
        <f aca="false">BC246</f>
        <v/>
      </c>
      <c r="DU246" s="28" t="str">
        <f aca="false">BG246</f>
        <v/>
      </c>
      <c r="DV246" s="28" t="str">
        <f aca="false">BK246</f>
        <v/>
      </c>
      <c r="DW246" s="28" t="str">
        <f aca="false">BO246</f>
        <v/>
      </c>
      <c r="DX246" s="28" t="str">
        <f aca="false">BS246</f>
        <v/>
      </c>
      <c r="DY246" s="28" t="n">
        <f aca="false">IF(ISNUMBER(S246),1,"")</f>
        <v>1</v>
      </c>
      <c r="DZ246" s="28" t="str">
        <f aca="false">IF(ISNUMBER(W246),2,"")</f>
        <v/>
      </c>
      <c r="EA246" s="28" t="str">
        <f aca="false">IF(ISNUMBER(AA246),3,"")</f>
        <v/>
      </c>
      <c r="EB246" s="28" t="str">
        <f aca="false">IF(ISNUMBER(AE246),4,"")</f>
        <v/>
      </c>
      <c r="EC246" s="28" t="str">
        <f aca="false">IF(ISNUMBER(AI246),5,"")</f>
        <v/>
      </c>
      <c r="ED246" s="28" t="str">
        <f aca="false">IF(ISNUMBER(AM246),6,"")</f>
        <v/>
      </c>
      <c r="EE246" s="28" t="str">
        <f aca="false">IF(ISNUMBER(AQ246),7,"")</f>
        <v/>
      </c>
      <c r="EF246" s="28" t="str">
        <f aca="false">IF(ISNUMBER(AU246),8,"")</f>
        <v/>
      </c>
      <c r="EG246" s="28" t="str">
        <f aca="false">IF(ISNUMBER(AY246),9,"")</f>
        <v/>
      </c>
      <c r="EH246" s="28" t="str">
        <f aca="false">IF(ISNUMBER(BC246),10,"")</f>
        <v/>
      </c>
      <c r="EI246" s="28" t="str">
        <f aca="false">IF(ISNUMBER(BG246),11,"")</f>
        <v/>
      </c>
      <c r="EJ246" s="28" t="str">
        <f aca="false">IF(ISNUMBER(BK246),12,"")</f>
        <v/>
      </c>
      <c r="EK246" s="28" t="str">
        <f aca="false">IF(ISNUMBER(BO246),13,"")</f>
        <v/>
      </c>
      <c r="EL246" s="28" t="str">
        <f aca="false">IF(ISNUMBER(BS246),14,"")</f>
        <v/>
      </c>
      <c r="EM246" s="28" t="n">
        <f aca="false">IF(ISNUMBER(R246),R246*CW246,0)</f>
        <v>92</v>
      </c>
      <c r="EN246" s="28" t="n">
        <f aca="false">IF(ISNUMBER(V246),V246*CX246,0)</f>
        <v>0</v>
      </c>
      <c r="EO246" s="28" t="n">
        <f aca="false">IF(ISNUMBER(Z246),Z246*CY246,0)</f>
        <v>0</v>
      </c>
      <c r="EP246" s="28" t="n">
        <f aca="false">IF(ISNUMBER(AD246),AD246*CZ246,0)</f>
        <v>0</v>
      </c>
      <c r="EQ246" s="28" t="n">
        <f aca="false">IF(ISNUMBER(AH246),AH246*DA246,0)</f>
        <v>0</v>
      </c>
      <c r="ER246" s="28" t="n">
        <f aca="false">IF(ISNUMBER(AL246),AL246*DB246,0)</f>
        <v>0</v>
      </c>
      <c r="ES246" s="28" t="n">
        <f aca="false">IF(ISNUMBER(AP246),AP246*DC246,0)</f>
        <v>0</v>
      </c>
      <c r="ET246" s="28" t="n">
        <f aca="false">IF(ISNUMBER(AT246),AT246*DD246,0)</f>
        <v>0</v>
      </c>
      <c r="EU246" s="28" t="n">
        <f aca="false">IF(ISNUMBER(AX246),AX246*DE246,0)</f>
        <v>0</v>
      </c>
      <c r="EV246" s="28" t="n">
        <f aca="false">IF(ISNUMBER(BB246),BB246*DF246,0)</f>
        <v>0</v>
      </c>
      <c r="EW246" s="28" t="n">
        <f aca="false">IF(ISNUMBER(BF246),BF246*DG246,0)</f>
        <v>0</v>
      </c>
      <c r="EX246" s="28" t="n">
        <f aca="false">IF(ISNUMBER(BJ246),BJ246*DH246,0)</f>
        <v>0</v>
      </c>
      <c r="EY246" s="28" t="n">
        <f aca="false">IF(ISNUMBER(BN246),BN246*DI246,0)</f>
        <v>0</v>
      </c>
      <c r="EZ246" s="28" t="n">
        <f aca="false">IF(ISNUMBER(BR246),BR246*DJ246,0)</f>
        <v>0</v>
      </c>
      <c r="FA246" s="28" t="n">
        <f aca="false">IF(ISNUMBER(R246),CW246,0)</f>
        <v>1</v>
      </c>
      <c r="FB246" s="28" t="n">
        <f aca="false">IF(ISNUMBER(V246),CX246,0)</f>
        <v>0</v>
      </c>
      <c r="FC246" s="28" t="n">
        <f aca="false">IF(ISNUMBER(Z246),CY246,0)</f>
        <v>0</v>
      </c>
      <c r="FD246" s="28" t="n">
        <f aca="false">IF(ISNUMBER(AD246),CZ246,0)</f>
        <v>0</v>
      </c>
      <c r="FE246" s="28" t="n">
        <f aca="false">IF(ISNUMBER(AH246),DA246,0)</f>
        <v>0</v>
      </c>
      <c r="FF246" s="28" t="n">
        <f aca="false">IF(ISNUMBER(AL246),DB246,0)</f>
        <v>0</v>
      </c>
      <c r="FG246" s="28" t="n">
        <f aca="false">IF(ISNUMBER(AP246),DC246,0)</f>
        <v>0</v>
      </c>
      <c r="FH246" s="28" t="n">
        <f aca="false">IF(ISNUMBER(AT246),DD246,0)</f>
        <v>0</v>
      </c>
      <c r="FI246" s="28" t="n">
        <f aca="false">IF(ISNUMBER(AX246),DE246,0)</f>
        <v>0</v>
      </c>
      <c r="FJ246" s="28" t="n">
        <f aca="false">IF(ISNUMBER(BB246),DF246,0)</f>
        <v>0</v>
      </c>
      <c r="FK246" s="28" t="n">
        <f aca="false">IF(ISNUMBER(BF246),DG246,0)</f>
        <v>0</v>
      </c>
      <c r="FL246" s="28" t="n">
        <f aca="false">IF(ISNUMBER(BJ246),DH246,0)</f>
        <v>0</v>
      </c>
      <c r="FM246" s="28" t="n">
        <f aca="false">IF(ISNUMBER(BN246),DI246,0)</f>
        <v>0</v>
      </c>
      <c r="FN246" s="28" t="n">
        <f aca="false">IF(ISNUMBER(BR246),DJ246,0)</f>
        <v>0</v>
      </c>
      <c r="FO246" s="28" t="str">
        <f aca="false">IFERROR(INDEX(Lists!$G$2:$G$20,MATCH($I246&amp;"|"&amp;$J246,Lists!$F$2:$F$20,0)),"")</f>
        <v>Econ Exam</v>
      </c>
    </row>
    <row r="247" customFormat="false" ht="19.5" hidden="false" customHeight="true" outlineLevel="0" collapsed="false">
      <c r="A247" s="29" t="s">
        <v>512</v>
      </c>
      <c r="B247" s="29" t="s">
        <v>513</v>
      </c>
      <c r="C247" s="30" t="s">
        <v>152</v>
      </c>
      <c r="D247" s="30" t="s">
        <v>291</v>
      </c>
      <c r="E247" s="31"/>
      <c r="F247" s="30"/>
      <c r="G247" s="30"/>
      <c r="H247" s="32" t="s">
        <v>428</v>
      </c>
      <c r="I247" s="33" t="s">
        <v>229</v>
      </c>
      <c r="J247" s="32" t="s">
        <v>25</v>
      </c>
      <c r="K247" s="34" t="str">
        <f aca="false">IF(OR(M247="",$E247=""),"",M247-$E247)</f>
        <v/>
      </c>
      <c r="L247" s="35" t="n">
        <f aca="false">IF(SUM(FA247:FN247)=0,"",SUM(EM247:EZ247)/SUM(FA247:FN247))</f>
        <v>60</v>
      </c>
      <c r="M247" s="36" t="n">
        <f aca="false">IF(OR(L247="",FO247=""),"",IFERROR(MATCH(L247,INDEX(Boundaries!$B$2:$I$30,MATCH(FO247,Boundaries!$A$2:$A$30,0),0),1)-1,""))</f>
        <v>5</v>
      </c>
      <c r="N247" s="37" t="str">
        <f aca="false">IF(COUNT($DY247:$EL247)&lt;2,"",INDEX($DK247:$DX247,MAX($DY247:$EL247))-INDEX($DK247:$DX247,MIN($DY247:$EL247)))</f>
        <v/>
      </c>
      <c r="O247" s="37" t="str">
        <f aca="false">IF(COUNT($DY247:$EL247)&lt;2,"",INDEX($DK247:$DX247,MAX($DY247:$EL247))-INDEX($DK247:$DX247,LARGE($DY247:$EL247,2)))</f>
        <v/>
      </c>
      <c r="P247" s="38" t="str">
        <f aca="false">IF(K247="","",IF(K247&gt;=0,"On/above target",IF(AND(N247&lt;&gt;"",N247&gt;=0.5),"Improving towards target",IF(AND(O247&lt;&gt;"",O247&lt;=-0.5),"Declining","Stable below target"))))</f>
        <v/>
      </c>
      <c r="Q247" s="39" t="n">
        <v>15</v>
      </c>
      <c r="R247" s="40" t="n">
        <f aca="false">IF(OR(Q247="",BU247=""),"",Q247/BU247*100)</f>
        <v>60</v>
      </c>
      <c r="S247" s="41" t="n">
        <f aca="false">IF(R247="","",IFERROR(MATCH(R247,INDEX(Boundaries!$B$2:$I$30,MATCH(CI247,Boundaries!$A$2:$A$30,0),0),1)-1,""))</f>
        <v>4</v>
      </c>
      <c r="T247" s="42" t="str">
        <f aca="false">IF(OR(S247="",$E247=""),"",S247-$E247)</f>
        <v/>
      </c>
      <c r="U247" s="39"/>
      <c r="V247" s="40" t="str">
        <f aca="false">IF(OR(U247="",BV247=""),"",U247/BV247*100)</f>
        <v/>
      </c>
      <c r="W247" s="41" t="str">
        <f aca="false">IF(V247="","",IFERROR(MATCH(V247,INDEX(Boundaries!$B$2:$I$30,MATCH(CJ247,Boundaries!$A$2:$A$30,0),0),1)-1,""))</f>
        <v/>
      </c>
      <c r="X247" s="42" t="str">
        <f aca="false">IF(OR(W247="",$E247=""),"",W247-$E247)</f>
        <v/>
      </c>
      <c r="Y247" s="39"/>
      <c r="Z247" s="40" t="str">
        <f aca="false">IF(OR(Y247="",BW247=""),"",Y247/BW247*100)</f>
        <v/>
      </c>
      <c r="AA247" s="41" t="str">
        <f aca="false">IF(Z247="","",IFERROR(MATCH(Z247,INDEX(Boundaries!$B$2:$I$30,MATCH(CK247,Boundaries!$A$2:$A$30,0),0),1)-1,""))</f>
        <v/>
      </c>
      <c r="AB247" s="42" t="str">
        <f aca="false">IF(OR(AA247="",$E247=""),"",AA247-$E247)</f>
        <v/>
      </c>
      <c r="AC247" s="39"/>
      <c r="AD247" s="40" t="str">
        <f aca="false">IF(OR(AC247="",BX247=""),"",AC247/BX247*100)</f>
        <v/>
      </c>
      <c r="AE247" s="41" t="str">
        <f aca="false">IF(AD247="","",IFERROR(MATCH(AD247,INDEX(Boundaries!$B$2:$I$30,MATCH(CL247,Boundaries!$A$2:$A$30,0),0),1)-1,""))</f>
        <v/>
      </c>
      <c r="AF247" s="42" t="str">
        <f aca="false">IF(OR(AE247="",$E247=""),"",AE247-$E247)</f>
        <v/>
      </c>
      <c r="AG247" s="39"/>
      <c r="AH247" s="40" t="str">
        <f aca="false">IF(OR(AG247="",BY247=""),"",AG247/BY247*100)</f>
        <v/>
      </c>
      <c r="AI247" s="41" t="str">
        <f aca="false">IF(AH247="","",IFERROR(MATCH(AH247,INDEX(Boundaries!$B$2:$I$30,MATCH(CM247,Boundaries!$A$2:$A$30,0),0),1)-1,""))</f>
        <v/>
      </c>
      <c r="AJ247" s="42" t="str">
        <f aca="false">IF(OR(AI247="",$E247=""),"",AI247-$E247)</f>
        <v/>
      </c>
      <c r="AK247" s="39"/>
      <c r="AL247" s="40" t="str">
        <f aca="false">IF(OR(AK247="",BZ247=""),"",AK247/BZ247*100)</f>
        <v/>
      </c>
      <c r="AM247" s="41" t="str">
        <f aca="false">IF(AL247="","",IFERROR(MATCH(AL247,INDEX(Boundaries!$B$2:$I$30,MATCH(CN247,Boundaries!$A$2:$A$30,0),0),1)-1,""))</f>
        <v/>
      </c>
      <c r="AN247" s="42" t="str">
        <f aca="false">IF(OR(AM247="",$E247=""),"",AM247-$E247)</f>
        <v/>
      </c>
      <c r="AO247" s="39"/>
      <c r="AP247" s="40" t="str">
        <f aca="false">IF(OR(AO247="",CA247=""),"",AO247/CA247*100)</f>
        <v/>
      </c>
      <c r="AQ247" s="41" t="str">
        <f aca="false">IF(AP247="","",IFERROR(MATCH(AP247,INDEX(Boundaries!$B$2:$I$30,MATCH(CO247,Boundaries!$A$2:$A$30,0),0),1)-1,""))</f>
        <v/>
      </c>
      <c r="AR247" s="42" t="str">
        <f aca="false">IF(OR(AQ247="",$E247=""),"",AQ247-$E247)</f>
        <v/>
      </c>
      <c r="AS247" s="39"/>
      <c r="AT247" s="40" t="str">
        <f aca="false">IF(OR(AS247="",CB247=""),"",AS247/CB247*100)</f>
        <v/>
      </c>
      <c r="AU247" s="41" t="str">
        <f aca="false">IF(AT247="","",IFERROR(MATCH(AT247,INDEX(Boundaries!$B$2:$I$30,MATCH(CP247,Boundaries!$A$2:$A$30,0),0),1)-1,""))</f>
        <v/>
      </c>
      <c r="AV247" s="42" t="str">
        <f aca="false">IF(OR(AU247="",$E247=""),"",AU247-$E247)</f>
        <v/>
      </c>
      <c r="AW247" s="39"/>
      <c r="AX247" s="40" t="str">
        <f aca="false">IF(OR(AW247="",CC247=""),"",AW247/CC247*100)</f>
        <v/>
      </c>
      <c r="AY247" s="41" t="str">
        <f aca="false">IF(AX247="","",IFERROR(MATCH(AX247,INDEX(Boundaries!$B$2:$I$30,MATCH(CQ247,Boundaries!$A$2:$A$30,0),0),1)-1,""))</f>
        <v/>
      </c>
      <c r="AZ247" s="42" t="str">
        <f aca="false">IF(OR(AY247="",$E247=""),"",AY247-$E247)</f>
        <v/>
      </c>
      <c r="BA247" s="39"/>
      <c r="BB247" s="40" t="str">
        <f aca="false">IF(OR(BA247="",CD247=""),"",BA247/CD247*100)</f>
        <v/>
      </c>
      <c r="BC247" s="41" t="str">
        <f aca="false">IF(BB247="","",IFERROR(MATCH(BB247,INDEX(Boundaries!$B$2:$I$30,MATCH(CR247,Boundaries!$A$2:$A$30,0),0),1)-1,""))</f>
        <v/>
      </c>
      <c r="BD247" s="42" t="str">
        <f aca="false">IF(OR(BC247="",$E247=""),"",BC247-$E247)</f>
        <v/>
      </c>
      <c r="BE247" s="39"/>
      <c r="BF247" s="40" t="str">
        <f aca="false">IF(OR(BE247="",CE247=""),"",BE247/CE247*100)</f>
        <v/>
      </c>
      <c r="BG247" s="41" t="str">
        <f aca="false">IF(BF247="","",IFERROR(MATCH(BF247,INDEX(Boundaries!$B$2:$I$30,MATCH(CS247,Boundaries!$A$2:$A$30,0),0),1)-1,""))</f>
        <v/>
      </c>
      <c r="BH247" s="42" t="str">
        <f aca="false">IF(OR(BG247="",$E247=""),"",BG247-$E247)</f>
        <v/>
      </c>
      <c r="BI247" s="39"/>
      <c r="BJ247" s="40" t="str">
        <f aca="false">IF(OR(BI247="",CF247=""),"",BI247/CF247*100)</f>
        <v/>
      </c>
      <c r="BK247" s="41" t="str">
        <f aca="false">IF(BJ247="","",IFERROR(MATCH(BJ247,INDEX(Boundaries!$B$2:$I$30,MATCH(CT247,Boundaries!$A$2:$A$30,0),0),1)-1,""))</f>
        <v/>
      </c>
      <c r="BL247" s="42" t="str">
        <f aca="false">IF(OR(BK247="",$E247=""),"",BK247-$E247)</f>
        <v/>
      </c>
      <c r="BM247" s="39"/>
      <c r="BN247" s="40" t="str">
        <f aca="false">IF(OR(BM247="",CG247=""),"",BM247/CG247*100)</f>
        <v/>
      </c>
      <c r="BO247" s="41" t="str">
        <f aca="false">IF(BN247="","",IFERROR(MATCH(BN247,INDEX(Boundaries!$B$2:$I$30,MATCH(CU247,Boundaries!$A$2:$A$30,0),0),1)-1,""))</f>
        <v/>
      </c>
      <c r="BP247" s="42" t="str">
        <f aca="false">IF(OR(BO247="",$E247=""),"",BO247-$E247)</f>
        <v/>
      </c>
      <c r="BQ247" s="39"/>
      <c r="BR247" s="40" t="str">
        <f aca="false">IF(OR(BQ247="",CH247=""),"",BQ247/CH247*100)</f>
        <v/>
      </c>
      <c r="BS247" s="41" t="str">
        <f aca="false">IF(BR247="","",IFERROR(MATCH(BR247,INDEX(Boundaries!$B$2:$I$30,MATCH(CV247,Boundaries!$A$2:$A$30,0),0),1)-1,""))</f>
        <v/>
      </c>
      <c r="BT247" s="42" t="str">
        <f aca="false">IF(OR(BS247="",$E247=""),"",BS247-$E247)</f>
        <v/>
      </c>
      <c r="BU247" s="28" t="n">
        <f aca="false">IFERROR(INDEX(Assessments!$H$2:$H$600,MATCH($H247&amp;"|"&amp;$I247&amp;"|"&amp;$J247&amp;"|"&amp;1,Assessments!$A$2:$A$600,0)),"")</f>
        <v>25</v>
      </c>
      <c r="BV247" s="28" t="n">
        <f aca="false">IFERROR(INDEX(Assessments!$H$2:$H$600,MATCH($H247&amp;"|"&amp;$I247&amp;"|"&amp;$J247&amp;"|"&amp;2,Assessments!$A$2:$A$600,0)),"")</f>
        <v>24</v>
      </c>
      <c r="BW247" s="28" t="n">
        <f aca="false">IFERROR(INDEX(Assessments!$H$2:$H$600,MATCH($H247&amp;"|"&amp;$I247&amp;"|"&amp;$J247&amp;"|"&amp;3,Assessments!$A$2:$A$600,0)),"")</f>
        <v>25</v>
      </c>
      <c r="BX247" s="28" t="n">
        <f aca="false">IFERROR(INDEX(Assessments!$H$2:$H$600,MATCH($H247&amp;"|"&amp;$I247&amp;"|"&amp;$J247&amp;"|"&amp;4,Assessments!$A$2:$A$600,0)),"")</f>
        <v>35</v>
      </c>
      <c r="BY247" s="28" t="n">
        <f aca="false">IFERROR(INDEX(Assessments!$H$2:$H$600,MATCH($H247&amp;"|"&amp;$I247&amp;"|"&amp;$J247&amp;"|"&amp;5,Assessments!$A$2:$A$600,0)),"")</f>
        <v>55</v>
      </c>
      <c r="BZ247" s="28" t="n">
        <f aca="false">IFERROR(INDEX(Assessments!$H$2:$H$600,MATCH($H247&amp;"|"&amp;$I247&amp;"|"&amp;$J247&amp;"|"&amp;6,Assessments!$A$2:$A$600,0)),"")</f>
        <v>28</v>
      </c>
      <c r="CA247" s="28" t="n">
        <f aca="false">IFERROR(INDEX(Assessments!$H$2:$H$600,MATCH($H247&amp;"|"&amp;$I247&amp;"|"&amp;$J247&amp;"|"&amp;7,Assessments!$A$2:$A$600,0)),"")</f>
        <v>95</v>
      </c>
      <c r="CB247" s="28" t="str">
        <f aca="false">IFERROR(INDEX(Assessments!$H$2:$H$600,MATCH($H247&amp;"|"&amp;$I247&amp;"|"&amp;$J247&amp;"|"&amp;8,Assessments!$A$2:$A$600,0)),"")</f>
        <v/>
      </c>
      <c r="CC247" s="28" t="str">
        <f aca="false">IFERROR(INDEX(Assessments!$H$2:$H$600,MATCH($H247&amp;"|"&amp;$I247&amp;"|"&amp;$J247&amp;"|"&amp;9,Assessments!$A$2:$A$600,0)),"")</f>
        <v/>
      </c>
      <c r="CD247" s="28" t="str">
        <f aca="false">IFERROR(INDEX(Assessments!$H$2:$H$600,MATCH($H247&amp;"|"&amp;$I247&amp;"|"&amp;$J247&amp;"|"&amp;10,Assessments!$A$2:$A$600,0)),"")</f>
        <v/>
      </c>
      <c r="CE247" s="28" t="str">
        <f aca="false">IFERROR(INDEX(Assessments!$H$2:$H$600,MATCH($H247&amp;"|"&amp;$I247&amp;"|"&amp;$J247&amp;"|"&amp;11,Assessments!$A$2:$A$600,0)),"")</f>
        <v/>
      </c>
      <c r="CF247" s="28" t="str">
        <f aca="false">IFERROR(INDEX(Assessments!$H$2:$H$600,MATCH($H247&amp;"|"&amp;$I247&amp;"|"&amp;$J247&amp;"|"&amp;12,Assessments!$A$2:$A$600,0)),"")</f>
        <v/>
      </c>
      <c r="CG247" s="28" t="str">
        <f aca="false">IFERROR(INDEX(Assessments!$H$2:$H$600,MATCH($H247&amp;"|"&amp;$I247&amp;"|"&amp;$J247&amp;"|"&amp;13,Assessments!$A$2:$A$600,0)),"")</f>
        <v/>
      </c>
      <c r="CH247" s="28" t="str">
        <f aca="false">IFERROR(INDEX(Assessments!$H$2:$H$600,MATCH($H247&amp;"|"&amp;$I247&amp;"|"&amp;$J247&amp;"|"&amp;14,Assessments!$A$2:$A$600,0)),"")</f>
        <v/>
      </c>
      <c r="CI247" s="28" t="str">
        <f aca="false">IFERROR(INDEX(Assessments!$I$2:$I$600,MATCH($H247&amp;"|"&amp;$I247&amp;"|"&amp;$J247&amp;"|"&amp;1,Assessments!$A$2:$A$600,0)),"")</f>
        <v>Econ Test</v>
      </c>
      <c r="CJ247" s="28" t="str">
        <f aca="false">IFERROR(INDEX(Assessments!$I$2:$I$600,MATCH($H247&amp;"|"&amp;$I247&amp;"|"&amp;$J247&amp;"|"&amp;2,Assessments!$A$2:$A$600,0)),"")</f>
        <v>Econ Test</v>
      </c>
      <c r="CK247" s="28" t="str">
        <f aca="false">IFERROR(INDEX(Assessments!$I$2:$I$600,MATCH($H247&amp;"|"&amp;$I247&amp;"|"&amp;$J247&amp;"|"&amp;3,Assessments!$A$2:$A$600,0)),"")</f>
        <v>Econ Test</v>
      </c>
      <c r="CL247" s="28" t="str">
        <f aca="false">IFERROR(INDEX(Assessments!$I$2:$I$600,MATCH($H247&amp;"|"&amp;$I247&amp;"|"&amp;$J247&amp;"|"&amp;4,Assessments!$A$2:$A$600,0)),"")</f>
        <v>Econ Test</v>
      </c>
      <c r="CM247" s="28" t="str">
        <f aca="false">IFERROR(INDEX(Assessments!$I$2:$I$600,MATCH($H247&amp;"|"&amp;$I247&amp;"|"&amp;$J247&amp;"|"&amp;5,Assessments!$A$2:$A$600,0)),"")</f>
        <v>Econ Exam</v>
      </c>
      <c r="CN247" s="28" t="str">
        <f aca="false">IFERROR(INDEX(Assessments!$I$2:$I$600,MATCH($H247&amp;"|"&amp;$I247&amp;"|"&amp;$J247&amp;"|"&amp;6,Assessments!$A$2:$A$600,0)),"")</f>
        <v>Econ Test</v>
      </c>
      <c r="CO247" s="28" t="str">
        <f aca="false">IFERROR(INDEX(Assessments!$I$2:$I$600,MATCH($H247&amp;"|"&amp;$I247&amp;"|"&amp;$J247&amp;"|"&amp;7,Assessments!$A$2:$A$600,0)),"")</f>
        <v>Econ Exam</v>
      </c>
      <c r="CP247" s="28" t="str">
        <f aca="false">IFERROR(INDEX(Assessments!$I$2:$I$600,MATCH($H247&amp;"|"&amp;$I247&amp;"|"&amp;$J247&amp;"|"&amp;8,Assessments!$A$2:$A$600,0)),"")</f>
        <v/>
      </c>
      <c r="CQ247" s="28" t="str">
        <f aca="false">IFERROR(INDEX(Assessments!$I$2:$I$600,MATCH($H247&amp;"|"&amp;$I247&amp;"|"&amp;$J247&amp;"|"&amp;9,Assessments!$A$2:$A$600,0)),"")</f>
        <v/>
      </c>
      <c r="CR247" s="28" t="str">
        <f aca="false">IFERROR(INDEX(Assessments!$I$2:$I$600,MATCH($H247&amp;"|"&amp;$I247&amp;"|"&amp;$J247&amp;"|"&amp;10,Assessments!$A$2:$A$600,0)),"")</f>
        <v/>
      </c>
      <c r="CS247" s="28" t="str">
        <f aca="false">IFERROR(INDEX(Assessments!$I$2:$I$600,MATCH($H247&amp;"|"&amp;$I247&amp;"|"&amp;$J247&amp;"|"&amp;11,Assessments!$A$2:$A$600,0)),"")</f>
        <v/>
      </c>
      <c r="CT247" s="28" t="str">
        <f aca="false">IFERROR(INDEX(Assessments!$I$2:$I$600,MATCH($H247&amp;"|"&amp;$I247&amp;"|"&amp;$J247&amp;"|"&amp;12,Assessments!$A$2:$A$600,0)),"")</f>
        <v/>
      </c>
      <c r="CU247" s="28" t="str">
        <f aca="false">IFERROR(INDEX(Assessments!$I$2:$I$600,MATCH($H247&amp;"|"&amp;$I247&amp;"|"&amp;$J247&amp;"|"&amp;13,Assessments!$A$2:$A$600,0)),"")</f>
        <v/>
      </c>
      <c r="CV247" s="28" t="str">
        <f aca="false">IFERROR(INDEX(Assessments!$I$2:$I$600,MATCH($H247&amp;"|"&amp;$I247&amp;"|"&amp;$J247&amp;"|"&amp;14,Assessments!$A$2:$A$600,0)),"")</f>
        <v/>
      </c>
      <c r="CW247" s="28" t="n">
        <f aca="false">IFERROR(INDEX(Assessments!$J$2:$J$600,MATCH($H247&amp;"|"&amp;$I247&amp;"|"&amp;$J247&amp;"|"&amp;1,Assessments!$A$2:$A$600,0)),0)</f>
        <v>1</v>
      </c>
      <c r="CX247" s="28" t="n">
        <f aca="false">IFERROR(INDEX(Assessments!$J$2:$J$600,MATCH($H247&amp;"|"&amp;$I247&amp;"|"&amp;$J247&amp;"|"&amp;2,Assessments!$A$2:$A$600,0)),0)</f>
        <v>1</v>
      </c>
      <c r="CY247" s="28" t="n">
        <f aca="false">IFERROR(INDEX(Assessments!$J$2:$J$600,MATCH($H247&amp;"|"&amp;$I247&amp;"|"&amp;$J247&amp;"|"&amp;3,Assessments!$A$2:$A$600,0)),0)</f>
        <v>1</v>
      </c>
      <c r="CZ247" s="28" t="n">
        <f aca="false">IFERROR(INDEX(Assessments!$J$2:$J$600,MATCH($H247&amp;"|"&amp;$I247&amp;"|"&amp;$J247&amp;"|"&amp;4,Assessments!$A$2:$A$600,0)),0)</f>
        <v>1</v>
      </c>
      <c r="DA247" s="28" t="n">
        <f aca="false">IFERROR(INDEX(Assessments!$J$2:$J$600,MATCH($H247&amp;"|"&amp;$I247&amp;"|"&amp;$J247&amp;"|"&amp;5,Assessments!$A$2:$A$600,0)),0)</f>
        <v>2</v>
      </c>
      <c r="DB247" s="28" t="n">
        <f aca="false">IFERROR(INDEX(Assessments!$J$2:$J$600,MATCH($H247&amp;"|"&amp;$I247&amp;"|"&amp;$J247&amp;"|"&amp;6,Assessments!$A$2:$A$600,0)),0)</f>
        <v>1</v>
      </c>
      <c r="DC247" s="28" t="n">
        <f aca="false">IFERROR(INDEX(Assessments!$J$2:$J$600,MATCH($H247&amp;"|"&amp;$I247&amp;"|"&amp;$J247&amp;"|"&amp;7,Assessments!$A$2:$A$600,0)),0)</f>
        <v>2</v>
      </c>
      <c r="DD247" s="28" t="n">
        <f aca="false">IFERROR(INDEX(Assessments!$J$2:$J$600,MATCH($H247&amp;"|"&amp;$I247&amp;"|"&amp;$J247&amp;"|"&amp;8,Assessments!$A$2:$A$600,0)),0)</f>
        <v>0</v>
      </c>
      <c r="DE247" s="28" t="n">
        <f aca="false">IFERROR(INDEX(Assessments!$J$2:$J$600,MATCH($H247&amp;"|"&amp;$I247&amp;"|"&amp;$J247&amp;"|"&amp;9,Assessments!$A$2:$A$600,0)),0)</f>
        <v>0</v>
      </c>
      <c r="DF247" s="28" t="n">
        <f aca="false">IFERROR(INDEX(Assessments!$J$2:$J$600,MATCH($H247&amp;"|"&amp;$I247&amp;"|"&amp;$J247&amp;"|"&amp;10,Assessments!$A$2:$A$600,0)),0)</f>
        <v>0</v>
      </c>
      <c r="DG247" s="28" t="n">
        <f aca="false">IFERROR(INDEX(Assessments!$J$2:$J$600,MATCH($H247&amp;"|"&amp;$I247&amp;"|"&amp;$J247&amp;"|"&amp;11,Assessments!$A$2:$A$600,0)),0)</f>
        <v>0</v>
      </c>
      <c r="DH247" s="28" t="n">
        <f aca="false">IFERROR(INDEX(Assessments!$J$2:$J$600,MATCH($H247&amp;"|"&amp;$I247&amp;"|"&amp;$J247&amp;"|"&amp;12,Assessments!$A$2:$A$600,0)),0)</f>
        <v>0</v>
      </c>
      <c r="DI247" s="28" t="n">
        <f aca="false">IFERROR(INDEX(Assessments!$J$2:$J$600,MATCH($H247&amp;"|"&amp;$I247&amp;"|"&amp;$J247&amp;"|"&amp;13,Assessments!$A$2:$A$600,0)),0)</f>
        <v>0</v>
      </c>
      <c r="DJ247" s="28" t="n">
        <f aca="false">IFERROR(INDEX(Assessments!$J$2:$J$600,MATCH($H247&amp;"|"&amp;$I247&amp;"|"&amp;$J247&amp;"|"&amp;14,Assessments!$A$2:$A$600,0)),0)</f>
        <v>0</v>
      </c>
      <c r="DK247" s="28" t="n">
        <f aca="false">S247</f>
        <v>4</v>
      </c>
      <c r="DL247" s="28" t="str">
        <f aca="false">W247</f>
        <v/>
      </c>
      <c r="DM247" s="28" t="str">
        <f aca="false">AA247</f>
        <v/>
      </c>
      <c r="DN247" s="28" t="str">
        <f aca="false">AE247</f>
        <v/>
      </c>
      <c r="DO247" s="28" t="str">
        <f aca="false">AI247</f>
        <v/>
      </c>
      <c r="DP247" s="28" t="str">
        <f aca="false">AM247</f>
        <v/>
      </c>
      <c r="DQ247" s="28" t="str">
        <f aca="false">AQ247</f>
        <v/>
      </c>
      <c r="DR247" s="28" t="str">
        <f aca="false">AU247</f>
        <v/>
      </c>
      <c r="DS247" s="28" t="str">
        <f aca="false">AY247</f>
        <v/>
      </c>
      <c r="DT247" s="28" t="str">
        <f aca="false">BC247</f>
        <v/>
      </c>
      <c r="DU247" s="28" t="str">
        <f aca="false">BG247</f>
        <v/>
      </c>
      <c r="DV247" s="28" t="str">
        <f aca="false">BK247</f>
        <v/>
      </c>
      <c r="DW247" s="28" t="str">
        <f aca="false">BO247</f>
        <v/>
      </c>
      <c r="DX247" s="28" t="str">
        <f aca="false">BS247</f>
        <v/>
      </c>
      <c r="DY247" s="28" t="n">
        <f aca="false">IF(ISNUMBER(S247),1,"")</f>
        <v>1</v>
      </c>
      <c r="DZ247" s="28" t="str">
        <f aca="false">IF(ISNUMBER(W247),2,"")</f>
        <v/>
      </c>
      <c r="EA247" s="28" t="str">
        <f aca="false">IF(ISNUMBER(AA247),3,"")</f>
        <v/>
      </c>
      <c r="EB247" s="28" t="str">
        <f aca="false">IF(ISNUMBER(AE247),4,"")</f>
        <v/>
      </c>
      <c r="EC247" s="28" t="str">
        <f aca="false">IF(ISNUMBER(AI247),5,"")</f>
        <v/>
      </c>
      <c r="ED247" s="28" t="str">
        <f aca="false">IF(ISNUMBER(AM247),6,"")</f>
        <v/>
      </c>
      <c r="EE247" s="28" t="str">
        <f aca="false">IF(ISNUMBER(AQ247),7,"")</f>
        <v/>
      </c>
      <c r="EF247" s="28" t="str">
        <f aca="false">IF(ISNUMBER(AU247),8,"")</f>
        <v/>
      </c>
      <c r="EG247" s="28" t="str">
        <f aca="false">IF(ISNUMBER(AY247),9,"")</f>
        <v/>
      </c>
      <c r="EH247" s="28" t="str">
        <f aca="false">IF(ISNUMBER(BC247),10,"")</f>
        <v/>
      </c>
      <c r="EI247" s="28" t="str">
        <f aca="false">IF(ISNUMBER(BG247),11,"")</f>
        <v/>
      </c>
      <c r="EJ247" s="28" t="str">
        <f aca="false">IF(ISNUMBER(BK247),12,"")</f>
        <v/>
      </c>
      <c r="EK247" s="28" t="str">
        <f aca="false">IF(ISNUMBER(BO247),13,"")</f>
        <v/>
      </c>
      <c r="EL247" s="28" t="str">
        <f aca="false">IF(ISNUMBER(BS247),14,"")</f>
        <v/>
      </c>
      <c r="EM247" s="28" t="n">
        <f aca="false">IF(ISNUMBER(R247),R247*CW247,0)</f>
        <v>60</v>
      </c>
      <c r="EN247" s="28" t="n">
        <f aca="false">IF(ISNUMBER(V247),V247*CX247,0)</f>
        <v>0</v>
      </c>
      <c r="EO247" s="28" t="n">
        <f aca="false">IF(ISNUMBER(Z247),Z247*CY247,0)</f>
        <v>0</v>
      </c>
      <c r="EP247" s="28" t="n">
        <f aca="false">IF(ISNUMBER(AD247),AD247*CZ247,0)</f>
        <v>0</v>
      </c>
      <c r="EQ247" s="28" t="n">
        <f aca="false">IF(ISNUMBER(AH247),AH247*DA247,0)</f>
        <v>0</v>
      </c>
      <c r="ER247" s="28" t="n">
        <f aca="false">IF(ISNUMBER(AL247),AL247*DB247,0)</f>
        <v>0</v>
      </c>
      <c r="ES247" s="28" t="n">
        <f aca="false">IF(ISNUMBER(AP247),AP247*DC247,0)</f>
        <v>0</v>
      </c>
      <c r="ET247" s="28" t="n">
        <f aca="false">IF(ISNUMBER(AT247),AT247*DD247,0)</f>
        <v>0</v>
      </c>
      <c r="EU247" s="28" t="n">
        <f aca="false">IF(ISNUMBER(AX247),AX247*DE247,0)</f>
        <v>0</v>
      </c>
      <c r="EV247" s="28" t="n">
        <f aca="false">IF(ISNUMBER(BB247),BB247*DF247,0)</f>
        <v>0</v>
      </c>
      <c r="EW247" s="28" t="n">
        <f aca="false">IF(ISNUMBER(BF247),BF247*DG247,0)</f>
        <v>0</v>
      </c>
      <c r="EX247" s="28" t="n">
        <f aca="false">IF(ISNUMBER(BJ247),BJ247*DH247,0)</f>
        <v>0</v>
      </c>
      <c r="EY247" s="28" t="n">
        <f aca="false">IF(ISNUMBER(BN247),BN247*DI247,0)</f>
        <v>0</v>
      </c>
      <c r="EZ247" s="28" t="n">
        <f aca="false">IF(ISNUMBER(BR247),BR247*DJ247,0)</f>
        <v>0</v>
      </c>
      <c r="FA247" s="28" t="n">
        <f aca="false">IF(ISNUMBER(R247),CW247,0)</f>
        <v>1</v>
      </c>
      <c r="FB247" s="28" t="n">
        <f aca="false">IF(ISNUMBER(V247),CX247,0)</f>
        <v>0</v>
      </c>
      <c r="FC247" s="28" t="n">
        <f aca="false">IF(ISNUMBER(Z247),CY247,0)</f>
        <v>0</v>
      </c>
      <c r="FD247" s="28" t="n">
        <f aca="false">IF(ISNUMBER(AD247),CZ247,0)</f>
        <v>0</v>
      </c>
      <c r="FE247" s="28" t="n">
        <f aca="false">IF(ISNUMBER(AH247),DA247,0)</f>
        <v>0</v>
      </c>
      <c r="FF247" s="28" t="n">
        <f aca="false">IF(ISNUMBER(AL247),DB247,0)</f>
        <v>0</v>
      </c>
      <c r="FG247" s="28" t="n">
        <f aca="false">IF(ISNUMBER(AP247),DC247,0)</f>
        <v>0</v>
      </c>
      <c r="FH247" s="28" t="n">
        <f aca="false">IF(ISNUMBER(AT247),DD247,0)</f>
        <v>0</v>
      </c>
      <c r="FI247" s="28" t="n">
        <f aca="false">IF(ISNUMBER(AX247),DE247,0)</f>
        <v>0</v>
      </c>
      <c r="FJ247" s="28" t="n">
        <f aca="false">IF(ISNUMBER(BB247),DF247,0)</f>
        <v>0</v>
      </c>
      <c r="FK247" s="28" t="n">
        <f aca="false">IF(ISNUMBER(BF247),DG247,0)</f>
        <v>0</v>
      </c>
      <c r="FL247" s="28" t="n">
        <f aca="false">IF(ISNUMBER(BJ247),DH247,0)</f>
        <v>0</v>
      </c>
      <c r="FM247" s="28" t="n">
        <f aca="false">IF(ISNUMBER(BN247),DI247,0)</f>
        <v>0</v>
      </c>
      <c r="FN247" s="28" t="n">
        <f aca="false">IF(ISNUMBER(BR247),DJ247,0)</f>
        <v>0</v>
      </c>
      <c r="FO247" s="28" t="str">
        <f aca="false">IFERROR(INDEX(Lists!$G$2:$G$20,MATCH($I247&amp;"|"&amp;$J247,Lists!$F$2:$F$20,0)),"")</f>
        <v>Econ Exam</v>
      </c>
    </row>
    <row r="248" customFormat="false" ht="19.5" hidden="false" customHeight="true" outlineLevel="0" collapsed="false">
      <c r="A248" s="29" t="s">
        <v>514</v>
      </c>
      <c r="B248" s="29" t="s">
        <v>515</v>
      </c>
      <c r="C248" s="30" t="s">
        <v>152</v>
      </c>
      <c r="D248" s="30" t="s">
        <v>291</v>
      </c>
      <c r="E248" s="31"/>
      <c r="F248" s="30"/>
      <c r="G248" s="30"/>
      <c r="H248" s="32" t="s">
        <v>428</v>
      </c>
      <c r="I248" s="33" t="s">
        <v>229</v>
      </c>
      <c r="J248" s="32" t="s">
        <v>25</v>
      </c>
      <c r="K248" s="34" t="str">
        <f aca="false">IF(OR(M248="",$E248=""),"",M248-$E248)</f>
        <v/>
      </c>
      <c r="L248" s="35" t="n">
        <f aca="false">IF(SUM(FA248:FN248)=0,"",SUM(EM248:EZ248)/SUM(FA248:FN248))</f>
        <v>72</v>
      </c>
      <c r="M248" s="36" t="n">
        <f aca="false">IF(OR(L248="",FO248=""),"",IFERROR(MATCH(L248,INDEX(Boundaries!$B$2:$I$30,MATCH(FO248,Boundaries!$A$2:$A$30,0),0),1)-1,""))</f>
        <v>6</v>
      </c>
      <c r="N248" s="37" t="str">
        <f aca="false">IF(COUNT($DY248:$EL248)&lt;2,"",INDEX($DK248:$DX248,MAX($DY248:$EL248))-INDEX($DK248:$DX248,MIN($DY248:$EL248)))</f>
        <v/>
      </c>
      <c r="O248" s="37" t="str">
        <f aca="false">IF(COUNT($DY248:$EL248)&lt;2,"",INDEX($DK248:$DX248,MAX($DY248:$EL248))-INDEX($DK248:$DX248,LARGE($DY248:$EL248,2)))</f>
        <v/>
      </c>
      <c r="P248" s="38" t="str">
        <f aca="false">IF(K248="","",IF(K248&gt;=0,"On/above target",IF(AND(N248&lt;&gt;"",N248&gt;=0.5),"Improving towards target",IF(AND(O248&lt;&gt;"",O248&lt;=-0.5),"Declining","Stable below target"))))</f>
        <v/>
      </c>
      <c r="Q248" s="39" t="n">
        <v>18</v>
      </c>
      <c r="R248" s="40" t="n">
        <f aca="false">IF(OR(Q248="",BU248=""),"",Q248/BU248*100)</f>
        <v>72</v>
      </c>
      <c r="S248" s="41" t="n">
        <f aca="false">IF(R248="","",IFERROR(MATCH(R248,INDEX(Boundaries!$B$2:$I$30,MATCH(CI248,Boundaries!$A$2:$A$30,0),0),1)-1,""))</f>
        <v>5</v>
      </c>
      <c r="T248" s="42" t="str">
        <f aca="false">IF(OR(S248="",$E248=""),"",S248-$E248)</f>
        <v/>
      </c>
      <c r="U248" s="39"/>
      <c r="V248" s="40" t="str">
        <f aca="false">IF(OR(U248="",BV248=""),"",U248/BV248*100)</f>
        <v/>
      </c>
      <c r="W248" s="41" t="str">
        <f aca="false">IF(V248="","",IFERROR(MATCH(V248,INDEX(Boundaries!$B$2:$I$30,MATCH(CJ248,Boundaries!$A$2:$A$30,0),0),1)-1,""))</f>
        <v/>
      </c>
      <c r="X248" s="42" t="str">
        <f aca="false">IF(OR(W248="",$E248=""),"",W248-$E248)</f>
        <v/>
      </c>
      <c r="Y248" s="39"/>
      <c r="Z248" s="40" t="str">
        <f aca="false">IF(OR(Y248="",BW248=""),"",Y248/BW248*100)</f>
        <v/>
      </c>
      <c r="AA248" s="41" t="str">
        <f aca="false">IF(Z248="","",IFERROR(MATCH(Z248,INDEX(Boundaries!$B$2:$I$30,MATCH(CK248,Boundaries!$A$2:$A$30,0),0),1)-1,""))</f>
        <v/>
      </c>
      <c r="AB248" s="42" t="str">
        <f aca="false">IF(OR(AA248="",$E248=""),"",AA248-$E248)</f>
        <v/>
      </c>
      <c r="AC248" s="39"/>
      <c r="AD248" s="40" t="str">
        <f aca="false">IF(OR(AC248="",BX248=""),"",AC248/BX248*100)</f>
        <v/>
      </c>
      <c r="AE248" s="41" t="str">
        <f aca="false">IF(AD248="","",IFERROR(MATCH(AD248,INDEX(Boundaries!$B$2:$I$30,MATCH(CL248,Boundaries!$A$2:$A$30,0),0),1)-1,""))</f>
        <v/>
      </c>
      <c r="AF248" s="42" t="str">
        <f aca="false">IF(OR(AE248="",$E248=""),"",AE248-$E248)</f>
        <v/>
      </c>
      <c r="AG248" s="39"/>
      <c r="AH248" s="40" t="str">
        <f aca="false">IF(OR(AG248="",BY248=""),"",AG248/BY248*100)</f>
        <v/>
      </c>
      <c r="AI248" s="41" t="str">
        <f aca="false">IF(AH248="","",IFERROR(MATCH(AH248,INDEX(Boundaries!$B$2:$I$30,MATCH(CM248,Boundaries!$A$2:$A$30,0),0),1)-1,""))</f>
        <v/>
      </c>
      <c r="AJ248" s="42" t="str">
        <f aca="false">IF(OR(AI248="",$E248=""),"",AI248-$E248)</f>
        <v/>
      </c>
      <c r="AK248" s="39"/>
      <c r="AL248" s="40" t="str">
        <f aca="false">IF(OR(AK248="",BZ248=""),"",AK248/BZ248*100)</f>
        <v/>
      </c>
      <c r="AM248" s="41" t="str">
        <f aca="false">IF(AL248="","",IFERROR(MATCH(AL248,INDEX(Boundaries!$B$2:$I$30,MATCH(CN248,Boundaries!$A$2:$A$30,0),0),1)-1,""))</f>
        <v/>
      </c>
      <c r="AN248" s="42" t="str">
        <f aca="false">IF(OR(AM248="",$E248=""),"",AM248-$E248)</f>
        <v/>
      </c>
      <c r="AO248" s="39"/>
      <c r="AP248" s="40" t="str">
        <f aca="false">IF(OR(AO248="",CA248=""),"",AO248/CA248*100)</f>
        <v/>
      </c>
      <c r="AQ248" s="41" t="str">
        <f aca="false">IF(AP248="","",IFERROR(MATCH(AP248,INDEX(Boundaries!$B$2:$I$30,MATCH(CO248,Boundaries!$A$2:$A$30,0),0),1)-1,""))</f>
        <v/>
      </c>
      <c r="AR248" s="42" t="str">
        <f aca="false">IF(OR(AQ248="",$E248=""),"",AQ248-$E248)</f>
        <v/>
      </c>
      <c r="AS248" s="39"/>
      <c r="AT248" s="40" t="str">
        <f aca="false">IF(OR(AS248="",CB248=""),"",AS248/CB248*100)</f>
        <v/>
      </c>
      <c r="AU248" s="41" t="str">
        <f aca="false">IF(AT248="","",IFERROR(MATCH(AT248,INDEX(Boundaries!$B$2:$I$30,MATCH(CP248,Boundaries!$A$2:$A$30,0),0),1)-1,""))</f>
        <v/>
      </c>
      <c r="AV248" s="42" t="str">
        <f aca="false">IF(OR(AU248="",$E248=""),"",AU248-$E248)</f>
        <v/>
      </c>
      <c r="AW248" s="39"/>
      <c r="AX248" s="40" t="str">
        <f aca="false">IF(OR(AW248="",CC248=""),"",AW248/CC248*100)</f>
        <v/>
      </c>
      <c r="AY248" s="41" t="str">
        <f aca="false">IF(AX248="","",IFERROR(MATCH(AX248,INDEX(Boundaries!$B$2:$I$30,MATCH(CQ248,Boundaries!$A$2:$A$30,0),0),1)-1,""))</f>
        <v/>
      </c>
      <c r="AZ248" s="42" t="str">
        <f aca="false">IF(OR(AY248="",$E248=""),"",AY248-$E248)</f>
        <v/>
      </c>
      <c r="BA248" s="39"/>
      <c r="BB248" s="40" t="str">
        <f aca="false">IF(OR(BA248="",CD248=""),"",BA248/CD248*100)</f>
        <v/>
      </c>
      <c r="BC248" s="41" t="str">
        <f aca="false">IF(BB248="","",IFERROR(MATCH(BB248,INDEX(Boundaries!$B$2:$I$30,MATCH(CR248,Boundaries!$A$2:$A$30,0),0),1)-1,""))</f>
        <v/>
      </c>
      <c r="BD248" s="42" t="str">
        <f aca="false">IF(OR(BC248="",$E248=""),"",BC248-$E248)</f>
        <v/>
      </c>
      <c r="BE248" s="39"/>
      <c r="BF248" s="40" t="str">
        <f aca="false">IF(OR(BE248="",CE248=""),"",BE248/CE248*100)</f>
        <v/>
      </c>
      <c r="BG248" s="41" t="str">
        <f aca="false">IF(BF248="","",IFERROR(MATCH(BF248,INDEX(Boundaries!$B$2:$I$30,MATCH(CS248,Boundaries!$A$2:$A$30,0),0),1)-1,""))</f>
        <v/>
      </c>
      <c r="BH248" s="42" t="str">
        <f aca="false">IF(OR(BG248="",$E248=""),"",BG248-$E248)</f>
        <v/>
      </c>
      <c r="BI248" s="39"/>
      <c r="BJ248" s="40" t="str">
        <f aca="false">IF(OR(BI248="",CF248=""),"",BI248/CF248*100)</f>
        <v/>
      </c>
      <c r="BK248" s="41" t="str">
        <f aca="false">IF(BJ248="","",IFERROR(MATCH(BJ248,INDEX(Boundaries!$B$2:$I$30,MATCH(CT248,Boundaries!$A$2:$A$30,0),0),1)-1,""))</f>
        <v/>
      </c>
      <c r="BL248" s="42" t="str">
        <f aca="false">IF(OR(BK248="",$E248=""),"",BK248-$E248)</f>
        <v/>
      </c>
      <c r="BM248" s="39"/>
      <c r="BN248" s="40" t="str">
        <f aca="false">IF(OR(BM248="",CG248=""),"",BM248/CG248*100)</f>
        <v/>
      </c>
      <c r="BO248" s="41" t="str">
        <f aca="false">IF(BN248="","",IFERROR(MATCH(BN248,INDEX(Boundaries!$B$2:$I$30,MATCH(CU248,Boundaries!$A$2:$A$30,0),0),1)-1,""))</f>
        <v/>
      </c>
      <c r="BP248" s="42" t="str">
        <f aca="false">IF(OR(BO248="",$E248=""),"",BO248-$E248)</f>
        <v/>
      </c>
      <c r="BQ248" s="39"/>
      <c r="BR248" s="40" t="str">
        <f aca="false">IF(OR(BQ248="",CH248=""),"",BQ248/CH248*100)</f>
        <v/>
      </c>
      <c r="BS248" s="41" t="str">
        <f aca="false">IF(BR248="","",IFERROR(MATCH(BR248,INDEX(Boundaries!$B$2:$I$30,MATCH(CV248,Boundaries!$A$2:$A$30,0),0),1)-1,""))</f>
        <v/>
      </c>
      <c r="BT248" s="42" t="str">
        <f aca="false">IF(OR(BS248="",$E248=""),"",BS248-$E248)</f>
        <v/>
      </c>
      <c r="BU248" s="28" t="n">
        <f aca="false">IFERROR(INDEX(Assessments!$H$2:$H$600,MATCH($H248&amp;"|"&amp;$I248&amp;"|"&amp;$J248&amp;"|"&amp;1,Assessments!$A$2:$A$600,0)),"")</f>
        <v>25</v>
      </c>
      <c r="BV248" s="28" t="n">
        <f aca="false">IFERROR(INDEX(Assessments!$H$2:$H$600,MATCH($H248&amp;"|"&amp;$I248&amp;"|"&amp;$J248&amp;"|"&amp;2,Assessments!$A$2:$A$600,0)),"")</f>
        <v>24</v>
      </c>
      <c r="BW248" s="28" t="n">
        <f aca="false">IFERROR(INDEX(Assessments!$H$2:$H$600,MATCH($H248&amp;"|"&amp;$I248&amp;"|"&amp;$J248&amp;"|"&amp;3,Assessments!$A$2:$A$600,0)),"")</f>
        <v>25</v>
      </c>
      <c r="BX248" s="28" t="n">
        <f aca="false">IFERROR(INDEX(Assessments!$H$2:$H$600,MATCH($H248&amp;"|"&amp;$I248&amp;"|"&amp;$J248&amp;"|"&amp;4,Assessments!$A$2:$A$600,0)),"")</f>
        <v>35</v>
      </c>
      <c r="BY248" s="28" t="n">
        <f aca="false">IFERROR(INDEX(Assessments!$H$2:$H$600,MATCH($H248&amp;"|"&amp;$I248&amp;"|"&amp;$J248&amp;"|"&amp;5,Assessments!$A$2:$A$600,0)),"")</f>
        <v>55</v>
      </c>
      <c r="BZ248" s="28" t="n">
        <f aca="false">IFERROR(INDEX(Assessments!$H$2:$H$600,MATCH($H248&amp;"|"&amp;$I248&amp;"|"&amp;$J248&amp;"|"&amp;6,Assessments!$A$2:$A$600,0)),"")</f>
        <v>28</v>
      </c>
      <c r="CA248" s="28" t="n">
        <f aca="false">IFERROR(INDEX(Assessments!$H$2:$H$600,MATCH($H248&amp;"|"&amp;$I248&amp;"|"&amp;$J248&amp;"|"&amp;7,Assessments!$A$2:$A$600,0)),"")</f>
        <v>95</v>
      </c>
      <c r="CB248" s="28" t="str">
        <f aca="false">IFERROR(INDEX(Assessments!$H$2:$H$600,MATCH($H248&amp;"|"&amp;$I248&amp;"|"&amp;$J248&amp;"|"&amp;8,Assessments!$A$2:$A$600,0)),"")</f>
        <v/>
      </c>
      <c r="CC248" s="28" t="str">
        <f aca="false">IFERROR(INDEX(Assessments!$H$2:$H$600,MATCH($H248&amp;"|"&amp;$I248&amp;"|"&amp;$J248&amp;"|"&amp;9,Assessments!$A$2:$A$600,0)),"")</f>
        <v/>
      </c>
      <c r="CD248" s="28" t="str">
        <f aca="false">IFERROR(INDEX(Assessments!$H$2:$H$600,MATCH($H248&amp;"|"&amp;$I248&amp;"|"&amp;$J248&amp;"|"&amp;10,Assessments!$A$2:$A$600,0)),"")</f>
        <v/>
      </c>
      <c r="CE248" s="28" t="str">
        <f aca="false">IFERROR(INDEX(Assessments!$H$2:$H$600,MATCH($H248&amp;"|"&amp;$I248&amp;"|"&amp;$J248&amp;"|"&amp;11,Assessments!$A$2:$A$600,0)),"")</f>
        <v/>
      </c>
      <c r="CF248" s="28" t="str">
        <f aca="false">IFERROR(INDEX(Assessments!$H$2:$H$600,MATCH($H248&amp;"|"&amp;$I248&amp;"|"&amp;$J248&amp;"|"&amp;12,Assessments!$A$2:$A$600,0)),"")</f>
        <v/>
      </c>
      <c r="CG248" s="28" t="str">
        <f aca="false">IFERROR(INDEX(Assessments!$H$2:$H$600,MATCH($H248&amp;"|"&amp;$I248&amp;"|"&amp;$J248&amp;"|"&amp;13,Assessments!$A$2:$A$600,0)),"")</f>
        <v/>
      </c>
      <c r="CH248" s="28" t="str">
        <f aca="false">IFERROR(INDEX(Assessments!$H$2:$H$600,MATCH($H248&amp;"|"&amp;$I248&amp;"|"&amp;$J248&amp;"|"&amp;14,Assessments!$A$2:$A$600,0)),"")</f>
        <v/>
      </c>
      <c r="CI248" s="28" t="str">
        <f aca="false">IFERROR(INDEX(Assessments!$I$2:$I$600,MATCH($H248&amp;"|"&amp;$I248&amp;"|"&amp;$J248&amp;"|"&amp;1,Assessments!$A$2:$A$600,0)),"")</f>
        <v>Econ Test</v>
      </c>
      <c r="CJ248" s="28" t="str">
        <f aca="false">IFERROR(INDEX(Assessments!$I$2:$I$600,MATCH($H248&amp;"|"&amp;$I248&amp;"|"&amp;$J248&amp;"|"&amp;2,Assessments!$A$2:$A$600,0)),"")</f>
        <v>Econ Test</v>
      </c>
      <c r="CK248" s="28" t="str">
        <f aca="false">IFERROR(INDEX(Assessments!$I$2:$I$600,MATCH($H248&amp;"|"&amp;$I248&amp;"|"&amp;$J248&amp;"|"&amp;3,Assessments!$A$2:$A$600,0)),"")</f>
        <v>Econ Test</v>
      </c>
      <c r="CL248" s="28" t="str">
        <f aca="false">IFERROR(INDEX(Assessments!$I$2:$I$600,MATCH($H248&amp;"|"&amp;$I248&amp;"|"&amp;$J248&amp;"|"&amp;4,Assessments!$A$2:$A$600,0)),"")</f>
        <v>Econ Test</v>
      </c>
      <c r="CM248" s="28" t="str">
        <f aca="false">IFERROR(INDEX(Assessments!$I$2:$I$600,MATCH($H248&amp;"|"&amp;$I248&amp;"|"&amp;$J248&amp;"|"&amp;5,Assessments!$A$2:$A$600,0)),"")</f>
        <v>Econ Exam</v>
      </c>
      <c r="CN248" s="28" t="str">
        <f aca="false">IFERROR(INDEX(Assessments!$I$2:$I$600,MATCH($H248&amp;"|"&amp;$I248&amp;"|"&amp;$J248&amp;"|"&amp;6,Assessments!$A$2:$A$600,0)),"")</f>
        <v>Econ Test</v>
      </c>
      <c r="CO248" s="28" t="str">
        <f aca="false">IFERROR(INDEX(Assessments!$I$2:$I$600,MATCH($H248&amp;"|"&amp;$I248&amp;"|"&amp;$J248&amp;"|"&amp;7,Assessments!$A$2:$A$600,0)),"")</f>
        <v>Econ Exam</v>
      </c>
      <c r="CP248" s="28" t="str">
        <f aca="false">IFERROR(INDEX(Assessments!$I$2:$I$600,MATCH($H248&amp;"|"&amp;$I248&amp;"|"&amp;$J248&amp;"|"&amp;8,Assessments!$A$2:$A$600,0)),"")</f>
        <v/>
      </c>
      <c r="CQ248" s="28" t="str">
        <f aca="false">IFERROR(INDEX(Assessments!$I$2:$I$600,MATCH($H248&amp;"|"&amp;$I248&amp;"|"&amp;$J248&amp;"|"&amp;9,Assessments!$A$2:$A$600,0)),"")</f>
        <v/>
      </c>
      <c r="CR248" s="28" t="str">
        <f aca="false">IFERROR(INDEX(Assessments!$I$2:$I$600,MATCH($H248&amp;"|"&amp;$I248&amp;"|"&amp;$J248&amp;"|"&amp;10,Assessments!$A$2:$A$600,0)),"")</f>
        <v/>
      </c>
      <c r="CS248" s="28" t="str">
        <f aca="false">IFERROR(INDEX(Assessments!$I$2:$I$600,MATCH($H248&amp;"|"&amp;$I248&amp;"|"&amp;$J248&amp;"|"&amp;11,Assessments!$A$2:$A$600,0)),"")</f>
        <v/>
      </c>
      <c r="CT248" s="28" t="str">
        <f aca="false">IFERROR(INDEX(Assessments!$I$2:$I$600,MATCH($H248&amp;"|"&amp;$I248&amp;"|"&amp;$J248&amp;"|"&amp;12,Assessments!$A$2:$A$600,0)),"")</f>
        <v/>
      </c>
      <c r="CU248" s="28" t="str">
        <f aca="false">IFERROR(INDEX(Assessments!$I$2:$I$600,MATCH($H248&amp;"|"&amp;$I248&amp;"|"&amp;$J248&amp;"|"&amp;13,Assessments!$A$2:$A$600,0)),"")</f>
        <v/>
      </c>
      <c r="CV248" s="28" t="str">
        <f aca="false">IFERROR(INDEX(Assessments!$I$2:$I$600,MATCH($H248&amp;"|"&amp;$I248&amp;"|"&amp;$J248&amp;"|"&amp;14,Assessments!$A$2:$A$600,0)),"")</f>
        <v/>
      </c>
      <c r="CW248" s="28" t="n">
        <f aca="false">IFERROR(INDEX(Assessments!$J$2:$J$600,MATCH($H248&amp;"|"&amp;$I248&amp;"|"&amp;$J248&amp;"|"&amp;1,Assessments!$A$2:$A$600,0)),0)</f>
        <v>1</v>
      </c>
      <c r="CX248" s="28" t="n">
        <f aca="false">IFERROR(INDEX(Assessments!$J$2:$J$600,MATCH($H248&amp;"|"&amp;$I248&amp;"|"&amp;$J248&amp;"|"&amp;2,Assessments!$A$2:$A$600,0)),0)</f>
        <v>1</v>
      </c>
      <c r="CY248" s="28" t="n">
        <f aca="false">IFERROR(INDEX(Assessments!$J$2:$J$600,MATCH($H248&amp;"|"&amp;$I248&amp;"|"&amp;$J248&amp;"|"&amp;3,Assessments!$A$2:$A$600,0)),0)</f>
        <v>1</v>
      </c>
      <c r="CZ248" s="28" t="n">
        <f aca="false">IFERROR(INDEX(Assessments!$J$2:$J$600,MATCH($H248&amp;"|"&amp;$I248&amp;"|"&amp;$J248&amp;"|"&amp;4,Assessments!$A$2:$A$600,0)),0)</f>
        <v>1</v>
      </c>
      <c r="DA248" s="28" t="n">
        <f aca="false">IFERROR(INDEX(Assessments!$J$2:$J$600,MATCH($H248&amp;"|"&amp;$I248&amp;"|"&amp;$J248&amp;"|"&amp;5,Assessments!$A$2:$A$600,0)),0)</f>
        <v>2</v>
      </c>
      <c r="DB248" s="28" t="n">
        <f aca="false">IFERROR(INDEX(Assessments!$J$2:$J$600,MATCH($H248&amp;"|"&amp;$I248&amp;"|"&amp;$J248&amp;"|"&amp;6,Assessments!$A$2:$A$600,0)),0)</f>
        <v>1</v>
      </c>
      <c r="DC248" s="28" t="n">
        <f aca="false">IFERROR(INDEX(Assessments!$J$2:$J$600,MATCH($H248&amp;"|"&amp;$I248&amp;"|"&amp;$J248&amp;"|"&amp;7,Assessments!$A$2:$A$600,0)),0)</f>
        <v>2</v>
      </c>
      <c r="DD248" s="28" t="n">
        <f aca="false">IFERROR(INDEX(Assessments!$J$2:$J$600,MATCH($H248&amp;"|"&amp;$I248&amp;"|"&amp;$J248&amp;"|"&amp;8,Assessments!$A$2:$A$600,0)),0)</f>
        <v>0</v>
      </c>
      <c r="DE248" s="28" t="n">
        <f aca="false">IFERROR(INDEX(Assessments!$J$2:$J$600,MATCH($H248&amp;"|"&amp;$I248&amp;"|"&amp;$J248&amp;"|"&amp;9,Assessments!$A$2:$A$600,0)),0)</f>
        <v>0</v>
      </c>
      <c r="DF248" s="28" t="n">
        <f aca="false">IFERROR(INDEX(Assessments!$J$2:$J$600,MATCH($H248&amp;"|"&amp;$I248&amp;"|"&amp;$J248&amp;"|"&amp;10,Assessments!$A$2:$A$600,0)),0)</f>
        <v>0</v>
      </c>
      <c r="DG248" s="28" t="n">
        <f aca="false">IFERROR(INDEX(Assessments!$J$2:$J$600,MATCH($H248&amp;"|"&amp;$I248&amp;"|"&amp;$J248&amp;"|"&amp;11,Assessments!$A$2:$A$600,0)),0)</f>
        <v>0</v>
      </c>
      <c r="DH248" s="28" t="n">
        <f aca="false">IFERROR(INDEX(Assessments!$J$2:$J$600,MATCH($H248&amp;"|"&amp;$I248&amp;"|"&amp;$J248&amp;"|"&amp;12,Assessments!$A$2:$A$600,0)),0)</f>
        <v>0</v>
      </c>
      <c r="DI248" s="28" t="n">
        <f aca="false">IFERROR(INDEX(Assessments!$J$2:$J$600,MATCH($H248&amp;"|"&amp;$I248&amp;"|"&amp;$J248&amp;"|"&amp;13,Assessments!$A$2:$A$600,0)),0)</f>
        <v>0</v>
      </c>
      <c r="DJ248" s="28" t="n">
        <f aca="false">IFERROR(INDEX(Assessments!$J$2:$J$600,MATCH($H248&amp;"|"&amp;$I248&amp;"|"&amp;$J248&amp;"|"&amp;14,Assessments!$A$2:$A$600,0)),0)</f>
        <v>0</v>
      </c>
      <c r="DK248" s="28" t="n">
        <f aca="false">S248</f>
        <v>5</v>
      </c>
      <c r="DL248" s="28" t="str">
        <f aca="false">W248</f>
        <v/>
      </c>
      <c r="DM248" s="28" t="str">
        <f aca="false">AA248</f>
        <v/>
      </c>
      <c r="DN248" s="28" t="str">
        <f aca="false">AE248</f>
        <v/>
      </c>
      <c r="DO248" s="28" t="str">
        <f aca="false">AI248</f>
        <v/>
      </c>
      <c r="DP248" s="28" t="str">
        <f aca="false">AM248</f>
        <v/>
      </c>
      <c r="DQ248" s="28" t="str">
        <f aca="false">AQ248</f>
        <v/>
      </c>
      <c r="DR248" s="28" t="str">
        <f aca="false">AU248</f>
        <v/>
      </c>
      <c r="DS248" s="28" t="str">
        <f aca="false">AY248</f>
        <v/>
      </c>
      <c r="DT248" s="28" t="str">
        <f aca="false">BC248</f>
        <v/>
      </c>
      <c r="DU248" s="28" t="str">
        <f aca="false">BG248</f>
        <v/>
      </c>
      <c r="DV248" s="28" t="str">
        <f aca="false">BK248</f>
        <v/>
      </c>
      <c r="DW248" s="28" t="str">
        <f aca="false">BO248</f>
        <v/>
      </c>
      <c r="DX248" s="28" t="str">
        <f aca="false">BS248</f>
        <v/>
      </c>
      <c r="DY248" s="28" t="n">
        <f aca="false">IF(ISNUMBER(S248),1,"")</f>
        <v>1</v>
      </c>
      <c r="DZ248" s="28" t="str">
        <f aca="false">IF(ISNUMBER(W248),2,"")</f>
        <v/>
      </c>
      <c r="EA248" s="28" t="str">
        <f aca="false">IF(ISNUMBER(AA248),3,"")</f>
        <v/>
      </c>
      <c r="EB248" s="28" t="str">
        <f aca="false">IF(ISNUMBER(AE248),4,"")</f>
        <v/>
      </c>
      <c r="EC248" s="28" t="str">
        <f aca="false">IF(ISNUMBER(AI248),5,"")</f>
        <v/>
      </c>
      <c r="ED248" s="28" t="str">
        <f aca="false">IF(ISNUMBER(AM248),6,"")</f>
        <v/>
      </c>
      <c r="EE248" s="28" t="str">
        <f aca="false">IF(ISNUMBER(AQ248),7,"")</f>
        <v/>
      </c>
      <c r="EF248" s="28" t="str">
        <f aca="false">IF(ISNUMBER(AU248),8,"")</f>
        <v/>
      </c>
      <c r="EG248" s="28" t="str">
        <f aca="false">IF(ISNUMBER(AY248),9,"")</f>
        <v/>
      </c>
      <c r="EH248" s="28" t="str">
        <f aca="false">IF(ISNUMBER(BC248),10,"")</f>
        <v/>
      </c>
      <c r="EI248" s="28" t="str">
        <f aca="false">IF(ISNUMBER(BG248),11,"")</f>
        <v/>
      </c>
      <c r="EJ248" s="28" t="str">
        <f aca="false">IF(ISNUMBER(BK248),12,"")</f>
        <v/>
      </c>
      <c r="EK248" s="28" t="str">
        <f aca="false">IF(ISNUMBER(BO248),13,"")</f>
        <v/>
      </c>
      <c r="EL248" s="28" t="str">
        <f aca="false">IF(ISNUMBER(BS248),14,"")</f>
        <v/>
      </c>
      <c r="EM248" s="28" t="n">
        <f aca="false">IF(ISNUMBER(R248),R248*CW248,0)</f>
        <v>72</v>
      </c>
      <c r="EN248" s="28" t="n">
        <f aca="false">IF(ISNUMBER(V248),V248*CX248,0)</f>
        <v>0</v>
      </c>
      <c r="EO248" s="28" t="n">
        <f aca="false">IF(ISNUMBER(Z248),Z248*CY248,0)</f>
        <v>0</v>
      </c>
      <c r="EP248" s="28" t="n">
        <f aca="false">IF(ISNUMBER(AD248),AD248*CZ248,0)</f>
        <v>0</v>
      </c>
      <c r="EQ248" s="28" t="n">
        <f aca="false">IF(ISNUMBER(AH248),AH248*DA248,0)</f>
        <v>0</v>
      </c>
      <c r="ER248" s="28" t="n">
        <f aca="false">IF(ISNUMBER(AL248),AL248*DB248,0)</f>
        <v>0</v>
      </c>
      <c r="ES248" s="28" t="n">
        <f aca="false">IF(ISNUMBER(AP248),AP248*DC248,0)</f>
        <v>0</v>
      </c>
      <c r="ET248" s="28" t="n">
        <f aca="false">IF(ISNUMBER(AT248),AT248*DD248,0)</f>
        <v>0</v>
      </c>
      <c r="EU248" s="28" t="n">
        <f aca="false">IF(ISNUMBER(AX248),AX248*DE248,0)</f>
        <v>0</v>
      </c>
      <c r="EV248" s="28" t="n">
        <f aca="false">IF(ISNUMBER(BB248),BB248*DF248,0)</f>
        <v>0</v>
      </c>
      <c r="EW248" s="28" t="n">
        <f aca="false">IF(ISNUMBER(BF248),BF248*DG248,0)</f>
        <v>0</v>
      </c>
      <c r="EX248" s="28" t="n">
        <f aca="false">IF(ISNUMBER(BJ248),BJ248*DH248,0)</f>
        <v>0</v>
      </c>
      <c r="EY248" s="28" t="n">
        <f aca="false">IF(ISNUMBER(BN248),BN248*DI248,0)</f>
        <v>0</v>
      </c>
      <c r="EZ248" s="28" t="n">
        <f aca="false">IF(ISNUMBER(BR248),BR248*DJ248,0)</f>
        <v>0</v>
      </c>
      <c r="FA248" s="28" t="n">
        <f aca="false">IF(ISNUMBER(R248),CW248,0)</f>
        <v>1</v>
      </c>
      <c r="FB248" s="28" t="n">
        <f aca="false">IF(ISNUMBER(V248),CX248,0)</f>
        <v>0</v>
      </c>
      <c r="FC248" s="28" t="n">
        <f aca="false">IF(ISNUMBER(Z248),CY248,0)</f>
        <v>0</v>
      </c>
      <c r="FD248" s="28" t="n">
        <f aca="false">IF(ISNUMBER(AD248),CZ248,0)</f>
        <v>0</v>
      </c>
      <c r="FE248" s="28" t="n">
        <f aca="false">IF(ISNUMBER(AH248),DA248,0)</f>
        <v>0</v>
      </c>
      <c r="FF248" s="28" t="n">
        <f aca="false">IF(ISNUMBER(AL248),DB248,0)</f>
        <v>0</v>
      </c>
      <c r="FG248" s="28" t="n">
        <f aca="false">IF(ISNUMBER(AP248),DC248,0)</f>
        <v>0</v>
      </c>
      <c r="FH248" s="28" t="n">
        <f aca="false">IF(ISNUMBER(AT248),DD248,0)</f>
        <v>0</v>
      </c>
      <c r="FI248" s="28" t="n">
        <f aca="false">IF(ISNUMBER(AX248),DE248,0)</f>
        <v>0</v>
      </c>
      <c r="FJ248" s="28" t="n">
        <f aca="false">IF(ISNUMBER(BB248),DF248,0)</f>
        <v>0</v>
      </c>
      <c r="FK248" s="28" t="n">
        <f aca="false">IF(ISNUMBER(BF248),DG248,0)</f>
        <v>0</v>
      </c>
      <c r="FL248" s="28" t="n">
        <f aca="false">IF(ISNUMBER(BJ248),DH248,0)</f>
        <v>0</v>
      </c>
      <c r="FM248" s="28" t="n">
        <f aca="false">IF(ISNUMBER(BN248),DI248,0)</f>
        <v>0</v>
      </c>
      <c r="FN248" s="28" t="n">
        <f aca="false">IF(ISNUMBER(BR248),DJ248,0)</f>
        <v>0</v>
      </c>
      <c r="FO248" s="28" t="str">
        <f aca="false">IFERROR(INDEX(Lists!$G$2:$G$20,MATCH($I248&amp;"|"&amp;$J248,Lists!$F$2:$F$20,0)),"")</f>
        <v>Econ Exam</v>
      </c>
    </row>
    <row r="249" customFormat="false" ht="19.5" hidden="false" customHeight="true" outlineLevel="0" collapsed="false">
      <c r="A249" s="29" t="s">
        <v>516</v>
      </c>
      <c r="B249" s="29" t="s">
        <v>517</v>
      </c>
      <c r="C249" s="30" t="s">
        <v>152</v>
      </c>
      <c r="D249" s="30" t="s">
        <v>291</v>
      </c>
      <c r="E249" s="31"/>
      <c r="F249" s="30"/>
      <c r="G249" s="30"/>
      <c r="H249" s="32" t="s">
        <v>428</v>
      </c>
      <c r="I249" s="33" t="s">
        <v>229</v>
      </c>
      <c r="J249" s="32" t="s">
        <v>25</v>
      </c>
      <c r="K249" s="34" t="str">
        <f aca="false">IF(OR(M249="",$E249=""),"",M249-$E249)</f>
        <v/>
      </c>
      <c r="L249" s="35" t="n">
        <f aca="false">IF(SUM(FA249:FN249)=0,"",SUM(EM249:EZ249)/SUM(FA249:FN249))</f>
        <v>84</v>
      </c>
      <c r="M249" s="36" t="n">
        <f aca="false">IF(OR(L249="",FO249=""),"",IFERROR(MATCH(L249,INDEX(Boundaries!$B$2:$I$30,MATCH(FO249,Boundaries!$A$2:$A$30,0),0),1)-1,""))</f>
        <v>7</v>
      </c>
      <c r="N249" s="37" t="str">
        <f aca="false">IF(COUNT($DY249:$EL249)&lt;2,"",INDEX($DK249:$DX249,MAX($DY249:$EL249))-INDEX($DK249:$DX249,MIN($DY249:$EL249)))</f>
        <v/>
      </c>
      <c r="O249" s="37" t="str">
        <f aca="false">IF(COUNT($DY249:$EL249)&lt;2,"",INDEX($DK249:$DX249,MAX($DY249:$EL249))-INDEX($DK249:$DX249,LARGE($DY249:$EL249,2)))</f>
        <v/>
      </c>
      <c r="P249" s="38" t="str">
        <f aca="false">IF(K249="","",IF(K249&gt;=0,"On/above target",IF(AND(N249&lt;&gt;"",N249&gt;=0.5),"Improving towards target",IF(AND(O249&lt;&gt;"",O249&lt;=-0.5),"Declining","Stable below target"))))</f>
        <v/>
      </c>
      <c r="Q249" s="39" t="n">
        <v>21</v>
      </c>
      <c r="R249" s="40" t="n">
        <f aca="false">IF(OR(Q249="",BU249=""),"",Q249/BU249*100)</f>
        <v>84</v>
      </c>
      <c r="S249" s="41" t="n">
        <f aca="false">IF(R249="","",IFERROR(MATCH(R249,INDEX(Boundaries!$B$2:$I$30,MATCH(CI249,Boundaries!$A$2:$A$30,0),0),1)-1,""))</f>
        <v>6</v>
      </c>
      <c r="T249" s="42" t="str">
        <f aca="false">IF(OR(S249="",$E249=""),"",S249-$E249)</f>
        <v/>
      </c>
      <c r="U249" s="39"/>
      <c r="V249" s="40" t="str">
        <f aca="false">IF(OR(U249="",BV249=""),"",U249/BV249*100)</f>
        <v/>
      </c>
      <c r="W249" s="41" t="str">
        <f aca="false">IF(V249="","",IFERROR(MATCH(V249,INDEX(Boundaries!$B$2:$I$30,MATCH(CJ249,Boundaries!$A$2:$A$30,0),0),1)-1,""))</f>
        <v/>
      </c>
      <c r="X249" s="42" t="str">
        <f aca="false">IF(OR(W249="",$E249=""),"",W249-$E249)</f>
        <v/>
      </c>
      <c r="Y249" s="39"/>
      <c r="Z249" s="40" t="str">
        <f aca="false">IF(OR(Y249="",BW249=""),"",Y249/BW249*100)</f>
        <v/>
      </c>
      <c r="AA249" s="41" t="str">
        <f aca="false">IF(Z249="","",IFERROR(MATCH(Z249,INDEX(Boundaries!$B$2:$I$30,MATCH(CK249,Boundaries!$A$2:$A$30,0),0),1)-1,""))</f>
        <v/>
      </c>
      <c r="AB249" s="42" t="str">
        <f aca="false">IF(OR(AA249="",$E249=""),"",AA249-$E249)</f>
        <v/>
      </c>
      <c r="AC249" s="39"/>
      <c r="AD249" s="40" t="str">
        <f aca="false">IF(OR(AC249="",BX249=""),"",AC249/BX249*100)</f>
        <v/>
      </c>
      <c r="AE249" s="41" t="str">
        <f aca="false">IF(AD249="","",IFERROR(MATCH(AD249,INDEX(Boundaries!$B$2:$I$30,MATCH(CL249,Boundaries!$A$2:$A$30,0),0),1)-1,""))</f>
        <v/>
      </c>
      <c r="AF249" s="42" t="str">
        <f aca="false">IF(OR(AE249="",$E249=""),"",AE249-$E249)</f>
        <v/>
      </c>
      <c r="AG249" s="39"/>
      <c r="AH249" s="40" t="str">
        <f aca="false">IF(OR(AG249="",BY249=""),"",AG249/BY249*100)</f>
        <v/>
      </c>
      <c r="AI249" s="41" t="str">
        <f aca="false">IF(AH249="","",IFERROR(MATCH(AH249,INDEX(Boundaries!$B$2:$I$30,MATCH(CM249,Boundaries!$A$2:$A$30,0),0),1)-1,""))</f>
        <v/>
      </c>
      <c r="AJ249" s="42" t="str">
        <f aca="false">IF(OR(AI249="",$E249=""),"",AI249-$E249)</f>
        <v/>
      </c>
      <c r="AK249" s="39"/>
      <c r="AL249" s="40" t="str">
        <f aca="false">IF(OR(AK249="",BZ249=""),"",AK249/BZ249*100)</f>
        <v/>
      </c>
      <c r="AM249" s="41" t="str">
        <f aca="false">IF(AL249="","",IFERROR(MATCH(AL249,INDEX(Boundaries!$B$2:$I$30,MATCH(CN249,Boundaries!$A$2:$A$30,0),0),1)-1,""))</f>
        <v/>
      </c>
      <c r="AN249" s="42" t="str">
        <f aca="false">IF(OR(AM249="",$E249=""),"",AM249-$E249)</f>
        <v/>
      </c>
      <c r="AO249" s="39"/>
      <c r="AP249" s="40" t="str">
        <f aca="false">IF(OR(AO249="",CA249=""),"",AO249/CA249*100)</f>
        <v/>
      </c>
      <c r="AQ249" s="41" t="str">
        <f aca="false">IF(AP249="","",IFERROR(MATCH(AP249,INDEX(Boundaries!$B$2:$I$30,MATCH(CO249,Boundaries!$A$2:$A$30,0),0),1)-1,""))</f>
        <v/>
      </c>
      <c r="AR249" s="42" t="str">
        <f aca="false">IF(OR(AQ249="",$E249=""),"",AQ249-$E249)</f>
        <v/>
      </c>
      <c r="AS249" s="39"/>
      <c r="AT249" s="40" t="str">
        <f aca="false">IF(OR(AS249="",CB249=""),"",AS249/CB249*100)</f>
        <v/>
      </c>
      <c r="AU249" s="41" t="str">
        <f aca="false">IF(AT249="","",IFERROR(MATCH(AT249,INDEX(Boundaries!$B$2:$I$30,MATCH(CP249,Boundaries!$A$2:$A$30,0),0),1)-1,""))</f>
        <v/>
      </c>
      <c r="AV249" s="42" t="str">
        <f aca="false">IF(OR(AU249="",$E249=""),"",AU249-$E249)</f>
        <v/>
      </c>
      <c r="AW249" s="39"/>
      <c r="AX249" s="40" t="str">
        <f aca="false">IF(OR(AW249="",CC249=""),"",AW249/CC249*100)</f>
        <v/>
      </c>
      <c r="AY249" s="41" t="str">
        <f aca="false">IF(AX249="","",IFERROR(MATCH(AX249,INDEX(Boundaries!$B$2:$I$30,MATCH(CQ249,Boundaries!$A$2:$A$30,0),0),1)-1,""))</f>
        <v/>
      </c>
      <c r="AZ249" s="42" t="str">
        <f aca="false">IF(OR(AY249="",$E249=""),"",AY249-$E249)</f>
        <v/>
      </c>
      <c r="BA249" s="39"/>
      <c r="BB249" s="40" t="str">
        <f aca="false">IF(OR(BA249="",CD249=""),"",BA249/CD249*100)</f>
        <v/>
      </c>
      <c r="BC249" s="41" t="str">
        <f aca="false">IF(BB249="","",IFERROR(MATCH(BB249,INDEX(Boundaries!$B$2:$I$30,MATCH(CR249,Boundaries!$A$2:$A$30,0),0),1)-1,""))</f>
        <v/>
      </c>
      <c r="BD249" s="42" t="str">
        <f aca="false">IF(OR(BC249="",$E249=""),"",BC249-$E249)</f>
        <v/>
      </c>
      <c r="BE249" s="39"/>
      <c r="BF249" s="40" t="str">
        <f aca="false">IF(OR(BE249="",CE249=""),"",BE249/CE249*100)</f>
        <v/>
      </c>
      <c r="BG249" s="41" t="str">
        <f aca="false">IF(BF249="","",IFERROR(MATCH(BF249,INDEX(Boundaries!$B$2:$I$30,MATCH(CS249,Boundaries!$A$2:$A$30,0),0),1)-1,""))</f>
        <v/>
      </c>
      <c r="BH249" s="42" t="str">
        <f aca="false">IF(OR(BG249="",$E249=""),"",BG249-$E249)</f>
        <v/>
      </c>
      <c r="BI249" s="39"/>
      <c r="BJ249" s="40" t="str">
        <f aca="false">IF(OR(BI249="",CF249=""),"",BI249/CF249*100)</f>
        <v/>
      </c>
      <c r="BK249" s="41" t="str">
        <f aca="false">IF(BJ249="","",IFERROR(MATCH(BJ249,INDEX(Boundaries!$B$2:$I$30,MATCH(CT249,Boundaries!$A$2:$A$30,0),0),1)-1,""))</f>
        <v/>
      </c>
      <c r="BL249" s="42" t="str">
        <f aca="false">IF(OR(BK249="",$E249=""),"",BK249-$E249)</f>
        <v/>
      </c>
      <c r="BM249" s="39"/>
      <c r="BN249" s="40" t="str">
        <f aca="false">IF(OR(BM249="",CG249=""),"",BM249/CG249*100)</f>
        <v/>
      </c>
      <c r="BO249" s="41" t="str">
        <f aca="false">IF(BN249="","",IFERROR(MATCH(BN249,INDEX(Boundaries!$B$2:$I$30,MATCH(CU249,Boundaries!$A$2:$A$30,0),0),1)-1,""))</f>
        <v/>
      </c>
      <c r="BP249" s="42" t="str">
        <f aca="false">IF(OR(BO249="",$E249=""),"",BO249-$E249)</f>
        <v/>
      </c>
      <c r="BQ249" s="39"/>
      <c r="BR249" s="40" t="str">
        <f aca="false">IF(OR(BQ249="",CH249=""),"",BQ249/CH249*100)</f>
        <v/>
      </c>
      <c r="BS249" s="41" t="str">
        <f aca="false">IF(BR249="","",IFERROR(MATCH(BR249,INDEX(Boundaries!$B$2:$I$30,MATCH(CV249,Boundaries!$A$2:$A$30,0),0),1)-1,""))</f>
        <v/>
      </c>
      <c r="BT249" s="42" t="str">
        <f aca="false">IF(OR(BS249="",$E249=""),"",BS249-$E249)</f>
        <v/>
      </c>
      <c r="BU249" s="28" t="n">
        <f aca="false">IFERROR(INDEX(Assessments!$H$2:$H$600,MATCH($H249&amp;"|"&amp;$I249&amp;"|"&amp;$J249&amp;"|"&amp;1,Assessments!$A$2:$A$600,0)),"")</f>
        <v>25</v>
      </c>
      <c r="BV249" s="28" t="n">
        <f aca="false">IFERROR(INDEX(Assessments!$H$2:$H$600,MATCH($H249&amp;"|"&amp;$I249&amp;"|"&amp;$J249&amp;"|"&amp;2,Assessments!$A$2:$A$600,0)),"")</f>
        <v>24</v>
      </c>
      <c r="BW249" s="28" t="n">
        <f aca="false">IFERROR(INDEX(Assessments!$H$2:$H$600,MATCH($H249&amp;"|"&amp;$I249&amp;"|"&amp;$J249&amp;"|"&amp;3,Assessments!$A$2:$A$600,0)),"")</f>
        <v>25</v>
      </c>
      <c r="BX249" s="28" t="n">
        <f aca="false">IFERROR(INDEX(Assessments!$H$2:$H$600,MATCH($H249&amp;"|"&amp;$I249&amp;"|"&amp;$J249&amp;"|"&amp;4,Assessments!$A$2:$A$600,0)),"")</f>
        <v>35</v>
      </c>
      <c r="BY249" s="28" t="n">
        <f aca="false">IFERROR(INDEX(Assessments!$H$2:$H$600,MATCH($H249&amp;"|"&amp;$I249&amp;"|"&amp;$J249&amp;"|"&amp;5,Assessments!$A$2:$A$600,0)),"")</f>
        <v>55</v>
      </c>
      <c r="BZ249" s="28" t="n">
        <f aca="false">IFERROR(INDEX(Assessments!$H$2:$H$600,MATCH($H249&amp;"|"&amp;$I249&amp;"|"&amp;$J249&amp;"|"&amp;6,Assessments!$A$2:$A$600,0)),"")</f>
        <v>28</v>
      </c>
      <c r="CA249" s="28" t="n">
        <f aca="false">IFERROR(INDEX(Assessments!$H$2:$H$600,MATCH($H249&amp;"|"&amp;$I249&amp;"|"&amp;$J249&amp;"|"&amp;7,Assessments!$A$2:$A$600,0)),"")</f>
        <v>95</v>
      </c>
      <c r="CB249" s="28" t="str">
        <f aca="false">IFERROR(INDEX(Assessments!$H$2:$H$600,MATCH($H249&amp;"|"&amp;$I249&amp;"|"&amp;$J249&amp;"|"&amp;8,Assessments!$A$2:$A$600,0)),"")</f>
        <v/>
      </c>
      <c r="CC249" s="28" t="str">
        <f aca="false">IFERROR(INDEX(Assessments!$H$2:$H$600,MATCH($H249&amp;"|"&amp;$I249&amp;"|"&amp;$J249&amp;"|"&amp;9,Assessments!$A$2:$A$600,0)),"")</f>
        <v/>
      </c>
      <c r="CD249" s="28" t="str">
        <f aca="false">IFERROR(INDEX(Assessments!$H$2:$H$600,MATCH($H249&amp;"|"&amp;$I249&amp;"|"&amp;$J249&amp;"|"&amp;10,Assessments!$A$2:$A$600,0)),"")</f>
        <v/>
      </c>
      <c r="CE249" s="28" t="str">
        <f aca="false">IFERROR(INDEX(Assessments!$H$2:$H$600,MATCH($H249&amp;"|"&amp;$I249&amp;"|"&amp;$J249&amp;"|"&amp;11,Assessments!$A$2:$A$600,0)),"")</f>
        <v/>
      </c>
      <c r="CF249" s="28" t="str">
        <f aca="false">IFERROR(INDEX(Assessments!$H$2:$H$600,MATCH($H249&amp;"|"&amp;$I249&amp;"|"&amp;$J249&amp;"|"&amp;12,Assessments!$A$2:$A$600,0)),"")</f>
        <v/>
      </c>
      <c r="CG249" s="28" t="str">
        <f aca="false">IFERROR(INDEX(Assessments!$H$2:$H$600,MATCH($H249&amp;"|"&amp;$I249&amp;"|"&amp;$J249&amp;"|"&amp;13,Assessments!$A$2:$A$600,0)),"")</f>
        <v/>
      </c>
      <c r="CH249" s="28" t="str">
        <f aca="false">IFERROR(INDEX(Assessments!$H$2:$H$600,MATCH($H249&amp;"|"&amp;$I249&amp;"|"&amp;$J249&amp;"|"&amp;14,Assessments!$A$2:$A$600,0)),"")</f>
        <v/>
      </c>
      <c r="CI249" s="28" t="str">
        <f aca="false">IFERROR(INDEX(Assessments!$I$2:$I$600,MATCH($H249&amp;"|"&amp;$I249&amp;"|"&amp;$J249&amp;"|"&amp;1,Assessments!$A$2:$A$600,0)),"")</f>
        <v>Econ Test</v>
      </c>
      <c r="CJ249" s="28" t="str">
        <f aca="false">IFERROR(INDEX(Assessments!$I$2:$I$600,MATCH($H249&amp;"|"&amp;$I249&amp;"|"&amp;$J249&amp;"|"&amp;2,Assessments!$A$2:$A$600,0)),"")</f>
        <v>Econ Test</v>
      </c>
      <c r="CK249" s="28" t="str">
        <f aca="false">IFERROR(INDEX(Assessments!$I$2:$I$600,MATCH($H249&amp;"|"&amp;$I249&amp;"|"&amp;$J249&amp;"|"&amp;3,Assessments!$A$2:$A$600,0)),"")</f>
        <v>Econ Test</v>
      </c>
      <c r="CL249" s="28" t="str">
        <f aca="false">IFERROR(INDEX(Assessments!$I$2:$I$600,MATCH($H249&amp;"|"&amp;$I249&amp;"|"&amp;$J249&amp;"|"&amp;4,Assessments!$A$2:$A$600,0)),"")</f>
        <v>Econ Test</v>
      </c>
      <c r="CM249" s="28" t="str">
        <f aca="false">IFERROR(INDEX(Assessments!$I$2:$I$600,MATCH($H249&amp;"|"&amp;$I249&amp;"|"&amp;$J249&amp;"|"&amp;5,Assessments!$A$2:$A$600,0)),"")</f>
        <v>Econ Exam</v>
      </c>
      <c r="CN249" s="28" t="str">
        <f aca="false">IFERROR(INDEX(Assessments!$I$2:$I$600,MATCH($H249&amp;"|"&amp;$I249&amp;"|"&amp;$J249&amp;"|"&amp;6,Assessments!$A$2:$A$600,0)),"")</f>
        <v>Econ Test</v>
      </c>
      <c r="CO249" s="28" t="str">
        <f aca="false">IFERROR(INDEX(Assessments!$I$2:$I$600,MATCH($H249&amp;"|"&amp;$I249&amp;"|"&amp;$J249&amp;"|"&amp;7,Assessments!$A$2:$A$600,0)),"")</f>
        <v>Econ Exam</v>
      </c>
      <c r="CP249" s="28" t="str">
        <f aca="false">IFERROR(INDEX(Assessments!$I$2:$I$600,MATCH($H249&amp;"|"&amp;$I249&amp;"|"&amp;$J249&amp;"|"&amp;8,Assessments!$A$2:$A$600,0)),"")</f>
        <v/>
      </c>
      <c r="CQ249" s="28" t="str">
        <f aca="false">IFERROR(INDEX(Assessments!$I$2:$I$600,MATCH($H249&amp;"|"&amp;$I249&amp;"|"&amp;$J249&amp;"|"&amp;9,Assessments!$A$2:$A$600,0)),"")</f>
        <v/>
      </c>
      <c r="CR249" s="28" t="str">
        <f aca="false">IFERROR(INDEX(Assessments!$I$2:$I$600,MATCH($H249&amp;"|"&amp;$I249&amp;"|"&amp;$J249&amp;"|"&amp;10,Assessments!$A$2:$A$600,0)),"")</f>
        <v/>
      </c>
      <c r="CS249" s="28" t="str">
        <f aca="false">IFERROR(INDEX(Assessments!$I$2:$I$600,MATCH($H249&amp;"|"&amp;$I249&amp;"|"&amp;$J249&amp;"|"&amp;11,Assessments!$A$2:$A$600,0)),"")</f>
        <v/>
      </c>
      <c r="CT249" s="28" t="str">
        <f aca="false">IFERROR(INDEX(Assessments!$I$2:$I$600,MATCH($H249&amp;"|"&amp;$I249&amp;"|"&amp;$J249&amp;"|"&amp;12,Assessments!$A$2:$A$600,0)),"")</f>
        <v/>
      </c>
      <c r="CU249" s="28" t="str">
        <f aca="false">IFERROR(INDEX(Assessments!$I$2:$I$600,MATCH($H249&amp;"|"&amp;$I249&amp;"|"&amp;$J249&amp;"|"&amp;13,Assessments!$A$2:$A$600,0)),"")</f>
        <v/>
      </c>
      <c r="CV249" s="28" t="str">
        <f aca="false">IFERROR(INDEX(Assessments!$I$2:$I$600,MATCH($H249&amp;"|"&amp;$I249&amp;"|"&amp;$J249&amp;"|"&amp;14,Assessments!$A$2:$A$600,0)),"")</f>
        <v/>
      </c>
      <c r="CW249" s="28" t="n">
        <f aca="false">IFERROR(INDEX(Assessments!$J$2:$J$600,MATCH($H249&amp;"|"&amp;$I249&amp;"|"&amp;$J249&amp;"|"&amp;1,Assessments!$A$2:$A$600,0)),0)</f>
        <v>1</v>
      </c>
      <c r="CX249" s="28" t="n">
        <f aca="false">IFERROR(INDEX(Assessments!$J$2:$J$600,MATCH($H249&amp;"|"&amp;$I249&amp;"|"&amp;$J249&amp;"|"&amp;2,Assessments!$A$2:$A$600,0)),0)</f>
        <v>1</v>
      </c>
      <c r="CY249" s="28" t="n">
        <f aca="false">IFERROR(INDEX(Assessments!$J$2:$J$600,MATCH($H249&amp;"|"&amp;$I249&amp;"|"&amp;$J249&amp;"|"&amp;3,Assessments!$A$2:$A$600,0)),0)</f>
        <v>1</v>
      </c>
      <c r="CZ249" s="28" t="n">
        <f aca="false">IFERROR(INDEX(Assessments!$J$2:$J$600,MATCH($H249&amp;"|"&amp;$I249&amp;"|"&amp;$J249&amp;"|"&amp;4,Assessments!$A$2:$A$600,0)),0)</f>
        <v>1</v>
      </c>
      <c r="DA249" s="28" t="n">
        <f aca="false">IFERROR(INDEX(Assessments!$J$2:$J$600,MATCH($H249&amp;"|"&amp;$I249&amp;"|"&amp;$J249&amp;"|"&amp;5,Assessments!$A$2:$A$600,0)),0)</f>
        <v>2</v>
      </c>
      <c r="DB249" s="28" t="n">
        <f aca="false">IFERROR(INDEX(Assessments!$J$2:$J$600,MATCH($H249&amp;"|"&amp;$I249&amp;"|"&amp;$J249&amp;"|"&amp;6,Assessments!$A$2:$A$600,0)),0)</f>
        <v>1</v>
      </c>
      <c r="DC249" s="28" t="n">
        <f aca="false">IFERROR(INDEX(Assessments!$J$2:$J$600,MATCH($H249&amp;"|"&amp;$I249&amp;"|"&amp;$J249&amp;"|"&amp;7,Assessments!$A$2:$A$600,0)),0)</f>
        <v>2</v>
      </c>
      <c r="DD249" s="28" t="n">
        <f aca="false">IFERROR(INDEX(Assessments!$J$2:$J$600,MATCH($H249&amp;"|"&amp;$I249&amp;"|"&amp;$J249&amp;"|"&amp;8,Assessments!$A$2:$A$600,0)),0)</f>
        <v>0</v>
      </c>
      <c r="DE249" s="28" t="n">
        <f aca="false">IFERROR(INDEX(Assessments!$J$2:$J$600,MATCH($H249&amp;"|"&amp;$I249&amp;"|"&amp;$J249&amp;"|"&amp;9,Assessments!$A$2:$A$600,0)),0)</f>
        <v>0</v>
      </c>
      <c r="DF249" s="28" t="n">
        <f aca="false">IFERROR(INDEX(Assessments!$J$2:$J$600,MATCH($H249&amp;"|"&amp;$I249&amp;"|"&amp;$J249&amp;"|"&amp;10,Assessments!$A$2:$A$600,0)),0)</f>
        <v>0</v>
      </c>
      <c r="DG249" s="28" t="n">
        <f aca="false">IFERROR(INDEX(Assessments!$J$2:$J$600,MATCH($H249&amp;"|"&amp;$I249&amp;"|"&amp;$J249&amp;"|"&amp;11,Assessments!$A$2:$A$600,0)),0)</f>
        <v>0</v>
      </c>
      <c r="DH249" s="28" t="n">
        <f aca="false">IFERROR(INDEX(Assessments!$J$2:$J$600,MATCH($H249&amp;"|"&amp;$I249&amp;"|"&amp;$J249&amp;"|"&amp;12,Assessments!$A$2:$A$600,0)),0)</f>
        <v>0</v>
      </c>
      <c r="DI249" s="28" t="n">
        <f aca="false">IFERROR(INDEX(Assessments!$J$2:$J$600,MATCH($H249&amp;"|"&amp;$I249&amp;"|"&amp;$J249&amp;"|"&amp;13,Assessments!$A$2:$A$600,0)),0)</f>
        <v>0</v>
      </c>
      <c r="DJ249" s="28" t="n">
        <f aca="false">IFERROR(INDEX(Assessments!$J$2:$J$600,MATCH($H249&amp;"|"&amp;$I249&amp;"|"&amp;$J249&amp;"|"&amp;14,Assessments!$A$2:$A$600,0)),0)</f>
        <v>0</v>
      </c>
      <c r="DK249" s="28" t="n">
        <f aca="false">S249</f>
        <v>6</v>
      </c>
      <c r="DL249" s="28" t="str">
        <f aca="false">W249</f>
        <v/>
      </c>
      <c r="DM249" s="28" t="str">
        <f aca="false">AA249</f>
        <v/>
      </c>
      <c r="DN249" s="28" t="str">
        <f aca="false">AE249</f>
        <v/>
      </c>
      <c r="DO249" s="28" t="str">
        <f aca="false">AI249</f>
        <v/>
      </c>
      <c r="DP249" s="28" t="str">
        <f aca="false">AM249</f>
        <v/>
      </c>
      <c r="DQ249" s="28" t="str">
        <f aca="false">AQ249</f>
        <v/>
      </c>
      <c r="DR249" s="28" t="str">
        <f aca="false">AU249</f>
        <v/>
      </c>
      <c r="DS249" s="28" t="str">
        <f aca="false">AY249</f>
        <v/>
      </c>
      <c r="DT249" s="28" t="str">
        <f aca="false">BC249</f>
        <v/>
      </c>
      <c r="DU249" s="28" t="str">
        <f aca="false">BG249</f>
        <v/>
      </c>
      <c r="DV249" s="28" t="str">
        <f aca="false">BK249</f>
        <v/>
      </c>
      <c r="DW249" s="28" t="str">
        <f aca="false">BO249</f>
        <v/>
      </c>
      <c r="DX249" s="28" t="str">
        <f aca="false">BS249</f>
        <v/>
      </c>
      <c r="DY249" s="28" t="n">
        <f aca="false">IF(ISNUMBER(S249),1,"")</f>
        <v>1</v>
      </c>
      <c r="DZ249" s="28" t="str">
        <f aca="false">IF(ISNUMBER(W249),2,"")</f>
        <v/>
      </c>
      <c r="EA249" s="28" t="str">
        <f aca="false">IF(ISNUMBER(AA249),3,"")</f>
        <v/>
      </c>
      <c r="EB249" s="28" t="str">
        <f aca="false">IF(ISNUMBER(AE249),4,"")</f>
        <v/>
      </c>
      <c r="EC249" s="28" t="str">
        <f aca="false">IF(ISNUMBER(AI249),5,"")</f>
        <v/>
      </c>
      <c r="ED249" s="28" t="str">
        <f aca="false">IF(ISNUMBER(AM249),6,"")</f>
        <v/>
      </c>
      <c r="EE249" s="28" t="str">
        <f aca="false">IF(ISNUMBER(AQ249),7,"")</f>
        <v/>
      </c>
      <c r="EF249" s="28" t="str">
        <f aca="false">IF(ISNUMBER(AU249),8,"")</f>
        <v/>
      </c>
      <c r="EG249" s="28" t="str">
        <f aca="false">IF(ISNUMBER(AY249),9,"")</f>
        <v/>
      </c>
      <c r="EH249" s="28" t="str">
        <f aca="false">IF(ISNUMBER(BC249),10,"")</f>
        <v/>
      </c>
      <c r="EI249" s="28" t="str">
        <f aca="false">IF(ISNUMBER(BG249),11,"")</f>
        <v/>
      </c>
      <c r="EJ249" s="28" t="str">
        <f aca="false">IF(ISNUMBER(BK249),12,"")</f>
        <v/>
      </c>
      <c r="EK249" s="28" t="str">
        <f aca="false">IF(ISNUMBER(BO249),13,"")</f>
        <v/>
      </c>
      <c r="EL249" s="28" t="str">
        <f aca="false">IF(ISNUMBER(BS249),14,"")</f>
        <v/>
      </c>
      <c r="EM249" s="28" t="n">
        <f aca="false">IF(ISNUMBER(R249),R249*CW249,0)</f>
        <v>84</v>
      </c>
      <c r="EN249" s="28" t="n">
        <f aca="false">IF(ISNUMBER(V249),V249*CX249,0)</f>
        <v>0</v>
      </c>
      <c r="EO249" s="28" t="n">
        <f aca="false">IF(ISNUMBER(Z249),Z249*CY249,0)</f>
        <v>0</v>
      </c>
      <c r="EP249" s="28" t="n">
        <f aca="false">IF(ISNUMBER(AD249),AD249*CZ249,0)</f>
        <v>0</v>
      </c>
      <c r="EQ249" s="28" t="n">
        <f aca="false">IF(ISNUMBER(AH249),AH249*DA249,0)</f>
        <v>0</v>
      </c>
      <c r="ER249" s="28" t="n">
        <f aca="false">IF(ISNUMBER(AL249),AL249*DB249,0)</f>
        <v>0</v>
      </c>
      <c r="ES249" s="28" t="n">
        <f aca="false">IF(ISNUMBER(AP249),AP249*DC249,0)</f>
        <v>0</v>
      </c>
      <c r="ET249" s="28" t="n">
        <f aca="false">IF(ISNUMBER(AT249),AT249*DD249,0)</f>
        <v>0</v>
      </c>
      <c r="EU249" s="28" t="n">
        <f aca="false">IF(ISNUMBER(AX249),AX249*DE249,0)</f>
        <v>0</v>
      </c>
      <c r="EV249" s="28" t="n">
        <f aca="false">IF(ISNUMBER(BB249),BB249*DF249,0)</f>
        <v>0</v>
      </c>
      <c r="EW249" s="28" t="n">
        <f aca="false">IF(ISNUMBER(BF249),BF249*DG249,0)</f>
        <v>0</v>
      </c>
      <c r="EX249" s="28" t="n">
        <f aca="false">IF(ISNUMBER(BJ249),BJ249*DH249,0)</f>
        <v>0</v>
      </c>
      <c r="EY249" s="28" t="n">
        <f aca="false">IF(ISNUMBER(BN249),BN249*DI249,0)</f>
        <v>0</v>
      </c>
      <c r="EZ249" s="28" t="n">
        <f aca="false">IF(ISNUMBER(BR249),BR249*DJ249,0)</f>
        <v>0</v>
      </c>
      <c r="FA249" s="28" t="n">
        <f aca="false">IF(ISNUMBER(R249),CW249,0)</f>
        <v>1</v>
      </c>
      <c r="FB249" s="28" t="n">
        <f aca="false">IF(ISNUMBER(V249),CX249,0)</f>
        <v>0</v>
      </c>
      <c r="FC249" s="28" t="n">
        <f aca="false">IF(ISNUMBER(Z249),CY249,0)</f>
        <v>0</v>
      </c>
      <c r="FD249" s="28" t="n">
        <f aca="false">IF(ISNUMBER(AD249),CZ249,0)</f>
        <v>0</v>
      </c>
      <c r="FE249" s="28" t="n">
        <f aca="false">IF(ISNUMBER(AH249),DA249,0)</f>
        <v>0</v>
      </c>
      <c r="FF249" s="28" t="n">
        <f aca="false">IF(ISNUMBER(AL249),DB249,0)</f>
        <v>0</v>
      </c>
      <c r="FG249" s="28" t="n">
        <f aca="false">IF(ISNUMBER(AP249),DC249,0)</f>
        <v>0</v>
      </c>
      <c r="FH249" s="28" t="n">
        <f aca="false">IF(ISNUMBER(AT249),DD249,0)</f>
        <v>0</v>
      </c>
      <c r="FI249" s="28" t="n">
        <f aca="false">IF(ISNUMBER(AX249),DE249,0)</f>
        <v>0</v>
      </c>
      <c r="FJ249" s="28" t="n">
        <f aca="false">IF(ISNUMBER(BB249),DF249,0)</f>
        <v>0</v>
      </c>
      <c r="FK249" s="28" t="n">
        <f aca="false">IF(ISNUMBER(BF249),DG249,0)</f>
        <v>0</v>
      </c>
      <c r="FL249" s="28" t="n">
        <f aca="false">IF(ISNUMBER(BJ249),DH249,0)</f>
        <v>0</v>
      </c>
      <c r="FM249" s="28" t="n">
        <f aca="false">IF(ISNUMBER(BN249),DI249,0)</f>
        <v>0</v>
      </c>
      <c r="FN249" s="28" t="n">
        <f aca="false">IF(ISNUMBER(BR249),DJ249,0)</f>
        <v>0</v>
      </c>
      <c r="FO249" s="28" t="str">
        <f aca="false">IFERROR(INDEX(Lists!$G$2:$G$20,MATCH($I249&amp;"|"&amp;$J249,Lists!$F$2:$F$20,0)),"")</f>
        <v>Econ Exam</v>
      </c>
    </row>
    <row r="250" customFormat="false" ht="19.5" hidden="false" customHeight="true" outlineLevel="0" collapsed="false">
      <c r="A250" s="29" t="s">
        <v>518</v>
      </c>
      <c r="B250" s="29" t="s">
        <v>519</v>
      </c>
      <c r="C250" s="30" t="s">
        <v>152</v>
      </c>
      <c r="D250" s="30" t="s">
        <v>291</v>
      </c>
      <c r="E250" s="31"/>
      <c r="F250" s="30"/>
      <c r="G250" s="30"/>
      <c r="H250" s="32" t="s">
        <v>428</v>
      </c>
      <c r="I250" s="33" t="s">
        <v>229</v>
      </c>
      <c r="J250" s="32" t="s">
        <v>25</v>
      </c>
      <c r="K250" s="34" t="str">
        <f aca="false">IF(OR(M250="",$E250=""),"",M250-$E250)</f>
        <v/>
      </c>
      <c r="L250" s="35" t="n">
        <f aca="false">IF(SUM(FA250:FN250)=0,"",SUM(EM250:EZ250)/SUM(FA250:FN250))</f>
        <v>80</v>
      </c>
      <c r="M250" s="36" t="n">
        <f aca="false">IF(OR(L250="",FO250=""),"",IFERROR(MATCH(L250,INDEX(Boundaries!$B$2:$I$30,MATCH(FO250,Boundaries!$A$2:$A$30,0),0),1)-1,""))</f>
        <v>7</v>
      </c>
      <c r="N250" s="37" t="str">
        <f aca="false">IF(COUNT($DY250:$EL250)&lt;2,"",INDEX($DK250:$DX250,MAX($DY250:$EL250))-INDEX($DK250:$DX250,MIN($DY250:$EL250)))</f>
        <v/>
      </c>
      <c r="O250" s="37" t="str">
        <f aca="false">IF(COUNT($DY250:$EL250)&lt;2,"",INDEX($DK250:$DX250,MAX($DY250:$EL250))-INDEX($DK250:$DX250,LARGE($DY250:$EL250,2)))</f>
        <v/>
      </c>
      <c r="P250" s="38" t="str">
        <f aca="false">IF(K250="","",IF(K250&gt;=0,"On/above target",IF(AND(N250&lt;&gt;"",N250&gt;=0.5),"Improving towards target",IF(AND(O250&lt;&gt;"",O250&lt;=-0.5),"Declining","Stable below target"))))</f>
        <v/>
      </c>
      <c r="Q250" s="39" t="n">
        <v>20</v>
      </c>
      <c r="R250" s="40" t="n">
        <f aca="false">IF(OR(Q250="",BU250=""),"",Q250/BU250*100)</f>
        <v>80</v>
      </c>
      <c r="S250" s="41" t="n">
        <f aca="false">IF(R250="","",IFERROR(MATCH(R250,INDEX(Boundaries!$B$2:$I$30,MATCH(CI250,Boundaries!$A$2:$A$30,0),0),1)-1,""))</f>
        <v>6</v>
      </c>
      <c r="T250" s="42" t="str">
        <f aca="false">IF(OR(S250="",$E250=""),"",S250-$E250)</f>
        <v/>
      </c>
      <c r="U250" s="39"/>
      <c r="V250" s="40" t="str">
        <f aca="false">IF(OR(U250="",BV250=""),"",U250/BV250*100)</f>
        <v/>
      </c>
      <c r="W250" s="41" t="str">
        <f aca="false">IF(V250="","",IFERROR(MATCH(V250,INDEX(Boundaries!$B$2:$I$30,MATCH(CJ250,Boundaries!$A$2:$A$30,0),0),1)-1,""))</f>
        <v/>
      </c>
      <c r="X250" s="42" t="str">
        <f aca="false">IF(OR(W250="",$E250=""),"",W250-$E250)</f>
        <v/>
      </c>
      <c r="Y250" s="39"/>
      <c r="Z250" s="40" t="str">
        <f aca="false">IF(OR(Y250="",BW250=""),"",Y250/BW250*100)</f>
        <v/>
      </c>
      <c r="AA250" s="41" t="str">
        <f aca="false">IF(Z250="","",IFERROR(MATCH(Z250,INDEX(Boundaries!$B$2:$I$30,MATCH(CK250,Boundaries!$A$2:$A$30,0),0),1)-1,""))</f>
        <v/>
      </c>
      <c r="AB250" s="42" t="str">
        <f aca="false">IF(OR(AA250="",$E250=""),"",AA250-$E250)</f>
        <v/>
      </c>
      <c r="AC250" s="39"/>
      <c r="AD250" s="40" t="str">
        <f aca="false">IF(OR(AC250="",BX250=""),"",AC250/BX250*100)</f>
        <v/>
      </c>
      <c r="AE250" s="41" t="str">
        <f aca="false">IF(AD250="","",IFERROR(MATCH(AD250,INDEX(Boundaries!$B$2:$I$30,MATCH(CL250,Boundaries!$A$2:$A$30,0),0),1)-1,""))</f>
        <v/>
      </c>
      <c r="AF250" s="42" t="str">
        <f aca="false">IF(OR(AE250="",$E250=""),"",AE250-$E250)</f>
        <v/>
      </c>
      <c r="AG250" s="39"/>
      <c r="AH250" s="40" t="str">
        <f aca="false">IF(OR(AG250="",BY250=""),"",AG250/BY250*100)</f>
        <v/>
      </c>
      <c r="AI250" s="41" t="str">
        <f aca="false">IF(AH250="","",IFERROR(MATCH(AH250,INDEX(Boundaries!$B$2:$I$30,MATCH(CM250,Boundaries!$A$2:$A$30,0),0),1)-1,""))</f>
        <v/>
      </c>
      <c r="AJ250" s="42" t="str">
        <f aca="false">IF(OR(AI250="",$E250=""),"",AI250-$E250)</f>
        <v/>
      </c>
      <c r="AK250" s="39"/>
      <c r="AL250" s="40" t="str">
        <f aca="false">IF(OR(AK250="",BZ250=""),"",AK250/BZ250*100)</f>
        <v/>
      </c>
      <c r="AM250" s="41" t="str">
        <f aca="false">IF(AL250="","",IFERROR(MATCH(AL250,INDEX(Boundaries!$B$2:$I$30,MATCH(CN250,Boundaries!$A$2:$A$30,0),0),1)-1,""))</f>
        <v/>
      </c>
      <c r="AN250" s="42" t="str">
        <f aca="false">IF(OR(AM250="",$E250=""),"",AM250-$E250)</f>
        <v/>
      </c>
      <c r="AO250" s="39"/>
      <c r="AP250" s="40" t="str">
        <f aca="false">IF(OR(AO250="",CA250=""),"",AO250/CA250*100)</f>
        <v/>
      </c>
      <c r="AQ250" s="41" t="str">
        <f aca="false">IF(AP250="","",IFERROR(MATCH(AP250,INDEX(Boundaries!$B$2:$I$30,MATCH(CO250,Boundaries!$A$2:$A$30,0),0),1)-1,""))</f>
        <v/>
      </c>
      <c r="AR250" s="42" t="str">
        <f aca="false">IF(OR(AQ250="",$E250=""),"",AQ250-$E250)</f>
        <v/>
      </c>
      <c r="AS250" s="39"/>
      <c r="AT250" s="40" t="str">
        <f aca="false">IF(OR(AS250="",CB250=""),"",AS250/CB250*100)</f>
        <v/>
      </c>
      <c r="AU250" s="41" t="str">
        <f aca="false">IF(AT250="","",IFERROR(MATCH(AT250,INDEX(Boundaries!$B$2:$I$30,MATCH(CP250,Boundaries!$A$2:$A$30,0),0),1)-1,""))</f>
        <v/>
      </c>
      <c r="AV250" s="42" t="str">
        <f aca="false">IF(OR(AU250="",$E250=""),"",AU250-$E250)</f>
        <v/>
      </c>
      <c r="AW250" s="39"/>
      <c r="AX250" s="40" t="str">
        <f aca="false">IF(OR(AW250="",CC250=""),"",AW250/CC250*100)</f>
        <v/>
      </c>
      <c r="AY250" s="41" t="str">
        <f aca="false">IF(AX250="","",IFERROR(MATCH(AX250,INDEX(Boundaries!$B$2:$I$30,MATCH(CQ250,Boundaries!$A$2:$A$30,0),0),1)-1,""))</f>
        <v/>
      </c>
      <c r="AZ250" s="42" t="str">
        <f aca="false">IF(OR(AY250="",$E250=""),"",AY250-$E250)</f>
        <v/>
      </c>
      <c r="BA250" s="39"/>
      <c r="BB250" s="40" t="str">
        <f aca="false">IF(OR(BA250="",CD250=""),"",BA250/CD250*100)</f>
        <v/>
      </c>
      <c r="BC250" s="41" t="str">
        <f aca="false">IF(BB250="","",IFERROR(MATCH(BB250,INDEX(Boundaries!$B$2:$I$30,MATCH(CR250,Boundaries!$A$2:$A$30,0),0),1)-1,""))</f>
        <v/>
      </c>
      <c r="BD250" s="42" t="str">
        <f aca="false">IF(OR(BC250="",$E250=""),"",BC250-$E250)</f>
        <v/>
      </c>
      <c r="BE250" s="39"/>
      <c r="BF250" s="40" t="str">
        <f aca="false">IF(OR(BE250="",CE250=""),"",BE250/CE250*100)</f>
        <v/>
      </c>
      <c r="BG250" s="41" t="str">
        <f aca="false">IF(BF250="","",IFERROR(MATCH(BF250,INDEX(Boundaries!$B$2:$I$30,MATCH(CS250,Boundaries!$A$2:$A$30,0),0),1)-1,""))</f>
        <v/>
      </c>
      <c r="BH250" s="42" t="str">
        <f aca="false">IF(OR(BG250="",$E250=""),"",BG250-$E250)</f>
        <v/>
      </c>
      <c r="BI250" s="39"/>
      <c r="BJ250" s="40" t="str">
        <f aca="false">IF(OR(BI250="",CF250=""),"",BI250/CF250*100)</f>
        <v/>
      </c>
      <c r="BK250" s="41" t="str">
        <f aca="false">IF(BJ250="","",IFERROR(MATCH(BJ250,INDEX(Boundaries!$B$2:$I$30,MATCH(CT250,Boundaries!$A$2:$A$30,0),0),1)-1,""))</f>
        <v/>
      </c>
      <c r="BL250" s="42" t="str">
        <f aca="false">IF(OR(BK250="",$E250=""),"",BK250-$E250)</f>
        <v/>
      </c>
      <c r="BM250" s="39"/>
      <c r="BN250" s="40" t="str">
        <f aca="false">IF(OR(BM250="",CG250=""),"",BM250/CG250*100)</f>
        <v/>
      </c>
      <c r="BO250" s="41" t="str">
        <f aca="false">IF(BN250="","",IFERROR(MATCH(BN250,INDEX(Boundaries!$B$2:$I$30,MATCH(CU250,Boundaries!$A$2:$A$30,0),0),1)-1,""))</f>
        <v/>
      </c>
      <c r="BP250" s="42" t="str">
        <f aca="false">IF(OR(BO250="",$E250=""),"",BO250-$E250)</f>
        <v/>
      </c>
      <c r="BQ250" s="39"/>
      <c r="BR250" s="40" t="str">
        <f aca="false">IF(OR(BQ250="",CH250=""),"",BQ250/CH250*100)</f>
        <v/>
      </c>
      <c r="BS250" s="41" t="str">
        <f aca="false">IF(BR250="","",IFERROR(MATCH(BR250,INDEX(Boundaries!$B$2:$I$30,MATCH(CV250,Boundaries!$A$2:$A$30,0),0),1)-1,""))</f>
        <v/>
      </c>
      <c r="BT250" s="42" t="str">
        <f aca="false">IF(OR(BS250="",$E250=""),"",BS250-$E250)</f>
        <v/>
      </c>
      <c r="BU250" s="28" t="n">
        <f aca="false">IFERROR(INDEX(Assessments!$H$2:$H$600,MATCH($H250&amp;"|"&amp;$I250&amp;"|"&amp;$J250&amp;"|"&amp;1,Assessments!$A$2:$A$600,0)),"")</f>
        <v>25</v>
      </c>
      <c r="BV250" s="28" t="n">
        <f aca="false">IFERROR(INDEX(Assessments!$H$2:$H$600,MATCH($H250&amp;"|"&amp;$I250&amp;"|"&amp;$J250&amp;"|"&amp;2,Assessments!$A$2:$A$600,0)),"")</f>
        <v>24</v>
      </c>
      <c r="BW250" s="28" t="n">
        <f aca="false">IFERROR(INDEX(Assessments!$H$2:$H$600,MATCH($H250&amp;"|"&amp;$I250&amp;"|"&amp;$J250&amp;"|"&amp;3,Assessments!$A$2:$A$600,0)),"")</f>
        <v>25</v>
      </c>
      <c r="BX250" s="28" t="n">
        <f aca="false">IFERROR(INDEX(Assessments!$H$2:$H$600,MATCH($H250&amp;"|"&amp;$I250&amp;"|"&amp;$J250&amp;"|"&amp;4,Assessments!$A$2:$A$600,0)),"")</f>
        <v>35</v>
      </c>
      <c r="BY250" s="28" t="n">
        <f aca="false">IFERROR(INDEX(Assessments!$H$2:$H$600,MATCH($H250&amp;"|"&amp;$I250&amp;"|"&amp;$J250&amp;"|"&amp;5,Assessments!$A$2:$A$600,0)),"")</f>
        <v>55</v>
      </c>
      <c r="BZ250" s="28" t="n">
        <f aca="false">IFERROR(INDEX(Assessments!$H$2:$H$600,MATCH($H250&amp;"|"&amp;$I250&amp;"|"&amp;$J250&amp;"|"&amp;6,Assessments!$A$2:$A$600,0)),"")</f>
        <v>28</v>
      </c>
      <c r="CA250" s="28" t="n">
        <f aca="false">IFERROR(INDEX(Assessments!$H$2:$H$600,MATCH($H250&amp;"|"&amp;$I250&amp;"|"&amp;$J250&amp;"|"&amp;7,Assessments!$A$2:$A$600,0)),"")</f>
        <v>95</v>
      </c>
      <c r="CB250" s="28" t="str">
        <f aca="false">IFERROR(INDEX(Assessments!$H$2:$H$600,MATCH($H250&amp;"|"&amp;$I250&amp;"|"&amp;$J250&amp;"|"&amp;8,Assessments!$A$2:$A$600,0)),"")</f>
        <v/>
      </c>
      <c r="CC250" s="28" t="str">
        <f aca="false">IFERROR(INDEX(Assessments!$H$2:$H$600,MATCH($H250&amp;"|"&amp;$I250&amp;"|"&amp;$J250&amp;"|"&amp;9,Assessments!$A$2:$A$600,0)),"")</f>
        <v/>
      </c>
      <c r="CD250" s="28" t="str">
        <f aca="false">IFERROR(INDEX(Assessments!$H$2:$H$600,MATCH($H250&amp;"|"&amp;$I250&amp;"|"&amp;$J250&amp;"|"&amp;10,Assessments!$A$2:$A$600,0)),"")</f>
        <v/>
      </c>
      <c r="CE250" s="28" t="str">
        <f aca="false">IFERROR(INDEX(Assessments!$H$2:$H$600,MATCH($H250&amp;"|"&amp;$I250&amp;"|"&amp;$J250&amp;"|"&amp;11,Assessments!$A$2:$A$600,0)),"")</f>
        <v/>
      </c>
      <c r="CF250" s="28" t="str">
        <f aca="false">IFERROR(INDEX(Assessments!$H$2:$H$600,MATCH($H250&amp;"|"&amp;$I250&amp;"|"&amp;$J250&amp;"|"&amp;12,Assessments!$A$2:$A$600,0)),"")</f>
        <v/>
      </c>
      <c r="CG250" s="28" t="str">
        <f aca="false">IFERROR(INDEX(Assessments!$H$2:$H$600,MATCH($H250&amp;"|"&amp;$I250&amp;"|"&amp;$J250&amp;"|"&amp;13,Assessments!$A$2:$A$600,0)),"")</f>
        <v/>
      </c>
      <c r="CH250" s="28" t="str">
        <f aca="false">IFERROR(INDEX(Assessments!$H$2:$H$600,MATCH($H250&amp;"|"&amp;$I250&amp;"|"&amp;$J250&amp;"|"&amp;14,Assessments!$A$2:$A$600,0)),"")</f>
        <v/>
      </c>
      <c r="CI250" s="28" t="str">
        <f aca="false">IFERROR(INDEX(Assessments!$I$2:$I$600,MATCH($H250&amp;"|"&amp;$I250&amp;"|"&amp;$J250&amp;"|"&amp;1,Assessments!$A$2:$A$600,0)),"")</f>
        <v>Econ Test</v>
      </c>
      <c r="CJ250" s="28" t="str">
        <f aca="false">IFERROR(INDEX(Assessments!$I$2:$I$600,MATCH($H250&amp;"|"&amp;$I250&amp;"|"&amp;$J250&amp;"|"&amp;2,Assessments!$A$2:$A$600,0)),"")</f>
        <v>Econ Test</v>
      </c>
      <c r="CK250" s="28" t="str">
        <f aca="false">IFERROR(INDEX(Assessments!$I$2:$I$600,MATCH($H250&amp;"|"&amp;$I250&amp;"|"&amp;$J250&amp;"|"&amp;3,Assessments!$A$2:$A$600,0)),"")</f>
        <v>Econ Test</v>
      </c>
      <c r="CL250" s="28" t="str">
        <f aca="false">IFERROR(INDEX(Assessments!$I$2:$I$600,MATCH($H250&amp;"|"&amp;$I250&amp;"|"&amp;$J250&amp;"|"&amp;4,Assessments!$A$2:$A$600,0)),"")</f>
        <v>Econ Test</v>
      </c>
      <c r="CM250" s="28" t="str">
        <f aca="false">IFERROR(INDEX(Assessments!$I$2:$I$600,MATCH($H250&amp;"|"&amp;$I250&amp;"|"&amp;$J250&amp;"|"&amp;5,Assessments!$A$2:$A$600,0)),"")</f>
        <v>Econ Exam</v>
      </c>
      <c r="CN250" s="28" t="str">
        <f aca="false">IFERROR(INDEX(Assessments!$I$2:$I$600,MATCH($H250&amp;"|"&amp;$I250&amp;"|"&amp;$J250&amp;"|"&amp;6,Assessments!$A$2:$A$600,0)),"")</f>
        <v>Econ Test</v>
      </c>
      <c r="CO250" s="28" t="str">
        <f aca="false">IFERROR(INDEX(Assessments!$I$2:$I$600,MATCH($H250&amp;"|"&amp;$I250&amp;"|"&amp;$J250&amp;"|"&amp;7,Assessments!$A$2:$A$600,0)),"")</f>
        <v>Econ Exam</v>
      </c>
      <c r="CP250" s="28" t="str">
        <f aca="false">IFERROR(INDEX(Assessments!$I$2:$I$600,MATCH($H250&amp;"|"&amp;$I250&amp;"|"&amp;$J250&amp;"|"&amp;8,Assessments!$A$2:$A$600,0)),"")</f>
        <v/>
      </c>
      <c r="CQ250" s="28" t="str">
        <f aca="false">IFERROR(INDEX(Assessments!$I$2:$I$600,MATCH($H250&amp;"|"&amp;$I250&amp;"|"&amp;$J250&amp;"|"&amp;9,Assessments!$A$2:$A$600,0)),"")</f>
        <v/>
      </c>
      <c r="CR250" s="28" t="str">
        <f aca="false">IFERROR(INDEX(Assessments!$I$2:$I$600,MATCH($H250&amp;"|"&amp;$I250&amp;"|"&amp;$J250&amp;"|"&amp;10,Assessments!$A$2:$A$600,0)),"")</f>
        <v/>
      </c>
      <c r="CS250" s="28" t="str">
        <f aca="false">IFERROR(INDEX(Assessments!$I$2:$I$600,MATCH($H250&amp;"|"&amp;$I250&amp;"|"&amp;$J250&amp;"|"&amp;11,Assessments!$A$2:$A$600,0)),"")</f>
        <v/>
      </c>
      <c r="CT250" s="28" t="str">
        <f aca="false">IFERROR(INDEX(Assessments!$I$2:$I$600,MATCH($H250&amp;"|"&amp;$I250&amp;"|"&amp;$J250&amp;"|"&amp;12,Assessments!$A$2:$A$600,0)),"")</f>
        <v/>
      </c>
      <c r="CU250" s="28" t="str">
        <f aca="false">IFERROR(INDEX(Assessments!$I$2:$I$600,MATCH($H250&amp;"|"&amp;$I250&amp;"|"&amp;$J250&amp;"|"&amp;13,Assessments!$A$2:$A$600,0)),"")</f>
        <v/>
      </c>
      <c r="CV250" s="28" t="str">
        <f aca="false">IFERROR(INDEX(Assessments!$I$2:$I$600,MATCH($H250&amp;"|"&amp;$I250&amp;"|"&amp;$J250&amp;"|"&amp;14,Assessments!$A$2:$A$600,0)),"")</f>
        <v/>
      </c>
      <c r="CW250" s="28" t="n">
        <f aca="false">IFERROR(INDEX(Assessments!$J$2:$J$600,MATCH($H250&amp;"|"&amp;$I250&amp;"|"&amp;$J250&amp;"|"&amp;1,Assessments!$A$2:$A$600,0)),0)</f>
        <v>1</v>
      </c>
      <c r="CX250" s="28" t="n">
        <f aca="false">IFERROR(INDEX(Assessments!$J$2:$J$600,MATCH($H250&amp;"|"&amp;$I250&amp;"|"&amp;$J250&amp;"|"&amp;2,Assessments!$A$2:$A$600,0)),0)</f>
        <v>1</v>
      </c>
      <c r="CY250" s="28" t="n">
        <f aca="false">IFERROR(INDEX(Assessments!$J$2:$J$600,MATCH($H250&amp;"|"&amp;$I250&amp;"|"&amp;$J250&amp;"|"&amp;3,Assessments!$A$2:$A$600,0)),0)</f>
        <v>1</v>
      </c>
      <c r="CZ250" s="28" t="n">
        <f aca="false">IFERROR(INDEX(Assessments!$J$2:$J$600,MATCH($H250&amp;"|"&amp;$I250&amp;"|"&amp;$J250&amp;"|"&amp;4,Assessments!$A$2:$A$600,0)),0)</f>
        <v>1</v>
      </c>
      <c r="DA250" s="28" t="n">
        <f aca="false">IFERROR(INDEX(Assessments!$J$2:$J$600,MATCH($H250&amp;"|"&amp;$I250&amp;"|"&amp;$J250&amp;"|"&amp;5,Assessments!$A$2:$A$600,0)),0)</f>
        <v>2</v>
      </c>
      <c r="DB250" s="28" t="n">
        <f aca="false">IFERROR(INDEX(Assessments!$J$2:$J$600,MATCH($H250&amp;"|"&amp;$I250&amp;"|"&amp;$J250&amp;"|"&amp;6,Assessments!$A$2:$A$600,0)),0)</f>
        <v>1</v>
      </c>
      <c r="DC250" s="28" t="n">
        <f aca="false">IFERROR(INDEX(Assessments!$J$2:$J$600,MATCH($H250&amp;"|"&amp;$I250&amp;"|"&amp;$J250&amp;"|"&amp;7,Assessments!$A$2:$A$600,0)),0)</f>
        <v>2</v>
      </c>
      <c r="DD250" s="28" t="n">
        <f aca="false">IFERROR(INDEX(Assessments!$J$2:$J$600,MATCH($H250&amp;"|"&amp;$I250&amp;"|"&amp;$J250&amp;"|"&amp;8,Assessments!$A$2:$A$600,0)),0)</f>
        <v>0</v>
      </c>
      <c r="DE250" s="28" t="n">
        <f aca="false">IFERROR(INDEX(Assessments!$J$2:$J$600,MATCH($H250&amp;"|"&amp;$I250&amp;"|"&amp;$J250&amp;"|"&amp;9,Assessments!$A$2:$A$600,0)),0)</f>
        <v>0</v>
      </c>
      <c r="DF250" s="28" t="n">
        <f aca="false">IFERROR(INDEX(Assessments!$J$2:$J$600,MATCH($H250&amp;"|"&amp;$I250&amp;"|"&amp;$J250&amp;"|"&amp;10,Assessments!$A$2:$A$600,0)),0)</f>
        <v>0</v>
      </c>
      <c r="DG250" s="28" t="n">
        <f aca="false">IFERROR(INDEX(Assessments!$J$2:$J$600,MATCH($H250&amp;"|"&amp;$I250&amp;"|"&amp;$J250&amp;"|"&amp;11,Assessments!$A$2:$A$600,0)),0)</f>
        <v>0</v>
      </c>
      <c r="DH250" s="28" t="n">
        <f aca="false">IFERROR(INDEX(Assessments!$J$2:$J$600,MATCH($H250&amp;"|"&amp;$I250&amp;"|"&amp;$J250&amp;"|"&amp;12,Assessments!$A$2:$A$600,0)),0)</f>
        <v>0</v>
      </c>
      <c r="DI250" s="28" t="n">
        <f aca="false">IFERROR(INDEX(Assessments!$J$2:$J$600,MATCH($H250&amp;"|"&amp;$I250&amp;"|"&amp;$J250&amp;"|"&amp;13,Assessments!$A$2:$A$600,0)),0)</f>
        <v>0</v>
      </c>
      <c r="DJ250" s="28" t="n">
        <f aca="false">IFERROR(INDEX(Assessments!$J$2:$J$600,MATCH($H250&amp;"|"&amp;$I250&amp;"|"&amp;$J250&amp;"|"&amp;14,Assessments!$A$2:$A$600,0)),0)</f>
        <v>0</v>
      </c>
      <c r="DK250" s="28" t="n">
        <f aca="false">S250</f>
        <v>6</v>
      </c>
      <c r="DL250" s="28" t="str">
        <f aca="false">W250</f>
        <v/>
      </c>
      <c r="DM250" s="28" t="str">
        <f aca="false">AA250</f>
        <v/>
      </c>
      <c r="DN250" s="28" t="str">
        <f aca="false">AE250</f>
        <v/>
      </c>
      <c r="DO250" s="28" t="str">
        <f aca="false">AI250</f>
        <v/>
      </c>
      <c r="DP250" s="28" t="str">
        <f aca="false">AM250</f>
        <v/>
      </c>
      <c r="DQ250" s="28" t="str">
        <f aca="false">AQ250</f>
        <v/>
      </c>
      <c r="DR250" s="28" t="str">
        <f aca="false">AU250</f>
        <v/>
      </c>
      <c r="DS250" s="28" t="str">
        <f aca="false">AY250</f>
        <v/>
      </c>
      <c r="DT250" s="28" t="str">
        <f aca="false">BC250</f>
        <v/>
      </c>
      <c r="DU250" s="28" t="str">
        <f aca="false">BG250</f>
        <v/>
      </c>
      <c r="DV250" s="28" t="str">
        <f aca="false">BK250</f>
        <v/>
      </c>
      <c r="DW250" s="28" t="str">
        <f aca="false">BO250</f>
        <v/>
      </c>
      <c r="DX250" s="28" t="str">
        <f aca="false">BS250</f>
        <v/>
      </c>
      <c r="DY250" s="28" t="n">
        <f aca="false">IF(ISNUMBER(S250),1,"")</f>
        <v>1</v>
      </c>
      <c r="DZ250" s="28" t="str">
        <f aca="false">IF(ISNUMBER(W250),2,"")</f>
        <v/>
      </c>
      <c r="EA250" s="28" t="str">
        <f aca="false">IF(ISNUMBER(AA250),3,"")</f>
        <v/>
      </c>
      <c r="EB250" s="28" t="str">
        <f aca="false">IF(ISNUMBER(AE250),4,"")</f>
        <v/>
      </c>
      <c r="EC250" s="28" t="str">
        <f aca="false">IF(ISNUMBER(AI250),5,"")</f>
        <v/>
      </c>
      <c r="ED250" s="28" t="str">
        <f aca="false">IF(ISNUMBER(AM250),6,"")</f>
        <v/>
      </c>
      <c r="EE250" s="28" t="str">
        <f aca="false">IF(ISNUMBER(AQ250),7,"")</f>
        <v/>
      </c>
      <c r="EF250" s="28" t="str">
        <f aca="false">IF(ISNUMBER(AU250),8,"")</f>
        <v/>
      </c>
      <c r="EG250" s="28" t="str">
        <f aca="false">IF(ISNUMBER(AY250),9,"")</f>
        <v/>
      </c>
      <c r="EH250" s="28" t="str">
        <f aca="false">IF(ISNUMBER(BC250),10,"")</f>
        <v/>
      </c>
      <c r="EI250" s="28" t="str">
        <f aca="false">IF(ISNUMBER(BG250),11,"")</f>
        <v/>
      </c>
      <c r="EJ250" s="28" t="str">
        <f aca="false">IF(ISNUMBER(BK250),12,"")</f>
        <v/>
      </c>
      <c r="EK250" s="28" t="str">
        <f aca="false">IF(ISNUMBER(BO250),13,"")</f>
        <v/>
      </c>
      <c r="EL250" s="28" t="str">
        <f aca="false">IF(ISNUMBER(BS250),14,"")</f>
        <v/>
      </c>
      <c r="EM250" s="28" t="n">
        <f aca="false">IF(ISNUMBER(R250),R250*CW250,0)</f>
        <v>80</v>
      </c>
      <c r="EN250" s="28" t="n">
        <f aca="false">IF(ISNUMBER(V250),V250*CX250,0)</f>
        <v>0</v>
      </c>
      <c r="EO250" s="28" t="n">
        <f aca="false">IF(ISNUMBER(Z250),Z250*CY250,0)</f>
        <v>0</v>
      </c>
      <c r="EP250" s="28" t="n">
        <f aca="false">IF(ISNUMBER(AD250),AD250*CZ250,0)</f>
        <v>0</v>
      </c>
      <c r="EQ250" s="28" t="n">
        <f aca="false">IF(ISNUMBER(AH250),AH250*DA250,0)</f>
        <v>0</v>
      </c>
      <c r="ER250" s="28" t="n">
        <f aca="false">IF(ISNUMBER(AL250),AL250*DB250,0)</f>
        <v>0</v>
      </c>
      <c r="ES250" s="28" t="n">
        <f aca="false">IF(ISNUMBER(AP250),AP250*DC250,0)</f>
        <v>0</v>
      </c>
      <c r="ET250" s="28" t="n">
        <f aca="false">IF(ISNUMBER(AT250),AT250*DD250,0)</f>
        <v>0</v>
      </c>
      <c r="EU250" s="28" t="n">
        <f aca="false">IF(ISNUMBER(AX250),AX250*DE250,0)</f>
        <v>0</v>
      </c>
      <c r="EV250" s="28" t="n">
        <f aca="false">IF(ISNUMBER(BB250),BB250*DF250,0)</f>
        <v>0</v>
      </c>
      <c r="EW250" s="28" t="n">
        <f aca="false">IF(ISNUMBER(BF250),BF250*DG250,0)</f>
        <v>0</v>
      </c>
      <c r="EX250" s="28" t="n">
        <f aca="false">IF(ISNUMBER(BJ250),BJ250*DH250,0)</f>
        <v>0</v>
      </c>
      <c r="EY250" s="28" t="n">
        <f aca="false">IF(ISNUMBER(BN250),BN250*DI250,0)</f>
        <v>0</v>
      </c>
      <c r="EZ250" s="28" t="n">
        <f aca="false">IF(ISNUMBER(BR250),BR250*DJ250,0)</f>
        <v>0</v>
      </c>
      <c r="FA250" s="28" t="n">
        <f aca="false">IF(ISNUMBER(R250),CW250,0)</f>
        <v>1</v>
      </c>
      <c r="FB250" s="28" t="n">
        <f aca="false">IF(ISNUMBER(V250),CX250,0)</f>
        <v>0</v>
      </c>
      <c r="FC250" s="28" t="n">
        <f aca="false">IF(ISNUMBER(Z250),CY250,0)</f>
        <v>0</v>
      </c>
      <c r="FD250" s="28" t="n">
        <f aca="false">IF(ISNUMBER(AD250),CZ250,0)</f>
        <v>0</v>
      </c>
      <c r="FE250" s="28" t="n">
        <f aca="false">IF(ISNUMBER(AH250),DA250,0)</f>
        <v>0</v>
      </c>
      <c r="FF250" s="28" t="n">
        <f aca="false">IF(ISNUMBER(AL250),DB250,0)</f>
        <v>0</v>
      </c>
      <c r="FG250" s="28" t="n">
        <f aca="false">IF(ISNUMBER(AP250),DC250,0)</f>
        <v>0</v>
      </c>
      <c r="FH250" s="28" t="n">
        <f aca="false">IF(ISNUMBER(AT250),DD250,0)</f>
        <v>0</v>
      </c>
      <c r="FI250" s="28" t="n">
        <f aca="false">IF(ISNUMBER(AX250),DE250,0)</f>
        <v>0</v>
      </c>
      <c r="FJ250" s="28" t="n">
        <f aca="false">IF(ISNUMBER(BB250),DF250,0)</f>
        <v>0</v>
      </c>
      <c r="FK250" s="28" t="n">
        <f aca="false">IF(ISNUMBER(BF250),DG250,0)</f>
        <v>0</v>
      </c>
      <c r="FL250" s="28" t="n">
        <f aca="false">IF(ISNUMBER(BJ250),DH250,0)</f>
        <v>0</v>
      </c>
      <c r="FM250" s="28" t="n">
        <f aca="false">IF(ISNUMBER(BN250),DI250,0)</f>
        <v>0</v>
      </c>
      <c r="FN250" s="28" t="n">
        <f aca="false">IF(ISNUMBER(BR250),DJ250,0)</f>
        <v>0</v>
      </c>
      <c r="FO250" s="28" t="str">
        <f aca="false">IFERROR(INDEX(Lists!$G$2:$G$20,MATCH($I250&amp;"|"&amp;$J250,Lists!$F$2:$F$20,0)),"")</f>
        <v>Econ Exam</v>
      </c>
    </row>
    <row r="251" customFormat="false" ht="19.5" hidden="false" customHeight="true" outlineLevel="0" collapsed="false">
      <c r="A251" s="29" t="s">
        <v>431</v>
      </c>
      <c r="B251" s="29" t="s">
        <v>432</v>
      </c>
      <c r="C251" s="30" t="s">
        <v>192</v>
      </c>
      <c r="D251" s="30" t="s">
        <v>246</v>
      </c>
      <c r="E251" s="31"/>
      <c r="F251" s="30"/>
      <c r="G251" s="30"/>
      <c r="H251" s="32" t="s">
        <v>428</v>
      </c>
      <c r="I251" s="33" t="s">
        <v>229</v>
      </c>
      <c r="J251" s="32" t="s">
        <v>25</v>
      </c>
      <c r="K251" s="34" t="str">
        <f aca="false">IF(OR(M251="",$E251=""),"",M251-$E251)</f>
        <v/>
      </c>
      <c r="L251" s="35" t="n">
        <f aca="false">IF(SUM(FA251:FN251)=0,"",SUM(EM251:EZ251)/SUM(FA251:FN251))</f>
        <v>60</v>
      </c>
      <c r="M251" s="36" t="n">
        <f aca="false">IF(OR(L251="",FO251=""),"",IFERROR(MATCH(L251,INDEX(Boundaries!$B$2:$I$30,MATCH(FO251,Boundaries!$A$2:$A$30,0),0),1)-1,""))</f>
        <v>5</v>
      </c>
      <c r="N251" s="37" t="str">
        <f aca="false">IF(COUNT($DY251:$EL251)&lt;2,"",INDEX($DK251:$DX251,MAX($DY251:$EL251))-INDEX($DK251:$DX251,MIN($DY251:$EL251)))</f>
        <v/>
      </c>
      <c r="O251" s="37" t="str">
        <f aca="false">IF(COUNT($DY251:$EL251)&lt;2,"",INDEX($DK251:$DX251,MAX($DY251:$EL251))-INDEX($DK251:$DX251,LARGE($DY251:$EL251,2)))</f>
        <v/>
      </c>
      <c r="P251" s="38" t="str">
        <f aca="false">IF(K251="","",IF(K251&gt;=0,"On/above target",IF(AND(N251&lt;&gt;"",N251&gt;=0.5),"Improving towards target",IF(AND(O251&lt;&gt;"",O251&lt;=-0.5),"Declining","Stable below target"))))</f>
        <v/>
      </c>
      <c r="Q251" s="39" t="n">
        <v>15</v>
      </c>
      <c r="R251" s="40" t="n">
        <f aca="false">IF(OR(Q251="",BU251=""),"",Q251/BU251*100)</f>
        <v>60</v>
      </c>
      <c r="S251" s="41" t="n">
        <f aca="false">IF(R251="","",IFERROR(MATCH(R251,INDEX(Boundaries!$B$2:$I$30,MATCH(CI251,Boundaries!$A$2:$A$30,0),0),1)-1,""))</f>
        <v>4</v>
      </c>
      <c r="T251" s="42" t="str">
        <f aca="false">IF(OR(S251="",$E251=""),"",S251-$E251)</f>
        <v/>
      </c>
      <c r="U251" s="39"/>
      <c r="V251" s="40" t="str">
        <f aca="false">IF(OR(U251="",BV251=""),"",U251/BV251*100)</f>
        <v/>
      </c>
      <c r="W251" s="41" t="str">
        <f aca="false">IF(V251="","",IFERROR(MATCH(V251,INDEX(Boundaries!$B$2:$I$30,MATCH(CJ251,Boundaries!$A$2:$A$30,0),0),1)-1,""))</f>
        <v/>
      </c>
      <c r="X251" s="42" t="str">
        <f aca="false">IF(OR(W251="",$E251=""),"",W251-$E251)</f>
        <v/>
      </c>
      <c r="Y251" s="39"/>
      <c r="Z251" s="40" t="str">
        <f aca="false">IF(OR(Y251="",BW251=""),"",Y251/BW251*100)</f>
        <v/>
      </c>
      <c r="AA251" s="41" t="str">
        <f aca="false">IF(Z251="","",IFERROR(MATCH(Z251,INDEX(Boundaries!$B$2:$I$30,MATCH(CK251,Boundaries!$A$2:$A$30,0),0),1)-1,""))</f>
        <v/>
      </c>
      <c r="AB251" s="42" t="str">
        <f aca="false">IF(OR(AA251="",$E251=""),"",AA251-$E251)</f>
        <v/>
      </c>
      <c r="AC251" s="39"/>
      <c r="AD251" s="40" t="str">
        <f aca="false">IF(OR(AC251="",BX251=""),"",AC251/BX251*100)</f>
        <v/>
      </c>
      <c r="AE251" s="41" t="str">
        <f aca="false">IF(AD251="","",IFERROR(MATCH(AD251,INDEX(Boundaries!$B$2:$I$30,MATCH(CL251,Boundaries!$A$2:$A$30,0),0),1)-1,""))</f>
        <v/>
      </c>
      <c r="AF251" s="42" t="str">
        <f aca="false">IF(OR(AE251="",$E251=""),"",AE251-$E251)</f>
        <v/>
      </c>
      <c r="AG251" s="39"/>
      <c r="AH251" s="40" t="str">
        <f aca="false">IF(OR(AG251="",BY251=""),"",AG251/BY251*100)</f>
        <v/>
      </c>
      <c r="AI251" s="41" t="str">
        <f aca="false">IF(AH251="","",IFERROR(MATCH(AH251,INDEX(Boundaries!$B$2:$I$30,MATCH(CM251,Boundaries!$A$2:$A$30,0),0),1)-1,""))</f>
        <v/>
      </c>
      <c r="AJ251" s="42" t="str">
        <f aca="false">IF(OR(AI251="",$E251=""),"",AI251-$E251)</f>
        <v/>
      </c>
      <c r="AK251" s="39"/>
      <c r="AL251" s="40" t="str">
        <f aca="false">IF(OR(AK251="",BZ251=""),"",AK251/BZ251*100)</f>
        <v/>
      </c>
      <c r="AM251" s="41" t="str">
        <f aca="false">IF(AL251="","",IFERROR(MATCH(AL251,INDEX(Boundaries!$B$2:$I$30,MATCH(CN251,Boundaries!$A$2:$A$30,0),0),1)-1,""))</f>
        <v/>
      </c>
      <c r="AN251" s="42" t="str">
        <f aca="false">IF(OR(AM251="",$E251=""),"",AM251-$E251)</f>
        <v/>
      </c>
      <c r="AO251" s="39"/>
      <c r="AP251" s="40" t="str">
        <f aca="false">IF(OR(AO251="",CA251=""),"",AO251/CA251*100)</f>
        <v/>
      </c>
      <c r="AQ251" s="41" t="str">
        <f aca="false">IF(AP251="","",IFERROR(MATCH(AP251,INDEX(Boundaries!$B$2:$I$30,MATCH(CO251,Boundaries!$A$2:$A$30,0),0),1)-1,""))</f>
        <v/>
      </c>
      <c r="AR251" s="42" t="str">
        <f aca="false">IF(OR(AQ251="",$E251=""),"",AQ251-$E251)</f>
        <v/>
      </c>
      <c r="AS251" s="39"/>
      <c r="AT251" s="40" t="str">
        <f aca="false">IF(OR(AS251="",CB251=""),"",AS251/CB251*100)</f>
        <v/>
      </c>
      <c r="AU251" s="41" t="str">
        <f aca="false">IF(AT251="","",IFERROR(MATCH(AT251,INDEX(Boundaries!$B$2:$I$30,MATCH(CP251,Boundaries!$A$2:$A$30,0),0),1)-1,""))</f>
        <v/>
      </c>
      <c r="AV251" s="42" t="str">
        <f aca="false">IF(OR(AU251="",$E251=""),"",AU251-$E251)</f>
        <v/>
      </c>
      <c r="AW251" s="39"/>
      <c r="AX251" s="40" t="str">
        <f aca="false">IF(OR(AW251="",CC251=""),"",AW251/CC251*100)</f>
        <v/>
      </c>
      <c r="AY251" s="41" t="str">
        <f aca="false">IF(AX251="","",IFERROR(MATCH(AX251,INDEX(Boundaries!$B$2:$I$30,MATCH(CQ251,Boundaries!$A$2:$A$30,0),0),1)-1,""))</f>
        <v/>
      </c>
      <c r="AZ251" s="42" t="str">
        <f aca="false">IF(OR(AY251="",$E251=""),"",AY251-$E251)</f>
        <v/>
      </c>
      <c r="BA251" s="39"/>
      <c r="BB251" s="40" t="str">
        <f aca="false">IF(OR(BA251="",CD251=""),"",BA251/CD251*100)</f>
        <v/>
      </c>
      <c r="BC251" s="41" t="str">
        <f aca="false">IF(BB251="","",IFERROR(MATCH(BB251,INDEX(Boundaries!$B$2:$I$30,MATCH(CR251,Boundaries!$A$2:$A$30,0),0),1)-1,""))</f>
        <v/>
      </c>
      <c r="BD251" s="42" t="str">
        <f aca="false">IF(OR(BC251="",$E251=""),"",BC251-$E251)</f>
        <v/>
      </c>
      <c r="BE251" s="39"/>
      <c r="BF251" s="40" t="str">
        <f aca="false">IF(OR(BE251="",CE251=""),"",BE251/CE251*100)</f>
        <v/>
      </c>
      <c r="BG251" s="41" t="str">
        <f aca="false">IF(BF251="","",IFERROR(MATCH(BF251,INDEX(Boundaries!$B$2:$I$30,MATCH(CS251,Boundaries!$A$2:$A$30,0),0),1)-1,""))</f>
        <v/>
      </c>
      <c r="BH251" s="42" t="str">
        <f aca="false">IF(OR(BG251="",$E251=""),"",BG251-$E251)</f>
        <v/>
      </c>
      <c r="BI251" s="39"/>
      <c r="BJ251" s="40" t="str">
        <f aca="false">IF(OR(BI251="",CF251=""),"",BI251/CF251*100)</f>
        <v/>
      </c>
      <c r="BK251" s="41" t="str">
        <f aca="false">IF(BJ251="","",IFERROR(MATCH(BJ251,INDEX(Boundaries!$B$2:$I$30,MATCH(CT251,Boundaries!$A$2:$A$30,0),0),1)-1,""))</f>
        <v/>
      </c>
      <c r="BL251" s="42" t="str">
        <f aca="false">IF(OR(BK251="",$E251=""),"",BK251-$E251)</f>
        <v/>
      </c>
      <c r="BM251" s="39"/>
      <c r="BN251" s="40" t="str">
        <f aca="false">IF(OR(BM251="",CG251=""),"",BM251/CG251*100)</f>
        <v/>
      </c>
      <c r="BO251" s="41" t="str">
        <f aca="false">IF(BN251="","",IFERROR(MATCH(BN251,INDEX(Boundaries!$B$2:$I$30,MATCH(CU251,Boundaries!$A$2:$A$30,0),0),1)-1,""))</f>
        <v/>
      </c>
      <c r="BP251" s="42" t="str">
        <f aca="false">IF(OR(BO251="",$E251=""),"",BO251-$E251)</f>
        <v/>
      </c>
      <c r="BQ251" s="39"/>
      <c r="BR251" s="40" t="str">
        <f aca="false">IF(OR(BQ251="",CH251=""),"",BQ251/CH251*100)</f>
        <v/>
      </c>
      <c r="BS251" s="41" t="str">
        <f aca="false">IF(BR251="","",IFERROR(MATCH(BR251,INDEX(Boundaries!$B$2:$I$30,MATCH(CV251,Boundaries!$A$2:$A$30,0),0),1)-1,""))</f>
        <v/>
      </c>
      <c r="BT251" s="42" t="str">
        <f aca="false">IF(OR(BS251="",$E251=""),"",BS251-$E251)</f>
        <v/>
      </c>
      <c r="BU251" s="28" t="n">
        <f aca="false">IFERROR(INDEX(Assessments!$H$2:$H$600,MATCH($H251&amp;"|"&amp;$I251&amp;"|"&amp;$J251&amp;"|"&amp;1,Assessments!$A$2:$A$600,0)),"")</f>
        <v>25</v>
      </c>
      <c r="BV251" s="28" t="n">
        <f aca="false">IFERROR(INDEX(Assessments!$H$2:$H$600,MATCH($H251&amp;"|"&amp;$I251&amp;"|"&amp;$J251&amp;"|"&amp;2,Assessments!$A$2:$A$600,0)),"")</f>
        <v>24</v>
      </c>
      <c r="BW251" s="28" t="n">
        <f aca="false">IFERROR(INDEX(Assessments!$H$2:$H$600,MATCH($H251&amp;"|"&amp;$I251&amp;"|"&amp;$J251&amp;"|"&amp;3,Assessments!$A$2:$A$600,0)),"")</f>
        <v>25</v>
      </c>
      <c r="BX251" s="28" t="n">
        <f aca="false">IFERROR(INDEX(Assessments!$H$2:$H$600,MATCH($H251&amp;"|"&amp;$I251&amp;"|"&amp;$J251&amp;"|"&amp;4,Assessments!$A$2:$A$600,0)),"")</f>
        <v>35</v>
      </c>
      <c r="BY251" s="28" t="n">
        <f aca="false">IFERROR(INDEX(Assessments!$H$2:$H$600,MATCH($H251&amp;"|"&amp;$I251&amp;"|"&amp;$J251&amp;"|"&amp;5,Assessments!$A$2:$A$600,0)),"")</f>
        <v>55</v>
      </c>
      <c r="BZ251" s="28" t="n">
        <f aca="false">IFERROR(INDEX(Assessments!$H$2:$H$600,MATCH($H251&amp;"|"&amp;$I251&amp;"|"&amp;$J251&amp;"|"&amp;6,Assessments!$A$2:$A$600,0)),"")</f>
        <v>28</v>
      </c>
      <c r="CA251" s="28" t="n">
        <f aca="false">IFERROR(INDEX(Assessments!$H$2:$H$600,MATCH($H251&amp;"|"&amp;$I251&amp;"|"&amp;$J251&amp;"|"&amp;7,Assessments!$A$2:$A$600,0)),"")</f>
        <v>95</v>
      </c>
      <c r="CB251" s="28" t="str">
        <f aca="false">IFERROR(INDEX(Assessments!$H$2:$H$600,MATCH($H251&amp;"|"&amp;$I251&amp;"|"&amp;$J251&amp;"|"&amp;8,Assessments!$A$2:$A$600,0)),"")</f>
        <v/>
      </c>
      <c r="CC251" s="28" t="str">
        <f aca="false">IFERROR(INDEX(Assessments!$H$2:$H$600,MATCH($H251&amp;"|"&amp;$I251&amp;"|"&amp;$J251&amp;"|"&amp;9,Assessments!$A$2:$A$600,0)),"")</f>
        <v/>
      </c>
      <c r="CD251" s="28" t="str">
        <f aca="false">IFERROR(INDEX(Assessments!$H$2:$H$600,MATCH($H251&amp;"|"&amp;$I251&amp;"|"&amp;$J251&amp;"|"&amp;10,Assessments!$A$2:$A$600,0)),"")</f>
        <v/>
      </c>
      <c r="CE251" s="28" t="str">
        <f aca="false">IFERROR(INDEX(Assessments!$H$2:$H$600,MATCH($H251&amp;"|"&amp;$I251&amp;"|"&amp;$J251&amp;"|"&amp;11,Assessments!$A$2:$A$600,0)),"")</f>
        <v/>
      </c>
      <c r="CF251" s="28" t="str">
        <f aca="false">IFERROR(INDEX(Assessments!$H$2:$H$600,MATCH($H251&amp;"|"&amp;$I251&amp;"|"&amp;$J251&amp;"|"&amp;12,Assessments!$A$2:$A$600,0)),"")</f>
        <v/>
      </c>
      <c r="CG251" s="28" t="str">
        <f aca="false">IFERROR(INDEX(Assessments!$H$2:$H$600,MATCH($H251&amp;"|"&amp;$I251&amp;"|"&amp;$J251&amp;"|"&amp;13,Assessments!$A$2:$A$600,0)),"")</f>
        <v/>
      </c>
      <c r="CH251" s="28" t="str">
        <f aca="false">IFERROR(INDEX(Assessments!$H$2:$H$600,MATCH($H251&amp;"|"&amp;$I251&amp;"|"&amp;$J251&amp;"|"&amp;14,Assessments!$A$2:$A$600,0)),"")</f>
        <v/>
      </c>
      <c r="CI251" s="28" t="str">
        <f aca="false">IFERROR(INDEX(Assessments!$I$2:$I$600,MATCH($H251&amp;"|"&amp;$I251&amp;"|"&amp;$J251&amp;"|"&amp;1,Assessments!$A$2:$A$600,0)),"")</f>
        <v>Econ Test</v>
      </c>
      <c r="CJ251" s="28" t="str">
        <f aca="false">IFERROR(INDEX(Assessments!$I$2:$I$600,MATCH($H251&amp;"|"&amp;$I251&amp;"|"&amp;$J251&amp;"|"&amp;2,Assessments!$A$2:$A$600,0)),"")</f>
        <v>Econ Test</v>
      </c>
      <c r="CK251" s="28" t="str">
        <f aca="false">IFERROR(INDEX(Assessments!$I$2:$I$600,MATCH($H251&amp;"|"&amp;$I251&amp;"|"&amp;$J251&amp;"|"&amp;3,Assessments!$A$2:$A$600,0)),"")</f>
        <v>Econ Test</v>
      </c>
      <c r="CL251" s="28" t="str">
        <f aca="false">IFERROR(INDEX(Assessments!$I$2:$I$600,MATCH($H251&amp;"|"&amp;$I251&amp;"|"&amp;$J251&amp;"|"&amp;4,Assessments!$A$2:$A$600,0)),"")</f>
        <v>Econ Test</v>
      </c>
      <c r="CM251" s="28" t="str">
        <f aca="false">IFERROR(INDEX(Assessments!$I$2:$I$600,MATCH($H251&amp;"|"&amp;$I251&amp;"|"&amp;$J251&amp;"|"&amp;5,Assessments!$A$2:$A$600,0)),"")</f>
        <v>Econ Exam</v>
      </c>
      <c r="CN251" s="28" t="str">
        <f aca="false">IFERROR(INDEX(Assessments!$I$2:$I$600,MATCH($H251&amp;"|"&amp;$I251&amp;"|"&amp;$J251&amp;"|"&amp;6,Assessments!$A$2:$A$600,0)),"")</f>
        <v>Econ Test</v>
      </c>
      <c r="CO251" s="28" t="str">
        <f aca="false">IFERROR(INDEX(Assessments!$I$2:$I$600,MATCH($H251&amp;"|"&amp;$I251&amp;"|"&amp;$J251&amp;"|"&amp;7,Assessments!$A$2:$A$600,0)),"")</f>
        <v>Econ Exam</v>
      </c>
      <c r="CP251" s="28" t="str">
        <f aca="false">IFERROR(INDEX(Assessments!$I$2:$I$600,MATCH($H251&amp;"|"&amp;$I251&amp;"|"&amp;$J251&amp;"|"&amp;8,Assessments!$A$2:$A$600,0)),"")</f>
        <v/>
      </c>
      <c r="CQ251" s="28" t="str">
        <f aca="false">IFERROR(INDEX(Assessments!$I$2:$I$600,MATCH($H251&amp;"|"&amp;$I251&amp;"|"&amp;$J251&amp;"|"&amp;9,Assessments!$A$2:$A$600,0)),"")</f>
        <v/>
      </c>
      <c r="CR251" s="28" t="str">
        <f aca="false">IFERROR(INDEX(Assessments!$I$2:$I$600,MATCH($H251&amp;"|"&amp;$I251&amp;"|"&amp;$J251&amp;"|"&amp;10,Assessments!$A$2:$A$600,0)),"")</f>
        <v/>
      </c>
      <c r="CS251" s="28" t="str">
        <f aca="false">IFERROR(INDEX(Assessments!$I$2:$I$600,MATCH($H251&amp;"|"&amp;$I251&amp;"|"&amp;$J251&amp;"|"&amp;11,Assessments!$A$2:$A$600,0)),"")</f>
        <v/>
      </c>
      <c r="CT251" s="28" t="str">
        <f aca="false">IFERROR(INDEX(Assessments!$I$2:$I$600,MATCH($H251&amp;"|"&amp;$I251&amp;"|"&amp;$J251&amp;"|"&amp;12,Assessments!$A$2:$A$600,0)),"")</f>
        <v/>
      </c>
      <c r="CU251" s="28" t="str">
        <f aca="false">IFERROR(INDEX(Assessments!$I$2:$I$600,MATCH($H251&amp;"|"&amp;$I251&amp;"|"&amp;$J251&amp;"|"&amp;13,Assessments!$A$2:$A$600,0)),"")</f>
        <v/>
      </c>
      <c r="CV251" s="28" t="str">
        <f aca="false">IFERROR(INDEX(Assessments!$I$2:$I$600,MATCH($H251&amp;"|"&amp;$I251&amp;"|"&amp;$J251&amp;"|"&amp;14,Assessments!$A$2:$A$600,0)),"")</f>
        <v/>
      </c>
      <c r="CW251" s="28" t="n">
        <f aca="false">IFERROR(INDEX(Assessments!$J$2:$J$600,MATCH($H251&amp;"|"&amp;$I251&amp;"|"&amp;$J251&amp;"|"&amp;1,Assessments!$A$2:$A$600,0)),0)</f>
        <v>1</v>
      </c>
      <c r="CX251" s="28" t="n">
        <f aca="false">IFERROR(INDEX(Assessments!$J$2:$J$600,MATCH($H251&amp;"|"&amp;$I251&amp;"|"&amp;$J251&amp;"|"&amp;2,Assessments!$A$2:$A$600,0)),0)</f>
        <v>1</v>
      </c>
      <c r="CY251" s="28" t="n">
        <f aca="false">IFERROR(INDEX(Assessments!$J$2:$J$600,MATCH($H251&amp;"|"&amp;$I251&amp;"|"&amp;$J251&amp;"|"&amp;3,Assessments!$A$2:$A$600,0)),0)</f>
        <v>1</v>
      </c>
      <c r="CZ251" s="28" t="n">
        <f aca="false">IFERROR(INDEX(Assessments!$J$2:$J$600,MATCH($H251&amp;"|"&amp;$I251&amp;"|"&amp;$J251&amp;"|"&amp;4,Assessments!$A$2:$A$600,0)),0)</f>
        <v>1</v>
      </c>
      <c r="DA251" s="28" t="n">
        <f aca="false">IFERROR(INDEX(Assessments!$J$2:$J$600,MATCH($H251&amp;"|"&amp;$I251&amp;"|"&amp;$J251&amp;"|"&amp;5,Assessments!$A$2:$A$600,0)),0)</f>
        <v>2</v>
      </c>
      <c r="DB251" s="28" t="n">
        <f aca="false">IFERROR(INDEX(Assessments!$J$2:$J$600,MATCH($H251&amp;"|"&amp;$I251&amp;"|"&amp;$J251&amp;"|"&amp;6,Assessments!$A$2:$A$600,0)),0)</f>
        <v>1</v>
      </c>
      <c r="DC251" s="28" t="n">
        <f aca="false">IFERROR(INDEX(Assessments!$J$2:$J$600,MATCH($H251&amp;"|"&amp;$I251&amp;"|"&amp;$J251&amp;"|"&amp;7,Assessments!$A$2:$A$600,0)),0)</f>
        <v>2</v>
      </c>
      <c r="DD251" s="28" t="n">
        <f aca="false">IFERROR(INDEX(Assessments!$J$2:$J$600,MATCH($H251&amp;"|"&amp;$I251&amp;"|"&amp;$J251&amp;"|"&amp;8,Assessments!$A$2:$A$600,0)),0)</f>
        <v>0</v>
      </c>
      <c r="DE251" s="28" t="n">
        <f aca="false">IFERROR(INDEX(Assessments!$J$2:$J$600,MATCH($H251&amp;"|"&amp;$I251&amp;"|"&amp;$J251&amp;"|"&amp;9,Assessments!$A$2:$A$600,0)),0)</f>
        <v>0</v>
      </c>
      <c r="DF251" s="28" t="n">
        <f aca="false">IFERROR(INDEX(Assessments!$J$2:$J$600,MATCH($H251&amp;"|"&amp;$I251&amp;"|"&amp;$J251&amp;"|"&amp;10,Assessments!$A$2:$A$600,0)),0)</f>
        <v>0</v>
      </c>
      <c r="DG251" s="28" t="n">
        <f aca="false">IFERROR(INDEX(Assessments!$J$2:$J$600,MATCH($H251&amp;"|"&amp;$I251&amp;"|"&amp;$J251&amp;"|"&amp;11,Assessments!$A$2:$A$600,0)),0)</f>
        <v>0</v>
      </c>
      <c r="DH251" s="28" t="n">
        <f aca="false">IFERROR(INDEX(Assessments!$J$2:$J$600,MATCH($H251&amp;"|"&amp;$I251&amp;"|"&amp;$J251&amp;"|"&amp;12,Assessments!$A$2:$A$600,0)),0)</f>
        <v>0</v>
      </c>
      <c r="DI251" s="28" t="n">
        <f aca="false">IFERROR(INDEX(Assessments!$J$2:$J$600,MATCH($H251&amp;"|"&amp;$I251&amp;"|"&amp;$J251&amp;"|"&amp;13,Assessments!$A$2:$A$600,0)),0)</f>
        <v>0</v>
      </c>
      <c r="DJ251" s="28" t="n">
        <f aca="false">IFERROR(INDEX(Assessments!$J$2:$J$600,MATCH($H251&amp;"|"&amp;$I251&amp;"|"&amp;$J251&amp;"|"&amp;14,Assessments!$A$2:$A$600,0)),0)</f>
        <v>0</v>
      </c>
      <c r="DK251" s="28" t="n">
        <f aca="false">S251</f>
        <v>4</v>
      </c>
      <c r="DL251" s="28" t="str">
        <f aca="false">W251</f>
        <v/>
      </c>
      <c r="DM251" s="28" t="str">
        <f aca="false">AA251</f>
        <v/>
      </c>
      <c r="DN251" s="28" t="str">
        <f aca="false">AE251</f>
        <v/>
      </c>
      <c r="DO251" s="28" t="str">
        <f aca="false">AI251</f>
        <v/>
      </c>
      <c r="DP251" s="28" t="str">
        <f aca="false">AM251</f>
        <v/>
      </c>
      <c r="DQ251" s="28" t="str">
        <f aca="false">AQ251</f>
        <v/>
      </c>
      <c r="DR251" s="28" t="str">
        <f aca="false">AU251</f>
        <v/>
      </c>
      <c r="DS251" s="28" t="str">
        <f aca="false">AY251</f>
        <v/>
      </c>
      <c r="DT251" s="28" t="str">
        <f aca="false">BC251</f>
        <v/>
      </c>
      <c r="DU251" s="28" t="str">
        <f aca="false">BG251</f>
        <v/>
      </c>
      <c r="DV251" s="28" t="str">
        <f aca="false">BK251</f>
        <v/>
      </c>
      <c r="DW251" s="28" t="str">
        <f aca="false">BO251</f>
        <v/>
      </c>
      <c r="DX251" s="28" t="str">
        <f aca="false">BS251</f>
        <v/>
      </c>
      <c r="DY251" s="28" t="n">
        <f aca="false">IF(ISNUMBER(S251),1,"")</f>
        <v>1</v>
      </c>
      <c r="DZ251" s="28" t="str">
        <f aca="false">IF(ISNUMBER(W251),2,"")</f>
        <v/>
      </c>
      <c r="EA251" s="28" t="str">
        <f aca="false">IF(ISNUMBER(AA251),3,"")</f>
        <v/>
      </c>
      <c r="EB251" s="28" t="str">
        <f aca="false">IF(ISNUMBER(AE251),4,"")</f>
        <v/>
      </c>
      <c r="EC251" s="28" t="str">
        <f aca="false">IF(ISNUMBER(AI251),5,"")</f>
        <v/>
      </c>
      <c r="ED251" s="28" t="str">
        <f aca="false">IF(ISNUMBER(AM251),6,"")</f>
        <v/>
      </c>
      <c r="EE251" s="28" t="str">
        <f aca="false">IF(ISNUMBER(AQ251),7,"")</f>
        <v/>
      </c>
      <c r="EF251" s="28" t="str">
        <f aca="false">IF(ISNUMBER(AU251),8,"")</f>
        <v/>
      </c>
      <c r="EG251" s="28" t="str">
        <f aca="false">IF(ISNUMBER(AY251),9,"")</f>
        <v/>
      </c>
      <c r="EH251" s="28" t="str">
        <f aca="false">IF(ISNUMBER(BC251),10,"")</f>
        <v/>
      </c>
      <c r="EI251" s="28" t="str">
        <f aca="false">IF(ISNUMBER(BG251),11,"")</f>
        <v/>
      </c>
      <c r="EJ251" s="28" t="str">
        <f aca="false">IF(ISNUMBER(BK251),12,"")</f>
        <v/>
      </c>
      <c r="EK251" s="28" t="str">
        <f aca="false">IF(ISNUMBER(BO251),13,"")</f>
        <v/>
      </c>
      <c r="EL251" s="28" t="str">
        <f aca="false">IF(ISNUMBER(BS251),14,"")</f>
        <v/>
      </c>
      <c r="EM251" s="28" t="n">
        <f aca="false">IF(ISNUMBER(R251),R251*CW251,0)</f>
        <v>60</v>
      </c>
      <c r="EN251" s="28" t="n">
        <f aca="false">IF(ISNUMBER(V251),V251*CX251,0)</f>
        <v>0</v>
      </c>
      <c r="EO251" s="28" t="n">
        <f aca="false">IF(ISNUMBER(Z251),Z251*CY251,0)</f>
        <v>0</v>
      </c>
      <c r="EP251" s="28" t="n">
        <f aca="false">IF(ISNUMBER(AD251),AD251*CZ251,0)</f>
        <v>0</v>
      </c>
      <c r="EQ251" s="28" t="n">
        <f aca="false">IF(ISNUMBER(AH251),AH251*DA251,0)</f>
        <v>0</v>
      </c>
      <c r="ER251" s="28" t="n">
        <f aca="false">IF(ISNUMBER(AL251),AL251*DB251,0)</f>
        <v>0</v>
      </c>
      <c r="ES251" s="28" t="n">
        <f aca="false">IF(ISNUMBER(AP251),AP251*DC251,0)</f>
        <v>0</v>
      </c>
      <c r="ET251" s="28" t="n">
        <f aca="false">IF(ISNUMBER(AT251),AT251*DD251,0)</f>
        <v>0</v>
      </c>
      <c r="EU251" s="28" t="n">
        <f aca="false">IF(ISNUMBER(AX251),AX251*DE251,0)</f>
        <v>0</v>
      </c>
      <c r="EV251" s="28" t="n">
        <f aca="false">IF(ISNUMBER(BB251),BB251*DF251,0)</f>
        <v>0</v>
      </c>
      <c r="EW251" s="28" t="n">
        <f aca="false">IF(ISNUMBER(BF251),BF251*DG251,0)</f>
        <v>0</v>
      </c>
      <c r="EX251" s="28" t="n">
        <f aca="false">IF(ISNUMBER(BJ251),BJ251*DH251,0)</f>
        <v>0</v>
      </c>
      <c r="EY251" s="28" t="n">
        <f aca="false">IF(ISNUMBER(BN251),BN251*DI251,0)</f>
        <v>0</v>
      </c>
      <c r="EZ251" s="28" t="n">
        <f aca="false">IF(ISNUMBER(BR251),BR251*DJ251,0)</f>
        <v>0</v>
      </c>
      <c r="FA251" s="28" t="n">
        <f aca="false">IF(ISNUMBER(R251),CW251,0)</f>
        <v>1</v>
      </c>
      <c r="FB251" s="28" t="n">
        <f aca="false">IF(ISNUMBER(V251),CX251,0)</f>
        <v>0</v>
      </c>
      <c r="FC251" s="28" t="n">
        <f aca="false">IF(ISNUMBER(Z251),CY251,0)</f>
        <v>0</v>
      </c>
      <c r="FD251" s="28" t="n">
        <f aca="false">IF(ISNUMBER(AD251),CZ251,0)</f>
        <v>0</v>
      </c>
      <c r="FE251" s="28" t="n">
        <f aca="false">IF(ISNUMBER(AH251),DA251,0)</f>
        <v>0</v>
      </c>
      <c r="FF251" s="28" t="n">
        <f aca="false">IF(ISNUMBER(AL251),DB251,0)</f>
        <v>0</v>
      </c>
      <c r="FG251" s="28" t="n">
        <f aca="false">IF(ISNUMBER(AP251),DC251,0)</f>
        <v>0</v>
      </c>
      <c r="FH251" s="28" t="n">
        <f aca="false">IF(ISNUMBER(AT251),DD251,0)</f>
        <v>0</v>
      </c>
      <c r="FI251" s="28" t="n">
        <f aca="false">IF(ISNUMBER(AX251),DE251,0)</f>
        <v>0</v>
      </c>
      <c r="FJ251" s="28" t="n">
        <f aca="false">IF(ISNUMBER(BB251),DF251,0)</f>
        <v>0</v>
      </c>
      <c r="FK251" s="28" t="n">
        <f aca="false">IF(ISNUMBER(BF251),DG251,0)</f>
        <v>0</v>
      </c>
      <c r="FL251" s="28" t="n">
        <f aca="false">IF(ISNUMBER(BJ251),DH251,0)</f>
        <v>0</v>
      </c>
      <c r="FM251" s="28" t="n">
        <f aca="false">IF(ISNUMBER(BN251),DI251,0)</f>
        <v>0</v>
      </c>
      <c r="FN251" s="28" t="n">
        <f aca="false">IF(ISNUMBER(BR251),DJ251,0)</f>
        <v>0</v>
      </c>
      <c r="FO251" s="28" t="str">
        <f aca="false">IFERROR(INDEX(Lists!$G$2:$G$20,MATCH($I251&amp;"|"&amp;$J251,Lists!$F$2:$F$20,0)),"")</f>
        <v>Econ Exam</v>
      </c>
    </row>
    <row r="252" customFormat="false" ht="19.5" hidden="false" customHeight="true" outlineLevel="0" collapsed="false">
      <c r="A252" s="29" t="s">
        <v>520</v>
      </c>
      <c r="B252" s="29" t="s">
        <v>254</v>
      </c>
      <c r="C252" s="30" t="s">
        <v>192</v>
      </c>
      <c r="D252" s="30" t="s">
        <v>246</v>
      </c>
      <c r="E252" s="31"/>
      <c r="F252" s="30"/>
      <c r="G252" s="30"/>
      <c r="H252" s="32" t="s">
        <v>428</v>
      </c>
      <c r="I252" s="33" t="s">
        <v>229</v>
      </c>
      <c r="J252" s="32" t="s">
        <v>25</v>
      </c>
      <c r="K252" s="34" t="str">
        <f aca="false">IF(OR(M252="",$E252=""),"",M252-$E252)</f>
        <v/>
      </c>
      <c r="L252" s="35" t="n">
        <f aca="false">IF(SUM(FA252:FN252)=0,"",SUM(EM252:EZ252)/SUM(FA252:FN252))</f>
        <v>68</v>
      </c>
      <c r="M252" s="36" t="n">
        <f aca="false">IF(OR(L252="",FO252=""),"",IFERROR(MATCH(L252,INDEX(Boundaries!$B$2:$I$30,MATCH(FO252,Boundaries!$A$2:$A$30,0),0),1)-1,""))</f>
        <v>5</v>
      </c>
      <c r="N252" s="37" t="str">
        <f aca="false">IF(COUNT($DY252:$EL252)&lt;2,"",INDEX($DK252:$DX252,MAX($DY252:$EL252))-INDEX($DK252:$DX252,MIN($DY252:$EL252)))</f>
        <v/>
      </c>
      <c r="O252" s="37" t="str">
        <f aca="false">IF(COUNT($DY252:$EL252)&lt;2,"",INDEX($DK252:$DX252,MAX($DY252:$EL252))-INDEX($DK252:$DX252,LARGE($DY252:$EL252,2)))</f>
        <v/>
      </c>
      <c r="P252" s="38" t="str">
        <f aca="false">IF(K252="","",IF(K252&gt;=0,"On/above target",IF(AND(N252&lt;&gt;"",N252&gt;=0.5),"Improving towards target",IF(AND(O252&lt;&gt;"",O252&lt;=-0.5),"Declining","Stable below target"))))</f>
        <v/>
      </c>
      <c r="Q252" s="39" t="n">
        <v>17</v>
      </c>
      <c r="R252" s="40" t="n">
        <f aca="false">IF(OR(Q252="",BU252=""),"",Q252/BU252*100)</f>
        <v>68</v>
      </c>
      <c r="S252" s="41" t="n">
        <f aca="false">IF(R252="","",IFERROR(MATCH(R252,INDEX(Boundaries!$B$2:$I$30,MATCH(CI252,Boundaries!$A$2:$A$30,0),0),1)-1,""))</f>
        <v>5</v>
      </c>
      <c r="T252" s="42" t="str">
        <f aca="false">IF(OR(S252="",$E252=""),"",S252-$E252)</f>
        <v/>
      </c>
      <c r="U252" s="39"/>
      <c r="V252" s="40" t="str">
        <f aca="false">IF(OR(U252="",BV252=""),"",U252/BV252*100)</f>
        <v/>
      </c>
      <c r="W252" s="41" t="str">
        <f aca="false">IF(V252="","",IFERROR(MATCH(V252,INDEX(Boundaries!$B$2:$I$30,MATCH(CJ252,Boundaries!$A$2:$A$30,0),0),1)-1,""))</f>
        <v/>
      </c>
      <c r="X252" s="42" t="str">
        <f aca="false">IF(OR(W252="",$E252=""),"",W252-$E252)</f>
        <v/>
      </c>
      <c r="Y252" s="39"/>
      <c r="Z252" s="40" t="str">
        <f aca="false">IF(OR(Y252="",BW252=""),"",Y252/BW252*100)</f>
        <v/>
      </c>
      <c r="AA252" s="41" t="str">
        <f aca="false">IF(Z252="","",IFERROR(MATCH(Z252,INDEX(Boundaries!$B$2:$I$30,MATCH(CK252,Boundaries!$A$2:$A$30,0),0),1)-1,""))</f>
        <v/>
      </c>
      <c r="AB252" s="42" t="str">
        <f aca="false">IF(OR(AA252="",$E252=""),"",AA252-$E252)</f>
        <v/>
      </c>
      <c r="AC252" s="39"/>
      <c r="AD252" s="40" t="str">
        <f aca="false">IF(OR(AC252="",BX252=""),"",AC252/BX252*100)</f>
        <v/>
      </c>
      <c r="AE252" s="41" t="str">
        <f aca="false">IF(AD252="","",IFERROR(MATCH(AD252,INDEX(Boundaries!$B$2:$I$30,MATCH(CL252,Boundaries!$A$2:$A$30,0),0),1)-1,""))</f>
        <v/>
      </c>
      <c r="AF252" s="42" t="str">
        <f aca="false">IF(OR(AE252="",$E252=""),"",AE252-$E252)</f>
        <v/>
      </c>
      <c r="AG252" s="39"/>
      <c r="AH252" s="40" t="str">
        <f aca="false">IF(OR(AG252="",BY252=""),"",AG252/BY252*100)</f>
        <v/>
      </c>
      <c r="AI252" s="41" t="str">
        <f aca="false">IF(AH252="","",IFERROR(MATCH(AH252,INDEX(Boundaries!$B$2:$I$30,MATCH(CM252,Boundaries!$A$2:$A$30,0),0),1)-1,""))</f>
        <v/>
      </c>
      <c r="AJ252" s="42" t="str">
        <f aca="false">IF(OR(AI252="",$E252=""),"",AI252-$E252)</f>
        <v/>
      </c>
      <c r="AK252" s="39"/>
      <c r="AL252" s="40" t="str">
        <f aca="false">IF(OR(AK252="",BZ252=""),"",AK252/BZ252*100)</f>
        <v/>
      </c>
      <c r="AM252" s="41" t="str">
        <f aca="false">IF(AL252="","",IFERROR(MATCH(AL252,INDEX(Boundaries!$B$2:$I$30,MATCH(CN252,Boundaries!$A$2:$A$30,0),0),1)-1,""))</f>
        <v/>
      </c>
      <c r="AN252" s="42" t="str">
        <f aca="false">IF(OR(AM252="",$E252=""),"",AM252-$E252)</f>
        <v/>
      </c>
      <c r="AO252" s="39"/>
      <c r="AP252" s="40" t="str">
        <f aca="false">IF(OR(AO252="",CA252=""),"",AO252/CA252*100)</f>
        <v/>
      </c>
      <c r="AQ252" s="41" t="str">
        <f aca="false">IF(AP252="","",IFERROR(MATCH(AP252,INDEX(Boundaries!$B$2:$I$30,MATCH(CO252,Boundaries!$A$2:$A$30,0),0),1)-1,""))</f>
        <v/>
      </c>
      <c r="AR252" s="42" t="str">
        <f aca="false">IF(OR(AQ252="",$E252=""),"",AQ252-$E252)</f>
        <v/>
      </c>
      <c r="AS252" s="39"/>
      <c r="AT252" s="40" t="str">
        <f aca="false">IF(OR(AS252="",CB252=""),"",AS252/CB252*100)</f>
        <v/>
      </c>
      <c r="AU252" s="41" t="str">
        <f aca="false">IF(AT252="","",IFERROR(MATCH(AT252,INDEX(Boundaries!$B$2:$I$30,MATCH(CP252,Boundaries!$A$2:$A$30,0),0),1)-1,""))</f>
        <v/>
      </c>
      <c r="AV252" s="42" t="str">
        <f aca="false">IF(OR(AU252="",$E252=""),"",AU252-$E252)</f>
        <v/>
      </c>
      <c r="AW252" s="39"/>
      <c r="AX252" s="40" t="str">
        <f aca="false">IF(OR(AW252="",CC252=""),"",AW252/CC252*100)</f>
        <v/>
      </c>
      <c r="AY252" s="41" t="str">
        <f aca="false">IF(AX252="","",IFERROR(MATCH(AX252,INDEX(Boundaries!$B$2:$I$30,MATCH(CQ252,Boundaries!$A$2:$A$30,0),0),1)-1,""))</f>
        <v/>
      </c>
      <c r="AZ252" s="42" t="str">
        <f aca="false">IF(OR(AY252="",$E252=""),"",AY252-$E252)</f>
        <v/>
      </c>
      <c r="BA252" s="39"/>
      <c r="BB252" s="40" t="str">
        <f aca="false">IF(OR(BA252="",CD252=""),"",BA252/CD252*100)</f>
        <v/>
      </c>
      <c r="BC252" s="41" t="str">
        <f aca="false">IF(BB252="","",IFERROR(MATCH(BB252,INDEX(Boundaries!$B$2:$I$30,MATCH(CR252,Boundaries!$A$2:$A$30,0),0),1)-1,""))</f>
        <v/>
      </c>
      <c r="BD252" s="42" t="str">
        <f aca="false">IF(OR(BC252="",$E252=""),"",BC252-$E252)</f>
        <v/>
      </c>
      <c r="BE252" s="39"/>
      <c r="BF252" s="40" t="str">
        <f aca="false">IF(OR(BE252="",CE252=""),"",BE252/CE252*100)</f>
        <v/>
      </c>
      <c r="BG252" s="41" t="str">
        <f aca="false">IF(BF252="","",IFERROR(MATCH(BF252,INDEX(Boundaries!$B$2:$I$30,MATCH(CS252,Boundaries!$A$2:$A$30,0),0),1)-1,""))</f>
        <v/>
      </c>
      <c r="BH252" s="42" t="str">
        <f aca="false">IF(OR(BG252="",$E252=""),"",BG252-$E252)</f>
        <v/>
      </c>
      <c r="BI252" s="39"/>
      <c r="BJ252" s="40" t="str">
        <f aca="false">IF(OR(BI252="",CF252=""),"",BI252/CF252*100)</f>
        <v/>
      </c>
      <c r="BK252" s="41" t="str">
        <f aca="false">IF(BJ252="","",IFERROR(MATCH(BJ252,INDEX(Boundaries!$B$2:$I$30,MATCH(CT252,Boundaries!$A$2:$A$30,0),0),1)-1,""))</f>
        <v/>
      </c>
      <c r="BL252" s="42" t="str">
        <f aca="false">IF(OR(BK252="",$E252=""),"",BK252-$E252)</f>
        <v/>
      </c>
      <c r="BM252" s="39"/>
      <c r="BN252" s="40" t="str">
        <f aca="false">IF(OR(BM252="",CG252=""),"",BM252/CG252*100)</f>
        <v/>
      </c>
      <c r="BO252" s="41" t="str">
        <f aca="false">IF(BN252="","",IFERROR(MATCH(BN252,INDEX(Boundaries!$B$2:$I$30,MATCH(CU252,Boundaries!$A$2:$A$30,0),0),1)-1,""))</f>
        <v/>
      </c>
      <c r="BP252" s="42" t="str">
        <f aca="false">IF(OR(BO252="",$E252=""),"",BO252-$E252)</f>
        <v/>
      </c>
      <c r="BQ252" s="39"/>
      <c r="BR252" s="40" t="str">
        <f aca="false">IF(OR(BQ252="",CH252=""),"",BQ252/CH252*100)</f>
        <v/>
      </c>
      <c r="BS252" s="41" t="str">
        <f aca="false">IF(BR252="","",IFERROR(MATCH(BR252,INDEX(Boundaries!$B$2:$I$30,MATCH(CV252,Boundaries!$A$2:$A$30,0),0),1)-1,""))</f>
        <v/>
      </c>
      <c r="BT252" s="42" t="str">
        <f aca="false">IF(OR(BS252="",$E252=""),"",BS252-$E252)</f>
        <v/>
      </c>
      <c r="BU252" s="28" t="n">
        <f aca="false">IFERROR(INDEX(Assessments!$H$2:$H$600,MATCH($H252&amp;"|"&amp;$I252&amp;"|"&amp;$J252&amp;"|"&amp;1,Assessments!$A$2:$A$600,0)),"")</f>
        <v>25</v>
      </c>
      <c r="BV252" s="28" t="n">
        <f aca="false">IFERROR(INDEX(Assessments!$H$2:$H$600,MATCH($H252&amp;"|"&amp;$I252&amp;"|"&amp;$J252&amp;"|"&amp;2,Assessments!$A$2:$A$600,0)),"")</f>
        <v>24</v>
      </c>
      <c r="BW252" s="28" t="n">
        <f aca="false">IFERROR(INDEX(Assessments!$H$2:$H$600,MATCH($H252&amp;"|"&amp;$I252&amp;"|"&amp;$J252&amp;"|"&amp;3,Assessments!$A$2:$A$600,0)),"")</f>
        <v>25</v>
      </c>
      <c r="BX252" s="28" t="n">
        <f aca="false">IFERROR(INDEX(Assessments!$H$2:$H$600,MATCH($H252&amp;"|"&amp;$I252&amp;"|"&amp;$J252&amp;"|"&amp;4,Assessments!$A$2:$A$600,0)),"")</f>
        <v>35</v>
      </c>
      <c r="BY252" s="28" t="n">
        <f aca="false">IFERROR(INDEX(Assessments!$H$2:$H$600,MATCH($H252&amp;"|"&amp;$I252&amp;"|"&amp;$J252&amp;"|"&amp;5,Assessments!$A$2:$A$600,0)),"")</f>
        <v>55</v>
      </c>
      <c r="BZ252" s="28" t="n">
        <f aca="false">IFERROR(INDEX(Assessments!$H$2:$H$600,MATCH($H252&amp;"|"&amp;$I252&amp;"|"&amp;$J252&amp;"|"&amp;6,Assessments!$A$2:$A$600,0)),"")</f>
        <v>28</v>
      </c>
      <c r="CA252" s="28" t="n">
        <f aca="false">IFERROR(INDEX(Assessments!$H$2:$H$600,MATCH($H252&amp;"|"&amp;$I252&amp;"|"&amp;$J252&amp;"|"&amp;7,Assessments!$A$2:$A$600,0)),"")</f>
        <v>95</v>
      </c>
      <c r="CB252" s="28" t="str">
        <f aca="false">IFERROR(INDEX(Assessments!$H$2:$H$600,MATCH($H252&amp;"|"&amp;$I252&amp;"|"&amp;$J252&amp;"|"&amp;8,Assessments!$A$2:$A$600,0)),"")</f>
        <v/>
      </c>
      <c r="CC252" s="28" t="str">
        <f aca="false">IFERROR(INDEX(Assessments!$H$2:$H$600,MATCH($H252&amp;"|"&amp;$I252&amp;"|"&amp;$J252&amp;"|"&amp;9,Assessments!$A$2:$A$600,0)),"")</f>
        <v/>
      </c>
      <c r="CD252" s="28" t="str">
        <f aca="false">IFERROR(INDEX(Assessments!$H$2:$H$600,MATCH($H252&amp;"|"&amp;$I252&amp;"|"&amp;$J252&amp;"|"&amp;10,Assessments!$A$2:$A$600,0)),"")</f>
        <v/>
      </c>
      <c r="CE252" s="28" t="str">
        <f aca="false">IFERROR(INDEX(Assessments!$H$2:$H$600,MATCH($H252&amp;"|"&amp;$I252&amp;"|"&amp;$J252&amp;"|"&amp;11,Assessments!$A$2:$A$600,0)),"")</f>
        <v/>
      </c>
      <c r="CF252" s="28" t="str">
        <f aca="false">IFERROR(INDEX(Assessments!$H$2:$H$600,MATCH($H252&amp;"|"&amp;$I252&amp;"|"&amp;$J252&amp;"|"&amp;12,Assessments!$A$2:$A$600,0)),"")</f>
        <v/>
      </c>
      <c r="CG252" s="28" t="str">
        <f aca="false">IFERROR(INDEX(Assessments!$H$2:$H$600,MATCH($H252&amp;"|"&amp;$I252&amp;"|"&amp;$J252&amp;"|"&amp;13,Assessments!$A$2:$A$600,0)),"")</f>
        <v/>
      </c>
      <c r="CH252" s="28" t="str">
        <f aca="false">IFERROR(INDEX(Assessments!$H$2:$H$600,MATCH($H252&amp;"|"&amp;$I252&amp;"|"&amp;$J252&amp;"|"&amp;14,Assessments!$A$2:$A$600,0)),"")</f>
        <v/>
      </c>
      <c r="CI252" s="28" t="str">
        <f aca="false">IFERROR(INDEX(Assessments!$I$2:$I$600,MATCH($H252&amp;"|"&amp;$I252&amp;"|"&amp;$J252&amp;"|"&amp;1,Assessments!$A$2:$A$600,0)),"")</f>
        <v>Econ Test</v>
      </c>
      <c r="CJ252" s="28" t="str">
        <f aca="false">IFERROR(INDEX(Assessments!$I$2:$I$600,MATCH($H252&amp;"|"&amp;$I252&amp;"|"&amp;$J252&amp;"|"&amp;2,Assessments!$A$2:$A$600,0)),"")</f>
        <v>Econ Test</v>
      </c>
      <c r="CK252" s="28" t="str">
        <f aca="false">IFERROR(INDEX(Assessments!$I$2:$I$600,MATCH($H252&amp;"|"&amp;$I252&amp;"|"&amp;$J252&amp;"|"&amp;3,Assessments!$A$2:$A$600,0)),"")</f>
        <v>Econ Test</v>
      </c>
      <c r="CL252" s="28" t="str">
        <f aca="false">IFERROR(INDEX(Assessments!$I$2:$I$600,MATCH($H252&amp;"|"&amp;$I252&amp;"|"&amp;$J252&amp;"|"&amp;4,Assessments!$A$2:$A$600,0)),"")</f>
        <v>Econ Test</v>
      </c>
      <c r="CM252" s="28" t="str">
        <f aca="false">IFERROR(INDEX(Assessments!$I$2:$I$600,MATCH($H252&amp;"|"&amp;$I252&amp;"|"&amp;$J252&amp;"|"&amp;5,Assessments!$A$2:$A$600,0)),"")</f>
        <v>Econ Exam</v>
      </c>
      <c r="CN252" s="28" t="str">
        <f aca="false">IFERROR(INDEX(Assessments!$I$2:$I$600,MATCH($H252&amp;"|"&amp;$I252&amp;"|"&amp;$J252&amp;"|"&amp;6,Assessments!$A$2:$A$600,0)),"")</f>
        <v>Econ Test</v>
      </c>
      <c r="CO252" s="28" t="str">
        <f aca="false">IFERROR(INDEX(Assessments!$I$2:$I$600,MATCH($H252&amp;"|"&amp;$I252&amp;"|"&amp;$J252&amp;"|"&amp;7,Assessments!$A$2:$A$600,0)),"")</f>
        <v>Econ Exam</v>
      </c>
      <c r="CP252" s="28" t="str">
        <f aca="false">IFERROR(INDEX(Assessments!$I$2:$I$600,MATCH($H252&amp;"|"&amp;$I252&amp;"|"&amp;$J252&amp;"|"&amp;8,Assessments!$A$2:$A$600,0)),"")</f>
        <v/>
      </c>
      <c r="CQ252" s="28" t="str">
        <f aca="false">IFERROR(INDEX(Assessments!$I$2:$I$600,MATCH($H252&amp;"|"&amp;$I252&amp;"|"&amp;$J252&amp;"|"&amp;9,Assessments!$A$2:$A$600,0)),"")</f>
        <v/>
      </c>
      <c r="CR252" s="28" t="str">
        <f aca="false">IFERROR(INDEX(Assessments!$I$2:$I$600,MATCH($H252&amp;"|"&amp;$I252&amp;"|"&amp;$J252&amp;"|"&amp;10,Assessments!$A$2:$A$600,0)),"")</f>
        <v/>
      </c>
      <c r="CS252" s="28" t="str">
        <f aca="false">IFERROR(INDEX(Assessments!$I$2:$I$600,MATCH($H252&amp;"|"&amp;$I252&amp;"|"&amp;$J252&amp;"|"&amp;11,Assessments!$A$2:$A$600,0)),"")</f>
        <v/>
      </c>
      <c r="CT252" s="28" t="str">
        <f aca="false">IFERROR(INDEX(Assessments!$I$2:$I$600,MATCH($H252&amp;"|"&amp;$I252&amp;"|"&amp;$J252&amp;"|"&amp;12,Assessments!$A$2:$A$600,0)),"")</f>
        <v/>
      </c>
      <c r="CU252" s="28" t="str">
        <f aca="false">IFERROR(INDEX(Assessments!$I$2:$I$600,MATCH($H252&amp;"|"&amp;$I252&amp;"|"&amp;$J252&amp;"|"&amp;13,Assessments!$A$2:$A$600,0)),"")</f>
        <v/>
      </c>
      <c r="CV252" s="28" t="str">
        <f aca="false">IFERROR(INDEX(Assessments!$I$2:$I$600,MATCH($H252&amp;"|"&amp;$I252&amp;"|"&amp;$J252&amp;"|"&amp;14,Assessments!$A$2:$A$600,0)),"")</f>
        <v/>
      </c>
      <c r="CW252" s="28" t="n">
        <f aca="false">IFERROR(INDEX(Assessments!$J$2:$J$600,MATCH($H252&amp;"|"&amp;$I252&amp;"|"&amp;$J252&amp;"|"&amp;1,Assessments!$A$2:$A$600,0)),0)</f>
        <v>1</v>
      </c>
      <c r="CX252" s="28" t="n">
        <f aca="false">IFERROR(INDEX(Assessments!$J$2:$J$600,MATCH($H252&amp;"|"&amp;$I252&amp;"|"&amp;$J252&amp;"|"&amp;2,Assessments!$A$2:$A$600,0)),0)</f>
        <v>1</v>
      </c>
      <c r="CY252" s="28" t="n">
        <f aca="false">IFERROR(INDEX(Assessments!$J$2:$J$600,MATCH($H252&amp;"|"&amp;$I252&amp;"|"&amp;$J252&amp;"|"&amp;3,Assessments!$A$2:$A$600,0)),0)</f>
        <v>1</v>
      </c>
      <c r="CZ252" s="28" t="n">
        <f aca="false">IFERROR(INDEX(Assessments!$J$2:$J$600,MATCH($H252&amp;"|"&amp;$I252&amp;"|"&amp;$J252&amp;"|"&amp;4,Assessments!$A$2:$A$600,0)),0)</f>
        <v>1</v>
      </c>
      <c r="DA252" s="28" t="n">
        <f aca="false">IFERROR(INDEX(Assessments!$J$2:$J$600,MATCH($H252&amp;"|"&amp;$I252&amp;"|"&amp;$J252&amp;"|"&amp;5,Assessments!$A$2:$A$600,0)),0)</f>
        <v>2</v>
      </c>
      <c r="DB252" s="28" t="n">
        <f aca="false">IFERROR(INDEX(Assessments!$J$2:$J$600,MATCH($H252&amp;"|"&amp;$I252&amp;"|"&amp;$J252&amp;"|"&amp;6,Assessments!$A$2:$A$600,0)),0)</f>
        <v>1</v>
      </c>
      <c r="DC252" s="28" t="n">
        <f aca="false">IFERROR(INDEX(Assessments!$J$2:$J$600,MATCH($H252&amp;"|"&amp;$I252&amp;"|"&amp;$J252&amp;"|"&amp;7,Assessments!$A$2:$A$600,0)),0)</f>
        <v>2</v>
      </c>
      <c r="DD252" s="28" t="n">
        <f aca="false">IFERROR(INDEX(Assessments!$J$2:$J$600,MATCH($H252&amp;"|"&amp;$I252&amp;"|"&amp;$J252&amp;"|"&amp;8,Assessments!$A$2:$A$600,0)),0)</f>
        <v>0</v>
      </c>
      <c r="DE252" s="28" t="n">
        <f aca="false">IFERROR(INDEX(Assessments!$J$2:$J$600,MATCH($H252&amp;"|"&amp;$I252&amp;"|"&amp;$J252&amp;"|"&amp;9,Assessments!$A$2:$A$600,0)),0)</f>
        <v>0</v>
      </c>
      <c r="DF252" s="28" t="n">
        <f aca="false">IFERROR(INDEX(Assessments!$J$2:$J$600,MATCH($H252&amp;"|"&amp;$I252&amp;"|"&amp;$J252&amp;"|"&amp;10,Assessments!$A$2:$A$600,0)),0)</f>
        <v>0</v>
      </c>
      <c r="DG252" s="28" t="n">
        <f aca="false">IFERROR(INDEX(Assessments!$J$2:$J$600,MATCH($H252&amp;"|"&amp;$I252&amp;"|"&amp;$J252&amp;"|"&amp;11,Assessments!$A$2:$A$600,0)),0)</f>
        <v>0</v>
      </c>
      <c r="DH252" s="28" t="n">
        <f aca="false">IFERROR(INDEX(Assessments!$J$2:$J$600,MATCH($H252&amp;"|"&amp;$I252&amp;"|"&amp;$J252&amp;"|"&amp;12,Assessments!$A$2:$A$600,0)),0)</f>
        <v>0</v>
      </c>
      <c r="DI252" s="28" t="n">
        <f aca="false">IFERROR(INDEX(Assessments!$J$2:$J$600,MATCH($H252&amp;"|"&amp;$I252&amp;"|"&amp;$J252&amp;"|"&amp;13,Assessments!$A$2:$A$600,0)),0)</f>
        <v>0</v>
      </c>
      <c r="DJ252" s="28" t="n">
        <f aca="false">IFERROR(INDEX(Assessments!$J$2:$J$600,MATCH($H252&amp;"|"&amp;$I252&amp;"|"&amp;$J252&amp;"|"&amp;14,Assessments!$A$2:$A$600,0)),0)</f>
        <v>0</v>
      </c>
      <c r="DK252" s="28" t="n">
        <f aca="false">S252</f>
        <v>5</v>
      </c>
      <c r="DL252" s="28" t="str">
        <f aca="false">W252</f>
        <v/>
      </c>
      <c r="DM252" s="28" t="str">
        <f aca="false">AA252</f>
        <v/>
      </c>
      <c r="DN252" s="28" t="str">
        <f aca="false">AE252</f>
        <v/>
      </c>
      <c r="DO252" s="28" t="str">
        <f aca="false">AI252</f>
        <v/>
      </c>
      <c r="DP252" s="28" t="str">
        <f aca="false">AM252</f>
        <v/>
      </c>
      <c r="DQ252" s="28" t="str">
        <f aca="false">AQ252</f>
        <v/>
      </c>
      <c r="DR252" s="28" t="str">
        <f aca="false">AU252</f>
        <v/>
      </c>
      <c r="DS252" s="28" t="str">
        <f aca="false">AY252</f>
        <v/>
      </c>
      <c r="DT252" s="28" t="str">
        <f aca="false">BC252</f>
        <v/>
      </c>
      <c r="DU252" s="28" t="str">
        <f aca="false">BG252</f>
        <v/>
      </c>
      <c r="DV252" s="28" t="str">
        <f aca="false">BK252</f>
        <v/>
      </c>
      <c r="DW252" s="28" t="str">
        <f aca="false">BO252</f>
        <v/>
      </c>
      <c r="DX252" s="28" t="str">
        <f aca="false">BS252</f>
        <v/>
      </c>
      <c r="DY252" s="28" t="n">
        <f aca="false">IF(ISNUMBER(S252),1,"")</f>
        <v>1</v>
      </c>
      <c r="DZ252" s="28" t="str">
        <f aca="false">IF(ISNUMBER(W252),2,"")</f>
        <v/>
      </c>
      <c r="EA252" s="28" t="str">
        <f aca="false">IF(ISNUMBER(AA252),3,"")</f>
        <v/>
      </c>
      <c r="EB252" s="28" t="str">
        <f aca="false">IF(ISNUMBER(AE252),4,"")</f>
        <v/>
      </c>
      <c r="EC252" s="28" t="str">
        <f aca="false">IF(ISNUMBER(AI252),5,"")</f>
        <v/>
      </c>
      <c r="ED252" s="28" t="str">
        <f aca="false">IF(ISNUMBER(AM252),6,"")</f>
        <v/>
      </c>
      <c r="EE252" s="28" t="str">
        <f aca="false">IF(ISNUMBER(AQ252),7,"")</f>
        <v/>
      </c>
      <c r="EF252" s="28" t="str">
        <f aca="false">IF(ISNUMBER(AU252),8,"")</f>
        <v/>
      </c>
      <c r="EG252" s="28" t="str">
        <f aca="false">IF(ISNUMBER(AY252),9,"")</f>
        <v/>
      </c>
      <c r="EH252" s="28" t="str">
        <f aca="false">IF(ISNUMBER(BC252),10,"")</f>
        <v/>
      </c>
      <c r="EI252" s="28" t="str">
        <f aca="false">IF(ISNUMBER(BG252),11,"")</f>
        <v/>
      </c>
      <c r="EJ252" s="28" t="str">
        <f aca="false">IF(ISNUMBER(BK252),12,"")</f>
        <v/>
      </c>
      <c r="EK252" s="28" t="str">
        <f aca="false">IF(ISNUMBER(BO252),13,"")</f>
        <v/>
      </c>
      <c r="EL252" s="28" t="str">
        <f aca="false">IF(ISNUMBER(BS252),14,"")</f>
        <v/>
      </c>
      <c r="EM252" s="28" t="n">
        <f aca="false">IF(ISNUMBER(R252),R252*CW252,0)</f>
        <v>68</v>
      </c>
      <c r="EN252" s="28" t="n">
        <f aca="false">IF(ISNUMBER(V252),V252*CX252,0)</f>
        <v>0</v>
      </c>
      <c r="EO252" s="28" t="n">
        <f aca="false">IF(ISNUMBER(Z252),Z252*CY252,0)</f>
        <v>0</v>
      </c>
      <c r="EP252" s="28" t="n">
        <f aca="false">IF(ISNUMBER(AD252),AD252*CZ252,0)</f>
        <v>0</v>
      </c>
      <c r="EQ252" s="28" t="n">
        <f aca="false">IF(ISNUMBER(AH252),AH252*DA252,0)</f>
        <v>0</v>
      </c>
      <c r="ER252" s="28" t="n">
        <f aca="false">IF(ISNUMBER(AL252),AL252*DB252,0)</f>
        <v>0</v>
      </c>
      <c r="ES252" s="28" t="n">
        <f aca="false">IF(ISNUMBER(AP252),AP252*DC252,0)</f>
        <v>0</v>
      </c>
      <c r="ET252" s="28" t="n">
        <f aca="false">IF(ISNUMBER(AT252),AT252*DD252,0)</f>
        <v>0</v>
      </c>
      <c r="EU252" s="28" t="n">
        <f aca="false">IF(ISNUMBER(AX252),AX252*DE252,0)</f>
        <v>0</v>
      </c>
      <c r="EV252" s="28" t="n">
        <f aca="false">IF(ISNUMBER(BB252),BB252*DF252,0)</f>
        <v>0</v>
      </c>
      <c r="EW252" s="28" t="n">
        <f aca="false">IF(ISNUMBER(BF252),BF252*DG252,0)</f>
        <v>0</v>
      </c>
      <c r="EX252" s="28" t="n">
        <f aca="false">IF(ISNUMBER(BJ252),BJ252*DH252,0)</f>
        <v>0</v>
      </c>
      <c r="EY252" s="28" t="n">
        <f aca="false">IF(ISNUMBER(BN252),BN252*DI252,0)</f>
        <v>0</v>
      </c>
      <c r="EZ252" s="28" t="n">
        <f aca="false">IF(ISNUMBER(BR252),BR252*DJ252,0)</f>
        <v>0</v>
      </c>
      <c r="FA252" s="28" t="n">
        <f aca="false">IF(ISNUMBER(R252),CW252,0)</f>
        <v>1</v>
      </c>
      <c r="FB252" s="28" t="n">
        <f aca="false">IF(ISNUMBER(V252),CX252,0)</f>
        <v>0</v>
      </c>
      <c r="FC252" s="28" t="n">
        <f aca="false">IF(ISNUMBER(Z252),CY252,0)</f>
        <v>0</v>
      </c>
      <c r="FD252" s="28" t="n">
        <f aca="false">IF(ISNUMBER(AD252),CZ252,0)</f>
        <v>0</v>
      </c>
      <c r="FE252" s="28" t="n">
        <f aca="false">IF(ISNUMBER(AH252),DA252,0)</f>
        <v>0</v>
      </c>
      <c r="FF252" s="28" t="n">
        <f aca="false">IF(ISNUMBER(AL252),DB252,0)</f>
        <v>0</v>
      </c>
      <c r="FG252" s="28" t="n">
        <f aca="false">IF(ISNUMBER(AP252),DC252,0)</f>
        <v>0</v>
      </c>
      <c r="FH252" s="28" t="n">
        <f aca="false">IF(ISNUMBER(AT252),DD252,0)</f>
        <v>0</v>
      </c>
      <c r="FI252" s="28" t="n">
        <f aca="false">IF(ISNUMBER(AX252),DE252,0)</f>
        <v>0</v>
      </c>
      <c r="FJ252" s="28" t="n">
        <f aca="false">IF(ISNUMBER(BB252),DF252,0)</f>
        <v>0</v>
      </c>
      <c r="FK252" s="28" t="n">
        <f aca="false">IF(ISNUMBER(BF252),DG252,0)</f>
        <v>0</v>
      </c>
      <c r="FL252" s="28" t="n">
        <f aca="false">IF(ISNUMBER(BJ252),DH252,0)</f>
        <v>0</v>
      </c>
      <c r="FM252" s="28" t="n">
        <f aca="false">IF(ISNUMBER(BN252),DI252,0)</f>
        <v>0</v>
      </c>
      <c r="FN252" s="28" t="n">
        <f aca="false">IF(ISNUMBER(BR252),DJ252,0)</f>
        <v>0</v>
      </c>
      <c r="FO252" s="28" t="str">
        <f aca="false">IFERROR(INDEX(Lists!$G$2:$G$20,MATCH($I252&amp;"|"&amp;$J252,Lists!$F$2:$F$20,0)),"")</f>
        <v>Econ Exam</v>
      </c>
    </row>
    <row r="253" customFormat="false" ht="19.5" hidden="false" customHeight="true" outlineLevel="0" collapsed="false">
      <c r="A253" s="29" t="s">
        <v>521</v>
      </c>
      <c r="B253" s="29" t="s">
        <v>522</v>
      </c>
      <c r="C253" s="30" t="s">
        <v>192</v>
      </c>
      <c r="D253" s="30" t="s">
        <v>246</v>
      </c>
      <c r="E253" s="31"/>
      <c r="F253" s="30"/>
      <c r="G253" s="30"/>
      <c r="H253" s="32" t="s">
        <v>428</v>
      </c>
      <c r="I253" s="33" t="s">
        <v>229</v>
      </c>
      <c r="J253" s="32" t="s">
        <v>25</v>
      </c>
      <c r="K253" s="34" t="str">
        <f aca="false">IF(OR(M253="",$E253=""),"",M253-$E253)</f>
        <v/>
      </c>
      <c r="L253" s="35" t="n">
        <f aca="false">IF(SUM(FA253:FN253)=0,"",SUM(EM253:EZ253)/SUM(FA253:FN253))</f>
        <v>64</v>
      </c>
      <c r="M253" s="36" t="n">
        <f aca="false">IF(OR(L253="",FO253=""),"",IFERROR(MATCH(L253,INDEX(Boundaries!$B$2:$I$30,MATCH(FO253,Boundaries!$A$2:$A$30,0),0),1)-1,""))</f>
        <v>5</v>
      </c>
      <c r="N253" s="37" t="str">
        <f aca="false">IF(COUNT($DY253:$EL253)&lt;2,"",INDEX($DK253:$DX253,MAX($DY253:$EL253))-INDEX($DK253:$DX253,MIN($DY253:$EL253)))</f>
        <v/>
      </c>
      <c r="O253" s="37" t="str">
        <f aca="false">IF(COUNT($DY253:$EL253)&lt;2,"",INDEX($DK253:$DX253,MAX($DY253:$EL253))-INDEX($DK253:$DX253,LARGE($DY253:$EL253,2)))</f>
        <v/>
      </c>
      <c r="P253" s="38" t="str">
        <f aca="false">IF(K253="","",IF(K253&gt;=0,"On/above target",IF(AND(N253&lt;&gt;"",N253&gt;=0.5),"Improving towards target",IF(AND(O253&lt;&gt;"",O253&lt;=-0.5),"Declining","Stable below target"))))</f>
        <v/>
      </c>
      <c r="Q253" s="39" t="n">
        <v>16</v>
      </c>
      <c r="R253" s="40" t="n">
        <f aca="false">IF(OR(Q253="",BU253=""),"",Q253/BU253*100)</f>
        <v>64</v>
      </c>
      <c r="S253" s="41" t="n">
        <f aca="false">IF(R253="","",IFERROR(MATCH(R253,INDEX(Boundaries!$B$2:$I$30,MATCH(CI253,Boundaries!$A$2:$A$30,0),0),1)-1,""))</f>
        <v>4</v>
      </c>
      <c r="T253" s="42" t="str">
        <f aca="false">IF(OR(S253="",$E253=""),"",S253-$E253)</f>
        <v/>
      </c>
      <c r="U253" s="39"/>
      <c r="V253" s="40" t="str">
        <f aca="false">IF(OR(U253="",BV253=""),"",U253/BV253*100)</f>
        <v/>
      </c>
      <c r="W253" s="41" t="str">
        <f aca="false">IF(V253="","",IFERROR(MATCH(V253,INDEX(Boundaries!$B$2:$I$30,MATCH(CJ253,Boundaries!$A$2:$A$30,0),0),1)-1,""))</f>
        <v/>
      </c>
      <c r="X253" s="42" t="str">
        <f aca="false">IF(OR(W253="",$E253=""),"",W253-$E253)</f>
        <v/>
      </c>
      <c r="Y253" s="39"/>
      <c r="Z253" s="40" t="str">
        <f aca="false">IF(OR(Y253="",BW253=""),"",Y253/BW253*100)</f>
        <v/>
      </c>
      <c r="AA253" s="41" t="str">
        <f aca="false">IF(Z253="","",IFERROR(MATCH(Z253,INDEX(Boundaries!$B$2:$I$30,MATCH(CK253,Boundaries!$A$2:$A$30,0),0),1)-1,""))</f>
        <v/>
      </c>
      <c r="AB253" s="42" t="str">
        <f aca="false">IF(OR(AA253="",$E253=""),"",AA253-$E253)</f>
        <v/>
      </c>
      <c r="AC253" s="39"/>
      <c r="AD253" s="40" t="str">
        <f aca="false">IF(OR(AC253="",BX253=""),"",AC253/BX253*100)</f>
        <v/>
      </c>
      <c r="AE253" s="41" t="str">
        <f aca="false">IF(AD253="","",IFERROR(MATCH(AD253,INDEX(Boundaries!$B$2:$I$30,MATCH(CL253,Boundaries!$A$2:$A$30,0),0),1)-1,""))</f>
        <v/>
      </c>
      <c r="AF253" s="42" t="str">
        <f aca="false">IF(OR(AE253="",$E253=""),"",AE253-$E253)</f>
        <v/>
      </c>
      <c r="AG253" s="39"/>
      <c r="AH253" s="40" t="str">
        <f aca="false">IF(OR(AG253="",BY253=""),"",AG253/BY253*100)</f>
        <v/>
      </c>
      <c r="AI253" s="41" t="str">
        <f aca="false">IF(AH253="","",IFERROR(MATCH(AH253,INDEX(Boundaries!$B$2:$I$30,MATCH(CM253,Boundaries!$A$2:$A$30,0),0),1)-1,""))</f>
        <v/>
      </c>
      <c r="AJ253" s="42" t="str">
        <f aca="false">IF(OR(AI253="",$E253=""),"",AI253-$E253)</f>
        <v/>
      </c>
      <c r="AK253" s="39"/>
      <c r="AL253" s="40" t="str">
        <f aca="false">IF(OR(AK253="",BZ253=""),"",AK253/BZ253*100)</f>
        <v/>
      </c>
      <c r="AM253" s="41" t="str">
        <f aca="false">IF(AL253="","",IFERROR(MATCH(AL253,INDEX(Boundaries!$B$2:$I$30,MATCH(CN253,Boundaries!$A$2:$A$30,0),0),1)-1,""))</f>
        <v/>
      </c>
      <c r="AN253" s="42" t="str">
        <f aca="false">IF(OR(AM253="",$E253=""),"",AM253-$E253)</f>
        <v/>
      </c>
      <c r="AO253" s="39"/>
      <c r="AP253" s="40" t="str">
        <f aca="false">IF(OR(AO253="",CA253=""),"",AO253/CA253*100)</f>
        <v/>
      </c>
      <c r="AQ253" s="41" t="str">
        <f aca="false">IF(AP253="","",IFERROR(MATCH(AP253,INDEX(Boundaries!$B$2:$I$30,MATCH(CO253,Boundaries!$A$2:$A$30,0),0),1)-1,""))</f>
        <v/>
      </c>
      <c r="AR253" s="42" t="str">
        <f aca="false">IF(OR(AQ253="",$E253=""),"",AQ253-$E253)</f>
        <v/>
      </c>
      <c r="AS253" s="39"/>
      <c r="AT253" s="40" t="str">
        <f aca="false">IF(OR(AS253="",CB253=""),"",AS253/CB253*100)</f>
        <v/>
      </c>
      <c r="AU253" s="41" t="str">
        <f aca="false">IF(AT253="","",IFERROR(MATCH(AT253,INDEX(Boundaries!$B$2:$I$30,MATCH(CP253,Boundaries!$A$2:$A$30,0),0),1)-1,""))</f>
        <v/>
      </c>
      <c r="AV253" s="42" t="str">
        <f aca="false">IF(OR(AU253="",$E253=""),"",AU253-$E253)</f>
        <v/>
      </c>
      <c r="AW253" s="39"/>
      <c r="AX253" s="40" t="str">
        <f aca="false">IF(OR(AW253="",CC253=""),"",AW253/CC253*100)</f>
        <v/>
      </c>
      <c r="AY253" s="41" t="str">
        <f aca="false">IF(AX253="","",IFERROR(MATCH(AX253,INDEX(Boundaries!$B$2:$I$30,MATCH(CQ253,Boundaries!$A$2:$A$30,0),0),1)-1,""))</f>
        <v/>
      </c>
      <c r="AZ253" s="42" t="str">
        <f aca="false">IF(OR(AY253="",$E253=""),"",AY253-$E253)</f>
        <v/>
      </c>
      <c r="BA253" s="39"/>
      <c r="BB253" s="40" t="str">
        <f aca="false">IF(OR(BA253="",CD253=""),"",BA253/CD253*100)</f>
        <v/>
      </c>
      <c r="BC253" s="41" t="str">
        <f aca="false">IF(BB253="","",IFERROR(MATCH(BB253,INDEX(Boundaries!$B$2:$I$30,MATCH(CR253,Boundaries!$A$2:$A$30,0),0),1)-1,""))</f>
        <v/>
      </c>
      <c r="BD253" s="42" t="str">
        <f aca="false">IF(OR(BC253="",$E253=""),"",BC253-$E253)</f>
        <v/>
      </c>
      <c r="BE253" s="39"/>
      <c r="BF253" s="40" t="str">
        <f aca="false">IF(OR(BE253="",CE253=""),"",BE253/CE253*100)</f>
        <v/>
      </c>
      <c r="BG253" s="41" t="str">
        <f aca="false">IF(BF253="","",IFERROR(MATCH(BF253,INDEX(Boundaries!$B$2:$I$30,MATCH(CS253,Boundaries!$A$2:$A$30,0),0),1)-1,""))</f>
        <v/>
      </c>
      <c r="BH253" s="42" t="str">
        <f aca="false">IF(OR(BG253="",$E253=""),"",BG253-$E253)</f>
        <v/>
      </c>
      <c r="BI253" s="39"/>
      <c r="BJ253" s="40" t="str">
        <f aca="false">IF(OR(BI253="",CF253=""),"",BI253/CF253*100)</f>
        <v/>
      </c>
      <c r="BK253" s="41" t="str">
        <f aca="false">IF(BJ253="","",IFERROR(MATCH(BJ253,INDEX(Boundaries!$B$2:$I$30,MATCH(CT253,Boundaries!$A$2:$A$30,0),0),1)-1,""))</f>
        <v/>
      </c>
      <c r="BL253" s="42" t="str">
        <f aca="false">IF(OR(BK253="",$E253=""),"",BK253-$E253)</f>
        <v/>
      </c>
      <c r="BM253" s="39"/>
      <c r="BN253" s="40" t="str">
        <f aca="false">IF(OR(BM253="",CG253=""),"",BM253/CG253*100)</f>
        <v/>
      </c>
      <c r="BO253" s="41" t="str">
        <f aca="false">IF(BN253="","",IFERROR(MATCH(BN253,INDEX(Boundaries!$B$2:$I$30,MATCH(CU253,Boundaries!$A$2:$A$30,0),0),1)-1,""))</f>
        <v/>
      </c>
      <c r="BP253" s="42" t="str">
        <f aca="false">IF(OR(BO253="",$E253=""),"",BO253-$E253)</f>
        <v/>
      </c>
      <c r="BQ253" s="39"/>
      <c r="BR253" s="40" t="str">
        <f aca="false">IF(OR(BQ253="",CH253=""),"",BQ253/CH253*100)</f>
        <v/>
      </c>
      <c r="BS253" s="41" t="str">
        <f aca="false">IF(BR253="","",IFERROR(MATCH(BR253,INDEX(Boundaries!$B$2:$I$30,MATCH(CV253,Boundaries!$A$2:$A$30,0),0),1)-1,""))</f>
        <v/>
      </c>
      <c r="BT253" s="42" t="str">
        <f aca="false">IF(OR(BS253="",$E253=""),"",BS253-$E253)</f>
        <v/>
      </c>
      <c r="BU253" s="28" t="n">
        <f aca="false">IFERROR(INDEX(Assessments!$H$2:$H$600,MATCH($H253&amp;"|"&amp;$I253&amp;"|"&amp;$J253&amp;"|"&amp;1,Assessments!$A$2:$A$600,0)),"")</f>
        <v>25</v>
      </c>
      <c r="BV253" s="28" t="n">
        <f aca="false">IFERROR(INDEX(Assessments!$H$2:$H$600,MATCH($H253&amp;"|"&amp;$I253&amp;"|"&amp;$J253&amp;"|"&amp;2,Assessments!$A$2:$A$600,0)),"")</f>
        <v>24</v>
      </c>
      <c r="BW253" s="28" t="n">
        <f aca="false">IFERROR(INDEX(Assessments!$H$2:$H$600,MATCH($H253&amp;"|"&amp;$I253&amp;"|"&amp;$J253&amp;"|"&amp;3,Assessments!$A$2:$A$600,0)),"")</f>
        <v>25</v>
      </c>
      <c r="BX253" s="28" t="n">
        <f aca="false">IFERROR(INDEX(Assessments!$H$2:$H$600,MATCH($H253&amp;"|"&amp;$I253&amp;"|"&amp;$J253&amp;"|"&amp;4,Assessments!$A$2:$A$600,0)),"")</f>
        <v>35</v>
      </c>
      <c r="BY253" s="28" t="n">
        <f aca="false">IFERROR(INDEX(Assessments!$H$2:$H$600,MATCH($H253&amp;"|"&amp;$I253&amp;"|"&amp;$J253&amp;"|"&amp;5,Assessments!$A$2:$A$600,0)),"")</f>
        <v>55</v>
      </c>
      <c r="BZ253" s="28" t="n">
        <f aca="false">IFERROR(INDEX(Assessments!$H$2:$H$600,MATCH($H253&amp;"|"&amp;$I253&amp;"|"&amp;$J253&amp;"|"&amp;6,Assessments!$A$2:$A$600,0)),"")</f>
        <v>28</v>
      </c>
      <c r="CA253" s="28" t="n">
        <f aca="false">IFERROR(INDEX(Assessments!$H$2:$H$600,MATCH($H253&amp;"|"&amp;$I253&amp;"|"&amp;$J253&amp;"|"&amp;7,Assessments!$A$2:$A$600,0)),"")</f>
        <v>95</v>
      </c>
      <c r="CB253" s="28" t="str">
        <f aca="false">IFERROR(INDEX(Assessments!$H$2:$H$600,MATCH($H253&amp;"|"&amp;$I253&amp;"|"&amp;$J253&amp;"|"&amp;8,Assessments!$A$2:$A$600,0)),"")</f>
        <v/>
      </c>
      <c r="CC253" s="28" t="str">
        <f aca="false">IFERROR(INDEX(Assessments!$H$2:$H$600,MATCH($H253&amp;"|"&amp;$I253&amp;"|"&amp;$J253&amp;"|"&amp;9,Assessments!$A$2:$A$600,0)),"")</f>
        <v/>
      </c>
      <c r="CD253" s="28" t="str">
        <f aca="false">IFERROR(INDEX(Assessments!$H$2:$H$600,MATCH($H253&amp;"|"&amp;$I253&amp;"|"&amp;$J253&amp;"|"&amp;10,Assessments!$A$2:$A$600,0)),"")</f>
        <v/>
      </c>
      <c r="CE253" s="28" t="str">
        <f aca="false">IFERROR(INDEX(Assessments!$H$2:$H$600,MATCH($H253&amp;"|"&amp;$I253&amp;"|"&amp;$J253&amp;"|"&amp;11,Assessments!$A$2:$A$600,0)),"")</f>
        <v/>
      </c>
      <c r="CF253" s="28" t="str">
        <f aca="false">IFERROR(INDEX(Assessments!$H$2:$H$600,MATCH($H253&amp;"|"&amp;$I253&amp;"|"&amp;$J253&amp;"|"&amp;12,Assessments!$A$2:$A$600,0)),"")</f>
        <v/>
      </c>
      <c r="CG253" s="28" t="str">
        <f aca="false">IFERROR(INDEX(Assessments!$H$2:$H$600,MATCH($H253&amp;"|"&amp;$I253&amp;"|"&amp;$J253&amp;"|"&amp;13,Assessments!$A$2:$A$600,0)),"")</f>
        <v/>
      </c>
      <c r="CH253" s="28" t="str">
        <f aca="false">IFERROR(INDEX(Assessments!$H$2:$H$600,MATCH($H253&amp;"|"&amp;$I253&amp;"|"&amp;$J253&amp;"|"&amp;14,Assessments!$A$2:$A$600,0)),"")</f>
        <v/>
      </c>
      <c r="CI253" s="28" t="str">
        <f aca="false">IFERROR(INDEX(Assessments!$I$2:$I$600,MATCH($H253&amp;"|"&amp;$I253&amp;"|"&amp;$J253&amp;"|"&amp;1,Assessments!$A$2:$A$600,0)),"")</f>
        <v>Econ Test</v>
      </c>
      <c r="CJ253" s="28" t="str">
        <f aca="false">IFERROR(INDEX(Assessments!$I$2:$I$600,MATCH($H253&amp;"|"&amp;$I253&amp;"|"&amp;$J253&amp;"|"&amp;2,Assessments!$A$2:$A$600,0)),"")</f>
        <v>Econ Test</v>
      </c>
      <c r="CK253" s="28" t="str">
        <f aca="false">IFERROR(INDEX(Assessments!$I$2:$I$600,MATCH($H253&amp;"|"&amp;$I253&amp;"|"&amp;$J253&amp;"|"&amp;3,Assessments!$A$2:$A$600,0)),"")</f>
        <v>Econ Test</v>
      </c>
      <c r="CL253" s="28" t="str">
        <f aca="false">IFERROR(INDEX(Assessments!$I$2:$I$600,MATCH($H253&amp;"|"&amp;$I253&amp;"|"&amp;$J253&amp;"|"&amp;4,Assessments!$A$2:$A$600,0)),"")</f>
        <v>Econ Test</v>
      </c>
      <c r="CM253" s="28" t="str">
        <f aca="false">IFERROR(INDEX(Assessments!$I$2:$I$600,MATCH($H253&amp;"|"&amp;$I253&amp;"|"&amp;$J253&amp;"|"&amp;5,Assessments!$A$2:$A$600,0)),"")</f>
        <v>Econ Exam</v>
      </c>
      <c r="CN253" s="28" t="str">
        <f aca="false">IFERROR(INDEX(Assessments!$I$2:$I$600,MATCH($H253&amp;"|"&amp;$I253&amp;"|"&amp;$J253&amp;"|"&amp;6,Assessments!$A$2:$A$600,0)),"")</f>
        <v>Econ Test</v>
      </c>
      <c r="CO253" s="28" t="str">
        <f aca="false">IFERROR(INDEX(Assessments!$I$2:$I$600,MATCH($H253&amp;"|"&amp;$I253&amp;"|"&amp;$J253&amp;"|"&amp;7,Assessments!$A$2:$A$600,0)),"")</f>
        <v>Econ Exam</v>
      </c>
      <c r="CP253" s="28" t="str">
        <f aca="false">IFERROR(INDEX(Assessments!$I$2:$I$600,MATCH($H253&amp;"|"&amp;$I253&amp;"|"&amp;$J253&amp;"|"&amp;8,Assessments!$A$2:$A$600,0)),"")</f>
        <v/>
      </c>
      <c r="CQ253" s="28" t="str">
        <f aca="false">IFERROR(INDEX(Assessments!$I$2:$I$600,MATCH($H253&amp;"|"&amp;$I253&amp;"|"&amp;$J253&amp;"|"&amp;9,Assessments!$A$2:$A$600,0)),"")</f>
        <v/>
      </c>
      <c r="CR253" s="28" t="str">
        <f aca="false">IFERROR(INDEX(Assessments!$I$2:$I$600,MATCH($H253&amp;"|"&amp;$I253&amp;"|"&amp;$J253&amp;"|"&amp;10,Assessments!$A$2:$A$600,0)),"")</f>
        <v/>
      </c>
      <c r="CS253" s="28" t="str">
        <f aca="false">IFERROR(INDEX(Assessments!$I$2:$I$600,MATCH($H253&amp;"|"&amp;$I253&amp;"|"&amp;$J253&amp;"|"&amp;11,Assessments!$A$2:$A$600,0)),"")</f>
        <v/>
      </c>
      <c r="CT253" s="28" t="str">
        <f aca="false">IFERROR(INDEX(Assessments!$I$2:$I$600,MATCH($H253&amp;"|"&amp;$I253&amp;"|"&amp;$J253&amp;"|"&amp;12,Assessments!$A$2:$A$600,0)),"")</f>
        <v/>
      </c>
      <c r="CU253" s="28" t="str">
        <f aca="false">IFERROR(INDEX(Assessments!$I$2:$I$600,MATCH($H253&amp;"|"&amp;$I253&amp;"|"&amp;$J253&amp;"|"&amp;13,Assessments!$A$2:$A$600,0)),"")</f>
        <v/>
      </c>
      <c r="CV253" s="28" t="str">
        <f aca="false">IFERROR(INDEX(Assessments!$I$2:$I$600,MATCH($H253&amp;"|"&amp;$I253&amp;"|"&amp;$J253&amp;"|"&amp;14,Assessments!$A$2:$A$600,0)),"")</f>
        <v/>
      </c>
      <c r="CW253" s="28" t="n">
        <f aca="false">IFERROR(INDEX(Assessments!$J$2:$J$600,MATCH($H253&amp;"|"&amp;$I253&amp;"|"&amp;$J253&amp;"|"&amp;1,Assessments!$A$2:$A$600,0)),0)</f>
        <v>1</v>
      </c>
      <c r="CX253" s="28" t="n">
        <f aca="false">IFERROR(INDEX(Assessments!$J$2:$J$600,MATCH($H253&amp;"|"&amp;$I253&amp;"|"&amp;$J253&amp;"|"&amp;2,Assessments!$A$2:$A$600,0)),0)</f>
        <v>1</v>
      </c>
      <c r="CY253" s="28" t="n">
        <f aca="false">IFERROR(INDEX(Assessments!$J$2:$J$600,MATCH($H253&amp;"|"&amp;$I253&amp;"|"&amp;$J253&amp;"|"&amp;3,Assessments!$A$2:$A$600,0)),0)</f>
        <v>1</v>
      </c>
      <c r="CZ253" s="28" t="n">
        <f aca="false">IFERROR(INDEX(Assessments!$J$2:$J$600,MATCH($H253&amp;"|"&amp;$I253&amp;"|"&amp;$J253&amp;"|"&amp;4,Assessments!$A$2:$A$600,0)),0)</f>
        <v>1</v>
      </c>
      <c r="DA253" s="28" t="n">
        <f aca="false">IFERROR(INDEX(Assessments!$J$2:$J$600,MATCH($H253&amp;"|"&amp;$I253&amp;"|"&amp;$J253&amp;"|"&amp;5,Assessments!$A$2:$A$600,0)),0)</f>
        <v>2</v>
      </c>
      <c r="DB253" s="28" t="n">
        <f aca="false">IFERROR(INDEX(Assessments!$J$2:$J$600,MATCH($H253&amp;"|"&amp;$I253&amp;"|"&amp;$J253&amp;"|"&amp;6,Assessments!$A$2:$A$600,0)),0)</f>
        <v>1</v>
      </c>
      <c r="DC253" s="28" t="n">
        <f aca="false">IFERROR(INDEX(Assessments!$J$2:$J$600,MATCH($H253&amp;"|"&amp;$I253&amp;"|"&amp;$J253&amp;"|"&amp;7,Assessments!$A$2:$A$600,0)),0)</f>
        <v>2</v>
      </c>
      <c r="DD253" s="28" t="n">
        <f aca="false">IFERROR(INDEX(Assessments!$J$2:$J$600,MATCH($H253&amp;"|"&amp;$I253&amp;"|"&amp;$J253&amp;"|"&amp;8,Assessments!$A$2:$A$600,0)),0)</f>
        <v>0</v>
      </c>
      <c r="DE253" s="28" t="n">
        <f aca="false">IFERROR(INDEX(Assessments!$J$2:$J$600,MATCH($H253&amp;"|"&amp;$I253&amp;"|"&amp;$J253&amp;"|"&amp;9,Assessments!$A$2:$A$600,0)),0)</f>
        <v>0</v>
      </c>
      <c r="DF253" s="28" t="n">
        <f aca="false">IFERROR(INDEX(Assessments!$J$2:$J$600,MATCH($H253&amp;"|"&amp;$I253&amp;"|"&amp;$J253&amp;"|"&amp;10,Assessments!$A$2:$A$600,0)),0)</f>
        <v>0</v>
      </c>
      <c r="DG253" s="28" t="n">
        <f aca="false">IFERROR(INDEX(Assessments!$J$2:$J$600,MATCH($H253&amp;"|"&amp;$I253&amp;"|"&amp;$J253&amp;"|"&amp;11,Assessments!$A$2:$A$600,0)),0)</f>
        <v>0</v>
      </c>
      <c r="DH253" s="28" t="n">
        <f aca="false">IFERROR(INDEX(Assessments!$J$2:$J$600,MATCH($H253&amp;"|"&amp;$I253&amp;"|"&amp;$J253&amp;"|"&amp;12,Assessments!$A$2:$A$600,0)),0)</f>
        <v>0</v>
      </c>
      <c r="DI253" s="28" t="n">
        <f aca="false">IFERROR(INDEX(Assessments!$J$2:$J$600,MATCH($H253&amp;"|"&amp;$I253&amp;"|"&amp;$J253&amp;"|"&amp;13,Assessments!$A$2:$A$600,0)),0)</f>
        <v>0</v>
      </c>
      <c r="DJ253" s="28" t="n">
        <f aca="false">IFERROR(INDEX(Assessments!$J$2:$J$600,MATCH($H253&amp;"|"&amp;$I253&amp;"|"&amp;$J253&amp;"|"&amp;14,Assessments!$A$2:$A$600,0)),0)</f>
        <v>0</v>
      </c>
      <c r="DK253" s="28" t="n">
        <f aca="false">S253</f>
        <v>4</v>
      </c>
      <c r="DL253" s="28" t="str">
        <f aca="false">W253</f>
        <v/>
      </c>
      <c r="DM253" s="28" t="str">
        <f aca="false">AA253</f>
        <v/>
      </c>
      <c r="DN253" s="28" t="str">
        <f aca="false">AE253</f>
        <v/>
      </c>
      <c r="DO253" s="28" t="str">
        <f aca="false">AI253</f>
        <v/>
      </c>
      <c r="DP253" s="28" t="str">
        <f aca="false">AM253</f>
        <v/>
      </c>
      <c r="DQ253" s="28" t="str">
        <f aca="false">AQ253</f>
        <v/>
      </c>
      <c r="DR253" s="28" t="str">
        <f aca="false">AU253</f>
        <v/>
      </c>
      <c r="DS253" s="28" t="str">
        <f aca="false">AY253</f>
        <v/>
      </c>
      <c r="DT253" s="28" t="str">
        <f aca="false">BC253</f>
        <v/>
      </c>
      <c r="DU253" s="28" t="str">
        <f aca="false">BG253</f>
        <v/>
      </c>
      <c r="DV253" s="28" t="str">
        <f aca="false">BK253</f>
        <v/>
      </c>
      <c r="DW253" s="28" t="str">
        <f aca="false">BO253</f>
        <v/>
      </c>
      <c r="DX253" s="28" t="str">
        <f aca="false">BS253</f>
        <v/>
      </c>
      <c r="DY253" s="28" t="n">
        <f aca="false">IF(ISNUMBER(S253),1,"")</f>
        <v>1</v>
      </c>
      <c r="DZ253" s="28" t="str">
        <f aca="false">IF(ISNUMBER(W253),2,"")</f>
        <v/>
      </c>
      <c r="EA253" s="28" t="str">
        <f aca="false">IF(ISNUMBER(AA253),3,"")</f>
        <v/>
      </c>
      <c r="EB253" s="28" t="str">
        <f aca="false">IF(ISNUMBER(AE253),4,"")</f>
        <v/>
      </c>
      <c r="EC253" s="28" t="str">
        <f aca="false">IF(ISNUMBER(AI253),5,"")</f>
        <v/>
      </c>
      <c r="ED253" s="28" t="str">
        <f aca="false">IF(ISNUMBER(AM253),6,"")</f>
        <v/>
      </c>
      <c r="EE253" s="28" t="str">
        <f aca="false">IF(ISNUMBER(AQ253),7,"")</f>
        <v/>
      </c>
      <c r="EF253" s="28" t="str">
        <f aca="false">IF(ISNUMBER(AU253),8,"")</f>
        <v/>
      </c>
      <c r="EG253" s="28" t="str">
        <f aca="false">IF(ISNUMBER(AY253),9,"")</f>
        <v/>
      </c>
      <c r="EH253" s="28" t="str">
        <f aca="false">IF(ISNUMBER(BC253),10,"")</f>
        <v/>
      </c>
      <c r="EI253" s="28" t="str">
        <f aca="false">IF(ISNUMBER(BG253),11,"")</f>
        <v/>
      </c>
      <c r="EJ253" s="28" t="str">
        <f aca="false">IF(ISNUMBER(BK253),12,"")</f>
        <v/>
      </c>
      <c r="EK253" s="28" t="str">
        <f aca="false">IF(ISNUMBER(BO253),13,"")</f>
        <v/>
      </c>
      <c r="EL253" s="28" t="str">
        <f aca="false">IF(ISNUMBER(BS253),14,"")</f>
        <v/>
      </c>
      <c r="EM253" s="28" t="n">
        <f aca="false">IF(ISNUMBER(R253),R253*CW253,0)</f>
        <v>64</v>
      </c>
      <c r="EN253" s="28" t="n">
        <f aca="false">IF(ISNUMBER(V253),V253*CX253,0)</f>
        <v>0</v>
      </c>
      <c r="EO253" s="28" t="n">
        <f aca="false">IF(ISNUMBER(Z253),Z253*CY253,0)</f>
        <v>0</v>
      </c>
      <c r="EP253" s="28" t="n">
        <f aca="false">IF(ISNUMBER(AD253),AD253*CZ253,0)</f>
        <v>0</v>
      </c>
      <c r="EQ253" s="28" t="n">
        <f aca="false">IF(ISNUMBER(AH253),AH253*DA253,0)</f>
        <v>0</v>
      </c>
      <c r="ER253" s="28" t="n">
        <f aca="false">IF(ISNUMBER(AL253),AL253*DB253,0)</f>
        <v>0</v>
      </c>
      <c r="ES253" s="28" t="n">
        <f aca="false">IF(ISNUMBER(AP253),AP253*DC253,0)</f>
        <v>0</v>
      </c>
      <c r="ET253" s="28" t="n">
        <f aca="false">IF(ISNUMBER(AT253),AT253*DD253,0)</f>
        <v>0</v>
      </c>
      <c r="EU253" s="28" t="n">
        <f aca="false">IF(ISNUMBER(AX253),AX253*DE253,0)</f>
        <v>0</v>
      </c>
      <c r="EV253" s="28" t="n">
        <f aca="false">IF(ISNUMBER(BB253),BB253*DF253,0)</f>
        <v>0</v>
      </c>
      <c r="EW253" s="28" t="n">
        <f aca="false">IF(ISNUMBER(BF253),BF253*DG253,0)</f>
        <v>0</v>
      </c>
      <c r="EX253" s="28" t="n">
        <f aca="false">IF(ISNUMBER(BJ253),BJ253*DH253,0)</f>
        <v>0</v>
      </c>
      <c r="EY253" s="28" t="n">
        <f aca="false">IF(ISNUMBER(BN253),BN253*DI253,0)</f>
        <v>0</v>
      </c>
      <c r="EZ253" s="28" t="n">
        <f aca="false">IF(ISNUMBER(BR253),BR253*DJ253,0)</f>
        <v>0</v>
      </c>
      <c r="FA253" s="28" t="n">
        <f aca="false">IF(ISNUMBER(R253),CW253,0)</f>
        <v>1</v>
      </c>
      <c r="FB253" s="28" t="n">
        <f aca="false">IF(ISNUMBER(V253),CX253,0)</f>
        <v>0</v>
      </c>
      <c r="FC253" s="28" t="n">
        <f aca="false">IF(ISNUMBER(Z253),CY253,0)</f>
        <v>0</v>
      </c>
      <c r="FD253" s="28" t="n">
        <f aca="false">IF(ISNUMBER(AD253),CZ253,0)</f>
        <v>0</v>
      </c>
      <c r="FE253" s="28" t="n">
        <f aca="false">IF(ISNUMBER(AH253),DA253,0)</f>
        <v>0</v>
      </c>
      <c r="FF253" s="28" t="n">
        <f aca="false">IF(ISNUMBER(AL253),DB253,0)</f>
        <v>0</v>
      </c>
      <c r="FG253" s="28" t="n">
        <f aca="false">IF(ISNUMBER(AP253),DC253,0)</f>
        <v>0</v>
      </c>
      <c r="FH253" s="28" t="n">
        <f aca="false">IF(ISNUMBER(AT253),DD253,0)</f>
        <v>0</v>
      </c>
      <c r="FI253" s="28" t="n">
        <f aca="false">IF(ISNUMBER(AX253),DE253,0)</f>
        <v>0</v>
      </c>
      <c r="FJ253" s="28" t="n">
        <f aca="false">IF(ISNUMBER(BB253),DF253,0)</f>
        <v>0</v>
      </c>
      <c r="FK253" s="28" t="n">
        <f aca="false">IF(ISNUMBER(BF253),DG253,0)</f>
        <v>0</v>
      </c>
      <c r="FL253" s="28" t="n">
        <f aca="false">IF(ISNUMBER(BJ253),DH253,0)</f>
        <v>0</v>
      </c>
      <c r="FM253" s="28" t="n">
        <f aca="false">IF(ISNUMBER(BN253),DI253,0)</f>
        <v>0</v>
      </c>
      <c r="FN253" s="28" t="n">
        <f aca="false">IF(ISNUMBER(BR253),DJ253,0)</f>
        <v>0</v>
      </c>
      <c r="FO253" s="28" t="str">
        <f aca="false">IFERROR(INDEX(Lists!$G$2:$G$20,MATCH($I253&amp;"|"&amp;$J253,Lists!$F$2:$F$20,0)),"")</f>
        <v>Econ Exam</v>
      </c>
    </row>
    <row r="254" customFormat="false" ht="19.5" hidden="false" customHeight="true" outlineLevel="0" collapsed="false">
      <c r="A254" s="29" t="s">
        <v>459</v>
      </c>
      <c r="B254" s="29" t="s">
        <v>348</v>
      </c>
      <c r="C254" s="30" t="s">
        <v>192</v>
      </c>
      <c r="D254" s="30" t="s">
        <v>246</v>
      </c>
      <c r="E254" s="31"/>
      <c r="F254" s="30"/>
      <c r="G254" s="30"/>
      <c r="H254" s="32" t="s">
        <v>428</v>
      </c>
      <c r="I254" s="33" t="s">
        <v>229</v>
      </c>
      <c r="J254" s="32" t="s">
        <v>25</v>
      </c>
      <c r="K254" s="34" t="str">
        <f aca="false">IF(OR(M254="",$E254=""),"",M254-$E254)</f>
        <v/>
      </c>
      <c r="L254" s="35" t="n">
        <f aca="false">IF(SUM(FA254:FN254)=0,"",SUM(EM254:EZ254)/SUM(FA254:FN254))</f>
        <v>76</v>
      </c>
      <c r="M254" s="36" t="n">
        <f aca="false">IF(OR(L254="",FO254=""),"",IFERROR(MATCH(L254,INDEX(Boundaries!$B$2:$I$30,MATCH(FO254,Boundaries!$A$2:$A$30,0),0),1)-1,""))</f>
        <v>6</v>
      </c>
      <c r="N254" s="37" t="str">
        <f aca="false">IF(COUNT($DY254:$EL254)&lt;2,"",INDEX($DK254:$DX254,MAX($DY254:$EL254))-INDEX($DK254:$DX254,MIN($DY254:$EL254)))</f>
        <v/>
      </c>
      <c r="O254" s="37" t="str">
        <f aca="false">IF(COUNT($DY254:$EL254)&lt;2,"",INDEX($DK254:$DX254,MAX($DY254:$EL254))-INDEX($DK254:$DX254,LARGE($DY254:$EL254,2)))</f>
        <v/>
      </c>
      <c r="P254" s="38" t="str">
        <f aca="false">IF(K254="","",IF(K254&gt;=0,"On/above target",IF(AND(N254&lt;&gt;"",N254&gt;=0.5),"Improving towards target",IF(AND(O254&lt;&gt;"",O254&lt;=-0.5),"Declining","Stable below target"))))</f>
        <v/>
      </c>
      <c r="Q254" s="39" t="n">
        <v>19</v>
      </c>
      <c r="R254" s="40" t="n">
        <f aca="false">IF(OR(Q254="",BU254=""),"",Q254/BU254*100)</f>
        <v>76</v>
      </c>
      <c r="S254" s="41" t="n">
        <f aca="false">IF(R254="","",IFERROR(MATCH(R254,INDEX(Boundaries!$B$2:$I$30,MATCH(CI254,Boundaries!$A$2:$A$30,0),0),1)-1,""))</f>
        <v>6</v>
      </c>
      <c r="T254" s="42" t="str">
        <f aca="false">IF(OR(S254="",$E254=""),"",S254-$E254)</f>
        <v/>
      </c>
      <c r="U254" s="39"/>
      <c r="V254" s="40" t="str">
        <f aca="false">IF(OR(U254="",BV254=""),"",U254/BV254*100)</f>
        <v/>
      </c>
      <c r="W254" s="41" t="str">
        <f aca="false">IF(V254="","",IFERROR(MATCH(V254,INDEX(Boundaries!$B$2:$I$30,MATCH(CJ254,Boundaries!$A$2:$A$30,0),0),1)-1,""))</f>
        <v/>
      </c>
      <c r="X254" s="42" t="str">
        <f aca="false">IF(OR(W254="",$E254=""),"",W254-$E254)</f>
        <v/>
      </c>
      <c r="Y254" s="39"/>
      <c r="Z254" s="40" t="str">
        <f aca="false">IF(OR(Y254="",BW254=""),"",Y254/BW254*100)</f>
        <v/>
      </c>
      <c r="AA254" s="41" t="str">
        <f aca="false">IF(Z254="","",IFERROR(MATCH(Z254,INDEX(Boundaries!$B$2:$I$30,MATCH(CK254,Boundaries!$A$2:$A$30,0),0),1)-1,""))</f>
        <v/>
      </c>
      <c r="AB254" s="42" t="str">
        <f aca="false">IF(OR(AA254="",$E254=""),"",AA254-$E254)</f>
        <v/>
      </c>
      <c r="AC254" s="39"/>
      <c r="AD254" s="40" t="str">
        <f aca="false">IF(OR(AC254="",BX254=""),"",AC254/BX254*100)</f>
        <v/>
      </c>
      <c r="AE254" s="41" t="str">
        <f aca="false">IF(AD254="","",IFERROR(MATCH(AD254,INDEX(Boundaries!$B$2:$I$30,MATCH(CL254,Boundaries!$A$2:$A$30,0),0),1)-1,""))</f>
        <v/>
      </c>
      <c r="AF254" s="42" t="str">
        <f aca="false">IF(OR(AE254="",$E254=""),"",AE254-$E254)</f>
        <v/>
      </c>
      <c r="AG254" s="39"/>
      <c r="AH254" s="40" t="str">
        <f aca="false">IF(OR(AG254="",BY254=""),"",AG254/BY254*100)</f>
        <v/>
      </c>
      <c r="AI254" s="41" t="str">
        <f aca="false">IF(AH254="","",IFERROR(MATCH(AH254,INDEX(Boundaries!$B$2:$I$30,MATCH(CM254,Boundaries!$A$2:$A$30,0),0),1)-1,""))</f>
        <v/>
      </c>
      <c r="AJ254" s="42" t="str">
        <f aca="false">IF(OR(AI254="",$E254=""),"",AI254-$E254)</f>
        <v/>
      </c>
      <c r="AK254" s="39"/>
      <c r="AL254" s="40" t="str">
        <f aca="false">IF(OR(AK254="",BZ254=""),"",AK254/BZ254*100)</f>
        <v/>
      </c>
      <c r="AM254" s="41" t="str">
        <f aca="false">IF(AL254="","",IFERROR(MATCH(AL254,INDEX(Boundaries!$B$2:$I$30,MATCH(CN254,Boundaries!$A$2:$A$30,0),0),1)-1,""))</f>
        <v/>
      </c>
      <c r="AN254" s="42" t="str">
        <f aca="false">IF(OR(AM254="",$E254=""),"",AM254-$E254)</f>
        <v/>
      </c>
      <c r="AO254" s="39"/>
      <c r="AP254" s="40" t="str">
        <f aca="false">IF(OR(AO254="",CA254=""),"",AO254/CA254*100)</f>
        <v/>
      </c>
      <c r="AQ254" s="41" t="str">
        <f aca="false">IF(AP254="","",IFERROR(MATCH(AP254,INDEX(Boundaries!$B$2:$I$30,MATCH(CO254,Boundaries!$A$2:$A$30,0),0),1)-1,""))</f>
        <v/>
      </c>
      <c r="AR254" s="42" t="str">
        <f aca="false">IF(OR(AQ254="",$E254=""),"",AQ254-$E254)</f>
        <v/>
      </c>
      <c r="AS254" s="39"/>
      <c r="AT254" s="40" t="str">
        <f aca="false">IF(OR(AS254="",CB254=""),"",AS254/CB254*100)</f>
        <v/>
      </c>
      <c r="AU254" s="41" t="str">
        <f aca="false">IF(AT254="","",IFERROR(MATCH(AT254,INDEX(Boundaries!$B$2:$I$30,MATCH(CP254,Boundaries!$A$2:$A$30,0),0),1)-1,""))</f>
        <v/>
      </c>
      <c r="AV254" s="42" t="str">
        <f aca="false">IF(OR(AU254="",$E254=""),"",AU254-$E254)</f>
        <v/>
      </c>
      <c r="AW254" s="39"/>
      <c r="AX254" s="40" t="str">
        <f aca="false">IF(OR(AW254="",CC254=""),"",AW254/CC254*100)</f>
        <v/>
      </c>
      <c r="AY254" s="41" t="str">
        <f aca="false">IF(AX254="","",IFERROR(MATCH(AX254,INDEX(Boundaries!$B$2:$I$30,MATCH(CQ254,Boundaries!$A$2:$A$30,0),0),1)-1,""))</f>
        <v/>
      </c>
      <c r="AZ254" s="42" t="str">
        <f aca="false">IF(OR(AY254="",$E254=""),"",AY254-$E254)</f>
        <v/>
      </c>
      <c r="BA254" s="39"/>
      <c r="BB254" s="40" t="str">
        <f aca="false">IF(OR(BA254="",CD254=""),"",BA254/CD254*100)</f>
        <v/>
      </c>
      <c r="BC254" s="41" t="str">
        <f aca="false">IF(BB254="","",IFERROR(MATCH(BB254,INDEX(Boundaries!$B$2:$I$30,MATCH(CR254,Boundaries!$A$2:$A$30,0),0),1)-1,""))</f>
        <v/>
      </c>
      <c r="BD254" s="42" t="str">
        <f aca="false">IF(OR(BC254="",$E254=""),"",BC254-$E254)</f>
        <v/>
      </c>
      <c r="BE254" s="39"/>
      <c r="BF254" s="40" t="str">
        <f aca="false">IF(OR(BE254="",CE254=""),"",BE254/CE254*100)</f>
        <v/>
      </c>
      <c r="BG254" s="41" t="str">
        <f aca="false">IF(BF254="","",IFERROR(MATCH(BF254,INDEX(Boundaries!$B$2:$I$30,MATCH(CS254,Boundaries!$A$2:$A$30,0),0),1)-1,""))</f>
        <v/>
      </c>
      <c r="BH254" s="42" t="str">
        <f aca="false">IF(OR(BG254="",$E254=""),"",BG254-$E254)</f>
        <v/>
      </c>
      <c r="BI254" s="39"/>
      <c r="BJ254" s="40" t="str">
        <f aca="false">IF(OR(BI254="",CF254=""),"",BI254/CF254*100)</f>
        <v/>
      </c>
      <c r="BK254" s="41" t="str">
        <f aca="false">IF(BJ254="","",IFERROR(MATCH(BJ254,INDEX(Boundaries!$B$2:$I$30,MATCH(CT254,Boundaries!$A$2:$A$30,0),0),1)-1,""))</f>
        <v/>
      </c>
      <c r="BL254" s="42" t="str">
        <f aca="false">IF(OR(BK254="",$E254=""),"",BK254-$E254)</f>
        <v/>
      </c>
      <c r="BM254" s="39"/>
      <c r="BN254" s="40" t="str">
        <f aca="false">IF(OR(BM254="",CG254=""),"",BM254/CG254*100)</f>
        <v/>
      </c>
      <c r="BO254" s="41" t="str">
        <f aca="false">IF(BN254="","",IFERROR(MATCH(BN254,INDEX(Boundaries!$B$2:$I$30,MATCH(CU254,Boundaries!$A$2:$A$30,0),0),1)-1,""))</f>
        <v/>
      </c>
      <c r="BP254" s="42" t="str">
        <f aca="false">IF(OR(BO254="",$E254=""),"",BO254-$E254)</f>
        <v/>
      </c>
      <c r="BQ254" s="39"/>
      <c r="BR254" s="40" t="str">
        <f aca="false">IF(OR(BQ254="",CH254=""),"",BQ254/CH254*100)</f>
        <v/>
      </c>
      <c r="BS254" s="41" t="str">
        <f aca="false">IF(BR254="","",IFERROR(MATCH(BR254,INDEX(Boundaries!$B$2:$I$30,MATCH(CV254,Boundaries!$A$2:$A$30,0),0),1)-1,""))</f>
        <v/>
      </c>
      <c r="BT254" s="42" t="str">
        <f aca="false">IF(OR(BS254="",$E254=""),"",BS254-$E254)</f>
        <v/>
      </c>
      <c r="BU254" s="28" t="n">
        <f aca="false">IFERROR(INDEX(Assessments!$H$2:$H$600,MATCH($H254&amp;"|"&amp;$I254&amp;"|"&amp;$J254&amp;"|"&amp;1,Assessments!$A$2:$A$600,0)),"")</f>
        <v>25</v>
      </c>
      <c r="BV254" s="28" t="n">
        <f aca="false">IFERROR(INDEX(Assessments!$H$2:$H$600,MATCH($H254&amp;"|"&amp;$I254&amp;"|"&amp;$J254&amp;"|"&amp;2,Assessments!$A$2:$A$600,0)),"")</f>
        <v>24</v>
      </c>
      <c r="BW254" s="28" t="n">
        <f aca="false">IFERROR(INDEX(Assessments!$H$2:$H$600,MATCH($H254&amp;"|"&amp;$I254&amp;"|"&amp;$J254&amp;"|"&amp;3,Assessments!$A$2:$A$600,0)),"")</f>
        <v>25</v>
      </c>
      <c r="BX254" s="28" t="n">
        <f aca="false">IFERROR(INDEX(Assessments!$H$2:$H$600,MATCH($H254&amp;"|"&amp;$I254&amp;"|"&amp;$J254&amp;"|"&amp;4,Assessments!$A$2:$A$600,0)),"")</f>
        <v>35</v>
      </c>
      <c r="BY254" s="28" t="n">
        <f aca="false">IFERROR(INDEX(Assessments!$H$2:$H$600,MATCH($H254&amp;"|"&amp;$I254&amp;"|"&amp;$J254&amp;"|"&amp;5,Assessments!$A$2:$A$600,0)),"")</f>
        <v>55</v>
      </c>
      <c r="BZ254" s="28" t="n">
        <f aca="false">IFERROR(INDEX(Assessments!$H$2:$H$600,MATCH($H254&amp;"|"&amp;$I254&amp;"|"&amp;$J254&amp;"|"&amp;6,Assessments!$A$2:$A$600,0)),"")</f>
        <v>28</v>
      </c>
      <c r="CA254" s="28" t="n">
        <f aca="false">IFERROR(INDEX(Assessments!$H$2:$H$600,MATCH($H254&amp;"|"&amp;$I254&amp;"|"&amp;$J254&amp;"|"&amp;7,Assessments!$A$2:$A$600,0)),"")</f>
        <v>95</v>
      </c>
      <c r="CB254" s="28" t="str">
        <f aca="false">IFERROR(INDEX(Assessments!$H$2:$H$600,MATCH($H254&amp;"|"&amp;$I254&amp;"|"&amp;$J254&amp;"|"&amp;8,Assessments!$A$2:$A$600,0)),"")</f>
        <v/>
      </c>
      <c r="CC254" s="28" t="str">
        <f aca="false">IFERROR(INDEX(Assessments!$H$2:$H$600,MATCH($H254&amp;"|"&amp;$I254&amp;"|"&amp;$J254&amp;"|"&amp;9,Assessments!$A$2:$A$600,0)),"")</f>
        <v/>
      </c>
      <c r="CD254" s="28" t="str">
        <f aca="false">IFERROR(INDEX(Assessments!$H$2:$H$600,MATCH($H254&amp;"|"&amp;$I254&amp;"|"&amp;$J254&amp;"|"&amp;10,Assessments!$A$2:$A$600,0)),"")</f>
        <v/>
      </c>
      <c r="CE254" s="28" t="str">
        <f aca="false">IFERROR(INDEX(Assessments!$H$2:$H$600,MATCH($H254&amp;"|"&amp;$I254&amp;"|"&amp;$J254&amp;"|"&amp;11,Assessments!$A$2:$A$600,0)),"")</f>
        <v/>
      </c>
      <c r="CF254" s="28" t="str">
        <f aca="false">IFERROR(INDEX(Assessments!$H$2:$H$600,MATCH($H254&amp;"|"&amp;$I254&amp;"|"&amp;$J254&amp;"|"&amp;12,Assessments!$A$2:$A$600,0)),"")</f>
        <v/>
      </c>
      <c r="CG254" s="28" t="str">
        <f aca="false">IFERROR(INDEX(Assessments!$H$2:$H$600,MATCH($H254&amp;"|"&amp;$I254&amp;"|"&amp;$J254&amp;"|"&amp;13,Assessments!$A$2:$A$600,0)),"")</f>
        <v/>
      </c>
      <c r="CH254" s="28" t="str">
        <f aca="false">IFERROR(INDEX(Assessments!$H$2:$H$600,MATCH($H254&amp;"|"&amp;$I254&amp;"|"&amp;$J254&amp;"|"&amp;14,Assessments!$A$2:$A$600,0)),"")</f>
        <v/>
      </c>
      <c r="CI254" s="28" t="str">
        <f aca="false">IFERROR(INDEX(Assessments!$I$2:$I$600,MATCH($H254&amp;"|"&amp;$I254&amp;"|"&amp;$J254&amp;"|"&amp;1,Assessments!$A$2:$A$600,0)),"")</f>
        <v>Econ Test</v>
      </c>
      <c r="CJ254" s="28" t="str">
        <f aca="false">IFERROR(INDEX(Assessments!$I$2:$I$600,MATCH($H254&amp;"|"&amp;$I254&amp;"|"&amp;$J254&amp;"|"&amp;2,Assessments!$A$2:$A$600,0)),"")</f>
        <v>Econ Test</v>
      </c>
      <c r="CK254" s="28" t="str">
        <f aca="false">IFERROR(INDEX(Assessments!$I$2:$I$600,MATCH($H254&amp;"|"&amp;$I254&amp;"|"&amp;$J254&amp;"|"&amp;3,Assessments!$A$2:$A$600,0)),"")</f>
        <v>Econ Test</v>
      </c>
      <c r="CL254" s="28" t="str">
        <f aca="false">IFERROR(INDEX(Assessments!$I$2:$I$600,MATCH($H254&amp;"|"&amp;$I254&amp;"|"&amp;$J254&amp;"|"&amp;4,Assessments!$A$2:$A$600,0)),"")</f>
        <v>Econ Test</v>
      </c>
      <c r="CM254" s="28" t="str">
        <f aca="false">IFERROR(INDEX(Assessments!$I$2:$I$600,MATCH($H254&amp;"|"&amp;$I254&amp;"|"&amp;$J254&amp;"|"&amp;5,Assessments!$A$2:$A$600,0)),"")</f>
        <v>Econ Exam</v>
      </c>
      <c r="CN254" s="28" t="str">
        <f aca="false">IFERROR(INDEX(Assessments!$I$2:$I$600,MATCH($H254&amp;"|"&amp;$I254&amp;"|"&amp;$J254&amp;"|"&amp;6,Assessments!$A$2:$A$600,0)),"")</f>
        <v>Econ Test</v>
      </c>
      <c r="CO254" s="28" t="str">
        <f aca="false">IFERROR(INDEX(Assessments!$I$2:$I$600,MATCH($H254&amp;"|"&amp;$I254&amp;"|"&amp;$J254&amp;"|"&amp;7,Assessments!$A$2:$A$600,0)),"")</f>
        <v>Econ Exam</v>
      </c>
      <c r="CP254" s="28" t="str">
        <f aca="false">IFERROR(INDEX(Assessments!$I$2:$I$600,MATCH($H254&amp;"|"&amp;$I254&amp;"|"&amp;$J254&amp;"|"&amp;8,Assessments!$A$2:$A$600,0)),"")</f>
        <v/>
      </c>
      <c r="CQ254" s="28" t="str">
        <f aca="false">IFERROR(INDEX(Assessments!$I$2:$I$600,MATCH($H254&amp;"|"&amp;$I254&amp;"|"&amp;$J254&amp;"|"&amp;9,Assessments!$A$2:$A$600,0)),"")</f>
        <v/>
      </c>
      <c r="CR254" s="28" t="str">
        <f aca="false">IFERROR(INDEX(Assessments!$I$2:$I$600,MATCH($H254&amp;"|"&amp;$I254&amp;"|"&amp;$J254&amp;"|"&amp;10,Assessments!$A$2:$A$600,0)),"")</f>
        <v/>
      </c>
      <c r="CS254" s="28" t="str">
        <f aca="false">IFERROR(INDEX(Assessments!$I$2:$I$600,MATCH($H254&amp;"|"&amp;$I254&amp;"|"&amp;$J254&amp;"|"&amp;11,Assessments!$A$2:$A$600,0)),"")</f>
        <v/>
      </c>
      <c r="CT254" s="28" t="str">
        <f aca="false">IFERROR(INDEX(Assessments!$I$2:$I$600,MATCH($H254&amp;"|"&amp;$I254&amp;"|"&amp;$J254&amp;"|"&amp;12,Assessments!$A$2:$A$600,0)),"")</f>
        <v/>
      </c>
      <c r="CU254" s="28" t="str">
        <f aca="false">IFERROR(INDEX(Assessments!$I$2:$I$600,MATCH($H254&amp;"|"&amp;$I254&amp;"|"&amp;$J254&amp;"|"&amp;13,Assessments!$A$2:$A$600,0)),"")</f>
        <v/>
      </c>
      <c r="CV254" s="28" t="str">
        <f aca="false">IFERROR(INDEX(Assessments!$I$2:$I$600,MATCH($H254&amp;"|"&amp;$I254&amp;"|"&amp;$J254&amp;"|"&amp;14,Assessments!$A$2:$A$600,0)),"")</f>
        <v/>
      </c>
      <c r="CW254" s="28" t="n">
        <f aca="false">IFERROR(INDEX(Assessments!$J$2:$J$600,MATCH($H254&amp;"|"&amp;$I254&amp;"|"&amp;$J254&amp;"|"&amp;1,Assessments!$A$2:$A$600,0)),0)</f>
        <v>1</v>
      </c>
      <c r="CX254" s="28" t="n">
        <f aca="false">IFERROR(INDEX(Assessments!$J$2:$J$600,MATCH($H254&amp;"|"&amp;$I254&amp;"|"&amp;$J254&amp;"|"&amp;2,Assessments!$A$2:$A$600,0)),0)</f>
        <v>1</v>
      </c>
      <c r="CY254" s="28" t="n">
        <f aca="false">IFERROR(INDEX(Assessments!$J$2:$J$600,MATCH($H254&amp;"|"&amp;$I254&amp;"|"&amp;$J254&amp;"|"&amp;3,Assessments!$A$2:$A$600,0)),0)</f>
        <v>1</v>
      </c>
      <c r="CZ254" s="28" t="n">
        <f aca="false">IFERROR(INDEX(Assessments!$J$2:$J$600,MATCH($H254&amp;"|"&amp;$I254&amp;"|"&amp;$J254&amp;"|"&amp;4,Assessments!$A$2:$A$600,0)),0)</f>
        <v>1</v>
      </c>
      <c r="DA254" s="28" t="n">
        <f aca="false">IFERROR(INDEX(Assessments!$J$2:$J$600,MATCH($H254&amp;"|"&amp;$I254&amp;"|"&amp;$J254&amp;"|"&amp;5,Assessments!$A$2:$A$600,0)),0)</f>
        <v>2</v>
      </c>
      <c r="DB254" s="28" t="n">
        <f aca="false">IFERROR(INDEX(Assessments!$J$2:$J$600,MATCH($H254&amp;"|"&amp;$I254&amp;"|"&amp;$J254&amp;"|"&amp;6,Assessments!$A$2:$A$600,0)),0)</f>
        <v>1</v>
      </c>
      <c r="DC254" s="28" t="n">
        <f aca="false">IFERROR(INDEX(Assessments!$J$2:$J$600,MATCH($H254&amp;"|"&amp;$I254&amp;"|"&amp;$J254&amp;"|"&amp;7,Assessments!$A$2:$A$600,0)),0)</f>
        <v>2</v>
      </c>
      <c r="DD254" s="28" t="n">
        <f aca="false">IFERROR(INDEX(Assessments!$J$2:$J$600,MATCH($H254&amp;"|"&amp;$I254&amp;"|"&amp;$J254&amp;"|"&amp;8,Assessments!$A$2:$A$600,0)),0)</f>
        <v>0</v>
      </c>
      <c r="DE254" s="28" t="n">
        <f aca="false">IFERROR(INDEX(Assessments!$J$2:$J$600,MATCH($H254&amp;"|"&amp;$I254&amp;"|"&amp;$J254&amp;"|"&amp;9,Assessments!$A$2:$A$600,0)),0)</f>
        <v>0</v>
      </c>
      <c r="DF254" s="28" t="n">
        <f aca="false">IFERROR(INDEX(Assessments!$J$2:$J$600,MATCH($H254&amp;"|"&amp;$I254&amp;"|"&amp;$J254&amp;"|"&amp;10,Assessments!$A$2:$A$600,0)),0)</f>
        <v>0</v>
      </c>
      <c r="DG254" s="28" t="n">
        <f aca="false">IFERROR(INDEX(Assessments!$J$2:$J$600,MATCH($H254&amp;"|"&amp;$I254&amp;"|"&amp;$J254&amp;"|"&amp;11,Assessments!$A$2:$A$600,0)),0)</f>
        <v>0</v>
      </c>
      <c r="DH254" s="28" t="n">
        <f aca="false">IFERROR(INDEX(Assessments!$J$2:$J$600,MATCH($H254&amp;"|"&amp;$I254&amp;"|"&amp;$J254&amp;"|"&amp;12,Assessments!$A$2:$A$600,0)),0)</f>
        <v>0</v>
      </c>
      <c r="DI254" s="28" t="n">
        <f aca="false">IFERROR(INDEX(Assessments!$J$2:$J$600,MATCH($H254&amp;"|"&amp;$I254&amp;"|"&amp;$J254&amp;"|"&amp;13,Assessments!$A$2:$A$600,0)),0)</f>
        <v>0</v>
      </c>
      <c r="DJ254" s="28" t="n">
        <f aca="false">IFERROR(INDEX(Assessments!$J$2:$J$600,MATCH($H254&amp;"|"&amp;$I254&amp;"|"&amp;$J254&amp;"|"&amp;14,Assessments!$A$2:$A$600,0)),0)</f>
        <v>0</v>
      </c>
      <c r="DK254" s="28" t="n">
        <f aca="false">S254</f>
        <v>6</v>
      </c>
      <c r="DL254" s="28" t="str">
        <f aca="false">W254</f>
        <v/>
      </c>
      <c r="DM254" s="28" t="str">
        <f aca="false">AA254</f>
        <v/>
      </c>
      <c r="DN254" s="28" t="str">
        <f aca="false">AE254</f>
        <v/>
      </c>
      <c r="DO254" s="28" t="str">
        <f aca="false">AI254</f>
        <v/>
      </c>
      <c r="DP254" s="28" t="str">
        <f aca="false">AM254</f>
        <v/>
      </c>
      <c r="DQ254" s="28" t="str">
        <f aca="false">AQ254</f>
        <v/>
      </c>
      <c r="DR254" s="28" t="str">
        <f aca="false">AU254</f>
        <v/>
      </c>
      <c r="DS254" s="28" t="str">
        <f aca="false">AY254</f>
        <v/>
      </c>
      <c r="DT254" s="28" t="str">
        <f aca="false">BC254</f>
        <v/>
      </c>
      <c r="DU254" s="28" t="str">
        <f aca="false">BG254</f>
        <v/>
      </c>
      <c r="DV254" s="28" t="str">
        <f aca="false">BK254</f>
        <v/>
      </c>
      <c r="DW254" s="28" t="str">
        <f aca="false">BO254</f>
        <v/>
      </c>
      <c r="DX254" s="28" t="str">
        <f aca="false">BS254</f>
        <v/>
      </c>
      <c r="DY254" s="28" t="n">
        <f aca="false">IF(ISNUMBER(S254),1,"")</f>
        <v>1</v>
      </c>
      <c r="DZ254" s="28" t="str">
        <f aca="false">IF(ISNUMBER(W254),2,"")</f>
        <v/>
      </c>
      <c r="EA254" s="28" t="str">
        <f aca="false">IF(ISNUMBER(AA254),3,"")</f>
        <v/>
      </c>
      <c r="EB254" s="28" t="str">
        <f aca="false">IF(ISNUMBER(AE254),4,"")</f>
        <v/>
      </c>
      <c r="EC254" s="28" t="str">
        <f aca="false">IF(ISNUMBER(AI254),5,"")</f>
        <v/>
      </c>
      <c r="ED254" s="28" t="str">
        <f aca="false">IF(ISNUMBER(AM254),6,"")</f>
        <v/>
      </c>
      <c r="EE254" s="28" t="str">
        <f aca="false">IF(ISNUMBER(AQ254),7,"")</f>
        <v/>
      </c>
      <c r="EF254" s="28" t="str">
        <f aca="false">IF(ISNUMBER(AU254),8,"")</f>
        <v/>
      </c>
      <c r="EG254" s="28" t="str">
        <f aca="false">IF(ISNUMBER(AY254),9,"")</f>
        <v/>
      </c>
      <c r="EH254" s="28" t="str">
        <f aca="false">IF(ISNUMBER(BC254),10,"")</f>
        <v/>
      </c>
      <c r="EI254" s="28" t="str">
        <f aca="false">IF(ISNUMBER(BG254),11,"")</f>
        <v/>
      </c>
      <c r="EJ254" s="28" t="str">
        <f aca="false">IF(ISNUMBER(BK254),12,"")</f>
        <v/>
      </c>
      <c r="EK254" s="28" t="str">
        <f aca="false">IF(ISNUMBER(BO254),13,"")</f>
        <v/>
      </c>
      <c r="EL254" s="28" t="str">
        <f aca="false">IF(ISNUMBER(BS254),14,"")</f>
        <v/>
      </c>
      <c r="EM254" s="28" t="n">
        <f aca="false">IF(ISNUMBER(R254),R254*CW254,0)</f>
        <v>76</v>
      </c>
      <c r="EN254" s="28" t="n">
        <f aca="false">IF(ISNUMBER(V254),V254*CX254,0)</f>
        <v>0</v>
      </c>
      <c r="EO254" s="28" t="n">
        <f aca="false">IF(ISNUMBER(Z254),Z254*CY254,0)</f>
        <v>0</v>
      </c>
      <c r="EP254" s="28" t="n">
        <f aca="false">IF(ISNUMBER(AD254),AD254*CZ254,0)</f>
        <v>0</v>
      </c>
      <c r="EQ254" s="28" t="n">
        <f aca="false">IF(ISNUMBER(AH254),AH254*DA254,0)</f>
        <v>0</v>
      </c>
      <c r="ER254" s="28" t="n">
        <f aca="false">IF(ISNUMBER(AL254),AL254*DB254,0)</f>
        <v>0</v>
      </c>
      <c r="ES254" s="28" t="n">
        <f aca="false">IF(ISNUMBER(AP254),AP254*DC254,0)</f>
        <v>0</v>
      </c>
      <c r="ET254" s="28" t="n">
        <f aca="false">IF(ISNUMBER(AT254),AT254*DD254,0)</f>
        <v>0</v>
      </c>
      <c r="EU254" s="28" t="n">
        <f aca="false">IF(ISNUMBER(AX254),AX254*DE254,0)</f>
        <v>0</v>
      </c>
      <c r="EV254" s="28" t="n">
        <f aca="false">IF(ISNUMBER(BB254),BB254*DF254,0)</f>
        <v>0</v>
      </c>
      <c r="EW254" s="28" t="n">
        <f aca="false">IF(ISNUMBER(BF254),BF254*DG254,0)</f>
        <v>0</v>
      </c>
      <c r="EX254" s="28" t="n">
        <f aca="false">IF(ISNUMBER(BJ254),BJ254*DH254,0)</f>
        <v>0</v>
      </c>
      <c r="EY254" s="28" t="n">
        <f aca="false">IF(ISNUMBER(BN254),BN254*DI254,0)</f>
        <v>0</v>
      </c>
      <c r="EZ254" s="28" t="n">
        <f aca="false">IF(ISNUMBER(BR254),BR254*DJ254,0)</f>
        <v>0</v>
      </c>
      <c r="FA254" s="28" t="n">
        <f aca="false">IF(ISNUMBER(R254),CW254,0)</f>
        <v>1</v>
      </c>
      <c r="FB254" s="28" t="n">
        <f aca="false">IF(ISNUMBER(V254),CX254,0)</f>
        <v>0</v>
      </c>
      <c r="FC254" s="28" t="n">
        <f aca="false">IF(ISNUMBER(Z254),CY254,0)</f>
        <v>0</v>
      </c>
      <c r="FD254" s="28" t="n">
        <f aca="false">IF(ISNUMBER(AD254),CZ254,0)</f>
        <v>0</v>
      </c>
      <c r="FE254" s="28" t="n">
        <f aca="false">IF(ISNUMBER(AH254),DA254,0)</f>
        <v>0</v>
      </c>
      <c r="FF254" s="28" t="n">
        <f aca="false">IF(ISNUMBER(AL254),DB254,0)</f>
        <v>0</v>
      </c>
      <c r="FG254" s="28" t="n">
        <f aca="false">IF(ISNUMBER(AP254),DC254,0)</f>
        <v>0</v>
      </c>
      <c r="FH254" s="28" t="n">
        <f aca="false">IF(ISNUMBER(AT254),DD254,0)</f>
        <v>0</v>
      </c>
      <c r="FI254" s="28" t="n">
        <f aca="false">IF(ISNUMBER(AX254),DE254,0)</f>
        <v>0</v>
      </c>
      <c r="FJ254" s="28" t="n">
        <f aca="false">IF(ISNUMBER(BB254),DF254,0)</f>
        <v>0</v>
      </c>
      <c r="FK254" s="28" t="n">
        <f aca="false">IF(ISNUMBER(BF254),DG254,0)</f>
        <v>0</v>
      </c>
      <c r="FL254" s="28" t="n">
        <f aca="false">IF(ISNUMBER(BJ254),DH254,0)</f>
        <v>0</v>
      </c>
      <c r="FM254" s="28" t="n">
        <f aca="false">IF(ISNUMBER(BN254),DI254,0)</f>
        <v>0</v>
      </c>
      <c r="FN254" s="28" t="n">
        <f aca="false">IF(ISNUMBER(BR254),DJ254,0)</f>
        <v>0</v>
      </c>
      <c r="FO254" s="28" t="str">
        <f aca="false">IFERROR(INDEX(Lists!$G$2:$G$20,MATCH($I254&amp;"|"&amp;$J254,Lists!$F$2:$F$20,0)),"")</f>
        <v>Econ Exam</v>
      </c>
    </row>
    <row r="255" customFormat="false" ht="19.5" hidden="false" customHeight="true" outlineLevel="0" collapsed="false">
      <c r="A255" s="29" t="s">
        <v>435</v>
      </c>
      <c r="B255" s="29" t="s">
        <v>391</v>
      </c>
      <c r="C255" s="30" t="s">
        <v>192</v>
      </c>
      <c r="D255" s="30" t="s">
        <v>246</v>
      </c>
      <c r="E255" s="31"/>
      <c r="F255" s="30"/>
      <c r="G255" s="30"/>
      <c r="H255" s="32" t="s">
        <v>428</v>
      </c>
      <c r="I255" s="33" t="s">
        <v>229</v>
      </c>
      <c r="J255" s="32" t="s">
        <v>25</v>
      </c>
      <c r="K255" s="34" t="str">
        <f aca="false">IF(OR(M255="",$E255=""),"",M255-$E255)</f>
        <v/>
      </c>
      <c r="L255" s="35" t="n">
        <f aca="false">IF(SUM(FA255:FN255)=0,"",SUM(EM255:EZ255)/SUM(FA255:FN255))</f>
        <v>68</v>
      </c>
      <c r="M255" s="36" t="n">
        <f aca="false">IF(OR(L255="",FO255=""),"",IFERROR(MATCH(L255,INDEX(Boundaries!$B$2:$I$30,MATCH(FO255,Boundaries!$A$2:$A$30,0),0),1)-1,""))</f>
        <v>5</v>
      </c>
      <c r="N255" s="37" t="str">
        <f aca="false">IF(COUNT($DY255:$EL255)&lt;2,"",INDEX($DK255:$DX255,MAX($DY255:$EL255))-INDEX($DK255:$DX255,MIN($DY255:$EL255)))</f>
        <v/>
      </c>
      <c r="O255" s="37" t="str">
        <f aca="false">IF(COUNT($DY255:$EL255)&lt;2,"",INDEX($DK255:$DX255,MAX($DY255:$EL255))-INDEX($DK255:$DX255,LARGE($DY255:$EL255,2)))</f>
        <v/>
      </c>
      <c r="P255" s="38" t="str">
        <f aca="false">IF(K255="","",IF(K255&gt;=0,"On/above target",IF(AND(N255&lt;&gt;"",N255&gt;=0.5),"Improving towards target",IF(AND(O255&lt;&gt;"",O255&lt;=-0.5),"Declining","Stable below target"))))</f>
        <v/>
      </c>
      <c r="Q255" s="39" t="n">
        <v>17</v>
      </c>
      <c r="R255" s="40" t="n">
        <f aca="false">IF(OR(Q255="",BU255=""),"",Q255/BU255*100)</f>
        <v>68</v>
      </c>
      <c r="S255" s="41" t="n">
        <f aca="false">IF(R255="","",IFERROR(MATCH(R255,INDEX(Boundaries!$B$2:$I$30,MATCH(CI255,Boundaries!$A$2:$A$30,0),0),1)-1,""))</f>
        <v>5</v>
      </c>
      <c r="T255" s="42" t="str">
        <f aca="false">IF(OR(S255="",$E255=""),"",S255-$E255)</f>
        <v/>
      </c>
      <c r="U255" s="39"/>
      <c r="V255" s="40" t="str">
        <f aca="false">IF(OR(U255="",BV255=""),"",U255/BV255*100)</f>
        <v/>
      </c>
      <c r="W255" s="41" t="str">
        <f aca="false">IF(V255="","",IFERROR(MATCH(V255,INDEX(Boundaries!$B$2:$I$30,MATCH(CJ255,Boundaries!$A$2:$A$30,0),0),1)-1,""))</f>
        <v/>
      </c>
      <c r="X255" s="42" t="str">
        <f aca="false">IF(OR(W255="",$E255=""),"",W255-$E255)</f>
        <v/>
      </c>
      <c r="Y255" s="39"/>
      <c r="Z255" s="40" t="str">
        <f aca="false">IF(OR(Y255="",BW255=""),"",Y255/BW255*100)</f>
        <v/>
      </c>
      <c r="AA255" s="41" t="str">
        <f aca="false">IF(Z255="","",IFERROR(MATCH(Z255,INDEX(Boundaries!$B$2:$I$30,MATCH(CK255,Boundaries!$A$2:$A$30,0),0),1)-1,""))</f>
        <v/>
      </c>
      <c r="AB255" s="42" t="str">
        <f aca="false">IF(OR(AA255="",$E255=""),"",AA255-$E255)</f>
        <v/>
      </c>
      <c r="AC255" s="39"/>
      <c r="AD255" s="40" t="str">
        <f aca="false">IF(OR(AC255="",BX255=""),"",AC255/BX255*100)</f>
        <v/>
      </c>
      <c r="AE255" s="41" t="str">
        <f aca="false">IF(AD255="","",IFERROR(MATCH(AD255,INDEX(Boundaries!$B$2:$I$30,MATCH(CL255,Boundaries!$A$2:$A$30,0),0),1)-1,""))</f>
        <v/>
      </c>
      <c r="AF255" s="42" t="str">
        <f aca="false">IF(OR(AE255="",$E255=""),"",AE255-$E255)</f>
        <v/>
      </c>
      <c r="AG255" s="39"/>
      <c r="AH255" s="40" t="str">
        <f aca="false">IF(OR(AG255="",BY255=""),"",AG255/BY255*100)</f>
        <v/>
      </c>
      <c r="AI255" s="41" t="str">
        <f aca="false">IF(AH255="","",IFERROR(MATCH(AH255,INDEX(Boundaries!$B$2:$I$30,MATCH(CM255,Boundaries!$A$2:$A$30,0),0),1)-1,""))</f>
        <v/>
      </c>
      <c r="AJ255" s="42" t="str">
        <f aca="false">IF(OR(AI255="",$E255=""),"",AI255-$E255)</f>
        <v/>
      </c>
      <c r="AK255" s="39"/>
      <c r="AL255" s="40" t="str">
        <f aca="false">IF(OR(AK255="",BZ255=""),"",AK255/BZ255*100)</f>
        <v/>
      </c>
      <c r="AM255" s="41" t="str">
        <f aca="false">IF(AL255="","",IFERROR(MATCH(AL255,INDEX(Boundaries!$B$2:$I$30,MATCH(CN255,Boundaries!$A$2:$A$30,0),0),1)-1,""))</f>
        <v/>
      </c>
      <c r="AN255" s="42" t="str">
        <f aca="false">IF(OR(AM255="",$E255=""),"",AM255-$E255)</f>
        <v/>
      </c>
      <c r="AO255" s="39"/>
      <c r="AP255" s="40" t="str">
        <f aca="false">IF(OR(AO255="",CA255=""),"",AO255/CA255*100)</f>
        <v/>
      </c>
      <c r="AQ255" s="41" t="str">
        <f aca="false">IF(AP255="","",IFERROR(MATCH(AP255,INDEX(Boundaries!$B$2:$I$30,MATCH(CO255,Boundaries!$A$2:$A$30,0),0),1)-1,""))</f>
        <v/>
      </c>
      <c r="AR255" s="42" t="str">
        <f aca="false">IF(OR(AQ255="",$E255=""),"",AQ255-$E255)</f>
        <v/>
      </c>
      <c r="AS255" s="39"/>
      <c r="AT255" s="40" t="str">
        <f aca="false">IF(OR(AS255="",CB255=""),"",AS255/CB255*100)</f>
        <v/>
      </c>
      <c r="AU255" s="41" t="str">
        <f aca="false">IF(AT255="","",IFERROR(MATCH(AT255,INDEX(Boundaries!$B$2:$I$30,MATCH(CP255,Boundaries!$A$2:$A$30,0),0),1)-1,""))</f>
        <v/>
      </c>
      <c r="AV255" s="42" t="str">
        <f aca="false">IF(OR(AU255="",$E255=""),"",AU255-$E255)</f>
        <v/>
      </c>
      <c r="AW255" s="39"/>
      <c r="AX255" s="40" t="str">
        <f aca="false">IF(OR(AW255="",CC255=""),"",AW255/CC255*100)</f>
        <v/>
      </c>
      <c r="AY255" s="41" t="str">
        <f aca="false">IF(AX255="","",IFERROR(MATCH(AX255,INDEX(Boundaries!$B$2:$I$30,MATCH(CQ255,Boundaries!$A$2:$A$30,0),0),1)-1,""))</f>
        <v/>
      </c>
      <c r="AZ255" s="42" t="str">
        <f aca="false">IF(OR(AY255="",$E255=""),"",AY255-$E255)</f>
        <v/>
      </c>
      <c r="BA255" s="39"/>
      <c r="BB255" s="40" t="str">
        <f aca="false">IF(OR(BA255="",CD255=""),"",BA255/CD255*100)</f>
        <v/>
      </c>
      <c r="BC255" s="41" t="str">
        <f aca="false">IF(BB255="","",IFERROR(MATCH(BB255,INDEX(Boundaries!$B$2:$I$30,MATCH(CR255,Boundaries!$A$2:$A$30,0),0),1)-1,""))</f>
        <v/>
      </c>
      <c r="BD255" s="42" t="str">
        <f aca="false">IF(OR(BC255="",$E255=""),"",BC255-$E255)</f>
        <v/>
      </c>
      <c r="BE255" s="39"/>
      <c r="BF255" s="40" t="str">
        <f aca="false">IF(OR(BE255="",CE255=""),"",BE255/CE255*100)</f>
        <v/>
      </c>
      <c r="BG255" s="41" t="str">
        <f aca="false">IF(BF255="","",IFERROR(MATCH(BF255,INDEX(Boundaries!$B$2:$I$30,MATCH(CS255,Boundaries!$A$2:$A$30,0),0),1)-1,""))</f>
        <v/>
      </c>
      <c r="BH255" s="42" t="str">
        <f aca="false">IF(OR(BG255="",$E255=""),"",BG255-$E255)</f>
        <v/>
      </c>
      <c r="BI255" s="39"/>
      <c r="BJ255" s="40" t="str">
        <f aca="false">IF(OR(BI255="",CF255=""),"",BI255/CF255*100)</f>
        <v/>
      </c>
      <c r="BK255" s="41" t="str">
        <f aca="false">IF(BJ255="","",IFERROR(MATCH(BJ255,INDEX(Boundaries!$B$2:$I$30,MATCH(CT255,Boundaries!$A$2:$A$30,0),0),1)-1,""))</f>
        <v/>
      </c>
      <c r="BL255" s="42" t="str">
        <f aca="false">IF(OR(BK255="",$E255=""),"",BK255-$E255)</f>
        <v/>
      </c>
      <c r="BM255" s="39"/>
      <c r="BN255" s="40" t="str">
        <f aca="false">IF(OR(BM255="",CG255=""),"",BM255/CG255*100)</f>
        <v/>
      </c>
      <c r="BO255" s="41" t="str">
        <f aca="false">IF(BN255="","",IFERROR(MATCH(BN255,INDEX(Boundaries!$B$2:$I$30,MATCH(CU255,Boundaries!$A$2:$A$30,0),0),1)-1,""))</f>
        <v/>
      </c>
      <c r="BP255" s="42" t="str">
        <f aca="false">IF(OR(BO255="",$E255=""),"",BO255-$E255)</f>
        <v/>
      </c>
      <c r="BQ255" s="39"/>
      <c r="BR255" s="40" t="str">
        <f aca="false">IF(OR(BQ255="",CH255=""),"",BQ255/CH255*100)</f>
        <v/>
      </c>
      <c r="BS255" s="41" t="str">
        <f aca="false">IF(BR255="","",IFERROR(MATCH(BR255,INDEX(Boundaries!$B$2:$I$30,MATCH(CV255,Boundaries!$A$2:$A$30,0),0),1)-1,""))</f>
        <v/>
      </c>
      <c r="BT255" s="42" t="str">
        <f aca="false">IF(OR(BS255="",$E255=""),"",BS255-$E255)</f>
        <v/>
      </c>
      <c r="BU255" s="28" t="n">
        <f aca="false">IFERROR(INDEX(Assessments!$H$2:$H$600,MATCH($H255&amp;"|"&amp;$I255&amp;"|"&amp;$J255&amp;"|"&amp;1,Assessments!$A$2:$A$600,0)),"")</f>
        <v>25</v>
      </c>
      <c r="BV255" s="28" t="n">
        <f aca="false">IFERROR(INDEX(Assessments!$H$2:$H$600,MATCH($H255&amp;"|"&amp;$I255&amp;"|"&amp;$J255&amp;"|"&amp;2,Assessments!$A$2:$A$600,0)),"")</f>
        <v>24</v>
      </c>
      <c r="BW255" s="28" t="n">
        <f aca="false">IFERROR(INDEX(Assessments!$H$2:$H$600,MATCH($H255&amp;"|"&amp;$I255&amp;"|"&amp;$J255&amp;"|"&amp;3,Assessments!$A$2:$A$600,0)),"")</f>
        <v>25</v>
      </c>
      <c r="BX255" s="28" t="n">
        <f aca="false">IFERROR(INDEX(Assessments!$H$2:$H$600,MATCH($H255&amp;"|"&amp;$I255&amp;"|"&amp;$J255&amp;"|"&amp;4,Assessments!$A$2:$A$600,0)),"")</f>
        <v>35</v>
      </c>
      <c r="BY255" s="28" t="n">
        <f aca="false">IFERROR(INDEX(Assessments!$H$2:$H$600,MATCH($H255&amp;"|"&amp;$I255&amp;"|"&amp;$J255&amp;"|"&amp;5,Assessments!$A$2:$A$600,0)),"")</f>
        <v>55</v>
      </c>
      <c r="BZ255" s="28" t="n">
        <f aca="false">IFERROR(INDEX(Assessments!$H$2:$H$600,MATCH($H255&amp;"|"&amp;$I255&amp;"|"&amp;$J255&amp;"|"&amp;6,Assessments!$A$2:$A$600,0)),"")</f>
        <v>28</v>
      </c>
      <c r="CA255" s="28" t="n">
        <f aca="false">IFERROR(INDEX(Assessments!$H$2:$H$600,MATCH($H255&amp;"|"&amp;$I255&amp;"|"&amp;$J255&amp;"|"&amp;7,Assessments!$A$2:$A$600,0)),"")</f>
        <v>95</v>
      </c>
      <c r="CB255" s="28" t="str">
        <f aca="false">IFERROR(INDEX(Assessments!$H$2:$H$600,MATCH($H255&amp;"|"&amp;$I255&amp;"|"&amp;$J255&amp;"|"&amp;8,Assessments!$A$2:$A$600,0)),"")</f>
        <v/>
      </c>
      <c r="CC255" s="28" t="str">
        <f aca="false">IFERROR(INDEX(Assessments!$H$2:$H$600,MATCH($H255&amp;"|"&amp;$I255&amp;"|"&amp;$J255&amp;"|"&amp;9,Assessments!$A$2:$A$600,0)),"")</f>
        <v/>
      </c>
      <c r="CD255" s="28" t="str">
        <f aca="false">IFERROR(INDEX(Assessments!$H$2:$H$600,MATCH($H255&amp;"|"&amp;$I255&amp;"|"&amp;$J255&amp;"|"&amp;10,Assessments!$A$2:$A$600,0)),"")</f>
        <v/>
      </c>
      <c r="CE255" s="28" t="str">
        <f aca="false">IFERROR(INDEX(Assessments!$H$2:$H$600,MATCH($H255&amp;"|"&amp;$I255&amp;"|"&amp;$J255&amp;"|"&amp;11,Assessments!$A$2:$A$600,0)),"")</f>
        <v/>
      </c>
      <c r="CF255" s="28" t="str">
        <f aca="false">IFERROR(INDEX(Assessments!$H$2:$H$600,MATCH($H255&amp;"|"&amp;$I255&amp;"|"&amp;$J255&amp;"|"&amp;12,Assessments!$A$2:$A$600,0)),"")</f>
        <v/>
      </c>
      <c r="CG255" s="28" t="str">
        <f aca="false">IFERROR(INDEX(Assessments!$H$2:$H$600,MATCH($H255&amp;"|"&amp;$I255&amp;"|"&amp;$J255&amp;"|"&amp;13,Assessments!$A$2:$A$600,0)),"")</f>
        <v/>
      </c>
      <c r="CH255" s="28" t="str">
        <f aca="false">IFERROR(INDEX(Assessments!$H$2:$H$600,MATCH($H255&amp;"|"&amp;$I255&amp;"|"&amp;$J255&amp;"|"&amp;14,Assessments!$A$2:$A$600,0)),"")</f>
        <v/>
      </c>
      <c r="CI255" s="28" t="str">
        <f aca="false">IFERROR(INDEX(Assessments!$I$2:$I$600,MATCH($H255&amp;"|"&amp;$I255&amp;"|"&amp;$J255&amp;"|"&amp;1,Assessments!$A$2:$A$600,0)),"")</f>
        <v>Econ Test</v>
      </c>
      <c r="CJ255" s="28" t="str">
        <f aca="false">IFERROR(INDEX(Assessments!$I$2:$I$600,MATCH($H255&amp;"|"&amp;$I255&amp;"|"&amp;$J255&amp;"|"&amp;2,Assessments!$A$2:$A$600,0)),"")</f>
        <v>Econ Test</v>
      </c>
      <c r="CK255" s="28" t="str">
        <f aca="false">IFERROR(INDEX(Assessments!$I$2:$I$600,MATCH($H255&amp;"|"&amp;$I255&amp;"|"&amp;$J255&amp;"|"&amp;3,Assessments!$A$2:$A$600,0)),"")</f>
        <v>Econ Test</v>
      </c>
      <c r="CL255" s="28" t="str">
        <f aca="false">IFERROR(INDEX(Assessments!$I$2:$I$600,MATCH($H255&amp;"|"&amp;$I255&amp;"|"&amp;$J255&amp;"|"&amp;4,Assessments!$A$2:$A$600,0)),"")</f>
        <v>Econ Test</v>
      </c>
      <c r="CM255" s="28" t="str">
        <f aca="false">IFERROR(INDEX(Assessments!$I$2:$I$600,MATCH($H255&amp;"|"&amp;$I255&amp;"|"&amp;$J255&amp;"|"&amp;5,Assessments!$A$2:$A$600,0)),"")</f>
        <v>Econ Exam</v>
      </c>
      <c r="CN255" s="28" t="str">
        <f aca="false">IFERROR(INDEX(Assessments!$I$2:$I$600,MATCH($H255&amp;"|"&amp;$I255&amp;"|"&amp;$J255&amp;"|"&amp;6,Assessments!$A$2:$A$600,0)),"")</f>
        <v>Econ Test</v>
      </c>
      <c r="CO255" s="28" t="str">
        <f aca="false">IFERROR(INDEX(Assessments!$I$2:$I$600,MATCH($H255&amp;"|"&amp;$I255&amp;"|"&amp;$J255&amp;"|"&amp;7,Assessments!$A$2:$A$600,0)),"")</f>
        <v>Econ Exam</v>
      </c>
      <c r="CP255" s="28" t="str">
        <f aca="false">IFERROR(INDEX(Assessments!$I$2:$I$600,MATCH($H255&amp;"|"&amp;$I255&amp;"|"&amp;$J255&amp;"|"&amp;8,Assessments!$A$2:$A$600,0)),"")</f>
        <v/>
      </c>
      <c r="CQ255" s="28" t="str">
        <f aca="false">IFERROR(INDEX(Assessments!$I$2:$I$600,MATCH($H255&amp;"|"&amp;$I255&amp;"|"&amp;$J255&amp;"|"&amp;9,Assessments!$A$2:$A$600,0)),"")</f>
        <v/>
      </c>
      <c r="CR255" s="28" t="str">
        <f aca="false">IFERROR(INDEX(Assessments!$I$2:$I$600,MATCH($H255&amp;"|"&amp;$I255&amp;"|"&amp;$J255&amp;"|"&amp;10,Assessments!$A$2:$A$600,0)),"")</f>
        <v/>
      </c>
      <c r="CS255" s="28" t="str">
        <f aca="false">IFERROR(INDEX(Assessments!$I$2:$I$600,MATCH($H255&amp;"|"&amp;$I255&amp;"|"&amp;$J255&amp;"|"&amp;11,Assessments!$A$2:$A$600,0)),"")</f>
        <v/>
      </c>
      <c r="CT255" s="28" t="str">
        <f aca="false">IFERROR(INDEX(Assessments!$I$2:$I$600,MATCH($H255&amp;"|"&amp;$I255&amp;"|"&amp;$J255&amp;"|"&amp;12,Assessments!$A$2:$A$600,0)),"")</f>
        <v/>
      </c>
      <c r="CU255" s="28" t="str">
        <f aca="false">IFERROR(INDEX(Assessments!$I$2:$I$600,MATCH($H255&amp;"|"&amp;$I255&amp;"|"&amp;$J255&amp;"|"&amp;13,Assessments!$A$2:$A$600,0)),"")</f>
        <v/>
      </c>
      <c r="CV255" s="28" t="str">
        <f aca="false">IFERROR(INDEX(Assessments!$I$2:$I$600,MATCH($H255&amp;"|"&amp;$I255&amp;"|"&amp;$J255&amp;"|"&amp;14,Assessments!$A$2:$A$600,0)),"")</f>
        <v/>
      </c>
      <c r="CW255" s="28" t="n">
        <f aca="false">IFERROR(INDEX(Assessments!$J$2:$J$600,MATCH($H255&amp;"|"&amp;$I255&amp;"|"&amp;$J255&amp;"|"&amp;1,Assessments!$A$2:$A$600,0)),0)</f>
        <v>1</v>
      </c>
      <c r="CX255" s="28" t="n">
        <f aca="false">IFERROR(INDEX(Assessments!$J$2:$J$600,MATCH($H255&amp;"|"&amp;$I255&amp;"|"&amp;$J255&amp;"|"&amp;2,Assessments!$A$2:$A$600,0)),0)</f>
        <v>1</v>
      </c>
      <c r="CY255" s="28" t="n">
        <f aca="false">IFERROR(INDEX(Assessments!$J$2:$J$600,MATCH($H255&amp;"|"&amp;$I255&amp;"|"&amp;$J255&amp;"|"&amp;3,Assessments!$A$2:$A$600,0)),0)</f>
        <v>1</v>
      </c>
      <c r="CZ255" s="28" t="n">
        <f aca="false">IFERROR(INDEX(Assessments!$J$2:$J$600,MATCH($H255&amp;"|"&amp;$I255&amp;"|"&amp;$J255&amp;"|"&amp;4,Assessments!$A$2:$A$600,0)),0)</f>
        <v>1</v>
      </c>
      <c r="DA255" s="28" t="n">
        <f aca="false">IFERROR(INDEX(Assessments!$J$2:$J$600,MATCH($H255&amp;"|"&amp;$I255&amp;"|"&amp;$J255&amp;"|"&amp;5,Assessments!$A$2:$A$600,0)),0)</f>
        <v>2</v>
      </c>
      <c r="DB255" s="28" t="n">
        <f aca="false">IFERROR(INDEX(Assessments!$J$2:$J$600,MATCH($H255&amp;"|"&amp;$I255&amp;"|"&amp;$J255&amp;"|"&amp;6,Assessments!$A$2:$A$600,0)),0)</f>
        <v>1</v>
      </c>
      <c r="DC255" s="28" t="n">
        <f aca="false">IFERROR(INDEX(Assessments!$J$2:$J$600,MATCH($H255&amp;"|"&amp;$I255&amp;"|"&amp;$J255&amp;"|"&amp;7,Assessments!$A$2:$A$600,0)),0)</f>
        <v>2</v>
      </c>
      <c r="DD255" s="28" t="n">
        <f aca="false">IFERROR(INDEX(Assessments!$J$2:$J$600,MATCH($H255&amp;"|"&amp;$I255&amp;"|"&amp;$J255&amp;"|"&amp;8,Assessments!$A$2:$A$600,0)),0)</f>
        <v>0</v>
      </c>
      <c r="DE255" s="28" t="n">
        <f aca="false">IFERROR(INDEX(Assessments!$J$2:$J$600,MATCH($H255&amp;"|"&amp;$I255&amp;"|"&amp;$J255&amp;"|"&amp;9,Assessments!$A$2:$A$600,0)),0)</f>
        <v>0</v>
      </c>
      <c r="DF255" s="28" t="n">
        <f aca="false">IFERROR(INDEX(Assessments!$J$2:$J$600,MATCH($H255&amp;"|"&amp;$I255&amp;"|"&amp;$J255&amp;"|"&amp;10,Assessments!$A$2:$A$600,0)),0)</f>
        <v>0</v>
      </c>
      <c r="DG255" s="28" t="n">
        <f aca="false">IFERROR(INDEX(Assessments!$J$2:$J$600,MATCH($H255&amp;"|"&amp;$I255&amp;"|"&amp;$J255&amp;"|"&amp;11,Assessments!$A$2:$A$600,0)),0)</f>
        <v>0</v>
      </c>
      <c r="DH255" s="28" t="n">
        <f aca="false">IFERROR(INDEX(Assessments!$J$2:$J$600,MATCH($H255&amp;"|"&amp;$I255&amp;"|"&amp;$J255&amp;"|"&amp;12,Assessments!$A$2:$A$600,0)),0)</f>
        <v>0</v>
      </c>
      <c r="DI255" s="28" t="n">
        <f aca="false">IFERROR(INDEX(Assessments!$J$2:$J$600,MATCH($H255&amp;"|"&amp;$I255&amp;"|"&amp;$J255&amp;"|"&amp;13,Assessments!$A$2:$A$600,0)),0)</f>
        <v>0</v>
      </c>
      <c r="DJ255" s="28" t="n">
        <f aca="false">IFERROR(INDEX(Assessments!$J$2:$J$600,MATCH($H255&amp;"|"&amp;$I255&amp;"|"&amp;$J255&amp;"|"&amp;14,Assessments!$A$2:$A$600,0)),0)</f>
        <v>0</v>
      </c>
      <c r="DK255" s="28" t="n">
        <f aca="false">S255</f>
        <v>5</v>
      </c>
      <c r="DL255" s="28" t="str">
        <f aca="false">W255</f>
        <v/>
      </c>
      <c r="DM255" s="28" t="str">
        <f aca="false">AA255</f>
        <v/>
      </c>
      <c r="DN255" s="28" t="str">
        <f aca="false">AE255</f>
        <v/>
      </c>
      <c r="DO255" s="28" t="str">
        <f aca="false">AI255</f>
        <v/>
      </c>
      <c r="DP255" s="28" t="str">
        <f aca="false">AM255</f>
        <v/>
      </c>
      <c r="DQ255" s="28" t="str">
        <f aca="false">AQ255</f>
        <v/>
      </c>
      <c r="DR255" s="28" t="str">
        <f aca="false">AU255</f>
        <v/>
      </c>
      <c r="DS255" s="28" t="str">
        <f aca="false">AY255</f>
        <v/>
      </c>
      <c r="DT255" s="28" t="str">
        <f aca="false">BC255</f>
        <v/>
      </c>
      <c r="DU255" s="28" t="str">
        <f aca="false">BG255</f>
        <v/>
      </c>
      <c r="DV255" s="28" t="str">
        <f aca="false">BK255</f>
        <v/>
      </c>
      <c r="DW255" s="28" t="str">
        <f aca="false">BO255</f>
        <v/>
      </c>
      <c r="DX255" s="28" t="str">
        <f aca="false">BS255</f>
        <v/>
      </c>
      <c r="DY255" s="28" t="n">
        <f aca="false">IF(ISNUMBER(S255),1,"")</f>
        <v>1</v>
      </c>
      <c r="DZ255" s="28" t="str">
        <f aca="false">IF(ISNUMBER(W255),2,"")</f>
        <v/>
      </c>
      <c r="EA255" s="28" t="str">
        <f aca="false">IF(ISNUMBER(AA255),3,"")</f>
        <v/>
      </c>
      <c r="EB255" s="28" t="str">
        <f aca="false">IF(ISNUMBER(AE255),4,"")</f>
        <v/>
      </c>
      <c r="EC255" s="28" t="str">
        <f aca="false">IF(ISNUMBER(AI255),5,"")</f>
        <v/>
      </c>
      <c r="ED255" s="28" t="str">
        <f aca="false">IF(ISNUMBER(AM255),6,"")</f>
        <v/>
      </c>
      <c r="EE255" s="28" t="str">
        <f aca="false">IF(ISNUMBER(AQ255),7,"")</f>
        <v/>
      </c>
      <c r="EF255" s="28" t="str">
        <f aca="false">IF(ISNUMBER(AU255),8,"")</f>
        <v/>
      </c>
      <c r="EG255" s="28" t="str">
        <f aca="false">IF(ISNUMBER(AY255),9,"")</f>
        <v/>
      </c>
      <c r="EH255" s="28" t="str">
        <f aca="false">IF(ISNUMBER(BC255),10,"")</f>
        <v/>
      </c>
      <c r="EI255" s="28" t="str">
        <f aca="false">IF(ISNUMBER(BG255),11,"")</f>
        <v/>
      </c>
      <c r="EJ255" s="28" t="str">
        <f aca="false">IF(ISNUMBER(BK255),12,"")</f>
        <v/>
      </c>
      <c r="EK255" s="28" t="str">
        <f aca="false">IF(ISNUMBER(BO255),13,"")</f>
        <v/>
      </c>
      <c r="EL255" s="28" t="str">
        <f aca="false">IF(ISNUMBER(BS255),14,"")</f>
        <v/>
      </c>
      <c r="EM255" s="28" t="n">
        <f aca="false">IF(ISNUMBER(R255),R255*CW255,0)</f>
        <v>68</v>
      </c>
      <c r="EN255" s="28" t="n">
        <f aca="false">IF(ISNUMBER(V255),V255*CX255,0)</f>
        <v>0</v>
      </c>
      <c r="EO255" s="28" t="n">
        <f aca="false">IF(ISNUMBER(Z255),Z255*CY255,0)</f>
        <v>0</v>
      </c>
      <c r="EP255" s="28" t="n">
        <f aca="false">IF(ISNUMBER(AD255),AD255*CZ255,0)</f>
        <v>0</v>
      </c>
      <c r="EQ255" s="28" t="n">
        <f aca="false">IF(ISNUMBER(AH255),AH255*DA255,0)</f>
        <v>0</v>
      </c>
      <c r="ER255" s="28" t="n">
        <f aca="false">IF(ISNUMBER(AL255),AL255*DB255,0)</f>
        <v>0</v>
      </c>
      <c r="ES255" s="28" t="n">
        <f aca="false">IF(ISNUMBER(AP255),AP255*DC255,0)</f>
        <v>0</v>
      </c>
      <c r="ET255" s="28" t="n">
        <f aca="false">IF(ISNUMBER(AT255),AT255*DD255,0)</f>
        <v>0</v>
      </c>
      <c r="EU255" s="28" t="n">
        <f aca="false">IF(ISNUMBER(AX255),AX255*DE255,0)</f>
        <v>0</v>
      </c>
      <c r="EV255" s="28" t="n">
        <f aca="false">IF(ISNUMBER(BB255),BB255*DF255,0)</f>
        <v>0</v>
      </c>
      <c r="EW255" s="28" t="n">
        <f aca="false">IF(ISNUMBER(BF255),BF255*DG255,0)</f>
        <v>0</v>
      </c>
      <c r="EX255" s="28" t="n">
        <f aca="false">IF(ISNUMBER(BJ255),BJ255*DH255,0)</f>
        <v>0</v>
      </c>
      <c r="EY255" s="28" t="n">
        <f aca="false">IF(ISNUMBER(BN255),BN255*DI255,0)</f>
        <v>0</v>
      </c>
      <c r="EZ255" s="28" t="n">
        <f aca="false">IF(ISNUMBER(BR255),BR255*DJ255,0)</f>
        <v>0</v>
      </c>
      <c r="FA255" s="28" t="n">
        <f aca="false">IF(ISNUMBER(R255),CW255,0)</f>
        <v>1</v>
      </c>
      <c r="FB255" s="28" t="n">
        <f aca="false">IF(ISNUMBER(V255),CX255,0)</f>
        <v>0</v>
      </c>
      <c r="FC255" s="28" t="n">
        <f aca="false">IF(ISNUMBER(Z255),CY255,0)</f>
        <v>0</v>
      </c>
      <c r="FD255" s="28" t="n">
        <f aca="false">IF(ISNUMBER(AD255),CZ255,0)</f>
        <v>0</v>
      </c>
      <c r="FE255" s="28" t="n">
        <f aca="false">IF(ISNUMBER(AH255),DA255,0)</f>
        <v>0</v>
      </c>
      <c r="FF255" s="28" t="n">
        <f aca="false">IF(ISNUMBER(AL255),DB255,0)</f>
        <v>0</v>
      </c>
      <c r="FG255" s="28" t="n">
        <f aca="false">IF(ISNUMBER(AP255),DC255,0)</f>
        <v>0</v>
      </c>
      <c r="FH255" s="28" t="n">
        <f aca="false">IF(ISNUMBER(AT255),DD255,0)</f>
        <v>0</v>
      </c>
      <c r="FI255" s="28" t="n">
        <f aca="false">IF(ISNUMBER(AX255),DE255,0)</f>
        <v>0</v>
      </c>
      <c r="FJ255" s="28" t="n">
        <f aca="false">IF(ISNUMBER(BB255),DF255,0)</f>
        <v>0</v>
      </c>
      <c r="FK255" s="28" t="n">
        <f aca="false">IF(ISNUMBER(BF255),DG255,0)</f>
        <v>0</v>
      </c>
      <c r="FL255" s="28" t="n">
        <f aca="false">IF(ISNUMBER(BJ255),DH255,0)</f>
        <v>0</v>
      </c>
      <c r="FM255" s="28" t="n">
        <f aca="false">IF(ISNUMBER(BN255),DI255,0)</f>
        <v>0</v>
      </c>
      <c r="FN255" s="28" t="n">
        <f aca="false">IF(ISNUMBER(BR255),DJ255,0)</f>
        <v>0</v>
      </c>
      <c r="FO255" s="28" t="str">
        <f aca="false">IFERROR(INDEX(Lists!$G$2:$G$20,MATCH($I255&amp;"|"&amp;$J255,Lists!$F$2:$F$20,0)),"")</f>
        <v>Econ Exam</v>
      </c>
    </row>
    <row r="256" customFormat="false" ht="19.5" hidden="false" customHeight="true" outlineLevel="0" collapsed="false">
      <c r="A256" s="29" t="s">
        <v>523</v>
      </c>
      <c r="B256" s="29" t="s">
        <v>391</v>
      </c>
      <c r="C256" s="30" t="s">
        <v>192</v>
      </c>
      <c r="D256" s="30" t="s">
        <v>246</v>
      </c>
      <c r="E256" s="31"/>
      <c r="F256" s="30"/>
      <c r="G256" s="30"/>
      <c r="H256" s="32" t="s">
        <v>428</v>
      </c>
      <c r="I256" s="33" t="s">
        <v>229</v>
      </c>
      <c r="J256" s="32" t="s">
        <v>25</v>
      </c>
      <c r="K256" s="34" t="str">
        <f aca="false">IF(OR(M256="",$E256=""),"",M256-$E256)</f>
        <v/>
      </c>
      <c r="L256" s="35" t="n">
        <f aca="false">IF(SUM(FA256:FN256)=0,"",SUM(EM256:EZ256)/SUM(FA256:FN256))</f>
        <v>60</v>
      </c>
      <c r="M256" s="36" t="n">
        <f aca="false">IF(OR(L256="",FO256=""),"",IFERROR(MATCH(L256,INDEX(Boundaries!$B$2:$I$30,MATCH(FO256,Boundaries!$A$2:$A$30,0),0),1)-1,""))</f>
        <v>5</v>
      </c>
      <c r="N256" s="37" t="str">
        <f aca="false">IF(COUNT($DY256:$EL256)&lt;2,"",INDEX($DK256:$DX256,MAX($DY256:$EL256))-INDEX($DK256:$DX256,MIN($DY256:$EL256)))</f>
        <v/>
      </c>
      <c r="O256" s="37" t="str">
        <f aca="false">IF(COUNT($DY256:$EL256)&lt;2,"",INDEX($DK256:$DX256,MAX($DY256:$EL256))-INDEX($DK256:$DX256,LARGE($DY256:$EL256,2)))</f>
        <v/>
      </c>
      <c r="P256" s="38" t="str">
        <f aca="false">IF(K256="","",IF(K256&gt;=0,"On/above target",IF(AND(N256&lt;&gt;"",N256&gt;=0.5),"Improving towards target",IF(AND(O256&lt;&gt;"",O256&lt;=-0.5),"Declining","Stable below target"))))</f>
        <v/>
      </c>
      <c r="Q256" s="39" t="n">
        <v>15</v>
      </c>
      <c r="R256" s="40" t="n">
        <f aca="false">IF(OR(Q256="",BU256=""),"",Q256/BU256*100)</f>
        <v>60</v>
      </c>
      <c r="S256" s="41" t="n">
        <f aca="false">IF(R256="","",IFERROR(MATCH(R256,INDEX(Boundaries!$B$2:$I$30,MATCH(CI256,Boundaries!$A$2:$A$30,0),0),1)-1,""))</f>
        <v>4</v>
      </c>
      <c r="T256" s="42" t="str">
        <f aca="false">IF(OR(S256="",$E256=""),"",S256-$E256)</f>
        <v/>
      </c>
      <c r="U256" s="39"/>
      <c r="V256" s="40" t="str">
        <f aca="false">IF(OR(U256="",BV256=""),"",U256/BV256*100)</f>
        <v/>
      </c>
      <c r="W256" s="41" t="str">
        <f aca="false">IF(V256="","",IFERROR(MATCH(V256,INDEX(Boundaries!$B$2:$I$30,MATCH(CJ256,Boundaries!$A$2:$A$30,0),0),1)-1,""))</f>
        <v/>
      </c>
      <c r="X256" s="42" t="str">
        <f aca="false">IF(OR(W256="",$E256=""),"",W256-$E256)</f>
        <v/>
      </c>
      <c r="Y256" s="39"/>
      <c r="Z256" s="40" t="str">
        <f aca="false">IF(OR(Y256="",BW256=""),"",Y256/BW256*100)</f>
        <v/>
      </c>
      <c r="AA256" s="41" t="str">
        <f aca="false">IF(Z256="","",IFERROR(MATCH(Z256,INDEX(Boundaries!$B$2:$I$30,MATCH(CK256,Boundaries!$A$2:$A$30,0),0),1)-1,""))</f>
        <v/>
      </c>
      <c r="AB256" s="42" t="str">
        <f aca="false">IF(OR(AA256="",$E256=""),"",AA256-$E256)</f>
        <v/>
      </c>
      <c r="AC256" s="39"/>
      <c r="AD256" s="40" t="str">
        <f aca="false">IF(OR(AC256="",BX256=""),"",AC256/BX256*100)</f>
        <v/>
      </c>
      <c r="AE256" s="41" t="str">
        <f aca="false">IF(AD256="","",IFERROR(MATCH(AD256,INDEX(Boundaries!$B$2:$I$30,MATCH(CL256,Boundaries!$A$2:$A$30,0),0),1)-1,""))</f>
        <v/>
      </c>
      <c r="AF256" s="42" t="str">
        <f aca="false">IF(OR(AE256="",$E256=""),"",AE256-$E256)</f>
        <v/>
      </c>
      <c r="AG256" s="39"/>
      <c r="AH256" s="40" t="str">
        <f aca="false">IF(OR(AG256="",BY256=""),"",AG256/BY256*100)</f>
        <v/>
      </c>
      <c r="AI256" s="41" t="str">
        <f aca="false">IF(AH256="","",IFERROR(MATCH(AH256,INDEX(Boundaries!$B$2:$I$30,MATCH(CM256,Boundaries!$A$2:$A$30,0),0),1)-1,""))</f>
        <v/>
      </c>
      <c r="AJ256" s="42" t="str">
        <f aca="false">IF(OR(AI256="",$E256=""),"",AI256-$E256)</f>
        <v/>
      </c>
      <c r="AK256" s="39"/>
      <c r="AL256" s="40" t="str">
        <f aca="false">IF(OR(AK256="",BZ256=""),"",AK256/BZ256*100)</f>
        <v/>
      </c>
      <c r="AM256" s="41" t="str">
        <f aca="false">IF(AL256="","",IFERROR(MATCH(AL256,INDEX(Boundaries!$B$2:$I$30,MATCH(CN256,Boundaries!$A$2:$A$30,0),0),1)-1,""))</f>
        <v/>
      </c>
      <c r="AN256" s="42" t="str">
        <f aca="false">IF(OR(AM256="",$E256=""),"",AM256-$E256)</f>
        <v/>
      </c>
      <c r="AO256" s="39"/>
      <c r="AP256" s="40" t="str">
        <f aca="false">IF(OR(AO256="",CA256=""),"",AO256/CA256*100)</f>
        <v/>
      </c>
      <c r="AQ256" s="41" t="str">
        <f aca="false">IF(AP256="","",IFERROR(MATCH(AP256,INDEX(Boundaries!$B$2:$I$30,MATCH(CO256,Boundaries!$A$2:$A$30,0),0),1)-1,""))</f>
        <v/>
      </c>
      <c r="AR256" s="42" t="str">
        <f aca="false">IF(OR(AQ256="",$E256=""),"",AQ256-$E256)</f>
        <v/>
      </c>
      <c r="AS256" s="39"/>
      <c r="AT256" s="40" t="str">
        <f aca="false">IF(OR(AS256="",CB256=""),"",AS256/CB256*100)</f>
        <v/>
      </c>
      <c r="AU256" s="41" t="str">
        <f aca="false">IF(AT256="","",IFERROR(MATCH(AT256,INDEX(Boundaries!$B$2:$I$30,MATCH(CP256,Boundaries!$A$2:$A$30,0),0),1)-1,""))</f>
        <v/>
      </c>
      <c r="AV256" s="42" t="str">
        <f aca="false">IF(OR(AU256="",$E256=""),"",AU256-$E256)</f>
        <v/>
      </c>
      <c r="AW256" s="39"/>
      <c r="AX256" s="40" t="str">
        <f aca="false">IF(OR(AW256="",CC256=""),"",AW256/CC256*100)</f>
        <v/>
      </c>
      <c r="AY256" s="41" t="str">
        <f aca="false">IF(AX256="","",IFERROR(MATCH(AX256,INDEX(Boundaries!$B$2:$I$30,MATCH(CQ256,Boundaries!$A$2:$A$30,0),0),1)-1,""))</f>
        <v/>
      </c>
      <c r="AZ256" s="42" t="str">
        <f aca="false">IF(OR(AY256="",$E256=""),"",AY256-$E256)</f>
        <v/>
      </c>
      <c r="BA256" s="39"/>
      <c r="BB256" s="40" t="str">
        <f aca="false">IF(OR(BA256="",CD256=""),"",BA256/CD256*100)</f>
        <v/>
      </c>
      <c r="BC256" s="41" t="str">
        <f aca="false">IF(BB256="","",IFERROR(MATCH(BB256,INDEX(Boundaries!$B$2:$I$30,MATCH(CR256,Boundaries!$A$2:$A$30,0),0),1)-1,""))</f>
        <v/>
      </c>
      <c r="BD256" s="42" t="str">
        <f aca="false">IF(OR(BC256="",$E256=""),"",BC256-$E256)</f>
        <v/>
      </c>
      <c r="BE256" s="39"/>
      <c r="BF256" s="40" t="str">
        <f aca="false">IF(OR(BE256="",CE256=""),"",BE256/CE256*100)</f>
        <v/>
      </c>
      <c r="BG256" s="41" t="str">
        <f aca="false">IF(BF256="","",IFERROR(MATCH(BF256,INDEX(Boundaries!$B$2:$I$30,MATCH(CS256,Boundaries!$A$2:$A$30,0),0),1)-1,""))</f>
        <v/>
      </c>
      <c r="BH256" s="42" t="str">
        <f aca="false">IF(OR(BG256="",$E256=""),"",BG256-$E256)</f>
        <v/>
      </c>
      <c r="BI256" s="39"/>
      <c r="BJ256" s="40" t="str">
        <f aca="false">IF(OR(BI256="",CF256=""),"",BI256/CF256*100)</f>
        <v/>
      </c>
      <c r="BK256" s="41" t="str">
        <f aca="false">IF(BJ256="","",IFERROR(MATCH(BJ256,INDEX(Boundaries!$B$2:$I$30,MATCH(CT256,Boundaries!$A$2:$A$30,0),0),1)-1,""))</f>
        <v/>
      </c>
      <c r="BL256" s="42" t="str">
        <f aca="false">IF(OR(BK256="",$E256=""),"",BK256-$E256)</f>
        <v/>
      </c>
      <c r="BM256" s="39"/>
      <c r="BN256" s="40" t="str">
        <f aca="false">IF(OR(BM256="",CG256=""),"",BM256/CG256*100)</f>
        <v/>
      </c>
      <c r="BO256" s="41" t="str">
        <f aca="false">IF(BN256="","",IFERROR(MATCH(BN256,INDEX(Boundaries!$B$2:$I$30,MATCH(CU256,Boundaries!$A$2:$A$30,0),0),1)-1,""))</f>
        <v/>
      </c>
      <c r="BP256" s="42" t="str">
        <f aca="false">IF(OR(BO256="",$E256=""),"",BO256-$E256)</f>
        <v/>
      </c>
      <c r="BQ256" s="39"/>
      <c r="BR256" s="40" t="str">
        <f aca="false">IF(OR(BQ256="",CH256=""),"",BQ256/CH256*100)</f>
        <v/>
      </c>
      <c r="BS256" s="41" t="str">
        <f aca="false">IF(BR256="","",IFERROR(MATCH(BR256,INDEX(Boundaries!$B$2:$I$30,MATCH(CV256,Boundaries!$A$2:$A$30,0),0),1)-1,""))</f>
        <v/>
      </c>
      <c r="BT256" s="42" t="str">
        <f aca="false">IF(OR(BS256="",$E256=""),"",BS256-$E256)</f>
        <v/>
      </c>
      <c r="BU256" s="28" t="n">
        <f aca="false">IFERROR(INDEX(Assessments!$H$2:$H$600,MATCH($H256&amp;"|"&amp;$I256&amp;"|"&amp;$J256&amp;"|"&amp;1,Assessments!$A$2:$A$600,0)),"")</f>
        <v>25</v>
      </c>
      <c r="BV256" s="28" t="n">
        <f aca="false">IFERROR(INDEX(Assessments!$H$2:$H$600,MATCH($H256&amp;"|"&amp;$I256&amp;"|"&amp;$J256&amp;"|"&amp;2,Assessments!$A$2:$A$600,0)),"")</f>
        <v>24</v>
      </c>
      <c r="BW256" s="28" t="n">
        <f aca="false">IFERROR(INDEX(Assessments!$H$2:$H$600,MATCH($H256&amp;"|"&amp;$I256&amp;"|"&amp;$J256&amp;"|"&amp;3,Assessments!$A$2:$A$600,0)),"")</f>
        <v>25</v>
      </c>
      <c r="BX256" s="28" t="n">
        <f aca="false">IFERROR(INDEX(Assessments!$H$2:$H$600,MATCH($H256&amp;"|"&amp;$I256&amp;"|"&amp;$J256&amp;"|"&amp;4,Assessments!$A$2:$A$600,0)),"")</f>
        <v>35</v>
      </c>
      <c r="BY256" s="28" t="n">
        <f aca="false">IFERROR(INDEX(Assessments!$H$2:$H$600,MATCH($H256&amp;"|"&amp;$I256&amp;"|"&amp;$J256&amp;"|"&amp;5,Assessments!$A$2:$A$600,0)),"")</f>
        <v>55</v>
      </c>
      <c r="BZ256" s="28" t="n">
        <f aca="false">IFERROR(INDEX(Assessments!$H$2:$H$600,MATCH($H256&amp;"|"&amp;$I256&amp;"|"&amp;$J256&amp;"|"&amp;6,Assessments!$A$2:$A$600,0)),"")</f>
        <v>28</v>
      </c>
      <c r="CA256" s="28" t="n">
        <f aca="false">IFERROR(INDEX(Assessments!$H$2:$H$600,MATCH($H256&amp;"|"&amp;$I256&amp;"|"&amp;$J256&amp;"|"&amp;7,Assessments!$A$2:$A$600,0)),"")</f>
        <v>95</v>
      </c>
      <c r="CB256" s="28" t="str">
        <f aca="false">IFERROR(INDEX(Assessments!$H$2:$H$600,MATCH($H256&amp;"|"&amp;$I256&amp;"|"&amp;$J256&amp;"|"&amp;8,Assessments!$A$2:$A$600,0)),"")</f>
        <v/>
      </c>
      <c r="CC256" s="28" t="str">
        <f aca="false">IFERROR(INDEX(Assessments!$H$2:$H$600,MATCH($H256&amp;"|"&amp;$I256&amp;"|"&amp;$J256&amp;"|"&amp;9,Assessments!$A$2:$A$600,0)),"")</f>
        <v/>
      </c>
      <c r="CD256" s="28" t="str">
        <f aca="false">IFERROR(INDEX(Assessments!$H$2:$H$600,MATCH($H256&amp;"|"&amp;$I256&amp;"|"&amp;$J256&amp;"|"&amp;10,Assessments!$A$2:$A$600,0)),"")</f>
        <v/>
      </c>
      <c r="CE256" s="28" t="str">
        <f aca="false">IFERROR(INDEX(Assessments!$H$2:$H$600,MATCH($H256&amp;"|"&amp;$I256&amp;"|"&amp;$J256&amp;"|"&amp;11,Assessments!$A$2:$A$600,0)),"")</f>
        <v/>
      </c>
      <c r="CF256" s="28" t="str">
        <f aca="false">IFERROR(INDEX(Assessments!$H$2:$H$600,MATCH($H256&amp;"|"&amp;$I256&amp;"|"&amp;$J256&amp;"|"&amp;12,Assessments!$A$2:$A$600,0)),"")</f>
        <v/>
      </c>
      <c r="CG256" s="28" t="str">
        <f aca="false">IFERROR(INDEX(Assessments!$H$2:$H$600,MATCH($H256&amp;"|"&amp;$I256&amp;"|"&amp;$J256&amp;"|"&amp;13,Assessments!$A$2:$A$600,0)),"")</f>
        <v/>
      </c>
      <c r="CH256" s="28" t="str">
        <f aca="false">IFERROR(INDEX(Assessments!$H$2:$H$600,MATCH($H256&amp;"|"&amp;$I256&amp;"|"&amp;$J256&amp;"|"&amp;14,Assessments!$A$2:$A$600,0)),"")</f>
        <v/>
      </c>
      <c r="CI256" s="28" t="str">
        <f aca="false">IFERROR(INDEX(Assessments!$I$2:$I$600,MATCH($H256&amp;"|"&amp;$I256&amp;"|"&amp;$J256&amp;"|"&amp;1,Assessments!$A$2:$A$600,0)),"")</f>
        <v>Econ Test</v>
      </c>
      <c r="CJ256" s="28" t="str">
        <f aca="false">IFERROR(INDEX(Assessments!$I$2:$I$600,MATCH($H256&amp;"|"&amp;$I256&amp;"|"&amp;$J256&amp;"|"&amp;2,Assessments!$A$2:$A$600,0)),"")</f>
        <v>Econ Test</v>
      </c>
      <c r="CK256" s="28" t="str">
        <f aca="false">IFERROR(INDEX(Assessments!$I$2:$I$600,MATCH($H256&amp;"|"&amp;$I256&amp;"|"&amp;$J256&amp;"|"&amp;3,Assessments!$A$2:$A$600,0)),"")</f>
        <v>Econ Test</v>
      </c>
      <c r="CL256" s="28" t="str">
        <f aca="false">IFERROR(INDEX(Assessments!$I$2:$I$600,MATCH($H256&amp;"|"&amp;$I256&amp;"|"&amp;$J256&amp;"|"&amp;4,Assessments!$A$2:$A$600,0)),"")</f>
        <v>Econ Test</v>
      </c>
      <c r="CM256" s="28" t="str">
        <f aca="false">IFERROR(INDEX(Assessments!$I$2:$I$600,MATCH($H256&amp;"|"&amp;$I256&amp;"|"&amp;$J256&amp;"|"&amp;5,Assessments!$A$2:$A$600,0)),"")</f>
        <v>Econ Exam</v>
      </c>
      <c r="CN256" s="28" t="str">
        <f aca="false">IFERROR(INDEX(Assessments!$I$2:$I$600,MATCH($H256&amp;"|"&amp;$I256&amp;"|"&amp;$J256&amp;"|"&amp;6,Assessments!$A$2:$A$600,0)),"")</f>
        <v>Econ Test</v>
      </c>
      <c r="CO256" s="28" t="str">
        <f aca="false">IFERROR(INDEX(Assessments!$I$2:$I$600,MATCH($H256&amp;"|"&amp;$I256&amp;"|"&amp;$J256&amp;"|"&amp;7,Assessments!$A$2:$A$600,0)),"")</f>
        <v>Econ Exam</v>
      </c>
      <c r="CP256" s="28" t="str">
        <f aca="false">IFERROR(INDEX(Assessments!$I$2:$I$600,MATCH($H256&amp;"|"&amp;$I256&amp;"|"&amp;$J256&amp;"|"&amp;8,Assessments!$A$2:$A$600,0)),"")</f>
        <v/>
      </c>
      <c r="CQ256" s="28" t="str">
        <f aca="false">IFERROR(INDEX(Assessments!$I$2:$I$600,MATCH($H256&amp;"|"&amp;$I256&amp;"|"&amp;$J256&amp;"|"&amp;9,Assessments!$A$2:$A$600,0)),"")</f>
        <v/>
      </c>
      <c r="CR256" s="28" t="str">
        <f aca="false">IFERROR(INDEX(Assessments!$I$2:$I$600,MATCH($H256&amp;"|"&amp;$I256&amp;"|"&amp;$J256&amp;"|"&amp;10,Assessments!$A$2:$A$600,0)),"")</f>
        <v/>
      </c>
      <c r="CS256" s="28" t="str">
        <f aca="false">IFERROR(INDEX(Assessments!$I$2:$I$600,MATCH($H256&amp;"|"&amp;$I256&amp;"|"&amp;$J256&amp;"|"&amp;11,Assessments!$A$2:$A$600,0)),"")</f>
        <v/>
      </c>
      <c r="CT256" s="28" t="str">
        <f aca="false">IFERROR(INDEX(Assessments!$I$2:$I$600,MATCH($H256&amp;"|"&amp;$I256&amp;"|"&amp;$J256&amp;"|"&amp;12,Assessments!$A$2:$A$600,0)),"")</f>
        <v/>
      </c>
      <c r="CU256" s="28" t="str">
        <f aca="false">IFERROR(INDEX(Assessments!$I$2:$I$600,MATCH($H256&amp;"|"&amp;$I256&amp;"|"&amp;$J256&amp;"|"&amp;13,Assessments!$A$2:$A$600,0)),"")</f>
        <v/>
      </c>
      <c r="CV256" s="28" t="str">
        <f aca="false">IFERROR(INDEX(Assessments!$I$2:$I$600,MATCH($H256&amp;"|"&amp;$I256&amp;"|"&amp;$J256&amp;"|"&amp;14,Assessments!$A$2:$A$600,0)),"")</f>
        <v/>
      </c>
      <c r="CW256" s="28" t="n">
        <f aca="false">IFERROR(INDEX(Assessments!$J$2:$J$600,MATCH($H256&amp;"|"&amp;$I256&amp;"|"&amp;$J256&amp;"|"&amp;1,Assessments!$A$2:$A$600,0)),0)</f>
        <v>1</v>
      </c>
      <c r="CX256" s="28" t="n">
        <f aca="false">IFERROR(INDEX(Assessments!$J$2:$J$600,MATCH($H256&amp;"|"&amp;$I256&amp;"|"&amp;$J256&amp;"|"&amp;2,Assessments!$A$2:$A$600,0)),0)</f>
        <v>1</v>
      </c>
      <c r="CY256" s="28" t="n">
        <f aca="false">IFERROR(INDEX(Assessments!$J$2:$J$600,MATCH($H256&amp;"|"&amp;$I256&amp;"|"&amp;$J256&amp;"|"&amp;3,Assessments!$A$2:$A$600,0)),0)</f>
        <v>1</v>
      </c>
      <c r="CZ256" s="28" t="n">
        <f aca="false">IFERROR(INDEX(Assessments!$J$2:$J$600,MATCH($H256&amp;"|"&amp;$I256&amp;"|"&amp;$J256&amp;"|"&amp;4,Assessments!$A$2:$A$600,0)),0)</f>
        <v>1</v>
      </c>
      <c r="DA256" s="28" t="n">
        <f aca="false">IFERROR(INDEX(Assessments!$J$2:$J$600,MATCH($H256&amp;"|"&amp;$I256&amp;"|"&amp;$J256&amp;"|"&amp;5,Assessments!$A$2:$A$600,0)),0)</f>
        <v>2</v>
      </c>
      <c r="DB256" s="28" t="n">
        <f aca="false">IFERROR(INDEX(Assessments!$J$2:$J$600,MATCH($H256&amp;"|"&amp;$I256&amp;"|"&amp;$J256&amp;"|"&amp;6,Assessments!$A$2:$A$600,0)),0)</f>
        <v>1</v>
      </c>
      <c r="DC256" s="28" t="n">
        <f aca="false">IFERROR(INDEX(Assessments!$J$2:$J$600,MATCH($H256&amp;"|"&amp;$I256&amp;"|"&amp;$J256&amp;"|"&amp;7,Assessments!$A$2:$A$600,0)),0)</f>
        <v>2</v>
      </c>
      <c r="DD256" s="28" t="n">
        <f aca="false">IFERROR(INDEX(Assessments!$J$2:$J$600,MATCH($H256&amp;"|"&amp;$I256&amp;"|"&amp;$J256&amp;"|"&amp;8,Assessments!$A$2:$A$600,0)),0)</f>
        <v>0</v>
      </c>
      <c r="DE256" s="28" t="n">
        <f aca="false">IFERROR(INDEX(Assessments!$J$2:$J$600,MATCH($H256&amp;"|"&amp;$I256&amp;"|"&amp;$J256&amp;"|"&amp;9,Assessments!$A$2:$A$600,0)),0)</f>
        <v>0</v>
      </c>
      <c r="DF256" s="28" t="n">
        <f aca="false">IFERROR(INDEX(Assessments!$J$2:$J$600,MATCH($H256&amp;"|"&amp;$I256&amp;"|"&amp;$J256&amp;"|"&amp;10,Assessments!$A$2:$A$600,0)),0)</f>
        <v>0</v>
      </c>
      <c r="DG256" s="28" t="n">
        <f aca="false">IFERROR(INDEX(Assessments!$J$2:$J$600,MATCH($H256&amp;"|"&amp;$I256&amp;"|"&amp;$J256&amp;"|"&amp;11,Assessments!$A$2:$A$600,0)),0)</f>
        <v>0</v>
      </c>
      <c r="DH256" s="28" t="n">
        <f aca="false">IFERROR(INDEX(Assessments!$J$2:$J$600,MATCH($H256&amp;"|"&amp;$I256&amp;"|"&amp;$J256&amp;"|"&amp;12,Assessments!$A$2:$A$600,0)),0)</f>
        <v>0</v>
      </c>
      <c r="DI256" s="28" t="n">
        <f aca="false">IFERROR(INDEX(Assessments!$J$2:$J$600,MATCH($H256&amp;"|"&amp;$I256&amp;"|"&amp;$J256&amp;"|"&amp;13,Assessments!$A$2:$A$600,0)),0)</f>
        <v>0</v>
      </c>
      <c r="DJ256" s="28" t="n">
        <f aca="false">IFERROR(INDEX(Assessments!$J$2:$J$600,MATCH($H256&amp;"|"&amp;$I256&amp;"|"&amp;$J256&amp;"|"&amp;14,Assessments!$A$2:$A$600,0)),0)</f>
        <v>0</v>
      </c>
      <c r="DK256" s="28" t="n">
        <f aca="false">S256</f>
        <v>4</v>
      </c>
      <c r="DL256" s="28" t="str">
        <f aca="false">W256</f>
        <v/>
      </c>
      <c r="DM256" s="28" t="str">
        <f aca="false">AA256</f>
        <v/>
      </c>
      <c r="DN256" s="28" t="str">
        <f aca="false">AE256</f>
        <v/>
      </c>
      <c r="DO256" s="28" t="str">
        <f aca="false">AI256</f>
        <v/>
      </c>
      <c r="DP256" s="28" t="str">
        <f aca="false">AM256</f>
        <v/>
      </c>
      <c r="DQ256" s="28" t="str">
        <f aca="false">AQ256</f>
        <v/>
      </c>
      <c r="DR256" s="28" t="str">
        <f aca="false">AU256</f>
        <v/>
      </c>
      <c r="DS256" s="28" t="str">
        <f aca="false">AY256</f>
        <v/>
      </c>
      <c r="DT256" s="28" t="str">
        <f aca="false">BC256</f>
        <v/>
      </c>
      <c r="DU256" s="28" t="str">
        <f aca="false">BG256</f>
        <v/>
      </c>
      <c r="DV256" s="28" t="str">
        <f aca="false">BK256</f>
        <v/>
      </c>
      <c r="DW256" s="28" t="str">
        <f aca="false">BO256</f>
        <v/>
      </c>
      <c r="DX256" s="28" t="str">
        <f aca="false">BS256</f>
        <v/>
      </c>
      <c r="DY256" s="28" t="n">
        <f aca="false">IF(ISNUMBER(S256),1,"")</f>
        <v>1</v>
      </c>
      <c r="DZ256" s="28" t="str">
        <f aca="false">IF(ISNUMBER(W256),2,"")</f>
        <v/>
      </c>
      <c r="EA256" s="28" t="str">
        <f aca="false">IF(ISNUMBER(AA256),3,"")</f>
        <v/>
      </c>
      <c r="EB256" s="28" t="str">
        <f aca="false">IF(ISNUMBER(AE256),4,"")</f>
        <v/>
      </c>
      <c r="EC256" s="28" t="str">
        <f aca="false">IF(ISNUMBER(AI256),5,"")</f>
        <v/>
      </c>
      <c r="ED256" s="28" t="str">
        <f aca="false">IF(ISNUMBER(AM256),6,"")</f>
        <v/>
      </c>
      <c r="EE256" s="28" t="str">
        <f aca="false">IF(ISNUMBER(AQ256),7,"")</f>
        <v/>
      </c>
      <c r="EF256" s="28" t="str">
        <f aca="false">IF(ISNUMBER(AU256),8,"")</f>
        <v/>
      </c>
      <c r="EG256" s="28" t="str">
        <f aca="false">IF(ISNUMBER(AY256),9,"")</f>
        <v/>
      </c>
      <c r="EH256" s="28" t="str">
        <f aca="false">IF(ISNUMBER(BC256),10,"")</f>
        <v/>
      </c>
      <c r="EI256" s="28" t="str">
        <f aca="false">IF(ISNUMBER(BG256),11,"")</f>
        <v/>
      </c>
      <c r="EJ256" s="28" t="str">
        <f aca="false">IF(ISNUMBER(BK256),12,"")</f>
        <v/>
      </c>
      <c r="EK256" s="28" t="str">
        <f aca="false">IF(ISNUMBER(BO256),13,"")</f>
        <v/>
      </c>
      <c r="EL256" s="28" t="str">
        <f aca="false">IF(ISNUMBER(BS256),14,"")</f>
        <v/>
      </c>
      <c r="EM256" s="28" t="n">
        <f aca="false">IF(ISNUMBER(R256),R256*CW256,0)</f>
        <v>60</v>
      </c>
      <c r="EN256" s="28" t="n">
        <f aca="false">IF(ISNUMBER(V256),V256*CX256,0)</f>
        <v>0</v>
      </c>
      <c r="EO256" s="28" t="n">
        <f aca="false">IF(ISNUMBER(Z256),Z256*CY256,0)</f>
        <v>0</v>
      </c>
      <c r="EP256" s="28" t="n">
        <f aca="false">IF(ISNUMBER(AD256),AD256*CZ256,0)</f>
        <v>0</v>
      </c>
      <c r="EQ256" s="28" t="n">
        <f aca="false">IF(ISNUMBER(AH256),AH256*DA256,0)</f>
        <v>0</v>
      </c>
      <c r="ER256" s="28" t="n">
        <f aca="false">IF(ISNUMBER(AL256),AL256*DB256,0)</f>
        <v>0</v>
      </c>
      <c r="ES256" s="28" t="n">
        <f aca="false">IF(ISNUMBER(AP256),AP256*DC256,0)</f>
        <v>0</v>
      </c>
      <c r="ET256" s="28" t="n">
        <f aca="false">IF(ISNUMBER(AT256),AT256*DD256,0)</f>
        <v>0</v>
      </c>
      <c r="EU256" s="28" t="n">
        <f aca="false">IF(ISNUMBER(AX256),AX256*DE256,0)</f>
        <v>0</v>
      </c>
      <c r="EV256" s="28" t="n">
        <f aca="false">IF(ISNUMBER(BB256),BB256*DF256,0)</f>
        <v>0</v>
      </c>
      <c r="EW256" s="28" t="n">
        <f aca="false">IF(ISNUMBER(BF256),BF256*DG256,0)</f>
        <v>0</v>
      </c>
      <c r="EX256" s="28" t="n">
        <f aca="false">IF(ISNUMBER(BJ256),BJ256*DH256,0)</f>
        <v>0</v>
      </c>
      <c r="EY256" s="28" t="n">
        <f aca="false">IF(ISNUMBER(BN256),BN256*DI256,0)</f>
        <v>0</v>
      </c>
      <c r="EZ256" s="28" t="n">
        <f aca="false">IF(ISNUMBER(BR256),BR256*DJ256,0)</f>
        <v>0</v>
      </c>
      <c r="FA256" s="28" t="n">
        <f aca="false">IF(ISNUMBER(R256),CW256,0)</f>
        <v>1</v>
      </c>
      <c r="FB256" s="28" t="n">
        <f aca="false">IF(ISNUMBER(V256),CX256,0)</f>
        <v>0</v>
      </c>
      <c r="FC256" s="28" t="n">
        <f aca="false">IF(ISNUMBER(Z256),CY256,0)</f>
        <v>0</v>
      </c>
      <c r="FD256" s="28" t="n">
        <f aca="false">IF(ISNUMBER(AD256),CZ256,0)</f>
        <v>0</v>
      </c>
      <c r="FE256" s="28" t="n">
        <f aca="false">IF(ISNUMBER(AH256),DA256,0)</f>
        <v>0</v>
      </c>
      <c r="FF256" s="28" t="n">
        <f aca="false">IF(ISNUMBER(AL256),DB256,0)</f>
        <v>0</v>
      </c>
      <c r="FG256" s="28" t="n">
        <f aca="false">IF(ISNUMBER(AP256),DC256,0)</f>
        <v>0</v>
      </c>
      <c r="FH256" s="28" t="n">
        <f aca="false">IF(ISNUMBER(AT256),DD256,0)</f>
        <v>0</v>
      </c>
      <c r="FI256" s="28" t="n">
        <f aca="false">IF(ISNUMBER(AX256),DE256,0)</f>
        <v>0</v>
      </c>
      <c r="FJ256" s="28" t="n">
        <f aca="false">IF(ISNUMBER(BB256),DF256,0)</f>
        <v>0</v>
      </c>
      <c r="FK256" s="28" t="n">
        <f aca="false">IF(ISNUMBER(BF256),DG256,0)</f>
        <v>0</v>
      </c>
      <c r="FL256" s="28" t="n">
        <f aca="false">IF(ISNUMBER(BJ256),DH256,0)</f>
        <v>0</v>
      </c>
      <c r="FM256" s="28" t="n">
        <f aca="false">IF(ISNUMBER(BN256),DI256,0)</f>
        <v>0</v>
      </c>
      <c r="FN256" s="28" t="n">
        <f aca="false">IF(ISNUMBER(BR256),DJ256,0)</f>
        <v>0</v>
      </c>
      <c r="FO256" s="28" t="str">
        <f aca="false">IFERROR(INDEX(Lists!$G$2:$G$20,MATCH($I256&amp;"|"&amp;$J256,Lists!$F$2:$F$20,0)),"")</f>
        <v>Econ Exam</v>
      </c>
    </row>
    <row r="257" customFormat="false" ht="19.5" hidden="false" customHeight="true" outlineLevel="0" collapsed="false">
      <c r="A257" s="29" t="s">
        <v>524</v>
      </c>
      <c r="B257" s="29" t="s">
        <v>525</v>
      </c>
      <c r="C257" s="30" t="s">
        <v>192</v>
      </c>
      <c r="D257" s="30" t="s">
        <v>246</v>
      </c>
      <c r="E257" s="31"/>
      <c r="F257" s="30"/>
      <c r="G257" s="30"/>
      <c r="H257" s="32" t="s">
        <v>428</v>
      </c>
      <c r="I257" s="33" t="s">
        <v>229</v>
      </c>
      <c r="J257" s="32" t="s">
        <v>25</v>
      </c>
      <c r="K257" s="34" t="str">
        <f aca="false">IF(OR(M257="",$E257=""),"",M257-$E257)</f>
        <v/>
      </c>
      <c r="L257" s="35" t="n">
        <f aca="false">IF(SUM(FA257:FN257)=0,"",SUM(EM257:EZ257)/SUM(FA257:FN257))</f>
        <v>80</v>
      </c>
      <c r="M257" s="36" t="n">
        <f aca="false">IF(OR(L257="",FO257=""),"",IFERROR(MATCH(L257,INDEX(Boundaries!$B$2:$I$30,MATCH(FO257,Boundaries!$A$2:$A$30,0),0),1)-1,""))</f>
        <v>7</v>
      </c>
      <c r="N257" s="37" t="str">
        <f aca="false">IF(COUNT($DY257:$EL257)&lt;2,"",INDEX($DK257:$DX257,MAX($DY257:$EL257))-INDEX($DK257:$DX257,MIN($DY257:$EL257)))</f>
        <v/>
      </c>
      <c r="O257" s="37" t="str">
        <f aca="false">IF(COUNT($DY257:$EL257)&lt;2,"",INDEX($DK257:$DX257,MAX($DY257:$EL257))-INDEX($DK257:$DX257,LARGE($DY257:$EL257,2)))</f>
        <v/>
      </c>
      <c r="P257" s="38" t="str">
        <f aca="false">IF(K257="","",IF(K257&gt;=0,"On/above target",IF(AND(N257&lt;&gt;"",N257&gt;=0.5),"Improving towards target",IF(AND(O257&lt;&gt;"",O257&lt;=-0.5),"Declining","Stable below target"))))</f>
        <v/>
      </c>
      <c r="Q257" s="39" t="n">
        <v>20</v>
      </c>
      <c r="R257" s="40" t="n">
        <f aca="false">IF(OR(Q257="",BU257=""),"",Q257/BU257*100)</f>
        <v>80</v>
      </c>
      <c r="S257" s="41" t="n">
        <f aca="false">IF(R257="","",IFERROR(MATCH(R257,INDEX(Boundaries!$B$2:$I$30,MATCH(CI257,Boundaries!$A$2:$A$30,0),0),1)-1,""))</f>
        <v>6</v>
      </c>
      <c r="T257" s="42" t="str">
        <f aca="false">IF(OR(S257="",$E257=""),"",S257-$E257)</f>
        <v/>
      </c>
      <c r="U257" s="39"/>
      <c r="V257" s="40" t="str">
        <f aca="false">IF(OR(U257="",BV257=""),"",U257/BV257*100)</f>
        <v/>
      </c>
      <c r="W257" s="41" t="str">
        <f aca="false">IF(V257="","",IFERROR(MATCH(V257,INDEX(Boundaries!$B$2:$I$30,MATCH(CJ257,Boundaries!$A$2:$A$30,0),0),1)-1,""))</f>
        <v/>
      </c>
      <c r="X257" s="42" t="str">
        <f aca="false">IF(OR(W257="",$E257=""),"",W257-$E257)</f>
        <v/>
      </c>
      <c r="Y257" s="39"/>
      <c r="Z257" s="40" t="str">
        <f aca="false">IF(OR(Y257="",BW257=""),"",Y257/BW257*100)</f>
        <v/>
      </c>
      <c r="AA257" s="41" t="str">
        <f aca="false">IF(Z257="","",IFERROR(MATCH(Z257,INDEX(Boundaries!$B$2:$I$30,MATCH(CK257,Boundaries!$A$2:$A$30,0),0),1)-1,""))</f>
        <v/>
      </c>
      <c r="AB257" s="42" t="str">
        <f aca="false">IF(OR(AA257="",$E257=""),"",AA257-$E257)</f>
        <v/>
      </c>
      <c r="AC257" s="39"/>
      <c r="AD257" s="40" t="str">
        <f aca="false">IF(OR(AC257="",BX257=""),"",AC257/BX257*100)</f>
        <v/>
      </c>
      <c r="AE257" s="41" t="str">
        <f aca="false">IF(AD257="","",IFERROR(MATCH(AD257,INDEX(Boundaries!$B$2:$I$30,MATCH(CL257,Boundaries!$A$2:$A$30,0),0),1)-1,""))</f>
        <v/>
      </c>
      <c r="AF257" s="42" t="str">
        <f aca="false">IF(OR(AE257="",$E257=""),"",AE257-$E257)</f>
        <v/>
      </c>
      <c r="AG257" s="39"/>
      <c r="AH257" s="40" t="str">
        <f aca="false">IF(OR(AG257="",BY257=""),"",AG257/BY257*100)</f>
        <v/>
      </c>
      <c r="AI257" s="41" t="str">
        <f aca="false">IF(AH257="","",IFERROR(MATCH(AH257,INDEX(Boundaries!$B$2:$I$30,MATCH(CM257,Boundaries!$A$2:$A$30,0),0),1)-1,""))</f>
        <v/>
      </c>
      <c r="AJ257" s="42" t="str">
        <f aca="false">IF(OR(AI257="",$E257=""),"",AI257-$E257)</f>
        <v/>
      </c>
      <c r="AK257" s="39"/>
      <c r="AL257" s="40" t="str">
        <f aca="false">IF(OR(AK257="",BZ257=""),"",AK257/BZ257*100)</f>
        <v/>
      </c>
      <c r="AM257" s="41" t="str">
        <f aca="false">IF(AL257="","",IFERROR(MATCH(AL257,INDEX(Boundaries!$B$2:$I$30,MATCH(CN257,Boundaries!$A$2:$A$30,0),0),1)-1,""))</f>
        <v/>
      </c>
      <c r="AN257" s="42" t="str">
        <f aca="false">IF(OR(AM257="",$E257=""),"",AM257-$E257)</f>
        <v/>
      </c>
      <c r="AO257" s="39"/>
      <c r="AP257" s="40" t="str">
        <f aca="false">IF(OR(AO257="",CA257=""),"",AO257/CA257*100)</f>
        <v/>
      </c>
      <c r="AQ257" s="41" t="str">
        <f aca="false">IF(AP257="","",IFERROR(MATCH(AP257,INDEX(Boundaries!$B$2:$I$30,MATCH(CO257,Boundaries!$A$2:$A$30,0),0),1)-1,""))</f>
        <v/>
      </c>
      <c r="AR257" s="42" t="str">
        <f aca="false">IF(OR(AQ257="",$E257=""),"",AQ257-$E257)</f>
        <v/>
      </c>
      <c r="AS257" s="39"/>
      <c r="AT257" s="40" t="str">
        <f aca="false">IF(OR(AS257="",CB257=""),"",AS257/CB257*100)</f>
        <v/>
      </c>
      <c r="AU257" s="41" t="str">
        <f aca="false">IF(AT257="","",IFERROR(MATCH(AT257,INDEX(Boundaries!$B$2:$I$30,MATCH(CP257,Boundaries!$A$2:$A$30,0),0),1)-1,""))</f>
        <v/>
      </c>
      <c r="AV257" s="42" t="str">
        <f aca="false">IF(OR(AU257="",$E257=""),"",AU257-$E257)</f>
        <v/>
      </c>
      <c r="AW257" s="39"/>
      <c r="AX257" s="40" t="str">
        <f aca="false">IF(OR(AW257="",CC257=""),"",AW257/CC257*100)</f>
        <v/>
      </c>
      <c r="AY257" s="41" t="str">
        <f aca="false">IF(AX257="","",IFERROR(MATCH(AX257,INDEX(Boundaries!$B$2:$I$30,MATCH(CQ257,Boundaries!$A$2:$A$30,0),0),1)-1,""))</f>
        <v/>
      </c>
      <c r="AZ257" s="42" t="str">
        <f aca="false">IF(OR(AY257="",$E257=""),"",AY257-$E257)</f>
        <v/>
      </c>
      <c r="BA257" s="39"/>
      <c r="BB257" s="40" t="str">
        <f aca="false">IF(OR(BA257="",CD257=""),"",BA257/CD257*100)</f>
        <v/>
      </c>
      <c r="BC257" s="41" t="str">
        <f aca="false">IF(BB257="","",IFERROR(MATCH(BB257,INDEX(Boundaries!$B$2:$I$30,MATCH(CR257,Boundaries!$A$2:$A$30,0),0),1)-1,""))</f>
        <v/>
      </c>
      <c r="BD257" s="42" t="str">
        <f aca="false">IF(OR(BC257="",$E257=""),"",BC257-$E257)</f>
        <v/>
      </c>
      <c r="BE257" s="39"/>
      <c r="BF257" s="40" t="str">
        <f aca="false">IF(OR(BE257="",CE257=""),"",BE257/CE257*100)</f>
        <v/>
      </c>
      <c r="BG257" s="41" t="str">
        <f aca="false">IF(BF257="","",IFERROR(MATCH(BF257,INDEX(Boundaries!$B$2:$I$30,MATCH(CS257,Boundaries!$A$2:$A$30,0),0),1)-1,""))</f>
        <v/>
      </c>
      <c r="BH257" s="42" t="str">
        <f aca="false">IF(OR(BG257="",$E257=""),"",BG257-$E257)</f>
        <v/>
      </c>
      <c r="BI257" s="39"/>
      <c r="BJ257" s="40" t="str">
        <f aca="false">IF(OR(BI257="",CF257=""),"",BI257/CF257*100)</f>
        <v/>
      </c>
      <c r="BK257" s="41" t="str">
        <f aca="false">IF(BJ257="","",IFERROR(MATCH(BJ257,INDEX(Boundaries!$B$2:$I$30,MATCH(CT257,Boundaries!$A$2:$A$30,0),0),1)-1,""))</f>
        <v/>
      </c>
      <c r="BL257" s="42" t="str">
        <f aca="false">IF(OR(BK257="",$E257=""),"",BK257-$E257)</f>
        <v/>
      </c>
      <c r="BM257" s="39"/>
      <c r="BN257" s="40" t="str">
        <f aca="false">IF(OR(BM257="",CG257=""),"",BM257/CG257*100)</f>
        <v/>
      </c>
      <c r="BO257" s="41" t="str">
        <f aca="false">IF(BN257="","",IFERROR(MATCH(BN257,INDEX(Boundaries!$B$2:$I$30,MATCH(CU257,Boundaries!$A$2:$A$30,0),0),1)-1,""))</f>
        <v/>
      </c>
      <c r="BP257" s="42" t="str">
        <f aca="false">IF(OR(BO257="",$E257=""),"",BO257-$E257)</f>
        <v/>
      </c>
      <c r="BQ257" s="39"/>
      <c r="BR257" s="40" t="str">
        <f aca="false">IF(OR(BQ257="",CH257=""),"",BQ257/CH257*100)</f>
        <v/>
      </c>
      <c r="BS257" s="41" t="str">
        <f aca="false">IF(BR257="","",IFERROR(MATCH(BR257,INDEX(Boundaries!$B$2:$I$30,MATCH(CV257,Boundaries!$A$2:$A$30,0),0),1)-1,""))</f>
        <v/>
      </c>
      <c r="BT257" s="42" t="str">
        <f aca="false">IF(OR(BS257="",$E257=""),"",BS257-$E257)</f>
        <v/>
      </c>
      <c r="BU257" s="28" t="n">
        <f aca="false">IFERROR(INDEX(Assessments!$H$2:$H$600,MATCH($H257&amp;"|"&amp;$I257&amp;"|"&amp;$J257&amp;"|"&amp;1,Assessments!$A$2:$A$600,0)),"")</f>
        <v>25</v>
      </c>
      <c r="BV257" s="28" t="n">
        <f aca="false">IFERROR(INDEX(Assessments!$H$2:$H$600,MATCH($H257&amp;"|"&amp;$I257&amp;"|"&amp;$J257&amp;"|"&amp;2,Assessments!$A$2:$A$600,0)),"")</f>
        <v>24</v>
      </c>
      <c r="BW257" s="28" t="n">
        <f aca="false">IFERROR(INDEX(Assessments!$H$2:$H$600,MATCH($H257&amp;"|"&amp;$I257&amp;"|"&amp;$J257&amp;"|"&amp;3,Assessments!$A$2:$A$600,0)),"")</f>
        <v>25</v>
      </c>
      <c r="BX257" s="28" t="n">
        <f aca="false">IFERROR(INDEX(Assessments!$H$2:$H$600,MATCH($H257&amp;"|"&amp;$I257&amp;"|"&amp;$J257&amp;"|"&amp;4,Assessments!$A$2:$A$600,0)),"")</f>
        <v>35</v>
      </c>
      <c r="BY257" s="28" t="n">
        <f aca="false">IFERROR(INDEX(Assessments!$H$2:$H$600,MATCH($H257&amp;"|"&amp;$I257&amp;"|"&amp;$J257&amp;"|"&amp;5,Assessments!$A$2:$A$600,0)),"")</f>
        <v>55</v>
      </c>
      <c r="BZ257" s="28" t="n">
        <f aca="false">IFERROR(INDEX(Assessments!$H$2:$H$600,MATCH($H257&amp;"|"&amp;$I257&amp;"|"&amp;$J257&amp;"|"&amp;6,Assessments!$A$2:$A$600,0)),"")</f>
        <v>28</v>
      </c>
      <c r="CA257" s="28" t="n">
        <f aca="false">IFERROR(INDEX(Assessments!$H$2:$H$600,MATCH($H257&amp;"|"&amp;$I257&amp;"|"&amp;$J257&amp;"|"&amp;7,Assessments!$A$2:$A$600,0)),"")</f>
        <v>95</v>
      </c>
      <c r="CB257" s="28" t="str">
        <f aca="false">IFERROR(INDEX(Assessments!$H$2:$H$600,MATCH($H257&amp;"|"&amp;$I257&amp;"|"&amp;$J257&amp;"|"&amp;8,Assessments!$A$2:$A$600,0)),"")</f>
        <v/>
      </c>
      <c r="CC257" s="28" t="str">
        <f aca="false">IFERROR(INDEX(Assessments!$H$2:$H$600,MATCH($H257&amp;"|"&amp;$I257&amp;"|"&amp;$J257&amp;"|"&amp;9,Assessments!$A$2:$A$600,0)),"")</f>
        <v/>
      </c>
      <c r="CD257" s="28" t="str">
        <f aca="false">IFERROR(INDEX(Assessments!$H$2:$H$600,MATCH($H257&amp;"|"&amp;$I257&amp;"|"&amp;$J257&amp;"|"&amp;10,Assessments!$A$2:$A$600,0)),"")</f>
        <v/>
      </c>
      <c r="CE257" s="28" t="str">
        <f aca="false">IFERROR(INDEX(Assessments!$H$2:$H$600,MATCH($H257&amp;"|"&amp;$I257&amp;"|"&amp;$J257&amp;"|"&amp;11,Assessments!$A$2:$A$600,0)),"")</f>
        <v/>
      </c>
      <c r="CF257" s="28" t="str">
        <f aca="false">IFERROR(INDEX(Assessments!$H$2:$H$600,MATCH($H257&amp;"|"&amp;$I257&amp;"|"&amp;$J257&amp;"|"&amp;12,Assessments!$A$2:$A$600,0)),"")</f>
        <v/>
      </c>
      <c r="CG257" s="28" t="str">
        <f aca="false">IFERROR(INDEX(Assessments!$H$2:$H$600,MATCH($H257&amp;"|"&amp;$I257&amp;"|"&amp;$J257&amp;"|"&amp;13,Assessments!$A$2:$A$600,0)),"")</f>
        <v/>
      </c>
      <c r="CH257" s="28" t="str">
        <f aca="false">IFERROR(INDEX(Assessments!$H$2:$H$600,MATCH($H257&amp;"|"&amp;$I257&amp;"|"&amp;$J257&amp;"|"&amp;14,Assessments!$A$2:$A$600,0)),"")</f>
        <v/>
      </c>
      <c r="CI257" s="28" t="str">
        <f aca="false">IFERROR(INDEX(Assessments!$I$2:$I$600,MATCH($H257&amp;"|"&amp;$I257&amp;"|"&amp;$J257&amp;"|"&amp;1,Assessments!$A$2:$A$600,0)),"")</f>
        <v>Econ Test</v>
      </c>
      <c r="CJ257" s="28" t="str">
        <f aca="false">IFERROR(INDEX(Assessments!$I$2:$I$600,MATCH($H257&amp;"|"&amp;$I257&amp;"|"&amp;$J257&amp;"|"&amp;2,Assessments!$A$2:$A$600,0)),"")</f>
        <v>Econ Test</v>
      </c>
      <c r="CK257" s="28" t="str">
        <f aca="false">IFERROR(INDEX(Assessments!$I$2:$I$600,MATCH($H257&amp;"|"&amp;$I257&amp;"|"&amp;$J257&amp;"|"&amp;3,Assessments!$A$2:$A$600,0)),"")</f>
        <v>Econ Test</v>
      </c>
      <c r="CL257" s="28" t="str">
        <f aca="false">IFERROR(INDEX(Assessments!$I$2:$I$600,MATCH($H257&amp;"|"&amp;$I257&amp;"|"&amp;$J257&amp;"|"&amp;4,Assessments!$A$2:$A$600,0)),"")</f>
        <v>Econ Test</v>
      </c>
      <c r="CM257" s="28" t="str">
        <f aca="false">IFERROR(INDEX(Assessments!$I$2:$I$600,MATCH($H257&amp;"|"&amp;$I257&amp;"|"&amp;$J257&amp;"|"&amp;5,Assessments!$A$2:$A$600,0)),"")</f>
        <v>Econ Exam</v>
      </c>
      <c r="CN257" s="28" t="str">
        <f aca="false">IFERROR(INDEX(Assessments!$I$2:$I$600,MATCH($H257&amp;"|"&amp;$I257&amp;"|"&amp;$J257&amp;"|"&amp;6,Assessments!$A$2:$A$600,0)),"")</f>
        <v>Econ Test</v>
      </c>
      <c r="CO257" s="28" t="str">
        <f aca="false">IFERROR(INDEX(Assessments!$I$2:$I$600,MATCH($H257&amp;"|"&amp;$I257&amp;"|"&amp;$J257&amp;"|"&amp;7,Assessments!$A$2:$A$600,0)),"")</f>
        <v>Econ Exam</v>
      </c>
      <c r="CP257" s="28" t="str">
        <f aca="false">IFERROR(INDEX(Assessments!$I$2:$I$600,MATCH($H257&amp;"|"&amp;$I257&amp;"|"&amp;$J257&amp;"|"&amp;8,Assessments!$A$2:$A$600,0)),"")</f>
        <v/>
      </c>
      <c r="CQ257" s="28" t="str">
        <f aca="false">IFERROR(INDEX(Assessments!$I$2:$I$600,MATCH($H257&amp;"|"&amp;$I257&amp;"|"&amp;$J257&amp;"|"&amp;9,Assessments!$A$2:$A$600,0)),"")</f>
        <v/>
      </c>
      <c r="CR257" s="28" t="str">
        <f aca="false">IFERROR(INDEX(Assessments!$I$2:$I$600,MATCH($H257&amp;"|"&amp;$I257&amp;"|"&amp;$J257&amp;"|"&amp;10,Assessments!$A$2:$A$600,0)),"")</f>
        <v/>
      </c>
      <c r="CS257" s="28" t="str">
        <f aca="false">IFERROR(INDEX(Assessments!$I$2:$I$600,MATCH($H257&amp;"|"&amp;$I257&amp;"|"&amp;$J257&amp;"|"&amp;11,Assessments!$A$2:$A$600,0)),"")</f>
        <v/>
      </c>
      <c r="CT257" s="28" t="str">
        <f aca="false">IFERROR(INDEX(Assessments!$I$2:$I$600,MATCH($H257&amp;"|"&amp;$I257&amp;"|"&amp;$J257&amp;"|"&amp;12,Assessments!$A$2:$A$600,0)),"")</f>
        <v/>
      </c>
      <c r="CU257" s="28" t="str">
        <f aca="false">IFERROR(INDEX(Assessments!$I$2:$I$600,MATCH($H257&amp;"|"&amp;$I257&amp;"|"&amp;$J257&amp;"|"&amp;13,Assessments!$A$2:$A$600,0)),"")</f>
        <v/>
      </c>
      <c r="CV257" s="28" t="str">
        <f aca="false">IFERROR(INDEX(Assessments!$I$2:$I$600,MATCH($H257&amp;"|"&amp;$I257&amp;"|"&amp;$J257&amp;"|"&amp;14,Assessments!$A$2:$A$600,0)),"")</f>
        <v/>
      </c>
      <c r="CW257" s="28" t="n">
        <f aca="false">IFERROR(INDEX(Assessments!$J$2:$J$600,MATCH($H257&amp;"|"&amp;$I257&amp;"|"&amp;$J257&amp;"|"&amp;1,Assessments!$A$2:$A$600,0)),0)</f>
        <v>1</v>
      </c>
      <c r="CX257" s="28" t="n">
        <f aca="false">IFERROR(INDEX(Assessments!$J$2:$J$600,MATCH($H257&amp;"|"&amp;$I257&amp;"|"&amp;$J257&amp;"|"&amp;2,Assessments!$A$2:$A$600,0)),0)</f>
        <v>1</v>
      </c>
      <c r="CY257" s="28" t="n">
        <f aca="false">IFERROR(INDEX(Assessments!$J$2:$J$600,MATCH($H257&amp;"|"&amp;$I257&amp;"|"&amp;$J257&amp;"|"&amp;3,Assessments!$A$2:$A$600,0)),0)</f>
        <v>1</v>
      </c>
      <c r="CZ257" s="28" t="n">
        <f aca="false">IFERROR(INDEX(Assessments!$J$2:$J$600,MATCH($H257&amp;"|"&amp;$I257&amp;"|"&amp;$J257&amp;"|"&amp;4,Assessments!$A$2:$A$600,0)),0)</f>
        <v>1</v>
      </c>
      <c r="DA257" s="28" t="n">
        <f aca="false">IFERROR(INDEX(Assessments!$J$2:$J$600,MATCH($H257&amp;"|"&amp;$I257&amp;"|"&amp;$J257&amp;"|"&amp;5,Assessments!$A$2:$A$600,0)),0)</f>
        <v>2</v>
      </c>
      <c r="DB257" s="28" t="n">
        <f aca="false">IFERROR(INDEX(Assessments!$J$2:$J$600,MATCH($H257&amp;"|"&amp;$I257&amp;"|"&amp;$J257&amp;"|"&amp;6,Assessments!$A$2:$A$600,0)),0)</f>
        <v>1</v>
      </c>
      <c r="DC257" s="28" t="n">
        <f aca="false">IFERROR(INDEX(Assessments!$J$2:$J$600,MATCH($H257&amp;"|"&amp;$I257&amp;"|"&amp;$J257&amp;"|"&amp;7,Assessments!$A$2:$A$600,0)),0)</f>
        <v>2</v>
      </c>
      <c r="DD257" s="28" t="n">
        <f aca="false">IFERROR(INDEX(Assessments!$J$2:$J$600,MATCH($H257&amp;"|"&amp;$I257&amp;"|"&amp;$J257&amp;"|"&amp;8,Assessments!$A$2:$A$600,0)),0)</f>
        <v>0</v>
      </c>
      <c r="DE257" s="28" t="n">
        <f aca="false">IFERROR(INDEX(Assessments!$J$2:$J$600,MATCH($H257&amp;"|"&amp;$I257&amp;"|"&amp;$J257&amp;"|"&amp;9,Assessments!$A$2:$A$600,0)),0)</f>
        <v>0</v>
      </c>
      <c r="DF257" s="28" t="n">
        <f aca="false">IFERROR(INDEX(Assessments!$J$2:$J$600,MATCH($H257&amp;"|"&amp;$I257&amp;"|"&amp;$J257&amp;"|"&amp;10,Assessments!$A$2:$A$600,0)),0)</f>
        <v>0</v>
      </c>
      <c r="DG257" s="28" t="n">
        <f aca="false">IFERROR(INDEX(Assessments!$J$2:$J$600,MATCH($H257&amp;"|"&amp;$I257&amp;"|"&amp;$J257&amp;"|"&amp;11,Assessments!$A$2:$A$600,0)),0)</f>
        <v>0</v>
      </c>
      <c r="DH257" s="28" t="n">
        <f aca="false">IFERROR(INDEX(Assessments!$J$2:$J$600,MATCH($H257&amp;"|"&amp;$I257&amp;"|"&amp;$J257&amp;"|"&amp;12,Assessments!$A$2:$A$600,0)),0)</f>
        <v>0</v>
      </c>
      <c r="DI257" s="28" t="n">
        <f aca="false">IFERROR(INDEX(Assessments!$J$2:$J$600,MATCH($H257&amp;"|"&amp;$I257&amp;"|"&amp;$J257&amp;"|"&amp;13,Assessments!$A$2:$A$600,0)),0)</f>
        <v>0</v>
      </c>
      <c r="DJ257" s="28" t="n">
        <f aca="false">IFERROR(INDEX(Assessments!$J$2:$J$600,MATCH($H257&amp;"|"&amp;$I257&amp;"|"&amp;$J257&amp;"|"&amp;14,Assessments!$A$2:$A$600,0)),0)</f>
        <v>0</v>
      </c>
      <c r="DK257" s="28" t="n">
        <f aca="false">S257</f>
        <v>6</v>
      </c>
      <c r="DL257" s="28" t="str">
        <f aca="false">W257</f>
        <v/>
      </c>
      <c r="DM257" s="28" t="str">
        <f aca="false">AA257</f>
        <v/>
      </c>
      <c r="DN257" s="28" t="str">
        <f aca="false">AE257</f>
        <v/>
      </c>
      <c r="DO257" s="28" t="str">
        <f aca="false">AI257</f>
        <v/>
      </c>
      <c r="DP257" s="28" t="str">
        <f aca="false">AM257</f>
        <v/>
      </c>
      <c r="DQ257" s="28" t="str">
        <f aca="false">AQ257</f>
        <v/>
      </c>
      <c r="DR257" s="28" t="str">
        <f aca="false">AU257</f>
        <v/>
      </c>
      <c r="DS257" s="28" t="str">
        <f aca="false">AY257</f>
        <v/>
      </c>
      <c r="DT257" s="28" t="str">
        <f aca="false">BC257</f>
        <v/>
      </c>
      <c r="DU257" s="28" t="str">
        <f aca="false">BG257</f>
        <v/>
      </c>
      <c r="DV257" s="28" t="str">
        <f aca="false">BK257</f>
        <v/>
      </c>
      <c r="DW257" s="28" t="str">
        <f aca="false">BO257</f>
        <v/>
      </c>
      <c r="DX257" s="28" t="str">
        <f aca="false">BS257</f>
        <v/>
      </c>
      <c r="DY257" s="28" t="n">
        <f aca="false">IF(ISNUMBER(S257),1,"")</f>
        <v>1</v>
      </c>
      <c r="DZ257" s="28" t="str">
        <f aca="false">IF(ISNUMBER(W257),2,"")</f>
        <v/>
      </c>
      <c r="EA257" s="28" t="str">
        <f aca="false">IF(ISNUMBER(AA257),3,"")</f>
        <v/>
      </c>
      <c r="EB257" s="28" t="str">
        <f aca="false">IF(ISNUMBER(AE257),4,"")</f>
        <v/>
      </c>
      <c r="EC257" s="28" t="str">
        <f aca="false">IF(ISNUMBER(AI257),5,"")</f>
        <v/>
      </c>
      <c r="ED257" s="28" t="str">
        <f aca="false">IF(ISNUMBER(AM257),6,"")</f>
        <v/>
      </c>
      <c r="EE257" s="28" t="str">
        <f aca="false">IF(ISNUMBER(AQ257),7,"")</f>
        <v/>
      </c>
      <c r="EF257" s="28" t="str">
        <f aca="false">IF(ISNUMBER(AU257),8,"")</f>
        <v/>
      </c>
      <c r="EG257" s="28" t="str">
        <f aca="false">IF(ISNUMBER(AY257),9,"")</f>
        <v/>
      </c>
      <c r="EH257" s="28" t="str">
        <f aca="false">IF(ISNUMBER(BC257),10,"")</f>
        <v/>
      </c>
      <c r="EI257" s="28" t="str">
        <f aca="false">IF(ISNUMBER(BG257),11,"")</f>
        <v/>
      </c>
      <c r="EJ257" s="28" t="str">
        <f aca="false">IF(ISNUMBER(BK257),12,"")</f>
        <v/>
      </c>
      <c r="EK257" s="28" t="str">
        <f aca="false">IF(ISNUMBER(BO257),13,"")</f>
        <v/>
      </c>
      <c r="EL257" s="28" t="str">
        <f aca="false">IF(ISNUMBER(BS257),14,"")</f>
        <v/>
      </c>
      <c r="EM257" s="28" t="n">
        <f aca="false">IF(ISNUMBER(R257),R257*CW257,0)</f>
        <v>80</v>
      </c>
      <c r="EN257" s="28" t="n">
        <f aca="false">IF(ISNUMBER(V257),V257*CX257,0)</f>
        <v>0</v>
      </c>
      <c r="EO257" s="28" t="n">
        <f aca="false">IF(ISNUMBER(Z257),Z257*CY257,0)</f>
        <v>0</v>
      </c>
      <c r="EP257" s="28" t="n">
        <f aca="false">IF(ISNUMBER(AD257),AD257*CZ257,0)</f>
        <v>0</v>
      </c>
      <c r="EQ257" s="28" t="n">
        <f aca="false">IF(ISNUMBER(AH257),AH257*DA257,0)</f>
        <v>0</v>
      </c>
      <c r="ER257" s="28" t="n">
        <f aca="false">IF(ISNUMBER(AL257),AL257*DB257,0)</f>
        <v>0</v>
      </c>
      <c r="ES257" s="28" t="n">
        <f aca="false">IF(ISNUMBER(AP257),AP257*DC257,0)</f>
        <v>0</v>
      </c>
      <c r="ET257" s="28" t="n">
        <f aca="false">IF(ISNUMBER(AT257),AT257*DD257,0)</f>
        <v>0</v>
      </c>
      <c r="EU257" s="28" t="n">
        <f aca="false">IF(ISNUMBER(AX257),AX257*DE257,0)</f>
        <v>0</v>
      </c>
      <c r="EV257" s="28" t="n">
        <f aca="false">IF(ISNUMBER(BB257),BB257*DF257,0)</f>
        <v>0</v>
      </c>
      <c r="EW257" s="28" t="n">
        <f aca="false">IF(ISNUMBER(BF257),BF257*DG257,0)</f>
        <v>0</v>
      </c>
      <c r="EX257" s="28" t="n">
        <f aca="false">IF(ISNUMBER(BJ257),BJ257*DH257,0)</f>
        <v>0</v>
      </c>
      <c r="EY257" s="28" t="n">
        <f aca="false">IF(ISNUMBER(BN257),BN257*DI257,0)</f>
        <v>0</v>
      </c>
      <c r="EZ257" s="28" t="n">
        <f aca="false">IF(ISNUMBER(BR257),BR257*DJ257,0)</f>
        <v>0</v>
      </c>
      <c r="FA257" s="28" t="n">
        <f aca="false">IF(ISNUMBER(R257),CW257,0)</f>
        <v>1</v>
      </c>
      <c r="FB257" s="28" t="n">
        <f aca="false">IF(ISNUMBER(V257),CX257,0)</f>
        <v>0</v>
      </c>
      <c r="FC257" s="28" t="n">
        <f aca="false">IF(ISNUMBER(Z257),CY257,0)</f>
        <v>0</v>
      </c>
      <c r="FD257" s="28" t="n">
        <f aca="false">IF(ISNUMBER(AD257),CZ257,0)</f>
        <v>0</v>
      </c>
      <c r="FE257" s="28" t="n">
        <f aca="false">IF(ISNUMBER(AH257),DA257,0)</f>
        <v>0</v>
      </c>
      <c r="FF257" s="28" t="n">
        <f aca="false">IF(ISNUMBER(AL257),DB257,0)</f>
        <v>0</v>
      </c>
      <c r="FG257" s="28" t="n">
        <f aca="false">IF(ISNUMBER(AP257),DC257,0)</f>
        <v>0</v>
      </c>
      <c r="FH257" s="28" t="n">
        <f aca="false">IF(ISNUMBER(AT257),DD257,0)</f>
        <v>0</v>
      </c>
      <c r="FI257" s="28" t="n">
        <f aca="false">IF(ISNUMBER(AX257),DE257,0)</f>
        <v>0</v>
      </c>
      <c r="FJ257" s="28" t="n">
        <f aca="false">IF(ISNUMBER(BB257),DF257,0)</f>
        <v>0</v>
      </c>
      <c r="FK257" s="28" t="n">
        <f aca="false">IF(ISNUMBER(BF257),DG257,0)</f>
        <v>0</v>
      </c>
      <c r="FL257" s="28" t="n">
        <f aca="false">IF(ISNUMBER(BJ257),DH257,0)</f>
        <v>0</v>
      </c>
      <c r="FM257" s="28" t="n">
        <f aca="false">IF(ISNUMBER(BN257),DI257,0)</f>
        <v>0</v>
      </c>
      <c r="FN257" s="28" t="n">
        <f aca="false">IF(ISNUMBER(BR257),DJ257,0)</f>
        <v>0</v>
      </c>
      <c r="FO257" s="28" t="str">
        <f aca="false">IFERROR(INDEX(Lists!$G$2:$G$20,MATCH($I257&amp;"|"&amp;$J257,Lists!$F$2:$F$20,0)),"")</f>
        <v>Econ Exam</v>
      </c>
    </row>
    <row r="258" customFormat="false" ht="19.5" hidden="false" customHeight="true" outlineLevel="0" collapsed="false">
      <c r="A258" s="29" t="s">
        <v>462</v>
      </c>
      <c r="B258" s="29" t="s">
        <v>463</v>
      </c>
      <c r="C258" s="30" t="s">
        <v>192</v>
      </c>
      <c r="D258" s="30" t="s">
        <v>246</v>
      </c>
      <c r="E258" s="31"/>
      <c r="F258" s="30"/>
      <c r="G258" s="30"/>
      <c r="H258" s="32" t="s">
        <v>428</v>
      </c>
      <c r="I258" s="33" t="s">
        <v>229</v>
      </c>
      <c r="J258" s="32" t="s">
        <v>25</v>
      </c>
      <c r="K258" s="34" t="str">
        <f aca="false">IF(OR(M258="",$E258=""),"",M258-$E258)</f>
        <v/>
      </c>
      <c r="L258" s="35" t="n">
        <f aca="false">IF(SUM(FA258:FN258)=0,"",SUM(EM258:EZ258)/SUM(FA258:FN258))</f>
        <v>88</v>
      </c>
      <c r="M258" s="36" t="n">
        <f aca="false">IF(OR(L258="",FO258=""),"",IFERROR(MATCH(L258,INDEX(Boundaries!$B$2:$I$30,MATCH(FO258,Boundaries!$A$2:$A$30,0),0),1)-1,""))</f>
        <v>7</v>
      </c>
      <c r="N258" s="37" t="str">
        <f aca="false">IF(COUNT($DY258:$EL258)&lt;2,"",INDEX($DK258:$DX258,MAX($DY258:$EL258))-INDEX($DK258:$DX258,MIN($DY258:$EL258)))</f>
        <v/>
      </c>
      <c r="O258" s="37" t="str">
        <f aca="false">IF(COUNT($DY258:$EL258)&lt;2,"",INDEX($DK258:$DX258,MAX($DY258:$EL258))-INDEX($DK258:$DX258,LARGE($DY258:$EL258,2)))</f>
        <v/>
      </c>
      <c r="P258" s="38" t="str">
        <f aca="false">IF(K258="","",IF(K258&gt;=0,"On/above target",IF(AND(N258&lt;&gt;"",N258&gt;=0.5),"Improving towards target",IF(AND(O258&lt;&gt;"",O258&lt;=-0.5),"Declining","Stable below target"))))</f>
        <v/>
      </c>
      <c r="Q258" s="39" t="n">
        <v>22</v>
      </c>
      <c r="R258" s="40" t="n">
        <f aca="false">IF(OR(Q258="",BU258=""),"",Q258/BU258*100)</f>
        <v>88</v>
      </c>
      <c r="S258" s="41" t="n">
        <f aca="false">IF(R258="","",IFERROR(MATCH(R258,INDEX(Boundaries!$B$2:$I$30,MATCH(CI258,Boundaries!$A$2:$A$30,0),0),1)-1,""))</f>
        <v>7</v>
      </c>
      <c r="T258" s="42" t="str">
        <f aca="false">IF(OR(S258="",$E258=""),"",S258-$E258)</f>
        <v/>
      </c>
      <c r="U258" s="39"/>
      <c r="V258" s="40" t="str">
        <f aca="false">IF(OR(U258="",BV258=""),"",U258/BV258*100)</f>
        <v/>
      </c>
      <c r="W258" s="41" t="str">
        <f aca="false">IF(V258="","",IFERROR(MATCH(V258,INDEX(Boundaries!$B$2:$I$30,MATCH(CJ258,Boundaries!$A$2:$A$30,0),0),1)-1,""))</f>
        <v/>
      </c>
      <c r="X258" s="42" t="str">
        <f aca="false">IF(OR(W258="",$E258=""),"",W258-$E258)</f>
        <v/>
      </c>
      <c r="Y258" s="39"/>
      <c r="Z258" s="40" t="str">
        <f aca="false">IF(OR(Y258="",BW258=""),"",Y258/BW258*100)</f>
        <v/>
      </c>
      <c r="AA258" s="41" t="str">
        <f aca="false">IF(Z258="","",IFERROR(MATCH(Z258,INDEX(Boundaries!$B$2:$I$30,MATCH(CK258,Boundaries!$A$2:$A$30,0),0),1)-1,""))</f>
        <v/>
      </c>
      <c r="AB258" s="42" t="str">
        <f aca="false">IF(OR(AA258="",$E258=""),"",AA258-$E258)</f>
        <v/>
      </c>
      <c r="AC258" s="39"/>
      <c r="AD258" s="40" t="str">
        <f aca="false">IF(OR(AC258="",BX258=""),"",AC258/BX258*100)</f>
        <v/>
      </c>
      <c r="AE258" s="41" t="str">
        <f aca="false">IF(AD258="","",IFERROR(MATCH(AD258,INDEX(Boundaries!$B$2:$I$30,MATCH(CL258,Boundaries!$A$2:$A$30,0),0),1)-1,""))</f>
        <v/>
      </c>
      <c r="AF258" s="42" t="str">
        <f aca="false">IF(OR(AE258="",$E258=""),"",AE258-$E258)</f>
        <v/>
      </c>
      <c r="AG258" s="39"/>
      <c r="AH258" s="40" t="str">
        <f aca="false">IF(OR(AG258="",BY258=""),"",AG258/BY258*100)</f>
        <v/>
      </c>
      <c r="AI258" s="41" t="str">
        <f aca="false">IF(AH258="","",IFERROR(MATCH(AH258,INDEX(Boundaries!$B$2:$I$30,MATCH(CM258,Boundaries!$A$2:$A$30,0),0),1)-1,""))</f>
        <v/>
      </c>
      <c r="AJ258" s="42" t="str">
        <f aca="false">IF(OR(AI258="",$E258=""),"",AI258-$E258)</f>
        <v/>
      </c>
      <c r="AK258" s="39"/>
      <c r="AL258" s="40" t="str">
        <f aca="false">IF(OR(AK258="",BZ258=""),"",AK258/BZ258*100)</f>
        <v/>
      </c>
      <c r="AM258" s="41" t="str">
        <f aca="false">IF(AL258="","",IFERROR(MATCH(AL258,INDEX(Boundaries!$B$2:$I$30,MATCH(CN258,Boundaries!$A$2:$A$30,0),0),1)-1,""))</f>
        <v/>
      </c>
      <c r="AN258" s="42" t="str">
        <f aca="false">IF(OR(AM258="",$E258=""),"",AM258-$E258)</f>
        <v/>
      </c>
      <c r="AO258" s="39"/>
      <c r="AP258" s="40" t="str">
        <f aca="false">IF(OR(AO258="",CA258=""),"",AO258/CA258*100)</f>
        <v/>
      </c>
      <c r="AQ258" s="41" t="str">
        <f aca="false">IF(AP258="","",IFERROR(MATCH(AP258,INDEX(Boundaries!$B$2:$I$30,MATCH(CO258,Boundaries!$A$2:$A$30,0),0),1)-1,""))</f>
        <v/>
      </c>
      <c r="AR258" s="42" t="str">
        <f aca="false">IF(OR(AQ258="",$E258=""),"",AQ258-$E258)</f>
        <v/>
      </c>
      <c r="AS258" s="39"/>
      <c r="AT258" s="40" t="str">
        <f aca="false">IF(OR(AS258="",CB258=""),"",AS258/CB258*100)</f>
        <v/>
      </c>
      <c r="AU258" s="41" t="str">
        <f aca="false">IF(AT258="","",IFERROR(MATCH(AT258,INDEX(Boundaries!$B$2:$I$30,MATCH(CP258,Boundaries!$A$2:$A$30,0),0),1)-1,""))</f>
        <v/>
      </c>
      <c r="AV258" s="42" t="str">
        <f aca="false">IF(OR(AU258="",$E258=""),"",AU258-$E258)</f>
        <v/>
      </c>
      <c r="AW258" s="39"/>
      <c r="AX258" s="40" t="str">
        <f aca="false">IF(OR(AW258="",CC258=""),"",AW258/CC258*100)</f>
        <v/>
      </c>
      <c r="AY258" s="41" t="str">
        <f aca="false">IF(AX258="","",IFERROR(MATCH(AX258,INDEX(Boundaries!$B$2:$I$30,MATCH(CQ258,Boundaries!$A$2:$A$30,0),0),1)-1,""))</f>
        <v/>
      </c>
      <c r="AZ258" s="42" t="str">
        <f aca="false">IF(OR(AY258="",$E258=""),"",AY258-$E258)</f>
        <v/>
      </c>
      <c r="BA258" s="39"/>
      <c r="BB258" s="40" t="str">
        <f aca="false">IF(OR(BA258="",CD258=""),"",BA258/CD258*100)</f>
        <v/>
      </c>
      <c r="BC258" s="41" t="str">
        <f aca="false">IF(BB258="","",IFERROR(MATCH(BB258,INDEX(Boundaries!$B$2:$I$30,MATCH(CR258,Boundaries!$A$2:$A$30,0),0),1)-1,""))</f>
        <v/>
      </c>
      <c r="BD258" s="42" t="str">
        <f aca="false">IF(OR(BC258="",$E258=""),"",BC258-$E258)</f>
        <v/>
      </c>
      <c r="BE258" s="39"/>
      <c r="BF258" s="40" t="str">
        <f aca="false">IF(OR(BE258="",CE258=""),"",BE258/CE258*100)</f>
        <v/>
      </c>
      <c r="BG258" s="41" t="str">
        <f aca="false">IF(BF258="","",IFERROR(MATCH(BF258,INDEX(Boundaries!$B$2:$I$30,MATCH(CS258,Boundaries!$A$2:$A$30,0),0),1)-1,""))</f>
        <v/>
      </c>
      <c r="BH258" s="42" t="str">
        <f aca="false">IF(OR(BG258="",$E258=""),"",BG258-$E258)</f>
        <v/>
      </c>
      <c r="BI258" s="39"/>
      <c r="BJ258" s="40" t="str">
        <f aca="false">IF(OR(BI258="",CF258=""),"",BI258/CF258*100)</f>
        <v/>
      </c>
      <c r="BK258" s="41" t="str">
        <f aca="false">IF(BJ258="","",IFERROR(MATCH(BJ258,INDEX(Boundaries!$B$2:$I$30,MATCH(CT258,Boundaries!$A$2:$A$30,0),0),1)-1,""))</f>
        <v/>
      </c>
      <c r="BL258" s="42" t="str">
        <f aca="false">IF(OR(BK258="",$E258=""),"",BK258-$E258)</f>
        <v/>
      </c>
      <c r="BM258" s="39"/>
      <c r="BN258" s="40" t="str">
        <f aca="false">IF(OR(BM258="",CG258=""),"",BM258/CG258*100)</f>
        <v/>
      </c>
      <c r="BO258" s="41" t="str">
        <f aca="false">IF(BN258="","",IFERROR(MATCH(BN258,INDEX(Boundaries!$B$2:$I$30,MATCH(CU258,Boundaries!$A$2:$A$30,0),0),1)-1,""))</f>
        <v/>
      </c>
      <c r="BP258" s="42" t="str">
        <f aca="false">IF(OR(BO258="",$E258=""),"",BO258-$E258)</f>
        <v/>
      </c>
      <c r="BQ258" s="39"/>
      <c r="BR258" s="40" t="str">
        <f aca="false">IF(OR(BQ258="",CH258=""),"",BQ258/CH258*100)</f>
        <v/>
      </c>
      <c r="BS258" s="41" t="str">
        <f aca="false">IF(BR258="","",IFERROR(MATCH(BR258,INDEX(Boundaries!$B$2:$I$30,MATCH(CV258,Boundaries!$A$2:$A$30,0),0),1)-1,""))</f>
        <v/>
      </c>
      <c r="BT258" s="42" t="str">
        <f aca="false">IF(OR(BS258="",$E258=""),"",BS258-$E258)</f>
        <v/>
      </c>
      <c r="BU258" s="28" t="n">
        <f aca="false">IFERROR(INDEX(Assessments!$H$2:$H$600,MATCH($H258&amp;"|"&amp;$I258&amp;"|"&amp;$J258&amp;"|"&amp;1,Assessments!$A$2:$A$600,0)),"")</f>
        <v>25</v>
      </c>
      <c r="BV258" s="28" t="n">
        <f aca="false">IFERROR(INDEX(Assessments!$H$2:$H$600,MATCH($H258&amp;"|"&amp;$I258&amp;"|"&amp;$J258&amp;"|"&amp;2,Assessments!$A$2:$A$600,0)),"")</f>
        <v>24</v>
      </c>
      <c r="BW258" s="28" t="n">
        <f aca="false">IFERROR(INDEX(Assessments!$H$2:$H$600,MATCH($H258&amp;"|"&amp;$I258&amp;"|"&amp;$J258&amp;"|"&amp;3,Assessments!$A$2:$A$600,0)),"")</f>
        <v>25</v>
      </c>
      <c r="BX258" s="28" t="n">
        <f aca="false">IFERROR(INDEX(Assessments!$H$2:$H$600,MATCH($H258&amp;"|"&amp;$I258&amp;"|"&amp;$J258&amp;"|"&amp;4,Assessments!$A$2:$A$600,0)),"")</f>
        <v>35</v>
      </c>
      <c r="BY258" s="28" t="n">
        <f aca="false">IFERROR(INDEX(Assessments!$H$2:$H$600,MATCH($H258&amp;"|"&amp;$I258&amp;"|"&amp;$J258&amp;"|"&amp;5,Assessments!$A$2:$A$600,0)),"")</f>
        <v>55</v>
      </c>
      <c r="BZ258" s="28" t="n">
        <f aca="false">IFERROR(INDEX(Assessments!$H$2:$H$600,MATCH($H258&amp;"|"&amp;$I258&amp;"|"&amp;$J258&amp;"|"&amp;6,Assessments!$A$2:$A$600,0)),"")</f>
        <v>28</v>
      </c>
      <c r="CA258" s="28" t="n">
        <f aca="false">IFERROR(INDEX(Assessments!$H$2:$H$600,MATCH($H258&amp;"|"&amp;$I258&amp;"|"&amp;$J258&amp;"|"&amp;7,Assessments!$A$2:$A$600,0)),"")</f>
        <v>95</v>
      </c>
      <c r="CB258" s="28" t="str">
        <f aca="false">IFERROR(INDEX(Assessments!$H$2:$H$600,MATCH($H258&amp;"|"&amp;$I258&amp;"|"&amp;$J258&amp;"|"&amp;8,Assessments!$A$2:$A$600,0)),"")</f>
        <v/>
      </c>
      <c r="CC258" s="28" t="str">
        <f aca="false">IFERROR(INDEX(Assessments!$H$2:$H$600,MATCH($H258&amp;"|"&amp;$I258&amp;"|"&amp;$J258&amp;"|"&amp;9,Assessments!$A$2:$A$600,0)),"")</f>
        <v/>
      </c>
      <c r="CD258" s="28" t="str">
        <f aca="false">IFERROR(INDEX(Assessments!$H$2:$H$600,MATCH($H258&amp;"|"&amp;$I258&amp;"|"&amp;$J258&amp;"|"&amp;10,Assessments!$A$2:$A$600,0)),"")</f>
        <v/>
      </c>
      <c r="CE258" s="28" t="str">
        <f aca="false">IFERROR(INDEX(Assessments!$H$2:$H$600,MATCH($H258&amp;"|"&amp;$I258&amp;"|"&amp;$J258&amp;"|"&amp;11,Assessments!$A$2:$A$600,0)),"")</f>
        <v/>
      </c>
      <c r="CF258" s="28" t="str">
        <f aca="false">IFERROR(INDEX(Assessments!$H$2:$H$600,MATCH($H258&amp;"|"&amp;$I258&amp;"|"&amp;$J258&amp;"|"&amp;12,Assessments!$A$2:$A$600,0)),"")</f>
        <v/>
      </c>
      <c r="CG258" s="28" t="str">
        <f aca="false">IFERROR(INDEX(Assessments!$H$2:$H$600,MATCH($H258&amp;"|"&amp;$I258&amp;"|"&amp;$J258&amp;"|"&amp;13,Assessments!$A$2:$A$600,0)),"")</f>
        <v/>
      </c>
      <c r="CH258" s="28" t="str">
        <f aca="false">IFERROR(INDEX(Assessments!$H$2:$H$600,MATCH($H258&amp;"|"&amp;$I258&amp;"|"&amp;$J258&amp;"|"&amp;14,Assessments!$A$2:$A$600,0)),"")</f>
        <v/>
      </c>
      <c r="CI258" s="28" t="str">
        <f aca="false">IFERROR(INDEX(Assessments!$I$2:$I$600,MATCH($H258&amp;"|"&amp;$I258&amp;"|"&amp;$J258&amp;"|"&amp;1,Assessments!$A$2:$A$600,0)),"")</f>
        <v>Econ Test</v>
      </c>
      <c r="CJ258" s="28" t="str">
        <f aca="false">IFERROR(INDEX(Assessments!$I$2:$I$600,MATCH($H258&amp;"|"&amp;$I258&amp;"|"&amp;$J258&amp;"|"&amp;2,Assessments!$A$2:$A$600,0)),"")</f>
        <v>Econ Test</v>
      </c>
      <c r="CK258" s="28" t="str">
        <f aca="false">IFERROR(INDEX(Assessments!$I$2:$I$600,MATCH($H258&amp;"|"&amp;$I258&amp;"|"&amp;$J258&amp;"|"&amp;3,Assessments!$A$2:$A$600,0)),"")</f>
        <v>Econ Test</v>
      </c>
      <c r="CL258" s="28" t="str">
        <f aca="false">IFERROR(INDEX(Assessments!$I$2:$I$600,MATCH($H258&amp;"|"&amp;$I258&amp;"|"&amp;$J258&amp;"|"&amp;4,Assessments!$A$2:$A$600,0)),"")</f>
        <v>Econ Test</v>
      </c>
      <c r="CM258" s="28" t="str">
        <f aca="false">IFERROR(INDEX(Assessments!$I$2:$I$600,MATCH($H258&amp;"|"&amp;$I258&amp;"|"&amp;$J258&amp;"|"&amp;5,Assessments!$A$2:$A$600,0)),"")</f>
        <v>Econ Exam</v>
      </c>
      <c r="CN258" s="28" t="str">
        <f aca="false">IFERROR(INDEX(Assessments!$I$2:$I$600,MATCH($H258&amp;"|"&amp;$I258&amp;"|"&amp;$J258&amp;"|"&amp;6,Assessments!$A$2:$A$600,0)),"")</f>
        <v>Econ Test</v>
      </c>
      <c r="CO258" s="28" t="str">
        <f aca="false">IFERROR(INDEX(Assessments!$I$2:$I$600,MATCH($H258&amp;"|"&amp;$I258&amp;"|"&amp;$J258&amp;"|"&amp;7,Assessments!$A$2:$A$600,0)),"")</f>
        <v>Econ Exam</v>
      </c>
      <c r="CP258" s="28" t="str">
        <f aca="false">IFERROR(INDEX(Assessments!$I$2:$I$600,MATCH($H258&amp;"|"&amp;$I258&amp;"|"&amp;$J258&amp;"|"&amp;8,Assessments!$A$2:$A$600,0)),"")</f>
        <v/>
      </c>
      <c r="CQ258" s="28" t="str">
        <f aca="false">IFERROR(INDEX(Assessments!$I$2:$I$600,MATCH($H258&amp;"|"&amp;$I258&amp;"|"&amp;$J258&amp;"|"&amp;9,Assessments!$A$2:$A$600,0)),"")</f>
        <v/>
      </c>
      <c r="CR258" s="28" t="str">
        <f aca="false">IFERROR(INDEX(Assessments!$I$2:$I$600,MATCH($H258&amp;"|"&amp;$I258&amp;"|"&amp;$J258&amp;"|"&amp;10,Assessments!$A$2:$A$600,0)),"")</f>
        <v/>
      </c>
      <c r="CS258" s="28" t="str">
        <f aca="false">IFERROR(INDEX(Assessments!$I$2:$I$600,MATCH($H258&amp;"|"&amp;$I258&amp;"|"&amp;$J258&amp;"|"&amp;11,Assessments!$A$2:$A$600,0)),"")</f>
        <v/>
      </c>
      <c r="CT258" s="28" t="str">
        <f aca="false">IFERROR(INDEX(Assessments!$I$2:$I$600,MATCH($H258&amp;"|"&amp;$I258&amp;"|"&amp;$J258&amp;"|"&amp;12,Assessments!$A$2:$A$600,0)),"")</f>
        <v/>
      </c>
      <c r="CU258" s="28" t="str">
        <f aca="false">IFERROR(INDEX(Assessments!$I$2:$I$600,MATCH($H258&amp;"|"&amp;$I258&amp;"|"&amp;$J258&amp;"|"&amp;13,Assessments!$A$2:$A$600,0)),"")</f>
        <v/>
      </c>
      <c r="CV258" s="28" t="str">
        <f aca="false">IFERROR(INDEX(Assessments!$I$2:$I$600,MATCH($H258&amp;"|"&amp;$I258&amp;"|"&amp;$J258&amp;"|"&amp;14,Assessments!$A$2:$A$600,0)),"")</f>
        <v/>
      </c>
      <c r="CW258" s="28" t="n">
        <f aca="false">IFERROR(INDEX(Assessments!$J$2:$J$600,MATCH($H258&amp;"|"&amp;$I258&amp;"|"&amp;$J258&amp;"|"&amp;1,Assessments!$A$2:$A$600,0)),0)</f>
        <v>1</v>
      </c>
      <c r="CX258" s="28" t="n">
        <f aca="false">IFERROR(INDEX(Assessments!$J$2:$J$600,MATCH($H258&amp;"|"&amp;$I258&amp;"|"&amp;$J258&amp;"|"&amp;2,Assessments!$A$2:$A$600,0)),0)</f>
        <v>1</v>
      </c>
      <c r="CY258" s="28" t="n">
        <f aca="false">IFERROR(INDEX(Assessments!$J$2:$J$600,MATCH($H258&amp;"|"&amp;$I258&amp;"|"&amp;$J258&amp;"|"&amp;3,Assessments!$A$2:$A$600,0)),0)</f>
        <v>1</v>
      </c>
      <c r="CZ258" s="28" t="n">
        <f aca="false">IFERROR(INDEX(Assessments!$J$2:$J$600,MATCH($H258&amp;"|"&amp;$I258&amp;"|"&amp;$J258&amp;"|"&amp;4,Assessments!$A$2:$A$600,0)),0)</f>
        <v>1</v>
      </c>
      <c r="DA258" s="28" t="n">
        <f aca="false">IFERROR(INDEX(Assessments!$J$2:$J$600,MATCH($H258&amp;"|"&amp;$I258&amp;"|"&amp;$J258&amp;"|"&amp;5,Assessments!$A$2:$A$600,0)),0)</f>
        <v>2</v>
      </c>
      <c r="DB258" s="28" t="n">
        <f aca="false">IFERROR(INDEX(Assessments!$J$2:$J$600,MATCH($H258&amp;"|"&amp;$I258&amp;"|"&amp;$J258&amp;"|"&amp;6,Assessments!$A$2:$A$600,0)),0)</f>
        <v>1</v>
      </c>
      <c r="DC258" s="28" t="n">
        <f aca="false">IFERROR(INDEX(Assessments!$J$2:$J$600,MATCH($H258&amp;"|"&amp;$I258&amp;"|"&amp;$J258&amp;"|"&amp;7,Assessments!$A$2:$A$600,0)),0)</f>
        <v>2</v>
      </c>
      <c r="DD258" s="28" t="n">
        <f aca="false">IFERROR(INDEX(Assessments!$J$2:$J$600,MATCH($H258&amp;"|"&amp;$I258&amp;"|"&amp;$J258&amp;"|"&amp;8,Assessments!$A$2:$A$600,0)),0)</f>
        <v>0</v>
      </c>
      <c r="DE258" s="28" t="n">
        <f aca="false">IFERROR(INDEX(Assessments!$J$2:$J$600,MATCH($H258&amp;"|"&amp;$I258&amp;"|"&amp;$J258&amp;"|"&amp;9,Assessments!$A$2:$A$600,0)),0)</f>
        <v>0</v>
      </c>
      <c r="DF258" s="28" t="n">
        <f aca="false">IFERROR(INDEX(Assessments!$J$2:$J$600,MATCH($H258&amp;"|"&amp;$I258&amp;"|"&amp;$J258&amp;"|"&amp;10,Assessments!$A$2:$A$600,0)),0)</f>
        <v>0</v>
      </c>
      <c r="DG258" s="28" t="n">
        <f aca="false">IFERROR(INDEX(Assessments!$J$2:$J$600,MATCH($H258&amp;"|"&amp;$I258&amp;"|"&amp;$J258&amp;"|"&amp;11,Assessments!$A$2:$A$600,0)),0)</f>
        <v>0</v>
      </c>
      <c r="DH258" s="28" t="n">
        <f aca="false">IFERROR(INDEX(Assessments!$J$2:$J$600,MATCH($H258&amp;"|"&amp;$I258&amp;"|"&amp;$J258&amp;"|"&amp;12,Assessments!$A$2:$A$600,0)),0)</f>
        <v>0</v>
      </c>
      <c r="DI258" s="28" t="n">
        <f aca="false">IFERROR(INDEX(Assessments!$J$2:$J$600,MATCH($H258&amp;"|"&amp;$I258&amp;"|"&amp;$J258&amp;"|"&amp;13,Assessments!$A$2:$A$600,0)),0)</f>
        <v>0</v>
      </c>
      <c r="DJ258" s="28" t="n">
        <f aca="false">IFERROR(INDEX(Assessments!$J$2:$J$600,MATCH($H258&amp;"|"&amp;$I258&amp;"|"&amp;$J258&amp;"|"&amp;14,Assessments!$A$2:$A$600,0)),0)</f>
        <v>0</v>
      </c>
      <c r="DK258" s="28" t="n">
        <f aca="false">S258</f>
        <v>7</v>
      </c>
      <c r="DL258" s="28" t="str">
        <f aca="false">W258</f>
        <v/>
      </c>
      <c r="DM258" s="28" t="str">
        <f aca="false">AA258</f>
        <v/>
      </c>
      <c r="DN258" s="28" t="str">
        <f aca="false">AE258</f>
        <v/>
      </c>
      <c r="DO258" s="28" t="str">
        <f aca="false">AI258</f>
        <v/>
      </c>
      <c r="DP258" s="28" t="str">
        <f aca="false">AM258</f>
        <v/>
      </c>
      <c r="DQ258" s="28" t="str">
        <f aca="false">AQ258</f>
        <v/>
      </c>
      <c r="DR258" s="28" t="str">
        <f aca="false">AU258</f>
        <v/>
      </c>
      <c r="DS258" s="28" t="str">
        <f aca="false">AY258</f>
        <v/>
      </c>
      <c r="DT258" s="28" t="str">
        <f aca="false">BC258</f>
        <v/>
      </c>
      <c r="DU258" s="28" t="str">
        <f aca="false">BG258</f>
        <v/>
      </c>
      <c r="DV258" s="28" t="str">
        <f aca="false">BK258</f>
        <v/>
      </c>
      <c r="DW258" s="28" t="str">
        <f aca="false">BO258</f>
        <v/>
      </c>
      <c r="DX258" s="28" t="str">
        <f aca="false">BS258</f>
        <v/>
      </c>
      <c r="DY258" s="28" t="n">
        <f aca="false">IF(ISNUMBER(S258),1,"")</f>
        <v>1</v>
      </c>
      <c r="DZ258" s="28" t="str">
        <f aca="false">IF(ISNUMBER(W258),2,"")</f>
        <v/>
      </c>
      <c r="EA258" s="28" t="str">
        <f aca="false">IF(ISNUMBER(AA258),3,"")</f>
        <v/>
      </c>
      <c r="EB258" s="28" t="str">
        <f aca="false">IF(ISNUMBER(AE258),4,"")</f>
        <v/>
      </c>
      <c r="EC258" s="28" t="str">
        <f aca="false">IF(ISNUMBER(AI258),5,"")</f>
        <v/>
      </c>
      <c r="ED258" s="28" t="str">
        <f aca="false">IF(ISNUMBER(AM258),6,"")</f>
        <v/>
      </c>
      <c r="EE258" s="28" t="str">
        <f aca="false">IF(ISNUMBER(AQ258),7,"")</f>
        <v/>
      </c>
      <c r="EF258" s="28" t="str">
        <f aca="false">IF(ISNUMBER(AU258),8,"")</f>
        <v/>
      </c>
      <c r="EG258" s="28" t="str">
        <f aca="false">IF(ISNUMBER(AY258),9,"")</f>
        <v/>
      </c>
      <c r="EH258" s="28" t="str">
        <f aca="false">IF(ISNUMBER(BC258),10,"")</f>
        <v/>
      </c>
      <c r="EI258" s="28" t="str">
        <f aca="false">IF(ISNUMBER(BG258),11,"")</f>
        <v/>
      </c>
      <c r="EJ258" s="28" t="str">
        <f aca="false">IF(ISNUMBER(BK258),12,"")</f>
        <v/>
      </c>
      <c r="EK258" s="28" t="str">
        <f aca="false">IF(ISNUMBER(BO258),13,"")</f>
        <v/>
      </c>
      <c r="EL258" s="28" t="str">
        <f aca="false">IF(ISNUMBER(BS258),14,"")</f>
        <v/>
      </c>
      <c r="EM258" s="28" t="n">
        <f aca="false">IF(ISNUMBER(R258),R258*CW258,0)</f>
        <v>88</v>
      </c>
      <c r="EN258" s="28" t="n">
        <f aca="false">IF(ISNUMBER(V258),V258*CX258,0)</f>
        <v>0</v>
      </c>
      <c r="EO258" s="28" t="n">
        <f aca="false">IF(ISNUMBER(Z258),Z258*CY258,0)</f>
        <v>0</v>
      </c>
      <c r="EP258" s="28" t="n">
        <f aca="false">IF(ISNUMBER(AD258),AD258*CZ258,0)</f>
        <v>0</v>
      </c>
      <c r="EQ258" s="28" t="n">
        <f aca="false">IF(ISNUMBER(AH258),AH258*DA258,0)</f>
        <v>0</v>
      </c>
      <c r="ER258" s="28" t="n">
        <f aca="false">IF(ISNUMBER(AL258),AL258*DB258,0)</f>
        <v>0</v>
      </c>
      <c r="ES258" s="28" t="n">
        <f aca="false">IF(ISNUMBER(AP258),AP258*DC258,0)</f>
        <v>0</v>
      </c>
      <c r="ET258" s="28" t="n">
        <f aca="false">IF(ISNUMBER(AT258),AT258*DD258,0)</f>
        <v>0</v>
      </c>
      <c r="EU258" s="28" t="n">
        <f aca="false">IF(ISNUMBER(AX258),AX258*DE258,0)</f>
        <v>0</v>
      </c>
      <c r="EV258" s="28" t="n">
        <f aca="false">IF(ISNUMBER(BB258),BB258*DF258,0)</f>
        <v>0</v>
      </c>
      <c r="EW258" s="28" t="n">
        <f aca="false">IF(ISNUMBER(BF258),BF258*DG258,0)</f>
        <v>0</v>
      </c>
      <c r="EX258" s="28" t="n">
        <f aca="false">IF(ISNUMBER(BJ258),BJ258*DH258,0)</f>
        <v>0</v>
      </c>
      <c r="EY258" s="28" t="n">
        <f aca="false">IF(ISNUMBER(BN258),BN258*DI258,0)</f>
        <v>0</v>
      </c>
      <c r="EZ258" s="28" t="n">
        <f aca="false">IF(ISNUMBER(BR258),BR258*DJ258,0)</f>
        <v>0</v>
      </c>
      <c r="FA258" s="28" t="n">
        <f aca="false">IF(ISNUMBER(R258),CW258,0)</f>
        <v>1</v>
      </c>
      <c r="FB258" s="28" t="n">
        <f aca="false">IF(ISNUMBER(V258),CX258,0)</f>
        <v>0</v>
      </c>
      <c r="FC258" s="28" t="n">
        <f aca="false">IF(ISNUMBER(Z258),CY258,0)</f>
        <v>0</v>
      </c>
      <c r="FD258" s="28" t="n">
        <f aca="false">IF(ISNUMBER(AD258),CZ258,0)</f>
        <v>0</v>
      </c>
      <c r="FE258" s="28" t="n">
        <f aca="false">IF(ISNUMBER(AH258),DA258,0)</f>
        <v>0</v>
      </c>
      <c r="FF258" s="28" t="n">
        <f aca="false">IF(ISNUMBER(AL258),DB258,0)</f>
        <v>0</v>
      </c>
      <c r="FG258" s="28" t="n">
        <f aca="false">IF(ISNUMBER(AP258),DC258,0)</f>
        <v>0</v>
      </c>
      <c r="FH258" s="28" t="n">
        <f aca="false">IF(ISNUMBER(AT258),DD258,0)</f>
        <v>0</v>
      </c>
      <c r="FI258" s="28" t="n">
        <f aca="false">IF(ISNUMBER(AX258),DE258,0)</f>
        <v>0</v>
      </c>
      <c r="FJ258" s="28" t="n">
        <f aca="false">IF(ISNUMBER(BB258),DF258,0)</f>
        <v>0</v>
      </c>
      <c r="FK258" s="28" t="n">
        <f aca="false">IF(ISNUMBER(BF258),DG258,0)</f>
        <v>0</v>
      </c>
      <c r="FL258" s="28" t="n">
        <f aca="false">IF(ISNUMBER(BJ258),DH258,0)</f>
        <v>0</v>
      </c>
      <c r="FM258" s="28" t="n">
        <f aca="false">IF(ISNUMBER(BN258),DI258,0)</f>
        <v>0</v>
      </c>
      <c r="FN258" s="28" t="n">
        <f aca="false">IF(ISNUMBER(BR258),DJ258,0)</f>
        <v>0</v>
      </c>
      <c r="FO258" s="28" t="str">
        <f aca="false">IFERROR(INDEX(Lists!$G$2:$G$20,MATCH($I258&amp;"|"&amp;$J258,Lists!$F$2:$F$20,0)),"")</f>
        <v>Econ Exam</v>
      </c>
    </row>
    <row r="259" customFormat="false" ht="19.5" hidden="false" customHeight="true" outlineLevel="0" collapsed="false">
      <c r="A259" s="29" t="s">
        <v>436</v>
      </c>
      <c r="B259" s="29" t="s">
        <v>437</v>
      </c>
      <c r="C259" s="30" t="s">
        <v>192</v>
      </c>
      <c r="D259" s="30" t="s">
        <v>246</v>
      </c>
      <c r="E259" s="31"/>
      <c r="F259" s="30"/>
      <c r="G259" s="30"/>
      <c r="H259" s="32" t="s">
        <v>428</v>
      </c>
      <c r="I259" s="33" t="s">
        <v>229</v>
      </c>
      <c r="J259" s="32" t="s">
        <v>25</v>
      </c>
      <c r="K259" s="34" t="str">
        <f aca="false">IF(OR(M259="",$E259=""),"",M259-$E259)</f>
        <v/>
      </c>
      <c r="L259" s="35" t="n">
        <f aca="false">IF(SUM(FA259:FN259)=0,"",SUM(EM259:EZ259)/SUM(FA259:FN259))</f>
        <v>96</v>
      </c>
      <c r="M259" s="36" t="n">
        <f aca="false">IF(OR(L259="",FO259=""),"",IFERROR(MATCH(L259,INDEX(Boundaries!$B$2:$I$30,MATCH(FO259,Boundaries!$A$2:$A$30,0),0),1)-1,""))</f>
        <v>7</v>
      </c>
      <c r="N259" s="37" t="str">
        <f aca="false">IF(COUNT($DY259:$EL259)&lt;2,"",INDEX($DK259:$DX259,MAX($DY259:$EL259))-INDEX($DK259:$DX259,MIN($DY259:$EL259)))</f>
        <v/>
      </c>
      <c r="O259" s="37" t="str">
        <f aca="false">IF(COUNT($DY259:$EL259)&lt;2,"",INDEX($DK259:$DX259,MAX($DY259:$EL259))-INDEX($DK259:$DX259,LARGE($DY259:$EL259,2)))</f>
        <v/>
      </c>
      <c r="P259" s="38" t="str">
        <f aca="false">IF(K259="","",IF(K259&gt;=0,"On/above target",IF(AND(N259&lt;&gt;"",N259&gt;=0.5),"Improving towards target",IF(AND(O259&lt;&gt;"",O259&lt;=-0.5),"Declining","Stable below target"))))</f>
        <v/>
      </c>
      <c r="Q259" s="39" t="n">
        <v>24</v>
      </c>
      <c r="R259" s="40" t="n">
        <f aca="false">IF(OR(Q259="",BU259=""),"",Q259/BU259*100)</f>
        <v>96</v>
      </c>
      <c r="S259" s="41" t="n">
        <f aca="false">IF(R259="","",IFERROR(MATCH(R259,INDEX(Boundaries!$B$2:$I$30,MATCH(CI259,Boundaries!$A$2:$A$30,0),0),1)-1,""))</f>
        <v>7</v>
      </c>
      <c r="T259" s="42" t="str">
        <f aca="false">IF(OR(S259="",$E259=""),"",S259-$E259)</f>
        <v/>
      </c>
      <c r="U259" s="39"/>
      <c r="V259" s="40" t="str">
        <f aca="false">IF(OR(U259="",BV259=""),"",U259/BV259*100)</f>
        <v/>
      </c>
      <c r="W259" s="41" t="str">
        <f aca="false">IF(V259="","",IFERROR(MATCH(V259,INDEX(Boundaries!$B$2:$I$30,MATCH(CJ259,Boundaries!$A$2:$A$30,0),0),1)-1,""))</f>
        <v/>
      </c>
      <c r="X259" s="42" t="str">
        <f aca="false">IF(OR(W259="",$E259=""),"",W259-$E259)</f>
        <v/>
      </c>
      <c r="Y259" s="39"/>
      <c r="Z259" s="40" t="str">
        <f aca="false">IF(OR(Y259="",BW259=""),"",Y259/BW259*100)</f>
        <v/>
      </c>
      <c r="AA259" s="41" t="str">
        <f aca="false">IF(Z259="","",IFERROR(MATCH(Z259,INDEX(Boundaries!$B$2:$I$30,MATCH(CK259,Boundaries!$A$2:$A$30,0),0),1)-1,""))</f>
        <v/>
      </c>
      <c r="AB259" s="42" t="str">
        <f aca="false">IF(OR(AA259="",$E259=""),"",AA259-$E259)</f>
        <v/>
      </c>
      <c r="AC259" s="39"/>
      <c r="AD259" s="40" t="str">
        <f aca="false">IF(OR(AC259="",BX259=""),"",AC259/BX259*100)</f>
        <v/>
      </c>
      <c r="AE259" s="41" t="str">
        <f aca="false">IF(AD259="","",IFERROR(MATCH(AD259,INDEX(Boundaries!$B$2:$I$30,MATCH(CL259,Boundaries!$A$2:$A$30,0),0),1)-1,""))</f>
        <v/>
      </c>
      <c r="AF259" s="42" t="str">
        <f aca="false">IF(OR(AE259="",$E259=""),"",AE259-$E259)</f>
        <v/>
      </c>
      <c r="AG259" s="39"/>
      <c r="AH259" s="40" t="str">
        <f aca="false">IF(OR(AG259="",BY259=""),"",AG259/BY259*100)</f>
        <v/>
      </c>
      <c r="AI259" s="41" t="str">
        <f aca="false">IF(AH259="","",IFERROR(MATCH(AH259,INDEX(Boundaries!$B$2:$I$30,MATCH(CM259,Boundaries!$A$2:$A$30,0),0),1)-1,""))</f>
        <v/>
      </c>
      <c r="AJ259" s="42" t="str">
        <f aca="false">IF(OR(AI259="",$E259=""),"",AI259-$E259)</f>
        <v/>
      </c>
      <c r="AK259" s="39"/>
      <c r="AL259" s="40" t="str">
        <f aca="false">IF(OR(AK259="",BZ259=""),"",AK259/BZ259*100)</f>
        <v/>
      </c>
      <c r="AM259" s="41" t="str">
        <f aca="false">IF(AL259="","",IFERROR(MATCH(AL259,INDEX(Boundaries!$B$2:$I$30,MATCH(CN259,Boundaries!$A$2:$A$30,0),0),1)-1,""))</f>
        <v/>
      </c>
      <c r="AN259" s="42" t="str">
        <f aca="false">IF(OR(AM259="",$E259=""),"",AM259-$E259)</f>
        <v/>
      </c>
      <c r="AO259" s="39"/>
      <c r="AP259" s="40" t="str">
        <f aca="false">IF(OR(AO259="",CA259=""),"",AO259/CA259*100)</f>
        <v/>
      </c>
      <c r="AQ259" s="41" t="str">
        <f aca="false">IF(AP259="","",IFERROR(MATCH(AP259,INDEX(Boundaries!$B$2:$I$30,MATCH(CO259,Boundaries!$A$2:$A$30,0),0),1)-1,""))</f>
        <v/>
      </c>
      <c r="AR259" s="42" t="str">
        <f aca="false">IF(OR(AQ259="",$E259=""),"",AQ259-$E259)</f>
        <v/>
      </c>
      <c r="AS259" s="39"/>
      <c r="AT259" s="40" t="str">
        <f aca="false">IF(OR(AS259="",CB259=""),"",AS259/CB259*100)</f>
        <v/>
      </c>
      <c r="AU259" s="41" t="str">
        <f aca="false">IF(AT259="","",IFERROR(MATCH(AT259,INDEX(Boundaries!$B$2:$I$30,MATCH(CP259,Boundaries!$A$2:$A$30,0),0),1)-1,""))</f>
        <v/>
      </c>
      <c r="AV259" s="42" t="str">
        <f aca="false">IF(OR(AU259="",$E259=""),"",AU259-$E259)</f>
        <v/>
      </c>
      <c r="AW259" s="39"/>
      <c r="AX259" s="40" t="str">
        <f aca="false">IF(OR(AW259="",CC259=""),"",AW259/CC259*100)</f>
        <v/>
      </c>
      <c r="AY259" s="41" t="str">
        <f aca="false">IF(AX259="","",IFERROR(MATCH(AX259,INDEX(Boundaries!$B$2:$I$30,MATCH(CQ259,Boundaries!$A$2:$A$30,0),0),1)-1,""))</f>
        <v/>
      </c>
      <c r="AZ259" s="42" t="str">
        <f aca="false">IF(OR(AY259="",$E259=""),"",AY259-$E259)</f>
        <v/>
      </c>
      <c r="BA259" s="39"/>
      <c r="BB259" s="40" t="str">
        <f aca="false">IF(OR(BA259="",CD259=""),"",BA259/CD259*100)</f>
        <v/>
      </c>
      <c r="BC259" s="41" t="str">
        <f aca="false">IF(BB259="","",IFERROR(MATCH(BB259,INDEX(Boundaries!$B$2:$I$30,MATCH(CR259,Boundaries!$A$2:$A$30,0),0),1)-1,""))</f>
        <v/>
      </c>
      <c r="BD259" s="42" t="str">
        <f aca="false">IF(OR(BC259="",$E259=""),"",BC259-$E259)</f>
        <v/>
      </c>
      <c r="BE259" s="39"/>
      <c r="BF259" s="40" t="str">
        <f aca="false">IF(OR(BE259="",CE259=""),"",BE259/CE259*100)</f>
        <v/>
      </c>
      <c r="BG259" s="41" t="str">
        <f aca="false">IF(BF259="","",IFERROR(MATCH(BF259,INDEX(Boundaries!$B$2:$I$30,MATCH(CS259,Boundaries!$A$2:$A$30,0),0),1)-1,""))</f>
        <v/>
      </c>
      <c r="BH259" s="42" t="str">
        <f aca="false">IF(OR(BG259="",$E259=""),"",BG259-$E259)</f>
        <v/>
      </c>
      <c r="BI259" s="39"/>
      <c r="BJ259" s="40" t="str">
        <f aca="false">IF(OR(BI259="",CF259=""),"",BI259/CF259*100)</f>
        <v/>
      </c>
      <c r="BK259" s="41" t="str">
        <f aca="false">IF(BJ259="","",IFERROR(MATCH(BJ259,INDEX(Boundaries!$B$2:$I$30,MATCH(CT259,Boundaries!$A$2:$A$30,0),0),1)-1,""))</f>
        <v/>
      </c>
      <c r="BL259" s="42" t="str">
        <f aca="false">IF(OR(BK259="",$E259=""),"",BK259-$E259)</f>
        <v/>
      </c>
      <c r="BM259" s="39"/>
      <c r="BN259" s="40" t="str">
        <f aca="false">IF(OR(BM259="",CG259=""),"",BM259/CG259*100)</f>
        <v/>
      </c>
      <c r="BO259" s="41" t="str">
        <f aca="false">IF(BN259="","",IFERROR(MATCH(BN259,INDEX(Boundaries!$B$2:$I$30,MATCH(CU259,Boundaries!$A$2:$A$30,0),0),1)-1,""))</f>
        <v/>
      </c>
      <c r="BP259" s="42" t="str">
        <f aca="false">IF(OR(BO259="",$E259=""),"",BO259-$E259)</f>
        <v/>
      </c>
      <c r="BQ259" s="39"/>
      <c r="BR259" s="40" t="str">
        <f aca="false">IF(OR(BQ259="",CH259=""),"",BQ259/CH259*100)</f>
        <v/>
      </c>
      <c r="BS259" s="41" t="str">
        <f aca="false">IF(BR259="","",IFERROR(MATCH(BR259,INDEX(Boundaries!$B$2:$I$30,MATCH(CV259,Boundaries!$A$2:$A$30,0),0),1)-1,""))</f>
        <v/>
      </c>
      <c r="BT259" s="42" t="str">
        <f aca="false">IF(OR(BS259="",$E259=""),"",BS259-$E259)</f>
        <v/>
      </c>
      <c r="BU259" s="28" t="n">
        <f aca="false">IFERROR(INDEX(Assessments!$H$2:$H$600,MATCH($H259&amp;"|"&amp;$I259&amp;"|"&amp;$J259&amp;"|"&amp;1,Assessments!$A$2:$A$600,0)),"")</f>
        <v>25</v>
      </c>
      <c r="BV259" s="28" t="n">
        <f aca="false">IFERROR(INDEX(Assessments!$H$2:$H$600,MATCH($H259&amp;"|"&amp;$I259&amp;"|"&amp;$J259&amp;"|"&amp;2,Assessments!$A$2:$A$600,0)),"")</f>
        <v>24</v>
      </c>
      <c r="BW259" s="28" t="n">
        <f aca="false">IFERROR(INDEX(Assessments!$H$2:$H$600,MATCH($H259&amp;"|"&amp;$I259&amp;"|"&amp;$J259&amp;"|"&amp;3,Assessments!$A$2:$A$600,0)),"")</f>
        <v>25</v>
      </c>
      <c r="BX259" s="28" t="n">
        <f aca="false">IFERROR(INDEX(Assessments!$H$2:$H$600,MATCH($H259&amp;"|"&amp;$I259&amp;"|"&amp;$J259&amp;"|"&amp;4,Assessments!$A$2:$A$600,0)),"")</f>
        <v>35</v>
      </c>
      <c r="BY259" s="28" t="n">
        <f aca="false">IFERROR(INDEX(Assessments!$H$2:$H$600,MATCH($H259&amp;"|"&amp;$I259&amp;"|"&amp;$J259&amp;"|"&amp;5,Assessments!$A$2:$A$600,0)),"")</f>
        <v>55</v>
      </c>
      <c r="BZ259" s="28" t="n">
        <f aca="false">IFERROR(INDEX(Assessments!$H$2:$H$600,MATCH($H259&amp;"|"&amp;$I259&amp;"|"&amp;$J259&amp;"|"&amp;6,Assessments!$A$2:$A$600,0)),"")</f>
        <v>28</v>
      </c>
      <c r="CA259" s="28" t="n">
        <f aca="false">IFERROR(INDEX(Assessments!$H$2:$H$600,MATCH($H259&amp;"|"&amp;$I259&amp;"|"&amp;$J259&amp;"|"&amp;7,Assessments!$A$2:$A$600,0)),"")</f>
        <v>95</v>
      </c>
      <c r="CB259" s="28" t="str">
        <f aca="false">IFERROR(INDEX(Assessments!$H$2:$H$600,MATCH($H259&amp;"|"&amp;$I259&amp;"|"&amp;$J259&amp;"|"&amp;8,Assessments!$A$2:$A$600,0)),"")</f>
        <v/>
      </c>
      <c r="CC259" s="28" t="str">
        <f aca="false">IFERROR(INDEX(Assessments!$H$2:$H$600,MATCH($H259&amp;"|"&amp;$I259&amp;"|"&amp;$J259&amp;"|"&amp;9,Assessments!$A$2:$A$600,0)),"")</f>
        <v/>
      </c>
      <c r="CD259" s="28" t="str">
        <f aca="false">IFERROR(INDEX(Assessments!$H$2:$H$600,MATCH($H259&amp;"|"&amp;$I259&amp;"|"&amp;$J259&amp;"|"&amp;10,Assessments!$A$2:$A$600,0)),"")</f>
        <v/>
      </c>
      <c r="CE259" s="28" t="str">
        <f aca="false">IFERROR(INDEX(Assessments!$H$2:$H$600,MATCH($H259&amp;"|"&amp;$I259&amp;"|"&amp;$J259&amp;"|"&amp;11,Assessments!$A$2:$A$600,0)),"")</f>
        <v/>
      </c>
      <c r="CF259" s="28" t="str">
        <f aca="false">IFERROR(INDEX(Assessments!$H$2:$H$600,MATCH($H259&amp;"|"&amp;$I259&amp;"|"&amp;$J259&amp;"|"&amp;12,Assessments!$A$2:$A$600,0)),"")</f>
        <v/>
      </c>
      <c r="CG259" s="28" t="str">
        <f aca="false">IFERROR(INDEX(Assessments!$H$2:$H$600,MATCH($H259&amp;"|"&amp;$I259&amp;"|"&amp;$J259&amp;"|"&amp;13,Assessments!$A$2:$A$600,0)),"")</f>
        <v/>
      </c>
      <c r="CH259" s="28" t="str">
        <f aca="false">IFERROR(INDEX(Assessments!$H$2:$H$600,MATCH($H259&amp;"|"&amp;$I259&amp;"|"&amp;$J259&amp;"|"&amp;14,Assessments!$A$2:$A$600,0)),"")</f>
        <v/>
      </c>
      <c r="CI259" s="28" t="str">
        <f aca="false">IFERROR(INDEX(Assessments!$I$2:$I$600,MATCH($H259&amp;"|"&amp;$I259&amp;"|"&amp;$J259&amp;"|"&amp;1,Assessments!$A$2:$A$600,0)),"")</f>
        <v>Econ Test</v>
      </c>
      <c r="CJ259" s="28" t="str">
        <f aca="false">IFERROR(INDEX(Assessments!$I$2:$I$600,MATCH($H259&amp;"|"&amp;$I259&amp;"|"&amp;$J259&amp;"|"&amp;2,Assessments!$A$2:$A$600,0)),"")</f>
        <v>Econ Test</v>
      </c>
      <c r="CK259" s="28" t="str">
        <f aca="false">IFERROR(INDEX(Assessments!$I$2:$I$600,MATCH($H259&amp;"|"&amp;$I259&amp;"|"&amp;$J259&amp;"|"&amp;3,Assessments!$A$2:$A$600,0)),"")</f>
        <v>Econ Test</v>
      </c>
      <c r="CL259" s="28" t="str">
        <f aca="false">IFERROR(INDEX(Assessments!$I$2:$I$600,MATCH($H259&amp;"|"&amp;$I259&amp;"|"&amp;$J259&amp;"|"&amp;4,Assessments!$A$2:$A$600,0)),"")</f>
        <v>Econ Test</v>
      </c>
      <c r="CM259" s="28" t="str">
        <f aca="false">IFERROR(INDEX(Assessments!$I$2:$I$600,MATCH($H259&amp;"|"&amp;$I259&amp;"|"&amp;$J259&amp;"|"&amp;5,Assessments!$A$2:$A$600,0)),"")</f>
        <v>Econ Exam</v>
      </c>
      <c r="CN259" s="28" t="str">
        <f aca="false">IFERROR(INDEX(Assessments!$I$2:$I$600,MATCH($H259&amp;"|"&amp;$I259&amp;"|"&amp;$J259&amp;"|"&amp;6,Assessments!$A$2:$A$600,0)),"")</f>
        <v>Econ Test</v>
      </c>
      <c r="CO259" s="28" t="str">
        <f aca="false">IFERROR(INDEX(Assessments!$I$2:$I$600,MATCH($H259&amp;"|"&amp;$I259&amp;"|"&amp;$J259&amp;"|"&amp;7,Assessments!$A$2:$A$600,0)),"")</f>
        <v>Econ Exam</v>
      </c>
      <c r="CP259" s="28" t="str">
        <f aca="false">IFERROR(INDEX(Assessments!$I$2:$I$600,MATCH($H259&amp;"|"&amp;$I259&amp;"|"&amp;$J259&amp;"|"&amp;8,Assessments!$A$2:$A$600,0)),"")</f>
        <v/>
      </c>
      <c r="CQ259" s="28" t="str">
        <f aca="false">IFERROR(INDEX(Assessments!$I$2:$I$600,MATCH($H259&amp;"|"&amp;$I259&amp;"|"&amp;$J259&amp;"|"&amp;9,Assessments!$A$2:$A$600,0)),"")</f>
        <v/>
      </c>
      <c r="CR259" s="28" t="str">
        <f aca="false">IFERROR(INDEX(Assessments!$I$2:$I$600,MATCH($H259&amp;"|"&amp;$I259&amp;"|"&amp;$J259&amp;"|"&amp;10,Assessments!$A$2:$A$600,0)),"")</f>
        <v/>
      </c>
      <c r="CS259" s="28" t="str">
        <f aca="false">IFERROR(INDEX(Assessments!$I$2:$I$600,MATCH($H259&amp;"|"&amp;$I259&amp;"|"&amp;$J259&amp;"|"&amp;11,Assessments!$A$2:$A$600,0)),"")</f>
        <v/>
      </c>
      <c r="CT259" s="28" t="str">
        <f aca="false">IFERROR(INDEX(Assessments!$I$2:$I$600,MATCH($H259&amp;"|"&amp;$I259&amp;"|"&amp;$J259&amp;"|"&amp;12,Assessments!$A$2:$A$600,0)),"")</f>
        <v/>
      </c>
      <c r="CU259" s="28" t="str">
        <f aca="false">IFERROR(INDEX(Assessments!$I$2:$I$600,MATCH($H259&amp;"|"&amp;$I259&amp;"|"&amp;$J259&amp;"|"&amp;13,Assessments!$A$2:$A$600,0)),"")</f>
        <v/>
      </c>
      <c r="CV259" s="28" t="str">
        <f aca="false">IFERROR(INDEX(Assessments!$I$2:$I$600,MATCH($H259&amp;"|"&amp;$I259&amp;"|"&amp;$J259&amp;"|"&amp;14,Assessments!$A$2:$A$600,0)),"")</f>
        <v/>
      </c>
      <c r="CW259" s="28" t="n">
        <f aca="false">IFERROR(INDEX(Assessments!$J$2:$J$600,MATCH($H259&amp;"|"&amp;$I259&amp;"|"&amp;$J259&amp;"|"&amp;1,Assessments!$A$2:$A$600,0)),0)</f>
        <v>1</v>
      </c>
      <c r="CX259" s="28" t="n">
        <f aca="false">IFERROR(INDEX(Assessments!$J$2:$J$600,MATCH($H259&amp;"|"&amp;$I259&amp;"|"&amp;$J259&amp;"|"&amp;2,Assessments!$A$2:$A$600,0)),0)</f>
        <v>1</v>
      </c>
      <c r="CY259" s="28" t="n">
        <f aca="false">IFERROR(INDEX(Assessments!$J$2:$J$600,MATCH($H259&amp;"|"&amp;$I259&amp;"|"&amp;$J259&amp;"|"&amp;3,Assessments!$A$2:$A$600,0)),0)</f>
        <v>1</v>
      </c>
      <c r="CZ259" s="28" t="n">
        <f aca="false">IFERROR(INDEX(Assessments!$J$2:$J$600,MATCH($H259&amp;"|"&amp;$I259&amp;"|"&amp;$J259&amp;"|"&amp;4,Assessments!$A$2:$A$600,0)),0)</f>
        <v>1</v>
      </c>
      <c r="DA259" s="28" t="n">
        <f aca="false">IFERROR(INDEX(Assessments!$J$2:$J$600,MATCH($H259&amp;"|"&amp;$I259&amp;"|"&amp;$J259&amp;"|"&amp;5,Assessments!$A$2:$A$600,0)),0)</f>
        <v>2</v>
      </c>
      <c r="DB259" s="28" t="n">
        <f aca="false">IFERROR(INDEX(Assessments!$J$2:$J$600,MATCH($H259&amp;"|"&amp;$I259&amp;"|"&amp;$J259&amp;"|"&amp;6,Assessments!$A$2:$A$600,0)),0)</f>
        <v>1</v>
      </c>
      <c r="DC259" s="28" t="n">
        <f aca="false">IFERROR(INDEX(Assessments!$J$2:$J$600,MATCH($H259&amp;"|"&amp;$I259&amp;"|"&amp;$J259&amp;"|"&amp;7,Assessments!$A$2:$A$600,0)),0)</f>
        <v>2</v>
      </c>
      <c r="DD259" s="28" t="n">
        <f aca="false">IFERROR(INDEX(Assessments!$J$2:$J$600,MATCH($H259&amp;"|"&amp;$I259&amp;"|"&amp;$J259&amp;"|"&amp;8,Assessments!$A$2:$A$600,0)),0)</f>
        <v>0</v>
      </c>
      <c r="DE259" s="28" t="n">
        <f aca="false">IFERROR(INDEX(Assessments!$J$2:$J$600,MATCH($H259&amp;"|"&amp;$I259&amp;"|"&amp;$J259&amp;"|"&amp;9,Assessments!$A$2:$A$600,0)),0)</f>
        <v>0</v>
      </c>
      <c r="DF259" s="28" t="n">
        <f aca="false">IFERROR(INDEX(Assessments!$J$2:$J$600,MATCH($H259&amp;"|"&amp;$I259&amp;"|"&amp;$J259&amp;"|"&amp;10,Assessments!$A$2:$A$600,0)),0)</f>
        <v>0</v>
      </c>
      <c r="DG259" s="28" t="n">
        <f aca="false">IFERROR(INDEX(Assessments!$J$2:$J$600,MATCH($H259&amp;"|"&amp;$I259&amp;"|"&amp;$J259&amp;"|"&amp;11,Assessments!$A$2:$A$600,0)),0)</f>
        <v>0</v>
      </c>
      <c r="DH259" s="28" t="n">
        <f aca="false">IFERROR(INDEX(Assessments!$J$2:$J$600,MATCH($H259&amp;"|"&amp;$I259&amp;"|"&amp;$J259&amp;"|"&amp;12,Assessments!$A$2:$A$600,0)),0)</f>
        <v>0</v>
      </c>
      <c r="DI259" s="28" t="n">
        <f aca="false">IFERROR(INDEX(Assessments!$J$2:$J$600,MATCH($H259&amp;"|"&amp;$I259&amp;"|"&amp;$J259&amp;"|"&amp;13,Assessments!$A$2:$A$600,0)),0)</f>
        <v>0</v>
      </c>
      <c r="DJ259" s="28" t="n">
        <f aca="false">IFERROR(INDEX(Assessments!$J$2:$J$600,MATCH($H259&amp;"|"&amp;$I259&amp;"|"&amp;$J259&amp;"|"&amp;14,Assessments!$A$2:$A$600,0)),0)</f>
        <v>0</v>
      </c>
      <c r="DK259" s="28" t="n">
        <f aca="false">S259</f>
        <v>7</v>
      </c>
      <c r="DL259" s="28" t="str">
        <f aca="false">W259</f>
        <v/>
      </c>
      <c r="DM259" s="28" t="str">
        <f aca="false">AA259</f>
        <v/>
      </c>
      <c r="DN259" s="28" t="str">
        <f aca="false">AE259</f>
        <v/>
      </c>
      <c r="DO259" s="28" t="str">
        <f aca="false">AI259</f>
        <v/>
      </c>
      <c r="DP259" s="28" t="str">
        <f aca="false">AM259</f>
        <v/>
      </c>
      <c r="DQ259" s="28" t="str">
        <f aca="false">AQ259</f>
        <v/>
      </c>
      <c r="DR259" s="28" t="str">
        <f aca="false">AU259</f>
        <v/>
      </c>
      <c r="DS259" s="28" t="str">
        <f aca="false">AY259</f>
        <v/>
      </c>
      <c r="DT259" s="28" t="str">
        <f aca="false">BC259</f>
        <v/>
      </c>
      <c r="DU259" s="28" t="str">
        <f aca="false">BG259</f>
        <v/>
      </c>
      <c r="DV259" s="28" t="str">
        <f aca="false">BK259</f>
        <v/>
      </c>
      <c r="DW259" s="28" t="str">
        <f aca="false">BO259</f>
        <v/>
      </c>
      <c r="DX259" s="28" t="str">
        <f aca="false">BS259</f>
        <v/>
      </c>
      <c r="DY259" s="28" t="n">
        <f aca="false">IF(ISNUMBER(S259),1,"")</f>
        <v>1</v>
      </c>
      <c r="DZ259" s="28" t="str">
        <f aca="false">IF(ISNUMBER(W259),2,"")</f>
        <v/>
      </c>
      <c r="EA259" s="28" t="str">
        <f aca="false">IF(ISNUMBER(AA259),3,"")</f>
        <v/>
      </c>
      <c r="EB259" s="28" t="str">
        <f aca="false">IF(ISNUMBER(AE259),4,"")</f>
        <v/>
      </c>
      <c r="EC259" s="28" t="str">
        <f aca="false">IF(ISNUMBER(AI259),5,"")</f>
        <v/>
      </c>
      <c r="ED259" s="28" t="str">
        <f aca="false">IF(ISNUMBER(AM259),6,"")</f>
        <v/>
      </c>
      <c r="EE259" s="28" t="str">
        <f aca="false">IF(ISNUMBER(AQ259),7,"")</f>
        <v/>
      </c>
      <c r="EF259" s="28" t="str">
        <f aca="false">IF(ISNUMBER(AU259),8,"")</f>
        <v/>
      </c>
      <c r="EG259" s="28" t="str">
        <f aca="false">IF(ISNUMBER(AY259),9,"")</f>
        <v/>
      </c>
      <c r="EH259" s="28" t="str">
        <f aca="false">IF(ISNUMBER(BC259),10,"")</f>
        <v/>
      </c>
      <c r="EI259" s="28" t="str">
        <f aca="false">IF(ISNUMBER(BG259),11,"")</f>
        <v/>
      </c>
      <c r="EJ259" s="28" t="str">
        <f aca="false">IF(ISNUMBER(BK259),12,"")</f>
        <v/>
      </c>
      <c r="EK259" s="28" t="str">
        <f aca="false">IF(ISNUMBER(BO259),13,"")</f>
        <v/>
      </c>
      <c r="EL259" s="28" t="str">
        <f aca="false">IF(ISNUMBER(BS259),14,"")</f>
        <v/>
      </c>
      <c r="EM259" s="28" t="n">
        <f aca="false">IF(ISNUMBER(R259),R259*CW259,0)</f>
        <v>96</v>
      </c>
      <c r="EN259" s="28" t="n">
        <f aca="false">IF(ISNUMBER(V259),V259*CX259,0)</f>
        <v>0</v>
      </c>
      <c r="EO259" s="28" t="n">
        <f aca="false">IF(ISNUMBER(Z259),Z259*CY259,0)</f>
        <v>0</v>
      </c>
      <c r="EP259" s="28" t="n">
        <f aca="false">IF(ISNUMBER(AD259),AD259*CZ259,0)</f>
        <v>0</v>
      </c>
      <c r="EQ259" s="28" t="n">
        <f aca="false">IF(ISNUMBER(AH259),AH259*DA259,0)</f>
        <v>0</v>
      </c>
      <c r="ER259" s="28" t="n">
        <f aca="false">IF(ISNUMBER(AL259),AL259*DB259,0)</f>
        <v>0</v>
      </c>
      <c r="ES259" s="28" t="n">
        <f aca="false">IF(ISNUMBER(AP259),AP259*DC259,0)</f>
        <v>0</v>
      </c>
      <c r="ET259" s="28" t="n">
        <f aca="false">IF(ISNUMBER(AT259),AT259*DD259,0)</f>
        <v>0</v>
      </c>
      <c r="EU259" s="28" t="n">
        <f aca="false">IF(ISNUMBER(AX259),AX259*DE259,0)</f>
        <v>0</v>
      </c>
      <c r="EV259" s="28" t="n">
        <f aca="false">IF(ISNUMBER(BB259),BB259*DF259,0)</f>
        <v>0</v>
      </c>
      <c r="EW259" s="28" t="n">
        <f aca="false">IF(ISNUMBER(BF259),BF259*DG259,0)</f>
        <v>0</v>
      </c>
      <c r="EX259" s="28" t="n">
        <f aca="false">IF(ISNUMBER(BJ259),BJ259*DH259,0)</f>
        <v>0</v>
      </c>
      <c r="EY259" s="28" t="n">
        <f aca="false">IF(ISNUMBER(BN259),BN259*DI259,0)</f>
        <v>0</v>
      </c>
      <c r="EZ259" s="28" t="n">
        <f aca="false">IF(ISNUMBER(BR259),BR259*DJ259,0)</f>
        <v>0</v>
      </c>
      <c r="FA259" s="28" t="n">
        <f aca="false">IF(ISNUMBER(R259),CW259,0)</f>
        <v>1</v>
      </c>
      <c r="FB259" s="28" t="n">
        <f aca="false">IF(ISNUMBER(V259),CX259,0)</f>
        <v>0</v>
      </c>
      <c r="FC259" s="28" t="n">
        <f aca="false">IF(ISNUMBER(Z259),CY259,0)</f>
        <v>0</v>
      </c>
      <c r="FD259" s="28" t="n">
        <f aca="false">IF(ISNUMBER(AD259),CZ259,0)</f>
        <v>0</v>
      </c>
      <c r="FE259" s="28" t="n">
        <f aca="false">IF(ISNUMBER(AH259),DA259,0)</f>
        <v>0</v>
      </c>
      <c r="FF259" s="28" t="n">
        <f aca="false">IF(ISNUMBER(AL259),DB259,0)</f>
        <v>0</v>
      </c>
      <c r="FG259" s="28" t="n">
        <f aca="false">IF(ISNUMBER(AP259),DC259,0)</f>
        <v>0</v>
      </c>
      <c r="FH259" s="28" t="n">
        <f aca="false">IF(ISNUMBER(AT259),DD259,0)</f>
        <v>0</v>
      </c>
      <c r="FI259" s="28" t="n">
        <f aca="false">IF(ISNUMBER(AX259),DE259,0)</f>
        <v>0</v>
      </c>
      <c r="FJ259" s="28" t="n">
        <f aca="false">IF(ISNUMBER(BB259),DF259,0)</f>
        <v>0</v>
      </c>
      <c r="FK259" s="28" t="n">
        <f aca="false">IF(ISNUMBER(BF259),DG259,0)</f>
        <v>0</v>
      </c>
      <c r="FL259" s="28" t="n">
        <f aca="false">IF(ISNUMBER(BJ259),DH259,0)</f>
        <v>0</v>
      </c>
      <c r="FM259" s="28" t="n">
        <f aca="false">IF(ISNUMBER(BN259),DI259,0)</f>
        <v>0</v>
      </c>
      <c r="FN259" s="28" t="n">
        <f aca="false">IF(ISNUMBER(BR259),DJ259,0)</f>
        <v>0</v>
      </c>
      <c r="FO259" s="28" t="str">
        <f aca="false">IFERROR(INDEX(Lists!$G$2:$G$20,MATCH($I259&amp;"|"&amp;$J259,Lists!$F$2:$F$20,0)),"")</f>
        <v>Econ Exam</v>
      </c>
    </row>
    <row r="260" customFormat="false" ht="19.5" hidden="false" customHeight="true" outlineLevel="0" collapsed="false">
      <c r="A260" s="29" t="s">
        <v>526</v>
      </c>
      <c r="B260" s="29" t="s">
        <v>527</v>
      </c>
      <c r="C260" s="30" t="s">
        <v>192</v>
      </c>
      <c r="D260" s="30" t="s">
        <v>246</v>
      </c>
      <c r="E260" s="31"/>
      <c r="F260" s="30"/>
      <c r="G260" s="30"/>
      <c r="H260" s="32" t="s">
        <v>428</v>
      </c>
      <c r="I260" s="33" t="s">
        <v>229</v>
      </c>
      <c r="J260" s="32" t="s">
        <v>25</v>
      </c>
      <c r="K260" s="34" t="str">
        <f aca="false">IF(OR(M260="",$E260=""),"",M260-$E260)</f>
        <v/>
      </c>
      <c r="L260" s="35" t="n">
        <f aca="false">IF(SUM(FA260:FN260)=0,"",SUM(EM260:EZ260)/SUM(FA260:FN260))</f>
        <v>84</v>
      </c>
      <c r="M260" s="36" t="n">
        <f aca="false">IF(OR(L260="",FO260=""),"",IFERROR(MATCH(L260,INDEX(Boundaries!$B$2:$I$30,MATCH(FO260,Boundaries!$A$2:$A$30,0),0),1)-1,""))</f>
        <v>7</v>
      </c>
      <c r="N260" s="37" t="str">
        <f aca="false">IF(COUNT($DY260:$EL260)&lt;2,"",INDEX($DK260:$DX260,MAX($DY260:$EL260))-INDEX($DK260:$DX260,MIN($DY260:$EL260)))</f>
        <v/>
      </c>
      <c r="O260" s="37" t="str">
        <f aca="false">IF(COUNT($DY260:$EL260)&lt;2,"",INDEX($DK260:$DX260,MAX($DY260:$EL260))-INDEX($DK260:$DX260,LARGE($DY260:$EL260,2)))</f>
        <v/>
      </c>
      <c r="P260" s="38" t="str">
        <f aca="false">IF(K260="","",IF(K260&gt;=0,"On/above target",IF(AND(N260&lt;&gt;"",N260&gt;=0.5),"Improving towards target",IF(AND(O260&lt;&gt;"",O260&lt;=-0.5),"Declining","Stable below target"))))</f>
        <v/>
      </c>
      <c r="Q260" s="39" t="n">
        <v>21</v>
      </c>
      <c r="R260" s="40" t="n">
        <f aca="false">IF(OR(Q260="",BU260=""),"",Q260/BU260*100)</f>
        <v>84</v>
      </c>
      <c r="S260" s="41" t="n">
        <f aca="false">IF(R260="","",IFERROR(MATCH(R260,INDEX(Boundaries!$B$2:$I$30,MATCH(CI260,Boundaries!$A$2:$A$30,0),0),1)-1,""))</f>
        <v>6</v>
      </c>
      <c r="T260" s="42" t="str">
        <f aca="false">IF(OR(S260="",$E260=""),"",S260-$E260)</f>
        <v/>
      </c>
      <c r="U260" s="39"/>
      <c r="V260" s="40" t="str">
        <f aca="false">IF(OR(U260="",BV260=""),"",U260/BV260*100)</f>
        <v/>
      </c>
      <c r="W260" s="41" t="str">
        <f aca="false">IF(V260="","",IFERROR(MATCH(V260,INDEX(Boundaries!$B$2:$I$30,MATCH(CJ260,Boundaries!$A$2:$A$30,0),0),1)-1,""))</f>
        <v/>
      </c>
      <c r="X260" s="42" t="str">
        <f aca="false">IF(OR(W260="",$E260=""),"",W260-$E260)</f>
        <v/>
      </c>
      <c r="Y260" s="39"/>
      <c r="Z260" s="40" t="str">
        <f aca="false">IF(OR(Y260="",BW260=""),"",Y260/BW260*100)</f>
        <v/>
      </c>
      <c r="AA260" s="41" t="str">
        <f aca="false">IF(Z260="","",IFERROR(MATCH(Z260,INDEX(Boundaries!$B$2:$I$30,MATCH(CK260,Boundaries!$A$2:$A$30,0),0),1)-1,""))</f>
        <v/>
      </c>
      <c r="AB260" s="42" t="str">
        <f aca="false">IF(OR(AA260="",$E260=""),"",AA260-$E260)</f>
        <v/>
      </c>
      <c r="AC260" s="39"/>
      <c r="AD260" s="40" t="str">
        <f aca="false">IF(OR(AC260="",BX260=""),"",AC260/BX260*100)</f>
        <v/>
      </c>
      <c r="AE260" s="41" t="str">
        <f aca="false">IF(AD260="","",IFERROR(MATCH(AD260,INDEX(Boundaries!$B$2:$I$30,MATCH(CL260,Boundaries!$A$2:$A$30,0),0),1)-1,""))</f>
        <v/>
      </c>
      <c r="AF260" s="42" t="str">
        <f aca="false">IF(OR(AE260="",$E260=""),"",AE260-$E260)</f>
        <v/>
      </c>
      <c r="AG260" s="39"/>
      <c r="AH260" s="40" t="str">
        <f aca="false">IF(OR(AG260="",BY260=""),"",AG260/BY260*100)</f>
        <v/>
      </c>
      <c r="AI260" s="41" t="str">
        <f aca="false">IF(AH260="","",IFERROR(MATCH(AH260,INDEX(Boundaries!$B$2:$I$30,MATCH(CM260,Boundaries!$A$2:$A$30,0),0),1)-1,""))</f>
        <v/>
      </c>
      <c r="AJ260" s="42" t="str">
        <f aca="false">IF(OR(AI260="",$E260=""),"",AI260-$E260)</f>
        <v/>
      </c>
      <c r="AK260" s="39"/>
      <c r="AL260" s="40" t="str">
        <f aca="false">IF(OR(AK260="",BZ260=""),"",AK260/BZ260*100)</f>
        <v/>
      </c>
      <c r="AM260" s="41" t="str">
        <f aca="false">IF(AL260="","",IFERROR(MATCH(AL260,INDEX(Boundaries!$B$2:$I$30,MATCH(CN260,Boundaries!$A$2:$A$30,0),0),1)-1,""))</f>
        <v/>
      </c>
      <c r="AN260" s="42" t="str">
        <f aca="false">IF(OR(AM260="",$E260=""),"",AM260-$E260)</f>
        <v/>
      </c>
      <c r="AO260" s="39"/>
      <c r="AP260" s="40" t="str">
        <f aca="false">IF(OR(AO260="",CA260=""),"",AO260/CA260*100)</f>
        <v/>
      </c>
      <c r="AQ260" s="41" t="str">
        <f aca="false">IF(AP260="","",IFERROR(MATCH(AP260,INDEX(Boundaries!$B$2:$I$30,MATCH(CO260,Boundaries!$A$2:$A$30,0),0),1)-1,""))</f>
        <v/>
      </c>
      <c r="AR260" s="42" t="str">
        <f aca="false">IF(OR(AQ260="",$E260=""),"",AQ260-$E260)</f>
        <v/>
      </c>
      <c r="AS260" s="39"/>
      <c r="AT260" s="40" t="str">
        <f aca="false">IF(OR(AS260="",CB260=""),"",AS260/CB260*100)</f>
        <v/>
      </c>
      <c r="AU260" s="41" t="str">
        <f aca="false">IF(AT260="","",IFERROR(MATCH(AT260,INDEX(Boundaries!$B$2:$I$30,MATCH(CP260,Boundaries!$A$2:$A$30,0),0),1)-1,""))</f>
        <v/>
      </c>
      <c r="AV260" s="42" t="str">
        <f aca="false">IF(OR(AU260="",$E260=""),"",AU260-$E260)</f>
        <v/>
      </c>
      <c r="AW260" s="39"/>
      <c r="AX260" s="40" t="str">
        <f aca="false">IF(OR(AW260="",CC260=""),"",AW260/CC260*100)</f>
        <v/>
      </c>
      <c r="AY260" s="41" t="str">
        <f aca="false">IF(AX260="","",IFERROR(MATCH(AX260,INDEX(Boundaries!$B$2:$I$30,MATCH(CQ260,Boundaries!$A$2:$A$30,0),0),1)-1,""))</f>
        <v/>
      </c>
      <c r="AZ260" s="42" t="str">
        <f aca="false">IF(OR(AY260="",$E260=""),"",AY260-$E260)</f>
        <v/>
      </c>
      <c r="BA260" s="39"/>
      <c r="BB260" s="40" t="str">
        <f aca="false">IF(OR(BA260="",CD260=""),"",BA260/CD260*100)</f>
        <v/>
      </c>
      <c r="BC260" s="41" t="str">
        <f aca="false">IF(BB260="","",IFERROR(MATCH(BB260,INDEX(Boundaries!$B$2:$I$30,MATCH(CR260,Boundaries!$A$2:$A$30,0),0),1)-1,""))</f>
        <v/>
      </c>
      <c r="BD260" s="42" t="str">
        <f aca="false">IF(OR(BC260="",$E260=""),"",BC260-$E260)</f>
        <v/>
      </c>
      <c r="BE260" s="39"/>
      <c r="BF260" s="40" t="str">
        <f aca="false">IF(OR(BE260="",CE260=""),"",BE260/CE260*100)</f>
        <v/>
      </c>
      <c r="BG260" s="41" t="str">
        <f aca="false">IF(BF260="","",IFERROR(MATCH(BF260,INDEX(Boundaries!$B$2:$I$30,MATCH(CS260,Boundaries!$A$2:$A$30,0),0),1)-1,""))</f>
        <v/>
      </c>
      <c r="BH260" s="42" t="str">
        <f aca="false">IF(OR(BG260="",$E260=""),"",BG260-$E260)</f>
        <v/>
      </c>
      <c r="BI260" s="39"/>
      <c r="BJ260" s="40" t="str">
        <f aca="false">IF(OR(BI260="",CF260=""),"",BI260/CF260*100)</f>
        <v/>
      </c>
      <c r="BK260" s="41" t="str">
        <f aca="false">IF(BJ260="","",IFERROR(MATCH(BJ260,INDEX(Boundaries!$B$2:$I$30,MATCH(CT260,Boundaries!$A$2:$A$30,0),0),1)-1,""))</f>
        <v/>
      </c>
      <c r="BL260" s="42" t="str">
        <f aca="false">IF(OR(BK260="",$E260=""),"",BK260-$E260)</f>
        <v/>
      </c>
      <c r="BM260" s="39"/>
      <c r="BN260" s="40" t="str">
        <f aca="false">IF(OR(BM260="",CG260=""),"",BM260/CG260*100)</f>
        <v/>
      </c>
      <c r="BO260" s="41" t="str">
        <f aca="false">IF(BN260="","",IFERROR(MATCH(BN260,INDEX(Boundaries!$B$2:$I$30,MATCH(CU260,Boundaries!$A$2:$A$30,0),0),1)-1,""))</f>
        <v/>
      </c>
      <c r="BP260" s="42" t="str">
        <f aca="false">IF(OR(BO260="",$E260=""),"",BO260-$E260)</f>
        <v/>
      </c>
      <c r="BQ260" s="39"/>
      <c r="BR260" s="40" t="str">
        <f aca="false">IF(OR(BQ260="",CH260=""),"",BQ260/CH260*100)</f>
        <v/>
      </c>
      <c r="BS260" s="41" t="str">
        <f aca="false">IF(BR260="","",IFERROR(MATCH(BR260,INDEX(Boundaries!$B$2:$I$30,MATCH(CV260,Boundaries!$A$2:$A$30,0),0),1)-1,""))</f>
        <v/>
      </c>
      <c r="BT260" s="42" t="str">
        <f aca="false">IF(OR(BS260="",$E260=""),"",BS260-$E260)</f>
        <v/>
      </c>
      <c r="BU260" s="28" t="n">
        <f aca="false">IFERROR(INDEX(Assessments!$H$2:$H$600,MATCH($H260&amp;"|"&amp;$I260&amp;"|"&amp;$J260&amp;"|"&amp;1,Assessments!$A$2:$A$600,0)),"")</f>
        <v>25</v>
      </c>
      <c r="BV260" s="28" t="n">
        <f aca="false">IFERROR(INDEX(Assessments!$H$2:$H$600,MATCH($H260&amp;"|"&amp;$I260&amp;"|"&amp;$J260&amp;"|"&amp;2,Assessments!$A$2:$A$600,0)),"")</f>
        <v>24</v>
      </c>
      <c r="BW260" s="28" t="n">
        <f aca="false">IFERROR(INDEX(Assessments!$H$2:$H$600,MATCH($H260&amp;"|"&amp;$I260&amp;"|"&amp;$J260&amp;"|"&amp;3,Assessments!$A$2:$A$600,0)),"")</f>
        <v>25</v>
      </c>
      <c r="BX260" s="28" t="n">
        <f aca="false">IFERROR(INDEX(Assessments!$H$2:$H$600,MATCH($H260&amp;"|"&amp;$I260&amp;"|"&amp;$J260&amp;"|"&amp;4,Assessments!$A$2:$A$600,0)),"")</f>
        <v>35</v>
      </c>
      <c r="BY260" s="28" t="n">
        <f aca="false">IFERROR(INDEX(Assessments!$H$2:$H$600,MATCH($H260&amp;"|"&amp;$I260&amp;"|"&amp;$J260&amp;"|"&amp;5,Assessments!$A$2:$A$600,0)),"")</f>
        <v>55</v>
      </c>
      <c r="BZ260" s="28" t="n">
        <f aca="false">IFERROR(INDEX(Assessments!$H$2:$H$600,MATCH($H260&amp;"|"&amp;$I260&amp;"|"&amp;$J260&amp;"|"&amp;6,Assessments!$A$2:$A$600,0)),"")</f>
        <v>28</v>
      </c>
      <c r="CA260" s="28" t="n">
        <f aca="false">IFERROR(INDEX(Assessments!$H$2:$H$600,MATCH($H260&amp;"|"&amp;$I260&amp;"|"&amp;$J260&amp;"|"&amp;7,Assessments!$A$2:$A$600,0)),"")</f>
        <v>95</v>
      </c>
      <c r="CB260" s="28" t="str">
        <f aca="false">IFERROR(INDEX(Assessments!$H$2:$H$600,MATCH($H260&amp;"|"&amp;$I260&amp;"|"&amp;$J260&amp;"|"&amp;8,Assessments!$A$2:$A$600,0)),"")</f>
        <v/>
      </c>
      <c r="CC260" s="28" t="str">
        <f aca="false">IFERROR(INDEX(Assessments!$H$2:$H$600,MATCH($H260&amp;"|"&amp;$I260&amp;"|"&amp;$J260&amp;"|"&amp;9,Assessments!$A$2:$A$600,0)),"")</f>
        <v/>
      </c>
      <c r="CD260" s="28" t="str">
        <f aca="false">IFERROR(INDEX(Assessments!$H$2:$H$600,MATCH($H260&amp;"|"&amp;$I260&amp;"|"&amp;$J260&amp;"|"&amp;10,Assessments!$A$2:$A$600,0)),"")</f>
        <v/>
      </c>
      <c r="CE260" s="28" t="str">
        <f aca="false">IFERROR(INDEX(Assessments!$H$2:$H$600,MATCH($H260&amp;"|"&amp;$I260&amp;"|"&amp;$J260&amp;"|"&amp;11,Assessments!$A$2:$A$600,0)),"")</f>
        <v/>
      </c>
      <c r="CF260" s="28" t="str">
        <f aca="false">IFERROR(INDEX(Assessments!$H$2:$H$600,MATCH($H260&amp;"|"&amp;$I260&amp;"|"&amp;$J260&amp;"|"&amp;12,Assessments!$A$2:$A$600,0)),"")</f>
        <v/>
      </c>
      <c r="CG260" s="28" t="str">
        <f aca="false">IFERROR(INDEX(Assessments!$H$2:$H$600,MATCH($H260&amp;"|"&amp;$I260&amp;"|"&amp;$J260&amp;"|"&amp;13,Assessments!$A$2:$A$600,0)),"")</f>
        <v/>
      </c>
      <c r="CH260" s="28" t="str">
        <f aca="false">IFERROR(INDEX(Assessments!$H$2:$H$600,MATCH($H260&amp;"|"&amp;$I260&amp;"|"&amp;$J260&amp;"|"&amp;14,Assessments!$A$2:$A$600,0)),"")</f>
        <v/>
      </c>
      <c r="CI260" s="28" t="str">
        <f aca="false">IFERROR(INDEX(Assessments!$I$2:$I$600,MATCH($H260&amp;"|"&amp;$I260&amp;"|"&amp;$J260&amp;"|"&amp;1,Assessments!$A$2:$A$600,0)),"")</f>
        <v>Econ Test</v>
      </c>
      <c r="CJ260" s="28" t="str">
        <f aca="false">IFERROR(INDEX(Assessments!$I$2:$I$600,MATCH($H260&amp;"|"&amp;$I260&amp;"|"&amp;$J260&amp;"|"&amp;2,Assessments!$A$2:$A$600,0)),"")</f>
        <v>Econ Test</v>
      </c>
      <c r="CK260" s="28" t="str">
        <f aca="false">IFERROR(INDEX(Assessments!$I$2:$I$600,MATCH($H260&amp;"|"&amp;$I260&amp;"|"&amp;$J260&amp;"|"&amp;3,Assessments!$A$2:$A$600,0)),"")</f>
        <v>Econ Test</v>
      </c>
      <c r="CL260" s="28" t="str">
        <f aca="false">IFERROR(INDEX(Assessments!$I$2:$I$600,MATCH($H260&amp;"|"&amp;$I260&amp;"|"&amp;$J260&amp;"|"&amp;4,Assessments!$A$2:$A$600,0)),"")</f>
        <v>Econ Test</v>
      </c>
      <c r="CM260" s="28" t="str">
        <f aca="false">IFERROR(INDEX(Assessments!$I$2:$I$600,MATCH($H260&amp;"|"&amp;$I260&amp;"|"&amp;$J260&amp;"|"&amp;5,Assessments!$A$2:$A$600,0)),"")</f>
        <v>Econ Exam</v>
      </c>
      <c r="CN260" s="28" t="str">
        <f aca="false">IFERROR(INDEX(Assessments!$I$2:$I$600,MATCH($H260&amp;"|"&amp;$I260&amp;"|"&amp;$J260&amp;"|"&amp;6,Assessments!$A$2:$A$600,0)),"")</f>
        <v>Econ Test</v>
      </c>
      <c r="CO260" s="28" t="str">
        <f aca="false">IFERROR(INDEX(Assessments!$I$2:$I$600,MATCH($H260&amp;"|"&amp;$I260&amp;"|"&amp;$J260&amp;"|"&amp;7,Assessments!$A$2:$A$600,0)),"")</f>
        <v>Econ Exam</v>
      </c>
      <c r="CP260" s="28" t="str">
        <f aca="false">IFERROR(INDEX(Assessments!$I$2:$I$600,MATCH($H260&amp;"|"&amp;$I260&amp;"|"&amp;$J260&amp;"|"&amp;8,Assessments!$A$2:$A$600,0)),"")</f>
        <v/>
      </c>
      <c r="CQ260" s="28" t="str">
        <f aca="false">IFERROR(INDEX(Assessments!$I$2:$I$600,MATCH($H260&amp;"|"&amp;$I260&amp;"|"&amp;$J260&amp;"|"&amp;9,Assessments!$A$2:$A$600,0)),"")</f>
        <v/>
      </c>
      <c r="CR260" s="28" t="str">
        <f aca="false">IFERROR(INDEX(Assessments!$I$2:$I$600,MATCH($H260&amp;"|"&amp;$I260&amp;"|"&amp;$J260&amp;"|"&amp;10,Assessments!$A$2:$A$600,0)),"")</f>
        <v/>
      </c>
      <c r="CS260" s="28" t="str">
        <f aca="false">IFERROR(INDEX(Assessments!$I$2:$I$600,MATCH($H260&amp;"|"&amp;$I260&amp;"|"&amp;$J260&amp;"|"&amp;11,Assessments!$A$2:$A$600,0)),"")</f>
        <v/>
      </c>
      <c r="CT260" s="28" t="str">
        <f aca="false">IFERROR(INDEX(Assessments!$I$2:$I$600,MATCH($H260&amp;"|"&amp;$I260&amp;"|"&amp;$J260&amp;"|"&amp;12,Assessments!$A$2:$A$600,0)),"")</f>
        <v/>
      </c>
      <c r="CU260" s="28" t="str">
        <f aca="false">IFERROR(INDEX(Assessments!$I$2:$I$600,MATCH($H260&amp;"|"&amp;$I260&amp;"|"&amp;$J260&amp;"|"&amp;13,Assessments!$A$2:$A$600,0)),"")</f>
        <v/>
      </c>
      <c r="CV260" s="28" t="str">
        <f aca="false">IFERROR(INDEX(Assessments!$I$2:$I$600,MATCH($H260&amp;"|"&amp;$I260&amp;"|"&amp;$J260&amp;"|"&amp;14,Assessments!$A$2:$A$600,0)),"")</f>
        <v/>
      </c>
      <c r="CW260" s="28" t="n">
        <f aca="false">IFERROR(INDEX(Assessments!$J$2:$J$600,MATCH($H260&amp;"|"&amp;$I260&amp;"|"&amp;$J260&amp;"|"&amp;1,Assessments!$A$2:$A$600,0)),0)</f>
        <v>1</v>
      </c>
      <c r="CX260" s="28" t="n">
        <f aca="false">IFERROR(INDEX(Assessments!$J$2:$J$600,MATCH($H260&amp;"|"&amp;$I260&amp;"|"&amp;$J260&amp;"|"&amp;2,Assessments!$A$2:$A$600,0)),0)</f>
        <v>1</v>
      </c>
      <c r="CY260" s="28" t="n">
        <f aca="false">IFERROR(INDEX(Assessments!$J$2:$J$600,MATCH($H260&amp;"|"&amp;$I260&amp;"|"&amp;$J260&amp;"|"&amp;3,Assessments!$A$2:$A$600,0)),0)</f>
        <v>1</v>
      </c>
      <c r="CZ260" s="28" t="n">
        <f aca="false">IFERROR(INDEX(Assessments!$J$2:$J$600,MATCH($H260&amp;"|"&amp;$I260&amp;"|"&amp;$J260&amp;"|"&amp;4,Assessments!$A$2:$A$600,0)),0)</f>
        <v>1</v>
      </c>
      <c r="DA260" s="28" t="n">
        <f aca="false">IFERROR(INDEX(Assessments!$J$2:$J$600,MATCH($H260&amp;"|"&amp;$I260&amp;"|"&amp;$J260&amp;"|"&amp;5,Assessments!$A$2:$A$600,0)),0)</f>
        <v>2</v>
      </c>
      <c r="DB260" s="28" t="n">
        <f aca="false">IFERROR(INDEX(Assessments!$J$2:$J$600,MATCH($H260&amp;"|"&amp;$I260&amp;"|"&amp;$J260&amp;"|"&amp;6,Assessments!$A$2:$A$600,0)),0)</f>
        <v>1</v>
      </c>
      <c r="DC260" s="28" t="n">
        <f aca="false">IFERROR(INDEX(Assessments!$J$2:$J$600,MATCH($H260&amp;"|"&amp;$I260&amp;"|"&amp;$J260&amp;"|"&amp;7,Assessments!$A$2:$A$600,0)),0)</f>
        <v>2</v>
      </c>
      <c r="DD260" s="28" t="n">
        <f aca="false">IFERROR(INDEX(Assessments!$J$2:$J$600,MATCH($H260&amp;"|"&amp;$I260&amp;"|"&amp;$J260&amp;"|"&amp;8,Assessments!$A$2:$A$600,0)),0)</f>
        <v>0</v>
      </c>
      <c r="DE260" s="28" t="n">
        <f aca="false">IFERROR(INDEX(Assessments!$J$2:$J$600,MATCH($H260&amp;"|"&amp;$I260&amp;"|"&amp;$J260&amp;"|"&amp;9,Assessments!$A$2:$A$600,0)),0)</f>
        <v>0</v>
      </c>
      <c r="DF260" s="28" t="n">
        <f aca="false">IFERROR(INDEX(Assessments!$J$2:$J$600,MATCH($H260&amp;"|"&amp;$I260&amp;"|"&amp;$J260&amp;"|"&amp;10,Assessments!$A$2:$A$600,0)),0)</f>
        <v>0</v>
      </c>
      <c r="DG260" s="28" t="n">
        <f aca="false">IFERROR(INDEX(Assessments!$J$2:$J$600,MATCH($H260&amp;"|"&amp;$I260&amp;"|"&amp;$J260&amp;"|"&amp;11,Assessments!$A$2:$A$600,0)),0)</f>
        <v>0</v>
      </c>
      <c r="DH260" s="28" t="n">
        <f aca="false">IFERROR(INDEX(Assessments!$J$2:$J$600,MATCH($H260&amp;"|"&amp;$I260&amp;"|"&amp;$J260&amp;"|"&amp;12,Assessments!$A$2:$A$600,0)),0)</f>
        <v>0</v>
      </c>
      <c r="DI260" s="28" t="n">
        <f aca="false">IFERROR(INDEX(Assessments!$J$2:$J$600,MATCH($H260&amp;"|"&amp;$I260&amp;"|"&amp;$J260&amp;"|"&amp;13,Assessments!$A$2:$A$600,0)),0)</f>
        <v>0</v>
      </c>
      <c r="DJ260" s="28" t="n">
        <f aca="false">IFERROR(INDEX(Assessments!$J$2:$J$600,MATCH($H260&amp;"|"&amp;$I260&amp;"|"&amp;$J260&amp;"|"&amp;14,Assessments!$A$2:$A$600,0)),0)</f>
        <v>0</v>
      </c>
      <c r="DK260" s="28" t="n">
        <f aca="false">S260</f>
        <v>6</v>
      </c>
      <c r="DL260" s="28" t="str">
        <f aca="false">W260</f>
        <v/>
      </c>
      <c r="DM260" s="28" t="str">
        <f aca="false">AA260</f>
        <v/>
      </c>
      <c r="DN260" s="28" t="str">
        <f aca="false">AE260</f>
        <v/>
      </c>
      <c r="DO260" s="28" t="str">
        <f aca="false">AI260</f>
        <v/>
      </c>
      <c r="DP260" s="28" t="str">
        <f aca="false">AM260</f>
        <v/>
      </c>
      <c r="DQ260" s="28" t="str">
        <f aca="false">AQ260</f>
        <v/>
      </c>
      <c r="DR260" s="28" t="str">
        <f aca="false">AU260</f>
        <v/>
      </c>
      <c r="DS260" s="28" t="str">
        <f aca="false">AY260</f>
        <v/>
      </c>
      <c r="DT260" s="28" t="str">
        <f aca="false">BC260</f>
        <v/>
      </c>
      <c r="DU260" s="28" t="str">
        <f aca="false">BG260</f>
        <v/>
      </c>
      <c r="DV260" s="28" t="str">
        <f aca="false">BK260</f>
        <v/>
      </c>
      <c r="DW260" s="28" t="str">
        <f aca="false">BO260</f>
        <v/>
      </c>
      <c r="DX260" s="28" t="str">
        <f aca="false">BS260</f>
        <v/>
      </c>
      <c r="DY260" s="28" t="n">
        <f aca="false">IF(ISNUMBER(S260),1,"")</f>
        <v>1</v>
      </c>
      <c r="DZ260" s="28" t="str">
        <f aca="false">IF(ISNUMBER(W260),2,"")</f>
        <v/>
      </c>
      <c r="EA260" s="28" t="str">
        <f aca="false">IF(ISNUMBER(AA260),3,"")</f>
        <v/>
      </c>
      <c r="EB260" s="28" t="str">
        <f aca="false">IF(ISNUMBER(AE260),4,"")</f>
        <v/>
      </c>
      <c r="EC260" s="28" t="str">
        <f aca="false">IF(ISNUMBER(AI260),5,"")</f>
        <v/>
      </c>
      <c r="ED260" s="28" t="str">
        <f aca="false">IF(ISNUMBER(AM260),6,"")</f>
        <v/>
      </c>
      <c r="EE260" s="28" t="str">
        <f aca="false">IF(ISNUMBER(AQ260),7,"")</f>
        <v/>
      </c>
      <c r="EF260" s="28" t="str">
        <f aca="false">IF(ISNUMBER(AU260),8,"")</f>
        <v/>
      </c>
      <c r="EG260" s="28" t="str">
        <f aca="false">IF(ISNUMBER(AY260),9,"")</f>
        <v/>
      </c>
      <c r="EH260" s="28" t="str">
        <f aca="false">IF(ISNUMBER(BC260),10,"")</f>
        <v/>
      </c>
      <c r="EI260" s="28" t="str">
        <f aca="false">IF(ISNUMBER(BG260),11,"")</f>
        <v/>
      </c>
      <c r="EJ260" s="28" t="str">
        <f aca="false">IF(ISNUMBER(BK260),12,"")</f>
        <v/>
      </c>
      <c r="EK260" s="28" t="str">
        <f aca="false">IF(ISNUMBER(BO260),13,"")</f>
        <v/>
      </c>
      <c r="EL260" s="28" t="str">
        <f aca="false">IF(ISNUMBER(BS260),14,"")</f>
        <v/>
      </c>
      <c r="EM260" s="28" t="n">
        <f aca="false">IF(ISNUMBER(R260),R260*CW260,0)</f>
        <v>84</v>
      </c>
      <c r="EN260" s="28" t="n">
        <f aca="false">IF(ISNUMBER(V260),V260*CX260,0)</f>
        <v>0</v>
      </c>
      <c r="EO260" s="28" t="n">
        <f aca="false">IF(ISNUMBER(Z260),Z260*CY260,0)</f>
        <v>0</v>
      </c>
      <c r="EP260" s="28" t="n">
        <f aca="false">IF(ISNUMBER(AD260),AD260*CZ260,0)</f>
        <v>0</v>
      </c>
      <c r="EQ260" s="28" t="n">
        <f aca="false">IF(ISNUMBER(AH260),AH260*DA260,0)</f>
        <v>0</v>
      </c>
      <c r="ER260" s="28" t="n">
        <f aca="false">IF(ISNUMBER(AL260),AL260*DB260,0)</f>
        <v>0</v>
      </c>
      <c r="ES260" s="28" t="n">
        <f aca="false">IF(ISNUMBER(AP260),AP260*DC260,0)</f>
        <v>0</v>
      </c>
      <c r="ET260" s="28" t="n">
        <f aca="false">IF(ISNUMBER(AT260),AT260*DD260,0)</f>
        <v>0</v>
      </c>
      <c r="EU260" s="28" t="n">
        <f aca="false">IF(ISNUMBER(AX260),AX260*DE260,0)</f>
        <v>0</v>
      </c>
      <c r="EV260" s="28" t="n">
        <f aca="false">IF(ISNUMBER(BB260),BB260*DF260,0)</f>
        <v>0</v>
      </c>
      <c r="EW260" s="28" t="n">
        <f aca="false">IF(ISNUMBER(BF260),BF260*DG260,0)</f>
        <v>0</v>
      </c>
      <c r="EX260" s="28" t="n">
        <f aca="false">IF(ISNUMBER(BJ260),BJ260*DH260,0)</f>
        <v>0</v>
      </c>
      <c r="EY260" s="28" t="n">
        <f aca="false">IF(ISNUMBER(BN260),BN260*DI260,0)</f>
        <v>0</v>
      </c>
      <c r="EZ260" s="28" t="n">
        <f aca="false">IF(ISNUMBER(BR260),BR260*DJ260,0)</f>
        <v>0</v>
      </c>
      <c r="FA260" s="28" t="n">
        <f aca="false">IF(ISNUMBER(R260),CW260,0)</f>
        <v>1</v>
      </c>
      <c r="FB260" s="28" t="n">
        <f aca="false">IF(ISNUMBER(V260),CX260,0)</f>
        <v>0</v>
      </c>
      <c r="FC260" s="28" t="n">
        <f aca="false">IF(ISNUMBER(Z260),CY260,0)</f>
        <v>0</v>
      </c>
      <c r="FD260" s="28" t="n">
        <f aca="false">IF(ISNUMBER(AD260),CZ260,0)</f>
        <v>0</v>
      </c>
      <c r="FE260" s="28" t="n">
        <f aca="false">IF(ISNUMBER(AH260),DA260,0)</f>
        <v>0</v>
      </c>
      <c r="FF260" s="28" t="n">
        <f aca="false">IF(ISNUMBER(AL260),DB260,0)</f>
        <v>0</v>
      </c>
      <c r="FG260" s="28" t="n">
        <f aca="false">IF(ISNUMBER(AP260),DC260,0)</f>
        <v>0</v>
      </c>
      <c r="FH260" s="28" t="n">
        <f aca="false">IF(ISNUMBER(AT260),DD260,0)</f>
        <v>0</v>
      </c>
      <c r="FI260" s="28" t="n">
        <f aca="false">IF(ISNUMBER(AX260),DE260,0)</f>
        <v>0</v>
      </c>
      <c r="FJ260" s="28" t="n">
        <f aca="false">IF(ISNUMBER(BB260),DF260,0)</f>
        <v>0</v>
      </c>
      <c r="FK260" s="28" t="n">
        <f aca="false">IF(ISNUMBER(BF260),DG260,0)</f>
        <v>0</v>
      </c>
      <c r="FL260" s="28" t="n">
        <f aca="false">IF(ISNUMBER(BJ260),DH260,0)</f>
        <v>0</v>
      </c>
      <c r="FM260" s="28" t="n">
        <f aca="false">IF(ISNUMBER(BN260),DI260,0)</f>
        <v>0</v>
      </c>
      <c r="FN260" s="28" t="n">
        <f aca="false">IF(ISNUMBER(BR260),DJ260,0)</f>
        <v>0</v>
      </c>
      <c r="FO260" s="28" t="str">
        <f aca="false">IFERROR(INDEX(Lists!$G$2:$G$20,MATCH($I260&amp;"|"&amp;$J260,Lists!$F$2:$F$20,0)),"")</f>
        <v>Econ Exam</v>
      </c>
    </row>
    <row r="261" customFormat="false" ht="19.5" hidden="false" customHeight="true" outlineLevel="0" collapsed="false">
      <c r="A261" s="29" t="s">
        <v>528</v>
      </c>
      <c r="B261" s="29" t="s">
        <v>529</v>
      </c>
      <c r="C261" s="30" t="s">
        <v>192</v>
      </c>
      <c r="D261" s="30" t="s">
        <v>246</v>
      </c>
      <c r="E261" s="31"/>
      <c r="F261" s="30"/>
      <c r="G261" s="30"/>
      <c r="H261" s="32" t="s">
        <v>428</v>
      </c>
      <c r="I261" s="33" t="s">
        <v>229</v>
      </c>
      <c r="J261" s="32" t="s">
        <v>25</v>
      </c>
      <c r="K261" s="34" t="str">
        <f aca="false">IF(OR(M261="",$E261=""),"",M261-$E261)</f>
        <v/>
      </c>
      <c r="L261" s="35" t="n">
        <f aca="false">IF(SUM(FA261:FN261)=0,"",SUM(EM261:EZ261)/SUM(FA261:FN261))</f>
        <v>76</v>
      </c>
      <c r="M261" s="36" t="n">
        <f aca="false">IF(OR(L261="",FO261=""),"",IFERROR(MATCH(L261,INDEX(Boundaries!$B$2:$I$30,MATCH(FO261,Boundaries!$A$2:$A$30,0),0),1)-1,""))</f>
        <v>6</v>
      </c>
      <c r="N261" s="37" t="str">
        <f aca="false">IF(COUNT($DY261:$EL261)&lt;2,"",INDEX($DK261:$DX261,MAX($DY261:$EL261))-INDEX($DK261:$DX261,MIN($DY261:$EL261)))</f>
        <v/>
      </c>
      <c r="O261" s="37" t="str">
        <f aca="false">IF(COUNT($DY261:$EL261)&lt;2,"",INDEX($DK261:$DX261,MAX($DY261:$EL261))-INDEX($DK261:$DX261,LARGE($DY261:$EL261,2)))</f>
        <v/>
      </c>
      <c r="P261" s="38" t="str">
        <f aca="false">IF(K261="","",IF(K261&gt;=0,"On/above target",IF(AND(N261&lt;&gt;"",N261&gt;=0.5),"Improving towards target",IF(AND(O261&lt;&gt;"",O261&lt;=-0.5),"Declining","Stable below target"))))</f>
        <v/>
      </c>
      <c r="Q261" s="39" t="n">
        <v>19</v>
      </c>
      <c r="R261" s="40" t="n">
        <f aca="false">IF(OR(Q261="",BU261=""),"",Q261/BU261*100)</f>
        <v>76</v>
      </c>
      <c r="S261" s="41" t="n">
        <f aca="false">IF(R261="","",IFERROR(MATCH(R261,INDEX(Boundaries!$B$2:$I$30,MATCH(CI261,Boundaries!$A$2:$A$30,0),0),1)-1,""))</f>
        <v>6</v>
      </c>
      <c r="T261" s="42" t="str">
        <f aca="false">IF(OR(S261="",$E261=""),"",S261-$E261)</f>
        <v/>
      </c>
      <c r="U261" s="39"/>
      <c r="V261" s="40" t="str">
        <f aca="false">IF(OR(U261="",BV261=""),"",U261/BV261*100)</f>
        <v/>
      </c>
      <c r="W261" s="41" t="str">
        <f aca="false">IF(V261="","",IFERROR(MATCH(V261,INDEX(Boundaries!$B$2:$I$30,MATCH(CJ261,Boundaries!$A$2:$A$30,0),0),1)-1,""))</f>
        <v/>
      </c>
      <c r="X261" s="42" t="str">
        <f aca="false">IF(OR(W261="",$E261=""),"",W261-$E261)</f>
        <v/>
      </c>
      <c r="Y261" s="39"/>
      <c r="Z261" s="40" t="str">
        <f aca="false">IF(OR(Y261="",BW261=""),"",Y261/BW261*100)</f>
        <v/>
      </c>
      <c r="AA261" s="41" t="str">
        <f aca="false">IF(Z261="","",IFERROR(MATCH(Z261,INDEX(Boundaries!$B$2:$I$30,MATCH(CK261,Boundaries!$A$2:$A$30,0),0),1)-1,""))</f>
        <v/>
      </c>
      <c r="AB261" s="42" t="str">
        <f aca="false">IF(OR(AA261="",$E261=""),"",AA261-$E261)</f>
        <v/>
      </c>
      <c r="AC261" s="39"/>
      <c r="AD261" s="40" t="str">
        <f aca="false">IF(OR(AC261="",BX261=""),"",AC261/BX261*100)</f>
        <v/>
      </c>
      <c r="AE261" s="41" t="str">
        <f aca="false">IF(AD261="","",IFERROR(MATCH(AD261,INDEX(Boundaries!$B$2:$I$30,MATCH(CL261,Boundaries!$A$2:$A$30,0),0),1)-1,""))</f>
        <v/>
      </c>
      <c r="AF261" s="42" t="str">
        <f aca="false">IF(OR(AE261="",$E261=""),"",AE261-$E261)</f>
        <v/>
      </c>
      <c r="AG261" s="39"/>
      <c r="AH261" s="40" t="str">
        <f aca="false">IF(OR(AG261="",BY261=""),"",AG261/BY261*100)</f>
        <v/>
      </c>
      <c r="AI261" s="41" t="str">
        <f aca="false">IF(AH261="","",IFERROR(MATCH(AH261,INDEX(Boundaries!$B$2:$I$30,MATCH(CM261,Boundaries!$A$2:$A$30,0),0),1)-1,""))</f>
        <v/>
      </c>
      <c r="AJ261" s="42" t="str">
        <f aca="false">IF(OR(AI261="",$E261=""),"",AI261-$E261)</f>
        <v/>
      </c>
      <c r="AK261" s="39"/>
      <c r="AL261" s="40" t="str">
        <f aca="false">IF(OR(AK261="",BZ261=""),"",AK261/BZ261*100)</f>
        <v/>
      </c>
      <c r="AM261" s="41" t="str">
        <f aca="false">IF(AL261="","",IFERROR(MATCH(AL261,INDEX(Boundaries!$B$2:$I$30,MATCH(CN261,Boundaries!$A$2:$A$30,0),0),1)-1,""))</f>
        <v/>
      </c>
      <c r="AN261" s="42" t="str">
        <f aca="false">IF(OR(AM261="",$E261=""),"",AM261-$E261)</f>
        <v/>
      </c>
      <c r="AO261" s="39"/>
      <c r="AP261" s="40" t="str">
        <f aca="false">IF(OR(AO261="",CA261=""),"",AO261/CA261*100)</f>
        <v/>
      </c>
      <c r="AQ261" s="41" t="str">
        <f aca="false">IF(AP261="","",IFERROR(MATCH(AP261,INDEX(Boundaries!$B$2:$I$30,MATCH(CO261,Boundaries!$A$2:$A$30,0),0),1)-1,""))</f>
        <v/>
      </c>
      <c r="AR261" s="42" t="str">
        <f aca="false">IF(OR(AQ261="",$E261=""),"",AQ261-$E261)</f>
        <v/>
      </c>
      <c r="AS261" s="39"/>
      <c r="AT261" s="40" t="str">
        <f aca="false">IF(OR(AS261="",CB261=""),"",AS261/CB261*100)</f>
        <v/>
      </c>
      <c r="AU261" s="41" t="str">
        <f aca="false">IF(AT261="","",IFERROR(MATCH(AT261,INDEX(Boundaries!$B$2:$I$30,MATCH(CP261,Boundaries!$A$2:$A$30,0),0),1)-1,""))</f>
        <v/>
      </c>
      <c r="AV261" s="42" t="str">
        <f aca="false">IF(OR(AU261="",$E261=""),"",AU261-$E261)</f>
        <v/>
      </c>
      <c r="AW261" s="39"/>
      <c r="AX261" s="40" t="str">
        <f aca="false">IF(OR(AW261="",CC261=""),"",AW261/CC261*100)</f>
        <v/>
      </c>
      <c r="AY261" s="41" t="str">
        <f aca="false">IF(AX261="","",IFERROR(MATCH(AX261,INDEX(Boundaries!$B$2:$I$30,MATCH(CQ261,Boundaries!$A$2:$A$30,0),0),1)-1,""))</f>
        <v/>
      </c>
      <c r="AZ261" s="42" t="str">
        <f aca="false">IF(OR(AY261="",$E261=""),"",AY261-$E261)</f>
        <v/>
      </c>
      <c r="BA261" s="39"/>
      <c r="BB261" s="40" t="str">
        <f aca="false">IF(OR(BA261="",CD261=""),"",BA261/CD261*100)</f>
        <v/>
      </c>
      <c r="BC261" s="41" t="str">
        <f aca="false">IF(BB261="","",IFERROR(MATCH(BB261,INDEX(Boundaries!$B$2:$I$30,MATCH(CR261,Boundaries!$A$2:$A$30,0),0),1)-1,""))</f>
        <v/>
      </c>
      <c r="BD261" s="42" t="str">
        <f aca="false">IF(OR(BC261="",$E261=""),"",BC261-$E261)</f>
        <v/>
      </c>
      <c r="BE261" s="39"/>
      <c r="BF261" s="40" t="str">
        <f aca="false">IF(OR(BE261="",CE261=""),"",BE261/CE261*100)</f>
        <v/>
      </c>
      <c r="BG261" s="41" t="str">
        <f aca="false">IF(BF261="","",IFERROR(MATCH(BF261,INDEX(Boundaries!$B$2:$I$30,MATCH(CS261,Boundaries!$A$2:$A$30,0),0),1)-1,""))</f>
        <v/>
      </c>
      <c r="BH261" s="42" t="str">
        <f aca="false">IF(OR(BG261="",$E261=""),"",BG261-$E261)</f>
        <v/>
      </c>
      <c r="BI261" s="39"/>
      <c r="BJ261" s="40" t="str">
        <f aca="false">IF(OR(BI261="",CF261=""),"",BI261/CF261*100)</f>
        <v/>
      </c>
      <c r="BK261" s="41" t="str">
        <f aca="false">IF(BJ261="","",IFERROR(MATCH(BJ261,INDEX(Boundaries!$B$2:$I$30,MATCH(CT261,Boundaries!$A$2:$A$30,0),0),1)-1,""))</f>
        <v/>
      </c>
      <c r="BL261" s="42" t="str">
        <f aca="false">IF(OR(BK261="",$E261=""),"",BK261-$E261)</f>
        <v/>
      </c>
      <c r="BM261" s="39"/>
      <c r="BN261" s="40" t="str">
        <f aca="false">IF(OR(BM261="",CG261=""),"",BM261/CG261*100)</f>
        <v/>
      </c>
      <c r="BO261" s="41" t="str">
        <f aca="false">IF(BN261="","",IFERROR(MATCH(BN261,INDEX(Boundaries!$B$2:$I$30,MATCH(CU261,Boundaries!$A$2:$A$30,0),0),1)-1,""))</f>
        <v/>
      </c>
      <c r="BP261" s="42" t="str">
        <f aca="false">IF(OR(BO261="",$E261=""),"",BO261-$E261)</f>
        <v/>
      </c>
      <c r="BQ261" s="39"/>
      <c r="BR261" s="40" t="str">
        <f aca="false">IF(OR(BQ261="",CH261=""),"",BQ261/CH261*100)</f>
        <v/>
      </c>
      <c r="BS261" s="41" t="str">
        <f aca="false">IF(BR261="","",IFERROR(MATCH(BR261,INDEX(Boundaries!$B$2:$I$30,MATCH(CV261,Boundaries!$A$2:$A$30,0),0),1)-1,""))</f>
        <v/>
      </c>
      <c r="BT261" s="42" t="str">
        <f aca="false">IF(OR(BS261="",$E261=""),"",BS261-$E261)</f>
        <v/>
      </c>
      <c r="BU261" s="28" t="n">
        <f aca="false">IFERROR(INDEX(Assessments!$H$2:$H$600,MATCH($H261&amp;"|"&amp;$I261&amp;"|"&amp;$J261&amp;"|"&amp;1,Assessments!$A$2:$A$600,0)),"")</f>
        <v>25</v>
      </c>
      <c r="BV261" s="28" t="n">
        <f aca="false">IFERROR(INDEX(Assessments!$H$2:$H$600,MATCH($H261&amp;"|"&amp;$I261&amp;"|"&amp;$J261&amp;"|"&amp;2,Assessments!$A$2:$A$600,0)),"")</f>
        <v>24</v>
      </c>
      <c r="BW261" s="28" t="n">
        <f aca="false">IFERROR(INDEX(Assessments!$H$2:$H$600,MATCH($H261&amp;"|"&amp;$I261&amp;"|"&amp;$J261&amp;"|"&amp;3,Assessments!$A$2:$A$600,0)),"")</f>
        <v>25</v>
      </c>
      <c r="BX261" s="28" t="n">
        <f aca="false">IFERROR(INDEX(Assessments!$H$2:$H$600,MATCH($H261&amp;"|"&amp;$I261&amp;"|"&amp;$J261&amp;"|"&amp;4,Assessments!$A$2:$A$600,0)),"")</f>
        <v>35</v>
      </c>
      <c r="BY261" s="28" t="n">
        <f aca="false">IFERROR(INDEX(Assessments!$H$2:$H$600,MATCH($H261&amp;"|"&amp;$I261&amp;"|"&amp;$J261&amp;"|"&amp;5,Assessments!$A$2:$A$600,0)),"")</f>
        <v>55</v>
      </c>
      <c r="BZ261" s="28" t="n">
        <f aca="false">IFERROR(INDEX(Assessments!$H$2:$H$600,MATCH($H261&amp;"|"&amp;$I261&amp;"|"&amp;$J261&amp;"|"&amp;6,Assessments!$A$2:$A$600,0)),"")</f>
        <v>28</v>
      </c>
      <c r="CA261" s="28" t="n">
        <f aca="false">IFERROR(INDEX(Assessments!$H$2:$H$600,MATCH($H261&amp;"|"&amp;$I261&amp;"|"&amp;$J261&amp;"|"&amp;7,Assessments!$A$2:$A$600,0)),"")</f>
        <v>95</v>
      </c>
      <c r="CB261" s="28" t="str">
        <f aca="false">IFERROR(INDEX(Assessments!$H$2:$H$600,MATCH($H261&amp;"|"&amp;$I261&amp;"|"&amp;$J261&amp;"|"&amp;8,Assessments!$A$2:$A$600,0)),"")</f>
        <v/>
      </c>
      <c r="CC261" s="28" t="str">
        <f aca="false">IFERROR(INDEX(Assessments!$H$2:$H$600,MATCH($H261&amp;"|"&amp;$I261&amp;"|"&amp;$J261&amp;"|"&amp;9,Assessments!$A$2:$A$600,0)),"")</f>
        <v/>
      </c>
      <c r="CD261" s="28" t="str">
        <f aca="false">IFERROR(INDEX(Assessments!$H$2:$H$600,MATCH($H261&amp;"|"&amp;$I261&amp;"|"&amp;$J261&amp;"|"&amp;10,Assessments!$A$2:$A$600,0)),"")</f>
        <v/>
      </c>
      <c r="CE261" s="28" t="str">
        <f aca="false">IFERROR(INDEX(Assessments!$H$2:$H$600,MATCH($H261&amp;"|"&amp;$I261&amp;"|"&amp;$J261&amp;"|"&amp;11,Assessments!$A$2:$A$600,0)),"")</f>
        <v/>
      </c>
      <c r="CF261" s="28" t="str">
        <f aca="false">IFERROR(INDEX(Assessments!$H$2:$H$600,MATCH($H261&amp;"|"&amp;$I261&amp;"|"&amp;$J261&amp;"|"&amp;12,Assessments!$A$2:$A$600,0)),"")</f>
        <v/>
      </c>
      <c r="CG261" s="28" t="str">
        <f aca="false">IFERROR(INDEX(Assessments!$H$2:$H$600,MATCH($H261&amp;"|"&amp;$I261&amp;"|"&amp;$J261&amp;"|"&amp;13,Assessments!$A$2:$A$600,0)),"")</f>
        <v/>
      </c>
      <c r="CH261" s="28" t="str">
        <f aca="false">IFERROR(INDEX(Assessments!$H$2:$H$600,MATCH($H261&amp;"|"&amp;$I261&amp;"|"&amp;$J261&amp;"|"&amp;14,Assessments!$A$2:$A$600,0)),"")</f>
        <v/>
      </c>
      <c r="CI261" s="28" t="str">
        <f aca="false">IFERROR(INDEX(Assessments!$I$2:$I$600,MATCH($H261&amp;"|"&amp;$I261&amp;"|"&amp;$J261&amp;"|"&amp;1,Assessments!$A$2:$A$600,0)),"")</f>
        <v>Econ Test</v>
      </c>
      <c r="CJ261" s="28" t="str">
        <f aca="false">IFERROR(INDEX(Assessments!$I$2:$I$600,MATCH($H261&amp;"|"&amp;$I261&amp;"|"&amp;$J261&amp;"|"&amp;2,Assessments!$A$2:$A$600,0)),"")</f>
        <v>Econ Test</v>
      </c>
      <c r="CK261" s="28" t="str">
        <f aca="false">IFERROR(INDEX(Assessments!$I$2:$I$600,MATCH($H261&amp;"|"&amp;$I261&amp;"|"&amp;$J261&amp;"|"&amp;3,Assessments!$A$2:$A$600,0)),"")</f>
        <v>Econ Test</v>
      </c>
      <c r="CL261" s="28" t="str">
        <f aca="false">IFERROR(INDEX(Assessments!$I$2:$I$600,MATCH($H261&amp;"|"&amp;$I261&amp;"|"&amp;$J261&amp;"|"&amp;4,Assessments!$A$2:$A$600,0)),"")</f>
        <v>Econ Test</v>
      </c>
      <c r="CM261" s="28" t="str">
        <f aca="false">IFERROR(INDEX(Assessments!$I$2:$I$600,MATCH($H261&amp;"|"&amp;$I261&amp;"|"&amp;$J261&amp;"|"&amp;5,Assessments!$A$2:$A$600,0)),"")</f>
        <v>Econ Exam</v>
      </c>
      <c r="CN261" s="28" t="str">
        <f aca="false">IFERROR(INDEX(Assessments!$I$2:$I$600,MATCH($H261&amp;"|"&amp;$I261&amp;"|"&amp;$J261&amp;"|"&amp;6,Assessments!$A$2:$A$600,0)),"")</f>
        <v>Econ Test</v>
      </c>
      <c r="CO261" s="28" t="str">
        <f aca="false">IFERROR(INDEX(Assessments!$I$2:$I$600,MATCH($H261&amp;"|"&amp;$I261&amp;"|"&amp;$J261&amp;"|"&amp;7,Assessments!$A$2:$A$600,0)),"")</f>
        <v>Econ Exam</v>
      </c>
      <c r="CP261" s="28" t="str">
        <f aca="false">IFERROR(INDEX(Assessments!$I$2:$I$600,MATCH($H261&amp;"|"&amp;$I261&amp;"|"&amp;$J261&amp;"|"&amp;8,Assessments!$A$2:$A$600,0)),"")</f>
        <v/>
      </c>
      <c r="CQ261" s="28" t="str">
        <f aca="false">IFERROR(INDEX(Assessments!$I$2:$I$600,MATCH($H261&amp;"|"&amp;$I261&amp;"|"&amp;$J261&amp;"|"&amp;9,Assessments!$A$2:$A$600,0)),"")</f>
        <v/>
      </c>
      <c r="CR261" s="28" t="str">
        <f aca="false">IFERROR(INDEX(Assessments!$I$2:$I$600,MATCH($H261&amp;"|"&amp;$I261&amp;"|"&amp;$J261&amp;"|"&amp;10,Assessments!$A$2:$A$600,0)),"")</f>
        <v/>
      </c>
      <c r="CS261" s="28" t="str">
        <f aca="false">IFERROR(INDEX(Assessments!$I$2:$I$600,MATCH($H261&amp;"|"&amp;$I261&amp;"|"&amp;$J261&amp;"|"&amp;11,Assessments!$A$2:$A$600,0)),"")</f>
        <v/>
      </c>
      <c r="CT261" s="28" t="str">
        <f aca="false">IFERROR(INDEX(Assessments!$I$2:$I$600,MATCH($H261&amp;"|"&amp;$I261&amp;"|"&amp;$J261&amp;"|"&amp;12,Assessments!$A$2:$A$600,0)),"")</f>
        <v/>
      </c>
      <c r="CU261" s="28" t="str">
        <f aca="false">IFERROR(INDEX(Assessments!$I$2:$I$600,MATCH($H261&amp;"|"&amp;$I261&amp;"|"&amp;$J261&amp;"|"&amp;13,Assessments!$A$2:$A$600,0)),"")</f>
        <v/>
      </c>
      <c r="CV261" s="28" t="str">
        <f aca="false">IFERROR(INDEX(Assessments!$I$2:$I$600,MATCH($H261&amp;"|"&amp;$I261&amp;"|"&amp;$J261&amp;"|"&amp;14,Assessments!$A$2:$A$600,0)),"")</f>
        <v/>
      </c>
      <c r="CW261" s="28" t="n">
        <f aca="false">IFERROR(INDEX(Assessments!$J$2:$J$600,MATCH($H261&amp;"|"&amp;$I261&amp;"|"&amp;$J261&amp;"|"&amp;1,Assessments!$A$2:$A$600,0)),0)</f>
        <v>1</v>
      </c>
      <c r="CX261" s="28" t="n">
        <f aca="false">IFERROR(INDEX(Assessments!$J$2:$J$600,MATCH($H261&amp;"|"&amp;$I261&amp;"|"&amp;$J261&amp;"|"&amp;2,Assessments!$A$2:$A$600,0)),0)</f>
        <v>1</v>
      </c>
      <c r="CY261" s="28" t="n">
        <f aca="false">IFERROR(INDEX(Assessments!$J$2:$J$600,MATCH($H261&amp;"|"&amp;$I261&amp;"|"&amp;$J261&amp;"|"&amp;3,Assessments!$A$2:$A$600,0)),0)</f>
        <v>1</v>
      </c>
      <c r="CZ261" s="28" t="n">
        <f aca="false">IFERROR(INDEX(Assessments!$J$2:$J$600,MATCH($H261&amp;"|"&amp;$I261&amp;"|"&amp;$J261&amp;"|"&amp;4,Assessments!$A$2:$A$600,0)),0)</f>
        <v>1</v>
      </c>
      <c r="DA261" s="28" t="n">
        <f aca="false">IFERROR(INDEX(Assessments!$J$2:$J$600,MATCH($H261&amp;"|"&amp;$I261&amp;"|"&amp;$J261&amp;"|"&amp;5,Assessments!$A$2:$A$600,0)),0)</f>
        <v>2</v>
      </c>
      <c r="DB261" s="28" t="n">
        <f aca="false">IFERROR(INDEX(Assessments!$J$2:$J$600,MATCH($H261&amp;"|"&amp;$I261&amp;"|"&amp;$J261&amp;"|"&amp;6,Assessments!$A$2:$A$600,0)),0)</f>
        <v>1</v>
      </c>
      <c r="DC261" s="28" t="n">
        <f aca="false">IFERROR(INDEX(Assessments!$J$2:$J$600,MATCH($H261&amp;"|"&amp;$I261&amp;"|"&amp;$J261&amp;"|"&amp;7,Assessments!$A$2:$A$600,0)),0)</f>
        <v>2</v>
      </c>
      <c r="DD261" s="28" t="n">
        <f aca="false">IFERROR(INDEX(Assessments!$J$2:$J$600,MATCH($H261&amp;"|"&amp;$I261&amp;"|"&amp;$J261&amp;"|"&amp;8,Assessments!$A$2:$A$600,0)),0)</f>
        <v>0</v>
      </c>
      <c r="DE261" s="28" t="n">
        <f aca="false">IFERROR(INDEX(Assessments!$J$2:$J$600,MATCH($H261&amp;"|"&amp;$I261&amp;"|"&amp;$J261&amp;"|"&amp;9,Assessments!$A$2:$A$600,0)),0)</f>
        <v>0</v>
      </c>
      <c r="DF261" s="28" t="n">
        <f aca="false">IFERROR(INDEX(Assessments!$J$2:$J$600,MATCH($H261&amp;"|"&amp;$I261&amp;"|"&amp;$J261&amp;"|"&amp;10,Assessments!$A$2:$A$600,0)),0)</f>
        <v>0</v>
      </c>
      <c r="DG261" s="28" t="n">
        <f aca="false">IFERROR(INDEX(Assessments!$J$2:$J$600,MATCH($H261&amp;"|"&amp;$I261&amp;"|"&amp;$J261&amp;"|"&amp;11,Assessments!$A$2:$A$600,0)),0)</f>
        <v>0</v>
      </c>
      <c r="DH261" s="28" t="n">
        <f aca="false">IFERROR(INDEX(Assessments!$J$2:$J$600,MATCH($H261&amp;"|"&amp;$I261&amp;"|"&amp;$J261&amp;"|"&amp;12,Assessments!$A$2:$A$600,0)),0)</f>
        <v>0</v>
      </c>
      <c r="DI261" s="28" t="n">
        <f aca="false">IFERROR(INDEX(Assessments!$J$2:$J$600,MATCH($H261&amp;"|"&amp;$I261&amp;"|"&amp;$J261&amp;"|"&amp;13,Assessments!$A$2:$A$600,0)),0)</f>
        <v>0</v>
      </c>
      <c r="DJ261" s="28" t="n">
        <f aca="false">IFERROR(INDEX(Assessments!$J$2:$J$600,MATCH($H261&amp;"|"&amp;$I261&amp;"|"&amp;$J261&amp;"|"&amp;14,Assessments!$A$2:$A$600,0)),0)</f>
        <v>0</v>
      </c>
      <c r="DK261" s="28" t="n">
        <f aca="false">S261</f>
        <v>6</v>
      </c>
      <c r="DL261" s="28" t="str">
        <f aca="false">W261</f>
        <v/>
      </c>
      <c r="DM261" s="28" t="str">
        <f aca="false">AA261</f>
        <v/>
      </c>
      <c r="DN261" s="28" t="str">
        <f aca="false">AE261</f>
        <v/>
      </c>
      <c r="DO261" s="28" t="str">
        <f aca="false">AI261</f>
        <v/>
      </c>
      <c r="DP261" s="28" t="str">
        <f aca="false">AM261</f>
        <v/>
      </c>
      <c r="DQ261" s="28" t="str">
        <f aca="false">AQ261</f>
        <v/>
      </c>
      <c r="DR261" s="28" t="str">
        <f aca="false">AU261</f>
        <v/>
      </c>
      <c r="DS261" s="28" t="str">
        <f aca="false">AY261</f>
        <v/>
      </c>
      <c r="DT261" s="28" t="str">
        <f aca="false">BC261</f>
        <v/>
      </c>
      <c r="DU261" s="28" t="str">
        <f aca="false">BG261</f>
        <v/>
      </c>
      <c r="DV261" s="28" t="str">
        <f aca="false">BK261</f>
        <v/>
      </c>
      <c r="DW261" s="28" t="str">
        <f aca="false">BO261</f>
        <v/>
      </c>
      <c r="DX261" s="28" t="str">
        <f aca="false">BS261</f>
        <v/>
      </c>
      <c r="DY261" s="28" t="n">
        <f aca="false">IF(ISNUMBER(S261),1,"")</f>
        <v>1</v>
      </c>
      <c r="DZ261" s="28" t="str">
        <f aca="false">IF(ISNUMBER(W261),2,"")</f>
        <v/>
      </c>
      <c r="EA261" s="28" t="str">
        <f aca="false">IF(ISNUMBER(AA261),3,"")</f>
        <v/>
      </c>
      <c r="EB261" s="28" t="str">
        <f aca="false">IF(ISNUMBER(AE261),4,"")</f>
        <v/>
      </c>
      <c r="EC261" s="28" t="str">
        <f aca="false">IF(ISNUMBER(AI261),5,"")</f>
        <v/>
      </c>
      <c r="ED261" s="28" t="str">
        <f aca="false">IF(ISNUMBER(AM261),6,"")</f>
        <v/>
      </c>
      <c r="EE261" s="28" t="str">
        <f aca="false">IF(ISNUMBER(AQ261),7,"")</f>
        <v/>
      </c>
      <c r="EF261" s="28" t="str">
        <f aca="false">IF(ISNUMBER(AU261),8,"")</f>
        <v/>
      </c>
      <c r="EG261" s="28" t="str">
        <f aca="false">IF(ISNUMBER(AY261),9,"")</f>
        <v/>
      </c>
      <c r="EH261" s="28" t="str">
        <f aca="false">IF(ISNUMBER(BC261),10,"")</f>
        <v/>
      </c>
      <c r="EI261" s="28" t="str">
        <f aca="false">IF(ISNUMBER(BG261),11,"")</f>
        <v/>
      </c>
      <c r="EJ261" s="28" t="str">
        <f aca="false">IF(ISNUMBER(BK261),12,"")</f>
        <v/>
      </c>
      <c r="EK261" s="28" t="str">
        <f aca="false">IF(ISNUMBER(BO261),13,"")</f>
        <v/>
      </c>
      <c r="EL261" s="28" t="str">
        <f aca="false">IF(ISNUMBER(BS261),14,"")</f>
        <v/>
      </c>
      <c r="EM261" s="28" t="n">
        <f aca="false">IF(ISNUMBER(R261),R261*CW261,0)</f>
        <v>76</v>
      </c>
      <c r="EN261" s="28" t="n">
        <f aca="false">IF(ISNUMBER(V261),V261*CX261,0)</f>
        <v>0</v>
      </c>
      <c r="EO261" s="28" t="n">
        <f aca="false">IF(ISNUMBER(Z261),Z261*CY261,0)</f>
        <v>0</v>
      </c>
      <c r="EP261" s="28" t="n">
        <f aca="false">IF(ISNUMBER(AD261),AD261*CZ261,0)</f>
        <v>0</v>
      </c>
      <c r="EQ261" s="28" t="n">
        <f aca="false">IF(ISNUMBER(AH261),AH261*DA261,0)</f>
        <v>0</v>
      </c>
      <c r="ER261" s="28" t="n">
        <f aca="false">IF(ISNUMBER(AL261),AL261*DB261,0)</f>
        <v>0</v>
      </c>
      <c r="ES261" s="28" t="n">
        <f aca="false">IF(ISNUMBER(AP261),AP261*DC261,0)</f>
        <v>0</v>
      </c>
      <c r="ET261" s="28" t="n">
        <f aca="false">IF(ISNUMBER(AT261),AT261*DD261,0)</f>
        <v>0</v>
      </c>
      <c r="EU261" s="28" t="n">
        <f aca="false">IF(ISNUMBER(AX261),AX261*DE261,0)</f>
        <v>0</v>
      </c>
      <c r="EV261" s="28" t="n">
        <f aca="false">IF(ISNUMBER(BB261),BB261*DF261,0)</f>
        <v>0</v>
      </c>
      <c r="EW261" s="28" t="n">
        <f aca="false">IF(ISNUMBER(BF261),BF261*DG261,0)</f>
        <v>0</v>
      </c>
      <c r="EX261" s="28" t="n">
        <f aca="false">IF(ISNUMBER(BJ261),BJ261*DH261,0)</f>
        <v>0</v>
      </c>
      <c r="EY261" s="28" t="n">
        <f aca="false">IF(ISNUMBER(BN261),BN261*DI261,0)</f>
        <v>0</v>
      </c>
      <c r="EZ261" s="28" t="n">
        <f aca="false">IF(ISNUMBER(BR261),BR261*DJ261,0)</f>
        <v>0</v>
      </c>
      <c r="FA261" s="28" t="n">
        <f aca="false">IF(ISNUMBER(R261),CW261,0)</f>
        <v>1</v>
      </c>
      <c r="FB261" s="28" t="n">
        <f aca="false">IF(ISNUMBER(V261),CX261,0)</f>
        <v>0</v>
      </c>
      <c r="FC261" s="28" t="n">
        <f aca="false">IF(ISNUMBER(Z261),CY261,0)</f>
        <v>0</v>
      </c>
      <c r="FD261" s="28" t="n">
        <f aca="false">IF(ISNUMBER(AD261),CZ261,0)</f>
        <v>0</v>
      </c>
      <c r="FE261" s="28" t="n">
        <f aca="false">IF(ISNUMBER(AH261),DA261,0)</f>
        <v>0</v>
      </c>
      <c r="FF261" s="28" t="n">
        <f aca="false">IF(ISNUMBER(AL261),DB261,0)</f>
        <v>0</v>
      </c>
      <c r="FG261" s="28" t="n">
        <f aca="false">IF(ISNUMBER(AP261),DC261,0)</f>
        <v>0</v>
      </c>
      <c r="FH261" s="28" t="n">
        <f aca="false">IF(ISNUMBER(AT261),DD261,0)</f>
        <v>0</v>
      </c>
      <c r="FI261" s="28" t="n">
        <f aca="false">IF(ISNUMBER(AX261),DE261,0)</f>
        <v>0</v>
      </c>
      <c r="FJ261" s="28" t="n">
        <f aca="false">IF(ISNUMBER(BB261),DF261,0)</f>
        <v>0</v>
      </c>
      <c r="FK261" s="28" t="n">
        <f aca="false">IF(ISNUMBER(BF261),DG261,0)</f>
        <v>0</v>
      </c>
      <c r="FL261" s="28" t="n">
        <f aca="false">IF(ISNUMBER(BJ261),DH261,0)</f>
        <v>0</v>
      </c>
      <c r="FM261" s="28" t="n">
        <f aca="false">IF(ISNUMBER(BN261),DI261,0)</f>
        <v>0</v>
      </c>
      <c r="FN261" s="28" t="n">
        <f aca="false">IF(ISNUMBER(BR261),DJ261,0)</f>
        <v>0</v>
      </c>
      <c r="FO261" s="28" t="str">
        <f aca="false">IFERROR(INDEX(Lists!$G$2:$G$20,MATCH($I261&amp;"|"&amp;$J261,Lists!$F$2:$F$20,0)),"")</f>
        <v>Econ Exam</v>
      </c>
    </row>
    <row r="262" customFormat="false" ht="19.5" hidden="false" customHeight="true" outlineLevel="0" collapsed="false">
      <c r="A262" s="29" t="s">
        <v>486</v>
      </c>
      <c r="B262" s="29" t="s">
        <v>530</v>
      </c>
      <c r="C262" s="30" t="s">
        <v>192</v>
      </c>
      <c r="D262" s="30" t="s">
        <v>246</v>
      </c>
      <c r="E262" s="31"/>
      <c r="F262" s="30"/>
      <c r="G262" s="30"/>
      <c r="H262" s="32" t="s">
        <v>428</v>
      </c>
      <c r="I262" s="33" t="s">
        <v>229</v>
      </c>
      <c r="J262" s="32" t="s">
        <v>25</v>
      </c>
      <c r="K262" s="34" t="str">
        <f aca="false">IF(OR(M262="",$E262=""),"",M262-$E262)</f>
        <v/>
      </c>
      <c r="L262" s="35" t="n">
        <f aca="false">IF(SUM(FA262:FN262)=0,"",SUM(EM262:EZ262)/SUM(FA262:FN262))</f>
        <v>52</v>
      </c>
      <c r="M262" s="36" t="n">
        <f aca="false">IF(OR(L262="",FO262=""),"",IFERROR(MATCH(L262,INDEX(Boundaries!$B$2:$I$30,MATCH(FO262,Boundaries!$A$2:$A$30,0),0),1)-1,""))</f>
        <v>4</v>
      </c>
      <c r="N262" s="37" t="str">
        <f aca="false">IF(COUNT($DY262:$EL262)&lt;2,"",INDEX($DK262:$DX262,MAX($DY262:$EL262))-INDEX($DK262:$DX262,MIN($DY262:$EL262)))</f>
        <v/>
      </c>
      <c r="O262" s="37" t="str">
        <f aca="false">IF(COUNT($DY262:$EL262)&lt;2,"",INDEX($DK262:$DX262,MAX($DY262:$EL262))-INDEX($DK262:$DX262,LARGE($DY262:$EL262,2)))</f>
        <v/>
      </c>
      <c r="P262" s="38" t="str">
        <f aca="false">IF(K262="","",IF(K262&gt;=0,"On/above target",IF(AND(N262&lt;&gt;"",N262&gt;=0.5),"Improving towards target",IF(AND(O262&lt;&gt;"",O262&lt;=-0.5),"Declining","Stable below target"))))</f>
        <v/>
      </c>
      <c r="Q262" s="39" t="n">
        <v>13</v>
      </c>
      <c r="R262" s="40" t="n">
        <f aca="false">IF(OR(Q262="",BU262=""),"",Q262/BU262*100)</f>
        <v>52</v>
      </c>
      <c r="S262" s="41" t="n">
        <f aca="false">IF(R262="","",IFERROR(MATCH(R262,INDEX(Boundaries!$B$2:$I$30,MATCH(CI262,Boundaries!$A$2:$A$30,0),0),1)-1,""))</f>
        <v>4</v>
      </c>
      <c r="T262" s="42" t="str">
        <f aca="false">IF(OR(S262="",$E262=""),"",S262-$E262)</f>
        <v/>
      </c>
      <c r="U262" s="39"/>
      <c r="V262" s="40" t="str">
        <f aca="false">IF(OR(U262="",BV262=""),"",U262/BV262*100)</f>
        <v/>
      </c>
      <c r="W262" s="41" t="str">
        <f aca="false">IF(V262="","",IFERROR(MATCH(V262,INDEX(Boundaries!$B$2:$I$30,MATCH(CJ262,Boundaries!$A$2:$A$30,0),0),1)-1,""))</f>
        <v/>
      </c>
      <c r="X262" s="42" t="str">
        <f aca="false">IF(OR(W262="",$E262=""),"",W262-$E262)</f>
        <v/>
      </c>
      <c r="Y262" s="39"/>
      <c r="Z262" s="40" t="str">
        <f aca="false">IF(OR(Y262="",BW262=""),"",Y262/BW262*100)</f>
        <v/>
      </c>
      <c r="AA262" s="41" t="str">
        <f aca="false">IF(Z262="","",IFERROR(MATCH(Z262,INDEX(Boundaries!$B$2:$I$30,MATCH(CK262,Boundaries!$A$2:$A$30,0),0),1)-1,""))</f>
        <v/>
      </c>
      <c r="AB262" s="42" t="str">
        <f aca="false">IF(OR(AA262="",$E262=""),"",AA262-$E262)</f>
        <v/>
      </c>
      <c r="AC262" s="39"/>
      <c r="AD262" s="40" t="str">
        <f aca="false">IF(OR(AC262="",BX262=""),"",AC262/BX262*100)</f>
        <v/>
      </c>
      <c r="AE262" s="41" t="str">
        <f aca="false">IF(AD262="","",IFERROR(MATCH(AD262,INDEX(Boundaries!$B$2:$I$30,MATCH(CL262,Boundaries!$A$2:$A$30,0),0),1)-1,""))</f>
        <v/>
      </c>
      <c r="AF262" s="42" t="str">
        <f aca="false">IF(OR(AE262="",$E262=""),"",AE262-$E262)</f>
        <v/>
      </c>
      <c r="AG262" s="39"/>
      <c r="AH262" s="40" t="str">
        <f aca="false">IF(OR(AG262="",BY262=""),"",AG262/BY262*100)</f>
        <v/>
      </c>
      <c r="AI262" s="41" t="str">
        <f aca="false">IF(AH262="","",IFERROR(MATCH(AH262,INDEX(Boundaries!$B$2:$I$30,MATCH(CM262,Boundaries!$A$2:$A$30,0),0),1)-1,""))</f>
        <v/>
      </c>
      <c r="AJ262" s="42" t="str">
        <f aca="false">IF(OR(AI262="",$E262=""),"",AI262-$E262)</f>
        <v/>
      </c>
      <c r="AK262" s="39"/>
      <c r="AL262" s="40" t="str">
        <f aca="false">IF(OR(AK262="",BZ262=""),"",AK262/BZ262*100)</f>
        <v/>
      </c>
      <c r="AM262" s="41" t="str">
        <f aca="false">IF(AL262="","",IFERROR(MATCH(AL262,INDEX(Boundaries!$B$2:$I$30,MATCH(CN262,Boundaries!$A$2:$A$30,0),0),1)-1,""))</f>
        <v/>
      </c>
      <c r="AN262" s="42" t="str">
        <f aca="false">IF(OR(AM262="",$E262=""),"",AM262-$E262)</f>
        <v/>
      </c>
      <c r="AO262" s="39"/>
      <c r="AP262" s="40" t="str">
        <f aca="false">IF(OR(AO262="",CA262=""),"",AO262/CA262*100)</f>
        <v/>
      </c>
      <c r="AQ262" s="41" t="str">
        <f aca="false">IF(AP262="","",IFERROR(MATCH(AP262,INDEX(Boundaries!$B$2:$I$30,MATCH(CO262,Boundaries!$A$2:$A$30,0),0),1)-1,""))</f>
        <v/>
      </c>
      <c r="AR262" s="42" t="str">
        <f aca="false">IF(OR(AQ262="",$E262=""),"",AQ262-$E262)</f>
        <v/>
      </c>
      <c r="AS262" s="39"/>
      <c r="AT262" s="40" t="str">
        <f aca="false">IF(OR(AS262="",CB262=""),"",AS262/CB262*100)</f>
        <v/>
      </c>
      <c r="AU262" s="41" t="str">
        <f aca="false">IF(AT262="","",IFERROR(MATCH(AT262,INDEX(Boundaries!$B$2:$I$30,MATCH(CP262,Boundaries!$A$2:$A$30,0),0),1)-1,""))</f>
        <v/>
      </c>
      <c r="AV262" s="42" t="str">
        <f aca="false">IF(OR(AU262="",$E262=""),"",AU262-$E262)</f>
        <v/>
      </c>
      <c r="AW262" s="39"/>
      <c r="AX262" s="40" t="str">
        <f aca="false">IF(OR(AW262="",CC262=""),"",AW262/CC262*100)</f>
        <v/>
      </c>
      <c r="AY262" s="41" t="str">
        <f aca="false">IF(AX262="","",IFERROR(MATCH(AX262,INDEX(Boundaries!$B$2:$I$30,MATCH(CQ262,Boundaries!$A$2:$A$30,0),0),1)-1,""))</f>
        <v/>
      </c>
      <c r="AZ262" s="42" t="str">
        <f aca="false">IF(OR(AY262="",$E262=""),"",AY262-$E262)</f>
        <v/>
      </c>
      <c r="BA262" s="39"/>
      <c r="BB262" s="40" t="str">
        <f aca="false">IF(OR(BA262="",CD262=""),"",BA262/CD262*100)</f>
        <v/>
      </c>
      <c r="BC262" s="41" t="str">
        <f aca="false">IF(BB262="","",IFERROR(MATCH(BB262,INDEX(Boundaries!$B$2:$I$30,MATCH(CR262,Boundaries!$A$2:$A$30,0),0),1)-1,""))</f>
        <v/>
      </c>
      <c r="BD262" s="42" t="str">
        <f aca="false">IF(OR(BC262="",$E262=""),"",BC262-$E262)</f>
        <v/>
      </c>
      <c r="BE262" s="39"/>
      <c r="BF262" s="40" t="str">
        <f aca="false">IF(OR(BE262="",CE262=""),"",BE262/CE262*100)</f>
        <v/>
      </c>
      <c r="BG262" s="41" t="str">
        <f aca="false">IF(BF262="","",IFERROR(MATCH(BF262,INDEX(Boundaries!$B$2:$I$30,MATCH(CS262,Boundaries!$A$2:$A$30,0),0),1)-1,""))</f>
        <v/>
      </c>
      <c r="BH262" s="42" t="str">
        <f aca="false">IF(OR(BG262="",$E262=""),"",BG262-$E262)</f>
        <v/>
      </c>
      <c r="BI262" s="39"/>
      <c r="BJ262" s="40" t="str">
        <f aca="false">IF(OR(BI262="",CF262=""),"",BI262/CF262*100)</f>
        <v/>
      </c>
      <c r="BK262" s="41" t="str">
        <f aca="false">IF(BJ262="","",IFERROR(MATCH(BJ262,INDEX(Boundaries!$B$2:$I$30,MATCH(CT262,Boundaries!$A$2:$A$30,0),0),1)-1,""))</f>
        <v/>
      </c>
      <c r="BL262" s="42" t="str">
        <f aca="false">IF(OR(BK262="",$E262=""),"",BK262-$E262)</f>
        <v/>
      </c>
      <c r="BM262" s="39"/>
      <c r="BN262" s="40" t="str">
        <f aca="false">IF(OR(BM262="",CG262=""),"",BM262/CG262*100)</f>
        <v/>
      </c>
      <c r="BO262" s="41" t="str">
        <f aca="false">IF(BN262="","",IFERROR(MATCH(BN262,INDEX(Boundaries!$B$2:$I$30,MATCH(CU262,Boundaries!$A$2:$A$30,0),0),1)-1,""))</f>
        <v/>
      </c>
      <c r="BP262" s="42" t="str">
        <f aca="false">IF(OR(BO262="",$E262=""),"",BO262-$E262)</f>
        <v/>
      </c>
      <c r="BQ262" s="39"/>
      <c r="BR262" s="40" t="str">
        <f aca="false">IF(OR(BQ262="",CH262=""),"",BQ262/CH262*100)</f>
        <v/>
      </c>
      <c r="BS262" s="41" t="str">
        <f aca="false">IF(BR262="","",IFERROR(MATCH(BR262,INDEX(Boundaries!$B$2:$I$30,MATCH(CV262,Boundaries!$A$2:$A$30,0),0),1)-1,""))</f>
        <v/>
      </c>
      <c r="BT262" s="42" t="str">
        <f aca="false">IF(OR(BS262="",$E262=""),"",BS262-$E262)</f>
        <v/>
      </c>
      <c r="BU262" s="28" t="n">
        <f aca="false">IFERROR(INDEX(Assessments!$H$2:$H$600,MATCH($H262&amp;"|"&amp;$I262&amp;"|"&amp;$J262&amp;"|"&amp;1,Assessments!$A$2:$A$600,0)),"")</f>
        <v>25</v>
      </c>
      <c r="BV262" s="28" t="n">
        <f aca="false">IFERROR(INDEX(Assessments!$H$2:$H$600,MATCH($H262&amp;"|"&amp;$I262&amp;"|"&amp;$J262&amp;"|"&amp;2,Assessments!$A$2:$A$600,0)),"")</f>
        <v>24</v>
      </c>
      <c r="BW262" s="28" t="n">
        <f aca="false">IFERROR(INDEX(Assessments!$H$2:$H$600,MATCH($H262&amp;"|"&amp;$I262&amp;"|"&amp;$J262&amp;"|"&amp;3,Assessments!$A$2:$A$600,0)),"")</f>
        <v>25</v>
      </c>
      <c r="BX262" s="28" t="n">
        <f aca="false">IFERROR(INDEX(Assessments!$H$2:$H$600,MATCH($H262&amp;"|"&amp;$I262&amp;"|"&amp;$J262&amp;"|"&amp;4,Assessments!$A$2:$A$600,0)),"")</f>
        <v>35</v>
      </c>
      <c r="BY262" s="28" t="n">
        <f aca="false">IFERROR(INDEX(Assessments!$H$2:$H$600,MATCH($H262&amp;"|"&amp;$I262&amp;"|"&amp;$J262&amp;"|"&amp;5,Assessments!$A$2:$A$600,0)),"")</f>
        <v>55</v>
      </c>
      <c r="BZ262" s="28" t="n">
        <f aca="false">IFERROR(INDEX(Assessments!$H$2:$H$600,MATCH($H262&amp;"|"&amp;$I262&amp;"|"&amp;$J262&amp;"|"&amp;6,Assessments!$A$2:$A$600,0)),"")</f>
        <v>28</v>
      </c>
      <c r="CA262" s="28" t="n">
        <f aca="false">IFERROR(INDEX(Assessments!$H$2:$H$600,MATCH($H262&amp;"|"&amp;$I262&amp;"|"&amp;$J262&amp;"|"&amp;7,Assessments!$A$2:$A$600,0)),"")</f>
        <v>95</v>
      </c>
      <c r="CB262" s="28" t="str">
        <f aca="false">IFERROR(INDEX(Assessments!$H$2:$H$600,MATCH($H262&amp;"|"&amp;$I262&amp;"|"&amp;$J262&amp;"|"&amp;8,Assessments!$A$2:$A$600,0)),"")</f>
        <v/>
      </c>
      <c r="CC262" s="28" t="str">
        <f aca="false">IFERROR(INDEX(Assessments!$H$2:$H$600,MATCH($H262&amp;"|"&amp;$I262&amp;"|"&amp;$J262&amp;"|"&amp;9,Assessments!$A$2:$A$600,0)),"")</f>
        <v/>
      </c>
      <c r="CD262" s="28" t="str">
        <f aca="false">IFERROR(INDEX(Assessments!$H$2:$H$600,MATCH($H262&amp;"|"&amp;$I262&amp;"|"&amp;$J262&amp;"|"&amp;10,Assessments!$A$2:$A$600,0)),"")</f>
        <v/>
      </c>
      <c r="CE262" s="28" t="str">
        <f aca="false">IFERROR(INDEX(Assessments!$H$2:$H$600,MATCH($H262&amp;"|"&amp;$I262&amp;"|"&amp;$J262&amp;"|"&amp;11,Assessments!$A$2:$A$600,0)),"")</f>
        <v/>
      </c>
      <c r="CF262" s="28" t="str">
        <f aca="false">IFERROR(INDEX(Assessments!$H$2:$H$600,MATCH($H262&amp;"|"&amp;$I262&amp;"|"&amp;$J262&amp;"|"&amp;12,Assessments!$A$2:$A$600,0)),"")</f>
        <v/>
      </c>
      <c r="CG262" s="28" t="str">
        <f aca="false">IFERROR(INDEX(Assessments!$H$2:$H$600,MATCH($H262&amp;"|"&amp;$I262&amp;"|"&amp;$J262&amp;"|"&amp;13,Assessments!$A$2:$A$600,0)),"")</f>
        <v/>
      </c>
      <c r="CH262" s="28" t="str">
        <f aca="false">IFERROR(INDEX(Assessments!$H$2:$H$600,MATCH($H262&amp;"|"&amp;$I262&amp;"|"&amp;$J262&amp;"|"&amp;14,Assessments!$A$2:$A$600,0)),"")</f>
        <v/>
      </c>
      <c r="CI262" s="28" t="str">
        <f aca="false">IFERROR(INDEX(Assessments!$I$2:$I$600,MATCH($H262&amp;"|"&amp;$I262&amp;"|"&amp;$J262&amp;"|"&amp;1,Assessments!$A$2:$A$600,0)),"")</f>
        <v>Econ Test</v>
      </c>
      <c r="CJ262" s="28" t="str">
        <f aca="false">IFERROR(INDEX(Assessments!$I$2:$I$600,MATCH($H262&amp;"|"&amp;$I262&amp;"|"&amp;$J262&amp;"|"&amp;2,Assessments!$A$2:$A$600,0)),"")</f>
        <v>Econ Test</v>
      </c>
      <c r="CK262" s="28" t="str">
        <f aca="false">IFERROR(INDEX(Assessments!$I$2:$I$600,MATCH($H262&amp;"|"&amp;$I262&amp;"|"&amp;$J262&amp;"|"&amp;3,Assessments!$A$2:$A$600,0)),"")</f>
        <v>Econ Test</v>
      </c>
      <c r="CL262" s="28" t="str">
        <f aca="false">IFERROR(INDEX(Assessments!$I$2:$I$600,MATCH($H262&amp;"|"&amp;$I262&amp;"|"&amp;$J262&amp;"|"&amp;4,Assessments!$A$2:$A$600,0)),"")</f>
        <v>Econ Test</v>
      </c>
      <c r="CM262" s="28" t="str">
        <f aca="false">IFERROR(INDEX(Assessments!$I$2:$I$600,MATCH($H262&amp;"|"&amp;$I262&amp;"|"&amp;$J262&amp;"|"&amp;5,Assessments!$A$2:$A$600,0)),"")</f>
        <v>Econ Exam</v>
      </c>
      <c r="CN262" s="28" t="str">
        <f aca="false">IFERROR(INDEX(Assessments!$I$2:$I$600,MATCH($H262&amp;"|"&amp;$I262&amp;"|"&amp;$J262&amp;"|"&amp;6,Assessments!$A$2:$A$600,0)),"")</f>
        <v>Econ Test</v>
      </c>
      <c r="CO262" s="28" t="str">
        <f aca="false">IFERROR(INDEX(Assessments!$I$2:$I$600,MATCH($H262&amp;"|"&amp;$I262&amp;"|"&amp;$J262&amp;"|"&amp;7,Assessments!$A$2:$A$600,0)),"")</f>
        <v>Econ Exam</v>
      </c>
      <c r="CP262" s="28" t="str">
        <f aca="false">IFERROR(INDEX(Assessments!$I$2:$I$600,MATCH($H262&amp;"|"&amp;$I262&amp;"|"&amp;$J262&amp;"|"&amp;8,Assessments!$A$2:$A$600,0)),"")</f>
        <v/>
      </c>
      <c r="CQ262" s="28" t="str">
        <f aca="false">IFERROR(INDEX(Assessments!$I$2:$I$600,MATCH($H262&amp;"|"&amp;$I262&amp;"|"&amp;$J262&amp;"|"&amp;9,Assessments!$A$2:$A$600,0)),"")</f>
        <v/>
      </c>
      <c r="CR262" s="28" t="str">
        <f aca="false">IFERROR(INDEX(Assessments!$I$2:$I$600,MATCH($H262&amp;"|"&amp;$I262&amp;"|"&amp;$J262&amp;"|"&amp;10,Assessments!$A$2:$A$600,0)),"")</f>
        <v/>
      </c>
      <c r="CS262" s="28" t="str">
        <f aca="false">IFERROR(INDEX(Assessments!$I$2:$I$600,MATCH($H262&amp;"|"&amp;$I262&amp;"|"&amp;$J262&amp;"|"&amp;11,Assessments!$A$2:$A$600,0)),"")</f>
        <v/>
      </c>
      <c r="CT262" s="28" t="str">
        <f aca="false">IFERROR(INDEX(Assessments!$I$2:$I$600,MATCH($H262&amp;"|"&amp;$I262&amp;"|"&amp;$J262&amp;"|"&amp;12,Assessments!$A$2:$A$600,0)),"")</f>
        <v/>
      </c>
      <c r="CU262" s="28" t="str">
        <f aca="false">IFERROR(INDEX(Assessments!$I$2:$I$600,MATCH($H262&amp;"|"&amp;$I262&amp;"|"&amp;$J262&amp;"|"&amp;13,Assessments!$A$2:$A$600,0)),"")</f>
        <v/>
      </c>
      <c r="CV262" s="28" t="str">
        <f aca="false">IFERROR(INDEX(Assessments!$I$2:$I$600,MATCH($H262&amp;"|"&amp;$I262&amp;"|"&amp;$J262&amp;"|"&amp;14,Assessments!$A$2:$A$600,0)),"")</f>
        <v/>
      </c>
      <c r="CW262" s="28" t="n">
        <f aca="false">IFERROR(INDEX(Assessments!$J$2:$J$600,MATCH($H262&amp;"|"&amp;$I262&amp;"|"&amp;$J262&amp;"|"&amp;1,Assessments!$A$2:$A$600,0)),0)</f>
        <v>1</v>
      </c>
      <c r="CX262" s="28" t="n">
        <f aca="false">IFERROR(INDEX(Assessments!$J$2:$J$600,MATCH($H262&amp;"|"&amp;$I262&amp;"|"&amp;$J262&amp;"|"&amp;2,Assessments!$A$2:$A$600,0)),0)</f>
        <v>1</v>
      </c>
      <c r="CY262" s="28" t="n">
        <f aca="false">IFERROR(INDEX(Assessments!$J$2:$J$600,MATCH($H262&amp;"|"&amp;$I262&amp;"|"&amp;$J262&amp;"|"&amp;3,Assessments!$A$2:$A$600,0)),0)</f>
        <v>1</v>
      </c>
      <c r="CZ262" s="28" t="n">
        <f aca="false">IFERROR(INDEX(Assessments!$J$2:$J$600,MATCH($H262&amp;"|"&amp;$I262&amp;"|"&amp;$J262&amp;"|"&amp;4,Assessments!$A$2:$A$600,0)),0)</f>
        <v>1</v>
      </c>
      <c r="DA262" s="28" t="n">
        <f aca="false">IFERROR(INDEX(Assessments!$J$2:$J$600,MATCH($H262&amp;"|"&amp;$I262&amp;"|"&amp;$J262&amp;"|"&amp;5,Assessments!$A$2:$A$600,0)),0)</f>
        <v>2</v>
      </c>
      <c r="DB262" s="28" t="n">
        <f aca="false">IFERROR(INDEX(Assessments!$J$2:$J$600,MATCH($H262&amp;"|"&amp;$I262&amp;"|"&amp;$J262&amp;"|"&amp;6,Assessments!$A$2:$A$600,0)),0)</f>
        <v>1</v>
      </c>
      <c r="DC262" s="28" t="n">
        <f aca="false">IFERROR(INDEX(Assessments!$J$2:$J$600,MATCH($H262&amp;"|"&amp;$I262&amp;"|"&amp;$J262&amp;"|"&amp;7,Assessments!$A$2:$A$600,0)),0)</f>
        <v>2</v>
      </c>
      <c r="DD262" s="28" t="n">
        <f aca="false">IFERROR(INDEX(Assessments!$J$2:$J$600,MATCH($H262&amp;"|"&amp;$I262&amp;"|"&amp;$J262&amp;"|"&amp;8,Assessments!$A$2:$A$600,0)),0)</f>
        <v>0</v>
      </c>
      <c r="DE262" s="28" t="n">
        <f aca="false">IFERROR(INDEX(Assessments!$J$2:$J$600,MATCH($H262&amp;"|"&amp;$I262&amp;"|"&amp;$J262&amp;"|"&amp;9,Assessments!$A$2:$A$600,0)),0)</f>
        <v>0</v>
      </c>
      <c r="DF262" s="28" t="n">
        <f aca="false">IFERROR(INDEX(Assessments!$J$2:$J$600,MATCH($H262&amp;"|"&amp;$I262&amp;"|"&amp;$J262&amp;"|"&amp;10,Assessments!$A$2:$A$600,0)),0)</f>
        <v>0</v>
      </c>
      <c r="DG262" s="28" t="n">
        <f aca="false">IFERROR(INDEX(Assessments!$J$2:$J$600,MATCH($H262&amp;"|"&amp;$I262&amp;"|"&amp;$J262&amp;"|"&amp;11,Assessments!$A$2:$A$600,0)),0)</f>
        <v>0</v>
      </c>
      <c r="DH262" s="28" t="n">
        <f aca="false">IFERROR(INDEX(Assessments!$J$2:$J$600,MATCH($H262&amp;"|"&amp;$I262&amp;"|"&amp;$J262&amp;"|"&amp;12,Assessments!$A$2:$A$600,0)),0)</f>
        <v>0</v>
      </c>
      <c r="DI262" s="28" t="n">
        <f aca="false">IFERROR(INDEX(Assessments!$J$2:$J$600,MATCH($H262&amp;"|"&amp;$I262&amp;"|"&amp;$J262&amp;"|"&amp;13,Assessments!$A$2:$A$600,0)),0)</f>
        <v>0</v>
      </c>
      <c r="DJ262" s="28" t="n">
        <f aca="false">IFERROR(INDEX(Assessments!$J$2:$J$600,MATCH($H262&amp;"|"&amp;$I262&amp;"|"&amp;$J262&amp;"|"&amp;14,Assessments!$A$2:$A$600,0)),0)</f>
        <v>0</v>
      </c>
      <c r="DK262" s="28" t="n">
        <f aca="false">S262</f>
        <v>4</v>
      </c>
      <c r="DL262" s="28" t="str">
        <f aca="false">W262</f>
        <v/>
      </c>
      <c r="DM262" s="28" t="str">
        <f aca="false">AA262</f>
        <v/>
      </c>
      <c r="DN262" s="28" t="str">
        <f aca="false">AE262</f>
        <v/>
      </c>
      <c r="DO262" s="28" t="str">
        <f aca="false">AI262</f>
        <v/>
      </c>
      <c r="DP262" s="28" t="str">
        <f aca="false">AM262</f>
        <v/>
      </c>
      <c r="DQ262" s="28" t="str">
        <f aca="false">AQ262</f>
        <v/>
      </c>
      <c r="DR262" s="28" t="str">
        <f aca="false">AU262</f>
        <v/>
      </c>
      <c r="DS262" s="28" t="str">
        <f aca="false">AY262</f>
        <v/>
      </c>
      <c r="DT262" s="28" t="str">
        <f aca="false">BC262</f>
        <v/>
      </c>
      <c r="DU262" s="28" t="str">
        <f aca="false">BG262</f>
        <v/>
      </c>
      <c r="DV262" s="28" t="str">
        <f aca="false">BK262</f>
        <v/>
      </c>
      <c r="DW262" s="28" t="str">
        <f aca="false">BO262</f>
        <v/>
      </c>
      <c r="DX262" s="28" t="str">
        <f aca="false">BS262</f>
        <v/>
      </c>
      <c r="DY262" s="28" t="n">
        <f aca="false">IF(ISNUMBER(S262),1,"")</f>
        <v>1</v>
      </c>
      <c r="DZ262" s="28" t="str">
        <f aca="false">IF(ISNUMBER(W262),2,"")</f>
        <v/>
      </c>
      <c r="EA262" s="28" t="str">
        <f aca="false">IF(ISNUMBER(AA262),3,"")</f>
        <v/>
      </c>
      <c r="EB262" s="28" t="str">
        <f aca="false">IF(ISNUMBER(AE262),4,"")</f>
        <v/>
      </c>
      <c r="EC262" s="28" t="str">
        <f aca="false">IF(ISNUMBER(AI262),5,"")</f>
        <v/>
      </c>
      <c r="ED262" s="28" t="str">
        <f aca="false">IF(ISNUMBER(AM262),6,"")</f>
        <v/>
      </c>
      <c r="EE262" s="28" t="str">
        <f aca="false">IF(ISNUMBER(AQ262),7,"")</f>
        <v/>
      </c>
      <c r="EF262" s="28" t="str">
        <f aca="false">IF(ISNUMBER(AU262),8,"")</f>
        <v/>
      </c>
      <c r="EG262" s="28" t="str">
        <f aca="false">IF(ISNUMBER(AY262),9,"")</f>
        <v/>
      </c>
      <c r="EH262" s="28" t="str">
        <f aca="false">IF(ISNUMBER(BC262),10,"")</f>
        <v/>
      </c>
      <c r="EI262" s="28" t="str">
        <f aca="false">IF(ISNUMBER(BG262),11,"")</f>
        <v/>
      </c>
      <c r="EJ262" s="28" t="str">
        <f aca="false">IF(ISNUMBER(BK262),12,"")</f>
        <v/>
      </c>
      <c r="EK262" s="28" t="str">
        <f aca="false">IF(ISNUMBER(BO262),13,"")</f>
        <v/>
      </c>
      <c r="EL262" s="28" t="str">
        <f aca="false">IF(ISNUMBER(BS262),14,"")</f>
        <v/>
      </c>
      <c r="EM262" s="28" t="n">
        <f aca="false">IF(ISNUMBER(R262),R262*CW262,0)</f>
        <v>52</v>
      </c>
      <c r="EN262" s="28" t="n">
        <f aca="false">IF(ISNUMBER(V262),V262*CX262,0)</f>
        <v>0</v>
      </c>
      <c r="EO262" s="28" t="n">
        <f aca="false">IF(ISNUMBER(Z262),Z262*CY262,0)</f>
        <v>0</v>
      </c>
      <c r="EP262" s="28" t="n">
        <f aca="false">IF(ISNUMBER(AD262),AD262*CZ262,0)</f>
        <v>0</v>
      </c>
      <c r="EQ262" s="28" t="n">
        <f aca="false">IF(ISNUMBER(AH262),AH262*DA262,0)</f>
        <v>0</v>
      </c>
      <c r="ER262" s="28" t="n">
        <f aca="false">IF(ISNUMBER(AL262),AL262*DB262,0)</f>
        <v>0</v>
      </c>
      <c r="ES262" s="28" t="n">
        <f aca="false">IF(ISNUMBER(AP262),AP262*DC262,0)</f>
        <v>0</v>
      </c>
      <c r="ET262" s="28" t="n">
        <f aca="false">IF(ISNUMBER(AT262),AT262*DD262,0)</f>
        <v>0</v>
      </c>
      <c r="EU262" s="28" t="n">
        <f aca="false">IF(ISNUMBER(AX262),AX262*DE262,0)</f>
        <v>0</v>
      </c>
      <c r="EV262" s="28" t="n">
        <f aca="false">IF(ISNUMBER(BB262),BB262*DF262,0)</f>
        <v>0</v>
      </c>
      <c r="EW262" s="28" t="n">
        <f aca="false">IF(ISNUMBER(BF262),BF262*DG262,0)</f>
        <v>0</v>
      </c>
      <c r="EX262" s="28" t="n">
        <f aca="false">IF(ISNUMBER(BJ262),BJ262*DH262,0)</f>
        <v>0</v>
      </c>
      <c r="EY262" s="28" t="n">
        <f aca="false">IF(ISNUMBER(BN262),BN262*DI262,0)</f>
        <v>0</v>
      </c>
      <c r="EZ262" s="28" t="n">
        <f aca="false">IF(ISNUMBER(BR262),BR262*DJ262,0)</f>
        <v>0</v>
      </c>
      <c r="FA262" s="28" t="n">
        <f aca="false">IF(ISNUMBER(R262),CW262,0)</f>
        <v>1</v>
      </c>
      <c r="FB262" s="28" t="n">
        <f aca="false">IF(ISNUMBER(V262),CX262,0)</f>
        <v>0</v>
      </c>
      <c r="FC262" s="28" t="n">
        <f aca="false">IF(ISNUMBER(Z262),CY262,0)</f>
        <v>0</v>
      </c>
      <c r="FD262" s="28" t="n">
        <f aca="false">IF(ISNUMBER(AD262),CZ262,0)</f>
        <v>0</v>
      </c>
      <c r="FE262" s="28" t="n">
        <f aca="false">IF(ISNUMBER(AH262),DA262,0)</f>
        <v>0</v>
      </c>
      <c r="FF262" s="28" t="n">
        <f aca="false">IF(ISNUMBER(AL262),DB262,0)</f>
        <v>0</v>
      </c>
      <c r="FG262" s="28" t="n">
        <f aca="false">IF(ISNUMBER(AP262),DC262,0)</f>
        <v>0</v>
      </c>
      <c r="FH262" s="28" t="n">
        <f aca="false">IF(ISNUMBER(AT262),DD262,0)</f>
        <v>0</v>
      </c>
      <c r="FI262" s="28" t="n">
        <f aca="false">IF(ISNUMBER(AX262),DE262,0)</f>
        <v>0</v>
      </c>
      <c r="FJ262" s="28" t="n">
        <f aca="false">IF(ISNUMBER(BB262),DF262,0)</f>
        <v>0</v>
      </c>
      <c r="FK262" s="28" t="n">
        <f aca="false">IF(ISNUMBER(BF262),DG262,0)</f>
        <v>0</v>
      </c>
      <c r="FL262" s="28" t="n">
        <f aca="false">IF(ISNUMBER(BJ262),DH262,0)</f>
        <v>0</v>
      </c>
      <c r="FM262" s="28" t="n">
        <f aca="false">IF(ISNUMBER(BN262),DI262,0)</f>
        <v>0</v>
      </c>
      <c r="FN262" s="28" t="n">
        <f aca="false">IF(ISNUMBER(BR262),DJ262,0)</f>
        <v>0</v>
      </c>
      <c r="FO262" s="28" t="str">
        <f aca="false">IFERROR(INDEX(Lists!$G$2:$G$20,MATCH($I262&amp;"|"&amp;$J262,Lists!$F$2:$F$20,0)),"")</f>
        <v>Econ Exam</v>
      </c>
    </row>
    <row r="263" customFormat="false" ht="19.5" hidden="false" customHeight="true" outlineLevel="0" collapsed="false">
      <c r="A263" s="29" t="s">
        <v>531</v>
      </c>
      <c r="B263" s="29" t="s">
        <v>532</v>
      </c>
      <c r="C263" s="30" t="s">
        <v>192</v>
      </c>
      <c r="D263" s="30" t="s">
        <v>246</v>
      </c>
      <c r="E263" s="31"/>
      <c r="F263" s="30"/>
      <c r="G263" s="30"/>
      <c r="H263" s="32" t="s">
        <v>428</v>
      </c>
      <c r="I263" s="33" t="s">
        <v>229</v>
      </c>
      <c r="J263" s="32" t="s">
        <v>25</v>
      </c>
      <c r="K263" s="34" t="str">
        <f aca="false">IF(OR(M263="",$E263=""),"",M263-$E263)</f>
        <v/>
      </c>
      <c r="L263" s="35" t="n">
        <f aca="false">IF(SUM(FA263:FN263)=0,"",SUM(EM263:EZ263)/SUM(FA263:FN263))</f>
        <v>56</v>
      </c>
      <c r="M263" s="36" t="n">
        <f aca="false">IF(OR(L263="",FO263=""),"",IFERROR(MATCH(L263,INDEX(Boundaries!$B$2:$I$30,MATCH(FO263,Boundaries!$A$2:$A$30,0),0),1)-1,""))</f>
        <v>4</v>
      </c>
      <c r="N263" s="37" t="str">
        <f aca="false">IF(COUNT($DY263:$EL263)&lt;2,"",INDEX($DK263:$DX263,MAX($DY263:$EL263))-INDEX($DK263:$DX263,MIN($DY263:$EL263)))</f>
        <v/>
      </c>
      <c r="O263" s="37" t="str">
        <f aca="false">IF(COUNT($DY263:$EL263)&lt;2,"",INDEX($DK263:$DX263,MAX($DY263:$EL263))-INDEX($DK263:$DX263,LARGE($DY263:$EL263,2)))</f>
        <v/>
      </c>
      <c r="P263" s="38" t="str">
        <f aca="false">IF(K263="","",IF(K263&gt;=0,"On/above target",IF(AND(N263&lt;&gt;"",N263&gt;=0.5),"Improving towards target",IF(AND(O263&lt;&gt;"",O263&lt;=-0.5),"Declining","Stable below target"))))</f>
        <v/>
      </c>
      <c r="Q263" s="39" t="n">
        <v>14</v>
      </c>
      <c r="R263" s="40" t="n">
        <f aca="false">IF(OR(Q263="",BU263=""),"",Q263/BU263*100)</f>
        <v>56</v>
      </c>
      <c r="S263" s="41" t="n">
        <f aca="false">IF(R263="","",IFERROR(MATCH(R263,INDEX(Boundaries!$B$2:$I$30,MATCH(CI263,Boundaries!$A$2:$A$30,0),0),1)-1,""))</f>
        <v>4</v>
      </c>
      <c r="T263" s="42" t="str">
        <f aca="false">IF(OR(S263="",$E263=""),"",S263-$E263)</f>
        <v/>
      </c>
      <c r="U263" s="39"/>
      <c r="V263" s="40" t="str">
        <f aca="false">IF(OR(U263="",BV263=""),"",U263/BV263*100)</f>
        <v/>
      </c>
      <c r="W263" s="41" t="str">
        <f aca="false">IF(V263="","",IFERROR(MATCH(V263,INDEX(Boundaries!$B$2:$I$30,MATCH(CJ263,Boundaries!$A$2:$A$30,0),0),1)-1,""))</f>
        <v/>
      </c>
      <c r="X263" s="42" t="str">
        <f aca="false">IF(OR(W263="",$E263=""),"",W263-$E263)</f>
        <v/>
      </c>
      <c r="Y263" s="39"/>
      <c r="Z263" s="40" t="str">
        <f aca="false">IF(OR(Y263="",BW263=""),"",Y263/BW263*100)</f>
        <v/>
      </c>
      <c r="AA263" s="41" t="str">
        <f aca="false">IF(Z263="","",IFERROR(MATCH(Z263,INDEX(Boundaries!$B$2:$I$30,MATCH(CK263,Boundaries!$A$2:$A$30,0),0),1)-1,""))</f>
        <v/>
      </c>
      <c r="AB263" s="42" t="str">
        <f aca="false">IF(OR(AA263="",$E263=""),"",AA263-$E263)</f>
        <v/>
      </c>
      <c r="AC263" s="39"/>
      <c r="AD263" s="40" t="str">
        <f aca="false">IF(OR(AC263="",BX263=""),"",AC263/BX263*100)</f>
        <v/>
      </c>
      <c r="AE263" s="41" t="str">
        <f aca="false">IF(AD263="","",IFERROR(MATCH(AD263,INDEX(Boundaries!$B$2:$I$30,MATCH(CL263,Boundaries!$A$2:$A$30,0),0),1)-1,""))</f>
        <v/>
      </c>
      <c r="AF263" s="42" t="str">
        <f aca="false">IF(OR(AE263="",$E263=""),"",AE263-$E263)</f>
        <v/>
      </c>
      <c r="AG263" s="39"/>
      <c r="AH263" s="40" t="str">
        <f aca="false">IF(OR(AG263="",BY263=""),"",AG263/BY263*100)</f>
        <v/>
      </c>
      <c r="AI263" s="41" t="str">
        <f aca="false">IF(AH263="","",IFERROR(MATCH(AH263,INDEX(Boundaries!$B$2:$I$30,MATCH(CM263,Boundaries!$A$2:$A$30,0),0),1)-1,""))</f>
        <v/>
      </c>
      <c r="AJ263" s="42" t="str">
        <f aca="false">IF(OR(AI263="",$E263=""),"",AI263-$E263)</f>
        <v/>
      </c>
      <c r="AK263" s="39"/>
      <c r="AL263" s="40" t="str">
        <f aca="false">IF(OR(AK263="",BZ263=""),"",AK263/BZ263*100)</f>
        <v/>
      </c>
      <c r="AM263" s="41" t="str">
        <f aca="false">IF(AL263="","",IFERROR(MATCH(AL263,INDEX(Boundaries!$B$2:$I$30,MATCH(CN263,Boundaries!$A$2:$A$30,0),0),1)-1,""))</f>
        <v/>
      </c>
      <c r="AN263" s="42" t="str">
        <f aca="false">IF(OR(AM263="",$E263=""),"",AM263-$E263)</f>
        <v/>
      </c>
      <c r="AO263" s="39"/>
      <c r="AP263" s="40" t="str">
        <f aca="false">IF(OR(AO263="",CA263=""),"",AO263/CA263*100)</f>
        <v/>
      </c>
      <c r="AQ263" s="41" t="str">
        <f aca="false">IF(AP263="","",IFERROR(MATCH(AP263,INDEX(Boundaries!$B$2:$I$30,MATCH(CO263,Boundaries!$A$2:$A$30,0),0),1)-1,""))</f>
        <v/>
      </c>
      <c r="AR263" s="42" t="str">
        <f aca="false">IF(OR(AQ263="",$E263=""),"",AQ263-$E263)</f>
        <v/>
      </c>
      <c r="AS263" s="39"/>
      <c r="AT263" s="40" t="str">
        <f aca="false">IF(OR(AS263="",CB263=""),"",AS263/CB263*100)</f>
        <v/>
      </c>
      <c r="AU263" s="41" t="str">
        <f aca="false">IF(AT263="","",IFERROR(MATCH(AT263,INDEX(Boundaries!$B$2:$I$30,MATCH(CP263,Boundaries!$A$2:$A$30,0),0),1)-1,""))</f>
        <v/>
      </c>
      <c r="AV263" s="42" t="str">
        <f aca="false">IF(OR(AU263="",$E263=""),"",AU263-$E263)</f>
        <v/>
      </c>
      <c r="AW263" s="39"/>
      <c r="AX263" s="40" t="str">
        <f aca="false">IF(OR(AW263="",CC263=""),"",AW263/CC263*100)</f>
        <v/>
      </c>
      <c r="AY263" s="41" t="str">
        <f aca="false">IF(AX263="","",IFERROR(MATCH(AX263,INDEX(Boundaries!$B$2:$I$30,MATCH(CQ263,Boundaries!$A$2:$A$30,0),0),1)-1,""))</f>
        <v/>
      </c>
      <c r="AZ263" s="42" t="str">
        <f aca="false">IF(OR(AY263="",$E263=""),"",AY263-$E263)</f>
        <v/>
      </c>
      <c r="BA263" s="39"/>
      <c r="BB263" s="40" t="str">
        <f aca="false">IF(OR(BA263="",CD263=""),"",BA263/CD263*100)</f>
        <v/>
      </c>
      <c r="BC263" s="41" t="str">
        <f aca="false">IF(BB263="","",IFERROR(MATCH(BB263,INDEX(Boundaries!$B$2:$I$30,MATCH(CR263,Boundaries!$A$2:$A$30,0),0),1)-1,""))</f>
        <v/>
      </c>
      <c r="BD263" s="42" t="str">
        <f aca="false">IF(OR(BC263="",$E263=""),"",BC263-$E263)</f>
        <v/>
      </c>
      <c r="BE263" s="39"/>
      <c r="BF263" s="40" t="str">
        <f aca="false">IF(OR(BE263="",CE263=""),"",BE263/CE263*100)</f>
        <v/>
      </c>
      <c r="BG263" s="41" t="str">
        <f aca="false">IF(BF263="","",IFERROR(MATCH(BF263,INDEX(Boundaries!$B$2:$I$30,MATCH(CS263,Boundaries!$A$2:$A$30,0),0),1)-1,""))</f>
        <v/>
      </c>
      <c r="BH263" s="42" t="str">
        <f aca="false">IF(OR(BG263="",$E263=""),"",BG263-$E263)</f>
        <v/>
      </c>
      <c r="BI263" s="39"/>
      <c r="BJ263" s="40" t="str">
        <f aca="false">IF(OR(BI263="",CF263=""),"",BI263/CF263*100)</f>
        <v/>
      </c>
      <c r="BK263" s="41" t="str">
        <f aca="false">IF(BJ263="","",IFERROR(MATCH(BJ263,INDEX(Boundaries!$B$2:$I$30,MATCH(CT263,Boundaries!$A$2:$A$30,0),0),1)-1,""))</f>
        <v/>
      </c>
      <c r="BL263" s="42" t="str">
        <f aca="false">IF(OR(BK263="",$E263=""),"",BK263-$E263)</f>
        <v/>
      </c>
      <c r="BM263" s="39"/>
      <c r="BN263" s="40" t="str">
        <f aca="false">IF(OR(BM263="",CG263=""),"",BM263/CG263*100)</f>
        <v/>
      </c>
      <c r="BO263" s="41" t="str">
        <f aca="false">IF(BN263="","",IFERROR(MATCH(BN263,INDEX(Boundaries!$B$2:$I$30,MATCH(CU263,Boundaries!$A$2:$A$30,0),0),1)-1,""))</f>
        <v/>
      </c>
      <c r="BP263" s="42" t="str">
        <f aca="false">IF(OR(BO263="",$E263=""),"",BO263-$E263)</f>
        <v/>
      </c>
      <c r="BQ263" s="39"/>
      <c r="BR263" s="40" t="str">
        <f aca="false">IF(OR(BQ263="",CH263=""),"",BQ263/CH263*100)</f>
        <v/>
      </c>
      <c r="BS263" s="41" t="str">
        <f aca="false">IF(BR263="","",IFERROR(MATCH(BR263,INDEX(Boundaries!$B$2:$I$30,MATCH(CV263,Boundaries!$A$2:$A$30,0),0),1)-1,""))</f>
        <v/>
      </c>
      <c r="BT263" s="42" t="str">
        <f aca="false">IF(OR(BS263="",$E263=""),"",BS263-$E263)</f>
        <v/>
      </c>
      <c r="BU263" s="28" t="n">
        <f aca="false">IFERROR(INDEX(Assessments!$H$2:$H$600,MATCH($H263&amp;"|"&amp;$I263&amp;"|"&amp;$J263&amp;"|"&amp;1,Assessments!$A$2:$A$600,0)),"")</f>
        <v>25</v>
      </c>
      <c r="BV263" s="28" t="n">
        <f aca="false">IFERROR(INDEX(Assessments!$H$2:$H$600,MATCH($H263&amp;"|"&amp;$I263&amp;"|"&amp;$J263&amp;"|"&amp;2,Assessments!$A$2:$A$600,0)),"")</f>
        <v>24</v>
      </c>
      <c r="BW263" s="28" t="n">
        <f aca="false">IFERROR(INDEX(Assessments!$H$2:$H$600,MATCH($H263&amp;"|"&amp;$I263&amp;"|"&amp;$J263&amp;"|"&amp;3,Assessments!$A$2:$A$600,0)),"")</f>
        <v>25</v>
      </c>
      <c r="BX263" s="28" t="n">
        <f aca="false">IFERROR(INDEX(Assessments!$H$2:$H$600,MATCH($H263&amp;"|"&amp;$I263&amp;"|"&amp;$J263&amp;"|"&amp;4,Assessments!$A$2:$A$600,0)),"")</f>
        <v>35</v>
      </c>
      <c r="BY263" s="28" t="n">
        <f aca="false">IFERROR(INDEX(Assessments!$H$2:$H$600,MATCH($H263&amp;"|"&amp;$I263&amp;"|"&amp;$J263&amp;"|"&amp;5,Assessments!$A$2:$A$600,0)),"")</f>
        <v>55</v>
      </c>
      <c r="BZ263" s="28" t="n">
        <f aca="false">IFERROR(INDEX(Assessments!$H$2:$H$600,MATCH($H263&amp;"|"&amp;$I263&amp;"|"&amp;$J263&amp;"|"&amp;6,Assessments!$A$2:$A$600,0)),"")</f>
        <v>28</v>
      </c>
      <c r="CA263" s="28" t="n">
        <f aca="false">IFERROR(INDEX(Assessments!$H$2:$H$600,MATCH($H263&amp;"|"&amp;$I263&amp;"|"&amp;$J263&amp;"|"&amp;7,Assessments!$A$2:$A$600,0)),"")</f>
        <v>95</v>
      </c>
      <c r="CB263" s="28" t="str">
        <f aca="false">IFERROR(INDEX(Assessments!$H$2:$H$600,MATCH($H263&amp;"|"&amp;$I263&amp;"|"&amp;$J263&amp;"|"&amp;8,Assessments!$A$2:$A$600,0)),"")</f>
        <v/>
      </c>
      <c r="CC263" s="28" t="str">
        <f aca="false">IFERROR(INDEX(Assessments!$H$2:$H$600,MATCH($H263&amp;"|"&amp;$I263&amp;"|"&amp;$J263&amp;"|"&amp;9,Assessments!$A$2:$A$600,0)),"")</f>
        <v/>
      </c>
      <c r="CD263" s="28" t="str">
        <f aca="false">IFERROR(INDEX(Assessments!$H$2:$H$600,MATCH($H263&amp;"|"&amp;$I263&amp;"|"&amp;$J263&amp;"|"&amp;10,Assessments!$A$2:$A$600,0)),"")</f>
        <v/>
      </c>
      <c r="CE263" s="28" t="str">
        <f aca="false">IFERROR(INDEX(Assessments!$H$2:$H$600,MATCH($H263&amp;"|"&amp;$I263&amp;"|"&amp;$J263&amp;"|"&amp;11,Assessments!$A$2:$A$600,0)),"")</f>
        <v/>
      </c>
      <c r="CF263" s="28" t="str">
        <f aca="false">IFERROR(INDEX(Assessments!$H$2:$H$600,MATCH($H263&amp;"|"&amp;$I263&amp;"|"&amp;$J263&amp;"|"&amp;12,Assessments!$A$2:$A$600,0)),"")</f>
        <v/>
      </c>
      <c r="CG263" s="28" t="str">
        <f aca="false">IFERROR(INDEX(Assessments!$H$2:$H$600,MATCH($H263&amp;"|"&amp;$I263&amp;"|"&amp;$J263&amp;"|"&amp;13,Assessments!$A$2:$A$600,0)),"")</f>
        <v/>
      </c>
      <c r="CH263" s="28" t="str">
        <f aca="false">IFERROR(INDEX(Assessments!$H$2:$H$600,MATCH($H263&amp;"|"&amp;$I263&amp;"|"&amp;$J263&amp;"|"&amp;14,Assessments!$A$2:$A$600,0)),"")</f>
        <v/>
      </c>
      <c r="CI263" s="28" t="str">
        <f aca="false">IFERROR(INDEX(Assessments!$I$2:$I$600,MATCH($H263&amp;"|"&amp;$I263&amp;"|"&amp;$J263&amp;"|"&amp;1,Assessments!$A$2:$A$600,0)),"")</f>
        <v>Econ Test</v>
      </c>
      <c r="CJ263" s="28" t="str">
        <f aca="false">IFERROR(INDEX(Assessments!$I$2:$I$600,MATCH($H263&amp;"|"&amp;$I263&amp;"|"&amp;$J263&amp;"|"&amp;2,Assessments!$A$2:$A$600,0)),"")</f>
        <v>Econ Test</v>
      </c>
      <c r="CK263" s="28" t="str">
        <f aca="false">IFERROR(INDEX(Assessments!$I$2:$I$600,MATCH($H263&amp;"|"&amp;$I263&amp;"|"&amp;$J263&amp;"|"&amp;3,Assessments!$A$2:$A$600,0)),"")</f>
        <v>Econ Test</v>
      </c>
      <c r="CL263" s="28" t="str">
        <f aca="false">IFERROR(INDEX(Assessments!$I$2:$I$600,MATCH($H263&amp;"|"&amp;$I263&amp;"|"&amp;$J263&amp;"|"&amp;4,Assessments!$A$2:$A$600,0)),"")</f>
        <v>Econ Test</v>
      </c>
      <c r="CM263" s="28" t="str">
        <f aca="false">IFERROR(INDEX(Assessments!$I$2:$I$600,MATCH($H263&amp;"|"&amp;$I263&amp;"|"&amp;$J263&amp;"|"&amp;5,Assessments!$A$2:$A$600,0)),"")</f>
        <v>Econ Exam</v>
      </c>
      <c r="CN263" s="28" t="str">
        <f aca="false">IFERROR(INDEX(Assessments!$I$2:$I$600,MATCH($H263&amp;"|"&amp;$I263&amp;"|"&amp;$J263&amp;"|"&amp;6,Assessments!$A$2:$A$600,0)),"")</f>
        <v>Econ Test</v>
      </c>
      <c r="CO263" s="28" t="str">
        <f aca="false">IFERROR(INDEX(Assessments!$I$2:$I$600,MATCH($H263&amp;"|"&amp;$I263&amp;"|"&amp;$J263&amp;"|"&amp;7,Assessments!$A$2:$A$600,0)),"")</f>
        <v>Econ Exam</v>
      </c>
      <c r="CP263" s="28" t="str">
        <f aca="false">IFERROR(INDEX(Assessments!$I$2:$I$600,MATCH($H263&amp;"|"&amp;$I263&amp;"|"&amp;$J263&amp;"|"&amp;8,Assessments!$A$2:$A$600,0)),"")</f>
        <v/>
      </c>
      <c r="CQ263" s="28" t="str">
        <f aca="false">IFERROR(INDEX(Assessments!$I$2:$I$600,MATCH($H263&amp;"|"&amp;$I263&amp;"|"&amp;$J263&amp;"|"&amp;9,Assessments!$A$2:$A$600,0)),"")</f>
        <v/>
      </c>
      <c r="CR263" s="28" t="str">
        <f aca="false">IFERROR(INDEX(Assessments!$I$2:$I$600,MATCH($H263&amp;"|"&amp;$I263&amp;"|"&amp;$J263&amp;"|"&amp;10,Assessments!$A$2:$A$600,0)),"")</f>
        <v/>
      </c>
      <c r="CS263" s="28" t="str">
        <f aca="false">IFERROR(INDEX(Assessments!$I$2:$I$600,MATCH($H263&amp;"|"&amp;$I263&amp;"|"&amp;$J263&amp;"|"&amp;11,Assessments!$A$2:$A$600,0)),"")</f>
        <v/>
      </c>
      <c r="CT263" s="28" t="str">
        <f aca="false">IFERROR(INDEX(Assessments!$I$2:$I$600,MATCH($H263&amp;"|"&amp;$I263&amp;"|"&amp;$J263&amp;"|"&amp;12,Assessments!$A$2:$A$600,0)),"")</f>
        <v/>
      </c>
      <c r="CU263" s="28" t="str">
        <f aca="false">IFERROR(INDEX(Assessments!$I$2:$I$600,MATCH($H263&amp;"|"&amp;$I263&amp;"|"&amp;$J263&amp;"|"&amp;13,Assessments!$A$2:$A$600,0)),"")</f>
        <v/>
      </c>
      <c r="CV263" s="28" t="str">
        <f aca="false">IFERROR(INDEX(Assessments!$I$2:$I$600,MATCH($H263&amp;"|"&amp;$I263&amp;"|"&amp;$J263&amp;"|"&amp;14,Assessments!$A$2:$A$600,0)),"")</f>
        <v/>
      </c>
      <c r="CW263" s="28" t="n">
        <f aca="false">IFERROR(INDEX(Assessments!$J$2:$J$600,MATCH($H263&amp;"|"&amp;$I263&amp;"|"&amp;$J263&amp;"|"&amp;1,Assessments!$A$2:$A$600,0)),0)</f>
        <v>1</v>
      </c>
      <c r="CX263" s="28" t="n">
        <f aca="false">IFERROR(INDEX(Assessments!$J$2:$J$600,MATCH($H263&amp;"|"&amp;$I263&amp;"|"&amp;$J263&amp;"|"&amp;2,Assessments!$A$2:$A$600,0)),0)</f>
        <v>1</v>
      </c>
      <c r="CY263" s="28" t="n">
        <f aca="false">IFERROR(INDEX(Assessments!$J$2:$J$600,MATCH($H263&amp;"|"&amp;$I263&amp;"|"&amp;$J263&amp;"|"&amp;3,Assessments!$A$2:$A$600,0)),0)</f>
        <v>1</v>
      </c>
      <c r="CZ263" s="28" t="n">
        <f aca="false">IFERROR(INDEX(Assessments!$J$2:$J$600,MATCH($H263&amp;"|"&amp;$I263&amp;"|"&amp;$J263&amp;"|"&amp;4,Assessments!$A$2:$A$600,0)),0)</f>
        <v>1</v>
      </c>
      <c r="DA263" s="28" t="n">
        <f aca="false">IFERROR(INDEX(Assessments!$J$2:$J$600,MATCH($H263&amp;"|"&amp;$I263&amp;"|"&amp;$J263&amp;"|"&amp;5,Assessments!$A$2:$A$600,0)),0)</f>
        <v>2</v>
      </c>
      <c r="DB263" s="28" t="n">
        <f aca="false">IFERROR(INDEX(Assessments!$J$2:$J$600,MATCH($H263&amp;"|"&amp;$I263&amp;"|"&amp;$J263&amp;"|"&amp;6,Assessments!$A$2:$A$600,0)),0)</f>
        <v>1</v>
      </c>
      <c r="DC263" s="28" t="n">
        <f aca="false">IFERROR(INDEX(Assessments!$J$2:$J$600,MATCH($H263&amp;"|"&amp;$I263&amp;"|"&amp;$J263&amp;"|"&amp;7,Assessments!$A$2:$A$600,0)),0)</f>
        <v>2</v>
      </c>
      <c r="DD263" s="28" t="n">
        <f aca="false">IFERROR(INDEX(Assessments!$J$2:$J$600,MATCH($H263&amp;"|"&amp;$I263&amp;"|"&amp;$J263&amp;"|"&amp;8,Assessments!$A$2:$A$600,0)),0)</f>
        <v>0</v>
      </c>
      <c r="DE263" s="28" t="n">
        <f aca="false">IFERROR(INDEX(Assessments!$J$2:$J$600,MATCH($H263&amp;"|"&amp;$I263&amp;"|"&amp;$J263&amp;"|"&amp;9,Assessments!$A$2:$A$600,0)),0)</f>
        <v>0</v>
      </c>
      <c r="DF263" s="28" t="n">
        <f aca="false">IFERROR(INDEX(Assessments!$J$2:$J$600,MATCH($H263&amp;"|"&amp;$I263&amp;"|"&amp;$J263&amp;"|"&amp;10,Assessments!$A$2:$A$600,0)),0)</f>
        <v>0</v>
      </c>
      <c r="DG263" s="28" t="n">
        <f aca="false">IFERROR(INDEX(Assessments!$J$2:$J$600,MATCH($H263&amp;"|"&amp;$I263&amp;"|"&amp;$J263&amp;"|"&amp;11,Assessments!$A$2:$A$600,0)),0)</f>
        <v>0</v>
      </c>
      <c r="DH263" s="28" t="n">
        <f aca="false">IFERROR(INDEX(Assessments!$J$2:$J$600,MATCH($H263&amp;"|"&amp;$I263&amp;"|"&amp;$J263&amp;"|"&amp;12,Assessments!$A$2:$A$600,0)),0)</f>
        <v>0</v>
      </c>
      <c r="DI263" s="28" t="n">
        <f aca="false">IFERROR(INDEX(Assessments!$J$2:$J$600,MATCH($H263&amp;"|"&amp;$I263&amp;"|"&amp;$J263&amp;"|"&amp;13,Assessments!$A$2:$A$600,0)),0)</f>
        <v>0</v>
      </c>
      <c r="DJ263" s="28" t="n">
        <f aca="false">IFERROR(INDEX(Assessments!$J$2:$J$600,MATCH($H263&amp;"|"&amp;$I263&amp;"|"&amp;$J263&amp;"|"&amp;14,Assessments!$A$2:$A$600,0)),0)</f>
        <v>0</v>
      </c>
      <c r="DK263" s="28" t="n">
        <f aca="false">S263</f>
        <v>4</v>
      </c>
      <c r="DL263" s="28" t="str">
        <f aca="false">W263</f>
        <v/>
      </c>
      <c r="DM263" s="28" t="str">
        <f aca="false">AA263</f>
        <v/>
      </c>
      <c r="DN263" s="28" t="str">
        <f aca="false">AE263</f>
        <v/>
      </c>
      <c r="DO263" s="28" t="str">
        <f aca="false">AI263</f>
        <v/>
      </c>
      <c r="DP263" s="28" t="str">
        <f aca="false">AM263</f>
        <v/>
      </c>
      <c r="DQ263" s="28" t="str">
        <f aca="false">AQ263</f>
        <v/>
      </c>
      <c r="DR263" s="28" t="str">
        <f aca="false">AU263</f>
        <v/>
      </c>
      <c r="DS263" s="28" t="str">
        <f aca="false">AY263</f>
        <v/>
      </c>
      <c r="DT263" s="28" t="str">
        <f aca="false">BC263</f>
        <v/>
      </c>
      <c r="DU263" s="28" t="str">
        <f aca="false">BG263</f>
        <v/>
      </c>
      <c r="DV263" s="28" t="str">
        <f aca="false">BK263</f>
        <v/>
      </c>
      <c r="DW263" s="28" t="str">
        <f aca="false">BO263</f>
        <v/>
      </c>
      <c r="DX263" s="28" t="str">
        <f aca="false">BS263</f>
        <v/>
      </c>
      <c r="DY263" s="28" t="n">
        <f aca="false">IF(ISNUMBER(S263),1,"")</f>
        <v>1</v>
      </c>
      <c r="DZ263" s="28" t="str">
        <f aca="false">IF(ISNUMBER(W263),2,"")</f>
        <v/>
      </c>
      <c r="EA263" s="28" t="str">
        <f aca="false">IF(ISNUMBER(AA263),3,"")</f>
        <v/>
      </c>
      <c r="EB263" s="28" t="str">
        <f aca="false">IF(ISNUMBER(AE263),4,"")</f>
        <v/>
      </c>
      <c r="EC263" s="28" t="str">
        <f aca="false">IF(ISNUMBER(AI263),5,"")</f>
        <v/>
      </c>
      <c r="ED263" s="28" t="str">
        <f aca="false">IF(ISNUMBER(AM263),6,"")</f>
        <v/>
      </c>
      <c r="EE263" s="28" t="str">
        <f aca="false">IF(ISNUMBER(AQ263),7,"")</f>
        <v/>
      </c>
      <c r="EF263" s="28" t="str">
        <f aca="false">IF(ISNUMBER(AU263),8,"")</f>
        <v/>
      </c>
      <c r="EG263" s="28" t="str">
        <f aca="false">IF(ISNUMBER(AY263),9,"")</f>
        <v/>
      </c>
      <c r="EH263" s="28" t="str">
        <f aca="false">IF(ISNUMBER(BC263),10,"")</f>
        <v/>
      </c>
      <c r="EI263" s="28" t="str">
        <f aca="false">IF(ISNUMBER(BG263),11,"")</f>
        <v/>
      </c>
      <c r="EJ263" s="28" t="str">
        <f aca="false">IF(ISNUMBER(BK263),12,"")</f>
        <v/>
      </c>
      <c r="EK263" s="28" t="str">
        <f aca="false">IF(ISNUMBER(BO263),13,"")</f>
        <v/>
      </c>
      <c r="EL263" s="28" t="str">
        <f aca="false">IF(ISNUMBER(BS263),14,"")</f>
        <v/>
      </c>
      <c r="EM263" s="28" t="n">
        <f aca="false">IF(ISNUMBER(R263),R263*CW263,0)</f>
        <v>56</v>
      </c>
      <c r="EN263" s="28" t="n">
        <f aca="false">IF(ISNUMBER(V263),V263*CX263,0)</f>
        <v>0</v>
      </c>
      <c r="EO263" s="28" t="n">
        <f aca="false">IF(ISNUMBER(Z263),Z263*CY263,0)</f>
        <v>0</v>
      </c>
      <c r="EP263" s="28" t="n">
        <f aca="false">IF(ISNUMBER(AD263),AD263*CZ263,0)</f>
        <v>0</v>
      </c>
      <c r="EQ263" s="28" t="n">
        <f aca="false">IF(ISNUMBER(AH263),AH263*DA263,0)</f>
        <v>0</v>
      </c>
      <c r="ER263" s="28" t="n">
        <f aca="false">IF(ISNUMBER(AL263),AL263*DB263,0)</f>
        <v>0</v>
      </c>
      <c r="ES263" s="28" t="n">
        <f aca="false">IF(ISNUMBER(AP263),AP263*DC263,0)</f>
        <v>0</v>
      </c>
      <c r="ET263" s="28" t="n">
        <f aca="false">IF(ISNUMBER(AT263),AT263*DD263,0)</f>
        <v>0</v>
      </c>
      <c r="EU263" s="28" t="n">
        <f aca="false">IF(ISNUMBER(AX263),AX263*DE263,0)</f>
        <v>0</v>
      </c>
      <c r="EV263" s="28" t="n">
        <f aca="false">IF(ISNUMBER(BB263),BB263*DF263,0)</f>
        <v>0</v>
      </c>
      <c r="EW263" s="28" t="n">
        <f aca="false">IF(ISNUMBER(BF263),BF263*DG263,0)</f>
        <v>0</v>
      </c>
      <c r="EX263" s="28" t="n">
        <f aca="false">IF(ISNUMBER(BJ263),BJ263*DH263,0)</f>
        <v>0</v>
      </c>
      <c r="EY263" s="28" t="n">
        <f aca="false">IF(ISNUMBER(BN263),BN263*DI263,0)</f>
        <v>0</v>
      </c>
      <c r="EZ263" s="28" t="n">
        <f aca="false">IF(ISNUMBER(BR263),BR263*DJ263,0)</f>
        <v>0</v>
      </c>
      <c r="FA263" s="28" t="n">
        <f aca="false">IF(ISNUMBER(R263),CW263,0)</f>
        <v>1</v>
      </c>
      <c r="FB263" s="28" t="n">
        <f aca="false">IF(ISNUMBER(V263),CX263,0)</f>
        <v>0</v>
      </c>
      <c r="FC263" s="28" t="n">
        <f aca="false">IF(ISNUMBER(Z263),CY263,0)</f>
        <v>0</v>
      </c>
      <c r="FD263" s="28" t="n">
        <f aca="false">IF(ISNUMBER(AD263),CZ263,0)</f>
        <v>0</v>
      </c>
      <c r="FE263" s="28" t="n">
        <f aca="false">IF(ISNUMBER(AH263),DA263,0)</f>
        <v>0</v>
      </c>
      <c r="FF263" s="28" t="n">
        <f aca="false">IF(ISNUMBER(AL263),DB263,0)</f>
        <v>0</v>
      </c>
      <c r="FG263" s="28" t="n">
        <f aca="false">IF(ISNUMBER(AP263),DC263,0)</f>
        <v>0</v>
      </c>
      <c r="FH263" s="28" t="n">
        <f aca="false">IF(ISNUMBER(AT263),DD263,0)</f>
        <v>0</v>
      </c>
      <c r="FI263" s="28" t="n">
        <f aca="false">IF(ISNUMBER(AX263),DE263,0)</f>
        <v>0</v>
      </c>
      <c r="FJ263" s="28" t="n">
        <f aca="false">IF(ISNUMBER(BB263),DF263,0)</f>
        <v>0</v>
      </c>
      <c r="FK263" s="28" t="n">
        <f aca="false">IF(ISNUMBER(BF263),DG263,0)</f>
        <v>0</v>
      </c>
      <c r="FL263" s="28" t="n">
        <f aca="false">IF(ISNUMBER(BJ263),DH263,0)</f>
        <v>0</v>
      </c>
      <c r="FM263" s="28" t="n">
        <f aca="false">IF(ISNUMBER(BN263),DI263,0)</f>
        <v>0</v>
      </c>
      <c r="FN263" s="28" t="n">
        <f aca="false">IF(ISNUMBER(BR263),DJ263,0)</f>
        <v>0</v>
      </c>
      <c r="FO263" s="28" t="str">
        <f aca="false">IFERROR(INDEX(Lists!$G$2:$G$20,MATCH($I263&amp;"|"&amp;$J263,Lists!$F$2:$F$20,0)),"")</f>
        <v>Econ Exam</v>
      </c>
    </row>
    <row r="264" customFormat="false" ht="19.5" hidden="false" customHeight="true" outlineLevel="0" collapsed="false">
      <c r="A264" s="29" t="s">
        <v>533</v>
      </c>
      <c r="B264" s="29" t="s">
        <v>534</v>
      </c>
      <c r="C264" s="30" t="s">
        <v>192</v>
      </c>
      <c r="D264" s="30" t="s">
        <v>246</v>
      </c>
      <c r="E264" s="31"/>
      <c r="F264" s="30"/>
      <c r="G264" s="30"/>
      <c r="H264" s="32" t="s">
        <v>428</v>
      </c>
      <c r="I264" s="33" t="s">
        <v>229</v>
      </c>
      <c r="J264" s="32" t="s">
        <v>25</v>
      </c>
      <c r="K264" s="34" t="str">
        <f aca="false">IF(OR(M264="",$E264=""),"",M264-$E264)</f>
        <v/>
      </c>
      <c r="L264" s="35" t="n">
        <f aca="false">IF(SUM(FA264:FN264)=0,"",SUM(EM264:EZ264)/SUM(FA264:FN264))</f>
        <v>64</v>
      </c>
      <c r="M264" s="36" t="n">
        <f aca="false">IF(OR(L264="",FO264=""),"",IFERROR(MATCH(L264,INDEX(Boundaries!$B$2:$I$30,MATCH(FO264,Boundaries!$A$2:$A$30,0),0),1)-1,""))</f>
        <v>5</v>
      </c>
      <c r="N264" s="37" t="str">
        <f aca="false">IF(COUNT($DY264:$EL264)&lt;2,"",INDEX($DK264:$DX264,MAX($DY264:$EL264))-INDEX($DK264:$DX264,MIN($DY264:$EL264)))</f>
        <v/>
      </c>
      <c r="O264" s="37" t="str">
        <f aca="false">IF(COUNT($DY264:$EL264)&lt;2,"",INDEX($DK264:$DX264,MAX($DY264:$EL264))-INDEX($DK264:$DX264,LARGE($DY264:$EL264,2)))</f>
        <v/>
      </c>
      <c r="P264" s="38" t="str">
        <f aca="false">IF(K264="","",IF(K264&gt;=0,"On/above target",IF(AND(N264&lt;&gt;"",N264&gt;=0.5),"Improving towards target",IF(AND(O264&lt;&gt;"",O264&lt;=-0.5),"Declining","Stable below target"))))</f>
        <v/>
      </c>
      <c r="Q264" s="39" t="n">
        <v>16</v>
      </c>
      <c r="R264" s="40" t="n">
        <f aca="false">IF(OR(Q264="",BU264=""),"",Q264/BU264*100)</f>
        <v>64</v>
      </c>
      <c r="S264" s="41" t="n">
        <f aca="false">IF(R264="","",IFERROR(MATCH(R264,INDEX(Boundaries!$B$2:$I$30,MATCH(CI264,Boundaries!$A$2:$A$30,0),0),1)-1,""))</f>
        <v>4</v>
      </c>
      <c r="T264" s="42" t="str">
        <f aca="false">IF(OR(S264="",$E264=""),"",S264-$E264)</f>
        <v/>
      </c>
      <c r="U264" s="39"/>
      <c r="V264" s="40" t="str">
        <f aca="false">IF(OR(U264="",BV264=""),"",U264/BV264*100)</f>
        <v/>
      </c>
      <c r="W264" s="41" t="str">
        <f aca="false">IF(V264="","",IFERROR(MATCH(V264,INDEX(Boundaries!$B$2:$I$30,MATCH(CJ264,Boundaries!$A$2:$A$30,0),0),1)-1,""))</f>
        <v/>
      </c>
      <c r="X264" s="42" t="str">
        <f aca="false">IF(OR(W264="",$E264=""),"",W264-$E264)</f>
        <v/>
      </c>
      <c r="Y264" s="39"/>
      <c r="Z264" s="40" t="str">
        <f aca="false">IF(OR(Y264="",BW264=""),"",Y264/BW264*100)</f>
        <v/>
      </c>
      <c r="AA264" s="41" t="str">
        <f aca="false">IF(Z264="","",IFERROR(MATCH(Z264,INDEX(Boundaries!$B$2:$I$30,MATCH(CK264,Boundaries!$A$2:$A$30,0),0),1)-1,""))</f>
        <v/>
      </c>
      <c r="AB264" s="42" t="str">
        <f aca="false">IF(OR(AA264="",$E264=""),"",AA264-$E264)</f>
        <v/>
      </c>
      <c r="AC264" s="39"/>
      <c r="AD264" s="40" t="str">
        <f aca="false">IF(OR(AC264="",BX264=""),"",AC264/BX264*100)</f>
        <v/>
      </c>
      <c r="AE264" s="41" t="str">
        <f aca="false">IF(AD264="","",IFERROR(MATCH(AD264,INDEX(Boundaries!$B$2:$I$30,MATCH(CL264,Boundaries!$A$2:$A$30,0),0),1)-1,""))</f>
        <v/>
      </c>
      <c r="AF264" s="42" t="str">
        <f aca="false">IF(OR(AE264="",$E264=""),"",AE264-$E264)</f>
        <v/>
      </c>
      <c r="AG264" s="39"/>
      <c r="AH264" s="40" t="str">
        <f aca="false">IF(OR(AG264="",BY264=""),"",AG264/BY264*100)</f>
        <v/>
      </c>
      <c r="AI264" s="41" t="str">
        <f aca="false">IF(AH264="","",IFERROR(MATCH(AH264,INDEX(Boundaries!$B$2:$I$30,MATCH(CM264,Boundaries!$A$2:$A$30,0),0),1)-1,""))</f>
        <v/>
      </c>
      <c r="AJ264" s="42" t="str">
        <f aca="false">IF(OR(AI264="",$E264=""),"",AI264-$E264)</f>
        <v/>
      </c>
      <c r="AK264" s="39"/>
      <c r="AL264" s="40" t="str">
        <f aca="false">IF(OR(AK264="",BZ264=""),"",AK264/BZ264*100)</f>
        <v/>
      </c>
      <c r="AM264" s="41" t="str">
        <f aca="false">IF(AL264="","",IFERROR(MATCH(AL264,INDEX(Boundaries!$B$2:$I$30,MATCH(CN264,Boundaries!$A$2:$A$30,0),0),1)-1,""))</f>
        <v/>
      </c>
      <c r="AN264" s="42" t="str">
        <f aca="false">IF(OR(AM264="",$E264=""),"",AM264-$E264)</f>
        <v/>
      </c>
      <c r="AO264" s="39"/>
      <c r="AP264" s="40" t="str">
        <f aca="false">IF(OR(AO264="",CA264=""),"",AO264/CA264*100)</f>
        <v/>
      </c>
      <c r="AQ264" s="41" t="str">
        <f aca="false">IF(AP264="","",IFERROR(MATCH(AP264,INDEX(Boundaries!$B$2:$I$30,MATCH(CO264,Boundaries!$A$2:$A$30,0),0),1)-1,""))</f>
        <v/>
      </c>
      <c r="AR264" s="42" t="str">
        <f aca="false">IF(OR(AQ264="",$E264=""),"",AQ264-$E264)</f>
        <v/>
      </c>
      <c r="AS264" s="39"/>
      <c r="AT264" s="40" t="str">
        <f aca="false">IF(OR(AS264="",CB264=""),"",AS264/CB264*100)</f>
        <v/>
      </c>
      <c r="AU264" s="41" t="str">
        <f aca="false">IF(AT264="","",IFERROR(MATCH(AT264,INDEX(Boundaries!$B$2:$I$30,MATCH(CP264,Boundaries!$A$2:$A$30,0),0),1)-1,""))</f>
        <v/>
      </c>
      <c r="AV264" s="42" t="str">
        <f aca="false">IF(OR(AU264="",$E264=""),"",AU264-$E264)</f>
        <v/>
      </c>
      <c r="AW264" s="39"/>
      <c r="AX264" s="40" t="str">
        <f aca="false">IF(OR(AW264="",CC264=""),"",AW264/CC264*100)</f>
        <v/>
      </c>
      <c r="AY264" s="41" t="str">
        <f aca="false">IF(AX264="","",IFERROR(MATCH(AX264,INDEX(Boundaries!$B$2:$I$30,MATCH(CQ264,Boundaries!$A$2:$A$30,0),0),1)-1,""))</f>
        <v/>
      </c>
      <c r="AZ264" s="42" t="str">
        <f aca="false">IF(OR(AY264="",$E264=""),"",AY264-$E264)</f>
        <v/>
      </c>
      <c r="BA264" s="39"/>
      <c r="BB264" s="40" t="str">
        <f aca="false">IF(OR(BA264="",CD264=""),"",BA264/CD264*100)</f>
        <v/>
      </c>
      <c r="BC264" s="41" t="str">
        <f aca="false">IF(BB264="","",IFERROR(MATCH(BB264,INDEX(Boundaries!$B$2:$I$30,MATCH(CR264,Boundaries!$A$2:$A$30,0),0),1)-1,""))</f>
        <v/>
      </c>
      <c r="BD264" s="42" t="str">
        <f aca="false">IF(OR(BC264="",$E264=""),"",BC264-$E264)</f>
        <v/>
      </c>
      <c r="BE264" s="39"/>
      <c r="BF264" s="40" t="str">
        <f aca="false">IF(OR(BE264="",CE264=""),"",BE264/CE264*100)</f>
        <v/>
      </c>
      <c r="BG264" s="41" t="str">
        <f aca="false">IF(BF264="","",IFERROR(MATCH(BF264,INDEX(Boundaries!$B$2:$I$30,MATCH(CS264,Boundaries!$A$2:$A$30,0),0),1)-1,""))</f>
        <v/>
      </c>
      <c r="BH264" s="42" t="str">
        <f aca="false">IF(OR(BG264="",$E264=""),"",BG264-$E264)</f>
        <v/>
      </c>
      <c r="BI264" s="39"/>
      <c r="BJ264" s="40" t="str">
        <f aca="false">IF(OR(BI264="",CF264=""),"",BI264/CF264*100)</f>
        <v/>
      </c>
      <c r="BK264" s="41" t="str">
        <f aca="false">IF(BJ264="","",IFERROR(MATCH(BJ264,INDEX(Boundaries!$B$2:$I$30,MATCH(CT264,Boundaries!$A$2:$A$30,0),0),1)-1,""))</f>
        <v/>
      </c>
      <c r="BL264" s="42" t="str">
        <f aca="false">IF(OR(BK264="",$E264=""),"",BK264-$E264)</f>
        <v/>
      </c>
      <c r="BM264" s="39"/>
      <c r="BN264" s="40" t="str">
        <f aca="false">IF(OR(BM264="",CG264=""),"",BM264/CG264*100)</f>
        <v/>
      </c>
      <c r="BO264" s="41" t="str">
        <f aca="false">IF(BN264="","",IFERROR(MATCH(BN264,INDEX(Boundaries!$B$2:$I$30,MATCH(CU264,Boundaries!$A$2:$A$30,0),0),1)-1,""))</f>
        <v/>
      </c>
      <c r="BP264" s="42" t="str">
        <f aca="false">IF(OR(BO264="",$E264=""),"",BO264-$E264)</f>
        <v/>
      </c>
      <c r="BQ264" s="39"/>
      <c r="BR264" s="40" t="str">
        <f aca="false">IF(OR(BQ264="",CH264=""),"",BQ264/CH264*100)</f>
        <v/>
      </c>
      <c r="BS264" s="41" t="str">
        <f aca="false">IF(BR264="","",IFERROR(MATCH(BR264,INDEX(Boundaries!$B$2:$I$30,MATCH(CV264,Boundaries!$A$2:$A$30,0),0),1)-1,""))</f>
        <v/>
      </c>
      <c r="BT264" s="42" t="str">
        <f aca="false">IF(OR(BS264="",$E264=""),"",BS264-$E264)</f>
        <v/>
      </c>
      <c r="BU264" s="28" t="n">
        <f aca="false">IFERROR(INDEX(Assessments!$H$2:$H$600,MATCH($H264&amp;"|"&amp;$I264&amp;"|"&amp;$J264&amp;"|"&amp;1,Assessments!$A$2:$A$600,0)),"")</f>
        <v>25</v>
      </c>
      <c r="BV264" s="28" t="n">
        <f aca="false">IFERROR(INDEX(Assessments!$H$2:$H$600,MATCH($H264&amp;"|"&amp;$I264&amp;"|"&amp;$J264&amp;"|"&amp;2,Assessments!$A$2:$A$600,0)),"")</f>
        <v>24</v>
      </c>
      <c r="BW264" s="28" t="n">
        <f aca="false">IFERROR(INDEX(Assessments!$H$2:$H$600,MATCH($H264&amp;"|"&amp;$I264&amp;"|"&amp;$J264&amp;"|"&amp;3,Assessments!$A$2:$A$600,0)),"")</f>
        <v>25</v>
      </c>
      <c r="BX264" s="28" t="n">
        <f aca="false">IFERROR(INDEX(Assessments!$H$2:$H$600,MATCH($H264&amp;"|"&amp;$I264&amp;"|"&amp;$J264&amp;"|"&amp;4,Assessments!$A$2:$A$600,0)),"")</f>
        <v>35</v>
      </c>
      <c r="BY264" s="28" t="n">
        <f aca="false">IFERROR(INDEX(Assessments!$H$2:$H$600,MATCH($H264&amp;"|"&amp;$I264&amp;"|"&amp;$J264&amp;"|"&amp;5,Assessments!$A$2:$A$600,0)),"")</f>
        <v>55</v>
      </c>
      <c r="BZ264" s="28" t="n">
        <f aca="false">IFERROR(INDEX(Assessments!$H$2:$H$600,MATCH($H264&amp;"|"&amp;$I264&amp;"|"&amp;$J264&amp;"|"&amp;6,Assessments!$A$2:$A$600,0)),"")</f>
        <v>28</v>
      </c>
      <c r="CA264" s="28" t="n">
        <f aca="false">IFERROR(INDEX(Assessments!$H$2:$H$600,MATCH($H264&amp;"|"&amp;$I264&amp;"|"&amp;$J264&amp;"|"&amp;7,Assessments!$A$2:$A$600,0)),"")</f>
        <v>95</v>
      </c>
      <c r="CB264" s="28" t="str">
        <f aca="false">IFERROR(INDEX(Assessments!$H$2:$H$600,MATCH($H264&amp;"|"&amp;$I264&amp;"|"&amp;$J264&amp;"|"&amp;8,Assessments!$A$2:$A$600,0)),"")</f>
        <v/>
      </c>
      <c r="CC264" s="28" t="str">
        <f aca="false">IFERROR(INDEX(Assessments!$H$2:$H$600,MATCH($H264&amp;"|"&amp;$I264&amp;"|"&amp;$J264&amp;"|"&amp;9,Assessments!$A$2:$A$600,0)),"")</f>
        <v/>
      </c>
      <c r="CD264" s="28" t="str">
        <f aca="false">IFERROR(INDEX(Assessments!$H$2:$H$600,MATCH($H264&amp;"|"&amp;$I264&amp;"|"&amp;$J264&amp;"|"&amp;10,Assessments!$A$2:$A$600,0)),"")</f>
        <v/>
      </c>
      <c r="CE264" s="28" t="str">
        <f aca="false">IFERROR(INDEX(Assessments!$H$2:$H$600,MATCH($H264&amp;"|"&amp;$I264&amp;"|"&amp;$J264&amp;"|"&amp;11,Assessments!$A$2:$A$600,0)),"")</f>
        <v/>
      </c>
      <c r="CF264" s="28" t="str">
        <f aca="false">IFERROR(INDEX(Assessments!$H$2:$H$600,MATCH($H264&amp;"|"&amp;$I264&amp;"|"&amp;$J264&amp;"|"&amp;12,Assessments!$A$2:$A$600,0)),"")</f>
        <v/>
      </c>
      <c r="CG264" s="28" t="str">
        <f aca="false">IFERROR(INDEX(Assessments!$H$2:$H$600,MATCH($H264&amp;"|"&amp;$I264&amp;"|"&amp;$J264&amp;"|"&amp;13,Assessments!$A$2:$A$600,0)),"")</f>
        <v/>
      </c>
      <c r="CH264" s="28" t="str">
        <f aca="false">IFERROR(INDEX(Assessments!$H$2:$H$600,MATCH($H264&amp;"|"&amp;$I264&amp;"|"&amp;$J264&amp;"|"&amp;14,Assessments!$A$2:$A$600,0)),"")</f>
        <v/>
      </c>
      <c r="CI264" s="28" t="str">
        <f aca="false">IFERROR(INDEX(Assessments!$I$2:$I$600,MATCH($H264&amp;"|"&amp;$I264&amp;"|"&amp;$J264&amp;"|"&amp;1,Assessments!$A$2:$A$600,0)),"")</f>
        <v>Econ Test</v>
      </c>
      <c r="CJ264" s="28" t="str">
        <f aca="false">IFERROR(INDEX(Assessments!$I$2:$I$600,MATCH($H264&amp;"|"&amp;$I264&amp;"|"&amp;$J264&amp;"|"&amp;2,Assessments!$A$2:$A$600,0)),"")</f>
        <v>Econ Test</v>
      </c>
      <c r="CK264" s="28" t="str">
        <f aca="false">IFERROR(INDEX(Assessments!$I$2:$I$600,MATCH($H264&amp;"|"&amp;$I264&amp;"|"&amp;$J264&amp;"|"&amp;3,Assessments!$A$2:$A$600,0)),"")</f>
        <v>Econ Test</v>
      </c>
      <c r="CL264" s="28" t="str">
        <f aca="false">IFERROR(INDEX(Assessments!$I$2:$I$600,MATCH($H264&amp;"|"&amp;$I264&amp;"|"&amp;$J264&amp;"|"&amp;4,Assessments!$A$2:$A$600,0)),"")</f>
        <v>Econ Test</v>
      </c>
      <c r="CM264" s="28" t="str">
        <f aca="false">IFERROR(INDEX(Assessments!$I$2:$I$600,MATCH($H264&amp;"|"&amp;$I264&amp;"|"&amp;$J264&amp;"|"&amp;5,Assessments!$A$2:$A$600,0)),"")</f>
        <v>Econ Exam</v>
      </c>
      <c r="CN264" s="28" t="str">
        <f aca="false">IFERROR(INDEX(Assessments!$I$2:$I$600,MATCH($H264&amp;"|"&amp;$I264&amp;"|"&amp;$J264&amp;"|"&amp;6,Assessments!$A$2:$A$600,0)),"")</f>
        <v>Econ Test</v>
      </c>
      <c r="CO264" s="28" t="str">
        <f aca="false">IFERROR(INDEX(Assessments!$I$2:$I$600,MATCH($H264&amp;"|"&amp;$I264&amp;"|"&amp;$J264&amp;"|"&amp;7,Assessments!$A$2:$A$600,0)),"")</f>
        <v>Econ Exam</v>
      </c>
      <c r="CP264" s="28" t="str">
        <f aca="false">IFERROR(INDEX(Assessments!$I$2:$I$600,MATCH($H264&amp;"|"&amp;$I264&amp;"|"&amp;$J264&amp;"|"&amp;8,Assessments!$A$2:$A$600,0)),"")</f>
        <v/>
      </c>
      <c r="CQ264" s="28" t="str">
        <f aca="false">IFERROR(INDEX(Assessments!$I$2:$I$600,MATCH($H264&amp;"|"&amp;$I264&amp;"|"&amp;$J264&amp;"|"&amp;9,Assessments!$A$2:$A$600,0)),"")</f>
        <v/>
      </c>
      <c r="CR264" s="28" t="str">
        <f aca="false">IFERROR(INDEX(Assessments!$I$2:$I$600,MATCH($H264&amp;"|"&amp;$I264&amp;"|"&amp;$J264&amp;"|"&amp;10,Assessments!$A$2:$A$600,0)),"")</f>
        <v/>
      </c>
      <c r="CS264" s="28" t="str">
        <f aca="false">IFERROR(INDEX(Assessments!$I$2:$I$600,MATCH($H264&amp;"|"&amp;$I264&amp;"|"&amp;$J264&amp;"|"&amp;11,Assessments!$A$2:$A$600,0)),"")</f>
        <v/>
      </c>
      <c r="CT264" s="28" t="str">
        <f aca="false">IFERROR(INDEX(Assessments!$I$2:$I$600,MATCH($H264&amp;"|"&amp;$I264&amp;"|"&amp;$J264&amp;"|"&amp;12,Assessments!$A$2:$A$600,0)),"")</f>
        <v/>
      </c>
      <c r="CU264" s="28" t="str">
        <f aca="false">IFERROR(INDEX(Assessments!$I$2:$I$600,MATCH($H264&amp;"|"&amp;$I264&amp;"|"&amp;$J264&amp;"|"&amp;13,Assessments!$A$2:$A$600,0)),"")</f>
        <v/>
      </c>
      <c r="CV264" s="28" t="str">
        <f aca="false">IFERROR(INDEX(Assessments!$I$2:$I$600,MATCH($H264&amp;"|"&amp;$I264&amp;"|"&amp;$J264&amp;"|"&amp;14,Assessments!$A$2:$A$600,0)),"")</f>
        <v/>
      </c>
      <c r="CW264" s="28" t="n">
        <f aca="false">IFERROR(INDEX(Assessments!$J$2:$J$600,MATCH($H264&amp;"|"&amp;$I264&amp;"|"&amp;$J264&amp;"|"&amp;1,Assessments!$A$2:$A$600,0)),0)</f>
        <v>1</v>
      </c>
      <c r="CX264" s="28" t="n">
        <f aca="false">IFERROR(INDEX(Assessments!$J$2:$J$600,MATCH($H264&amp;"|"&amp;$I264&amp;"|"&amp;$J264&amp;"|"&amp;2,Assessments!$A$2:$A$600,0)),0)</f>
        <v>1</v>
      </c>
      <c r="CY264" s="28" t="n">
        <f aca="false">IFERROR(INDEX(Assessments!$J$2:$J$600,MATCH($H264&amp;"|"&amp;$I264&amp;"|"&amp;$J264&amp;"|"&amp;3,Assessments!$A$2:$A$600,0)),0)</f>
        <v>1</v>
      </c>
      <c r="CZ264" s="28" t="n">
        <f aca="false">IFERROR(INDEX(Assessments!$J$2:$J$600,MATCH($H264&amp;"|"&amp;$I264&amp;"|"&amp;$J264&amp;"|"&amp;4,Assessments!$A$2:$A$600,0)),0)</f>
        <v>1</v>
      </c>
      <c r="DA264" s="28" t="n">
        <f aca="false">IFERROR(INDEX(Assessments!$J$2:$J$600,MATCH($H264&amp;"|"&amp;$I264&amp;"|"&amp;$J264&amp;"|"&amp;5,Assessments!$A$2:$A$600,0)),0)</f>
        <v>2</v>
      </c>
      <c r="DB264" s="28" t="n">
        <f aca="false">IFERROR(INDEX(Assessments!$J$2:$J$600,MATCH($H264&amp;"|"&amp;$I264&amp;"|"&amp;$J264&amp;"|"&amp;6,Assessments!$A$2:$A$600,0)),0)</f>
        <v>1</v>
      </c>
      <c r="DC264" s="28" t="n">
        <f aca="false">IFERROR(INDEX(Assessments!$J$2:$J$600,MATCH($H264&amp;"|"&amp;$I264&amp;"|"&amp;$J264&amp;"|"&amp;7,Assessments!$A$2:$A$600,0)),0)</f>
        <v>2</v>
      </c>
      <c r="DD264" s="28" t="n">
        <f aca="false">IFERROR(INDEX(Assessments!$J$2:$J$600,MATCH($H264&amp;"|"&amp;$I264&amp;"|"&amp;$J264&amp;"|"&amp;8,Assessments!$A$2:$A$600,0)),0)</f>
        <v>0</v>
      </c>
      <c r="DE264" s="28" t="n">
        <f aca="false">IFERROR(INDEX(Assessments!$J$2:$J$600,MATCH($H264&amp;"|"&amp;$I264&amp;"|"&amp;$J264&amp;"|"&amp;9,Assessments!$A$2:$A$600,0)),0)</f>
        <v>0</v>
      </c>
      <c r="DF264" s="28" t="n">
        <f aca="false">IFERROR(INDEX(Assessments!$J$2:$J$600,MATCH($H264&amp;"|"&amp;$I264&amp;"|"&amp;$J264&amp;"|"&amp;10,Assessments!$A$2:$A$600,0)),0)</f>
        <v>0</v>
      </c>
      <c r="DG264" s="28" t="n">
        <f aca="false">IFERROR(INDEX(Assessments!$J$2:$J$600,MATCH($H264&amp;"|"&amp;$I264&amp;"|"&amp;$J264&amp;"|"&amp;11,Assessments!$A$2:$A$600,0)),0)</f>
        <v>0</v>
      </c>
      <c r="DH264" s="28" t="n">
        <f aca="false">IFERROR(INDEX(Assessments!$J$2:$J$600,MATCH($H264&amp;"|"&amp;$I264&amp;"|"&amp;$J264&amp;"|"&amp;12,Assessments!$A$2:$A$600,0)),0)</f>
        <v>0</v>
      </c>
      <c r="DI264" s="28" t="n">
        <f aca="false">IFERROR(INDEX(Assessments!$J$2:$J$600,MATCH($H264&amp;"|"&amp;$I264&amp;"|"&amp;$J264&amp;"|"&amp;13,Assessments!$A$2:$A$600,0)),0)</f>
        <v>0</v>
      </c>
      <c r="DJ264" s="28" t="n">
        <f aca="false">IFERROR(INDEX(Assessments!$J$2:$J$600,MATCH($H264&amp;"|"&amp;$I264&amp;"|"&amp;$J264&amp;"|"&amp;14,Assessments!$A$2:$A$600,0)),0)</f>
        <v>0</v>
      </c>
      <c r="DK264" s="28" t="n">
        <f aca="false">S264</f>
        <v>4</v>
      </c>
      <c r="DL264" s="28" t="str">
        <f aca="false">W264</f>
        <v/>
      </c>
      <c r="DM264" s="28" t="str">
        <f aca="false">AA264</f>
        <v/>
      </c>
      <c r="DN264" s="28" t="str">
        <f aca="false">AE264</f>
        <v/>
      </c>
      <c r="DO264" s="28" t="str">
        <f aca="false">AI264</f>
        <v/>
      </c>
      <c r="DP264" s="28" t="str">
        <f aca="false">AM264</f>
        <v/>
      </c>
      <c r="DQ264" s="28" t="str">
        <f aca="false">AQ264</f>
        <v/>
      </c>
      <c r="DR264" s="28" t="str">
        <f aca="false">AU264</f>
        <v/>
      </c>
      <c r="DS264" s="28" t="str">
        <f aca="false">AY264</f>
        <v/>
      </c>
      <c r="DT264" s="28" t="str">
        <f aca="false">BC264</f>
        <v/>
      </c>
      <c r="DU264" s="28" t="str">
        <f aca="false">BG264</f>
        <v/>
      </c>
      <c r="DV264" s="28" t="str">
        <f aca="false">BK264</f>
        <v/>
      </c>
      <c r="DW264" s="28" t="str">
        <f aca="false">BO264</f>
        <v/>
      </c>
      <c r="DX264" s="28" t="str">
        <f aca="false">BS264</f>
        <v/>
      </c>
      <c r="DY264" s="28" t="n">
        <f aca="false">IF(ISNUMBER(S264),1,"")</f>
        <v>1</v>
      </c>
      <c r="DZ264" s="28" t="str">
        <f aca="false">IF(ISNUMBER(W264),2,"")</f>
        <v/>
      </c>
      <c r="EA264" s="28" t="str">
        <f aca="false">IF(ISNUMBER(AA264),3,"")</f>
        <v/>
      </c>
      <c r="EB264" s="28" t="str">
        <f aca="false">IF(ISNUMBER(AE264),4,"")</f>
        <v/>
      </c>
      <c r="EC264" s="28" t="str">
        <f aca="false">IF(ISNUMBER(AI264),5,"")</f>
        <v/>
      </c>
      <c r="ED264" s="28" t="str">
        <f aca="false">IF(ISNUMBER(AM264),6,"")</f>
        <v/>
      </c>
      <c r="EE264" s="28" t="str">
        <f aca="false">IF(ISNUMBER(AQ264),7,"")</f>
        <v/>
      </c>
      <c r="EF264" s="28" t="str">
        <f aca="false">IF(ISNUMBER(AU264),8,"")</f>
        <v/>
      </c>
      <c r="EG264" s="28" t="str">
        <f aca="false">IF(ISNUMBER(AY264),9,"")</f>
        <v/>
      </c>
      <c r="EH264" s="28" t="str">
        <f aca="false">IF(ISNUMBER(BC264),10,"")</f>
        <v/>
      </c>
      <c r="EI264" s="28" t="str">
        <f aca="false">IF(ISNUMBER(BG264),11,"")</f>
        <v/>
      </c>
      <c r="EJ264" s="28" t="str">
        <f aca="false">IF(ISNUMBER(BK264),12,"")</f>
        <v/>
      </c>
      <c r="EK264" s="28" t="str">
        <f aca="false">IF(ISNUMBER(BO264),13,"")</f>
        <v/>
      </c>
      <c r="EL264" s="28" t="str">
        <f aca="false">IF(ISNUMBER(BS264),14,"")</f>
        <v/>
      </c>
      <c r="EM264" s="28" t="n">
        <f aca="false">IF(ISNUMBER(R264),R264*CW264,0)</f>
        <v>64</v>
      </c>
      <c r="EN264" s="28" t="n">
        <f aca="false">IF(ISNUMBER(V264),V264*CX264,0)</f>
        <v>0</v>
      </c>
      <c r="EO264" s="28" t="n">
        <f aca="false">IF(ISNUMBER(Z264),Z264*CY264,0)</f>
        <v>0</v>
      </c>
      <c r="EP264" s="28" t="n">
        <f aca="false">IF(ISNUMBER(AD264),AD264*CZ264,0)</f>
        <v>0</v>
      </c>
      <c r="EQ264" s="28" t="n">
        <f aca="false">IF(ISNUMBER(AH264),AH264*DA264,0)</f>
        <v>0</v>
      </c>
      <c r="ER264" s="28" t="n">
        <f aca="false">IF(ISNUMBER(AL264),AL264*DB264,0)</f>
        <v>0</v>
      </c>
      <c r="ES264" s="28" t="n">
        <f aca="false">IF(ISNUMBER(AP264),AP264*DC264,0)</f>
        <v>0</v>
      </c>
      <c r="ET264" s="28" t="n">
        <f aca="false">IF(ISNUMBER(AT264),AT264*DD264,0)</f>
        <v>0</v>
      </c>
      <c r="EU264" s="28" t="n">
        <f aca="false">IF(ISNUMBER(AX264),AX264*DE264,0)</f>
        <v>0</v>
      </c>
      <c r="EV264" s="28" t="n">
        <f aca="false">IF(ISNUMBER(BB264),BB264*DF264,0)</f>
        <v>0</v>
      </c>
      <c r="EW264" s="28" t="n">
        <f aca="false">IF(ISNUMBER(BF264),BF264*DG264,0)</f>
        <v>0</v>
      </c>
      <c r="EX264" s="28" t="n">
        <f aca="false">IF(ISNUMBER(BJ264),BJ264*DH264,0)</f>
        <v>0</v>
      </c>
      <c r="EY264" s="28" t="n">
        <f aca="false">IF(ISNUMBER(BN264),BN264*DI264,0)</f>
        <v>0</v>
      </c>
      <c r="EZ264" s="28" t="n">
        <f aca="false">IF(ISNUMBER(BR264),BR264*DJ264,0)</f>
        <v>0</v>
      </c>
      <c r="FA264" s="28" t="n">
        <f aca="false">IF(ISNUMBER(R264),CW264,0)</f>
        <v>1</v>
      </c>
      <c r="FB264" s="28" t="n">
        <f aca="false">IF(ISNUMBER(V264),CX264,0)</f>
        <v>0</v>
      </c>
      <c r="FC264" s="28" t="n">
        <f aca="false">IF(ISNUMBER(Z264),CY264,0)</f>
        <v>0</v>
      </c>
      <c r="FD264" s="28" t="n">
        <f aca="false">IF(ISNUMBER(AD264),CZ264,0)</f>
        <v>0</v>
      </c>
      <c r="FE264" s="28" t="n">
        <f aca="false">IF(ISNUMBER(AH264),DA264,0)</f>
        <v>0</v>
      </c>
      <c r="FF264" s="28" t="n">
        <f aca="false">IF(ISNUMBER(AL264),DB264,0)</f>
        <v>0</v>
      </c>
      <c r="FG264" s="28" t="n">
        <f aca="false">IF(ISNUMBER(AP264),DC264,0)</f>
        <v>0</v>
      </c>
      <c r="FH264" s="28" t="n">
        <f aca="false">IF(ISNUMBER(AT264),DD264,0)</f>
        <v>0</v>
      </c>
      <c r="FI264" s="28" t="n">
        <f aca="false">IF(ISNUMBER(AX264),DE264,0)</f>
        <v>0</v>
      </c>
      <c r="FJ264" s="28" t="n">
        <f aca="false">IF(ISNUMBER(BB264),DF264,0)</f>
        <v>0</v>
      </c>
      <c r="FK264" s="28" t="n">
        <f aca="false">IF(ISNUMBER(BF264),DG264,0)</f>
        <v>0</v>
      </c>
      <c r="FL264" s="28" t="n">
        <f aca="false">IF(ISNUMBER(BJ264),DH264,0)</f>
        <v>0</v>
      </c>
      <c r="FM264" s="28" t="n">
        <f aca="false">IF(ISNUMBER(BN264),DI264,0)</f>
        <v>0</v>
      </c>
      <c r="FN264" s="28" t="n">
        <f aca="false">IF(ISNUMBER(BR264),DJ264,0)</f>
        <v>0</v>
      </c>
      <c r="FO264" s="28" t="str">
        <f aca="false">IFERROR(INDEX(Lists!$G$2:$G$20,MATCH($I264&amp;"|"&amp;$J264,Lists!$F$2:$F$20,0)),"")</f>
        <v>Econ Exam</v>
      </c>
    </row>
    <row r="265" customFormat="false" ht="19.5" hidden="false" customHeight="true" outlineLevel="0" collapsed="false">
      <c r="A265" s="29" t="s">
        <v>535</v>
      </c>
      <c r="B265" s="29" t="s">
        <v>536</v>
      </c>
      <c r="C265" s="30" t="s">
        <v>192</v>
      </c>
      <c r="D265" s="30" t="s">
        <v>246</v>
      </c>
      <c r="E265" s="31"/>
      <c r="F265" s="30"/>
      <c r="G265" s="30"/>
      <c r="H265" s="32" t="s">
        <v>428</v>
      </c>
      <c r="I265" s="33" t="s">
        <v>229</v>
      </c>
      <c r="J265" s="32" t="s">
        <v>25</v>
      </c>
      <c r="K265" s="34" t="str">
        <f aca="false">IF(OR(M265="",$E265=""),"",M265-$E265)</f>
        <v/>
      </c>
      <c r="L265" s="35" t="n">
        <f aca="false">IF(SUM(FA265:FN265)=0,"",SUM(EM265:EZ265)/SUM(FA265:FN265))</f>
        <v>76</v>
      </c>
      <c r="M265" s="36" t="n">
        <f aca="false">IF(OR(L265="",FO265=""),"",IFERROR(MATCH(L265,INDEX(Boundaries!$B$2:$I$30,MATCH(FO265,Boundaries!$A$2:$A$30,0),0),1)-1,""))</f>
        <v>6</v>
      </c>
      <c r="N265" s="37" t="str">
        <f aca="false">IF(COUNT($DY265:$EL265)&lt;2,"",INDEX($DK265:$DX265,MAX($DY265:$EL265))-INDEX($DK265:$DX265,MIN($DY265:$EL265)))</f>
        <v/>
      </c>
      <c r="O265" s="37" t="str">
        <f aca="false">IF(COUNT($DY265:$EL265)&lt;2,"",INDEX($DK265:$DX265,MAX($DY265:$EL265))-INDEX($DK265:$DX265,LARGE($DY265:$EL265,2)))</f>
        <v/>
      </c>
      <c r="P265" s="38" t="str">
        <f aca="false">IF(K265="","",IF(K265&gt;=0,"On/above target",IF(AND(N265&lt;&gt;"",N265&gt;=0.5),"Improving towards target",IF(AND(O265&lt;&gt;"",O265&lt;=-0.5),"Declining","Stable below target"))))</f>
        <v/>
      </c>
      <c r="Q265" s="39" t="n">
        <v>19</v>
      </c>
      <c r="R265" s="40" t="n">
        <f aca="false">IF(OR(Q265="",BU265=""),"",Q265/BU265*100)</f>
        <v>76</v>
      </c>
      <c r="S265" s="41" t="n">
        <f aca="false">IF(R265="","",IFERROR(MATCH(R265,INDEX(Boundaries!$B$2:$I$30,MATCH(CI265,Boundaries!$A$2:$A$30,0),0),1)-1,""))</f>
        <v>6</v>
      </c>
      <c r="T265" s="42" t="str">
        <f aca="false">IF(OR(S265="",$E265=""),"",S265-$E265)</f>
        <v/>
      </c>
      <c r="U265" s="39"/>
      <c r="V265" s="40" t="str">
        <f aca="false">IF(OR(U265="",BV265=""),"",U265/BV265*100)</f>
        <v/>
      </c>
      <c r="W265" s="41" t="str">
        <f aca="false">IF(V265="","",IFERROR(MATCH(V265,INDEX(Boundaries!$B$2:$I$30,MATCH(CJ265,Boundaries!$A$2:$A$30,0),0),1)-1,""))</f>
        <v/>
      </c>
      <c r="X265" s="42" t="str">
        <f aca="false">IF(OR(W265="",$E265=""),"",W265-$E265)</f>
        <v/>
      </c>
      <c r="Y265" s="39"/>
      <c r="Z265" s="40" t="str">
        <f aca="false">IF(OR(Y265="",BW265=""),"",Y265/BW265*100)</f>
        <v/>
      </c>
      <c r="AA265" s="41" t="str">
        <f aca="false">IF(Z265="","",IFERROR(MATCH(Z265,INDEX(Boundaries!$B$2:$I$30,MATCH(CK265,Boundaries!$A$2:$A$30,0),0),1)-1,""))</f>
        <v/>
      </c>
      <c r="AB265" s="42" t="str">
        <f aca="false">IF(OR(AA265="",$E265=""),"",AA265-$E265)</f>
        <v/>
      </c>
      <c r="AC265" s="39"/>
      <c r="AD265" s="40" t="str">
        <f aca="false">IF(OR(AC265="",BX265=""),"",AC265/BX265*100)</f>
        <v/>
      </c>
      <c r="AE265" s="41" t="str">
        <f aca="false">IF(AD265="","",IFERROR(MATCH(AD265,INDEX(Boundaries!$B$2:$I$30,MATCH(CL265,Boundaries!$A$2:$A$30,0),0),1)-1,""))</f>
        <v/>
      </c>
      <c r="AF265" s="42" t="str">
        <f aca="false">IF(OR(AE265="",$E265=""),"",AE265-$E265)</f>
        <v/>
      </c>
      <c r="AG265" s="39"/>
      <c r="AH265" s="40" t="str">
        <f aca="false">IF(OR(AG265="",BY265=""),"",AG265/BY265*100)</f>
        <v/>
      </c>
      <c r="AI265" s="41" t="str">
        <f aca="false">IF(AH265="","",IFERROR(MATCH(AH265,INDEX(Boundaries!$B$2:$I$30,MATCH(CM265,Boundaries!$A$2:$A$30,0),0),1)-1,""))</f>
        <v/>
      </c>
      <c r="AJ265" s="42" t="str">
        <f aca="false">IF(OR(AI265="",$E265=""),"",AI265-$E265)</f>
        <v/>
      </c>
      <c r="AK265" s="39"/>
      <c r="AL265" s="40" t="str">
        <f aca="false">IF(OR(AK265="",BZ265=""),"",AK265/BZ265*100)</f>
        <v/>
      </c>
      <c r="AM265" s="41" t="str">
        <f aca="false">IF(AL265="","",IFERROR(MATCH(AL265,INDEX(Boundaries!$B$2:$I$30,MATCH(CN265,Boundaries!$A$2:$A$30,0),0),1)-1,""))</f>
        <v/>
      </c>
      <c r="AN265" s="42" t="str">
        <f aca="false">IF(OR(AM265="",$E265=""),"",AM265-$E265)</f>
        <v/>
      </c>
      <c r="AO265" s="39"/>
      <c r="AP265" s="40" t="str">
        <f aca="false">IF(OR(AO265="",CA265=""),"",AO265/CA265*100)</f>
        <v/>
      </c>
      <c r="AQ265" s="41" t="str">
        <f aca="false">IF(AP265="","",IFERROR(MATCH(AP265,INDEX(Boundaries!$B$2:$I$30,MATCH(CO265,Boundaries!$A$2:$A$30,0),0),1)-1,""))</f>
        <v/>
      </c>
      <c r="AR265" s="42" t="str">
        <f aca="false">IF(OR(AQ265="",$E265=""),"",AQ265-$E265)</f>
        <v/>
      </c>
      <c r="AS265" s="39"/>
      <c r="AT265" s="40" t="str">
        <f aca="false">IF(OR(AS265="",CB265=""),"",AS265/CB265*100)</f>
        <v/>
      </c>
      <c r="AU265" s="41" t="str">
        <f aca="false">IF(AT265="","",IFERROR(MATCH(AT265,INDEX(Boundaries!$B$2:$I$30,MATCH(CP265,Boundaries!$A$2:$A$30,0),0),1)-1,""))</f>
        <v/>
      </c>
      <c r="AV265" s="42" t="str">
        <f aca="false">IF(OR(AU265="",$E265=""),"",AU265-$E265)</f>
        <v/>
      </c>
      <c r="AW265" s="39"/>
      <c r="AX265" s="40" t="str">
        <f aca="false">IF(OR(AW265="",CC265=""),"",AW265/CC265*100)</f>
        <v/>
      </c>
      <c r="AY265" s="41" t="str">
        <f aca="false">IF(AX265="","",IFERROR(MATCH(AX265,INDEX(Boundaries!$B$2:$I$30,MATCH(CQ265,Boundaries!$A$2:$A$30,0),0),1)-1,""))</f>
        <v/>
      </c>
      <c r="AZ265" s="42" t="str">
        <f aca="false">IF(OR(AY265="",$E265=""),"",AY265-$E265)</f>
        <v/>
      </c>
      <c r="BA265" s="39"/>
      <c r="BB265" s="40" t="str">
        <f aca="false">IF(OR(BA265="",CD265=""),"",BA265/CD265*100)</f>
        <v/>
      </c>
      <c r="BC265" s="41" t="str">
        <f aca="false">IF(BB265="","",IFERROR(MATCH(BB265,INDEX(Boundaries!$B$2:$I$30,MATCH(CR265,Boundaries!$A$2:$A$30,0),0),1)-1,""))</f>
        <v/>
      </c>
      <c r="BD265" s="42" t="str">
        <f aca="false">IF(OR(BC265="",$E265=""),"",BC265-$E265)</f>
        <v/>
      </c>
      <c r="BE265" s="39"/>
      <c r="BF265" s="40" t="str">
        <f aca="false">IF(OR(BE265="",CE265=""),"",BE265/CE265*100)</f>
        <v/>
      </c>
      <c r="BG265" s="41" t="str">
        <f aca="false">IF(BF265="","",IFERROR(MATCH(BF265,INDEX(Boundaries!$B$2:$I$30,MATCH(CS265,Boundaries!$A$2:$A$30,0),0),1)-1,""))</f>
        <v/>
      </c>
      <c r="BH265" s="42" t="str">
        <f aca="false">IF(OR(BG265="",$E265=""),"",BG265-$E265)</f>
        <v/>
      </c>
      <c r="BI265" s="39"/>
      <c r="BJ265" s="40" t="str">
        <f aca="false">IF(OR(BI265="",CF265=""),"",BI265/CF265*100)</f>
        <v/>
      </c>
      <c r="BK265" s="41" t="str">
        <f aca="false">IF(BJ265="","",IFERROR(MATCH(BJ265,INDEX(Boundaries!$B$2:$I$30,MATCH(CT265,Boundaries!$A$2:$A$30,0),0),1)-1,""))</f>
        <v/>
      </c>
      <c r="BL265" s="42" t="str">
        <f aca="false">IF(OR(BK265="",$E265=""),"",BK265-$E265)</f>
        <v/>
      </c>
      <c r="BM265" s="39"/>
      <c r="BN265" s="40" t="str">
        <f aca="false">IF(OR(BM265="",CG265=""),"",BM265/CG265*100)</f>
        <v/>
      </c>
      <c r="BO265" s="41" t="str">
        <f aca="false">IF(BN265="","",IFERROR(MATCH(BN265,INDEX(Boundaries!$B$2:$I$30,MATCH(CU265,Boundaries!$A$2:$A$30,0),0),1)-1,""))</f>
        <v/>
      </c>
      <c r="BP265" s="42" t="str">
        <f aca="false">IF(OR(BO265="",$E265=""),"",BO265-$E265)</f>
        <v/>
      </c>
      <c r="BQ265" s="39"/>
      <c r="BR265" s="40" t="str">
        <f aca="false">IF(OR(BQ265="",CH265=""),"",BQ265/CH265*100)</f>
        <v/>
      </c>
      <c r="BS265" s="41" t="str">
        <f aca="false">IF(BR265="","",IFERROR(MATCH(BR265,INDEX(Boundaries!$B$2:$I$30,MATCH(CV265,Boundaries!$A$2:$A$30,0),0),1)-1,""))</f>
        <v/>
      </c>
      <c r="BT265" s="42" t="str">
        <f aca="false">IF(OR(BS265="",$E265=""),"",BS265-$E265)</f>
        <v/>
      </c>
      <c r="BU265" s="28" t="n">
        <f aca="false">IFERROR(INDEX(Assessments!$H$2:$H$600,MATCH($H265&amp;"|"&amp;$I265&amp;"|"&amp;$J265&amp;"|"&amp;1,Assessments!$A$2:$A$600,0)),"")</f>
        <v>25</v>
      </c>
      <c r="BV265" s="28" t="n">
        <f aca="false">IFERROR(INDEX(Assessments!$H$2:$H$600,MATCH($H265&amp;"|"&amp;$I265&amp;"|"&amp;$J265&amp;"|"&amp;2,Assessments!$A$2:$A$600,0)),"")</f>
        <v>24</v>
      </c>
      <c r="BW265" s="28" t="n">
        <f aca="false">IFERROR(INDEX(Assessments!$H$2:$H$600,MATCH($H265&amp;"|"&amp;$I265&amp;"|"&amp;$J265&amp;"|"&amp;3,Assessments!$A$2:$A$600,0)),"")</f>
        <v>25</v>
      </c>
      <c r="BX265" s="28" t="n">
        <f aca="false">IFERROR(INDEX(Assessments!$H$2:$H$600,MATCH($H265&amp;"|"&amp;$I265&amp;"|"&amp;$J265&amp;"|"&amp;4,Assessments!$A$2:$A$600,0)),"")</f>
        <v>35</v>
      </c>
      <c r="BY265" s="28" t="n">
        <f aca="false">IFERROR(INDEX(Assessments!$H$2:$H$600,MATCH($H265&amp;"|"&amp;$I265&amp;"|"&amp;$J265&amp;"|"&amp;5,Assessments!$A$2:$A$600,0)),"")</f>
        <v>55</v>
      </c>
      <c r="BZ265" s="28" t="n">
        <f aca="false">IFERROR(INDEX(Assessments!$H$2:$H$600,MATCH($H265&amp;"|"&amp;$I265&amp;"|"&amp;$J265&amp;"|"&amp;6,Assessments!$A$2:$A$600,0)),"")</f>
        <v>28</v>
      </c>
      <c r="CA265" s="28" t="n">
        <f aca="false">IFERROR(INDEX(Assessments!$H$2:$H$600,MATCH($H265&amp;"|"&amp;$I265&amp;"|"&amp;$J265&amp;"|"&amp;7,Assessments!$A$2:$A$600,0)),"")</f>
        <v>95</v>
      </c>
      <c r="CB265" s="28" t="str">
        <f aca="false">IFERROR(INDEX(Assessments!$H$2:$H$600,MATCH($H265&amp;"|"&amp;$I265&amp;"|"&amp;$J265&amp;"|"&amp;8,Assessments!$A$2:$A$600,0)),"")</f>
        <v/>
      </c>
      <c r="CC265" s="28" t="str">
        <f aca="false">IFERROR(INDEX(Assessments!$H$2:$H$600,MATCH($H265&amp;"|"&amp;$I265&amp;"|"&amp;$J265&amp;"|"&amp;9,Assessments!$A$2:$A$600,0)),"")</f>
        <v/>
      </c>
      <c r="CD265" s="28" t="str">
        <f aca="false">IFERROR(INDEX(Assessments!$H$2:$H$600,MATCH($H265&amp;"|"&amp;$I265&amp;"|"&amp;$J265&amp;"|"&amp;10,Assessments!$A$2:$A$600,0)),"")</f>
        <v/>
      </c>
      <c r="CE265" s="28" t="str">
        <f aca="false">IFERROR(INDEX(Assessments!$H$2:$H$600,MATCH($H265&amp;"|"&amp;$I265&amp;"|"&amp;$J265&amp;"|"&amp;11,Assessments!$A$2:$A$600,0)),"")</f>
        <v/>
      </c>
      <c r="CF265" s="28" t="str">
        <f aca="false">IFERROR(INDEX(Assessments!$H$2:$H$600,MATCH($H265&amp;"|"&amp;$I265&amp;"|"&amp;$J265&amp;"|"&amp;12,Assessments!$A$2:$A$600,0)),"")</f>
        <v/>
      </c>
      <c r="CG265" s="28" t="str">
        <f aca="false">IFERROR(INDEX(Assessments!$H$2:$H$600,MATCH($H265&amp;"|"&amp;$I265&amp;"|"&amp;$J265&amp;"|"&amp;13,Assessments!$A$2:$A$600,0)),"")</f>
        <v/>
      </c>
      <c r="CH265" s="28" t="str">
        <f aca="false">IFERROR(INDEX(Assessments!$H$2:$H$600,MATCH($H265&amp;"|"&amp;$I265&amp;"|"&amp;$J265&amp;"|"&amp;14,Assessments!$A$2:$A$600,0)),"")</f>
        <v/>
      </c>
      <c r="CI265" s="28" t="str">
        <f aca="false">IFERROR(INDEX(Assessments!$I$2:$I$600,MATCH($H265&amp;"|"&amp;$I265&amp;"|"&amp;$J265&amp;"|"&amp;1,Assessments!$A$2:$A$600,0)),"")</f>
        <v>Econ Test</v>
      </c>
      <c r="CJ265" s="28" t="str">
        <f aca="false">IFERROR(INDEX(Assessments!$I$2:$I$600,MATCH($H265&amp;"|"&amp;$I265&amp;"|"&amp;$J265&amp;"|"&amp;2,Assessments!$A$2:$A$600,0)),"")</f>
        <v>Econ Test</v>
      </c>
      <c r="CK265" s="28" t="str">
        <f aca="false">IFERROR(INDEX(Assessments!$I$2:$I$600,MATCH($H265&amp;"|"&amp;$I265&amp;"|"&amp;$J265&amp;"|"&amp;3,Assessments!$A$2:$A$600,0)),"")</f>
        <v>Econ Test</v>
      </c>
      <c r="CL265" s="28" t="str">
        <f aca="false">IFERROR(INDEX(Assessments!$I$2:$I$600,MATCH($H265&amp;"|"&amp;$I265&amp;"|"&amp;$J265&amp;"|"&amp;4,Assessments!$A$2:$A$600,0)),"")</f>
        <v>Econ Test</v>
      </c>
      <c r="CM265" s="28" t="str">
        <f aca="false">IFERROR(INDEX(Assessments!$I$2:$I$600,MATCH($H265&amp;"|"&amp;$I265&amp;"|"&amp;$J265&amp;"|"&amp;5,Assessments!$A$2:$A$600,0)),"")</f>
        <v>Econ Exam</v>
      </c>
      <c r="CN265" s="28" t="str">
        <f aca="false">IFERROR(INDEX(Assessments!$I$2:$I$600,MATCH($H265&amp;"|"&amp;$I265&amp;"|"&amp;$J265&amp;"|"&amp;6,Assessments!$A$2:$A$600,0)),"")</f>
        <v>Econ Test</v>
      </c>
      <c r="CO265" s="28" t="str">
        <f aca="false">IFERROR(INDEX(Assessments!$I$2:$I$600,MATCH($H265&amp;"|"&amp;$I265&amp;"|"&amp;$J265&amp;"|"&amp;7,Assessments!$A$2:$A$600,0)),"")</f>
        <v>Econ Exam</v>
      </c>
      <c r="CP265" s="28" t="str">
        <f aca="false">IFERROR(INDEX(Assessments!$I$2:$I$600,MATCH($H265&amp;"|"&amp;$I265&amp;"|"&amp;$J265&amp;"|"&amp;8,Assessments!$A$2:$A$600,0)),"")</f>
        <v/>
      </c>
      <c r="CQ265" s="28" t="str">
        <f aca="false">IFERROR(INDEX(Assessments!$I$2:$I$600,MATCH($H265&amp;"|"&amp;$I265&amp;"|"&amp;$J265&amp;"|"&amp;9,Assessments!$A$2:$A$600,0)),"")</f>
        <v/>
      </c>
      <c r="CR265" s="28" t="str">
        <f aca="false">IFERROR(INDEX(Assessments!$I$2:$I$600,MATCH($H265&amp;"|"&amp;$I265&amp;"|"&amp;$J265&amp;"|"&amp;10,Assessments!$A$2:$A$600,0)),"")</f>
        <v/>
      </c>
      <c r="CS265" s="28" t="str">
        <f aca="false">IFERROR(INDEX(Assessments!$I$2:$I$600,MATCH($H265&amp;"|"&amp;$I265&amp;"|"&amp;$J265&amp;"|"&amp;11,Assessments!$A$2:$A$600,0)),"")</f>
        <v/>
      </c>
      <c r="CT265" s="28" t="str">
        <f aca="false">IFERROR(INDEX(Assessments!$I$2:$I$600,MATCH($H265&amp;"|"&amp;$I265&amp;"|"&amp;$J265&amp;"|"&amp;12,Assessments!$A$2:$A$600,0)),"")</f>
        <v/>
      </c>
      <c r="CU265" s="28" t="str">
        <f aca="false">IFERROR(INDEX(Assessments!$I$2:$I$600,MATCH($H265&amp;"|"&amp;$I265&amp;"|"&amp;$J265&amp;"|"&amp;13,Assessments!$A$2:$A$600,0)),"")</f>
        <v/>
      </c>
      <c r="CV265" s="28" t="str">
        <f aca="false">IFERROR(INDEX(Assessments!$I$2:$I$600,MATCH($H265&amp;"|"&amp;$I265&amp;"|"&amp;$J265&amp;"|"&amp;14,Assessments!$A$2:$A$600,0)),"")</f>
        <v/>
      </c>
      <c r="CW265" s="28" t="n">
        <f aca="false">IFERROR(INDEX(Assessments!$J$2:$J$600,MATCH($H265&amp;"|"&amp;$I265&amp;"|"&amp;$J265&amp;"|"&amp;1,Assessments!$A$2:$A$600,0)),0)</f>
        <v>1</v>
      </c>
      <c r="CX265" s="28" t="n">
        <f aca="false">IFERROR(INDEX(Assessments!$J$2:$J$600,MATCH($H265&amp;"|"&amp;$I265&amp;"|"&amp;$J265&amp;"|"&amp;2,Assessments!$A$2:$A$600,0)),0)</f>
        <v>1</v>
      </c>
      <c r="CY265" s="28" t="n">
        <f aca="false">IFERROR(INDEX(Assessments!$J$2:$J$600,MATCH($H265&amp;"|"&amp;$I265&amp;"|"&amp;$J265&amp;"|"&amp;3,Assessments!$A$2:$A$600,0)),0)</f>
        <v>1</v>
      </c>
      <c r="CZ265" s="28" t="n">
        <f aca="false">IFERROR(INDEX(Assessments!$J$2:$J$600,MATCH($H265&amp;"|"&amp;$I265&amp;"|"&amp;$J265&amp;"|"&amp;4,Assessments!$A$2:$A$600,0)),0)</f>
        <v>1</v>
      </c>
      <c r="DA265" s="28" t="n">
        <f aca="false">IFERROR(INDEX(Assessments!$J$2:$J$600,MATCH($H265&amp;"|"&amp;$I265&amp;"|"&amp;$J265&amp;"|"&amp;5,Assessments!$A$2:$A$600,0)),0)</f>
        <v>2</v>
      </c>
      <c r="DB265" s="28" t="n">
        <f aca="false">IFERROR(INDEX(Assessments!$J$2:$J$600,MATCH($H265&amp;"|"&amp;$I265&amp;"|"&amp;$J265&amp;"|"&amp;6,Assessments!$A$2:$A$600,0)),0)</f>
        <v>1</v>
      </c>
      <c r="DC265" s="28" t="n">
        <f aca="false">IFERROR(INDEX(Assessments!$J$2:$J$600,MATCH($H265&amp;"|"&amp;$I265&amp;"|"&amp;$J265&amp;"|"&amp;7,Assessments!$A$2:$A$600,0)),0)</f>
        <v>2</v>
      </c>
      <c r="DD265" s="28" t="n">
        <f aca="false">IFERROR(INDEX(Assessments!$J$2:$J$600,MATCH($H265&amp;"|"&amp;$I265&amp;"|"&amp;$J265&amp;"|"&amp;8,Assessments!$A$2:$A$600,0)),0)</f>
        <v>0</v>
      </c>
      <c r="DE265" s="28" t="n">
        <f aca="false">IFERROR(INDEX(Assessments!$J$2:$J$600,MATCH($H265&amp;"|"&amp;$I265&amp;"|"&amp;$J265&amp;"|"&amp;9,Assessments!$A$2:$A$600,0)),0)</f>
        <v>0</v>
      </c>
      <c r="DF265" s="28" t="n">
        <f aca="false">IFERROR(INDEX(Assessments!$J$2:$J$600,MATCH($H265&amp;"|"&amp;$I265&amp;"|"&amp;$J265&amp;"|"&amp;10,Assessments!$A$2:$A$600,0)),0)</f>
        <v>0</v>
      </c>
      <c r="DG265" s="28" t="n">
        <f aca="false">IFERROR(INDEX(Assessments!$J$2:$J$600,MATCH($H265&amp;"|"&amp;$I265&amp;"|"&amp;$J265&amp;"|"&amp;11,Assessments!$A$2:$A$600,0)),0)</f>
        <v>0</v>
      </c>
      <c r="DH265" s="28" t="n">
        <f aca="false">IFERROR(INDEX(Assessments!$J$2:$J$600,MATCH($H265&amp;"|"&amp;$I265&amp;"|"&amp;$J265&amp;"|"&amp;12,Assessments!$A$2:$A$600,0)),0)</f>
        <v>0</v>
      </c>
      <c r="DI265" s="28" t="n">
        <f aca="false">IFERROR(INDEX(Assessments!$J$2:$J$600,MATCH($H265&amp;"|"&amp;$I265&amp;"|"&amp;$J265&amp;"|"&amp;13,Assessments!$A$2:$A$600,0)),0)</f>
        <v>0</v>
      </c>
      <c r="DJ265" s="28" t="n">
        <f aca="false">IFERROR(INDEX(Assessments!$J$2:$J$600,MATCH($H265&amp;"|"&amp;$I265&amp;"|"&amp;$J265&amp;"|"&amp;14,Assessments!$A$2:$A$600,0)),0)</f>
        <v>0</v>
      </c>
      <c r="DK265" s="28" t="n">
        <f aca="false">S265</f>
        <v>6</v>
      </c>
      <c r="DL265" s="28" t="str">
        <f aca="false">W265</f>
        <v/>
      </c>
      <c r="DM265" s="28" t="str">
        <f aca="false">AA265</f>
        <v/>
      </c>
      <c r="DN265" s="28" t="str">
        <f aca="false">AE265</f>
        <v/>
      </c>
      <c r="DO265" s="28" t="str">
        <f aca="false">AI265</f>
        <v/>
      </c>
      <c r="DP265" s="28" t="str">
        <f aca="false">AM265</f>
        <v/>
      </c>
      <c r="DQ265" s="28" t="str">
        <f aca="false">AQ265</f>
        <v/>
      </c>
      <c r="DR265" s="28" t="str">
        <f aca="false">AU265</f>
        <v/>
      </c>
      <c r="DS265" s="28" t="str">
        <f aca="false">AY265</f>
        <v/>
      </c>
      <c r="DT265" s="28" t="str">
        <f aca="false">BC265</f>
        <v/>
      </c>
      <c r="DU265" s="28" t="str">
        <f aca="false">BG265</f>
        <v/>
      </c>
      <c r="DV265" s="28" t="str">
        <f aca="false">BK265</f>
        <v/>
      </c>
      <c r="DW265" s="28" t="str">
        <f aca="false">BO265</f>
        <v/>
      </c>
      <c r="DX265" s="28" t="str">
        <f aca="false">BS265</f>
        <v/>
      </c>
      <c r="DY265" s="28" t="n">
        <f aca="false">IF(ISNUMBER(S265),1,"")</f>
        <v>1</v>
      </c>
      <c r="DZ265" s="28" t="str">
        <f aca="false">IF(ISNUMBER(W265),2,"")</f>
        <v/>
      </c>
      <c r="EA265" s="28" t="str">
        <f aca="false">IF(ISNUMBER(AA265),3,"")</f>
        <v/>
      </c>
      <c r="EB265" s="28" t="str">
        <f aca="false">IF(ISNUMBER(AE265),4,"")</f>
        <v/>
      </c>
      <c r="EC265" s="28" t="str">
        <f aca="false">IF(ISNUMBER(AI265),5,"")</f>
        <v/>
      </c>
      <c r="ED265" s="28" t="str">
        <f aca="false">IF(ISNUMBER(AM265),6,"")</f>
        <v/>
      </c>
      <c r="EE265" s="28" t="str">
        <f aca="false">IF(ISNUMBER(AQ265),7,"")</f>
        <v/>
      </c>
      <c r="EF265" s="28" t="str">
        <f aca="false">IF(ISNUMBER(AU265),8,"")</f>
        <v/>
      </c>
      <c r="EG265" s="28" t="str">
        <f aca="false">IF(ISNUMBER(AY265),9,"")</f>
        <v/>
      </c>
      <c r="EH265" s="28" t="str">
        <f aca="false">IF(ISNUMBER(BC265),10,"")</f>
        <v/>
      </c>
      <c r="EI265" s="28" t="str">
        <f aca="false">IF(ISNUMBER(BG265),11,"")</f>
        <v/>
      </c>
      <c r="EJ265" s="28" t="str">
        <f aca="false">IF(ISNUMBER(BK265),12,"")</f>
        <v/>
      </c>
      <c r="EK265" s="28" t="str">
        <f aca="false">IF(ISNUMBER(BO265),13,"")</f>
        <v/>
      </c>
      <c r="EL265" s="28" t="str">
        <f aca="false">IF(ISNUMBER(BS265),14,"")</f>
        <v/>
      </c>
      <c r="EM265" s="28" t="n">
        <f aca="false">IF(ISNUMBER(R265),R265*CW265,0)</f>
        <v>76</v>
      </c>
      <c r="EN265" s="28" t="n">
        <f aca="false">IF(ISNUMBER(V265),V265*CX265,0)</f>
        <v>0</v>
      </c>
      <c r="EO265" s="28" t="n">
        <f aca="false">IF(ISNUMBER(Z265),Z265*CY265,0)</f>
        <v>0</v>
      </c>
      <c r="EP265" s="28" t="n">
        <f aca="false">IF(ISNUMBER(AD265),AD265*CZ265,0)</f>
        <v>0</v>
      </c>
      <c r="EQ265" s="28" t="n">
        <f aca="false">IF(ISNUMBER(AH265),AH265*DA265,0)</f>
        <v>0</v>
      </c>
      <c r="ER265" s="28" t="n">
        <f aca="false">IF(ISNUMBER(AL265),AL265*DB265,0)</f>
        <v>0</v>
      </c>
      <c r="ES265" s="28" t="n">
        <f aca="false">IF(ISNUMBER(AP265),AP265*DC265,0)</f>
        <v>0</v>
      </c>
      <c r="ET265" s="28" t="n">
        <f aca="false">IF(ISNUMBER(AT265),AT265*DD265,0)</f>
        <v>0</v>
      </c>
      <c r="EU265" s="28" t="n">
        <f aca="false">IF(ISNUMBER(AX265),AX265*DE265,0)</f>
        <v>0</v>
      </c>
      <c r="EV265" s="28" t="n">
        <f aca="false">IF(ISNUMBER(BB265),BB265*DF265,0)</f>
        <v>0</v>
      </c>
      <c r="EW265" s="28" t="n">
        <f aca="false">IF(ISNUMBER(BF265),BF265*DG265,0)</f>
        <v>0</v>
      </c>
      <c r="EX265" s="28" t="n">
        <f aca="false">IF(ISNUMBER(BJ265),BJ265*DH265,0)</f>
        <v>0</v>
      </c>
      <c r="EY265" s="28" t="n">
        <f aca="false">IF(ISNUMBER(BN265),BN265*DI265,0)</f>
        <v>0</v>
      </c>
      <c r="EZ265" s="28" t="n">
        <f aca="false">IF(ISNUMBER(BR265),BR265*DJ265,0)</f>
        <v>0</v>
      </c>
      <c r="FA265" s="28" t="n">
        <f aca="false">IF(ISNUMBER(R265),CW265,0)</f>
        <v>1</v>
      </c>
      <c r="FB265" s="28" t="n">
        <f aca="false">IF(ISNUMBER(V265),CX265,0)</f>
        <v>0</v>
      </c>
      <c r="FC265" s="28" t="n">
        <f aca="false">IF(ISNUMBER(Z265),CY265,0)</f>
        <v>0</v>
      </c>
      <c r="FD265" s="28" t="n">
        <f aca="false">IF(ISNUMBER(AD265),CZ265,0)</f>
        <v>0</v>
      </c>
      <c r="FE265" s="28" t="n">
        <f aca="false">IF(ISNUMBER(AH265),DA265,0)</f>
        <v>0</v>
      </c>
      <c r="FF265" s="28" t="n">
        <f aca="false">IF(ISNUMBER(AL265),DB265,0)</f>
        <v>0</v>
      </c>
      <c r="FG265" s="28" t="n">
        <f aca="false">IF(ISNUMBER(AP265),DC265,0)</f>
        <v>0</v>
      </c>
      <c r="FH265" s="28" t="n">
        <f aca="false">IF(ISNUMBER(AT265),DD265,0)</f>
        <v>0</v>
      </c>
      <c r="FI265" s="28" t="n">
        <f aca="false">IF(ISNUMBER(AX265),DE265,0)</f>
        <v>0</v>
      </c>
      <c r="FJ265" s="28" t="n">
        <f aca="false">IF(ISNUMBER(BB265),DF265,0)</f>
        <v>0</v>
      </c>
      <c r="FK265" s="28" t="n">
        <f aca="false">IF(ISNUMBER(BF265),DG265,0)</f>
        <v>0</v>
      </c>
      <c r="FL265" s="28" t="n">
        <f aca="false">IF(ISNUMBER(BJ265),DH265,0)</f>
        <v>0</v>
      </c>
      <c r="FM265" s="28" t="n">
        <f aca="false">IF(ISNUMBER(BN265),DI265,0)</f>
        <v>0</v>
      </c>
      <c r="FN265" s="28" t="n">
        <f aca="false">IF(ISNUMBER(BR265),DJ265,0)</f>
        <v>0</v>
      </c>
      <c r="FO265" s="28" t="str">
        <f aca="false">IFERROR(INDEX(Lists!$G$2:$G$20,MATCH($I265&amp;"|"&amp;$J265,Lists!$F$2:$F$20,0)),"")</f>
        <v>Econ Exam</v>
      </c>
    </row>
    <row r="266" customFormat="false" ht="19.5" hidden="false" customHeight="true" outlineLevel="0" collapsed="false">
      <c r="A266" s="29" t="s">
        <v>537</v>
      </c>
      <c r="B266" s="29" t="s">
        <v>538</v>
      </c>
      <c r="C266" s="30" t="s">
        <v>192</v>
      </c>
      <c r="D266" s="30" t="s">
        <v>246</v>
      </c>
      <c r="E266" s="31"/>
      <c r="F266" s="30"/>
      <c r="G266" s="30"/>
      <c r="H266" s="32" t="s">
        <v>428</v>
      </c>
      <c r="I266" s="33" t="s">
        <v>229</v>
      </c>
      <c r="J266" s="32" t="s">
        <v>25</v>
      </c>
      <c r="K266" s="34" t="str">
        <f aca="false">IF(OR(M266="",$E266=""),"",M266-$E266)</f>
        <v/>
      </c>
      <c r="L266" s="35" t="n">
        <f aca="false">IF(SUM(FA266:FN266)=0,"",SUM(EM266:EZ266)/SUM(FA266:FN266))</f>
        <v>72</v>
      </c>
      <c r="M266" s="36" t="n">
        <f aca="false">IF(OR(L266="",FO266=""),"",IFERROR(MATCH(L266,INDEX(Boundaries!$B$2:$I$30,MATCH(FO266,Boundaries!$A$2:$A$30,0),0),1)-1,""))</f>
        <v>6</v>
      </c>
      <c r="N266" s="37" t="str">
        <f aca="false">IF(COUNT($DY266:$EL266)&lt;2,"",INDEX($DK266:$DX266,MAX($DY266:$EL266))-INDEX($DK266:$DX266,MIN($DY266:$EL266)))</f>
        <v/>
      </c>
      <c r="O266" s="37" t="str">
        <f aca="false">IF(COUNT($DY266:$EL266)&lt;2,"",INDEX($DK266:$DX266,MAX($DY266:$EL266))-INDEX($DK266:$DX266,LARGE($DY266:$EL266,2)))</f>
        <v/>
      </c>
      <c r="P266" s="38" t="str">
        <f aca="false">IF(K266="","",IF(K266&gt;=0,"On/above target",IF(AND(N266&lt;&gt;"",N266&gt;=0.5),"Improving towards target",IF(AND(O266&lt;&gt;"",O266&lt;=-0.5),"Declining","Stable below target"))))</f>
        <v/>
      </c>
      <c r="Q266" s="39" t="n">
        <v>18</v>
      </c>
      <c r="R266" s="40" t="n">
        <f aca="false">IF(OR(Q266="",BU266=""),"",Q266/BU266*100)</f>
        <v>72</v>
      </c>
      <c r="S266" s="41" t="n">
        <f aca="false">IF(R266="","",IFERROR(MATCH(R266,INDEX(Boundaries!$B$2:$I$30,MATCH(CI266,Boundaries!$A$2:$A$30,0),0),1)-1,""))</f>
        <v>5</v>
      </c>
      <c r="T266" s="42" t="str">
        <f aca="false">IF(OR(S266="",$E266=""),"",S266-$E266)</f>
        <v/>
      </c>
      <c r="U266" s="39"/>
      <c r="V266" s="40" t="str">
        <f aca="false">IF(OR(U266="",BV266=""),"",U266/BV266*100)</f>
        <v/>
      </c>
      <c r="W266" s="41" t="str">
        <f aca="false">IF(V266="","",IFERROR(MATCH(V266,INDEX(Boundaries!$B$2:$I$30,MATCH(CJ266,Boundaries!$A$2:$A$30,0),0),1)-1,""))</f>
        <v/>
      </c>
      <c r="X266" s="42" t="str">
        <f aca="false">IF(OR(W266="",$E266=""),"",W266-$E266)</f>
        <v/>
      </c>
      <c r="Y266" s="39"/>
      <c r="Z266" s="40" t="str">
        <f aca="false">IF(OR(Y266="",BW266=""),"",Y266/BW266*100)</f>
        <v/>
      </c>
      <c r="AA266" s="41" t="str">
        <f aca="false">IF(Z266="","",IFERROR(MATCH(Z266,INDEX(Boundaries!$B$2:$I$30,MATCH(CK266,Boundaries!$A$2:$A$30,0),0),1)-1,""))</f>
        <v/>
      </c>
      <c r="AB266" s="42" t="str">
        <f aca="false">IF(OR(AA266="",$E266=""),"",AA266-$E266)</f>
        <v/>
      </c>
      <c r="AC266" s="39"/>
      <c r="AD266" s="40" t="str">
        <f aca="false">IF(OR(AC266="",BX266=""),"",AC266/BX266*100)</f>
        <v/>
      </c>
      <c r="AE266" s="41" t="str">
        <f aca="false">IF(AD266="","",IFERROR(MATCH(AD266,INDEX(Boundaries!$B$2:$I$30,MATCH(CL266,Boundaries!$A$2:$A$30,0),0),1)-1,""))</f>
        <v/>
      </c>
      <c r="AF266" s="42" t="str">
        <f aca="false">IF(OR(AE266="",$E266=""),"",AE266-$E266)</f>
        <v/>
      </c>
      <c r="AG266" s="39"/>
      <c r="AH266" s="40" t="str">
        <f aca="false">IF(OR(AG266="",BY266=""),"",AG266/BY266*100)</f>
        <v/>
      </c>
      <c r="AI266" s="41" t="str">
        <f aca="false">IF(AH266="","",IFERROR(MATCH(AH266,INDEX(Boundaries!$B$2:$I$30,MATCH(CM266,Boundaries!$A$2:$A$30,0),0),1)-1,""))</f>
        <v/>
      </c>
      <c r="AJ266" s="42" t="str">
        <f aca="false">IF(OR(AI266="",$E266=""),"",AI266-$E266)</f>
        <v/>
      </c>
      <c r="AK266" s="39"/>
      <c r="AL266" s="40" t="str">
        <f aca="false">IF(OR(AK266="",BZ266=""),"",AK266/BZ266*100)</f>
        <v/>
      </c>
      <c r="AM266" s="41" t="str">
        <f aca="false">IF(AL266="","",IFERROR(MATCH(AL266,INDEX(Boundaries!$B$2:$I$30,MATCH(CN266,Boundaries!$A$2:$A$30,0),0),1)-1,""))</f>
        <v/>
      </c>
      <c r="AN266" s="42" t="str">
        <f aca="false">IF(OR(AM266="",$E266=""),"",AM266-$E266)</f>
        <v/>
      </c>
      <c r="AO266" s="39"/>
      <c r="AP266" s="40" t="str">
        <f aca="false">IF(OR(AO266="",CA266=""),"",AO266/CA266*100)</f>
        <v/>
      </c>
      <c r="AQ266" s="41" t="str">
        <f aca="false">IF(AP266="","",IFERROR(MATCH(AP266,INDEX(Boundaries!$B$2:$I$30,MATCH(CO266,Boundaries!$A$2:$A$30,0),0),1)-1,""))</f>
        <v/>
      </c>
      <c r="AR266" s="42" t="str">
        <f aca="false">IF(OR(AQ266="",$E266=""),"",AQ266-$E266)</f>
        <v/>
      </c>
      <c r="AS266" s="39"/>
      <c r="AT266" s="40" t="str">
        <f aca="false">IF(OR(AS266="",CB266=""),"",AS266/CB266*100)</f>
        <v/>
      </c>
      <c r="AU266" s="41" t="str">
        <f aca="false">IF(AT266="","",IFERROR(MATCH(AT266,INDEX(Boundaries!$B$2:$I$30,MATCH(CP266,Boundaries!$A$2:$A$30,0),0),1)-1,""))</f>
        <v/>
      </c>
      <c r="AV266" s="42" t="str">
        <f aca="false">IF(OR(AU266="",$E266=""),"",AU266-$E266)</f>
        <v/>
      </c>
      <c r="AW266" s="39"/>
      <c r="AX266" s="40" t="str">
        <f aca="false">IF(OR(AW266="",CC266=""),"",AW266/CC266*100)</f>
        <v/>
      </c>
      <c r="AY266" s="41" t="str">
        <f aca="false">IF(AX266="","",IFERROR(MATCH(AX266,INDEX(Boundaries!$B$2:$I$30,MATCH(CQ266,Boundaries!$A$2:$A$30,0),0),1)-1,""))</f>
        <v/>
      </c>
      <c r="AZ266" s="42" t="str">
        <f aca="false">IF(OR(AY266="",$E266=""),"",AY266-$E266)</f>
        <v/>
      </c>
      <c r="BA266" s="39"/>
      <c r="BB266" s="40" t="str">
        <f aca="false">IF(OR(BA266="",CD266=""),"",BA266/CD266*100)</f>
        <v/>
      </c>
      <c r="BC266" s="41" t="str">
        <f aca="false">IF(BB266="","",IFERROR(MATCH(BB266,INDEX(Boundaries!$B$2:$I$30,MATCH(CR266,Boundaries!$A$2:$A$30,0),0),1)-1,""))</f>
        <v/>
      </c>
      <c r="BD266" s="42" t="str">
        <f aca="false">IF(OR(BC266="",$E266=""),"",BC266-$E266)</f>
        <v/>
      </c>
      <c r="BE266" s="39"/>
      <c r="BF266" s="40" t="str">
        <f aca="false">IF(OR(BE266="",CE266=""),"",BE266/CE266*100)</f>
        <v/>
      </c>
      <c r="BG266" s="41" t="str">
        <f aca="false">IF(BF266="","",IFERROR(MATCH(BF266,INDEX(Boundaries!$B$2:$I$30,MATCH(CS266,Boundaries!$A$2:$A$30,0),0),1)-1,""))</f>
        <v/>
      </c>
      <c r="BH266" s="42" t="str">
        <f aca="false">IF(OR(BG266="",$E266=""),"",BG266-$E266)</f>
        <v/>
      </c>
      <c r="BI266" s="39"/>
      <c r="BJ266" s="40" t="str">
        <f aca="false">IF(OR(BI266="",CF266=""),"",BI266/CF266*100)</f>
        <v/>
      </c>
      <c r="BK266" s="41" t="str">
        <f aca="false">IF(BJ266="","",IFERROR(MATCH(BJ266,INDEX(Boundaries!$B$2:$I$30,MATCH(CT266,Boundaries!$A$2:$A$30,0),0),1)-1,""))</f>
        <v/>
      </c>
      <c r="BL266" s="42" t="str">
        <f aca="false">IF(OR(BK266="",$E266=""),"",BK266-$E266)</f>
        <v/>
      </c>
      <c r="BM266" s="39"/>
      <c r="BN266" s="40" t="str">
        <f aca="false">IF(OR(BM266="",CG266=""),"",BM266/CG266*100)</f>
        <v/>
      </c>
      <c r="BO266" s="41" t="str">
        <f aca="false">IF(BN266="","",IFERROR(MATCH(BN266,INDEX(Boundaries!$B$2:$I$30,MATCH(CU266,Boundaries!$A$2:$A$30,0),0),1)-1,""))</f>
        <v/>
      </c>
      <c r="BP266" s="42" t="str">
        <f aca="false">IF(OR(BO266="",$E266=""),"",BO266-$E266)</f>
        <v/>
      </c>
      <c r="BQ266" s="39"/>
      <c r="BR266" s="40" t="str">
        <f aca="false">IF(OR(BQ266="",CH266=""),"",BQ266/CH266*100)</f>
        <v/>
      </c>
      <c r="BS266" s="41" t="str">
        <f aca="false">IF(BR266="","",IFERROR(MATCH(BR266,INDEX(Boundaries!$B$2:$I$30,MATCH(CV266,Boundaries!$A$2:$A$30,0),0),1)-1,""))</f>
        <v/>
      </c>
      <c r="BT266" s="42" t="str">
        <f aca="false">IF(OR(BS266="",$E266=""),"",BS266-$E266)</f>
        <v/>
      </c>
      <c r="BU266" s="28" t="n">
        <f aca="false">IFERROR(INDEX(Assessments!$H$2:$H$600,MATCH($H266&amp;"|"&amp;$I266&amp;"|"&amp;$J266&amp;"|"&amp;1,Assessments!$A$2:$A$600,0)),"")</f>
        <v>25</v>
      </c>
      <c r="BV266" s="28" t="n">
        <f aca="false">IFERROR(INDEX(Assessments!$H$2:$H$600,MATCH($H266&amp;"|"&amp;$I266&amp;"|"&amp;$J266&amp;"|"&amp;2,Assessments!$A$2:$A$600,0)),"")</f>
        <v>24</v>
      </c>
      <c r="BW266" s="28" t="n">
        <f aca="false">IFERROR(INDEX(Assessments!$H$2:$H$600,MATCH($H266&amp;"|"&amp;$I266&amp;"|"&amp;$J266&amp;"|"&amp;3,Assessments!$A$2:$A$600,0)),"")</f>
        <v>25</v>
      </c>
      <c r="BX266" s="28" t="n">
        <f aca="false">IFERROR(INDEX(Assessments!$H$2:$H$600,MATCH($H266&amp;"|"&amp;$I266&amp;"|"&amp;$J266&amp;"|"&amp;4,Assessments!$A$2:$A$600,0)),"")</f>
        <v>35</v>
      </c>
      <c r="BY266" s="28" t="n">
        <f aca="false">IFERROR(INDEX(Assessments!$H$2:$H$600,MATCH($H266&amp;"|"&amp;$I266&amp;"|"&amp;$J266&amp;"|"&amp;5,Assessments!$A$2:$A$600,0)),"")</f>
        <v>55</v>
      </c>
      <c r="BZ266" s="28" t="n">
        <f aca="false">IFERROR(INDEX(Assessments!$H$2:$H$600,MATCH($H266&amp;"|"&amp;$I266&amp;"|"&amp;$J266&amp;"|"&amp;6,Assessments!$A$2:$A$600,0)),"")</f>
        <v>28</v>
      </c>
      <c r="CA266" s="28" t="n">
        <f aca="false">IFERROR(INDEX(Assessments!$H$2:$H$600,MATCH($H266&amp;"|"&amp;$I266&amp;"|"&amp;$J266&amp;"|"&amp;7,Assessments!$A$2:$A$600,0)),"")</f>
        <v>95</v>
      </c>
      <c r="CB266" s="28" t="str">
        <f aca="false">IFERROR(INDEX(Assessments!$H$2:$H$600,MATCH($H266&amp;"|"&amp;$I266&amp;"|"&amp;$J266&amp;"|"&amp;8,Assessments!$A$2:$A$600,0)),"")</f>
        <v/>
      </c>
      <c r="CC266" s="28" t="str">
        <f aca="false">IFERROR(INDEX(Assessments!$H$2:$H$600,MATCH($H266&amp;"|"&amp;$I266&amp;"|"&amp;$J266&amp;"|"&amp;9,Assessments!$A$2:$A$600,0)),"")</f>
        <v/>
      </c>
      <c r="CD266" s="28" t="str">
        <f aca="false">IFERROR(INDEX(Assessments!$H$2:$H$600,MATCH($H266&amp;"|"&amp;$I266&amp;"|"&amp;$J266&amp;"|"&amp;10,Assessments!$A$2:$A$600,0)),"")</f>
        <v/>
      </c>
      <c r="CE266" s="28" t="str">
        <f aca="false">IFERROR(INDEX(Assessments!$H$2:$H$600,MATCH($H266&amp;"|"&amp;$I266&amp;"|"&amp;$J266&amp;"|"&amp;11,Assessments!$A$2:$A$600,0)),"")</f>
        <v/>
      </c>
      <c r="CF266" s="28" t="str">
        <f aca="false">IFERROR(INDEX(Assessments!$H$2:$H$600,MATCH($H266&amp;"|"&amp;$I266&amp;"|"&amp;$J266&amp;"|"&amp;12,Assessments!$A$2:$A$600,0)),"")</f>
        <v/>
      </c>
      <c r="CG266" s="28" t="str">
        <f aca="false">IFERROR(INDEX(Assessments!$H$2:$H$600,MATCH($H266&amp;"|"&amp;$I266&amp;"|"&amp;$J266&amp;"|"&amp;13,Assessments!$A$2:$A$600,0)),"")</f>
        <v/>
      </c>
      <c r="CH266" s="28" t="str">
        <f aca="false">IFERROR(INDEX(Assessments!$H$2:$H$600,MATCH($H266&amp;"|"&amp;$I266&amp;"|"&amp;$J266&amp;"|"&amp;14,Assessments!$A$2:$A$600,0)),"")</f>
        <v/>
      </c>
      <c r="CI266" s="28" t="str">
        <f aca="false">IFERROR(INDEX(Assessments!$I$2:$I$600,MATCH($H266&amp;"|"&amp;$I266&amp;"|"&amp;$J266&amp;"|"&amp;1,Assessments!$A$2:$A$600,0)),"")</f>
        <v>Econ Test</v>
      </c>
      <c r="CJ266" s="28" t="str">
        <f aca="false">IFERROR(INDEX(Assessments!$I$2:$I$600,MATCH($H266&amp;"|"&amp;$I266&amp;"|"&amp;$J266&amp;"|"&amp;2,Assessments!$A$2:$A$600,0)),"")</f>
        <v>Econ Test</v>
      </c>
      <c r="CK266" s="28" t="str">
        <f aca="false">IFERROR(INDEX(Assessments!$I$2:$I$600,MATCH($H266&amp;"|"&amp;$I266&amp;"|"&amp;$J266&amp;"|"&amp;3,Assessments!$A$2:$A$600,0)),"")</f>
        <v>Econ Test</v>
      </c>
      <c r="CL266" s="28" t="str">
        <f aca="false">IFERROR(INDEX(Assessments!$I$2:$I$600,MATCH($H266&amp;"|"&amp;$I266&amp;"|"&amp;$J266&amp;"|"&amp;4,Assessments!$A$2:$A$600,0)),"")</f>
        <v>Econ Test</v>
      </c>
      <c r="CM266" s="28" t="str">
        <f aca="false">IFERROR(INDEX(Assessments!$I$2:$I$600,MATCH($H266&amp;"|"&amp;$I266&amp;"|"&amp;$J266&amp;"|"&amp;5,Assessments!$A$2:$A$600,0)),"")</f>
        <v>Econ Exam</v>
      </c>
      <c r="CN266" s="28" t="str">
        <f aca="false">IFERROR(INDEX(Assessments!$I$2:$I$600,MATCH($H266&amp;"|"&amp;$I266&amp;"|"&amp;$J266&amp;"|"&amp;6,Assessments!$A$2:$A$600,0)),"")</f>
        <v>Econ Test</v>
      </c>
      <c r="CO266" s="28" t="str">
        <f aca="false">IFERROR(INDEX(Assessments!$I$2:$I$600,MATCH($H266&amp;"|"&amp;$I266&amp;"|"&amp;$J266&amp;"|"&amp;7,Assessments!$A$2:$A$600,0)),"")</f>
        <v>Econ Exam</v>
      </c>
      <c r="CP266" s="28" t="str">
        <f aca="false">IFERROR(INDEX(Assessments!$I$2:$I$600,MATCH($H266&amp;"|"&amp;$I266&amp;"|"&amp;$J266&amp;"|"&amp;8,Assessments!$A$2:$A$600,0)),"")</f>
        <v/>
      </c>
      <c r="CQ266" s="28" t="str">
        <f aca="false">IFERROR(INDEX(Assessments!$I$2:$I$600,MATCH($H266&amp;"|"&amp;$I266&amp;"|"&amp;$J266&amp;"|"&amp;9,Assessments!$A$2:$A$600,0)),"")</f>
        <v/>
      </c>
      <c r="CR266" s="28" t="str">
        <f aca="false">IFERROR(INDEX(Assessments!$I$2:$I$600,MATCH($H266&amp;"|"&amp;$I266&amp;"|"&amp;$J266&amp;"|"&amp;10,Assessments!$A$2:$A$600,0)),"")</f>
        <v/>
      </c>
      <c r="CS266" s="28" t="str">
        <f aca="false">IFERROR(INDEX(Assessments!$I$2:$I$600,MATCH($H266&amp;"|"&amp;$I266&amp;"|"&amp;$J266&amp;"|"&amp;11,Assessments!$A$2:$A$600,0)),"")</f>
        <v/>
      </c>
      <c r="CT266" s="28" t="str">
        <f aca="false">IFERROR(INDEX(Assessments!$I$2:$I$600,MATCH($H266&amp;"|"&amp;$I266&amp;"|"&amp;$J266&amp;"|"&amp;12,Assessments!$A$2:$A$600,0)),"")</f>
        <v/>
      </c>
      <c r="CU266" s="28" t="str">
        <f aca="false">IFERROR(INDEX(Assessments!$I$2:$I$600,MATCH($H266&amp;"|"&amp;$I266&amp;"|"&amp;$J266&amp;"|"&amp;13,Assessments!$A$2:$A$600,0)),"")</f>
        <v/>
      </c>
      <c r="CV266" s="28" t="str">
        <f aca="false">IFERROR(INDEX(Assessments!$I$2:$I$600,MATCH($H266&amp;"|"&amp;$I266&amp;"|"&amp;$J266&amp;"|"&amp;14,Assessments!$A$2:$A$600,0)),"")</f>
        <v/>
      </c>
      <c r="CW266" s="28" t="n">
        <f aca="false">IFERROR(INDEX(Assessments!$J$2:$J$600,MATCH($H266&amp;"|"&amp;$I266&amp;"|"&amp;$J266&amp;"|"&amp;1,Assessments!$A$2:$A$600,0)),0)</f>
        <v>1</v>
      </c>
      <c r="CX266" s="28" t="n">
        <f aca="false">IFERROR(INDEX(Assessments!$J$2:$J$600,MATCH($H266&amp;"|"&amp;$I266&amp;"|"&amp;$J266&amp;"|"&amp;2,Assessments!$A$2:$A$600,0)),0)</f>
        <v>1</v>
      </c>
      <c r="CY266" s="28" t="n">
        <f aca="false">IFERROR(INDEX(Assessments!$J$2:$J$600,MATCH($H266&amp;"|"&amp;$I266&amp;"|"&amp;$J266&amp;"|"&amp;3,Assessments!$A$2:$A$600,0)),0)</f>
        <v>1</v>
      </c>
      <c r="CZ266" s="28" t="n">
        <f aca="false">IFERROR(INDEX(Assessments!$J$2:$J$600,MATCH($H266&amp;"|"&amp;$I266&amp;"|"&amp;$J266&amp;"|"&amp;4,Assessments!$A$2:$A$600,0)),0)</f>
        <v>1</v>
      </c>
      <c r="DA266" s="28" t="n">
        <f aca="false">IFERROR(INDEX(Assessments!$J$2:$J$600,MATCH($H266&amp;"|"&amp;$I266&amp;"|"&amp;$J266&amp;"|"&amp;5,Assessments!$A$2:$A$600,0)),0)</f>
        <v>2</v>
      </c>
      <c r="DB266" s="28" t="n">
        <f aca="false">IFERROR(INDEX(Assessments!$J$2:$J$600,MATCH($H266&amp;"|"&amp;$I266&amp;"|"&amp;$J266&amp;"|"&amp;6,Assessments!$A$2:$A$600,0)),0)</f>
        <v>1</v>
      </c>
      <c r="DC266" s="28" t="n">
        <f aca="false">IFERROR(INDEX(Assessments!$J$2:$J$600,MATCH($H266&amp;"|"&amp;$I266&amp;"|"&amp;$J266&amp;"|"&amp;7,Assessments!$A$2:$A$600,0)),0)</f>
        <v>2</v>
      </c>
      <c r="DD266" s="28" t="n">
        <f aca="false">IFERROR(INDEX(Assessments!$J$2:$J$600,MATCH($H266&amp;"|"&amp;$I266&amp;"|"&amp;$J266&amp;"|"&amp;8,Assessments!$A$2:$A$600,0)),0)</f>
        <v>0</v>
      </c>
      <c r="DE266" s="28" t="n">
        <f aca="false">IFERROR(INDEX(Assessments!$J$2:$J$600,MATCH($H266&amp;"|"&amp;$I266&amp;"|"&amp;$J266&amp;"|"&amp;9,Assessments!$A$2:$A$600,0)),0)</f>
        <v>0</v>
      </c>
      <c r="DF266" s="28" t="n">
        <f aca="false">IFERROR(INDEX(Assessments!$J$2:$J$600,MATCH($H266&amp;"|"&amp;$I266&amp;"|"&amp;$J266&amp;"|"&amp;10,Assessments!$A$2:$A$600,0)),0)</f>
        <v>0</v>
      </c>
      <c r="DG266" s="28" t="n">
        <f aca="false">IFERROR(INDEX(Assessments!$J$2:$J$600,MATCH($H266&amp;"|"&amp;$I266&amp;"|"&amp;$J266&amp;"|"&amp;11,Assessments!$A$2:$A$600,0)),0)</f>
        <v>0</v>
      </c>
      <c r="DH266" s="28" t="n">
        <f aca="false">IFERROR(INDEX(Assessments!$J$2:$J$600,MATCH($H266&amp;"|"&amp;$I266&amp;"|"&amp;$J266&amp;"|"&amp;12,Assessments!$A$2:$A$600,0)),0)</f>
        <v>0</v>
      </c>
      <c r="DI266" s="28" t="n">
        <f aca="false">IFERROR(INDEX(Assessments!$J$2:$J$600,MATCH($H266&amp;"|"&amp;$I266&amp;"|"&amp;$J266&amp;"|"&amp;13,Assessments!$A$2:$A$600,0)),0)</f>
        <v>0</v>
      </c>
      <c r="DJ266" s="28" t="n">
        <f aca="false">IFERROR(INDEX(Assessments!$J$2:$J$600,MATCH($H266&amp;"|"&amp;$I266&amp;"|"&amp;$J266&amp;"|"&amp;14,Assessments!$A$2:$A$600,0)),0)</f>
        <v>0</v>
      </c>
      <c r="DK266" s="28" t="n">
        <f aca="false">S266</f>
        <v>5</v>
      </c>
      <c r="DL266" s="28" t="str">
        <f aca="false">W266</f>
        <v/>
      </c>
      <c r="DM266" s="28" t="str">
        <f aca="false">AA266</f>
        <v/>
      </c>
      <c r="DN266" s="28" t="str">
        <f aca="false">AE266</f>
        <v/>
      </c>
      <c r="DO266" s="28" t="str">
        <f aca="false">AI266</f>
        <v/>
      </c>
      <c r="DP266" s="28" t="str">
        <f aca="false">AM266</f>
        <v/>
      </c>
      <c r="DQ266" s="28" t="str">
        <f aca="false">AQ266</f>
        <v/>
      </c>
      <c r="DR266" s="28" t="str">
        <f aca="false">AU266</f>
        <v/>
      </c>
      <c r="DS266" s="28" t="str">
        <f aca="false">AY266</f>
        <v/>
      </c>
      <c r="DT266" s="28" t="str">
        <f aca="false">BC266</f>
        <v/>
      </c>
      <c r="DU266" s="28" t="str">
        <f aca="false">BG266</f>
        <v/>
      </c>
      <c r="DV266" s="28" t="str">
        <f aca="false">BK266</f>
        <v/>
      </c>
      <c r="DW266" s="28" t="str">
        <f aca="false">BO266</f>
        <v/>
      </c>
      <c r="DX266" s="28" t="str">
        <f aca="false">BS266</f>
        <v/>
      </c>
      <c r="DY266" s="28" t="n">
        <f aca="false">IF(ISNUMBER(S266),1,"")</f>
        <v>1</v>
      </c>
      <c r="DZ266" s="28" t="str">
        <f aca="false">IF(ISNUMBER(W266),2,"")</f>
        <v/>
      </c>
      <c r="EA266" s="28" t="str">
        <f aca="false">IF(ISNUMBER(AA266),3,"")</f>
        <v/>
      </c>
      <c r="EB266" s="28" t="str">
        <f aca="false">IF(ISNUMBER(AE266),4,"")</f>
        <v/>
      </c>
      <c r="EC266" s="28" t="str">
        <f aca="false">IF(ISNUMBER(AI266),5,"")</f>
        <v/>
      </c>
      <c r="ED266" s="28" t="str">
        <f aca="false">IF(ISNUMBER(AM266),6,"")</f>
        <v/>
      </c>
      <c r="EE266" s="28" t="str">
        <f aca="false">IF(ISNUMBER(AQ266),7,"")</f>
        <v/>
      </c>
      <c r="EF266" s="28" t="str">
        <f aca="false">IF(ISNUMBER(AU266),8,"")</f>
        <v/>
      </c>
      <c r="EG266" s="28" t="str">
        <f aca="false">IF(ISNUMBER(AY266),9,"")</f>
        <v/>
      </c>
      <c r="EH266" s="28" t="str">
        <f aca="false">IF(ISNUMBER(BC266),10,"")</f>
        <v/>
      </c>
      <c r="EI266" s="28" t="str">
        <f aca="false">IF(ISNUMBER(BG266),11,"")</f>
        <v/>
      </c>
      <c r="EJ266" s="28" t="str">
        <f aca="false">IF(ISNUMBER(BK266),12,"")</f>
        <v/>
      </c>
      <c r="EK266" s="28" t="str">
        <f aca="false">IF(ISNUMBER(BO266),13,"")</f>
        <v/>
      </c>
      <c r="EL266" s="28" t="str">
        <f aca="false">IF(ISNUMBER(BS266),14,"")</f>
        <v/>
      </c>
      <c r="EM266" s="28" t="n">
        <f aca="false">IF(ISNUMBER(R266),R266*CW266,0)</f>
        <v>72</v>
      </c>
      <c r="EN266" s="28" t="n">
        <f aca="false">IF(ISNUMBER(V266),V266*CX266,0)</f>
        <v>0</v>
      </c>
      <c r="EO266" s="28" t="n">
        <f aca="false">IF(ISNUMBER(Z266),Z266*CY266,0)</f>
        <v>0</v>
      </c>
      <c r="EP266" s="28" t="n">
        <f aca="false">IF(ISNUMBER(AD266),AD266*CZ266,0)</f>
        <v>0</v>
      </c>
      <c r="EQ266" s="28" t="n">
        <f aca="false">IF(ISNUMBER(AH266),AH266*DA266,0)</f>
        <v>0</v>
      </c>
      <c r="ER266" s="28" t="n">
        <f aca="false">IF(ISNUMBER(AL266),AL266*DB266,0)</f>
        <v>0</v>
      </c>
      <c r="ES266" s="28" t="n">
        <f aca="false">IF(ISNUMBER(AP266),AP266*DC266,0)</f>
        <v>0</v>
      </c>
      <c r="ET266" s="28" t="n">
        <f aca="false">IF(ISNUMBER(AT266),AT266*DD266,0)</f>
        <v>0</v>
      </c>
      <c r="EU266" s="28" t="n">
        <f aca="false">IF(ISNUMBER(AX266),AX266*DE266,0)</f>
        <v>0</v>
      </c>
      <c r="EV266" s="28" t="n">
        <f aca="false">IF(ISNUMBER(BB266),BB266*DF266,0)</f>
        <v>0</v>
      </c>
      <c r="EW266" s="28" t="n">
        <f aca="false">IF(ISNUMBER(BF266),BF266*DG266,0)</f>
        <v>0</v>
      </c>
      <c r="EX266" s="28" t="n">
        <f aca="false">IF(ISNUMBER(BJ266),BJ266*DH266,0)</f>
        <v>0</v>
      </c>
      <c r="EY266" s="28" t="n">
        <f aca="false">IF(ISNUMBER(BN266),BN266*DI266,0)</f>
        <v>0</v>
      </c>
      <c r="EZ266" s="28" t="n">
        <f aca="false">IF(ISNUMBER(BR266),BR266*DJ266,0)</f>
        <v>0</v>
      </c>
      <c r="FA266" s="28" t="n">
        <f aca="false">IF(ISNUMBER(R266),CW266,0)</f>
        <v>1</v>
      </c>
      <c r="FB266" s="28" t="n">
        <f aca="false">IF(ISNUMBER(V266),CX266,0)</f>
        <v>0</v>
      </c>
      <c r="FC266" s="28" t="n">
        <f aca="false">IF(ISNUMBER(Z266),CY266,0)</f>
        <v>0</v>
      </c>
      <c r="FD266" s="28" t="n">
        <f aca="false">IF(ISNUMBER(AD266),CZ266,0)</f>
        <v>0</v>
      </c>
      <c r="FE266" s="28" t="n">
        <f aca="false">IF(ISNUMBER(AH266),DA266,0)</f>
        <v>0</v>
      </c>
      <c r="FF266" s="28" t="n">
        <f aca="false">IF(ISNUMBER(AL266),DB266,0)</f>
        <v>0</v>
      </c>
      <c r="FG266" s="28" t="n">
        <f aca="false">IF(ISNUMBER(AP266),DC266,0)</f>
        <v>0</v>
      </c>
      <c r="FH266" s="28" t="n">
        <f aca="false">IF(ISNUMBER(AT266),DD266,0)</f>
        <v>0</v>
      </c>
      <c r="FI266" s="28" t="n">
        <f aca="false">IF(ISNUMBER(AX266),DE266,0)</f>
        <v>0</v>
      </c>
      <c r="FJ266" s="28" t="n">
        <f aca="false">IF(ISNUMBER(BB266),DF266,0)</f>
        <v>0</v>
      </c>
      <c r="FK266" s="28" t="n">
        <f aca="false">IF(ISNUMBER(BF266),DG266,0)</f>
        <v>0</v>
      </c>
      <c r="FL266" s="28" t="n">
        <f aca="false">IF(ISNUMBER(BJ266),DH266,0)</f>
        <v>0</v>
      </c>
      <c r="FM266" s="28" t="n">
        <f aca="false">IF(ISNUMBER(BN266),DI266,0)</f>
        <v>0</v>
      </c>
      <c r="FN266" s="28" t="n">
        <f aca="false">IF(ISNUMBER(BR266),DJ266,0)</f>
        <v>0</v>
      </c>
      <c r="FO266" s="28" t="str">
        <f aca="false">IFERROR(INDEX(Lists!$G$2:$G$20,MATCH($I266&amp;"|"&amp;$J266,Lists!$F$2:$F$20,0)),"")</f>
        <v>Econ Exam</v>
      </c>
    </row>
    <row r="267" customFormat="false" ht="19.5" hidden="false" customHeight="true" outlineLevel="0" collapsed="false">
      <c r="A267" s="29" t="s">
        <v>539</v>
      </c>
      <c r="B267" s="29" t="s">
        <v>540</v>
      </c>
      <c r="C267" s="30" t="s">
        <v>152</v>
      </c>
      <c r="D267" s="30" t="s">
        <v>228</v>
      </c>
      <c r="E267" s="31"/>
      <c r="F267" s="30"/>
      <c r="G267" s="30"/>
      <c r="H267" s="32" t="s">
        <v>428</v>
      </c>
      <c r="I267" s="33" t="s">
        <v>229</v>
      </c>
      <c r="J267" s="32" t="s">
        <v>223</v>
      </c>
      <c r="K267" s="34" t="str">
        <f aca="false">IF(OR(M267="",$E267=""),"",M267-$E267)</f>
        <v/>
      </c>
      <c r="L267" s="35" t="str">
        <f aca="false">IF(SUM(FA267:FN267)=0,"",SUM(EM267:EZ267)/SUM(FA267:FN267))</f>
        <v/>
      </c>
      <c r="M267" s="36" t="str">
        <f aca="false">IF(OR(L267="",FO267=""),"",IFERROR(MATCH(L267,INDEX(Boundaries!$B$2:$I$30,MATCH(FO267,Boundaries!$A$2:$A$30,0),0),1)-1,""))</f>
        <v/>
      </c>
      <c r="N267" s="37" t="str">
        <f aca="false">IF(COUNT($DY267:$EL267)&lt;2,"",INDEX($DK267:$DX267,MAX($DY267:$EL267))-INDEX($DK267:$DX267,MIN($DY267:$EL267)))</f>
        <v/>
      </c>
      <c r="O267" s="37" t="str">
        <f aca="false">IF(COUNT($DY267:$EL267)&lt;2,"",INDEX($DK267:$DX267,MAX($DY267:$EL267))-INDEX($DK267:$DX267,LARGE($DY267:$EL267,2)))</f>
        <v/>
      </c>
      <c r="P267" s="38" t="str">
        <f aca="false">IF(K267="","",IF(K267&gt;=0,"On/above target",IF(AND(N267&lt;&gt;"",N267&gt;=0.5),"Improving towards target",IF(AND(O267&lt;&gt;"",O267&lt;=-0.5),"Declining","Stable below target"))))</f>
        <v/>
      </c>
      <c r="Q267" s="39"/>
      <c r="R267" s="40" t="str">
        <f aca="false">IF(OR(Q267="",BU267=""),"",Q267/BU267*100)</f>
        <v/>
      </c>
      <c r="S267" s="41" t="str">
        <f aca="false">IF(R267="","",IFERROR(MATCH(R267,INDEX(Boundaries!$B$2:$I$30,MATCH(CI267,Boundaries!$A$2:$A$30,0),0),1)-1,""))</f>
        <v/>
      </c>
      <c r="T267" s="42" t="str">
        <f aca="false">IF(OR(S267="",$E267=""),"",S267-$E267)</f>
        <v/>
      </c>
      <c r="U267" s="39"/>
      <c r="V267" s="40" t="str">
        <f aca="false">IF(OR(U267="",BV267=""),"",U267/BV267*100)</f>
        <v/>
      </c>
      <c r="W267" s="41" t="str">
        <f aca="false">IF(V267="","",IFERROR(MATCH(V267,INDEX(Boundaries!$B$2:$I$30,MATCH(CJ267,Boundaries!$A$2:$A$30,0),0),1)-1,""))</f>
        <v/>
      </c>
      <c r="X267" s="42" t="str">
        <f aca="false">IF(OR(W267="",$E267=""),"",W267-$E267)</f>
        <v/>
      </c>
      <c r="Y267" s="39"/>
      <c r="Z267" s="40" t="str">
        <f aca="false">IF(OR(Y267="",BW267=""),"",Y267/BW267*100)</f>
        <v/>
      </c>
      <c r="AA267" s="41" t="str">
        <f aca="false">IF(Z267="","",IFERROR(MATCH(Z267,INDEX(Boundaries!$B$2:$I$30,MATCH(CK267,Boundaries!$A$2:$A$30,0),0),1)-1,""))</f>
        <v/>
      </c>
      <c r="AB267" s="42" t="str">
        <f aca="false">IF(OR(AA267="",$E267=""),"",AA267-$E267)</f>
        <v/>
      </c>
      <c r="AC267" s="39"/>
      <c r="AD267" s="40" t="str">
        <f aca="false">IF(OR(AC267="",BX267=""),"",AC267/BX267*100)</f>
        <v/>
      </c>
      <c r="AE267" s="41" t="str">
        <f aca="false">IF(AD267="","",IFERROR(MATCH(AD267,INDEX(Boundaries!$B$2:$I$30,MATCH(CL267,Boundaries!$A$2:$A$30,0),0),1)-1,""))</f>
        <v/>
      </c>
      <c r="AF267" s="42" t="str">
        <f aca="false">IF(OR(AE267="",$E267=""),"",AE267-$E267)</f>
        <v/>
      </c>
      <c r="AG267" s="39"/>
      <c r="AH267" s="40" t="str">
        <f aca="false">IF(OR(AG267="",BY267=""),"",AG267/BY267*100)</f>
        <v/>
      </c>
      <c r="AI267" s="41" t="str">
        <f aca="false">IF(AH267="","",IFERROR(MATCH(AH267,INDEX(Boundaries!$B$2:$I$30,MATCH(CM267,Boundaries!$A$2:$A$30,0),0),1)-1,""))</f>
        <v/>
      </c>
      <c r="AJ267" s="42" t="str">
        <f aca="false">IF(OR(AI267="",$E267=""),"",AI267-$E267)</f>
        <v/>
      </c>
      <c r="AK267" s="39"/>
      <c r="AL267" s="40" t="str">
        <f aca="false">IF(OR(AK267="",BZ267=""),"",AK267/BZ267*100)</f>
        <v/>
      </c>
      <c r="AM267" s="41" t="str">
        <f aca="false">IF(AL267="","",IFERROR(MATCH(AL267,INDEX(Boundaries!$B$2:$I$30,MATCH(CN267,Boundaries!$A$2:$A$30,0),0),1)-1,""))</f>
        <v/>
      </c>
      <c r="AN267" s="42" t="str">
        <f aca="false">IF(OR(AM267="",$E267=""),"",AM267-$E267)</f>
        <v/>
      </c>
      <c r="AO267" s="39"/>
      <c r="AP267" s="40" t="str">
        <f aca="false">IF(OR(AO267="",CA267=""),"",AO267/CA267*100)</f>
        <v/>
      </c>
      <c r="AQ267" s="41" t="str">
        <f aca="false">IF(AP267="","",IFERROR(MATCH(AP267,INDEX(Boundaries!$B$2:$I$30,MATCH(CO267,Boundaries!$A$2:$A$30,0),0),1)-1,""))</f>
        <v/>
      </c>
      <c r="AR267" s="42" t="str">
        <f aca="false">IF(OR(AQ267="",$E267=""),"",AQ267-$E267)</f>
        <v/>
      </c>
      <c r="AS267" s="39"/>
      <c r="AT267" s="40" t="str">
        <f aca="false">IF(OR(AS267="",CB267=""),"",AS267/CB267*100)</f>
        <v/>
      </c>
      <c r="AU267" s="41" t="str">
        <f aca="false">IF(AT267="","",IFERROR(MATCH(AT267,INDEX(Boundaries!$B$2:$I$30,MATCH(CP267,Boundaries!$A$2:$A$30,0),0),1)-1,""))</f>
        <v/>
      </c>
      <c r="AV267" s="42" t="str">
        <f aca="false">IF(OR(AU267="",$E267=""),"",AU267-$E267)</f>
        <v/>
      </c>
      <c r="AW267" s="39"/>
      <c r="AX267" s="40" t="str">
        <f aca="false">IF(OR(AW267="",CC267=""),"",AW267/CC267*100)</f>
        <v/>
      </c>
      <c r="AY267" s="41" t="str">
        <f aca="false">IF(AX267="","",IFERROR(MATCH(AX267,INDEX(Boundaries!$B$2:$I$30,MATCH(CQ267,Boundaries!$A$2:$A$30,0),0),1)-1,""))</f>
        <v/>
      </c>
      <c r="AZ267" s="42" t="str">
        <f aca="false">IF(OR(AY267="",$E267=""),"",AY267-$E267)</f>
        <v/>
      </c>
      <c r="BA267" s="39"/>
      <c r="BB267" s="40" t="str">
        <f aca="false">IF(OR(BA267="",CD267=""),"",BA267/CD267*100)</f>
        <v/>
      </c>
      <c r="BC267" s="41" t="str">
        <f aca="false">IF(BB267="","",IFERROR(MATCH(BB267,INDEX(Boundaries!$B$2:$I$30,MATCH(CR267,Boundaries!$A$2:$A$30,0),0),1)-1,""))</f>
        <v/>
      </c>
      <c r="BD267" s="42" t="str">
        <f aca="false">IF(OR(BC267="",$E267=""),"",BC267-$E267)</f>
        <v/>
      </c>
      <c r="BE267" s="39"/>
      <c r="BF267" s="40" t="str">
        <f aca="false">IF(OR(BE267="",CE267=""),"",BE267/CE267*100)</f>
        <v/>
      </c>
      <c r="BG267" s="41" t="str">
        <f aca="false">IF(BF267="","",IFERROR(MATCH(BF267,INDEX(Boundaries!$B$2:$I$30,MATCH(CS267,Boundaries!$A$2:$A$30,0),0),1)-1,""))</f>
        <v/>
      </c>
      <c r="BH267" s="42" t="str">
        <f aca="false">IF(OR(BG267="",$E267=""),"",BG267-$E267)</f>
        <v/>
      </c>
      <c r="BI267" s="39"/>
      <c r="BJ267" s="40" t="str">
        <f aca="false">IF(OR(BI267="",CF267=""),"",BI267/CF267*100)</f>
        <v/>
      </c>
      <c r="BK267" s="41" t="str">
        <f aca="false">IF(BJ267="","",IFERROR(MATCH(BJ267,INDEX(Boundaries!$B$2:$I$30,MATCH(CT267,Boundaries!$A$2:$A$30,0),0),1)-1,""))</f>
        <v/>
      </c>
      <c r="BL267" s="42" t="str">
        <f aca="false">IF(OR(BK267="",$E267=""),"",BK267-$E267)</f>
        <v/>
      </c>
      <c r="BM267" s="39"/>
      <c r="BN267" s="40" t="str">
        <f aca="false">IF(OR(BM267="",CG267=""),"",BM267/CG267*100)</f>
        <v/>
      </c>
      <c r="BO267" s="41" t="str">
        <f aca="false">IF(BN267="","",IFERROR(MATCH(BN267,INDEX(Boundaries!$B$2:$I$30,MATCH(CU267,Boundaries!$A$2:$A$30,0),0),1)-1,""))</f>
        <v/>
      </c>
      <c r="BP267" s="42" t="str">
        <f aca="false">IF(OR(BO267="",$E267=""),"",BO267-$E267)</f>
        <v/>
      </c>
      <c r="BQ267" s="39"/>
      <c r="BR267" s="40" t="str">
        <f aca="false">IF(OR(BQ267="",CH267=""),"",BQ267/CH267*100)</f>
        <v/>
      </c>
      <c r="BS267" s="41" t="str">
        <f aca="false">IF(BR267="","",IFERROR(MATCH(BR267,INDEX(Boundaries!$B$2:$I$30,MATCH(CV267,Boundaries!$A$2:$A$30,0),0),1)-1,""))</f>
        <v/>
      </c>
      <c r="BT267" s="42" t="str">
        <f aca="false">IF(OR(BS267="",$E267=""),"",BS267-$E267)</f>
        <v/>
      </c>
      <c r="BU267" s="28" t="n">
        <f aca="false">IFERROR(INDEX(Assessments!$H$2:$H$600,MATCH($H267&amp;"|"&amp;$I267&amp;"|"&amp;$J267&amp;"|"&amp;1,Assessments!$A$2:$A$600,0)),"")</f>
        <v>25</v>
      </c>
      <c r="BV267" s="28" t="n">
        <f aca="false">IFERROR(INDEX(Assessments!$H$2:$H$600,MATCH($H267&amp;"|"&amp;$I267&amp;"|"&amp;$J267&amp;"|"&amp;2,Assessments!$A$2:$A$600,0)),"")</f>
        <v>20</v>
      </c>
      <c r="BW267" s="28" t="n">
        <f aca="false">IFERROR(INDEX(Assessments!$H$2:$H$600,MATCH($H267&amp;"|"&amp;$I267&amp;"|"&amp;$J267&amp;"|"&amp;3,Assessments!$A$2:$A$600,0)),"")</f>
        <v>25</v>
      </c>
      <c r="BX267" s="28" t="n">
        <f aca="false">IFERROR(INDEX(Assessments!$H$2:$H$600,MATCH($H267&amp;"|"&amp;$I267&amp;"|"&amp;$J267&amp;"|"&amp;4,Assessments!$A$2:$A$600,0)),"")</f>
        <v>23</v>
      </c>
      <c r="BY267" s="28" t="n">
        <f aca="false">IFERROR(INDEX(Assessments!$H$2:$H$600,MATCH($H267&amp;"|"&amp;$I267&amp;"|"&amp;$J267&amp;"|"&amp;5,Assessments!$A$2:$A$600,0)),"")</f>
        <v>25</v>
      </c>
      <c r="BZ267" s="28" t="n">
        <f aca="false">IFERROR(INDEX(Assessments!$H$2:$H$600,MATCH($H267&amp;"|"&amp;$I267&amp;"|"&amp;$J267&amp;"|"&amp;6,Assessments!$A$2:$A$600,0)),"")</f>
        <v>23</v>
      </c>
      <c r="CA267" s="28" t="n">
        <f aca="false">IFERROR(INDEX(Assessments!$H$2:$H$600,MATCH($H267&amp;"|"&amp;$I267&amp;"|"&amp;$J267&amp;"|"&amp;7,Assessments!$A$2:$A$600,0)),"")</f>
        <v>52</v>
      </c>
      <c r="CB267" s="28" t="str">
        <f aca="false">IFERROR(INDEX(Assessments!$H$2:$H$600,MATCH($H267&amp;"|"&amp;$I267&amp;"|"&amp;$J267&amp;"|"&amp;8,Assessments!$A$2:$A$600,0)),"")</f>
        <v/>
      </c>
      <c r="CC267" s="28" t="str">
        <f aca="false">IFERROR(INDEX(Assessments!$H$2:$H$600,MATCH($H267&amp;"|"&amp;$I267&amp;"|"&amp;$J267&amp;"|"&amp;9,Assessments!$A$2:$A$600,0)),"")</f>
        <v/>
      </c>
      <c r="CD267" s="28" t="str">
        <f aca="false">IFERROR(INDEX(Assessments!$H$2:$H$600,MATCH($H267&amp;"|"&amp;$I267&amp;"|"&amp;$J267&amp;"|"&amp;10,Assessments!$A$2:$A$600,0)),"")</f>
        <v/>
      </c>
      <c r="CE267" s="28" t="str">
        <f aca="false">IFERROR(INDEX(Assessments!$H$2:$H$600,MATCH($H267&amp;"|"&amp;$I267&amp;"|"&amp;$J267&amp;"|"&amp;11,Assessments!$A$2:$A$600,0)),"")</f>
        <v/>
      </c>
      <c r="CF267" s="28" t="str">
        <f aca="false">IFERROR(INDEX(Assessments!$H$2:$H$600,MATCH($H267&amp;"|"&amp;$I267&amp;"|"&amp;$J267&amp;"|"&amp;12,Assessments!$A$2:$A$600,0)),"")</f>
        <v/>
      </c>
      <c r="CG267" s="28" t="str">
        <f aca="false">IFERROR(INDEX(Assessments!$H$2:$H$600,MATCH($H267&amp;"|"&amp;$I267&amp;"|"&amp;$J267&amp;"|"&amp;13,Assessments!$A$2:$A$600,0)),"")</f>
        <v/>
      </c>
      <c r="CH267" s="28" t="str">
        <f aca="false">IFERROR(INDEX(Assessments!$H$2:$H$600,MATCH($H267&amp;"|"&amp;$I267&amp;"|"&amp;$J267&amp;"|"&amp;14,Assessments!$A$2:$A$600,0)),"")</f>
        <v/>
      </c>
      <c r="CI267" s="28" t="str">
        <f aca="false">IFERROR(INDEX(Assessments!$I$2:$I$600,MATCH($H267&amp;"|"&amp;$I267&amp;"|"&amp;$J267&amp;"|"&amp;1,Assessments!$A$2:$A$600,0)),"")</f>
        <v>Econ Test</v>
      </c>
      <c r="CJ267" s="28" t="str">
        <f aca="false">IFERROR(INDEX(Assessments!$I$2:$I$600,MATCH($H267&amp;"|"&amp;$I267&amp;"|"&amp;$J267&amp;"|"&amp;2,Assessments!$A$2:$A$600,0)),"")</f>
        <v>Econ Test</v>
      </c>
      <c r="CK267" s="28" t="str">
        <f aca="false">IFERROR(INDEX(Assessments!$I$2:$I$600,MATCH($H267&amp;"|"&amp;$I267&amp;"|"&amp;$J267&amp;"|"&amp;3,Assessments!$A$2:$A$600,0)),"")</f>
        <v>Econ Test</v>
      </c>
      <c r="CL267" s="28" t="str">
        <f aca="false">IFERROR(INDEX(Assessments!$I$2:$I$600,MATCH($H267&amp;"|"&amp;$I267&amp;"|"&amp;$J267&amp;"|"&amp;4,Assessments!$A$2:$A$600,0)),"")</f>
        <v>Econ Test</v>
      </c>
      <c r="CM267" s="28" t="str">
        <f aca="false">IFERROR(INDEX(Assessments!$I$2:$I$600,MATCH($H267&amp;"|"&amp;$I267&amp;"|"&amp;$J267&amp;"|"&amp;5,Assessments!$A$2:$A$600,0)),"")</f>
        <v>Econ Exam</v>
      </c>
      <c r="CN267" s="28" t="str">
        <f aca="false">IFERROR(INDEX(Assessments!$I$2:$I$600,MATCH($H267&amp;"|"&amp;$I267&amp;"|"&amp;$J267&amp;"|"&amp;6,Assessments!$A$2:$A$600,0)),"")</f>
        <v>Econ Test</v>
      </c>
      <c r="CO267" s="28" t="str">
        <f aca="false">IFERROR(INDEX(Assessments!$I$2:$I$600,MATCH($H267&amp;"|"&amp;$I267&amp;"|"&amp;$J267&amp;"|"&amp;7,Assessments!$A$2:$A$600,0)),"")</f>
        <v>Econ Exam</v>
      </c>
      <c r="CP267" s="28" t="str">
        <f aca="false">IFERROR(INDEX(Assessments!$I$2:$I$600,MATCH($H267&amp;"|"&amp;$I267&amp;"|"&amp;$J267&amp;"|"&amp;8,Assessments!$A$2:$A$600,0)),"")</f>
        <v/>
      </c>
      <c r="CQ267" s="28" t="str">
        <f aca="false">IFERROR(INDEX(Assessments!$I$2:$I$600,MATCH($H267&amp;"|"&amp;$I267&amp;"|"&amp;$J267&amp;"|"&amp;9,Assessments!$A$2:$A$600,0)),"")</f>
        <v/>
      </c>
      <c r="CR267" s="28" t="str">
        <f aca="false">IFERROR(INDEX(Assessments!$I$2:$I$600,MATCH($H267&amp;"|"&amp;$I267&amp;"|"&amp;$J267&amp;"|"&amp;10,Assessments!$A$2:$A$600,0)),"")</f>
        <v/>
      </c>
      <c r="CS267" s="28" t="str">
        <f aca="false">IFERROR(INDEX(Assessments!$I$2:$I$600,MATCH($H267&amp;"|"&amp;$I267&amp;"|"&amp;$J267&amp;"|"&amp;11,Assessments!$A$2:$A$600,0)),"")</f>
        <v/>
      </c>
      <c r="CT267" s="28" t="str">
        <f aca="false">IFERROR(INDEX(Assessments!$I$2:$I$600,MATCH($H267&amp;"|"&amp;$I267&amp;"|"&amp;$J267&amp;"|"&amp;12,Assessments!$A$2:$A$600,0)),"")</f>
        <v/>
      </c>
      <c r="CU267" s="28" t="str">
        <f aca="false">IFERROR(INDEX(Assessments!$I$2:$I$600,MATCH($H267&amp;"|"&amp;$I267&amp;"|"&amp;$J267&amp;"|"&amp;13,Assessments!$A$2:$A$600,0)),"")</f>
        <v/>
      </c>
      <c r="CV267" s="28" t="str">
        <f aca="false">IFERROR(INDEX(Assessments!$I$2:$I$600,MATCH($H267&amp;"|"&amp;$I267&amp;"|"&amp;$J267&amp;"|"&amp;14,Assessments!$A$2:$A$600,0)),"")</f>
        <v/>
      </c>
      <c r="CW267" s="28" t="n">
        <f aca="false">IFERROR(INDEX(Assessments!$J$2:$J$600,MATCH($H267&amp;"|"&amp;$I267&amp;"|"&amp;$J267&amp;"|"&amp;1,Assessments!$A$2:$A$600,0)),0)</f>
        <v>1</v>
      </c>
      <c r="CX267" s="28" t="n">
        <f aca="false">IFERROR(INDEX(Assessments!$J$2:$J$600,MATCH($H267&amp;"|"&amp;$I267&amp;"|"&amp;$J267&amp;"|"&amp;2,Assessments!$A$2:$A$600,0)),0)</f>
        <v>1</v>
      </c>
      <c r="CY267" s="28" t="n">
        <f aca="false">IFERROR(INDEX(Assessments!$J$2:$J$600,MATCH($H267&amp;"|"&amp;$I267&amp;"|"&amp;$J267&amp;"|"&amp;3,Assessments!$A$2:$A$600,0)),0)</f>
        <v>1</v>
      </c>
      <c r="CZ267" s="28" t="n">
        <f aca="false">IFERROR(INDEX(Assessments!$J$2:$J$600,MATCH($H267&amp;"|"&amp;$I267&amp;"|"&amp;$J267&amp;"|"&amp;4,Assessments!$A$2:$A$600,0)),0)</f>
        <v>1</v>
      </c>
      <c r="DA267" s="28" t="n">
        <f aca="false">IFERROR(INDEX(Assessments!$J$2:$J$600,MATCH($H267&amp;"|"&amp;$I267&amp;"|"&amp;$J267&amp;"|"&amp;5,Assessments!$A$2:$A$600,0)),0)</f>
        <v>2</v>
      </c>
      <c r="DB267" s="28" t="n">
        <f aca="false">IFERROR(INDEX(Assessments!$J$2:$J$600,MATCH($H267&amp;"|"&amp;$I267&amp;"|"&amp;$J267&amp;"|"&amp;6,Assessments!$A$2:$A$600,0)),0)</f>
        <v>1</v>
      </c>
      <c r="DC267" s="28" t="n">
        <f aca="false">IFERROR(INDEX(Assessments!$J$2:$J$600,MATCH($H267&amp;"|"&amp;$I267&amp;"|"&amp;$J267&amp;"|"&amp;7,Assessments!$A$2:$A$600,0)),0)</f>
        <v>2</v>
      </c>
      <c r="DD267" s="28" t="n">
        <f aca="false">IFERROR(INDEX(Assessments!$J$2:$J$600,MATCH($H267&amp;"|"&amp;$I267&amp;"|"&amp;$J267&amp;"|"&amp;8,Assessments!$A$2:$A$600,0)),0)</f>
        <v>0</v>
      </c>
      <c r="DE267" s="28" t="n">
        <f aca="false">IFERROR(INDEX(Assessments!$J$2:$J$600,MATCH($H267&amp;"|"&amp;$I267&amp;"|"&amp;$J267&amp;"|"&amp;9,Assessments!$A$2:$A$600,0)),0)</f>
        <v>0</v>
      </c>
      <c r="DF267" s="28" t="n">
        <f aca="false">IFERROR(INDEX(Assessments!$J$2:$J$600,MATCH($H267&amp;"|"&amp;$I267&amp;"|"&amp;$J267&amp;"|"&amp;10,Assessments!$A$2:$A$600,0)),0)</f>
        <v>0</v>
      </c>
      <c r="DG267" s="28" t="n">
        <f aca="false">IFERROR(INDEX(Assessments!$J$2:$J$600,MATCH($H267&amp;"|"&amp;$I267&amp;"|"&amp;$J267&amp;"|"&amp;11,Assessments!$A$2:$A$600,0)),0)</f>
        <v>0</v>
      </c>
      <c r="DH267" s="28" t="n">
        <f aca="false">IFERROR(INDEX(Assessments!$J$2:$J$600,MATCH($H267&amp;"|"&amp;$I267&amp;"|"&amp;$J267&amp;"|"&amp;12,Assessments!$A$2:$A$600,0)),0)</f>
        <v>0</v>
      </c>
      <c r="DI267" s="28" t="n">
        <f aca="false">IFERROR(INDEX(Assessments!$J$2:$J$600,MATCH($H267&amp;"|"&amp;$I267&amp;"|"&amp;$J267&amp;"|"&amp;13,Assessments!$A$2:$A$600,0)),0)</f>
        <v>0</v>
      </c>
      <c r="DJ267" s="28" t="n">
        <f aca="false">IFERROR(INDEX(Assessments!$J$2:$J$600,MATCH($H267&amp;"|"&amp;$I267&amp;"|"&amp;$J267&amp;"|"&amp;14,Assessments!$A$2:$A$600,0)),0)</f>
        <v>0</v>
      </c>
      <c r="DK267" s="28" t="str">
        <f aca="false">S267</f>
        <v/>
      </c>
      <c r="DL267" s="28" t="str">
        <f aca="false">W267</f>
        <v/>
      </c>
      <c r="DM267" s="28" t="str">
        <f aca="false">AA267</f>
        <v/>
      </c>
      <c r="DN267" s="28" t="str">
        <f aca="false">AE267</f>
        <v/>
      </c>
      <c r="DO267" s="28" t="str">
        <f aca="false">AI267</f>
        <v/>
      </c>
      <c r="DP267" s="28" t="str">
        <f aca="false">AM267</f>
        <v/>
      </c>
      <c r="DQ267" s="28" t="str">
        <f aca="false">AQ267</f>
        <v/>
      </c>
      <c r="DR267" s="28" t="str">
        <f aca="false">AU267</f>
        <v/>
      </c>
      <c r="DS267" s="28" t="str">
        <f aca="false">AY267</f>
        <v/>
      </c>
      <c r="DT267" s="28" t="str">
        <f aca="false">BC267</f>
        <v/>
      </c>
      <c r="DU267" s="28" t="str">
        <f aca="false">BG267</f>
        <v/>
      </c>
      <c r="DV267" s="28" t="str">
        <f aca="false">BK267</f>
        <v/>
      </c>
      <c r="DW267" s="28" t="str">
        <f aca="false">BO267</f>
        <v/>
      </c>
      <c r="DX267" s="28" t="str">
        <f aca="false">BS267</f>
        <v/>
      </c>
      <c r="DY267" s="28" t="str">
        <f aca="false">IF(ISNUMBER(S267),1,"")</f>
        <v/>
      </c>
      <c r="DZ267" s="28" t="str">
        <f aca="false">IF(ISNUMBER(W267),2,"")</f>
        <v/>
      </c>
      <c r="EA267" s="28" t="str">
        <f aca="false">IF(ISNUMBER(AA267),3,"")</f>
        <v/>
      </c>
      <c r="EB267" s="28" t="str">
        <f aca="false">IF(ISNUMBER(AE267),4,"")</f>
        <v/>
      </c>
      <c r="EC267" s="28" t="str">
        <f aca="false">IF(ISNUMBER(AI267),5,"")</f>
        <v/>
      </c>
      <c r="ED267" s="28" t="str">
        <f aca="false">IF(ISNUMBER(AM267),6,"")</f>
        <v/>
      </c>
      <c r="EE267" s="28" t="str">
        <f aca="false">IF(ISNUMBER(AQ267),7,"")</f>
        <v/>
      </c>
      <c r="EF267" s="28" t="str">
        <f aca="false">IF(ISNUMBER(AU267),8,"")</f>
        <v/>
      </c>
      <c r="EG267" s="28" t="str">
        <f aca="false">IF(ISNUMBER(AY267),9,"")</f>
        <v/>
      </c>
      <c r="EH267" s="28" t="str">
        <f aca="false">IF(ISNUMBER(BC267),10,"")</f>
        <v/>
      </c>
      <c r="EI267" s="28" t="str">
        <f aca="false">IF(ISNUMBER(BG267),11,"")</f>
        <v/>
      </c>
      <c r="EJ267" s="28" t="str">
        <f aca="false">IF(ISNUMBER(BK267),12,"")</f>
        <v/>
      </c>
      <c r="EK267" s="28" t="str">
        <f aca="false">IF(ISNUMBER(BO267),13,"")</f>
        <v/>
      </c>
      <c r="EL267" s="28" t="str">
        <f aca="false">IF(ISNUMBER(BS267),14,"")</f>
        <v/>
      </c>
      <c r="EM267" s="28" t="n">
        <f aca="false">IF(ISNUMBER(R267),R267*CW267,0)</f>
        <v>0</v>
      </c>
      <c r="EN267" s="28" t="n">
        <f aca="false">IF(ISNUMBER(V267),V267*CX267,0)</f>
        <v>0</v>
      </c>
      <c r="EO267" s="28" t="n">
        <f aca="false">IF(ISNUMBER(Z267),Z267*CY267,0)</f>
        <v>0</v>
      </c>
      <c r="EP267" s="28" t="n">
        <f aca="false">IF(ISNUMBER(AD267),AD267*CZ267,0)</f>
        <v>0</v>
      </c>
      <c r="EQ267" s="28" t="n">
        <f aca="false">IF(ISNUMBER(AH267),AH267*DA267,0)</f>
        <v>0</v>
      </c>
      <c r="ER267" s="28" t="n">
        <f aca="false">IF(ISNUMBER(AL267),AL267*DB267,0)</f>
        <v>0</v>
      </c>
      <c r="ES267" s="28" t="n">
        <f aca="false">IF(ISNUMBER(AP267),AP267*DC267,0)</f>
        <v>0</v>
      </c>
      <c r="ET267" s="28" t="n">
        <f aca="false">IF(ISNUMBER(AT267),AT267*DD267,0)</f>
        <v>0</v>
      </c>
      <c r="EU267" s="28" t="n">
        <f aca="false">IF(ISNUMBER(AX267),AX267*DE267,0)</f>
        <v>0</v>
      </c>
      <c r="EV267" s="28" t="n">
        <f aca="false">IF(ISNUMBER(BB267),BB267*DF267,0)</f>
        <v>0</v>
      </c>
      <c r="EW267" s="28" t="n">
        <f aca="false">IF(ISNUMBER(BF267),BF267*DG267,0)</f>
        <v>0</v>
      </c>
      <c r="EX267" s="28" t="n">
        <f aca="false">IF(ISNUMBER(BJ267),BJ267*DH267,0)</f>
        <v>0</v>
      </c>
      <c r="EY267" s="28" t="n">
        <f aca="false">IF(ISNUMBER(BN267),BN267*DI267,0)</f>
        <v>0</v>
      </c>
      <c r="EZ267" s="28" t="n">
        <f aca="false">IF(ISNUMBER(BR267),BR267*DJ267,0)</f>
        <v>0</v>
      </c>
      <c r="FA267" s="28" t="n">
        <f aca="false">IF(ISNUMBER(R267),CW267,0)</f>
        <v>0</v>
      </c>
      <c r="FB267" s="28" t="n">
        <f aca="false">IF(ISNUMBER(V267),CX267,0)</f>
        <v>0</v>
      </c>
      <c r="FC267" s="28" t="n">
        <f aca="false">IF(ISNUMBER(Z267),CY267,0)</f>
        <v>0</v>
      </c>
      <c r="FD267" s="28" t="n">
        <f aca="false">IF(ISNUMBER(AD267),CZ267,0)</f>
        <v>0</v>
      </c>
      <c r="FE267" s="28" t="n">
        <f aca="false">IF(ISNUMBER(AH267),DA267,0)</f>
        <v>0</v>
      </c>
      <c r="FF267" s="28" t="n">
        <f aca="false">IF(ISNUMBER(AL267),DB267,0)</f>
        <v>0</v>
      </c>
      <c r="FG267" s="28" t="n">
        <f aca="false">IF(ISNUMBER(AP267),DC267,0)</f>
        <v>0</v>
      </c>
      <c r="FH267" s="28" t="n">
        <f aca="false">IF(ISNUMBER(AT267),DD267,0)</f>
        <v>0</v>
      </c>
      <c r="FI267" s="28" t="n">
        <f aca="false">IF(ISNUMBER(AX267),DE267,0)</f>
        <v>0</v>
      </c>
      <c r="FJ267" s="28" t="n">
        <f aca="false">IF(ISNUMBER(BB267),DF267,0)</f>
        <v>0</v>
      </c>
      <c r="FK267" s="28" t="n">
        <f aca="false">IF(ISNUMBER(BF267),DG267,0)</f>
        <v>0</v>
      </c>
      <c r="FL267" s="28" t="n">
        <f aca="false">IF(ISNUMBER(BJ267),DH267,0)</f>
        <v>0</v>
      </c>
      <c r="FM267" s="28" t="n">
        <f aca="false">IF(ISNUMBER(BN267),DI267,0)</f>
        <v>0</v>
      </c>
      <c r="FN267" s="28" t="n">
        <f aca="false">IF(ISNUMBER(BR267),DJ267,0)</f>
        <v>0</v>
      </c>
      <c r="FO267" s="28" t="str">
        <f aca="false">IFERROR(INDEX(Lists!$G$2:$G$20,MATCH($I267&amp;"|"&amp;$J267,Lists!$F$2:$F$20,0)),"")</f>
        <v>Econ Exam</v>
      </c>
    </row>
    <row r="268" customFormat="false" ht="19.5" hidden="false" customHeight="true" outlineLevel="0" collapsed="false">
      <c r="A268" s="29" t="s">
        <v>541</v>
      </c>
      <c r="B268" s="29" t="s">
        <v>542</v>
      </c>
      <c r="C268" s="30" t="s">
        <v>152</v>
      </c>
      <c r="D268" s="30" t="s">
        <v>228</v>
      </c>
      <c r="E268" s="31"/>
      <c r="F268" s="30"/>
      <c r="G268" s="30"/>
      <c r="H268" s="32" t="s">
        <v>428</v>
      </c>
      <c r="I268" s="33" t="s">
        <v>229</v>
      </c>
      <c r="J268" s="32" t="s">
        <v>223</v>
      </c>
      <c r="K268" s="34" t="str">
        <f aca="false">IF(OR(M268="",$E268=""),"",M268-$E268)</f>
        <v/>
      </c>
      <c r="L268" s="35" t="str">
        <f aca="false">IF(SUM(FA268:FN268)=0,"",SUM(EM268:EZ268)/SUM(FA268:FN268))</f>
        <v/>
      </c>
      <c r="M268" s="36" t="str">
        <f aca="false">IF(OR(L268="",FO268=""),"",IFERROR(MATCH(L268,INDEX(Boundaries!$B$2:$I$30,MATCH(FO268,Boundaries!$A$2:$A$30,0),0),1)-1,""))</f>
        <v/>
      </c>
      <c r="N268" s="37" t="str">
        <f aca="false">IF(COUNT($DY268:$EL268)&lt;2,"",INDEX($DK268:$DX268,MAX($DY268:$EL268))-INDEX($DK268:$DX268,MIN($DY268:$EL268)))</f>
        <v/>
      </c>
      <c r="O268" s="37" t="str">
        <f aca="false">IF(COUNT($DY268:$EL268)&lt;2,"",INDEX($DK268:$DX268,MAX($DY268:$EL268))-INDEX($DK268:$DX268,LARGE($DY268:$EL268,2)))</f>
        <v/>
      </c>
      <c r="P268" s="38" t="str">
        <f aca="false">IF(K268="","",IF(K268&gt;=0,"On/above target",IF(AND(N268&lt;&gt;"",N268&gt;=0.5),"Improving towards target",IF(AND(O268&lt;&gt;"",O268&lt;=-0.5),"Declining","Stable below target"))))</f>
        <v/>
      </c>
      <c r="Q268" s="39"/>
      <c r="R268" s="40" t="str">
        <f aca="false">IF(OR(Q268="",BU268=""),"",Q268/BU268*100)</f>
        <v/>
      </c>
      <c r="S268" s="41" t="str">
        <f aca="false">IF(R268="","",IFERROR(MATCH(R268,INDEX(Boundaries!$B$2:$I$30,MATCH(CI268,Boundaries!$A$2:$A$30,0),0),1)-1,""))</f>
        <v/>
      </c>
      <c r="T268" s="42" t="str">
        <f aca="false">IF(OR(S268="",$E268=""),"",S268-$E268)</f>
        <v/>
      </c>
      <c r="U268" s="39"/>
      <c r="V268" s="40" t="str">
        <f aca="false">IF(OR(U268="",BV268=""),"",U268/BV268*100)</f>
        <v/>
      </c>
      <c r="W268" s="41" t="str">
        <f aca="false">IF(V268="","",IFERROR(MATCH(V268,INDEX(Boundaries!$B$2:$I$30,MATCH(CJ268,Boundaries!$A$2:$A$30,0),0),1)-1,""))</f>
        <v/>
      </c>
      <c r="X268" s="42" t="str">
        <f aca="false">IF(OR(W268="",$E268=""),"",W268-$E268)</f>
        <v/>
      </c>
      <c r="Y268" s="39"/>
      <c r="Z268" s="40" t="str">
        <f aca="false">IF(OR(Y268="",BW268=""),"",Y268/BW268*100)</f>
        <v/>
      </c>
      <c r="AA268" s="41" t="str">
        <f aca="false">IF(Z268="","",IFERROR(MATCH(Z268,INDEX(Boundaries!$B$2:$I$30,MATCH(CK268,Boundaries!$A$2:$A$30,0),0),1)-1,""))</f>
        <v/>
      </c>
      <c r="AB268" s="42" t="str">
        <f aca="false">IF(OR(AA268="",$E268=""),"",AA268-$E268)</f>
        <v/>
      </c>
      <c r="AC268" s="39"/>
      <c r="AD268" s="40" t="str">
        <f aca="false">IF(OR(AC268="",BX268=""),"",AC268/BX268*100)</f>
        <v/>
      </c>
      <c r="AE268" s="41" t="str">
        <f aca="false">IF(AD268="","",IFERROR(MATCH(AD268,INDEX(Boundaries!$B$2:$I$30,MATCH(CL268,Boundaries!$A$2:$A$30,0),0),1)-1,""))</f>
        <v/>
      </c>
      <c r="AF268" s="42" t="str">
        <f aca="false">IF(OR(AE268="",$E268=""),"",AE268-$E268)</f>
        <v/>
      </c>
      <c r="AG268" s="39"/>
      <c r="AH268" s="40" t="str">
        <f aca="false">IF(OR(AG268="",BY268=""),"",AG268/BY268*100)</f>
        <v/>
      </c>
      <c r="AI268" s="41" t="str">
        <f aca="false">IF(AH268="","",IFERROR(MATCH(AH268,INDEX(Boundaries!$B$2:$I$30,MATCH(CM268,Boundaries!$A$2:$A$30,0),0),1)-1,""))</f>
        <v/>
      </c>
      <c r="AJ268" s="42" t="str">
        <f aca="false">IF(OR(AI268="",$E268=""),"",AI268-$E268)</f>
        <v/>
      </c>
      <c r="AK268" s="39"/>
      <c r="AL268" s="40" t="str">
        <f aca="false">IF(OR(AK268="",BZ268=""),"",AK268/BZ268*100)</f>
        <v/>
      </c>
      <c r="AM268" s="41" t="str">
        <f aca="false">IF(AL268="","",IFERROR(MATCH(AL268,INDEX(Boundaries!$B$2:$I$30,MATCH(CN268,Boundaries!$A$2:$A$30,0),0),1)-1,""))</f>
        <v/>
      </c>
      <c r="AN268" s="42" t="str">
        <f aca="false">IF(OR(AM268="",$E268=""),"",AM268-$E268)</f>
        <v/>
      </c>
      <c r="AO268" s="39"/>
      <c r="AP268" s="40" t="str">
        <f aca="false">IF(OR(AO268="",CA268=""),"",AO268/CA268*100)</f>
        <v/>
      </c>
      <c r="AQ268" s="41" t="str">
        <f aca="false">IF(AP268="","",IFERROR(MATCH(AP268,INDEX(Boundaries!$B$2:$I$30,MATCH(CO268,Boundaries!$A$2:$A$30,0),0),1)-1,""))</f>
        <v/>
      </c>
      <c r="AR268" s="42" t="str">
        <f aca="false">IF(OR(AQ268="",$E268=""),"",AQ268-$E268)</f>
        <v/>
      </c>
      <c r="AS268" s="39"/>
      <c r="AT268" s="40" t="str">
        <f aca="false">IF(OR(AS268="",CB268=""),"",AS268/CB268*100)</f>
        <v/>
      </c>
      <c r="AU268" s="41" t="str">
        <f aca="false">IF(AT268="","",IFERROR(MATCH(AT268,INDEX(Boundaries!$B$2:$I$30,MATCH(CP268,Boundaries!$A$2:$A$30,0),0),1)-1,""))</f>
        <v/>
      </c>
      <c r="AV268" s="42" t="str">
        <f aca="false">IF(OR(AU268="",$E268=""),"",AU268-$E268)</f>
        <v/>
      </c>
      <c r="AW268" s="39"/>
      <c r="AX268" s="40" t="str">
        <f aca="false">IF(OR(AW268="",CC268=""),"",AW268/CC268*100)</f>
        <v/>
      </c>
      <c r="AY268" s="41" t="str">
        <f aca="false">IF(AX268="","",IFERROR(MATCH(AX268,INDEX(Boundaries!$B$2:$I$30,MATCH(CQ268,Boundaries!$A$2:$A$30,0),0),1)-1,""))</f>
        <v/>
      </c>
      <c r="AZ268" s="42" t="str">
        <f aca="false">IF(OR(AY268="",$E268=""),"",AY268-$E268)</f>
        <v/>
      </c>
      <c r="BA268" s="39"/>
      <c r="BB268" s="40" t="str">
        <f aca="false">IF(OR(BA268="",CD268=""),"",BA268/CD268*100)</f>
        <v/>
      </c>
      <c r="BC268" s="41" t="str">
        <f aca="false">IF(BB268="","",IFERROR(MATCH(BB268,INDEX(Boundaries!$B$2:$I$30,MATCH(CR268,Boundaries!$A$2:$A$30,0),0),1)-1,""))</f>
        <v/>
      </c>
      <c r="BD268" s="42" t="str">
        <f aca="false">IF(OR(BC268="",$E268=""),"",BC268-$E268)</f>
        <v/>
      </c>
      <c r="BE268" s="39"/>
      <c r="BF268" s="40" t="str">
        <f aca="false">IF(OR(BE268="",CE268=""),"",BE268/CE268*100)</f>
        <v/>
      </c>
      <c r="BG268" s="41" t="str">
        <f aca="false">IF(BF268="","",IFERROR(MATCH(BF268,INDEX(Boundaries!$B$2:$I$30,MATCH(CS268,Boundaries!$A$2:$A$30,0),0),1)-1,""))</f>
        <v/>
      </c>
      <c r="BH268" s="42" t="str">
        <f aca="false">IF(OR(BG268="",$E268=""),"",BG268-$E268)</f>
        <v/>
      </c>
      <c r="BI268" s="39"/>
      <c r="BJ268" s="40" t="str">
        <f aca="false">IF(OR(BI268="",CF268=""),"",BI268/CF268*100)</f>
        <v/>
      </c>
      <c r="BK268" s="41" t="str">
        <f aca="false">IF(BJ268="","",IFERROR(MATCH(BJ268,INDEX(Boundaries!$B$2:$I$30,MATCH(CT268,Boundaries!$A$2:$A$30,0),0),1)-1,""))</f>
        <v/>
      </c>
      <c r="BL268" s="42" t="str">
        <f aca="false">IF(OR(BK268="",$E268=""),"",BK268-$E268)</f>
        <v/>
      </c>
      <c r="BM268" s="39"/>
      <c r="BN268" s="40" t="str">
        <f aca="false">IF(OR(BM268="",CG268=""),"",BM268/CG268*100)</f>
        <v/>
      </c>
      <c r="BO268" s="41" t="str">
        <f aca="false">IF(BN268="","",IFERROR(MATCH(BN268,INDEX(Boundaries!$B$2:$I$30,MATCH(CU268,Boundaries!$A$2:$A$30,0),0),1)-1,""))</f>
        <v/>
      </c>
      <c r="BP268" s="42" t="str">
        <f aca="false">IF(OR(BO268="",$E268=""),"",BO268-$E268)</f>
        <v/>
      </c>
      <c r="BQ268" s="39"/>
      <c r="BR268" s="40" t="str">
        <f aca="false">IF(OR(BQ268="",CH268=""),"",BQ268/CH268*100)</f>
        <v/>
      </c>
      <c r="BS268" s="41" t="str">
        <f aca="false">IF(BR268="","",IFERROR(MATCH(BR268,INDEX(Boundaries!$B$2:$I$30,MATCH(CV268,Boundaries!$A$2:$A$30,0),0),1)-1,""))</f>
        <v/>
      </c>
      <c r="BT268" s="42" t="str">
        <f aca="false">IF(OR(BS268="",$E268=""),"",BS268-$E268)</f>
        <v/>
      </c>
      <c r="BU268" s="28" t="n">
        <f aca="false">IFERROR(INDEX(Assessments!$H$2:$H$600,MATCH($H268&amp;"|"&amp;$I268&amp;"|"&amp;$J268&amp;"|"&amp;1,Assessments!$A$2:$A$600,0)),"")</f>
        <v>25</v>
      </c>
      <c r="BV268" s="28" t="n">
        <f aca="false">IFERROR(INDEX(Assessments!$H$2:$H$600,MATCH($H268&amp;"|"&amp;$I268&amp;"|"&amp;$J268&amp;"|"&amp;2,Assessments!$A$2:$A$600,0)),"")</f>
        <v>20</v>
      </c>
      <c r="BW268" s="28" t="n">
        <f aca="false">IFERROR(INDEX(Assessments!$H$2:$H$600,MATCH($H268&amp;"|"&amp;$I268&amp;"|"&amp;$J268&amp;"|"&amp;3,Assessments!$A$2:$A$600,0)),"")</f>
        <v>25</v>
      </c>
      <c r="BX268" s="28" t="n">
        <f aca="false">IFERROR(INDEX(Assessments!$H$2:$H$600,MATCH($H268&amp;"|"&amp;$I268&amp;"|"&amp;$J268&amp;"|"&amp;4,Assessments!$A$2:$A$600,0)),"")</f>
        <v>23</v>
      </c>
      <c r="BY268" s="28" t="n">
        <f aca="false">IFERROR(INDEX(Assessments!$H$2:$H$600,MATCH($H268&amp;"|"&amp;$I268&amp;"|"&amp;$J268&amp;"|"&amp;5,Assessments!$A$2:$A$600,0)),"")</f>
        <v>25</v>
      </c>
      <c r="BZ268" s="28" t="n">
        <f aca="false">IFERROR(INDEX(Assessments!$H$2:$H$600,MATCH($H268&amp;"|"&amp;$I268&amp;"|"&amp;$J268&amp;"|"&amp;6,Assessments!$A$2:$A$600,0)),"")</f>
        <v>23</v>
      </c>
      <c r="CA268" s="28" t="n">
        <f aca="false">IFERROR(INDEX(Assessments!$H$2:$H$600,MATCH($H268&amp;"|"&amp;$I268&amp;"|"&amp;$J268&amp;"|"&amp;7,Assessments!$A$2:$A$600,0)),"")</f>
        <v>52</v>
      </c>
      <c r="CB268" s="28" t="str">
        <f aca="false">IFERROR(INDEX(Assessments!$H$2:$H$600,MATCH($H268&amp;"|"&amp;$I268&amp;"|"&amp;$J268&amp;"|"&amp;8,Assessments!$A$2:$A$600,0)),"")</f>
        <v/>
      </c>
      <c r="CC268" s="28" t="str">
        <f aca="false">IFERROR(INDEX(Assessments!$H$2:$H$600,MATCH($H268&amp;"|"&amp;$I268&amp;"|"&amp;$J268&amp;"|"&amp;9,Assessments!$A$2:$A$600,0)),"")</f>
        <v/>
      </c>
      <c r="CD268" s="28" t="str">
        <f aca="false">IFERROR(INDEX(Assessments!$H$2:$H$600,MATCH($H268&amp;"|"&amp;$I268&amp;"|"&amp;$J268&amp;"|"&amp;10,Assessments!$A$2:$A$600,0)),"")</f>
        <v/>
      </c>
      <c r="CE268" s="28" t="str">
        <f aca="false">IFERROR(INDEX(Assessments!$H$2:$H$600,MATCH($H268&amp;"|"&amp;$I268&amp;"|"&amp;$J268&amp;"|"&amp;11,Assessments!$A$2:$A$600,0)),"")</f>
        <v/>
      </c>
      <c r="CF268" s="28" t="str">
        <f aca="false">IFERROR(INDEX(Assessments!$H$2:$H$600,MATCH($H268&amp;"|"&amp;$I268&amp;"|"&amp;$J268&amp;"|"&amp;12,Assessments!$A$2:$A$600,0)),"")</f>
        <v/>
      </c>
      <c r="CG268" s="28" t="str">
        <f aca="false">IFERROR(INDEX(Assessments!$H$2:$H$600,MATCH($H268&amp;"|"&amp;$I268&amp;"|"&amp;$J268&amp;"|"&amp;13,Assessments!$A$2:$A$600,0)),"")</f>
        <v/>
      </c>
      <c r="CH268" s="28" t="str">
        <f aca="false">IFERROR(INDEX(Assessments!$H$2:$H$600,MATCH($H268&amp;"|"&amp;$I268&amp;"|"&amp;$J268&amp;"|"&amp;14,Assessments!$A$2:$A$600,0)),"")</f>
        <v/>
      </c>
      <c r="CI268" s="28" t="str">
        <f aca="false">IFERROR(INDEX(Assessments!$I$2:$I$600,MATCH($H268&amp;"|"&amp;$I268&amp;"|"&amp;$J268&amp;"|"&amp;1,Assessments!$A$2:$A$600,0)),"")</f>
        <v>Econ Test</v>
      </c>
      <c r="CJ268" s="28" t="str">
        <f aca="false">IFERROR(INDEX(Assessments!$I$2:$I$600,MATCH($H268&amp;"|"&amp;$I268&amp;"|"&amp;$J268&amp;"|"&amp;2,Assessments!$A$2:$A$600,0)),"")</f>
        <v>Econ Test</v>
      </c>
      <c r="CK268" s="28" t="str">
        <f aca="false">IFERROR(INDEX(Assessments!$I$2:$I$600,MATCH($H268&amp;"|"&amp;$I268&amp;"|"&amp;$J268&amp;"|"&amp;3,Assessments!$A$2:$A$600,0)),"")</f>
        <v>Econ Test</v>
      </c>
      <c r="CL268" s="28" t="str">
        <f aca="false">IFERROR(INDEX(Assessments!$I$2:$I$600,MATCH($H268&amp;"|"&amp;$I268&amp;"|"&amp;$J268&amp;"|"&amp;4,Assessments!$A$2:$A$600,0)),"")</f>
        <v>Econ Test</v>
      </c>
      <c r="CM268" s="28" t="str">
        <f aca="false">IFERROR(INDEX(Assessments!$I$2:$I$600,MATCH($H268&amp;"|"&amp;$I268&amp;"|"&amp;$J268&amp;"|"&amp;5,Assessments!$A$2:$A$600,0)),"")</f>
        <v>Econ Exam</v>
      </c>
      <c r="CN268" s="28" t="str">
        <f aca="false">IFERROR(INDEX(Assessments!$I$2:$I$600,MATCH($H268&amp;"|"&amp;$I268&amp;"|"&amp;$J268&amp;"|"&amp;6,Assessments!$A$2:$A$600,0)),"")</f>
        <v>Econ Test</v>
      </c>
      <c r="CO268" s="28" t="str">
        <f aca="false">IFERROR(INDEX(Assessments!$I$2:$I$600,MATCH($H268&amp;"|"&amp;$I268&amp;"|"&amp;$J268&amp;"|"&amp;7,Assessments!$A$2:$A$600,0)),"")</f>
        <v>Econ Exam</v>
      </c>
      <c r="CP268" s="28" t="str">
        <f aca="false">IFERROR(INDEX(Assessments!$I$2:$I$600,MATCH($H268&amp;"|"&amp;$I268&amp;"|"&amp;$J268&amp;"|"&amp;8,Assessments!$A$2:$A$600,0)),"")</f>
        <v/>
      </c>
      <c r="CQ268" s="28" t="str">
        <f aca="false">IFERROR(INDEX(Assessments!$I$2:$I$600,MATCH($H268&amp;"|"&amp;$I268&amp;"|"&amp;$J268&amp;"|"&amp;9,Assessments!$A$2:$A$600,0)),"")</f>
        <v/>
      </c>
      <c r="CR268" s="28" t="str">
        <f aca="false">IFERROR(INDEX(Assessments!$I$2:$I$600,MATCH($H268&amp;"|"&amp;$I268&amp;"|"&amp;$J268&amp;"|"&amp;10,Assessments!$A$2:$A$600,0)),"")</f>
        <v/>
      </c>
      <c r="CS268" s="28" t="str">
        <f aca="false">IFERROR(INDEX(Assessments!$I$2:$I$600,MATCH($H268&amp;"|"&amp;$I268&amp;"|"&amp;$J268&amp;"|"&amp;11,Assessments!$A$2:$A$600,0)),"")</f>
        <v/>
      </c>
      <c r="CT268" s="28" t="str">
        <f aca="false">IFERROR(INDEX(Assessments!$I$2:$I$600,MATCH($H268&amp;"|"&amp;$I268&amp;"|"&amp;$J268&amp;"|"&amp;12,Assessments!$A$2:$A$600,0)),"")</f>
        <v/>
      </c>
      <c r="CU268" s="28" t="str">
        <f aca="false">IFERROR(INDEX(Assessments!$I$2:$I$600,MATCH($H268&amp;"|"&amp;$I268&amp;"|"&amp;$J268&amp;"|"&amp;13,Assessments!$A$2:$A$600,0)),"")</f>
        <v/>
      </c>
      <c r="CV268" s="28" t="str">
        <f aca="false">IFERROR(INDEX(Assessments!$I$2:$I$600,MATCH($H268&amp;"|"&amp;$I268&amp;"|"&amp;$J268&amp;"|"&amp;14,Assessments!$A$2:$A$600,0)),"")</f>
        <v/>
      </c>
      <c r="CW268" s="28" t="n">
        <f aca="false">IFERROR(INDEX(Assessments!$J$2:$J$600,MATCH($H268&amp;"|"&amp;$I268&amp;"|"&amp;$J268&amp;"|"&amp;1,Assessments!$A$2:$A$600,0)),0)</f>
        <v>1</v>
      </c>
      <c r="CX268" s="28" t="n">
        <f aca="false">IFERROR(INDEX(Assessments!$J$2:$J$600,MATCH($H268&amp;"|"&amp;$I268&amp;"|"&amp;$J268&amp;"|"&amp;2,Assessments!$A$2:$A$600,0)),0)</f>
        <v>1</v>
      </c>
      <c r="CY268" s="28" t="n">
        <f aca="false">IFERROR(INDEX(Assessments!$J$2:$J$600,MATCH($H268&amp;"|"&amp;$I268&amp;"|"&amp;$J268&amp;"|"&amp;3,Assessments!$A$2:$A$600,0)),0)</f>
        <v>1</v>
      </c>
      <c r="CZ268" s="28" t="n">
        <f aca="false">IFERROR(INDEX(Assessments!$J$2:$J$600,MATCH($H268&amp;"|"&amp;$I268&amp;"|"&amp;$J268&amp;"|"&amp;4,Assessments!$A$2:$A$600,0)),0)</f>
        <v>1</v>
      </c>
      <c r="DA268" s="28" t="n">
        <f aca="false">IFERROR(INDEX(Assessments!$J$2:$J$600,MATCH($H268&amp;"|"&amp;$I268&amp;"|"&amp;$J268&amp;"|"&amp;5,Assessments!$A$2:$A$600,0)),0)</f>
        <v>2</v>
      </c>
      <c r="DB268" s="28" t="n">
        <f aca="false">IFERROR(INDEX(Assessments!$J$2:$J$600,MATCH($H268&amp;"|"&amp;$I268&amp;"|"&amp;$J268&amp;"|"&amp;6,Assessments!$A$2:$A$600,0)),0)</f>
        <v>1</v>
      </c>
      <c r="DC268" s="28" t="n">
        <f aca="false">IFERROR(INDEX(Assessments!$J$2:$J$600,MATCH($H268&amp;"|"&amp;$I268&amp;"|"&amp;$J268&amp;"|"&amp;7,Assessments!$A$2:$A$600,0)),0)</f>
        <v>2</v>
      </c>
      <c r="DD268" s="28" t="n">
        <f aca="false">IFERROR(INDEX(Assessments!$J$2:$J$600,MATCH($H268&amp;"|"&amp;$I268&amp;"|"&amp;$J268&amp;"|"&amp;8,Assessments!$A$2:$A$600,0)),0)</f>
        <v>0</v>
      </c>
      <c r="DE268" s="28" t="n">
        <f aca="false">IFERROR(INDEX(Assessments!$J$2:$J$600,MATCH($H268&amp;"|"&amp;$I268&amp;"|"&amp;$J268&amp;"|"&amp;9,Assessments!$A$2:$A$600,0)),0)</f>
        <v>0</v>
      </c>
      <c r="DF268" s="28" t="n">
        <f aca="false">IFERROR(INDEX(Assessments!$J$2:$J$600,MATCH($H268&amp;"|"&amp;$I268&amp;"|"&amp;$J268&amp;"|"&amp;10,Assessments!$A$2:$A$600,0)),0)</f>
        <v>0</v>
      </c>
      <c r="DG268" s="28" t="n">
        <f aca="false">IFERROR(INDEX(Assessments!$J$2:$J$600,MATCH($H268&amp;"|"&amp;$I268&amp;"|"&amp;$J268&amp;"|"&amp;11,Assessments!$A$2:$A$600,0)),0)</f>
        <v>0</v>
      </c>
      <c r="DH268" s="28" t="n">
        <f aca="false">IFERROR(INDEX(Assessments!$J$2:$J$600,MATCH($H268&amp;"|"&amp;$I268&amp;"|"&amp;$J268&amp;"|"&amp;12,Assessments!$A$2:$A$600,0)),0)</f>
        <v>0</v>
      </c>
      <c r="DI268" s="28" t="n">
        <f aca="false">IFERROR(INDEX(Assessments!$J$2:$J$600,MATCH($H268&amp;"|"&amp;$I268&amp;"|"&amp;$J268&amp;"|"&amp;13,Assessments!$A$2:$A$600,0)),0)</f>
        <v>0</v>
      </c>
      <c r="DJ268" s="28" t="n">
        <f aca="false">IFERROR(INDEX(Assessments!$J$2:$J$600,MATCH($H268&amp;"|"&amp;$I268&amp;"|"&amp;$J268&amp;"|"&amp;14,Assessments!$A$2:$A$600,0)),0)</f>
        <v>0</v>
      </c>
      <c r="DK268" s="28" t="str">
        <f aca="false">S268</f>
        <v/>
      </c>
      <c r="DL268" s="28" t="str">
        <f aca="false">W268</f>
        <v/>
      </c>
      <c r="DM268" s="28" t="str">
        <f aca="false">AA268</f>
        <v/>
      </c>
      <c r="DN268" s="28" t="str">
        <f aca="false">AE268</f>
        <v/>
      </c>
      <c r="DO268" s="28" t="str">
        <f aca="false">AI268</f>
        <v/>
      </c>
      <c r="DP268" s="28" t="str">
        <f aca="false">AM268</f>
        <v/>
      </c>
      <c r="DQ268" s="28" t="str">
        <f aca="false">AQ268</f>
        <v/>
      </c>
      <c r="DR268" s="28" t="str">
        <f aca="false">AU268</f>
        <v/>
      </c>
      <c r="DS268" s="28" t="str">
        <f aca="false">AY268</f>
        <v/>
      </c>
      <c r="DT268" s="28" t="str">
        <f aca="false">BC268</f>
        <v/>
      </c>
      <c r="DU268" s="28" t="str">
        <f aca="false">BG268</f>
        <v/>
      </c>
      <c r="DV268" s="28" t="str">
        <f aca="false">BK268</f>
        <v/>
      </c>
      <c r="DW268" s="28" t="str">
        <f aca="false">BO268</f>
        <v/>
      </c>
      <c r="DX268" s="28" t="str">
        <f aca="false">BS268</f>
        <v/>
      </c>
      <c r="DY268" s="28" t="str">
        <f aca="false">IF(ISNUMBER(S268),1,"")</f>
        <v/>
      </c>
      <c r="DZ268" s="28" t="str">
        <f aca="false">IF(ISNUMBER(W268),2,"")</f>
        <v/>
      </c>
      <c r="EA268" s="28" t="str">
        <f aca="false">IF(ISNUMBER(AA268),3,"")</f>
        <v/>
      </c>
      <c r="EB268" s="28" t="str">
        <f aca="false">IF(ISNUMBER(AE268),4,"")</f>
        <v/>
      </c>
      <c r="EC268" s="28" t="str">
        <f aca="false">IF(ISNUMBER(AI268),5,"")</f>
        <v/>
      </c>
      <c r="ED268" s="28" t="str">
        <f aca="false">IF(ISNUMBER(AM268),6,"")</f>
        <v/>
      </c>
      <c r="EE268" s="28" t="str">
        <f aca="false">IF(ISNUMBER(AQ268),7,"")</f>
        <v/>
      </c>
      <c r="EF268" s="28" t="str">
        <f aca="false">IF(ISNUMBER(AU268),8,"")</f>
        <v/>
      </c>
      <c r="EG268" s="28" t="str">
        <f aca="false">IF(ISNUMBER(AY268),9,"")</f>
        <v/>
      </c>
      <c r="EH268" s="28" t="str">
        <f aca="false">IF(ISNUMBER(BC268),10,"")</f>
        <v/>
      </c>
      <c r="EI268" s="28" t="str">
        <f aca="false">IF(ISNUMBER(BG268),11,"")</f>
        <v/>
      </c>
      <c r="EJ268" s="28" t="str">
        <f aca="false">IF(ISNUMBER(BK268),12,"")</f>
        <v/>
      </c>
      <c r="EK268" s="28" t="str">
        <f aca="false">IF(ISNUMBER(BO268),13,"")</f>
        <v/>
      </c>
      <c r="EL268" s="28" t="str">
        <f aca="false">IF(ISNUMBER(BS268),14,"")</f>
        <v/>
      </c>
      <c r="EM268" s="28" t="n">
        <f aca="false">IF(ISNUMBER(R268),R268*CW268,0)</f>
        <v>0</v>
      </c>
      <c r="EN268" s="28" t="n">
        <f aca="false">IF(ISNUMBER(V268),V268*CX268,0)</f>
        <v>0</v>
      </c>
      <c r="EO268" s="28" t="n">
        <f aca="false">IF(ISNUMBER(Z268),Z268*CY268,0)</f>
        <v>0</v>
      </c>
      <c r="EP268" s="28" t="n">
        <f aca="false">IF(ISNUMBER(AD268),AD268*CZ268,0)</f>
        <v>0</v>
      </c>
      <c r="EQ268" s="28" t="n">
        <f aca="false">IF(ISNUMBER(AH268),AH268*DA268,0)</f>
        <v>0</v>
      </c>
      <c r="ER268" s="28" t="n">
        <f aca="false">IF(ISNUMBER(AL268),AL268*DB268,0)</f>
        <v>0</v>
      </c>
      <c r="ES268" s="28" t="n">
        <f aca="false">IF(ISNUMBER(AP268),AP268*DC268,0)</f>
        <v>0</v>
      </c>
      <c r="ET268" s="28" t="n">
        <f aca="false">IF(ISNUMBER(AT268),AT268*DD268,0)</f>
        <v>0</v>
      </c>
      <c r="EU268" s="28" t="n">
        <f aca="false">IF(ISNUMBER(AX268),AX268*DE268,0)</f>
        <v>0</v>
      </c>
      <c r="EV268" s="28" t="n">
        <f aca="false">IF(ISNUMBER(BB268),BB268*DF268,0)</f>
        <v>0</v>
      </c>
      <c r="EW268" s="28" t="n">
        <f aca="false">IF(ISNUMBER(BF268),BF268*DG268,0)</f>
        <v>0</v>
      </c>
      <c r="EX268" s="28" t="n">
        <f aca="false">IF(ISNUMBER(BJ268),BJ268*DH268,0)</f>
        <v>0</v>
      </c>
      <c r="EY268" s="28" t="n">
        <f aca="false">IF(ISNUMBER(BN268),BN268*DI268,0)</f>
        <v>0</v>
      </c>
      <c r="EZ268" s="28" t="n">
        <f aca="false">IF(ISNUMBER(BR268),BR268*DJ268,0)</f>
        <v>0</v>
      </c>
      <c r="FA268" s="28" t="n">
        <f aca="false">IF(ISNUMBER(R268),CW268,0)</f>
        <v>0</v>
      </c>
      <c r="FB268" s="28" t="n">
        <f aca="false">IF(ISNUMBER(V268),CX268,0)</f>
        <v>0</v>
      </c>
      <c r="FC268" s="28" t="n">
        <f aca="false">IF(ISNUMBER(Z268),CY268,0)</f>
        <v>0</v>
      </c>
      <c r="FD268" s="28" t="n">
        <f aca="false">IF(ISNUMBER(AD268),CZ268,0)</f>
        <v>0</v>
      </c>
      <c r="FE268" s="28" t="n">
        <f aca="false">IF(ISNUMBER(AH268),DA268,0)</f>
        <v>0</v>
      </c>
      <c r="FF268" s="28" t="n">
        <f aca="false">IF(ISNUMBER(AL268),DB268,0)</f>
        <v>0</v>
      </c>
      <c r="FG268" s="28" t="n">
        <f aca="false">IF(ISNUMBER(AP268),DC268,0)</f>
        <v>0</v>
      </c>
      <c r="FH268" s="28" t="n">
        <f aca="false">IF(ISNUMBER(AT268),DD268,0)</f>
        <v>0</v>
      </c>
      <c r="FI268" s="28" t="n">
        <f aca="false">IF(ISNUMBER(AX268),DE268,0)</f>
        <v>0</v>
      </c>
      <c r="FJ268" s="28" t="n">
        <f aca="false">IF(ISNUMBER(BB268),DF268,0)</f>
        <v>0</v>
      </c>
      <c r="FK268" s="28" t="n">
        <f aca="false">IF(ISNUMBER(BF268),DG268,0)</f>
        <v>0</v>
      </c>
      <c r="FL268" s="28" t="n">
        <f aca="false">IF(ISNUMBER(BJ268),DH268,0)</f>
        <v>0</v>
      </c>
      <c r="FM268" s="28" t="n">
        <f aca="false">IF(ISNUMBER(BN268),DI268,0)</f>
        <v>0</v>
      </c>
      <c r="FN268" s="28" t="n">
        <f aca="false">IF(ISNUMBER(BR268),DJ268,0)</f>
        <v>0</v>
      </c>
      <c r="FO268" s="28" t="str">
        <f aca="false">IFERROR(INDEX(Lists!$G$2:$G$20,MATCH($I268&amp;"|"&amp;$J268,Lists!$F$2:$F$20,0)),"")</f>
        <v>Econ Exam</v>
      </c>
    </row>
    <row r="269" customFormat="false" ht="19.5" hidden="false" customHeight="true" outlineLevel="0" collapsed="false">
      <c r="A269" s="29" t="s">
        <v>543</v>
      </c>
      <c r="B269" s="29" t="s">
        <v>544</v>
      </c>
      <c r="C269" s="30" t="s">
        <v>152</v>
      </c>
      <c r="D269" s="30" t="s">
        <v>228</v>
      </c>
      <c r="E269" s="31"/>
      <c r="F269" s="30"/>
      <c r="G269" s="30"/>
      <c r="H269" s="32" t="s">
        <v>428</v>
      </c>
      <c r="I269" s="33" t="s">
        <v>229</v>
      </c>
      <c r="J269" s="32" t="s">
        <v>223</v>
      </c>
      <c r="K269" s="34" t="str">
        <f aca="false">IF(OR(M269="",$E269=""),"",M269-$E269)</f>
        <v/>
      </c>
      <c r="L269" s="35" t="str">
        <f aca="false">IF(SUM(FA269:FN269)=0,"",SUM(EM269:EZ269)/SUM(FA269:FN269))</f>
        <v/>
      </c>
      <c r="M269" s="36" t="str">
        <f aca="false">IF(OR(L269="",FO269=""),"",IFERROR(MATCH(L269,INDEX(Boundaries!$B$2:$I$30,MATCH(FO269,Boundaries!$A$2:$A$30,0),0),1)-1,""))</f>
        <v/>
      </c>
      <c r="N269" s="37" t="str">
        <f aca="false">IF(COUNT($DY269:$EL269)&lt;2,"",INDEX($DK269:$DX269,MAX($DY269:$EL269))-INDEX($DK269:$DX269,MIN($DY269:$EL269)))</f>
        <v/>
      </c>
      <c r="O269" s="37" t="str">
        <f aca="false">IF(COUNT($DY269:$EL269)&lt;2,"",INDEX($DK269:$DX269,MAX($DY269:$EL269))-INDEX($DK269:$DX269,LARGE($DY269:$EL269,2)))</f>
        <v/>
      </c>
      <c r="P269" s="38" t="str">
        <f aca="false">IF(K269="","",IF(K269&gt;=0,"On/above target",IF(AND(N269&lt;&gt;"",N269&gt;=0.5),"Improving towards target",IF(AND(O269&lt;&gt;"",O269&lt;=-0.5),"Declining","Stable below target"))))</f>
        <v/>
      </c>
      <c r="Q269" s="39"/>
      <c r="R269" s="40" t="str">
        <f aca="false">IF(OR(Q269="",BU269=""),"",Q269/BU269*100)</f>
        <v/>
      </c>
      <c r="S269" s="41" t="str">
        <f aca="false">IF(R269="","",IFERROR(MATCH(R269,INDEX(Boundaries!$B$2:$I$30,MATCH(CI269,Boundaries!$A$2:$A$30,0),0),1)-1,""))</f>
        <v/>
      </c>
      <c r="T269" s="42" t="str">
        <f aca="false">IF(OR(S269="",$E269=""),"",S269-$E269)</f>
        <v/>
      </c>
      <c r="U269" s="39"/>
      <c r="V269" s="40" t="str">
        <f aca="false">IF(OR(U269="",BV269=""),"",U269/BV269*100)</f>
        <v/>
      </c>
      <c r="W269" s="41" t="str">
        <f aca="false">IF(V269="","",IFERROR(MATCH(V269,INDEX(Boundaries!$B$2:$I$30,MATCH(CJ269,Boundaries!$A$2:$A$30,0),0),1)-1,""))</f>
        <v/>
      </c>
      <c r="X269" s="42" t="str">
        <f aca="false">IF(OR(W269="",$E269=""),"",W269-$E269)</f>
        <v/>
      </c>
      <c r="Y269" s="39"/>
      <c r="Z269" s="40" t="str">
        <f aca="false">IF(OR(Y269="",BW269=""),"",Y269/BW269*100)</f>
        <v/>
      </c>
      <c r="AA269" s="41" t="str">
        <f aca="false">IF(Z269="","",IFERROR(MATCH(Z269,INDEX(Boundaries!$B$2:$I$30,MATCH(CK269,Boundaries!$A$2:$A$30,0),0),1)-1,""))</f>
        <v/>
      </c>
      <c r="AB269" s="42" t="str">
        <f aca="false">IF(OR(AA269="",$E269=""),"",AA269-$E269)</f>
        <v/>
      </c>
      <c r="AC269" s="39"/>
      <c r="AD269" s="40" t="str">
        <f aca="false">IF(OR(AC269="",BX269=""),"",AC269/BX269*100)</f>
        <v/>
      </c>
      <c r="AE269" s="41" t="str">
        <f aca="false">IF(AD269="","",IFERROR(MATCH(AD269,INDEX(Boundaries!$B$2:$I$30,MATCH(CL269,Boundaries!$A$2:$A$30,0),0),1)-1,""))</f>
        <v/>
      </c>
      <c r="AF269" s="42" t="str">
        <f aca="false">IF(OR(AE269="",$E269=""),"",AE269-$E269)</f>
        <v/>
      </c>
      <c r="AG269" s="39"/>
      <c r="AH269" s="40" t="str">
        <f aca="false">IF(OR(AG269="",BY269=""),"",AG269/BY269*100)</f>
        <v/>
      </c>
      <c r="AI269" s="41" t="str">
        <f aca="false">IF(AH269="","",IFERROR(MATCH(AH269,INDEX(Boundaries!$B$2:$I$30,MATCH(CM269,Boundaries!$A$2:$A$30,0),0),1)-1,""))</f>
        <v/>
      </c>
      <c r="AJ269" s="42" t="str">
        <f aca="false">IF(OR(AI269="",$E269=""),"",AI269-$E269)</f>
        <v/>
      </c>
      <c r="AK269" s="39"/>
      <c r="AL269" s="40" t="str">
        <f aca="false">IF(OR(AK269="",BZ269=""),"",AK269/BZ269*100)</f>
        <v/>
      </c>
      <c r="AM269" s="41" t="str">
        <f aca="false">IF(AL269="","",IFERROR(MATCH(AL269,INDEX(Boundaries!$B$2:$I$30,MATCH(CN269,Boundaries!$A$2:$A$30,0),0),1)-1,""))</f>
        <v/>
      </c>
      <c r="AN269" s="42" t="str">
        <f aca="false">IF(OR(AM269="",$E269=""),"",AM269-$E269)</f>
        <v/>
      </c>
      <c r="AO269" s="39"/>
      <c r="AP269" s="40" t="str">
        <f aca="false">IF(OR(AO269="",CA269=""),"",AO269/CA269*100)</f>
        <v/>
      </c>
      <c r="AQ269" s="41" t="str">
        <f aca="false">IF(AP269="","",IFERROR(MATCH(AP269,INDEX(Boundaries!$B$2:$I$30,MATCH(CO269,Boundaries!$A$2:$A$30,0),0),1)-1,""))</f>
        <v/>
      </c>
      <c r="AR269" s="42" t="str">
        <f aca="false">IF(OR(AQ269="",$E269=""),"",AQ269-$E269)</f>
        <v/>
      </c>
      <c r="AS269" s="39"/>
      <c r="AT269" s="40" t="str">
        <f aca="false">IF(OR(AS269="",CB269=""),"",AS269/CB269*100)</f>
        <v/>
      </c>
      <c r="AU269" s="41" t="str">
        <f aca="false">IF(AT269="","",IFERROR(MATCH(AT269,INDEX(Boundaries!$B$2:$I$30,MATCH(CP269,Boundaries!$A$2:$A$30,0),0),1)-1,""))</f>
        <v/>
      </c>
      <c r="AV269" s="42" t="str">
        <f aca="false">IF(OR(AU269="",$E269=""),"",AU269-$E269)</f>
        <v/>
      </c>
      <c r="AW269" s="39"/>
      <c r="AX269" s="40" t="str">
        <f aca="false">IF(OR(AW269="",CC269=""),"",AW269/CC269*100)</f>
        <v/>
      </c>
      <c r="AY269" s="41" t="str">
        <f aca="false">IF(AX269="","",IFERROR(MATCH(AX269,INDEX(Boundaries!$B$2:$I$30,MATCH(CQ269,Boundaries!$A$2:$A$30,0),0),1)-1,""))</f>
        <v/>
      </c>
      <c r="AZ269" s="42" t="str">
        <f aca="false">IF(OR(AY269="",$E269=""),"",AY269-$E269)</f>
        <v/>
      </c>
      <c r="BA269" s="39"/>
      <c r="BB269" s="40" t="str">
        <f aca="false">IF(OR(BA269="",CD269=""),"",BA269/CD269*100)</f>
        <v/>
      </c>
      <c r="BC269" s="41" t="str">
        <f aca="false">IF(BB269="","",IFERROR(MATCH(BB269,INDEX(Boundaries!$B$2:$I$30,MATCH(CR269,Boundaries!$A$2:$A$30,0),0),1)-1,""))</f>
        <v/>
      </c>
      <c r="BD269" s="42" t="str">
        <f aca="false">IF(OR(BC269="",$E269=""),"",BC269-$E269)</f>
        <v/>
      </c>
      <c r="BE269" s="39"/>
      <c r="BF269" s="40" t="str">
        <f aca="false">IF(OR(BE269="",CE269=""),"",BE269/CE269*100)</f>
        <v/>
      </c>
      <c r="BG269" s="41" t="str">
        <f aca="false">IF(BF269="","",IFERROR(MATCH(BF269,INDEX(Boundaries!$B$2:$I$30,MATCH(CS269,Boundaries!$A$2:$A$30,0),0),1)-1,""))</f>
        <v/>
      </c>
      <c r="BH269" s="42" t="str">
        <f aca="false">IF(OR(BG269="",$E269=""),"",BG269-$E269)</f>
        <v/>
      </c>
      <c r="BI269" s="39"/>
      <c r="BJ269" s="40" t="str">
        <f aca="false">IF(OR(BI269="",CF269=""),"",BI269/CF269*100)</f>
        <v/>
      </c>
      <c r="BK269" s="41" t="str">
        <f aca="false">IF(BJ269="","",IFERROR(MATCH(BJ269,INDEX(Boundaries!$B$2:$I$30,MATCH(CT269,Boundaries!$A$2:$A$30,0),0),1)-1,""))</f>
        <v/>
      </c>
      <c r="BL269" s="42" t="str">
        <f aca="false">IF(OR(BK269="",$E269=""),"",BK269-$E269)</f>
        <v/>
      </c>
      <c r="BM269" s="39"/>
      <c r="BN269" s="40" t="str">
        <f aca="false">IF(OR(BM269="",CG269=""),"",BM269/CG269*100)</f>
        <v/>
      </c>
      <c r="BO269" s="41" t="str">
        <f aca="false">IF(BN269="","",IFERROR(MATCH(BN269,INDEX(Boundaries!$B$2:$I$30,MATCH(CU269,Boundaries!$A$2:$A$30,0),0),1)-1,""))</f>
        <v/>
      </c>
      <c r="BP269" s="42" t="str">
        <f aca="false">IF(OR(BO269="",$E269=""),"",BO269-$E269)</f>
        <v/>
      </c>
      <c r="BQ269" s="39"/>
      <c r="BR269" s="40" t="str">
        <f aca="false">IF(OR(BQ269="",CH269=""),"",BQ269/CH269*100)</f>
        <v/>
      </c>
      <c r="BS269" s="41" t="str">
        <f aca="false">IF(BR269="","",IFERROR(MATCH(BR269,INDEX(Boundaries!$B$2:$I$30,MATCH(CV269,Boundaries!$A$2:$A$30,0),0),1)-1,""))</f>
        <v/>
      </c>
      <c r="BT269" s="42" t="str">
        <f aca="false">IF(OR(BS269="",$E269=""),"",BS269-$E269)</f>
        <v/>
      </c>
      <c r="BU269" s="28" t="n">
        <f aca="false">IFERROR(INDEX(Assessments!$H$2:$H$600,MATCH($H269&amp;"|"&amp;$I269&amp;"|"&amp;$J269&amp;"|"&amp;1,Assessments!$A$2:$A$600,0)),"")</f>
        <v>25</v>
      </c>
      <c r="BV269" s="28" t="n">
        <f aca="false">IFERROR(INDEX(Assessments!$H$2:$H$600,MATCH($H269&amp;"|"&amp;$I269&amp;"|"&amp;$J269&amp;"|"&amp;2,Assessments!$A$2:$A$600,0)),"")</f>
        <v>20</v>
      </c>
      <c r="BW269" s="28" t="n">
        <f aca="false">IFERROR(INDEX(Assessments!$H$2:$H$600,MATCH($H269&amp;"|"&amp;$I269&amp;"|"&amp;$J269&amp;"|"&amp;3,Assessments!$A$2:$A$600,0)),"")</f>
        <v>25</v>
      </c>
      <c r="BX269" s="28" t="n">
        <f aca="false">IFERROR(INDEX(Assessments!$H$2:$H$600,MATCH($H269&amp;"|"&amp;$I269&amp;"|"&amp;$J269&amp;"|"&amp;4,Assessments!$A$2:$A$600,0)),"")</f>
        <v>23</v>
      </c>
      <c r="BY269" s="28" t="n">
        <f aca="false">IFERROR(INDEX(Assessments!$H$2:$H$600,MATCH($H269&amp;"|"&amp;$I269&amp;"|"&amp;$J269&amp;"|"&amp;5,Assessments!$A$2:$A$600,0)),"")</f>
        <v>25</v>
      </c>
      <c r="BZ269" s="28" t="n">
        <f aca="false">IFERROR(INDEX(Assessments!$H$2:$H$600,MATCH($H269&amp;"|"&amp;$I269&amp;"|"&amp;$J269&amp;"|"&amp;6,Assessments!$A$2:$A$600,0)),"")</f>
        <v>23</v>
      </c>
      <c r="CA269" s="28" t="n">
        <f aca="false">IFERROR(INDEX(Assessments!$H$2:$H$600,MATCH($H269&amp;"|"&amp;$I269&amp;"|"&amp;$J269&amp;"|"&amp;7,Assessments!$A$2:$A$600,0)),"")</f>
        <v>52</v>
      </c>
      <c r="CB269" s="28" t="str">
        <f aca="false">IFERROR(INDEX(Assessments!$H$2:$H$600,MATCH($H269&amp;"|"&amp;$I269&amp;"|"&amp;$J269&amp;"|"&amp;8,Assessments!$A$2:$A$600,0)),"")</f>
        <v/>
      </c>
      <c r="CC269" s="28" t="str">
        <f aca="false">IFERROR(INDEX(Assessments!$H$2:$H$600,MATCH($H269&amp;"|"&amp;$I269&amp;"|"&amp;$J269&amp;"|"&amp;9,Assessments!$A$2:$A$600,0)),"")</f>
        <v/>
      </c>
      <c r="CD269" s="28" t="str">
        <f aca="false">IFERROR(INDEX(Assessments!$H$2:$H$600,MATCH($H269&amp;"|"&amp;$I269&amp;"|"&amp;$J269&amp;"|"&amp;10,Assessments!$A$2:$A$600,0)),"")</f>
        <v/>
      </c>
      <c r="CE269" s="28" t="str">
        <f aca="false">IFERROR(INDEX(Assessments!$H$2:$H$600,MATCH($H269&amp;"|"&amp;$I269&amp;"|"&amp;$J269&amp;"|"&amp;11,Assessments!$A$2:$A$600,0)),"")</f>
        <v/>
      </c>
      <c r="CF269" s="28" t="str">
        <f aca="false">IFERROR(INDEX(Assessments!$H$2:$H$600,MATCH($H269&amp;"|"&amp;$I269&amp;"|"&amp;$J269&amp;"|"&amp;12,Assessments!$A$2:$A$600,0)),"")</f>
        <v/>
      </c>
      <c r="CG269" s="28" t="str">
        <f aca="false">IFERROR(INDEX(Assessments!$H$2:$H$600,MATCH($H269&amp;"|"&amp;$I269&amp;"|"&amp;$J269&amp;"|"&amp;13,Assessments!$A$2:$A$600,0)),"")</f>
        <v/>
      </c>
      <c r="CH269" s="28" t="str">
        <f aca="false">IFERROR(INDEX(Assessments!$H$2:$H$600,MATCH($H269&amp;"|"&amp;$I269&amp;"|"&amp;$J269&amp;"|"&amp;14,Assessments!$A$2:$A$600,0)),"")</f>
        <v/>
      </c>
      <c r="CI269" s="28" t="str">
        <f aca="false">IFERROR(INDEX(Assessments!$I$2:$I$600,MATCH($H269&amp;"|"&amp;$I269&amp;"|"&amp;$J269&amp;"|"&amp;1,Assessments!$A$2:$A$600,0)),"")</f>
        <v>Econ Test</v>
      </c>
      <c r="CJ269" s="28" t="str">
        <f aca="false">IFERROR(INDEX(Assessments!$I$2:$I$600,MATCH($H269&amp;"|"&amp;$I269&amp;"|"&amp;$J269&amp;"|"&amp;2,Assessments!$A$2:$A$600,0)),"")</f>
        <v>Econ Test</v>
      </c>
      <c r="CK269" s="28" t="str">
        <f aca="false">IFERROR(INDEX(Assessments!$I$2:$I$600,MATCH($H269&amp;"|"&amp;$I269&amp;"|"&amp;$J269&amp;"|"&amp;3,Assessments!$A$2:$A$600,0)),"")</f>
        <v>Econ Test</v>
      </c>
      <c r="CL269" s="28" t="str">
        <f aca="false">IFERROR(INDEX(Assessments!$I$2:$I$600,MATCH($H269&amp;"|"&amp;$I269&amp;"|"&amp;$J269&amp;"|"&amp;4,Assessments!$A$2:$A$600,0)),"")</f>
        <v>Econ Test</v>
      </c>
      <c r="CM269" s="28" t="str">
        <f aca="false">IFERROR(INDEX(Assessments!$I$2:$I$600,MATCH($H269&amp;"|"&amp;$I269&amp;"|"&amp;$J269&amp;"|"&amp;5,Assessments!$A$2:$A$600,0)),"")</f>
        <v>Econ Exam</v>
      </c>
      <c r="CN269" s="28" t="str">
        <f aca="false">IFERROR(INDEX(Assessments!$I$2:$I$600,MATCH($H269&amp;"|"&amp;$I269&amp;"|"&amp;$J269&amp;"|"&amp;6,Assessments!$A$2:$A$600,0)),"")</f>
        <v>Econ Test</v>
      </c>
      <c r="CO269" s="28" t="str">
        <f aca="false">IFERROR(INDEX(Assessments!$I$2:$I$600,MATCH($H269&amp;"|"&amp;$I269&amp;"|"&amp;$J269&amp;"|"&amp;7,Assessments!$A$2:$A$600,0)),"")</f>
        <v>Econ Exam</v>
      </c>
      <c r="CP269" s="28" t="str">
        <f aca="false">IFERROR(INDEX(Assessments!$I$2:$I$600,MATCH($H269&amp;"|"&amp;$I269&amp;"|"&amp;$J269&amp;"|"&amp;8,Assessments!$A$2:$A$600,0)),"")</f>
        <v/>
      </c>
      <c r="CQ269" s="28" t="str">
        <f aca="false">IFERROR(INDEX(Assessments!$I$2:$I$600,MATCH($H269&amp;"|"&amp;$I269&amp;"|"&amp;$J269&amp;"|"&amp;9,Assessments!$A$2:$A$600,0)),"")</f>
        <v/>
      </c>
      <c r="CR269" s="28" t="str">
        <f aca="false">IFERROR(INDEX(Assessments!$I$2:$I$600,MATCH($H269&amp;"|"&amp;$I269&amp;"|"&amp;$J269&amp;"|"&amp;10,Assessments!$A$2:$A$600,0)),"")</f>
        <v/>
      </c>
      <c r="CS269" s="28" t="str">
        <f aca="false">IFERROR(INDEX(Assessments!$I$2:$I$600,MATCH($H269&amp;"|"&amp;$I269&amp;"|"&amp;$J269&amp;"|"&amp;11,Assessments!$A$2:$A$600,0)),"")</f>
        <v/>
      </c>
      <c r="CT269" s="28" t="str">
        <f aca="false">IFERROR(INDEX(Assessments!$I$2:$I$600,MATCH($H269&amp;"|"&amp;$I269&amp;"|"&amp;$J269&amp;"|"&amp;12,Assessments!$A$2:$A$600,0)),"")</f>
        <v/>
      </c>
      <c r="CU269" s="28" t="str">
        <f aca="false">IFERROR(INDEX(Assessments!$I$2:$I$600,MATCH($H269&amp;"|"&amp;$I269&amp;"|"&amp;$J269&amp;"|"&amp;13,Assessments!$A$2:$A$600,0)),"")</f>
        <v/>
      </c>
      <c r="CV269" s="28" t="str">
        <f aca="false">IFERROR(INDEX(Assessments!$I$2:$I$600,MATCH($H269&amp;"|"&amp;$I269&amp;"|"&amp;$J269&amp;"|"&amp;14,Assessments!$A$2:$A$600,0)),"")</f>
        <v/>
      </c>
      <c r="CW269" s="28" t="n">
        <f aca="false">IFERROR(INDEX(Assessments!$J$2:$J$600,MATCH($H269&amp;"|"&amp;$I269&amp;"|"&amp;$J269&amp;"|"&amp;1,Assessments!$A$2:$A$600,0)),0)</f>
        <v>1</v>
      </c>
      <c r="CX269" s="28" t="n">
        <f aca="false">IFERROR(INDEX(Assessments!$J$2:$J$600,MATCH($H269&amp;"|"&amp;$I269&amp;"|"&amp;$J269&amp;"|"&amp;2,Assessments!$A$2:$A$600,0)),0)</f>
        <v>1</v>
      </c>
      <c r="CY269" s="28" t="n">
        <f aca="false">IFERROR(INDEX(Assessments!$J$2:$J$600,MATCH($H269&amp;"|"&amp;$I269&amp;"|"&amp;$J269&amp;"|"&amp;3,Assessments!$A$2:$A$600,0)),0)</f>
        <v>1</v>
      </c>
      <c r="CZ269" s="28" t="n">
        <f aca="false">IFERROR(INDEX(Assessments!$J$2:$J$600,MATCH($H269&amp;"|"&amp;$I269&amp;"|"&amp;$J269&amp;"|"&amp;4,Assessments!$A$2:$A$600,0)),0)</f>
        <v>1</v>
      </c>
      <c r="DA269" s="28" t="n">
        <f aca="false">IFERROR(INDEX(Assessments!$J$2:$J$600,MATCH($H269&amp;"|"&amp;$I269&amp;"|"&amp;$J269&amp;"|"&amp;5,Assessments!$A$2:$A$600,0)),0)</f>
        <v>2</v>
      </c>
      <c r="DB269" s="28" t="n">
        <f aca="false">IFERROR(INDEX(Assessments!$J$2:$J$600,MATCH($H269&amp;"|"&amp;$I269&amp;"|"&amp;$J269&amp;"|"&amp;6,Assessments!$A$2:$A$600,0)),0)</f>
        <v>1</v>
      </c>
      <c r="DC269" s="28" t="n">
        <f aca="false">IFERROR(INDEX(Assessments!$J$2:$J$600,MATCH($H269&amp;"|"&amp;$I269&amp;"|"&amp;$J269&amp;"|"&amp;7,Assessments!$A$2:$A$600,0)),0)</f>
        <v>2</v>
      </c>
      <c r="DD269" s="28" t="n">
        <f aca="false">IFERROR(INDEX(Assessments!$J$2:$J$600,MATCH($H269&amp;"|"&amp;$I269&amp;"|"&amp;$J269&amp;"|"&amp;8,Assessments!$A$2:$A$600,0)),0)</f>
        <v>0</v>
      </c>
      <c r="DE269" s="28" t="n">
        <f aca="false">IFERROR(INDEX(Assessments!$J$2:$J$600,MATCH($H269&amp;"|"&amp;$I269&amp;"|"&amp;$J269&amp;"|"&amp;9,Assessments!$A$2:$A$600,0)),0)</f>
        <v>0</v>
      </c>
      <c r="DF269" s="28" t="n">
        <f aca="false">IFERROR(INDEX(Assessments!$J$2:$J$600,MATCH($H269&amp;"|"&amp;$I269&amp;"|"&amp;$J269&amp;"|"&amp;10,Assessments!$A$2:$A$600,0)),0)</f>
        <v>0</v>
      </c>
      <c r="DG269" s="28" t="n">
        <f aca="false">IFERROR(INDEX(Assessments!$J$2:$J$600,MATCH($H269&amp;"|"&amp;$I269&amp;"|"&amp;$J269&amp;"|"&amp;11,Assessments!$A$2:$A$600,0)),0)</f>
        <v>0</v>
      </c>
      <c r="DH269" s="28" t="n">
        <f aca="false">IFERROR(INDEX(Assessments!$J$2:$J$600,MATCH($H269&amp;"|"&amp;$I269&amp;"|"&amp;$J269&amp;"|"&amp;12,Assessments!$A$2:$A$600,0)),0)</f>
        <v>0</v>
      </c>
      <c r="DI269" s="28" t="n">
        <f aca="false">IFERROR(INDEX(Assessments!$J$2:$J$600,MATCH($H269&amp;"|"&amp;$I269&amp;"|"&amp;$J269&amp;"|"&amp;13,Assessments!$A$2:$A$600,0)),0)</f>
        <v>0</v>
      </c>
      <c r="DJ269" s="28" t="n">
        <f aca="false">IFERROR(INDEX(Assessments!$J$2:$J$600,MATCH($H269&amp;"|"&amp;$I269&amp;"|"&amp;$J269&amp;"|"&amp;14,Assessments!$A$2:$A$600,0)),0)</f>
        <v>0</v>
      </c>
      <c r="DK269" s="28" t="str">
        <f aca="false">S269</f>
        <v/>
      </c>
      <c r="DL269" s="28" t="str">
        <f aca="false">W269</f>
        <v/>
      </c>
      <c r="DM269" s="28" t="str">
        <f aca="false">AA269</f>
        <v/>
      </c>
      <c r="DN269" s="28" t="str">
        <f aca="false">AE269</f>
        <v/>
      </c>
      <c r="DO269" s="28" t="str">
        <f aca="false">AI269</f>
        <v/>
      </c>
      <c r="DP269" s="28" t="str">
        <f aca="false">AM269</f>
        <v/>
      </c>
      <c r="DQ269" s="28" t="str">
        <f aca="false">AQ269</f>
        <v/>
      </c>
      <c r="DR269" s="28" t="str">
        <f aca="false">AU269</f>
        <v/>
      </c>
      <c r="DS269" s="28" t="str">
        <f aca="false">AY269</f>
        <v/>
      </c>
      <c r="DT269" s="28" t="str">
        <f aca="false">BC269</f>
        <v/>
      </c>
      <c r="DU269" s="28" t="str">
        <f aca="false">BG269</f>
        <v/>
      </c>
      <c r="DV269" s="28" t="str">
        <f aca="false">BK269</f>
        <v/>
      </c>
      <c r="DW269" s="28" t="str">
        <f aca="false">BO269</f>
        <v/>
      </c>
      <c r="DX269" s="28" t="str">
        <f aca="false">BS269</f>
        <v/>
      </c>
      <c r="DY269" s="28" t="str">
        <f aca="false">IF(ISNUMBER(S269),1,"")</f>
        <v/>
      </c>
      <c r="DZ269" s="28" t="str">
        <f aca="false">IF(ISNUMBER(W269),2,"")</f>
        <v/>
      </c>
      <c r="EA269" s="28" t="str">
        <f aca="false">IF(ISNUMBER(AA269),3,"")</f>
        <v/>
      </c>
      <c r="EB269" s="28" t="str">
        <f aca="false">IF(ISNUMBER(AE269),4,"")</f>
        <v/>
      </c>
      <c r="EC269" s="28" t="str">
        <f aca="false">IF(ISNUMBER(AI269),5,"")</f>
        <v/>
      </c>
      <c r="ED269" s="28" t="str">
        <f aca="false">IF(ISNUMBER(AM269),6,"")</f>
        <v/>
      </c>
      <c r="EE269" s="28" t="str">
        <f aca="false">IF(ISNUMBER(AQ269),7,"")</f>
        <v/>
      </c>
      <c r="EF269" s="28" t="str">
        <f aca="false">IF(ISNUMBER(AU269),8,"")</f>
        <v/>
      </c>
      <c r="EG269" s="28" t="str">
        <f aca="false">IF(ISNUMBER(AY269),9,"")</f>
        <v/>
      </c>
      <c r="EH269" s="28" t="str">
        <f aca="false">IF(ISNUMBER(BC269),10,"")</f>
        <v/>
      </c>
      <c r="EI269" s="28" t="str">
        <f aca="false">IF(ISNUMBER(BG269),11,"")</f>
        <v/>
      </c>
      <c r="EJ269" s="28" t="str">
        <f aca="false">IF(ISNUMBER(BK269),12,"")</f>
        <v/>
      </c>
      <c r="EK269" s="28" t="str">
        <f aca="false">IF(ISNUMBER(BO269),13,"")</f>
        <v/>
      </c>
      <c r="EL269" s="28" t="str">
        <f aca="false">IF(ISNUMBER(BS269),14,"")</f>
        <v/>
      </c>
      <c r="EM269" s="28" t="n">
        <f aca="false">IF(ISNUMBER(R269),R269*CW269,0)</f>
        <v>0</v>
      </c>
      <c r="EN269" s="28" t="n">
        <f aca="false">IF(ISNUMBER(V269),V269*CX269,0)</f>
        <v>0</v>
      </c>
      <c r="EO269" s="28" t="n">
        <f aca="false">IF(ISNUMBER(Z269),Z269*CY269,0)</f>
        <v>0</v>
      </c>
      <c r="EP269" s="28" t="n">
        <f aca="false">IF(ISNUMBER(AD269),AD269*CZ269,0)</f>
        <v>0</v>
      </c>
      <c r="EQ269" s="28" t="n">
        <f aca="false">IF(ISNUMBER(AH269),AH269*DA269,0)</f>
        <v>0</v>
      </c>
      <c r="ER269" s="28" t="n">
        <f aca="false">IF(ISNUMBER(AL269),AL269*DB269,0)</f>
        <v>0</v>
      </c>
      <c r="ES269" s="28" t="n">
        <f aca="false">IF(ISNUMBER(AP269),AP269*DC269,0)</f>
        <v>0</v>
      </c>
      <c r="ET269" s="28" t="n">
        <f aca="false">IF(ISNUMBER(AT269),AT269*DD269,0)</f>
        <v>0</v>
      </c>
      <c r="EU269" s="28" t="n">
        <f aca="false">IF(ISNUMBER(AX269),AX269*DE269,0)</f>
        <v>0</v>
      </c>
      <c r="EV269" s="28" t="n">
        <f aca="false">IF(ISNUMBER(BB269),BB269*DF269,0)</f>
        <v>0</v>
      </c>
      <c r="EW269" s="28" t="n">
        <f aca="false">IF(ISNUMBER(BF269),BF269*DG269,0)</f>
        <v>0</v>
      </c>
      <c r="EX269" s="28" t="n">
        <f aca="false">IF(ISNUMBER(BJ269),BJ269*DH269,0)</f>
        <v>0</v>
      </c>
      <c r="EY269" s="28" t="n">
        <f aca="false">IF(ISNUMBER(BN269),BN269*DI269,0)</f>
        <v>0</v>
      </c>
      <c r="EZ269" s="28" t="n">
        <f aca="false">IF(ISNUMBER(BR269),BR269*DJ269,0)</f>
        <v>0</v>
      </c>
      <c r="FA269" s="28" t="n">
        <f aca="false">IF(ISNUMBER(R269),CW269,0)</f>
        <v>0</v>
      </c>
      <c r="FB269" s="28" t="n">
        <f aca="false">IF(ISNUMBER(V269),CX269,0)</f>
        <v>0</v>
      </c>
      <c r="FC269" s="28" t="n">
        <f aca="false">IF(ISNUMBER(Z269),CY269,0)</f>
        <v>0</v>
      </c>
      <c r="FD269" s="28" t="n">
        <f aca="false">IF(ISNUMBER(AD269),CZ269,0)</f>
        <v>0</v>
      </c>
      <c r="FE269" s="28" t="n">
        <f aca="false">IF(ISNUMBER(AH269),DA269,0)</f>
        <v>0</v>
      </c>
      <c r="FF269" s="28" t="n">
        <f aca="false">IF(ISNUMBER(AL269),DB269,0)</f>
        <v>0</v>
      </c>
      <c r="FG269" s="28" t="n">
        <f aca="false">IF(ISNUMBER(AP269),DC269,0)</f>
        <v>0</v>
      </c>
      <c r="FH269" s="28" t="n">
        <f aca="false">IF(ISNUMBER(AT269),DD269,0)</f>
        <v>0</v>
      </c>
      <c r="FI269" s="28" t="n">
        <f aca="false">IF(ISNUMBER(AX269),DE269,0)</f>
        <v>0</v>
      </c>
      <c r="FJ269" s="28" t="n">
        <f aca="false">IF(ISNUMBER(BB269),DF269,0)</f>
        <v>0</v>
      </c>
      <c r="FK269" s="28" t="n">
        <f aca="false">IF(ISNUMBER(BF269),DG269,0)</f>
        <v>0</v>
      </c>
      <c r="FL269" s="28" t="n">
        <f aca="false">IF(ISNUMBER(BJ269),DH269,0)</f>
        <v>0</v>
      </c>
      <c r="FM269" s="28" t="n">
        <f aca="false">IF(ISNUMBER(BN269),DI269,0)</f>
        <v>0</v>
      </c>
      <c r="FN269" s="28" t="n">
        <f aca="false">IF(ISNUMBER(BR269),DJ269,0)</f>
        <v>0</v>
      </c>
      <c r="FO269" s="28" t="str">
        <f aca="false">IFERROR(INDEX(Lists!$G$2:$G$20,MATCH($I269&amp;"|"&amp;$J269,Lists!$F$2:$F$20,0)),"")</f>
        <v>Econ Exam</v>
      </c>
    </row>
    <row r="270" customFormat="false" ht="19.5" hidden="false" customHeight="true" outlineLevel="0" collapsed="false">
      <c r="A270" s="29" t="s">
        <v>545</v>
      </c>
      <c r="B270" s="29" t="s">
        <v>546</v>
      </c>
      <c r="C270" s="30" t="s">
        <v>152</v>
      </c>
      <c r="D270" s="30" t="s">
        <v>228</v>
      </c>
      <c r="E270" s="31"/>
      <c r="F270" s="30"/>
      <c r="G270" s="30"/>
      <c r="H270" s="32" t="s">
        <v>428</v>
      </c>
      <c r="I270" s="33" t="s">
        <v>229</v>
      </c>
      <c r="J270" s="32" t="s">
        <v>223</v>
      </c>
      <c r="K270" s="34" t="str">
        <f aca="false">IF(OR(M270="",$E270=""),"",M270-$E270)</f>
        <v/>
      </c>
      <c r="L270" s="35" t="str">
        <f aca="false">IF(SUM(FA270:FN270)=0,"",SUM(EM270:EZ270)/SUM(FA270:FN270))</f>
        <v/>
      </c>
      <c r="M270" s="36" t="str">
        <f aca="false">IF(OR(L270="",FO270=""),"",IFERROR(MATCH(L270,INDEX(Boundaries!$B$2:$I$30,MATCH(FO270,Boundaries!$A$2:$A$30,0),0),1)-1,""))</f>
        <v/>
      </c>
      <c r="N270" s="37" t="str">
        <f aca="false">IF(COUNT($DY270:$EL270)&lt;2,"",INDEX($DK270:$DX270,MAX($DY270:$EL270))-INDEX($DK270:$DX270,MIN($DY270:$EL270)))</f>
        <v/>
      </c>
      <c r="O270" s="37" t="str">
        <f aca="false">IF(COUNT($DY270:$EL270)&lt;2,"",INDEX($DK270:$DX270,MAX($DY270:$EL270))-INDEX($DK270:$DX270,LARGE($DY270:$EL270,2)))</f>
        <v/>
      </c>
      <c r="P270" s="38" t="str">
        <f aca="false">IF(K270="","",IF(K270&gt;=0,"On/above target",IF(AND(N270&lt;&gt;"",N270&gt;=0.5),"Improving towards target",IF(AND(O270&lt;&gt;"",O270&lt;=-0.5),"Declining","Stable below target"))))</f>
        <v/>
      </c>
      <c r="Q270" s="39"/>
      <c r="R270" s="40" t="str">
        <f aca="false">IF(OR(Q270="",BU270=""),"",Q270/BU270*100)</f>
        <v/>
      </c>
      <c r="S270" s="41" t="str">
        <f aca="false">IF(R270="","",IFERROR(MATCH(R270,INDEX(Boundaries!$B$2:$I$30,MATCH(CI270,Boundaries!$A$2:$A$30,0),0),1)-1,""))</f>
        <v/>
      </c>
      <c r="T270" s="42" t="str">
        <f aca="false">IF(OR(S270="",$E270=""),"",S270-$E270)</f>
        <v/>
      </c>
      <c r="U270" s="39"/>
      <c r="V270" s="40" t="str">
        <f aca="false">IF(OR(U270="",BV270=""),"",U270/BV270*100)</f>
        <v/>
      </c>
      <c r="W270" s="41" t="str">
        <f aca="false">IF(V270="","",IFERROR(MATCH(V270,INDEX(Boundaries!$B$2:$I$30,MATCH(CJ270,Boundaries!$A$2:$A$30,0),0),1)-1,""))</f>
        <v/>
      </c>
      <c r="X270" s="42" t="str">
        <f aca="false">IF(OR(W270="",$E270=""),"",W270-$E270)</f>
        <v/>
      </c>
      <c r="Y270" s="39"/>
      <c r="Z270" s="40" t="str">
        <f aca="false">IF(OR(Y270="",BW270=""),"",Y270/BW270*100)</f>
        <v/>
      </c>
      <c r="AA270" s="41" t="str">
        <f aca="false">IF(Z270="","",IFERROR(MATCH(Z270,INDEX(Boundaries!$B$2:$I$30,MATCH(CK270,Boundaries!$A$2:$A$30,0),0),1)-1,""))</f>
        <v/>
      </c>
      <c r="AB270" s="42" t="str">
        <f aca="false">IF(OR(AA270="",$E270=""),"",AA270-$E270)</f>
        <v/>
      </c>
      <c r="AC270" s="39"/>
      <c r="AD270" s="40" t="str">
        <f aca="false">IF(OR(AC270="",BX270=""),"",AC270/BX270*100)</f>
        <v/>
      </c>
      <c r="AE270" s="41" t="str">
        <f aca="false">IF(AD270="","",IFERROR(MATCH(AD270,INDEX(Boundaries!$B$2:$I$30,MATCH(CL270,Boundaries!$A$2:$A$30,0),0),1)-1,""))</f>
        <v/>
      </c>
      <c r="AF270" s="42" t="str">
        <f aca="false">IF(OR(AE270="",$E270=""),"",AE270-$E270)</f>
        <v/>
      </c>
      <c r="AG270" s="39"/>
      <c r="AH270" s="40" t="str">
        <f aca="false">IF(OR(AG270="",BY270=""),"",AG270/BY270*100)</f>
        <v/>
      </c>
      <c r="AI270" s="41" t="str">
        <f aca="false">IF(AH270="","",IFERROR(MATCH(AH270,INDEX(Boundaries!$B$2:$I$30,MATCH(CM270,Boundaries!$A$2:$A$30,0),0),1)-1,""))</f>
        <v/>
      </c>
      <c r="AJ270" s="42" t="str">
        <f aca="false">IF(OR(AI270="",$E270=""),"",AI270-$E270)</f>
        <v/>
      </c>
      <c r="AK270" s="39"/>
      <c r="AL270" s="40" t="str">
        <f aca="false">IF(OR(AK270="",BZ270=""),"",AK270/BZ270*100)</f>
        <v/>
      </c>
      <c r="AM270" s="41" t="str">
        <f aca="false">IF(AL270="","",IFERROR(MATCH(AL270,INDEX(Boundaries!$B$2:$I$30,MATCH(CN270,Boundaries!$A$2:$A$30,0),0),1)-1,""))</f>
        <v/>
      </c>
      <c r="AN270" s="42" t="str">
        <f aca="false">IF(OR(AM270="",$E270=""),"",AM270-$E270)</f>
        <v/>
      </c>
      <c r="AO270" s="39"/>
      <c r="AP270" s="40" t="str">
        <f aca="false">IF(OR(AO270="",CA270=""),"",AO270/CA270*100)</f>
        <v/>
      </c>
      <c r="AQ270" s="41" t="str">
        <f aca="false">IF(AP270="","",IFERROR(MATCH(AP270,INDEX(Boundaries!$B$2:$I$30,MATCH(CO270,Boundaries!$A$2:$A$30,0),0),1)-1,""))</f>
        <v/>
      </c>
      <c r="AR270" s="42" t="str">
        <f aca="false">IF(OR(AQ270="",$E270=""),"",AQ270-$E270)</f>
        <v/>
      </c>
      <c r="AS270" s="39"/>
      <c r="AT270" s="40" t="str">
        <f aca="false">IF(OR(AS270="",CB270=""),"",AS270/CB270*100)</f>
        <v/>
      </c>
      <c r="AU270" s="41" t="str">
        <f aca="false">IF(AT270="","",IFERROR(MATCH(AT270,INDEX(Boundaries!$B$2:$I$30,MATCH(CP270,Boundaries!$A$2:$A$30,0),0),1)-1,""))</f>
        <v/>
      </c>
      <c r="AV270" s="42" t="str">
        <f aca="false">IF(OR(AU270="",$E270=""),"",AU270-$E270)</f>
        <v/>
      </c>
      <c r="AW270" s="39"/>
      <c r="AX270" s="40" t="str">
        <f aca="false">IF(OR(AW270="",CC270=""),"",AW270/CC270*100)</f>
        <v/>
      </c>
      <c r="AY270" s="41" t="str">
        <f aca="false">IF(AX270="","",IFERROR(MATCH(AX270,INDEX(Boundaries!$B$2:$I$30,MATCH(CQ270,Boundaries!$A$2:$A$30,0),0),1)-1,""))</f>
        <v/>
      </c>
      <c r="AZ270" s="42" t="str">
        <f aca="false">IF(OR(AY270="",$E270=""),"",AY270-$E270)</f>
        <v/>
      </c>
      <c r="BA270" s="39"/>
      <c r="BB270" s="40" t="str">
        <f aca="false">IF(OR(BA270="",CD270=""),"",BA270/CD270*100)</f>
        <v/>
      </c>
      <c r="BC270" s="41" t="str">
        <f aca="false">IF(BB270="","",IFERROR(MATCH(BB270,INDEX(Boundaries!$B$2:$I$30,MATCH(CR270,Boundaries!$A$2:$A$30,0),0),1)-1,""))</f>
        <v/>
      </c>
      <c r="BD270" s="42" t="str">
        <f aca="false">IF(OR(BC270="",$E270=""),"",BC270-$E270)</f>
        <v/>
      </c>
      <c r="BE270" s="39"/>
      <c r="BF270" s="40" t="str">
        <f aca="false">IF(OR(BE270="",CE270=""),"",BE270/CE270*100)</f>
        <v/>
      </c>
      <c r="BG270" s="41" t="str">
        <f aca="false">IF(BF270="","",IFERROR(MATCH(BF270,INDEX(Boundaries!$B$2:$I$30,MATCH(CS270,Boundaries!$A$2:$A$30,0),0),1)-1,""))</f>
        <v/>
      </c>
      <c r="BH270" s="42" t="str">
        <f aca="false">IF(OR(BG270="",$E270=""),"",BG270-$E270)</f>
        <v/>
      </c>
      <c r="BI270" s="39"/>
      <c r="BJ270" s="40" t="str">
        <f aca="false">IF(OR(BI270="",CF270=""),"",BI270/CF270*100)</f>
        <v/>
      </c>
      <c r="BK270" s="41" t="str">
        <f aca="false">IF(BJ270="","",IFERROR(MATCH(BJ270,INDEX(Boundaries!$B$2:$I$30,MATCH(CT270,Boundaries!$A$2:$A$30,0),0),1)-1,""))</f>
        <v/>
      </c>
      <c r="BL270" s="42" t="str">
        <f aca="false">IF(OR(BK270="",$E270=""),"",BK270-$E270)</f>
        <v/>
      </c>
      <c r="BM270" s="39"/>
      <c r="BN270" s="40" t="str">
        <f aca="false">IF(OR(BM270="",CG270=""),"",BM270/CG270*100)</f>
        <v/>
      </c>
      <c r="BO270" s="41" t="str">
        <f aca="false">IF(BN270="","",IFERROR(MATCH(BN270,INDEX(Boundaries!$B$2:$I$30,MATCH(CU270,Boundaries!$A$2:$A$30,0),0),1)-1,""))</f>
        <v/>
      </c>
      <c r="BP270" s="42" t="str">
        <f aca="false">IF(OR(BO270="",$E270=""),"",BO270-$E270)</f>
        <v/>
      </c>
      <c r="BQ270" s="39"/>
      <c r="BR270" s="40" t="str">
        <f aca="false">IF(OR(BQ270="",CH270=""),"",BQ270/CH270*100)</f>
        <v/>
      </c>
      <c r="BS270" s="41" t="str">
        <f aca="false">IF(BR270="","",IFERROR(MATCH(BR270,INDEX(Boundaries!$B$2:$I$30,MATCH(CV270,Boundaries!$A$2:$A$30,0),0),1)-1,""))</f>
        <v/>
      </c>
      <c r="BT270" s="42" t="str">
        <f aca="false">IF(OR(BS270="",$E270=""),"",BS270-$E270)</f>
        <v/>
      </c>
      <c r="BU270" s="28" t="n">
        <f aca="false">IFERROR(INDEX(Assessments!$H$2:$H$600,MATCH($H270&amp;"|"&amp;$I270&amp;"|"&amp;$J270&amp;"|"&amp;1,Assessments!$A$2:$A$600,0)),"")</f>
        <v>25</v>
      </c>
      <c r="BV270" s="28" t="n">
        <f aca="false">IFERROR(INDEX(Assessments!$H$2:$H$600,MATCH($H270&amp;"|"&amp;$I270&amp;"|"&amp;$J270&amp;"|"&amp;2,Assessments!$A$2:$A$600,0)),"")</f>
        <v>20</v>
      </c>
      <c r="BW270" s="28" t="n">
        <f aca="false">IFERROR(INDEX(Assessments!$H$2:$H$600,MATCH($H270&amp;"|"&amp;$I270&amp;"|"&amp;$J270&amp;"|"&amp;3,Assessments!$A$2:$A$600,0)),"")</f>
        <v>25</v>
      </c>
      <c r="BX270" s="28" t="n">
        <f aca="false">IFERROR(INDEX(Assessments!$H$2:$H$600,MATCH($H270&amp;"|"&amp;$I270&amp;"|"&amp;$J270&amp;"|"&amp;4,Assessments!$A$2:$A$600,0)),"")</f>
        <v>23</v>
      </c>
      <c r="BY270" s="28" t="n">
        <f aca="false">IFERROR(INDEX(Assessments!$H$2:$H$600,MATCH($H270&amp;"|"&amp;$I270&amp;"|"&amp;$J270&amp;"|"&amp;5,Assessments!$A$2:$A$600,0)),"")</f>
        <v>25</v>
      </c>
      <c r="BZ270" s="28" t="n">
        <f aca="false">IFERROR(INDEX(Assessments!$H$2:$H$600,MATCH($H270&amp;"|"&amp;$I270&amp;"|"&amp;$J270&amp;"|"&amp;6,Assessments!$A$2:$A$600,0)),"")</f>
        <v>23</v>
      </c>
      <c r="CA270" s="28" t="n">
        <f aca="false">IFERROR(INDEX(Assessments!$H$2:$H$600,MATCH($H270&amp;"|"&amp;$I270&amp;"|"&amp;$J270&amp;"|"&amp;7,Assessments!$A$2:$A$600,0)),"")</f>
        <v>52</v>
      </c>
      <c r="CB270" s="28" t="str">
        <f aca="false">IFERROR(INDEX(Assessments!$H$2:$H$600,MATCH($H270&amp;"|"&amp;$I270&amp;"|"&amp;$J270&amp;"|"&amp;8,Assessments!$A$2:$A$600,0)),"")</f>
        <v/>
      </c>
      <c r="CC270" s="28" t="str">
        <f aca="false">IFERROR(INDEX(Assessments!$H$2:$H$600,MATCH($H270&amp;"|"&amp;$I270&amp;"|"&amp;$J270&amp;"|"&amp;9,Assessments!$A$2:$A$600,0)),"")</f>
        <v/>
      </c>
      <c r="CD270" s="28" t="str">
        <f aca="false">IFERROR(INDEX(Assessments!$H$2:$H$600,MATCH($H270&amp;"|"&amp;$I270&amp;"|"&amp;$J270&amp;"|"&amp;10,Assessments!$A$2:$A$600,0)),"")</f>
        <v/>
      </c>
      <c r="CE270" s="28" t="str">
        <f aca="false">IFERROR(INDEX(Assessments!$H$2:$H$600,MATCH($H270&amp;"|"&amp;$I270&amp;"|"&amp;$J270&amp;"|"&amp;11,Assessments!$A$2:$A$600,0)),"")</f>
        <v/>
      </c>
      <c r="CF270" s="28" t="str">
        <f aca="false">IFERROR(INDEX(Assessments!$H$2:$H$600,MATCH($H270&amp;"|"&amp;$I270&amp;"|"&amp;$J270&amp;"|"&amp;12,Assessments!$A$2:$A$600,0)),"")</f>
        <v/>
      </c>
      <c r="CG270" s="28" t="str">
        <f aca="false">IFERROR(INDEX(Assessments!$H$2:$H$600,MATCH($H270&amp;"|"&amp;$I270&amp;"|"&amp;$J270&amp;"|"&amp;13,Assessments!$A$2:$A$600,0)),"")</f>
        <v/>
      </c>
      <c r="CH270" s="28" t="str">
        <f aca="false">IFERROR(INDEX(Assessments!$H$2:$H$600,MATCH($H270&amp;"|"&amp;$I270&amp;"|"&amp;$J270&amp;"|"&amp;14,Assessments!$A$2:$A$600,0)),"")</f>
        <v/>
      </c>
      <c r="CI270" s="28" t="str">
        <f aca="false">IFERROR(INDEX(Assessments!$I$2:$I$600,MATCH($H270&amp;"|"&amp;$I270&amp;"|"&amp;$J270&amp;"|"&amp;1,Assessments!$A$2:$A$600,0)),"")</f>
        <v>Econ Test</v>
      </c>
      <c r="CJ270" s="28" t="str">
        <f aca="false">IFERROR(INDEX(Assessments!$I$2:$I$600,MATCH($H270&amp;"|"&amp;$I270&amp;"|"&amp;$J270&amp;"|"&amp;2,Assessments!$A$2:$A$600,0)),"")</f>
        <v>Econ Test</v>
      </c>
      <c r="CK270" s="28" t="str">
        <f aca="false">IFERROR(INDEX(Assessments!$I$2:$I$600,MATCH($H270&amp;"|"&amp;$I270&amp;"|"&amp;$J270&amp;"|"&amp;3,Assessments!$A$2:$A$600,0)),"")</f>
        <v>Econ Test</v>
      </c>
      <c r="CL270" s="28" t="str">
        <f aca="false">IFERROR(INDEX(Assessments!$I$2:$I$600,MATCH($H270&amp;"|"&amp;$I270&amp;"|"&amp;$J270&amp;"|"&amp;4,Assessments!$A$2:$A$600,0)),"")</f>
        <v>Econ Test</v>
      </c>
      <c r="CM270" s="28" t="str">
        <f aca="false">IFERROR(INDEX(Assessments!$I$2:$I$600,MATCH($H270&amp;"|"&amp;$I270&amp;"|"&amp;$J270&amp;"|"&amp;5,Assessments!$A$2:$A$600,0)),"")</f>
        <v>Econ Exam</v>
      </c>
      <c r="CN270" s="28" t="str">
        <f aca="false">IFERROR(INDEX(Assessments!$I$2:$I$600,MATCH($H270&amp;"|"&amp;$I270&amp;"|"&amp;$J270&amp;"|"&amp;6,Assessments!$A$2:$A$600,0)),"")</f>
        <v>Econ Test</v>
      </c>
      <c r="CO270" s="28" t="str">
        <f aca="false">IFERROR(INDEX(Assessments!$I$2:$I$600,MATCH($H270&amp;"|"&amp;$I270&amp;"|"&amp;$J270&amp;"|"&amp;7,Assessments!$A$2:$A$600,0)),"")</f>
        <v>Econ Exam</v>
      </c>
      <c r="CP270" s="28" t="str">
        <f aca="false">IFERROR(INDEX(Assessments!$I$2:$I$600,MATCH($H270&amp;"|"&amp;$I270&amp;"|"&amp;$J270&amp;"|"&amp;8,Assessments!$A$2:$A$600,0)),"")</f>
        <v/>
      </c>
      <c r="CQ270" s="28" t="str">
        <f aca="false">IFERROR(INDEX(Assessments!$I$2:$I$600,MATCH($H270&amp;"|"&amp;$I270&amp;"|"&amp;$J270&amp;"|"&amp;9,Assessments!$A$2:$A$600,0)),"")</f>
        <v/>
      </c>
      <c r="CR270" s="28" t="str">
        <f aca="false">IFERROR(INDEX(Assessments!$I$2:$I$600,MATCH($H270&amp;"|"&amp;$I270&amp;"|"&amp;$J270&amp;"|"&amp;10,Assessments!$A$2:$A$600,0)),"")</f>
        <v/>
      </c>
      <c r="CS270" s="28" t="str">
        <f aca="false">IFERROR(INDEX(Assessments!$I$2:$I$600,MATCH($H270&amp;"|"&amp;$I270&amp;"|"&amp;$J270&amp;"|"&amp;11,Assessments!$A$2:$A$600,0)),"")</f>
        <v/>
      </c>
      <c r="CT270" s="28" t="str">
        <f aca="false">IFERROR(INDEX(Assessments!$I$2:$I$600,MATCH($H270&amp;"|"&amp;$I270&amp;"|"&amp;$J270&amp;"|"&amp;12,Assessments!$A$2:$A$600,0)),"")</f>
        <v/>
      </c>
      <c r="CU270" s="28" t="str">
        <f aca="false">IFERROR(INDEX(Assessments!$I$2:$I$600,MATCH($H270&amp;"|"&amp;$I270&amp;"|"&amp;$J270&amp;"|"&amp;13,Assessments!$A$2:$A$600,0)),"")</f>
        <v/>
      </c>
      <c r="CV270" s="28" t="str">
        <f aca="false">IFERROR(INDEX(Assessments!$I$2:$I$600,MATCH($H270&amp;"|"&amp;$I270&amp;"|"&amp;$J270&amp;"|"&amp;14,Assessments!$A$2:$A$600,0)),"")</f>
        <v/>
      </c>
      <c r="CW270" s="28" t="n">
        <f aca="false">IFERROR(INDEX(Assessments!$J$2:$J$600,MATCH($H270&amp;"|"&amp;$I270&amp;"|"&amp;$J270&amp;"|"&amp;1,Assessments!$A$2:$A$600,0)),0)</f>
        <v>1</v>
      </c>
      <c r="CX270" s="28" t="n">
        <f aca="false">IFERROR(INDEX(Assessments!$J$2:$J$600,MATCH($H270&amp;"|"&amp;$I270&amp;"|"&amp;$J270&amp;"|"&amp;2,Assessments!$A$2:$A$600,0)),0)</f>
        <v>1</v>
      </c>
      <c r="CY270" s="28" t="n">
        <f aca="false">IFERROR(INDEX(Assessments!$J$2:$J$600,MATCH($H270&amp;"|"&amp;$I270&amp;"|"&amp;$J270&amp;"|"&amp;3,Assessments!$A$2:$A$600,0)),0)</f>
        <v>1</v>
      </c>
      <c r="CZ270" s="28" t="n">
        <f aca="false">IFERROR(INDEX(Assessments!$J$2:$J$600,MATCH($H270&amp;"|"&amp;$I270&amp;"|"&amp;$J270&amp;"|"&amp;4,Assessments!$A$2:$A$600,0)),0)</f>
        <v>1</v>
      </c>
      <c r="DA270" s="28" t="n">
        <f aca="false">IFERROR(INDEX(Assessments!$J$2:$J$600,MATCH($H270&amp;"|"&amp;$I270&amp;"|"&amp;$J270&amp;"|"&amp;5,Assessments!$A$2:$A$600,0)),0)</f>
        <v>2</v>
      </c>
      <c r="DB270" s="28" t="n">
        <f aca="false">IFERROR(INDEX(Assessments!$J$2:$J$600,MATCH($H270&amp;"|"&amp;$I270&amp;"|"&amp;$J270&amp;"|"&amp;6,Assessments!$A$2:$A$600,0)),0)</f>
        <v>1</v>
      </c>
      <c r="DC270" s="28" t="n">
        <f aca="false">IFERROR(INDEX(Assessments!$J$2:$J$600,MATCH($H270&amp;"|"&amp;$I270&amp;"|"&amp;$J270&amp;"|"&amp;7,Assessments!$A$2:$A$600,0)),0)</f>
        <v>2</v>
      </c>
      <c r="DD270" s="28" t="n">
        <f aca="false">IFERROR(INDEX(Assessments!$J$2:$J$600,MATCH($H270&amp;"|"&amp;$I270&amp;"|"&amp;$J270&amp;"|"&amp;8,Assessments!$A$2:$A$600,0)),0)</f>
        <v>0</v>
      </c>
      <c r="DE270" s="28" t="n">
        <f aca="false">IFERROR(INDEX(Assessments!$J$2:$J$600,MATCH($H270&amp;"|"&amp;$I270&amp;"|"&amp;$J270&amp;"|"&amp;9,Assessments!$A$2:$A$600,0)),0)</f>
        <v>0</v>
      </c>
      <c r="DF270" s="28" t="n">
        <f aca="false">IFERROR(INDEX(Assessments!$J$2:$J$600,MATCH($H270&amp;"|"&amp;$I270&amp;"|"&amp;$J270&amp;"|"&amp;10,Assessments!$A$2:$A$600,0)),0)</f>
        <v>0</v>
      </c>
      <c r="DG270" s="28" t="n">
        <f aca="false">IFERROR(INDEX(Assessments!$J$2:$J$600,MATCH($H270&amp;"|"&amp;$I270&amp;"|"&amp;$J270&amp;"|"&amp;11,Assessments!$A$2:$A$600,0)),0)</f>
        <v>0</v>
      </c>
      <c r="DH270" s="28" t="n">
        <f aca="false">IFERROR(INDEX(Assessments!$J$2:$J$600,MATCH($H270&amp;"|"&amp;$I270&amp;"|"&amp;$J270&amp;"|"&amp;12,Assessments!$A$2:$A$600,0)),0)</f>
        <v>0</v>
      </c>
      <c r="DI270" s="28" t="n">
        <f aca="false">IFERROR(INDEX(Assessments!$J$2:$J$600,MATCH($H270&amp;"|"&amp;$I270&amp;"|"&amp;$J270&amp;"|"&amp;13,Assessments!$A$2:$A$600,0)),0)</f>
        <v>0</v>
      </c>
      <c r="DJ270" s="28" t="n">
        <f aca="false">IFERROR(INDEX(Assessments!$J$2:$J$600,MATCH($H270&amp;"|"&amp;$I270&amp;"|"&amp;$J270&amp;"|"&amp;14,Assessments!$A$2:$A$600,0)),0)</f>
        <v>0</v>
      </c>
      <c r="DK270" s="28" t="str">
        <f aca="false">S270</f>
        <v/>
      </c>
      <c r="DL270" s="28" t="str">
        <f aca="false">W270</f>
        <v/>
      </c>
      <c r="DM270" s="28" t="str">
        <f aca="false">AA270</f>
        <v/>
      </c>
      <c r="DN270" s="28" t="str">
        <f aca="false">AE270</f>
        <v/>
      </c>
      <c r="DO270" s="28" t="str">
        <f aca="false">AI270</f>
        <v/>
      </c>
      <c r="DP270" s="28" t="str">
        <f aca="false">AM270</f>
        <v/>
      </c>
      <c r="DQ270" s="28" t="str">
        <f aca="false">AQ270</f>
        <v/>
      </c>
      <c r="DR270" s="28" t="str">
        <f aca="false">AU270</f>
        <v/>
      </c>
      <c r="DS270" s="28" t="str">
        <f aca="false">AY270</f>
        <v/>
      </c>
      <c r="DT270" s="28" t="str">
        <f aca="false">BC270</f>
        <v/>
      </c>
      <c r="DU270" s="28" t="str">
        <f aca="false">BG270</f>
        <v/>
      </c>
      <c r="DV270" s="28" t="str">
        <f aca="false">BK270</f>
        <v/>
      </c>
      <c r="DW270" s="28" t="str">
        <f aca="false">BO270</f>
        <v/>
      </c>
      <c r="DX270" s="28" t="str">
        <f aca="false">BS270</f>
        <v/>
      </c>
      <c r="DY270" s="28" t="str">
        <f aca="false">IF(ISNUMBER(S270),1,"")</f>
        <v/>
      </c>
      <c r="DZ270" s="28" t="str">
        <f aca="false">IF(ISNUMBER(W270),2,"")</f>
        <v/>
      </c>
      <c r="EA270" s="28" t="str">
        <f aca="false">IF(ISNUMBER(AA270),3,"")</f>
        <v/>
      </c>
      <c r="EB270" s="28" t="str">
        <f aca="false">IF(ISNUMBER(AE270),4,"")</f>
        <v/>
      </c>
      <c r="EC270" s="28" t="str">
        <f aca="false">IF(ISNUMBER(AI270),5,"")</f>
        <v/>
      </c>
      <c r="ED270" s="28" t="str">
        <f aca="false">IF(ISNUMBER(AM270),6,"")</f>
        <v/>
      </c>
      <c r="EE270" s="28" t="str">
        <f aca="false">IF(ISNUMBER(AQ270),7,"")</f>
        <v/>
      </c>
      <c r="EF270" s="28" t="str">
        <f aca="false">IF(ISNUMBER(AU270),8,"")</f>
        <v/>
      </c>
      <c r="EG270" s="28" t="str">
        <f aca="false">IF(ISNUMBER(AY270),9,"")</f>
        <v/>
      </c>
      <c r="EH270" s="28" t="str">
        <f aca="false">IF(ISNUMBER(BC270),10,"")</f>
        <v/>
      </c>
      <c r="EI270" s="28" t="str">
        <f aca="false">IF(ISNUMBER(BG270),11,"")</f>
        <v/>
      </c>
      <c r="EJ270" s="28" t="str">
        <f aca="false">IF(ISNUMBER(BK270),12,"")</f>
        <v/>
      </c>
      <c r="EK270" s="28" t="str">
        <f aca="false">IF(ISNUMBER(BO270),13,"")</f>
        <v/>
      </c>
      <c r="EL270" s="28" t="str">
        <f aca="false">IF(ISNUMBER(BS270),14,"")</f>
        <v/>
      </c>
      <c r="EM270" s="28" t="n">
        <f aca="false">IF(ISNUMBER(R270),R270*CW270,0)</f>
        <v>0</v>
      </c>
      <c r="EN270" s="28" t="n">
        <f aca="false">IF(ISNUMBER(V270),V270*CX270,0)</f>
        <v>0</v>
      </c>
      <c r="EO270" s="28" t="n">
        <f aca="false">IF(ISNUMBER(Z270),Z270*CY270,0)</f>
        <v>0</v>
      </c>
      <c r="EP270" s="28" t="n">
        <f aca="false">IF(ISNUMBER(AD270),AD270*CZ270,0)</f>
        <v>0</v>
      </c>
      <c r="EQ270" s="28" t="n">
        <f aca="false">IF(ISNUMBER(AH270),AH270*DA270,0)</f>
        <v>0</v>
      </c>
      <c r="ER270" s="28" t="n">
        <f aca="false">IF(ISNUMBER(AL270),AL270*DB270,0)</f>
        <v>0</v>
      </c>
      <c r="ES270" s="28" t="n">
        <f aca="false">IF(ISNUMBER(AP270),AP270*DC270,0)</f>
        <v>0</v>
      </c>
      <c r="ET270" s="28" t="n">
        <f aca="false">IF(ISNUMBER(AT270),AT270*DD270,0)</f>
        <v>0</v>
      </c>
      <c r="EU270" s="28" t="n">
        <f aca="false">IF(ISNUMBER(AX270),AX270*DE270,0)</f>
        <v>0</v>
      </c>
      <c r="EV270" s="28" t="n">
        <f aca="false">IF(ISNUMBER(BB270),BB270*DF270,0)</f>
        <v>0</v>
      </c>
      <c r="EW270" s="28" t="n">
        <f aca="false">IF(ISNUMBER(BF270),BF270*DG270,0)</f>
        <v>0</v>
      </c>
      <c r="EX270" s="28" t="n">
        <f aca="false">IF(ISNUMBER(BJ270),BJ270*DH270,0)</f>
        <v>0</v>
      </c>
      <c r="EY270" s="28" t="n">
        <f aca="false">IF(ISNUMBER(BN270),BN270*DI270,0)</f>
        <v>0</v>
      </c>
      <c r="EZ270" s="28" t="n">
        <f aca="false">IF(ISNUMBER(BR270),BR270*DJ270,0)</f>
        <v>0</v>
      </c>
      <c r="FA270" s="28" t="n">
        <f aca="false">IF(ISNUMBER(R270),CW270,0)</f>
        <v>0</v>
      </c>
      <c r="FB270" s="28" t="n">
        <f aca="false">IF(ISNUMBER(V270),CX270,0)</f>
        <v>0</v>
      </c>
      <c r="FC270" s="28" t="n">
        <f aca="false">IF(ISNUMBER(Z270),CY270,0)</f>
        <v>0</v>
      </c>
      <c r="FD270" s="28" t="n">
        <f aca="false">IF(ISNUMBER(AD270),CZ270,0)</f>
        <v>0</v>
      </c>
      <c r="FE270" s="28" t="n">
        <f aca="false">IF(ISNUMBER(AH270),DA270,0)</f>
        <v>0</v>
      </c>
      <c r="FF270" s="28" t="n">
        <f aca="false">IF(ISNUMBER(AL270),DB270,0)</f>
        <v>0</v>
      </c>
      <c r="FG270" s="28" t="n">
        <f aca="false">IF(ISNUMBER(AP270),DC270,0)</f>
        <v>0</v>
      </c>
      <c r="FH270" s="28" t="n">
        <f aca="false">IF(ISNUMBER(AT270),DD270,0)</f>
        <v>0</v>
      </c>
      <c r="FI270" s="28" t="n">
        <f aca="false">IF(ISNUMBER(AX270),DE270,0)</f>
        <v>0</v>
      </c>
      <c r="FJ270" s="28" t="n">
        <f aca="false">IF(ISNUMBER(BB270),DF270,0)</f>
        <v>0</v>
      </c>
      <c r="FK270" s="28" t="n">
        <f aca="false">IF(ISNUMBER(BF270),DG270,0)</f>
        <v>0</v>
      </c>
      <c r="FL270" s="28" t="n">
        <f aca="false">IF(ISNUMBER(BJ270),DH270,0)</f>
        <v>0</v>
      </c>
      <c r="FM270" s="28" t="n">
        <f aca="false">IF(ISNUMBER(BN270),DI270,0)</f>
        <v>0</v>
      </c>
      <c r="FN270" s="28" t="n">
        <f aca="false">IF(ISNUMBER(BR270),DJ270,0)</f>
        <v>0</v>
      </c>
      <c r="FO270" s="28" t="str">
        <f aca="false">IFERROR(INDEX(Lists!$G$2:$G$20,MATCH($I270&amp;"|"&amp;$J270,Lists!$F$2:$F$20,0)),"")</f>
        <v>Econ Exam</v>
      </c>
    </row>
    <row r="271" customFormat="false" ht="19.5" hidden="false" customHeight="true" outlineLevel="0" collapsed="false">
      <c r="A271" s="29" t="s">
        <v>547</v>
      </c>
      <c r="B271" s="29" t="s">
        <v>548</v>
      </c>
      <c r="C271" s="30" t="s">
        <v>152</v>
      </c>
      <c r="D271" s="30" t="s">
        <v>228</v>
      </c>
      <c r="E271" s="31"/>
      <c r="F271" s="30"/>
      <c r="G271" s="30"/>
      <c r="H271" s="32" t="s">
        <v>428</v>
      </c>
      <c r="I271" s="33" t="s">
        <v>229</v>
      </c>
      <c r="J271" s="32" t="s">
        <v>223</v>
      </c>
      <c r="K271" s="34" t="str">
        <f aca="false">IF(OR(M271="",$E271=""),"",M271-$E271)</f>
        <v/>
      </c>
      <c r="L271" s="35" t="str">
        <f aca="false">IF(SUM(FA271:FN271)=0,"",SUM(EM271:EZ271)/SUM(FA271:FN271))</f>
        <v/>
      </c>
      <c r="M271" s="36" t="str">
        <f aca="false">IF(OR(L271="",FO271=""),"",IFERROR(MATCH(L271,INDEX(Boundaries!$B$2:$I$30,MATCH(FO271,Boundaries!$A$2:$A$30,0),0),1)-1,""))</f>
        <v/>
      </c>
      <c r="N271" s="37" t="str">
        <f aca="false">IF(COUNT($DY271:$EL271)&lt;2,"",INDEX($DK271:$DX271,MAX($DY271:$EL271))-INDEX($DK271:$DX271,MIN($DY271:$EL271)))</f>
        <v/>
      </c>
      <c r="O271" s="37" t="str">
        <f aca="false">IF(COUNT($DY271:$EL271)&lt;2,"",INDEX($DK271:$DX271,MAX($DY271:$EL271))-INDEX($DK271:$DX271,LARGE($DY271:$EL271,2)))</f>
        <v/>
      </c>
      <c r="P271" s="38" t="str">
        <f aca="false">IF(K271="","",IF(K271&gt;=0,"On/above target",IF(AND(N271&lt;&gt;"",N271&gt;=0.5),"Improving towards target",IF(AND(O271&lt;&gt;"",O271&lt;=-0.5),"Declining","Stable below target"))))</f>
        <v/>
      </c>
      <c r="Q271" s="39"/>
      <c r="R271" s="40" t="str">
        <f aca="false">IF(OR(Q271="",BU271=""),"",Q271/BU271*100)</f>
        <v/>
      </c>
      <c r="S271" s="41" t="str">
        <f aca="false">IF(R271="","",IFERROR(MATCH(R271,INDEX(Boundaries!$B$2:$I$30,MATCH(CI271,Boundaries!$A$2:$A$30,0),0),1)-1,""))</f>
        <v/>
      </c>
      <c r="T271" s="42" t="str">
        <f aca="false">IF(OR(S271="",$E271=""),"",S271-$E271)</f>
        <v/>
      </c>
      <c r="U271" s="39"/>
      <c r="V271" s="40" t="str">
        <f aca="false">IF(OR(U271="",BV271=""),"",U271/BV271*100)</f>
        <v/>
      </c>
      <c r="W271" s="41" t="str">
        <f aca="false">IF(V271="","",IFERROR(MATCH(V271,INDEX(Boundaries!$B$2:$I$30,MATCH(CJ271,Boundaries!$A$2:$A$30,0),0),1)-1,""))</f>
        <v/>
      </c>
      <c r="X271" s="42" t="str">
        <f aca="false">IF(OR(W271="",$E271=""),"",W271-$E271)</f>
        <v/>
      </c>
      <c r="Y271" s="39"/>
      <c r="Z271" s="40" t="str">
        <f aca="false">IF(OR(Y271="",BW271=""),"",Y271/BW271*100)</f>
        <v/>
      </c>
      <c r="AA271" s="41" t="str">
        <f aca="false">IF(Z271="","",IFERROR(MATCH(Z271,INDEX(Boundaries!$B$2:$I$30,MATCH(CK271,Boundaries!$A$2:$A$30,0),0),1)-1,""))</f>
        <v/>
      </c>
      <c r="AB271" s="42" t="str">
        <f aca="false">IF(OR(AA271="",$E271=""),"",AA271-$E271)</f>
        <v/>
      </c>
      <c r="AC271" s="39"/>
      <c r="AD271" s="40" t="str">
        <f aca="false">IF(OR(AC271="",BX271=""),"",AC271/BX271*100)</f>
        <v/>
      </c>
      <c r="AE271" s="41" t="str">
        <f aca="false">IF(AD271="","",IFERROR(MATCH(AD271,INDEX(Boundaries!$B$2:$I$30,MATCH(CL271,Boundaries!$A$2:$A$30,0),0),1)-1,""))</f>
        <v/>
      </c>
      <c r="AF271" s="42" t="str">
        <f aca="false">IF(OR(AE271="",$E271=""),"",AE271-$E271)</f>
        <v/>
      </c>
      <c r="AG271" s="39"/>
      <c r="AH271" s="40" t="str">
        <f aca="false">IF(OR(AG271="",BY271=""),"",AG271/BY271*100)</f>
        <v/>
      </c>
      <c r="AI271" s="41" t="str">
        <f aca="false">IF(AH271="","",IFERROR(MATCH(AH271,INDEX(Boundaries!$B$2:$I$30,MATCH(CM271,Boundaries!$A$2:$A$30,0),0),1)-1,""))</f>
        <v/>
      </c>
      <c r="AJ271" s="42" t="str">
        <f aca="false">IF(OR(AI271="",$E271=""),"",AI271-$E271)</f>
        <v/>
      </c>
      <c r="AK271" s="39"/>
      <c r="AL271" s="40" t="str">
        <f aca="false">IF(OR(AK271="",BZ271=""),"",AK271/BZ271*100)</f>
        <v/>
      </c>
      <c r="AM271" s="41" t="str">
        <f aca="false">IF(AL271="","",IFERROR(MATCH(AL271,INDEX(Boundaries!$B$2:$I$30,MATCH(CN271,Boundaries!$A$2:$A$30,0),0),1)-1,""))</f>
        <v/>
      </c>
      <c r="AN271" s="42" t="str">
        <f aca="false">IF(OR(AM271="",$E271=""),"",AM271-$E271)</f>
        <v/>
      </c>
      <c r="AO271" s="39"/>
      <c r="AP271" s="40" t="str">
        <f aca="false">IF(OR(AO271="",CA271=""),"",AO271/CA271*100)</f>
        <v/>
      </c>
      <c r="AQ271" s="41" t="str">
        <f aca="false">IF(AP271="","",IFERROR(MATCH(AP271,INDEX(Boundaries!$B$2:$I$30,MATCH(CO271,Boundaries!$A$2:$A$30,0),0),1)-1,""))</f>
        <v/>
      </c>
      <c r="AR271" s="42" t="str">
        <f aca="false">IF(OR(AQ271="",$E271=""),"",AQ271-$E271)</f>
        <v/>
      </c>
      <c r="AS271" s="39"/>
      <c r="AT271" s="40" t="str">
        <f aca="false">IF(OR(AS271="",CB271=""),"",AS271/CB271*100)</f>
        <v/>
      </c>
      <c r="AU271" s="41" t="str">
        <f aca="false">IF(AT271="","",IFERROR(MATCH(AT271,INDEX(Boundaries!$B$2:$I$30,MATCH(CP271,Boundaries!$A$2:$A$30,0),0),1)-1,""))</f>
        <v/>
      </c>
      <c r="AV271" s="42" t="str">
        <f aca="false">IF(OR(AU271="",$E271=""),"",AU271-$E271)</f>
        <v/>
      </c>
      <c r="AW271" s="39"/>
      <c r="AX271" s="40" t="str">
        <f aca="false">IF(OR(AW271="",CC271=""),"",AW271/CC271*100)</f>
        <v/>
      </c>
      <c r="AY271" s="41" t="str">
        <f aca="false">IF(AX271="","",IFERROR(MATCH(AX271,INDEX(Boundaries!$B$2:$I$30,MATCH(CQ271,Boundaries!$A$2:$A$30,0),0),1)-1,""))</f>
        <v/>
      </c>
      <c r="AZ271" s="42" t="str">
        <f aca="false">IF(OR(AY271="",$E271=""),"",AY271-$E271)</f>
        <v/>
      </c>
      <c r="BA271" s="39"/>
      <c r="BB271" s="40" t="str">
        <f aca="false">IF(OR(BA271="",CD271=""),"",BA271/CD271*100)</f>
        <v/>
      </c>
      <c r="BC271" s="41" t="str">
        <f aca="false">IF(BB271="","",IFERROR(MATCH(BB271,INDEX(Boundaries!$B$2:$I$30,MATCH(CR271,Boundaries!$A$2:$A$30,0),0),1)-1,""))</f>
        <v/>
      </c>
      <c r="BD271" s="42" t="str">
        <f aca="false">IF(OR(BC271="",$E271=""),"",BC271-$E271)</f>
        <v/>
      </c>
      <c r="BE271" s="39"/>
      <c r="BF271" s="40" t="str">
        <f aca="false">IF(OR(BE271="",CE271=""),"",BE271/CE271*100)</f>
        <v/>
      </c>
      <c r="BG271" s="41" t="str">
        <f aca="false">IF(BF271="","",IFERROR(MATCH(BF271,INDEX(Boundaries!$B$2:$I$30,MATCH(CS271,Boundaries!$A$2:$A$30,0),0),1)-1,""))</f>
        <v/>
      </c>
      <c r="BH271" s="42" t="str">
        <f aca="false">IF(OR(BG271="",$E271=""),"",BG271-$E271)</f>
        <v/>
      </c>
      <c r="BI271" s="39"/>
      <c r="BJ271" s="40" t="str">
        <f aca="false">IF(OR(BI271="",CF271=""),"",BI271/CF271*100)</f>
        <v/>
      </c>
      <c r="BK271" s="41" t="str">
        <f aca="false">IF(BJ271="","",IFERROR(MATCH(BJ271,INDEX(Boundaries!$B$2:$I$30,MATCH(CT271,Boundaries!$A$2:$A$30,0),0),1)-1,""))</f>
        <v/>
      </c>
      <c r="BL271" s="42" t="str">
        <f aca="false">IF(OR(BK271="",$E271=""),"",BK271-$E271)</f>
        <v/>
      </c>
      <c r="BM271" s="39"/>
      <c r="BN271" s="40" t="str">
        <f aca="false">IF(OR(BM271="",CG271=""),"",BM271/CG271*100)</f>
        <v/>
      </c>
      <c r="BO271" s="41" t="str">
        <f aca="false">IF(BN271="","",IFERROR(MATCH(BN271,INDEX(Boundaries!$B$2:$I$30,MATCH(CU271,Boundaries!$A$2:$A$30,0),0),1)-1,""))</f>
        <v/>
      </c>
      <c r="BP271" s="42" t="str">
        <f aca="false">IF(OR(BO271="",$E271=""),"",BO271-$E271)</f>
        <v/>
      </c>
      <c r="BQ271" s="39"/>
      <c r="BR271" s="40" t="str">
        <f aca="false">IF(OR(BQ271="",CH271=""),"",BQ271/CH271*100)</f>
        <v/>
      </c>
      <c r="BS271" s="41" t="str">
        <f aca="false">IF(BR271="","",IFERROR(MATCH(BR271,INDEX(Boundaries!$B$2:$I$30,MATCH(CV271,Boundaries!$A$2:$A$30,0),0),1)-1,""))</f>
        <v/>
      </c>
      <c r="BT271" s="42" t="str">
        <f aca="false">IF(OR(BS271="",$E271=""),"",BS271-$E271)</f>
        <v/>
      </c>
      <c r="BU271" s="28" t="n">
        <f aca="false">IFERROR(INDEX(Assessments!$H$2:$H$600,MATCH($H271&amp;"|"&amp;$I271&amp;"|"&amp;$J271&amp;"|"&amp;1,Assessments!$A$2:$A$600,0)),"")</f>
        <v>25</v>
      </c>
      <c r="BV271" s="28" t="n">
        <f aca="false">IFERROR(INDEX(Assessments!$H$2:$H$600,MATCH($H271&amp;"|"&amp;$I271&amp;"|"&amp;$J271&amp;"|"&amp;2,Assessments!$A$2:$A$600,0)),"")</f>
        <v>20</v>
      </c>
      <c r="BW271" s="28" t="n">
        <f aca="false">IFERROR(INDEX(Assessments!$H$2:$H$600,MATCH($H271&amp;"|"&amp;$I271&amp;"|"&amp;$J271&amp;"|"&amp;3,Assessments!$A$2:$A$600,0)),"")</f>
        <v>25</v>
      </c>
      <c r="BX271" s="28" t="n">
        <f aca="false">IFERROR(INDEX(Assessments!$H$2:$H$600,MATCH($H271&amp;"|"&amp;$I271&amp;"|"&amp;$J271&amp;"|"&amp;4,Assessments!$A$2:$A$600,0)),"")</f>
        <v>23</v>
      </c>
      <c r="BY271" s="28" t="n">
        <f aca="false">IFERROR(INDEX(Assessments!$H$2:$H$600,MATCH($H271&amp;"|"&amp;$I271&amp;"|"&amp;$J271&amp;"|"&amp;5,Assessments!$A$2:$A$600,0)),"")</f>
        <v>25</v>
      </c>
      <c r="BZ271" s="28" t="n">
        <f aca="false">IFERROR(INDEX(Assessments!$H$2:$H$600,MATCH($H271&amp;"|"&amp;$I271&amp;"|"&amp;$J271&amp;"|"&amp;6,Assessments!$A$2:$A$600,0)),"")</f>
        <v>23</v>
      </c>
      <c r="CA271" s="28" t="n">
        <f aca="false">IFERROR(INDEX(Assessments!$H$2:$H$600,MATCH($H271&amp;"|"&amp;$I271&amp;"|"&amp;$J271&amp;"|"&amp;7,Assessments!$A$2:$A$600,0)),"")</f>
        <v>52</v>
      </c>
      <c r="CB271" s="28" t="str">
        <f aca="false">IFERROR(INDEX(Assessments!$H$2:$H$600,MATCH($H271&amp;"|"&amp;$I271&amp;"|"&amp;$J271&amp;"|"&amp;8,Assessments!$A$2:$A$600,0)),"")</f>
        <v/>
      </c>
      <c r="CC271" s="28" t="str">
        <f aca="false">IFERROR(INDEX(Assessments!$H$2:$H$600,MATCH($H271&amp;"|"&amp;$I271&amp;"|"&amp;$J271&amp;"|"&amp;9,Assessments!$A$2:$A$600,0)),"")</f>
        <v/>
      </c>
      <c r="CD271" s="28" t="str">
        <f aca="false">IFERROR(INDEX(Assessments!$H$2:$H$600,MATCH($H271&amp;"|"&amp;$I271&amp;"|"&amp;$J271&amp;"|"&amp;10,Assessments!$A$2:$A$600,0)),"")</f>
        <v/>
      </c>
      <c r="CE271" s="28" t="str">
        <f aca="false">IFERROR(INDEX(Assessments!$H$2:$H$600,MATCH($H271&amp;"|"&amp;$I271&amp;"|"&amp;$J271&amp;"|"&amp;11,Assessments!$A$2:$A$600,0)),"")</f>
        <v/>
      </c>
      <c r="CF271" s="28" t="str">
        <f aca="false">IFERROR(INDEX(Assessments!$H$2:$H$600,MATCH($H271&amp;"|"&amp;$I271&amp;"|"&amp;$J271&amp;"|"&amp;12,Assessments!$A$2:$A$600,0)),"")</f>
        <v/>
      </c>
      <c r="CG271" s="28" t="str">
        <f aca="false">IFERROR(INDEX(Assessments!$H$2:$H$600,MATCH($H271&amp;"|"&amp;$I271&amp;"|"&amp;$J271&amp;"|"&amp;13,Assessments!$A$2:$A$600,0)),"")</f>
        <v/>
      </c>
      <c r="CH271" s="28" t="str">
        <f aca="false">IFERROR(INDEX(Assessments!$H$2:$H$600,MATCH($H271&amp;"|"&amp;$I271&amp;"|"&amp;$J271&amp;"|"&amp;14,Assessments!$A$2:$A$600,0)),"")</f>
        <v/>
      </c>
      <c r="CI271" s="28" t="str">
        <f aca="false">IFERROR(INDEX(Assessments!$I$2:$I$600,MATCH($H271&amp;"|"&amp;$I271&amp;"|"&amp;$J271&amp;"|"&amp;1,Assessments!$A$2:$A$600,0)),"")</f>
        <v>Econ Test</v>
      </c>
      <c r="CJ271" s="28" t="str">
        <f aca="false">IFERROR(INDEX(Assessments!$I$2:$I$600,MATCH($H271&amp;"|"&amp;$I271&amp;"|"&amp;$J271&amp;"|"&amp;2,Assessments!$A$2:$A$600,0)),"")</f>
        <v>Econ Test</v>
      </c>
      <c r="CK271" s="28" t="str">
        <f aca="false">IFERROR(INDEX(Assessments!$I$2:$I$600,MATCH($H271&amp;"|"&amp;$I271&amp;"|"&amp;$J271&amp;"|"&amp;3,Assessments!$A$2:$A$600,0)),"")</f>
        <v>Econ Test</v>
      </c>
      <c r="CL271" s="28" t="str">
        <f aca="false">IFERROR(INDEX(Assessments!$I$2:$I$600,MATCH($H271&amp;"|"&amp;$I271&amp;"|"&amp;$J271&amp;"|"&amp;4,Assessments!$A$2:$A$600,0)),"")</f>
        <v>Econ Test</v>
      </c>
      <c r="CM271" s="28" t="str">
        <f aca="false">IFERROR(INDEX(Assessments!$I$2:$I$600,MATCH($H271&amp;"|"&amp;$I271&amp;"|"&amp;$J271&amp;"|"&amp;5,Assessments!$A$2:$A$600,0)),"")</f>
        <v>Econ Exam</v>
      </c>
      <c r="CN271" s="28" t="str">
        <f aca="false">IFERROR(INDEX(Assessments!$I$2:$I$600,MATCH($H271&amp;"|"&amp;$I271&amp;"|"&amp;$J271&amp;"|"&amp;6,Assessments!$A$2:$A$600,0)),"")</f>
        <v>Econ Test</v>
      </c>
      <c r="CO271" s="28" t="str">
        <f aca="false">IFERROR(INDEX(Assessments!$I$2:$I$600,MATCH($H271&amp;"|"&amp;$I271&amp;"|"&amp;$J271&amp;"|"&amp;7,Assessments!$A$2:$A$600,0)),"")</f>
        <v>Econ Exam</v>
      </c>
      <c r="CP271" s="28" t="str">
        <f aca="false">IFERROR(INDEX(Assessments!$I$2:$I$600,MATCH($H271&amp;"|"&amp;$I271&amp;"|"&amp;$J271&amp;"|"&amp;8,Assessments!$A$2:$A$600,0)),"")</f>
        <v/>
      </c>
      <c r="CQ271" s="28" t="str">
        <f aca="false">IFERROR(INDEX(Assessments!$I$2:$I$600,MATCH($H271&amp;"|"&amp;$I271&amp;"|"&amp;$J271&amp;"|"&amp;9,Assessments!$A$2:$A$600,0)),"")</f>
        <v/>
      </c>
      <c r="CR271" s="28" t="str">
        <f aca="false">IFERROR(INDEX(Assessments!$I$2:$I$600,MATCH($H271&amp;"|"&amp;$I271&amp;"|"&amp;$J271&amp;"|"&amp;10,Assessments!$A$2:$A$600,0)),"")</f>
        <v/>
      </c>
      <c r="CS271" s="28" t="str">
        <f aca="false">IFERROR(INDEX(Assessments!$I$2:$I$600,MATCH($H271&amp;"|"&amp;$I271&amp;"|"&amp;$J271&amp;"|"&amp;11,Assessments!$A$2:$A$600,0)),"")</f>
        <v/>
      </c>
      <c r="CT271" s="28" t="str">
        <f aca="false">IFERROR(INDEX(Assessments!$I$2:$I$600,MATCH($H271&amp;"|"&amp;$I271&amp;"|"&amp;$J271&amp;"|"&amp;12,Assessments!$A$2:$A$600,0)),"")</f>
        <v/>
      </c>
      <c r="CU271" s="28" t="str">
        <f aca="false">IFERROR(INDEX(Assessments!$I$2:$I$600,MATCH($H271&amp;"|"&amp;$I271&amp;"|"&amp;$J271&amp;"|"&amp;13,Assessments!$A$2:$A$600,0)),"")</f>
        <v/>
      </c>
      <c r="CV271" s="28" t="str">
        <f aca="false">IFERROR(INDEX(Assessments!$I$2:$I$600,MATCH($H271&amp;"|"&amp;$I271&amp;"|"&amp;$J271&amp;"|"&amp;14,Assessments!$A$2:$A$600,0)),"")</f>
        <v/>
      </c>
      <c r="CW271" s="28" t="n">
        <f aca="false">IFERROR(INDEX(Assessments!$J$2:$J$600,MATCH($H271&amp;"|"&amp;$I271&amp;"|"&amp;$J271&amp;"|"&amp;1,Assessments!$A$2:$A$600,0)),0)</f>
        <v>1</v>
      </c>
      <c r="CX271" s="28" t="n">
        <f aca="false">IFERROR(INDEX(Assessments!$J$2:$J$600,MATCH($H271&amp;"|"&amp;$I271&amp;"|"&amp;$J271&amp;"|"&amp;2,Assessments!$A$2:$A$600,0)),0)</f>
        <v>1</v>
      </c>
      <c r="CY271" s="28" t="n">
        <f aca="false">IFERROR(INDEX(Assessments!$J$2:$J$600,MATCH($H271&amp;"|"&amp;$I271&amp;"|"&amp;$J271&amp;"|"&amp;3,Assessments!$A$2:$A$600,0)),0)</f>
        <v>1</v>
      </c>
      <c r="CZ271" s="28" t="n">
        <f aca="false">IFERROR(INDEX(Assessments!$J$2:$J$600,MATCH($H271&amp;"|"&amp;$I271&amp;"|"&amp;$J271&amp;"|"&amp;4,Assessments!$A$2:$A$600,0)),0)</f>
        <v>1</v>
      </c>
      <c r="DA271" s="28" t="n">
        <f aca="false">IFERROR(INDEX(Assessments!$J$2:$J$600,MATCH($H271&amp;"|"&amp;$I271&amp;"|"&amp;$J271&amp;"|"&amp;5,Assessments!$A$2:$A$600,0)),0)</f>
        <v>2</v>
      </c>
      <c r="DB271" s="28" t="n">
        <f aca="false">IFERROR(INDEX(Assessments!$J$2:$J$600,MATCH($H271&amp;"|"&amp;$I271&amp;"|"&amp;$J271&amp;"|"&amp;6,Assessments!$A$2:$A$600,0)),0)</f>
        <v>1</v>
      </c>
      <c r="DC271" s="28" t="n">
        <f aca="false">IFERROR(INDEX(Assessments!$J$2:$J$600,MATCH($H271&amp;"|"&amp;$I271&amp;"|"&amp;$J271&amp;"|"&amp;7,Assessments!$A$2:$A$600,0)),0)</f>
        <v>2</v>
      </c>
      <c r="DD271" s="28" t="n">
        <f aca="false">IFERROR(INDEX(Assessments!$J$2:$J$600,MATCH($H271&amp;"|"&amp;$I271&amp;"|"&amp;$J271&amp;"|"&amp;8,Assessments!$A$2:$A$600,0)),0)</f>
        <v>0</v>
      </c>
      <c r="DE271" s="28" t="n">
        <f aca="false">IFERROR(INDEX(Assessments!$J$2:$J$600,MATCH($H271&amp;"|"&amp;$I271&amp;"|"&amp;$J271&amp;"|"&amp;9,Assessments!$A$2:$A$600,0)),0)</f>
        <v>0</v>
      </c>
      <c r="DF271" s="28" t="n">
        <f aca="false">IFERROR(INDEX(Assessments!$J$2:$J$600,MATCH($H271&amp;"|"&amp;$I271&amp;"|"&amp;$J271&amp;"|"&amp;10,Assessments!$A$2:$A$600,0)),0)</f>
        <v>0</v>
      </c>
      <c r="DG271" s="28" t="n">
        <f aca="false">IFERROR(INDEX(Assessments!$J$2:$J$600,MATCH($H271&amp;"|"&amp;$I271&amp;"|"&amp;$J271&amp;"|"&amp;11,Assessments!$A$2:$A$600,0)),0)</f>
        <v>0</v>
      </c>
      <c r="DH271" s="28" t="n">
        <f aca="false">IFERROR(INDEX(Assessments!$J$2:$J$600,MATCH($H271&amp;"|"&amp;$I271&amp;"|"&amp;$J271&amp;"|"&amp;12,Assessments!$A$2:$A$600,0)),0)</f>
        <v>0</v>
      </c>
      <c r="DI271" s="28" t="n">
        <f aca="false">IFERROR(INDEX(Assessments!$J$2:$J$600,MATCH($H271&amp;"|"&amp;$I271&amp;"|"&amp;$J271&amp;"|"&amp;13,Assessments!$A$2:$A$600,0)),0)</f>
        <v>0</v>
      </c>
      <c r="DJ271" s="28" t="n">
        <f aca="false">IFERROR(INDEX(Assessments!$J$2:$J$600,MATCH($H271&amp;"|"&amp;$I271&amp;"|"&amp;$J271&amp;"|"&amp;14,Assessments!$A$2:$A$600,0)),0)</f>
        <v>0</v>
      </c>
      <c r="DK271" s="28" t="str">
        <f aca="false">S271</f>
        <v/>
      </c>
      <c r="DL271" s="28" t="str">
        <f aca="false">W271</f>
        <v/>
      </c>
      <c r="DM271" s="28" t="str">
        <f aca="false">AA271</f>
        <v/>
      </c>
      <c r="DN271" s="28" t="str">
        <f aca="false">AE271</f>
        <v/>
      </c>
      <c r="DO271" s="28" t="str">
        <f aca="false">AI271</f>
        <v/>
      </c>
      <c r="DP271" s="28" t="str">
        <f aca="false">AM271</f>
        <v/>
      </c>
      <c r="DQ271" s="28" t="str">
        <f aca="false">AQ271</f>
        <v/>
      </c>
      <c r="DR271" s="28" t="str">
        <f aca="false">AU271</f>
        <v/>
      </c>
      <c r="DS271" s="28" t="str">
        <f aca="false">AY271</f>
        <v/>
      </c>
      <c r="DT271" s="28" t="str">
        <f aca="false">BC271</f>
        <v/>
      </c>
      <c r="DU271" s="28" t="str">
        <f aca="false">BG271</f>
        <v/>
      </c>
      <c r="DV271" s="28" t="str">
        <f aca="false">BK271</f>
        <v/>
      </c>
      <c r="DW271" s="28" t="str">
        <f aca="false">BO271</f>
        <v/>
      </c>
      <c r="DX271" s="28" t="str">
        <f aca="false">BS271</f>
        <v/>
      </c>
      <c r="DY271" s="28" t="str">
        <f aca="false">IF(ISNUMBER(S271),1,"")</f>
        <v/>
      </c>
      <c r="DZ271" s="28" t="str">
        <f aca="false">IF(ISNUMBER(W271),2,"")</f>
        <v/>
      </c>
      <c r="EA271" s="28" t="str">
        <f aca="false">IF(ISNUMBER(AA271),3,"")</f>
        <v/>
      </c>
      <c r="EB271" s="28" t="str">
        <f aca="false">IF(ISNUMBER(AE271),4,"")</f>
        <v/>
      </c>
      <c r="EC271" s="28" t="str">
        <f aca="false">IF(ISNUMBER(AI271),5,"")</f>
        <v/>
      </c>
      <c r="ED271" s="28" t="str">
        <f aca="false">IF(ISNUMBER(AM271),6,"")</f>
        <v/>
      </c>
      <c r="EE271" s="28" t="str">
        <f aca="false">IF(ISNUMBER(AQ271),7,"")</f>
        <v/>
      </c>
      <c r="EF271" s="28" t="str">
        <f aca="false">IF(ISNUMBER(AU271),8,"")</f>
        <v/>
      </c>
      <c r="EG271" s="28" t="str">
        <f aca="false">IF(ISNUMBER(AY271),9,"")</f>
        <v/>
      </c>
      <c r="EH271" s="28" t="str">
        <f aca="false">IF(ISNUMBER(BC271),10,"")</f>
        <v/>
      </c>
      <c r="EI271" s="28" t="str">
        <f aca="false">IF(ISNUMBER(BG271),11,"")</f>
        <v/>
      </c>
      <c r="EJ271" s="28" t="str">
        <f aca="false">IF(ISNUMBER(BK271),12,"")</f>
        <v/>
      </c>
      <c r="EK271" s="28" t="str">
        <f aca="false">IF(ISNUMBER(BO271),13,"")</f>
        <v/>
      </c>
      <c r="EL271" s="28" t="str">
        <f aca="false">IF(ISNUMBER(BS271),14,"")</f>
        <v/>
      </c>
      <c r="EM271" s="28" t="n">
        <f aca="false">IF(ISNUMBER(R271),R271*CW271,0)</f>
        <v>0</v>
      </c>
      <c r="EN271" s="28" t="n">
        <f aca="false">IF(ISNUMBER(V271),V271*CX271,0)</f>
        <v>0</v>
      </c>
      <c r="EO271" s="28" t="n">
        <f aca="false">IF(ISNUMBER(Z271),Z271*CY271,0)</f>
        <v>0</v>
      </c>
      <c r="EP271" s="28" t="n">
        <f aca="false">IF(ISNUMBER(AD271),AD271*CZ271,0)</f>
        <v>0</v>
      </c>
      <c r="EQ271" s="28" t="n">
        <f aca="false">IF(ISNUMBER(AH271),AH271*DA271,0)</f>
        <v>0</v>
      </c>
      <c r="ER271" s="28" t="n">
        <f aca="false">IF(ISNUMBER(AL271),AL271*DB271,0)</f>
        <v>0</v>
      </c>
      <c r="ES271" s="28" t="n">
        <f aca="false">IF(ISNUMBER(AP271),AP271*DC271,0)</f>
        <v>0</v>
      </c>
      <c r="ET271" s="28" t="n">
        <f aca="false">IF(ISNUMBER(AT271),AT271*DD271,0)</f>
        <v>0</v>
      </c>
      <c r="EU271" s="28" t="n">
        <f aca="false">IF(ISNUMBER(AX271),AX271*DE271,0)</f>
        <v>0</v>
      </c>
      <c r="EV271" s="28" t="n">
        <f aca="false">IF(ISNUMBER(BB271),BB271*DF271,0)</f>
        <v>0</v>
      </c>
      <c r="EW271" s="28" t="n">
        <f aca="false">IF(ISNUMBER(BF271),BF271*DG271,0)</f>
        <v>0</v>
      </c>
      <c r="EX271" s="28" t="n">
        <f aca="false">IF(ISNUMBER(BJ271),BJ271*DH271,0)</f>
        <v>0</v>
      </c>
      <c r="EY271" s="28" t="n">
        <f aca="false">IF(ISNUMBER(BN271),BN271*DI271,0)</f>
        <v>0</v>
      </c>
      <c r="EZ271" s="28" t="n">
        <f aca="false">IF(ISNUMBER(BR271),BR271*DJ271,0)</f>
        <v>0</v>
      </c>
      <c r="FA271" s="28" t="n">
        <f aca="false">IF(ISNUMBER(R271),CW271,0)</f>
        <v>0</v>
      </c>
      <c r="FB271" s="28" t="n">
        <f aca="false">IF(ISNUMBER(V271),CX271,0)</f>
        <v>0</v>
      </c>
      <c r="FC271" s="28" t="n">
        <f aca="false">IF(ISNUMBER(Z271),CY271,0)</f>
        <v>0</v>
      </c>
      <c r="FD271" s="28" t="n">
        <f aca="false">IF(ISNUMBER(AD271),CZ271,0)</f>
        <v>0</v>
      </c>
      <c r="FE271" s="28" t="n">
        <f aca="false">IF(ISNUMBER(AH271),DA271,0)</f>
        <v>0</v>
      </c>
      <c r="FF271" s="28" t="n">
        <f aca="false">IF(ISNUMBER(AL271),DB271,0)</f>
        <v>0</v>
      </c>
      <c r="FG271" s="28" t="n">
        <f aca="false">IF(ISNUMBER(AP271),DC271,0)</f>
        <v>0</v>
      </c>
      <c r="FH271" s="28" t="n">
        <f aca="false">IF(ISNUMBER(AT271),DD271,0)</f>
        <v>0</v>
      </c>
      <c r="FI271" s="28" t="n">
        <f aca="false">IF(ISNUMBER(AX271),DE271,0)</f>
        <v>0</v>
      </c>
      <c r="FJ271" s="28" t="n">
        <f aca="false">IF(ISNUMBER(BB271),DF271,0)</f>
        <v>0</v>
      </c>
      <c r="FK271" s="28" t="n">
        <f aca="false">IF(ISNUMBER(BF271),DG271,0)</f>
        <v>0</v>
      </c>
      <c r="FL271" s="28" t="n">
        <f aca="false">IF(ISNUMBER(BJ271),DH271,0)</f>
        <v>0</v>
      </c>
      <c r="FM271" s="28" t="n">
        <f aca="false">IF(ISNUMBER(BN271),DI271,0)</f>
        <v>0</v>
      </c>
      <c r="FN271" s="28" t="n">
        <f aca="false">IF(ISNUMBER(BR271),DJ271,0)</f>
        <v>0</v>
      </c>
      <c r="FO271" s="28" t="str">
        <f aca="false">IFERROR(INDEX(Lists!$G$2:$G$20,MATCH($I271&amp;"|"&amp;$J271,Lists!$F$2:$F$20,0)),"")</f>
        <v>Econ Exam</v>
      </c>
    </row>
    <row r="272" customFormat="false" ht="19.5" hidden="false" customHeight="true" outlineLevel="0" collapsed="false">
      <c r="A272" s="29" t="s">
        <v>549</v>
      </c>
      <c r="B272" s="29" t="s">
        <v>550</v>
      </c>
      <c r="C272" s="30" t="s">
        <v>152</v>
      </c>
      <c r="D272" s="30" t="s">
        <v>228</v>
      </c>
      <c r="E272" s="31"/>
      <c r="F272" s="30"/>
      <c r="G272" s="30"/>
      <c r="H272" s="32" t="s">
        <v>428</v>
      </c>
      <c r="I272" s="33" t="s">
        <v>229</v>
      </c>
      <c r="J272" s="32" t="s">
        <v>223</v>
      </c>
      <c r="K272" s="34" t="str">
        <f aca="false">IF(OR(M272="",$E272=""),"",M272-$E272)</f>
        <v/>
      </c>
      <c r="L272" s="35" t="str">
        <f aca="false">IF(SUM(FA272:FN272)=0,"",SUM(EM272:EZ272)/SUM(FA272:FN272))</f>
        <v/>
      </c>
      <c r="M272" s="36" t="str">
        <f aca="false">IF(OR(L272="",FO272=""),"",IFERROR(MATCH(L272,INDEX(Boundaries!$B$2:$I$30,MATCH(FO272,Boundaries!$A$2:$A$30,0),0),1)-1,""))</f>
        <v/>
      </c>
      <c r="N272" s="37" t="str">
        <f aca="false">IF(COUNT($DY272:$EL272)&lt;2,"",INDEX($DK272:$DX272,MAX($DY272:$EL272))-INDEX($DK272:$DX272,MIN($DY272:$EL272)))</f>
        <v/>
      </c>
      <c r="O272" s="37" t="str">
        <f aca="false">IF(COUNT($DY272:$EL272)&lt;2,"",INDEX($DK272:$DX272,MAX($DY272:$EL272))-INDEX($DK272:$DX272,LARGE($DY272:$EL272,2)))</f>
        <v/>
      </c>
      <c r="P272" s="38" t="str">
        <f aca="false">IF(K272="","",IF(K272&gt;=0,"On/above target",IF(AND(N272&lt;&gt;"",N272&gt;=0.5),"Improving towards target",IF(AND(O272&lt;&gt;"",O272&lt;=-0.5),"Declining","Stable below target"))))</f>
        <v/>
      </c>
      <c r="Q272" s="39"/>
      <c r="R272" s="40" t="str">
        <f aca="false">IF(OR(Q272="",BU272=""),"",Q272/BU272*100)</f>
        <v/>
      </c>
      <c r="S272" s="41" t="str">
        <f aca="false">IF(R272="","",IFERROR(MATCH(R272,INDEX(Boundaries!$B$2:$I$30,MATCH(CI272,Boundaries!$A$2:$A$30,0),0),1)-1,""))</f>
        <v/>
      </c>
      <c r="T272" s="42" t="str">
        <f aca="false">IF(OR(S272="",$E272=""),"",S272-$E272)</f>
        <v/>
      </c>
      <c r="U272" s="39"/>
      <c r="V272" s="40" t="str">
        <f aca="false">IF(OR(U272="",BV272=""),"",U272/BV272*100)</f>
        <v/>
      </c>
      <c r="W272" s="41" t="str">
        <f aca="false">IF(V272="","",IFERROR(MATCH(V272,INDEX(Boundaries!$B$2:$I$30,MATCH(CJ272,Boundaries!$A$2:$A$30,0),0),1)-1,""))</f>
        <v/>
      </c>
      <c r="X272" s="42" t="str">
        <f aca="false">IF(OR(W272="",$E272=""),"",W272-$E272)</f>
        <v/>
      </c>
      <c r="Y272" s="39"/>
      <c r="Z272" s="40" t="str">
        <f aca="false">IF(OR(Y272="",BW272=""),"",Y272/BW272*100)</f>
        <v/>
      </c>
      <c r="AA272" s="41" t="str">
        <f aca="false">IF(Z272="","",IFERROR(MATCH(Z272,INDEX(Boundaries!$B$2:$I$30,MATCH(CK272,Boundaries!$A$2:$A$30,0),0),1)-1,""))</f>
        <v/>
      </c>
      <c r="AB272" s="42" t="str">
        <f aca="false">IF(OR(AA272="",$E272=""),"",AA272-$E272)</f>
        <v/>
      </c>
      <c r="AC272" s="39"/>
      <c r="AD272" s="40" t="str">
        <f aca="false">IF(OR(AC272="",BX272=""),"",AC272/BX272*100)</f>
        <v/>
      </c>
      <c r="AE272" s="41" t="str">
        <f aca="false">IF(AD272="","",IFERROR(MATCH(AD272,INDEX(Boundaries!$B$2:$I$30,MATCH(CL272,Boundaries!$A$2:$A$30,0),0),1)-1,""))</f>
        <v/>
      </c>
      <c r="AF272" s="42" t="str">
        <f aca="false">IF(OR(AE272="",$E272=""),"",AE272-$E272)</f>
        <v/>
      </c>
      <c r="AG272" s="39"/>
      <c r="AH272" s="40" t="str">
        <f aca="false">IF(OR(AG272="",BY272=""),"",AG272/BY272*100)</f>
        <v/>
      </c>
      <c r="AI272" s="41" t="str">
        <f aca="false">IF(AH272="","",IFERROR(MATCH(AH272,INDEX(Boundaries!$B$2:$I$30,MATCH(CM272,Boundaries!$A$2:$A$30,0),0),1)-1,""))</f>
        <v/>
      </c>
      <c r="AJ272" s="42" t="str">
        <f aca="false">IF(OR(AI272="",$E272=""),"",AI272-$E272)</f>
        <v/>
      </c>
      <c r="AK272" s="39"/>
      <c r="AL272" s="40" t="str">
        <f aca="false">IF(OR(AK272="",BZ272=""),"",AK272/BZ272*100)</f>
        <v/>
      </c>
      <c r="AM272" s="41" t="str">
        <f aca="false">IF(AL272="","",IFERROR(MATCH(AL272,INDEX(Boundaries!$B$2:$I$30,MATCH(CN272,Boundaries!$A$2:$A$30,0),0),1)-1,""))</f>
        <v/>
      </c>
      <c r="AN272" s="42" t="str">
        <f aca="false">IF(OR(AM272="",$E272=""),"",AM272-$E272)</f>
        <v/>
      </c>
      <c r="AO272" s="39"/>
      <c r="AP272" s="40" t="str">
        <f aca="false">IF(OR(AO272="",CA272=""),"",AO272/CA272*100)</f>
        <v/>
      </c>
      <c r="AQ272" s="41" t="str">
        <f aca="false">IF(AP272="","",IFERROR(MATCH(AP272,INDEX(Boundaries!$B$2:$I$30,MATCH(CO272,Boundaries!$A$2:$A$30,0),0),1)-1,""))</f>
        <v/>
      </c>
      <c r="AR272" s="42" t="str">
        <f aca="false">IF(OR(AQ272="",$E272=""),"",AQ272-$E272)</f>
        <v/>
      </c>
      <c r="AS272" s="39"/>
      <c r="AT272" s="40" t="str">
        <f aca="false">IF(OR(AS272="",CB272=""),"",AS272/CB272*100)</f>
        <v/>
      </c>
      <c r="AU272" s="41" t="str">
        <f aca="false">IF(AT272="","",IFERROR(MATCH(AT272,INDEX(Boundaries!$B$2:$I$30,MATCH(CP272,Boundaries!$A$2:$A$30,0),0),1)-1,""))</f>
        <v/>
      </c>
      <c r="AV272" s="42" t="str">
        <f aca="false">IF(OR(AU272="",$E272=""),"",AU272-$E272)</f>
        <v/>
      </c>
      <c r="AW272" s="39"/>
      <c r="AX272" s="40" t="str">
        <f aca="false">IF(OR(AW272="",CC272=""),"",AW272/CC272*100)</f>
        <v/>
      </c>
      <c r="AY272" s="41" t="str">
        <f aca="false">IF(AX272="","",IFERROR(MATCH(AX272,INDEX(Boundaries!$B$2:$I$30,MATCH(CQ272,Boundaries!$A$2:$A$30,0),0),1)-1,""))</f>
        <v/>
      </c>
      <c r="AZ272" s="42" t="str">
        <f aca="false">IF(OR(AY272="",$E272=""),"",AY272-$E272)</f>
        <v/>
      </c>
      <c r="BA272" s="39"/>
      <c r="BB272" s="40" t="str">
        <f aca="false">IF(OR(BA272="",CD272=""),"",BA272/CD272*100)</f>
        <v/>
      </c>
      <c r="BC272" s="41" t="str">
        <f aca="false">IF(BB272="","",IFERROR(MATCH(BB272,INDEX(Boundaries!$B$2:$I$30,MATCH(CR272,Boundaries!$A$2:$A$30,0),0),1)-1,""))</f>
        <v/>
      </c>
      <c r="BD272" s="42" t="str">
        <f aca="false">IF(OR(BC272="",$E272=""),"",BC272-$E272)</f>
        <v/>
      </c>
      <c r="BE272" s="39"/>
      <c r="BF272" s="40" t="str">
        <f aca="false">IF(OR(BE272="",CE272=""),"",BE272/CE272*100)</f>
        <v/>
      </c>
      <c r="BG272" s="41" t="str">
        <f aca="false">IF(BF272="","",IFERROR(MATCH(BF272,INDEX(Boundaries!$B$2:$I$30,MATCH(CS272,Boundaries!$A$2:$A$30,0),0),1)-1,""))</f>
        <v/>
      </c>
      <c r="BH272" s="42" t="str">
        <f aca="false">IF(OR(BG272="",$E272=""),"",BG272-$E272)</f>
        <v/>
      </c>
      <c r="BI272" s="39"/>
      <c r="BJ272" s="40" t="str">
        <f aca="false">IF(OR(BI272="",CF272=""),"",BI272/CF272*100)</f>
        <v/>
      </c>
      <c r="BK272" s="41" t="str">
        <f aca="false">IF(BJ272="","",IFERROR(MATCH(BJ272,INDEX(Boundaries!$B$2:$I$30,MATCH(CT272,Boundaries!$A$2:$A$30,0),0),1)-1,""))</f>
        <v/>
      </c>
      <c r="BL272" s="42" t="str">
        <f aca="false">IF(OR(BK272="",$E272=""),"",BK272-$E272)</f>
        <v/>
      </c>
      <c r="BM272" s="39"/>
      <c r="BN272" s="40" t="str">
        <f aca="false">IF(OR(BM272="",CG272=""),"",BM272/CG272*100)</f>
        <v/>
      </c>
      <c r="BO272" s="41" t="str">
        <f aca="false">IF(BN272="","",IFERROR(MATCH(BN272,INDEX(Boundaries!$B$2:$I$30,MATCH(CU272,Boundaries!$A$2:$A$30,0),0),1)-1,""))</f>
        <v/>
      </c>
      <c r="BP272" s="42" t="str">
        <f aca="false">IF(OR(BO272="",$E272=""),"",BO272-$E272)</f>
        <v/>
      </c>
      <c r="BQ272" s="39"/>
      <c r="BR272" s="40" t="str">
        <f aca="false">IF(OR(BQ272="",CH272=""),"",BQ272/CH272*100)</f>
        <v/>
      </c>
      <c r="BS272" s="41" t="str">
        <f aca="false">IF(BR272="","",IFERROR(MATCH(BR272,INDEX(Boundaries!$B$2:$I$30,MATCH(CV272,Boundaries!$A$2:$A$30,0),0),1)-1,""))</f>
        <v/>
      </c>
      <c r="BT272" s="42" t="str">
        <f aca="false">IF(OR(BS272="",$E272=""),"",BS272-$E272)</f>
        <v/>
      </c>
      <c r="BU272" s="28" t="n">
        <f aca="false">IFERROR(INDEX(Assessments!$H$2:$H$600,MATCH($H272&amp;"|"&amp;$I272&amp;"|"&amp;$J272&amp;"|"&amp;1,Assessments!$A$2:$A$600,0)),"")</f>
        <v>25</v>
      </c>
      <c r="BV272" s="28" t="n">
        <f aca="false">IFERROR(INDEX(Assessments!$H$2:$H$600,MATCH($H272&amp;"|"&amp;$I272&amp;"|"&amp;$J272&amp;"|"&amp;2,Assessments!$A$2:$A$600,0)),"")</f>
        <v>20</v>
      </c>
      <c r="BW272" s="28" t="n">
        <f aca="false">IFERROR(INDEX(Assessments!$H$2:$H$600,MATCH($H272&amp;"|"&amp;$I272&amp;"|"&amp;$J272&amp;"|"&amp;3,Assessments!$A$2:$A$600,0)),"")</f>
        <v>25</v>
      </c>
      <c r="BX272" s="28" t="n">
        <f aca="false">IFERROR(INDEX(Assessments!$H$2:$H$600,MATCH($H272&amp;"|"&amp;$I272&amp;"|"&amp;$J272&amp;"|"&amp;4,Assessments!$A$2:$A$600,0)),"")</f>
        <v>23</v>
      </c>
      <c r="BY272" s="28" t="n">
        <f aca="false">IFERROR(INDEX(Assessments!$H$2:$H$600,MATCH($H272&amp;"|"&amp;$I272&amp;"|"&amp;$J272&amp;"|"&amp;5,Assessments!$A$2:$A$600,0)),"")</f>
        <v>25</v>
      </c>
      <c r="BZ272" s="28" t="n">
        <f aca="false">IFERROR(INDEX(Assessments!$H$2:$H$600,MATCH($H272&amp;"|"&amp;$I272&amp;"|"&amp;$J272&amp;"|"&amp;6,Assessments!$A$2:$A$600,0)),"")</f>
        <v>23</v>
      </c>
      <c r="CA272" s="28" t="n">
        <f aca="false">IFERROR(INDEX(Assessments!$H$2:$H$600,MATCH($H272&amp;"|"&amp;$I272&amp;"|"&amp;$J272&amp;"|"&amp;7,Assessments!$A$2:$A$600,0)),"")</f>
        <v>52</v>
      </c>
      <c r="CB272" s="28" t="str">
        <f aca="false">IFERROR(INDEX(Assessments!$H$2:$H$600,MATCH($H272&amp;"|"&amp;$I272&amp;"|"&amp;$J272&amp;"|"&amp;8,Assessments!$A$2:$A$600,0)),"")</f>
        <v/>
      </c>
      <c r="CC272" s="28" t="str">
        <f aca="false">IFERROR(INDEX(Assessments!$H$2:$H$600,MATCH($H272&amp;"|"&amp;$I272&amp;"|"&amp;$J272&amp;"|"&amp;9,Assessments!$A$2:$A$600,0)),"")</f>
        <v/>
      </c>
      <c r="CD272" s="28" t="str">
        <f aca="false">IFERROR(INDEX(Assessments!$H$2:$H$600,MATCH($H272&amp;"|"&amp;$I272&amp;"|"&amp;$J272&amp;"|"&amp;10,Assessments!$A$2:$A$600,0)),"")</f>
        <v/>
      </c>
      <c r="CE272" s="28" t="str">
        <f aca="false">IFERROR(INDEX(Assessments!$H$2:$H$600,MATCH($H272&amp;"|"&amp;$I272&amp;"|"&amp;$J272&amp;"|"&amp;11,Assessments!$A$2:$A$600,0)),"")</f>
        <v/>
      </c>
      <c r="CF272" s="28" t="str">
        <f aca="false">IFERROR(INDEX(Assessments!$H$2:$H$600,MATCH($H272&amp;"|"&amp;$I272&amp;"|"&amp;$J272&amp;"|"&amp;12,Assessments!$A$2:$A$600,0)),"")</f>
        <v/>
      </c>
      <c r="CG272" s="28" t="str">
        <f aca="false">IFERROR(INDEX(Assessments!$H$2:$H$600,MATCH($H272&amp;"|"&amp;$I272&amp;"|"&amp;$J272&amp;"|"&amp;13,Assessments!$A$2:$A$600,0)),"")</f>
        <v/>
      </c>
      <c r="CH272" s="28" t="str">
        <f aca="false">IFERROR(INDEX(Assessments!$H$2:$H$600,MATCH($H272&amp;"|"&amp;$I272&amp;"|"&amp;$J272&amp;"|"&amp;14,Assessments!$A$2:$A$600,0)),"")</f>
        <v/>
      </c>
      <c r="CI272" s="28" t="str">
        <f aca="false">IFERROR(INDEX(Assessments!$I$2:$I$600,MATCH($H272&amp;"|"&amp;$I272&amp;"|"&amp;$J272&amp;"|"&amp;1,Assessments!$A$2:$A$600,0)),"")</f>
        <v>Econ Test</v>
      </c>
      <c r="CJ272" s="28" t="str">
        <f aca="false">IFERROR(INDEX(Assessments!$I$2:$I$600,MATCH($H272&amp;"|"&amp;$I272&amp;"|"&amp;$J272&amp;"|"&amp;2,Assessments!$A$2:$A$600,0)),"")</f>
        <v>Econ Test</v>
      </c>
      <c r="CK272" s="28" t="str">
        <f aca="false">IFERROR(INDEX(Assessments!$I$2:$I$600,MATCH($H272&amp;"|"&amp;$I272&amp;"|"&amp;$J272&amp;"|"&amp;3,Assessments!$A$2:$A$600,0)),"")</f>
        <v>Econ Test</v>
      </c>
      <c r="CL272" s="28" t="str">
        <f aca="false">IFERROR(INDEX(Assessments!$I$2:$I$600,MATCH($H272&amp;"|"&amp;$I272&amp;"|"&amp;$J272&amp;"|"&amp;4,Assessments!$A$2:$A$600,0)),"")</f>
        <v>Econ Test</v>
      </c>
      <c r="CM272" s="28" t="str">
        <f aca="false">IFERROR(INDEX(Assessments!$I$2:$I$600,MATCH($H272&amp;"|"&amp;$I272&amp;"|"&amp;$J272&amp;"|"&amp;5,Assessments!$A$2:$A$600,0)),"")</f>
        <v>Econ Exam</v>
      </c>
      <c r="CN272" s="28" t="str">
        <f aca="false">IFERROR(INDEX(Assessments!$I$2:$I$600,MATCH($H272&amp;"|"&amp;$I272&amp;"|"&amp;$J272&amp;"|"&amp;6,Assessments!$A$2:$A$600,0)),"")</f>
        <v>Econ Test</v>
      </c>
      <c r="CO272" s="28" t="str">
        <f aca="false">IFERROR(INDEX(Assessments!$I$2:$I$600,MATCH($H272&amp;"|"&amp;$I272&amp;"|"&amp;$J272&amp;"|"&amp;7,Assessments!$A$2:$A$600,0)),"")</f>
        <v>Econ Exam</v>
      </c>
      <c r="CP272" s="28" t="str">
        <f aca="false">IFERROR(INDEX(Assessments!$I$2:$I$600,MATCH($H272&amp;"|"&amp;$I272&amp;"|"&amp;$J272&amp;"|"&amp;8,Assessments!$A$2:$A$600,0)),"")</f>
        <v/>
      </c>
      <c r="CQ272" s="28" t="str">
        <f aca="false">IFERROR(INDEX(Assessments!$I$2:$I$600,MATCH($H272&amp;"|"&amp;$I272&amp;"|"&amp;$J272&amp;"|"&amp;9,Assessments!$A$2:$A$600,0)),"")</f>
        <v/>
      </c>
      <c r="CR272" s="28" t="str">
        <f aca="false">IFERROR(INDEX(Assessments!$I$2:$I$600,MATCH($H272&amp;"|"&amp;$I272&amp;"|"&amp;$J272&amp;"|"&amp;10,Assessments!$A$2:$A$600,0)),"")</f>
        <v/>
      </c>
      <c r="CS272" s="28" t="str">
        <f aca="false">IFERROR(INDEX(Assessments!$I$2:$I$600,MATCH($H272&amp;"|"&amp;$I272&amp;"|"&amp;$J272&amp;"|"&amp;11,Assessments!$A$2:$A$600,0)),"")</f>
        <v/>
      </c>
      <c r="CT272" s="28" t="str">
        <f aca="false">IFERROR(INDEX(Assessments!$I$2:$I$600,MATCH($H272&amp;"|"&amp;$I272&amp;"|"&amp;$J272&amp;"|"&amp;12,Assessments!$A$2:$A$600,0)),"")</f>
        <v/>
      </c>
      <c r="CU272" s="28" t="str">
        <f aca="false">IFERROR(INDEX(Assessments!$I$2:$I$600,MATCH($H272&amp;"|"&amp;$I272&amp;"|"&amp;$J272&amp;"|"&amp;13,Assessments!$A$2:$A$600,0)),"")</f>
        <v/>
      </c>
      <c r="CV272" s="28" t="str">
        <f aca="false">IFERROR(INDEX(Assessments!$I$2:$I$600,MATCH($H272&amp;"|"&amp;$I272&amp;"|"&amp;$J272&amp;"|"&amp;14,Assessments!$A$2:$A$600,0)),"")</f>
        <v/>
      </c>
      <c r="CW272" s="28" t="n">
        <f aca="false">IFERROR(INDEX(Assessments!$J$2:$J$600,MATCH($H272&amp;"|"&amp;$I272&amp;"|"&amp;$J272&amp;"|"&amp;1,Assessments!$A$2:$A$600,0)),0)</f>
        <v>1</v>
      </c>
      <c r="CX272" s="28" t="n">
        <f aca="false">IFERROR(INDEX(Assessments!$J$2:$J$600,MATCH($H272&amp;"|"&amp;$I272&amp;"|"&amp;$J272&amp;"|"&amp;2,Assessments!$A$2:$A$600,0)),0)</f>
        <v>1</v>
      </c>
      <c r="CY272" s="28" t="n">
        <f aca="false">IFERROR(INDEX(Assessments!$J$2:$J$600,MATCH($H272&amp;"|"&amp;$I272&amp;"|"&amp;$J272&amp;"|"&amp;3,Assessments!$A$2:$A$600,0)),0)</f>
        <v>1</v>
      </c>
      <c r="CZ272" s="28" t="n">
        <f aca="false">IFERROR(INDEX(Assessments!$J$2:$J$600,MATCH($H272&amp;"|"&amp;$I272&amp;"|"&amp;$J272&amp;"|"&amp;4,Assessments!$A$2:$A$600,0)),0)</f>
        <v>1</v>
      </c>
      <c r="DA272" s="28" t="n">
        <f aca="false">IFERROR(INDEX(Assessments!$J$2:$J$600,MATCH($H272&amp;"|"&amp;$I272&amp;"|"&amp;$J272&amp;"|"&amp;5,Assessments!$A$2:$A$600,0)),0)</f>
        <v>2</v>
      </c>
      <c r="DB272" s="28" t="n">
        <f aca="false">IFERROR(INDEX(Assessments!$J$2:$J$600,MATCH($H272&amp;"|"&amp;$I272&amp;"|"&amp;$J272&amp;"|"&amp;6,Assessments!$A$2:$A$600,0)),0)</f>
        <v>1</v>
      </c>
      <c r="DC272" s="28" t="n">
        <f aca="false">IFERROR(INDEX(Assessments!$J$2:$J$600,MATCH($H272&amp;"|"&amp;$I272&amp;"|"&amp;$J272&amp;"|"&amp;7,Assessments!$A$2:$A$600,0)),0)</f>
        <v>2</v>
      </c>
      <c r="DD272" s="28" t="n">
        <f aca="false">IFERROR(INDEX(Assessments!$J$2:$J$600,MATCH($H272&amp;"|"&amp;$I272&amp;"|"&amp;$J272&amp;"|"&amp;8,Assessments!$A$2:$A$600,0)),0)</f>
        <v>0</v>
      </c>
      <c r="DE272" s="28" t="n">
        <f aca="false">IFERROR(INDEX(Assessments!$J$2:$J$600,MATCH($H272&amp;"|"&amp;$I272&amp;"|"&amp;$J272&amp;"|"&amp;9,Assessments!$A$2:$A$600,0)),0)</f>
        <v>0</v>
      </c>
      <c r="DF272" s="28" t="n">
        <f aca="false">IFERROR(INDEX(Assessments!$J$2:$J$600,MATCH($H272&amp;"|"&amp;$I272&amp;"|"&amp;$J272&amp;"|"&amp;10,Assessments!$A$2:$A$600,0)),0)</f>
        <v>0</v>
      </c>
      <c r="DG272" s="28" t="n">
        <f aca="false">IFERROR(INDEX(Assessments!$J$2:$J$600,MATCH($H272&amp;"|"&amp;$I272&amp;"|"&amp;$J272&amp;"|"&amp;11,Assessments!$A$2:$A$600,0)),0)</f>
        <v>0</v>
      </c>
      <c r="DH272" s="28" t="n">
        <f aca="false">IFERROR(INDEX(Assessments!$J$2:$J$600,MATCH($H272&amp;"|"&amp;$I272&amp;"|"&amp;$J272&amp;"|"&amp;12,Assessments!$A$2:$A$600,0)),0)</f>
        <v>0</v>
      </c>
      <c r="DI272" s="28" t="n">
        <f aca="false">IFERROR(INDEX(Assessments!$J$2:$J$600,MATCH($H272&amp;"|"&amp;$I272&amp;"|"&amp;$J272&amp;"|"&amp;13,Assessments!$A$2:$A$600,0)),0)</f>
        <v>0</v>
      </c>
      <c r="DJ272" s="28" t="n">
        <f aca="false">IFERROR(INDEX(Assessments!$J$2:$J$600,MATCH($H272&amp;"|"&amp;$I272&amp;"|"&amp;$J272&amp;"|"&amp;14,Assessments!$A$2:$A$600,0)),0)</f>
        <v>0</v>
      </c>
      <c r="DK272" s="28" t="str">
        <f aca="false">S272</f>
        <v/>
      </c>
      <c r="DL272" s="28" t="str">
        <f aca="false">W272</f>
        <v/>
      </c>
      <c r="DM272" s="28" t="str">
        <f aca="false">AA272</f>
        <v/>
      </c>
      <c r="DN272" s="28" t="str">
        <f aca="false">AE272</f>
        <v/>
      </c>
      <c r="DO272" s="28" t="str">
        <f aca="false">AI272</f>
        <v/>
      </c>
      <c r="DP272" s="28" t="str">
        <f aca="false">AM272</f>
        <v/>
      </c>
      <c r="DQ272" s="28" t="str">
        <f aca="false">AQ272</f>
        <v/>
      </c>
      <c r="DR272" s="28" t="str">
        <f aca="false">AU272</f>
        <v/>
      </c>
      <c r="DS272" s="28" t="str">
        <f aca="false">AY272</f>
        <v/>
      </c>
      <c r="DT272" s="28" t="str">
        <f aca="false">BC272</f>
        <v/>
      </c>
      <c r="DU272" s="28" t="str">
        <f aca="false">BG272</f>
        <v/>
      </c>
      <c r="DV272" s="28" t="str">
        <f aca="false">BK272</f>
        <v/>
      </c>
      <c r="DW272" s="28" t="str">
        <f aca="false">BO272</f>
        <v/>
      </c>
      <c r="DX272" s="28" t="str">
        <f aca="false">BS272</f>
        <v/>
      </c>
      <c r="DY272" s="28" t="str">
        <f aca="false">IF(ISNUMBER(S272),1,"")</f>
        <v/>
      </c>
      <c r="DZ272" s="28" t="str">
        <f aca="false">IF(ISNUMBER(W272),2,"")</f>
        <v/>
      </c>
      <c r="EA272" s="28" t="str">
        <f aca="false">IF(ISNUMBER(AA272),3,"")</f>
        <v/>
      </c>
      <c r="EB272" s="28" t="str">
        <f aca="false">IF(ISNUMBER(AE272),4,"")</f>
        <v/>
      </c>
      <c r="EC272" s="28" t="str">
        <f aca="false">IF(ISNUMBER(AI272),5,"")</f>
        <v/>
      </c>
      <c r="ED272" s="28" t="str">
        <f aca="false">IF(ISNUMBER(AM272),6,"")</f>
        <v/>
      </c>
      <c r="EE272" s="28" t="str">
        <f aca="false">IF(ISNUMBER(AQ272),7,"")</f>
        <v/>
      </c>
      <c r="EF272" s="28" t="str">
        <f aca="false">IF(ISNUMBER(AU272),8,"")</f>
        <v/>
      </c>
      <c r="EG272" s="28" t="str">
        <f aca="false">IF(ISNUMBER(AY272),9,"")</f>
        <v/>
      </c>
      <c r="EH272" s="28" t="str">
        <f aca="false">IF(ISNUMBER(BC272),10,"")</f>
        <v/>
      </c>
      <c r="EI272" s="28" t="str">
        <f aca="false">IF(ISNUMBER(BG272),11,"")</f>
        <v/>
      </c>
      <c r="EJ272" s="28" t="str">
        <f aca="false">IF(ISNUMBER(BK272),12,"")</f>
        <v/>
      </c>
      <c r="EK272" s="28" t="str">
        <f aca="false">IF(ISNUMBER(BO272),13,"")</f>
        <v/>
      </c>
      <c r="EL272" s="28" t="str">
        <f aca="false">IF(ISNUMBER(BS272),14,"")</f>
        <v/>
      </c>
      <c r="EM272" s="28" t="n">
        <f aca="false">IF(ISNUMBER(R272),R272*CW272,0)</f>
        <v>0</v>
      </c>
      <c r="EN272" s="28" t="n">
        <f aca="false">IF(ISNUMBER(V272),V272*CX272,0)</f>
        <v>0</v>
      </c>
      <c r="EO272" s="28" t="n">
        <f aca="false">IF(ISNUMBER(Z272),Z272*CY272,0)</f>
        <v>0</v>
      </c>
      <c r="EP272" s="28" t="n">
        <f aca="false">IF(ISNUMBER(AD272),AD272*CZ272,0)</f>
        <v>0</v>
      </c>
      <c r="EQ272" s="28" t="n">
        <f aca="false">IF(ISNUMBER(AH272),AH272*DA272,0)</f>
        <v>0</v>
      </c>
      <c r="ER272" s="28" t="n">
        <f aca="false">IF(ISNUMBER(AL272),AL272*DB272,0)</f>
        <v>0</v>
      </c>
      <c r="ES272" s="28" t="n">
        <f aca="false">IF(ISNUMBER(AP272),AP272*DC272,0)</f>
        <v>0</v>
      </c>
      <c r="ET272" s="28" t="n">
        <f aca="false">IF(ISNUMBER(AT272),AT272*DD272,0)</f>
        <v>0</v>
      </c>
      <c r="EU272" s="28" t="n">
        <f aca="false">IF(ISNUMBER(AX272),AX272*DE272,0)</f>
        <v>0</v>
      </c>
      <c r="EV272" s="28" t="n">
        <f aca="false">IF(ISNUMBER(BB272),BB272*DF272,0)</f>
        <v>0</v>
      </c>
      <c r="EW272" s="28" t="n">
        <f aca="false">IF(ISNUMBER(BF272),BF272*DG272,0)</f>
        <v>0</v>
      </c>
      <c r="EX272" s="28" t="n">
        <f aca="false">IF(ISNUMBER(BJ272),BJ272*DH272,0)</f>
        <v>0</v>
      </c>
      <c r="EY272" s="28" t="n">
        <f aca="false">IF(ISNUMBER(BN272),BN272*DI272,0)</f>
        <v>0</v>
      </c>
      <c r="EZ272" s="28" t="n">
        <f aca="false">IF(ISNUMBER(BR272),BR272*DJ272,0)</f>
        <v>0</v>
      </c>
      <c r="FA272" s="28" t="n">
        <f aca="false">IF(ISNUMBER(R272),CW272,0)</f>
        <v>0</v>
      </c>
      <c r="FB272" s="28" t="n">
        <f aca="false">IF(ISNUMBER(V272),CX272,0)</f>
        <v>0</v>
      </c>
      <c r="FC272" s="28" t="n">
        <f aca="false">IF(ISNUMBER(Z272),CY272,0)</f>
        <v>0</v>
      </c>
      <c r="FD272" s="28" t="n">
        <f aca="false">IF(ISNUMBER(AD272),CZ272,0)</f>
        <v>0</v>
      </c>
      <c r="FE272" s="28" t="n">
        <f aca="false">IF(ISNUMBER(AH272),DA272,0)</f>
        <v>0</v>
      </c>
      <c r="FF272" s="28" t="n">
        <f aca="false">IF(ISNUMBER(AL272),DB272,0)</f>
        <v>0</v>
      </c>
      <c r="FG272" s="28" t="n">
        <f aca="false">IF(ISNUMBER(AP272),DC272,0)</f>
        <v>0</v>
      </c>
      <c r="FH272" s="28" t="n">
        <f aca="false">IF(ISNUMBER(AT272),DD272,0)</f>
        <v>0</v>
      </c>
      <c r="FI272" s="28" t="n">
        <f aca="false">IF(ISNUMBER(AX272),DE272,0)</f>
        <v>0</v>
      </c>
      <c r="FJ272" s="28" t="n">
        <f aca="false">IF(ISNUMBER(BB272),DF272,0)</f>
        <v>0</v>
      </c>
      <c r="FK272" s="28" t="n">
        <f aca="false">IF(ISNUMBER(BF272),DG272,0)</f>
        <v>0</v>
      </c>
      <c r="FL272" s="28" t="n">
        <f aca="false">IF(ISNUMBER(BJ272),DH272,0)</f>
        <v>0</v>
      </c>
      <c r="FM272" s="28" t="n">
        <f aca="false">IF(ISNUMBER(BN272),DI272,0)</f>
        <v>0</v>
      </c>
      <c r="FN272" s="28" t="n">
        <f aca="false">IF(ISNUMBER(BR272),DJ272,0)</f>
        <v>0</v>
      </c>
      <c r="FO272" s="28" t="str">
        <f aca="false">IFERROR(INDEX(Lists!$G$2:$G$20,MATCH($I272&amp;"|"&amp;$J272,Lists!$F$2:$F$20,0)),"")</f>
        <v>Econ Exam</v>
      </c>
    </row>
    <row r="273" customFormat="false" ht="19.5" hidden="false" customHeight="true" outlineLevel="0" collapsed="false">
      <c r="A273" s="29" t="s">
        <v>551</v>
      </c>
      <c r="B273" s="29" t="s">
        <v>552</v>
      </c>
      <c r="C273" s="30" t="s">
        <v>152</v>
      </c>
      <c r="D273" s="30" t="s">
        <v>228</v>
      </c>
      <c r="E273" s="31"/>
      <c r="F273" s="30"/>
      <c r="G273" s="30"/>
      <c r="H273" s="32" t="s">
        <v>428</v>
      </c>
      <c r="I273" s="33" t="s">
        <v>229</v>
      </c>
      <c r="J273" s="32" t="s">
        <v>223</v>
      </c>
      <c r="K273" s="34" t="str">
        <f aca="false">IF(OR(M273="",$E273=""),"",M273-$E273)</f>
        <v/>
      </c>
      <c r="L273" s="35" t="str">
        <f aca="false">IF(SUM(FA273:FN273)=0,"",SUM(EM273:EZ273)/SUM(FA273:FN273))</f>
        <v/>
      </c>
      <c r="M273" s="36" t="str">
        <f aca="false">IF(OR(L273="",FO273=""),"",IFERROR(MATCH(L273,INDEX(Boundaries!$B$2:$I$30,MATCH(FO273,Boundaries!$A$2:$A$30,0),0),1)-1,""))</f>
        <v/>
      </c>
      <c r="N273" s="37" t="str">
        <f aca="false">IF(COUNT($DY273:$EL273)&lt;2,"",INDEX($DK273:$DX273,MAX($DY273:$EL273))-INDEX($DK273:$DX273,MIN($DY273:$EL273)))</f>
        <v/>
      </c>
      <c r="O273" s="37" t="str">
        <f aca="false">IF(COUNT($DY273:$EL273)&lt;2,"",INDEX($DK273:$DX273,MAX($DY273:$EL273))-INDEX($DK273:$DX273,LARGE($DY273:$EL273,2)))</f>
        <v/>
      </c>
      <c r="P273" s="38" t="str">
        <f aca="false">IF(K273="","",IF(K273&gt;=0,"On/above target",IF(AND(N273&lt;&gt;"",N273&gt;=0.5),"Improving towards target",IF(AND(O273&lt;&gt;"",O273&lt;=-0.5),"Declining","Stable below target"))))</f>
        <v/>
      </c>
      <c r="Q273" s="39"/>
      <c r="R273" s="40" t="str">
        <f aca="false">IF(OR(Q273="",BU273=""),"",Q273/BU273*100)</f>
        <v/>
      </c>
      <c r="S273" s="41" t="str">
        <f aca="false">IF(R273="","",IFERROR(MATCH(R273,INDEX(Boundaries!$B$2:$I$30,MATCH(CI273,Boundaries!$A$2:$A$30,0),0),1)-1,""))</f>
        <v/>
      </c>
      <c r="T273" s="42" t="str">
        <f aca="false">IF(OR(S273="",$E273=""),"",S273-$E273)</f>
        <v/>
      </c>
      <c r="U273" s="39"/>
      <c r="V273" s="40" t="str">
        <f aca="false">IF(OR(U273="",BV273=""),"",U273/BV273*100)</f>
        <v/>
      </c>
      <c r="W273" s="41" t="str">
        <f aca="false">IF(V273="","",IFERROR(MATCH(V273,INDEX(Boundaries!$B$2:$I$30,MATCH(CJ273,Boundaries!$A$2:$A$30,0),0),1)-1,""))</f>
        <v/>
      </c>
      <c r="X273" s="42" t="str">
        <f aca="false">IF(OR(W273="",$E273=""),"",W273-$E273)</f>
        <v/>
      </c>
      <c r="Y273" s="39"/>
      <c r="Z273" s="40" t="str">
        <f aca="false">IF(OR(Y273="",BW273=""),"",Y273/BW273*100)</f>
        <v/>
      </c>
      <c r="AA273" s="41" t="str">
        <f aca="false">IF(Z273="","",IFERROR(MATCH(Z273,INDEX(Boundaries!$B$2:$I$30,MATCH(CK273,Boundaries!$A$2:$A$30,0),0),1)-1,""))</f>
        <v/>
      </c>
      <c r="AB273" s="42" t="str">
        <f aca="false">IF(OR(AA273="",$E273=""),"",AA273-$E273)</f>
        <v/>
      </c>
      <c r="AC273" s="39"/>
      <c r="AD273" s="40" t="str">
        <f aca="false">IF(OR(AC273="",BX273=""),"",AC273/BX273*100)</f>
        <v/>
      </c>
      <c r="AE273" s="41" t="str">
        <f aca="false">IF(AD273="","",IFERROR(MATCH(AD273,INDEX(Boundaries!$B$2:$I$30,MATCH(CL273,Boundaries!$A$2:$A$30,0),0),1)-1,""))</f>
        <v/>
      </c>
      <c r="AF273" s="42" t="str">
        <f aca="false">IF(OR(AE273="",$E273=""),"",AE273-$E273)</f>
        <v/>
      </c>
      <c r="AG273" s="39"/>
      <c r="AH273" s="40" t="str">
        <f aca="false">IF(OR(AG273="",BY273=""),"",AG273/BY273*100)</f>
        <v/>
      </c>
      <c r="AI273" s="41" t="str">
        <f aca="false">IF(AH273="","",IFERROR(MATCH(AH273,INDEX(Boundaries!$B$2:$I$30,MATCH(CM273,Boundaries!$A$2:$A$30,0),0),1)-1,""))</f>
        <v/>
      </c>
      <c r="AJ273" s="42" t="str">
        <f aca="false">IF(OR(AI273="",$E273=""),"",AI273-$E273)</f>
        <v/>
      </c>
      <c r="AK273" s="39"/>
      <c r="AL273" s="40" t="str">
        <f aca="false">IF(OR(AK273="",BZ273=""),"",AK273/BZ273*100)</f>
        <v/>
      </c>
      <c r="AM273" s="41" t="str">
        <f aca="false">IF(AL273="","",IFERROR(MATCH(AL273,INDEX(Boundaries!$B$2:$I$30,MATCH(CN273,Boundaries!$A$2:$A$30,0),0),1)-1,""))</f>
        <v/>
      </c>
      <c r="AN273" s="42" t="str">
        <f aca="false">IF(OR(AM273="",$E273=""),"",AM273-$E273)</f>
        <v/>
      </c>
      <c r="AO273" s="39"/>
      <c r="AP273" s="40" t="str">
        <f aca="false">IF(OR(AO273="",CA273=""),"",AO273/CA273*100)</f>
        <v/>
      </c>
      <c r="AQ273" s="41" t="str">
        <f aca="false">IF(AP273="","",IFERROR(MATCH(AP273,INDEX(Boundaries!$B$2:$I$30,MATCH(CO273,Boundaries!$A$2:$A$30,0),0),1)-1,""))</f>
        <v/>
      </c>
      <c r="AR273" s="42" t="str">
        <f aca="false">IF(OR(AQ273="",$E273=""),"",AQ273-$E273)</f>
        <v/>
      </c>
      <c r="AS273" s="39"/>
      <c r="AT273" s="40" t="str">
        <f aca="false">IF(OR(AS273="",CB273=""),"",AS273/CB273*100)</f>
        <v/>
      </c>
      <c r="AU273" s="41" t="str">
        <f aca="false">IF(AT273="","",IFERROR(MATCH(AT273,INDEX(Boundaries!$B$2:$I$30,MATCH(CP273,Boundaries!$A$2:$A$30,0),0),1)-1,""))</f>
        <v/>
      </c>
      <c r="AV273" s="42" t="str">
        <f aca="false">IF(OR(AU273="",$E273=""),"",AU273-$E273)</f>
        <v/>
      </c>
      <c r="AW273" s="39"/>
      <c r="AX273" s="40" t="str">
        <f aca="false">IF(OR(AW273="",CC273=""),"",AW273/CC273*100)</f>
        <v/>
      </c>
      <c r="AY273" s="41" t="str">
        <f aca="false">IF(AX273="","",IFERROR(MATCH(AX273,INDEX(Boundaries!$B$2:$I$30,MATCH(CQ273,Boundaries!$A$2:$A$30,0),0),1)-1,""))</f>
        <v/>
      </c>
      <c r="AZ273" s="42" t="str">
        <f aca="false">IF(OR(AY273="",$E273=""),"",AY273-$E273)</f>
        <v/>
      </c>
      <c r="BA273" s="39"/>
      <c r="BB273" s="40" t="str">
        <f aca="false">IF(OR(BA273="",CD273=""),"",BA273/CD273*100)</f>
        <v/>
      </c>
      <c r="BC273" s="41" t="str">
        <f aca="false">IF(BB273="","",IFERROR(MATCH(BB273,INDEX(Boundaries!$B$2:$I$30,MATCH(CR273,Boundaries!$A$2:$A$30,0),0),1)-1,""))</f>
        <v/>
      </c>
      <c r="BD273" s="42" t="str">
        <f aca="false">IF(OR(BC273="",$E273=""),"",BC273-$E273)</f>
        <v/>
      </c>
      <c r="BE273" s="39"/>
      <c r="BF273" s="40" t="str">
        <f aca="false">IF(OR(BE273="",CE273=""),"",BE273/CE273*100)</f>
        <v/>
      </c>
      <c r="BG273" s="41" t="str">
        <f aca="false">IF(BF273="","",IFERROR(MATCH(BF273,INDEX(Boundaries!$B$2:$I$30,MATCH(CS273,Boundaries!$A$2:$A$30,0),0),1)-1,""))</f>
        <v/>
      </c>
      <c r="BH273" s="42" t="str">
        <f aca="false">IF(OR(BG273="",$E273=""),"",BG273-$E273)</f>
        <v/>
      </c>
      <c r="BI273" s="39"/>
      <c r="BJ273" s="40" t="str">
        <f aca="false">IF(OR(BI273="",CF273=""),"",BI273/CF273*100)</f>
        <v/>
      </c>
      <c r="BK273" s="41" t="str">
        <f aca="false">IF(BJ273="","",IFERROR(MATCH(BJ273,INDEX(Boundaries!$B$2:$I$30,MATCH(CT273,Boundaries!$A$2:$A$30,0),0),1)-1,""))</f>
        <v/>
      </c>
      <c r="BL273" s="42" t="str">
        <f aca="false">IF(OR(BK273="",$E273=""),"",BK273-$E273)</f>
        <v/>
      </c>
      <c r="BM273" s="39"/>
      <c r="BN273" s="40" t="str">
        <f aca="false">IF(OR(BM273="",CG273=""),"",BM273/CG273*100)</f>
        <v/>
      </c>
      <c r="BO273" s="41" t="str">
        <f aca="false">IF(BN273="","",IFERROR(MATCH(BN273,INDEX(Boundaries!$B$2:$I$30,MATCH(CU273,Boundaries!$A$2:$A$30,0),0),1)-1,""))</f>
        <v/>
      </c>
      <c r="BP273" s="42" t="str">
        <f aca="false">IF(OR(BO273="",$E273=""),"",BO273-$E273)</f>
        <v/>
      </c>
      <c r="BQ273" s="39"/>
      <c r="BR273" s="40" t="str">
        <f aca="false">IF(OR(BQ273="",CH273=""),"",BQ273/CH273*100)</f>
        <v/>
      </c>
      <c r="BS273" s="41" t="str">
        <f aca="false">IF(BR273="","",IFERROR(MATCH(BR273,INDEX(Boundaries!$B$2:$I$30,MATCH(CV273,Boundaries!$A$2:$A$30,0),0),1)-1,""))</f>
        <v/>
      </c>
      <c r="BT273" s="42" t="str">
        <f aca="false">IF(OR(BS273="",$E273=""),"",BS273-$E273)</f>
        <v/>
      </c>
      <c r="BU273" s="28" t="n">
        <f aca="false">IFERROR(INDEX(Assessments!$H$2:$H$600,MATCH($H273&amp;"|"&amp;$I273&amp;"|"&amp;$J273&amp;"|"&amp;1,Assessments!$A$2:$A$600,0)),"")</f>
        <v>25</v>
      </c>
      <c r="BV273" s="28" t="n">
        <f aca="false">IFERROR(INDEX(Assessments!$H$2:$H$600,MATCH($H273&amp;"|"&amp;$I273&amp;"|"&amp;$J273&amp;"|"&amp;2,Assessments!$A$2:$A$600,0)),"")</f>
        <v>20</v>
      </c>
      <c r="BW273" s="28" t="n">
        <f aca="false">IFERROR(INDEX(Assessments!$H$2:$H$600,MATCH($H273&amp;"|"&amp;$I273&amp;"|"&amp;$J273&amp;"|"&amp;3,Assessments!$A$2:$A$600,0)),"")</f>
        <v>25</v>
      </c>
      <c r="BX273" s="28" t="n">
        <f aca="false">IFERROR(INDEX(Assessments!$H$2:$H$600,MATCH($H273&amp;"|"&amp;$I273&amp;"|"&amp;$J273&amp;"|"&amp;4,Assessments!$A$2:$A$600,0)),"")</f>
        <v>23</v>
      </c>
      <c r="BY273" s="28" t="n">
        <f aca="false">IFERROR(INDEX(Assessments!$H$2:$H$600,MATCH($H273&amp;"|"&amp;$I273&amp;"|"&amp;$J273&amp;"|"&amp;5,Assessments!$A$2:$A$600,0)),"")</f>
        <v>25</v>
      </c>
      <c r="BZ273" s="28" t="n">
        <f aca="false">IFERROR(INDEX(Assessments!$H$2:$H$600,MATCH($H273&amp;"|"&amp;$I273&amp;"|"&amp;$J273&amp;"|"&amp;6,Assessments!$A$2:$A$600,0)),"")</f>
        <v>23</v>
      </c>
      <c r="CA273" s="28" t="n">
        <f aca="false">IFERROR(INDEX(Assessments!$H$2:$H$600,MATCH($H273&amp;"|"&amp;$I273&amp;"|"&amp;$J273&amp;"|"&amp;7,Assessments!$A$2:$A$600,0)),"")</f>
        <v>52</v>
      </c>
      <c r="CB273" s="28" t="str">
        <f aca="false">IFERROR(INDEX(Assessments!$H$2:$H$600,MATCH($H273&amp;"|"&amp;$I273&amp;"|"&amp;$J273&amp;"|"&amp;8,Assessments!$A$2:$A$600,0)),"")</f>
        <v/>
      </c>
      <c r="CC273" s="28" t="str">
        <f aca="false">IFERROR(INDEX(Assessments!$H$2:$H$600,MATCH($H273&amp;"|"&amp;$I273&amp;"|"&amp;$J273&amp;"|"&amp;9,Assessments!$A$2:$A$600,0)),"")</f>
        <v/>
      </c>
      <c r="CD273" s="28" t="str">
        <f aca="false">IFERROR(INDEX(Assessments!$H$2:$H$600,MATCH($H273&amp;"|"&amp;$I273&amp;"|"&amp;$J273&amp;"|"&amp;10,Assessments!$A$2:$A$600,0)),"")</f>
        <v/>
      </c>
      <c r="CE273" s="28" t="str">
        <f aca="false">IFERROR(INDEX(Assessments!$H$2:$H$600,MATCH($H273&amp;"|"&amp;$I273&amp;"|"&amp;$J273&amp;"|"&amp;11,Assessments!$A$2:$A$600,0)),"")</f>
        <v/>
      </c>
      <c r="CF273" s="28" t="str">
        <f aca="false">IFERROR(INDEX(Assessments!$H$2:$H$600,MATCH($H273&amp;"|"&amp;$I273&amp;"|"&amp;$J273&amp;"|"&amp;12,Assessments!$A$2:$A$600,0)),"")</f>
        <v/>
      </c>
      <c r="CG273" s="28" t="str">
        <f aca="false">IFERROR(INDEX(Assessments!$H$2:$H$600,MATCH($H273&amp;"|"&amp;$I273&amp;"|"&amp;$J273&amp;"|"&amp;13,Assessments!$A$2:$A$600,0)),"")</f>
        <v/>
      </c>
      <c r="CH273" s="28" t="str">
        <f aca="false">IFERROR(INDEX(Assessments!$H$2:$H$600,MATCH($H273&amp;"|"&amp;$I273&amp;"|"&amp;$J273&amp;"|"&amp;14,Assessments!$A$2:$A$600,0)),"")</f>
        <v/>
      </c>
      <c r="CI273" s="28" t="str">
        <f aca="false">IFERROR(INDEX(Assessments!$I$2:$I$600,MATCH($H273&amp;"|"&amp;$I273&amp;"|"&amp;$J273&amp;"|"&amp;1,Assessments!$A$2:$A$600,0)),"")</f>
        <v>Econ Test</v>
      </c>
      <c r="CJ273" s="28" t="str">
        <f aca="false">IFERROR(INDEX(Assessments!$I$2:$I$600,MATCH($H273&amp;"|"&amp;$I273&amp;"|"&amp;$J273&amp;"|"&amp;2,Assessments!$A$2:$A$600,0)),"")</f>
        <v>Econ Test</v>
      </c>
      <c r="CK273" s="28" t="str">
        <f aca="false">IFERROR(INDEX(Assessments!$I$2:$I$600,MATCH($H273&amp;"|"&amp;$I273&amp;"|"&amp;$J273&amp;"|"&amp;3,Assessments!$A$2:$A$600,0)),"")</f>
        <v>Econ Test</v>
      </c>
      <c r="CL273" s="28" t="str">
        <f aca="false">IFERROR(INDEX(Assessments!$I$2:$I$600,MATCH($H273&amp;"|"&amp;$I273&amp;"|"&amp;$J273&amp;"|"&amp;4,Assessments!$A$2:$A$600,0)),"")</f>
        <v>Econ Test</v>
      </c>
      <c r="CM273" s="28" t="str">
        <f aca="false">IFERROR(INDEX(Assessments!$I$2:$I$600,MATCH($H273&amp;"|"&amp;$I273&amp;"|"&amp;$J273&amp;"|"&amp;5,Assessments!$A$2:$A$600,0)),"")</f>
        <v>Econ Exam</v>
      </c>
      <c r="CN273" s="28" t="str">
        <f aca="false">IFERROR(INDEX(Assessments!$I$2:$I$600,MATCH($H273&amp;"|"&amp;$I273&amp;"|"&amp;$J273&amp;"|"&amp;6,Assessments!$A$2:$A$600,0)),"")</f>
        <v>Econ Test</v>
      </c>
      <c r="CO273" s="28" t="str">
        <f aca="false">IFERROR(INDEX(Assessments!$I$2:$I$600,MATCH($H273&amp;"|"&amp;$I273&amp;"|"&amp;$J273&amp;"|"&amp;7,Assessments!$A$2:$A$600,0)),"")</f>
        <v>Econ Exam</v>
      </c>
      <c r="CP273" s="28" t="str">
        <f aca="false">IFERROR(INDEX(Assessments!$I$2:$I$600,MATCH($H273&amp;"|"&amp;$I273&amp;"|"&amp;$J273&amp;"|"&amp;8,Assessments!$A$2:$A$600,0)),"")</f>
        <v/>
      </c>
      <c r="CQ273" s="28" t="str">
        <f aca="false">IFERROR(INDEX(Assessments!$I$2:$I$600,MATCH($H273&amp;"|"&amp;$I273&amp;"|"&amp;$J273&amp;"|"&amp;9,Assessments!$A$2:$A$600,0)),"")</f>
        <v/>
      </c>
      <c r="CR273" s="28" t="str">
        <f aca="false">IFERROR(INDEX(Assessments!$I$2:$I$600,MATCH($H273&amp;"|"&amp;$I273&amp;"|"&amp;$J273&amp;"|"&amp;10,Assessments!$A$2:$A$600,0)),"")</f>
        <v/>
      </c>
      <c r="CS273" s="28" t="str">
        <f aca="false">IFERROR(INDEX(Assessments!$I$2:$I$600,MATCH($H273&amp;"|"&amp;$I273&amp;"|"&amp;$J273&amp;"|"&amp;11,Assessments!$A$2:$A$600,0)),"")</f>
        <v/>
      </c>
      <c r="CT273" s="28" t="str">
        <f aca="false">IFERROR(INDEX(Assessments!$I$2:$I$600,MATCH($H273&amp;"|"&amp;$I273&amp;"|"&amp;$J273&amp;"|"&amp;12,Assessments!$A$2:$A$600,0)),"")</f>
        <v/>
      </c>
      <c r="CU273" s="28" t="str">
        <f aca="false">IFERROR(INDEX(Assessments!$I$2:$I$600,MATCH($H273&amp;"|"&amp;$I273&amp;"|"&amp;$J273&amp;"|"&amp;13,Assessments!$A$2:$A$600,0)),"")</f>
        <v/>
      </c>
      <c r="CV273" s="28" t="str">
        <f aca="false">IFERROR(INDEX(Assessments!$I$2:$I$600,MATCH($H273&amp;"|"&amp;$I273&amp;"|"&amp;$J273&amp;"|"&amp;14,Assessments!$A$2:$A$600,0)),"")</f>
        <v/>
      </c>
      <c r="CW273" s="28" t="n">
        <f aca="false">IFERROR(INDEX(Assessments!$J$2:$J$600,MATCH($H273&amp;"|"&amp;$I273&amp;"|"&amp;$J273&amp;"|"&amp;1,Assessments!$A$2:$A$600,0)),0)</f>
        <v>1</v>
      </c>
      <c r="CX273" s="28" t="n">
        <f aca="false">IFERROR(INDEX(Assessments!$J$2:$J$600,MATCH($H273&amp;"|"&amp;$I273&amp;"|"&amp;$J273&amp;"|"&amp;2,Assessments!$A$2:$A$600,0)),0)</f>
        <v>1</v>
      </c>
      <c r="CY273" s="28" t="n">
        <f aca="false">IFERROR(INDEX(Assessments!$J$2:$J$600,MATCH($H273&amp;"|"&amp;$I273&amp;"|"&amp;$J273&amp;"|"&amp;3,Assessments!$A$2:$A$600,0)),0)</f>
        <v>1</v>
      </c>
      <c r="CZ273" s="28" t="n">
        <f aca="false">IFERROR(INDEX(Assessments!$J$2:$J$600,MATCH($H273&amp;"|"&amp;$I273&amp;"|"&amp;$J273&amp;"|"&amp;4,Assessments!$A$2:$A$600,0)),0)</f>
        <v>1</v>
      </c>
      <c r="DA273" s="28" t="n">
        <f aca="false">IFERROR(INDEX(Assessments!$J$2:$J$600,MATCH($H273&amp;"|"&amp;$I273&amp;"|"&amp;$J273&amp;"|"&amp;5,Assessments!$A$2:$A$600,0)),0)</f>
        <v>2</v>
      </c>
      <c r="DB273" s="28" t="n">
        <f aca="false">IFERROR(INDEX(Assessments!$J$2:$J$600,MATCH($H273&amp;"|"&amp;$I273&amp;"|"&amp;$J273&amp;"|"&amp;6,Assessments!$A$2:$A$600,0)),0)</f>
        <v>1</v>
      </c>
      <c r="DC273" s="28" t="n">
        <f aca="false">IFERROR(INDEX(Assessments!$J$2:$J$600,MATCH($H273&amp;"|"&amp;$I273&amp;"|"&amp;$J273&amp;"|"&amp;7,Assessments!$A$2:$A$600,0)),0)</f>
        <v>2</v>
      </c>
      <c r="DD273" s="28" t="n">
        <f aca="false">IFERROR(INDEX(Assessments!$J$2:$J$600,MATCH($H273&amp;"|"&amp;$I273&amp;"|"&amp;$J273&amp;"|"&amp;8,Assessments!$A$2:$A$600,0)),0)</f>
        <v>0</v>
      </c>
      <c r="DE273" s="28" t="n">
        <f aca="false">IFERROR(INDEX(Assessments!$J$2:$J$600,MATCH($H273&amp;"|"&amp;$I273&amp;"|"&amp;$J273&amp;"|"&amp;9,Assessments!$A$2:$A$600,0)),0)</f>
        <v>0</v>
      </c>
      <c r="DF273" s="28" t="n">
        <f aca="false">IFERROR(INDEX(Assessments!$J$2:$J$600,MATCH($H273&amp;"|"&amp;$I273&amp;"|"&amp;$J273&amp;"|"&amp;10,Assessments!$A$2:$A$600,0)),0)</f>
        <v>0</v>
      </c>
      <c r="DG273" s="28" t="n">
        <f aca="false">IFERROR(INDEX(Assessments!$J$2:$J$600,MATCH($H273&amp;"|"&amp;$I273&amp;"|"&amp;$J273&amp;"|"&amp;11,Assessments!$A$2:$A$600,0)),0)</f>
        <v>0</v>
      </c>
      <c r="DH273" s="28" t="n">
        <f aca="false">IFERROR(INDEX(Assessments!$J$2:$J$600,MATCH($H273&amp;"|"&amp;$I273&amp;"|"&amp;$J273&amp;"|"&amp;12,Assessments!$A$2:$A$600,0)),0)</f>
        <v>0</v>
      </c>
      <c r="DI273" s="28" t="n">
        <f aca="false">IFERROR(INDEX(Assessments!$J$2:$J$600,MATCH($H273&amp;"|"&amp;$I273&amp;"|"&amp;$J273&amp;"|"&amp;13,Assessments!$A$2:$A$600,0)),0)</f>
        <v>0</v>
      </c>
      <c r="DJ273" s="28" t="n">
        <f aca="false">IFERROR(INDEX(Assessments!$J$2:$J$600,MATCH($H273&amp;"|"&amp;$I273&amp;"|"&amp;$J273&amp;"|"&amp;14,Assessments!$A$2:$A$600,0)),0)</f>
        <v>0</v>
      </c>
      <c r="DK273" s="28" t="str">
        <f aca="false">S273</f>
        <v/>
      </c>
      <c r="DL273" s="28" t="str">
        <f aca="false">W273</f>
        <v/>
      </c>
      <c r="DM273" s="28" t="str">
        <f aca="false">AA273</f>
        <v/>
      </c>
      <c r="DN273" s="28" t="str">
        <f aca="false">AE273</f>
        <v/>
      </c>
      <c r="DO273" s="28" t="str">
        <f aca="false">AI273</f>
        <v/>
      </c>
      <c r="DP273" s="28" t="str">
        <f aca="false">AM273</f>
        <v/>
      </c>
      <c r="DQ273" s="28" t="str">
        <f aca="false">AQ273</f>
        <v/>
      </c>
      <c r="DR273" s="28" t="str">
        <f aca="false">AU273</f>
        <v/>
      </c>
      <c r="DS273" s="28" t="str">
        <f aca="false">AY273</f>
        <v/>
      </c>
      <c r="DT273" s="28" t="str">
        <f aca="false">BC273</f>
        <v/>
      </c>
      <c r="DU273" s="28" t="str">
        <f aca="false">BG273</f>
        <v/>
      </c>
      <c r="DV273" s="28" t="str">
        <f aca="false">BK273</f>
        <v/>
      </c>
      <c r="DW273" s="28" t="str">
        <f aca="false">BO273</f>
        <v/>
      </c>
      <c r="DX273" s="28" t="str">
        <f aca="false">BS273</f>
        <v/>
      </c>
      <c r="DY273" s="28" t="str">
        <f aca="false">IF(ISNUMBER(S273),1,"")</f>
        <v/>
      </c>
      <c r="DZ273" s="28" t="str">
        <f aca="false">IF(ISNUMBER(W273),2,"")</f>
        <v/>
      </c>
      <c r="EA273" s="28" t="str">
        <f aca="false">IF(ISNUMBER(AA273),3,"")</f>
        <v/>
      </c>
      <c r="EB273" s="28" t="str">
        <f aca="false">IF(ISNUMBER(AE273),4,"")</f>
        <v/>
      </c>
      <c r="EC273" s="28" t="str">
        <f aca="false">IF(ISNUMBER(AI273),5,"")</f>
        <v/>
      </c>
      <c r="ED273" s="28" t="str">
        <f aca="false">IF(ISNUMBER(AM273),6,"")</f>
        <v/>
      </c>
      <c r="EE273" s="28" t="str">
        <f aca="false">IF(ISNUMBER(AQ273),7,"")</f>
        <v/>
      </c>
      <c r="EF273" s="28" t="str">
        <f aca="false">IF(ISNUMBER(AU273),8,"")</f>
        <v/>
      </c>
      <c r="EG273" s="28" t="str">
        <f aca="false">IF(ISNUMBER(AY273),9,"")</f>
        <v/>
      </c>
      <c r="EH273" s="28" t="str">
        <f aca="false">IF(ISNUMBER(BC273),10,"")</f>
        <v/>
      </c>
      <c r="EI273" s="28" t="str">
        <f aca="false">IF(ISNUMBER(BG273),11,"")</f>
        <v/>
      </c>
      <c r="EJ273" s="28" t="str">
        <f aca="false">IF(ISNUMBER(BK273),12,"")</f>
        <v/>
      </c>
      <c r="EK273" s="28" t="str">
        <f aca="false">IF(ISNUMBER(BO273),13,"")</f>
        <v/>
      </c>
      <c r="EL273" s="28" t="str">
        <f aca="false">IF(ISNUMBER(BS273),14,"")</f>
        <v/>
      </c>
      <c r="EM273" s="28" t="n">
        <f aca="false">IF(ISNUMBER(R273),R273*CW273,0)</f>
        <v>0</v>
      </c>
      <c r="EN273" s="28" t="n">
        <f aca="false">IF(ISNUMBER(V273),V273*CX273,0)</f>
        <v>0</v>
      </c>
      <c r="EO273" s="28" t="n">
        <f aca="false">IF(ISNUMBER(Z273),Z273*CY273,0)</f>
        <v>0</v>
      </c>
      <c r="EP273" s="28" t="n">
        <f aca="false">IF(ISNUMBER(AD273),AD273*CZ273,0)</f>
        <v>0</v>
      </c>
      <c r="EQ273" s="28" t="n">
        <f aca="false">IF(ISNUMBER(AH273),AH273*DA273,0)</f>
        <v>0</v>
      </c>
      <c r="ER273" s="28" t="n">
        <f aca="false">IF(ISNUMBER(AL273),AL273*DB273,0)</f>
        <v>0</v>
      </c>
      <c r="ES273" s="28" t="n">
        <f aca="false">IF(ISNUMBER(AP273),AP273*DC273,0)</f>
        <v>0</v>
      </c>
      <c r="ET273" s="28" t="n">
        <f aca="false">IF(ISNUMBER(AT273),AT273*DD273,0)</f>
        <v>0</v>
      </c>
      <c r="EU273" s="28" t="n">
        <f aca="false">IF(ISNUMBER(AX273),AX273*DE273,0)</f>
        <v>0</v>
      </c>
      <c r="EV273" s="28" t="n">
        <f aca="false">IF(ISNUMBER(BB273),BB273*DF273,0)</f>
        <v>0</v>
      </c>
      <c r="EW273" s="28" t="n">
        <f aca="false">IF(ISNUMBER(BF273),BF273*DG273,0)</f>
        <v>0</v>
      </c>
      <c r="EX273" s="28" t="n">
        <f aca="false">IF(ISNUMBER(BJ273),BJ273*DH273,0)</f>
        <v>0</v>
      </c>
      <c r="EY273" s="28" t="n">
        <f aca="false">IF(ISNUMBER(BN273),BN273*DI273,0)</f>
        <v>0</v>
      </c>
      <c r="EZ273" s="28" t="n">
        <f aca="false">IF(ISNUMBER(BR273),BR273*DJ273,0)</f>
        <v>0</v>
      </c>
      <c r="FA273" s="28" t="n">
        <f aca="false">IF(ISNUMBER(R273),CW273,0)</f>
        <v>0</v>
      </c>
      <c r="FB273" s="28" t="n">
        <f aca="false">IF(ISNUMBER(V273),CX273,0)</f>
        <v>0</v>
      </c>
      <c r="FC273" s="28" t="n">
        <f aca="false">IF(ISNUMBER(Z273),CY273,0)</f>
        <v>0</v>
      </c>
      <c r="FD273" s="28" t="n">
        <f aca="false">IF(ISNUMBER(AD273),CZ273,0)</f>
        <v>0</v>
      </c>
      <c r="FE273" s="28" t="n">
        <f aca="false">IF(ISNUMBER(AH273),DA273,0)</f>
        <v>0</v>
      </c>
      <c r="FF273" s="28" t="n">
        <f aca="false">IF(ISNUMBER(AL273),DB273,0)</f>
        <v>0</v>
      </c>
      <c r="FG273" s="28" t="n">
        <f aca="false">IF(ISNUMBER(AP273),DC273,0)</f>
        <v>0</v>
      </c>
      <c r="FH273" s="28" t="n">
        <f aca="false">IF(ISNUMBER(AT273),DD273,0)</f>
        <v>0</v>
      </c>
      <c r="FI273" s="28" t="n">
        <f aca="false">IF(ISNUMBER(AX273),DE273,0)</f>
        <v>0</v>
      </c>
      <c r="FJ273" s="28" t="n">
        <f aca="false">IF(ISNUMBER(BB273),DF273,0)</f>
        <v>0</v>
      </c>
      <c r="FK273" s="28" t="n">
        <f aca="false">IF(ISNUMBER(BF273),DG273,0)</f>
        <v>0</v>
      </c>
      <c r="FL273" s="28" t="n">
        <f aca="false">IF(ISNUMBER(BJ273),DH273,0)</f>
        <v>0</v>
      </c>
      <c r="FM273" s="28" t="n">
        <f aca="false">IF(ISNUMBER(BN273),DI273,0)</f>
        <v>0</v>
      </c>
      <c r="FN273" s="28" t="n">
        <f aca="false">IF(ISNUMBER(BR273),DJ273,0)</f>
        <v>0</v>
      </c>
      <c r="FO273" s="28" t="str">
        <f aca="false">IFERROR(INDEX(Lists!$G$2:$G$20,MATCH($I273&amp;"|"&amp;$J273,Lists!$F$2:$F$20,0)),"")</f>
        <v>Econ Exam</v>
      </c>
    </row>
    <row r="274" customFormat="false" ht="19.5" hidden="false" customHeight="true" outlineLevel="0" collapsed="false">
      <c r="A274" s="29" t="s">
        <v>553</v>
      </c>
      <c r="B274" s="29" t="s">
        <v>554</v>
      </c>
      <c r="C274" s="30" t="s">
        <v>152</v>
      </c>
      <c r="D274" s="30" t="s">
        <v>228</v>
      </c>
      <c r="E274" s="31"/>
      <c r="F274" s="30"/>
      <c r="G274" s="30"/>
      <c r="H274" s="32" t="s">
        <v>428</v>
      </c>
      <c r="I274" s="33" t="s">
        <v>229</v>
      </c>
      <c r="J274" s="32" t="s">
        <v>223</v>
      </c>
      <c r="K274" s="34" t="str">
        <f aca="false">IF(OR(M274="",$E274=""),"",M274-$E274)</f>
        <v/>
      </c>
      <c r="L274" s="35" t="str">
        <f aca="false">IF(SUM(FA274:FN274)=0,"",SUM(EM274:EZ274)/SUM(FA274:FN274))</f>
        <v/>
      </c>
      <c r="M274" s="36" t="str">
        <f aca="false">IF(OR(L274="",FO274=""),"",IFERROR(MATCH(L274,INDEX(Boundaries!$B$2:$I$30,MATCH(FO274,Boundaries!$A$2:$A$30,0),0),1)-1,""))</f>
        <v/>
      </c>
      <c r="N274" s="37" t="str">
        <f aca="false">IF(COUNT($DY274:$EL274)&lt;2,"",INDEX($DK274:$DX274,MAX($DY274:$EL274))-INDEX($DK274:$DX274,MIN($DY274:$EL274)))</f>
        <v/>
      </c>
      <c r="O274" s="37" t="str">
        <f aca="false">IF(COUNT($DY274:$EL274)&lt;2,"",INDEX($DK274:$DX274,MAX($DY274:$EL274))-INDEX($DK274:$DX274,LARGE($DY274:$EL274,2)))</f>
        <v/>
      </c>
      <c r="P274" s="38" t="str">
        <f aca="false">IF(K274="","",IF(K274&gt;=0,"On/above target",IF(AND(N274&lt;&gt;"",N274&gt;=0.5),"Improving towards target",IF(AND(O274&lt;&gt;"",O274&lt;=-0.5),"Declining","Stable below target"))))</f>
        <v/>
      </c>
      <c r="Q274" s="39"/>
      <c r="R274" s="40" t="str">
        <f aca="false">IF(OR(Q274="",BU274=""),"",Q274/BU274*100)</f>
        <v/>
      </c>
      <c r="S274" s="41" t="str">
        <f aca="false">IF(R274="","",IFERROR(MATCH(R274,INDEX(Boundaries!$B$2:$I$30,MATCH(CI274,Boundaries!$A$2:$A$30,0),0),1)-1,""))</f>
        <v/>
      </c>
      <c r="T274" s="42" t="str">
        <f aca="false">IF(OR(S274="",$E274=""),"",S274-$E274)</f>
        <v/>
      </c>
      <c r="U274" s="39"/>
      <c r="V274" s="40" t="str">
        <f aca="false">IF(OR(U274="",BV274=""),"",U274/BV274*100)</f>
        <v/>
      </c>
      <c r="W274" s="41" t="str">
        <f aca="false">IF(V274="","",IFERROR(MATCH(V274,INDEX(Boundaries!$B$2:$I$30,MATCH(CJ274,Boundaries!$A$2:$A$30,0),0),1)-1,""))</f>
        <v/>
      </c>
      <c r="X274" s="42" t="str">
        <f aca="false">IF(OR(W274="",$E274=""),"",W274-$E274)</f>
        <v/>
      </c>
      <c r="Y274" s="39"/>
      <c r="Z274" s="40" t="str">
        <f aca="false">IF(OR(Y274="",BW274=""),"",Y274/BW274*100)</f>
        <v/>
      </c>
      <c r="AA274" s="41" t="str">
        <f aca="false">IF(Z274="","",IFERROR(MATCH(Z274,INDEX(Boundaries!$B$2:$I$30,MATCH(CK274,Boundaries!$A$2:$A$30,0),0),1)-1,""))</f>
        <v/>
      </c>
      <c r="AB274" s="42" t="str">
        <f aca="false">IF(OR(AA274="",$E274=""),"",AA274-$E274)</f>
        <v/>
      </c>
      <c r="AC274" s="39"/>
      <c r="AD274" s="40" t="str">
        <f aca="false">IF(OR(AC274="",BX274=""),"",AC274/BX274*100)</f>
        <v/>
      </c>
      <c r="AE274" s="41" t="str">
        <f aca="false">IF(AD274="","",IFERROR(MATCH(AD274,INDEX(Boundaries!$B$2:$I$30,MATCH(CL274,Boundaries!$A$2:$A$30,0),0),1)-1,""))</f>
        <v/>
      </c>
      <c r="AF274" s="42" t="str">
        <f aca="false">IF(OR(AE274="",$E274=""),"",AE274-$E274)</f>
        <v/>
      </c>
      <c r="AG274" s="39"/>
      <c r="AH274" s="40" t="str">
        <f aca="false">IF(OR(AG274="",BY274=""),"",AG274/BY274*100)</f>
        <v/>
      </c>
      <c r="AI274" s="41" t="str">
        <f aca="false">IF(AH274="","",IFERROR(MATCH(AH274,INDEX(Boundaries!$B$2:$I$30,MATCH(CM274,Boundaries!$A$2:$A$30,0),0),1)-1,""))</f>
        <v/>
      </c>
      <c r="AJ274" s="42" t="str">
        <f aca="false">IF(OR(AI274="",$E274=""),"",AI274-$E274)</f>
        <v/>
      </c>
      <c r="AK274" s="39"/>
      <c r="AL274" s="40" t="str">
        <f aca="false">IF(OR(AK274="",BZ274=""),"",AK274/BZ274*100)</f>
        <v/>
      </c>
      <c r="AM274" s="41" t="str">
        <f aca="false">IF(AL274="","",IFERROR(MATCH(AL274,INDEX(Boundaries!$B$2:$I$30,MATCH(CN274,Boundaries!$A$2:$A$30,0),0),1)-1,""))</f>
        <v/>
      </c>
      <c r="AN274" s="42" t="str">
        <f aca="false">IF(OR(AM274="",$E274=""),"",AM274-$E274)</f>
        <v/>
      </c>
      <c r="AO274" s="39"/>
      <c r="AP274" s="40" t="str">
        <f aca="false">IF(OR(AO274="",CA274=""),"",AO274/CA274*100)</f>
        <v/>
      </c>
      <c r="AQ274" s="41" t="str">
        <f aca="false">IF(AP274="","",IFERROR(MATCH(AP274,INDEX(Boundaries!$B$2:$I$30,MATCH(CO274,Boundaries!$A$2:$A$30,0),0),1)-1,""))</f>
        <v/>
      </c>
      <c r="AR274" s="42" t="str">
        <f aca="false">IF(OR(AQ274="",$E274=""),"",AQ274-$E274)</f>
        <v/>
      </c>
      <c r="AS274" s="39"/>
      <c r="AT274" s="40" t="str">
        <f aca="false">IF(OR(AS274="",CB274=""),"",AS274/CB274*100)</f>
        <v/>
      </c>
      <c r="AU274" s="41" t="str">
        <f aca="false">IF(AT274="","",IFERROR(MATCH(AT274,INDEX(Boundaries!$B$2:$I$30,MATCH(CP274,Boundaries!$A$2:$A$30,0),0),1)-1,""))</f>
        <v/>
      </c>
      <c r="AV274" s="42" t="str">
        <f aca="false">IF(OR(AU274="",$E274=""),"",AU274-$E274)</f>
        <v/>
      </c>
      <c r="AW274" s="39"/>
      <c r="AX274" s="40" t="str">
        <f aca="false">IF(OR(AW274="",CC274=""),"",AW274/CC274*100)</f>
        <v/>
      </c>
      <c r="AY274" s="41" t="str">
        <f aca="false">IF(AX274="","",IFERROR(MATCH(AX274,INDEX(Boundaries!$B$2:$I$30,MATCH(CQ274,Boundaries!$A$2:$A$30,0),0),1)-1,""))</f>
        <v/>
      </c>
      <c r="AZ274" s="42" t="str">
        <f aca="false">IF(OR(AY274="",$E274=""),"",AY274-$E274)</f>
        <v/>
      </c>
      <c r="BA274" s="39"/>
      <c r="BB274" s="40" t="str">
        <f aca="false">IF(OR(BA274="",CD274=""),"",BA274/CD274*100)</f>
        <v/>
      </c>
      <c r="BC274" s="41" t="str">
        <f aca="false">IF(BB274="","",IFERROR(MATCH(BB274,INDEX(Boundaries!$B$2:$I$30,MATCH(CR274,Boundaries!$A$2:$A$30,0),0),1)-1,""))</f>
        <v/>
      </c>
      <c r="BD274" s="42" t="str">
        <f aca="false">IF(OR(BC274="",$E274=""),"",BC274-$E274)</f>
        <v/>
      </c>
      <c r="BE274" s="39"/>
      <c r="BF274" s="40" t="str">
        <f aca="false">IF(OR(BE274="",CE274=""),"",BE274/CE274*100)</f>
        <v/>
      </c>
      <c r="BG274" s="41" t="str">
        <f aca="false">IF(BF274="","",IFERROR(MATCH(BF274,INDEX(Boundaries!$B$2:$I$30,MATCH(CS274,Boundaries!$A$2:$A$30,0),0),1)-1,""))</f>
        <v/>
      </c>
      <c r="BH274" s="42" t="str">
        <f aca="false">IF(OR(BG274="",$E274=""),"",BG274-$E274)</f>
        <v/>
      </c>
      <c r="BI274" s="39"/>
      <c r="BJ274" s="40" t="str">
        <f aca="false">IF(OR(BI274="",CF274=""),"",BI274/CF274*100)</f>
        <v/>
      </c>
      <c r="BK274" s="41" t="str">
        <f aca="false">IF(BJ274="","",IFERROR(MATCH(BJ274,INDEX(Boundaries!$B$2:$I$30,MATCH(CT274,Boundaries!$A$2:$A$30,0),0),1)-1,""))</f>
        <v/>
      </c>
      <c r="BL274" s="42" t="str">
        <f aca="false">IF(OR(BK274="",$E274=""),"",BK274-$E274)</f>
        <v/>
      </c>
      <c r="BM274" s="39"/>
      <c r="BN274" s="40" t="str">
        <f aca="false">IF(OR(BM274="",CG274=""),"",BM274/CG274*100)</f>
        <v/>
      </c>
      <c r="BO274" s="41" t="str">
        <f aca="false">IF(BN274="","",IFERROR(MATCH(BN274,INDEX(Boundaries!$B$2:$I$30,MATCH(CU274,Boundaries!$A$2:$A$30,0),0),1)-1,""))</f>
        <v/>
      </c>
      <c r="BP274" s="42" t="str">
        <f aca="false">IF(OR(BO274="",$E274=""),"",BO274-$E274)</f>
        <v/>
      </c>
      <c r="BQ274" s="39"/>
      <c r="BR274" s="40" t="str">
        <f aca="false">IF(OR(BQ274="",CH274=""),"",BQ274/CH274*100)</f>
        <v/>
      </c>
      <c r="BS274" s="41" t="str">
        <f aca="false">IF(BR274="","",IFERROR(MATCH(BR274,INDEX(Boundaries!$B$2:$I$30,MATCH(CV274,Boundaries!$A$2:$A$30,0),0),1)-1,""))</f>
        <v/>
      </c>
      <c r="BT274" s="42" t="str">
        <f aca="false">IF(OR(BS274="",$E274=""),"",BS274-$E274)</f>
        <v/>
      </c>
      <c r="BU274" s="28" t="n">
        <f aca="false">IFERROR(INDEX(Assessments!$H$2:$H$600,MATCH($H274&amp;"|"&amp;$I274&amp;"|"&amp;$J274&amp;"|"&amp;1,Assessments!$A$2:$A$600,0)),"")</f>
        <v>25</v>
      </c>
      <c r="BV274" s="28" t="n">
        <f aca="false">IFERROR(INDEX(Assessments!$H$2:$H$600,MATCH($H274&amp;"|"&amp;$I274&amp;"|"&amp;$J274&amp;"|"&amp;2,Assessments!$A$2:$A$600,0)),"")</f>
        <v>20</v>
      </c>
      <c r="BW274" s="28" t="n">
        <f aca="false">IFERROR(INDEX(Assessments!$H$2:$H$600,MATCH($H274&amp;"|"&amp;$I274&amp;"|"&amp;$J274&amp;"|"&amp;3,Assessments!$A$2:$A$600,0)),"")</f>
        <v>25</v>
      </c>
      <c r="BX274" s="28" t="n">
        <f aca="false">IFERROR(INDEX(Assessments!$H$2:$H$600,MATCH($H274&amp;"|"&amp;$I274&amp;"|"&amp;$J274&amp;"|"&amp;4,Assessments!$A$2:$A$600,0)),"")</f>
        <v>23</v>
      </c>
      <c r="BY274" s="28" t="n">
        <f aca="false">IFERROR(INDEX(Assessments!$H$2:$H$600,MATCH($H274&amp;"|"&amp;$I274&amp;"|"&amp;$J274&amp;"|"&amp;5,Assessments!$A$2:$A$600,0)),"")</f>
        <v>25</v>
      </c>
      <c r="BZ274" s="28" t="n">
        <f aca="false">IFERROR(INDEX(Assessments!$H$2:$H$600,MATCH($H274&amp;"|"&amp;$I274&amp;"|"&amp;$J274&amp;"|"&amp;6,Assessments!$A$2:$A$600,0)),"")</f>
        <v>23</v>
      </c>
      <c r="CA274" s="28" t="n">
        <f aca="false">IFERROR(INDEX(Assessments!$H$2:$H$600,MATCH($H274&amp;"|"&amp;$I274&amp;"|"&amp;$J274&amp;"|"&amp;7,Assessments!$A$2:$A$600,0)),"")</f>
        <v>52</v>
      </c>
      <c r="CB274" s="28" t="str">
        <f aca="false">IFERROR(INDEX(Assessments!$H$2:$H$600,MATCH($H274&amp;"|"&amp;$I274&amp;"|"&amp;$J274&amp;"|"&amp;8,Assessments!$A$2:$A$600,0)),"")</f>
        <v/>
      </c>
      <c r="CC274" s="28" t="str">
        <f aca="false">IFERROR(INDEX(Assessments!$H$2:$H$600,MATCH($H274&amp;"|"&amp;$I274&amp;"|"&amp;$J274&amp;"|"&amp;9,Assessments!$A$2:$A$600,0)),"")</f>
        <v/>
      </c>
      <c r="CD274" s="28" t="str">
        <f aca="false">IFERROR(INDEX(Assessments!$H$2:$H$600,MATCH($H274&amp;"|"&amp;$I274&amp;"|"&amp;$J274&amp;"|"&amp;10,Assessments!$A$2:$A$600,0)),"")</f>
        <v/>
      </c>
      <c r="CE274" s="28" t="str">
        <f aca="false">IFERROR(INDEX(Assessments!$H$2:$H$600,MATCH($H274&amp;"|"&amp;$I274&amp;"|"&amp;$J274&amp;"|"&amp;11,Assessments!$A$2:$A$600,0)),"")</f>
        <v/>
      </c>
      <c r="CF274" s="28" t="str">
        <f aca="false">IFERROR(INDEX(Assessments!$H$2:$H$600,MATCH($H274&amp;"|"&amp;$I274&amp;"|"&amp;$J274&amp;"|"&amp;12,Assessments!$A$2:$A$600,0)),"")</f>
        <v/>
      </c>
      <c r="CG274" s="28" t="str">
        <f aca="false">IFERROR(INDEX(Assessments!$H$2:$H$600,MATCH($H274&amp;"|"&amp;$I274&amp;"|"&amp;$J274&amp;"|"&amp;13,Assessments!$A$2:$A$600,0)),"")</f>
        <v/>
      </c>
      <c r="CH274" s="28" t="str">
        <f aca="false">IFERROR(INDEX(Assessments!$H$2:$H$600,MATCH($H274&amp;"|"&amp;$I274&amp;"|"&amp;$J274&amp;"|"&amp;14,Assessments!$A$2:$A$600,0)),"")</f>
        <v/>
      </c>
      <c r="CI274" s="28" t="str">
        <f aca="false">IFERROR(INDEX(Assessments!$I$2:$I$600,MATCH($H274&amp;"|"&amp;$I274&amp;"|"&amp;$J274&amp;"|"&amp;1,Assessments!$A$2:$A$600,0)),"")</f>
        <v>Econ Test</v>
      </c>
      <c r="CJ274" s="28" t="str">
        <f aca="false">IFERROR(INDEX(Assessments!$I$2:$I$600,MATCH($H274&amp;"|"&amp;$I274&amp;"|"&amp;$J274&amp;"|"&amp;2,Assessments!$A$2:$A$600,0)),"")</f>
        <v>Econ Test</v>
      </c>
      <c r="CK274" s="28" t="str">
        <f aca="false">IFERROR(INDEX(Assessments!$I$2:$I$600,MATCH($H274&amp;"|"&amp;$I274&amp;"|"&amp;$J274&amp;"|"&amp;3,Assessments!$A$2:$A$600,0)),"")</f>
        <v>Econ Test</v>
      </c>
      <c r="CL274" s="28" t="str">
        <f aca="false">IFERROR(INDEX(Assessments!$I$2:$I$600,MATCH($H274&amp;"|"&amp;$I274&amp;"|"&amp;$J274&amp;"|"&amp;4,Assessments!$A$2:$A$600,0)),"")</f>
        <v>Econ Test</v>
      </c>
      <c r="CM274" s="28" t="str">
        <f aca="false">IFERROR(INDEX(Assessments!$I$2:$I$600,MATCH($H274&amp;"|"&amp;$I274&amp;"|"&amp;$J274&amp;"|"&amp;5,Assessments!$A$2:$A$600,0)),"")</f>
        <v>Econ Exam</v>
      </c>
      <c r="CN274" s="28" t="str">
        <f aca="false">IFERROR(INDEX(Assessments!$I$2:$I$600,MATCH($H274&amp;"|"&amp;$I274&amp;"|"&amp;$J274&amp;"|"&amp;6,Assessments!$A$2:$A$600,0)),"")</f>
        <v>Econ Test</v>
      </c>
      <c r="CO274" s="28" t="str">
        <f aca="false">IFERROR(INDEX(Assessments!$I$2:$I$600,MATCH($H274&amp;"|"&amp;$I274&amp;"|"&amp;$J274&amp;"|"&amp;7,Assessments!$A$2:$A$600,0)),"")</f>
        <v>Econ Exam</v>
      </c>
      <c r="CP274" s="28" t="str">
        <f aca="false">IFERROR(INDEX(Assessments!$I$2:$I$600,MATCH($H274&amp;"|"&amp;$I274&amp;"|"&amp;$J274&amp;"|"&amp;8,Assessments!$A$2:$A$600,0)),"")</f>
        <v/>
      </c>
      <c r="CQ274" s="28" t="str">
        <f aca="false">IFERROR(INDEX(Assessments!$I$2:$I$600,MATCH($H274&amp;"|"&amp;$I274&amp;"|"&amp;$J274&amp;"|"&amp;9,Assessments!$A$2:$A$600,0)),"")</f>
        <v/>
      </c>
      <c r="CR274" s="28" t="str">
        <f aca="false">IFERROR(INDEX(Assessments!$I$2:$I$600,MATCH($H274&amp;"|"&amp;$I274&amp;"|"&amp;$J274&amp;"|"&amp;10,Assessments!$A$2:$A$600,0)),"")</f>
        <v/>
      </c>
      <c r="CS274" s="28" t="str">
        <f aca="false">IFERROR(INDEX(Assessments!$I$2:$I$600,MATCH($H274&amp;"|"&amp;$I274&amp;"|"&amp;$J274&amp;"|"&amp;11,Assessments!$A$2:$A$600,0)),"")</f>
        <v/>
      </c>
      <c r="CT274" s="28" t="str">
        <f aca="false">IFERROR(INDEX(Assessments!$I$2:$I$600,MATCH($H274&amp;"|"&amp;$I274&amp;"|"&amp;$J274&amp;"|"&amp;12,Assessments!$A$2:$A$600,0)),"")</f>
        <v/>
      </c>
      <c r="CU274" s="28" t="str">
        <f aca="false">IFERROR(INDEX(Assessments!$I$2:$I$600,MATCH($H274&amp;"|"&amp;$I274&amp;"|"&amp;$J274&amp;"|"&amp;13,Assessments!$A$2:$A$600,0)),"")</f>
        <v/>
      </c>
      <c r="CV274" s="28" t="str">
        <f aca="false">IFERROR(INDEX(Assessments!$I$2:$I$600,MATCH($H274&amp;"|"&amp;$I274&amp;"|"&amp;$J274&amp;"|"&amp;14,Assessments!$A$2:$A$600,0)),"")</f>
        <v/>
      </c>
      <c r="CW274" s="28" t="n">
        <f aca="false">IFERROR(INDEX(Assessments!$J$2:$J$600,MATCH($H274&amp;"|"&amp;$I274&amp;"|"&amp;$J274&amp;"|"&amp;1,Assessments!$A$2:$A$600,0)),0)</f>
        <v>1</v>
      </c>
      <c r="CX274" s="28" t="n">
        <f aca="false">IFERROR(INDEX(Assessments!$J$2:$J$600,MATCH($H274&amp;"|"&amp;$I274&amp;"|"&amp;$J274&amp;"|"&amp;2,Assessments!$A$2:$A$600,0)),0)</f>
        <v>1</v>
      </c>
      <c r="CY274" s="28" t="n">
        <f aca="false">IFERROR(INDEX(Assessments!$J$2:$J$600,MATCH($H274&amp;"|"&amp;$I274&amp;"|"&amp;$J274&amp;"|"&amp;3,Assessments!$A$2:$A$600,0)),0)</f>
        <v>1</v>
      </c>
      <c r="CZ274" s="28" t="n">
        <f aca="false">IFERROR(INDEX(Assessments!$J$2:$J$600,MATCH($H274&amp;"|"&amp;$I274&amp;"|"&amp;$J274&amp;"|"&amp;4,Assessments!$A$2:$A$600,0)),0)</f>
        <v>1</v>
      </c>
      <c r="DA274" s="28" t="n">
        <f aca="false">IFERROR(INDEX(Assessments!$J$2:$J$600,MATCH($H274&amp;"|"&amp;$I274&amp;"|"&amp;$J274&amp;"|"&amp;5,Assessments!$A$2:$A$600,0)),0)</f>
        <v>2</v>
      </c>
      <c r="DB274" s="28" t="n">
        <f aca="false">IFERROR(INDEX(Assessments!$J$2:$J$600,MATCH($H274&amp;"|"&amp;$I274&amp;"|"&amp;$J274&amp;"|"&amp;6,Assessments!$A$2:$A$600,0)),0)</f>
        <v>1</v>
      </c>
      <c r="DC274" s="28" t="n">
        <f aca="false">IFERROR(INDEX(Assessments!$J$2:$J$600,MATCH($H274&amp;"|"&amp;$I274&amp;"|"&amp;$J274&amp;"|"&amp;7,Assessments!$A$2:$A$600,0)),0)</f>
        <v>2</v>
      </c>
      <c r="DD274" s="28" t="n">
        <f aca="false">IFERROR(INDEX(Assessments!$J$2:$J$600,MATCH($H274&amp;"|"&amp;$I274&amp;"|"&amp;$J274&amp;"|"&amp;8,Assessments!$A$2:$A$600,0)),0)</f>
        <v>0</v>
      </c>
      <c r="DE274" s="28" t="n">
        <f aca="false">IFERROR(INDEX(Assessments!$J$2:$J$600,MATCH($H274&amp;"|"&amp;$I274&amp;"|"&amp;$J274&amp;"|"&amp;9,Assessments!$A$2:$A$600,0)),0)</f>
        <v>0</v>
      </c>
      <c r="DF274" s="28" t="n">
        <f aca="false">IFERROR(INDEX(Assessments!$J$2:$J$600,MATCH($H274&amp;"|"&amp;$I274&amp;"|"&amp;$J274&amp;"|"&amp;10,Assessments!$A$2:$A$600,0)),0)</f>
        <v>0</v>
      </c>
      <c r="DG274" s="28" t="n">
        <f aca="false">IFERROR(INDEX(Assessments!$J$2:$J$600,MATCH($H274&amp;"|"&amp;$I274&amp;"|"&amp;$J274&amp;"|"&amp;11,Assessments!$A$2:$A$600,0)),0)</f>
        <v>0</v>
      </c>
      <c r="DH274" s="28" t="n">
        <f aca="false">IFERROR(INDEX(Assessments!$J$2:$J$600,MATCH($H274&amp;"|"&amp;$I274&amp;"|"&amp;$J274&amp;"|"&amp;12,Assessments!$A$2:$A$600,0)),0)</f>
        <v>0</v>
      </c>
      <c r="DI274" s="28" t="n">
        <f aca="false">IFERROR(INDEX(Assessments!$J$2:$J$600,MATCH($H274&amp;"|"&amp;$I274&amp;"|"&amp;$J274&amp;"|"&amp;13,Assessments!$A$2:$A$600,0)),0)</f>
        <v>0</v>
      </c>
      <c r="DJ274" s="28" t="n">
        <f aca="false">IFERROR(INDEX(Assessments!$J$2:$J$600,MATCH($H274&amp;"|"&amp;$I274&amp;"|"&amp;$J274&amp;"|"&amp;14,Assessments!$A$2:$A$600,0)),0)</f>
        <v>0</v>
      </c>
      <c r="DK274" s="28" t="str">
        <f aca="false">S274</f>
        <v/>
      </c>
      <c r="DL274" s="28" t="str">
        <f aca="false">W274</f>
        <v/>
      </c>
      <c r="DM274" s="28" t="str">
        <f aca="false">AA274</f>
        <v/>
      </c>
      <c r="DN274" s="28" t="str">
        <f aca="false">AE274</f>
        <v/>
      </c>
      <c r="DO274" s="28" t="str">
        <f aca="false">AI274</f>
        <v/>
      </c>
      <c r="DP274" s="28" t="str">
        <f aca="false">AM274</f>
        <v/>
      </c>
      <c r="DQ274" s="28" t="str">
        <f aca="false">AQ274</f>
        <v/>
      </c>
      <c r="DR274" s="28" t="str">
        <f aca="false">AU274</f>
        <v/>
      </c>
      <c r="DS274" s="28" t="str">
        <f aca="false">AY274</f>
        <v/>
      </c>
      <c r="DT274" s="28" t="str">
        <f aca="false">BC274</f>
        <v/>
      </c>
      <c r="DU274" s="28" t="str">
        <f aca="false">BG274</f>
        <v/>
      </c>
      <c r="DV274" s="28" t="str">
        <f aca="false">BK274</f>
        <v/>
      </c>
      <c r="DW274" s="28" t="str">
        <f aca="false">BO274</f>
        <v/>
      </c>
      <c r="DX274" s="28" t="str">
        <f aca="false">BS274</f>
        <v/>
      </c>
      <c r="DY274" s="28" t="str">
        <f aca="false">IF(ISNUMBER(S274),1,"")</f>
        <v/>
      </c>
      <c r="DZ274" s="28" t="str">
        <f aca="false">IF(ISNUMBER(W274),2,"")</f>
        <v/>
      </c>
      <c r="EA274" s="28" t="str">
        <f aca="false">IF(ISNUMBER(AA274),3,"")</f>
        <v/>
      </c>
      <c r="EB274" s="28" t="str">
        <f aca="false">IF(ISNUMBER(AE274),4,"")</f>
        <v/>
      </c>
      <c r="EC274" s="28" t="str">
        <f aca="false">IF(ISNUMBER(AI274),5,"")</f>
        <v/>
      </c>
      <c r="ED274" s="28" t="str">
        <f aca="false">IF(ISNUMBER(AM274),6,"")</f>
        <v/>
      </c>
      <c r="EE274" s="28" t="str">
        <f aca="false">IF(ISNUMBER(AQ274),7,"")</f>
        <v/>
      </c>
      <c r="EF274" s="28" t="str">
        <f aca="false">IF(ISNUMBER(AU274),8,"")</f>
        <v/>
      </c>
      <c r="EG274" s="28" t="str">
        <f aca="false">IF(ISNUMBER(AY274),9,"")</f>
        <v/>
      </c>
      <c r="EH274" s="28" t="str">
        <f aca="false">IF(ISNUMBER(BC274),10,"")</f>
        <v/>
      </c>
      <c r="EI274" s="28" t="str">
        <f aca="false">IF(ISNUMBER(BG274),11,"")</f>
        <v/>
      </c>
      <c r="EJ274" s="28" t="str">
        <f aca="false">IF(ISNUMBER(BK274),12,"")</f>
        <v/>
      </c>
      <c r="EK274" s="28" t="str">
        <f aca="false">IF(ISNUMBER(BO274),13,"")</f>
        <v/>
      </c>
      <c r="EL274" s="28" t="str">
        <f aca="false">IF(ISNUMBER(BS274),14,"")</f>
        <v/>
      </c>
      <c r="EM274" s="28" t="n">
        <f aca="false">IF(ISNUMBER(R274),R274*CW274,0)</f>
        <v>0</v>
      </c>
      <c r="EN274" s="28" t="n">
        <f aca="false">IF(ISNUMBER(V274),V274*CX274,0)</f>
        <v>0</v>
      </c>
      <c r="EO274" s="28" t="n">
        <f aca="false">IF(ISNUMBER(Z274),Z274*CY274,0)</f>
        <v>0</v>
      </c>
      <c r="EP274" s="28" t="n">
        <f aca="false">IF(ISNUMBER(AD274),AD274*CZ274,0)</f>
        <v>0</v>
      </c>
      <c r="EQ274" s="28" t="n">
        <f aca="false">IF(ISNUMBER(AH274),AH274*DA274,0)</f>
        <v>0</v>
      </c>
      <c r="ER274" s="28" t="n">
        <f aca="false">IF(ISNUMBER(AL274),AL274*DB274,0)</f>
        <v>0</v>
      </c>
      <c r="ES274" s="28" t="n">
        <f aca="false">IF(ISNUMBER(AP274),AP274*DC274,0)</f>
        <v>0</v>
      </c>
      <c r="ET274" s="28" t="n">
        <f aca="false">IF(ISNUMBER(AT274),AT274*DD274,0)</f>
        <v>0</v>
      </c>
      <c r="EU274" s="28" t="n">
        <f aca="false">IF(ISNUMBER(AX274),AX274*DE274,0)</f>
        <v>0</v>
      </c>
      <c r="EV274" s="28" t="n">
        <f aca="false">IF(ISNUMBER(BB274),BB274*DF274,0)</f>
        <v>0</v>
      </c>
      <c r="EW274" s="28" t="n">
        <f aca="false">IF(ISNUMBER(BF274),BF274*DG274,0)</f>
        <v>0</v>
      </c>
      <c r="EX274" s="28" t="n">
        <f aca="false">IF(ISNUMBER(BJ274),BJ274*DH274,0)</f>
        <v>0</v>
      </c>
      <c r="EY274" s="28" t="n">
        <f aca="false">IF(ISNUMBER(BN274),BN274*DI274,0)</f>
        <v>0</v>
      </c>
      <c r="EZ274" s="28" t="n">
        <f aca="false">IF(ISNUMBER(BR274),BR274*DJ274,0)</f>
        <v>0</v>
      </c>
      <c r="FA274" s="28" t="n">
        <f aca="false">IF(ISNUMBER(R274),CW274,0)</f>
        <v>0</v>
      </c>
      <c r="FB274" s="28" t="n">
        <f aca="false">IF(ISNUMBER(V274),CX274,0)</f>
        <v>0</v>
      </c>
      <c r="FC274" s="28" t="n">
        <f aca="false">IF(ISNUMBER(Z274),CY274,0)</f>
        <v>0</v>
      </c>
      <c r="FD274" s="28" t="n">
        <f aca="false">IF(ISNUMBER(AD274),CZ274,0)</f>
        <v>0</v>
      </c>
      <c r="FE274" s="28" t="n">
        <f aca="false">IF(ISNUMBER(AH274),DA274,0)</f>
        <v>0</v>
      </c>
      <c r="FF274" s="28" t="n">
        <f aca="false">IF(ISNUMBER(AL274),DB274,0)</f>
        <v>0</v>
      </c>
      <c r="FG274" s="28" t="n">
        <f aca="false">IF(ISNUMBER(AP274),DC274,0)</f>
        <v>0</v>
      </c>
      <c r="FH274" s="28" t="n">
        <f aca="false">IF(ISNUMBER(AT274),DD274,0)</f>
        <v>0</v>
      </c>
      <c r="FI274" s="28" t="n">
        <f aca="false">IF(ISNUMBER(AX274),DE274,0)</f>
        <v>0</v>
      </c>
      <c r="FJ274" s="28" t="n">
        <f aca="false">IF(ISNUMBER(BB274),DF274,0)</f>
        <v>0</v>
      </c>
      <c r="FK274" s="28" t="n">
        <f aca="false">IF(ISNUMBER(BF274),DG274,0)</f>
        <v>0</v>
      </c>
      <c r="FL274" s="28" t="n">
        <f aca="false">IF(ISNUMBER(BJ274),DH274,0)</f>
        <v>0</v>
      </c>
      <c r="FM274" s="28" t="n">
        <f aca="false">IF(ISNUMBER(BN274),DI274,0)</f>
        <v>0</v>
      </c>
      <c r="FN274" s="28" t="n">
        <f aca="false">IF(ISNUMBER(BR274),DJ274,0)</f>
        <v>0</v>
      </c>
      <c r="FO274" s="28" t="str">
        <f aca="false">IFERROR(INDEX(Lists!$G$2:$G$20,MATCH($I274&amp;"|"&amp;$J274,Lists!$F$2:$F$20,0)),"")</f>
        <v>Econ Exam</v>
      </c>
    </row>
    <row r="275" customFormat="false" ht="19.5" hidden="false" customHeight="true" outlineLevel="0" collapsed="false">
      <c r="A275" s="29" t="s">
        <v>395</v>
      </c>
      <c r="B275" s="29" t="s">
        <v>555</v>
      </c>
      <c r="C275" s="30" t="s">
        <v>152</v>
      </c>
      <c r="D275" s="30" t="s">
        <v>228</v>
      </c>
      <c r="E275" s="31"/>
      <c r="F275" s="30"/>
      <c r="G275" s="30"/>
      <c r="H275" s="32" t="s">
        <v>428</v>
      </c>
      <c r="I275" s="33" t="s">
        <v>229</v>
      </c>
      <c r="J275" s="32" t="s">
        <v>223</v>
      </c>
      <c r="K275" s="34" t="str">
        <f aca="false">IF(OR(M275="",$E275=""),"",M275-$E275)</f>
        <v/>
      </c>
      <c r="L275" s="35" t="str">
        <f aca="false">IF(SUM(FA275:FN275)=0,"",SUM(EM275:EZ275)/SUM(FA275:FN275))</f>
        <v/>
      </c>
      <c r="M275" s="36" t="str">
        <f aca="false">IF(OR(L275="",FO275=""),"",IFERROR(MATCH(L275,INDEX(Boundaries!$B$2:$I$30,MATCH(FO275,Boundaries!$A$2:$A$30,0),0),1)-1,""))</f>
        <v/>
      </c>
      <c r="N275" s="37" t="str">
        <f aca="false">IF(COUNT($DY275:$EL275)&lt;2,"",INDEX($DK275:$DX275,MAX($DY275:$EL275))-INDEX($DK275:$DX275,MIN($DY275:$EL275)))</f>
        <v/>
      </c>
      <c r="O275" s="37" t="str">
        <f aca="false">IF(COUNT($DY275:$EL275)&lt;2,"",INDEX($DK275:$DX275,MAX($DY275:$EL275))-INDEX($DK275:$DX275,LARGE($DY275:$EL275,2)))</f>
        <v/>
      </c>
      <c r="P275" s="38" t="str">
        <f aca="false">IF(K275="","",IF(K275&gt;=0,"On/above target",IF(AND(N275&lt;&gt;"",N275&gt;=0.5),"Improving towards target",IF(AND(O275&lt;&gt;"",O275&lt;=-0.5),"Declining","Stable below target"))))</f>
        <v/>
      </c>
      <c r="Q275" s="39"/>
      <c r="R275" s="40" t="str">
        <f aca="false">IF(OR(Q275="",BU275=""),"",Q275/BU275*100)</f>
        <v/>
      </c>
      <c r="S275" s="41" t="str">
        <f aca="false">IF(R275="","",IFERROR(MATCH(R275,INDEX(Boundaries!$B$2:$I$30,MATCH(CI275,Boundaries!$A$2:$A$30,0),0),1)-1,""))</f>
        <v/>
      </c>
      <c r="T275" s="42" t="str">
        <f aca="false">IF(OR(S275="",$E275=""),"",S275-$E275)</f>
        <v/>
      </c>
      <c r="U275" s="39"/>
      <c r="V275" s="40" t="str">
        <f aca="false">IF(OR(U275="",BV275=""),"",U275/BV275*100)</f>
        <v/>
      </c>
      <c r="W275" s="41" t="str">
        <f aca="false">IF(V275="","",IFERROR(MATCH(V275,INDEX(Boundaries!$B$2:$I$30,MATCH(CJ275,Boundaries!$A$2:$A$30,0),0),1)-1,""))</f>
        <v/>
      </c>
      <c r="X275" s="42" t="str">
        <f aca="false">IF(OR(W275="",$E275=""),"",W275-$E275)</f>
        <v/>
      </c>
      <c r="Y275" s="39"/>
      <c r="Z275" s="40" t="str">
        <f aca="false">IF(OR(Y275="",BW275=""),"",Y275/BW275*100)</f>
        <v/>
      </c>
      <c r="AA275" s="41" t="str">
        <f aca="false">IF(Z275="","",IFERROR(MATCH(Z275,INDEX(Boundaries!$B$2:$I$30,MATCH(CK275,Boundaries!$A$2:$A$30,0),0),1)-1,""))</f>
        <v/>
      </c>
      <c r="AB275" s="42" t="str">
        <f aca="false">IF(OR(AA275="",$E275=""),"",AA275-$E275)</f>
        <v/>
      </c>
      <c r="AC275" s="39"/>
      <c r="AD275" s="40" t="str">
        <f aca="false">IF(OR(AC275="",BX275=""),"",AC275/BX275*100)</f>
        <v/>
      </c>
      <c r="AE275" s="41" t="str">
        <f aca="false">IF(AD275="","",IFERROR(MATCH(AD275,INDEX(Boundaries!$B$2:$I$30,MATCH(CL275,Boundaries!$A$2:$A$30,0),0),1)-1,""))</f>
        <v/>
      </c>
      <c r="AF275" s="42" t="str">
        <f aca="false">IF(OR(AE275="",$E275=""),"",AE275-$E275)</f>
        <v/>
      </c>
      <c r="AG275" s="39"/>
      <c r="AH275" s="40" t="str">
        <f aca="false">IF(OR(AG275="",BY275=""),"",AG275/BY275*100)</f>
        <v/>
      </c>
      <c r="AI275" s="41" t="str">
        <f aca="false">IF(AH275="","",IFERROR(MATCH(AH275,INDEX(Boundaries!$B$2:$I$30,MATCH(CM275,Boundaries!$A$2:$A$30,0),0),1)-1,""))</f>
        <v/>
      </c>
      <c r="AJ275" s="42" t="str">
        <f aca="false">IF(OR(AI275="",$E275=""),"",AI275-$E275)</f>
        <v/>
      </c>
      <c r="AK275" s="39"/>
      <c r="AL275" s="40" t="str">
        <f aca="false">IF(OR(AK275="",BZ275=""),"",AK275/BZ275*100)</f>
        <v/>
      </c>
      <c r="AM275" s="41" t="str">
        <f aca="false">IF(AL275="","",IFERROR(MATCH(AL275,INDEX(Boundaries!$B$2:$I$30,MATCH(CN275,Boundaries!$A$2:$A$30,0),0),1)-1,""))</f>
        <v/>
      </c>
      <c r="AN275" s="42" t="str">
        <f aca="false">IF(OR(AM275="",$E275=""),"",AM275-$E275)</f>
        <v/>
      </c>
      <c r="AO275" s="39"/>
      <c r="AP275" s="40" t="str">
        <f aca="false">IF(OR(AO275="",CA275=""),"",AO275/CA275*100)</f>
        <v/>
      </c>
      <c r="AQ275" s="41" t="str">
        <f aca="false">IF(AP275="","",IFERROR(MATCH(AP275,INDEX(Boundaries!$B$2:$I$30,MATCH(CO275,Boundaries!$A$2:$A$30,0),0),1)-1,""))</f>
        <v/>
      </c>
      <c r="AR275" s="42" t="str">
        <f aca="false">IF(OR(AQ275="",$E275=""),"",AQ275-$E275)</f>
        <v/>
      </c>
      <c r="AS275" s="39"/>
      <c r="AT275" s="40" t="str">
        <f aca="false">IF(OR(AS275="",CB275=""),"",AS275/CB275*100)</f>
        <v/>
      </c>
      <c r="AU275" s="41" t="str">
        <f aca="false">IF(AT275="","",IFERROR(MATCH(AT275,INDEX(Boundaries!$B$2:$I$30,MATCH(CP275,Boundaries!$A$2:$A$30,0),0),1)-1,""))</f>
        <v/>
      </c>
      <c r="AV275" s="42" t="str">
        <f aca="false">IF(OR(AU275="",$E275=""),"",AU275-$E275)</f>
        <v/>
      </c>
      <c r="AW275" s="39"/>
      <c r="AX275" s="40" t="str">
        <f aca="false">IF(OR(AW275="",CC275=""),"",AW275/CC275*100)</f>
        <v/>
      </c>
      <c r="AY275" s="41" t="str">
        <f aca="false">IF(AX275="","",IFERROR(MATCH(AX275,INDEX(Boundaries!$B$2:$I$30,MATCH(CQ275,Boundaries!$A$2:$A$30,0),0),1)-1,""))</f>
        <v/>
      </c>
      <c r="AZ275" s="42" t="str">
        <f aca="false">IF(OR(AY275="",$E275=""),"",AY275-$E275)</f>
        <v/>
      </c>
      <c r="BA275" s="39"/>
      <c r="BB275" s="40" t="str">
        <f aca="false">IF(OR(BA275="",CD275=""),"",BA275/CD275*100)</f>
        <v/>
      </c>
      <c r="BC275" s="41" t="str">
        <f aca="false">IF(BB275="","",IFERROR(MATCH(BB275,INDEX(Boundaries!$B$2:$I$30,MATCH(CR275,Boundaries!$A$2:$A$30,0),0),1)-1,""))</f>
        <v/>
      </c>
      <c r="BD275" s="42" t="str">
        <f aca="false">IF(OR(BC275="",$E275=""),"",BC275-$E275)</f>
        <v/>
      </c>
      <c r="BE275" s="39"/>
      <c r="BF275" s="40" t="str">
        <f aca="false">IF(OR(BE275="",CE275=""),"",BE275/CE275*100)</f>
        <v/>
      </c>
      <c r="BG275" s="41" t="str">
        <f aca="false">IF(BF275="","",IFERROR(MATCH(BF275,INDEX(Boundaries!$B$2:$I$30,MATCH(CS275,Boundaries!$A$2:$A$30,0),0),1)-1,""))</f>
        <v/>
      </c>
      <c r="BH275" s="42" t="str">
        <f aca="false">IF(OR(BG275="",$E275=""),"",BG275-$E275)</f>
        <v/>
      </c>
      <c r="BI275" s="39"/>
      <c r="BJ275" s="40" t="str">
        <f aca="false">IF(OR(BI275="",CF275=""),"",BI275/CF275*100)</f>
        <v/>
      </c>
      <c r="BK275" s="41" t="str">
        <f aca="false">IF(BJ275="","",IFERROR(MATCH(BJ275,INDEX(Boundaries!$B$2:$I$30,MATCH(CT275,Boundaries!$A$2:$A$30,0),0),1)-1,""))</f>
        <v/>
      </c>
      <c r="BL275" s="42" t="str">
        <f aca="false">IF(OR(BK275="",$E275=""),"",BK275-$E275)</f>
        <v/>
      </c>
      <c r="BM275" s="39"/>
      <c r="BN275" s="40" t="str">
        <f aca="false">IF(OR(BM275="",CG275=""),"",BM275/CG275*100)</f>
        <v/>
      </c>
      <c r="BO275" s="41" t="str">
        <f aca="false">IF(BN275="","",IFERROR(MATCH(BN275,INDEX(Boundaries!$B$2:$I$30,MATCH(CU275,Boundaries!$A$2:$A$30,0),0),1)-1,""))</f>
        <v/>
      </c>
      <c r="BP275" s="42" t="str">
        <f aca="false">IF(OR(BO275="",$E275=""),"",BO275-$E275)</f>
        <v/>
      </c>
      <c r="BQ275" s="39"/>
      <c r="BR275" s="40" t="str">
        <f aca="false">IF(OR(BQ275="",CH275=""),"",BQ275/CH275*100)</f>
        <v/>
      </c>
      <c r="BS275" s="41" t="str">
        <f aca="false">IF(BR275="","",IFERROR(MATCH(BR275,INDEX(Boundaries!$B$2:$I$30,MATCH(CV275,Boundaries!$A$2:$A$30,0),0),1)-1,""))</f>
        <v/>
      </c>
      <c r="BT275" s="42" t="str">
        <f aca="false">IF(OR(BS275="",$E275=""),"",BS275-$E275)</f>
        <v/>
      </c>
      <c r="BU275" s="28" t="n">
        <f aca="false">IFERROR(INDEX(Assessments!$H$2:$H$600,MATCH($H275&amp;"|"&amp;$I275&amp;"|"&amp;$J275&amp;"|"&amp;1,Assessments!$A$2:$A$600,0)),"")</f>
        <v>25</v>
      </c>
      <c r="BV275" s="28" t="n">
        <f aca="false">IFERROR(INDEX(Assessments!$H$2:$H$600,MATCH($H275&amp;"|"&amp;$I275&amp;"|"&amp;$J275&amp;"|"&amp;2,Assessments!$A$2:$A$600,0)),"")</f>
        <v>20</v>
      </c>
      <c r="BW275" s="28" t="n">
        <f aca="false">IFERROR(INDEX(Assessments!$H$2:$H$600,MATCH($H275&amp;"|"&amp;$I275&amp;"|"&amp;$J275&amp;"|"&amp;3,Assessments!$A$2:$A$600,0)),"")</f>
        <v>25</v>
      </c>
      <c r="BX275" s="28" t="n">
        <f aca="false">IFERROR(INDEX(Assessments!$H$2:$H$600,MATCH($H275&amp;"|"&amp;$I275&amp;"|"&amp;$J275&amp;"|"&amp;4,Assessments!$A$2:$A$600,0)),"")</f>
        <v>23</v>
      </c>
      <c r="BY275" s="28" t="n">
        <f aca="false">IFERROR(INDEX(Assessments!$H$2:$H$600,MATCH($H275&amp;"|"&amp;$I275&amp;"|"&amp;$J275&amp;"|"&amp;5,Assessments!$A$2:$A$600,0)),"")</f>
        <v>25</v>
      </c>
      <c r="BZ275" s="28" t="n">
        <f aca="false">IFERROR(INDEX(Assessments!$H$2:$H$600,MATCH($H275&amp;"|"&amp;$I275&amp;"|"&amp;$J275&amp;"|"&amp;6,Assessments!$A$2:$A$600,0)),"")</f>
        <v>23</v>
      </c>
      <c r="CA275" s="28" t="n">
        <f aca="false">IFERROR(INDEX(Assessments!$H$2:$H$600,MATCH($H275&amp;"|"&amp;$I275&amp;"|"&amp;$J275&amp;"|"&amp;7,Assessments!$A$2:$A$600,0)),"")</f>
        <v>52</v>
      </c>
      <c r="CB275" s="28" t="str">
        <f aca="false">IFERROR(INDEX(Assessments!$H$2:$H$600,MATCH($H275&amp;"|"&amp;$I275&amp;"|"&amp;$J275&amp;"|"&amp;8,Assessments!$A$2:$A$600,0)),"")</f>
        <v/>
      </c>
      <c r="CC275" s="28" t="str">
        <f aca="false">IFERROR(INDEX(Assessments!$H$2:$H$600,MATCH($H275&amp;"|"&amp;$I275&amp;"|"&amp;$J275&amp;"|"&amp;9,Assessments!$A$2:$A$600,0)),"")</f>
        <v/>
      </c>
      <c r="CD275" s="28" t="str">
        <f aca="false">IFERROR(INDEX(Assessments!$H$2:$H$600,MATCH($H275&amp;"|"&amp;$I275&amp;"|"&amp;$J275&amp;"|"&amp;10,Assessments!$A$2:$A$600,0)),"")</f>
        <v/>
      </c>
      <c r="CE275" s="28" t="str">
        <f aca="false">IFERROR(INDEX(Assessments!$H$2:$H$600,MATCH($H275&amp;"|"&amp;$I275&amp;"|"&amp;$J275&amp;"|"&amp;11,Assessments!$A$2:$A$600,0)),"")</f>
        <v/>
      </c>
      <c r="CF275" s="28" t="str">
        <f aca="false">IFERROR(INDEX(Assessments!$H$2:$H$600,MATCH($H275&amp;"|"&amp;$I275&amp;"|"&amp;$J275&amp;"|"&amp;12,Assessments!$A$2:$A$600,0)),"")</f>
        <v/>
      </c>
      <c r="CG275" s="28" t="str">
        <f aca="false">IFERROR(INDEX(Assessments!$H$2:$H$600,MATCH($H275&amp;"|"&amp;$I275&amp;"|"&amp;$J275&amp;"|"&amp;13,Assessments!$A$2:$A$600,0)),"")</f>
        <v/>
      </c>
      <c r="CH275" s="28" t="str">
        <f aca="false">IFERROR(INDEX(Assessments!$H$2:$H$600,MATCH($H275&amp;"|"&amp;$I275&amp;"|"&amp;$J275&amp;"|"&amp;14,Assessments!$A$2:$A$600,0)),"")</f>
        <v/>
      </c>
      <c r="CI275" s="28" t="str">
        <f aca="false">IFERROR(INDEX(Assessments!$I$2:$I$600,MATCH($H275&amp;"|"&amp;$I275&amp;"|"&amp;$J275&amp;"|"&amp;1,Assessments!$A$2:$A$600,0)),"")</f>
        <v>Econ Test</v>
      </c>
      <c r="CJ275" s="28" t="str">
        <f aca="false">IFERROR(INDEX(Assessments!$I$2:$I$600,MATCH($H275&amp;"|"&amp;$I275&amp;"|"&amp;$J275&amp;"|"&amp;2,Assessments!$A$2:$A$600,0)),"")</f>
        <v>Econ Test</v>
      </c>
      <c r="CK275" s="28" t="str">
        <f aca="false">IFERROR(INDEX(Assessments!$I$2:$I$600,MATCH($H275&amp;"|"&amp;$I275&amp;"|"&amp;$J275&amp;"|"&amp;3,Assessments!$A$2:$A$600,0)),"")</f>
        <v>Econ Test</v>
      </c>
      <c r="CL275" s="28" t="str">
        <f aca="false">IFERROR(INDEX(Assessments!$I$2:$I$600,MATCH($H275&amp;"|"&amp;$I275&amp;"|"&amp;$J275&amp;"|"&amp;4,Assessments!$A$2:$A$600,0)),"")</f>
        <v>Econ Test</v>
      </c>
      <c r="CM275" s="28" t="str">
        <f aca="false">IFERROR(INDEX(Assessments!$I$2:$I$600,MATCH($H275&amp;"|"&amp;$I275&amp;"|"&amp;$J275&amp;"|"&amp;5,Assessments!$A$2:$A$600,0)),"")</f>
        <v>Econ Exam</v>
      </c>
      <c r="CN275" s="28" t="str">
        <f aca="false">IFERROR(INDEX(Assessments!$I$2:$I$600,MATCH($H275&amp;"|"&amp;$I275&amp;"|"&amp;$J275&amp;"|"&amp;6,Assessments!$A$2:$A$600,0)),"")</f>
        <v>Econ Test</v>
      </c>
      <c r="CO275" s="28" t="str">
        <f aca="false">IFERROR(INDEX(Assessments!$I$2:$I$600,MATCH($H275&amp;"|"&amp;$I275&amp;"|"&amp;$J275&amp;"|"&amp;7,Assessments!$A$2:$A$600,0)),"")</f>
        <v>Econ Exam</v>
      </c>
      <c r="CP275" s="28" t="str">
        <f aca="false">IFERROR(INDEX(Assessments!$I$2:$I$600,MATCH($H275&amp;"|"&amp;$I275&amp;"|"&amp;$J275&amp;"|"&amp;8,Assessments!$A$2:$A$600,0)),"")</f>
        <v/>
      </c>
      <c r="CQ275" s="28" t="str">
        <f aca="false">IFERROR(INDEX(Assessments!$I$2:$I$600,MATCH($H275&amp;"|"&amp;$I275&amp;"|"&amp;$J275&amp;"|"&amp;9,Assessments!$A$2:$A$600,0)),"")</f>
        <v/>
      </c>
      <c r="CR275" s="28" t="str">
        <f aca="false">IFERROR(INDEX(Assessments!$I$2:$I$600,MATCH($H275&amp;"|"&amp;$I275&amp;"|"&amp;$J275&amp;"|"&amp;10,Assessments!$A$2:$A$600,0)),"")</f>
        <v/>
      </c>
      <c r="CS275" s="28" t="str">
        <f aca="false">IFERROR(INDEX(Assessments!$I$2:$I$600,MATCH($H275&amp;"|"&amp;$I275&amp;"|"&amp;$J275&amp;"|"&amp;11,Assessments!$A$2:$A$600,0)),"")</f>
        <v/>
      </c>
      <c r="CT275" s="28" t="str">
        <f aca="false">IFERROR(INDEX(Assessments!$I$2:$I$600,MATCH($H275&amp;"|"&amp;$I275&amp;"|"&amp;$J275&amp;"|"&amp;12,Assessments!$A$2:$A$600,0)),"")</f>
        <v/>
      </c>
      <c r="CU275" s="28" t="str">
        <f aca="false">IFERROR(INDEX(Assessments!$I$2:$I$600,MATCH($H275&amp;"|"&amp;$I275&amp;"|"&amp;$J275&amp;"|"&amp;13,Assessments!$A$2:$A$600,0)),"")</f>
        <v/>
      </c>
      <c r="CV275" s="28" t="str">
        <f aca="false">IFERROR(INDEX(Assessments!$I$2:$I$600,MATCH($H275&amp;"|"&amp;$I275&amp;"|"&amp;$J275&amp;"|"&amp;14,Assessments!$A$2:$A$600,0)),"")</f>
        <v/>
      </c>
      <c r="CW275" s="28" t="n">
        <f aca="false">IFERROR(INDEX(Assessments!$J$2:$J$600,MATCH($H275&amp;"|"&amp;$I275&amp;"|"&amp;$J275&amp;"|"&amp;1,Assessments!$A$2:$A$600,0)),0)</f>
        <v>1</v>
      </c>
      <c r="CX275" s="28" t="n">
        <f aca="false">IFERROR(INDEX(Assessments!$J$2:$J$600,MATCH($H275&amp;"|"&amp;$I275&amp;"|"&amp;$J275&amp;"|"&amp;2,Assessments!$A$2:$A$600,0)),0)</f>
        <v>1</v>
      </c>
      <c r="CY275" s="28" t="n">
        <f aca="false">IFERROR(INDEX(Assessments!$J$2:$J$600,MATCH($H275&amp;"|"&amp;$I275&amp;"|"&amp;$J275&amp;"|"&amp;3,Assessments!$A$2:$A$600,0)),0)</f>
        <v>1</v>
      </c>
      <c r="CZ275" s="28" t="n">
        <f aca="false">IFERROR(INDEX(Assessments!$J$2:$J$600,MATCH($H275&amp;"|"&amp;$I275&amp;"|"&amp;$J275&amp;"|"&amp;4,Assessments!$A$2:$A$600,0)),0)</f>
        <v>1</v>
      </c>
      <c r="DA275" s="28" t="n">
        <f aca="false">IFERROR(INDEX(Assessments!$J$2:$J$600,MATCH($H275&amp;"|"&amp;$I275&amp;"|"&amp;$J275&amp;"|"&amp;5,Assessments!$A$2:$A$600,0)),0)</f>
        <v>2</v>
      </c>
      <c r="DB275" s="28" t="n">
        <f aca="false">IFERROR(INDEX(Assessments!$J$2:$J$600,MATCH($H275&amp;"|"&amp;$I275&amp;"|"&amp;$J275&amp;"|"&amp;6,Assessments!$A$2:$A$600,0)),0)</f>
        <v>1</v>
      </c>
      <c r="DC275" s="28" t="n">
        <f aca="false">IFERROR(INDEX(Assessments!$J$2:$J$600,MATCH($H275&amp;"|"&amp;$I275&amp;"|"&amp;$J275&amp;"|"&amp;7,Assessments!$A$2:$A$600,0)),0)</f>
        <v>2</v>
      </c>
      <c r="DD275" s="28" t="n">
        <f aca="false">IFERROR(INDEX(Assessments!$J$2:$J$600,MATCH($H275&amp;"|"&amp;$I275&amp;"|"&amp;$J275&amp;"|"&amp;8,Assessments!$A$2:$A$600,0)),0)</f>
        <v>0</v>
      </c>
      <c r="DE275" s="28" t="n">
        <f aca="false">IFERROR(INDEX(Assessments!$J$2:$J$600,MATCH($H275&amp;"|"&amp;$I275&amp;"|"&amp;$J275&amp;"|"&amp;9,Assessments!$A$2:$A$600,0)),0)</f>
        <v>0</v>
      </c>
      <c r="DF275" s="28" t="n">
        <f aca="false">IFERROR(INDEX(Assessments!$J$2:$J$600,MATCH($H275&amp;"|"&amp;$I275&amp;"|"&amp;$J275&amp;"|"&amp;10,Assessments!$A$2:$A$600,0)),0)</f>
        <v>0</v>
      </c>
      <c r="DG275" s="28" t="n">
        <f aca="false">IFERROR(INDEX(Assessments!$J$2:$J$600,MATCH($H275&amp;"|"&amp;$I275&amp;"|"&amp;$J275&amp;"|"&amp;11,Assessments!$A$2:$A$600,0)),0)</f>
        <v>0</v>
      </c>
      <c r="DH275" s="28" t="n">
        <f aca="false">IFERROR(INDEX(Assessments!$J$2:$J$600,MATCH($H275&amp;"|"&amp;$I275&amp;"|"&amp;$J275&amp;"|"&amp;12,Assessments!$A$2:$A$600,0)),0)</f>
        <v>0</v>
      </c>
      <c r="DI275" s="28" t="n">
        <f aca="false">IFERROR(INDEX(Assessments!$J$2:$J$600,MATCH($H275&amp;"|"&amp;$I275&amp;"|"&amp;$J275&amp;"|"&amp;13,Assessments!$A$2:$A$600,0)),0)</f>
        <v>0</v>
      </c>
      <c r="DJ275" s="28" t="n">
        <f aca="false">IFERROR(INDEX(Assessments!$J$2:$J$600,MATCH($H275&amp;"|"&amp;$I275&amp;"|"&amp;$J275&amp;"|"&amp;14,Assessments!$A$2:$A$600,0)),0)</f>
        <v>0</v>
      </c>
      <c r="DK275" s="28" t="str">
        <f aca="false">S275</f>
        <v/>
      </c>
      <c r="DL275" s="28" t="str">
        <f aca="false">W275</f>
        <v/>
      </c>
      <c r="DM275" s="28" t="str">
        <f aca="false">AA275</f>
        <v/>
      </c>
      <c r="DN275" s="28" t="str">
        <f aca="false">AE275</f>
        <v/>
      </c>
      <c r="DO275" s="28" t="str">
        <f aca="false">AI275</f>
        <v/>
      </c>
      <c r="DP275" s="28" t="str">
        <f aca="false">AM275</f>
        <v/>
      </c>
      <c r="DQ275" s="28" t="str">
        <f aca="false">AQ275</f>
        <v/>
      </c>
      <c r="DR275" s="28" t="str">
        <f aca="false">AU275</f>
        <v/>
      </c>
      <c r="DS275" s="28" t="str">
        <f aca="false">AY275</f>
        <v/>
      </c>
      <c r="DT275" s="28" t="str">
        <f aca="false">BC275</f>
        <v/>
      </c>
      <c r="DU275" s="28" t="str">
        <f aca="false">BG275</f>
        <v/>
      </c>
      <c r="DV275" s="28" t="str">
        <f aca="false">BK275</f>
        <v/>
      </c>
      <c r="DW275" s="28" t="str">
        <f aca="false">BO275</f>
        <v/>
      </c>
      <c r="DX275" s="28" t="str">
        <f aca="false">BS275</f>
        <v/>
      </c>
      <c r="DY275" s="28" t="str">
        <f aca="false">IF(ISNUMBER(S275),1,"")</f>
        <v/>
      </c>
      <c r="DZ275" s="28" t="str">
        <f aca="false">IF(ISNUMBER(W275),2,"")</f>
        <v/>
      </c>
      <c r="EA275" s="28" t="str">
        <f aca="false">IF(ISNUMBER(AA275),3,"")</f>
        <v/>
      </c>
      <c r="EB275" s="28" t="str">
        <f aca="false">IF(ISNUMBER(AE275),4,"")</f>
        <v/>
      </c>
      <c r="EC275" s="28" t="str">
        <f aca="false">IF(ISNUMBER(AI275),5,"")</f>
        <v/>
      </c>
      <c r="ED275" s="28" t="str">
        <f aca="false">IF(ISNUMBER(AM275),6,"")</f>
        <v/>
      </c>
      <c r="EE275" s="28" t="str">
        <f aca="false">IF(ISNUMBER(AQ275),7,"")</f>
        <v/>
      </c>
      <c r="EF275" s="28" t="str">
        <f aca="false">IF(ISNUMBER(AU275),8,"")</f>
        <v/>
      </c>
      <c r="EG275" s="28" t="str">
        <f aca="false">IF(ISNUMBER(AY275),9,"")</f>
        <v/>
      </c>
      <c r="EH275" s="28" t="str">
        <f aca="false">IF(ISNUMBER(BC275),10,"")</f>
        <v/>
      </c>
      <c r="EI275" s="28" t="str">
        <f aca="false">IF(ISNUMBER(BG275),11,"")</f>
        <v/>
      </c>
      <c r="EJ275" s="28" t="str">
        <f aca="false">IF(ISNUMBER(BK275),12,"")</f>
        <v/>
      </c>
      <c r="EK275" s="28" t="str">
        <f aca="false">IF(ISNUMBER(BO275),13,"")</f>
        <v/>
      </c>
      <c r="EL275" s="28" t="str">
        <f aca="false">IF(ISNUMBER(BS275),14,"")</f>
        <v/>
      </c>
      <c r="EM275" s="28" t="n">
        <f aca="false">IF(ISNUMBER(R275),R275*CW275,0)</f>
        <v>0</v>
      </c>
      <c r="EN275" s="28" t="n">
        <f aca="false">IF(ISNUMBER(V275),V275*CX275,0)</f>
        <v>0</v>
      </c>
      <c r="EO275" s="28" t="n">
        <f aca="false">IF(ISNUMBER(Z275),Z275*CY275,0)</f>
        <v>0</v>
      </c>
      <c r="EP275" s="28" t="n">
        <f aca="false">IF(ISNUMBER(AD275),AD275*CZ275,0)</f>
        <v>0</v>
      </c>
      <c r="EQ275" s="28" t="n">
        <f aca="false">IF(ISNUMBER(AH275),AH275*DA275,0)</f>
        <v>0</v>
      </c>
      <c r="ER275" s="28" t="n">
        <f aca="false">IF(ISNUMBER(AL275),AL275*DB275,0)</f>
        <v>0</v>
      </c>
      <c r="ES275" s="28" t="n">
        <f aca="false">IF(ISNUMBER(AP275),AP275*DC275,0)</f>
        <v>0</v>
      </c>
      <c r="ET275" s="28" t="n">
        <f aca="false">IF(ISNUMBER(AT275),AT275*DD275,0)</f>
        <v>0</v>
      </c>
      <c r="EU275" s="28" t="n">
        <f aca="false">IF(ISNUMBER(AX275),AX275*DE275,0)</f>
        <v>0</v>
      </c>
      <c r="EV275" s="28" t="n">
        <f aca="false">IF(ISNUMBER(BB275),BB275*DF275,0)</f>
        <v>0</v>
      </c>
      <c r="EW275" s="28" t="n">
        <f aca="false">IF(ISNUMBER(BF275),BF275*DG275,0)</f>
        <v>0</v>
      </c>
      <c r="EX275" s="28" t="n">
        <f aca="false">IF(ISNUMBER(BJ275),BJ275*DH275,0)</f>
        <v>0</v>
      </c>
      <c r="EY275" s="28" t="n">
        <f aca="false">IF(ISNUMBER(BN275),BN275*DI275,0)</f>
        <v>0</v>
      </c>
      <c r="EZ275" s="28" t="n">
        <f aca="false">IF(ISNUMBER(BR275),BR275*DJ275,0)</f>
        <v>0</v>
      </c>
      <c r="FA275" s="28" t="n">
        <f aca="false">IF(ISNUMBER(R275),CW275,0)</f>
        <v>0</v>
      </c>
      <c r="FB275" s="28" t="n">
        <f aca="false">IF(ISNUMBER(V275),CX275,0)</f>
        <v>0</v>
      </c>
      <c r="FC275" s="28" t="n">
        <f aca="false">IF(ISNUMBER(Z275),CY275,0)</f>
        <v>0</v>
      </c>
      <c r="FD275" s="28" t="n">
        <f aca="false">IF(ISNUMBER(AD275),CZ275,0)</f>
        <v>0</v>
      </c>
      <c r="FE275" s="28" t="n">
        <f aca="false">IF(ISNUMBER(AH275),DA275,0)</f>
        <v>0</v>
      </c>
      <c r="FF275" s="28" t="n">
        <f aca="false">IF(ISNUMBER(AL275),DB275,0)</f>
        <v>0</v>
      </c>
      <c r="FG275" s="28" t="n">
        <f aca="false">IF(ISNUMBER(AP275),DC275,0)</f>
        <v>0</v>
      </c>
      <c r="FH275" s="28" t="n">
        <f aca="false">IF(ISNUMBER(AT275),DD275,0)</f>
        <v>0</v>
      </c>
      <c r="FI275" s="28" t="n">
        <f aca="false">IF(ISNUMBER(AX275),DE275,0)</f>
        <v>0</v>
      </c>
      <c r="FJ275" s="28" t="n">
        <f aca="false">IF(ISNUMBER(BB275),DF275,0)</f>
        <v>0</v>
      </c>
      <c r="FK275" s="28" t="n">
        <f aca="false">IF(ISNUMBER(BF275),DG275,0)</f>
        <v>0</v>
      </c>
      <c r="FL275" s="28" t="n">
        <f aca="false">IF(ISNUMBER(BJ275),DH275,0)</f>
        <v>0</v>
      </c>
      <c r="FM275" s="28" t="n">
        <f aca="false">IF(ISNUMBER(BN275),DI275,0)</f>
        <v>0</v>
      </c>
      <c r="FN275" s="28" t="n">
        <f aca="false">IF(ISNUMBER(BR275),DJ275,0)</f>
        <v>0</v>
      </c>
      <c r="FO275" s="28" t="str">
        <f aca="false">IFERROR(INDEX(Lists!$G$2:$G$20,MATCH($I275&amp;"|"&amp;$J275,Lists!$F$2:$F$20,0)),"")</f>
        <v>Econ Exam</v>
      </c>
    </row>
    <row r="276" customFormat="false" ht="19.5" hidden="false" customHeight="true" outlineLevel="0" collapsed="false">
      <c r="A276" s="29" t="s">
        <v>286</v>
      </c>
      <c r="B276" s="29" t="s">
        <v>556</v>
      </c>
      <c r="C276" s="30" t="s">
        <v>152</v>
      </c>
      <c r="D276" s="30" t="s">
        <v>228</v>
      </c>
      <c r="E276" s="31"/>
      <c r="F276" s="30"/>
      <c r="G276" s="30"/>
      <c r="H276" s="32" t="s">
        <v>428</v>
      </c>
      <c r="I276" s="33" t="s">
        <v>229</v>
      </c>
      <c r="J276" s="32" t="s">
        <v>223</v>
      </c>
      <c r="K276" s="34" t="str">
        <f aca="false">IF(OR(M276="",$E276=""),"",M276-$E276)</f>
        <v/>
      </c>
      <c r="L276" s="35" t="str">
        <f aca="false">IF(SUM(FA276:FN276)=0,"",SUM(EM276:EZ276)/SUM(FA276:FN276))</f>
        <v/>
      </c>
      <c r="M276" s="36" t="str">
        <f aca="false">IF(OR(L276="",FO276=""),"",IFERROR(MATCH(L276,INDEX(Boundaries!$B$2:$I$30,MATCH(FO276,Boundaries!$A$2:$A$30,0),0),1)-1,""))</f>
        <v/>
      </c>
      <c r="N276" s="37" t="str">
        <f aca="false">IF(COUNT($DY276:$EL276)&lt;2,"",INDEX($DK276:$DX276,MAX($DY276:$EL276))-INDEX($DK276:$DX276,MIN($DY276:$EL276)))</f>
        <v/>
      </c>
      <c r="O276" s="37" t="str">
        <f aca="false">IF(COUNT($DY276:$EL276)&lt;2,"",INDEX($DK276:$DX276,MAX($DY276:$EL276))-INDEX($DK276:$DX276,LARGE($DY276:$EL276,2)))</f>
        <v/>
      </c>
      <c r="P276" s="38" t="str">
        <f aca="false">IF(K276="","",IF(K276&gt;=0,"On/above target",IF(AND(N276&lt;&gt;"",N276&gt;=0.5),"Improving towards target",IF(AND(O276&lt;&gt;"",O276&lt;=-0.5),"Declining","Stable below target"))))</f>
        <v/>
      </c>
      <c r="Q276" s="39"/>
      <c r="R276" s="40" t="str">
        <f aca="false">IF(OR(Q276="",BU276=""),"",Q276/BU276*100)</f>
        <v/>
      </c>
      <c r="S276" s="41" t="str">
        <f aca="false">IF(R276="","",IFERROR(MATCH(R276,INDEX(Boundaries!$B$2:$I$30,MATCH(CI276,Boundaries!$A$2:$A$30,0),0),1)-1,""))</f>
        <v/>
      </c>
      <c r="T276" s="42" t="str">
        <f aca="false">IF(OR(S276="",$E276=""),"",S276-$E276)</f>
        <v/>
      </c>
      <c r="U276" s="39"/>
      <c r="V276" s="40" t="str">
        <f aca="false">IF(OR(U276="",BV276=""),"",U276/BV276*100)</f>
        <v/>
      </c>
      <c r="W276" s="41" t="str">
        <f aca="false">IF(V276="","",IFERROR(MATCH(V276,INDEX(Boundaries!$B$2:$I$30,MATCH(CJ276,Boundaries!$A$2:$A$30,0),0),1)-1,""))</f>
        <v/>
      </c>
      <c r="X276" s="42" t="str">
        <f aca="false">IF(OR(W276="",$E276=""),"",W276-$E276)</f>
        <v/>
      </c>
      <c r="Y276" s="39"/>
      <c r="Z276" s="40" t="str">
        <f aca="false">IF(OR(Y276="",BW276=""),"",Y276/BW276*100)</f>
        <v/>
      </c>
      <c r="AA276" s="41" t="str">
        <f aca="false">IF(Z276="","",IFERROR(MATCH(Z276,INDEX(Boundaries!$B$2:$I$30,MATCH(CK276,Boundaries!$A$2:$A$30,0),0),1)-1,""))</f>
        <v/>
      </c>
      <c r="AB276" s="42" t="str">
        <f aca="false">IF(OR(AA276="",$E276=""),"",AA276-$E276)</f>
        <v/>
      </c>
      <c r="AC276" s="39"/>
      <c r="AD276" s="40" t="str">
        <f aca="false">IF(OR(AC276="",BX276=""),"",AC276/BX276*100)</f>
        <v/>
      </c>
      <c r="AE276" s="41" t="str">
        <f aca="false">IF(AD276="","",IFERROR(MATCH(AD276,INDEX(Boundaries!$B$2:$I$30,MATCH(CL276,Boundaries!$A$2:$A$30,0),0),1)-1,""))</f>
        <v/>
      </c>
      <c r="AF276" s="42" t="str">
        <f aca="false">IF(OR(AE276="",$E276=""),"",AE276-$E276)</f>
        <v/>
      </c>
      <c r="AG276" s="39"/>
      <c r="AH276" s="40" t="str">
        <f aca="false">IF(OR(AG276="",BY276=""),"",AG276/BY276*100)</f>
        <v/>
      </c>
      <c r="AI276" s="41" t="str">
        <f aca="false">IF(AH276="","",IFERROR(MATCH(AH276,INDEX(Boundaries!$B$2:$I$30,MATCH(CM276,Boundaries!$A$2:$A$30,0),0),1)-1,""))</f>
        <v/>
      </c>
      <c r="AJ276" s="42" t="str">
        <f aca="false">IF(OR(AI276="",$E276=""),"",AI276-$E276)</f>
        <v/>
      </c>
      <c r="AK276" s="39"/>
      <c r="AL276" s="40" t="str">
        <f aca="false">IF(OR(AK276="",BZ276=""),"",AK276/BZ276*100)</f>
        <v/>
      </c>
      <c r="AM276" s="41" t="str">
        <f aca="false">IF(AL276="","",IFERROR(MATCH(AL276,INDEX(Boundaries!$B$2:$I$30,MATCH(CN276,Boundaries!$A$2:$A$30,0),0),1)-1,""))</f>
        <v/>
      </c>
      <c r="AN276" s="42" t="str">
        <f aca="false">IF(OR(AM276="",$E276=""),"",AM276-$E276)</f>
        <v/>
      </c>
      <c r="AO276" s="39"/>
      <c r="AP276" s="40" t="str">
        <f aca="false">IF(OR(AO276="",CA276=""),"",AO276/CA276*100)</f>
        <v/>
      </c>
      <c r="AQ276" s="41" t="str">
        <f aca="false">IF(AP276="","",IFERROR(MATCH(AP276,INDEX(Boundaries!$B$2:$I$30,MATCH(CO276,Boundaries!$A$2:$A$30,0),0),1)-1,""))</f>
        <v/>
      </c>
      <c r="AR276" s="42" t="str">
        <f aca="false">IF(OR(AQ276="",$E276=""),"",AQ276-$E276)</f>
        <v/>
      </c>
      <c r="AS276" s="39"/>
      <c r="AT276" s="40" t="str">
        <f aca="false">IF(OR(AS276="",CB276=""),"",AS276/CB276*100)</f>
        <v/>
      </c>
      <c r="AU276" s="41" t="str">
        <f aca="false">IF(AT276="","",IFERROR(MATCH(AT276,INDEX(Boundaries!$B$2:$I$30,MATCH(CP276,Boundaries!$A$2:$A$30,0),0),1)-1,""))</f>
        <v/>
      </c>
      <c r="AV276" s="42" t="str">
        <f aca="false">IF(OR(AU276="",$E276=""),"",AU276-$E276)</f>
        <v/>
      </c>
      <c r="AW276" s="39"/>
      <c r="AX276" s="40" t="str">
        <f aca="false">IF(OR(AW276="",CC276=""),"",AW276/CC276*100)</f>
        <v/>
      </c>
      <c r="AY276" s="41" t="str">
        <f aca="false">IF(AX276="","",IFERROR(MATCH(AX276,INDEX(Boundaries!$B$2:$I$30,MATCH(CQ276,Boundaries!$A$2:$A$30,0),0),1)-1,""))</f>
        <v/>
      </c>
      <c r="AZ276" s="42" t="str">
        <f aca="false">IF(OR(AY276="",$E276=""),"",AY276-$E276)</f>
        <v/>
      </c>
      <c r="BA276" s="39"/>
      <c r="BB276" s="40" t="str">
        <f aca="false">IF(OR(BA276="",CD276=""),"",BA276/CD276*100)</f>
        <v/>
      </c>
      <c r="BC276" s="41" t="str">
        <f aca="false">IF(BB276="","",IFERROR(MATCH(BB276,INDEX(Boundaries!$B$2:$I$30,MATCH(CR276,Boundaries!$A$2:$A$30,0),0),1)-1,""))</f>
        <v/>
      </c>
      <c r="BD276" s="42" t="str">
        <f aca="false">IF(OR(BC276="",$E276=""),"",BC276-$E276)</f>
        <v/>
      </c>
      <c r="BE276" s="39"/>
      <c r="BF276" s="40" t="str">
        <f aca="false">IF(OR(BE276="",CE276=""),"",BE276/CE276*100)</f>
        <v/>
      </c>
      <c r="BG276" s="41" t="str">
        <f aca="false">IF(BF276="","",IFERROR(MATCH(BF276,INDEX(Boundaries!$B$2:$I$30,MATCH(CS276,Boundaries!$A$2:$A$30,0),0),1)-1,""))</f>
        <v/>
      </c>
      <c r="BH276" s="42" t="str">
        <f aca="false">IF(OR(BG276="",$E276=""),"",BG276-$E276)</f>
        <v/>
      </c>
      <c r="BI276" s="39"/>
      <c r="BJ276" s="40" t="str">
        <f aca="false">IF(OR(BI276="",CF276=""),"",BI276/CF276*100)</f>
        <v/>
      </c>
      <c r="BK276" s="41" t="str">
        <f aca="false">IF(BJ276="","",IFERROR(MATCH(BJ276,INDEX(Boundaries!$B$2:$I$30,MATCH(CT276,Boundaries!$A$2:$A$30,0),0),1)-1,""))</f>
        <v/>
      </c>
      <c r="BL276" s="42" t="str">
        <f aca="false">IF(OR(BK276="",$E276=""),"",BK276-$E276)</f>
        <v/>
      </c>
      <c r="BM276" s="39"/>
      <c r="BN276" s="40" t="str">
        <f aca="false">IF(OR(BM276="",CG276=""),"",BM276/CG276*100)</f>
        <v/>
      </c>
      <c r="BO276" s="41" t="str">
        <f aca="false">IF(BN276="","",IFERROR(MATCH(BN276,INDEX(Boundaries!$B$2:$I$30,MATCH(CU276,Boundaries!$A$2:$A$30,0),0),1)-1,""))</f>
        <v/>
      </c>
      <c r="BP276" s="42" t="str">
        <f aca="false">IF(OR(BO276="",$E276=""),"",BO276-$E276)</f>
        <v/>
      </c>
      <c r="BQ276" s="39"/>
      <c r="BR276" s="40" t="str">
        <f aca="false">IF(OR(BQ276="",CH276=""),"",BQ276/CH276*100)</f>
        <v/>
      </c>
      <c r="BS276" s="41" t="str">
        <f aca="false">IF(BR276="","",IFERROR(MATCH(BR276,INDEX(Boundaries!$B$2:$I$30,MATCH(CV276,Boundaries!$A$2:$A$30,0),0),1)-1,""))</f>
        <v/>
      </c>
      <c r="BT276" s="42" t="str">
        <f aca="false">IF(OR(BS276="",$E276=""),"",BS276-$E276)</f>
        <v/>
      </c>
      <c r="BU276" s="28" t="n">
        <f aca="false">IFERROR(INDEX(Assessments!$H$2:$H$600,MATCH($H276&amp;"|"&amp;$I276&amp;"|"&amp;$J276&amp;"|"&amp;1,Assessments!$A$2:$A$600,0)),"")</f>
        <v>25</v>
      </c>
      <c r="BV276" s="28" t="n">
        <f aca="false">IFERROR(INDEX(Assessments!$H$2:$H$600,MATCH($H276&amp;"|"&amp;$I276&amp;"|"&amp;$J276&amp;"|"&amp;2,Assessments!$A$2:$A$600,0)),"")</f>
        <v>20</v>
      </c>
      <c r="BW276" s="28" t="n">
        <f aca="false">IFERROR(INDEX(Assessments!$H$2:$H$600,MATCH($H276&amp;"|"&amp;$I276&amp;"|"&amp;$J276&amp;"|"&amp;3,Assessments!$A$2:$A$600,0)),"")</f>
        <v>25</v>
      </c>
      <c r="BX276" s="28" t="n">
        <f aca="false">IFERROR(INDEX(Assessments!$H$2:$H$600,MATCH($H276&amp;"|"&amp;$I276&amp;"|"&amp;$J276&amp;"|"&amp;4,Assessments!$A$2:$A$600,0)),"")</f>
        <v>23</v>
      </c>
      <c r="BY276" s="28" t="n">
        <f aca="false">IFERROR(INDEX(Assessments!$H$2:$H$600,MATCH($H276&amp;"|"&amp;$I276&amp;"|"&amp;$J276&amp;"|"&amp;5,Assessments!$A$2:$A$600,0)),"")</f>
        <v>25</v>
      </c>
      <c r="BZ276" s="28" t="n">
        <f aca="false">IFERROR(INDEX(Assessments!$H$2:$H$600,MATCH($H276&amp;"|"&amp;$I276&amp;"|"&amp;$J276&amp;"|"&amp;6,Assessments!$A$2:$A$600,0)),"")</f>
        <v>23</v>
      </c>
      <c r="CA276" s="28" t="n">
        <f aca="false">IFERROR(INDEX(Assessments!$H$2:$H$600,MATCH($H276&amp;"|"&amp;$I276&amp;"|"&amp;$J276&amp;"|"&amp;7,Assessments!$A$2:$A$600,0)),"")</f>
        <v>52</v>
      </c>
      <c r="CB276" s="28" t="str">
        <f aca="false">IFERROR(INDEX(Assessments!$H$2:$H$600,MATCH($H276&amp;"|"&amp;$I276&amp;"|"&amp;$J276&amp;"|"&amp;8,Assessments!$A$2:$A$600,0)),"")</f>
        <v/>
      </c>
      <c r="CC276" s="28" t="str">
        <f aca="false">IFERROR(INDEX(Assessments!$H$2:$H$600,MATCH($H276&amp;"|"&amp;$I276&amp;"|"&amp;$J276&amp;"|"&amp;9,Assessments!$A$2:$A$600,0)),"")</f>
        <v/>
      </c>
      <c r="CD276" s="28" t="str">
        <f aca="false">IFERROR(INDEX(Assessments!$H$2:$H$600,MATCH($H276&amp;"|"&amp;$I276&amp;"|"&amp;$J276&amp;"|"&amp;10,Assessments!$A$2:$A$600,0)),"")</f>
        <v/>
      </c>
      <c r="CE276" s="28" t="str">
        <f aca="false">IFERROR(INDEX(Assessments!$H$2:$H$600,MATCH($H276&amp;"|"&amp;$I276&amp;"|"&amp;$J276&amp;"|"&amp;11,Assessments!$A$2:$A$600,0)),"")</f>
        <v/>
      </c>
      <c r="CF276" s="28" t="str">
        <f aca="false">IFERROR(INDEX(Assessments!$H$2:$H$600,MATCH($H276&amp;"|"&amp;$I276&amp;"|"&amp;$J276&amp;"|"&amp;12,Assessments!$A$2:$A$600,0)),"")</f>
        <v/>
      </c>
      <c r="CG276" s="28" t="str">
        <f aca="false">IFERROR(INDEX(Assessments!$H$2:$H$600,MATCH($H276&amp;"|"&amp;$I276&amp;"|"&amp;$J276&amp;"|"&amp;13,Assessments!$A$2:$A$600,0)),"")</f>
        <v/>
      </c>
      <c r="CH276" s="28" t="str">
        <f aca="false">IFERROR(INDEX(Assessments!$H$2:$H$600,MATCH($H276&amp;"|"&amp;$I276&amp;"|"&amp;$J276&amp;"|"&amp;14,Assessments!$A$2:$A$600,0)),"")</f>
        <v/>
      </c>
      <c r="CI276" s="28" t="str">
        <f aca="false">IFERROR(INDEX(Assessments!$I$2:$I$600,MATCH($H276&amp;"|"&amp;$I276&amp;"|"&amp;$J276&amp;"|"&amp;1,Assessments!$A$2:$A$600,0)),"")</f>
        <v>Econ Test</v>
      </c>
      <c r="CJ276" s="28" t="str">
        <f aca="false">IFERROR(INDEX(Assessments!$I$2:$I$600,MATCH($H276&amp;"|"&amp;$I276&amp;"|"&amp;$J276&amp;"|"&amp;2,Assessments!$A$2:$A$600,0)),"")</f>
        <v>Econ Test</v>
      </c>
      <c r="CK276" s="28" t="str">
        <f aca="false">IFERROR(INDEX(Assessments!$I$2:$I$600,MATCH($H276&amp;"|"&amp;$I276&amp;"|"&amp;$J276&amp;"|"&amp;3,Assessments!$A$2:$A$600,0)),"")</f>
        <v>Econ Test</v>
      </c>
      <c r="CL276" s="28" t="str">
        <f aca="false">IFERROR(INDEX(Assessments!$I$2:$I$600,MATCH($H276&amp;"|"&amp;$I276&amp;"|"&amp;$J276&amp;"|"&amp;4,Assessments!$A$2:$A$600,0)),"")</f>
        <v>Econ Test</v>
      </c>
      <c r="CM276" s="28" t="str">
        <f aca="false">IFERROR(INDEX(Assessments!$I$2:$I$600,MATCH($H276&amp;"|"&amp;$I276&amp;"|"&amp;$J276&amp;"|"&amp;5,Assessments!$A$2:$A$600,0)),"")</f>
        <v>Econ Exam</v>
      </c>
      <c r="CN276" s="28" t="str">
        <f aca="false">IFERROR(INDEX(Assessments!$I$2:$I$600,MATCH($H276&amp;"|"&amp;$I276&amp;"|"&amp;$J276&amp;"|"&amp;6,Assessments!$A$2:$A$600,0)),"")</f>
        <v>Econ Test</v>
      </c>
      <c r="CO276" s="28" t="str">
        <f aca="false">IFERROR(INDEX(Assessments!$I$2:$I$600,MATCH($H276&amp;"|"&amp;$I276&amp;"|"&amp;$J276&amp;"|"&amp;7,Assessments!$A$2:$A$600,0)),"")</f>
        <v>Econ Exam</v>
      </c>
      <c r="CP276" s="28" t="str">
        <f aca="false">IFERROR(INDEX(Assessments!$I$2:$I$600,MATCH($H276&amp;"|"&amp;$I276&amp;"|"&amp;$J276&amp;"|"&amp;8,Assessments!$A$2:$A$600,0)),"")</f>
        <v/>
      </c>
      <c r="CQ276" s="28" t="str">
        <f aca="false">IFERROR(INDEX(Assessments!$I$2:$I$600,MATCH($H276&amp;"|"&amp;$I276&amp;"|"&amp;$J276&amp;"|"&amp;9,Assessments!$A$2:$A$600,0)),"")</f>
        <v/>
      </c>
      <c r="CR276" s="28" t="str">
        <f aca="false">IFERROR(INDEX(Assessments!$I$2:$I$600,MATCH($H276&amp;"|"&amp;$I276&amp;"|"&amp;$J276&amp;"|"&amp;10,Assessments!$A$2:$A$600,0)),"")</f>
        <v/>
      </c>
      <c r="CS276" s="28" t="str">
        <f aca="false">IFERROR(INDEX(Assessments!$I$2:$I$600,MATCH($H276&amp;"|"&amp;$I276&amp;"|"&amp;$J276&amp;"|"&amp;11,Assessments!$A$2:$A$600,0)),"")</f>
        <v/>
      </c>
      <c r="CT276" s="28" t="str">
        <f aca="false">IFERROR(INDEX(Assessments!$I$2:$I$600,MATCH($H276&amp;"|"&amp;$I276&amp;"|"&amp;$J276&amp;"|"&amp;12,Assessments!$A$2:$A$600,0)),"")</f>
        <v/>
      </c>
      <c r="CU276" s="28" t="str">
        <f aca="false">IFERROR(INDEX(Assessments!$I$2:$I$600,MATCH($H276&amp;"|"&amp;$I276&amp;"|"&amp;$J276&amp;"|"&amp;13,Assessments!$A$2:$A$600,0)),"")</f>
        <v/>
      </c>
      <c r="CV276" s="28" t="str">
        <f aca="false">IFERROR(INDEX(Assessments!$I$2:$I$600,MATCH($H276&amp;"|"&amp;$I276&amp;"|"&amp;$J276&amp;"|"&amp;14,Assessments!$A$2:$A$600,0)),"")</f>
        <v/>
      </c>
      <c r="CW276" s="28" t="n">
        <f aca="false">IFERROR(INDEX(Assessments!$J$2:$J$600,MATCH($H276&amp;"|"&amp;$I276&amp;"|"&amp;$J276&amp;"|"&amp;1,Assessments!$A$2:$A$600,0)),0)</f>
        <v>1</v>
      </c>
      <c r="CX276" s="28" t="n">
        <f aca="false">IFERROR(INDEX(Assessments!$J$2:$J$600,MATCH($H276&amp;"|"&amp;$I276&amp;"|"&amp;$J276&amp;"|"&amp;2,Assessments!$A$2:$A$600,0)),0)</f>
        <v>1</v>
      </c>
      <c r="CY276" s="28" t="n">
        <f aca="false">IFERROR(INDEX(Assessments!$J$2:$J$600,MATCH($H276&amp;"|"&amp;$I276&amp;"|"&amp;$J276&amp;"|"&amp;3,Assessments!$A$2:$A$600,0)),0)</f>
        <v>1</v>
      </c>
      <c r="CZ276" s="28" t="n">
        <f aca="false">IFERROR(INDEX(Assessments!$J$2:$J$600,MATCH($H276&amp;"|"&amp;$I276&amp;"|"&amp;$J276&amp;"|"&amp;4,Assessments!$A$2:$A$600,0)),0)</f>
        <v>1</v>
      </c>
      <c r="DA276" s="28" t="n">
        <f aca="false">IFERROR(INDEX(Assessments!$J$2:$J$600,MATCH($H276&amp;"|"&amp;$I276&amp;"|"&amp;$J276&amp;"|"&amp;5,Assessments!$A$2:$A$600,0)),0)</f>
        <v>2</v>
      </c>
      <c r="DB276" s="28" t="n">
        <f aca="false">IFERROR(INDEX(Assessments!$J$2:$J$600,MATCH($H276&amp;"|"&amp;$I276&amp;"|"&amp;$J276&amp;"|"&amp;6,Assessments!$A$2:$A$600,0)),0)</f>
        <v>1</v>
      </c>
      <c r="DC276" s="28" t="n">
        <f aca="false">IFERROR(INDEX(Assessments!$J$2:$J$600,MATCH($H276&amp;"|"&amp;$I276&amp;"|"&amp;$J276&amp;"|"&amp;7,Assessments!$A$2:$A$600,0)),0)</f>
        <v>2</v>
      </c>
      <c r="DD276" s="28" t="n">
        <f aca="false">IFERROR(INDEX(Assessments!$J$2:$J$600,MATCH($H276&amp;"|"&amp;$I276&amp;"|"&amp;$J276&amp;"|"&amp;8,Assessments!$A$2:$A$600,0)),0)</f>
        <v>0</v>
      </c>
      <c r="DE276" s="28" t="n">
        <f aca="false">IFERROR(INDEX(Assessments!$J$2:$J$600,MATCH($H276&amp;"|"&amp;$I276&amp;"|"&amp;$J276&amp;"|"&amp;9,Assessments!$A$2:$A$600,0)),0)</f>
        <v>0</v>
      </c>
      <c r="DF276" s="28" t="n">
        <f aca="false">IFERROR(INDEX(Assessments!$J$2:$J$600,MATCH($H276&amp;"|"&amp;$I276&amp;"|"&amp;$J276&amp;"|"&amp;10,Assessments!$A$2:$A$600,0)),0)</f>
        <v>0</v>
      </c>
      <c r="DG276" s="28" t="n">
        <f aca="false">IFERROR(INDEX(Assessments!$J$2:$J$600,MATCH($H276&amp;"|"&amp;$I276&amp;"|"&amp;$J276&amp;"|"&amp;11,Assessments!$A$2:$A$600,0)),0)</f>
        <v>0</v>
      </c>
      <c r="DH276" s="28" t="n">
        <f aca="false">IFERROR(INDEX(Assessments!$J$2:$J$600,MATCH($H276&amp;"|"&amp;$I276&amp;"|"&amp;$J276&amp;"|"&amp;12,Assessments!$A$2:$A$600,0)),0)</f>
        <v>0</v>
      </c>
      <c r="DI276" s="28" t="n">
        <f aca="false">IFERROR(INDEX(Assessments!$J$2:$J$600,MATCH($H276&amp;"|"&amp;$I276&amp;"|"&amp;$J276&amp;"|"&amp;13,Assessments!$A$2:$A$600,0)),0)</f>
        <v>0</v>
      </c>
      <c r="DJ276" s="28" t="n">
        <f aca="false">IFERROR(INDEX(Assessments!$J$2:$J$600,MATCH($H276&amp;"|"&amp;$I276&amp;"|"&amp;$J276&amp;"|"&amp;14,Assessments!$A$2:$A$600,0)),0)</f>
        <v>0</v>
      </c>
      <c r="DK276" s="28" t="str">
        <f aca="false">S276</f>
        <v/>
      </c>
      <c r="DL276" s="28" t="str">
        <f aca="false">W276</f>
        <v/>
      </c>
      <c r="DM276" s="28" t="str">
        <f aca="false">AA276</f>
        <v/>
      </c>
      <c r="DN276" s="28" t="str">
        <f aca="false">AE276</f>
        <v/>
      </c>
      <c r="DO276" s="28" t="str">
        <f aca="false">AI276</f>
        <v/>
      </c>
      <c r="DP276" s="28" t="str">
        <f aca="false">AM276</f>
        <v/>
      </c>
      <c r="DQ276" s="28" t="str">
        <f aca="false">AQ276</f>
        <v/>
      </c>
      <c r="DR276" s="28" t="str">
        <f aca="false">AU276</f>
        <v/>
      </c>
      <c r="DS276" s="28" t="str">
        <f aca="false">AY276</f>
        <v/>
      </c>
      <c r="DT276" s="28" t="str">
        <f aca="false">BC276</f>
        <v/>
      </c>
      <c r="DU276" s="28" t="str">
        <f aca="false">BG276</f>
        <v/>
      </c>
      <c r="DV276" s="28" t="str">
        <f aca="false">BK276</f>
        <v/>
      </c>
      <c r="DW276" s="28" t="str">
        <f aca="false">BO276</f>
        <v/>
      </c>
      <c r="DX276" s="28" t="str">
        <f aca="false">BS276</f>
        <v/>
      </c>
      <c r="DY276" s="28" t="str">
        <f aca="false">IF(ISNUMBER(S276),1,"")</f>
        <v/>
      </c>
      <c r="DZ276" s="28" t="str">
        <f aca="false">IF(ISNUMBER(W276),2,"")</f>
        <v/>
      </c>
      <c r="EA276" s="28" t="str">
        <f aca="false">IF(ISNUMBER(AA276),3,"")</f>
        <v/>
      </c>
      <c r="EB276" s="28" t="str">
        <f aca="false">IF(ISNUMBER(AE276),4,"")</f>
        <v/>
      </c>
      <c r="EC276" s="28" t="str">
        <f aca="false">IF(ISNUMBER(AI276),5,"")</f>
        <v/>
      </c>
      <c r="ED276" s="28" t="str">
        <f aca="false">IF(ISNUMBER(AM276),6,"")</f>
        <v/>
      </c>
      <c r="EE276" s="28" t="str">
        <f aca="false">IF(ISNUMBER(AQ276),7,"")</f>
        <v/>
      </c>
      <c r="EF276" s="28" t="str">
        <f aca="false">IF(ISNUMBER(AU276),8,"")</f>
        <v/>
      </c>
      <c r="EG276" s="28" t="str">
        <f aca="false">IF(ISNUMBER(AY276),9,"")</f>
        <v/>
      </c>
      <c r="EH276" s="28" t="str">
        <f aca="false">IF(ISNUMBER(BC276),10,"")</f>
        <v/>
      </c>
      <c r="EI276" s="28" t="str">
        <f aca="false">IF(ISNUMBER(BG276),11,"")</f>
        <v/>
      </c>
      <c r="EJ276" s="28" t="str">
        <f aca="false">IF(ISNUMBER(BK276),12,"")</f>
        <v/>
      </c>
      <c r="EK276" s="28" t="str">
        <f aca="false">IF(ISNUMBER(BO276),13,"")</f>
        <v/>
      </c>
      <c r="EL276" s="28" t="str">
        <f aca="false">IF(ISNUMBER(BS276),14,"")</f>
        <v/>
      </c>
      <c r="EM276" s="28" t="n">
        <f aca="false">IF(ISNUMBER(R276),R276*CW276,0)</f>
        <v>0</v>
      </c>
      <c r="EN276" s="28" t="n">
        <f aca="false">IF(ISNUMBER(V276),V276*CX276,0)</f>
        <v>0</v>
      </c>
      <c r="EO276" s="28" t="n">
        <f aca="false">IF(ISNUMBER(Z276),Z276*CY276,0)</f>
        <v>0</v>
      </c>
      <c r="EP276" s="28" t="n">
        <f aca="false">IF(ISNUMBER(AD276),AD276*CZ276,0)</f>
        <v>0</v>
      </c>
      <c r="EQ276" s="28" t="n">
        <f aca="false">IF(ISNUMBER(AH276),AH276*DA276,0)</f>
        <v>0</v>
      </c>
      <c r="ER276" s="28" t="n">
        <f aca="false">IF(ISNUMBER(AL276),AL276*DB276,0)</f>
        <v>0</v>
      </c>
      <c r="ES276" s="28" t="n">
        <f aca="false">IF(ISNUMBER(AP276),AP276*DC276,0)</f>
        <v>0</v>
      </c>
      <c r="ET276" s="28" t="n">
        <f aca="false">IF(ISNUMBER(AT276),AT276*DD276,0)</f>
        <v>0</v>
      </c>
      <c r="EU276" s="28" t="n">
        <f aca="false">IF(ISNUMBER(AX276),AX276*DE276,0)</f>
        <v>0</v>
      </c>
      <c r="EV276" s="28" t="n">
        <f aca="false">IF(ISNUMBER(BB276),BB276*DF276,0)</f>
        <v>0</v>
      </c>
      <c r="EW276" s="28" t="n">
        <f aca="false">IF(ISNUMBER(BF276),BF276*DG276,0)</f>
        <v>0</v>
      </c>
      <c r="EX276" s="28" t="n">
        <f aca="false">IF(ISNUMBER(BJ276),BJ276*DH276,0)</f>
        <v>0</v>
      </c>
      <c r="EY276" s="28" t="n">
        <f aca="false">IF(ISNUMBER(BN276),BN276*DI276,0)</f>
        <v>0</v>
      </c>
      <c r="EZ276" s="28" t="n">
        <f aca="false">IF(ISNUMBER(BR276),BR276*DJ276,0)</f>
        <v>0</v>
      </c>
      <c r="FA276" s="28" t="n">
        <f aca="false">IF(ISNUMBER(R276),CW276,0)</f>
        <v>0</v>
      </c>
      <c r="FB276" s="28" t="n">
        <f aca="false">IF(ISNUMBER(V276),CX276,0)</f>
        <v>0</v>
      </c>
      <c r="FC276" s="28" t="n">
        <f aca="false">IF(ISNUMBER(Z276),CY276,0)</f>
        <v>0</v>
      </c>
      <c r="FD276" s="28" t="n">
        <f aca="false">IF(ISNUMBER(AD276),CZ276,0)</f>
        <v>0</v>
      </c>
      <c r="FE276" s="28" t="n">
        <f aca="false">IF(ISNUMBER(AH276),DA276,0)</f>
        <v>0</v>
      </c>
      <c r="FF276" s="28" t="n">
        <f aca="false">IF(ISNUMBER(AL276),DB276,0)</f>
        <v>0</v>
      </c>
      <c r="FG276" s="28" t="n">
        <f aca="false">IF(ISNUMBER(AP276),DC276,0)</f>
        <v>0</v>
      </c>
      <c r="FH276" s="28" t="n">
        <f aca="false">IF(ISNUMBER(AT276),DD276,0)</f>
        <v>0</v>
      </c>
      <c r="FI276" s="28" t="n">
        <f aca="false">IF(ISNUMBER(AX276),DE276,0)</f>
        <v>0</v>
      </c>
      <c r="FJ276" s="28" t="n">
        <f aca="false">IF(ISNUMBER(BB276),DF276,0)</f>
        <v>0</v>
      </c>
      <c r="FK276" s="28" t="n">
        <f aca="false">IF(ISNUMBER(BF276),DG276,0)</f>
        <v>0</v>
      </c>
      <c r="FL276" s="28" t="n">
        <f aca="false">IF(ISNUMBER(BJ276),DH276,0)</f>
        <v>0</v>
      </c>
      <c r="FM276" s="28" t="n">
        <f aca="false">IF(ISNUMBER(BN276),DI276,0)</f>
        <v>0</v>
      </c>
      <c r="FN276" s="28" t="n">
        <f aca="false">IF(ISNUMBER(BR276),DJ276,0)</f>
        <v>0</v>
      </c>
      <c r="FO276" s="28" t="str">
        <f aca="false">IFERROR(INDEX(Lists!$G$2:$G$20,MATCH($I276&amp;"|"&amp;$J276,Lists!$F$2:$F$20,0)),"")</f>
        <v>Econ Exam</v>
      </c>
    </row>
    <row r="277" customFormat="false" ht="19.5" hidden="false" customHeight="true" outlineLevel="0" collapsed="false">
      <c r="A277" s="29" t="s">
        <v>557</v>
      </c>
      <c r="B277" s="29" t="s">
        <v>558</v>
      </c>
      <c r="C277" s="30" t="s">
        <v>152</v>
      </c>
      <c r="D277" s="30" t="s">
        <v>228</v>
      </c>
      <c r="E277" s="31"/>
      <c r="F277" s="30"/>
      <c r="G277" s="30"/>
      <c r="H277" s="32" t="s">
        <v>428</v>
      </c>
      <c r="I277" s="33" t="s">
        <v>229</v>
      </c>
      <c r="J277" s="32" t="s">
        <v>223</v>
      </c>
      <c r="K277" s="34" t="str">
        <f aca="false">IF(OR(M277="",$E277=""),"",M277-$E277)</f>
        <v/>
      </c>
      <c r="L277" s="35" t="str">
        <f aca="false">IF(SUM(FA277:FN277)=0,"",SUM(EM277:EZ277)/SUM(FA277:FN277))</f>
        <v/>
      </c>
      <c r="M277" s="36" t="str">
        <f aca="false">IF(OR(L277="",FO277=""),"",IFERROR(MATCH(L277,INDEX(Boundaries!$B$2:$I$30,MATCH(FO277,Boundaries!$A$2:$A$30,0),0),1)-1,""))</f>
        <v/>
      </c>
      <c r="N277" s="37" t="str">
        <f aca="false">IF(COUNT($DY277:$EL277)&lt;2,"",INDEX($DK277:$DX277,MAX($DY277:$EL277))-INDEX($DK277:$DX277,MIN($DY277:$EL277)))</f>
        <v/>
      </c>
      <c r="O277" s="37" t="str">
        <f aca="false">IF(COUNT($DY277:$EL277)&lt;2,"",INDEX($DK277:$DX277,MAX($DY277:$EL277))-INDEX($DK277:$DX277,LARGE($DY277:$EL277,2)))</f>
        <v/>
      </c>
      <c r="P277" s="38" t="str">
        <f aca="false">IF(K277="","",IF(K277&gt;=0,"On/above target",IF(AND(N277&lt;&gt;"",N277&gt;=0.5),"Improving towards target",IF(AND(O277&lt;&gt;"",O277&lt;=-0.5),"Declining","Stable below target"))))</f>
        <v/>
      </c>
      <c r="Q277" s="39"/>
      <c r="R277" s="40" t="str">
        <f aca="false">IF(OR(Q277="",BU277=""),"",Q277/BU277*100)</f>
        <v/>
      </c>
      <c r="S277" s="41" t="str">
        <f aca="false">IF(R277="","",IFERROR(MATCH(R277,INDEX(Boundaries!$B$2:$I$30,MATCH(CI277,Boundaries!$A$2:$A$30,0),0),1)-1,""))</f>
        <v/>
      </c>
      <c r="T277" s="42" t="str">
        <f aca="false">IF(OR(S277="",$E277=""),"",S277-$E277)</f>
        <v/>
      </c>
      <c r="U277" s="39"/>
      <c r="V277" s="40" t="str">
        <f aca="false">IF(OR(U277="",BV277=""),"",U277/BV277*100)</f>
        <v/>
      </c>
      <c r="W277" s="41" t="str">
        <f aca="false">IF(V277="","",IFERROR(MATCH(V277,INDEX(Boundaries!$B$2:$I$30,MATCH(CJ277,Boundaries!$A$2:$A$30,0),0),1)-1,""))</f>
        <v/>
      </c>
      <c r="X277" s="42" t="str">
        <f aca="false">IF(OR(W277="",$E277=""),"",W277-$E277)</f>
        <v/>
      </c>
      <c r="Y277" s="39"/>
      <c r="Z277" s="40" t="str">
        <f aca="false">IF(OR(Y277="",BW277=""),"",Y277/BW277*100)</f>
        <v/>
      </c>
      <c r="AA277" s="41" t="str">
        <f aca="false">IF(Z277="","",IFERROR(MATCH(Z277,INDEX(Boundaries!$B$2:$I$30,MATCH(CK277,Boundaries!$A$2:$A$30,0),0),1)-1,""))</f>
        <v/>
      </c>
      <c r="AB277" s="42" t="str">
        <f aca="false">IF(OR(AA277="",$E277=""),"",AA277-$E277)</f>
        <v/>
      </c>
      <c r="AC277" s="39"/>
      <c r="AD277" s="40" t="str">
        <f aca="false">IF(OR(AC277="",BX277=""),"",AC277/BX277*100)</f>
        <v/>
      </c>
      <c r="AE277" s="41" t="str">
        <f aca="false">IF(AD277="","",IFERROR(MATCH(AD277,INDEX(Boundaries!$B$2:$I$30,MATCH(CL277,Boundaries!$A$2:$A$30,0),0),1)-1,""))</f>
        <v/>
      </c>
      <c r="AF277" s="42" t="str">
        <f aca="false">IF(OR(AE277="",$E277=""),"",AE277-$E277)</f>
        <v/>
      </c>
      <c r="AG277" s="39"/>
      <c r="AH277" s="40" t="str">
        <f aca="false">IF(OR(AG277="",BY277=""),"",AG277/BY277*100)</f>
        <v/>
      </c>
      <c r="AI277" s="41" t="str">
        <f aca="false">IF(AH277="","",IFERROR(MATCH(AH277,INDEX(Boundaries!$B$2:$I$30,MATCH(CM277,Boundaries!$A$2:$A$30,0),0),1)-1,""))</f>
        <v/>
      </c>
      <c r="AJ277" s="42" t="str">
        <f aca="false">IF(OR(AI277="",$E277=""),"",AI277-$E277)</f>
        <v/>
      </c>
      <c r="AK277" s="39"/>
      <c r="AL277" s="40" t="str">
        <f aca="false">IF(OR(AK277="",BZ277=""),"",AK277/BZ277*100)</f>
        <v/>
      </c>
      <c r="AM277" s="41" t="str">
        <f aca="false">IF(AL277="","",IFERROR(MATCH(AL277,INDEX(Boundaries!$B$2:$I$30,MATCH(CN277,Boundaries!$A$2:$A$30,0),0),1)-1,""))</f>
        <v/>
      </c>
      <c r="AN277" s="42" t="str">
        <f aca="false">IF(OR(AM277="",$E277=""),"",AM277-$E277)</f>
        <v/>
      </c>
      <c r="AO277" s="39"/>
      <c r="AP277" s="40" t="str">
        <f aca="false">IF(OR(AO277="",CA277=""),"",AO277/CA277*100)</f>
        <v/>
      </c>
      <c r="AQ277" s="41" t="str">
        <f aca="false">IF(AP277="","",IFERROR(MATCH(AP277,INDEX(Boundaries!$B$2:$I$30,MATCH(CO277,Boundaries!$A$2:$A$30,0),0),1)-1,""))</f>
        <v/>
      </c>
      <c r="AR277" s="42" t="str">
        <f aca="false">IF(OR(AQ277="",$E277=""),"",AQ277-$E277)</f>
        <v/>
      </c>
      <c r="AS277" s="39"/>
      <c r="AT277" s="40" t="str">
        <f aca="false">IF(OR(AS277="",CB277=""),"",AS277/CB277*100)</f>
        <v/>
      </c>
      <c r="AU277" s="41" t="str">
        <f aca="false">IF(AT277="","",IFERROR(MATCH(AT277,INDEX(Boundaries!$B$2:$I$30,MATCH(CP277,Boundaries!$A$2:$A$30,0),0),1)-1,""))</f>
        <v/>
      </c>
      <c r="AV277" s="42" t="str">
        <f aca="false">IF(OR(AU277="",$E277=""),"",AU277-$E277)</f>
        <v/>
      </c>
      <c r="AW277" s="39"/>
      <c r="AX277" s="40" t="str">
        <f aca="false">IF(OR(AW277="",CC277=""),"",AW277/CC277*100)</f>
        <v/>
      </c>
      <c r="AY277" s="41" t="str">
        <f aca="false">IF(AX277="","",IFERROR(MATCH(AX277,INDEX(Boundaries!$B$2:$I$30,MATCH(CQ277,Boundaries!$A$2:$A$30,0),0),1)-1,""))</f>
        <v/>
      </c>
      <c r="AZ277" s="42" t="str">
        <f aca="false">IF(OR(AY277="",$E277=""),"",AY277-$E277)</f>
        <v/>
      </c>
      <c r="BA277" s="39"/>
      <c r="BB277" s="40" t="str">
        <f aca="false">IF(OR(BA277="",CD277=""),"",BA277/CD277*100)</f>
        <v/>
      </c>
      <c r="BC277" s="41" t="str">
        <f aca="false">IF(BB277="","",IFERROR(MATCH(BB277,INDEX(Boundaries!$B$2:$I$30,MATCH(CR277,Boundaries!$A$2:$A$30,0),0),1)-1,""))</f>
        <v/>
      </c>
      <c r="BD277" s="42" t="str">
        <f aca="false">IF(OR(BC277="",$E277=""),"",BC277-$E277)</f>
        <v/>
      </c>
      <c r="BE277" s="39"/>
      <c r="BF277" s="40" t="str">
        <f aca="false">IF(OR(BE277="",CE277=""),"",BE277/CE277*100)</f>
        <v/>
      </c>
      <c r="BG277" s="41" t="str">
        <f aca="false">IF(BF277="","",IFERROR(MATCH(BF277,INDEX(Boundaries!$B$2:$I$30,MATCH(CS277,Boundaries!$A$2:$A$30,0),0),1)-1,""))</f>
        <v/>
      </c>
      <c r="BH277" s="42" t="str">
        <f aca="false">IF(OR(BG277="",$E277=""),"",BG277-$E277)</f>
        <v/>
      </c>
      <c r="BI277" s="39"/>
      <c r="BJ277" s="40" t="str">
        <f aca="false">IF(OR(BI277="",CF277=""),"",BI277/CF277*100)</f>
        <v/>
      </c>
      <c r="BK277" s="41" t="str">
        <f aca="false">IF(BJ277="","",IFERROR(MATCH(BJ277,INDEX(Boundaries!$B$2:$I$30,MATCH(CT277,Boundaries!$A$2:$A$30,0),0),1)-1,""))</f>
        <v/>
      </c>
      <c r="BL277" s="42" t="str">
        <f aca="false">IF(OR(BK277="",$E277=""),"",BK277-$E277)</f>
        <v/>
      </c>
      <c r="BM277" s="39"/>
      <c r="BN277" s="40" t="str">
        <f aca="false">IF(OR(BM277="",CG277=""),"",BM277/CG277*100)</f>
        <v/>
      </c>
      <c r="BO277" s="41" t="str">
        <f aca="false">IF(BN277="","",IFERROR(MATCH(BN277,INDEX(Boundaries!$B$2:$I$30,MATCH(CU277,Boundaries!$A$2:$A$30,0),0),1)-1,""))</f>
        <v/>
      </c>
      <c r="BP277" s="42" t="str">
        <f aca="false">IF(OR(BO277="",$E277=""),"",BO277-$E277)</f>
        <v/>
      </c>
      <c r="BQ277" s="39"/>
      <c r="BR277" s="40" t="str">
        <f aca="false">IF(OR(BQ277="",CH277=""),"",BQ277/CH277*100)</f>
        <v/>
      </c>
      <c r="BS277" s="41" t="str">
        <f aca="false">IF(BR277="","",IFERROR(MATCH(BR277,INDEX(Boundaries!$B$2:$I$30,MATCH(CV277,Boundaries!$A$2:$A$30,0),0),1)-1,""))</f>
        <v/>
      </c>
      <c r="BT277" s="42" t="str">
        <f aca="false">IF(OR(BS277="",$E277=""),"",BS277-$E277)</f>
        <v/>
      </c>
      <c r="BU277" s="28" t="n">
        <f aca="false">IFERROR(INDEX(Assessments!$H$2:$H$600,MATCH($H277&amp;"|"&amp;$I277&amp;"|"&amp;$J277&amp;"|"&amp;1,Assessments!$A$2:$A$600,0)),"")</f>
        <v>25</v>
      </c>
      <c r="BV277" s="28" t="n">
        <f aca="false">IFERROR(INDEX(Assessments!$H$2:$H$600,MATCH($H277&amp;"|"&amp;$I277&amp;"|"&amp;$J277&amp;"|"&amp;2,Assessments!$A$2:$A$600,0)),"")</f>
        <v>20</v>
      </c>
      <c r="BW277" s="28" t="n">
        <f aca="false">IFERROR(INDEX(Assessments!$H$2:$H$600,MATCH($H277&amp;"|"&amp;$I277&amp;"|"&amp;$J277&amp;"|"&amp;3,Assessments!$A$2:$A$600,0)),"")</f>
        <v>25</v>
      </c>
      <c r="BX277" s="28" t="n">
        <f aca="false">IFERROR(INDEX(Assessments!$H$2:$H$600,MATCH($H277&amp;"|"&amp;$I277&amp;"|"&amp;$J277&amp;"|"&amp;4,Assessments!$A$2:$A$600,0)),"")</f>
        <v>23</v>
      </c>
      <c r="BY277" s="28" t="n">
        <f aca="false">IFERROR(INDEX(Assessments!$H$2:$H$600,MATCH($H277&amp;"|"&amp;$I277&amp;"|"&amp;$J277&amp;"|"&amp;5,Assessments!$A$2:$A$600,0)),"")</f>
        <v>25</v>
      </c>
      <c r="BZ277" s="28" t="n">
        <f aca="false">IFERROR(INDEX(Assessments!$H$2:$H$600,MATCH($H277&amp;"|"&amp;$I277&amp;"|"&amp;$J277&amp;"|"&amp;6,Assessments!$A$2:$A$600,0)),"")</f>
        <v>23</v>
      </c>
      <c r="CA277" s="28" t="n">
        <f aca="false">IFERROR(INDEX(Assessments!$H$2:$H$600,MATCH($H277&amp;"|"&amp;$I277&amp;"|"&amp;$J277&amp;"|"&amp;7,Assessments!$A$2:$A$600,0)),"")</f>
        <v>52</v>
      </c>
      <c r="CB277" s="28" t="str">
        <f aca="false">IFERROR(INDEX(Assessments!$H$2:$H$600,MATCH($H277&amp;"|"&amp;$I277&amp;"|"&amp;$J277&amp;"|"&amp;8,Assessments!$A$2:$A$600,0)),"")</f>
        <v/>
      </c>
      <c r="CC277" s="28" t="str">
        <f aca="false">IFERROR(INDEX(Assessments!$H$2:$H$600,MATCH($H277&amp;"|"&amp;$I277&amp;"|"&amp;$J277&amp;"|"&amp;9,Assessments!$A$2:$A$600,0)),"")</f>
        <v/>
      </c>
      <c r="CD277" s="28" t="str">
        <f aca="false">IFERROR(INDEX(Assessments!$H$2:$H$600,MATCH($H277&amp;"|"&amp;$I277&amp;"|"&amp;$J277&amp;"|"&amp;10,Assessments!$A$2:$A$600,0)),"")</f>
        <v/>
      </c>
      <c r="CE277" s="28" t="str">
        <f aca="false">IFERROR(INDEX(Assessments!$H$2:$H$600,MATCH($H277&amp;"|"&amp;$I277&amp;"|"&amp;$J277&amp;"|"&amp;11,Assessments!$A$2:$A$600,0)),"")</f>
        <v/>
      </c>
      <c r="CF277" s="28" t="str">
        <f aca="false">IFERROR(INDEX(Assessments!$H$2:$H$600,MATCH($H277&amp;"|"&amp;$I277&amp;"|"&amp;$J277&amp;"|"&amp;12,Assessments!$A$2:$A$600,0)),"")</f>
        <v/>
      </c>
      <c r="CG277" s="28" t="str">
        <f aca="false">IFERROR(INDEX(Assessments!$H$2:$H$600,MATCH($H277&amp;"|"&amp;$I277&amp;"|"&amp;$J277&amp;"|"&amp;13,Assessments!$A$2:$A$600,0)),"")</f>
        <v/>
      </c>
      <c r="CH277" s="28" t="str">
        <f aca="false">IFERROR(INDEX(Assessments!$H$2:$H$600,MATCH($H277&amp;"|"&amp;$I277&amp;"|"&amp;$J277&amp;"|"&amp;14,Assessments!$A$2:$A$600,0)),"")</f>
        <v/>
      </c>
      <c r="CI277" s="28" t="str">
        <f aca="false">IFERROR(INDEX(Assessments!$I$2:$I$600,MATCH($H277&amp;"|"&amp;$I277&amp;"|"&amp;$J277&amp;"|"&amp;1,Assessments!$A$2:$A$600,0)),"")</f>
        <v>Econ Test</v>
      </c>
      <c r="CJ277" s="28" t="str">
        <f aca="false">IFERROR(INDEX(Assessments!$I$2:$I$600,MATCH($H277&amp;"|"&amp;$I277&amp;"|"&amp;$J277&amp;"|"&amp;2,Assessments!$A$2:$A$600,0)),"")</f>
        <v>Econ Test</v>
      </c>
      <c r="CK277" s="28" t="str">
        <f aca="false">IFERROR(INDEX(Assessments!$I$2:$I$600,MATCH($H277&amp;"|"&amp;$I277&amp;"|"&amp;$J277&amp;"|"&amp;3,Assessments!$A$2:$A$600,0)),"")</f>
        <v>Econ Test</v>
      </c>
      <c r="CL277" s="28" t="str">
        <f aca="false">IFERROR(INDEX(Assessments!$I$2:$I$600,MATCH($H277&amp;"|"&amp;$I277&amp;"|"&amp;$J277&amp;"|"&amp;4,Assessments!$A$2:$A$600,0)),"")</f>
        <v>Econ Test</v>
      </c>
      <c r="CM277" s="28" t="str">
        <f aca="false">IFERROR(INDEX(Assessments!$I$2:$I$600,MATCH($H277&amp;"|"&amp;$I277&amp;"|"&amp;$J277&amp;"|"&amp;5,Assessments!$A$2:$A$600,0)),"")</f>
        <v>Econ Exam</v>
      </c>
      <c r="CN277" s="28" t="str">
        <f aca="false">IFERROR(INDEX(Assessments!$I$2:$I$600,MATCH($H277&amp;"|"&amp;$I277&amp;"|"&amp;$J277&amp;"|"&amp;6,Assessments!$A$2:$A$600,0)),"")</f>
        <v>Econ Test</v>
      </c>
      <c r="CO277" s="28" t="str">
        <f aca="false">IFERROR(INDEX(Assessments!$I$2:$I$600,MATCH($H277&amp;"|"&amp;$I277&amp;"|"&amp;$J277&amp;"|"&amp;7,Assessments!$A$2:$A$600,0)),"")</f>
        <v>Econ Exam</v>
      </c>
      <c r="CP277" s="28" t="str">
        <f aca="false">IFERROR(INDEX(Assessments!$I$2:$I$600,MATCH($H277&amp;"|"&amp;$I277&amp;"|"&amp;$J277&amp;"|"&amp;8,Assessments!$A$2:$A$600,0)),"")</f>
        <v/>
      </c>
      <c r="CQ277" s="28" t="str">
        <f aca="false">IFERROR(INDEX(Assessments!$I$2:$I$600,MATCH($H277&amp;"|"&amp;$I277&amp;"|"&amp;$J277&amp;"|"&amp;9,Assessments!$A$2:$A$600,0)),"")</f>
        <v/>
      </c>
      <c r="CR277" s="28" t="str">
        <f aca="false">IFERROR(INDEX(Assessments!$I$2:$I$600,MATCH($H277&amp;"|"&amp;$I277&amp;"|"&amp;$J277&amp;"|"&amp;10,Assessments!$A$2:$A$600,0)),"")</f>
        <v/>
      </c>
      <c r="CS277" s="28" t="str">
        <f aca="false">IFERROR(INDEX(Assessments!$I$2:$I$600,MATCH($H277&amp;"|"&amp;$I277&amp;"|"&amp;$J277&amp;"|"&amp;11,Assessments!$A$2:$A$600,0)),"")</f>
        <v/>
      </c>
      <c r="CT277" s="28" t="str">
        <f aca="false">IFERROR(INDEX(Assessments!$I$2:$I$600,MATCH($H277&amp;"|"&amp;$I277&amp;"|"&amp;$J277&amp;"|"&amp;12,Assessments!$A$2:$A$600,0)),"")</f>
        <v/>
      </c>
      <c r="CU277" s="28" t="str">
        <f aca="false">IFERROR(INDEX(Assessments!$I$2:$I$600,MATCH($H277&amp;"|"&amp;$I277&amp;"|"&amp;$J277&amp;"|"&amp;13,Assessments!$A$2:$A$600,0)),"")</f>
        <v/>
      </c>
      <c r="CV277" s="28" t="str">
        <f aca="false">IFERROR(INDEX(Assessments!$I$2:$I$600,MATCH($H277&amp;"|"&amp;$I277&amp;"|"&amp;$J277&amp;"|"&amp;14,Assessments!$A$2:$A$600,0)),"")</f>
        <v/>
      </c>
      <c r="CW277" s="28" t="n">
        <f aca="false">IFERROR(INDEX(Assessments!$J$2:$J$600,MATCH($H277&amp;"|"&amp;$I277&amp;"|"&amp;$J277&amp;"|"&amp;1,Assessments!$A$2:$A$600,0)),0)</f>
        <v>1</v>
      </c>
      <c r="CX277" s="28" t="n">
        <f aca="false">IFERROR(INDEX(Assessments!$J$2:$J$600,MATCH($H277&amp;"|"&amp;$I277&amp;"|"&amp;$J277&amp;"|"&amp;2,Assessments!$A$2:$A$600,0)),0)</f>
        <v>1</v>
      </c>
      <c r="CY277" s="28" t="n">
        <f aca="false">IFERROR(INDEX(Assessments!$J$2:$J$600,MATCH($H277&amp;"|"&amp;$I277&amp;"|"&amp;$J277&amp;"|"&amp;3,Assessments!$A$2:$A$600,0)),0)</f>
        <v>1</v>
      </c>
      <c r="CZ277" s="28" t="n">
        <f aca="false">IFERROR(INDEX(Assessments!$J$2:$J$600,MATCH($H277&amp;"|"&amp;$I277&amp;"|"&amp;$J277&amp;"|"&amp;4,Assessments!$A$2:$A$600,0)),0)</f>
        <v>1</v>
      </c>
      <c r="DA277" s="28" t="n">
        <f aca="false">IFERROR(INDEX(Assessments!$J$2:$J$600,MATCH($H277&amp;"|"&amp;$I277&amp;"|"&amp;$J277&amp;"|"&amp;5,Assessments!$A$2:$A$600,0)),0)</f>
        <v>2</v>
      </c>
      <c r="DB277" s="28" t="n">
        <f aca="false">IFERROR(INDEX(Assessments!$J$2:$J$600,MATCH($H277&amp;"|"&amp;$I277&amp;"|"&amp;$J277&amp;"|"&amp;6,Assessments!$A$2:$A$600,0)),0)</f>
        <v>1</v>
      </c>
      <c r="DC277" s="28" t="n">
        <f aca="false">IFERROR(INDEX(Assessments!$J$2:$J$600,MATCH($H277&amp;"|"&amp;$I277&amp;"|"&amp;$J277&amp;"|"&amp;7,Assessments!$A$2:$A$600,0)),0)</f>
        <v>2</v>
      </c>
      <c r="DD277" s="28" t="n">
        <f aca="false">IFERROR(INDEX(Assessments!$J$2:$J$600,MATCH($H277&amp;"|"&amp;$I277&amp;"|"&amp;$J277&amp;"|"&amp;8,Assessments!$A$2:$A$600,0)),0)</f>
        <v>0</v>
      </c>
      <c r="DE277" s="28" t="n">
        <f aca="false">IFERROR(INDEX(Assessments!$J$2:$J$600,MATCH($H277&amp;"|"&amp;$I277&amp;"|"&amp;$J277&amp;"|"&amp;9,Assessments!$A$2:$A$600,0)),0)</f>
        <v>0</v>
      </c>
      <c r="DF277" s="28" t="n">
        <f aca="false">IFERROR(INDEX(Assessments!$J$2:$J$600,MATCH($H277&amp;"|"&amp;$I277&amp;"|"&amp;$J277&amp;"|"&amp;10,Assessments!$A$2:$A$600,0)),0)</f>
        <v>0</v>
      </c>
      <c r="DG277" s="28" t="n">
        <f aca="false">IFERROR(INDEX(Assessments!$J$2:$J$600,MATCH($H277&amp;"|"&amp;$I277&amp;"|"&amp;$J277&amp;"|"&amp;11,Assessments!$A$2:$A$600,0)),0)</f>
        <v>0</v>
      </c>
      <c r="DH277" s="28" t="n">
        <f aca="false">IFERROR(INDEX(Assessments!$J$2:$J$600,MATCH($H277&amp;"|"&amp;$I277&amp;"|"&amp;$J277&amp;"|"&amp;12,Assessments!$A$2:$A$600,0)),0)</f>
        <v>0</v>
      </c>
      <c r="DI277" s="28" t="n">
        <f aca="false">IFERROR(INDEX(Assessments!$J$2:$J$600,MATCH($H277&amp;"|"&amp;$I277&amp;"|"&amp;$J277&amp;"|"&amp;13,Assessments!$A$2:$A$600,0)),0)</f>
        <v>0</v>
      </c>
      <c r="DJ277" s="28" t="n">
        <f aca="false">IFERROR(INDEX(Assessments!$J$2:$J$600,MATCH($H277&amp;"|"&amp;$I277&amp;"|"&amp;$J277&amp;"|"&amp;14,Assessments!$A$2:$A$600,0)),0)</f>
        <v>0</v>
      </c>
      <c r="DK277" s="28" t="str">
        <f aca="false">S277</f>
        <v/>
      </c>
      <c r="DL277" s="28" t="str">
        <f aca="false">W277</f>
        <v/>
      </c>
      <c r="DM277" s="28" t="str">
        <f aca="false">AA277</f>
        <v/>
      </c>
      <c r="DN277" s="28" t="str">
        <f aca="false">AE277</f>
        <v/>
      </c>
      <c r="DO277" s="28" t="str">
        <f aca="false">AI277</f>
        <v/>
      </c>
      <c r="DP277" s="28" t="str">
        <f aca="false">AM277</f>
        <v/>
      </c>
      <c r="DQ277" s="28" t="str">
        <f aca="false">AQ277</f>
        <v/>
      </c>
      <c r="DR277" s="28" t="str">
        <f aca="false">AU277</f>
        <v/>
      </c>
      <c r="DS277" s="28" t="str">
        <f aca="false">AY277</f>
        <v/>
      </c>
      <c r="DT277" s="28" t="str">
        <f aca="false">BC277</f>
        <v/>
      </c>
      <c r="DU277" s="28" t="str">
        <f aca="false">BG277</f>
        <v/>
      </c>
      <c r="DV277" s="28" t="str">
        <f aca="false">BK277</f>
        <v/>
      </c>
      <c r="DW277" s="28" t="str">
        <f aca="false">BO277</f>
        <v/>
      </c>
      <c r="DX277" s="28" t="str">
        <f aca="false">BS277</f>
        <v/>
      </c>
      <c r="DY277" s="28" t="str">
        <f aca="false">IF(ISNUMBER(S277),1,"")</f>
        <v/>
      </c>
      <c r="DZ277" s="28" t="str">
        <f aca="false">IF(ISNUMBER(W277),2,"")</f>
        <v/>
      </c>
      <c r="EA277" s="28" t="str">
        <f aca="false">IF(ISNUMBER(AA277),3,"")</f>
        <v/>
      </c>
      <c r="EB277" s="28" t="str">
        <f aca="false">IF(ISNUMBER(AE277),4,"")</f>
        <v/>
      </c>
      <c r="EC277" s="28" t="str">
        <f aca="false">IF(ISNUMBER(AI277),5,"")</f>
        <v/>
      </c>
      <c r="ED277" s="28" t="str">
        <f aca="false">IF(ISNUMBER(AM277),6,"")</f>
        <v/>
      </c>
      <c r="EE277" s="28" t="str">
        <f aca="false">IF(ISNUMBER(AQ277),7,"")</f>
        <v/>
      </c>
      <c r="EF277" s="28" t="str">
        <f aca="false">IF(ISNUMBER(AU277),8,"")</f>
        <v/>
      </c>
      <c r="EG277" s="28" t="str">
        <f aca="false">IF(ISNUMBER(AY277),9,"")</f>
        <v/>
      </c>
      <c r="EH277" s="28" t="str">
        <f aca="false">IF(ISNUMBER(BC277),10,"")</f>
        <v/>
      </c>
      <c r="EI277" s="28" t="str">
        <f aca="false">IF(ISNUMBER(BG277),11,"")</f>
        <v/>
      </c>
      <c r="EJ277" s="28" t="str">
        <f aca="false">IF(ISNUMBER(BK277),12,"")</f>
        <v/>
      </c>
      <c r="EK277" s="28" t="str">
        <f aca="false">IF(ISNUMBER(BO277),13,"")</f>
        <v/>
      </c>
      <c r="EL277" s="28" t="str">
        <f aca="false">IF(ISNUMBER(BS277),14,"")</f>
        <v/>
      </c>
      <c r="EM277" s="28" t="n">
        <f aca="false">IF(ISNUMBER(R277),R277*CW277,0)</f>
        <v>0</v>
      </c>
      <c r="EN277" s="28" t="n">
        <f aca="false">IF(ISNUMBER(V277),V277*CX277,0)</f>
        <v>0</v>
      </c>
      <c r="EO277" s="28" t="n">
        <f aca="false">IF(ISNUMBER(Z277),Z277*CY277,0)</f>
        <v>0</v>
      </c>
      <c r="EP277" s="28" t="n">
        <f aca="false">IF(ISNUMBER(AD277),AD277*CZ277,0)</f>
        <v>0</v>
      </c>
      <c r="EQ277" s="28" t="n">
        <f aca="false">IF(ISNUMBER(AH277),AH277*DA277,0)</f>
        <v>0</v>
      </c>
      <c r="ER277" s="28" t="n">
        <f aca="false">IF(ISNUMBER(AL277),AL277*DB277,0)</f>
        <v>0</v>
      </c>
      <c r="ES277" s="28" t="n">
        <f aca="false">IF(ISNUMBER(AP277),AP277*DC277,0)</f>
        <v>0</v>
      </c>
      <c r="ET277" s="28" t="n">
        <f aca="false">IF(ISNUMBER(AT277),AT277*DD277,0)</f>
        <v>0</v>
      </c>
      <c r="EU277" s="28" t="n">
        <f aca="false">IF(ISNUMBER(AX277),AX277*DE277,0)</f>
        <v>0</v>
      </c>
      <c r="EV277" s="28" t="n">
        <f aca="false">IF(ISNUMBER(BB277),BB277*DF277,0)</f>
        <v>0</v>
      </c>
      <c r="EW277" s="28" t="n">
        <f aca="false">IF(ISNUMBER(BF277),BF277*DG277,0)</f>
        <v>0</v>
      </c>
      <c r="EX277" s="28" t="n">
        <f aca="false">IF(ISNUMBER(BJ277),BJ277*DH277,0)</f>
        <v>0</v>
      </c>
      <c r="EY277" s="28" t="n">
        <f aca="false">IF(ISNUMBER(BN277),BN277*DI277,0)</f>
        <v>0</v>
      </c>
      <c r="EZ277" s="28" t="n">
        <f aca="false">IF(ISNUMBER(BR277),BR277*DJ277,0)</f>
        <v>0</v>
      </c>
      <c r="FA277" s="28" t="n">
        <f aca="false">IF(ISNUMBER(R277),CW277,0)</f>
        <v>0</v>
      </c>
      <c r="FB277" s="28" t="n">
        <f aca="false">IF(ISNUMBER(V277),CX277,0)</f>
        <v>0</v>
      </c>
      <c r="FC277" s="28" t="n">
        <f aca="false">IF(ISNUMBER(Z277),CY277,0)</f>
        <v>0</v>
      </c>
      <c r="FD277" s="28" t="n">
        <f aca="false">IF(ISNUMBER(AD277),CZ277,0)</f>
        <v>0</v>
      </c>
      <c r="FE277" s="28" t="n">
        <f aca="false">IF(ISNUMBER(AH277),DA277,0)</f>
        <v>0</v>
      </c>
      <c r="FF277" s="28" t="n">
        <f aca="false">IF(ISNUMBER(AL277),DB277,0)</f>
        <v>0</v>
      </c>
      <c r="FG277" s="28" t="n">
        <f aca="false">IF(ISNUMBER(AP277),DC277,0)</f>
        <v>0</v>
      </c>
      <c r="FH277" s="28" t="n">
        <f aca="false">IF(ISNUMBER(AT277),DD277,0)</f>
        <v>0</v>
      </c>
      <c r="FI277" s="28" t="n">
        <f aca="false">IF(ISNUMBER(AX277),DE277,0)</f>
        <v>0</v>
      </c>
      <c r="FJ277" s="28" t="n">
        <f aca="false">IF(ISNUMBER(BB277),DF277,0)</f>
        <v>0</v>
      </c>
      <c r="FK277" s="28" t="n">
        <f aca="false">IF(ISNUMBER(BF277),DG277,0)</f>
        <v>0</v>
      </c>
      <c r="FL277" s="28" t="n">
        <f aca="false">IF(ISNUMBER(BJ277),DH277,0)</f>
        <v>0</v>
      </c>
      <c r="FM277" s="28" t="n">
        <f aca="false">IF(ISNUMBER(BN277),DI277,0)</f>
        <v>0</v>
      </c>
      <c r="FN277" s="28" t="n">
        <f aca="false">IF(ISNUMBER(BR277),DJ277,0)</f>
        <v>0</v>
      </c>
      <c r="FO277" s="28" t="str">
        <f aca="false">IFERROR(INDEX(Lists!$G$2:$G$20,MATCH($I277&amp;"|"&amp;$J277,Lists!$F$2:$F$20,0)),"")</f>
        <v>Econ Exam</v>
      </c>
    </row>
    <row r="278" customFormat="false" ht="19.5" hidden="false" customHeight="true" outlineLevel="0" collapsed="false">
      <c r="A278" s="29" t="s">
        <v>538</v>
      </c>
      <c r="B278" s="29" t="s">
        <v>559</v>
      </c>
      <c r="C278" s="30" t="s">
        <v>152</v>
      </c>
      <c r="D278" s="30" t="s">
        <v>228</v>
      </c>
      <c r="E278" s="31"/>
      <c r="F278" s="30"/>
      <c r="G278" s="30"/>
      <c r="H278" s="32" t="s">
        <v>428</v>
      </c>
      <c r="I278" s="33" t="s">
        <v>229</v>
      </c>
      <c r="J278" s="32" t="s">
        <v>223</v>
      </c>
      <c r="K278" s="34" t="str">
        <f aca="false">IF(OR(M278="",$E278=""),"",M278-$E278)</f>
        <v/>
      </c>
      <c r="L278" s="35" t="str">
        <f aca="false">IF(SUM(FA278:FN278)=0,"",SUM(EM278:EZ278)/SUM(FA278:FN278))</f>
        <v/>
      </c>
      <c r="M278" s="36" t="str">
        <f aca="false">IF(OR(L278="",FO278=""),"",IFERROR(MATCH(L278,INDEX(Boundaries!$B$2:$I$30,MATCH(FO278,Boundaries!$A$2:$A$30,0),0),1)-1,""))</f>
        <v/>
      </c>
      <c r="N278" s="37" t="str">
        <f aca="false">IF(COUNT($DY278:$EL278)&lt;2,"",INDEX($DK278:$DX278,MAX($DY278:$EL278))-INDEX($DK278:$DX278,MIN($DY278:$EL278)))</f>
        <v/>
      </c>
      <c r="O278" s="37" t="str">
        <f aca="false">IF(COUNT($DY278:$EL278)&lt;2,"",INDEX($DK278:$DX278,MAX($DY278:$EL278))-INDEX($DK278:$DX278,LARGE($DY278:$EL278,2)))</f>
        <v/>
      </c>
      <c r="P278" s="38" t="str">
        <f aca="false">IF(K278="","",IF(K278&gt;=0,"On/above target",IF(AND(N278&lt;&gt;"",N278&gt;=0.5),"Improving towards target",IF(AND(O278&lt;&gt;"",O278&lt;=-0.5),"Declining","Stable below target"))))</f>
        <v/>
      </c>
      <c r="Q278" s="39"/>
      <c r="R278" s="40" t="str">
        <f aca="false">IF(OR(Q278="",BU278=""),"",Q278/BU278*100)</f>
        <v/>
      </c>
      <c r="S278" s="41" t="str">
        <f aca="false">IF(R278="","",IFERROR(MATCH(R278,INDEX(Boundaries!$B$2:$I$30,MATCH(CI278,Boundaries!$A$2:$A$30,0),0),1)-1,""))</f>
        <v/>
      </c>
      <c r="T278" s="42" t="str">
        <f aca="false">IF(OR(S278="",$E278=""),"",S278-$E278)</f>
        <v/>
      </c>
      <c r="U278" s="39"/>
      <c r="V278" s="40" t="str">
        <f aca="false">IF(OR(U278="",BV278=""),"",U278/BV278*100)</f>
        <v/>
      </c>
      <c r="W278" s="41" t="str">
        <f aca="false">IF(V278="","",IFERROR(MATCH(V278,INDEX(Boundaries!$B$2:$I$30,MATCH(CJ278,Boundaries!$A$2:$A$30,0),0),1)-1,""))</f>
        <v/>
      </c>
      <c r="X278" s="42" t="str">
        <f aca="false">IF(OR(W278="",$E278=""),"",W278-$E278)</f>
        <v/>
      </c>
      <c r="Y278" s="39"/>
      <c r="Z278" s="40" t="str">
        <f aca="false">IF(OR(Y278="",BW278=""),"",Y278/BW278*100)</f>
        <v/>
      </c>
      <c r="AA278" s="41" t="str">
        <f aca="false">IF(Z278="","",IFERROR(MATCH(Z278,INDEX(Boundaries!$B$2:$I$30,MATCH(CK278,Boundaries!$A$2:$A$30,0),0),1)-1,""))</f>
        <v/>
      </c>
      <c r="AB278" s="42" t="str">
        <f aca="false">IF(OR(AA278="",$E278=""),"",AA278-$E278)</f>
        <v/>
      </c>
      <c r="AC278" s="39"/>
      <c r="AD278" s="40" t="str">
        <f aca="false">IF(OR(AC278="",BX278=""),"",AC278/BX278*100)</f>
        <v/>
      </c>
      <c r="AE278" s="41" t="str">
        <f aca="false">IF(AD278="","",IFERROR(MATCH(AD278,INDEX(Boundaries!$B$2:$I$30,MATCH(CL278,Boundaries!$A$2:$A$30,0),0),1)-1,""))</f>
        <v/>
      </c>
      <c r="AF278" s="42" t="str">
        <f aca="false">IF(OR(AE278="",$E278=""),"",AE278-$E278)</f>
        <v/>
      </c>
      <c r="AG278" s="39"/>
      <c r="AH278" s="40" t="str">
        <f aca="false">IF(OR(AG278="",BY278=""),"",AG278/BY278*100)</f>
        <v/>
      </c>
      <c r="AI278" s="41" t="str">
        <f aca="false">IF(AH278="","",IFERROR(MATCH(AH278,INDEX(Boundaries!$B$2:$I$30,MATCH(CM278,Boundaries!$A$2:$A$30,0),0),1)-1,""))</f>
        <v/>
      </c>
      <c r="AJ278" s="42" t="str">
        <f aca="false">IF(OR(AI278="",$E278=""),"",AI278-$E278)</f>
        <v/>
      </c>
      <c r="AK278" s="39"/>
      <c r="AL278" s="40" t="str">
        <f aca="false">IF(OR(AK278="",BZ278=""),"",AK278/BZ278*100)</f>
        <v/>
      </c>
      <c r="AM278" s="41" t="str">
        <f aca="false">IF(AL278="","",IFERROR(MATCH(AL278,INDEX(Boundaries!$B$2:$I$30,MATCH(CN278,Boundaries!$A$2:$A$30,0),0),1)-1,""))</f>
        <v/>
      </c>
      <c r="AN278" s="42" t="str">
        <f aca="false">IF(OR(AM278="",$E278=""),"",AM278-$E278)</f>
        <v/>
      </c>
      <c r="AO278" s="39"/>
      <c r="AP278" s="40" t="str">
        <f aca="false">IF(OR(AO278="",CA278=""),"",AO278/CA278*100)</f>
        <v/>
      </c>
      <c r="AQ278" s="41" t="str">
        <f aca="false">IF(AP278="","",IFERROR(MATCH(AP278,INDEX(Boundaries!$B$2:$I$30,MATCH(CO278,Boundaries!$A$2:$A$30,0),0),1)-1,""))</f>
        <v/>
      </c>
      <c r="AR278" s="42" t="str">
        <f aca="false">IF(OR(AQ278="",$E278=""),"",AQ278-$E278)</f>
        <v/>
      </c>
      <c r="AS278" s="39"/>
      <c r="AT278" s="40" t="str">
        <f aca="false">IF(OR(AS278="",CB278=""),"",AS278/CB278*100)</f>
        <v/>
      </c>
      <c r="AU278" s="41" t="str">
        <f aca="false">IF(AT278="","",IFERROR(MATCH(AT278,INDEX(Boundaries!$B$2:$I$30,MATCH(CP278,Boundaries!$A$2:$A$30,0),0),1)-1,""))</f>
        <v/>
      </c>
      <c r="AV278" s="42" t="str">
        <f aca="false">IF(OR(AU278="",$E278=""),"",AU278-$E278)</f>
        <v/>
      </c>
      <c r="AW278" s="39"/>
      <c r="AX278" s="40" t="str">
        <f aca="false">IF(OR(AW278="",CC278=""),"",AW278/CC278*100)</f>
        <v/>
      </c>
      <c r="AY278" s="41" t="str">
        <f aca="false">IF(AX278="","",IFERROR(MATCH(AX278,INDEX(Boundaries!$B$2:$I$30,MATCH(CQ278,Boundaries!$A$2:$A$30,0),0),1)-1,""))</f>
        <v/>
      </c>
      <c r="AZ278" s="42" t="str">
        <f aca="false">IF(OR(AY278="",$E278=""),"",AY278-$E278)</f>
        <v/>
      </c>
      <c r="BA278" s="39"/>
      <c r="BB278" s="40" t="str">
        <f aca="false">IF(OR(BA278="",CD278=""),"",BA278/CD278*100)</f>
        <v/>
      </c>
      <c r="BC278" s="41" t="str">
        <f aca="false">IF(BB278="","",IFERROR(MATCH(BB278,INDEX(Boundaries!$B$2:$I$30,MATCH(CR278,Boundaries!$A$2:$A$30,0),0),1)-1,""))</f>
        <v/>
      </c>
      <c r="BD278" s="42" t="str">
        <f aca="false">IF(OR(BC278="",$E278=""),"",BC278-$E278)</f>
        <v/>
      </c>
      <c r="BE278" s="39"/>
      <c r="BF278" s="40" t="str">
        <f aca="false">IF(OR(BE278="",CE278=""),"",BE278/CE278*100)</f>
        <v/>
      </c>
      <c r="BG278" s="41" t="str">
        <f aca="false">IF(BF278="","",IFERROR(MATCH(BF278,INDEX(Boundaries!$B$2:$I$30,MATCH(CS278,Boundaries!$A$2:$A$30,0),0),1)-1,""))</f>
        <v/>
      </c>
      <c r="BH278" s="42" t="str">
        <f aca="false">IF(OR(BG278="",$E278=""),"",BG278-$E278)</f>
        <v/>
      </c>
      <c r="BI278" s="39"/>
      <c r="BJ278" s="40" t="str">
        <f aca="false">IF(OR(BI278="",CF278=""),"",BI278/CF278*100)</f>
        <v/>
      </c>
      <c r="BK278" s="41" t="str">
        <f aca="false">IF(BJ278="","",IFERROR(MATCH(BJ278,INDEX(Boundaries!$B$2:$I$30,MATCH(CT278,Boundaries!$A$2:$A$30,0),0),1)-1,""))</f>
        <v/>
      </c>
      <c r="BL278" s="42" t="str">
        <f aca="false">IF(OR(BK278="",$E278=""),"",BK278-$E278)</f>
        <v/>
      </c>
      <c r="BM278" s="39"/>
      <c r="BN278" s="40" t="str">
        <f aca="false">IF(OR(BM278="",CG278=""),"",BM278/CG278*100)</f>
        <v/>
      </c>
      <c r="BO278" s="41" t="str">
        <f aca="false">IF(BN278="","",IFERROR(MATCH(BN278,INDEX(Boundaries!$B$2:$I$30,MATCH(CU278,Boundaries!$A$2:$A$30,0),0),1)-1,""))</f>
        <v/>
      </c>
      <c r="BP278" s="42" t="str">
        <f aca="false">IF(OR(BO278="",$E278=""),"",BO278-$E278)</f>
        <v/>
      </c>
      <c r="BQ278" s="39"/>
      <c r="BR278" s="40" t="str">
        <f aca="false">IF(OR(BQ278="",CH278=""),"",BQ278/CH278*100)</f>
        <v/>
      </c>
      <c r="BS278" s="41" t="str">
        <f aca="false">IF(BR278="","",IFERROR(MATCH(BR278,INDEX(Boundaries!$B$2:$I$30,MATCH(CV278,Boundaries!$A$2:$A$30,0),0),1)-1,""))</f>
        <v/>
      </c>
      <c r="BT278" s="42" t="str">
        <f aca="false">IF(OR(BS278="",$E278=""),"",BS278-$E278)</f>
        <v/>
      </c>
      <c r="BU278" s="28" t="n">
        <f aca="false">IFERROR(INDEX(Assessments!$H$2:$H$600,MATCH($H278&amp;"|"&amp;$I278&amp;"|"&amp;$J278&amp;"|"&amp;1,Assessments!$A$2:$A$600,0)),"")</f>
        <v>25</v>
      </c>
      <c r="BV278" s="28" t="n">
        <f aca="false">IFERROR(INDEX(Assessments!$H$2:$H$600,MATCH($H278&amp;"|"&amp;$I278&amp;"|"&amp;$J278&amp;"|"&amp;2,Assessments!$A$2:$A$600,0)),"")</f>
        <v>20</v>
      </c>
      <c r="BW278" s="28" t="n">
        <f aca="false">IFERROR(INDEX(Assessments!$H$2:$H$600,MATCH($H278&amp;"|"&amp;$I278&amp;"|"&amp;$J278&amp;"|"&amp;3,Assessments!$A$2:$A$600,0)),"")</f>
        <v>25</v>
      </c>
      <c r="BX278" s="28" t="n">
        <f aca="false">IFERROR(INDEX(Assessments!$H$2:$H$600,MATCH($H278&amp;"|"&amp;$I278&amp;"|"&amp;$J278&amp;"|"&amp;4,Assessments!$A$2:$A$600,0)),"")</f>
        <v>23</v>
      </c>
      <c r="BY278" s="28" t="n">
        <f aca="false">IFERROR(INDEX(Assessments!$H$2:$H$600,MATCH($H278&amp;"|"&amp;$I278&amp;"|"&amp;$J278&amp;"|"&amp;5,Assessments!$A$2:$A$600,0)),"")</f>
        <v>25</v>
      </c>
      <c r="BZ278" s="28" t="n">
        <f aca="false">IFERROR(INDEX(Assessments!$H$2:$H$600,MATCH($H278&amp;"|"&amp;$I278&amp;"|"&amp;$J278&amp;"|"&amp;6,Assessments!$A$2:$A$600,0)),"")</f>
        <v>23</v>
      </c>
      <c r="CA278" s="28" t="n">
        <f aca="false">IFERROR(INDEX(Assessments!$H$2:$H$600,MATCH($H278&amp;"|"&amp;$I278&amp;"|"&amp;$J278&amp;"|"&amp;7,Assessments!$A$2:$A$600,0)),"")</f>
        <v>52</v>
      </c>
      <c r="CB278" s="28" t="str">
        <f aca="false">IFERROR(INDEX(Assessments!$H$2:$H$600,MATCH($H278&amp;"|"&amp;$I278&amp;"|"&amp;$J278&amp;"|"&amp;8,Assessments!$A$2:$A$600,0)),"")</f>
        <v/>
      </c>
      <c r="CC278" s="28" t="str">
        <f aca="false">IFERROR(INDEX(Assessments!$H$2:$H$600,MATCH($H278&amp;"|"&amp;$I278&amp;"|"&amp;$J278&amp;"|"&amp;9,Assessments!$A$2:$A$600,0)),"")</f>
        <v/>
      </c>
      <c r="CD278" s="28" t="str">
        <f aca="false">IFERROR(INDEX(Assessments!$H$2:$H$600,MATCH($H278&amp;"|"&amp;$I278&amp;"|"&amp;$J278&amp;"|"&amp;10,Assessments!$A$2:$A$600,0)),"")</f>
        <v/>
      </c>
      <c r="CE278" s="28" t="str">
        <f aca="false">IFERROR(INDEX(Assessments!$H$2:$H$600,MATCH($H278&amp;"|"&amp;$I278&amp;"|"&amp;$J278&amp;"|"&amp;11,Assessments!$A$2:$A$600,0)),"")</f>
        <v/>
      </c>
      <c r="CF278" s="28" t="str">
        <f aca="false">IFERROR(INDEX(Assessments!$H$2:$H$600,MATCH($H278&amp;"|"&amp;$I278&amp;"|"&amp;$J278&amp;"|"&amp;12,Assessments!$A$2:$A$600,0)),"")</f>
        <v/>
      </c>
      <c r="CG278" s="28" t="str">
        <f aca="false">IFERROR(INDEX(Assessments!$H$2:$H$600,MATCH($H278&amp;"|"&amp;$I278&amp;"|"&amp;$J278&amp;"|"&amp;13,Assessments!$A$2:$A$600,0)),"")</f>
        <v/>
      </c>
      <c r="CH278" s="28" t="str">
        <f aca="false">IFERROR(INDEX(Assessments!$H$2:$H$600,MATCH($H278&amp;"|"&amp;$I278&amp;"|"&amp;$J278&amp;"|"&amp;14,Assessments!$A$2:$A$600,0)),"")</f>
        <v/>
      </c>
      <c r="CI278" s="28" t="str">
        <f aca="false">IFERROR(INDEX(Assessments!$I$2:$I$600,MATCH($H278&amp;"|"&amp;$I278&amp;"|"&amp;$J278&amp;"|"&amp;1,Assessments!$A$2:$A$600,0)),"")</f>
        <v>Econ Test</v>
      </c>
      <c r="CJ278" s="28" t="str">
        <f aca="false">IFERROR(INDEX(Assessments!$I$2:$I$600,MATCH($H278&amp;"|"&amp;$I278&amp;"|"&amp;$J278&amp;"|"&amp;2,Assessments!$A$2:$A$600,0)),"")</f>
        <v>Econ Test</v>
      </c>
      <c r="CK278" s="28" t="str">
        <f aca="false">IFERROR(INDEX(Assessments!$I$2:$I$600,MATCH($H278&amp;"|"&amp;$I278&amp;"|"&amp;$J278&amp;"|"&amp;3,Assessments!$A$2:$A$600,0)),"")</f>
        <v>Econ Test</v>
      </c>
      <c r="CL278" s="28" t="str">
        <f aca="false">IFERROR(INDEX(Assessments!$I$2:$I$600,MATCH($H278&amp;"|"&amp;$I278&amp;"|"&amp;$J278&amp;"|"&amp;4,Assessments!$A$2:$A$600,0)),"")</f>
        <v>Econ Test</v>
      </c>
      <c r="CM278" s="28" t="str">
        <f aca="false">IFERROR(INDEX(Assessments!$I$2:$I$600,MATCH($H278&amp;"|"&amp;$I278&amp;"|"&amp;$J278&amp;"|"&amp;5,Assessments!$A$2:$A$600,0)),"")</f>
        <v>Econ Exam</v>
      </c>
      <c r="CN278" s="28" t="str">
        <f aca="false">IFERROR(INDEX(Assessments!$I$2:$I$600,MATCH($H278&amp;"|"&amp;$I278&amp;"|"&amp;$J278&amp;"|"&amp;6,Assessments!$A$2:$A$600,0)),"")</f>
        <v>Econ Test</v>
      </c>
      <c r="CO278" s="28" t="str">
        <f aca="false">IFERROR(INDEX(Assessments!$I$2:$I$600,MATCH($H278&amp;"|"&amp;$I278&amp;"|"&amp;$J278&amp;"|"&amp;7,Assessments!$A$2:$A$600,0)),"")</f>
        <v>Econ Exam</v>
      </c>
      <c r="CP278" s="28" t="str">
        <f aca="false">IFERROR(INDEX(Assessments!$I$2:$I$600,MATCH($H278&amp;"|"&amp;$I278&amp;"|"&amp;$J278&amp;"|"&amp;8,Assessments!$A$2:$A$600,0)),"")</f>
        <v/>
      </c>
      <c r="CQ278" s="28" t="str">
        <f aca="false">IFERROR(INDEX(Assessments!$I$2:$I$600,MATCH($H278&amp;"|"&amp;$I278&amp;"|"&amp;$J278&amp;"|"&amp;9,Assessments!$A$2:$A$600,0)),"")</f>
        <v/>
      </c>
      <c r="CR278" s="28" t="str">
        <f aca="false">IFERROR(INDEX(Assessments!$I$2:$I$600,MATCH($H278&amp;"|"&amp;$I278&amp;"|"&amp;$J278&amp;"|"&amp;10,Assessments!$A$2:$A$600,0)),"")</f>
        <v/>
      </c>
      <c r="CS278" s="28" t="str">
        <f aca="false">IFERROR(INDEX(Assessments!$I$2:$I$600,MATCH($H278&amp;"|"&amp;$I278&amp;"|"&amp;$J278&amp;"|"&amp;11,Assessments!$A$2:$A$600,0)),"")</f>
        <v/>
      </c>
      <c r="CT278" s="28" t="str">
        <f aca="false">IFERROR(INDEX(Assessments!$I$2:$I$600,MATCH($H278&amp;"|"&amp;$I278&amp;"|"&amp;$J278&amp;"|"&amp;12,Assessments!$A$2:$A$600,0)),"")</f>
        <v/>
      </c>
      <c r="CU278" s="28" t="str">
        <f aca="false">IFERROR(INDEX(Assessments!$I$2:$I$600,MATCH($H278&amp;"|"&amp;$I278&amp;"|"&amp;$J278&amp;"|"&amp;13,Assessments!$A$2:$A$600,0)),"")</f>
        <v/>
      </c>
      <c r="CV278" s="28" t="str">
        <f aca="false">IFERROR(INDEX(Assessments!$I$2:$I$600,MATCH($H278&amp;"|"&amp;$I278&amp;"|"&amp;$J278&amp;"|"&amp;14,Assessments!$A$2:$A$600,0)),"")</f>
        <v/>
      </c>
      <c r="CW278" s="28" t="n">
        <f aca="false">IFERROR(INDEX(Assessments!$J$2:$J$600,MATCH($H278&amp;"|"&amp;$I278&amp;"|"&amp;$J278&amp;"|"&amp;1,Assessments!$A$2:$A$600,0)),0)</f>
        <v>1</v>
      </c>
      <c r="CX278" s="28" t="n">
        <f aca="false">IFERROR(INDEX(Assessments!$J$2:$J$600,MATCH($H278&amp;"|"&amp;$I278&amp;"|"&amp;$J278&amp;"|"&amp;2,Assessments!$A$2:$A$600,0)),0)</f>
        <v>1</v>
      </c>
      <c r="CY278" s="28" t="n">
        <f aca="false">IFERROR(INDEX(Assessments!$J$2:$J$600,MATCH($H278&amp;"|"&amp;$I278&amp;"|"&amp;$J278&amp;"|"&amp;3,Assessments!$A$2:$A$600,0)),0)</f>
        <v>1</v>
      </c>
      <c r="CZ278" s="28" t="n">
        <f aca="false">IFERROR(INDEX(Assessments!$J$2:$J$600,MATCH($H278&amp;"|"&amp;$I278&amp;"|"&amp;$J278&amp;"|"&amp;4,Assessments!$A$2:$A$600,0)),0)</f>
        <v>1</v>
      </c>
      <c r="DA278" s="28" t="n">
        <f aca="false">IFERROR(INDEX(Assessments!$J$2:$J$600,MATCH($H278&amp;"|"&amp;$I278&amp;"|"&amp;$J278&amp;"|"&amp;5,Assessments!$A$2:$A$600,0)),0)</f>
        <v>2</v>
      </c>
      <c r="DB278" s="28" t="n">
        <f aca="false">IFERROR(INDEX(Assessments!$J$2:$J$600,MATCH($H278&amp;"|"&amp;$I278&amp;"|"&amp;$J278&amp;"|"&amp;6,Assessments!$A$2:$A$600,0)),0)</f>
        <v>1</v>
      </c>
      <c r="DC278" s="28" t="n">
        <f aca="false">IFERROR(INDEX(Assessments!$J$2:$J$600,MATCH($H278&amp;"|"&amp;$I278&amp;"|"&amp;$J278&amp;"|"&amp;7,Assessments!$A$2:$A$600,0)),0)</f>
        <v>2</v>
      </c>
      <c r="DD278" s="28" t="n">
        <f aca="false">IFERROR(INDEX(Assessments!$J$2:$J$600,MATCH($H278&amp;"|"&amp;$I278&amp;"|"&amp;$J278&amp;"|"&amp;8,Assessments!$A$2:$A$600,0)),0)</f>
        <v>0</v>
      </c>
      <c r="DE278" s="28" t="n">
        <f aca="false">IFERROR(INDEX(Assessments!$J$2:$J$600,MATCH($H278&amp;"|"&amp;$I278&amp;"|"&amp;$J278&amp;"|"&amp;9,Assessments!$A$2:$A$600,0)),0)</f>
        <v>0</v>
      </c>
      <c r="DF278" s="28" t="n">
        <f aca="false">IFERROR(INDEX(Assessments!$J$2:$J$600,MATCH($H278&amp;"|"&amp;$I278&amp;"|"&amp;$J278&amp;"|"&amp;10,Assessments!$A$2:$A$600,0)),0)</f>
        <v>0</v>
      </c>
      <c r="DG278" s="28" t="n">
        <f aca="false">IFERROR(INDEX(Assessments!$J$2:$J$600,MATCH($H278&amp;"|"&amp;$I278&amp;"|"&amp;$J278&amp;"|"&amp;11,Assessments!$A$2:$A$600,0)),0)</f>
        <v>0</v>
      </c>
      <c r="DH278" s="28" t="n">
        <f aca="false">IFERROR(INDEX(Assessments!$J$2:$J$600,MATCH($H278&amp;"|"&amp;$I278&amp;"|"&amp;$J278&amp;"|"&amp;12,Assessments!$A$2:$A$600,0)),0)</f>
        <v>0</v>
      </c>
      <c r="DI278" s="28" t="n">
        <f aca="false">IFERROR(INDEX(Assessments!$J$2:$J$600,MATCH($H278&amp;"|"&amp;$I278&amp;"|"&amp;$J278&amp;"|"&amp;13,Assessments!$A$2:$A$600,0)),0)</f>
        <v>0</v>
      </c>
      <c r="DJ278" s="28" t="n">
        <f aca="false">IFERROR(INDEX(Assessments!$J$2:$J$600,MATCH($H278&amp;"|"&amp;$I278&amp;"|"&amp;$J278&amp;"|"&amp;14,Assessments!$A$2:$A$600,0)),0)</f>
        <v>0</v>
      </c>
      <c r="DK278" s="28" t="str">
        <f aca="false">S278</f>
        <v/>
      </c>
      <c r="DL278" s="28" t="str">
        <f aca="false">W278</f>
        <v/>
      </c>
      <c r="DM278" s="28" t="str">
        <f aca="false">AA278</f>
        <v/>
      </c>
      <c r="DN278" s="28" t="str">
        <f aca="false">AE278</f>
        <v/>
      </c>
      <c r="DO278" s="28" t="str">
        <f aca="false">AI278</f>
        <v/>
      </c>
      <c r="DP278" s="28" t="str">
        <f aca="false">AM278</f>
        <v/>
      </c>
      <c r="DQ278" s="28" t="str">
        <f aca="false">AQ278</f>
        <v/>
      </c>
      <c r="DR278" s="28" t="str">
        <f aca="false">AU278</f>
        <v/>
      </c>
      <c r="DS278" s="28" t="str">
        <f aca="false">AY278</f>
        <v/>
      </c>
      <c r="DT278" s="28" t="str">
        <f aca="false">BC278</f>
        <v/>
      </c>
      <c r="DU278" s="28" t="str">
        <f aca="false">BG278</f>
        <v/>
      </c>
      <c r="DV278" s="28" t="str">
        <f aca="false">BK278</f>
        <v/>
      </c>
      <c r="DW278" s="28" t="str">
        <f aca="false">BO278</f>
        <v/>
      </c>
      <c r="DX278" s="28" t="str">
        <f aca="false">BS278</f>
        <v/>
      </c>
      <c r="DY278" s="28" t="str">
        <f aca="false">IF(ISNUMBER(S278),1,"")</f>
        <v/>
      </c>
      <c r="DZ278" s="28" t="str">
        <f aca="false">IF(ISNUMBER(W278),2,"")</f>
        <v/>
      </c>
      <c r="EA278" s="28" t="str">
        <f aca="false">IF(ISNUMBER(AA278),3,"")</f>
        <v/>
      </c>
      <c r="EB278" s="28" t="str">
        <f aca="false">IF(ISNUMBER(AE278),4,"")</f>
        <v/>
      </c>
      <c r="EC278" s="28" t="str">
        <f aca="false">IF(ISNUMBER(AI278),5,"")</f>
        <v/>
      </c>
      <c r="ED278" s="28" t="str">
        <f aca="false">IF(ISNUMBER(AM278),6,"")</f>
        <v/>
      </c>
      <c r="EE278" s="28" t="str">
        <f aca="false">IF(ISNUMBER(AQ278),7,"")</f>
        <v/>
      </c>
      <c r="EF278" s="28" t="str">
        <f aca="false">IF(ISNUMBER(AU278),8,"")</f>
        <v/>
      </c>
      <c r="EG278" s="28" t="str">
        <f aca="false">IF(ISNUMBER(AY278),9,"")</f>
        <v/>
      </c>
      <c r="EH278" s="28" t="str">
        <f aca="false">IF(ISNUMBER(BC278),10,"")</f>
        <v/>
      </c>
      <c r="EI278" s="28" t="str">
        <f aca="false">IF(ISNUMBER(BG278),11,"")</f>
        <v/>
      </c>
      <c r="EJ278" s="28" t="str">
        <f aca="false">IF(ISNUMBER(BK278),12,"")</f>
        <v/>
      </c>
      <c r="EK278" s="28" t="str">
        <f aca="false">IF(ISNUMBER(BO278),13,"")</f>
        <v/>
      </c>
      <c r="EL278" s="28" t="str">
        <f aca="false">IF(ISNUMBER(BS278),14,"")</f>
        <v/>
      </c>
      <c r="EM278" s="28" t="n">
        <f aca="false">IF(ISNUMBER(R278),R278*CW278,0)</f>
        <v>0</v>
      </c>
      <c r="EN278" s="28" t="n">
        <f aca="false">IF(ISNUMBER(V278),V278*CX278,0)</f>
        <v>0</v>
      </c>
      <c r="EO278" s="28" t="n">
        <f aca="false">IF(ISNUMBER(Z278),Z278*CY278,0)</f>
        <v>0</v>
      </c>
      <c r="EP278" s="28" t="n">
        <f aca="false">IF(ISNUMBER(AD278),AD278*CZ278,0)</f>
        <v>0</v>
      </c>
      <c r="EQ278" s="28" t="n">
        <f aca="false">IF(ISNUMBER(AH278),AH278*DA278,0)</f>
        <v>0</v>
      </c>
      <c r="ER278" s="28" t="n">
        <f aca="false">IF(ISNUMBER(AL278),AL278*DB278,0)</f>
        <v>0</v>
      </c>
      <c r="ES278" s="28" t="n">
        <f aca="false">IF(ISNUMBER(AP278),AP278*DC278,0)</f>
        <v>0</v>
      </c>
      <c r="ET278" s="28" t="n">
        <f aca="false">IF(ISNUMBER(AT278),AT278*DD278,0)</f>
        <v>0</v>
      </c>
      <c r="EU278" s="28" t="n">
        <f aca="false">IF(ISNUMBER(AX278),AX278*DE278,0)</f>
        <v>0</v>
      </c>
      <c r="EV278" s="28" t="n">
        <f aca="false">IF(ISNUMBER(BB278),BB278*DF278,0)</f>
        <v>0</v>
      </c>
      <c r="EW278" s="28" t="n">
        <f aca="false">IF(ISNUMBER(BF278),BF278*DG278,0)</f>
        <v>0</v>
      </c>
      <c r="EX278" s="28" t="n">
        <f aca="false">IF(ISNUMBER(BJ278),BJ278*DH278,0)</f>
        <v>0</v>
      </c>
      <c r="EY278" s="28" t="n">
        <f aca="false">IF(ISNUMBER(BN278),BN278*DI278,0)</f>
        <v>0</v>
      </c>
      <c r="EZ278" s="28" t="n">
        <f aca="false">IF(ISNUMBER(BR278),BR278*DJ278,0)</f>
        <v>0</v>
      </c>
      <c r="FA278" s="28" t="n">
        <f aca="false">IF(ISNUMBER(R278),CW278,0)</f>
        <v>0</v>
      </c>
      <c r="FB278" s="28" t="n">
        <f aca="false">IF(ISNUMBER(V278),CX278,0)</f>
        <v>0</v>
      </c>
      <c r="FC278" s="28" t="n">
        <f aca="false">IF(ISNUMBER(Z278),CY278,0)</f>
        <v>0</v>
      </c>
      <c r="FD278" s="28" t="n">
        <f aca="false">IF(ISNUMBER(AD278),CZ278,0)</f>
        <v>0</v>
      </c>
      <c r="FE278" s="28" t="n">
        <f aca="false">IF(ISNUMBER(AH278),DA278,0)</f>
        <v>0</v>
      </c>
      <c r="FF278" s="28" t="n">
        <f aca="false">IF(ISNUMBER(AL278),DB278,0)</f>
        <v>0</v>
      </c>
      <c r="FG278" s="28" t="n">
        <f aca="false">IF(ISNUMBER(AP278),DC278,0)</f>
        <v>0</v>
      </c>
      <c r="FH278" s="28" t="n">
        <f aca="false">IF(ISNUMBER(AT278),DD278,0)</f>
        <v>0</v>
      </c>
      <c r="FI278" s="28" t="n">
        <f aca="false">IF(ISNUMBER(AX278),DE278,0)</f>
        <v>0</v>
      </c>
      <c r="FJ278" s="28" t="n">
        <f aca="false">IF(ISNUMBER(BB278),DF278,0)</f>
        <v>0</v>
      </c>
      <c r="FK278" s="28" t="n">
        <f aca="false">IF(ISNUMBER(BF278),DG278,0)</f>
        <v>0</v>
      </c>
      <c r="FL278" s="28" t="n">
        <f aca="false">IF(ISNUMBER(BJ278),DH278,0)</f>
        <v>0</v>
      </c>
      <c r="FM278" s="28" t="n">
        <f aca="false">IF(ISNUMBER(BN278),DI278,0)</f>
        <v>0</v>
      </c>
      <c r="FN278" s="28" t="n">
        <f aca="false">IF(ISNUMBER(BR278),DJ278,0)</f>
        <v>0</v>
      </c>
      <c r="FO278" s="28" t="str">
        <f aca="false">IFERROR(INDEX(Lists!$G$2:$G$20,MATCH($I278&amp;"|"&amp;$J278,Lists!$F$2:$F$20,0)),"")</f>
        <v>Econ Exam</v>
      </c>
    </row>
    <row r="279" customFormat="false" ht="19.5" hidden="false" customHeight="true" outlineLevel="0" collapsed="false">
      <c r="A279" s="29" t="s">
        <v>560</v>
      </c>
      <c r="B279" s="29" t="s">
        <v>561</v>
      </c>
      <c r="C279" s="30" t="s">
        <v>152</v>
      </c>
      <c r="D279" s="30" t="s">
        <v>246</v>
      </c>
      <c r="E279" s="31"/>
      <c r="F279" s="30"/>
      <c r="G279" s="30"/>
      <c r="H279" s="32" t="s">
        <v>428</v>
      </c>
      <c r="I279" s="33" t="s">
        <v>229</v>
      </c>
      <c r="J279" s="32" t="s">
        <v>223</v>
      </c>
      <c r="K279" s="34" t="str">
        <f aca="false">IF(OR(M279="",$E279=""),"",M279-$E279)</f>
        <v/>
      </c>
      <c r="L279" s="35" t="str">
        <f aca="false">IF(SUM(FA279:FN279)=0,"",SUM(EM279:EZ279)/SUM(FA279:FN279))</f>
        <v/>
      </c>
      <c r="M279" s="36" t="str">
        <f aca="false">IF(OR(L279="",FO279=""),"",IFERROR(MATCH(L279,INDEX(Boundaries!$B$2:$I$30,MATCH(FO279,Boundaries!$A$2:$A$30,0),0),1)-1,""))</f>
        <v/>
      </c>
      <c r="N279" s="37" t="str">
        <f aca="false">IF(COUNT($DY279:$EL279)&lt;2,"",INDEX($DK279:$DX279,MAX($DY279:$EL279))-INDEX($DK279:$DX279,MIN($DY279:$EL279)))</f>
        <v/>
      </c>
      <c r="O279" s="37" t="str">
        <f aca="false">IF(COUNT($DY279:$EL279)&lt;2,"",INDEX($DK279:$DX279,MAX($DY279:$EL279))-INDEX($DK279:$DX279,LARGE($DY279:$EL279,2)))</f>
        <v/>
      </c>
      <c r="P279" s="38" t="str">
        <f aca="false">IF(K279="","",IF(K279&gt;=0,"On/above target",IF(AND(N279&lt;&gt;"",N279&gt;=0.5),"Improving towards target",IF(AND(O279&lt;&gt;"",O279&lt;=-0.5),"Declining","Stable below target"))))</f>
        <v/>
      </c>
      <c r="Q279" s="39"/>
      <c r="R279" s="40" t="str">
        <f aca="false">IF(OR(Q279="",BU279=""),"",Q279/BU279*100)</f>
        <v/>
      </c>
      <c r="S279" s="41" t="str">
        <f aca="false">IF(R279="","",IFERROR(MATCH(R279,INDEX(Boundaries!$B$2:$I$30,MATCH(CI279,Boundaries!$A$2:$A$30,0),0),1)-1,""))</f>
        <v/>
      </c>
      <c r="T279" s="42" t="str">
        <f aca="false">IF(OR(S279="",$E279=""),"",S279-$E279)</f>
        <v/>
      </c>
      <c r="U279" s="39"/>
      <c r="V279" s="40" t="str">
        <f aca="false">IF(OR(U279="",BV279=""),"",U279/BV279*100)</f>
        <v/>
      </c>
      <c r="W279" s="41" t="str">
        <f aca="false">IF(V279="","",IFERROR(MATCH(V279,INDEX(Boundaries!$B$2:$I$30,MATCH(CJ279,Boundaries!$A$2:$A$30,0),0),1)-1,""))</f>
        <v/>
      </c>
      <c r="X279" s="42" t="str">
        <f aca="false">IF(OR(W279="",$E279=""),"",W279-$E279)</f>
        <v/>
      </c>
      <c r="Y279" s="39"/>
      <c r="Z279" s="40" t="str">
        <f aca="false">IF(OR(Y279="",BW279=""),"",Y279/BW279*100)</f>
        <v/>
      </c>
      <c r="AA279" s="41" t="str">
        <f aca="false">IF(Z279="","",IFERROR(MATCH(Z279,INDEX(Boundaries!$B$2:$I$30,MATCH(CK279,Boundaries!$A$2:$A$30,0),0),1)-1,""))</f>
        <v/>
      </c>
      <c r="AB279" s="42" t="str">
        <f aca="false">IF(OR(AA279="",$E279=""),"",AA279-$E279)</f>
        <v/>
      </c>
      <c r="AC279" s="39"/>
      <c r="AD279" s="40" t="str">
        <f aca="false">IF(OR(AC279="",BX279=""),"",AC279/BX279*100)</f>
        <v/>
      </c>
      <c r="AE279" s="41" t="str">
        <f aca="false">IF(AD279="","",IFERROR(MATCH(AD279,INDEX(Boundaries!$B$2:$I$30,MATCH(CL279,Boundaries!$A$2:$A$30,0),0),1)-1,""))</f>
        <v/>
      </c>
      <c r="AF279" s="42" t="str">
        <f aca="false">IF(OR(AE279="",$E279=""),"",AE279-$E279)</f>
        <v/>
      </c>
      <c r="AG279" s="39"/>
      <c r="AH279" s="40" t="str">
        <f aca="false">IF(OR(AG279="",BY279=""),"",AG279/BY279*100)</f>
        <v/>
      </c>
      <c r="AI279" s="41" t="str">
        <f aca="false">IF(AH279="","",IFERROR(MATCH(AH279,INDEX(Boundaries!$B$2:$I$30,MATCH(CM279,Boundaries!$A$2:$A$30,0),0),1)-1,""))</f>
        <v/>
      </c>
      <c r="AJ279" s="42" t="str">
        <f aca="false">IF(OR(AI279="",$E279=""),"",AI279-$E279)</f>
        <v/>
      </c>
      <c r="AK279" s="39"/>
      <c r="AL279" s="40" t="str">
        <f aca="false">IF(OR(AK279="",BZ279=""),"",AK279/BZ279*100)</f>
        <v/>
      </c>
      <c r="AM279" s="41" t="str">
        <f aca="false">IF(AL279="","",IFERROR(MATCH(AL279,INDEX(Boundaries!$B$2:$I$30,MATCH(CN279,Boundaries!$A$2:$A$30,0),0),1)-1,""))</f>
        <v/>
      </c>
      <c r="AN279" s="42" t="str">
        <f aca="false">IF(OR(AM279="",$E279=""),"",AM279-$E279)</f>
        <v/>
      </c>
      <c r="AO279" s="39"/>
      <c r="AP279" s="40" t="str">
        <f aca="false">IF(OR(AO279="",CA279=""),"",AO279/CA279*100)</f>
        <v/>
      </c>
      <c r="AQ279" s="41" t="str">
        <f aca="false">IF(AP279="","",IFERROR(MATCH(AP279,INDEX(Boundaries!$B$2:$I$30,MATCH(CO279,Boundaries!$A$2:$A$30,0),0),1)-1,""))</f>
        <v/>
      </c>
      <c r="AR279" s="42" t="str">
        <f aca="false">IF(OR(AQ279="",$E279=""),"",AQ279-$E279)</f>
        <v/>
      </c>
      <c r="AS279" s="39"/>
      <c r="AT279" s="40" t="str">
        <f aca="false">IF(OR(AS279="",CB279=""),"",AS279/CB279*100)</f>
        <v/>
      </c>
      <c r="AU279" s="41" t="str">
        <f aca="false">IF(AT279="","",IFERROR(MATCH(AT279,INDEX(Boundaries!$B$2:$I$30,MATCH(CP279,Boundaries!$A$2:$A$30,0),0),1)-1,""))</f>
        <v/>
      </c>
      <c r="AV279" s="42" t="str">
        <f aca="false">IF(OR(AU279="",$E279=""),"",AU279-$E279)</f>
        <v/>
      </c>
      <c r="AW279" s="39"/>
      <c r="AX279" s="40" t="str">
        <f aca="false">IF(OR(AW279="",CC279=""),"",AW279/CC279*100)</f>
        <v/>
      </c>
      <c r="AY279" s="41" t="str">
        <f aca="false">IF(AX279="","",IFERROR(MATCH(AX279,INDEX(Boundaries!$B$2:$I$30,MATCH(CQ279,Boundaries!$A$2:$A$30,0),0),1)-1,""))</f>
        <v/>
      </c>
      <c r="AZ279" s="42" t="str">
        <f aca="false">IF(OR(AY279="",$E279=""),"",AY279-$E279)</f>
        <v/>
      </c>
      <c r="BA279" s="39"/>
      <c r="BB279" s="40" t="str">
        <f aca="false">IF(OR(BA279="",CD279=""),"",BA279/CD279*100)</f>
        <v/>
      </c>
      <c r="BC279" s="41" t="str">
        <f aca="false">IF(BB279="","",IFERROR(MATCH(BB279,INDEX(Boundaries!$B$2:$I$30,MATCH(CR279,Boundaries!$A$2:$A$30,0),0),1)-1,""))</f>
        <v/>
      </c>
      <c r="BD279" s="42" t="str">
        <f aca="false">IF(OR(BC279="",$E279=""),"",BC279-$E279)</f>
        <v/>
      </c>
      <c r="BE279" s="39"/>
      <c r="BF279" s="40" t="str">
        <f aca="false">IF(OR(BE279="",CE279=""),"",BE279/CE279*100)</f>
        <v/>
      </c>
      <c r="BG279" s="41" t="str">
        <f aca="false">IF(BF279="","",IFERROR(MATCH(BF279,INDEX(Boundaries!$B$2:$I$30,MATCH(CS279,Boundaries!$A$2:$A$30,0),0),1)-1,""))</f>
        <v/>
      </c>
      <c r="BH279" s="42" t="str">
        <f aca="false">IF(OR(BG279="",$E279=""),"",BG279-$E279)</f>
        <v/>
      </c>
      <c r="BI279" s="39"/>
      <c r="BJ279" s="40" t="str">
        <f aca="false">IF(OR(BI279="",CF279=""),"",BI279/CF279*100)</f>
        <v/>
      </c>
      <c r="BK279" s="41" t="str">
        <f aca="false">IF(BJ279="","",IFERROR(MATCH(BJ279,INDEX(Boundaries!$B$2:$I$30,MATCH(CT279,Boundaries!$A$2:$A$30,0),0),1)-1,""))</f>
        <v/>
      </c>
      <c r="BL279" s="42" t="str">
        <f aca="false">IF(OR(BK279="",$E279=""),"",BK279-$E279)</f>
        <v/>
      </c>
      <c r="BM279" s="39"/>
      <c r="BN279" s="40" t="str">
        <f aca="false">IF(OR(BM279="",CG279=""),"",BM279/CG279*100)</f>
        <v/>
      </c>
      <c r="BO279" s="41" t="str">
        <f aca="false">IF(BN279="","",IFERROR(MATCH(BN279,INDEX(Boundaries!$B$2:$I$30,MATCH(CU279,Boundaries!$A$2:$A$30,0),0),1)-1,""))</f>
        <v/>
      </c>
      <c r="BP279" s="42" t="str">
        <f aca="false">IF(OR(BO279="",$E279=""),"",BO279-$E279)</f>
        <v/>
      </c>
      <c r="BQ279" s="39"/>
      <c r="BR279" s="40" t="str">
        <f aca="false">IF(OR(BQ279="",CH279=""),"",BQ279/CH279*100)</f>
        <v/>
      </c>
      <c r="BS279" s="41" t="str">
        <f aca="false">IF(BR279="","",IFERROR(MATCH(BR279,INDEX(Boundaries!$B$2:$I$30,MATCH(CV279,Boundaries!$A$2:$A$30,0),0),1)-1,""))</f>
        <v/>
      </c>
      <c r="BT279" s="42" t="str">
        <f aca="false">IF(OR(BS279="",$E279=""),"",BS279-$E279)</f>
        <v/>
      </c>
      <c r="BU279" s="28" t="n">
        <f aca="false">IFERROR(INDEX(Assessments!$H$2:$H$600,MATCH($H279&amp;"|"&amp;$I279&amp;"|"&amp;$J279&amp;"|"&amp;1,Assessments!$A$2:$A$600,0)),"")</f>
        <v>25</v>
      </c>
      <c r="BV279" s="28" t="n">
        <f aca="false">IFERROR(INDEX(Assessments!$H$2:$H$600,MATCH($H279&amp;"|"&amp;$I279&amp;"|"&amp;$J279&amp;"|"&amp;2,Assessments!$A$2:$A$600,0)),"")</f>
        <v>20</v>
      </c>
      <c r="BW279" s="28" t="n">
        <f aca="false">IFERROR(INDEX(Assessments!$H$2:$H$600,MATCH($H279&amp;"|"&amp;$I279&amp;"|"&amp;$J279&amp;"|"&amp;3,Assessments!$A$2:$A$600,0)),"")</f>
        <v>25</v>
      </c>
      <c r="BX279" s="28" t="n">
        <f aca="false">IFERROR(INDEX(Assessments!$H$2:$H$600,MATCH($H279&amp;"|"&amp;$I279&amp;"|"&amp;$J279&amp;"|"&amp;4,Assessments!$A$2:$A$600,0)),"")</f>
        <v>23</v>
      </c>
      <c r="BY279" s="28" t="n">
        <f aca="false">IFERROR(INDEX(Assessments!$H$2:$H$600,MATCH($H279&amp;"|"&amp;$I279&amp;"|"&amp;$J279&amp;"|"&amp;5,Assessments!$A$2:$A$600,0)),"")</f>
        <v>25</v>
      </c>
      <c r="BZ279" s="28" t="n">
        <f aca="false">IFERROR(INDEX(Assessments!$H$2:$H$600,MATCH($H279&amp;"|"&amp;$I279&amp;"|"&amp;$J279&amp;"|"&amp;6,Assessments!$A$2:$A$600,0)),"")</f>
        <v>23</v>
      </c>
      <c r="CA279" s="28" t="n">
        <f aca="false">IFERROR(INDEX(Assessments!$H$2:$H$600,MATCH($H279&amp;"|"&amp;$I279&amp;"|"&amp;$J279&amp;"|"&amp;7,Assessments!$A$2:$A$600,0)),"")</f>
        <v>52</v>
      </c>
      <c r="CB279" s="28" t="str">
        <f aca="false">IFERROR(INDEX(Assessments!$H$2:$H$600,MATCH($H279&amp;"|"&amp;$I279&amp;"|"&amp;$J279&amp;"|"&amp;8,Assessments!$A$2:$A$600,0)),"")</f>
        <v/>
      </c>
      <c r="CC279" s="28" t="str">
        <f aca="false">IFERROR(INDEX(Assessments!$H$2:$H$600,MATCH($H279&amp;"|"&amp;$I279&amp;"|"&amp;$J279&amp;"|"&amp;9,Assessments!$A$2:$A$600,0)),"")</f>
        <v/>
      </c>
      <c r="CD279" s="28" t="str">
        <f aca="false">IFERROR(INDEX(Assessments!$H$2:$H$600,MATCH($H279&amp;"|"&amp;$I279&amp;"|"&amp;$J279&amp;"|"&amp;10,Assessments!$A$2:$A$600,0)),"")</f>
        <v/>
      </c>
      <c r="CE279" s="28" t="str">
        <f aca="false">IFERROR(INDEX(Assessments!$H$2:$H$600,MATCH($H279&amp;"|"&amp;$I279&amp;"|"&amp;$J279&amp;"|"&amp;11,Assessments!$A$2:$A$600,0)),"")</f>
        <v/>
      </c>
      <c r="CF279" s="28" t="str">
        <f aca="false">IFERROR(INDEX(Assessments!$H$2:$H$600,MATCH($H279&amp;"|"&amp;$I279&amp;"|"&amp;$J279&amp;"|"&amp;12,Assessments!$A$2:$A$600,0)),"")</f>
        <v/>
      </c>
      <c r="CG279" s="28" t="str">
        <f aca="false">IFERROR(INDEX(Assessments!$H$2:$H$600,MATCH($H279&amp;"|"&amp;$I279&amp;"|"&amp;$J279&amp;"|"&amp;13,Assessments!$A$2:$A$600,0)),"")</f>
        <v/>
      </c>
      <c r="CH279" s="28" t="str">
        <f aca="false">IFERROR(INDEX(Assessments!$H$2:$H$600,MATCH($H279&amp;"|"&amp;$I279&amp;"|"&amp;$J279&amp;"|"&amp;14,Assessments!$A$2:$A$600,0)),"")</f>
        <v/>
      </c>
      <c r="CI279" s="28" t="str">
        <f aca="false">IFERROR(INDEX(Assessments!$I$2:$I$600,MATCH($H279&amp;"|"&amp;$I279&amp;"|"&amp;$J279&amp;"|"&amp;1,Assessments!$A$2:$A$600,0)),"")</f>
        <v>Econ Test</v>
      </c>
      <c r="CJ279" s="28" t="str">
        <f aca="false">IFERROR(INDEX(Assessments!$I$2:$I$600,MATCH($H279&amp;"|"&amp;$I279&amp;"|"&amp;$J279&amp;"|"&amp;2,Assessments!$A$2:$A$600,0)),"")</f>
        <v>Econ Test</v>
      </c>
      <c r="CK279" s="28" t="str">
        <f aca="false">IFERROR(INDEX(Assessments!$I$2:$I$600,MATCH($H279&amp;"|"&amp;$I279&amp;"|"&amp;$J279&amp;"|"&amp;3,Assessments!$A$2:$A$600,0)),"")</f>
        <v>Econ Test</v>
      </c>
      <c r="CL279" s="28" t="str">
        <f aca="false">IFERROR(INDEX(Assessments!$I$2:$I$600,MATCH($H279&amp;"|"&amp;$I279&amp;"|"&amp;$J279&amp;"|"&amp;4,Assessments!$A$2:$A$600,0)),"")</f>
        <v>Econ Test</v>
      </c>
      <c r="CM279" s="28" t="str">
        <f aca="false">IFERROR(INDEX(Assessments!$I$2:$I$600,MATCH($H279&amp;"|"&amp;$I279&amp;"|"&amp;$J279&amp;"|"&amp;5,Assessments!$A$2:$A$600,0)),"")</f>
        <v>Econ Exam</v>
      </c>
      <c r="CN279" s="28" t="str">
        <f aca="false">IFERROR(INDEX(Assessments!$I$2:$I$600,MATCH($H279&amp;"|"&amp;$I279&amp;"|"&amp;$J279&amp;"|"&amp;6,Assessments!$A$2:$A$600,0)),"")</f>
        <v>Econ Test</v>
      </c>
      <c r="CO279" s="28" t="str">
        <f aca="false">IFERROR(INDEX(Assessments!$I$2:$I$600,MATCH($H279&amp;"|"&amp;$I279&amp;"|"&amp;$J279&amp;"|"&amp;7,Assessments!$A$2:$A$600,0)),"")</f>
        <v>Econ Exam</v>
      </c>
      <c r="CP279" s="28" t="str">
        <f aca="false">IFERROR(INDEX(Assessments!$I$2:$I$600,MATCH($H279&amp;"|"&amp;$I279&amp;"|"&amp;$J279&amp;"|"&amp;8,Assessments!$A$2:$A$600,0)),"")</f>
        <v/>
      </c>
      <c r="CQ279" s="28" t="str">
        <f aca="false">IFERROR(INDEX(Assessments!$I$2:$I$600,MATCH($H279&amp;"|"&amp;$I279&amp;"|"&amp;$J279&amp;"|"&amp;9,Assessments!$A$2:$A$600,0)),"")</f>
        <v/>
      </c>
      <c r="CR279" s="28" t="str">
        <f aca="false">IFERROR(INDEX(Assessments!$I$2:$I$600,MATCH($H279&amp;"|"&amp;$I279&amp;"|"&amp;$J279&amp;"|"&amp;10,Assessments!$A$2:$A$600,0)),"")</f>
        <v/>
      </c>
      <c r="CS279" s="28" t="str">
        <f aca="false">IFERROR(INDEX(Assessments!$I$2:$I$600,MATCH($H279&amp;"|"&amp;$I279&amp;"|"&amp;$J279&amp;"|"&amp;11,Assessments!$A$2:$A$600,0)),"")</f>
        <v/>
      </c>
      <c r="CT279" s="28" t="str">
        <f aca="false">IFERROR(INDEX(Assessments!$I$2:$I$600,MATCH($H279&amp;"|"&amp;$I279&amp;"|"&amp;$J279&amp;"|"&amp;12,Assessments!$A$2:$A$600,0)),"")</f>
        <v/>
      </c>
      <c r="CU279" s="28" t="str">
        <f aca="false">IFERROR(INDEX(Assessments!$I$2:$I$600,MATCH($H279&amp;"|"&amp;$I279&amp;"|"&amp;$J279&amp;"|"&amp;13,Assessments!$A$2:$A$600,0)),"")</f>
        <v/>
      </c>
      <c r="CV279" s="28" t="str">
        <f aca="false">IFERROR(INDEX(Assessments!$I$2:$I$600,MATCH($H279&amp;"|"&amp;$I279&amp;"|"&amp;$J279&amp;"|"&amp;14,Assessments!$A$2:$A$600,0)),"")</f>
        <v/>
      </c>
      <c r="CW279" s="28" t="n">
        <f aca="false">IFERROR(INDEX(Assessments!$J$2:$J$600,MATCH($H279&amp;"|"&amp;$I279&amp;"|"&amp;$J279&amp;"|"&amp;1,Assessments!$A$2:$A$600,0)),0)</f>
        <v>1</v>
      </c>
      <c r="CX279" s="28" t="n">
        <f aca="false">IFERROR(INDEX(Assessments!$J$2:$J$600,MATCH($H279&amp;"|"&amp;$I279&amp;"|"&amp;$J279&amp;"|"&amp;2,Assessments!$A$2:$A$600,0)),0)</f>
        <v>1</v>
      </c>
      <c r="CY279" s="28" t="n">
        <f aca="false">IFERROR(INDEX(Assessments!$J$2:$J$600,MATCH($H279&amp;"|"&amp;$I279&amp;"|"&amp;$J279&amp;"|"&amp;3,Assessments!$A$2:$A$600,0)),0)</f>
        <v>1</v>
      </c>
      <c r="CZ279" s="28" t="n">
        <f aca="false">IFERROR(INDEX(Assessments!$J$2:$J$600,MATCH($H279&amp;"|"&amp;$I279&amp;"|"&amp;$J279&amp;"|"&amp;4,Assessments!$A$2:$A$600,0)),0)</f>
        <v>1</v>
      </c>
      <c r="DA279" s="28" t="n">
        <f aca="false">IFERROR(INDEX(Assessments!$J$2:$J$600,MATCH($H279&amp;"|"&amp;$I279&amp;"|"&amp;$J279&amp;"|"&amp;5,Assessments!$A$2:$A$600,0)),0)</f>
        <v>2</v>
      </c>
      <c r="DB279" s="28" t="n">
        <f aca="false">IFERROR(INDEX(Assessments!$J$2:$J$600,MATCH($H279&amp;"|"&amp;$I279&amp;"|"&amp;$J279&amp;"|"&amp;6,Assessments!$A$2:$A$600,0)),0)</f>
        <v>1</v>
      </c>
      <c r="DC279" s="28" t="n">
        <f aca="false">IFERROR(INDEX(Assessments!$J$2:$J$600,MATCH($H279&amp;"|"&amp;$I279&amp;"|"&amp;$J279&amp;"|"&amp;7,Assessments!$A$2:$A$600,0)),0)</f>
        <v>2</v>
      </c>
      <c r="DD279" s="28" t="n">
        <f aca="false">IFERROR(INDEX(Assessments!$J$2:$J$600,MATCH($H279&amp;"|"&amp;$I279&amp;"|"&amp;$J279&amp;"|"&amp;8,Assessments!$A$2:$A$600,0)),0)</f>
        <v>0</v>
      </c>
      <c r="DE279" s="28" t="n">
        <f aca="false">IFERROR(INDEX(Assessments!$J$2:$J$600,MATCH($H279&amp;"|"&amp;$I279&amp;"|"&amp;$J279&amp;"|"&amp;9,Assessments!$A$2:$A$600,0)),0)</f>
        <v>0</v>
      </c>
      <c r="DF279" s="28" t="n">
        <f aca="false">IFERROR(INDEX(Assessments!$J$2:$J$600,MATCH($H279&amp;"|"&amp;$I279&amp;"|"&amp;$J279&amp;"|"&amp;10,Assessments!$A$2:$A$600,0)),0)</f>
        <v>0</v>
      </c>
      <c r="DG279" s="28" t="n">
        <f aca="false">IFERROR(INDEX(Assessments!$J$2:$J$600,MATCH($H279&amp;"|"&amp;$I279&amp;"|"&amp;$J279&amp;"|"&amp;11,Assessments!$A$2:$A$600,0)),0)</f>
        <v>0</v>
      </c>
      <c r="DH279" s="28" t="n">
        <f aca="false">IFERROR(INDEX(Assessments!$J$2:$J$600,MATCH($H279&amp;"|"&amp;$I279&amp;"|"&amp;$J279&amp;"|"&amp;12,Assessments!$A$2:$A$600,0)),0)</f>
        <v>0</v>
      </c>
      <c r="DI279" s="28" t="n">
        <f aca="false">IFERROR(INDEX(Assessments!$J$2:$J$600,MATCH($H279&amp;"|"&amp;$I279&amp;"|"&amp;$J279&amp;"|"&amp;13,Assessments!$A$2:$A$600,0)),0)</f>
        <v>0</v>
      </c>
      <c r="DJ279" s="28" t="n">
        <f aca="false">IFERROR(INDEX(Assessments!$J$2:$J$600,MATCH($H279&amp;"|"&amp;$I279&amp;"|"&amp;$J279&amp;"|"&amp;14,Assessments!$A$2:$A$600,0)),0)</f>
        <v>0</v>
      </c>
      <c r="DK279" s="28" t="str">
        <f aca="false">S279</f>
        <v/>
      </c>
      <c r="DL279" s="28" t="str">
        <f aca="false">W279</f>
        <v/>
      </c>
      <c r="DM279" s="28" t="str">
        <f aca="false">AA279</f>
        <v/>
      </c>
      <c r="DN279" s="28" t="str">
        <f aca="false">AE279</f>
        <v/>
      </c>
      <c r="DO279" s="28" t="str">
        <f aca="false">AI279</f>
        <v/>
      </c>
      <c r="DP279" s="28" t="str">
        <f aca="false">AM279</f>
        <v/>
      </c>
      <c r="DQ279" s="28" t="str">
        <f aca="false">AQ279</f>
        <v/>
      </c>
      <c r="DR279" s="28" t="str">
        <f aca="false">AU279</f>
        <v/>
      </c>
      <c r="DS279" s="28" t="str">
        <f aca="false">AY279</f>
        <v/>
      </c>
      <c r="DT279" s="28" t="str">
        <f aca="false">BC279</f>
        <v/>
      </c>
      <c r="DU279" s="28" t="str">
        <f aca="false">BG279</f>
        <v/>
      </c>
      <c r="DV279" s="28" t="str">
        <f aca="false">BK279</f>
        <v/>
      </c>
      <c r="DW279" s="28" t="str">
        <f aca="false">BO279</f>
        <v/>
      </c>
      <c r="DX279" s="28" t="str">
        <f aca="false">BS279</f>
        <v/>
      </c>
      <c r="DY279" s="28" t="str">
        <f aca="false">IF(ISNUMBER(S279),1,"")</f>
        <v/>
      </c>
      <c r="DZ279" s="28" t="str">
        <f aca="false">IF(ISNUMBER(W279),2,"")</f>
        <v/>
      </c>
      <c r="EA279" s="28" t="str">
        <f aca="false">IF(ISNUMBER(AA279),3,"")</f>
        <v/>
      </c>
      <c r="EB279" s="28" t="str">
        <f aca="false">IF(ISNUMBER(AE279),4,"")</f>
        <v/>
      </c>
      <c r="EC279" s="28" t="str">
        <f aca="false">IF(ISNUMBER(AI279),5,"")</f>
        <v/>
      </c>
      <c r="ED279" s="28" t="str">
        <f aca="false">IF(ISNUMBER(AM279),6,"")</f>
        <v/>
      </c>
      <c r="EE279" s="28" t="str">
        <f aca="false">IF(ISNUMBER(AQ279),7,"")</f>
        <v/>
      </c>
      <c r="EF279" s="28" t="str">
        <f aca="false">IF(ISNUMBER(AU279),8,"")</f>
        <v/>
      </c>
      <c r="EG279" s="28" t="str">
        <f aca="false">IF(ISNUMBER(AY279),9,"")</f>
        <v/>
      </c>
      <c r="EH279" s="28" t="str">
        <f aca="false">IF(ISNUMBER(BC279),10,"")</f>
        <v/>
      </c>
      <c r="EI279" s="28" t="str">
        <f aca="false">IF(ISNUMBER(BG279),11,"")</f>
        <v/>
      </c>
      <c r="EJ279" s="28" t="str">
        <f aca="false">IF(ISNUMBER(BK279),12,"")</f>
        <v/>
      </c>
      <c r="EK279" s="28" t="str">
        <f aca="false">IF(ISNUMBER(BO279),13,"")</f>
        <v/>
      </c>
      <c r="EL279" s="28" t="str">
        <f aca="false">IF(ISNUMBER(BS279),14,"")</f>
        <v/>
      </c>
      <c r="EM279" s="28" t="n">
        <f aca="false">IF(ISNUMBER(R279),R279*CW279,0)</f>
        <v>0</v>
      </c>
      <c r="EN279" s="28" t="n">
        <f aca="false">IF(ISNUMBER(V279),V279*CX279,0)</f>
        <v>0</v>
      </c>
      <c r="EO279" s="28" t="n">
        <f aca="false">IF(ISNUMBER(Z279),Z279*CY279,0)</f>
        <v>0</v>
      </c>
      <c r="EP279" s="28" t="n">
        <f aca="false">IF(ISNUMBER(AD279),AD279*CZ279,0)</f>
        <v>0</v>
      </c>
      <c r="EQ279" s="28" t="n">
        <f aca="false">IF(ISNUMBER(AH279),AH279*DA279,0)</f>
        <v>0</v>
      </c>
      <c r="ER279" s="28" t="n">
        <f aca="false">IF(ISNUMBER(AL279),AL279*DB279,0)</f>
        <v>0</v>
      </c>
      <c r="ES279" s="28" t="n">
        <f aca="false">IF(ISNUMBER(AP279),AP279*DC279,0)</f>
        <v>0</v>
      </c>
      <c r="ET279" s="28" t="n">
        <f aca="false">IF(ISNUMBER(AT279),AT279*DD279,0)</f>
        <v>0</v>
      </c>
      <c r="EU279" s="28" t="n">
        <f aca="false">IF(ISNUMBER(AX279),AX279*DE279,0)</f>
        <v>0</v>
      </c>
      <c r="EV279" s="28" t="n">
        <f aca="false">IF(ISNUMBER(BB279),BB279*DF279,0)</f>
        <v>0</v>
      </c>
      <c r="EW279" s="28" t="n">
        <f aca="false">IF(ISNUMBER(BF279),BF279*DG279,0)</f>
        <v>0</v>
      </c>
      <c r="EX279" s="28" t="n">
        <f aca="false">IF(ISNUMBER(BJ279),BJ279*DH279,0)</f>
        <v>0</v>
      </c>
      <c r="EY279" s="28" t="n">
        <f aca="false">IF(ISNUMBER(BN279),BN279*DI279,0)</f>
        <v>0</v>
      </c>
      <c r="EZ279" s="28" t="n">
        <f aca="false">IF(ISNUMBER(BR279),BR279*DJ279,0)</f>
        <v>0</v>
      </c>
      <c r="FA279" s="28" t="n">
        <f aca="false">IF(ISNUMBER(R279),CW279,0)</f>
        <v>0</v>
      </c>
      <c r="FB279" s="28" t="n">
        <f aca="false">IF(ISNUMBER(V279),CX279,0)</f>
        <v>0</v>
      </c>
      <c r="FC279" s="28" t="n">
        <f aca="false">IF(ISNUMBER(Z279),CY279,0)</f>
        <v>0</v>
      </c>
      <c r="FD279" s="28" t="n">
        <f aca="false">IF(ISNUMBER(AD279),CZ279,0)</f>
        <v>0</v>
      </c>
      <c r="FE279" s="28" t="n">
        <f aca="false">IF(ISNUMBER(AH279),DA279,0)</f>
        <v>0</v>
      </c>
      <c r="FF279" s="28" t="n">
        <f aca="false">IF(ISNUMBER(AL279),DB279,0)</f>
        <v>0</v>
      </c>
      <c r="FG279" s="28" t="n">
        <f aca="false">IF(ISNUMBER(AP279),DC279,0)</f>
        <v>0</v>
      </c>
      <c r="FH279" s="28" t="n">
        <f aca="false">IF(ISNUMBER(AT279),DD279,0)</f>
        <v>0</v>
      </c>
      <c r="FI279" s="28" t="n">
        <f aca="false">IF(ISNUMBER(AX279),DE279,0)</f>
        <v>0</v>
      </c>
      <c r="FJ279" s="28" t="n">
        <f aca="false">IF(ISNUMBER(BB279),DF279,0)</f>
        <v>0</v>
      </c>
      <c r="FK279" s="28" t="n">
        <f aca="false">IF(ISNUMBER(BF279),DG279,0)</f>
        <v>0</v>
      </c>
      <c r="FL279" s="28" t="n">
        <f aca="false">IF(ISNUMBER(BJ279),DH279,0)</f>
        <v>0</v>
      </c>
      <c r="FM279" s="28" t="n">
        <f aca="false">IF(ISNUMBER(BN279),DI279,0)</f>
        <v>0</v>
      </c>
      <c r="FN279" s="28" t="n">
        <f aca="false">IF(ISNUMBER(BR279),DJ279,0)</f>
        <v>0</v>
      </c>
      <c r="FO279" s="28" t="str">
        <f aca="false">IFERROR(INDEX(Lists!$G$2:$G$20,MATCH($I279&amp;"|"&amp;$J279,Lists!$F$2:$F$20,0)),"")</f>
        <v>Econ Exam</v>
      </c>
    </row>
    <row r="280" customFormat="false" ht="19.5" hidden="false" customHeight="true" outlineLevel="0" collapsed="false">
      <c r="A280" s="29" t="s">
        <v>562</v>
      </c>
      <c r="B280" s="29" t="s">
        <v>563</v>
      </c>
      <c r="C280" s="30" t="s">
        <v>152</v>
      </c>
      <c r="D280" s="30" t="s">
        <v>246</v>
      </c>
      <c r="E280" s="31"/>
      <c r="F280" s="30"/>
      <c r="G280" s="30"/>
      <c r="H280" s="32" t="s">
        <v>428</v>
      </c>
      <c r="I280" s="33" t="s">
        <v>229</v>
      </c>
      <c r="J280" s="32" t="s">
        <v>223</v>
      </c>
      <c r="K280" s="34" t="str">
        <f aca="false">IF(OR(M280="",$E280=""),"",M280-$E280)</f>
        <v/>
      </c>
      <c r="L280" s="35" t="str">
        <f aca="false">IF(SUM(FA280:FN280)=0,"",SUM(EM280:EZ280)/SUM(FA280:FN280))</f>
        <v/>
      </c>
      <c r="M280" s="36" t="str">
        <f aca="false">IF(OR(L280="",FO280=""),"",IFERROR(MATCH(L280,INDEX(Boundaries!$B$2:$I$30,MATCH(FO280,Boundaries!$A$2:$A$30,0),0),1)-1,""))</f>
        <v/>
      </c>
      <c r="N280" s="37" t="str">
        <f aca="false">IF(COUNT($DY280:$EL280)&lt;2,"",INDEX($DK280:$DX280,MAX($DY280:$EL280))-INDEX($DK280:$DX280,MIN($DY280:$EL280)))</f>
        <v/>
      </c>
      <c r="O280" s="37" t="str">
        <f aca="false">IF(COUNT($DY280:$EL280)&lt;2,"",INDEX($DK280:$DX280,MAX($DY280:$EL280))-INDEX($DK280:$DX280,LARGE($DY280:$EL280,2)))</f>
        <v/>
      </c>
      <c r="P280" s="38" t="str">
        <f aca="false">IF(K280="","",IF(K280&gt;=0,"On/above target",IF(AND(N280&lt;&gt;"",N280&gt;=0.5),"Improving towards target",IF(AND(O280&lt;&gt;"",O280&lt;=-0.5),"Declining","Stable below target"))))</f>
        <v/>
      </c>
      <c r="Q280" s="39"/>
      <c r="R280" s="40" t="str">
        <f aca="false">IF(OR(Q280="",BU280=""),"",Q280/BU280*100)</f>
        <v/>
      </c>
      <c r="S280" s="41" t="str">
        <f aca="false">IF(R280="","",IFERROR(MATCH(R280,INDEX(Boundaries!$B$2:$I$30,MATCH(CI280,Boundaries!$A$2:$A$30,0),0),1)-1,""))</f>
        <v/>
      </c>
      <c r="T280" s="42" t="str">
        <f aca="false">IF(OR(S280="",$E280=""),"",S280-$E280)</f>
        <v/>
      </c>
      <c r="U280" s="39"/>
      <c r="V280" s="40" t="str">
        <f aca="false">IF(OR(U280="",BV280=""),"",U280/BV280*100)</f>
        <v/>
      </c>
      <c r="W280" s="41" t="str">
        <f aca="false">IF(V280="","",IFERROR(MATCH(V280,INDEX(Boundaries!$B$2:$I$30,MATCH(CJ280,Boundaries!$A$2:$A$30,0),0),1)-1,""))</f>
        <v/>
      </c>
      <c r="X280" s="42" t="str">
        <f aca="false">IF(OR(W280="",$E280=""),"",W280-$E280)</f>
        <v/>
      </c>
      <c r="Y280" s="39"/>
      <c r="Z280" s="40" t="str">
        <f aca="false">IF(OR(Y280="",BW280=""),"",Y280/BW280*100)</f>
        <v/>
      </c>
      <c r="AA280" s="41" t="str">
        <f aca="false">IF(Z280="","",IFERROR(MATCH(Z280,INDEX(Boundaries!$B$2:$I$30,MATCH(CK280,Boundaries!$A$2:$A$30,0),0),1)-1,""))</f>
        <v/>
      </c>
      <c r="AB280" s="42" t="str">
        <f aca="false">IF(OR(AA280="",$E280=""),"",AA280-$E280)</f>
        <v/>
      </c>
      <c r="AC280" s="39"/>
      <c r="AD280" s="40" t="str">
        <f aca="false">IF(OR(AC280="",BX280=""),"",AC280/BX280*100)</f>
        <v/>
      </c>
      <c r="AE280" s="41" t="str">
        <f aca="false">IF(AD280="","",IFERROR(MATCH(AD280,INDEX(Boundaries!$B$2:$I$30,MATCH(CL280,Boundaries!$A$2:$A$30,0),0),1)-1,""))</f>
        <v/>
      </c>
      <c r="AF280" s="42" t="str">
        <f aca="false">IF(OR(AE280="",$E280=""),"",AE280-$E280)</f>
        <v/>
      </c>
      <c r="AG280" s="39"/>
      <c r="AH280" s="40" t="str">
        <f aca="false">IF(OR(AG280="",BY280=""),"",AG280/BY280*100)</f>
        <v/>
      </c>
      <c r="AI280" s="41" t="str">
        <f aca="false">IF(AH280="","",IFERROR(MATCH(AH280,INDEX(Boundaries!$B$2:$I$30,MATCH(CM280,Boundaries!$A$2:$A$30,0),0),1)-1,""))</f>
        <v/>
      </c>
      <c r="AJ280" s="42" t="str">
        <f aca="false">IF(OR(AI280="",$E280=""),"",AI280-$E280)</f>
        <v/>
      </c>
      <c r="AK280" s="39"/>
      <c r="AL280" s="40" t="str">
        <f aca="false">IF(OR(AK280="",BZ280=""),"",AK280/BZ280*100)</f>
        <v/>
      </c>
      <c r="AM280" s="41" t="str">
        <f aca="false">IF(AL280="","",IFERROR(MATCH(AL280,INDEX(Boundaries!$B$2:$I$30,MATCH(CN280,Boundaries!$A$2:$A$30,0),0),1)-1,""))</f>
        <v/>
      </c>
      <c r="AN280" s="42" t="str">
        <f aca="false">IF(OR(AM280="",$E280=""),"",AM280-$E280)</f>
        <v/>
      </c>
      <c r="AO280" s="39"/>
      <c r="AP280" s="40" t="str">
        <f aca="false">IF(OR(AO280="",CA280=""),"",AO280/CA280*100)</f>
        <v/>
      </c>
      <c r="AQ280" s="41" t="str">
        <f aca="false">IF(AP280="","",IFERROR(MATCH(AP280,INDEX(Boundaries!$B$2:$I$30,MATCH(CO280,Boundaries!$A$2:$A$30,0),0),1)-1,""))</f>
        <v/>
      </c>
      <c r="AR280" s="42" t="str">
        <f aca="false">IF(OR(AQ280="",$E280=""),"",AQ280-$E280)</f>
        <v/>
      </c>
      <c r="AS280" s="39"/>
      <c r="AT280" s="40" t="str">
        <f aca="false">IF(OR(AS280="",CB280=""),"",AS280/CB280*100)</f>
        <v/>
      </c>
      <c r="AU280" s="41" t="str">
        <f aca="false">IF(AT280="","",IFERROR(MATCH(AT280,INDEX(Boundaries!$B$2:$I$30,MATCH(CP280,Boundaries!$A$2:$A$30,0),0),1)-1,""))</f>
        <v/>
      </c>
      <c r="AV280" s="42" t="str">
        <f aca="false">IF(OR(AU280="",$E280=""),"",AU280-$E280)</f>
        <v/>
      </c>
      <c r="AW280" s="39"/>
      <c r="AX280" s="40" t="str">
        <f aca="false">IF(OR(AW280="",CC280=""),"",AW280/CC280*100)</f>
        <v/>
      </c>
      <c r="AY280" s="41" t="str">
        <f aca="false">IF(AX280="","",IFERROR(MATCH(AX280,INDEX(Boundaries!$B$2:$I$30,MATCH(CQ280,Boundaries!$A$2:$A$30,0),0),1)-1,""))</f>
        <v/>
      </c>
      <c r="AZ280" s="42" t="str">
        <f aca="false">IF(OR(AY280="",$E280=""),"",AY280-$E280)</f>
        <v/>
      </c>
      <c r="BA280" s="39"/>
      <c r="BB280" s="40" t="str">
        <f aca="false">IF(OR(BA280="",CD280=""),"",BA280/CD280*100)</f>
        <v/>
      </c>
      <c r="BC280" s="41" t="str">
        <f aca="false">IF(BB280="","",IFERROR(MATCH(BB280,INDEX(Boundaries!$B$2:$I$30,MATCH(CR280,Boundaries!$A$2:$A$30,0),0),1)-1,""))</f>
        <v/>
      </c>
      <c r="BD280" s="42" t="str">
        <f aca="false">IF(OR(BC280="",$E280=""),"",BC280-$E280)</f>
        <v/>
      </c>
      <c r="BE280" s="39"/>
      <c r="BF280" s="40" t="str">
        <f aca="false">IF(OR(BE280="",CE280=""),"",BE280/CE280*100)</f>
        <v/>
      </c>
      <c r="BG280" s="41" t="str">
        <f aca="false">IF(BF280="","",IFERROR(MATCH(BF280,INDEX(Boundaries!$B$2:$I$30,MATCH(CS280,Boundaries!$A$2:$A$30,0),0),1)-1,""))</f>
        <v/>
      </c>
      <c r="BH280" s="42" t="str">
        <f aca="false">IF(OR(BG280="",$E280=""),"",BG280-$E280)</f>
        <v/>
      </c>
      <c r="BI280" s="39"/>
      <c r="BJ280" s="40" t="str">
        <f aca="false">IF(OR(BI280="",CF280=""),"",BI280/CF280*100)</f>
        <v/>
      </c>
      <c r="BK280" s="41" t="str">
        <f aca="false">IF(BJ280="","",IFERROR(MATCH(BJ280,INDEX(Boundaries!$B$2:$I$30,MATCH(CT280,Boundaries!$A$2:$A$30,0),0),1)-1,""))</f>
        <v/>
      </c>
      <c r="BL280" s="42" t="str">
        <f aca="false">IF(OR(BK280="",$E280=""),"",BK280-$E280)</f>
        <v/>
      </c>
      <c r="BM280" s="39"/>
      <c r="BN280" s="40" t="str">
        <f aca="false">IF(OR(BM280="",CG280=""),"",BM280/CG280*100)</f>
        <v/>
      </c>
      <c r="BO280" s="41" t="str">
        <f aca="false">IF(BN280="","",IFERROR(MATCH(BN280,INDEX(Boundaries!$B$2:$I$30,MATCH(CU280,Boundaries!$A$2:$A$30,0),0),1)-1,""))</f>
        <v/>
      </c>
      <c r="BP280" s="42" t="str">
        <f aca="false">IF(OR(BO280="",$E280=""),"",BO280-$E280)</f>
        <v/>
      </c>
      <c r="BQ280" s="39"/>
      <c r="BR280" s="40" t="str">
        <f aca="false">IF(OR(BQ280="",CH280=""),"",BQ280/CH280*100)</f>
        <v/>
      </c>
      <c r="BS280" s="41" t="str">
        <f aca="false">IF(BR280="","",IFERROR(MATCH(BR280,INDEX(Boundaries!$B$2:$I$30,MATCH(CV280,Boundaries!$A$2:$A$30,0),0),1)-1,""))</f>
        <v/>
      </c>
      <c r="BT280" s="42" t="str">
        <f aca="false">IF(OR(BS280="",$E280=""),"",BS280-$E280)</f>
        <v/>
      </c>
      <c r="BU280" s="28" t="n">
        <f aca="false">IFERROR(INDEX(Assessments!$H$2:$H$600,MATCH($H280&amp;"|"&amp;$I280&amp;"|"&amp;$J280&amp;"|"&amp;1,Assessments!$A$2:$A$600,0)),"")</f>
        <v>25</v>
      </c>
      <c r="BV280" s="28" t="n">
        <f aca="false">IFERROR(INDEX(Assessments!$H$2:$H$600,MATCH($H280&amp;"|"&amp;$I280&amp;"|"&amp;$J280&amp;"|"&amp;2,Assessments!$A$2:$A$600,0)),"")</f>
        <v>20</v>
      </c>
      <c r="BW280" s="28" t="n">
        <f aca="false">IFERROR(INDEX(Assessments!$H$2:$H$600,MATCH($H280&amp;"|"&amp;$I280&amp;"|"&amp;$J280&amp;"|"&amp;3,Assessments!$A$2:$A$600,0)),"")</f>
        <v>25</v>
      </c>
      <c r="BX280" s="28" t="n">
        <f aca="false">IFERROR(INDEX(Assessments!$H$2:$H$600,MATCH($H280&amp;"|"&amp;$I280&amp;"|"&amp;$J280&amp;"|"&amp;4,Assessments!$A$2:$A$600,0)),"")</f>
        <v>23</v>
      </c>
      <c r="BY280" s="28" t="n">
        <f aca="false">IFERROR(INDEX(Assessments!$H$2:$H$600,MATCH($H280&amp;"|"&amp;$I280&amp;"|"&amp;$J280&amp;"|"&amp;5,Assessments!$A$2:$A$600,0)),"")</f>
        <v>25</v>
      </c>
      <c r="BZ280" s="28" t="n">
        <f aca="false">IFERROR(INDEX(Assessments!$H$2:$H$600,MATCH($H280&amp;"|"&amp;$I280&amp;"|"&amp;$J280&amp;"|"&amp;6,Assessments!$A$2:$A$600,0)),"")</f>
        <v>23</v>
      </c>
      <c r="CA280" s="28" t="n">
        <f aca="false">IFERROR(INDEX(Assessments!$H$2:$H$600,MATCH($H280&amp;"|"&amp;$I280&amp;"|"&amp;$J280&amp;"|"&amp;7,Assessments!$A$2:$A$600,0)),"")</f>
        <v>52</v>
      </c>
      <c r="CB280" s="28" t="str">
        <f aca="false">IFERROR(INDEX(Assessments!$H$2:$H$600,MATCH($H280&amp;"|"&amp;$I280&amp;"|"&amp;$J280&amp;"|"&amp;8,Assessments!$A$2:$A$600,0)),"")</f>
        <v/>
      </c>
      <c r="CC280" s="28" t="str">
        <f aca="false">IFERROR(INDEX(Assessments!$H$2:$H$600,MATCH($H280&amp;"|"&amp;$I280&amp;"|"&amp;$J280&amp;"|"&amp;9,Assessments!$A$2:$A$600,0)),"")</f>
        <v/>
      </c>
      <c r="CD280" s="28" t="str">
        <f aca="false">IFERROR(INDEX(Assessments!$H$2:$H$600,MATCH($H280&amp;"|"&amp;$I280&amp;"|"&amp;$J280&amp;"|"&amp;10,Assessments!$A$2:$A$600,0)),"")</f>
        <v/>
      </c>
      <c r="CE280" s="28" t="str">
        <f aca="false">IFERROR(INDEX(Assessments!$H$2:$H$600,MATCH($H280&amp;"|"&amp;$I280&amp;"|"&amp;$J280&amp;"|"&amp;11,Assessments!$A$2:$A$600,0)),"")</f>
        <v/>
      </c>
      <c r="CF280" s="28" t="str">
        <f aca="false">IFERROR(INDEX(Assessments!$H$2:$H$600,MATCH($H280&amp;"|"&amp;$I280&amp;"|"&amp;$J280&amp;"|"&amp;12,Assessments!$A$2:$A$600,0)),"")</f>
        <v/>
      </c>
      <c r="CG280" s="28" t="str">
        <f aca="false">IFERROR(INDEX(Assessments!$H$2:$H$600,MATCH($H280&amp;"|"&amp;$I280&amp;"|"&amp;$J280&amp;"|"&amp;13,Assessments!$A$2:$A$600,0)),"")</f>
        <v/>
      </c>
      <c r="CH280" s="28" t="str">
        <f aca="false">IFERROR(INDEX(Assessments!$H$2:$H$600,MATCH($H280&amp;"|"&amp;$I280&amp;"|"&amp;$J280&amp;"|"&amp;14,Assessments!$A$2:$A$600,0)),"")</f>
        <v/>
      </c>
      <c r="CI280" s="28" t="str">
        <f aca="false">IFERROR(INDEX(Assessments!$I$2:$I$600,MATCH($H280&amp;"|"&amp;$I280&amp;"|"&amp;$J280&amp;"|"&amp;1,Assessments!$A$2:$A$600,0)),"")</f>
        <v>Econ Test</v>
      </c>
      <c r="CJ280" s="28" t="str">
        <f aca="false">IFERROR(INDEX(Assessments!$I$2:$I$600,MATCH($H280&amp;"|"&amp;$I280&amp;"|"&amp;$J280&amp;"|"&amp;2,Assessments!$A$2:$A$600,0)),"")</f>
        <v>Econ Test</v>
      </c>
      <c r="CK280" s="28" t="str">
        <f aca="false">IFERROR(INDEX(Assessments!$I$2:$I$600,MATCH($H280&amp;"|"&amp;$I280&amp;"|"&amp;$J280&amp;"|"&amp;3,Assessments!$A$2:$A$600,0)),"")</f>
        <v>Econ Test</v>
      </c>
      <c r="CL280" s="28" t="str">
        <f aca="false">IFERROR(INDEX(Assessments!$I$2:$I$600,MATCH($H280&amp;"|"&amp;$I280&amp;"|"&amp;$J280&amp;"|"&amp;4,Assessments!$A$2:$A$600,0)),"")</f>
        <v>Econ Test</v>
      </c>
      <c r="CM280" s="28" t="str">
        <f aca="false">IFERROR(INDEX(Assessments!$I$2:$I$600,MATCH($H280&amp;"|"&amp;$I280&amp;"|"&amp;$J280&amp;"|"&amp;5,Assessments!$A$2:$A$600,0)),"")</f>
        <v>Econ Exam</v>
      </c>
      <c r="CN280" s="28" t="str">
        <f aca="false">IFERROR(INDEX(Assessments!$I$2:$I$600,MATCH($H280&amp;"|"&amp;$I280&amp;"|"&amp;$J280&amp;"|"&amp;6,Assessments!$A$2:$A$600,0)),"")</f>
        <v>Econ Test</v>
      </c>
      <c r="CO280" s="28" t="str">
        <f aca="false">IFERROR(INDEX(Assessments!$I$2:$I$600,MATCH($H280&amp;"|"&amp;$I280&amp;"|"&amp;$J280&amp;"|"&amp;7,Assessments!$A$2:$A$600,0)),"")</f>
        <v>Econ Exam</v>
      </c>
      <c r="CP280" s="28" t="str">
        <f aca="false">IFERROR(INDEX(Assessments!$I$2:$I$600,MATCH($H280&amp;"|"&amp;$I280&amp;"|"&amp;$J280&amp;"|"&amp;8,Assessments!$A$2:$A$600,0)),"")</f>
        <v/>
      </c>
      <c r="CQ280" s="28" t="str">
        <f aca="false">IFERROR(INDEX(Assessments!$I$2:$I$600,MATCH($H280&amp;"|"&amp;$I280&amp;"|"&amp;$J280&amp;"|"&amp;9,Assessments!$A$2:$A$600,0)),"")</f>
        <v/>
      </c>
      <c r="CR280" s="28" t="str">
        <f aca="false">IFERROR(INDEX(Assessments!$I$2:$I$600,MATCH($H280&amp;"|"&amp;$I280&amp;"|"&amp;$J280&amp;"|"&amp;10,Assessments!$A$2:$A$600,0)),"")</f>
        <v/>
      </c>
      <c r="CS280" s="28" t="str">
        <f aca="false">IFERROR(INDEX(Assessments!$I$2:$I$600,MATCH($H280&amp;"|"&amp;$I280&amp;"|"&amp;$J280&amp;"|"&amp;11,Assessments!$A$2:$A$600,0)),"")</f>
        <v/>
      </c>
      <c r="CT280" s="28" t="str">
        <f aca="false">IFERROR(INDEX(Assessments!$I$2:$I$600,MATCH($H280&amp;"|"&amp;$I280&amp;"|"&amp;$J280&amp;"|"&amp;12,Assessments!$A$2:$A$600,0)),"")</f>
        <v/>
      </c>
      <c r="CU280" s="28" t="str">
        <f aca="false">IFERROR(INDEX(Assessments!$I$2:$I$600,MATCH($H280&amp;"|"&amp;$I280&amp;"|"&amp;$J280&amp;"|"&amp;13,Assessments!$A$2:$A$600,0)),"")</f>
        <v/>
      </c>
      <c r="CV280" s="28" t="str">
        <f aca="false">IFERROR(INDEX(Assessments!$I$2:$I$600,MATCH($H280&amp;"|"&amp;$I280&amp;"|"&amp;$J280&amp;"|"&amp;14,Assessments!$A$2:$A$600,0)),"")</f>
        <v/>
      </c>
      <c r="CW280" s="28" t="n">
        <f aca="false">IFERROR(INDEX(Assessments!$J$2:$J$600,MATCH($H280&amp;"|"&amp;$I280&amp;"|"&amp;$J280&amp;"|"&amp;1,Assessments!$A$2:$A$600,0)),0)</f>
        <v>1</v>
      </c>
      <c r="CX280" s="28" t="n">
        <f aca="false">IFERROR(INDEX(Assessments!$J$2:$J$600,MATCH($H280&amp;"|"&amp;$I280&amp;"|"&amp;$J280&amp;"|"&amp;2,Assessments!$A$2:$A$600,0)),0)</f>
        <v>1</v>
      </c>
      <c r="CY280" s="28" t="n">
        <f aca="false">IFERROR(INDEX(Assessments!$J$2:$J$600,MATCH($H280&amp;"|"&amp;$I280&amp;"|"&amp;$J280&amp;"|"&amp;3,Assessments!$A$2:$A$600,0)),0)</f>
        <v>1</v>
      </c>
      <c r="CZ280" s="28" t="n">
        <f aca="false">IFERROR(INDEX(Assessments!$J$2:$J$600,MATCH($H280&amp;"|"&amp;$I280&amp;"|"&amp;$J280&amp;"|"&amp;4,Assessments!$A$2:$A$600,0)),0)</f>
        <v>1</v>
      </c>
      <c r="DA280" s="28" t="n">
        <f aca="false">IFERROR(INDEX(Assessments!$J$2:$J$600,MATCH($H280&amp;"|"&amp;$I280&amp;"|"&amp;$J280&amp;"|"&amp;5,Assessments!$A$2:$A$600,0)),0)</f>
        <v>2</v>
      </c>
      <c r="DB280" s="28" t="n">
        <f aca="false">IFERROR(INDEX(Assessments!$J$2:$J$600,MATCH($H280&amp;"|"&amp;$I280&amp;"|"&amp;$J280&amp;"|"&amp;6,Assessments!$A$2:$A$600,0)),0)</f>
        <v>1</v>
      </c>
      <c r="DC280" s="28" t="n">
        <f aca="false">IFERROR(INDEX(Assessments!$J$2:$J$600,MATCH($H280&amp;"|"&amp;$I280&amp;"|"&amp;$J280&amp;"|"&amp;7,Assessments!$A$2:$A$600,0)),0)</f>
        <v>2</v>
      </c>
      <c r="DD280" s="28" t="n">
        <f aca="false">IFERROR(INDEX(Assessments!$J$2:$J$600,MATCH($H280&amp;"|"&amp;$I280&amp;"|"&amp;$J280&amp;"|"&amp;8,Assessments!$A$2:$A$600,0)),0)</f>
        <v>0</v>
      </c>
      <c r="DE280" s="28" t="n">
        <f aca="false">IFERROR(INDEX(Assessments!$J$2:$J$600,MATCH($H280&amp;"|"&amp;$I280&amp;"|"&amp;$J280&amp;"|"&amp;9,Assessments!$A$2:$A$600,0)),0)</f>
        <v>0</v>
      </c>
      <c r="DF280" s="28" t="n">
        <f aca="false">IFERROR(INDEX(Assessments!$J$2:$J$600,MATCH($H280&amp;"|"&amp;$I280&amp;"|"&amp;$J280&amp;"|"&amp;10,Assessments!$A$2:$A$600,0)),0)</f>
        <v>0</v>
      </c>
      <c r="DG280" s="28" t="n">
        <f aca="false">IFERROR(INDEX(Assessments!$J$2:$J$600,MATCH($H280&amp;"|"&amp;$I280&amp;"|"&amp;$J280&amp;"|"&amp;11,Assessments!$A$2:$A$600,0)),0)</f>
        <v>0</v>
      </c>
      <c r="DH280" s="28" t="n">
        <f aca="false">IFERROR(INDEX(Assessments!$J$2:$J$600,MATCH($H280&amp;"|"&amp;$I280&amp;"|"&amp;$J280&amp;"|"&amp;12,Assessments!$A$2:$A$600,0)),0)</f>
        <v>0</v>
      </c>
      <c r="DI280" s="28" t="n">
        <f aca="false">IFERROR(INDEX(Assessments!$J$2:$J$600,MATCH($H280&amp;"|"&amp;$I280&amp;"|"&amp;$J280&amp;"|"&amp;13,Assessments!$A$2:$A$600,0)),0)</f>
        <v>0</v>
      </c>
      <c r="DJ280" s="28" t="n">
        <f aca="false">IFERROR(INDEX(Assessments!$J$2:$J$600,MATCH($H280&amp;"|"&amp;$I280&amp;"|"&amp;$J280&amp;"|"&amp;14,Assessments!$A$2:$A$600,0)),0)</f>
        <v>0</v>
      </c>
      <c r="DK280" s="28" t="str">
        <f aca="false">S280</f>
        <v/>
      </c>
      <c r="DL280" s="28" t="str">
        <f aca="false">W280</f>
        <v/>
      </c>
      <c r="DM280" s="28" t="str">
        <f aca="false">AA280</f>
        <v/>
      </c>
      <c r="DN280" s="28" t="str">
        <f aca="false">AE280</f>
        <v/>
      </c>
      <c r="DO280" s="28" t="str">
        <f aca="false">AI280</f>
        <v/>
      </c>
      <c r="DP280" s="28" t="str">
        <f aca="false">AM280</f>
        <v/>
      </c>
      <c r="DQ280" s="28" t="str">
        <f aca="false">AQ280</f>
        <v/>
      </c>
      <c r="DR280" s="28" t="str">
        <f aca="false">AU280</f>
        <v/>
      </c>
      <c r="DS280" s="28" t="str">
        <f aca="false">AY280</f>
        <v/>
      </c>
      <c r="DT280" s="28" t="str">
        <f aca="false">BC280</f>
        <v/>
      </c>
      <c r="DU280" s="28" t="str">
        <f aca="false">BG280</f>
        <v/>
      </c>
      <c r="DV280" s="28" t="str">
        <f aca="false">BK280</f>
        <v/>
      </c>
      <c r="DW280" s="28" t="str">
        <f aca="false">BO280</f>
        <v/>
      </c>
      <c r="DX280" s="28" t="str">
        <f aca="false">BS280</f>
        <v/>
      </c>
      <c r="DY280" s="28" t="str">
        <f aca="false">IF(ISNUMBER(S280),1,"")</f>
        <v/>
      </c>
      <c r="DZ280" s="28" t="str">
        <f aca="false">IF(ISNUMBER(W280),2,"")</f>
        <v/>
      </c>
      <c r="EA280" s="28" t="str">
        <f aca="false">IF(ISNUMBER(AA280),3,"")</f>
        <v/>
      </c>
      <c r="EB280" s="28" t="str">
        <f aca="false">IF(ISNUMBER(AE280),4,"")</f>
        <v/>
      </c>
      <c r="EC280" s="28" t="str">
        <f aca="false">IF(ISNUMBER(AI280),5,"")</f>
        <v/>
      </c>
      <c r="ED280" s="28" t="str">
        <f aca="false">IF(ISNUMBER(AM280),6,"")</f>
        <v/>
      </c>
      <c r="EE280" s="28" t="str">
        <f aca="false">IF(ISNUMBER(AQ280),7,"")</f>
        <v/>
      </c>
      <c r="EF280" s="28" t="str">
        <f aca="false">IF(ISNUMBER(AU280),8,"")</f>
        <v/>
      </c>
      <c r="EG280" s="28" t="str">
        <f aca="false">IF(ISNUMBER(AY280),9,"")</f>
        <v/>
      </c>
      <c r="EH280" s="28" t="str">
        <f aca="false">IF(ISNUMBER(BC280),10,"")</f>
        <v/>
      </c>
      <c r="EI280" s="28" t="str">
        <f aca="false">IF(ISNUMBER(BG280),11,"")</f>
        <v/>
      </c>
      <c r="EJ280" s="28" t="str">
        <f aca="false">IF(ISNUMBER(BK280),12,"")</f>
        <v/>
      </c>
      <c r="EK280" s="28" t="str">
        <f aca="false">IF(ISNUMBER(BO280),13,"")</f>
        <v/>
      </c>
      <c r="EL280" s="28" t="str">
        <f aca="false">IF(ISNUMBER(BS280),14,"")</f>
        <v/>
      </c>
      <c r="EM280" s="28" t="n">
        <f aca="false">IF(ISNUMBER(R280),R280*CW280,0)</f>
        <v>0</v>
      </c>
      <c r="EN280" s="28" t="n">
        <f aca="false">IF(ISNUMBER(V280),V280*CX280,0)</f>
        <v>0</v>
      </c>
      <c r="EO280" s="28" t="n">
        <f aca="false">IF(ISNUMBER(Z280),Z280*CY280,0)</f>
        <v>0</v>
      </c>
      <c r="EP280" s="28" t="n">
        <f aca="false">IF(ISNUMBER(AD280),AD280*CZ280,0)</f>
        <v>0</v>
      </c>
      <c r="EQ280" s="28" t="n">
        <f aca="false">IF(ISNUMBER(AH280),AH280*DA280,0)</f>
        <v>0</v>
      </c>
      <c r="ER280" s="28" t="n">
        <f aca="false">IF(ISNUMBER(AL280),AL280*DB280,0)</f>
        <v>0</v>
      </c>
      <c r="ES280" s="28" t="n">
        <f aca="false">IF(ISNUMBER(AP280),AP280*DC280,0)</f>
        <v>0</v>
      </c>
      <c r="ET280" s="28" t="n">
        <f aca="false">IF(ISNUMBER(AT280),AT280*DD280,0)</f>
        <v>0</v>
      </c>
      <c r="EU280" s="28" t="n">
        <f aca="false">IF(ISNUMBER(AX280),AX280*DE280,0)</f>
        <v>0</v>
      </c>
      <c r="EV280" s="28" t="n">
        <f aca="false">IF(ISNUMBER(BB280),BB280*DF280,0)</f>
        <v>0</v>
      </c>
      <c r="EW280" s="28" t="n">
        <f aca="false">IF(ISNUMBER(BF280),BF280*DG280,0)</f>
        <v>0</v>
      </c>
      <c r="EX280" s="28" t="n">
        <f aca="false">IF(ISNUMBER(BJ280),BJ280*DH280,0)</f>
        <v>0</v>
      </c>
      <c r="EY280" s="28" t="n">
        <f aca="false">IF(ISNUMBER(BN280),BN280*DI280,0)</f>
        <v>0</v>
      </c>
      <c r="EZ280" s="28" t="n">
        <f aca="false">IF(ISNUMBER(BR280),BR280*DJ280,0)</f>
        <v>0</v>
      </c>
      <c r="FA280" s="28" t="n">
        <f aca="false">IF(ISNUMBER(R280),CW280,0)</f>
        <v>0</v>
      </c>
      <c r="FB280" s="28" t="n">
        <f aca="false">IF(ISNUMBER(V280),CX280,0)</f>
        <v>0</v>
      </c>
      <c r="FC280" s="28" t="n">
        <f aca="false">IF(ISNUMBER(Z280),CY280,0)</f>
        <v>0</v>
      </c>
      <c r="FD280" s="28" t="n">
        <f aca="false">IF(ISNUMBER(AD280),CZ280,0)</f>
        <v>0</v>
      </c>
      <c r="FE280" s="28" t="n">
        <f aca="false">IF(ISNUMBER(AH280),DA280,0)</f>
        <v>0</v>
      </c>
      <c r="FF280" s="28" t="n">
        <f aca="false">IF(ISNUMBER(AL280),DB280,0)</f>
        <v>0</v>
      </c>
      <c r="FG280" s="28" t="n">
        <f aca="false">IF(ISNUMBER(AP280),DC280,0)</f>
        <v>0</v>
      </c>
      <c r="FH280" s="28" t="n">
        <f aca="false">IF(ISNUMBER(AT280),DD280,0)</f>
        <v>0</v>
      </c>
      <c r="FI280" s="28" t="n">
        <f aca="false">IF(ISNUMBER(AX280),DE280,0)</f>
        <v>0</v>
      </c>
      <c r="FJ280" s="28" t="n">
        <f aca="false">IF(ISNUMBER(BB280),DF280,0)</f>
        <v>0</v>
      </c>
      <c r="FK280" s="28" t="n">
        <f aca="false">IF(ISNUMBER(BF280),DG280,0)</f>
        <v>0</v>
      </c>
      <c r="FL280" s="28" t="n">
        <f aca="false">IF(ISNUMBER(BJ280),DH280,0)</f>
        <v>0</v>
      </c>
      <c r="FM280" s="28" t="n">
        <f aca="false">IF(ISNUMBER(BN280),DI280,0)</f>
        <v>0</v>
      </c>
      <c r="FN280" s="28" t="n">
        <f aca="false">IF(ISNUMBER(BR280),DJ280,0)</f>
        <v>0</v>
      </c>
      <c r="FO280" s="28" t="str">
        <f aca="false">IFERROR(INDEX(Lists!$G$2:$G$20,MATCH($I280&amp;"|"&amp;$J280,Lists!$F$2:$F$20,0)),"")</f>
        <v>Econ Exam</v>
      </c>
    </row>
    <row r="281" customFormat="false" ht="19.5" hidden="false" customHeight="true" outlineLevel="0" collapsed="false">
      <c r="A281" s="29" t="s">
        <v>564</v>
      </c>
      <c r="B281" s="29" t="s">
        <v>565</v>
      </c>
      <c r="C281" s="30" t="s">
        <v>152</v>
      </c>
      <c r="D281" s="30" t="s">
        <v>246</v>
      </c>
      <c r="E281" s="31"/>
      <c r="F281" s="30"/>
      <c r="G281" s="30"/>
      <c r="H281" s="32" t="s">
        <v>428</v>
      </c>
      <c r="I281" s="33" t="s">
        <v>229</v>
      </c>
      <c r="J281" s="32" t="s">
        <v>223</v>
      </c>
      <c r="K281" s="34" t="str">
        <f aca="false">IF(OR(M281="",$E281=""),"",M281-$E281)</f>
        <v/>
      </c>
      <c r="L281" s="35" t="str">
        <f aca="false">IF(SUM(FA281:FN281)=0,"",SUM(EM281:EZ281)/SUM(FA281:FN281))</f>
        <v/>
      </c>
      <c r="M281" s="36" t="str">
        <f aca="false">IF(OR(L281="",FO281=""),"",IFERROR(MATCH(L281,INDEX(Boundaries!$B$2:$I$30,MATCH(FO281,Boundaries!$A$2:$A$30,0),0),1)-1,""))</f>
        <v/>
      </c>
      <c r="N281" s="37" t="str">
        <f aca="false">IF(COUNT($DY281:$EL281)&lt;2,"",INDEX($DK281:$DX281,MAX($DY281:$EL281))-INDEX($DK281:$DX281,MIN($DY281:$EL281)))</f>
        <v/>
      </c>
      <c r="O281" s="37" t="str">
        <f aca="false">IF(COUNT($DY281:$EL281)&lt;2,"",INDEX($DK281:$DX281,MAX($DY281:$EL281))-INDEX($DK281:$DX281,LARGE($DY281:$EL281,2)))</f>
        <v/>
      </c>
      <c r="P281" s="38" t="str">
        <f aca="false">IF(K281="","",IF(K281&gt;=0,"On/above target",IF(AND(N281&lt;&gt;"",N281&gt;=0.5),"Improving towards target",IF(AND(O281&lt;&gt;"",O281&lt;=-0.5),"Declining","Stable below target"))))</f>
        <v/>
      </c>
      <c r="Q281" s="39"/>
      <c r="R281" s="40" t="str">
        <f aca="false">IF(OR(Q281="",BU281=""),"",Q281/BU281*100)</f>
        <v/>
      </c>
      <c r="S281" s="41" t="str">
        <f aca="false">IF(R281="","",IFERROR(MATCH(R281,INDEX(Boundaries!$B$2:$I$30,MATCH(CI281,Boundaries!$A$2:$A$30,0),0),1)-1,""))</f>
        <v/>
      </c>
      <c r="T281" s="42" t="str">
        <f aca="false">IF(OR(S281="",$E281=""),"",S281-$E281)</f>
        <v/>
      </c>
      <c r="U281" s="39"/>
      <c r="V281" s="40" t="str">
        <f aca="false">IF(OR(U281="",BV281=""),"",U281/BV281*100)</f>
        <v/>
      </c>
      <c r="W281" s="41" t="str">
        <f aca="false">IF(V281="","",IFERROR(MATCH(V281,INDEX(Boundaries!$B$2:$I$30,MATCH(CJ281,Boundaries!$A$2:$A$30,0),0),1)-1,""))</f>
        <v/>
      </c>
      <c r="X281" s="42" t="str">
        <f aca="false">IF(OR(W281="",$E281=""),"",W281-$E281)</f>
        <v/>
      </c>
      <c r="Y281" s="39"/>
      <c r="Z281" s="40" t="str">
        <f aca="false">IF(OR(Y281="",BW281=""),"",Y281/BW281*100)</f>
        <v/>
      </c>
      <c r="AA281" s="41" t="str">
        <f aca="false">IF(Z281="","",IFERROR(MATCH(Z281,INDEX(Boundaries!$B$2:$I$30,MATCH(CK281,Boundaries!$A$2:$A$30,0),0),1)-1,""))</f>
        <v/>
      </c>
      <c r="AB281" s="42" t="str">
        <f aca="false">IF(OR(AA281="",$E281=""),"",AA281-$E281)</f>
        <v/>
      </c>
      <c r="AC281" s="39"/>
      <c r="AD281" s="40" t="str">
        <f aca="false">IF(OR(AC281="",BX281=""),"",AC281/BX281*100)</f>
        <v/>
      </c>
      <c r="AE281" s="41" t="str">
        <f aca="false">IF(AD281="","",IFERROR(MATCH(AD281,INDEX(Boundaries!$B$2:$I$30,MATCH(CL281,Boundaries!$A$2:$A$30,0),0),1)-1,""))</f>
        <v/>
      </c>
      <c r="AF281" s="42" t="str">
        <f aca="false">IF(OR(AE281="",$E281=""),"",AE281-$E281)</f>
        <v/>
      </c>
      <c r="AG281" s="39"/>
      <c r="AH281" s="40" t="str">
        <f aca="false">IF(OR(AG281="",BY281=""),"",AG281/BY281*100)</f>
        <v/>
      </c>
      <c r="AI281" s="41" t="str">
        <f aca="false">IF(AH281="","",IFERROR(MATCH(AH281,INDEX(Boundaries!$B$2:$I$30,MATCH(CM281,Boundaries!$A$2:$A$30,0),0),1)-1,""))</f>
        <v/>
      </c>
      <c r="AJ281" s="42" t="str">
        <f aca="false">IF(OR(AI281="",$E281=""),"",AI281-$E281)</f>
        <v/>
      </c>
      <c r="AK281" s="39"/>
      <c r="AL281" s="40" t="str">
        <f aca="false">IF(OR(AK281="",BZ281=""),"",AK281/BZ281*100)</f>
        <v/>
      </c>
      <c r="AM281" s="41" t="str">
        <f aca="false">IF(AL281="","",IFERROR(MATCH(AL281,INDEX(Boundaries!$B$2:$I$30,MATCH(CN281,Boundaries!$A$2:$A$30,0),0),1)-1,""))</f>
        <v/>
      </c>
      <c r="AN281" s="42" t="str">
        <f aca="false">IF(OR(AM281="",$E281=""),"",AM281-$E281)</f>
        <v/>
      </c>
      <c r="AO281" s="39"/>
      <c r="AP281" s="40" t="str">
        <f aca="false">IF(OR(AO281="",CA281=""),"",AO281/CA281*100)</f>
        <v/>
      </c>
      <c r="AQ281" s="41" t="str">
        <f aca="false">IF(AP281="","",IFERROR(MATCH(AP281,INDEX(Boundaries!$B$2:$I$30,MATCH(CO281,Boundaries!$A$2:$A$30,0),0),1)-1,""))</f>
        <v/>
      </c>
      <c r="AR281" s="42" t="str">
        <f aca="false">IF(OR(AQ281="",$E281=""),"",AQ281-$E281)</f>
        <v/>
      </c>
      <c r="AS281" s="39"/>
      <c r="AT281" s="40" t="str">
        <f aca="false">IF(OR(AS281="",CB281=""),"",AS281/CB281*100)</f>
        <v/>
      </c>
      <c r="AU281" s="41" t="str">
        <f aca="false">IF(AT281="","",IFERROR(MATCH(AT281,INDEX(Boundaries!$B$2:$I$30,MATCH(CP281,Boundaries!$A$2:$A$30,0),0),1)-1,""))</f>
        <v/>
      </c>
      <c r="AV281" s="42" t="str">
        <f aca="false">IF(OR(AU281="",$E281=""),"",AU281-$E281)</f>
        <v/>
      </c>
      <c r="AW281" s="39"/>
      <c r="AX281" s="40" t="str">
        <f aca="false">IF(OR(AW281="",CC281=""),"",AW281/CC281*100)</f>
        <v/>
      </c>
      <c r="AY281" s="41" t="str">
        <f aca="false">IF(AX281="","",IFERROR(MATCH(AX281,INDEX(Boundaries!$B$2:$I$30,MATCH(CQ281,Boundaries!$A$2:$A$30,0),0),1)-1,""))</f>
        <v/>
      </c>
      <c r="AZ281" s="42" t="str">
        <f aca="false">IF(OR(AY281="",$E281=""),"",AY281-$E281)</f>
        <v/>
      </c>
      <c r="BA281" s="39"/>
      <c r="BB281" s="40" t="str">
        <f aca="false">IF(OR(BA281="",CD281=""),"",BA281/CD281*100)</f>
        <v/>
      </c>
      <c r="BC281" s="41" t="str">
        <f aca="false">IF(BB281="","",IFERROR(MATCH(BB281,INDEX(Boundaries!$B$2:$I$30,MATCH(CR281,Boundaries!$A$2:$A$30,0),0),1)-1,""))</f>
        <v/>
      </c>
      <c r="BD281" s="42" t="str">
        <f aca="false">IF(OR(BC281="",$E281=""),"",BC281-$E281)</f>
        <v/>
      </c>
      <c r="BE281" s="39"/>
      <c r="BF281" s="40" t="str">
        <f aca="false">IF(OR(BE281="",CE281=""),"",BE281/CE281*100)</f>
        <v/>
      </c>
      <c r="BG281" s="41" t="str">
        <f aca="false">IF(BF281="","",IFERROR(MATCH(BF281,INDEX(Boundaries!$B$2:$I$30,MATCH(CS281,Boundaries!$A$2:$A$30,0),0),1)-1,""))</f>
        <v/>
      </c>
      <c r="BH281" s="42" t="str">
        <f aca="false">IF(OR(BG281="",$E281=""),"",BG281-$E281)</f>
        <v/>
      </c>
      <c r="BI281" s="39"/>
      <c r="BJ281" s="40" t="str">
        <f aca="false">IF(OR(BI281="",CF281=""),"",BI281/CF281*100)</f>
        <v/>
      </c>
      <c r="BK281" s="41" t="str">
        <f aca="false">IF(BJ281="","",IFERROR(MATCH(BJ281,INDEX(Boundaries!$B$2:$I$30,MATCH(CT281,Boundaries!$A$2:$A$30,0),0),1)-1,""))</f>
        <v/>
      </c>
      <c r="BL281" s="42" t="str">
        <f aca="false">IF(OR(BK281="",$E281=""),"",BK281-$E281)</f>
        <v/>
      </c>
      <c r="BM281" s="39"/>
      <c r="BN281" s="40" t="str">
        <f aca="false">IF(OR(BM281="",CG281=""),"",BM281/CG281*100)</f>
        <v/>
      </c>
      <c r="BO281" s="41" t="str">
        <f aca="false">IF(BN281="","",IFERROR(MATCH(BN281,INDEX(Boundaries!$B$2:$I$30,MATCH(CU281,Boundaries!$A$2:$A$30,0),0),1)-1,""))</f>
        <v/>
      </c>
      <c r="BP281" s="42" t="str">
        <f aca="false">IF(OR(BO281="",$E281=""),"",BO281-$E281)</f>
        <v/>
      </c>
      <c r="BQ281" s="39"/>
      <c r="BR281" s="40" t="str">
        <f aca="false">IF(OR(BQ281="",CH281=""),"",BQ281/CH281*100)</f>
        <v/>
      </c>
      <c r="BS281" s="41" t="str">
        <f aca="false">IF(BR281="","",IFERROR(MATCH(BR281,INDEX(Boundaries!$B$2:$I$30,MATCH(CV281,Boundaries!$A$2:$A$30,0),0),1)-1,""))</f>
        <v/>
      </c>
      <c r="BT281" s="42" t="str">
        <f aca="false">IF(OR(BS281="",$E281=""),"",BS281-$E281)</f>
        <v/>
      </c>
      <c r="BU281" s="28" t="n">
        <f aca="false">IFERROR(INDEX(Assessments!$H$2:$H$600,MATCH($H281&amp;"|"&amp;$I281&amp;"|"&amp;$J281&amp;"|"&amp;1,Assessments!$A$2:$A$600,0)),"")</f>
        <v>25</v>
      </c>
      <c r="BV281" s="28" t="n">
        <f aca="false">IFERROR(INDEX(Assessments!$H$2:$H$600,MATCH($H281&amp;"|"&amp;$I281&amp;"|"&amp;$J281&amp;"|"&amp;2,Assessments!$A$2:$A$600,0)),"")</f>
        <v>20</v>
      </c>
      <c r="BW281" s="28" t="n">
        <f aca="false">IFERROR(INDEX(Assessments!$H$2:$H$600,MATCH($H281&amp;"|"&amp;$I281&amp;"|"&amp;$J281&amp;"|"&amp;3,Assessments!$A$2:$A$600,0)),"")</f>
        <v>25</v>
      </c>
      <c r="BX281" s="28" t="n">
        <f aca="false">IFERROR(INDEX(Assessments!$H$2:$H$600,MATCH($H281&amp;"|"&amp;$I281&amp;"|"&amp;$J281&amp;"|"&amp;4,Assessments!$A$2:$A$600,0)),"")</f>
        <v>23</v>
      </c>
      <c r="BY281" s="28" t="n">
        <f aca="false">IFERROR(INDEX(Assessments!$H$2:$H$600,MATCH($H281&amp;"|"&amp;$I281&amp;"|"&amp;$J281&amp;"|"&amp;5,Assessments!$A$2:$A$600,0)),"")</f>
        <v>25</v>
      </c>
      <c r="BZ281" s="28" t="n">
        <f aca="false">IFERROR(INDEX(Assessments!$H$2:$H$600,MATCH($H281&amp;"|"&amp;$I281&amp;"|"&amp;$J281&amp;"|"&amp;6,Assessments!$A$2:$A$600,0)),"")</f>
        <v>23</v>
      </c>
      <c r="CA281" s="28" t="n">
        <f aca="false">IFERROR(INDEX(Assessments!$H$2:$H$600,MATCH($H281&amp;"|"&amp;$I281&amp;"|"&amp;$J281&amp;"|"&amp;7,Assessments!$A$2:$A$600,0)),"")</f>
        <v>52</v>
      </c>
      <c r="CB281" s="28" t="str">
        <f aca="false">IFERROR(INDEX(Assessments!$H$2:$H$600,MATCH($H281&amp;"|"&amp;$I281&amp;"|"&amp;$J281&amp;"|"&amp;8,Assessments!$A$2:$A$600,0)),"")</f>
        <v/>
      </c>
      <c r="CC281" s="28" t="str">
        <f aca="false">IFERROR(INDEX(Assessments!$H$2:$H$600,MATCH($H281&amp;"|"&amp;$I281&amp;"|"&amp;$J281&amp;"|"&amp;9,Assessments!$A$2:$A$600,0)),"")</f>
        <v/>
      </c>
      <c r="CD281" s="28" t="str">
        <f aca="false">IFERROR(INDEX(Assessments!$H$2:$H$600,MATCH($H281&amp;"|"&amp;$I281&amp;"|"&amp;$J281&amp;"|"&amp;10,Assessments!$A$2:$A$600,0)),"")</f>
        <v/>
      </c>
      <c r="CE281" s="28" t="str">
        <f aca="false">IFERROR(INDEX(Assessments!$H$2:$H$600,MATCH($H281&amp;"|"&amp;$I281&amp;"|"&amp;$J281&amp;"|"&amp;11,Assessments!$A$2:$A$600,0)),"")</f>
        <v/>
      </c>
      <c r="CF281" s="28" t="str">
        <f aca="false">IFERROR(INDEX(Assessments!$H$2:$H$600,MATCH($H281&amp;"|"&amp;$I281&amp;"|"&amp;$J281&amp;"|"&amp;12,Assessments!$A$2:$A$600,0)),"")</f>
        <v/>
      </c>
      <c r="CG281" s="28" t="str">
        <f aca="false">IFERROR(INDEX(Assessments!$H$2:$H$600,MATCH($H281&amp;"|"&amp;$I281&amp;"|"&amp;$J281&amp;"|"&amp;13,Assessments!$A$2:$A$600,0)),"")</f>
        <v/>
      </c>
      <c r="CH281" s="28" t="str">
        <f aca="false">IFERROR(INDEX(Assessments!$H$2:$H$600,MATCH($H281&amp;"|"&amp;$I281&amp;"|"&amp;$J281&amp;"|"&amp;14,Assessments!$A$2:$A$600,0)),"")</f>
        <v/>
      </c>
      <c r="CI281" s="28" t="str">
        <f aca="false">IFERROR(INDEX(Assessments!$I$2:$I$600,MATCH($H281&amp;"|"&amp;$I281&amp;"|"&amp;$J281&amp;"|"&amp;1,Assessments!$A$2:$A$600,0)),"")</f>
        <v>Econ Test</v>
      </c>
      <c r="CJ281" s="28" t="str">
        <f aca="false">IFERROR(INDEX(Assessments!$I$2:$I$600,MATCH($H281&amp;"|"&amp;$I281&amp;"|"&amp;$J281&amp;"|"&amp;2,Assessments!$A$2:$A$600,0)),"")</f>
        <v>Econ Test</v>
      </c>
      <c r="CK281" s="28" t="str">
        <f aca="false">IFERROR(INDEX(Assessments!$I$2:$I$600,MATCH($H281&amp;"|"&amp;$I281&amp;"|"&amp;$J281&amp;"|"&amp;3,Assessments!$A$2:$A$600,0)),"")</f>
        <v>Econ Test</v>
      </c>
      <c r="CL281" s="28" t="str">
        <f aca="false">IFERROR(INDEX(Assessments!$I$2:$I$600,MATCH($H281&amp;"|"&amp;$I281&amp;"|"&amp;$J281&amp;"|"&amp;4,Assessments!$A$2:$A$600,0)),"")</f>
        <v>Econ Test</v>
      </c>
      <c r="CM281" s="28" t="str">
        <f aca="false">IFERROR(INDEX(Assessments!$I$2:$I$600,MATCH($H281&amp;"|"&amp;$I281&amp;"|"&amp;$J281&amp;"|"&amp;5,Assessments!$A$2:$A$600,0)),"")</f>
        <v>Econ Exam</v>
      </c>
      <c r="CN281" s="28" t="str">
        <f aca="false">IFERROR(INDEX(Assessments!$I$2:$I$600,MATCH($H281&amp;"|"&amp;$I281&amp;"|"&amp;$J281&amp;"|"&amp;6,Assessments!$A$2:$A$600,0)),"")</f>
        <v>Econ Test</v>
      </c>
      <c r="CO281" s="28" t="str">
        <f aca="false">IFERROR(INDEX(Assessments!$I$2:$I$600,MATCH($H281&amp;"|"&amp;$I281&amp;"|"&amp;$J281&amp;"|"&amp;7,Assessments!$A$2:$A$600,0)),"")</f>
        <v>Econ Exam</v>
      </c>
      <c r="CP281" s="28" t="str">
        <f aca="false">IFERROR(INDEX(Assessments!$I$2:$I$600,MATCH($H281&amp;"|"&amp;$I281&amp;"|"&amp;$J281&amp;"|"&amp;8,Assessments!$A$2:$A$600,0)),"")</f>
        <v/>
      </c>
      <c r="CQ281" s="28" t="str">
        <f aca="false">IFERROR(INDEX(Assessments!$I$2:$I$600,MATCH($H281&amp;"|"&amp;$I281&amp;"|"&amp;$J281&amp;"|"&amp;9,Assessments!$A$2:$A$600,0)),"")</f>
        <v/>
      </c>
      <c r="CR281" s="28" t="str">
        <f aca="false">IFERROR(INDEX(Assessments!$I$2:$I$600,MATCH($H281&amp;"|"&amp;$I281&amp;"|"&amp;$J281&amp;"|"&amp;10,Assessments!$A$2:$A$600,0)),"")</f>
        <v/>
      </c>
      <c r="CS281" s="28" t="str">
        <f aca="false">IFERROR(INDEX(Assessments!$I$2:$I$600,MATCH($H281&amp;"|"&amp;$I281&amp;"|"&amp;$J281&amp;"|"&amp;11,Assessments!$A$2:$A$600,0)),"")</f>
        <v/>
      </c>
      <c r="CT281" s="28" t="str">
        <f aca="false">IFERROR(INDEX(Assessments!$I$2:$I$600,MATCH($H281&amp;"|"&amp;$I281&amp;"|"&amp;$J281&amp;"|"&amp;12,Assessments!$A$2:$A$600,0)),"")</f>
        <v/>
      </c>
      <c r="CU281" s="28" t="str">
        <f aca="false">IFERROR(INDEX(Assessments!$I$2:$I$600,MATCH($H281&amp;"|"&amp;$I281&amp;"|"&amp;$J281&amp;"|"&amp;13,Assessments!$A$2:$A$600,0)),"")</f>
        <v/>
      </c>
      <c r="CV281" s="28" t="str">
        <f aca="false">IFERROR(INDEX(Assessments!$I$2:$I$600,MATCH($H281&amp;"|"&amp;$I281&amp;"|"&amp;$J281&amp;"|"&amp;14,Assessments!$A$2:$A$600,0)),"")</f>
        <v/>
      </c>
      <c r="CW281" s="28" t="n">
        <f aca="false">IFERROR(INDEX(Assessments!$J$2:$J$600,MATCH($H281&amp;"|"&amp;$I281&amp;"|"&amp;$J281&amp;"|"&amp;1,Assessments!$A$2:$A$600,0)),0)</f>
        <v>1</v>
      </c>
      <c r="CX281" s="28" t="n">
        <f aca="false">IFERROR(INDEX(Assessments!$J$2:$J$600,MATCH($H281&amp;"|"&amp;$I281&amp;"|"&amp;$J281&amp;"|"&amp;2,Assessments!$A$2:$A$600,0)),0)</f>
        <v>1</v>
      </c>
      <c r="CY281" s="28" t="n">
        <f aca="false">IFERROR(INDEX(Assessments!$J$2:$J$600,MATCH($H281&amp;"|"&amp;$I281&amp;"|"&amp;$J281&amp;"|"&amp;3,Assessments!$A$2:$A$600,0)),0)</f>
        <v>1</v>
      </c>
      <c r="CZ281" s="28" t="n">
        <f aca="false">IFERROR(INDEX(Assessments!$J$2:$J$600,MATCH($H281&amp;"|"&amp;$I281&amp;"|"&amp;$J281&amp;"|"&amp;4,Assessments!$A$2:$A$600,0)),0)</f>
        <v>1</v>
      </c>
      <c r="DA281" s="28" t="n">
        <f aca="false">IFERROR(INDEX(Assessments!$J$2:$J$600,MATCH($H281&amp;"|"&amp;$I281&amp;"|"&amp;$J281&amp;"|"&amp;5,Assessments!$A$2:$A$600,0)),0)</f>
        <v>2</v>
      </c>
      <c r="DB281" s="28" t="n">
        <f aca="false">IFERROR(INDEX(Assessments!$J$2:$J$600,MATCH($H281&amp;"|"&amp;$I281&amp;"|"&amp;$J281&amp;"|"&amp;6,Assessments!$A$2:$A$600,0)),0)</f>
        <v>1</v>
      </c>
      <c r="DC281" s="28" t="n">
        <f aca="false">IFERROR(INDEX(Assessments!$J$2:$J$600,MATCH($H281&amp;"|"&amp;$I281&amp;"|"&amp;$J281&amp;"|"&amp;7,Assessments!$A$2:$A$600,0)),0)</f>
        <v>2</v>
      </c>
      <c r="DD281" s="28" t="n">
        <f aca="false">IFERROR(INDEX(Assessments!$J$2:$J$600,MATCH($H281&amp;"|"&amp;$I281&amp;"|"&amp;$J281&amp;"|"&amp;8,Assessments!$A$2:$A$600,0)),0)</f>
        <v>0</v>
      </c>
      <c r="DE281" s="28" t="n">
        <f aca="false">IFERROR(INDEX(Assessments!$J$2:$J$600,MATCH($H281&amp;"|"&amp;$I281&amp;"|"&amp;$J281&amp;"|"&amp;9,Assessments!$A$2:$A$600,0)),0)</f>
        <v>0</v>
      </c>
      <c r="DF281" s="28" t="n">
        <f aca="false">IFERROR(INDEX(Assessments!$J$2:$J$600,MATCH($H281&amp;"|"&amp;$I281&amp;"|"&amp;$J281&amp;"|"&amp;10,Assessments!$A$2:$A$600,0)),0)</f>
        <v>0</v>
      </c>
      <c r="DG281" s="28" t="n">
        <f aca="false">IFERROR(INDEX(Assessments!$J$2:$J$600,MATCH($H281&amp;"|"&amp;$I281&amp;"|"&amp;$J281&amp;"|"&amp;11,Assessments!$A$2:$A$600,0)),0)</f>
        <v>0</v>
      </c>
      <c r="DH281" s="28" t="n">
        <f aca="false">IFERROR(INDEX(Assessments!$J$2:$J$600,MATCH($H281&amp;"|"&amp;$I281&amp;"|"&amp;$J281&amp;"|"&amp;12,Assessments!$A$2:$A$600,0)),0)</f>
        <v>0</v>
      </c>
      <c r="DI281" s="28" t="n">
        <f aca="false">IFERROR(INDEX(Assessments!$J$2:$J$600,MATCH($H281&amp;"|"&amp;$I281&amp;"|"&amp;$J281&amp;"|"&amp;13,Assessments!$A$2:$A$600,0)),0)</f>
        <v>0</v>
      </c>
      <c r="DJ281" s="28" t="n">
        <f aca="false">IFERROR(INDEX(Assessments!$J$2:$J$600,MATCH($H281&amp;"|"&amp;$I281&amp;"|"&amp;$J281&amp;"|"&amp;14,Assessments!$A$2:$A$600,0)),0)</f>
        <v>0</v>
      </c>
      <c r="DK281" s="28" t="str">
        <f aca="false">S281</f>
        <v/>
      </c>
      <c r="DL281" s="28" t="str">
        <f aca="false">W281</f>
        <v/>
      </c>
      <c r="DM281" s="28" t="str">
        <f aca="false">AA281</f>
        <v/>
      </c>
      <c r="DN281" s="28" t="str">
        <f aca="false">AE281</f>
        <v/>
      </c>
      <c r="DO281" s="28" t="str">
        <f aca="false">AI281</f>
        <v/>
      </c>
      <c r="DP281" s="28" t="str">
        <f aca="false">AM281</f>
        <v/>
      </c>
      <c r="DQ281" s="28" t="str">
        <f aca="false">AQ281</f>
        <v/>
      </c>
      <c r="DR281" s="28" t="str">
        <f aca="false">AU281</f>
        <v/>
      </c>
      <c r="DS281" s="28" t="str">
        <f aca="false">AY281</f>
        <v/>
      </c>
      <c r="DT281" s="28" t="str">
        <f aca="false">BC281</f>
        <v/>
      </c>
      <c r="DU281" s="28" t="str">
        <f aca="false">BG281</f>
        <v/>
      </c>
      <c r="DV281" s="28" t="str">
        <f aca="false">BK281</f>
        <v/>
      </c>
      <c r="DW281" s="28" t="str">
        <f aca="false">BO281</f>
        <v/>
      </c>
      <c r="DX281" s="28" t="str">
        <f aca="false">BS281</f>
        <v/>
      </c>
      <c r="DY281" s="28" t="str">
        <f aca="false">IF(ISNUMBER(S281),1,"")</f>
        <v/>
      </c>
      <c r="DZ281" s="28" t="str">
        <f aca="false">IF(ISNUMBER(W281),2,"")</f>
        <v/>
      </c>
      <c r="EA281" s="28" t="str">
        <f aca="false">IF(ISNUMBER(AA281),3,"")</f>
        <v/>
      </c>
      <c r="EB281" s="28" t="str">
        <f aca="false">IF(ISNUMBER(AE281),4,"")</f>
        <v/>
      </c>
      <c r="EC281" s="28" t="str">
        <f aca="false">IF(ISNUMBER(AI281),5,"")</f>
        <v/>
      </c>
      <c r="ED281" s="28" t="str">
        <f aca="false">IF(ISNUMBER(AM281),6,"")</f>
        <v/>
      </c>
      <c r="EE281" s="28" t="str">
        <f aca="false">IF(ISNUMBER(AQ281),7,"")</f>
        <v/>
      </c>
      <c r="EF281" s="28" t="str">
        <f aca="false">IF(ISNUMBER(AU281),8,"")</f>
        <v/>
      </c>
      <c r="EG281" s="28" t="str">
        <f aca="false">IF(ISNUMBER(AY281),9,"")</f>
        <v/>
      </c>
      <c r="EH281" s="28" t="str">
        <f aca="false">IF(ISNUMBER(BC281),10,"")</f>
        <v/>
      </c>
      <c r="EI281" s="28" t="str">
        <f aca="false">IF(ISNUMBER(BG281),11,"")</f>
        <v/>
      </c>
      <c r="EJ281" s="28" t="str">
        <f aca="false">IF(ISNUMBER(BK281),12,"")</f>
        <v/>
      </c>
      <c r="EK281" s="28" t="str">
        <f aca="false">IF(ISNUMBER(BO281),13,"")</f>
        <v/>
      </c>
      <c r="EL281" s="28" t="str">
        <f aca="false">IF(ISNUMBER(BS281),14,"")</f>
        <v/>
      </c>
      <c r="EM281" s="28" t="n">
        <f aca="false">IF(ISNUMBER(R281),R281*CW281,0)</f>
        <v>0</v>
      </c>
      <c r="EN281" s="28" t="n">
        <f aca="false">IF(ISNUMBER(V281),V281*CX281,0)</f>
        <v>0</v>
      </c>
      <c r="EO281" s="28" t="n">
        <f aca="false">IF(ISNUMBER(Z281),Z281*CY281,0)</f>
        <v>0</v>
      </c>
      <c r="EP281" s="28" t="n">
        <f aca="false">IF(ISNUMBER(AD281),AD281*CZ281,0)</f>
        <v>0</v>
      </c>
      <c r="EQ281" s="28" t="n">
        <f aca="false">IF(ISNUMBER(AH281),AH281*DA281,0)</f>
        <v>0</v>
      </c>
      <c r="ER281" s="28" t="n">
        <f aca="false">IF(ISNUMBER(AL281),AL281*DB281,0)</f>
        <v>0</v>
      </c>
      <c r="ES281" s="28" t="n">
        <f aca="false">IF(ISNUMBER(AP281),AP281*DC281,0)</f>
        <v>0</v>
      </c>
      <c r="ET281" s="28" t="n">
        <f aca="false">IF(ISNUMBER(AT281),AT281*DD281,0)</f>
        <v>0</v>
      </c>
      <c r="EU281" s="28" t="n">
        <f aca="false">IF(ISNUMBER(AX281),AX281*DE281,0)</f>
        <v>0</v>
      </c>
      <c r="EV281" s="28" t="n">
        <f aca="false">IF(ISNUMBER(BB281),BB281*DF281,0)</f>
        <v>0</v>
      </c>
      <c r="EW281" s="28" t="n">
        <f aca="false">IF(ISNUMBER(BF281),BF281*DG281,0)</f>
        <v>0</v>
      </c>
      <c r="EX281" s="28" t="n">
        <f aca="false">IF(ISNUMBER(BJ281),BJ281*DH281,0)</f>
        <v>0</v>
      </c>
      <c r="EY281" s="28" t="n">
        <f aca="false">IF(ISNUMBER(BN281),BN281*DI281,0)</f>
        <v>0</v>
      </c>
      <c r="EZ281" s="28" t="n">
        <f aca="false">IF(ISNUMBER(BR281),BR281*DJ281,0)</f>
        <v>0</v>
      </c>
      <c r="FA281" s="28" t="n">
        <f aca="false">IF(ISNUMBER(R281),CW281,0)</f>
        <v>0</v>
      </c>
      <c r="FB281" s="28" t="n">
        <f aca="false">IF(ISNUMBER(V281),CX281,0)</f>
        <v>0</v>
      </c>
      <c r="FC281" s="28" t="n">
        <f aca="false">IF(ISNUMBER(Z281),CY281,0)</f>
        <v>0</v>
      </c>
      <c r="FD281" s="28" t="n">
        <f aca="false">IF(ISNUMBER(AD281),CZ281,0)</f>
        <v>0</v>
      </c>
      <c r="FE281" s="28" t="n">
        <f aca="false">IF(ISNUMBER(AH281),DA281,0)</f>
        <v>0</v>
      </c>
      <c r="FF281" s="28" t="n">
        <f aca="false">IF(ISNUMBER(AL281),DB281,0)</f>
        <v>0</v>
      </c>
      <c r="FG281" s="28" t="n">
        <f aca="false">IF(ISNUMBER(AP281),DC281,0)</f>
        <v>0</v>
      </c>
      <c r="FH281" s="28" t="n">
        <f aca="false">IF(ISNUMBER(AT281),DD281,0)</f>
        <v>0</v>
      </c>
      <c r="FI281" s="28" t="n">
        <f aca="false">IF(ISNUMBER(AX281),DE281,0)</f>
        <v>0</v>
      </c>
      <c r="FJ281" s="28" t="n">
        <f aca="false">IF(ISNUMBER(BB281),DF281,0)</f>
        <v>0</v>
      </c>
      <c r="FK281" s="28" t="n">
        <f aca="false">IF(ISNUMBER(BF281),DG281,0)</f>
        <v>0</v>
      </c>
      <c r="FL281" s="28" t="n">
        <f aca="false">IF(ISNUMBER(BJ281),DH281,0)</f>
        <v>0</v>
      </c>
      <c r="FM281" s="28" t="n">
        <f aca="false">IF(ISNUMBER(BN281),DI281,0)</f>
        <v>0</v>
      </c>
      <c r="FN281" s="28" t="n">
        <f aca="false">IF(ISNUMBER(BR281),DJ281,0)</f>
        <v>0</v>
      </c>
      <c r="FO281" s="28" t="str">
        <f aca="false">IFERROR(INDEX(Lists!$G$2:$G$20,MATCH($I281&amp;"|"&amp;$J281,Lists!$F$2:$F$20,0)),"")</f>
        <v>Econ Exam</v>
      </c>
    </row>
    <row r="282" customFormat="false" ht="19.5" hidden="false" customHeight="true" outlineLevel="0" collapsed="false">
      <c r="A282" s="29" t="s">
        <v>566</v>
      </c>
      <c r="B282" s="29" t="s">
        <v>567</v>
      </c>
      <c r="C282" s="30" t="s">
        <v>152</v>
      </c>
      <c r="D282" s="30" t="s">
        <v>246</v>
      </c>
      <c r="E282" s="31"/>
      <c r="F282" s="30"/>
      <c r="G282" s="30"/>
      <c r="H282" s="32" t="s">
        <v>428</v>
      </c>
      <c r="I282" s="33" t="s">
        <v>229</v>
      </c>
      <c r="J282" s="32" t="s">
        <v>223</v>
      </c>
      <c r="K282" s="34" t="str">
        <f aca="false">IF(OR(M282="",$E282=""),"",M282-$E282)</f>
        <v/>
      </c>
      <c r="L282" s="35" t="str">
        <f aca="false">IF(SUM(FA282:FN282)=0,"",SUM(EM282:EZ282)/SUM(FA282:FN282))</f>
        <v/>
      </c>
      <c r="M282" s="36" t="str">
        <f aca="false">IF(OR(L282="",FO282=""),"",IFERROR(MATCH(L282,INDEX(Boundaries!$B$2:$I$30,MATCH(FO282,Boundaries!$A$2:$A$30,0),0),1)-1,""))</f>
        <v/>
      </c>
      <c r="N282" s="37" t="str">
        <f aca="false">IF(COUNT($DY282:$EL282)&lt;2,"",INDEX($DK282:$DX282,MAX($DY282:$EL282))-INDEX($DK282:$DX282,MIN($DY282:$EL282)))</f>
        <v/>
      </c>
      <c r="O282" s="37" t="str">
        <f aca="false">IF(COUNT($DY282:$EL282)&lt;2,"",INDEX($DK282:$DX282,MAX($DY282:$EL282))-INDEX($DK282:$DX282,LARGE($DY282:$EL282,2)))</f>
        <v/>
      </c>
      <c r="P282" s="38" t="str">
        <f aca="false">IF(K282="","",IF(K282&gt;=0,"On/above target",IF(AND(N282&lt;&gt;"",N282&gt;=0.5),"Improving towards target",IF(AND(O282&lt;&gt;"",O282&lt;=-0.5),"Declining","Stable below target"))))</f>
        <v/>
      </c>
      <c r="Q282" s="39"/>
      <c r="R282" s="40" t="str">
        <f aca="false">IF(OR(Q282="",BU282=""),"",Q282/BU282*100)</f>
        <v/>
      </c>
      <c r="S282" s="41" t="str">
        <f aca="false">IF(R282="","",IFERROR(MATCH(R282,INDEX(Boundaries!$B$2:$I$30,MATCH(CI282,Boundaries!$A$2:$A$30,0),0),1)-1,""))</f>
        <v/>
      </c>
      <c r="T282" s="42" t="str">
        <f aca="false">IF(OR(S282="",$E282=""),"",S282-$E282)</f>
        <v/>
      </c>
      <c r="U282" s="39"/>
      <c r="V282" s="40" t="str">
        <f aca="false">IF(OR(U282="",BV282=""),"",U282/BV282*100)</f>
        <v/>
      </c>
      <c r="W282" s="41" t="str">
        <f aca="false">IF(V282="","",IFERROR(MATCH(V282,INDEX(Boundaries!$B$2:$I$30,MATCH(CJ282,Boundaries!$A$2:$A$30,0),0),1)-1,""))</f>
        <v/>
      </c>
      <c r="X282" s="42" t="str">
        <f aca="false">IF(OR(W282="",$E282=""),"",W282-$E282)</f>
        <v/>
      </c>
      <c r="Y282" s="39"/>
      <c r="Z282" s="40" t="str">
        <f aca="false">IF(OR(Y282="",BW282=""),"",Y282/BW282*100)</f>
        <v/>
      </c>
      <c r="AA282" s="41" t="str">
        <f aca="false">IF(Z282="","",IFERROR(MATCH(Z282,INDEX(Boundaries!$B$2:$I$30,MATCH(CK282,Boundaries!$A$2:$A$30,0),0),1)-1,""))</f>
        <v/>
      </c>
      <c r="AB282" s="42" t="str">
        <f aca="false">IF(OR(AA282="",$E282=""),"",AA282-$E282)</f>
        <v/>
      </c>
      <c r="AC282" s="39"/>
      <c r="AD282" s="40" t="str">
        <f aca="false">IF(OR(AC282="",BX282=""),"",AC282/BX282*100)</f>
        <v/>
      </c>
      <c r="AE282" s="41" t="str">
        <f aca="false">IF(AD282="","",IFERROR(MATCH(AD282,INDEX(Boundaries!$B$2:$I$30,MATCH(CL282,Boundaries!$A$2:$A$30,0),0),1)-1,""))</f>
        <v/>
      </c>
      <c r="AF282" s="42" t="str">
        <f aca="false">IF(OR(AE282="",$E282=""),"",AE282-$E282)</f>
        <v/>
      </c>
      <c r="AG282" s="39"/>
      <c r="AH282" s="40" t="str">
        <f aca="false">IF(OR(AG282="",BY282=""),"",AG282/BY282*100)</f>
        <v/>
      </c>
      <c r="AI282" s="41" t="str">
        <f aca="false">IF(AH282="","",IFERROR(MATCH(AH282,INDEX(Boundaries!$B$2:$I$30,MATCH(CM282,Boundaries!$A$2:$A$30,0),0),1)-1,""))</f>
        <v/>
      </c>
      <c r="AJ282" s="42" t="str">
        <f aca="false">IF(OR(AI282="",$E282=""),"",AI282-$E282)</f>
        <v/>
      </c>
      <c r="AK282" s="39"/>
      <c r="AL282" s="40" t="str">
        <f aca="false">IF(OR(AK282="",BZ282=""),"",AK282/BZ282*100)</f>
        <v/>
      </c>
      <c r="AM282" s="41" t="str">
        <f aca="false">IF(AL282="","",IFERROR(MATCH(AL282,INDEX(Boundaries!$B$2:$I$30,MATCH(CN282,Boundaries!$A$2:$A$30,0),0),1)-1,""))</f>
        <v/>
      </c>
      <c r="AN282" s="42" t="str">
        <f aca="false">IF(OR(AM282="",$E282=""),"",AM282-$E282)</f>
        <v/>
      </c>
      <c r="AO282" s="39"/>
      <c r="AP282" s="40" t="str">
        <f aca="false">IF(OR(AO282="",CA282=""),"",AO282/CA282*100)</f>
        <v/>
      </c>
      <c r="AQ282" s="41" t="str">
        <f aca="false">IF(AP282="","",IFERROR(MATCH(AP282,INDEX(Boundaries!$B$2:$I$30,MATCH(CO282,Boundaries!$A$2:$A$30,0),0),1)-1,""))</f>
        <v/>
      </c>
      <c r="AR282" s="42" t="str">
        <f aca="false">IF(OR(AQ282="",$E282=""),"",AQ282-$E282)</f>
        <v/>
      </c>
      <c r="AS282" s="39"/>
      <c r="AT282" s="40" t="str">
        <f aca="false">IF(OR(AS282="",CB282=""),"",AS282/CB282*100)</f>
        <v/>
      </c>
      <c r="AU282" s="41" t="str">
        <f aca="false">IF(AT282="","",IFERROR(MATCH(AT282,INDEX(Boundaries!$B$2:$I$30,MATCH(CP282,Boundaries!$A$2:$A$30,0),0),1)-1,""))</f>
        <v/>
      </c>
      <c r="AV282" s="42" t="str">
        <f aca="false">IF(OR(AU282="",$E282=""),"",AU282-$E282)</f>
        <v/>
      </c>
      <c r="AW282" s="39"/>
      <c r="AX282" s="40" t="str">
        <f aca="false">IF(OR(AW282="",CC282=""),"",AW282/CC282*100)</f>
        <v/>
      </c>
      <c r="AY282" s="41" t="str">
        <f aca="false">IF(AX282="","",IFERROR(MATCH(AX282,INDEX(Boundaries!$B$2:$I$30,MATCH(CQ282,Boundaries!$A$2:$A$30,0),0),1)-1,""))</f>
        <v/>
      </c>
      <c r="AZ282" s="42" t="str">
        <f aca="false">IF(OR(AY282="",$E282=""),"",AY282-$E282)</f>
        <v/>
      </c>
      <c r="BA282" s="39"/>
      <c r="BB282" s="40" t="str">
        <f aca="false">IF(OR(BA282="",CD282=""),"",BA282/CD282*100)</f>
        <v/>
      </c>
      <c r="BC282" s="41" t="str">
        <f aca="false">IF(BB282="","",IFERROR(MATCH(BB282,INDEX(Boundaries!$B$2:$I$30,MATCH(CR282,Boundaries!$A$2:$A$30,0),0),1)-1,""))</f>
        <v/>
      </c>
      <c r="BD282" s="42" t="str">
        <f aca="false">IF(OR(BC282="",$E282=""),"",BC282-$E282)</f>
        <v/>
      </c>
      <c r="BE282" s="39"/>
      <c r="BF282" s="40" t="str">
        <f aca="false">IF(OR(BE282="",CE282=""),"",BE282/CE282*100)</f>
        <v/>
      </c>
      <c r="BG282" s="41" t="str">
        <f aca="false">IF(BF282="","",IFERROR(MATCH(BF282,INDEX(Boundaries!$B$2:$I$30,MATCH(CS282,Boundaries!$A$2:$A$30,0),0),1)-1,""))</f>
        <v/>
      </c>
      <c r="BH282" s="42" t="str">
        <f aca="false">IF(OR(BG282="",$E282=""),"",BG282-$E282)</f>
        <v/>
      </c>
      <c r="BI282" s="39"/>
      <c r="BJ282" s="40" t="str">
        <f aca="false">IF(OR(BI282="",CF282=""),"",BI282/CF282*100)</f>
        <v/>
      </c>
      <c r="BK282" s="41" t="str">
        <f aca="false">IF(BJ282="","",IFERROR(MATCH(BJ282,INDEX(Boundaries!$B$2:$I$30,MATCH(CT282,Boundaries!$A$2:$A$30,0),0),1)-1,""))</f>
        <v/>
      </c>
      <c r="BL282" s="42" t="str">
        <f aca="false">IF(OR(BK282="",$E282=""),"",BK282-$E282)</f>
        <v/>
      </c>
      <c r="BM282" s="39"/>
      <c r="BN282" s="40" t="str">
        <f aca="false">IF(OR(BM282="",CG282=""),"",BM282/CG282*100)</f>
        <v/>
      </c>
      <c r="BO282" s="41" t="str">
        <f aca="false">IF(BN282="","",IFERROR(MATCH(BN282,INDEX(Boundaries!$B$2:$I$30,MATCH(CU282,Boundaries!$A$2:$A$30,0),0),1)-1,""))</f>
        <v/>
      </c>
      <c r="BP282" s="42" t="str">
        <f aca="false">IF(OR(BO282="",$E282=""),"",BO282-$E282)</f>
        <v/>
      </c>
      <c r="BQ282" s="39"/>
      <c r="BR282" s="40" t="str">
        <f aca="false">IF(OR(BQ282="",CH282=""),"",BQ282/CH282*100)</f>
        <v/>
      </c>
      <c r="BS282" s="41" t="str">
        <f aca="false">IF(BR282="","",IFERROR(MATCH(BR282,INDEX(Boundaries!$B$2:$I$30,MATCH(CV282,Boundaries!$A$2:$A$30,0),0),1)-1,""))</f>
        <v/>
      </c>
      <c r="BT282" s="42" t="str">
        <f aca="false">IF(OR(BS282="",$E282=""),"",BS282-$E282)</f>
        <v/>
      </c>
      <c r="BU282" s="28" t="n">
        <f aca="false">IFERROR(INDEX(Assessments!$H$2:$H$600,MATCH($H282&amp;"|"&amp;$I282&amp;"|"&amp;$J282&amp;"|"&amp;1,Assessments!$A$2:$A$600,0)),"")</f>
        <v>25</v>
      </c>
      <c r="BV282" s="28" t="n">
        <f aca="false">IFERROR(INDEX(Assessments!$H$2:$H$600,MATCH($H282&amp;"|"&amp;$I282&amp;"|"&amp;$J282&amp;"|"&amp;2,Assessments!$A$2:$A$600,0)),"")</f>
        <v>20</v>
      </c>
      <c r="BW282" s="28" t="n">
        <f aca="false">IFERROR(INDEX(Assessments!$H$2:$H$600,MATCH($H282&amp;"|"&amp;$I282&amp;"|"&amp;$J282&amp;"|"&amp;3,Assessments!$A$2:$A$600,0)),"")</f>
        <v>25</v>
      </c>
      <c r="BX282" s="28" t="n">
        <f aca="false">IFERROR(INDEX(Assessments!$H$2:$H$600,MATCH($H282&amp;"|"&amp;$I282&amp;"|"&amp;$J282&amp;"|"&amp;4,Assessments!$A$2:$A$600,0)),"")</f>
        <v>23</v>
      </c>
      <c r="BY282" s="28" t="n">
        <f aca="false">IFERROR(INDEX(Assessments!$H$2:$H$600,MATCH($H282&amp;"|"&amp;$I282&amp;"|"&amp;$J282&amp;"|"&amp;5,Assessments!$A$2:$A$600,0)),"")</f>
        <v>25</v>
      </c>
      <c r="BZ282" s="28" t="n">
        <f aca="false">IFERROR(INDEX(Assessments!$H$2:$H$600,MATCH($H282&amp;"|"&amp;$I282&amp;"|"&amp;$J282&amp;"|"&amp;6,Assessments!$A$2:$A$600,0)),"")</f>
        <v>23</v>
      </c>
      <c r="CA282" s="28" t="n">
        <f aca="false">IFERROR(INDEX(Assessments!$H$2:$H$600,MATCH($H282&amp;"|"&amp;$I282&amp;"|"&amp;$J282&amp;"|"&amp;7,Assessments!$A$2:$A$600,0)),"")</f>
        <v>52</v>
      </c>
      <c r="CB282" s="28" t="str">
        <f aca="false">IFERROR(INDEX(Assessments!$H$2:$H$600,MATCH($H282&amp;"|"&amp;$I282&amp;"|"&amp;$J282&amp;"|"&amp;8,Assessments!$A$2:$A$600,0)),"")</f>
        <v/>
      </c>
      <c r="CC282" s="28" t="str">
        <f aca="false">IFERROR(INDEX(Assessments!$H$2:$H$600,MATCH($H282&amp;"|"&amp;$I282&amp;"|"&amp;$J282&amp;"|"&amp;9,Assessments!$A$2:$A$600,0)),"")</f>
        <v/>
      </c>
      <c r="CD282" s="28" t="str">
        <f aca="false">IFERROR(INDEX(Assessments!$H$2:$H$600,MATCH($H282&amp;"|"&amp;$I282&amp;"|"&amp;$J282&amp;"|"&amp;10,Assessments!$A$2:$A$600,0)),"")</f>
        <v/>
      </c>
      <c r="CE282" s="28" t="str">
        <f aca="false">IFERROR(INDEX(Assessments!$H$2:$H$600,MATCH($H282&amp;"|"&amp;$I282&amp;"|"&amp;$J282&amp;"|"&amp;11,Assessments!$A$2:$A$600,0)),"")</f>
        <v/>
      </c>
      <c r="CF282" s="28" t="str">
        <f aca="false">IFERROR(INDEX(Assessments!$H$2:$H$600,MATCH($H282&amp;"|"&amp;$I282&amp;"|"&amp;$J282&amp;"|"&amp;12,Assessments!$A$2:$A$600,0)),"")</f>
        <v/>
      </c>
      <c r="CG282" s="28" t="str">
        <f aca="false">IFERROR(INDEX(Assessments!$H$2:$H$600,MATCH($H282&amp;"|"&amp;$I282&amp;"|"&amp;$J282&amp;"|"&amp;13,Assessments!$A$2:$A$600,0)),"")</f>
        <v/>
      </c>
      <c r="CH282" s="28" t="str">
        <f aca="false">IFERROR(INDEX(Assessments!$H$2:$H$600,MATCH($H282&amp;"|"&amp;$I282&amp;"|"&amp;$J282&amp;"|"&amp;14,Assessments!$A$2:$A$600,0)),"")</f>
        <v/>
      </c>
      <c r="CI282" s="28" t="str">
        <f aca="false">IFERROR(INDEX(Assessments!$I$2:$I$600,MATCH($H282&amp;"|"&amp;$I282&amp;"|"&amp;$J282&amp;"|"&amp;1,Assessments!$A$2:$A$600,0)),"")</f>
        <v>Econ Test</v>
      </c>
      <c r="CJ282" s="28" t="str">
        <f aca="false">IFERROR(INDEX(Assessments!$I$2:$I$600,MATCH($H282&amp;"|"&amp;$I282&amp;"|"&amp;$J282&amp;"|"&amp;2,Assessments!$A$2:$A$600,0)),"")</f>
        <v>Econ Test</v>
      </c>
      <c r="CK282" s="28" t="str">
        <f aca="false">IFERROR(INDEX(Assessments!$I$2:$I$600,MATCH($H282&amp;"|"&amp;$I282&amp;"|"&amp;$J282&amp;"|"&amp;3,Assessments!$A$2:$A$600,0)),"")</f>
        <v>Econ Test</v>
      </c>
      <c r="CL282" s="28" t="str">
        <f aca="false">IFERROR(INDEX(Assessments!$I$2:$I$600,MATCH($H282&amp;"|"&amp;$I282&amp;"|"&amp;$J282&amp;"|"&amp;4,Assessments!$A$2:$A$600,0)),"")</f>
        <v>Econ Test</v>
      </c>
      <c r="CM282" s="28" t="str">
        <f aca="false">IFERROR(INDEX(Assessments!$I$2:$I$600,MATCH($H282&amp;"|"&amp;$I282&amp;"|"&amp;$J282&amp;"|"&amp;5,Assessments!$A$2:$A$600,0)),"")</f>
        <v>Econ Exam</v>
      </c>
      <c r="CN282" s="28" t="str">
        <f aca="false">IFERROR(INDEX(Assessments!$I$2:$I$600,MATCH($H282&amp;"|"&amp;$I282&amp;"|"&amp;$J282&amp;"|"&amp;6,Assessments!$A$2:$A$600,0)),"")</f>
        <v>Econ Test</v>
      </c>
      <c r="CO282" s="28" t="str">
        <f aca="false">IFERROR(INDEX(Assessments!$I$2:$I$600,MATCH($H282&amp;"|"&amp;$I282&amp;"|"&amp;$J282&amp;"|"&amp;7,Assessments!$A$2:$A$600,0)),"")</f>
        <v>Econ Exam</v>
      </c>
      <c r="CP282" s="28" t="str">
        <f aca="false">IFERROR(INDEX(Assessments!$I$2:$I$600,MATCH($H282&amp;"|"&amp;$I282&amp;"|"&amp;$J282&amp;"|"&amp;8,Assessments!$A$2:$A$600,0)),"")</f>
        <v/>
      </c>
      <c r="CQ282" s="28" t="str">
        <f aca="false">IFERROR(INDEX(Assessments!$I$2:$I$600,MATCH($H282&amp;"|"&amp;$I282&amp;"|"&amp;$J282&amp;"|"&amp;9,Assessments!$A$2:$A$600,0)),"")</f>
        <v/>
      </c>
      <c r="CR282" s="28" t="str">
        <f aca="false">IFERROR(INDEX(Assessments!$I$2:$I$600,MATCH($H282&amp;"|"&amp;$I282&amp;"|"&amp;$J282&amp;"|"&amp;10,Assessments!$A$2:$A$600,0)),"")</f>
        <v/>
      </c>
      <c r="CS282" s="28" t="str">
        <f aca="false">IFERROR(INDEX(Assessments!$I$2:$I$600,MATCH($H282&amp;"|"&amp;$I282&amp;"|"&amp;$J282&amp;"|"&amp;11,Assessments!$A$2:$A$600,0)),"")</f>
        <v/>
      </c>
      <c r="CT282" s="28" t="str">
        <f aca="false">IFERROR(INDEX(Assessments!$I$2:$I$600,MATCH($H282&amp;"|"&amp;$I282&amp;"|"&amp;$J282&amp;"|"&amp;12,Assessments!$A$2:$A$600,0)),"")</f>
        <v/>
      </c>
      <c r="CU282" s="28" t="str">
        <f aca="false">IFERROR(INDEX(Assessments!$I$2:$I$600,MATCH($H282&amp;"|"&amp;$I282&amp;"|"&amp;$J282&amp;"|"&amp;13,Assessments!$A$2:$A$600,0)),"")</f>
        <v/>
      </c>
      <c r="CV282" s="28" t="str">
        <f aca="false">IFERROR(INDEX(Assessments!$I$2:$I$600,MATCH($H282&amp;"|"&amp;$I282&amp;"|"&amp;$J282&amp;"|"&amp;14,Assessments!$A$2:$A$600,0)),"")</f>
        <v/>
      </c>
      <c r="CW282" s="28" t="n">
        <f aca="false">IFERROR(INDEX(Assessments!$J$2:$J$600,MATCH($H282&amp;"|"&amp;$I282&amp;"|"&amp;$J282&amp;"|"&amp;1,Assessments!$A$2:$A$600,0)),0)</f>
        <v>1</v>
      </c>
      <c r="CX282" s="28" t="n">
        <f aca="false">IFERROR(INDEX(Assessments!$J$2:$J$600,MATCH($H282&amp;"|"&amp;$I282&amp;"|"&amp;$J282&amp;"|"&amp;2,Assessments!$A$2:$A$600,0)),0)</f>
        <v>1</v>
      </c>
      <c r="CY282" s="28" t="n">
        <f aca="false">IFERROR(INDEX(Assessments!$J$2:$J$600,MATCH($H282&amp;"|"&amp;$I282&amp;"|"&amp;$J282&amp;"|"&amp;3,Assessments!$A$2:$A$600,0)),0)</f>
        <v>1</v>
      </c>
      <c r="CZ282" s="28" t="n">
        <f aca="false">IFERROR(INDEX(Assessments!$J$2:$J$600,MATCH($H282&amp;"|"&amp;$I282&amp;"|"&amp;$J282&amp;"|"&amp;4,Assessments!$A$2:$A$600,0)),0)</f>
        <v>1</v>
      </c>
      <c r="DA282" s="28" t="n">
        <f aca="false">IFERROR(INDEX(Assessments!$J$2:$J$600,MATCH($H282&amp;"|"&amp;$I282&amp;"|"&amp;$J282&amp;"|"&amp;5,Assessments!$A$2:$A$600,0)),0)</f>
        <v>2</v>
      </c>
      <c r="DB282" s="28" t="n">
        <f aca="false">IFERROR(INDEX(Assessments!$J$2:$J$600,MATCH($H282&amp;"|"&amp;$I282&amp;"|"&amp;$J282&amp;"|"&amp;6,Assessments!$A$2:$A$600,0)),0)</f>
        <v>1</v>
      </c>
      <c r="DC282" s="28" t="n">
        <f aca="false">IFERROR(INDEX(Assessments!$J$2:$J$600,MATCH($H282&amp;"|"&amp;$I282&amp;"|"&amp;$J282&amp;"|"&amp;7,Assessments!$A$2:$A$600,0)),0)</f>
        <v>2</v>
      </c>
      <c r="DD282" s="28" t="n">
        <f aca="false">IFERROR(INDEX(Assessments!$J$2:$J$600,MATCH($H282&amp;"|"&amp;$I282&amp;"|"&amp;$J282&amp;"|"&amp;8,Assessments!$A$2:$A$600,0)),0)</f>
        <v>0</v>
      </c>
      <c r="DE282" s="28" t="n">
        <f aca="false">IFERROR(INDEX(Assessments!$J$2:$J$600,MATCH($H282&amp;"|"&amp;$I282&amp;"|"&amp;$J282&amp;"|"&amp;9,Assessments!$A$2:$A$600,0)),0)</f>
        <v>0</v>
      </c>
      <c r="DF282" s="28" t="n">
        <f aca="false">IFERROR(INDEX(Assessments!$J$2:$J$600,MATCH($H282&amp;"|"&amp;$I282&amp;"|"&amp;$J282&amp;"|"&amp;10,Assessments!$A$2:$A$600,0)),0)</f>
        <v>0</v>
      </c>
      <c r="DG282" s="28" t="n">
        <f aca="false">IFERROR(INDEX(Assessments!$J$2:$J$600,MATCH($H282&amp;"|"&amp;$I282&amp;"|"&amp;$J282&amp;"|"&amp;11,Assessments!$A$2:$A$600,0)),0)</f>
        <v>0</v>
      </c>
      <c r="DH282" s="28" t="n">
        <f aca="false">IFERROR(INDEX(Assessments!$J$2:$J$600,MATCH($H282&amp;"|"&amp;$I282&amp;"|"&amp;$J282&amp;"|"&amp;12,Assessments!$A$2:$A$600,0)),0)</f>
        <v>0</v>
      </c>
      <c r="DI282" s="28" t="n">
        <f aca="false">IFERROR(INDEX(Assessments!$J$2:$J$600,MATCH($H282&amp;"|"&amp;$I282&amp;"|"&amp;$J282&amp;"|"&amp;13,Assessments!$A$2:$A$600,0)),0)</f>
        <v>0</v>
      </c>
      <c r="DJ282" s="28" t="n">
        <f aca="false">IFERROR(INDEX(Assessments!$J$2:$J$600,MATCH($H282&amp;"|"&amp;$I282&amp;"|"&amp;$J282&amp;"|"&amp;14,Assessments!$A$2:$A$600,0)),0)</f>
        <v>0</v>
      </c>
      <c r="DK282" s="28" t="str">
        <f aca="false">S282</f>
        <v/>
      </c>
      <c r="DL282" s="28" t="str">
        <f aca="false">W282</f>
        <v/>
      </c>
      <c r="DM282" s="28" t="str">
        <f aca="false">AA282</f>
        <v/>
      </c>
      <c r="DN282" s="28" t="str">
        <f aca="false">AE282</f>
        <v/>
      </c>
      <c r="DO282" s="28" t="str">
        <f aca="false">AI282</f>
        <v/>
      </c>
      <c r="DP282" s="28" t="str">
        <f aca="false">AM282</f>
        <v/>
      </c>
      <c r="DQ282" s="28" t="str">
        <f aca="false">AQ282</f>
        <v/>
      </c>
      <c r="DR282" s="28" t="str">
        <f aca="false">AU282</f>
        <v/>
      </c>
      <c r="DS282" s="28" t="str">
        <f aca="false">AY282</f>
        <v/>
      </c>
      <c r="DT282" s="28" t="str">
        <f aca="false">BC282</f>
        <v/>
      </c>
      <c r="DU282" s="28" t="str">
        <f aca="false">BG282</f>
        <v/>
      </c>
      <c r="DV282" s="28" t="str">
        <f aca="false">BK282</f>
        <v/>
      </c>
      <c r="DW282" s="28" t="str">
        <f aca="false">BO282</f>
        <v/>
      </c>
      <c r="DX282" s="28" t="str">
        <f aca="false">BS282</f>
        <v/>
      </c>
      <c r="DY282" s="28" t="str">
        <f aca="false">IF(ISNUMBER(S282),1,"")</f>
        <v/>
      </c>
      <c r="DZ282" s="28" t="str">
        <f aca="false">IF(ISNUMBER(W282),2,"")</f>
        <v/>
      </c>
      <c r="EA282" s="28" t="str">
        <f aca="false">IF(ISNUMBER(AA282),3,"")</f>
        <v/>
      </c>
      <c r="EB282" s="28" t="str">
        <f aca="false">IF(ISNUMBER(AE282),4,"")</f>
        <v/>
      </c>
      <c r="EC282" s="28" t="str">
        <f aca="false">IF(ISNUMBER(AI282),5,"")</f>
        <v/>
      </c>
      <c r="ED282" s="28" t="str">
        <f aca="false">IF(ISNUMBER(AM282),6,"")</f>
        <v/>
      </c>
      <c r="EE282" s="28" t="str">
        <f aca="false">IF(ISNUMBER(AQ282),7,"")</f>
        <v/>
      </c>
      <c r="EF282" s="28" t="str">
        <f aca="false">IF(ISNUMBER(AU282),8,"")</f>
        <v/>
      </c>
      <c r="EG282" s="28" t="str">
        <f aca="false">IF(ISNUMBER(AY282),9,"")</f>
        <v/>
      </c>
      <c r="EH282" s="28" t="str">
        <f aca="false">IF(ISNUMBER(BC282),10,"")</f>
        <v/>
      </c>
      <c r="EI282" s="28" t="str">
        <f aca="false">IF(ISNUMBER(BG282),11,"")</f>
        <v/>
      </c>
      <c r="EJ282" s="28" t="str">
        <f aca="false">IF(ISNUMBER(BK282),12,"")</f>
        <v/>
      </c>
      <c r="EK282" s="28" t="str">
        <f aca="false">IF(ISNUMBER(BO282),13,"")</f>
        <v/>
      </c>
      <c r="EL282" s="28" t="str">
        <f aca="false">IF(ISNUMBER(BS282),14,"")</f>
        <v/>
      </c>
      <c r="EM282" s="28" t="n">
        <f aca="false">IF(ISNUMBER(R282),R282*CW282,0)</f>
        <v>0</v>
      </c>
      <c r="EN282" s="28" t="n">
        <f aca="false">IF(ISNUMBER(V282),V282*CX282,0)</f>
        <v>0</v>
      </c>
      <c r="EO282" s="28" t="n">
        <f aca="false">IF(ISNUMBER(Z282),Z282*CY282,0)</f>
        <v>0</v>
      </c>
      <c r="EP282" s="28" t="n">
        <f aca="false">IF(ISNUMBER(AD282),AD282*CZ282,0)</f>
        <v>0</v>
      </c>
      <c r="EQ282" s="28" t="n">
        <f aca="false">IF(ISNUMBER(AH282),AH282*DA282,0)</f>
        <v>0</v>
      </c>
      <c r="ER282" s="28" t="n">
        <f aca="false">IF(ISNUMBER(AL282),AL282*DB282,0)</f>
        <v>0</v>
      </c>
      <c r="ES282" s="28" t="n">
        <f aca="false">IF(ISNUMBER(AP282),AP282*DC282,0)</f>
        <v>0</v>
      </c>
      <c r="ET282" s="28" t="n">
        <f aca="false">IF(ISNUMBER(AT282),AT282*DD282,0)</f>
        <v>0</v>
      </c>
      <c r="EU282" s="28" t="n">
        <f aca="false">IF(ISNUMBER(AX282),AX282*DE282,0)</f>
        <v>0</v>
      </c>
      <c r="EV282" s="28" t="n">
        <f aca="false">IF(ISNUMBER(BB282),BB282*DF282,0)</f>
        <v>0</v>
      </c>
      <c r="EW282" s="28" t="n">
        <f aca="false">IF(ISNUMBER(BF282),BF282*DG282,0)</f>
        <v>0</v>
      </c>
      <c r="EX282" s="28" t="n">
        <f aca="false">IF(ISNUMBER(BJ282),BJ282*DH282,0)</f>
        <v>0</v>
      </c>
      <c r="EY282" s="28" t="n">
        <f aca="false">IF(ISNUMBER(BN282),BN282*DI282,0)</f>
        <v>0</v>
      </c>
      <c r="EZ282" s="28" t="n">
        <f aca="false">IF(ISNUMBER(BR282),BR282*DJ282,0)</f>
        <v>0</v>
      </c>
      <c r="FA282" s="28" t="n">
        <f aca="false">IF(ISNUMBER(R282),CW282,0)</f>
        <v>0</v>
      </c>
      <c r="FB282" s="28" t="n">
        <f aca="false">IF(ISNUMBER(V282),CX282,0)</f>
        <v>0</v>
      </c>
      <c r="FC282" s="28" t="n">
        <f aca="false">IF(ISNUMBER(Z282),CY282,0)</f>
        <v>0</v>
      </c>
      <c r="FD282" s="28" t="n">
        <f aca="false">IF(ISNUMBER(AD282),CZ282,0)</f>
        <v>0</v>
      </c>
      <c r="FE282" s="28" t="n">
        <f aca="false">IF(ISNUMBER(AH282),DA282,0)</f>
        <v>0</v>
      </c>
      <c r="FF282" s="28" t="n">
        <f aca="false">IF(ISNUMBER(AL282),DB282,0)</f>
        <v>0</v>
      </c>
      <c r="FG282" s="28" t="n">
        <f aca="false">IF(ISNUMBER(AP282),DC282,0)</f>
        <v>0</v>
      </c>
      <c r="FH282" s="28" t="n">
        <f aca="false">IF(ISNUMBER(AT282),DD282,0)</f>
        <v>0</v>
      </c>
      <c r="FI282" s="28" t="n">
        <f aca="false">IF(ISNUMBER(AX282),DE282,0)</f>
        <v>0</v>
      </c>
      <c r="FJ282" s="28" t="n">
        <f aca="false">IF(ISNUMBER(BB282),DF282,0)</f>
        <v>0</v>
      </c>
      <c r="FK282" s="28" t="n">
        <f aca="false">IF(ISNUMBER(BF282),DG282,0)</f>
        <v>0</v>
      </c>
      <c r="FL282" s="28" t="n">
        <f aca="false">IF(ISNUMBER(BJ282),DH282,0)</f>
        <v>0</v>
      </c>
      <c r="FM282" s="28" t="n">
        <f aca="false">IF(ISNUMBER(BN282),DI282,0)</f>
        <v>0</v>
      </c>
      <c r="FN282" s="28" t="n">
        <f aca="false">IF(ISNUMBER(BR282),DJ282,0)</f>
        <v>0</v>
      </c>
      <c r="FO282" s="28" t="str">
        <f aca="false">IFERROR(INDEX(Lists!$G$2:$G$20,MATCH($I282&amp;"|"&amp;$J282,Lists!$F$2:$F$20,0)),"")</f>
        <v>Econ Exam</v>
      </c>
    </row>
    <row r="283" customFormat="false" ht="19.5" hidden="false" customHeight="true" outlineLevel="0" collapsed="false">
      <c r="A283" s="29" t="s">
        <v>568</v>
      </c>
      <c r="B283" s="29" t="s">
        <v>569</v>
      </c>
      <c r="C283" s="30" t="s">
        <v>152</v>
      </c>
      <c r="D283" s="30" t="s">
        <v>246</v>
      </c>
      <c r="E283" s="31"/>
      <c r="F283" s="30"/>
      <c r="G283" s="30"/>
      <c r="H283" s="32" t="s">
        <v>428</v>
      </c>
      <c r="I283" s="33" t="s">
        <v>229</v>
      </c>
      <c r="J283" s="32" t="s">
        <v>223</v>
      </c>
      <c r="K283" s="34" t="str">
        <f aca="false">IF(OR(M283="",$E283=""),"",M283-$E283)</f>
        <v/>
      </c>
      <c r="L283" s="35" t="str">
        <f aca="false">IF(SUM(FA283:FN283)=0,"",SUM(EM283:EZ283)/SUM(FA283:FN283))</f>
        <v/>
      </c>
      <c r="M283" s="36" t="str">
        <f aca="false">IF(OR(L283="",FO283=""),"",IFERROR(MATCH(L283,INDEX(Boundaries!$B$2:$I$30,MATCH(FO283,Boundaries!$A$2:$A$30,0),0),1)-1,""))</f>
        <v/>
      </c>
      <c r="N283" s="37" t="str">
        <f aca="false">IF(COUNT($DY283:$EL283)&lt;2,"",INDEX($DK283:$DX283,MAX($DY283:$EL283))-INDEX($DK283:$DX283,MIN($DY283:$EL283)))</f>
        <v/>
      </c>
      <c r="O283" s="37" t="str">
        <f aca="false">IF(COUNT($DY283:$EL283)&lt;2,"",INDEX($DK283:$DX283,MAX($DY283:$EL283))-INDEX($DK283:$DX283,LARGE($DY283:$EL283,2)))</f>
        <v/>
      </c>
      <c r="P283" s="38" t="str">
        <f aca="false">IF(K283="","",IF(K283&gt;=0,"On/above target",IF(AND(N283&lt;&gt;"",N283&gt;=0.5),"Improving towards target",IF(AND(O283&lt;&gt;"",O283&lt;=-0.5),"Declining","Stable below target"))))</f>
        <v/>
      </c>
      <c r="Q283" s="39"/>
      <c r="R283" s="40" t="str">
        <f aca="false">IF(OR(Q283="",BU283=""),"",Q283/BU283*100)</f>
        <v/>
      </c>
      <c r="S283" s="41" t="str">
        <f aca="false">IF(R283="","",IFERROR(MATCH(R283,INDEX(Boundaries!$B$2:$I$30,MATCH(CI283,Boundaries!$A$2:$A$30,0),0),1)-1,""))</f>
        <v/>
      </c>
      <c r="T283" s="42" t="str">
        <f aca="false">IF(OR(S283="",$E283=""),"",S283-$E283)</f>
        <v/>
      </c>
      <c r="U283" s="39"/>
      <c r="V283" s="40" t="str">
        <f aca="false">IF(OR(U283="",BV283=""),"",U283/BV283*100)</f>
        <v/>
      </c>
      <c r="W283" s="41" t="str">
        <f aca="false">IF(V283="","",IFERROR(MATCH(V283,INDEX(Boundaries!$B$2:$I$30,MATCH(CJ283,Boundaries!$A$2:$A$30,0),0),1)-1,""))</f>
        <v/>
      </c>
      <c r="X283" s="42" t="str">
        <f aca="false">IF(OR(W283="",$E283=""),"",W283-$E283)</f>
        <v/>
      </c>
      <c r="Y283" s="39"/>
      <c r="Z283" s="40" t="str">
        <f aca="false">IF(OR(Y283="",BW283=""),"",Y283/BW283*100)</f>
        <v/>
      </c>
      <c r="AA283" s="41" t="str">
        <f aca="false">IF(Z283="","",IFERROR(MATCH(Z283,INDEX(Boundaries!$B$2:$I$30,MATCH(CK283,Boundaries!$A$2:$A$30,0),0),1)-1,""))</f>
        <v/>
      </c>
      <c r="AB283" s="42" t="str">
        <f aca="false">IF(OR(AA283="",$E283=""),"",AA283-$E283)</f>
        <v/>
      </c>
      <c r="AC283" s="39"/>
      <c r="AD283" s="40" t="str">
        <f aca="false">IF(OR(AC283="",BX283=""),"",AC283/BX283*100)</f>
        <v/>
      </c>
      <c r="AE283" s="41" t="str">
        <f aca="false">IF(AD283="","",IFERROR(MATCH(AD283,INDEX(Boundaries!$B$2:$I$30,MATCH(CL283,Boundaries!$A$2:$A$30,0),0),1)-1,""))</f>
        <v/>
      </c>
      <c r="AF283" s="42" t="str">
        <f aca="false">IF(OR(AE283="",$E283=""),"",AE283-$E283)</f>
        <v/>
      </c>
      <c r="AG283" s="39"/>
      <c r="AH283" s="40" t="str">
        <f aca="false">IF(OR(AG283="",BY283=""),"",AG283/BY283*100)</f>
        <v/>
      </c>
      <c r="AI283" s="41" t="str">
        <f aca="false">IF(AH283="","",IFERROR(MATCH(AH283,INDEX(Boundaries!$B$2:$I$30,MATCH(CM283,Boundaries!$A$2:$A$30,0),0),1)-1,""))</f>
        <v/>
      </c>
      <c r="AJ283" s="42" t="str">
        <f aca="false">IF(OR(AI283="",$E283=""),"",AI283-$E283)</f>
        <v/>
      </c>
      <c r="AK283" s="39"/>
      <c r="AL283" s="40" t="str">
        <f aca="false">IF(OR(AK283="",BZ283=""),"",AK283/BZ283*100)</f>
        <v/>
      </c>
      <c r="AM283" s="41" t="str">
        <f aca="false">IF(AL283="","",IFERROR(MATCH(AL283,INDEX(Boundaries!$B$2:$I$30,MATCH(CN283,Boundaries!$A$2:$A$30,0),0),1)-1,""))</f>
        <v/>
      </c>
      <c r="AN283" s="42" t="str">
        <f aca="false">IF(OR(AM283="",$E283=""),"",AM283-$E283)</f>
        <v/>
      </c>
      <c r="AO283" s="39"/>
      <c r="AP283" s="40" t="str">
        <f aca="false">IF(OR(AO283="",CA283=""),"",AO283/CA283*100)</f>
        <v/>
      </c>
      <c r="AQ283" s="41" t="str">
        <f aca="false">IF(AP283="","",IFERROR(MATCH(AP283,INDEX(Boundaries!$B$2:$I$30,MATCH(CO283,Boundaries!$A$2:$A$30,0),0),1)-1,""))</f>
        <v/>
      </c>
      <c r="AR283" s="42" t="str">
        <f aca="false">IF(OR(AQ283="",$E283=""),"",AQ283-$E283)</f>
        <v/>
      </c>
      <c r="AS283" s="39"/>
      <c r="AT283" s="40" t="str">
        <f aca="false">IF(OR(AS283="",CB283=""),"",AS283/CB283*100)</f>
        <v/>
      </c>
      <c r="AU283" s="41" t="str">
        <f aca="false">IF(AT283="","",IFERROR(MATCH(AT283,INDEX(Boundaries!$B$2:$I$30,MATCH(CP283,Boundaries!$A$2:$A$30,0),0),1)-1,""))</f>
        <v/>
      </c>
      <c r="AV283" s="42" t="str">
        <f aca="false">IF(OR(AU283="",$E283=""),"",AU283-$E283)</f>
        <v/>
      </c>
      <c r="AW283" s="39"/>
      <c r="AX283" s="40" t="str">
        <f aca="false">IF(OR(AW283="",CC283=""),"",AW283/CC283*100)</f>
        <v/>
      </c>
      <c r="AY283" s="41" t="str">
        <f aca="false">IF(AX283="","",IFERROR(MATCH(AX283,INDEX(Boundaries!$B$2:$I$30,MATCH(CQ283,Boundaries!$A$2:$A$30,0),0),1)-1,""))</f>
        <v/>
      </c>
      <c r="AZ283" s="42" t="str">
        <f aca="false">IF(OR(AY283="",$E283=""),"",AY283-$E283)</f>
        <v/>
      </c>
      <c r="BA283" s="39"/>
      <c r="BB283" s="40" t="str">
        <f aca="false">IF(OR(BA283="",CD283=""),"",BA283/CD283*100)</f>
        <v/>
      </c>
      <c r="BC283" s="41" t="str">
        <f aca="false">IF(BB283="","",IFERROR(MATCH(BB283,INDEX(Boundaries!$B$2:$I$30,MATCH(CR283,Boundaries!$A$2:$A$30,0),0),1)-1,""))</f>
        <v/>
      </c>
      <c r="BD283" s="42" t="str">
        <f aca="false">IF(OR(BC283="",$E283=""),"",BC283-$E283)</f>
        <v/>
      </c>
      <c r="BE283" s="39"/>
      <c r="BF283" s="40" t="str">
        <f aca="false">IF(OR(BE283="",CE283=""),"",BE283/CE283*100)</f>
        <v/>
      </c>
      <c r="BG283" s="41" t="str">
        <f aca="false">IF(BF283="","",IFERROR(MATCH(BF283,INDEX(Boundaries!$B$2:$I$30,MATCH(CS283,Boundaries!$A$2:$A$30,0),0),1)-1,""))</f>
        <v/>
      </c>
      <c r="BH283" s="42" t="str">
        <f aca="false">IF(OR(BG283="",$E283=""),"",BG283-$E283)</f>
        <v/>
      </c>
      <c r="BI283" s="39"/>
      <c r="BJ283" s="40" t="str">
        <f aca="false">IF(OR(BI283="",CF283=""),"",BI283/CF283*100)</f>
        <v/>
      </c>
      <c r="BK283" s="41" t="str">
        <f aca="false">IF(BJ283="","",IFERROR(MATCH(BJ283,INDEX(Boundaries!$B$2:$I$30,MATCH(CT283,Boundaries!$A$2:$A$30,0),0),1)-1,""))</f>
        <v/>
      </c>
      <c r="BL283" s="42" t="str">
        <f aca="false">IF(OR(BK283="",$E283=""),"",BK283-$E283)</f>
        <v/>
      </c>
      <c r="BM283" s="39"/>
      <c r="BN283" s="40" t="str">
        <f aca="false">IF(OR(BM283="",CG283=""),"",BM283/CG283*100)</f>
        <v/>
      </c>
      <c r="BO283" s="41" t="str">
        <f aca="false">IF(BN283="","",IFERROR(MATCH(BN283,INDEX(Boundaries!$B$2:$I$30,MATCH(CU283,Boundaries!$A$2:$A$30,0),0),1)-1,""))</f>
        <v/>
      </c>
      <c r="BP283" s="42" t="str">
        <f aca="false">IF(OR(BO283="",$E283=""),"",BO283-$E283)</f>
        <v/>
      </c>
      <c r="BQ283" s="39"/>
      <c r="BR283" s="40" t="str">
        <f aca="false">IF(OR(BQ283="",CH283=""),"",BQ283/CH283*100)</f>
        <v/>
      </c>
      <c r="BS283" s="41" t="str">
        <f aca="false">IF(BR283="","",IFERROR(MATCH(BR283,INDEX(Boundaries!$B$2:$I$30,MATCH(CV283,Boundaries!$A$2:$A$30,0),0),1)-1,""))</f>
        <v/>
      </c>
      <c r="BT283" s="42" t="str">
        <f aca="false">IF(OR(BS283="",$E283=""),"",BS283-$E283)</f>
        <v/>
      </c>
      <c r="BU283" s="28" t="n">
        <f aca="false">IFERROR(INDEX(Assessments!$H$2:$H$600,MATCH($H283&amp;"|"&amp;$I283&amp;"|"&amp;$J283&amp;"|"&amp;1,Assessments!$A$2:$A$600,0)),"")</f>
        <v>25</v>
      </c>
      <c r="BV283" s="28" t="n">
        <f aca="false">IFERROR(INDEX(Assessments!$H$2:$H$600,MATCH($H283&amp;"|"&amp;$I283&amp;"|"&amp;$J283&amp;"|"&amp;2,Assessments!$A$2:$A$600,0)),"")</f>
        <v>20</v>
      </c>
      <c r="BW283" s="28" t="n">
        <f aca="false">IFERROR(INDEX(Assessments!$H$2:$H$600,MATCH($H283&amp;"|"&amp;$I283&amp;"|"&amp;$J283&amp;"|"&amp;3,Assessments!$A$2:$A$600,0)),"")</f>
        <v>25</v>
      </c>
      <c r="BX283" s="28" t="n">
        <f aca="false">IFERROR(INDEX(Assessments!$H$2:$H$600,MATCH($H283&amp;"|"&amp;$I283&amp;"|"&amp;$J283&amp;"|"&amp;4,Assessments!$A$2:$A$600,0)),"")</f>
        <v>23</v>
      </c>
      <c r="BY283" s="28" t="n">
        <f aca="false">IFERROR(INDEX(Assessments!$H$2:$H$600,MATCH($H283&amp;"|"&amp;$I283&amp;"|"&amp;$J283&amp;"|"&amp;5,Assessments!$A$2:$A$600,0)),"")</f>
        <v>25</v>
      </c>
      <c r="BZ283" s="28" t="n">
        <f aca="false">IFERROR(INDEX(Assessments!$H$2:$H$600,MATCH($H283&amp;"|"&amp;$I283&amp;"|"&amp;$J283&amp;"|"&amp;6,Assessments!$A$2:$A$600,0)),"")</f>
        <v>23</v>
      </c>
      <c r="CA283" s="28" t="n">
        <f aca="false">IFERROR(INDEX(Assessments!$H$2:$H$600,MATCH($H283&amp;"|"&amp;$I283&amp;"|"&amp;$J283&amp;"|"&amp;7,Assessments!$A$2:$A$600,0)),"")</f>
        <v>52</v>
      </c>
      <c r="CB283" s="28" t="str">
        <f aca="false">IFERROR(INDEX(Assessments!$H$2:$H$600,MATCH($H283&amp;"|"&amp;$I283&amp;"|"&amp;$J283&amp;"|"&amp;8,Assessments!$A$2:$A$600,0)),"")</f>
        <v/>
      </c>
      <c r="CC283" s="28" t="str">
        <f aca="false">IFERROR(INDEX(Assessments!$H$2:$H$600,MATCH($H283&amp;"|"&amp;$I283&amp;"|"&amp;$J283&amp;"|"&amp;9,Assessments!$A$2:$A$600,0)),"")</f>
        <v/>
      </c>
      <c r="CD283" s="28" t="str">
        <f aca="false">IFERROR(INDEX(Assessments!$H$2:$H$600,MATCH($H283&amp;"|"&amp;$I283&amp;"|"&amp;$J283&amp;"|"&amp;10,Assessments!$A$2:$A$600,0)),"")</f>
        <v/>
      </c>
      <c r="CE283" s="28" t="str">
        <f aca="false">IFERROR(INDEX(Assessments!$H$2:$H$600,MATCH($H283&amp;"|"&amp;$I283&amp;"|"&amp;$J283&amp;"|"&amp;11,Assessments!$A$2:$A$600,0)),"")</f>
        <v/>
      </c>
      <c r="CF283" s="28" t="str">
        <f aca="false">IFERROR(INDEX(Assessments!$H$2:$H$600,MATCH($H283&amp;"|"&amp;$I283&amp;"|"&amp;$J283&amp;"|"&amp;12,Assessments!$A$2:$A$600,0)),"")</f>
        <v/>
      </c>
      <c r="CG283" s="28" t="str">
        <f aca="false">IFERROR(INDEX(Assessments!$H$2:$H$600,MATCH($H283&amp;"|"&amp;$I283&amp;"|"&amp;$J283&amp;"|"&amp;13,Assessments!$A$2:$A$600,0)),"")</f>
        <v/>
      </c>
      <c r="CH283" s="28" t="str">
        <f aca="false">IFERROR(INDEX(Assessments!$H$2:$H$600,MATCH($H283&amp;"|"&amp;$I283&amp;"|"&amp;$J283&amp;"|"&amp;14,Assessments!$A$2:$A$600,0)),"")</f>
        <v/>
      </c>
      <c r="CI283" s="28" t="str">
        <f aca="false">IFERROR(INDEX(Assessments!$I$2:$I$600,MATCH($H283&amp;"|"&amp;$I283&amp;"|"&amp;$J283&amp;"|"&amp;1,Assessments!$A$2:$A$600,0)),"")</f>
        <v>Econ Test</v>
      </c>
      <c r="CJ283" s="28" t="str">
        <f aca="false">IFERROR(INDEX(Assessments!$I$2:$I$600,MATCH($H283&amp;"|"&amp;$I283&amp;"|"&amp;$J283&amp;"|"&amp;2,Assessments!$A$2:$A$600,0)),"")</f>
        <v>Econ Test</v>
      </c>
      <c r="CK283" s="28" t="str">
        <f aca="false">IFERROR(INDEX(Assessments!$I$2:$I$600,MATCH($H283&amp;"|"&amp;$I283&amp;"|"&amp;$J283&amp;"|"&amp;3,Assessments!$A$2:$A$600,0)),"")</f>
        <v>Econ Test</v>
      </c>
      <c r="CL283" s="28" t="str">
        <f aca="false">IFERROR(INDEX(Assessments!$I$2:$I$600,MATCH($H283&amp;"|"&amp;$I283&amp;"|"&amp;$J283&amp;"|"&amp;4,Assessments!$A$2:$A$600,0)),"")</f>
        <v>Econ Test</v>
      </c>
      <c r="CM283" s="28" t="str">
        <f aca="false">IFERROR(INDEX(Assessments!$I$2:$I$600,MATCH($H283&amp;"|"&amp;$I283&amp;"|"&amp;$J283&amp;"|"&amp;5,Assessments!$A$2:$A$600,0)),"")</f>
        <v>Econ Exam</v>
      </c>
      <c r="CN283" s="28" t="str">
        <f aca="false">IFERROR(INDEX(Assessments!$I$2:$I$600,MATCH($H283&amp;"|"&amp;$I283&amp;"|"&amp;$J283&amp;"|"&amp;6,Assessments!$A$2:$A$600,0)),"")</f>
        <v>Econ Test</v>
      </c>
      <c r="CO283" s="28" t="str">
        <f aca="false">IFERROR(INDEX(Assessments!$I$2:$I$600,MATCH($H283&amp;"|"&amp;$I283&amp;"|"&amp;$J283&amp;"|"&amp;7,Assessments!$A$2:$A$600,0)),"")</f>
        <v>Econ Exam</v>
      </c>
      <c r="CP283" s="28" t="str">
        <f aca="false">IFERROR(INDEX(Assessments!$I$2:$I$600,MATCH($H283&amp;"|"&amp;$I283&amp;"|"&amp;$J283&amp;"|"&amp;8,Assessments!$A$2:$A$600,0)),"")</f>
        <v/>
      </c>
      <c r="CQ283" s="28" t="str">
        <f aca="false">IFERROR(INDEX(Assessments!$I$2:$I$600,MATCH($H283&amp;"|"&amp;$I283&amp;"|"&amp;$J283&amp;"|"&amp;9,Assessments!$A$2:$A$600,0)),"")</f>
        <v/>
      </c>
      <c r="CR283" s="28" t="str">
        <f aca="false">IFERROR(INDEX(Assessments!$I$2:$I$600,MATCH($H283&amp;"|"&amp;$I283&amp;"|"&amp;$J283&amp;"|"&amp;10,Assessments!$A$2:$A$600,0)),"")</f>
        <v/>
      </c>
      <c r="CS283" s="28" t="str">
        <f aca="false">IFERROR(INDEX(Assessments!$I$2:$I$600,MATCH($H283&amp;"|"&amp;$I283&amp;"|"&amp;$J283&amp;"|"&amp;11,Assessments!$A$2:$A$600,0)),"")</f>
        <v/>
      </c>
      <c r="CT283" s="28" t="str">
        <f aca="false">IFERROR(INDEX(Assessments!$I$2:$I$600,MATCH($H283&amp;"|"&amp;$I283&amp;"|"&amp;$J283&amp;"|"&amp;12,Assessments!$A$2:$A$600,0)),"")</f>
        <v/>
      </c>
      <c r="CU283" s="28" t="str">
        <f aca="false">IFERROR(INDEX(Assessments!$I$2:$I$600,MATCH($H283&amp;"|"&amp;$I283&amp;"|"&amp;$J283&amp;"|"&amp;13,Assessments!$A$2:$A$600,0)),"")</f>
        <v/>
      </c>
      <c r="CV283" s="28" t="str">
        <f aca="false">IFERROR(INDEX(Assessments!$I$2:$I$600,MATCH($H283&amp;"|"&amp;$I283&amp;"|"&amp;$J283&amp;"|"&amp;14,Assessments!$A$2:$A$600,0)),"")</f>
        <v/>
      </c>
      <c r="CW283" s="28" t="n">
        <f aca="false">IFERROR(INDEX(Assessments!$J$2:$J$600,MATCH($H283&amp;"|"&amp;$I283&amp;"|"&amp;$J283&amp;"|"&amp;1,Assessments!$A$2:$A$600,0)),0)</f>
        <v>1</v>
      </c>
      <c r="CX283" s="28" t="n">
        <f aca="false">IFERROR(INDEX(Assessments!$J$2:$J$600,MATCH($H283&amp;"|"&amp;$I283&amp;"|"&amp;$J283&amp;"|"&amp;2,Assessments!$A$2:$A$600,0)),0)</f>
        <v>1</v>
      </c>
      <c r="CY283" s="28" t="n">
        <f aca="false">IFERROR(INDEX(Assessments!$J$2:$J$600,MATCH($H283&amp;"|"&amp;$I283&amp;"|"&amp;$J283&amp;"|"&amp;3,Assessments!$A$2:$A$600,0)),0)</f>
        <v>1</v>
      </c>
      <c r="CZ283" s="28" t="n">
        <f aca="false">IFERROR(INDEX(Assessments!$J$2:$J$600,MATCH($H283&amp;"|"&amp;$I283&amp;"|"&amp;$J283&amp;"|"&amp;4,Assessments!$A$2:$A$600,0)),0)</f>
        <v>1</v>
      </c>
      <c r="DA283" s="28" t="n">
        <f aca="false">IFERROR(INDEX(Assessments!$J$2:$J$600,MATCH($H283&amp;"|"&amp;$I283&amp;"|"&amp;$J283&amp;"|"&amp;5,Assessments!$A$2:$A$600,0)),0)</f>
        <v>2</v>
      </c>
      <c r="DB283" s="28" t="n">
        <f aca="false">IFERROR(INDEX(Assessments!$J$2:$J$600,MATCH($H283&amp;"|"&amp;$I283&amp;"|"&amp;$J283&amp;"|"&amp;6,Assessments!$A$2:$A$600,0)),0)</f>
        <v>1</v>
      </c>
      <c r="DC283" s="28" t="n">
        <f aca="false">IFERROR(INDEX(Assessments!$J$2:$J$600,MATCH($H283&amp;"|"&amp;$I283&amp;"|"&amp;$J283&amp;"|"&amp;7,Assessments!$A$2:$A$600,0)),0)</f>
        <v>2</v>
      </c>
      <c r="DD283" s="28" t="n">
        <f aca="false">IFERROR(INDEX(Assessments!$J$2:$J$600,MATCH($H283&amp;"|"&amp;$I283&amp;"|"&amp;$J283&amp;"|"&amp;8,Assessments!$A$2:$A$600,0)),0)</f>
        <v>0</v>
      </c>
      <c r="DE283" s="28" t="n">
        <f aca="false">IFERROR(INDEX(Assessments!$J$2:$J$600,MATCH($H283&amp;"|"&amp;$I283&amp;"|"&amp;$J283&amp;"|"&amp;9,Assessments!$A$2:$A$600,0)),0)</f>
        <v>0</v>
      </c>
      <c r="DF283" s="28" t="n">
        <f aca="false">IFERROR(INDEX(Assessments!$J$2:$J$600,MATCH($H283&amp;"|"&amp;$I283&amp;"|"&amp;$J283&amp;"|"&amp;10,Assessments!$A$2:$A$600,0)),0)</f>
        <v>0</v>
      </c>
      <c r="DG283" s="28" t="n">
        <f aca="false">IFERROR(INDEX(Assessments!$J$2:$J$600,MATCH($H283&amp;"|"&amp;$I283&amp;"|"&amp;$J283&amp;"|"&amp;11,Assessments!$A$2:$A$600,0)),0)</f>
        <v>0</v>
      </c>
      <c r="DH283" s="28" t="n">
        <f aca="false">IFERROR(INDEX(Assessments!$J$2:$J$600,MATCH($H283&amp;"|"&amp;$I283&amp;"|"&amp;$J283&amp;"|"&amp;12,Assessments!$A$2:$A$600,0)),0)</f>
        <v>0</v>
      </c>
      <c r="DI283" s="28" t="n">
        <f aca="false">IFERROR(INDEX(Assessments!$J$2:$J$600,MATCH($H283&amp;"|"&amp;$I283&amp;"|"&amp;$J283&amp;"|"&amp;13,Assessments!$A$2:$A$600,0)),0)</f>
        <v>0</v>
      </c>
      <c r="DJ283" s="28" t="n">
        <f aca="false">IFERROR(INDEX(Assessments!$J$2:$J$600,MATCH($H283&amp;"|"&amp;$I283&amp;"|"&amp;$J283&amp;"|"&amp;14,Assessments!$A$2:$A$600,0)),0)</f>
        <v>0</v>
      </c>
      <c r="DK283" s="28" t="str">
        <f aca="false">S283</f>
        <v/>
      </c>
      <c r="DL283" s="28" t="str">
        <f aca="false">W283</f>
        <v/>
      </c>
      <c r="DM283" s="28" t="str">
        <f aca="false">AA283</f>
        <v/>
      </c>
      <c r="DN283" s="28" t="str">
        <f aca="false">AE283</f>
        <v/>
      </c>
      <c r="DO283" s="28" t="str">
        <f aca="false">AI283</f>
        <v/>
      </c>
      <c r="DP283" s="28" t="str">
        <f aca="false">AM283</f>
        <v/>
      </c>
      <c r="DQ283" s="28" t="str">
        <f aca="false">AQ283</f>
        <v/>
      </c>
      <c r="DR283" s="28" t="str">
        <f aca="false">AU283</f>
        <v/>
      </c>
      <c r="DS283" s="28" t="str">
        <f aca="false">AY283</f>
        <v/>
      </c>
      <c r="DT283" s="28" t="str">
        <f aca="false">BC283</f>
        <v/>
      </c>
      <c r="DU283" s="28" t="str">
        <f aca="false">BG283</f>
        <v/>
      </c>
      <c r="DV283" s="28" t="str">
        <f aca="false">BK283</f>
        <v/>
      </c>
      <c r="DW283" s="28" t="str">
        <f aca="false">BO283</f>
        <v/>
      </c>
      <c r="DX283" s="28" t="str">
        <f aca="false">BS283</f>
        <v/>
      </c>
      <c r="DY283" s="28" t="str">
        <f aca="false">IF(ISNUMBER(S283),1,"")</f>
        <v/>
      </c>
      <c r="DZ283" s="28" t="str">
        <f aca="false">IF(ISNUMBER(W283),2,"")</f>
        <v/>
      </c>
      <c r="EA283" s="28" t="str">
        <f aca="false">IF(ISNUMBER(AA283),3,"")</f>
        <v/>
      </c>
      <c r="EB283" s="28" t="str">
        <f aca="false">IF(ISNUMBER(AE283),4,"")</f>
        <v/>
      </c>
      <c r="EC283" s="28" t="str">
        <f aca="false">IF(ISNUMBER(AI283),5,"")</f>
        <v/>
      </c>
      <c r="ED283" s="28" t="str">
        <f aca="false">IF(ISNUMBER(AM283),6,"")</f>
        <v/>
      </c>
      <c r="EE283" s="28" t="str">
        <f aca="false">IF(ISNUMBER(AQ283),7,"")</f>
        <v/>
      </c>
      <c r="EF283" s="28" t="str">
        <f aca="false">IF(ISNUMBER(AU283),8,"")</f>
        <v/>
      </c>
      <c r="EG283" s="28" t="str">
        <f aca="false">IF(ISNUMBER(AY283),9,"")</f>
        <v/>
      </c>
      <c r="EH283" s="28" t="str">
        <f aca="false">IF(ISNUMBER(BC283),10,"")</f>
        <v/>
      </c>
      <c r="EI283" s="28" t="str">
        <f aca="false">IF(ISNUMBER(BG283),11,"")</f>
        <v/>
      </c>
      <c r="EJ283" s="28" t="str">
        <f aca="false">IF(ISNUMBER(BK283),12,"")</f>
        <v/>
      </c>
      <c r="EK283" s="28" t="str">
        <f aca="false">IF(ISNUMBER(BO283),13,"")</f>
        <v/>
      </c>
      <c r="EL283" s="28" t="str">
        <f aca="false">IF(ISNUMBER(BS283),14,"")</f>
        <v/>
      </c>
      <c r="EM283" s="28" t="n">
        <f aca="false">IF(ISNUMBER(R283),R283*CW283,0)</f>
        <v>0</v>
      </c>
      <c r="EN283" s="28" t="n">
        <f aca="false">IF(ISNUMBER(V283),V283*CX283,0)</f>
        <v>0</v>
      </c>
      <c r="EO283" s="28" t="n">
        <f aca="false">IF(ISNUMBER(Z283),Z283*CY283,0)</f>
        <v>0</v>
      </c>
      <c r="EP283" s="28" t="n">
        <f aca="false">IF(ISNUMBER(AD283),AD283*CZ283,0)</f>
        <v>0</v>
      </c>
      <c r="EQ283" s="28" t="n">
        <f aca="false">IF(ISNUMBER(AH283),AH283*DA283,0)</f>
        <v>0</v>
      </c>
      <c r="ER283" s="28" t="n">
        <f aca="false">IF(ISNUMBER(AL283),AL283*DB283,0)</f>
        <v>0</v>
      </c>
      <c r="ES283" s="28" t="n">
        <f aca="false">IF(ISNUMBER(AP283),AP283*DC283,0)</f>
        <v>0</v>
      </c>
      <c r="ET283" s="28" t="n">
        <f aca="false">IF(ISNUMBER(AT283),AT283*DD283,0)</f>
        <v>0</v>
      </c>
      <c r="EU283" s="28" t="n">
        <f aca="false">IF(ISNUMBER(AX283),AX283*DE283,0)</f>
        <v>0</v>
      </c>
      <c r="EV283" s="28" t="n">
        <f aca="false">IF(ISNUMBER(BB283),BB283*DF283,0)</f>
        <v>0</v>
      </c>
      <c r="EW283" s="28" t="n">
        <f aca="false">IF(ISNUMBER(BF283),BF283*DG283,0)</f>
        <v>0</v>
      </c>
      <c r="EX283" s="28" t="n">
        <f aca="false">IF(ISNUMBER(BJ283),BJ283*DH283,0)</f>
        <v>0</v>
      </c>
      <c r="EY283" s="28" t="n">
        <f aca="false">IF(ISNUMBER(BN283),BN283*DI283,0)</f>
        <v>0</v>
      </c>
      <c r="EZ283" s="28" t="n">
        <f aca="false">IF(ISNUMBER(BR283),BR283*DJ283,0)</f>
        <v>0</v>
      </c>
      <c r="FA283" s="28" t="n">
        <f aca="false">IF(ISNUMBER(R283),CW283,0)</f>
        <v>0</v>
      </c>
      <c r="FB283" s="28" t="n">
        <f aca="false">IF(ISNUMBER(V283),CX283,0)</f>
        <v>0</v>
      </c>
      <c r="FC283" s="28" t="n">
        <f aca="false">IF(ISNUMBER(Z283),CY283,0)</f>
        <v>0</v>
      </c>
      <c r="FD283" s="28" t="n">
        <f aca="false">IF(ISNUMBER(AD283),CZ283,0)</f>
        <v>0</v>
      </c>
      <c r="FE283" s="28" t="n">
        <f aca="false">IF(ISNUMBER(AH283),DA283,0)</f>
        <v>0</v>
      </c>
      <c r="FF283" s="28" t="n">
        <f aca="false">IF(ISNUMBER(AL283),DB283,0)</f>
        <v>0</v>
      </c>
      <c r="FG283" s="28" t="n">
        <f aca="false">IF(ISNUMBER(AP283),DC283,0)</f>
        <v>0</v>
      </c>
      <c r="FH283" s="28" t="n">
        <f aca="false">IF(ISNUMBER(AT283),DD283,0)</f>
        <v>0</v>
      </c>
      <c r="FI283" s="28" t="n">
        <f aca="false">IF(ISNUMBER(AX283),DE283,0)</f>
        <v>0</v>
      </c>
      <c r="FJ283" s="28" t="n">
        <f aca="false">IF(ISNUMBER(BB283),DF283,0)</f>
        <v>0</v>
      </c>
      <c r="FK283" s="28" t="n">
        <f aca="false">IF(ISNUMBER(BF283),DG283,0)</f>
        <v>0</v>
      </c>
      <c r="FL283" s="28" t="n">
        <f aca="false">IF(ISNUMBER(BJ283),DH283,0)</f>
        <v>0</v>
      </c>
      <c r="FM283" s="28" t="n">
        <f aca="false">IF(ISNUMBER(BN283),DI283,0)</f>
        <v>0</v>
      </c>
      <c r="FN283" s="28" t="n">
        <f aca="false">IF(ISNUMBER(BR283),DJ283,0)</f>
        <v>0</v>
      </c>
      <c r="FO283" s="28" t="str">
        <f aca="false">IFERROR(INDEX(Lists!$G$2:$G$20,MATCH($I283&amp;"|"&amp;$J283,Lists!$F$2:$F$20,0)),"")</f>
        <v>Econ Exam</v>
      </c>
    </row>
    <row r="284" customFormat="false" ht="19.5" hidden="false" customHeight="true" outlineLevel="0" collapsed="false">
      <c r="A284" s="29" t="s">
        <v>486</v>
      </c>
      <c r="B284" s="29" t="s">
        <v>570</v>
      </c>
      <c r="C284" s="30" t="s">
        <v>152</v>
      </c>
      <c r="D284" s="30" t="s">
        <v>246</v>
      </c>
      <c r="E284" s="31"/>
      <c r="F284" s="30"/>
      <c r="G284" s="30"/>
      <c r="H284" s="32" t="s">
        <v>428</v>
      </c>
      <c r="I284" s="33" t="s">
        <v>229</v>
      </c>
      <c r="J284" s="32" t="s">
        <v>223</v>
      </c>
      <c r="K284" s="34" t="str">
        <f aca="false">IF(OR(M284="",$E284=""),"",M284-$E284)</f>
        <v/>
      </c>
      <c r="L284" s="35" t="str">
        <f aca="false">IF(SUM(FA284:FN284)=0,"",SUM(EM284:EZ284)/SUM(FA284:FN284))</f>
        <v/>
      </c>
      <c r="M284" s="36" t="str">
        <f aca="false">IF(OR(L284="",FO284=""),"",IFERROR(MATCH(L284,INDEX(Boundaries!$B$2:$I$30,MATCH(FO284,Boundaries!$A$2:$A$30,0),0),1)-1,""))</f>
        <v/>
      </c>
      <c r="N284" s="37" t="str">
        <f aca="false">IF(COUNT($DY284:$EL284)&lt;2,"",INDEX($DK284:$DX284,MAX($DY284:$EL284))-INDEX($DK284:$DX284,MIN($DY284:$EL284)))</f>
        <v/>
      </c>
      <c r="O284" s="37" t="str">
        <f aca="false">IF(COUNT($DY284:$EL284)&lt;2,"",INDEX($DK284:$DX284,MAX($DY284:$EL284))-INDEX($DK284:$DX284,LARGE($DY284:$EL284,2)))</f>
        <v/>
      </c>
      <c r="P284" s="38" t="str">
        <f aca="false">IF(K284="","",IF(K284&gt;=0,"On/above target",IF(AND(N284&lt;&gt;"",N284&gt;=0.5),"Improving towards target",IF(AND(O284&lt;&gt;"",O284&lt;=-0.5),"Declining","Stable below target"))))</f>
        <v/>
      </c>
      <c r="Q284" s="39"/>
      <c r="R284" s="40" t="str">
        <f aca="false">IF(OR(Q284="",BU284=""),"",Q284/BU284*100)</f>
        <v/>
      </c>
      <c r="S284" s="41" t="str">
        <f aca="false">IF(R284="","",IFERROR(MATCH(R284,INDEX(Boundaries!$B$2:$I$30,MATCH(CI284,Boundaries!$A$2:$A$30,0),0),1)-1,""))</f>
        <v/>
      </c>
      <c r="T284" s="42" t="str">
        <f aca="false">IF(OR(S284="",$E284=""),"",S284-$E284)</f>
        <v/>
      </c>
      <c r="U284" s="39"/>
      <c r="V284" s="40" t="str">
        <f aca="false">IF(OR(U284="",BV284=""),"",U284/BV284*100)</f>
        <v/>
      </c>
      <c r="W284" s="41" t="str">
        <f aca="false">IF(V284="","",IFERROR(MATCH(V284,INDEX(Boundaries!$B$2:$I$30,MATCH(CJ284,Boundaries!$A$2:$A$30,0),0),1)-1,""))</f>
        <v/>
      </c>
      <c r="X284" s="42" t="str">
        <f aca="false">IF(OR(W284="",$E284=""),"",W284-$E284)</f>
        <v/>
      </c>
      <c r="Y284" s="39"/>
      <c r="Z284" s="40" t="str">
        <f aca="false">IF(OR(Y284="",BW284=""),"",Y284/BW284*100)</f>
        <v/>
      </c>
      <c r="AA284" s="41" t="str">
        <f aca="false">IF(Z284="","",IFERROR(MATCH(Z284,INDEX(Boundaries!$B$2:$I$30,MATCH(CK284,Boundaries!$A$2:$A$30,0),0),1)-1,""))</f>
        <v/>
      </c>
      <c r="AB284" s="42" t="str">
        <f aca="false">IF(OR(AA284="",$E284=""),"",AA284-$E284)</f>
        <v/>
      </c>
      <c r="AC284" s="39"/>
      <c r="AD284" s="40" t="str">
        <f aca="false">IF(OR(AC284="",BX284=""),"",AC284/BX284*100)</f>
        <v/>
      </c>
      <c r="AE284" s="41" t="str">
        <f aca="false">IF(AD284="","",IFERROR(MATCH(AD284,INDEX(Boundaries!$B$2:$I$30,MATCH(CL284,Boundaries!$A$2:$A$30,0),0),1)-1,""))</f>
        <v/>
      </c>
      <c r="AF284" s="42" t="str">
        <f aca="false">IF(OR(AE284="",$E284=""),"",AE284-$E284)</f>
        <v/>
      </c>
      <c r="AG284" s="39"/>
      <c r="AH284" s="40" t="str">
        <f aca="false">IF(OR(AG284="",BY284=""),"",AG284/BY284*100)</f>
        <v/>
      </c>
      <c r="AI284" s="41" t="str">
        <f aca="false">IF(AH284="","",IFERROR(MATCH(AH284,INDEX(Boundaries!$B$2:$I$30,MATCH(CM284,Boundaries!$A$2:$A$30,0),0),1)-1,""))</f>
        <v/>
      </c>
      <c r="AJ284" s="42" t="str">
        <f aca="false">IF(OR(AI284="",$E284=""),"",AI284-$E284)</f>
        <v/>
      </c>
      <c r="AK284" s="39"/>
      <c r="AL284" s="40" t="str">
        <f aca="false">IF(OR(AK284="",BZ284=""),"",AK284/BZ284*100)</f>
        <v/>
      </c>
      <c r="AM284" s="41" t="str">
        <f aca="false">IF(AL284="","",IFERROR(MATCH(AL284,INDEX(Boundaries!$B$2:$I$30,MATCH(CN284,Boundaries!$A$2:$A$30,0),0),1)-1,""))</f>
        <v/>
      </c>
      <c r="AN284" s="42" t="str">
        <f aca="false">IF(OR(AM284="",$E284=""),"",AM284-$E284)</f>
        <v/>
      </c>
      <c r="AO284" s="39"/>
      <c r="AP284" s="40" t="str">
        <f aca="false">IF(OR(AO284="",CA284=""),"",AO284/CA284*100)</f>
        <v/>
      </c>
      <c r="AQ284" s="41" t="str">
        <f aca="false">IF(AP284="","",IFERROR(MATCH(AP284,INDEX(Boundaries!$B$2:$I$30,MATCH(CO284,Boundaries!$A$2:$A$30,0),0),1)-1,""))</f>
        <v/>
      </c>
      <c r="AR284" s="42" t="str">
        <f aca="false">IF(OR(AQ284="",$E284=""),"",AQ284-$E284)</f>
        <v/>
      </c>
      <c r="AS284" s="39"/>
      <c r="AT284" s="40" t="str">
        <f aca="false">IF(OR(AS284="",CB284=""),"",AS284/CB284*100)</f>
        <v/>
      </c>
      <c r="AU284" s="41" t="str">
        <f aca="false">IF(AT284="","",IFERROR(MATCH(AT284,INDEX(Boundaries!$B$2:$I$30,MATCH(CP284,Boundaries!$A$2:$A$30,0),0),1)-1,""))</f>
        <v/>
      </c>
      <c r="AV284" s="42" t="str">
        <f aca="false">IF(OR(AU284="",$E284=""),"",AU284-$E284)</f>
        <v/>
      </c>
      <c r="AW284" s="39"/>
      <c r="AX284" s="40" t="str">
        <f aca="false">IF(OR(AW284="",CC284=""),"",AW284/CC284*100)</f>
        <v/>
      </c>
      <c r="AY284" s="41" t="str">
        <f aca="false">IF(AX284="","",IFERROR(MATCH(AX284,INDEX(Boundaries!$B$2:$I$30,MATCH(CQ284,Boundaries!$A$2:$A$30,0),0),1)-1,""))</f>
        <v/>
      </c>
      <c r="AZ284" s="42" t="str">
        <f aca="false">IF(OR(AY284="",$E284=""),"",AY284-$E284)</f>
        <v/>
      </c>
      <c r="BA284" s="39"/>
      <c r="BB284" s="40" t="str">
        <f aca="false">IF(OR(BA284="",CD284=""),"",BA284/CD284*100)</f>
        <v/>
      </c>
      <c r="BC284" s="41" t="str">
        <f aca="false">IF(BB284="","",IFERROR(MATCH(BB284,INDEX(Boundaries!$B$2:$I$30,MATCH(CR284,Boundaries!$A$2:$A$30,0),0),1)-1,""))</f>
        <v/>
      </c>
      <c r="BD284" s="42" t="str">
        <f aca="false">IF(OR(BC284="",$E284=""),"",BC284-$E284)</f>
        <v/>
      </c>
      <c r="BE284" s="39"/>
      <c r="BF284" s="40" t="str">
        <f aca="false">IF(OR(BE284="",CE284=""),"",BE284/CE284*100)</f>
        <v/>
      </c>
      <c r="BG284" s="41" t="str">
        <f aca="false">IF(BF284="","",IFERROR(MATCH(BF284,INDEX(Boundaries!$B$2:$I$30,MATCH(CS284,Boundaries!$A$2:$A$30,0),0),1)-1,""))</f>
        <v/>
      </c>
      <c r="BH284" s="42" t="str">
        <f aca="false">IF(OR(BG284="",$E284=""),"",BG284-$E284)</f>
        <v/>
      </c>
      <c r="BI284" s="39"/>
      <c r="BJ284" s="40" t="str">
        <f aca="false">IF(OR(BI284="",CF284=""),"",BI284/CF284*100)</f>
        <v/>
      </c>
      <c r="BK284" s="41" t="str">
        <f aca="false">IF(BJ284="","",IFERROR(MATCH(BJ284,INDEX(Boundaries!$B$2:$I$30,MATCH(CT284,Boundaries!$A$2:$A$30,0),0),1)-1,""))</f>
        <v/>
      </c>
      <c r="BL284" s="42" t="str">
        <f aca="false">IF(OR(BK284="",$E284=""),"",BK284-$E284)</f>
        <v/>
      </c>
      <c r="BM284" s="39"/>
      <c r="BN284" s="40" t="str">
        <f aca="false">IF(OR(BM284="",CG284=""),"",BM284/CG284*100)</f>
        <v/>
      </c>
      <c r="BO284" s="41" t="str">
        <f aca="false">IF(BN284="","",IFERROR(MATCH(BN284,INDEX(Boundaries!$B$2:$I$30,MATCH(CU284,Boundaries!$A$2:$A$30,0),0),1)-1,""))</f>
        <v/>
      </c>
      <c r="BP284" s="42" t="str">
        <f aca="false">IF(OR(BO284="",$E284=""),"",BO284-$E284)</f>
        <v/>
      </c>
      <c r="BQ284" s="39"/>
      <c r="BR284" s="40" t="str">
        <f aca="false">IF(OR(BQ284="",CH284=""),"",BQ284/CH284*100)</f>
        <v/>
      </c>
      <c r="BS284" s="41" t="str">
        <f aca="false">IF(BR284="","",IFERROR(MATCH(BR284,INDEX(Boundaries!$B$2:$I$30,MATCH(CV284,Boundaries!$A$2:$A$30,0),0),1)-1,""))</f>
        <v/>
      </c>
      <c r="BT284" s="42" t="str">
        <f aca="false">IF(OR(BS284="",$E284=""),"",BS284-$E284)</f>
        <v/>
      </c>
      <c r="BU284" s="28" t="n">
        <f aca="false">IFERROR(INDEX(Assessments!$H$2:$H$600,MATCH($H284&amp;"|"&amp;$I284&amp;"|"&amp;$J284&amp;"|"&amp;1,Assessments!$A$2:$A$600,0)),"")</f>
        <v>25</v>
      </c>
      <c r="BV284" s="28" t="n">
        <f aca="false">IFERROR(INDEX(Assessments!$H$2:$H$600,MATCH($H284&amp;"|"&amp;$I284&amp;"|"&amp;$J284&amp;"|"&amp;2,Assessments!$A$2:$A$600,0)),"")</f>
        <v>20</v>
      </c>
      <c r="BW284" s="28" t="n">
        <f aca="false">IFERROR(INDEX(Assessments!$H$2:$H$600,MATCH($H284&amp;"|"&amp;$I284&amp;"|"&amp;$J284&amp;"|"&amp;3,Assessments!$A$2:$A$600,0)),"")</f>
        <v>25</v>
      </c>
      <c r="BX284" s="28" t="n">
        <f aca="false">IFERROR(INDEX(Assessments!$H$2:$H$600,MATCH($H284&amp;"|"&amp;$I284&amp;"|"&amp;$J284&amp;"|"&amp;4,Assessments!$A$2:$A$600,0)),"")</f>
        <v>23</v>
      </c>
      <c r="BY284" s="28" t="n">
        <f aca="false">IFERROR(INDEX(Assessments!$H$2:$H$600,MATCH($H284&amp;"|"&amp;$I284&amp;"|"&amp;$J284&amp;"|"&amp;5,Assessments!$A$2:$A$600,0)),"")</f>
        <v>25</v>
      </c>
      <c r="BZ284" s="28" t="n">
        <f aca="false">IFERROR(INDEX(Assessments!$H$2:$H$600,MATCH($H284&amp;"|"&amp;$I284&amp;"|"&amp;$J284&amp;"|"&amp;6,Assessments!$A$2:$A$600,0)),"")</f>
        <v>23</v>
      </c>
      <c r="CA284" s="28" t="n">
        <f aca="false">IFERROR(INDEX(Assessments!$H$2:$H$600,MATCH($H284&amp;"|"&amp;$I284&amp;"|"&amp;$J284&amp;"|"&amp;7,Assessments!$A$2:$A$600,0)),"")</f>
        <v>52</v>
      </c>
      <c r="CB284" s="28" t="str">
        <f aca="false">IFERROR(INDEX(Assessments!$H$2:$H$600,MATCH($H284&amp;"|"&amp;$I284&amp;"|"&amp;$J284&amp;"|"&amp;8,Assessments!$A$2:$A$600,0)),"")</f>
        <v/>
      </c>
      <c r="CC284" s="28" t="str">
        <f aca="false">IFERROR(INDEX(Assessments!$H$2:$H$600,MATCH($H284&amp;"|"&amp;$I284&amp;"|"&amp;$J284&amp;"|"&amp;9,Assessments!$A$2:$A$600,0)),"")</f>
        <v/>
      </c>
      <c r="CD284" s="28" t="str">
        <f aca="false">IFERROR(INDEX(Assessments!$H$2:$H$600,MATCH($H284&amp;"|"&amp;$I284&amp;"|"&amp;$J284&amp;"|"&amp;10,Assessments!$A$2:$A$600,0)),"")</f>
        <v/>
      </c>
      <c r="CE284" s="28" t="str">
        <f aca="false">IFERROR(INDEX(Assessments!$H$2:$H$600,MATCH($H284&amp;"|"&amp;$I284&amp;"|"&amp;$J284&amp;"|"&amp;11,Assessments!$A$2:$A$600,0)),"")</f>
        <v/>
      </c>
      <c r="CF284" s="28" t="str">
        <f aca="false">IFERROR(INDEX(Assessments!$H$2:$H$600,MATCH($H284&amp;"|"&amp;$I284&amp;"|"&amp;$J284&amp;"|"&amp;12,Assessments!$A$2:$A$600,0)),"")</f>
        <v/>
      </c>
      <c r="CG284" s="28" t="str">
        <f aca="false">IFERROR(INDEX(Assessments!$H$2:$H$600,MATCH($H284&amp;"|"&amp;$I284&amp;"|"&amp;$J284&amp;"|"&amp;13,Assessments!$A$2:$A$600,0)),"")</f>
        <v/>
      </c>
      <c r="CH284" s="28" t="str">
        <f aca="false">IFERROR(INDEX(Assessments!$H$2:$H$600,MATCH($H284&amp;"|"&amp;$I284&amp;"|"&amp;$J284&amp;"|"&amp;14,Assessments!$A$2:$A$600,0)),"")</f>
        <v/>
      </c>
      <c r="CI284" s="28" t="str">
        <f aca="false">IFERROR(INDEX(Assessments!$I$2:$I$600,MATCH($H284&amp;"|"&amp;$I284&amp;"|"&amp;$J284&amp;"|"&amp;1,Assessments!$A$2:$A$600,0)),"")</f>
        <v>Econ Test</v>
      </c>
      <c r="CJ284" s="28" t="str">
        <f aca="false">IFERROR(INDEX(Assessments!$I$2:$I$600,MATCH($H284&amp;"|"&amp;$I284&amp;"|"&amp;$J284&amp;"|"&amp;2,Assessments!$A$2:$A$600,0)),"")</f>
        <v>Econ Test</v>
      </c>
      <c r="CK284" s="28" t="str">
        <f aca="false">IFERROR(INDEX(Assessments!$I$2:$I$600,MATCH($H284&amp;"|"&amp;$I284&amp;"|"&amp;$J284&amp;"|"&amp;3,Assessments!$A$2:$A$600,0)),"")</f>
        <v>Econ Test</v>
      </c>
      <c r="CL284" s="28" t="str">
        <f aca="false">IFERROR(INDEX(Assessments!$I$2:$I$600,MATCH($H284&amp;"|"&amp;$I284&amp;"|"&amp;$J284&amp;"|"&amp;4,Assessments!$A$2:$A$600,0)),"")</f>
        <v>Econ Test</v>
      </c>
      <c r="CM284" s="28" t="str">
        <f aca="false">IFERROR(INDEX(Assessments!$I$2:$I$600,MATCH($H284&amp;"|"&amp;$I284&amp;"|"&amp;$J284&amp;"|"&amp;5,Assessments!$A$2:$A$600,0)),"")</f>
        <v>Econ Exam</v>
      </c>
      <c r="CN284" s="28" t="str">
        <f aca="false">IFERROR(INDEX(Assessments!$I$2:$I$600,MATCH($H284&amp;"|"&amp;$I284&amp;"|"&amp;$J284&amp;"|"&amp;6,Assessments!$A$2:$A$600,0)),"")</f>
        <v>Econ Test</v>
      </c>
      <c r="CO284" s="28" t="str">
        <f aca="false">IFERROR(INDEX(Assessments!$I$2:$I$600,MATCH($H284&amp;"|"&amp;$I284&amp;"|"&amp;$J284&amp;"|"&amp;7,Assessments!$A$2:$A$600,0)),"")</f>
        <v>Econ Exam</v>
      </c>
      <c r="CP284" s="28" t="str">
        <f aca="false">IFERROR(INDEX(Assessments!$I$2:$I$600,MATCH($H284&amp;"|"&amp;$I284&amp;"|"&amp;$J284&amp;"|"&amp;8,Assessments!$A$2:$A$600,0)),"")</f>
        <v/>
      </c>
      <c r="CQ284" s="28" t="str">
        <f aca="false">IFERROR(INDEX(Assessments!$I$2:$I$600,MATCH($H284&amp;"|"&amp;$I284&amp;"|"&amp;$J284&amp;"|"&amp;9,Assessments!$A$2:$A$600,0)),"")</f>
        <v/>
      </c>
      <c r="CR284" s="28" t="str">
        <f aca="false">IFERROR(INDEX(Assessments!$I$2:$I$600,MATCH($H284&amp;"|"&amp;$I284&amp;"|"&amp;$J284&amp;"|"&amp;10,Assessments!$A$2:$A$600,0)),"")</f>
        <v/>
      </c>
      <c r="CS284" s="28" t="str">
        <f aca="false">IFERROR(INDEX(Assessments!$I$2:$I$600,MATCH($H284&amp;"|"&amp;$I284&amp;"|"&amp;$J284&amp;"|"&amp;11,Assessments!$A$2:$A$600,0)),"")</f>
        <v/>
      </c>
      <c r="CT284" s="28" t="str">
        <f aca="false">IFERROR(INDEX(Assessments!$I$2:$I$600,MATCH($H284&amp;"|"&amp;$I284&amp;"|"&amp;$J284&amp;"|"&amp;12,Assessments!$A$2:$A$600,0)),"")</f>
        <v/>
      </c>
      <c r="CU284" s="28" t="str">
        <f aca="false">IFERROR(INDEX(Assessments!$I$2:$I$600,MATCH($H284&amp;"|"&amp;$I284&amp;"|"&amp;$J284&amp;"|"&amp;13,Assessments!$A$2:$A$600,0)),"")</f>
        <v/>
      </c>
      <c r="CV284" s="28" t="str">
        <f aca="false">IFERROR(INDEX(Assessments!$I$2:$I$600,MATCH($H284&amp;"|"&amp;$I284&amp;"|"&amp;$J284&amp;"|"&amp;14,Assessments!$A$2:$A$600,0)),"")</f>
        <v/>
      </c>
      <c r="CW284" s="28" t="n">
        <f aca="false">IFERROR(INDEX(Assessments!$J$2:$J$600,MATCH($H284&amp;"|"&amp;$I284&amp;"|"&amp;$J284&amp;"|"&amp;1,Assessments!$A$2:$A$600,0)),0)</f>
        <v>1</v>
      </c>
      <c r="CX284" s="28" t="n">
        <f aca="false">IFERROR(INDEX(Assessments!$J$2:$J$600,MATCH($H284&amp;"|"&amp;$I284&amp;"|"&amp;$J284&amp;"|"&amp;2,Assessments!$A$2:$A$600,0)),0)</f>
        <v>1</v>
      </c>
      <c r="CY284" s="28" t="n">
        <f aca="false">IFERROR(INDEX(Assessments!$J$2:$J$600,MATCH($H284&amp;"|"&amp;$I284&amp;"|"&amp;$J284&amp;"|"&amp;3,Assessments!$A$2:$A$600,0)),0)</f>
        <v>1</v>
      </c>
      <c r="CZ284" s="28" t="n">
        <f aca="false">IFERROR(INDEX(Assessments!$J$2:$J$600,MATCH($H284&amp;"|"&amp;$I284&amp;"|"&amp;$J284&amp;"|"&amp;4,Assessments!$A$2:$A$600,0)),0)</f>
        <v>1</v>
      </c>
      <c r="DA284" s="28" t="n">
        <f aca="false">IFERROR(INDEX(Assessments!$J$2:$J$600,MATCH($H284&amp;"|"&amp;$I284&amp;"|"&amp;$J284&amp;"|"&amp;5,Assessments!$A$2:$A$600,0)),0)</f>
        <v>2</v>
      </c>
      <c r="DB284" s="28" t="n">
        <f aca="false">IFERROR(INDEX(Assessments!$J$2:$J$600,MATCH($H284&amp;"|"&amp;$I284&amp;"|"&amp;$J284&amp;"|"&amp;6,Assessments!$A$2:$A$600,0)),0)</f>
        <v>1</v>
      </c>
      <c r="DC284" s="28" t="n">
        <f aca="false">IFERROR(INDEX(Assessments!$J$2:$J$600,MATCH($H284&amp;"|"&amp;$I284&amp;"|"&amp;$J284&amp;"|"&amp;7,Assessments!$A$2:$A$600,0)),0)</f>
        <v>2</v>
      </c>
      <c r="DD284" s="28" t="n">
        <f aca="false">IFERROR(INDEX(Assessments!$J$2:$J$600,MATCH($H284&amp;"|"&amp;$I284&amp;"|"&amp;$J284&amp;"|"&amp;8,Assessments!$A$2:$A$600,0)),0)</f>
        <v>0</v>
      </c>
      <c r="DE284" s="28" t="n">
        <f aca="false">IFERROR(INDEX(Assessments!$J$2:$J$600,MATCH($H284&amp;"|"&amp;$I284&amp;"|"&amp;$J284&amp;"|"&amp;9,Assessments!$A$2:$A$600,0)),0)</f>
        <v>0</v>
      </c>
      <c r="DF284" s="28" t="n">
        <f aca="false">IFERROR(INDEX(Assessments!$J$2:$J$600,MATCH($H284&amp;"|"&amp;$I284&amp;"|"&amp;$J284&amp;"|"&amp;10,Assessments!$A$2:$A$600,0)),0)</f>
        <v>0</v>
      </c>
      <c r="DG284" s="28" t="n">
        <f aca="false">IFERROR(INDEX(Assessments!$J$2:$J$600,MATCH($H284&amp;"|"&amp;$I284&amp;"|"&amp;$J284&amp;"|"&amp;11,Assessments!$A$2:$A$600,0)),0)</f>
        <v>0</v>
      </c>
      <c r="DH284" s="28" t="n">
        <f aca="false">IFERROR(INDEX(Assessments!$J$2:$J$600,MATCH($H284&amp;"|"&amp;$I284&amp;"|"&amp;$J284&amp;"|"&amp;12,Assessments!$A$2:$A$600,0)),0)</f>
        <v>0</v>
      </c>
      <c r="DI284" s="28" t="n">
        <f aca="false">IFERROR(INDEX(Assessments!$J$2:$J$600,MATCH($H284&amp;"|"&amp;$I284&amp;"|"&amp;$J284&amp;"|"&amp;13,Assessments!$A$2:$A$600,0)),0)</f>
        <v>0</v>
      </c>
      <c r="DJ284" s="28" t="n">
        <f aca="false">IFERROR(INDEX(Assessments!$J$2:$J$600,MATCH($H284&amp;"|"&amp;$I284&amp;"|"&amp;$J284&amp;"|"&amp;14,Assessments!$A$2:$A$600,0)),0)</f>
        <v>0</v>
      </c>
      <c r="DK284" s="28" t="str">
        <f aca="false">S284</f>
        <v/>
      </c>
      <c r="DL284" s="28" t="str">
        <f aca="false">W284</f>
        <v/>
      </c>
      <c r="DM284" s="28" t="str">
        <f aca="false">AA284</f>
        <v/>
      </c>
      <c r="DN284" s="28" t="str">
        <f aca="false">AE284</f>
        <v/>
      </c>
      <c r="DO284" s="28" t="str">
        <f aca="false">AI284</f>
        <v/>
      </c>
      <c r="DP284" s="28" t="str">
        <f aca="false">AM284</f>
        <v/>
      </c>
      <c r="DQ284" s="28" t="str">
        <f aca="false">AQ284</f>
        <v/>
      </c>
      <c r="DR284" s="28" t="str">
        <f aca="false">AU284</f>
        <v/>
      </c>
      <c r="DS284" s="28" t="str">
        <f aca="false">AY284</f>
        <v/>
      </c>
      <c r="DT284" s="28" t="str">
        <f aca="false">BC284</f>
        <v/>
      </c>
      <c r="DU284" s="28" t="str">
        <f aca="false">BG284</f>
        <v/>
      </c>
      <c r="DV284" s="28" t="str">
        <f aca="false">BK284</f>
        <v/>
      </c>
      <c r="DW284" s="28" t="str">
        <f aca="false">BO284</f>
        <v/>
      </c>
      <c r="DX284" s="28" t="str">
        <f aca="false">BS284</f>
        <v/>
      </c>
      <c r="DY284" s="28" t="str">
        <f aca="false">IF(ISNUMBER(S284),1,"")</f>
        <v/>
      </c>
      <c r="DZ284" s="28" t="str">
        <f aca="false">IF(ISNUMBER(W284),2,"")</f>
        <v/>
      </c>
      <c r="EA284" s="28" t="str">
        <f aca="false">IF(ISNUMBER(AA284),3,"")</f>
        <v/>
      </c>
      <c r="EB284" s="28" t="str">
        <f aca="false">IF(ISNUMBER(AE284),4,"")</f>
        <v/>
      </c>
      <c r="EC284" s="28" t="str">
        <f aca="false">IF(ISNUMBER(AI284),5,"")</f>
        <v/>
      </c>
      <c r="ED284" s="28" t="str">
        <f aca="false">IF(ISNUMBER(AM284),6,"")</f>
        <v/>
      </c>
      <c r="EE284" s="28" t="str">
        <f aca="false">IF(ISNUMBER(AQ284),7,"")</f>
        <v/>
      </c>
      <c r="EF284" s="28" t="str">
        <f aca="false">IF(ISNUMBER(AU284),8,"")</f>
        <v/>
      </c>
      <c r="EG284" s="28" t="str">
        <f aca="false">IF(ISNUMBER(AY284),9,"")</f>
        <v/>
      </c>
      <c r="EH284" s="28" t="str">
        <f aca="false">IF(ISNUMBER(BC284),10,"")</f>
        <v/>
      </c>
      <c r="EI284" s="28" t="str">
        <f aca="false">IF(ISNUMBER(BG284),11,"")</f>
        <v/>
      </c>
      <c r="EJ284" s="28" t="str">
        <f aca="false">IF(ISNUMBER(BK284),12,"")</f>
        <v/>
      </c>
      <c r="EK284" s="28" t="str">
        <f aca="false">IF(ISNUMBER(BO284),13,"")</f>
        <v/>
      </c>
      <c r="EL284" s="28" t="str">
        <f aca="false">IF(ISNUMBER(BS284),14,"")</f>
        <v/>
      </c>
      <c r="EM284" s="28" t="n">
        <f aca="false">IF(ISNUMBER(R284),R284*CW284,0)</f>
        <v>0</v>
      </c>
      <c r="EN284" s="28" t="n">
        <f aca="false">IF(ISNUMBER(V284),V284*CX284,0)</f>
        <v>0</v>
      </c>
      <c r="EO284" s="28" t="n">
        <f aca="false">IF(ISNUMBER(Z284),Z284*CY284,0)</f>
        <v>0</v>
      </c>
      <c r="EP284" s="28" t="n">
        <f aca="false">IF(ISNUMBER(AD284),AD284*CZ284,0)</f>
        <v>0</v>
      </c>
      <c r="EQ284" s="28" t="n">
        <f aca="false">IF(ISNUMBER(AH284),AH284*DA284,0)</f>
        <v>0</v>
      </c>
      <c r="ER284" s="28" t="n">
        <f aca="false">IF(ISNUMBER(AL284),AL284*DB284,0)</f>
        <v>0</v>
      </c>
      <c r="ES284" s="28" t="n">
        <f aca="false">IF(ISNUMBER(AP284),AP284*DC284,0)</f>
        <v>0</v>
      </c>
      <c r="ET284" s="28" t="n">
        <f aca="false">IF(ISNUMBER(AT284),AT284*DD284,0)</f>
        <v>0</v>
      </c>
      <c r="EU284" s="28" t="n">
        <f aca="false">IF(ISNUMBER(AX284),AX284*DE284,0)</f>
        <v>0</v>
      </c>
      <c r="EV284" s="28" t="n">
        <f aca="false">IF(ISNUMBER(BB284),BB284*DF284,0)</f>
        <v>0</v>
      </c>
      <c r="EW284" s="28" t="n">
        <f aca="false">IF(ISNUMBER(BF284),BF284*DG284,0)</f>
        <v>0</v>
      </c>
      <c r="EX284" s="28" t="n">
        <f aca="false">IF(ISNUMBER(BJ284),BJ284*DH284,0)</f>
        <v>0</v>
      </c>
      <c r="EY284" s="28" t="n">
        <f aca="false">IF(ISNUMBER(BN284),BN284*DI284,0)</f>
        <v>0</v>
      </c>
      <c r="EZ284" s="28" t="n">
        <f aca="false">IF(ISNUMBER(BR284),BR284*DJ284,0)</f>
        <v>0</v>
      </c>
      <c r="FA284" s="28" t="n">
        <f aca="false">IF(ISNUMBER(R284),CW284,0)</f>
        <v>0</v>
      </c>
      <c r="FB284" s="28" t="n">
        <f aca="false">IF(ISNUMBER(V284),CX284,0)</f>
        <v>0</v>
      </c>
      <c r="FC284" s="28" t="n">
        <f aca="false">IF(ISNUMBER(Z284),CY284,0)</f>
        <v>0</v>
      </c>
      <c r="FD284" s="28" t="n">
        <f aca="false">IF(ISNUMBER(AD284),CZ284,0)</f>
        <v>0</v>
      </c>
      <c r="FE284" s="28" t="n">
        <f aca="false">IF(ISNUMBER(AH284),DA284,0)</f>
        <v>0</v>
      </c>
      <c r="FF284" s="28" t="n">
        <f aca="false">IF(ISNUMBER(AL284),DB284,0)</f>
        <v>0</v>
      </c>
      <c r="FG284" s="28" t="n">
        <f aca="false">IF(ISNUMBER(AP284),DC284,0)</f>
        <v>0</v>
      </c>
      <c r="FH284" s="28" t="n">
        <f aca="false">IF(ISNUMBER(AT284),DD284,0)</f>
        <v>0</v>
      </c>
      <c r="FI284" s="28" t="n">
        <f aca="false">IF(ISNUMBER(AX284),DE284,0)</f>
        <v>0</v>
      </c>
      <c r="FJ284" s="28" t="n">
        <f aca="false">IF(ISNUMBER(BB284),DF284,0)</f>
        <v>0</v>
      </c>
      <c r="FK284" s="28" t="n">
        <f aca="false">IF(ISNUMBER(BF284),DG284,0)</f>
        <v>0</v>
      </c>
      <c r="FL284" s="28" t="n">
        <f aca="false">IF(ISNUMBER(BJ284),DH284,0)</f>
        <v>0</v>
      </c>
      <c r="FM284" s="28" t="n">
        <f aca="false">IF(ISNUMBER(BN284),DI284,0)</f>
        <v>0</v>
      </c>
      <c r="FN284" s="28" t="n">
        <f aca="false">IF(ISNUMBER(BR284),DJ284,0)</f>
        <v>0</v>
      </c>
      <c r="FO284" s="28" t="str">
        <f aca="false">IFERROR(INDEX(Lists!$G$2:$G$20,MATCH($I284&amp;"|"&amp;$J284,Lists!$F$2:$F$20,0)),"")</f>
        <v>Econ Exam</v>
      </c>
    </row>
    <row r="285" customFormat="false" ht="19.5" hidden="false" customHeight="true" outlineLevel="0" collapsed="false">
      <c r="A285" s="29" t="s">
        <v>571</v>
      </c>
      <c r="B285" s="29" t="s">
        <v>572</v>
      </c>
      <c r="C285" s="30" t="s">
        <v>152</v>
      </c>
      <c r="D285" s="30" t="s">
        <v>246</v>
      </c>
      <c r="E285" s="31"/>
      <c r="F285" s="30"/>
      <c r="G285" s="30"/>
      <c r="H285" s="32" t="s">
        <v>428</v>
      </c>
      <c r="I285" s="33" t="s">
        <v>229</v>
      </c>
      <c r="J285" s="32" t="s">
        <v>223</v>
      </c>
      <c r="K285" s="34" t="str">
        <f aca="false">IF(OR(M285="",$E285=""),"",M285-$E285)</f>
        <v/>
      </c>
      <c r="L285" s="35" t="str">
        <f aca="false">IF(SUM(FA285:FN285)=0,"",SUM(EM285:EZ285)/SUM(FA285:FN285))</f>
        <v/>
      </c>
      <c r="M285" s="36" t="str">
        <f aca="false">IF(OR(L285="",FO285=""),"",IFERROR(MATCH(L285,INDEX(Boundaries!$B$2:$I$30,MATCH(FO285,Boundaries!$A$2:$A$30,0),0),1)-1,""))</f>
        <v/>
      </c>
      <c r="N285" s="37" t="str">
        <f aca="false">IF(COUNT($DY285:$EL285)&lt;2,"",INDEX($DK285:$DX285,MAX($DY285:$EL285))-INDEX($DK285:$DX285,MIN($DY285:$EL285)))</f>
        <v/>
      </c>
      <c r="O285" s="37" t="str">
        <f aca="false">IF(COUNT($DY285:$EL285)&lt;2,"",INDEX($DK285:$DX285,MAX($DY285:$EL285))-INDEX($DK285:$DX285,LARGE($DY285:$EL285,2)))</f>
        <v/>
      </c>
      <c r="P285" s="38" t="str">
        <f aca="false">IF(K285="","",IF(K285&gt;=0,"On/above target",IF(AND(N285&lt;&gt;"",N285&gt;=0.5),"Improving towards target",IF(AND(O285&lt;&gt;"",O285&lt;=-0.5),"Declining","Stable below target"))))</f>
        <v/>
      </c>
      <c r="Q285" s="39"/>
      <c r="R285" s="40" t="str">
        <f aca="false">IF(OR(Q285="",BU285=""),"",Q285/BU285*100)</f>
        <v/>
      </c>
      <c r="S285" s="41" t="str">
        <f aca="false">IF(R285="","",IFERROR(MATCH(R285,INDEX(Boundaries!$B$2:$I$30,MATCH(CI285,Boundaries!$A$2:$A$30,0),0),1)-1,""))</f>
        <v/>
      </c>
      <c r="T285" s="42" t="str">
        <f aca="false">IF(OR(S285="",$E285=""),"",S285-$E285)</f>
        <v/>
      </c>
      <c r="U285" s="39"/>
      <c r="V285" s="40" t="str">
        <f aca="false">IF(OR(U285="",BV285=""),"",U285/BV285*100)</f>
        <v/>
      </c>
      <c r="W285" s="41" t="str">
        <f aca="false">IF(V285="","",IFERROR(MATCH(V285,INDEX(Boundaries!$B$2:$I$30,MATCH(CJ285,Boundaries!$A$2:$A$30,0),0),1)-1,""))</f>
        <v/>
      </c>
      <c r="X285" s="42" t="str">
        <f aca="false">IF(OR(W285="",$E285=""),"",W285-$E285)</f>
        <v/>
      </c>
      <c r="Y285" s="39"/>
      <c r="Z285" s="40" t="str">
        <f aca="false">IF(OR(Y285="",BW285=""),"",Y285/BW285*100)</f>
        <v/>
      </c>
      <c r="AA285" s="41" t="str">
        <f aca="false">IF(Z285="","",IFERROR(MATCH(Z285,INDEX(Boundaries!$B$2:$I$30,MATCH(CK285,Boundaries!$A$2:$A$30,0),0),1)-1,""))</f>
        <v/>
      </c>
      <c r="AB285" s="42" t="str">
        <f aca="false">IF(OR(AA285="",$E285=""),"",AA285-$E285)</f>
        <v/>
      </c>
      <c r="AC285" s="39"/>
      <c r="AD285" s="40" t="str">
        <f aca="false">IF(OR(AC285="",BX285=""),"",AC285/BX285*100)</f>
        <v/>
      </c>
      <c r="AE285" s="41" t="str">
        <f aca="false">IF(AD285="","",IFERROR(MATCH(AD285,INDEX(Boundaries!$B$2:$I$30,MATCH(CL285,Boundaries!$A$2:$A$30,0),0),1)-1,""))</f>
        <v/>
      </c>
      <c r="AF285" s="42" t="str">
        <f aca="false">IF(OR(AE285="",$E285=""),"",AE285-$E285)</f>
        <v/>
      </c>
      <c r="AG285" s="39"/>
      <c r="AH285" s="40" t="str">
        <f aca="false">IF(OR(AG285="",BY285=""),"",AG285/BY285*100)</f>
        <v/>
      </c>
      <c r="AI285" s="41" t="str">
        <f aca="false">IF(AH285="","",IFERROR(MATCH(AH285,INDEX(Boundaries!$B$2:$I$30,MATCH(CM285,Boundaries!$A$2:$A$30,0),0),1)-1,""))</f>
        <v/>
      </c>
      <c r="AJ285" s="42" t="str">
        <f aca="false">IF(OR(AI285="",$E285=""),"",AI285-$E285)</f>
        <v/>
      </c>
      <c r="AK285" s="39"/>
      <c r="AL285" s="40" t="str">
        <f aca="false">IF(OR(AK285="",BZ285=""),"",AK285/BZ285*100)</f>
        <v/>
      </c>
      <c r="AM285" s="41" t="str">
        <f aca="false">IF(AL285="","",IFERROR(MATCH(AL285,INDEX(Boundaries!$B$2:$I$30,MATCH(CN285,Boundaries!$A$2:$A$30,0),0),1)-1,""))</f>
        <v/>
      </c>
      <c r="AN285" s="42" t="str">
        <f aca="false">IF(OR(AM285="",$E285=""),"",AM285-$E285)</f>
        <v/>
      </c>
      <c r="AO285" s="39"/>
      <c r="AP285" s="40" t="str">
        <f aca="false">IF(OR(AO285="",CA285=""),"",AO285/CA285*100)</f>
        <v/>
      </c>
      <c r="AQ285" s="41" t="str">
        <f aca="false">IF(AP285="","",IFERROR(MATCH(AP285,INDEX(Boundaries!$B$2:$I$30,MATCH(CO285,Boundaries!$A$2:$A$30,0),0),1)-1,""))</f>
        <v/>
      </c>
      <c r="AR285" s="42" t="str">
        <f aca="false">IF(OR(AQ285="",$E285=""),"",AQ285-$E285)</f>
        <v/>
      </c>
      <c r="AS285" s="39"/>
      <c r="AT285" s="40" t="str">
        <f aca="false">IF(OR(AS285="",CB285=""),"",AS285/CB285*100)</f>
        <v/>
      </c>
      <c r="AU285" s="41" t="str">
        <f aca="false">IF(AT285="","",IFERROR(MATCH(AT285,INDEX(Boundaries!$B$2:$I$30,MATCH(CP285,Boundaries!$A$2:$A$30,0),0),1)-1,""))</f>
        <v/>
      </c>
      <c r="AV285" s="42" t="str">
        <f aca="false">IF(OR(AU285="",$E285=""),"",AU285-$E285)</f>
        <v/>
      </c>
      <c r="AW285" s="39"/>
      <c r="AX285" s="40" t="str">
        <f aca="false">IF(OR(AW285="",CC285=""),"",AW285/CC285*100)</f>
        <v/>
      </c>
      <c r="AY285" s="41" t="str">
        <f aca="false">IF(AX285="","",IFERROR(MATCH(AX285,INDEX(Boundaries!$B$2:$I$30,MATCH(CQ285,Boundaries!$A$2:$A$30,0),0),1)-1,""))</f>
        <v/>
      </c>
      <c r="AZ285" s="42" t="str">
        <f aca="false">IF(OR(AY285="",$E285=""),"",AY285-$E285)</f>
        <v/>
      </c>
      <c r="BA285" s="39"/>
      <c r="BB285" s="40" t="str">
        <f aca="false">IF(OR(BA285="",CD285=""),"",BA285/CD285*100)</f>
        <v/>
      </c>
      <c r="BC285" s="41" t="str">
        <f aca="false">IF(BB285="","",IFERROR(MATCH(BB285,INDEX(Boundaries!$B$2:$I$30,MATCH(CR285,Boundaries!$A$2:$A$30,0),0),1)-1,""))</f>
        <v/>
      </c>
      <c r="BD285" s="42" t="str">
        <f aca="false">IF(OR(BC285="",$E285=""),"",BC285-$E285)</f>
        <v/>
      </c>
      <c r="BE285" s="39"/>
      <c r="BF285" s="40" t="str">
        <f aca="false">IF(OR(BE285="",CE285=""),"",BE285/CE285*100)</f>
        <v/>
      </c>
      <c r="BG285" s="41" t="str">
        <f aca="false">IF(BF285="","",IFERROR(MATCH(BF285,INDEX(Boundaries!$B$2:$I$30,MATCH(CS285,Boundaries!$A$2:$A$30,0),0),1)-1,""))</f>
        <v/>
      </c>
      <c r="BH285" s="42" t="str">
        <f aca="false">IF(OR(BG285="",$E285=""),"",BG285-$E285)</f>
        <v/>
      </c>
      <c r="BI285" s="39"/>
      <c r="BJ285" s="40" t="str">
        <f aca="false">IF(OR(BI285="",CF285=""),"",BI285/CF285*100)</f>
        <v/>
      </c>
      <c r="BK285" s="41" t="str">
        <f aca="false">IF(BJ285="","",IFERROR(MATCH(BJ285,INDEX(Boundaries!$B$2:$I$30,MATCH(CT285,Boundaries!$A$2:$A$30,0),0),1)-1,""))</f>
        <v/>
      </c>
      <c r="BL285" s="42" t="str">
        <f aca="false">IF(OR(BK285="",$E285=""),"",BK285-$E285)</f>
        <v/>
      </c>
      <c r="BM285" s="39"/>
      <c r="BN285" s="40" t="str">
        <f aca="false">IF(OR(BM285="",CG285=""),"",BM285/CG285*100)</f>
        <v/>
      </c>
      <c r="BO285" s="41" t="str">
        <f aca="false">IF(BN285="","",IFERROR(MATCH(BN285,INDEX(Boundaries!$B$2:$I$30,MATCH(CU285,Boundaries!$A$2:$A$30,0),0),1)-1,""))</f>
        <v/>
      </c>
      <c r="BP285" s="42" t="str">
        <f aca="false">IF(OR(BO285="",$E285=""),"",BO285-$E285)</f>
        <v/>
      </c>
      <c r="BQ285" s="39"/>
      <c r="BR285" s="40" t="str">
        <f aca="false">IF(OR(BQ285="",CH285=""),"",BQ285/CH285*100)</f>
        <v/>
      </c>
      <c r="BS285" s="41" t="str">
        <f aca="false">IF(BR285="","",IFERROR(MATCH(BR285,INDEX(Boundaries!$B$2:$I$30,MATCH(CV285,Boundaries!$A$2:$A$30,0),0),1)-1,""))</f>
        <v/>
      </c>
      <c r="BT285" s="42" t="str">
        <f aca="false">IF(OR(BS285="",$E285=""),"",BS285-$E285)</f>
        <v/>
      </c>
      <c r="BU285" s="28" t="n">
        <f aca="false">IFERROR(INDEX(Assessments!$H$2:$H$600,MATCH($H285&amp;"|"&amp;$I285&amp;"|"&amp;$J285&amp;"|"&amp;1,Assessments!$A$2:$A$600,0)),"")</f>
        <v>25</v>
      </c>
      <c r="BV285" s="28" t="n">
        <f aca="false">IFERROR(INDEX(Assessments!$H$2:$H$600,MATCH($H285&amp;"|"&amp;$I285&amp;"|"&amp;$J285&amp;"|"&amp;2,Assessments!$A$2:$A$600,0)),"")</f>
        <v>20</v>
      </c>
      <c r="BW285" s="28" t="n">
        <f aca="false">IFERROR(INDEX(Assessments!$H$2:$H$600,MATCH($H285&amp;"|"&amp;$I285&amp;"|"&amp;$J285&amp;"|"&amp;3,Assessments!$A$2:$A$600,0)),"")</f>
        <v>25</v>
      </c>
      <c r="BX285" s="28" t="n">
        <f aca="false">IFERROR(INDEX(Assessments!$H$2:$H$600,MATCH($H285&amp;"|"&amp;$I285&amp;"|"&amp;$J285&amp;"|"&amp;4,Assessments!$A$2:$A$600,0)),"")</f>
        <v>23</v>
      </c>
      <c r="BY285" s="28" t="n">
        <f aca="false">IFERROR(INDEX(Assessments!$H$2:$H$600,MATCH($H285&amp;"|"&amp;$I285&amp;"|"&amp;$J285&amp;"|"&amp;5,Assessments!$A$2:$A$600,0)),"")</f>
        <v>25</v>
      </c>
      <c r="BZ285" s="28" t="n">
        <f aca="false">IFERROR(INDEX(Assessments!$H$2:$H$600,MATCH($H285&amp;"|"&amp;$I285&amp;"|"&amp;$J285&amp;"|"&amp;6,Assessments!$A$2:$A$600,0)),"")</f>
        <v>23</v>
      </c>
      <c r="CA285" s="28" t="n">
        <f aca="false">IFERROR(INDEX(Assessments!$H$2:$H$600,MATCH($H285&amp;"|"&amp;$I285&amp;"|"&amp;$J285&amp;"|"&amp;7,Assessments!$A$2:$A$600,0)),"")</f>
        <v>52</v>
      </c>
      <c r="CB285" s="28" t="str">
        <f aca="false">IFERROR(INDEX(Assessments!$H$2:$H$600,MATCH($H285&amp;"|"&amp;$I285&amp;"|"&amp;$J285&amp;"|"&amp;8,Assessments!$A$2:$A$600,0)),"")</f>
        <v/>
      </c>
      <c r="CC285" s="28" t="str">
        <f aca="false">IFERROR(INDEX(Assessments!$H$2:$H$600,MATCH($H285&amp;"|"&amp;$I285&amp;"|"&amp;$J285&amp;"|"&amp;9,Assessments!$A$2:$A$600,0)),"")</f>
        <v/>
      </c>
      <c r="CD285" s="28" t="str">
        <f aca="false">IFERROR(INDEX(Assessments!$H$2:$H$600,MATCH($H285&amp;"|"&amp;$I285&amp;"|"&amp;$J285&amp;"|"&amp;10,Assessments!$A$2:$A$600,0)),"")</f>
        <v/>
      </c>
      <c r="CE285" s="28" t="str">
        <f aca="false">IFERROR(INDEX(Assessments!$H$2:$H$600,MATCH($H285&amp;"|"&amp;$I285&amp;"|"&amp;$J285&amp;"|"&amp;11,Assessments!$A$2:$A$600,0)),"")</f>
        <v/>
      </c>
      <c r="CF285" s="28" t="str">
        <f aca="false">IFERROR(INDEX(Assessments!$H$2:$H$600,MATCH($H285&amp;"|"&amp;$I285&amp;"|"&amp;$J285&amp;"|"&amp;12,Assessments!$A$2:$A$600,0)),"")</f>
        <v/>
      </c>
      <c r="CG285" s="28" t="str">
        <f aca="false">IFERROR(INDEX(Assessments!$H$2:$H$600,MATCH($H285&amp;"|"&amp;$I285&amp;"|"&amp;$J285&amp;"|"&amp;13,Assessments!$A$2:$A$600,0)),"")</f>
        <v/>
      </c>
      <c r="CH285" s="28" t="str">
        <f aca="false">IFERROR(INDEX(Assessments!$H$2:$H$600,MATCH($H285&amp;"|"&amp;$I285&amp;"|"&amp;$J285&amp;"|"&amp;14,Assessments!$A$2:$A$600,0)),"")</f>
        <v/>
      </c>
      <c r="CI285" s="28" t="str">
        <f aca="false">IFERROR(INDEX(Assessments!$I$2:$I$600,MATCH($H285&amp;"|"&amp;$I285&amp;"|"&amp;$J285&amp;"|"&amp;1,Assessments!$A$2:$A$600,0)),"")</f>
        <v>Econ Test</v>
      </c>
      <c r="CJ285" s="28" t="str">
        <f aca="false">IFERROR(INDEX(Assessments!$I$2:$I$600,MATCH($H285&amp;"|"&amp;$I285&amp;"|"&amp;$J285&amp;"|"&amp;2,Assessments!$A$2:$A$600,0)),"")</f>
        <v>Econ Test</v>
      </c>
      <c r="CK285" s="28" t="str">
        <f aca="false">IFERROR(INDEX(Assessments!$I$2:$I$600,MATCH($H285&amp;"|"&amp;$I285&amp;"|"&amp;$J285&amp;"|"&amp;3,Assessments!$A$2:$A$600,0)),"")</f>
        <v>Econ Test</v>
      </c>
      <c r="CL285" s="28" t="str">
        <f aca="false">IFERROR(INDEX(Assessments!$I$2:$I$600,MATCH($H285&amp;"|"&amp;$I285&amp;"|"&amp;$J285&amp;"|"&amp;4,Assessments!$A$2:$A$600,0)),"")</f>
        <v>Econ Test</v>
      </c>
      <c r="CM285" s="28" t="str">
        <f aca="false">IFERROR(INDEX(Assessments!$I$2:$I$600,MATCH($H285&amp;"|"&amp;$I285&amp;"|"&amp;$J285&amp;"|"&amp;5,Assessments!$A$2:$A$600,0)),"")</f>
        <v>Econ Exam</v>
      </c>
      <c r="CN285" s="28" t="str">
        <f aca="false">IFERROR(INDEX(Assessments!$I$2:$I$600,MATCH($H285&amp;"|"&amp;$I285&amp;"|"&amp;$J285&amp;"|"&amp;6,Assessments!$A$2:$A$600,0)),"")</f>
        <v>Econ Test</v>
      </c>
      <c r="CO285" s="28" t="str">
        <f aca="false">IFERROR(INDEX(Assessments!$I$2:$I$600,MATCH($H285&amp;"|"&amp;$I285&amp;"|"&amp;$J285&amp;"|"&amp;7,Assessments!$A$2:$A$600,0)),"")</f>
        <v>Econ Exam</v>
      </c>
      <c r="CP285" s="28" t="str">
        <f aca="false">IFERROR(INDEX(Assessments!$I$2:$I$600,MATCH($H285&amp;"|"&amp;$I285&amp;"|"&amp;$J285&amp;"|"&amp;8,Assessments!$A$2:$A$600,0)),"")</f>
        <v/>
      </c>
      <c r="CQ285" s="28" t="str">
        <f aca="false">IFERROR(INDEX(Assessments!$I$2:$I$600,MATCH($H285&amp;"|"&amp;$I285&amp;"|"&amp;$J285&amp;"|"&amp;9,Assessments!$A$2:$A$600,0)),"")</f>
        <v/>
      </c>
      <c r="CR285" s="28" t="str">
        <f aca="false">IFERROR(INDEX(Assessments!$I$2:$I$600,MATCH($H285&amp;"|"&amp;$I285&amp;"|"&amp;$J285&amp;"|"&amp;10,Assessments!$A$2:$A$600,0)),"")</f>
        <v/>
      </c>
      <c r="CS285" s="28" t="str">
        <f aca="false">IFERROR(INDEX(Assessments!$I$2:$I$600,MATCH($H285&amp;"|"&amp;$I285&amp;"|"&amp;$J285&amp;"|"&amp;11,Assessments!$A$2:$A$600,0)),"")</f>
        <v/>
      </c>
      <c r="CT285" s="28" t="str">
        <f aca="false">IFERROR(INDEX(Assessments!$I$2:$I$600,MATCH($H285&amp;"|"&amp;$I285&amp;"|"&amp;$J285&amp;"|"&amp;12,Assessments!$A$2:$A$600,0)),"")</f>
        <v/>
      </c>
      <c r="CU285" s="28" t="str">
        <f aca="false">IFERROR(INDEX(Assessments!$I$2:$I$600,MATCH($H285&amp;"|"&amp;$I285&amp;"|"&amp;$J285&amp;"|"&amp;13,Assessments!$A$2:$A$600,0)),"")</f>
        <v/>
      </c>
      <c r="CV285" s="28" t="str">
        <f aca="false">IFERROR(INDEX(Assessments!$I$2:$I$600,MATCH($H285&amp;"|"&amp;$I285&amp;"|"&amp;$J285&amp;"|"&amp;14,Assessments!$A$2:$A$600,0)),"")</f>
        <v/>
      </c>
      <c r="CW285" s="28" t="n">
        <f aca="false">IFERROR(INDEX(Assessments!$J$2:$J$600,MATCH($H285&amp;"|"&amp;$I285&amp;"|"&amp;$J285&amp;"|"&amp;1,Assessments!$A$2:$A$600,0)),0)</f>
        <v>1</v>
      </c>
      <c r="CX285" s="28" t="n">
        <f aca="false">IFERROR(INDEX(Assessments!$J$2:$J$600,MATCH($H285&amp;"|"&amp;$I285&amp;"|"&amp;$J285&amp;"|"&amp;2,Assessments!$A$2:$A$600,0)),0)</f>
        <v>1</v>
      </c>
      <c r="CY285" s="28" t="n">
        <f aca="false">IFERROR(INDEX(Assessments!$J$2:$J$600,MATCH($H285&amp;"|"&amp;$I285&amp;"|"&amp;$J285&amp;"|"&amp;3,Assessments!$A$2:$A$600,0)),0)</f>
        <v>1</v>
      </c>
      <c r="CZ285" s="28" t="n">
        <f aca="false">IFERROR(INDEX(Assessments!$J$2:$J$600,MATCH($H285&amp;"|"&amp;$I285&amp;"|"&amp;$J285&amp;"|"&amp;4,Assessments!$A$2:$A$600,0)),0)</f>
        <v>1</v>
      </c>
      <c r="DA285" s="28" t="n">
        <f aca="false">IFERROR(INDEX(Assessments!$J$2:$J$600,MATCH($H285&amp;"|"&amp;$I285&amp;"|"&amp;$J285&amp;"|"&amp;5,Assessments!$A$2:$A$600,0)),0)</f>
        <v>2</v>
      </c>
      <c r="DB285" s="28" t="n">
        <f aca="false">IFERROR(INDEX(Assessments!$J$2:$J$600,MATCH($H285&amp;"|"&amp;$I285&amp;"|"&amp;$J285&amp;"|"&amp;6,Assessments!$A$2:$A$600,0)),0)</f>
        <v>1</v>
      </c>
      <c r="DC285" s="28" t="n">
        <f aca="false">IFERROR(INDEX(Assessments!$J$2:$J$600,MATCH($H285&amp;"|"&amp;$I285&amp;"|"&amp;$J285&amp;"|"&amp;7,Assessments!$A$2:$A$600,0)),0)</f>
        <v>2</v>
      </c>
      <c r="DD285" s="28" t="n">
        <f aca="false">IFERROR(INDEX(Assessments!$J$2:$J$600,MATCH($H285&amp;"|"&amp;$I285&amp;"|"&amp;$J285&amp;"|"&amp;8,Assessments!$A$2:$A$600,0)),0)</f>
        <v>0</v>
      </c>
      <c r="DE285" s="28" t="n">
        <f aca="false">IFERROR(INDEX(Assessments!$J$2:$J$600,MATCH($H285&amp;"|"&amp;$I285&amp;"|"&amp;$J285&amp;"|"&amp;9,Assessments!$A$2:$A$600,0)),0)</f>
        <v>0</v>
      </c>
      <c r="DF285" s="28" t="n">
        <f aca="false">IFERROR(INDEX(Assessments!$J$2:$J$600,MATCH($H285&amp;"|"&amp;$I285&amp;"|"&amp;$J285&amp;"|"&amp;10,Assessments!$A$2:$A$600,0)),0)</f>
        <v>0</v>
      </c>
      <c r="DG285" s="28" t="n">
        <f aca="false">IFERROR(INDEX(Assessments!$J$2:$J$600,MATCH($H285&amp;"|"&amp;$I285&amp;"|"&amp;$J285&amp;"|"&amp;11,Assessments!$A$2:$A$600,0)),0)</f>
        <v>0</v>
      </c>
      <c r="DH285" s="28" t="n">
        <f aca="false">IFERROR(INDEX(Assessments!$J$2:$J$600,MATCH($H285&amp;"|"&amp;$I285&amp;"|"&amp;$J285&amp;"|"&amp;12,Assessments!$A$2:$A$600,0)),0)</f>
        <v>0</v>
      </c>
      <c r="DI285" s="28" t="n">
        <f aca="false">IFERROR(INDEX(Assessments!$J$2:$J$600,MATCH($H285&amp;"|"&amp;$I285&amp;"|"&amp;$J285&amp;"|"&amp;13,Assessments!$A$2:$A$600,0)),0)</f>
        <v>0</v>
      </c>
      <c r="DJ285" s="28" t="n">
        <f aca="false">IFERROR(INDEX(Assessments!$J$2:$J$600,MATCH($H285&amp;"|"&amp;$I285&amp;"|"&amp;$J285&amp;"|"&amp;14,Assessments!$A$2:$A$600,0)),0)</f>
        <v>0</v>
      </c>
      <c r="DK285" s="28" t="str">
        <f aca="false">S285</f>
        <v/>
      </c>
      <c r="DL285" s="28" t="str">
        <f aca="false">W285</f>
        <v/>
      </c>
      <c r="DM285" s="28" t="str">
        <f aca="false">AA285</f>
        <v/>
      </c>
      <c r="DN285" s="28" t="str">
        <f aca="false">AE285</f>
        <v/>
      </c>
      <c r="DO285" s="28" t="str">
        <f aca="false">AI285</f>
        <v/>
      </c>
      <c r="DP285" s="28" t="str">
        <f aca="false">AM285</f>
        <v/>
      </c>
      <c r="DQ285" s="28" t="str">
        <f aca="false">AQ285</f>
        <v/>
      </c>
      <c r="DR285" s="28" t="str">
        <f aca="false">AU285</f>
        <v/>
      </c>
      <c r="DS285" s="28" t="str">
        <f aca="false">AY285</f>
        <v/>
      </c>
      <c r="DT285" s="28" t="str">
        <f aca="false">BC285</f>
        <v/>
      </c>
      <c r="DU285" s="28" t="str">
        <f aca="false">BG285</f>
        <v/>
      </c>
      <c r="DV285" s="28" t="str">
        <f aca="false">BK285</f>
        <v/>
      </c>
      <c r="DW285" s="28" t="str">
        <f aca="false">BO285</f>
        <v/>
      </c>
      <c r="DX285" s="28" t="str">
        <f aca="false">BS285</f>
        <v/>
      </c>
      <c r="DY285" s="28" t="str">
        <f aca="false">IF(ISNUMBER(S285),1,"")</f>
        <v/>
      </c>
      <c r="DZ285" s="28" t="str">
        <f aca="false">IF(ISNUMBER(W285),2,"")</f>
        <v/>
      </c>
      <c r="EA285" s="28" t="str">
        <f aca="false">IF(ISNUMBER(AA285),3,"")</f>
        <v/>
      </c>
      <c r="EB285" s="28" t="str">
        <f aca="false">IF(ISNUMBER(AE285),4,"")</f>
        <v/>
      </c>
      <c r="EC285" s="28" t="str">
        <f aca="false">IF(ISNUMBER(AI285),5,"")</f>
        <v/>
      </c>
      <c r="ED285" s="28" t="str">
        <f aca="false">IF(ISNUMBER(AM285),6,"")</f>
        <v/>
      </c>
      <c r="EE285" s="28" t="str">
        <f aca="false">IF(ISNUMBER(AQ285),7,"")</f>
        <v/>
      </c>
      <c r="EF285" s="28" t="str">
        <f aca="false">IF(ISNUMBER(AU285),8,"")</f>
        <v/>
      </c>
      <c r="EG285" s="28" t="str">
        <f aca="false">IF(ISNUMBER(AY285),9,"")</f>
        <v/>
      </c>
      <c r="EH285" s="28" t="str">
        <f aca="false">IF(ISNUMBER(BC285),10,"")</f>
        <v/>
      </c>
      <c r="EI285" s="28" t="str">
        <f aca="false">IF(ISNUMBER(BG285),11,"")</f>
        <v/>
      </c>
      <c r="EJ285" s="28" t="str">
        <f aca="false">IF(ISNUMBER(BK285),12,"")</f>
        <v/>
      </c>
      <c r="EK285" s="28" t="str">
        <f aca="false">IF(ISNUMBER(BO285),13,"")</f>
        <v/>
      </c>
      <c r="EL285" s="28" t="str">
        <f aca="false">IF(ISNUMBER(BS285),14,"")</f>
        <v/>
      </c>
      <c r="EM285" s="28" t="n">
        <f aca="false">IF(ISNUMBER(R285),R285*CW285,0)</f>
        <v>0</v>
      </c>
      <c r="EN285" s="28" t="n">
        <f aca="false">IF(ISNUMBER(V285),V285*CX285,0)</f>
        <v>0</v>
      </c>
      <c r="EO285" s="28" t="n">
        <f aca="false">IF(ISNUMBER(Z285),Z285*CY285,0)</f>
        <v>0</v>
      </c>
      <c r="EP285" s="28" t="n">
        <f aca="false">IF(ISNUMBER(AD285),AD285*CZ285,0)</f>
        <v>0</v>
      </c>
      <c r="EQ285" s="28" t="n">
        <f aca="false">IF(ISNUMBER(AH285),AH285*DA285,0)</f>
        <v>0</v>
      </c>
      <c r="ER285" s="28" t="n">
        <f aca="false">IF(ISNUMBER(AL285),AL285*DB285,0)</f>
        <v>0</v>
      </c>
      <c r="ES285" s="28" t="n">
        <f aca="false">IF(ISNUMBER(AP285),AP285*DC285,0)</f>
        <v>0</v>
      </c>
      <c r="ET285" s="28" t="n">
        <f aca="false">IF(ISNUMBER(AT285),AT285*DD285,0)</f>
        <v>0</v>
      </c>
      <c r="EU285" s="28" t="n">
        <f aca="false">IF(ISNUMBER(AX285),AX285*DE285,0)</f>
        <v>0</v>
      </c>
      <c r="EV285" s="28" t="n">
        <f aca="false">IF(ISNUMBER(BB285),BB285*DF285,0)</f>
        <v>0</v>
      </c>
      <c r="EW285" s="28" t="n">
        <f aca="false">IF(ISNUMBER(BF285),BF285*DG285,0)</f>
        <v>0</v>
      </c>
      <c r="EX285" s="28" t="n">
        <f aca="false">IF(ISNUMBER(BJ285),BJ285*DH285,0)</f>
        <v>0</v>
      </c>
      <c r="EY285" s="28" t="n">
        <f aca="false">IF(ISNUMBER(BN285),BN285*DI285,0)</f>
        <v>0</v>
      </c>
      <c r="EZ285" s="28" t="n">
        <f aca="false">IF(ISNUMBER(BR285),BR285*DJ285,0)</f>
        <v>0</v>
      </c>
      <c r="FA285" s="28" t="n">
        <f aca="false">IF(ISNUMBER(R285),CW285,0)</f>
        <v>0</v>
      </c>
      <c r="FB285" s="28" t="n">
        <f aca="false">IF(ISNUMBER(V285),CX285,0)</f>
        <v>0</v>
      </c>
      <c r="FC285" s="28" t="n">
        <f aca="false">IF(ISNUMBER(Z285),CY285,0)</f>
        <v>0</v>
      </c>
      <c r="FD285" s="28" t="n">
        <f aca="false">IF(ISNUMBER(AD285),CZ285,0)</f>
        <v>0</v>
      </c>
      <c r="FE285" s="28" t="n">
        <f aca="false">IF(ISNUMBER(AH285),DA285,0)</f>
        <v>0</v>
      </c>
      <c r="FF285" s="28" t="n">
        <f aca="false">IF(ISNUMBER(AL285),DB285,0)</f>
        <v>0</v>
      </c>
      <c r="FG285" s="28" t="n">
        <f aca="false">IF(ISNUMBER(AP285),DC285,0)</f>
        <v>0</v>
      </c>
      <c r="FH285" s="28" t="n">
        <f aca="false">IF(ISNUMBER(AT285),DD285,0)</f>
        <v>0</v>
      </c>
      <c r="FI285" s="28" t="n">
        <f aca="false">IF(ISNUMBER(AX285),DE285,0)</f>
        <v>0</v>
      </c>
      <c r="FJ285" s="28" t="n">
        <f aca="false">IF(ISNUMBER(BB285),DF285,0)</f>
        <v>0</v>
      </c>
      <c r="FK285" s="28" t="n">
        <f aca="false">IF(ISNUMBER(BF285),DG285,0)</f>
        <v>0</v>
      </c>
      <c r="FL285" s="28" t="n">
        <f aca="false">IF(ISNUMBER(BJ285),DH285,0)</f>
        <v>0</v>
      </c>
      <c r="FM285" s="28" t="n">
        <f aca="false">IF(ISNUMBER(BN285),DI285,0)</f>
        <v>0</v>
      </c>
      <c r="FN285" s="28" t="n">
        <f aca="false">IF(ISNUMBER(BR285),DJ285,0)</f>
        <v>0</v>
      </c>
      <c r="FO285" s="28" t="str">
        <f aca="false">IFERROR(INDEX(Lists!$G$2:$G$20,MATCH($I285&amp;"|"&amp;$J285,Lists!$F$2:$F$20,0)),"")</f>
        <v>Econ Exam</v>
      </c>
    </row>
    <row r="286" customFormat="false" ht="19.5" hidden="false" customHeight="true" outlineLevel="0" collapsed="false">
      <c r="A286" s="29" t="s">
        <v>573</v>
      </c>
      <c r="B286" s="29" t="s">
        <v>314</v>
      </c>
      <c r="C286" s="30" t="s">
        <v>152</v>
      </c>
      <c r="D286" s="30" t="s">
        <v>246</v>
      </c>
      <c r="E286" s="31"/>
      <c r="F286" s="30"/>
      <c r="G286" s="30"/>
      <c r="H286" s="32" t="s">
        <v>428</v>
      </c>
      <c r="I286" s="33" t="s">
        <v>229</v>
      </c>
      <c r="J286" s="32" t="s">
        <v>223</v>
      </c>
      <c r="K286" s="34" t="str">
        <f aca="false">IF(OR(M286="",$E286=""),"",M286-$E286)</f>
        <v/>
      </c>
      <c r="L286" s="35" t="str">
        <f aca="false">IF(SUM(FA286:FN286)=0,"",SUM(EM286:EZ286)/SUM(FA286:FN286))</f>
        <v/>
      </c>
      <c r="M286" s="36" t="str">
        <f aca="false">IF(OR(L286="",FO286=""),"",IFERROR(MATCH(L286,INDEX(Boundaries!$B$2:$I$30,MATCH(FO286,Boundaries!$A$2:$A$30,0),0),1)-1,""))</f>
        <v/>
      </c>
      <c r="N286" s="37" t="str">
        <f aca="false">IF(COUNT($DY286:$EL286)&lt;2,"",INDEX($DK286:$DX286,MAX($DY286:$EL286))-INDEX($DK286:$DX286,MIN($DY286:$EL286)))</f>
        <v/>
      </c>
      <c r="O286" s="37" t="str">
        <f aca="false">IF(COUNT($DY286:$EL286)&lt;2,"",INDEX($DK286:$DX286,MAX($DY286:$EL286))-INDEX($DK286:$DX286,LARGE($DY286:$EL286,2)))</f>
        <v/>
      </c>
      <c r="P286" s="38" t="str">
        <f aca="false">IF(K286="","",IF(K286&gt;=0,"On/above target",IF(AND(N286&lt;&gt;"",N286&gt;=0.5),"Improving towards target",IF(AND(O286&lt;&gt;"",O286&lt;=-0.5),"Declining","Stable below target"))))</f>
        <v/>
      </c>
      <c r="Q286" s="39"/>
      <c r="R286" s="40" t="str">
        <f aca="false">IF(OR(Q286="",BU286=""),"",Q286/BU286*100)</f>
        <v/>
      </c>
      <c r="S286" s="41" t="str">
        <f aca="false">IF(R286="","",IFERROR(MATCH(R286,INDEX(Boundaries!$B$2:$I$30,MATCH(CI286,Boundaries!$A$2:$A$30,0),0),1)-1,""))</f>
        <v/>
      </c>
      <c r="T286" s="42" t="str">
        <f aca="false">IF(OR(S286="",$E286=""),"",S286-$E286)</f>
        <v/>
      </c>
      <c r="U286" s="39"/>
      <c r="V286" s="40" t="str">
        <f aca="false">IF(OR(U286="",BV286=""),"",U286/BV286*100)</f>
        <v/>
      </c>
      <c r="W286" s="41" t="str">
        <f aca="false">IF(V286="","",IFERROR(MATCH(V286,INDEX(Boundaries!$B$2:$I$30,MATCH(CJ286,Boundaries!$A$2:$A$30,0),0),1)-1,""))</f>
        <v/>
      </c>
      <c r="X286" s="42" t="str">
        <f aca="false">IF(OR(W286="",$E286=""),"",W286-$E286)</f>
        <v/>
      </c>
      <c r="Y286" s="39"/>
      <c r="Z286" s="40" t="str">
        <f aca="false">IF(OR(Y286="",BW286=""),"",Y286/BW286*100)</f>
        <v/>
      </c>
      <c r="AA286" s="41" t="str">
        <f aca="false">IF(Z286="","",IFERROR(MATCH(Z286,INDEX(Boundaries!$B$2:$I$30,MATCH(CK286,Boundaries!$A$2:$A$30,0),0),1)-1,""))</f>
        <v/>
      </c>
      <c r="AB286" s="42" t="str">
        <f aca="false">IF(OR(AA286="",$E286=""),"",AA286-$E286)</f>
        <v/>
      </c>
      <c r="AC286" s="39"/>
      <c r="AD286" s="40" t="str">
        <f aca="false">IF(OR(AC286="",BX286=""),"",AC286/BX286*100)</f>
        <v/>
      </c>
      <c r="AE286" s="41" t="str">
        <f aca="false">IF(AD286="","",IFERROR(MATCH(AD286,INDEX(Boundaries!$B$2:$I$30,MATCH(CL286,Boundaries!$A$2:$A$30,0),0),1)-1,""))</f>
        <v/>
      </c>
      <c r="AF286" s="42" t="str">
        <f aca="false">IF(OR(AE286="",$E286=""),"",AE286-$E286)</f>
        <v/>
      </c>
      <c r="AG286" s="39"/>
      <c r="AH286" s="40" t="str">
        <f aca="false">IF(OR(AG286="",BY286=""),"",AG286/BY286*100)</f>
        <v/>
      </c>
      <c r="AI286" s="41" t="str">
        <f aca="false">IF(AH286="","",IFERROR(MATCH(AH286,INDEX(Boundaries!$B$2:$I$30,MATCH(CM286,Boundaries!$A$2:$A$30,0),0),1)-1,""))</f>
        <v/>
      </c>
      <c r="AJ286" s="42" t="str">
        <f aca="false">IF(OR(AI286="",$E286=""),"",AI286-$E286)</f>
        <v/>
      </c>
      <c r="AK286" s="39"/>
      <c r="AL286" s="40" t="str">
        <f aca="false">IF(OR(AK286="",BZ286=""),"",AK286/BZ286*100)</f>
        <v/>
      </c>
      <c r="AM286" s="41" t="str">
        <f aca="false">IF(AL286="","",IFERROR(MATCH(AL286,INDEX(Boundaries!$B$2:$I$30,MATCH(CN286,Boundaries!$A$2:$A$30,0),0),1)-1,""))</f>
        <v/>
      </c>
      <c r="AN286" s="42" t="str">
        <f aca="false">IF(OR(AM286="",$E286=""),"",AM286-$E286)</f>
        <v/>
      </c>
      <c r="AO286" s="39"/>
      <c r="AP286" s="40" t="str">
        <f aca="false">IF(OR(AO286="",CA286=""),"",AO286/CA286*100)</f>
        <v/>
      </c>
      <c r="AQ286" s="41" t="str">
        <f aca="false">IF(AP286="","",IFERROR(MATCH(AP286,INDEX(Boundaries!$B$2:$I$30,MATCH(CO286,Boundaries!$A$2:$A$30,0),0),1)-1,""))</f>
        <v/>
      </c>
      <c r="AR286" s="42" t="str">
        <f aca="false">IF(OR(AQ286="",$E286=""),"",AQ286-$E286)</f>
        <v/>
      </c>
      <c r="AS286" s="39"/>
      <c r="AT286" s="40" t="str">
        <f aca="false">IF(OR(AS286="",CB286=""),"",AS286/CB286*100)</f>
        <v/>
      </c>
      <c r="AU286" s="41" t="str">
        <f aca="false">IF(AT286="","",IFERROR(MATCH(AT286,INDEX(Boundaries!$B$2:$I$30,MATCH(CP286,Boundaries!$A$2:$A$30,0),0),1)-1,""))</f>
        <v/>
      </c>
      <c r="AV286" s="42" t="str">
        <f aca="false">IF(OR(AU286="",$E286=""),"",AU286-$E286)</f>
        <v/>
      </c>
      <c r="AW286" s="39"/>
      <c r="AX286" s="40" t="str">
        <f aca="false">IF(OR(AW286="",CC286=""),"",AW286/CC286*100)</f>
        <v/>
      </c>
      <c r="AY286" s="41" t="str">
        <f aca="false">IF(AX286="","",IFERROR(MATCH(AX286,INDEX(Boundaries!$B$2:$I$30,MATCH(CQ286,Boundaries!$A$2:$A$30,0),0),1)-1,""))</f>
        <v/>
      </c>
      <c r="AZ286" s="42" t="str">
        <f aca="false">IF(OR(AY286="",$E286=""),"",AY286-$E286)</f>
        <v/>
      </c>
      <c r="BA286" s="39"/>
      <c r="BB286" s="40" t="str">
        <f aca="false">IF(OR(BA286="",CD286=""),"",BA286/CD286*100)</f>
        <v/>
      </c>
      <c r="BC286" s="41" t="str">
        <f aca="false">IF(BB286="","",IFERROR(MATCH(BB286,INDEX(Boundaries!$B$2:$I$30,MATCH(CR286,Boundaries!$A$2:$A$30,0),0),1)-1,""))</f>
        <v/>
      </c>
      <c r="BD286" s="42" t="str">
        <f aca="false">IF(OR(BC286="",$E286=""),"",BC286-$E286)</f>
        <v/>
      </c>
      <c r="BE286" s="39"/>
      <c r="BF286" s="40" t="str">
        <f aca="false">IF(OR(BE286="",CE286=""),"",BE286/CE286*100)</f>
        <v/>
      </c>
      <c r="BG286" s="41" t="str">
        <f aca="false">IF(BF286="","",IFERROR(MATCH(BF286,INDEX(Boundaries!$B$2:$I$30,MATCH(CS286,Boundaries!$A$2:$A$30,0),0),1)-1,""))</f>
        <v/>
      </c>
      <c r="BH286" s="42" t="str">
        <f aca="false">IF(OR(BG286="",$E286=""),"",BG286-$E286)</f>
        <v/>
      </c>
      <c r="BI286" s="39"/>
      <c r="BJ286" s="40" t="str">
        <f aca="false">IF(OR(BI286="",CF286=""),"",BI286/CF286*100)</f>
        <v/>
      </c>
      <c r="BK286" s="41" t="str">
        <f aca="false">IF(BJ286="","",IFERROR(MATCH(BJ286,INDEX(Boundaries!$B$2:$I$30,MATCH(CT286,Boundaries!$A$2:$A$30,0),0),1)-1,""))</f>
        <v/>
      </c>
      <c r="BL286" s="42" t="str">
        <f aca="false">IF(OR(BK286="",$E286=""),"",BK286-$E286)</f>
        <v/>
      </c>
      <c r="BM286" s="39"/>
      <c r="BN286" s="40" t="str">
        <f aca="false">IF(OR(BM286="",CG286=""),"",BM286/CG286*100)</f>
        <v/>
      </c>
      <c r="BO286" s="41" t="str">
        <f aca="false">IF(BN286="","",IFERROR(MATCH(BN286,INDEX(Boundaries!$B$2:$I$30,MATCH(CU286,Boundaries!$A$2:$A$30,0),0),1)-1,""))</f>
        <v/>
      </c>
      <c r="BP286" s="42" t="str">
        <f aca="false">IF(OR(BO286="",$E286=""),"",BO286-$E286)</f>
        <v/>
      </c>
      <c r="BQ286" s="39"/>
      <c r="BR286" s="40" t="str">
        <f aca="false">IF(OR(BQ286="",CH286=""),"",BQ286/CH286*100)</f>
        <v/>
      </c>
      <c r="BS286" s="41" t="str">
        <f aca="false">IF(BR286="","",IFERROR(MATCH(BR286,INDEX(Boundaries!$B$2:$I$30,MATCH(CV286,Boundaries!$A$2:$A$30,0),0),1)-1,""))</f>
        <v/>
      </c>
      <c r="BT286" s="42" t="str">
        <f aca="false">IF(OR(BS286="",$E286=""),"",BS286-$E286)</f>
        <v/>
      </c>
      <c r="BU286" s="28" t="n">
        <f aca="false">IFERROR(INDEX(Assessments!$H$2:$H$600,MATCH($H286&amp;"|"&amp;$I286&amp;"|"&amp;$J286&amp;"|"&amp;1,Assessments!$A$2:$A$600,0)),"")</f>
        <v>25</v>
      </c>
      <c r="BV286" s="28" t="n">
        <f aca="false">IFERROR(INDEX(Assessments!$H$2:$H$600,MATCH($H286&amp;"|"&amp;$I286&amp;"|"&amp;$J286&amp;"|"&amp;2,Assessments!$A$2:$A$600,0)),"")</f>
        <v>20</v>
      </c>
      <c r="BW286" s="28" t="n">
        <f aca="false">IFERROR(INDEX(Assessments!$H$2:$H$600,MATCH($H286&amp;"|"&amp;$I286&amp;"|"&amp;$J286&amp;"|"&amp;3,Assessments!$A$2:$A$600,0)),"")</f>
        <v>25</v>
      </c>
      <c r="BX286" s="28" t="n">
        <f aca="false">IFERROR(INDEX(Assessments!$H$2:$H$600,MATCH($H286&amp;"|"&amp;$I286&amp;"|"&amp;$J286&amp;"|"&amp;4,Assessments!$A$2:$A$600,0)),"")</f>
        <v>23</v>
      </c>
      <c r="BY286" s="28" t="n">
        <f aca="false">IFERROR(INDEX(Assessments!$H$2:$H$600,MATCH($H286&amp;"|"&amp;$I286&amp;"|"&amp;$J286&amp;"|"&amp;5,Assessments!$A$2:$A$600,0)),"")</f>
        <v>25</v>
      </c>
      <c r="BZ286" s="28" t="n">
        <f aca="false">IFERROR(INDEX(Assessments!$H$2:$H$600,MATCH($H286&amp;"|"&amp;$I286&amp;"|"&amp;$J286&amp;"|"&amp;6,Assessments!$A$2:$A$600,0)),"")</f>
        <v>23</v>
      </c>
      <c r="CA286" s="28" t="n">
        <f aca="false">IFERROR(INDEX(Assessments!$H$2:$H$600,MATCH($H286&amp;"|"&amp;$I286&amp;"|"&amp;$J286&amp;"|"&amp;7,Assessments!$A$2:$A$600,0)),"")</f>
        <v>52</v>
      </c>
      <c r="CB286" s="28" t="str">
        <f aca="false">IFERROR(INDEX(Assessments!$H$2:$H$600,MATCH($H286&amp;"|"&amp;$I286&amp;"|"&amp;$J286&amp;"|"&amp;8,Assessments!$A$2:$A$600,0)),"")</f>
        <v/>
      </c>
      <c r="CC286" s="28" t="str">
        <f aca="false">IFERROR(INDEX(Assessments!$H$2:$H$600,MATCH($H286&amp;"|"&amp;$I286&amp;"|"&amp;$J286&amp;"|"&amp;9,Assessments!$A$2:$A$600,0)),"")</f>
        <v/>
      </c>
      <c r="CD286" s="28" t="str">
        <f aca="false">IFERROR(INDEX(Assessments!$H$2:$H$600,MATCH($H286&amp;"|"&amp;$I286&amp;"|"&amp;$J286&amp;"|"&amp;10,Assessments!$A$2:$A$600,0)),"")</f>
        <v/>
      </c>
      <c r="CE286" s="28" t="str">
        <f aca="false">IFERROR(INDEX(Assessments!$H$2:$H$600,MATCH($H286&amp;"|"&amp;$I286&amp;"|"&amp;$J286&amp;"|"&amp;11,Assessments!$A$2:$A$600,0)),"")</f>
        <v/>
      </c>
      <c r="CF286" s="28" t="str">
        <f aca="false">IFERROR(INDEX(Assessments!$H$2:$H$600,MATCH($H286&amp;"|"&amp;$I286&amp;"|"&amp;$J286&amp;"|"&amp;12,Assessments!$A$2:$A$600,0)),"")</f>
        <v/>
      </c>
      <c r="CG286" s="28" t="str">
        <f aca="false">IFERROR(INDEX(Assessments!$H$2:$H$600,MATCH($H286&amp;"|"&amp;$I286&amp;"|"&amp;$J286&amp;"|"&amp;13,Assessments!$A$2:$A$600,0)),"")</f>
        <v/>
      </c>
      <c r="CH286" s="28" t="str">
        <f aca="false">IFERROR(INDEX(Assessments!$H$2:$H$600,MATCH($H286&amp;"|"&amp;$I286&amp;"|"&amp;$J286&amp;"|"&amp;14,Assessments!$A$2:$A$600,0)),"")</f>
        <v/>
      </c>
      <c r="CI286" s="28" t="str">
        <f aca="false">IFERROR(INDEX(Assessments!$I$2:$I$600,MATCH($H286&amp;"|"&amp;$I286&amp;"|"&amp;$J286&amp;"|"&amp;1,Assessments!$A$2:$A$600,0)),"")</f>
        <v>Econ Test</v>
      </c>
      <c r="CJ286" s="28" t="str">
        <f aca="false">IFERROR(INDEX(Assessments!$I$2:$I$600,MATCH($H286&amp;"|"&amp;$I286&amp;"|"&amp;$J286&amp;"|"&amp;2,Assessments!$A$2:$A$600,0)),"")</f>
        <v>Econ Test</v>
      </c>
      <c r="CK286" s="28" t="str">
        <f aca="false">IFERROR(INDEX(Assessments!$I$2:$I$600,MATCH($H286&amp;"|"&amp;$I286&amp;"|"&amp;$J286&amp;"|"&amp;3,Assessments!$A$2:$A$600,0)),"")</f>
        <v>Econ Test</v>
      </c>
      <c r="CL286" s="28" t="str">
        <f aca="false">IFERROR(INDEX(Assessments!$I$2:$I$600,MATCH($H286&amp;"|"&amp;$I286&amp;"|"&amp;$J286&amp;"|"&amp;4,Assessments!$A$2:$A$600,0)),"")</f>
        <v>Econ Test</v>
      </c>
      <c r="CM286" s="28" t="str">
        <f aca="false">IFERROR(INDEX(Assessments!$I$2:$I$600,MATCH($H286&amp;"|"&amp;$I286&amp;"|"&amp;$J286&amp;"|"&amp;5,Assessments!$A$2:$A$600,0)),"")</f>
        <v>Econ Exam</v>
      </c>
      <c r="CN286" s="28" t="str">
        <f aca="false">IFERROR(INDEX(Assessments!$I$2:$I$600,MATCH($H286&amp;"|"&amp;$I286&amp;"|"&amp;$J286&amp;"|"&amp;6,Assessments!$A$2:$A$600,0)),"")</f>
        <v>Econ Test</v>
      </c>
      <c r="CO286" s="28" t="str">
        <f aca="false">IFERROR(INDEX(Assessments!$I$2:$I$600,MATCH($H286&amp;"|"&amp;$I286&amp;"|"&amp;$J286&amp;"|"&amp;7,Assessments!$A$2:$A$600,0)),"")</f>
        <v>Econ Exam</v>
      </c>
      <c r="CP286" s="28" t="str">
        <f aca="false">IFERROR(INDEX(Assessments!$I$2:$I$600,MATCH($H286&amp;"|"&amp;$I286&amp;"|"&amp;$J286&amp;"|"&amp;8,Assessments!$A$2:$A$600,0)),"")</f>
        <v/>
      </c>
      <c r="CQ286" s="28" t="str">
        <f aca="false">IFERROR(INDEX(Assessments!$I$2:$I$600,MATCH($H286&amp;"|"&amp;$I286&amp;"|"&amp;$J286&amp;"|"&amp;9,Assessments!$A$2:$A$600,0)),"")</f>
        <v/>
      </c>
      <c r="CR286" s="28" t="str">
        <f aca="false">IFERROR(INDEX(Assessments!$I$2:$I$600,MATCH($H286&amp;"|"&amp;$I286&amp;"|"&amp;$J286&amp;"|"&amp;10,Assessments!$A$2:$A$600,0)),"")</f>
        <v/>
      </c>
      <c r="CS286" s="28" t="str">
        <f aca="false">IFERROR(INDEX(Assessments!$I$2:$I$600,MATCH($H286&amp;"|"&amp;$I286&amp;"|"&amp;$J286&amp;"|"&amp;11,Assessments!$A$2:$A$600,0)),"")</f>
        <v/>
      </c>
      <c r="CT286" s="28" t="str">
        <f aca="false">IFERROR(INDEX(Assessments!$I$2:$I$600,MATCH($H286&amp;"|"&amp;$I286&amp;"|"&amp;$J286&amp;"|"&amp;12,Assessments!$A$2:$A$600,0)),"")</f>
        <v/>
      </c>
      <c r="CU286" s="28" t="str">
        <f aca="false">IFERROR(INDEX(Assessments!$I$2:$I$600,MATCH($H286&amp;"|"&amp;$I286&amp;"|"&amp;$J286&amp;"|"&amp;13,Assessments!$A$2:$A$600,0)),"")</f>
        <v/>
      </c>
      <c r="CV286" s="28" t="str">
        <f aca="false">IFERROR(INDEX(Assessments!$I$2:$I$600,MATCH($H286&amp;"|"&amp;$I286&amp;"|"&amp;$J286&amp;"|"&amp;14,Assessments!$A$2:$A$600,0)),"")</f>
        <v/>
      </c>
      <c r="CW286" s="28" t="n">
        <f aca="false">IFERROR(INDEX(Assessments!$J$2:$J$600,MATCH($H286&amp;"|"&amp;$I286&amp;"|"&amp;$J286&amp;"|"&amp;1,Assessments!$A$2:$A$600,0)),0)</f>
        <v>1</v>
      </c>
      <c r="CX286" s="28" t="n">
        <f aca="false">IFERROR(INDEX(Assessments!$J$2:$J$600,MATCH($H286&amp;"|"&amp;$I286&amp;"|"&amp;$J286&amp;"|"&amp;2,Assessments!$A$2:$A$600,0)),0)</f>
        <v>1</v>
      </c>
      <c r="CY286" s="28" t="n">
        <f aca="false">IFERROR(INDEX(Assessments!$J$2:$J$600,MATCH($H286&amp;"|"&amp;$I286&amp;"|"&amp;$J286&amp;"|"&amp;3,Assessments!$A$2:$A$600,0)),0)</f>
        <v>1</v>
      </c>
      <c r="CZ286" s="28" t="n">
        <f aca="false">IFERROR(INDEX(Assessments!$J$2:$J$600,MATCH($H286&amp;"|"&amp;$I286&amp;"|"&amp;$J286&amp;"|"&amp;4,Assessments!$A$2:$A$600,0)),0)</f>
        <v>1</v>
      </c>
      <c r="DA286" s="28" t="n">
        <f aca="false">IFERROR(INDEX(Assessments!$J$2:$J$600,MATCH($H286&amp;"|"&amp;$I286&amp;"|"&amp;$J286&amp;"|"&amp;5,Assessments!$A$2:$A$600,0)),0)</f>
        <v>2</v>
      </c>
      <c r="DB286" s="28" t="n">
        <f aca="false">IFERROR(INDEX(Assessments!$J$2:$J$600,MATCH($H286&amp;"|"&amp;$I286&amp;"|"&amp;$J286&amp;"|"&amp;6,Assessments!$A$2:$A$600,0)),0)</f>
        <v>1</v>
      </c>
      <c r="DC286" s="28" t="n">
        <f aca="false">IFERROR(INDEX(Assessments!$J$2:$J$600,MATCH($H286&amp;"|"&amp;$I286&amp;"|"&amp;$J286&amp;"|"&amp;7,Assessments!$A$2:$A$600,0)),0)</f>
        <v>2</v>
      </c>
      <c r="DD286" s="28" t="n">
        <f aca="false">IFERROR(INDEX(Assessments!$J$2:$J$600,MATCH($H286&amp;"|"&amp;$I286&amp;"|"&amp;$J286&amp;"|"&amp;8,Assessments!$A$2:$A$600,0)),0)</f>
        <v>0</v>
      </c>
      <c r="DE286" s="28" t="n">
        <f aca="false">IFERROR(INDEX(Assessments!$J$2:$J$600,MATCH($H286&amp;"|"&amp;$I286&amp;"|"&amp;$J286&amp;"|"&amp;9,Assessments!$A$2:$A$600,0)),0)</f>
        <v>0</v>
      </c>
      <c r="DF286" s="28" t="n">
        <f aca="false">IFERROR(INDEX(Assessments!$J$2:$J$600,MATCH($H286&amp;"|"&amp;$I286&amp;"|"&amp;$J286&amp;"|"&amp;10,Assessments!$A$2:$A$600,0)),0)</f>
        <v>0</v>
      </c>
      <c r="DG286" s="28" t="n">
        <f aca="false">IFERROR(INDEX(Assessments!$J$2:$J$600,MATCH($H286&amp;"|"&amp;$I286&amp;"|"&amp;$J286&amp;"|"&amp;11,Assessments!$A$2:$A$600,0)),0)</f>
        <v>0</v>
      </c>
      <c r="DH286" s="28" t="n">
        <f aca="false">IFERROR(INDEX(Assessments!$J$2:$J$600,MATCH($H286&amp;"|"&amp;$I286&amp;"|"&amp;$J286&amp;"|"&amp;12,Assessments!$A$2:$A$600,0)),0)</f>
        <v>0</v>
      </c>
      <c r="DI286" s="28" t="n">
        <f aca="false">IFERROR(INDEX(Assessments!$J$2:$J$600,MATCH($H286&amp;"|"&amp;$I286&amp;"|"&amp;$J286&amp;"|"&amp;13,Assessments!$A$2:$A$600,0)),0)</f>
        <v>0</v>
      </c>
      <c r="DJ286" s="28" t="n">
        <f aca="false">IFERROR(INDEX(Assessments!$J$2:$J$600,MATCH($H286&amp;"|"&amp;$I286&amp;"|"&amp;$J286&amp;"|"&amp;14,Assessments!$A$2:$A$600,0)),0)</f>
        <v>0</v>
      </c>
      <c r="DK286" s="28" t="str">
        <f aca="false">S286</f>
        <v/>
      </c>
      <c r="DL286" s="28" t="str">
        <f aca="false">W286</f>
        <v/>
      </c>
      <c r="DM286" s="28" t="str">
        <f aca="false">AA286</f>
        <v/>
      </c>
      <c r="DN286" s="28" t="str">
        <f aca="false">AE286</f>
        <v/>
      </c>
      <c r="DO286" s="28" t="str">
        <f aca="false">AI286</f>
        <v/>
      </c>
      <c r="DP286" s="28" t="str">
        <f aca="false">AM286</f>
        <v/>
      </c>
      <c r="DQ286" s="28" t="str">
        <f aca="false">AQ286</f>
        <v/>
      </c>
      <c r="DR286" s="28" t="str">
        <f aca="false">AU286</f>
        <v/>
      </c>
      <c r="DS286" s="28" t="str">
        <f aca="false">AY286</f>
        <v/>
      </c>
      <c r="DT286" s="28" t="str">
        <f aca="false">BC286</f>
        <v/>
      </c>
      <c r="DU286" s="28" t="str">
        <f aca="false">BG286</f>
        <v/>
      </c>
      <c r="DV286" s="28" t="str">
        <f aca="false">BK286</f>
        <v/>
      </c>
      <c r="DW286" s="28" t="str">
        <f aca="false">BO286</f>
        <v/>
      </c>
      <c r="DX286" s="28" t="str">
        <f aca="false">BS286</f>
        <v/>
      </c>
      <c r="DY286" s="28" t="str">
        <f aca="false">IF(ISNUMBER(S286),1,"")</f>
        <v/>
      </c>
      <c r="DZ286" s="28" t="str">
        <f aca="false">IF(ISNUMBER(W286),2,"")</f>
        <v/>
      </c>
      <c r="EA286" s="28" t="str">
        <f aca="false">IF(ISNUMBER(AA286),3,"")</f>
        <v/>
      </c>
      <c r="EB286" s="28" t="str">
        <f aca="false">IF(ISNUMBER(AE286),4,"")</f>
        <v/>
      </c>
      <c r="EC286" s="28" t="str">
        <f aca="false">IF(ISNUMBER(AI286),5,"")</f>
        <v/>
      </c>
      <c r="ED286" s="28" t="str">
        <f aca="false">IF(ISNUMBER(AM286),6,"")</f>
        <v/>
      </c>
      <c r="EE286" s="28" t="str">
        <f aca="false">IF(ISNUMBER(AQ286),7,"")</f>
        <v/>
      </c>
      <c r="EF286" s="28" t="str">
        <f aca="false">IF(ISNUMBER(AU286),8,"")</f>
        <v/>
      </c>
      <c r="EG286" s="28" t="str">
        <f aca="false">IF(ISNUMBER(AY286),9,"")</f>
        <v/>
      </c>
      <c r="EH286" s="28" t="str">
        <f aca="false">IF(ISNUMBER(BC286),10,"")</f>
        <v/>
      </c>
      <c r="EI286" s="28" t="str">
        <f aca="false">IF(ISNUMBER(BG286),11,"")</f>
        <v/>
      </c>
      <c r="EJ286" s="28" t="str">
        <f aca="false">IF(ISNUMBER(BK286),12,"")</f>
        <v/>
      </c>
      <c r="EK286" s="28" t="str">
        <f aca="false">IF(ISNUMBER(BO286),13,"")</f>
        <v/>
      </c>
      <c r="EL286" s="28" t="str">
        <f aca="false">IF(ISNUMBER(BS286),14,"")</f>
        <v/>
      </c>
      <c r="EM286" s="28" t="n">
        <f aca="false">IF(ISNUMBER(R286),R286*CW286,0)</f>
        <v>0</v>
      </c>
      <c r="EN286" s="28" t="n">
        <f aca="false">IF(ISNUMBER(V286),V286*CX286,0)</f>
        <v>0</v>
      </c>
      <c r="EO286" s="28" t="n">
        <f aca="false">IF(ISNUMBER(Z286),Z286*CY286,0)</f>
        <v>0</v>
      </c>
      <c r="EP286" s="28" t="n">
        <f aca="false">IF(ISNUMBER(AD286),AD286*CZ286,0)</f>
        <v>0</v>
      </c>
      <c r="EQ286" s="28" t="n">
        <f aca="false">IF(ISNUMBER(AH286),AH286*DA286,0)</f>
        <v>0</v>
      </c>
      <c r="ER286" s="28" t="n">
        <f aca="false">IF(ISNUMBER(AL286),AL286*DB286,0)</f>
        <v>0</v>
      </c>
      <c r="ES286" s="28" t="n">
        <f aca="false">IF(ISNUMBER(AP286),AP286*DC286,0)</f>
        <v>0</v>
      </c>
      <c r="ET286" s="28" t="n">
        <f aca="false">IF(ISNUMBER(AT286),AT286*DD286,0)</f>
        <v>0</v>
      </c>
      <c r="EU286" s="28" t="n">
        <f aca="false">IF(ISNUMBER(AX286),AX286*DE286,0)</f>
        <v>0</v>
      </c>
      <c r="EV286" s="28" t="n">
        <f aca="false">IF(ISNUMBER(BB286),BB286*DF286,0)</f>
        <v>0</v>
      </c>
      <c r="EW286" s="28" t="n">
        <f aca="false">IF(ISNUMBER(BF286),BF286*DG286,0)</f>
        <v>0</v>
      </c>
      <c r="EX286" s="28" t="n">
        <f aca="false">IF(ISNUMBER(BJ286),BJ286*DH286,0)</f>
        <v>0</v>
      </c>
      <c r="EY286" s="28" t="n">
        <f aca="false">IF(ISNUMBER(BN286),BN286*DI286,0)</f>
        <v>0</v>
      </c>
      <c r="EZ286" s="28" t="n">
        <f aca="false">IF(ISNUMBER(BR286),BR286*DJ286,0)</f>
        <v>0</v>
      </c>
      <c r="FA286" s="28" t="n">
        <f aca="false">IF(ISNUMBER(R286),CW286,0)</f>
        <v>0</v>
      </c>
      <c r="FB286" s="28" t="n">
        <f aca="false">IF(ISNUMBER(V286),CX286,0)</f>
        <v>0</v>
      </c>
      <c r="FC286" s="28" t="n">
        <f aca="false">IF(ISNUMBER(Z286),CY286,0)</f>
        <v>0</v>
      </c>
      <c r="FD286" s="28" t="n">
        <f aca="false">IF(ISNUMBER(AD286),CZ286,0)</f>
        <v>0</v>
      </c>
      <c r="FE286" s="28" t="n">
        <f aca="false">IF(ISNUMBER(AH286),DA286,0)</f>
        <v>0</v>
      </c>
      <c r="FF286" s="28" t="n">
        <f aca="false">IF(ISNUMBER(AL286),DB286,0)</f>
        <v>0</v>
      </c>
      <c r="FG286" s="28" t="n">
        <f aca="false">IF(ISNUMBER(AP286),DC286,0)</f>
        <v>0</v>
      </c>
      <c r="FH286" s="28" t="n">
        <f aca="false">IF(ISNUMBER(AT286),DD286,0)</f>
        <v>0</v>
      </c>
      <c r="FI286" s="28" t="n">
        <f aca="false">IF(ISNUMBER(AX286),DE286,0)</f>
        <v>0</v>
      </c>
      <c r="FJ286" s="28" t="n">
        <f aca="false">IF(ISNUMBER(BB286),DF286,0)</f>
        <v>0</v>
      </c>
      <c r="FK286" s="28" t="n">
        <f aca="false">IF(ISNUMBER(BF286),DG286,0)</f>
        <v>0</v>
      </c>
      <c r="FL286" s="28" t="n">
        <f aca="false">IF(ISNUMBER(BJ286),DH286,0)</f>
        <v>0</v>
      </c>
      <c r="FM286" s="28" t="n">
        <f aca="false">IF(ISNUMBER(BN286),DI286,0)</f>
        <v>0</v>
      </c>
      <c r="FN286" s="28" t="n">
        <f aca="false">IF(ISNUMBER(BR286),DJ286,0)</f>
        <v>0</v>
      </c>
      <c r="FO286" s="28" t="str">
        <f aca="false">IFERROR(INDEX(Lists!$G$2:$G$20,MATCH($I286&amp;"|"&amp;$J286,Lists!$F$2:$F$20,0)),"")</f>
        <v>Econ Exam</v>
      </c>
    </row>
    <row r="287" customFormat="false" ht="19.5" hidden="false" customHeight="true" outlineLevel="0" collapsed="false">
      <c r="A287" s="29" t="s">
        <v>574</v>
      </c>
      <c r="B287" s="29" t="s">
        <v>575</v>
      </c>
      <c r="C287" s="30" t="s">
        <v>152</v>
      </c>
      <c r="D287" s="30" t="s">
        <v>246</v>
      </c>
      <c r="E287" s="31"/>
      <c r="F287" s="30"/>
      <c r="G287" s="30"/>
      <c r="H287" s="32" t="s">
        <v>428</v>
      </c>
      <c r="I287" s="33" t="s">
        <v>229</v>
      </c>
      <c r="J287" s="32" t="s">
        <v>223</v>
      </c>
      <c r="K287" s="34" t="str">
        <f aca="false">IF(OR(M287="",$E287=""),"",M287-$E287)</f>
        <v/>
      </c>
      <c r="L287" s="35" t="str">
        <f aca="false">IF(SUM(FA287:FN287)=0,"",SUM(EM287:EZ287)/SUM(FA287:FN287))</f>
        <v/>
      </c>
      <c r="M287" s="36" t="str">
        <f aca="false">IF(OR(L287="",FO287=""),"",IFERROR(MATCH(L287,INDEX(Boundaries!$B$2:$I$30,MATCH(FO287,Boundaries!$A$2:$A$30,0),0),1)-1,""))</f>
        <v/>
      </c>
      <c r="N287" s="37" t="str">
        <f aca="false">IF(COUNT($DY287:$EL287)&lt;2,"",INDEX($DK287:$DX287,MAX($DY287:$EL287))-INDEX($DK287:$DX287,MIN($DY287:$EL287)))</f>
        <v/>
      </c>
      <c r="O287" s="37" t="str">
        <f aca="false">IF(COUNT($DY287:$EL287)&lt;2,"",INDEX($DK287:$DX287,MAX($DY287:$EL287))-INDEX($DK287:$DX287,LARGE($DY287:$EL287,2)))</f>
        <v/>
      </c>
      <c r="P287" s="38" t="str">
        <f aca="false">IF(K287="","",IF(K287&gt;=0,"On/above target",IF(AND(N287&lt;&gt;"",N287&gt;=0.5),"Improving towards target",IF(AND(O287&lt;&gt;"",O287&lt;=-0.5),"Declining","Stable below target"))))</f>
        <v/>
      </c>
      <c r="Q287" s="39"/>
      <c r="R287" s="40" t="str">
        <f aca="false">IF(OR(Q287="",BU287=""),"",Q287/BU287*100)</f>
        <v/>
      </c>
      <c r="S287" s="41" t="str">
        <f aca="false">IF(R287="","",IFERROR(MATCH(R287,INDEX(Boundaries!$B$2:$I$30,MATCH(CI287,Boundaries!$A$2:$A$30,0),0),1)-1,""))</f>
        <v/>
      </c>
      <c r="T287" s="42" t="str">
        <f aca="false">IF(OR(S287="",$E287=""),"",S287-$E287)</f>
        <v/>
      </c>
      <c r="U287" s="39"/>
      <c r="V287" s="40" t="str">
        <f aca="false">IF(OR(U287="",BV287=""),"",U287/BV287*100)</f>
        <v/>
      </c>
      <c r="W287" s="41" t="str">
        <f aca="false">IF(V287="","",IFERROR(MATCH(V287,INDEX(Boundaries!$B$2:$I$30,MATCH(CJ287,Boundaries!$A$2:$A$30,0),0),1)-1,""))</f>
        <v/>
      </c>
      <c r="X287" s="42" t="str">
        <f aca="false">IF(OR(W287="",$E287=""),"",W287-$E287)</f>
        <v/>
      </c>
      <c r="Y287" s="39"/>
      <c r="Z287" s="40" t="str">
        <f aca="false">IF(OR(Y287="",BW287=""),"",Y287/BW287*100)</f>
        <v/>
      </c>
      <c r="AA287" s="41" t="str">
        <f aca="false">IF(Z287="","",IFERROR(MATCH(Z287,INDEX(Boundaries!$B$2:$I$30,MATCH(CK287,Boundaries!$A$2:$A$30,0),0),1)-1,""))</f>
        <v/>
      </c>
      <c r="AB287" s="42" t="str">
        <f aca="false">IF(OR(AA287="",$E287=""),"",AA287-$E287)</f>
        <v/>
      </c>
      <c r="AC287" s="39"/>
      <c r="AD287" s="40" t="str">
        <f aca="false">IF(OR(AC287="",BX287=""),"",AC287/BX287*100)</f>
        <v/>
      </c>
      <c r="AE287" s="41" t="str">
        <f aca="false">IF(AD287="","",IFERROR(MATCH(AD287,INDEX(Boundaries!$B$2:$I$30,MATCH(CL287,Boundaries!$A$2:$A$30,0),0),1)-1,""))</f>
        <v/>
      </c>
      <c r="AF287" s="42" t="str">
        <f aca="false">IF(OR(AE287="",$E287=""),"",AE287-$E287)</f>
        <v/>
      </c>
      <c r="AG287" s="39"/>
      <c r="AH287" s="40" t="str">
        <f aca="false">IF(OR(AG287="",BY287=""),"",AG287/BY287*100)</f>
        <v/>
      </c>
      <c r="AI287" s="41" t="str">
        <f aca="false">IF(AH287="","",IFERROR(MATCH(AH287,INDEX(Boundaries!$B$2:$I$30,MATCH(CM287,Boundaries!$A$2:$A$30,0),0),1)-1,""))</f>
        <v/>
      </c>
      <c r="AJ287" s="42" t="str">
        <f aca="false">IF(OR(AI287="",$E287=""),"",AI287-$E287)</f>
        <v/>
      </c>
      <c r="AK287" s="39"/>
      <c r="AL287" s="40" t="str">
        <f aca="false">IF(OR(AK287="",BZ287=""),"",AK287/BZ287*100)</f>
        <v/>
      </c>
      <c r="AM287" s="41" t="str">
        <f aca="false">IF(AL287="","",IFERROR(MATCH(AL287,INDEX(Boundaries!$B$2:$I$30,MATCH(CN287,Boundaries!$A$2:$A$30,0),0),1)-1,""))</f>
        <v/>
      </c>
      <c r="AN287" s="42" t="str">
        <f aca="false">IF(OR(AM287="",$E287=""),"",AM287-$E287)</f>
        <v/>
      </c>
      <c r="AO287" s="39"/>
      <c r="AP287" s="40" t="str">
        <f aca="false">IF(OR(AO287="",CA287=""),"",AO287/CA287*100)</f>
        <v/>
      </c>
      <c r="AQ287" s="41" t="str">
        <f aca="false">IF(AP287="","",IFERROR(MATCH(AP287,INDEX(Boundaries!$B$2:$I$30,MATCH(CO287,Boundaries!$A$2:$A$30,0),0),1)-1,""))</f>
        <v/>
      </c>
      <c r="AR287" s="42" t="str">
        <f aca="false">IF(OR(AQ287="",$E287=""),"",AQ287-$E287)</f>
        <v/>
      </c>
      <c r="AS287" s="39"/>
      <c r="AT287" s="40" t="str">
        <f aca="false">IF(OR(AS287="",CB287=""),"",AS287/CB287*100)</f>
        <v/>
      </c>
      <c r="AU287" s="41" t="str">
        <f aca="false">IF(AT287="","",IFERROR(MATCH(AT287,INDEX(Boundaries!$B$2:$I$30,MATCH(CP287,Boundaries!$A$2:$A$30,0),0),1)-1,""))</f>
        <v/>
      </c>
      <c r="AV287" s="42" t="str">
        <f aca="false">IF(OR(AU287="",$E287=""),"",AU287-$E287)</f>
        <v/>
      </c>
      <c r="AW287" s="39"/>
      <c r="AX287" s="40" t="str">
        <f aca="false">IF(OR(AW287="",CC287=""),"",AW287/CC287*100)</f>
        <v/>
      </c>
      <c r="AY287" s="41" t="str">
        <f aca="false">IF(AX287="","",IFERROR(MATCH(AX287,INDEX(Boundaries!$B$2:$I$30,MATCH(CQ287,Boundaries!$A$2:$A$30,0),0),1)-1,""))</f>
        <v/>
      </c>
      <c r="AZ287" s="42" t="str">
        <f aca="false">IF(OR(AY287="",$E287=""),"",AY287-$E287)</f>
        <v/>
      </c>
      <c r="BA287" s="39"/>
      <c r="BB287" s="40" t="str">
        <f aca="false">IF(OR(BA287="",CD287=""),"",BA287/CD287*100)</f>
        <v/>
      </c>
      <c r="BC287" s="41" t="str">
        <f aca="false">IF(BB287="","",IFERROR(MATCH(BB287,INDEX(Boundaries!$B$2:$I$30,MATCH(CR287,Boundaries!$A$2:$A$30,0),0),1)-1,""))</f>
        <v/>
      </c>
      <c r="BD287" s="42" t="str">
        <f aca="false">IF(OR(BC287="",$E287=""),"",BC287-$E287)</f>
        <v/>
      </c>
      <c r="BE287" s="39"/>
      <c r="BF287" s="40" t="str">
        <f aca="false">IF(OR(BE287="",CE287=""),"",BE287/CE287*100)</f>
        <v/>
      </c>
      <c r="BG287" s="41" t="str">
        <f aca="false">IF(BF287="","",IFERROR(MATCH(BF287,INDEX(Boundaries!$B$2:$I$30,MATCH(CS287,Boundaries!$A$2:$A$30,0),0),1)-1,""))</f>
        <v/>
      </c>
      <c r="BH287" s="42" t="str">
        <f aca="false">IF(OR(BG287="",$E287=""),"",BG287-$E287)</f>
        <v/>
      </c>
      <c r="BI287" s="39"/>
      <c r="BJ287" s="40" t="str">
        <f aca="false">IF(OR(BI287="",CF287=""),"",BI287/CF287*100)</f>
        <v/>
      </c>
      <c r="BK287" s="41" t="str">
        <f aca="false">IF(BJ287="","",IFERROR(MATCH(BJ287,INDEX(Boundaries!$B$2:$I$30,MATCH(CT287,Boundaries!$A$2:$A$30,0),0),1)-1,""))</f>
        <v/>
      </c>
      <c r="BL287" s="42" t="str">
        <f aca="false">IF(OR(BK287="",$E287=""),"",BK287-$E287)</f>
        <v/>
      </c>
      <c r="BM287" s="39"/>
      <c r="BN287" s="40" t="str">
        <f aca="false">IF(OR(BM287="",CG287=""),"",BM287/CG287*100)</f>
        <v/>
      </c>
      <c r="BO287" s="41" t="str">
        <f aca="false">IF(BN287="","",IFERROR(MATCH(BN287,INDEX(Boundaries!$B$2:$I$30,MATCH(CU287,Boundaries!$A$2:$A$30,0),0),1)-1,""))</f>
        <v/>
      </c>
      <c r="BP287" s="42" t="str">
        <f aca="false">IF(OR(BO287="",$E287=""),"",BO287-$E287)</f>
        <v/>
      </c>
      <c r="BQ287" s="39"/>
      <c r="BR287" s="40" t="str">
        <f aca="false">IF(OR(BQ287="",CH287=""),"",BQ287/CH287*100)</f>
        <v/>
      </c>
      <c r="BS287" s="41" t="str">
        <f aca="false">IF(BR287="","",IFERROR(MATCH(BR287,INDEX(Boundaries!$B$2:$I$30,MATCH(CV287,Boundaries!$A$2:$A$30,0),0),1)-1,""))</f>
        <v/>
      </c>
      <c r="BT287" s="42" t="str">
        <f aca="false">IF(OR(BS287="",$E287=""),"",BS287-$E287)</f>
        <v/>
      </c>
      <c r="BU287" s="28" t="n">
        <f aca="false">IFERROR(INDEX(Assessments!$H$2:$H$600,MATCH($H287&amp;"|"&amp;$I287&amp;"|"&amp;$J287&amp;"|"&amp;1,Assessments!$A$2:$A$600,0)),"")</f>
        <v>25</v>
      </c>
      <c r="BV287" s="28" t="n">
        <f aca="false">IFERROR(INDEX(Assessments!$H$2:$H$600,MATCH($H287&amp;"|"&amp;$I287&amp;"|"&amp;$J287&amp;"|"&amp;2,Assessments!$A$2:$A$600,0)),"")</f>
        <v>20</v>
      </c>
      <c r="BW287" s="28" t="n">
        <f aca="false">IFERROR(INDEX(Assessments!$H$2:$H$600,MATCH($H287&amp;"|"&amp;$I287&amp;"|"&amp;$J287&amp;"|"&amp;3,Assessments!$A$2:$A$600,0)),"")</f>
        <v>25</v>
      </c>
      <c r="BX287" s="28" t="n">
        <f aca="false">IFERROR(INDEX(Assessments!$H$2:$H$600,MATCH($H287&amp;"|"&amp;$I287&amp;"|"&amp;$J287&amp;"|"&amp;4,Assessments!$A$2:$A$600,0)),"")</f>
        <v>23</v>
      </c>
      <c r="BY287" s="28" t="n">
        <f aca="false">IFERROR(INDEX(Assessments!$H$2:$H$600,MATCH($H287&amp;"|"&amp;$I287&amp;"|"&amp;$J287&amp;"|"&amp;5,Assessments!$A$2:$A$600,0)),"")</f>
        <v>25</v>
      </c>
      <c r="BZ287" s="28" t="n">
        <f aca="false">IFERROR(INDEX(Assessments!$H$2:$H$600,MATCH($H287&amp;"|"&amp;$I287&amp;"|"&amp;$J287&amp;"|"&amp;6,Assessments!$A$2:$A$600,0)),"")</f>
        <v>23</v>
      </c>
      <c r="CA287" s="28" t="n">
        <f aca="false">IFERROR(INDEX(Assessments!$H$2:$H$600,MATCH($H287&amp;"|"&amp;$I287&amp;"|"&amp;$J287&amp;"|"&amp;7,Assessments!$A$2:$A$600,0)),"")</f>
        <v>52</v>
      </c>
      <c r="CB287" s="28" t="str">
        <f aca="false">IFERROR(INDEX(Assessments!$H$2:$H$600,MATCH($H287&amp;"|"&amp;$I287&amp;"|"&amp;$J287&amp;"|"&amp;8,Assessments!$A$2:$A$600,0)),"")</f>
        <v/>
      </c>
      <c r="CC287" s="28" t="str">
        <f aca="false">IFERROR(INDEX(Assessments!$H$2:$H$600,MATCH($H287&amp;"|"&amp;$I287&amp;"|"&amp;$J287&amp;"|"&amp;9,Assessments!$A$2:$A$600,0)),"")</f>
        <v/>
      </c>
      <c r="CD287" s="28" t="str">
        <f aca="false">IFERROR(INDEX(Assessments!$H$2:$H$600,MATCH($H287&amp;"|"&amp;$I287&amp;"|"&amp;$J287&amp;"|"&amp;10,Assessments!$A$2:$A$600,0)),"")</f>
        <v/>
      </c>
      <c r="CE287" s="28" t="str">
        <f aca="false">IFERROR(INDEX(Assessments!$H$2:$H$600,MATCH($H287&amp;"|"&amp;$I287&amp;"|"&amp;$J287&amp;"|"&amp;11,Assessments!$A$2:$A$600,0)),"")</f>
        <v/>
      </c>
      <c r="CF287" s="28" t="str">
        <f aca="false">IFERROR(INDEX(Assessments!$H$2:$H$600,MATCH($H287&amp;"|"&amp;$I287&amp;"|"&amp;$J287&amp;"|"&amp;12,Assessments!$A$2:$A$600,0)),"")</f>
        <v/>
      </c>
      <c r="CG287" s="28" t="str">
        <f aca="false">IFERROR(INDEX(Assessments!$H$2:$H$600,MATCH($H287&amp;"|"&amp;$I287&amp;"|"&amp;$J287&amp;"|"&amp;13,Assessments!$A$2:$A$600,0)),"")</f>
        <v/>
      </c>
      <c r="CH287" s="28" t="str">
        <f aca="false">IFERROR(INDEX(Assessments!$H$2:$H$600,MATCH($H287&amp;"|"&amp;$I287&amp;"|"&amp;$J287&amp;"|"&amp;14,Assessments!$A$2:$A$600,0)),"")</f>
        <v/>
      </c>
      <c r="CI287" s="28" t="str">
        <f aca="false">IFERROR(INDEX(Assessments!$I$2:$I$600,MATCH($H287&amp;"|"&amp;$I287&amp;"|"&amp;$J287&amp;"|"&amp;1,Assessments!$A$2:$A$600,0)),"")</f>
        <v>Econ Test</v>
      </c>
      <c r="CJ287" s="28" t="str">
        <f aca="false">IFERROR(INDEX(Assessments!$I$2:$I$600,MATCH($H287&amp;"|"&amp;$I287&amp;"|"&amp;$J287&amp;"|"&amp;2,Assessments!$A$2:$A$600,0)),"")</f>
        <v>Econ Test</v>
      </c>
      <c r="CK287" s="28" t="str">
        <f aca="false">IFERROR(INDEX(Assessments!$I$2:$I$600,MATCH($H287&amp;"|"&amp;$I287&amp;"|"&amp;$J287&amp;"|"&amp;3,Assessments!$A$2:$A$600,0)),"")</f>
        <v>Econ Test</v>
      </c>
      <c r="CL287" s="28" t="str">
        <f aca="false">IFERROR(INDEX(Assessments!$I$2:$I$600,MATCH($H287&amp;"|"&amp;$I287&amp;"|"&amp;$J287&amp;"|"&amp;4,Assessments!$A$2:$A$600,0)),"")</f>
        <v>Econ Test</v>
      </c>
      <c r="CM287" s="28" t="str">
        <f aca="false">IFERROR(INDEX(Assessments!$I$2:$I$600,MATCH($H287&amp;"|"&amp;$I287&amp;"|"&amp;$J287&amp;"|"&amp;5,Assessments!$A$2:$A$600,0)),"")</f>
        <v>Econ Exam</v>
      </c>
      <c r="CN287" s="28" t="str">
        <f aca="false">IFERROR(INDEX(Assessments!$I$2:$I$600,MATCH($H287&amp;"|"&amp;$I287&amp;"|"&amp;$J287&amp;"|"&amp;6,Assessments!$A$2:$A$600,0)),"")</f>
        <v>Econ Test</v>
      </c>
      <c r="CO287" s="28" t="str">
        <f aca="false">IFERROR(INDEX(Assessments!$I$2:$I$600,MATCH($H287&amp;"|"&amp;$I287&amp;"|"&amp;$J287&amp;"|"&amp;7,Assessments!$A$2:$A$600,0)),"")</f>
        <v>Econ Exam</v>
      </c>
      <c r="CP287" s="28" t="str">
        <f aca="false">IFERROR(INDEX(Assessments!$I$2:$I$600,MATCH($H287&amp;"|"&amp;$I287&amp;"|"&amp;$J287&amp;"|"&amp;8,Assessments!$A$2:$A$600,0)),"")</f>
        <v/>
      </c>
      <c r="CQ287" s="28" t="str">
        <f aca="false">IFERROR(INDEX(Assessments!$I$2:$I$600,MATCH($H287&amp;"|"&amp;$I287&amp;"|"&amp;$J287&amp;"|"&amp;9,Assessments!$A$2:$A$600,0)),"")</f>
        <v/>
      </c>
      <c r="CR287" s="28" t="str">
        <f aca="false">IFERROR(INDEX(Assessments!$I$2:$I$600,MATCH($H287&amp;"|"&amp;$I287&amp;"|"&amp;$J287&amp;"|"&amp;10,Assessments!$A$2:$A$600,0)),"")</f>
        <v/>
      </c>
      <c r="CS287" s="28" t="str">
        <f aca="false">IFERROR(INDEX(Assessments!$I$2:$I$600,MATCH($H287&amp;"|"&amp;$I287&amp;"|"&amp;$J287&amp;"|"&amp;11,Assessments!$A$2:$A$600,0)),"")</f>
        <v/>
      </c>
      <c r="CT287" s="28" t="str">
        <f aca="false">IFERROR(INDEX(Assessments!$I$2:$I$600,MATCH($H287&amp;"|"&amp;$I287&amp;"|"&amp;$J287&amp;"|"&amp;12,Assessments!$A$2:$A$600,0)),"")</f>
        <v/>
      </c>
      <c r="CU287" s="28" t="str">
        <f aca="false">IFERROR(INDEX(Assessments!$I$2:$I$600,MATCH($H287&amp;"|"&amp;$I287&amp;"|"&amp;$J287&amp;"|"&amp;13,Assessments!$A$2:$A$600,0)),"")</f>
        <v/>
      </c>
      <c r="CV287" s="28" t="str">
        <f aca="false">IFERROR(INDEX(Assessments!$I$2:$I$600,MATCH($H287&amp;"|"&amp;$I287&amp;"|"&amp;$J287&amp;"|"&amp;14,Assessments!$A$2:$A$600,0)),"")</f>
        <v/>
      </c>
      <c r="CW287" s="28" t="n">
        <f aca="false">IFERROR(INDEX(Assessments!$J$2:$J$600,MATCH($H287&amp;"|"&amp;$I287&amp;"|"&amp;$J287&amp;"|"&amp;1,Assessments!$A$2:$A$600,0)),0)</f>
        <v>1</v>
      </c>
      <c r="CX287" s="28" t="n">
        <f aca="false">IFERROR(INDEX(Assessments!$J$2:$J$600,MATCH($H287&amp;"|"&amp;$I287&amp;"|"&amp;$J287&amp;"|"&amp;2,Assessments!$A$2:$A$600,0)),0)</f>
        <v>1</v>
      </c>
      <c r="CY287" s="28" t="n">
        <f aca="false">IFERROR(INDEX(Assessments!$J$2:$J$600,MATCH($H287&amp;"|"&amp;$I287&amp;"|"&amp;$J287&amp;"|"&amp;3,Assessments!$A$2:$A$600,0)),0)</f>
        <v>1</v>
      </c>
      <c r="CZ287" s="28" t="n">
        <f aca="false">IFERROR(INDEX(Assessments!$J$2:$J$600,MATCH($H287&amp;"|"&amp;$I287&amp;"|"&amp;$J287&amp;"|"&amp;4,Assessments!$A$2:$A$600,0)),0)</f>
        <v>1</v>
      </c>
      <c r="DA287" s="28" t="n">
        <f aca="false">IFERROR(INDEX(Assessments!$J$2:$J$600,MATCH($H287&amp;"|"&amp;$I287&amp;"|"&amp;$J287&amp;"|"&amp;5,Assessments!$A$2:$A$600,0)),0)</f>
        <v>2</v>
      </c>
      <c r="DB287" s="28" t="n">
        <f aca="false">IFERROR(INDEX(Assessments!$J$2:$J$600,MATCH($H287&amp;"|"&amp;$I287&amp;"|"&amp;$J287&amp;"|"&amp;6,Assessments!$A$2:$A$600,0)),0)</f>
        <v>1</v>
      </c>
      <c r="DC287" s="28" t="n">
        <f aca="false">IFERROR(INDEX(Assessments!$J$2:$J$600,MATCH($H287&amp;"|"&amp;$I287&amp;"|"&amp;$J287&amp;"|"&amp;7,Assessments!$A$2:$A$600,0)),0)</f>
        <v>2</v>
      </c>
      <c r="DD287" s="28" t="n">
        <f aca="false">IFERROR(INDEX(Assessments!$J$2:$J$600,MATCH($H287&amp;"|"&amp;$I287&amp;"|"&amp;$J287&amp;"|"&amp;8,Assessments!$A$2:$A$600,0)),0)</f>
        <v>0</v>
      </c>
      <c r="DE287" s="28" t="n">
        <f aca="false">IFERROR(INDEX(Assessments!$J$2:$J$600,MATCH($H287&amp;"|"&amp;$I287&amp;"|"&amp;$J287&amp;"|"&amp;9,Assessments!$A$2:$A$600,0)),0)</f>
        <v>0</v>
      </c>
      <c r="DF287" s="28" t="n">
        <f aca="false">IFERROR(INDEX(Assessments!$J$2:$J$600,MATCH($H287&amp;"|"&amp;$I287&amp;"|"&amp;$J287&amp;"|"&amp;10,Assessments!$A$2:$A$600,0)),0)</f>
        <v>0</v>
      </c>
      <c r="DG287" s="28" t="n">
        <f aca="false">IFERROR(INDEX(Assessments!$J$2:$J$600,MATCH($H287&amp;"|"&amp;$I287&amp;"|"&amp;$J287&amp;"|"&amp;11,Assessments!$A$2:$A$600,0)),0)</f>
        <v>0</v>
      </c>
      <c r="DH287" s="28" t="n">
        <f aca="false">IFERROR(INDEX(Assessments!$J$2:$J$600,MATCH($H287&amp;"|"&amp;$I287&amp;"|"&amp;$J287&amp;"|"&amp;12,Assessments!$A$2:$A$600,0)),0)</f>
        <v>0</v>
      </c>
      <c r="DI287" s="28" t="n">
        <f aca="false">IFERROR(INDEX(Assessments!$J$2:$J$600,MATCH($H287&amp;"|"&amp;$I287&amp;"|"&amp;$J287&amp;"|"&amp;13,Assessments!$A$2:$A$600,0)),0)</f>
        <v>0</v>
      </c>
      <c r="DJ287" s="28" t="n">
        <f aca="false">IFERROR(INDEX(Assessments!$J$2:$J$600,MATCH($H287&amp;"|"&amp;$I287&amp;"|"&amp;$J287&amp;"|"&amp;14,Assessments!$A$2:$A$600,0)),0)</f>
        <v>0</v>
      </c>
      <c r="DK287" s="28" t="str">
        <f aca="false">S287</f>
        <v/>
      </c>
      <c r="DL287" s="28" t="str">
        <f aca="false">W287</f>
        <v/>
      </c>
      <c r="DM287" s="28" t="str">
        <f aca="false">AA287</f>
        <v/>
      </c>
      <c r="DN287" s="28" t="str">
        <f aca="false">AE287</f>
        <v/>
      </c>
      <c r="DO287" s="28" t="str">
        <f aca="false">AI287</f>
        <v/>
      </c>
      <c r="DP287" s="28" t="str">
        <f aca="false">AM287</f>
        <v/>
      </c>
      <c r="DQ287" s="28" t="str">
        <f aca="false">AQ287</f>
        <v/>
      </c>
      <c r="DR287" s="28" t="str">
        <f aca="false">AU287</f>
        <v/>
      </c>
      <c r="DS287" s="28" t="str">
        <f aca="false">AY287</f>
        <v/>
      </c>
      <c r="DT287" s="28" t="str">
        <f aca="false">BC287</f>
        <v/>
      </c>
      <c r="DU287" s="28" t="str">
        <f aca="false">BG287</f>
        <v/>
      </c>
      <c r="DV287" s="28" t="str">
        <f aca="false">BK287</f>
        <v/>
      </c>
      <c r="DW287" s="28" t="str">
        <f aca="false">BO287</f>
        <v/>
      </c>
      <c r="DX287" s="28" t="str">
        <f aca="false">BS287</f>
        <v/>
      </c>
      <c r="DY287" s="28" t="str">
        <f aca="false">IF(ISNUMBER(S287),1,"")</f>
        <v/>
      </c>
      <c r="DZ287" s="28" t="str">
        <f aca="false">IF(ISNUMBER(W287),2,"")</f>
        <v/>
      </c>
      <c r="EA287" s="28" t="str">
        <f aca="false">IF(ISNUMBER(AA287),3,"")</f>
        <v/>
      </c>
      <c r="EB287" s="28" t="str">
        <f aca="false">IF(ISNUMBER(AE287),4,"")</f>
        <v/>
      </c>
      <c r="EC287" s="28" t="str">
        <f aca="false">IF(ISNUMBER(AI287),5,"")</f>
        <v/>
      </c>
      <c r="ED287" s="28" t="str">
        <f aca="false">IF(ISNUMBER(AM287),6,"")</f>
        <v/>
      </c>
      <c r="EE287" s="28" t="str">
        <f aca="false">IF(ISNUMBER(AQ287),7,"")</f>
        <v/>
      </c>
      <c r="EF287" s="28" t="str">
        <f aca="false">IF(ISNUMBER(AU287),8,"")</f>
        <v/>
      </c>
      <c r="EG287" s="28" t="str">
        <f aca="false">IF(ISNUMBER(AY287),9,"")</f>
        <v/>
      </c>
      <c r="EH287" s="28" t="str">
        <f aca="false">IF(ISNUMBER(BC287),10,"")</f>
        <v/>
      </c>
      <c r="EI287" s="28" t="str">
        <f aca="false">IF(ISNUMBER(BG287),11,"")</f>
        <v/>
      </c>
      <c r="EJ287" s="28" t="str">
        <f aca="false">IF(ISNUMBER(BK287),12,"")</f>
        <v/>
      </c>
      <c r="EK287" s="28" t="str">
        <f aca="false">IF(ISNUMBER(BO287),13,"")</f>
        <v/>
      </c>
      <c r="EL287" s="28" t="str">
        <f aca="false">IF(ISNUMBER(BS287),14,"")</f>
        <v/>
      </c>
      <c r="EM287" s="28" t="n">
        <f aca="false">IF(ISNUMBER(R287),R287*CW287,0)</f>
        <v>0</v>
      </c>
      <c r="EN287" s="28" t="n">
        <f aca="false">IF(ISNUMBER(V287),V287*CX287,0)</f>
        <v>0</v>
      </c>
      <c r="EO287" s="28" t="n">
        <f aca="false">IF(ISNUMBER(Z287),Z287*CY287,0)</f>
        <v>0</v>
      </c>
      <c r="EP287" s="28" t="n">
        <f aca="false">IF(ISNUMBER(AD287),AD287*CZ287,0)</f>
        <v>0</v>
      </c>
      <c r="EQ287" s="28" t="n">
        <f aca="false">IF(ISNUMBER(AH287),AH287*DA287,0)</f>
        <v>0</v>
      </c>
      <c r="ER287" s="28" t="n">
        <f aca="false">IF(ISNUMBER(AL287),AL287*DB287,0)</f>
        <v>0</v>
      </c>
      <c r="ES287" s="28" t="n">
        <f aca="false">IF(ISNUMBER(AP287),AP287*DC287,0)</f>
        <v>0</v>
      </c>
      <c r="ET287" s="28" t="n">
        <f aca="false">IF(ISNUMBER(AT287),AT287*DD287,0)</f>
        <v>0</v>
      </c>
      <c r="EU287" s="28" t="n">
        <f aca="false">IF(ISNUMBER(AX287),AX287*DE287,0)</f>
        <v>0</v>
      </c>
      <c r="EV287" s="28" t="n">
        <f aca="false">IF(ISNUMBER(BB287),BB287*DF287,0)</f>
        <v>0</v>
      </c>
      <c r="EW287" s="28" t="n">
        <f aca="false">IF(ISNUMBER(BF287),BF287*DG287,0)</f>
        <v>0</v>
      </c>
      <c r="EX287" s="28" t="n">
        <f aca="false">IF(ISNUMBER(BJ287),BJ287*DH287,0)</f>
        <v>0</v>
      </c>
      <c r="EY287" s="28" t="n">
        <f aca="false">IF(ISNUMBER(BN287),BN287*DI287,0)</f>
        <v>0</v>
      </c>
      <c r="EZ287" s="28" t="n">
        <f aca="false">IF(ISNUMBER(BR287),BR287*DJ287,0)</f>
        <v>0</v>
      </c>
      <c r="FA287" s="28" t="n">
        <f aca="false">IF(ISNUMBER(R287),CW287,0)</f>
        <v>0</v>
      </c>
      <c r="FB287" s="28" t="n">
        <f aca="false">IF(ISNUMBER(V287),CX287,0)</f>
        <v>0</v>
      </c>
      <c r="FC287" s="28" t="n">
        <f aca="false">IF(ISNUMBER(Z287),CY287,0)</f>
        <v>0</v>
      </c>
      <c r="FD287" s="28" t="n">
        <f aca="false">IF(ISNUMBER(AD287),CZ287,0)</f>
        <v>0</v>
      </c>
      <c r="FE287" s="28" t="n">
        <f aca="false">IF(ISNUMBER(AH287),DA287,0)</f>
        <v>0</v>
      </c>
      <c r="FF287" s="28" t="n">
        <f aca="false">IF(ISNUMBER(AL287),DB287,0)</f>
        <v>0</v>
      </c>
      <c r="FG287" s="28" t="n">
        <f aca="false">IF(ISNUMBER(AP287),DC287,0)</f>
        <v>0</v>
      </c>
      <c r="FH287" s="28" t="n">
        <f aca="false">IF(ISNUMBER(AT287),DD287,0)</f>
        <v>0</v>
      </c>
      <c r="FI287" s="28" t="n">
        <f aca="false">IF(ISNUMBER(AX287),DE287,0)</f>
        <v>0</v>
      </c>
      <c r="FJ287" s="28" t="n">
        <f aca="false">IF(ISNUMBER(BB287),DF287,0)</f>
        <v>0</v>
      </c>
      <c r="FK287" s="28" t="n">
        <f aca="false">IF(ISNUMBER(BF287),DG287,0)</f>
        <v>0</v>
      </c>
      <c r="FL287" s="28" t="n">
        <f aca="false">IF(ISNUMBER(BJ287),DH287,0)</f>
        <v>0</v>
      </c>
      <c r="FM287" s="28" t="n">
        <f aca="false">IF(ISNUMBER(BN287),DI287,0)</f>
        <v>0</v>
      </c>
      <c r="FN287" s="28" t="n">
        <f aca="false">IF(ISNUMBER(BR287),DJ287,0)</f>
        <v>0</v>
      </c>
      <c r="FO287" s="28" t="str">
        <f aca="false">IFERROR(INDEX(Lists!$G$2:$G$20,MATCH($I287&amp;"|"&amp;$J287,Lists!$F$2:$F$20,0)),"")</f>
        <v>Econ Exam</v>
      </c>
    </row>
    <row r="288" customFormat="false" ht="19.5" hidden="false" customHeight="true" outlineLevel="0" collapsed="false">
      <c r="A288" s="29" t="s">
        <v>576</v>
      </c>
      <c r="B288" s="29" t="s">
        <v>577</v>
      </c>
      <c r="C288" s="30" t="s">
        <v>152</v>
      </c>
      <c r="D288" s="30" t="s">
        <v>246</v>
      </c>
      <c r="E288" s="31"/>
      <c r="F288" s="30"/>
      <c r="G288" s="30"/>
      <c r="H288" s="32" t="s">
        <v>428</v>
      </c>
      <c r="I288" s="33" t="s">
        <v>229</v>
      </c>
      <c r="J288" s="32" t="s">
        <v>223</v>
      </c>
      <c r="K288" s="34" t="str">
        <f aca="false">IF(OR(M288="",$E288=""),"",M288-$E288)</f>
        <v/>
      </c>
      <c r="L288" s="35" t="str">
        <f aca="false">IF(SUM(FA288:FN288)=0,"",SUM(EM288:EZ288)/SUM(FA288:FN288))</f>
        <v/>
      </c>
      <c r="M288" s="36" t="str">
        <f aca="false">IF(OR(L288="",FO288=""),"",IFERROR(MATCH(L288,INDEX(Boundaries!$B$2:$I$30,MATCH(FO288,Boundaries!$A$2:$A$30,0),0),1)-1,""))</f>
        <v/>
      </c>
      <c r="N288" s="37" t="str">
        <f aca="false">IF(COUNT($DY288:$EL288)&lt;2,"",INDEX($DK288:$DX288,MAX($DY288:$EL288))-INDEX($DK288:$DX288,MIN($DY288:$EL288)))</f>
        <v/>
      </c>
      <c r="O288" s="37" t="str">
        <f aca="false">IF(COUNT($DY288:$EL288)&lt;2,"",INDEX($DK288:$DX288,MAX($DY288:$EL288))-INDEX($DK288:$DX288,LARGE($DY288:$EL288,2)))</f>
        <v/>
      </c>
      <c r="P288" s="38" t="str">
        <f aca="false">IF(K288="","",IF(K288&gt;=0,"On/above target",IF(AND(N288&lt;&gt;"",N288&gt;=0.5),"Improving towards target",IF(AND(O288&lt;&gt;"",O288&lt;=-0.5),"Declining","Stable below target"))))</f>
        <v/>
      </c>
      <c r="Q288" s="39"/>
      <c r="R288" s="40" t="str">
        <f aca="false">IF(OR(Q288="",BU288=""),"",Q288/BU288*100)</f>
        <v/>
      </c>
      <c r="S288" s="41" t="str">
        <f aca="false">IF(R288="","",IFERROR(MATCH(R288,INDEX(Boundaries!$B$2:$I$30,MATCH(CI288,Boundaries!$A$2:$A$30,0),0),1)-1,""))</f>
        <v/>
      </c>
      <c r="T288" s="42" t="str">
        <f aca="false">IF(OR(S288="",$E288=""),"",S288-$E288)</f>
        <v/>
      </c>
      <c r="U288" s="39"/>
      <c r="V288" s="40" t="str">
        <f aca="false">IF(OR(U288="",BV288=""),"",U288/BV288*100)</f>
        <v/>
      </c>
      <c r="W288" s="41" t="str">
        <f aca="false">IF(V288="","",IFERROR(MATCH(V288,INDEX(Boundaries!$B$2:$I$30,MATCH(CJ288,Boundaries!$A$2:$A$30,0),0),1)-1,""))</f>
        <v/>
      </c>
      <c r="X288" s="42" t="str">
        <f aca="false">IF(OR(W288="",$E288=""),"",W288-$E288)</f>
        <v/>
      </c>
      <c r="Y288" s="39"/>
      <c r="Z288" s="40" t="str">
        <f aca="false">IF(OR(Y288="",BW288=""),"",Y288/BW288*100)</f>
        <v/>
      </c>
      <c r="AA288" s="41" t="str">
        <f aca="false">IF(Z288="","",IFERROR(MATCH(Z288,INDEX(Boundaries!$B$2:$I$30,MATCH(CK288,Boundaries!$A$2:$A$30,0),0),1)-1,""))</f>
        <v/>
      </c>
      <c r="AB288" s="42" t="str">
        <f aca="false">IF(OR(AA288="",$E288=""),"",AA288-$E288)</f>
        <v/>
      </c>
      <c r="AC288" s="39"/>
      <c r="AD288" s="40" t="str">
        <f aca="false">IF(OR(AC288="",BX288=""),"",AC288/BX288*100)</f>
        <v/>
      </c>
      <c r="AE288" s="41" t="str">
        <f aca="false">IF(AD288="","",IFERROR(MATCH(AD288,INDEX(Boundaries!$B$2:$I$30,MATCH(CL288,Boundaries!$A$2:$A$30,0),0),1)-1,""))</f>
        <v/>
      </c>
      <c r="AF288" s="42" t="str">
        <f aca="false">IF(OR(AE288="",$E288=""),"",AE288-$E288)</f>
        <v/>
      </c>
      <c r="AG288" s="39"/>
      <c r="AH288" s="40" t="str">
        <f aca="false">IF(OR(AG288="",BY288=""),"",AG288/BY288*100)</f>
        <v/>
      </c>
      <c r="AI288" s="41" t="str">
        <f aca="false">IF(AH288="","",IFERROR(MATCH(AH288,INDEX(Boundaries!$B$2:$I$30,MATCH(CM288,Boundaries!$A$2:$A$30,0),0),1)-1,""))</f>
        <v/>
      </c>
      <c r="AJ288" s="42" t="str">
        <f aca="false">IF(OR(AI288="",$E288=""),"",AI288-$E288)</f>
        <v/>
      </c>
      <c r="AK288" s="39"/>
      <c r="AL288" s="40" t="str">
        <f aca="false">IF(OR(AK288="",BZ288=""),"",AK288/BZ288*100)</f>
        <v/>
      </c>
      <c r="AM288" s="41" t="str">
        <f aca="false">IF(AL288="","",IFERROR(MATCH(AL288,INDEX(Boundaries!$B$2:$I$30,MATCH(CN288,Boundaries!$A$2:$A$30,0),0),1)-1,""))</f>
        <v/>
      </c>
      <c r="AN288" s="42" t="str">
        <f aca="false">IF(OR(AM288="",$E288=""),"",AM288-$E288)</f>
        <v/>
      </c>
      <c r="AO288" s="39"/>
      <c r="AP288" s="40" t="str">
        <f aca="false">IF(OR(AO288="",CA288=""),"",AO288/CA288*100)</f>
        <v/>
      </c>
      <c r="AQ288" s="41" t="str">
        <f aca="false">IF(AP288="","",IFERROR(MATCH(AP288,INDEX(Boundaries!$B$2:$I$30,MATCH(CO288,Boundaries!$A$2:$A$30,0),0),1)-1,""))</f>
        <v/>
      </c>
      <c r="AR288" s="42" t="str">
        <f aca="false">IF(OR(AQ288="",$E288=""),"",AQ288-$E288)</f>
        <v/>
      </c>
      <c r="AS288" s="39"/>
      <c r="AT288" s="40" t="str">
        <f aca="false">IF(OR(AS288="",CB288=""),"",AS288/CB288*100)</f>
        <v/>
      </c>
      <c r="AU288" s="41" t="str">
        <f aca="false">IF(AT288="","",IFERROR(MATCH(AT288,INDEX(Boundaries!$B$2:$I$30,MATCH(CP288,Boundaries!$A$2:$A$30,0),0),1)-1,""))</f>
        <v/>
      </c>
      <c r="AV288" s="42" t="str">
        <f aca="false">IF(OR(AU288="",$E288=""),"",AU288-$E288)</f>
        <v/>
      </c>
      <c r="AW288" s="39"/>
      <c r="AX288" s="40" t="str">
        <f aca="false">IF(OR(AW288="",CC288=""),"",AW288/CC288*100)</f>
        <v/>
      </c>
      <c r="AY288" s="41" t="str">
        <f aca="false">IF(AX288="","",IFERROR(MATCH(AX288,INDEX(Boundaries!$B$2:$I$30,MATCH(CQ288,Boundaries!$A$2:$A$30,0),0),1)-1,""))</f>
        <v/>
      </c>
      <c r="AZ288" s="42" t="str">
        <f aca="false">IF(OR(AY288="",$E288=""),"",AY288-$E288)</f>
        <v/>
      </c>
      <c r="BA288" s="39"/>
      <c r="BB288" s="40" t="str">
        <f aca="false">IF(OR(BA288="",CD288=""),"",BA288/CD288*100)</f>
        <v/>
      </c>
      <c r="BC288" s="41" t="str">
        <f aca="false">IF(BB288="","",IFERROR(MATCH(BB288,INDEX(Boundaries!$B$2:$I$30,MATCH(CR288,Boundaries!$A$2:$A$30,0),0),1)-1,""))</f>
        <v/>
      </c>
      <c r="BD288" s="42" t="str">
        <f aca="false">IF(OR(BC288="",$E288=""),"",BC288-$E288)</f>
        <v/>
      </c>
      <c r="BE288" s="39"/>
      <c r="BF288" s="40" t="str">
        <f aca="false">IF(OR(BE288="",CE288=""),"",BE288/CE288*100)</f>
        <v/>
      </c>
      <c r="BG288" s="41" t="str">
        <f aca="false">IF(BF288="","",IFERROR(MATCH(BF288,INDEX(Boundaries!$B$2:$I$30,MATCH(CS288,Boundaries!$A$2:$A$30,0),0),1)-1,""))</f>
        <v/>
      </c>
      <c r="BH288" s="42" t="str">
        <f aca="false">IF(OR(BG288="",$E288=""),"",BG288-$E288)</f>
        <v/>
      </c>
      <c r="BI288" s="39"/>
      <c r="BJ288" s="40" t="str">
        <f aca="false">IF(OR(BI288="",CF288=""),"",BI288/CF288*100)</f>
        <v/>
      </c>
      <c r="BK288" s="41" t="str">
        <f aca="false">IF(BJ288="","",IFERROR(MATCH(BJ288,INDEX(Boundaries!$B$2:$I$30,MATCH(CT288,Boundaries!$A$2:$A$30,0),0),1)-1,""))</f>
        <v/>
      </c>
      <c r="BL288" s="42" t="str">
        <f aca="false">IF(OR(BK288="",$E288=""),"",BK288-$E288)</f>
        <v/>
      </c>
      <c r="BM288" s="39"/>
      <c r="BN288" s="40" t="str">
        <f aca="false">IF(OR(BM288="",CG288=""),"",BM288/CG288*100)</f>
        <v/>
      </c>
      <c r="BO288" s="41" t="str">
        <f aca="false">IF(BN288="","",IFERROR(MATCH(BN288,INDEX(Boundaries!$B$2:$I$30,MATCH(CU288,Boundaries!$A$2:$A$30,0),0),1)-1,""))</f>
        <v/>
      </c>
      <c r="BP288" s="42" t="str">
        <f aca="false">IF(OR(BO288="",$E288=""),"",BO288-$E288)</f>
        <v/>
      </c>
      <c r="BQ288" s="39"/>
      <c r="BR288" s="40" t="str">
        <f aca="false">IF(OR(BQ288="",CH288=""),"",BQ288/CH288*100)</f>
        <v/>
      </c>
      <c r="BS288" s="41" t="str">
        <f aca="false">IF(BR288="","",IFERROR(MATCH(BR288,INDEX(Boundaries!$B$2:$I$30,MATCH(CV288,Boundaries!$A$2:$A$30,0),0),1)-1,""))</f>
        <v/>
      </c>
      <c r="BT288" s="42" t="str">
        <f aca="false">IF(OR(BS288="",$E288=""),"",BS288-$E288)</f>
        <v/>
      </c>
      <c r="BU288" s="28" t="n">
        <f aca="false">IFERROR(INDEX(Assessments!$H$2:$H$600,MATCH($H288&amp;"|"&amp;$I288&amp;"|"&amp;$J288&amp;"|"&amp;1,Assessments!$A$2:$A$600,0)),"")</f>
        <v>25</v>
      </c>
      <c r="BV288" s="28" t="n">
        <f aca="false">IFERROR(INDEX(Assessments!$H$2:$H$600,MATCH($H288&amp;"|"&amp;$I288&amp;"|"&amp;$J288&amp;"|"&amp;2,Assessments!$A$2:$A$600,0)),"")</f>
        <v>20</v>
      </c>
      <c r="BW288" s="28" t="n">
        <f aca="false">IFERROR(INDEX(Assessments!$H$2:$H$600,MATCH($H288&amp;"|"&amp;$I288&amp;"|"&amp;$J288&amp;"|"&amp;3,Assessments!$A$2:$A$600,0)),"")</f>
        <v>25</v>
      </c>
      <c r="BX288" s="28" t="n">
        <f aca="false">IFERROR(INDEX(Assessments!$H$2:$H$600,MATCH($H288&amp;"|"&amp;$I288&amp;"|"&amp;$J288&amp;"|"&amp;4,Assessments!$A$2:$A$600,0)),"")</f>
        <v>23</v>
      </c>
      <c r="BY288" s="28" t="n">
        <f aca="false">IFERROR(INDEX(Assessments!$H$2:$H$600,MATCH($H288&amp;"|"&amp;$I288&amp;"|"&amp;$J288&amp;"|"&amp;5,Assessments!$A$2:$A$600,0)),"")</f>
        <v>25</v>
      </c>
      <c r="BZ288" s="28" t="n">
        <f aca="false">IFERROR(INDEX(Assessments!$H$2:$H$600,MATCH($H288&amp;"|"&amp;$I288&amp;"|"&amp;$J288&amp;"|"&amp;6,Assessments!$A$2:$A$600,0)),"")</f>
        <v>23</v>
      </c>
      <c r="CA288" s="28" t="n">
        <f aca="false">IFERROR(INDEX(Assessments!$H$2:$H$600,MATCH($H288&amp;"|"&amp;$I288&amp;"|"&amp;$J288&amp;"|"&amp;7,Assessments!$A$2:$A$600,0)),"")</f>
        <v>52</v>
      </c>
      <c r="CB288" s="28" t="str">
        <f aca="false">IFERROR(INDEX(Assessments!$H$2:$H$600,MATCH($H288&amp;"|"&amp;$I288&amp;"|"&amp;$J288&amp;"|"&amp;8,Assessments!$A$2:$A$600,0)),"")</f>
        <v/>
      </c>
      <c r="CC288" s="28" t="str">
        <f aca="false">IFERROR(INDEX(Assessments!$H$2:$H$600,MATCH($H288&amp;"|"&amp;$I288&amp;"|"&amp;$J288&amp;"|"&amp;9,Assessments!$A$2:$A$600,0)),"")</f>
        <v/>
      </c>
      <c r="CD288" s="28" t="str">
        <f aca="false">IFERROR(INDEX(Assessments!$H$2:$H$600,MATCH($H288&amp;"|"&amp;$I288&amp;"|"&amp;$J288&amp;"|"&amp;10,Assessments!$A$2:$A$600,0)),"")</f>
        <v/>
      </c>
      <c r="CE288" s="28" t="str">
        <f aca="false">IFERROR(INDEX(Assessments!$H$2:$H$600,MATCH($H288&amp;"|"&amp;$I288&amp;"|"&amp;$J288&amp;"|"&amp;11,Assessments!$A$2:$A$600,0)),"")</f>
        <v/>
      </c>
      <c r="CF288" s="28" t="str">
        <f aca="false">IFERROR(INDEX(Assessments!$H$2:$H$600,MATCH($H288&amp;"|"&amp;$I288&amp;"|"&amp;$J288&amp;"|"&amp;12,Assessments!$A$2:$A$600,0)),"")</f>
        <v/>
      </c>
      <c r="CG288" s="28" t="str">
        <f aca="false">IFERROR(INDEX(Assessments!$H$2:$H$600,MATCH($H288&amp;"|"&amp;$I288&amp;"|"&amp;$J288&amp;"|"&amp;13,Assessments!$A$2:$A$600,0)),"")</f>
        <v/>
      </c>
      <c r="CH288" s="28" t="str">
        <f aca="false">IFERROR(INDEX(Assessments!$H$2:$H$600,MATCH($H288&amp;"|"&amp;$I288&amp;"|"&amp;$J288&amp;"|"&amp;14,Assessments!$A$2:$A$600,0)),"")</f>
        <v/>
      </c>
      <c r="CI288" s="28" t="str">
        <f aca="false">IFERROR(INDEX(Assessments!$I$2:$I$600,MATCH($H288&amp;"|"&amp;$I288&amp;"|"&amp;$J288&amp;"|"&amp;1,Assessments!$A$2:$A$600,0)),"")</f>
        <v>Econ Test</v>
      </c>
      <c r="CJ288" s="28" t="str">
        <f aca="false">IFERROR(INDEX(Assessments!$I$2:$I$600,MATCH($H288&amp;"|"&amp;$I288&amp;"|"&amp;$J288&amp;"|"&amp;2,Assessments!$A$2:$A$600,0)),"")</f>
        <v>Econ Test</v>
      </c>
      <c r="CK288" s="28" t="str">
        <f aca="false">IFERROR(INDEX(Assessments!$I$2:$I$600,MATCH($H288&amp;"|"&amp;$I288&amp;"|"&amp;$J288&amp;"|"&amp;3,Assessments!$A$2:$A$600,0)),"")</f>
        <v>Econ Test</v>
      </c>
      <c r="CL288" s="28" t="str">
        <f aca="false">IFERROR(INDEX(Assessments!$I$2:$I$600,MATCH($H288&amp;"|"&amp;$I288&amp;"|"&amp;$J288&amp;"|"&amp;4,Assessments!$A$2:$A$600,0)),"")</f>
        <v>Econ Test</v>
      </c>
      <c r="CM288" s="28" t="str">
        <f aca="false">IFERROR(INDEX(Assessments!$I$2:$I$600,MATCH($H288&amp;"|"&amp;$I288&amp;"|"&amp;$J288&amp;"|"&amp;5,Assessments!$A$2:$A$600,0)),"")</f>
        <v>Econ Exam</v>
      </c>
      <c r="CN288" s="28" t="str">
        <f aca="false">IFERROR(INDEX(Assessments!$I$2:$I$600,MATCH($H288&amp;"|"&amp;$I288&amp;"|"&amp;$J288&amp;"|"&amp;6,Assessments!$A$2:$A$600,0)),"")</f>
        <v>Econ Test</v>
      </c>
      <c r="CO288" s="28" t="str">
        <f aca="false">IFERROR(INDEX(Assessments!$I$2:$I$600,MATCH($H288&amp;"|"&amp;$I288&amp;"|"&amp;$J288&amp;"|"&amp;7,Assessments!$A$2:$A$600,0)),"")</f>
        <v>Econ Exam</v>
      </c>
      <c r="CP288" s="28" t="str">
        <f aca="false">IFERROR(INDEX(Assessments!$I$2:$I$600,MATCH($H288&amp;"|"&amp;$I288&amp;"|"&amp;$J288&amp;"|"&amp;8,Assessments!$A$2:$A$600,0)),"")</f>
        <v/>
      </c>
      <c r="CQ288" s="28" t="str">
        <f aca="false">IFERROR(INDEX(Assessments!$I$2:$I$600,MATCH($H288&amp;"|"&amp;$I288&amp;"|"&amp;$J288&amp;"|"&amp;9,Assessments!$A$2:$A$600,0)),"")</f>
        <v/>
      </c>
      <c r="CR288" s="28" t="str">
        <f aca="false">IFERROR(INDEX(Assessments!$I$2:$I$600,MATCH($H288&amp;"|"&amp;$I288&amp;"|"&amp;$J288&amp;"|"&amp;10,Assessments!$A$2:$A$600,0)),"")</f>
        <v/>
      </c>
      <c r="CS288" s="28" t="str">
        <f aca="false">IFERROR(INDEX(Assessments!$I$2:$I$600,MATCH($H288&amp;"|"&amp;$I288&amp;"|"&amp;$J288&amp;"|"&amp;11,Assessments!$A$2:$A$600,0)),"")</f>
        <v/>
      </c>
      <c r="CT288" s="28" t="str">
        <f aca="false">IFERROR(INDEX(Assessments!$I$2:$I$600,MATCH($H288&amp;"|"&amp;$I288&amp;"|"&amp;$J288&amp;"|"&amp;12,Assessments!$A$2:$A$600,0)),"")</f>
        <v/>
      </c>
      <c r="CU288" s="28" t="str">
        <f aca="false">IFERROR(INDEX(Assessments!$I$2:$I$600,MATCH($H288&amp;"|"&amp;$I288&amp;"|"&amp;$J288&amp;"|"&amp;13,Assessments!$A$2:$A$600,0)),"")</f>
        <v/>
      </c>
      <c r="CV288" s="28" t="str">
        <f aca="false">IFERROR(INDEX(Assessments!$I$2:$I$600,MATCH($H288&amp;"|"&amp;$I288&amp;"|"&amp;$J288&amp;"|"&amp;14,Assessments!$A$2:$A$600,0)),"")</f>
        <v/>
      </c>
      <c r="CW288" s="28" t="n">
        <f aca="false">IFERROR(INDEX(Assessments!$J$2:$J$600,MATCH($H288&amp;"|"&amp;$I288&amp;"|"&amp;$J288&amp;"|"&amp;1,Assessments!$A$2:$A$600,0)),0)</f>
        <v>1</v>
      </c>
      <c r="CX288" s="28" t="n">
        <f aca="false">IFERROR(INDEX(Assessments!$J$2:$J$600,MATCH($H288&amp;"|"&amp;$I288&amp;"|"&amp;$J288&amp;"|"&amp;2,Assessments!$A$2:$A$600,0)),0)</f>
        <v>1</v>
      </c>
      <c r="CY288" s="28" t="n">
        <f aca="false">IFERROR(INDEX(Assessments!$J$2:$J$600,MATCH($H288&amp;"|"&amp;$I288&amp;"|"&amp;$J288&amp;"|"&amp;3,Assessments!$A$2:$A$600,0)),0)</f>
        <v>1</v>
      </c>
      <c r="CZ288" s="28" t="n">
        <f aca="false">IFERROR(INDEX(Assessments!$J$2:$J$600,MATCH($H288&amp;"|"&amp;$I288&amp;"|"&amp;$J288&amp;"|"&amp;4,Assessments!$A$2:$A$600,0)),0)</f>
        <v>1</v>
      </c>
      <c r="DA288" s="28" t="n">
        <f aca="false">IFERROR(INDEX(Assessments!$J$2:$J$600,MATCH($H288&amp;"|"&amp;$I288&amp;"|"&amp;$J288&amp;"|"&amp;5,Assessments!$A$2:$A$600,0)),0)</f>
        <v>2</v>
      </c>
      <c r="DB288" s="28" t="n">
        <f aca="false">IFERROR(INDEX(Assessments!$J$2:$J$600,MATCH($H288&amp;"|"&amp;$I288&amp;"|"&amp;$J288&amp;"|"&amp;6,Assessments!$A$2:$A$600,0)),0)</f>
        <v>1</v>
      </c>
      <c r="DC288" s="28" t="n">
        <f aca="false">IFERROR(INDEX(Assessments!$J$2:$J$600,MATCH($H288&amp;"|"&amp;$I288&amp;"|"&amp;$J288&amp;"|"&amp;7,Assessments!$A$2:$A$600,0)),0)</f>
        <v>2</v>
      </c>
      <c r="DD288" s="28" t="n">
        <f aca="false">IFERROR(INDEX(Assessments!$J$2:$J$600,MATCH($H288&amp;"|"&amp;$I288&amp;"|"&amp;$J288&amp;"|"&amp;8,Assessments!$A$2:$A$600,0)),0)</f>
        <v>0</v>
      </c>
      <c r="DE288" s="28" t="n">
        <f aca="false">IFERROR(INDEX(Assessments!$J$2:$J$600,MATCH($H288&amp;"|"&amp;$I288&amp;"|"&amp;$J288&amp;"|"&amp;9,Assessments!$A$2:$A$600,0)),0)</f>
        <v>0</v>
      </c>
      <c r="DF288" s="28" t="n">
        <f aca="false">IFERROR(INDEX(Assessments!$J$2:$J$600,MATCH($H288&amp;"|"&amp;$I288&amp;"|"&amp;$J288&amp;"|"&amp;10,Assessments!$A$2:$A$600,0)),0)</f>
        <v>0</v>
      </c>
      <c r="DG288" s="28" t="n">
        <f aca="false">IFERROR(INDEX(Assessments!$J$2:$J$600,MATCH($H288&amp;"|"&amp;$I288&amp;"|"&amp;$J288&amp;"|"&amp;11,Assessments!$A$2:$A$600,0)),0)</f>
        <v>0</v>
      </c>
      <c r="DH288" s="28" t="n">
        <f aca="false">IFERROR(INDEX(Assessments!$J$2:$J$600,MATCH($H288&amp;"|"&amp;$I288&amp;"|"&amp;$J288&amp;"|"&amp;12,Assessments!$A$2:$A$600,0)),0)</f>
        <v>0</v>
      </c>
      <c r="DI288" s="28" t="n">
        <f aca="false">IFERROR(INDEX(Assessments!$J$2:$J$600,MATCH($H288&amp;"|"&amp;$I288&amp;"|"&amp;$J288&amp;"|"&amp;13,Assessments!$A$2:$A$600,0)),0)</f>
        <v>0</v>
      </c>
      <c r="DJ288" s="28" t="n">
        <f aca="false">IFERROR(INDEX(Assessments!$J$2:$J$600,MATCH($H288&amp;"|"&amp;$I288&amp;"|"&amp;$J288&amp;"|"&amp;14,Assessments!$A$2:$A$600,0)),0)</f>
        <v>0</v>
      </c>
      <c r="DK288" s="28" t="str">
        <f aca="false">S288</f>
        <v/>
      </c>
      <c r="DL288" s="28" t="str">
        <f aca="false">W288</f>
        <v/>
      </c>
      <c r="DM288" s="28" t="str">
        <f aca="false">AA288</f>
        <v/>
      </c>
      <c r="DN288" s="28" t="str">
        <f aca="false">AE288</f>
        <v/>
      </c>
      <c r="DO288" s="28" t="str">
        <f aca="false">AI288</f>
        <v/>
      </c>
      <c r="DP288" s="28" t="str">
        <f aca="false">AM288</f>
        <v/>
      </c>
      <c r="DQ288" s="28" t="str">
        <f aca="false">AQ288</f>
        <v/>
      </c>
      <c r="DR288" s="28" t="str">
        <f aca="false">AU288</f>
        <v/>
      </c>
      <c r="DS288" s="28" t="str">
        <f aca="false">AY288</f>
        <v/>
      </c>
      <c r="DT288" s="28" t="str">
        <f aca="false">BC288</f>
        <v/>
      </c>
      <c r="DU288" s="28" t="str">
        <f aca="false">BG288</f>
        <v/>
      </c>
      <c r="DV288" s="28" t="str">
        <f aca="false">BK288</f>
        <v/>
      </c>
      <c r="DW288" s="28" t="str">
        <f aca="false">BO288</f>
        <v/>
      </c>
      <c r="DX288" s="28" t="str">
        <f aca="false">BS288</f>
        <v/>
      </c>
      <c r="DY288" s="28" t="str">
        <f aca="false">IF(ISNUMBER(S288),1,"")</f>
        <v/>
      </c>
      <c r="DZ288" s="28" t="str">
        <f aca="false">IF(ISNUMBER(W288),2,"")</f>
        <v/>
      </c>
      <c r="EA288" s="28" t="str">
        <f aca="false">IF(ISNUMBER(AA288),3,"")</f>
        <v/>
      </c>
      <c r="EB288" s="28" t="str">
        <f aca="false">IF(ISNUMBER(AE288),4,"")</f>
        <v/>
      </c>
      <c r="EC288" s="28" t="str">
        <f aca="false">IF(ISNUMBER(AI288),5,"")</f>
        <v/>
      </c>
      <c r="ED288" s="28" t="str">
        <f aca="false">IF(ISNUMBER(AM288),6,"")</f>
        <v/>
      </c>
      <c r="EE288" s="28" t="str">
        <f aca="false">IF(ISNUMBER(AQ288),7,"")</f>
        <v/>
      </c>
      <c r="EF288" s="28" t="str">
        <f aca="false">IF(ISNUMBER(AU288),8,"")</f>
        <v/>
      </c>
      <c r="EG288" s="28" t="str">
        <f aca="false">IF(ISNUMBER(AY288),9,"")</f>
        <v/>
      </c>
      <c r="EH288" s="28" t="str">
        <f aca="false">IF(ISNUMBER(BC288),10,"")</f>
        <v/>
      </c>
      <c r="EI288" s="28" t="str">
        <f aca="false">IF(ISNUMBER(BG288),11,"")</f>
        <v/>
      </c>
      <c r="EJ288" s="28" t="str">
        <f aca="false">IF(ISNUMBER(BK288),12,"")</f>
        <v/>
      </c>
      <c r="EK288" s="28" t="str">
        <f aca="false">IF(ISNUMBER(BO288),13,"")</f>
        <v/>
      </c>
      <c r="EL288" s="28" t="str">
        <f aca="false">IF(ISNUMBER(BS288),14,"")</f>
        <v/>
      </c>
      <c r="EM288" s="28" t="n">
        <f aca="false">IF(ISNUMBER(R288),R288*CW288,0)</f>
        <v>0</v>
      </c>
      <c r="EN288" s="28" t="n">
        <f aca="false">IF(ISNUMBER(V288),V288*CX288,0)</f>
        <v>0</v>
      </c>
      <c r="EO288" s="28" t="n">
        <f aca="false">IF(ISNUMBER(Z288),Z288*CY288,0)</f>
        <v>0</v>
      </c>
      <c r="EP288" s="28" t="n">
        <f aca="false">IF(ISNUMBER(AD288),AD288*CZ288,0)</f>
        <v>0</v>
      </c>
      <c r="EQ288" s="28" t="n">
        <f aca="false">IF(ISNUMBER(AH288),AH288*DA288,0)</f>
        <v>0</v>
      </c>
      <c r="ER288" s="28" t="n">
        <f aca="false">IF(ISNUMBER(AL288),AL288*DB288,0)</f>
        <v>0</v>
      </c>
      <c r="ES288" s="28" t="n">
        <f aca="false">IF(ISNUMBER(AP288),AP288*DC288,0)</f>
        <v>0</v>
      </c>
      <c r="ET288" s="28" t="n">
        <f aca="false">IF(ISNUMBER(AT288),AT288*DD288,0)</f>
        <v>0</v>
      </c>
      <c r="EU288" s="28" t="n">
        <f aca="false">IF(ISNUMBER(AX288),AX288*DE288,0)</f>
        <v>0</v>
      </c>
      <c r="EV288" s="28" t="n">
        <f aca="false">IF(ISNUMBER(BB288),BB288*DF288,0)</f>
        <v>0</v>
      </c>
      <c r="EW288" s="28" t="n">
        <f aca="false">IF(ISNUMBER(BF288),BF288*DG288,0)</f>
        <v>0</v>
      </c>
      <c r="EX288" s="28" t="n">
        <f aca="false">IF(ISNUMBER(BJ288),BJ288*DH288,0)</f>
        <v>0</v>
      </c>
      <c r="EY288" s="28" t="n">
        <f aca="false">IF(ISNUMBER(BN288),BN288*DI288,0)</f>
        <v>0</v>
      </c>
      <c r="EZ288" s="28" t="n">
        <f aca="false">IF(ISNUMBER(BR288),BR288*DJ288,0)</f>
        <v>0</v>
      </c>
      <c r="FA288" s="28" t="n">
        <f aca="false">IF(ISNUMBER(R288),CW288,0)</f>
        <v>0</v>
      </c>
      <c r="FB288" s="28" t="n">
        <f aca="false">IF(ISNUMBER(V288),CX288,0)</f>
        <v>0</v>
      </c>
      <c r="FC288" s="28" t="n">
        <f aca="false">IF(ISNUMBER(Z288),CY288,0)</f>
        <v>0</v>
      </c>
      <c r="FD288" s="28" t="n">
        <f aca="false">IF(ISNUMBER(AD288),CZ288,0)</f>
        <v>0</v>
      </c>
      <c r="FE288" s="28" t="n">
        <f aca="false">IF(ISNUMBER(AH288),DA288,0)</f>
        <v>0</v>
      </c>
      <c r="FF288" s="28" t="n">
        <f aca="false">IF(ISNUMBER(AL288),DB288,0)</f>
        <v>0</v>
      </c>
      <c r="FG288" s="28" t="n">
        <f aca="false">IF(ISNUMBER(AP288),DC288,0)</f>
        <v>0</v>
      </c>
      <c r="FH288" s="28" t="n">
        <f aca="false">IF(ISNUMBER(AT288),DD288,0)</f>
        <v>0</v>
      </c>
      <c r="FI288" s="28" t="n">
        <f aca="false">IF(ISNUMBER(AX288),DE288,0)</f>
        <v>0</v>
      </c>
      <c r="FJ288" s="28" t="n">
        <f aca="false">IF(ISNUMBER(BB288),DF288,0)</f>
        <v>0</v>
      </c>
      <c r="FK288" s="28" t="n">
        <f aca="false">IF(ISNUMBER(BF288),DG288,0)</f>
        <v>0</v>
      </c>
      <c r="FL288" s="28" t="n">
        <f aca="false">IF(ISNUMBER(BJ288),DH288,0)</f>
        <v>0</v>
      </c>
      <c r="FM288" s="28" t="n">
        <f aca="false">IF(ISNUMBER(BN288),DI288,0)</f>
        <v>0</v>
      </c>
      <c r="FN288" s="28" t="n">
        <f aca="false">IF(ISNUMBER(BR288),DJ288,0)</f>
        <v>0</v>
      </c>
      <c r="FO288" s="28" t="str">
        <f aca="false">IFERROR(INDEX(Lists!$G$2:$G$20,MATCH($I288&amp;"|"&amp;$J288,Lists!$F$2:$F$20,0)),"")</f>
        <v>Econ Exam</v>
      </c>
    </row>
    <row r="289" customFormat="false" ht="19.5" hidden="false" customHeight="true" outlineLevel="0" collapsed="false">
      <c r="A289" s="29" t="s">
        <v>578</v>
      </c>
      <c r="B289" s="29" t="s">
        <v>164</v>
      </c>
      <c r="C289" s="30" t="s">
        <v>152</v>
      </c>
      <c r="D289" s="30" t="s">
        <v>246</v>
      </c>
      <c r="E289" s="31"/>
      <c r="F289" s="30"/>
      <c r="G289" s="30"/>
      <c r="H289" s="32" t="s">
        <v>428</v>
      </c>
      <c r="I289" s="33" t="s">
        <v>229</v>
      </c>
      <c r="J289" s="32" t="s">
        <v>223</v>
      </c>
      <c r="K289" s="34" t="str">
        <f aca="false">IF(OR(M289="",$E289=""),"",M289-$E289)</f>
        <v/>
      </c>
      <c r="L289" s="35" t="str">
        <f aca="false">IF(SUM(FA289:FN289)=0,"",SUM(EM289:EZ289)/SUM(FA289:FN289))</f>
        <v/>
      </c>
      <c r="M289" s="36" t="str">
        <f aca="false">IF(OR(L289="",FO289=""),"",IFERROR(MATCH(L289,INDEX(Boundaries!$B$2:$I$30,MATCH(FO289,Boundaries!$A$2:$A$30,0),0),1)-1,""))</f>
        <v/>
      </c>
      <c r="N289" s="37" t="str">
        <f aca="false">IF(COUNT($DY289:$EL289)&lt;2,"",INDEX($DK289:$DX289,MAX($DY289:$EL289))-INDEX($DK289:$DX289,MIN($DY289:$EL289)))</f>
        <v/>
      </c>
      <c r="O289" s="37" t="str">
        <f aca="false">IF(COUNT($DY289:$EL289)&lt;2,"",INDEX($DK289:$DX289,MAX($DY289:$EL289))-INDEX($DK289:$DX289,LARGE($DY289:$EL289,2)))</f>
        <v/>
      </c>
      <c r="P289" s="38" t="str">
        <f aca="false">IF(K289="","",IF(K289&gt;=0,"On/above target",IF(AND(N289&lt;&gt;"",N289&gt;=0.5),"Improving towards target",IF(AND(O289&lt;&gt;"",O289&lt;=-0.5),"Declining","Stable below target"))))</f>
        <v/>
      </c>
      <c r="Q289" s="39"/>
      <c r="R289" s="40" t="str">
        <f aca="false">IF(OR(Q289="",BU289=""),"",Q289/BU289*100)</f>
        <v/>
      </c>
      <c r="S289" s="41" t="str">
        <f aca="false">IF(R289="","",IFERROR(MATCH(R289,INDEX(Boundaries!$B$2:$I$30,MATCH(CI289,Boundaries!$A$2:$A$30,0),0),1)-1,""))</f>
        <v/>
      </c>
      <c r="T289" s="42" t="str">
        <f aca="false">IF(OR(S289="",$E289=""),"",S289-$E289)</f>
        <v/>
      </c>
      <c r="U289" s="39"/>
      <c r="V289" s="40" t="str">
        <f aca="false">IF(OR(U289="",BV289=""),"",U289/BV289*100)</f>
        <v/>
      </c>
      <c r="W289" s="41" t="str">
        <f aca="false">IF(V289="","",IFERROR(MATCH(V289,INDEX(Boundaries!$B$2:$I$30,MATCH(CJ289,Boundaries!$A$2:$A$30,0),0),1)-1,""))</f>
        <v/>
      </c>
      <c r="X289" s="42" t="str">
        <f aca="false">IF(OR(W289="",$E289=""),"",W289-$E289)</f>
        <v/>
      </c>
      <c r="Y289" s="39"/>
      <c r="Z289" s="40" t="str">
        <f aca="false">IF(OR(Y289="",BW289=""),"",Y289/BW289*100)</f>
        <v/>
      </c>
      <c r="AA289" s="41" t="str">
        <f aca="false">IF(Z289="","",IFERROR(MATCH(Z289,INDEX(Boundaries!$B$2:$I$30,MATCH(CK289,Boundaries!$A$2:$A$30,0),0),1)-1,""))</f>
        <v/>
      </c>
      <c r="AB289" s="42" t="str">
        <f aca="false">IF(OR(AA289="",$E289=""),"",AA289-$E289)</f>
        <v/>
      </c>
      <c r="AC289" s="39"/>
      <c r="AD289" s="40" t="str">
        <f aca="false">IF(OR(AC289="",BX289=""),"",AC289/BX289*100)</f>
        <v/>
      </c>
      <c r="AE289" s="41" t="str">
        <f aca="false">IF(AD289="","",IFERROR(MATCH(AD289,INDEX(Boundaries!$B$2:$I$30,MATCH(CL289,Boundaries!$A$2:$A$30,0),0),1)-1,""))</f>
        <v/>
      </c>
      <c r="AF289" s="42" t="str">
        <f aca="false">IF(OR(AE289="",$E289=""),"",AE289-$E289)</f>
        <v/>
      </c>
      <c r="AG289" s="39"/>
      <c r="AH289" s="40" t="str">
        <f aca="false">IF(OR(AG289="",BY289=""),"",AG289/BY289*100)</f>
        <v/>
      </c>
      <c r="AI289" s="41" t="str">
        <f aca="false">IF(AH289="","",IFERROR(MATCH(AH289,INDEX(Boundaries!$B$2:$I$30,MATCH(CM289,Boundaries!$A$2:$A$30,0),0),1)-1,""))</f>
        <v/>
      </c>
      <c r="AJ289" s="42" t="str">
        <f aca="false">IF(OR(AI289="",$E289=""),"",AI289-$E289)</f>
        <v/>
      </c>
      <c r="AK289" s="39"/>
      <c r="AL289" s="40" t="str">
        <f aca="false">IF(OR(AK289="",BZ289=""),"",AK289/BZ289*100)</f>
        <v/>
      </c>
      <c r="AM289" s="41" t="str">
        <f aca="false">IF(AL289="","",IFERROR(MATCH(AL289,INDEX(Boundaries!$B$2:$I$30,MATCH(CN289,Boundaries!$A$2:$A$30,0),0),1)-1,""))</f>
        <v/>
      </c>
      <c r="AN289" s="42" t="str">
        <f aca="false">IF(OR(AM289="",$E289=""),"",AM289-$E289)</f>
        <v/>
      </c>
      <c r="AO289" s="39"/>
      <c r="AP289" s="40" t="str">
        <f aca="false">IF(OR(AO289="",CA289=""),"",AO289/CA289*100)</f>
        <v/>
      </c>
      <c r="AQ289" s="41" t="str">
        <f aca="false">IF(AP289="","",IFERROR(MATCH(AP289,INDEX(Boundaries!$B$2:$I$30,MATCH(CO289,Boundaries!$A$2:$A$30,0),0),1)-1,""))</f>
        <v/>
      </c>
      <c r="AR289" s="42" t="str">
        <f aca="false">IF(OR(AQ289="",$E289=""),"",AQ289-$E289)</f>
        <v/>
      </c>
      <c r="AS289" s="39"/>
      <c r="AT289" s="40" t="str">
        <f aca="false">IF(OR(AS289="",CB289=""),"",AS289/CB289*100)</f>
        <v/>
      </c>
      <c r="AU289" s="41" t="str">
        <f aca="false">IF(AT289="","",IFERROR(MATCH(AT289,INDEX(Boundaries!$B$2:$I$30,MATCH(CP289,Boundaries!$A$2:$A$30,0),0),1)-1,""))</f>
        <v/>
      </c>
      <c r="AV289" s="42" t="str">
        <f aca="false">IF(OR(AU289="",$E289=""),"",AU289-$E289)</f>
        <v/>
      </c>
      <c r="AW289" s="39"/>
      <c r="AX289" s="40" t="str">
        <f aca="false">IF(OR(AW289="",CC289=""),"",AW289/CC289*100)</f>
        <v/>
      </c>
      <c r="AY289" s="41" t="str">
        <f aca="false">IF(AX289="","",IFERROR(MATCH(AX289,INDEX(Boundaries!$B$2:$I$30,MATCH(CQ289,Boundaries!$A$2:$A$30,0),0),1)-1,""))</f>
        <v/>
      </c>
      <c r="AZ289" s="42" t="str">
        <f aca="false">IF(OR(AY289="",$E289=""),"",AY289-$E289)</f>
        <v/>
      </c>
      <c r="BA289" s="39"/>
      <c r="BB289" s="40" t="str">
        <f aca="false">IF(OR(BA289="",CD289=""),"",BA289/CD289*100)</f>
        <v/>
      </c>
      <c r="BC289" s="41" t="str">
        <f aca="false">IF(BB289="","",IFERROR(MATCH(BB289,INDEX(Boundaries!$B$2:$I$30,MATCH(CR289,Boundaries!$A$2:$A$30,0),0),1)-1,""))</f>
        <v/>
      </c>
      <c r="BD289" s="42" t="str">
        <f aca="false">IF(OR(BC289="",$E289=""),"",BC289-$E289)</f>
        <v/>
      </c>
      <c r="BE289" s="39"/>
      <c r="BF289" s="40" t="str">
        <f aca="false">IF(OR(BE289="",CE289=""),"",BE289/CE289*100)</f>
        <v/>
      </c>
      <c r="BG289" s="41" t="str">
        <f aca="false">IF(BF289="","",IFERROR(MATCH(BF289,INDEX(Boundaries!$B$2:$I$30,MATCH(CS289,Boundaries!$A$2:$A$30,0),0),1)-1,""))</f>
        <v/>
      </c>
      <c r="BH289" s="42" t="str">
        <f aca="false">IF(OR(BG289="",$E289=""),"",BG289-$E289)</f>
        <v/>
      </c>
      <c r="BI289" s="39"/>
      <c r="BJ289" s="40" t="str">
        <f aca="false">IF(OR(BI289="",CF289=""),"",BI289/CF289*100)</f>
        <v/>
      </c>
      <c r="BK289" s="41" t="str">
        <f aca="false">IF(BJ289="","",IFERROR(MATCH(BJ289,INDEX(Boundaries!$B$2:$I$30,MATCH(CT289,Boundaries!$A$2:$A$30,0),0),1)-1,""))</f>
        <v/>
      </c>
      <c r="BL289" s="42" t="str">
        <f aca="false">IF(OR(BK289="",$E289=""),"",BK289-$E289)</f>
        <v/>
      </c>
      <c r="BM289" s="39"/>
      <c r="BN289" s="40" t="str">
        <f aca="false">IF(OR(BM289="",CG289=""),"",BM289/CG289*100)</f>
        <v/>
      </c>
      <c r="BO289" s="41" t="str">
        <f aca="false">IF(BN289="","",IFERROR(MATCH(BN289,INDEX(Boundaries!$B$2:$I$30,MATCH(CU289,Boundaries!$A$2:$A$30,0),0),1)-1,""))</f>
        <v/>
      </c>
      <c r="BP289" s="42" t="str">
        <f aca="false">IF(OR(BO289="",$E289=""),"",BO289-$E289)</f>
        <v/>
      </c>
      <c r="BQ289" s="39"/>
      <c r="BR289" s="40" t="str">
        <f aca="false">IF(OR(BQ289="",CH289=""),"",BQ289/CH289*100)</f>
        <v/>
      </c>
      <c r="BS289" s="41" t="str">
        <f aca="false">IF(BR289="","",IFERROR(MATCH(BR289,INDEX(Boundaries!$B$2:$I$30,MATCH(CV289,Boundaries!$A$2:$A$30,0),0),1)-1,""))</f>
        <v/>
      </c>
      <c r="BT289" s="42" t="str">
        <f aca="false">IF(OR(BS289="",$E289=""),"",BS289-$E289)</f>
        <v/>
      </c>
      <c r="BU289" s="28" t="n">
        <f aca="false">IFERROR(INDEX(Assessments!$H$2:$H$600,MATCH($H289&amp;"|"&amp;$I289&amp;"|"&amp;$J289&amp;"|"&amp;1,Assessments!$A$2:$A$600,0)),"")</f>
        <v>25</v>
      </c>
      <c r="BV289" s="28" t="n">
        <f aca="false">IFERROR(INDEX(Assessments!$H$2:$H$600,MATCH($H289&amp;"|"&amp;$I289&amp;"|"&amp;$J289&amp;"|"&amp;2,Assessments!$A$2:$A$600,0)),"")</f>
        <v>20</v>
      </c>
      <c r="BW289" s="28" t="n">
        <f aca="false">IFERROR(INDEX(Assessments!$H$2:$H$600,MATCH($H289&amp;"|"&amp;$I289&amp;"|"&amp;$J289&amp;"|"&amp;3,Assessments!$A$2:$A$600,0)),"")</f>
        <v>25</v>
      </c>
      <c r="BX289" s="28" t="n">
        <f aca="false">IFERROR(INDEX(Assessments!$H$2:$H$600,MATCH($H289&amp;"|"&amp;$I289&amp;"|"&amp;$J289&amp;"|"&amp;4,Assessments!$A$2:$A$600,0)),"")</f>
        <v>23</v>
      </c>
      <c r="BY289" s="28" t="n">
        <f aca="false">IFERROR(INDEX(Assessments!$H$2:$H$600,MATCH($H289&amp;"|"&amp;$I289&amp;"|"&amp;$J289&amp;"|"&amp;5,Assessments!$A$2:$A$600,0)),"")</f>
        <v>25</v>
      </c>
      <c r="BZ289" s="28" t="n">
        <f aca="false">IFERROR(INDEX(Assessments!$H$2:$H$600,MATCH($H289&amp;"|"&amp;$I289&amp;"|"&amp;$J289&amp;"|"&amp;6,Assessments!$A$2:$A$600,0)),"")</f>
        <v>23</v>
      </c>
      <c r="CA289" s="28" t="n">
        <f aca="false">IFERROR(INDEX(Assessments!$H$2:$H$600,MATCH($H289&amp;"|"&amp;$I289&amp;"|"&amp;$J289&amp;"|"&amp;7,Assessments!$A$2:$A$600,0)),"")</f>
        <v>52</v>
      </c>
      <c r="CB289" s="28" t="str">
        <f aca="false">IFERROR(INDEX(Assessments!$H$2:$H$600,MATCH($H289&amp;"|"&amp;$I289&amp;"|"&amp;$J289&amp;"|"&amp;8,Assessments!$A$2:$A$600,0)),"")</f>
        <v/>
      </c>
      <c r="CC289" s="28" t="str">
        <f aca="false">IFERROR(INDEX(Assessments!$H$2:$H$600,MATCH($H289&amp;"|"&amp;$I289&amp;"|"&amp;$J289&amp;"|"&amp;9,Assessments!$A$2:$A$600,0)),"")</f>
        <v/>
      </c>
      <c r="CD289" s="28" t="str">
        <f aca="false">IFERROR(INDEX(Assessments!$H$2:$H$600,MATCH($H289&amp;"|"&amp;$I289&amp;"|"&amp;$J289&amp;"|"&amp;10,Assessments!$A$2:$A$600,0)),"")</f>
        <v/>
      </c>
      <c r="CE289" s="28" t="str">
        <f aca="false">IFERROR(INDEX(Assessments!$H$2:$H$600,MATCH($H289&amp;"|"&amp;$I289&amp;"|"&amp;$J289&amp;"|"&amp;11,Assessments!$A$2:$A$600,0)),"")</f>
        <v/>
      </c>
      <c r="CF289" s="28" t="str">
        <f aca="false">IFERROR(INDEX(Assessments!$H$2:$H$600,MATCH($H289&amp;"|"&amp;$I289&amp;"|"&amp;$J289&amp;"|"&amp;12,Assessments!$A$2:$A$600,0)),"")</f>
        <v/>
      </c>
      <c r="CG289" s="28" t="str">
        <f aca="false">IFERROR(INDEX(Assessments!$H$2:$H$600,MATCH($H289&amp;"|"&amp;$I289&amp;"|"&amp;$J289&amp;"|"&amp;13,Assessments!$A$2:$A$600,0)),"")</f>
        <v/>
      </c>
      <c r="CH289" s="28" t="str">
        <f aca="false">IFERROR(INDEX(Assessments!$H$2:$H$600,MATCH($H289&amp;"|"&amp;$I289&amp;"|"&amp;$J289&amp;"|"&amp;14,Assessments!$A$2:$A$600,0)),"")</f>
        <v/>
      </c>
      <c r="CI289" s="28" t="str">
        <f aca="false">IFERROR(INDEX(Assessments!$I$2:$I$600,MATCH($H289&amp;"|"&amp;$I289&amp;"|"&amp;$J289&amp;"|"&amp;1,Assessments!$A$2:$A$600,0)),"")</f>
        <v>Econ Test</v>
      </c>
      <c r="CJ289" s="28" t="str">
        <f aca="false">IFERROR(INDEX(Assessments!$I$2:$I$600,MATCH($H289&amp;"|"&amp;$I289&amp;"|"&amp;$J289&amp;"|"&amp;2,Assessments!$A$2:$A$600,0)),"")</f>
        <v>Econ Test</v>
      </c>
      <c r="CK289" s="28" t="str">
        <f aca="false">IFERROR(INDEX(Assessments!$I$2:$I$600,MATCH($H289&amp;"|"&amp;$I289&amp;"|"&amp;$J289&amp;"|"&amp;3,Assessments!$A$2:$A$600,0)),"")</f>
        <v>Econ Test</v>
      </c>
      <c r="CL289" s="28" t="str">
        <f aca="false">IFERROR(INDEX(Assessments!$I$2:$I$600,MATCH($H289&amp;"|"&amp;$I289&amp;"|"&amp;$J289&amp;"|"&amp;4,Assessments!$A$2:$A$600,0)),"")</f>
        <v>Econ Test</v>
      </c>
      <c r="CM289" s="28" t="str">
        <f aca="false">IFERROR(INDEX(Assessments!$I$2:$I$600,MATCH($H289&amp;"|"&amp;$I289&amp;"|"&amp;$J289&amp;"|"&amp;5,Assessments!$A$2:$A$600,0)),"")</f>
        <v>Econ Exam</v>
      </c>
      <c r="CN289" s="28" t="str">
        <f aca="false">IFERROR(INDEX(Assessments!$I$2:$I$600,MATCH($H289&amp;"|"&amp;$I289&amp;"|"&amp;$J289&amp;"|"&amp;6,Assessments!$A$2:$A$600,0)),"")</f>
        <v>Econ Test</v>
      </c>
      <c r="CO289" s="28" t="str">
        <f aca="false">IFERROR(INDEX(Assessments!$I$2:$I$600,MATCH($H289&amp;"|"&amp;$I289&amp;"|"&amp;$J289&amp;"|"&amp;7,Assessments!$A$2:$A$600,0)),"")</f>
        <v>Econ Exam</v>
      </c>
      <c r="CP289" s="28" t="str">
        <f aca="false">IFERROR(INDEX(Assessments!$I$2:$I$600,MATCH($H289&amp;"|"&amp;$I289&amp;"|"&amp;$J289&amp;"|"&amp;8,Assessments!$A$2:$A$600,0)),"")</f>
        <v/>
      </c>
      <c r="CQ289" s="28" t="str">
        <f aca="false">IFERROR(INDEX(Assessments!$I$2:$I$600,MATCH($H289&amp;"|"&amp;$I289&amp;"|"&amp;$J289&amp;"|"&amp;9,Assessments!$A$2:$A$600,0)),"")</f>
        <v/>
      </c>
      <c r="CR289" s="28" t="str">
        <f aca="false">IFERROR(INDEX(Assessments!$I$2:$I$600,MATCH($H289&amp;"|"&amp;$I289&amp;"|"&amp;$J289&amp;"|"&amp;10,Assessments!$A$2:$A$600,0)),"")</f>
        <v/>
      </c>
      <c r="CS289" s="28" t="str">
        <f aca="false">IFERROR(INDEX(Assessments!$I$2:$I$600,MATCH($H289&amp;"|"&amp;$I289&amp;"|"&amp;$J289&amp;"|"&amp;11,Assessments!$A$2:$A$600,0)),"")</f>
        <v/>
      </c>
      <c r="CT289" s="28" t="str">
        <f aca="false">IFERROR(INDEX(Assessments!$I$2:$I$600,MATCH($H289&amp;"|"&amp;$I289&amp;"|"&amp;$J289&amp;"|"&amp;12,Assessments!$A$2:$A$600,0)),"")</f>
        <v/>
      </c>
      <c r="CU289" s="28" t="str">
        <f aca="false">IFERROR(INDEX(Assessments!$I$2:$I$600,MATCH($H289&amp;"|"&amp;$I289&amp;"|"&amp;$J289&amp;"|"&amp;13,Assessments!$A$2:$A$600,0)),"")</f>
        <v/>
      </c>
      <c r="CV289" s="28" t="str">
        <f aca="false">IFERROR(INDEX(Assessments!$I$2:$I$600,MATCH($H289&amp;"|"&amp;$I289&amp;"|"&amp;$J289&amp;"|"&amp;14,Assessments!$A$2:$A$600,0)),"")</f>
        <v/>
      </c>
      <c r="CW289" s="28" t="n">
        <f aca="false">IFERROR(INDEX(Assessments!$J$2:$J$600,MATCH($H289&amp;"|"&amp;$I289&amp;"|"&amp;$J289&amp;"|"&amp;1,Assessments!$A$2:$A$600,0)),0)</f>
        <v>1</v>
      </c>
      <c r="CX289" s="28" t="n">
        <f aca="false">IFERROR(INDEX(Assessments!$J$2:$J$600,MATCH($H289&amp;"|"&amp;$I289&amp;"|"&amp;$J289&amp;"|"&amp;2,Assessments!$A$2:$A$600,0)),0)</f>
        <v>1</v>
      </c>
      <c r="CY289" s="28" t="n">
        <f aca="false">IFERROR(INDEX(Assessments!$J$2:$J$600,MATCH($H289&amp;"|"&amp;$I289&amp;"|"&amp;$J289&amp;"|"&amp;3,Assessments!$A$2:$A$600,0)),0)</f>
        <v>1</v>
      </c>
      <c r="CZ289" s="28" t="n">
        <f aca="false">IFERROR(INDEX(Assessments!$J$2:$J$600,MATCH($H289&amp;"|"&amp;$I289&amp;"|"&amp;$J289&amp;"|"&amp;4,Assessments!$A$2:$A$600,0)),0)</f>
        <v>1</v>
      </c>
      <c r="DA289" s="28" t="n">
        <f aca="false">IFERROR(INDEX(Assessments!$J$2:$J$600,MATCH($H289&amp;"|"&amp;$I289&amp;"|"&amp;$J289&amp;"|"&amp;5,Assessments!$A$2:$A$600,0)),0)</f>
        <v>2</v>
      </c>
      <c r="DB289" s="28" t="n">
        <f aca="false">IFERROR(INDEX(Assessments!$J$2:$J$600,MATCH($H289&amp;"|"&amp;$I289&amp;"|"&amp;$J289&amp;"|"&amp;6,Assessments!$A$2:$A$600,0)),0)</f>
        <v>1</v>
      </c>
      <c r="DC289" s="28" t="n">
        <f aca="false">IFERROR(INDEX(Assessments!$J$2:$J$600,MATCH($H289&amp;"|"&amp;$I289&amp;"|"&amp;$J289&amp;"|"&amp;7,Assessments!$A$2:$A$600,0)),0)</f>
        <v>2</v>
      </c>
      <c r="DD289" s="28" t="n">
        <f aca="false">IFERROR(INDEX(Assessments!$J$2:$J$600,MATCH($H289&amp;"|"&amp;$I289&amp;"|"&amp;$J289&amp;"|"&amp;8,Assessments!$A$2:$A$600,0)),0)</f>
        <v>0</v>
      </c>
      <c r="DE289" s="28" t="n">
        <f aca="false">IFERROR(INDEX(Assessments!$J$2:$J$600,MATCH($H289&amp;"|"&amp;$I289&amp;"|"&amp;$J289&amp;"|"&amp;9,Assessments!$A$2:$A$600,0)),0)</f>
        <v>0</v>
      </c>
      <c r="DF289" s="28" t="n">
        <f aca="false">IFERROR(INDEX(Assessments!$J$2:$J$600,MATCH($H289&amp;"|"&amp;$I289&amp;"|"&amp;$J289&amp;"|"&amp;10,Assessments!$A$2:$A$600,0)),0)</f>
        <v>0</v>
      </c>
      <c r="DG289" s="28" t="n">
        <f aca="false">IFERROR(INDEX(Assessments!$J$2:$J$600,MATCH($H289&amp;"|"&amp;$I289&amp;"|"&amp;$J289&amp;"|"&amp;11,Assessments!$A$2:$A$600,0)),0)</f>
        <v>0</v>
      </c>
      <c r="DH289" s="28" t="n">
        <f aca="false">IFERROR(INDEX(Assessments!$J$2:$J$600,MATCH($H289&amp;"|"&amp;$I289&amp;"|"&amp;$J289&amp;"|"&amp;12,Assessments!$A$2:$A$600,0)),0)</f>
        <v>0</v>
      </c>
      <c r="DI289" s="28" t="n">
        <f aca="false">IFERROR(INDEX(Assessments!$J$2:$J$600,MATCH($H289&amp;"|"&amp;$I289&amp;"|"&amp;$J289&amp;"|"&amp;13,Assessments!$A$2:$A$600,0)),0)</f>
        <v>0</v>
      </c>
      <c r="DJ289" s="28" t="n">
        <f aca="false">IFERROR(INDEX(Assessments!$J$2:$J$600,MATCH($H289&amp;"|"&amp;$I289&amp;"|"&amp;$J289&amp;"|"&amp;14,Assessments!$A$2:$A$600,0)),0)</f>
        <v>0</v>
      </c>
      <c r="DK289" s="28" t="str">
        <f aca="false">S289</f>
        <v/>
      </c>
      <c r="DL289" s="28" t="str">
        <f aca="false">W289</f>
        <v/>
      </c>
      <c r="DM289" s="28" t="str">
        <f aca="false">AA289</f>
        <v/>
      </c>
      <c r="DN289" s="28" t="str">
        <f aca="false">AE289</f>
        <v/>
      </c>
      <c r="DO289" s="28" t="str">
        <f aca="false">AI289</f>
        <v/>
      </c>
      <c r="DP289" s="28" t="str">
        <f aca="false">AM289</f>
        <v/>
      </c>
      <c r="DQ289" s="28" t="str">
        <f aca="false">AQ289</f>
        <v/>
      </c>
      <c r="DR289" s="28" t="str">
        <f aca="false">AU289</f>
        <v/>
      </c>
      <c r="DS289" s="28" t="str">
        <f aca="false">AY289</f>
        <v/>
      </c>
      <c r="DT289" s="28" t="str">
        <f aca="false">BC289</f>
        <v/>
      </c>
      <c r="DU289" s="28" t="str">
        <f aca="false">BG289</f>
        <v/>
      </c>
      <c r="DV289" s="28" t="str">
        <f aca="false">BK289</f>
        <v/>
      </c>
      <c r="DW289" s="28" t="str">
        <f aca="false">BO289</f>
        <v/>
      </c>
      <c r="DX289" s="28" t="str">
        <f aca="false">BS289</f>
        <v/>
      </c>
      <c r="DY289" s="28" t="str">
        <f aca="false">IF(ISNUMBER(S289),1,"")</f>
        <v/>
      </c>
      <c r="DZ289" s="28" t="str">
        <f aca="false">IF(ISNUMBER(W289),2,"")</f>
        <v/>
      </c>
      <c r="EA289" s="28" t="str">
        <f aca="false">IF(ISNUMBER(AA289),3,"")</f>
        <v/>
      </c>
      <c r="EB289" s="28" t="str">
        <f aca="false">IF(ISNUMBER(AE289),4,"")</f>
        <v/>
      </c>
      <c r="EC289" s="28" t="str">
        <f aca="false">IF(ISNUMBER(AI289),5,"")</f>
        <v/>
      </c>
      <c r="ED289" s="28" t="str">
        <f aca="false">IF(ISNUMBER(AM289),6,"")</f>
        <v/>
      </c>
      <c r="EE289" s="28" t="str">
        <f aca="false">IF(ISNUMBER(AQ289),7,"")</f>
        <v/>
      </c>
      <c r="EF289" s="28" t="str">
        <f aca="false">IF(ISNUMBER(AU289),8,"")</f>
        <v/>
      </c>
      <c r="EG289" s="28" t="str">
        <f aca="false">IF(ISNUMBER(AY289),9,"")</f>
        <v/>
      </c>
      <c r="EH289" s="28" t="str">
        <f aca="false">IF(ISNUMBER(BC289),10,"")</f>
        <v/>
      </c>
      <c r="EI289" s="28" t="str">
        <f aca="false">IF(ISNUMBER(BG289),11,"")</f>
        <v/>
      </c>
      <c r="EJ289" s="28" t="str">
        <f aca="false">IF(ISNUMBER(BK289),12,"")</f>
        <v/>
      </c>
      <c r="EK289" s="28" t="str">
        <f aca="false">IF(ISNUMBER(BO289),13,"")</f>
        <v/>
      </c>
      <c r="EL289" s="28" t="str">
        <f aca="false">IF(ISNUMBER(BS289),14,"")</f>
        <v/>
      </c>
      <c r="EM289" s="28" t="n">
        <f aca="false">IF(ISNUMBER(R289),R289*CW289,0)</f>
        <v>0</v>
      </c>
      <c r="EN289" s="28" t="n">
        <f aca="false">IF(ISNUMBER(V289),V289*CX289,0)</f>
        <v>0</v>
      </c>
      <c r="EO289" s="28" t="n">
        <f aca="false">IF(ISNUMBER(Z289),Z289*CY289,0)</f>
        <v>0</v>
      </c>
      <c r="EP289" s="28" t="n">
        <f aca="false">IF(ISNUMBER(AD289),AD289*CZ289,0)</f>
        <v>0</v>
      </c>
      <c r="EQ289" s="28" t="n">
        <f aca="false">IF(ISNUMBER(AH289),AH289*DA289,0)</f>
        <v>0</v>
      </c>
      <c r="ER289" s="28" t="n">
        <f aca="false">IF(ISNUMBER(AL289),AL289*DB289,0)</f>
        <v>0</v>
      </c>
      <c r="ES289" s="28" t="n">
        <f aca="false">IF(ISNUMBER(AP289),AP289*DC289,0)</f>
        <v>0</v>
      </c>
      <c r="ET289" s="28" t="n">
        <f aca="false">IF(ISNUMBER(AT289),AT289*DD289,0)</f>
        <v>0</v>
      </c>
      <c r="EU289" s="28" t="n">
        <f aca="false">IF(ISNUMBER(AX289),AX289*DE289,0)</f>
        <v>0</v>
      </c>
      <c r="EV289" s="28" t="n">
        <f aca="false">IF(ISNUMBER(BB289),BB289*DF289,0)</f>
        <v>0</v>
      </c>
      <c r="EW289" s="28" t="n">
        <f aca="false">IF(ISNUMBER(BF289),BF289*DG289,0)</f>
        <v>0</v>
      </c>
      <c r="EX289" s="28" t="n">
        <f aca="false">IF(ISNUMBER(BJ289),BJ289*DH289,0)</f>
        <v>0</v>
      </c>
      <c r="EY289" s="28" t="n">
        <f aca="false">IF(ISNUMBER(BN289),BN289*DI289,0)</f>
        <v>0</v>
      </c>
      <c r="EZ289" s="28" t="n">
        <f aca="false">IF(ISNUMBER(BR289),BR289*DJ289,0)</f>
        <v>0</v>
      </c>
      <c r="FA289" s="28" t="n">
        <f aca="false">IF(ISNUMBER(R289),CW289,0)</f>
        <v>0</v>
      </c>
      <c r="FB289" s="28" t="n">
        <f aca="false">IF(ISNUMBER(V289),CX289,0)</f>
        <v>0</v>
      </c>
      <c r="FC289" s="28" t="n">
        <f aca="false">IF(ISNUMBER(Z289),CY289,0)</f>
        <v>0</v>
      </c>
      <c r="FD289" s="28" t="n">
        <f aca="false">IF(ISNUMBER(AD289),CZ289,0)</f>
        <v>0</v>
      </c>
      <c r="FE289" s="28" t="n">
        <f aca="false">IF(ISNUMBER(AH289),DA289,0)</f>
        <v>0</v>
      </c>
      <c r="FF289" s="28" t="n">
        <f aca="false">IF(ISNUMBER(AL289),DB289,0)</f>
        <v>0</v>
      </c>
      <c r="FG289" s="28" t="n">
        <f aca="false">IF(ISNUMBER(AP289),DC289,0)</f>
        <v>0</v>
      </c>
      <c r="FH289" s="28" t="n">
        <f aca="false">IF(ISNUMBER(AT289),DD289,0)</f>
        <v>0</v>
      </c>
      <c r="FI289" s="28" t="n">
        <f aca="false">IF(ISNUMBER(AX289),DE289,0)</f>
        <v>0</v>
      </c>
      <c r="FJ289" s="28" t="n">
        <f aca="false">IF(ISNUMBER(BB289),DF289,0)</f>
        <v>0</v>
      </c>
      <c r="FK289" s="28" t="n">
        <f aca="false">IF(ISNUMBER(BF289),DG289,0)</f>
        <v>0</v>
      </c>
      <c r="FL289" s="28" t="n">
        <f aca="false">IF(ISNUMBER(BJ289),DH289,0)</f>
        <v>0</v>
      </c>
      <c r="FM289" s="28" t="n">
        <f aca="false">IF(ISNUMBER(BN289),DI289,0)</f>
        <v>0</v>
      </c>
      <c r="FN289" s="28" t="n">
        <f aca="false">IF(ISNUMBER(BR289),DJ289,0)</f>
        <v>0</v>
      </c>
      <c r="FO289" s="28" t="str">
        <f aca="false">IFERROR(INDEX(Lists!$G$2:$G$20,MATCH($I289&amp;"|"&amp;$J289,Lists!$F$2:$F$20,0)),"")</f>
        <v>Econ Exam</v>
      </c>
    </row>
    <row r="290" customFormat="false" ht="19.5" hidden="false" customHeight="true" outlineLevel="0" collapsed="false">
      <c r="A290" s="29" t="s">
        <v>553</v>
      </c>
      <c r="B290" s="29" t="s">
        <v>579</v>
      </c>
      <c r="C290" s="30" t="s">
        <v>152</v>
      </c>
      <c r="D290" s="30" t="s">
        <v>246</v>
      </c>
      <c r="E290" s="31"/>
      <c r="F290" s="30"/>
      <c r="G290" s="30"/>
      <c r="H290" s="32" t="s">
        <v>428</v>
      </c>
      <c r="I290" s="33" t="s">
        <v>229</v>
      </c>
      <c r="J290" s="32" t="s">
        <v>223</v>
      </c>
      <c r="K290" s="34" t="str">
        <f aca="false">IF(OR(M290="",$E290=""),"",M290-$E290)</f>
        <v/>
      </c>
      <c r="L290" s="35" t="str">
        <f aca="false">IF(SUM(FA290:FN290)=0,"",SUM(EM290:EZ290)/SUM(FA290:FN290))</f>
        <v/>
      </c>
      <c r="M290" s="36" t="str">
        <f aca="false">IF(OR(L290="",FO290=""),"",IFERROR(MATCH(L290,INDEX(Boundaries!$B$2:$I$30,MATCH(FO290,Boundaries!$A$2:$A$30,0),0),1)-1,""))</f>
        <v/>
      </c>
      <c r="N290" s="37" t="str">
        <f aca="false">IF(COUNT($DY290:$EL290)&lt;2,"",INDEX($DK290:$DX290,MAX($DY290:$EL290))-INDEX($DK290:$DX290,MIN($DY290:$EL290)))</f>
        <v/>
      </c>
      <c r="O290" s="37" t="str">
        <f aca="false">IF(COUNT($DY290:$EL290)&lt;2,"",INDEX($DK290:$DX290,MAX($DY290:$EL290))-INDEX($DK290:$DX290,LARGE($DY290:$EL290,2)))</f>
        <v/>
      </c>
      <c r="P290" s="38" t="str">
        <f aca="false">IF(K290="","",IF(K290&gt;=0,"On/above target",IF(AND(N290&lt;&gt;"",N290&gt;=0.5),"Improving towards target",IF(AND(O290&lt;&gt;"",O290&lt;=-0.5),"Declining","Stable below target"))))</f>
        <v/>
      </c>
      <c r="Q290" s="39"/>
      <c r="R290" s="40" t="str">
        <f aca="false">IF(OR(Q290="",BU290=""),"",Q290/BU290*100)</f>
        <v/>
      </c>
      <c r="S290" s="41" t="str">
        <f aca="false">IF(R290="","",IFERROR(MATCH(R290,INDEX(Boundaries!$B$2:$I$30,MATCH(CI290,Boundaries!$A$2:$A$30,0),0),1)-1,""))</f>
        <v/>
      </c>
      <c r="T290" s="42" t="str">
        <f aca="false">IF(OR(S290="",$E290=""),"",S290-$E290)</f>
        <v/>
      </c>
      <c r="U290" s="39"/>
      <c r="V290" s="40" t="str">
        <f aca="false">IF(OR(U290="",BV290=""),"",U290/BV290*100)</f>
        <v/>
      </c>
      <c r="W290" s="41" t="str">
        <f aca="false">IF(V290="","",IFERROR(MATCH(V290,INDEX(Boundaries!$B$2:$I$30,MATCH(CJ290,Boundaries!$A$2:$A$30,0),0),1)-1,""))</f>
        <v/>
      </c>
      <c r="X290" s="42" t="str">
        <f aca="false">IF(OR(W290="",$E290=""),"",W290-$E290)</f>
        <v/>
      </c>
      <c r="Y290" s="39"/>
      <c r="Z290" s="40" t="str">
        <f aca="false">IF(OR(Y290="",BW290=""),"",Y290/BW290*100)</f>
        <v/>
      </c>
      <c r="AA290" s="41" t="str">
        <f aca="false">IF(Z290="","",IFERROR(MATCH(Z290,INDEX(Boundaries!$B$2:$I$30,MATCH(CK290,Boundaries!$A$2:$A$30,0),0),1)-1,""))</f>
        <v/>
      </c>
      <c r="AB290" s="42" t="str">
        <f aca="false">IF(OR(AA290="",$E290=""),"",AA290-$E290)</f>
        <v/>
      </c>
      <c r="AC290" s="39"/>
      <c r="AD290" s="40" t="str">
        <f aca="false">IF(OR(AC290="",BX290=""),"",AC290/BX290*100)</f>
        <v/>
      </c>
      <c r="AE290" s="41" t="str">
        <f aca="false">IF(AD290="","",IFERROR(MATCH(AD290,INDEX(Boundaries!$B$2:$I$30,MATCH(CL290,Boundaries!$A$2:$A$30,0),0),1)-1,""))</f>
        <v/>
      </c>
      <c r="AF290" s="42" t="str">
        <f aca="false">IF(OR(AE290="",$E290=""),"",AE290-$E290)</f>
        <v/>
      </c>
      <c r="AG290" s="39"/>
      <c r="AH290" s="40" t="str">
        <f aca="false">IF(OR(AG290="",BY290=""),"",AG290/BY290*100)</f>
        <v/>
      </c>
      <c r="AI290" s="41" t="str">
        <f aca="false">IF(AH290="","",IFERROR(MATCH(AH290,INDEX(Boundaries!$B$2:$I$30,MATCH(CM290,Boundaries!$A$2:$A$30,0),0),1)-1,""))</f>
        <v/>
      </c>
      <c r="AJ290" s="42" t="str">
        <f aca="false">IF(OR(AI290="",$E290=""),"",AI290-$E290)</f>
        <v/>
      </c>
      <c r="AK290" s="39"/>
      <c r="AL290" s="40" t="str">
        <f aca="false">IF(OR(AK290="",BZ290=""),"",AK290/BZ290*100)</f>
        <v/>
      </c>
      <c r="AM290" s="41" t="str">
        <f aca="false">IF(AL290="","",IFERROR(MATCH(AL290,INDEX(Boundaries!$B$2:$I$30,MATCH(CN290,Boundaries!$A$2:$A$30,0),0),1)-1,""))</f>
        <v/>
      </c>
      <c r="AN290" s="42" t="str">
        <f aca="false">IF(OR(AM290="",$E290=""),"",AM290-$E290)</f>
        <v/>
      </c>
      <c r="AO290" s="39"/>
      <c r="AP290" s="40" t="str">
        <f aca="false">IF(OR(AO290="",CA290=""),"",AO290/CA290*100)</f>
        <v/>
      </c>
      <c r="AQ290" s="41" t="str">
        <f aca="false">IF(AP290="","",IFERROR(MATCH(AP290,INDEX(Boundaries!$B$2:$I$30,MATCH(CO290,Boundaries!$A$2:$A$30,0),0),1)-1,""))</f>
        <v/>
      </c>
      <c r="AR290" s="42" t="str">
        <f aca="false">IF(OR(AQ290="",$E290=""),"",AQ290-$E290)</f>
        <v/>
      </c>
      <c r="AS290" s="39"/>
      <c r="AT290" s="40" t="str">
        <f aca="false">IF(OR(AS290="",CB290=""),"",AS290/CB290*100)</f>
        <v/>
      </c>
      <c r="AU290" s="41" t="str">
        <f aca="false">IF(AT290="","",IFERROR(MATCH(AT290,INDEX(Boundaries!$B$2:$I$30,MATCH(CP290,Boundaries!$A$2:$A$30,0),0),1)-1,""))</f>
        <v/>
      </c>
      <c r="AV290" s="42" t="str">
        <f aca="false">IF(OR(AU290="",$E290=""),"",AU290-$E290)</f>
        <v/>
      </c>
      <c r="AW290" s="39"/>
      <c r="AX290" s="40" t="str">
        <f aca="false">IF(OR(AW290="",CC290=""),"",AW290/CC290*100)</f>
        <v/>
      </c>
      <c r="AY290" s="41" t="str">
        <f aca="false">IF(AX290="","",IFERROR(MATCH(AX290,INDEX(Boundaries!$B$2:$I$30,MATCH(CQ290,Boundaries!$A$2:$A$30,0),0),1)-1,""))</f>
        <v/>
      </c>
      <c r="AZ290" s="42" t="str">
        <f aca="false">IF(OR(AY290="",$E290=""),"",AY290-$E290)</f>
        <v/>
      </c>
      <c r="BA290" s="39"/>
      <c r="BB290" s="40" t="str">
        <f aca="false">IF(OR(BA290="",CD290=""),"",BA290/CD290*100)</f>
        <v/>
      </c>
      <c r="BC290" s="41" t="str">
        <f aca="false">IF(BB290="","",IFERROR(MATCH(BB290,INDEX(Boundaries!$B$2:$I$30,MATCH(CR290,Boundaries!$A$2:$A$30,0),0),1)-1,""))</f>
        <v/>
      </c>
      <c r="BD290" s="42" t="str">
        <f aca="false">IF(OR(BC290="",$E290=""),"",BC290-$E290)</f>
        <v/>
      </c>
      <c r="BE290" s="39"/>
      <c r="BF290" s="40" t="str">
        <f aca="false">IF(OR(BE290="",CE290=""),"",BE290/CE290*100)</f>
        <v/>
      </c>
      <c r="BG290" s="41" t="str">
        <f aca="false">IF(BF290="","",IFERROR(MATCH(BF290,INDEX(Boundaries!$B$2:$I$30,MATCH(CS290,Boundaries!$A$2:$A$30,0),0),1)-1,""))</f>
        <v/>
      </c>
      <c r="BH290" s="42" t="str">
        <f aca="false">IF(OR(BG290="",$E290=""),"",BG290-$E290)</f>
        <v/>
      </c>
      <c r="BI290" s="39"/>
      <c r="BJ290" s="40" t="str">
        <f aca="false">IF(OR(BI290="",CF290=""),"",BI290/CF290*100)</f>
        <v/>
      </c>
      <c r="BK290" s="41" t="str">
        <f aca="false">IF(BJ290="","",IFERROR(MATCH(BJ290,INDEX(Boundaries!$B$2:$I$30,MATCH(CT290,Boundaries!$A$2:$A$30,0),0),1)-1,""))</f>
        <v/>
      </c>
      <c r="BL290" s="42" t="str">
        <f aca="false">IF(OR(BK290="",$E290=""),"",BK290-$E290)</f>
        <v/>
      </c>
      <c r="BM290" s="39"/>
      <c r="BN290" s="40" t="str">
        <f aca="false">IF(OR(BM290="",CG290=""),"",BM290/CG290*100)</f>
        <v/>
      </c>
      <c r="BO290" s="41" t="str">
        <f aca="false">IF(BN290="","",IFERROR(MATCH(BN290,INDEX(Boundaries!$B$2:$I$30,MATCH(CU290,Boundaries!$A$2:$A$30,0),0),1)-1,""))</f>
        <v/>
      </c>
      <c r="BP290" s="42" t="str">
        <f aca="false">IF(OR(BO290="",$E290=""),"",BO290-$E290)</f>
        <v/>
      </c>
      <c r="BQ290" s="39"/>
      <c r="BR290" s="40" t="str">
        <f aca="false">IF(OR(BQ290="",CH290=""),"",BQ290/CH290*100)</f>
        <v/>
      </c>
      <c r="BS290" s="41" t="str">
        <f aca="false">IF(BR290="","",IFERROR(MATCH(BR290,INDEX(Boundaries!$B$2:$I$30,MATCH(CV290,Boundaries!$A$2:$A$30,0),0),1)-1,""))</f>
        <v/>
      </c>
      <c r="BT290" s="42" t="str">
        <f aca="false">IF(OR(BS290="",$E290=""),"",BS290-$E290)</f>
        <v/>
      </c>
      <c r="BU290" s="28" t="n">
        <f aca="false">IFERROR(INDEX(Assessments!$H$2:$H$600,MATCH($H290&amp;"|"&amp;$I290&amp;"|"&amp;$J290&amp;"|"&amp;1,Assessments!$A$2:$A$600,0)),"")</f>
        <v>25</v>
      </c>
      <c r="BV290" s="28" t="n">
        <f aca="false">IFERROR(INDEX(Assessments!$H$2:$H$600,MATCH($H290&amp;"|"&amp;$I290&amp;"|"&amp;$J290&amp;"|"&amp;2,Assessments!$A$2:$A$600,0)),"")</f>
        <v>20</v>
      </c>
      <c r="BW290" s="28" t="n">
        <f aca="false">IFERROR(INDEX(Assessments!$H$2:$H$600,MATCH($H290&amp;"|"&amp;$I290&amp;"|"&amp;$J290&amp;"|"&amp;3,Assessments!$A$2:$A$600,0)),"")</f>
        <v>25</v>
      </c>
      <c r="BX290" s="28" t="n">
        <f aca="false">IFERROR(INDEX(Assessments!$H$2:$H$600,MATCH($H290&amp;"|"&amp;$I290&amp;"|"&amp;$J290&amp;"|"&amp;4,Assessments!$A$2:$A$600,0)),"")</f>
        <v>23</v>
      </c>
      <c r="BY290" s="28" t="n">
        <f aca="false">IFERROR(INDEX(Assessments!$H$2:$H$600,MATCH($H290&amp;"|"&amp;$I290&amp;"|"&amp;$J290&amp;"|"&amp;5,Assessments!$A$2:$A$600,0)),"")</f>
        <v>25</v>
      </c>
      <c r="BZ290" s="28" t="n">
        <f aca="false">IFERROR(INDEX(Assessments!$H$2:$H$600,MATCH($H290&amp;"|"&amp;$I290&amp;"|"&amp;$J290&amp;"|"&amp;6,Assessments!$A$2:$A$600,0)),"")</f>
        <v>23</v>
      </c>
      <c r="CA290" s="28" t="n">
        <f aca="false">IFERROR(INDEX(Assessments!$H$2:$H$600,MATCH($H290&amp;"|"&amp;$I290&amp;"|"&amp;$J290&amp;"|"&amp;7,Assessments!$A$2:$A$600,0)),"")</f>
        <v>52</v>
      </c>
      <c r="CB290" s="28" t="str">
        <f aca="false">IFERROR(INDEX(Assessments!$H$2:$H$600,MATCH($H290&amp;"|"&amp;$I290&amp;"|"&amp;$J290&amp;"|"&amp;8,Assessments!$A$2:$A$600,0)),"")</f>
        <v/>
      </c>
      <c r="CC290" s="28" t="str">
        <f aca="false">IFERROR(INDEX(Assessments!$H$2:$H$600,MATCH($H290&amp;"|"&amp;$I290&amp;"|"&amp;$J290&amp;"|"&amp;9,Assessments!$A$2:$A$600,0)),"")</f>
        <v/>
      </c>
      <c r="CD290" s="28" t="str">
        <f aca="false">IFERROR(INDEX(Assessments!$H$2:$H$600,MATCH($H290&amp;"|"&amp;$I290&amp;"|"&amp;$J290&amp;"|"&amp;10,Assessments!$A$2:$A$600,0)),"")</f>
        <v/>
      </c>
      <c r="CE290" s="28" t="str">
        <f aca="false">IFERROR(INDEX(Assessments!$H$2:$H$600,MATCH($H290&amp;"|"&amp;$I290&amp;"|"&amp;$J290&amp;"|"&amp;11,Assessments!$A$2:$A$600,0)),"")</f>
        <v/>
      </c>
      <c r="CF290" s="28" t="str">
        <f aca="false">IFERROR(INDEX(Assessments!$H$2:$H$600,MATCH($H290&amp;"|"&amp;$I290&amp;"|"&amp;$J290&amp;"|"&amp;12,Assessments!$A$2:$A$600,0)),"")</f>
        <v/>
      </c>
      <c r="CG290" s="28" t="str">
        <f aca="false">IFERROR(INDEX(Assessments!$H$2:$H$600,MATCH($H290&amp;"|"&amp;$I290&amp;"|"&amp;$J290&amp;"|"&amp;13,Assessments!$A$2:$A$600,0)),"")</f>
        <v/>
      </c>
      <c r="CH290" s="28" t="str">
        <f aca="false">IFERROR(INDEX(Assessments!$H$2:$H$600,MATCH($H290&amp;"|"&amp;$I290&amp;"|"&amp;$J290&amp;"|"&amp;14,Assessments!$A$2:$A$600,0)),"")</f>
        <v/>
      </c>
      <c r="CI290" s="28" t="str">
        <f aca="false">IFERROR(INDEX(Assessments!$I$2:$I$600,MATCH($H290&amp;"|"&amp;$I290&amp;"|"&amp;$J290&amp;"|"&amp;1,Assessments!$A$2:$A$600,0)),"")</f>
        <v>Econ Test</v>
      </c>
      <c r="CJ290" s="28" t="str">
        <f aca="false">IFERROR(INDEX(Assessments!$I$2:$I$600,MATCH($H290&amp;"|"&amp;$I290&amp;"|"&amp;$J290&amp;"|"&amp;2,Assessments!$A$2:$A$600,0)),"")</f>
        <v>Econ Test</v>
      </c>
      <c r="CK290" s="28" t="str">
        <f aca="false">IFERROR(INDEX(Assessments!$I$2:$I$600,MATCH($H290&amp;"|"&amp;$I290&amp;"|"&amp;$J290&amp;"|"&amp;3,Assessments!$A$2:$A$600,0)),"")</f>
        <v>Econ Test</v>
      </c>
      <c r="CL290" s="28" t="str">
        <f aca="false">IFERROR(INDEX(Assessments!$I$2:$I$600,MATCH($H290&amp;"|"&amp;$I290&amp;"|"&amp;$J290&amp;"|"&amp;4,Assessments!$A$2:$A$600,0)),"")</f>
        <v>Econ Test</v>
      </c>
      <c r="CM290" s="28" t="str">
        <f aca="false">IFERROR(INDEX(Assessments!$I$2:$I$600,MATCH($H290&amp;"|"&amp;$I290&amp;"|"&amp;$J290&amp;"|"&amp;5,Assessments!$A$2:$A$600,0)),"")</f>
        <v>Econ Exam</v>
      </c>
      <c r="CN290" s="28" t="str">
        <f aca="false">IFERROR(INDEX(Assessments!$I$2:$I$600,MATCH($H290&amp;"|"&amp;$I290&amp;"|"&amp;$J290&amp;"|"&amp;6,Assessments!$A$2:$A$600,0)),"")</f>
        <v>Econ Test</v>
      </c>
      <c r="CO290" s="28" t="str">
        <f aca="false">IFERROR(INDEX(Assessments!$I$2:$I$600,MATCH($H290&amp;"|"&amp;$I290&amp;"|"&amp;$J290&amp;"|"&amp;7,Assessments!$A$2:$A$600,0)),"")</f>
        <v>Econ Exam</v>
      </c>
      <c r="CP290" s="28" t="str">
        <f aca="false">IFERROR(INDEX(Assessments!$I$2:$I$600,MATCH($H290&amp;"|"&amp;$I290&amp;"|"&amp;$J290&amp;"|"&amp;8,Assessments!$A$2:$A$600,0)),"")</f>
        <v/>
      </c>
      <c r="CQ290" s="28" t="str">
        <f aca="false">IFERROR(INDEX(Assessments!$I$2:$I$600,MATCH($H290&amp;"|"&amp;$I290&amp;"|"&amp;$J290&amp;"|"&amp;9,Assessments!$A$2:$A$600,0)),"")</f>
        <v/>
      </c>
      <c r="CR290" s="28" t="str">
        <f aca="false">IFERROR(INDEX(Assessments!$I$2:$I$600,MATCH($H290&amp;"|"&amp;$I290&amp;"|"&amp;$J290&amp;"|"&amp;10,Assessments!$A$2:$A$600,0)),"")</f>
        <v/>
      </c>
      <c r="CS290" s="28" t="str">
        <f aca="false">IFERROR(INDEX(Assessments!$I$2:$I$600,MATCH($H290&amp;"|"&amp;$I290&amp;"|"&amp;$J290&amp;"|"&amp;11,Assessments!$A$2:$A$600,0)),"")</f>
        <v/>
      </c>
      <c r="CT290" s="28" t="str">
        <f aca="false">IFERROR(INDEX(Assessments!$I$2:$I$600,MATCH($H290&amp;"|"&amp;$I290&amp;"|"&amp;$J290&amp;"|"&amp;12,Assessments!$A$2:$A$600,0)),"")</f>
        <v/>
      </c>
      <c r="CU290" s="28" t="str">
        <f aca="false">IFERROR(INDEX(Assessments!$I$2:$I$600,MATCH($H290&amp;"|"&amp;$I290&amp;"|"&amp;$J290&amp;"|"&amp;13,Assessments!$A$2:$A$600,0)),"")</f>
        <v/>
      </c>
      <c r="CV290" s="28" t="str">
        <f aca="false">IFERROR(INDEX(Assessments!$I$2:$I$600,MATCH($H290&amp;"|"&amp;$I290&amp;"|"&amp;$J290&amp;"|"&amp;14,Assessments!$A$2:$A$600,0)),"")</f>
        <v/>
      </c>
      <c r="CW290" s="28" t="n">
        <f aca="false">IFERROR(INDEX(Assessments!$J$2:$J$600,MATCH($H290&amp;"|"&amp;$I290&amp;"|"&amp;$J290&amp;"|"&amp;1,Assessments!$A$2:$A$600,0)),0)</f>
        <v>1</v>
      </c>
      <c r="CX290" s="28" t="n">
        <f aca="false">IFERROR(INDEX(Assessments!$J$2:$J$600,MATCH($H290&amp;"|"&amp;$I290&amp;"|"&amp;$J290&amp;"|"&amp;2,Assessments!$A$2:$A$600,0)),0)</f>
        <v>1</v>
      </c>
      <c r="CY290" s="28" t="n">
        <f aca="false">IFERROR(INDEX(Assessments!$J$2:$J$600,MATCH($H290&amp;"|"&amp;$I290&amp;"|"&amp;$J290&amp;"|"&amp;3,Assessments!$A$2:$A$600,0)),0)</f>
        <v>1</v>
      </c>
      <c r="CZ290" s="28" t="n">
        <f aca="false">IFERROR(INDEX(Assessments!$J$2:$J$600,MATCH($H290&amp;"|"&amp;$I290&amp;"|"&amp;$J290&amp;"|"&amp;4,Assessments!$A$2:$A$600,0)),0)</f>
        <v>1</v>
      </c>
      <c r="DA290" s="28" t="n">
        <f aca="false">IFERROR(INDEX(Assessments!$J$2:$J$600,MATCH($H290&amp;"|"&amp;$I290&amp;"|"&amp;$J290&amp;"|"&amp;5,Assessments!$A$2:$A$600,0)),0)</f>
        <v>2</v>
      </c>
      <c r="DB290" s="28" t="n">
        <f aca="false">IFERROR(INDEX(Assessments!$J$2:$J$600,MATCH($H290&amp;"|"&amp;$I290&amp;"|"&amp;$J290&amp;"|"&amp;6,Assessments!$A$2:$A$600,0)),0)</f>
        <v>1</v>
      </c>
      <c r="DC290" s="28" t="n">
        <f aca="false">IFERROR(INDEX(Assessments!$J$2:$J$600,MATCH($H290&amp;"|"&amp;$I290&amp;"|"&amp;$J290&amp;"|"&amp;7,Assessments!$A$2:$A$600,0)),0)</f>
        <v>2</v>
      </c>
      <c r="DD290" s="28" t="n">
        <f aca="false">IFERROR(INDEX(Assessments!$J$2:$J$600,MATCH($H290&amp;"|"&amp;$I290&amp;"|"&amp;$J290&amp;"|"&amp;8,Assessments!$A$2:$A$600,0)),0)</f>
        <v>0</v>
      </c>
      <c r="DE290" s="28" t="n">
        <f aca="false">IFERROR(INDEX(Assessments!$J$2:$J$600,MATCH($H290&amp;"|"&amp;$I290&amp;"|"&amp;$J290&amp;"|"&amp;9,Assessments!$A$2:$A$600,0)),0)</f>
        <v>0</v>
      </c>
      <c r="DF290" s="28" t="n">
        <f aca="false">IFERROR(INDEX(Assessments!$J$2:$J$600,MATCH($H290&amp;"|"&amp;$I290&amp;"|"&amp;$J290&amp;"|"&amp;10,Assessments!$A$2:$A$600,0)),0)</f>
        <v>0</v>
      </c>
      <c r="DG290" s="28" t="n">
        <f aca="false">IFERROR(INDEX(Assessments!$J$2:$J$600,MATCH($H290&amp;"|"&amp;$I290&amp;"|"&amp;$J290&amp;"|"&amp;11,Assessments!$A$2:$A$600,0)),0)</f>
        <v>0</v>
      </c>
      <c r="DH290" s="28" t="n">
        <f aca="false">IFERROR(INDEX(Assessments!$J$2:$J$600,MATCH($H290&amp;"|"&amp;$I290&amp;"|"&amp;$J290&amp;"|"&amp;12,Assessments!$A$2:$A$600,0)),0)</f>
        <v>0</v>
      </c>
      <c r="DI290" s="28" t="n">
        <f aca="false">IFERROR(INDEX(Assessments!$J$2:$J$600,MATCH($H290&amp;"|"&amp;$I290&amp;"|"&amp;$J290&amp;"|"&amp;13,Assessments!$A$2:$A$600,0)),0)</f>
        <v>0</v>
      </c>
      <c r="DJ290" s="28" t="n">
        <f aca="false">IFERROR(INDEX(Assessments!$J$2:$J$600,MATCH($H290&amp;"|"&amp;$I290&amp;"|"&amp;$J290&amp;"|"&amp;14,Assessments!$A$2:$A$600,0)),0)</f>
        <v>0</v>
      </c>
      <c r="DK290" s="28" t="str">
        <f aca="false">S290</f>
        <v/>
      </c>
      <c r="DL290" s="28" t="str">
        <f aca="false">W290</f>
        <v/>
      </c>
      <c r="DM290" s="28" t="str">
        <f aca="false">AA290</f>
        <v/>
      </c>
      <c r="DN290" s="28" t="str">
        <f aca="false">AE290</f>
        <v/>
      </c>
      <c r="DO290" s="28" t="str">
        <f aca="false">AI290</f>
        <v/>
      </c>
      <c r="DP290" s="28" t="str">
        <f aca="false">AM290</f>
        <v/>
      </c>
      <c r="DQ290" s="28" t="str">
        <f aca="false">AQ290</f>
        <v/>
      </c>
      <c r="DR290" s="28" t="str">
        <f aca="false">AU290</f>
        <v/>
      </c>
      <c r="DS290" s="28" t="str">
        <f aca="false">AY290</f>
        <v/>
      </c>
      <c r="DT290" s="28" t="str">
        <f aca="false">BC290</f>
        <v/>
      </c>
      <c r="DU290" s="28" t="str">
        <f aca="false">BG290</f>
        <v/>
      </c>
      <c r="DV290" s="28" t="str">
        <f aca="false">BK290</f>
        <v/>
      </c>
      <c r="DW290" s="28" t="str">
        <f aca="false">BO290</f>
        <v/>
      </c>
      <c r="DX290" s="28" t="str">
        <f aca="false">BS290</f>
        <v/>
      </c>
      <c r="DY290" s="28" t="str">
        <f aca="false">IF(ISNUMBER(S290),1,"")</f>
        <v/>
      </c>
      <c r="DZ290" s="28" t="str">
        <f aca="false">IF(ISNUMBER(W290),2,"")</f>
        <v/>
      </c>
      <c r="EA290" s="28" t="str">
        <f aca="false">IF(ISNUMBER(AA290),3,"")</f>
        <v/>
      </c>
      <c r="EB290" s="28" t="str">
        <f aca="false">IF(ISNUMBER(AE290),4,"")</f>
        <v/>
      </c>
      <c r="EC290" s="28" t="str">
        <f aca="false">IF(ISNUMBER(AI290),5,"")</f>
        <v/>
      </c>
      <c r="ED290" s="28" t="str">
        <f aca="false">IF(ISNUMBER(AM290),6,"")</f>
        <v/>
      </c>
      <c r="EE290" s="28" t="str">
        <f aca="false">IF(ISNUMBER(AQ290),7,"")</f>
        <v/>
      </c>
      <c r="EF290" s="28" t="str">
        <f aca="false">IF(ISNUMBER(AU290),8,"")</f>
        <v/>
      </c>
      <c r="EG290" s="28" t="str">
        <f aca="false">IF(ISNUMBER(AY290),9,"")</f>
        <v/>
      </c>
      <c r="EH290" s="28" t="str">
        <f aca="false">IF(ISNUMBER(BC290),10,"")</f>
        <v/>
      </c>
      <c r="EI290" s="28" t="str">
        <f aca="false">IF(ISNUMBER(BG290),11,"")</f>
        <v/>
      </c>
      <c r="EJ290" s="28" t="str">
        <f aca="false">IF(ISNUMBER(BK290),12,"")</f>
        <v/>
      </c>
      <c r="EK290" s="28" t="str">
        <f aca="false">IF(ISNUMBER(BO290),13,"")</f>
        <v/>
      </c>
      <c r="EL290" s="28" t="str">
        <f aca="false">IF(ISNUMBER(BS290),14,"")</f>
        <v/>
      </c>
      <c r="EM290" s="28" t="n">
        <f aca="false">IF(ISNUMBER(R290),R290*CW290,0)</f>
        <v>0</v>
      </c>
      <c r="EN290" s="28" t="n">
        <f aca="false">IF(ISNUMBER(V290),V290*CX290,0)</f>
        <v>0</v>
      </c>
      <c r="EO290" s="28" t="n">
        <f aca="false">IF(ISNUMBER(Z290),Z290*CY290,0)</f>
        <v>0</v>
      </c>
      <c r="EP290" s="28" t="n">
        <f aca="false">IF(ISNUMBER(AD290),AD290*CZ290,0)</f>
        <v>0</v>
      </c>
      <c r="EQ290" s="28" t="n">
        <f aca="false">IF(ISNUMBER(AH290),AH290*DA290,0)</f>
        <v>0</v>
      </c>
      <c r="ER290" s="28" t="n">
        <f aca="false">IF(ISNUMBER(AL290),AL290*DB290,0)</f>
        <v>0</v>
      </c>
      <c r="ES290" s="28" t="n">
        <f aca="false">IF(ISNUMBER(AP290),AP290*DC290,0)</f>
        <v>0</v>
      </c>
      <c r="ET290" s="28" t="n">
        <f aca="false">IF(ISNUMBER(AT290),AT290*DD290,0)</f>
        <v>0</v>
      </c>
      <c r="EU290" s="28" t="n">
        <f aca="false">IF(ISNUMBER(AX290),AX290*DE290,0)</f>
        <v>0</v>
      </c>
      <c r="EV290" s="28" t="n">
        <f aca="false">IF(ISNUMBER(BB290),BB290*DF290,0)</f>
        <v>0</v>
      </c>
      <c r="EW290" s="28" t="n">
        <f aca="false">IF(ISNUMBER(BF290),BF290*DG290,0)</f>
        <v>0</v>
      </c>
      <c r="EX290" s="28" t="n">
        <f aca="false">IF(ISNUMBER(BJ290),BJ290*DH290,0)</f>
        <v>0</v>
      </c>
      <c r="EY290" s="28" t="n">
        <f aca="false">IF(ISNUMBER(BN290),BN290*DI290,0)</f>
        <v>0</v>
      </c>
      <c r="EZ290" s="28" t="n">
        <f aca="false">IF(ISNUMBER(BR290),BR290*DJ290,0)</f>
        <v>0</v>
      </c>
      <c r="FA290" s="28" t="n">
        <f aca="false">IF(ISNUMBER(R290),CW290,0)</f>
        <v>0</v>
      </c>
      <c r="FB290" s="28" t="n">
        <f aca="false">IF(ISNUMBER(V290),CX290,0)</f>
        <v>0</v>
      </c>
      <c r="FC290" s="28" t="n">
        <f aca="false">IF(ISNUMBER(Z290),CY290,0)</f>
        <v>0</v>
      </c>
      <c r="FD290" s="28" t="n">
        <f aca="false">IF(ISNUMBER(AD290),CZ290,0)</f>
        <v>0</v>
      </c>
      <c r="FE290" s="28" t="n">
        <f aca="false">IF(ISNUMBER(AH290),DA290,0)</f>
        <v>0</v>
      </c>
      <c r="FF290" s="28" t="n">
        <f aca="false">IF(ISNUMBER(AL290),DB290,0)</f>
        <v>0</v>
      </c>
      <c r="FG290" s="28" t="n">
        <f aca="false">IF(ISNUMBER(AP290),DC290,0)</f>
        <v>0</v>
      </c>
      <c r="FH290" s="28" t="n">
        <f aca="false">IF(ISNUMBER(AT290),DD290,0)</f>
        <v>0</v>
      </c>
      <c r="FI290" s="28" t="n">
        <f aca="false">IF(ISNUMBER(AX290),DE290,0)</f>
        <v>0</v>
      </c>
      <c r="FJ290" s="28" t="n">
        <f aca="false">IF(ISNUMBER(BB290),DF290,0)</f>
        <v>0</v>
      </c>
      <c r="FK290" s="28" t="n">
        <f aca="false">IF(ISNUMBER(BF290),DG290,0)</f>
        <v>0</v>
      </c>
      <c r="FL290" s="28" t="n">
        <f aca="false">IF(ISNUMBER(BJ290),DH290,0)</f>
        <v>0</v>
      </c>
      <c r="FM290" s="28" t="n">
        <f aca="false">IF(ISNUMBER(BN290),DI290,0)</f>
        <v>0</v>
      </c>
      <c r="FN290" s="28" t="n">
        <f aca="false">IF(ISNUMBER(BR290),DJ290,0)</f>
        <v>0</v>
      </c>
      <c r="FO290" s="28" t="str">
        <f aca="false">IFERROR(INDEX(Lists!$G$2:$G$20,MATCH($I290&amp;"|"&amp;$J290,Lists!$F$2:$F$20,0)),"")</f>
        <v>Econ Exam</v>
      </c>
    </row>
    <row r="291" customFormat="false" ht="19.5" hidden="false" customHeight="true" outlineLevel="0" collapsed="false">
      <c r="A291" s="29" t="s">
        <v>580</v>
      </c>
      <c r="B291" s="29" t="s">
        <v>581</v>
      </c>
      <c r="C291" s="30" t="s">
        <v>152</v>
      </c>
      <c r="D291" s="30" t="s">
        <v>246</v>
      </c>
      <c r="E291" s="31"/>
      <c r="F291" s="30"/>
      <c r="G291" s="30"/>
      <c r="H291" s="32" t="s">
        <v>428</v>
      </c>
      <c r="I291" s="33" t="s">
        <v>229</v>
      </c>
      <c r="J291" s="32" t="s">
        <v>223</v>
      </c>
      <c r="K291" s="34" t="str">
        <f aca="false">IF(OR(M291="",$E291=""),"",M291-$E291)</f>
        <v/>
      </c>
      <c r="L291" s="35" t="str">
        <f aca="false">IF(SUM(FA291:FN291)=0,"",SUM(EM291:EZ291)/SUM(FA291:FN291))</f>
        <v/>
      </c>
      <c r="M291" s="36" t="str">
        <f aca="false">IF(OR(L291="",FO291=""),"",IFERROR(MATCH(L291,INDEX(Boundaries!$B$2:$I$30,MATCH(FO291,Boundaries!$A$2:$A$30,0),0),1)-1,""))</f>
        <v/>
      </c>
      <c r="N291" s="37" t="str">
        <f aca="false">IF(COUNT($DY291:$EL291)&lt;2,"",INDEX($DK291:$DX291,MAX($DY291:$EL291))-INDEX($DK291:$DX291,MIN($DY291:$EL291)))</f>
        <v/>
      </c>
      <c r="O291" s="37" t="str">
        <f aca="false">IF(COUNT($DY291:$EL291)&lt;2,"",INDEX($DK291:$DX291,MAX($DY291:$EL291))-INDEX($DK291:$DX291,LARGE($DY291:$EL291,2)))</f>
        <v/>
      </c>
      <c r="P291" s="38" t="str">
        <f aca="false">IF(K291="","",IF(K291&gt;=0,"On/above target",IF(AND(N291&lt;&gt;"",N291&gt;=0.5),"Improving towards target",IF(AND(O291&lt;&gt;"",O291&lt;=-0.5),"Declining","Stable below target"))))</f>
        <v/>
      </c>
      <c r="Q291" s="39"/>
      <c r="R291" s="40" t="str">
        <f aca="false">IF(OR(Q291="",BU291=""),"",Q291/BU291*100)</f>
        <v/>
      </c>
      <c r="S291" s="41" t="str">
        <f aca="false">IF(R291="","",IFERROR(MATCH(R291,INDEX(Boundaries!$B$2:$I$30,MATCH(CI291,Boundaries!$A$2:$A$30,0),0),1)-1,""))</f>
        <v/>
      </c>
      <c r="T291" s="42" t="str">
        <f aca="false">IF(OR(S291="",$E291=""),"",S291-$E291)</f>
        <v/>
      </c>
      <c r="U291" s="39"/>
      <c r="V291" s="40" t="str">
        <f aca="false">IF(OR(U291="",BV291=""),"",U291/BV291*100)</f>
        <v/>
      </c>
      <c r="W291" s="41" t="str">
        <f aca="false">IF(V291="","",IFERROR(MATCH(V291,INDEX(Boundaries!$B$2:$I$30,MATCH(CJ291,Boundaries!$A$2:$A$30,0),0),1)-1,""))</f>
        <v/>
      </c>
      <c r="X291" s="42" t="str">
        <f aca="false">IF(OR(W291="",$E291=""),"",W291-$E291)</f>
        <v/>
      </c>
      <c r="Y291" s="39"/>
      <c r="Z291" s="40" t="str">
        <f aca="false">IF(OR(Y291="",BW291=""),"",Y291/BW291*100)</f>
        <v/>
      </c>
      <c r="AA291" s="41" t="str">
        <f aca="false">IF(Z291="","",IFERROR(MATCH(Z291,INDEX(Boundaries!$B$2:$I$30,MATCH(CK291,Boundaries!$A$2:$A$30,0),0),1)-1,""))</f>
        <v/>
      </c>
      <c r="AB291" s="42" t="str">
        <f aca="false">IF(OR(AA291="",$E291=""),"",AA291-$E291)</f>
        <v/>
      </c>
      <c r="AC291" s="39"/>
      <c r="AD291" s="40" t="str">
        <f aca="false">IF(OR(AC291="",BX291=""),"",AC291/BX291*100)</f>
        <v/>
      </c>
      <c r="AE291" s="41" t="str">
        <f aca="false">IF(AD291="","",IFERROR(MATCH(AD291,INDEX(Boundaries!$B$2:$I$30,MATCH(CL291,Boundaries!$A$2:$A$30,0),0),1)-1,""))</f>
        <v/>
      </c>
      <c r="AF291" s="42" t="str">
        <f aca="false">IF(OR(AE291="",$E291=""),"",AE291-$E291)</f>
        <v/>
      </c>
      <c r="AG291" s="39"/>
      <c r="AH291" s="40" t="str">
        <f aca="false">IF(OR(AG291="",BY291=""),"",AG291/BY291*100)</f>
        <v/>
      </c>
      <c r="AI291" s="41" t="str">
        <f aca="false">IF(AH291="","",IFERROR(MATCH(AH291,INDEX(Boundaries!$B$2:$I$30,MATCH(CM291,Boundaries!$A$2:$A$30,0),0),1)-1,""))</f>
        <v/>
      </c>
      <c r="AJ291" s="42" t="str">
        <f aca="false">IF(OR(AI291="",$E291=""),"",AI291-$E291)</f>
        <v/>
      </c>
      <c r="AK291" s="39"/>
      <c r="AL291" s="40" t="str">
        <f aca="false">IF(OR(AK291="",BZ291=""),"",AK291/BZ291*100)</f>
        <v/>
      </c>
      <c r="AM291" s="41" t="str">
        <f aca="false">IF(AL291="","",IFERROR(MATCH(AL291,INDEX(Boundaries!$B$2:$I$30,MATCH(CN291,Boundaries!$A$2:$A$30,0),0),1)-1,""))</f>
        <v/>
      </c>
      <c r="AN291" s="42" t="str">
        <f aca="false">IF(OR(AM291="",$E291=""),"",AM291-$E291)</f>
        <v/>
      </c>
      <c r="AO291" s="39"/>
      <c r="AP291" s="40" t="str">
        <f aca="false">IF(OR(AO291="",CA291=""),"",AO291/CA291*100)</f>
        <v/>
      </c>
      <c r="AQ291" s="41" t="str">
        <f aca="false">IF(AP291="","",IFERROR(MATCH(AP291,INDEX(Boundaries!$B$2:$I$30,MATCH(CO291,Boundaries!$A$2:$A$30,0),0),1)-1,""))</f>
        <v/>
      </c>
      <c r="AR291" s="42" t="str">
        <f aca="false">IF(OR(AQ291="",$E291=""),"",AQ291-$E291)</f>
        <v/>
      </c>
      <c r="AS291" s="39"/>
      <c r="AT291" s="40" t="str">
        <f aca="false">IF(OR(AS291="",CB291=""),"",AS291/CB291*100)</f>
        <v/>
      </c>
      <c r="AU291" s="41" t="str">
        <f aca="false">IF(AT291="","",IFERROR(MATCH(AT291,INDEX(Boundaries!$B$2:$I$30,MATCH(CP291,Boundaries!$A$2:$A$30,0),0),1)-1,""))</f>
        <v/>
      </c>
      <c r="AV291" s="42" t="str">
        <f aca="false">IF(OR(AU291="",$E291=""),"",AU291-$E291)</f>
        <v/>
      </c>
      <c r="AW291" s="39"/>
      <c r="AX291" s="40" t="str">
        <f aca="false">IF(OR(AW291="",CC291=""),"",AW291/CC291*100)</f>
        <v/>
      </c>
      <c r="AY291" s="41" t="str">
        <f aca="false">IF(AX291="","",IFERROR(MATCH(AX291,INDEX(Boundaries!$B$2:$I$30,MATCH(CQ291,Boundaries!$A$2:$A$30,0),0),1)-1,""))</f>
        <v/>
      </c>
      <c r="AZ291" s="42" t="str">
        <f aca="false">IF(OR(AY291="",$E291=""),"",AY291-$E291)</f>
        <v/>
      </c>
      <c r="BA291" s="39"/>
      <c r="BB291" s="40" t="str">
        <f aca="false">IF(OR(BA291="",CD291=""),"",BA291/CD291*100)</f>
        <v/>
      </c>
      <c r="BC291" s="41" t="str">
        <f aca="false">IF(BB291="","",IFERROR(MATCH(BB291,INDEX(Boundaries!$B$2:$I$30,MATCH(CR291,Boundaries!$A$2:$A$30,0),0),1)-1,""))</f>
        <v/>
      </c>
      <c r="BD291" s="42" t="str">
        <f aca="false">IF(OR(BC291="",$E291=""),"",BC291-$E291)</f>
        <v/>
      </c>
      <c r="BE291" s="39"/>
      <c r="BF291" s="40" t="str">
        <f aca="false">IF(OR(BE291="",CE291=""),"",BE291/CE291*100)</f>
        <v/>
      </c>
      <c r="BG291" s="41" t="str">
        <f aca="false">IF(BF291="","",IFERROR(MATCH(BF291,INDEX(Boundaries!$B$2:$I$30,MATCH(CS291,Boundaries!$A$2:$A$30,0),0),1)-1,""))</f>
        <v/>
      </c>
      <c r="BH291" s="42" t="str">
        <f aca="false">IF(OR(BG291="",$E291=""),"",BG291-$E291)</f>
        <v/>
      </c>
      <c r="BI291" s="39"/>
      <c r="BJ291" s="40" t="str">
        <f aca="false">IF(OR(BI291="",CF291=""),"",BI291/CF291*100)</f>
        <v/>
      </c>
      <c r="BK291" s="41" t="str">
        <f aca="false">IF(BJ291="","",IFERROR(MATCH(BJ291,INDEX(Boundaries!$B$2:$I$30,MATCH(CT291,Boundaries!$A$2:$A$30,0),0),1)-1,""))</f>
        <v/>
      </c>
      <c r="BL291" s="42" t="str">
        <f aca="false">IF(OR(BK291="",$E291=""),"",BK291-$E291)</f>
        <v/>
      </c>
      <c r="BM291" s="39"/>
      <c r="BN291" s="40" t="str">
        <f aca="false">IF(OR(BM291="",CG291=""),"",BM291/CG291*100)</f>
        <v/>
      </c>
      <c r="BO291" s="41" t="str">
        <f aca="false">IF(BN291="","",IFERROR(MATCH(BN291,INDEX(Boundaries!$B$2:$I$30,MATCH(CU291,Boundaries!$A$2:$A$30,0),0),1)-1,""))</f>
        <v/>
      </c>
      <c r="BP291" s="42" t="str">
        <f aca="false">IF(OR(BO291="",$E291=""),"",BO291-$E291)</f>
        <v/>
      </c>
      <c r="BQ291" s="39"/>
      <c r="BR291" s="40" t="str">
        <f aca="false">IF(OR(BQ291="",CH291=""),"",BQ291/CH291*100)</f>
        <v/>
      </c>
      <c r="BS291" s="41" t="str">
        <f aca="false">IF(BR291="","",IFERROR(MATCH(BR291,INDEX(Boundaries!$B$2:$I$30,MATCH(CV291,Boundaries!$A$2:$A$30,0),0),1)-1,""))</f>
        <v/>
      </c>
      <c r="BT291" s="42" t="str">
        <f aca="false">IF(OR(BS291="",$E291=""),"",BS291-$E291)</f>
        <v/>
      </c>
      <c r="BU291" s="28" t="n">
        <f aca="false">IFERROR(INDEX(Assessments!$H$2:$H$600,MATCH($H291&amp;"|"&amp;$I291&amp;"|"&amp;$J291&amp;"|"&amp;1,Assessments!$A$2:$A$600,0)),"")</f>
        <v>25</v>
      </c>
      <c r="BV291" s="28" t="n">
        <f aca="false">IFERROR(INDEX(Assessments!$H$2:$H$600,MATCH($H291&amp;"|"&amp;$I291&amp;"|"&amp;$J291&amp;"|"&amp;2,Assessments!$A$2:$A$600,0)),"")</f>
        <v>20</v>
      </c>
      <c r="BW291" s="28" t="n">
        <f aca="false">IFERROR(INDEX(Assessments!$H$2:$H$600,MATCH($H291&amp;"|"&amp;$I291&amp;"|"&amp;$J291&amp;"|"&amp;3,Assessments!$A$2:$A$600,0)),"")</f>
        <v>25</v>
      </c>
      <c r="BX291" s="28" t="n">
        <f aca="false">IFERROR(INDEX(Assessments!$H$2:$H$600,MATCH($H291&amp;"|"&amp;$I291&amp;"|"&amp;$J291&amp;"|"&amp;4,Assessments!$A$2:$A$600,0)),"")</f>
        <v>23</v>
      </c>
      <c r="BY291" s="28" t="n">
        <f aca="false">IFERROR(INDEX(Assessments!$H$2:$H$600,MATCH($H291&amp;"|"&amp;$I291&amp;"|"&amp;$J291&amp;"|"&amp;5,Assessments!$A$2:$A$600,0)),"")</f>
        <v>25</v>
      </c>
      <c r="BZ291" s="28" t="n">
        <f aca="false">IFERROR(INDEX(Assessments!$H$2:$H$600,MATCH($H291&amp;"|"&amp;$I291&amp;"|"&amp;$J291&amp;"|"&amp;6,Assessments!$A$2:$A$600,0)),"")</f>
        <v>23</v>
      </c>
      <c r="CA291" s="28" t="n">
        <f aca="false">IFERROR(INDEX(Assessments!$H$2:$H$600,MATCH($H291&amp;"|"&amp;$I291&amp;"|"&amp;$J291&amp;"|"&amp;7,Assessments!$A$2:$A$600,0)),"")</f>
        <v>52</v>
      </c>
      <c r="CB291" s="28" t="str">
        <f aca="false">IFERROR(INDEX(Assessments!$H$2:$H$600,MATCH($H291&amp;"|"&amp;$I291&amp;"|"&amp;$J291&amp;"|"&amp;8,Assessments!$A$2:$A$600,0)),"")</f>
        <v/>
      </c>
      <c r="CC291" s="28" t="str">
        <f aca="false">IFERROR(INDEX(Assessments!$H$2:$H$600,MATCH($H291&amp;"|"&amp;$I291&amp;"|"&amp;$J291&amp;"|"&amp;9,Assessments!$A$2:$A$600,0)),"")</f>
        <v/>
      </c>
      <c r="CD291" s="28" t="str">
        <f aca="false">IFERROR(INDEX(Assessments!$H$2:$H$600,MATCH($H291&amp;"|"&amp;$I291&amp;"|"&amp;$J291&amp;"|"&amp;10,Assessments!$A$2:$A$600,0)),"")</f>
        <v/>
      </c>
      <c r="CE291" s="28" t="str">
        <f aca="false">IFERROR(INDEX(Assessments!$H$2:$H$600,MATCH($H291&amp;"|"&amp;$I291&amp;"|"&amp;$J291&amp;"|"&amp;11,Assessments!$A$2:$A$600,0)),"")</f>
        <v/>
      </c>
      <c r="CF291" s="28" t="str">
        <f aca="false">IFERROR(INDEX(Assessments!$H$2:$H$600,MATCH($H291&amp;"|"&amp;$I291&amp;"|"&amp;$J291&amp;"|"&amp;12,Assessments!$A$2:$A$600,0)),"")</f>
        <v/>
      </c>
      <c r="CG291" s="28" t="str">
        <f aca="false">IFERROR(INDEX(Assessments!$H$2:$H$600,MATCH($H291&amp;"|"&amp;$I291&amp;"|"&amp;$J291&amp;"|"&amp;13,Assessments!$A$2:$A$600,0)),"")</f>
        <v/>
      </c>
      <c r="CH291" s="28" t="str">
        <f aca="false">IFERROR(INDEX(Assessments!$H$2:$H$600,MATCH($H291&amp;"|"&amp;$I291&amp;"|"&amp;$J291&amp;"|"&amp;14,Assessments!$A$2:$A$600,0)),"")</f>
        <v/>
      </c>
      <c r="CI291" s="28" t="str">
        <f aca="false">IFERROR(INDEX(Assessments!$I$2:$I$600,MATCH($H291&amp;"|"&amp;$I291&amp;"|"&amp;$J291&amp;"|"&amp;1,Assessments!$A$2:$A$600,0)),"")</f>
        <v>Econ Test</v>
      </c>
      <c r="CJ291" s="28" t="str">
        <f aca="false">IFERROR(INDEX(Assessments!$I$2:$I$600,MATCH($H291&amp;"|"&amp;$I291&amp;"|"&amp;$J291&amp;"|"&amp;2,Assessments!$A$2:$A$600,0)),"")</f>
        <v>Econ Test</v>
      </c>
      <c r="CK291" s="28" t="str">
        <f aca="false">IFERROR(INDEX(Assessments!$I$2:$I$600,MATCH($H291&amp;"|"&amp;$I291&amp;"|"&amp;$J291&amp;"|"&amp;3,Assessments!$A$2:$A$600,0)),"")</f>
        <v>Econ Test</v>
      </c>
      <c r="CL291" s="28" t="str">
        <f aca="false">IFERROR(INDEX(Assessments!$I$2:$I$600,MATCH($H291&amp;"|"&amp;$I291&amp;"|"&amp;$J291&amp;"|"&amp;4,Assessments!$A$2:$A$600,0)),"")</f>
        <v>Econ Test</v>
      </c>
      <c r="CM291" s="28" t="str">
        <f aca="false">IFERROR(INDEX(Assessments!$I$2:$I$600,MATCH($H291&amp;"|"&amp;$I291&amp;"|"&amp;$J291&amp;"|"&amp;5,Assessments!$A$2:$A$600,0)),"")</f>
        <v>Econ Exam</v>
      </c>
      <c r="CN291" s="28" t="str">
        <f aca="false">IFERROR(INDEX(Assessments!$I$2:$I$600,MATCH($H291&amp;"|"&amp;$I291&amp;"|"&amp;$J291&amp;"|"&amp;6,Assessments!$A$2:$A$600,0)),"")</f>
        <v>Econ Test</v>
      </c>
      <c r="CO291" s="28" t="str">
        <f aca="false">IFERROR(INDEX(Assessments!$I$2:$I$600,MATCH($H291&amp;"|"&amp;$I291&amp;"|"&amp;$J291&amp;"|"&amp;7,Assessments!$A$2:$A$600,0)),"")</f>
        <v>Econ Exam</v>
      </c>
      <c r="CP291" s="28" t="str">
        <f aca="false">IFERROR(INDEX(Assessments!$I$2:$I$600,MATCH($H291&amp;"|"&amp;$I291&amp;"|"&amp;$J291&amp;"|"&amp;8,Assessments!$A$2:$A$600,0)),"")</f>
        <v/>
      </c>
      <c r="CQ291" s="28" t="str">
        <f aca="false">IFERROR(INDEX(Assessments!$I$2:$I$600,MATCH($H291&amp;"|"&amp;$I291&amp;"|"&amp;$J291&amp;"|"&amp;9,Assessments!$A$2:$A$600,0)),"")</f>
        <v/>
      </c>
      <c r="CR291" s="28" t="str">
        <f aca="false">IFERROR(INDEX(Assessments!$I$2:$I$600,MATCH($H291&amp;"|"&amp;$I291&amp;"|"&amp;$J291&amp;"|"&amp;10,Assessments!$A$2:$A$600,0)),"")</f>
        <v/>
      </c>
      <c r="CS291" s="28" t="str">
        <f aca="false">IFERROR(INDEX(Assessments!$I$2:$I$600,MATCH($H291&amp;"|"&amp;$I291&amp;"|"&amp;$J291&amp;"|"&amp;11,Assessments!$A$2:$A$600,0)),"")</f>
        <v/>
      </c>
      <c r="CT291" s="28" t="str">
        <f aca="false">IFERROR(INDEX(Assessments!$I$2:$I$600,MATCH($H291&amp;"|"&amp;$I291&amp;"|"&amp;$J291&amp;"|"&amp;12,Assessments!$A$2:$A$600,0)),"")</f>
        <v/>
      </c>
      <c r="CU291" s="28" t="str">
        <f aca="false">IFERROR(INDEX(Assessments!$I$2:$I$600,MATCH($H291&amp;"|"&amp;$I291&amp;"|"&amp;$J291&amp;"|"&amp;13,Assessments!$A$2:$A$600,0)),"")</f>
        <v/>
      </c>
      <c r="CV291" s="28" t="str">
        <f aca="false">IFERROR(INDEX(Assessments!$I$2:$I$600,MATCH($H291&amp;"|"&amp;$I291&amp;"|"&amp;$J291&amp;"|"&amp;14,Assessments!$A$2:$A$600,0)),"")</f>
        <v/>
      </c>
      <c r="CW291" s="28" t="n">
        <f aca="false">IFERROR(INDEX(Assessments!$J$2:$J$600,MATCH($H291&amp;"|"&amp;$I291&amp;"|"&amp;$J291&amp;"|"&amp;1,Assessments!$A$2:$A$600,0)),0)</f>
        <v>1</v>
      </c>
      <c r="CX291" s="28" t="n">
        <f aca="false">IFERROR(INDEX(Assessments!$J$2:$J$600,MATCH($H291&amp;"|"&amp;$I291&amp;"|"&amp;$J291&amp;"|"&amp;2,Assessments!$A$2:$A$600,0)),0)</f>
        <v>1</v>
      </c>
      <c r="CY291" s="28" t="n">
        <f aca="false">IFERROR(INDEX(Assessments!$J$2:$J$600,MATCH($H291&amp;"|"&amp;$I291&amp;"|"&amp;$J291&amp;"|"&amp;3,Assessments!$A$2:$A$600,0)),0)</f>
        <v>1</v>
      </c>
      <c r="CZ291" s="28" t="n">
        <f aca="false">IFERROR(INDEX(Assessments!$J$2:$J$600,MATCH($H291&amp;"|"&amp;$I291&amp;"|"&amp;$J291&amp;"|"&amp;4,Assessments!$A$2:$A$600,0)),0)</f>
        <v>1</v>
      </c>
      <c r="DA291" s="28" t="n">
        <f aca="false">IFERROR(INDEX(Assessments!$J$2:$J$600,MATCH($H291&amp;"|"&amp;$I291&amp;"|"&amp;$J291&amp;"|"&amp;5,Assessments!$A$2:$A$600,0)),0)</f>
        <v>2</v>
      </c>
      <c r="DB291" s="28" t="n">
        <f aca="false">IFERROR(INDEX(Assessments!$J$2:$J$600,MATCH($H291&amp;"|"&amp;$I291&amp;"|"&amp;$J291&amp;"|"&amp;6,Assessments!$A$2:$A$600,0)),0)</f>
        <v>1</v>
      </c>
      <c r="DC291" s="28" t="n">
        <f aca="false">IFERROR(INDEX(Assessments!$J$2:$J$600,MATCH($H291&amp;"|"&amp;$I291&amp;"|"&amp;$J291&amp;"|"&amp;7,Assessments!$A$2:$A$600,0)),0)</f>
        <v>2</v>
      </c>
      <c r="DD291" s="28" t="n">
        <f aca="false">IFERROR(INDEX(Assessments!$J$2:$J$600,MATCH($H291&amp;"|"&amp;$I291&amp;"|"&amp;$J291&amp;"|"&amp;8,Assessments!$A$2:$A$600,0)),0)</f>
        <v>0</v>
      </c>
      <c r="DE291" s="28" t="n">
        <f aca="false">IFERROR(INDEX(Assessments!$J$2:$J$600,MATCH($H291&amp;"|"&amp;$I291&amp;"|"&amp;$J291&amp;"|"&amp;9,Assessments!$A$2:$A$600,0)),0)</f>
        <v>0</v>
      </c>
      <c r="DF291" s="28" t="n">
        <f aca="false">IFERROR(INDEX(Assessments!$J$2:$J$600,MATCH($H291&amp;"|"&amp;$I291&amp;"|"&amp;$J291&amp;"|"&amp;10,Assessments!$A$2:$A$600,0)),0)</f>
        <v>0</v>
      </c>
      <c r="DG291" s="28" t="n">
        <f aca="false">IFERROR(INDEX(Assessments!$J$2:$J$600,MATCH($H291&amp;"|"&amp;$I291&amp;"|"&amp;$J291&amp;"|"&amp;11,Assessments!$A$2:$A$600,0)),0)</f>
        <v>0</v>
      </c>
      <c r="DH291" s="28" t="n">
        <f aca="false">IFERROR(INDEX(Assessments!$J$2:$J$600,MATCH($H291&amp;"|"&amp;$I291&amp;"|"&amp;$J291&amp;"|"&amp;12,Assessments!$A$2:$A$600,0)),0)</f>
        <v>0</v>
      </c>
      <c r="DI291" s="28" t="n">
        <f aca="false">IFERROR(INDEX(Assessments!$J$2:$J$600,MATCH($H291&amp;"|"&amp;$I291&amp;"|"&amp;$J291&amp;"|"&amp;13,Assessments!$A$2:$A$600,0)),0)</f>
        <v>0</v>
      </c>
      <c r="DJ291" s="28" t="n">
        <f aca="false">IFERROR(INDEX(Assessments!$J$2:$J$600,MATCH($H291&amp;"|"&amp;$I291&amp;"|"&amp;$J291&amp;"|"&amp;14,Assessments!$A$2:$A$600,0)),0)</f>
        <v>0</v>
      </c>
      <c r="DK291" s="28" t="str">
        <f aca="false">S291</f>
        <v/>
      </c>
      <c r="DL291" s="28" t="str">
        <f aca="false">W291</f>
        <v/>
      </c>
      <c r="DM291" s="28" t="str">
        <f aca="false">AA291</f>
        <v/>
      </c>
      <c r="DN291" s="28" t="str">
        <f aca="false">AE291</f>
        <v/>
      </c>
      <c r="DO291" s="28" t="str">
        <f aca="false">AI291</f>
        <v/>
      </c>
      <c r="DP291" s="28" t="str">
        <f aca="false">AM291</f>
        <v/>
      </c>
      <c r="DQ291" s="28" t="str">
        <f aca="false">AQ291</f>
        <v/>
      </c>
      <c r="DR291" s="28" t="str">
        <f aca="false">AU291</f>
        <v/>
      </c>
      <c r="DS291" s="28" t="str">
        <f aca="false">AY291</f>
        <v/>
      </c>
      <c r="DT291" s="28" t="str">
        <f aca="false">BC291</f>
        <v/>
      </c>
      <c r="DU291" s="28" t="str">
        <f aca="false">BG291</f>
        <v/>
      </c>
      <c r="DV291" s="28" t="str">
        <f aca="false">BK291</f>
        <v/>
      </c>
      <c r="DW291" s="28" t="str">
        <f aca="false">BO291</f>
        <v/>
      </c>
      <c r="DX291" s="28" t="str">
        <f aca="false">BS291</f>
        <v/>
      </c>
      <c r="DY291" s="28" t="str">
        <f aca="false">IF(ISNUMBER(S291),1,"")</f>
        <v/>
      </c>
      <c r="DZ291" s="28" t="str">
        <f aca="false">IF(ISNUMBER(W291),2,"")</f>
        <v/>
      </c>
      <c r="EA291" s="28" t="str">
        <f aca="false">IF(ISNUMBER(AA291),3,"")</f>
        <v/>
      </c>
      <c r="EB291" s="28" t="str">
        <f aca="false">IF(ISNUMBER(AE291),4,"")</f>
        <v/>
      </c>
      <c r="EC291" s="28" t="str">
        <f aca="false">IF(ISNUMBER(AI291),5,"")</f>
        <v/>
      </c>
      <c r="ED291" s="28" t="str">
        <f aca="false">IF(ISNUMBER(AM291),6,"")</f>
        <v/>
      </c>
      <c r="EE291" s="28" t="str">
        <f aca="false">IF(ISNUMBER(AQ291),7,"")</f>
        <v/>
      </c>
      <c r="EF291" s="28" t="str">
        <f aca="false">IF(ISNUMBER(AU291),8,"")</f>
        <v/>
      </c>
      <c r="EG291" s="28" t="str">
        <f aca="false">IF(ISNUMBER(AY291),9,"")</f>
        <v/>
      </c>
      <c r="EH291" s="28" t="str">
        <f aca="false">IF(ISNUMBER(BC291),10,"")</f>
        <v/>
      </c>
      <c r="EI291" s="28" t="str">
        <f aca="false">IF(ISNUMBER(BG291),11,"")</f>
        <v/>
      </c>
      <c r="EJ291" s="28" t="str">
        <f aca="false">IF(ISNUMBER(BK291),12,"")</f>
        <v/>
      </c>
      <c r="EK291" s="28" t="str">
        <f aca="false">IF(ISNUMBER(BO291),13,"")</f>
        <v/>
      </c>
      <c r="EL291" s="28" t="str">
        <f aca="false">IF(ISNUMBER(BS291),14,"")</f>
        <v/>
      </c>
      <c r="EM291" s="28" t="n">
        <f aca="false">IF(ISNUMBER(R291),R291*CW291,0)</f>
        <v>0</v>
      </c>
      <c r="EN291" s="28" t="n">
        <f aca="false">IF(ISNUMBER(V291),V291*CX291,0)</f>
        <v>0</v>
      </c>
      <c r="EO291" s="28" t="n">
        <f aca="false">IF(ISNUMBER(Z291),Z291*CY291,0)</f>
        <v>0</v>
      </c>
      <c r="EP291" s="28" t="n">
        <f aca="false">IF(ISNUMBER(AD291),AD291*CZ291,0)</f>
        <v>0</v>
      </c>
      <c r="EQ291" s="28" t="n">
        <f aca="false">IF(ISNUMBER(AH291),AH291*DA291,0)</f>
        <v>0</v>
      </c>
      <c r="ER291" s="28" t="n">
        <f aca="false">IF(ISNUMBER(AL291),AL291*DB291,0)</f>
        <v>0</v>
      </c>
      <c r="ES291" s="28" t="n">
        <f aca="false">IF(ISNUMBER(AP291),AP291*DC291,0)</f>
        <v>0</v>
      </c>
      <c r="ET291" s="28" t="n">
        <f aca="false">IF(ISNUMBER(AT291),AT291*DD291,0)</f>
        <v>0</v>
      </c>
      <c r="EU291" s="28" t="n">
        <f aca="false">IF(ISNUMBER(AX291),AX291*DE291,0)</f>
        <v>0</v>
      </c>
      <c r="EV291" s="28" t="n">
        <f aca="false">IF(ISNUMBER(BB291),BB291*DF291,0)</f>
        <v>0</v>
      </c>
      <c r="EW291" s="28" t="n">
        <f aca="false">IF(ISNUMBER(BF291),BF291*DG291,0)</f>
        <v>0</v>
      </c>
      <c r="EX291" s="28" t="n">
        <f aca="false">IF(ISNUMBER(BJ291),BJ291*DH291,0)</f>
        <v>0</v>
      </c>
      <c r="EY291" s="28" t="n">
        <f aca="false">IF(ISNUMBER(BN291),BN291*DI291,0)</f>
        <v>0</v>
      </c>
      <c r="EZ291" s="28" t="n">
        <f aca="false">IF(ISNUMBER(BR291),BR291*DJ291,0)</f>
        <v>0</v>
      </c>
      <c r="FA291" s="28" t="n">
        <f aca="false">IF(ISNUMBER(R291),CW291,0)</f>
        <v>0</v>
      </c>
      <c r="FB291" s="28" t="n">
        <f aca="false">IF(ISNUMBER(V291),CX291,0)</f>
        <v>0</v>
      </c>
      <c r="FC291" s="28" t="n">
        <f aca="false">IF(ISNUMBER(Z291),CY291,0)</f>
        <v>0</v>
      </c>
      <c r="FD291" s="28" t="n">
        <f aca="false">IF(ISNUMBER(AD291),CZ291,0)</f>
        <v>0</v>
      </c>
      <c r="FE291" s="28" t="n">
        <f aca="false">IF(ISNUMBER(AH291),DA291,0)</f>
        <v>0</v>
      </c>
      <c r="FF291" s="28" t="n">
        <f aca="false">IF(ISNUMBER(AL291),DB291,0)</f>
        <v>0</v>
      </c>
      <c r="FG291" s="28" t="n">
        <f aca="false">IF(ISNUMBER(AP291),DC291,0)</f>
        <v>0</v>
      </c>
      <c r="FH291" s="28" t="n">
        <f aca="false">IF(ISNUMBER(AT291),DD291,0)</f>
        <v>0</v>
      </c>
      <c r="FI291" s="28" t="n">
        <f aca="false">IF(ISNUMBER(AX291),DE291,0)</f>
        <v>0</v>
      </c>
      <c r="FJ291" s="28" t="n">
        <f aca="false">IF(ISNUMBER(BB291),DF291,0)</f>
        <v>0</v>
      </c>
      <c r="FK291" s="28" t="n">
        <f aca="false">IF(ISNUMBER(BF291),DG291,0)</f>
        <v>0</v>
      </c>
      <c r="FL291" s="28" t="n">
        <f aca="false">IF(ISNUMBER(BJ291),DH291,0)</f>
        <v>0</v>
      </c>
      <c r="FM291" s="28" t="n">
        <f aca="false">IF(ISNUMBER(BN291),DI291,0)</f>
        <v>0</v>
      </c>
      <c r="FN291" s="28" t="n">
        <f aca="false">IF(ISNUMBER(BR291),DJ291,0)</f>
        <v>0</v>
      </c>
      <c r="FO291" s="28" t="str">
        <f aca="false">IFERROR(INDEX(Lists!$G$2:$G$20,MATCH($I291&amp;"|"&amp;$J291,Lists!$F$2:$F$20,0)),"")</f>
        <v>Econ Exam</v>
      </c>
    </row>
    <row r="292" customFormat="false" ht="19.5" hidden="false" customHeight="true" outlineLevel="0" collapsed="false">
      <c r="A292" s="29" t="s">
        <v>582</v>
      </c>
      <c r="B292" s="29" t="s">
        <v>583</v>
      </c>
      <c r="C292" s="30" t="s">
        <v>192</v>
      </c>
      <c r="D292" s="30" t="s">
        <v>246</v>
      </c>
      <c r="E292" s="31"/>
      <c r="F292" s="30"/>
      <c r="G292" s="30"/>
      <c r="H292" s="32" t="s">
        <v>428</v>
      </c>
      <c r="I292" s="33" t="s">
        <v>229</v>
      </c>
      <c r="J292" s="32" t="s">
        <v>223</v>
      </c>
      <c r="K292" s="34" t="str">
        <f aca="false">IF(OR(M292="",$E292=""),"",M292-$E292)</f>
        <v/>
      </c>
      <c r="L292" s="35" t="n">
        <f aca="false">IF(SUM(FA292:FN292)=0,"",SUM(EM292:EZ292)/SUM(FA292:FN292))</f>
        <v>72</v>
      </c>
      <c r="M292" s="36" t="n">
        <f aca="false">IF(OR(L292="",FO292=""),"",IFERROR(MATCH(L292,INDEX(Boundaries!$B$2:$I$30,MATCH(FO292,Boundaries!$A$2:$A$30,0),0),1)-1,""))</f>
        <v>6</v>
      </c>
      <c r="N292" s="37" t="str">
        <f aca="false">IF(COUNT($DY292:$EL292)&lt;2,"",INDEX($DK292:$DX292,MAX($DY292:$EL292))-INDEX($DK292:$DX292,MIN($DY292:$EL292)))</f>
        <v/>
      </c>
      <c r="O292" s="37" t="str">
        <f aca="false">IF(COUNT($DY292:$EL292)&lt;2,"",INDEX($DK292:$DX292,MAX($DY292:$EL292))-INDEX($DK292:$DX292,LARGE($DY292:$EL292,2)))</f>
        <v/>
      </c>
      <c r="P292" s="38" t="str">
        <f aca="false">IF(K292="","",IF(K292&gt;=0,"On/above target",IF(AND(N292&lt;&gt;"",N292&gt;=0.5),"Improving towards target",IF(AND(O292&lt;&gt;"",O292&lt;=-0.5),"Declining","Stable below target"))))</f>
        <v/>
      </c>
      <c r="Q292" s="39" t="n">
        <v>18</v>
      </c>
      <c r="R292" s="40" t="n">
        <f aca="false">IF(OR(Q292="",BU292=""),"",Q292/BU292*100)</f>
        <v>72</v>
      </c>
      <c r="S292" s="41" t="n">
        <f aca="false">IF(R292="","",IFERROR(MATCH(R292,INDEX(Boundaries!$B$2:$I$30,MATCH(CI292,Boundaries!$A$2:$A$30,0),0),1)-1,""))</f>
        <v>5</v>
      </c>
      <c r="T292" s="42" t="str">
        <f aca="false">IF(OR(S292="",$E292=""),"",S292-$E292)</f>
        <v/>
      </c>
      <c r="U292" s="39"/>
      <c r="V292" s="40" t="str">
        <f aca="false">IF(OR(U292="",BV292=""),"",U292/BV292*100)</f>
        <v/>
      </c>
      <c r="W292" s="41" t="str">
        <f aca="false">IF(V292="","",IFERROR(MATCH(V292,INDEX(Boundaries!$B$2:$I$30,MATCH(CJ292,Boundaries!$A$2:$A$30,0),0),1)-1,""))</f>
        <v/>
      </c>
      <c r="X292" s="42" t="str">
        <f aca="false">IF(OR(W292="",$E292=""),"",W292-$E292)</f>
        <v/>
      </c>
      <c r="Y292" s="39"/>
      <c r="Z292" s="40" t="str">
        <f aca="false">IF(OR(Y292="",BW292=""),"",Y292/BW292*100)</f>
        <v/>
      </c>
      <c r="AA292" s="41" t="str">
        <f aca="false">IF(Z292="","",IFERROR(MATCH(Z292,INDEX(Boundaries!$B$2:$I$30,MATCH(CK292,Boundaries!$A$2:$A$30,0),0),1)-1,""))</f>
        <v/>
      </c>
      <c r="AB292" s="42" t="str">
        <f aca="false">IF(OR(AA292="",$E292=""),"",AA292-$E292)</f>
        <v/>
      </c>
      <c r="AC292" s="39"/>
      <c r="AD292" s="40" t="str">
        <f aca="false">IF(OR(AC292="",BX292=""),"",AC292/BX292*100)</f>
        <v/>
      </c>
      <c r="AE292" s="41" t="str">
        <f aca="false">IF(AD292="","",IFERROR(MATCH(AD292,INDEX(Boundaries!$B$2:$I$30,MATCH(CL292,Boundaries!$A$2:$A$30,0),0),1)-1,""))</f>
        <v/>
      </c>
      <c r="AF292" s="42" t="str">
        <f aca="false">IF(OR(AE292="",$E292=""),"",AE292-$E292)</f>
        <v/>
      </c>
      <c r="AG292" s="39"/>
      <c r="AH292" s="40" t="str">
        <f aca="false">IF(OR(AG292="",BY292=""),"",AG292/BY292*100)</f>
        <v/>
      </c>
      <c r="AI292" s="41" t="str">
        <f aca="false">IF(AH292="","",IFERROR(MATCH(AH292,INDEX(Boundaries!$B$2:$I$30,MATCH(CM292,Boundaries!$A$2:$A$30,0),0),1)-1,""))</f>
        <v/>
      </c>
      <c r="AJ292" s="42" t="str">
        <f aca="false">IF(OR(AI292="",$E292=""),"",AI292-$E292)</f>
        <v/>
      </c>
      <c r="AK292" s="39"/>
      <c r="AL292" s="40" t="str">
        <f aca="false">IF(OR(AK292="",BZ292=""),"",AK292/BZ292*100)</f>
        <v/>
      </c>
      <c r="AM292" s="41" t="str">
        <f aca="false">IF(AL292="","",IFERROR(MATCH(AL292,INDEX(Boundaries!$B$2:$I$30,MATCH(CN292,Boundaries!$A$2:$A$30,0),0),1)-1,""))</f>
        <v/>
      </c>
      <c r="AN292" s="42" t="str">
        <f aca="false">IF(OR(AM292="",$E292=""),"",AM292-$E292)</f>
        <v/>
      </c>
      <c r="AO292" s="39"/>
      <c r="AP292" s="40" t="str">
        <f aca="false">IF(OR(AO292="",CA292=""),"",AO292/CA292*100)</f>
        <v/>
      </c>
      <c r="AQ292" s="41" t="str">
        <f aca="false">IF(AP292="","",IFERROR(MATCH(AP292,INDEX(Boundaries!$B$2:$I$30,MATCH(CO292,Boundaries!$A$2:$A$30,0),0),1)-1,""))</f>
        <v/>
      </c>
      <c r="AR292" s="42" t="str">
        <f aca="false">IF(OR(AQ292="",$E292=""),"",AQ292-$E292)</f>
        <v/>
      </c>
      <c r="AS292" s="39"/>
      <c r="AT292" s="40" t="str">
        <f aca="false">IF(OR(AS292="",CB292=""),"",AS292/CB292*100)</f>
        <v/>
      </c>
      <c r="AU292" s="41" t="str">
        <f aca="false">IF(AT292="","",IFERROR(MATCH(AT292,INDEX(Boundaries!$B$2:$I$30,MATCH(CP292,Boundaries!$A$2:$A$30,0),0),1)-1,""))</f>
        <v/>
      </c>
      <c r="AV292" s="42" t="str">
        <f aca="false">IF(OR(AU292="",$E292=""),"",AU292-$E292)</f>
        <v/>
      </c>
      <c r="AW292" s="39"/>
      <c r="AX292" s="40" t="str">
        <f aca="false">IF(OR(AW292="",CC292=""),"",AW292/CC292*100)</f>
        <v/>
      </c>
      <c r="AY292" s="41" t="str">
        <f aca="false">IF(AX292="","",IFERROR(MATCH(AX292,INDEX(Boundaries!$B$2:$I$30,MATCH(CQ292,Boundaries!$A$2:$A$30,0),0),1)-1,""))</f>
        <v/>
      </c>
      <c r="AZ292" s="42" t="str">
        <f aca="false">IF(OR(AY292="",$E292=""),"",AY292-$E292)</f>
        <v/>
      </c>
      <c r="BA292" s="39"/>
      <c r="BB292" s="40" t="str">
        <f aca="false">IF(OR(BA292="",CD292=""),"",BA292/CD292*100)</f>
        <v/>
      </c>
      <c r="BC292" s="41" t="str">
        <f aca="false">IF(BB292="","",IFERROR(MATCH(BB292,INDEX(Boundaries!$B$2:$I$30,MATCH(CR292,Boundaries!$A$2:$A$30,0),0),1)-1,""))</f>
        <v/>
      </c>
      <c r="BD292" s="42" t="str">
        <f aca="false">IF(OR(BC292="",$E292=""),"",BC292-$E292)</f>
        <v/>
      </c>
      <c r="BE292" s="39"/>
      <c r="BF292" s="40" t="str">
        <f aca="false">IF(OR(BE292="",CE292=""),"",BE292/CE292*100)</f>
        <v/>
      </c>
      <c r="BG292" s="41" t="str">
        <f aca="false">IF(BF292="","",IFERROR(MATCH(BF292,INDEX(Boundaries!$B$2:$I$30,MATCH(CS292,Boundaries!$A$2:$A$30,0),0),1)-1,""))</f>
        <v/>
      </c>
      <c r="BH292" s="42" t="str">
        <f aca="false">IF(OR(BG292="",$E292=""),"",BG292-$E292)</f>
        <v/>
      </c>
      <c r="BI292" s="39"/>
      <c r="BJ292" s="40" t="str">
        <f aca="false">IF(OR(BI292="",CF292=""),"",BI292/CF292*100)</f>
        <v/>
      </c>
      <c r="BK292" s="41" t="str">
        <f aca="false">IF(BJ292="","",IFERROR(MATCH(BJ292,INDEX(Boundaries!$B$2:$I$30,MATCH(CT292,Boundaries!$A$2:$A$30,0),0),1)-1,""))</f>
        <v/>
      </c>
      <c r="BL292" s="42" t="str">
        <f aca="false">IF(OR(BK292="",$E292=""),"",BK292-$E292)</f>
        <v/>
      </c>
      <c r="BM292" s="39"/>
      <c r="BN292" s="40" t="str">
        <f aca="false">IF(OR(BM292="",CG292=""),"",BM292/CG292*100)</f>
        <v/>
      </c>
      <c r="BO292" s="41" t="str">
        <f aca="false">IF(BN292="","",IFERROR(MATCH(BN292,INDEX(Boundaries!$B$2:$I$30,MATCH(CU292,Boundaries!$A$2:$A$30,0),0),1)-1,""))</f>
        <v/>
      </c>
      <c r="BP292" s="42" t="str">
        <f aca="false">IF(OR(BO292="",$E292=""),"",BO292-$E292)</f>
        <v/>
      </c>
      <c r="BQ292" s="39"/>
      <c r="BR292" s="40" t="str">
        <f aca="false">IF(OR(BQ292="",CH292=""),"",BQ292/CH292*100)</f>
        <v/>
      </c>
      <c r="BS292" s="41" t="str">
        <f aca="false">IF(BR292="","",IFERROR(MATCH(BR292,INDEX(Boundaries!$B$2:$I$30,MATCH(CV292,Boundaries!$A$2:$A$30,0),0),1)-1,""))</f>
        <v/>
      </c>
      <c r="BT292" s="42" t="str">
        <f aca="false">IF(OR(BS292="",$E292=""),"",BS292-$E292)</f>
        <v/>
      </c>
      <c r="BU292" s="28" t="n">
        <f aca="false">IFERROR(INDEX(Assessments!$H$2:$H$600,MATCH($H292&amp;"|"&amp;$I292&amp;"|"&amp;$J292&amp;"|"&amp;1,Assessments!$A$2:$A$600,0)),"")</f>
        <v>25</v>
      </c>
      <c r="BV292" s="28" t="n">
        <f aca="false">IFERROR(INDEX(Assessments!$H$2:$H$600,MATCH($H292&amp;"|"&amp;$I292&amp;"|"&amp;$J292&amp;"|"&amp;2,Assessments!$A$2:$A$600,0)),"")</f>
        <v>20</v>
      </c>
      <c r="BW292" s="28" t="n">
        <f aca="false">IFERROR(INDEX(Assessments!$H$2:$H$600,MATCH($H292&amp;"|"&amp;$I292&amp;"|"&amp;$J292&amp;"|"&amp;3,Assessments!$A$2:$A$600,0)),"")</f>
        <v>25</v>
      </c>
      <c r="BX292" s="28" t="n">
        <f aca="false">IFERROR(INDEX(Assessments!$H$2:$H$600,MATCH($H292&amp;"|"&amp;$I292&amp;"|"&amp;$J292&amp;"|"&amp;4,Assessments!$A$2:$A$600,0)),"")</f>
        <v>23</v>
      </c>
      <c r="BY292" s="28" t="n">
        <f aca="false">IFERROR(INDEX(Assessments!$H$2:$H$600,MATCH($H292&amp;"|"&amp;$I292&amp;"|"&amp;$J292&amp;"|"&amp;5,Assessments!$A$2:$A$600,0)),"")</f>
        <v>25</v>
      </c>
      <c r="BZ292" s="28" t="n">
        <f aca="false">IFERROR(INDEX(Assessments!$H$2:$H$600,MATCH($H292&amp;"|"&amp;$I292&amp;"|"&amp;$J292&amp;"|"&amp;6,Assessments!$A$2:$A$600,0)),"")</f>
        <v>23</v>
      </c>
      <c r="CA292" s="28" t="n">
        <f aca="false">IFERROR(INDEX(Assessments!$H$2:$H$600,MATCH($H292&amp;"|"&amp;$I292&amp;"|"&amp;$J292&amp;"|"&amp;7,Assessments!$A$2:$A$600,0)),"")</f>
        <v>52</v>
      </c>
      <c r="CB292" s="28" t="str">
        <f aca="false">IFERROR(INDEX(Assessments!$H$2:$H$600,MATCH($H292&amp;"|"&amp;$I292&amp;"|"&amp;$J292&amp;"|"&amp;8,Assessments!$A$2:$A$600,0)),"")</f>
        <v/>
      </c>
      <c r="CC292" s="28" t="str">
        <f aca="false">IFERROR(INDEX(Assessments!$H$2:$H$600,MATCH($H292&amp;"|"&amp;$I292&amp;"|"&amp;$J292&amp;"|"&amp;9,Assessments!$A$2:$A$600,0)),"")</f>
        <v/>
      </c>
      <c r="CD292" s="28" t="str">
        <f aca="false">IFERROR(INDEX(Assessments!$H$2:$H$600,MATCH($H292&amp;"|"&amp;$I292&amp;"|"&amp;$J292&amp;"|"&amp;10,Assessments!$A$2:$A$600,0)),"")</f>
        <v/>
      </c>
      <c r="CE292" s="28" t="str">
        <f aca="false">IFERROR(INDEX(Assessments!$H$2:$H$600,MATCH($H292&amp;"|"&amp;$I292&amp;"|"&amp;$J292&amp;"|"&amp;11,Assessments!$A$2:$A$600,0)),"")</f>
        <v/>
      </c>
      <c r="CF292" s="28" t="str">
        <f aca="false">IFERROR(INDEX(Assessments!$H$2:$H$600,MATCH($H292&amp;"|"&amp;$I292&amp;"|"&amp;$J292&amp;"|"&amp;12,Assessments!$A$2:$A$600,0)),"")</f>
        <v/>
      </c>
      <c r="CG292" s="28" t="str">
        <f aca="false">IFERROR(INDEX(Assessments!$H$2:$H$600,MATCH($H292&amp;"|"&amp;$I292&amp;"|"&amp;$J292&amp;"|"&amp;13,Assessments!$A$2:$A$600,0)),"")</f>
        <v/>
      </c>
      <c r="CH292" s="28" t="str">
        <f aca="false">IFERROR(INDEX(Assessments!$H$2:$H$600,MATCH($H292&amp;"|"&amp;$I292&amp;"|"&amp;$J292&amp;"|"&amp;14,Assessments!$A$2:$A$600,0)),"")</f>
        <v/>
      </c>
      <c r="CI292" s="28" t="str">
        <f aca="false">IFERROR(INDEX(Assessments!$I$2:$I$600,MATCH($H292&amp;"|"&amp;$I292&amp;"|"&amp;$J292&amp;"|"&amp;1,Assessments!$A$2:$A$600,0)),"")</f>
        <v>Econ Test</v>
      </c>
      <c r="CJ292" s="28" t="str">
        <f aca="false">IFERROR(INDEX(Assessments!$I$2:$I$600,MATCH($H292&amp;"|"&amp;$I292&amp;"|"&amp;$J292&amp;"|"&amp;2,Assessments!$A$2:$A$600,0)),"")</f>
        <v>Econ Test</v>
      </c>
      <c r="CK292" s="28" t="str">
        <f aca="false">IFERROR(INDEX(Assessments!$I$2:$I$600,MATCH($H292&amp;"|"&amp;$I292&amp;"|"&amp;$J292&amp;"|"&amp;3,Assessments!$A$2:$A$600,0)),"")</f>
        <v>Econ Test</v>
      </c>
      <c r="CL292" s="28" t="str">
        <f aca="false">IFERROR(INDEX(Assessments!$I$2:$I$600,MATCH($H292&amp;"|"&amp;$I292&amp;"|"&amp;$J292&amp;"|"&amp;4,Assessments!$A$2:$A$600,0)),"")</f>
        <v>Econ Test</v>
      </c>
      <c r="CM292" s="28" t="str">
        <f aca="false">IFERROR(INDEX(Assessments!$I$2:$I$600,MATCH($H292&amp;"|"&amp;$I292&amp;"|"&amp;$J292&amp;"|"&amp;5,Assessments!$A$2:$A$600,0)),"")</f>
        <v>Econ Exam</v>
      </c>
      <c r="CN292" s="28" t="str">
        <f aca="false">IFERROR(INDEX(Assessments!$I$2:$I$600,MATCH($H292&amp;"|"&amp;$I292&amp;"|"&amp;$J292&amp;"|"&amp;6,Assessments!$A$2:$A$600,0)),"")</f>
        <v>Econ Test</v>
      </c>
      <c r="CO292" s="28" t="str">
        <f aca="false">IFERROR(INDEX(Assessments!$I$2:$I$600,MATCH($H292&amp;"|"&amp;$I292&amp;"|"&amp;$J292&amp;"|"&amp;7,Assessments!$A$2:$A$600,0)),"")</f>
        <v>Econ Exam</v>
      </c>
      <c r="CP292" s="28" t="str">
        <f aca="false">IFERROR(INDEX(Assessments!$I$2:$I$600,MATCH($H292&amp;"|"&amp;$I292&amp;"|"&amp;$J292&amp;"|"&amp;8,Assessments!$A$2:$A$600,0)),"")</f>
        <v/>
      </c>
      <c r="CQ292" s="28" t="str">
        <f aca="false">IFERROR(INDEX(Assessments!$I$2:$I$600,MATCH($H292&amp;"|"&amp;$I292&amp;"|"&amp;$J292&amp;"|"&amp;9,Assessments!$A$2:$A$600,0)),"")</f>
        <v/>
      </c>
      <c r="CR292" s="28" t="str">
        <f aca="false">IFERROR(INDEX(Assessments!$I$2:$I$600,MATCH($H292&amp;"|"&amp;$I292&amp;"|"&amp;$J292&amp;"|"&amp;10,Assessments!$A$2:$A$600,0)),"")</f>
        <v/>
      </c>
      <c r="CS292" s="28" t="str">
        <f aca="false">IFERROR(INDEX(Assessments!$I$2:$I$600,MATCH($H292&amp;"|"&amp;$I292&amp;"|"&amp;$J292&amp;"|"&amp;11,Assessments!$A$2:$A$600,0)),"")</f>
        <v/>
      </c>
      <c r="CT292" s="28" t="str">
        <f aca="false">IFERROR(INDEX(Assessments!$I$2:$I$600,MATCH($H292&amp;"|"&amp;$I292&amp;"|"&amp;$J292&amp;"|"&amp;12,Assessments!$A$2:$A$600,0)),"")</f>
        <v/>
      </c>
      <c r="CU292" s="28" t="str">
        <f aca="false">IFERROR(INDEX(Assessments!$I$2:$I$600,MATCH($H292&amp;"|"&amp;$I292&amp;"|"&amp;$J292&amp;"|"&amp;13,Assessments!$A$2:$A$600,0)),"")</f>
        <v/>
      </c>
      <c r="CV292" s="28" t="str">
        <f aca="false">IFERROR(INDEX(Assessments!$I$2:$I$600,MATCH($H292&amp;"|"&amp;$I292&amp;"|"&amp;$J292&amp;"|"&amp;14,Assessments!$A$2:$A$600,0)),"")</f>
        <v/>
      </c>
      <c r="CW292" s="28" t="n">
        <f aca="false">IFERROR(INDEX(Assessments!$J$2:$J$600,MATCH($H292&amp;"|"&amp;$I292&amp;"|"&amp;$J292&amp;"|"&amp;1,Assessments!$A$2:$A$600,0)),0)</f>
        <v>1</v>
      </c>
      <c r="CX292" s="28" t="n">
        <f aca="false">IFERROR(INDEX(Assessments!$J$2:$J$600,MATCH($H292&amp;"|"&amp;$I292&amp;"|"&amp;$J292&amp;"|"&amp;2,Assessments!$A$2:$A$600,0)),0)</f>
        <v>1</v>
      </c>
      <c r="CY292" s="28" t="n">
        <f aca="false">IFERROR(INDEX(Assessments!$J$2:$J$600,MATCH($H292&amp;"|"&amp;$I292&amp;"|"&amp;$J292&amp;"|"&amp;3,Assessments!$A$2:$A$600,0)),0)</f>
        <v>1</v>
      </c>
      <c r="CZ292" s="28" t="n">
        <f aca="false">IFERROR(INDEX(Assessments!$J$2:$J$600,MATCH($H292&amp;"|"&amp;$I292&amp;"|"&amp;$J292&amp;"|"&amp;4,Assessments!$A$2:$A$600,0)),0)</f>
        <v>1</v>
      </c>
      <c r="DA292" s="28" t="n">
        <f aca="false">IFERROR(INDEX(Assessments!$J$2:$J$600,MATCH($H292&amp;"|"&amp;$I292&amp;"|"&amp;$J292&amp;"|"&amp;5,Assessments!$A$2:$A$600,0)),0)</f>
        <v>2</v>
      </c>
      <c r="DB292" s="28" t="n">
        <f aca="false">IFERROR(INDEX(Assessments!$J$2:$J$600,MATCH($H292&amp;"|"&amp;$I292&amp;"|"&amp;$J292&amp;"|"&amp;6,Assessments!$A$2:$A$600,0)),0)</f>
        <v>1</v>
      </c>
      <c r="DC292" s="28" t="n">
        <f aca="false">IFERROR(INDEX(Assessments!$J$2:$J$600,MATCH($H292&amp;"|"&amp;$I292&amp;"|"&amp;$J292&amp;"|"&amp;7,Assessments!$A$2:$A$600,0)),0)</f>
        <v>2</v>
      </c>
      <c r="DD292" s="28" t="n">
        <f aca="false">IFERROR(INDEX(Assessments!$J$2:$J$600,MATCH($H292&amp;"|"&amp;$I292&amp;"|"&amp;$J292&amp;"|"&amp;8,Assessments!$A$2:$A$600,0)),0)</f>
        <v>0</v>
      </c>
      <c r="DE292" s="28" t="n">
        <f aca="false">IFERROR(INDEX(Assessments!$J$2:$J$600,MATCH($H292&amp;"|"&amp;$I292&amp;"|"&amp;$J292&amp;"|"&amp;9,Assessments!$A$2:$A$600,0)),0)</f>
        <v>0</v>
      </c>
      <c r="DF292" s="28" t="n">
        <f aca="false">IFERROR(INDEX(Assessments!$J$2:$J$600,MATCH($H292&amp;"|"&amp;$I292&amp;"|"&amp;$J292&amp;"|"&amp;10,Assessments!$A$2:$A$600,0)),0)</f>
        <v>0</v>
      </c>
      <c r="DG292" s="28" t="n">
        <f aca="false">IFERROR(INDEX(Assessments!$J$2:$J$600,MATCH($H292&amp;"|"&amp;$I292&amp;"|"&amp;$J292&amp;"|"&amp;11,Assessments!$A$2:$A$600,0)),0)</f>
        <v>0</v>
      </c>
      <c r="DH292" s="28" t="n">
        <f aca="false">IFERROR(INDEX(Assessments!$J$2:$J$600,MATCH($H292&amp;"|"&amp;$I292&amp;"|"&amp;$J292&amp;"|"&amp;12,Assessments!$A$2:$A$600,0)),0)</f>
        <v>0</v>
      </c>
      <c r="DI292" s="28" t="n">
        <f aca="false">IFERROR(INDEX(Assessments!$J$2:$J$600,MATCH($H292&amp;"|"&amp;$I292&amp;"|"&amp;$J292&amp;"|"&amp;13,Assessments!$A$2:$A$600,0)),0)</f>
        <v>0</v>
      </c>
      <c r="DJ292" s="28" t="n">
        <f aca="false">IFERROR(INDEX(Assessments!$J$2:$J$600,MATCH($H292&amp;"|"&amp;$I292&amp;"|"&amp;$J292&amp;"|"&amp;14,Assessments!$A$2:$A$600,0)),0)</f>
        <v>0</v>
      </c>
      <c r="DK292" s="28" t="n">
        <f aca="false">S292</f>
        <v>5</v>
      </c>
      <c r="DL292" s="28" t="str">
        <f aca="false">W292</f>
        <v/>
      </c>
      <c r="DM292" s="28" t="str">
        <f aca="false">AA292</f>
        <v/>
      </c>
      <c r="DN292" s="28" t="str">
        <f aca="false">AE292</f>
        <v/>
      </c>
      <c r="DO292" s="28" t="str">
        <f aca="false">AI292</f>
        <v/>
      </c>
      <c r="DP292" s="28" t="str">
        <f aca="false">AM292</f>
        <v/>
      </c>
      <c r="DQ292" s="28" t="str">
        <f aca="false">AQ292</f>
        <v/>
      </c>
      <c r="DR292" s="28" t="str">
        <f aca="false">AU292</f>
        <v/>
      </c>
      <c r="DS292" s="28" t="str">
        <f aca="false">AY292</f>
        <v/>
      </c>
      <c r="DT292" s="28" t="str">
        <f aca="false">BC292</f>
        <v/>
      </c>
      <c r="DU292" s="28" t="str">
        <f aca="false">BG292</f>
        <v/>
      </c>
      <c r="DV292" s="28" t="str">
        <f aca="false">BK292</f>
        <v/>
      </c>
      <c r="DW292" s="28" t="str">
        <f aca="false">BO292</f>
        <v/>
      </c>
      <c r="DX292" s="28" t="str">
        <f aca="false">BS292</f>
        <v/>
      </c>
      <c r="DY292" s="28" t="n">
        <f aca="false">IF(ISNUMBER(S292),1,"")</f>
        <v>1</v>
      </c>
      <c r="DZ292" s="28" t="str">
        <f aca="false">IF(ISNUMBER(W292),2,"")</f>
        <v/>
      </c>
      <c r="EA292" s="28" t="str">
        <f aca="false">IF(ISNUMBER(AA292),3,"")</f>
        <v/>
      </c>
      <c r="EB292" s="28" t="str">
        <f aca="false">IF(ISNUMBER(AE292),4,"")</f>
        <v/>
      </c>
      <c r="EC292" s="28" t="str">
        <f aca="false">IF(ISNUMBER(AI292),5,"")</f>
        <v/>
      </c>
      <c r="ED292" s="28" t="str">
        <f aca="false">IF(ISNUMBER(AM292),6,"")</f>
        <v/>
      </c>
      <c r="EE292" s="28" t="str">
        <f aca="false">IF(ISNUMBER(AQ292),7,"")</f>
        <v/>
      </c>
      <c r="EF292" s="28" t="str">
        <f aca="false">IF(ISNUMBER(AU292),8,"")</f>
        <v/>
      </c>
      <c r="EG292" s="28" t="str">
        <f aca="false">IF(ISNUMBER(AY292),9,"")</f>
        <v/>
      </c>
      <c r="EH292" s="28" t="str">
        <f aca="false">IF(ISNUMBER(BC292),10,"")</f>
        <v/>
      </c>
      <c r="EI292" s="28" t="str">
        <f aca="false">IF(ISNUMBER(BG292),11,"")</f>
        <v/>
      </c>
      <c r="EJ292" s="28" t="str">
        <f aca="false">IF(ISNUMBER(BK292),12,"")</f>
        <v/>
      </c>
      <c r="EK292" s="28" t="str">
        <f aca="false">IF(ISNUMBER(BO292),13,"")</f>
        <v/>
      </c>
      <c r="EL292" s="28" t="str">
        <f aca="false">IF(ISNUMBER(BS292),14,"")</f>
        <v/>
      </c>
      <c r="EM292" s="28" t="n">
        <f aca="false">IF(ISNUMBER(R292),R292*CW292,0)</f>
        <v>72</v>
      </c>
      <c r="EN292" s="28" t="n">
        <f aca="false">IF(ISNUMBER(V292),V292*CX292,0)</f>
        <v>0</v>
      </c>
      <c r="EO292" s="28" t="n">
        <f aca="false">IF(ISNUMBER(Z292),Z292*CY292,0)</f>
        <v>0</v>
      </c>
      <c r="EP292" s="28" t="n">
        <f aca="false">IF(ISNUMBER(AD292),AD292*CZ292,0)</f>
        <v>0</v>
      </c>
      <c r="EQ292" s="28" t="n">
        <f aca="false">IF(ISNUMBER(AH292),AH292*DA292,0)</f>
        <v>0</v>
      </c>
      <c r="ER292" s="28" t="n">
        <f aca="false">IF(ISNUMBER(AL292),AL292*DB292,0)</f>
        <v>0</v>
      </c>
      <c r="ES292" s="28" t="n">
        <f aca="false">IF(ISNUMBER(AP292),AP292*DC292,0)</f>
        <v>0</v>
      </c>
      <c r="ET292" s="28" t="n">
        <f aca="false">IF(ISNUMBER(AT292),AT292*DD292,0)</f>
        <v>0</v>
      </c>
      <c r="EU292" s="28" t="n">
        <f aca="false">IF(ISNUMBER(AX292),AX292*DE292,0)</f>
        <v>0</v>
      </c>
      <c r="EV292" s="28" t="n">
        <f aca="false">IF(ISNUMBER(BB292),BB292*DF292,0)</f>
        <v>0</v>
      </c>
      <c r="EW292" s="28" t="n">
        <f aca="false">IF(ISNUMBER(BF292),BF292*DG292,0)</f>
        <v>0</v>
      </c>
      <c r="EX292" s="28" t="n">
        <f aca="false">IF(ISNUMBER(BJ292),BJ292*DH292,0)</f>
        <v>0</v>
      </c>
      <c r="EY292" s="28" t="n">
        <f aca="false">IF(ISNUMBER(BN292),BN292*DI292,0)</f>
        <v>0</v>
      </c>
      <c r="EZ292" s="28" t="n">
        <f aca="false">IF(ISNUMBER(BR292),BR292*DJ292,0)</f>
        <v>0</v>
      </c>
      <c r="FA292" s="28" t="n">
        <f aca="false">IF(ISNUMBER(R292),CW292,0)</f>
        <v>1</v>
      </c>
      <c r="FB292" s="28" t="n">
        <f aca="false">IF(ISNUMBER(V292),CX292,0)</f>
        <v>0</v>
      </c>
      <c r="FC292" s="28" t="n">
        <f aca="false">IF(ISNUMBER(Z292),CY292,0)</f>
        <v>0</v>
      </c>
      <c r="FD292" s="28" t="n">
        <f aca="false">IF(ISNUMBER(AD292),CZ292,0)</f>
        <v>0</v>
      </c>
      <c r="FE292" s="28" t="n">
        <f aca="false">IF(ISNUMBER(AH292),DA292,0)</f>
        <v>0</v>
      </c>
      <c r="FF292" s="28" t="n">
        <f aca="false">IF(ISNUMBER(AL292),DB292,0)</f>
        <v>0</v>
      </c>
      <c r="FG292" s="28" t="n">
        <f aca="false">IF(ISNUMBER(AP292),DC292,0)</f>
        <v>0</v>
      </c>
      <c r="FH292" s="28" t="n">
        <f aca="false">IF(ISNUMBER(AT292),DD292,0)</f>
        <v>0</v>
      </c>
      <c r="FI292" s="28" t="n">
        <f aca="false">IF(ISNUMBER(AX292),DE292,0)</f>
        <v>0</v>
      </c>
      <c r="FJ292" s="28" t="n">
        <f aca="false">IF(ISNUMBER(BB292),DF292,0)</f>
        <v>0</v>
      </c>
      <c r="FK292" s="28" t="n">
        <f aca="false">IF(ISNUMBER(BF292),DG292,0)</f>
        <v>0</v>
      </c>
      <c r="FL292" s="28" t="n">
        <f aca="false">IF(ISNUMBER(BJ292),DH292,0)</f>
        <v>0</v>
      </c>
      <c r="FM292" s="28" t="n">
        <f aca="false">IF(ISNUMBER(BN292),DI292,0)</f>
        <v>0</v>
      </c>
      <c r="FN292" s="28" t="n">
        <f aca="false">IF(ISNUMBER(BR292),DJ292,0)</f>
        <v>0</v>
      </c>
      <c r="FO292" s="28" t="str">
        <f aca="false">IFERROR(INDEX(Lists!$G$2:$G$20,MATCH($I292&amp;"|"&amp;$J292,Lists!$F$2:$F$20,0)),"")</f>
        <v>Econ Exam</v>
      </c>
    </row>
    <row r="293" customFormat="false" ht="19.5" hidden="false" customHeight="true" outlineLevel="0" collapsed="false">
      <c r="A293" s="29" t="s">
        <v>584</v>
      </c>
      <c r="B293" s="29" t="s">
        <v>195</v>
      </c>
      <c r="C293" s="30" t="s">
        <v>152</v>
      </c>
      <c r="D293" s="30" t="s">
        <v>364</v>
      </c>
      <c r="E293" s="31"/>
      <c r="F293" s="30"/>
      <c r="G293" s="30"/>
      <c r="H293" s="32" t="s">
        <v>428</v>
      </c>
      <c r="I293" s="33" t="s">
        <v>365</v>
      </c>
      <c r="J293" s="32" t="s">
        <v>25</v>
      </c>
      <c r="K293" s="34" t="str">
        <f aca="false">IF(OR(M293="",$E293=""),"",M293-$E293)</f>
        <v/>
      </c>
      <c r="L293" s="35" t="n">
        <f aca="false">IF(SUM(FA293:FN293)=0,"",SUM(EM293:EZ293)/SUM(FA293:FN293))</f>
        <v>87.5</v>
      </c>
      <c r="M293" s="36" t="n">
        <f aca="false">IF(OR(L293="",FO293=""),"",IFERROR(MATCH(L293,INDEX(Boundaries!$B$2:$I$30,MATCH(FO293,Boundaries!$A$2:$A$30,0),0),1)-1,""))</f>
        <v>7</v>
      </c>
      <c r="N293" s="37" t="str">
        <f aca="false">IF(COUNT($DY293:$EL293)&lt;2,"",INDEX($DK293:$DX293,MAX($DY293:$EL293))-INDEX($DK293:$DX293,MIN($DY293:$EL293)))</f>
        <v/>
      </c>
      <c r="O293" s="37" t="str">
        <f aca="false">IF(COUNT($DY293:$EL293)&lt;2,"",INDEX($DK293:$DX293,MAX($DY293:$EL293))-INDEX($DK293:$DX293,LARGE($DY293:$EL293,2)))</f>
        <v/>
      </c>
      <c r="P293" s="38" t="str">
        <f aca="false">IF(K293="","",IF(K293&gt;=0,"On/above target",IF(AND(N293&lt;&gt;"",N293&gt;=0.5),"Improving towards target",IF(AND(O293&lt;&gt;"",O293&lt;=-0.5),"Declining","Stable below target"))))</f>
        <v/>
      </c>
      <c r="Q293" s="39" t="n">
        <v>21</v>
      </c>
      <c r="R293" s="40" t="n">
        <f aca="false">IF(OR(Q293="",BU293=""),"",Q293/BU293*100)</f>
        <v>87.5</v>
      </c>
      <c r="S293" s="41" t="n">
        <f aca="false">IF(R293="","",IFERROR(MATCH(R293,INDEX(Boundaries!$B$2:$I$30,MATCH(CI293,Boundaries!$A$2:$A$30,0),0),1)-1,""))</f>
        <v>7</v>
      </c>
      <c r="T293" s="42" t="str">
        <f aca="false">IF(OR(S293="",$E293=""),"",S293-$E293)</f>
        <v/>
      </c>
      <c r="U293" s="39"/>
      <c r="V293" s="40" t="str">
        <f aca="false">IF(OR(U293="",BV293=""),"",U293/BV293*100)</f>
        <v/>
      </c>
      <c r="W293" s="41" t="str">
        <f aca="false">IF(V293="","",IFERROR(MATCH(V293,INDEX(Boundaries!$B$2:$I$30,MATCH(CJ293,Boundaries!$A$2:$A$30,0),0),1)-1,""))</f>
        <v/>
      </c>
      <c r="X293" s="42" t="str">
        <f aca="false">IF(OR(W293="",$E293=""),"",W293-$E293)</f>
        <v/>
      </c>
      <c r="Y293" s="39"/>
      <c r="Z293" s="40" t="str">
        <f aca="false">IF(OR(Y293="",BW293=""),"",Y293/BW293*100)</f>
        <v/>
      </c>
      <c r="AA293" s="41" t="str">
        <f aca="false">IF(Z293="","",IFERROR(MATCH(Z293,INDEX(Boundaries!$B$2:$I$30,MATCH(CK293,Boundaries!$A$2:$A$30,0),0),1)-1,""))</f>
        <v/>
      </c>
      <c r="AB293" s="42" t="str">
        <f aca="false">IF(OR(AA293="",$E293=""),"",AA293-$E293)</f>
        <v/>
      </c>
      <c r="AC293" s="39"/>
      <c r="AD293" s="40" t="str">
        <f aca="false">IF(OR(AC293="",BX293=""),"",AC293/BX293*100)</f>
        <v/>
      </c>
      <c r="AE293" s="41" t="str">
        <f aca="false">IF(AD293="","",IFERROR(MATCH(AD293,INDEX(Boundaries!$B$2:$I$30,MATCH(CL293,Boundaries!$A$2:$A$30,0),0),1)-1,""))</f>
        <v/>
      </c>
      <c r="AF293" s="42" t="str">
        <f aca="false">IF(OR(AE293="",$E293=""),"",AE293-$E293)</f>
        <v/>
      </c>
      <c r="AG293" s="39"/>
      <c r="AH293" s="40" t="str">
        <f aca="false">IF(OR(AG293="",BY293=""),"",AG293/BY293*100)</f>
        <v/>
      </c>
      <c r="AI293" s="41" t="str">
        <f aca="false">IF(AH293="","",IFERROR(MATCH(AH293,INDEX(Boundaries!$B$2:$I$30,MATCH(CM293,Boundaries!$A$2:$A$30,0),0),1)-1,""))</f>
        <v/>
      </c>
      <c r="AJ293" s="42" t="str">
        <f aca="false">IF(OR(AI293="",$E293=""),"",AI293-$E293)</f>
        <v/>
      </c>
      <c r="AK293" s="39"/>
      <c r="AL293" s="40" t="str">
        <f aca="false">IF(OR(AK293="",BZ293=""),"",AK293/BZ293*100)</f>
        <v/>
      </c>
      <c r="AM293" s="41" t="str">
        <f aca="false">IF(AL293="","",IFERROR(MATCH(AL293,INDEX(Boundaries!$B$2:$I$30,MATCH(CN293,Boundaries!$A$2:$A$30,0),0),1)-1,""))</f>
        <v/>
      </c>
      <c r="AN293" s="42" t="str">
        <f aca="false">IF(OR(AM293="",$E293=""),"",AM293-$E293)</f>
        <v/>
      </c>
      <c r="AO293" s="39"/>
      <c r="AP293" s="40" t="str">
        <f aca="false">IF(OR(AO293="",CA293=""),"",AO293/CA293*100)</f>
        <v/>
      </c>
      <c r="AQ293" s="41" t="str">
        <f aca="false">IF(AP293="","",IFERROR(MATCH(AP293,INDEX(Boundaries!$B$2:$I$30,MATCH(CO293,Boundaries!$A$2:$A$30,0),0),1)-1,""))</f>
        <v/>
      </c>
      <c r="AR293" s="42" t="str">
        <f aca="false">IF(OR(AQ293="",$E293=""),"",AQ293-$E293)</f>
        <v/>
      </c>
      <c r="AS293" s="39"/>
      <c r="AT293" s="40" t="str">
        <f aca="false">IF(OR(AS293="",CB293=""),"",AS293/CB293*100)</f>
        <v/>
      </c>
      <c r="AU293" s="41" t="str">
        <f aca="false">IF(AT293="","",IFERROR(MATCH(AT293,INDEX(Boundaries!$B$2:$I$30,MATCH(CP293,Boundaries!$A$2:$A$30,0),0),1)-1,""))</f>
        <v/>
      </c>
      <c r="AV293" s="42" t="str">
        <f aca="false">IF(OR(AU293="",$E293=""),"",AU293-$E293)</f>
        <v/>
      </c>
      <c r="AW293" s="39"/>
      <c r="AX293" s="40" t="str">
        <f aca="false">IF(OR(AW293="",CC293=""),"",AW293/CC293*100)</f>
        <v/>
      </c>
      <c r="AY293" s="41" t="str">
        <f aca="false">IF(AX293="","",IFERROR(MATCH(AX293,INDEX(Boundaries!$B$2:$I$30,MATCH(CQ293,Boundaries!$A$2:$A$30,0),0),1)-1,""))</f>
        <v/>
      </c>
      <c r="AZ293" s="42" t="str">
        <f aca="false">IF(OR(AY293="",$E293=""),"",AY293-$E293)</f>
        <v/>
      </c>
      <c r="BA293" s="39"/>
      <c r="BB293" s="40" t="str">
        <f aca="false">IF(OR(BA293="",CD293=""),"",BA293/CD293*100)</f>
        <v/>
      </c>
      <c r="BC293" s="41" t="str">
        <f aca="false">IF(BB293="","",IFERROR(MATCH(BB293,INDEX(Boundaries!$B$2:$I$30,MATCH(CR293,Boundaries!$A$2:$A$30,0),0),1)-1,""))</f>
        <v/>
      </c>
      <c r="BD293" s="42" t="str">
        <f aca="false">IF(OR(BC293="",$E293=""),"",BC293-$E293)</f>
        <v/>
      </c>
      <c r="BE293" s="39"/>
      <c r="BF293" s="40" t="str">
        <f aca="false">IF(OR(BE293="",CE293=""),"",BE293/CE293*100)</f>
        <v/>
      </c>
      <c r="BG293" s="41" t="str">
        <f aca="false">IF(BF293="","",IFERROR(MATCH(BF293,INDEX(Boundaries!$B$2:$I$30,MATCH(CS293,Boundaries!$A$2:$A$30,0),0),1)-1,""))</f>
        <v/>
      </c>
      <c r="BH293" s="42" t="str">
        <f aca="false">IF(OR(BG293="",$E293=""),"",BG293-$E293)</f>
        <v/>
      </c>
      <c r="BI293" s="39"/>
      <c r="BJ293" s="40" t="str">
        <f aca="false">IF(OR(BI293="",CF293=""),"",BI293/CF293*100)</f>
        <v/>
      </c>
      <c r="BK293" s="41" t="str">
        <f aca="false">IF(BJ293="","",IFERROR(MATCH(BJ293,INDEX(Boundaries!$B$2:$I$30,MATCH(CT293,Boundaries!$A$2:$A$30,0),0),1)-1,""))</f>
        <v/>
      </c>
      <c r="BL293" s="42" t="str">
        <f aca="false">IF(OR(BK293="",$E293=""),"",BK293-$E293)</f>
        <v/>
      </c>
      <c r="BM293" s="39"/>
      <c r="BN293" s="40" t="str">
        <f aca="false">IF(OR(BM293="",CG293=""),"",BM293/CG293*100)</f>
        <v/>
      </c>
      <c r="BO293" s="41" t="str">
        <f aca="false">IF(BN293="","",IFERROR(MATCH(BN293,INDEX(Boundaries!$B$2:$I$30,MATCH(CU293,Boundaries!$A$2:$A$30,0),0),1)-1,""))</f>
        <v/>
      </c>
      <c r="BP293" s="42" t="str">
        <f aca="false">IF(OR(BO293="",$E293=""),"",BO293-$E293)</f>
        <v/>
      </c>
      <c r="BQ293" s="39"/>
      <c r="BR293" s="40" t="str">
        <f aca="false">IF(OR(BQ293="",CH293=""),"",BQ293/CH293*100)</f>
        <v/>
      </c>
      <c r="BS293" s="41" t="str">
        <f aca="false">IF(BR293="","",IFERROR(MATCH(BR293,INDEX(Boundaries!$B$2:$I$30,MATCH(CV293,Boundaries!$A$2:$A$30,0),0),1)-1,""))</f>
        <v/>
      </c>
      <c r="BT293" s="42" t="str">
        <f aca="false">IF(OR(BS293="",$E293=""),"",BS293-$E293)</f>
        <v/>
      </c>
      <c r="BU293" s="28" t="n">
        <f aca="false">IFERROR(INDEX(Assessments!$H$2:$H$600,MATCH($H293&amp;"|"&amp;$I293&amp;"|"&amp;$J293&amp;"|"&amp;1,Assessments!$A$2:$A$600,0)),"")</f>
        <v>24</v>
      </c>
      <c r="BV293" s="28" t="n">
        <f aca="false">IFERROR(INDEX(Assessments!$H$2:$H$600,MATCH($H293&amp;"|"&amp;$I293&amp;"|"&amp;$J293&amp;"|"&amp;2,Assessments!$A$2:$A$600,0)),"")</f>
        <v>20</v>
      </c>
      <c r="BW293" s="28" t="n">
        <f aca="false">IFERROR(INDEX(Assessments!$H$2:$H$600,MATCH($H293&amp;"|"&amp;$I293&amp;"|"&amp;$J293&amp;"|"&amp;3,Assessments!$A$2:$A$600,0)),"")</f>
        <v>20</v>
      </c>
      <c r="BX293" s="28" t="n">
        <f aca="false">IFERROR(INDEX(Assessments!$H$2:$H$600,MATCH($H293&amp;"|"&amp;$I293&amp;"|"&amp;$J293&amp;"|"&amp;4,Assessments!$A$2:$A$600,0)),"")</f>
        <v>40</v>
      </c>
      <c r="BY293" s="28" t="n">
        <f aca="false">IFERROR(INDEX(Assessments!$H$2:$H$600,MATCH($H293&amp;"|"&amp;$I293&amp;"|"&amp;$J293&amp;"|"&amp;5,Assessments!$A$2:$A$600,0)),"")</f>
        <v>30</v>
      </c>
      <c r="BZ293" s="28" t="n">
        <f aca="false">IFERROR(INDEX(Assessments!$H$2:$H$600,MATCH($H293&amp;"|"&amp;$I293&amp;"|"&amp;$J293&amp;"|"&amp;6,Assessments!$A$2:$A$600,0)),"")</f>
        <v>20</v>
      </c>
      <c r="CA293" s="28" t="n">
        <f aca="false">IFERROR(INDEX(Assessments!$H$2:$H$600,MATCH($H293&amp;"|"&amp;$I293&amp;"|"&amp;$J293&amp;"|"&amp;7,Assessments!$A$2:$A$600,0)),"")</f>
        <v>50</v>
      </c>
      <c r="CB293" s="28" t="str">
        <f aca="false">IFERROR(INDEX(Assessments!$H$2:$H$600,MATCH($H293&amp;"|"&amp;$I293&amp;"|"&amp;$J293&amp;"|"&amp;8,Assessments!$A$2:$A$600,0)),"")</f>
        <v/>
      </c>
      <c r="CC293" s="28" t="str">
        <f aca="false">IFERROR(INDEX(Assessments!$H$2:$H$600,MATCH($H293&amp;"|"&amp;$I293&amp;"|"&amp;$J293&amp;"|"&amp;9,Assessments!$A$2:$A$600,0)),"")</f>
        <v/>
      </c>
      <c r="CD293" s="28" t="str">
        <f aca="false">IFERROR(INDEX(Assessments!$H$2:$H$600,MATCH($H293&amp;"|"&amp;$I293&amp;"|"&amp;$J293&amp;"|"&amp;10,Assessments!$A$2:$A$600,0)),"")</f>
        <v/>
      </c>
      <c r="CE293" s="28" t="str">
        <f aca="false">IFERROR(INDEX(Assessments!$H$2:$H$600,MATCH($H293&amp;"|"&amp;$I293&amp;"|"&amp;$J293&amp;"|"&amp;11,Assessments!$A$2:$A$600,0)),"")</f>
        <v/>
      </c>
      <c r="CF293" s="28" t="str">
        <f aca="false">IFERROR(INDEX(Assessments!$H$2:$H$600,MATCH($H293&amp;"|"&amp;$I293&amp;"|"&amp;$J293&amp;"|"&amp;12,Assessments!$A$2:$A$600,0)),"")</f>
        <v/>
      </c>
      <c r="CG293" s="28" t="str">
        <f aca="false">IFERROR(INDEX(Assessments!$H$2:$H$600,MATCH($H293&amp;"|"&amp;$I293&amp;"|"&amp;$J293&amp;"|"&amp;13,Assessments!$A$2:$A$600,0)),"")</f>
        <v/>
      </c>
      <c r="CH293" s="28" t="str">
        <f aca="false">IFERROR(INDEX(Assessments!$H$2:$H$600,MATCH($H293&amp;"|"&amp;$I293&amp;"|"&amp;$J293&amp;"|"&amp;14,Assessments!$A$2:$A$600,0)),"")</f>
        <v/>
      </c>
      <c r="CI293" s="28" t="str">
        <f aca="false">IFERROR(INDEX(Assessments!$I$2:$I$600,MATCH($H293&amp;"|"&amp;$I293&amp;"|"&amp;$J293&amp;"|"&amp;1,Assessments!$A$2:$A$600,0)),"")</f>
        <v>BM Test</v>
      </c>
      <c r="CJ293" s="28" t="str">
        <f aca="false">IFERROR(INDEX(Assessments!$I$2:$I$600,MATCH($H293&amp;"|"&amp;$I293&amp;"|"&amp;$J293&amp;"|"&amp;2,Assessments!$A$2:$A$600,0)),"")</f>
        <v>BM Test</v>
      </c>
      <c r="CK293" s="28" t="str">
        <f aca="false">IFERROR(INDEX(Assessments!$I$2:$I$600,MATCH($H293&amp;"|"&amp;$I293&amp;"|"&amp;$J293&amp;"|"&amp;3,Assessments!$A$2:$A$600,0)),"")</f>
        <v>BM Test</v>
      </c>
      <c r="CL293" s="28" t="str">
        <f aca="false">IFERROR(INDEX(Assessments!$I$2:$I$600,MATCH($H293&amp;"|"&amp;$I293&amp;"|"&amp;$J293&amp;"|"&amp;4,Assessments!$A$2:$A$600,0)),"")</f>
        <v>BM Exam</v>
      </c>
      <c r="CM293" s="28" t="str">
        <f aca="false">IFERROR(INDEX(Assessments!$I$2:$I$600,MATCH($H293&amp;"|"&amp;$I293&amp;"|"&amp;$J293&amp;"|"&amp;5,Assessments!$A$2:$A$600,0)),"")</f>
        <v>BM Test</v>
      </c>
      <c r="CN293" s="28" t="str">
        <f aca="false">IFERROR(INDEX(Assessments!$I$2:$I$600,MATCH($H293&amp;"|"&amp;$I293&amp;"|"&amp;$J293&amp;"|"&amp;6,Assessments!$A$2:$A$600,0)),"")</f>
        <v>BM Test</v>
      </c>
      <c r="CO293" s="28" t="str">
        <f aca="false">IFERROR(INDEX(Assessments!$I$2:$I$600,MATCH($H293&amp;"|"&amp;$I293&amp;"|"&amp;$J293&amp;"|"&amp;7,Assessments!$A$2:$A$600,0)),"")</f>
        <v>BM Exam</v>
      </c>
      <c r="CP293" s="28" t="str">
        <f aca="false">IFERROR(INDEX(Assessments!$I$2:$I$600,MATCH($H293&amp;"|"&amp;$I293&amp;"|"&amp;$J293&amp;"|"&amp;8,Assessments!$A$2:$A$600,0)),"")</f>
        <v/>
      </c>
      <c r="CQ293" s="28" t="str">
        <f aca="false">IFERROR(INDEX(Assessments!$I$2:$I$600,MATCH($H293&amp;"|"&amp;$I293&amp;"|"&amp;$J293&amp;"|"&amp;9,Assessments!$A$2:$A$600,0)),"")</f>
        <v/>
      </c>
      <c r="CR293" s="28" t="str">
        <f aca="false">IFERROR(INDEX(Assessments!$I$2:$I$600,MATCH($H293&amp;"|"&amp;$I293&amp;"|"&amp;$J293&amp;"|"&amp;10,Assessments!$A$2:$A$600,0)),"")</f>
        <v/>
      </c>
      <c r="CS293" s="28" t="str">
        <f aca="false">IFERROR(INDEX(Assessments!$I$2:$I$600,MATCH($H293&amp;"|"&amp;$I293&amp;"|"&amp;$J293&amp;"|"&amp;11,Assessments!$A$2:$A$600,0)),"")</f>
        <v/>
      </c>
      <c r="CT293" s="28" t="str">
        <f aca="false">IFERROR(INDEX(Assessments!$I$2:$I$600,MATCH($H293&amp;"|"&amp;$I293&amp;"|"&amp;$J293&amp;"|"&amp;12,Assessments!$A$2:$A$600,0)),"")</f>
        <v/>
      </c>
      <c r="CU293" s="28" t="str">
        <f aca="false">IFERROR(INDEX(Assessments!$I$2:$I$600,MATCH($H293&amp;"|"&amp;$I293&amp;"|"&amp;$J293&amp;"|"&amp;13,Assessments!$A$2:$A$600,0)),"")</f>
        <v/>
      </c>
      <c r="CV293" s="28" t="str">
        <f aca="false">IFERROR(INDEX(Assessments!$I$2:$I$600,MATCH($H293&amp;"|"&amp;$I293&amp;"|"&amp;$J293&amp;"|"&amp;14,Assessments!$A$2:$A$600,0)),"")</f>
        <v/>
      </c>
      <c r="CW293" s="28" t="n">
        <f aca="false">IFERROR(INDEX(Assessments!$J$2:$J$600,MATCH($H293&amp;"|"&amp;$I293&amp;"|"&amp;$J293&amp;"|"&amp;1,Assessments!$A$2:$A$600,0)),0)</f>
        <v>1</v>
      </c>
      <c r="CX293" s="28" t="n">
        <f aca="false">IFERROR(INDEX(Assessments!$J$2:$J$600,MATCH($H293&amp;"|"&amp;$I293&amp;"|"&amp;$J293&amp;"|"&amp;2,Assessments!$A$2:$A$600,0)),0)</f>
        <v>1</v>
      </c>
      <c r="CY293" s="28" t="n">
        <f aca="false">IFERROR(INDEX(Assessments!$J$2:$J$600,MATCH($H293&amp;"|"&amp;$I293&amp;"|"&amp;$J293&amp;"|"&amp;3,Assessments!$A$2:$A$600,0)),0)</f>
        <v>1</v>
      </c>
      <c r="CZ293" s="28" t="n">
        <f aca="false">IFERROR(INDEX(Assessments!$J$2:$J$600,MATCH($H293&amp;"|"&amp;$I293&amp;"|"&amp;$J293&amp;"|"&amp;4,Assessments!$A$2:$A$600,0)),0)</f>
        <v>2</v>
      </c>
      <c r="DA293" s="28" t="n">
        <f aca="false">IFERROR(INDEX(Assessments!$J$2:$J$600,MATCH($H293&amp;"|"&amp;$I293&amp;"|"&amp;$J293&amp;"|"&amp;5,Assessments!$A$2:$A$600,0)),0)</f>
        <v>1</v>
      </c>
      <c r="DB293" s="28" t="n">
        <f aca="false">IFERROR(INDEX(Assessments!$J$2:$J$600,MATCH($H293&amp;"|"&amp;$I293&amp;"|"&amp;$J293&amp;"|"&amp;6,Assessments!$A$2:$A$600,0)),0)</f>
        <v>1</v>
      </c>
      <c r="DC293" s="28" t="n">
        <f aca="false">IFERROR(INDEX(Assessments!$J$2:$J$600,MATCH($H293&amp;"|"&amp;$I293&amp;"|"&amp;$J293&amp;"|"&amp;7,Assessments!$A$2:$A$600,0)),0)</f>
        <v>2</v>
      </c>
      <c r="DD293" s="28" t="n">
        <f aca="false">IFERROR(INDEX(Assessments!$J$2:$J$600,MATCH($H293&amp;"|"&amp;$I293&amp;"|"&amp;$J293&amp;"|"&amp;8,Assessments!$A$2:$A$600,0)),0)</f>
        <v>0</v>
      </c>
      <c r="DE293" s="28" t="n">
        <f aca="false">IFERROR(INDEX(Assessments!$J$2:$J$600,MATCH($H293&amp;"|"&amp;$I293&amp;"|"&amp;$J293&amp;"|"&amp;9,Assessments!$A$2:$A$600,0)),0)</f>
        <v>0</v>
      </c>
      <c r="DF293" s="28" t="n">
        <f aca="false">IFERROR(INDEX(Assessments!$J$2:$J$600,MATCH($H293&amp;"|"&amp;$I293&amp;"|"&amp;$J293&amp;"|"&amp;10,Assessments!$A$2:$A$600,0)),0)</f>
        <v>0</v>
      </c>
      <c r="DG293" s="28" t="n">
        <f aca="false">IFERROR(INDEX(Assessments!$J$2:$J$600,MATCH($H293&amp;"|"&amp;$I293&amp;"|"&amp;$J293&amp;"|"&amp;11,Assessments!$A$2:$A$600,0)),0)</f>
        <v>0</v>
      </c>
      <c r="DH293" s="28" t="n">
        <f aca="false">IFERROR(INDEX(Assessments!$J$2:$J$600,MATCH($H293&amp;"|"&amp;$I293&amp;"|"&amp;$J293&amp;"|"&amp;12,Assessments!$A$2:$A$600,0)),0)</f>
        <v>0</v>
      </c>
      <c r="DI293" s="28" t="n">
        <f aca="false">IFERROR(INDEX(Assessments!$J$2:$J$600,MATCH($H293&amp;"|"&amp;$I293&amp;"|"&amp;$J293&amp;"|"&amp;13,Assessments!$A$2:$A$600,0)),0)</f>
        <v>0</v>
      </c>
      <c r="DJ293" s="28" t="n">
        <f aca="false">IFERROR(INDEX(Assessments!$J$2:$J$600,MATCH($H293&amp;"|"&amp;$I293&amp;"|"&amp;$J293&amp;"|"&amp;14,Assessments!$A$2:$A$600,0)),0)</f>
        <v>0</v>
      </c>
      <c r="DK293" s="28" t="n">
        <f aca="false">S293</f>
        <v>7</v>
      </c>
      <c r="DL293" s="28" t="str">
        <f aca="false">W293</f>
        <v/>
      </c>
      <c r="DM293" s="28" t="str">
        <f aca="false">AA293</f>
        <v/>
      </c>
      <c r="DN293" s="28" t="str">
        <f aca="false">AE293</f>
        <v/>
      </c>
      <c r="DO293" s="28" t="str">
        <f aca="false">AI293</f>
        <v/>
      </c>
      <c r="DP293" s="28" t="str">
        <f aca="false">AM293</f>
        <v/>
      </c>
      <c r="DQ293" s="28" t="str">
        <f aca="false">AQ293</f>
        <v/>
      </c>
      <c r="DR293" s="28" t="str">
        <f aca="false">AU293</f>
        <v/>
      </c>
      <c r="DS293" s="28" t="str">
        <f aca="false">AY293</f>
        <v/>
      </c>
      <c r="DT293" s="28" t="str">
        <f aca="false">BC293</f>
        <v/>
      </c>
      <c r="DU293" s="28" t="str">
        <f aca="false">BG293</f>
        <v/>
      </c>
      <c r="DV293" s="28" t="str">
        <f aca="false">BK293</f>
        <v/>
      </c>
      <c r="DW293" s="28" t="str">
        <f aca="false">BO293</f>
        <v/>
      </c>
      <c r="DX293" s="28" t="str">
        <f aca="false">BS293</f>
        <v/>
      </c>
      <c r="DY293" s="28" t="n">
        <f aca="false">IF(ISNUMBER(S293),1,"")</f>
        <v>1</v>
      </c>
      <c r="DZ293" s="28" t="str">
        <f aca="false">IF(ISNUMBER(W293),2,"")</f>
        <v/>
      </c>
      <c r="EA293" s="28" t="str">
        <f aca="false">IF(ISNUMBER(AA293),3,"")</f>
        <v/>
      </c>
      <c r="EB293" s="28" t="str">
        <f aca="false">IF(ISNUMBER(AE293),4,"")</f>
        <v/>
      </c>
      <c r="EC293" s="28" t="str">
        <f aca="false">IF(ISNUMBER(AI293),5,"")</f>
        <v/>
      </c>
      <c r="ED293" s="28" t="str">
        <f aca="false">IF(ISNUMBER(AM293),6,"")</f>
        <v/>
      </c>
      <c r="EE293" s="28" t="str">
        <f aca="false">IF(ISNUMBER(AQ293),7,"")</f>
        <v/>
      </c>
      <c r="EF293" s="28" t="str">
        <f aca="false">IF(ISNUMBER(AU293),8,"")</f>
        <v/>
      </c>
      <c r="EG293" s="28" t="str">
        <f aca="false">IF(ISNUMBER(AY293),9,"")</f>
        <v/>
      </c>
      <c r="EH293" s="28" t="str">
        <f aca="false">IF(ISNUMBER(BC293),10,"")</f>
        <v/>
      </c>
      <c r="EI293" s="28" t="str">
        <f aca="false">IF(ISNUMBER(BG293),11,"")</f>
        <v/>
      </c>
      <c r="EJ293" s="28" t="str">
        <f aca="false">IF(ISNUMBER(BK293),12,"")</f>
        <v/>
      </c>
      <c r="EK293" s="28" t="str">
        <f aca="false">IF(ISNUMBER(BO293),13,"")</f>
        <v/>
      </c>
      <c r="EL293" s="28" t="str">
        <f aca="false">IF(ISNUMBER(BS293),14,"")</f>
        <v/>
      </c>
      <c r="EM293" s="28" t="n">
        <f aca="false">IF(ISNUMBER(R293),R293*CW293,0)</f>
        <v>87.5</v>
      </c>
      <c r="EN293" s="28" t="n">
        <f aca="false">IF(ISNUMBER(V293),V293*CX293,0)</f>
        <v>0</v>
      </c>
      <c r="EO293" s="28" t="n">
        <f aca="false">IF(ISNUMBER(Z293),Z293*CY293,0)</f>
        <v>0</v>
      </c>
      <c r="EP293" s="28" t="n">
        <f aca="false">IF(ISNUMBER(AD293),AD293*CZ293,0)</f>
        <v>0</v>
      </c>
      <c r="EQ293" s="28" t="n">
        <f aca="false">IF(ISNUMBER(AH293),AH293*DA293,0)</f>
        <v>0</v>
      </c>
      <c r="ER293" s="28" t="n">
        <f aca="false">IF(ISNUMBER(AL293),AL293*DB293,0)</f>
        <v>0</v>
      </c>
      <c r="ES293" s="28" t="n">
        <f aca="false">IF(ISNUMBER(AP293),AP293*DC293,0)</f>
        <v>0</v>
      </c>
      <c r="ET293" s="28" t="n">
        <f aca="false">IF(ISNUMBER(AT293),AT293*DD293,0)</f>
        <v>0</v>
      </c>
      <c r="EU293" s="28" t="n">
        <f aca="false">IF(ISNUMBER(AX293),AX293*DE293,0)</f>
        <v>0</v>
      </c>
      <c r="EV293" s="28" t="n">
        <f aca="false">IF(ISNUMBER(BB293),BB293*DF293,0)</f>
        <v>0</v>
      </c>
      <c r="EW293" s="28" t="n">
        <f aca="false">IF(ISNUMBER(BF293),BF293*DG293,0)</f>
        <v>0</v>
      </c>
      <c r="EX293" s="28" t="n">
        <f aca="false">IF(ISNUMBER(BJ293),BJ293*DH293,0)</f>
        <v>0</v>
      </c>
      <c r="EY293" s="28" t="n">
        <f aca="false">IF(ISNUMBER(BN293),BN293*DI293,0)</f>
        <v>0</v>
      </c>
      <c r="EZ293" s="28" t="n">
        <f aca="false">IF(ISNUMBER(BR293),BR293*DJ293,0)</f>
        <v>0</v>
      </c>
      <c r="FA293" s="28" t="n">
        <f aca="false">IF(ISNUMBER(R293),CW293,0)</f>
        <v>1</v>
      </c>
      <c r="FB293" s="28" t="n">
        <f aca="false">IF(ISNUMBER(V293),CX293,0)</f>
        <v>0</v>
      </c>
      <c r="FC293" s="28" t="n">
        <f aca="false">IF(ISNUMBER(Z293),CY293,0)</f>
        <v>0</v>
      </c>
      <c r="FD293" s="28" t="n">
        <f aca="false">IF(ISNUMBER(AD293),CZ293,0)</f>
        <v>0</v>
      </c>
      <c r="FE293" s="28" t="n">
        <f aca="false">IF(ISNUMBER(AH293),DA293,0)</f>
        <v>0</v>
      </c>
      <c r="FF293" s="28" t="n">
        <f aca="false">IF(ISNUMBER(AL293),DB293,0)</f>
        <v>0</v>
      </c>
      <c r="FG293" s="28" t="n">
        <f aca="false">IF(ISNUMBER(AP293),DC293,0)</f>
        <v>0</v>
      </c>
      <c r="FH293" s="28" t="n">
        <f aca="false">IF(ISNUMBER(AT293),DD293,0)</f>
        <v>0</v>
      </c>
      <c r="FI293" s="28" t="n">
        <f aca="false">IF(ISNUMBER(AX293),DE293,0)</f>
        <v>0</v>
      </c>
      <c r="FJ293" s="28" t="n">
        <f aca="false">IF(ISNUMBER(BB293),DF293,0)</f>
        <v>0</v>
      </c>
      <c r="FK293" s="28" t="n">
        <f aca="false">IF(ISNUMBER(BF293),DG293,0)</f>
        <v>0</v>
      </c>
      <c r="FL293" s="28" t="n">
        <f aca="false">IF(ISNUMBER(BJ293),DH293,0)</f>
        <v>0</v>
      </c>
      <c r="FM293" s="28" t="n">
        <f aca="false">IF(ISNUMBER(BN293),DI293,0)</f>
        <v>0</v>
      </c>
      <c r="FN293" s="28" t="n">
        <f aca="false">IF(ISNUMBER(BR293),DJ293,0)</f>
        <v>0</v>
      </c>
      <c r="FO293" s="28" t="str">
        <f aca="false">IFERROR(INDEX(Lists!$G$2:$G$20,MATCH($I293&amp;"|"&amp;$J293,Lists!$F$2:$F$20,0)),"")</f>
        <v>BM Exam</v>
      </c>
    </row>
    <row r="294" customFormat="false" ht="19.5" hidden="false" customHeight="true" outlineLevel="0" collapsed="false">
      <c r="A294" s="29" t="s">
        <v>478</v>
      </c>
      <c r="B294" s="29" t="s">
        <v>585</v>
      </c>
      <c r="C294" s="30" t="s">
        <v>152</v>
      </c>
      <c r="D294" s="30" t="s">
        <v>364</v>
      </c>
      <c r="E294" s="31"/>
      <c r="F294" s="30"/>
      <c r="G294" s="30"/>
      <c r="H294" s="32" t="s">
        <v>428</v>
      </c>
      <c r="I294" s="33" t="s">
        <v>365</v>
      </c>
      <c r="J294" s="32" t="s">
        <v>25</v>
      </c>
      <c r="K294" s="34" t="str">
        <f aca="false">IF(OR(M294="",$E294=""),"",M294-$E294)</f>
        <v/>
      </c>
      <c r="L294" s="35" t="n">
        <f aca="false">IF(SUM(FA294:FN294)=0,"",SUM(EM294:EZ294)/SUM(FA294:FN294))</f>
        <v>33.3333333333333</v>
      </c>
      <c r="M294" s="36" t="n">
        <f aca="false">IF(OR(L294="",FO294=""),"",IFERROR(MATCH(L294,INDEX(Boundaries!$B$2:$I$30,MATCH(FO294,Boundaries!$A$2:$A$30,0),0),1)-1,""))</f>
        <v>3</v>
      </c>
      <c r="N294" s="37" t="str">
        <f aca="false">IF(COUNT($DY294:$EL294)&lt;2,"",INDEX($DK294:$DX294,MAX($DY294:$EL294))-INDEX($DK294:$DX294,MIN($DY294:$EL294)))</f>
        <v/>
      </c>
      <c r="O294" s="37" t="str">
        <f aca="false">IF(COUNT($DY294:$EL294)&lt;2,"",INDEX($DK294:$DX294,MAX($DY294:$EL294))-INDEX($DK294:$DX294,LARGE($DY294:$EL294,2)))</f>
        <v/>
      </c>
      <c r="P294" s="38" t="str">
        <f aca="false">IF(K294="","",IF(K294&gt;=0,"On/above target",IF(AND(N294&lt;&gt;"",N294&gt;=0.5),"Improving towards target",IF(AND(O294&lt;&gt;"",O294&lt;=-0.5),"Declining","Stable below target"))))</f>
        <v/>
      </c>
      <c r="Q294" s="39" t="n">
        <v>8</v>
      </c>
      <c r="R294" s="40" t="n">
        <f aca="false">IF(OR(Q294="",BU294=""),"",Q294/BU294*100)</f>
        <v>33.3333333333333</v>
      </c>
      <c r="S294" s="41" t="n">
        <f aca="false">IF(R294="","",IFERROR(MATCH(R294,INDEX(Boundaries!$B$2:$I$30,MATCH(CI294,Boundaries!$A$2:$A$30,0),0),1)-1,""))</f>
        <v>3</v>
      </c>
      <c r="T294" s="42" t="str">
        <f aca="false">IF(OR(S294="",$E294=""),"",S294-$E294)</f>
        <v/>
      </c>
      <c r="U294" s="39"/>
      <c r="V294" s="40" t="str">
        <f aca="false">IF(OR(U294="",BV294=""),"",U294/BV294*100)</f>
        <v/>
      </c>
      <c r="W294" s="41" t="str">
        <f aca="false">IF(V294="","",IFERROR(MATCH(V294,INDEX(Boundaries!$B$2:$I$30,MATCH(CJ294,Boundaries!$A$2:$A$30,0),0),1)-1,""))</f>
        <v/>
      </c>
      <c r="X294" s="42" t="str">
        <f aca="false">IF(OR(W294="",$E294=""),"",W294-$E294)</f>
        <v/>
      </c>
      <c r="Y294" s="39"/>
      <c r="Z294" s="40" t="str">
        <f aca="false">IF(OR(Y294="",BW294=""),"",Y294/BW294*100)</f>
        <v/>
      </c>
      <c r="AA294" s="41" t="str">
        <f aca="false">IF(Z294="","",IFERROR(MATCH(Z294,INDEX(Boundaries!$B$2:$I$30,MATCH(CK294,Boundaries!$A$2:$A$30,0),0),1)-1,""))</f>
        <v/>
      </c>
      <c r="AB294" s="42" t="str">
        <f aca="false">IF(OR(AA294="",$E294=""),"",AA294-$E294)</f>
        <v/>
      </c>
      <c r="AC294" s="39"/>
      <c r="AD294" s="40" t="str">
        <f aca="false">IF(OR(AC294="",BX294=""),"",AC294/BX294*100)</f>
        <v/>
      </c>
      <c r="AE294" s="41" t="str">
        <f aca="false">IF(AD294="","",IFERROR(MATCH(AD294,INDEX(Boundaries!$B$2:$I$30,MATCH(CL294,Boundaries!$A$2:$A$30,0),0),1)-1,""))</f>
        <v/>
      </c>
      <c r="AF294" s="42" t="str">
        <f aca="false">IF(OR(AE294="",$E294=""),"",AE294-$E294)</f>
        <v/>
      </c>
      <c r="AG294" s="39"/>
      <c r="AH294" s="40" t="str">
        <f aca="false">IF(OR(AG294="",BY294=""),"",AG294/BY294*100)</f>
        <v/>
      </c>
      <c r="AI294" s="41" t="str">
        <f aca="false">IF(AH294="","",IFERROR(MATCH(AH294,INDEX(Boundaries!$B$2:$I$30,MATCH(CM294,Boundaries!$A$2:$A$30,0),0),1)-1,""))</f>
        <v/>
      </c>
      <c r="AJ294" s="42" t="str">
        <f aca="false">IF(OR(AI294="",$E294=""),"",AI294-$E294)</f>
        <v/>
      </c>
      <c r="AK294" s="39"/>
      <c r="AL294" s="40" t="str">
        <f aca="false">IF(OR(AK294="",BZ294=""),"",AK294/BZ294*100)</f>
        <v/>
      </c>
      <c r="AM294" s="41" t="str">
        <f aca="false">IF(AL294="","",IFERROR(MATCH(AL294,INDEX(Boundaries!$B$2:$I$30,MATCH(CN294,Boundaries!$A$2:$A$30,0),0),1)-1,""))</f>
        <v/>
      </c>
      <c r="AN294" s="42" t="str">
        <f aca="false">IF(OR(AM294="",$E294=""),"",AM294-$E294)</f>
        <v/>
      </c>
      <c r="AO294" s="39"/>
      <c r="AP294" s="40" t="str">
        <f aca="false">IF(OR(AO294="",CA294=""),"",AO294/CA294*100)</f>
        <v/>
      </c>
      <c r="AQ294" s="41" t="str">
        <f aca="false">IF(AP294="","",IFERROR(MATCH(AP294,INDEX(Boundaries!$B$2:$I$30,MATCH(CO294,Boundaries!$A$2:$A$30,0),0),1)-1,""))</f>
        <v/>
      </c>
      <c r="AR294" s="42" t="str">
        <f aca="false">IF(OR(AQ294="",$E294=""),"",AQ294-$E294)</f>
        <v/>
      </c>
      <c r="AS294" s="39"/>
      <c r="AT294" s="40" t="str">
        <f aca="false">IF(OR(AS294="",CB294=""),"",AS294/CB294*100)</f>
        <v/>
      </c>
      <c r="AU294" s="41" t="str">
        <f aca="false">IF(AT294="","",IFERROR(MATCH(AT294,INDEX(Boundaries!$B$2:$I$30,MATCH(CP294,Boundaries!$A$2:$A$30,0),0),1)-1,""))</f>
        <v/>
      </c>
      <c r="AV294" s="42" t="str">
        <f aca="false">IF(OR(AU294="",$E294=""),"",AU294-$E294)</f>
        <v/>
      </c>
      <c r="AW294" s="39"/>
      <c r="AX294" s="40" t="str">
        <f aca="false">IF(OR(AW294="",CC294=""),"",AW294/CC294*100)</f>
        <v/>
      </c>
      <c r="AY294" s="41" t="str">
        <f aca="false">IF(AX294="","",IFERROR(MATCH(AX294,INDEX(Boundaries!$B$2:$I$30,MATCH(CQ294,Boundaries!$A$2:$A$30,0),0),1)-1,""))</f>
        <v/>
      </c>
      <c r="AZ294" s="42" t="str">
        <f aca="false">IF(OR(AY294="",$E294=""),"",AY294-$E294)</f>
        <v/>
      </c>
      <c r="BA294" s="39"/>
      <c r="BB294" s="40" t="str">
        <f aca="false">IF(OR(BA294="",CD294=""),"",BA294/CD294*100)</f>
        <v/>
      </c>
      <c r="BC294" s="41" t="str">
        <f aca="false">IF(BB294="","",IFERROR(MATCH(BB294,INDEX(Boundaries!$B$2:$I$30,MATCH(CR294,Boundaries!$A$2:$A$30,0),0),1)-1,""))</f>
        <v/>
      </c>
      <c r="BD294" s="42" t="str">
        <f aca="false">IF(OR(BC294="",$E294=""),"",BC294-$E294)</f>
        <v/>
      </c>
      <c r="BE294" s="39"/>
      <c r="BF294" s="40" t="str">
        <f aca="false">IF(OR(BE294="",CE294=""),"",BE294/CE294*100)</f>
        <v/>
      </c>
      <c r="BG294" s="41" t="str">
        <f aca="false">IF(BF294="","",IFERROR(MATCH(BF294,INDEX(Boundaries!$B$2:$I$30,MATCH(CS294,Boundaries!$A$2:$A$30,0),0),1)-1,""))</f>
        <v/>
      </c>
      <c r="BH294" s="42" t="str">
        <f aca="false">IF(OR(BG294="",$E294=""),"",BG294-$E294)</f>
        <v/>
      </c>
      <c r="BI294" s="39"/>
      <c r="BJ294" s="40" t="str">
        <f aca="false">IF(OR(BI294="",CF294=""),"",BI294/CF294*100)</f>
        <v/>
      </c>
      <c r="BK294" s="41" t="str">
        <f aca="false">IF(BJ294="","",IFERROR(MATCH(BJ294,INDEX(Boundaries!$B$2:$I$30,MATCH(CT294,Boundaries!$A$2:$A$30,0),0),1)-1,""))</f>
        <v/>
      </c>
      <c r="BL294" s="42" t="str">
        <f aca="false">IF(OR(BK294="",$E294=""),"",BK294-$E294)</f>
        <v/>
      </c>
      <c r="BM294" s="39"/>
      <c r="BN294" s="40" t="str">
        <f aca="false">IF(OR(BM294="",CG294=""),"",BM294/CG294*100)</f>
        <v/>
      </c>
      <c r="BO294" s="41" t="str">
        <f aca="false">IF(BN294="","",IFERROR(MATCH(BN294,INDEX(Boundaries!$B$2:$I$30,MATCH(CU294,Boundaries!$A$2:$A$30,0),0),1)-1,""))</f>
        <v/>
      </c>
      <c r="BP294" s="42" t="str">
        <f aca="false">IF(OR(BO294="",$E294=""),"",BO294-$E294)</f>
        <v/>
      </c>
      <c r="BQ294" s="39"/>
      <c r="BR294" s="40" t="str">
        <f aca="false">IF(OR(BQ294="",CH294=""),"",BQ294/CH294*100)</f>
        <v/>
      </c>
      <c r="BS294" s="41" t="str">
        <f aca="false">IF(BR294="","",IFERROR(MATCH(BR294,INDEX(Boundaries!$B$2:$I$30,MATCH(CV294,Boundaries!$A$2:$A$30,0),0),1)-1,""))</f>
        <v/>
      </c>
      <c r="BT294" s="42" t="str">
        <f aca="false">IF(OR(BS294="",$E294=""),"",BS294-$E294)</f>
        <v/>
      </c>
      <c r="BU294" s="28" t="n">
        <f aca="false">IFERROR(INDEX(Assessments!$H$2:$H$600,MATCH($H294&amp;"|"&amp;$I294&amp;"|"&amp;$J294&amp;"|"&amp;1,Assessments!$A$2:$A$600,0)),"")</f>
        <v>24</v>
      </c>
      <c r="BV294" s="28" t="n">
        <f aca="false">IFERROR(INDEX(Assessments!$H$2:$H$600,MATCH($H294&amp;"|"&amp;$I294&amp;"|"&amp;$J294&amp;"|"&amp;2,Assessments!$A$2:$A$600,0)),"")</f>
        <v>20</v>
      </c>
      <c r="BW294" s="28" t="n">
        <f aca="false">IFERROR(INDEX(Assessments!$H$2:$H$600,MATCH($H294&amp;"|"&amp;$I294&amp;"|"&amp;$J294&amp;"|"&amp;3,Assessments!$A$2:$A$600,0)),"")</f>
        <v>20</v>
      </c>
      <c r="BX294" s="28" t="n">
        <f aca="false">IFERROR(INDEX(Assessments!$H$2:$H$600,MATCH($H294&amp;"|"&amp;$I294&amp;"|"&amp;$J294&amp;"|"&amp;4,Assessments!$A$2:$A$600,0)),"")</f>
        <v>40</v>
      </c>
      <c r="BY294" s="28" t="n">
        <f aca="false">IFERROR(INDEX(Assessments!$H$2:$H$600,MATCH($H294&amp;"|"&amp;$I294&amp;"|"&amp;$J294&amp;"|"&amp;5,Assessments!$A$2:$A$600,0)),"")</f>
        <v>30</v>
      </c>
      <c r="BZ294" s="28" t="n">
        <f aca="false">IFERROR(INDEX(Assessments!$H$2:$H$600,MATCH($H294&amp;"|"&amp;$I294&amp;"|"&amp;$J294&amp;"|"&amp;6,Assessments!$A$2:$A$600,0)),"")</f>
        <v>20</v>
      </c>
      <c r="CA294" s="28" t="n">
        <f aca="false">IFERROR(INDEX(Assessments!$H$2:$H$600,MATCH($H294&amp;"|"&amp;$I294&amp;"|"&amp;$J294&amp;"|"&amp;7,Assessments!$A$2:$A$600,0)),"")</f>
        <v>50</v>
      </c>
      <c r="CB294" s="28" t="str">
        <f aca="false">IFERROR(INDEX(Assessments!$H$2:$H$600,MATCH($H294&amp;"|"&amp;$I294&amp;"|"&amp;$J294&amp;"|"&amp;8,Assessments!$A$2:$A$600,0)),"")</f>
        <v/>
      </c>
      <c r="CC294" s="28" t="str">
        <f aca="false">IFERROR(INDEX(Assessments!$H$2:$H$600,MATCH($H294&amp;"|"&amp;$I294&amp;"|"&amp;$J294&amp;"|"&amp;9,Assessments!$A$2:$A$600,0)),"")</f>
        <v/>
      </c>
      <c r="CD294" s="28" t="str">
        <f aca="false">IFERROR(INDEX(Assessments!$H$2:$H$600,MATCH($H294&amp;"|"&amp;$I294&amp;"|"&amp;$J294&amp;"|"&amp;10,Assessments!$A$2:$A$600,0)),"")</f>
        <v/>
      </c>
      <c r="CE294" s="28" t="str">
        <f aca="false">IFERROR(INDEX(Assessments!$H$2:$H$600,MATCH($H294&amp;"|"&amp;$I294&amp;"|"&amp;$J294&amp;"|"&amp;11,Assessments!$A$2:$A$600,0)),"")</f>
        <v/>
      </c>
      <c r="CF294" s="28" t="str">
        <f aca="false">IFERROR(INDEX(Assessments!$H$2:$H$600,MATCH($H294&amp;"|"&amp;$I294&amp;"|"&amp;$J294&amp;"|"&amp;12,Assessments!$A$2:$A$600,0)),"")</f>
        <v/>
      </c>
      <c r="CG294" s="28" t="str">
        <f aca="false">IFERROR(INDEX(Assessments!$H$2:$H$600,MATCH($H294&amp;"|"&amp;$I294&amp;"|"&amp;$J294&amp;"|"&amp;13,Assessments!$A$2:$A$600,0)),"")</f>
        <v/>
      </c>
      <c r="CH294" s="28" t="str">
        <f aca="false">IFERROR(INDEX(Assessments!$H$2:$H$600,MATCH($H294&amp;"|"&amp;$I294&amp;"|"&amp;$J294&amp;"|"&amp;14,Assessments!$A$2:$A$600,0)),"")</f>
        <v/>
      </c>
      <c r="CI294" s="28" t="str">
        <f aca="false">IFERROR(INDEX(Assessments!$I$2:$I$600,MATCH($H294&amp;"|"&amp;$I294&amp;"|"&amp;$J294&amp;"|"&amp;1,Assessments!$A$2:$A$600,0)),"")</f>
        <v>BM Test</v>
      </c>
      <c r="CJ294" s="28" t="str">
        <f aca="false">IFERROR(INDEX(Assessments!$I$2:$I$600,MATCH($H294&amp;"|"&amp;$I294&amp;"|"&amp;$J294&amp;"|"&amp;2,Assessments!$A$2:$A$600,0)),"")</f>
        <v>BM Test</v>
      </c>
      <c r="CK294" s="28" t="str">
        <f aca="false">IFERROR(INDEX(Assessments!$I$2:$I$600,MATCH($H294&amp;"|"&amp;$I294&amp;"|"&amp;$J294&amp;"|"&amp;3,Assessments!$A$2:$A$600,0)),"")</f>
        <v>BM Test</v>
      </c>
      <c r="CL294" s="28" t="str">
        <f aca="false">IFERROR(INDEX(Assessments!$I$2:$I$600,MATCH($H294&amp;"|"&amp;$I294&amp;"|"&amp;$J294&amp;"|"&amp;4,Assessments!$A$2:$A$600,0)),"")</f>
        <v>BM Exam</v>
      </c>
      <c r="CM294" s="28" t="str">
        <f aca="false">IFERROR(INDEX(Assessments!$I$2:$I$600,MATCH($H294&amp;"|"&amp;$I294&amp;"|"&amp;$J294&amp;"|"&amp;5,Assessments!$A$2:$A$600,0)),"")</f>
        <v>BM Test</v>
      </c>
      <c r="CN294" s="28" t="str">
        <f aca="false">IFERROR(INDEX(Assessments!$I$2:$I$600,MATCH($H294&amp;"|"&amp;$I294&amp;"|"&amp;$J294&amp;"|"&amp;6,Assessments!$A$2:$A$600,0)),"")</f>
        <v>BM Test</v>
      </c>
      <c r="CO294" s="28" t="str">
        <f aca="false">IFERROR(INDEX(Assessments!$I$2:$I$600,MATCH($H294&amp;"|"&amp;$I294&amp;"|"&amp;$J294&amp;"|"&amp;7,Assessments!$A$2:$A$600,0)),"")</f>
        <v>BM Exam</v>
      </c>
      <c r="CP294" s="28" t="str">
        <f aca="false">IFERROR(INDEX(Assessments!$I$2:$I$600,MATCH($H294&amp;"|"&amp;$I294&amp;"|"&amp;$J294&amp;"|"&amp;8,Assessments!$A$2:$A$600,0)),"")</f>
        <v/>
      </c>
      <c r="CQ294" s="28" t="str">
        <f aca="false">IFERROR(INDEX(Assessments!$I$2:$I$600,MATCH($H294&amp;"|"&amp;$I294&amp;"|"&amp;$J294&amp;"|"&amp;9,Assessments!$A$2:$A$600,0)),"")</f>
        <v/>
      </c>
      <c r="CR294" s="28" t="str">
        <f aca="false">IFERROR(INDEX(Assessments!$I$2:$I$600,MATCH($H294&amp;"|"&amp;$I294&amp;"|"&amp;$J294&amp;"|"&amp;10,Assessments!$A$2:$A$600,0)),"")</f>
        <v/>
      </c>
      <c r="CS294" s="28" t="str">
        <f aca="false">IFERROR(INDEX(Assessments!$I$2:$I$600,MATCH($H294&amp;"|"&amp;$I294&amp;"|"&amp;$J294&amp;"|"&amp;11,Assessments!$A$2:$A$600,0)),"")</f>
        <v/>
      </c>
      <c r="CT294" s="28" t="str">
        <f aca="false">IFERROR(INDEX(Assessments!$I$2:$I$600,MATCH($H294&amp;"|"&amp;$I294&amp;"|"&amp;$J294&amp;"|"&amp;12,Assessments!$A$2:$A$600,0)),"")</f>
        <v/>
      </c>
      <c r="CU294" s="28" t="str">
        <f aca="false">IFERROR(INDEX(Assessments!$I$2:$I$600,MATCH($H294&amp;"|"&amp;$I294&amp;"|"&amp;$J294&amp;"|"&amp;13,Assessments!$A$2:$A$600,0)),"")</f>
        <v/>
      </c>
      <c r="CV294" s="28" t="str">
        <f aca="false">IFERROR(INDEX(Assessments!$I$2:$I$600,MATCH($H294&amp;"|"&amp;$I294&amp;"|"&amp;$J294&amp;"|"&amp;14,Assessments!$A$2:$A$600,0)),"")</f>
        <v/>
      </c>
      <c r="CW294" s="28" t="n">
        <f aca="false">IFERROR(INDEX(Assessments!$J$2:$J$600,MATCH($H294&amp;"|"&amp;$I294&amp;"|"&amp;$J294&amp;"|"&amp;1,Assessments!$A$2:$A$600,0)),0)</f>
        <v>1</v>
      </c>
      <c r="CX294" s="28" t="n">
        <f aca="false">IFERROR(INDEX(Assessments!$J$2:$J$600,MATCH($H294&amp;"|"&amp;$I294&amp;"|"&amp;$J294&amp;"|"&amp;2,Assessments!$A$2:$A$600,0)),0)</f>
        <v>1</v>
      </c>
      <c r="CY294" s="28" t="n">
        <f aca="false">IFERROR(INDEX(Assessments!$J$2:$J$600,MATCH($H294&amp;"|"&amp;$I294&amp;"|"&amp;$J294&amp;"|"&amp;3,Assessments!$A$2:$A$600,0)),0)</f>
        <v>1</v>
      </c>
      <c r="CZ294" s="28" t="n">
        <f aca="false">IFERROR(INDEX(Assessments!$J$2:$J$600,MATCH($H294&amp;"|"&amp;$I294&amp;"|"&amp;$J294&amp;"|"&amp;4,Assessments!$A$2:$A$600,0)),0)</f>
        <v>2</v>
      </c>
      <c r="DA294" s="28" t="n">
        <f aca="false">IFERROR(INDEX(Assessments!$J$2:$J$600,MATCH($H294&amp;"|"&amp;$I294&amp;"|"&amp;$J294&amp;"|"&amp;5,Assessments!$A$2:$A$600,0)),0)</f>
        <v>1</v>
      </c>
      <c r="DB294" s="28" t="n">
        <f aca="false">IFERROR(INDEX(Assessments!$J$2:$J$600,MATCH($H294&amp;"|"&amp;$I294&amp;"|"&amp;$J294&amp;"|"&amp;6,Assessments!$A$2:$A$600,0)),0)</f>
        <v>1</v>
      </c>
      <c r="DC294" s="28" t="n">
        <f aca="false">IFERROR(INDEX(Assessments!$J$2:$J$600,MATCH($H294&amp;"|"&amp;$I294&amp;"|"&amp;$J294&amp;"|"&amp;7,Assessments!$A$2:$A$600,0)),0)</f>
        <v>2</v>
      </c>
      <c r="DD294" s="28" t="n">
        <f aca="false">IFERROR(INDEX(Assessments!$J$2:$J$600,MATCH($H294&amp;"|"&amp;$I294&amp;"|"&amp;$J294&amp;"|"&amp;8,Assessments!$A$2:$A$600,0)),0)</f>
        <v>0</v>
      </c>
      <c r="DE294" s="28" t="n">
        <f aca="false">IFERROR(INDEX(Assessments!$J$2:$J$600,MATCH($H294&amp;"|"&amp;$I294&amp;"|"&amp;$J294&amp;"|"&amp;9,Assessments!$A$2:$A$600,0)),0)</f>
        <v>0</v>
      </c>
      <c r="DF294" s="28" t="n">
        <f aca="false">IFERROR(INDEX(Assessments!$J$2:$J$600,MATCH($H294&amp;"|"&amp;$I294&amp;"|"&amp;$J294&amp;"|"&amp;10,Assessments!$A$2:$A$600,0)),0)</f>
        <v>0</v>
      </c>
      <c r="DG294" s="28" t="n">
        <f aca="false">IFERROR(INDEX(Assessments!$J$2:$J$600,MATCH($H294&amp;"|"&amp;$I294&amp;"|"&amp;$J294&amp;"|"&amp;11,Assessments!$A$2:$A$600,0)),0)</f>
        <v>0</v>
      </c>
      <c r="DH294" s="28" t="n">
        <f aca="false">IFERROR(INDEX(Assessments!$J$2:$J$600,MATCH($H294&amp;"|"&amp;$I294&amp;"|"&amp;$J294&amp;"|"&amp;12,Assessments!$A$2:$A$600,0)),0)</f>
        <v>0</v>
      </c>
      <c r="DI294" s="28" t="n">
        <f aca="false">IFERROR(INDEX(Assessments!$J$2:$J$600,MATCH($H294&amp;"|"&amp;$I294&amp;"|"&amp;$J294&amp;"|"&amp;13,Assessments!$A$2:$A$600,0)),0)</f>
        <v>0</v>
      </c>
      <c r="DJ294" s="28" t="n">
        <f aca="false">IFERROR(INDEX(Assessments!$J$2:$J$600,MATCH($H294&amp;"|"&amp;$I294&amp;"|"&amp;$J294&amp;"|"&amp;14,Assessments!$A$2:$A$600,0)),0)</f>
        <v>0</v>
      </c>
      <c r="DK294" s="28" t="n">
        <f aca="false">S294</f>
        <v>3</v>
      </c>
      <c r="DL294" s="28" t="str">
        <f aca="false">W294</f>
        <v/>
      </c>
      <c r="DM294" s="28" t="str">
        <f aca="false">AA294</f>
        <v/>
      </c>
      <c r="DN294" s="28" t="str">
        <f aca="false">AE294</f>
        <v/>
      </c>
      <c r="DO294" s="28" t="str">
        <f aca="false">AI294</f>
        <v/>
      </c>
      <c r="DP294" s="28" t="str">
        <f aca="false">AM294</f>
        <v/>
      </c>
      <c r="DQ294" s="28" t="str">
        <f aca="false">AQ294</f>
        <v/>
      </c>
      <c r="DR294" s="28" t="str">
        <f aca="false">AU294</f>
        <v/>
      </c>
      <c r="DS294" s="28" t="str">
        <f aca="false">AY294</f>
        <v/>
      </c>
      <c r="DT294" s="28" t="str">
        <f aca="false">BC294</f>
        <v/>
      </c>
      <c r="DU294" s="28" t="str">
        <f aca="false">BG294</f>
        <v/>
      </c>
      <c r="DV294" s="28" t="str">
        <f aca="false">BK294</f>
        <v/>
      </c>
      <c r="DW294" s="28" t="str">
        <f aca="false">BO294</f>
        <v/>
      </c>
      <c r="DX294" s="28" t="str">
        <f aca="false">BS294</f>
        <v/>
      </c>
      <c r="DY294" s="28" t="n">
        <f aca="false">IF(ISNUMBER(S294),1,"")</f>
        <v>1</v>
      </c>
      <c r="DZ294" s="28" t="str">
        <f aca="false">IF(ISNUMBER(W294),2,"")</f>
        <v/>
      </c>
      <c r="EA294" s="28" t="str">
        <f aca="false">IF(ISNUMBER(AA294),3,"")</f>
        <v/>
      </c>
      <c r="EB294" s="28" t="str">
        <f aca="false">IF(ISNUMBER(AE294),4,"")</f>
        <v/>
      </c>
      <c r="EC294" s="28" t="str">
        <f aca="false">IF(ISNUMBER(AI294),5,"")</f>
        <v/>
      </c>
      <c r="ED294" s="28" t="str">
        <f aca="false">IF(ISNUMBER(AM294),6,"")</f>
        <v/>
      </c>
      <c r="EE294" s="28" t="str">
        <f aca="false">IF(ISNUMBER(AQ294),7,"")</f>
        <v/>
      </c>
      <c r="EF294" s="28" t="str">
        <f aca="false">IF(ISNUMBER(AU294),8,"")</f>
        <v/>
      </c>
      <c r="EG294" s="28" t="str">
        <f aca="false">IF(ISNUMBER(AY294),9,"")</f>
        <v/>
      </c>
      <c r="EH294" s="28" t="str">
        <f aca="false">IF(ISNUMBER(BC294),10,"")</f>
        <v/>
      </c>
      <c r="EI294" s="28" t="str">
        <f aca="false">IF(ISNUMBER(BG294),11,"")</f>
        <v/>
      </c>
      <c r="EJ294" s="28" t="str">
        <f aca="false">IF(ISNUMBER(BK294),12,"")</f>
        <v/>
      </c>
      <c r="EK294" s="28" t="str">
        <f aca="false">IF(ISNUMBER(BO294),13,"")</f>
        <v/>
      </c>
      <c r="EL294" s="28" t="str">
        <f aca="false">IF(ISNUMBER(BS294),14,"")</f>
        <v/>
      </c>
      <c r="EM294" s="28" t="n">
        <f aca="false">IF(ISNUMBER(R294),R294*CW294,0)</f>
        <v>33.3333333333333</v>
      </c>
      <c r="EN294" s="28" t="n">
        <f aca="false">IF(ISNUMBER(V294),V294*CX294,0)</f>
        <v>0</v>
      </c>
      <c r="EO294" s="28" t="n">
        <f aca="false">IF(ISNUMBER(Z294),Z294*CY294,0)</f>
        <v>0</v>
      </c>
      <c r="EP294" s="28" t="n">
        <f aca="false">IF(ISNUMBER(AD294),AD294*CZ294,0)</f>
        <v>0</v>
      </c>
      <c r="EQ294" s="28" t="n">
        <f aca="false">IF(ISNUMBER(AH294),AH294*DA294,0)</f>
        <v>0</v>
      </c>
      <c r="ER294" s="28" t="n">
        <f aca="false">IF(ISNUMBER(AL294),AL294*DB294,0)</f>
        <v>0</v>
      </c>
      <c r="ES294" s="28" t="n">
        <f aca="false">IF(ISNUMBER(AP294),AP294*DC294,0)</f>
        <v>0</v>
      </c>
      <c r="ET294" s="28" t="n">
        <f aca="false">IF(ISNUMBER(AT294),AT294*DD294,0)</f>
        <v>0</v>
      </c>
      <c r="EU294" s="28" t="n">
        <f aca="false">IF(ISNUMBER(AX294),AX294*DE294,0)</f>
        <v>0</v>
      </c>
      <c r="EV294" s="28" t="n">
        <f aca="false">IF(ISNUMBER(BB294),BB294*DF294,0)</f>
        <v>0</v>
      </c>
      <c r="EW294" s="28" t="n">
        <f aca="false">IF(ISNUMBER(BF294),BF294*DG294,0)</f>
        <v>0</v>
      </c>
      <c r="EX294" s="28" t="n">
        <f aca="false">IF(ISNUMBER(BJ294),BJ294*DH294,0)</f>
        <v>0</v>
      </c>
      <c r="EY294" s="28" t="n">
        <f aca="false">IF(ISNUMBER(BN294),BN294*DI294,0)</f>
        <v>0</v>
      </c>
      <c r="EZ294" s="28" t="n">
        <f aca="false">IF(ISNUMBER(BR294),BR294*DJ294,0)</f>
        <v>0</v>
      </c>
      <c r="FA294" s="28" t="n">
        <f aca="false">IF(ISNUMBER(R294),CW294,0)</f>
        <v>1</v>
      </c>
      <c r="FB294" s="28" t="n">
        <f aca="false">IF(ISNUMBER(V294),CX294,0)</f>
        <v>0</v>
      </c>
      <c r="FC294" s="28" t="n">
        <f aca="false">IF(ISNUMBER(Z294),CY294,0)</f>
        <v>0</v>
      </c>
      <c r="FD294" s="28" t="n">
        <f aca="false">IF(ISNUMBER(AD294),CZ294,0)</f>
        <v>0</v>
      </c>
      <c r="FE294" s="28" t="n">
        <f aca="false">IF(ISNUMBER(AH294),DA294,0)</f>
        <v>0</v>
      </c>
      <c r="FF294" s="28" t="n">
        <f aca="false">IF(ISNUMBER(AL294),DB294,0)</f>
        <v>0</v>
      </c>
      <c r="FG294" s="28" t="n">
        <f aca="false">IF(ISNUMBER(AP294),DC294,0)</f>
        <v>0</v>
      </c>
      <c r="FH294" s="28" t="n">
        <f aca="false">IF(ISNUMBER(AT294),DD294,0)</f>
        <v>0</v>
      </c>
      <c r="FI294" s="28" t="n">
        <f aca="false">IF(ISNUMBER(AX294),DE294,0)</f>
        <v>0</v>
      </c>
      <c r="FJ294" s="28" t="n">
        <f aca="false">IF(ISNUMBER(BB294),DF294,0)</f>
        <v>0</v>
      </c>
      <c r="FK294" s="28" t="n">
        <f aca="false">IF(ISNUMBER(BF294),DG294,0)</f>
        <v>0</v>
      </c>
      <c r="FL294" s="28" t="n">
        <f aca="false">IF(ISNUMBER(BJ294),DH294,0)</f>
        <v>0</v>
      </c>
      <c r="FM294" s="28" t="n">
        <f aca="false">IF(ISNUMBER(BN294),DI294,0)</f>
        <v>0</v>
      </c>
      <c r="FN294" s="28" t="n">
        <f aca="false">IF(ISNUMBER(BR294),DJ294,0)</f>
        <v>0</v>
      </c>
      <c r="FO294" s="28" t="str">
        <f aca="false">IFERROR(INDEX(Lists!$G$2:$G$20,MATCH($I294&amp;"|"&amp;$J294,Lists!$F$2:$F$20,0)),"")</f>
        <v>BM Exam</v>
      </c>
    </row>
    <row r="295" customFormat="false" ht="19.5" hidden="false" customHeight="true" outlineLevel="0" collapsed="false">
      <c r="A295" s="29" t="s">
        <v>586</v>
      </c>
      <c r="B295" s="29" t="s">
        <v>587</v>
      </c>
      <c r="C295" s="30" t="s">
        <v>152</v>
      </c>
      <c r="D295" s="30" t="s">
        <v>364</v>
      </c>
      <c r="E295" s="31"/>
      <c r="F295" s="30"/>
      <c r="G295" s="30"/>
      <c r="H295" s="32" t="s">
        <v>428</v>
      </c>
      <c r="I295" s="33" t="s">
        <v>365</v>
      </c>
      <c r="J295" s="32" t="s">
        <v>25</v>
      </c>
      <c r="K295" s="34" t="str">
        <f aca="false">IF(OR(M295="",$E295=""),"",M295-$E295)</f>
        <v/>
      </c>
      <c r="L295" s="35" t="n">
        <f aca="false">IF(SUM(FA295:FN295)=0,"",SUM(EM295:EZ295)/SUM(FA295:FN295))</f>
        <v>66.6666666666667</v>
      </c>
      <c r="M295" s="36" t="n">
        <f aca="false">IF(OR(L295="",FO295=""),"",IFERROR(MATCH(L295,INDEX(Boundaries!$B$2:$I$30,MATCH(FO295,Boundaries!$A$2:$A$30,0),0),1)-1,""))</f>
        <v>6</v>
      </c>
      <c r="N295" s="37" t="str">
        <f aca="false">IF(COUNT($DY295:$EL295)&lt;2,"",INDEX($DK295:$DX295,MAX($DY295:$EL295))-INDEX($DK295:$DX295,MIN($DY295:$EL295)))</f>
        <v/>
      </c>
      <c r="O295" s="37" t="str">
        <f aca="false">IF(COUNT($DY295:$EL295)&lt;2,"",INDEX($DK295:$DX295,MAX($DY295:$EL295))-INDEX($DK295:$DX295,LARGE($DY295:$EL295,2)))</f>
        <v/>
      </c>
      <c r="P295" s="38" t="str">
        <f aca="false">IF(K295="","",IF(K295&gt;=0,"On/above target",IF(AND(N295&lt;&gt;"",N295&gt;=0.5),"Improving towards target",IF(AND(O295&lt;&gt;"",O295&lt;=-0.5),"Declining","Stable below target"))))</f>
        <v/>
      </c>
      <c r="Q295" s="39" t="n">
        <v>16</v>
      </c>
      <c r="R295" s="40" t="n">
        <f aca="false">IF(OR(Q295="",BU295=""),"",Q295/BU295*100)</f>
        <v>66.6666666666667</v>
      </c>
      <c r="S295" s="41" t="n">
        <f aca="false">IF(R295="","",IFERROR(MATCH(R295,INDEX(Boundaries!$B$2:$I$30,MATCH(CI295,Boundaries!$A$2:$A$30,0),0),1)-1,""))</f>
        <v>6</v>
      </c>
      <c r="T295" s="42" t="str">
        <f aca="false">IF(OR(S295="",$E295=""),"",S295-$E295)</f>
        <v/>
      </c>
      <c r="U295" s="39"/>
      <c r="V295" s="40" t="str">
        <f aca="false">IF(OR(U295="",BV295=""),"",U295/BV295*100)</f>
        <v/>
      </c>
      <c r="W295" s="41" t="str">
        <f aca="false">IF(V295="","",IFERROR(MATCH(V295,INDEX(Boundaries!$B$2:$I$30,MATCH(CJ295,Boundaries!$A$2:$A$30,0),0),1)-1,""))</f>
        <v/>
      </c>
      <c r="X295" s="42" t="str">
        <f aca="false">IF(OR(W295="",$E295=""),"",W295-$E295)</f>
        <v/>
      </c>
      <c r="Y295" s="39"/>
      <c r="Z295" s="40" t="str">
        <f aca="false">IF(OR(Y295="",BW295=""),"",Y295/BW295*100)</f>
        <v/>
      </c>
      <c r="AA295" s="41" t="str">
        <f aca="false">IF(Z295="","",IFERROR(MATCH(Z295,INDEX(Boundaries!$B$2:$I$30,MATCH(CK295,Boundaries!$A$2:$A$30,0),0),1)-1,""))</f>
        <v/>
      </c>
      <c r="AB295" s="42" t="str">
        <f aca="false">IF(OR(AA295="",$E295=""),"",AA295-$E295)</f>
        <v/>
      </c>
      <c r="AC295" s="39"/>
      <c r="AD295" s="40" t="str">
        <f aca="false">IF(OR(AC295="",BX295=""),"",AC295/BX295*100)</f>
        <v/>
      </c>
      <c r="AE295" s="41" t="str">
        <f aca="false">IF(AD295="","",IFERROR(MATCH(AD295,INDEX(Boundaries!$B$2:$I$30,MATCH(CL295,Boundaries!$A$2:$A$30,0),0),1)-1,""))</f>
        <v/>
      </c>
      <c r="AF295" s="42" t="str">
        <f aca="false">IF(OR(AE295="",$E295=""),"",AE295-$E295)</f>
        <v/>
      </c>
      <c r="AG295" s="39"/>
      <c r="AH295" s="40" t="str">
        <f aca="false">IF(OR(AG295="",BY295=""),"",AG295/BY295*100)</f>
        <v/>
      </c>
      <c r="AI295" s="41" t="str">
        <f aca="false">IF(AH295="","",IFERROR(MATCH(AH295,INDEX(Boundaries!$B$2:$I$30,MATCH(CM295,Boundaries!$A$2:$A$30,0),0),1)-1,""))</f>
        <v/>
      </c>
      <c r="AJ295" s="42" t="str">
        <f aca="false">IF(OR(AI295="",$E295=""),"",AI295-$E295)</f>
        <v/>
      </c>
      <c r="AK295" s="39"/>
      <c r="AL295" s="40" t="str">
        <f aca="false">IF(OR(AK295="",BZ295=""),"",AK295/BZ295*100)</f>
        <v/>
      </c>
      <c r="AM295" s="41" t="str">
        <f aca="false">IF(AL295="","",IFERROR(MATCH(AL295,INDEX(Boundaries!$B$2:$I$30,MATCH(CN295,Boundaries!$A$2:$A$30,0),0),1)-1,""))</f>
        <v/>
      </c>
      <c r="AN295" s="42" t="str">
        <f aca="false">IF(OR(AM295="",$E295=""),"",AM295-$E295)</f>
        <v/>
      </c>
      <c r="AO295" s="39"/>
      <c r="AP295" s="40" t="str">
        <f aca="false">IF(OR(AO295="",CA295=""),"",AO295/CA295*100)</f>
        <v/>
      </c>
      <c r="AQ295" s="41" t="str">
        <f aca="false">IF(AP295="","",IFERROR(MATCH(AP295,INDEX(Boundaries!$B$2:$I$30,MATCH(CO295,Boundaries!$A$2:$A$30,0),0),1)-1,""))</f>
        <v/>
      </c>
      <c r="AR295" s="42" t="str">
        <f aca="false">IF(OR(AQ295="",$E295=""),"",AQ295-$E295)</f>
        <v/>
      </c>
      <c r="AS295" s="39"/>
      <c r="AT295" s="40" t="str">
        <f aca="false">IF(OR(AS295="",CB295=""),"",AS295/CB295*100)</f>
        <v/>
      </c>
      <c r="AU295" s="41" t="str">
        <f aca="false">IF(AT295="","",IFERROR(MATCH(AT295,INDEX(Boundaries!$B$2:$I$30,MATCH(CP295,Boundaries!$A$2:$A$30,0),0),1)-1,""))</f>
        <v/>
      </c>
      <c r="AV295" s="42" t="str">
        <f aca="false">IF(OR(AU295="",$E295=""),"",AU295-$E295)</f>
        <v/>
      </c>
      <c r="AW295" s="39"/>
      <c r="AX295" s="40" t="str">
        <f aca="false">IF(OR(AW295="",CC295=""),"",AW295/CC295*100)</f>
        <v/>
      </c>
      <c r="AY295" s="41" t="str">
        <f aca="false">IF(AX295="","",IFERROR(MATCH(AX295,INDEX(Boundaries!$B$2:$I$30,MATCH(CQ295,Boundaries!$A$2:$A$30,0),0),1)-1,""))</f>
        <v/>
      </c>
      <c r="AZ295" s="42" t="str">
        <f aca="false">IF(OR(AY295="",$E295=""),"",AY295-$E295)</f>
        <v/>
      </c>
      <c r="BA295" s="39"/>
      <c r="BB295" s="40" t="str">
        <f aca="false">IF(OR(BA295="",CD295=""),"",BA295/CD295*100)</f>
        <v/>
      </c>
      <c r="BC295" s="41" t="str">
        <f aca="false">IF(BB295="","",IFERROR(MATCH(BB295,INDEX(Boundaries!$B$2:$I$30,MATCH(CR295,Boundaries!$A$2:$A$30,0),0),1)-1,""))</f>
        <v/>
      </c>
      <c r="BD295" s="42" t="str">
        <f aca="false">IF(OR(BC295="",$E295=""),"",BC295-$E295)</f>
        <v/>
      </c>
      <c r="BE295" s="39"/>
      <c r="BF295" s="40" t="str">
        <f aca="false">IF(OR(BE295="",CE295=""),"",BE295/CE295*100)</f>
        <v/>
      </c>
      <c r="BG295" s="41" t="str">
        <f aca="false">IF(BF295="","",IFERROR(MATCH(BF295,INDEX(Boundaries!$B$2:$I$30,MATCH(CS295,Boundaries!$A$2:$A$30,0),0),1)-1,""))</f>
        <v/>
      </c>
      <c r="BH295" s="42" t="str">
        <f aca="false">IF(OR(BG295="",$E295=""),"",BG295-$E295)</f>
        <v/>
      </c>
      <c r="BI295" s="39"/>
      <c r="BJ295" s="40" t="str">
        <f aca="false">IF(OR(BI295="",CF295=""),"",BI295/CF295*100)</f>
        <v/>
      </c>
      <c r="BK295" s="41" t="str">
        <f aca="false">IF(BJ295="","",IFERROR(MATCH(BJ295,INDEX(Boundaries!$B$2:$I$30,MATCH(CT295,Boundaries!$A$2:$A$30,0),0),1)-1,""))</f>
        <v/>
      </c>
      <c r="BL295" s="42" t="str">
        <f aca="false">IF(OR(BK295="",$E295=""),"",BK295-$E295)</f>
        <v/>
      </c>
      <c r="BM295" s="39"/>
      <c r="BN295" s="40" t="str">
        <f aca="false">IF(OR(BM295="",CG295=""),"",BM295/CG295*100)</f>
        <v/>
      </c>
      <c r="BO295" s="41" t="str">
        <f aca="false">IF(BN295="","",IFERROR(MATCH(BN295,INDEX(Boundaries!$B$2:$I$30,MATCH(CU295,Boundaries!$A$2:$A$30,0),0),1)-1,""))</f>
        <v/>
      </c>
      <c r="BP295" s="42" t="str">
        <f aca="false">IF(OR(BO295="",$E295=""),"",BO295-$E295)</f>
        <v/>
      </c>
      <c r="BQ295" s="39"/>
      <c r="BR295" s="40" t="str">
        <f aca="false">IF(OR(BQ295="",CH295=""),"",BQ295/CH295*100)</f>
        <v/>
      </c>
      <c r="BS295" s="41" t="str">
        <f aca="false">IF(BR295="","",IFERROR(MATCH(BR295,INDEX(Boundaries!$B$2:$I$30,MATCH(CV295,Boundaries!$A$2:$A$30,0),0),1)-1,""))</f>
        <v/>
      </c>
      <c r="BT295" s="42" t="str">
        <f aca="false">IF(OR(BS295="",$E295=""),"",BS295-$E295)</f>
        <v/>
      </c>
      <c r="BU295" s="28" t="n">
        <f aca="false">IFERROR(INDEX(Assessments!$H$2:$H$600,MATCH($H295&amp;"|"&amp;$I295&amp;"|"&amp;$J295&amp;"|"&amp;1,Assessments!$A$2:$A$600,0)),"")</f>
        <v>24</v>
      </c>
      <c r="BV295" s="28" t="n">
        <f aca="false">IFERROR(INDEX(Assessments!$H$2:$H$600,MATCH($H295&amp;"|"&amp;$I295&amp;"|"&amp;$J295&amp;"|"&amp;2,Assessments!$A$2:$A$600,0)),"")</f>
        <v>20</v>
      </c>
      <c r="BW295" s="28" t="n">
        <f aca="false">IFERROR(INDEX(Assessments!$H$2:$H$600,MATCH($H295&amp;"|"&amp;$I295&amp;"|"&amp;$J295&amp;"|"&amp;3,Assessments!$A$2:$A$600,0)),"")</f>
        <v>20</v>
      </c>
      <c r="BX295" s="28" t="n">
        <f aca="false">IFERROR(INDEX(Assessments!$H$2:$H$600,MATCH($H295&amp;"|"&amp;$I295&amp;"|"&amp;$J295&amp;"|"&amp;4,Assessments!$A$2:$A$600,0)),"")</f>
        <v>40</v>
      </c>
      <c r="BY295" s="28" t="n">
        <f aca="false">IFERROR(INDEX(Assessments!$H$2:$H$600,MATCH($H295&amp;"|"&amp;$I295&amp;"|"&amp;$J295&amp;"|"&amp;5,Assessments!$A$2:$A$600,0)),"")</f>
        <v>30</v>
      </c>
      <c r="BZ295" s="28" t="n">
        <f aca="false">IFERROR(INDEX(Assessments!$H$2:$H$600,MATCH($H295&amp;"|"&amp;$I295&amp;"|"&amp;$J295&amp;"|"&amp;6,Assessments!$A$2:$A$600,0)),"")</f>
        <v>20</v>
      </c>
      <c r="CA295" s="28" t="n">
        <f aca="false">IFERROR(INDEX(Assessments!$H$2:$H$600,MATCH($H295&amp;"|"&amp;$I295&amp;"|"&amp;$J295&amp;"|"&amp;7,Assessments!$A$2:$A$600,0)),"")</f>
        <v>50</v>
      </c>
      <c r="CB295" s="28" t="str">
        <f aca="false">IFERROR(INDEX(Assessments!$H$2:$H$600,MATCH($H295&amp;"|"&amp;$I295&amp;"|"&amp;$J295&amp;"|"&amp;8,Assessments!$A$2:$A$600,0)),"")</f>
        <v/>
      </c>
      <c r="CC295" s="28" t="str">
        <f aca="false">IFERROR(INDEX(Assessments!$H$2:$H$600,MATCH($H295&amp;"|"&amp;$I295&amp;"|"&amp;$J295&amp;"|"&amp;9,Assessments!$A$2:$A$600,0)),"")</f>
        <v/>
      </c>
      <c r="CD295" s="28" t="str">
        <f aca="false">IFERROR(INDEX(Assessments!$H$2:$H$600,MATCH($H295&amp;"|"&amp;$I295&amp;"|"&amp;$J295&amp;"|"&amp;10,Assessments!$A$2:$A$600,0)),"")</f>
        <v/>
      </c>
      <c r="CE295" s="28" t="str">
        <f aca="false">IFERROR(INDEX(Assessments!$H$2:$H$600,MATCH($H295&amp;"|"&amp;$I295&amp;"|"&amp;$J295&amp;"|"&amp;11,Assessments!$A$2:$A$600,0)),"")</f>
        <v/>
      </c>
      <c r="CF295" s="28" t="str">
        <f aca="false">IFERROR(INDEX(Assessments!$H$2:$H$600,MATCH($H295&amp;"|"&amp;$I295&amp;"|"&amp;$J295&amp;"|"&amp;12,Assessments!$A$2:$A$600,0)),"")</f>
        <v/>
      </c>
      <c r="CG295" s="28" t="str">
        <f aca="false">IFERROR(INDEX(Assessments!$H$2:$H$600,MATCH($H295&amp;"|"&amp;$I295&amp;"|"&amp;$J295&amp;"|"&amp;13,Assessments!$A$2:$A$600,0)),"")</f>
        <v/>
      </c>
      <c r="CH295" s="28" t="str">
        <f aca="false">IFERROR(INDEX(Assessments!$H$2:$H$600,MATCH($H295&amp;"|"&amp;$I295&amp;"|"&amp;$J295&amp;"|"&amp;14,Assessments!$A$2:$A$600,0)),"")</f>
        <v/>
      </c>
      <c r="CI295" s="28" t="str">
        <f aca="false">IFERROR(INDEX(Assessments!$I$2:$I$600,MATCH($H295&amp;"|"&amp;$I295&amp;"|"&amp;$J295&amp;"|"&amp;1,Assessments!$A$2:$A$600,0)),"")</f>
        <v>BM Test</v>
      </c>
      <c r="CJ295" s="28" t="str">
        <f aca="false">IFERROR(INDEX(Assessments!$I$2:$I$600,MATCH($H295&amp;"|"&amp;$I295&amp;"|"&amp;$J295&amp;"|"&amp;2,Assessments!$A$2:$A$600,0)),"")</f>
        <v>BM Test</v>
      </c>
      <c r="CK295" s="28" t="str">
        <f aca="false">IFERROR(INDEX(Assessments!$I$2:$I$600,MATCH($H295&amp;"|"&amp;$I295&amp;"|"&amp;$J295&amp;"|"&amp;3,Assessments!$A$2:$A$600,0)),"")</f>
        <v>BM Test</v>
      </c>
      <c r="CL295" s="28" t="str">
        <f aca="false">IFERROR(INDEX(Assessments!$I$2:$I$600,MATCH($H295&amp;"|"&amp;$I295&amp;"|"&amp;$J295&amp;"|"&amp;4,Assessments!$A$2:$A$600,0)),"")</f>
        <v>BM Exam</v>
      </c>
      <c r="CM295" s="28" t="str">
        <f aca="false">IFERROR(INDEX(Assessments!$I$2:$I$600,MATCH($H295&amp;"|"&amp;$I295&amp;"|"&amp;$J295&amp;"|"&amp;5,Assessments!$A$2:$A$600,0)),"")</f>
        <v>BM Test</v>
      </c>
      <c r="CN295" s="28" t="str">
        <f aca="false">IFERROR(INDEX(Assessments!$I$2:$I$600,MATCH($H295&amp;"|"&amp;$I295&amp;"|"&amp;$J295&amp;"|"&amp;6,Assessments!$A$2:$A$600,0)),"")</f>
        <v>BM Test</v>
      </c>
      <c r="CO295" s="28" t="str">
        <f aca="false">IFERROR(INDEX(Assessments!$I$2:$I$600,MATCH($H295&amp;"|"&amp;$I295&amp;"|"&amp;$J295&amp;"|"&amp;7,Assessments!$A$2:$A$600,0)),"")</f>
        <v>BM Exam</v>
      </c>
      <c r="CP295" s="28" t="str">
        <f aca="false">IFERROR(INDEX(Assessments!$I$2:$I$600,MATCH($H295&amp;"|"&amp;$I295&amp;"|"&amp;$J295&amp;"|"&amp;8,Assessments!$A$2:$A$600,0)),"")</f>
        <v/>
      </c>
      <c r="CQ295" s="28" t="str">
        <f aca="false">IFERROR(INDEX(Assessments!$I$2:$I$600,MATCH($H295&amp;"|"&amp;$I295&amp;"|"&amp;$J295&amp;"|"&amp;9,Assessments!$A$2:$A$600,0)),"")</f>
        <v/>
      </c>
      <c r="CR295" s="28" t="str">
        <f aca="false">IFERROR(INDEX(Assessments!$I$2:$I$600,MATCH($H295&amp;"|"&amp;$I295&amp;"|"&amp;$J295&amp;"|"&amp;10,Assessments!$A$2:$A$600,0)),"")</f>
        <v/>
      </c>
      <c r="CS295" s="28" t="str">
        <f aca="false">IFERROR(INDEX(Assessments!$I$2:$I$600,MATCH($H295&amp;"|"&amp;$I295&amp;"|"&amp;$J295&amp;"|"&amp;11,Assessments!$A$2:$A$600,0)),"")</f>
        <v/>
      </c>
      <c r="CT295" s="28" t="str">
        <f aca="false">IFERROR(INDEX(Assessments!$I$2:$I$600,MATCH($H295&amp;"|"&amp;$I295&amp;"|"&amp;$J295&amp;"|"&amp;12,Assessments!$A$2:$A$600,0)),"")</f>
        <v/>
      </c>
      <c r="CU295" s="28" t="str">
        <f aca="false">IFERROR(INDEX(Assessments!$I$2:$I$600,MATCH($H295&amp;"|"&amp;$I295&amp;"|"&amp;$J295&amp;"|"&amp;13,Assessments!$A$2:$A$600,0)),"")</f>
        <v/>
      </c>
      <c r="CV295" s="28" t="str">
        <f aca="false">IFERROR(INDEX(Assessments!$I$2:$I$600,MATCH($H295&amp;"|"&amp;$I295&amp;"|"&amp;$J295&amp;"|"&amp;14,Assessments!$A$2:$A$600,0)),"")</f>
        <v/>
      </c>
      <c r="CW295" s="28" t="n">
        <f aca="false">IFERROR(INDEX(Assessments!$J$2:$J$600,MATCH($H295&amp;"|"&amp;$I295&amp;"|"&amp;$J295&amp;"|"&amp;1,Assessments!$A$2:$A$600,0)),0)</f>
        <v>1</v>
      </c>
      <c r="CX295" s="28" t="n">
        <f aca="false">IFERROR(INDEX(Assessments!$J$2:$J$600,MATCH($H295&amp;"|"&amp;$I295&amp;"|"&amp;$J295&amp;"|"&amp;2,Assessments!$A$2:$A$600,0)),0)</f>
        <v>1</v>
      </c>
      <c r="CY295" s="28" t="n">
        <f aca="false">IFERROR(INDEX(Assessments!$J$2:$J$600,MATCH($H295&amp;"|"&amp;$I295&amp;"|"&amp;$J295&amp;"|"&amp;3,Assessments!$A$2:$A$600,0)),0)</f>
        <v>1</v>
      </c>
      <c r="CZ295" s="28" t="n">
        <f aca="false">IFERROR(INDEX(Assessments!$J$2:$J$600,MATCH($H295&amp;"|"&amp;$I295&amp;"|"&amp;$J295&amp;"|"&amp;4,Assessments!$A$2:$A$600,0)),0)</f>
        <v>2</v>
      </c>
      <c r="DA295" s="28" t="n">
        <f aca="false">IFERROR(INDEX(Assessments!$J$2:$J$600,MATCH($H295&amp;"|"&amp;$I295&amp;"|"&amp;$J295&amp;"|"&amp;5,Assessments!$A$2:$A$600,0)),0)</f>
        <v>1</v>
      </c>
      <c r="DB295" s="28" t="n">
        <f aca="false">IFERROR(INDEX(Assessments!$J$2:$J$600,MATCH($H295&amp;"|"&amp;$I295&amp;"|"&amp;$J295&amp;"|"&amp;6,Assessments!$A$2:$A$600,0)),0)</f>
        <v>1</v>
      </c>
      <c r="DC295" s="28" t="n">
        <f aca="false">IFERROR(INDEX(Assessments!$J$2:$J$600,MATCH($H295&amp;"|"&amp;$I295&amp;"|"&amp;$J295&amp;"|"&amp;7,Assessments!$A$2:$A$600,0)),0)</f>
        <v>2</v>
      </c>
      <c r="DD295" s="28" t="n">
        <f aca="false">IFERROR(INDEX(Assessments!$J$2:$J$600,MATCH($H295&amp;"|"&amp;$I295&amp;"|"&amp;$J295&amp;"|"&amp;8,Assessments!$A$2:$A$600,0)),0)</f>
        <v>0</v>
      </c>
      <c r="DE295" s="28" t="n">
        <f aca="false">IFERROR(INDEX(Assessments!$J$2:$J$600,MATCH($H295&amp;"|"&amp;$I295&amp;"|"&amp;$J295&amp;"|"&amp;9,Assessments!$A$2:$A$600,0)),0)</f>
        <v>0</v>
      </c>
      <c r="DF295" s="28" t="n">
        <f aca="false">IFERROR(INDEX(Assessments!$J$2:$J$600,MATCH($H295&amp;"|"&amp;$I295&amp;"|"&amp;$J295&amp;"|"&amp;10,Assessments!$A$2:$A$600,0)),0)</f>
        <v>0</v>
      </c>
      <c r="DG295" s="28" t="n">
        <f aca="false">IFERROR(INDEX(Assessments!$J$2:$J$600,MATCH($H295&amp;"|"&amp;$I295&amp;"|"&amp;$J295&amp;"|"&amp;11,Assessments!$A$2:$A$600,0)),0)</f>
        <v>0</v>
      </c>
      <c r="DH295" s="28" t="n">
        <f aca="false">IFERROR(INDEX(Assessments!$J$2:$J$600,MATCH($H295&amp;"|"&amp;$I295&amp;"|"&amp;$J295&amp;"|"&amp;12,Assessments!$A$2:$A$600,0)),0)</f>
        <v>0</v>
      </c>
      <c r="DI295" s="28" t="n">
        <f aca="false">IFERROR(INDEX(Assessments!$J$2:$J$600,MATCH($H295&amp;"|"&amp;$I295&amp;"|"&amp;$J295&amp;"|"&amp;13,Assessments!$A$2:$A$600,0)),0)</f>
        <v>0</v>
      </c>
      <c r="DJ295" s="28" t="n">
        <f aca="false">IFERROR(INDEX(Assessments!$J$2:$J$600,MATCH($H295&amp;"|"&amp;$I295&amp;"|"&amp;$J295&amp;"|"&amp;14,Assessments!$A$2:$A$600,0)),0)</f>
        <v>0</v>
      </c>
      <c r="DK295" s="28" t="n">
        <f aca="false">S295</f>
        <v>6</v>
      </c>
      <c r="DL295" s="28" t="str">
        <f aca="false">W295</f>
        <v/>
      </c>
      <c r="DM295" s="28" t="str">
        <f aca="false">AA295</f>
        <v/>
      </c>
      <c r="DN295" s="28" t="str">
        <f aca="false">AE295</f>
        <v/>
      </c>
      <c r="DO295" s="28" t="str">
        <f aca="false">AI295</f>
        <v/>
      </c>
      <c r="DP295" s="28" t="str">
        <f aca="false">AM295</f>
        <v/>
      </c>
      <c r="DQ295" s="28" t="str">
        <f aca="false">AQ295</f>
        <v/>
      </c>
      <c r="DR295" s="28" t="str">
        <f aca="false">AU295</f>
        <v/>
      </c>
      <c r="DS295" s="28" t="str">
        <f aca="false">AY295</f>
        <v/>
      </c>
      <c r="DT295" s="28" t="str">
        <f aca="false">BC295</f>
        <v/>
      </c>
      <c r="DU295" s="28" t="str">
        <f aca="false">BG295</f>
        <v/>
      </c>
      <c r="DV295" s="28" t="str">
        <f aca="false">BK295</f>
        <v/>
      </c>
      <c r="DW295" s="28" t="str">
        <f aca="false">BO295</f>
        <v/>
      </c>
      <c r="DX295" s="28" t="str">
        <f aca="false">BS295</f>
        <v/>
      </c>
      <c r="DY295" s="28" t="n">
        <f aca="false">IF(ISNUMBER(S295),1,"")</f>
        <v>1</v>
      </c>
      <c r="DZ295" s="28" t="str">
        <f aca="false">IF(ISNUMBER(W295),2,"")</f>
        <v/>
      </c>
      <c r="EA295" s="28" t="str">
        <f aca="false">IF(ISNUMBER(AA295),3,"")</f>
        <v/>
      </c>
      <c r="EB295" s="28" t="str">
        <f aca="false">IF(ISNUMBER(AE295),4,"")</f>
        <v/>
      </c>
      <c r="EC295" s="28" t="str">
        <f aca="false">IF(ISNUMBER(AI295),5,"")</f>
        <v/>
      </c>
      <c r="ED295" s="28" t="str">
        <f aca="false">IF(ISNUMBER(AM295),6,"")</f>
        <v/>
      </c>
      <c r="EE295" s="28" t="str">
        <f aca="false">IF(ISNUMBER(AQ295),7,"")</f>
        <v/>
      </c>
      <c r="EF295" s="28" t="str">
        <f aca="false">IF(ISNUMBER(AU295),8,"")</f>
        <v/>
      </c>
      <c r="EG295" s="28" t="str">
        <f aca="false">IF(ISNUMBER(AY295),9,"")</f>
        <v/>
      </c>
      <c r="EH295" s="28" t="str">
        <f aca="false">IF(ISNUMBER(BC295),10,"")</f>
        <v/>
      </c>
      <c r="EI295" s="28" t="str">
        <f aca="false">IF(ISNUMBER(BG295),11,"")</f>
        <v/>
      </c>
      <c r="EJ295" s="28" t="str">
        <f aca="false">IF(ISNUMBER(BK295),12,"")</f>
        <v/>
      </c>
      <c r="EK295" s="28" t="str">
        <f aca="false">IF(ISNUMBER(BO295),13,"")</f>
        <v/>
      </c>
      <c r="EL295" s="28" t="str">
        <f aca="false">IF(ISNUMBER(BS295),14,"")</f>
        <v/>
      </c>
      <c r="EM295" s="28" t="n">
        <f aca="false">IF(ISNUMBER(R295),R295*CW295,0)</f>
        <v>66.6666666666667</v>
      </c>
      <c r="EN295" s="28" t="n">
        <f aca="false">IF(ISNUMBER(V295),V295*CX295,0)</f>
        <v>0</v>
      </c>
      <c r="EO295" s="28" t="n">
        <f aca="false">IF(ISNUMBER(Z295),Z295*CY295,0)</f>
        <v>0</v>
      </c>
      <c r="EP295" s="28" t="n">
        <f aca="false">IF(ISNUMBER(AD295),AD295*CZ295,0)</f>
        <v>0</v>
      </c>
      <c r="EQ295" s="28" t="n">
        <f aca="false">IF(ISNUMBER(AH295),AH295*DA295,0)</f>
        <v>0</v>
      </c>
      <c r="ER295" s="28" t="n">
        <f aca="false">IF(ISNUMBER(AL295),AL295*DB295,0)</f>
        <v>0</v>
      </c>
      <c r="ES295" s="28" t="n">
        <f aca="false">IF(ISNUMBER(AP295),AP295*DC295,0)</f>
        <v>0</v>
      </c>
      <c r="ET295" s="28" t="n">
        <f aca="false">IF(ISNUMBER(AT295),AT295*DD295,0)</f>
        <v>0</v>
      </c>
      <c r="EU295" s="28" t="n">
        <f aca="false">IF(ISNUMBER(AX295),AX295*DE295,0)</f>
        <v>0</v>
      </c>
      <c r="EV295" s="28" t="n">
        <f aca="false">IF(ISNUMBER(BB295),BB295*DF295,0)</f>
        <v>0</v>
      </c>
      <c r="EW295" s="28" t="n">
        <f aca="false">IF(ISNUMBER(BF295),BF295*DG295,0)</f>
        <v>0</v>
      </c>
      <c r="EX295" s="28" t="n">
        <f aca="false">IF(ISNUMBER(BJ295),BJ295*DH295,0)</f>
        <v>0</v>
      </c>
      <c r="EY295" s="28" t="n">
        <f aca="false">IF(ISNUMBER(BN295),BN295*DI295,0)</f>
        <v>0</v>
      </c>
      <c r="EZ295" s="28" t="n">
        <f aca="false">IF(ISNUMBER(BR295),BR295*DJ295,0)</f>
        <v>0</v>
      </c>
      <c r="FA295" s="28" t="n">
        <f aca="false">IF(ISNUMBER(R295),CW295,0)</f>
        <v>1</v>
      </c>
      <c r="FB295" s="28" t="n">
        <f aca="false">IF(ISNUMBER(V295),CX295,0)</f>
        <v>0</v>
      </c>
      <c r="FC295" s="28" t="n">
        <f aca="false">IF(ISNUMBER(Z295),CY295,0)</f>
        <v>0</v>
      </c>
      <c r="FD295" s="28" t="n">
        <f aca="false">IF(ISNUMBER(AD295),CZ295,0)</f>
        <v>0</v>
      </c>
      <c r="FE295" s="28" t="n">
        <f aca="false">IF(ISNUMBER(AH295),DA295,0)</f>
        <v>0</v>
      </c>
      <c r="FF295" s="28" t="n">
        <f aca="false">IF(ISNUMBER(AL295),DB295,0)</f>
        <v>0</v>
      </c>
      <c r="FG295" s="28" t="n">
        <f aca="false">IF(ISNUMBER(AP295),DC295,0)</f>
        <v>0</v>
      </c>
      <c r="FH295" s="28" t="n">
        <f aca="false">IF(ISNUMBER(AT295),DD295,0)</f>
        <v>0</v>
      </c>
      <c r="FI295" s="28" t="n">
        <f aca="false">IF(ISNUMBER(AX295),DE295,0)</f>
        <v>0</v>
      </c>
      <c r="FJ295" s="28" t="n">
        <f aca="false">IF(ISNUMBER(BB295),DF295,0)</f>
        <v>0</v>
      </c>
      <c r="FK295" s="28" t="n">
        <f aca="false">IF(ISNUMBER(BF295),DG295,0)</f>
        <v>0</v>
      </c>
      <c r="FL295" s="28" t="n">
        <f aca="false">IF(ISNUMBER(BJ295),DH295,0)</f>
        <v>0</v>
      </c>
      <c r="FM295" s="28" t="n">
        <f aca="false">IF(ISNUMBER(BN295),DI295,0)</f>
        <v>0</v>
      </c>
      <c r="FN295" s="28" t="n">
        <f aca="false">IF(ISNUMBER(BR295),DJ295,0)</f>
        <v>0</v>
      </c>
      <c r="FO295" s="28" t="str">
        <f aca="false">IFERROR(INDEX(Lists!$G$2:$G$20,MATCH($I295&amp;"|"&amp;$J295,Lists!$F$2:$F$20,0)),"")</f>
        <v>BM Exam</v>
      </c>
    </row>
    <row r="296" customFormat="false" ht="19.5" hidden="false" customHeight="true" outlineLevel="0" collapsed="false">
      <c r="A296" s="29" t="s">
        <v>588</v>
      </c>
      <c r="B296" s="29" t="s">
        <v>589</v>
      </c>
      <c r="C296" s="30" t="s">
        <v>152</v>
      </c>
      <c r="D296" s="30" t="s">
        <v>364</v>
      </c>
      <c r="E296" s="31"/>
      <c r="F296" s="30"/>
      <c r="G296" s="30"/>
      <c r="H296" s="32" t="s">
        <v>428</v>
      </c>
      <c r="I296" s="33" t="s">
        <v>365</v>
      </c>
      <c r="J296" s="32" t="s">
        <v>25</v>
      </c>
      <c r="K296" s="34" t="str">
        <f aca="false">IF(OR(M296="",$E296=""),"",M296-$E296)</f>
        <v/>
      </c>
      <c r="L296" s="35" t="n">
        <f aca="false">IF(SUM(FA296:FN296)=0,"",SUM(EM296:EZ296)/SUM(FA296:FN296))</f>
        <v>79.1666666666667</v>
      </c>
      <c r="M296" s="36" t="n">
        <f aca="false">IF(OR(L296="",FO296=""),"",IFERROR(MATCH(L296,INDEX(Boundaries!$B$2:$I$30,MATCH(FO296,Boundaries!$A$2:$A$30,0),0),1)-1,""))</f>
        <v>7</v>
      </c>
      <c r="N296" s="37" t="str">
        <f aca="false">IF(COUNT($DY296:$EL296)&lt;2,"",INDEX($DK296:$DX296,MAX($DY296:$EL296))-INDEX($DK296:$DX296,MIN($DY296:$EL296)))</f>
        <v/>
      </c>
      <c r="O296" s="37" t="str">
        <f aca="false">IF(COUNT($DY296:$EL296)&lt;2,"",INDEX($DK296:$DX296,MAX($DY296:$EL296))-INDEX($DK296:$DX296,LARGE($DY296:$EL296,2)))</f>
        <v/>
      </c>
      <c r="P296" s="38" t="str">
        <f aca="false">IF(K296="","",IF(K296&gt;=0,"On/above target",IF(AND(N296&lt;&gt;"",N296&gt;=0.5),"Improving towards target",IF(AND(O296&lt;&gt;"",O296&lt;=-0.5),"Declining","Stable below target"))))</f>
        <v/>
      </c>
      <c r="Q296" s="39" t="n">
        <v>19</v>
      </c>
      <c r="R296" s="40" t="n">
        <f aca="false">IF(OR(Q296="",BU296=""),"",Q296/BU296*100)</f>
        <v>79.1666666666667</v>
      </c>
      <c r="S296" s="41" t="n">
        <f aca="false">IF(R296="","",IFERROR(MATCH(R296,INDEX(Boundaries!$B$2:$I$30,MATCH(CI296,Boundaries!$A$2:$A$30,0),0),1)-1,""))</f>
        <v>7</v>
      </c>
      <c r="T296" s="42" t="str">
        <f aca="false">IF(OR(S296="",$E296=""),"",S296-$E296)</f>
        <v/>
      </c>
      <c r="U296" s="39"/>
      <c r="V296" s="40" t="str">
        <f aca="false">IF(OR(U296="",BV296=""),"",U296/BV296*100)</f>
        <v/>
      </c>
      <c r="W296" s="41" t="str">
        <f aca="false">IF(V296="","",IFERROR(MATCH(V296,INDEX(Boundaries!$B$2:$I$30,MATCH(CJ296,Boundaries!$A$2:$A$30,0),0),1)-1,""))</f>
        <v/>
      </c>
      <c r="X296" s="42" t="str">
        <f aca="false">IF(OR(W296="",$E296=""),"",W296-$E296)</f>
        <v/>
      </c>
      <c r="Y296" s="39"/>
      <c r="Z296" s="40" t="str">
        <f aca="false">IF(OR(Y296="",BW296=""),"",Y296/BW296*100)</f>
        <v/>
      </c>
      <c r="AA296" s="41" t="str">
        <f aca="false">IF(Z296="","",IFERROR(MATCH(Z296,INDEX(Boundaries!$B$2:$I$30,MATCH(CK296,Boundaries!$A$2:$A$30,0),0),1)-1,""))</f>
        <v/>
      </c>
      <c r="AB296" s="42" t="str">
        <f aca="false">IF(OR(AA296="",$E296=""),"",AA296-$E296)</f>
        <v/>
      </c>
      <c r="AC296" s="39"/>
      <c r="AD296" s="40" t="str">
        <f aca="false">IF(OR(AC296="",BX296=""),"",AC296/BX296*100)</f>
        <v/>
      </c>
      <c r="AE296" s="41" t="str">
        <f aca="false">IF(AD296="","",IFERROR(MATCH(AD296,INDEX(Boundaries!$B$2:$I$30,MATCH(CL296,Boundaries!$A$2:$A$30,0),0),1)-1,""))</f>
        <v/>
      </c>
      <c r="AF296" s="42" t="str">
        <f aca="false">IF(OR(AE296="",$E296=""),"",AE296-$E296)</f>
        <v/>
      </c>
      <c r="AG296" s="39"/>
      <c r="AH296" s="40" t="str">
        <f aca="false">IF(OR(AG296="",BY296=""),"",AG296/BY296*100)</f>
        <v/>
      </c>
      <c r="AI296" s="41" t="str">
        <f aca="false">IF(AH296="","",IFERROR(MATCH(AH296,INDEX(Boundaries!$B$2:$I$30,MATCH(CM296,Boundaries!$A$2:$A$30,0),0),1)-1,""))</f>
        <v/>
      </c>
      <c r="AJ296" s="42" t="str">
        <f aca="false">IF(OR(AI296="",$E296=""),"",AI296-$E296)</f>
        <v/>
      </c>
      <c r="AK296" s="39"/>
      <c r="AL296" s="40" t="str">
        <f aca="false">IF(OR(AK296="",BZ296=""),"",AK296/BZ296*100)</f>
        <v/>
      </c>
      <c r="AM296" s="41" t="str">
        <f aca="false">IF(AL296="","",IFERROR(MATCH(AL296,INDEX(Boundaries!$B$2:$I$30,MATCH(CN296,Boundaries!$A$2:$A$30,0),0),1)-1,""))</f>
        <v/>
      </c>
      <c r="AN296" s="42" t="str">
        <f aca="false">IF(OR(AM296="",$E296=""),"",AM296-$E296)</f>
        <v/>
      </c>
      <c r="AO296" s="39"/>
      <c r="AP296" s="40" t="str">
        <f aca="false">IF(OR(AO296="",CA296=""),"",AO296/CA296*100)</f>
        <v/>
      </c>
      <c r="AQ296" s="41" t="str">
        <f aca="false">IF(AP296="","",IFERROR(MATCH(AP296,INDEX(Boundaries!$B$2:$I$30,MATCH(CO296,Boundaries!$A$2:$A$30,0),0),1)-1,""))</f>
        <v/>
      </c>
      <c r="AR296" s="42" t="str">
        <f aca="false">IF(OR(AQ296="",$E296=""),"",AQ296-$E296)</f>
        <v/>
      </c>
      <c r="AS296" s="39"/>
      <c r="AT296" s="40" t="str">
        <f aca="false">IF(OR(AS296="",CB296=""),"",AS296/CB296*100)</f>
        <v/>
      </c>
      <c r="AU296" s="41" t="str">
        <f aca="false">IF(AT296="","",IFERROR(MATCH(AT296,INDEX(Boundaries!$B$2:$I$30,MATCH(CP296,Boundaries!$A$2:$A$30,0),0),1)-1,""))</f>
        <v/>
      </c>
      <c r="AV296" s="42" t="str">
        <f aca="false">IF(OR(AU296="",$E296=""),"",AU296-$E296)</f>
        <v/>
      </c>
      <c r="AW296" s="39"/>
      <c r="AX296" s="40" t="str">
        <f aca="false">IF(OR(AW296="",CC296=""),"",AW296/CC296*100)</f>
        <v/>
      </c>
      <c r="AY296" s="41" t="str">
        <f aca="false">IF(AX296="","",IFERROR(MATCH(AX296,INDEX(Boundaries!$B$2:$I$30,MATCH(CQ296,Boundaries!$A$2:$A$30,0),0),1)-1,""))</f>
        <v/>
      </c>
      <c r="AZ296" s="42" t="str">
        <f aca="false">IF(OR(AY296="",$E296=""),"",AY296-$E296)</f>
        <v/>
      </c>
      <c r="BA296" s="39"/>
      <c r="BB296" s="40" t="str">
        <f aca="false">IF(OR(BA296="",CD296=""),"",BA296/CD296*100)</f>
        <v/>
      </c>
      <c r="BC296" s="41" t="str">
        <f aca="false">IF(BB296="","",IFERROR(MATCH(BB296,INDEX(Boundaries!$B$2:$I$30,MATCH(CR296,Boundaries!$A$2:$A$30,0),0),1)-1,""))</f>
        <v/>
      </c>
      <c r="BD296" s="42" t="str">
        <f aca="false">IF(OR(BC296="",$E296=""),"",BC296-$E296)</f>
        <v/>
      </c>
      <c r="BE296" s="39"/>
      <c r="BF296" s="40" t="str">
        <f aca="false">IF(OR(BE296="",CE296=""),"",BE296/CE296*100)</f>
        <v/>
      </c>
      <c r="BG296" s="41" t="str">
        <f aca="false">IF(BF296="","",IFERROR(MATCH(BF296,INDEX(Boundaries!$B$2:$I$30,MATCH(CS296,Boundaries!$A$2:$A$30,0),0),1)-1,""))</f>
        <v/>
      </c>
      <c r="BH296" s="42" t="str">
        <f aca="false">IF(OR(BG296="",$E296=""),"",BG296-$E296)</f>
        <v/>
      </c>
      <c r="BI296" s="39"/>
      <c r="BJ296" s="40" t="str">
        <f aca="false">IF(OR(BI296="",CF296=""),"",BI296/CF296*100)</f>
        <v/>
      </c>
      <c r="BK296" s="41" t="str">
        <f aca="false">IF(BJ296="","",IFERROR(MATCH(BJ296,INDEX(Boundaries!$B$2:$I$30,MATCH(CT296,Boundaries!$A$2:$A$30,0),0),1)-1,""))</f>
        <v/>
      </c>
      <c r="BL296" s="42" t="str">
        <f aca="false">IF(OR(BK296="",$E296=""),"",BK296-$E296)</f>
        <v/>
      </c>
      <c r="BM296" s="39"/>
      <c r="BN296" s="40" t="str">
        <f aca="false">IF(OR(BM296="",CG296=""),"",BM296/CG296*100)</f>
        <v/>
      </c>
      <c r="BO296" s="41" t="str">
        <f aca="false">IF(BN296="","",IFERROR(MATCH(BN296,INDEX(Boundaries!$B$2:$I$30,MATCH(CU296,Boundaries!$A$2:$A$30,0),0),1)-1,""))</f>
        <v/>
      </c>
      <c r="BP296" s="42" t="str">
        <f aca="false">IF(OR(BO296="",$E296=""),"",BO296-$E296)</f>
        <v/>
      </c>
      <c r="BQ296" s="39"/>
      <c r="BR296" s="40" t="str">
        <f aca="false">IF(OR(BQ296="",CH296=""),"",BQ296/CH296*100)</f>
        <v/>
      </c>
      <c r="BS296" s="41" t="str">
        <f aca="false">IF(BR296="","",IFERROR(MATCH(BR296,INDEX(Boundaries!$B$2:$I$30,MATCH(CV296,Boundaries!$A$2:$A$30,0),0),1)-1,""))</f>
        <v/>
      </c>
      <c r="BT296" s="42" t="str">
        <f aca="false">IF(OR(BS296="",$E296=""),"",BS296-$E296)</f>
        <v/>
      </c>
      <c r="BU296" s="28" t="n">
        <f aca="false">IFERROR(INDEX(Assessments!$H$2:$H$600,MATCH($H296&amp;"|"&amp;$I296&amp;"|"&amp;$J296&amp;"|"&amp;1,Assessments!$A$2:$A$600,0)),"")</f>
        <v>24</v>
      </c>
      <c r="BV296" s="28" t="n">
        <f aca="false">IFERROR(INDEX(Assessments!$H$2:$H$600,MATCH($H296&amp;"|"&amp;$I296&amp;"|"&amp;$J296&amp;"|"&amp;2,Assessments!$A$2:$A$600,0)),"")</f>
        <v>20</v>
      </c>
      <c r="BW296" s="28" t="n">
        <f aca="false">IFERROR(INDEX(Assessments!$H$2:$H$600,MATCH($H296&amp;"|"&amp;$I296&amp;"|"&amp;$J296&amp;"|"&amp;3,Assessments!$A$2:$A$600,0)),"")</f>
        <v>20</v>
      </c>
      <c r="BX296" s="28" t="n">
        <f aca="false">IFERROR(INDEX(Assessments!$H$2:$H$600,MATCH($H296&amp;"|"&amp;$I296&amp;"|"&amp;$J296&amp;"|"&amp;4,Assessments!$A$2:$A$600,0)),"")</f>
        <v>40</v>
      </c>
      <c r="BY296" s="28" t="n">
        <f aca="false">IFERROR(INDEX(Assessments!$H$2:$H$600,MATCH($H296&amp;"|"&amp;$I296&amp;"|"&amp;$J296&amp;"|"&amp;5,Assessments!$A$2:$A$600,0)),"")</f>
        <v>30</v>
      </c>
      <c r="BZ296" s="28" t="n">
        <f aca="false">IFERROR(INDEX(Assessments!$H$2:$H$600,MATCH($H296&amp;"|"&amp;$I296&amp;"|"&amp;$J296&amp;"|"&amp;6,Assessments!$A$2:$A$600,0)),"")</f>
        <v>20</v>
      </c>
      <c r="CA296" s="28" t="n">
        <f aca="false">IFERROR(INDEX(Assessments!$H$2:$H$600,MATCH($H296&amp;"|"&amp;$I296&amp;"|"&amp;$J296&amp;"|"&amp;7,Assessments!$A$2:$A$600,0)),"")</f>
        <v>50</v>
      </c>
      <c r="CB296" s="28" t="str">
        <f aca="false">IFERROR(INDEX(Assessments!$H$2:$H$600,MATCH($H296&amp;"|"&amp;$I296&amp;"|"&amp;$J296&amp;"|"&amp;8,Assessments!$A$2:$A$600,0)),"")</f>
        <v/>
      </c>
      <c r="CC296" s="28" t="str">
        <f aca="false">IFERROR(INDEX(Assessments!$H$2:$H$600,MATCH($H296&amp;"|"&amp;$I296&amp;"|"&amp;$J296&amp;"|"&amp;9,Assessments!$A$2:$A$600,0)),"")</f>
        <v/>
      </c>
      <c r="CD296" s="28" t="str">
        <f aca="false">IFERROR(INDEX(Assessments!$H$2:$H$600,MATCH($H296&amp;"|"&amp;$I296&amp;"|"&amp;$J296&amp;"|"&amp;10,Assessments!$A$2:$A$600,0)),"")</f>
        <v/>
      </c>
      <c r="CE296" s="28" t="str">
        <f aca="false">IFERROR(INDEX(Assessments!$H$2:$H$600,MATCH($H296&amp;"|"&amp;$I296&amp;"|"&amp;$J296&amp;"|"&amp;11,Assessments!$A$2:$A$600,0)),"")</f>
        <v/>
      </c>
      <c r="CF296" s="28" t="str">
        <f aca="false">IFERROR(INDEX(Assessments!$H$2:$H$600,MATCH($H296&amp;"|"&amp;$I296&amp;"|"&amp;$J296&amp;"|"&amp;12,Assessments!$A$2:$A$600,0)),"")</f>
        <v/>
      </c>
      <c r="CG296" s="28" t="str">
        <f aca="false">IFERROR(INDEX(Assessments!$H$2:$H$600,MATCH($H296&amp;"|"&amp;$I296&amp;"|"&amp;$J296&amp;"|"&amp;13,Assessments!$A$2:$A$600,0)),"")</f>
        <v/>
      </c>
      <c r="CH296" s="28" t="str">
        <f aca="false">IFERROR(INDEX(Assessments!$H$2:$H$600,MATCH($H296&amp;"|"&amp;$I296&amp;"|"&amp;$J296&amp;"|"&amp;14,Assessments!$A$2:$A$600,0)),"")</f>
        <v/>
      </c>
      <c r="CI296" s="28" t="str">
        <f aca="false">IFERROR(INDEX(Assessments!$I$2:$I$600,MATCH($H296&amp;"|"&amp;$I296&amp;"|"&amp;$J296&amp;"|"&amp;1,Assessments!$A$2:$A$600,0)),"")</f>
        <v>BM Test</v>
      </c>
      <c r="CJ296" s="28" t="str">
        <f aca="false">IFERROR(INDEX(Assessments!$I$2:$I$600,MATCH($H296&amp;"|"&amp;$I296&amp;"|"&amp;$J296&amp;"|"&amp;2,Assessments!$A$2:$A$600,0)),"")</f>
        <v>BM Test</v>
      </c>
      <c r="CK296" s="28" t="str">
        <f aca="false">IFERROR(INDEX(Assessments!$I$2:$I$600,MATCH($H296&amp;"|"&amp;$I296&amp;"|"&amp;$J296&amp;"|"&amp;3,Assessments!$A$2:$A$600,0)),"")</f>
        <v>BM Test</v>
      </c>
      <c r="CL296" s="28" t="str">
        <f aca="false">IFERROR(INDEX(Assessments!$I$2:$I$600,MATCH($H296&amp;"|"&amp;$I296&amp;"|"&amp;$J296&amp;"|"&amp;4,Assessments!$A$2:$A$600,0)),"")</f>
        <v>BM Exam</v>
      </c>
      <c r="CM296" s="28" t="str">
        <f aca="false">IFERROR(INDEX(Assessments!$I$2:$I$600,MATCH($H296&amp;"|"&amp;$I296&amp;"|"&amp;$J296&amp;"|"&amp;5,Assessments!$A$2:$A$600,0)),"")</f>
        <v>BM Test</v>
      </c>
      <c r="CN296" s="28" t="str">
        <f aca="false">IFERROR(INDEX(Assessments!$I$2:$I$600,MATCH($H296&amp;"|"&amp;$I296&amp;"|"&amp;$J296&amp;"|"&amp;6,Assessments!$A$2:$A$600,0)),"")</f>
        <v>BM Test</v>
      </c>
      <c r="CO296" s="28" t="str">
        <f aca="false">IFERROR(INDEX(Assessments!$I$2:$I$600,MATCH($H296&amp;"|"&amp;$I296&amp;"|"&amp;$J296&amp;"|"&amp;7,Assessments!$A$2:$A$600,0)),"")</f>
        <v>BM Exam</v>
      </c>
      <c r="CP296" s="28" t="str">
        <f aca="false">IFERROR(INDEX(Assessments!$I$2:$I$600,MATCH($H296&amp;"|"&amp;$I296&amp;"|"&amp;$J296&amp;"|"&amp;8,Assessments!$A$2:$A$600,0)),"")</f>
        <v/>
      </c>
      <c r="CQ296" s="28" t="str">
        <f aca="false">IFERROR(INDEX(Assessments!$I$2:$I$600,MATCH($H296&amp;"|"&amp;$I296&amp;"|"&amp;$J296&amp;"|"&amp;9,Assessments!$A$2:$A$600,0)),"")</f>
        <v/>
      </c>
      <c r="CR296" s="28" t="str">
        <f aca="false">IFERROR(INDEX(Assessments!$I$2:$I$600,MATCH($H296&amp;"|"&amp;$I296&amp;"|"&amp;$J296&amp;"|"&amp;10,Assessments!$A$2:$A$600,0)),"")</f>
        <v/>
      </c>
      <c r="CS296" s="28" t="str">
        <f aca="false">IFERROR(INDEX(Assessments!$I$2:$I$600,MATCH($H296&amp;"|"&amp;$I296&amp;"|"&amp;$J296&amp;"|"&amp;11,Assessments!$A$2:$A$600,0)),"")</f>
        <v/>
      </c>
      <c r="CT296" s="28" t="str">
        <f aca="false">IFERROR(INDEX(Assessments!$I$2:$I$600,MATCH($H296&amp;"|"&amp;$I296&amp;"|"&amp;$J296&amp;"|"&amp;12,Assessments!$A$2:$A$600,0)),"")</f>
        <v/>
      </c>
      <c r="CU296" s="28" t="str">
        <f aca="false">IFERROR(INDEX(Assessments!$I$2:$I$600,MATCH($H296&amp;"|"&amp;$I296&amp;"|"&amp;$J296&amp;"|"&amp;13,Assessments!$A$2:$A$600,0)),"")</f>
        <v/>
      </c>
      <c r="CV296" s="28" t="str">
        <f aca="false">IFERROR(INDEX(Assessments!$I$2:$I$600,MATCH($H296&amp;"|"&amp;$I296&amp;"|"&amp;$J296&amp;"|"&amp;14,Assessments!$A$2:$A$600,0)),"")</f>
        <v/>
      </c>
      <c r="CW296" s="28" t="n">
        <f aca="false">IFERROR(INDEX(Assessments!$J$2:$J$600,MATCH($H296&amp;"|"&amp;$I296&amp;"|"&amp;$J296&amp;"|"&amp;1,Assessments!$A$2:$A$600,0)),0)</f>
        <v>1</v>
      </c>
      <c r="CX296" s="28" t="n">
        <f aca="false">IFERROR(INDEX(Assessments!$J$2:$J$600,MATCH($H296&amp;"|"&amp;$I296&amp;"|"&amp;$J296&amp;"|"&amp;2,Assessments!$A$2:$A$600,0)),0)</f>
        <v>1</v>
      </c>
      <c r="CY296" s="28" t="n">
        <f aca="false">IFERROR(INDEX(Assessments!$J$2:$J$600,MATCH($H296&amp;"|"&amp;$I296&amp;"|"&amp;$J296&amp;"|"&amp;3,Assessments!$A$2:$A$600,0)),0)</f>
        <v>1</v>
      </c>
      <c r="CZ296" s="28" t="n">
        <f aca="false">IFERROR(INDEX(Assessments!$J$2:$J$600,MATCH($H296&amp;"|"&amp;$I296&amp;"|"&amp;$J296&amp;"|"&amp;4,Assessments!$A$2:$A$600,0)),0)</f>
        <v>2</v>
      </c>
      <c r="DA296" s="28" t="n">
        <f aca="false">IFERROR(INDEX(Assessments!$J$2:$J$600,MATCH($H296&amp;"|"&amp;$I296&amp;"|"&amp;$J296&amp;"|"&amp;5,Assessments!$A$2:$A$600,0)),0)</f>
        <v>1</v>
      </c>
      <c r="DB296" s="28" t="n">
        <f aca="false">IFERROR(INDEX(Assessments!$J$2:$J$600,MATCH($H296&amp;"|"&amp;$I296&amp;"|"&amp;$J296&amp;"|"&amp;6,Assessments!$A$2:$A$600,0)),0)</f>
        <v>1</v>
      </c>
      <c r="DC296" s="28" t="n">
        <f aca="false">IFERROR(INDEX(Assessments!$J$2:$J$600,MATCH($H296&amp;"|"&amp;$I296&amp;"|"&amp;$J296&amp;"|"&amp;7,Assessments!$A$2:$A$600,0)),0)</f>
        <v>2</v>
      </c>
      <c r="DD296" s="28" t="n">
        <f aca="false">IFERROR(INDEX(Assessments!$J$2:$J$600,MATCH($H296&amp;"|"&amp;$I296&amp;"|"&amp;$J296&amp;"|"&amp;8,Assessments!$A$2:$A$600,0)),0)</f>
        <v>0</v>
      </c>
      <c r="DE296" s="28" t="n">
        <f aca="false">IFERROR(INDEX(Assessments!$J$2:$J$600,MATCH($H296&amp;"|"&amp;$I296&amp;"|"&amp;$J296&amp;"|"&amp;9,Assessments!$A$2:$A$600,0)),0)</f>
        <v>0</v>
      </c>
      <c r="DF296" s="28" t="n">
        <f aca="false">IFERROR(INDEX(Assessments!$J$2:$J$600,MATCH($H296&amp;"|"&amp;$I296&amp;"|"&amp;$J296&amp;"|"&amp;10,Assessments!$A$2:$A$600,0)),0)</f>
        <v>0</v>
      </c>
      <c r="DG296" s="28" t="n">
        <f aca="false">IFERROR(INDEX(Assessments!$J$2:$J$600,MATCH($H296&amp;"|"&amp;$I296&amp;"|"&amp;$J296&amp;"|"&amp;11,Assessments!$A$2:$A$600,0)),0)</f>
        <v>0</v>
      </c>
      <c r="DH296" s="28" t="n">
        <f aca="false">IFERROR(INDEX(Assessments!$J$2:$J$600,MATCH($H296&amp;"|"&amp;$I296&amp;"|"&amp;$J296&amp;"|"&amp;12,Assessments!$A$2:$A$600,0)),0)</f>
        <v>0</v>
      </c>
      <c r="DI296" s="28" t="n">
        <f aca="false">IFERROR(INDEX(Assessments!$J$2:$J$600,MATCH($H296&amp;"|"&amp;$I296&amp;"|"&amp;$J296&amp;"|"&amp;13,Assessments!$A$2:$A$600,0)),0)</f>
        <v>0</v>
      </c>
      <c r="DJ296" s="28" t="n">
        <f aca="false">IFERROR(INDEX(Assessments!$J$2:$J$600,MATCH($H296&amp;"|"&amp;$I296&amp;"|"&amp;$J296&amp;"|"&amp;14,Assessments!$A$2:$A$600,0)),0)</f>
        <v>0</v>
      </c>
      <c r="DK296" s="28" t="n">
        <f aca="false">S296</f>
        <v>7</v>
      </c>
      <c r="DL296" s="28" t="str">
        <f aca="false">W296</f>
        <v/>
      </c>
      <c r="DM296" s="28" t="str">
        <f aca="false">AA296</f>
        <v/>
      </c>
      <c r="DN296" s="28" t="str">
        <f aca="false">AE296</f>
        <v/>
      </c>
      <c r="DO296" s="28" t="str">
        <f aca="false">AI296</f>
        <v/>
      </c>
      <c r="DP296" s="28" t="str">
        <f aca="false">AM296</f>
        <v/>
      </c>
      <c r="DQ296" s="28" t="str">
        <f aca="false">AQ296</f>
        <v/>
      </c>
      <c r="DR296" s="28" t="str">
        <f aca="false">AU296</f>
        <v/>
      </c>
      <c r="DS296" s="28" t="str">
        <f aca="false">AY296</f>
        <v/>
      </c>
      <c r="DT296" s="28" t="str">
        <f aca="false">BC296</f>
        <v/>
      </c>
      <c r="DU296" s="28" t="str">
        <f aca="false">BG296</f>
        <v/>
      </c>
      <c r="DV296" s="28" t="str">
        <f aca="false">BK296</f>
        <v/>
      </c>
      <c r="DW296" s="28" t="str">
        <f aca="false">BO296</f>
        <v/>
      </c>
      <c r="DX296" s="28" t="str">
        <f aca="false">BS296</f>
        <v/>
      </c>
      <c r="DY296" s="28" t="n">
        <f aca="false">IF(ISNUMBER(S296),1,"")</f>
        <v>1</v>
      </c>
      <c r="DZ296" s="28" t="str">
        <f aca="false">IF(ISNUMBER(W296),2,"")</f>
        <v/>
      </c>
      <c r="EA296" s="28" t="str">
        <f aca="false">IF(ISNUMBER(AA296),3,"")</f>
        <v/>
      </c>
      <c r="EB296" s="28" t="str">
        <f aca="false">IF(ISNUMBER(AE296),4,"")</f>
        <v/>
      </c>
      <c r="EC296" s="28" t="str">
        <f aca="false">IF(ISNUMBER(AI296),5,"")</f>
        <v/>
      </c>
      <c r="ED296" s="28" t="str">
        <f aca="false">IF(ISNUMBER(AM296),6,"")</f>
        <v/>
      </c>
      <c r="EE296" s="28" t="str">
        <f aca="false">IF(ISNUMBER(AQ296),7,"")</f>
        <v/>
      </c>
      <c r="EF296" s="28" t="str">
        <f aca="false">IF(ISNUMBER(AU296),8,"")</f>
        <v/>
      </c>
      <c r="EG296" s="28" t="str">
        <f aca="false">IF(ISNUMBER(AY296),9,"")</f>
        <v/>
      </c>
      <c r="EH296" s="28" t="str">
        <f aca="false">IF(ISNUMBER(BC296),10,"")</f>
        <v/>
      </c>
      <c r="EI296" s="28" t="str">
        <f aca="false">IF(ISNUMBER(BG296),11,"")</f>
        <v/>
      </c>
      <c r="EJ296" s="28" t="str">
        <f aca="false">IF(ISNUMBER(BK296),12,"")</f>
        <v/>
      </c>
      <c r="EK296" s="28" t="str">
        <f aca="false">IF(ISNUMBER(BO296),13,"")</f>
        <v/>
      </c>
      <c r="EL296" s="28" t="str">
        <f aca="false">IF(ISNUMBER(BS296),14,"")</f>
        <v/>
      </c>
      <c r="EM296" s="28" t="n">
        <f aca="false">IF(ISNUMBER(R296),R296*CW296,0)</f>
        <v>79.1666666666667</v>
      </c>
      <c r="EN296" s="28" t="n">
        <f aca="false">IF(ISNUMBER(V296),V296*CX296,0)</f>
        <v>0</v>
      </c>
      <c r="EO296" s="28" t="n">
        <f aca="false">IF(ISNUMBER(Z296),Z296*CY296,0)</f>
        <v>0</v>
      </c>
      <c r="EP296" s="28" t="n">
        <f aca="false">IF(ISNUMBER(AD296),AD296*CZ296,0)</f>
        <v>0</v>
      </c>
      <c r="EQ296" s="28" t="n">
        <f aca="false">IF(ISNUMBER(AH296),AH296*DA296,0)</f>
        <v>0</v>
      </c>
      <c r="ER296" s="28" t="n">
        <f aca="false">IF(ISNUMBER(AL296),AL296*DB296,0)</f>
        <v>0</v>
      </c>
      <c r="ES296" s="28" t="n">
        <f aca="false">IF(ISNUMBER(AP296),AP296*DC296,0)</f>
        <v>0</v>
      </c>
      <c r="ET296" s="28" t="n">
        <f aca="false">IF(ISNUMBER(AT296),AT296*DD296,0)</f>
        <v>0</v>
      </c>
      <c r="EU296" s="28" t="n">
        <f aca="false">IF(ISNUMBER(AX296),AX296*DE296,0)</f>
        <v>0</v>
      </c>
      <c r="EV296" s="28" t="n">
        <f aca="false">IF(ISNUMBER(BB296),BB296*DF296,0)</f>
        <v>0</v>
      </c>
      <c r="EW296" s="28" t="n">
        <f aca="false">IF(ISNUMBER(BF296),BF296*DG296,0)</f>
        <v>0</v>
      </c>
      <c r="EX296" s="28" t="n">
        <f aca="false">IF(ISNUMBER(BJ296),BJ296*DH296,0)</f>
        <v>0</v>
      </c>
      <c r="EY296" s="28" t="n">
        <f aca="false">IF(ISNUMBER(BN296),BN296*DI296,0)</f>
        <v>0</v>
      </c>
      <c r="EZ296" s="28" t="n">
        <f aca="false">IF(ISNUMBER(BR296),BR296*DJ296,0)</f>
        <v>0</v>
      </c>
      <c r="FA296" s="28" t="n">
        <f aca="false">IF(ISNUMBER(R296),CW296,0)</f>
        <v>1</v>
      </c>
      <c r="FB296" s="28" t="n">
        <f aca="false">IF(ISNUMBER(V296),CX296,0)</f>
        <v>0</v>
      </c>
      <c r="FC296" s="28" t="n">
        <f aca="false">IF(ISNUMBER(Z296),CY296,0)</f>
        <v>0</v>
      </c>
      <c r="FD296" s="28" t="n">
        <f aca="false">IF(ISNUMBER(AD296),CZ296,0)</f>
        <v>0</v>
      </c>
      <c r="FE296" s="28" t="n">
        <f aca="false">IF(ISNUMBER(AH296),DA296,0)</f>
        <v>0</v>
      </c>
      <c r="FF296" s="28" t="n">
        <f aca="false">IF(ISNUMBER(AL296),DB296,0)</f>
        <v>0</v>
      </c>
      <c r="FG296" s="28" t="n">
        <f aca="false">IF(ISNUMBER(AP296),DC296,0)</f>
        <v>0</v>
      </c>
      <c r="FH296" s="28" t="n">
        <f aca="false">IF(ISNUMBER(AT296),DD296,0)</f>
        <v>0</v>
      </c>
      <c r="FI296" s="28" t="n">
        <f aca="false">IF(ISNUMBER(AX296),DE296,0)</f>
        <v>0</v>
      </c>
      <c r="FJ296" s="28" t="n">
        <f aca="false">IF(ISNUMBER(BB296),DF296,0)</f>
        <v>0</v>
      </c>
      <c r="FK296" s="28" t="n">
        <f aca="false">IF(ISNUMBER(BF296),DG296,0)</f>
        <v>0</v>
      </c>
      <c r="FL296" s="28" t="n">
        <f aca="false">IF(ISNUMBER(BJ296),DH296,0)</f>
        <v>0</v>
      </c>
      <c r="FM296" s="28" t="n">
        <f aca="false">IF(ISNUMBER(BN296),DI296,0)</f>
        <v>0</v>
      </c>
      <c r="FN296" s="28" t="n">
        <f aca="false">IF(ISNUMBER(BR296),DJ296,0)</f>
        <v>0</v>
      </c>
      <c r="FO296" s="28" t="str">
        <f aca="false">IFERROR(INDEX(Lists!$G$2:$G$20,MATCH($I296&amp;"|"&amp;$J296,Lists!$F$2:$F$20,0)),"")</f>
        <v>BM Exam</v>
      </c>
    </row>
    <row r="297" customFormat="false" ht="19.5" hidden="false" customHeight="true" outlineLevel="0" collapsed="false">
      <c r="A297" s="29" t="s">
        <v>590</v>
      </c>
      <c r="B297" s="29" t="s">
        <v>591</v>
      </c>
      <c r="C297" s="30" t="s">
        <v>152</v>
      </c>
      <c r="D297" s="30" t="s">
        <v>364</v>
      </c>
      <c r="E297" s="31"/>
      <c r="F297" s="30"/>
      <c r="G297" s="30"/>
      <c r="H297" s="32" t="s">
        <v>428</v>
      </c>
      <c r="I297" s="33" t="s">
        <v>365</v>
      </c>
      <c r="J297" s="32" t="s">
        <v>25</v>
      </c>
      <c r="K297" s="34" t="str">
        <f aca="false">IF(OR(M297="",$E297=""),"",M297-$E297)</f>
        <v/>
      </c>
      <c r="L297" s="35" t="n">
        <f aca="false">IF(SUM(FA297:FN297)=0,"",SUM(EM297:EZ297)/SUM(FA297:FN297))</f>
        <v>87.5</v>
      </c>
      <c r="M297" s="36" t="n">
        <f aca="false">IF(OR(L297="",FO297=""),"",IFERROR(MATCH(L297,INDEX(Boundaries!$B$2:$I$30,MATCH(FO297,Boundaries!$A$2:$A$30,0),0),1)-1,""))</f>
        <v>7</v>
      </c>
      <c r="N297" s="37" t="str">
        <f aca="false">IF(COUNT($DY297:$EL297)&lt;2,"",INDEX($DK297:$DX297,MAX($DY297:$EL297))-INDEX($DK297:$DX297,MIN($DY297:$EL297)))</f>
        <v/>
      </c>
      <c r="O297" s="37" t="str">
        <f aca="false">IF(COUNT($DY297:$EL297)&lt;2,"",INDEX($DK297:$DX297,MAX($DY297:$EL297))-INDEX($DK297:$DX297,LARGE($DY297:$EL297,2)))</f>
        <v/>
      </c>
      <c r="P297" s="38" t="str">
        <f aca="false">IF(K297="","",IF(K297&gt;=0,"On/above target",IF(AND(N297&lt;&gt;"",N297&gt;=0.5),"Improving towards target",IF(AND(O297&lt;&gt;"",O297&lt;=-0.5),"Declining","Stable below target"))))</f>
        <v/>
      </c>
      <c r="Q297" s="39" t="n">
        <v>21</v>
      </c>
      <c r="R297" s="40" t="n">
        <f aca="false">IF(OR(Q297="",BU297=""),"",Q297/BU297*100)</f>
        <v>87.5</v>
      </c>
      <c r="S297" s="41" t="n">
        <f aca="false">IF(R297="","",IFERROR(MATCH(R297,INDEX(Boundaries!$B$2:$I$30,MATCH(CI297,Boundaries!$A$2:$A$30,0),0),1)-1,""))</f>
        <v>7</v>
      </c>
      <c r="T297" s="42" t="str">
        <f aca="false">IF(OR(S297="",$E297=""),"",S297-$E297)</f>
        <v/>
      </c>
      <c r="U297" s="39"/>
      <c r="V297" s="40" t="str">
        <f aca="false">IF(OR(U297="",BV297=""),"",U297/BV297*100)</f>
        <v/>
      </c>
      <c r="W297" s="41" t="str">
        <f aca="false">IF(V297="","",IFERROR(MATCH(V297,INDEX(Boundaries!$B$2:$I$30,MATCH(CJ297,Boundaries!$A$2:$A$30,0),0),1)-1,""))</f>
        <v/>
      </c>
      <c r="X297" s="42" t="str">
        <f aca="false">IF(OR(W297="",$E297=""),"",W297-$E297)</f>
        <v/>
      </c>
      <c r="Y297" s="39"/>
      <c r="Z297" s="40" t="str">
        <f aca="false">IF(OR(Y297="",BW297=""),"",Y297/BW297*100)</f>
        <v/>
      </c>
      <c r="AA297" s="41" t="str">
        <f aca="false">IF(Z297="","",IFERROR(MATCH(Z297,INDEX(Boundaries!$B$2:$I$30,MATCH(CK297,Boundaries!$A$2:$A$30,0),0),1)-1,""))</f>
        <v/>
      </c>
      <c r="AB297" s="42" t="str">
        <f aca="false">IF(OR(AA297="",$E297=""),"",AA297-$E297)</f>
        <v/>
      </c>
      <c r="AC297" s="39"/>
      <c r="AD297" s="40" t="str">
        <f aca="false">IF(OR(AC297="",BX297=""),"",AC297/BX297*100)</f>
        <v/>
      </c>
      <c r="AE297" s="41" t="str">
        <f aca="false">IF(AD297="","",IFERROR(MATCH(AD297,INDEX(Boundaries!$B$2:$I$30,MATCH(CL297,Boundaries!$A$2:$A$30,0),0),1)-1,""))</f>
        <v/>
      </c>
      <c r="AF297" s="42" t="str">
        <f aca="false">IF(OR(AE297="",$E297=""),"",AE297-$E297)</f>
        <v/>
      </c>
      <c r="AG297" s="39"/>
      <c r="AH297" s="40" t="str">
        <f aca="false">IF(OR(AG297="",BY297=""),"",AG297/BY297*100)</f>
        <v/>
      </c>
      <c r="AI297" s="41" t="str">
        <f aca="false">IF(AH297="","",IFERROR(MATCH(AH297,INDEX(Boundaries!$B$2:$I$30,MATCH(CM297,Boundaries!$A$2:$A$30,0),0),1)-1,""))</f>
        <v/>
      </c>
      <c r="AJ297" s="42" t="str">
        <f aca="false">IF(OR(AI297="",$E297=""),"",AI297-$E297)</f>
        <v/>
      </c>
      <c r="AK297" s="39"/>
      <c r="AL297" s="40" t="str">
        <f aca="false">IF(OR(AK297="",BZ297=""),"",AK297/BZ297*100)</f>
        <v/>
      </c>
      <c r="AM297" s="41" t="str">
        <f aca="false">IF(AL297="","",IFERROR(MATCH(AL297,INDEX(Boundaries!$B$2:$I$30,MATCH(CN297,Boundaries!$A$2:$A$30,0),0),1)-1,""))</f>
        <v/>
      </c>
      <c r="AN297" s="42" t="str">
        <f aca="false">IF(OR(AM297="",$E297=""),"",AM297-$E297)</f>
        <v/>
      </c>
      <c r="AO297" s="39"/>
      <c r="AP297" s="40" t="str">
        <f aca="false">IF(OR(AO297="",CA297=""),"",AO297/CA297*100)</f>
        <v/>
      </c>
      <c r="AQ297" s="41" t="str">
        <f aca="false">IF(AP297="","",IFERROR(MATCH(AP297,INDEX(Boundaries!$B$2:$I$30,MATCH(CO297,Boundaries!$A$2:$A$30,0),0),1)-1,""))</f>
        <v/>
      </c>
      <c r="AR297" s="42" t="str">
        <f aca="false">IF(OR(AQ297="",$E297=""),"",AQ297-$E297)</f>
        <v/>
      </c>
      <c r="AS297" s="39"/>
      <c r="AT297" s="40" t="str">
        <f aca="false">IF(OR(AS297="",CB297=""),"",AS297/CB297*100)</f>
        <v/>
      </c>
      <c r="AU297" s="41" t="str">
        <f aca="false">IF(AT297="","",IFERROR(MATCH(AT297,INDEX(Boundaries!$B$2:$I$30,MATCH(CP297,Boundaries!$A$2:$A$30,0),0),1)-1,""))</f>
        <v/>
      </c>
      <c r="AV297" s="42" t="str">
        <f aca="false">IF(OR(AU297="",$E297=""),"",AU297-$E297)</f>
        <v/>
      </c>
      <c r="AW297" s="39"/>
      <c r="AX297" s="40" t="str">
        <f aca="false">IF(OR(AW297="",CC297=""),"",AW297/CC297*100)</f>
        <v/>
      </c>
      <c r="AY297" s="41" t="str">
        <f aca="false">IF(AX297="","",IFERROR(MATCH(AX297,INDEX(Boundaries!$B$2:$I$30,MATCH(CQ297,Boundaries!$A$2:$A$30,0),0),1)-1,""))</f>
        <v/>
      </c>
      <c r="AZ297" s="42" t="str">
        <f aca="false">IF(OR(AY297="",$E297=""),"",AY297-$E297)</f>
        <v/>
      </c>
      <c r="BA297" s="39"/>
      <c r="BB297" s="40" t="str">
        <f aca="false">IF(OR(BA297="",CD297=""),"",BA297/CD297*100)</f>
        <v/>
      </c>
      <c r="BC297" s="41" t="str">
        <f aca="false">IF(BB297="","",IFERROR(MATCH(BB297,INDEX(Boundaries!$B$2:$I$30,MATCH(CR297,Boundaries!$A$2:$A$30,0),0),1)-1,""))</f>
        <v/>
      </c>
      <c r="BD297" s="42" t="str">
        <f aca="false">IF(OR(BC297="",$E297=""),"",BC297-$E297)</f>
        <v/>
      </c>
      <c r="BE297" s="39"/>
      <c r="BF297" s="40" t="str">
        <f aca="false">IF(OR(BE297="",CE297=""),"",BE297/CE297*100)</f>
        <v/>
      </c>
      <c r="BG297" s="41" t="str">
        <f aca="false">IF(BF297="","",IFERROR(MATCH(BF297,INDEX(Boundaries!$B$2:$I$30,MATCH(CS297,Boundaries!$A$2:$A$30,0),0),1)-1,""))</f>
        <v/>
      </c>
      <c r="BH297" s="42" t="str">
        <f aca="false">IF(OR(BG297="",$E297=""),"",BG297-$E297)</f>
        <v/>
      </c>
      <c r="BI297" s="39"/>
      <c r="BJ297" s="40" t="str">
        <f aca="false">IF(OR(BI297="",CF297=""),"",BI297/CF297*100)</f>
        <v/>
      </c>
      <c r="BK297" s="41" t="str">
        <f aca="false">IF(BJ297="","",IFERROR(MATCH(BJ297,INDEX(Boundaries!$B$2:$I$30,MATCH(CT297,Boundaries!$A$2:$A$30,0),0),1)-1,""))</f>
        <v/>
      </c>
      <c r="BL297" s="42" t="str">
        <f aca="false">IF(OR(BK297="",$E297=""),"",BK297-$E297)</f>
        <v/>
      </c>
      <c r="BM297" s="39"/>
      <c r="BN297" s="40" t="str">
        <f aca="false">IF(OR(BM297="",CG297=""),"",BM297/CG297*100)</f>
        <v/>
      </c>
      <c r="BO297" s="41" t="str">
        <f aca="false">IF(BN297="","",IFERROR(MATCH(BN297,INDEX(Boundaries!$B$2:$I$30,MATCH(CU297,Boundaries!$A$2:$A$30,0),0),1)-1,""))</f>
        <v/>
      </c>
      <c r="BP297" s="42" t="str">
        <f aca="false">IF(OR(BO297="",$E297=""),"",BO297-$E297)</f>
        <v/>
      </c>
      <c r="BQ297" s="39"/>
      <c r="BR297" s="40" t="str">
        <f aca="false">IF(OR(BQ297="",CH297=""),"",BQ297/CH297*100)</f>
        <v/>
      </c>
      <c r="BS297" s="41" t="str">
        <f aca="false">IF(BR297="","",IFERROR(MATCH(BR297,INDEX(Boundaries!$B$2:$I$30,MATCH(CV297,Boundaries!$A$2:$A$30,0),0),1)-1,""))</f>
        <v/>
      </c>
      <c r="BT297" s="42" t="str">
        <f aca="false">IF(OR(BS297="",$E297=""),"",BS297-$E297)</f>
        <v/>
      </c>
      <c r="BU297" s="28" t="n">
        <f aca="false">IFERROR(INDEX(Assessments!$H$2:$H$600,MATCH($H297&amp;"|"&amp;$I297&amp;"|"&amp;$J297&amp;"|"&amp;1,Assessments!$A$2:$A$600,0)),"")</f>
        <v>24</v>
      </c>
      <c r="BV297" s="28" t="n">
        <f aca="false">IFERROR(INDEX(Assessments!$H$2:$H$600,MATCH($H297&amp;"|"&amp;$I297&amp;"|"&amp;$J297&amp;"|"&amp;2,Assessments!$A$2:$A$600,0)),"")</f>
        <v>20</v>
      </c>
      <c r="BW297" s="28" t="n">
        <f aca="false">IFERROR(INDEX(Assessments!$H$2:$H$600,MATCH($H297&amp;"|"&amp;$I297&amp;"|"&amp;$J297&amp;"|"&amp;3,Assessments!$A$2:$A$600,0)),"")</f>
        <v>20</v>
      </c>
      <c r="BX297" s="28" t="n">
        <f aca="false">IFERROR(INDEX(Assessments!$H$2:$H$600,MATCH($H297&amp;"|"&amp;$I297&amp;"|"&amp;$J297&amp;"|"&amp;4,Assessments!$A$2:$A$600,0)),"")</f>
        <v>40</v>
      </c>
      <c r="BY297" s="28" t="n">
        <f aca="false">IFERROR(INDEX(Assessments!$H$2:$H$600,MATCH($H297&amp;"|"&amp;$I297&amp;"|"&amp;$J297&amp;"|"&amp;5,Assessments!$A$2:$A$600,0)),"")</f>
        <v>30</v>
      </c>
      <c r="BZ297" s="28" t="n">
        <f aca="false">IFERROR(INDEX(Assessments!$H$2:$H$600,MATCH($H297&amp;"|"&amp;$I297&amp;"|"&amp;$J297&amp;"|"&amp;6,Assessments!$A$2:$A$600,0)),"")</f>
        <v>20</v>
      </c>
      <c r="CA297" s="28" t="n">
        <f aca="false">IFERROR(INDEX(Assessments!$H$2:$H$600,MATCH($H297&amp;"|"&amp;$I297&amp;"|"&amp;$J297&amp;"|"&amp;7,Assessments!$A$2:$A$600,0)),"")</f>
        <v>50</v>
      </c>
      <c r="CB297" s="28" t="str">
        <f aca="false">IFERROR(INDEX(Assessments!$H$2:$H$600,MATCH($H297&amp;"|"&amp;$I297&amp;"|"&amp;$J297&amp;"|"&amp;8,Assessments!$A$2:$A$600,0)),"")</f>
        <v/>
      </c>
      <c r="CC297" s="28" t="str">
        <f aca="false">IFERROR(INDEX(Assessments!$H$2:$H$600,MATCH($H297&amp;"|"&amp;$I297&amp;"|"&amp;$J297&amp;"|"&amp;9,Assessments!$A$2:$A$600,0)),"")</f>
        <v/>
      </c>
      <c r="CD297" s="28" t="str">
        <f aca="false">IFERROR(INDEX(Assessments!$H$2:$H$600,MATCH($H297&amp;"|"&amp;$I297&amp;"|"&amp;$J297&amp;"|"&amp;10,Assessments!$A$2:$A$600,0)),"")</f>
        <v/>
      </c>
      <c r="CE297" s="28" t="str">
        <f aca="false">IFERROR(INDEX(Assessments!$H$2:$H$600,MATCH($H297&amp;"|"&amp;$I297&amp;"|"&amp;$J297&amp;"|"&amp;11,Assessments!$A$2:$A$600,0)),"")</f>
        <v/>
      </c>
      <c r="CF297" s="28" t="str">
        <f aca="false">IFERROR(INDEX(Assessments!$H$2:$H$600,MATCH($H297&amp;"|"&amp;$I297&amp;"|"&amp;$J297&amp;"|"&amp;12,Assessments!$A$2:$A$600,0)),"")</f>
        <v/>
      </c>
      <c r="CG297" s="28" t="str">
        <f aca="false">IFERROR(INDEX(Assessments!$H$2:$H$600,MATCH($H297&amp;"|"&amp;$I297&amp;"|"&amp;$J297&amp;"|"&amp;13,Assessments!$A$2:$A$600,0)),"")</f>
        <v/>
      </c>
      <c r="CH297" s="28" t="str">
        <f aca="false">IFERROR(INDEX(Assessments!$H$2:$H$600,MATCH($H297&amp;"|"&amp;$I297&amp;"|"&amp;$J297&amp;"|"&amp;14,Assessments!$A$2:$A$600,0)),"")</f>
        <v/>
      </c>
      <c r="CI297" s="28" t="str">
        <f aca="false">IFERROR(INDEX(Assessments!$I$2:$I$600,MATCH($H297&amp;"|"&amp;$I297&amp;"|"&amp;$J297&amp;"|"&amp;1,Assessments!$A$2:$A$600,0)),"")</f>
        <v>BM Test</v>
      </c>
      <c r="CJ297" s="28" t="str">
        <f aca="false">IFERROR(INDEX(Assessments!$I$2:$I$600,MATCH($H297&amp;"|"&amp;$I297&amp;"|"&amp;$J297&amp;"|"&amp;2,Assessments!$A$2:$A$600,0)),"")</f>
        <v>BM Test</v>
      </c>
      <c r="CK297" s="28" t="str">
        <f aca="false">IFERROR(INDEX(Assessments!$I$2:$I$600,MATCH($H297&amp;"|"&amp;$I297&amp;"|"&amp;$J297&amp;"|"&amp;3,Assessments!$A$2:$A$600,0)),"")</f>
        <v>BM Test</v>
      </c>
      <c r="CL297" s="28" t="str">
        <f aca="false">IFERROR(INDEX(Assessments!$I$2:$I$600,MATCH($H297&amp;"|"&amp;$I297&amp;"|"&amp;$J297&amp;"|"&amp;4,Assessments!$A$2:$A$600,0)),"")</f>
        <v>BM Exam</v>
      </c>
      <c r="CM297" s="28" t="str">
        <f aca="false">IFERROR(INDEX(Assessments!$I$2:$I$600,MATCH($H297&amp;"|"&amp;$I297&amp;"|"&amp;$J297&amp;"|"&amp;5,Assessments!$A$2:$A$600,0)),"")</f>
        <v>BM Test</v>
      </c>
      <c r="CN297" s="28" t="str">
        <f aca="false">IFERROR(INDEX(Assessments!$I$2:$I$600,MATCH($H297&amp;"|"&amp;$I297&amp;"|"&amp;$J297&amp;"|"&amp;6,Assessments!$A$2:$A$600,0)),"")</f>
        <v>BM Test</v>
      </c>
      <c r="CO297" s="28" t="str">
        <f aca="false">IFERROR(INDEX(Assessments!$I$2:$I$600,MATCH($H297&amp;"|"&amp;$I297&amp;"|"&amp;$J297&amp;"|"&amp;7,Assessments!$A$2:$A$600,0)),"")</f>
        <v>BM Exam</v>
      </c>
      <c r="CP297" s="28" t="str">
        <f aca="false">IFERROR(INDEX(Assessments!$I$2:$I$600,MATCH($H297&amp;"|"&amp;$I297&amp;"|"&amp;$J297&amp;"|"&amp;8,Assessments!$A$2:$A$600,0)),"")</f>
        <v/>
      </c>
      <c r="CQ297" s="28" t="str">
        <f aca="false">IFERROR(INDEX(Assessments!$I$2:$I$600,MATCH($H297&amp;"|"&amp;$I297&amp;"|"&amp;$J297&amp;"|"&amp;9,Assessments!$A$2:$A$600,0)),"")</f>
        <v/>
      </c>
      <c r="CR297" s="28" t="str">
        <f aca="false">IFERROR(INDEX(Assessments!$I$2:$I$600,MATCH($H297&amp;"|"&amp;$I297&amp;"|"&amp;$J297&amp;"|"&amp;10,Assessments!$A$2:$A$600,0)),"")</f>
        <v/>
      </c>
      <c r="CS297" s="28" t="str">
        <f aca="false">IFERROR(INDEX(Assessments!$I$2:$I$600,MATCH($H297&amp;"|"&amp;$I297&amp;"|"&amp;$J297&amp;"|"&amp;11,Assessments!$A$2:$A$600,0)),"")</f>
        <v/>
      </c>
      <c r="CT297" s="28" t="str">
        <f aca="false">IFERROR(INDEX(Assessments!$I$2:$I$600,MATCH($H297&amp;"|"&amp;$I297&amp;"|"&amp;$J297&amp;"|"&amp;12,Assessments!$A$2:$A$600,0)),"")</f>
        <v/>
      </c>
      <c r="CU297" s="28" t="str">
        <f aca="false">IFERROR(INDEX(Assessments!$I$2:$I$600,MATCH($H297&amp;"|"&amp;$I297&amp;"|"&amp;$J297&amp;"|"&amp;13,Assessments!$A$2:$A$600,0)),"")</f>
        <v/>
      </c>
      <c r="CV297" s="28" t="str">
        <f aca="false">IFERROR(INDEX(Assessments!$I$2:$I$600,MATCH($H297&amp;"|"&amp;$I297&amp;"|"&amp;$J297&amp;"|"&amp;14,Assessments!$A$2:$A$600,0)),"")</f>
        <v/>
      </c>
      <c r="CW297" s="28" t="n">
        <f aca="false">IFERROR(INDEX(Assessments!$J$2:$J$600,MATCH($H297&amp;"|"&amp;$I297&amp;"|"&amp;$J297&amp;"|"&amp;1,Assessments!$A$2:$A$600,0)),0)</f>
        <v>1</v>
      </c>
      <c r="CX297" s="28" t="n">
        <f aca="false">IFERROR(INDEX(Assessments!$J$2:$J$600,MATCH($H297&amp;"|"&amp;$I297&amp;"|"&amp;$J297&amp;"|"&amp;2,Assessments!$A$2:$A$600,0)),0)</f>
        <v>1</v>
      </c>
      <c r="CY297" s="28" t="n">
        <f aca="false">IFERROR(INDEX(Assessments!$J$2:$J$600,MATCH($H297&amp;"|"&amp;$I297&amp;"|"&amp;$J297&amp;"|"&amp;3,Assessments!$A$2:$A$600,0)),0)</f>
        <v>1</v>
      </c>
      <c r="CZ297" s="28" t="n">
        <f aca="false">IFERROR(INDEX(Assessments!$J$2:$J$600,MATCH($H297&amp;"|"&amp;$I297&amp;"|"&amp;$J297&amp;"|"&amp;4,Assessments!$A$2:$A$600,0)),0)</f>
        <v>2</v>
      </c>
      <c r="DA297" s="28" t="n">
        <f aca="false">IFERROR(INDEX(Assessments!$J$2:$J$600,MATCH($H297&amp;"|"&amp;$I297&amp;"|"&amp;$J297&amp;"|"&amp;5,Assessments!$A$2:$A$600,0)),0)</f>
        <v>1</v>
      </c>
      <c r="DB297" s="28" t="n">
        <f aca="false">IFERROR(INDEX(Assessments!$J$2:$J$600,MATCH($H297&amp;"|"&amp;$I297&amp;"|"&amp;$J297&amp;"|"&amp;6,Assessments!$A$2:$A$600,0)),0)</f>
        <v>1</v>
      </c>
      <c r="DC297" s="28" t="n">
        <f aca="false">IFERROR(INDEX(Assessments!$J$2:$J$600,MATCH($H297&amp;"|"&amp;$I297&amp;"|"&amp;$J297&amp;"|"&amp;7,Assessments!$A$2:$A$600,0)),0)</f>
        <v>2</v>
      </c>
      <c r="DD297" s="28" t="n">
        <f aca="false">IFERROR(INDEX(Assessments!$J$2:$J$600,MATCH($H297&amp;"|"&amp;$I297&amp;"|"&amp;$J297&amp;"|"&amp;8,Assessments!$A$2:$A$600,0)),0)</f>
        <v>0</v>
      </c>
      <c r="DE297" s="28" t="n">
        <f aca="false">IFERROR(INDEX(Assessments!$J$2:$J$600,MATCH($H297&amp;"|"&amp;$I297&amp;"|"&amp;$J297&amp;"|"&amp;9,Assessments!$A$2:$A$600,0)),0)</f>
        <v>0</v>
      </c>
      <c r="DF297" s="28" t="n">
        <f aca="false">IFERROR(INDEX(Assessments!$J$2:$J$600,MATCH($H297&amp;"|"&amp;$I297&amp;"|"&amp;$J297&amp;"|"&amp;10,Assessments!$A$2:$A$600,0)),0)</f>
        <v>0</v>
      </c>
      <c r="DG297" s="28" t="n">
        <f aca="false">IFERROR(INDEX(Assessments!$J$2:$J$600,MATCH($H297&amp;"|"&amp;$I297&amp;"|"&amp;$J297&amp;"|"&amp;11,Assessments!$A$2:$A$600,0)),0)</f>
        <v>0</v>
      </c>
      <c r="DH297" s="28" t="n">
        <f aca="false">IFERROR(INDEX(Assessments!$J$2:$J$600,MATCH($H297&amp;"|"&amp;$I297&amp;"|"&amp;$J297&amp;"|"&amp;12,Assessments!$A$2:$A$600,0)),0)</f>
        <v>0</v>
      </c>
      <c r="DI297" s="28" t="n">
        <f aca="false">IFERROR(INDEX(Assessments!$J$2:$J$600,MATCH($H297&amp;"|"&amp;$I297&amp;"|"&amp;$J297&amp;"|"&amp;13,Assessments!$A$2:$A$600,0)),0)</f>
        <v>0</v>
      </c>
      <c r="DJ297" s="28" t="n">
        <f aca="false">IFERROR(INDEX(Assessments!$J$2:$J$600,MATCH($H297&amp;"|"&amp;$I297&amp;"|"&amp;$J297&amp;"|"&amp;14,Assessments!$A$2:$A$600,0)),0)</f>
        <v>0</v>
      </c>
      <c r="DK297" s="28" t="n">
        <f aca="false">S297</f>
        <v>7</v>
      </c>
      <c r="DL297" s="28" t="str">
        <f aca="false">W297</f>
        <v/>
      </c>
      <c r="DM297" s="28" t="str">
        <f aca="false">AA297</f>
        <v/>
      </c>
      <c r="DN297" s="28" t="str">
        <f aca="false">AE297</f>
        <v/>
      </c>
      <c r="DO297" s="28" t="str">
        <f aca="false">AI297</f>
        <v/>
      </c>
      <c r="DP297" s="28" t="str">
        <f aca="false">AM297</f>
        <v/>
      </c>
      <c r="DQ297" s="28" t="str">
        <f aca="false">AQ297</f>
        <v/>
      </c>
      <c r="DR297" s="28" t="str">
        <f aca="false">AU297</f>
        <v/>
      </c>
      <c r="DS297" s="28" t="str">
        <f aca="false">AY297</f>
        <v/>
      </c>
      <c r="DT297" s="28" t="str">
        <f aca="false">BC297</f>
        <v/>
      </c>
      <c r="DU297" s="28" t="str">
        <f aca="false">BG297</f>
        <v/>
      </c>
      <c r="DV297" s="28" t="str">
        <f aca="false">BK297</f>
        <v/>
      </c>
      <c r="DW297" s="28" t="str">
        <f aca="false">BO297</f>
        <v/>
      </c>
      <c r="DX297" s="28" t="str">
        <f aca="false">BS297</f>
        <v/>
      </c>
      <c r="DY297" s="28" t="n">
        <f aca="false">IF(ISNUMBER(S297),1,"")</f>
        <v>1</v>
      </c>
      <c r="DZ297" s="28" t="str">
        <f aca="false">IF(ISNUMBER(W297),2,"")</f>
        <v/>
      </c>
      <c r="EA297" s="28" t="str">
        <f aca="false">IF(ISNUMBER(AA297),3,"")</f>
        <v/>
      </c>
      <c r="EB297" s="28" t="str">
        <f aca="false">IF(ISNUMBER(AE297),4,"")</f>
        <v/>
      </c>
      <c r="EC297" s="28" t="str">
        <f aca="false">IF(ISNUMBER(AI297),5,"")</f>
        <v/>
      </c>
      <c r="ED297" s="28" t="str">
        <f aca="false">IF(ISNUMBER(AM297),6,"")</f>
        <v/>
      </c>
      <c r="EE297" s="28" t="str">
        <f aca="false">IF(ISNUMBER(AQ297),7,"")</f>
        <v/>
      </c>
      <c r="EF297" s="28" t="str">
        <f aca="false">IF(ISNUMBER(AU297),8,"")</f>
        <v/>
      </c>
      <c r="EG297" s="28" t="str">
        <f aca="false">IF(ISNUMBER(AY297),9,"")</f>
        <v/>
      </c>
      <c r="EH297" s="28" t="str">
        <f aca="false">IF(ISNUMBER(BC297),10,"")</f>
        <v/>
      </c>
      <c r="EI297" s="28" t="str">
        <f aca="false">IF(ISNUMBER(BG297),11,"")</f>
        <v/>
      </c>
      <c r="EJ297" s="28" t="str">
        <f aca="false">IF(ISNUMBER(BK297),12,"")</f>
        <v/>
      </c>
      <c r="EK297" s="28" t="str">
        <f aca="false">IF(ISNUMBER(BO297),13,"")</f>
        <v/>
      </c>
      <c r="EL297" s="28" t="str">
        <f aca="false">IF(ISNUMBER(BS297),14,"")</f>
        <v/>
      </c>
      <c r="EM297" s="28" t="n">
        <f aca="false">IF(ISNUMBER(R297),R297*CW297,0)</f>
        <v>87.5</v>
      </c>
      <c r="EN297" s="28" t="n">
        <f aca="false">IF(ISNUMBER(V297),V297*CX297,0)</f>
        <v>0</v>
      </c>
      <c r="EO297" s="28" t="n">
        <f aca="false">IF(ISNUMBER(Z297),Z297*CY297,0)</f>
        <v>0</v>
      </c>
      <c r="EP297" s="28" t="n">
        <f aca="false">IF(ISNUMBER(AD297),AD297*CZ297,0)</f>
        <v>0</v>
      </c>
      <c r="EQ297" s="28" t="n">
        <f aca="false">IF(ISNUMBER(AH297),AH297*DA297,0)</f>
        <v>0</v>
      </c>
      <c r="ER297" s="28" t="n">
        <f aca="false">IF(ISNUMBER(AL297),AL297*DB297,0)</f>
        <v>0</v>
      </c>
      <c r="ES297" s="28" t="n">
        <f aca="false">IF(ISNUMBER(AP297),AP297*DC297,0)</f>
        <v>0</v>
      </c>
      <c r="ET297" s="28" t="n">
        <f aca="false">IF(ISNUMBER(AT297),AT297*DD297,0)</f>
        <v>0</v>
      </c>
      <c r="EU297" s="28" t="n">
        <f aca="false">IF(ISNUMBER(AX297),AX297*DE297,0)</f>
        <v>0</v>
      </c>
      <c r="EV297" s="28" t="n">
        <f aca="false">IF(ISNUMBER(BB297),BB297*DF297,0)</f>
        <v>0</v>
      </c>
      <c r="EW297" s="28" t="n">
        <f aca="false">IF(ISNUMBER(BF297),BF297*DG297,0)</f>
        <v>0</v>
      </c>
      <c r="EX297" s="28" t="n">
        <f aca="false">IF(ISNUMBER(BJ297),BJ297*DH297,0)</f>
        <v>0</v>
      </c>
      <c r="EY297" s="28" t="n">
        <f aca="false">IF(ISNUMBER(BN297),BN297*DI297,0)</f>
        <v>0</v>
      </c>
      <c r="EZ297" s="28" t="n">
        <f aca="false">IF(ISNUMBER(BR297),BR297*DJ297,0)</f>
        <v>0</v>
      </c>
      <c r="FA297" s="28" t="n">
        <f aca="false">IF(ISNUMBER(R297),CW297,0)</f>
        <v>1</v>
      </c>
      <c r="FB297" s="28" t="n">
        <f aca="false">IF(ISNUMBER(V297),CX297,0)</f>
        <v>0</v>
      </c>
      <c r="FC297" s="28" t="n">
        <f aca="false">IF(ISNUMBER(Z297),CY297,0)</f>
        <v>0</v>
      </c>
      <c r="FD297" s="28" t="n">
        <f aca="false">IF(ISNUMBER(AD297),CZ297,0)</f>
        <v>0</v>
      </c>
      <c r="FE297" s="28" t="n">
        <f aca="false">IF(ISNUMBER(AH297),DA297,0)</f>
        <v>0</v>
      </c>
      <c r="FF297" s="28" t="n">
        <f aca="false">IF(ISNUMBER(AL297),DB297,0)</f>
        <v>0</v>
      </c>
      <c r="FG297" s="28" t="n">
        <f aca="false">IF(ISNUMBER(AP297),DC297,0)</f>
        <v>0</v>
      </c>
      <c r="FH297" s="28" t="n">
        <f aca="false">IF(ISNUMBER(AT297),DD297,0)</f>
        <v>0</v>
      </c>
      <c r="FI297" s="28" t="n">
        <f aca="false">IF(ISNUMBER(AX297),DE297,0)</f>
        <v>0</v>
      </c>
      <c r="FJ297" s="28" t="n">
        <f aca="false">IF(ISNUMBER(BB297),DF297,0)</f>
        <v>0</v>
      </c>
      <c r="FK297" s="28" t="n">
        <f aca="false">IF(ISNUMBER(BF297),DG297,0)</f>
        <v>0</v>
      </c>
      <c r="FL297" s="28" t="n">
        <f aca="false">IF(ISNUMBER(BJ297),DH297,0)</f>
        <v>0</v>
      </c>
      <c r="FM297" s="28" t="n">
        <f aca="false">IF(ISNUMBER(BN297),DI297,0)</f>
        <v>0</v>
      </c>
      <c r="FN297" s="28" t="n">
        <f aca="false">IF(ISNUMBER(BR297),DJ297,0)</f>
        <v>0</v>
      </c>
      <c r="FO297" s="28" t="str">
        <f aca="false">IFERROR(INDEX(Lists!$G$2:$G$20,MATCH($I297&amp;"|"&amp;$J297,Lists!$F$2:$F$20,0)),"")</f>
        <v>BM Exam</v>
      </c>
    </row>
    <row r="298" customFormat="false" ht="19.5" hidden="false" customHeight="true" outlineLevel="0" collapsed="false">
      <c r="A298" s="29" t="s">
        <v>592</v>
      </c>
      <c r="B298" s="29" t="s">
        <v>593</v>
      </c>
      <c r="C298" s="30" t="s">
        <v>152</v>
      </c>
      <c r="D298" s="30" t="s">
        <v>364</v>
      </c>
      <c r="E298" s="31"/>
      <c r="F298" s="30"/>
      <c r="G298" s="30"/>
      <c r="H298" s="32" t="s">
        <v>428</v>
      </c>
      <c r="I298" s="33" t="s">
        <v>365</v>
      </c>
      <c r="J298" s="32" t="s">
        <v>25</v>
      </c>
      <c r="K298" s="34" t="str">
        <f aca="false">IF(OR(M298="",$E298=""),"",M298-$E298)</f>
        <v/>
      </c>
      <c r="L298" s="35" t="n">
        <f aca="false">IF(SUM(FA298:FN298)=0,"",SUM(EM298:EZ298)/SUM(FA298:FN298))</f>
        <v>62.5</v>
      </c>
      <c r="M298" s="36" t="n">
        <f aca="false">IF(OR(L298="",FO298=""),"",IFERROR(MATCH(L298,INDEX(Boundaries!$B$2:$I$30,MATCH(FO298,Boundaries!$A$2:$A$30,0),0),1)-1,""))</f>
        <v>6</v>
      </c>
      <c r="N298" s="37" t="str">
        <f aca="false">IF(COUNT($DY298:$EL298)&lt;2,"",INDEX($DK298:$DX298,MAX($DY298:$EL298))-INDEX($DK298:$DX298,MIN($DY298:$EL298)))</f>
        <v/>
      </c>
      <c r="O298" s="37" t="str">
        <f aca="false">IF(COUNT($DY298:$EL298)&lt;2,"",INDEX($DK298:$DX298,MAX($DY298:$EL298))-INDEX($DK298:$DX298,LARGE($DY298:$EL298,2)))</f>
        <v/>
      </c>
      <c r="P298" s="38" t="str">
        <f aca="false">IF(K298="","",IF(K298&gt;=0,"On/above target",IF(AND(N298&lt;&gt;"",N298&gt;=0.5),"Improving towards target",IF(AND(O298&lt;&gt;"",O298&lt;=-0.5),"Declining","Stable below target"))))</f>
        <v/>
      </c>
      <c r="Q298" s="39" t="n">
        <v>15</v>
      </c>
      <c r="R298" s="40" t="n">
        <f aca="false">IF(OR(Q298="",BU298=""),"",Q298/BU298*100)</f>
        <v>62.5</v>
      </c>
      <c r="S298" s="41" t="n">
        <f aca="false">IF(R298="","",IFERROR(MATCH(R298,INDEX(Boundaries!$B$2:$I$30,MATCH(CI298,Boundaries!$A$2:$A$30,0),0),1)-1,""))</f>
        <v>5</v>
      </c>
      <c r="T298" s="42" t="str">
        <f aca="false">IF(OR(S298="",$E298=""),"",S298-$E298)</f>
        <v/>
      </c>
      <c r="U298" s="39"/>
      <c r="V298" s="40" t="str">
        <f aca="false">IF(OR(U298="",BV298=""),"",U298/BV298*100)</f>
        <v/>
      </c>
      <c r="W298" s="41" t="str">
        <f aca="false">IF(V298="","",IFERROR(MATCH(V298,INDEX(Boundaries!$B$2:$I$30,MATCH(CJ298,Boundaries!$A$2:$A$30,0),0),1)-1,""))</f>
        <v/>
      </c>
      <c r="X298" s="42" t="str">
        <f aca="false">IF(OR(W298="",$E298=""),"",W298-$E298)</f>
        <v/>
      </c>
      <c r="Y298" s="39"/>
      <c r="Z298" s="40" t="str">
        <f aca="false">IF(OR(Y298="",BW298=""),"",Y298/BW298*100)</f>
        <v/>
      </c>
      <c r="AA298" s="41" t="str">
        <f aca="false">IF(Z298="","",IFERROR(MATCH(Z298,INDEX(Boundaries!$B$2:$I$30,MATCH(CK298,Boundaries!$A$2:$A$30,0),0),1)-1,""))</f>
        <v/>
      </c>
      <c r="AB298" s="42" t="str">
        <f aca="false">IF(OR(AA298="",$E298=""),"",AA298-$E298)</f>
        <v/>
      </c>
      <c r="AC298" s="39"/>
      <c r="AD298" s="40" t="str">
        <f aca="false">IF(OR(AC298="",BX298=""),"",AC298/BX298*100)</f>
        <v/>
      </c>
      <c r="AE298" s="41" t="str">
        <f aca="false">IF(AD298="","",IFERROR(MATCH(AD298,INDEX(Boundaries!$B$2:$I$30,MATCH(CL298,Boundaries!$A$2:$A$30,0),0),1)-1,""))</f>
        <v/>
      </c>
      <c r="AF298" s="42" t="str">
        <f aca="false">IF(OR(AE298="",$E298=""),"",AE298-$E298)</f>
        <v/>
      </c>
      <c r="AG298" s="39"/>
      <c r="AH298" s="40" t="str">
        <f aca="false">IF(OR(AG298="",BY298=""),"",AG298/BY298*100)</f>
        <v/>
      </c>
      <c r="AI298" s="41" t="str">
        <f aca="false">IF(AH298="","",IFERROR(MATCH(AH298,INDEX(Boundaries!$B$2:$I$30,MATCH(CM298,Boundaries!$A$2:$A$30,0),0),1)-1,""))</f>
        <v/>
      </c>
      <c r="AJ298" s="42" t="str">
        <f aca="false">IF(OR(AI298="",$E298=""),"",AI298-$E298)</f>
        <v/>
      </c>
      <c r="AK298" s="39"/>
      <c r="AL298" s="40" t="str">
        <f aca="false">IF(OR(AK298="",BZ298=""),"",AK298/BZ298*100)</f>
        <v/>
      </c>
      <c r="AM298" s="41" t="str">
        <f aca="false">IF(AL298="","",IFERROR(MATCH(AL298,INDEX(Boundaries!$B$2:$I$30,MATCH(CN298,Boundaries!$A$2:$A$30,0),0),1)-1,""))</f>
        <v/>
      </c>
      <c r="AN298" s="42" t="str">
        <f aca="false">IF(OR(AM298="",$E298=""),"",AM298-$E298)</f>
        <v/>
      </c>
      <c r="AO298" s="39"/>
      <c r="AP298" s="40" t="str">
        <f aca="false">IF(OR(AO298="",CA298=""),"",AO298/CA298*100)</f>
        <v/>
      </c>
      <c r="AQ298" s="41" t="str">
        <f aca="false">IF(AP298="","",IFERROR(MATCH(AP298,INDEX(Boundaries!$B$2:$I$30,MATCH(CO298,Boundaries!$A$2:$A$30,0),0),1)-1,""))</f>
        <v/>
      </c>
      <c r="AR298" s="42" t="str">
        <f aca="false">IF(OR(AQ298="",$E298=""),"",AQ298-$E298)</f>
        <v/>
      </c>
      <c r="AS298" s="39"/>
      <c r="AT298" s="40" t="str">
        <f aca="false">IF(OR(AS298="",CB298=""),"",AS298/CB298*100)</f>
        <v/>
      </c>
      <c r="AU298" s="41" t="str">
        <f aca="false">IF(AT298="","",IFERROR(MATCH(AT298,INDEX(Boundaries!$B$2:$I$30,MATCH(CP298,Boundaries!$A$2:$A$30,0),0),1)-1,""))</f>
        <v/>
      </c>
      <c r="AV298" s="42" t="str">
        <f aca="false">IF(OR(AU298="",$E298=""),"",AU298-$E298)</f>
        <v/>
      </c>
      <c r="AW298" s="39"/>
      <c r="AX298" s="40" t="str">
        <f aca="false">IF(OR(AW298="",CC298=""),"",AW298/CC298*100)</f>
        <v/>
      </c>
      <c r="AY298" s="41" t="str">
        <f aca="false">IF(AX298="","",IFERROR(MATCH(AX298,INDEX(Boundaries!$B$2:$I$30,MATCH(CQ298,Boundaries!$A$2:$A$30,0),0),1)-1,""))</f>
        <v/>
      </c>
      <c r="AZ298" s="42" t="str">
        <f aca="false">IF(OR(AY298="",$E298=""),"",AY298-$E298)</f>
        <v/>
      </c>
      <c r="BA298" s="39"/>
      <c r="BB298" s="40" t="str">
        <f aca="false">IF(OR(BA298="",CD298=""),"",BA298/CD298*100)</f>
        <v/>
      </c>
      <c r="BC298" s="41" t="str">
        <f aca="false">IF(BB298="","",IFERROR(MATCH(BB298,INDEX(Boundaries!$B$2:$I$30,MATCH(CR298,Boundaries!$A$2:$A$30,0),0),1)-1,""))</f>
        <v/>
      </c>
      <c r="BD298" s="42" t="str">
        <f aca="false">IF(OR(BC298="",$E298=""),"",BC298-$E298)</f>
        <v/>
      </c>
      <c r="BE298" s="39"/>
      <c r="BF298" s="40" t="str">
        <f aca="false">IF(OR(BE298="",CE298=""),"",BE298/CE298*100)</f>
        <v/>
      </c>
      <c r="BG298" s="41" t="str">
        <f aca="false">IF(BF298="","",IFERROR(MATCH(BF298,INDEX(Boundaries!$B$2:$I$30,MATCH(CS298,Boundaries!$A$2:$A$30,0),0),1)-1,""))</f>
        <v/>
      </c>
      <c r="BH298" s="42" t="str">
        <f aca="false">IF(OR(BG298="",$E298=""),"",BG298-$E298)</f>
        <v/>
      </c>
      <c r="BI298" s="39"/>
      <c r="BJ298" s="40" t="str">
        <f aca="false">IF(OR(BI298="",CF298=""),"",BI298/CF298*100)</f>
        <v/>
      </c>
      <c r="BK298" s="41" t="str">
        <f aca="false">IF(BJ298="","",IFERROR(MATCH(BJ298,INDEX(Boundaries!$B$2:$I$30,MATCH(CT298,Boundaries!$A$2:$A$30,0),0),1)-1,""))</f>
        <v/>
      </c>
      <c r="BL298" s="42" t="str">
        <f aca="false">IF(OR(BK298="",$E298=""),"",BK298-$E298)</f>
        <v/>
      </c>
      <c r="BM298" s="39"/>
      <c r="BN298" s="40" t="str">
        <f aca="false">IF(OR(BM298="",CG298=""),"",BM298/CG298*100)</f>
        <v/>
      </c>
      <c r="BO298" s="41" t="str">
        <f aca="false">IF(BN298="","",IFERROR(MATCH(BN298,INDEX(Boundaries!$B$2:$I$30,MATCH(CU298,Boundaries!$A$2:$A$30,0),0),1)-1,""))</f>
        <v/>
      </c>
      <c r="BP298" s="42" t="str">
        <f aca="false">IF(OR(BO298="",$E298=""),"",BO298-$E298)</f>
        <v/>
      </c>
      <c r="BQ298" s="39"/>
      <c r="BR298" s="40" t="str">
        <f aca="false">IF(OR(BQ298="",CH298=""),"",BQ298/CH298*100)</f>
        <v/>
      </c>
      <c r="BS298" s="41" t="str">
        <f aca="false">IF(BR298="","",IFERROR(MATCH(BR298,INDEX(Boundaries!$B$2:$I$30,MATCH(CV298,Boundaries!$A$2:$A$30,0),0),1)-1,""))</f>
        <v/>
      </c>
      <c r="BT298" s="42" t="str">
        <f aca="false">IF(OR(BS298="",$E298=""),"",BS298-$E298)</f>
        <v/>
      </c>
      <c r="BU298" s="28" t="n">
        <f aca="false">IFERROR(INDEX(Assessments!$H$2:$H$600,MATCH($H298&amp;"|"&amp;$I298&amp;"|"&amp;$J298&amp;"|"&amp;1,Assessments!$A$2:$A$600,0)),"")</f>
        <v>24</v>
      </c>
      <c r="BV298" s="28" t="n">
        <f aca="false">IFERROR(INDEX(Assessments!$H$2:$H$600,MATCH($H298&amp;"|"&amp;$I298&amp;"|"&amp;$J298&amp;"|"&amp;2,Assessments!$A$2:$A$600,0)),"")</f>
        <v>20</v>
      </c>
      <c r="BW298" s="28" t="n">
        <f aca="false">IFERROR(INDEX(Assessments!$H$2:$H$600,MATCH($H298&amp;"|"&amp;$I298&amp;"|"&amp;$J298&amp;"|"&amp;3,Assessments!$A$2:$A$600,0)),"")</f>
        <v>20</v>
      </c>
      <c r="BX298" s="28" t="n">
        <f aca="false">IFERROR(INDEX(Assessments!$H$2:$H$600,MATCH($H298&amp;"|"&amp;$I298&amp;"|"&amp;$J298&amp;"|"&amp;4,Assessments!$A$2:$A$600,0)),"")</f>
        <v>40</v>
      </c>
      <c r="BY298" s="28" t="n">
        <f aca="false">IFERROR(INDEX(Assessments!$H$2:$H$600,MATCH($H298&amp;"|"&amp;$I298&amp;"|"&amp;$J298&amp;"|"&amp;5,Assessments!$A$2:$A$600,0)),"")</f>
        <v>30</v>
      </c>
      <c r="BZ298" s="28" t="n">
        <f aca="false">IFERROR(INDEX(Assessments!$H$2:$H$600,MATCH($H298&amp;"|"&amp;$I298&amp;"|"&amp;$J298&amp;"|"&amp;6,Assessments!$A$2:$A$600,0)),"")</f>
        <v>20</v>
      </c>
      <c r="CA298" s="28" t="n">
        <f aca="false">IFERROR(INDEX(Assessments!$H$2:$H$600,MATCH($H298&amp;"|"&amp;$I298&amp;"|"&amp;$J298&amp;"|"&amp;7,Assessments!$A$2:$A$600,0)),"")</f>
        <v>50</v>
      </c>
      <c r="CB298" s="28" t="str">
        <f aca="false">IFERROR(INDEX(Assessments!$H$2:$H$600,MATCH($H298&amp;"|"&amp;$I298&amp;"|"&amp;$J298&amp;"|"&amp;8,Assessments!$A$2:$A$600,0)),"")</f>
        <v/>
      </c>
      <c r="CC298" s="28" t="str">
        <f aca="false">IFERROR(INDEX(Assessments!$H$2:$H$600,MATCH($H298&amp;"|"&amp;$I298&amp;"|"&amp;$J298&amp;"|"&amp;9,Assessments!$A$2:$A$600,0)),"")</f>
        <v/>
      </c>
      <c r="CD298" s="28" t="str">
        <f aca="false">IFERROR(INDEX(Assessments!$H$2:$H$600,MATCH($H298&amp;"|"&amp;$I298&amp;"|"&amp;$J298&amp;"|"&amp;10,Assessments!$A$2:$A$600,0)),"")</f>
        <v/>
      </c>
      <c r="CE298" s="28" t="str">
        <f aca="false">IFERROR(INDEX(Assessments!$H$2:$H$600,MATCH($H298&amp;"|"&amp;$I298&amp;"|"&amp;$J298&amp;"|"&amp;11,Assessments!$A$2:$A$600,0)),"")</f>
        <v/>
      </c>
      <c r="CF298" s="28" t="str">
        <f aca="false">IFERROR(INDEX(Assessments!$H$2:$H$600,MATCH($H298&amp;"|"&amp;$I298&amp;"|"&amp;$J298&amp;"|"&amp;12,Assessments!$A$2:$A$600,0)),"")</f>
        <v/>
      </c>
      <c r="CG298" s="28" t="str">
        <f aca="false">IFERROR(INDEX(Assessments!$H$2:$H$600,MATCH($H298&amp;"|"&amp;$I298&amp;"|"&amp;$J298&amp;"|"&amp;13,Assessments!$A$2:$A$600,0)),"")</f>
        <v/>
      </c>
      <c r="CH298" s="28" t="str">
        <f aca="false">IFERROR(INDEX(Assessments!$H$2:$H$600,MATCH($H298&amp;"|"&amp;$I298&amp;"|"&amp;$J298&amp;"|"&amp;14,Assessments!$A$2:$A$600,0)),"")</f>
        <v/>
      </c>
      <c r="CI298" s="28" t="str">
        <f aca="false">IFERROR(INDEX(Assessments!$I$2:$I$600,MATCH($H298&amp;"|"&amp;$I298&amp;"|"&amp;$J298&amp;"|"&amp;1,Assessments!$A$2:$A$600,0)),"")</f>
        <v>BM Test</v>
      </c>
      <c r="CJ298" s="28" t="str">
        <f aca="false">IFERROR(INDEX(Assessments!$I$2:$I$600,MATCH($H298&amp;"|"&amp;$I298&amp;"|"&amp;$J298&amp;"|"&amp;2,Assessments!$A$2:$A$600,0)),"")</f>
        <v>BM Test</v>
      </c>
      <c r="CK298" s="28" t="str">
        <f aca="false">IFERROR(INDEX(Assessments!$I$2:$I$600,MATCH($H298&amp;"|"&amp;$I298&amp;"|"&amp;$J298&amp;"|"&amp;3,Assessments!$A$2:$A$600,0)),"")</f>
        <v>BM Test</v>
      </c>
      <c r="CL298" s="28" t="str">
        <f aca="false">IFERROR(INDEX(Assessments!$I$2:$I$600,MATCH($H298&amp;"|"&amp;$I298&amp;"|"&amp;$J298&amp;"|"&amp;4,Assessments!$A$2:$A$600,0)),"")</f>
        <v>BM Exam</v>
      </c>
      <c r="CM298" s="28" t="str">
        <f aca="false">IFERROR(INDEX(Assessments!$I$2:$I$600,MATCH($H298&amp;"|"&amp;$I298&amp;"|"&amp;$J298&amp;"|"&amp;5,Assessments!$A$2:$A$600,0)),"")</f>
        <v>BM Test</v>
      </c>
      <c r="CN298" s="28" t="str">
        <f aca="false">IFERROR(INDEX(Assessments!$I$2:$I$600,MATCH($H298&amp;"|"&amp;$I298&amp;"|"&amp;$J298&amp;"|"&amp;6,Assessments!$A$2:$A$600,0)),"")</f>
        <v>BM Test</v>
      </c>
      <c r="CO298" s="28" t="str">
        <f aca="false">IFERROR(INDEX(Assessments!$I$2:$I$600,MATCH($H298&amp;"|"&amp;$I298&amp;"|"&amp;$J298&amp;"|"&amp;7,Assessments!$A$2:$A$600,0)),"")</f>
        <v>BM Exam</v>
      </c>
      <c r="CP298" s="28" t="str">
        <f aca="false">IFERROR(INDEX(Assessments!$I$2:$I$600,MATCH($H298&amp;"|"&amp;$I298&amp;"|"&amp;$J298&amp;"|"&amp;8,Assessments!$A$2:$A$600,0)),"")</f>
        <v/>
      </c>
      <c r="CQ298" s="28" t="str">
        <f aca="false">IFERROR(INDEX(Assessments!$I$2:$I$600,MATCH($H298&amp;"|"&amp;$I298&amp;"|"&amp;$J298&amp;"|"&amp;9,Assessments!$A$2:$A$600,0)),"")</f>
        <v/>
      </c>
      <c r="CR298" s="28" t="str">
        <f aca="false">IFERROR(INDEX(Assessments!$I$2:$I$600,MATCH($H298&amp;"|"&amp;$I298&amp;"|"&amp;$J298&amp;"|"&amp;10,Assessments!$A$2:$A$600,0)),"")</f>
        <v/>
      </c>
      <c r="CS298" s="28" t="str">
        <f aca="false">IFERROR(INDEX(Assessments!$I$2:$I$600,MATCH($H298&amp;"|"&amp;$I298&amp;"|"&amp;$J298&amp;"|"&amp;11,Assessments!$A$2:$A$600,0)),"")</f>
        <v/>
      </c>
      <c r="CT298" s="28" t="str">
        <f aca="false">IFERROR(INDEX(Assessments!$I$2:$I$600,MATCH($H298&amp;"|"&amp;$I298&amp;"|"&amp;$J298&amp;"|"&amp;12,Assessments!$A$2:$A$600,0)),"")</f>
        <v/>
      </c>
      <c r="CU298" s="28" t="str">
        <f aca="false">IFERROR(INDEX(Assessments!$I$2:$I$600,MATCH($H298&amp;"|"&amp;$I298&amp;"|"&amp;$J298&amp;"|"&amp;13,Assessments!$A$2:$A$600,0)),"")</f>
        <v/>
      </c>
      <c r="CV298" s="28" t="str">
        <f aca="false">IFERROR(INDEX(Assessments!$I$2:$I$600,MATCH($H298&amp;"|"&amp;$I298&amp;"|"&amp;$J298&amp;"|"&amp;14,Assessments!$A$2:$A$600,0)),"")</f>
        <v/>
      </c>
      <c r="CW298" s="28" t="n">
        <f aca="false">IFERROR(INDEX(Assessments!$J$2:$J$600,MATCH($H298&amp;"|"&amp;$I298&amp;"|"&amp;$J298&amp;"|"&amp;1,Assessments!$A$2:$A$600,0)),0)</f>
        <v>1</v>
      </c>
      <c r="CX298" s="28" t="n">
        <f aca="false">IFERROR(INDEX(Assessments!$J$2:$J$600,MATCH($H298&amp;"|"&amp;$I298&amp;"|"&amp;$J298&amp;"|"&amp;2,Assessments!$A$2:$A$600,0)),0)</f>
        <v>1</v>
      </c>
      <c r="CY298" s="28" t="n">
        <f aca="false">IFERROR(INDEX(Assessments!$J$2:$J$600,MATCH($H298&amp;"|"&amp;$I298&amp;"|"&amp;$J298&amp;"|"&amp;3,Assessments!$A$2:$A$600,0)),0)</f>
        <v>1</v>
      </c>
      <c r="CZ298" s="28" t="n">
        <f aca="false">IFERROR(INDEX(Assessments!$J$2:$J$600,MATCH($H298&amp;"|"&amp;$I298&amp;"|"&amp;$J298&amp;"|"&amp;4,Assessments!$A$2:$A$600,0)),0)</f>
        <v>2</v>
      </c>
      <c r="DA298" s="28" t="n">
        <f aca="false">IFERROR(INDEX(Assessments!$J$2:$J$600,MATCH($H298&amp;"|"&amp;$I298&amp;"|"&amp;$J298&amp;"|"&amp;5,Assessments!$A$2:$A$600,0)),0)</f>
        <v>1</v>
      </c>
      <c r="DB298" s="28" t="n">
        <f aca="false">IFERROR(INDEX(Assessments!$J$2:$J$600,MATCH($H298&amp;"|"&amp;$I298&amp;"|"&amp;$J298&amp;"|"&amp;6,Assessments!$A$2:$A$600,0)),0)</f>
        <v>1</v>
      </c>
      <c r="DC298" s="28" t="n">
        <f aca="false">IFERROR(INDEX(Assessments!$J$2:$J$600,MATCH($H298&amp;"|"&amp;$I298&amp;"|"&amp;$J298&amp;"|"&amp;7,Assessments!$A$2:$A$600,0)),0)</f>
        <v>2</v>
      </c>
      <c r="DD298" s="28" t="n">
        <f aca="false">IFERROR(INDEX(Assessments!$J$2:$J$600,MATCH($H298&amp;"|"&amp;$I298&amp;"|"&amp;$J298&amp;"|"&amp;8,Assessments!$A$2:$A$600,0)),0)</f>
        <v>0</v>
      </c>
      <c r="DE298" s="28" t="n">
        <f aca="false">IFERROR(INDEX(Assessments!$J$2:$J$600,MATCH($H298&amp;"|"&amp;$I298&amp;"|"&amp;$J298&amp;"|"&amp;9,Assessments!$A$2:$A$600,0)),0)</f>
        <v>0</v>
      </c>
      <c r="DF298" s="28" t="n">
        <f aca="false">IFERROR(INDEX(Assessments!$J$2:$J$600,MATCH($H298&amp;"|"&amp;$I298&amp;"|"&amp;$J298&amp;"|"&amp;10,Assessments!$A$2:$A$600,0)),0)</f>
        <v>0</v>
      </c>
      <c r="DG298" s="28" t="n">
        <f aca="false">IFERROR(INDEX(Assessments!$J$2:$J$600,MATCH($H298&amp;"|"&amp;$I298&amp;"|"&amp;$J298&amp;"|"&amp;11,Assessments!$A$2:$A$600,0)),0)</f>
        <v>0</v>
      </c>
      <c r="DH298" s="28" t="n">
        <f aca="false">IFERROR(INDEX(Assessments!$J$2:$J$600,MATCH($H298&amp;"|"&amp;$I298&amp;"|"&amp;$J298&amp;"|"&amp;12,Assessments!$A$2:$A$600,0)),0)</f>
        <v>0</v>
      </c>
      <c r="DI298" s="28" t="n">
        <f aca="false">IFERROR(INDEX(Assessments!$J$2:$J$600,MATCH($H298&amp;"|"&amp;$I298&amp;"|"&amp;$J298&amp;"|"&amp;13,Assessments!$A$2:$A$600,0)),0)</f>
        <v>0</v>
      </c>
      <c r="DJ298" s="28" t="n">
        <f aca="false">IFERROR(INDEX(Assessments!$J$2:$J$600,MATCH($H298&amp;"|"&amp;$I298&amp;"|"&amp;$J298&amp;"|"&amp;14,Assessments!$A$2:$A$600,0)),0)</f>
        <v>0</v>
      </c>
      <c r="DK298" s="28" t="n">
        <f aca="false">S298</f>
        <v>5</v>
      </c>
      <c r="DL298" s="28" t="str">
        <f aca="false">W298</f>
        <v/>
      </c>
      <c r="DM298" s="28" t="str">
        <f aca="false">AA298</f>
        <v/>
      </c>
      <c r="DN298" s="28" t="str">
        <f aca="false">AE298</f>
        <v/>
      </c>
      <c r="DO298" s="28" t="str">
        <f aca="false">AI298</f>
        <v/>
      </c>
      <c r="DP298" s="28" t="str">
        <f aca="false">AM298</f>
        <v/>
      </c>
      <c r="DQ298" s="28" t="str">
        <f aca="false">AQ298</f>
        <v/>
      </c>
      <c r="DR298" s="28" t="str">
        <f aca="false">AU298</f>
        <v/>
      </c>
      <c r="DS298" s="28" t="str">
        <f aca="false">AY298</f>
        <v/>
      </c>
      <c r="DT298" s="28" t="str">
        <f aca="false">BC298</f>
        <v/>
      </c>
      <c r="DU298" s="28" t="str">
        <f aca="false">BG298</f>
        <v/>
      </c>
      <c r="DV298" s="28" t="str">
        <f aca="false">BK298</f>
        <v/>
      </c>
      <c r="DW298" s="28" t="str">
        <f aca="false">BO298</f>
        <v/>
      </c>
      <c r="DX298" s="28" t="str">
        <f aca="false">BS298</f>
        <v/>
      </c>
      <c r="DY298" s="28" t="n">
        <f aca="false">IF(ISNUMBER(S298),1,"")</f>
        <v>1</v>
      </c>
      <c r="DZ298" s="28" t="str">
        <f aca="false">IF(ISNUMBER(W298),2,"")</f>
        <v/>
      </c>
      <c r="EA298" s="28" t="str">
        <f aca="false">IF(ISNUMBER(AA298),3,"")</f>
        <v/>
      </c>
      <c r="EB298" s="28" t="str">
        <f aca="false">IF(ISNUMBER(AE298),4,"")</f>
        <v/>
      </c>
      <c r="EC298" s="28" t="str">
        <f aca="false">IF(ISNUMBER(AI298),5,"")</f>
        <v/>
      </c>
      <c r="ED298" s="28" t="str">
        <f aca="false">IF(ISNUMBER(AM298),6,"")</f>
        <v/>
      </c>
      <c r="EE298" s="28" t="str">
        <f aca="false">IF(ISNUMBER(AQ298),7,"")</f>
        <v/>
      </c>
      <c r="EF298" s="28" t="str">
        <f aca="false">IF(ISNUMBER(AU298),8,"")</f>
        <v/>
      </c>
      <c r="EG298" s="28" t="str">
        <f aca="false">IF(ISNUMBER(AY298),9,"")</f>
        <v/>
      </c>
      <c r="EH298" s="28" t="str">
        <f aca="false">IF(ISNUMBER(BC298),10,"")</f>
        <v/>
      </c>
      <c r="EI298" s="28" t="str">
        <f aca="false">IF(ISNUMBER(BG298),11,"")</f>
        <v/>
      </c>
      <c r="EJ298" s="28" t="str">
        <f aca="false">IF(ISNUMBER(BK298),12,"")</f>
        <v/>
      </c>
      <c r="EK298" s="28" t="str">
        <f aca="false">IF(ISNUMBER(BO298),13,"")</f>
        <v/>
      </c>
      <c r="EL298" s="28" t="str">
        <f aca="false">IF(ISNUMBER(BS298),14,"")</f>
        <v/>
      </c>
      <c r="EM298" s="28" t="n">
        <f aca="false">IF(ISNUMBER(R298),R298*CW298,0)</f>
        <v>62.5</v>
      </c>
      <c r="EN298" s="28" t="n">
        <f aca="false">IF(ISNUMBER(V298),V298*CX298,0)</f>
        <v>0</v>
      </c>
      <c r="EO298" s="28" t="n">
        <f aca="false">IF(ISNUMBER(Z298),Z298*CY298,0)</f>
        <v>0</v>
      </c>
      <c r="EP298" s="28" t="n">
        <f aca="false">IF(ISNUMBER(AD298),AD298*CZ298,0)</f>
        <v>0</v>
      </c>
      <c r="EQ298" s="28" t="n">
        <f aca="false">IF(ISNUMBER(AH298),AH298*DA298,0)</f>
        <v>0</v>
      </c>
      <c r="ER298" s="28" t="n">
        <f aca="false">IF(ISNUMBER(AL298),AL298*DB298,0)</f>
        <v>0</v>
      </c>
      <c r="ES298" s="28" t="n">
        <f aca="false">IF(ISNUMBER(AP298),AP298*DC298,0)</f>
        <v>0</v>
      </c>
      <c r="ET298" s="28" t="n">
        <f aca="false">IF(ISNUMBER(AT298),AT298*DD298,0)</f>
        <v>0</v>
      </c>
      <c r="EU298" s="28" t="n">
        <f aca="false">IF(ISNUMBER(AX298),AX298*DE298,0)</f>
        <v>0</v>
      </c>
      <c r="EV298" s="28" t="n">
        <f aca="false">IF(ISNUMBER(BB298),BB298*DF298,0)</f>
        <v>0</v>
      </c>
      <c r="EW298" s="28" t="n">
        <f aca="false">IF(ISNUMBER(BF298),BF298*DG298,0)</f>
        <v>0</v>
      </c>
      <c r="EX298" s="28" t="n">
        <f aca="false">IF(ISNUMBER(BJ298),BJ298*DH298,0)</f>
        <v>0</v>
      </c>
      <c r="EY298" s="28" t="n">
        <f aca="false">IF(ISNUMBER(BN298),BN298*DI298,0)</f>
        <v>0</v>
      </c>
      <c r="EZ298" s="28" t="n">
        <f aca="false">IF(ISNUMBER(BR298),BR298*DJ298,0)</f>
        <v>0</v>
      </c>
      <c r="FA298" s="28" t="n">
        <f aca="false">IF(ISNUMBER(R298),CW298,0)</f>
        <v>1</v>
      </c>
      <c r="FB298" s="28" t="n">
        <f aca="false">IF(ISNUMBER(V298),CX298,0)</f>
        <v>0</v>
      </c>
      <c r="FC298" s="28" t="n">
        <f aca="false">IF(ISNUMBER(Z298),CY298,0)</f>
        <v>0</v>
      </c>
      <c r="FD298" s="28" t="n">
        <f aca="false">IF(ISNUMBER(AD298),CZ298,0)</f>
        <v>0</v>
      </c>
      <c r="FE298" s="28" t="n">
        <f aca="false">IF(ISNUMBER(AH298),DA298,0)</f>
        <v>0</v>
      </c>
      <c r="FF298" s="28" t="n">
        <f aca="false">IF(ISNUMBER(AL298),DB298,0)</f>
        <v>0</v>
      </c>
      <c r="FG298" s="28" t="n">
        <f aca="false">IF(ISNUMBER(AP298),DC298,0)</f>
        <v>0</v>
      </c>
      <c r="FH298" s="28" t="n">
        <f aca="false">IF(ISNUMBER(AT298),DD298,0)</f>
        <v>0</v>
      </c>
      <c r="FI298" s="28" t="n">
        <f aca="false">IF(ISNUMBER(AX298),DE298,0)</f>
        <v>0</v>
      </c>
      <c r="FJ298" s="28" t="n">
        <f aca="false">IF(ISNUMBER(BB298),DF298,0)</f>
        <v>0</v>
      </c>
      <c r="FK298" s="28" t="n">
        <f aca="false">IF(ISNUMBER(BF298),DG298,0)</f>
        <v>0</v>
      </c>
      <c r="FL298" s="28" t="n">
        <f aca="false">IF(ISNUMBER(BJ298),DH298,0)</f>
        <v>0</v>
      </c>
      <c r="FM298" s="28" t="n">
        <f aca="false">IF(ISNUMBER(BN298),DI298,0)</f>
        <v>0</v>
      </c>
      <c r="FN298" s="28" t="n">
        <f aca="false">IF(ISNUMBER(BR298),DJ298,0)</f>
        <v>0</v>
      </c>
      <c r="FO298" s="28" t="str">
        <f aca="false">IFERROR(INDEX(Lists!$G$2:$G$20,MATCH($I298&amp;"|"&amp;$J298,Lists!$F$2:$F$20,0)),"")</f>
        <v>BM Exam</v>
      </c>
    </row>
    <row r="299" customFormat="false" ht="19.5" hidden="false" customHeight="true" outlineLevel="0" collapsed="false">
      <c r="A299" s="29" t="s">
        <v>594</v>
      </c>
      <c r="B299" s="29" t="s">
        <v>595</v>
      </c>
      <c r="C299" s="30" t="s">
        <v>152</v>
      </c>
      <c r="D299" s="30" t="s">
        <v>364</v>
      </c>
      <c r="E299" s="31"/>
      <c r="F299" s="30"/>
      <c r="G299" s="30"/>
      <c r="H299" s="32" t="s">
        <v>428</v>
      </c>
      <c r="I299" s="33" t="s">
        <v>365</v>
      </c>
      <c r="J299" s="32" t="s">
        <v>25</v>
      </c>
      <c r="K299" s="34" t="str">
        <f aca="false">IF(OR(M299="",$E299=""),"",M299-$E299)</f>
        <v/>
      </c>
      <c r="L299" s="35" t="n">
        <f aca="false">IF(SUM(FA299:FN299)=0,"",SUM(EM299:EZ299)/SUM(FA299:FN299))</f>
        <v>75</v>
      </c>
      <c r="M299" s="36" t="n">
        <f aca="false">IF(OR(L299="",FO299=""),"",IFERROR(MATCH(L299,INDEX(Boundaries!$B$2:$I$30,MATCH(FO299,Boundaries!$A$2:$A$30,0),0),1)-1,""))</f>
        <v>7</v>
      </c>
      <c r="N299" s="37" t="str">
        <f aca="false">IF(COUNT($DY299:$EL299)&lt;2,"",INDEX($DK299:$DX299,MAX($DY299:$EL299))-INDEX($DK299:$DX299,MIN($DY299:$EL299)))</f>
        <v/>
      </c>
      <c r="O299" s="37" t="str">
        <f aca="false">IF(COUNT($DY299:$EL299)&lt;2,"",INDEX($DK299:$DX299,MAX($DY299:$EL299))-INDEX($DK299:$DX299,LARGE($DY299:$EL299,2)))</f>
        <v/>
      </c>
      <c r="P299" s="38" t="str">
        <f aca="false">IF(K299="","",IF(K299&gt;=0,"On/above target",IF(AND(N299&lt;&gt;"",N299&gt;=0.5),"Improving towards target",IF(AND(O299&lt;&gt;"",O299&lt;=-0.5),"Declining","Stable below target"))))</f>
        <v/>
      </c>
      <c r="Q299" s="39" t="n">
        <v>18</v>
      </c>
      <c r="R299" s="40" t="n">
        <f aca="false">IF(OR(Q299="",BU299=""),"",Q299/BU299*100)</f>
        <v>75</v>
      </c>
      <c r="S299" s="41" t="n">
        <f aca="false">IF(R299="","",IFERROR(MATCH(R299,INDEX(Boundaries!$B$2:$I$30,MATCH(CI299,Boundaries!$A$2:$A$30,0),0),1)-1,""))</f>
        <v>7</v>
      </c>
      <c r="T299" s="42" t="str">
        <f aca="false">IF(OR(S299="",$E299=""),"",S299-$E299)</f>
        <v/>
      </c>
      <c r="U299" s="39"/>
      <c r="V299" s="40" t="str">
        <f aca="false">IF(OR(U299="",BV299=""),"",U299/BV299*100)</f>
        <v/>
      </c>
      <c r="W299" s="41" t="str">
        <f aca="false">IF(V299="","",IFERROR(MATCH(V299,INDEX(Boundaries!$B$2:$I$30,MATCH(CJ299,Boundaries!$A$2:$A$30,0),0),1)-1,""))</f>
        <v/>
      </c>
      <c r="X299" s="42" t="str">
        <f aca="false">IF(OR(W299="",$E299=""),"",W299-$E299)</f>
        <v/>
      </c>
      <c r="Y299" s="39"/>
      <c r="Z299" s="40" t="str">
        <f aca="false">IF(OR(Y299="",BW299=""),"",Y299/BW299*100)</f>
        <v/>
      </c>
      <c r="AA299" s="41" t="str">
        <f aca="false">IF(Z299="","",IFERROR(MATCH(Z299,INDEX(Boundaries!$B$2:$I$30,MATCH(CK299,Boundaries!$A$2:$A$30,0),0),1)-1,""))</f>
        <v/>
      </c>
      <c r="AB299" s="42" t="str">
        <f aca="false">IF(OR(AA299="",$E299=""),"",AA299-$E299)</f>
        <v/>
      </c>
      <c r="AC299" s="39"/>
      <c r="AD299" s="40" t="str">
        <f aca="false">IF(OR(AC299="",BX299=""),"",AC299/BX299*100)</f>
        <v/>
      </c>
      <c r="AE299" s="41" t="str">
        <f aca="false">IF(AD299="","",IFERROR(MATCH(AD299,INDEX(Boundaries!$B$2:$I$30,MATCH(CL299,Boundaries!$A$2:$A$30,0),0),1)-1,""))</f>
        <v/>
      </c>
      <c r="AF299" s="42" t="str">
        <f aca="false">IF(OR(AE299="",$E299=""),"",AE299-$E299)</f>
        <v/>
      </c>
      <c r="AG299" s="39"/>
      <c r="AH299" s="40" t="str">
        <f aca="false">IF(OR(AG299="",BY299=""),"",AG299/BY299*100)</f>
        <v/>
      </c>
      <c r="AI299" s="41" t="str">
        <f aca="false">IF(AH299="","",IFERROR(MATCH(AH299,INDEX(Boundaries!$B$2:$I$30,MATCH(CM299,Boundaries!$A$2:$A$30,0),0),1)-1,""))</f>
        <v/>
      </c>
      <c r="AJ299" s="42" t="str">
        <f aca="false">IF(OR(AI299="",$E299=""),"",AI299-$E299)</f>
        <v/>
      </c>
      <c r="AK299" s="39"/>
      <c r="AL299" s="40" t="str">
        <f aca="false">IF(OR(AK299="",BZ299=""),"",AK299/BZ299*100)</f>
        <v/>
      </c>
      <c r="AM299" s="41" t="str">
        <f aca="false">IF(AL299="","",IFERROR(MATCH(AL299,INDEX(Boundaries!$B$2:$I$30,MATCH(CN299,Boundaries!$A$2:$A$30,0),0),1)-1,""))</f>
        <v/>
      </c>
      <c r="AN299" s="42" t="str">
        <f aca="false">IF(OR(AM299="",$E299=""),"",AM299-$E299)</f>
        <v/>
      </c>
      <c r="AO299" s="39"/>
      <c r="AP299" s="40" t="str">
        <f aca="false">IF(OR(AO299="",CA299=""),"",AO299/CA299*100)</f>
        <v/>
      </c>
      <c r="AQ299" s="41" t="str">
        <f aca="false">IF(AP299="","",IFERROR(MATCH(AP299,INDEX(Boundaries!$B$2:$I$30,MATCH(CO299,Boundaries!$A$2:$A$30,0),0),1)-1,""))</f>
        <v/>
      </c>
      <c r="AR299" s="42" t="str">
        <f aca="false">IF(OR(AQ299="",$E299=""),"",AQ299-$E299)</f>
        <v/>
      </c>
      <c r="AS299" s="39"/>
      <c r="AT299" s="40" t="str">
        <f aca="false">IF(OR(AS299="",CB299=""),"",AS299/CB299*100)</f>
        <v/>
      </c>
      <c r="AU299" s="41" t="str">
        <f aca="false">IF(AT299="","",IFERROR(MATCH(AT299,INDEX(Boundaries!$B$2:$I$30,MATCH(CP299,Boundaries!$A$2:$A$30,0),0),1)-1,""))</f>
        <v/>
      </c>
      <c r="AV299" s="42" t="str">
        <f aca="false">IF(OR(AU299="",$E299=""),"",AU299-$E299)</f>
        <v/>
      </c>
      <c r="AW299" s="39"/>
      <c r="AX299" s="40" t="str">
        <f aca="false">IF(OR(AW299="",CC299=""),"",AW299/CC299*100)</f>
        <v/>
      </c>
      <c r="AY299" s="41" t="str">
        <f aca="false">IF(AX299="","",IFERROR(MATCH(AX299,INDEX(Boundaries!$B$2:$I$30,MATCH(CQ299,Boundaries!$A$2:$A$30,0),0),1)-1,""))</f>
        <v/>
      </c>
      <c r="AZ299" s="42" t="str">
        <f aca="false">IF(OR(AY299="",$E299=""),"",AY299-$E299)</f>
        <v/>
      </c>
      <c r="BA299" s="39"/>
      <c r="BB299" s="40" t="str">
        <f aca="false">IF(OR(BA299="",CD299=""),"",BA299/CD299*100)</f>
        <v/>
      </c>
      <c r="BC299" s="41" t="str">
        <f aca="false">IF(BB299="","",IFERROR(MATCH(BB299,INDEX(Boundaries!$B$2:$I$30,MATCH(CR299,Boundaries!$A$2:$A$30,0),0),1)-1,""))</f>
        <v/>
      </c>
      <c r="BD299" s="42" t="str">
        <f aca="false">IF(OR(BC299="",$E299=""),"",BC299-$E299)</f>
        <v/>
      </c>
      <c r="BE299" s="39"/>
      <c r="BF299" s="40" t="str">
        <f aca="false">IF(OR(BE299="",CE299=""),"",BE299/CE299*100)</f>
        <v/>
      </c>
      <c r="BG299" s="41" t="str">
        <f aca="false">IF(BF299="","",IFERROR(MATCH(BF299,INDEX(Boundaries!$B$2:$I$30,MATCH(CS299,Boundaries!$A$2:$A$30,0),0),1)-1,""))</f>
        <v/>
      </c>
      <c r="BH299" s="42" t="str">
        <f aca="false">IF(OR(BG299="",$E299=""),"",BG299-$E299)</f>
        <v/>
      </c>
      <c r="BI299" s="39"/>
      <c r="BJ299" s="40" t="str">
        <f aca="false">IF(OR(BI299="",CF299=""),"",BI299/CF299*100)</f>
        <v/>
      </c>
      <c r="BK299" s="41" t="str">
        <f aca="false">IF(BJ299="","",IFERROR(MATCH(BJ299,INDEX(Boundaries!$B$2:$I$30,MATCH(CT299,Boundaries!$A$2:$A$30,0),0),1)-1,""))</f>
        <v/>
      </c>
      <c r="BL299" s="42" t="str">
        <f aca="false">IF(OR(BK299="",$E299=""),"",BK299-$E299)</f>
        <v/>
      </c>
      <c r="BM299" s="39"/>
      <c r="BN299" s="40" t="str">
        <f aca="false">IF(OR(BM299="",CG299=""),"",BM299/CG299*100)</f>
        <v/>
      </c>
      <c r="BO299" s="41" t="str">
        <f aca="false">IF(BN299="","",IFERROR(MATCH(BN299,INDEX(Boundaries!$B$2:$I$30,MATCH(CU299,Boundaries!$A$2:$A$30,0),0),1)-1,""))</f>
        <v/>
      </c>
      <c r="BP299" s="42" t="str">
        <f aca="false">IF(OR(BO299="",$E299=""),"",BO299-$E299)</f>
        <v/>
      </c>
      <c r="BQ299" s="39"/>
      <c r="BR299" s="40" t="str">
        <f aca="false">IF(OR(BQ299="",CH299=""),"",BQ299/CH299*100)</f>
        <v/>
      </c>
      <c r="BS299" s="41" t="str">
        <f aca="false">IF(BR299="","",IFERROR(MATCH(BR299,INDEX(Boundaries!$B$2:$I$30,MATCH(CV299,Boundaries!$A$2:$A$30,0),0),1)-1,""))</f>
        <v/>
      </c>
      <c r="BT299" s="42" t="str">
        <f aca="false">IF(OR(BS299="",$E299=""),"",BS299-$E299)</f>
        <v/>
      </c>
      <c r="BU299" s="28" t="n">
        <f aca="false">IFERROR(INDEX(Assessments!$H$2:$H$600,MATCH($H299&amp;"|"&amp;$I299&amp;"|"&amp;$J299&amp;"|"&amp;1,Assessments!$A$2:$A$600,0)),"")</f>
        <v>24</v>
      </c>
      <c r="BV299" s="28" t="n">
        <f aca="false">IFERROR(INDEX(Assessments!$H$2:$H$600,MATCH($H299&amp;"|"&amp;$I299&amp;"|"&amp;$J299&amp;"|"&amp;2,Assessments!$A$2:$A$600,0)),"")</f>
        <v>20</v>
      </c>
      <c r="BW299" s="28" t="n">
        <f aca="false">IFERROR(INDEX(Assessments!$H$2:$H$600,MATCH($H299&amp;"|"&amp;$I299&amp;"|"&amp;$J299&amp;"|"&amp;3,Assessments!$A$2:$A$600,0)),"")</f>
        <v>20</v>
      </c>
      <c r="BX299" s="28" t="n">
        <f aca="false">IFERROR(INDEX(Assessments!$H$2:$H$600,MATCH($H299&amp;"|"&amp;$I299&amp;"|"&amp;$J299&amp;"|"&amp;4,Assessments!$A$2:$A$600,0)),"")</f>
        <v>40</v>
      </c>
      <c r="BY299" s="28" t="n">
        <f aca="false">IFERROR(INDEX(Assessments!$H$2:$H$600,MATCH($H299&amp;"|"&amp;$I299&amp;"|"&amp;$J299&amp;"|"&amp;5,Assessments!$A$2:$A$600,0)),"")</f>
        <v>30</v>
      </c>
      <c r="BZ299" s="28" t="n">
        <f aca="false">IFERROR(INDEX(Assessments!$H$2:$H$600,MATCH($H299&amp;"|"&amp;$I299&amp;"|"&amp;$J299&amp;"|"&amp;6,Assessments!$A$2:$A$600,0)),"")</f>
        <v>20</v>
      </c>
      <c r="CA299" s="28" t="n">
        <f aca="false">IFERROR(INDEX(Assessments!$H$2:$H$600,MATCH($H299&amp;"|"&amp;$I299&amp;"|"&amp;$J299&amp;"|"&amp;7,Assessments!$A$2:$A$600,0)),"")</f>
        <v>50</v>
      </c>
      <c r="CB299" s="28" t="str">
        <f aca="false">IFERROR(INDEX(Assessments!$H$2:$H$600,MATCH($H299&amp;"|"&amp;$I299&amp;"|"&amp;$J299&amp;"|"&amp;8,Assessments!$A$2:$A$600,0)),"")</f>
        <v/>
      </c>
      <c r="CC299" s="28" t="str">
        <f aca="false">IFERROR(INDEX(Assessments!$H$2:$H$600,MATCH($H299&amp;"|"&amp;$I299&amp;"|"&amp;$J299&amp;"|"&amp;9,Assessments!$A$2:$A$600,0)),"")</f>
        <v/>
      </c>
      <c r="CD299" s="28" t="str">
        <f aca="false">IFERROR(INDEX(Assessments!$H$2:$H$600,MATCH($H299&amp;"|"&amp;$I299&amp;"|"&amp;$J299&amp;"|"&amp;10,Assessments!$A$2:$A$600,0)),"")</f>
        <v/>
      </c>
      <c r="CE299" s="28" t="str">
        <f aca="false">IFERROR(INDEX(Assessments!$H$2:$H$600,MATCH($H299&amp;"|"&amp;$I299&amp;"|"&amp;$J299&amp;"|"&amp;11,Assessments!$A$2:$A$600,0)),"")</f>
        <v/>
      </c>
      <c r="CF299" s="28" t="str">
        <f aca="false">IFERROR(INDEX(Assessments!$H$2:$H$600,MATCH($H299&amp;"|"&amp;$I299&amp;"|"&amp;$J299&amp;"|"&amp;12,Assessments!$A$2:$A$600,0)),"")</f>
        <v/>
      </c>
      <c r="CG299" s="28" t="str">
        <f aca="false">IFERROR(INDEX(Assessments!$H$2:$H$600,MATCH($H299&amp;"|"&amp;$I299&amp;"|"&amp;$J299&amp;"|"&amp;13,Assessments!$A$2:$A$600,0)),"")</f>
        <v/>
      </c>
      <c r="CH299" s="28" t="str">
        <f aca="false">IFERROR(INDEX(Assessments!$H$2:$H$600,MATCH($H299&amp;"|"&amp;$I299&amp;"|"&amp;$J299&amp;"|"&amp;14,Assessments!$A$2:$A$600,0)),"")</f>
        <v/>
      </c>
      <c r="CI299" s="28" t="str">
        <f aca="false">IFERROR(INDEX(Assessments!$I$2:$I$600,MATCH($H299&amp;"|"&amp;$I299&amp;"|"&amp;$J299&amp;"|"&amp;1,Assessments!$A$2:$A$600,0)),"")</f>
        <v>BM Test</v>
      </c>
      <c r="CJ299" s="28" t="str">
        <f aca="false">IFERROR(INDEX(Assessments!$I$2:$I$600,MATCH($H299&amp;"|"&amp;$I299&amp;"|"&amp;$J299&amp;"|"&amp;2,Assessments!$A$2:$A$600,0)),"")</f>
        <v>BM Test</v>
      </c>
      <c r="CK299" s="28" t="str">
        <f aca="false">IFERROR(INDEX(Assessments!$I$2:$I$600,MATCH($H299&amp;"|"&amp;$I299&amp;"|"&amp;$J299&amp;"|"&amp;3,Assessments!$A$2:$A$600,0)),"")</f>
        <v>BM Test</v>
      </c>
      <c r="CL299" s="28" t="str">
        <f aca="false">IFERROR(INDEX(Assessments!$I$2:$I$600,MATCH($H299&amp;"|"&amp;$I299&amp;"|"&amp;$J299&amp;"|"&amp;4,Assessments!$A$2:$A$600,0)),"")</f>
        <v>BM Exam</v>
      </c>
      <c r="CM299" s="28" t="str">
        <f aca="false">IFERROR(INDEX(Assessments!$I$2:$I$600,MATCH($H299&amp;"|"&amp;$I299&amp;"|"&amp;$J299&amp;"|"&amp;5,Assessments!$A$2:$A$600,0)),"")</f>
        <v>BM Test</v>
      </c>
      <c r="CN299" s="28" t="str">
        <f aca="false">IFERROR(INDEX(Assessments!$I$2:$I$600,MATCH($H299&amp;"|"&amp;$I299&amp;"|"&amp;$J299&amp;"|"&amp;6,Assessments!$A$2:$A$600,0)),"")</f>
        <v>BM Test</v>
      </c>
      <c r="CO299" s="28" t="str">
        <f aca="false">IFERROR(INDEX(Assessments!$I$2:$I$600,MATCH($H299&amp;"|"&amp;$I299&amp;"|"&amp;$J299&amp;"|"&amp;7,Assessments!$A$2:$A$600,0)),"")</f>
        <v>BM Exam</v>
      </c>
      <c r="CP299" s="28" t="str">
        <f aca="false">IFERROR(INDEX(Assessments!$I$2:$I$600,MATCH($H299&amp;"|"&amp;$I299&amp;"|"&amp;$J299&amp;"|"&amp;8,Assessments!$A$2:$A$600,0)),"")</f>
        <v/>
      </c>
      <c r="CQ299" s="28" t="str">
        <f aca="false">IFERROR(INDEX(Assessments!$I$2:$I$600,MATCH($H299&amp;"|"&amp;$I299&amp;"|"&amp;$J299&amp;"|"&amp;9,Assessments!$A$2:$A$600,0)),"")</f>
        <v/>
      </c>
      <c r="CR299" s="28" t="str">
        <f aca="false">IFERROR(INDEX(Assessments!$I$2:$I$600,MATCH($H299&amp;"|"&amp;$I299&amp;"|"&amp;$J299&amp;"|"&amp;10,Assessments!$A$2:$A$600,0)),"")</f>
        <v/>
      </c>
      <c r="CS299" s="28" t="str">
        <f aca="false">IFERROR(INDEX(Assessments!$I$2:$I$600,MATCH($H299&amp;"|"&amp;$I299&amp;"|"&amp;$J299&amp;"|"&amp;11,Assessments!$A$2:$A$600,0)),"")</f>
        <v/>
      </c>
      <c r="CT299" s="28" t="str">
        <f aca="false">IFERROR(INDEX(Assessments!$I$2:$I$600,MATCH($H299&amp;"|"&amp;$I299&amp;"|"&amp;$J299&amp;"|"&amp;12,Assessments!$A$2:$A$600,0)),"")</f>
        <v/>
      </c>
      <c r="CU299" s="28" t="str">
        <f aca="false">IFERROR(INDEX(Assessments!$I$2:$I$600,MATCH($H299&amp;"|"&amp;$I299&amp;"|"&amp;$J299&amp;"|"&amp;13,Assessments!$A$2:$A$600,0)),"")</f>
        <v/>
      </c>
      <c r="CV299" s="28" t="str">
        <f aca="false">IFERROR(INDEX(Assessments!$I$2:$I$600,MATCH($H299&amp;"|"&amp;$I299&amp;"|"&amp;$J299&amp;"|"&amp;14,Assessments!$A$2:$A$600,0)),"")</f>
        <v/>
      </c>
      <c r="CW299" s="28" t="n">
        <f aca="false">IFERROR(INDEX(Assessments!$J$2:$J$600,MATCH($H299&amp;"|"&amp;$I299&amp;"|"&amp;$J299&amp;"|"&amp;1,Assessments!$A$2:$A$600,0)),0)</f>
        <v>1</v>
      </c>
      <c r="CX299" s="28" t="n">
        <f aca="false">IFERROR(INDEX(Assessments!$J$2:$J$600,MATCH($H299&amp;"|"&amp;$I299&amp;"|"&amp;$J299&amp;"|"&amp;2,Assessments!$A$2:$A$600,0)),0)</f>
        <v>1</v>
      </c>
      <c r="CY299" s="28" t="n">
        <f aca="false">IFERROR(INDEX(Assessments!$J$2:$J$600,MATCH($H299&amp;"|"&amp;$I299&amp;"|"&amp;$J299&amp;"|"&amp;3,Assessments!$A$2:$A$600,0)),0)</f>
        <v>1</v>
      </c>
      <c r="CZ299" s="28" t="n">
        <f aca="false">IFERROR(INDEX(Assessments!$J$2:$J$600,MATCH($H299&amp;"|"&amp;$I299&amp;"|"&amp;$J299&amp;"|"&amp;4,Assessments!$A$2:$A$600,0)),0)</f>
        <v>2</v>
      </c>
      <c r="DA299" s="28" t="n">
        <f aca="false">IFERROR(INDEX(Assessments!$J$2:$J$600,MATCH($H299&amp;"|"&amp;$I299&amp;"|"&amp;$J299&amp;"|"&amp;5,Assessments!$A$2:$A$600,0)),0)</f>
        <v>1</v>
      </c>
      <c r="DB299" s="28" t="n">
        <f aca="false">IFERROR(INDEX(Assessments!$J$2:$J$600,MATCH($H299&amp;"|"&amp;$I299&amp;"|"&amp;$J299&amp;"|"&amp;6,Assessments!$A$2:$A$600,0)),0)</f>
        <v>1</v>
      </c>
      <c r="DC299" s="28" t="n">
        <f aca="false">IFERROR(INDEX(Assessments!$J$2:$J$600,MATCH($H299&amp;"|"&amp;$I299&amp;"|"&amp;$J299&amp;"|"&amp;7,Assessments!$A$2:$A$600,0)),0)</f>
        <v>2</v>
      </c>
      <c r="DD299" s="28" t="n">
        <f aca="false">IFERROR(INDEX(Assessments!$J$2:$J$600,MATCH($H299&amp;"|"&amp;$I299&amp;"|"&amp;$J299&amp;"|"&amp;8,Assessments!$A$2:$A$600,0)),0)</f>
        <v>0</v>
      </c>
      <c r="DE299" s="28" t="n">
        <f aca="false">IFERROR(INDEX(Assessments!$J$2:$J$600,MATCH($H299&amp;"|"&amp;$I299&amp;"|"&amp;$J299&amp;"|"&amp;9,Assessments!$A$2:$A$600,0)),0)</f>
        <v>0</v>
      </c>
      <c r="DF299" s="28" t="n">
        <f aca="false">IFERROR(INDEX(Assessments!$J$2:$J$600,MATCH($H299&amp;"|"&amp;$I299&amp;"|"&amp;$J299&amp;"|"&amp;10,Assessments!$A$2:$A$600,0)),0)</f>
        <v>0</v>
      </c>
      <c r="DG299" s="28" t="n">
        <f aca="false">IFERROR(INDEX(Assessments!$J$2:$J$600,MATCH($H299&amp;"|"&amp;$I299&amp;"|"&amp;$J299&amp;"|"&amp;11,Assessments!$A$2:$A$600,0)),0)</f>
        <v>0</v>
      </c>
      <c r="DH299" s="28" t="n">
        <f aca="false">IFERROR(INDEX(Assessments!$J$2:$J$600,MATCH($H299&amp;"|"&amp;$I299&amp;"|"&amp;$J299&amp;"|"&amp;12,Assessments!$A$2:$A$600,0)),0)</f>
        <v>0</v>
      </c>
      <c r="DI299" s="28" t="n">
        <f aca="false">IFERROR(INDEX(Assessments!$J$2:$J$600,MATCH($H299&amp;"|"&amp;$I299&amp;"|"&amp;$J299&amp;"|"&amp;13,Assessments!$A$2:$A$600,0)),0)</f>
        <v>0</v>
      </c>
      <c r="DJ299" s="28" t="n">
        <f aca="false">IFERROR(INDEX(Assessments!$J$2:$J$600,MATCH($H299&amp;"|"&amp;$I299&amp;"|"&amp;$J299&amp;"|"&amp;14,Assessments!$A$2:$A$600,0)),0)</f>
        <v>0</v>
      </c>
      <c r="DK299" s="28" t="n">
        <f aca="false">S299</f>
        <v>7</v>
      </c>
      <c r="DL299" s="28" t="str">
        <f aca="false">W299</f>
        <v/>
      </c>
      <c r="DM299" s="28" t="str">
        <f aca="false">AA299</f>
        <v/>
      </c>
      <c r="DN299" s="28" t="str">
        <f aca="false">AE299</f>
        <v/>
      </c>
      <c r="DO299" s="28" t="str">
        <f aca="false">AI299</f>
        <v/>
      </c>
      <c r="DP299" s="28" t="str">
        <f aca="false">AM299</f>
        <v/>
      </c>
      <c r="DQ299" s="28" t="str">
        <f aca="false">AQ299</f>
        <v/>
      </c>
      <c r="DR299" s="28" t="str">
        <f aca="false">AU299</f>
        <v/>
      </c>
      <c r="DS299" s="28" t="str">
        <f aca="false">AY299</f>
        <v/>
      </c>
      <c r="DT299" s="28" t="str">
        <f aca="false">BC299</f>
        <v/>
      </c>
      <c r="DU299" s="28" t="str">
        <f aca="false">BG299</f>
        <v/>
      </c>
      <c r="DV299" s="28" t="str">
        <f aca="false">BK299</f>
        <v/>
      </c>
      <c r="DW299" s="28" t="str">
        <f aca="false">BO299</f>
        <v/>
      </c>
      <c r="DX299" s="28" t="str">
        <f aca="false">BS299</f>
        <v/>
      </c>
      <c r="DY299" s="28" t="n">
        <f aca="false">IF(ISNUMBER(S299),1,"")</f>
        <v>1</v>
      </c>
      <c r="DZ299" s="28" t="str">
        <f aca="false">IF(ISNUMBER(W299),2,"")</f>
        <v/>
      </c>
      <c r="EA299" s="28" t="str">
        <f aca="false">IF(ISNUMBER(AA299),3,"")</f>
        <v/>
      </c>
      <c r="EB299" s="28" t="str">
        <f aca="false">IF(ISNUMBER(AE299),4,"")</f>
        <v/>
      </c>
      <c r="EC299" s="28" t="str">
        <f aca="false">IF(ISNUMBER(AI299),5,"")</f>
        <v/>
      </c>
      <c r="ED299" s="28" t="str">
        <f aca="false">IF(ISNUMBER(AM299),6,"")</f>
        <v/>
      </c>
      <c r="EE299" s="28" t="str">
        <f aca="false">IF(ISNUMBER(AQ299),7,"")</f>
        <v/>
      </c>
      <c r="EF299" s="28" t="str">
        <f aca="false">IF(ISNUMBER(AU299),8,"")</f>
        <v/>
      </c>
      <c r="EG299" s="28" t="str">
        <f aca="false">IF(ISNUMBER(AY299),9,"")</f>
        <v/>
      </c>
      <c r="EH299" s="28" t="str">
        <f aca="false">IF(ISNUMBER(BC299),10,"")</f>
        <v/>
      </c>
      <c r="EI299" s="28" t="str">
        <f aca="false">IF(ISNUMBER(BG299),11,"")</f>
        <v/>
      </c>
      <c r="EJ299" s="28" t="str">
        <f aca="false">IF(ISNUMBER(BK299),12,"")</f>
        <v/>
      </c>
      <c r="EK299" s="28" t="str">
        <f aca="false">IF(ISNUMBER(BO299),13,"")</f>
        <v/>
      </c>
      <c r="EL299" s="28" t="str">
        <f aca="false">IF(ISNUMBER(BS299),14,"")</f>
        <v/>
      </c>
      <c r="EM299" s="28" t="n">
        <f aca="false">IF(ISNUMBER(R299),R299*CW299,0)</f>
        <v>75</v>
      </c>
      <c r="EN299" s="28" t="n">
        <f aca="false">IF(ISNUMBER(V299),V299*CX299,0)</f>
        <v>0</v>
      </c>
      <c r="EO299" s="28" t="n">
        <f aca="false">IF(ISNUMBER(Z299),Z299*CY299,0)</f>
        <v>0</v>
      </c>
      <c r="EP299" s="28" t="n">
        <f aca="false">IF(ISNUMBER(AD299),AD299*CZ299,0)</f>
        <v>0</v>
      </c>
      <c r="EQ299" s="28" t="n">
        <f aca="false">IF(ISNUMBER(AH299),AH299*DA299,0)</f>
        <v>0</v>
      </c>
      <c r="ER299" s="28" t="n">
        <f aca="false">IF(ISNUMBER(AL299),AL299*DB299,0)</f>
        <v>0</v>
      </c>
      <c r="ES299" s="28" t="n">
        <f aca="false">IF(ISNUMBER(AP299),AP299*DC299,0)</f>
        <v>0</v>
      </c>
      <c r="ET299" s="28" t="n">
        <f aca="false">IF(ISNUMBER(AT299),AT299*DD299,0)</f>
        <v>0</v>
      </c>
      <c r="EU299" s="28" t="n">
        <f aca="false">IF(ISNUMBER(AX299),AX299*DE299,0)</f>
        <v>0</v>
      </c>
      <c r="EV299" s="28" t="n">
        <f aca="false">IF(ISNUMBER(BB299),BB299*DF299,0)</f>
        <v>0</v>
      </c>
      <c r="EW299" s="28" t="n">
        <f aca="false">IF(ISNUMBER(BF299),BF299*DG299,0)</f>
        <v>0</v>
      </c>
      <c r="EX299" s="28" t="n">
        <f aca="false">IF(ISNUMBER(BJ299),BJ299*DH299,0)</f>
        <v>0</v>
      </c>
      <c r="EY299" s="28" t="n">
        <f aca="false">IF(ISNUMBER(BN299),BN299*DI299,0)</f>
        <v>0</v>
      </c>
      <c r="EZ299" s="28" t="n">
        <f aca="false">IF(ISNUMBER(BR299),BR299*DJ299,0)</f>
        <v>0</v>
      </c>
      <c r="FA299" s="28" t="n">
        <f aca="false">IF(ISNUMBER(R299),CW299,0)</f>
        <v>1</v>
      </c>
      <c r="FB299" s="28" t="n">
        <f aca="false">IF(ISNUMBER(V299),CX299,0)</f>
        <v>0</v>
      </c>
      <c r="FC299" s="28" t="n">
        <f aca="false">IF(ISNUMBER(Z299),CY299,0)</f>
        <v>0</v>
      </c>
      <c r="FD299" s="28" t="n">
        <f aca="false">IF(ISNUMBER(AD299),CZ299,0)</f>
        <v>0</v>
      </c>
      <c r="FE299" s="28" t="n">
        <f aca="false">IF(ISNUMBER(AH299),DA299,0)</f>
        <v>0</v>
      </c>
      <c r="FF299" s="28" t="n">
        <f aca="false">IF(ISNUMBER(AL299),DB299,0)</f>
        <v>0</v>
      </c>
      <c r="FG299" s="28" t="n">
        <f aca="false">IF(ISNUMBER(AP299),DC299,0)</f>
        <v>0</v>
      </c>
      <c r="FH299" s="28" t="n">
        <f aca="false">IF(ISNUMBER(AT299),DD299,0)</f>
        <v>0</v>
      </c>
      <c r="FI299" s="28" t="n">
        <f aca="false">IF(ISNUMBER(AX299),DE299,0)</f>
        <v>0</v>
      </c>
      <c r="FJ299" s="28" t="n">
        <f aca="false">IF(ISNUMBER(BB299),DF299,0)</f>
        <v>0</v>
      </c>
      <c r="FK299" s="28" t="n">
        <f aca="false">IF(ISNUMBER(BF299),DG299,0)</f>
        <v>0</v>
      </c>
      <c r="FL299" s="28" t="n">
        <f aca="false">IF(ISNUMBER(BJ299),DH299,0)</f>
        <v>0</v>
      </c>
      <c r="FM299" s="28" t="n">
        <f aca="false">IF(ISNUMBER(BN299),DI299,0)</f>
        <v>0</v>
      </c>
      <c r="FN299" s="28" t="n">
        <f aca="false">IF(ISNUMBER(BR299),DJ299,0)</f>
        <v>0</v>
      </c>
      <c r="FO299" s="28" t="str">
        <f aca="false">IFERROR(INDEX(Lists!$G$2:$G$20,MATCH($I299&amp;"|"&amp;$J299,Lists!$F$2:$F$20,0)),"")</f>
        <v>BM Exam</v>
      </c>
    </row>
    <row r="300" customFormat="false" ht="19.5" hidden="false" customHeight="true" outlineLevel="0" collapsed="false">
      <c r="A300" s="29" t="s">
        <v>523</v>
      </c>
      <c r="B300" s="29" t="s">
        <v>391</v>
      </c>
      <c r="C300" s="30" t="s">
        <v>152</v>
      </c>
      <c r="D300" s="30" t="s">
        <v>364</v>
      </c>
      <c r="E300" s="31"/>
      <c r="F300" s="30"/>
      <c r="G300" s="30"/>
      <c r="H300" s="32" t="s">
        <v>428</v>
      </c>
      <c r="I300" s="33" t="s">
        <v>365</v>
      </c>
      <c r="J300" s="32" t="s">
        <v>25</v>
      </c>
      <c r="K300" s="34" t="str">
        <f aca="false">IF(OR(M300="",$E300=""),"",M300-$E300)</f>
        <v/>
      </c>
      <c r="L300" s="35" t="n">
        <f aca="false">IF(SUM(FA300:FN300)=0,"",SUM(EM300:EZ300)/SUM(FA300:FN300))</f>
        <v>100</v>
      </c>
      <c r="M300" s="36" t="n">
        <f aca="false">IF(OR(L300="",FO300=""),"",IFERROR(MATCH(L300,INDEX(Boundaries!$B$2:$I$30,MATCH(FO300,Boundaries!$A$2:$A$30,0),0),1)-1,""))</f>
        <v>7</v>
      </c>
      <c r="N300" s="37" t="str">
        <f aca="false">IF(COUNT($DY300:$EL300)&lt;2,"",INDEX($DK300:$DX300,MAX($DY300:$EL300))-INDEX($DK300:$DX300,MIN($DY300:$EL300)))</f>
        <v/>
      </c>
      <c r="O300" s="37" t="str">
        <f aca="false">IF(COUNT($DY300:$EL300)&lt;2,"",INDEX($DK300:$DX300,MAX($DY300:$EL300))-INDEX($DK300:$DX300,LARGE($DY300:$EL300,2)))</f>
        <v/>
      </c>
      <c r="P300" s="38" t="str">
        <f aca="false">IF(K300="","",IF(K300&gt;=0,"On/above target",IF(AND(N300&lt;&gt;"",N300&gt;=0.5),"Improving towards target",IF(AND(O300&lt;&gt;"",O300&lt;=-0.5),"Declining","Stable below target"))))</f>
        <v/>
      </c>
      <c r="Q300" s="39" t="n">
        <v>24</v>
      </c>
      <c r="R300" s="40" t="n">
        <f aca="false">IF(OR(Q300="",BU300=""),"",Q300/BU300*100)</f>
        <v>100</v>
      </c>
      <c r="S300" s="41" t="n">
        <f aca="false">IF(R300="","",IFERROR(MATCH(R300,INDEX(Boundaries!$B$2:$I$30,MATCH(CI300,Boundaries!$A$2:$A$30,0),0),1)-1,""))</f>
        <v>7</v>
      </c>
      <c r="T300" s="42" t="str">
        <f aca="false">IF(OR(S300="",$E300=""),"",S300-$E300)</f>
        <v/>
      </c>
      <c r="U300" s="39"/>
      <c r="V300" s="40" t="str">
        <f aca="false">IF(OR(U300="",BV300=""),"",U300/BV300*100)</f>
        <v/>
      </c>
      <c r="W300" s="41" t="str">
        <f aca="false">IF(V300="","",IFERROR(MATCH(V300,INDEX(Boundaries!$B$2:$I$30,MATCH(CJ300,Boundaries!$A$2:$A$30,0),0),1)-1,""))</f>
        <v/>
      </c>
      <c r="X300" s="42" t="str">
        <f aca="false">IF(OR(W300="",$E300=""),"",W300-$E300)</f>
        <v/>
      </c>
      <c r="Y300" s="39"/>
      <c r="Z300" s="40" t="str">
        <f aca="false">IF(OR(Y300="",BW300=""),"",Y300/BW300*100)</f>
        <v/>
      </c>
      <c r="AA300" s="41" t="str">
        <f aca="false">IF(Z300="","",IFERROR(MATCH(Z300,INDEX(Boundaries!$B$2:$I$30,MATCH(CK300,Boundaries!$A$2:$A$30,0),0),1)-1,""))</f>
        <v/>
      </c>
      <c r="AB300" s="42" t="str">
        <f aca="false">IF(OR(AA300="",$E300=""),"",AA300-$E300)</f>
        <v/>
      </c>
      <c r="AC300" s="39"/>
      <c r="AD300" s="40" t="str">
        <f aca="false">IF(OR(AC300="",BX300=""),"",AC300/BX300*100)</f>
        <v/>
      </c>
      <c r="AE300" s="41" t="str">
        <f aca="false">IF(AD300="","",IFERROR(MATCH(AD300,INDEX(Boundaries!$B$2:$I$30,MATCH(CL300,Boundaries!$A$2:$A$30,0),0),1)-1,""))</f>
        <v/>
      </c>
      <c r="AF300" s="42" t="str">
        <f aca="false">IF(OR(AE300="",$E300=""),"",AE300-$E300)</f>
        <v/>
      </c>
      <c r="AG300" s="39"/>
      <c r="AH300" s="40" t="str">
        <f aca="false">IF(OR(AG300="",BY300=""),"",AG300/BY300*100)</f>
        <v/>
      </c>
      <c r="AI300" s="41" t="str">
        <f aca="false">IF(AH300="","",IFERROR(MATCH(AH300,INDEX(Boundaries!$B$2:$I$30,MATCH(CM300,Boundaries!$A$2:$A$30,0),0),1)-1,""))</f>
        <v/>
      </c>
      <c r="AJ300" s="42" t="str">
        <f aca="false">IF(OR(AI300="",$E300=""),"",AI300-$E300)</f>
        <v/>
      </c>
      <c r="AK300" s="39"/>
      <c r="AL300" s="40" t="str">
        <f aca="false">IF(OR(AK300="",BZ300=""),"",AK300/BZ300*100)</f>
        <v/>
      </c>
      <c r="AM300" s="41" t="str">
        <f aca="false">IF(AL300="","",IFERROR(MATCH(AL300,INDEX(Boundaries!$B$2:$I$30,MATCH(CN300,Boundaries!$A$2:$A$30,0),0),1)-1,""))</f>
        <v/>
      </c>
      <c r="AN300" s="42" t="str">
        <f aca="false">IF(OR(AM300="",$E300=""),"",AM300-$E300)</f>
        <v/>
      </c>
      <c r="AO300" s="39"/>
      <c r="AP300" s="40" t="str">
        <f aca="false">IF(OR(AO300="",CA300=""),"",AO300/CA300*100)</f>
        <v/>
      </c>
      <c r="AQ300" s="41" t="str">
        <f aca="false">IF(AP300="","",IFERROR(MATCH(AP300,INDEX(Boundaries!$B$2:$I$30,MATCH(CO300,Boundaries!$A$2:$A$30,0),0),1)-1,""))</f>
        <v/>
      </c>
      <c r="AR300" s="42" t="str">
        <f aca="false">IF(OR(AQ300="",$E300=""),"",AQ300-$E300)</f>
        <v/>
      </c>
      <c r="AS300" s="39"/>
      <c r="AT300" s="40" t="str">
        <f aca="false">IF(OR(AS300="",CB300=""),"",AS300/CB300*100)</f>
        <v/>
      </c>
      <c r="AU300" s="41" t="str">
        <f aca="false">IF(AT300="","",IFERROR(MATCH(AT300,INDEX(Boundaries!$B$2:$I$30,MATCH(CP300,Boundaries!$A$2:$A$30,0),0),1)-1,""))</f>
        <v/>
      </c>
      <c r="AV300" s="42" t="str">
        <f aca="false">IF(OR(AU300="",$E300=""),"",AU300-$E300)</f>
        <v/>
      </c>
      <c r="AW300" s="39"/>
      <c r="AX300" s="40" t="str">
        <f aca="false">IF(OR(AW300="",CC300=""),"",AW300/CC300*100)</f>
        <v/>
      </c>
      <c r="AY300" s="41" t="str">
        <f aca="false">IF(AX300="","",IFERROR(MATCH(AX300,INDEX(Boundaries!$B$2:$I$30,MATCH(CQ300,Boundaries!$A$2:$A$30,0),0),1)-1,""))</f>
        <v/>
      </c>
      <c r="AZ300" s="42" t="str">
        <f aca="false">IF(OR(AY300="",$E300=""),"",AY300-$E300)</f>
        <v/>
      </c>
      <c r="BA300" s="39"/>
      <c r="BB300" s="40" t="str">
        <f aca="false">IF(OR(BA300="",CD300=""),"",BA300/CD300*100)</f>
        <v/>
      </c>
      <c r="BC300" s="41" t="str">
        <f aca="false">IF(BB300="","",IFERROR(MATCH(BB300,INDEX(Boundaries!$B$2:$I$30,MATCH(CR300,Boundaries!$A$2:$A$30,0),0),1)-1,""))</f>
        <v/>
      </c>
      <c r="BD300" s="42" t="str">
        <f aca="false">IF(OR(BC300="",$E300=""),"",BC300-$E300)</f>
        <v/>
      </c>
      <c r="BE300" s="39"/>
      <c r="BF300" s="40" t="str">
        <f aca="false">IF(OR(BE300="",CE300=""),"",BE300/CE300*100)</f>
        <v/>
      </c>
      <c r="BG300" s="41" t="str">
        <f aca="false">IF(BF300="","",IFERROR(MATCH(BF300,INDEX(Boundaries!$B$2:$I$30,MATCH(CS300,Boundaries!$A$2:$A$30,0),0),1)-1,""))</f>
        <v/>
      </c>
      <c r="BH300" s="42" t="str">
        <f aca="false">IF(OR(BG300="",$E300=""),"",BG300-$E300)</f>
        <v/>
      </c>
      <c r="BI300" s="39"/>
      <c r="BJ300" s="40" t="str">
        <f aca="false">IF(OR(BI300="",CF300=""),"",BI300/CF300*100)</f>
        <v/>
      </c>
      <c r="BK300" s="41" t="str">
        <f aca="false">IF(BJ300="","",IFERROR(MATCH(BJ300,INDEX(Boundaries!$B$2:$I$30,MATCH(CT300,Boundaries!$A$2:$A$30,0),0),1)-1,""))</f>
        <v/>
      </c>
      <c r="BL300" s="42" t="str">
        <f aca="false">IF(OR(BK300="",$E300=""),"",BK300-$E300)</f>
        <v/>
      </c>
      <c r="BM300" s="39"/>
      <c r="BN300" s="40" t="str">
        <f aca="false">IF(OR(BM300="",CG300=""),"",BM300/CG300*100)</f>
        <v/>
      </c>
      <c r="BO300" s="41" t="str">
        <f aca="false">IF(BN300="","",IFERROR(MATCH(BN300,INDEX(Boundaries!$B$2:$I$30,MATCH(CU300,Boundaries!$A$2:$A$30,0),0),1)-1,""))</f>
        <v/>
      </c>
      <c r="BP300" s="42" t="str">
        <f aca="false">IF(OR(BO300="",$E300=""),"",BO300-$E300)</f>
        <v/>
      </c>
      <c r="BQ300" s="39"/>
      <c r="BR300" s="40" t="str">
        <f aca="false">IF(OR(BQ300="",CH300=""),"",BQ300/CH300*100)</f>
        <v/>
      </c>
      <c r="BS300" s="41" t="str">
        <f aca="false">IF(BR300="","",IFERROR(MATCH(BR300,INDEX(Boundaries!$B$2:$I$30,MATCH(CV300,Boundaries!$A$2:$A$30,0),0),1)-1,""))</f>
        <v/>
      </c>
      <c r="BT300" s="42" t="str">
        <f aca="false">IF(OR(BS300="",$E300=""),"",BS300-$E300)</f>
        <v/>
      </c>
      <c r="BU300" s="28" t="n">
        <f aca="false">IFERROR(INDEX(Assessments!$H$2:$H$600,MATCH($H300&amp;"|"&amp;$I300&amp;"|"&amp;$J300&amp;"|"&amp;1,Assessments!$A$2:$A$600,0)),"")</f>
        <v>24</v>
      </c>
      <c r="BV300" s="28" t="n">
        <f aca="false">IFERROR(INDEX(Assessments!$H$2:$H$600,MATCH($H300&amp;"|"&amp;$I300&amp;"|"&amp;$J300&amp;"|"&amp;2,Assessments!$A$2:$A$600,0)),"")</f>
        <v>20</v>
      </c>
      <c r="BW300" s="28" t="n">
        <f aca="false">IFERROR(INDEX(Assessments!$H$2:$H$600,MATCH($H300&amp;"|"&amp;$I300&amp;"|"&amp;$J300&amp;"|"&amp;3,Assessments!$A$2:$A$600,0)),"")</f>
        <v>20</v>
      </c>
      <c r="BX300" s="28" t="n">
        <f aca="false">IFERROR(INDEX(Assessments!$H$2:$H$600,MATCH($H300&amp;"|"&amp;$I300&amp;"|"&amp;$J300&amp;"|"&amp;4,Assessments!$A$2:$A$600,0)),"")</f>
        <v>40</v>
      </c>
      <c r="BY300" s="28" t="n">
        <f aca="false">IFERROR(INDEX(Assessments!$H$2:$H$600,MATCH($H300&amp;"|"&amp;$I300&amp;"|"&amp;$J300&amp;"|"&amp;5,Assessments!$A$2:$A$600,0)),"")</f>
        <v>30</v>
      </c>
      <c r="BZ300" s="28" t="n">
        <f aca="false">IFERROR(INDEX(Assessments!$H$2:$H$600,MATCH($H300&amp;"|"&amp;$I300&amp;"|"&amp;$J300&amp;"|"&amp;6,Assessments!$A$2:$A$600,0)),"")</f>
        <v>20</v>
      </c>
      <c r="CA300" s="28" t="n">
        <f aca="false">IFERROR(INDEX(Assessments!$H$2:$H$600,MATCH($H300&amp;"|"&amp;$I300&amp;"|"&amp;$J300&amp;"|"&amp;7,Assessments!$A$2:$A$600,0)),"")</f>
        <v>50</v>
      </c>
      <c r="CB300" s="28" t="str">
        <f aca="false">IFERROR(INDEX(Assessments!$H$2:$H$600,MATCH($H300&amp;"|"&amp;$I300&amp;"|"&amp;$J300&amp;"|"&amp;8,Assessments!$A$2:$A$600,0)),"")</f>
        <v/>
      </c>
      <c r="CC300" s="28" t="str">
        <f aca="false">IFERROR(INDEX(Assessments!$H$2:$H$600,MATCH($H300&amp;"|"&amp;$I300&amp;"|"&amp;$J300&amp;"|"&amp;9,Assessments!$A$2:$A$600,0)),"")</f>
        <v/>
      </c>
      <c r="CD300" s="28" t="str">
        <f aca="false">IFERROR(INDEX(Assessments!$H$2:$H$600,MATCH($H300&amp;"|"&amp;$I300&amp;"|"&amp;$J300&amp;"|"&amp;10,Assessments!$A$2:$A$600,0)),"")</f>
        <v/>
      </c>
      <c r="CE300" s="28" t="str">
        <f aca="false">IFERROR(INDEX(Assessments!$H$2:$H$600,MATCH($H300&amp;"|"&amp;$I300&amp;"|"&amp;$J300&amp;"|"&amp;11,Assessments!$A$2:$A$600,0)),"")</f>
        <v/>
      </c>
      <c r="CF300" s="28" t="str">
        <f aca="false">IFERROR(INDEX(Assessments!$H$2:$H$600,MATCH($H300&amp;"|"&amp;$I300&amp;"|"&amp;$J300&amp;"|"&amp;12,Assessments!$A$2:$A$600,0)),"")</f>
        <v/>
      </c>
      <c r="CG300" s="28" t="str">
        <f aca="false">IFERROR(INDEX(Assessments!$H$2:$H$600,MATCH($H300&amp;"|"&amp;$I300&amp;"|"&amp;$J300&amp;"|"&amp;13,Assessments!$A$2:$A$600,0)),"")</f>
        <v/>
      </c>
      <c r="CH300" s="28" t="str">
        <f aca="false">IFERROR(INDEX(Assessments!$H$2:$H$600,MATCH($H300&amp;"|"&amp;$I300&amp;"|"&amp;$J300&amp;"|"&amp;14,Assessments!$A$2:$A$600,0)),"")</f>
        <v/>
      </c>
      <c r="CI300" s="28" t="str">
        <f aca="false">IFERROR(INDEX(Assessments!$I$2:$I$600,MATCH($H300&amp;"|"&amp;$I300&amp;"|"&amp;$J300&amp;"|"&amp;1,Assessments!$A$2:$A$600,0)),"")</f>
        <v>BM Test</v>
      </c>
      <c r="CJ300" s="28" t="str">
        <f aca="false">IFERROR(INDEX(Assessments!$I$2:$I$600,MATCH($H300&amp;"|"&amp;$I300&amp;"|"&amp;$J300&amp;"|"&amp;2,Assessments!$A$2:$A$600,0)),"")</f>
        <v>BM Test</v>
      </c>
      <c r="CK300" s="28" t="str">
        <f aca="false">IFERROR(INDEX(Assessments!$I$2:$I$600,MATCH($H300&amp;"|"&amp;$I300&amp;"|"&amp;$J300&amp;"|"&amp;3,Assessments!$A$2:$A$600,0)),"")</f>
        <v>BM Test</v>
      </c>
      <c r="CL300" s="28" t="str">
        <f aca="false">IFERROR(INDEX(Assessments!$I$2:$I$600,MATCH($H300&amp;"|"&amp;$I300&amp;"|"&amp;$J300&amp;"|"&amp;4,Assessments!$A$2:$A$600,0)),"")</f>
        <v>BM Exam</v>
      </c>
      <c r="CM300" s="28" t="str">
        <f aca="false">IFERROR(INDEX(Assessments!$I$2:$I$600,MATCH($H300&amp;"|"&amp;$I300&amp;"|"&amp;$J300&amp;"|"&amp;5,Assessments!$A$2:$A$600,0)),"")</f>
        <v>BM Test</v>
      </c>
      <c r="CN300" s="28" t="str">
        <f aca="false">IFERROR(INDEX(Assessments!$I$2:$I$600,MATCH($H300&amp;"|"&amp;$I300&amp;"|"&amp;$J300&amp;"|"&amp;6,Assessments!$A$2:$A$600,0)),"")</f>
        <v>BM Test</v>
      </c>
      <c r="CO300" s="28" t="str">
        <f aca="false">IFERROR(INDEX(Assessments!$I$2:$I$600,MATCH($H300&amp;"|"&amp;$I300&amp;"|"&amp;$J300&amp;"|"&amp;7,Assessments!$A$2:$A$600,0)),"")</f>
        <v>BM Exam</v>
      </c>
      <c r="CP300" s="28" t="str">
        <f aca="false">IFERROR(INDEX(Assessments!$I$2:$I$600,MATCH($H300&amp;"|"&amp;$I300&amp;"|"&amp;$J300&amp;"|"&amp;8,Assessments!$A$2:$A$600,0)),"")</f>
        <v/>
      </c>
      <c r="CQ300" s="28" t="str">
        <f aca="false">IFERROR(INDEX(Assessments!$I$2:$I$600,MATCH($H300&amp;"|"&amp;$I300&amp;"|"&amp;$J300&amp;"|"&amp;9,Assessments!$A$2:$A$600,0)),"")</f>
        <v/>
      </c>
      <c r="CR300" s="28" t="str">
        <f aca="false">IFERROR(INDEX(Assessments!$I$2:$I$600,MATCH($H300&amp;"|"&amp;$I300&amp;"|"&amp;$J300&amp;"|"&amp;10,Assessments!$A$2:$A$600,0)),"")</f>
        <v/>
      </c>
      <c r="CS300" s="28" t="str">
        <f aca="false">IFERROR(INDEX(Assessments!$I$2:$I$600,MATCH($H300&amp;"|"&amp;$I300&amp;"|"&amp;$J300&amp;"|"&amp;11,Assessments!$A$2:$A$600,0)),"")</f>
        <v/>
      </c>
      <c r="CT300" s="28" t="str">
        <f aca="false">IFERROR(INDEX(Assessments!$I$2:$I$600,MATCH($H300&amp;"|"&amp;$I300&amp;"|"&amp;$J300&amp;"|"&amp;12,Assessments!$A$2:$A$600,0)),"")</f>
        <v/>
      </c>
      <c r="CU300" s="28" t="str">
        <f aca="false">IFERROR(INDEX(Assessments!$I$2:$I$600,MATCH($H300&amp;"|"&amp;$I300&amp;"|"&amp;$J300&amp;"|"&amp;13,Assessments!$A$2:$A$600,0)),"")</f>
        <v/>
      </c>
      <c r="CV300" s="28" t="str">
        <f aca="false">IFERROR(INDEX(Assessments!$I$2:$I$600,MATCH($H300&amp;"|"&amp;$I300&amp;"|"&amp;$J300&amp;"|"&amp;14,Assessments!$A$2:$A$600,0)),"")</f>
        <v/>
      </c>
      <c r="CW300" s="28" t="n">
        <f aca="false">IFERROR(INDEX(Assessments!$J$2:$J$600,MATCH($H300&amp;"|"&amp;$I300&amp;"|"&amp;$J300&amp;"|"&amp;1,Assessments!$A$2:$A$600,0)),0)</f>
        <v>1</v>
      </c>
      <c r="CX300" s="28" t="n">
        <f aca="false">IFERROR(INDEX(Assessments!$J$2:$J$600,MATCH($H300&amp;"|"&amp;$I300&amp;"|"&amp;$J300&amp;"|"&amp;2,Assessments!$A$2:$A$600,0)),0)</f>
        <v>1</v>
      </c>
      <c r="CY300" s="28" t="n">
        <f aca="false">IFERROR(INDEX(Assessments!$J$2:$J$600,MATCH($H300&amp;"|"&amp;$I300&amp;"|"&amp;$J300&amp;"|"&amp;3,Assessments!$A$2:$A$600,0)),0)</f>
        <v>1</v>
      </c>
      <c r="CZ300" s="28" t="n">
        <f aca="false">IFERROR(INDEX(Assessments!$J$2:$J$600,MATCH($H300&amp;"|"&amp;$I300&amp;"|"&amp;$J300&amp;"|"&amp;4,Assessments!$A$2:$A$600,0)),0)</f>
        <v>2</v>
      </c>
      <c r="DA300" s="28" t="n">
        <f aca="false">IFERROR(INDEX(Assessments!$J$2:$J$600,MATCH($H300&amp;"|"&amp;$I300&amp;"|"&amp;$J300&amp;"|"&amp;5,Assessments!$A$2:$A$600,0)),0)</f>
        <v>1</v>
      </c>
      <c r="DB300" s="28" t="n">
        <f aca="false">IFERROR(INDEX(Assessments!$J$2:$J$600,MATCH($H300&amp;"|"&amp;$I300&amp;"|"&amp;$J300&amp;"|"&amp;6,Assessments!$A$2:$A$600,0)),0)</f>
        <v>1</v>
      </c>
      <c r="DC300" s="28" t="n">
        <f aca="false">IFERROR(INDEX(Assessments!$J$2:$J$600,MATCH($H300&amp;"|"&amp;$I300&amp;"|"&amp;$J300&amp;"|"&amp;7,Assessments!$A$2:$A$600,0)),0)</f>
        <v>2</v>
      </c>
      <c r="DD300" s="28" t="n">
        <f aca="false">IFERROR(INDEX(Assessments!$J$2:$J$600,MATCH($H300&amp;"|"&amp;$I300&amp;"|"&amp;$J300&amp;"|"&amp;8,Assessments!$A$2:$A$600,0)),0)</f>
        <v>0</v>
      </c>
      <c r="DE300" s="28" t="n">
        <f aca="false">IFERROR(INDEX(Assessments!$J$2:$J$600,MATCH($H300&amp;"|"&amp;$I300&amp;"|"&amp;$J300&amp;"|"&amp;9,Assessments!$A$2:$A$600,0)),0)</f>
        <v>0</v>
      </c>
      <c r="DF300" s="28" t="n">
        <f aca="false">IFERROR(INDEX(Assessments!$J$2:$J$600,MATCH($H300&amp;"|"&amp;$I300&amp;"|"&amp;$J300&amp;"|"&amp;10,Assessments!$A$2:$A$600,0)),0)</f>
        <v>0</v>
      </c>
      <c r="DG300" s="28" t="n">
        <f aca="false">IFERROR(INDEX(Assessments!$J$2:$J$600,MATCH($H300&amp;"|"&amp;$I300&amp;"|"&amp;$J300&amp;"|"&amp;11,Assessments!$A$2:$A$600,0)),0)</f>
        <v>0</v>
      </c>
      <c r="DH300" s="28" t="n">
        <f aca="false">IFERROR(INDEX(Assessments!$J$2:$J$600,MATCH($H300&amp;"|"&amp;$I300&amp;"|"&amp;$J300&amp;"|"&amp;12,Assessments!$A$2:$A$600,0)),0)</f>
        <v>0</v>
      </c>
      <c r="DI300" s="28" t="n">
        <f aca="false">IFERROR(INDEX(Assessments!$J$2:$J$600,MATCH($H300&amp;"|"&amp;$I300&amp;"|"&amp;$J300&amp;"|"&amp;13,Assessments!$A$2:$A$600,0)),0)</f>
        <v>0</v>
      </c>
      <c r="DJ300" s="28" t="n">
        <f aca="false">IFERROR(INDEX(Assessments!$J$2:$J$600,MATCH($H300&amp;"|"&amp;$I300&amp;"|"&amp;$J300&amp;"|"&amp;14,Assessments!$A$2:$A$600,0)),0)</f>
        <v>0</v>
      </c>
      <c r="DK300" s="28" t="n">
        <f aca="false">S300</f>
        <v>7</v>
      </c>
      <c r="DL300" s="28" t="str">
        <f aca="false">W300</f>
        <v/>
      </c>
      <c r="DM300" s="28" t="str">
        <f aca="false">AA300</f>
        <v/>
      </c>
      <c r="DN300" s="28" t="str">
        <f aca="false">AE300</f>
        <v/>
      </c>
      <c r="DO300" s="28" t="str">
        <f aca="false">AI300</f>
        <v/>
      </c>
      <c r="DP300" s="28" t="str">
        <f aca="false">AM300</f>
        <v/>
      </c>
      <c r="DQ300" s="28" t="str">
        <f aca="false">AQ300</f>
        <v/>
      </c>
      <c r="DR300" s="28" t="str">
        <f aca="false">AU300</f>
        <v/>
      </c>
      <c r="DS300" s="28" t="str">
        <f aca="false">AY300</f>
        <v/>
      </c>
      <c r="DT300" s="28" t="str">
        <f aca="false">BC300</f>
        <v/>
      </c>
      <c r="DU300" s="28" t="str">
        <f aca="false">BG300</f>
        <v/>
      </c>
      <c r="DV300" s="28" t="str">
        <f aca="false">BK300</f>
        <v/>
      </c>
      <c r="DW300" s="28" t="str">
        <f aca="false">BO300</f>
        <v/>
      </c>
      <c r="DX300" s="28" t="str">
        <f aca="false">BS300</f>
        <v/>
      </c>
      <c r="DY300" s="28" t="n">
        <f aca="false">IF(ISNUMBER(S300),1,"")</f>
        <v>1</v>
      </c>
      <c r="DZ300" s="28" t="str">
        <f aca="false">IF(ISNUMBER(W300),2,"")</f>
        <v/>
      </c>
      <c r="EA300" s="28" t="str">
        <f aca="false">IF(ISNUMBER(AA300),3,"")</f>
        <v/>
      </c>
      <c r="EB300" s="28" t="str">
        <f aca="false">IF(ISNUMBER(AE300),4,"")</f>
        <v/>
      </c>
      <c r="EC300" s="28" t="str">
        <f aca="false">IF(ISNUMBER(AI300),5,"")</f>
        <v/>
      </c>
      <c r="ED300" s="28" t="str">
        <f aca="false">IF(ISNUMBER(AM300),6,"")</f>
        <v/>
      </c>
      <c r="EE300" s="28" t="str">
        <f aca="false">IF(ISNUMBER(AQ300),7,"")</f>
        <v/>
      </c>
      <c r="EF300" s="28" t="str">
        <f aca="false">IF(ISNUMBER(AU300),8,"")</f>
        <v/>
      </c>
      <c r="EG300" s="28" t="str">
        <f aca="false">IF(ISNUMBER(AY300),9,"")</f>
        <v/>
      </c>
      <c r="EH300" s="28" t="str">
        <f aca="false">IF(ISNUMBER(BC300),10,"")</f>
        <v/>
      </c>
      <c r="EI300" s="28" t="str">
        <f aca="false">IF(ISNUMBER(BG300),11,"")</f>
        <v/>
      </c>
      <c r="EJ300" s="28" t="str">
        <f aca="false">IF(ISNUMBER(BK300),12,"")</f>
        <v/>
      </c>
      <c r="EK300" s="28" t="str">
        <f aca="false">IF(ISNUMBER(BO300),13,"")</f>
        <v/>
      </c>
      <c r="EL300" s="28" t="str">
        <f aca="false">IF(ISNUMBER(BS300),14,"")</f>
        <v/>
      </c>
      <c r="EM300" s="28" t="n">
        <f aca="false">IF(ISNUMBER(R300),R300*CW300,0)</f>
        <v>100</v>
      </c>
      <c r="EN300" s="28" t="n">
        <f aca="false">IF(ISNUMBER(V300),V300*CX300,0)</f>
        <v>0</v>
      </c>
      <c r="EO300" s="28" t="n">
        <f aca="false">IF(ISNUMBER(Z300),Z300*CY300,0)</f>
        <v>0</v>
      </c>
      <c r="EP300" s="28" t="n">
        <f aca="false">IF(ISNUMBER(AD300),AD300*CZ300,0)</f>
        <v>0</v>
      </c>
      <c r="EQ300" s="28" t="n">
        <f aca="false">IF(ISNUMBER(AH300),AH300*DA300,0)</f>
        <v>0</v>
      </c>
      <c r="ER300" s="28" t="n">
        <f aca="false">IF(ISNUMBER(AL300),AL300*DB300,0)</f>
        <v>0</v>
      </c>
      <c r="ES300" s="28" t="n">
        <f aca="false">IF(ISNUMBER(AP300),AP300*DC300,0)</f>
        <v>0</v>
      </c>
      <c r="ET300" s="28" t="n">
        <f aca="false">IF(ISNUMBER(AT300),AT300*DD300,0)</f>
        <v>0</v>
      </c>
      <c r="EU300" s="28" t="n">
        <f aca="false">IF(ISNUMBER(AX300),AX300*DE300,0)</f>
        <v>0</v>
      </c>
      <c r="EV300" s="28" t="n">
        <f aca="false">IF(ISNUMBER(BB300),BB300*DF300,0)</f>
        <v>0</v>
      </c>
      <c r="EW300" s="28" t="n">
        <f aca="false">IF(ISNUMBER(BF300),BF300*DG300,0)</f>
        <v>0</v>
      </c>
      <c r="EX300" s="28" t="n">
        <f aca="false">IF(ISNUMBER(BJ300),BJ300*DH300,0)</f>
        <v>0</v>
      </c>
      <c r="EY300" s="28" t="n">
        <f aca="false">IF(ISNUMBER(BN300),BN300*DI300,0)</f>
        <v>0</v>
      </c>
      <c r="EZ300" s="28" t="n">
        <f aca="false">IF(ISNUMBER(BR300),BR300*DJ300,0)</f>
        <v>0</v>
      </c>
      <c r="FA300" s="28" t="n">
        <f aca="false">IF(ISNUMBER(R300),CW300,0)</f>
        <v>1</v>
      </c>
      <c r="FB300" s="28" t="n">
        <f aca="false">IF(ISNUMBER(V300),CX300,0)</f>
        <v>0</v>
      </c>
      <c r="FC300" s="28" t="n">
        <f aca="false">IF(ISNUMBER(Z300),CY300,0)</f>
        <v>0</v>
      </c>
      <c r="FD300" s="28" t="n">
        <f aca="false">IF(ISNUMBER(AD300),CZ300,0)</f>
        <v>0</v>
      </c>
      <c r="FE300" s="28" t="n">
        <f aca="false">IF(ISNUMBER(AH300),DA300,0)</f>
        <v>0</v>
      </c>
      <c r="FF300" s="28" t="n">
        <f aca="false">IF(ISNUMBER(AL300),DB300,0)</f>
        <v>0</v>
      </c>
      <c r="FG300" s="28" t="n">
        <f aca="false">IF(ISNUMBER(AP300),DC300,0)</f>
        <v>0</v>
      </c>
      <c r="FH300" s="28" t="n">
        <f aca="false">IF(ISNUMBER(AT300),DD300,0)</f>
        <v>0</v>
      </c>
      <c r="FI300" s="28" t="n">
        <f aca="false">IF(ISNUMBER(AX300),DE300,0)</f>
        <v>0</v>
      </c>
      <c r="FJ300" s="28" t="n">
        <f aca="false">IF(ISNUMBER(BB300),DF300,0)</f>
        <v>0</v>
      </c>
      <c r="FK300" s="28" t="n">
        <f aca="false">IF(ISNUMBER(BF300),DG300,0)</f>
        <v>0</v>
      </c>
      <c r="FL300" s="28" t="n">
        <f aca="false">IF(ISNUMBER(BJ300),DH300,0)</f>
        <v>0</v>
      </c>
      <c r="FM300" s="28" t="n">
        <f aca="false">IF(ISNUMBER(BN300),DI300,0)</f>
        <v>0</v>
      </c>
      <c r="FN300" s="28" t="n">
        <f aca="false">IF(ISNUMBER(BR300),DJ300,0)</f>
        <v>0</v>
      </c>
      <c r="FO300" s="28" t="str">
        <f aca="false">IFERROR(INDEX(Lists!$G$2:$G$20,MATCH($I300&amp;"|"&amp;$J300,Lists!$F$2:$F$20,0)),"")</f>
        <v>BM Exam</v>
      </c>
    </row>
    <row r="301" customFormat="false" ht="19.5" hidden="false" customHeight="true" outlineLevel="0" collapsed="false">
      <c r="A301" s="29" t="s">
        <v>596</v>
      </c>
      <c r="B301" s="29" t="s">
        <v>597</v>
      </c>
      <c r="C301" s="30" t="s">
        <v>152</v>
      </c>
      <c r="D301" s="30" t="s">
        <v>364</v>
      </c>
      <c r="E301" s="31"/>
      <c r="F301" s="30"/>
      <c r="G301" s="30"/>
      <c r="H301" s="32" t="s">
        <v>428</v>
      </c>
      <c r="I301" s="33" t="s">
        <v>365</v>
      </c>
      <c r="J301" s="32" t="s">
        <v>25</v>
      </c>
      <c r="K301" s="34" t="str">
        <f aca="false">IF(OR(M301="",$E301=""),"",M301-$E301)</f>
        <v/>
      </c>
      <c r="L301" s="35" t="n">
        <f aca="false">IF(SUM(FA301:FN301)=0,"",SUM(EM301:EZ301)/SUM(FA301:FN301))</f>
        <v>58.3333333333333</v>
      </c>
      <c r="M301" s="36" t="n">
        <f aca="false">IF(OR(L301="",FO301=""),"",IFERROR(MATCH(L301,INDEX(Boundaries!$B$2:$I$30,MATCH(FO301,Boundaries!$A$2:$A$30,0),0),1)-1,""))</f>
        <v>5</v>
      </c>
      <c r="N301" s="37" t="str">
        <f aca="false">IF(COUNT($DY301:$EL301)&lt;2,"",INDEX($DK301:$DX301,MAX($DY301:$EL301))-INDEX($DK301:$DX301,MIN($DY301:$EL301)))</f>
        <v/>
      </c>
      <c r="O301" s="37" t="str">
        <f aca="false">IF(COUNT($DY301:$EL301)&lt;2,"",INDEX($DK301:$DX301,MAX($DY301:$EL301))-INDEX($DK301:$DX301,LARGE($DY301:$EL301,2)))</f>
        <v/>
      </c>
      <c r="P301" s="38" t="str">
        <f aca="false">IF(K301="","",IF(K301&gt;=0,"On/above target",IF(AND(N301&lt;&gt;"",N301&gt;=0.5),"Improving towards target",IF(AND(O301&lt;&gt;"",O301&lt;=-0.5),"Declining","Stable below target"))))</f>
        <v/>
      </c>
      <c r="Q301" s="39" t="n">
        <v>14</v>
      </c>
      <c r="R301" s="40" t="n">
        <f aca="false">IF(OR(Q301="",BU301=""),"",Q301/BU301*100)</f>
        <v>58.3333333333333</v>
      </c>
      <c r="S301" s="41" t="n">
        <f aca="false">IF(R301="","",IFERROR(MATCH(R301,INDEX(Boundaries!$B$2:$I$30,MATCH(CI301,Boundaries!$A$2:$A$30,0),0),1)-1,""))</f>
        <v>5</v>
      </c>
      <c r="T301" s="42" t="str">
        <f aca="false">IF(OR(S301="",$E301=""),"",S301-$E301)</f>
        <v/>
      </c>
      <c r="U301" s="39"/>
      <c r="V301" s="40" t="str">
        <f aca="false">IF(OR(U301="",BV301=""),"",U301/BV301*100)</f>
        <v/>
      </c>
      <c r="W301" s="41" t="str">
        <f aca="false">IF(V301="","",IFERROR(MATCH(V301,INDEX(Boundaries!$B$2:$I$30,MATCH(CJ301,Boundaries!$A$2:$A$30,0),0),1)-1,""))</f>
        <v/>
      </c>
      <c r="X301" s="42" t="str">
        <f aca="false">IF(OR(W301="",$E301=""),"",W301-$E301)</f>
        <v/>
      </c>
      <c r="Y301" s="39"/>
      <c r="Z301" s="40" t="str">
        <f aca="false">IF(OR(Y301="",BW301=""),"",Y301/BW301*100)</f>
        <v/>
      </c>
      <c r="AA301" s="41" t="str">
        <f aca="false">IF(Z301="","",IFERROR(MATCH(Z301,INDEX(Boundaries!$B$2:$I$30,MATCH(CK301,Boundaries!$A$2:$A$30,0),0),1)-1,""))</f>
        <v/>
      </c>
      <c r="AB301" s="42" t="str">
        <f aca="false">IF(OR(AA301="",$E301=""),"",AA301-$E301)</f>
        <v/>
      </c>
      <c r="AC301" s="39"/>
      <c r="AD301" s="40" t="str">
        <f aca="false">IF(OR(AC301="",BX301=""),"",AC301/BX301*100)</f>
        <v/>
      </c>
      <c r="AE301" s="41" t="str">
        <f aca="false">IF(AD301="","",IFERROR(MATCH(AD301,INDEX(Boundaries!$B$2:$I$30,MATCH(CL301,Boundaries!$A$2:$A$30,0),0),1)-1,""))</f>
        <v/>
      </c>
      <c r="AF301" s="42" t="str">
        <f aca="false">IF(OR(AE301="",$E301=""),"",AE301-$E301)</f>
        <v/>
      </c>
      <c r="AG301" s="39"/>
      <c r="AH301" s="40" t="str">
        <f aca="false">IF(OR(AG301="",BY301=""),"",AG301/BY301*100)</f>
        <v/>
      </c>
      <c r="AI301" s="41" t="str">
        <f aca="false">IF(AH301="","",IFERROR(MATCH(AH301,INDEX(Boundaries!$B$2:$I$30,MATCH(CM301,Boundaries!$A$2:$A$30,0),0),1)-1,""))</f>
        <v/>
      </c>
      <c r="AJ301" s="42" t="str">
        <f aca="false">IF(OR(AI301="",$E301=""),"",AI301-$E301)</f>
        <v/>
      </c>
      <c r="AK301" s="39"/>
      <c r="AL301" s="40" t="str">
        <f aca="false">IF(OR(AK301="",BZ301=""),"",AK301/BZ301*100)</f>
        <v/>
      </c>
      <c r="AM301" s="41" t="str">
        <f aca="false">IF(AL301="","",IFERROR(MATCH(AL301,INDEX(Boundaries!$B$2:$I$30,MATCH(CN301,Boundaries!$A$2:$A$30,0),0),1)-1,""))</f>
        <v/>
      </c>
      <c r="AN301" s="42" t="str">
        <f aca="false">IF(OR(AM301="",$E301=""),"",AM301-$E301)</f>
        <v/>
      </c>
      <c r="AO301" s="39"/>
      <c r="AP301" s="40" t="str">
        <f aca="false">IF(OR(AO301="",CA301=""),"",AO301/CA301*100)</f>
        <v/>
      </c>
      <c r="AQ301" s="41" t="str">
        <f aca="false">IF(AP301="","",IFERROR(MATCH(AP301,INDEX(Boundaries!$B$2:$I$30,MATCH(CO301,Boundaries!$A$2:$A$30,0),0),1)-1,""))</f>
        <v/>
      </c>
      <c r="AR301" s="42" t="str">
        <f aca="false">IF(OR(AQ301="",$E301=""),"",AQ301-$E301)</f>
        <v/>
      </c>
      <c r="AS301" s="39"/>
      <c r="AT301" s="40" t="str">
        <f aca="false">IF(OR(AS301="",CB301=""),"",AS301/CB301*100)</f>
        <v/>
      </c>
      <c r="AU301" s="41" t="str">
        <f aca="false">IF(AT301="","",IFERROR(MATCH(AT301,INDEX(Boundaries!$B$2:$I$30,MATCH(CP301,Boundaries!$A$2:$A$30,0),0),1)-1,""))</f>
        <v/>
      </c>
      <c r="AV301" s="42" t="str">
        <f aca="false">IF(OR(AU301="",$E301=""),"",AU301-$E301)</f>
        <v/>
      </c>
      <c r="AW301" s="39"/>
      <c r="AX301" s="40" t="str">
        <f aca="false">IF(OR(AW301="",CC301=""),"",AW301/CC301*100)</f>
        <v/>
      </c>
      <c r="AY301" s="41" t="str">
        <f aca="false">IF(AX301="","",IFERROR(MATCH(AX301,INDEX(Boundaries!$B$2:$I$30,MATCH(CQ301,Boundaries!$A$2:$A$30,0),0),1)-1,""))</f>
        <v/>
      </c>
      <c r="AZ301" s="42" t="str">
        <f aca="false">IF(OR(AY301="",$E301=""),"",AY301-$E301)</f>
        <v/>
      </c>
      <c r="BA301" s="39"/>
      <c r="BB301" s="40" t="str">
        <f aca="false">IF(OR(BA301="",CD301=""),"",BA301/CD301*100)</f>
        <v/>
      </c>
      <c r="BC301" s="41" t="str">
        <f aca="false">IF(BB301="","",IFERROR(MATCH(BB301,INDEX(Boundaries!$B$2:$I$30,MATCH(CR301,Boundaries!$A$2:$A$30,0),0),1)-1,""))</f>
        <v/>
      </c>
      <c r="BD301" s="42" t="str">
        <f aca="false">IF(OR(BC301="",$E301=""),"",BC301-$E301)</f>
        <v/>
      </c>
      <c r="BE301" s="39"/>
      <c r="BF301" s="40" t="str">
        <f aca="false">IF(OR(BE301="",CE301=""),"",BE301/CE301*100)</f>
        <v/>
      </c>
      <c r="BG301" s="41" t="str">
        <f aca="false">IF(BF301="","",IFERROR(MATCH(BF301,INDEX(Boundaries!$B$2:$I$30,MATCH(CS301,Boundaries!$A$2:$A$30,0),0),1)-1,""))</f>
        <v/>
      </c>
      <c r="BH301" s="42" t="str">
        <f aca="false">IF(OR(BG301="",$E301=""),"",BG301-$E301)</f>
        <v/>
      </c>
      <c r="BI301" s="39"/>
      <c r="BJ301" s="40" t="str">
        <f aca="false">IF(OR(BI301="",CF301=""),"",BI301/CF301*100)</f>
        <v/>
      </c>
      <c r="BK301" s="41" t="str">
        <f aca="false">IF(BJ301="","",IFERROR(MATCH(BJ301,INDEX(Boundaries!$B$2:$I$30,MATCH(CT301,Boundaries!$A$2:$A$30,0),0),1)-1,""))</f>
        <v/>
      </c>
      <c r="BL301" s="42" t="str">
        <f aca="false">IF(OR(BK301="",$E301=""),"",BK301-$E301)</f>
        <v/>
      </c>
      <c r="BM301" s="39"/>
      <c r="BN301" s="40" t="str">
        <f aca="false">IF(OR(BM301="",CG301=""),"",BM301/CG301*100)</f>
        <v/>
      </c>
      <c r="BO301" s="41" t="str">
        <f aca="false">IF(BN301="","",IFERROR(MATCH(BN301,INDEX(Boundaries!$B$2:$I$30,MATCH(CU301,Boundaries!$A$2:$A$30,0),0),1)-1,""))</f>
        <v/>
      </c>
      <c r="BP301" s="42" t="str">
        <f aca="false">IF(OR(BO301="",$E301=""),"",BO301-$E301)</f>
        <v/>
      </c>
      <c r="BQ301" s="39"/>
      <c r="BR301" s="40" t="str">
        <f aca="false">IF(OR(BQ301="",CH301=""),"",BQ301/CH301*100)</f>
        <v/>
      </c>
      <c r="BS301" s="41" t="str">
        <f aca="false">IF(BR301="","",IFERROR(MATCH(BR301,INDEX(Boundaries!$B$2:$I$30,MATCH(CV301,Boundaries!$A$2:$A$30,0),0),1)-1,""))</f>
        <v/>
      </c>
      <c r="BT301" s="42" t="str">
        <f aca="false">IF(OR(BS301="",$E301=""),"",BS301-$E301)</f>
        <v/>
      </c>
      <c r="BU301" s="28" t="n">
        <f aca="false">IFERROR(INDEX(Assessments!$H$2:$H$600,MATCH($H301&amp;"|"&amp;$I301&amp;"|"&amp;$J301&amp;"|"&amp;1,Assessments!$A$2:$A$600,0)),"")</f>
        <v>24</v>
      </c>
      <c r="BV301" s="28" t="n">
        <f aca="false">IFERROR(INDEX(Assessments!$H$2:$H$600,MATCH($H301&amp;"|"&amp;$I301&amp;"|"&amp;$J301&amp;"|"&amp;2,Assessments!$A$2:$A$600,0)),"")</f>
        <v>20</v>
      </c>
      <c r="BW301" s="28" t="n">
        <f aca="false">IFERROR(INDEX(Assessments!$H$2:$H$600,MATCH($H301&amp;"|"&amp;$I301&amp;"|"&amp;$J301&amp;"|"&amp;3,Assessments!$A$2:$A$600,0)),"")</f>
        <v>20</v>
      </c>
      <c r="BX301" s="28" t="n">
        <f aca="false">IFERROR(INDEX(Assessments!$H$2:$H$600,MATCH($H301&amp;"|"&amp;$I301&amp;"|"&amp;$J301&amp;"|"&amp;4,Assessments!$A$2:$A$600,0)),"")</f>
        <v>40</v>
      </c>
      <c r="BY301" s="28" t="n">
        <f aca="false">IFERROR(INDEX(Assessments!$H$2:$H$600,MATCH($H301&amp;"|"&amp;$I301&amp;"|"&amp;$J301&amp;"|"&amp;5,Assessments!$A$2:$A$600,0)),"")</f>
        <v>30</v>
      </c>
      <c r="BZ301" s="28" t="n">
        <f aca="false">IFERROR(INDEX(Assessments!$H$2:$H$600,MATCH($H301&amp;"|"&amp;$I301&amp;"|"&amp;$J301&amp;"|"&amp;6,Assessments!$A$2:$A$600,0)),"")</f>
        <v>20</v>
      </c>
      <c r="CA301" s="28" t="n">
        <f aca="false">IFERROR(INDEX(Assessments!$H$2:$H$600,MATCH($H301&amp;"|"&amp;$I301&amp;"|"&amp;$J301&amp;"|"&amp;7,Assessments!$A$2:$A$600,0)),"")</f>
        <v>50</v>
      </c>
      <c r="CB301" s="28" t="str">
        <f aca="false">IFERROR(INDEX(Assessments!$H$2:$H$600,MATCH($H301&amp;"|"&amp;$I301&amp;"|"&amp;$J301&amp;"|"&amp;8,Assessments!$A$2:$A$600,0)),"")</f>
        <v/>
      </c>
      <c r="CC301" s="28" t="str">
        <f aca="false">IFERROR(INDEX(Assessments!$H$2:$H$600,MATCH($H301&amp;"|"&amp;$I301&amp;"|"&amp;$J301&amp;"|"&amp;9,Assessments!$A$2:$A$600,0)),"")</f>
        <v/>
      </c>
      <c r="CD301" s="28" t="str">
        <f aca="false">IFERROR(INDEX(Assessments!$H$2:$H$600,MATCH($H301&amp;"|"&amp;$I301&amp;"|"&amp;$J301&amp;"|"&amp;10,Assessments!$A$2:$A$600,0)),"")</f>
        <v/>
      </c>
      <c r="CE301" s="28" t="str">
        <f aca="false">IFERROR(INDEX(Assessments!$H$2:$H$600,MATCH($H301&amp;"|"&amp;$I301&amp;"|"&amp;$J301&amp;"|"&amp;11,Assessments!$A$2:$A$600,0)),"")</f>
        <v/>
      </c>
      <c r="CF301" s="28" t="str">
        <f aca="false">IFERROR(INDEX(Assessments!$H$2:$H$600,MATCH($H301&amp;"|"&amp;$I301&amp;"|"&amp;$J301&amp;"|"&amp;12,Assessments!$A$2:$A$600,0)),"")</f>
        <v/>
      </c>
      <c r="CG301" s="28" t="str">
        <f aca="false">IFERROR(INDEX(Assessments!$H$2:$H$600,MATCH($H301&amp;"|"&amp;$I301&amp;"|"&amp;$J301&amp;"|"&amp;13,Assessments!$A$2:$A$600,0)),"")</f>
        <v/>
      </c>
      <c r="CH301" s="28" t="str">
        <f aca="false">IFERROR(INDEX(Assessments!$H$2:$H$600,MATCH($H301&amp;"|"&amp;$I301&amp;"|"&amp;$J301&amp;"|"&amp;14,Assessments!$A$2:$A$600,0)),"")</f>
        <v/>
      </c>
      <c r="CI301" s="28" t="str">
        <f aca="false">IFERROR(INDEX(Assessments!$I$2:$I$600,MATCH($H301&amp;"|"&amp;$I301&amp;"|"&amp;$J301&amp;"|"&amp;1,Assessments!$A$2:$A$600,0)),"")</f>
        <v>BM Test</v>
      </c>
      <c r="CJ301" s="28" t="str">
        <f aca="false">IFERROR(INDEX(Assessments!$I$2:$I$600,MATCH($H301&amp;"|"&amp;$I301&amp;"|"&amp;$J301&amp;"|"&amp;2,Assessments!$A$2:$A$600,0)),"")</f>
        <v>BM Test</v>
      </c>
      <c r="CK301" s="28" t="str">
        <f aca="false">IFERROR(INDEX(Assessments!$I$2:$I$600,MATCH($H301&amp;"|"&amp;$I301&amp;"|"&amp;$J301&amp;"|"&amp;3,Assessments!$A$2:$A$600,0)),"")</f>
        <v>BM Test</v>
      </c>
      <c r="CL301" s="28" t="str">
        <f aca="false">IFERROR(INDEX(Assessments!$I$2:$I$600,MATCH($H301&amp;"|"&amp;$I301&amp;"|"&amp;$J301&amp;"|"&amp;4,Assessments!$A$2:$A$600,0)),"")</f>
        <v>BM Exam</v>
      </c>
      <c r="CM301" s="28" t="str">
        <f aca="false">IFERROR(INDEX(Assessments!$I$2:$I$600,MATCH($H301&amp;"|"&amp;$I301&amp;"|"&amp;$J301&amp;"|"&amp;5,Assessments!$A$2:$A$600,0)),"")</f>
        <v>BM Test</v>
      </c>
      <c r="CN301" s="28" t="str">
        <f aca="false">IFERROR(INDEX(Assessments!$I$2:$I$600,MATCH($H301&amp;"|"&amp;$I301&amp;"|"&amp;$J301&amp;"|"&amp;6,Assessments!$A$2:$A$600,0)),"")</f>
        <v>BM Test</v>
      </c>
      <c r="CO301" s="28" t="str">
        <f aca="false">IFERROR(INDEX(Assessments!$I$2:$I$600,MATCH($H301&amp;"|"&amp;$I301&amp;"|"&amp;$J301&amp;"|"&amp;7,Assessments!$A$2:$A$600,0)),"")</f>
        <v>BM Exam</v>
      </c>
      <c r="CP301" s="28" t="str">
        <f aca="false">IFERROR(INDEX(Assessments!$I$2:$I$600,MATCH($H301&amp;"|"&amp;$I301&amp;"|"&amp;$J301&amp;"|"&amp;8,Assessments!$A$2:$A$600,0)),"")</f>
        <v/>
      </c>
      <c r="CQ301" s="28" t="str">
        <f aca="false">IFERROR(INDEX(Assessments!$I$2:$I$600,MATCH($H301&amp;"|"&amp;$I301&amp;"|"&amp;$J301&amp;"|"&amp;9,Assessments!$A$2:$A$600,0)),"")</f>
        <v/>
      </c>
      <c r="CR301" s="28" t="str">
        <f aca="false">IFERROR(INDEX(Assessments!$I$2:$I$600,MATCH($H301&amp;"|"&amp;$I301&amp;"|"&amp;$J301&amp;"|"&amp;10,Assessments!$A$2:$A$600,0)),"")</f>
        <v/>
      </c>
      <c r="CS301" s="28" t="str">
        <f aca="false">IFERROR(INDEX(Assessments!$I$2:$I$600,MATCH($H301&amp;"|"&amp;$I301&amp;"|"&amp;$J301&amp;"|"&amp;11,Assessments!$A$2:$A$600,0)),"")</f>
        <v/>
      </c>
      <c r="CT301" s="28" t="str">
        <f aca="false">IFERROR(INDEX(Assessments!$I$2:$I$600,MATCH($H301&amp;"|"&amp;$I301&amp;"|"&amp;$J301&amp;"|"&amp;12,Assessments!$A$2:$A$600,0)),"")</f>
        <v/>
      </c>
      <c r="CU301" s="28" t="str">
        <f aca="false">IFERROR(INDEX(Assessments!$I$2:$I$600,MATCH($H301&amp;"|"&amp;$I301&amp;"|"&amp;$J301&amp;"|"&amp;13,Assessments!$A$2:$A$600,0)),"")</f>
        <v/>
      </c>
      <c r="CV301" s="28" t="str">
        <f aca="false">IFERROR(INDEX(Assessments!$I$2:$I$600,MATCH($H301&amp;"|"&amp;$I301&amp;"|"&amp;$J301&amp;"|"&amp;14,Assessments!$A$2:$A$600,0)),"")</f>
        <v/>
      </c>
      <c r="CW301" s="28" t="n">
        <f aca="false">IFERROR(INDEX(Assessments!$J$2:$J$600,MATCH($H301&amp;"|"&amp;$I301&amp;"|"&amp;$J301&amp;"|"&amp;1,Assessments!$A$2:$A$600,0)),0)</f>
        <v>1</v>
      </c>
      <c r="CX301" s="28" t="n">
        <f aca="false">IFERROR(INDEX(Assessments!$J$2:$J$600,MATCH($H301&amp;"|"&amp;$I301&amp;"|"&amp;$J301&amp;"|"&amp;2,Assessments!$A$2:$A$600,0)),0)</f>
        <v>1</v>
      </c>
      <c r="CY301" s="28" t="n">
        <f aca="false">IFERROR(INDEX(Assessments!$J$2:$J$600,MATCH($H301&amp;"|"&amp;$I301&amp;"|"&amp;$J301&amp;"|"&amp;3,Assessments!$A$2:$A$600,0)),0)</f>
        <v>1</v>
      </c>
      <c r="CZ301" s="28" t="n">
        <f aca="false">IFERROR(INDEX(Assessments!$J$2:$J$600,MATCH($H301&amp;"|"&amp;$I301&amp;"|"&amp;$J301&amp;"|"&amp;4,Assessments!$A$2:$A$600,0)),0)</f>
        <v>2</v>
      </c>
      <c r="DA301" s="28" t="n">
        <f aca="false">IFERROR(INDEX(Assessments!$J$2:$J$600,MATCH($H301&amp;"|"&amp;$I301&amp;"|"&amp;$J301&amp;"|"&amp;5,Assessments!$A$2:$A$600,0)),0)</f>
        <v>1</v>
      </c>
      <c r="DB301" s="28" t="n">
        <f aca="false">IFERROR(INDEX(Assessments!$J$2:$J$600,MATCH($H301&amp;"|"&amp;$I301&amp;"|"&amp;$J301&amp;"|"&amp;6,Assessments!$A$2:$A$600,0)),0)</f>
        <v>1</v>
      </c>
      <c r="DC301" s="28" t="n">
        <f aca="false">IFERROR(INDEX(Assessments!$J$2:$J$600,MATCH($H301&amp;"|"&amp;$I301&amp;"|"&amp;$J301&amp;"|"&amp;7,Assessments!$A$2:$A$600,0)),0)</f>
        <v>2</v>
      </c>
      <c r="DD301" s="28" t="n">
        <f aca="false">IFERROR(INDEX(Assessments!$J$2:$J$600,MATCH($H301&amp;"|"&amp;$I301&amp;"|"&amp;$J301&amp;"|"&amp;8,Assessments!$A$2:$A$600,0)),0)</f>
        <v>0</v>
      </c>
      <c r="DE301" s="28" t="n">
        <f aca="false">IFERROR(INDEX(Assessments!$J$2:$J$600,MATCH($H301&amp;"|"&amp;$I301&amp;"|"&amp;$J301&amp;"|"&amp;9,Assessments!$A$2:$A$600,0)),0)</f>
        <v>0</v>
      </c>
      <c r="DF301" s="28" t="n">
        <f aca="false">IFERROR(INDEX(Assessments!$J$2:$J$600,MATCH($H301&amp;"|"&amp;$I301&amp;"|"&amp;$J301&amp;"|"&amp;10,Assessments!$A$2:$A$600,0)),0)</f>
        <v>0</v>
      </c>
      <c r="DG301" s="28" t="n">
        <f aca="false">IFERROR(INDEX(Assessments!$J$2:$J$600,MATCH($H301&amp;"|"&amp;$I301&amp;"|"&amp;$J301&amp;"|"&amp;11,Assessments!$A$2:$A$600,0)),0)</f>
        <v>0</v>
      </c>
      <c r="DH301" s="28" t="n">
        <f aca="false">IFERROR(INDEX(Assessments!$J$2:$J$600,MATCH($H301&amp;"|"&amp;$I301&amp;"|"&amp;$J301&amp;"|"&amp;12,Assessments!$A$2:$A$600,0)),0)</f>
        <v>0</v>
      </c>
      <c r="DI301" s="28" t="n">
        <f aca="false">IFERROR(INDEX(Assessments!$J$2:$J$600,MATCH($H301&amp;"|"&amp;$I301&amp;"|"&amp;$J301&amp;"|"&amp;13,Assessments!$A$2:$A$600,0)),0)</f>
        <v>0</v>
      </c>
      <c r="DJ301" s="28" t="n">
        <f aca="false">IFERROR(INDEX(Assessments!$J$2:$J$600,MATCH($H301&amp;"|"&amp;$I301&amp;"|"&amp;$J301&amp;"|"&amp;14,Assessments!$A$2:$A$600,0)),0)</f>
        <v>0</v>
      </c>
      <c r="DK301" s="28" t="n">
        <f aca="false">S301</f>
        <v>5</v>
      </c>
      <c r="DL301" s="28" t="str">
        <f aca="false">W301</f>
        <v/>
      </c>
      <c r="DM301" s="28" t="str">
        <f aca="false">AA301</f>
        <v/>
      </c>
      <c r="DN301" s="28" t="str">
        <f aca="false">AE301</f>
        <v/>
      </c>
      <c r="DO301" s="28" t="str">
        <f aca="false">AI301</f>
        <v/>
      </c>
      <c r="DP301" s="28" t="str">
        <f aca="false">AM301</f>
        <v/>
      </c>
      <c r="DQ301" s="28" t="str">
        <f aca="false">AQ301</f>
        <v/>
      </c>
      <c r="DR301" s="28" t="str">
        <f aca="false">AU301</f>
        <v/>
      </c>
      <c r="DS301" s="28" t="str">
        <f aca="false">AY301</f>
        <v/>
      </c>
      <c r="DT301" s="28" t="str">
        <f aca="false">BC301</f>
        <v/>
      </c>
      <c r="DU301" s="28" t="str">
        <f aca="false">BG301</f>
        <v/>
      </c>
      <c r="DV301" s="28" t="str">
        <f aca="false">BK301</f>
        <v/>
      </c>
      <c r="DW301" s="28" t="str">
        <f aca="false">BO301</f>
        <v/>
      </c>
      <c r="DX301" s="28" t="str">
        <f aca="false">BS301</f>
        <v/>
      </c>
      <c r="DY301" s="28" t="n">
        <f aca="false">IF(ISNUMBER(S301),1,"")</f>
        <v>1</v>
      </c>
      <c r="DZ301" s="28" t="str">
        <f aca="false">IF(ISNUMBER(W301),2,"")</f>
        <v/>
      </c>
      <c r="EA301" s="28" t="str">
        <f aca="false">IF(ISNUMBER(AA301),3,"")</f>
        <v/>
      </c>
      <c r="EB301" s="28" t="str">
        <f aca="false">IF(ISNUMBER(AE301),4,"")</f>
        <v/>
      </c>
      <c r="EC301" s="28" t="str">
        <f aca="false">IF(ISNUMBER(AI301),5,"")</f>
        <v/>
      </c>
      <c r="ED301" s="28" t="str">
        <f aca="false">IF(ISNUMBER(AM301),6,"")</f>
        <v/>
      </c>
      <c r="EE301" s="28" t="str">
        <f aca="false">IF(ISNUMBER(AQ301),7,"")</f>
        <v/>
      </c>
      <c r="EF301" s="28" t="str">
        <f aca="false">IF(ISNUMBER(AU301),8,"")</f>
        <v/>
      </c>
      <c r="EG301" s="28" t="str">
        <f aca="false">IF(ISNUMBER(AY301),9,"")</f>
        <v/>
      </c>
      <c r="EH301" s="28" t="str">
        <f aca="false">IF(ISNUMBER(BC301),10,"")</f>
        <v/>
      </c>
      <c r="EI301" s="28" t="str">
        <f aca="false">IF(ISNUMBER(BG301),11,"")</f>
        <v/>
      </c>
      <c r="EJ301" s="28" t="str">
        <f aca="false">IF(ISNUMBER(BK301),12,"")</f>
        <v/>
      </c>
      <c r="EK301" s="28" t="str">
        <f aca="false">IF(ISNUMBER(BO301),13,"")</f>
        <v/>
      </c>
      <c r="EL301" s="28" t="str">
        <f aca="false">IF(ISNUMBER(BS301),14,"")</f>
        <v/>
      </c>
      <c r="EM301" s="28" t="n">
        <f aca="false">IF(ISNUMBER(R301),R301*CW301,0)</f>
        <v>58.3333333333333</v>
      </c>
      <c r="EN301" s="28" t="n">
        <f aca="false">IF(ISNUMBER(V301),V301*CX301,0)</f>
        <v>0</v>
      </c>
      <c r="EO301" s="28" t="n">
        <f aca="false">IF(ISNUMBER(Z301),Z301*CY301,0)</f>
        <v>0</v>
      </c>
      <c r="EP301" s="28" t="n">
        <f aca="false">IF(ISNUMBER(AD301),AD301*CZ301,0)</f>
        <v>0</v>
      </c>
      <c r="EQ301" s="28" t="n">
        <f aca="false">IF(ISNUMBER(AH301),AH301*DA301,0)</f>
        <v>0</v>
      </c>
      <c r="ER301" s="28" t="n">
        <f aca="false">IF(ISNUMBER(AL301),AL301*DB301,0)</f>
        <v>0</v>
      </c>
      <c r="ES301" s="28" t="n">
        <f aca="false">IF(ISNUMBER(AP301),AP301*DC301,0)</f>
        <v>0</v>
      </c>
      <c r="ET301" s="28" t="n">
        <f aca="false">IF(ISNUMBER(AT301),AT301*DD301,0)</f>
        <v>0</v>
      </c>
      <c r="EU301" s="28" t="n">
        <f aca="false">IF(ISNUMBER(AX301),AX301*DE301,0)</f>
        <v>0</v>
      </c>
      <c r="EV301" s="28" t="n">
        <f aca="false">IF(ISNUMBER(BB301),BB301*DF301,0)</f>
        <v>0</v>
      </c>
      <c r="EW301" s="28" t="n">
        <f aca="false">IF(ISNUMBER(BF301),BF301*DG301,0)</f>
        <v>0</v>
      </c>
      <c r="EX301" s="28" t="n">
        <f aca="false">IF(ISNUMBER(BJ301),BJ301*DH301,0)</f>
        <v>0</v>
      </c>
      <c r="EY301" s="28" t="n">
        <f aca="false">IF(ISNUMBER(BN301),BN301*DI301,0)</f>
        <v>0</v>
      </c>
      <c r="EZ301" s="28" t="n">
        <f aca="false">IF(ISNUMBER(BR301),BR301*DJ301,0)</f>
        <v>0</v>
      </c>
      <c r="FA301" s="28" t="n">
        <f aca="false">IF(ISNUMBER(R301),CW301,0)</f>
        <v>1</v>
      </c>
      <c r="FB301" s="28" t="n">
        <f aca="false">IF(ISNUMBER(V301),CX301,0)</f>
        <v>0</v>
      </c>
      <c r="FC301" s="28" t="n">
        <f aca="false">IF(ISNUMBER(Z301),CY301,0)</f>
        <v>0</v>
      </c>
      <c r="FD301" s="28" t="n">
        <f aca="false">IF(ISNUMBER(AD301),CZ301,0)</f>
        <v>0</v>
      </c>
      <c r="FE301" s="28" t="n">
        <f aca="false">IF(ISNUMBER(AH301),DA301,0)</f>
        <v>0</v>
      </c>
      <c r="FF301" s="28" t="n">
        <f aca="false">IF(ISNUMBER(AL301),DB301,0)</f>
        <v>0</v>
      </c>
      <c r="FG301" s="28" t="n">
        <f aca="false">IF(ISNUMBER(AP301),DC301,0)</f>
        <v>0</v>
      </c>
      <c r="FH301" s="28" t="n">
        <f aca="false">IF(ISNUMBER(AT301),DD301,0)</f>
        <v>0</v>
      </c>
      <c r="FI301" s="28" t="n">
        <f aca="false">IF(ISNUMBER(AX301),DE301,0)</f>
        <v>0</v>
      </c>
      <c r="FJ301" s="28" t="n">
        <f aca="false">IF(ISNUMBER(BB301),DF301,0)</f>
        <v>0</v>
      </c>
      <c r="FK301" s="28" t="n">
        <f aca="false">IF(ISNUMBER(BF301),DG301,0)</f>
        <v>0</v>
      </c>
      <c r="FL301" s="28" t="n">
        <f aca="false">IF(ISNUMBER(BJ301),DH301,0)</f>
        <v>0</v>
      </c>
      <c r="FM301" s="28" t="n">
        <f aca="false">IF(ISNUMBER(BN301),DI301,0)</f>
        <v>0</v>
      </c>
      <c r="FN301" s="28" t="n">
        <f aca="false">IF(ISNUMBER(BR301),DJ301,0)</f>
        <v>0</v>
      </c>
      <c r="FO301" s="28" t="str">
        <f aca="false">IFERROR(INDEX(Lists!$G$2:$G$20,MATCH($I301&amp;"|"&amp;$J301,Lists!$F$2:$F$20,0)),"")</f>
        <v>BM Exam</v>
      </c>
    </row>
    <row r="302" customFormat="false" ht="19.5" hidden="false" customHeight="true" outlineLevel="0" collapsed="false">
      <c r="A302" s="29" t="s">
        <v>450</v>
      </c>
      <c r="B302" s="29" t="s">
        <v>451</v>
      </c>
      <c r="C302" s="30" t="s">
        <v>152</v>
      </c>
      <c r="D302" s="30" t="s">
        <v>364</v>
      </c>
      <c r="E302" s="31"/>
      <c r="F302" s="30"/>
      <c r="G302" s="30"/>
      <c r="H302" s="32" t="s">
        <v>428</v>
      </c>
      <c r="I302" s="33" t="s">
        <v>365</v>
      </c>
      <c r="J302" s="32" t="s">
        <v>25</v>
      </c>
      <c r="K302" s="34" t="str">
        <f aca="false">IF(OR(M302="",$E302=""),"",M302-$E302)</f>
        <v/>
      </c>
      <c r="L302" s="35" t="n">
        <f aca="false">IF(SUM(FA302:FN302)=0,"",SUM(EM302:EZ302)/SUM(FA302:FN302))</f>
        <v>66.6666666666667</v>
      </c>
      <c r="M302" s="36" t="n">
        <f aca="false">IF(OR(L302="",FO302=""),"",IFERROR(MATCH(L302,INDEX(Boundaries!$B$2:$I$30,MATCH(FO302,Boundaries!$A$2:$A$30,0),0),1)-1,""))</f>
        <v>6</v>
      </c>
      <c r="N302" s="37" t="str">
        <f aca="false">IF(COUNT($DY302:$EL302)&lt;2,"",INDEX($DK302:$DX302,MAX($DY302:$EL302))-INDEX($DK302:$DX302,MIN($DY302:$EL302)))</f>
        <v/>
      </c>
      <c r="O302" s="37" t="str">
        <f aca="false">IF(COUNT($DY302:$EL302)&lt;2,"",INDEX($DK302:$DX302,MAX($DY302:$EL302))-INDEX($DK302:$DX302,LARGE($DY302:$EL302,2)))</f>
        <v/>
      </c>
      <c r="P302" s="38" t="str">
        <f aca="false">IF(K302="","",IF(K302&gt;=0,"On/above target",IF(AND(N302&lt;&gt;"",N302&gt;=0.5),"Improving towards target",IF(AND(O302&lt;&gt;"",O302&lt;=-0.5),"Declining","Stable below target"))))</f>
        <v/>
      </c>
      <c r="Q302" s="39" t="n">
        <v>16</v>
      </c>
      <c r="R302" s="40" t="n">
        <f aca="false">IF(OR(Q302="",BU302=""),"",Q302/BU302*100)</f>
        <v>66.6666666666667</v>
      </c>
      <c r="S302" s="41" t="n">
        <f aca="false">IF(R302="","",IFERROR(MATCH(R302,INDEX(Boundaries!$B$2:$I$30,MATCH(CI302,Boundaries!$A$2:$A$30,0),0),1)-1,""))</f>
        <v>6</v>
      </c>
      <c r="T302" s="42" t="str">
        <f aca="false">IF(OR(S302="",$E302=""),"",S302-$E302)</f>
        <v/>
      </c>
      <c r="U302" s="39"/>
      <c r="V302" s="40" t="str">
        <f aca="false">IF(OR(U302="",BV302=""),"",U302/BV302*100)</f>
        <v/>
      </c>
      <c r="W302" s="41" t="str">
        <f aca="false">IF(V302="","",IFERROR(MATCH(V302,INDEX(Boundaries!$B$2:$I$30,MATCH(CJ302,Boundaries!$A$2:$A$30,0),0),1)-1,""))</f>
        <v/>
      </c>
      <c r="X302" s="42" t="str">
        <f aca="false">IF(OR(W302="",$E302=""),"",W302-$E302)</f>
        <v/>
      </c>
      <c r="Y302" s="39"/>
      <c r="Z302" s="40" t="str">
        <f aca="false">IF(OR(Y302="",BW302=""),"",Y302/BW302*100)</f>
        <v/>
      </c>
      <c r="AA302" s="41" t="str">
        <f aca="false">IF(Z302="","",IFERROR(MATCH(Z302,INDEX(Boundaries!$B$2:$I$30,MATCH(CK302,Boundaries!$A$2:$A$30,0),0),1)-1,""))</f>
        <v/>
      </c>
      <c r="AB302" s="42" t="str">
        <f aca="false">IF(OR(AA302="",$E302=""),"",AA302-$E302)</f>
        <v/>
      </c>
      <c r="AC302" s="39"/>
      <c r="AD302" s="40" t="str">
        <f aca="false">IF(OR(AC302="",BX302=""),"",AC302/BX302*100)</f>
        <v/>
      </c>
      <c r="AE302" s="41" t="str">
        <f aca="false">IF(AD302="","",IFERROR(MATCH(AD302,INDEX(Boundaries!$B$2:$I$30,MATCH(CL302,Boundaries!$A$2:$A$30,0),0),1)-1,""))</f>
        <v/>
      </c>
      <c r="AF302" s="42" t="str">
        <f aca="false">IF(OR(AE302="",$E302=""),"",AE302-$E302)</f>
        <v/>
      </c>
      <c r="AG302" s="39"/>
      <c r="AH302" s="40" t="str">
        <f aca="false">IF(OR(AG302="",BY302=""),"",AG302/BY302*100)</f>
        <v/>
      </c>
      <c r="AI302" s="41" t="str">
        <f aca="false">IF(AH302="","",IFERROR(MATCH(AH302,INDEX(Boundaries!$B$2:$I$30,MATCH(CM302,Boundaries!$A$2:$A$30,0),0),1)-1,""))</f>
        <v/>
      </c>
      <c r="AJ302" s="42" t="str">
        <f aca="false">IF(OR(AI302="",$E302=""),"",AI302-$E302)</f>
        <v/>
      </c>
      <c r="AK302" s="39"/>
      <c r="AL302" s="40" t="str">
        <f aca="false">IF(OR(AK302="",BZ302=""),"",AK302/BZ302*100)</f>
        <v/>
      </c>
      <c r="AM302" s="41" t="str">
        <f aca="false">IF(AL302="","",IFERROR(MATCH(AL302,INDEX(Boundaries!$B$2:$I$30,MATCH(CN302,Boundaries!$A$2:$A$30,0),0),1)-1,""))</f>
        <v/>
      </c>
      <c r="AN302" s="42" t="str">
        <f aca="false">IF(OR(AM302="",$E302=""),"",AM302-$E302)</f>
        <v/>
      </c>
      <c r="AO302" s="39"/>
      <c r="AP302" s="40" t="str">
        <f aca="false">IF(OR(AO302="",CA302=""),"",AO302/CA302*100)</f>
        <v/>
      </c>
      <c r="AQ302" s="41" t="str">
        <f aca="false">IF(AP302="","",IFERROR(MATCH(AP302,INDEX(Boundaries!$B$2:$I$30,MATCH(CO302,Boundaries!$A$2:$A$30,0),0),1)-1,""))</f>
        <v/>
      </c>
      <c r="AR302" s="42" t="str">
        <f aca="false">IF(OR(AQ302="",$E302=""),"",AQ302-$E302)</f>
        <v/>
      </c>
      <c r="AS302" s="39"/>
      <c r="AT302" s="40" t="str">
        <f aca="false">IF(OR(AS302="",CB302=""),"",AS302/CB302*100)</f>
        <v/>
      </c>
      <c r="AU302" s="41" t="str">
        <f aca="false">IF(AT302="","",IFERROR(MATCH(AT302,INDEX(Boundaries!$B$2:$I$30,MATCH(CP302,Boundaries!$A$2:$A$30,0),0),1)-1,""))</f>
        <v/>
      </c>
      <c r="AV302" s="42" t="str">
        <f aca="false">IF(OR(AU302="",$E302=""),"",AU302-$E302)</f>
        <v/>
      </c>
      <c r="AW302" s="39"/>
      <c r="AX302" s="40" t="str">
        <f aca="false">IF(OR(AW302="",CC302=""),"",AW302/CC302*100)</f>
        <v/>
      </c>
      <c r="AY302" s="41" t="str">
        <f aca="false">IF(AX302="","",IFERROR(MATCH(AX302,INDEX(Boundaries!$B$2:$I$30,MATCH(CQ302,Boundaries!$A$2:$A$30,0),0),1)-1,""))</f>
        <v/>
      </c>
      <c r="AZ302" s="42" t="str">
        <f aca="false">IF(OR(AY302="",$E302=""),"",AY302-$E302)</f>
        <v/>
      </c>
      <c r="BA302" s="39"/>
      <c r="BB302" s="40" t="str">
        <f aca="false">IF(OR(BA302="",CD302=""),"",BA302/CD302*100)</f>
        <v/>
      </c>
      <c r="BC302" s="41" t="str">
        <f aca="false">IF(BB302="","",IFERROR(MATCH(BB302,INDEX(Boundaries!$B$2:$I$30,MATCH(CR302,Boundaries!$A$2:$A$30,0),0),1)-1,""))</f>
        <v/>
      </c>
      <c r="BD302" s="42" t="str">
        <f aca="false">IF(OR(BC302="",$E302=""),"",BC302-$E302)</f>
        <v/>
      </c>
      <c r="BE302" s="39"/>
      <c r="BF302" s="40" t="str">
        <f aca="false">IF(OR(BE302="",CE302=""),"",BE302/CE302*100)</f>
        <v/>
      </c>
      <c r="BG302" s="41" t="str">
        <f aca="false">IF(BF302="","",IFERROR(MATCH(BF302,INDEX(Boundaries!$B$2:$I$30,MATCH(CS302,Boundaries!$A$2:$A$30,0),0),1)-1,""))</f>
        <v/>
      </c>
      <c r="BH302" s="42" t="str">
        <f aca="false">IF(OR(BG302="",$E302=""),"",BG302-$E302)</f>
        <v/>
      </c>
      <c r="BI302" s="39"/>
      <c r="BJ302" s="40" t="str">
        <f aca="false">IF(OR(BI302="",CF302=""),"",BI302/CF302*100)</f>
        <v/>
      </c>
      <c r="BK302" s="41" t="str">
        <f aca="false">IF(BJ302="","",IFERROR(MATCH(BJ302,INDEX(Boundaries!$B$2:$I$30,MATCH(CT302,Boundaries!$A$2:$A$30,0),0),1)-1,""))</f>
        <v/>
      </c>
      <c r="BL302" s="42" t="str">
        <f aca="false">IF(OR(BK302="",$E302=""),"",BK302-$E302)</f>
        <v/>
      </c>
      <c r="BM302" s="39"/>
      <c r="BN302" s="40" t="str">
        <f aca="false">IF(OR(BM302="",CG302=""),"",BM302/CG302*100)</f>
        <v/>
      </c>
      <c r="BO302" s="41" t="str">
        <f aca="false">IF(BN302="","",IFERROR(MATCH(BN302,INDEX(Boundaries!$B$2:$I$30,MATCH(CU302,Boundaries!$A$2:$A$30,0),0),1)-1,""))</f>
        <v/>
      </c>
      <c r="BP302" s="42" t="str">
        <f aca="false">IF(OR(BO302="",$E302=""),"",BO302-$E302)</f>
        <v/>
      </c>
      <c r="BQ302" s="39"/>
      <c r="BR302" s="40" t="str">
        <f aca="false">IF(OR(BQ302="",CH302=""),"",BQ302/CH302*100)</f>
        <v/>
      </c>
      <c r="BS302" s="41" t="str">
        <f aca="false">IF(BR302="","",IFERROR(MATCH(BR302,INDEX(Boundaries!$B$2:$I$30,MATCH(CV302,Boundaries!$A$2:$A$30,0),0),1)-1,""))</f>
        <v/>
      </c>
      <c r="BT302" s="42" t="str">
        <f aca="false">IF(OR(BS302="",$E302=""),"",BS302-$E302)</f>
        <v/>
      </c>
      <c r="BU302" s="28" t="n">
        <f aca="false">IFERROR(INDEX(Assessments!$H$2:$H$600,MATCH($H302&amp;"|"&amp;$I302&amp;"|"&amp;$J302&amp;"|"&amp;1,Assessments!$A$2:$A$600,0)),"")</f>
        <v>24</v>
      </c>
      <c r="BV302" s="28" t="n">
        <f aca="false">IFERROR(INDEX(Assessments!$H$2:$H$600,MATCH($H302&amp;"|"&amp;$I302&amp;"|"&amp;$J302&amp;"|"&amp;2,Assessments!$A$2:$A$600,0)),"")</f>
        <v>20</v>
      </c>
      <c r="BW302" s="28" t="n">
        <f aca="false">IFERROR(INDEX(Assessments!$H$2:$H$600,MATCH($H302&amp;"|"&amp;$I302&amp;"|"&amp;$J302&amp;"|"&amp;3,Assessments!$A$2:$A$600,0)),"")</f>
        <v>20</v>
      </c>
      <c r="BX302" s="28" t="n">
        <f aca="false">IFERROR(INDEX(Assessments!$H$2:$H$600,MATCH($H302&amp;"|"&amp;$I302&amp;"|"&amp;$J302&amp;"|"&amp;4,Assessments!$A$2:$A$600,0)),"")</f>
        <v>40</v>
      </c>
      <c r="BY302" s="28" t="n">
        <f aca="false">IFERROR(INDEX(Assessments!$H$2:$H$600,MATCH($H302&amp;"|"&amp;$I302&amp;"|"&amp;$J302&amp;"|"&amp;5,Assessments!$A$2:$A$600,0)),"")</f>
        <v>30</v>
      </c>
      <c r="BZ302" s="28" t="n">
        <f aca="false">IFERROR(INDEX(Assessments!$H$2:$H$600,MATCH($H302&amp;"|"&amp;$I302&amp;"|"&amp;$J302&amp;"|"&amp;6,Assessments!$A$2:$A$600,0)),"")</f>
        <v>20</v>
      </c>
      <c r="CA302" s="28" t="n">
        <f aca="false">IFERROR(INDEX(Assessments!$H$2:$H$600,MATCH($H302&amp;"|"&amp;$I302&amp;"|"&amp;$J302&amp;"|"&amp;7,Assessments!$A$2:$A$600,0)),"")</f>
        <v>50</v>
      </c>
      <c r="CB302" s="28" t="str">
        <f aca="false">IFERROR(INDEX(Assessments!$H$2:$H$600,MATCH($H302&amp;"|"&amp;$I302&amp;"|"&amp;$J302&amp;"|"&amp;8,Assessments!$A$2:$A$600,0)),"")</f>
        <v/>
      </c>
      <c r="CC302" s="28" t="str">
        <f aca="false">IFERROR(INDEX(Assessments!$H$2:$H$600,MATCH($H302&amp;"|"&amp;$I302&amp;"|"&amp;$J302&amp;"|"&amp;9,Assessments!$A$2:$A$600,0)),"")</f>
        <v/>
      </c>
      <c r="CD302" s="28" t="str">
        <f aca="false">IFERROR(INDEX(Assessments!$H$2:$H$600,MATCH($H302&amp;"|"&amp;$I302&amp;"|"&amp;$J302&amp;"|"&amp;10,Assessments!$A$2:$A$600,0)),"")</f>
        <v/>
      </c>
      <c r="CE302" s="28" t="str">
        <f aca="false">IFERROR(INDEX(Assessments!$H$2:$H$600,MATCH($H302&amp;"|"&amp;$I302&amp;"|"&amp;$J302&amp;"|"&amp;11,Assessments!$A$2:$A$600,0)),"")</f>
        <v/>
      </c>
      <c r="CF302" s="28" t="str">
        <f aca="false">IFERROR(INDEX(Assessments!$H$2:$H$600,MATCH($H302&amp;"|"&amp;$I302&amp;"|"&amp;$J302&amp;"|"&amp;12,Assessments!$A$2:$A$600,0)),"")</f>
        <v/>
      </c>
      <c r="CG302" s="28" t="str">
        <f aca="false">IFERROR(INDEX(Assessments!$H$2:$H$600,MATCH($H302&amp;"|"&amp;$I302&amp;"|"&amp;$J302&amp;"|"&amp;13,Assessments!$A$2:$A$600,0)),"")</f>
        <v/>
      </c>
      <c r="CH302" s="28" t="str">
        <f aca="false">IFERROR(INDEX(Assessments!$H$2:$H$600,MATCH($H302&amp;"|"&amp;$I302&amp;"|"&amp;$J302&amp;"|"&amp;14,Assessments!$A$2:$A$600,0)),"")</f>
        <v/>
      </c>
      <c r="CI302" s="28" t="str">
        <f aca="false">IFERROR(INDEX(Assessments!$I$2:$I$600,MATCH($H302&amp;"|"&amp;$I302&amp;"|"&amp;$J302&amp;"|"&amp;1,Assessments!$A$2:$A$600,0)),"")</f>
        <v>BM Test</v>
      </c>
      <c r="CJ302" s="28" t="str">
        <f aca="false">IFERROR(INDEX(Assessments!$I$2:$I$600,MATCH($H302&amp;"|"&amp;$I302&amp;"|"&amp;$J302&amp;"|"&amp;2,Assessments!$A$2:$A$600,0)),"")</f>
        <v>BM Test</v>
      </c>
      <c r="CK302" s="28" t="str">
        <f aca="false">IFERROR(INDEX(Assessments!$I$2:$I$600,MATCH($H302&amp;"|"&amp;$I302&amp;"|"&amp;$J302&amp;"|"&amp;3,Assessments!$A$2:$A$600,0)),"")</f>
        <v>BM Test</v>
      </c>
      <c r="CL302" s="28" t="str">
        <f aca="false">IFERROR(INDEX(Assessments!$I$2:$I$600,MATCH($H302&amp;"|"&amp;$I302&amp;"|"&amp;$J302&amp;"|"&amp;4,Assessments!$A$2:$A$600,0)),"")</f>
        <v>BM Exam</v>
      </c>
      <c r="CM302" s="28" t="str">
        <f aca="false">IFERROR(INDEX(Assessments!$I$2:$I$600,MATCH($H302&amp;"|"&amp;$I302&amp;"|"&amp;$J302&amp;"|"&amp;5,Assessments!$A$2:$A$600,0)),"")</f>
        <v>BM Test</v>
      </c>
      <c r="CN302" s="28" t="str">
        <f aca="false">IFERROR(INDEX(Assessments!$I$2:$I$600,MATCH($H302&amp;"|"&amp;$I302&amp;"|"&amp;$J302&amp;"|"&amp;6,Assessments!$A$2:$A$600,0)),"")</f>
        <v>BM Test</v>
      </c>
      <c r="CO302" s="28" t="str">
        <f aca="false">IFERROR(INDEX(Assessments!$I$2:$I$600,MATCH($H302&amp;"|"&amp;$I302&amp;"|"&amp;$J302&amp;"|"&amp;7,Assessments!$A$2:$A$600,0)),"")</f>
        <v>BM Exam</v>
      </c>
      <c r="CP302" s="28" t="str">
        <f aca="false">IFERROR(INDEX(Assessments!$I$2:$I$600,MATCH($H302&amp;"|"&amp;$I302&amp;"|"&amp;$J302&amp;"|"&amp;8,Assessments!$A$2:$A$600,0)),"")</f>
        <v/>
      </c>
      <c r="CQ302" s="28" t="str">
        <f aca="false">IFERROR(INDEX(Assessments!$I$2:$I$600,MATCH($H302&amp;"|"&amp;$I302&amp;"|"&amp;$J302&amp;"|"&amp;9,Assessments!$A$2:$A$600,0)),"")</f>
        <v/>
      </c>
      <c r="CR302" s="28" t="str">
        <f aca="false">IFERROR(INDEX(Assessments!$I$2:$I$600,MATCH($H302&amp;"|"&amp;$I302&amp;"|"&amp;$J302&amp;"|"&amp;10,Assessments!$A$2:$A$600,0)),"")</f>
        <v/>
      </c>
      <c r="CS302" s="28" t="str">
        <f aca="false">IFERROR(INDEX(Assessments!$I$2:$I$600,MATCH($H302&amp;"|"&amp;$I302&amp;"|"&amp;$J302&amp;"|"&amp;11,Assessments!$A$2:$A$600,0)),"")</f>
        <v/>
      </c>
      <c r="CT302" s="28" t="str">
        <f aca="false">IFERROR(INDEX(Assessments!$I$2:$I$600,MATCH($H302&amp;"|"&amp;$I302&amp;"|"&amp;$J302&amp;"|"&amp;12,Assessments!$A$2:$A$600,0)),"")</f>
        <v/>
      </c>
      <c r="CU302" s="28" t="str">
        <f aca="false">IFERROR(INDEX(Assessments!$I$2:$I$600,MATCH($H302&amp;"|"&amp;$I302&amp;"|"&amp;$J302&amp;"|"&amp;13,Assessments!$A$2:$A$600,0)),"")</f>
        <v/>
      </c>
      <c r="CV302" s="28" t="str">
        <f aca="false">IFERROR(INDEX(Assessments!$I$2:$I$600,MATCH($H302&amp;"|"&amp;$I302&amp;"|"&amp;$J302&amp;"|"&amp;14,Assessments!$A$2:$A$600,0)),"")</f>
        <v/>
      </c>
      <c r="CW302" s="28" t="n">
        <f aca="false">IFERROR(INDEX(Assessments!$J$2:$J$600,MATCH($H302&amp;"|"&amp;$I302&amp;"|"&amp;$J302&amp;"|"&amp;1,Assessments!$A$2:$A$600,0)),0)</f>
        <v>1</v>
      </c>
      <c r="CX302" s="28" t="n">
        <f aca="false">IFERROR(INDEX(Assessments!$J$2:$J$600,MATCH($H302&amp;"|"&amp;$I302&amp;"|"&amp;$J302&amp;"|"&amp;2,Assessments!$A$2:$A$600,0)),0)</f>
        <v>1</v>
      </c>
      <c r="CY302" s="28" t="n">
        <f aca="false">IFERROR(INDEX(Assessments!$J$2:$J$600,MATCH($H302&amp;"|"&amp;$I302&amp;"|"&amp;$J302&amp;"|"&amp;3,Assessments!$A$2:$A$600,0)),0)</f>
        <v>1</v>
      </c>
      <c r="CZ302" s="28" t="n">
        <f aca="false">IFERROR(INDEX(Assessments!$J$2:$J$600,MATCH($H302&amp;"|"&amp;$I302&amp;"|"&amp;$J302&amp;"|"&amp;4,Assessments!$A$2:$A$600,0)),0)</f>
        <v>2</v>
      </c>
      <c r="DA302" s="28" t="n">
        <f aca="false">IFERROR(INDEX(Assessments!$J$2:$J$600,MATCH($H302&amp;"|"&amp;$I302&amp;"|"&amp;$J302&amp;"|"&amp;5,Assessments!$A$2:$A$600,0)),0)</f>
        <v>1</v>
      </c>
      <c r="DB302" s="28" t="n">
        <f aca="false">IFERROR(INDEX(Assessments!$J$2:$J$600,MATCH($H302&amp;"|"&amp;$I302&amp;"|"&amp;$J302&amp;"|"&amp;6,Assessments!$A$2:$A$600,0)),0)</f>
        <v>1</v>
      </c>
      <c r="DC302" s="28" t="n">
        <f aca="false">IFERROR(INDEX(Assessments!$J$2:$J$600,MATCH($H302&amp;"|"&amp;$I302&amp;"|"&amp;$J302&amp;"|"&amp;7,Assessments!$A$2:$A$600,0)),0)</f>
        <v>2</v>
      </c>
      <c r="DD302" s="28" t="n">
        <f aca="false">IFERROR(INDEX(Assessments!$J$2:$J$600,MATCH($H302&amp;"|"&amp;$I302&amp;"|"&amp;$J302&amp;"|"&amp;8,Assessments!$A$2:$A$600,0)),0)</f>
        <v>0</v>
      </c>
      <c r="DE302" s="28" t="n">
        <f aca="false">IFERROR(INDEX(Assessments!$J$2:$J$600,MATCH($H302&amp;"|"&amp;$I302&amp;"|"&amp;$J302&amp;"|"&amp;9,Assessments!$A$2:$A$600,0)),0)</f>
        <v>0</v>
      </c>
      <c r="DF302" s="28" t="n">
        <f aca="false">IFERROR(INDEX(Assessments!$J$2:$J$600,MATCH($H302&amp;"|"&amp;$I302&amp;"|"&amp;$J302&amp;"|"&amp;10,Assessments!$A$2:$A$600,0)),0)</f>
        <v>0</v>
      </c>
      <c r="DG302" s="28" t="n">
        <f aca="false">IFERROR(INDEX(Assessments!$J$2:$J$600,MATCH($H302&amp;"|"&amp;$I302&amp;"|"&amp;$J302&amp;"|"&amp;11,Assessments!$A$2:$A$600,0)),0)</f>
        <v>0</v>
      </c>
      <c r="DH302" s="28" t="n">
        <f aca="false">IFERROR(INDEX(Assessments!$J$2:$J$600,MATCH($H302&amp;"|"&amp;$I302&amp;"|"&amp;$J302&amp;"|"&amp;12,Assessments!$A$2:$A$600,0)),0)</f>
        <v>0</v>
      </c>
      <c r="DI302" s="28" t="n">
        <f aca="false">IFERROR(INDEX(Assessments!$J$2:$J$600,MATCH($H302&amp;"|"&amp;$I302&amp;"|"&amp;$J302&amp;"|"&amp;13,Assessments!$A$2:$A$600,0)),0)</f>
        <v>0</v>
      </c>
      <c r="DJ302" s="28" t="n">
        <f aca="false">IFERROR(INDEX(Assessments!$J$2:$J$600,MATCH($H302&amp;"|"&amp;$I302&amp;"|"&amp;$J302&amp;"|"&amp;14,Assessments!$A$2:$A$600,0)),0)</f>
        <v>0</v>
      </c>
      <c r="DK302" s="28" t="n">
        <f aca="false">S302</f>
        <v>6</v>
      </c>
      <c r="DL302" s="28" t="str">
        <f aca="false">W302</f>
        <v/>
      </c>
      <c r="DM302" s="28" t="str">
        <f aca="false">AA302</f>
        <v/>
      </c>
      <c r="DN302" s="28" t="str">
        <f aca="false">AE302</f>
        <v/>
      </c>
      <c r="DO302" s="28" t="str">
        <f aca="false">AI302</f>
        <v/>
      </c>
      <c r="DP302" s="28" t="str">
        <f aca="false">AM302</f>
        <v/>
      </c>
      <c r="DQ302" s="28" t="str">
        <f aca="false">AQ302</f>
        <v/>
      </c>
      <c r="DR302" s="28" t="str">
        <f aca="false">AU302</f>
        <v/>
      </c>
      <c r="DS302" s="28" t="str">
        <f aca="false">AY302</f>
        <v/>
      </c>
      <c r="DT302" s="28" t="str">
        <f aca="false">BC302</f>
        <v/>
      </c>
      <c r="DU302" s="28" t="str">
        <f aca="false">BG302</f>
        <v/>
      </c>
      <c r="DV302" s="28" t="str">
        <f aca="false">BK302</f>
        <v/>
      </c>
      <c r="DW302" s="28" t="str">
        <f aca="false">BO302</f>
        <v/>
      </c>
      <c r="DX302" s="28" t="str">
        <f aca="false">BS302</f>
        <v/>
      </c>
      <c r="DY302" s="28" t="n">
        <f aca="false">IF(ISNUMBER(S302),1,"")</f>
        <v>1</v>
      </c>
      <c r="DZ302" s="28" t="str">
        <f aca="false">IF(ISNUMBER(W302),2,"")</f>
        <v/>
      </c>
      <c r="EA302" s="28" t="str">
        <f aca="false">IF(ISNUMBER(AA302),3,"")</f>
        <v/>
      </c>
      <c r="EB302" s="28" t="str">
        <f aca="false">IF(ISNUMBER(AE302),4,"")</f>
        <v/>
      </c>
      <c r="EC302" s="28" t="str">
        <f aca="false">IF(ISNUMBER(AI302),5,"")</f>
        <v/>
      </c>
      <c r="ED302" s="28" t="str">
        <f aca="false">IF(ISNUMBER(AM302),6,"")</f>
        <v/>
      </c>
      <c r="EE302" s="28" t="str">
        <f aca="false">IF(ISNUMBER(AQ302),7,"")</f>
        <v/>
      </c>
      <c r="EF302" s="28" t="str">
        <f aca="false">IF(ISNUMBER(AU302),8,"")</f>
        <v/>
      </c>
      <c r="EG302" s="28" t="str">
        <f aca="false">IF(ISNUMBER(AY302),9,"")</f>
        <v/>
      </c>
      <c r="EH302" s="28" t="str">
        <f aca="false">IF(ISNUMBER(BC302),10,"")</f>
        <v/>
      </c>
      <c r="EI302" s="28" t="str">
        <f aca="false">IF(ISNUMBER(BG302),11,"")</f>
        <v/>
      </c>
      <c r="EJ302" s="28" t="str">
        <f aca="false">IF(ISNUMBER(BK302),12,"")</f>
        <v/>
      </c>
      <c r="EK302" s="28" t="str">
        <f aca="false">IF(ISNUMBER(BO302),13,"")</f>
        <v/>
      </c>
      <c r="EL302" s="28" t="str">
        <f aca="false">IF(ISNUMBER(BS302),14,"")</f>
        <v/>
      </c>
      <c r="EM302" s="28" t="n">
        <f aca="false">IF(ISNUMBER(R302),R302*CW302,0)</f>
        <v>66.6666666666667</v>
      </c>
      <c r="EN302" s="28" t="n">
        <f aca="false">IF(ISNUMBER(V302),V302*CX302,0)</f>
        <v>0</v>
      </c>
      <c r="EO302" s="28" t="n">
        <f aca="false">IF(ISNUMBER(Z302),Z302*CY302,0)</f>
        <v>0</v>
      </c>
      <c r="EP302" s="28" t="n">
        <f aca="false">IF(ISNUMBER(AD302),AD302*CZ302,0)</f>
        <v>0</v>
      </c>
      <c r="EQ302" s="28" t="n">
        <f aca="false">IF(ISNUMBER(AH302),AH302*DA302,0)</f>
        <v>0</v>
      </c>
      <c r="ER302" s="28" t="n">
        <f aca="false">IF(ISNUMBER(AL302),AL302*DB302,0)</f>
        <v>0</v>
      </c>
      <c r="ES302" s="28" t="n">
        <f aca="false">IF(ISNUMBER(AP302),AP302*DC302,0)</f>
        <v>0</v>
      </c>
      <c r="ET302" s="28" t="n">
        <f aca="false">IF(ISNUMBER(AT302),AT302*DD302,0)</f>
        <v>0</v>
      </c>
      <c r="EU302" s="28" t="n">
        <f aca="false">IF(ISNUMBER(AX302),AX302*DE302,0)</f>
        <v>0</v>
      </c>
      <c r="EV302" s="28" t="n">
        <f aca="false">IF(ISNUMBER(BB302),BB302*DF302,0)</f>
        <v>0</v>
      </c>
      <c r="EW302" s="28" t="n">
        <f aca="false">IF(ISNUMBER(BF302),BF302*DG302,0)</f>
        <v>0</v>
      </c>
      <c r="EX302" s="28" t="n">
        <f aca="false">IF(ISNUMBER(BJ302),BJ302*DH302,0)</f>
        <v>0</v>
      </c>
      <c r="EY302" s="28" t="n">
        <f aca="false">IF(ISNUMBER(BN302),BN302*DI302,0)</f>
        <v>0</v>
      </c>
      <c r="EZ302" s="28" t="n">
        <f aca="false">IF(ISNUMBER(BR302),BR302*DJ302,0)</f>
        <v>0</v>
      </c>
      <c r="FA302" s="28" t="n">
        <f aca="false">IF(ISNUMBER(R302),CW302,0)</f>
        <v>1</v>
      </c>
      <c r="FB302" s="28" t="n">
        <f aca="false">IF(ISNUMBER(V302),CX302,0)</f>
        <v>0</v>
      </c>
      <c r="FC302" s="28" t="n">
        <f aca="false">IF(ISNUMBER(Z302),CY302,0)</f>
        <v>0</v>
      </c>
      <c r="FD302" s="28" t="n">
        <f aca="false">IF(ISNUMBER(AD302),CZ302,0)</f>
        <v>0</v>
      </c>
      <c r="FE302" s="28" t="n">
        <f aca="false">IF(ISNUMBER(AH302),DA302,0)</f>
        <v>0</v>
      </c>
      <c r="FF302" s="28" t="n">
        <f aca="false">IF(ISNUMBER(AL302),DB302,0)</f>
        <v>0</v>
      </c>
      <c r="FG302" s="28" t="n">
        <f aca="false">IF(ISNUMBER(AP302),DC302,0)</f>
        <v>0</v>
      </c>
      <c r="FH302" s="28" t="n">
        <f aca="false">IF(ISNUMBER(AT302),DD302,0)</f>
        <v>0</v>
      </c>
      <c r="FI302" s="28" t="n">
        <f aca="false">IF(ISNUMBER(AX302),DE302,0)</f>
        <v>0</v>
      </c>
      <c r="FJ302" s="28" t="n">
        <f aca="false">IF(ISNUMBER(BB302),DF302,0)</f>
        <v>0</v>
      </c>
      <c r="FK302" s="28" t="n">
        <f aca="false">IF(ISNUMBER(BF302),DG302,0)</f>
        <v>0</v>
      </c>
      <c r="FL302" s="28" t="n">
        <f aca="false">IF(ISNUMBER(BJ302),DH302,0)</f>
        <v>0</v>
      </c>
      <c r="FM302" s="28" t="n">
        <f aca="false">IF(ISNUMBER(BN302),DI302,0)</f>
        <v>0</v>
      </c>
      <c r="FN302" s="28" t="n">
        <f aca="false">IF(ISNUMBER(BR302),DJ302,0)</f>
        <v>0</v>
      </c>
      <c r="FO302" s="28" t="str">
        <f aca="false">IFERROR(INDEX(Lists!$G$2:$G$20,MATCH($I302&amp;"|"&amp;$J302,Lists!$F$2:$F$20,0)),"")</f>
        <v>BM Exam</v>
      </c>
    </row>
    <row r="303" customFormat="false" ht="19.5" hidden="false" customHeight="true" outlineLevel="0" collapsed="false">
      <c r="A303" s="29" t="s">
        <v>301</v>
      </c>
      <c r="B303" s="29" t="s">
        <v>598</v>
      </c>
      <c r="C303" s="30" t="s">
        <v>152</v>
      </c>
      <c r="D303" s="30" t="s">
        <v>364</v>
      </c>
      <c r="E303" s="31"/>
      <c r="F303" s="30"/>
      <c r="G303" s="30"/>
      <c r="H303" s="32" t="s">
        <v>428</v>
      </c>
      <c r="I303" s="33" t="s">
        <v>365</v>
      </c>
      <c r="J303" s="32" t="s">
        <v>25</v>
      </c>
      <c r="K303" s="34" t="str">
        <f aca="false">IF(OR(M303="",$E303=""),"",M303-$E303)</f>
        <v/>
      </c>
      <c r="L303" s="35" t="n">
        <f aca="false">IF(SUM(FA303:FN303)=0,"",SUM(EM303:EZ303)/SUM(FA303:FN303))</f>
        <v>100</v>
      </c>
      <c r="M303" s="36" t="n">
        <f aca="false">IF(OR(L303="",FO303=""),"",IFERROR(MATCH(L303,INDEX(Boundaries!$B$2:$I$30,MATCH(FO303,Boundaries!$A$2:$A$30,0),0),1)-1,""))</f>
        <v>7</v>
      </c>
      <c r="N303" s="37" t="str">
        <f aca="false">IF(COUNT($DY303:$EL303)&lt;2,"",INDEX($DK303:$DX303,MAX($DY303:$EL303))-INDEX($DK303:$DX303,MIN($DY303:$EL303)))</f>
        <v/>
      </c>
      <c r="O303" s="37" t="str">
        <f aca="false">IF(COUNT($DY303:$EL303)&lt;2,"",INDEX($DK303:$DX303,MAX($DY303:$EL303))-INDEX($DK303:$DX303,LARGE($DY303:$EL303,2)))</f>
        <v/>
      </c>
      <c r="P303" s="38" t="str">
        <f aca="false">IF(K303="","",IF(K303&gt;=0,"On/above target",IF(AND(N303&lt;&gt;"",N303&gt;=0.5),"Improving towards target",IF(AND(O303&lt;&gt;"",O303&lt;=-0.5),"Declining","Stable below target"))))</f>
        <v/>
      </c>
      <c r="Q303" s="39" t="n">
        <v>24</v>
      </c>
      <c r="R303" s="40" t="n">
        <f aca="false">IF(OR(Q303="",BU303=""),"",Q303/BU303*100)</f>
        <v>100</v>
      </c>
      <c r="S303" s="41" t="n">
        <f aca="false">IF(R303="","",IFERROR(MATCH(R303,INDEX(Boundaries!$B$2:$I$30,MATCH(CI303,Boundaries!$A$2:$A$30,0),0),1)-1,""))</f>
        <v>7</v>
      </c>
      <c r="T303" s="42" t="str">
        <f aca="false">IF(OR(S303="",$E303=""),"",S303-$E303)</f>
        <v/>
      </c>
      <c r="U303" s="39"/>
      <c r="V303" s="40" t="str">
        <f aca="false">IF(OR(U303="",BV303=""),"",U303/BV303*100)</f>
        <v/>
      </c>
      <c r="W303" s="41" t="str">
        <f aca="false">IF(V303="","",IFERROR(MATCH(V303,INDEX(Boundaries!$B$2:$I$30,MATCH(CJ303,Boundaries!$A$2:$A$30,0),0),1)-1,""))</f>
        <v/>
      </c>
      <c r="X303" s="42" t="str">
        <f aca="false">IF(OR(W303="",$E303=""),"",W303-$E303)</f>
        <v/>
      </c>
      <c r="Y303" s="39"/>
      <c r="Z303" s="40" t="str">
        <f aca="false">IF(OR(Y303="",BW303=""),"",Y303/BW303*100)</f>
        <v/>
      </c>
      <c r="AA303" s="41" t="str">
        <f aca="false">IF(Z303="","",IFERROR(MATCH(Z303,INDEX(Boundaries!$B$2:$I$30,MATCH(CK303,Boundaries!$A$2:$A$30,0),0),1)-1,""))</f>
        <v/>
      </c>
      <c r="AB303" s="42" t="str">
        <f aca="false">IF(OR(AA303="",$E303=""),"",AA303-$E303)</f>
        <v/>
      </c>
      <c r="AC303" s="39"/>
      <c r="AD303" s="40" t="str">
        <f aca="false">IF(OR(AC303="",BX303=""),"",AC303/BX303*100)</f>
        <v/>
      </c>
      <c r="AE303" s="41" t="str">
        <f aca="false">IF(AD303="","",IFERROR(MATCH(AD303,INDEX(Boundaries!$B$2:$I$30,MATCH(CL303,Boundaries!$A$2:$A$30,0),0),1)-1,""))</f>
        <v/>
      </c>
      <c r="AF303" s="42" t="str">
        <f aca="false">IF(OR(AE303="",$E303=""),"",AE303-$E303)</f>
        <v/>
      </c>
      <c r="AG303" s="39"/>
      <c r="AH303" s="40" t="str">
        <f aca="false">IF(OR(AG303="",BY303=""),"",AG303/BY303*100)</f>
        <v/>
      </c>
      <c r="AI303" s="41" t="str">
        <f aca="false">IF(AH303="","",IFERROR(MATCH(AH303,INDEX(Boundaries!$B$2:$I$30,MATCH(CM303,Boundaries!$A$2:$A$30,0),0),1)-1,""))</f>
        <v/>
      </c>
      <c r="AJ303" s="42" t="str">
        <f aca="false">IF(OR(AI303="",$E303=""),"",AI303-$E303)</f>
        <v/>
      </c>
      <c r="AK303" s="39"/>
      <c r="AL303" s="40" t="str">
        <f aca="false">IF(OR(AK303="",BZ303=""),"",AK303/BZ303*100)</f>
        <v/>
      </c>
      <c r="AM303" s="41" t="str">
        <f aca="false">IF(AL303="","",IFERROR(MATCH(AL303,INDEX(Boundaries!$B$2:$I$30,MATCH(CN303,Boundaries!$A$2:$A$30,0),0),1)-1,""))</f>
        <v/>
      </c>
      <c r="AN303" s="42" t="str">
        <f aca="false">IF(OR(AM303="",$E303=""),"",AM303-$E303)</f>
        <v/>
      </c>
      <c r="AO303" s="39"/>
      <c r="AP303" s="40" t="str">
        <f aca="false">IF(OR(AO303="",CA303=""),"",AO303/CA303*100)</f>
        <v/>
      </c>
      <c r="AQ303" s="41" t="str">
        <f aca="false">IF(AP303="","",IFERROR(MATCH(AP303,INDEX(Boundaries!$B$2:$I$30,MATCH(CO303,Boundaries!$A$2:$A$30,0),0),1)-1,""))</f>
        <v/>
      </c>
      <c r="AR303" s="42" t="str">
        <f aca="false">IF(OR(AQ303="",$E303=""),"",AQ303-$E303)</f>
        <v/>
      </c>
      <c r="AS303" s="39"/>
      <c r="AT303" s="40" t="str">
        <f aca="false">IF(OR(AS303="",CB303=""),"",AS303/CB303*100)</f>
        <v/>
      </c>
      <c r="AU303" s="41" t="str">
        <f aca="false">IF(AT303="","",IFERROR(MATCH(AT303,INDEX(Boundaries!$B$2:$I$30,MATCH(CP303,Boundaries!$A$2:$A$30,0),0),1)-1,""))</f>
        <v/>
      </c>
      <c r="AV303" s="42" t="str">
        <f aca="false">IF(OR(AU303="",$E303=""),"",AU303-$E303)</f>
        <v/>
      </c>
      <c r="AW303" s="39"/>
      <c r="AX303" s="40" t="str">
        <f aca="false">IF(OR(AW303="",CC303=""),"",AW303/CC303*100)</f>
        <v/>
      </c>
      <c r="AY303" s="41" t="str">
        <f aca="false">IF(AX303="","",IFERROR(MATCH(AX303,INDEX(Boundaries!$B$2:$I$30,MATCH(CQ303,Boundaries!$A$2:$A$30,0),0),1)-1,""))</f>
        <v/>
      </c>
      <c r="AZ303" s="42" t="str">
        <f aca="false">IF(OR(AY303="",$E303=""),"",AY303-$E303)</f>
        <v/>
      </c>
      <c r="BA303" s="39"/>
      <c r="BB303" s="40" t="str">
        <f aca="false">IF(OR(BA303="",CD303=""),"",BA303/CD303*100)</f>
        <v/>
      </c>
      <c r="BC303" s="41" t="str">
        <f aca="false">IF(BB303="","",IFERROR(MATCH(BB303,INDEX(Boundaries!$B$2:$I$30,MATCH(CR303,Boundaries!$A$2:$A$30,0),0),1)-1,""))</f>
        <v/>
      </c>
      <c r="BD303" s="42" t="str">
        <f aca="false">IF(OR(BC303="",$E303=""),"",BC303-$E303)</f>
        <v/>
      </c>
      <c r="BE303" s="39"/>
      <c r="BF303" s="40" t="str">
        <f aca="false">IF(OR(BE303="",CE303=""),"",BE303/CE303*100)</f>
        <v/>
      </c>
      <c r="BG303" s="41" t="str">
        <f aca="false">IF(BF303="","",IFERROR(MATCH(BF303,INDEX(Boundaries!$B$2:$I$30,MATCH(CS303,Boundaries!$A$2:$A$30,0),0),1)-1,""))</f>
        <v/>
      </c>
      <c r="BH303" s="42" t="str">
        <f aca="false">IF(OR(BG303="",$E303=""),"",BG303-$E303)</f>
        <v/>
      </c>
      <c r="BI303" s="39"/>
      <c r="BJ303" s="40" t="str">
        <f aca="false">IF(OR(BI303="",CF303=""),"",BI303/CF303*100)</f>
        <v/>
      </c>
      <c r="BK303" s="41" t="str">
        <f aca="false">IF(BJ303="","",IFERROR(MATCH(BJ303,INDEX(Boundaries!$B$2:$I$30,MATCH(CT303,Boundaries!$A$2:$A$30,0),0),1)-1,""))</f>
        <v/>
      </c>
      <c r="BL303" s="42" t="str">
        <f aca="false">IF(OR(BK303="",$E303=""),"",BK303-$E303)</f>
        <v/>
      </c>
      <c r="BM303" s="39"/>
      <c r="BN303" s="40" t="str">
        <f aca="false">IF(OR(BM303="",CG303=""),"",BM303/CG303*100)</f>
        <v/>
      </c>
      <c r="BO303" s="41" t="str">
        <f aca="false">IF(BN303="","",IFERROR(MATCH(BN303,INDEX(Boundaries!$B$2:$I$30,MATCH(CU303,Boundaries!$A$2:$A$30,0),0),1)-1,""))</f>
        <v/>
      </c>
      <c r="BP303" s="42" t="str">
        <f aca="false">IF(OR(BO303="",$E303=""),"",BO303-$E303)</f>
        <v/>
      </c>
      <c r="BQ303" s="39"/>
      <c r="BR303" s="40" t="str">
        <f aca="false">IF(OR(BQ303="",CH303=""),"",BQ303/CH303*100)</f>
        <v/>
      </c>
      <c r="BS303" s="41" t="str">
        <f aca="false">IF(BR303="","",IFERROR(MATCH(BR303,INDEX(Boundaries!$B$2:$I$30,MATCH(CV303,Boundaries!$A$2:$A$30,0),0),1)-1,""))</f>
        <v/>
      </c>
      <c r="BT303" s="42" t="str">
        <f aca="false">IF(OR(BS303="",$E303=""),"",BS303-$E303)</f>
        <v/>
      </c>
      <c r="BU303" s="28" t="n">
        <f aca="false">IFERROR(INDEX(Assessments!$H$2:$H$600,MATCH($H303&amp;"|"&amp;$I303&amp;"|"&amp;$J303&amp;"|"&amp;1,Assessments!$A$2:$A$600,0)),"")</f>
        <v>24</v>
      </c>
      <c r="BV303" s="28" t="n">
        <f aca="false">IFERROR(INDEX(Assessments!$H$2:$H$600,MATCH($H303&amp;"|"&amp;$I303&amp;"|"&amp;$J303&amp;"|"&amp;2,Assessments!$A$2:$A$600,0)),"")</f>
        <v>20</v>
      </c>
      <c r="BW303" s="28" t="n">
        <f aca="false">IFERROR(INDEX(Assessments!$H$2:$H$600,MATCH($H303&amp;"|"&amp;$I303&amp;"|"&amp;$J303&amp;"|"&amp;3,Assessments!$A$2:$A$600,0)),"")</f>
        <v>20</v>
      </c>
      <c r="BX303" s="28" t="n">
        <f aca="false">IFERROR(INDEX(Assessments!$H$2:$H$600,MATCH($H303&amp;"|"&amp;$I303&amp;"|"&amp;$J303&amp;"|"&amp;4,Assessments!$A$2:$A$600,0)),"")</f>
        <v>40</v>
      </c>
      <c r="BY303" s="28" t="n">
        <f aca="false">IFERROR(INDEX(Assessments!$H$2:$H$600,MATCH($H303&amp;"|"&amp;$I303&amp;"|"&amp;$J303&amp;"|"&amp;5,Assessments!$A$2:$A$600,0)),"")</f>
        <v>30</v>
      </c>
      <c r="BZ303" s="28" t="n">
        <f aca="false">IFERROR(INDEX(Assessments!$H$2:$H$600,MATCH($H303&amp;"|"&amp;$I303&amp;"|"&amp;$J303&amp;"|"&amp;6,Assessments!$A$2:$A$600,0)),"")</f>
        <v>20</v>
      </c>
      <c r="CA303" s="28" t="n">
        <f aca="false">IFERROR(INDEX(Assessments!$H$2:$H$600,MATCH($H303&amp;"|"&amp;$I303&amp;"|"&amp;$J303&amp;"|"&amp;7,Assessments!$A$2:$A$600,0)),"")</f>
        <v>50</v>
      </c>
      <c r="CB303" s="28" t="str">
        <f aca="false">IFERROR(INDEX(Assessments!$H$2:$H$600,MATCH($H303&amp;"|"&amp;$I303&amp;"|"&amp;$J303&amp;"|"&amp;8,Assessments!$A$2:$A$600,0)),"")</f>
        <v/>
      </c>
      <c r="CC303" s="28" t="str">
        <f aca="false">IFERROR(INDEX(Assessments!$H$2:$H$600,MATCH($H303&amp;"|"&amp;$I303&amp;"|"&amp;$J303&amp;"|"&amp;9,Assessments!$A$2:$A$600,0)),"")</f>
        <v/>
      </c>
      <c r="CD303" s="28" t="str">
        <f aca="false">IFERROR(INDEX(Assessments!$H$2:$H$600,MATCH($H303&amp;"|"&amp;$I303&amp;"|"&amp;$J303&amp;"|"&amp;10,Assessments!$A$2:$A$600,0)),"")</f>
        <v/>
      </c>
      <c r="CE303" s="28" t="str">
        <f aca="false">IFERROR(INDEX(Assessments!$H$2:$H$600,MATCH($H303&amp;"|"&amp;$I303&amp;"|"&amp;$J303&amp;"|"&amp;11,Assessments!$A$2:$A$600,0)),"")</f>
        <v/>
      </c>
      <c r="CF303" s="28" t="str">
        <f aca="false">IFERROR(INDEX(Assessments!$H$2:$H$600,MATCH($H303&amp;"|"&amp;$I303&amp;"|"&amp;$J303&amp;"|"&amp;12,Assessments!$A$2:$A$600,0)),"")</f>
        <v/>
      </c>
      <c r="CG303" s="28" t="str">
        <f aca="false">IFERROR(INDEX(Assessments!$H$2:$H$600,MATCH($H303&amp;"|"&amp;$I303&amp;"|"&amp;$J303&amp;"|"&amp;13,Assessments!$A$2:$A$600,0)),"")</f>
        <v/>
      </c>
      <c r="CH303" s="28" t="str">
        <f aca="false">IFERROR(INDEX(Assessments!$H$2:$H$600,MATCH($H303&amp;"|"&amp;$I303&amp;"|"&amp;$J303&amp;"|"&amp;14,Assessments!$A$2:$A$600,0)),"")</f>
        <v/>
      </c>
      <c r="CI303" s="28" t="str">
        <f aca="false">IFERROR(INDEX(Assessments!$I$2:$I$600,MATCH($H303&amp;"|"&amp;$I303&amp;"|"&amp;$J303&amp;"|"&amp;1,Assessments!$A$2:$A$600,0)),"")</f>
        <v>BM Test</v>
      </c>
      <c r="CJ303" s="28" t="str">
        <f aca="false">IFERROR(INDEX(Assessments!$I$2:$I$600,MATCH($H303&amp;"|"&amp;$I303&amp;"|"&amp;$J303&amp;"|"&amp;2,Assessments!$A$2:$A$600,0)),"")</f>
        <v>BM Test</v>
      </c>
      <c r="CK303" s="28" t="str">
        <f aca="false">IFERROR(INDEX(Assessments!$I$2:$I$600,MATCH($H303&amp;"|"&amp;$I303&amp;"|"&amp;$J303&amp;"|"&amp;3,Assessments!$A$2:$A$600,0)),"")</f>
        <v>BM Test</v>
      </c>
      <c r="CL303" s="28" t="str">
        <f aca="false">IFERROR(INDEX(Assessments!$I$2:$I$600,MATCH($H303&amp;"|"&amp;$I303&amp;"|"&amp;$J303&amp;"|"&amp;4,Assessments!$A$2:$A$600,0)),"")</f>
        <v>BM Exam</v>
      </c>
      <c r="CM303" s="28" t="str">
        <f aca="false">IFERROR(INDEX(Assessments!$I$2:$I$600,MATCH($H303&amp;"|"&amp;$I303&amp;"|"&amp;$J303&amp;"|"&amp;5,Assessments!$A$2:$A$600,0)),"")</f>
        <v>BM Test</v>
      </c>
      <c r="CN303" s="28" t="str">
        <f aca="false">IFERROR(INDEX(Assessments!$I$2:$I$600,MATCH($H303&amp;"|"&amp;$I303&amp;"|"&amp;$J303&amp;"|"&amp;6,Assessments!$A$2:$A$600,0)),"")</f>
        <v>BM Test</v>
      </c>
      <c r="CO303" s="28" t="str">
        <f aca="false">IFERROR(INDEX(Assessments!$I$2:$I$600,MATCH($H303&amp;"|"&amp;$I303&amp;"|"&amp;$J303&amp;"|"&amp;7,Assessments!$A$2:$A$600,0)),"")</f>
        <v>BM Exam</v>
      </c>
      <c r="CP303" s="28" t="str">
        <f aca="false">IFERROR(INDEX(Assessments!$I$2:$I$600,MATCH($H303&amp;"|"&amp;$I303&amp;"|"&amp;$J303&amp;"|"&amp;8,Assessments!$A$2:$A$600,0)),"")</f>
        <v/>
      </c>
      <c r="CQ303" s="28" t="str">
        <f aca="false">IFERROR(INDEX(Assessments!$I$2:$I$600,MATCH($H303&amp;"|"&amp;$I303&amp;"|"&amp;$J303&amp;"|"&amp;9,Assessments!$A$2:$A$600,0)),"")</f>
        <v/>
      </c>
      <c r="CR303" s="28" t="str">
        <f aca="false">IFERROR(INDEX(Assessments!$I$2:$I$600,MATCH($H303&amp;"|"&amp;$I303&amp;"|"&amp;$J303&amp;"|"&amp;10,Assessments!$A$2:$A$600,0)),"")</f>
        <v/>
      </c>
      <c r="CS303" s="28" t="str">
        <f aca="false">IFERROR(INDEX(Assessments!$I$2:$I$600,MATCH($H303&amp;"|"&amp;$I303&amp;"|"&amp;$J303&amp;"|"&amp;11,Assessments!$A$2:$A$600,0)),"")</f>
        <v/>
      </c>
      <c r="CT303" s="28" t="str">
        <f aca="false">IFERROR(INDEX(Assessments!$I$2:$I$600,MATCH($H303&amp;"|"&amp;$I303&amp;"|"&amp;$J303&amp;"|"&amp;12,Assessments!$A$2:$A$600,0)),"")</f>
        <v/>
      </c>
      <c r="CU303" s="28" t="str">
        <f aca="false">IFERROR(INDEX(Assessments!$I$2:$I$600,MATCH($H303&amp;"|"&amp;$I303&amp;"|"&amp;$J303&amp;"|"&amp;13,Assessments!$A$2:$A$600,0)),"")</f>
        <v/>
      </c>
      <c r="CV303" s="28" t="str">
        <f aca="false">IFERROR(INDEX(Assessments!$I$2:$I$600,MATCH($H303&amp;"|"&amp;$I303&amp;"|"&amp;$J303&amp;"|"&amp;14,Assessments!$A$2:$A$600,0)),"")</f>
        <v/>
      </c>
      <c r="CW303" s="28" t="n">
        <f aca="false">IFERROR(INDEX(Assessments!$J$2:$J$600,MATCH($H303&amp;"|"&amp;$I303&amp;"|"&amp;$J303&amp;"|"&amp;1,Assessments!$A$2:$A$600,0)),0)</f>
        <v>1</v>
      </c>
      <c r="CX303" s="28" t="n">
        <f aca="false">IFERROR(INDEX(Assessments!$J$2:$J$600,MATCH($H303&amp;"|"&amp;$I303&amp;"|"&amp;$J303&amp;"|"&amp;2,Assessments!$A$2:$A$600,0)),0)</f>
        <v>1</v>
      </c>
      <c r="CY303" s="28" t="n">
        <f aca="false">IFERROR(INDEX(Assessments!$J$2:$J$600,MATCH($H303&amp;"|"&amp;$I303&amp;"|"&amp;$J303&amp;"|"&amp;3,Assessments!$A$2:$A$600,0)),0)</f>
        <v>1</v>
      </c>
      <c r="CZ303" s="28" t="n">
        <f aca="false">IFERROR(INDEX(Assessments!$J$2:$J$600,MATCH($H303&amp;"|"&amp;$I303&amp;"|"&amp;$J303&amp;"|"&amp;4,Assessments!$A$2:$A$600,0)),0)</f>
        <v>2</v>
      </c>
      <c r="DA303" s="28" t="n">
        <f aca="false">IFERROR(INDEX(Assessments!$J$2:$J$600,MATCH($H303&amp;"|"&amp;$I303&amp;"|"&amp;$J303&amp;"|"&amp;5,Assessments!$A$2:$A$600,0)),0)</f>
        <v>1</v>
      </c>
      <c r="DB303" s="28" t="n">
        <f aca="false">IFERROR(INDEX(Assessments!$J$2:$J$600,MATCH($H303&amp;"|"&amp;$I303&amp;"|"&amp;$J303&amp;"|"&amp;6,Assessments!$A$2:$A$600,0)),0)</f>
        <v>1</v>
      </c>
      <c r="DC303" s="28" t="n">
        <f aca="false">IFERROR(INDEX(Assessments!$J$2:$J$600,MATCH($H303&amp;"|"&amp;$I303&amp;"|"&amp;$J303&amp;"|"&amp;7,Assessments!$A$2:$A$600,0)),0)</f>
        <v>2</v>
      </c>
      <c r="DD303" s="28" t="n">
        <f aca="false">IFERROR(INDEX(Assessments!$J$2:$J$600,MATCH($H303&amp;"|"&amp;$I303&amp;"|"&amp;$J303&amp;"|"&amp;8,Assessments!$A$2:$A$600,0)),0)</f>
        <v>0</v>
      </c>
      <c r="DE303" s="28" t="n">
        <f aca="false">IFERROR(INDEX(Assessments!$J$2:$J$600,MATCH($H303&amp;"|"&amp;$I303&amp;"|"&amp;$J303&amp;"|"&amp;9,Assessments!$A$2:$A$600,0)),0)</f>
        <v>0</v>
      </c>
      <c r="DF303" s="28" t="n">
        <f aca="false">IFERROR(INDEX(Assessments!$J$2:$J$600,MATCH($H303&amp;"|"&amp;$I303&amp;"|"&amp;$J303&amp;"|"&amp;10,Assessments!$A$2:$A$600,0)),0)</f>
        <v>0</v>
      </c>
      <c r="DG303" s="28" t="n">
        <f aca="false">IFERROR(INDEX(Assessments!$J$2:$J$600,MATCH($H303&amp;"|"&amp;$I303&amp;"|"&amp;$J303&amp;"|"&amp;11,Assessments!$A$2:$A$600,0)),0)</f>
        <v>0</v>
      </c>
      <c r="DH303" s="28" t="n">
        <f aca="false">IFERROR(INDEX(Assessments!$J$2:$J$600,MATCH($H303&amp;"|"&amp;$I303&amp;"|"&amp;$J303&amp;"|"&amp;12,Assessments!$A$2:$A$600,0)),0)</f>
        <v>0</v>
      </c>
      <c r="DI303" s="28" t="n">
        <f aca="false">IFERROR(INDEX(Assessments!$J$2:$J$600,MATCH($H303&amp;"|"&amp;$I303&amp;"|"&amp;$J303&amp;"|"&amp;13,Assessments!$A$2:$A$600,0)),0)</f>
        <v>0</v>
      </c>
      <c r="DJ303" s="28" t="n">
        <f aca="false">IFERROR(INDEX(Assessments!$J$2:$J$600,MATCH($H303&amp;"|"&amp;$I303&amp;"|"&amp;$J303&amp;"|"&amp;14,Assessments!$A$2:$A$600,0)),0)</f>
        <v>0</v>
      </c>
      <c r="DK303" s="28" t="n">
        <f aca="false">S303</f>
        <v>7</v>
      </c>
      <c r="DL303" s="28" t="str">
        <f aca="false">W303</f>
        <v/>
      </c>
      <c r="DM303" s="28" t="str">
        <f aca="false">AA303</f>
        <v/>
      </c>
      <c r="DN303" s="28" t="str">
        <f aca="false">AE303</f>
        <v/>
      </c>
      <c r="DO303" s="28" t="str">
        <f aca="false">AI303</f>
        <v/>
      </c>
      <c r="DP303" s="28" t="str">
        <f aca="false">AM303</f>
        <v/>
      </c>
      <c r="DQ303" s="28" t="str">
        <f aca="false">AQ303</f>
        <v/>
      </c>
      <c r="DR303" s="28" t="str">
        <f aca="false">AU303</f>
        <v/>
      </c>
      <c r="DS303" s="28" t="str">
        <f aca="false">AY303</f>
        <v/>
      </c>
      <c r="DT303" s="28" t="str">
        <f aca="false">BC303</f>
        <v/>
      </c>
      <c r="DU303" s="28" t="str">
        <f aca="false">BG303</f>
        <v/>
      </c>
      <c r="DV303" s="28" t="str">
        <f aca="false">BK303</f>
        <v/>
      </c>
      <c r="DW303" s="28" t="str">
        <f aca="false">BO303</f>
        <v/>
      </c>
      <c r="DX303" s="28" t="str">
        <f aca="false">BS303</f>
        <v/>
      </c>
      <c r="DY303" s="28" t="n">
        <f aca="false">IF(ISNUMBER(S303),1,"")</f>
        <v>1</v>
      </c>
      <c r="DZ303" s="28" t="str">
        <f aca="false">IF(ISNUMBER(W303),2,"")</f>
        <v/>
      </c>
      <c r="EA303" s="28" t="str">
        <f aca="false">IF(ISNUMBER(AA303),3,"")</f>
        <v/>
      </c>
      <c r="EB303" s="28" t="str">
        <f aca="false">IF(ISNUMBER(AE303),4,"")</f>
        <v/>
      </c>
      <c r="EC303" s="28" t="str">
        <f aca="false">IF(ISNUMBER(AI303),5,"")</f>
        <v/>
      </c>
      <c r="ED303" s="28" t="str">
        <f aca="false">IF(ISNUMBER(AM303),6,"")</f>
        <v/>
      </c>
      <c r="EE303" s="28" t="str">
        <f aca="false">IF(ISNUMBER(AQ303),7,"")</f>
        <v/>
      </c>
      <c r="EF303" s="28" t="str">
        <f aca="false">IF(ISNUMBER(AU303),8,"")</f>
        <v/>
      </c>
      <c r="EG303" s="28" t="str">
        <f aca="false">IF(ISNUMBER(AY303),9,"")</f>
        <v/>
      </c>
      <c r="EH303" s="28" t="str">
        <f aca="false">IF(ISNUMBER(BC303),10,"")</f>
        <v/>
      </c>
      <c r="EI303" s="28" t="str">
        <f aca="false">IF(ISNUMBER(BG303),11,"")</f>
        <v/>
      </c>
      <c r="EJ303" s="28" t="str">
        <f aca="false">IF(ISNUMBER(BK303),12,"")</f>
        <v/>
      </c>
      <c r="EK303" s="28" t="str">
        <f aca="false">IF(ISNUMBER(BO303),13,"")</f>
        <v/>
      </c>
      <c r="EL303" s="28" t="str">
        <f aca="false">IF(ISNUMBER(BS303),14,"")</f>
        <v/>
      </c>
      <c r="EM303" s="28" t="n">
        <f aca="false">IF(ISNUMBER(R303),R303*CW303,0)</f>
        <v>100</v>
      </c>
      <c r="EN303" s="28" t="n">
        <f aca="false">IF(ISNUMBER(V303),V303*CX303,0)</f>
        <v>0</v>
      </c>
      <c r="EO303" s="28" t="n">
        <f aca="false">IF(ISNUMBER(Z303),Z303*CY303,0)</f>
        <v>0</v>
      </c>
      <c r="EP303" s="28" t="n">
        <f aca="false">IF(ISNUMBER(AD303),AD303*CZ303,0)</f>
        <v>0</v>
      </c>
      <c r="EQ303" s="28" t="n">
        <f aca="false">IF(ISNUMBER(AH303),AH303*DA303,0)</f>
        <v>0</v>
      </c>
      <c r="ER303" s="28" t="n">
        <f aca="false">IF(ISNUMBER(AL303),AL303*DB303,0)</f>
        <v>0</v>
      </c>
      <c r="ES303" s="28" t="n">
        <f aca="false">IF(ISNUMBER(AP303),AP303*DC303,0)</f>
        <v>0</v>
      </c>
      <c r="ET303" s="28" t="n">
        <f aca="false">IF(ISNUMBER(AT303),AT303*DD303,0)</f>
        <v>0</v>
      </c>
      <c r="EU303" s="28" t="n">
        <f aca="false">IF(ISNUMBER(AX303),AX303*DE303,0)</f>
        <v>0</v>
      </c>
      <c r="EV303" s="28" t="n">
        <f aca="false">IF(ISNUMBER(BB303),BB303*DF303,0)</f>
        <v>0</v>
      </c>
      <c r="EW303" s="28" t="n">
        <f aca="false">IF(ISNUMBER(BF303),BF303*DG303,0)</f>
        <v>0</v>
      </c>
      <c r="EX303" s="28" t="n">
        <f aca="false">IF(ISNUMBER(BJ303),BJ303*DH303,0)</f>
        <v>0</v>
      </c>
      <c r="EY303" s="28" t="n">
        <f aca="false">IF(ISNUMBER(BN303),BN303*DI303,0)</f>
        <v>0</v>
      </c>
      <c r="EZ303" s="28" t="n">
        <f aca="false">IF(ISNUMBER(BR303),BR303*DJ303,0)</f>
        <v>0</v>
      </c>
      <c r="FA303" s="28" t="n">
        <f aca="false">IF(ISNUMBER(R303),CW303,0)</f>
        <v>1</v>
      </c>
      <c r="FB303" s="28" t="n">
        <f aca="false">IF(ISNUMBER(V303),CX303,0)</f>
        <v>0</v>
      </c>
      <c r="FC303" s="28" t="n">
        <f aca="false">IF(ISNUMBER(Z303),CY303,0)</f>
        <v>0</v>
      </c>
      <c r="FD303" s="28" t="n">
        <f aca="false">IF(ISNUMBER(AD303),CZ303,0)</f>
        <v>0</v>
      </c>
      <c r="FE303" s="28" t="n">
        <f aca="false">IF(ISNUMBER(AH303),DA303,0)</f>
        <v>0</v>
      </c>
      <c r="FF303" s="28" t="n">
        <f aca="false">IF(ISNUMBER(AL303),DB303,0)</f>
        <v>0</v>
      </c>
      <c r="FG303" s="28" t="n">
        <f aca="false">IF(ISNUMBER(AP303),DC303,0)</f>
        <v>0</v>
      </c>
      <c r="FH303" s="28" t="n">
        <f aca="false">IF(ISNUMBER(AT303),DD303,0)</f>
        <v>0</v>
      </c>
      <c r="FI303" s="28" t="n">
        <f aca="false">IF(ISNUMBER(AX303),DE303,0)</f>
        <v>0</v>
      </c>
      <c r="FJ303" s="28" t="n">
        <f aca="false">IF(ISNUMBER(BB303),DF303,0)</f>
        <v>0</v>
      </c>
      <c r="FK303" s="28" t="n">
        <f aca="false">IF(ISNUMBER(BF303),DG303,0)</f>
        <v>0</v>
      </c>
      <c r="FL303" s="28" t="n">
        <f aca="false">IF(ISNUMBER(BJ303),DH303,0)</f>
        <v>0</v>
      </c>
      <c r="FM303" s="28" t="n">
        <f aca="false">IF(ISNUMBER(BN303),DI303,0)</f>
        <v>0</v>
      </c>
      <c r="FN303" s="28" t="n">
        <f aca="false">IF(ISNUMBER(BR303),DJ303,0)</f>
        <v>0</v>
      </c>
      <c r="FO303" s="28" t="str">
        <f aca="false">IFERROR(INDEX(Lists!$G$2:$G$20,MATCH($I303&amp;"|"&amp;$J303,Lists!$F$2:$F$20,0)),"")</f>
        <v>BM Exam</v>
      </c>
    </row>
    <row r="304" customFormat="false" ht="19.5" hidden="false" customHeight="true" outlineLevel="0" collapsed="false">
      <c r="A304" s="29" t="s">
        <v>599</v>
      </c>
      <c r="B304" s="29" t="s">
        <v>600</v>
      </c>
      <c r="C304" s="30" t="s">
        <v>152</v>
      </c>
      <c r="D304" s="30" t="s">
        <v>364</v>
      </c>
      <c r="E304" s="31"/>
      <c r="F304" s="30"/>
      <c r="G304" s="30"/>
      <c r="H304" s="32" t="s">
        <v>428</v>
      </c>
      <c r="I304" s="33" t="s">
        <v>365</v>
      </c>
      <c r="J304" s="32" t="s">
        <v>25</v>
      </c>
      <c r="K304" s="34" t="str">
        <f aca="false">IF(OR(M304="",$E304=""),"",M304-$E304)</f>
        <v/>
      </c>
      <c r="L304" s="35" t="n">
        <f aca="false">IF(SUM(FA304:FN304)=0,"",SUM(EM304:EZ304)/SUM(FA304:FN304))</f>
        <v>41.6666666666667</v>
      </c>
      <c r="M304" s="36" t="n">
        <f aca="false">IF(OR(L304="",FO304=""),"",IFERROR(MATCH(L304,INDEX(Boundaries!$B$2:$I$30,MATCH(FO304,Boundaries!$A$2:$A$30,0),0),1)-1,""))</f>
        <v>4</v>
      </c>
      <c r="N304" s="37" t="str">
        <f aca="false">IF(COUNT($DY304:$EL304)&lt;2,"",INDEX($DK304:$DX304,MAX($DY304:$EL304))-INDEX($DK304:$DX304,MIN($DY304:$EL304)))</f>
        <v/>
      </c>
      <c r="O304" s="37" t="str">
        <f aca="false">IF(COUNT($DY304:$EL304)&lt;2,"",INDEX($DK304:$DX304,MAX($DY304:$EL304))-INDEX($DK304:$DX304,LARGE($DY304:$EL304,2)))</f>
        <v/>
      </c>
      <c r="P304" s="38" t="str">
        <f aca="false">IF(K304="","",IF(K304&gt;=0,"On/above target",IF(AND(N304&lt;&gt;"",N304&gt;=0.5),"Improving towards target",IF(AND(O304&lt;&gt;"",O304&lt;=-0.5),"Declining","Stable below target"))))</f>
        <v/>
      </c>
      <c r="Q304" s="39" t="n">
        <v>10</v>
      </c>
      <c r="R304" s="40" t="n">
        <f aca="false">IF(OR(Q304="",BU304=""),"",Q304/BU304*100)</f>
        <v>41.6666666666667</v>
      </c>
      <c r="S304" s="41" t="n">
        <f aca="false">IF(R304="","",IFERROR(MATCH(R304,INDEX(Boundaries!$B$2:$I$30,MATCH(CI304,Boundaries!$A$2:$A$30,0),0),1)-1,""))</f>
        <v>4</v>
      </c>
      <c r="T304" s="42" t="str">
        <f aca="false">IF(OR(S304="",$E304=""),"",S304-$E304)</f>
        <v/>
      </c>
      <c r="U304" s="39"/>
      <c r="V304" s="40" t="str">
        <f aca="false">IF(OR(U304="",BV304=""),"",U304/BV304*100)</f>
        <v/>
      </c>
      <c r="W304" s="41" t="str">
        <f aca="false">IF(V304="","",IFERROR(MATCH(V304,INDEX(Boundaries!$B$2:$I$30,MATCH(CJ304,Boundaries!$A$2:$A$30,0),0),1)-1,""))</f>
        <v/>
      </c>
      <c r="X304" s="42" t="str">
        <f aca="false">IF(OR(W304="",$E304=""),"",W304-$E304)</f>
        <v/>
      </c>
      <c r="Y304" s="39"/>
      <c r="Z304" s="40" t="str">
        <f aca="false">IF(OR(Y304="",BW304=""),"",Y304/BW304*100)</f>
        <v/>
      </c>
      <c r="AA304" s="41" t="str">
        <f aca="false">IF(Z304="","",IFERROR(MATCH(Z304,INDEX(Boundaries!$B$2:$I$30,MATCH(CK304,Boundaries!$A$2:$A$30,0),0),1)-1,""))</f>
        <v/>
      </c>
      <c r="AB304" s="42" t="str">
        <f aca="false">IF(OR(AA304="",$E304=""),"",AA304-$E304)</f>
        <v/>
      </c>
      <c r="AC304" s="39"/>
      <c r="AD304" s="40" t="str">
        <f aca="false">IF(OR(AC304="",BX304=""),"",AC304/BX304*100)</f>
        <v/>
      </c>
      <c r="AE304" s="41" t="str">
        <f aca="false">IF(AD304="","",IFERROR(MATCH(AD304,INDEX(Boundaries!$B$2:$I$30,MATCH(CL304,Boundaries!$A$2:$A$30,0),0),1)-1,""))</f>
        <v/>
      </c>
      <c r="AF304" s="42" t="str">
        <f aca="false">IF(OR(AE304="",$E304=""),"",AE304-$E304)</f>
        <v/>
      </c>
      <c r="AG304" s="39"/>
      <c r="AH304" s="40" t="str">
        <f aca="false">IF(OR(AG304="",BY304=""),"",AG304/BY304*100)</f>
        <v/>
      </c>
      <c r="AI304" s="41" t="str">
        <f aca="false">IF(AH304="","",IFERROR(MATCH(AH304,INDEX(Boundaries!$B$2:$I$30,MATCH(CM304,Boundaries!$A$2:$A$30,0),0),1)-1,""))</f>
        <v/>
      </c>
      <c r="AJ304" s="42" t="str">
        <f aca="false">IF(OR(AI304="",$E304=""),"",AI304-$E304)</f>
        <v/>
      </c>
      <c r="AK304" s="39"/>
      <c r="AL304" s="40" t="str">
        <f aca="false">IF(OR(AK304="",BZ304=""),"",AK304/BZ304*100)</f>
        <v/>
      </c>
      <c r="AM304" s="41" t="str">
        <f aca="false">IF(AL304="","",IFERROR(MATCH(AL304,INDEX(Boundaries!$B$2:$I$30,MATCH(CN304,Boundaries!$A$2:$A$30,0),0),1)-1,""))</f>
        <v/>
      </c>
      <c r="AN304" s="42" t="str">
        <f aca="false">IF(OR(AM304="",$E304=""),"",AM304-$E304)</f>
        <v/>
      </c>
      <c r="AO304" s="39"/>
      <c r="AP304" s="40" t="str">
        <f aca="false">IF(OR(AO304="",CA304=""),"",AO304/CA304*100)</f>
        <v/>
      </c>
      <c r="AQ304" s="41" t="str">
        <f aca="false">IF(AP304="","",IFERROR(MATCH(AP304,INDEX(Boundaries!$B$2:$I$30,MATCH(CO304,Boundaries!$A$2:$A$30,0),0),1)-1,""))</f>
        <v/>
      </c>
      <c r="AR304" s="42" t="str">
        <f aca="false">IF(OR(AQ304="",$E304=""),"",AQ304-$E304)</f>
        <v/>
      </c>
      <c r="AS304" s="39"/>
      <c r="AT304" s="40" t="str">
        <f aca="false">IF(OR(AS304="",CB304=""),"",AS304/CB304*100)</f>
        <v/>
      </c>
      <c r="AU304" s="41" t="str">
        <f aca="false">IF(AT304="","",IFERROR(MATCH(AT304,INDEX(Boundaries!$B$2:$I$30,MATCH(CP304,Boundaries!$A$2:$A$30,0),0),1)-1,""))</f>
        <v/>
      </c>
      <c r="AV304" s="42" t="str">
        <f aca="false">IF(OR(AU304="",$E304=""),"",AU304-$E304)</f>
        <v/>
      </c>
      <c r="AW304" s="39"/>
      <c r="AX304" s="40" t="str">
        <f aca="false">IF(OR(AW304="",CC304=""),"",AW304/CC304*100)</f>
        <v/>
      </c>
      <c r="AY304" s="41" t="str">
        <f aca="false">IF(AX304="","",IFERROR(MATCH(AX304,INDEX(Boundaries!$B$2:$I$30,MATCH(CQ304,Boundaries!$A$2:$A$30,0),0),1)-1,""))</f>
        <v/>
      </c>
      <c r="AZ304" s="42" t="str">
        <f aca="false">IF(OR(AY304="",$E304=""),"",AY304-$E304)</f>
        <v/>
      </c>
      <c r="BA304" s="39"/>
      <c r="BB304" s="40" t="str">
        <f aca="false">IF(OR(BA304="",CD304=""),"",BA304/CD304*100)</f>
        <v/>
      </c>
      <c r="BC304" s="41" t="str">
        <f aca="false">IF(BB304="","",IFERROR(MATCH(BB304,INDEX(Boundaries!$B$2:$I$30,MATCH(CR304,Boundaries!$A$2:$A$30,0),0),1)-1,""))</f>
        <v/>
      </c>
      <c r="BD304" s="42" t="str">
        <f aca="false">IF(OR(BC304="",$E304=""),"",BC304-$E304)</f>
        <v/>
      </c>
      <c r="BE304" s="39"/>
      <c r="BF304" s="40" t="str">
        <f aca="false">IF(OR(BE304="",CE304=""),"",BE304/CE304*100)</f>
        <v/>
      </c>
      <c r="BG304" s="41" t="str">
        <f aca="false">IF(BF304="","",IFERROR(MATCH(BF304,INDEX(Boundaries!$B$2:$I$30,MATCH(CS304,Boundaries!$A$2:$A$30,0),0),1)-1,""))</f>
        <v/>
      </c>
      <c r="BH304" s="42" t="str">
        <f aca="false">IF(OR(BG304="",$E304=""),"",BG304-$E304)</f>
        <v/>
      </c>
      <c r="BI304" s="39"/>
      <c r="BJ304" s="40" t="str">
        <f aca="false">IF(OR(BI304="",CF304=""),"",BI304/CF304*100)</f>
        <v/>
      </c>
      <c r="BK304" s="41" t="str">
        <f aca="false">IF(BJ304="","",IFERROR(MATCH(BJ304,INDEX(Boundaries!$B$2:$I$30,MATCH(CT304,Boundaries!$A$2:$A$30,0),0),1)-1,""))</f>
        <v/>
      </c>
      <c r="BL304" s="42" t="str">
        <f aca="false">IF(OR(BK304="",$E304=""),"",BK304-$E304)</f>
        <v/>
      </c>
      <c r="BM304" s="39"/>
      <c r="BN304" s="40" t="str">
        <f aca="false">IF(OR(BM304="",CG304=""),"",BM304/CG304*100)</f>
        <v/>
      </c>
      <c r="BO304" s="41" t="str">
        <f aca="false">IF(BN304="","",IFERROR(MATCH(BN304,INDEX(Boundaries!$B$2:$I$30,MATCH(CU304,Boundaries!$A$2:$A$30,0),0),1)-1,""))</f>
        <v/>
      </c>
      <c r="BP304" s="42" t="str">
        <f aca="false">IF(OR(BO304="",$E304=""),"",BO304-$E304)</f>
        <v/>
      </c>
      <c r="BQ304" s="39"/>
      <c r="BR304" s="40" t="str">
        <f aca="false">IF(OR(BQ304="",CH304=""),"",BQ304/CH304*100)</f>
        <v/>
      </c>
      <c r="BS304" s="41" t="str">
        <f aca="false">IF(BR304="","",IFERROR(MATCH(BR304,INDEX(Boundaries!$B$2:$I$30,MATCH(CV304,Boundaries!$A$2:$A$30,0),0),1)-1,""))</f>
        <v/>
      </c>
      <c r="BT304" s="42" t="str">
        <f aca="false">IF(OR(BS304="",$E304=""),"",BS304-$E304)</f>
        <v/>
      </c>
      <c r="BU304" s="28" t="n">
        <f aca="false">IFERROR(INDEX(Assessments!$H$2:$H$600,MATCH($H304&amp;"|"&amp;$I304&amp;"|"&amp;$J304&amp;"|"&amp;1,Assessments!$A$2:$A$600,0)),"")</f>
        <v>24</v>
      </c>
      <c r="BV304" s="28" t="n">
        <f aca="false">IFERROR(INDEX(Assessments!$H$2:$H$600,MATCH($H304&amp;"|"&amp;$I304&amp;"|"&amp;$J304&amp;"|"&amp;2,Assessments!$A$2:$A$600,0)),"")</f>
        <v>20</v>
      </c>
      <c r="BW304" s="28" t="n">
        <f aca="false">IFERROR(INDEX(Assessments!$H$2:$H$600,MATCH($H304&amp;"|"&amp;$I304&amp;"|"&amp;$J304&amp;"|"&amp;3,Assessments!$A$2:$A$600,0)),"")</f>
        <v>20</v>
      </c>
      <c r="BX304" s="28" t="n">
        <f aca="false">IFERROR(INDEX(Assessments!$H$2:$H$600,MATCH($H304&amp;"|"&amp;$I304&amp;"|"&amp;$J304&amp;"|"&amp;4,Assessments!$A$2:$A$600,0)),"")</f>
        <v>40</v>
      </c>
      <c r="BY304" s="28" t="n">
        <f aca="false">IFERROR(INDEX(Assessments!$H$2:$H$600,MATCH($H304&amp;"|"&amp;$I304&amp;"|"&amp;$J304&amp;"|"&amp;5,Assessments!$A$2:$A$600,0)),"")</f>
        <v>30</v>
      </c>
      <c r="BZ304" s="28" t="n">
        <f aca="false">IFERROR(INDEX(Assessments!$H$2:$H$600,MATCH($H304&amp;"|"&amp;$I304&amp;"|"&amp;$J304&amp;"|"&amp;6,Assessments!$A$2:$A$600,0)),"")</f>
        <v>20</v>
      </c>
      <c r="CA304" s="28" t="n">
        <f aca="false">IFERROR(INDEX(Assessments!$H$2:$H$600,MATCH($H304&amp;"|"&amp;$I304&amp;"|"&amp;$J304&amp;"|"&amp;7,Assessments!$A$2:$A$600,0)),"")</f>
        <v>50</v>
      </c>
      <c r="CB304" s="28" t="str">
        <f aca="false">IFERROR(INDEX(Assessments!$H$2:$H$600,MATCH($H304&amp;"|"&amp;$I304&amp;"|"&amp;$J304&amp;"|"&amp;8,Assessments!$A$2:$A$600,0)),"")</f>
        <v/>
      </c>
      <c r="CC304" s="28" t="str">
        <f aca="false">IFERROR(INDEX(Assessments!$H$2:$H$600,MATCH($H304&amp;"|"&amp;$I304&amp;"|"&amp;$J304&amp;"|"&amp;9,Assessments!$A$2:$A$600,0)),"")</f>
        <v/>
      </c>
      <c r="CD304" s="28" t="str">
        <f aca="false">IFERROR(INDEX(Assessments!$H$2:$H$600,MATCH($H304&amp;"|"&amp;$I304&amp;"|"&amp;$J304&amp;"|"&amp;10,Assessments!$A$2:$A$600,0)),"")</f>
        <v/>
      </c>
      <c r="CE304" s="28" t="str">
        <f aca="false">IFERROR(INDEX(Assessments!$H$2:$H$600,MATCH($H304&amp;"|"&amp;$I304&amp;"|"&amp;$J304&amp;"|"&amp;11,Assessments!$A$2:$A$600,0)),"")</f>
        <v/>
      </c>
      <c r="CF304" s="28" t="str">
        <f aca="false">IFERROR(INDEX(Assessments!$H$2:$H$600,MATCH($H304&amp;"|"&amp;$I304&amp;"|"&amp;$J304&amp;"|"&amp;12,Assessments!$A$2:$A$600,0)),"")</f>
        <v/>
      </c>
      <c r="CG304" s="28" t="str">
        <f aca="false">IFERROR(INDEX(Assessments!$H$2:$H$600,MATCH($H304&amp;"|"&amp;$I304&amp;"|"&amp;$J304&amp;"|"&amp;13,Assessments!$A$2:$A$600,0)),"")</f>
        <v/>
      </c>
      <c r="CH304" s="28" t="str">
        <f aca="false">IFERROR(INDEX(Assessments!$H$2:$H$600,MATCH($H304&amp;"|"&amp;$I304&amp;"|"&amp;$J304&amp;"|"&amp;14,Assessments!$A$2:$A$600,0)),"")</f>
        <v/>
      </c>
      <c r="CI304" s="28" t="str">
        <f aca="false">IFERROR(INDEX(Assessments!$I$2:$I$600,MATCH($H304&amp;"|"&amp;$I304&amp;"|"&amp;$J304&amp;"|"&amp;1,Assessments!$A$2:$A$600,0)),"")</f>
        <v>BM Test</v>
      </c>
      <c r="CJ304" s="28" t="str">
        <f aca="false">IFERROR(INDEX(Assessments!$I$2:$I$600,MATCH($H304&amp;"|"&amp;$I304&amp;"|"&amp;$J304&amp;"|"&amp;2,Assessments!$A$2:$A$600,0)),"")</f>
        <v>BM Test</v>
      </c>
      <c r="CK304" s="28" t="str">
        <f aca="false">IFERROR(INDEX(Assessments!$I$2:$I$600,MATCH($H304&amp;"|"&amp;$I304&amp;"|"&amp;$J304&amp;"|"&amp;3,Assessments!$A$2:$A$600,0)),"")</f>
        <v>BM Test</v>
      </c>
      <c r="CL304" s="28" t="str">
        <f aca="false">IFERROR(INDEX(Assessments!$I$2:$I$600,MATCH($H304&amp;"|"&amp;$I304&amp;"|"&amp;$J304&amp;"|"&amp;4,Assessments!$A$2:$A$600,0)),"")</f>
        <v>BM Exam</v>
      </c>
      <c r="CM304" s="28" t="str">
        <f aca="false">IFERROR(INDEX(Assessments!$I$2:$I$600,MATCH($H304&amp;"|"&amp;$I304&amp;"|"&amp;$J304&amp;"|"&amp;5,Assessments!$A$2:$A$600,0)),"")</f>
        <v>BM Test</v>
      </c>
      <c r="CN304" s="28" t="str">
        <f aca="false">IFERROR(INDEX(Assessments!$I$2:$I$600,MATCH($H304&amp;"|"&amp;$I304&amp;"|"&amp;$J304&amp;"|"&amp;6,Assessments!$A$2:$A$600,0)),"")</f>
        <v>BM Test</v>
      </c>
      <c r="CO304" s="28" t="str">
        <f aca="false">IFERROR(INDEX(Assessments!$I$2:$I$600,MATCH($H304&amp;"|"&amp;$I304&amp;"|"&amp;$J304&amp;"|"&amp;7,Assessments!$A$2:$A$600,0)),"")</f>
        <v>BM Exam</v>
      </c>
      <c r="CP304" s="28" t="str">
        <f aca="false">IFERROR(INDEX(Assessments!$I$2:$I$600,MATCH($H304&amp;"|"&amp;$I304&amp;"|"&amp;$J304&amp;"|"&amp;8,Assessments!$A$2:$A$600,0)),"")</f>
        <v/>
      </c>
      <c r="CQ304" s="28" t="str">
        <f aca="false">IFERROR(INDEX(Assessments!$I$2:$I$600,MATCH($H304&amp;"|"&amp;$I304&amp;"|"&amp;$J304&amp;"|"&amp;9,Assessments!$A$2:$A$600,0)),"")</f>
        <v/>
      </c>
      <c r="CR304" s="28" t="str">
        <f aca="false">IFERROR(INDEX(Assessments!$I$2:$I$600,MATCH($H304&amp;"|"&amp;$I304&amp;"|"&amp;$J304&amp;"|"&amp;10,Assessments!$A$2:$A$600,0)),"")</f>
        <v/>
      </c>
      <c r="CS304" s="28" t="str">
        <f aca="false">IFERROR(INDEX(Assessments!$I$2:$I$600,MATCH($H304&amp;"|"&amp;$I304&amp;"|"&amp;$J304&amp;"|"&amp;11,Assessments!$A$2:$A$600,0)),"")</f>
        <v/>
      </c>
      <c r="CT304" s="28" t="str">
        <f aca="false">IFERROR(INDEX(Assessments!$I$2:$I$600,MATCH($H304&amp;"|"&amp;$I304&amp;"|"&amp;$J304&amp;"|"&amp;12,Assessments!$A$2:$A$600,0)),"")</f>
        <v/>
      </c>
      <c r="CU304" s="28" t="str">
        <f aca="false">IFERROR(INDEX(Assessments!$I$2:$I$600,MATCH($H304&amp;"|"&amp;$I304&amp;"|"&amp;$J304&amp;"|"&amp;13,Assessments!$A$2:$A$600,0)),"")</f>
        <v/>
      </c>
      <c r="CV304" s="28" t="str">
        <f aca="false">IFERROR(INDEX(Assessments!$I$2:$I$600,MATCH($H304&amp;"|"&amp;$I304&amp;"|"&amp;$J304&amp;"|"&amp;14,Assessments!$A$2:$A$600,0)),"")</f>
        <v/>
      </c>
      <c r="CW304" s="28" t="n">
        <f aca="false">IFERROR(INDEX(Assessments!$J$2:$J$600,MATCH($H304&amp;"|"&amp;$I304&amp;"|"&amp;$J304&amp;"|"&amp;1,Assessments!$A$2:$A$600,0)),0)</f>
        <v>1</v>
      </c>
      <c r="CX304" s="28" t="n">
        <f aca="false">IFERROR(INDEX(Assessments!$J$2:$J$600,MATCH($H304&amp;"|"&amp;$I304&amp;"|"&amp;$J304&amp;"|"&amp;2,Assessments!$A$2:$A$600,0)),0)</f>
        <v>1</v>
      </c>
      <c r="CY304" s="28" t="n">
        <f aca="false">IFERROR(INDEX(Assessments!$J$2:$J$600,MATCH($H304&amp;"|"&amp;$I304&amp;"|"&amp;$J304&amp;"|"&amp;3,Assessments!$A$2:$A$600,0)),0)</f>
        <v>1</v>
      </c>
      <c r="CZ304" s="28" t="n">
        <f aca="false">IFERROR(INDEX(Assessments!$J$2:$J$600,MATCH($H304&amp;"|"&amp;$I304&amp;"|"&amp;$J304&amp;"|"&amp;4,Assessments!$A$2:$A$600,0)),0)</f>
        <v>2</v>
      </c>
      <c r="DA304" s="28" t="n">
        <f aca="false">IFERROR(INDEX(Assessments!$J$2:$J$600,MATCH($H304&amp;"|"&amp;$I304&amp;"|"&amp;$J304&amp;"|"&amp;5,Assessments!$A$2:$A$600,0)),0)</f>
        <v>1</v>
      </c>
      <c r="DB304" s="28" t="n">
        <f aca="false">IFERROR(INDEX(Assessments!$J$2:$J$600,MATCH($H304&amp;"|"&amp;$I304&amp;"|"&amp;$J304&amp;"|"&amp;6,Assessments!$A$2:$A$600,0)),0)</f>
        <v>1</v>
      </c>
      <c r="DC304" s="28" t="n">
        <f aca="false">IFERROR(INDEX(Assessments!$J$2:$J$600,MATCH($H304&amp;"|"&amp;$I304&amp;"|"&amp;$J304&amp;"|"&amp;7,Assessments!$A$2:$A$600,0)),0)</f>
        <v>2</v>
      </c>
      <c r="DD304" s="28" t="n">
        <f aca="false">IFERROR(INDEX(Assessments!$J$2:$J$600,MATCH($H304&amp;"|"&amp;$I304&amp;"|"&amp;$J304&amp;"|"&amp;8,Assessments!$A$2:$A$600,0)),0)</f>
        <v>0</v>
      </c>
      <c r="DE304" s="28" t="n">
        <f aca="false">IFERROR(INDEX(Assessments!$J$2:$J$600,MATCH($H304&amp;"|"&amp;$I304&amp;"|"&amp;$J304&amp;"|"&amp;9,Assessments!$A$2:$A$600,0)),0)</f>
        <v>0</v>
      </c>
      <c r="DF304" s="28" t="n">
        <f aca="false">IFERROR(INDEX(Assessments!$J$2:$J$600,MATCH($H304&amp;"|"&amp;$I304&amp;"|"&amp;$J304&amp;"|"&amp;10,Assessments!$A$2:$A$600,0)),0)</f>
        <v>0</v>
      </c>
      <c r="DG304" s="28" t="n">
        <f aca="false">IFERROR(INDEX(Assessments!$J$2:$J$600,MATCH($H304&amp;"|"&amp;$I304&amp;"|"&amp;$J304&amp;"|"&amp;11,Assessments!$A$2:$A$600,0)),0)</f>
        <v>0</v>
      </c>
      <c r="DH304" s="28" t="n">
        <f aca="false">IFERROR(INDEX(Assessments!$J$2:$J$600,MATCH($H304&amp;"|"&amp;$I304&amp;"|"&amp;$J304&amp;"|"&amp;12,Assessments!$A$2:$A$600,0)),0)</f>
        <v>0</v>
      </c>
      <c r="DI304" s="28" t="n">
        <f aca="false">IFERROR(INDEX(Assessments!$J$2:$J$600,MATCH($H304&amp;"|"&amp;$I304&amp;"|"&amp;$J304&amp;"|"&amp;13,Assessments!$A$2:$A$600,0)),0)</f>
        <v>0</v>
      </c>
      <c r="DJ304" s="28" t="n">
        <f aca="false">IFERROR(INDEX(Assessments!$J$2:$J$600,MATCH($H304&amp;"|"&amp;$I304&amp;"|"&amp;$J304&amp;"|"&amp;14,Assessments!$A$2:$A$600,0)),0)</f>
        <v>0</v>
      </c>
      <c r="DK304" s="28" t="n">
        <f aca="false">S304</f>
        <v>4</v>
      </c>
      <c r="DL304" s="28" t="str">
        <f aca="false">W304</f>
        <v/>
      </c>
      <c r="DM304" s="28" t="str">
        <f aca="false">AA304</f>
        <v/>
      </c>
      <c r="DN304" s="28" t="str">
        <f aca="false">AE304</f>
        <v/>
      </c>
      <c r="DO304" s="28" t="str">
        <f aca="false">AI304</f>
        <v/>
      </c>
      <c r="DP304" s="28" t="str">
        <f aca="false">AM304</f>
        <v/>
      </c>
      <c r="DQ304" s="28" t="str">
        <f aca="false">AQ304</f>
        <v/>
      </c>
      <c r="DR304" s="28" t="str">
        <f aca="false">AU304</f>
        <v/>
      </c>
      <c r="DS304" s="28" t="str">
        <f aca="false">AY304</f>
        <v/>
      </c>
      <c r="DT304" s="28" t="str">
        <f aca="false">BC304</f>
        <v/>
      </c>
      <c r="DU304" s="28" t="str">
        <f aca="false">BG304</f>
        <v/>
      </c>
      <c r="DV304" s="28" t="str">
        <f aca="false">BK304</f>
        <v/>
      </c>
      <c r="DW304" s="28" t="str">
        <f aca="false">BO304</f>
        <v/>
      </c>
      <c r="DX304" s="28" t="str">
        <f aca="false">BS304</f>
        <v/>
      </c>
      <c r="DY304" s="28" t="n">
        <f aca="false">IF(ISNUMBER(S304),1,"")</f>
        <v>1</v>
      </c>
      <c r="DZ304" s="28" t="str">
        <f aca="false">IF(ISNUMBER(W304),2,"")</f>
        <v/>
      </c>
      <c r="EA304" s="28" t="str">
        <f aca="false">IF(ISNUMBER(AA304),3,"")</f>
        <v/>
      </c>
      <c r="EB304" s="28" t="str">
        <f aca="false">IF(ISNUMBER(AE304),4,"")</f>
        <v/>
      </c>
      <c r="EC304" s="28" t="str">
        <f aca="false">IF(ISNUMBER(AI304),5,"")</f>
        <v/>
      </c>
      <c r="ED304" s="28" t="str">
        <f aca="false">IF(ISNUMBER(AM304),6,"")</f>
        <v/>
      </c>
      <c r="EE304" s="28" t="str">
        <f aca="false">IF(ISNUMBER(AQ304),7,"")</f>
        <v/>
      </c>
      <c r="EF304" s="28" t="str">
        <f aca="false">IF(ISNUMBER(AU304),8,"")</f>
        <v/>
      </c>
      <c r="EG304" s="28" t="str">
        <f aca="false">IF(ISNUMBER(AY304),9,"")</f>
        <v/>
      </c>
      <c r="EH304" s="28" t="str">
        <f aca="false">IF(ISNUMBER(BC304),10,"")</f>
        <v/>
      </c>
      <c r="EI304" s="28" t="str">
        <f aca="false">IF(ISNUMBER(BG304),11,"")</f>
        <v/>
      </c>
      <c r="EJ304" s="28" t="str">
        <f aca="false">IF(ISNUMBER(BK304),12,"")</f>
        <v/>
      </c>
      <c r="EK304" s="28" t="str">
        <f aca="false">IF(ISNUMBER(BO304),13,"")</f>
        <v/>
      </c>
      <c r="EL304" s="28" t="str">
        <f aca="false">IF(ISNUMBER(BS304),14,"")</f>
        <v/>
      </c>
      <c r="EM304" s="28" t="n">
        <f aca="false">IF(ISNUMBER(R304),R304*CW304,0)</f>
        <v>41.6666666666667</v>
      </c>
      <c r="EN304" s="28" t="n">
        <f aca="false">IF(ISNUMBER(V304),V304*CX304,0)</f>
        <v>0</v>
      </c>
      <c r="EO304" s="28" t="n">
        <f aca="false">IF(ISNUMBER(Z304),Z304*CY304,0)</f>
        <v>0</v>
      </c>
      <c r="EP304" s="28" t="n">
        <f aca="false">IF(ISNUMBER(AD304),AD304*CZ304,0)</f>
        <v>0</v>
      </c>
      <c r="EQ304" s="28" t="n">
        <f aca="false">IF(ISNUMBER(AH304),AH304*DA304,0)</f>
        <v>0</v>
      </c>
      <c r="ER304" s="28" t="n">
        <f aca="false">IF(ISNUMBER(AL304),AL304*DB304,0)</f>
        <v>0</v>
      </c>
      <c r="ES304" s="28" t="n">
        <f aca="false">IF(ISNUMBER(AP304),AP304*DC304,0)</f>
        <v>0</v>
      </c>
      <c r="ET304" s="28" t="n">
        <f aca="false">IF(ISNUMBER(AT304),AT304*DD304,0)</f>
        <v>0</v>
      </c>
      <c r="EU304" s="28" t="n">
        <f aca="false">IF(ISNUMBER(AX304),AX304*DE304,0)</f>
        <v>0</v>
      </c>
      <c r="EV304" s="28" t="n">
        <f aca="false">IF(ISNUMBER(BB304),BB304*DF304,0)</f>
        <v>0</v>
      </c>
      <c r="EW304" s="28" t="n">
        <f aca="false">IF(ISNUMBER(BF304),BF304*DG304,0)</f>
        <v>0</v>
      </c>
      <c r="EX304" s="28" t="n">
        <f aca="false">IF(ISNUMBER(BJ304),BJ304*DH304,0)</f>
        <v>0</v>
      </c>
      <c r="EY304" s="28" t="n">
        <f aca="false">IF(ISNUMBER(BN304),BN304*DI304,0)</f>
        <v>0</v>
      </c>
      <c r="EZ304" s="28" t="n">
        <f aca="false">IF(ISNUMBER(BR304),BR304*DJ304,0)</f>
        <v>0</v>
      </c>
      <c r="FA304" s="28" t="n">
        <f aca="false">IF(ISNUMBER(R304),CW304,0)</f>
        <v>1</v>
      </c>
      <c r="FB304" s="28" t="n">
        <f aca="false">IF(ISNUMBER(V304),CX304,0)</f>
        <v>0</v>
      </c>
      <c r="FC304" s="28" t="n">
        <f aca="false">IF(ISNUMBER(Z304),CY304,0)</f>
        <v>0</v>
      </c>
      <c r="FD304" s="28" t="n">
        <f aca="false">IF(ISNUMBER(AD304),CZ304,0)</f>
        <v>0</v>
      </c>
      <c r="FE304" s="28" t="n">
        <f aca="false">IF(ISNUMBER(AH304),DA304,0)</f>
        <v>0</v>
      </c>
      <c r="FF304" s="28" t="n">
        <f aca="false">IF(ISNUMBER(AL304),DB304,0)</f>
        <v>0</v>
      </c>
      <c r="FG304" s="28" t="n">
        <f aca="false">IF(ISNUMBER(AP304),DC304,0)</f>
        <v>0</v>
      </c>
      <c r="FH304" s="28" t="n">
        <f aca="false">IF(ISNUMBER(AT304),DD304,0)</f>
        <v>0</v>
      </c>
      <c r="FI304" s="28" t="n">
        <f aca="false">IF(ISNUMBER(AX304),DE304,0)</f>
        <v>0</v>
      </c>
      <c r="FJ304" s="28" t="n">
        <f aca="false">IF(ISNUMBER(BB304),DF304,0)</f>
        <v>0</v>
      </c>
      <c r="FK304" s="28" t="n">
        <f aca="false">IF(ISNUMBER(BF304),DG304,0)</f>
        <v>0</v>
      </c>
      <c r="FL304" s="28" t="n">
        <f aca="false">IF(ISNUMBER(BJ304),DH304,0)</f>
        <v>0</v>
      </c>
      <c r="FM304" s="28" t="n">
        <f aca="false">IF(ISNUMBER(BN304),DI304,0)</f>
        <v>0</v>
      </c>
      <c r="FN304" s="28" t="n">
        <f aca="false">IF(ISNUMBER(BR304),DJ304,0)</f>
        <v>0</v>
      </c>
      <c r="FO304" s="28" t="str">
        <f aca="false">IFERROR(INDEX(Lists!$G$2:$G$20,MATCH($I304&amp;"|"&amp;$J304,Lists!$F$2:$F$20,0)),"")</f>
        <v>BM Exam</v>
      </c>
    </row>
    <row r="305" customFormat="false" ht="19.5" hidden="false" customHeight="true" outlineLevel="0" collapsed="false">
      <c r="A305" s="29" t="s">
        <v>601</v>
      </c>
      <c r="B305" s="29" t="s">
        <v>602</v>
      </c>
      <c r="C305" s="30" t="s">
        <v>152</v>
      </c>
      <c r="D305" s="30" t="s">
        <v>364</v>
      </c>
      <c r="E305" s="31"/>
      <c r="F305" s="30"/>
      <c r="G305" s="30"/>
      <c r="H305" s="32" t="s">
        <v>428</v>
      </c>
      <c r="I305" s="33" t="s">
        <v>365</v>
      </c>
      <c r="J305" s="32" t="s">
        <v>25</v>
      </c>
      <c r="K305" s="34" t="str">
        <f aca="false">IF(OR(M305="",$E305=""),"",M305-$E305)</f>
        <v/>
      </c>
      <c r="L305" s="35" t="n">
        <f aca="false">IF(SUM(FA305:FN305)=0,"",SUM(EM305:EZ305)/SUM(FA305:FN305))</f>
        <v>87.5</v>
      </c>
      <c r="M305" s="36" t="n">
        <f aca="false">IF(OR(L305="",FO305=""),"",IFERROR(MATCH(L305,INDEX(Boundaries!$B$2:$I$30,MATCH(FO305,Boundaries!$A$2:$A$30,0),0),1)-1,""))</f>
        <v>7</v>
      </c>
      <c r="N305" s="37" t="str">
        <f aca="false">IF(COUNT($DY305:$EL305)&lt;2,"",INDEX($DK305:$DX305,MAX($DY305:$EL305))-INDEX($DK305:$DX305,MIN($DY305:$EL305)))</f>
        <v/>
      </c>
      <c r="O305" s="37" t="str">
        <f aca="false">IF(COUNT($DY305:$EL305)&lt;2,"",INDEX($DK305:$DX305,MAX($DY305:$EL305))-INDEX($DK305:$DX305,LARGE($DY305:$EL305,2)))</f>
        <v/>
      </c>
      <c r="P305" s="38" t="str">
        <f aca="false">IF(K305="","",IF(K305&gt;=0,"On/above target",IF(AND(N305&lt;&gt;"",N305&gt;=0.5),"Improving towards target",IF(AND(O305&lt;&gt;"",O305&lt;=-0.5),"Declining","Stable below target"))))</f>
        <v/>
      </c>
      <c r="Q305" s="39" t="n">
        <v>21</v>
      </c>
      <c r="R305" s="40" t="n">
        <f aca="false">IF(OR(Q305="",BU305=""),"",Q305/BU305*100)</f>
        <v>87.5</v>
      </c>
      <c r="S305" s="41" t="n">
        <f aca="false">IF(R305="","",IFERROR(MATCH(R305,INDEX(Boundaries!$B$2:$I$30,MATCH(CI305,Boundaries!$A$2:$A$30,0),0),1)-1,""))</f>
        <v>7</v>
      </c>
      <c r="T305" s="42" t="str">
        <f aca="false">IF(OR(S305="",$E305=""),"",S305-$E305)</f>
        <v/>
      </c>
      <c r="U305" s="39"/>
      <c r="V305" s="40" t="str">
        <f aca="false">IF(OR(U305="",BV305=""),"",U305/BV305*100)</f>
        <v/>
      </c>
      <c r="W305" s="41" t="str">
        <f aca="false">IF(V305="","",IFERROR(MATCH(V305,INDEX(Boundaries!$B$2:$I$30,MATCH(CJ305,Boundaries!$A$2:$A$30,0),0),1)-1,""))</f>
        <v/>
      </c>
      <c r="X305" s="42" t="str">
        <f aca="false">IF(OR(W305="",$E305=""),"",W305-$E305)</f>
        <v/>
      </c>
      <c r="Y305" s="39"/>
      <c r="Z305" s="40" t="str">
        <f aca="false">IF(OR(Y305="",BW305=""),"",Y305/BW305*100)</f>
        <v/>
      </c>
      <c r="AA305" s="41" t="str">
        <f aca="false">IF(Z305="","",IFERROR(MATCH(Z305,INDEX(Boundaries!$B$2:$I$30,MATCH(CK305,Boundaries!$A$2:$A$30,0),0),1)-1,""))</f>
        <v/>
      </c>
      <c r="AB305" s="42" t="str">
        <f aca="false">IF(OR(AA305="",$E305=""),"",AA305-$E305)</f>
        <v/>
      </c>
      <c r="AC305" s="39"/>
      <c r="AD305" s="40" t="str">
        <f aca="false">IF(OR(AC305="",BX305=""),"",AC305/BX305*100)</f>
        <v/>
      </c>
      <c r="AE305" s="41" t="str">
        <f aca="false">IF(AD305="","",IFERROR(MATCH(AD305,INDEX(Boundaries!$B$2:$I$30,MATCH(CL305,Boundaries!$A$2:$A$30,0),0),1)-1,""))</f>
        <v/>
      </c>
      <c r="AF305" s="42" t="str">
        <f aca="false">IF(OR(AE305="",$E305=""),"",AE305-$E305)</f>
        <v/>
      </c>
      <c r="AG305" s="39"/>
      <c r="AH305" s="40" t="str">
        <f aca="false">IF(OR(AG305="",BY305=""),"",AG305/BY305*100)</f>
        <v/>
      </c>
      <c r="AI305" s="41" t="str">
        <f aca="false">IF(AH305="","",IFERROR(MATCH(AH305,INDEX(Boundaries!$B$2:$I$30,MATCH(CM305,Boundaries!$A$2:$A$30,0),0),1)-1,""))</f>
        <v/>
      </c>
      <c r="AJ305" s="42" t="str">
        <f aca="false">IF(OR(AI305="",$E305=""),"",AI305-$E305)</f>
        <v/>
      </c>
      <c r="AK305" s="39"/>
      <c r="AL305" s="40" t="str">
        <f aca="false">IF(OR(AK305="",BZ305=""),"",AK305/BZ305*100)</f>
        <v/>
      </c>
      <c r="AM305" s="41" t="str">
        <f aca="false">IF(AL305="","",IFERROR(MATCH(AL305,INDEX(Boundaries!$B$2:$I$30,MATCH(CN305,Boundaries!$A$2:$A$30,0),0),1)-1,""))</f>
        <v/>
      </c>
      <c r="AN305" s="42" t="str">
        <f aca="false">IF(OR(AM305="",$E305=""),"",AM305-$E305)</f>
        <v/>
      </c>
      <c r="AO305" s="39"/>
      <c r="AP305" s="40" t="str">
        <f aca="false">IF(OR(AO305="",CA305=""),"",AO305/CA305*100)</f>
        <v/>
      </c>
      <c r="AQ305" s="41" t="str">
        <f aca="false">IF(AP305="","",IFERROR(MATCH(AP305,INDEX(Boundaries!$B$2:$I$30,MATCH(CO305,Boundaries!$A$2:$A$30,0),0),1)-1,""))</f>
        <v/>
      </c>
      <c r="AR305" s="42" t="str">
        <f aca="false">IF(OR(AQ305="",$E305=""),"",AQ305-$E305)</f>
        <v/>
      </c>
      <c r="AS305" s="39"/>
      <c r="AT305" s="40" t="str">
        <f aca="false">IF(OR(AS305="",CB305=""),"",AS305/CB305*100)</f>
        <v/>
      </c>
      <c r="AU305" s="41" t="str">
        <f aca="false">IF(AT305="","",IFERROR(MATCH(AT305,INDEX(Boundaries!$B$2:$I$30,MATCH(CP305,Boundaries!$A$2:$A$30,0),0),1)-1,""))</f>
        <v/>
      </c>
      <c r="AV305" s="42" t="str">
        <f aca="false">IF(OR(AU305="",$E305=""),"",AU305-$E305)</f>
        <v/>
      </c>
      <c r="AW305" s="39"/>
      <c r="AX305" s="40" t="str">
        <f aca="false">IF(OR(AW305="",CC305=""),"",AW305/CC305*100)</f>
        <v/>
      </c>
      <c r="AY305" s="41" t="str">
        <f aca="false">IF(AX305="","",IFERROR(MATCH(AX305,INDEX(Boundaries!$B$2:$I$30,MATCH(CQ305,Boundaries!$A$2:$A$30,0),0),1)-1,""))</f>
        <v/>
      </c>
      <c r="AZ305" s="42" t="str">
        <f aca="false">IF(OR(AY305="",$E305=""),"",AY305-$E305)</f>
        <v/>
      </c>
      <c r="BA305" s="39"/>
      <c r="BB305" s="40" t="str">
        <f aca="false">IF(OR(BA305="",CD305=""),"",BA305/CD305*100)</f>
        <v/>
      </c>
      <c r="BC305" s="41" t="str">
        <f aca="false">IF(BB305="","",IFERROR(MATCH(BB305,INDEX(Boundaries!$B$2:$I$30,MATCH(CR305,Boundaries!$A$2:$A$30,0),0),1)-1,""))</f>
        <v/>
      </c>
      <c r="BD305" s="42" t="str">
        <f aca="false">IF(OR(BC305="",$E305=""),"",BC305-$E305)</f>
        <v/>
      </c>
      <c r="BE305" s="39"/>
      <c r="BF305" s="40" t="str">
        <f aca="false">IF(OR(BE305="",CE305=""),"",BE305/CE305*100)</f>
        <v/>
      </c>
      <c r="BG305" s="41" t="str">
        <f aca="false">IF(BF305="","",IFERROR(MATCH(BF305,INDEX(Boundaries!$B$2:$I$30,MATCH(CS305,Boundaries!$A$2:$A$30,0),0),1)-1,""))</f>
        <v/>
      </c>
      <c r="BH305" s="42" t="str">
        <f aca="false">IF(OR(BG305="",$E305=""),"",BG305-$E305)</f>
        <v/>
      </c>
      <c r="BI305" s="39"/>
      <c r="BJ305" s="40" t="str">
        <f aca="false">IF(OR(BI305="",CF305=""),"",BI305/CF305*100)</f>
        <v/>
      </c>
      <c r="BK305" s="41" t="str">
        <f aca="false">IF(BJ305="","",IFERROR(MATCH(BJ305,INDEX(Boundaries!$B$2:$I$30,MATCH(CT305,Boundaries!$A$2:$A$30,0),0),1)-1,""))</f>
        <v/>
      </c>
      <c r="BL305" s="42" t="str">
        <f aca="false">IF(OR(BK305="",$E305=""),"",BK305-$E305)</f>
        <v/>
      </c>
      <c r="BM305" s="39"/>
      <c r="BN305" s="40" t="str">
        <f aca="false">IF(OR(BM305="",CG305=""),"",BM305/CG305*100)</f>
        <v/>
      </c>
      <c r="BO305" s="41" t="str">
        <f aca="false">IF(BN305="","",IFERROR(MATCH(BN305,INDEX(Boundaries!$B$2:$I$30,MATCH(CU305,Boundaries!$A$2:$A$30,0),0),1)-1,""))</f>
        <v/>
      </c>
      <c r="BP305" s="42" t="str">
        <f aca="false">IF(OR(BO305="",$E305=""),"",BO305-$E305)</f>
        <v/>
      </c>
      <c r="BQ305" s="39"/>
      <c r="BR305" s="40" t="str">
        <f aca="false">IF(OR(BQ305="",CH305=""),"",BQ305/CH305*100)</f>
        <v/>
      </c>
      <c r="BS305" s="41" t="str">
        <f aca="false">IF(BR305="","",IFERROR(MATCH(BR305,INDEX(Boundaries!$B$2:$I$30,MATCH(CV305,Boundaries!$A$2:$A$30,0),0),1)-1,""))</f>
        <v/>
      </c>
      <c r="BT305" s="42" t="str">
        <f aca="false">IF(OR(BS305="",$E305=""),"",BS305-$E305)</f>
        <v/>
      </c>
      <c r="BU305" s="28" t="n">
        <f aca="false">IFERROR(INDEX(Assessments!$H$2:$H$600,MATCH($H305&amp;"|"&amp;$I305&amp;"|"&amp;$J305&amp;"|"&amp;1,Assessments!$A$2:$A$600,0)),"")</f>
        <v>24</v>
      </c>
      <c r="BV305" s="28" t="n">
        <f aca="false">IFERROR(INDEX(Assessments!$H$2:$H$600,MATCH($H305&amp;"|"&amp;$I305&amp;"|"&amp;$J305&amp;"|"&amp;2,Assessments!$A$2:$A$600,0)),"")</f>
        <v>20</v>
      </c>
      <c r="BW305" s="28" t="n">
        <f aca="false">IFERROR(INDEX(Assessments!$H$2:$H$600,MATCH($H305&amp;"|"&amp;$I305&amp;"|"&amp;$J305&amp;"|"&amp;3,Assessments!$A$2:$A$600,0)),"")</f>
        <v>20</v>
      </c>
      <c r="BX305" s="28" t="n">
        <f aca="false">IFERROR(INDEX(Assessments!$H$2:$H$600,MATCH($H305&amp;"|"&amp;$I305&amp;"|"&amp;$J305&amp;"|"&amp;4,Assessments!$A$2:$A$600,0)),"")</f>
        <v>40</v>
      </c>
      <c r="BY305" s="28" t="n">
        <f aca="false">IFERROR(INDEX(Assessments!$H$2:$H$600,MATCH($H305&amp;"|"&amp;$I305&amp;"|"&amp;$J305&amp;"|"&amp;5,Assessments!$A$2:$A$600,0)),"")</f>
        <v>30</v>
      </c>
      <c r="BZ305" s="28" t="n">
        <f aca="false">IFERROR(INDEX(Assessments!$H$2:$H$600,MATCH($H305&amp;"|"&amp;$I305&amp;"|"&amp;$J305&amp;"|"&amp;6,Assessments!$A$2:$A$600,0)),"")</f>
        <v>20</v>
      </c>
      <c r="CA305" s="28" t="n">
        <f aca="false">IFERROR(INDEX(Assessments!$H$2:$H$600,MATCH($H305&amp;"|"&amp;$I305&amp;"|"&amp;$J305&amp;"|"&amp;7,Assessments!$A$2:$A$600,0)),"")</f>
        <v>50</v>
      </c>
      <c r="CB305" s="28" t="str">
        <f aca="false">IFERROR(INDEX(Assessments!$H$2:$H$600,MATCH($H305&amp;"|"&amp;$I305&amp;"|"&amp;$J305&amp;"|"&amp;8,Assessments!$A$2:$A$600,0)),"")</f>
        <v/>
      </c>
      <c r="CC305" s="28" t="str">
        <f aca="false">IFERROR(INDEX(Assessments!$H$2:$H$600,MATCH($H305&amp;"|"&amp;$I305&amp;"|"&amp;$J305&amp;"|"&amp;9,Assessments!$A$2:$A$600,0)),"")</f>
        <v/>
      </c>
      <c r="CD305" s="28" t="str">
        <f aca="false">IFERROR(INDEX(Assessments!$H$2:$H$600,MATCH($H305&amp;"|"&amp;$I305&amp;"|"&amp;$J305&amp;"|"&amp;10,Assessments!$A$2:$A$600,0)),"")</f>
        <v/>
      </c>
      <c r="CE305" s="28" t="str">
        <f aca="false">IFERROR(INDEX(Assessments!$H$2:$H$600,MATCH($H305&amp;"|"&amp;$I305&amp;"|"&amp;$J305&amp;"|"&amp;11,Assessments!$A$2:$A$600,0)),"")</f>
        <v/>
      </c>
      <c r="CF305" s="28" t="str">
        <f aca="false">IFERROR(INDEX(Assessments!$H$2:$H$600,MATCH($H305&amp;"|"&amp;$I305&amp;"|"&amp;$J305&amp;"|"&amp;12,Assessments!$A$2:$A$600,0)),"")</f>
        <v/>
      </c>
      <c r="CG305" s="28" t="str">
        <f aca="false">IFERROR(INDEX(Assessments!$H$2:$H$600,MATCH($H305&amp;"|"&amp;$I305&amp;"|"&amp;$J305&amp;"|"&amp;13,Assessments!$A$2:$A$600,0)),"")</f>
        <v/>
      </c>
      <c r="CH305" s="28" t="str">
        <f aca="false">IFERROR(INDEX(Assessments!$H$2:$H$600,MATCH($H305&amp;"|"&amp;$I305&amp;"|"&amp;$J305&amp;"|"&amp;14,Assessments!$A$2:$A$600,0)),"")</f>
        <v/>
      </c>
      <c r="CI305" s="28" t="str">
        <f aca="false">IFERROR(INDEX(Assessments!$I$2:$I$600,MATCH($H305&amp;"|"&amp;$I305&amp;"|"&amp;$J305&amp;"|"&amp;1,Assessments!$A$2:$A$600,0)),"")</f>
        <v>BM Test</v>
      </c>
      <c r="CJ305" s="28" t="str">
        <f aca="false">IFERROR(INDEX(Assessments!$I$2:$I$600,MATCH($H305&amp;"|"&amp;$I305&amp;"|"&amp;$J305&amp;"|"&amp;2,Assessments!$A$2:$A$600,0)),"")</f>
        <v>BM Test</v>
      </c>
      <c r="CK305" s="28" t="str">
        <f aca="false">IFERROR(INDEX(Assessments!$I$2:$I$600,MATCH($H305&amp;"|"&amp;$I305&amp;"|"&amp;$J305&amp;"|"&amp;3,Assessments!$A$2:$A$600,0)),"")</f>
        <v>BM Test</v>
      </c>
      <c r="CL305" s="28" t="str">
        <f aca="false">IFERROR(INDEX(Assessments!$I$2:$I$600,MATCH($H305&amp;"|"&amp;$I305&amp;"|"&amp;$J305&amp;"|"&amp;4,Assessments!$A$2:$A$600,0)),"")</f>
        <v>BM Exam</v>
      </c>
      <c r="CM305" s="28" t="str">
        <f aca="false">IFERROR(INDEX(Assessments!$I$2:$I$600,MATCH($H305&amp;"|"&amp;$I305&amp;"|"&amp;$J305&amp;"|"&amp;5,Assessments!$A$2:$A$600,0)),"")</f>
        <v>BM Test</v>
      </c>
      <c r="CN305" s="28" t="str">
        <f aca="false">IFERROR(INDEX(Assessments!$I$2:$I$600,MATCH($H305&amp;"|"&amp;$I305&amp;"|"&amp;$J305&amp;"|"&amp;6,Assessments!$A$2:$A$600,0)),"")</f>
        <v>BM Test</v>
      </c>
      <c r="CO305" s="28" t="str">
        <f aca="false">IFERROR(INDEX(Assessments!$I$2:$I$600,MATCH($H305&amp;"|"&amp;$I305&amp;"|"&amp;$J305&amp;"|"&amp;7,Assessments!$A$2:$A$600,0)),"")</f>
        <v>BM Exam</v>
      </c>
      <c r="CP305" s="28" t="str">
        <f aca="false">IFERROR(INDEX(Assessments!$I$2:$I$600,MATCH($H305&amp;"|"&amp;$I305&amp;"|"&amp;$J305&amp;"|"&amp;8,Assessments!$A$2:$A$600,0)),"")</f>
        <v/>
      </c>
      <c r="CQ305" s="28" t="str">
        <f aca="false">IFERROR(INDEX(Assessments!$I$2:$I$600,MATCH($H305&amp;"|"&amp;$I305&amp;"|"&amp;$J305&amp;"|"&amp;9,Assessments!$A$2:$A$600,0)),"")</f>
        <v/>
      </c>
      <c r="CR305" s="28" t="str">
        <f aca="false">IFERROR(INDEX(Assessments!$I$2:$I$600,MATCH($H305&amp;"|"&amp;$I305&amp;"|"&amp;$J305&amp;"|"&amp;10,Assessments!$A$2:$A$600,0)),"")</f>
        <v/>
      </c>
      <c r="CS305" s="28" t="str">
        <f aca="false">IFERROR(INDEX(Assessments!$I$2:$I$600,MATCH($H305&amp;"|"&amp;$I305&amp;"|"&amp;$J305&amp;"|"&amp;11,Assessments!$A$2:$A$600,0)),"")</f>
        <v/>
      </c>
      <c r="CT305" s="28" t="str">
        <f aca="false">IFERROR(INDEX(Assessments!$I$2:$I$600,MATCH($H305&amp;"|"&amp;$I305&amp;"|"&amp;$J305&amp;"|"&amp;12,Assessments!$A$2:$A$600,0)),"")</f>
        <v/>
      </c>
      <c r="CU305" s="28" t="str">
        <f aca="false">IFERROR(INDEX(Assessments!$I$2:$I$600,MATCH($H305&amp;"|"&amp;$I305&amp;"|"&amp;$J305&amp;"|"&amp;13,Assessments!$A$2:$A$600,0)),"")</f>
        <v/>
      </c>
      <c r="CV305" s="28" t="str">
        <f aca="false">IFERROR(INDEX(Assessments!$I$2:$I$600,MATCH($H305&amp;"|"&amp;$I305&amp;"|"&amp;$J305&amp;"|"&amp;14,Assessments!$A$2:$A$600,0)),"")</f>
        <v/>
      </c>
      <c r="CW305" s="28" t="n">
        <f aca="false">IFERROR(INDEX(Assessments!$J$2:$J$600,MATCH($H305&amp;"|"&amp;$I305&amp;"|"&amp;$J305&amp;"|"&amp;1,Assessments!$A$2:$A$600,0)),0)</f>
        <v>1</v>
      </c>
      <c r="CX305" s="28" t="n">
        <f aca="false">IFERROR(INDEX(Assessments!$J$2:$J$600,MATCH($H305&amp;"|"&amp;$I305&amp;"|"&amp;$J305&amp;"|"&amp;2,Assessments!$A$2:$A$600,0)),0)</f>
        <v>1</v>
      </c>
      <c r="CY305" s="28" t="n">
        <f aca="false">IFERROR(INDEX(Assessments!$J$2:$J$600,MATCH($H305&amp;"|"&amp;$I305&amp;"|"&amp;$J305&amp;"|"&amp;3,Assessments!$A$2:$A$600,0)),0)</f>
        <v>1</v>
      </c>
      <c r="CZ305" s="28" t="n">
        <f aca="false">IFERROR(INDEX(Assessments!$J$2:$J$600,MATCH($H305&amp;"|"&amp;$I305&amp;"|"&amp;$J305&amp;"|"&amp;4,Assessments!$A$2:$A$600,0)),0)</f>
        <v>2</v>
      </c>
      <c r="DA305" s="28" t="n">
        <f aca="false">IFERROR(INDEX(Assessments!$J$2:$J$600,MATCH($H305&amp;"|"&amp;$I305&amp;"|"&amp;$J305&amp;"|"&amp;5,Assessments!$A$2:$A$600,0)),0)</f>
        <v>1</v>
      </c>
      <c r="DB305" s="28" t="n">
        <f aca="false">IFERROR(INDEX(Assessments!$J$2:$J$600,MATCH($H305&amp;"|"&amp;$I305&amp;"|"&amp;$J305&amp;"|"&amp;6,Assessments!$A$2:$A$600,0)),0)</f>
        <v>1</v>
      </c>
      <c r="DC305" s="28" t="n">
        <f aca="false">IFERROR(INDEX(Assessments!$J$2:$J$600,MATCH($H305&amp;"|"&amp;$I305&amp;"|"&amp;$J305&amp;"|"&amp;7,Assessments!$A$2:$A$600,0)),0)</f>
        <v>2</v>
      </c>
      <c r="DD305" s="28" t="n">
        <f aca="false">IFERROR(INDEX(Assessments!$J$2:$J$600,MATCH($H305&amp;"|"&amp;$I305&amp;"|"&amp;$J305&amp;"|"&amp;8,Assessments!$A$2:$A$600,0)),0)</f>
        <v>0</v>
      </c>
      <c r="DE305" s="28" t="n">
        <f aca="false">IFERROR(INDEX(Assessments!$J$2:$J$600,MATCH($H305&amp;"|"&amp;$I305&amp;"|"&amp;$J305&amp;"|"&amp;9,Assessments!$A$2:$A$600,0)),0)</f>
        <v>0</v>
      </c>
      <c r="DF305" s="28" t="n">
        <f aca="false">IFERROR(INDEX(Assessments!$J$2:$J$600,MATCH($H305&amp;"|"&amp;$I305&amp;"|"&amp;$J305&amp;"|"&amp;10,Assessments!$A$2:$A$600,0)),0)</f>
        <v>0</v>
      </c>
      <c r="DG305" s="28" t="n">
        <f aca="false">IFERROR(INDEX(Assessments!$J$2:$J$600,MATCH($H305&amp;"|"&amp;$I305&amp;"|"&amp;$J305&amp;"|"&amp;11,Assessments!$A$2:$A$600,0)),0)</f>
        <v>0</v>
      </c>
      <c r="DH305" s="28" t="n">
        <f aca="false">IFERROR(INDEX(Assessments!$J$2:$J$600,MATCH($H305&amp;"|"&amp;$I305&amp;"|"&amp;$J305&amp;"|"&amp;12,Assessments!$A$2:$A$600,0)),0)</f>
        <v>0</v>
      </c>
      <c r="DI305" s="28" t="n">
        <f aca="false">IFERROR(INDEX(Assessments!$J$2:$J$600,MATCH($H305&amp;"|"&amp;$I305&amp;"|"&amp;$J305&amp;"|"&amp;13,Assessments!$A$2:$A$600,0)),0)</f>
        <v>0</v>
      </c>
      <c r="DJ305" s="28" t="n">
        <f aca="false">IFERROR(INDEX(Assessments!$J$2:$J$600,MATCH($H305&amp;"|"&amp;$I305&amp;"|"&amp;$J305&amp;"|"&amp;14,Assessments!$A$2:$A$600,0)),0)</f>
        <v>0</v>
      </c>
      <c r="DK305" s="28" t="n">
        <f aca="false">S305</f>
        <v>7</v>
      </c>
      <c r="DL305" s="28" t="str">
        <f aca="false">W305</f>
        <v/>
      </c>
      <c r="DM305" s="28" t="str">
        <f aca="false">AA305</f>
        <v/>
      </c>
      <c r="DN305" s="28" t="str">
        <f aca="false">AE305</f>
        <v/>
      </c>
      <c r="DO305" s="28" t="str">
        <f aca="false">AI305</f>
        <v/>
      </c>
      <c r="DP305" s="28" t="str">
        <f aca="false">AM305</f>
        <v/>
      </c>
      <c r="DQ305" s="28" t="str">
        <f aca="false">AQ305</f>
        <v/>
      </c>
      <c r="DR305" s="28" t="str">
        <f aca="false">AU305</f>
        <v/>
      </c>
      <c r="DS305" s="28" t="str">
        <f aca="false">AY305</f>
        <v/>
      </c>
      <c r="DT305" s="28" t="str">
        <f aca="false">BC305</f>
        <v/>
      </c>
      <c r="DU305" s="28" t="str">
        <f aca="false">BG305</f>
        <v/>
      </c>
      <c r="DV305" s="28" t="str">
        <f aca="false">BK305</f>
        <v/>
      </c>
      <c r="DW305" s="28" t="str">
        <f aca="false">BO305</f>
        <v/>
      </c>
      <c r="DX305" s="28" t="str">
        <f aca="false">BS305</f>
        <v/>
      </c>
      <c r="DY305" s="28" t="n">
        <f aca="false">IF(ISNUMBER(S305),1,"")</f>
        <v>1</v>
      </c>
      <c r="DZ305" s="28" t="str">
        <f aca="false">IF(ISNUMBER(W305),2,"")</f>
        <v/>
      </c>
      <c r="EA305" s="28" t="str">
        <f aca="false">IF(ISNUMBER(AA305),3,"")</f>
        <v/>
      </c>
      <c r="EB305" s="28" t="str">
        <f aca="false">IF(ISNUMBER(AE305),4,"")</f>
        <v/>
      </c>
      <c r="EC305" s="28" t="str">
        <f aca="false">IF(ISNUMBER(AI305),5,"")</f>
        <v/>
      </c>
      <c r="ED305" s="28" t="str">
        <f aca="false">IF(ISNUMBER(AM305),6,"")</f>
        <v/>
      </c>
      <c r="EE305" s="28" t="str">
        <f aca="false">IF(ISNUMBER(AQ305),7,"")</f>
        <v/>
      </c>
      <c r="EF305" s="28" t="str">
        <f aca="false">IF(ISNUMBER(AU305),8,"")</f>
        <v/>
      </c>
      <c r="EG305" s="28" t="str">
        <f aca="false">IF(ISNUMBER(AY305),9,"")</f>
        <v/>
      </c>
      <c r="EH305" s="28" t="str">
        <f aca="false">IF(ISNUMBER(BC305),10,"")</f>
        <v/>
      </c>
      <c r="EI305" s="28" t="str">
        <f aca="false">IF(ISNUMBER(BG305),11,"")</f>
        <v/>
      </c>
      <c r="EJ305" s="28" t="str">
        <f aca="false">IF(ISNUMBER(BK305),12,"")</f>
        <v/>
      </c>
      <c r="EK305" s="28" t="str">
        <f aca="false">IF(ISNUMBER(BO305),13,"")</f>
        <v/>
      </c>
      <c r="EL305" s="28" t="str">
        <f aca="false">IF(ISNUMBER(BS305),14,"")</f>
        <v/>
      </c>
      <c r="EM305" s="28" t="n">
        <f aca="false">IF(ISNUMBER(R305),R305*CW305,0)</f>
        <v>87.5</v>
      </c>
      <c r="EN305" s="28" t="n">
        <f aca="false">IF(ISNUMBER(V305),V305*CX305,0)</f>
        <v>0</v>
      </c>
      <c r="EO305" s="28" t="n">
        <f aca="false">IF(ISNUMBER(Z305),Z305*CY305,0)</f>
        <v>0</v>
      </c>
      <c r="EP305" s="28" t="n">
        <f aca="false">IF(ISNUMBER(AD305),AD305*CZ305,0)</f>
        <v>0</v>
      </c>
      <c r="EQ305" s="28" t="n">
        <f aca="false">IF(ISNUMBER(AH305),AH305*DA305,0)</f>
        <v>0</v>
      </c>
      <c r="ER305" s="28" t="n">
        <f aca="false">IF(ISNUMBER(AL305),AL305*DB305,0)</f>
        <v>0</v>
      </c>
      <c r="ES305" s="28" t="n">
        <f aca="false">IF(ISNUMBER(AP305),AP305*DC305,0)</f>
        <v>0</v>
      </c>
      <c r="ET305" s="28" t="n">
        <f aca="false">IF(ISNUMBER(AT305),AT305*DD305,0)</f>
        <v>0</v>
      </c>
      <c r="EU305" s="28" t="n">
        <f aca="false">IF(ISNUMBER(AX305),AX305*DE305,0)</f>
        <v>0</v>
      </c>
      <c r="EV305" s="28" t="n">
        <f aca="false">IF(ISNUMBER(BB305),BB305*DF305,0)</f>
        <v>0</v>
      </c>
      <c r="EW305" s="28" t="n">
        <f aca="false">IF(ISNUMBER(BF305),BF305*DG305,0)</f>
        <v>0</v>
      </c>
      <c r="EX305" s="28" t="n">
        <f aca="false">IF(ISNUMBER(BJ305),BJ305*DH305,0)</f>
        <v>0</v>
      </c>
      <c r="EY305" s="28" t="n">
        <f aca="false">IF(ISNUMBER(BN305),BN305*DI305,0)</f>
        <v>0</v>
      </c>
      <c r="EZ305" s="28" t="n">
        <f aca="false">IF(ISNUMBER(BR305),BR305*DJ305,0)</f>
        <v>0</v>
      </c>
      <c r="FA305" s="28" t="n">
        <f aca="false">IF(ISNUMBER(R305),CW305,0)</f>
        <v>1</v>
      </c>
      <c r="FB305" s="28" t="n">
        <f aca="false">IF(ISNUMBER(V305),CX305,0)</f>
        <v>0</v>
      </c>
      <c r="FC305" s="28" t="n">
        <f aca="false">IF(ISNUMBER(Z305),CY305,0)</f>
        <v>0</v>
      </c>
      <c r="FD305" s="28" t="n">
        <f aca="false">IF(ISNUMBER(AD305),CZ305,0)</f>
        <v>0</v>
      </c>
      <c r="FE305" s="28" t="n">
        <f aca="false">IF(ISNUMBER(AH305),DA305,0)</f>
        <v>0</v>
      </c>
      <c r="FF305" s="28" t="n">
        <f aca="false">IF(ISNUMBER(AL305),DB305,0)</f>
        <v>0</v>
      </c>
      <c r="FG305" s="28" t="n">
        <f aca="false">IF(ISNUMBER(AP305),DC305,0)</f>
        <v>0</v>
      </c>
      <c r="FH305" s="28" t="n">
        <f aca="false">IF(ISNUMBER(AT305),DD305,0)</f>
        <v>0</v>
      </c>
      <c r="FI305" s="28" t="n">
        <f aca="false">IF(ISNUMBER(AX305),DE305,0)</f>
        <v>0</v>
      </c>
      <c r="FJ305" s="28" t="n">
        <f aca="false">IF(ISNUMBER(BB305),DF305,0)</f>
        <v>0</v>
      </c>
      <c r="FK305" s="28" t="n">
        <f aca="false">IF(ISNUMBER(BF305),DG305,0)</f>
        <v>0</v>
      </c>
      <c r="FL305" s="28" t="n">
        <f aca="false">IF(ISNUMBER(BJ305),DH305,0)</f>
        <v>0</v>
      </c>
      <c r="FM305" s="28" t="n">
        <f aca="false">IF(ISNUMBER(BN305),DI305,0)</f>
        <v>0</v>
      </c>
      <c r="FN305" s="28" t="n">
        <f aca="false">IF(ISNUMBER(BR305),DJ305,0)</f>
        <v>0</v>
      </c>
      <c r="FO305" s="28" t="str">
        <f aca="false">IFERROR(INDEX(Lists!$G$2:$G$20,MATCH($I305&amp;"|"&amp;$J305,Lists!$F$2:$F$20,0)),"")</f>
        <v>BM Exam</v>
      </c>
    </row>
    <row r="306" customFormat="false" ht="19.5" hidden="false" customHeight="true" outlineLevel="0" collapsed="false">
      <c r="A306" s="29" t="s">
        <v>455</v>
      </c>
      <c r="B306" s="29" t="s">
        <v>456</v>
      </c>
      <c r="C306" s="30" t="s">
        <v>152</v>
      </c>
      <c r="D306" s="30" t="s">
        <v>364</v>
      </c>
      <c r="E306" s="31"/>
      <c r="F306" s="30"/>
      <c r="G306" s="30"/>
      <c r="H306" s="32" t="s">
        <v>428</v>
      </c>
      <c r="I306" s="33" t="s">
        <v>365</v>
      </c>
      <c r="J306" s="32" t="s">
        <v>25</v>
      </c>
      <c r="K306" s="34" t="str">
        <f aca="false">IF(OR(M306="",$E306=""),"",M306-$E306)</f>
        <v/>
      </c>
      <c r="L306" s="35" t="n">
        <f aca="false">IF(SUM(FA306:FN306)=0,"",SUM(EM306:EZ306)/SUM(FA306:FN306))</f>
        <v>66.6666666666667</v>
      </c>
      <c r="M306" s="36" t="n">
        <f aca="false">IF(OR(L306="",FO306=""),"",IFERROR(MATCH(L306,INDEX(Boundaries!$B$2:$I$30,MATCH(FO306,Boundaries!$A$2:$A$30,0),0),1)-1,""))</f>
        <v>6</v>
      </c>
      <c r="N306" s="37" t="str">
        <f aca="false">IF(COUNT($DY306:$EL306)&lt;2,"",INDEX($DK306:$DX306,MAX($DY306:$EL306))-INDEX($DK306:$DX306,MIN($DY306:$EL306)))</f>
        <v/>
      </c>
      <c r="O306" s="37" t="str">
        <f aca="false">IF(COUNT($DY306:$EL306)&lt;2,"",INDEX($DK306:$DX306,MAX($DY306:$EL306))-INDEX($DK306:$DX306,LARGE($DY306:$EL306,2)))</f>
        <v/>
      </c>
      <c r="P306" s="38" t="str">
        <f aca="false">IF(K306="","",IF(K306&gt;=0,"On/above target",IF(AND(N306&lt;&gt;"",N306&gt;=0.5),"Improving towards target",IF(AND(O306&lt;&gt;"",O306&lt;=-0.5),"Declining","Stable below target"))))</f>
        <v/>
      </c>
      <c r="Q306" s="39" t="n">
        <v>16</v>
      </c>
      <c r="R306" s="40" t="n">
        <f aca="false">IF(OR(Q306="",BU306=""),"",Q306/BU306*100)</f>
        <v>66.6666666666667</v>
      </c>
      <c r="S306" s="41" t="n">
        <f aca="false">IF(R306="","",IFERROR(MATCH(R306,INDEX(Boundaries!$B$2:$I$30,MATCH(CI306,Boundaries!$A$2:$A$30,0),0),1)-1,""))</f>
        <v>6</v>
      </c>
      <c r="T306" s="42" t="str">
        <f aca="false">IF(OR(S306="",$E306=""),"",S306-$E306)</f>
        <v/>
      </c>
      <c r="U306" s="39"/>
      <c r="V306" s="40" t="str">
        <f aca="false">IF(OR(U306="",BV306=""),"",U306/BV306*100)</f>
        <v/>
      </c>
      <c r="W306" s="41" t="str">
        <f aca="false">IF(V306="","",IFERROR(MATCH(V306,INDEX(Boundaries!$B$2:$I$30,MATCH(CJ306,Boundaries!$A$2:$A$30,0),0),1)-1,""))</f>
        <v/>
      </c>
      <c r="X306" s="42" t="str">
        <f aca="false">IF(OR(W306="",$E306=""),"",W306-$E306)</f>
        <v/>
      </c>
      <c r="Y306" s="39"/>
      <c r="Z306" s="40" t="str">
        <f aca="false">IF(OR(Y306="",BW306=""),"",Y306/BW306*100)</f>
        <v/>
      </c>
      <c r="AA306" s="41" t="str">
        <f aca="false">IF(Z306="","",IFERROR(MATCH(Z306,INDEX(Boundaries!$B$2:$I$30,MATCH(CK306,Boundaries!$A$2:$A$30,0),0),1)-1,""))</f>
        <v/>
      </c>
      <c r="AB306" s="42" t="str">
        <f aca="false">IF(OR(AA306="",$E306=""),"",AA306-$E306)</f>
        <v/>
      </c>
      <c r="AC306" s="39"/>
      <c r="AD306" s="40" t="str">
        <f aca="false">IF(OR(AC306="",BX306=""),"",AC306/BX306*100)</f>
        <v/>
      </c>
      <c r="AE306" s="41" t="str">
        <f aca="false">IF(AD306="","",IFERROR(MATCH(AD306,INDEX(Boundaries!$B$2:$I$30,MATCH(CL306,Boundaries!$A$2:$A$30,0),0),1)-1,""))</f>
        <v/>
      </c>
      <c r="AF306" s="42" t="str">
        <f aca="false">IF(OR(AE306="",$E306=""),"",AE306-$E306)</f>
        <v/>
      </c>
      <c r="AG306" s="39"/>
      <c r="AH306" s="40" t="str">
        <f aca="false">IF(OR(AG306="",BY306=""),"",AG306/BY306*100)</f>
        <v/>
      </c>
      <c r="AI306" s="41" t="str">
        <f aca="false">IF(AH306="","",IFERROR(MATCH(AH306,INDEX(Boundaries!$B$2:$I$30,MATCH(CM306,Boundaries!$A$2:$A$30,0),0),1)-1,""))</f>
        <v/>
      </c>
      <c r="AJ306" s="42" t="str">
        <f aca="false">IF(OR(AI306="",$E306=""),"",AI306-$E306)</f>
        <v/>
      </c>
      <c r="AK306" s="39"/>
      <c r="AL306" s="40" t="str">
        <f aca="false">IF(OR(AK306="",BZ306=""),"",AK306/BZ306*100)</f>
        <v/>
      </c>
      <c r="AM306" s="41" t="str">
        <f aca="false">IF(AL306="","",IFERROR(MATCH(AL306,INDEX(Boundaries!$B$2:$I$30,MATCH(CN306,Boundaries!$A$2:$A$30,0),0),1)-1,""))</f>
        <v/>
      </c>
      <c r="AN306" s="42" t="str">
        <f aca="false">IF(OR(AM306="",$E306=""),"",AM306-$E306)</f>
        <v/>
      </c>
      <c r="AO306" s="39"/>
      <c r="AP306" s="40" t="str">
        <f aca="false">IF(OR(AO306="",CA306=""),"",AO306/CA306*100)</f>
        <v/>
      </c>
      <c r="AQ306" s="41" t="str">
        <f aca="false">IF(AP306="","",IFERROR(MATCH(AP306,INDEX(Boundaries!$B$2:$I$30,MATCH(CO306,Boundaries!$A$2:$A$30,0),0),1)-1,""))</f>
        <v/>
      </c>
      <c r="AR306" s="42" t="str">
        <f aca="false">IF(OR(AQ306="",$E306=""),"",AQ306-$E306)</f>
        <v/>
      </c>
      <c r="AS306" s="39"/>
      <c r="AT306" s="40" t="str">
        <f aca="false">IF(OR(AS306="",CB306=""),"",AS306/CB306*100)</f>
        <v/>
      </c>
      <c r="AU306" s="41" t="str">
        <f aca="false">IF(AT306="","",IFERROR(MATCH(AT306,INDEX(Boundaries!$B$2:$I$30,MATCH(CP306,Boundaries!$A$2:$A$30,0),0),1)-1,""))</f>
        <v/>
      </c>
      <c r="AV306" s="42" t="str">
        <f aca="false">IF(OR(AU306="",$E306=""),"",AU306-$E306)</f>
        <v/>
      </c>
      <c r="AW306" s="39"/>
      <c r="AX306" s="40" t="str">
        <f aca="false">IF(OR(AW306="",CC306=""),"",AW306/CC306*100)</f>
        <v/>
      </c>
      <c r="AY306" s="41" t="str">
        <f aca="false">IF(AX306="","",IFERROR(MATCH(AX306,INDEX(Boundaries!$B$2:$I$30,MATCH(CQ306,Boundaries!$A$2:$A$30,0),0),1)-1,""))</f>
        <v/>
      </c>
      <c r="AZ306" s="42" t="str">
        <f aca="false">IF(OR(AY306="",$E306=""),"",AY306-$E306)</f>
        <v/>
      </c>
      <c r="BA306" s="39"/>
      <c r="BB306" s="40" t="str">
        <f aca="false">IF(OR(BA306="",CD306=""),"",BA306/CD306*100)</f>
        <v/>
      </c>
      <c r="BC306" s="41" t="str">
        <f aca="false">IF(BB306="","",IFERROR(MATCH(BB306,INDEX(Boundaries!$B$2:$I$30,MATCH(CR306,Boundaries!$A$2:$A$30,0),0),1)-1,""))</f>
        <v/>
      </c>
      <c r="BD306" s="42" t="str">
        <f aca="false">IF(OR(BC306="",$E306=""),"",BC306-$E306)</f>
        <v/>
      </c>
      <c r="BE306" s="39"/>
      <c r="BF306" s="40" t="str">
        <f aca="false">IF(OR(BE306="",CE306=""),"",BE306/CE306*100)</f>
        <v/>
      </c>
      <c r="BG306" s="41" t="str">
        <f aca="false">IF(BF306="","",IFERROR(MATCH(BF306,INDEX(Boundaries!$B$2:$I$30,MATCH(CS306,Boundaries!$A$2:$A$30,0),0),1)-1,""))</f>
        <v/>
      </c>
      <c r="BH306" s="42" t="str">
        <f aca="false">IF(OR(BG306="",$E306=""),"",BG306-$E306)</f>
        <v/>
      </c>
      <c r="BI306" s="39"/>
      <c r="BJ306" s="40" t="str">
        <f aca="false">IF(OR(BI306="",CF306=""),"",BI306/CF306*100)</f>
        <v/>
      </c>
      <c r="BK306" s="41" t="str">
        <f aca="false">IF(BJ306="","",IFERROR(MATCH(BJ306,INDEX(Boundaries!$B$2:$I$30,MATCH(CT306,Boundaries!$A$2:$A$30,0),0),1)-1,""))</f>
        <v/>
      </c>
      <c r="BL306" s="42" t="str">
        <f aca="false">IF(OR(BK306="",$E306=""),"",BK306-$E306)</f>
        <v/>
      </c>
      <c r="BM306" s="39"/>
      <c r="BN306" s="40" t="str">
        <f aca="false">IF(OR(BM306="",CG306=""),"",BM306/CG306*100)</f>
        <v/>
      </c>
      <c r="BO306" s="41" t="str">
        <f aca="false">IF(BN306="","",IFERROR(MATCH(BN306,INDEX(Boundaries!$B$2:$I$30,MATCH(CU306,Boundaries!$A$2:$A$30,0),0),1)-1,""))</f>
        <v/>
      </c>
      <c r="BP306" s="42" t="str">
        <f aca="false">IF(OR(BO306="",$E306=""),"",BO306-$E306)</f>
        <v/>
      </c>
      <c r="BQ306" s="39"/>
      <c r="BR306" s="40" t="str">
        <f aca="false">IF(OR(BQ306="",CH306=""),"",BQ306/CH306*100)</f>
        <v/>
      </c>
      <c r="BS306" s="41" t="str">
        <f aca="false">IF(BR306="","",IFERROR(MATCH(BR306,INDEX(Boundaries!$B$2:$I$30,MATCH(CV306,Boundaries!$A$2:$A$30,0),0),1)-1,""))</f>
        <v/>
      </c>
      <c r="BT306" s="42" t="str">
        <f aca="false">IF(OR(BS306="",$E306=""),"",BS306-$E306)</f>
        <v/>
      </c>
      <c r="BU306" s="28" t="n">
        <f aca="false">IFERROR(INDEX(Assessments!$H$2:$H$600,MATCH($H306&amp;"|"&amp;$I306&amp;"|"&amp;$J306&amp;"|"&amp;1,Assessments!$A$2:$A$600,0)),"")</f>
        <v>24</v>
      </c>
      <c r="BV306" s="28" t="n">
        <f aca="false">IFERROR(INDEX(Assessments!$H$2:$H$600,MATCH($H306&amp;"|"&amp;$I306&amp;"|"&amp;$J306&amp;"|"&amp;2,Assessments!$A$2:$A$600,0)),"")</f>
        <v>20</v>
      </c>
      <c r="BW306" s="28" t="n">
        <f aca="false">IFERROR(INDEX(Assessments!$H$2:$H$600,MATCH($H306&amp;"|"&amp;$I306&amp;"|"&amp;$J306&amp;"|"&amp;3,Assessments!$A$2:$A$600,0)),"")</f>
        <v>20</v>
      </c>
      <c r="BX306" s="28" t="n">
        <f aca="false">IFERROR(INDEX(Assessments!$H$2:$H$600,MATCH($H306&amp;"|"&amp;$I306&amp;"|"&amp;$J306&amp;"|"&amp;4,Assessments!$A$2:$A$600,0)),"")</f>
        <v>40</v>
      </c>
      <c r="BY306" s="28" t="n">
        <f aca="false">IFERROR(INDEX(Assessments!$H$2:$H$600,MATCH($H306&amp;"|"&amp;$I306&amp;"|"&amp;$J306&amp;"|"&amp;5,Assessments!$A$2:$A$600,0)),"")</f>
        <v>30</v>
      </c>
      <c r="BZ306" s="28" t="n">
        <f aca="false">IFERROR(INDEX(Assessments!$H$2:$H$600,MATCH($H306&amp;"|"&amp;$I306&amp;"|"&amp;$J306&amp;"|"&amp;6,Assessments!$A$2:$A$600,0)),"")</f>
        <v>20</v>
      </c>
      <c r="CA306" s="28" t="n">
        <f aca="false">IFERROR(INDEX(Assessments!$H$2:$H$600,MATCH($H306&amp;"|"&amp;$I306&amp;"|"&amp;$J306&amp;"|"&amp;7,Assessments!$A$2:$A$600,0)),"")</f>
        <v>50</v>
      </c>
      <c r="CB306" s="28" t="str">
        <f aca="false">IFERROR(INDEX(Assessments!$H$2:$H$600,MATCH($H306&amp;"|"&amp;$I306&amp;"|"&amp;$J306&amp;"|"&amp;8,Assessments!$A$2:$A$600,0)),"")</f>
        <v/>
      </c>
      <c r="CC306" s="28" t="str">
        <f aca="false">IFERROR(INDEX(Assessments!$H$2:$H$600,MATCH($H306&amp;"|"&amp;$I306&amp;"|"&amp;$J306&amp;"|"&amp;9,Assessments!$A$2:$A$600,0)),"")</f>
        <v/>
      </c>
      <c r="CD306" s="28" t="str">
        <f aca="false">IFERROR(INDEX(Assessments!$H$2:$H$600,MATCH($H306&amp;"|"&amp;$I306&amp;"|"&amp;$J306&amp;"|"&amp;10,Assessments!$A$2:$A$600,0)),"")</f>
        <v/>
      </c>
      <c r="CE306" s="28" t="str">
        <f aca="false">IFERROR(INDEX(Assessments!$H$2:$H$600,MATCH($H306&amp;"|"&amp;$I306&amp;"|"&amp;$J306&amp;"|"&amp;11,Assessments!$A$2:$A$600,0)),"")</f>
        <v/>
      </c>
      <c r="CF306" s="28" t="str">
        <f aca="false">IFERROR(INDEX(Assessments!$H$2:$H$600,MATCH($H306&amp;"|"&amp;$I306&amp;"|"&amp;$J306&amp;"|"&amp;12,Assessments!$A$2:$A$600,0)),"")</f>
        <v/>
      </c>
      <c r="CG306" s="28" t="str">
        <f aca="false">IFERROR(INDEX(Assessments!$H$2:$H$600,MATCH($H306&amp;"|"&amp;$I306&amp;"|"&amp;$J306&amp;"|"&amp;13,Assessments!$A$2:$A$600,0)),"")</f>
        <v/>
      </c>
      <c r="CH306" s="28" t="str">
        <f aca="false">IFERROR(INDEX(Assessments!$H$2:$H$600,MATCH($H306&amp;"|"&amp;$I306&amp;"|"&amp;$J306&amp;"|"&amp;14,Assessments!$A$2:$A$600,0)),"")</f>
        <v/>
      </c>
      <c r="CI306" s="28" t="str">
        <f aca="false">IFERROR(INDEX(Assessments!$I$2:$I$600,MATCH($H306&amp;"|"&amp;$I306&amp;"|"&amp;$J306&amp;"|"&amp;1,Assessments!$A$2:$A$600,0)),"")</f>
        <v>BM Test</v>
      </c>
      <c r="CJ306" s="28" t="str">
        <f aca="false">IFERROR(INDEX(Assessments!$I$2:$I$600,MATCH($H306&amp;"|"&amp;$I306&amp;"|"&amp;$J306&amp;"|"&amp;2,Assessments!$A$2:$A$600,0)),"")</f>
        <v>BM Test</v>
      </c>
      <c r="CK306" s="28" t="str">
        <f aca="false">IFERROR(INDEX(Assessments!$I$2:$I$600,MATCH($H306&amp;"|"&amp;$I306&amp;"|"&amp;$J306&amp;"|"&amp;3,Assessments!$A$2:$A$600,0)),"")</f>
        <v>BM Test</v>
      </c>
      <c r="CL306" s="28" t="str">
        <f aca="false">IFERROR(INDEX(Assessments!$I$2:$I$600,MATCH($H306&amp;"|"&amp;$I306&amp;"|"&amp;$J306&amp;"|"&amp;4,Assessments!$A$2:$A$600,0)),"")</f>
        <v>BM Exam</v>
      </c>
      <c r="CM306" s="28" t="str">
        <f aca="false">IFERROR(INDEX(Assessments!$I$2:$I$600,MATCH($H306&amp;"|"&amp;$I306&amp;"|"&amp;$J306&amp;"|"&amp;5,Assessments!$A$2:$A$600,0)),"")</f>
        <v>BM Test</v>
      </c>
      <c r="CN306" s="28" t="str">
        <f aca="false">IFERROR(INDEX(Assessments!$I$2:$I$600,MATCH($H306&amp;"|"&amp;$I306&amp;"|"&amp;$J306&amp;"|"&amp;6,Assessments!$A$2:$A$600,0)),"")</f>
        <v>BM Test</v>
      </c>
      <c r="CO306" s="28" t="str">
        <f aca="false">IFERROR(INDEX(Assessments!$I$2:$I$600,MATCH($H306&amp;"|"&amp;$I306&amp;"|"&amp;$J306&amp;"|"&amp;7,Assessments!$A$2:$A$600,0)),"")</f>
        <v>BM Exam</v>
      </c>
      <c r="CP306" s="28" t="str">
        <f aca="false">IFERROR(INDEX(Assessments!$I$2:$I$600,MATCH($H306&amp;"|"&amp;$I306&amp;"|"&amp;$J306&amp;"|"&amp;8,Assessments!$A$2:$A$600,0)),"")</f>
        <v/>
      </c>
      <c r="CQ306" s="28" t="str">
        <f aca="false">IFERROR(INDEX(Assessments!$I$2:$I$600,MATCH($H306&amp;"|"&amp;$I306&amp;"|"&amp;$J306&amp;"|"&amp;9,Assessments!$A$2:$A$600,0)),"")</f>
        <v/>
      </c>
      <c r="CR306" s="28" t="str">
        <f aca="false">IFERROR(INDEX(Assessments!$I$2:$I$600,MATCH($H306&amp;"|"&amp;$I306&amp;"|"&amp;$J306&amp;"|"&amp;10,Assessments!$A$2:$A$600,0)),"")</f>
        <v/>
      </c>
      <c r="CS306" s="28" t="str">
        <f aca="false">IFERROR(INDEX(Assessments!$I$2:$I$600,MATCH($H306&amp;"|"&amp;$I306&amp;"|"&amp;$J306&amp;"|"&amp;11,Assessments!$A$2:$A$600,0)),"")</f>
        <v/>
      </c>
      <c r="CT306" s="28" t="str">
        <f aca="false">IFERROR(INDEX(Assessments!$I$2:$I$600,MATCH($H306&amp;"|"&amp;$I306&amp;"|"&amp;$J306&amp;"|"&amp;12,Assessments!$A$2:$A$600,0)),"")</f>
        <v/>
      </c>
      <c r="CU306" s="28" t="str">
        <f aca="false">IFERROR(INDEX(Assessments!$I$2:$I$600,MATCH($H306&amp;"|"&amp;$I306&amp;"|"&amp;$J306&amp;"|"&amp;13,Assessments!$A$2:$A$600,0)),"")</f>
        <v/>
      </c>
      <c r="CV306" s="28" t="str">
        <f aca="false">IFERROR(INDEX(Assessments!$I$2:$I$600,MATCH($H306&amp;"|"&amp;$I306&amp;"|"&amp;$J306&amp;"|"&amp;14,Assessments!$A$2:$A$600,0)),"")</f>
        <v/>
      </c>
      <c r="CW306" s="28" t="n">
        <f aca="false">IFERROR(INDEX(Assessments!$J$2:$J$600,MATCH($H306&amp;"|"&amp;$I306&amp;"|"&amp;$J306&amp;"|"&amp;1,Assessments!$A$2:$A$600,0)),0)</f>
        <v>1</v>
      </c>
      <c r="CX306" s="28" t="n">
        <f aca="false">IFERROR(INDEX(Assessments!$J$2:$J$600,MATCH($H306&amp;"|"&amp;$I306&amp;"|"&amp;$J306&amp;"|"&amp;2,Assessments!$A$2:$A$600,0)),0)</f>
        <v>1</v>
      </c>
      <c r="CY306" s="28" t="n">
        <f aca="false">IFERROR(INDEX(Assessments!$J$2:$J$600,MATCH($H306&amp;"|"&amp;$I306&amp;"|"&amp;$J306&amp;"|"&amp;3,Assessments!$A$2:$A$600,0)),0)</f>
        <v>1</v>
      </c>
      <c r="CZ306" s="28" t="n">
        <f aca="false">IFERROR(INDEX(Assessments!$J$2:$J$600,MATCH($H306&amp;"|"&amp;$I306&amp;"|"&amp;$J306&amp;"|"&amp;4,Assessments!$A$2:$A$600,0)),0)</f>
        <v>2</v>
      </c>
      <c r="DA306" s="28" t="n">
        <f aca="false">IFERROR(INDEX(Assessments!$J$2:$J$600,MATCH($H306&amp;"|"&amp;$I306&amp;"|"&amp;$J306&amp;"|"&amp;5,Assessments!$A$2:$A$600,0)),0)</f>
        <v>1</v>
      </c>
      <c r="DB306" s="28" t="n">
        <f aca="false">IFERROR(INDEX(Assessments!$J$2:$J$600,MATCH($H306&amp;"|"&amp;$I306&amp;"|"&amp;$J306&amp;"|"&amp;6,Assessments!$A$2:$A$600,0)),0)</f>
        <v>1</v>
      </c>
      <c r="DC306" s="28" t="n">
        <f aca="false">IFERROR(INDEX(Assessments!$J$2:$J$600,MATCH($H306&amp;"|"&amp;$I306&amp;"|"&amp;$J306&amp;"|"&amp;7,Assessments!$A$2:$A$600,0)),0)</f>
        <v>2</v>
      </c>
      <c r="DD306" s="28" t="n">
        <f aca="false">IFERROR(INDEX(Assessments!$J$2:$J$600,MATCH($H306&amp;"|"&amp;$I306&amp;"|"&amp;$J306&amp;"|"&amp;8,Assessments!$A$2:$A$600,0)),0)</f>
        <v>0</v>
      </c>
      <c r="DE306" s="28" t="n">
        <f aca="false">IFERROR(INDEX(Assessments!$J$2:$J$600,MATCH($H306&amp;"|"&amp;$I306&amp;"|"&amp;$J306&amp;"|"&amp;9,Assessments!$A$2:$A$600,0)),0)</f>
        <v>0</v>
      </c>
      <c r="DF306" s="28" t="n">
        <f aca="false">IFERROR(INDEX(Assessments!$J$2:$J$600,MATCH($H306&amp;"|"&amp;$I306&amp;"|"&amp;$J306&amp;"|"&amp;10,Assessments!$A$2:$A$600,0)),0)</f>
        <v>0</v>
      </c>
      <c r="DG306" s="28" t="n">
        <f aca="false">IFERROR(INDEX(Assessments!$J$2:$J$600,MATCH($H306&amp;"|"&amp;$I306&amp;"|"&amp;$J306&amp;"|"&amp;11,Assessments!$A$2:$A$600,0)),0)</f>
        <v>0</v>
      </c>
      <c r="DH306" s="28" t="n">
        <f aca="false">IFERROR(INDEX(Assessments!$J$2:$J$600,MATCH($H306&amp;"|"&amp;$I306&amp;"|"&amp;$J306&amp;"|"&amp;12,Assessments!$A$2:$A$600,0)),0)</f>
        <v>0</v>
      </c>
      <c r="DI306" s="28" t="n">
        <f aca="false">IFERROR(INDEX(Assessments!$J$2:$J$600,MATCH($H306&amp;"|"&amp;$I306&amp;"|"&amp;$J306&amp;"|"&amp;13,Assessments!$A$2:$A$600,0)),0)</f>
        <v>0</v>
      </c>
      <c r="DJ306" s="28" t="n">
        <f aca="false">IFERROR(INDEX(Assessments!$J$2:$J$600,MATCH($H306&amp;"|"&amp;$I306&amp;"|"&amp;$J306&amp;"|"&amp;14,Assessments!$A$2:$A$600,0)),0)</f>
        <v>0</v>
      </c>
      <c r="DK306" s="28" t="n">
        <f aca="false">S306</f>
        <v>6</v>
      </c>
      <c r="DL306" s="28" t="str">
        <f aca="false">W306</f>
        <v/>
      </c>
      <c r="DM306" s="28" t="str">
        <f aca="false">AA306</f>
        <v/>
      </c>
      <c r="DN306" s="28" t="str">
        <f aca="false">AE306</f>
        <v/>
      </c>
      <c r="DO306" s="28" t="str">
        <f aca="false">AI306</f>
        <v/>
      </c>
      <c r="DP306" s="28" t="str">
        <f aca="false">AM306</f>
        <v/>
      </c>
      <c r="DQ306" s="28" t="str">
        <f aca="false">AQ306</f>
        <v/>
      </c>
      <c r="DR306" s="28" t="str">
        <f aca="false">AU306</f>
        <v/>
      </c>
      <c r="DS306" s="28" t="str">
        <f aca="false">AY306</f>
        <v/>
      </c>
      <c r="DT306" s="28" t="str">
        <f aca="false">BC306</f>
        <v/>
      </c>
      <c r="DU306" s="28" t="str">
        <f aca="false">BG306</f>
        <v/>
      </c>
      <c r="DV306" s="28" t="str">
        <f aca="false">BK306</f>
        <v/>
      </c>
      <c r="DW306" s="28" t="str">
        <f aca="false">BO306</f>
        <v/>
      </c>
      <c r="DX306" s="28" t="str">
        <f aca="false">BS306</f>
        <v/>
      </c>
      <c r="DY306" s="28" t="n">
        <f aca="false">IF(ISNUMBER(S306),1,"")</f>
        <v>1</v>
      </c>
      <c r="DZ306" s="28" t="str">
        <f aca="false">IF(ISNUMBER(W306),2,"")</f>
        <v/>
      </c>
      <c r="EA306" s="28" t="str">
        <f aca="false">IF(ISNUMBER(AA306),3,"")</f>
        <v/>
      </c>
      <c r="EB306" s="28" t="str">
        <f aca="false">IF(ISNUMBER(AE306),4,"")</f>
        <v/>
      </c>
      <c r="EC306" s="28" t="str">
        <f aca="false">IF(ISNUMBER(AI306),5,"")</f>
        <v/>
      </c>
      <c r="ED306" s="28" t="str">
        <f aca="false">IF(ISNUMBER(AM306),6,"")</f>
        <v/>
      </c>
      <c r="EE306" s="28" t="str">
        <f aca="false">IF(ISNUMBER(AQ306),7,"")</f>
        <v/>
      </c>
      <c r="EF306" s="28" t="str">
        <f aca="false">IF(ISNUMBER(AU306),8,"")</f>
        <v/>
      </c>
      <c r="EG306" s="28" t="str">
        <f aca="false">IF(ISNUMBER(AY306),9,"")</f>
        <v/>
      </c>
      <c r="EH306" s="28" t="str">
        <f aca="false">IF(ISNUMBER(BC306),10,"")</f>
        <v/>
      </c>
      <c r="EI306" s="28" t="str">
        <f aca="false">IF(ISNUMBER(BG306),11,"")</f>
        <v/>
      </c>
      <c r="EJ306" s="28" t="str">
        <f aca="false">IF(ISNUMBER(BK306),12,"")</f>
        <v/>
      </c>
      <c r="EK306" s="28" t="str">
        <f aca="false">IF(ISNUMBER(BO306),13,"")</f>
        <v/>
      </c>
      <c r="EL306" s="28" t="str">
        <f aca="false">IF(ISNUMBER(BS306),14,"")</f>
        <v/>
      </c>
      <c r="EM306" s="28" t="n">
        <f aca="false">IF(ISNUMBER(R306),R306*CW306,0)</f>
        <v>66.6666666666667</v>
      </c>
      <c r="EN306" s="28" t="n">
        <f aca="false">IF(ISNUMBER(V306),V306*CX306,0)</f>
        <v>0</v>
      </c>
      <c r="EO306" s="28" t="n">
        <f aca="false">IF(ISNUMBER(Z306),Z306*CY306,0)</f>
        <v>0</v>
      </c>
      <c r="EP306" s="28" t="n">
        <f aca="false">IF(ISNUMBER(AD306),AD306*CZ306,0)</f>
        <v>0</v>
      </c>
      <c r="EQ306" s="28" t="n">
        <f aca="false">IF(ISNUMBER(AH306),AH306*DA306,0)</f>
        <v>0</v>
      </c>
      <c r="ER306" s="28" t="n">
        <f aca="false">IF(ISNUMBER(AL306),AL306*DB306,0)</f>
        <v>0</v>
      </c>
      <c r="ES306" s="28" t="n">
        <f aca="false">IF(ISNUMBER(AP306),AP306*DC306,0)</f>
        <v>0</v>
      </c>
      <c r="ET306" s="28" t="n">
        <f aca="false">IF(ISNUMBER(AT306),AT306*DD306,0)</f>
        <v>0</v>
      </c>
      <c r="EU306" s="28" t="n">
        <f aca="false">IF(ISNUMBER(AX306),AX306*DE306,0)</f>
        <v>0</v>
      </c>
      <c r="EV306" s="28" t="n">
        <f aca="false">IF(ISNUMBER(BB306),BB306*DF306,0)</f>
        <v>0</v>
      </c>
      <c r="EW306" s="28" t="n">
        <f aca="false">IF(ISNUMBER(BF306),BF306*DG306,0)</f>
        <v>0</v>
      </c>
      <c r="EX306" s="28" t="n">
        <f aca="false">IF(ISNUMBER(BJ306),BJ306*DH306,0)</f>
        <v>0</v>
      </c>
      <c r="EY306" s="28" t="n">
        <f aca="false">IF(ISNUMBER(BN306),BN306*DI306,0)</f>
        <v>0</v>
      </c>
      <c r="EZ306" s="28" t="n">
        <f aca="false">IF(ISNUMBER(BR306),BR306*DJ306,0)</f>
        <v>0</v>
      </c>
      <c r="FA306" s="28" t="n">
        <f aca="false">IF(ISNUMBER(R306),CW306,0)</f>
        <v>1</v>
      </c>
      <c r="FB306" s="28" t="n">
        <f aca="false">IF(ISNUMBER(V306),CX306,0)</f>
        <v>0</v>
      </c>
      <c r="FC306" s="28" t="n">
        <f aca="false">IF(ISNUMBER(Z306),CY306,0)</f>
        <v>0</v>
      </c>
      <c r="FD306" s="28" t="n">
        <f aca="false">IF(ISNUMBER(AD306),CZ306,0)</f>
        <v>0</v>
      </c>
      <c r="FE306" s="28" t="n">
        <f aca="false">IF(ISNUMBER(AH306),DA306,0)</f>
        <v>0</v>
      </c>
      <c r="FF306" s="28" t="n">
        <f aca="false">IF(ISNUMBER(AL306),DB306,0)</f>
        <v>0</v>
      </c>
      <c r="FG306" s="28" t="n">
        <f aca="false">IF(ISNUMBER(AP306),DC306,0)</f>
        <v>0</v>
      </c>
      <c r="FH306" s="28" t="n">
        <f aca="false">IF(ISNUMBER(AT306),DD306,0)</f>
        <v>0</v>
      </c>
      <c r="FI306" s="28" t="n">
        <f aca="false">IF(ISNUMBER(AX306),DE306,0)</f>
        <v>0</v>
      </c>
      <c r="FJ306" s="28" t="n">
        <f aca="false">IF(ISNUMBER(BB306),DF306,0)</f>
        <v>0</v>
      </c>
      <c r="FK306" s="28" t="n">
        <f aca="false">IF(ISNUMBER(BF306),DG306,0)</f>
        <v>0</v>
      </c>
      <c r="FL306" s="28" t="n">
        <f aca="false">IF(ISNUMBER(BJ306),DH306,0)</f>
        <v>0</v>
      </c>
      <c r="FM306" s="28" t="n">
        <f aca="false">IF(ISNUMBER(BN306),DI306,0)</f>
        <v>0</v>
      </c>
      <c r="FN306" s="28" t="n">
        <f aca="false">IF(ISNUMBER(BR306),DJ306,0)</f>
        <v>0</v>
      </c>
      <c r="FO306" s="28" t="str">
        <f aca="false">IFERROR(INDEX(Lists!$G$2:$G$20,MATCH($I306&amp;"|"&amp;$J306,Lists!$F$2:$F$20,0)),"")</f>
        <v>BM Exam</v>
      </c>
    </row>
    <row r="307" customFormat="false" ht="19.5" hidden="false" customHeight="true" outlineLevel="0" collapsed="false">
      <c r="A307" s="29" t="s">
        <v>531</v>
      </c>
      <c r="B307" s="29" t="s">
        <v>532</v>
      </c>
      <c r="C307" s="30" t="s">
        <v>152</v>
      </c>
      <c r="D307" s="30" t="s">
        <v>364</v>
      </c>
      <c r="E307" s="31"/>
      <c r="F307" s="30"/>
      <c r="G307" s="30"/>
      <c r="H307" s="32" t="s">
        <v>428</v>
      </c>
      <c r="I307" s="33" t="s">
        <v>365</v>
      </c>
      <c r="J307" s="32" t="s">
        <v>25</v>
      </c>
      <c r="K307" s="34" t="str">
        <f aca="false">IF(OR(M307="",$E307=""),"",M307-$E307)</f>
        <v/>
      </c>
      <c r="L307" s="35" t="n">
        <f aca="false">IF(SUM(FA307:FN307)=0,"",SUM(EM307:EZ307)/SUM(FA307:FN307))</f>
        <v>91.6666666666667</v>
      </c>
      <c r="M307" s="36" t="n">
        <f aca="false">IF(OR(L307="",FO307=""),"",IFERROR(MATCH(L307,INDEX(Boundaries!$B$2:$I$30,MATCH(FO307,Boundaries!$A$2:$A$30,0),0),1)-1,""))</f>
        <v>7</v>
      </c>
      <c r="N307" s="37" t="str">
        <f aca="false">IF(COUNT($DY307:$EL307)&lt;2,"",INDEX($DK307:$DX307,MAX($DY307:$EL307))-INDEX($DK307:$DX307,MIN($DY307:$EL307)))</f>
        <v/>
      </c>
      <c r="O307" s="37" t="str">
        <f aca="false">IF(COUNT($DY307:$EL307)&lt;2,"",INDEX($DK307:$DX307,MAX($DY307:$EL307))-INDEX($DK307:$DX307,LARGE($DY307:$EL307,2)))</f>
        <v/>
      </c>
      <c r="P307" s="38" t="str">
        <f aca="false">IF(K307="","",IF(K307&gt;=0,"On/above target",IF(AND(N307&lt;&gt;"",N307&gt;=0.5),"Improving towards target",IF(AND(O307&lt;&gt;"",O307&lt;=-0.5),"Declining","Stable below target"))))</f>
        <v/>
      </c>
      <c r="Q307" s="39" t="n">
        <v>22</v>
      </c>
      <c r="R307" s="40" t="n">
        <f aca="false">IF(OR(Q307="",BU307=""),"",Q307/BU307*100)</f>
        <v>91.6666666666667</v>
      </c>
      <c r="S307" s="41" t="n">
        <f aca="false">IF(R307="","",IFERROR(MATCH(R307,INDEX(Boundaries!$B$2:$I$30,MATCH(CI307,Boundaries!$A$2:$A$30,0),0),1)-1,""))</f>
        <v>7</v>
      </c>
      <c r="T307" s="42" t="str">
        <f aca="false">IF(OR(S307="",$E307=""),"",S307-$E307)</f>
        <v/>
      </c>
      <c r="U307" s="39"/>
      <c r="V307" s="40" t="str">
        <f aca="false">IF(OR(U307="",BV307=""),"",U307/BV307*100)</f>
        <v/>
      </c>
      <c r="W307" s="41" t="str">
        <f aca="false">IF(V307="","",IFERROR(MATCH(V307,INDEX(Boundaries!$B$2:$I$30,MATCH(CJ307,Boundaries!$A$2:$A$30,0),0),1)-1,""))</f>
        <v/>
      </c>
      <c r="X307" s="42" t="str">
        <f aca="false">IF(OR(W307="",$E307=""),"",W307-$E307)</f>
        <v/>
      </c>
      <c r="Y307" s="39"/>
      <c r="Z307" s="40" t="str">
        <f aca="false">IF(OR(Y307="",BW307=""),"",Y307/BW307*100)</f>
        <v/>
      </c>
      <c r="AA307" s="41" t="str">
        <f aca="false">IF(Z307="","",IFERROR(MATCH(Z307,INDEX(Boundaries!$B$2:$I$30,MATCH(CK307,Boundaries!$A$2:$A$30,0),0),1)-1,""))</f>
        <v/>
      </c>
      <c r="AB307" s="42" t="str">
        <f aca="false">IF(OR(AA307="",$E307=""),"",AA307-$E307)</f>
        <v/>
      </c>
      <c r="AC307" s="39"/>
      <c r="AD307" s="40" t="str">
        <f aca="false">IF(OR(AC307="",BX307=""),"",AC307/BX307*100)</f>
        <v/>
      </c>
      <c r="AE307" s="41" t="str">
        <f aca="false">IF(AD307="","",IFERROR(MATCH(AD307,INDEX(Boundaries!$B$2:$I$30,MATCH(CL307,Boundaries!$A$2:$A$30,0),0),1)-1,""))</f>
        <v/>
      </c>
      <c r="AF307" s="42" t="str">
        <f aca="false">IF(OR(AE307="",$E307=""),"",AE307-$E307)</f>
        <v/>
      </c>
      <c r="AG307" s="39"/>
      <c r="AH307" s="40" t="str">
        <f aca="false">IF(OR(AG307="",BY307=""),"",AG307/BY307*100)</f>
        <v/>
      </c>
      <c r="AI307" s="41" t="str">
        <f aca="false">IF(AH307="","",IFERROR(MATCH(AH307,INDEX(Boundaries!$B$2:$I$30,MATCH(CM307,Boundaries!$A$2:$A$30,0),0),1)-1,""))</f>
        <v/>
      </c>
      <c r="AJ307" s="42" t="str">
        <f aca="false">IF(OR(AI307="",$E307=""),"",AI307-$E307)</f>
        <v/>
      </c>
      <c r="AK307" s="39"/>
      <c r="AL307" s="40" t="str">
        <f aca="false">IF(OR(AK307="",BZ307=""),"",AK307/BZ307*100)</f>
        <v/>
      </c>
      <c r="AM307" s="41" t="str">
        <f aca="false">IF(AL307="","",IFERROR(MATCH(AL307,INDEX(Boundaries!$B$2:$I$30,MATCH(CN307,Boundaries!$A$2:$A$30,0),0),1)-1,""))</f>
        <v/>
      </c>
      <c r="AN307" s="42" t="str">
        <f aca="false">IF(OR(AM307="",$E307=""),"",AM307-$E307)</f>
        <v/>
      </c>
      <c r="AO307" s="39"/>
      <c r="AP307" s="40" t="str">
        <f aca="false">IF(OR(AO307="",CA307=""),"",AO307/CA307*100)</f>
        <v/>
      </c>
      <c r="AQ307" s="41" t="str">
        <f aca="false">IF(AP307="","",IFERROR(MATCH(AP307,INDEX(Boundaries!$B$2:$I$30,MATCH(CO307,Boundaries!$A$2:$A$30,0),0),1)-1,""))</f>
        <v/>
      </c>
      <c r="AR307" s="42" t="str">
        <f aca="false">IF(OR(AQ307="",$E307=""),"",AQ307-$E307)</f>
        <v/>
      </c>
      <c r="AS307" s="39"/>
      <c r="AT307" s="40" t="str">
        <f aca="false">IF(OR(AS307="",CB307=""),"",AS307/CB307*100)</f>
        <v/>
      </c>
      <c r="AU307" s="41" t="str">
        <f aca="false">IF(AT307="","",IFERROR(MATCH(AT307,INDEX(Boundaries!$B$2:$I$30,MATCH(CP307,Boundaries!$A$2:$A$30,0),0),1)-1,""))</f>
        <v/>
      </c>
      <c r="AV307" s="42" t="str">
        <f aca="false">IF(OR(AU307="",$E307=""),"",AU307-$E307)</f>
        <v/>
      </c>
      <c r="AW307" s="39"/>
      <c r="AX307" s="40" t="str">
        <f aca="false">IF(OR(AW307="",CC307=""),"",AW307/CC307*100)</f>
        <v/>
      </c>
      <c r="AY307" s="41" t="str">
        <f aca="false">IF(AX307="","",IFERROR(MATCH(AX307,INDEX(Boundaries!$B$2:$I$30,MATCH(CQ307,Boundaries!$A$2:$A$30,0),0),1)-1,""))</f>
        <v/>
      </c>
      <c r="AZ307" s="42" t="str">
        <f aca="false">IF(OR(AY307="",$E307=""),"",AY307-$E307)</f>
        <v/>
      </c>
      <c r="BA307" s="39"/>
      <c r="BB307" s="40" t="str">
        <f aca="false">IF(OR(BA307="",CD307=""),"",BA307/CD307*100)</f>
        <v/>
      </c>
      <c r="BC307" s="41" t="str">
        <f aca="false">IF(BB307="","",IFERROR(MATCH(BB307,INDEX(Boundaries!$B$2:$I$30,MATCH(CR307,Boundaries!$A$2:$A$30,0),0),1)-1,""))</f>
        <v/>
      </c>
      <c r="BD307" s="42" t="str">
        <f aca="false">IF(OR(BC307="",$E307=""),"",BC307-$E307)</f>
        <v/>
      </c>
      <c r="BE307" s="39"/>
      <c r="BF307" s="40" t="str">
        <f aca="false">IF(OR(BE307="",CE307=""),"",BE307/CE307*100)</f>
        <v/>
      </c>
      <c r="BG307" s="41" t="str">
        <f aca="false">IF(BF307="","",IFERROR(MATCH(BF307,INDEX(Boundaries!$B$2:$I$30,MATCH(CS307,Boundaries!$A$2:$A$30,0),0),1)-1,""))</f>
        <v/>
      </c>
      <c r="BH307" s="42" t="str">
        <f aca="false">IF(OR(BG307="",$E307=""),"",BG307-$E307)</f>
        <v/>
      </c>
      <c r="BI307" s="39"/>
      <c r="BJ307" s="40" t="str">
        <f aca="false">IF(OR(BI307="",CF307=""),"",BI307/CF307*100)</f>
        <v/>
      </c>
      <c r="BK307" s="41" t="str">
        <f aca="false">IF(BJ307="","",IFERROR(MATCH(BJ307,INDEX(Boundaries!$B$2:$I$30,MATCH(CT307,Boundaries!$A$2:$A$30,0),0),1)-1,""))</f>
        <v/>
      </c>
      <c r="BL307" s="42" t="str">
        <f aca="false">IF(OR(BK307="",$E307=""),"",BK307-$E307)</f>
        <v/>
      </c>
      <c r="BM307" s="39"/>
      <c r="BN307" s="40" t="str">
        <f aca="false">IF(OR(BM307="",CG307=""),"",BM307/CG307*100)</f>
        <v/>
      </c>
      <c r="BO307" s="41" t="str">
        <f aca="false">IF(BN307="","",IFERROR(MATCH(BN307,INDEX(Boundaries!$B$2:$I$30,MATCH(CU307,Boundaries!$A$2:$A$30,0),0),1)-1,""))</f>
        <v/>
      </c>
      <c r="BP307" s="42" t="str">
        <f aca="false">IF(OR(BO307="",$E307=""),"",BO307-$E307)</f>
        <v/>
      </c>
      <c r="BQ307" s="39"/>
      <c r="BR307" s="40" t="str">
        <f aca="false">IF(OR(BQ307="",CH307=""),"",BQ307/CH307*100)</f>
        <v/>
      </c>
      <c r="BS307" s="41" t="str">
        <f aca="false">IF(BR307="","",IFERROR(MATCH(BR307,INDEX(Boundaries!$B$2:$I$30,MATCH(CV307,Boundaries!$A$2:$A$30,0),0),1)-1,""))</f>
        <v/>
      </c>
      <c r="BT307" s="42" t="str">
        <f aca="false">IF(OR(BS307="",$E307=""),"",BS307-$E307)</f>
        <v/>
      </c>
      <c r="BU307" s="28" t="n">
        <f aca="false">IFERROR(INDEX(Assessments!$H$2:$H$600,MATCH($H307&amp;"|"&amp;$I307&amp;"|"&amp;$J307&amp;"|"&amp;1,Assessments!$A$2:$A$600,0)),"")</f>
        <v>24</v>
      </c>
      <c r="BV307" s="28" t="n">
        <f aca="false">IFERROR(INDEX(Assessments!$H$2:$H$600,MATCH($H307&amp;"|"&amp;$I307&amp;"|"&amp;$J307&amp;"|"&amp;2,Assessments!$A$2:$A$600,0)),"")</f>
        <v>20</v>
      </c>
      <c r="BW307" s="28" t="n">
        <f aca="false">IFERROR(INDEX(Assessments!$H$2:$H$600,MATCH($H307&amp;"|"&amp;$I307&amp;"|"&amp;$J307&amp;"|"&amp;3,Assessments!$A$2:$A$600,0)),"")</f>
        <v>20</v>
      </c>
      <c r="BX307" s="28" t="n">
        <f aca="false">IFERROR(INDEX(Assessments!$H$2:$H$600,MATCH($H307&amp;"|"&amp;$I307&amp;"|"&amp;$J307&amp;"|"&amp;4,Assessments!$A$2:$A$600,0)),"")</f>
        <v>40</v>
      </c>
      <c r="BY307" s="28" t="n">
        <f aca="false">IFERROR(INDEX(Assessments!$H$2:$H$600,MATCH($H307&amp;"|"&amp;$I307&amp;"|"&amp;$J307&amp;"|"&amp;5,Assessments!$A$2:$A$600,0)),"")</f>
        <v>30</v>
      </c>
      <c r="BZ307" s="28" t="n">
        <f aca="false">IFERROR(INDEX(Assessments!$H$2:$H$600,MATCH($H307&amp;"|"&amp;$I307&amp;"|"&amp;$J307&amp;"|"&amp;6,Assessments!$A$2:$A$600,0)),"")</f>
        <v>20</v>
      </c>
      <c r="CA307" s="28" t="n">
        <f aca="false">IFERROR(INDEX(Assessments!$H$2:$H$600,MATCH($H307&amp;"|"&amp;$I307&amp;"|"&amp;$J307&amp;"|"&amp;7,Assessments!$A$2:$A$600,0)),"")</f>
        <v>50</v>
      </c>
      <c r="CB307" s="28" t="str">
        <f aca="false">IFERROR(INDEX(Assessments!$H$2:$H$600,MATCH($H307&amp;"|"&amp;$I307&amp;"|"&amp;$J307&amp;"|"&amp;8,Assessments!$A$2:$A$600,0)),"")</f>
        <v/>
      </c>
      <c r="CC307" s="28" t="str">
        <f aca="false">IFERROR(INDEX(Assessments!$H$2:$H$600,MATCH($H307&amp;"|"&amp;$I307&amp;"|"&amp;$J307&amp;"|"&amp;9,Assessments!$A$2:$A$600,0)),"")</f>
        <v/>
      </c>
      <c r="CD307" s="28" t="str">
        <f aca="false">IFERROR(INDEX(Assessments!$H$2:$H$600,MATCH($H307&amp;"|"&amp;$I307&amp;"|"&amp;$J307&amp;"|"&amp;10,Assessments!$A$2:$A$600,0)),"")</f>
        <v/>
      </c>
      <c r="CE307" s="28" t="str">
        <f aca="false">IFERROR(INDEX(Assessments!$H$2:$H$600,MATCH($H307&amp;"|"&amp;$I307&amp;"|"&amp;$J307&amp;"|"&amp;11,Assessments!$A$2:$A$600,0)),"")</f>
        <v/>
      </c>
      <c r="CF307" s="28" t="str">
        <f aca="false">IFERROR(INDEX(Assessments!$H$2:$H$600,MATCH($H307&amp;"|"&amp;$I307&amp;"|"&amp;$J307&amp;"|"&amp;12,Assessments!$A$2:$A$600,0)),"")</f>
        <v/>
      </c>
      <c r="CG307" s="28" t="str">
        <f aca="false">IFERROR(INDEX(Assessments!$H$2:$H$600,MATCH($H307&amp;"|"&amp;$I307&amp;"|"&amp;$J307&amp;"|"&amp;13,Assessments!$A$2:$A$600,0)),"")</f>
        <v/>
      </c>
      <c r="CH307" s="28" t="str">
        <f aca="false">IFERROR(INDEX(Assessments!$H$2:$H$600,MATCH($H307&amp;"|"&amp;$I307&amp;"|"&amp;$J307&amp;"|"&amp;14,Assessments!$A$2:$A$600,0)),"")</f>
        <v/>
      </c>
      <c r="CI307" s="28" t="str">
        <f aca="false">IFERROR(INDEX(Assessments!$I$2:$I$600,MATCH($H307&amp;"|"&amp;$I307&amp;"|"&amp;$J307&amp;"|"&amp;1,Assessments!$A$2:$A$600,0)),"")</f>
        <v>BM Test</v>
      </c>
      <c r="CJ307" s="28" t="str">
        <f aca="false">IFERROR(INDEX(Assessments!$I$2:$I$600,MATCH($H307&amp;"|"&amp;$I307&amp;"|"&amp;$J307&amp;"|"&amp;2,Assessments!$A$2:$A$600,0)),"")</f>
        <v>BM Test</v>
      </c>
      <c r="CK307" s="28" t="str">
        <f aca="false">IFERROR(INDEX(Assessments!$I$2:$I$600,MATCH($H307&amp;"|"&amp;$I307&amp;"|"&amp;$J307&amp;"|"&amp;3,Assessments!$A$2:$A$600,0)),"")</f>
        <v>BM Test</v>
      </c>
      <c r="CL307" s="28" t="str">
        <f aca="false">IFERROR(INDEX(Assessments!$I$2:$I$600,MATCH($H307&amp;"|"&amp;$I307&amp;"|"&amp;$J307&amp;"|"&amp;4,Assessments!$A$2:$A$600,0)),"")</f>
        <v>BM Exam</v>
      </c>
      <c r="CM307" s="28" t="str">
        <f aca="false">IFERROR(INDEX(Assessments!$I$2:$I$600,MATCH($H307&amp;"|"&amp;$I307&amp;"|"&amp;$J307&amp;"|"&amp;5,Assessments!$A$2:$A$600,0)),"")</f>
        <v>BM Test</v>
      </c>
      <c r="CN307" s="28" t="str">
        <f aca="false">IFERROR(INDEX(Assessments!$I$2:$I$600,MATCH($H307&amp;"|"&amp;$I307&amp;"|"&amp;$J307&amp;"|"&amp;6,Assessments!$A$2:$A$600,0)),"")</f>
        <v>BM Test</v>
      </c>
      <c r="CO307" s="28" t="str">
        <f aca="false">IFERROR(INDEX(Assessments!$I$2:$I$600,MATCH($H307&amp;"|"&amp;$I307&amp;"|"&amp;$J307&amp;"|"&amp;7,Assessments!$A$2:$A$600,0)),"")</f>
        <v>BM Exam</v>
      </c>
      <c r="CP307" s="28" t="str">
        <f aca="false">IFERROR(INDEX(Assessments!$I$2:$I$600,MATCH($H307&amp;"|"&amp;$I307&amp;"|"&amp;$J307&amp;"|"&amp;8,Assessments!$A$2:$A$600,0)),"")</f>
        <v/>
      </c>
      <c r="CQ307" s="28" t="str">
        <f aca="false">IFERROR(INDEX(Assessments!$I$2:$I$600,MATCH($H307&amp;"|"&amp;$I307&amp;"|"&amp;$J307&amp;"|"&amp;9,Assessments!$A$2:$A$600,0)),"")</f>
        <v/>
      </c>
      <c r="CR307" s="28" t="str">
        <f aca="false">IFERROR(INDEX(Assessments!$I$2:$I$600,MATCH($H307&amp;"|"&amp;$I307&amp;"|"&amp;$J307&amp;"|"&amp;10,Assessments!$A$2:$A$600,0)),"")</f>
        <v/>
      </c>
      <c r="CS307" s="28" t="str">
        <f aca="false">IFERROR(INDEX(Assessments!$I$2:$I$600,MATCH($H307&amp;"|"&amp;$I307&amp;"|"&amp;$J307&amp;"|"&amp;11,Assessments!$A$2:$A$600,0)),"")</f>
        <v/>
      </c>
      <c r="CT307" s="28" t="str">
        <f aca="false">IFERROR(INDEX(Assessments!$I$2:$I$600,MATCH($H307&amp;"|"&amp;$I307&amp;"|"&amp;$J307&amp;"|"&amp;12,Assessments!$A$2:$A$600,0)),"")</f>
        <v/>
      </c>
      <c r="CU307" s="28" t="str">
        <f aca="false">IFERROR(INDEX(Assessments!$I$2:$I$600,MATCH($H307&amp;"|"&amp;$I307&amp;"|"&amp;$J307&amp;"|"&amp;13,Assessments!$A$2:$A$600,0)),"")</f>
        <v/>
      </c>
      <c r="CV307" s="28" t="str">
        <f aca="false">IFERROR(INDEX(Assessments!$I$2:$I$600,MATCH($H307&amp;"|"&amp;$I307&amp;"|"&amp;$J307&amp;"|"&amp;14,Assessments!$A$2:$A$600,0)),"")</f>
        <v/>
      </c>
      <c r="CW307" s="28" t="n">
        <f aca="false">IFERROR(INDEX(Assessments!$J$2:$J$600,MATCH($H307&amp;"|"&amp;$I307&amp;"|"&amp;$J307&amp;"|"&amp;1,Assessments!$A$2:$A$600,0)),0)</f>
        <v>1</v>
      </c>
      <c r="CX307" s="28" t="n">
        <f aca="false">IFERROR(INDEX(Assessments!$J$2:$J$600,MATCH($H307&amp;"|"&amp;$I307&amp;"|"&amp;$J307&amp;"|"&amp;2,Assessments!$A$2:$A$600,0)),0)</f>
        <v>1</v>
      </c>
      <c r="CY307" s="28" t="n">
        <f aca="false">IFERROR(INDEX(Assessments!$J$2:$J$600,MATCH($H307&amp;"|"&amp;$I307&amp;"|"&amp;$J307&amp;"|"&amp;3,Assessments!$A$2:$A$600,0)),0)</f>
        <v>1</v>
      </c>
      <c r="CZ307" s="28" t="n">
        <f aca="false">IFERROR(INDEX(Assessments!$J$2:$J$600,MATCH($H307&amp;"|"&amp;$I307&amp;"|"&amp;$J307&amp;"|"&amp;4,Assessments!$A$2:$A$600,0)),0)</f>
        <v>2</v>
      </c>
      <c r="DA307" s="28" t="n">
        <f aca="false">IFERROR(INDEX(Assessments!$J$2:$J$600,MATCH($H307&amp;"|"&amp;$I307&amp;"|"&amp;$J307&amp;"|"&amp;5,Assessments!$A$2:$A$600,0)),0)</f>
        <v>1</v>
      </c>
      <c r="DB307" s="28" t="n">
        <f aca="false">IFERROR(INDEX(Assessments!$J$2:$J$600,MATCH($H307&amp;"|"&amp;$I307&amp;"|"&amp;$J307&amp;"|"&amp;6,Assessments!$A$2:$A$600,0)),0)</f>
        <v>1</v>
      </c>
      <c r="DC307" s="28" t="n">
        <f aca="false">IFERROR(INDEX(Assessments!$J$2:$J$600,MATCH($H307&amp;"|"&amp;$I307&amp;"|"&amp;$J307&amp;"|"&amp;7,Assessments!$A$2:$A$600,0)),0)</f>
        <v>2</v>
      </c>
      <c r="DD307" s="28" t="n">
        <f aca="false">IFERROR(INDEX(Assessments!$J$2:$J$600,MATCH($H307&amp;"|"&amp;$I307&amp;"|"&amp;$J307&amp;"|"&amp;8,Assessments!$A$2:$A$600,0)),0)</f>
        <v>0</v>
      </c>
      <c r="DE307" s="28" t="n">
        <f aca="false">IFERROR(INDEX(Assessments!$J$2:$J$600,MATCH($H307&amp;"|"&amp;$I307&amp;"|"&amp;$J307&amp;"|"&amp;9,Assessments!$A$2:$A$600,0)),0)</f>
        <v>0</v>
      </c>
      <c r="DF307" s="28" t="n">
        <f aca="false">IFERROR(INDEX(Assessments!$J$2:$J$600,MATCH($H307&amp;"|"&amp;$I307&amp;"|"&amp;$J307&amp;"|"&amp;10,Assessments!$A$2:$A$600,0)),0)</f>
        <v>0</v>
      </c>
      <c r="DG307" s="28" t="n">
        <f aca="false">IFERROR(INDEX(Assessments!$J$2:$J$600,MATCH($H307&amp;"|"&amp;$I307&amp;"|"&amp;$J307&amp;"|"&amp;11,Assessments!$A$2:$A$600,0)),0)</f>
        <v>0</v>
      </c>
      <c r="DH307" s="28" t="n">
        <f aca="false">IFERROR(INDEX(Assessments!$J$2:$J$600,MATCH($H307&amp;"|"&amp;$I307&amp;"|"&amp;$J307&amp;"|"&amp;12,Assessments!$A$2:$A$600,0)),0)</f>
        <v>0</v>
      </c>
      <c r="DI307" s="28" t="n">
        <f aca="false">IFERROR(INDEX(Assessments!$J$2:$J$600,MATCH($H307&amp;"|"&amp;$I307&amp;"|"&amp;$J307&amp;"|"&amp;13,Assessments!$A$2:$A$600,0)),0)</f>
        <v>0</v>
      </c>
      <c r="DJ307" s="28" t="n">
        <f aca="false">IFERROR(INDEX(Assessments!$J$2:$J$600,MATCH($H307&amp;"|"&amp;$I307&amp;"|"&amp;$J307&amp;"|"&amp;14,Assessments!$A$2:$A$600,0)),0)</f>
        <v>0</v>
      </c>
      <c r="DK307" s="28" t="n">
        <f aca="false">S307</f>
        <v>7</v>
      </c>
      <c r="DL307" s="28" t="str">
        <f aca="false">W307</f>
        <v/>
      </c>
      <c r="DM307" s="28" t="str">
        <f aca="false">AA307</f>
        <v/>
      </c>
      <c r="DN307" s="28" t="str">
        <f aca="false">AE307</f>
        <v/>
      </c>
      <c r="DO307" s="28" t="str">
        <f aca="false">AI307</f>
        <v/>
      </c>
      <c r="DP307" s="28" t="str">
        <f aca="false">AM307</f>
        <v/>
      </c>
      <c r="DQ307" s="28" t="str">
        <f aca="false">AQ307</f>
        <v/>
      </c>
      <c r="DR307" s="28" t="str">
        <f aca="false">AU307</f>
        <v/>
      </c>
      <c r="DS307" s="28" t="str">
        <f aca="false">AY307</f>
        <v/>
      </c>
      <c r="DT307" s="28" t="str">
        <f aca="false">BC307</f>
        <v/>
      </c>
      <c r="DU307" s="28" t="str">
        <f aca="false">BG307</f>
        <v/>
      </c>
      <c r="DV307" s="28" t="str">
        <f aca="false">BK307</f>
        <v/>
      </c>
      <c r="DW307" s="28" t="str">
        <f aca="false">BO307</f>
        <v/>
      </c>
      <c r="DX307" s="28" t="str">
        <f aca="false">BS307</f>
        <v/>
      </c>
      <c r="DY307" s="28" t="n">
        <f aca="false">IF(ISNUMBER(S307),1,"")</f>
        <v>1</v>
      </c>
      <c r="DZ307" s="28" t="str">
        <f aca="false">IF(ISNUMBER(W307),2,"")</f>
        <v/>
      </c>
      <c r="EA307" s="28" t="str">
        <f aca="false">IF(ISNUMBER(AA307),3,"")</f>
        <v/>
      </c>
      <c r="EB307" s="28" t="str">
        <f aca="false">IF(ISNUMBER(AE307),4,"")</f>
        <v/>
      </c>
      <c r="EC307" s="28" t="str">
        <f aca="false">IF(ISNUMBER(AI307),5,"")</f>
        <v/>
      </c>
      <c r="ED307" s="28" t="str">
        <f aca="false">IF(ISNUMBER(AM307),6,"")</f>
        <v/>
      </c>
      <c r="EE307" s="28" t="str">
        <f aca="false">IF(ISNUMBER(AQ307),7,"")</f>
        <v/>
      </c>
      <c r="EF307" s="28" t="str">
        <f aca="false">IF(ISNUMBER(AU307),8,"")</f>
        <v/>
      </c>
      <c r="EG307" s="28" t="str">
        <f aca="false">IF(ISNUMBER(AY307),9,"")</f>
        <v/>
      </c>
      <c r="EH307" s="28" t="str">
        <f aca="false">IF(ISNUMBER(BC307),10,"")</f>
        <v/>
      </c>
      <c r="EI307" s="28" t="str">
        <f aca="false">IF(ISNUMBER(BG307),11,"")</f>
        <v/>
      </c>
      <c r="EJ307" s="28" t="str">
        <f aca="false">IF(ISNUMBER(BK307),12,"")</f>
        <v/>
      </c>
      <c r="EK307" s="28" t="str">
        <f aca="false">IF(ISNUMBER(BO307),13,"")</f>
        <v/>
      </c>
      <c r="EL307" s="28" t="str">
        <f aca="false">IF(ISNUMBER(BS307),14,"")</f>
        <v/>
      </c>
      <c r="EM307" s="28" t="n">
        <f aca="false">IF(ISNUMBER(R307),R307*CW307,0)</f>
        <v>91.6666666666667</v>
      </c>
      <c r="EN307" s="28" t="n">
        <f aca="false">IF(ISNUMBER(V307),V307*CX307,0)</f>
        <v>0</v>
      </c>
      <c r="EO307" s="28" t="n">
        <f aca="false">IF(ISNUMBER(Z307),Z307*CY307,0)</f>
        <v>0</v>
      </c>
      <c r="EP307" s="28" t="n">
        <f aca="false">IF(ISNUMBER(AD307),AD307*CZ307,0)</f>
        <v>0</v>
      </c>
      <c r="EQ307" s="28" t="n">
        <f aca="false">IF(ISNUMBER(AH307),AH307*DA307,0)</f>
        <v>0</v>
      </c>
      <c r="ER307" s="28" t="n">
        <f aca="false">IF(ISNUMBER(AL307),AL307*DB307,0)</f>
        <v>0</v>
      </c>
      <c r="ES307" s="28" t="n">
        <f aca="false">IF(ISNUMBER(AP307),AP307*DC307,0)</f>
        <v>0</v>
      </c>
      <c r="ET307" s="28" t="n">
        <f aca="false">IF(ISNUMBER(AT307),AT307*DD307,0)</f>
        <v>0</v>
      </c>
      <c r="EU307" s="28" t="n">
        <f aca="false">IF(ISNUMBER(AX307),AX307*DE307,0)</f>
        <v>0</v>
      </c>
      <c r="EV307" s="28" t="n">
        <f aca="false">IF(ISNUMBER(BB307),BB307*DF307,0)</f>
        <v>0</v>
      </c>
      <c r="EW307" s="28" t="n">
        <f aca="false">IF(ISNUMBER(BF307),BF307*DG307,0)</f>
        <v>0</v>
      </c>
      <c r="EX307" s="28" t="n">
        <f aca="false">IF(ISNUMBER(BJ307),BJ307*DH307,0)</f>
        <v>0</v>
      </c>
      <c r="EY307" s="28" t="n">
        <f aca="false">IF(ISNUMBER(BN307),BN307*DI307,0)</f>
        <v>0</v>
      </c>
      <c r="EZ307" s="28" t="n">
        <f aca="false">IF(ISNUMBER(BR307),BR307*DJ307,0)</f>
        <v>0</v>
      </c>
      <c r="FA307" s="28" t="n">
        <f aca="false">IF(ISNUMBER(R307),CW307,0)</f>
        <v>1</v>
      </c>
      <c r="FB307" s="28" t="n">
        <f aca="false">IF(ISNUMBER(V307),CX307,0)</f>
        <v>0</v>
      </c>
      <c r="FC307" s="28" t="n">
        <f aca="false">IF(ISNUMBER(Z307),CY307,0)</f>
        <v>0</v>
      </c>
      <c r="FD307" s="28" t="n">
        <f aca="false">IF(ISNUMBER(AD307),CZ307,0)</f>
        <v>0</v>
      </c>
      <c r="FE307" s="28" t="n">
        <f aca="false">IF(ISNUMBER(AH307),DA307,0)</f>
        <v>0</v>
      </c>
      <c r="FF307" s="28" t="n">
        <f aca="false">IF(ISNUMBER(AL307),DB307,0)</f>
        <v>0</v>
      </c>
      <c r="FG307" s="28" t="n">
        <f aca="false">IF(ISNUMBER(AP307),DC307,0)</f>
        <v>0</v>
      </c>
      <c r="FH307" s="28" t="n">
        <f aca="false">IF(ISNUMBER(AT307),DD307,0)</f>
        <v>0</v>
      </c>
      <c r="FI307" s="28" t="n">
        <f aca="false">IF(ISNUMBER(AX307),DE307,0)</f>
        <v>0</v>
      </c>
      <c r="FJ307" s="28" t="n">
        <f aca="false">IF(ISNUMBER(BB307),DF307,0)</f>
        <v>0</v>
      </c>
      <c r="FK307" s="28" t="n">
        <f aca="false">IF(ISNUMBER(BF307),DG307,0)</f>
        <v>0</v>
      </c>
      <c r="FL307" s="28" t="n">
        <f aca="false">IF(ISNUMBER(BJ307),DH307,0)</f>
        <v>0</v>
      </c>
      <c r="FM307" s="28" t="n">
        <f aca="false">IF(ISNUMBER(BN307),DI307,0)</f>
        <v>0</v>
      </c>
      <c r="FN307" s="28" t="n">
        <f aca="false">IF(ISNUMBER(BR307),DJ307,0)</f>
        <v>0</v>
      </c>
      <c r="FO307" s="28" t="str">
        <f aca="false">IFERROR(INDEX(Lists!$G$2:$G$20,MATCH($I307&amp;"|"&amp;$J307,Lists!$F$2:$F$20,0)),"")</f>
        <v>BM Exam</v>
      </c>
    </row>
    <row r="308" customFormat="false" ht="19.5" hidden="false" customHeight="true" outlineLevel="0" collapsed="false">
      <c r="A308" s="29" t="s">
        <v>247</v>
      </c>
      <c r="B308" s="29" t="s">
        <v>603</v>
      </c>
      <c r="C308" s="30" t="s">
        <v>152</v>
      </c>
      <c r="D308" s="30" t="s">
        <v>408</v>
      </c>
      <c r="E308" s="31"/>
      <c r="F308" s="30"/>
      <c r="G308" s="30"/>
      <c r="H308" s="32" t="s">
        <v>428</v>
      </c>
      <c r="I308" s="33" t="s">
        <v>365</v>
      </c>
      <c r="J308" s="32" t="s">
        <v>25</v>
      </c>
      <c r="K308" s="34" t="str">
        <f aca="false">IF(OR(M308="",$E308=""),"",M308-$E308)</f>
        <v/>
      </c>
      <c r="L308" s="35" t="n">
        <f aca="false">IF(SUM(FA308:FN308)=0,"",SUM(EM308:EZ308)/SUM(FA308:FN308))</f>
        <v>83.3333333333333</v>
      </c>
      <c r="M308" s="36" t="n">
        <f aca="false">IF(OR(L308="",FO308=""),"",IFERROR(MATCH(L308,INDEX(Boundaries!$B$2:$I$30,MATCH(FO308,Boundaries!$A$2:$A$30,0),0),1)-1,""))</f>
        <v>7</v>
      </c>
      <c r="N308" s="37" t="str">
        <f aca="false">IF(COUNT($DY308:$EL308)&lt;2,"",INDEX($DK308:$DX308,MAX($DY308:$EL308))-INDEX($DK308:$DX308,MIN($DY308:$EL308)))</f>
        <v/>
      </c>
      <c r="O308" s="37" t="str">
        <f aca="false">IF(COUNT($DY308:$EL308)&lt;2,"",INDEX($DK308:$DX308,MAX($DY308:$EL308))-INDEX($DK308:$DX308,LARGE($DY308:$EL308,2)))</f>
        <v/>
      </c>
      <c r="P308" s="38" t="str">
        <f aca="false">IF(K308="","",IF(K308&gt;=0,"On/above target",IF(AND(N308&lt;&gt;"",N308&gt;=0.5),"Improving towards target",IF(AND(O308&lt;&gt;"",O308&lt;=-0.5),"Declining","Stable below target"))))</f>
        <v/>
      </c>
      <c r="Q308" s="39" t="n">
        <v>20</v>
      </c>
      <c r="R308" s="40" t="n">
        <f aca="false">IF(OR(Q308="",BU308=""),"",Q308/BU308*100)</f>
        <v>83.3333333333333</v>
      </c>
      <c r="S308" s="41" t="n">
        <f aca="false">IF(R308="","",IFERROR(MATCH(R308,INDEX(Boundaries!$B$2:$I$30,MATCH(CI308,Boundaries!$A$2:$A$30,0),0),1)-1,""))</f>
        <v>7</v>
      </c>
      <c r="T308" s="42" t="str">
        <f aca="false">IF(OR(S308="",$E308=""),"",S308-$E308)</f>
        <v/>
      </c>
      <c r="U308" s="39"/>
      <c r="V308" s="40" t="str">
        <f aca="false">IF(OR(U308="",BV308=""),"",U308/BV308*100)</f>
        <v/>
      </c>
      <c r="W308" s="41" t="str">
        <f aca="false">IF(V308="","",IFERROR(MATCH(V308,INDEX(Boundaries!$B$2:$I$30,MATCH(CJ308,Boundaries!$A$2:$A$30,0),0),1)-1,""))</f>
        <v/>
      </c>
      <c r="X308" s="42" t="str">
        <f aca="false">IF(OR(W308="",$E308=""),"",W308-$E308)</f>
        <v/>
      </c>
      <c r="Y308" s="39"/>
      <c r="Z308" s="40" t="str">
        <f aca="false">IF(OR(Y308="",BW308=""),"",Y308/BW308*100)</f>
        <v/>
      </c>
      <c r="AA308" s="41" t="str">
        <f aca="false">IF(Z308="","",IFERROR(MATCH(Z308,INDEX(Boundaries!$B$2:$I$30,MATCH(CK308,Boundaries!$A$2:$A$30,0),0),1)-1,""))</f>
        <v/>
      </c>
      <c r="AB308" s="42" t="str">
        <f aca="false">IF(OR(AA308="",$E308=""),"",AA308-$E308)</f>
        <v/>
      </c>
      <c r="AC308" s="39"/>
      <c r="AD308" s="40" t="str">
        <f aca="false">IF(OR(AC308="",BX308=""),"",AC308/BX308*100)</f>
        <v/>
      </c>
      <c r="AE308" s="41" t="str">
        <f aca="false">IF(AD308="","",IFERROR(MATCH(AD308,INDEX(Boundaries!$B$2:$I$30,MATCH(CL308,Boundaries!$A$2:$A$30,0),0),1)-1,""))</f>
        <v/>
      </c>
      <c r="AF308" s="42" t="str">
        <f aca="false">IF(OR(AE308="",$E308=""),"",AE308-$E308)</f>
        <v/>
      </c>
      <c r="AG308" s="39"/>
      <c r="AH308" s="40" t="str">
        <f aca="false">IF(OR(AG308="",BY308=""),"",AG308/BY308*100)</f>
        <v/>
      </c>
      <c r="AI308" s="41" t="str">
        <f aca="false">IF(AH308="","",IFERROR(MATCH(AH308,INDEX(Boundaries!$B$2:$I$30,MATCH(CM308,Boundaries!$A$2:$A$30,0),0),1)-1,""))</f>
        <v/>
      </c>
      <c r="AJ308" s="42" t="str">
        <f aca="false">IF(OR(AI308="",$E308=""),"",AI308-$E308)</f>
        <v/>
      </c>
      <c r="AK308" s="39"/>
      <c r="AL308" s="40" t="str">
        <f aca="false">IF(OR(AK308="",BZ308=""),"",AK308/BZ308*100)</f>
        <v/>
      </c>
      <c r="AM308" s="41" t="str">
        <f aca="false">IF(AL308="","",IFERROR(MATCH(AL308,INDEX(Boundaries!$B$2:$I$30,MATCH(CN308,Boundaries!$A$2:$A$30,0),0),1)-1,""))</f>
        <v/>
      </c>
      <c r="AN308" s="42" t="str">
        <f aca="false">IF(OR(AM308="",$E308=""),"",AM308-$E308)</f>
        <v/>
      </c>
      <c r="AO308" s="39"/>
      <c r="AP308" s="40" t="str">
        <f aca="false">IF(OR(AO308="",CA308=""),"",AO308/CA308*100)</f>
        <v/>
      </c>
      <c r="AQ308" s="41" t="str">
        <f aca="false">IF(AP308="","",IFERROR(MATCH(AP308,INDEX(Boundaries!$B$2:$I$30,MATCH(CO308,Boundaries!$A$2:$A$30,0),0),1)-1,""))</f>
        <v/>
      </c>
      <c r="AR308" s="42" t="str">
        <f aca="false">IF(OR(AQ308="",$E308=""),"",AQ308-$E308)</f>
        <v/>
      </c>
      <c r="AS308" s="39"/>
      <c r="AT308" s="40" t="str">
        <f aca="false">IF(OR(AS308="",CB308=""),"",AS308/CB308*100)</f>
        <v/>
      </c>
      <c r="AU308" s="41" t="str">
        <f aca="false">IF(AT308="","",IFERROR(MATCH(AT308,INDEX(Boundaries!$B$2:$I$30,MATCH(CP308,Boundaries!$A$2:$A$30,0),0),1)-1,""))</f>
        <v/>
      </c>
      <c r="AV308" s="42" t="str">
        <f aca="false">IF(OR(AU308="",$E308=""),"",AU308-$E308)</f>
        <v/>
      </c>
      <c r="AW308" s="39"/>
      <c r="AX308" s="40" t="str">
        <f aca="false">IF(OR(AW308="",CC308=""),"",AW308/CC308*100)</f>
        <v/>
      </c>
      <c r="AY308" s="41" t="str">
        <f aca="false">IF(AX308="","",IFERROR(MATCH(AX308,INDEX(Boundaries!$B$2:$I$30,MATCH(CQ308,Boundaries!$A$2:$A$30,0),0),1)-1,""))</f>
        <v/>
      </c>
      <c r="AZ308" s="42" t="str">
        <f aca="false">IF(OR(AY308="",$E308=""),"",AY308-$E308)</f>
        <v/>
      </c>
      <c r="BA308" s="39"/>
      <c r="BB308" s="40" t="str">
        <f aca="false">IF(OR(BA308="",CD308=""),"",BA308/CD308*100)</f>
        <v/>
      </c>
      <c r="BC308" s="41" t="str">
        <f aca="false">IF(BB308="","",IFERROR(MATCH(BB308,INDEX(Boundaries!$B$2:$I$30,MATCH(CR308,Boundaries!$A$2:$A$30,0),0),1)-1,""))</f>
        <v/>
      </c>
      <c r="BD308" s="42" t="str">
        <f aca="false">IF(OR(BC308="",$E308=""),"",BC308-$E308)</f>
        <v/>
      </c>
      <c r="BE308" s="39"/>
      <c r="BF308" s="40" t="str">
        <f aca="false">IF(OR(BE308="",CE308=""),"",BE308/CE308*100)</f>
        <v/>
      </c>
      <c r="BG308" s="41" t="str">
        <f aca="false">IF(BF308="","",IFERROR(MATCH(BF308,INDEX(Boundaries!$B$2:$I$30,MATCH(CS308,Boundaries!$A$2:$A$30,0),0),1)-1,""))</f>
        <v/>
      </c>
      <c r="BH308" s="42" t="str">
        <f aca="false">IF(OR(BG308="",$E308=""),"",BG308-$E308)</f>
        <v/>
      </c>
      <c r="BI308" s="39"/>
      <c r="BJ308" s="40" t="str">
        <f aca="false">IF(OR(BI308="",CF308=""),"",BI308/CF308*100)</f>
        <v/>
      </c>
      <c r="BK308" s="41" t="str">
        <f aca="false">IF(BJ308="","",IFERROR(MATCH(BJ308,INDEX(Boundaries!$B$2:$I$30,MATCH(CT308,Boundaries!$A$2:$A$30,0),0),1)-1,""))</f>
        <v/>
      </c>
      <c r="BL308" s="42" t="str">
        <f aca="false">IF(OR(BK308="",$E308=""),"",BK308-$E308)</f>
        <v/>
      </c>
      <c r="BM308" s="39"/>
      <c r="BN308" s="40" t="str">
        <f aca="false">IF(OR(BM308="",CG308=""),"",BM308/CG308*100)</f>
        <v/>
      </c>
      <c r="BO308" s="41" t="str">
        <f aca="false">IF(BN308="","",IFERROR(MATCH(BN308,INDEX(Boundaries!$B$2:$I$30,MATCH(CU308,Boundaries!$A$2:$A$30,0),0),1)-1,""))</f>
        <v/>
      </c>
      <c r="BP308" s="42" t="str">
        <f aca="false">IF(OR(BO308="",$E308=""),"",BO308-$E308)</f>
        <v/>
      </c>
      <c r="BQ308" s="39"/>
      <c r="BR308" s="40" t="str">
        <f aca="false">IF(OR(BQ308="",CH308=""),"",BQ308/CH308*100)</f>
        <v/>
      </c>
      <c r="BS308" s="41" t="str">
        <f aca="false">IF(BR308="","",IFERROR(MATCH(BR308,INDEX(Boundaries!$B$2:$I$30,MATCH(CV308,Boundaries!$A$2:$A$30,0),0),1)-1,""))</f>
        <v/>
      </c>
      <c r="BT308" s="42" t="str">
        <f aca="false">IF(OR(BS308="",$E308=""),"",BS308-$E308)</f>
        <v/>
      </c>
      <c r="BU308" s="28" t="n">
        <f aca="false">IFERROR(INDEX(Assessments!$H$2:$H$600,MATCH($H308&amp;"|"&amp;$I308&amp;"|"&amp;$J308&amp;"|"&amp;1,Assessments!$A$2:$A$600,0)),"")</f>
        <v>24</v>
      </c>
      <c r="BV308" s="28" t="n">
        <f aca="false">IFERROR(INDEX(Assessments!$H$2:$H$600,MATCH($H308&amp;"|"&amp;$I308&amp;"|"&amp;$J308&amp;"|"&amp;2,Assessments!$A$2:$A$600,0)),"")</f>
        <v>20</v>
      </c>
      <c r="BW308" s="28" t="n">
        <f aca="false">IFERROR(INDEX(Assessments!$H$2:$H$600,MATCH($H308&amp;"|"&amp;$I308&amp;"|"&amp;$J308&amp;"|"&amp;3,Assessments!$A$2:$A$600,0)),"")</f>
        <v>20</v>
      </c>
      <c r="BX308" s="28" t="n">
        <f aca="false">IFERROR(INDEX(Assessments!$H$2:$H$600,MATCH($H308&amp;"|"&amp;$I308&amp;"|"&amp;$J308&amp;"|"&amp;4,Assessments!$A$2:$A$600,0)),"")</f>
        <v>40</v>
      </c>
      <c r="BY308" s="28" t="n">
        <f aca="false">IFERROR(INDEX(Assessments!$H$2:$H$600,MATCH($H308&amp;"|"&amp;$I308&amp;"|"&amp;$J308&amp;"|"&amp;5,Assessments!$A$2:$A$600,0)),"")</f>
        <v>30</v>
      </c>
      <c r="BZ308" s="28" t="n">
        <f aca="false">IFERROR(INDEX(Assessments!$H$2:$H$600,MATCH($H308&amp;"|"&amp;$I308&amp;"|"&amp;$J308&amp;"|"&amp;6,Assessments!$A$2:$A$600,0)),"")</f>
        <v>20</v>
      </c>
      <c r="CA308" s="28" t="n">
        <f aca="false">IFERROR(INDEX(Assessments!$H$2:$H$600,MATCH($H308&amp;"|"&amp;$I308&amp;"|"&amp;$J308&amp;"|"&amp;7,Assessments!$A$2:$A$600,0)),"")</f>
        <v>50</v>
      </c>
      <c r="CB308" s="28" t="str">
        <f aca="false">IFERROR(INDEX(Assessments!$H$2:$H$600,MATCH($H308&amp;"|"&amp;$I308&amp;"|"&amp;$J308&amp;"|"&amp;8,Assessments!$A$2:$A$600,0)),"")</f>
        <v/>
      </c>
      <c r="CC308" s="28" t="str">
        <f aca="false">IFERROR(INDEX(Assessments!$H$2:$H$600,MATCH($H308&amp;"|"&amp;$I308&amp;"|"&amp;$J308&amp;"|"&amp;9,Assessments!$A$2:$A$600,0)),"")</f>
        <v/>
      </c>
      <c r="CD308" s="28" t="str">
        <f aca="false">IFERROR(INDEX(Assessments!$H$2:$H$600,MATCH($H308&amp;"|"&amp;$I308&amp;"|"&amp;$J308&amp;"|"&amp;10,Assessments!$A$2:$A$600,0)),"")</f>
        <v/>
      </c>
      <c r="CE308" s="28" t="str">
        <f aca="false">IFERROR(INDEX(Assessments!$H$2:$H$600,MATCH($H308&amp;"|"&amp;$I308&amp;"|"&amp;$J308&amp;"|"&amp;11,Assessments!$A$2:$A$600,0)),"")</f>
        <v/>
      </c>
      <c r="CF308" s="28" t="str">
        <f aca="false">IFERROR(INDEX(Assessments!$H$2:$H$600,MATCH($H308&amp;"|"&amp;$I308&amp;"|"&amp;$J308&amp;"|"&amp;12,Assessments!$A$2:$A$600,0)),"")</f>
        <v/>
      </c>
      <c r="CG308" s="28" t="str">
        <f aca="false">IFERROR(INDEX(Assessments!$H$2:$H$600,MATCH($H308&amp;"|"&amp;$I308&amp;"|"&amp;$J308&amp;"|"&amp;13,Assessments!$A$2:$A$600,0)),"")</f>
        <v/>
      </c>
      <c r="CH308" s="28" t="str">
        <f aca="false">IFERROR(INDEX(Assessments!$H$2:$H$600,MATCH($H308&amp;"|"&amp;$I308&amp;"|"&amp;$J308&amp;"|"&amp;14,Assessments!$A$2:$A$600,0)),"")</f>
        <v/>
      </c>
      <c r="CI308" s="28" t="str">
        <f aca="false">IFERROR(INDEX(Assessments!$I$2:$I$600,MATCH($H308&amp;"|"&amp;$I308&amp;"|"&amp;$J308&amp;"|"&amp;1,Assessments!$A$2:$A$600,0)),"")</f>
        <v>BM Test</v>
      </c>
      <c r="CJ308" s="28" t="str">
        <f aca="false">IFERROR(INDEX(Assessments!$I$2:$I$600,MATCH($H308&amp;"|"&amp;$I308&amp;"|"&amp;$J308&amp;"|"&amp;2,Assessments!$A$2:$A$600,0)),"")</f>
        <v>BM Test</v>
      </c>
      <c r="CK308" s="28" t="str">
        <f aca="false">IFERROR(INDEX(Assessments!$I$2:$I$600,MATCH($H308&amp;"|"&amp;$I308&amp;"|"&amp;$J308&amp;"|"&amp;3,Assessments!$A$2:$A$600,0)),"")</f>
        <v>BM Test</v>
      </c>
      <c r="CL308" s="28" t="str">
        <f aca="false">IFERROR(INDEX(Assessments!$I$2:$I$600,MATCH($H308&amp;"|"&amp;$I308&amp;"|"&amp;$J308&amp;"|"&amp;4,Assessments!$A$2:$A$600,0)),"")</f>
        <v>BM Exam</v>
      </c>
      <c r="CM308" s="28" t="str">
        <f aca="false">IFERROR(INDEX(Assessments!$I$2:$I$600,MATCH($H308&amp;"|"&amp;$I308&amp;"|"&amp;$J308&amp;"|"&amp;5,Assessments!$A$2:$A$600,0)),"")</f>
        <v>BM Test</v>
      </c>
      <c r="CN308" s="28" t="str">
        <f aca="false">IFERROR(INDEX(Assessments!$I$2:$I$600,MATCH($H308&amp;"|"&amp;$I308&amp;"|"&amp;$J308&amp;"|"&amp;6,Assessments!$A$2:$A$600,0)),"")</f>
        <v>BM Test</v>
      </c>
      <c r="CO308" s="28" t="str">
        <f aca="false">IFERROR(INDEX(Assessments!$I$2:$I$600,MATCH($H308&amp;"|"&amp;$I308&amp;"|"&amp;$J308&amp;"|"&amp;7,Assessments!$A$2:$A$600,0)),"")</f>
        <v>BM Exam</v>
      </c>
      <c r="CP308" s="28" t="str">
        <f aca="false">IFERROR(INDEX(Assessments!$I$2:$I$600,MATCH($H308&amp;"|"&amp;$I308&amp;"|"&amp;$J308&amp;"|"&amp;8,Assessments!$A$2:$A$600,0)),"")</f>
        <v/>
      </c>
      <c r="CQ308" s="28" t="str">
        <f aca="false">IFERROR(INDEX(Assessments!$I$2:$I$600,MATCH($H308&amp;"|"&amp;$I308&amp;"|"&amp;$J308&amp;"|"&amp;9,Assessments!$A$2:$A$600,0)),"")</f>
        <v/>
      </c>
      <c r="CR308" s="28" t="str">
        <f aca="false">IFERROR(INDEX(Assessments!$I$2:$I$600,MATCH($H308&amp;"|"&amp;$I308&amp;"|"&amp;$J308&amp;"|"&amp;10,Assessments!$A$2:$A$600,0)),"")</f>
        <v/>
      </c>
      <c r="CS308" s="28" t="str">
        <f aca="false">IFERROR(INDEX(Assessments!$I$2:$I$600,MATCH($H308&amp;"|"&amp;$I308&amp;"|"&amp;$J308&amp;"|"&amp;11,Assessments!$A$2:$A$600,0)),"")</f>
        <v/>
      </c>
      <c r="CT308" s="28" t="str">
        <f aca="false">IFERROR(INDEX(Assessments!$I$2:$I$600,MATCH($H308&amp;"|"&amp;$I308&amp;"|"&amp;$J308&amp;"|"&amp;12,Assessments!$A$2:$A$600,0)),"")</f>
        <v/>
      </c>
      <c r="CU308" s="28" t="str">
        <f aca="false">IFERROR(INDEX(Assessments!$I$2:$I$600,MATCH($H308&amp;"|"&amp;$I308&amp;"|"&amp;$J308&amp;"|"&amp;13,Assessments!$A$2:$A$600,0)),"")</f>
        <v/>
      </c>
      <c r="CV308" s="28" t="str">
        <f aca="false">IFERROR(INDEX(Assessments!$I$2:$I$600,MATCH($H308&amp;"|"&amp;$I308&amp;"|"&amp;$J308&amp;"|"&amp;14,Assessments!$A$2:$A$600,0)),"")</f>
        <v/>
      </c>
      <c r="CW308" s="28" t="n">
        <f aca="false">IFERROR(INDEX(Assessments!$J$2:$J$600,MATCH($H308&amp;"|"&amp;$I308&amp;"|"&amp;$J308&amp;"|"&amp;1,Assessments!$A$2:$A$600,0)),0)</f>
        <v>1</v>
      </c>
      <c r="CX308" s="28" t="n">
        <f aca="false">IFERROR(INDEX(Assessments!$J$2:$J$600,MATCH($H308&amp;"|"&amp;$I308&amp;"|"&amp;$J308&amp;"|"&amp;2,Assessments!$A$2:$A$600,0)),0)</f>
        <v>1</v>
      </c>
      <c r="CY308" s="28" t="n">
        <f aca="false">IFERROR(INDEX(Assessments!$J$2:$J$600,MATCH($H308&amp;"|"&amp;$I308&amp;"|"&amp;$J308&amp;"|"&amp;3,Assessments!$A$2:$A$600,0)),0)</f>
        <v>1</v>
      </c>
      <c r="CZ308" s="28" t="n">
        <f aca="false">IFERROR(INDEX(Assessments!$J$2:$J$600,MATCH($H308&amp;"|"&amp;$I308&amp;"|"&amp;$J308&amp;"|"&amp;4,Assessments!$A$2:$A$600,0)),0)</f>
        <v>2</v>
      </c>
      <c r="DA308" s="28" t="n">
        <f aca="false">IFERROR(INDEX(Assessments!$J$2:$J$600,MATCH($H308&amp;"|"&amp;$I308&amp;"|"&amp;$J308&amp;"|"&amp;5,Assessments!$A$2:$A$600,0)),0)</f>
        <v>1</v>
      </c>
      <c r="DB308" s="28" t="n">
        <f aca="false">IFERROR(INDEX(Assessments!$J$2:$J$600,MATCH($H308&amp;"|"&amp;$I308&amp;"|"&amp;$J308&amp;"|"&amp;6,Assessments!$A$2:$A$600,0)),0)</f>
        <v>1</v>
      </c>
      <c r="DC308" s="28" t="n">
        <f aca="false">IFERROR(INDEX(Assessments!$J$2:$J$600,MATCH($H308&amp;"|"&amp;$I308&amp;"|"&amp;$J308&amp;"|"&amp;7,Assessments!$A$2:$A$600,0)),0)</f>
        <v>2</v>
      </c>
      <c r="DD308" s="28" t="n">
        <f aca="false">IFERROR(INDEX(Assessments!$J$2:$J$600,MATCH($H308&amp;"|"&amp;$I308&amp;"|"&amp;$J308&amp;"|"&amp;8,Assessments!$A$2:$A$600,0)),0)</f>
        <v>0</v>
      </c>
      <c r="DE308" s="28" t="n">
        <f aca="false">IFERROR(INDEX(Assessments!$J$2:$J$600,MATCH($H308&amp;"|"&amp;$I308&amp;"|"&amp;$J308&amp;"|"&amp;9,Assessments!$A$2:$A$600,0)),0)</f>
        <v>0</v>
      </c>
      <c r="DF308" s="28" t="n">
        <f aca="false">IFERROR(INDEX(Assessments!$J$2:$J$600,MATCH($H308&amp;"|"&amp;$I308&amp;"|"&amp;$J308&amp;"|"&amp;10,Assessments!$A$2:$A$600,0)),0)</f>
        <v>0</v>
      </c>
      <c r="DG308" s="28" t="n">
        <f aca="false">IFERROR(INDEX(Assessments!$J$2:$J$600,MATCH($H308&amp;"|"&amp;$I308&amp;"|"&amp;$J308&amp;"|"&amp;11,Assessments!$A$2:$A$600,0)),0)</f>
        <v>0</v>
      </c>
      <c r="DH308" s="28" t="n">
        <f aca="false">IFERROR(INDEX(Assessments!$J$2:$J$600,MATCH($H308&amp;"|"&amp;$I308&amp;"|"&amp;$J308&amp;"|"&amp;12,Assessments!$A$2:$A$600,0)),0)</f>
        <v>0</v>
      </c>
      <c r="DI308" s="28" t="n">
        <f aca="false">IFERROR(INDEX(Assessments!$J$2:$J$600,MATCH($H308&amp;"|"&amp;$I308&amp;"|"&amp;$J308&amp;"|"&amp;13,Assessments!$A$2:$A$600,0)),0)</f>
        <v>0</v>
      </c>
      <c r="DJ308" s="28" t="n">
        <f aca="false">IFERROR(INDEX(Assessments!$J$2:$J$600,MATCH($H308&amp;"|"&amp;$I308&amp;"|"&amp;$J308&amp;"|"&amp;14,Assessments!$A$2:$A$600,0)),0)</f>
        <v>0</v>
      </c>
      <c r="DK308" s="28" t="n">
        <f aca="false">S308</f>
        <v>7</v>
      </c>
      <c r="DL308" s="28" t="str">
        <f aca="false">W308</f>
        <v/>
      </c>
      <c r="DM308" s="28" t="str">
        <f aca="false">AA308</f>
        <v/>
      </c>
      <c r="DN308" s="28" t="str">
        <f aca="false">AE308</f>
        <v/>
      </c>
      <c r="DO308" s="28" t="str">
        <f aca="false">AI308</f>
        <v/>
      </c>
      <c r="DP308" s="28" t="str">
        <f aca="false">AM308</f>
        <v/>
      </c>
      <c r="DQ308" s="28" t="str">
        <f aca="false">AQ308</f>
        <v/>
      </c>
      <c r="DR308" s="28" t="str">
        <f aca="false">AU308</f>
        <v/>
      </c>
      <c r="DS308" s="28" t="str">
        <f aca="false">AY308</f>
        <v/>
      </c>
      <c r="DT308" s="28" t="str">
        <f aca="false">BC308</f>
        <v/>
      </c>
      <c r="DU308" s="28" t="str">
        <f aca="false">BG308</f>
        <v/>
      </c>
      <c r="DV308" s="28" t="str">
        <f aca="false">BK308</f>
        <v/>
      </c>
      <c r="DW308" s="28" t="str">
        <f aca="false">BO308</f>
        <v/>
      </c>
      <c r="DX308" s="28" t="str">
        <f aca="false">BS308</f>
        <v/>
      </c>
      <c r="DY308" s="28" t="n">
        <f aca="false">IF(ISNUMBER(S308),1,"")</f>
        <v>1</v>
      </c>
      <c r="DZ308" s="28" t="str">
        <f aca="false">IF(ISNUMBER(W308),2,"")</f>
        <v/>
      </c>
      <c r="EA308" s="28" t="str">
        <f aca="false">IF(ISNUMBER(AA308),3,"")</f>
        <v/>
      </c>
      <c r="EB308" s="28" t="str">
        <f aca="false">IF(ISNUMBER(AE308),4,"")</f>
        <v/>
      </c>
      <c r="EC308" s="28" t="str">
        <f aca="false">IF(ISNUMBER(AI308),5,"")</f>
        <v/>
      </c>
      <c r="ED308" s="28" t="str">
        <f aca="false">IF(ISNUMBER(AM308),6,"")</f>
        <v/>
      </c>
      <c r="EE308" s="28" t="str">
        <f aca="false">IF(ISNUMBER(AQ308),7,"")</f>
        <v/>
      </c>
      <c r="EF308" s="28" t="str">
        <f aca="false">IF(ISNUMBER(AU308),8,"")</f>
        <v/>
      </c>
      <c r="EG308" s="28" t="str">
        <f aca="false">IF(ISNUMBER(AY308),9,"")</f>
        <v/>
      </c>
      <c r="EH308" s="28" t="str">
        <f aca="false">IF(ISNUMBER(BC308),10,"")</f>
        <v/>
      </c>
      <c r="EI308" s="28" t="str">
        <f aca="false">IF(ISNUMBER(BG308),11,"")</f>
        <v/>
      </c>
      <c r="EJ308" s="28" t="str">
        <f aca="false">IF(ISNUMBER(BK308),12,"")</f>
        <v/>
      </c>
      <c r="EK308" s="28" t="str">
        <f aca="false">IF(ISNUMBER(BO308),13,"")</f>
        <v/>
      </c>
      <c r="EL308" s="28" t="str">
        <f aca="false">IF(ISNUMBER(BS308),14,"")</f>
        <v/>
      </c>
      <c r="EM308" s="28" t="n">
        <f aca="false">IF(ISNUMBER(R308),R308*CW308,0)</f>
        <v>83.3333333333333</v>
      </c>
      <c r="EN308" s="28" t="n">
        <f aca="false">IF(ISNUMBER(V308),V308*CX308,0)</f>
        <v>0</v>
      </c>
      <c r="EO308" s="28" t="n">
        <f aca="false">IF(ISNUMBER(Z308),Z308*CY308,0)</f>
        <v>0</v>
      </c>
      <c r="EP308" s="28" t="n">
        <f aca="false">IF(ISNUMBER(AD308),AD308*CZ308,0)</f>
        <v>0</v>
      </c>
      <c r="EQ308" s="28" t="n">
        <f aca="false">IF(ISNUMBER(AH308),AH308*DA308,0)</f>
        <v>0</v>
      </c>
      <c r="ER308" s="28" t="n">
        <f aca="false">IF(ISNUMBER(AL308),AL308*DB308,0)</f>
        <v>0</v>
      </c>
      <c r="ES308" s="28" t="n">
        <f aca="false">IF(ISNUMBER(AP308),AP308*DC308,0)</f>
        <v>0</v>
      </c>
      <c r="ET308" s="28" t="n">
        <f aca="false">IF(ISNUMBER(AT308),AT308*DD308,0)</f>
        <v>0</v>
      </c>
      <c r="EU308" s="28" t="n">
        <f aca="false">IF(ISNUMBER(AX308),AX308*DE308,0)</f>
        <v>0</v>
      </c>
      <c r="EV308" s="28" t="n">
        <f aca="false">IF(ISNUMBER(BB308),BB308*DF308,0)</f>
        <v>0</v>
      </c>
      <c r="EW308" s="28" t="n">
        <f aca="false">IF(ISNUMBER(BF308),BF308*DG308,0)</f>
        <v>0</v>
      </c>
      <c r="EX308" s="28" t="n">
        <f aca="false">IF(ISNUMBER(BJ308),BJ308*DH308,0)</f>
        <v>0</v>
      </c>
      <c r="EY308" s="28" t="n">
        <f aca="false">IF(ISNUMBER(BN308),BN308*DI308,0)</f>
        <v>0</v>
      </c>
      <c r="EZ308" s="28" t="n">
        <f aca="false">IF(ISNUMBER(BR308),BR308*DJ308,0)</f>
        <v>0</v>
      </c>
      <c r="FA308" s="28" t="n">
        <f aca="false">IF(ISNUMBER(R308),CW308,0)</f>
        <v>1</v>
      </c>
      <c r="FB308" s="28" t="n">
        <f aca="false">IF(ISNUMBER(V308),CX308,0)</f>
        <v>0</v>
      </c>
      <c r="FC308" s="28" t="n">
        <f aca="false">IF(ISNUMBER(Z308),CY308,0)</f>
        <v>0</v>
      </c>
      <c r="FD308" s="28" t="n">
        <f aca="false">IF(ISNUMBER(AD308),CZ308,0)</f>
        <v>0</v>
      </c>
      <c r="FE308" s="28" t="n">
        <f aca="false">IF(ISNUMBER(AH308),DA308,0)</f>
        <v>0</v>
      </c>
      <c r="FF308" s="28" t="n">
        <f aca="false">IF(ISNUMBER(AL308),DB308,0)</f>
        <v>0</v>
      </c>
      <c r="FG308" s="28" t="n">
        <f aca="false">IF(ISNUMBER(AP308),DC308,0)</f>
        <v>0</v>
      </c>
      <c r="FH308" s="28" t="n">
        <f aca="false">IF(ISNUMBER(AT308),DD308,0)</f>
        <v>0</v>
      </c>
      <c r="FI308" s="28" t="n">
        <f aca="false">IF(ISNUMBER(AX308),DE308,0)</f>
        <v>0</v>
      </c>
      <c r="FJ308" s="28" t="n">
        <f aca="false">IF(ISNUMBER(BB308),DF308,0)</f>
        <v>0</v>
      </c>
      <c r="FK308" s="28" t="n">
        <f aca="false">IF(ISNUMBER(BF308),DG308,0)</f>
        <v>0</v>
      </c>
      <c r="FL308" s="28" t="n">
        <f aca="false">IF(ISNUMBER(BJ308),DH308,0)</f>
        <v>0</v>
      </c>
      <c r="FM308" s="28" t="n">
        <f aca="false">IF(ISNUMBER(BN308),DI308,0)</f>
        <v>0</v>
      </c>
      <c r="FN308" s="28" t="n">
        <f aca="false">IF(ISNUMBER(BR308),DJ308,0)</f>
        <v>0</v>
      </c>
      <c r="FO308" s="28" t="str">
        <f aca="false">IFERROR(INDEX(Lists!$G$2:$G$20,MATCH($I308&amp;"|"&amp;$J308,Lists!$F$2:$F$20,0)),"")</f>
        <v>BM Exam</v>
      </c>
    </row>
    <row r="309" customFormat="false" ht="19.5" hidden="false" customHeight="true" outlineLevel="0" collapsed="false">
      <c r="A309" s="29" t="s">
        <v>604</v>
      </c>
      <c r="B309" s="29" t="s">
        <v>605</v>
      </c>
      <c r="C309" s="30" t="s">
        <v>152</v>
      </c>
      <c r="D309" s="30" t="s">
        <v>408</v>
      </c>
      <c r="E309" s="31"/>
      <c r="F309" s="30"/>
      <c r="G309" s="30"/>
      <c r="H309" s="32" t="s">
        <v>428</v>
      </c>
      <c r="I309" s="33" t="s">
        <v>365</v>
      </c>
      <c r="J309" s="32" t="s">
        <v>25</v>
      </c>
      <c r="K309" s="34" t="str">
        <f aca="false">IF(OR(M309="",$E309=""),"",M309-$E309)</f>
        <v/>
      </c>
      <c r="L309" s="35" t="n">
        <f aca="false">IF(SUM(FA309:FN309)=0,"",SUM(EM309:EZ309)/SUM(FA309:FN309))</f>
        <v>100</v>
      </c>
      <c r="M309" s="36" t="n">
        <f aca="false">IF(OR(L309="",FO309=""),"",IFERROR(MATCH(L309,INDEX(Boundaries!$B$2:$I$30,MATCH(FO309,Boundaries!$A$2:$A$30,0),0),1)-1,""))</f>
        <v>7</v>
      </c>
      <c r="N309" s="37" t="str">
        <f aca="false">IF(COUNT($DY309:$EL309)&lt;2,"",INDEX($DK309:$DX309,MAX($DY309:$EL309))-INDEX($DK309:$DX309,MIN($DY309:$EL309)))</f>
        <v/>
      </c>
      <c r="O309" s="37" t="str">
        <f aca="false">IF(COUNT($DY309:$EL309)&lt;2,"",INDEX($DK309:$DX309,MAX($DY309:$EL309))-INDEX($DK309:$DX309,LARGE($DY309:$EL309,2)))</f>
        <v/>
      </c>
      <c r="P309" s="38" t="str">
        <f aca="false">IF(K309="","",IF(K309&gt;=0,"On/above target",IF(AND(N309&lt;&gt;"",N309&gt;=0.5),"Improving towards target",IF(AND(O309&lt;&gt;"",O309&lt;=-0.5),"Declining","Stable below target"))))</f>
        <v/>
      </c>
      <c r="Q309" s="39" t="n">
        <v>24</v>
      </c>
      <c r="R309" s="40" t="n">
        <f aca="false">IF(OR(Q309="",BU309=""),"",Q309/BU309*100)</f>
        <v>100</v>
      </c>
      <c r="S309" s="41" t="n">
        <f aca="false">IF(R309="","",IFERROR(MATCH(R309,INDEX(Boundaries!$B$2:$I$30,MATCH(CI309,Boundaries!$A$2:$A$30,0),0),1)-1,""))</f>
        <v>7</v>
      </c>
      <c r="T309" s="42" t="str">
        <f aca="false">IF(OR(S309="",$E309=""),"",S309-$E309)</f>
        <v/>
      </c>
      <c r="U309" s="39"/>
      <c r="V309" s="40" t="str">
        <f aca="false">IF(OR(U309="",BV309=""),"",U309/BV309*100)</f>
        <v/>
      </c>
      <c r="W309" s="41" t="str">
        <f aca="false">IF(V309="","",IFERROR(MATCH(V309,INDEX(Boundaries!$B$2:$I$30,MATCH(CJ309,Boundaries!$A$2:$A$30,0),0),1)-1,""))</f>
        <v/>
      </c>
      <c r="X309" s="42" t="str">
        <f aca="false">IF(OR(W309="",$E309=""),"",W309-$E309)</f>
        <v/>
      </c>
      <c r="Y309" s="39"/>
      <c r="Z309" s="40" t="str">
        <f aca="false">IF(OR(Y309="",BW309=""),"",Y309/BW309*100)</f>
        <v/>
      </c>
      <c r="AA309" s="41" t="str">
        <f aca="false">IF(Z309="","",IFERROR(MATCH(Z309,INDEX(Boundaries!$B$2:$I$30,MATCH(CK309,Boundaries!$A$2:$A$30,0),0),1)-1,""))</f>
        <v/>
      </c>
      <c r="AB309" s="42" t="str">
        <f aca="false">IF(OR(AA309="",$E309=""),"",AA309-$E309)</f>
        <v/>
      </c>
      <c r="AC309" s="39"/>
      <c r="AD309" s="40" t="str">
        <f aca="false">IF(OR(AC309="",BX309=""),"",AC309/BX309*100)</f>
        <v/>
      </c>
      <c r="AE309" s="41" t="str">
        <f aca="false">IF(AD309="","",IFERROR(MATCH(AD309,INDEX(Boundaries!$B$2:$I$30,MATCH(CL309,Boundaries!$A$2:$A$30,0),0),1)-1,""))</f>
        <v/>
      </c>
      <c r="AF309" s="42" t="str">
        <f aca="false">IF(OR(AE309="",$E309=""),"",AE309-$E309)</f>
        <v/>
      </c>
      <c r="AG309" s="39"/>
      <c r="AH309" s="40" t="str">
        <f aca="false">IF(OR(AG309="",BY309=""),"",AG309/BY309*100)</f>
        <v/>
      </c>
      <c r="AI309" s="41" t="str">
        <f aca="false">IF(AH309="","",IFERROR(MATCH(AH309,INDEX(Boundaries!$B$2:$I$30,MATCH(CM309,Boundaries!$A$2:$A$30,0),0),1)-1,""))</f>
        <v/>
      </c>
      <c r="AJ309" s="42" t="str">
        <f aca="false">IF(OR(AI309="",$E309=""),"",AI309-$E309)</f>
        <v/>
      </c>
      <c r="AK309" s="39"/>
      <c r="AL309" s="40" t="str">
        <f aca="false">IF(OR(AK309="",BZ309=""),"",AK309/BZ309*100)</f>
        <v/>
      </c>
      <c r="AM309" s="41" t="str">
        <f aca="false">IF(AL309="","",IFERROR(MATCH(AL309,INDEX(Boundaries!$B$2:$I$30,MATCH(CN309,Boundaries!$A$2:$A$30,0),0),1)-1,""))</f>
        <v/>
      </c>
      <c r="AN309" s="42" t="str">
        <f aca="false">IF(OR(AM309="",$E309=""),"",AM309-$E309)</f>
        <v/>
      </c>
      <c r="AO309" s="39"/>
      <c r="AP309" s="40" t="str">
        <f aca="false">IF(OR(AO309="",CA309=""),"",AO309/CA309*100)</f>
        <v/>
      </c>
      <c r="AQ309" s="41" t="str">
        <f aca="false">IF(AP309="","",IFERROR(MATCH(AP309,INDEX(Boundaries!$B$2:$I$30,MATCH(CO309,Boundaries!$A$2:$A$30,0),0),1)-1,""))</f>
        <v/>
      </c>
      <c r="AR309" s="42" t="str">
        <f aca="false">IF(OR(AQ309="",$E309=""),"",AQ309-$E309)</f>
        <v/>
      </c>
      <c r="AS309" s="39"/>
      <c r="AT309" s="40" t="str">
        <f aca="false">IF(OR(AS309="",CB309=""),"",AS309/CB309*100)</f>
        <v/>
      </c>
      <c r="AU309" s="41" t="str">
        <f aca="false">IF(AT309="","",IFERROR(MATCH(AT309,INDEX(Boundaries!$B$2:$I$30,MATCH(CP309,Boundaries!$A$2:$A$30,0),0),1)-1,""))</f>
        <v/>
      </c>
      <c r="AV309" s="42" t="str">
        <f aca="false">IF(OR(AU309="",$E309=""),"",AU309-$E309)</f>
        <v/>
      </c>
      <c r="AW309" s="39"/>
      <c r="AX309" s="40" t="str">
        <f aca="false">IF(OR(AW309="",CC309=""),"",AW309/CC309*100)</f>
        <v/>
      </c>
      <c r="AY309" s="41" t="str">
        <f aca="false">IF(AX309="","",IFERROR(MATCH(AX309,INDEX(Boundaries!$B$2:$I$30,MATCH(CQ309,Boundaries!$A$2:$A$30,0),0),1)-1,""))</f>
        <v/>
      </c>
      <c r="AZ309" s="42" t="str">
        <f aca="false">IF(OR(AY309="",$E309=""),"",AY309-$E309)</f>
        <v/>
      </c>
      <c r="BA309" s="39"/>
      <c r="BB309" s="40" t="str">
        <f aca="false">IF(OR(BA309="",CD309=""),"",BA309/CD309*100)</f>
        <v/>
      </c>
      <c r="BC309" s="41" t="str">
        <f aca="false">IF(BB309="","",IFERROR(MATCH(BB309,INDEX(Boundaries!$B$2:$I$30,MATCH(CR309,Boundaries!$A$2:$A$30,0),0),1)-1,""))</f>
        <v/>
      </c>
      <c r="BD309" s="42" t="str">
        <f aca="false">IF(OR(BC309="",$E309=""),"",BC309-$E309)</f>
        <v/>
      </c>
      <c r="BE309" s="39"/>
      <c r="BF309" s="40" t="str">
        <f aca="false">IF(OR(BE309="",CE309=""),"",BE309/CE309*100)</f>
        <v/>
      </c>
      <c r="BG309" s="41" t="str">
        <f aca="false">IF(BF309="","",IFERROR(MATCH(BF309,INDEX(Boundaries!$B$2:$I$30,MATCH(CS309,Boundaries!$A$2:$A$30,0),0),1)-1,""))</f>
        <v/>
      </c>
      <c r="BH309" s="42" t="str">
        <f aca="false">IF(OR(BG309="",$E309=""),"",BG309-$E309)</f>
        <v/>
      </c>
      <c r="BI309" s="39"/>
      <c r="BJ309" s="40" t="str">
        <f aca="false">IF(OR(BI309="",CF309=""),"",BI309/CF309*100)</f>
        <v/>
      </c>
      <c r="BK309" s="41" t="str">
        <f aca="false">IF(BJ309="","",IFERROR(MATCH(BJ309,INDEX(Boundaries!$B$2:$I$30,MATCH(CT309,Boundaries!$A$2:$A$30,0),0),1)-1,""))</f>
        <v/>
      </c>
      <c r="BL309" s="42" t="str">
        <f aca="false">IF(OR(BK309="",$E309=""),"",BK309-$E309)</f>
        <v/>
      </c>
      <c r="BM309" s="39"/>
      <c r="BN309" s="40" t="str">
        <f aca="false">IF(OR(BM309="",CG309=""),"",BM309/CG309*100)</f>
        <v/>
      </c>
      <c r="BO309" s="41" t="str">
        <f aca="false">IF(BN309="","",IFERROR(MATCH(BN309,INDEX(Boundaries!$B$2:$I$30,MATCH(CU309,Boundaries!$A$2:$A$30,0),0),1)-1,""))</f>
        <v/>
      </c>
      <c r="BP309" s="42" t="str">
        <f aca="false">IF(OR(BO309="",$E309=""),"",BO309-$E309)</f>
        <v/>
      </c>
      <c r="BQ309" s="39"/>
      <c r="BR309" s="40" t="str">
        <f aca="false">IF(OR(BQ309="",CH309=""),"",BQ309/CH309*100)</f>
        <v/>
      </c>
      <c r="BS309" s="41" t="str">
        <f aca="false">IF(BR309="","",IFERROR(MATCH(BR309,INDEX(Boundaries!$B$2:$I$30,MATCH(CV309,Boundaries!$A$2:$A$30,0),0),1)-1,""))</f>
        <v/>
      </c>
      <c r="BT309" s="42" t="str">
        <f aca="false">IF(OR(BS309="",$E309=""),"",BS309-$E309)</f>
        <v/>
      </c>
      <c r="BU309" s="28" t="n">
        <f aca="false">IFERROR(INDEX(Assessments!$H$2:$H$600,MATCH($H309&amp;"|"&amp;$I309&amp;"|"&amp;$J309&amp;"|"&amp;1,Assessments!$A$2:$A$600,0)),"")</f>
        <v>24</v>
      </c>
      <c r="BV309" s="28" t="n">
        <f aca="false">IFERROR(INDEX(Assessments!$H$2:$H$600,MATCH($H309&amp;"|"&amp;$I309&amp;"|"&amp;$J309&amp;"|"&amp;2,Assessments!$A$2:$A$600,0)),"")</f>
        <v>20</v>
      </c>
      <c r="BW309" s="28" t="n">
        <f aca="false">IFERROR(INDEX(Assessments!$H$2:$H$600,MATCH($H309&amp;"|"&amp;$I309&amp;"|"&amp;$J309&amp;"|"&amp;3,Assessments!$A$2:$A$600,0)),"")</f>
        <v>20</v>
      </c>
      <c r="BX309" s="28" t="n">
        <f aca="false">IFERROR(INDEX(Assessments!$H$2:$H$600,MATCH($H309&amp;"|"&amp;$I309&amp;"|"&amp;$J309&amp;"|"&amp;4,Assessments!$A$2:$A$600,0)),"")</f>
        <v>40</v>
      </c>
      <c r="BY309" s="28" t="n">
        <f aca="false">IFERROR(INDEX(Assessments!$H$2:$H$600,MATCH($H309&amp;"|"&amp;$I309&amp;"|"&amp;$J309&amp;"|"&amp;5,Assessments!$A$2:$A$600,0)),"")</f>
        <v>30</v>
      </c>
      <c r="BZ309" s="28" t="n">
        <f aca="false">IFERROR(INDEX(Assessments!$H$2:$H$600,MATCH($H309&amp;"|"&amp;$I309&amp;"|"&amp;$J309&amp;"|"&amp;6,Assessments!$A$2:$A$600,0)),"")</f>
        <v>20</v>
      </c>
      <c r="CA309" s="28" t="n">
        <f aca="false">IFERROR(INDEX(Assessments!$H$2:$H$600,MATCH($H309&amp;"|"&amp;$I309&amp;"|"&amp;$J309&amp;"|"&amp;7,Assessments!$A$2:$A$600,0)),"")</f>
        <v>50</v>
      </c>
      <c r="CB309" s="28" t="str">
        <f aca="false">IFERROR(INDEX(Assessments!$H$2:$H$600,MATCH($H309&amp;"|"&amp;$I309&amp;"|"&amp;$J309&amp;"|"&amp;8,Assessments!$A$2:$A$600,0)),"")</f>
        <v/>
      </c>
      <c r="CC309" s="28" t="str">
        <f aca="false">IFERROR(INDEX(Assessments!$H$2:$H$600,MATCH($H309&amp;"|"&amp;$I309&amp;"|"&amp;$J309&amp;"|"&amp;9,Assessments!$A$2:$A$600,0)),"")</f>
        <v/>
      </c>
      <c r="CD309" s="28" t="str">
        <f aca="false">IFERROR(INDEX(Assessments!$H$2:$H$600,MATCH($H309&amp;"|"&amp;$I309&amp;"|"&amp;$J309&amp;"|"&amp;10,Assessments!$A$2:$A$600,0)),"")</f>
        <v/>
      </c>
      <c r="CE309" s="28" t="str">
        <f aca="false">IFERROR(INDEX(Assessments!$H$2:$H$600,MATCH($H309&amp;"|"&amp;$I309&amp;"|"&amp;$J309&amp;"|"&amp;11,Assessments!$A$2:$A$600,0)),"")</f>
        <v/>
      </c>
      <c r="CF309" s="28" t="str">
        <f aca="false">IFERROR(INDEX(Assessments!$H$2:$H$600,MATCH($H309&amp;"|"&amp;$I309&amp;"|"&amp;$J309&amp;"|"&amp;12,Assessments!$A$2:$A$600,0)),"")</f>
        <v/>
      </c>
      <c r="CG309" s="28" t="str">
        <f aca="false">IFERROR(INDEX(Assessments!$H$2:$H$600,MATCH($H309&amp;"|"&amp;$I309&amp;"|"&amp;$J309&amp;"|"&amp;13,Assessments!$A$2:$A$600,0)),"")</f>
        <v/>
      </c>
      <c r="CH309" s="28" t="str">
        <f aca="false">IFERROR(INDEX(Assessments!$H$2:$H$600,MATCH($H309&amp;"|"&amp;$I309&amp;"|"&amp;$J309&amp;"|"&amp;14,Assessments!$A$2:$A$600,0)),"")</f>
        <v/>
      </c>
      <c r="CI309" s="28" t="str">
        <f aca="false">IFERROR(INDEX(Assessments!$I$2:$I$600,MATCH($H309&amp;"|"&amp;$I309&amp;"|"&amp;$J309&amp;"|"&amp;1,Assessments!$A$2:$A$600,0)),"")</f>
        <v>BM Test</v>
      </c>
      <c r="CJ309" s="28" t="str">
        <f aca="false">IFERROR(INDEX(Assessments!$I$2:$I$600,MATCH($H309&amp;"|"&amp;$I309&amp;"|"&amp;$J309&amp;"|"&amp;2,Assessments!$A$2:$A$600,0)),"")</f>
        <v>BM Test</v>
      </c>
      <c r="CK309" s="28" t="str">
        <f aca="false">IFERROR(INDEX(Assessments!$I$2:$I$600,MATCH($H309&amp;"|"&amp;$I309&amp;"|"&amp;$J309&amp;"|"&amp;3,Assessments!$A$2:$A$600,0)),"")</f>
        <v>BM Test</v>
      </c>
      <c r="CL309" s="28" t="str">
        <f aca="false">IFERROR(INDEX(Assessments!$I$2:$I$600,MATCH($H309&amp;"|"&amp;$I309&amp;"|"&amp;$J309&amp;"|"&amp;4,Assessments!$A$2:$A$600,0)),"")</f>
        <v>BM Exam</v>
      </c>
      <c r="CM309" s="28" t="str">
        <f aca="false">IFERROR(INDEX(Assessments!$I$2:$I$600,MATCH($H309&amp;"|"&amp;$I309&amp;"|"&amp;$J309&amp;"|"&amp;5,Assessments!$A$2:$A$600,0)),"")</f>
        <v>BM Test</v>
      </c>
      <c r="CN309" s="28" t="str">
        <f aca="false">IFERROR(INDEX(Assessments!$I$2:$I$600,MATCH($H309&amp;"|"&amp;$I309&amp;"|"&amp;$J309&amp;"|"&amp;6,Assessments!$A$2:$A$600,0)),"")</f>
        <v>BM Test</v>
      </c>
      <c r="CO309" s="28" t="str">
        <f aca="false">IFERROR(INDEX(Assessments!$I$2:$I$600,MATCH($H309&amp;"|"&amp;$I309&amp;"|"&amp;$J309&amp;"|"&amp;7,Assessments!$A$2:$A$600,0)),"")</f>
        <v>BM Exam</v>
      </c>
      <c r="CP309" s="28" t="str">
        <f aca="false">IFERROR(INDEX(Assessments!$I$2:$I$600,MATCH($H309&amp;"|"&amp;$I309&amp;"|"&amp;$J309&amp;"|"&amp;8,Assessments!$A$2:$A$600,0)),"")</f>
        <v/>
      </c>
      <c r="CQ309" s="28" t="str">
        <f aca="false">IFERROR(INDEX(Assessments!$I$2:$I$600,MATCH($H309&amp;"|"&amp;$I309&amp;"|"&amp;$J309&amp;"|"&amp;9,Assessments!$A$2:$A$600,0)),"")</f>
        <v/>
      </c>
      <c r="CR309" s="28" t="str">
        <f aca="false">IFERROR(INDEX(Assessments!$I$2:$I$600,MATCH($H309&amp;"|"&amp;$I309&amp;"|"&amp;$J309&amp;"|"&amp;10,Assessments!$A$2:$A$600,0)),"")</f>
        <v/>
      </c>
      <c r="CS309" s="28" t="str">
        <f aca="false">IFERROR(INDEX(Assessments!$I$2:$I$600,MATCH($H309&amp;"|"&amp;$I309&amp;"|"&amp;$J309&amp;"|"&amp;11,Assessments!$A$2:$A$600,0)),"")</f>
        <v/>
      </c>
      <c r="CT309" s="28" t="str">
        <f aca="false">IFERROR(INDEX(Assessments!$I$2:$I$600,MATCH($H309&amp;"|"&amp;$I309&amp;"|"&amp;$J309&amp;"|"&amp;12,Assessments!$A$2:$A$600,0)),"")</f>
        <v/>
      </c>
      <c r="CU309" s="28" t="str">
        <f aca="false">IFERROR(INDEX(Assessments!$I$2:$I$600,MATCH($H309&amp;"|"&amp;$I309&amp;"|"&amp;$J309&amp;"|"&amp;13,Assessments!$A$2:$A$600,0)),"")</f>
        <v/>
      </c>
      <c r="CV309" s="28" t="str">
        <f aca="false">IFERROR(INDEX(Assessments!$I$2:$I$600,MATCH($H309&amp;"|"&amp;$I309&amp;"|"&amp;$J309&amp;"|"&amp;14,Assessments!$A$2:$A$600,0)),"")</f>
        <v/>
      </c>
      <c r="CW309" s="28" t="n">
        <f aca="false">IFERROR(INDEX(Assessments!$J$2:$J$600,MATCH($H309&amp;"|"&amp;$I309&amp;"|"&amp;$J309&amp;"|"&amp;1,Assessments!$A$2:$A$600,0)),0)</f>
        <v>1</v>
      </c>
      <c r="CX309" s="28" t="n">
        <f aca="false">IFERROR(INDEX(Assessments!$J$2:$J$600,MATCH($H309&amp;"|"&amp;$I309&amp;"|"&amp;$J309&amp;"|"&amp;2,Assessments!$A$2:$A$600,0)),0)</f>
        <v>1</v>
      </c>
      <c r="CY309" s="28" t="n">
        <f aca="false">IFERROR(INDEX(Assessments!$J$2:$J$600,MATCH($H309&amp;"|"&amp;$I309&amp;"|"&amp;$J309&amp;"|"&amp;3,Assessments!$A$2:$A$600,0)),0)</f>
        <v>1</v>
      </c>
      <c r="CZ309" s="28" t="n">
        <f aca="false">IFERROR(INDEX(Assessments!$J$2:$J$600,MATCH($H309&amp;"|"&amp;$I309&amp;"|"&amp;$J309&amp;"|"&amp;4,Assessments!$A$2:$A$600,0)),0)</f>
        <v>2</v>
      </c>
      <c r="DA309" s="28" t="n">
        <f aca="false">IFERROR(INDEX(Assessments!$J$2:$J$600,MATCH($H309&amp;"|"&amp;$I309&amp;"|"&amp;$J309&amp;"|"&amp;5,Assessments!$A$2:$A$600,0)),0)</f>
        <v>1</v>
      </c>
      <c r="DB309" s="28" t="n">
        <f aca="false">IFERROR(INDEX(Assessments!$J$2:$J$600,MATCH($H309&amp;"|"&amp;$I309&amp;"|"&amp;$J309&amp;"|"&amp;6,Assessments!$A$2:$A$600,0)),0)</f>
        <v>1</v>
      </c>
      <c r="DC309" s="28" t="n">
        <f aca="false">IFERROR(INDEX(Assessments!$J$2:$J$600,MATCH($H309&amp;"|"&amp;$I309&amp;"|"&amp;$J309&amp;"|"&amp;7,Assessments!$A$2:$A$600,0)),0)</f>
        <v>2</v>
      </c>
      <c r="DD309" s="28" t="n">
        <f aca="false">IFERROR(INDEX(Assessments!$J$2:$J$600,MATCH($H309&amp;"|"&amp;$I309&amp;"|"&amp;$J309&amp;"|"&amp;8,Assessments!$A$2:$A$600,0)),0)</f>
        <v>0</v>
      </c>
      <c r="DE309" s="28" t="n">
        <f aca="false">IFERROR(INDEX(Assessments!$J$2:$J$600,MATCH($H309&amp;"|"&amp;$I309&amp;"|"&amp;$J309&amp;"|"&amp;9,Assessments!$A$2:$A$600,0)),0)</f>
        <v>0</v>
      </c>
      <c r="DF309" s="28" t="n">
        <f aca="false">IFERROR(INDEX(Assessments!$J$2:$J$600,MATCH($H309&amp;"|"&amp;$I309&amp;"|"&amp;$J309&amp;"|"&amp;10,Assessments!$A$2:$A$600,0)),0)</f>
        <v>0</v>
      </c>
      <c r="DG309" s="28" t="n">
        <f aca="false">IFERROR(INDEX(Assessments!$J$2:$J$600,MATCH($H309&amp;"|"&amp;$I309&amp;"|"&amp;$J309&amp;"|"&amp;11,Assessments!$A$2:$A$600,0)),0)</f>
        <v>0</v>
      </c>
      <c r="DH309" s="28" t="n">
        <f aca="false">IFERROR(INDEX(Assessments!$J$2:$J$600,MATCH($H309&amp;"|"&amp;$I309&amp;"|"&amp;$J309&amp;"|"&amp;12,Assessments!$A$2:$A$600,0)),0)</f>
        <v>0</v>
      </c>
      <c r="DI309" s="28" t="n">
        <f aca="false">IFERROR(INDEX(Assessments!$J$2:$J$600,MATCH($H309&amp;"|"&amp;$I309&amp;"|"&amp;$J309&amp;"|"&amp;13,Assessments!$A$2:$A$600,0)),0)</f>
        <v>0</v>
      </c>
      <c r="DJ309" s="28" t="n">
        <f aca="false">IFERROR(INDEX(Assessments!$J$2:$J$600,MATCH($H309&amp;"|"&amp;$I309&amp;"|"&amp;$J309&amp;"|"&amp;14,Assessments!$A$2:$A$600,0)),0)</f>
        <v>0</v>
      </c>
      <c r="DK309" s="28" t="n">
        <f aca="false">S309</f>
        <v>7</v>
      </c>
      <c r="DL309" s="28" t="str">
        <f aca="false">W309</f>
        <v/>
      </c>
      <c r="DM309" s="28" t="str">
        <f aca="false">AA309</f>
        <v/>
      </c>
      <c r="DN309" s="28" t="str">
        <f aca="false">AE309</f>
        <v/>
      </c>
      <c r="DO309" s="28" t="str">
        <f aca="false">AI309</f>
        <v/>
      </c>
      <c r="DP309" s="28" t="str">
        <f aca="false">AM309</f>
        <v/>
      </c>
      <c r="DQ309" s="28" t="str">
        <f aca="false">AQ309</f>
        <v/>
      </c>
      <c r="DR309" s="28" t="str">
        <f aca="false">AU309</f>
        <v/>
      </c>
      <c r="DS309" s="28" t="str">
        <f aca="false">AY309</f>
        <v/>
      </c>
      <c r="DT309" s="28" t="str">
        <f aca="false">BC309</f>
        <v/>
      </c>
      <c r="DU309" s="28" t="str">
        <f aca="false">BG309</f>
        <v/>
      </c>
      <c r="DV309" s="28" t="str">
        <f aca="false">BK309</f>
        <v/>
      </c>
      <c r="DW309" s="28" t="str">
        <f aca="false">BO309</f>
        <v/>
      </c>
      <c r="DX309" s="28" t="str">
        <f aca="false">BS309</f>
        <v/>
      </c>
      <c r="DY309" s="28" t="n">
        <f aca="false">IF(ISNUMBER(S309),1,"")</f>
        <v>1</v>
      </c>
      <c r="DZ309" s="28" t="str">
        <f aca="false">IF(ISNUMBER(W309),2,"")</f>
        <v/>
      </c>
      <c r="EA309" s="28" t="str">
        <f aca="false">IF(ISNUMBER(AA309),3,"")</f>
        <v/>
      </c>
      <c r="EB309" s="28" t="str">
        <f aca="false">IF(ISNUMBER(AE309),4,"")</f>
        <v/>
      </c>
      <c r="EC309" s="28" t="str">
        <f aca="false">IF(ISNUMBER(AI309),5,"")</f>
        <v/>
      </c>
      <c r="ED309" s="28" t="str">
        <f aca="false">IF(ISNUMBER(AM309),6,"")</f>
        <v/>
      </c>
      <c r="EE309" s="28" t="str">
        <f aca="false">IF(ISNUMBER(AQ309),7,"")</f>
        <v/>
      </c>
      <c r="EF309" s="28" t="str">
        <f aca="false">IF(ISNUMBER(AU309),8,"")</f>
        <v/>
      </c>
      <c r="EG309" s="28" t="str">
        <f aca="false">IF(ISNUMBER(AY309),9,"")</f>
        <v/>
      </c>
      <c r="EH309" s="28" t="str">
        <f aca="false">IF(ISNUMBER(BC309),10,"")</f>
        <v/>
      </c>
      <c r="EI309" s="28" t="str">
        <f aca="false">IF(ISNUMBER(BG309),11,"")</f>
        <v/>
      </c>
      <c r="EJ309" s="28" t="str">
        <f aca="false">IF(ISNUMBER(BK309),12,"")</f>
        <v/>
      </c>
      <c r="EK309" s="28" t="str">
        <f aca="false">IF(ISNUMBER(BO309),13,"")</f>
        <v/>
      </c>
      <c r="EL309" s="28" t="str">
        <f aca="false">IF(ISNUMBER(BS309),14,"")</f>
        <v/>
      </c>
      <c r="EM309" s="28" t="n">
        <f aca="false">IF(ISNUMBER(R309),R309*CW309,0)</f>
        <v>100</v>
      </c>
      <c r="EN309" s="28" t="n">
        <f aca="false">IF(ISNUMBER(V309),V309*CX309,0)</f>
        <v>0</v>
      </c>
      <c r="EO309" s="28" t="n">
        <f aca="false">IF(ISNUMBER(Z309),Z309*CY309,0)</f>
        <v>0</v>
      </c>
      <c r="EP309" s="28" t="n">
        <f aca="false">IF(ISNUMBER(AD309),AD309*CZ309,0)</f>
        <v>0</v>
      </c>
      <c r="EQ309" s="28" t="n">
        <f aca="false">IF(ISNUMBER(AH309),AH309*DA309,0)</f>
        <v>0</v>
      </c>
      <c r="ER309" s="28" t="n">
        <f aca="false">IF(ISNUMBER(AL309),AL309*DB309,0)</f>
        <v>0</v>
      </c>
      <c r="ES309" s="28" t="n">
        <f aca="false">IF(ISNUMBER(AP309),AP309*DC309,0)</f>
        <v>0</v>
      </c>
      <c r="ET309" s="28" t="n">
        <f aca="false">IF(ISNUMBER(AT309),AT309*DD309,0)</f>
        <v>0</v>
      </c>
      <c r="EU309" s="28" t="n">
        <f aca="false">IF(ISNUMBER(AX309),AX309*DE309,0)</f>
        <v>0</v>
      </c>
      <c r="EV309" s="28" t="n">
        <f aca="false">IF(ISNUMBER(BB309),BB309*DF309,0)</f>
        <v>0</v>
      </c>
      <c r="EW309" s="28" t="n">
        <f aca="false">IF(ISNUMBER(BF309),BF309*DG309,0)</f>
        <v>0</v>
      </c>
      <c r="EX309" s="28" t="n">
        <f aca="false">IF(ISNUMBER(BJ309),BJ309*DH309,0)</f>
        <v>0</v>
      </c>
      <c r="EY309" s="28" t="n">
        <f aca="false">IF(ISNUMBER(BN309),BN309*DI309,0)</f>
        <v>0</v>
      </c>
      <c r="EZ309" s="28" t="n">
        <f aca="false">IF(ISNUMBER(BR309),BR309*DJ309,0)</f>
        <v>0</v>
      </c>
      <c r="FA309" s="28" t="n">
        <f aca="false">IF(ISNUMBER(R309),CW309,0)</f>
        <v>1</v>
      </c>
      <c r="FB309" s="28" t="n">
        <f aca="false">IF(ISNUMBER(V309),CX309,0)</f>
        <v>0</v>
      </c>
      <c r="FC309" s="28" t="n">
        <f aca="false">IF(ISNUMBER(Z309),CY309,0)</f>
        <v>0</v>
      </c>
      <c r="FD309" s="28" t="n">
        <f aca="false">IF(ISNUMBER(AD309),CZ309,0)</f>
        <v>0</v>
      </c>
      <c r="FE309" s="28" t="n">
        <f aca="false">IF(ISNUMBER(AH309),DA309,0)</f>
        <v>0</v>
      </c>
      <c r="FF309" s="28" t="n">
        <f aca="false">IF(ISNUMBER(AL309),DB309,0)</f>
        <v>0</v>
      </c>
      <c r="FG309" s="28" t="n">
        <f aca="false">IF(ISNUMBER(AP309),DC309,0)</f>
        <v>0</v>
      </c>
      <c r="FH309" s="28" t="n">
        <f aca="false">IF(ISNUMBER(AT309),DD309,0)</f>
        <v>0</v>
      </c>
      <c r="FI309" s="28" t="n">
        <f aca="false">IF(ISNUMBER(AX309),DE309,0)</f>
        <v>0</v>
      </c>
      <c r="FJ309" s="28" t="n">
        <f aca="false">IF(ISNUMBER(BB309),DF309,0)</f>
        <v>0</v>
      </c>
      <c r="FK309" s="28" t="n">
        <f aca="false">IF(ISNUMBER(BF309),DG309,0)</f>
        <v>0</v>
      </c>
      <c r="FL309" s="28" t="n">
        <f aca="false">IF(ISNUMBER(BJ309),DH309,0)</f>
        <v>0</v>
      </c>
      <c r="FM309" s="28" t="n">
        <f aca="false">IF(ISNUMBER(BN309),DI309,0)</f>
        <v>0</v>
      </c>
      <c r="FN309" s="28" t="n">
        <f aca="false">IF(ISNUMBER(BR309),DJ309,0)</f>
        <v>0</v>
      </c>
      <c r="FO309" s="28" t="str">
        <f aca="false">IFERROR(INDEX(Lists!$G$2:$G$20,MATCH($I309&amp;"|"&amp;$J309,Lists!$F$2:$F$20,0)),"")</f>
        <v>BM Exam</v>
      </c>
    </row>
    <row r="310" customFormat="false" ht="19.5" hidden="false" customHeight="true" outlineLevel="0" collapsed="false">
      <c r="A310" s="29" t="s">
        <v>606</v>
      </c>
      <c r="B310" s="29" t="s">
        <v>607</v>
      </c>
      <c r="C310" s="30" t="s">
        <v>152</v>
      </c>
      <c r="D310" s="30" t="s">
        <v>408</v>
      </c>
      <c r="E310" s="31"/>
      <c r="F310" s="30"/>
      <c r="G310" s="30"/>
      <c r="H310" s="32" t="s">
        <v>428</v>
      </c>
      <c r="I310" s="33" t="s">
        <v>365</v>
      </c>
      <c r="J310" s="32" t="s">
        <v>25</v>
      </c>
      <c r="K310" s="34" t="str">
        <f aca="false">IF(OR(M310="",$E310=""),"",M310-$E310)</f>
        <v/>
      </c>
      <c r="L310" s="35" t="n">
        <f aca="false">IF(SUM(FA310:FN310)=0,"",SUM(EM310:EZ310)/SUM(FA310:FN310))</f>
        <v>100</v>
      </c>
      <c r="M310" s="36" t="n">
        <f aca="false">IF(OR(L310="",FO310=""),"",IFERROR(MATCH(L310,INDEX(Boundaries!$B$2:$I$30,MATCH(FO310,Boundaries!$A$2:$A$30,0),0),1)-1,""))</f>
        <v>7</v>
      </c>
      <c r="N310" s="37" t="str">
        <f aca="false">IF(COUNT($DY310:$EL310)&lt;2,"",INDEX($DK310:$DX310,MAX($DY310:$EL310))-INDEX($DK310:$DX310,MIN($DY310:$EL310)))</f>
        <v/>
      </c>
      <c r="O310" s="37" t="str">
        <f aca="false">IF(COUNT($DY310:$EL310)&lt;2,"",INDEX($DK310:$DX310,MAX($DY310:$EL310))-INDEX($DK310:$DX310,LARGE($DY310:$EL310,2)))</f>
        <v/>
      </c>
      <c r="P310" s="38" t="str">
        <f aca="false">IF(K310="","",IF(K310&gt;=0,"On/above target",IF(AND(N310&lt;&gt;"",N310&gt;=0.5),"Improving towards target",IF(AND(O310&lt;&gt;"",O310&lt;=-0.5),"Declining","Stable below target"))))</f>
        <v/>
      </c>
      <c r="Q310" s="39" t="n">
        <v>24</v>
      </c>
      <c r="R310" s="40" t="n">
        <f aca="false">IF(OR(Q310="",BU310=""),"",Q310/BU310*100)</f>
        <v>100</v>
      </c>
      <c r="S310" s="41" t="n">
        <f aca="false">IF(R310="","",IFERROR(MATCH(R310,INDEX(Boundaries!$B$2:$I$30,MATCH(CI310,Boundaries!$A$2:$A$30,0),0),1)-1,""))</f>
        <v>7</v>
      </c>
      <c r="T310" s="42" t="str">
        <f aca="false">IF(OR(S310="",$E310=""),"",S310-$E310)</f>
        <v/>
      </c>
      <c r="U310" s="39"/>
      <c r="V310" s="40" t="str">
        <f aca="false">IF(OR(U310="",BV310=""),"",U310/BV310*100)</f>
        <v/>
      </c>
      <c r="W310" s="41" t="str">
        <f aca="false">IF(V310="","",IFERROR(MATCH(V310,INDEX(Boundaries!$B$2:$I$30,MATCH(CJ310,Boundaries!$A$2:$A$30,0),0),1)-1,""))</f>
        <v/>
      </c>
      <c r="X310" s="42" t="str">
        <f aca="false">IF(OR(W310="",$E310=""),"",W310-$E310)</f>
        <v/>
      </c>
      <c r="Y310" s="39"/>
      <c r="Z310" s="40" t="str">
        <f aca="false">IF(OR(Y310="",BW310=""),"",Y310/BW310*100)</f>
        <v/>
      </c>
      <c r="AA310" s="41" t="str">
        <f aca="false">IF(Z310="","",IFERROR(MATCH(Z310,INDEX(Boundaries!$B$2:$I$30,MATCH(CK310,Boundaries!$A$2:$A$30,0),0),1)-1,""))</f>
        <v/>
      </c>
      <c r="AB310" s="42" t="str">
        <f aca="false">IF(OR(AA310="",$E310=""),"",AA310-$E310)</f>
        <v/>
      </c>
      <c r="AC310" s="39"/>
      <c r="AD310" s="40" t="str">
        <f aca="false">IF(OR(AC310="",BX310=""),"",AC310/BX310*100)</f>
        <v/>
      </c>
      <c r="AE310" s="41" t="str">
        <f aca="false">IF(AD310="","",IFERROR(MATCH(AD310,INDEX(Boundaries!$B$2:$I$30,MATCH(CL310,Boundaries!$A$2:$A$30,0),0),1)-1,""))</f>
        <v/>
      </c>
      <c r="AF310" s="42" t="str">
        <f aca="false">IF(OR(AE310="",$E310=""),"",AE310-$E310)</f>
        <v/>
      </c>
      <c r="AG310" s="39"/>
      <c r="AH310" s="40" t="str">
        <f aca="false">IF(OR(AG310="",BY310=""),"",AG310/BY310*100)</f>
        <v/>
      </c>
      <c r="AI310" s="41" t="str">
        <f aca="false">IF(AH310="","",IFERROR(MATCH(AH310,INDEX(Boundaries!$B$2:$I$30,MATCH(CM310,Boundaries!$A$2:$A$30,0),0),1)-1,""))</f>
        <v/>
      </c>
      <c r="AJ310" s="42" t="str">
        <f aca="false">IF(OR(AI310="",$E310=""),"",AI310-$E310)</f>
        <v/>
      </c>
      <c r="AK310" s="39"/>
      <c r="AL310" s="40" t="str">
        <f aca="false">IF(OR(AK310="",BZ310=""),"",AK310/BZ310*100)</f>
        <v/>
      </c>
      <c r="AM310" s="41" t="str">
        <f aca="false">IF(AL310="","",IFERROR(MATCH(AL310,INDEX(Boundaries!$B$2:$I$30,MATCH(CN310,Boundaries!$A$2:$A$30,0),0),1)-1,""))</f>
        <v/>
      </c>
      <c r="AN310" s="42" t="str">
        <f aca="false">IF(OR(AM310="",$E310=""),"",AM310-$E310)</f>
        <v/>
      </c>
      <c r="AO310" s="39"/>
      <c r="AP310" s="40" t="str">
        <f aca="false">IF(OR(AO310="",CA310=""),"",AO310/CA310*100)</f>
        <v/>
      </c>
      <c r="AQ310" s="41" t="str">
        <f aca="false">IF(AP310="","",IFERROR(MATCH(AP310,INDEX(Boundaries!$B$2:$I$30,MATCH(CO310,Boundaries!$A$2:$A$30,0),0),1)-1,""))</f>
        <v/>
      </c>
      <c r="AR310" s="42" t="str">
        <f aca="false">IF(OR(AQ310="",$E310=""),"",AQ310-$E310)</f>
        <v/>
      </c>
      <c r="AS310" s="39"/>
      <c r="AT310" s="40" t="str">
        <f aca="false">IF(OR(AS310="",CB310=""),"",AS310/CB310*100)</f>
        <v/>
      </c>
      <c r="AU310" s="41" t="str">
        <f aca="false">IF(AT310="","",IFERROR(MATCH(AT310,INDEX(Boundaries!$B$2:$I$30,MATCH(CP310,Boundaries!$A$2:$A$30,0),0),1)-1,""))</f>
        <v/>
      </c>
      <c r="AV310" s="42" t="str">
        <f aca="false">IF(OR(AU310="",$E310=""),"",AU310-$E310)</f>
        <v/>
      </c>
      <c r="AW310" s="39"/>
      <c r="AX310" s="40" t="str">
        <f aca="false">IF(OR(AW310="",CC310=""),"",AW310/CC310*100)</f>
        <v/>
      </c>
      <c r="AY310" s="41" t="str">
        <f aca="false">IF(AX310="","",IFERROR(MATCH(AX310,INDEX(Boundaries!$B$2:$I$30,MATCH(CQ310,Boundaries!$A$2:$A$30,0),0),1)-1,""))</f>
        <v/>
      </c>
      <c r="AZ310" s="42" t="str">
        <f aca="false">IF(OR(AY310="",$E310=""),"",AY310-$E310)</f>
        <v/>
      </c>
      <c r="BA310" s="39"/>
      <c r="BB310" s="40" t="str">
        <f aca="false">IF(OR(BA310="",CD310=""),"",BA310/CD310*100)</f>
        <v/>
      </c>
      <c r="BC310" s="41" t="str">
        <f aca="false">IF(BB310="","",IFERROR(MATCH(BB310,INDEX(Boundaries!$B$2:$I$30,MATCH(CR310,Boundaries!$A$2:$A$30,0),0),1)-1,""))</f>
        <v/>
      </c>
      <c r="BD310" s="42" t="str">
        <f aca="false">IF(OR(BC310="",$E310=""),"",BC310-$E310)</f>
        <v/>
      </c>
      <c r="BE310" s="39"/>
      <c r="BF310" s="40" t="str">
        <f aca="false">IF(OR(BE310="",CE310=""),"",BE310/CE310*100)</f>
        <v/>
      </c>
      <c r="BG310" s="41" t="str">
        <f aca="false">IF(BF310="","",IFERROR(MATCH(BF310,INDEX(Boundaries!$B$2:$I$30,MATCH(CS310,Boundaries!$A$2:$A$30,0),0),1)-1,""))</f>
        <v/>
      </c>
      <c r="BH310" s="42" t="str">
        <f aca="false">IF(OR(BG310="",$E310=""),"",BG310-$E310)</f>
        <v/>
      </c>
      <c r="BI310" s="39"/>
      <c r="BJ310" s="40" t="str">
        <f aca="false">IF(OR(BI310="",CF310=""),"",BI310/CF310*100)</f>
        <v/>
      </c>
      <c r="BK310" s="41" t="str">
        <f aca="false">IF(BJ310="","",IFERROR(MATCH(BJ310,INDEX(Boundaries!$B$2:$I$30,MATCH(CT310,Boundaries!$A$2:$A$30,0),0),1)-1,""))</f>
        <v/>
      </c>
      <c r="BL310" s="42" t="str">
        <f aca="false">IF(OR(BK310="",$E310=""),"",BK310-$E310)</f>
        <v/>
      </c>
      <c r="BM310" s="39"/>
      <c r="BN310" s="40" t="str">
        <f aca="false">IF(OR(BM310="",CG310=""),"",BM310/CG310*100)</f>
        <v/>
      </c>
      <c r="BO310" s="41" t="str">
        <f aca="false">IF(BN310="","",IFERROR(MATCH(BN310,INDEX(Boundaries!$B$2:$I$30,MATCH(CU310,Boundaries!$A$2:$A$30,0),0),1)-1,""))</f>
        <v/>
      </c>
      <c r="BP310" s="42" t="str">
        <f aca="false">IF(OR(BO310="",$E310=""),"",BO310-$E310)</f>
        <v/>
      </c>
      <c r="BQ310" s="39"/>
      <c r="BR310" s="40" t="str">
        <f aca="false">IF(OR(BQ310="",CH310=""),"",BQ310/CH310*100)</f>
        <v/>
      </c>
      <c r="BS310" s="41" t="str">
        <f aca="false">IF(BR310="","",IFERROR(MATCH(BR310,INDEX(Boundaries!$B$2:$I$30,MATCH(CV310,Boundaries!$A$2:$A$30,0),0),1)-1,""))</f>
        <v/>
      </c>
      <c r="BT310" s="42" t="str">
        <f aca="false">IF(OR(BS310="",$E310=""),"",BS310-$E310)</f>
        <v/>
      </c>
      <c r="BU310" s="28" t="n">
        <f aca="false">IFERROR(INDEX(Assessments!$H$2:$H$600,MATCH($H310&amp;"|"&amp;$I310&amp;"|"&amp;$J310&amp;"|"&amp;1,Assessments!$A$2:$A$600,0)),"")</f>
        <v>24</v>
      </c>
      <c r="BV310" s="28" t="n">
        <f aca="false">IFERROR(INDEX(Assessments!$H$2:$H$600,MATCH($H310&amp;"|"&amp;$I310&amp;"|"&amp;$J310&amp;"|"&amp;2,Assessments!$A$2:$A$600,0)),"")</f>
        <v>20</v>
      </c>
      <c r="BW310" s="28" t="n">
        <f aca="false">IFERROR(INDEX(Assessments!$H$2:$H$600,MATCH($H310&amp;"|"&amp;$I310&amp;"|"&amp;$J310&amp;"|"&amp;3,Assessments!$A$2:$A$600,0)),"")</f>
        <v>20</v>
      </c>
      <c r="BX310" s="28" t="n">
        <f aca="false">IFERROR(INDEX(Assessments!$H$2:$H$600,MATCH($H310&amp;"|"&amp;$I310&amp;"|"&amp;$J310&amp;"|"&amp;4,Assessments!$A$2:$A$600,0)),"")</f>
        <v>40</v>
      </c>
      <c r="BY310" s="28" t="n">
        <f aca="false">IFERROR(INDEX(Assessments!$H$2:$H$600,MATCH($H310&amp;"|"&amp;$I310&amp;"|"&amp;$J310&amp;"|"&amp;5,Assessments!$A$2:$A$600,0)),"")</f>
        <v>30</v>
      </c>
      <c r="BZ310" s="28" t="n">
        <f aca="false">IFERROR(INDEX(Assessments!$H$2:$H$600,MATCH($H310&amp;"|"&amp;$I310&amp;"|"&amp;$J310&amp;"|"&amp;6,Assessments!$A$2:$A$600,0)),"")</f>
        <v>20</v>
      </c>
      <c r="CA310" s="28" t="n">
        <f aca="false">IFERROR(INDEX(Assessments!$H$2:$H$600,MATCH($H310&amp;"|"&amp;$I310&amp;"|"&amp;$J310&amp;"|"&amp;7,Assessments!$A$2:$A$600,0)),"")</f>
        <v>50</v>
      </c>
      <c r="CB310" s="28" t="str">
        <f aca="false">IFERROR(INDEX(Assessments!$H$2:$H$600,MATCH($H310&amp;"|"&amp;$I310&amp;"|"&amp;$J310&amp;"|"&amp;8,Assessments!$A$2:$A$600,0)),"")</f>
        <v/>
      </c>
      <c r="CC310" s="28" t="str">
        <f aca="false">IFERROR(INDEX(Assessments!$H$2:$H$600,MATCH($H310&amp;"|"&amp;$I310&amp;"|"&amp;$J310&amp;"|"&amp;9,Assessments!$A$2:$A$600,0)),"")</f>
        <v/>
      </c>
      <c r="CD310" s="28" t="str">
        <f aca="false">IFERROR(INDEX(Assessments!$H$2:$H$600,MATCH($H310&amp;"|"&amp;$I310&amp;"|"&amp;$J310&amp;"|"&amp;10,Assessments!$A$2:$A$600,0)),"")</f>
        <v/>
      </c>
      <c r="CE310" s="28" t="str">
        <f aca="false">IFERROR(INDEX(Assessments!$H$2:$H$600,MATCH($H310&amp;"|"&amp;$I310&amp;"|"&amp;$J310&amp;"|"&amp;11,Assessments!$A$2:$A$600,0)),"")</f>
        <v/>
      </c>
      <c r="CF310" s="28" t="str">
        <f aca="false">IFERROR(INDEX(Assessments!$H$2:$H$600,MATCH($H310&amp;"|"&amp;$I310&amp;"|"&amp;$J310&amp;"|"&amp;12,Assessments!$A$2:$A$600,0)),"")</f>
        <v/>
      </c>
      <c r="CG310" s="28" t="str">
        <f aca="false">IFERROR(INDEX(Assessments!$H$2:$H$600,MATCH($H310&amp;"|"&amp;$I310&amp;"|"&amp;$J310&amp;"|"&amp;13,Assessments!$A$2:$A$600,0)),"")</f>
        <v/>
      </c>
      <c r="CH310" s="28" t="str">
        <f aca="false">IFERROR(INDEX(Assessments!$H$2:$H$600,MATCH($H310&amp;"|"&amp;$I310&amp;"|"&amp;$J310&amp;"|"&amp;14,Assessments!$A$2:$A$600,0)),"")</f>
        <v/>
      </c>
      <c r="CI310" s="28" t="str">
        <f aca="false">IFERROR(INDEX(Assessments!$I$2:$I$600,MATCH($H310&amp;"|"&amp;$I310&amp;"|"&amp;$J310&amp;"|"&amp;1,Assessments!$A$2:$A$600,0)),"")</f>
        <v>BM Test</v>
      </c>
      <c r="CJ310" s="28" t="str">
        <f aca="false">IFERROR(INDEX(Assessments!$I$2:$I$600,MATCH($H310&amp;"|"&amp;$I310&amp;"|"&amp;$J310&amp;"|"&amp;2,Assessments!$A$2:$A$600,0)),"")</f>
        <v>BM Test</v>
      </c>
      <c r="CK310" s="28" t="str">
        <f aca="false">IFERROR(INDEX(Assessments!$I$2:$I$600,MATCH($H310&amp;"|"&amp;$I310&amp;"|"&amp;$J310&amp;"|"&amp;3,Assessments!$A$2:$A$600,0)),"")</f>
        <v>BM Test</v>
      </c>
      <c r="CL310" s="28" t="str">
        <f aca="false">IFERROR(INDEX(Assessments!$I$2:$I$600,MATCH($H310&amp;"|"&amp;$I310&amp;"|"&amp;$J310&amp;"|"&amp;4,Assessments!$A$2:$A$600,0)),"")</f>
        <v>BM Exam</v>
      </c>
      <c r="CM310" s="28" t="str">
        <f aca="false">IFERROR(INDEX(Assessments!$I$2:$I$600,MATCH($H310&amp;"|"&amp;$I310&amp;"|"&amp;$J310&amp;"|"&amp;5,Assessments!$A$2:$A$600,0)),"")</f>
        <v>BM Test</v>
      </c>
      <c r="CN310" s="28" t="str">
        <f aca="false">IFERROR(INDEX(Assessments!$I$2:$I$600,MATCH($H310&amp;"|"&amp;$I310&amp;"|"&amp;$J310&amp;"|"&amp;6,Assessments!$A$2:$A$600,0)),"")</f>
        <v>BM Test</v>
      </c>
      <c r="CO310" s="28" t="str">
        <f aca="false">IFERROR(INDEX(Assessments!$I$2:$I$600,MATCH($H310&amp;"|"&amp;$I310&amp;"|"&amp;$J310&amp;"|"&amp;7,Assessments!$A$2:$A$600,0)),"")</f>
        <v>BM Exam</v>
      </c>
      <c r="CP310" s="28" t="str">
        <f aca="false">IFERROR(INDEX(Assessments!$I$2:$I$600,MATCH($H310&amp;"|"&amp;$I310&amp;"|"&amp;$J310&amp;"|"&amp;8,Assessments!$A$2:$A$600,0)),"")</f>
        <v/>
      </c>
      <c r="CQ310" s="28" t="str">
        <f aca="false">IFERROR(INDEX(Assessments!$I$2:$I$600,MATCH($H310&amp;"|"&amp;$I310&amp;"|"&amp;$J310&amp;"|"&amp;9,Assessments!$A$2:$A$600,0)),"")</f>
        <v/>
      </c>
      <c r="CR310" s="28" t="str">
        <f aca="false">IFERROR(INDEX(Assessments!$I$2:$I$600,MATCH($H310&amp;"|"&amp;$I310&amp;"|"&amp;$J310&amp;"|"&amp;10,Assessments!$A$2:$A$600,0)),"")</f>
        <v/>
      </c>
      <c r="CS310" s="28" t="str">
        <f aca="false">IFERROR(INDEX(Assessments!$I$2:$I$600,MATCH($H310&amp;"|"&amp;$I310&amp;"|"&amp;$J310&amp;"|"&amp;11,Assessments!$A$2:$A$600,0)),"")</f>
        <v/>
      </c>
      <c r="CT310" s="28" t="str">
        <f aca="false">IFERROR(INDEX(Assessments!$I$2:$I$600,MATCH($H310&amp;"|"&amp;$I310&amp;"|"&amp;$J310&amp;"|"&amp;12,Assessments!$A$2:$A$600,0)),"")</f>
        <v/>
      </c>
      <c r="CU310" s="28" t="str">
        <f aca="false">IFERROR(INDEX(Assessments!$I$2:$I$600,MATCH($H310&amp;"|"&amp;$I310&amp;"|"&amp;$J310&amp;"|"&amp;13,Assessments!$A$2:$A$600,0)),"")</f>
        <v/>
      </c>
      <c r="CV310" s="28" t="str">
        <f aca="false">IFERROR(INDEX(Assessments!$I$2:$I$600,MATCH($H310&amp;"|"&amp;$I310&amp;"|"&amp;$J310&amp;"|"&amp;14,Assessments!$A$2:$A$600,0)),"")</f>
        <v/>
      </c>
      <c r="CW310" s="28" t="n">
        <f aca="false">IFERROR(INDEX(Assessments!$J$2:$J$600,MATCH($H310&amp;"|"&amp;$I310&amp;"|"&amp;$J310&amp;"|"&amp;1,Assessments!$A$2:$A$600,0)),0)</f>
        <v>1</v>
      </c>
      <c r="CX310" s="28" t="n">
        <f aca="false">IFERROR(INDEX(Assessments!$J$2:$J$600,MATCH($H310&amp;"|"&amp;$I310&amp;"|"&amp;$J310&amp;"|"&amp;2,Assessments!$A$2:$A$600,0)),0)</f>
        <v>1</v>
      </c>
      <c r="CY310" s="28" t="n">
        <f aca="false">IFERROR(INDEX(Assessments!$J$2:$J$600,MATCH($H310&amp;"|"&amp;$I310&amp;"|"&amp;$J310&amp;"|"&amp;3,Assessments!$A$2:$A$600,0)),0)</f>
        <v>1</v>
      </c>
      <c r="CZ310" s="28" t="n">
        <f aca="false">IFERROR(INDEX(Assessments!$J$2:$J$600,MATCH($H310&amp;"|"&amp;$I310&amp;"|"&amp;$J310&amp;"|"&amp;4,Assessments!$A$2:$A$600,0)),0)</f>
        <v>2</v>
      </c>
      <c r="DA310" s="28" t="n">
        <f aca="false">IFERROR(INDEX(Assessments!$J$2:$J$600,MATCH($H310&amp;"|"&amp;$I310&amp;"|"&amp;$J310&amp;"|"&amp;5,Assessments!$A$2:$A$600,0)),0)</f>
        <v>1</v>
      </c>
      <c r="DB310" s="28" t="n">
        <f aca="false">IFERROR(INDEX(Assessments!$J$2:$J$600,MATCH($H310&amp;"|"&amp;$I310&amp;"|"&amp;$J310&amp;"|"&amp;6,Assessments!$A$2:$A$600,0)),0)</f>
        <v>1</v>
      </c>
      <c r="DC310" s="28" t="n">
        <f aca="false">IFERROR(INDEX(Assessments!$J$2:$J$600,MATCH($H310&amp;"|"&amp;$I310&amp;"|"&amp;$J310&amp;"|"&amp;7,Assessments!$A$2:$A$600,0)),0)</f>
        <v>2</v>
      </c>
      <c r="DD310" s="28" t="n">
        <f aca="false">IFERROR(INDEX(Assessments!$J$2:$J$600,MATCH($H310&amp;"|"&amp;$I310&amp;"|"&amp;$J310&amp;"|"&amp;8,Assessments!$A$2:$A$600,0)),0)</f>
        <v>0</v>
      </c>
      <c r="DE310" s="28" t="n">
        <f aca="false">IFERROR(INDEX(Assessments!$J$2:$J$600,MATCH($H310&amp;"|"&amp;$I310&amp;"|"&amp;$J310&amp;"|"&amp;9,Assessments!$A$2:$A$600,0)),0)</f>
        <v>0</v>
      </c>
      <c r="DF310" s="28" t="n">
        <f aca="false">IFERROR(INDEX(Assessments!$J$2:$J$600,MATCH($H310&amp;"|"&amp;$I310&amp;"|"&amp;$J310&amp;"|"&amp;10,Assessments!$A$2:$A$600,0)),0)</f>
        <v>0</v>
      </c>
      <c r="DG310" s="28" t="n">
        <f aca="false">IFERROR(INDEX(Assessments!$J$2:$J$600,MATCH($H310&amp;"|"&amp;$I310&amp;"|"&amp;$J310&amp;"|"&amp;11,Assessments!$A$2:$A$600,0)),0)</f>
        <v>0</v>
      </c>
      <c r="DH310" s="28" t="n">
        <f aca="false">IFERROR(INDEX(Assessments!$J$2:$J$600,MATCH($H310&amp;"|"&amp;$I310&amp;"|"&amp;$J310&amp;"|"&amp;12,Assessments!$A$2:$A$600,0)),0)</f>
        <v>0</v>
      </c>
      <c r="DI310" s="28" t="n">
        <f aca="false">IFERROR(INDEX(Assessments!$J$2:$J$600,MATCH($H310&amp;"|"&amp;$I310&amp;"|"&amp;$J310&amp;"|"&amp;13,Assessments!$A$2:$A$600,0)),0)</f>
        <v>0</v>
      </c>
      <c r="DJ310" s="28" t="n">
        <f aca="false">IFERROR(INDEX(Assessments!$J$2:$J$600,MATCH($H310&amp;"|"&amp;$I310&amp;"|"&amp;$J310&amp;"|"&amp;14,Assessments!$A$2:$A$600,0)),0)</f>
        <v>0</v>
      </c>
      <c r="DK310" s="28" t="n">
        <f aca="false">S310</f>
        <v>7</v>
      </c>
      <c r="DL310" s="28" t="str">
        <f aca="false">W310</f>
        <v/>
      </c>
      <c r="DM310" s="28" t="str">
        <f aca="false">AA310</f>
        <v/>
      </c>
      <c r="DN310" s="28" t="str">
        <f aca="false">AE310</f>
        <v/>
      </c>
      <c r="DO310" s="28" t="str">
        <f aca="false">AI310</f>
        <v/>
      </c>
      <c r="DP310" s="28" t="str">
        <f aca="false">AM310</f>
        <v/>
      </c>
      <c r="DQ310" s="28" t="str">
        <f aca="false">AQ310</f>
        <v/>
      </c>
      <c r="DR310" s="28" t="str">
        <f aca="false">AU310</f>
        <v/>
      </c>
      <c r="DS310" s="28" t="str">
        <f aca="false">AY310</f>
        <v/>
      </c>
      <c r="DT310" s="28" t="str">
        <f aca="false">BC310</f>
        <v/>
      </c>
      <c r="DU310" s="28" t="str">
        <f aca="false">BG310</f>
        <v/>
      </c>
      <c r="DV310" s="28" t="str">
        <f aca="false">BK310</f>
        <v/>
      </c>
      <c r="DW310" s="28" t="str">
        <f aca="false">BO310</f>
        <v/>
      </c>
      <c r="DX310" s="28" t="str">
        <f aca="false">BS310</f>
        <v/>
      </c>
      <c r="DY310" s="28" t="n">
        <f aca="false">IF(ISNUMBER(S310),1,"")</f>
        <v>1</v>
      </c>
      <c r="DZ310" s="28" t="str">
        <f aca="false">IF(ISNUMBER(W310),2,"")</f>
        <v/>
      </c>
      <c r="EA310" s="28" t="str">
        <f aca="false">IF(ISNUMBER(AA310),3,"")</f>
        <v/>
      </c>
      <c r="EB310" s="28" t="str">
        <f aca="false">IF(ISNUMBER(AE310),4,"")</f>
        <v/>
      </c>
      <c r="EC310" s="28" t="str">
        <f aca="false">IF(ISNUMBER(AI310),5,"")</f>
        <v/>
      </c>
      <c r="ED310" s="28" t="str">
        <f aca="false">IF(ISNUMBER(AM310),6,"")</f>
        <v/>
      </c>
      <c r="EE310" s="28" t="str">
        <f aca="false">IF(ISNUMBER(AQ310),7,"")</f>
        <v/>
      </c>
      <c r="EF310" s="28" t="str">
        <f aca="false">IF(ISNUMBER(AU310),8,"")</f>
        <v/>
      </c>
      <c r="EG310" s="28" t="str">
        <f aca="false">IF(ISNUMBER(AY310),9,"")</f>
        <v/>
      </c>
      <c r="EH310" s="28" t="str">
        <f aca="false">IF(ISNUMBER(BC310),10,"")</f>
        <v/>
      </c>
      <c r="EI310" s="28" t="str">
        <f aca="false">IF(ISNUMBER(BG310),11,"")</f>
        <v/>
      </c>
      <c r="EJ310" s="28" t="str">
        <f aca="false">IF(ISNUMBER(BK310),12,"")</f>
        <v/>
      </c>
      <c r="EK310" s="28" t="str">
        <f aca="false">IF(ISNUMBER(BO310),13,"")</f>
        <v/>
      </c>
      <c r="EL310" s="28" t="str">
        <f aca="false">IF(ISNUMBER(BS310),14,"")</f>
        <v/>
      </c>
      <c r="EM310" s="28" t="n">
        <f aca="false">IF(ISNUMBER(R310),R310*CW310,0)</f>
        <v>100</v>
      </c>
      <c r="EN310" s="28" t="n">
        <f aca="false">IF(ISNUMBER(V310),V310*CX310,0)</f>
        <v>0</v>
      </c>
      <c r="EO310" s="28" t="n">
        <f aca="false">IF(ISNUMBER(Z310),Z310*CY310,0)</f>
        <v>0</v>
      </c>
      <c r="EP310" s="28" t="n">
        <f aca="false">IF(ISNUMBER(AD310),AD310*CZ310,0)</f>
        <v>0</v>
      </c>
      <c r="EQ310" s="28" t="n">
        <f aca="false">IF(ISNUMBER(AH310),AH310*DA310,0)</f>
        <v>0</v>
      </c>
      <c r="ER310" s="28" t="n">
        <f aca="false">IF(ISNUMBER(AL310),AL310*DB310,0)</f>
        <v>0</v>
      </c>
      <c r="ES310" s="28" t="n">
        <f aca="false">IF(ISNUMBER(AP310),AP310*DC310,0)</f>
        <v>0</v>
      </c>
      <c r="ET310" s="28" t="n">
        <f aca="false">IF(ISNUMBER(AT310),AT310*DD310,0)</f>
        <v>0</v>
      </c>
      <c r="EU310" s="28" t="n">
        <f aca="false">IF(ISNUMBER(AX310),AX310*DE310,0)</f>
        <v>0</v>
      </c>
      <c r="EV310" s="28" t="n">
        <f aca="false">IF(ISNUMBER(BB310),BB310*DF310,0)</f>
        <v>0</v>
      </c>
      <c r="EW310" s="28" t="n">
        <f aca="false">IF(ISNUMBER(BF310),BF310*DG310,0)</f>
        <v>0</v>
      </c>
      <c r="EX310" s="28" t="n">
        <f aca="false">IF(ISNUMBER(BJ310),BJ310*DH310,0)</f>
        <v>0</v>
      </c>
      <c r="EY310" s="28" t="n">
        <f aca="false">IF(ISNUMBER(BN310),BN310*DI310,0)</f>
        <v>0</v>
      </c>
      <c r="EZ310" s="28" t="n">
        <f aca="false">IF(ISNUMBER(BR310),BR310*DJ310,0)</f>
        <v>0</v>
      </c>
      <c r="FA310" s="28" t="n">
        <f aca="false">IF(ISNUMBER(R310),CW310,0)</f>
        <v>1</v>
      </c>
      <c r="FB310" s="28" t="n">
        <f aca="false">IF(ISNUMBER(V310),CX310,0)</f>
        <v>0</v>
      </c>
      <c r="FC310" s="28" t="n">
        <f aca="false">IF(ISNUMBER(Z310),CY310,0)</f>
        <v>0</v>
      </c>
      <c r="FD310" s="28" t="n">
        <f aca="false">IF(ISNUMBER(AD310),CZ310,0)</f>
        <v>0</v>
      </c>
      <c r="FE310" s="28" t="n">
        <f aca="false">IF(ISNUMBER(AH310),DA310,0)</f>
        <v>0</v>
      </c>
      <c r="FF310" s="28" t="n">
        <f aca="false">IF(ISNUMBER(AL310),DB310,0)</f>
        <v>0</v>
      </c>
      <c r="FG310" s="28" t="n">
        <f aca="false">IF(ISNUMBER(AP310),DC310,0)</f>
        <v>0</v>
      </c>
      <c r="FH310" s="28" t="n">
        <f aca="false">IF(ISNUMBER(AT310),DD310,0)</f>
        <v>0</v>
      </c>
      <c r="FI310" s="28" t="n">
        <f aca="false">IF(ISNUMBER(AX310),DE310,0)</f>
        <v>0</v>
      </c>
      <c r="FJ310" s="28" t="n">
        <f aca="false">IF(ISNUMBER(BB310),DF310,0)</f>
        <v>0</v>
      </c>
      <c r="FK310" s="28" t="n">
        <f aca="false">IF(ISNUMBER(BF310),DG310,0)</f>
        <v>0</v>
      </c>
      <c r="FL310" s="28" t="n">
        <f aca="false">IF(ISNUMBER(BJ310),DH310,0)</f>
        <v>0</v>
      </c>
      <c r="FM310" s="28" t="n">
        <f aca="false">IF(ISNUMBER(BN310),DI310,0)</f>
        <v>0</v>
      </c>
      <c r="FN310" s="28" t="n">
        <f aca="false">IF(ISNUMBER(BR310),DJ310,0)</f>
        <v>0</v>
      </c>
      <c r="FO310" s="28" t="str">
        <f aca="false">IFERROR(INDEX(Lists!$G$2:$G$20,MATCH($I310&amp;"|"&amp;$J310,Lists!$F$2:$F$20,0)),"")</f>
        <v>BM Exam</v>
      </c>
    </row>
    <row r="311" customFormat="false" ht="19.5" hidden="false" customHeight="true" outlineLevel="0" collapsed="false">
      <c r="A311" s="29" t="s">
        <v>608</v>
      </c>
      <c r="B311" s="29" t="s">
        <v>609</v>
      </c>
      <c r="C311" s="30" t="s">
        <v>152</v>
      </c>
      <c r="D311" s="30" t="s">
        <v>408</v>
      </c>
      <c r="E311" s="31"/>
      <c r="F311" s="30"/>
      <c r="G311" s="30"/>
      <c r="H311" s="32" t="s">
        <v>428</v>
      </c>
      <c r="I311" s="33" t="s">
        <v>365</v>
      </c>
      <c r="J311" s="32" t="s">
        <v>25</v>
      </c>
      <c r="K311" s="34" t="str">
        <f aca="false">IF(OR(M311="",$E311=""),"",M311-$E311)</f>
        <v/>
      </c>
      <c r="L311" s="35" t="n">
        <f aca="false">IF(SUM(FA311:FN311)=0,"",SUM(EM311:EZ311)/SUM(FA311:FN311))</f>
        <v>95.8333333333333</v>
      </c>
      <c r="M311" s="36" t="n">
        <f aca="false">IF(OR(L311="",FO311=""),"",IFERROR(MATCH(L311,INDEX(Boundaries!$B$2:$I$30,MATCH(FO311,Boundaries!$A$2:$A$30,0),0),1)-1,""))</f>
        <v>7</v>
      </c>
      <c r="N311" s="37" t="str">
        <f aca="false">IF(COUNT($DY311:$EL311)&lt;2,"",INDEX($DK311:$DX311,MAX($DY311:$EL311))-INDEX($DK311:$DX311,MIN($DY311:$EL311)))</f>
        <v/>
      </c>
      <c r="O311" s="37" t="str">
        <f aca="false">IF(COUNT($DY311:$EL311)&lt;2,"",INDEX($DK311:$DX311,MAX($DY311:$EL311))-INDEX($DK311:$DX311,LARGE($DY311:$EL311,2)))</f>
        <v/>
      </c>
      <c r="P311" s="38" t="str">
        <f aca="false">IF(K311="","",IF(K311&gt;=0,"On/above target",IF(AND(N311&lt;&gt;"",N311&gt;=0.5),"Improving towards target",IF(AND(O311&lt;&gt;"",O311&lt;=-0.5),"Declining","Stable below target"))))</f>
        <v/>
      </c>
      <c r="Q311" s="39" t="n">
        <v>23</v>
      </c>
      <c r="R311" s="40" t="n">
        <f aca="false">IF(OR(Q311="",BU311=""),"",Q311/BU311*100)</f>
        <v>95.8333333333333</v>
      </c>
      <c r="S311" s="41" t="n">
        <f aca="false">IF(R311="","",IFERROR(MATCH(R311,INDEX(Boundaries!$B$2:$I$30,MATCH(CI311,Boundaries!$A$2:$A$30,0),0),1)-1,""))</f>
        <v>7</v>
      </c>
      <c r="T311" s="42" t="str">
        <f aca="false">IF(OR(S311="",$E311=""),"",S311-$E311)</f>
        <v/>
      </c>
      <c r="U311" s="39"/>
      <c r="V311" s="40" t="str">
        <f aca="false">IF(OR(U311="",BV311=""),"",U311/BV311*100)</f>
        <v/>
      </c>
      <c r="W311" s="41" t="str">
        <f aca="false">IF(V311="","",IFERROR(MATCH(V311,INDEX(Boundaries!$B$2:$I$30,MATCH(CJ311,Boundaries!$A$2:$A$30,0),0),1)-1,""))</f>
        <v/>
      </c>
      <c r="X311" s="42" t="str">
        <f aca="false">IF(OR(W311="",$E311=""),"",W311-$E311)</f>
        <v/>
      </c>
      <c r="Y311" s="39"/>
      <c r="Z311" s="40" t="str">
        <f aca="false">IF(OR(Y311="",BW311=""),"",Y311/BW311*100)</f>
        <v/>
      </c>
      <c r="AA311" s="41" t="str">
        <f aca="false">IF(Z311="","",IFERROR(MATCH(Z311,INDEX(Boundaries!$B$2:$I$30,MATCH(CK311,Boundaries!$A$2:$A$30,0),0),1)-1,""))</f>
        <v/>
      </c>
      <c r="AB311" s="42" t="str">
        <f aca="false">IF(OR(AA311="",$E311=""),"",AA311-$E311)</f>
        <v/>
      </c>
      <c r="AC311" s="39"/>
      <c r="AD311" s="40" t="str">
        <f aca="false">IF(OR(AC311="",BX311=""),"",AC311/BX311*100)</f>
        <v/>
      </c>
      <c r="AE311" s="41" t="str">
        <f aca="false">IF(AD311="","",IFERROR(MATCH(AD311,INDEX(Boundaries!$B$2:$I$30,MATCH(CL311,Boundaries!$A$2:$A$30,0),0),1)-1,""))</f>
        <v/>
      </c>
      <c r="AF311" s="42" t="str">
        <f aca="false">IF(OR(AE311="",$E311=""),"",AE311-$E311)</f>
        <v/>
      </c>
      <c r="AG311" s="39"/>
      <c r="AH311" s="40" t="str">
        <f aca="false">IF(OR(AG311="",BY311=""),"",AG311/BY311*100)</f>
        <v/>
      </c>
      <c r="AI311" s="41" t="str">
        <f aca="false">IF(AH311="","",IFERROR(MATCH(AH311,INDEX(Boundaries!$B$2:$I$30,MATCH(CM311,Boundaries!$A$2:$A$30,0),0),1)-1,""))</f>
        <v/>
      </c>
      <c r="AJ311" s="42" t="str">
        <f aca="false">IF(OR(AI311="",$E311=""),"",AI311-$E311)</f>
        <v/>
      </c>
      <c r="AK311" s="39"/>
      <c r="AL311" s="40" t="str">
        <f aca="false">IF(OR(AK311="",BZ311=""),"",AK311/BZ311*100)</f>
        <v/>
      </c>
      <c r="AM311" s="41" t="str">
        <f aca="false">IF(AL311="","",IFERROR(MATCH(AL311,INDEX(Boundaries!$B$2:$I$30,MATCH(CN311,Boundaries!$A$2:$A$30,0),0),1)-1,""))</f>
        <v/>
      </c>
      <c r="AN311" s="42" t="str">
        <f aca="false">IF(OR(AM311="",$E311=""),"",AM311-$E311)</f>
        <v/>
      </c>
      <c r="AO311" s="39"/>
      <c r="AP311" s="40" t="str">
        <f aca="false">IF(OR(AO311="",CA311=""),"",AO311/CA311*100)</f>
        <v/>
      </c>
      <c r="AQ311" s="41" t="str">
        <f aca="false">IF(AP311="","",IFERROR(MATCH(AP311,INDEX(Boundaries!$B$2:$I$30,MATCH(CO311,Boundaries!$A$2:$A$30,0),0),1)-1,""))</f>
        <v/>
      </c>
      <c r="AR311" s="42" t="str">
        <f aca="false">IF(OR(AQ311="",$E311=""),"",AQ311-$E311)</f>
        <v/>
      </c>
      <c r="AS311" s="39"/>
      <c r="AT311" s="40" t="str">
        <f aca="false">IF(OR(AS311="",CB311=""),"",AS311/CB311*100)</f>
        <v/>
      </c>
      <c r="AU311" s="41" t="str">
        <f aca="false">IF(AT311="","",IFERROR(MATCH(AT311,INDEX(Boundaries!$B$2:$I$30,MATCH(CP311,Boundaries!$A$2:$A$30,0),0),1)-1,""))</f>
        <v/>
      </c>
      <c r="AV311" s="42" t="str">
        <f aca="false">IF(OR(AU311="",$E311=""),"",AU311-$E311)</f>
        <v/>
      </c>
      <c r="AW311" s="39"/>
      <c r="AX311" s="40" t="str">
        <f aca="false">IF(OR(AW311="",CC311=""),"",AW311/CC311*100)</f>
        <v/>
      </c>
      <c r="AY311" s="41" t="str">
        <f aca="false">IF(AX311="","",IFERROR(MATCH(AX311,INDEX(Boundaries!$B$2:$I$30,MATCH(CQ311,Boundaries!$A$2:$A$30,0),0),1)-1,""))</f>
        <v/>
      </c>
      <c r="AZ311" s="42" t="str">
        <f aca="false">IF(OR(AY311="",$E311=""),"",AY311-$E311)</f>
        <v/>
      </c>
      <c r="BA311" s="39"/>
      <c r="BB311" s="40" t="str">
        <f aca="false">IF(OR(BA311="",CD311=""),"",BA311/CD311*100)</f>
        <v/>
      </c>
      <c r="BC311" s="41" t="str">
        <f aca="false">IF(BB311="","",IFERROR(MATCH(BB311,INDEX(Boundaries!$B$2:$I$30,MATCH(CR311,Boundaries!$A$2:$A$30,0),0),1)-1,""))</f>
        <v/>
      </c>
      <c r="BD311" s="42" t="str">
        <f aca="false">IF(OR(BC311="",$E311=""),"",BC311-$E311)</f>
        <v/>
      </c>
      <c r="BE311" s="39"/>
      <c r="BF311" s="40" t="str">
        <f aca="false">IF(OR(BE311="",CE311=""),"",BE311/CE311*100)</f>
        <v/>
      </c>
      <c r="BG311" s="41" t="str">
        <f aca="false">IF(BF311="","",IFERROR(MATCH(BF311,INDEX(Boundaries!$B$2:$I$30,MATCH(CS311,Boundaries!$A$2:$A$30,0),0),1)-1,""))</f>
        <v/>
      </c>
      <c r="BH311" s="42" t="str">
        <f aca="false">IF(OR(BG311="",$E311=""),"",BG311-$E311)</f>
        <v/>
      </c>
      <c r="BI311" s="39"/>
      <c r="BJ311" s="40" t="str">
        <f aca="false">IF(OR(BI311="",CF311=""),"",BI311/CF311*100)</f>
        <v/>
      </c>
      <c r="BK311" s="41" t="str">
        <f aca="false">IF(BJ311="","",IFERROR(MATCH(BJ311,INDEX(Boundaries!$B$2:$I$30,MATCH(CT311,Boundaries!$A$2:$A$30,0),0),1)-1,""))</f>
        <v/>
      </c>
      <c r="BL311" s="42" t="str">
        <f aca="false">IF(OR(BK311="",$E311=""),"",BK311-$E311)</f>
        <v/>
      </c>
      <c r="BM311" s="39"/>
      <c r="BN311" s="40" t="str">
        <f aca="false">IF(OR(BM311="",CG311=""),"",BM311/CG311*100)</f>
        <v/>
      </c>
      <c r="BO311" s="41" t="str">
        <f aca="false">IF(BN311="","",IFERROR(MATCH(BN311,INDEX(Boundaries!$B$2:$I$30,MATCH(CU311,Boundaries!$A$2:$A$30,0),0),1)-1,""))</f>
        <v/>
      </c>
      <c r="BP311" s="42" t="str">
        <f aca="false">IF(OR(BO311="",$E311=""),"",BO311-$E311)</f>
        <v/>
      </c>
      <c r="BQ311" s="39"/>
      <c r="BR311" s="40" t="str">
        <f aca="false">IF(OR(BQ311="",CH311=""),"",BQ311/CH311*100)</f>
        <v/>
      </c>
      <c r="BS311" s="41" t="str">
        <f aca="false">IF(BR311="","",IFERROR(MATCH(BR311,INDEX(Boundaries!$B$2:$I$30,MATCH(CV311,Boundaries!$A$2:$A$30,0),0),1)-1,""))</f>
        <v/>
      </c>
      <c r="BT311" s="42" t="str">
        <f aca="false">IF(OR(BS311="",$E311=""),"",BS311-$E311)</f>
        <v/>
      </c>
      <c r="BU311" s="28" t="n">
        <f aca="false">IFERROR(INDEX(Assessments!$H$2:$H$600,MATCH($H311&amp;"|"&amp;$I311&amp;"|"&amp;$J311&amp;"|"&amp;1,Assessments!$A$2:$A$600,0)),"")</f>
        <v>24</v>
      </c>
      <c r="BV311" s="28" t="n">
        <f aca="false">IFERROR(INDEX(Assessments!$H$2:$H$600,MATCH($H311&amp;"|"&amp;$I311&amp;"|"&amp;$J311&amp;"|"&amp;2,Assessments!$A$2:$A$600,0)),"")</f>
        <v>20</v>
      </c>
      <c r="BW311" s="28" t="n">
        <f aca="false">IFERROR(INDEX(Assessments!$H$2:$H$600,MATCH($H311&amp;"|"&amp;$I311&amp;"|"&amp;$J311&amp;"|"&amp;3,Assessments!$A$2:$A$600,0)),"")</f>
        <v>20</v>
      </c>
      <c r="BX311" s="28" t="n">
        <f aca="false">IFERROR(INDEX(Assessments!$H$2:$H$600,MATCH($H311&amp;"|"&amp;$I311&amp;"|"&amp;$J311&amp;"|"&amp;4,Assessments!$A$2:$A$600,0)),"")</f>
        <v>40</v>
      </c>
      <c r="BY311" s="28" t="n">
        <f aca="false">IFERROR(INDEX(Assessments!$H$2:$H$600,MATCH($H311&amp;"|"&amp;$I311&amp;"|"&amp;$J311&amp;"|"&amp;5,Assessments!$A$2:$A$600,0)),"")</f>
        <v>30</v>
      </c>
      <c r="BZ311" s="28" t="n">
        <f aca="false">IFERROR(INDEX(Assessments!$H$2:$H$600,MATCH($H311&amp;"|"&amp;$I311&amp;"|"&amp;$J311&amp;"|"&amp;6,Assessments!$A$2:$A$600,0)),"")</f>
        <v>20</v>
      </c>
      <c r="CA311" s="28" t="n">
        <f aca="false">IFERROR(INDEX(Assessments!$H$2:$H$600,MATCH($H311&amp;"|"&amp;$I311&amp;"|"&amp;$J311&amp;"|"&amp;7,Assessments!$A$2:$A$600,0)),"")</f>
        <v>50</v>
      </c>
      <c r="CB311" s="28" t="str">
        <f aca="false">IFERROR(INDEX(Assessments!$H$2:$H$600,MATCH($H311&amp;"|"&amp;$I311&amp;"|"&amp;$J311&amp;"|"&amp;8,Assessments!$A$2:$A$600,0)),"")</f>
        <v/>
      </c>
      <c r="CC311" s="28" t="str">
        <f aca="false">IFERROR(INDEX(Assessments!$H$2:$H$600,MATCH($H311&amp;"|"&amp;$I311&amp;"|"&amp;$J311&amp;"|"&amp;9,Assessments!$A$2:$A$600,0)),"")</f>
        <v/>
      </c>
      <c r="CD311" s="28" t="str">
        <f aca="false">IFERROR(INDEX(Assessments!$H$2:$H$600,MATCH($H311&amp;"|"&amp;$I311&amp;"|"&amp;$J311&amp;"|"&amp;10,Assessments!$A$2:$A$600,0)),"")</f>
        <v/>
      </c>
      <c r="CE311" s="28" t="str">
        <f aca="false">IFERROR(INDEX(Assessments!$H$2:$H$600,MATCH($H311&amp;"|"&amp;$I311&amp;"|"&amp;$J311&amp;"|"&amp;11,Assessments!$A$2:$A$600,0)),"")</f>
        <v/>
      </c>
      <c r="CF311" s="28" t="str">
        <f aca="false">IFERROR(INDEX(Assessments!$H$2:$H$600,MATCH($H311&amp;"|"&amp;$I311&amp;"|"&amp;$J311&amp;"|"&amp;12,Assessments!$A$2:$A$600,0)),"")</f>
        <v/>
      </c>
      <c r="CG311" s="28" t="str">
        <f aca="false">IFERROR(INDEX(Assessments!$H$2:$H$600,MATCH($H311&amp;"|"&amp;$I311&amp;"|"&amp;$J311&amp;"|"&amp;13,Assessments!$A$2:$A$600,0)),"")</f>
        <v/>
      </c>
      <c r="CH311" s="28" t="str">
        <f aca="false">IFERROR(INDEX(Assessments!$H$2:$H$600,MATCH($H311&amp;"|"&amp;$I311&amp;"|"&amp;$J311&amp;"|"&amp;14,Assessments!$A$2:$A$600,0)),"")</f>
        <v/>
      </c>
      <c r="CI311" s="28" t="str">
        <f aca="false">IFERROR(INDEX(Assessments!$I$2:$I$600,MATCH($H311&amp;"|"&amp;$I311&amp;"|"&amp;$J311&amp;"|"&amp;1,Assessments!$A$2:$A$600,0)),"")</f>
        <v>BM Test</v>
      </c>
      <c r="CJ311" s="28" t="str">
        <f aca="false">IFERROR(INDEX(Assessments!$I$2:$I$600,MATCH($H311&amp;"|"&amp;$I311&amp;"|"&amp;$J311&amp;"|"&amp;2,Assessments!$A$2:$A$600,0)),"")</f>
        <v>BM Test</v>
      </c>
      <c r="CK311" s="28" t="str">
        <f aca="false">IFERROR(INDEX(Assessments!$I$2:$I$600,MATCH($H311&amp;"|"&amp;$I311&amp;"|"&amp;$J311&amp;"|"&amp;3,Assessments!$A$2:$A$600,0)),"")</f>
        <v>BM Test</v>
      </c>
      <c r="CL311" s="28" t="str">
        <f aca="false">IFERROR(INDEX(Assessments!$I$2:$I$600,MATCH($H311&amp;"|"&amp;$I311&amp;"|"&amp;$J311&amp;"|"&amp;4,Assessments!$A$2:$A$600,0)),"")</f>
        <v>BM Exam</v>
      </c>
      <c r="CM311" s="28" t="str">
        <f aca="false">IFERROR(INDEX(Assessments!$I$2:$I$600,MATCH($H311&amp;"|"&amp;$I311&amp;"|"&amp;$J311&amp;"|"&amp;5,Assessments!$A$2:$A$600,0)),"")</f>
        <v>BM Test</v>
      </c>
      <c r="CN311" s="28" t="str">
        <f aca="false">IFERROR(INDEX(Assessments!$I$2:$I$600,MATCH($H311&amp;"|"&amp;$I311&amp;"|"&amp;$J311&amp;"|"&amp;6,Assessments!$A$2:$A$600,0)),"")</f>
        <v>BM Test</v>
      </c>
      <c r="CO311" s="28" t="str">
        <f aca="false">IFERROR(INDEX(Assessments!$I$2:$I$600,MATCH($H311&amp;"|"&amp;$I311&amp;"|"&amp;$J311&amp;"|"&amp;7,Assessments!$A$2:$A$600,0)),"")</f>
        <v>BM Exam</v>
      </c>
      <c r="CP311" s="28" t="str">
        <f aca="false">IFERROR(INDEX(Assessments!$I$2:$I$600,MATCH($H311&amp;"|"&amp;$I311&amp;"|"&amp;$J311&amp;"|"&amp;8,Assessments!$A$2:$A$600,0)),"")</f>
        <v/>
      </c>
      <c r="CQ311" s="28" t="str">
        <f aca="false">IFERROR(INDEX(Assessments!$I$2:$I$600,MATCH($H311&amp;"|"&amp;$I311&amp;"|"&amp;$J311&amp;"|"&amp;9,Assessments!$A$2:$A$600,0)),"")</f>
        <v/>
      </c>
      <c r="CR311" s="28" t="str">
        <f aca="false">IFERROR(INDEX(Assessments!$I$2:$I$600,MATCH($H311&amp;"|"&amp;$I311&amp;"|"&amp;$J311&amp;"|"&amp;10,Assessments!$A$2:$A$600,0)),"")</f>
        <v/>
      </c>
      <c r="CS311" s="28" t="str">
        <f aca="false">IFERROR(INDEX(Assessments!$I$2:$I$600,MATCH($H311&amp;"|"&amp;$I311&amp;"|"&amp;$J311&amp;"|"&amp;11,Assessments!$A$2:$A$600,0)),"")</f>
        <v/>
      </c>
      <c r="CT311" s="28" t="str">
        <f aca="false">IFERROR(INDEX(Assessments!$I$2:$I$600,MATCH($H311&amp;"|"&amp;$I311&amp;"|"&amp;$J311&amp;"|"&amp;12,Assessments!$A$2:$A$600,0)),"")</f>
        <v/>
      </c>
      <c r="CU311" s="28" t="str">
        <f aca="false">IFERROR(INDEX(Assessments!$I$2:$I$600,MATCH($H311&amp;"|"&amp;$I311&amp;"|"&amp;$J311&amp;"|"&amp;13,Assessments!$A$2:$A$600,0)),"")</f>
        <v/>
      </c>
      <c r="CV311" s="28" t="str">
        <f aca="false">IFERROR(INDEX(Assessments!$I$2:$I$600,MATCH($H311&amp;"|"&amp;$I311&amp;"|"&amp;$J311&amp;"|"&amp;14,Assessments!$A$2:$A$600,0)),"")</f>
        <v/>
      </c>
      <c r="CW311" s="28" t="n">
        <f aca="false">IFERROR(INDEX(Assessments!$J$2:$J$600,MATCH($H311&amp;"|"&amp;$I311&amp;"|"&amp;$J311&amp;"|"&amp;1,Assessments!$A$2:$A$600,0)),0)</f>
        <v>1</v>
      </c>
      <c r="CX311" s="28" t="n">
        <f aca="false">IFERROR(INDEX(Assessments!$J$2:$J$600,MATCH($H311&amp;"|"&amp;$I311&amp;"|"&amp;$J311&amp;"|"&amp;2,Assessments!$A$2:$A$600,0)),0)</f>
        <v>1</v>
      </c>
      <c r="CY311" s="28" t="n">
        <f aca="false">IFERROR(INDEX(Assessments!$J$2:$J$600,MATCH($H311&amp;"|"&amp;$I311&amp;"|"&amp;$J311&amp;"|"&amp;3,Assessments!$A$2:$A$600,0)),0)</f>
        <v>1</v>
      </c>
      <c r="CZ311" s="28" t="n">
        <f aca="false">IFERROR(INDEX(Assessments!$J$2:$J$600,MATCH($H311&amp;"|"&amp;$I311&amp;"|"&amp;$J311&amp;"|"&amp;4,Assessments!$A$2:$A$600,0)),0)</f>
        <v>2</v>
      </c>
      <c r="DA311" s="28" t="n">
        <f aca="false">IFERROR(INDEX(Assessments!$J$2:$J$600,MATCH($H311&amp;"|"&amp;$I311&amp;"|"&amp;$J311&amp;"|"&amp;5,Assessments!$A$2:$A$600,0)),0)</f>
        <v>1</v>
      </c>
      <c r="DB311" s="28" t="n">
        <f aca="false">IFERROR(INDEX(Assessments!$J$2:$J$600,MATCH($H311&amp;"|"&amp;$I311&amp;"|"&amp;$J311&amp;"|"&amp;6,Assessments!$A$2:$A$600,0)),0)</f>
        <v>1</v>
      </c>
      <c r="DC311" s="28" t="n">
        <f aca="false">IFERROR(INDEX(Assessments!$J$2:$J$600,MATCH($H311&amp;"|"&amp;$I311&amp;"|"&amp;$J311&amp;"|"&amp;7,Assessments!$A$2:$A$600,0)),0)</f>
        <v>2</v>
      </c>
      <c r="DD311" s="28" t="n">
        <f aca="false">IFERROR(INDEX(Assessments!$J$2:$J$600,MATCH($H311&amp;"|"&amp;$I311&amp;"|"&amp;$J311&amp;"|"&amp;8,Assessments!$A$2:$A$600,0)),0)</f>
        <v>0</v>
      </c>
      <c r="DE311" s="28" t="n">
        <f aca="false">IFERROR(INDEX(Assessments!$J$2:$J$600,MATCH($H311&amp;"|"&amp;$I311&amp;"|"&amp;$J311&amp;"|"&amp;9,Assessments!$A$2:$A$600,0)),0)</f>
        <v>0</v>
      </c>
      <c r="DF311" s="28" t="n">
        <f aca="false">IFERROR(INDEX(Assessments!$J$2:$J$600,MATCH($H311&amp;"|"&amp;$I311&amp;"|"&amp;$J311&amp;"|"&amp;10,Assessments!$A$2:$A$600,0)),0)</f>
        <v>0</v>
      </c>
      <c r="DG311" s="28" t="n">
        <f aca="false">IFERROR(INDEX(Assessments!$J$2:$J$600,MATCH($H311&amp;"|"&amp;$I311&amp;"|"&amp;$J311&amp;"|"&amp;11,Assessments!$A$2:$A$600,0)),0)</f>
        <v>0</v>
      </c>
      <c r="DH311" s="28" t="n">
        <f aca="false">IFERROR(INDEX(Assessments!$J$2:$J$600,MATCH($H311&amp;"|"&amp;$I311&amp;"|"&amp;$J311&amp;"|"&amp;12,Assessments!$A$2:$A$600,0)),0)</f>
        <v>0</v>
      </c>
      <c r="DI311" s="28" t="n">
        <f aca="false">IFERROR(INDEX(Assessments!$J$2:$J$600,MATCH($H311&amp;"|"&amp;$I311&amp;"|"&amp;$J311&amp;"|"&amp;13,Assessments!$A$2:$A$600,0)),0)</f>
        <v>0</v>
      </c>
      <c r="DJ311" s="28" t="n">
        <f aca="false">IFERROR(INDEX(Assessments!$J$2:$J$600,MATCH($H311&amp;"|"&amp;$I311&amp;"|"&amp;$J311&amp;"|"&amp;14,Assessments!$A$2:$A$600,0)),0)</f>
        <v>0</v>
      </c>
      <c r="DK311" s="28" t="n">
        <f aca="false">S311</f>
        <v>7</v>
      </c>
      <c r="DL311" s="28" t="str">
        <f aca="false">W311</f>
        <v/>
      </c>
      <c r="DM311" s="28" t="str">
        <f aca="false">AA311</f>
        <v/>
      </c>
      <c r="DN311" s="28" t="str">
        <f aca="false">AE311</f>
        <v/>
      </c>
      <c r="DO311" s="28" t="str">
        <f aca="false">AI311</f>
        <v/>
      </c>
      <c r="DP311" s="28" t="str">
        <f aca="false">AM311</f>
        <v/>
      </c>
      <c r="DQ311" s="28" t="str">
        <f aca="false">AQ311</f>
        <v/>
      </c>
      <c r="DR311" s="28" t="str">
        <f aca="false">AU311</f>
        <v/>
      </c>
      <c r="DS311" s="28" t="str">
        <f aca="false">AY311</f>
        <v/>
      </c>
      <c r="DT311" s="28" t="str">
        <f aca="false">BC311</f>
        <v/>
      </c>
      <c r="DU311" s="28" t="str">
        <f aca="false">BG311</f>
        <v/>
      </c>
      <c r="DV311" s="28" t="str">
        <f aca="false">BK311</f>
        <v/>
      </c>
      <c r="DW311" s="28" t="str">
        <f aca="false">BO311</f>
        <v/>
      </c>
      <c r="DX311" s="28" t="str">
        <f aca="false">BS311</f>
        <v/>
      </c>
      <c r="DY311" s="28" t="n">
        <f aca="false">IF(ISNUMBER(S311),1,"")</f>
        <v>1</v>
      </c>
      <c r="DZ311" s="28" t="str">
        <f aca="false">IF(ISNUMBER(W311),2,"")</f>
        <v/>
      </c>
      <c r="EA311" s="28" t="str">
        <f aca="false">IF(ISNUMBER(AA311),3,"")</f>
        <v/>
      </c>
      <c r="EB311" s="28" t="str">
        <f aca="false">IF(ISNUMBER(AE311),4,"")</f>
        <v/>
      </c>
      <c r="EC311" s="28" t="str">
        <f aca="false">IF(ISNUMBER(AI311),5,"")</f>
        <v/>
      </c>
      <c r="ED311" s="28" t="str">
        <f aca="false">IF(ISNUMBER(AM311),6,"")</f>
        <v/>
      </c>
      <c r="EE311" s="28" t="str">
        <f aca="false">IF(ISNUMBER(AQ311),7,"")</f>
        <v/>
      </c>
      <c r="EF311" s="28" t="str">
        <f aca="false">IF(ISNUMBER(AU311),8,"")</f>
        <v/>
      </c>
      <c r="EG311" s="28" t="str">
        <f aca="false">IF(ISNUMBER(AY311),9,"")</f>
        <v/>
      </c>
      <c r="EH311" s="28" t="str">
        <f aca="false">IF(ISNUMBER(BC311),10,"")</f>
        <v/>
      </c>
      <c r="EI311" s="28" t="str">
        <f aca="false">IF(ISNUMBER(BG311),11,"")</f>
        <v/>
      </c>
      <c r="EJ311" s="28" t="str">
        <f aca="false">IF(ISNUMBER(BK311),12,"")</f>
        <v/>
      </c>
      <c r="EK311" s="28" t="str">
        <f aca="false">IF(ISNUMBER(BO311),13,"")</f>
        <v/>
      </c>
      <c r="EL311" s="28" t="str">
        <f aca="false">IF(ISNUMBER(BS311),14,"")</f>
        <v/>
      </c>
      <c r="EM311" s="28" t="n">
        <f aca="false">IF(ISNUMBER(R311),R311*CW311,0)</f>
        <v>95.8333333333333</v>
      </c>
      <c r="EN311" s="28" t="n">
        <f aca="false">IF(ISNUMBER(V311),V311*CX311,0)</f>
        <v>0</v>
      </c>
      <c r="EO311" s="28" t="n">
        <f aca="false">IF(ISNUMBER(Z311),Z311*CY311,0)</f>
        <v>0</v>
      </c>
      <c r="EP311" s="28" t="n">
        <f aca="false">IF(ISNUMBER(AD311),AD311*CZ311,0)</f>
        <v>0</v>
      </c>
      <c r="EQ311" s="28" t="n">
        <f aca="false">IF(ISNUMBER(AH311),AH311*DA311,0)</f>
        <v>0</v>
      </c>
      <c r="ER311" s="28" t="n">
        <f aca="false">IF(ISNUMBER(AL311),AL311*DB311,0)</f>
        <v>0</v>
      </c>
      <c r="ES311" s="28" t="n">
        <f aca="false">IF(ISNUMBER(AP311),AP311*DC311,0)</f>
        <v>0</v>
      </c>
      <c r="ET311" s="28" t="n">
        <f aca="false">IF(ISNUMBER(AT311),AT311*DD311,0)</f>
        <v>0</v>
      </c>
      <c r="EU311" s="28" t="n">
        <f aca="false">IF(ISNUMBER(AX311),AX311*DE311,0)</f>
        <v>0</v>
      </c>
      <c r="EV311" s="28" t="n">
        <f aca="false">IF(ISNUMBER(BB311),BB311*DF311,0)</f>
        <v>0</v>
      </c>
      <c r="EW311" s="28" t="n">
        <f aca="false">IF(ISNUMBER(BF311),BF311*DG311,0)</f>
        <v>0</v>
      </c>
      <c r="EX311" s="28" t="n">
        <f aca="false">IF(ISNUMBER(BJ311),BJ311*DH311,0)</f>
        <v>0</v>
      </c>
      <c r="EY311" s="28" t="n">
        <f aca="false">IF(ISNUMBER(BN311),BN311*DI311,0)</f>
        <v>0</v>
      </c>
      <c r="EZ311" s="28" t="n">
        <f aca="false">IF(ISNUMBER(BR311),BR311*DJ311,0)</f>
        <v>0</v>
      </c>
      <c r="FA311" s="28" t="n">
        <f aca="false">IF(ISNUMBER(R311),CW311,0)</f>
        <v>1</v>
      </c>
      <c r="FB311" s="28" t="n">
        <f aca="false">IF(ISNUMBER(V311),CX311,0)</f>
        <v>0</v>
      </c>
      <c r="FC311" s="28" t="n">
        <f aca="false">IF(ISNUMBER(Z311),CY311,0)</f>
        <v>0</v>
      </c>
      <c r="FD311" s="28" t="n">
        <f aca="false">IF(ISNUMBER(AD311),CZ311,0)</f>
        <v>0</v>
      </c>
      <c r="FE311" s="28" t="n">
        <f aca="false">IF(ISNUMBER(AH311),DA311,0)</f>
        <v>0</v>
      </c>
      <c r="FF311" s="28" t="n">
        <f aca="false">IF(ISNUMBER(AL311),DB311,0)</f>
        <v>0</v>
      </c>
      <c r="FG311" s="28" t="n">
        <f aca="false">IF(ISNUMBER(AP311),DC311,0)</f>
        <v>0</v>
      </c>
      <c r="FH311" s="28" t="n">
        <f aca="false">IF(ISNUMBER(AT311),DD311,0)</f>
        <v>0</v>
      </c>
      <c r="FI311" s="28" t="n">
        <f aca="false">IF(ISNUMBER(AX311),DE311,0)</f>
        <v>0</v>
      </c>
      <c r="FJ311" s="28" t="n">
        <f aca="false">IF(ISNUMBER(BB311),DF311,0)</f>
        <v>0</v>
      </c>
      <c r="FK311" s="28" t="n">
        <f aca="false">IF(ISNUMBER(BF311),DG311,0)</f>
        <v>0</v>
      </c>
      <c r="FL311" s="28" t="n">
        <f aca="false">IF(ISNUMBER(BJ311),DH311,0)</f>
        <v>0</v>
      </c>
      <c r="FM311" s="28" t="n">
        <f aca="false">IF(ISNUMBER(BN311),DI311,0)</f>
        <v>0</v>
      </c>
      <c r="FN311" s="28" t="n">
        <f aca="false">IF(ISNUMBER(BR311),DJ311,0)</f>
        <v>0</v>
      </c>
      <c r="FO311" s="28" t="str">
        <f aca="false">IFERROR(INDEX(Lists!$G$2:$G$20,MATCH($I311&amp;"|"&amp;$J311,Lists!$F$2:$F$20,0)),"")</f>
        <v>BM Exam</v>
      </c>
    </row>
    <row r="312" customFormat="false" ht="19.5" hidden="false" customHeight="true" outlineLevel="0" collapsed="false">
      <c r="A312" s="29" t="s">
        <v>610</v>
      </c>
      <c r="B312" s="29" t="s">
        <v>434</v>
      </c>
      <c r="C312" s="30" t="s">
        <v>152</v>
      </c>
      <c r="D312" s="30" t="s">
        <v>408</v>
      </c>
      <c r="E312" s="31"/>
      <c r="F312" s="30"/>
      <c r="G312" s="30"/>
      <c r="H312" s="32" t="s">
        <v>428</v>
      </c>
      <c r="I312" s="33" t="s">
        <v>365</v>
      </c>
      <c r="J312" s="32" t="s">
        <v>25</v>
      </c>
      <c r="K312" s="34" t="str">
        <f aca="false">IF(OR(M312="",$E312=""),"",M312-$E312)</f>
        <v/>
      </c>
      <c r="L312" s="35" t="n">
        <f aca="false">IF(SUM(FA312:FN312)=0,"",SUM(EM312:EZ312)/SUM(FA312:FN312))</f>
        <v>100</v>
      </c>
      <c r="M312" s="36" t="n">
        <f aca="false">IF(OR(L312="",FO312=""),"",IFERROR(MATCH(L312,INDEX(Boundaries!$B$2:$I$30,MATCH(FO312,Boundaries!$A$2:$A$30,0),0),1)-1,""))</f>
        <v>7</v>
      </c>
      <c r="N312" s="37" t="str">
        <f aca="false">IF(COUNT($DY312:$EL312)&lt;2,"",INDEX($DK312:$DX312,MAX($DY312:$EL312))-INDEX($DK312:$DX312,MIN($DY312:$EL312)))</f>
        <v/>
      </c>
      <c r="O312" s="37" t="str">
        <f aca="false">IF(COUNT($DY312:$EL312)&lt;2,"",INDEX($DK312:$DX312,MAX($DY312:$EL312))-INDEX($DK312:$DX312,LARGE($DY312:$EL312,2)))</f>
        <v/>
      </c>
      <c r="P312" s="38" t="str">
        <f aca="false">IF(K312="","",IF(K312&gt;=0,"On/above target",IF(AND(N312&lt;&gt;"",N312&gt;=0.5),"Improving towards target",IF(AND(O312&lt;&gt;"",O312&lt;=-0.5),"Declining","Stable below target"))))</f>
        <v/>
      </c>
      <c r="Q312" s="39" t="n">
        <v>24</v>
      </c>
      <c r="R312" s="40" t="n">
        <f aca="false">IF(OR(Q312="",BU312=""),"",Q312/BU312*100)</f>
        <v>100</v>
      </c>
      <c r="S312" s="41" t="n">
        <f aca="false">IF(R312="","",IFERROR(MATCH(R312,INDEX(Boundaries!$B$2:$I$30,MATCH(CI312,Boundaries!$A$2:$A$30,0),0),1)-1,""))</f>
        <v>7</v>
      </c>
      <c r="T312" s="42" t="str">
        <f aca="false">IF(OR(S312="",$E312=""),"",S312-$E312)</f>
        <v/>
      </c>
      <c r="U312" s="39"/>
      <c r="V312" s="40" t="str">
        <f aca="false">IF(OR(U312="",BV312=""),"",U312/BV312*100)</f>
        <v/>
      </c>
      <c r="W312" s="41" t="str">
        <f aca="false">IF(V312="","",IFERROR(MATCH(V312,INDEX(Boundaries!$B$2:$I$30,MATCH(CJ312,Boundaries!$A$2:$A$30,0),0),1)-1,""))</f>
        <v/>
      </c>
      <c r="X312" s="42" t="str">
        <f aca="false">IF(OR(W312="",$E312=""),"",W312-$E312)</f>
        <v/>
      </c>
      <c r="Y312" s="39"/>
      <c r="Z312" s="40" t="str">
        <f aca="false">IF(OR(Y312="",BW312=""),"",Y312/BW312*100)</f>
        <v/>
      </c>
      <c r="AA312" s="41" t="str">
        <f aca="false">IF(Z312="","",IFERROR(MATCH(Z312,INDEX(Boundaries!$B$2:$I$30,MATCH(CK312,Boundaries!$A$2:$A$30,0),0),1)-1,""))</f>
        <v/>
      </c>
      <c r="AB312" s="42" t="str">
        <f aca="false">IF(OR(AA312="",$E312=""),"",AA312-$E312)</f>
        <v/>
      </c>
      <c r="AC312" s="39"/>
      <c r="AD312" s="40" t="str">
        <f aca="false">IF(OR(AC312="",BX312=""),"",AC312/BX312*100)</f>
        <v/>
      </c>
      <c r="AE312" s="41" t="str">
        <f aca="false">IF(AD312="","",IFERROR(MATCH(AD312,INDEX(Boundaries!$B$2:$I$30,MATCH(CL312,Boundaries!$A$2:$A$30,0),0),1)-1,""))</f>
        <v/>
      </c>
      <c r="AF312" s="42" t="str">
        <f aca="false">IF(OR(AE312="",$E312=""),"",AE312-$E312)</f>
        <v/>
      </c>
      <c r="AG312" s="39"/>
      <c r="AH312" s="40" t="str">
        <f aca="false">IF(OR(AG312="",BY312=""),"",AG312/BY312*100)</f>
        <v/>
      </c>
      <c r="AI312" s="41" t="str">
        <f aca="false">IF(AH312="","",IFERROR(MATCH(AH312,INDEX(Boundaries!$B$2:$I$30,MATCH(CM312,Boundaries!$A$2:$A$30,0),0),1)-1,""))</f>
        <v/>
      </c>
      <c r="AJ312" s="42" t="str">
        <f aca="false">IF(OR(AI312="",$E312=""),"",AI312-$E312)</f>
        <v/>
      </c>
      <c r="AK312" s="39"/>
      <c r="AL312" s="40" t="str">
        <f aca="false">IF(OR(AK312="",BZ312=""),"",AK312/BZ312*100)</f>
        <v/>
      </c>
      <c r="AM312" s="41" t="str">
        <f aca="false">IF(AL312="","",IFERROR(MATCH(AL312,INDEX(Boundaries!$B$2:$I$30,MATCH(CN312,Boundaries!$A$2:$A$30,0),0),1)-1,""))</f>
        <v/>
      </c>
      <c r="AN312" s="42" t="str">
        <f aca="false">IF(OR(AM312="",$E312=""),"",AM312-$E312)</f>
        <v/>
      </c>
      <c r="AO312" s="39"/>
      <c r="AP312" s="40" t="str">
        <f aca="false">IF(OR(AO312="",CA312=""),"",AO312/CA312*100)</f>
        <v/>
      </c>
      <c r="AQ312" s="41" t="str">
        <f aca="false">IF(AP312="","",IFERROR(MATCH(AP312,INDEX(Boundaries!$B$2:$I$30,MATCH(CO312,Boundaries!$A$2:$A$30,0),0),1)-1,""))</f>
        <v/>
      </c>
      <c r="AR312" s="42" t="str">
        <f aca="false">IF(OR(AQ312="",$E312=""),"",AQ312-$E312)</f>
        <v/>
      </c>
      <c r="AS312" s="39"/>
      <c r="AT312" s="40" t="str">
        <f aca="false">IF(OR(AS312="",CB312=""),"",AS312/CB312*100)</f>
        <v/>
      </c>
      <c r="AU312" s="41" t="str">
        <f aca="false">IF(AT312="","",IFERROR(MATCH(AT312,INDEX(Boundaries!$B$2:$I$30,MATCH(CP312,Boundaries!$A$2:$A$30,0),0),1)-1,""))</f>
        <v/>
      </c>
      <c r="AV312" s="42" t="str">
        <f aca="false">IF(OR(AU312="",$E312=""),"",AU312-$E312)</f>
        <v/>
      </c>
      <c r="AW312" s="39"/>
      <c r="AX312" s="40" t="str">
        <f aca="false">IF(OR(AW312="",CC312=""),"",AW312/CC312*100)</f>
        <v/>
      </c>
      <c r="AY312" s="41" t="str">
        <f aca="false">IF(AX312="","",IFERROR(MATCH(AX312,INDEX(Boundaries!$B$2:$I$30,MATCH(CQ312,Boundaries!$A$2:$A$30,0),0),1)-1,""))</f>
        <v/>
      </c>
      <c r="AZ312" s="42" t="str">
        <f aca="false">IF(OR(AY312="",$E312=""),"",AY312-$E312)</f>
        <v/>
      </c>
      <c r="BA312" s="39"/>
      <c r="BB312" s="40" t="str">
        <f aca="false">IF(OR(BA312="",CD312=""),"",BA312/CD312*100)</f>
        <v/>
      </c>
      <c r="BC312" s="41" t="str">
        <f aca="false">IF(BB312="","",IFERROR(MATCH(BB312,INDEX(Boundaries!$B$2:$I$30,MATCH(CR312,Boundaries!$A$2:$A$30,0),0),1)-1,""))</f>
        <v/>
      </c>
      <c r="BD312" s="42" t="str">
        <f aca="false">IF(OR(BC312="",$E312=""),"",BC312-$E312)</f>
        <v/>
      </c>
      <c r="BE312" s="39"/>
      <c r="BF312" s="40" t="str">
        <f aca="false">IF(OR(BE312="",CE312=""),"",BE312/CE312*100)</f>
        <v/>
      </c>
      <c r="BG312" s="41" t="str">
        <f aca="false">IF(BF312="","",IFERROR(MATCH(BF312,INDEX(Boundaries!$B$2:$I$30,MATCH(CS312,Boundaries!$A$2:$A$30,0),0),1)-1,""))</f>
        <v/>
      </c>
      <c r="BH312" s="42" t="str">
        <f aca="false">IF(OR(BG312="",$E312=""),"",BG312-$E312)</f>
        <v/>
      </c>
      <c r="BI312" s="39"/>
      <c r="BJ312" s="40" t="str">
        <f aca="false">IF(OR(BI312="",CF312=""),"",BI312/CF312*100)</f>
        <v/>
      </c>
      <c r="BK312" s="41" t="str">
        <f aca="false">IF(BJ312="","",IFERROR(MATCH(BJ312,INDEX(Boundaries!$B$2:$I$30,MATCH(CT312,Boundaries!$A$2:$A$30,0),0),1)-1,""))</f>
        <v/>
      </c>
      <c r="BL312" s="42" t="str">
        <f aca="false">IF(OR(BK312="",$E312=""),"",BK312-$E312)</f>
        <v/>
      </c>
      <c r="BM312" s="39"/>
      <c r="BN312" s="40" t="str">
        <f aca="false">IF(OR(BM312="",CG312=""),"",BM312/CG312*100)</f>
        <v/>
      </c>
      <c r="BO312" s="41" t="str">
        <f aca="false">IF(BN312="","",IFERROR(MATCH(BN312,INDEX(Boundaries!$B$2:$I$30,MATCH(CU312,Boundaries!$A$2:$A$30,0),0),1)-1,""))</f>
        <v/>
      </c>
      <c r="BP312" s="42" t="str">
        <f aca="false">IF(OR(BO312="",$E312=""),"",BO312-$E312)</f>
        <v/>
      </c>
      <c r="BQ312" s="39"/>
      <c r="BR312" s="40" t="str">
        <f aca="false">IF(OR(BQ312="",CH312=""),"",BQ312/CH312*100)</f>
        <v/>
      </c>
      <c r="BS312" s="41" t="str">
        <f aca="false">IF(BR312="","",IFERROR(MATCH(BR312,INDEX(Boundaries!$B$2:$I$30,MATCH(CV312,Boundaries!$A$2:$A$30,0),0),1)-1,""))</f>
        <v/>
      </c>
      <c r="BT312" s="42" t="str">
        <f aca="false">IF(OR(BS312="",$E312=""),"",BS312-$E312)</f>
        <v/>
      </c>
      <c r="BU312" s="28" t="n">
        <f aca="false">IFERROR(INDEX(Assessments!$H$2:$H$600,MATCH($H312&amp;"|"&amp;$I312&amp;"|"&amp;$J312&amp;"|"&amp;1,Assessments!$A$2:$A$600,0)),"")</f>
        <v>24</v>
      </c>
      <c r="BV312" s="28" t="n">
        <f aca="false">IFERROR(INDEX(Assessments!$H$2:$H$600,MATCH($H312&amp;"|"&amp;$I312&amp;"|"&amp;$J312&amp;"|"&amp;2,Assessments!$A$2:$A$600,0)),"")</f>
        <v>20</v>
      </c>
      <c r="BW312" s="28" t="n">
        <f aca="false">IFERROR(INDEX(Assessments!$H$2:$H$600,MATCH($H312&amp;"|"&amp;$I312&amp;"|"&amp;$J312&amp;"|"&amp;3,Assessments!$A$2:$A$600,0)),"")</f>
        <v>20</v>
      </c>
      <c r="BX312" s="28" t="n">
        <f aca="false">IFERROR(INDEX(Assessments!$H$2:$H$600,MATCH($H312&amp;"|"&amp;$I312&amp;"|"&amp;$J312&amp;"|"&amp;4,Assessments!$A$2:$A$600,0)),"")</f>
        <v>40</v>
      </c>
      <c r="BY312" s="28" t="n">
        <f aca="false">IFERROR(INDEX(Assessments!$H$2:$H$600,MATCH($H312&amp;"|"&amp;$I312&amp;"|"&amp;$J312&amp;"|"&amp;5,Assessments!$A$2:$A$600,0)),"")</f>
        <v>30</v>
      </c>
      <c r="BZ312" s="28" t="n">
        <f aca="false">IFERROR(INDEX(Assessments!$H$2:$H$600,MATCH($H312&amp;"|"&amp;$I312&amp;"|"&amp;$J312&amp;"|"&amp;6,Assessments!$A$2:$A$600,0)),"")</f>
        <v>20</v>
      </c>
      <c r="CA312" s="28" t="n">
        <f aca="false">IFERROR(INDEX(Assessments!$H$2:$H$600,MATCH($H312&amp;"|"&amp;$I312&amp;"|"&amp;$J312&amp;"|"&amp;7,Assessments!$A$2:$A$600,0)),"")</f>
        <v>50</v>
      </c>
      <c r="CB312" s="28" t="str">
        <f aca="false">IFERROR(INDEX(Assessments!$H$2:$H$600,MATCH($H312&amp;"|"&amp;$I312&amp;"|"&amp;$J312&amp;"|"&amp;8,Assessments!$A$2:$A$600,0)),"")</f>
        <v/>
      </c>
      <c r="CC312" s="28" t="str">
        <f aca="false">IFERROR(INDEX(Assessments!$H$2:$H$600,MATCH($H312&amp;"|"&amp;$I312&amp;"|"&amp;$J312&amp;"|"&amp;9,Assessments!$A$2:$A$600,0)),"")</f>
        <v/>
      </c>
      <c r="CD312" s="28" t="str">
        <f aca="false">IFERROR(INDEX(Assessments!$H$2:$H$600,MATCH($H312&amp;"|"&amp;$I312&amp;"|"&amp;$J312&amp;"|"&amp;10,Assessments!$A$2:$A$600,0)),"")</f>
        <v/>
      </c>
      <c r="CE312" s="28" t="str">
        <f aca="false">IFERROR(INDEX(Assessments!$H$2:$H$600,MATCH($H312&amp;"|"&amp;$I312&amp;"|"&amp;$J312&amp;"|"&amp;11,Assessments!$A$2:$A$600,0)),"")</f>
        <v/>
      </c>
      <c r="CF312" s="28" t="str">
        <f aca="false">IFERROR(INDEX(Assessments!$H$2:$H$600,MATCH($H312&amp;"|"&amp;$I312&amp;"|"&amp;$J312&amp;"|"&amp;12,Assessments!$A$2:$A$600,0)),"")</f>
        <v/>
      </c>
      <c r="CG312" s="28" t="str">
        <f aca="false">IFERROR(INDEX(Assessments!$H$2:$H$600,MATCH($H312&amp;"|"&amp;$I312&amp;"|"&amp;$J312&amp;"|"&amp;13,Assessments!$A$2:$A$600,0)),"")</f>
        <v/>
      </c>
      <c r="CH312" s="28" t="str">
        <f aca="false">IFERROR(INDEX(Assessments!$H$2:$H$600,MATCH($H312&amp;"|"&amp;$I312&amp;"|"&amp;$J312&amp;"|"&amp;14,Assessments!$A$2:$A$600,0)),"")</f>
        <v/>
      </c>
      <c r="CI312" s="28" t="str">
        <f aca="false">IFERROR(INDEX(Assessments!$I$2:$I$600,MATCH($H312&amp;"|"&amp;$I312&amp;"|"&amp;$J312&amp;"|"&amp;1,Assessments!$A$2:$A$600,0)),"")</f>
        <v>BM Test</v>
      </c>
      <c r="CJ312" s="28" t="str">
        <f aca="false">IFERROR(INDEX(Assessments!$I$2:$I$600,MATCH($H312&amp;"|"&amp;$I312&amp;"|"&amp;$J312&amp;"|"&amp;2,Assessments!$A$2:$A$600,0)),"")</f>
        <v>BM Test</v>
      </c>
      <c r="CK312" s="28" t="str">
        <f aca="false">IFERROR(INDEX(Assessments!$I$2:$I$600,MATCH($H312&amp;"|"&amp;$I312&amp;"|"&amp;$J312&amp;"|"&amp;3,Assessments!$A$2:$A$600,0)),"")</f>
        <v>BM Test</v>
      </c>
      <c r="CL312" s="28" t="str">
        <f aca="false">IFERROR(INDEX(Assessments!$I$2:$I$600,MATCH($H312&amp;"|"&amp;$I312&amp;"|"&amp;$J312&amp;"|"&amp;4,Assessments!$A$2:$A$600,0)),"")</f>
        <v>BM Exam</v>
      </c>
      <c r="CM312" s="28" t="str">
        <f aca="false">IFERROR(INDEX(Assessments!$I$2:$I$600,MATCH($H312&amp;"|"&amp;$I312&amp;"|"&amp;$J312&amp;"|"&amp;5,Assessments!$A$2:$A$600,0)),"")</f>
        <v>BM Test</v>
      </c>
      <c r="CN312" s="28" t="str">
        <f aca="false">IFERROR(INDEX(Assessments!$I$2:$I$600,MATCH($H312&amp;"|"&amp;$I312&amp;"|"&amp;$J312&amp;"|"&amp;6,Assessments!$A$2:$A$600,0)),"")</f>
        <v>BM Test</v>
      </c>
      <c r="CO312" s="28" t="str">
        <f aca="false">IFERROR(INDEX(Assessments!$I$2:$I$600,MATCH($H312&amp;"|"&amp;$I312&amp;"|"&amp;$J312&amp;"|"&amp;7,Assessments!$A$2:$A$600,0)),"")</f>
        <v>BM Exam</v>
      </c>
      <c r="CP312" s="28" t="str">
        <f aca="false">IFERROR(INDEX(Assessments!$I$2:$I$600,MATCH($H312&amp;"|"&amp;$I312&amp;"|"&amp;$J312&amp;"|"&amp;8,Assessments!$A$2:$A$600,0)),"")</f>
        <v/>
      </c>
      <c r="CQ312" s="28" t="str">
        <f aca="false">IFERROR(INDEX(Assessments!$I$2:$I$600,MATCH($H312&amp;"|"&amp;$I312&amp;"|"&amp;$J312&amp;"|"&amp;9,Assessments!$A$2:$A$600,0)),"")</f>
        <v/>
      </c>
      <c r="CR312" s="28" t="str">
        <f aca="false">IFERROR(INDEX(Assessments!$I$2:$I$600,MATCH($H312&amp;"|"&amp;$I312&amp;"|"&amp;$J312&amp;"|"&amp;10,Assessments!$A$2:$A$600,0)),"")</f>
        <v/>
      </c>
      <c r="CS312" s="28" t="str">
        <f aca="false">IFERROR(INDEX(Assessments!$I$2:$I$600,MATCH($H312&amp;"|"&amp;$I312&amp;"|"&amp;$J312&amp;"|"&amp;11,Assessments!$A$2:$A$600,0)),"")</f>
        <v/>
      </c>
      <c r="CT312" s="28" t="str">
        <f aca="false">IFERROR(INDEX(Assessments!$I$2:$I$600,MATCH($H312&amp;"|"&amp;$I312&amp;"|"&amp;$J312&amp;"|"&amp;12,Assessments!$A$2:$A$600,0)),"")</f>
        <v/>
      </c>
      <c r="CU312" s="28" t="str">
        <f aca="false">IFERROR(INDEX(Assessments!$I$2:$I$600,MATCH($H312&amp;"|"&amp;$I312&amp;"|"&amp;$J312&amp;"|"&amp;13,Assessments!$A$2:$A$600,0)),"")</f>
        <v/>
      </c>
      <c r="CV312" s="28" t="str">
        <f aca="false">IFERROR(INDEX(Assessments!$I$2:$I$600,MATCH($H312&amp;"|"&amp;$I312&amp;"|"&amp;$J312&amp;"|"&amp;14,Assessments!$A$2:$A$600,0)),"")</f>
        <v/>
      </c>
      <c r="CW312" s="28" t="n">
        <f aca="false">IFERROR(INDEX(Assessments!$J$2:$J$600,MATCH($H312&amp;"|"&amp;$I312&amp;"|"&amp;$J312&amp;"|"&amp;1,Assessments!$A$2:$A$600,0)),0)</f>
        <v>1</v>
      </c>
      <c r="CX312" s="28" t="n">
        <f aca="false">IFERROR(INDEX(Assessments!$J$2:$J$600,MATCH($H312&amp;"|"&amp;$I312&amp;"|"&amp;$J312&amp;"|"&amp;2,Assessments!$A$2:$A$600,0)),0)</f>
        <v>1</v>
      </c>
      <c r="CY312" s="28" t="n">
        <f aca="false">IFERROR(INDEX(Assessments!$J$2:$J$600,MATCH($H312&amp;"|"&amp;$I312&amp;"|"&amp;$J312&amp;"|"&amp;3,Assessments!$A$2:$A$600,0)),0)</f>
        <v>1</v>
      </c>
      <c r="CZ312" s="28" t="n">
        <f aca="false">IFERROR(INDEX(Assessments!$J$2:$J$600,MATCH($H312&amp;"|"&amp;$I312&amp;"|"&amp;$J312&amp;"|"&amp;4,Assessments!$A$2:$A$600,0)),0)</f>
        <v>2</v>
      </c>
      <c r="DA312" s="28" t="n">
        <f aca="false">IFERROR(INDEX(Assessments!$J$2:$J$600,MATCH($H312&amp;"|"&amp;$I312&amp;"|"&amp;$J312&amp;"|"&amp;5,Assessments!$A$2:$A$600,0)),0)</f>
        <v>1</v>
      </c>
      <c r="DB312" s="28" t="n">
        <f aca="false">IFERROR(INDEX(Assessments!$J$2:$J$600,MATCH($H312&amp;"|"&amp;$I312&amp;"|"&amp;$J312&amp;"|"&amp;6,Assessments!$A$2:$A$600,0)),0)</f>
        <v>1</v>
      </c>
      <c r="DC312" s="28" t="n">
        <f aca="false">IFERROR(INDEX(Assessments!$J$2:$J$600,MATCH($H312&amp;"|"&amp;$I312&amp;"|"&amp;$J312&amp;"|"&amp;7,Assessments!$A$2:$A$600,0)),0)</f>
        <v>2</v>
      </c>
      <c r="DD312" s="28" t="n">
        <f aca="false">IFERROR(INDEX(Assessments!$J$2:$J$600,MATCH($H312&amp;"|"&amp;$I312&amp;"|"&amp;$J312&amp;"|"&amp;8,Assessments!$A$2:$A$600,0)),0)</f>
        <v>0</v>
      </c>
      <c r="DE312" s="28" t="n">
        <f aca="false">IFERROR(INDEX(Assessments!$J$2:$J$600,MATCH($H312&amp;"|"&amp;$I312&amp;"|"&amp;$J312&amp;"|"&amp;9,Assessments!$A$2:$A$600,0)),0)</f>
        <v>0</v>
      </c>
      <c r="DF312" s="28" t="n">
        <f aca="false">IFERROR(INDEX(Assessments!$J$2:$J$600,MATCH($H312&amp;"|"&amp;$I312&amp;"|"&amp;$J312&amp;"|"&amp;10,Assessments!$A$2:$A$600,0)),0)</f>
        <v>0</v>
      </c>
      <c r="DG312" s="28" t="n">
        <f aca="false">IFERROR(INDEX(Assessments!$J$2:$J$600,MATCH($H312&amp;"|"&amp;$I312&amp;"|"&amp;$J312&amp;"|"&amp;11,Assessments!$A$2:$A$600,0)),0)</f>
        <v>0</v>
      </c>
      <c r="DH312" s="28" t="n">
        <f aca="false">IFERROR(INDEX(Assessments!$J$2:$J$600,MATCH($H312&amp;"|"&amp;$I312&amp;"|"&amp;$J312&amp;"|"&amp;12,Assessments!$A$2:$A$600,0)),0)</f>
        <v>0</v>
      </c>
      <c r="DI312" s="28" t="n">
        <f aca="false">IFERROR(INDEX(Assessments!$J$2:$J$600,MATCH($H312&amp;"|"&amp;$I312&amp;"|"&amp;$J312&amp;"|"&amp;13,Assessments!$A$2:$A$600,0)),0)</f>
        <v>0</v>
      </c>
      <c r="DJ312" s="28" t="n">
        <f aca="false">IFERROR(INDEX(Assessments!$J$2:$J$600,MATCH($H312&amp;"|"&amp;$I312&amp;"|"&amp;$J312&amp;"|"&amp;14,Assessments!$A$2:$A$600,0)),0)</f>
        <v>0</v>
      </c>
      <c r="DK312" s="28" t="n">
        <f aca="false">S312</f>
        <v>7</v>
      </c>
      <c r="DL312" s="28" t="str">
        <f aca="false">W312</f>
        <v/>
      </c>
      <c r="DM312" s="28" t="str">
        <f aca="false">AA312</f>
        <v/>
      </c>
      <c r="DN312" s="28" t="str">
        <f aca="false">AE312</f>
        <v/>
      </c>
      <c r="DO312" s="28" t="str">
        <f aca="false">AI312</f>
        <v/>
      </c>
      <c r="DP312" s="28" t="str">
        <f aca="false">AM312</f>
        <v/>
      </c>
      <c r="DQ312" s="28" t="str">
        <f aca="false">AQ312</f>
        <v/>
      </c>
      <c r="DR312" s="28" t="str">
        <f aca="false">AU312</f>
        <v/>
      </c>
      <c r="DS312" s="28" t="str">
        <f aca="false">AY312</f>
        <v/>
      </c>
      <c r="DT312" s="28" t="str">
        <f aca="false">BC312</f>
        <v/>
      </c>
      <c r="DU312" s="28" t="str">
        <f aca="false">BG312</f>
        <v/>
      </c>
      <c r="DV312" s="28" t="str">
        <f aca="false">BK312</f>
        <v/>
      </c>
      <c r="DW312" s="28" t="str">
        <f aca="false">BO312</f>
        <v/>
      </c>
      <c r="DX312" s="28" t="str">
        <f aca="false">BS312</f>
        <v/>
      </c>
      <c r="DY312" s="28" t="n">
        <f aca="false">IF(ISNUMBER(S312),1,"")</f>
        <v>1</v>
      </c>
      <c r="DZ312" s="28" t="str">
        <f aca="false">IF(ISNUMBER(W312),2,"")</f>
        <v/>
      </c>
      <c r="EA312" s="28" t="str">
        <f aca="false">IF(ISNUMBER(AA312),3,"")</f>
        <v/>
      </c>
      <c r="EB312" s="28" t="str">
        <f aca="false">IF(ISNUMBER(AE312),4,"")</f>
        <v/>
      </c>
      <c r="EC312" s="28" t="str">
        <f aca="false">IF(ISNUMBER(AI312),5,"")</f>
        <v/>
      </c>
      <c r="ED312" s="28" t="str">
        <f aca="false">IF(ISNUMBER(AM312),6,"")</f>
        <v/>
      </c>
      <c r="EE312" s="28" t="str">
        <f aca="false">IF(ISNUMBER(AQ312),7,"")</f>
        <v/>
      </c>
      <c r="EF312" s="28" t="str">
        <f aca="false">IF(ISNUMBER(AU312),8,"")</f>
        <v/>
      </c>
      <c r="EG312" s="28" t="str">
        <f aca="false">IF(ISNUMBER(AY312),9,"")</f>
        <v/>
      </c>
      <c r="EH312" s="28" t="str">
        <f aca="false">IF(ISNUMBER(BC312),10,"")</f>
        <v/>
      </c>
      <c r="EI312" s="28" t="str">
        <f aca="false">IF(ISNUMBER(BG312),11,"")</f>
        <v/>
      </c>
      <c r="EJ312" s="28" t="str">
        <f aca="false">IF(ISNUMBER(BK312),12,"")</f>
        <v/>
      </c>
      <c r="EK312" s="28" t="str">
        <f aca="false">IF(ISNUMBER(BO312),13,"")</f>
        <v/>
      </c>
      <c r="EL312" s="28" t="str">
        <f aca="false">IF(ISNUMBER(BS312),14,"")</f>
        <v/>
      </c>
      <c r="EM312" s="28" t="n">
        <f aca="false">IF(ISNUMBER(R312),R312*CW312,0)</f>
        <v>100</v>
      </c>
      <c r="EN312" s="28" t="n">
        <f aca="false">IF(ISNUMBER(V312),V312*CX312,0)</f>
        <v>0</v>
      </c>
      <c r="EO312" s="28" t="n">
        <f aca="false">IF(ISNUMBER(Z312),Z312*CY312,0)</f>
        <v>0</v>
      </c>
      <c r="EP312" s="28" t="n">
        <f aca="false">IF(ISNUMBER(AD312),AD312*CZ312,0)</f>
        <v>0</v>
      </c>
      <c r="EQ312" s="28" t="n">
        <f aca="false">IF(ISNUMBER(AH312),AH312*DA312,0)</f>
        <v>0</v>
      </c>
      <c r="ER312" s="28" t="n">
        <f aca="false">IF(ISNUMBER(AL312),AL312*DB312,0)</f>
        <v>0</v>
      </c>
      <c r="ES312" s="28" t="n">
        <f aca="false">IF(ISNUMBER(AP312),AP312*DC312,0)</f>
        <v>0</v>
      </c>
      <c r="ET312" s="28" t="n">
        <f aca="false">IF(ISNUMBER(AT312),AT312*DD312,0)</f>
        <v>0</v>
      </c>
      <c r="EU312" s="28" t="n">
        <f aca="false">IF(ISNUMBER(AX312),AX312*DE312,0)</f>
        <v>0</v>
      </c>
      <c r="EV312" s="28" t="n">
        <f aca="false">IF(ISNUMBER(BB312),BB312*DF312,0)</f>
        <v>0</v>
      </c>
      <c r="EW312" s="28" t="n">
        <f aca="false">IF(ISNUMBER(BF312),BF312*DG312,0)</f>
        <v>0</v>
      </c>
      <c r="EX312" s="28" t="n">
        <f aca="false">IF(ISNUMBER(BJ312),BJ312*DH312,0)</f>
        <v>0</v>
      </c>
      <c r="EY312" s="28" t="n">
        <f aca="false">IF(ISNUMBER(BN312),BN312*DI312,0)</f>
        <v>0</v>
      </c>
      <c r="EZ312" s="28" t="n">
        <f aca="false">IF(ISNUMBER(BR312),BR312*DJ312,0)</f>
        <v>0</v>
      </c>
      <c r="FA312" s="28" t="n">
        <f aca="false">IF(ISNUMBER(R312),CW312,0)</f>
        <v>1</v>
      </c>
      <c r="FB312" s="28" t="n">
        <f aca="false">IF(ISNUMBER(V312),CX312,0)</f>
        <v>0</v>
      </c>
      <c r="FC312" s="28" t="n">
        <f aca="false">IF(ISNUMBER(Z312),CY312,0)</f>
        <v>0</v>
      </c>
      <c r="FD312" s="28" t="n">
        <f aca="false">IF(ISNUMBER(AD312),CZ312,0)</f>
        <v>0</v>
      </c>
      <c r="FE312" s="28" t="n">
        <f aca="false">IF(ISNUMBER(AH312),DA312,0)</f>
        <v>0</v>
      </c>
      <c r="FF312" s="28" t="n">
        <f aca="false">IF(ISNUMBER(AL312),DB312,0)</f>
        <v>0</v>
      </c>
      <c r="FG312" s="28" t="n">
        <f aca="false">IF(ISNUMBER(AP312),DC312,0)</f>
        <v>0</v>
      </c>
      <c r="FH312" s="28" t="n">
        <f aca="false">IF(ISNUMBER(AT312),DD312,0)</f>
        <v>0</v>
      </c>
      <c r="FI312" s="28" t="n">
        <f aca="false">IF(ISNUMBER(AX312),DE312,0)</f>
        <v>0</v>
      </c>
      <c r="FJ312" s="28" t="n">
        <f aca="false">IF(ISNUMBER(BB312),DF312,0)</f>
        <v>0</v>
      </c>
      <c r="FK312" s="28" t="n">
        <f aca="false">IF(ISNUMBER(BF312),DG312,0)</f>
        <v>0</v>
      </c>
      <c r="FL312" s="28" t="n">
        <f aca="false">IF(ISNUMBER(BJ312),DH312,0)</f>
        <v>0</v>
      </c>
      <c r="FM312" s="28" t="n">
        <f aca="false">IF(ISNUMBER(BN312),DI312,0)</f>
        <v>0</v>
      </c>
      <c r="FN312" s="28" t="n">
        <f aca="false">IF(ISNUMBER(BR312),DJ312,0)</f>
        <v>0</v>
      </c>
      <c r="FO312" s="28" t="str">
        <f aca="false">IFERROR(INDEX(Lists!$G$2:$G$20,MATCH($I312&amp;"|"&amp;$J312,Lists!$F$2:$F$20,0)),"")</f>
        <v>BM Exam</v>
      </c>
    </row>
    <row r="313" customFormat="false" ht="19.5" hidden="false" customHeight="true" outlineLevel="0" collapsed="false">
      <c r="A313" s="29" t="s">
        <v>521</v>
      </c>
      <c r="B313" s="29" t="s">
        <v>522</v>
      </c>
      <c r="C313" s="30" t="s">
        <v>152</v>
      </c>
      <c r="D313" s="30" t="s">
        <v>408</v>
      </c>
      <c r="E313" s="31"/>
      <c r="F313" s="30"/>
      <c r="G313" s="30"/>
      <c r="H313" s="32" t="s">
        <v>428</v>
      </c>
      <c r="I313" s="33" t="s">
        <v>365</v>
      </c>
      <c r="J313" s="32" t="s">
        <v>25</v>
      </c>
      <c r="K313" s="34" t="str">
        <f aca="false">IF(OR(M313="",$E313=""),"",M313-$E313)</f>
        <v/>
      </c>
      <c r="L313" s="35" t="n">
        <f aca="false">IF(SUM(FA313:FN313)=0,"",SUM(EM313:EZ313)/SUM(FA313:FN313))</f>
        <v>87.5</v>
      </c>
      <c r="M313" s="36" t="n">
        <f aca="false">IF(OR(L313="",FO313=""),"",IFERROR(MATCH(L313,INDEX(Boundaries!$B$2:$I$30,MATCH(FO313,Boundaries!$A$2:$A$30,0),0),1)-1,""))</f>
        <v>7</v>
      </c>
      <c r="N313" s="37" t="str">
        <f aca="false">IF(COUNT($DY313:$EL313)&lt;2,"",INDEX($DK313:$DX313,MAX($DY313:$EL313))-INDEX($DK313:$DX313,MIN($DY313:$EL313)))</f>
        <v/>
      </c>
      <c r="O313" s="37" t="str">
        <f aca="false">IF(COUNT($DY313:$EL313)&lt;2,"",INDEX($DK313:$DX313,MAX($DY313:$EL313))-INDEX($DK313:$DX313,LARGE($DY313:$EL313,2)))</f>
        <v/>
      </c>
      <c r="P313" s="38" t="str">
        <f aca="false">IF(K313="","",IF(K313&gt;=0,"On/above target",IF(AND(N313&lt;&gt;"",N313&gt;=0.5),"Improving towards target",IF(AND(O313&lt;&gt;"",O313&lt;=-0.5),"Declining","Stable below target"))))</f>
        <v/>
      </c>
      <c r="Q313" s="39" t="n">
        <v>21</v>
      </c>
      <c r="R313" s="40" t="n">
        <f aca="false">IF(OR(Q313="",BU313=""),"",Q313/BU313*100)</f>
        <v>87.5</v>
      </c>
      <c r="S313" s="41" t="n">
        <f aca="false">IF(R313="","",IFERROR(MATCH(R313,INDEX(Boundaries!$B$2:$I$30,MATCH(CI313,Boundaries!$A$2:$A$30,0),0),1)-1,""))</f>
        <v>7</v>
      </c>
      <c r="T313" s="42" t="str">
        <f aca="false">IF(OR(S313="",$E313=""),"",S313-$E313)</f>
        <v/>
      </c>
      <c r="U313" s="39"/>
      <c r="V313" s="40" t="str">
        <f aca="false">IF(OR(U313="",BV313=""),"",U313/BV313*100)</f>
        <v/>
      </c>
      <c r="W313" s="41" t="str">
        <f aca="false">IF(V313="","",IFERROR(MATCH(V313,INDEX(Boundaries!$B$2:$I$30,MATCH(CJ313,Boundaries!$A$2:$A$30,0),0),1)-1,""))</f>
        <v/>
      </c>
      <c r="X313" s="42" t="str">
        <f aca="false">IF(OR(W313="",$E313=""),"",W313-$E313)</f>
        <v/>
      </c>
      <c r="Y313" s="39"/>
      <c r="Z313" s="40" t="str">
        <f aca="false">IF(OR(Y313="",BW313=""),"",Y313/BW313*100)</f>
        <v/>
      </c>
      <c r="AA313" s="41" t="str">
        <f aca="false">IF(Z313="","",IFERROR(MATCH(Z313,INDEX(Boundaries!$B$2:$I$30,MATCH(CK313,Boundaries!$A$2:$A$30,0),0),1)-1,""))</f>
        <v/>
      </c>
      <c r="AB313" s="42" t="str">
        <f aca="false">IF(OR(AA313="",$E313=""),"",AA313-$E313)</f>
        <v/>
      </c>
      <c r="AC313" s="39"/>
      <c r="AD313" s="40" t="str">
        <f aca="false">IF(OR(AC313="",BX313=""),"",AC313/BX313*100)</f>
        <v/>
      </c>
      <c r="AE313" s="41" t="str">
        <f aca="false">IF(AD313="","",IFERROR(MATCH(AD313,INDEX(Boundaries!$B$2:$I$30,MATCH(CL313,Boundaries!$A$2:$A$30,0),0),1)-1,""))</f>
        <v/>
      </c>
      <c r="AF313" s="42" t="str">
        <f aca="false">IF(OR(AE313="",$E313=""),"",AE313-$E313)</f>
        <v/>
      </c>
      <c r="AG313" s="39"/>
      <c r="AH313" s="40" t="str">
        <f aca="false">IF(OR(AG313="",BY313=""),"",AG313/BY313*100)</f>
        <v/>
      </c>
      <c r="AI313" s="41" t="str">
        <f aca="false">IF(AH313="","",IFERROR(MATCH(AH313,INDEX(Boundaries!$B$2:$I$30,MATCH(CM313,Boundaries!$A$2:$A$30,0),0),1)-1,""))</f>
        <v/>
      </c>
      <c r="AJ313" s="42" t="str">
        <f aca="false">IF(OR(AI313="",$E313=""),"",AI313-$E313)</f>
        <v/>
      </c>
      <c r="AK313" s="39"/>
      <c r="AL313" s="40" t="str">
        <f aca="false">IF(OR(AK313="",BZ313=""),"",AK313/BZ313*100)</f>
        <v/>
      </c>
      <c r="AM313" s="41" t="str">
        <f aca="false">IF(AL313="","",IFERROR(MATCH(AL313,INDEX(Boundaries!$B$2:$I$30,MATCH(CN313,Boundaries!$A$2:$A$30,0),0),1)-1,""))</f>
        <v/>
      </c>
      <c r="AN313" s="42" t="str">
        <f aca="false">IF(OR(AM313="",$E313=""),"",AM313-$E313)</f>
        <v/>
      </c>
      <c r="AO313" s="39"/>
      <c r="AP313" s="40" t="str">
        <f aca="false">IF(OR(AO313="",CA313=""),"",AO313/CA313*100)</f>
        <v/>
      </c>
      <c r="AQ313" s="41" t="str">
        <f aca="false">IF(AP313="","",IFERROR(MATCH(AP313,INDEX(Boundaries!$B$2:$I$30,MATCH(CO313,Boundaries!$A$2:$A$30,0),0),1)-1,""))</f>
        <v/>
      </c>
      <c r="AR313" s="42" t="str">
        <f aca="false">IF(OR(AQ313="",$E313=""),"",AQ313-$E313)</f>
        <v/>
      </c>
      <c r="AS313" s="39"/>
      <c r="AT313" s="40" t="str">
        <f aca="false">IF(OR(AS313="",CB313=""),"",AS313/CB313*100)</f>
        <v/>
      </c>
      <c r="AU313" s="41" t="str">
        <f aca="false">IF(AT313="","",IFERROR(MATCH(AT313,INDEX(Boundaries!$B$2:$I$30,MATCH(CP313,Boundaries!$A$2:$A$30,0),0),1)-1,""))</f>
        <v/>
      </c>
      <c r="AV313" s="42" t="str">
        <f aca="false">IF(OR(AU313="",$E313=""),"",AU313-$E313)</f>
        <v/>
      </c>
      <c r="AW313" s="39"/>
      <c r="AX313" s="40" t="str">
        <f aca="false">IF(OR(AW313="",CC313=""),"",AW313/CC313*100)</f>
        <v/>
      </c>
      <c r="AY313" s="41" t="str">
        <f aca="false">IF(AX313="","",IFERROR(MATCH(AX313,INDEX(Boundaries!$B$2:$I$30,MATCH(CQ313,Boundaries!$A$2:$A$30,0),0),1)-1,""))</f>
        <v/>
      </c>
      <c r="AZ313" s="42" t="str">
        <f aca="false">IF(OR(AY313="",$E313=""),"",AY313-$E313)</f>
        <v/>
      </c>
      <c r="BA313" s="39"/>
      <c r="BB313" s="40" t="str">
        <f aca="false">IF(OR(BA313="",CD313=""),"",BA313/CD313*100)</f>
        <v/>
      </c>
      <c r="BC313" s="41" t="str">
        <f aca="false">IF(BB313="","",IFERROR(MATCH(BB313,INDEX(Boundaries!$B$2:$I$30,MATCH(CR313,Boundaries!$A$2:$A$30,0),0),1)-1,""))</f>
        <v/>
      </c>
      <c r="BD313" s="42" t="str">
        <f aca="false">IF(OR(BC313="",$E313=""),"",BC313-$E313)</f>
        <v/>
      </c>
      <c r="BE313" s="39"/>
      <c r="BF313" s="40" t="str">
        <f aca="false">IF(OR(BE313="",CE313=""),"",BE313/CE313*100)</f>
        <v/>
      </c>
      <c r="BG313" s="41" t="str">
        <f aca="false">IF(BF313="","",IFERROR(MATCH(BF313,INDEX(Boundaries!$B$2:$I$30,MATCH(CS313,Boundaries!$A$2:$A$30,0),0),1)-1,""))</f>
        <v/>
      </c>
      <c r="BH313" s="42" t="str">
        <f aca="false">IF(OR(BG313="",$E313=""),"",BG313-$E313)</f>
        <v/>
      </c>
      <c r="BI313" s="39"/>
      <c r="BJ313" s="40" t="str">
        <f aca="false">IF(OR(BI313="",CF313=""),"",BI313/CF313*100)</f>
        <v/>
      </c>
      <c r="BK313" s="41" t="str">
        <f aca="false">IF(BJ313="","",IFERROR(MATCH(BJ313,INDEX(Boundaries!$B$2:$I$30,MATCH(CT313,Boundaries!$A$2:$A$30,0),0),1)-1,""))</f>
        <v/>
      </c>
      <c r="BL313" s="42" t="str">
        <f aca="false">IF(OR(BK313="",$E313=""),"",BK313-$E313)</f>
        <v/>
      </c>
      <c r="BM313" s="39"/>
      <c r="BN313" s="40" t="str">
        <f aca="false">IF(OR(BM313="",CG313=""),"",BM313/CG313*100)</f>
        <v/>
      </c>
      <c r="BO313" s="41" t="str">
        <f aca="false">IF(BN313="","",IFERROR(MATCH(BN313,INDEX(Boundaries!$B$2:$I$30,MATCH(CU313,Boundaries!$A$2:$A$30,0),0),1)-1,""))</f>
        <v/>
      </c>
      <c r="BP313" s="42" t="str">
        <f aca="false">IF(OR(BO313="",$E313=""),"",BO313-$E313)</f>
        <v/>
      </c>
      <c r="BQ313" s="39"/>
      <c r="BR313" s="40" t="str">
        <f aca="false">IF(OR(BQ313="",CH313=""),"",BQ313/CH313*100)</f>
        <v/>
      </c>
      <c r="BS313" s="41" t="str">
        <f aca="false">IF(BR313="","",IFERROR(MATCH(BR313,INDEX(Boundaries!$B$2:$I$30,MATCH(CV313,Boundaries!$A$2:$A$30,0),0),1)-1,""))</f>
        <v/>
      </c>
      <c r="BT313" s="42" t="str">
        <f aca="false">IF(OR(BS313="",$E313=""),"",BS313-$E313)</f>
        <v/>
      </c>
      <c r="BU313" s="28" t="n">
        <f aca="false">IFERROR(INDEX(Assessments!$H$2:$H$600,MATCH($H313&amp;"|"&amp;$I313&amp;"|"&amp;$J313&amp;"|"&amp;1,Assessments!$A$2:$A$600,0)),"")</f>
        <v>24</v>
      </c>
      <c r="BV313" s="28" t="n">
        <f aca="false">IFERROR(INDEX(Assessments!$H$2:$H$600,MATCH($H313&amp;"|"&amp;$I313&amp;"|"&amp;$J313&amp;"|"&amp;2,Assessments!$A$2:$A$600,0)),"")</f>
        <v>20</v>
      </c>
      <c r="BW313" s="28" t="n">
        <f aca="false">IFERROR(INDEX(Assessments!$H$2:$H$600,MATCH($H313&amp;"|"&amp;$I313&amp;"|"&amp;$J313&amp;"|"&amp;3,Assessments!$A$2:$A$600,0)),"")</f>
        <v>20</v>
      </c>
      <c r="BX313" s="28" t="n">
        <f aca="false">IFERROR(INDEX(Assessments!$H$2:$H$600,MATCH($H313&amp;"|"&amp;$I313&amp;"|"&amp;$J313&amp;"|"&amp;4,Assessments!$A$2:$A$600,0)),"")</f>
        <v>40</v>
      </c>
      <c r="BY313" s="28" t="n">
        <f aca="false">IFERROR(INDEX(Assessments!$H$2:$H$600,MATCH($H313&amp;"|"&amp;$I313&amp;"|"&amp;$J313&amp;"|"&amp;5,Assessments!$A$2:$A$600,0)),"")</f>
        <v>30</v>
      </c>
      <c r="BZ313" s="28" t="n">
        <f aca="false">IFERROR(INDEX(Assessments!$H$2:$H$600,MATCH($H313&amp;"|"&amp;$I313&amp;"|"&amp;$J313&amp;"|"&amp;6,Assessments!$A$2:$A$600,0)),"")</f>
        <v>20</v>
      </c>
      <c r="CA313" s="28" t="n">
        <f aca="false">IFERROR(INDEX(Assessments!$H$2:$H$600,MATCH($H313&amp;"|"&amp;$I313&amp;"|"&amp;$J313&amp;"|"&amp;7,Assessments!$A$2:$A$600,0)),"")</f>
        <v>50</v>
      </c>
      <c r="CB313" s="28" t="str">
        <f aca="false">IFERROR(INDEX(Assessments!$H$2:$H$600,MATCH($H313&amp;"|"&amp;$I313&amp;"|"&amp;$J313&amp;"|"&amp;8,Assessments!$A$2:$A$600,0)),"")</f>
        <v/>
      </c>
      <c r="CC313" s="28" t="str">
        <f aca="false">IFERROR(INDEX(Assessments!$H$2:$H$600,MATCH($H313&amp;"|"&amp;$I313&amp;"|"&amp;$J313&amp;"|"&amp;9,Assessments!$A$2:$A$600,0)),"")</f>
        <v/>
      </c>
      <c r="CD313" s="28" t="str">
        <f aca="false">IFERROR(INDEX(Assessments!$H$2:$H$600,MATCH($H313&amp;"|"&amp;$I313&amp;"|"&amp;$J313&amp;"|"&amp;10,Assessments!$A$2:$A$600,0)),"")</f>
        <v/>
      </c>
      <c r="CE313" s="28" t="str">
        <f aca="false">IFERROR(INDEX(Assessments!$H$2:$H$600,MATCH($H313&amp;"|"&amp;$I313&amp;"|"&amp;$J313&amp;"|"&amp;11,Assessments!$A$2:$A$600,0)),"")</f>
        <v/>
      </c>
      <c r="CF313" s="28" t="str">
        <f aca="false">IFERROR(INDEX(Assessments!$H$2:$H$600,MATCH($H313&amp;"|"&amp;$I313&amp;"|"&amp;$J313&amp;"|"&amp;12,Assessments!$A$2:$A$600,0)),"")</f>
        <v/>
      </c>
      <c r="CG313" s="28" t="str">
        <f aca="false">IFERROR(INDEX(Assessments!$H$2:$H$600,MATCH($H313&amp;"|"&amp;$I313&amp;"|"&amp;$J313&amp;"|"&amp;13,Assessments!$A$2:$A$600,0)),"")</f>
        <v/>
      </c>
      <c r="CH313" s="28" t="str">
        <f aca="false">IFERROR(INDEX(Assessments!$H$2:$H$600,MATCH($H313&amp;"|"&amp;$I313&amp;"|"&amp;$J313&amp;"|"&amp;14,Assessments!$A$2:$A$600,0)),"")</f>
        <v/>
      </c>
      <c r="CI313" s="28" t="str">
        <f aca="false">IFERROR(INDEX(Assessments!$I$2:$I$600,MATCH($H313&amp;"|"&amp;$I313&amp;"|"&amp;$J313&amp;"|"&amp;1,Assessments!$A$2:$A$600,0)),"")</f>
        <v>BM Test</v>
      </c>
      <c r="CJ313" s="28" t="str">
        <f aca="false">IFERROR(INDEX(Assessments!$I$2:$I$600,MATCH($H313&amp;"|"&amp;$I313&amp;"|"&amp;$J313&amp;"|"&amp;2,Assessments!$A$2:$A$600,0)),"")</f>
        <v>BM Test</v>
      </c>
      <c r="CK313" s="28" t="str">
        <f aca="false">IFERROR(INDEX(Assessments!$I$2:$I$600,MATCH($H313&amp;"|"&amp;$I313&amp;"|"&amp;$J313&amp;"|"&amp;3,Assessments!$A$2:$A$600,0)),"")</f>
        <v>BM Test</v>
      </c>
      <c r="CL313" s="28" t="str">
        <f aca="false">IFERROR(INDEX(Assessments!$I$2:$I$600,MATCH($H313&amp;"|"&amp;$I313&amp;"|"&amp;$J313&amp;"|"&amp;4,Assessments!$A$2:$A$600,0)),"")</f>
        <v>BM Exam</v>
      </c>
      <c r="CM313" s="28" t="str">
        <f aca="false">IFERROR(INDEX(Assessments!$I$2:$I$600,MATCH($H313&amp;"|"&amp;$I313&amp;"|"&amp;$J313&amp;"|"&amp;5,Assessments!$A$2:$A$600,0)),"")</f>
        <v>BM Test</v>
      </c>
      <c r="CN313" s="28" t="str">
        <f aca="false">IFERROR(INDEX(Assessments!$I$2:$I$600,MATCH($H313&amp;"|"&amp;$I313&amp;"|"&amp;$J313&amp;"|"&amp;6,Assessments!$A$2:$A$600,0)),"")</f>
        <v>BM Test</v>
      </c>
      <c r="CO313" s="28" t="str">
        <f aca="false">IFERROR(INDEX(Assessments!$I$2:$I$600,MATCH($H313&amp;"|"&amp;$I313&amp;"|"&amp;$J313&amp;"|"&amp;7,Assessments!$A$2:$A$600,0)),"")</f>
        <v>BM Exam</v>
      </c>
      <c r="CP313" s="28" t="str">
        <f aca="false">IFERROR(INDEX(Assessments!$I$2:$I$600,MATCH($H313&amp;"|"&amp;$I313&amp;"|"&amp;$J313&amp;"|"&amp;8,Assessments!$A$2:$A$600,0)),"")</f>
        <v/>
      </c>
      <c r="CQ313" s="28" t="str">
        <f aca="false">IFERROR(INDEX(Assessments!$I$2:$I$600,MATCH($H313&amp;"|"&amp;$I313&amp;"|"&amp;$J313&amp;"|"&amp;9,Assessments!$A$2:$A$600,0)),"")</f>
        <v/>
      </c>
      <c r="CR313" s="28" t="str">
        <f aca="false">IFERROR(INDEX(Assessments!$I$2:$I$600,MATCH($H313&amp;"|"&amp;$I313&amp;"|"&amp;$J313&amp;"|"&amp;10,Assessments!$A$2:$A$600,0)),"")</f>
        <v/>
      </c>
      <c r="CS313" s="28" t="str">
        <f aca="false">IFERROR(INDEX(Assessments!$I$2:$I$600,MATCH($H313&amp;"|"&amp;$I313&amp;"|"&amp;$J313&amp;"|"&amp;11,Assessments!$A$2:$A$600,0)),"")</f>
        <v/>
      </c>
      <c r="CT313" s="28" t="str">
        <f aca="false">IFERROR(INDEX(Assessments!$I$2:$I$600,MATCH($H313&amp;"|"&amp;$I313&amp;"|"&amp;$J313&amp;"|"&amp;12,Assessments!$A$2:$A$600,0)),"")</f>
        <v/>
      </c>
      <c r="CU313" s="28" t="str">
        <f aca="false">IFERROR(INDEX(Assessments!$I$2:$I$600,MATCH($H313&amp;"|"&amp;$I313&amp;"|"&amp;$J313&amp;"|"&amp;13,Assessments!$A$2:$A$600,0)),"")</f>
        <v/>
      </c>
      <c r="CV313" s="28" t="str">
        <f aca="false">IFERROR(INDEX(Assessments!$I$2:$I$600,MATCH($H313&amp;"|"&amp;$I313&amp;"|"&amp;$J313&amp;"|"&amp;14,Assessments!$A$2:$A$600,0)),"")</f>
        <v/>
      </c>
      <c r="CW313" s="28" t="n">
        <f aca="false">IFERROR(INDEX(Assessments!$J$2:$J$600,MATCH($H313&amp;"|"&amp;$I313&amp;"|"&amp;$J313&amp;"|"&amp;1,Assessments!$A$2:$A$600,0)),0)</f>
        <v>1</v>
      </c>
      <c r="CX313" s="28" t="n">
        <f aca="false">IFERROR(INDEX(Assessments!$J$2:$J$600,MATCH($H313&amp;"|"&amp;$I313&amp;"|"&amp;$J313&amp;"|"&amp;2,Assessments!$A$2:$A$600,0)),0)</f>
        <v>1</v>
      </c>
      <c r="CY313" s="28" t="n">
        <f aca="false">IFERROR(INDEX(Assessments!$J$2:$J$600,MATCH($H313&amp;"|"&amp;$I313&amp;"|"&amp;$J313&amp;"|"&amp;3,Assessments!$A$2:$A$600,0)),0)</f>
        <v>1</v>
      </c>
      <c r="CZ313" s="28" t="n">
        <f aca="false">IFERROR(INDEX(Assessments!$J$2:$J$600,MATCH($H313&amp;"|"&amp;$I313&amp;"|"&amp;$J313&amp;"|"&amp;4,Assessments!$A$2:$A$600,0)),0)</f>
        <v>2</v>
      </c>
      <c r="DA313" s="28" t="n">
        <f aca="false">IFERROR(INDEX(Assessments!$J$2:$J$600,MATCH($H313&amp;"|"&amp;$I313&amp;"|"&amp;$J313&amp;"|"&amp;5,Assessments!$A$2:$A$600,0)),0)</f>
        <v>1</v>
      </c>
      <c r="DB313" s="28" t="n">
        <f aca="false">IFERROR(INDEX(Assessments!$J$2:$J$600,MATCH($H313&amp;"|"&amp;$I313&amp;"|"&amp;$J313&amp;"|"&amp;6,Assessments!$A$2:$A$600,0)),0)</f>
        <v>1</v>
      </c>
      <c r="DC313" s="28" t="n">
        <f aca="false">IFERROR(INDEX(Assessments!$J$2:$J$600,MATCH($H313&amp;"|"&amp;$I313&amp;"|"&amp;$J313&amp;"|"&amp;7,Assessments!$A$2:$A$600,0)),0)</f>
        <v>2</v>
      </c>
      <c r="DD313" s="28" t="n">
        <f aca="false">IFERROR(INDEX(Assessments!$J$2:$J$600,MATCH($H313&amp;"|"&amp;$I313&amp;"|"&amp;$J313&amp;"|"&amp;8,Assessments!$A$2:$A$600,0)),0)</f>
        <v>0</v>
      </c>
      <c r="DE313" s="28" t="n">
        <f aca="false">IFERROR(INDEX(Assessments!$J$2:$J$600,MATCH($H313&amp;"|"&amp;$I313&amp;"|"&amp;$J313&amp;"|"&amp;9,Assessments!$A$2:$A$600,0)),0)</f>
        <v>0</v>
      </c>
      <c r="DF313" s="28" t="n">
        <f aca="false">IFERROR(INDEX(Assessments!$J$2:$J$600,MATCH($H313&amp;"|"&amp;$I313&amp;"|"&amp;$J313&amp;"|"&amp;10,Assessments!$A$2:$A$600,0)),0)</f>
        <v>0</v>
      </c>
      <c r="DG313" s="28" t="n">
        <f aca="false">IFERROR(INDEX(Assessments!$J$2:$J$600,MATCH($H313&amp;"|"&amp;$I313&amp;"|"&amp;$J313&amp;"|"&amp;11,Assessments!$A$2:$A$600,0)),0)</f>
        <v>0</v>
      </c>
      <c r="DH313" s="28" t="n">
        <f aca="false">IFERROR(INDEX(Assessments!$J$2:$J$600,MATCH($H313&amp;"|"&amp;$I313&amp;"|"&amp;$J313&amp;"|"&amp;12,Assessments!$A$2:$A$600,0)),0)</f>
        <v>0</v>
      </c>
      <c r="DI313" s="28" t="n">
        <f aca="false">IFERROR(INDEX(Assessments!$J$2:$J$600,MATCH($H313&amp;"|"&amp;$I313&amp;"|"&amp;$J313&amp;"|"&amp;13,Assessments!$A$2:$A$600,0)),0)</f>
        <v>0</v>
      </c>
      <c r="DJ313" s="28" t="n">
        <f aca="false">IFERROR(INDEX(Assessments!$J$2:$J$600,MATCH($H313&amp;"|"&amp;$I313&amp;"|"&amp;$J313&amp;"|"&amp;14,Assessments!$A$2:$A$600,0)),0)</f>
        <v>0</v>
      </c>
      <c r="DK313" s="28" t="n">
        <f aca="false">S313</f>
        <v>7</v>
      </c>
      <c r="DL313" s="28" t="str">
        <f aca="false">W313</f>
        <v/>
      </c>
      <c r="DM313" s="28" t="str">
        <f aca="false">AA313</f>
        <v/>
      </c>
      <c r="DN313" s="28" t="str">
        <f aca="false">AE313</f>
        <v/>
      </c>
      <c r="DO313" s="28" t="str">
        <f aca="false">AI313</f>
        <v/>
      </c>
      <c r="DP313" s="28" t="str">
        <f aca="false">AM313</f>
        <v/>
      </c>
      <c r="DQ313" s="28" t="str">
        <f aca="false">AQ313</f>
        <v/>
      </c>
      <c r="DR313" s="28" t="str">
        <f aca="false">AU313</f>
        <v/>
      </c>
      <c r="DS313" s="28" t="str">
        <f aca="false">AY313</f>
        <v/>
      </c>
      <c r="DT313" s="28" t="str">
        <f aca="false">BC313</f>
        <v/>
      </c>
      <c r="DU313" s="28" t="str">
        <f aca="false">BG313</f>
        <v/>
      </c>
      <c r="DV313" s="28" t="str">
        <f aca="false">BK313</f>
        <v/>
      </c>
      <c r="DW313" s="28" t="str">
        <f aca="false">BO313</f>
        <v/>
      </c>
      <c r="DX313" s="28" t="str">
        <f aca="false">BS313</f>
        <v/>
      </c>
      <c r="DY313" s="28" t="n">
        <f aca="false">IF(ISNUMBER(S313),1,"")</f>
        <v>1</v>
      </c>
      <c r="DZ313" s="28" t="str">
        <f aca="false">IF(ISNUMBER(W313),2,"")</f>
        <v/>
      </c>
      <c r="EA313" s="28" t="str">
        <f aca="false">IF(ISNUMBER(AA313),3,"")</f>
        <v/>
      </c>
      <c r="EB313" s="28" t="str">
        <f aca="false">IF(ISNUMBER(AE313),4,"")</f>
        <v/>
      </c>
      <c r="EC313" s="28" t="str">
        <f aca="false">IF(ISNUMBER(AI313),5,"")</f>
        <v/>
      </c>
      <c r="ED313" s="28" t="str">
        <f aca="false">IF(ISNUMBER(AM313),6,"")</f>
        <v/>
      </c>
      <c r="EE313" s="28" t="str">
        <f aca="false">IF(ISNUMBER(AQ313),7,"")</f>
        <v/>
      </c>
      <c r="EF313" s="28" t="str">
        <f aca="false">IF(ISNUMBER(AU313),8,"")</f>
        <v/>
      </c>
      <c r="EG313" s="28" t="str">
        <f aca="false">IF(ISNUMBER(AY313),9,"")</f>
        <v/>
      </c>
      <c r="EH313" s="28" t="str">
        <f aca="false">IF(ISNUMBER(BC313),10,"")</f>
        <v/>
      </c>
      <c r="EI313" s="28" t="str">
        <f aca="false">IF(ISNUMBER(BG313),11,"")</f>
        <v/>
      </c>
      <c r="EJ313" s="28" t="str">
        <f aca="false">IF(ISNUMBER(BK313),12,"")</f>
        <v/>
      </c>
      <c r="EK313" s="28" t="str">
        <f aca="false">IF(ISNUMBER(BO313),13,"")</f>
        <v/>
      </c>
      <c r="EL313" s="28" t="str">
        <f aca="false">IF(ISNUMBER(BS313),14,"")</f>
        <v/>
      </c>
      <c r="EM313" s="28" t="n">
        <f aca="false">IF(ISNUMBER(R313),R313*CW313,0)</f>
        <v>87.5</v>
      </c>
      <c r="EN313" s="28" t="n">
        <f aca="false">IF(ISNUMBER(V313),V313*CX313,0)</f>
        <v>0</v>
      </c>
      <c r="EO313" s="28" t="n">
        <f aca="false">IF(ISNUMBER(Z313),Z313*CY313,0)</f>
        <v>0</v>
      </c>
      <c r="EP313" s="28" t="n">
        <f aca="false">IF(ISNUMBER(AD313),AD313*CZ313,0)</f>
        <v>0</v>
      </c>
      <c r="EQ313" s="28" t="n">
        <f aca="false">IF(ISNUMBER(AH313),AH313*DA313,0)</f>
        <v>0</v>
      </c>
      <c r="ER313" s="28" t="n">
        <f aca="false">IF(ISNUMBER(AL313),AL313*DB313,0)</f>
        <v>0</v>
      </c>
      <c r="ES313" s="28" t="n">
        <f aca="false">IF(ISNUMBER(AP313),AP313*DC313,0)</f>
        <v>0</v>
      </c>
      <c r="ET313" s="28" t="n">
        <f aca="false">IF(ISNUMBER(AT313),AT313*DD313,0)</f>
        <v>0</v>
      </c>
      <c r="EU313" s="28" t="n">
        <f aca="false">IF(ISNUMBER(AX313),AX313*DE313,0)</f>
        <v>0</v>
      </c>
      <c r="EV313" s="28" t="n">
        <f aca="false">IF(ISNUMBER(BB313),BB313*DF313,0)</f>
        <v>0</v>
      </c>
      <c r="EW313" s="28" t="n">
        <f aca="false">IF(ISNUMBER(BF313),BF313*DG313,0)</f>
        <v>0</v>
      </c>
      <c r="EX313" s="28" t="n">
        <f aca="false">IF(ISNUMBER(BJ313),BJ313*DH313,0)</f>
        <v>0</v>
      </c>
      <c r="EY313" s="28" t="n">
        <f aca="false">IF(ISNUMBER(BN313),BN313*DI313,0)</f>
        <v>0</v>
      </c>
      <c r="EZ313" s="28" t="n">
        <f aca="false">IF(ISNUMBER(BR313),BR313*DJ313,0)</f>
        <v>0</v>
      </c>
      <c r="FA313" s="28" t="n">
        <f aca="false">IF(ISNUMBER(R313),CW313,0)</f>
        <v>1</v>
      </c>
      <c r="FB313" s="28" t="n">
        <f aca="false">IF(ISNUMBER(V313),CX313,0)</f>
        <v>0</v>
      </c>
      <c r="FC313" s="28" t="n">
        <f aca="false">IF(ISNUMBER(Z313),CY313,0)</f>
        <v>0</v>
      </c>
      <c r="FD313" s="28" t="n">
        <f aca="false">IF(ISNUMBER(AD313),CZ313,0)</f>
        <v>0</v>
      </c>
      <c r="FE313" s="28" t="n">
        <f aca="false">IF(ISNUMBER(AH313),DA313,0)</f>
        <v>0</v>
      </c>
      <c r="FF313" s="28" t="n">
        <f aca="false">IF(ISNUMBER(AL313),DB313,0)</f>
        <v>0</v>
      </c>
      <c r="FG313" s="28" t="n">
        <f aca="false">IF(ISNUMBER(AP313),DC313,0)</f>
        <v>0</v>
      </c>
      <c r="FH313" s="28" t="n">
        <f aca="false">IF(ISNUMBER(AT313),DD313,0)</f>
        <v>0</v>
      </c>
      <c r="FI313" s="28" t="n">
        <f aca="false">IF(ISNUMBER(AX313),DE313,0)</f>
        <v>0</v>
      </c>
      <c r="FJ313" s="28" t="n">
        <f aca="false">IF(ISNUMBER(BB313),DF313,0)</f>
        <v>0</v>
      </c>
      <c r="FK313" s="28" t="n">
        <f aca="false">IF(ISNUMBER(BF313),DG313,0)</f>
        <v>0</v>
      </c>
      <c r="FL313" s="28" t="n">
        <f aca="false">IF(ISNUMBER(BJ313),DH313,0)</f>
        <v>0</v>
      </c>
      <c r="FM313" s="28" t="n">
        <f aca="false">IF(ISNUMBER(BN313),DI313,0)</f>
        <v>0</v>
      </c>
      <c r="FN313" s="28" t="n">
        <f aca="false">IF(ISNUMBER(BR313),DJ313,0)</f>
        <v>0</v>
      </c>
      <c r="FO313" s="28" t="str">
        <f aca="false">IFERROR(INDEX(Lists!$G$2:$G$20,MATCH($I313&amp;"|"&amp;$J313,Lists!$F$2:$F$20,0)),"")</f>
        <v>BM Exam</v>
      </c>
    </row>
    <row r="314" customFormat="false" ht="19.5" hidden="false" customHeight="true" outlineLevel="0" collapsed="false">
      <c r="A314" s="29" t="s">
        <v>611</v>
      </c>
      <c r="B314" s="29" t="s">
        <v>612</v>
      </c>
      <c r="C314" s="30" t="s">
        <v>152</v>
      </c>
      <c r="D314" s="30" t="s">
        <v>408</v>
      </c>
      <c r="E314" s="31"/>
      <c r="F314" s="30"/>
      <c r="G314" s="30"/>
      <c r="H314" s="32" t="s">
        <v>428</v>
      </c>
      <c r="I314" s="33" t="s">
        <v>365</v>
      </c>
      <c r="J314" s="32" t="s">
        <v>25</v>
      </c>
      <c r="K314" s="34" t="str">
        <f aca="false">IF(OR(M314="",$E314=""),"",M314-$E314)</f>
        <v/>
      </c>
      <c r="L314" s="35" t="n">
        <f aca="false">IF(SUM(FA314:FN314)=0,"",SUM(EM314:EZ314)/SUM(FA314:FN314))</f>
        <v>83.3333333333333</v>
      </c>
      <c r="M314" s="36" t="n">
        <f aca="false">IF(OR(L314="",FO314=""),"",IFERROR(MATCH(L314,INDEX(Boundaries!$B$2:$I$30,MATCH(FO314,Boundaries!$A$2:$A$30,0),0),1)-1,""))</f>
        <v>7</v>
      </c>
      <c r="N314" s="37" t="str">
        <f aca="false">IF(COUNT($DY314:$EL314)&lt;2,"",INDEX($DK314:$DX314,MAX($DY314:$EL314))-INDEX($DK314:$DX314,MIN($DY314:$EL314)))</f>
        <v/>
      </c>
      <c r="O314" s="37" t="str">
        <f aca="false">IF(COUNT($DY314:$EL314)&lt;2,"",INDEX($DK314:$DX314,MAX($DY314:$EL314))-INDEX($DK314:$DX314,LARGE($DY314:$EL314,2)))</f>
        <v/>
      </c>
      <c r="P314" s="38" t="str">
        <f aca="false">IF(K314="","",IF(K314&gt;=0,"On/above target",IF(AND(N314&lt;&gt;"",N314&gt;=0.5),"Improving towards target",IF(AND(O314&lt;&gt;"",O314&lt;=-0.5),"Declining","Stable below target"))))</f>
        <v/>
      </c>
      <c r="Q314" s="39" t="n">
        <v>20</v>
      </c>
      <c r="R314" s="40" t="n">
        <f aca="false">IF(OR(Q314="",BU314=""),"",Q314/BU314*100)</f>
        <v>83.3333333333333</v>
      </c>
      <c r="S314" s="41" t="n">
        <f aca="false">IF(R314="","",IFERROR(MATCH(R314,INDEX(Boundaries!$B$2:$I$30,MATCH(CI314,Boundaries!$A$2:$A$30,0),0),1)-1,""))</f>
        <v>7</v>
      </c>
      <c r="T314" s="42" t="str">
        <f aca="false">IF(OR(S314="",$E314=""),"",S314-$E314)</f>
        <v/>
      </c>
      <c r="U314" s="39"/>
      <c r="V314" s="40" t="str">
        <f aca="false">IF(OR(U314="",BV314=""),"",U314/BV314*100)</f>
        <v/>
      </c>
      <c r="W314" s="41" t="str">
        <f aca="false">IF(V314="","",IFERROR(MATCH(V314,INDEX(Boundaries!$B$2:$I$30,MATCH(CJ314,Boundaries!$A$2:$A$30,0),0),1)-1,""))</f>
        <v/>
      </c>
      <c r="X314" s="42" t="str">
        <f aca="false">IF(OR(W314="",$E314=""),"",W314-$E314)</f>
        <v/>
      </c>
      <c r="Y314" s="39"/>
      <c r="Z314" s="40" t="str">
        <f aca="false">IF(OR(Y314="",BW314=""),"",Y314/BW314*100)</f>
        <v/>
      </c>
      <c r="AA314" s="41" t="str">
        <f aca="false">IF(Z314="","",IFERROR(MATCH(Z314,INDEX(Boundaries!$B$2:$I$30,MATCH(CK314,Boundaries!$A$2:$A$30,0),0),1)-1,""))</f>
        <v/>
      </c>
      <c r="AB314" s="42" t="str">
        <f aca="false">IF(OR(AA314="",$E314=""),"",AA314-$E314)</f>
        <v/>
      </c>
      <c r="AC314" s="39"/>
      <c r="AD314" s="40" t="str">
        <f aca="false">IF(OR(AC314="",BX314=""),"",AC314/BX314*100)</f>
        <v/>
      </c>
      <c r="AE314" s="41" t="str">
        <f aca="false">IF(AD314="","",IFERROR(MATCH(AD314,INDEX(Boundaries!$B$2:$I$30,MATCH(CL314,Boundaries!$A$2:$A$30,0),0),1)-1,""))</f>
        <v/>
      </c>
      <c r="AF314" s="42" t="str">
        <f aca="false">IF(OR(AE314="",$E314=""),"",AE314-$E314)</f>
        <v/>
      </c>
      <c r="AG314" s="39"/>
      <c r="AH314" s="40" t="str">
        <f aca="false">IF(OR(AG314="",BY314=""),"",AG314/BY314*100)</f>
        <v/>
      </c>
      <c r="AI314" s="41" t="str">
        <f aca="false">IF(AH314="","",IFERROR(MATCH(AH314,INDEX(Boundaries!$B$2:$I$30,MATCH(CM314,Boundaries!$A$2:$A$30,0),0),1)-1,""))</f>
        <v/>
      </c>
      <c r="AJ314" s="42" t="str">
        <f aca="false">IF(OR(AI314="",$E314=""),"",AI314-$E314)</f>
        <v/>
      </c>
      <c r="AK314" s="39"/>
      <c r="AL314" s="40" t="str">
        <f aca="false">IF(OR(AK314="",BZ314=""),"",AK314/BZ314*100)</f>
        <v/>
      </c>
      <c r="AM314" s="41" t="str">
        <f aca="false">IF(AL314="","",IFERROR(MATCH(AL314,INDEX(Boundaries!$B$2:$I$30,MATCH(CN314,Boundaries!$A$2:$A$30,0),0),1)-1,""))</f>
        <v/>
      </c>
      <c r="AN314" s="42" t="str">
        <f aca="false">IF(OR(AM314="",$E314=""),"",AM314-$E314)</f>
        <v/>
      </c>
      <c r="AO314" s="39"/>
      <c r="AP314" s="40" t="str">
        <f aca="false">IF(OR(AO314="",CA314=""),"",AO314/CA314*100)</f>
        <v/>
      </c>
      <c r="AQ314" s="41" t="str">
        <f aca="false">IF(AP314="","",IFERROR(MATCH(AP314,INDEX(Boundaries!$B$2:$I$30,MATCH(CO314,Boundaries!$A$2:$A$30,0),0),1)-1,""))</f>
        <v/>
      </c>
      <c r="AR314" s="42" t="str">
        <f aca="false">IF(OR(AQ314="",$E314=""),"",AQ314-$E314)</f>
        <v/>
      </c>
      <c r="AS314" s="39"/>
      <c r="AT314" s="40" t="str">
        <f aca="false">IF(OR(AS314="",CB314=""),"",AS314/CB314*100)</f>
        <v/>
      </c>
      <c r="AU314" s="41" t="str">
        <f aca="false">IF(AT314="","",IFERROR(MATCH(AT314,INDEX(Boundaries!$B$2:$I$30,MATCH(CP314,Boundaries!$A$2:$A$30,0),0),1)-1,""))</f>
        <v/>
      </c>
      <c r="AV314" s="42" t="str">
        <f aca="false">IF(OR(AU314="",$E314=""),"",AU314-$E314)</f>
        <v/>
      </c>
      <c r="AW314" s="39"/>
      <c r="AX314" s="40" t="str">
        <f aca="false">IF(OR(AW314="",CC314=""),"",AW314/CC314*100)</f>
        <v/>
      </c>
      <c r="AY314" s="41" t="str">
        <f aca="false">IF(AX314="","",IFERROR(MATCH(AX314,INDEX(Boundaries!$B$2:$I$30,MATCH(CQ314,Boundaries!$A$2:$A$30,0),0),1)-1,""))</f>
        <v/>
      </c>
      <c r="AZ314" s="42" t="str">
        <f aca="false">IF(OR(AY314="",$E314=""),"",AY314-$E314)</f>
        <v/>
      </c>
      <c r="BA314" s="39"/>
      <c r="BB314" s="40" t="str">
        <f aca="false">IF(OR(BA314="",CD314=""),"",BA314/CD314*100)</f>
        <v/>
      </c>
      <c r="BC314" s="41" t="str">
        <f aca="false">IF(BB314="","",IFERROR(MATCH(BB314,INDEX(Boundaries!$B$2:$I$30,MATCH(CR314,Boundaries!$A$2:$A$30,0),0),1)-1,""))</f>
        <v/>
      </c>
      <c r="BD314" s="42" t="str">
        <f aca="false">IF(OR(BC314="",$E314=""),"",BC314-$E314)</f>
        <v/>
      </c>
      <c r="BE314" s="39"/>
      <c r="BF314" s="40" t="str">
        <f aca="false">IF(OR(BE314="",CE314=""),"",BE314/CE314*100)</f>
        <v/>
      </c>
      <c r="BG314" s="41" t="str">
        <f aca="false">IF(BF314="","",IFERROR(MATCH(BF314,INDEX(Boundaries!$B$2:$I$30,MATCH(CS314,Boundaries!$A$2:$A$30,0),0),1)-1,""))</f>
        <v/>
      </c>
      <c r="BH314" s="42" t="str">
        <f aca="false">IF(OR(BG314="",$E314=""),"",BG314-$E314)</f>
        <v/>
      </c>
      <c r="BI314" s="39"/>
      <c r="BJ314" s="40" t="str">
        <f aca="false">IF(OR(BI314="",CF314=""),"",BI314/CF314*100)</f>
        <v/>
      </c>
      <c r="BK314" s="41" t="str">
        <f aca="false">IF(BJ314="","",IFERROR(MATCH(BJ314,INDEX(Boundaries!$B$2:$I$30,MATCH(CT314,Boundaries!$A$2:$A$30,0),0),1)-1,""))</f>
        <v/>
      </c>
      <c r="BL314" s="42" t="str">
        <f aca="false">IF(OR(BK314="",$E314=""),"",BK314-$E314)</f>
        <v/>
      </c>
      <c r="BM314" s="39"/>
      <c r="BN314" s="40" t="str">
        <f aca="false">IF(OR(BM314="",CG314=""),"",BM314/CG314*100)</f>
        <v/>
      </c>
      <c r="BO314" s="41" t="str">
        <f aca="false">IF(BN314="","",IFERROR(MATCH(BN314,INDEX(Boundaries!$B$2:$I$30,MATCH(CU314,Boundaries!$A$2:$A$30,0),0),1)-1,""))</f>
        <v/>
      </c>
      <c r="BP314" s="42" t="str">
        <f aca="false">IF(OR(BO314="",$E314=""),"",BO314-$E314)</f>
        <v/>
      </c>
      <c r="BQ314" s="39"/>
      <c r="BR314" s="40" t="str">
        <f aca="false">IF(OR(BQ314="",CH314=""),"",BQ314/CH314*100)</f>
        <v/>
      </c>
      <c r="BS314" s="41" t="str">
        <f aca="false">IF(BR314="","",IFERROR(MATCH(BR314,INDEX(Boundaries!$B$2:$I$30,MATCH(CV314,Boundaries!$A$2:$A$30,0),0),1)-1,""))</f>
        <v/>
      </c>
      <c r="BT314" s="42" t="str">
        <f aca="false">IF(OR(BS314="",$E314=""),"",BS314-$E314)</f>
        <v/>
      </c>
      <c r="BU314" s="28" t="n">
        <f aca="false">IFERROR(INDEX(Assessments!$H$2:$H$600,MATCH($H314&amp;"|"&amp;$I314&amp;"|"&amp;$J314&amp;"|"&amp;1,Assessments!$A$2:$A$600,0)),"")</f>
        <v>24</v>
      </c>
      <c r="BV314" s="28" t="n">
        <f aca="false">IFERROR(INDEX(Assessments!$H$2:$H$600,MATCH($H314&amp;"|"&amp;$I314&amp;"|"&amp;$J314&amp;"|"&amp;2,Assessments!$A$2:$A$600,0)),"")</f>
        <v>20</v>
      </c>
      <c r="BW314" s="28" t="n">
        <f aca="false">IFERROR(INDEX(Assessments!$H$2:$H$600,MATCH($H314&amp;"|"&amp;$I314&amp;"|"&amp;$J314&amp;"|"&amp;3,Assessments!$A$2:$A$600,0)),"")</f>
        <v>20</v>
      </c>
      <c r="BX314" s="28" t="n">
        <f aca="false">IFERROR(INDEX(Assessments!$H$2:$H$600,MATCH($H314&amp;"|"&amp;$I314&amp;"|"&amp;$J314&amp;"|"&amp;4,Assessments!$A$2:$A$600,0)),"")</f>
        <v>40</v>
      </c>
      <c r="BY314" s="28" t="n">
        <f aca="false">IFERROR(INDEX(Assessments!$H$2:$H$600,MATCH($H314&amp;"|"&amp;$I314&amp;"|"&amp;$J314&amp;"|"&amp;5,Assessments!$A$2:$A$600,0)),"")</f>
        <v>30</v>
      </c>
      <c r="BZ314" s="28" t="n">
        <f aca="false">IFERROR(INDEX(Assessments!$H$2:$H$600,MATCH($H314&amp;"|"&amp;$I314&amp;"|"&amp;$J314&amp;"|"&amp;6,Assessments!$A$2:$A$600,0)),"")</f>
        <v>20</v>
      </c>
      <c r="CA314" s="28" t="n">
        <f aca="false">IFERROR(INDEX(Assessments!$H$2:$H$600,MATCH($H314&amp;"|"&amp;$I314&amp;"|"&amp;$J314&amp;"|"&amp;7,Assessments!$A$2:$A$600,0)),"")</f>
        <v>50</v>
      </c>
      <c r="CB314" s="28" t="str">
        <f aca="false">IFERROR(INDEX(Assessments!$H$2:$H$600,MATCH($H314&amp;"|"&amp;$I314&amp;"|"&amp;$J314&amp;"|"&amp;8,Assessments!$A$2:$A$600,0)),"")</f>
        <v/>
      </c>
      <c r="CC314" s="28" t="str">
        <f aca="false">IFERROR(INDEX(Assessments!$H$2:$H$600,MATCH($H314&amp;"|"&amp;$I314&amp;"|"&amp;$J314&amp;"|"&amp;9,Assessments!$A$2:$A$600,0)),"")</f>
        <v/>
      </c>
      <c r="CD314" s="28" t="str">
        <f aca="false">IFERROR(INDEX(Assessments!$H$2:$H$600,MATCH($H314&amp;"|"&amp;$I314&amp;"|"&amp;$J314&amp;"|"&amp;10,Assessments!$A$2:$A$600,0)),"")</f>
        <v/>
      </c>
      <c r="CE314" s="28" t="str">
        <f aca="false">IFERROR(INDEX(Assessments!$H$2:$H$600,MATCH($H314&amp;"|"&amp;$I314&amp;"|"&amp;$J314&amp;"|"&amp;11,Assessments!$A$2:$A$600,0)),"")</f>
        <v/>
      </c>
      <c r="CF314" s="28" t="str">
        <f aca="false">IFERROR(INDEX(Assessments!$H$2:$H$600,MATCH($H314&amp;"|"&amp;$I314&amp;"|"&amp;$J314&amp;"|"&amp;12,Assessments!$A$2:$A$600,0)),"")</f>
        <v/>
      </c>
      <c r="CG314" s="28" t="str">
        <f aca="false">IFERROR(INDEX(Assessments!$H$2:$H$600,MATCH($H314&amp;"|"&amp;$I314&amp;"|"&amp;$J314&amp;"|"&amp;13,Assessments!$A$2:$A$600,0)),"")</f>
        <v/>
      </c>
      <c r="CH314" s="28" t="str">
        <f aca="false">IFERROR(INDEX(Assessments!$H$2:$H$600,MATCH($H314&amp;"|"&amp;$I314&amp;"|"&amp;$J314&amp;"|"&amp;14,Assessments!$A$2:$A$600,0)),"")</f>
        <v/>
      </c>
      <c r="CI314" s="28" t="str">
        <f aca="false">IFERROR(INDEX(Assessments!$I$2:$I$600,MATCH($H314&amp;"|"&amp;$I314&amp;"|"&amp;$J314&amp;"|"&amp;1,Assessments!$A$2:$A$600,0)),"")</f>
        <v>BM Test</v>
      </c>
      <c r="CJ314" s="28" t="str">
        <f aca="false">IFERROR(INDEX(Assessments!$I$2:$I$600,MATCH($H314&amp;"|"&amp;$I314&amp;"|"&amp;$J314&amp;"|"&amp;2,Assessments!$A$2:$A$600,0)),"")</f>
        <v>BM Test</v>
      </c>
      <c r="CK314" s="28" t="str">
        <f aca="false">IFERROR(INDEX(Assessments!$I$2:$I$600,MATCH($H314&amp;"|"&amp;$I314&amp;"|"&amp;$J314&amp;"|"&amp;3,Assessments!$A$2:$A$600,0)),"")</f>
        <v>BM Test</v>
      </c>
      <c r="CL314" s="28" t="str">
        <f aca="false">IFERROR(INDEX(Assessments!$I$2:$I$600,MATCH($H314&amp;"|"&amp;$I314&amp;"|"&amp;$J314&amp;"|"&amp;4,Assessments!$A$2:$A$600,0)),"")</f>
        <v>BM Exam</v>
      </c>
      <c r="CM314" s="28" t="str">
        <f aca="false">IFERROR(INDEX(Assessments!$I$2:$I$600,MATCH($H314&amp;"|"&amp;$I314&amp;"|"&amp;$J314&amp;"|"&amp;5,Assessments!$A$2:$A$600,0)),"")</f>
        <v>BM Test</v>
      </c>
      <c r="CN314" s="28" t="str">
        <f aca="false">IFERROR(INDEX(Assessments!$I$2:$I$600,MATCH($H314&amp;"|"&amp;$I314&amp;"|"&amp;$J314&amp;"|"&amp;6,Assessments!$A$2:$A$600,0)),"")</f>
        <v>BM Test</v>
      </c>
      <c r="CO314" s="28" t="str">
        <f aca="false">IFERROR(INDEX(Assessments!$I$2:$I$600,MATCH($H314&amp;"|"&amp;$I314&amp;"|"&amp;$J314&amp;"|"&amp;7,Assessments!$A$2:$A$600,0)),"")</f>
        <v>BM Exam</v>
      </c>
      <c r="CP314" s="28" t="str">
        <f aca="false">IFERROR(INDEX(Assessments!$I$2:$I$600,MATCH($H314&amp;"|"&amp;$I314&amp;"|"&amp;$J314&amp;"|"&amp;8,Assessments!$A$2:$A$600,0)),"")</f>
        <v/>
      </c>
      <c r="CQ314" s="28" t="str">
        <f aca="false">IFERROR(INDEX(Assessments!$I$2:$I$600,MATCH($H314&amp;"|"&amp;$I314&amp;"|"&amp;$J314&amp;"|"&amp;9,Assessments!$A$2:$A$600,0)),"")</f>
        <v/>
      </c>
      <c r="CR314" s="28" t="str">
        <f aca="false">IFERROR(INDEX(Assessments!$I$2:$I$600,MATCH($H314&amp;"|"&amp;$I314&amp;"|"&amp;$J314&amp;"|"&amp;10,Assessments!$A$2:$A$600,0)),"")</f>
        <v/>
      </c>
      <c r="CS314" s="28" t="str">
        <f aca="false">IFERROR(INDEX(Assessments!$I$2:$I$600,MATCH($H314&amp;"|"&amp;$I314&amp;"|"&amp;$J314&amp;"|"&amp;11,Assessments!$A$2:$A$600,0)),"")</f>
        <v/>
      </c>
      <c r="CT314" s="28" t="str">
        <f aca="false">IFERROR(INDEX(Assessments!$I$2:$I$600,MATCH($H314&amp;"|"&amp;$I314&amp;"|"&amp;$J314&amp;"|"&amp;12,Assessments!$A$2:$A$600,0)),"")</f>
        <v/>
      </c>
      <c r="CU314" s="28" t="str">
        <f aca="false">IFERROR(INDEX(Assessments!$I$2:$I$600,MATCH($H314&amp;"|"&amp;$I314&amp;"|"&amp;$J314&amp;"|"&amp;13,Assessments!$A$2:$A$600,0)),"")</f>
        <v/>
      </c>
      <c r="CV314" s="28" t="str">
        <f aca="false">IFERROR(INDEX(Assessments!$I$2:$I$600,MATCH($H314&amp;"|"&amp;$I314&amp;"|"&amp;$J314&amp;"|"&amp;14,Assessments!$A$2:$A$600,0)),"")</f>
        <v/>
      </c>
      <c r="CW314" s="28" t="n">
        <f aca="false">IFERROR(INDEX(Assessments!$J$2:$J$600,MATCH($H314&amp;"|"&amp;$I314&amp;"|"&amp;$J314&amp;"|"&amp;1,Assessments!$A$2:$A$600,0)),0)</f>
        <v>1</v>
      </c>
      <c r="CX314" s="28" t="n">
        <f aca="false">IFERROR(INDEX(Assessments!$J$2:$J$600,MATCH($H314&amp;"|"&amp;$I314&amp;"|"&amp;$J314&amp;"|"&amp;2,Assessments!$A$2:$A$600,0)),0)</f>
        <v>1</v>
      </c>
      <c r="CY314" s="28" t="n">
        <f aca="false">IFERROR(INDEX(Assessments!$J$2:$J$600,MATCH($H314&amp;"|"&amp;$I314&amp;"|"&amp;$J314&amp;"|"&amp;3,Assessments!$A$2:$A$600,0)),0)</f>
        <v>1</v>
      </c>
      <c r="CZ314" s="28" t="n">
        <f aca="false">IFERROR(INDEX(Assessments!$J$2:$J$600,MATCH($H314&amp;"|"&amp;$I314&amp;"|"&amp;$J314&amp;"|"&amp;4,Assessments!$A$2:$A$600,0)),0)</f>
        <v>2</v>
      </c>
      <c r="DA314" s="28" t="n">
        <f aca="false">IFERROR(INDEX(Assessments!$J$2:$J$600,MATCH($H314&amp;"|"&amp;$I314&amp;"|"&amp;$J314&amp;"|"&amp;5,Assessments!$A$2:$A$600,0)),0)</f>
        <v>1</v>
      </c>
      <c r="DB314" s="28" t="n">
        <f aca="false">IFERROR(INDEX(Assessments!$J$2:$J$600,MATCH($H314&amp;"|"&amp;$I314&amp;"|"&amp;$J314&amp;"|"&amp;6,Assessments!$A$2:$A$600,0)),0)</f>
        <v>1</v>
      </c>
      <c r="DC314" s="28" t="n">
        <f aca="false">IFERROR(INDEX(Assessments!$J$2:$J$600,MATCH($H314&amp;"|"&amp;$I314&amp;"|"&amp;$J314&amp;"|"&amp;7,Assessments!$A$2:$A$600,0)),0)</f>
        <v>2</v>
      </c>
      <c r="DD314" s="28" t="n">
        <f aca="false">IFERROR(INDEX(Assessments!$J$2:$J$600,MATCH($H314&amp;"|"&amp;$I314&amp;"|"&amp;$J314&amp;"|"&amp;8,Assessments!$A$2:$A$600,0)),0)</f>
        <v>0</v>
      </c>
      <c r="DE314" s="28" t="n">
        <f aca="false">IFERROR(INDEX(Assessments!$J$2:$J$600,MATCH($H314&amp;"|"&amp;$I314&amp;"|"&amp;$J314&amp;"|"&amp;9,Assessments!$A$2:$A$600,0)),0)</f>
        <v>0</v>
      </c>
      <c r="DF314" s="28" t="n">
        <f aca="false">IFERROR(INDEX(Assessments!$J$2:$J$600,MATCH($H314&amp;"|"&amp;$I314&amp;"|"&amp;$J314&amp;"|"&amp;10,Assessments!$A$2:$A$600,0)),0)</f>
        <v>0</v>
      </c>
      <c r="DG314" s="28" t="n">
        <f aca="false">IFERROR(INDEX(Assessments!$J$2:$J$600,MATCH($H314&amp;"|"&amp;$I314&amp;"|"&amp;$J314&amp;"|"&amp;11,Assessments!$A$2:$A$600,0)),0)</f>
        <v>0</v>
      </c>
      <c r="DH314" s="28" t="n">
        <f aca="false">IFERROR(INDEX(Assessments!$J$2:$J$600,MATCH($H314&amp;"|"&amp;$I314&amp;"|"&amp;$J314&amp;"|"&amp;12,Assessments!$A$2:$A$600,0)),0)</f>
        <v>0</v>
      </c>
      <c r="DI314" s="28" t="n">
        <f aca="false">IFERROR(INDEX(Assessments!$J$2:$J$600,MATCH($H314&amp;"|"&amp;$I314&amp;"|"&amp;$J314&amp;"|"&amp;13,Assessments!$A$2:$A$600,0)),0)</f>
        <v>0</v>
      </c>
      <c r="DJ314" s="28" t="n">
        <f aca="false">IFERROR(INDEX(Assessments!$J$2:$J$600,MATCH($H314&amp;"|"&amp;$I314&amp;"|"&amp;$J314&amp;"|"&amp;14,Assessments!$A$2:$A$600,0)),0)</f>
        <v>0</v>
      </c>
      <c r="DK314" s="28" t="n">
        <f aca="false">S314</f>
        <v>7</v>
      </c>
      <c r="DL314" s="28" t="str">
        <f aca="false">W314</f>
        <v/>
      </c>
      <c r="DM314" s="28" t="str">
        <f aca="false">AA314</f>
        <v/>
      </c>
      <c r="DN314" s="28" t="str">
        <f aca="false">AE314</f>
        <v/>
      </c>
      <c r="DO314" s="28" t="str">
        <f aca="false">AI314</f>
        <v/>
      </c>
      <c r="DP314" s="28" t="str">
        <f aca="false">AM314</f>
        <v/>
      </c>
      <c r="DQ314" s="28" t="str">
        <f aca="false">AQ314</f>
        <v/>
      </c>
      <c r="DR314" s="28" t="str">
        <f aca="false">AU314</f>
        <v/>
      </c>
      <c r="DS314" s="28" t="str">
        <f aca="false">AY314</f>
        <v/>
      </c>
      <c r="DT314" s="28" t="str">
        <f aca="false">BC314</f>
        <v/>
      </c>
      <c r="DU314" s="28" t="str">
        <f aca="false">BG314</f>
        <v/>
      </c>
      <c r="DV314" s="28" t="str">
        <f aca="false">BK314</f>
        <v/>
      </c>
      <c r="DW314" s="28" t="str">
        <f aca="false">BO314</f>
        <v/>
      </c>
      <c r="DX314" s="28" t="str">
        <f aca="false">BS314</f>
        <v/>
      </c>
      <c r="DY314" s="28" t="n">
        <f aca="false">IF(ISNUMBER(S314),1,"")</f>
        <v>1</v>
      </c>
      <c r="DZ314" s="28" t="str">
        <f aca="false">IF(ISNUMBER(W314),2,"")</f>
        <v/>
      </c>
      <c r="EA314" s="28" t="str">
        <f aca="false">IF(ISNUMBER(AA314),3,"")</f>
        <v/>
      </c>
      <c r="EB314" s="28" t="str">
        <f aca="false">IF(ISNUMBER(AE314),4,"")</f>
        <v/>
      </c>
      <c r="EC314" s="28" t="str">
        <f aca="false">IF(ISNUMBER(AI314),5,"")</f>
        <v/>
      </c>
      <c r="ED314" s="28" t="str">
        <f aca="false">IF(ISNUMBER(AM314),6,"")</f>
        <v/>
      </c>
      <c r="EE314" s="28" t="str">
        <f aca="false">IF(ISNUMBER(AQ314),7,"")</f>
        <v/>
      </c>
      <c r="EF314" s="28" t="str">
        <f aca="false">IF(ISNUMBER(AU314),8,"")</f>
        <v/>
      </c>
      <c r="EG314" s="28" t="str">
        <f aca="false">IF(ISNUMBER(AY314),9,"")</f>
        <v/>
      </c>
      <c r="EH314" s="28" t="str">
        <f aca="false">IF(ISNUMBER(BC314),10,"")</f>
        <v/>
      </c>
      <c r="EI314" s="28" t="str">
        <f aca="false">IF(ISNUMBER(BG314),11,"")</f>
        <v/>
      </c>
      <c r="EJ314" s="28" t="str">
        <f aca="false">IF(ISNUMBER(BK314),12,"")</f>
        <v/>
      </c>
      <c r="EK314" s="28" t="str">
        <f aca="false">IF(ISNUMBER(BO314),13,"")</f>
        <v/>
      </c>
      <c r="EL314" s="28" t="str">
        <f aca="false">IF(ISNUMBER(BS314),14,"")</f>
        <v/>
      </c>
      <c r="EM314" s="28" t="n">
        <f aca="false">IF(ISNUMBER(R314),R314*CW314,0)</f>
        <v>83.3333333333333</v>
      </c>
      <c r="EN314" s="28" t="n">
        <f aca="false">IF(ISNUMBER(V314),V314*CX314,0)</f>
        <v>0</v>
      </c>
      <c r="EO314" s="28" t="n">
        <f aca="false">IF(ISNUMBER(Z314),Z314*CY314,0)</f>
        <v>0</v>
      </c>
      <c r="EP314" s="28" t="n">
        <f aca="false">IF(ISNUMBER(AD314),AD314*CZ314,0)</f>
        <v>0</v>
      </c>
      <c r="EQ314" s="28" t="n">
        <f aca="false">IF(ISNUMBER(AH314),AH314*DA314,0)</f>
        <v>0</v>
      </c>
      <c r="ER314" s="28" t="n">
        <f aca="false">IF(ISNUMBER(AL314),AL314*DB314,0)</f>
        <v>0</v>
      </c>
      <c r="ES314" s="28" t="n">
        <f aca="false">IF(ISNUMBER(AP314),AP314*DC314,0)</f>
        <v>0</v>
      </c>
      <c r="ET314" s="28" t="n">
        <f aca="false">IF(ISNUMBER(AT314),AT314*DD314,0)</f>
        <v>0</v>
      </c>
      <c r="EU314" s="28" t="n">
        <f aca="false">IF(ISNUMBER(AX314),AX314*DE314,0)</f>
        <v>0</v>
      </c>
      <c r="EV314" s="28" t="n">
        <f aca="false">IF(ISNUMBER(BB314),BB314*DF314,0)</f>
        <v>0</v>
      </c>
      <c r="EW314" s="28" t="n">
        <f aca="false">IF(ISNUMBER(BF314),BF314*DG314,0)</f>
        <v>0</v>
      </c>
      <c r="EX314" s="28" t="n">
        <f aca="false">IF(ISNUMBER(BJ314),BJ314*DH314,0)</f>
        <v>0</v>
      </c>
      <c r="EY314" s="28" t="n">
        <f aca="false">IF(ISNUMBER(BN314),BN314*DI314,0)</f>
        <v>0</v>
      </c>
      <c r="EZ314" s="28" t="n">
        <f aca="false">IF(ISNUMBER(BR314),BR314*DJ314,0)</f>
        <v>0</v>
      </c>
      <c r="FA314" s="28" t="n">
        <f aca="false">IF(ISNUMBER(R314),CW314,0)</f>
        <v>1</v>
      </c>
      <c r="FB314" s="28" t="n">
        <f aca="false">IF(ISNUMBER(V314),CX314,0)</f>
        <v>0</v>
      </c>
      <c r="FC314" s="28" t="n">
        <f aca="false">IF(ISNUMBER(Z314),CY314,0)</f>
        <v>0</v>
      </c>
      <c r="FD314" s="28" t="n">
        <f aca="false">IF(ISNUMBER(AD314),CZ314,0)</f>
        <v>0</v>
      </c>
      <c r="FE314" s="28" t="n">
        <f aca="false">IF(ISNUMBER(AH314),DA314,0)</f>
        <v>0</v>
      </c>
      <c r="FF314" s="28" t="n">
        <f aca="false">IF(ISNUMBER(AL314),DB314,0)</f>
        <v>0</v>
      </c>
      <c r="FG314" s="28" t="n">
        <f aca="false">IF(ISNUMBER(AP314),DC314,0)</f>
        <v>0</v>
      </c>
      <c r="FH314" s="28" t="n">
        <f aca="false">IF(ISNUMBER(AT314),DD314,0)</f>
        <v>0</v>
      </c>
      <c r="FI314" s="28" t="n">
        <f aca="false">IF(ISNUMBER(AX314),DE314,0)</f>
        <v>0</v>
      </c>
      <c r="FJ314" s="28" t="n">
        <f aca="false">IF(ISNUMBER(BB314),DF314,0)</f>
        <v>0</v>
      </c>
      <c r="FK314" s="28" t="n">
        <f aca="false">IF(ISNUMBER(BF314),DG314,0)</f>
        <v>0</v>
      </c>
      <c r="FL314" s="28" t="n">
        <f aca="false">IF(ISNUMBER(BJ314),DH314,0)</f>
        <v>0</v>
      </c>
      <c r="FM314" s="28" t="n">
        <f aca="false">IF(ISNUMBER(BN314),DI314,0)</f>
        <v>0</v>
      </c>
      <c r="FN314" s="28" t="n">
        <f aca="false">IF(ISNUMBER(BR314),DJ314,0)</f>
        <v>0</v>
      </c>
      <c r="FO314" s="28" t="str">
        <f aca="false">IFERROR(INDEX(Lists!$G$2:$G$20,MATCH($I314&amp;"|"&amp;$J314,Lists!$F$2:$F$20,0)),"")</f>
        <v>BM Exam</v>
      </c>
    </row>
    <row r="315" customFormat="false" ht="19.5" hidden="false" customHeight="true" outlineLevel="0" collapsed="false">
      <c r="A315" s="29" t="s">
        <v>613</v>
      </c>
      <c r="B315" s="29" t="s">
        <v>614</v>
      </c>
      <c r="C315" s="30" t="s">
        <v>152</v>
      </c>
      <c r="D315" s="30" t="s">
        <v>408</v>
      </c>
      <c r="E315" s="31"/>
      <c r="F315" s="30"/>
      <c r="G315" s="30"/>
      <c r="H315" s="32" t="s">
        <v>428</v>
      </c>
      <c r="I315" s="33" t="s">
        <v>365</v>
      </c>
      <c r="J315" s="32" t="s">
        <v>25</v>
      </c>
      <c r="K315" s="34" t="str">
        <f aca="false">IF(OR(M315="",$E315=""),"",M315-$E315)</f>
        <v/>
      </c>
      <c r="L315" s="35" t="n">
        <f aca="false">IF(SUM(FA315:FN315)=0,"",SUM(EM315:EZ315)/SUM(FA315:FN315))</f>
        <v>100</v>
      </c>
      <c r="M315" s="36" t="n">
        <f aca="false">IF(OR(L315="",FO315=""),"",IFERROR(MATCH(L315,INDEX(Boundaries!$B$2:$I$30,MATCH(FO315,Boundaries!$A$2:$A$30,0),0),1)-1,""))</f>
        <v>7</v>
      </c>
      <c r="N315" s="37" t="str">
        <f aca="false">IF(COUNT($DY315:$EL315)&lt;2,"",INDEX($DK315:$DX315,MAX($DY315:$EL315))-INDEX($DK315:$DX315,MIN($DY315:$EL315)))</f>
        <v/>
      </c>
      <c r="O315" s="37" t="str">
        <f aca="false">IF(COUNT($DY315:$EL315)&lt;2,"",INDEX($DK315:$DX315,MAX($DY315:$EL315))-INDEX($DK315:$DX315,LARGE($DY315:$EL315,2)))</f>
        <v/>
      </c>
      <c r="P315" s="38" t="str">
        <f aca="false">IF(K315="","",IF(K315&gt;=0,"On/above target",IF(AND(N315&lt;&gt;"",N315&gt;=0.5),"Improving towards target",IF(AND(O315&lt;&gt;"",O315&lt;=-0.5),"Declining","Stable below target"))))</f>
        <v/>
      </c>
      <c r="Q315" s="39" t="n">
        <v>24</v>
      </c>
      <c r="R315" s="40" t="n">
        <f aca="false">IF(OR(Q315="",BU315=""),"",Q315/BU315*100)</f>
        <v>100</v>
      </c>
      <c r="S315" s="41" t="n">
        <f aca="false">IF(R315="","",IFERROR(MATCH(R315,INDEX(Boundaries!$B$2:$I$30,MATCH(CI315,Boundaries!$A$2:$A$30,0),0),1)-1,""))</f>
        <v>7</v>
      </c>
      <c r="T315" s="42" t="str">
        <f aca="false">IF(OR(S315="",$E315=""),"",S315-$E315)</f>
        <v/>
      </c>
      <c r="U315" s="39"/>
      <c r="V315" s="40" t="str">
        <f aca="false">IF(OR(U315="",BV315=""),"",U315/BV315*100)</f>
        <v/>
      </c>
      <c r="W315" s="41" t="str">
        <f aca="false">IF(V315="","",IFERROR(MATCH(V315,INDEX(Boundaries!$B$2:$I$30,MATCH(CJ315,Boundaries!$A$2:$A$30,0),0),1)-1,""))</f>
        <v/>
      </c>
      <c r="X315" s="42" t="str">
        <f aca="false">IF(OR(W315="",$E315=""),"",W315-$E315)</f>
        <v/>
      </c>
      <c r="Y315" s="39"/>
      <c r="Z315" s="40" t="str">
        <f aca="false">IF(OR(Y315="",BW315=""),"",Y315/BW315*100)</f>
        <v/>
      </c>
      <c r="AA315" s="41" t="str">
        <f aca="false">IF(Z315="","",IFERROR(MATCH(Z315,INDEX(Boundaries!$B$2:$I$30,MATCH(CK315,Boundaries!$A$2:$A$30,0),0),1)-1,""))</f>
        <v/>
      </c>
      <c r="AB315" s="42" t="str">
        <f aca="false">IF(OR(AA315="",$E315=""),"",AA315-$E315)</f>
        <v/>
      </c>
      <c r="AC315" s="39"/>
      <c r="AD315" s="40" t="str">
        <f aca="false">IF(OR(AC315="",BX315=""),"",AC315/BX315*100)</f>
        <v/>
      </c>
      <c r="AE315" s="41" t="str">
        <f aca="false">IF(AD315="","",IFERROR(MATCH(AD315,INDEX(Boundaries!$B$2:$I$30,MATCH(CL315,Boundaries!$A$2:$A$30,0),0),1)-1,""))</f>
        <v/>
      </c>
      <c r="AF315" s="42" t="str">
        <f aca="false">IF(OR(AE315="",$E315=""),"",AE315-$E315)</f>
        <v/>
      </c>
      <c r="AG315" s="39"/>
      <c r="AH315" s="40" t="str">
        <f aca="false">IF(OR(AG315="",BY315=""),"",AG315/BY315*100)</f>
        <v/>
      </c>
      <c r="AI315" s="41" t="str">
        <f aca="false">IF(AH315="","",IFERROR(MATCH(AH315,INDEX(Boundaries!$B$2:$I$30,MATCH(CM315,Boundaries!$A$2:$A$30,0),0),1)-1,""))</f>
        <v/>
      </c>
      <c r="AJ315" s="42" t="str">
        <f aca="false">IF(OR(AI315="",$E315=""),"",AI315-$E315)</f>
        <v/>
      </c>
      <c r="AK315" s="39"/>
      <c r="AL315" s="40" t="str">
        <f aca="false">IF(OR(AK315="",BZ315=""),"",AK315/BZ315*100)</f>
        <v/>
      </c>
      <c r="AM315" s="41" t="str">
        <f aca="false">IF(AL315="","",IFERROR(MATCH(AL315,INDEX(Boundaries!$B$2:$I$30,MATCH(CN315,Boundaries!$A$2:$A$30,0),0),1)-1,""))</f>
        <v/>
      </c>
      <c r="AN315" s="42" t="str">
        <f aca="false">IF(OR(AM315="",$E315=""),"",AM315-$E315)</f>
        <v/>
      </c>
      <c r="AO315" s="39"/>
      <c r="AP315" s="40" t="str">
        <f aca="false">IF(OR(AO315="",CA315=""),"",AO315/CA315*100)</f>
        <v/>
      </c>
      <c r="AQ315" s="41" t="str">
        <f aca="false">IF(AP315="","",IFERROR(MATCH(AP315,INDEX(Boundaries!$B$2:$I$30,MATCH(CO315,Boundaries!$A$2:$A$30,0),0),1)-1,""))</f>
        <v/>
      </c>
      <c r="AR315" s="42" t="str">
        <f aca="false">IF(OR(AQ315="",$E315=""),"",AQ315-$E315)</f>
        <v/>
      </c>
      <c r="AS315" s="39"/>
      <c r="AT315" s="40" t="str">
        <f aca="false">IF(OR(AS315="",CB315=""),"",AS315/CB315*100)</f>
        <v/>
      </c>
      <c r="AU315" s="41" t="str">
        <f aca="false">IF(AT315="","",IFERROR(MATCH(AT315,INDEX(Boundaries!$B$2:$I$30,MATCH(CP315,Boundaries!$A$2:$A$30,0),0),1)-1,""))</f>
        <v/>
      </c>
      <c r="AV315" s="42" t="str">
        <f aca="false">IF(OR(AU315="",$E315=""),"",AU315-$E315)</f>
        <v/>
      </c>
      <c r="AW315" s="39"/>
      <c r="AX315" s="40" t="str">
        <f aca="false">IF(OR(AW315="",CC315=""),"",AW315/CC315*100)</f>
        <v/>
      </c>
      <c r="AY315" s="41" t="str">
        <f aca="false">IF(AX315="","",IFERROR(MATCH(AX315,INDEX(Boundaries!$B$2:$I$30,MATCH(CQ315,Boundaries!$A$2:$A$30,0),0),1)-1,""))</f>
        <v/>
      </c>
      <c r="AZ315" s="42" t="str">
        <f aca="false">IF(OR(AY315="",$E315=""),"",AY315-$E315)</f>
        <v/>
      </c>
      <c r="BA315" s="39"/>
      <c r="BB315" s="40" t="str">
        <f aca="false">IF(OR(BA315="",CD315=""),"",BA315/CD315*100)</f>
        <v/>
      </c>
      <c r="BC315" s="41" t="str">
        <f aca="false">IF(BB315="","",IFERROR(MATCH(BB315,INDEX(Boundaries!$B$2:$I$30,MATCH(CR315,Boundaries!$A$2:$A$30,0),0),1)-1,""))</f>
        <v/>
      </c>
      <c r="BD315" s="42" t="str">
        <f aca="false">IF(OR(BC315="",$E315=""),"",BC315-$E315)</f>
        <v/>
      </c>
      <c r="BE315" s="39"/>
      <c r="BF315" s="40" t="str">
        <f aca="false">IF(OR(BE315="",CE315=""),"",BE315/CE315*100)</f>
        <v/>
      </c>
      <c r="BG315" s="41" t="str">
        <f aca="false">IF(BF315="","",IFERROR(MATCH(BF315,INDEX(Boundaries!$B$2:$I$30,MATCH(CS315,Boundaries!$A$2:$A$30,0),0),1)-1,""))</f>
        <v/>
      </c>
      <c r="BH315" s="42" t="str">
        <f aca="false">IF(OR(BG315="",$E315=""),"",BG315-$E315)</f>
        <v/>
      </c>
      <c r="BI315" s="39"/>
      <c r="BJ315" s="40" t="str">
        <f aca="false">IF(OR(BI315="",CF315=""),"",BI315/CF315*100)</f>
        <v/>
      </c>
      <c r="BK315" s="41" t="str">
        <f aca="false">IF(BJ315="","",IFERROR(MATCH(BJ315,INDEX(Boundaries!$B$2:$I$30,MATCH(CT315,Boundaries!$A$2:$A$30,0),0),1)-1,""))</f>
        <v/>
      </c>
      <c r="BL315" s="42" t="str">
        <f aca="false">IF(OR(BK315="",$E315=""),"",BK315-$E315)</f>
        <v/>
      </c>
      <c r="BM315" s="39"/>
      <c r="BN315" s="40" t="str">
        <f aca="false">IF(OR(BM315="",CG315=""),"",BM315/CG315*100)</f>
        <v/>
      </c>
      <c r="BO315" s="41" t="str">
        <f aca="false">IF(BN315="","",IFERROR(MATCH(BN315,INDEX(Boundaries!$B$2:$I$30,MATCH(CU315,Boundaries!$A$2:$A$30,0),0),1)-1,""))</f>
        <v/>
      </c>
      <c r="BP315" s="42" t="str">
        <f aca="false">IF(OR(BO315="",$E315=""),"",BO315-$E315)</f>
        <v/>
      </c>
      <c r="BQ315" s="39"/>
      <c r="BR315" s="40" t="str">
        <f aca="false">IF(OR(BQ315="",CH315=""),"",BQ315/CH315*100)</f>
        <v/>
      </c>
      <c r="BS315" s="41" t="str">
        <f aca="false">IF(BR315="","",IFERROR(MATCH(BR315,INDEX(Boundaries!$B$2:$I$30,MATCH(CV315,Boundaries!$A$2:$A$30,0),0),1)-1,""))</f>
        <v/>
      </c>
      <c r="BT315" s="42" t="str">
        <f aca="false">IF(OR(BS315="",$E315=""),"",BS315-$E315)</f>
        <v/>
      </c>
      <c r="BU315" s="28" t="n">
        <f aca="false">IFERROR(INDEX(Assessments!$H$2:$H$600,MATCH($H315&amp;"|"&amp;$I315&amp;"|"&amp;$J315&amp;"|"&amp;1,Assessments!$A$2:$A$600,0)),"")</f>
        <v>24</v>
      </c>
      <c r="BV315" s="28" t="n">
        <f aca="false">IFERROR(INDEX(Assessments!$H$2:$H$600,MATCH($H315&amp;"|"&amp;$I315&amp;"|"&amp;$J315&amp;"|"&amp;2,Assessments!$A$2:$A$600,0)),"")</f>
        <v>20</v>
      </c>
      <c r="BW315" s="28" t="n">
        <f aca="false">IFERROR(INDEX(Assessments!$H$2:$H$600,MATCH($H315&amp;"|"&amp;$I315&amp;"|"&amp;$J315&amp;"|"&amp;3,Assessments!$A$2:$A$600,0)),"")</f>
        <v>20</v>
      </c>
      <c r="BX315" s="28" t="n">
        <f aca="false">IFERROR(INDEX(Assessments!$H$2:$H$600,MATCH($H315&amp;"|"&amp;$I315&amp;"|"&amp;$J315&amp;"|"&amp;4,Assessments!$A$2:$A$600,0)),"")</f>
        <v>40</v>
      </c>
      <c r="BY315" s="28" t="n">
        <f aca="false">IFERROR(INDEX(Assessments!$H$2:$H$600,MATCH($H315&amp;"|"&amp;$I315&amp;"|"&amp;$J315&amp;"|"&amp;5,Assessments!$A$2:$A$600,0)),"")</f>
        <v>30</v>
      </c>
      <c r="BZ315" s="28" t="n">
        <f aca="false">IFERROR(INDEX(Assessments!$H$2:$H$600,MATCH($H315&amp;"|"&amp;$I315&amp;"|"&amp;$J315&amp;"|"&amp;6,Assessments!$A$2:$A$600,0)),"")</f>
        <v>20</v>
      </c>
      <c r="CA315" s="28" t="n">
        <f aca="false">IFERROR(INDEX(Assessments!$H$2:$H$600,MATCH($H315&amp;"|"&amp;$I315&amp;"|"&amp;$J315&amp;"|"&amp;7,Assessments!$A$2:$A$600,0)),"")</f>
        <v>50</v>
      </c>
      <c r="CB315" s="28" t="str">
        <f aca="false">IFERROR(INDEX(Assessments!$H$2:$H$600,MATCH($H315&amp;"|"&amp;$I315&amp;"|"&amp;$J315&amp;"|"&amp;8,Assessments!$A$2:$A$600,0)),"")</f>
        <v/>
      </c>
      <c r="CC315" s="28" t="str">
        <f aca="false">IFERROR(INDEX(Assessments!$H$2:$H$600,MATCH($H315&amp;"|"&amp;$I315&amp;"|"&amp;$J315&amp;"|"&amp;9,Assessments!$A$2:$A$600,0)),"")</f>
        <v/>
      </c>
      <c r="CD315" s="28" t="str">
        <f aca="false">IFERROR(INDEX(Assessments!$H$2:$H$600,MATCH($H315&amp;"|"&amp;$I315&amp;"|"&amp;$J315&amp;"|"&amp;10,Assessments!$A$2:$A$600,0)),"")</f>
        <v/>
      </c>
      <c r="CE315" s="28" t="str">
        <f aca="false">IFERROR(INDEX(Assessments!$H$2:$H$600,MATCH($H315&amp;"|"&amp;$I315&amp;"|"&amp;$J315&amp;"|"&amp;11,Assessments!$A$2:$A$600,0)),"")</f>
        <v/>
      </c>
      <c r="CF315" s="28" t="str">
        <f aca="false">IFERROR(INDEX(Assessments!$H$2:$H$600,MATCH($H315&amp;"|"&amp;$I315&amp;"|"&amp;$J315&amp;"|"&amp;12,Assessments!$A$2:$A$600,0)),"")</f>
        <v/>
      </c>
      <c r="CG315" s="28" t="str">
        <f aca="false">IFERROR(INDEX(Assessments!$H$2:$H$600,MATCH($H315&amp;"|"&amp;$I315&amp;"|"&amp;$J315&amp;"|"&amp;13,Assessments!$A$2:$A$600,0)),"")</f>
        <v/>
      </c>
      <c r="CH315" s="28" t="str">
        <f aca="false">IFERROR(INDEX(Assessments!$H$2:$H$600,MATCH($H315&amp;"|"&amp;$I315&amp;"|"&amp;$J315&amp;"|"&amp;14,Assessments!$A$2:$A$600,0)),"")</f>
        <v/>
      </c>
      <c r="CI315" s="28" t="str">
        <f aca="false">IFERROR(INDEX(Assessments!$I$2:$I$600,MATCH($H315&amp;"|"&amp;$I315&amp;"|"&amp;$J315&amp;"|"&amp;1,Assessments!$A$2:$A$600,0)),"")</f>
        <v>BM Test</v>
      </c>
      <c r="CJ315" s="28" t="str">
        <f aca="false">IFERROR(INDEX(Assessments!$I$2:$I$600,MATCH($H315&amp;"|"&amp;$I315&amp;"|"&amp;$J315&amp;"|"&amp;2,Assessments!$A$2:$A$600,0)),"")</f>
        <v>BM Test</v>
      </c>
      <c r="CK315" s="28" t="str">
        <f aca="false">IFERROR(INDEX(Assessments!$I$2:$I$600,MATCH($H315&amp;"|"&amp;$I315&amp;"|"&amp;$J315&amp;"|"&amp;3,Assessments!$A$2:$A$600,0)),"")</f>
        <v>BM Test</v>
      </c>
      <c r="CL315" s="28" t="str">
        <f aca="false">IFERROR(INDEX(Assessments!$I$2:$I$600,MATCH($H315&amp;"|"&amp;$I315&amp;"|"&amp;$J315&amp;"|"&amp;4,Assessments!$A$2:$A$600,0)),"")</f>
        <v>BM Exam</v>
      </c>
      <c r="CM315" s="28" t="str">
        <f aca="false">IFERROR(INDEX(Assessments!$I$2:$I$600,MATCH($H315&amp;"|"&amp;$I315&amp;"|"&amp;$J315&amp;"|"&amp;5,Assessments!$A$2:$A$600,0)),"")</f>
        <v>BM Test</v>
      </c>
      <c r="CN315" s="28" t="str">
        <f aca="false">IFERROR(INDEX(Assessments!$I$2:$I$600,MATCH($H315&amp;"|"&amp;$I315&amp;"|"&amp;$J315&amp;"|"&amp;6,Assessments!$A$2:$A$600,0)),"")</f>
        <v>BM Test</v>
      </c>
      <c r="CO315" s="28" t="str">
        <f aca="false">IFERROR(INDEX(Assessments!$I$2:$I$600,MATCH($H315&amp;"|"&amp;$I315&amp;"|"&amp;$J315&amp;"|"&amp;7,Assessments!$A$2:$A$600,0)),"")</f>
        <v>BM Exam</v>
      </c>
      <c r="CP315" s="28" t="str">
        <f aca="false">IFERROR(INDEX(Assessments!$I$2:$I$600,MATCH($H315&amp;"|"&amp;$I315&amp;"|"&amp;$J315&amp;"|"&amp;8,Assessments!$A$2:$A$600,0)),"")</f>
        <v/>
      </c>
      <c r="CQ315" s="28" t="str">
        <f aca="false">IFERROR(INDEX(Assessments!$I$2:$I$600,MATCH($H315&amp;"|"&amp;$I315&amp;"|"&amp;$J315&amp;"|"&amp;9,Assessments!$A$2:$A$600,0)),"")</f>
        <v/>
      </c>
      <c r="CR315" s="28" t="str">
        <f aca="false">IFERROR(INDEX(Assessments!$I$2:$I$600,MATCH($H315&amp;"|"&amp;$I315&amp;"|"&amp;$J315&amp;"|"&amp;10,Assessments!$A$2:$A$600,0)),"")</f>
        <v/>
      </c>
      <c r="CS315" s="28" t="str">
        <f aca="false">IFERROR(INDEX(Assessments!$I$2:$I$600,MATCH($H315&amp;"|"&amp;$I315&amp;"|"&amp;$J315&amp;"|"&amp;11,Assessments!$A$2:$A$600,0)),"")</f>
        <v/>
      </c>
      <c r="CT315" s="28" t="str">
        <f aca="false">IFERROR(INDEX(Assessments!$I$2:$I$600,MATCH($H315&amp;"|"&amp;$I315&amp;"|"&amp;$J315&amp;"|"&amp;12,Assessments!$A$2:$A$600,0)),"")</f>
        <v/>
      </c>
      <c r="CU315" s="28" t="str">
        <f aca="false">IFERROR(INDEX(Assessments!$I$2:$I$600,MATCH($H315&amp;"|"&amp;$I315&amp;"|"&amp;$J315&amp;"|"&amp;13,Assessments!$A$2:$A$600,0)),"")</f>
        <v/>
      </c>
      <c r="CV315" s="28" t="str">
        <f aca="false">IFERROR(INDEX(Assessments!$I$2:$I$600,MATCH($H315&amp;"|"&amp;$I315&amp;"|"&amp;$J315&amp;"|"&amp;14,Assessments!$A$2:$A$600,0)),"")</f>
        <v/>
      </c>
      <c r="CW315" s="28" t="n">
        <f aca="false">IFERROR(INDEX(Assessments!$J$2:$J$600,MATCH($H315&amp;"|"&amp;$I315&amp;"|"&amp;$J315&amp;"|"&amp;1,Assessments!$A$2:$A$600,0)),0)</f>
        <v>1</v>
      </c>
      <c r="CX315" s="28" t="n">
        <f aca="false">IFERROR(INDEX(Assessments!$J$2:$J$600,MATCH($H315&amp;"|"&amp;$I315&amp;"|"&amp;$J315&amp;"|"&amp;2,Assessments!$A$2:$A$600,0)),0)</f>
        <v>1</v>
      </c>
      <c r="CY315" s="28" t="n">
        <f aca="false">IFERROR(INDEX(Assessments!$J$2:$J$600,MATCH($H315&amp;"|"&amp;$I315&amp;"|"&amp;$J315&amp;"|"&amp;3,Assessments!$A$2:$A$600,0)),0)</f>
        <v>1</v>
      </c>
      <c r="CZ315" s="28" t="n">
        <f aca="false">IFERROR(INDEX(Assessments!$J$2:$J$600,MATCH($H315&amp;"|"&amp;$I315&amp;"|"&amp;$J315&amp;"|"&amp;4,Assessments!$A$2:$A$600,0)),0)</f>
        <v>2</v>
      </c>
      <c r="DA315" s="28" t="n">
        <f aca="false">IFERROR(INDEX(Assessments!$J$2:$J$600,MATCH($H315&amp;"|"&amp;$I315&amp;"|"&amp;$J315&amp;"|"&amp;5,Assessments!$A$2:$A$600,0)),0)</f>
        <v>1</v>
      </c>
      <c r="DB315" s="28" t="n">
        <f aca="false">IFERROR(INDEX(Assessments!$J$2:$J$600,MATCH($H315&amp;"|"&amp;$I315&amp;"|"&amp;$J315&amp;"|"&amp;6,Assessments!$A$2:$A$600,0)),0)</f>
        <v>1</v>
      </c>
      <c r="DC315" s="28" t="n">
        <f aca="false">IFERROR(INDEX(Assessments!$J$2:$J$600,MATCH($H315&amp;"|"&amp;$I315&amp;"|"&amp;$J315&amp;"|"&amp;7,Assessments!$A$2:$A$600,0)),0)</f>
        <v>2</v>
      </c>
      <c r="DD315" s="28" t="n">
        <f aca="false">IFERROR(INDEX(Assessments!$J$2:$J$600,MATCH($H315&amp;"|"&amp;$I315&amp;"|"&amp;$J315&amp;"|"&amp;8,Assessments!$A$2:$A$600,0)),0)</f>
        <v>0</v>
      </c>
      <c r="DE315" s="28" t="n">
        <f aca="false">IFERROR(INDEX(Assessments!$J$2:$J$600,MATCH($H315&amp;"|"&amp;$I315&amp;"|"&amp;$J315&amp;"|"&amp;9,Assessments!$A$2:$A$600,0)),0)</f>
        <v>0</v>
      </c>
      <c r="DF315" s="28" t="n">
        <f aca="false">IFERROR(INDEX(Assessments!$J$2:$J$600,MATCH($H315&amp;"|"&amp;$I315&amp;"|"&amp;$J315&amp;"|"&amp;10,Assessments!$A$2:$A$600,0)),0)</f>
        <v>0</v>
      </c>
      <c r="DG315" s="28" t="n">
        <f aca="false">IFERROR(INDEX(Assessments!$J$2:$J$600,MATCH($H315&amp;"|"&amp;$I315&amp;"|"&amp;$J315&amp;"|"&amp;11,Assessments!$A$2:$A$600,0)),0)</f>
        <v>0</v>
      </c>
      <c r="DH315" s="28" t="n">
        <f aca="false">IFERROR(INDEX(Assessments!$J$2:$J$600,MATCH($H315&amp;"|"&amp;$I315&amp;"|"&amp;$J315&amp;"|"&amp;12,Assessments!$A$2:$A$600,0)),0)</f>
        <v>0</v>
      </c>
      <c r="DI315" s="28" t="n">
        <f aca="false">IFERROR(INDEX(Assessments!$J$2:$J$600,MATCH($H315&amp;"|"&amp;$I315&amp;"|"&amp;$J315&amp;"|"&amp;13,Assessments!$A$2:$A$600,0)),0)</f>
        <v>0</v>
      </c>
      <c r="DJ315" s="28" t="n">
        <f aca="false">IFERROR(INDEX(Assessments!$J$2:$J$600,MATCH($H315&amp;"|"&amp;$I315&amp;"|"&amp;$J315&amp;"|"&amp;14,Assessments!$A$2:$A$600,0)),0)</f>
        <v>0</v>
      </c>
      <c r="DK315" s="28" t="n">
        <f aca="false">S315</f>
        <v>7</v>
      </c>
      <c r="DL315" s="28" t="str">
        <f aca="false">W315</f>
        <v/>
      </c>
      <c r="DM315" s="28" t="str">
        <f aca="false">AA315</f>
        <v/>
      </c>
      <c r="DN315" s="28" t="str">
        <f aca="false">AE315</f>
        <v/>
      </c>
      <c r="DO315" s="28" t="str">
        <f aca="false">AI315</f>
        <v/>
      </c>
      <c r="DP315" s="28" t="str">
        <f aca="false">AM315</f>
        <v/>
      </c>
      <c r="DQ315" s="28" t="str">
        <f aca="false">AQ315</f>
        <v/>
      </c>
      <c r="DR315" s="28" t="str">
        <f aca="false">AU315</f>
        <v/>
      </c>
      <c r="DS315" s="28" t="str">
        <f aca="false">AY315</f>
        <v/>
      </c>
      <c r="DT315" s="28" t="str">
        <f aca="false">BC315</f>
        <v/>
      </c>
      <c r="DU315" s="28" t="str">
        <f aca="false">BG315</f>
        <v/>
      </c>
      <c r="DV315" s="28" t="str">
        <f aca="false">BK315</f>
        <v/>
      </c>
      <c r="DW315" s="28" t="str">
        <f aca="false">BO315</f>
        <v/>
      </c>
      <c r="DX315" s="28" t="str">
        <f aca="false">BS315</f>
        <v/>
      </c>
      <c r="DY315" s="28" t="n">
        <f aca="false">IF(ISNUMBER(S315),1,"")</f>
        <v>1</v>
      </c>
      <c r="DZ315" s="28" t="str">
        <f aca="false">IF(ISNUMBER(W315),2,"")</f>
        <v/>
      </c>
      <c r="EA315" s="28" t="str">
        <f aca="false">IF(ISNUMBER(AA315),3,"")</f>
        <v/>
      </c>
      <c r="EB315" s="28" t="str">
        <f aca="false">IF(ISNUMBER(AE315),4,"")</f>
        <v/>
      </c>
      <c r="EC315" s="28" t="str">
        <f aca="false">IF(ISNUMBER(AI315),5,"")</f>
        <v/>
      </c>
      <c r="ED315" s="28" t="str">
        <f aca="false">IF(ISNUMBER(AM315),6,"")</f>
        <v/>
      </c>
      <c r="EE315" s="28" t="str">
        <f aca="false">IF(ISNUMBER(AQ315),7,"")</f>
        <v/>
      </c>
      <c r="EF315" s="28" t="str">
        <f aca="false">IF(ISNUMBER(AU315),8,"")</f>
        <v/>
      </c>
      <c r="EG315" s="28" t="str">
        <f aca="false">IF(ISNUMBER(AY315),9,"")</f>
        <v/>
      </c>
      <c r="EH315" s="28" t="str">
        <f aca="false">IF(ISNUMBER(BC315),10,"")</f>
        <v/>
      </c>
      <c r="EI315" s="28" t="str">
        <f aca="false">IF(ISNUMBER(BG315),11,"")</f>
        <v/>
      </c>
      <c r="EJ315" s="28" t="str">
        <f aca="false">IF(ISNUMBER(BK315),12,"")</f>
        <v/>
      </c>
      <c r="EK315" s="28" t="str">
        <f aca="false">IF(ISNUMBER(BO315),13,"")</f>
        <v/>
      </c>
      <c r="EL315" s="28" t="str">
        <f aca="false">IF(ISNUMBER(BS315),14,"")</f>
        <v/>
      </c>
      <c r="EM315" s="28" t="n">
        <f aca="false">IF(ISNUMBER(R315),R315*CW315,0)</f>
        <v>100</v>
      </c>
      <c r="EN315" s="28" t="n">
        <f aca="false">IF(ISNUMBER(V315),V315*CX315,0)</f>
        <v>0</v>
      </c>
      <c r="EO315" s="28" t="n">
        <f aca="false">IF(ISNUMBER(Z315),Z315*CY315,0)</f>
        <v>0</v>
      </c>
      <c r="EP315" s="28" t="n">
        <f aca="false">IF(ISNUMBER(AD315),AD315*CZ315,0)</f>
        <v>0</v>
      </c>
      <c r="EQ315" s="28" t="n">
        <f aca="false">IF(ISNUMBER(AH315),AH315*DA315,0)</f>
        <v>0</v>
      </c>
      <c r="ER315" s="28" t="n">
        <f aca="false">IF(ISNUMBER(AL315),AL315*DB315,0)</f>
        <v>0</v>
      </c>
      <c r="ES315" s="28" t="n">
        <f aca="false">IF(ISNUMBER(AP315),AP315*DC315,0)</f>
        <v>0</v>
      </c>
      <c r="ET315" s="28" t="n">
        <f aca="false">IF(ISNUMBER(AT315),AT315*DD315,0)</f>
        <v>0</v>
      </c>
      <c r="EU315" s="28" t="n">
        <f aca="false">IF(ISNUMBER(AX315),AX315*DE315,0)</f>
        <v>0</v>
      </c>
      <c r="EV315" s="28" t="n">
        <f aca="false">IF(ISNUMBER(BB315),BB315*DF315,0)</f>
        <v>0</v>
      </c>
      <c r="EW315" s="28" t="n">
        <f aca="false">IF(ISNUMBER(BF315),BF315*DG315,0)</f>
        <v>0</v>
      </c>
      <c r="EX315" s="28" t="n">
        <f aca="false">IF(ISNUMBER(BJ315),BJ315*DH315,0)</f>
        <v>0</v>
      </c>
      <c r="EY315" s="28" t="n">
        <f aca="false">IF(ISNUMBER(BN315),BN315*DI315,0)</f>
        <v>0</v>
      </c>
      <c r="EZ315" s="28" t="n">
        <f aca="false">IF(ISNUMBER(BR315),BR315*DJ315,0)</f>
        <v>0</v>
      </c>
      <c r="FA315" s="28" t="n">
        <f aca="false">IF(ISNUMBER(R315),CW315,0)</f>
        <v>1</v>
      </c>
      <c r="FB315" s="28" t="n">
        <f aca="false">IF(ISNUMBER(V315),CX315,0)</f>
        <v>0</v>
      </c>
      <c r="FC315" s="28" t="n">
        <f aca="false">IF(ISNUMBER(Z315),CY315,0)</f>
        <v>0</v>
      </c>
      <c r="FD315" s="28" t="n">
        <f aca="false">IF(ISNUMBER(AD315),CZ315,0)</f>
        <v>0</v>
      </c>
      <c r="FE315" s="28" t="n">
        <f aca="false">IF(ISNUMBER(AH315),DA315,0)</f>
        <v>0</v>
      </c>
      <c r="FF315" s="28" t="n">
        <f aca="false">IF(ISNUMBER(AL315),DB315,0)</f>
        <v>0</v>
      </c>
      <c r="FG315" s="28" t="n">
        <f aca="false">IF(ISNUMBER(AP315),DC315,0)</f>
        <v>0</v>
      </c>
      <c r="FH315" s="28" t="n">
        <f aca="false">IF(ISNUMBER(AT315),DD315,0)</f>
        <v>0</v>
      </c>
      <c r="FI315" s="28" t="n">
        <f aca="false">IF(ISNUMBER(AX315),DE315,0)</f>
        <v>0</v>
      </c>
      <c r="FJ315" s="28" t="n">
        <f aca="false">IF(ISNUMBER(BB315),DF315,0)</f>
        <v>0</v>
      </c>
      <c r="FK315" s="28" t="n">
        <f aca="false">IF(ISNUMBER(BF315),DG315,0)</f>
        <v>0</v>
      </c>
      <c r="FL315" s="28" t="n">
        <f aca="false">IF(ISNUMBER(BJ315),DH315,0)</f>
        <v>0</v>
      </c>
      <c r="FM315" s="28" t="n">
        <f aca="false">IF(ISNUMBER(BN315),DI315,0)</f>
        <v>0</v>
      </c>
      <c r="FN315" s="28" t="n">
        <f aca="false">IF(ISNUMBER(BR315),DJ315,0)</f>
        <v>0</v>
      </c>
      <c r="FO315" s="28" t="str">
        <f aca="false">IFERROR(INDEX(Lists!$G$2:$G$20,MATCH($I315&amp;"|"&amp;$J315,Lists!$F$2:$F$20,0)),"")</f>
        <v>BM Exam</v>
      </c>
    </row>
    <row r="316" customFormat="false" ht="19.5" hidden="false" customHeight="true" outlineLevel="0" collapsed="false">
      <c r="A316" s="29" t="s">
        <v>615</v>
      </c>
      <c r="B316" s="29" t="s">
        <v>616</v>
      </c>
      <c r="C316" s="30" t="s">
        <v>152</v>
      </c>
      <c r="D316" s="30" t="s">
        <v>408</v>
      </c>
      <c r="E316" s="31"/>
      <c r="F316" s="30"/>
      <c r="G316" s="30"/>
      <c r="H316" s="32" t="s">
        <v>428</v>
      </c>
      <c r="I316" s="33" t="s">
        <v>365</v>
      </c>
      <c r="J316" s="32" t="s">
        <v>25</v>
      </c>
      <c r="K316" s="34" t="str">
        <f aca="false">IF(OR(M316="",$E316=""),"",M316-$E316)</f>
        <v/>
      </c>
      <c r="L316" s="35" t="n">
        <f aca="false">IF(SUM(FA316:FN316)=0,"",SUM(EM316:EZ316)/SUM(FA316:FN316))</f>
        <v>100</v>
      </c>
      <c r="M316" s="36" t="n">
        <f aca="false">IF(OR(L316="",FO316=""),"",IFERROR(MATCH(L316,INDEX(Boundaries!$B$2:$I$30,MATCH(FO316,Boundaries!$A$2:$A$30,0),0),1)-1,""))</f>
        <v>7</v>
      </c>
      <c r="N316" s="37" t="str">
        <f aca="false">IF(COUNT($DY316:$EL316)&lt;2,"",INDEX($DK316:$DX316,MAX($DY316:$EL316))-INDEX($DK316:$DX316,MIN($DY316:$EL316)))</f>
        <v/>
      </c>
      <c r="O316" s="37" t="str">
        <f aca="false">IF(COUNT($DY316:$EL316)&lt;2,"",INDEX($DK316:$DX316,MAX($DY316:$EL316))-INDEX($DK316:$DX316,LARGE($DY316:$EL316,2)))</f>
        <v/>
      </c>
      <c r="P316" s="38" t="str">
        <f aca="false">IF(K316="","",IF(K316&gt;=0,"On/above target",IF(AND(N316&lt;&gt;"",N316&gt;=0.5),"Improving towards target",IF(AND(O316&lt;&gt;"",O316&lt;=-0.5),"Declining","Stable below target"))))</f>
        <v/>
      </c>
      <c r="Q316" s="39" t="n">
        <v>24</v>
      </c>
      <c r="R316" s="40" t="n">
        <f aca="false">IF(OR(Q316="",BU316=""),"",Q316/BU316*100)</f>
        <v>100</v>
      </c>
      <c r="S316" s="41" t="n">
        <f aca="false">IF(R316="","",IFERROR(MATCH(R316,INDEX(Boundaries!$B$2:$I$30,MATCH(CI316,Boundaries!$A$2:$A$30,0),0),1)-1,""))</f>
        <v>7</v>
      </c>
      <c r="T316" s="42" t="str">
        <f aca="false">IF(OR(S316="",$E316=""),"",S316-$E316)</f>
        <v/>
      </c>
      <c r="U316" s="39"/>
      <c r="V316" s="40" t="str">
        <f aca="false">IF(OR(U316="",BV316=""),"",U316/BV316*100)</f>
        <v/>
      </c>
      <c r="W316" s="41" t="str">
        <f aca="false">IF(V316="","",IFERROR(MATCH(V316,INDEX(Boundaries!$B$2:$I$30,MATCH(CJ316,Boundaries!$A$2:$A$30,0),0),1)-1,""))</f>
        <v/>
      </c>
      <c r="X316" s="42" t="str">
        <f aca="false">IF(OR(W316="",$E316=""),"",W316-$E316)</f>
        <v/>
      </c>
      <c r="Y316" s="39"/>
      <c r="Z316" s="40" t="str">
        <f aca="false">IF(OR(Y316="",BW316=""),"",Y316/BW316*100)</f>
        <v/>
      </c>
      <c r="AA316" s="41" t="str">
        <f aca="false">IF(Z316="","",IFERROR(MATCH(Z316,INDEX(Boundaries!$B$2:$I$30,MATCH(CK316,Boundaries!$A$2:$A$30,0),0),1)-1,""))</f>
        <v/>
      </c>
      <c r="AB316" s="42" t="str">
        <f aca="false">IF(OR(AA316="",$E316=""),"",AA316-$E316)</f>
        <v/>
      </c>
      <c r="AC316" s="39"/>
      <c r="AD316" s="40" t="str">
        <f aca="false">IF(OR(AC316="",BX316=""),"",AC316/BX316*100)</f>
        <v/>
      </c>
      <c r="AE316" s="41" t="str">
        <f aca="false">IF(AD316="","",IFERROR(MATCH(AD316,INDEX(Boundaries!$B$2:$I$30,MATCH(CL316,Boundaries!$A$2:$A$30,0),0),1)-1,""))</f>
        <v/>
      </c>
      <c r="AF316" s="42" t="str">
        <f aca="false">IF(OR(AE316="",$E316=""),"",AE316-$E316)</f>
        <v/>
      </c>
      <c r="AG316" s="39"/>
      <c r="AH316" s="40" t="str">
        <f aca="false">IF(OR(AG316="",BY316=""),"",AG316/BY316*100)</f>
        <v/>
      </c>
      <c r="AI316" s="41" t="str">
        <f aca="false">IF(AH316="","",IFERROR(MATCH(AH316,INDEX(Boundaries!$B$2:$I$30,MATCH(CM316,Boundaries!$A$2:$A$30,0),0),1)-1,""))</f>
        <v/>
      </c>
      <c r="AJ316" s="42" t="str">
        <f aca="false">IF(OR(AI316="",$E316=""),"",AI316-$E316)</f>
        <v/>
      </c>
      <c r="AK316" s="39"/>
      <c r="AL316" s="40" t="str">
        <f aca="false">IF(OR(AK316="",BZ316=""),"",AK316/BZ316*100)</f>
        <v/>
      </c>
      <c r="AM316" s="41" t="str">
        <f aca="false">IF(AL316="","",IFERROR(MATCH(AL316,INDEX(Boundaries!$B$2:$I$30,MATCH(CN316,Boundaries!$A$2:$A$30,0),0),1)-1,""))</f>
        <v/>
      </c>
      <c r="AN316" s="42" t="str">
        <f aca="false">IF(OR(AM316="",$E316=""),"",AM316-$E316)</f>
        <v/>
      </c>
      <c r="AO316" s="39"/>
      <c r="AP316" s="40" t="str">
        <f aca="false">IF(OR(AO316="",CA316=""),"",AO316/CA316*100)</f>
        <v/>
      </c>
      <c r="AQ316" s="41" t="str">
        <f aca="false">IF(AP316="","",IFERROR(MATCH(AP316,INDEX(Boundaries!$B$2:$I$30,MATCH(CO316,Boundaries!$A$2:$A$30,0),0),1)-1,""))</f>
        <v/>
      </c>
      <c r="AR316" s="42" t="str">
        <f aca="false">IF(OR(AQ316="",$E316=""),"",AQ316-$E316)</f>
        <v/>
      </c>
      <c r="AS316" s="39"/>
      <c r="AT316" s="40" t="str">
        <f aca="false">IF(OR(AS316="",CB316=""),"",AS316/CB316*100)</f>
        <v/>
      </c>
      <c r="AU316" s="41" t="str">
        <f aca="false">IF(AT316="","",IFERROR(MATCH(AT316,INDEX(Boundaries!$B$2:$I$30,MATCH(CP316,Boundaries!$A$2:$A$30,0),0),1)-1,""))</f>
        <v/>
      </c>
      <c r="AV316" s="42" t="str">
        <f aca="false">IF(OR(AU316="",$E316=""),"",AU316-$E316)</f>
        <v/>
      </c>
      <c r="AW316" s="39"/>
      <c r="AX316" s="40" t="str">
        <f aca="false">IF(OR(AW316="",CC316=""),"",AW316/CC316*100)</f>
        <v/>
      </c>
      <c r="AY316" s="41" t="str">
        <f aca="false">IF(AX316="","",IFERROR(MATCH(AX316,INDEX(Boundaries!$B$2:$I$30,MATCH(CQ316,Boundaries!$A$2:$A$30,0),0),1)-1,""))</f>
        <v/>
      </c>
      <c r="AZ316" s="42" t="str">
        <f aca="false">IF(OR(AY316="",$E316=""),"",AY316-$E316)</f>
        <v/>
      </c>
      <c r="BA316" s="39"/>
      <c r="BB316" s="40" t="str">
        <f aca="false">IF(OR(BA316="",CD316=""),"",BA316/CD316*100)</f>
        <v/>
      </c>
      <c r="BC316" s="41" t="str">
        <f aca="false">IF(BB316="","",IFERROR(MATCH(BB316,INDEX(Boundaries!$B$2:$I$30,MATCH(CR316,Boundaries!$A$2:$A$30,0),0),1)-1,""))</f>
        <v/>
      </c>
      <c r="BD316" s="42" t="str">
        <f aca="false">IF(OR(BC316="",$E316=""),"",BC316-$E316)</f>
        <v/>
      </c>
      <c r="BE316" s="39"/>
      <c r="BF316" s="40" t="str">
        <f aca="false">IF(OR(BE316="",CE316=""),"",BE316/CE316*100)</f>
        <v/>
      </c>
      <c r="BG316" s="41" t="str">
        <f aca="false">IF(BF316="","",IFERROR(MATCH(BF316,INDEX(Boundaries!$B$2:$I$30,MATCH(CS316,Boundaries!$A$2:$A$30,0),0),1)-1,""))</f>
        <v/>
      </c>
      <c r="BH316" s="42" t="str">
        <f aca="false">IF(OR(BG316="",$E316=""),"",BG316-$E316)</f>
        <v/>
      </c>
      <c r="BI316" s="39"/>
      <c r="BJ316" s="40" t="str">
        <f aca="false">IF(OR(BI316="",CF316=""),"",BI316/CF316*100)</f>
        <v/>
      </c>
      <c r="BK316" s="41" t="str">
        <f aca="false">IF(BJ316="","",IFERROR(MATCH(BJ316,INDEX(Boundaries!$B$2:$I$30,MATCH(CT316,Boundaries!$A$2:$A$30,0),0),1)-1,""))</f>
        <v/>
      </c>
      <c r="BL316" s="42" t="str">
        <f aca="false">IF(OR(BK316="",$E316=""),"",BK316-$E316)</f>
        <v/>
      </c>
      <c r="BM316" s="39"/>
      <c r="BN316" s="40" t="str">
        <f aca="false">IF(OR(BM316="",CG316=""),"",BM316/CG316*100)</f>
        <v/>
      </c>
      <c r="BO316" s="41" t="str">
        <f aca="false">IF(BN316="","",IFERROR(MATCH(BN316,INDEX(Boundaries!$B$2:$I$30,MATCH(CU316,Boundaries!$A$2:$A$30,0),0),1)-1,""))</f>
        <v/>
      </c>
      <c r="BP316" s="42" t="str">
        <f aca="false">IF(OR(BO316="",$E316=""),"",BO316-$E316)</f>
        <v/>
      </c>
      <c r="BQ316" s="39"/>
      <c r="BR316" s="40" t="str">
        <f aca="false">IF(OR(BQ316="",CH316=""),"",BQ316/CH316*100)</f>
        <v/>
      </c>
      <c r="BS316" s="41" t="str">
        <f aca="false">IF(BR316="","",IFERROR(MATCH(BR316,INDEX(Boundaries!$B$2:$I$30,MATCH(CV316,Boundaries!$A$2:$A$30,0),0),1)-1,""))</f>
        <v/>
      </c>
      <c r="BT316" s="42" t="str">
        <f aca="false">IF(OR(BS316="",$E316=""),"",BS316-$E316)</f>
        <v/>
      </c>
      <c r="BU316" s="28" t="n">
        <f aca="false">IFERROR(INDEX(Assessments!$H$2:$H$600,MATCH($H316&amp;"|"&amp;$I316&amp;"|"&amp;$J316&amp;"|"&amp;1,Assessments!$A$2:$A$600,0)),"")</f>
        <v>24</v>
      </c>
      <c r="BV316" s="28" t="n">
        <f aca="false">IFERROR(INDEX(Assessments!$H$2:$H$600,MATCH($H316&amp;"|"&amp;$I316&amp;"|"&amp;$J316&amp;"|"&amp;2,Assessments!$A$2:$A$600,0)),"")</f>
        <v>20</v>
      </c>
      <c r="BW316" s="28" t="n">
        <f aca="false">IFERROR(INDEX(Assessments!$H$2:$H$600,MATCH($H316&amp;"|"&amp;$I316&amp;"|"&amp;$J316&amp;"|"&amp;3,Assessments!$A$2:$A$600,0)),"")</f>
        <v>20</v>
      </c>
      <c r="BX316" s="28" t="n">
        <f aca="false">IFERROR(INDEX(Assessments!$H$2:$H$600,MATCH($H316&amp;"|"&amp;$I316&amp;"|"&amp;$J316&amp;"|"&amp;4,Assessments!$A$2:$A$600,0)),"")</f>
        <v>40</v>
      </c>
      <c r="BY316" s="28" t="n">
        <f aca="false">IFERROR(INDEX(Assessments!$H$2:$H$600,MATCH($H316&amp;"|"&amp;$I316&amp;"|"&amp;$J316&amp;"|"&amp;5,Assessments!$A$2:$A$600,0)),"")</f>
        <v>30</v>
      </c>
      <c r="BZ316" s="28" t="n">
        <f aca="false">IFERROR(INDEX(Assessments!$H$2:$H$600,MATCH($H316&amp;"|"&amp;$I316&amp;"|"&amp;$J316&amp;"|"&amp;6,Assessments!$A$2:$A$600,0)),"")</f>
        <v>20</v>
      </c>
      <c r="CA316" s="28" t="n">
        <f aca="false">IFERROR(INDEX(Assessments!$H$2:$H$600,MATCH($H316&amp;"|"&amp;$I316&amp;"|"&amp;$J316&amp;"|"&amp;7,Assessments!$A$2:$A$600,0)),"")</f>
        <v>50</v>
      </c>
      <c r="CB316" s="28" t="str">
        <f aca="false">IFERROR(INDEX(Assessments!$H$2:$H$600,MATCH($H316&amp;"|"&amp;$I316&amp;"|"&amp;$J316&amp;"|"&amp;8,Assessments!$A$2:$A$600,0)),"")</f>
        <v/>
      </c>
      <c r="CC316" s="28" t="str">
        <f aca="false">IFERROR(INDEX(Assessments!$H$2:$H$600,MATCH($H316&amp;"|"&amp;$I316&amp;"|"&amp;$J316&amp;"|"&amp;9,Assessments!$A$2:$A$600,0)),"")</f>
        <v/>
      </c>
      <c r="CD316" s="28" t="str">
        <f aca="false">IFERROR(INDEX(Assessments!$H$2:$H$600,MATCH($H316&amp;"|"&amp;$I316&amp;"|"&amp;$J316&amp;"|"&amp;10,Assessments!$A$2:$A$600,0)),"")</f>
        <v/>
      </c>
      <c r="CE316" s="28" t="str">
        <f aca="false">IFERROR(INDEX(Assessments!$H$2:$H$600,MATCH($H316&amp;"|"&amp;$I316&amp;"|"&amp;$J316&amp;"|"&amp;11,Assessments!$A$2:$A$600,0)),"")</f>
        <v/>
      </c>
      <c r="CF316" s="28" t="str">
        <f aca="false">IFERROR(INDEX(Assessments!$H$2:$H$600,MATCH($H316&amp;"|"&amp;$I316&amp;"|"&amp;$J316&amp;"|"&amp;12,Assessments!$A$2:$A$600,0)),"")</f>
        <v/>
      </c>
      <c r="CG316" s="28" t="str">
        <f aca="false">IFERROR(INDEX(Assessments!$H$2:$H$600,MATCH($H316&amp;"|"&amp;$I316&amp;"|"&amp;$J316&amp;"|"&amp;13,Assessments!$A$2:$A$600,0)),"")</f>
        <v/>
      </c>
      <c r="CH316" s="28" t="str">
        <f aca="false">IFERROR(INDEX(Assessments!$H$2:$H$600,MATCH($H316&amp;"|"&amp;$I316&amp;"|"&amp;$J316&amp;"|"&amp;14,Assessments!$A$2:$A$600,0)),"")</f>
        <v/>
      </c>
      <c r="CI316" s="28" t="str">
        <f aca="false">IFERROR(INDEX(Assessments!$I$2:$I$600,MATCH($H316&amp;"|"&amp;$I316&amp;"|"&amp;$J316&amp;"|"&amp;1,Assessments!$A$2:$A$600,0)),"")</f>
        <v>BM Test</v>
      </c>
      <c r="CJ316" s="28" t="str">
        <f aca="false">IFERROR(INDEX(Assessments!$I$2:$I$600,MATCH($H316&amp;"|"&amp;$I316&amp;"|"&amp;$J316&amp;"|"&amp;2,Assessments!$A$2:$A$600,0)),"")</f>
        <v>BM Test</v>
      </c>
      <c r="CK316" s="28" t="str">
        <f aca="false">IFERROR(INDEX(Assessments!$I$2:$I$600,MATCH($H316&amp;"|"&amp;$I316&amp;"|"&amp;$J316&amp;"|"&amp;3,Assessments!$A$2:$A$600,0)),"")</f>
        <v>BM Test</v>
      </c>
      <c r="CL316" s="28" t="str">
        <f aca="false">IFERROR(INDEX(Assessments!$I$2:$I$600,MATCH($H316&amp;"|"&amp;$I316&amp;"|"&amp;$J316&amp;"|"&amp;4,Assessments!$A$2:$A$600,0)),"")</f>
        <v>BM Exam</v>
      </c>
      <c r="CM316" s="28" t="str">
        <f aca="false">IFERROR(INDEX(Assessments!$I$2:$I$600,MATCH($H316&amp;"|"&amp;$I316&amp;"|"&amp;$J316&amp;"|"&amp;5,Assessments!$A$2:$A$600,0)),"")</f>
        <v>BM Test</v>
      </c>
      <c r="CN316" s="28" t="str">
        <f aca="false">IFERROR(INDEX(Assessments!$I$2:$I$600,MATCH($H316&amp;"|"&amp;$I316&amp;"|"&amp;$J316&amp;"|"&amp;6,Assessments!$A$2:$A$600,0)),"")</f>
        <v>BM Test</v>
      </c>
      <c r="CO316" s="28" t="str">
        <f aca="false">IFERROR(INDEX(Assessments!$I$2:$I$600,MATCH($H316&amp;"|"&amp;$I316&amp;"|"&amp;$J316&amp;"|"&amp;7,Assessments!$A$2:$A$600,0)),"")</f>
        <v>BM Exam</v>
      </c>
      <c r="CP316" s="28" t="str">
        <f aca="false">IFERROR(INDEX(Assessments!$I$2:$I$600,MATCH($H316&amp;"|"&amp;$I316&amp;"|"&amp;$J316&amp;"|"&amp;8,Assessments!$A$2:$A$600,0)),"")</f>
        <v/>
      </c>
      <c r="CQ316" s="28" t="str">
        <f aca="false">IFERROR(INDEX(Assessments!$I$2:$I$600,MATCH($H316&amp;"|"&amp;$I316&amp;"|"&amp;$J316&amp;"|"&amp;9,Assessments!$A$2:$A$600,0)),"")</f>
        <v/>
      </c>
      <c r="CR316" s="28" t="str">
        <f aca="false">IFERROR(INDEX(Assessments!$I$2:$I$600,MATCH($H316&amp;"|"&amp;$I316&amp;"|"&amp;$J316&amp;"|"&amp;10,Assessments!$A$2:$A$600,0)),"")</f>
        <v/>
      </c>
      <c r="CS316" s="28" t="str">
        <f aca="false">IFERROR(INDEX(Assessments!$I$2:$I$600,MATCH($H316&amp;"|"&amp;$I316&amp;"|"&amp;$J316&amp;"|"&amp;11,Assessments!$A$2:$A$600,0)),"")</f>
        <v/>
      </c>
      <c r="CT316" s="28" t="str">
        <f aca="false">IFERROR(INDEX(Assessments!$I$2:$I$600,MATCH($H316&amp;"|"&amp;$I316&amp;"|"&amp;$J316&amp;"|"&amp;12,Assessments!$A$2:$A$600,0)),"")</f>
        <v/>
      </c>
      <c r="CU316" s="28" t="str">
        <f aca="false">IFERROR(INDEX(Assessments!$I$2:$I$600,MATCH($H316&amp;"|"&amp;$I316&amp;"|"&amp;$J316&amp;"|"&amp;13,Assessments!$A$2:$A$600,0)),"")</f>
        <v/>
      </c>
      <c r="CV316" s="28" t="str">
        <f aca="false">IFERROR(INDEX(Assessments!$I$2:$I$600,MATCH($H316&amp;"|"&amp;$I316&amp;"|"&amp;$J316&amp;"|"&amp;14,Assessments!$A$2:$A$600,0)),"")</f>
        <v/>
      </c>
      <c r="CW316" s="28" t="n">
        <f aca="false">IFERROR(INDEX(Assessments!$J$2:$J$600,MATCH($H316&amp;"|"&amp;$I316&amp;"|"&amp;$J316&amp;"|"&amp;1,Assessments!$A$2:$A$600,0)),0)</f>
        <v>1</v>
      </c>
      <c r="CX316" s="28" t="n">
        <f aca="false">IFERROR(INDEX(Assessments!$J$2:$J$600,MATCH($H316&amp;"|"&amp;$I316&amp;"|"&amp;$J316&amp;"|"&amp;2,Assessments!$A$2:$A$600,0)),0)</f>
        <v>1</v>
      </c>
      <c r="CY316" s="28" t="n">
        <f aca="false">IFERROR(INDEX(Assessments!$J$2:$J$600,MATCH($H316&amp;"|"&amp;$I316&amp;"|"&amp;$J316&amp;"|"&amp;3,Assessments!$A$2:$A$600,0)),0)</f>
        <v>1</v>
      </c>
      <c r="CZ316" s="28" t="n">
        <f aca="false">IFERROR(INDEX(Assessments!$J$2:$J$600,MATCH($H316&amp;"|"&amp;$I316&amp;"|"&amp;$J316&amp;"|"&amp;4,Assessments!$A$2:$A$600,0)),0)</f>
        <v>2</v>
      </c>
      <c r="DA316" s="28" t="n">
        <f aca="false">IFERROR(INDEX(Assessments!$J$2:$J$600,MATCH($H316&amp;"|"&amp;$I316&amp;"|"&amp;$J316&amp;"|"&amp;5,Assessments!$A$2:$A$600,0)),0)</f>
        <v>1</v>
      </c>
      <c r="DB316" s="28" t="n">
        <f aca="false">IFERROR(INDEX(Assessments!$J$2:$J$600,MATCH($H316&amp;"|"&amp;$I316&amp;"|"&amp;$J316&amp;"|"&amp;6,Assessments!$A$2:$A$600,0)),0)</f>
        <v>1</v>
      </c>
      <c r="DC316" s="28" t="n">
        <f aca="false">IFERROR(INDEX(Assessments!$J$2:$J$600,MATCH($H316&amp;"|"&amp;$I316&amp;"|"&amp;$J316&amp;"|"&amp;7,Assessments!$A$2:$A$600,0)),0)</f>
        <v>2</v>
      </c>
      <c r="DD316" s="28" t="n">
        <f aca="false">IFERROR(INDEX(Assessments!$J$2:$J$600,MATCH($H316&amp;"|"&amp;$I316&amp;"|"&amp;$J316&amp;"|"&amp;8,Assessments!$A$2:$A$600,0)),0)</f>
        <v>0</v>
      </c>
      <c r="DE316" s="28" t="n">
        <f aca="false">IFERROR(INDEX(Assessments!$J$2:$J$600,MATCH($H316&amp;"|"&amp;$I316&amp;"|"&amp;$J316&amp;"|"&amp;9,Assessments!$A$2:$A$600,0)),0)</f>
        <v>0</v>
      </c>
      <c r="DF316" s="28" t="n">
        <f aca="false">IFERROR(INDEX(Assessments!$J$2:$J$600,MATCH($H316&amp;"|"&amp;$I316&amp;"|"&amp;$J316&amp;"|"&amp;10,Assessments!$A$2:$A$600,0)),0)</f>
        <v>0</v>
      </c>
      <c r="DG316" s="28" t="n">
        <f aca="false">IFERROR(INDEX(Assessments!$J$2:$J$600,MATCH($H316&amp;"|"&amp;$I316&amp;"|"&amp;$J316&amp;"|"&amp;11,Assessments!$A$2:$A$600,0)),0)</f>
        <v>0</v>
      </c>
      <c r="DH316" s="28" t="n">
        <f aca="false">IFERROR(INDEX(Assessments!$J$2:$J$600,MATCH($H316&amp;"|"&amp;$I316&amp;"|"&amp;$J316&amp;"|"&amp;12,Assessments!$A$2:$A$600,0)),0)</f>
        <v>0</v>
      </c>
      <c r="DI316" s="28" t="n">
        <f aca="false">IFERROR(INDEX(Assessments!$J$2:$J$600,MATCH($H316&amp;"|"&amp;$I316&amp;"|"&amp;$J316&amp;"|"&amp;13,Assessments!$A$2:$A$600,0)),0)</f>
        <v>0</v>
      </c>
      <c r="DJ316" s="28" t="n">
        <f aca="false">IFERROR(INDEX(Assessments!$J$2:$J$600,MATCH($H316&amp;"|"&amp;$I316&amp;"|"&amp;$J316&amp;"|"&amp;14,Assessments!$A$2:$A$600,0)),0)</f>
        <v>0</v>
      </c>
      <c r="DK316" s="28" t="n">
        <f aca="false">S316</f>
        <v>7</v>
      </c>
      <c r="DL316" s="28" t="str">
        <f aca="false">W316</f>
        <v/>
      </c>
      <c r="DM316" s="28" t="str">
        <f aca="false">AA316</f>
        <v/>
      </c>
      <c r="DN316" s="28" t="str">
        <f aca="false">AE316</f>
        <v/>
      </c>
      <c r="DO316" s="28" t="str">
        <f aca="false">AI316</f>
        <v/>
      </c>
      <c r="DP316" s="28" t="str">
        <f aca="false">AM316</f>
        <v/>
      </c>
      <c r="DQ316" s="28" t="str">
        <f aca="false">AQ316</f>
        <v/>
      </c>
      <c r="DR316" s="28" t="str">
        <f aca="false">AU316</f>
        <v/>
      </c>
      <c r="DS316" s="28" t="str">
        <f aca="false">AY316</f>
        <v/>
      </c>
      <c r="DT316" s="28" t="str">
        <f aca="false">BC316</f>
        <v/>
      </c>
      <c r="DU316" s="28" t="str">
        <f aca="false">BG316</f>
        <v/>
      </c>
      <c r="DV316" s="28" t="str">
        <f aca="false">BK316</f>
        <v/>
      </c>
      <c r="DW316" s="28" t="str">
        <f aca="false">BO316</f>
        <v/>
      </c>
      <c r="DX316" s="28" t="str">
        <f aca="false">BS316</f>
        <v/>
      </c>
      <c r="DY316" s="28" t="n">
        <f aca="false">IF(ISNUMBER(S316),1,"")</f>
        <v>1</v>
      </c>
      <c r="DZ316" s="28" t="str">
        <f aca="false">IF(ISNUMBER(W316),2,"")</f>
        <v/>
      </c>
      <c r="EA316" s="28" t="str">
        <f aca="false">IF(ISNUMBER(AA316),3,"")</f>
        <v/>
      </c>
      <c r="EB316" s="28" t="str">
        <f aca="false">IF(ISNUMBER(AE316),4,"")</f>
        <v/>
      </c>
      <c r="EC316" s="28" t="str">
        <f aca="false">IF(ISNUMBER(AI316),5,"")</f>
        <v/>
      </c>
      <c r="ED316" s="28" t="str">
        <f aca="false">IF(ISNUMBER(AM316),6,"")</f>
        <v/>
      </c>
      <c r="EE316" s="28" t="str">
        <f aca="false">IF(ISNUMBER(AQ316),7,"")</f>
        <v/>
      </c>
      <c r="EF316" s="28" t="str">
        <f aca="false">IF(ISNUMBER(AU316),8,"")</f>
        <v/>
      </c>
      <c r="EG316" s="28" t="str">
        <f aca="false">IF(ISNUMBER(AY316),9,"")</f>
        <v/>
      </c>
      <c r="EH316" s="28" t="str">
        <f aca="false">IF(ISNUMBER(BC316),10,"")</f>
        <v/>
      </c>
      <c r="EI316" s="28" t="str">
        <f aca="false">IF(ISNUMBER(BG316),11,"")</f>
        <v/>
      </c>
      <c r="EJ316" s="28" t="str">
        <f aca="false">IF(ISNUMBER(BK316),12,"")</f>
        <v/>
      </c>
      <c r="EK316" s="28" t="str">
        <f aca="false">IF(ISNUMBER(BO316),13,"")</f>
        <v/>
      </c>
      <c r="EL316" s="28" t="str">
        <f aca="false">IF(ISNUMBER(BS316),14,"")</f>
        <v/>
      </c>
      <c r="EM316" s="28" t="n">
        <f aca="false">IF(ISNUMBER(R316),R316*CW316,0)</f>
        <v>100</v>
      </c>
      <c r="EN316" s="28" t="n">
        <f aca="false">IF(ISNUMBER(V316),V316*CX316,0)</f>
        <v>0</v>
      </c>
      <c r="EO316" s="28" t="n">
        <f aca="false">IF(ISNUMBER(Z316),Z316*CY316,0)</f>
        <v>0</v>
      </c>
      <c r="EP316" s="28" t="n">
        <f aca="false">IF(ISNUMBER(AD316),AD316*CZ316,0)</f>
        <v>0</v>
      </c>
      <c r="EQ316" s="28" t="n">
        <f aca="false">IF(ISNUMBER(AH316),AH316*DA316,0)</f>
        <v>0</v>
      </c>
      <c r="ER316" s="28" t="n">
        <f aca="false">IF(ISNUMBER(AL316),AL316*DB316,0)</f>
        <v>0</v>
      </c>
      <c r="ES316" s="28" t="n">
        <f aca="false">IF(ISNUMBER(AP316),AP316*DC316,0)</f>
        <v>0</v>
      </c>
      <c r="ET316" s="28" t="n">
        <f aca="false">IF(ISNUMBER(AT316),AT316*DD316,0)</f>
        <v>0</v>
      </c>
      <c r="EU316" s="28" t="n">
        <f aca="false">IF(ISNUMBER(AX316),AX316*DE316,0)</f>
        <v>0</v>
      </c>
      <c r="EV316" s="28" t="n">
        <f aca="false">IF(ISNUMBER(BB316),BB316*DF316,0)</f>
        <v>0</v>
      </c>
      <c r="EW316" s="28" t="n">
        <f aca="false">IF(ISNUMBER(BF316),BF316*DG316,0)</f>
        <v>0</v>
      </c>
      <c r="EX316" s="28" t="n">
        <f aca="false">IF(ISNUMBER(BJ316),BJ316*DH316,0)</f>
        <v>0</v>
      </c>
      <c r="EY316" s="28" t="n">
        <f aca="false">IF(ISNUMBER(BN316),BN316*DI316,0)</f>
        <v>0</v>
      </c>
      <c r="EZ316" s="28" t="n">
        <f aca="false">IF(ISNUMBER(BR316),BR316*DJ316,0)</f>
        <v>0</v>
      </c>
      <c r="FA316" s="28" t="n">
        <f aca="false">IF(ISNUMBER(R316),CW316,0)</f>
        <v>1</v>
      </c>
      <c r="FB316" s="28" t="n">
        <f aca="false">IF(ISNUMBER(V316),CX316,0)</f>
        <v>0</v>
      </c>
      <c r="FC316" s="28" t="n">
        <f aca="false">IF(ISNUMBER(Z316),CY316,0)</f>
        <v>0</v>
      </c>
      <c r="FD316" s="28" t="n">
        <f aca="false">IF(ISNUMBER(AD316),CZ316,0)</f>
        <v>0</v>
      </c>
      <c r="FE316" s="28" t="n">
        <f aca="false">IF(ISNUMBER(AH316),DA316,0)</f>
        <v>0</v>
      </c>
      <c r="FF316" s="28" t="n">
        <f aca="false">IF(ISNUMBER(AL316),DB316,0)</f>
        <v>0</v>
      </c>
      <c r="FG316" s="28" t="n">
        <f aca="false">IF(ISNUMBER(AP316),DC316,0)</f>
        <v>0</v>
      </c>
      <c r="FH316" s="28" t="n">
        <f aca="false">IF(ISNUMBER(AT316),DD316,0)</f>
        <v>0</v>
      </c>
      <c r="FI316" s="28" t="n">
        <f aca="false">IF(ISNUMBER(AX316),DE316,0)</f>
        <v>0</v>
      </c>
      <c r="FJ316" s="28" t="n">
        <f aca="false">IF(ISNUMBER(BB316),DF316,0)</f>
        <v>0</v>
      </c>
      <c r="FK316" s="28" t="n">
        <f aca="false">IF(ISNUMBER(BF316),DG316,0)</f>
        <v>0</v>
      </c>
      <c r="FL316" s="28" t="n">
        <f aca="false">IF(ISNUMBER(BJ316),DH316,0)</f>
        <v>0</v>
      </c>
      <c r="FM316" s="28" t="n">
        <f aca="false">IF(ISNUMBER(BN316),DI316,0)</f>
        <v>0</v>
      </c>
      <c r="FN316" s="28" t="n">
        <f aca="false">IF(ISNUMBER(BR316),DJ316,0)</f>
        <v>0</v>
      </c>
      <c r="FO316" s="28" t="str">
        <f aca="false">IFERROR(INDEX(Lists!$G$2:$G$20,MATCH($I316&amp;"|"&amp;$J316,Lists!$F$2:$F$20,0)),"")</f>
        <v>BM Exam</v>
      </c>
    </row>
    <row r="317" customFormat="false" ht="19.5" hidden="false" customHeight="true" outlineLevel="0" collapsed="false">
      <c r="A317" s="29" t="s">
        <v>617</v>
      </c>
      <c r="B317" s="29" t="s">
        <v>618</v>
      </c>
      <c r="C317" s="30" t="s">
        <v>152</v>
      </c>
      <c r="D317" s="30" t="s">
        <v>408</v>
      </c>
      <c r="E317" s="31"/>
      <c r="F317" s="30"/>
      <c r="G317" s="30"/>
      <c r="H317" s="32" t="s">
        <v>428</v>
      </c>
      <c r="I317" s="33" t="s">
        <v>365</v>
      </c>
      <c r="J317" s="32" t="s">
        <v>25</v>
      </c>
      <c r="K317" s="34" t="str">
        <f aca="false">IF(OR(M317="",$E317=""),"",M317-$E317)</f>
        <v/>
      </c>
      <c r="L317" s="35" t="n">
        <f aca="false">IF(SUM(FA317:FN317)=0,"",SUM(EM317:EZ317)/SUM(FA317:FN317))</f>
        <v>83.3333333333333</v>
      </c>
      <c r="M317" s="36" t="n">
        <f aca="false">IF(OR(L317="",FO317=""),"",IFERROR(MATCH(L317,INDEX(Boundaries!$B$2:$I$30,MATCH(FO317,Boundaries!$A$2:$A$30,0),0),1)-1,""))</f>
        <v>7</v>
      </c>
      <c r="N317" s="37" t="str">
        <f aca="false">IF(COUNT($DY317:$EL317)&lt;2,"",INDEX($DK317:$DX317,MAX($DY317:$EL317))-INDEX($DK317:$DX317,MIN($DY317:$EL317)))</f>
        <v/>
      </c>
      <c r="O317" s="37" t="str">
        <f aca="false">IF(COUNT($DY317:$EL317)&lt;2,"",INDEX($DK317:$DX317,MAX($DY317:$EL317))-INDEX($DK317:$DX317,LARGE($DY317:$EL317,2)))</f>
        <v/>
      </c>
      <c r="P317" s="38" t="str">
        <f aca="false">IF(K317="","",IF(K317&gt;=0,"On/above target",IF(AND(N317&lt;&gt;"",N317&gt;=0.5),"Improving towards target",IF(AND(O317&lt;&gt;"",O317&lt;=-0.5),"Declining","Stable below target"))))</f>
        <v/>
      </c>
      <c r="Q317" s="39" t="n">
        <v>20</v>
      </c>
      <c r="R317" s="40" t="n">
        <f aca="false">IF(OR(Q317="",BU317=""),"",Q317/BU317*100)</f>
        <v>83.3333333333333</v>
      </c>
      <c r="S317" s="41" t="n">
        <f aca="false">IF(R317="","",IFERROR(MATCH(R317,INDEX(Boundaries!$B$2:$I$30,MATCH(CI317,Boundaries!$A$2:$A$30,0),0),1)-1,""))</f>
        <v>7</v>
      </c>
      <c r="T317" s="42" t="str">
        <f aca="false">IF(OR(S317="",$E317=""),"",S317-$E317)</f>
        <v/>
      </c>
      <c r="U317" s="39"/>
      <c r="V317" s="40" t="str">
        <f aca="false">IF(OR(U317="",BV317=""),"",U317/BV317*100)</f>
        <v/>
      </c>
      <c r="W317" s="41" t="str">
        <f aca="false">IF(V317="","",IFERROR(MATCH(V317,INDEX(Boundaries!$B$2:$I$30,MATCH(CJ317,Boundaries!$A$2:$A$30,0),0),1)-1,""))</f>
        <v/>
      </c>
      <c r="X317" s="42" t="str">
        <f aca="false">IF(OR(W317="",$E317=""),"",W317-$E317)</f>
        <v/>
      </c>
      <c r="Y317" s="39"/>
      <c r="Z317" s="40" t="str">
        <f aca="false">IF(OR(Y317="",BW317=""),"",Y317/BW317*100)</f>
        <v/>
      </c>
      <c r="AA317" s="41" t="str">
        <f aca="false">IF(Z317="","",IFERROR(MATCH(Z317,INDEX(Boundaries!$B$2:$I$30,MATCH(CK317,Boundaries!$A$2:$A$30,0),0),1)-1,""))</f>
        <v/>
      </c>
      <c r="AB317" s="42" t="str">
        <f aca="false">IF(OR(AA317="",$E317=""),"",AA317-$E317)</f>
        <v/>
      </c>
      <c r="AC317" s="39"/>
      <c r="AD317" s="40" t="str">
        <f aca="false">IF(OR(AC317="",BX317=""),"",AC317/BX317*100)</f>
        <v/>
      </c>
      <c r="AE317" s="41" t="str">
        <f aca="false">IF(AD317="","",IFERROR(MATCH(AD317,INDEX(Boundaries!$B$2:$I$30,MATCH(CL317,Boundaries!$A$2:$A$30,0),0),1)-1,""))</f>
        <v/>
      </c>
      <c r="AF317" s="42" t="str">
        <f aca="false">IF(OR(AE317="",$E317=""),"",AE317-$E317)</f>
        <v/>
      </c>
      <c r="AG317" s="39"/>
      <c r="AH317" s="40" t="str">
        <f aca="false">IF(OR(AG317="",BY317=""),"",AG317/BY317*100)</f>
        <v/>
      </c>
      <c r="AI317" s="41" t="str">
        <f aca="false">IF(AH317="","",IFERROR(MATCH(AH317,INDEX(Boundaries!$B$2:$I$30,MATCH(CM317,Boundaries!$A$2:$A$30,0),0),1)-1,""))</f>
        <v/>
      </c>
      <c r="AJ317" s="42" t="str">
        <f aca="false">IF(OR(AI317="",$E317=""),"",AI317-$E317)</f>
        <v/>
      </c>
      <c r="AK317" s="39"/>
      <c r="AL317" s="40" t="str">
        <f aca="false">IF(OR(AK317="",BZ317=""),"",AK317/BZ317*100)</f>
        <v/>
      </c>
      <c r="AM317" s="41" t="str">
        <f aca="false">IF(AL317="","",IFERROR(MATCH(AL317,INDEX(Boundaries!$B$2:$I$30,MATCH(CN317,Boundaries!$A$2:$A$30,0),0),1)-1,""))</f>
        <v/>
      </c>
      <c r="AN317" s="42" t="str">
        <f aca="false">IF(OR(AM317="",$E317=""),"",AM317-$E317)</f>
        <v/>
      </c>
      <c r="AO317" s="39"/>
      <c r="AP317" s="40" t="str">
        <f aca="false">IF(OR(AO317="",CA317=""),"",AO317/CA317*100)</f>
        <v/>
      </c>
      <c r="AQ317" s="41" t="str">
        <f aca="false">IF(AP317="","",IFERROR(MATCH(AP317,INDEX(Boundaries!$B$2:$I$30,MATCH(CO317,Boundaries!$A$2:$A$30,0),0),1)-1,""))</f>
        <v/>
      </c>
      <c r="AR317" s="42" t="str">
        <f aca="false">IF(OR(AQ317="",$E317=""),"",AQ317-$E317)</f>
        <v/>
      </c>
      <c r="AS317" s="39"/>
      <c r="AT317" s="40" t="str">
        <f aca="false">IF(OR(AS317="",CB317=""),"",AS317/CB317*100)</f>
        <v/>
      </c>
      <c r="AU317" s="41" t="str">
        <f aca="false">IF(AT317="","",IFERROR(MATCH(AT317,INDEX(Boundaries!$B$2:$I$30,MATCH(CP317,Boundaries!$A$2:$A$30,0),0),1)-1,""))</f>
        <v/>
      </c>
      <c r="AV317" s="42" t="str">
        <f aca="false">IF(OR(AU317="",$E317=""),"",AU317-$E317)</f>
        <v/>
      </c>
      <c r="AW317" s="39"/>
      <c r="AX317" s="40" t="str">
        <f aca="false">IF(OR(AW317="",CC317=""),"",AW317/CC317*100)</f>
        <v/>
      </c>
      <c r="AY317" s="41" t="str">
        <f aca="false">IF(AX317="","",IFERROR(MATCH(AX317,INDEX(Boundaries!$B$2:$I$30,MATCH(CQ317,Boundaries!$A$2:$A$30,0),0),1)-1,""))</f>
        <v/>
      </c>
      <c r="AZ317" s="42" t="str">
        <f aca="false">IF(OR(AY317="",$E317=""),"",AY317-$E317)</f>
        <v/>
      </c>
      <c r="BA317" s="39"/>
      <c r="BB317" s="40" t="str">
        <f aca="false">IF(OR(BA317="",CD317=""),"",BA317/CD317*100)</f>
        <v/>
      </c>
      <c r="BC317" s="41" t="str">
        <f aca="false">IF(BB317="","",IFERROR(MATCH(BB317,INDEX(Boundaries!$B$2:$I$30,MATCH(CR317,Boundaries!$A$2:$A$30,0),0),1)-1,""))</f>
        <v/>
      </c>
      <c r="BD317" s="42" t="str">
        <f aca="false">IF(OR(BC317="",$E317=""),"",BC317-$E317)</f>
        <v/>
      </c>
      <c r="BE317" s="39"/>
      <c r="BF317" s="40" t="str">
        <f aca="false">IF(OR(BE317="",CE317=""),"",BE317/CE317*100)</f>
        <v/>
      </c>
      <c r="BG317" s="41" t="str">
        <f aca="false">IF(BF317="","",IFERROR(MATCH(BF317,INDEX(Boundaries!$B$2:$I$30,MATCH(CS317,Boundaries!$A$2:$A$30,0),0),1)-1,""))</f>
        <v/>
      </c>
      <c r="BH317" s="42" t="str">
        <f aca="false">IF(OR(BG317="",$E317=""),"",BG317-$E317)</f>
        <v/>
      </c>
      <c r="BI317" s="39"/>
      <c r="BJ317" s="40" t="str">
        <f aca="false">IF(OR(BI317="",CF317=""),"",BI317/CF317*100)</f>
        <v/>
      </c>
      <c r="BK317" s="41" t="str">
        <f aca="false">IF(BJ317="","",IFERROR(MATCH(BJ317,INDEX(Boundaries!$B$2:$I$30,MATCH(CT317,Boundaries!$A$2:$A$30,0),0),1)-1,""))</f>
        <v/>
      </c>
      <c r="BL317" s="42" t="str">
        <f aca="false">IF(OR(BK317="",$E317=""),"",BK317-$E317)</f>
        <v/>
      </c>
      <c r="BM317" s="39"/>
      <c r="BN317" s="40" t="str">
        <f aca="false">IF(OR(BM317="",CG317=""),"",BM317/CG317*100)</f>
        <v/>
      </c>
      <c r="BO317" s="41" t="str">
        <f aca="false">IF(BN317="","",IFERROR(MATCH(BN317,INDEX(Boundaries!$B$2:$I$30,MATCH(CU317,Boundaries!$A$2:$A$30,0),0),1)-1,""))</f>
        <v/>
      </c>
      <c r="BP317" s="42" t="str">
        <f aca="false">IF(OR(BO317="",$E317=""),"",BO317-$E317)</f>
        <v/>
      </c>
      <c r="BQ317" s="39"/>
      <c r="BR317" s="40" t="str">
        <f aca="false">IF(OR(BQ317="",CH317=""),"",BQ317/CH317*100)</f>
        <v/>
      </c>
      <c r="BS317" s="41" t="str">
        <f aca="false">IF(BR317="","",IFERROR(MATCH(BR317,INDEX(Boundaries!$B$2:$I$30,MATCH(CV317,Boundaries!$A$2:$A$30,0),0),1)-1,""))</f>
        <v/>
      </c>
      <c r="BT317" s="42" t="str">
        <f aca="false">IF(OR(BS317="",$E317=""),"",BS317-$E317)</f>
        <v/>
      </c>
      <c r="BU317" s="28" t="n">
        <f aca="false">IFERROR(INDEX(Assessments!$H$2:$H$600,MATCH($H317&amp;"|"&amp;$I317&amp;"|"&amp;$J317&amp;"|"&amp;1,Assessments!$A$2:$A$600,0)),"")</f>
        <v>24</v>
      </c>
      <c r="BV317" s="28" t="n">
        <f aca="false">IFERROR(INDEX(Assessments!$H$2:$H$600,MATCH($H317&amp;"|"&amp;$I317&amp;"|"&amp;$J317&amp;"|"&amp;2,Assessments!$A$2:$A$600,0)),"")</f>
        <v>20</v>
      </c>
      <c r="BW317" s="28" t="n">
        <f aca="false">IFERROR(INDEX(Assessments!$H$2:$H$600,MATCH($H317&amp;"|"&amp;$I317&amp;"|"&amp;$J317&amp;"|"&amp;3,Assessments!$A$2:$A$600,0)),"")</f>
        <v>20</v>
      </c>
      <c r="BX317" s="28" t="n">
        <f aca="false">IFERROR(INDEX(Assessments!$H$2:$H$600,MATCH($H317&amp;"|"&amp;$I317&amp;"|"&amp;$J317&amp;"|"&amp;4,Assessments!$A$2:$A$600,0)),"")</f>
        <v>40</v>
      </c>
      <c r="BY317" s="28" t="n">
        <f aca="false">IFERROR(INDEX(Assessments!$H$2:$H$600,MATCH($H317&amp;"|"&amp;$I317&amp;"|"&amp;$J317&amp;"|"&amp;5,Assessments!$A$2:$A$600,0)),"")</f>
        <v>30</v>
      </c>
      <c r="BZ317" s="28" t="n">
        <f aca="false">IFERROR(INDEX(Assessments!$H$2:$H$600,MATCH($H317&amp;"|"&amp;$I317&amp;"|"&amp;$J317&amp;"|"&amp;6,Assessments!$A$2:$A$600,0)),"")</f>
        <v>20</v>
      </c>
      <c r="CA317" s="28" t="n">
        <f aca="false">IFERROR(INDEX(Assessments!$H$2:$H$600,MATCH($H317&amp;"|"&amp;$I317&amp;"|"&amp;$J317&amp;"|"&amp;7,Assessments!$A$2:$A$600,0)),"")</f>
        <v>50</v>
      </c>
      <c r="CB317" s="28" t="str">
        <f aca="false">IFERROR(INDEX(Assessments!$H$2:$H$600,MATCH($H317&amp;"|"&amp;$I317&amp;"|"&amp;$J317&amp;"|"&amp;8,Assessments!$A$2:$A$600,0)),"")</f>
        <v/>
      </c>
      <c r="CC317" s="28" t="str">
        <f aca="false">IFERROR(INDEX(Assessments!$H$2:$H$600,MATCH($H317&amp;"|"&amp;$I317&amp;"|"&amp;$J317&amp;"|"&amp;9,Assessments!$A$2:$A$600,0)),"")</f>
        <v/>
      </c>
      <c r="CD317" s="28" t="str">
        <f aca="false">IFERROR(INDEX(Assessments!$H$2:$H$600,MATCH($H317&amp;"|"&amp;$I317&amp;"|"&amp;$J317&amp;"|"&amp;10,Assessments!$A$2:$A$600,0)),"")</f>
        <v/>
      </c>
      <c r="CE317" s="28" t="str">
        <f aca="false">IFERROR(INDEX(Assessments!$H$2:$H$600,MATCH($H317&amp;"|"&amp;$I317&amp;"|"&amp;$J317&amp;"|"&amp;11,Assessments!$A$2:$A$600,0)),"")</f>
        <v/>
      </c>
      <c r="CF317" s="28" t="str">
        <f aca="false">IFERROR(INDEX(Assessments!$H$2:$H$600,MATCH($H317&amp;"|"&amp;$I317&amp;"|"&amp;$J317&amp;"|"&amp;12,Assessments!$A$2:$A$600,0)),"")</f>
        <v/>
      </c>
      <c r="CG317" s="28" t="str">
        <f aca="false">IFERROR(INDEX(Assessments!$H$2:$H$600,MATCH($H317&amp;"|"&amp;$I317&amp;"|"&amp;$J317&amp;"|"&amp;13,Assessments!$A$2:$A$600,0)),"")</f>
        <v/>
      </c>
      <c r="CH317" s="28" t="str">
        <f aca="false">IFERROR(INDEX(Assessments!$H$2:$H$600,MATCH($H317&amp;"|"&amp;$I317&amp;"|"&amp;$J317&amp;"|"&amp;14,Assessments!$A$2:$A$600,0)),"")</f>
        <v/>
      </c>
      <c r="CI317" s="28" t="str">
        <f aca="false">IFERROR(INDEX(Assessments!$I$2:$I$600,MATCH($H317&amp;"|"&amp;$I317&amp;"|"&amp;$J317&amp;"|"&amp;1,Assessments!$A$2:$A$600,0)),"")</f>
        <v>BM Test</v>
      </c>
      <c r="CJ317" s="28" t="str">
        <f aca="false">IFERROR(INDEX(Assessments!$I$2:$I$600,MATCH($H317&amp;"|"&amp;$I317&amp;"|"&amp;$J317&amp;"|"&amp;2,Assessments!$A$2:$A$600,0)),"")</f>
        <v>BM Test</v>
      </c>
      <c r="CK317" s="28" t="str">
        <f aca="false">IFERROR(INDEX(Assessments!$I$2:$I$600,MATCH($H317&amp;"|"&amp;$I317&amp;"|"&amp;$J317&amp;"|"&amp;3,Assessments!$A$2:$A$600,0)),"")</f>
        <v>BM Test</v>
      </c>
      <c r="CL317" s="28" t="str">
        <f aca="false">IFERROR(INDEX(Assessments!$I$2:$I$600,MATCH($H317&amp;"|"&amp;$I317&amp;"|"&amp;$J317&amp;"|"&amp;4,Assessments!$A$2:$A$600,0)),"")</f>
        <v>BM Exam</v>
      </c>
      <c r="CM317" s="28" t="str">
        <f aca="false">IFERROR(INDEX(Assessments!$I$2:$I$600,MATCH($H317&amp;"|"&amp;$I317&amp;"|"&amp;$J317&amp;"|"&amp;5,Assessments!$A$2:$A$600,0)),"")</f>
        <v>BM Test</v>
      </c>
      <c r="CN317" s="28" t="str">
        <f aca="false">IFERROR(INDEX(Assessments!$I$2:$I$600,MATCH($H317&amp;"|"&amp;$I317&amp;"|"&amp;$J317&amp;"|"&amp;6,Assessments!$A$2:$A$600,0)),"")</f>
        <v>BM Test</v>
      </c>
      <c r="CO317" s="28" t="str">
        <f aca="false">IFERROR(INDEX(Assessments!$I$2:$I$600,MATCH($H317&amp;"|"&amp;$I317&amp;"|"&amp;$J317&amp;"|"&amp;7,Assessments!$A$2:$A$600,0)),"")</f>
        <v>BM Exam</v>
      </c>
      <c r="CP317" s="28" t="str">
        <f aca="false">IFERROR(INDEX(Assessments!$I$2:$I$600,MATCH($H317&amp;"|"&amp;$I317&amp;"|"&amp;$J317&amp;"|"&amp;8,Assessments!$A$2:$A$600,0)),"")</f>
        <v/>
      </c>
      <c r="CQ317" s="28" t="str">
        <f aca="false">IFERROR(INDEX(Assessments!$I$2:$I$600,MATCH($H317&amp;"|"&amp;$I317&amp;"|"&amp;$J317&amp;"|"&amp;9,Assessments!$A$2:$A$600,0)),"")</f>
        <v/>
      </c>
      <c r="CR317" s="28" t="str">
        <f aca="false">IFERROR(INDEX(Assessments!$I$2:$I$600,MATCH($H317&amp;"|"&amp;$I317&amp;"|"&amp;$J317&amp;"|"&amp;10,Assessments!$A$2:$A$600,0)),"")</f>
        <v/>
      </c>
      <c r="CS317" s="28" t="str">
        <f aca="false">IFERROR(INDEX(Assessments!$I$2:$I$600,MATCH($H317&amp;"|"&amp;$I317&amp;"|"&amp;$J317&amp;"|"&amp;11,Assessments!$A$2:$A$600,0)),"")</f>
        <v/>
      </c>
      <c r="CT317" s="28" t="str">
        <f aca="false">IFERROR(INDEX(Assessments!$I$2:$I$600,MATCH($H317&amp;"|"&amp;$I317&amp;"|"&amp;$J317&amp;"|"&amp;12,Assessments!$A$2:$A$600,0)),"")</f>
        <v/>
      </c>
      <c r="CU317" s="28" t="str">
        <f aca="false">IFERROR(INDEX(Assessments!$I$2:$I$600,MATCH($H317&amp;"|"&amp;$I317&amp;"|"&amp;$J317&amp;"|"&amp;13,Assessments!$A$2:$A$600,0)),"")</f>
        <v/>
      </c>
      <c r="CV317" s="28" t="str">
        <f aca="false">IFERROR(INDEX(Assessments!$I$2:$I$600,MATCH($H317&amp;"|"&amp;$I317&amp;"|"&amp;$J317&amp;"|"&amp;14,Assessments!$A$2:$A$600,0)),"")</f>
        <v/>
      </c>
      <c r="CW317" s="28" t="n">
        <f aca="false">IFERROR(INDEX(Assessments!$J$2:$J$600,MATCH($H317&amp;"|"&amp;$I317&amp;"|"&amp;$J317&amp;"|"&amp;1,Assessments!$A$2:$A$600,0)),0)</f>
        <v>1</v>
      </c>
      <c r="CX317" s="28" t="n">
        <f aca="false">IFERROR(INDEX(Assessments!$J$2:$J$600,MATCH($H317&amp;"|"&amp;$I317&amp;"|"&amp;$J317&amp;"|"&amp;2,Assessments!$A$2:$A$600,0)),0)</f>
        <v>1</v>
      </c>
      <c r="CY317" s="28" t="n">
        <f aca="false">IFERROR(INDEX(Assessments!$J$2:$J$600,MATCH($H317&amp;"|"&amp;$I317&amp;"|"&amp;$J317&amp;"|"&amp;3,Assessments!$A$2:$A$600,0)),0)</f>
        <v>1</v>
      </c>
      <c r="CZ317" s="28" t="n">
        <f aca="false">IFERROR(INDEX(Assessments!$J$2:$J$600,MATCH($H317&amp;"|"&amp;$I317&amp;"|"&amp;$J317&amp;"|"&amp;4,Assessments!$A$2:$A$600,0)),0)</f>
        <v>2</v>
      </c>
      <c r="DA317" s="28" t="n">
        <f aca="false">IFERROR(INDEX(Assessments!$J$2:$J$600,MATCH($H317&amp;"|"&amp;$I317&amp;"|"&amp;$J317&amp;"|"&amp;5,Assessments!$A$2:$A$600,0)),0)</f>
        <v>1</v>
      </c>
      <c r="DB317" s="28" t="n">
        <f aca="false">IFERROR(INDEX(Assessments!$J$2:$J$600,MATCH($H317&amp;"|"&amp;$I317&amp;"|"&amp;$J317&amp;"|"&amp;6,Assessments!$A$2:$A$600,0)),0)</f>
        <v>1</v>
      </c>
      <c r="DC317" s="28" t="n">
        <f aca="false">IFERROR(INDEX(Assessments!$J$2:$J$600,MATCH($H317&amp;"|"&amp;$I317&amp;"|"&amp;$J317&amp;"|"&amp;7,Assessments!$A$2:$A$600,0)),0)</f>
        <v>2</v>
      </c>
      <c r="DD317" s="28" t="n">
        <f aca="false">IFERROR(INDEX(Assessments!$J$2:$J$600,MATCH($H317&amp;"|"&amp;$I317&amp;"|"&amp;$J317&amp;"|"&amp;8,Assessments!$A$2:$A$600,0)),0)</f>
        <v>0</v>
      </c>
      <c r="DE317" s="28" t="n">
        <f aca="false">IFERROR(INDEX(Assessments!$J$2:$J$600,MATCH($H317&amp;"|"&amp;$I317&amp;"|"&amp;$J317&amp;"|"&amp;9,Assessments!$A$2:$A$600,0)),0)</f>
        <v>0</v>
      </c>
      <c r="DF317" s="28" t="n">
        <f aca="false">IFERROR(INDEX(Assessments!$J$2:$J$600,MATCH($H317&amp;"|"&amp;$I317&amp;"|"&amp;$J317&amp;"|"&amp;10,Assessments!$A$2:$A$600,0)),0)</f>
        <v>0</v>
      </c>
      <c r="DG317" s="28" t="n">
        <f aca="false">IFERROR(INDEX(Assessments!$J$2:$J$600,MATCH($H317&amp;"|"&amp;$I317&amp;"|"&amp;$J317&amp;"|"&amp;11,Assessments!$A$2:$A$600,0)),0)</f>
        <v>0</v>
      </c>
      <c r="DH317" s="28" t="n">
        <f aca="false">IFERROR(INDEX(Assessments!$J$2:$J$600,MATCH($H317&amp;"|"&amp;$I317&amp;"|"&amp;$J317&amp;"|"&amp;12,Assessments!$A$2:$A$600,0)),0)</f>
        <v>0</v>
      </c>
      <c r="DI317" s="28" t="n">
        <f aca="false">IFERROR(INDEX(Assessments!$J$2:$J$600,MATCH($H317&amp;"|"&amp;$I317&amp;"|"&amp;$J317&amp;"|"&amp;13,Assessments!$A$2:$A$600,0)),0)</f>
        <v>0</v>
      </c>
      <c r="DJ317" s="28" t="n">
        <f aca="false">IFERROR(INDEX(Assessments!$J$2:$J$600,MATCH($H317&amp;"|"&amp;$I317&amp;"|"&amp;$J317&amp;"|"&amp;14,Assessments!$A$2:$A$600,0)),0)</f>
        <v>0</v>
      </c>
      <c r="DK317" s="28" t="n">
        <f aca="false">S317</f>
        <v>7</v>
      </c>
      <c r="DL317" s="28" t="str">
        <f aca="false">W317</f>
        <v/>
      </c>
      <c r="DM317" s="28" t="str">
        <f aca="false">AA317</f>
        <v/>
      </c>
      <c r="DN317" s="28" t="str">
        <f aca="false">AE317</f>
        <v/>
      </c>
      <c r="DO317" s="28" t="str">
        <f aca="false">AI317</f>
        <v/>
      </c>
      <c r="DP317" s="28" t="str">
        <f aca="false">AM317</f>
        <v/>
      </c>
      <c r="DQ317" s="28" t="str">
        <f aca="false">AQ317</f>
        <v/>
      </c>
      <c r="DR317" s="28" t="str">
        <f aca="false">AU317</f>
        <v/>
      </c>
      <c r="DS317" s="28" t="str">
        <f aca="false">AY317</f>
        <v/>
      </c>
      <c r="DT317" s="28" t="str">
        <f aca="false">BC317</f>
        <v/>
      </c>
      <c r="DU317" s="28" t="str">
        <f aca="false">BG317</f>
        <v/>
      </c>
      <c r="DV317" s="28" t="str">
        <f aca="false">BK317</f>
        <v/>
      </c>
      <c r="DW317" s="28" t="str">
        <f aca="false">BO317</f>
        <v/>
      </c>
      <c r="DX317" s="28" t="str">
        <f aca="false">BS317</f>
        <v/>
      </c>
      <c r="DY317" s="28" t="n">
        <f aca="false">IF(ISNUMBER(S317),1,"")</f>
        <v>1</v>
      </c>
      <c r="DZ317" s="28" t="str">
        <f aca="false">IF(ISNUMBER(W317),2,"")</f>
        <v/>
      </c>
      <c r="EA317" s="28" t="str">
        <f aca="false">IF(ISNUMBER(AA317),3,"")</f>
        <v/>
      </c>
      <c r="EB317" s="28" t="str">
        <f aca="false">IF(ISNUMBER(AE317),4,"")</f>
        <v/>
      </c>
      <c r="EC317" s="28" t="str">
        <f aca="false">IF(ISNUMBER(AI317),5,"")</f>
        <v/>
      </c>
      <c r="ED317" s="28" t="str">
        <f aca="false">IF(ISNUMBER(AM317),6,"")</f>
        <v/>
      </c>
      <c r="EE317" s="28" t="str">
        <f aca="false">IF(ISNUMBER(AQ317),7,"")</f>
        <v/>
      </c>
      <c r="EF317" s="28" t="str">
        <f aca="false">IF(ISNUMBER(AU317),8,"")</f>
        <v/>
      </c>
      <c r="EG317" s="28" t="str">
        <f aca="false">IF(ISNUMBER(AY317),9,"")</f>
        <v/>
      </c>
      <c r="EH317" s="28" t="str">
        <f aca="false">IF(ISNUMBER(BC317),10,"")</f>
        <v/>
      </c>
      <c r="EI317" s="28" t="str">
        <f aca="false">IF(ISNUMBER(BG317),11,"")</f>
        <v/>
      </c>
      <c r="EJ317" s="28" t="str">
        <f aca="false">IF(ISNUMBER(BK317),12,"")</f>
        <v/>
      </c>
      <c r="EK317" s="28" t="str">
        <f aca="false">IF(ISNUMBER(BO317),13,"")</f>
        <v/>
      </c>
      <c r="EL317" s="28" t="str">
        <f aca="false">IF(ISNUMBER(BS317),14,"")</f>
        <v/>
      </c>
      <c r="EM317" s="28" t="n">
        <f aca="false">IF(ISNUMBER(R317),R317*CW317,0)</f>
        <v>83.3333333333333</v>
      </c>
      <c r="EN317" s="28" t="n">
        <f aca="false">IF(ISNUMBER(V317),V317*CX317,0)</f>
        <v>0</v>
      </c>
      <c r="EO317" s="28" t="n">
        <f aca="false">IF(ISNUMBER(Z317),Z317*CY317,0)</f>
        <v>0</v>
      </c>
      <c r="EP317" s="28" t="n">
        <f aca="false">IF(ISNUMBER(AD317),AD317*CZ317,0)</f>
        <v>0</v>
      </c>
      <c r="EQ317" s="28" t="n">
        <f aca="false">IF(ISNUMBER(AH317),AH317*DA317,0)</f>
        <v>0</v>
      </c>
      <c r="ER317" s="28" t="n">
        <f aca="false">IF(ISNUMBER(AL317),AL317*DB317,0)</f>
        <v>0</v>
      </c>
      <c r="ES317" s="28" t="n">
        <f aca="false">IF(ISNUMBER(AP317),AP317*DC317,0)</f>
        <v>0</v>
      </c>
      <c r="ET317" s="28" t="n">
        <f aca="false">IF(ISNUMBER(AT317),AT317*DD317,0)</f>
        <v>0</v>
      </c>
      <c r="EU317" s="28" t="n">
        <f aca="false">IF(ISNUMBER(AX317),AX317*DE317,0)</f>
        <v>0</v>
      </c>
      <c r="EV317" s="28" t="n">
        <f aca="false">IF(ISNUMBER(BB317),BB317*DF317,0)</f>
        <v>0</v>
      </c>
      <c r="EW317" s="28" t="n">
        <f aca="false">IF(ISNUMBER(BF317),BF317*DG317,0)</f>
        <v>0</v>
      </c>
      <c r="EX317" s="28" t="n">
        <f aca="false">IF(ISNUMBER(BJ317),BJ317*DH317,0)</f>
        <v>0</v>
      </c>
      <c r="EY317" s="28" t="n">
        <f aca="false">IF(ISNUMBER(BN317),BN317*DI317,0)</f>
        <v>0</v>
      </c>
      <c r="EZ317" s="28" t="n">
        <f aca="false">IF(ISNUMBER(BR317),BR317*DJ317,0)</f>
        <v>0</v>
      </c>
      <c r="FA317" s="28" t="n">
        <f aca="false">IF(ISNUMBER(R317),CW317,0)</f>
        <v>1</v>
      </c>
      <c r="FB317" s="28" t="n">
        <f aca="false">IF(ISNUMBER(V317),CX317,0)</f>
        <v>0</v>
      </c>
      <c r="FC317" s="28" t="n">
        <f aca="false">IF(ISNUMBER(Z317),CY317,0)</f>
        <v>0</v>
      </c>
      <c r="FD317" s="28" t="n">
        <f aca="false">IF(ISNUMBER(AD317),CZ317,0)</f>
        <v>0</v>
      </c>
      <c r="FE317" s="28" t="n">
        <f aca="false">IF(ISNUMBER(AH317),DA317,0)</f>
        <v>0</v>
      </c>
      <c r="FF317" s="28" t="n">
        <f aca="false">IF(ISNUMBER(AL317),DB317,0)</f>
        <v>0</v>
      </c>
      <c r="FG317" s="28" t="n">
        <f aca="false">IF(ISNUMBER(AP317),DC317,0)</f>
        <v>0</v>
      </c>
      <c r="FH317" s="28" t="n">
        <f aca="false">IF(ISNUMBER(AT317),DD317,0)</f>
        <v>0</v>
      </c>
      <c r="FI317" s="28" t="n">
        <f aca="false">IF(ISNUMBER(AX317),DE317,0)</f>
        <v>0</v>
      </c>
      <c r="FJ317" s="28" t="n">
        <f aca="false">IF(ISNUMBER(BB317),DF317,0)</f>
        <v>0</v>
      </c>
      <c r="FK317" s="28" t="n">
        <f aca="false">IF(ISNUMBER(BF317),DG317,0)</f>
        <v>0</v>
      </c>
      <c r="FL317" s="28" t="n">
        <f aca="false">IF(ISNUMBER(BJ317),DH317,0)</f>
        <v>0</v>
      </c>
      <c r="FM317" s="28" t="n">
        <f aca="false">IF(ISNUMBER(BN317),DI317,0)</f>
        <v>0</v>
      </c>
      <c r="FN317" s="28" t="n">
        <f aca="false">IF(ISNUMBER(BR317),DJ317,0)</f>
        <v>0</v>
      </c>
      <c r="FO317" s="28" t="str">
        <f aca="false">IFERROR(INDEX(Lists!$G$2:$G$20,MATCH($I317&amp;"|"&amp;$J317,Lists!$F$2:$F$20,0)),"")</f>
        <v>BM Exam</v>
      </c>
    </row>
    <row r="318" customFormat="false" ht="19.5" hidden="false" customHeight="true" outlineLevel="0" collapsed="false">
      <c r="A318" s="29" t="s">
        <v>340</v>
      </c>
      <c r="B318" s="29" t="s">
        <v>452</v>
      </c>
      <c r="C318" s="30" t="s">
        <v>152</v>
      </c>
      <c r="D318" s="30" t="s">
        <v>408</v>
      </c>
      <c r="E318" s="31"/>
      <c r="F318" s="30"/>
      <c r="G318" s="30"/>
      <c r="H318" s="32" t="s">
        <v>428</v>
      </c>
      <c r="I318" s="33" t="s">
        <v>365</v>
      </c>
      <c r="J318" s="32" t="s">
        <v>25</v>
      </c>
      <c r="K318" s="34" t="str">
        <f aca="false">IF(OR(M318="",$E318=""),"",M318-$E318)</f>
        <v/>
      </c>
      <c r="L318" s="35" t="n">
        <f aca="false">IF(SUM(FA318:FN318)=0,"",SUM(EM318:EZ318)/SUM(FA318:FN318))</f>
        <v>62.5</v>
      </c>
      <c r="M318" s="36" t="n">
        <f aca="false">IF(OR(L318="",FO318=""),"",IFERROR(MATCH(L318,INDEX(Boundaries!$B$2:$I$30,MATCH(FO318,Boundaries!$A$2:$A$30,0),0),1)-1,""))</f>
        <v>6</v>
      </c>
      <c r="N318" s="37" t="str">
        <f aca="false">IF(COUNT($DY318:$EL318)&lt;2,"",INDEX($DK318:$DX318,MAX($DY318:$EL318))-INDEX($DK318:$DX318,MIN($DY318:$EL318)))</f>
        <v/>
      </c>
      <c r="O318" s="37" t="str">
        <f aca="false">IF(COUNT($DY318:$EL318)&lt;2,"",INDEX($DK318:$DX318,MAX($DY318:$EL318))-INDEX($DK318:$DX318,LARGE($DY318:$EL318,2)))</f>
        <v/>
      </c>
      <c r="P318" s="38" t="str">
        <f aca="false">IF(K318="","",IF(K318&gt;=0,"On/above target",IF(AND(N318&lt;&gt;"",N318&gt;=0.5),"Improving towards target",IF(AND(O318&lt;&gt;"",O318&lt;=-0.5),"Declining","Stable below target"))))</f>
        <v/>
      </c>
      <c r="Q318" s="39" t="n">
        <v>15</v>
      </c>
      <c r="R318" s="40" t="n">
        <f aca="false">IF(OR(Q318="",BU318=""),"",Q318/BU318*100)</f>
        <v>62.5</v>
      </c>
      <c r="S318" s="41" t="n">
        <f aca="false">IF(R318="","",IFERROR(MATCH(R318,INDEX(Boundaries!$B$2:$I$30,MATCH(CI318,Boundaries!$A$2:$A$30,0),0),1)-1,""))</f>
        <v>5</v>
      </c>
      <c r="T318" s="42" t="str">
        <f aca="false">IF(OR(S318="",$E318=""),"",S318-$E318)</f>
        <v/>
      </c>
      <c r="U318" s="39"/>
      <c r="V318" s="40" t="str">
        <f aca="false">IF(OR(U318="",BV318=""),"",U318/BV318*100)</f>
        <v/>
      </c>
      <c r="W318" s="41" t="str">
        <f aca="false">IF(V318="","",IFERROR(MATCH(V318,INDEX(Boundaries!$B$2:$I$30,MATCH(CJ318,Boundaries!$A$2:$A$30,0),0),1)-1,""))</f>
        <v/>
      </c>
      <c r="X318" s="42" t="str">
        <f aca="false">IF(OR(W318="",$E318=""),"",W318-$E318)</f>
        <v/>
      </c>
      <c r="Y318" s="39"/>
      <c r="Z318" s="40" t="str">
        <f aca="false">IF(OR(Y318="",BW318=""),"",Y318/BW318*100)</f>
        <v/>
      </c>
      <c r="AA318" s="41" t="str">
        <f aca="false">IF(Z318="","",IFERROR(MATCH(Z318,INDEX(Boundaries!$B$2:$I$30,MATCH(CK318,Boundaries!$A$2:$A$30,0),0),1)-1,""))</f>
        <v/>
      </c>
      <c r="AB318" s="42" t="str">
        <f aca="false">IF(OR(AA318="",$E318=""),"",AA318-$E318)</f>
        <v/>
      </c>
      <c r="AC318" s="39"/>
      <c r="AD318" s="40" t="str">
        <f aca="false">IF(OR(AC318="",BX318=""),"",AC318/BX318*100)</f>
        <v/>
      </c>
      <c r="AE318" s="41" t="str">
        <f aca="false">IF(AD318="","",IFERROR(MATCH(AD318,INDEX(Boundaries!$B$2:$I$30,MATCH(CL318,Boundaries!$A$2:$A$30,0),0),1)-1,""))</f>
        <v/>
      </c>
      <c r="AF318" s="42" t="str">
        <f aca="false">IF(OR(AE318="",$E318=""),"",AE318-$E318)</f>
        <v/>
      </c>
      <c r="AG318" s="39"/>
      <c r="AH318" s="40" t="str">
        <f aca="false">IF(OR(AG318="",BY318=""),"",AG318/BY318*100)</f>
        <v/>
      </c>
      <c r="AI318" s="41" t="str">
        <f aca="false">IF(AH318="","",IFERROR(MATCH(AH318,INDEX(Boundaries!$B$2:$I$30,MATCH(CM318,Boundaries!$A$2:$A$30,0),0),1)-1,""))</f>
        <v/>
      </c>
      <c r="AJ318" s="42" t="str">
        <f aca="false">IF(OR(AI318="",$E318=""),"",AI318-$E318)</f>
        <v/>
      </c>
      <c r="AK318" s="39"/>
      <c r="AL318" s="40" t="str">
        <f aca="false">IF(OR(AK318="",BZ318=""),"",AK318/BZ318*100)</f>
        <v/>
      </c>
      <c r="AM318" s="41" t="str">
        <f aca="false">IF(AL318="","",IFERROR(MATCH(AL318,INDEX(Boundaries!$B$2:$I$30,MATCH(CN318,Boundaries!$A$2:$A$30,0),0),1)-1,""))</f>
        <v/>
      </c>
      <c r="AN318" s="42" t="str">
        <f aca="false">IF(OR(AM318="",$E318=""),"",AM318-$E318)</f>
        <v/>
      </c>
      <c r="AO318" s="39"/>
      <c r="AP318" s="40" t="str">
        <f aca="false">IF(OR(AO318="",CA318=""),"",AO318/CA318*100)</f>
        <v/>
      </c>
      <c r="AQ318" s="41" t="str">
        <f aca="false">IF(AP318="","",IFERROR(MATCH(AP318,INDEX(Boundaries!$B$2:$I$30,MATCH(CO318,Boundaries!$A$2:$A$30,0),0),1)-1,""))</f>
        <v/>
      </c>
      <c r="AR318" s="42" t="str">
        <f aca="false">IF(OR(AQ318="",$E318=""),"",AQ318-$E318)</f>
        <v/>
      </c>
      <c r="AS318" s="39"/>
      <c r="AT318" s="40" t="str">
        <f aca="false">IF(OR(AS318="",CB318=""),"",AS318/CB318*100)</f>
        <v/>
      </c>
      <c r="AU318" s="41" t="str">
        <f aca="false">IF(AT318="","",IFERROR(MATCH(AT318,INDEX(Boundaries!$B$2:$I$30,MATCH(CP318,Boundaries!$A$2:$A$30,0),0),1)-1,""))</f>
        <v/>
      </c>
      <c r="AV318" s="42" t="str">
        <f aca="false">IF(OR(AU318="",$E318=""),"",AU318-$E318)</f>
        <v/>
      </c>
      <c r="AW318" s="39"/>
      <c r="AX318" s="40" t="str">
        <f aca="false">IF(OR(AW318="",CC318=""),"",AW318/CC318*100)</f>
        <v/>
      </c>
      <c r="AY318" s="41" t="str">
        <f aca="false">IF(AX318="","",IFERROR(MATCH(AX318,INDEX(Boundaries!$B$2:$I$30,MATCH(CQ318,Boundaries!$A$2:$A$30,0),0),1)-1,""))</f>
        <v/>
      </c>
      <c r="AZ318" s="42" t="str">
        <f aca="false">IF(OR(AY318="",$E318=""),"",AY318-$E318)</f>
        <v/>
      </c>
      <c r="BA318" s="39"/>
      <c r="BB318" s="40" t="str">
        <f aca="false">IF(OR(BA318="",CD318=""),"",BA318/CD318*100)</f>
        <v/>
      </c>
      <c r="BC318" s="41" t="str">
        <f aca="false">IF(BB318="","",IFERROR(MATCH(BB318,INDEX(Boundaries!$B$2:$I$30,MATCH(CR318,Boundaries!$A$2:$A$30,0),0),1)-1,""))</f>
        <v/>
      </c>
      <c r="BD318" s="42" t="str">
        <f aca="false">IF(OR(BC318="",$E318=""),"",BC318-$E318)</f>
        <v/>
      </c>
      <c r="BE318" s="39"/>
      <c r="BF318" s="40" t="str">
        <f aca="false">IF(OR(BE318="",CE318=""),"",BE318/CE318*100)</f>
        <v/>
      </c>
      <c r="BG318" s="41" t="str">
        <f aca="false">IF(BF318="","",IFERROR(MATCH(BF318,INDEX(Boundaries!$B$2:$I$30,MATCH(CS318,Boundaries!$A$2:$A$30,0),0),1)-1,""))</f>
        <v/>
      </c>
      <c r="BH318" s="42" t="str">
        <f aca="false">IF(OR(BG318="",$E318=""),"",BG318-$E318)</f>
        <v/>
      </c>
      <c r="BI318" s="39"/>
      <c r="BJ318" s="40" t="str">
        <f aca="false">IF(OR(BI318="",CF318=""),"",BI318/CF318*100)</f>
        <v/>
      </c>
      <c r="BK318" s="41" t="str">
        <f aca="false">IF(BJ318="","",IFERROR(MATCH(BJ318,INDEX(Boundaries!$B$2:$I$30,MATCH(CT318,Boundaries!$A$2:$A$30,0),0),1)-1,""))</f>
        <v/>
      </c>
      <c r="BL318" s="42" t="str">
        <f aca="false">IF(OR(BK318="",$E318=""),"",BK318-$E318)</f>
        <v/>
      </c>
      <c r="BM318" s="39"/>
      <c r="BN318" s="40" t="str">
        <f aca="false">IF(OR(BM318="",CG318=""),"",BM318/CG318*100)</f>
        <v/>
      </c>
      <c r="BO318" s="41" t="str">
        <f aca="false">IF(BN318="","",IFERROR(MATCH(BN318,INDEX(Boundaries!$B$2:$I$30,MATCH(CU318,Boundaries!$A$2:$A$30,0),0),1)-1,""))</f>
        <v/>
      </c>
      <c r="BP318" s="42" t="str">
        <f aca="false">IF(OR(BO318="",$E318=""),"",BO318-$E318)</f>
        <v/>
      </c>
      <c r="BQ318" s="39"/>
      <c r="BR318" s="40" t="str">
        <f aca="false">IF(OR(BQ318="",CH318=""),"",BQ318/CH318*100)</f>
        <v/>
      </c>
      <c r="BS318" s="41" t="str">
        <f aca="false">IF(BR318="","",IFERROR(MATCH(BR318,INDEX(Boundaries!$B$2:$I$30,MATCH(CV318,Boundaries!$A$2:$A$30,0),0),1)-1,""))</f>
        <v/>
      </c>
      <c r="BT318" s="42" t="str">
        <f aca="false">IF(OR(BS318="",$E318=""),"",BS318-$E318)</f>
        <v/>
      </c>
      <c r="BU318" s="28" t="n">
        <f aca="false">IFERROR(INDEX(Assessments!$H$2:$H$600,MATCH($H318&amp;"|"&amp;$I318&amp;"|"&amp;$J318&amp;"|"&amp;1,Assessments!$A$2:$A$600,0)),"")</f>
        <v>24</v>
      </c>
      <c r="BV318" s="28" t="n">
        <f aca="false">IFERROR(INDEX(Assessments!$H$2:$H$600,MATCH($H318&amp;"|"&amp;$I318&amp;"|"&amp;$J318&amp;"|"&amp;2,Assessments!$A$2:$A$600,0)),"")</f>
        <v>20</v>
      </c>
      <c r="BW318" s="28" t="n">
        <f aca="false">IFERROR(INDEX(Assessments!$H$2:$H$600,MATCH($H318&amp;"|"&amp;$I318&amp;"|"&amp;$J318&amp;"|"&amp;3,Assessments!$A$2:$A$600,0)),"")</f>
        <v>20</v>
      </c>
      <c r="BX318" s="28" t="n">
        <f aca="false">IFERROR(INDEX(Assessments!$H$2:$H$600,MATCH($H318&amp;"|"&amp;$I318&amp;"|"&amp;$J318&amp;"|"&amp;4,Assessments!$A$2:$A$600,0)),"")</f>
        <v>40</v>
      </c>
      <c r="BY318" s="28" t="n">
        <f aca="false">IFERROR(INDEX(Assessments!$H$2:$H$600,MATCH($H318&amp;"|"&amp;$I318&amp;"|"&amp;$J318&amp;"|"&amp;5,Assessments!$A$2:$A$600,0)),"")</f>
        <v>30</v>
      </c>
      <c r="BZ318" s="28" t="n">
        <f aca="false">IFERROR(INDEX(Assessments!$H$2:$H$600,MATCH($H318&amp;"|"&amp;$I318&amp;"|"&amp;$J318&amp;"|"&amp;6,Assessments!$A$2:$A$600,0)),"")</f>
        <v>20</v>
      </c>
      <c r="CA318" s="28" t="n">
        <f aca="false">IFERROR(INDEX(Assessments!$H$2:$H$600,MATCH($H318&amp;"|"&amp;$I318&amp;"|"&amp;$J318&amp;"|"&amp;7,Assessments!$A$2:$A$600,0)),"")</f>
        <v>50</v>
      </c>
      <c r="CB318" s="28" t="str">
        <f aca="false">IFERROR(INDEX(Assessments!$H$2:$H$600,MATCH($H318&amp;"|"&amp;$I318&amp;"|"&amp;$J318&amp;"|"&amp;8,Assessments!$A$2:$A$600,0)),"")</f>
        <v/>
      </c>
      <c r="CC318" s="28" t="str">
        <f aca="false">IFERROR(INDEX(Assessments!$H$2:$H$600,MATCH($H318&amp;"|"&amp;$I318&amp;"|"&amp;$J318&amp;"|"&amp;9,Assessments!$A$2:$A$600,0)),"")</f>
        <v/>
      </c>
      <c r="CD318" s="28" t="str">
        <f aca="false">IFERROR(INDEX(Assessments!$H$2:$H$600,MATCH($H318&amp;"|"&amp;$I318&amp;"|"&amp;$J318&amp;"|"&amp;10,Assessments!$A$2:$A$600,0)),"")</f>
        <v/>
      </c>
      <c r="CE318" s="28" t="str">
        <f aca="false">IFERROR(INDEX(Assessments!$H$2:$H$600,MATCH($H318&amp;"|"&amp;$I318&amp;"|"&amp;$J318&amp;"|"&amp;11,Assessments!$A$2:$A$600,0)),"")</f>
        <v/>
      </c>
      <c r="CF318" s="28" t="str">
        <f aca="false">IFERROR(INDEX(Assessments!$H$2:$H$600,MATCH($H318&amp;"|"&amp;$I318&amp;"|"&amp;$J318&amp;"|"&amp;12,Assessments!$A$2:$A$600,0)),"")</f>
        <v/>
      </c>
      <c r="CG318" s="28" t="str">
        <f aca="false">IFERROR(INDEX(Assessments!$H$2:$H$600,MATCH($H318&amp;"|"&amp;$I318&amp;"|"&amp;$J318&amp;"|"&amp;13,Assessments!$A$2:$A$600,0)),"")</f>
        <v/>
      </c>
      <c r="CH318" s="28" t="str">
        <f aca="false">IFERROR(INDEX(Assessments!$H$2:$H$600,MATCH($H318&amp;"|"&amp;$I318&amp;"|"&amp;$J318&amp;"|"&amp;14,Assessments!$A$2:$A$600,0)),"")</f>
        <v/>
      </c>
      <c r="CI318" s="28" t="str">
        <f aca="false">IFERROR(INDEX(Assessments!$I$2:$I$600,MATCH($H318&amp;"|"&amp;$I318&amp;"|"&amp;$J318&amp;"|"&amp;1,Assessments!$A$2:$A$600,0)),"")</f>
        <v>BM Test</v>
      </c>
      <c r="CJ318" s="28" t="str">
        <f aca="false">IFERROR(INDEX(Assessments!$I$2:$I$600,MATCH($H318&amp;"|"&amp;$I318&amp;"|"&amp;$J318&amp;"|"&amp;2,Assessments!$A$2:$A$600,0)),"")</f>
        <v>BM Test</v>
      </c>
      <c r="CK318" s="28" t="str">
        <f aca="false">IFERROR(INDEX(Assessments!$I$2:$I$600,MATCH($H318&amp;"|"&amp;$I318&amp;"|"&amp;$J318&amp;"|"&amp;3,Assessments!$A$2:$A$600,0)),"")</f>
        <v>BM Test</v>
      </c>
      <c r="CL318" s="28" t="str">
        <f aca="false">IFERROR(INDEX(Assessments!$I$2:$I$600,MATCH($H318&amp;"|"&amp;$I318&amp;"|"&amp;$J318&amp;"|"&amp;4,Assessments!$A$2:$A$600,0)),"")</f>
        <v>BM Exam</v>
      </c>
      <c r="CM318" s="28" t="str">
        <f aca="false">IFERROR(INDEX(Assessments!$I$2:$I$600,MATCH($H318&amp;"|"&amp;$I318&amp;"|"&amp;$J318&amp;"|"&amp;5,Assessments!$A$2:$A$600,0)),"")</f>
        <v>BM Test</v>
      </c>
      <c r="CN318" s="28" t="str">
        <f aca="false">IFERROR(INDEX(Assessments!$I$2:$I$600,MATCH($H318&amp;"|"&amp;$I318&amp;"|"&amp;$J318&amp;"|"&amp;6,Assessments!$A$2:$A$600,0)),"")</f>
        <v>BM Test</v>
      </c>
      <c r="CO318" s="28" t="str">
        <f aca="false">IFERROR(INDEX(Assessments!$I$2:$I$600,MATCH($H318&amp;"|"&amp;$I318&amp;"|"&amp;$J318&amp;"|"&amp;7,Assessments!$A$2:$A$600,0)),"")</f>
        <v>BM Exam</v>
      </c>
      <c r="CP318" s="28" t="str">
        <f aca="false">IFERROR(INDEX(Assessments!$I$2:$I$600,MATCH($H318&amp;"|"&amp;$I318&amp;"|"&amp;$J318&amp;"|"&amp;8,Assessments!$A$2:$A$600,0)),"")</f>
        <v/>
      </c>
      <c r="CQ318" s="28" t="str">
        <f aca="false">IFERROR(INDEX(Assessments!$I$2:$I$600,MATCH($H318&amp;"|"&amp;$I318&amp;"|"&amp;$J318&amp;"|"&amp;9,Assessments!$A$2:$A$600,0)),"")</f>
        <v/>
      </c>
      <c r="CR318" s="28" t="str">
        <f aca="false">IFERROR(INDEX(Assessments!$I$2:$I$600,MATCH($H318&amp;"|"&amp;$I318&amp;"|"&amp;$J318&amp;"|"&amp;10,Assessments!$A$2:$A$600,0)),"")</f>
        <v/>
      </c>
      <c r="CS318" s="28" t="str">
        <f aca="false">IFERROR(INDEX(Assessments!$I$2:$I$600,MATCH($H318&amp;"|"&amp;$I318&amp;"|"&amp;$J318&amp;"|"&amp;11,Assessments!$A$2:$A$600,0)),"")</f>
        <v/>
      </c>
      <c r="CT318" s="28" t="str">
        <f aca="false">IFERROR(INDEX(Assessments!$I$2:$I$600,MATCH($H318&amp;"|"&amp;$I318&amp;"|"&amp;$J318&amp;"|"&amp;12,Assessments!$A$2:$A$600,0)),"")</f>
        <v/>
      </c>
      <c r="CU318" s="28" t="str">
        <f aca="false">IFERROR(INDEX(Assessments!$I$2:$I$600,MATCH($H318&amp;"|"&amp;$I318&amp;"|"&amp;$J318&amp;"|"&amp;13,Assessments!$A$2:$A$600,0)),"")</f>
        <v/>
      </c>
      <c r="CV318" s="28" t="str">
        <f aca="false">IFERROR(INDEX(Assessments!$I$2:$I$600,MATCH($H318&amp;"|"&amp;$I318&amp;"|"&amp;$J318&amp;"|"&amp;14,Assessments!$A$2:$A$600,0)),"")</f>
        <v/>
      </c>
      <c r="CW318" s="28" t="n">
        <f aca="false">IFERROR(INDEX(Assessments!$J$2:$J$600,MATCH($H318&amp;"|"&amp;$I318&amp;"|"&amp;$J318&amp;"|"&amp;1,Assessments!$A$2:$A$600,0)),0)</f>
        <v>1</v>
      </c>
      <c r="CX318" s="28" t="n">
        <f aca="false">IFERROR(INDEX(Assessments!$J$2:$J$600,MATCH($H318&amp;"|"&amp;$I318&amp;"|"&amp;$J318&amp;"|"&amp;2,Assessments!$A$2:$A$600,0)),0)</f>
        <v>1</v>
      </c>
      <c r="CY318" s="28" t="n">
        <f aca="false">IFERROR(INDEX(Assessments!$J$2:$J$600,MATCH($H318&amp;"|"&amp;$I318&amp;"|"&amp;$J318&amp;"|"&amp;3,Assessments!$A$2:$A$600,0)),0)</f>
        <v>1</v>
      </c>
      <c r="CZ318" s="28" t="n">
        <f aca="false">IFERROR(INDEX(Assessments!$J$2:$J$600,MATCH($H318&amp;"|"&amp;$I318&amp;"|"&amp;$J318&amp;"|"&amp;4,Assessments!$A$2:$A$600,0)),0)</f>
        <v>2</v>
      </c>
      <c r="DA318" s="28" t="n">
        <f aca="false">IFERROR(INDEX(Assessments!$J$2:$J$600,MATCH($H318&amp;"|"&amp;$I318&amp;"|"&amp;$J318&amp;"|"&amp;5,Assessments!$A$2:$A$600,0)),0)</f>
        <v>1</v>
      </c>
      <c r="DB318" s="28" t="n">
        <f aca="false">IFERROR(INDEX(Assessments!$J$2:$J$600,MATCH($H318&amp;"|"&amp;$I318&amp;"|"&amp;$J318&amp;"|"&amp;6,Assessments!$A$2:$A$600,0)),0)</f>
        <v>1</v>
      </c>
      <c r="DC318" s="28" t="n">
        <f aca="false">IFERROR(INDEX(Assessments!$J$2:$J$600,MATCH($H318&amp;"|"&amp;$I318&amp;"|"&amp;$J318&amp;"|"&amp;7,Assessments!$A$2:$A$600,0)),0)</f>
        <v>2</v>
      </c>
      <c r="DD318" s="28" t="n">
        <f aca="false">IFERROR(INDEX(Assessments!$J$2:$J$600,MATCH($H318&amp;"|"&amp;$I318&amp;"|"&amp;$J318&amp;"|"&amp;8,Assessments!$A$2:$A$600,0)),0)</f>
        <v>0</v>
      </c>
      <c r="DE318" s="28" t="n">
        <f aca="false">IFERROR(INDEX(Assessments!$J$2:$J$600,MATCH($H318&amp;"|"&amp;$I318&amp;"|"&amp;$J318&amp;"|"&amp;9,Assessments!$A$2:$A$600,0)),0)</f>
        <v>0</v>
      </c>
      <c r="DF318" s="28" t="n">
        <f aca="false">IFERROR(INDEX(Assessments!$J$2:$J$600,MATCH($H318&amp;"|"&amp;$I318&amp;"|"&amp;$J318&amp;"|"&amp;10,Assessments!$A$2:$A$600,0)),0)</f>
        <v>0</v>
      </c>
      <c r="DG318" s="28" t="n">
        <f aca="false">IFERROR(INDEX(Assessments!$J$2:$J$600,MATCH($H318&amp;"|"&amp;$I318&amp;"|"&amp;$J318&amp;"|"&amp;11,Assessments!$A$2:$A$600,0)),0)</f>
        <v>0</v>
      </c>
      <c r="DH318" s="28" t="n">
        <f aca="false">IFERROR(INDEX(Assessments!$J$2:$J$600,MATCH($H318&amp;"|"&amp;$I318&amp;"|"&amp;$J318&amp;"|"&amp;12,Assessments!$A$2:$A$600,0)),0)</f>
        <v>0</v>
      </c>
      <c r="DI318" s="28" t="n">
        <f aca="false">IFERROR(INDEX(Assessments!$J$2:$J$600,MATCH($H318&amp;"|"&amp;$I318&amp;"|"&amp;$J318&amp;"|"&amp;13,Assessments!$A$2:$A$600,0)),0)</f>
        <v>0</v>
      </c>
      <c r="DJ318" s="28" t="n">
        <f aca="false">IFERROR(INDEX(Assessments!$J$2:$J$600,MATCH($H318&amp;"|"&amp;$I318&amp;"|"&amp;$J318&amp;"|"&amp;14,Assessments!$A$2:$A$600,0)),0)</f>
        <v>0</v>
      </c>
      <c r="DK318" s="28" t="n">
        <f aca="false">S318</f>
        <v>5</v>
      </c>
      <c r="DL318" s="28" t="str">
        <f aca="false">W318</f>
        <v/>
      </c>
      <c r="DM318" s="28" t="str">
        <f aca="false">AA318</f>
        <v/>
      </c>
      <c r="DN318" s="28" t="str">
        <f aca="false">AE318</f>
        <v/>
      </c>
      <c r="DO318" s="28" t="str">
        <f aca="false">AI318</f>
        <v/>
      </c>
      <c r="DP318" s="28" t="str">
        <f aca="false">AM318</f>
        <v/>
      </c>
      <c r="DQ318" s="28" t="str">
        <f aca="false">AQ318</f>
        <v/>
      </c>
      <c r="DR318" s="28" t="str">
        <f aca="false">AU318</f>
        <v/>
      </c>
      <c r="DS318" s="28" t="str">
        <f aca="false">AY318</f>
        <v/>
      </c>
      <c r="DT318" s="28" t="str">
        <f aca="false">BC318</f>
        <v/>
      </c>
      <c r="DU318" s="28" t="str">
        <f aca="false">BG318</f>
        <v/>
      </c>
      <c r="DV318" s="28" t="str">
        <f aca="false">BK318</f>
        <v/>
      </c>
      <c r="DW318" s="28" t="str">
        <f aca="false">BO318</f>
        <v/>
      </c>
      <c r="DX318" s="28" t="str">
        <f aca="false">BS318</f>
        <v/>
      </c>
      <c r="DY318" s="28" t="n">
        <f aca="false">IF(ISNUMBER(S318),1,"")</f>
        <v>1</v>
      </c>
      <c r="DZ318" s="28" t="str">
        <f aca="false">IF(ISNUMBER(W318),2,"")</f>
        <v/>
      </c>
      <c r="EA318" s="28" t="str">
        <f aca="false">IF(ISNUMBER(AA318),3,"")</f>
        <v/>
      </c>
      <c r="EB318" s="28" t="str">
        <f aca="false">IF(ISNUMBER(AE318),4,"")</f>
        <v/>
      </c>
      <c r="EC318" s="28" t="str">
        <f aca="false">IF(ISNUMBER(AI318),5,"")</f>
        <v/>
      </c>
      <c r="ED318" s="28" t="str">
        <f aca="false">IF(ISNUMBER(AM318),6,"")</f>
        <v/>
      </c>
      <c r="EE318" s="28" t="str">
        <f aca="false">IF(ISNUMBER(AQ318),7,"")</f>
        <v/>
      </c>
      <c r="EF318" s="28" t="str">
        <f aca="false">IF(ISNUMBER(AU318),8,"")</f>
        <v/>
      </c>
      <c r="EG318" s="28" t="str">
        <f aca="false">IF(ISNUMBER(AY318),9,"")</f>
        <v/>
      </c>
      <c r="EH318" s="28" t="str">
        <f aca="false">IF(ISNUMBER(BC318),10,"")</f>
        <v/>
      </c>
      <c r="EI318" s="28" t="str">
        <f aca="false">IF(ISNUMBER(BG318),11,"")</f>
        <v/>
      </c>
      <c r="EJ318" s="28" t="str">
        <f aca="false">IF(ISNUMBER(BK318),12,"")</f>
        <v/>
      </c>
      <c r="EK318" s="28" t="str">
        <f aca="false">IF(ISNUMBER(BO318),13,"")</f>
        <v/>
      </c>
      <c r="EL318" s="28" t="str">
        <f aca="false">IF(ISNUMBER(BS318),14,"")</f>
        <v/>
      </c>
      <c r="EM318" s="28" t="n">
        <f aca="false">IF(ISNUMBER(R318),R318*CW318,0)</f>
        <v>62.5</v>
      </c>
      <c r="EN318" s="28" t="n">
        <f aca="false">IF(ISNUMBER(V318),V318*CX318,0)</f>
        <v>0</v>
      </c>
      <c r="EO318" s="28" t="n">
        <f aca="false">IF(ISNUMBER(Z318),Z318*CY318,0)</f>
        <v>0</v>
      </c>
      <c r="EP318" s="28" t="n">
        <f aca="false">IF(ISNUMBER(AD318),AD318*CZ318,0)</f>
        <v>0</v>
      </c>
      <c r="EQ318" s="28" t="n">
        <f aca="false">IF(ISNUMBER(AH318),AH318*DA318,0)</f>
        <v>0</v>
      </c>
      <c r="ER318" s="28" t="n">
        <f aca="false">IF(ISNUMBER(AL318),AL318*DB318,0)</f>
        <v>0</v>
      </c>
      <c r="ES318" s="28" t="n">
        <f aca="false">IF(ISNUMBER(AP318),AP318*DC318,0)</f>
        <v>0</v>
      </c>
      <c r="ET318" s="28" t="n">
        <f aca="false">IF(ISNUMBER(AT318),AT318*DD318,0)</f>
        <v>0</v>
      </c>
      <c r="EU318" s="28" t="n">
        <f aca="false">IF(ISNUMBER(AX318),AX318*DE318,0)</f>
        <v>0</v>
      </c>
      <c r="EV318" s="28" t="n">
        <f aca="false">IF(ISNUMBER(BB318),BB318*DF318,0)</f>
        <v>0</v>
      </c>
      <c r="EW318" s="28" t="n">
        <f aca="false">IF(ISNUMBER(BF318),BF318*DG318,0)</f>
        <v>0</v>
      </c>
      <c r="EX318" s="28" t="n">
        <f aca="false">IF(ISNUMBER(BJ318),BJ318*DH318,0)</f>
        <v>0</v>
      </c>
      <c r="EY318" s="28" t="n">
        <f aca="false">IF(ISNUMBER(BN318),BN318*DI318,0)</f>
        <v>0</v>
      </c>
      <c r="EZ318" s="28" t="n">
        <f aca="false">IF(ISNUMBER(BR318),BR318*DJ318,0)</f>
        <v>0</v>
      </c>
      <c r="FA318" s="28" t="n">
        <f aca="false">IF(ISNUMBER(R318),CW318,0)</f>
        <v>1</v>
      </c>
      <c r="FB318" s="28" t="n">
        <f aca="false">IF(ISNUMBER(V318),CX318,0)</f>
        <v>0</v>
      </c>
      <c r="FC318" s="28" t="n">
        <f aca="false">IF(ISNUMBER(Z318),CY318,0)</f>
        <v>0</v>
      </c>
      <c r="FD318" s="28" t="n">
        <f aca="false">IF(ISNUMBER(AD318),CZ318,0)</f>
        <v>0</v>
      </c>
      <c r="FE318" s="28" t="n">
        <f aca="false">IF(ISNUMBER(AH318),DA318,0)</f>
        <v>0</v>
      </c>
      <c r="FF318" s="28" t="n">
        <f aca="false">IF(ISNUMBER(AL318),DB318,0)</f>
        <v>0</v>
      </c>
      <c r="FG318" s="28" t="n">
        <f aca="false">IF(ISNUMBER(AP318),DC318,0)</f>
        <v>0</v>
      </c>
      <c r="FH318" s="28" t="n">
        <f aca="false">IF(ISNUMBER(AT318),DD318,0)</f>
        <v>0</v>
      </c>
      <c r="FI318" s="28" t="n">
        <f aca="false">IF(ISNUMBER(AX318),DE318,0)</f>
        <v>0</v>
      </c>
      <c r="FJ318" s="28" t="n">
        <f aca="false">IF(ISNUMBER(BB318),DF318,0)</f>
        <v>0</v>
      </c>
      <c r="FK318" s="28" t="n">
        <f aca="false">IF(ISNUMBER(BF318),DG318,0)</f>
        <v>0</v>
      </c>
      <c r="FL318" s="28" t="n">
        <f aca="false">IF(ISNUMBER(BJ318),DH318,0)</f>
        <v>0</v>
      </c>
      <c r="FM318" s="28" t="n">
        <f aca="false">IF(ISNUMBER(BN318),DI318,0)</f>
        <v>0</v>
      </c>
      <c r="FN318" s="28" t="n">
        <f aca="false">IF(ISNUMBER(BR318),DJ318,0)</f>
        <v>0</v>
      </c>
      <c r="FO318" s="28" t="str">
        <f aca="false">IFERROR(INDEX(Lists!$G$2:$G$20,MATCH($I318&amp;"|"&amp;$J318,Lists!$F$2:$F$20,0)),"")</f>
        <v>BM Exam</v>
      </c>
    </row>
    <row r="319" customFormat="false" ht="19.5" hidden="false" customHeight="true" outlineLevel="0" collapsed="false">
      <c r="A319" s="29" t="s">
        <v>528</v>
      </c>
      <c r="B319" s="29" t="s">
        <v>529</v>
      </c>
      <c r="C319" s="30" t="s">
        <v>152</v>
      </c>
      <c r="D319" s="30" t="s">
        <v>408</v>
      </c>
      <c r="E319" s="31"/>
      <c r="F319" s="30"/>
      <c r="G319" s="30"/>
      <c r="H319" s="32" t="s">
        <v>428</v>
      </c>
      <c r="I319" s="33" t="s">
        <v>365</v>
      </c>
      <c r="J319" s="32" t="s">
        <v>25</v>
      </c>
      <c r="K319" s="34" t="str">
        <f aca="false">IF(OR(M319="",$E319=""),"",M319-$E319)</f>
        <v/>
      </c>
      <c r="L319" s="35" t="n">
        <f aca="false">IF(SUM(FA319:FN319)=0,"",SUM(EM319:EZ319)/SUM(FA319:FN319))</f>
        <v>95.8333333333333</v>
      </c>
      <c r="M319" s="36" t="n">
        <f aca="false">IF(OR(L319="",FO319=""),"",IFERROR(MATCH(L319,INDEX(Boundaries!$B$2:$I$30,MATCH(FO319,Boundaries!$A$2:$A$30,0),0),1)-1,""))</f>
        <v>7</v>
      </c>
      <c r="N319" s="37" t="str">
        <f aca="false">IF(COUNT($DY319:$EL319)&lt;2,"",INDEX($DK319:$DX319,MAX($DY319:$EL319))-INDEX($DK319:$DX319,MIN($DY319:$EL319)))</f>
        <v/>
      </c>
      <c r="O319" s="37" t="str">
        <f aca="false">IF(COUNT($DY319:$EL319)&lt;2,"",INDEX($DK319:$DX319,MAX($DY319:$EL319))-INDEX($DK319:$DX319,LARGE($DY319:$EL319,2)))</f>
        <v/>
      </c>
      <c r="P319" s="38" t="str">
        <f aca="false">IF(K319="","",IF(K319&gt;=0,"On/above target",IF(AND(N319&lt;&gt;"",N319&gt;=0.5),"Improving towards target",IF(AND(O319&lt;&gt;"",O319&lt;=-0.5),"Declining","Stable below target"))))</f>
        <v/>
      </c>
      <c r="Q319" s="39" t="n">
        <v>23</v>
      </c>
      <c r="R319" s="40" t="n">
        <f aca="false">IF(OR(Q319="",BU319=""),"",Q319/BU319*100)</f>
        <v>95.8333333333333</v>
      </c>
      <c r="S319" s="41" t="n">
        <f aca="false">IF(R319="","",IFERROR(MATCH(R319,INDEX(Boundaries!$B$2:$I$30,MATCH(CI319,Boundaries!$A$2:$A$30,0),0),1)-1,""))</f>
        <v>7</v>
      </c>
      <c r="T319" s="42" t="str">
        <f aca="false">IF(OR(S319="",$E319=""),"",S319-$E319)</f>
        <v/>
      </c>
      <c r="U319" s="39"/>
      <c r="V319" s="40" t="str">
        <f aca="false">IF(OR(U319="",BV319=""),"",U319/BV319*100)</f>
        <v/>
      </c>
      <c r="W319" s="41" t="str">
        <f aca="false">IF(V319="","",IFERROR(MATCH(V319,INDEX(Boundaries!$B$2:$I$30,MATCH(CJ319,Boundaries!$A$2:$A$30,0),0),1)-1,""))</f>
        <v/>
      </c>
      <c r="X319" s="42" t="str">
        <f aca="false">IF(OR(W319="",$E319=""),"",W319-$E319)</f>
        <v/>
      </c>
      <c r="Y319" s="39"/>
      <c r="Z319" s="40" t="str">
        <f aca="false">IF(OR(Y319="",BW319=""),"",Y319/BW319*100)</f>
        <v/>
      </c>
      <c r="AA319" s="41" t="str">
        <f aca="false">IF(Z319="","",IFERROR(MATCH(Z319,INDEX(Boundaries!$B$2:$I$30,MATCH(CK319,Boundaries!$A$2:$A$30,0),0),1)-1,""))</f>
        <v/>
      </c>
      <c r="AB319" s="42" t="str">
        <f aca="false">IF(OR(AA319="",$E319=""),"",AA319-$E319)</f>
        <v/>
      </c>
      <c r="AC319" s="39"/>
      <c r="AD319" s="40" t="str">
        <f aca="false">IF(OR(AC319="",BX319=""),"",AC319/BX319*100)</f>
        <v/>
      </c>
      <c r="AE319" s="41" t="str">
        <f aca="false">IF(AD319="","",IFERROR(MATCH(AD319,INDEX(Boundaries!$B$2:$I$30,MATCH(CL319,Boundaries!$A$2:$A$30,0),0),1)-1,""))</f>
        <v/>
      </c>
      <c r="AF319" s="42" t="str">
        <f aca="false">IF(OR(AE319="",$E319=""),"",AE319-$E319)</f>
        <v/>
      </c>
      <c r="AG319" s="39"/>
      <c r="AH319" s="40" t="str">
        <f aca="false">IF(OR(AG319="",BY319=""),"",AG319/BY319*100)</f>
        <v/>
      </c>
      <c r="AI319" s="41" t="str">
        <f aca="false">IF(AH319="","",IFERROR(MATCH(AH319,INDEX(Boundaries!$B$2:$I$30,MATCH(CM319,Boundaries!$A$2:$A$30,0),0),1)-1,""))</f>
        <v/>
      </c>
      <c r="AJ319" s="42" t="str">
        <f aca="false">IF(OR(AI319="",$E319=""),"",AI319-$E319)</f>
        <v/>
      </c>
      <c r="AK319" s="39"/>
      <c r="AL319" s="40" t="str">
        <f aca="false">IF(OR(AK319="",BZ319=""),"",AK319/BZ319*100)</f>
        <v/>
      </c>
      <c r="AM319" s="41" t="str">
        <f aca="false">IF(AL319="","",IFERROR(MATCH(AL319,INDEX(Boundaries!$B$2:$I$30,MATCH(CN319,Boundaries!$A$2:$A$30,0),0),1)-1,""))</f>
        <v/>
      </c>
      <c r="AN319" s="42" t="str">
        <f aca="false">IF(OR(AM319="",$E319=""),"",AM319-$E319)</f>
        <v/>
      </c>
      <c r="AO319" s="39"/>
      <c r="AP319" s="40" t="str">
        <f aca="false">IF(OR(AO319="",CA319=""),"",AO319/CA319*100)</f>
        <v/>
      </c>
      <c r="AQ319" s="41" t="str">
        <f aca="false">IF(AP319="","",IFERROR(MATCH(AP319,INDEX(Boundaries!$B$2:$I$30,MATCH(CO319,Boundaries!$A$2:$A$30,0),0),1)-1,""))</f>
        <v/>
      </c>
      <c r="AR319" s="42" t="str">
        <f aca="false">IF(OR(AQ319="",$E319=""),"",AQ319-$E319)</f>
        <v/>
      </c>
      <c r="AS319" s="39"/>
      <c r="AT319" s="40" t="str">
        <f aca="false">IF(OR(AS319="",CB319=""),"",AS319/CB319*100)</f>
        <v/>
      </c>
      <c r="AU319" s="41" t="str">
        <f aca="false">IF(AT319="","",IFERROR(MATCH(AT319,INDEX(Boundaries!$B$2:$I$30,MATCH(CP319,Boundaries!$A$2:$A$30,0),0),1)-1,""))</f>
        <v/>
      </c>
      <c r="AV319" s="42" t="str">
        <f aca="false">IF(OR(AU319="",$E319=""),"",AU319-$E319)</f>
        <v/>
      </c>
      <c r="AW319" s="39"/>
      <c r="AX319" s="40" t="str">
        <f aca="false">IF(OR(AW319="",CC319=""),"",AW319/CC319*100)</f>
        <v/>
      </c>
      <c r="AY319" s="41" t="str">
        <f aca="false">IF(AX319="","",IFERROR(MATCH(AX319,INDEX(Boundaries!$B$2:$I$30,MATCH(CQ319,Boundaries!$A$2:$A$30,0),0),1)-1,""))</f>
        <v/>
      </c>
      <c r="AZ319" s="42" t="str">
        <f aca="false">IF(OR(AY319="",$E319=""),"",AY319-$E319)</f>
        <v/>
      </c>
      <c r="BA319" s="39"/>
      <c r="BB319" s="40" t="str">
        <f aca="false">IF(OR(BA319="",CD319=""),"",BA319/CD319*100)</f>
        <v/>
      </c>
      <c r="BC319" s="41" t="str">
        <f aca="false">IF(BB319="","",IFERROR(MATCH(BB319,INDEX(Boundaries!$B$2:$I$30,MATCH(CR319,Boundaries!$A$2:$A$30,0),0),1)-1,""))</f>
        <v/>
      </c>
      <c r="BD319" s="42" t="str">
        <f aca="false">IF(OR(BC319="",$E319=""),"",BC319-$E319)</f>
        <v/>
      </c>
      <c r="BE319" s="39"/>
      <c r="BF319" s="40" t="str">
        <f aca="false">IF(OR(BE319="",CE319=""),"",BE319/CE319*100)</f>
        <v/>
      </c>
      <c r="BG319" s="41" t="str">
        <f aca="false">IF(BF319="","",IFERROR(MATCH(BF319,INDEX(Boundaries!$B$2:$I$30,MATCH(CS319,Boundaries!$A$2:$A$30,0),0),1)-1,""))</f>
        <v/>
      </c>
      <c r="BH319" s="42" t="str">
        <f aca="false">IF(OR(BG319="",$E319=""),"",BG319-$E319)</f>
        <v/>
      </c>
      <c r="BI319" s="39"/>
      <c r="BJ319" s="40" t="str">
        <f aca="false">IF(OR(BI319="",CF319=""),"",BI319/CF319*100)</f>
        <v/>
      </c>
      <c r="BK319" s="41" t="str">
        <f aca="false">IF(BJ319="","",IFERROR(MATCH(BJ319,INDEX(Boundaries!$B$2:$I$30,MATCH(CT319,Boundaries!$A$2:$A$30,0),0),1)-1,""))</f>
        <v/>
      </c>
      <c r="BL319" s="42" t="str">
        <f aca="false">IF(OR(BK319="",$E319=""),"",BK319-$E319)</f>
        <v/>
      </c>
      <c r="BM319" s="39"/>
      <c r="BN319" s="40" t="str">
        <f aca="false">IF(OR(BM319="",CG319=""),"",BM319/CG319*100)</f>
        <v/>
      </c>
      <c r="BO319" s="41" t="str">
        <f aca="false">IF(BN319="","",IFERROR(MATCH(BN319,INDEX(Boundaries!$B$2:$I$30,MATCH(CU319,Boundaries!$A$2:$A$30,0),0),1)-1,""))</f>
        <v/>
      </c>
      <c r="BP319" s="42" t="str">
        <f aca="false">IF(OR(BO319="",$E319=""),"",BO319-$E319)</f>
        <v/>
      </c>
      <c r="BQ319" s="39"/>
      <c r="BR319" s="40" t="str">
        <f aca="false">IF(OR(BQ319="",CH319=""),"",BQ319/CH319*100)</f>
        <v/>
      </c>
      <c r="BS319" s="41" t="str">
        <f aca="false">IF(BR319="","",IFERROR(MATCH(BR319,INDEX(Boundaries!$B$2:$I$30,MATCH(CV319,Boundaries!$A$2:$A$30,0),0),1)-1,""))</f>
        <v/>
      </c>
      <c r="BT319" s="42" t="str">
        <f aca="false">IF(OR(BS319="",$E319=""),"",BS319-$E319)</f>
        <v/>
      </c>
      <c r="BU319" s="28" t="n">
        <f aca="false">IFERROR(INDEX(Assessments!$H$2:$H$600,MATCH($H319&amp;"|"&amp;$I319&amp;"|"&amp;$J319&amp;"|"&amp;1,Assessments!$A$2:$A$600,0)),"")</f>
        <v>24</v>
      </c>
      <c r="BV319" s="28" t="n">
        <f aca="false">IFERROR(INDEX(Assessments!$H$2:$H$600,MATCH($H319&amp;"|"&amp;$I319&amp;"|"&amp;$J319&amp;"|"&amp;2,Assessments!$A$2:$A$600,0)),"")</f>
        <v>20</v>
      </c>
      <c r="BW319" s="28" t="n">
        <f aca="false">IFERROR(INDEX(Assessments!$H$2:$H$600,MATCH($H319&amp;"|"&amp;$I319&amp;"|"&amp;$J319&amp;"|"&amp;3,Assessments!$A$2:$A$600,0)),"")</f>
        <v>20</v>
      </c>
      <c r="BX319" s="28" t="n">
        <f aca="false">IFERROR(INDEX(Assessments!$H$2:$H$600,MATCH($H319&amp;"|"&amp;$I319&amp;"|"&amp;$J319&amp;"|"&amp;4,Assessments!$A$2:$A$600,0)),"")</f>
        <v>40</v>
      </c>
      <c r="BY319" s="28" t="n">
        <f aca="false">IFERROR(INDEX(Assessments!$H$2:$H$600,MATCH($H319&amp;"|"&amp;$I319&amp;"|"&amp;$J319&amp;"|"&amp;5,Assessments!$A$2:$A$600,0)),"")</f>
        <v>30</v>
      </c>
      <c r="BZ319" s="28" t="n">
        <f aca="false">IFERROR(INDEX(Assessments!$H$2:$H$600,MATCH($H319&amp;"|"&amp;$I319&amp;"|"&amp;$J319&amp;"|"&amp;6,Assessments!$A$2:$A$600,0)),"")</f>
        <v>20</v>
      </c>
      <c r="CA319" s="28" t="n">
        <f aca="false">IFERROR(INDEX(Assessments!$H$2:$H$600,MATCH($H319&amp;"|"&amp;$I319&amp;"|"&amp;$J319&amp;"|"&amp;7,Assessments!$A$2:$A$600,0)),"")</f>
        <v>50</v>
      </c>
      <c r="CB319" s="28" t="str">
        <f aca="false">IFERROR(INDEX(Assessments!$H$2:$H$600,MATCH($H319&amp;"|"&amp;$I319&amp;"|"&amp;$J319&amp;"|"&amp;8,Assessments!$A$2:$A$600,0)),"")</f>
        <v/>
      </c>
      <c r="CC319" s="28" t="str">
        <f aca="false">IFERROR(INDEX(Assessments!$H$2:$H$600,MATCH($H319&amp;"|"&amp;$I319&amp;"|"&amp;$J319&amp;"|"&amp;9,Assessments!$A$2:$A$600,0)),"")</f>
        <v/>
      </c>
      <c r="CD319" s="28" t="str">
        <f aca="false">IFERROR(INDEX(Assessments!$H$2:$H$600,MATCH($H319&amp;"|"&amp;$I319&amp;"|"&amp;$J319&amp;"|"&amp;10,Assessments!$A$2:$A$600,0)),"")</f>
        <v/>
      </c>
      <c r="CE319" s="28" t="str">
        <f aca="false">IFERROR(INDEX(Assessments!$H$2:$H$600,MATCH($H319&amp;"|"&amp;$I319&amp;"|"&amp;$J319&amp;"|"&amp;11,Assessments!$A$2:$A$600,0)),"")</f>
        <v/>
      </c>
      <c r="CF319" s="28" t="str">
        <f aca="false">IFERROR(INDEX(Assessments!$H$2:$H$600,MATCH($H319&amp;"|"&amp;$I319&amp;"|"&amp;$J319&amp;"|"&amp;12,Assessments!$A$2:$A$600,0)),"")</f>
        <v/>
      </c>
      <c r="CG319" s="28" t="str">
        <f aca="false">IFERROR(INDEX(Assessments!$H$2:$H$600,MATCH($H319&amp;"|"&amp;$I319&amp;"|"&amp;$J319&amp;"|"&amp;13,Assessments!$A$2:$A$600,0)),"")</f>
        <v/>
      </c>
      <c r="CH319" s="28" t="str">
        <f aca="false">IFERROR(INDEX(Assessments!$H$2:$H$600,MATCH($H319&amp;"|"&amp;$I319&amp;"|"&amp;$J319&amp;"|"&amp;14,Assessments!$A$2:$A$600,0)),"")</f>
        <v/>
      </c>
      <c r="CI319" s="28" t="str">
        <f aca="false">IFERROR(INDEX(Assessments!$I$2:$I$600,MATCH($H319&amp;"|"&amp;$I319&amp;"|"&amp;$J319&amp;"|"&amp;1,Assessments!$A$2:$A$600,0)),"")</f>
        <v>BM Test</v>
      </c>
      <c r="CJ319" s="28" t="str">
        <f aca="false">IFERROR(INDEX(Assessments!$I$2:$I$600,MATCH($H319&amp;"|"&amp;$I319&amp;"|"&amp;$J319&amp;"|"&amp;2,Assessments!$A$2:$A$600,0)),"")</f>
        <v>BM Test</v>
      </c>
      <c r="CK319" s="28" t="str">
        <f aca="false">IFERROR(INDEX(Assessments!$I$2:$I$600,MATCH($H319&amp;"|"&amp;$I319&amp;"|"&amp;$J319&amp;"|"&amp;3,Assessments!$A$2:$A$600,0)),"")</f>
        <v>BM Test</v>
      </c>
      <c r="CL319" s="28" t="str">
        <f aca="false">IFERROR(INDEX(Assessments!$I$2:$I$600,MATCH($H319&amp;"|"&amp;$I319&amp;"|"&amp;$J319&amp;"|"&amp;4,Assessments!$A$2:$A$600,0)),"")</f>
        <v>BM Exam</v>
      </c>
      <c r="CM319" s="28" t="str">
        <f aca="false">IFERROR(INDEX(Assessments!$I$2:$I$600,MATCH($H319&amp;"|"&amp;$I319&amp;"|"&amp;$J319&amp;"|"&amp;5,Assessments!$A$2:$A$600,0)),"")</f>
        <v>BM Test</v>
      </c>
      <c r="CN319" s="28" t="str">
        <f aca="false">IFERROR(INDEX(Assessments!$I$2:$I$600,MATCH($H319&amp;"|"&amp;$I319&amp;"|"&amp;$J319&amp;"|"&amp;6,Assessments!$A$2:$A$600,0)),"")</f>
        <v>BM Test</v>
      </c>
      <c r="CO319" s="28" t="str">
        <f aca="false">IFERROR(INDEX(Assessments!$I$2:$I$600,MATCH($H319&amp;"|"&amp;$I319&amp;"|"&amp;$J319&amp;"|"&amp;7,Assessments!$A$2:$A$600,0)),"")</f>
        <v>BM Exam</v>
      </c>
      <c r="CP319" s="28" t="str">
        <f aca="false">IFERROR(INDEX(Assessments!$I$2:$I$600,MATCH($H319&amp;"|"&amp;$I319&amp;"|"&amp;$J319&amp;"|"&amp;8,Assessments!$A$2:$A$600,0)),"")</f>
        <v/>
      </c>
      <c r="CQ319" s="28" t="str">
        <f aca="false">IFERROR(INDEX(Assessments!$I$2:$I$600,MATCH($H319&amp;"|"&amp;$I319&amp;"|"&amp;$J319&amp;"|"&amp;9,Assessments!$A$2:$A$600,0)),"")</f>
        <v/>
      </c>
      <c r="CR319" s="28" t="str">
        <f aca="false">IFERROR(INDEX(Assessments!$I$2:$I$600,MATCH($H319&amp;"|"&amp;$I319&amp;"|"&amp;$J319&amp;"|"&amp;10,Assessments!$A$2:$A$600,0)),"")</f>
        <v/>
      </c>
      <c r="CS319" s="28" t="str">
        <f aca="false">IFERROR(INDEX(Assessments!$I$2:$I$600,MATCH($H319&amp;"|"&amp;$I319&amp;"|"&amp;$J319&amp;"|"&amp;11,Assessments!$A$2:$A$600,0)),"")</f>
        <v/>
      </c>
      <c r="CT319" s="28" t="str">
        <f aca="false">IFERROR(INDEX(Assessments!$I$2:$I$600,MATCH($H319&amp;"|"&amp;$I319&amp;"|"&amp;$J319&amp;"|"&amp;12,Assessments!$A$2:$A$600,0)),"")</f>
        <v/>
      </c>
      <c r="CU319" s="28" t="str">
        <f aca="false">IFERROR(INDEX(Assessments!$I$2:$I$600,MATCH($H319&amp;"|"&amp;$I319&amp;"|"&amp;$J319&amp;"|"&amp;13,Assessments!$A$2:$A$600,0)),"")</f>
        <v/>
      </c>
      <c r="CV319" s="28" t="str">
        <f aca="false">IFERROR(INDEX(Assessments!$I$2:$I$600,MATCH($H319&amp;"|"&amp;$I319&amp;"|"&amp;$J319&amp;"|"&amp;14,Assessments!$A$2:$A$600,0)),"")</f>
        <v/>
      </c>
      <c r="CW319" s="28" t="n">
        <f aca="false">IFERROR(INDEX(Assessments!$J$2:$J$600,MATCH($H319&amp;"|"&amp;$I319&amp;"|"&amp;$J319&amp;"|"&amp;1,Assessments!$A$2:$A$600,0)),0)</f>
        <v>1</v>
      </c>
      <c r="CX319" s="28" t="n">
        <f aca="false">IFERROR(INDEX(Assessments!$J$2:$J$600,MATCH($H319&amp;"|"&amp;$I319&amp;"|"&amp;$J319&amp;"|"&amp;2,Assessments!$A$2:$A$600,0)),0)</f>
        <v>1</v>
      </c>
      <c r="CY319" s="28" t="n">
        <f aca="false">IFERROR(INDEX(Assessments!$J$2:$J$600,MATCH($H319&amp;"|"&amp;$I319&amp;"|"&amp;$J319&amp;"|"&amp;3,Assessments!$A$2:$A$600,0)),0)</f>
        <v>1</v>
      </c>
      <c r="CZ319" s="28" t="n">
        <f aca="false">IFERROR(INDEX(Assessments!$J$2:$J$600,MATCH($H319&amp;"|"&amp;$I319&amp;"|"&amp;$J319&amp;"|"&amp;4,Assessments!$A$2:$A$600,0)),0)</f>
        <v>2</v>
      </c>
      <c r="DA319" s="28" t="n">
        <f aca="false">IFERROR(INDEX(Assessments!$J$2:$J$600,MATCH($H319&amp;"|"&amp;$I319&amp;"|"&amp;$J319&amp;"|"&amp;5,Assessments!$A$2:$A$600,0)),0)</f>
        <v>1</v>
      </c>
      <c r="DB319" s="28" t="n">
        <f aca="false">IFERROR(INDEX(Assessments!$J$2:$J$600,MATCH($H319&amp;"|"&amp;$I319&amp;"|"&amp;$J319&amp;"|"&amp;6,Assessments!$A$2:$A$600,0)),0)</f>
        <v>1</v>
      </c>
      <c r="DC319" s="28" t="n">
        <f aca="false">IFERROR(INDEX(Assessments!$J$2:$J$600,MATCH($H319&amp;"|"&amp;$I319&amp;"|"&amp;$J319&amp;"|"&amp;7,Assessments!$A$2:$A$600,0)),0)</f>
        <v>2</v>
      </c>
      <c r="DD319" s="28" t="n">
        <f aca="false">IFERROR(INDEX(Assessments!$J$2:$J$600,MATCH($H319&amp;"|"&amp;$I319&amp;"|"&amp;$J319&amp;"|"&amp;8,Assessments!$A$2:$A$600,0)),0)</f>
        <v>0</v>
      </c>
      <c r="DE319" s="28" t="n">
        <f aca="false">IFERROR(INDEX(Assessments!$J$2:$J$600,MATCH($H319&amp;"|"&amp;$I319&amp;"|"&amp;$J319&amp;"|"&amp;9,Assessments!$A$2:$A$600,0)),0)</f>
        <v>0</v>
      </c>
      <c r="DF319" s="28" t="n">
        <f aca="false">IFERROR(INDEX(Assessments!$J$2:$J$600,MATCH($H319&amp;"|"&amp;$I319&amp;"|"&amp;$J319&amp;"|"&amp;10,Assessments!$A$2:$A$600,0)),0)</f>
        <v>0</v>
      </c>
      <c r="DG319" s="28" t="n">
        <f aca="false">IFERROR(INDEX(Assessments!$J$2:$J$600,MATCH($H319&amp;"|"&amp;$I319&amp;"|"&amp;$J319&amp;"|"&amp;11,Assessments!$A$2:$A$600,0)),0)</f>
        <v>0</v>
      </c>
      <c r="DH319" s="28" t="n">
        <f aca="false">IFERROR(INDEX(Assessments!$J$2:$J$600,MATCH($H319&amp;"|"&amp;$I319&amp;"|"&amp;$J319&amp;"|"&amp;12,Assessments!$A$2:$A$600,0)),0)</f>
        <v>0</v>
      </c>
      <c r="DI319" s="28" t="n">
        <f aca="false">IFERROR(INDEX(Assessments!$J$2:$J$600,MATCH($H319&amp;"|"&amp;$I319&amp;"|"&amp;$J319&amp;"|"&amp;13,Assessments!$A$2:$A$600,0)),0)</f>
        <v>0</v>
      </c>
      <c r="DJ319" s="28" t="n">
        <f aca="false">IFERROR(INDEX(Assessments!$J$2:$J$600,MATCH($H319&amp;"|"&amp;$I319&amp;"|"&amp;$J319&amp;"|"&amp;14,Assessments!$A$2:$A$600,0)),0)</f>
        <v>0</v>
      </c>
      <c r="DK319" s="28" t="n">
        <f aca="false">S319</f>
        <v>7</v>
      </c>
      <c r="DL319" s="28" t="str">
        <f aca="false">W319</f>
        <v/>
      </c>
      <c r="DM319" s="28" t="str">
        <f aca="false">AA319</f>
        <v/>
      </c>
      <c r="DN319" s="28" t="str">
        <f aca="false">AE319</f>
        <v/>
      </c>
      <c r="DO319" s="28" t="str">
        <f aca="false">AI319</f>
        <v/>
      </c>
      <c r="DP319" s="28" t="str">
        <f aca="false">AM319</f>
        <v/>
      </c>
      <c r="DQ319" s="28" t="str">
        <f aca="false">AQ319</f>
        <v/>
      </c>
      <c r="DR319" s="28" t="str">
        <f aca="false">AU319</f>
        <v/>
      </c>
      <c r="DS319" s="28" t="str">
        <f aca="false">AY319</f>
        <v/>
      </c>
      <c r="DT319" s="28" t="str">
        <f aca="false">BC319</f>
        <v/>
      </c>
      <c r="DU319" s="28" t="str">
        <f aca="false">BG319</f>
        <v/>
      </c>
      <c r="DV319" s="28" t="str">
        <f aca="false">BK319</f>
        <v/>
      </c>
      <c r="DW319" s="28" t="str">
        <f aca="false">BO319</f>
        <v/>
      </c>
      <c r="DX319" s="28" t="str">
        <f aca="false">BS319</f>
        <v/>
      </c>
      <c r="DY319" s="28" t="n">
        <f aca="false">IF(ISNUMBER(S319),1,"")</f>
        <v>1</v>
      </c>
      <c r="DZ319" s="28" t="str">
        <f aca="false">IF(ISNUMBER(W319),2,"")</f>
        <v/>
      </c>
      <c r="EA319" s="28" t="str">
        <f aca="false">IF(ISNUMBER(AA319),3,"")</f>
        <v/>
      </c>
      <c r="EB319" s="28" t="str">
        <f aca="false">IF(ISNUMBER(AE319),4,"")</f>
        <v/>
      </c>
      <c r="EC319" s="28" t="str">
        <f aca="false">IF(ISNUMBER(AI319),5,"")</f>
        <v/>
      </c>
      <c r="ED319" s="28" t="str">
        <f aca="false">IF(ISNUMBER(AM319),6,"")</f>
        <v/>
      </c>
      <c r="EE319" s="28" t="str">
        <f aca="false">IF(ISNUMBER(AQ319),7,"")</f>
        <v/>
      </c>
      <c r="EF319" s="28" t="str">
        <f aca="false">IF(ISNUMBER(AU319),8,"")</f>
        <v/>
      </c>
      <c r="EG319" s="28" t="str">
        <f aca="false">IF(ISNUMBER(AY319),9,"")</f>
        <v/>
      </c>
      <c r="EH319" s="28" t="str">
        <f aca="false">IF(ISNUMBER(BC319),10,"")</f>
        <v/>
      </c>
      <c r="EI319" s="28" t="str">
        <f aca="false">IF(ISNUMBER(BG319),11,"")</f>
        <v/>
      </c>
      <c r="EJ319" s="28" t="str">
        <f aca="false">IF(ISNUMBER(BK319),12,"")</f>
        <v/>
      </c>
      <c r="EK319" s="28" t="str">
        <f aca="false">IF(ISNUMBER(BO319),13,"")</f>
        <v/>
      </c>
      <c r="EL319" s="28" t="str">
        <f aca="false">IF(ISNUMBER(BS319),14,"")</f>
        <v/>
      </c>
      <c r="EM319" s="28" t="n">
        <f aca="false">IF(ISNUMBER(R319),R319*CW319,0)</f>
        <v>95.8333333333333</v>
      </c>
      <c r="EN319" s="28" t="n">
        <f aca="false">IF(ISNUMBER(V319),V319*CX319,0)</f>
        <v>0</v>
      </c>
      <c r="EO319" s="28" t="n">
        <f aca="false">IF(ISNUMBER(Z319),Z319*CY319,0)</f>
        <v>0</v>
      </c>
      <c r="EP319" s="28" t="n">
        <f aca="false">IF(ISNUMBER(AD319),AD319*CZ319,0)</f>
        <v>0</v>
      </c>
      <c r="EQ319" s="28" t="n">
        <f aca="false">IF(ISNUMBER(AH319),AH319*DA319,0)</f>
        <v>0</v>
      </c>
      <c r="ER319" s="28" t="n">
        <f aca="false">IF(ISNUMBER(AL319),AL319*DB319,0)</f>
        <v>0</v>
      </c>
      <c r="ES319" s="28" t="n">
        <f aca="false">IF(ISNUMBER(AP319),AP319*DC319,0)</f>
        <v>0</v>
      </c>
      <c r="ET319" s="28" t="n">
        <f aca="false">IF(ISNUMBER(AT319),AT319*DD319,0)</f>
        <v>0</v>
      </c>
      <c r="EU319" s="28" t="n">
        <f aca="false">IF(ISNUMBER(AX319),AX319*DE319,0)</f>
        <v>0</v>
      </c>
      <c r="EV319" s="28" t="n">
        <f aca="false">IF(ISNUMBER(BB319),BB319*DF319,0)</f>
        <v>0</v>
      </c>
      <c r="EW319" s="28" t="n">
        <f aca="false">IF(ISNUMBER(BF319),BF319*DG319,0)</f>
        <v>0</v>
      </c>
      <c r="EX319" s="28" t="n">
        <f aca="false">IF(ISNUMBER(BJ319),BJ319*DH319,0)</f>
        <v>0</v>
      </c>
      <c r="EY319" s="28" t="n">
        <f aca="false">IF(ISNUMBER(BN319),BN319*DI319,0)</f>
        <v>0</v>
      </c>
      <c r="EZ319" s="28" t="n">
        <f aca="false">IF(ISNUMBER(BR319),BR319*DJ319,0)</f>
        <v>0</v>
      </c>
      <c r="FA319" s="28" t="n">
        <f aca="false">IF(ISNUMBER(R319),CW319,0)</f>
        <v>1</v>
      </c>
      <c r="FB319" s="28" t="n">
        <f aca="false">IF(ISNUMBER(V319),CX319,0)</f>
        <v>0</v>
      </c>
      <c r="FC319" s="28" t="n">
        <f aca="false">IF(ISNUMBER(Z319),CY319,0)</f>
        <v>0</v>
      </c>
      <c r="FD319" s="28" t="n">
        <f aca="false">IF(ISNUMBER(AD319),CZ319,0)</f>
        <v>0</v>
      </c>
      <c r="FE319" s="28" t="n">
        <f aca="false">IF(ISNUMBER(AH319),DA319,0)</f>
        <v>0</v>
      </c>
      <c r="FF319" s="28" t="n">
        <f aca="false">IF(ISNUMBER(AL319),DB319,0)</f>
        <v>0</v>
      </c>
      <c r="FG319" s="28" t="n">
        <f aca="false">IF(ISNUMBER(AP319),DC319,0)</f>
        <v>0</v>
      </c>
      <c r="FH319" s="28" t="n">
        <f aca="false">IF(ISNUMBER(AT319),DD319,0)</f>
        <v>0</v>
      </c>
      <c r="FI319" s="28" t="n">
        <f aca="false">IF(ISNUMBER(AX319),DE319,0)</f>
        <v>0</v>
      </c>
      <c r="FJ319" s="28" t="n">
        <f aca="false">IF(ISNUMBER(BB319),DF319,0)</f>
        <v>0</v>
      </c>
      <c r="FK319" s="28" t="n">
        <f aca="false">IF(ISNUMBER(BF319),DG319,0)</f>
        <v>0</v>
      </c>
      <c r="FL319" s="28" t="n">
        <f aca="false">IF(ISNUMBER(BJ319),DH319,0)</f>
        <v>0</v>
      </c>
      <c r="FM319" s="28" t="n">
        <f aca="false">IF(ISNUMBER(BN319),DI319,0)</f>
        <v>0</v>
      </c>
      <c r="FN319" s="28" t="n">
        <f aca="false">IF(ISNUMBER(BR319),DJ319,0)</f>
        <v>0</v>
      </c>
      <c r="FO319" s="28" t="str">
        <f aca="false">IFERROR(INDEX(Lists!$G$2:$G$20,MATCH($I319&amp;"|"&amp;$J319,Lists!$F$2:$F$20,0)),"")</f>
        <v>BM Exam</v>
      </c>
    </row>
    <row r="320" customFormat="false" ht="19.5" hidden="false" customHeight="true" outlineLevel="0" collapsed="false">
      <c r="A320" s="29" t="s">
        <v>619</v>
      </c>
      <c r="B320" s="29" t="s">
        <v>620</v>
      </c>
      <c r="C320" s="30" t="s">
        <v>152</v>
      </c>
      <c r="D320" s="30" t="s">
        <v>408</v>
      </c>
      <c r="E320" s="31"/>
      <c r="F320" s="30"/>
      <c r="G320" s="30"/>
      <c r="H320" s="32" t="s">
        <v>428</v>
      </c>
      <c r="I320" s="33" t="s">
        <v>365</v>
      </c>
      <c r="J320" s="32" t="s">
        <v>25</v>
      </c>
      <c r="K320" s="34" t="str">
        <f aca="false">IF(OR(M320="",$E320=""),"",M320-$E320)</f>
        <v/>
      </c>
      <c r="L320" s="35" t="n">
        <f aca="false">IF(SUM(FA320:FN320)=0,"",SUM(EM320:EZ320)/SUM(FA320:FN320))</f>
        <v>75</v>
      </c>
      <c r="M320" s="36" t="n">
        <f aca="false">IF(OR(L320="",FO320=""),"",IFERROR(MATCH(L320,INDEX(Boundaries!$B$2:$I$30,MATCH(FO320,Boundaries!$A$2:$A$30,0),0),1)-1,""))</f>
        <v>7</v>
      </c>
      <c r="N320" s="37" t="str">
        <f aca="false">IF(COUNT($DY320:$EL320)&lt;2,"",INDEX($DK320:$DX320,MAX($DY320:$EL320))-INDEX($DK320:$DX320,MIN($DY320:$EL320)))</f>
        <v/>
      </c>
      <c r="O320" s="37" t="str">
        <f aca="false">IF(COUNT($DY320:$EL320)&lt;2,"",INDEX($DK320:$DX320,MAX($DY320:$EL320))-INDEX($DK320:$DX320,LARGE($DY320:$EL320,2)))</f>
        <v/>
      </c>
      <c r="P320" s="38" t="str">
        <f aca="false">IF(K320="","",IF(K320&gt;=0,"On/above target",IF(AND(N320&lt;&gt;"",N320&gt;=0.5),"Improving towards target",IF(AND(O320&lt;&gt;"",O320&lt;=-0.5),"Declining","Stable below target"))))</f>
        <v/>
      </c>
      <c r="Q320" s="39" t="n">
        <v>18</v>
      </c>
      <c r="R320" s="40" t="n">
        <f aca="false">IF(OR(Q320="",BU320=""),"",Q320/BU320*100)</f>
        <v>75</v>
      </c>
      <c r="S320" s="41" t="n">
        <f aca="false">IF(R320="","",IFERROR(MATCH(R320,INDEX(Boundaries!$B$2:$I$30,MATCH(CI320,Boundaries!$A$2:$A$30,0),0),1)-1,""))</f>
        <v>7</v>
      </c>
      <c r="T320" s="42" t="str">
        <f aca="false">IF(OR(S320="",$E320=""),"",S320-$E320)</f>
        <v/>
      </c>
      <c r="U320" s="39"/>
      <c r="V320" s="40" t="str">
        <f aca="false">IF(OR(U320="",BV320=""),"",U320/BV320*100)</f>
        <v/>
      </c>
      <c r="W320" s="41" t="str">
        <f aca="false">IF(V320="","",IFERROR(MATCH(V320,INDEX(Boundaries!$B$2:$I$30,MATCH(CJ320,Boundaries!$A$2:$A$30,0),0),1)-1,""))</f>
        <v/>
      </c>
      <c r="X320" s="42" t="str">
        <f aca="false">IF(OR(W320="",$E320=""),"",W320-$E320)</f>
        <v/>
      </c>
      <c r="Y320" s="39"/>
      <c r="Z320" s="40" t="str">
        <f aca="false">IF(OR(Y320="",BW320=""),"",Y320/BW320*100)</f>
        <v/>
      </c>
      <c r="AA320" s="41" t="str">
        <f aca="false">IF(Z320="","",IFERROR(MATCH(Z320,INDEX(Boundaries!$B$2:$I$30,MATCH(CK320,Boundaries!$A$2:$A$30,0),0),1)-1,""))</f>
        <v/>
      </c>
      <c r="AB320" s="42" t="str">
        <f aca="false">IF(OR(AA320="",$E320=""),"",AA320-$E320)</f>
        <v/>
      </c>
      <c r="AC320" s="39"/>
      <c r="AD320" s="40" t="str">
        <f aca="false">IF(OR(AC320="",BX320=""),"",AC320/BX320*100)</f>
        <v/>
      </c>
      <c r="AE320" s="41" t="str">
        <f aca="false">IF(AD320="","",IFERROR(MATCH(AD320,INDEX(Boundaries!$B$2:$I$30,MATCH(CL320,Boundaries!$A$2:$A$30,0),0),1)-1,""))</f>
        <v/>
      </c>
      <c r="AF320" s="42" t="str">
        <f aca="false">IF(OR(AE320="",$E320=""),"",AE320-$E320)</f>
        <v/>
      </c>
      <c r="AG320" s="39"/>
      <c r="AH320" s="40" t="str">
        <f aca="false">IF(OR(AG320="",BY320=""),"",AG320/BY320*100)</f>
        <v/>
      </c>
      <c r="AI320" s="41" t="str">
        <f aca="false">IF(AH320="","",IFERROR(MATCH(AH320,INDEX(Boundaries!$B$2:$I$30,MATCH(CM320,Boundaries!$A$2:$A$30,0),0),1)-1,""))</f>
        <v/>
      </c>
      <c r="AJ320" s="42" t="str">
        <f aca="false">IF(OR(AI320="",$E320=""),"",AI320-$E320)</f>
        <v/>
      </c>
      <c r="AK320" s="39"/>
      <c r="AL320" s="40" t="str">
        <f aca="false">IF(OR(AK320="",BZ320=""),"",AK320/BZ320*100)</f>
        <v/>
      </c>
      <c r="AM320" s="41" t="str">
        <f aca="false">IF(AL320="","",IFERROR(MATCH(AL320,INDEX(Boundaries!$B$2:$I$30,MATCH(CN320,Boundaries!$A$2:$A$30,0),0),1)-1,""))</f>
        <v/>
      </c>
      <c r="AN320" s="42" t="str">
        <f aca="false">IF(OR(AM320="",$E320=""),"",AM320-$E320)</f>
        <v/>
      </c>
      <c r="AO320" s="39"/>
      <c r="AP320" s="40" t="str">
        <f aca="false">IF(OR(AO320="",CA320=""),"",AO320/CA320*100)</f>
        <v/>
      </c>
      <c r="AQ320" s="41" t="str">
        <f aca="false">IF(AP320="","",IFERROR(MATCH(AP320,INDEX(Boundaries!$B$2:$I$30,MATCH(CO320,Boundaries!$A$2:$A$30,0),0),1)-1,""))</f>
        <v/>
      </c>
      <c r="AR320" s="42" t="str">
        <f aca="false">IF(OR(AQ320="",$E320=""),"",AQ320-$E320)</f>
        <v/>
      </c>
      <c r="AS320" s="39"/>
      <c r="AT320" s="40" t="str">
        <f aca="false">IF(OR(AS320="",CB320=""),"",AS320/CB320*100)</f>
        <v/>
      </c>
      <c r="AU320" s="41" t="str">
        <f aca="false">IF(AT320="","",IFERROR(MATCH(AT320,INDEX(Boundaries!$B$2:$I$30,MATCH(CP320,Boundaries!$A$2:$A$30,0),0),1)-1,""))</f>
        <v/>
      </c>
      <c r="AV320" s="42" t="str">
        <f aca="false">IF(OR(AU320="",$E320=""),"",AU320-$E320)</f>
        <v/>
      </c>
      <c r="AW320" s="39"/>
      <c r="AX320" s="40" t="str">
        <f aca="false">IF(OR(AW320="",CC320=""),"",AW320/CC320*100)</f>
        <v/>
      </c>
      <c r="AY320" s="41" t="str">
        <f aca="false">IF(AX320="","",IFERROR(MATCH(AX320,INDEX(Boundaries!$B$2:$I$30,MATCH(CQ320,Boundaries!$A$2:$A$30,0),0),1)-1,""))</f>
        <v/>
      </c>
      <c r="AZ320" s="42" t="str">
        <f aca="false">IF(OR(AY320="",$E320=""),"",AY320-$E320)</f>
        <v/>
      </c>
      <c r="BA320" s="39"/>
      <c r="BB320" s="40" t="str">
        <f aca="false">IF(OR(BA320="",CD320=""),"",BA320/CD320*100)</f>
        <v/>
      </c>
      <c r="BC320" s="41" t="str">
        <f aca="false">IF(BB320="","",IFERROR(MATCH(BB320,INDEX(Boundaries!$B$2:$I$30,MATCH(CR320,Boundaries!$A$2:$A$30,0),0),1)-1,""))</f>
        <v/>
      </c>
      <c r="BD320" s="42" t="str">
        <f aca="false">IF(OR(BC320="",$E320=""),"",BC320-$E320)</f>
        <v/>
      </c>
      <c r="BE320" s="39"/>
      <c r="BF320" s="40" t="str">
        <f aca="false">IF(OR(BE320="",CE320=""),"",BE320/CE320*100)</f>
        <v/>
      </c>
      <c r="BG320" s="41" t="str">
        <f aca="false">IF(BF320="","",IFERROR(MATCH(BF320,INDEX(Boundaries!$B$2:$I$30,MATCH(CS320,Boundaries!$A$2:$A$30,0),0),1)-1,""))</f>
        <v/>
      </c>
      <c r="BH320" s="42" t="str">
        <f aca="false">IF(OR(BG320="",$E320=""),"",BG320-$E320)</f>
        <v/>
      </c>
      <c r="BI320" s="39"/>
      <c r="BJ320" s="40" t="str">
        <f aca="false">IF(OR(BI320="",CF320=""),"",BI320/CF320*100)</f>
        <v/>
      </c>
      <c r="BK320" s="41" t="str">
        <f aca="false">IF(BJ320="","",IFERROR(MATCH(BJ320,INDEX(Boundaries!$B$2:$I$30,MATCH(CT320,Boundaries!$A$2:$A$30,0),0),1)-1,""))</f>
        <v/>
      </c>
      <c r="BL320" s="42" t="str">
        <f aca="false">IF(OR(BK320="",$E320=""),"",BK320-$E320)</f>
        <v/>
      </c>
      <c r="BM320" s="39"/>
      <c r="BN320" s="40" t="str">
        <f aca="false">IF(OR(BM320="",CG320=""),"",BM320/CG320*100)</f>
        <v/>
      </c>
      <c r="BO320" s="41" t="str">
        <f aca="false">IF(BN320="","",IFERROR(MATCH(BN320,INDEX(Boundaries!$B$2:$I$30,MATCH(CU320,Boundaries!$A$2:$A$30,0),0),1)-1,""))</f>
        <v/>
      </c>
      <c r="BP320" s="42" t="str">
        <f aca="false">IF(OR(BO320="",$E320=""),"",BO320-$E320)</f>
        <v/>
      </c>
      <c r="BQ320" s="39"/>
      <c r="BR320" s="40" t="str">
        <f aca="false">IF(OR(BQ320="",CH320=""),"",BQ320/CH320*100)</f>
        <v/>
      </c>
      <c r="BS320" s="41" t="str">
        <f aca="false">IF(BR320="","",IFERROR(MATCH(BR320,INDEX(Boundaries!$B$2:$I$30,MATCH(CV320,Boundaries!$A$2:$A$30,0),0),1)-1,""))</f>
        <v/>
      </c>
      <c r="BT320" s="42" t="str">
        <f aca="false">IF(OR(BS320="",$E320=""),"",BS320-$E320)</f>
        <v/>
      </c>
      <c r="BU320" s="28" t="n">
        <f aca="false">IFERROR(INDEX(Assessments!$H$2:$H$600,MATCH($H320&amp;"|"&amp;$I320&amp;"|"&amp;$J320&amp;"|"&amp;1,Assessments!$A$2:$A$600,0)),"")</f>
        <v>24</v>
      </c>
      <c r="BV320" s="28" t="n">
        <f aca="false">IFERROR(INDEX(Assessments!$H$2:$H$600,MATCH($H320&amp;"|"&amp;$I320&amp;"|"&amp;$J320&amp;"|"&amp;2,Assessments!$A$2:$A$600,0)),"")</f>
        <v>20</v>
      </c>
      <c r="BW320" s="28" t="n">
        <f aca="false">IFERROR(INDEX(Assessments!$H$2:$H$600,MATCH($H320&amp;"|"&amp;$I320&amp;"|"&amp;$J320&amp;"|"&amp;3,Assessments!$A$2:$A$600,0)),"")</f>
        <v>20</v>
      </c>
      <c r="BX320" s="28" t="n">
        <f aca="false">IFERROR(INDEX(Assessments!$H$2:$H$600,MATCH($H320&amp;"|"&amp;$I320&amp;"|"&amp;$J320&amp;"|"&amp;4,Assessments!$A$2:$A$600,0)),"")</f>
        <v>40</v>
      </c>
      <c r="BY320" s="28" t="n">
        <f aca="false">IFERROR(INDEX(Assessments!$H$2:$H$600,MATCH($H320&amp;"|"&amp;$I320&amp;"|"&amp;$J320&amp;"|"&amp;5,Assessments!$A$2:$A$600,0)),"")</f>
        <v>30</v>
      </c>
      <c r="BZ320" s="28" t="n">
        <f aca="false">IFERROR(INDEX(Assessments!$H$2:$H$600,MATCH($H320&amp;"|"&amp;$I320&amp;"|"&amp;$J320&amp;"|"&amp;6,Assessments!$A$2:$A$600,0)),"")</f>
        <v>20</v>
      </c>
      <c r="CA320" s="28" t="n">
        <f aca="false">IFERROR(INDEX(Assessments!$H$2:$H$600,MATCH($H320&amp;"|"&amp;$I320&amp;"|"&amp;$J320&amp;"|"&amp;7,Assessments!$A$2:$A$600,0)),"")</f>
        <v>50</v>
      </c>
      <c r="CB320" s="28" t="str">
        <f aca="false">IFERROR(INDEX(Assessments!$H$2:$H$600,MATCH($H320&amp;"|"&amp;$I320&amp;"|"&amp;$J320&amp;"|"&amp;8,Assessments!$A$2:$A$600,0)),"")</f>
        <v/>
      </c>
      <c r="CC320" s="28" t="str">
        <f aca="false">IFERROR(INDEX(Assessments!$H$2:$H$600,MATCH($H320&amp;"|"&amp;$I320&amp;"|"&amp;$J320&amp;"|"&amp;9,Assessments!$A$2:$A$600,0)),"")</f>
        <v/>
      </c>
      <c r="CD320" s="28" t="str">
        <f aca="false">IFERROR(INDEX(Assessments!$H$2:$H$600,MATCH($H320&amp;"|"&amp;$I320&amp;"|"&amp;$J320&amp;"|"&amp;10,Assessments!$A$2:$A$600,0)),"")</f>
        <v/>
      </c>
      <c r="CE320" s="28" t="str">
        <f aca="false">IFERROR(INDEX(Assessments!$H$2:$H$600,MATCH($H320&amp;"|"&amp;$I320&amp;"|"&amp;$J320&amp;"|"&amp;11,Assessments!$A$2:$A$600,0)),"")</f>
        <v/>
      </c>
      <c r="CF320" s="28" t="str">
        <f aca="false">IFERROR(INDEX(Assessments!$H$2:$H$600,MATCH($H320&amp;"|"&amp;$I320&amp;"|"&amp;$J320&amp;"|"&amp;12,Assessments!$A$2:$A$600,0)),"")</f>
        <v/>
      </c>
      <c r="CG320" s="28" t="str">
        <f aca="false">IFERROR(INDEX(Assessments!$H$2:$H$600,MATCH($H320&amp;"|"&amp;$I320&amp;"|"&amp;$J320&amp;"|"&amp;13,Assessments!$A$2:$A$600,0)),"")</f>
        <v/>
      </c>
      <c r="CH320" s="28" t="str">
        <f aca="false">IFERROR(INDEX(Assessments!$H$2:$H$600,MATCH($H320&amp;"|"&amp;$I320&amp;"|"&amp;$J320&amp;"|"&amp;14,Assessments!$A$2:$A$600,0)),"")</f>
        <v/>
      </c>
      <c r="CI320" s="28" t="str">
        <f aca="false">IFERROR(INDEX(Assessments!$I$2:$I$600,MATCH($H320&amp;"|"&amp;$I320&amp;"|"&amp;$J320&amp;"|"&amp;1,Assessments!$A$2:$A$600,0)),"")</f>
        <v>BM Test</v>
      </c>
      <c r="CJ320" s="28" t="str">
        <f aca="false">IFERROR(INDEX(Assessments!$I$2:$I$600,MATCH($H320&amp;"|"&amp;$I320&amp;"|"&amp;$J320&amp;"|"&amp;2,Assessments!$A$2:$A$600,0)),"")</f>
        <v>BM Test</v>
      </c>
      <c r="CK320" s="28" t="str">
        <f aca="false">IFERROR(INDEX(Assessments!$I$2:$I$600,MATCH($H320&amp;"|"&amp;$I320&amp;"|"&amp;$J320&amp;"|"&amp;3,Assessments!$A$2:$A$600,0)),"")</f>
        <v>BM Test</v>
      </c>
      <c r="CL320" s="28" t="str">
        <f aca="false">IFERROR(INDEX(Assessments!$I$2:$I$600,MATCH($H320&amp;"|"&amp;$I320&amp;"|"&amp;$J320&amp;"|"&amp;4,Assessments!$A$2:$A$600,0)),"")</f>
        <v>BM Exam</v>
      </c>
      <c r="CM320" s="28" t="str">
        <f aca="false">IFERROR(INDEX(Assessments!$I$2:$I$600,MATCH($H320&amp;"|"&amp;$I320&amp;"|"&amp;$J320&amp;"|"&amp;5,Assessments!$A$2:$A$600,0)),"")</f>
        <v>BM Test</v>
      </c>
      <c r="CN320" s="28" t="str">
        <f aca="false">IFERROR(INDEX(Assessments!$I$2:$I$600,MATCH($H320&amp;"|"&amp;$I320&amp;"|"&amp;$J320&amp;"|"&amp;6,Assessments!$A$2:$A$600,0)),"")</f>
        <v>BM Test</v>
      </c>
      <c r="CO320" s="28" t="str">
        <f aca="false">IFERROR(INDEX(Assessments!$I$2:$I$600,MATCH($H320&amp;"|"&amp;$I320&amp;"|"&amp;$J320&amp;"|"&amp;7,Assessments!$A$2:$A$600,0)),"")</f>
        <v>BM Exam</v>
      </c>
      <c r="CP320" s="28" t="str">
        <f aca="false">IFERROR(INDEX(Assessments!$I$2:$I$600,MATCH($H320&amp;"|"&amp;$I320&amp;"|"&amp;$J320&amp;"|"&amp;8,Assessments!$A$2:$A$600,0)),"")</f>
        <v/>
      </c>
      <c r="CQ320" s="28" t="str">
        <f aca="false">IFERROR(INDEX(Assessments!$I$2:$I$600,MATCH($H320&amp;"|"&amp;$I320&amp;"|"&amp;$J320&amp;"|"&amp;9,Assessments!$A$2:$A$600,0)),"")</f>
        <v/>
      </c>
      <c r="CR320" s="28" t="str">
        <f aca="false">IFERROR(INDEX(Assessments!$I$2:$I$600,MATCH($H320&amp;"|"&amp;$I320&amp;"|"&amp;$J320&amp;"|"&amp;10,Assessments!$A$2:$A$600,0)),"")</f>
        <v/>
      </c>
      <c r="CS320" s="28" t="str">
        <f aca="false">IFERROR(INDEX(Assessments!$I$2:$I$600,MATCH($H320&amp;"|"&amp;$I320&amp;"|"&amp;$J320&amp;"|"&amp;11,Assessments!$A$2:$A$600,0)),"")</f>
        <v/>
      </c>
      <c r="CT320" s="28" t="str">
        <f aca="false">IFERROR(INDEX(Assessments!$I$2:$I$600,MATCH($H320&amp;"|"&amp;$I320&amp;"|"&amp;$J320&amp;"|"&amp;12,Assessments!$A$2:$A$600,0)),"")</f>
        <v/>
      </c>
      <c r="CU320" s="28" t="str">
        <f aca="false">IFERROR(INDEX(Assessments!$I$2:$I$600,MATCH($H320&amp;"|"&amp;$I320&amp;"|"&amp;$J320&amp;"|"&amp;13,Assessments!$A$2:$A$600,0)),"")</f>
        <v/>
      </c>
      <c r="CV320" s="28" t="str">
        <f aca="false">IFERROR(INDEX(Assessments!$I$2:$I$600,MATCH($H320&amp;"|"&amp;$I320&amp;"|"&amp;$J320&amp;"|"&amp;14,Assessments!$A$2:$A$600,0)),"")</f>
        <v/>
      </c>
      <c r="CW320" s="28" t="n">
        <f aca="false">IFERROR(INDEX(Assessments!$J$2:$J$600,MATCH($H320&amp;"|"&amp;$I320&amp;"|"&amp;$J320&amp;"|"&amp;1,Assessments!$A$2:$A$600,0)),0)</f>
        <v>1</v>
      </c>
      <c r="CX320" s="28" t="n">
        <f aca="false">IFERROR(INDEX(Assessments!$J$2:$J$600,MATCH($H320&amp;"|"&amp;$I320&amp;"|"&amp;$J320&amp;"|"&amp;2,Assessments!$A$2:$A$600,0)),0)</f>
        <v>1</v>
      </c>
      <c r="CY320" s="28" t="n">
        <f aca="false">IFERROR(INDEX(Assessments!$J$2:$J$600,MATCH($H320&amp;"|"&amp;$I320&amp;"|"&amp;$J320&amp;"|"&amp;3,Assessments!$A$2:$A$600,0)),0)</f>
        <v>1</v>
      </c>
      <c r="CZ320" s="28" t="n">
        <f aca="false">IFERROR(INDEX(Assessments!$J$2:$J$600,MATCH($H320&amp;"|"&amp;$I320&amp;"|"&amp;$J320&amp;"|"&amp;4,Assessments!$A$2:$A$600,0)),0)</f>
        <v>2</v>
      </c>
      <c r="DA320" s="28" t="n">
        <f aca="false">IFERROR(INDEX(Assessments!$J$2:$J$600,MATCH($H320&amp;"|"&amp;$I320&amp;"|"&amp;$J320&amp;"|"&amp;5,Assessments!$A$2:$A$600,0)),0)</f>
        <v>1</v>
      </c>
      <c r="DB320" s="28" t="n">
        <f aca="false">IFERROR(INDEX(Assessments!$J$2:$J$600,MATCH($H320&amp;"|"&amp;$I320&amp;"|"&amp;$J320&amp;"|"&amp;6,Assessments!$A$2:$A$600,0)),0)</f>
        <v>1</v>
      </c>
      <c r="DC320" s="28" t="n">
        <f aca="false">IFERROR(INDEX(Assessments!$J$2:$J$600,MATCH($H320&amp;"|"&amp;$I320&amp;"|"&amp;$J320&amp;"|"&amp;7,Assessments!$A$2:$A$600,0)),0)</f>
        <v>2</v>
      </c>
      <c r="DD320" s="28" t="n">
        <f aca="false">IFERROR(INDEX(Assessments!$J$2:$J$600,MATCH($H320&amp;"|"&amp;$I320&amp;"|"&amp;$J320&amp;"|"&amp;8,Assessments!$A$2:$A$600,0)),0)</f>
        <v>0</v>
      </c>
      <c r="DE320" s="28" t="n">
        <f aca="false">IFERROR(INDEX(Assessments!$J$2:$J$600,MATCH($H320&amp;"|"&amp;$I320&amp;"|"&amp;$J320&amp;"|"&amp;9,Assessments!$A$2:$A$600,0)),0)</f>
        <v>0</v>
      </c>
      <c r="DF320" s="28" t="n">
        <f aca="false">IFERROR(INDEX(Assessments!$J$2:$J$600,MATCH($H320&amp;"|"&amp;$I320&amp;"|"&amp;$J320&amp;"|"&amp;10,Assessments!$A$2:$A$600,0)),0)</f>
        <v>0</v>
      </c>
      <c r="DG320" s="28" t="n">
        <f aca="false">IFERROR(INDEX(Assessments!$J$2:$J$600,MATCH($H320&amp;"|"&amp;$I320&amp;"|"&amp;$J320&amp;"|"&amp;11,Assessments!$A$2:$A$600,0)),0)</f>
        <v>0</v>
      </c>
      <c r="DH320" s="28" t="n">
        <f aca="false">IFERROR(INDEX(Assessments!$J$2:$J$600,MATCH($H320&amp;"|"&amp;$I320&amp;"|"&amp;$J320&amp;"|"&amp;12,Assessments!$A$2:$A$600,0)),0)</f>
        <v>0</v>
      </c>
      <c r="DI320" s="28" t="n">
        <f aca="false">IFERROR(INDEX(Assessments!$J$2:$J$600,MATCH($H320&amp;"|"&amp;$I320&amp;"|"&amp;$J320&amp;"|"&amp;13,Assessments!$A$2:$A$600,0)),0)</f>
        <v>0</v>
      </c>
      <c r="DJ320" s="28" t="n">
        <f aca="false">IFERROR(INDEX(Assessments!$J$2:$J$600,MATCH($H320&amp;"|"&amp;$I320&amp;"|"&amp;$J320&amp;"|"&amp;14,Assessments!$A$2:$A$600,0)),0)</f>
        <v>0</v>
      </c>
      <c r="DK320" s="28" t="n">
        <f aca="false">S320</f>
        <v>7</v>
      </c>
      <c r="DL320" s="28" t="str">
        <f aca="false">W320</f>
        <v/>
      </c>
      <c r="DM320" s="28" t="str">
        <f aca="false">AA320</f>
        <v/>
      </c>
      <c r="DN320" s="28" t="str">
        <f aca="false">AE320</f>
        <v/>
      </c>
      <c r="DO320" s="28" t="str">
        <f aca="false">AI320</f>
        <v/>
      </c>
      <c r="DP320" s="28" t="str">
        <f aca="false">AM320</f>
        <v/>
      </c>
      <c r="DQ320" s="28" t="str">
        <f aca="false">AQ320</f>
        <v/>
      </c>
      <c r="DR320" s="28" t="str">
        <f aca="false">AU320</f>
        <v/>
      </c>
      <c r="DS320" s="28" t="str">
        <f aca="false">AY320</f>
        <v/>
      </c>
      <c r="DT320" s="28" t="str">
        <f aca="false">BC320</f>
        <v/>
      </c>
      <c r="DU320" s="28" t="str">
        <f aca="false">BG320</f>
        <v/>
      </c>
      <c r="DV320" s="28" t="str">
        <f aca="false">BK320</f>
        <v/>
      </c>
      <c r="DW320" s="28" t="str">
        <f aca="false">BO320</f>
        <v/>
      </c>
      <c r="DX320" s="28" t="str">
        <f aca="false">BS320</f>
        <v/>
      </c>
      <c r="DY320" s="28" t="n">
        <f aca="false">IF(ISNUMBER(S320),1,"")</f>
        <v>1</v>
      </c>
      <c r="DZ320" s="28" t="str">
        <f aca="false">IF(ISNUMBER(W320),2,"")</f>
        <v/>
      </c>
      <c r="EA320" s="28" t="str">
        <f aca="false">IF(ISNUMBER(AA320),3,"")</f>
        <v/>
      </c>
      <c r="EB320" s="28" t="str">
        <f aca="false">IF(ISNUMBER(AE320),4,"")</f>
        <v/>
      </c>
      <c r="EC320" s="28" t="str">
        <f aca="false">IF(ISNUMBER(AI320),5,"")</f>
        <v/>
      </c>
      <c r="ED320" s="28" t="str">
        <f aca="false">IF(ISNUMBER(AM320),6,"")</f>
        <v/>
      </c>
      <c r="EE320" s="28" t="str">
        <f aca="false">IF(ISNUMBER(AQ320),7,"")</f>
        <v/>
      </c>
      <c r="EF320" s="28" t="str">
        <f aca="false">IF(ISNUMBER(AU320),8,"")</f>
        <v/>
      </c>
      <c r="EG320" s="28" t="str">
        <f aca="false">IF(ISNUMBER(AY320),9,"")</f>
        <v/>
      </c>
      <c r="EH320" s="28" t="str">
        <f aca="false">IF(ISNUMBER(BC320),10,"")</f>
        <v/>
      </c>
      <c r="EI320" s="28" t="str">
        <f aca="false">IF(ISNUMBER(BG320),11,"")</f>
        <v/>
      </c>
      <c r="EJ320" s="28" t="str">
        <f aca="false">IF(ISNUMBER(BK320),12,"")</f>
        <v/>
      </c>
      <c r="EK320" s="28" t="str">
        <f aca="false">IF(ISNUMBER(BO320),13,"")</f>
        <v/>
      </c>
      <c r="EL320" s="28" t="str">
        <f aca="false">IF(ISNUMBER(BS320),14,"")</f>
        <v/>
      </c>
      <c r="EM320" s="28" t="n">
        <f aca="false">IF(ISNUMBER(R320),R320*CW320,0)</f>
        <v>75</v>
      </c>
      <c r="EN320" s="28" t="n">
        <f aca="false">IF(ISNUMBER(V320),V320*CX320,0)</f>
        <v>0</v>
      </c>
      <c r="EO320" s="28" t="n">
        <f aca="false">IF(ISNUMBER(Z320),Z320*CY320,0)</f>
        <v>0</v>
      </c>
      <c r="EP320" s="28" t="n">
        <f aca="false">IF(ISNUMBER(AD320),AD320*CZ320,0)</f>
        <v>0</v>
      </c>
      <c r="EQ320" s="28" t="n">
        <f aca="false">IF(ISNUMBER(AH320),AH320*DA320,0)</f>
        <v>0</v>
      </c>
      <c r="ER320" s="28" t="n">
        <f aca="false">IF(ISNUMBER(AL320),AL320*DB320,0)</f>
        <v>0</v>
      </c>
      <c r="ES320" s="28" t="n">
        <f aca="false">IF(ISNUMBER(AP320),AP320*DC320,0)</f>
        <v>0</v>
      </c>
      <c r="ET320" s="28" t="n">
        <f aca="false">IF(ISNUMBER(AT320),AT320*DD320,0)</f>
        <v>0</v>
      </c>
      <c r="EU320" s="28" t="n">
        <f aca="false">IF(ISNUMBER(AX320),AX320*DE320,0)</f>
        <v>0</v>
      </c>
      <c r="EV320" s="28" t="n">
        <f aca="false">IF(ISNUMBER(BB320),BB320*DF320,0)</f>
        <v>0</v>
      </c>
      <c r="EW320" s="28" t="n">
        <f aca="false">IF(ISNUMBER(BF320),BF320*DG320,0)</f>
        <v>0</v>
      </c>
      <c r="EX320" s="28" t="n">
        <f aca="false">IF(ISNUMBER(BJ320),BJ320*DH320,0)</f>
        <v>0</v>
      </c>
      <c r="EY320" s="28" t="n">
        <f aca="false">IF(ISNUMBER(BN320),BN320*DI320,0)</f>
        <v>0</v>
      </c>
      <c r="EZ320" s="28" t="n">
        <f aca="false">IF(ISNUMBER(BR320),BR320*DJ320,0)</f>
        <v>0</v>
      </c>
      <c r="FA320" s="28" t="n">
        <f aca="false">IF(ISNUMBER(R320),CW320,0)</f>
        <v>1</v>
      </c>
      <c r="FB320" s="28" t="n">
        <f aca="false">IF(ISNUMBER(V320),CX320,0)</f>
        <v>0</v>
      </c>
      <c r="FC320" s="28" t="n">
        <f aca="false">IF(ISNUMBER(Z320),CY320,0)</f>
        <v>0</v>
      </c>
      <c r="FD320" s="28" t="n">
        <f aca="false">IF(ISNUMBER(AD320),CZ320,0)</f>
        <v>0</v>
      </c>
      <c r="FE320" s="28" t="n">
        <f aca="false">IF(ISNUMBER(AH320),DA320,0)</f>
        <v>0</v>
      </c>
      <c r="FF320" s="28" t="n">
        <f aca="false">IF(ISNUMBER(AL320),DB320,0)</f>
        <v>0</v>
      </c>
      <c r="FG320" s="28" t="n">
        <f aca="false">IF(ISNUMBER(AP320),DC320,0)</f>
        <v>0</v>
      </c>
      <c r="FH320" s="28" t="n">
        <f aca="false">IF(ISNUMBER(AT320),DD320,0)</f>
        <v>0</v>
      </c>
      <c r="FI320" s="28" t="n">
        <f aca="false">IF(ISNUMBER(AX320),DE320,0)</f>
        <v>0</v>
      </c>
      <c r="FJ320" s="28" t="n">
        <f aca="false">IF(ISNUMBER(BB320),DF320,0)</f>
        <v>0</v>
      </c>
      <c r="FK320" s="28" t="n">
        <f aca="false">IF(ISNUMBER(BF320),DG320,0)</f>
        <v>0</v>
      </c>
      <c r="FL320" s="28" t="n">
        <f aca="false">IF(ISNUMBER(BJ320),DH320,0)</f>
        <v>0</v>
      </c>
      <c r="FM320" s="28" t="n">
        <f aca="false">IF(ISNUMBER(BN320),DI320,0)</f>
        <v>0</v>
      </c>
      <c r="FN320" s="28" t="n">
        <f aca="false">IF(ISNUMBER(BR320),DJ320,0)</f>
        <v>0</v>
      </c>
      <c r="FO320" s="28" t="str">
        <f aca="false">IFERROR(INDEX(Lists!$G$2:$G$20,MATCH($I320&amp;"|"&amp;$J320,Lists!$F$2:$F$20,0)),"")</f>
        <v>BM Exam</v>
      </c>
    </row>
    <row r="321" customFormat="false" ht="19.5" hidden="false" customHeight="true" outlineLevel="0" collapsed="false">
      <c r="A321" s="29" t="s">
        <v>621</v>
      </c>
      <c r="B321" s="29" t="s">
        <v>622</v>
      </c>
      <c r="C321" s="30" t="s">
        <v>152</v>
      </c>
      <c r="D321" s="30" t="s">
        <v>408</v>
      </c>
      <c r="E321" s="31"/>
      <c r="F321" s="30"/>
      <c r="G321" s="30"/>
      <c r="H321" s="32" t="s">
        <v>428</v>
      </c>
      <c r="I321" s="33" t="s">
        <v>365</v>
      </c>
      <c r="J321" s="32" t="s">
        <v>25</v>
      </c>
      <c r="K321" s="34" t="str">
        <f aca="false">IF(OR(M321="",$E321=""),"",M321-$E321)</f>
        <v/>
      </c>
      <c r="L321" s="35" t="n">
        <f aca="false">IF(SUM(FA321:FN321)=0,"",SUM(EM321:EZ321)/SUM(FA321:FN321))</f>
        <v>70.8333333333333</v>
      </c>
      <c r="M321" s="36" t="n">
        <f aca="false">IF(OR(L321="",FO321=""),"",IFERROR(MATCH(L321,INDEX(Boundaries!$B$2:$I$30,MATCH(FO321,Boundaries!$A$2:$A$30,0),0),1)-1,""))</f>
        <v>7</v>
      </c>
      <c r="N321" s="37" t="str">
        <f aca="false">IF(COUNT($DY321:$EL321)&lt;2,"",INDEX($DK321:$DX321,MAX($DY321:$EL321))-INDEX($DK321:$DX321,MIN($DY321:$EL321)))</f>
        <v/>
      </c>
      <c r="O321" s="37" t="str">
        <f aca="false">IF(COUNT($DY321:$EL321)&lt;2,"",INDEX($DK321:$DX321,MAX($DY321:$EL321))-INDEX($DK321:$DX321,LARGE($DY321:$EL321,2)))</f>
        <v/>
      </c>
      <c r="P321" s="38" t="str">
        <f aca="false">IF(K321="","",IF(K321&gt;=0,"On/above target",IF(AND(N321&lt;&gt;"",N321&gt;=0.5),"Improving towards target",IF(AND(O321&lt;&gt;"",O321&lt;=-0.5),"Declining","Stable below target"))))</f>
        <v/>
      </c>
      <c r="Q321" s="39" t="n">
        <v>17</v>
      </c>
      <c r="R321" s="40" t="n">
        <f aca="false">IF(OR(Q321="",BU321=""),"",Q321/BU321*100)</f>
        <v>70.8333333333333</v>
      </c>
      <c r="S321" s="41" t="n">
        <f aca="false">IF(R321="","",IFERROR(MATCH(R321,INDEX(Boundaries!$B$2:$I$30,MATCH(CI321,Boundaries!$A$2:$A$30,0),0),1)-1,""))</f>
        <v>6</v>
      </c>
      <c r="T321" s="42" t="str">
        <f aca="false">IF(OR(S321="",$E321=""),"",S321-$E321)</f>
        <v/>
      </c>
      <c r="U321" s="39"/>
      <c r="V321" s="40" t="str">
        <f aca="false">IF(OR(U321="",BV321=""),"",U321/BV321*100)</f>
        <v/>
      </c>
      <c r="W321" s="41" t="str">
        <f aca="false">IF(V321="","",IFERROR(MATCH(V321,INDEX(Boundaries!$B$2:$I$30,MATCH(CJ321,Boundaries!$A$2:$A$30,0),0),1)-1,""))</f>
        <v/>
      </c>
      <c r="X321" s="42" t="str">
        <f aca="false">IF(OR(W321="",$E321=""),"",W321-$E321)</f>
        <v/>
      </c>
      <c r="Y321" s="39"/>
      <c r="Z321" s="40" t="str">
        <f aca="false">IF(OR(Y321="",BW321=""),"",Y321/BW321*100)</f>
        <v/>
      </c>
      <c r="AA321" s="41" t="str">
        <f aca="false">IF(Z321="","",IFERROR(MATCH(Z321,INDEX(Boundaries!$B$2:$I$30,MATCH(CK321,Boundaries!$A$2:$A$30,0),0),1)-1,""))</f>
        <v/>
      </c>
      <c r="AB321" s="42" t="str">
        <f aca="false">IF(OR(AA321="",$E321=""),"",AA321-$E321)</f>
        <v/>
      </c>
      <c r="AC321" s="39"/>
      <c r="AD321" s="40" t="str">
        <f aca="false">IF(OR(AC321="",BX321=""),"",AC321/BX321*100)</f>
        <v/>
      </c>
      <c r="AE321" s="41" t="str">
        <f aca="false">IF(AD321="","",IFERROR(MATCH(AD321,INDEX(Boundaries!$B$2:$I$30,MATCH(CL321,Boundaries!$A$2:$A$30,0),0),1)-1,""))</f>
        <v/>
      </c>
      <c r="AF321" s="42" t="str">
        <f aca="false">IF(OR(AE321="",$E321=""),"",AE321-$E321)</f>
        <v/>
      </c>
      <c r="AG321" s="39"/>
      <c r="AH321" s="40" t="str">
        <f aca="false">IF(OR(AG321="",BY321=""),"",AG321/BY321*100)</f>
        <v/>
      </c>
      <c r="AI321" s="41" t="str">
        <f aca="false">IF(AH321="","",IFERROR(MATCH(AH321,INDEX(Boundaries!$B$2:$I$30,MATCH(CM321,Boundaries!$A$2:$A$30,0),0),1)-1,""))</f>
        <v/>
      </c>
      <c r="AJ321" s="42" t="str">
        <f aca="false">IF(OR(AI321="",$E321=""),"",AI321-$E321)</f>
        <v/>
      </c>
      <c r="AK321" s="39"/>
      <c r="AL321" s="40" t="str">
        <f aca="false">IF(OR(AK321="",BZ321=""),"",AK321/BZ321*100)</f>
        <v/>
      </c>
      <c r="AM321" s="41" t="str">
        <f aca="false">IF(AL321="","",IFERROR(MATCH(AL321,INDEX(Boundaries!$B$2:$I$30,MATCH(CN321,Boundaries!$A$2:$A$30,0),0),1)-1,""))</f>
        <v/>
      </c>
      <c r="AN321" s="42" t="str">
        <f aca="false">IF(OR(AM321="",$E321=""),"",AM321-$E321)</f>
        <v/>
      </c>
      <c r="AO321" s="39"/>
      <c r="AP321" s="40" t="str">
        <f aca="false">IF(OR(AO321="",CA321=""),"",AO321/CA321*100)</f>
        <v/>
      </c>
      <c r="AQ321" s="41" t="str">
        <f aca="false">IF(AP321="","",IFERROR(MATCH(AP321,INDEX(Boundaries!$B$2:$I$30,MATCH(CO321,Boundaries!$A$2:$A$30,0),0),1)-1,""))</f>
        <v/>
      </c>
      <c r="AR321" s="42" t="str">
        <f aca="false">IF(OR(AQ321="",$E321=""),"",AQ321-$E321)</f>
        <v/>
      </c>
      <c r="AS321" s="39"/>
      <c r="AT321" s="40" t="str">
        <f aca="false">IF(OR(AS321="",CB321=""),"",AS321/CB321*100)</f>
        <v/>
      </c>
      <c r="AU321" s="41" t="str">
        <f aca="false">IF(AT321="","",IFERROR(MATCH(AT321,INDEX(Boundaries!$B$2:$I$30,MATCH(CP321,Boundaries!$A$2:$A$30,0),0),1)-1,""))</f>
        <v/>
      </c>
      <c r="AV321" s="42" t="str">
        <f aca="false">IF(OR(AU321="",$E321=""),"",AU321-$E321)</f>
        <v/>
      </c>
      <c r="AW321" s="39"/>
      <c r="AX321" s="40" t="str">
        <f aca="false">IF(OR(AW321="",CC321=""),"",AW321/CC321*100)</f>
        <v/>
      </c>
      <c r="AY321" s="41" t="str">
        <f aca="false">IF(AX321="","",IFERROR(MATCH(AX321,INDEX(Boundaries!$B$2:$I$30,MATCH(CQ321,Boundaries!$A$2:$A$30,0),0),1)-1,""))</f>
        <v/>
      </c>
      <c r="AZ321" s="42" t="str">
        <f aca="false">IF(OR(AY321="",$E321=""),"",AY321-$E321)</f>
        <v/>
      </c>
      <c r="BA321" s="39"/>
      <c r="BB321" s="40" t="str">
        <f aca="false">IF(OR(BA321="",CD321=""),"",BA321/CD321*100)</f>
        <v/>
      </c>
      <c r="BC321" s="41" t="str">
        <f aca="false">IF(BB321="","",IFERROR(MATCH(BB321,INDEX(Boundaries!$B$2:$I$30,MATCH(CR321,Boundaries!$A$2:$A$30,0),0),1)-1,""))</f>
        <v/>
      </c>
      <c r="BD321" s="42" t="str">
        <f aca="false">IF(OR(BC321="",$E321=""),"",BC321-$E321)</f>
        <v/>
      </c>
      <c r="BE321" s="39"/>
      <c r="BF321" s="40" t="str">
        <f aca="false">IF(OR(BE321="",CE321=""),"",BE321/CE321*100)</f>
        <v/>
      </c>
      <c r="BG321" s="41" t="str">
        <f aca="false">IF(BF321="","",IFERROR(MATCH(BF321,INDEX(Boundaries!$B$2:$I$30,MATCH(CS321,Boundaries!$A$2:$A$30,0),0),1)-1,""))</f>
        <v/>
      </c>
      <c r="BH321" s="42" t="str">
        <f aca="false">IF(OR(BG321="",$E321=""),"",BG321-$E321)</f>
        <v/>
      </c>
      <c r="BI321" s="39"/>
      <c r="BJ321" s="40" t="str">
        <f aca="false">IF(OR(BI321="",CF321=""),"",BI321/CF321*100)</f>
        <v/>
      </c>
      <c r="BK321" s="41" t="str">
        <f aca="false">IF(BJ321="","",IFERROR(MATCH(BJ321,INDEX(Boundaries!$B$2:$I$30,MATCH(CT321,Boundaries!$A$2:$A$30,0),0),1)-1,""))</f>
        <v/>
      </c>
      <c r="BL321" s="42" t="str">
        <f aca="false">IF(OR(BK321="",$E321=""),"",BK321-$E321)</f>
        <v/>
      </c>
      <c r="BM321" s="39"/>
      <c r="BN321" s="40" t="str">
        <f aca="false">IF(OR(BM321="",CG321=""),"",BM321/CG321*100)</f>
        <v/>
      </c>
      <c r="BO321" s="41" t="str">
        <f aca="false">IF(BN321="","",IFERROR(MATCH(BN321,INDEX(Boundaries!$B$2:$I$30,MATCH(CU321,Boundaries!$A$2:$A$30,0),0),1)-1,""))</f>
        <v/>
      </c>
      <c r="BP321" s="42" t="str">
        <f aca="false">IF(OR(BO321="",$E321=""),"",BO321-$E321)</f>
        <v/>
      </c>
      <c r="BQ321" s="39"/>
      <c r="BR321" s="40" t="str">
        <f aca="false">IF(OR(BQ321="",CH321=""),"",BQ321/CH321*100)</f>
        <v/>
      </c>
      <c r="BS321" s="41" t="str">
        <f aca="false">IF(BR321="","",IFERROR(MATCH(BR321,INDEX(Boundaries!$B$2:$I$30,MATCH(CV321,Boundaries!$A$2:$A$30,0),0),1)-1,""))</f>
        <v/>
      </c>
      <c r="BT321" s="42" t="str">
        <f aca="false">IF(OR(BS321="",$E321=""),"",BS321-$E321)</f>
        <v/>
      </c>
      <c r="BU321" s="28" t="n">
        <f aca="false">IFERROR(INDEX(Assessments!$H$2:$H$600,MATCH($H321&amp;"|"&amp;$I321&amp;"|"&amp;$J321&amp;"|"&amp;1,Assessments!$A$2:$A$600,0)),"")</f>
        <v>24</v>
      </c>
      <c r="BV321" s="28" t="n">
        <f aca="false">IFERROR(INDEX(Assessments!$H$2:$H$600,MATCH($H321&amp;"|"&amp;$I321&amp;"|"&amp;$J321&amp;"|"&amp;2,Assessments!$A$2:$A$600,0)),"")</f>
        <v>20</v>
      </c>
      <c r="BW321" s="28" t="n">
        <f aca="false">IFERROR(INDEX(Assessments!$H$2:$H$600,MATCH($H321&amp;"|"&amp;$I321&amp;"|"&amp;$J321&amp;"|"&amp;3,Assessments!$A$2:$A$600,0)),"")</f>
        <v>20</v>
      </c>
      <c r="BX321" s="28" t="n">
        <f aca="false">IFERROR(INDEX(Assessments!$H$2:$H$600,MATCH($H321&amp;"|"&amp;$I321&amp;"|"&amp;$J321&amp;"|"&amp;4,Assessments!$A$2:$A$600,0)),"")</f>
        <v>40</v>
      </c>
      <c r="BY321" s="28" t="n">
        <f aca="false">IFERROR(INDEX(Assessments!$H$2:$H$600,MATCH($H321&amp;"|"&amp;$I321&amp;"|"&amp;$J321&amp;"|"&amp;5,Assessments!$A$2:$A$600,0)),"")</f>
        <v>30</v>
      </c>
      <c r="BZ321" s="28" t="n">
        <f aca="false">IFERROR(INDEX(Assessments!$H$2:$H$600,MATCH($H321&amp;"|"&amp;$I321&amp;"|"&amp;$J321&amp;"|"&amp;6,Assessments!$A$2:$A$600,0)),"")</f>
        <v>20</v>
      </c>
      <c r="CA321" s="28" t="n">
        <f aca="false">IFERROR(INDEX(Assessments!$H$2:$H$600,MATCH($H321&amp;"|"&amp;$I321&amp;"|"&amp;$J321&amp;"|"&amp;7,Assessments!$A$2:$A$600,0)),"")</f>
        <v>50</v>
      </c>
      <c r="CB321" s="28" t="str">
        <f aca="false">IFERROR(INDEX(Assessments!$H$2:$H$600,MATCH($H321&amp;"|"&amp;$I321&amp;"|"&amp;$J321&amp;"|"&amp;8,Assessments!$A$2:$A$600,0)),"")</f>
        <v/>
      </c>
      <c r="CC321" s="28" t="str">
        <f aca="false">IFERROR(INDEX(Assessments!$H$2:$H$600,MATCH($H321&amp;"|"&amp;$I321&amp;"|"&amp;$J321&amp;"|"&amp;9,Assessments!$A$2:$A$600,0)),"")</f>
        <v/>
      </c>
      <c r="CD321" s="28" t="str">
        <f aca="false">IFERROR(INDEX(Assessments!$H$2:$H$600,MATCH($H321&amp;"|"&amp;$I321&amp;"|"&amp;$J321&amp;"|"&amp;10,Assessments!$A$2:$A$600,0)),"")</f>
        <v/>
      </c>
      <c r="CE321" s="28" t="str">
        <f aca="false">IFERROR(INDEX(Assessments!$H$2:$H$600,MATCH($H321&amp;"|"&amp;$I321&amp;"|"&amp;$J321&amp;"|"&amp;11,Assessments!$A$2:$A$600,0)),"")</f>
        <v/>
      </c>
      <c r="CF321" s="28" t="str">
        <f aca="false">IFERROR(INDEX(Assessments!$H$2:$H$600,MATCH($H321&amp;"|"&amp;$I321&amp;"|"&amp;$J321&amp;"|"&amp;12,Assessments!$A$2:$A$600,0)),"")</f>
        <v/>
      </c>
      <c r="CG321" s="28" t="str">
        <f aca="false">IFERROR(INDEX(Assessments!$H$2:$H$600,MATCH($H321&amp;"|"&amp;$I321&amp;"|"&amp;$J321&amp;"|"&amp;13,Assessments!$A$2:$A$600,0)),"")</f>
        <v/>
      </c>
      <c r="CH321" s="28" t="str">
        <f aca="false">IFERROR(INDEX(Assessments!$H$2:$H$600,MATCH($H321&amp;"|"&amp;$I321&amp;"|"&amp;$J321&amp;"|"&amp;14,Assessments!$A$2:$A$600,0)),"")</f>
        <v/>
      </c>
      <c r="CI321" s="28" t="str">
        <f aca="false">IFERROR(INDEX(Assessments!$I$2:$I$600,MATCH($H321&amp;"|"&amp;$I321&amp;"|"&amp;$J321&amp;"|"&amp;1,Assessments!$A$2:$A$600,0)),"")</f>
        <v>BM Test</v>
      </c>
      <c r="CJ321" s="28" t="str">
        <f aca="false">IFERROR(INDEX(Assessments!$I$2:$I$600,MATCH($H321&amp;"|"&amp;$I321&amp;"|"&amp;$J321&amp;"|"&amp;2,Assessments!$A$2:$A$600,0)),"")</f>
        <v>BM Test</v>
      </c>
      <c r="CK321" s="28" t="str">
        <f aca="false">IFERROR(INDEX(Assessments!$I$2:$I$600,MATCH($H321&amp;"|"&amp;$I321&amp;"|"&amp;$J321&amp;"|"&amp;3,Assessments!$A$2:$A$600,0)),"")</f>
        <v>BM Test</v>
      </c>
      <c r="CL321" s="28" t="str">
        <f aca="false">IFERROR(INDEX(Assessments!$I$2:$I$600,MATCH($H321&amp;"|"&amp;$I321&amp;"|"&amp;$J321&amp;"|"&amp;4,Assessments!$A$2:$A$600,0)),"")</f>
        <v>BM Exam</v>
      </c>
      <c r="CM321" s="28" t="str">
        <f aca="false">IFERROR(INDEX(Assessments!$I$2:$I$600,MATCH($H321&amp;"|"&amp;$I321&amp;"|"&amp;$J321&amp;"|"&amp;5,Assessments!$A$2:$A$600,0)),"")</f>
        <v>BM Test</v>
      </c>
      <c r="CN321" s="28" t="str">
        <f aca="false">IFERROR(INDEX(Assessments!$I$2:$I$600,MATCH($H321&amp;"|"&amp;$I321&amp;"|"&amp;$J321&amp;"|"&amp;6,Assessments!$A$2:$A$600,0)),"")</f>
        <v>BM Test</v>
      </c>
      <c r="CO321" s="28" t="str">
        <f aca="false">IFERROR(INDEX(Assessments!$I$2:$I$600,MATCH($H321&amp;"|"&amp;$I321&amp;"|"&amp;$J321&amp;"|"&amp;7,Assessments!$A$2:$A$600,0)),"")</f>
        <v>BM Exam</v>
      </c>
      <c r="CP321" s="28" t="str">
        <f aca="false">IFERROR(INDEX(Assessments!$I$2:$I$600,MATCH($H321&amp;"|"&amp;$I321&amp;"|"&amp;$J321&amp;"|"&amp;8,Assessments!$A$2:$A$600,0)),"")</f>
        <v/>
      </c>
      <c r="CQ321" s="28" t="str">
        <f aca="false">IFERROR(INDEX(Assessments!$I$2:$I$600,MATCH($H321&amp;"|"&amp;$I321&amp;"|"&amp;$J321&amp;"|"&amp;9,Assessments!$A$2:$A$600,0)),"")</f>
        <v/>
      </c>
      <c r="CR321" s="28" t="str">
        <f aca="false">IFERROR(INDEX(Assessments!$I$2:$I$600,MATCH($H321&amp;"|"&amp;$I321&amp;"|"&amp;$J321&amp;"|"&amp;10,Assessments!$A$2:$A$600,0)),"")</f>
        <v/>
      </c>
      <c r="CS321" s="28" t="str">
        <f aca="false">IFERROR(INDEX(Assessments!$I$2:$I$600,MATCH($H321&amp;"|"&amp;$I321&amp;"|"&amp;$J321&amp;"|"&amp;11,Assessments!$A$2:$A$600,0)),"")</f>
        <v/>
      </c>
      <c r="CT321" s="28" t="str">
        <f aca="false">IFERROR(INDEX(Assessments!$I$2:$I$600,MATCH($H321&amp;"|"&amp;$I321&amp;"|"&amp;$J321&amp;"|"&amp;12,Assessments!$A$2:$A$600,0)),"")</f>
        <v/>
      </c>
      <c r="CU321" s="28" t="str">
        <f aca="false">IFERROR(INDEX(Assessments!$I$2:$I$600,MATCH($H321&amp;"|"&amp;$I321&amp;"|"&amp;$J321&amp;"|"&amp;13,Assessments!$A$2:$A$600,0)),"")</f>
        <v/>
      </c>
      <c r="CV321" s="28" t="str">
        <f aca="false">IFERROR(INDEX(Assessments!$I$2:$I$600,MATCH($H321&amp;"|"&amp;$I321&amp;"|"&amp;$J321&amp;"|"&amp;14,Assessments!$A$2:$A$600,0)),"")</f>
        <v/>
      </c>
      <c r="CW321" s="28" t="n">
        <f aca="false">IFERROR(INDEX(Assessments!$J$2:$J$600,MATCH($H321&amp;"|"&amp;$I321&amp;"|"&amp;$J321&amp;"|"&amp;1,Assessments!$A$2:$A$600,0)),0)</f>
        <v>1</v>
      </c>
      <c r="CX321" s="28" t="n">
        <f aca="false">IFERROR(INDEX(Assessments!$J$2:$J$600,MATCH($H321&amp;"|"&amp;$I321&amp;"|"&amp;$J321&amp;"|"&amp;2,Assessments!$A$2:$A$600,0)),0)</f>
        <v>1</v>
      </c>
      <c r="CY321" s="28" t="n">
        <f aca="false">IFERROR(INDEX(Assessments!$J$2:$J$600,MATCH($H321&amp;"|"&amp;$I321&amp;"|"&amp;$J321&amp;"|"&amp;3,Assessments!$A$2:$A$600,0)),0)</f>
        <v>1</v>
      </c>
      <c r="CZ321" s="28" t="n">
        <f aca="false">IFERROR(INDEX(Assessments!$J$2:$J$600,MATCH($H321&amp;"|"&amp;$I321&amp;"|"&amp;$J321&amp;"|"&amp;4,Assessments!$A$2:$A$600,0)),0)</f>
        <v>2</v>
      </c>
      <c r="DA321" s="28" t="n">
        <f aca="false">IFERROR(INDEX(Assessments!$J$2:$J$600,MATCH($H321&amp;"|"&amp;$I321&amp;"|"&amp;$J321&amp;"|"&amp;5,Assessments!$A$2:$A$600,0)),0)</f>
        <v>1</v>
      </c>
      <c r="DB321" s="28" t="n">
        <f aca="false">IFERROR(INDEX(Assessments!$J$2:$J$600,MATCH($H321&amp;"|"&amp;$I321&amp;"|"&amp;$J321&amp;"|"&amp;6,Assessments!$A$2:$A$600,0)),0)</f>
        <v>1</v>
      </c>
      <c r="DC321" s="28" t="n">
        <f aca="false">IFERROR(INDEX(Assessments!$J$2:$J$600,MATCH($H321&amp;"|"&amp;$I321&amp;"|"&amp;$J321&amp;"|"&amp;7,Assessments!$A$2:$A$600,0)),0)</f>
        <v>2</v>
      </c>
      <c r="DD321" s="28" t="n">
        <f aca="false">IFERROR(INDEX(Assessments!$J$2:$J$600,MATCH($H321&amp;"|"&amp;$I321&amp;"|"&amp;$J321&amp;"|"&amp;8,Assessments!$A$2:$A$600,0)),0)</f>
        <v>0</v>
      </c>
      <c r="DE321" s="28" t="n">
        <f aca="false">IFERROR(INDEX(Assessments!$J$2:$J$600,MATCH($H321&amp;"|"&amp;$I321&amp;"|"&amp;$J321&amp;"|"&amp;9,Assessments!$A$2:$A$600,0)),0)</f>
        <v>0</v>
      </c>
      <c r="DF321" s="28" t="n">
        <f aca="false">IFERROR(INDEX(Assessments!$J$2:$J$600,MATCH($H321&amp;"|"&amp;$I321&amp;"|"&amp;$J321&amp;"|"&amp;10,Assessments!$A$2:$A$600,0)),0)</f>
        <v>0</v>
      </c>
      <c r="DG321" s="28" t="n">
        <f aca="false">IFERROR(INDEX(Assessments!$J$2:$J$600,MATCH($H321&amp;"|"&amp;$I321&amp;"|"&amp;$J321&amp;"|"&amp;11,Assessments!$A$2:$A$600,0)),0)</f>
        <v>0</v>
      </c>
      <c r="DH321" s="28" t="n">
        <f aca="false">IFERROR(INDEX(Assessments!$J$2:$J$600,MATCH($H321&amp;"|"&amp;$I321&amp;"|"&amp;$J321&amp;"|"&amp;12,Assessments!$A$2:$A$600,0)),0)</f>
        <v>0</v>
      </c>
      <c r="DI321" s="28" t="n">
        <f aca="false">IFERROR(INDEX(Assessments!$J$2:$J$600,MATCH($H321&amp;"|"&amp;$I321&amp;"|"&amp;$J321&amp;"|"&amp;13,Assessments!$A$2:$A$600,0)),0)</f>
        <v>0</v>
      </c>
      <c r="DJ321" s="28" t="n">
        <f aca="false">IFERROR(INDEX(Assessments!$J$2:$J$600,MATCH($H321&amp;"|"&amp;$I321&amp;"|"&amp;$J321&amp;"|"&amp;14,Assessments!$A$2:$A$600,0)),0)</f>
        <v>0</v>
      </c>
      <c r="DK321" s="28" t="n">
        <f aca="false">S321</f>
        <v>6</v>
      </c>
      <c r="DL321" s="28" t="str">
        <f aca="false">W321</f>
        <v/>
      </c>
      <c r="DM321" s="28" t="str">
        <f aca="false">AA321</f>
        <v/>
      </c>
      <c r="DN321" s="28" t="str">
        <f aca="false">AE321</f>
        <v/>
      </c>
      <c r="DO321" s="28" t="str">
        <f aca="false">AI321</f>
        <v/>
      </c>
      <c r="DP321" s="28" t="str">
        <f aca="false">AM321</f>
        <v/>
      </c>
      <c r="DQ321" s="28" t="str">
        <f aca="false">AQ321</f>
        <v/>
      </c>
      <c r="DR321" s="28" t="str">
        <f aca="false">AU321</f>
        <v/>
      </c>
      <c r="DS321" s="28" t="str">
        <f aca="false">AY321</f>
        <v/>
      </c>
      <c r="DT321" s="28" t="str">
        <f aca="false">BC321</f>
        <v/>
      </c>
      <c r="DU321" s="28" t="str">
        <f aca="false">BG321</f>
        <v/>
      </c>
      <c r="DV321" s="28" t="str">
        <f aca="false">BK321</f>
        <v/>
      </c>
      <c r="DW321" s="28" t="str">
        <f aca="false">BO321</f>
        <v/>
      </c>
      <c r="DX321" s="28" t="str">
        <f aca="false">BS321</f>
        <v/>
      </c>
      <c r="DY321" s="28" t="n">
        <f aca="false">IF(ISNUMBER(S321),1,"")</f>
        <v>1</v>
      </c>
      <c r="DZ321" s="28" t="str">
        <f aca="false">IF(ISNUMBER(W321),2,"")</f>
        <v/>
      </c>
      <c r="EA321" s="28" t="str">
        <f aca="false">IF(ISNUMBER(AA321),3,"")</f>
        <v/>
      </c>
      <c r="EB321" s="28" t="str">
        <f aca="false">IF(ISNUMBER(AE321),4,"")</f>
        <v/>
      </c>
      <c r="EC321" s="28" t="str">
        <f aca="false">IF(ISNUMBER(AI321),5,"")</f>
        <v/>
      </c>
      <c r="ED321" s="28" t="str">
        <f aca="false">IF(ISNUMBER(AM321),6,"")</f>
        <v/>
      </c>
      <c r="EE321" s="28" t="str">
        <f aca="false">IF(ISNUMBER(AQ321),7,"")</f>
        <v/>
      </c>
      <c r="EF321" s="28" t="str">
        <f aca="false">IF(ISNUMBER(AU321),8,"")</f>
        <v/>
      </c>
      <c r="EG321" s="28" t="str">
        <f aca="false">IF(ISNUMBER(AY321),9,"")</f>
        <v/>
      </c>
      <c r="EH321" s="28" t="str">
        <f aca="false">IF(ISNUMBER(BC321),10,"")</f>
        <v/>
      </c>
      <c r="EI321" s="28" t="str">
        <f aca="false">IF(ISNUMBER(BG321),11,"")</f>
        <v/>
      </c>
      <c r="EJ321" s="28" t="str">
        <f aca="false">IF(ISNUMBER(BK321),12,"")</f>
        <v/>
      </c>
      <c r="EK321" s="28" t="str">
        <f aca="false">IF(ISNUMBER(BO321),13,"")</f>
        <v/>
      </c>
      <c r="EL321" s="28" t="str">
        <f aca="false">IF(ISNUMBER(BS321),14,"")</f>
        <v/>
      </c>
      <c r="EM321" s="28" t="n">
        <f aca="false">IF(ISNUMBER(R321),R321*CW321,0)</f>
        <v>70.8333333333333</v>
      </c>
      <c r="EN321" s="28" t="n">
        <f aca="false">IF(ISNUMBER(V321),V321*CX321,0)</f>
        <v>0</v>
      </c>
      <c r="EO321" s="28" t="n">
        <f aca="false">IF(ISNUMBER(Z321),Z321*CY321,0)</f>
        <v>0</v>
      </c>
      <c r="EP321" s="28" t="n">
        <f aca="false">IF(ISNUMBER(AD321),AD321*CZ321,0)</f>
        <v>0</v>
      </c>
      <c r="EQ321" s="28" t="n">
        <f aca="false">IF(ISNUMBER(AH321),AH321*DA321,0)</f>
        <v>0</v>
      </c>
      <c r="ER321" s="28" t="n">
        <f aca="false">IF(ISNUMBER(AL321),AL321*DB321,0)</f>
        <v>0</v>
      </c>
      <c r="ES321" s="28" t="n">
        <f aca="false">IF(ISNUMBER(AP321),AP321*DC321,0)</f>
        <v>0</v>
      </c>
      <c r="ET321" s="28" t="n">
        <f aca="false">IF(ISNUMBER(AT321),AT321*DD321,0)</f>
        <v>0</v>
      </c>
      <c r="EU321" s="28" t="n">
        <f aca="false">IF(ISNUMBER(AX321),AX321*DE321,0)</f>
        <v>0</v>
      </c>
      <c r="EV321" s="28" t="n">
        <f aca="false">IF(ISNUMBER(BB321),BB321*DF321,0)</f>
        <v>0</v>
      </c>
      <c r="EW321" s="28" t="n">
        <f aca="false">IF(ISNUMBER(BF321),BF321*DG321,0)</f>
        <v>0</v>
      </c>
      <c r="EX321" s="28" t="n">
        <f aca="false">IF(ISNUMBER(BJ321),BJ321*DH321,0)</f>
        <v>0</v>
      </c>
      <c r="EY321" s="28" t="n">
        <f aca="false">IF(ISNUMBER(BN321),BN321*DI321,0)</f>
        <v>0</v>
      </c>
      <c r="EZ321" s="28" t="n">
        <f aca="false">IF(ISNUMBER(BR321),BR321*DJ321,0)</f>
        <v>0</v>
      </c>
      <c r="FA321" s="28" t="n">
        <f aca="false">IF(ISNUMBER(R321),CW321,0)</f>
        <v>1</v>
      </c>
      <c r="FB321" s="28" t="n">
        <f aca="false">IF(ISNUMBER(V321),CX321,0)</f>
        <v>0</v>
      </c>
      <c r="FC321" s="28" t="n">
        <f aca="false">IF(ISNUMBER(Z321),CY321,0)</f>
        <v>0</v>
      </c>
      <c r="FD321" s="28" t="n">
        <f aca="false">IF(ISNUMBER(AD321),CZ321,0)</f>
        <v>0</v>
      </c>
      <c r="FE321" s="28" t="n">
        <f aca="false">IF(ISNUMBER(AH321),DA321,0)</f>
        <v>0</v>
      </c>
      <c r="FF321" s="28" t="n">
        <f aca="false">IF(ISNUMBER(AL321),DB321,0)</f>
        <v>0</v>
      </c>
      <c r="FG321" s="28" t="n">
        <f aca="false">IF(ISNUMBER(AP321),DC321,0)</f>
        <v>0</v>
      </c>
      <c r="FH321" s="28" t="n">
        <f aca="false">IF(ISNUMBER(AT321),DD321,0)</f>
        <v>0</v>
      </c>
      <c r="FI321" s="28" t="n">
        <f aca="false">IF(ISNUMBER(AX321),DE321,0)</f>
        <v>0</v>
      </c>
      <c r="FJ321" s="28" t="n">
        <f aca="false">IF(ISNUMBER(BB321),DF321,0)</f>
        <v>0</v>
      </c>
      <c r="FK321" s="28" t="n">
        <f aca="false">IF(ISNUMBER(BF321),DG321,0)</f>
        <v>0</v>
      </c>
      <c r="FL321" s="28" t="n">
        <f aca="false">IF(ISNUMBER(BJ321),DH321,0)</f>
        <v>0</v>
      </c>
      <c r="FM321" s="28" t="n">
        <f aca="false">IF(ISNUMBER(BN321),DI321,0)</f>
        <v>0</v>
      </c>
      <c r="FN321" s="28" t="n">
        <f aca="false">IF(ISNUMBER(BR321),DJ321,0)</f>
        <v>0</v>
      </c>
      <c r="FO321" s="28" t="str">
        <f aca="false">IFERROR(INDEX(Lists!$G$2:$G$20,MATCH($I321&amp;"|"&amp;$J321,Lists!$F$2:$F$20,0)),"")</f>
        <v>BM Exam</v>
      </c>
    </row>
    <row r="322" customFormat="false" ht="19.5" hidden="false" customHeight="true" outlineLevel="0" collapsed="false">
      <c r="A322" s="29" t="s">
        <v>623</v>
      </c>
      <c r="B322" s="29" t="s">
        <v>624</v>
      </c>
      <c r="C322" s="30" t="s">
        <v>152</v>
      </c>
      <c r="D322" s="30" t="s">
        <v>408</v>
      </c>
      <c r="E322" s="31"/>
      <c r="F322" s="30"/>
      <c r="G322" s="30"/>
      <c r="H322" s="32" t="s">
        <v>428</v>
      </c>
      <c r="I322" s="33" t="s">
        <v>365</v>
      </c>
      <c r="J322" s="32" t="s">
        <v>25</v>
      </c>
      <c r="K322" s="34" t="str">
        <f aca="false">IF(OR(M322="",$E322=""),"",M322-$E322)</f>
        <v/>
      </c>
      <c r="L322" s="35" t="n">
        <f aca="false">IF(SUM(FA322:FN322)=0,"",SUM(EM322:EZ322)/SUM(FA322:FN322))</f>
        <v>83.3333333333333</v>
      </c>
      <c r="M322" s="36" t="n">
        <f aca="false">IF(OR(L322="",FO322=""),"",IFERROR(MATCH(L322,INDEX(Boundaries!$B$2:$I$30,MATCH(FO322,Boundaries!$A$2:$A$30,0),0),1)-1,""))</f>
        <v>7</v>
      </c>
      <c r="N322" s="37" t="str">
        <f aca="false">IF(COUNT($DY322:$EL322)&lt;2,"",INDEX($DK322:$DX322,MAX($DY322:$EL322))-INDEX($DK322:$DX322,MIN($DY322:$EL322)))</f>
        <v/>
      </c>
      <c r="O322" s="37" t="str">
        <f aca="false">IF(COUNT($DY322:$EL322)&lt;2,"",INDEX($DK322:$DX322,MAX($DY322:$EL322))-INDEX($DK322:$DX322,LARGE($DY322:$EL322,2)))</f>
        <v/>
      </c>
      <c r="P322" s="38" t="str">
        <f aca="false">IF(K322="","",IF(K322&gt;=0,"On/above target",IF(AND(N322&lt;&gt;"",N322&gt;=0.5),"Improving towards target",IF(AND(O322&lt;&gt;"",O322&lt;=-0.5),"Declining","Stable below target"))))</f>
        <v/>
      </c>
      <c r="Q322" s="39" t="n">
        <v>20</v>
      </c>
      <c r="R322" s="40" t="n">
        <f aca="false">IF(OR(Q322="",BU322=""),"",Q322/BU322*100)</f>
        <v>83.3333333333333</v>
      </c>
      <c r="S322" s="41" t="n">
        <f aca="false">IF(R322="","",IFERROR(MATCH(R322,INDEX(Boundaries!$B$2:$I$30,MATCH(CI322,Boundaries!$A$2:$A$30,0),0),1)-1,""))</f>
        <v>7</v>
      </c>
      <c r="T322" s="42" t="str">
        <f aca="false">IF(OR(S322="",$E322=""),"",S322-$E322)</f>
        <v/>
      </c>
      <c r="U322" s="39"/>
      <c r="V322" s="40" t="str">
        <f aca="false">IF(OR(U322="",BV322=""),"",U322/BV322*100)</f>
        <v/>
      </c>
      <c r="W322" s="41" t="str">
        <f aca="false">IF(V322="","",IFERROR(MATCH(V322,INDEX(Boundaries!$B$2:$I$30,MATCH(CJ322,Boundaries!$A$2:$A$30,0),0),1)-1,""))</f>
        <v/>
      </c>
      <c r="X322" s="42" t="str">
        <f aca="false">IF(OR(W322="",$E322=""),"",W322-$E322)</f>
        <v/>
      </c>
      <c r="Y322" s="39"/>
      <c r="Z322" s="40" t="str">
        <f aca="false">IF(OR(Y322="",BW322=""),"",Y322/BW322*100)</f>
        <v/>
      </c>
      <c r="AA322" s="41" t="str">
        <f aca="false">IF(Z322="","",IFERROR(MATCH(Z322,INDEX(Boundaries!$B$2:$I$30,MATCH(CK322,Boundaries!$A$2:$A$30,0),0),1)-1,""))</f>
        <v/>
      </c>
      <c r="AB322" s="42" t="str">
        <f aca="false">IF(OR(AA322="",$E322=""),"",AA322-$E322)</f>
        <v/>
      </c>
      <c r="AC322" s="39"/>
      <c r="AD322" s="40" t="str">
        <f aca="false">IF(OR(AC322="",BX322=""),"",AC322/BX322*100)</f>
        <v/>
      </c>
      <c r="AE322" s="41" t="str">
        <f aca="false">IF(AD322="","",IFERROR(MATCH(AD322,INDEX(Boundaries!$B$2:$I$30,MATCH(CL322,Boundaries!$A$2:$A$30,0),0),1)-1,""))</f>
        <v/>
      </c>
      <c r="AF322" s="42" t="str">
        <f aca="false">IF(OR(AE322="",$E322=""),"",AE322-$E322)</f>
        <v/>
      </c>
      <c r="AG322" s="39"/>
      <c r="AH322" s="40" t="str">
        <f aca="false">IF(OR(AG322="",BY322=""),"",AG322/BY322*100)</f>
        <v/>
      </c>
      <c r="AI322" s="41" t="str">
        <f aca="false">IF(AH322="","",IFERROR(MATCH(AH322,INDEX(Boundaries!$B$2:$I$30,MATCH(CM322,Boundaries!$A$2:$A$30,0),0),1)-1,""))</f>
        <v/>
      </c>
      <c r="AJ322" s="42" t="str">
        <f aca="false">IF(OR(AI322="",$E322=""),"",AI322-$E322)</f>
        <v/>
      </c>
      <c r="AK322" s="39"/>
      <c r="AL322" s="40" t="str">
        <f aca="false">IF(OR(AK322="",BZ322=""),"",AK322/BZ322*100)</f>
        <v/>
      </c>
      <c r="AM322" s="41" t="str">
        <f aca="false">IF(AL322="","",IFERROR(MATCH(AL322,INDEX(Boundaries!$B$2:$I$30,MATCH(CN322,Boundaries!$A$2:$A$30,0),0),1)-1,""))</f>
        <v/>
      </c>
      <c r="AN322" s="42" t="str">
        <f aca="false">IF(OR(AM322="",$E322=""),"",AM322-$E322)</f>
        <v/>
      </c>
      <c r="AO322" s="39"/>
      <c r="AP322" s="40" t="str">
        <f aca="false">IF(OR(AO322="",CA322=""),"",AO322/CA322*100)</f>
        <v/>
      </c>
      <c r="AQ322" s="41" t="str">
        <f aca="false">IF(AP322="","",IFERROR(MATCH(AP322,INDEX(Boundaries!$B$2:$I$30,MATCH(CO322,Boundaries!$A$2:$A$30,0),0),1)-1,""))</f>
        <v/>
      </c>
      <c r="AR322" s="42" t="str">
        <f aca="false">IF(OR(AQ322="",$E322=""),"",AQ322-$E322)</f>
        <v/>
      </c>
      <c r="AS322" s="39"/>
      <c r="AT322" s="40" t="str">
        <f aca="false">IF(OR(AS322="",CB322=""),"",AS322/CB322*100)</f>
        <v/>
      </c>
      <c r="AU322" s="41" t="str">
        <f aca="false">IF(AT322="","",IFERROR(MATCH(AT322,INDEX(Boundaries!$B$2:$I$30,MATCH(CP322,Boundaries!$A$2:$A$30,0),0),1)-1,""))</f>
        <v/>
      </c>
      <c r="AV322" s="42" t="str">
        <f aca="false">IF(OR(AU322="",$E322=""),"",AU322-$E322)</f>
        <v/>
      </c>
      <c r="AW322" s="39"/>
      <c r="AX322" s="40" t="str">
        <f aca="false">IF(OR(AW322="",CC322=""),"",AW322/CC322*100)</f>
        <v/>
      </c>
      <c r="AY322" s="41" t="str">
        <f aca="false">IF(AX322="","",IFERROR(MATCH(AX322,INDEX(Boundaries!$B$2:$I$30,MATCH(CQ322,Boundaries!$A$2:$A$30,0),0),1)-1,""))</f>
        <v/>
      </c>
      <c r="AZ322" s="42" t="str">
        <f aca="false">IF(OR(AY322="",$E322=""),"",AY322-$E322)</f>
        <v/>
      </c>
      <c r="BA322" s="39"/>
      <c r="BB322" s="40" t="str">
        <f aca="false">IF(OR(BA322="",CD322=""),"",BA322/CD322*100)</f>
        <v/>
      </c>
      <c r="BC322" s="41" t="str">
        <f aca="false">IF(BB322="","",IFERROR(MATCH(BB322,INDEX(Boundaries!$B$2:$I$30,MATCH(CR322,Boundaries!$A$2:$A$30,0),0),1)-1,""))</f>
        <v/>
      </c>
      <c r="BD322" s="42" t="str">
        <f aca="false">IF(OR(BC322="",$E322=""),"",BC322-$E322)</f>
        <v/>
      </c>
      <c r="BE322" s="39"/>
      <c r="BF322" s="40" t="str">
        <f aca="false">IF(OR(BE322="",CE322=""),"",BE322/CE322*100)</f>
        <v/>
      </c>
      <c r="BG322" s="41" t="str">
        <f aca="false">IF(BF322="","",IFERROR(MATCH(BF322,INDEX(Boundaries!$B$2:$I$30,MATCH(CS322,Boundaries!$A$2:$A$30,0),0),1)-1,""))</f>
        <v/>
      </c>
      <c r="BH322" s="42" t="str">
        <f aca="false">IF(OR(BG322="",$E322=""),"",BG322-$E322)</f>
        <v/>
      </c>
      <c r="BI322" s="39"/>
      <c r="BJ322" s="40" t="str">
        <f aca="false">IF(OR(BI322="",CF322=""),"",BI322/CF322*100)</f>
        <v/>
      </c>
      <c r="BK322" s="41" t="str">
        <f aca="false">IF(BJ322="","",IFERROR(MATCH(BJ322,INDEX(Boundaries!$B$2:$I$30,MATCH(CT322,Boundaries!$A$2:$A$30,0),0),1)-1,""))</f>
        <v/>
      </c>
      <c r="BL322" s="42" t="str">
        <f aca="false">IF(OR(BK322="",$E322=""),"",BK322-$E322)</f>
        <v/>
      </c>
      <c r="BM322" s="39"/>
      <c r="BN322" s="40" t="str">
        <f aca="false">IF(OR(BM322="",CG322=""),"",BM322/CG322*100)</f>
        <v/>
      </c>
      <c r="BO322" s="41" t="str">
        <f aca="false">IF(BN322="","",IFERROR(MATCH(BN322,INDEX(Boundaries!$B$2:$I$30,MATCH(CU322,Boundaries!$A$2:$A$30,0),0),1)-1,""))</f>
        <v/>
      </c>
      <c r="BP322" s="42" t="str">
        <f aca="false">IF(OR(BO322="",$E322=""),"",BO322-$E322)</f>
        <v/>
      </c>
      <c r="BQ322" s="39"/>
      <c r="BR322" s="40" t="str">
        <f aca="false">IF(OR(BQ322="",CH322=""),"",BQ322/CH322*100)</f>
        <v/>
      </c>
      <c r="BS322" s="41" t="str">
        <f aca="false">IF(BR322="","",IFERROR(MATCH(BR322,INDEX(Boundaries!$B$2:$I$30,MATCH(CV322,Boundaries!$A$2:$A$30,0),0),1)-1,""))</f>
        <v/>
      </c>
      <c r="BT322" s="42" t="str">
        <f aca="false">IF(OR(BS322="",$E322=""),"",BS322-$E322)</f>
        <v/>
      </c>
      <c r="BU322" s="28" t="n">
        <f aca="false">IFERROR(INDEX(Assessments!$H$2:$H$600,MATCH($H322&amp;"|"&amp;$I322&amp;"|"&amp;$J322&amp;"|"&amp;1,Assessments!$A$2:$A$600,0)),"")</f>
        <v>24</v>
      </c>
      <c r="BV322" s="28" t="n">
        <f aca="false">IFERROR(INDEX(Assessments!$H$2:$H$600,MATCH($H322&amp;"|"&amp;$I322&amp;"|"&amp;$J322&amp;"|"&amp;2,Assessments!$A$2:$A$600,0)),"")</f>
        <v>20</v>
      </c>
      <c r="BW322" s="28" t="n">
        <f aca="false">IFERROR(INDEX(Assessments!$H$2:$H$600,MATCH($H322&amp;"|"&amp;$I322&amp;"|"&amp;$J322&amp;"|"&amp;3,Assessments!$A$2:$A$600,0)),"")</f>
        <v>20</v>
      </c>
      <c r="BX322" s="28" t="n">
        <f aca="false">IFERROR(INDEX(Assessments!$H$2:$H$600,MATCH($H322&amp;"|"&amp;$I322&amp;"|"&amp;$J322&amp;"|"&amp;4,Assessments!$A$2:$A$600,0)),"")</f>
        <v>40</v>
      </c>
      <c r="BY322" s="28" t="n">
        <f aca="false">IFERROR(INDEX(Assessments!$H$2:$H$600,MATCH($H322&amp;"|"&amp;$I322&amp;"|"&amp;$J322&amp;"|"&amp;5,Assessments!$A$2:$A$600,0)),"")</f>
        <v>30</v>
      </c>
      <c r="BZ322" s="28" t="n">
        <f aca="false">IFERROR(INDEX(Assessments!$H$2:$H$600,MATCH($H322&amp;"|"&amp;$I322&amp;"|"&amp;$J322&amp;"|"&amp;6,Assessments!$A$2:$A$600,0)),"")</f>
        <v>20</v>
      </c>
      <c r="CA322" s="28" t="n">
        <f aca="false">IFERROR(INDEX(Assessments!$H$2:$H$600,MATCH($H322&amp;"|"&amp;$I322&amp;"|"&amp;$J322&amp;"|"&amp;7,Assessments!$A$2:$A$600,0)),"")</f>
        <v>50</v>
      </c>
      <c r="CB322" s="28" t="str">
        <f aca="false">IFERROR(INDEX(Assessments!$H$2:$H$600,MATCH($H322&amp;"|"&amp;$I322&amp;"|"&amp;$J322&amp;"|"&amp;8,Assessments!$A$2:$A$600,0)),"")</f>
        <v/>
      </c>
      <c r="CC322" s="28" t="str">
        <f aca="false">IFERROR(INDEX(Assessments!$H$2:$H$600,MATCH($H322&amp;"|"&amp;$I322&amp;"|"&amp;$J322&amp;"|"&amp;9,Assessments!$A$2:$A$600,0)),"")</f>
        <v/>
      </c>
      <c r="CD322" s="28" t="str">
        <f aca="false">IFERROR(INDEX(Assessments!$H$2:$H$600,MATCH($H322&amp;"|"&amp;$I322&amp;"|"&amp;$J322&amp;"|"&amp;10,Assessments!$A$2:$A$600,0)),"")</f>
        <v/>
      </c>
      <c r="CE322" s="28" t="str">
        <f aca="false">IFERROR(INDEX(Assessments!$H$2:$H$600,MATCH($H322&amp;"|"&amp;$I322&amp;"|"&amp;$J322&amp;"|"&amp;11,Assessments!$A$2:$A$600,0)),"")</f>
        <v/>
      </c>
      <c r="CF322" s="28" t="str">
        <f aca="false">IFERROR(INDEX(Assessments!$H$2:$H$600,MATCH($H322&amp;"|"&amp;$I322&amp;"|"&amp;$J322&amp;"|"&amp;12,Assessments!$A$2:$A$600,0)),"")</f>
        <v/>
      </c>
      <c r="CG322" s="28" t="str">
        <f aca="false">IFERROR(INDEX(Assessments!$H$2:$H$600,MATCH($H322&amp;"|"&amp;$I322&amp;"|"&amp;$J322&amp;"|"&amp;13,Assessments!$A$2:$A$600,0)),"")</f>
        <v/>
      </c>
      <c r="CH322" s="28" t="str">
        <f aca="false">IFERROR(INDEX(Assessments!$H$2:$H$600,MATCH($H322&amp;"|"&amp;$I322&amp;"|"&amp;$J322&amp;"|"&amp;14,Assessments!$A$2:$A$600,0)),"")</f>
        <v/>
      </c>
      <c r="CI322" s="28" t="str">
        <f aca="false">IFERROR(INDEX(Assessments!$I$2:$I$600,MATCH($H322&amp;"|"&amp;$I322&amp;"|"&amp;$J322&amp;"|"&amp;1,Assessments!$A$2:$A$600,0)),"")</f>
        <v>BM Test</v>
      </c>
      <c r="CJ322" s="28" t="str">
        <f aca="false">IFERROR(INDEX(Assessments!$I$2:$I$600,MATCH($H322&amp;"|"&amp;$I322&amp;"|"&amp;$J322&amp;"|"&amp;2,Assessments!$A$2:$A$600,0)),"")</f>
        <v>BM Test</v>
      </c>
      <c r="CK322" s="28" t="str">
        <f aca="false">IFERROR(INDEX(Assessments!$I$2:$I$600,MATCH($H322&amp;"|"&amp;$I322&amp;"|"&amp;$J322&amp;"|"&amp;3,Assessments!$A$2:$A$600,0)),"")</f>
        <v>BM Test</v>
      </c>
      <c r="CL322" s="28" t="str">
        <f aca="false">IFERROR(INDEX(Assessments!$I$2:$I$600,MATCH($H322&amp;"|"&amp;$I322&amp;"|"&amp;$J322&amp;"|"&amp;4,Assessments!$A$2:$A$600,0)),"")</f>
        <v>BM Exam</v>
      </c>
      <c r="CM322" s="28" t="str">
        <f aca="false">IFERROR(INDEX(Assessments!$I$2:$I$600,MATCH($H322&amp;"|"&amp;$I322&amp;"|"&amp;$J322&amp;"|"&amp;5,Assessments!$A$2:$A$600,0)),"")</f>
        <v>BM Test</v>
      </c>
      <c r="CN322" s="28" t="str">
        <f aca="false">IFERROR(INDEX(Assessments!$I$2:$I$600,MATCH($H322&amp;"|"&amp;$I322&amp;"|"&amp;$J322&amp;"|"&amp;6,Assessments!$A$2:$A$600,0)),"")</f>
        <v>BM Test</v>
      </c>
      <c r="CO322" s="28" t="str">
        <f aca="false">IFERROR(INDEX(Assessments!$I$2:$I$600,MATCH($H322&amp;"|"&amp;$I322&amp;"|"&amp;$J322&amp;"|"&amp;7,Assessments!$A$2:$A$600,0)),"")</f>
        <v>BM Exam</v>
      </c>
      <c r="CP322" s="28" t="str">
        <f aca="false">IFERROR(INDEX(Assessments!$I$2:$I$600,MATCH($H322&amp;"|"&amp;$I322&amp;"|"&amp;$J322&amp;"|"&amp;8,Assessments!$A$2:$A$600,0)),"")</f>
        <v/>
      </c>
      <c r="CQ322" s="28" t="str">
        <f aca="false">IFERROR(INDEX(Assessments!$I$2:$I$600,MATCH($H322&amp;"|"&amp;$I322&amp;"|"&amp;$J322&amp;"|"&amp;9,Assessments!$A$2:$A$600,0)),"")</f>
        <v/>
      </c>
      <c r="CR322" s="28" t="str">
        <f aca="false">IFERROR(INDEX(Assessments!$I$2:$I$600,MATCH($H322&amp;"|"&amp;$I322&amp;"|"&amp;$J322&amp;"|"&amp;10,Assessments!$A$2:$A$600,0)),"")</f>
        <v/>
      </c>
      <c r="CS322" s="28" t="str">
        <f aca="false">IFERROR(INDEX(Assessments!$I$2:$I$600,MATCH($H322&amp;"|"&amp;$I322&amp;"|"&amp;$J322&amp;"|"&amp;11,Assessments!$A$2:$A$600,0)),"")</f>
        <v/>
      </c>
      <c r="CT322" s="28" t="str">
        <f aca="false">IFERROR(INDEX(Assessments!$I$2:$I$600,MATCH($H322&amp;"|"&amp;$I322&amp;"|"&amp;$J322&amp;"|"&amp;12,Assessments!$A$2:$A$600,0)),"")</f>
        <v/>
      </c>
      <c r="CU322" s="28" t="str">
        <f aca="false">IFERROR(INDEX(Assessments!$I$2:$I$600,MATCH($H322&amp;"|"&amp;$I322&amp;"|"&amp;$J322&amp;"|"&amp;13,Assessments!$A$2:$A$600,0)),"")</f>
        <v/>
      </c>
      <c r="CV322" s="28" t="str">
        <f aca="false">IFERROR(INDEX(Assessments!$I$2:$I$600,MATCH($H322&amp;"|"&amp;$I322&amp;"|"&amp;$J322&amp;"|"&amp;14,Assessments!$A$2:$A$600,0)),"")</f>
        <v/>
      </c>
      <c r="CW322" s="28" t="n">
        <f aca="false">IFERROR(INDEX(Assessments!$J$2:$J$600,MATCH($H322&amp;"|"&amp;$I322&amp;"|"&amp;$J322&amp;"|"&amp;1,Assessments!$A$2:$A$600,0)),0)</f>
        <v>1</v>
      </c>
      <c r="CX322" s="28" t="n">
        <f aca="false">IFERROR(INDEX(Assessments!$J$2:$J$600,MATCH($H322&amp;"|"&amp;$I322&amp;"|"&amp;$J322&amp;"|"&amp;2,Assessments!$A$2:$A$600,0)),0)</f>
        <v>1</v>
      </c>
      <c r="CY322" s="28" t="n">
        <f aca="false">IFERROR(INDEX(Assessments!$J$2:$J$600,MATCH($H322&amp;"|"&amp;$I322&amp;"|"&amp;$J322&amp;"|"&amp;3,Assessments!$A$2:$A$600,0)),0)</f>
        <v>1</v>
      </c>
      <c r="CZ322" s="28" t="n">
        <f aca="false">IFERROR(INDEX(Assessments!$J$2:$J$600,MATCH($H322&amp;"|"&amp;$I322&amp;"|"&amp;$J322&amp;"|"&amp;4,Assessments!$A$2:$A$600,0)),0)</f>
        <v>2</v>
      </c>
      <c r="DA322" s="28" t="n">
        <f aca="false">IFERROR(INDEX(Assessments!$J$2:$J$600,MATCH($H322&amp;"|"&amp;$I322&amp;"|"&amp;$J322&amp;"|"&amp;5,Assessments!$A$2:$A$600,0)),0)</f>
        <v>1</v>
      </c>
      <c r="DB322" s="28" t="n">
        <f aca="false">IFERROR(INDEX(Assessments!$J$2:$J$600,MATCH($H322&amp;"|"&amp;$I322&amp;"|"&amp;$J322&amp;"|"&amp;6,Assessments!$A$2:$A$600,0)),0)</f>
        <v>1</v>
      </c>
      <c r="DC322" s="28" t="n">
        <f aca="false">IFERROR(INDEX(Assessments!$J$2:$J$600,MATCH($H322&amp;"|"&amp;$I322&amp;"|"&amp;$J322&amp;"|"&amp;7,Assessments!$A$2:$A$600,0)),0)</f>
        <v>2</v>
      </c>
      <c r="DD322" s="28" t="n">
        <f aca="false">IFERROR(INDEX(Assessments!$J$2:$J$600,MATCH($H322&amp;"|"&amp;$I322&amp;"|"&amp;$J322&amp;"|"&amp;8,Assessments!$A$2:$A$600,0)),0)</f>
        <v>0</v>
      </c>
      <c r="DE322" s="28" t="n">
        <f aca="false">IFERROR(INDEX(Assessments!$J$2:$J$600,MATCH($H322&amp;"|"&amp;$I322&amp;"|"&amp;$J322&amp;"|"&amp;9,Assessments!$A$2:$A$600,0)),0)</f>
        <v>0</v>
      </c>
      <c r="DF322" s="28" t="n">
        <f aca="false">IFERROR(INDEX(Assessments!$J$2:$J$600,MATCH($H322&amp;"|"&amp;$I322&amp;"|"&amp;$J322&amp;"|"&amp;10,Assessments!$A$2:$A$600,0)),0)</f>
        <v>0</v>
      </c>
      <c r="DG322" s="28" t="n">
        <f aca="false">IFERROR(INDEX(Assessments!$J$2:$J$600,MATCH($H322&amp;"|"&amp;$I322&amp;"|"&amp;$J322&amp;"|"&amp;11,Assessments!$A$2:$A$600,0)),0)</f>
        <v>0</v>
      </c>
      <c r="DH322" s="28" t="n">
        <f aca="false">IFERROR(INDEX(Assessments!$J$2:$J$600,MATCH($H322&amp;"|"&amp;$I322&amp;"|"&amp;$J322&amp;"|"&amp;12,Assessments!$A$2:$A$600,0)),0)</f>
        <v>0</v>
      </c>
      <c r="DI322" s="28" t="n">
        <f aca="false">IFERROR(INDEX(Assessments!$J$2:$J$600,MATCH($H322&amp;"|"&amp;$I322&amp;"|"&amp;$J322&amp;"|"&amp;13,Assessments!$A$2:$A$600,0)),0)</f>
        <v>0</v>
      </c>
      <c r="DJ322" s="28" t="n">
        <f aca="false">IFERROR(INDEX(Assessments!$J$2:$J$600,MATCH($H322&amp;"|"&amp;$I322&amp;"|"&amp;$J322&amp;"|"&amp;14,Assessments!$A$2:$A$600,0)),0)</f>
        <v>0</v>
      </c>
      <c r="DK322" s="28" t="n">
        <f aca="false">S322</f>
        <v>7</v>
      </c>
      <c r="DL322" s="28" t="str">
        <f aca="false">W322</f>
        <v/>
      </c>
      <c r="DM322" s="28" t="str">
        <f aca="false">AA322</f>
        <v/>
      </c>
      <c r="DN322" s="28" t="str">
        <f aca="false">AE322</f>
        <v/>
      </c>
      <c r="DO322" s="28" t="str">
        <f aca="false">AI322</f>
        <v/>
      </c>
      <c r="DP322" s="28" t="str">
        <f aca="false">AM322</f>
        <v/>
      </c>
      <c r="DQ322" s="28" t="str">
        <f aca="false">AQ322</f>
        <v/>
      </c>
      <c r="DR322" s="28" t="str">
        <f aca="false">AU322</f>
        <v/>
      </c>
      <c r="DS322" s="28" t="str">
        <f aca="false">AY322</f>
        <v/>
      </c>
      <c r="DT322" s="28" t="str">
        <f aca="false">BC322</f>
        <v/>
      </c>
      <c r="DU322" s="28" t="str">
        <f aca="false">BG322</f>
        <v/>
      </c>
      <c r="DV322" s="28" t="str">
        <f aca="false">BK322</f>
        <v/>
      </c>
      <c r="DW322" s="28" t="str">
        <f aca="false">BO322</f>
        <v/>
      </c>
      <c r="DX322" s="28" t="str">
        <f aca="false">BS322</f>
        <v/>
      </c>
      <c r="DY322" s="28" t="n">
        <f aca="false">IF(ISNUMBER(S322),1,"")</f>
        <v>1</v>
      </c>
      <c r="DZ322" s="28" t="str">
        <f aca="false">IF(ISNUMBER(W322),2,"")</f>
        <v/>
      </c>
      <c r="EA322" s="28" t="str">
        <f aca="false">IF(ISNUMBER(AA322),3,"")</f>
        <v/>
      </c>
      <c r="EB322" s="28" t="str">
        <f aca="false">IF(ISNUMBER(AE322),4,"")</f>
        <v/>
      </c>
      <c r="EC322" s="28" t="str">
        <f aca="false">IF(ISNUMBER(AI322),5,"")</f>
        <v/>
      </c>
      <c r="ED322" s="28" t="str">
        <f aca="false">IF(ISNUMBER(AM322),6,"")</f>
        <v/>
      </c>
      <c r="EE322" s="28" t="str">
        <f aca="false">IF(ISNUMBER(AQ322),7,"")</f>
        <v/>
      </c>
      <c r="EF322" s="28" t="str">
        <f aca="false">IF(ISNUMBER(AU322),8,"")</f>
        <v/>
      </c>
      <c r="EG322" s="28" t="str">
        <f aca="false">IF(ISNUMBER(AY322),9,"")</f>
        <v/>
      </c>
      <c r="EH322" s="28" t="str">
        <f aca="false">IF(ISNUMBER(BC322),10,"")</f>
        <v/>
      </c>
      <c r="EI322" s="28" t="str">
        <f aca="false">IF(ISNUMBER(BG322),11,"")</f>
        <v/>
      </c>
      <c r="EJ322" s="28" t="str">
        <f aca="false">IF(ISNUMBER(BK322),12,"")</f>
        <v/>
      </c>
      <c r="EK322" s="28" t="str">
        <f aca="false">IF(ISNUMBER(BO322),13,"")</f>
        <v/>
      </c>
      <c r="EL322" s="28" t="str">
        <f aca="false">IF(ISNUMBER(BS322),14,"")</f>
        <v/>
      </c>
      <c r="EM322" s="28" t="n">
        <f aca="false">IF(ISNUMBER(R322),R322*CW322,0)</f>
        <v>83.3333333333333</v>
      </c>
      <c r="EN322" s="28" t="n">
        <f aca="false">IF(ISNUMBER(V322),V322*CX322,0)</f>
        <v>0</v>
      </c>
      <c r="EO322" s="28" t="n">
        <f aca="false">IF(ISNUMBER(Z322),Z322*CY322,0)</f>
        <v>0</v>
      </c>
      <c r="EP322" s="28" t="n">
        <f aca="false">IF(ISNUMBER(AD322),AD322*CZ322,0)</f>
        <v>0</v>
      </c>
      <c r="EQ322" s="28" t="n">
        <f aca="false">IF(ISNUMBER(AH322),AH322*DA322,0)</f>
        <v>0</v>
      </c>
      <c r="ER322" s="28" t="n">
        <f aca="false">IF(ISNUMBER(AL322),AL322*DB322,0)</f>
        <v>0</v>
      </c>
      <c r="ES322" s="28" t="n">
        <f aca="false">IF(ISNUMBER(AP322),AP322*DC322,0)</f>
        <v>0</v>
      </c>
      <c r="ET322" s="28" t="n">
        <f aca="false">IF(ISNUMBER(AT322),AT322*DD322,0)</f>
        <v>0</v>
      </c>
      <c r="EU322" s="28" t="n">
        <f aca="false">IF(ISNUMBER(AX322),AX322*DE322,0)</f>
        <v>0</v>
      </c>
      <c r="EV322" s="28" t="n">
        <f aca="false">IF(ISNUMBER(BB322),BB322*DF322,0)</f>
        <v>0</v>
      </c>
      <c r="EW322" s="28" t="n">
        <f aca="false">IF(ISNUMBER(BF322),BF322*DG322,0)</f>
        <v>0</v>
      </c>
      <c r="EX322" s="28" t="n">
        <f aca="false">IF(ISNUMBER(BJ322),BJ322*DH322,0)</f>
        <v>0</v>
      </c>
      <c r="EY322" s="28" t="n">
        <f aca="false">IF(ISNUMBER(BN322),BN322*DI322,0)</f>
        <v>0</v>
      </c>
      <c r="EZ322" s="28" t="n">
        <f aca="false">IF(ISNUMBER(BR322),BR322*DJ322,0)</f>
        <v>0</v>
      </c>
      <c r="FA322" s="28" t="n">
        <f aca="false">IF(ISNUMBER(R322),CW322,0)</f>
        <v>1</v>
      </c>
      <c r="FB322" s="28" t="n">
        <f aca="false">IF(ISNUMBER(V322),CX322,0)</f>
        <v>0</v>
      </c>
      <c r="FC322" s="28" t="n">
        <f aca="false">IF(ISNUMBER(Z322),CY322,0)</f>
        <v>0</v>
      </c>
      <c r="FD322" s="28" t="n">
        <f aca="false">IF(ISNUMBER(AD322),CZ322,0)</f>
        <v>0</v>
      </c>
      <c r="FE322" s="28" t="n">
        <f aca="false">IF(ISNUMBER(AH322),DA322,0)</f>
        <v>0</v>
      </c>
      <c r="FF322" s="28" t="n">
        <f aca="false">IF(ISNUMBER(AL322),DB322,0)</f>
        <v>0</v>
      </c>
      <c r="FG322" s="28" t="n">
        <f aca="false">IF(ISNUMBER(AP322),DC322,0)</f>
        <v>0</v>
      </c>
      <c r="FH322" s="28" t="n">
        <f aca="false">IF(ISNUMBER(AT322),DD322,0)</f>
        <v>0</v>
      </c>
      <c r="FI322" s="28" t="n">
        <f aca="false">IF(ISNUMBER(AX322),DE322,0)</f>
        <v>0</v>
      </c>
      <c r="FJ322" s="28" t="n">
        <f aca="false">IF(ISNUMBER(BB322),DF322,0)</f>
        <v>0</v>
      </c>
      <c r="FK322" s="28" t="n">
        <f aca="false">IF(ISNUMBER(BF322),DG322,0)</f>
        <v>0</v>
      </c>
      <c r="FL322" s="28" t="n">
        <f aca="false">IF(ISNUMBER(BJ322),DH322,0)</f>
        <v>0</v>
      </c>
      <c r="FM322" s="28" t="n">
        <f aca="false">IF(ISNUMBER(BN322),DI322,0)</f>
        <v>0</v>
      </c>
      <c r="FN322" s="28" t="n">
        <f aca="false">IF(ISNUMBER(BR322),DJ322,0)</f>
        <v>0</v>
      </c>
      <c r="FO322" s="28" t="str">
        <f aca="false">IFERROR(INDEX(Lists!$G$2:$G$20,MATCH($I322&amp;"|"&amp;$J322,Lists!$F$2:$F$20,0)),"")</f>
        <v>BM Exam</v>
      </c>
    </row>
    <row r="323" customFormat="false" ht="19.5" hidden="false" customHeight="true" outlineLevel="0" collapsed="false">
      <c r="A323" s="29" t="s">
        <v>537</v>
      </c>
      <c r="B323" s="29" t="s">
        <v>538</v>
      </c>
      <c r="C323" s="30" t="s">
        <v>152</v>
      </c>
      <c r="D323" s="30" t="s">
        <v>408</v>
      </c>
      <c r="E323" s="31"/>
      <c r="F323" s="30"/>
      <c r="G323" s="30"/>
      <c r="H323" s="32" t="s">
        <v>428</v>
      </c>
      <c r="I323" s="33" t="s">
        <v>365</v>
      </c>
      <c r="J323" s="32" t="s">
        <v>25</v>
      </c>
      <c r="K323" s="34" t="str">
        <f aca="false">IF(OR(M323="",$E323=""),"",M323-$E323)</f>
        <v/>
      </c>
      <c r="L323" s="35" t="n">
        <f aca="false">IF(SUM(FA323:FN323)=0,"",SUM(EM323:EZ323)/SUM(FA323:FN323))</f>
        <v>75</v>
      </c>
      <c r="M323" s="36" t="n">
        <f aca="false">IF(OR(L323="",FO323=""),"",IFERROR(MATCH(L323,INDEX(Boundaries!$B$2:$I$30,MATCH(FO323,Boundaries!$A$2:$A$30,0),0),1)-1,""))</f>
        <v>7</v>
      </c>
      <c r="N323" s="37" t="str">
        <f aca="false">IF(COUNT($DY323:$EL323)&lt;2,"",INDEX($DK323:$DX323,MAX($DY323:$EL323))-INDEX($DK323:$DX323,MIN($DY323:$EL323)))</f>
        <v/>
      </c>
      <c r="O323" s="37" t="str">
        <f aca="false">IF(COUNT($DY323:$EL323)&lt;2,"",INDEX($DK323:$DX323,MAX($DY323:$EL323))-INDEX($DK323:$DX323,LARGE($DY323:$EL323,2)))</f>
        <v/>
      </c>
      <c r="P323" s="38" t="str">
        <f aca="false">IF(K323="","",IF(K323&gt;=0,"On/above target",IF(AND(N323&lt;&gt;"",N323&gt;=0.5),"Improving towards target",IF(AND(O323&lt;&gt;"",O323&lt;=-0.5),"Declining","Stable below target"))))</f>
        <v/>
      </c>
      <c r="Q323" s="39" t="n">
        <v>18</v>
      </c>
      <c r="R323" s="40" t="n">
        <f aca="false">IF(OR(Q323="",BU323=""),"",Q323/BU323*100)</f>
        <v>75</v>
      </c>
      <c r="S323" s="41" t="n">
        <f aca="false">IF(R323="","",IFERROR(MATCH(R323,INDEX(Boundaries!$B$2:$I$30,MATCH(CI323,Boundaries!$A$2:$A$30,0),0),1)-1,""))</f>
        <v>7</v>
      </c>
      <c r="T323" s="42" t="str">
        <f aca="false">IF(OR(S323="",$E323=""),"",S323-$E323)</f>
        <v/>
      </c>
      <c r="U323" s="39"/>
      <c r="V323" s="40" t="str">
        <f aca="false">IF(OR(U323="",BV323=""),"",U323/BV323*100)</f>
        <v/>
      </c>
      <c r="W323" s="41" t="str">
        <f aca="false">IF(V323="","",IFERROR(MATCH(V323,INDEX(Boundaries!$B$2:$I$30,MATCH(CJ323,Boundaries!$A$2:$A$30,0),0),1)-1,""))</f>
        <v/>
      </c>
      <c r="X323" s="42" t="str">
        <f aca="false">IF(OR(W323="",$E323=""),"",W323-$E323)</f>
        <v/>
      </c>
      <c r="Y323" s="39"/>
      <c r="Z323" s="40" t="str">
        <f aca="false">IF(OR(Y323="",BW323=""),"",Y323/BW323*100)</f>
        <v/>
      </c>
      <c r="AA323" s="41" t="str">
        <f aca="false">IF(Z323="","",IFERROR(MATCH(Z323,INDEX(Boundaries!$B$2:$I$30,MATCH(CK323,Boundaries!$A$2:$A$30,0),0),1)-1,""))</f>
        <v/>
      </c>
      <c r="AB323" s="42" t="str">
        <f aca="false">IF(OR(AA323="",$E323=""),"",AA323-$E323)</f>
        <v/>
      </c>
      <c r="AC323" s="39"/>
      <c r="AD323" s="40" t="str">
        <f aca="false">IF(OR(AC323="",BX323=""),"",AC323/BX323*100)</f>
        <v/>
      </c>
      <c r="AE323" s="41" t="str">
        <f aca="false">IF(AD323="","",IFERROR(MATCH(AD323,INDEX(Boundaries!$B$2:$I$30,MATCH(CL323,Boundaries!$A$2:$A$30,0),0),1)-1,""))</f>
        <v/>
      </c>
      <c r="AF323" s="42" t="str">
        <f aca="false">IF(OR(AE323="",$E323=""),"",AE323-$E323)</f>
        <v/>
      </c>
      <c r="AG323" s="39"/>
      <c r="AH323" s="40" t="str">
        <f aca="false">IF(OR(AG323="",BY323=""),"",AG323/BY323*100)</f>
        <v/>
      </c>
      <c r="AI323" s="41" t="str">
        <f aca="false">IF(AH323="","",IFERROR(MATCH(AH323,INDEX(Boundaries!$B$2:$I$30,MATCH(CM323,Boundaries!$A$2:$A$30,0),0),1)-1,""))</f>
        <v/>
      </c>
      <c r="AJ323" s="42" t="str">
        <f aca="false">IF(OR(AI323="",$E323=""),"",AI323-$E323)</f>
        <v/>
      </c>
      <c r="AK323" s="39"/>
      <c r="AL323" s="40" t="str">
        <f aca="false">IF(OR(AK323="",BZ323=""),"",AK323/BZ323*100)</f>
        <v/>
      </c>
      <c r="AM323" s="41" t="str">
        <f aca="false">IF(AL323="","",IFERROR(MATCH(AL323,INDEX(Boundaries!$B$2:$I$30,MATCH(CN323,Boundaries!$A$2:$A$30,0),0),1)-1,""))</f>
        <v/>
      </c>
      <c r="AN323" s="42" t="str">
        <f aca="false">IF(OR(AM323="",$E323=""),"",AM323-$E323)</f>
        <v/>
      </c>
      <c r="AO323" s="39"/>
      <c r="AP323" s="40" t="str">
        <f aca="false">IF(OR(AO323="",CA323=""),"",AO323/CA323*100)</f>
        <v/>
      </c>
      <c r="AQ323" s="41" t="str">
        <f aca="false">IF(AP323="","",IFERROR(MATCH(AP323,INDEX(Boundaries!$B$2:$I$30,MATCH(CO323,Boundaries!$A$2:$A$30,0),0),1)-1,""))</f>
        <v/>
      </c>
      <c r="AR323" s="42" t="str">
        <f aca="false">IF(OR(AQ323="",$E323=""),"",AQ323-$E323)</f>
        <v/>
      </c>
      <c r="AS323" s="39"/>
      <c r="AT323" s="40" t="str">
        <f aca="false">IF(OR(AS323="",CB323=""),"",AS323/CB323*100)</f>
        <v/>
      </c>
      <c r="AU323" s="41" t="str">
        <f aca="false">IF(AT323="","",IFERROR(MATCH(AT323,INDEX(Boundaries!$B$2:$I$30,MATCH(CP323,Boundaries!$A$2:$A$30,0),0),1)-1,""))</f>
        <v/>
      </c>
      <c r="AV323" s="42" t="str">
        <f aca="false">IF(OR(AU323="",$E323=""),"",AU323-$E323)</f>
        <v/>
      </c>
      <c r="AW323" s="39"/>
      <c r="AX323" s="40" t="str">
        <f aca="false">IF(OR(AW323="",CC323=""),"",AW323/CC323*100)</f>
        <v/>
      </c>
      <c r="AY323" s="41" t="str">
        <f aca="false">IF(AX323="","",IFERROR(MATCH(AX323,INDEX(Boundaries!$B$2:$I$30,MATCH(CQ323,Boundaries!$A$2:$A$30,0),0),1)-1,""))</f>
        <v/>
      </c>
      <c r="AZ323" s="42" t="str">
        <f aca="false">IF(OR(AY323="",$E323=""),"",AY323-$E323)</f>
        <v/>
      </c>
      <c r="BA323" s="39"/>
      <c r="BB323" s="40" t="str">
        <f aca="false">IF(OR(BA323="",CD323=""),"",BA323/CD323*100)</f>
        <v/>
      </c>
      <c r="BC323" s="41" t="str">
        <f aca="false">IF(BB323="","",IFERROR(MATCH(BB323,INDEX(Boundaries!$B$2:$I$30,MATCH(CR323,Boundaries!$A$2:$A$30,0),0),1)-1,""))</f>
        <v/>
      </c>
      <c r="BD323" s="42" t="str">
        <f aca="false">IF(OR(BC323="",$E323=""),"",BC323-$E323)</f>
        <v/>
      </c>
      <c r="BE323" s="39"/>
      <c r="BF323" s="40" t="str">
        <f aca="false">IF(OR(BE323="",CE323=""),"",BE323/CE323*100)</f>
        <v/>
      </c>
      <c r="BG323" s="41" t="str">
        <f aca="false">IF(BF323="","",IFERROR(MATCH(BF323,INDEX(Boundaries!$B$2:$I$30,MATCH(CS323,Boundaries!$A$2:$A$30,0),0),1)-1,""))</f>
        <v/>
      </c>
      <c r="BH323" s="42" t="str">
        <f aca="false">IF(OR(BG323="",$E323=""),"",BG323-$E323)</f>
        <v/>
      </c>
      <c r="BI323" s="39"/>
      <c r="BJ323" s="40" t="str">
        <f aca="false">IF(OR(BI323="",CF323=""),"",BI323/CF323*100)</f>
        <v/>
      </c>
      <c r="BK323" s="41" t="str">
        <f aca="false">IF(BJ323="","",IFERROR(MATCH(BJ323,INDEX(Boundaries!$B$2:$I$30,MATCH(CT323,Boundaries!$A$2:$A$30,0),0),1)-1,""))</f>
        <v/>
      </c>
      <c r="BL323" s="42" t="str">
        <f aca="false">IF(OR(BK323="",$E323=""),"",BK323-$E323)</f>
        <v/>
      </c>
      <c r="BM323" s="39"/>
      <c r="BN323" s="40" t="str">
        <f aca="false">IF(OR(BM323="",CG323=""),"",BM323/CG323*100)</f>
        <v/>
      </c>
      <c r="BO323" s="41" t="str">
        <f aca="false">IF(BN323="","",IFERROR(MATCH(BN323,INDEX(Boundaries!$B$2:$I$30,MATCH(CU323,Boundaries!$A$2:$A$30,0),0),1)-1,""))</f>
        <v/>
      </c>
      <c r="BP323" s="42" t="str">
        <f aca="false">IF(OR(BO323="",$E323=""),"",BO323-$E323)</f>
        <v/>
      </c>
      <c r="BQ323" s="39"/>
      <c r="BR323" s="40" t="str">
        <f aca="false">IF(OR(BQ323="",CH323=""),"",BQ323/CH323*100)</f>
        <v/>
      </c>
      <c r="BS323" s="41" t="str">
        <f aca="false">IF(BR323="","",IFERROR(MATCH(BR323,INDEX(Boundaries!$B$2:$I$30,MATCH(CV323,Boundaries!$A$2:$A$30,0),0),1)-1,""))</f>
        <v/>
      </c>
      <c r="BT323" s="42" t="str">
        <f aca="false">IF(OR(BS323="",$E323=""),"",BS323-$E323)</f>
        <v/>
      </c>
      <c r="BU323" s="28" t="n">
        <f aca="false">IFERROR(INDEX(Assessments!$H$2:$H$600,MATCH($H323&amp;"|"&amp;$I323&amp;"|"&amp;$J323&amp;"|"&amp;1,Assessments!$A$2:$A$600,0)),"")</f>
        <v>24</v>
      </c>
      <c r="BV323" s="28" t="n">
        <f aca="false">IFERROR(INDEX(Assessments!$H$2:$H$600,MATCH($H323&amp;"|"&amp;$I323&amp;"|"&amp;$J323&amp;"|"&amp;2,Assessments!$A$2:$A$600,0)),"")</f>
        <v>20</v>
      </c>
      <c r="BW323" s="28" t="n">
        <f aca="false">IFERROR(INDEX(Assessments!$H$2:$H$600,MATCH($H323&amp;"|"&amp;$I323&amp;"|"&amp;$J323&amp;"|"&amp;3,Assessments!$A$2:$A$600,0)),"")</f>
        <v>20</v>
      </c>
      <c r="BX323" s="28" t="n">
        <f aca="false">IFERROR(INDEX(Assessments!$H$2:$H$600,MATCH($H323&amp;"|"&amp;$I323&amp;"|"&amp;$J323&amp;"|"&amp;4,Assessments!$A$2:$A$600,0)),"")</f>
        <v>40</v>
      </c>
      <c r="BY323" s="28" t="n">
        <f aca="false">IFERROR(INDEX(Assessments!$H$2:$H$600,MATCH($H323&amp;"|"&amp;$I323&amp;"|"&amp;$J323&amp;"|"&amp;5,Assessments!$A$2:$A$600,0)),"")</f>
        <v>30</v>
      </c>
      <c r="BZ323" s="28" t="n">
        <f aca="false">IFERROR(INDEX(Assessments!$H$2:$H$600,MATCH($H323&amp;"|"&amp;$I323&amp;"|"&amp;$J323&amp;"|"&amp;6,Assessments!$A$2:$A$600,0)),"")</f>
        <v>20</v>
      </c>
      <c r="CA323" s="28" t="n">
        <f aca="false">IFERROR(INDEX(Assessments!$H$2:$H$600,MATCH($H323&amp;"|"&amp;$I323&amp;"|"&amp;$J323&amp;"|"&amp;7,Assessments!$A$2:$A$600,0)),"")</f>
        <v>50</v>
      </c>
      <c r="CB323" s="28" t="str">
        <f aca="false">IFERROR(INDEX(Assessments!$H$2:$H$600,MATCH($H323&amp;"|"&amp;$I323&amp;"|"&amp;$J323&amp;"|"&amp;8,Assessments!$A$2:$A$600,0)),"")</f>
        <v/>
      </c>
      <c r="CC323" s="28" t="str">
        <f aca="false">IFERROR(INDEX(Assessments!$H$2:$H$600,MATCH($H323&amp;"|"&amp;$I323&amp;"|"&amp;$J323&amp;"|"&amp;9,Assessments!$A$2:$A$600,0)),"")</f>
        <v/>
      </c>
      <c r="CD323" s="28" t="str">
        <f aca="false">IFERROR(INDEX(Assessments!$H$2:$H$600,MATCH($H323&amp;"|"&amp;$I323&amp;"|"&amp;$J323&amp;"|"&amp;10,Assessments!$A$2:$A$600,0)),"")</f>
        <v/>
      </c>
      <c r="CE323" s="28" t="str">
        <f aca="false">IFERROR(INDEX(Assessments!$H$2:$H$600,MATCH($H323&amp;"|"&amp;$I323&amp;"|"&amp;$J323&amp;"|"&amp;11,Assessments!$A$2:$A$600,0)),"")</f>
        <v/>
      </c>
      <c r="CF323" s="28" t="str">
        <f aca="false">IFERROR(INDEX(Assessments!$H$2:$H$600,MATCH($H323&amp;"|"&amp;$I323&amp;"|"&amp;$J323&amp;"|"&amp;12,Assessments!$A$2:$A$600,0)),"")</f>
        <v/>
      </c>
      <c r="CG323" s="28" t="str">
        <f aca="false">IFERROR(INDEX(Assessments!$H$2:$H$600,MATCH($H323&amp;"|"&amp;$I323&amp;"|"&amp;$J323&amp;"|"&amp;13,Assessments!$A$2:$A$600,0)),"")</f>
        <v/>
      </c>
      <c r="CH323" s="28" t="str">
        <f aca="false">IFERROR(INDEX(Assessments!$H$2:$H$600,MATCH($H323&amp;"|"&amp;$I323&amp;"|"&amp;$J323&amp;"|"&amp;14,Assessments!$A$2:$A$600,0)),"")</f>
        <v/>
      </c>
      <c r="CI323" s="28" t="str">
        <f aca="false">IFERROR(INDEX(Assessments!$I$2:$I$600,MATCH($H323&amp;"|"&amp;$I323&amp;"|"&amp;$J323&amp;"|"&amp;1,Assessments!$A$2:$A$600,0)),"")</f>
        <v>BM Test</v>
      </c>
      <c r="CJ323" s="28" t="str">
        <f aca="false">IFERROR(INDEX(Assessments!$I$2:$I$600,MATCH($H323&amp;"|"&amp;$I323&amp;"|"&amp;$J323&amp;"|"&amp;2,Assessments!$A$2:$A$600,0)),"")</f>
        <v>BM Test</v>
      </c>
      <c r="CK323" s="28" t="str">
        <f aca="false">IFERROR(INDEX(Assessments!$I$2:$I$600,MATCH($H323&amp;"|"&amp;$I323&amp;"|"&amp;$J323&amp;"|"&amp;3,Assessments!$A$2:$A$600,0)),"")</f>
        <v>BM Test</v>
      </c>
      <c r="CL323" s="28" t="str">
        <f aca="false">IFERROR(INDEX(Assessments!$I$2:$I$600,MATCH($H323&amp;"|"&amp;$I323&amp;"|"&amp;$J323&amp;"|"&amp;4,Assessments!$A$2:$A$600,0)),"")</f>
        <v>BM Exam</v>
      </c>
      <c r="CM323" s="28" t="str">
        <f aca="false">IFERROR(INDEX(Assessments!$I$2:$I$600,MATCH($H323&amp;"|"&amp;$I323&amp;"|"&amp;$J323&amp;"|"&amp;5,Assessments!$A$2:$A$600,0)),"")</f>
        <v>BM Test</v>
      </c>
      <c r="CN323" s="28" t="str">
        <f aca="false">IFERROR(INDEX(Assessments!$I$2:$I$600,MATCH($H323&amp;"|"&amp;$I323&amp;"|"&amp;$J323&amp;"|"&amp;6,Assessments!$A$2:$A$600,0)),"")</f>
        <v>BM Test</v>
      </c>
      <c r="CO323" s="28" t="str">
        <f aca="false">IFERROR(INDEX(Assessments!$I$2:$I$600,MATCH($H323&amp;"|"&amp;$I323&amp;"|"&amp;$J323&amp;"|"&amp;7,Assessments!$A$2:$A$600,0)),"")</f>
        <v>BM Exam</v>
      </c>
      <c r="CP323" s="28" t="str">
        <f aca="false">IFERROR(INDEX(Assessments!$I$2:$I$600,MATCH($H323&amp;"|"&amp;$I323&amp;"|"&amp;$J323&amp;"|"&amp;8,Assessments!$A$2:$A$600,0)),"")</f>
        <v/>
      </c>
      <c r="CQ323" s="28" t="str">
        <f aca="false">IFERROR(INDEX(Assessments!$I$2:$I$600,MATCH($H323&amp;"|"&amp;$I323&amp;"|"&amp;$J323&amp;"|"&amp;9,Assessments!$A$2:$A$600,0)),"")</f>
        <v/>
      </c>
      <c r="CR323" s="28" t="str">
        <f aca="false">IFERROR(INDEX(Assessments!$I$2:$I$600,MATCH($H323&amp;"|"&amp;$I323&amp;"|"&amp;$J323&amp;"|"&amp;10,Assessments!$A$2:$A$600,0)),"")</f>
        <v/>
      </c>
      <c r="CS323" s="28" t="str">
        <f aca="false">IFERROR(INDEX(Assessments!$I$2:$I$600,MATCH($H323&amp;"|"&amp;$I323&amp;"|"&amp;$J323&amp;"|"&amp;11,Assessments!$A$2:$A$600,0)),"")</f>
        <v/>
      </c>
      <c r="CT323" s="28" t="str">
        <f aca="false">IFERROR(INDEX(Assessments!$I$2:$I$600,MATCH($H323&amp;"|"&amp;$I323&amp;"|"&amp;$J323&amp;"|"&amp;12,Assessments!$A$2:$A$600,0)),"")</f>
        <v/>
      </c>
      <c r="CU323" s="28" t="str">
        <f aca="false">IFERROR(INDEX(Assessments!$I$2:$I$600,MATCH($H323&amp;"|"&amp;$I323&amp;"|"&amp;$J323&amp;"|"&amp;13,Assessments!$A$2:$A$600,0)),"")</f>
        <v/>
      </c>
      <c r="CV323" s="28" t="str">
        <f aca="false">IFERROR(INDEX(Assessments!$I$2:$I$600,MATCH($H323&amp;"|"&amp;$I323&amp;"|"&amp;$J323&amp;"|"&amp;14,Assessments!$A$2:$A$600,0)),"")</f>
        <v/>
      </c>
      <c r="CW323" s="28" t="n">
        <f aca="false">IFERROR(INDEX(Assessments!$J$2:$J$600,MATCH($H323&amp;"|"&amp;$I323&amp;"|"&amp;$J323&amp;"|"&amp;1,Assessments!$A$2:$A$600,0)),0)</f>
        <v>1</v>
      </c>
      <c r="CX323" s="28" t="n">
        <f aca="false">IFERROR(INDEX(Assessments!$J$2:$J$600,MATCH($H323&amp;"|"&amp;$I323&amp;"|"&amp;$J323&amp;"|"&amp;2,Assessments!$A$2:$A$600,0)),0)</f>
        <v>1</v>
      </c>
      <c r="CY323" s="28" t="n">
        <f aca="false">IFERROR(INDEX(Assessments!$J$2:$J$600,MATCH($H323&amp;"|"&amp;$I323&amp;"|"&amp;$J323&amp;"|"&amp;3,Assessments!$A$2:$A$600,0)),0)</f>
        <v>1</v>
      </c>
      <c r="CZ323" s="28" t="n">
        <f aca="false">IFERROR(INDEX(Assessments!$J$2:$J$600,MATCH($H323&amp;"|"&amp;$I323&amp;"|"&amp;$J323&amp;"|"&amp;4,Assessments!$A$2:$A$600,0)),0)</f>
        <v>2</v>
      </c>
      <c r="DA323" s="28" t="n">
        <f aca="false">IFERROR(INDEX(Assessments!$J$2:$J$600,MATCH($H323&amp;"|"&amp;$I323&amp;"|"&amp;$J323&amp;"|"&amp;5,Assessments!$A$2:$A$600,0)),0)</f>
        <v>1</v>
      </c>
      <c r="DB323" s="28" t="n">
        <f aca="false">IFERROR(INDEX(Assessments!$J$2:$J$600,MATCH($H323&amp;"|"&amp;$I323&amp;"|"&amp;$J323&amp;"|"&amp;6,Assessments!$A$2:$A$600,0)),0)</f>
        <v>1</v>
      </c>
      <c r="DC323" s="28" t="n">
        <f aca="false">IFERROR(INDEX(Assessments!$J$2:$J$600,MATCH($H323&amp;"|"&amp;$I323&amp;"|"&amp;$J323&amp;"|"&amp;7,Assessments!$A$2:$A$600,0)),0)</f>
        <v>2</v>
      </c>
      <c r="DD323" s="28" t="n">
        <f aca="false">IFERROR(INDEX(Assessments!$J$2:$J$600,MATCH($H323&amp;"|"&amp;$I323&amp;"|"&amp;$J323&amp;"|"&amp;8,Assessments!$A$2:$A$600,0)),0)</f>
        <v>0</v>
      </c>
      <c r="DE323" s="28" t="n">
        <f aca="false">IFERROR(INDEX(Assessments!$J$2:$J$600,MATCH($H323&amp;"|"&amp;$I323&amp;"|"&amp;$J323&amp;"|"&amp;9,Assessments!$A$2:$A$600,0)),0)</f>
        <v>0</v>
      </c>
      <c r="DF323" s="28" t="n">
        <f aca="false">IFERROR(INDEX(Assessments!$J$2:$J$600,MATCH($H323&amp;"|"&amp;$I323&amp;"|"&amp;$J323&amp;"|"&amp;10,Assessments!$A$2:$A$600,0)),0)</f>
        <v>0</v>
      </c>
      <c r="DG323" s="28" t="n">
        <f aca="false">IFERROR(INDEX(Assessments!$J$2:$J$600,MATCH($H323&amp;"|"&amp;$I323&amp;"|"&amp;$J323&amp;"|"&amp;11,Assessments!$A$2:$A$600,0)),0)</f>
        <v>0</v>
      </c>
      <c r="DH323" s="28" t="n">
        <f aca="false">IFERROR(INDEX(Assessments!$J$2:$J$600,MATCH($H323&amp;"|"&amp;$I323&amp;"|"&amp;$J323&amp;"|"&amp;12,Assessments!$A$2:$A$600,0)),0)</f>
        <v>0</v>
      </c>
      <c r="DI323" s="28" t="n">
        <f aca="false">IFERROR(INDEX(Assessments!$J$2:$J$600,MATCH($H323&amp;"|"&amp;$I323&amp;"|"&amp;$J323&amp;"|"&amp;13,Assessments!$A$2:$A$600,0)),0)</f>
        <v>0</v>
      </c>
      <c r="DJ323" s="28" t="n">
        <f aca="false">IFERROR(INDEX(Assessments!$J$2:$J$600,MATCH($H323&amp;"|"&amp;$I323&amp;"|"&amp;$J323&amp;"|"&amp;14,Assessments!$A$2:$A$600,0)),0)</f>
        <v>0</v>
      </c>
      <c r="DK323" s="28" t="n">
        <f aca="false">S323</f>
        <v>7</v>
      </c>
      <c r="DL323" s="28" t="str">
        <f aca="false">W323</f>
        <v/>
      </c>
      <c r="DM323" s="28" t="str">
        <f aca="false">AA323</f>
        <v/>
      </c>
      <c r="DN323" s="28" t="str">
        <f aca="false">AE323</f>
        <v/>
      </c>
      <c r="DO323" s="28" t="str">
        <f aca="false">AI323</f>
        <v/>
      </c>
      <c r="DP323" s="28" t="str">
        <f aca="false">AM323</f>
        <v/>
      </c>
      <c r="DQ323" s="28" t="str">
        <f aca="false">AQ323</f>
        <v/>
      </c>
      <c r="DR323" s="28" t="str">
        <f aca="false">AU323</f>
        <v/>
      </c>
      <c r="DS323" s="28" t="str">
        <f aca="false">AY323</f>
        <v/>
      </c>
      <c r="DT323" s="28" t="str">
        <f aca="false">BC323</f>
        <v/>
      </c>
      <c r="DU323" s="28" t="str">
        <f aca="false">BG323</f>
        <v/>
      </c>
      <c r="DV323" s="28" t="str">
        <f aca="false">BK323</f>
        <v/>
      </c>
      <c r="DW323" s="28" t="str">
        <f aca="false">BO323</f>
        <v/>
      </c>
      <c r="DX323" s="28" t="str">
        <f aca="false">BS323</f>
        <v/>
      </c>
      <c r="DY323" s="28" t="n">
        <f aca="false">IF(ISNUMBER(S323),1,"")</f>
        <v>1</v>
      </c>
      <c r="DZ323" s="28" t="str">
        <f aca="false">IF(ISNUMBER(W323),2,"")</f>
        <v/>
      </c>
      <c r="EA323" s="28" t="str">
        <f aca="false">IF(ISNUMBER(AA323),3,"")</f>
        <v/>
      </c>
      <c r="EB323" s="28" t="str">
        <f aca="false">IF(ISNUMBER(AE323),4,"")</f>
        <v/>
      </c>
      <c r="EC323" s="28" t="str">
        <f aca="false">IF(ISNUMBER(AI323),5,"")</f>
        <v/>
      </c>
      <c r="ED323" s="28" t="str">
        <f aca="false">IF(ISNUMBER(AM323),6,"")</f>
        <v/>
      </c>
      <c r="EE323" s="28" t="str">
        <f aca="false">IF(ISNUMBER(AQ323),7,"")</f>
        <v/>
      </c>
      <c r="EF323" s="28" t="str">
        <f aca="false">IF(ISNUMBER(AU323),8,"")</f>
        <v/>
      </c>
      <c r="EG323" s="28" t="str">
        <f aca="false">IF(ISNUMBER(AY323),9,"")</f>
        <v/>
      </c>
      <c r="EH323" s="28" t="str">
        <f aca="false">IF(ISNUMBER(BC323),10,"")</f>
        <v/>
      </c>
      <c r="EI323" s="28" t="str">
        <f aca="false">IF(ISNUMBER(BG323),11,"")</f>
        <v/>
      </c>
      <c r="EJ323" s="28" t="str">
        <f aca="false">IF(ISNUMBER(BK323),12,"")</f>
        <v/>
      </c>
      <c r="EK323" s="28" t="str">
        <f aca="false">IF(ISNUMBER(BO323),13,"")</f>
        <v/>
      </c>
      <c r="EL323" s="28" t="str">
        <f aca="false">IF(ISNUMBER(BS323),14,"")</f>
        <v/>
      </c>
      <c r="EM323" s="28" t="n">
        <f aca="false">IF(ISNUMBER(R323),R323*CW323,0)</f>
        <v>75</v>
      </c>
      <c r="EN323" s="28" t="n">
        <f aca="false">IF(ISNUMBER(V323),V323*CX323,0)</f>
        <v>0</v>
      </c>
      <c r="EO323" s="28" t="n">
        <f aca="false">IF(ISNUMBER(Z323),Z323*CY323,0)</f>
        <v>0</v>
      </c>
      <c r="EP323" s="28" t="n">
        <f aca="false">IF(ISNUMBER(AD323),AD323*CZ323,0)</f>
        <v>0</v>
      </c>
      <c r="EQ323" s="28" t="n">
        <f aca="false">IF(ISNUMBER(AH323),AH323*DA323,0)</f>
        <v>0</v>
      </c>
      <c r="ER323" s="28" t="n">
        <f aca="false">IF(ISNUMBER(AL323),AL323*DB323,0)</f>
        <v>0</v>
      </c>
      <c r="ES323" s="28" t="n">
        <f aca="false">IF(ISNUMBER(AP323),AP323*DC323,0)</f>
        <v>0</v>
      </c>
      <c r="ET323" s="28" t="n">
        <f aca="false">IF(ISNUMBER(AT323),AT323*DD323,0)</f>
        <v>0</v>
      </c>
      <c r="EU323" s="28" t="n">
        <f aca="false">IF(ISNUMBER(AX323),AX323*DE323,0)</f>
        <v>0</v>
      </c>
      <c r="EV323" s="28" t="n">
        <f aca="false">IF(ISNUMBER(BB323),BB323*DF323,0)</f>
        <v>0</v>
      </c>
      <c r="EW323" s="28" t="n">
        <f aca="false">IF(ISNUMBER(BF323),BF323*DG323,0)</f>
        <v>0</v>
      </c>
      <c r="EX323" s="28" t="n">
        <f aca="false">IF(ISNUMBER(BJ323),BJ323*DH323,0)</f>
        <v>0</v>
      </c>
      <c r="EY323" s="28" t="n">
        <f aca="false">IF(ISNUMBER(BN323),BN323*DI323,0)</f>
        <v>0</v>
      </c>
      <c r="EZ323" s="28" t="n">
        <f aca="false">IF(ISNUMBER(BR323),BR323*DJ323,0)</f>
        <v>0</v>
      </c>
      <c r="FA323" s="28" t="n">
        <f aca="false">IF(ISNUMBER(R323),CW323,0)</f>
        <v>1</v>
      </c>
      <c r="FB323" s="28" t="n">
        <f aca="false">IF(ISNUMBER(V323),CX323,0)</f>
        <v>0</v>
      </c>
      <c r="FC323" s="28" t="n">
        <f aca="false">IF(ISNUMBER(Z323),CY323,0)</f>
        <v>0</v>
      </c>
      <c r="FD323" s="28" t="n">
        <f aca="false">IF(ISNUMBER(AD323),CZ323,0)</f>
        <v>0</v>
      </c>
      <c r="FE323" s="28" t="n">
        <f aca="false">IF(ISNUMBER(AH323),DA323,0)</f>
        <v>0</v>
      </c>
      <c r="FF323" s="28" t="n">
        <f aca="false">IF(ISNUMBER(AL323),DB323,0)</f>
        <v>0</v>
      </c>
      <c r="FG323" s="28" t="n">
        <f aca="false">IF(ISNUMBER(AP323),DC323,0)</f>
        <v>0</v>
      </c>
      <c r="FH323" s="28" t="n">
        <f aca="false">IF(ISNUMBER(AT323),DD323,0)</f>
        <v>0</v>
      </c>
      <c r="FI323" s="28" t="n">
        <f aca="false">IF(ISNUMBER(AX323),DE323,0)</f>
        <v>0</v>
      </c>
      <c r="FJ323" s="28" t="n">
        <f aca="false">IF(ISNUMBER(BB323),DF323,0)</f>
        <v>0</v>
      </c>
      <c r="FK323" s="28" t="n">
        <f aca="false">IF(ISNUMBER(BF323),DG323,0)</f>
        <v>0</v>
      </c>
      <c r="FL323" s="28" t="n">
        <f aca="false">IF(ISNUMBER(BJ323),DH323,0)</f>
        <v>0</v>
      </c>
      <c r="FM323" s="28" t="n">
        <f aca="false">IF(ISNUMBER(BN323),DI323,0)</f>
        <v>0</v>
      </c>
      <c r="FN323" s="28" t="n">
        <f aca="false">IF(ISNUMBER(BR323),DJ323,0)</f>
        <v>0</v>
      </c>
      <c r="FO323" s="28" t="str">
        <f aca="false">IFERROR(INDEX(Lists!$G$2:$G$20,MATCH($I323&amp;"|"&amp;$J323,Lists!$F$2:$F$20,0)),"")</f>
        <v>BM Exam</v>
      </c>
    </row>
    <row r="324" customFormat="false" ht="19.5" hidden="false" customHeight="true" outlineLevel="0" collapsed="false">
      <c r="A324" s="29" t="s">
        <v>425</v>
      </c>
      <c r="B324" s="29" t="s">
        <v>426</v>
      </c>
      <c r="C324" s="30" t="s">
        <v>192</v>
      </c>
      <c r="D324" s="30" t="s">
        <v>625</v>
      </c>
      <c r="E324" s="31"/>
      <c r="F324" s="30"/>
      <c r="G324" s="30"/>
      <c r="H324" s="32" t="s">
        <v>428</v>
      </c>
      <c r="I324" s="33" t="s">
        <v>365</v>
      </c>
      <c r="J324" s="32" t="s">
        <v>25</v>
      </c>
      <c r="K324" s="34" t="str">
        <f aca="false">IF(OR(M324="",$E324=""),"",M324-$E324)</f>
        <v/>
      </c>
      <c r="L324" s="35" t="str">
        <f aca="false">IF(SUM(FA324:FN324)=0,"",SUM(EM324:EZ324)/SUM(FA324:FN324))</f>
        <v/>
      </c>
      <c r="M324" s="36" t="str">
        <f aca="false">IF(OR(L324="",FO324=""),"",IFERROR(MATCH(L324,INDEX(Boundaries!$B$2:$I$30,MATCH(FO324,Boundaries!$A$2:$A$30,0),0),1)-1,""))</f>
        <v/>
      </c>
      <c r="N324" s="37" t="str">
        <f aca="false">IF(COUNT($DY324:$EL324)&lt;2,"",INDEX($DK324:$DX324,MAX($DY324:$EL324))-INDEX($DK324:$DX324,MIN($DY324:$EL324)))</f>
        <v/>
      </c>
      <c r="O324" s="37" t="str">
        <f aca="false">IF(COUNT($DY324:$EL324)&lt;2,"",INDEX($DK324:$DX324,MAX($DY324:$EL324))-INDEX($DK324:$DX324,LARGE($DY324:$EL324,2)))</f>
        <v/>
      </c>
      <c r="P324" s="38" t="str">
        <f aca="false">IF(K324="","",IF(K324&gt;=0,"On/above target",IF(AND(N324&lt;&gt;"",N324&gt;=0.5),"Improving towards target",IF(AND(O324&lt;&gt;"",O324&lt;=-0.5),"Declining","Stable below target"))))</f>
        <v/>
      </c>
      <c r="Q324" s="39"/>
      <c r="R324" s="40" t="str">
        <f aca="false">IF(OR(Q324="",BU324=""),"",Q324/BU324*100)</f>
        <v/>
      </c>
      <c r="S324" s="41" t="str">
        <f aca="false">IF(R324="","",IFERROR(MATCH(R324,INDEX(Boundaries!$B$2:$I$30,MATCH(CI324,Boundaries!$A$2:$A$30,0),0),1)-1,""))</f>
        <v/>
      </c>
      <c r="T324" s="42" t="str">
        <f aca="false">IF(OR(S324="",$E324=""),"",S324-$E324)</f>
        <v/>
      </c>
      <c r="U324" s="39"/>
      <c r="V324" s="40" t="str">
        <f aca="false">IF(OR(U324="",BV324=""),"",U324/BV324*100)</f>
        <v/>
      </c>
      <c r="W324" s="41" t="str">
        <f aca="false">IF(V324="","",IFERROR(MATCH(V324,INDEX(Boundaries!$B$2:$I$30,MATCH(CJ324,Boundaries!$A$2:$A$30,0),0),1)-1,""))</f>
        <v/>
      </c>
      <c r="X324" s="42" t="str">
        <f aca="false">IF(OR(W324="",$E324=""),"",W324-$E324)</f>
        <v/>
      </c>
      <c r="Y324" s="39"/>
      <c r="Z324" s="40" t="str">
        <f aca="false">IF(OR(Y324="",BW324=""),"",Y324/BW324*100)</f>
        <v/>
      </c>
      <c r="AA324" s="41" t="str">
        <f aca="false">IF(Z324="","",IFERROR(MATCH(Z324,INDEX(Boundaries!$B$2:$I$30,MATCH(CK324,Boundaries!$A$2:$A$30,0),0),1)-1,""))</f>
        <v/>
      </c>
      <c r="AB324" s="42" t="str">
        <f aca="false">IF(OR(AA324="",$E324=""),"",AA324-$E324)</f>
        <v/>
      </c>
      <c r="AC324" s="39"/>
      <c r="AD324" s="40" t="str">
        <f aca="false">IF(OR(AC324="",BX324=""),"",AC324/BX324*100)</f>
        <v/>
      </c>
      <c r="AE324" s="41" t="str">
        <f aca="false">IF(AD324="","",IFERROR(MATCH(AD324,INDEX(Boundaries!$B$2:$I$30,MATCH(CL324,Boundaries!$A$2:$A$30,0),0),1)-1,""))</f>
        <v/>
      </c>
      <c r="AF324" s="42" t="str">
        <f aca="false">IF(OR(AE324="",$E324=""),"",AE324-$E324)</f>
        <v/>
      </c>
      <c r="AG324" s="39"/>
      <c r="AH324" s="40" t="str">
        <f aca="false">IF(OR(AG324="",BY324=""),"",AG324/BY324*100)</f>
        <v/>
      </c>
      <c r="AI324" s="41" t="str">
        <f aca="false">IF(AH324="","",IFERROR(MATCH(AH324,INDEX(Boundaries!$B$2:$I$30,MATCH(CM324,Boundaries!$A$2:$A$30,0),0),1)-1,""))</f>
        <v/>
      </c>
      <c r="AJ324" s="42" t="str">
        <f aca="false">IF(OR(AI324="",$E324=""),"",AI324-$E324)</f>
        <v/>
      </c>
      <c r="AK324" s="39"/>
      <c r="AL324" s="40" t="str">
        <f aca="false">IF(OR(AK324="",BZ324=""),"",AK324/BZ324*100)</f>
        <v/>
      </c>
      <c r="AM324" s="41" t="str">
        <f aca="false">IF(AL324="","",IFERROR(MATCH(AL324,INDEX(Boundaries!$B$2:$I$30,MATCH(CN324,Boundaries!$A$2:$A$30,0),0),1)-1,""))</f>
        <v/>
      </c>
      <c r="AN324" s="42" t="str">
        <f aca="false">IF(OR(AM324="",$E324=""),"",AM324-$E324)</f>
        <v/>
      </c>
      <c r="AO324" s="39"/>
      <c r="AP324" s="40" t="str">
        <f aca="false">IF(OR(AO324="",CA324=""),"",AO324/CA324*100)</f>
        <v/>
      </c>
      <c r="AQ324" s="41" t="str">
        <f aca="false">IF(AP324="","",IFERROR(MATCH(AP324,INDEX(Boundaries!$B$2:$I$30,MATCH(CO324,Boundaries!$A$2:$A$30,0),0),1)-1,""))</f>
        <v/>
      </c>
      <c r="AR324" s="42" t="str">
        <f aca="false">IF(OR(AQ324="",$E324=""),"",AQ324-$E324)</f>
        <v/>
      </c>
      <c r="AS324" s="39"/>
      <c r="AT324" s="40" t="str">
        <f aca="false">IF(OR(AS324="",CB324=""),"",AS324/CB324*100)</f>
        <v/>
      </c>
      <c r="AU324" s="41" t="str">
        <f aca="false">IF(AT324="","",IFERROR(MATCH(AT324,INDEX(Boundaries!$B$2:$I$30,MATCH(CP324,Boundaries!$A$2:$A$30,0),0),1)-1,""))</f>
        <v/>
      </c>
      <c r="AV324" s="42" t="str">
        <f aca="false">IF(OR(AU324="",$E324=""),"",AU324-$E324)</f>
        <v/>
      </c>
      <c r="AW324" s="39"/>
      <c r="AX324" s="40" t="str">
        <f aca="false">IF(OR(AW324="",CC324=""),"",AW324/CC324*100)</f>
        <v/>
      </c>
      <c r="AY324" s="41" t="str">
        <f aca="false">IF(AX324="","",IFERROR(MATCH(AX324,INDEX(Boundaries!$B$2:$I$30,MATCH(CQ324,Boundaries!$A$2:$A$30,0),0),1)-1,""))</f>
        <v/>
      </c>
      <c r="AZ324" s="42" t="str">
        <f aca="false">IF(OR(AY324="",$E324=""),"",AY324-$E324)</f>
        <v/>
      </c>
      <c r="BA324" s="39"/>
      <c r="BB324" s="40" t="str">
        <f aca="false">IF(OR(BA324="",CD324=""),"",BA324/CD324*100)</f>
        <v/>
      </c>
      <c r="BC324" s="41" t="str">
        <f aca="false">IF(BB324="","",IFERROR(MATCH(BB324,INDEX(Boundaries!$B$2:$I$30,MATCH(CR324,Boundaries!$A$2:$A$30,0),0),1)-1,""))</f>
        <v/>
      </c>
      <c r="BD324" s="42" t="str">
        <f aca="false">IF(OR(BC324="",$E324=""),"",BC324-$E324)</f>
        <v/>
      </c>
      <c r="BE324" s="39"/>
      <c r="BF324" s="40" t="str">
        <f aca="false">IF(OR(BE324="",CE324=""),"",BE324/CE324*100)</f>
        <v/>
      </c>
      <c r="BG324" s="41" t="str">
        <f aca="false">IF(BF324="","",IFERROR(MATCH(BF324,INDEX(Boundaries!$B$2:$I$30,MATCH(CS324,Boundaries!$A$2:$A$30,0),0),1)-1,""))</f>
        <v/>
      </c>
      <c r="BH324" s="42" t="str">
        <f aca="false">IF(OR(BG324="",$E324=""),"",BG324-$E324)</f>
        <v/>
      </c>
      <c r="BI324" s="39"/>
      <c r="BJ324" s="40" t="str">
        <f aca="false">IF(OR(BI324="",CF324=""),"",BI324/CF324*100)</f>
        <v/>
      </c>
      <c r="BK324" s="41" t="str">
        <f aca="false">IF(BJ324="","",IFERROR(MATCH(BJ324,INDEX(Boundaries!$B$2:$I$30,MATCH(CT324,Boundaries!$A$2:$A$30,0),0),1)-1,""))</f>
        <v/>
      </c>
      <c r="BL324" s="42" t="str">
        <f aca="false">IF(OR(BK324="",$E324=""),"",BK324-$E324)</f>
        <v/>
      </c>
      <c r="BM324" s="39"/>
      <c r="BN324" s="40" t="str">
        <f aca="false">IF(OR(BM324="",CG324=""),"",BM324/CG324*100)</f>
        <v/>
      </c>
      <c r="BO324" s="41" t="str">
        <f aca="false">IF(BN324="","",IFERROR(MATCH(BN324,INDEX(Boundaries!$B$2:$I$30,MATCH(CU324,Boundaries!$A$2:$A$30,0),0),1)-1,""))</f>
        <v/>
      </c>
      <c r="BP324" s="42" t="str">
        <f aca="false">IF(OR(BO324="",$E324=""),"",BO324-$E324)</f>
        <v/>
      </c>
      <c r="BQ324" s="39"/>
      <c r="BR324" s="40" t="str">
        <f aca="false">IF(OR(BQ324="",CH324=""),"",BQ324/CH324*100)</f>
        <v/>
      </c>
      <c r="BS324" s="41" t="str">
        <f aca="false">IF(BR324="","",IFERROR(MATCH(BR324,INDEX(Boundaries!$B$2:$I$30,MATCH(CV324,Boundaries!$A$2:$A$30,0),0),1)-1,""))</f>
        <v/>
      </c>
      <c r="BT324" s="42" t="str">
        <f aca="false">IF(OR(BS324="",$E324=""),"",BS324-$E324)</f>
        <v/>
      </c>
      <c r="BU324" s="28" t="n">
        <f aca="false">IFERROR(INDEX(Assessments!$H$2:$H$600,MATCH($H324&amp;"|"&amp;$I324&amp;"|"&amp;$J324&amp;"|"&amp;1,Assessments!$A$2:$A$600,0)),"")</f>
        <v>24</v>
      </c>
      <c r="BV324" s="28" t="n">
        <f aca="false">IFERROR(INDEX(Assessments!$H$2:$H$600,MATCH($H324&amp;"|"&amp;$I324&amp;"|"&amp;$J324&amp;"|"&amp;2,Assessments!$A$2:$A$600,0)),"")</f>
        <v>20</v>
      </c>
      <c r="BW324" s="28" t="n">
        <f aca="false">IFERROR(INDEX(Assessments!$H$2:$H$600,MATCH($H324&amp;"|"&amp;$I324&amp;"|"&amp;$J324&amp;"|"&amp;3,Assessments!$A$2:$A$600,0)),"")</f>
        <v>20</v>
      </c>
      <c r="BX324" s="28" t="n">
        <f aca="false">IFERROR(INDEX(Assessments!$H$2:$H$600,MATCH($H324&amp;"|"&amp;$I324&amp;"|"&amp;$J324&amp;"|"&amp;4,Assessments!$A$2:$A$600,0)),"")</f>
        <v>40</v>
      </c>
      <c r="BY324" s="28" t="n">
        <f aca="false">IFERROR(INDEX(Assessments!$H$2:$H$600,MATCH($H324&amp;"|"&amp;$I324&amp;"|"&amp;$J324&amp;"|"&amp;5,Assessments!$A$2:$A$600,0)),"")</f>
        <v>30</v>
      </c>
      <c r="BZ324" s="28" t="n">
        <f aca="false">IFERROR(INDEX(Assessments!$H$2:$H$600,MATCH($H324&amp;"|"&amp;$I324&amp;"|"&amp;$J324&amp;"|"&amp;6,Assessments!$A$2:$A$600,0)),"")</f>
        <v>20</v>
      </c>
      <c r="CA324" s="28" t="n">
        <f aca="false">IFERROR(INDEX(Assessments!$H$2:$H$600,MATCH($H324&amp;"|"&amp;$I324&amp;"|"&amp;$J324&amp;"|"&amp;7,Assessments!$A$2:$A$600,0)),"")</f>
        <v>50</v>
      </c>
      <c r="CB324" s="28" t="str">
        <f aca="false">IFERROR(INDEX(Assessments!$H$2:$H$600,MATCH($H324&amp;"|"&amp;$I324&amp;"|"&amp;$J324&amp;"|"&amp;8,Assessments!$A$2:$A$600,0)),"")</f>
        <v/>
      </c>
      <c r="CC324" s="28" t="str">
        <f aca="false">IFERROR(INDEX(Assessments!$H$2:$H$600,MATCH($H324&amp;"|"&amp;$I324&amp;"|"&amp;$J324&amp;"|"&amp;9,Assessments!$A$2:$A$600,0)),"")</f>
        <v/>
      </c>
      <c r="CD324" s="28" t="str">
        <f aca="false">IFERROR(INDEX(Assessments!$H$2:$H$600,MATCH($H324&amp;"|"&amp;$I324&amp;"|"&amp;$J324&amp;"|"&amp;10,Assessments!$A$2:$A$600,0)),"")</f>
        <v/>
      </c>
      <c r="CE324" s="28" t="str">
        <f aca="false">IFERROR(INDEX(Assessments!$H$2:$H$600,MATCH($H324&amp;"|"&amp;$I324&amp;"|"&amp;$J324&amp;"|"&amp;11,Assessments!$A$2:$A$600,0)),"")</f>
        <v/>
      </c>
      <c r="CF324" s="28" t="str">
        <f aca="false">IFERROR(INDEX(Assessments!$H$2:$H$600,MATCH($H324&amp;"|"&amp;$I324&amp;"|"&amp;$J324&amp;"|"&amp;12,Assessments!$A$2:$A$600,0)),"")</f>
        <v/>
      </c>
      <c r="CG324" s="28" t="str">
        <f aca="false">IFERROR(INDEX(Assessments!$H$2:$H$600,MATCH($H324&amp;"|"&amp;$I324&amp;"|"&amp;$J324&amp;"|"&amp;13,Assessments!$A$2:$A$600,0)),"")</f>
        <v/>
      </c>
      <c r="CH324" s="28" t="str">
        <f aca="false">IFERROR(INDEX(Assessments!$H$2:$H$600,MATCH($H324&amp;"|"&amp;$I324&amp;"|"&amp;$J324&amp;"|"&amp;14,Assessments!$A$2:$A$600,0)),"")</f>
        <v/>
      </c>
      <c r="CI324" s="28" t="str">
        <f aca="false">IFERROR(INDEX(Assessments!$I$2:$I$600,MATCH($H324&amp;"|"&amp;$I324&amp;"|"&amp;$J324&amp;"|"&amp;1,Assessments!$A$2:$A$600,0)),"")</f>
        <v>BM Test</v>
      </c>
      <c r="CJ324" s="28" t="str">
        <f aca="false">IFERROR(INDEX(Assessments!$I$2:$I$600,MATCH($H324&amp;"|"&amp;$I324&amp;"|"&amp;$J324&amp;"|"&amp;2,Assessments!$A$2:$A$600,0)),"")</f>
        <v>BM Test</v>
      </c>
      <c r="CK324" s="28" t="str">
        <f aca="false">IFERROR(INDEX(Assessments!$I$2:$I$600,MATCH($H324&amp;"|"&amp;$I324&amp;"|"&amp;$J324&amp;"|"&amp;3,Assessments!$A$2:$A$600,0)),"")</f>
        <v>BM Test</v>
      </c>
      <c r="CL324" s="28" t="str">
        <f aca="false">IFERROR(INDEX(Assessments!$I$2:$I$600,MATCH($H324&amp;"|"&amp;$I324&amp;"|"&amp;$J324&amp;"|"&amp;4,Assessments!$A$2:$A$600,0)),"")</f>
        <v>BM Exam</v>
      </c>
      <c r="CM324" s="28" t="str">
        <f aca="false">IFERROR(INDEX(Assessments!$I$2:$I$600,MATCH($H324&amp;"|"&amp;$I324&amp;"|"&amp;$J324&amp;"|"&amp;5,Assessments!$A$2:$A$600,0)),"")</f>
        <v>BM Test</v>
      </c>
      <c r="CN324" s="28" t="str">
        <f aca="false">IFERROR(INDEX(Assessments!$I$2:$I$600,MATCH($H324&amp;"|"&amp;$I324&amp;"|"&amp;$J324&amp;"|"&amp;6,Assessments!$A$2:$A$600,0)),"")</f>
        <v>BM Test</v>
      </c>
      <c r="CO324" s="28" t="str">
        <f aca="false">IFERROR(INDEX(Assessments!$I$2:$I$600,MATCH($H324&amp;"|"&amp;$I324&amp;"|"&amp;$J324&amp;"|"&amp;7,Assessments!$A$2:$A$600,0)),"")</f>
        <v>BM Exam</v>
      </c>
      <c r="CP324" s="28" t="str">
        <f aca="false">IFERROR(INDEX(Assessments!$I$2:$I$600,MATCH($H324&amp;"|"&amp;$I324&amp;"|"&amp;$J324&amp;"|"&amp;8,Assessments!$A$2:$A$600,0)),"")</f>
        <v/>
      </c>
      <c r="CQ324" s="28" t="str">
        <f aca="false">IFERROR(INDEX(Assessments!$I$2:$I$600,MATCH($H324&amp;"|"&amp;$I324&amp;"|"&amp;$J324&amp;"|"&amp;9,Assessments!$A$2:$A$600,0)),"")</f>
        <v/>
      </c>
      <c r="CR324" s="28" t="str">
        <f aca="false">IFERROR(INDEX(Assessments!$I$2:$I$600,MATCH($H324&amp;"|"&amp;$I324&amp;"|"&amp;$J324&amp;"|"&amp;10,Assessments!$A$2:$A$600,0)),"")</f>
        <v/>
      </c>
      <c r="CS324" s="28" t="str">
        <f aca="false">IFERROR(INDEX(Assessments!$I$2:$I$600,MATCH($H324&amp;"|"&amp;$I324&amp;"|"&amp;$J324&amp;"|"&amp;11,Assessments!$A$2:$A$600,0)),"")</f>
        <v/>
      </c>
      <c r="CT324" s="28" t="str">
        <f aca="false">IFERROR(INDEX(Assessments!$I$2:$I$600,MATCH($H324&amp;"|"&amp;$I324&amp;"|"&amp;$J324&amp;"|"&amp;12,Assessments!$A$2:$A$600,0)),"")</f>
        <v/>
      </c>
      <c r="CU324" s="28" t="str">
        <f aca="false">IFERROR(INDEX(Assessments!$I$2:$I$600,MATCH($H324&amp;"|"&amp;$I324&amp;"|"&amp;$J324&amp;"|"&amp;13,Assessments!$A$2:$A$600,0)),"")</f>
        <v/>
      </c>
      <c r="CV324" s="28" t="str">
        <f aca="false">IFERROR(INDEX(Assessments!$I$2:$I$600,MATCH($H324&amp;"|"&amp;$I324&amp;"|"&amp;$J324&amp;"|"&amp;14,Assessments!$A$2:$A$600,0)),"")</f>
        <v/>
      </c>
      <c r="CW324" s="28" t="n">
        <f aca="false">IFERROR(INDEX(Assessments!$J$2:$J$600,MATCH($H324&amp;"|"&amp;$I324&amp;"|"&amp;$J324&amp;"|"&amp;1,Assessments!$A$2:$A$600,0)),0)</f>
        <v>1</v>
      </c>
      <c r="CX324" s="28" t="n">
        <f aca="false">IFERROR(INDEX(Assessments!$J$2:$J$600,MATCH($H324&amp;"|"&amp;$I324&amp;"|"&amp;$J324&amp;"|"&amp;2,Assessments!$A$2:$A$600,0)),0)</f>
        <v>1</v>
      </c>
      <c r="CY324" s="28" t="n">
        <f aca="false">IFERROR(INDEX(Assessments!$J$2:$J$600,MATCH($H324&amp;"|"&amp;$I324&amp;"|"&amp;$J324&amp;"|"&amp;3,Assessments!$A$2:$A$600,0)),0)</f>
        <v>1</v>
      </c>
      <c r="CZ324" s="28" t="n">
        <f aca="false">IFERROR(INDEX(Assessments!$J$2:$J$600,MATCH($H324&amp;"|"&amp;$I324&amp;"|"&amp;$J324&amp;"|"&amp;4,Assessments!$A$2:$A$600,0)),0)</f>
        <v>2</v>
      </c>
      <c r="DA324" s="28" t="n">
        <f aca="false">IFERROR(INDEX(Assessments!$J$2:$J$600,MATCH($H324&amp;"|"&amp;$I324&amp;"|"&amp;$J324&amp;"|"&amp;5,Assessments!$A$2:$A$600,0)),0)</f>
        <v>1</v>
      </c>
      <c r="DB324" s="28" t="n">
        <f aca="false">IFERROR(INDEX(Assessments!$J$2:$J$600,MATCH($H324&amp;"|"&amp;$I324&amp;"|"&amp;$J324&amp;"|"&amp;6,Assessments!$A$2:$A$600,0)),0)</f>
        <v>1</v>
      </c>
      <c r="DC324" s="28" t="n">
        <f aca="false">IFERROR(INDEX(Assessments!$J$2:$J$600,MATCH($H324&amp;"|"&amp;$I324&amp;"|"&amp;$J324&amp;"|"&amp;7,Assessments!$A$2:$A$600,0)),0)</f>
        <v>2</v>
      </c>
      <c r="DD324" s="28" t="n">
        <f aca="false">IFERROR(INDEX(Assessments!$J$2:$J$600,MATCH($H324&amp;"|"&amp;$I324&amp;"|"&amp;$J324&amp;"|"&amp;8,Assessments!$A$2:$A$600,0)),0)</f>
        <v>0</v>
      </c>
      <c r="DE324" s="28" t="n">
        <f aca="false">IFERROR(INDEX(Assessments!$J$2:$J$600,MATCH($H324&amp;"|"&amp;$I324&amp;"|"&amp;$J324&amp;"|"&amp;9,Assessments!$A$2:$A$600,0)),0)</f>
        <v>0</v>
      </c>
      <c r="DF324" s="28" t="n">
        <f aca="false">IFERROR(INDEX(Assessments!$J$2:$J$600,MATCH($H324&amp;"|"&amp;$I324&amp;"|"&amp;$J324&amp;"|"&amp;10,Assessments!$A$2:$A$600,0)),0)</f>
        <v>0</v>
      </c>
      <c r="DG324" s="28" t="n">
        <f aca="false">IFERROR(INDEX(Assessments!$J$2:$J$600,MATCH($H324&amp;"|"&amp;$I324&amp;"|"&amp;$J324&amp;"|"&amp;11,Assessments!$A$2:$A$600,0)),0)</f>
        <v>0</v>
      </c>
      <c r="DH324" s="28" t="n">
        <f aca="false">IFERROR(INDEX(Assessments!$J$2:$J$600,MATCH($H324&amp;"|"&amp;$I324&amp;"|"&amp;$J324&amp;"|"&amp;12,Assessments!$A$2:$A$600,0)),0)</f>
        <v>0</v>
      </c>
      <c r="DI324" s="28" t="n">
        <f aca="false">IFERROR(INDEX(Assessments!$J$2:$J$600,MATCH($H324&amp;"|"&amp;$I324&amp;"|"&amp;$J324&amp;"|"&amp;13,Assessments!$A$2:$A$600,0)),0)</f>
        <v>0</v>
      </c>
      <c r="DJ324" s="28" t="n">
        <f aca="false">IFERROR(INDEX(Assessments!$J$2:$J$600,MATCH($H324&amp;"|"&amp;$I324&amp;"|"&amp;$J324&amp;"|"&amp;14,Assessments!$A$2:$A$600,0)),0)</f>
        <v>0</v>
      </c>
      <c r="DK324" s="28" t="str">
        <f aca="false">S324</f>
        <v/>
      </c>
      <c r="DL324" s="28" t="str">
        <f aca="false">W324</f>
        <v/>
      </c>
      <c r="DM324" s="28" t="str">
        <f aca="false">AA324</f>
        <v/>
      </c>
      <c r="DN324" s="28" t="str">
        <f aca="false">AE324</f>
        <v/>
      </c>
      <c r="DO324" s="28" t="str">
        <f aca="false">AI324</f>
        <v/>
      </c>
      <c r="DP324" s="28" t="str">
        <f aca="false">AM324</f>
        <v/>
      </c>
      <c r="DQ324" s="28" t="str">
        <f aca="false">AQ324</f>
        <v/>
      </c>
      <c r="DR324" s="28" t="str">
        <f aca="false">AU324</f>
        <v/>
      </c>
      <c r="DS324" s="28" t="str">
        <f aca="false">AY324</f>
        <v/>
      </c>
      <c r="DT324" s="28" t="str">
        <f aca="false">BC324</f>
        <v/>
      </c>
      <c r="DU324" s="28" t="str">
        <f aca="false">BG324</f>
        <v/>
      </c>
      <c r="DV324" s="28" t="str">
        <f aca="false">BK324</f>
        <v/>
      </c>
      <c r="DW324" s="28" t="str">
        <f aca="false">BO324</f>
        <v/>
      </c>
      <c r="DX324" s="28" t="str">
        <f aca="false">BS324</f>
        <v/>
      </c>
      <c r="DY324" s="28" t="str">
        <f aca="false">IF(ISNUMBER(S324),1,"")</f>
        <v/>
      </c>
      <c r="DZ324" s="28" t="str">
        <f aca="false">IF(ISNUMBER(W324),2,"")</f>
        <v/>
      </c>
      <c r="EA324" s="28" t="str">
        <f aca="false">IF(ISNUMBER(AA324),3,"")</f>
        <v/>
      </c>
      <c r="EB324" s="28" t="str">
        <f aca="false">IF(ISNUMBER(AE324),4,"")</f>
        <v/>
      </c>
      <c r="EC324" s="28" t="str">
        <f aca="false">IF(ISNUMBER(AI324),5,"")</f>
        <v/>
      </c>
      <c r="ED324" s="28" t="str">
        <f aca="false">IF(ISNUMBER(AM324),6,"")</f>
        <v/>
      </c>
      <c r="EE324" s="28" t="str">
        <f aca="false">IF(ISNUMBER(AQ324),7,"")</f>
        <v/>
      </c>
      <c r="EF324" s="28" t="str">
        <f aca="false">IF(ISNUMBER(AU324),8,"")</f>
        <v/>
      </c>
      <c r="EG324" s="28" t="str">
        <f aca="false">IF(ISNUMBER(AY324),9,"")</f>
        <v/>
      </c>
      <c r="EH324" s="28" t="str">
        <f aca="false">IF(ISNUMBER(BC324),10,"")</f>
        <v/>
      </c>
      <c r="EI324" s="28" t="str">
        <f aca="false">IF(ISNUMBER(BG324),11,"")</f>
        <v/>
      </c>
      <c r="EJ324" s="28" t="str">
        <f aca="false">IF(ISNUMBER(BK324),12,"")</f>
        <v/>
      </c>
      <c r="EK324" s="28" t="str">
        <f aca="false">IF(ISNUMBER(BO324),13,"")</f>
        <v/>
      </c>
      <c r="EL324" s="28" t="str">
        <f aca="false">IF(ISNUMBER(BS324),14,"")</f>
        <v/>
      </c>
      <c r="EM324" s="28" t="n">
        <f aca="false">IF(ISNUMBER(R324),R324*CW324,0)</f>
        <v>0</v>
      </c>
      <c r="EN324" s="28" t="n">
        <f aca="false">IF(ISNUMBER(V324),V324*CX324,0)</f>
        <v>0</v>
      </c>
      <c r="EO324" s="28" t="n">
        <f aca="false">IF(ISNUMBER(Z324),Z324*CY324,0)</f>
        <v>0</v>
      </c>
      <c r="EP324" s="28" t="n">
        <f aca="false">IF(ISNUMBER(AD324),AD324*CZ324,0)</f>
        <v>0</v>
      </c>
      <c r="EQ324" s="28" t="n">
        <f aca="false">IF(ISNUMBER(AH324),AH324*DA324,0)</f>
        <v>0</v>
      </c>
      <c r="ER324" s="28" t="n">
        <f aca="false">IF(ISNUMBER(AL324),AL324*DB324,0)</f>
        <v>0</v>
      </c>
      <c r="ES324" s="28" t="n">
        <f aca="false">IF(ISNUMBER(AP324),AP324*DC324,0)</f>
        <v>0</v>
      </c>
      <c r="ET324" s="28" t="n">
        <f aca="false">IF(ISNUMBER(AT324),AT324*DD324,0)</f>
        <v>0</v>
      </c>
      <c r="EU324" s="28" t="n">
        <f aca="false">IF(ISNUMBER(AX324),AX324*DE324,0)</f>
        <v>0</v>
      </c>
      <c r="EV324" s="28" t="n">
        <f aca="false">IF(ISNUMBER(BB324),BB324*DF324,0)</f>
        <v>0</v>
      </c>
      <c r="EW324" s="28" t="n">
        <f aca="false">IF(ISNUMBER(BF324),BF324*DG324,0)</f>
        <v>0</v>
      </c>
      <c r="EX324" s="28" t="n">
        <f aca="false">IF(ISNUMBER(BJ324),BJ324*DH324,0)</f>
        <v>0</v>
      </c>
      <c r="EY324" s="28" t="n">
        <f aca="false">IF(ISNUMBER(BN324),BN324*DI324,0)</f>
        <v>0</v>
      </c>
      <c r="EZ324" s="28" t="n">
        <f aca="false">IF(ISNUMBER(BR324),BR324*DJ324,0)</f>
        <v>0</v>
      </c>
      <c r="FA324" s="28" t="n">
        <f aca="false">IF(ISNUMBER(R324),CW324,0)</f>
        <v>0</v>
      </c>
      <c r="FB324" s="28" t="n">
        <f aca="false">IF(ISNUMBER(V324),CX324,0)</f>
        <v>0</v>
      </c>
      <c r="FC324" s="28" t="n">
        <f aca="false">IF(ISNUMBER(Z324),CY324,0)</f>
        <v>0</v>
      </c>
      <c r="FD324" s="28" t="n">
        <f aca="false">IF(ISNUMBER(AD324),CZ324,0)</f>
        <v>0</v>
      </c>
      <c r="FE324" s="28" t="n">
        <f aca="false">IF(ISNUMBER(AH324),DA324,0)</f>
        <v>0</v>
      </c>
      <c r="FF324" s="28" t="n">
        <f aca="false">IF(ISNUMBER(AL324),DB324,0)</f>
        <v>0</v>
      </c>
      <c r="FG324" s="28" t="n">
        <f aca="false">IF(ISNUMBER(AP324),DC324,0)</f>
        <v>0</v>
      </c>
      <c r="FH324" s="28" t="n">
        <f aca="false">IF(ISNUMBER(AT324),DD324,0)</f>
        <v>0</v>
      </c>
      <c r="FI324" s="28" t="n">
        <f aca="false">IF(ISNUMBER(AX324),DE324,0)</f>
        <v>0</v>
      </c>
      <c r="FJ324" s="28" t="n">
        <f aca="false">IF(ISNUMBER(BB324),DF324,0)</f>
        <v>0</v>
      </c>
      <c r="FK324" s="28" t="n">
        <f aca="false">IF(ISNUMBER(BF324),DG324,0)</f>
        <v>0</v>
      </c>
      <c r="FL324" s="28" t="n">
        <f aca="false">IF(ISNUMBER(BJ324),DH324,0)</f>
        <v>0</v>
      </c>
      <c r="FM324" s="28" t="n">
        <f aca="false">IF(ISNUMBER(BN324),DI324,0)</f>
        <v>0</v>
      </c>
      <c r="FN324" s="28" t="n">
        <f aca="false">IF(ISNUMBER(BR324),DJ324,0)</f>
        <v>0</v>
      </c>
      <c r="FO324" s="28" t="str">
        <f aca="false">IFERROR(INDEX(Lists!$G$2:$G$20,MATCH($I324&amp;"|"&amp;$J324,Lists!$F$2:$F$20,0)),"")</f>
        <v>BM Exam</v>
      </c>
    </row>
    <row r="325" customFormat="false" ht="19.5" hidden="false" customHeight="true" outlineLevel="0" collapsed="false">
      <c r="A325" s="29" t="s">
        <v>473</v>
      </c>
      <c r="B325" s="29" t="s">
        <v>474</v>
      </c>
      <c r="C325" s="30" t="s">
        <v>192</v>
      </c>
      <c r="D325" s="30" t="s">
        <v>625</v>
      </c>
      <c r="E325" s="31"/>
      <c r="F325" s="30"/>
      <c r="G325" s="30"/>
      <c r="H325" s="32" t="s">
        <v>428</v>
      </c>
      <c r="I325" s="33" t="s">
        <v>365</v>
      </c>
      <c r="J325" s="32" t="s">
        <v>25</v>
      </c>
      <c r="K325" s="34" t="str">
        <f aca="false">IF(OR(M325="",$E325=""),"",M325-$E325)</f>
        <v/>
      </c>
      <c r="L325" s="35" t="str">
        <f aca="false">IF(SUM(FA325:FN325)=0,"",SUM(EM325:EZ325)/SUM(FA325:FN325))</f>
        <v/>
      </c>
      <c r="M325" s="36" t="str">
        <f aca="false">IF(OR(L325="",FO325=""),"",IFERROR(MATCH(L325,INDEX(Boundaries!$B$2:$I$30,MATCH(FO325,Boundaries!$A$2:$A$30,0),0),1)-1,""))</f>
        <v/>
      </c>
      <c r="N325" s="37" t="str">
        <f aca="false">IF(COUNT($DY325:$EL325)&lt;2,"",INDEX($DK325:$DX325,MAX($DY325:$EL325))-INDEX($DK325:$DX325,MIN($DY325:$EL325)))</f>
        <v/>
      </c>
      <c r="O325" s="37" t="str">
        <f aca="false">IF(COUNT($DY325:$EL325)&lt;2,"",INDEX($DK325:$DX325,MAX($DY325:$EL325))-INDEX($DK325:$DX325,LARGE($DY325:$EL325,2)))</f>
        <v/>
      </c>
      <c r="P325" s="38" t="str">
        <f aca="false">IF(K325="","",IF(K325&gt;=0,"On/above target",IF(AND(N325&lt;&gt;"",N325&gt;=0.5),"Improving towards target",IF(AND(O325&lt;&gt;"",O325&lt;=-0.5),"Declining","Stable below target"))))</f>
        <v/>
      </c>
      <c r="Q325" s="39"/>
      <c r="R325" s="40" t="str">
        <f aca="false">IF(OR(Q325="",BU325=""),"",Q325/BU325*100)</f>
        <v/>
      </c>
      <c r="S325" s="41" t="str">
        <f aca="false">IF(R325="","",IFERROR(MATCH(R325,INDEX(Boundaries!$B$2:$I$30,MATCH(CI325,Boundaries!$A$2:$A$30,0),0),1)-1,""))</f>
        <v/>
      </c>
      <c r="T325" s="42" t="str">
        <f aca="false">IF(OR(S325="",$E325=""),"",S325-$E325)</f>
        <v/>
      </c>
      <c r="U325" s="39"/>
      <c r="V325" s="40" t="str">
        <f aca="false">IF(OR(U325="",BV325=""),"",U325/BV325*100)</f>
        <v/>
      </c>
      <c r="W325" s="41" t="str">
        <f aca="false">IF(V325="","",IFERROR(MATCH(V325,INDEX(Boundaries!$B$2:$I$30,MATCH(CJ325,Boundaries!$A$2:$A$30,0),0),1)-1,""))</f>
        <v/>
      </c>
      <c r="X325" s="42" t="str">
        <f aca="false">IF(OR(W325="",$E325=""),"",W325-$E325)</f>
        <v/>
      </c>
      <c r="Y325" s="39"/>
      <c r="Z325" s="40" t="str">
        <f aca="false">IF(OR(Y325="",BW325=""),"",Y325/BW325*100)</f>
        <v/>
      </c>
      <c r="AA325" s="41" t="str">
        <f aca="false">IF(Z325="","",IFERROR(MATCH(Z325,INDEX(Boundaries!$B$2:$I$30,MATCH(CK325,Boundaries!$A$2:$A$30,0),0),1)-1,""))</f>
        <v/>
      </c>
      <c r="AB325" s="42" t="str">
        <f aca="false">IF(OR(AA325="",$E325=""),"",AA325-$E325)</f>
        <v/>
      </c>
      <c r="AC325" s="39"/>
      <c r="AD325" s="40" t="str">
        <f aca="false">IF(OR(AC325="",BX325=""),"",AC325/BX325*100)</f>
        <v/>
      </c>
      <c r="AE325" s="41" t="str">
        <f aca="false">IF(AD325="","",IFERROR(MATCH(AD325,INDEX(Boundaries!$B$2:$I$30,MATCH(CL325,Boundaries!$A$2:$A$30,0),0),1)-1,""))</f>
        <v/>
      </c>
      <c r="AF325" s="42" t="str">
        <f aca="false">IF(OR(AE325="",$E325=""),"",AE325-$E325)</f>
        <v/>
      </c>
      <c r="AG325" s="39"/>
      <c r="AH325" s="40" t="str">
        <f aca="false">IF(OR(AG325="",BY325=""),"",AG325/BY325*100)</f>
        <v/>
      </c>
      <c r="AI325" s="41" t="str">
        <f aca="false">IF(AH325="","",IFERROR(MATCH(AH325,INDEX(Boundaries!$B$2:$I$30,MATCH(CM325,Boundaries!$A$2:$A$30,0),0),1)-1,""))</f>
        <v/>
      </c>
      <c r="AJ325" s="42" t="str">
        <f aca="false">IF(OR(AI325="",$E325=""),"",AI325-$E325)</f>
        <v/>
      </c>
      <c r="AK325" s="39"/>
      <c r="AL325" s="40" t="str">
        <f aca="false">IF(OR(AK325="",BZ325=""),"",AK325/BZ325*100)</f>
        <v/>
      </c>
      <c r="AM325" s="41" t="str">
        <f aca="false">IF(AL325="","",IFERROR(MATCH(AL325,INDEX(Boundaries!$B$2:$I$30,MATCH(CN325,Boundaries!$A$2:$A$30,0),0),1)-1,""))</f>
        <v/>
      </c>
      <c r="AN325" s="42" t="str">
        <f aca="false">IF(OR(AM325="",$E325=""),"",AM325-$E325)</f>
        <v/>
      </c>
      <c r="AO325" s="39"/>
      <c r="AP325" s="40" t="str">
        <f aca="false">IF(OR(AO325="",CA325=""),"",AO325/CA325*100)</f>
        <v/>
      </c>
      <c r="AQ325" s="41" t="str">
        <f aca="false">IF(AP325="","",IFERROR(MATCH(AP325,INDEX(Boundaries!$B$2:$I$30,MATCH(CO325,Boundaries!$A$2:$A$30,0),0),1)-1,""))</f>
        <v/>
      </c>
      <c r="AR325" s="42" t="str">
        <f aca="false">IF(OR(AQ325="",$E325=""),"",AQ325-$E325)</f>
        <v/>
      </c>
      <c r="AS325" s="39"/>
      <c r="AT325" s="40" t="str">
        <f aca="false">IF(OR(AS325="",CB325=""),"",AS325/CB325*100)</f>
        <v/>
      </c>
      <c r="AU325" s="41" t="str">
        <f aca="false">IF(AT325="","",IFERROR(MATCH(AT325,INDEX(Boundaries!$B$2:$I$30,MATCH(CP325,Boundaries!$A$2:$A$30,0),0),1)-1,""))</f>
        <v/>
      </c>
      <c r="AV325" s="42" t="str">
        <f aca="false">IF(OR(AU325="",$E325=""),"",AU325-$E325)</f>
        <v/>
      </c>
      <c r="AW325" s="39"/>
      <c r="AX325" s="40" t="str">
        <f aca="false">IF(OR(AW325="",CC325=""),"",AW325/CC325*100)</f>
        <v/>
      </c>
      <c r="AY325" s="41" t="str">
        <f aca="false">IF(AX325="","",IFERROR(MATCH(AX325,INDEX(Boundaries!$B$2:$I$30,MATCH(CQ325,Boundaries!$A$2:$A$30,0),0),1)-1,""))</f>
        <v/>
      </c>
      <c r="AZ325" s="42" t="str">
        <f aca="false">IF(OR(AY325="",$E325=""),"",AY325-$E325)</f>
        <v/>
      </c>
      <c r="BA325" s="39"/>
      <c r="BB325" s="40" t="str">
        <f aca="false">IF(OR(BA325="",CD325=""),"",BA325/CD325*100)</f>
        <v/>
      </c>
      <c r="BC325" s="41" t="str">
        <f aca="false">IF(BB325="","",IFERROR(MATCH(BB325,INDEX(Boundaries!$B$2:$I$30,MATCH(CR325,Boundaries!$A$2:$A$30,0),0),1)-1,""))</f>
        <v/>
      </c>
      <c r="BD325" s="42" t="str">
        <f aca="false">IF(OR(BC325="",$E325=""),"",BC325-$E325)</f>
        <v/>
      </c>
      <c r="BE325" s="39"/>
      <c r="BF325" s="40" t="str">
        <f aca="false">IF(OR(BE325="",CE325=""),"",BE325/CE325*100)</f>
        <v/>
      </c>
      <c r="BG325" s="41" t="str">
        <f aca="false">IF(BF325="","",IFERROR(MATCH(BF325,INDEX(Boundaries!$B$2:$I$30,MATCH(CS325,Boundaries!$A$2:$A$30,0),0),1)-1,""))</f>
        <v/>
      </c>
      <c r="BH325" s="42" t="str">
        <f aca="false">IF(OR(BG325="",$E325=""),"",BG325-$E325)</f>
        <v/>
      </c>
      <c r="BI325" s="39"/>
      <c r="BJ325" s="40" t="str">
        <f aca="false">IF(OR(BI325="",CF325=""),"",BI325/CF325*100)</f>
        <v/>
      </c>
      <c r="BK325" s="41" t="str">
        <f aca="false">IF(BJ325="","",IFERROR(MATCH(BJ325,INDEX(Boundaries!$B$2:$I$30,MATCH(CT325,Boundaries!$A$2:$A$30,0),0),1)-1,""))</f>
        <v/>
      </c>
      <c r="BL325" s="42" t="str">
        <f aca="false">IF(OR(BK325="",$E325=""),"",BK325-$E325)</f>
        <v/>
      </c>
      <c r="BM325" s="39"/>
      <c r="BN325" s="40" t="str">
        <f aca="false">IF(OR(BM325="",CG325=""),"",BM325/CG325*100)</f>
        <v/>
      </c>
      <c r="BO325" s="41" t="str">
        <f aca="false">IF(BN325="","",IFERROR(MATCH(BN325,INDEX(Boundaries!$B$2:$I$30,MATCH(CU325,Boundaries!$A$2:$A$30,0),0),1)-1,""))</f>
        <v/>
      </c>
      <c r="BP325" s="42" t="str">
        <f aca="false">IF(OR(BO325="",$E325=""),"",BO325-$E325)</f>
        <v/>
      </c>
      <c r="BQ325" s="39"/>
      <c r="BR325" s="40" t="str">
        <f aca="false">IF(OR(BQ325="",CH325=""),"",BQ325/CH325*100)</f>
        <v/>
      </c>
      <c r="BS325" s="41" t="str">
        <f aca="false">IF(BR325="","",IFERROR(MATCH(BR325,INDEX(Boundaries!$B$2:$I$30,MATCH(CV325,Boundaries!$A$2:$A$30,0),0),1)-1,""))</f>
        <v/>
      </c>
      <c r="BT325" s="42" t="str">
        <f aca="false">IF(OR(BS325="",$E325=""),"",BS325-$E325)</f>
        <v/>
      </c>
      <c r="BU325" s="28" t="n">
        <f aca="false">IFERROR(INDEX(Assessments!$H$2:$H$600,MATCH($H325&amp;"|"&amp;$I325&amp;"|"&amp;$J325&amp;"|"&amp;1,Assessments!$A$2:$A$600,0)),"")</f>
        <v>24</v>
      </c>
      <c r="BV325" s="28" t="n">
        <f aca="false">IFERROR(INDEX(Assessments!$H$2:$H$600,MATCH($H325&amp;"|"&amp;$I325&amp;"|"&amp;$J325&amp;"|"&amp;2,Assessments!$A$2:$A$600,0)),"")</f>
        <v>20</v>
      </c>
      <c r="BW325" s="28" t="n">
        <f aca="false">IFERROR(INDEX(Assessments!$H$2:$H$600,MATCH($H325&amp;"|"&amp;$I325&amp;"|"&amp;$J325&amp;"|"&amp;3,Assessments!$A$2:$A$600,0)),"")</f>
        <v>20</v>
      </c>
      <c r="BX325" s="28" t="n">
        <f aca="false">IFERROR(INDEX(Assessments!$H$2:$H$600,MATCH($H325&amp;"|"&amp;$I325&amp;"|"&amp;$J325&amp;"|"&amp;4,Assessments!$A$2:$A$600,0)),"")</f>
        <v>40</v>
      </c>
      <c r="BY325" s="28" t="n">
        <f aca="false">IFERROR(INDEX(Assessments!$H$2:$H$600,MATCH($H325&amp;"|"&amp;$I325&amp;"|"&amp;$J325&amp;"|"&amp;5,Assessments!$A$2:$A$600,0)),"")</f>
        <v>30</v>
      </c>
      <c r="BZ325" s="28" t="n">
        <f aca="false">IFERROR(INDEX(Assessments!$H$2:$H$600,MATCH($H325&amp;"|"&amp;$I325&amp;"|"&amp;$J325&amp;"|"&amp;6,Assessments!$A$2:$A$600,0)),"")</f>
        <v>20</v>
      </c>
      <c r="CA325" s="28" t="n">
        <f aca="false">IFERROR(INDEX(Assessments!$H$2:$H$600,MATCH($H325&amp;"|"&amp;$I325&amp;"|"&amp;$J325&amp;"|"&amp;7,Assessments!$A$2:$A$600,0)),"")</f>
        <v>50</v>
      </c>
      <c r="CB325" s="28" t="str">
        <f aca="false">IFERROR(INDEX(Assessments!$H$2:$H$600,MATCH($H325&amp;"|"&amp;$I325&amp;"|"&amp;$J325&amp;"|"&amp;8,Assessments!$A$2:$A$600,0)),"")</f>
        <v/>
      </c>
      <c r="CC325" s="28" t="str">
        <f aca="false">IFERROR(INDEX(Assessments!$H$2:$H$600,MATCH($H325&amp;"|"&amp;$I325&amp;"|"&amp;$J325&amp;"|"&amp;9,Assessments!$A$2:$A$600,0)),"")</f>
        <v/>
      </c>
      <c r="CD325" s="28" t="str">
        <f aca="false">IFERROR(INDEX(Assessments!$H$2:$H$600,MATCH($H325&amp;"|"&amp;$I325&amp;"|"&amp;$J325&amp;"|"&amp;10,Assessments!$A$2:$A$600,0)),"")</f>
        <v/>
      </c>
      <c r="CE325" s="28" t="str">
        <f aca="false">IFERROR(INDEX(Assessments!$H$2:$H$600,MATCH($H325&amp;"|"&amp;$I325&amp;"|"&amp;$J325&amp;"|"&amp;11,Assessments!$A$2:$A$600,0)),"")</f>
        <v/>
      </c>
      <c r="CF325" s="28" t="str">
        <f aca="false">IFERROR(INDEX(Assessments!$H$2:$H$600,MATCH($H325&amp;"|"&amp;$I325&amp;"|"&amp;$J325&amp;"|"&amp;12,Assessments!$A$2:$A$600,0)),"")</f>
        <v/>
      </c>
      <c r="CG325" s="28" t="str">
        <f aca="false">IFERROR(INDEX(Assessments!$H$2:$H$600,MATCH($H325&amp;"|"&amp;$I325&amp;"|"&amp;$J325&amp;"|"&amp;13,Assessments!$A$2:$A$600,0)),"")</f>
        <v/>
      </c>
      <c r="CH325" s="28" t="str">
        <f aca="false">IFERROR(INDEX(Assessments!$H$2:$H$600,MATCH($H325&amp;"|"&amp;$I325&amp;"|"&amp;$J325&amp;"|"&amp;14,Assessments!$A$2:$A$600,0)),"")</f>
        <v/>
      </c>
      <c r="CI325" s="28" t="str">
        <f aca="false">IFERROR(INDEX(Assessments!$I$2:$I$600,MATCH($H325&amp;"|"&amp;$I325&amp;"|"&amp;$J325&amp;"|"&amp;1,Assessments!$A$2:$A$600,0)),"")</f>
        <v>BM Test</v>
      </c>
      <c r="CJ325" s="28" t="str">
        <f aca="false">IFERROR(INDEX(Assessments!$I$2:$I$600,MATCH($H325&amp;"|"&amp;$I325&amp;"|"&amp;$J325&amp;"|"&amp;2,Assessments!$A$2:$A$600,0)),"")</f>
        <v>BM Test</v>
      </c>
      <c r="CK325" s="28" t="str">
        <f aca="false">IFERROR(INDEX(Assessments!$I$2:$I$600,MATCH($H325&amp;"|"&amp;$I325&amp;"|"&amp;$J325&amp;"|"&amp;3,Assessments!$A$2:$A$600,0)),"")</f>
        <v>BM Test</v>
      </c>
      <c r="CL325" s="28" t="str">
        <f aca="false">IFERROR(INDEX(Assessments!$I$2:$I$600,MATCH($H325&amp;"|"&amp;$I325&amp;"|"&amp;$J325&amp;"|"&amp;4,Assessments!$A$2:$A$600,0)),"")</f>
        <v>BM Exam</v>
      </c>
      <c r="CM325" s="28" t="str">
        <f aca="false">IFERROR(INDEX(Assessments!$I$2:$I$600,MATCH($H325&amp;"|"&amp;$I325&amp;"|"&amp;$J325&amp;"|"&amp;5,Assessments!$A$2:$A$600,0)),"")</f>
        <v>BM Test</v>
      </c>
      <c r="CN325" s="28" t="str">
        <f aca="false">IFERROR(INDEX(Assessments!$I$2:$I$600,MATCH($H325&amp;"|"&amp;$I325&amp;"|"&amp;$J325&amp;"|"&amp;6,Assessments!$A$2:$A$600,0)),"")</f>
        <v>BM Test</v>
      </c>
      <c r="CO325" s="28" t="str">
        <f aca="false">IFERROR(INDEX(Assessments!$I$2:$I$600,MATCH($H325&amp;"|"&amp;$I325&amp;"|"&amp;$J325&amp;"|"&amp;7,Assessments!$A$2:$A$600,0)),"")</f>
        <v>BM Exam</v>
      </c>
      <c r="CP325" s="28" t="str">
        <f aca="false">IFERROR(INDEX(Assessments!$I$2:$I$600,MATCH($H325&amp;"|"&amp;$I325&amp;"|"&amp;$J325&amp;"|"&amp;8,Assessments!$A$2:$A$600,0)),"")</f>
        <v/>
      </c>
      <c r="CQ325" s="28" t="str">
        <f aca="false">IFERROR(INDEX(Assessments!$I$2:$I$600,MATCH($H325&amp;"|"&amp;$I325&amp;"|"&amp;$J325&amp;"|"&amp;9,Assessments!$A$2:$A$600,0)),"")</f>
        <v/>
      </c>
      <c r="CR325" s="28" t="str">
        <f aca="false">IFERROR(INDEX(Assessments!$I$2:$I$600,MATCH($H325&amp;"|"&amp;$I325&amp;"|"&amp;$J325&amp;"|"&amp;10,Assessments!$A$2:$A$600,0)),"")</f>
        <v/>
      </c>
      <c r="CS325" s="28" t="str">
        <f aca="false">IFERROR(INDEX(Assessments!$I$2:$I$600,MATCH($H325&amp;"|"&amp;$I325&amp;"|"&amp;$J325&amp;"|"&amp;11,Assessments!$A$2:$A$600,0)),"")</f>
        <v/>
      </c>
      <c r="CT325" s="28" t="str">
        <f aca="false">IFERROR(INDEX(Assessments!$I$2:$I$600,MATCH($H325&amp;"|"&amp;$I325&amp;"|"&amp;$J325&amp;"|"&amp;12,Assessments!$A$2:$A$600,0)),"")</f>
        <v/>
      </c>
      <c r="CU325" s="28" t="str">
        <f aca="false">IFERROR(INDEX(Assessments!$I$2:$I$600,MATCH($H325&amp;"|"&amp;$I325&amp;"|"&amp;$J325&amp;"|"&amp;13,Assessments!$A$2:$A$600,0)),"")</f>
        <v/>
      </c>
      <c r="CV325" s="28" t="str">
        <f aca="false">IFERROR(INDEX(Assessments!$I$2:$I$600,MATCH($H325&amp;"|"&amp;$I325&amp;"|"&amp;$J325&amp;"|"&amp;14,Assessments!$A$2:$A$600,0)),"")</f>
        <v/>
      </c>
      <c r="CW325" s="28" t="n">
        <f aca="false">IFERROR(INDEX(Assessments!$J$2:$J$600,MATCH($H325&amp;"|"&amp;$I325&amp;"|"&amp;$J325&amp;"|"&amp;1,Assessments!$A$2:$A$600,0)),0)</f>
        <v>1</v>
      </c>
      <c r="CX325" s="28" t="n">
        <f aca="false">IFERROR(INDEX(Assessments!$J$2:$J$600,MATCH($H325&amp;"|"&amp;$I325&amp;"|"&amp;$J325&amp;"|"&amp;2,Assessments!$A$2:$A$600,0)),0)</f>
        <v>1</v>
      </c>
      <c r="CY325" s="28" t="n">
        <f aca="false">IFERROR(INDEX(Assessments!$J$2:$J$600,MATCH($H325&amp;"|"&amp;$I325&amp;"|"&amp;$J325&amp;"|"&amp;3,Assessments!$A$2:$A$600,0)),0)</f>
        <v>1</v>
      </c>
      <c r="CZ325" s="28" t="n">
        <f aca="false">IFERROR(INDEX(Assessments!$J$2:$J$600,MATCH($H325&amp;"|"&amp;$I325&amp;"|"&amp;$J325&amp;"|"&amp;4,Assessments!$A$2:$A$600,0)),0)</f>
        <v>2</v>
      </c>
      <c r="DA325" s="28" t="n">
        <f aca="false">IFERROR(INDEX(Assessments!$J$2:$J$600,MATCH($H325&amp;"|"&amp;$I325&amp;"|"&amp;$J325&amp;"|"&amp;5,Assessments!$A$2:$A$600,0)),0)</f>
        <v>1</v>
      </c>
      <c r="DB325" s="28" t="n">
        <f aca="false">IFERROR(INDEX(Assessments!$J$2:$J$600,MATCH($H325&amp;"|"&amp;$I325&amp;"|"&amp;$J325&amp;"|"&amp;6,Assessments!$A$2:$A$600,0)),0)</f>
        <v>1</v>
      </c>
      <c r="DC325" s="28" t="n">
        <f aca="false">IFERROR(INDEX(Assessments!$J$2:$J$600,MATCH($H325&amp;"|"&amp;$I325&amp;"|"&amp;$J325&amp;"|"&amp;7,Assessments!$A$2:$A$600,0)),0)</f>
        <v>2</v>
      </c>
      <c r="DD325" s="28" t="n">
        <f aca="false">IFERROR(INDEX(Assessments!$J$2:$J$600,MATCH($H325&amp;"|"&amp;$I325&amp;"|"&amp;$J325&amp;"|"&amp;8,Assessments!$A$2:$A$600,0)),0)</f>
        <v>0</v>
      </c>
      <c r="DE325" s="28" t="n">
        <f aca="false">IFERROR(INDEX(Assessments!$J$2:$J$600,MATCH($H325&amp;"|"&amp;$I325&amp;"|"&amp;$J325&amp;"|"&amp;9,Assessments!$A$2:$A$600,0)),0)</f>
        <v>0</v>
      </c>
      <c r="DF325" s="28" t="n">
        <f aca="false">IFERROR(INDEX(Assessments!$J$2:$J$600,MATCH($H325&amp;"|"&amp;$I325&amp;"|"&amp;$J325&amp;"|"&amp;10,Assessments!$A$2:$A$600,0)),0)</f>
        <v>0</v>
      </c>
      <c r="DG325" s="28" t="n">
        <f aca="false">IFERROR(INDEX(Assessments!$J$2:$J$600,MATCH($H325&amp;"|"&amp;$I325&amp;"|"&amp;$J325&amp;"|"&amp;11,Assessments!$A$2:$A$600,0)),0)</f>
        <v>0</v>
      </c>
      <c r="DH325" s="28" t="n">
        <f aca="false">IFERROR(INDEX(Assessments!$J$2:$J$600,MATCH($H325&amp;"|"&amp;$I325&amp;"|"&amp;$J325&amp;"|"&amp;12,Assessments!$A$2:$A$600,0)),0)</f>
        <v>0</v>
      </c>
      <c r="DI325" s="28" t="n">
        <f aca="false">IFERROR(INDEX(Assessments!$J$2:$J$600,MATCH($H325&amp;"|"&amp;$I325&amp;"|"&amp;$J325&amp;"|"&amp;13,Assessments!$A$2:$A$600,0)),0)</f>
        <v>0</v>
      </c>
      <c r="DJ325" s="28" t="n">
        <f aca="false">IFERROR(INDEX(Assessments!$J$2:$J$600,MATCH($H325&amp;"|"&amp;$I325&amp;"|"&amp;$J325&amp;"|"&amp;14,Assessments!$A$2:$A$600,0)),0)</f>
        <v>0</v>
      </c>
      <c r="DK325" s="28" t="str">
        <f aca="false">S325</f>
        <v/>
      </c>
      <c r="DL325" s="28" t="str">
        <f aca="false">W325</f>
        <v/>
      </c>
      <c r="DM325" s="28" t="str">
        <f aca="false">AA325</f>
        <v/>
      </c>
      <c r="DN325" s="28" t="str">
        <f aca="false">AE325</f>
        <v/>
      </c>
      <c r="DO325" s="28" t="str">
        <f aca="false">AI325</f>
        <v/>
      </c>
      <c r="DP325" s="28" t="str">
        <f aca="false">AM325</f>
        <v/>
      </c>
      <c r="DQ325" s="28" t="str">
        <f aca="false">AQ325</f>
        <v/>
      </c>
      <c r="DR325" s="28" t="str">
        <f aca="false">AU325</f>
        <v/>
      </c>
      <c r="DS325" s="28" t="str">
        <f aca="false">AY325</f>
        <v/>
      </c>
      <c r="DT325" s="28" t="str">
        <f aca="false">BC325</f>
        <v/>
      </c>
      <c r="DU325" s="28" t="str">
        <f aca="false">BG325</f>
        <v/>
      </c>
      <c r="DV325" s="28" t="str">
        <f aca="false">BK325</f>
        <v/>
      </c>
      <c r="DW325" s="28" t="str">
        <f aca="false">BO325</f>
        <v/>
      </c>
      <c r="DX325" s="28" t="str">
        <f aca="false">BS325</f>
        <v/>
      </c>
      <c r="DY325" s="28" t="str">
        <f aca="false">IF(ISNUMBER(S325),1,"")</f>
        <v/>
      </c>
      <c r="DZ325" s="28" t="str">
        <f aca="false">IF(ISNUMBER(W325),2,"")</f>
        <v/>
      </c>
      <c r="EA325" s="28" t="str">
        <f aca="false">IF(ISNUMBER(AA325),3,"")</f>
        <v/>
      </c>
      <c r="EB325" s="28" t="str">
        <f aca="false">IF(ISNUMBER(AE325),4,"")</f>
        <v/>
      </c>
      <c r="EC325" s="28" t="str">
        <f aca="false">IF(ISNUMBER(AI325),5,"")</f>
        <v/>
      </c>
      <c r="ED325" s="28" t="str">
        <f aca="false">IF(ISNUMBER(AM325),6,"")</f>
        <v/>
      </c>
      <c r="EE325" s="28" t="str">
        <f aca="false">IF(ISNUMBER(AQ325),7,"")</f>
        <v/>
      </c>
      <c r="EF325" s="28" t="str">
        <f aca="false">IF(ISNUMBER(AU325),8,"")</f>
        <v/>
      </c>
      <c r="EG325" s="28" t="str">
        <f aca="false">IF(ISNUMBER(AY325),9,"")</f>
        <v/>
      </c>
      <c r="EH325" s="28" t="str">
        <f aca="false">IF(ISNUMBER(BC325),10,"")</f>
        <v/>
      </c>
      <c r="EI325" s="28" t="str">
        <f aca="false">IF(ISNUMBER(BG325),11,"")</f>
        <v/>
      </c>
      <c r="EJ325" s="28" t="str">
        <f aca="false">IF(ISNUMBER(BK325),12,"")</f>
        <v/>
      </c>
      <c r="EK325" s="28" t="str">
        <f aca="false">IF(ISNUMBER(BO325),13,"")</f>
        <v/>
      </c>
      <c r="EL325" s="28" t="str">
        <f aca="false">IF(ISNUMBER(BS325),14,"")</f>
        <v/>
      </c>
      <c r="EM325" s="28" t="n">
        <f aca="false">IF(ISNUMBER(R325),R325*CW325,0)</f>
        <v>0</v>
      </c>
      <c r="EN325" s="28" t="n">
        <f aca="false">IF(ISNUMBER(V325),V325*CX325,0)</f>
        <v>0</v>
      </c>
      <c r="EO325" s="28" t="n">
        <f aca="false">IF(ISNUMBER(Z325),Z325*CY325,0)</f>
        <v>0</v>
      </c>
      <c r="EP325" s="28" t="n">
        <f aca="false">IF(ISNUMBER(AD325),AD325*CZ325,0)</f>
        <v>0</v>
      </c>
      <c r="EQ325" s="28" t="n">
        <f aca="false">IF(ISNUMBER(AH325),AH325*DA325,0)</f>
        <v>0</v>
      </c>
      <c r="ER325" s="28" t="n">
        <f aca="false">IF(ISNUMBER(AL325),AL325*DB325,0)</f>
        <v>0</v>
      </c>
      <c r="ES325" s="28" t="n">
        <f aca="false">IF(ISNUMBER(AP325),AP325*DC325,0)</f>
        <v>0</v>
      </c>
      <c r="ET325" s="28" t="n">
        <f aca="false">IF(ISNUMBER(AT325),AT325*DD325,0)</f>
        <v>0</v>
      </c>
      <c r="EU325" s="28" t="n">
        <f aca="false">IF(ISNUMBER(AX325),AX325*DE325,0)</f>
        <v>0</v>
      </c>
      <c r="EV325" s="28" t="n">
        <f aca="false">IF(ISNUMBER(BB325),BB325*DF325,0)</f>
        <v>0</v>
      </c>
      <c r="EW325" s="28" t="n">
        <f aca="false">IF(ISNUMBER(BF325),BF325*DG325,0)</f>
        <v>0</v>
      </c>
      <c r="EX325" s="28" t="n">
        <f aca="false">IF(ISNUMBER(BJ325),BJ325*DH325,0)</f>
        <v>0</v>
      </c>
      <c r="EY325" s="28" t="n">
        <f aca="false">IF(ISNUMBER(BN325),BN325*DI325,0)</f>
        <v>0</v>
      </c>
      <c r="EZ325" s="28" t="n">
        <f aca="false">IF(ISNUMBER(BR325),BR325*DJ325,0)</f>
        <v>0</v>
      </c>
      <c r="FA325" s="28" t="n">
        <f aca="false">IF(ISNUMBER(R325),CW325,0)</f>
        <v>0</v>
      </c>
      <c r="FB325" s="28" t="n">
        <f aca="false">IF(ISNUMBER(V325),CX325,0)</f>
        <v>0</v>
      </c>
      <c r="FC325" s="28" t="n">
        <f aca="false">IF(ISNUMBER(Z325),CY325,0)</f>
        <v>0</v>
      </c>
      <c r="FD325" s="28" t="n">
        <f aca="false">IF(ISNUMBER(AD325),CZ325,0)</f>
        <v>0</v>
      </c>
      <c r="FE325" s="28" t="n">
        <f aca="false">IF(ISNUMBER(AH325),DA325,0)</f>
        <v>0</v>
      </c>
      <c r="FF325" s="28" t="n">
        <f aca="false">IF(ISNUMBER(AL325),DB325,0)</f>
        <v>0</v>
      </c>
      <c r="FG325" s="28" t="n">
        <f aca="false">IF(ISNUMBER(AP325),DC325,0)</f>
        <v>0</v>
      </c>
      <c r="FH325" s="28" t="n">
        <f aca="false">IF(ISNUMBER(AT325),DD325,0)</f>
        <v>0</v>
      </c>
      <c r="FI325" s="28" t="n">
        <f aca="false">IF(ISNUMBER(AX325),DE325,0)</f>
        <v>0</v>
      </c>
      <c r="FJ325" s="28" t="n">
        <f aca="false">IF(ISNUMBER(BB325),DF325,0)</f>
        <v>0</v>
      </c>
      <c r="FK325" s="28" t="n">
        <f aca="false">IF(ISNUMBER(BF325),DG325,0)</f>
        <v>0</v>
      </c>
      <c r="FL325" s="28" t="n">
        <f aca="false">IF(ISNUMBER(BJ325),DH325,0)</f>
        <v>0</v>
      </c>
      <c r="FM325" s="28" t="n">
        <f aca="false">IF(ISNUMBER(BN325),DI325,0)</f>
        <v>0</v>
      </c>
      <c r="FN325" s="28" t="n">
        <f aca="false">IF(ISNUMBER(BR325),DJ325,0)</f>
        <v>0</v>
      </c>
      <c r="FO325" s="28" t="str">
        <f aca="false">IFERROR(INDEX(Lists!$G$2:$G$20,MATCH($I325&amp;"|"&amp;$J325,Lists!$F$2:$F$20,0)),"")</f>
        <v>BM Exam</v>
      </c>
    </row>
    <row r="326" customFormat="false" ht="19.5" hidden="false" customHeight="true" outlineLevel="0" collapsed="false">
      <c r="A326" s="29" t="s">
        <v>626</v>
      </c>
      <c r="B326" s="29" t="s">
        <v>627</v>
      </c>
      <c r="C326" s="30" t="s">
        <v>192</v>
      </c>
      <c r="D326" s="30" t="s">
        <v>625</v>
      </c>
      <c r="E326" s="31"/>
      <c r="F326" s="30"/>
      <c r="G326" s="30"/>
      <c r="H326" s="32" t="s">
        <v>428</v>
      </c>
      <c r="I326" s="33" t="s">
        <v>365</v>
      </c>
      <c r="J326" s="32" t="s">
        <v>25</v>
      </c>
      <c r="K326" s="34" t="str">
        <f aca="false">IF(OR(M326="",$E326=""),"",M326-$E326)</f>
        <v/>
      </c>
      <c r="L326" s="35" t="str">
        <f aca="false">IF(SUM(FA326:FN326)=0,"",SUM(EM326:EZ326)/SUM(FA326:FN326))</f>
        <v/>
      </c>
      <c r="M326" s="36" t="str">
        <f aca="false">IF(OR(L326="",FO326=""),"",IFERROR(MATCH(L326,INDEX(Boundaries!$B$2:$I$30,MATCH(FO326,Boundaries!$A$2:$A$30,0),0),1)-1,""))</f>
        <v/>
      </c>
      <c r="N326" s="37" t="str">
        <f aca="false">IF(COUNT($DY326:$EL326)&lt;2,"",INDEX($DK326:$DX326,MAX($DY326:$EL326))-INDEX($DK326:$DX326,MIN($DY326:$EL326)))</f>
        <v/>
      </c>
      <c r="O326" s="37" t="str">
        <f aca="false">IF(COUNT($DY326:$EL326)&lt;2,"",INDEX($DK326:$DX326,MAX($DY326:$EL326))-INDEX($DK326:$DX326,LARGE($DY326:$EL326,2)))</f>
        <v/>
      </c>
      <c r="P326" s="38" t="str">
        <f aca="false">IF(K326="","",IF(K326&gt;=0,"On/above target",IF(AND(N326&lt;&gt;"",N326&gt;=0.5),"Improving towards target",IF(AND(O326&lt;&gt;"",O326&lt;=-0.5),"Declining","Stable below target"))))</f>
        <v/>
      </c>
      <c r="Q326" s="39"/>
      <c r="R326" s="40" t="str">
        <f aca="false">IF(OR(Q326="",BU326=""),"",Q326/BU326*100)</f>
        <v/>
      </c>
      <c r="S326" s="41" t="str">
        <f aca="false">IF(R326="","",IFERROR(MATCH(R326,INDEX(Boundaries!$B$2:$I$30,MATCH(CI326,Boundaries!$A$2:$A$30,0),0),1)-1,""))</f>
        <v/>
      </c>
      <c r="T326" s="42" t="str">
        <f aca="false">IF(OR(S326="",$E326=""),"",S326-$E326)</f>
        <v/>
      </c>
      <c r="U326" s="39"/>
      <c r="V326" s="40" t="str">
        <f aca="false">IF(OR(U326="",BV326=""),"",U326/BV326*100)</f>
        <v/>
      </c>
      <c r="W326" s="41" t="str">
        <f aca="false">IF(V326="","",IFERROR(MATCH(V326,INDEX(Boundaries!$B$2:$I$30,MATCH(CJ326,Boundaries!$A$2:$A$30,0),0),1)-1,""))</f>
        <v/>
      </c>
      <c r="X326" s="42" t="str">
        <f aca="false">IF(OR(W326="",$E326=""),"",W326-$E326)</f>
        <v/>
      </c>
      <c r="Y326" s="39"/>
      <c r="Z326" s="40" t="str">
        <f aca="false">IF(OR(Y326="",BW326=""),"",Y326/BW326*100)</f>
        <v/>
      </c>
      <c r="AA326" s="41" t="str">
        <f aca="false">IF(Z326="","",IFERROR(MATCH(Z326,INDEX(Boundaries!$B$2:$I$30,MATCH(CK326,Boundaries!$A$2:$A$30,0),0),1)-1,""))</f>
        <v/>
      </c>
      <c r="AB326" s="42" t="str">
        <f aca="false">IF(OR(AA326="",$E326=""),"",AA326-$E326)</f>
        <v/>
      </c>
      <c r="AC326" s="39"/>
      <c r="AD326" s="40" t="str">
        <f aca="false">IF(OR(AC326="",BX326=""),"",AC326/BX326*100)</f>
        <v/>
      </c>
      <c r="AE326" s="41" t="str">
        <f aca="false">IF(AD326="","",IFERROR(MATCH(AD326,INDEX(Boundaries!$B$2:$I$30,MATCH(CL326,Boundaries!$A$2:$A$30,0),0),1)-1,""))</f>
        <v/>
      </c>
      <c r="AF326" s="42" t="str">
        <f aca="false">IF(OR(AE326="",$E326=""),"",AE326-$E326)</f>
        <v/>
      </c>
      <c r="AG326" s="39"/>
      <c r="AH326" s="40" t="str">
        <f aca="false">IF(OR(AG326="",BY326=""),"",AG326/BY326*100)</f>
        <v/>
      </c>
      <c r="AI326" s="41" t="str">
        <f aca="false">IF(AH326="","",IFERROR(MATCH(AH326,INDEX(Boundaries!$B$2:$I$30,MATCH(CM326,Boundaries!$A$2:$A$30,0),0),1)-1,""))</f>
        <v/>
      </c>
      <c r="AJ326" s="42" t="str">
        <f aca="false">IF(OR(AI326="",$E326=""),"",AI326-$E326)</f>
        <v/>
      </c>
      <c r="AK326" s="39"/>
      <c r="AL326" s="40" t="str">
        <f aca="false">IF(OR(AK326="",BZ326=""),"",AK326/BZ326*100)</f>
        <v/>
      </c>
      <c r="AM326" s="41" t="str">
        <f aca="false">IF(AL326="","",IFERROR(MATCH(AL326,INDEX(Boundaries!$B$2:$I$30,MATCH(CN326,Boundaries!$A$2:$A$30,0),0),1)-1,""))</f>
        <v/>
      </c>
      <c r="AN326" s="42" t="str">
        <f aca="false">IF(OR(AM326="",$E326=""),"",AM326-$E326)</f>
        <v/>
      </c>
      <c r="AO326" s="39"/>
      <c r="AP326" s="40" t="str">
        <f aca="false">IF(OR(AO326="",CA326=""),"",AO326/CA326*100)</f>
        <v/>
      </c>
      <c r="AQ326" s="41" t="str">
        <f aca="false">IF(AP326="","",IFERROR(MATCH(AP326,INDEX(Boundaries!$B$2:$I$30,MATCH(CO326,Boundaries!$A$2:$A$30,0),0),1)-1,""))</f>
        <v/>
      </c>
      <c r="AR326" s="42" t="str">
        <f aca="false">IF(OR(AQ326="",$E326=""),"",AQ326-$E326)</f>
        <v/>
      </c>
      <c r="AS326" s="39"/>
      <c r="AT326" s="40" t="str">
        <f aca="false">IF(OR(AS326="",CB326=""),"",AS326/CB326*100)</f>
        <v/>
      </c>
      <c r="AU326" s="41" t="str">
        <f aca="false">IF(AT326="","",IFERROR(MATCH(AT326,INDEX(Boundaries!$B$2:$I$30,MATCH(CP326,Boundaries!$A$2:$A$30,0),0),1)-1,""))</f>
        <v/>
      </c>
      <c r="AV326" s="42" t="str">
        <f aca="false">IF(OR(AU326="",$E326=""),"",AU326-$E326)</f>
        <v/>
      </c>
      <c r="AW326" s="39"/>
      <c r="AX326" s="40" t="str">
        <f aca="false">IF(OR(AW326="",CC326=""),"",AW326/CC326*100)</f>
        <v/>
      </c>
      <c r="AY326" s="41" t="str">
        <f aca="false">IF(AX326="","",IFERROR(MATCH(AX326,INDEX(Boundaries!$B$2:$I$30,MATCH(CQ326,Boundaries!$A$2:$A$30,0),0),1)-1,""))</f>
        <v/>
      </c>
      <c r="AZ326" s="42" t="str">
        <f aca="false">IF(OR(AY326="",$E326=""),"",AY326-$E326)</f>
        <v/>
      </c>
      <c r="BA326" s="39"/>
      <c r="BB326" s="40" t="str">
        <f aca="false">IF(OR(BA326="",CD326=""),"",BA326/CD326*100)</f>
        <v/>
      </c>
      <c r="BC326" s="41" t="str">
        <f aca="false">IF(BB326="","",IFERROR(MATCH(BB326,INDEX(Boundaries!$B$2:$I$30,MATCH(CR326,Boundaries!$A$2:$A$30,0),0),1)-1,""))</f>
        <v/>
      </c>
      <c r="BD326" s="42" t="str">
        <f aca="false">IF(OR(BC326="",$E326=""),"",BC326-$E326)</f>
        <v/>
      </c>
      <c r="BE326" s="39"/>
      <c r="BF326" s="40" t="str">
        <f aca="false">IF(OR(BE326="",CE326=""),"",BE326/CE326*100)</f>
        <v/>
      </c>
      <c r="BG326" s="41" t="str">
        <f aca="false">IF(BF326="","",IFERROR(MATCH(BF326,INDEX(Boundaries!$B$2:$I$30,MATCH(CS326,Boundaries!$A$2:$A$30,0),0),1)-1,""))</f>
        <v/>
      </c>
      <c r="BH326" s="42" t="str">
        <f aca="false">IF(OR(BG326="",$E326=""),"",BG326-$E326)</f>
        <v/>
      </c>
      <c r="BI326" s="39"/>
      <c r="BJ326" s="40" t="str">
        <f aca="false">IF(OR(BI326="",CF326=""),"",BI326/CF326*100)</f>
        <v/>
      </c>
      <c r="BK326" s="41" t="str">
        <f aca="false">IF(BJ326="","",IFERROR(MATCH(BJ326,INDEX(Boundaries!$B$2:$I$30,MATCH(CT326,Boundaries!$A$2:$A$30,0),0),1)-1,""))</f>
        <v/>
      </c>
      <c r="BL326" s="42" t="str">
        <f aca="false">IF(OR(BK326="",$E326=""),"",BK326-$E326)</f>
        <v/>
      </c>
      <c r="BM326" s="39"/>
      <c r="BN326" s="40" t="str">
        <f aca="false">IF(OR(BM326="",CG326=""),"",BM326/CG326*100)</f>
        <v/>
      </c>
      <c r="BO326" s="41" t="str">
        <f aca="false">IF(BN326="","",IFERROR(MATCH(BN326,INDEX(Boundaries!$B$2:$I$30,MATCH(CU326,Boundaries!$A$2:$A$30,0),0),1)-1,""))</f>
        <v/>
      </c>
      <c r="BP326" s="42" t="str">
        <f aca="false">IF(OR(BO326="",$E326=""),"",BO326-$E326)</f>
        <v/>
      </c>
      <c r="BQ326" s="39"/>
      <c r="BR326" s="40" t="str">
        <f aca="false">IF(OR(BQ326="",CH326=""),"",BQ326/CH326*100)</f>
        <v/>
      </c>
      <c r="BS326" s="41" t="str">
        <f aca="false">IF(BR326="","",IFERROR(MATCH(BR326,INDEX(Boundaries!$B$2:$I$30,MATCH(CV326,Boundaries!$A$2:$A$30,0),0),1)-1,""))</f>
        <v/>
      </c>
      <c r="BT326" s="42" t="str">
        <f aca="false">IF(OR(BS326="",$E326=""),"",BS326-$E326)</f>
        <v/>
      </c>
      <c r="BU326" s="28" t="n">
        <f aca="false">IFERROR(INDEX(Assessments!$H$2:$H$600,MATCH($H326&amp;"|"&amp;$I326&amp;"|"&amp;$J326&amp;"|"&amp;1,Assessments!$A$2:$A$600,0)),"")</f>
        <v>24</v>
      </c>
      <c r="BV326" s="28" t="n">
        <f aca="false">IFERROR(INDEX(Assessments!$H$2:$H$600,MATCH($H326&amp;"|"&amp;$I326&amp;"|"&amp;$J326&amp;"|"&amp;2,Assessments!$A$2:$A$600,0)),"")</f>
        <v>20</v>
      </c>
      <c r="BW326" s="28" t="n">
        <f aca="false">IFERROR(INDEX(Assessments!$H$2:$H$600,MATCH($H326&amp;"|"&amp;$I326&amp;"|"&amp;$J326&amp;"|"&amp;3,Assessments!$A$2:$A$600,0)),"")</f>
        <v>20</v>
      </c>
      <c r="BX326" s="28" t="n">
        <f aca="false">IFERROR(INDEX(Assessments!$H$2:$H$600,MATCH($H326&amp;"|"&amp;$I326&amp;"|"&amp;$J326&amp;"|"&amp;4,Assessments!$A$2:$A$600,0)),"")</f>
        <v>40</v>
      </c>
      <c r="BY326" s="28" t="n">
        <f aca="false">IFERROR(INDEX(Assessments!$H$2:$H$600,MATCH($H326&amp;"|"&amp;$I326&amp;"|"&amp;$J326&amp;"|"&amp;5,Assessments!$A$2:$A$600,0)),"")</f>
        <v>30</v>
      </c>
      <c r="BZ326" s="28" t="n">
        <f aca="false">IFERROR(INDEX(Assessments!$H$2:$H$600,MATCH($H326&amp;"|"&amp;$I326&amp;"|"&amp;$J326&amp;"|"&amp;6,Assessments!$A$2:$A$600,0)),"")</f>
        <v>20</v>
      </c>
      <c r="CA326" s="28" t="n">
        <f aca="false">IFERROR(INDEX(Assessments!$H$2:$H$600,MATCH($H326&amp;"|"&amp;$I326&amp;"|"&amp;$J326&amp;"|"&amp;7,Assessments!$A$2:$A$600,0)),"")</f>
        <v>50</v>
      </c>
      <c r="CB326" s="28" t="str">
        <f aca="false">IFERROR(INDEX(Assessments!$H$2:$H$600,MATCH($H326&amp;"|"&amp;$I326&amp;"|"&amp;$J326&amp;"|"&amp;8,Assessments!$A$2:$A$600,0)),"")</f>
        <v/>
      </c>
      <c r="CC326" s="28" t="str">
        <f aca="false">IFERROR(INDEX(Assessments!$H$2:$H$600,MATCH($H326&amp;"|"&amp;$I326&amp;"|"&amp;$J326&amp;"|"&amp;9,Assessments!$A$2:$A$600,0)),"")</f>
        <v/>
      </c>
      <c r="CD326" s="28" t="str">
        <f aca="false">IFERROR(INDEX(Assessments!$H$2:$H$600,MATCH($H326&amp;"|"&amp;$I326&amp;"|"&amp;$J326&amp;"|"&amp;10,Assessments!$A$2:$A$600,0)),"")</f>
        <v/>
      </c>
      <c r="CE326" s="28" t="str">
        <f aca="false">IFERROR(INDEX(Assessments!$H$2:$H$600,MATCH($H326&amp;"|"&amp;$I326&amp;"|"&amp;$J326&amp;"|"&amp;11,Assessments!$A$2:$A$600,0)),"")</f>
        <v/>
      </c>
      <c r="CF326" s="28" t="str">
        <f aca="false">IFERROR(INDEX(Assessments!$H$2:$H$600,MATCH($H326&amp;"|"&amp;$I326&amp;"|"&amp;$J326&amp;"|"&amp;12,Assessments!$A$2:$A$600,0)),"")</f>
        <v/>
      </c>
      <c r="CG326" s="28" t="str">
        <f aca="false">IFERROR(INDEX(Assessments!$H$2:$H$600,MATCH($H326&amp;"|"&amp;$I326&amp;"|"&amp;$J326&amp;"|"&amp;13,Assessments!$A$2:$A$600,0)),"")</f>
        <v/>
      </c>
      <c r="CH326" s="28" t="str">
        <f aca="false">IFERROR(INDEX(Assessments!$H$2:$H$600,MATCH($H326&amp;"|"&amp;$I326&amp;"|"&amp;$J326&amp;"|"&amp;14,Assessments!$A$2:$A$600,0)),"")</f>
        <v/>
      </c>
      <c r="CI326" s="28" t="str">
        <f aca="false">IFERROR(INDEX(Assessments!$I$2:$I$600,MATCH($H326&amp;"|"&amp;$I326&amp;"|"&amp;$J326&amp;"|"&amp;1,Assessments!$A$2:$A$600,0)),"")</f>
        <v>BM Test</v>
      </c>
      <c r="CJ326" s="28" t="str">
        <f aca="false">IFERROR(INDEX(Assessments!$I$2:$I$600,MATCH($H326&amp;"|"&amp;$I326&amp;"|"&amp;$J326&amp;"|"&amp;2,Assessments!$A$2:$A$600,0)),"")</f>
        <v>BM Test</v>
      </c>
      <c r="CK326" s="28" t="str">
        <f aca="false">IFERROR(INDEX(Assessments!$I$2:$I$600,MATCH($H326&amp;"|"&amp;$I326&amp;"|"&amp;$J326&amp;"|"&amp;3,Assessments!$A$2:$A$600,0)),"")</f>
        <v>BM Test</v>
      </c>
      <c r="CL326" s="28" t="str">
        <f aca="false">IFERROR(INDEX(Assessments!$I$2:$I$600,MATCH($H326&amp;"|"&amp;$I326&amp;"|"&amp;$J326&amp;"|"&amp;4,Assessments!$A$2:$A$600,0)),"")</f>
        <v>BM Exam</v>
      </c>
      <c r="CM326" s="28" t="str">
        <f aca="false">IFERROR(INDEX(Assessments!$I$2:$I$600,MATCH($H326&amp;"|"&amp;$I326&amp;"|"&amp;$J326&amp;"|"&amp;5,Assessments!$A$2:$A$600,0)),"")</f>
        <v>BM Test</v>
      </c>
      <c r="CN326" s="28" t="str">
        <f aca="false">IFERROR(INDEX(Assessments!$I$2:$I$600,MATCH($H326&amp;"|"&amp;$I326&amp;"|"&amp;$J326&amp;"|"&amp;6,Assessments!$A$2:$A$600,0)),"")</f>
        <v>BM Test</v>
      </c>
      <c r="CO326" s="28" t="str">
        <f aca="false">IFERROR(INDEX(Assessments!$I$2:$I$600,MATCH($H326&amp;"|"&amp;$I326&amp;"|"&amp;$J326&amp;"|"&amp;7,Assessments!$A$2:$A$600,0)),"")</f>
        <v>BM Exam</v>
      </c>
      <c r="CP326" s="28" t="str">
        <f aca="false">IFERROR(INDEX(Assessments!$I$2:$I$600,MATCH($H326&amp;"|"&amp;$I326&amp;"|"&amp;$J326&amp;"|"&amp;8,Assessments!$A$2:$A$600,0)),"")</f>
        <v/>
      </c>
      <c r="CQ326" s="28" t="str">
        <f aca="false">IFERROR(INDEX(Assessments!$I$2:$I$600,MATCH($H326&amp;"|"&amp;$I326&amp;"|"&amp;$J326&amp;"|"&amp;9,Assessments!$A$2:$A$600,0)),"")</f>
        <v/>
      </c>
      <c r="CR326" s="28" t="str">
        <f aca="false">IFERROR(INDEX(Assessments!$I$2:$I$600,MATCH($H326&amp;"|"&amp;$I326&amp;"|"&amp;$J326&amp;"|"&amp;10,Assessments!$A$2:$A$600,0)),"")</f>
        <v/>
      </c>
      <c r="CS326" s="28" t="str">
        <f aca="false">IFERROR(INDEX(Assessments!$I$2:$I$600,MATCH($H326&amp;"|"&amp;$I326&amp;"|"&amp;$J326&amp;"|"&amp;11,Assessments!$A$2:$A$600,0)),"")</f>
        <v/>
      </c>
      <c r="CT326" s="28" t="str">
        <f aca="false">IFERROR(INDEX(Assessments!$I$2:$I$600,MATCH($H326&amp;"|"&amp;$I326&amp;"|"&amp;$J326&amp;"|"&amp;12,Assessments!$A$2:$A$600,0)),"")</f>
        <v/>
      </c>
      <c r="CU326" s="28" t="str">
        <f aca="false">IFERROR(INDEX(Assessments!$I$2:$I$600,MATCH($H326&amp;"|"&amp;$I326&amp;"|"&amp;$J326&amp;"|"&amp;13,Assessments!$A$2:$A$600,0)),"")</f>
        <v/>
      </c>
      <c r="CV326" s="28" t="str">
        <f aca="false">IFERROR(INDEX(Assessments!$I$2:$I$600,MATCH($H326&amp;"|"&amp;$I326&amp;"|"&amp;$J326&amp;"|"&amp;14,Assessments!$A$2:$A$600,0)),"")</f>
        <v/>
      </c>
      <c r="CW326" s="28" t="n">
        <f aca="false">IFERROR(INDEX(Assessments!$J$2:$J$600,MATCH($H326&amp;"|"&amp;$I326&amp;"|"&amp;$J326&amp;"|"&amp;1,Assessments!$A$2:$A$600,0)),0)</f>
        <v>1</v>
      </c>
      <c r="CX326" s="28" t="n">
        <f aca="false">IFERROR(INDEX(Assessments!$J$2:$J$600,MATCH($H326&amp;"|"&amp;$I326&amp;"|"&amp;$J326&amp;"|"&amp;2,Assessments!$A$2:$A$600,0)),0)</f>
        <v>1</v>
      </c>
      <c r="CY326" s="28" t="n">
        <f aca="false">IFERROR(INDEX(Assessments!$J$2:$J$600,MATCH($H326&amp;"|"&amp;$I326&amp;"|"&amp;$J326&amp;"|"&amp;3,Assessments!$A$2:$A$600,0)),0)</f>
        <v>1</v>
      </c>
      <c r="CZ326" s="28" t="n">
        <f aca="false">IFERROR(INDEX(Assessments!$J$2:$J$600,MATCH($H326&amp;"|"&amp;$I326&amp;"|"&amp;$J326&amp;"|"&amp;4,Assessments!$A$2:$A$600,0)),0)</f>
        <v>2</v>
      </c>
      <c r="DA326" s="28" t="n">
        <f aca="false">IFERROR(INDEX(Assessments!$J$2:$J$600,MATCH($H326&amp;"|"&amp;$I326&amp;"|"&amp;$J326&amp;"|"&amp;5,Assessments!$A$2:$A$600,0)),0)</f>
        <v>1</v>
      </c>
      <c r="DB326" s="28" t="n">
        <f aca="false">IFERROR(INDEX(Assessments!$J$2:$J$600,MATCH($H326&amp;"|"&amp;$I326&amp;"|"&amp;$J326&amp;"|"&amp;6,Assessments!$A$2:$A$600,0)),0)</f>
        <v>1</v>
      </c>
      <c r="DC326" s="28" t="n">
        <f aca="false">IFERROR(INDEX(Assessments!$J$2:$J$600,MATCH($H326&amp;"|"&amp;$I326&amp;"|"&amp;$J326&amp;"|"&amp;7,Assessments!$A$2:$A$600,0)),0)</f>
        <v>2</v>
      </c>
      <c r="DD326" s="28" t="n">
        <f aca="false">IFERROR(INDEX(Assessments!$J$2:$J$600,MATCH($H326&amp;"|"&amp;$I326&amp;"|"&amp;$J326&amp;"|"&amp;8,Assessments!$A$2:$A$600,0)),0)</f>
        <v>0</v>
      </c>
      <c r="DE326" s="28" t="n">
        <f aca="false">IFERROR(INDEX(Assessments!$J$2:$J$600,MATCH($H326&amp;"|"&amp;$I326&amp;"|"&amp;$J326&amp;"|"&amp;9,Assessments!$A$2:$A$600,0)),0)</f>
        <v>0</v>
      </c>
      <c r="DF326" s="28" t="n">
        <f aca="false">IFERROR(INDEX(Assessments!$J$2:$J$600,MATCH($H326&amp;"|"&amp;$I326&amp;"|"&amp;$J326&amp;"|"&amp;10,Assessments!$A$2:$A$600,0)),0)</f>
        <v>0</v>
      </c>
      <c r="DG326" s="28" t="n">
        <f aca="false">IFERROR(INDEX(Assessments!$J$2:$J$600,MATCH($H326&amp;"|"&amp;$I326&amp;"|"&amp;$J326&amp;"|"&amp;11,Assessments!$A$2:$A$600,0)),0)</f>
        <v>0</v>
      </c>
      <c r="DH326" s="28" t="n">
        <f aca="false">IFERROR(INDEX(Assessments!$J$2:$J$600,MATCH($H326&amp;"|"&amp;$I326&amp;"|"&amp;$J326&amp;"|"&amp;12,Assessments!$A$2:$A$600,0)),0)</f>
        <v>0</v>
      </c>
      <c r="DI326" s="28" t="n">
        <f aca="false">IFERROR(INDEX(Assessments!$J$2:$J$600,MATCH($H326&amp;"|"&amp;$I326&amp;"|"&amp;$J326&amp;"|"&amp;13,Assessments!$A$2:$A$600,0)),0)</f>
        <v>0</v>
      </c>
      <c r="DJ326" s="28" t="n">
        <f aca="false">IFERROR(INDEX(Assessments!$J$2:$J$600,MATCH($H326&amp;"|"&amp;$I326&amp;"|"&amp;$J326&amp;"|"&amp;14,Assessments!$A$2:$A$600,0)),0)</f>
        <v>0</v>
      </c>
      <c r="DK326" s="28" t="str">
        <f aca="false">S326</f>
        <v/>
      </c>
      <c r="DL326" s="28" t="str">
        <f aca="false">W326</f>
        <v/>
      </c>
      <c r="DM326" s="28" t="str">
        <f aca="false">AA326</f>
        <v/>
      </c>
      <c r="DN326" s="28" t="str">
        <f aca="false">AE326</f>
        <v/>
      </c>
      <c r="DO326" s="28" t="str">
        <f aca="false">AI326</f>
        <v/>
      </c>
      <c r="DP326" s="28" t="str">
        <f aca="false">AM326</f>
        <v/>
      </c>
      <c r="DQ326" s="28" t="str">
        <f aca="false">AQ326</f>
        <v/>
      </c>
      <c r="DR326" s="28" t="str">
        <f aca="false">AU326</f>
        <v/>
      </c>
      <c r="DS326" s="28" t="str">
        <f aca="false">AY326</f>
        <v/>
      </c>
      <c r="DT326" s="28" t="str">
        <f aca="false">BC326</f>
        <v/>
      </c>
      <c r="DU326" s="28" t="str">
        <f aca="false">BG326</f>
        <v/>
      </c>
      <c r="DV326" s="28" t="str">
        <f aca="false">BK326</f>
        <v/>
      </c>
      <c r="DW326" s="28" t="str">
        <f aca="false">BO326</f>
        <v/>
      </c>
      <c r="DX326" s="28" t="str">
        <f aca="false">BS326</f>
        <v/>
      </c>
      <c r="DY326" s="28" t="str">
        <f aca="false">IF(ISNUMBER(S326),1,"")</f>
        <v/>
      </c>
      <c r="DZ326" s="28" t="str">
        <f aca="false">IF(ISNUMBER(W326),2,"")</f>
        <v/>
      </c>
      <c r="EA326" s="28" t="str">
        <f aca="false">IF(ISNUMBER(AA326),3,"")</f>
        <v/>
      </c>
      <c r="EB326" s="28" t="str">
        <f aca="false">IF(ISNUMBER(AE326),4,"")</f>
        <v/>
      </c>
      <c r="EC326" s="28" t="str">
        <f aca="false">IF(ISNUMBER(AI326),5,"")</f>
        <v/>
      </c>
      <c r="ED326" s="28" t="str">
        <f aca="false">IF(ISNUMBER(AM326),6,"")</f>
        <v/>
      </c>
      <c r="EE326" s="28" t="str">
        <f aca="false">IF(ISNUMBER(AQ326),7,"")</f>
        <v/>
      </c>
      <c r="EF326" s="28" t="str">
        <f aca="false">IF(ISNUMBER(AU326),8,"")</f>
        <v/>
      </c>
      <c r="EG326" s="28" t="str">
        <f aca="false">IF(ISNUMBER(AY326),9,"")</f>
        <v/>
      </c>
      <c r="EH326" s="28" t="str">
        <f aca="false">IF(ISNUMBER(BC326),10,"")</f>
        <v/>
      </c>
      <c r="EI326" s="28" t="str">
        <f aca="false">IF(ISNUMBER(BG326),11,"")</f>
        <v/>
      </c>
      <c r="EJ326" s="28" t="str">
        <f aca="false">IF(ISNUMBER(BK326),12,"")</f>
        <v/>
      </c>
      <c r="EK326" s="28" t="str">
        <f aca="false">IF(ISNUMBER(BO326),13,"")</f>
        <v/>
      </c>
      <c r="EL326" s="28" t="str">
        <f aca="false">IF(ISNUMBER(BS326),14,"")</f>
        <v/>
      </c>
      <c r="EM326" s="28" t="n">
        <f aca="false">IF(ISNUMBER(R326),R326*CW326,0)</f>
        <v>0</v>
      </c>
      <c r="EN326" s="28" t="n">
        <f aca="false">IF(ISNUMBER(V326),V326*CX326,0)</f>
        <v>0</v>
      </c>
      <c r="EO326" s="28" t="n">
        <f aca="false">IF(ISNUMBER(Z326),Z326*CY326,0)</f>
        <v>0</v>
      </c>
      <c r="EP326" s="28" t="n">
        <f aca="false">IF(ISNUMBER(AD326),AD326*CZ326,0)</f>
        <v>0</v>
      </c>
      <c r="EQ326" s="28" t="n">
        <f aca="false">IF(ISNUMBER(AH326),AH326*DA326,0)</f>
        <v>0</v>
      </c>
      <c r="ER326" s="28" t="n">
        <f aca="false">IF(ISNUMBER(AL326),AL326*DB326,0)</f>
        <v>0</v>
      </c>
      <c r="ES326" s="28" t="n">
        <f aca="false">IF(ISNUMBER(AP326),AP326*DC326,0)</f>
        <v>0</v>
      </c>
      <c r="ET326" s="28" t="n">
        <f aca="false">IF(ISNUMBER(AT326),AT326*DD326,0)</f>
        <v>0</v>
      </c>
      <c r="EU326" s="28" t="n">
        <f aca="false">IF(ISNUMBER(AX326),AX326*DE326,0)</f>
        <v>0</v>
      </c>
      <c r="EV326" s="28" t="n">
        <f aca="false">IF(ISNUMBER(BB326),BB326*DF326,0)</f>
        <v>0</v>
      </c>
      <c r="EW326" s="28" t="n">
        <f aca="false">IF(ISNUMBER(BF326),BF326*DG326,0)</f>
        <v>0</v>
      </c>
      <c r="EX326" s="28" t="n">
        <f aca="false">IF(ISNUMBER(BJ326),BJ326*DH326,0)</f>
        <v>0</v>
      </c>
      <c r="EY326" s="28" t="n">
        <f aca="false">IF(ISNUMBER(BN326),BN326*DI326,0)</f>
        <v>0</v>
      </c>
      <c r="EZ326" s="28" t="n">
        <f aca="false">IF(ISNUMBER(BR326),BR326*DJ326,0)</f>
        <v>0</v>
      </c>
      <c r="FA326" s="28" t="n">
        <f aca="false">IF(ISNUMBER(R326),CW326,0)</f>
        <v>0</v>
      </c>
      <c r="FB326" s="28" t="n">
        <f aca="false">IF(ISNUMBER(V326),CX326,0)</f>
        <v>0</v>
      </c>
      <c r="FC326" s="28" t="n">
        <f aca="false">IF(ISNUMBER(Z326),CY326,0)</f>
        <v>0</v>
      </c>
      <c r="FD326" s="28" t="n">
        <f aca="false">IF(ISNUMBER(AD326),CZ326,0)</f>
        <v>0</v>
      </c>
      <c r="FE326" s="28" t="n">
        <f aca="false">IF(ISNUMBER(AH326),DA326,0)</f>
        <v>0</v>
      </c>
      <c r="FF326" s="28" t="n">
        <f aca="false">IF(ISNUMBER(AL326),DB326,0)</f>
        <v>0</v>
      </c>
      <c r="FG326" s="28" t="n">
        <f aca="false">IF(ISNUMBER(AP326),DC326,0)</f>
        <v>0</v>
      </c>
      <c r="FH326" s="28" t="n">
        <f aca="false">IF(ISNUMBER(AT326),DD326,0)</f>
        <v>0</v>
      </c>
      <c r="FI326" s="28" t="n">
        <f aca="false">IF(ISNUMBER(AX326),DE326,0)</f>
        <v>0</v>
      </c>
      <c r="FJ326" s="28" t="n">
        <f aca="false">IF(ISNUMBER(BB326),DF326,0)</f>
        <v>0</v>
      </c>
      <c r="FK326" s="28" t="n">
        <f aca="false">IF(ISNUMBER(BF326),DG326,0)</f>
        <v>0</v>
      </c>
      <c r="FL326" s="28" t="n">
        <f aca="false">IF(ISNUMBER(BJ326),DH326,0)</f>
        <v>0</v>
      </c>
      <c r="FM326" s="28" t="n">
        <f aca="false">IF(ISNUMBER(BN326),DI326,0)</f>
        <v>0</v>
      </c>
      <c r="FN326" s="28" t="n">
        <f aca="false">IF(ISNUMBER(BR326),DJ326,0)</f>
        <v>0</v>
      </c>
      <c r="FO326" s="28" t="str">
        <f aca="false">IFERROR(INDEX(Lists!$G$2:$G$20,MATCH($I326&amp;"|"&amp;$J326,Lists!$F$2:$F$20,0)),"")</f>
        <v>BM Exam</v>
      </c>
    </row>
    <row r="327" customFormat="false" ht="19.5" hidden="false" customHeight="true" outlineLevel="0" collapsed="false">
      <c r="A327" s="29" t="s">
        <v>498</v>
      </c>
      <c r="B327" s="29" t="s">
        <v>499</v>
      </c>
      <c r="C327" s="30" t="s">
        <v>192</v>
      </c>
      <c r="D327" s="30" t="s">
        <v>625</v>
      </c>
      <c r="E327" s="31"/>
      <c r="F327" s="30"/>
      <c r="G327" s="30"/>
      <c r="H327" s="32" t="s">
        <v>428</v>
      </c>
      <c r="I327" s="33" t="s">
        <v>365</v>
      </c>
      <c r="J327" s="32" t="s">
        <v>25</v>
      </c>
      <c r="K327" s="34" t="str">
        <f aca="false">IF(OR(M327="",$E327=""),"",M327-$E327)</f>
        <v/>
      </c>
      <c r="L327" s="35" t="str">
        <f aca="false">IF(SUM(FA327:FN327)=0,"",SUM(EM327:EZ327)/SUM(FA327:FN327))</f>
        <v/>
      </c>
      <c r="M327" s="36" t="str">
        <f aca="false">IF(OR(L327="",FO327=""),"",IFERROR(MATCH(L327,INDEX(Boundaries!$B$2:$I$30,MATCH(FO327,Boundaries!$A$2:$A$30,0),0),1)-1,""))</f>
        <v/>
      </c>
      <c r="N327" s="37" t="str">
        <f aca="false">IF(COUNT($DY327:$EL327)&lt;2,"",INDEX($DK327:$DX327,MAX($DY327:$EL327))-INDEX($DK327:$DX327,MIN($DY327:$EL327)))</f>
        <v/>
      </c>
      <c r="O327" s="37" t="str">
        <f aca="false">IF(COUNT($DY327:$EL327)&lt;2,"",INDEX($DK327:$DX327,MAX($DY327:$EL327))-INDEX($DK327:$DX327,LARGE($DY327:$EL327,2)))</f>
        <v/>
      </c>
      <c r="P327" s="38" t="str">
        <f aca="false">IF(K327="","",IF(K327&gt;=0,"On/above target",IF(AND(N327&lt;&gt;"",N327&gt;=0.5),"Improving towards target",IF(AND(O327&lt;&gt;"",O327&lt;=-0.5),"Declining","Stable below target"))))</f>
        <v/>
      </c>
      <c r="Q327" s="39"/>
      <c r="R327" s="40" t="str">
        <f aca="false">IF(OR(Q327="",BU327=""),"",Q327/BU327*100)</f>
        <v/>
      </c>
      <c r="S327" s="41" t="str">
        <f aca="false">IF(R327="","",IFERROR(MATCH(R327,INDEX(Boundaries!$B$2:$I$30,MATCH(CI327,Boundaries!$A$2:$A$30,0),0),1)-1,""))</f>
        <v/>
      </c>
      <c r="T327" s="42" t="str">
        <f aca="false">IF(OR(S327="",$E327=""),"",S327-$E327)</f>
        <v/>
      </c>
      <c r="U327" s="39"/>
      <c r="V327" s="40" t="str">
        <f aca="false">IF(OR(U327="",BV327=""),"",U327/BV327*100)</f>
        <v/>
      </c>
      <c r="W327" s="41" t="str">
        <f aca="false">IF(V327="","",IFERROR(MATCH(V327,INDEX(Boundaries!$B$2:$I$30,MATCH(CJ327,Boundaries!$A$2:$A$30,0),0),1)-1,""))</f>
        <v/>
      </c>
      <c r="X327" s="42" t="str">
        <f aca="false">IF(OR(W327="",$E327=""),"",W327-$E327)</f>
        <v/>
      </c>
      <c r="Y327" s="39"/>
      <c r="Z327" s="40" t="str">
        <f aca="false">IF(OR(Y327="",BW327=""),"",Y327/BW327*100)</f>
        <v/>
      </c>
      <c r="AA327" s="41" t="str">
        <f aca="false">IF(Z327="","",IFERROR(MATCH(Z327,INDEX(Boundaries!$B$2:$I$30,MATCH(CK327,Boundaries!$A$2:$A$30,0),0),1)-1,""))</f>
        <v/>
      </c>
      <c r="AB327" s="42" t="str">
        <f aca="false">IF(OR(AA327="",$E327=""),"",AA327-$E327)</f>
        <v/>
      </c>
      <c r="AC327" s="39"/>
      <c r="AD327" s="40" t="str">
        <f aca="false">IF(OR(AC327="",BX327=""),"",AC327/BX327*100)</f>
        <v/>
      </c>
      <c r="AE327" s="41" t="str">
        <f aca="false">IF(AD327="","",IFERROR(MATCH(AD327,INDEX(Boundaries!$B$2:$I$30,MATCH(CL327,Boundaries!$A$2:$A$30,0),0),1)-1,""))</f>
        <v/>
      </c>
      <c r="AF327" s="42" t="str">
        <f aca="false">IF(OR(AE327="",$E327=""),"",AE327-$E327)</f>
        <v/>
      </c>
      <c r="AG327" s="39"/>
      <c r="AH327" s="40" t="str">
        <f aca="false">IF(OR(AG327="",BY327=""),"",AG327/BY327*100)</f>
        <v/>
      </c>
      <c r="AI327" s="41" t="str">
        <f aca="false">IF(AH327="","",IFERROR(MATCH(AH327,INDEX(Boundaries!$B$2:$I$30,MATCH(CM327,Boundaries!$A$2:$A$30,0),0),1)-1,""))</f>
        <v/>
      </c>
      <c r="AJ327" s="42" t="str">
        <f aca="false">IF(OR(AI327="",$E327=""),"",AI327-$E327)</f>
        <v/>
      </c>
      <c r="AK327" s="39"/>
      <c r="AL327" s="40" t="str">
        <f aca="false">IF(OR(AK327="",BZ327=""),"",AK327/BZ327*100)</f>
        <v/>
      </c>
      <c r="AM327" s="41" t="str">
        <f aca="false">IF(AL327="","",IFERROR(MATCH(AL327,INDEX(Boundaries!$B$2:$I$30,MATCH(CN327,Boundaries!$A$2:$A$30,0),0),1)-1,""))</f>
        <v/>
      </c>
      <c r="AN327" s="42" t="str">
        <f aca="false">IF(OR(AM327="",$E327=""),"",AM327-$E327)</f>
        <v/>
      </c>
      <c r="AO327" s="39"/>
      <c r="AP327" s="40" t="str">
        <f aca="false">IF(OR(AO327="",CA327=""),"",AO327/CA327*100)</f>
        <v/>
      </c>
      <c r="AQ327" s="41" t="str">
        <f aca="false">IF(AP327="","",IFERROR(MATCH(AP327,INDEX(Boundaries!$B$2:$I$30,MATCH(CO327,Boundaries!$A$2:$A$30,0),0),1)-1,""))</f>
        <v/>
      </c>
      <c r="AR327" s="42" t="str">
        <f aca="false">IF(OR(AQ327="",$E327=""),"",AQ327-$E327)</f>
        <v/>
      </c>
      <c r="AS327" s="39"/>
      <c r="AT327" s="40" t="str">
        <f aca="false">IF(OR(AS327="",CB327=""),"",AS327/CB327*100)</f>
        <v/>
      </c>
      <c r="AU327" s="41" t="str">
        <f aca="false">IF(AT327="","",IFERROR(MATCH(AT327,INDEX(Boundaries!$B$2:$I$30,MATCH(CP327,Boundaries!$A$2:$A$30,0),0),1)-1,""))</f>
        <v/>
      </c>
      <c r="AV327" s="42" t="str">
        <f aca="false">IF(OR(AU327="",$E327=""),"",AU327-$E327)</f>
        <v/>
      </c>
      <c r="AW327" s="39"/>
      <c r="AX327" s="40" t="str">
        <f aca="false">IF(OR(AW327="",CC327=""),"",AW327/CC327*100)</f>
        <v/>
      </c>
      <c r="AY327" s="41" t="str">
        <f aca="false">IF(AX327="","",IFERROR(MATCH(AX327,INDEX(Boundaries!$B$2:$I$30,MATCH(CQ327,Boundaries!$A$2:$A$30,0),0),1)-1,""))</f>
        <v/>
      </c>
      <c r="AZ327" s="42" t="str">
        <f aca="false">IF(OR(AY327="",$E327=""),"",AY327-$E327)</f>
        <v/>
      </c>
      <c r="BA327" s="39"/>
      <c r="BB327" s="40" t="str">
        <f aca="false">IF(OR(BA327="",CD327=""),"",BA327/CD327*100)</f>
        <v/>
      </c>
      <c r="BC327" s="41" t="str">
        <f aca="false">IF(BB327="","",IFERROR(MATCH(BB327,INDEX(Boundaries!$B$2:$I$30,MATCH(CR327,Boundaries!$A$2:$A$30,0),0),1)-1,""))</f>
        <v/>
      </c>
      <c r="BD327" s="42" t="str">
        <f aca="false">IF(OR(BC327="",$E327=""),"",BC327-$E327)</f>
        <v/>
      </c>
      <c r="BE327" s="39"/>
      <c r="BF327" s="40" t="str">
        <f aca="false">IF(OR(BE327="",CE327=""),"",BE327/CE327*100)</f>
        <v/>
      </c>
      <c r="BG327" s="41" t="str">
        <f aca="false">IF(BF327="","",IFERROR(MATCH(BF327,INDEX(Boundaries!$B$2:$I$30,MATCH(CS327,Boundaries!$A$2:$A$30,0),0),1)-1,""))</f>
        <v/>
      </c>
      <c r="BH327" s="42" t="str">
        <f aca="false">IF(OR(BG327="",$E327=""),"",BG327-$E327)</f>
        <v/>
      </c>
      <c r="BI327" s="39"/>
      <c r="BJ327" s="40" t="str">
        <f aca="false">IF(OR(BI327="",CF327=""),"",BI327/CF327*100)</f>
        <v/>
      </c>
      <c r="BK327" s="41" t="str">
        <f aca="false">IF(BJ327="","",IFERROR(MATCH(BJ327,INDEX(Boundaries!$B$2:$I$30,MATCH(CT327,Boundaries!$A$2:$A$30,0),0),1)-1,""))</f>
        <v/>
      </c>
      <c r="BL327" s="42" t="str">
        <f aca="false">IF(OR(BK327="",$E327=""),"",BK327-$E327)</f>
        <v/>
      </c>
      <c r="BM327" s="39"/>
      <c r="BN327" s="40" t="str">
        <f aca="false">IF(OR(BM327="",CG327=""),"",BM327/CG327*100)</f>
        <v/>
      </c>
      <c r="BO327" s="41" t="str">
        <f aca="false">IF(BN327="","",IFERROR(MATCH(BN327,INDEX(Boundaries!$B$2:$I$30,MATCH(CU327,Boundaries!$A$2:$A$30,0),0),1)-1,""))</f>
        <v/>
      </c>
      <c r="BP327" s="42" t="str">
        <f aca="false">IF(OR(BO327="",$E327=""),"",BO327-$E327)</f>
        <v/>
      </c>
      <c r="BQ327" s="39"/>
      <c r="BR327" s="40" t="str">
        <f aca="false">IF(OR(BQ327="",CH327=""),"",BQ327/CH327*100)</f>
        <v/>
      </c>
      <c r="BS327" s="41" t="str">
        <f aca="false">IF(BR327="","",IFERROR(MATCH(BR327,INDEX(Boundaries!$B$2:$I$30,MATCH(CV327,Boundaries!$A$2:$A$30,0),0),1)-1,""))</f>
        <v/>
      </c>
      <c r="BT327" s="42" t="str">
        <f aca="false">IF(OR(BS327="",$E327=""),"",BS327-$E327)</f>
        <v/>
      </c>
      <c r="BU327" s="28" t="n">
        <f aca="false">IFERROR(INDEX(Assessments!$H$2:$H$600,MATCH($H327&amp;"|"&amp;$I327&amp;"|"&amp;$J327&amp;"|"&amp;1,Assessments!$A$2:$A$600,0)),"")</f>
        <v>24</v>
      </c>
      <c r="BV327" s="28" t="n">
        <f aca="false">IFERROR(INDEX(Assessments!$H$2:$H$600,MATCH($H327&amp;"|"&amp;$I327&amp;"|"&amp;$J327&amp;"|"&amp;2,Assessments!$A$2:$A$600,0)),"")</f>
        <v>20</v>
      </c>
      <c r="BW327" s="28" t="n">
        <f aca="false">IFERROR(INDEX(Assessments!$H$2:$H$600,MATCH($H327&amp;"|"&amp;$I327&amp;"|"&amp;$J327&amp;"|"&amp;3,Assessments!$A$2:$A$600,0)),"")</f>
        <v>20</v>
      </c>
      <c r="BX327" s="28" t="n">
        <f aca="false">IFERROR(INDEX(Assessments!$H$2:$H$600,MATCH($H327&amp;"|"&amp;$I327&amp;"|"&amp;$J327&amp;"|"&amp;4,Assessments!$A$2:$A$600,0)),"")</f>
        <v>40</v>
      </c>
      <c r="BY327" s="28" t="n">
        <f aca="false">IFERROR(INDEX(Assessments!$H$2:$H$600,MATCH($H327&amp;"|"&amp;$I327&amp;"|"&amp;$J327&amp;"|"&amp;5,Assessments!$A$2:$A$600,0)),"")</f>
        <v>30</v>
      </c>
      <c r="BZ327" s="28" t="n">
        <f aca="false">IFERROR(INDEX(Assessments!$H$2:$H$600,MATCH($H327&amp;"|"&amp;$I327&amp;"|"&amp;$J327&amp;"|"&amp;6,Assessments!$A$2:$A$600,0)),"")</f>
        <v>20</v>
      </c>
      <c r="CA327" s="28" t="n">
        <f aca="false">IFERROR(INDEX(Assessments!$H$2:$H$600,MATCH($H327&amp;"|"&amp;$I327&amp;"|"&amp;$J327&amp;"|"&amp;7,Assessments!$A$2:$A$600,0)),"")</f>
        <v>50</v>
      </c>
      <c r="CB327" s="28" t="str">
        <f aca="false">IFERROR(INDEX(Assessments!$H$2:$H$600,MATCH($H327&amp;"|"&amp;$I327&amp;"|"&amp;$J327&amp;"|"&amp;8,Assessments!$A$2:$A$600,0)),"")</f>
        <v/>
      </c>
      <c r="CC327" s="28" t="str">
        <f aca="false">IFERROR(INDEX(Assessments!$H$2:$H$600,MATCH($H327&amp;"|"&amp;$I327&amp;"|"&amp;$J327&amp;"|"&amp;9,Assessments!$A$2:$A$600,0)),"")</f>
        <v/>
      </c>
      <c r="CD327" s="28" t="str">
        <f aca="false">IFERROR(INDEX(Assessments!$H$2:$H$600,MATCH($H327&amp;"|"&amp;$I327&amp;"|"&amp;$J327&amp;"|"&amp;10,Assessments!$A$2:$A$600,0)),"")</f>
        <v/>
      </c>
      <c r="CE327" s="28" t="str">
        <f aca="false">IFERROR(INDEX(Assessments!$H$2:$H$600,MATCH($H327&amp;"|"&amp;$I327&amp;"|"&amp;$J327&amp;"|"&amp;11,Assessments!$A$2:$A$600,0)),"")</f>
        <v/>
      </c>
      <c r="CF327" s="28" t="str">
        <f aca="false">IFERROR(INDEX(Assessments!$H$2:$H$600,MATCH($H327&amp;"|"&amp;$I327&amp;"|"&amp;$J327&amp;"|"&amp;12,Assessments!$A$2:$A$600,0)),"")</f>
        <v/>
      </c>
      <c r="CG327" s="28" t="str">
        <f aca="false">IFERROR(INDEX(Assessments!$H$2:$H$600,MATCH($H327&amp;"|"&amp;$I327&amp;"|"&amp;$J327&amp;"|"&amp;13,Assessments!$A$2:$A$600,0)),"")</f>
        <v/>
      </c>
      <c r="CH327" s="28" t="str">
        <f aca="false">IFERROR(INDEX(Assessments!$H$2:$H$600,MATCH($H327&amp;"|"&amp;$I327&amp;"|"&amp;$J327&amp;"|"&amp;14,Assessments!$A$2:$A$600,0)),"")</f>
        <v/>
      </c>
      <c r="CI327" s="28" t="str">
        <f aca="false">IFERROR(INDEX(Assessments!$I$2:$I$600,MATCH($H327&amp;"|"&amp;$I327&amp;"|"&amp;$J327&amp;"|"&amp;1,Assessments!$A$2:$A$600,0)),"")</f>
        <v>BM Test</v>
      </c>
      <c r="CJ327" s="28" t="str">
        <f aca="false">IFERROR(INDEX(Assessments!$I$2:$I$600,MATCH($H327&amp;"|"&amp;$I327&amp;"|"&amp;$J327&amp;"|"&amp;2,Assessments!$A$2:$A$600,0)),"")</f>
        <v>BM Test</v>
      </c>
      <c r="CK327" s="28" t="str">
        <f aca="false">IFERROR(INDEX(Assessments!$I$2:$I$600,MATCH($H327&amp;"|"&amp;$I327&amp;"|"&amp;$J327&amp;"|"&amp;3,Assessments!$A$2:$A$600,0)),"")</f>
        <v>BM Test</v>
      </c>
      <c r="CL327" s="28" t="str">
        <f aca="false">IFERROR(INDEX(Assessments!$I$2:$I$600,MATCH($H327&amp;"|"&amp;$I327&amp;"|"&amp;$J327&amp;"|"&amp;4,Assessments!$A$2:$A$600,0)),"")</f>
        <v>BM Exam</v>
      </c>
      <c r="CM327" s="28" t="str">
        <f aca="false">IFERROR(INDEX(Assessments!$I$2:$I$600,MATCH($H327&amp;"|"&amp;$I327&amp;"|"&amp;$J327&amp;"|"&amp;5,Assessments!$A$2:$A$600,0)),"")</f>
        <v>BM Test</v>
      </c>
      <c r="CN327" s="28" t="str">
        <f aca="false">IFERROR(INDEX(Assessments!$I$2:$I$600,MATCH($H327&amp;"|"&amp;$I327&amp;"|"&amp;$J327&amp;"|"&amp;6,Assessments!$A$2:$A$600,0)),"")</f>
        <v>BM Test</v>
      </c>
      <c r="CO327" s="28" t="str">
        <f aca="false">IFERROR(INDEX(Assessments!$I$2:$I$600,MATCH($H327&amp;"|"&amp;$I327&amp;"|"&amp;$J327&amp;"|"&amp;7,Assessments!$A$2:$A$600,0)),"")</f>
        <v>BM Exam</v>
      </c>
      <c r="CP327" s="28" t="str">
        <f aca="false">IFERROR(INDEX(Assessments!$I$2:$I$600,MATCH($H327&amp;"|"&amp;$I327&amp;"|"&amp;$J327&amp;"|"&amp;8,Assessments!$A$2:$A$600,0)),"")</f>
        <v/>
      </c>
      <c r="CQ327" s="28" t="str">
        <f aca="false">IFERROR(INDEX(Assessments!$I$2:$I$600,MATCH($H327&amp;"|"&amp;$I327&amp;"|"&amp;$J327&amp;"|"&amp;9,Assessments!$A$2:$A$600,0)),"")</f>
        <v/>
      </c>
      <c r="CR327" s="28" t="str">
        <f aca="false">IFERROR(INDEX(Assessments!$I$2:$I$600,MATCH($H327&amp;"|"&amp;$I327&amp;"|"&amp;$J327&amp;"|"&amp;10,Assessments!$A$2:$A$600,0)),"")</f>
        <v/>
      </c>
      <c r="CS327" s="28" t="str">
        <f aca="false">IFERROR(INDEX(Assessments!$I$2:$I$600,MATCH($H327&amp;"|"&amp;$I327&amp;"|"&amp;$J327&amp;"|"&amp;11,Assessments!$A$2:$A$600,0)),"")</f>
        <v/>
      </c>
      <c r="CT327" s="28" t="str">
        <f aca="false">IFERROR(INDEX(Assessments!$I$2:$I$600,MATCH($H327&amp;"|"&amp;$I327&amp;"|"&amp;$J327&amp;"|"&amp;12,Assessments!$A$2:$A$600,0)),"")</f>
        <v/>
      </c>
      <c r="CU327" s="28" t="str">
        <f aca="false">IFERROR(INDEX(Assessments!$I$2:$I$600,MATCH($H327&amp;"|"&amp;$I327&amp;"|"&amp;$J327&amp;"|"&amp;13,Assessments!$A$2:$A$600,0)),"")</f>
        <v/>
      </c>
      <c r="CV327" s="28" t="str">
        <f aca="false">IFERROR(INDEX(Assessments!$I$2:$I$600,MATCH($H327&amp;"|"&amp;$I327&amp;"|"&amp;$J327&amp;"|"&amp;14,Assessments!$A$2:$A$600,0)),"")</f>
        <v/>
      </c>
      <c r="CW327" s="28" t="n">
        <f aca="false">IFERROR(INDEX(Assessments!$J$2:$J$600,MATCH($H327&amp;"|"&amp;$I327&amp;"|"&amp;$J327&amp;"|"&amp;1,Assessments!$A$2:$A$600,0)),0)</f>
        <v>1</v>
      </c>
      <c r="CX327" s="28" t="n">
        <f aca="false">IFERROR(INDEX(Assessments!$J$2:$J$600,MATCH($H327&amp;"|"&amp;$I327&amp;"|"&amp;$J327&amp;"|"&amp;2,Assessments!$A$2:$A$600,0)),0)</f>
        <v>1</v>
      </c>
      <c r="CY327" s="28" t="n">
        <f aca="false">IFERROR(INDEX(Assessments!$J$2:$J$600,MATCH($H327&amp;"|"&amp;$I327&amp;"|"&amp;$J327&amp;"|"&amp;3,Assessments!$A$2:$A$600,0)),0)</f>
        <v>1</v>
      </c>
      <c r="CZ327" s="28" t="n">
        <f aca="false">IFERROR(INDEX(Assessments!$J$2:$J$600,MATCH($H327&amp;"|"&amp;$I327&amp;"|"&amp;$J327&amp;"|"&amp;4,Assessments!$A$2:$A$600,0)),0)</f>
        <v>2</v>
      </c>
      <c r="DA327" s="28" t="n">
        <f aca="false">IFERROR(INDEX(Assessments!$J$2:$J$600,MATCH($H327&amp;"|"&amp;$I327&amp;"|"&amp;$J327&amp;"|"&amp;5,Assessments!$A$2:$A$600,0)),0)</f>
        <v>1</v>
      </c>
      <c r="DB327" s="28" t="n">
        <f aca="false">IFERROR(INDEX(Assessments!$J$2:$J$600,MATCH($H327&amp;"|"&amp;$I327&amp;"|"&amp;$J327&amp;"|"&amp;6,Assessments!$A$2:$A$600,0)),0)</f>
        <v>1</v>
      </c>
      <c r="DC327" s="28" t="n">
        <f aca="false">IFERROR(INDEX(Assessments!$J$2:$J$600,MATCH($H327&amp;"|"&amp;$I327&amp;"|"&amp;$J327&amp;"|"&amp;7,Assessments!$A$2:$A$600,0)),0)</f>
        <v>2</v>
      </c>
      <c r="DD327" s="28" t="n">
        <f aca="false">IFERROR(INDEX(Assessments!$J$2:$J$600,MATCH($H327&amp;"|"&amp;$I327&amp;"|"&amp;$J327&amp;"|"&amp;8,Assessments!$A$2:$A$600,0)),0)</f>
        <v>0</v>
      </c>
      <c r="DE327" s="28" t="n">
        <f aca="false">IFERROR(INDEX(Assessments!$J$2:$J$600,MATCH($H327&amp;"|"&amp;$I327&amp;"|"&amp;$J327&amp;"|"&amp;9,Assessments!$A$2:$A$600,0)),0)</f>
        <v>0</v>
      </c>
      <c r="DF327" s="28" t="n">
        <f aca="false">IFERROR(INDEX(Assessments!$J$2:$J$600,MATCH($H327&amp;"|"&amp;$I327&amp;"|"&amp;$J327&amp;"|"&amp;10,Assessments!$A$2:$A$600,0)),0)</f>
        <v>0</v>
      </c>
      <c r="DG327" s="28" t="n">
        <f aca="false">IFERROR(INDEX(Assessments!$J$2:$J$600,MATCH($H327&amp;"|"&amp;$I327&amp;"|"&amp;$J327&amp;"|"&amp;11,Assessments!$A$2:$A$600,0)),0)</f>
        <v>0</v>
      </c>
      <c r="DH327" s="28" t="n">
        <f aca="false">IFERROR(INDEX(Assessments!$J$2:$J$600,MATCH($H327&amp;"|"&amp;$I327&amp;"|"&amp;$J327&amp;"|"&amp;12,Assessments!$A$2:$A$600,0)),0)</f>
        <v>0</v>
      </c>
      <c r="DI327" s="28" t="n">
        <f aca="false">IFERROR(INDEX(Assessments!$J$2:$J$600,MATCH($H327&amp;"|"&amp;$I327&amp;"|"&amp;$J327&amp;"|"&amp;13,Assessments!$A$2:$A$600,0)),0)</f>
        <v>0</v>
      </c>
      <c r="DJ327" s="28" t="n">
        <f aca="false">IFERROR(INDEX(Assessments!$J$2:$J$600,MATCH($H327&amp;"|"&amp;$I327&amp;"|"&amp;$J327&amp;"|"&amp;14,Assessments!$A$2:$A$600,0)),0)</f>
        <v>0</v>
      </c>
      <c r="DK327" s="28" t="str">
        <f aca="false">S327</f>
        <v/>
      </c>
      <c r="DL327" s="28" t="str">
        <f aca="false">W327</f>
        <v/>
      </c>
      <c r="DM327" s="28" t="str">
        <f aca="false">AA327</f>
        <v/>
      </c>
      <c r="DN327" s="28" t="str">
        <f aca="false">AE327</f>
        <v/>
      </c>
      <c r="DO327" s="28" t="str">
        <f aca="false">AI327</f>
        <v/>
      </c>
      <c r="DP327" s="28" t="str">
        <f aca="false">AM327</f>
        <v/>
      </c>
      <c r="DQ327" s="28" t="str">
        <f aca="false">AQ327</f>
        <v/>
      </c>
      <c r="DR327" s="28" t="str">
        <f aca="false">AU327</f>
        <v/>
      </c>
      <c r="DS327" s="28" t="str">
        <f aca="false">AY327</f>
        <v/>
      </c>
      <c r="DT327" s="28" t="str">
        <f aca="false">BC327</f>
        <v/>
      </c>
      <c r="DU327" s="28" t="str">
        <f aca="false">BG327</f>
        <v/>
      </c>
      <c r="DV327" s="28" t="str">
        <f aca="false">BK327</f>
        <v/>
      </c>
      <c r="DW327" s="28" t="str">
        <f aca="false">BO327</f>
        <v/>
      </c>
      <c r="DX327" s="28" t="str">
        <f aca="false">BS327</f>
        <v/>
      </c>
      <c r="DY327" s="28" t="str">
        <f aca="false">IF(ISNUMBER(S327),1,"")</f>
        <v/>
      </c>
      <c r="DZ327" s="28" t="str">
        <f aca="false">IF(ISNUMBER(W327),2,"")</f>
        <v/>
      </c>
      <c r="EA327" s="28" t="str">
        <f aca="false">IF(ISNUMBER(AA327),3,"")</f>
        <v/>
      </c>
      <c r="EB327" s="28" t="str">
        <f aca="false">IF(ISNUMBER(AE327),4,"")</f>
        <v/>
      </c>
      <c r="EC327" s="28" t="str">
        <f aca="false">IF(ISNUMBER(AI327),5,"")</f>
        <v/>
      </c>
      <c r="ED327" s="28" t="str">
        <f aca="false">IF(ISNUMBER(AM327),6,"")</f>
        <v/>
      </c>
      <c r="EE327" s="28" t="str">
        <f aca="false">IF(ISNUMBER(AQ327),7,"")</f>
        <v/>
      </c>
      <c r="EF327" s="28" t="str">
        <f aca="false">IF(ISNUMBER(AU327),8,"")</f>
        <v/>
      </c>
      <c r="EG327" s="28" t="str">
        <f aca="false">IF(ISNUMBER(AY327),9,"")</f>
        <v/>
      </c>
      <c r="EH327" s="28" t="str">
        <f aca="false">IF(ISNUMBER(BC327),10,"")</f>
        <v/>
      </c>
      <c r="EI327" s="28" t="str">
        <f aca="false">IF(ISNUMBER(BG327),11,"")</f>
        <v/>
      </c>
      <c r="EJ327" s="28" t="str">
        <f aca="false">IF(ISNUMBER(BK327),12,"")</f>
        <v/>
      </c>
      <c r="EK327" s="28" t="str">
        <f aca="false">IF(ISNUMBER(BO327),13,"")</f>
        <v/>
      </c>
      <c r="EL327" s="28" t="str">
        <f aca="false">IF(ISNUMBER(BS327),14,"")</f>
        <v/>
      </c>
      <c r="EM327" s="28" t="n">
        <f aca="false">IF(ISNUMBER(R327),R327*CW327,0)</f>
        <v>0</v>
      </c>
      <c r="EN327" s="28" t="n">
        <f aca="false">IF(ISNUMBER(V327),V327*CX327,0)</f>
        <v>0</v>
      </c>
      <c r="EO327" s="28" t="n">
        <f aca="false">IF(ISNUMBER(Z327),Z327*CY327,0)</f>
        <v>0</v>
      </c>
      <c r="EP327" s="28" t="n">
        <f aca="false">IF(ISNUMBER(AD327),AD327*CZ327,0)</f>
        <v>0</v>
      </c>
      <c r="EQ327" s="28" t="n">
        <f aca="false">IF(ISNUMBER(AH327),AH327*DA327,0)</f>
        <v>0</v>
      </c>
      <c r="ER327" s="28" t="n">
        <f aca="false">IF(ISNUMBER(AL327),AL327*DB327,0)</f>
        <v>0</v>
      </c>
      <c r="ES327" s="28" t="n">
        <f aca="false">IF(ISNUMBER(AP327),AP327*DC327,0)</f>
        <v>0</v>
      </c>
      <c r="ET327" s="28" t="n">
        <f aca="false">IF(ISNUMBER(AT327),AT327*DD327,0)</f>
        <v>0</v>
      </c>
      <c r="EU327" s="28" t="n">
        <f aca="false">IF(ISNUMBER(AX327),AX327*DE327,0)</f>
        <v>0</v>
      </c>
      <c r="EV327" s="28" t="n">
        <f aca="false">IF(ISNUMBER(BB327),BB327*DF327,0)</f>
        <v>0</v>
      </c>
      <c r="EW327" s="28" t="n">
        <f aca="false">IF(ISNUMBER(BF327),BF327*DG327,0)</f>
        <v>0</v>
      </c>
      <c r="EX327" s="28" t="n">
        <f aca="false">IF(ISNUMBER(BJ327),BJ327*DH327,0)</f>
        <v>0</v>
      </c>
      <c r="EY327" s="28" t="n">
        <f aca="false">IF(ISNUMBER(BN327),BN327*DI327,0)</f>
        <v>0</v>
      </c>
      <c r="EZ327" s="28" t="n">
        <f aca="false">IF(ISNUMBER(BR327),BR327*DJ327,0)</f>
        <v>0</v>
      </c>
      <c r="FA327" s="28" t="n">
        <f aca="false">IF(ISNUMBER(R327),CW327,0)</f>
        <v>0</v>
      </c>
      <c r="FB327" s="28" t="n">
        <f aca="false">IF(ISNUMBER(V327),CX327,0)</f>
        <v>0</v>
      </c>
      <c r="FC327" s="28" t="n">
        <f aca="false">IF(ISNUMBER(Z327),CY327,0)</f>
        <v>0</v>
      </c>
      <c r="FD327" s="28" t="n">
        <f aca="false">IF(ISNUMBER(AD327),CZ327,0)</f>
        <v>0</v>
      </c>
      <c r="FE327" s="28" t="n">
        <f aca="false">IF(ISNUMBER(AH327),DA327,0)</f>
        <v>0</v>
      </c>
      <c r="FF327" s="28" t="n">
        <f aca="false">IF(ISNUMBER(AL327),DB327,0)</f>
        <v>0</v>
      </c>
      <c r="FG327" s="28" t="n">
        <f aca="false">IF(ISNUMBER(AP327),DC327,0)</f>
        <v>0</v>
      </c>
      <c r="FH327" s="28" t="n">
        <f aca="false">IF(ISNUMBER(AT327),DD327,0)</f>
        <v>0</v>
      </c>
      <c r="FI327" s="28" t="n">
        <f aca="false">IF(ISNUMBER(AX327),DE327,0)</f>
        <v>0</v>
      </c>
      <c r="FJ327" s="28" t="n">
        <f aca="false">IF(ISNUMBER(BB327),DF327,0)</f>
        <v>0</v>
      </c>
      <c r="FK327" s="28" t="n">
        <f aca="false">IF(ISNUMBER(BF327),DG327,0)</f>
        <v>0</v>
      </c>
      <c r="FL327" s="28" t="n">
        <f aca="false">IF(ISNUMBER(BJ327),DH327,0)</f>
        <v>0</v>
      </c>
      <c r="FM327" s="28" t="n">
        <f aca="false">IF(ISNUMBER(BN327),DI327,0)</f>
        <v>0</v>
      </c>
      <c r="FN327" s="28" t="n">
        <f aca="false">IF(ISNUMBER(BR327),DJ327,0)</f>
        <v>0</v>
      </c>
      <c r="FO327" s="28" t="str">
        <f aca="false">IFERROR(INDEX(Lists!$G$2:$G$20,MATCH($I327&amp;"|"&amp;$J327,Lists!$F$2:$F$20,0)),"")</f>
        <v>BM Exam</v>
      </c>
    </row>
    <row r="328" customFormat="false" ht="19.5" hidden="false" customHeight="true" outlineLevel="0" collapsed="false">
      <c r="A328" s="29" t="s">
        <v>628</v>
      </c>
      <c r="B328" s="29" t="s">
        <v>629</v>
      </c>
      <c r="C328" s="30" t="s">
        <v>192</v>
      </c>
      <c r="D328" s="30" t="s">
        <v>625</v>
      </c>
      <c r="E328" s="31"/>
      <c r="F328" s="30"/>
      <c r="G328" s="30"/>
      <c r="H328" s="32" t="s">
        <v>428</v>
      </c>
      <c r="I328" s="33" t="s">
        <v>365</v>
      </c>
      <c r="J328" s="32" t="s">
        <v>25</v>
      </c>
      <c r="K328" s="34" t="str">
        <f aca="false">IF(OR(M328="",$E328=""),"",M328-$E328)</f>
        <v/>
      </c>
      <c r="L328" s="35" t="str">
        <f aca="false">IF(SUM(FA328:FN328)=0,"",SUM(EM328:EZ328)/SUM(FA328:FN328))</f>
        <v/>
      </c>
      <c r="M328" s="36" t="str">
        <f aca="false">IF(OR(L328="",FO328=""),"",IFERROR(MATCH(L328,INDEX(Boundaries!$B$2:$I$30,MATCH(FO328,Boundaries!$A$2:$A$30,0),0),1)-1,""))</f>
        <v/>
      </c>
      <c r="N328" s="37" t="str">
        <f aca="false">IF(COUNT($DY328:$EL328)&lt;2,"",INDEX($DK328:$DX328,MAX($DY328:$EL328))-INDEX($DK328:$DX328,MIN($DY328:$EL328)))</f>
        <v/>
      </c>
      <c r="O328" s="37" t="str">
        <f aca="false">IF(COUNT($DY328:$EL328)&lt;2,"",INDEX($DK328:$DX328,MAX($DY328:$EL328))-INDEX($DK328:$DX328,LARGE($DY328:$EL328,2)))</f>
        <v/>
      </c>
      <c r="P328" s="38" t="str">
        <f aca="false">IF(K328="","",IF(K328&gt;=0,"On/above target",IF(AND(N328&lt;&gt;"",N328&gt;=0.5),"Improving towards target",IF(AND(O328&lt;&gt;"",O328&lt;=-0.5),"Declining","Stable below target"))))</f>
        <v/>
      </c>
      <c r="Q328" s="39"/>
      <c r="R328" s="40" t="str">
        <f aca="false">IF(OR(Q328="",BU328=""),"",Q328/BU328*100)</f>
        <v/>
      </c>
      <c r="S328" s="41" t="str">
        <f aca="false">IF(R328="","",IFERROR(MATCH(R328,INDEX(Boundaries!$B$2:$I$30,MATCH(CI328,Boundaries!$A$2:$A$30,0),0),1)-1,""))</f>
        <v/>
      </c>
      <c r="T328" s="42" t="str">
        <f aca="false">IF(OR(S328="",$E328=""),"",S328-$E328)</f>
        <v/>
      </c>
      <c r="U328" s="39"/>
      <c r="V328" s="40" t="str">
        <f aca="false">IF(OR(U328="",BV328=""),"",U328/BV328*100)</f>
        <v/>
      </c>
      <c r="W328" s="41" t="str">
        <f aca="false">IF(V328="","",IFERROR(MATCH(V328,INDEX(Boundaries!$B$2:$I$30,MATCH(CJ328,Boundaries!$A$2:$A$30,0),0),1)-1,""))</f>
        <v/>
      </c>
      <c r="X328" s="42" t="str">
        <f aca="false">IF(OR(W328="",$E328=""),"",W328-$E328)</f>
        <v/>
      </c>
      <c r="Y328" s="39"/>
      <c r="Z328" s="40" t="str">
        <f aca="false">IF(OR(Y328="",BW328=""),"",Y328/BW328*100)</f>
        <v/>
      </c>
      <c r="AA328" s="41" t="str">
        <f aca="false">IF(Z328="","",IFERROR(MATCH(Z328,INDEX(Boundaries!$B$2:$I$30,MATCH(CK328,Boundaries!$A$2:$A$30,0),0),1)-1,""))</f>
        <v/>
      </c>
      <c r="AB328" s="42" t="str">
        <f aca="false">IF(OR(AA328="",$E328=""),"",AA328-$E328)</f>
        <v/>
      </c>
      <c r="AC328" s="39"/>
      <c r="AD328" s="40" t="str">
        <f aca="false">IF(OR(AC328="",BX328=""),"",AC328/BX328*100)</f>
        <v/>
      </c>
      <c r="AE328" s="41" t="str">
        <f aca="false">IF(AD328="","",IFERROR(MATCH(AD328,INDEX(Boundaries!$B$2:$I$30,MATCH(CL328,Boundaries!$A$2:$A$30,0),0),1)-1,""))</f>
        <v/>
      </c>
      <c r="AF328" s="42" t="str">
        <f aca="false">IF(OR(AE328="",$E328=""),"",AE328-$E328)</f>
        <v/>
      </c>
      <c r="AG328" s="39"/>
      <c r="AH328" s="40" t="str">
        <f aca="false">IF(OR(AG328="",BY328=""),"",AG328/BY328*100)</f>
        <v/>
      </c>
      <c r="AI328" s="41" t="str">
        <f aca="false">IF(AH328="","",IFERROR(MATCH(AH328,INDEX(Boundaries!$B$2:$I$30,MATCH(CM328,Boundaries!$A$2:$A$30,0),0),1)-1,""))</f>
        <v/>
      </c>
      <c r="AJ328" s="42" t="str">
        <f aca="false">IF(OR(AI328="",$E328=""),"",AI328-$E328)</f>
        <v/>
      </c>
      <c r="AK328" s="39"/>
      <c r="AL328" s="40" t="str">
        <f aca="false">IF(OR(AK328="",BZ328=""),"",AK328/BZ328*100)</f>
        <v/>
      </c>
      <c r="AM328" s="41" t="str">
        <f aca="false">IF(AL328="","",IFERROR(MATCH(AL328,INDEX(Boundaries!$B$2:$I$30,MATCH(CN328,Boundaries!$A$2:$A$30,0),0),1)-1,""))</f>
        <v/>
      </c>
      <c r="AN328" s="42" t="str">
        <f aca="false">IF(OR(AM328="",$E328=""),"",AM328-$E328)</f>
        <v/>
      </c>
      <c r="AO328" s="39"/>
      <c r="AP328" s="40" t="str">
        <f aca="false">IF(OR(AO328="",CA328=""),"",AO328/CA328*100)</f>
        <v/>
      </c>
      <c r="AQ328" s="41" t="str">
        <f aca="false">IF(AP328="","",IFERROR(MATCH(AP328,INDEX(Boundaries!$B$2:$I$30,MATCH(CO328,Boundaries!$A$2:$A$30,0),0),1)-1,""))</f>
        <v/>
      </c>
      <c r="AR328" s="42" t="str">
        <f aca="false">IF(OR(AQ328="",$E328=""),"",AQ328-$E328)</f>
        <v/>
      </c>
      <c r="AS328" s="39"/>
      <c r="AT328" s="40" t="str">
        <f aca="false">IF(OR(AS328="",CB328=""),"",AS328/CB328*100)</f>
        <v/>
      </c>
      <c r="AU328" s="41" t="str">
        <f aca="false">IF(AT328="","",IFERROR(MATCH(AT328,INDEX(Boundaries!$B$2:$I$30,MATCH(CP328,Boundaries!$A$2:$A$30,0),0),1)-1,""))</f>
        <v/>
      </c>
      <c r="AV328" s="42" t="str">
        <f aca="false">IF(OR(AU328="",$E328=""),"",AU328-$E328)</f>
        <v/>
      </c>
      <c r="AW328" s="39"/>
      <c r="AX328" s="40" t="str">
        <f aca="false">IF(OR(AW328="",CC328=""),"",AW328/CC328*100)</f>
        <v/>
      </c>
      <c r="AY328" s="41" t="str">
        <f aca="false">IF(AX328="","",IFERROR(MATCH(AX328,INDEX(Boundaries!$B$2:$I$30,MATCH(CQ328,Boundaries!$A$2:$A$30,0),0),1)-1,""))</f>
        <v/>
      </c>
      <c r="AZ328" s="42" t="str">
        <f aca="false">IF(OR(AY328="",$E328=""),"",AY328-$E328)</f>
        <v/>
      </c>
      <c r="BA328" s="39"/>
      <c r="BB328" s="40" t="str">
        <f aca="false">IF(OR(BA328="",CD328=""),"",BA328/CD328*100)</f>
        <v/>
      </c>
      <c r="BC328" s="41" t="str">
        <f aca="false">IF(BB328="","",IFERROR(MATCH(BB328,INDEX(Boundaries!$B$2:$I$30,MATCH(CR328,Boundaries!$A$2:$A$30,0),0),1)-1,""))</f>
        <v/>
      </c>
      <c r="BD328" s="42" t="str">
        <f aca="false">IF(OR(BC328="",$E328=""),"",BC328-$E328)</f>
        <v/>
      </c>
      <c r="BE328" s="39"/>
      <c r="BF328" s="40" t="str">
        <f aca="false">IF(OR(BE328="",CE328=""),"",BE328/CE328*100)</f>
        <v/>
      </c>
      <c r="BG328" s="41" t="str">
        <f aca="false">IF(BF328="","",IFERROR(MATCH(BF328,INDEX(Boundaries!$B$2:$I$30,MATCH(CS328,Boundaries!$A$2:$A$30,0),0),1)-1,""))</f>
        <v/>
      </c>
      <c r="BH328" s="42" t="str">
        <f aca="false">IF(OR(BG328="",$E328=""),"",BG328-$E328)</f>
        <v/>
      </c>
      <c r="BI328" s="39"/>
      <c r="BJ328" s="40" t="str">
        <f aca="false">IF(OR(BI328="",CF328=""),"",BI328/CF328*100)</f>
        <v/>
      </c>
      <c r="BK328" s="41" t="str">
        <f aca="false">IF(BJ328="","",IFERROR(MATCH(BJ328,INDEX(Boundaries!$B$2:$I$30,MATCH(CT328,Boundaries!$A$2:$A$30,0),0),1)-1,""))</f>
        <v/>
      </c>
      <c r="BL328" s="42" t="str">
        <f aca="false">IF(OR(BK328="",$E328=""),"",BK328-$E328)</f>
        <v/>
      </c>
      <c r="BM328" s="39"/>
      <c r="BN328" s="40" t="str">
        <f aca="false">IF(OR(BM328="",CG328=""),"",BM328/CG328*100)</f>
        <v/>
      </c>
      <c r="BO328" s="41" t="str">
        <f aca="false">IF(BN328="","",IFERROR(MATCH(BN328,INDEX(Boundaries!$B$2:$I$30,MATCH(CU328,Boundaries!$A$2:$A$30,0),0),1)-1,""))</f>
        <v/>
      </c>
      <c r="BP328" s="42" t="str">
        <f aca="false">IF(OR(BO328="",$E328=""),"",BO328-$E328)</f>
        <v/>
      </c>
      <c r="BQ328" s="39"/>
      <c r="BR328" s="40" t="str">
        <f aca="false">IF(OR(BQ328="",CH328=""),"",BQ328/CH328*100)</f>
        <v/>
      </c>
      <c r="BS328" s="41" t="str">
        <f aca="false">IF(BR328="","",IFERROR(MATCH(BR328,INDEX(Boundaries!$B$2:$I$30,MATCH(CV328,Boundaries!$A$2:$A$30,0),0),1)-1,""))</f>
        <v/>
      </c>
      <c r="BT328" s="42" t="str">
        <f aca="false">IF(OR(BS328="",$E328=""),"",BS328-$E328)</f>
        <v/>
      </c>
      <c r="BU328" s="28" t="n">
        <f aca="false">IFERROR(INDEX(Assessments!$H$2:$H$600,MATCH($H328&amp;"|"&amp;$I328&amp;"|"&amp;$J328&amp;"|"&amp;1,Assessments!$A$2:$A$600,0)),"")</f>
        <v>24</v>
      </c>
      <c r="BV328" s="28" t="n">
        <f aca="false">IFERROR(INDEX(Assessments!$H$2:$H$600,MATCH($H328&amp;"|"&amp;$I328&amp;"|"&amp;$J328&amp;"|"&amp;2,Assessments!$A$2:$A$600,0)),"")</f>
        <v>20</v>
      </c>
      <c r="BW328" s="28" t="n">
        <f aca="false">IFERROR(INDEX(Assessments!$H$2:$H$600,MATCH($H328&amp;"|"&amp;$I328&amp;"|"&amp;$J328&amp;"|"&amp;3,Assessments!$A$2:$A$600,0)),"")</f>
        <v>20</v>
      </c>
      <c r="BX328" s="28" t="n">
        <f aca="false">IFERROR(INDEX(Assessments!$H$2:$H$600,MATCH($H328&amp;"|"&amp;$I328&amp;"|"&amp;$J328&amp;"|"&amp;4,Assessments!$A$2:$A$600,0)),"")</f>
        <v>40</v>
      </c>
      <c r="BY328" s="28" t="n">
        <f aca="false">IFERROR(INDEX(Assessments!$H$2:$H$600,MATCH($H328&amp;"|"&amp;$I328&amp;"|"&amp;$J328&amp;"|"&amp;5,Assessments!$A$2:$A$600,0)),"")</f>
        <v>30</v>
      </c>
      <c r="BZ328" s="28" t="n">
        <f aca="false">IFERROR(INDEX(Assessments!$H$2:$H$600,MATCH($H328&amp;"|"&amp;$I328&amp;"|"&amp;$J328&amp;"|"&amp;6,Assessments!$A$2:$A$600,0)),"")</f>
        <v>20</v>
      </c>
      <c r="CA328" s="28" t="n">
        <f aca="false">IFERROR(INDEX(Assessments!$H$2:$H$600,MATCH($H328&amp;"|"&amp;$I328&amp;"|"&amp;$J328&amp;"|"&amp;7,Assessments!$A$2:$A$600,0)),"")</f>
        <v>50</v>
      </c>
      <c r="CB328" s="28" t="str">
        <f aca="false">IFERROR(INDEX(Assessments!$H$2:$H$600,MATCH($H328&amp;"|"&amp;$I328&amp;"|"&amp;$J328&amp;"|"&amp;8,Assessments!$A$2:$A$600,0)),"")</f>
        <v/>
      </c>
      <c r="CC328" s="28" t="str">
        <f aca="false">IFERROR(INDEX(Assessments!$H$2:$H$600,MATCH($H328&amp;"|"&amp;$I328&amp;"|"&amp;$J328&amp;"|"&amp;9,Assessments!$A$2:$A$600,0)),"")</f>
        <v/>
      </c>
      <c r="CD328" s="28" t="str">
        <f aca="false">IFERROR(INDEX(Assessments!$H$2:$H$600,MATCH($H328&amp;"|"&amp;$I328&amp;"|"&amp;$J328&amp;"|"&amp;10,Assessments!$A$2:$A$600,0)),"")</f>
        <v/>
      </c>
      <c r="CE328" s="28" t="str">
        <f aca="false">IFERROR(INDEX(Assessments!$H$2:$H$600,MATCH($H328&amp;"|"&amp;$I328&amp;"|"&amp;$J328&amp;"|"&amp;11,Assessments!$A$2:$A$600,0)),"")</f>
        <v/>
      </c>
      <c r="CF328" s="28" t="str">
        <f aca="false">IFERROR(INDEX(Assessments!$H$2:$H$600,MATCH($H328&amp;"|"&amp;$I328&amp;"|"&amp;$J328&amp;"|"&amp;12,Assessments!$A$2:$A$600,0)),"")</f>
        <v/>
      </c>
      <c r="CG328" s="28" t="str">
        <f aca="false">IFERROR(INDEX(Assessments!$H$2:$H$600,MATCH($H328&amp;"|"&amp;$I328&amp;"|"&amp;$J328&amp;"|"&amp;13,Assessments!$A$2:$A$600,0)),"")</f>
        <v/>
      </c>
      <c r="CH328" s="28" t="str">
        <f aca="false">IFERROR(INDEX(Assessments!$H$2:$H$600,MATCH($H328&amp;"|"&amp;$I328&amp;"|"&amp;$J328&amp;"|"&amp;14,Assessments!$A$2:$A$600,0)),"")</f>
        <v/>
      </c>
      <c r="CI328" s="28" t="str">
        <f aca="false">IFERROR(INDEX(Assessments!$I$2:$I$600,MATCH($H328&amp;"|"&amp;$I328&amp;"|"&amp;$J328&amp;"|"&amp;1,Assessments!$A$2:$A$600,0)),"")</f>
        <v>BM Test</v>
      </c>
      <c r="CJ328" s="28" t="str">
        <f aca="false">IFERROR(INDEX(Assessments!$I$2:$I$600,MATCH($H328&amp;"|"&amp;$I328&amp;"|"&amp;$J328&amp;"|"&amp;2,Assessments!$A$2:$A$600,0)),"")</f>
        <v>BM Test</v>
      </c>
      <c r="CK328" s="28" t="str">
        <f aca="false">IFERROR(INDEX(Assessments!$I$2:$I$600,MATCH($H328&amp;"|"&amp;$I328&amp;"|"&amp;$J328&amp;"|"&amp;3,Assessments!$A$2:$A$600,0)),"")</f>
        <v>BM Test</v>
      </c>
      <c r="CL328" s="28" t="str">
        <f aca="false">IFERROR(INDEX(Assessments!$I$2:$I$600,MATCH($H328&amp;"|"&amp;$I328&amp;"|"&amp;$J328&amp;"|"&amp;4,Assessments!$A$2:$A$600,0)),"")</f>
        <v>BM Exam</v>
      </c>
      <c r="CM328" s="28" t="str">
        <f aca="false">IFERROR(INDEX(Assessments!$I$2:$I$600,MATCH($H328&amp;"|"&amp;$I328&amp;"|"&amp;$J328&amp;"|"&amp;5,Assessments!$A$2:$A$600,0)),"")</f>
        <v>BM Test</v>
      </c>
      <c r="CN328" s="28" t="str">
        <f aca="false">IFERROR(INDEX(Assessments!$I$2:$I$600,MATCH($H328&amp;"|"&amp;$I328&amp;"|"&amp;$J328&amp;"|"&amp;6,Assessments!$A$2:$A$600,0)),"")</f>
        <v>BM Test</v>
      </c>
      <c r="CO328" s="28" t="str">
        <f aca="false">IFERROR(INDEX(Assessments!$I$2:$I$600,MATCH($H328&amp;"|"&amp;$I328&amp;"|"&amp;$J328&amp;"|"&amp;7,Assessments!$A$2:$A$600,0)),"")</f>
        <v>BM Exam</v>
      </c>
      <c r="CP328" s="28" t="str">
        <f aca="false">IFERROR(INDEX(Assessments!$I$2:$I$600,MATCH($H328&amp;"|"&amp;$I328&amp;"|"&amp;$J328&amp;"|"&amp;8,Assessments!$A$2:$A$600,0)),"")</f>
        <v/>
      </c>
      <c r="CQ328" s="28" t="str">
        <f aca="false">IFERROR(INDEX(Assessments!$I$2:$I$600,MATCH($H328&amp;"|"&amp;$I328&amp;"|"&amp;$J328&amp;"|"&amp;9,Assessments!$A$2:$A$600,0)),"")</f>
        <v/>
      </c>
      <c r="CR328" s="28" t="str">
        <f aca="false">IFERROR(INDEX(Assessments!$I$2:$I$600,MATCH($H328&amp;"|"&amp;$I328&amp;"|"&amp;$J328&amp;"|"&amp;10,Assessments!$A$2:$A$600,0)),"")</f>
        <v/>
      </c>
      <c r="CS328" s="28" t="str">
        <f aca="false">IFERROR(INDEX(Assessments!$I$2:$I$600,MATCH($H328&amp;"|"&amp;$I328&amp;"|"&amp;$J328&amp;"|"&amp;11,Assessments!$A$2:$A$600,0)),"")</f>
        <v/>
      </c>
      <c r="CT328" s="28" t="str">
        <f aca="false">IFERROR(INDEX(Assessments!$I$2:$I$600,MATCH($H328&amp;"|"&amp;$I328&amp;"|"&amp;$J328&amp;"|"&amp;12,Assessments!$A$2:$A$600,0)),"")</f>
        <v/>
      </c>
      <c r="CU328" s="28" t="str">
        <f aca="false">IFERROR(INDEX(Assessments!$I$2:$I$600,MATCH($H328&amp;"|"&amp;$I328&amp;"|"&amp;$J328&amp;"|"&amp;13,Assessments!$A$2:$A$600,0)),"")</f>
        <v/>
      </c>
      <c r="CV328" s="28" t="str">
        <f aca="false">IFERROR(INDEX(Assessments!$I$2:$I$600,MATCH($H328&amp;"|"&amp;$I328&amp;"|"&amp;$J328&amp;"|"&amp;14,Assessments!$A$2:$A$600,0)),"")</f>
        <v/>
      </c>
      <c r="CW328" s="28" t="n">
        <f aca="false">IFERROR(INDEX(Assessments!$J$2:$J$600,MATCH($H328&amp;"|"&amp;$I328&amp;"|"&amp;$J328&amp;"|"&amp;1,Assessments!$A$2:$A$600,0)),0)</f>
        <v>1</v>
      </c>
      <c r="CX328" s="28" t="n">
        <f aca="false">IFERROR(INDEX(Assessments!$J$2:$J$600,MATCH($H328&amp;"|"&amp;$I328&amp;"|"&amp;$J328&amp;"|"&amp;2,Assessments!$A$2:$A$600,0)),0)</f>
        <v>1</v>
      </c>
      <c r="CY328" s="28" t="n">
        <f aca="false">IFERROR(INDEX(Assessments!$J$2:$J$600,MATCH($H328&amp;"|"&amp;$I328&amp;"|"&amp;$J328&amp;"|"&amp;3,Assessments!$A$2:$A$600,0)),0)</f>
        <v>1</v>
      </c>
      <c r="CZ328" s="28" t="n">
        <f aca="false">IFERROR(INDEX(Assessments!$J$2:$J$600,MATCH($H328&amp;"|"&amp;$I328&amp;"|"&amp;$J328&amp;"|"&amp;4,Assessments!$A$2:$A$600,0)),0)</f>
        <v>2</v>
      </c>
      <c r="DA328" s="28" t="n">
        <f aca="false">IFERROR(INDEX(Assessments!$J$2:$J$600,MATCH($H328&amp;"|"&amp;$I328&amp;"|"&amp;$J328&amp;"|"&amp;5,Assessments!$A$2:$A$600,0)),0)</f>
        <v>1</v>
      </c>
      <c r="DB328" s="28" t="n">
        <f aca="false">IFERROR(INDEX(Assessments!$J$2:$J$600,MATCH($H328&amp;"|"&amp;$I328&amp;"|"&amp;$J328&amp;"|"&amp;6,Assessments!$A$2:$A$600,0)),0)</f>
        <v>1</v>
      </c>
      <c r="DC328" s="28" t="n">
        <f aca="false">IFERROR(INDEX(Assessments!$J$2:$J$600,MATCH($H328&amp;"|"&amp;$I328&amp;"|"&amp;$J328&amp;"|"&amp;7,Assessments!$A$2:$A$600,0)),0)</f>
        <v>2</v>
      </c>
      <c r="DD328" s="28" t="n">
        <f aca="false">IFERROR(INDEX(Assessments!$J$2:$J$600,MATCH($H328&amp;"|"&amp;$I328&amp;"|"&amp;$J328&amp;"|"&amp;8,Assessments!$A$2:$A$600,0)),0)</f>
        <v>0</v>
      </c>
      <c r="DE328" s="28" t="n">
        <f aca="false">IFERROR(INDEX(Assessments!$J$2:$J$600,MATCH($H328&amp;"|"&amp;$I328&amp;"|"&amp;$J328&amp;"|"&amp;9,Assessments!$A$2:$A$600,0)),0)</f>
        <v>0</v>
      </c>
      <c r="DF328" s="28" t="n">
        <f aca="false">IFERROR(INDEX(Assessments!$J$2:$J$600,MATCH($H328&amp;"|"&amp;$I328&amp;"|"&amp;$J328&amp;"|"&amp;10,Assessments!$A$2:$A$600,0)),0)</f>
        <v>0</v>
      </c>
      <c r="DG328" s="28" t="n">
        <f aca="false">IFERROR(INDEX(Assessments!$J$2:$J$600,MATCH($H328&amp;"|"&amp;$I328&amp;"|"&amp;$J328&amp;"|"&amp;11,Assessments!$A$2:$A$600,0)),0)</f>
        <v>0</v>
      </c>
      <c r="DH328" s="28" t="n">
        <f aca="false">IFERROR(INDEX(Assessments!$J$2:$J$600,MATCH($H328&amp;"|"&amp;$I328&amp;"|"&amp;$J328&amp;"|"&amp;12,Assessments!$A$2:$A$600,0)),0)</f>
        <v>0</v>
      </c>
      <c r="DI328" s="28" t="n">
        <f aca="false">IFERROR(INDEX(Assessments!$J$2:$J$600,MATCH($H328&amp;"|"&amp;$I328&amp;"|"&amp;$J328&amp;"|"&amp;13,Assessments!$A$2:$A$600,0)),0)</f>
        <v>0</v>
      </c>
      <c r="DJ328" s="28" t="n">
        <f aca="false">IFERROR(INDEX(Assessments!$J$2:$J$600,MATCH($H328&amp;"|"&amp;$I328&amp;"|"&amp;$J328&amp;"|"&amp;14,Assessments!$A$2:$A$600,0)),0)</f>
        <v>0</v>
      </c>
      <c r="DK328" s="28" t="str">
        <f aca="false">S328</f>
        <v/>
      </c>
      <c r="DL328" s="28" t="str">
        <f aca="false">W328</f>
        <v/>
      </c>
      <c r="DM328" s="28" t="str">
        <f aca="false">AA328</f>
        <v/>
      </c>
      <c r="DN328" s="28" t="str">
        <f aca="false">AE328</f>
        <v/>
      </c>
      <c r="DO328" s="28" t="str">
        <f aca="false">AI328</f>
        <v/>
      </c>
      <c r="DP328" s="28" t="str">
        <f aca="false">AM328</f>
        <v/>
      </c>
      <c r="DQ328" s="28" t="str">
        <f aca="false">AQ328</f>
        <v/>
      </c>
      <c r="DR328" s="28" t="str">
        <f aca="false">AU328</f>
        <v/>
      </c>
      <c r="DS328" s="28" t="str">
        <f aca="false">AY328</f>
        <v/>
      </c>
      <c r="DT328" s="28" t="str">
        <f aca="false">BC328</f>
        <v/>
      </c>
      <c r="DU328" s="28" t="str">
        <f aca="false">BG328</f>
        <v/>
      </c>
      <c r="DV328" s="28" t="str">
        <f aca="false">BK328</f>
        <v/>
      </c>
      <c r="DW328" s="28" t="str">
        <f aca="false">BO328</f>
        <v/>
      </c>
      <c r="DX328" s="28" t="str">
        <f aca="false">BS328</f>
        <v/>
      </c>
      <c r="DY328" s="28" t="str">
        <f aca="false">IF(ISNUMBER(S328),1,"")</f>
        <v/>
      </c>
      <c r="DZ328" s="28" t="str">
        <f aca="false">IF(ISNUMBER(W328),2,"")</f>
        <v/>
      </c>
      <c r="EA328" s="28" t="str">
        <f aca="false">IF(ISNUMBER(AA328),3,"")</f>
        <v/>
      </c>
      <c r="EB328" s="28" t="str">
        <f aca="false">IF(ISNUMBER(AE328),4,"")</f>
        <v/>
      </c>
      <c r="EC328" s="28" t="str">
        <f aca="false">IF(ISNUMBER(AI328),5,"")</f>
        <v/>
      </c>
      <c r="ED328" s="28" t="str">
        <f aca="false">IF(ISNUMBER(AM328),6,"")</f>
        <v/>
      </c>
      <c r="EE328" s="28" t="str">
        <f aca="false">IF(ISNUMBER(AQ328),7,"")</f>
        <v/>
      </c>
      <c r="EF328" s="28" t="str">
        <f aca="false">IF(ISNUMBER(AU328),8,"")</f>
        <v/>
      </c>
      <c r="EG328" s="28" t="str">
        <f aca="false">IF(ISNUMBER(AY328),9,"")</f>
        <v/>
      </c>
      <c r="EH328" s="28" t="str">
        <f aca="false">IF(ISNUMBER(BC328),10,"")</f>
        <v/>
      </c>
      <c r="EI328" s="28" t="str">
        <f aca="false">IF(ISNUMBER(BG328),11,"")</f>
        <v/>
      </c>
      <c r="EJ328" s="28" t="str">
        <f aca="false">IF(ISNUMBER(BK328),12,"")</f>
        <v/>
      </c>
      <c r="EK328" s="28" t="str">
        <f aca="false">IF(ISNUMBER(BO328),13,"")</f>
        <v/>
      </c>
      <c r="EL328" s="28" t="str">
        <f aca="false">IF(ISNUMBER(BS328),14,"")</f>
        <v/>
      </c>
      <c r="EM328" s="28" t="n">
        <f aca="false">IF(ISNUMBER(R328),R328*CW328,0)</f>
        <v>0</v>
      </c>
      <c r="EN328" s="28" t="n">
        <f aca="false">IF(ISNUMBER(V328),V328*CX328,0)</f>
        <v>0</v>
      </c>
      <c r="EO328" s="28" t="n">
        <f aca="false">IF(ISNUMBER(Z328),Z328*CY328,0)</f>
        <v>0</v>
      </c>
      <c r="EP328" s="28" t="n">
        <f aca="false">IF(ISNUMBER(AD328),AD328*CZ328,0)</f>
        <v>0</v>
      </c>
      <c r="EQ328" s="28" t="n">
        <f aca="false">IF(ISNUMBER(AH328),AH328*DA328,0)</f>
        <v>0</v>
      </c>
      <c r="ER328" s="28" t="n">
        <f aca="false">IF(ISNUMBER(AL328),AL328*DB328,0)</f>
        <v>0</v>
      </c>
      <c r="ES328" s="28" t="n">
        <f aca="false">IF(ISNUMBER(AP328),AP328*DC328,0)</f>
        <v>0</v>
      </c>
      <c r="ET328" s="28" t="n">
        <f aca="false">IF(ISNUMBER(AT328),AT328*DD328,0)</f>
        <v>0</v>
      </c>
      <c r="EU328" s="28" t="n">
        <f aca="false">IF(ISNUMBER(AX328),AX328*DE328,0)</f>
        <v>0</v>
      </c>
      <c r="EV328" s="28" t="n">
        <f aca="false">IF(ISNUMBER(BB328),BB328*DF328,0)</f>
        <v>0</v>
      </c>
      <c r="EW328" s="28" t="n">
        <f aca="false">IF(ISNUMBER(BF328),BF328*DG328,0)</f>
        <v>0</v>
      </c>
      <c r="EX328" s="28" t="n">
        <f aca="false">IF(ISNUMBER(BJ328),BJ328*DH328,0)</f>
        <v>0</v>
      </c>
      <c r="EY328" s="28" t="n">
        <f aca="false">IF(ISNUMBER(BN328),BN328*DI328,0)</f>
        <v>0</v>
      </c>
      <c r="EZ328" s="28" t="n">
        <f aca="false">IF(ISNUMBER(BR328),BR328*DJ328,0)</f>
        <v>0</v>
      </c>
      <c r="FA328" s="28" t="n">
        <f aca="false">IF(ISNUMBER(R328),CW328,0)</f>
        <v>0</v>
      </c>
      <c r="FB328" s="28" t="n">
        <f aca="false">IF(ISNUMBER(V328),CX328,0)</f>
        <v>0</v>
      </c>
      <c r="FC328" s="28" t="n">
        <f aca="false">IF(ISNUMBER(Z328),CY328,0)</f>
        <v>0</v>
      </c>
      <c r="FD328" s="28" t="n">
        <f aca="false">IF(ISNUMBER(AD328),CZ328,0)</f>
        <v>0</v>
      </c>
      <c r="FE328" s="28" t="n">
        <f aca="false">IF(ISNUMBER(AH328),DA328,0)</f>
        <v>0</v>
      </c>
      <c r="FF328" s="28" t="n">
        <f aca="false">IF(ISNUMBER(AL328),DB328,0)</f>
        <v>0</v>
      </c>
      <c r="FG328" s="28" t="n">
        <f aca="false">IF(ISNUMBER(AP328),DC328,0)</f>
        <v>0</v>
      </c>
      <c r="FH328" s="28" t="n">
        <f aca="false">IF(ISNUMBER(AT328),DD328,0)</f>
        <v>0</v>
      </c>
      <c r="FI328" s="28" t="n">
        <f aca="false">IF(ISNUMBER(AX328),DE328,0)</f>
        <v>0</v>
      </c>
      <c r="FJ328" s="28" t="n">
        <f aca="false">IF(ISNUMBER(BB328),DF328,0)</f>
        <v>0</v>
      </c>
      <c r="FK328" s="28" t="n">
        <f aca="false">IF(ISNUMBER(BF328),DG328,0)</f>
        <v>0</v>
      </c>
      <c r="FL328" s="28" t="n">
        <f aca="false">IF(ISNUMBER(BJ328),DH328,0)</f>
        <v>0</v>
      </c>
      <c r="FM328" s="28" t="n">
        <f aca="false">IF(ISNUMBER(BN328),DI328,0)</f>
        <v>0</v>
      </c>
      <c r="FN328" s="28" t="n">
        <f aca="false">IF(ISNUMBER(BR328),DJ328,0)</f>
        <v>0</v>
      </c>
      <c r="FO328" s="28" t="str">
        <f aca="false">IFERROR(INDEX(Lists!$G$2:$G$20,MATCH($I328&amp;"|"&amp;$J328,Lists!$F$2:$F$20,0)),"")</f>
        <v>BM Exam</v>
      </c>
    </row>
    <row r="329" customFormat="false" ht="19.5" hidden="false" customHeight="true" outlineLevel="0" collapsed="false">
      <c r="A329" s="29" t="s">
        <v>508</v>
      </c>
      <c r="B329" s="29" t="s">
        <v>509</v>
      </c>
      <c r="C329" s="30" t="s">
        <v>192</v>
      </c>
      <c r="D329" s="30" t="s">
        <v>625</v>
      </c>
      <c r="E329" s="31"/>
      <c r="F329" s="30"/>
      <c r="G329" s="30"/>
      <c r="H329" s="32" t="s">
        <v>428</v>
      </c>
      <c r="I329" s="33" t="s">
        <v>365</v>
      </c>
      <c r="J329" s="32" t="s">
        <v>25</v>
      </c>
      <c r="K329" s="34" t="str">
        <f aca="false">IF(OR(M329="",$E329=""),"",M329-$E329)</f>
        <v/>
      </c>
      <c r="L329" s="35" t="str">
        <f aca="false">IF(SUM(FA329:FN329)=0,"",SUM(EM329:EZ329)/SUM(FA329:FN329))</f>
        <v/>
      </c>
      <c r="M329" s="36" t="str">
        <f aca="false">IF(OR(L329="",FO329=""),"",IFERROR(MATCH(L329,INDEX(Boundaries!$B$2:$I$30,MATCH(FO329,Boundaries!$A$2:$A$30,0),0),1)-1,""))</f>
        <v/>
      </c>
      <c r="N329" s="37" t="str">
        <f aca="false">IF(COUNT($DY329:$EL329)&lt;2,"",INDEX($DK329:$DX329,MAX($DY329:$EL329))-INDEX($DK329:$DX329,MIN($DY329:$EL329)))</f>
        <v/>
      </c>
      <c r="O329" s="37" t="str">
        <f aca="false">IF(COUNT($DY329:$EL329)&lt;2,"",INDEX($DK329:$DX329,MAX($DY329:$EL329))-INDEX($DK329:$DX329,LARGE($DY329:$EL329,2)))</f>
        <v/>
      </c>
      <c r="P329" s="38" t="str">
        <f aca="false">IF(K329="","",IF(K329&gt;=0,"On/above target",IF(AND(N329&lt;&gt;"",N329&gt;=0.5),"Improving towards target",IF(AND(O329&lt;&gt;"",O329&lt;=-0.5),"Declining","Stable below target"))))</f>
        <v/>
      </c>
      <c r="Q329" s="39"/>
      <c r="R329" s="40" t="str">
        <f aca="false">IF(OR(Q329="",BU329=""),"",Q329/BU329*100)</f>
        <v/>
      </c>
      <c r="S329" s="41" t="str">
        <f aca="false">IF(R329="","",IFERROR(MATCH(R329,INDEX(Boundaries!$B$2:$I$30,MATCH(CI329,Boundaries!$A$2:$A$30,0),0),1)-1,""))</f>
        <v/>
      </c>
      <c r="T329" s="42" t="str">
        <f aca="false">IF(OR(S329="",$E329=""),"",S329-$E329)</f>
        <v/>
      </c>
      <c r="U329" s="39"/>
      <c r="V329" s="40" t="str">
        <f aca="false">IF(OR(U329="",BV329=""),"",U329/BV329*100)</f>
        <v/>
      </c>
      <c r="W329" s="41" t="str">
        <f aca="false">IF(V329="","",IFERROR(MATCH(V329,INDEX(Boundaries!$B$2:$I$30,MATCH(CJ329,Boundaries!$A$2:$A$30,0),0),1)-1,""))</f>
        <v/>
      </c>
      <c r="X329" s="42" t="str">
        <f aca="false">IF(OR(W329="",$E329=""),"",W329-$E329)</f>
        <v/>
      </c>
      <c r="Y329" s="39"/>
      <c r="Z329" s="40" t="str">
        <f aca="false">IF(OR(Y329="",BW329=""),"",Y329/BW329*100)</f>
        <v/>
      </c>
      <c r="AA329" s="41" t="str">
        <f aca="false">IF(Z329="","",IFERROR(MATCH(Z329,INDEX(Boundaries!$B$2:$I$30,MATCH(CK329,Boundaries!$A$2:$A$30,0),0),1)-1,""))</f>
        <v/>
      </c>
      <c r="AB329" s="42" t="str">
        <f aca="false">IF(OR(AA329="",$E329=""),"",AA329-$E329)</f>
        <v/>
      </c>
      <c r="AC329" s="39"/>
      <c r="AD329" s="40" t="str">
        <f aca="false">IF(OR(AC329="",BX329=""),"",AC329/BX329*100)</f>
        <v/>
      </c>
      <c r="AE329" s="41" t="str">
        <f aca="false">IF(AD329="","",IFERROR(MATCH(AD329,INDEX(Boundaries!$B$2:$I$30,MATCH(CL329,Boundaries!$A$2:$A$30,0),0),1)-1,""))</f>
        <v/>
      </c>
      <c r="AF329" s="42" t="str">
        <f aca="false">IF(OR(AE329="",$E329=""),"",AE329-$E329)</f>
        <v/>
      </c>
      <c r="AG329" s="39"/>
      <c r="AH329" s="40" t="str">
        <f aca="false">IF(OR(AG329="",BY329=""),"",AG329/BY329*100)</f>
        <v/>
      </c>
      <c r="AI329" s="41" t="str">
        <f aca="false">IF(AH329="","",IFERROR(MATCH(AH329,INDEX(Boundaries!$B$2:$I$30,MATCH(CM329,Boundaries!$A$2:$A$30,0),0),1)-1,""))</f>
        <v/>
      </c>
      <c r="AJ329" s="42" t="str">
        <f aca="false">IF(OR(AI329="",$E329=""),"",AI329-$E329)</f>
        <v/>
      </c>
      <c r="AK329" s="39"/>
      <c r="AL329" s="40" t="str">
        <f aca="false">IF(OR(AK329="",BZ329=""),"",AK329/BZ329*100)</f>
        <v/>
      </c>
      <c r="AM329" s="41" t="str">
        <f aca="false">IF(AL329="","",IFERROR(MATCH(AL329,INDEX(Boundaries!$B$2:$I$30,MATCH(CN329,Boundaries!$A$2:$A$30,0),0),1)-1,""))</f>
        <v/>
      </c>
      <c r="AN329" s="42" t="str">
        <f aca="false">IF(OR(AM329="",$E329=""),"",AM329-$E329)</f>
        <v/>
      </c>
      <c r="AO329" s="39"/>
      <c r="AP329" s="40" t="str">
        <f aca="false">IF(OR(AO329="",CA329=""),"",AO329/CA329*100)</f>
        <v/>
      </c>
      <c r="AQ329" s="41" t="str">
        <f aca="false">IF(AP329="","",IFERROR(MATCH(AP329,INDEX(Boundaries!$B$2:$I$30,MATCH(CO329,Boundaries!$A$2:$A$30,0),0),1)-1,""))</f>
        <v/>
      </c>
      <c r="AR329" s="42" t="str">
        <f aca="false">IF(OR(AQ329="",$E329=""),"",AQ329-$E329)</f>
        <v/>
      </c>
      <c r="AS329" s="39"/>
      <c r="AT329" s="40" t="str">
        <f aca="false">IF(OR(AS329="",CB329=""),"",AS329/CB329*100)</f>
        <v/>
      </c>
      <c r="AU329" s="41" t="str">
        <f aca="false">IF(AT329="","",IFERROR(MATCH(AT329,INDEX(Boundaries!$B$2:$I$30,MATCH(CP329,Boundaries!$A$2:$A$30,0),0),1)-1,""))</f>
        <v/>
      </c>
      <c r="AV329" s="42" t="str">
        <f aca="false">IF(OR(AU329="",$E329=""),"",AU329-$E329)</f>
        <v/>
      </c>
      <c r="AW329" s="39"/>
      <c r="AX329" s="40" t="str">
        <f aca="false">IF(OR(AW329="",CC329=""),"",AW329/CC329*100)</f>
        <v/>
      </c>
      <c r="AY329" s="41" t="str">
        <f aca="false">IF(AX329="","",IFERROR(MATCH(AX329,INDEX(Boundaries!$B$2:$I$30,MATCH(CQ329,Boundaries!$A$2:$A$30,0),0),1)-1,""))</f>
        <v/>
      </c>
      <c r="AZ329" s="42" t="str">
        <f aca="false">IF(OR(AY329="",$E329=""),"",AY329-$E329)</f>
        <v/>
      </c>
      <c r="BA329" s="39"/>
      <c r="BB329" s="40" t="str">
        <f aca="false">IF(OR(BA329="",CD329=""),"",BA329/CD329*100)</f>
        <v/>
      </c>
      <c r="BC329" s="41" t="str">
        <f aca="false">IF(BB329="","",IFERROR(MATCH(BB329,INDEX(Boundaries!$B$2:$I$30,MATCH(CR329,Boundaries!$A$2:$A$30,0),0),1)-1,""))</f>
        <v/>
      </c>
      <c r="BD329" s="42" t="str">
        <f aca="false">IF(OR(BC329="",$E329=""),"",BC329-$E329)</f>
        <v/>
      </c>
      <c r="BE329" s="39"/>
      <c r="BF329" s="40" t="str">
        <f aca="false">IF(OR(BE329="",CE329=""),"",BE329/CE329*100)</f>
        <v/>
      </c>
      <c r="BG329" s="41" t="str">
        <f aca="false">IF(BF329="","",IFERROR(MATCH(BF329,INDEX(Boundaries!$B$2:$I$30,MATCH(CS329,Boundaries!$A$2:$A$30,0),0),1)-1,""))</f>
        <v/>
      </c>
      <c r="BH329" s="42" t="str">
        <f aca="false">IF(OR(BG329="",$E329=""),"",BG329-$E329)</f>
        <v/>
      </c>
      <c r="BI329" s="39"/>
      <c r="BJ329" s="40" t="str">
        <f aca="false">IF(OR(BI329="",CF329=""),"",BI329/CF329*100)</f>
        <v/>
      </c>
      <c r="BK329" s="41" t="str">
        <f aca="false">IF(BJ329="","",IFERROR(MATCH(BJ329,INDEX(Boundaries!$B$2:$I$30,MATCH(CT329,Boundaries!$A$2:$A$30,0),0),1)-1,""))</f>
        <v/>
      </c>
      <c r="BL329" s="42" t="str">
        <f aca="false">IF(OR(BK329="",$E329=""),"",BK329-$E329)</f>
        <v/>
      </c>
      <c r="BM329" s="39"/>
      <c r="BN329" s="40" t="str">
        <f aca="false">IF(OR(BM329="",CG329=""),"",BM329/CG329*100)</f>
        <v/>
      </c>
      <c r="BO329" s="41" t="str">
        <f aca="false">IF(BN329="","",IFERROR(MATCH(BN329,INDEX(Boundaries!$B$2:$I$30,MATCH(CU329,Boundaries!$A$2:$A$30,0),0),1)-1,""))</f>
        <v/>
      </c>
      <c r="BP329" s="42" t="str">
        <f aca="false">IF(OR(BO329="",$E329=""),"",BO329-$E329)</f>
        <v/>
      </c>
      <c r="BQ329" s="39"/>
      <c r="BR329" s="40" t="str">
        <f aca="false">IF(OR(BQ329="",CH329=""),"",BQ329/CH329*100)</f>
        <v/>
      </c>
      <c r="BS329" s="41" t="str">
        <f aca="false">IF(BR329="","",IFERROR(MATCH(BR329,INDEX(Boundaries!$B$2:$I$30,MATCH(CV329,Boundaries!$A$2:$A$30,0),0),1)-1,""))</f>
        <v/>
      </c>
      <c r="BT329" s="42" t="str">
        <f aca="false">IF(OR(BS329="",$E329=""),"",BS329-$E329)</f>
        <v/>
      </c>
      <c r="BU329" s="28" t="n">
        <f aca="false">IFERROR(INDEX(Assessments!$H$2:$H$600,MATCH($H329&amp;"|"&amp;$I329&amp;"|"&amp;$J329&amp;"|"&amp;1,Assessments!$A$2:$A$600,0)),"")</f>
        <v>24</v>
      </c>
      <c r="BV329" s="28" t="n">
        <f aca="false">IFERROR(INDEX(Assessments!$H$2:$H$600,MATCH($H329&amp;"|"&amp;$I329&amp;"|"&amp;$J329&amp;"|"&amp;2,Assessments!$A$2:$A$600,0)),"")</f>
        <v>20</v>
      </c>
      <c r="BW329" s="28" t="n">
        <f aca="false">IFERROR(INDEX(Assessments!$H$2:$H$600,MATCH($H329&amp;"|"&amp;$I329&amp;"|"&amp;$J329&amp;"|"&amp;3,Assessments!$A$2:$A$600,0)),"")</f>
        <v>20</v>
      </c>
      <c r="BX329" s="28" t="n">
        <f aca="false">IFERROR(INDEX(Assessments!$H$2:$H$600,MATCH($H329&amp;"|"&amp;$I329&amp;"|"&amp;$J329&amp;"|"&amp;4,Assessments!$A$2:$A$600,0)),"")</f>
        <v>40</v>
      </c>
      <c r="BY329" s="28" t="n">
        <f aca="false">IFERROR(INDEX(Assessments!$H$2:$H$600,MATCH($H329&amp;"|"&amp;$I329&amp;"|"&amp;$J329&amp;"|"&amp;5,Assessments!$A$2:$A$600,0)),"")</f>
        <v>30</v>
      </c>
      <c r="BZ329" s="28" t="n">
        <f aca="false">IFERROR(INDEX(Assessments!$H$2:$H$600,MATCH($H329&amp;"|"&amp;$I329&amp;"|"&amp;$J329&amp;"|"&amp;6,Assessments!$A$2:$A$600,0)),"")</f>
        <v>20</v>
      </c>
      <c r="CA329" s="28" t="n">
        <f aca="false">IFERROR(INDEX(Assessments!$H$2:$H$600,MATCH($H329&amp;"|"&amp;$I329&amp;"|"&amp;$J329&amp;"|"&amp;7,Assessments!$A$2:$A$600,0)),"")</f>
        <v>50</v>
      </c>
      <c r="CB329" s="28" t="str">
        <f aca="false">IFERROR(INDEX(Assessments!$H$2:$H$600,MATCH($H329&amp;"|"&amp;$I329&amp;"|"&amp;$J329&amp;"|"&amp;8,Assessments!$A$2:$A$600,0)),"")</f>
        <v/>
      </c>
      <c r="CC329" s="28" t="str">
        <f aca="false">IFERROR(INDEX(Assessments!$H$2:$H$600,MATCH($H329&amp;"|"&amp;$I329&amp;"|"&amp;$J329&amp;"|"&amp;9,Assessments!$A$2:$A$600,0)),"")</f>
        <v/>
      </c>
      <c r="CD329" s="28" t="str">
        <f aca="false">IFERROR(INDEX(Assessments!$H$2:$H$600,MATCH($H329&amp;"|"&amp;$I329&amp;"|"&amp;$J329&amp;"|"&amp;10,Assessments!$A$2:$A$600,0)),"")</f>
        <v/>
      </c>
      <c r="CE329" s="28" t="str">
        <f aca="false">IFERROR(INDEX(Assessments!$H$2:$H$600,MATCH($H329&amp;"|"&amp;$I329&amp;"|"&amp;$J329&amp;"|"&amp;11,Assessments!$A$2:$A$600,0)),"")</f>
        <v/>
      </c>
      <c r="CF329" s="28" t="str">
        <f aca="false">IFERROR(INDEX(Assessments!$H$2:$H$600,MATCH($H329&amp;"|"&amp;$I329&amp;"|"&amp;$J329&amp;"|"&amp;12,Assessments!$A$2:$A$600,0)),"")</f>
        <v/>
      </c>
      <c r="CG329" s="28" t="str">
        <f aca="false">IFERROR(INDEX(Assessments!$H$2:$H$600,MATCH($H329&amp;"|"&amp;$I329&amp;"|"&amp;$J329&amp;"|"&amp;13,Assessments!$A$2:$A$600,0)),"")</f>
        <v/>
      </c>
      <c r="CH329" s="28" t="str">
        <f aca="false">IFERROR(INDEX(Assessments!$H$2:$H$600,MATCH($H329&amp;"|"&amp;$I329&amp;"|"&amp;$J329&amp;"|"&amp;14,Assessments!$A$2:$A$600,0)),"")</f>
        <v/>
      </c>
      <c r="CI329" s="28" t="str">
        <f aca="false">IFERROR(INDEX(Assessments!$I$2:$I$600,MATCH($H329&amp;"|"&amp;$I329&amp;"|"&amp;$J329&amp;"|"&amp;1,Assessments!$A$2:$A$600,0)),"")</f>
        <v>BM Test</v>
      </c>
      <c r="CJ329" s="28" t="str">
        <f aca="false">IFERROR(INDEX(Assessments!$I$2:$I$600,MATCH($H329&amp;"|"&amp;$I329&amp;"|"&amp;$J329&amp;"|"&amp;2,Assessments!$A$2:$A$600,0)),"")</f>
        <v>BM Test</v>
      </c>
      <c r="CK329" s="28" t="str">
        <f aca="false">IFERROR(INDEX(Assessments!$I$2:$I$600,MATCH($H329&amp;"|"&amp;$I329&amp;"|"&amp;$J329&amp;"|"&amp;3,Assessments!$A$2:$A$600,0)),"")</f>
        <v>BM Test</v>
      </c>
      <c r="CL329" s="28" t="str">
        <f aca="false">IFERROR(INDEX(Assessments!$I$2:$I$600,MATCH($H329&amp;"|"&amp;$I329&amp;"|"&amp;$J329&amp;"|"&amp;4,Assessments!$A$2:$A$600,0)),"")</f>
        <v>BM Exam</v>
      </c>
      <c r="CM329" s="28" t="str">
        <f aca="false">IFERROR(INDEX(Assessments!$I$2:$I$600,MATCH($H329&amp;"|"&amp;$I329&amp;"|"&amp;$J329&amp;"|"&amp;5,Assessments!$A$2:$A$600,0)),"")</f>
        <v>BM Test</v>
      </c>
      <c r="CN329" s="28" t="str">
        <f aca="false">IFERROR(INDEX(Assessments!$I$2:$I$600,MATCH($H329&amp;"|"&amp;$I329&amp;"|"&amp;$J329&amp;"|"&amp;6,Assessments!$A$2:$A$600,0)),"")</f>
        <v>BM Test</v>
      </c>
      <c r="CO329" s="28" t="str">
        <f aca="false">IFERROR(INDEX(Assessments!$I$2:$I$600,MATCH($H329&amp;"|"&amp;$I329&amp;"|"&amp;$J329&amp;"|"&amp;7,Assessments!$A$2:$A$600,0)),"")</f>
        <v>BM Exam</v>
      </c>
      <c r="CP329" s="28" t="str">
        <f aca="false">IFERROR(INDEX(Assessments!$I$2:$I$600,MATCH($H329&amp;"|"&amp;$I329&amp;"|"&amp;$J329&amp;"|"&amp;8,Assessments!$A$2:$A$600,0)),"")</f>
        <v/>
      </c>
      <c r="CQ329" s="28" t="str">
        <f aca="false">IFERROR(INDEX(Assessments!$I$2:$I$600,MATCH($H329&amp;"|"&amp;$I329&amp;"|"&amp;$J329&amp;"|"&amp;9,Assessments!$A$2:$A$600,0)),"")</f>
        <v/>
      </c>
      <c r="CR329" s="28" t="str">
        <f aca="false">IFERROR(INDEX(Assessments!$I$2:$I$600,MATCH($H329&amp;"|"&amp;$I329&amp;"|"&amp;$J329&amp;"|"&amp;10,Assessments!$A$2:$A$600,0)),"")</f>
        <v/>
      </c>
      <c r="CS329" s="28" t="str">
        <f aca="false">IFERROR(INDEX(Assessments!$I$2:$I$600,MATCH($H329&amp;"|"&amp;$I329&amp;"|"&amp;$J329&amp;"|"&amp;11,Assessments!$A$2:$A$600,0)),"")</f>
        <v/>
      </c>
      <c r="CT329" s="28" t="str">
        <f aca="false">IFERROR(INDEX(Assessments!$I$2:$I$600,MATCH($H329&amp;"|"&amp;$I329&amp;"|"&amp;$J329&amp;"|"&amp;12,Assessments!$A$2:$A$600,0)),"")</f>
        <v/>
      </c>
      <c r="CU329" s="28" t="str">
        <f aca="false">IFERROR(INDEX(Assessments!$I$2:$I$600,MATCH($H329&amp;"|"&amp;$I329&amp;"|"&amp;$J329&amp;"|"&amp;13,Assessments!$A$2:$A$600,0)),"")</f>
        <v/>
      </c>
      <c r="CV329" s="28" t="str">
        <f aca="false">IFERROR(INDEX(Assessments!$I$2:$I$600,MATCH($H329&amp;"|"&amp;$I329&amp;"|"&amp;$J329&amp;"|"&amp;14,Assessments!$A$2:$A$600,0)),"")</f>
        <v/>
      </c>
      <c r="CW329" s="28" t="n">
        <f aca="false">IFERROR(INDEX(Assessments!$J$2:$J$600,MATCH($H329&amp;"|"&amp;$I329&amp;"|"&amp;$J329&amp;"|"&amp;1,Assessments!$A$2:$A$600,0)),0)</f>
        <v>1</v>
      </c>
      <c r="CX329" s="28" t="n">
        <f aca="false">IFERROR(INDEX(Assessments!$J$2:$J$600,MATCH($H329&amp;"|"&amp;$I329&amp;"|"&amp;$J329&amp;"|"&amp;2,Assessments!$A$2:$A$600,0)),0)</f>
        <v>1</v>
      </c>
      <c r="CY329" s="28" t="n">
        <f aca="false">IFERROR(INDEX(Assessments!$J$2:$J$600,MATCH($H329&amp;"|"&amp;$I329&amp;"|"&amp;$J329&amp;"|"&amp;3,Assessments!$A$2:$A$600,0)),0)</f>
        <v>1</v>
      </c>
      <c r="CZ329" s="28" t="n">
        <f aca="false">IFERROR(INDEX(Assessments!$J$2:$J$600,MATCH($H329&amp;"|"&amp;$I329&amp;"|"&amp;$J329&amp;"|"&amp;4,Assessments!$A$2:$A$600,0)),0)</f>
        <v>2</v>
      </c>
      <c r="DA329" s="28" t="n">
        <f aca="false">IFERROR(INDEX(Assessments!$J$2:$J$600,MATCH($H329&amp;"|"&amp;$I329&amp;"|"&amp;$J329&amp;"|"&amp;5,Assessments!$A$2:$A$600,0)),0)</f>
        <v>1</v>
      </c>
      <c r="DB329" s="28" t="n">
        <f aca="false">IFERROR(INDEX(Assessments!$J$2:$J$600,MATCH($H329&amp;"|"&amp;$I329&amp;"|"&amp;$J329&amp;"|"&amp;6,Assessments!$A$2:$A$600,0)),0)</f>
        <v>1</v>
      </c>
      <c r="DC329" s="28" t="n">
        <f aca="false">IFERROR(INDEX(Assessments!$J$2:$J$600,MATCH($H329&amp;"|"&amp;$I329&amp;"|"&amp;$J329&amp;"|"&amp;7,Assessments!$A$2:$A$600,0)),0)</f>
        <v>2</v>
      </c>
      <c r="DD329" s="28" t="n">
        <f aca="false">IFERROR(INDEX(Assessments!$J$2:$J$600,MATCH($H329&amp;"|"&amp;$I329&amp;"|"&amp;$J329&amp;"|"&amp;8,Assessments!$A$2:$A$600,0)),0)</f>
        <v>0</v>
      </c>
      <c r="DE329" s="28" t="n">
        <f aca="false">IFERROR(INDEX(Assessments!$J$2:$J$600,MATCH($H329&amp;"|"&amp;$I329&amp;"|"&amp;$J329&amp;"|"&amp;9,Assessments!$A$2:$A$600,0)),0)</f>
        <v>0</v>
      </c>
      <c r="DF329" s="28" t="n">
        <f aca="false">IFERROR(INDEX(Assessments!$J$2:$J$600,MATCH($H329&amp;"|"&amp;$I329&amp;"|"&amp;$J329&amp;"|"&amp;10,Assessments!$A$2:$A$600,0)),0)</f>
        <v>0</v>
      </c>
      <c r="DG329" s="28" t="n">
        <f aca="false">IFERROR(INDEX(Assessments!$J$2:$J$600,MATCH($H329&amp;"|"&amp;$I329&amp;"|"&amp;$J329&amp;"|"&amp;11,Assessments!$A$2:$A$600,0)),0)</f>
        <v>0</v>
      </c>
      <c r="DH329" s="28" t="n">
        <f aca="false">IFERROR(INDEX(Assessments!$J$2:$J$600,MATCH($H329&amp;"|"&amp;$I329&amp;"|"&amp;$J329&amp;"|"&amp;12,Assessments!$A$2:$A$600,0)),0)</f>
        <v>0</v>
      </c>
      <c r="DI329" s="28" t="n">
        <f aca="false">IFERROR(INDEX(Assessments!$J$2:$J$600,MATCH($H329&amp;"|"&amp;$I329&amp;"|"&amp;$J329&amp;"|"&amp;13,Assessments!$A$2:$A$600,0)),0)</f>
        <v>0</v>
      </c>
      <c r="DJ329" s="28" t="n">
        <f aca="false">IFERROR(INDEX(Assessments!$J$2:$J$600,MATCH($H329&amp;"|"&amp;$I329&amp;"|"&amp;$J329&amp;"|"&amp;14,Assessments!$A$2:$A$600,0)),0)</f>
        <v>0</v>
      </c>
      <c r="DK329" s="28" t="str">
        <f aca="false">S329</f>
        <v/>
      </c>
      <c r="DL329" s="28" t="str">
        <f aca="false">W329</f>
        <v/>
      </c>
      <c r="DM329" s="28" t="str">
        <f aca="false">AA329</f>
        <v/>
      </c>
      <c r="DN329" s="28" t="str">
        <f aca="false">AE329</f>
        <v/>
      </c>
      <c r="DO329" s="28" t="str">
        <f aca="false">AI329</f>
        <v/>
      </c>
      <c r="DP329" s="28" t="str">
        <f aca="false">AM329</f>
        <v/>
      </c>
      <c r="DQ329" s="28" t="str">
        <f aca="false">AQ329</f>
        <v/>
      </c>
      <c r="DR329" s="28" t="str">
        <f aca="false">AU329</f>
        <v/>
      </c>
      <c r="DS329" s="28" t="str">
        <f aca="false">AY329</f>
        <v/>
      </c>
      <c r="DT329" s="28" t="str">
        <f aca="false">BC329</f>
        <v/>
      </c>
      <c r="DU329" s="28" t="str">
        <f aca="false">BG329</f>
        <v/>
      </c>
      <c r="DV329" s="28" t="str">
        <f aca="false">BK329</f>
        <v/>
      </c>
      <c r="DW329" s="28" t="str">
        <f aca="false">BO329</f>
        <v/>
      </c>
      <c r="DX329" s="28" t="str">
        <f aca="false">BS329</f>
        <v/>
      </c>
      <c r="DY329" s="28" t="str">
        <f aca="false">IF(ISNUMBER(S329),1,"")</f>
        <v/>
      </c>
      <c r="DZ329" s="28" t="str">
        <f aca="false">IF(ISNUMBER(W329),2,"")</f>
        <v/>
      </c>
      <c r="EA329" s="28" t="str">
        <f aca="false">IF(ISNUMBER(AA329),3,"")</f>
        <v/>
      </c>
      <c r="EB329" s="28" t="str">
        <f aca="false">IF(ISNUMBER(AE329),4,"")</f>
        <v/>
      </c>
      <c r="EC329" s="28" t="str">
        <f aca="false">IF(ISNUMBER(AI329),5,"")</f>
        <v/>
      </c>
      <c r="ED329" s="28" t="str">
        <f aca="false">IF(ISNUMBER(AM329),6,"")</f>
        <v/>
      </c>
      <c r="EE329" s="28" t="str">
        <f aca="false">IF(ISNUMBER(AQ329),7,"")</f>
        <v/>
      </c>
      <c r="EF329" s="28" t="str">
        <f aca="false">IF(ISNUMBER(AU329),8,"")</f>
        <v/>
      </c>
      <c r="EG329" s="28" t="str">
        <f aca="false">IF(ISNUMBER(AY329),9,"")</f>
        <v/>
      </c>
      <c r="EH329" s="28" t="str">
        <f aca="false">IF(ISNUMBER(BC329),10,"")</f>
        <v/>
      </c>
      <c r="EI329" s="28" t="str">
        <f aca="false">IF(ISNUMBER(BG329),11,"")</f>
        <v/>
      </c>
      <c r="EJ329" s="28" t="str">
        <f aca="false">IF(ISNUMBER(BK329),12,"")</f>
        <v/>
      </c>
      <c r="EK329" s="28" t="str">
        <f aca="false">IF(ISNUMBER(BO329),13,"")</f>
        <v/>
      </c>
      <c r="EL329" s="28" t="str">
        <f aca="false">IF(ISNUMBER(BS329),14,"")</f>
        <v/>
      </c>
      <c r="EM329" s="28" t="n">
        <f aca="false">IF(ISNUMBER(R329),R329*CW329,0)</f>
        <v>0</v>
      </c>
      <c r="EN329" s="28" t="n">
        <f aca="false">IF(ISNUMBER(V329),V329*CX329,0)</f>
        <v>0</v>
      </c>
      <c r="EO329" s="28" t="n">
        <f aca="false">IF(ISNUMBER(Z329),Z329*CY329,0)</f>
        <v>0</v>
      </c>
      <c r="EP329" s="28" t="n">
        <f aca="false">IF(ISNUMBER(AD329),AD329*CZ329,0)</f>
        <v>0</v>
      </c>
      <c r="EQ329" s="28" t="n">
        <f aca="false">IF(ISNUMBER(AH329),AH329*DA329,0)</f>
        <v>0</v>
      </c>
      <c r="ER329" s="28" t="n">
        <f aca="false">IF(ISNUMBER(AL329),AL329*DB329,0)</f>
        <v>0</v>
      </c>
      <c r="ES329" s="28" t="n">
        <f aca="false">IF(ISNUMBER(AP329),AP329*DC329,0)</f>
        <v>0</v>
      </c>
      <c r="ET329" s="28" t="n">
        <f aca="false">IF(ISNUMBER(AT329),AT329*DD329,0)</f>
        <v>0</v>
      </c>
      <c r="EU329" s="28" t="n">
        <f aca="false">IF(ISNUMBER(AX329),AX329*DE329,0)</f>
        <v>0</v>
      </c>
      <c r="EV329" s="28" t="n">
        <f aca="false">IF(ISNUMBER(BB329),BB329*DF329,0)</f>
        <v>0</v>
      </c>
      <c r="EW329" s="28" t="n">
        <f aca="false">IF(ISNUMBER(BF329),BF329*DG329,0)</f>
        <v>0</v>
      </c>
      <c r="EX329" s="28" t="n">
        <f aca="false">IF(ISNUMBER(BJ329),BJ329*DH329,0)</f>
        <v>0</v>
      </c>
      <c r="EY329" s="28" t="n">
        <f aca="false">IF(ISNUMBER(BN329),BN329*DI329,0)</f>
        <v>0</v>
      </c>
      <c r="EZ329" s="28" t="n">
        <f aca="false">IF(ISNUMBER(BR329),BR329*DJ329,0)</f>
        <v>0</v>
      </c>
      <c r="FA329" s="28" t="n">
        <f aca="false">IF(ISNUMBER(R329),CW329,0)</f>
        <v>0</v>
      </c>
      <c r="FB329" s="28" t="n">
        <f aca="false">IF(ISNUMBER(V329),CX329,0)</f>
        <v>0</v>
      </c>
      <c r="FC329" s="28" t="n">
        <f aca="false">IF(ISNUMBER(Z329),CY329,0)</f>
        <v>0</v>
      </c>
      <c r="FD329" s="28" t="n">
        <f aca="false">IF(ISNUMBER(AD329),CZ329,0)</f>
        <v>0</v>
      </c>
      <c r="FE329" s="28" t="n">
        <f aca="false">IF(ISNUMBER(AH329),DA329,0)</f>
        <v>0</v>
      </c>
      <c r="FF329" s="28" t="n">
        <f aca="false">IF(ISNUMBER(AL329),DB329,0)</f>
        <v>0</v>
      </c>
      <c r="FG329" s="28" t="n">
        <f aca="false">IF(ISNUMBER(AP329),DC329,0)</f>
        <v>0</v>
      </c>
      <c r="FH329" s="28" t="n">
        <f aca="false">IF(ISNUMBER(AT329),DD329,0)</f>
        <v>0</v>
      </c>
      <c r="FI329" s="28" t="n">
        <f aca="false">IF(ISNUMBER(AX329),DE329,0)</f>
        <v>0</v>
      </c>
      <c r="FJ329" s="28" t="n">
        <f aca="false">IF(ISNUMBER(BB329),DF329,0)</f>
        <v>0</v>
      </c>
      <c r="FK329" s="28" t="n">
        <f aca="false">IF(ISNUMBER(BF329),DG329,0)</f>
        <v>0</v>
      </c>
      <c r="FL329" s="28" t="n">
        <f aca="false">IF(ISNUMBER(BJ329),DH329,0)</f>
        <v>0</v>
      </c>
      <c r="FM329" s="28" t="n">
        <f aca="false">IF(ISNUMBER(BN329),DI329,0)</f>
        <v>0</v>
      </c>
      <c r="FN329" s="28" t="n">
        <f aca="false">IF(ISNUMBER(BR329),DJ329,0)</f>
        <v>0</v>
      </c>
      <c r="FO329" s="28" t="str">
        <f aca="false">IFERROR(INDEX(Lists!$G$2:$G$20,MATCH($I329&amp;"|"&amp;$J329,Lists!$F$2:$F$20,0)),"")</f>
        <v>BM Exam</v>
      </c>
    </row>
    <row r="330" customFormat="false" ht="19.5" hidden="false" customHeight="true" outlineLevel="0" collapsed="false">
      <c r="A330" s="29" t="s">
        <v>475</v>
      </c>
      <c r="B330" s="29" t="s">
        <v>476</v>
      </c>
      <c r="C330" s="30" t="s">
        <v>192</v>
      </c>
      <c r="D330" s="30" t="s">
        <v>625</v>
      </c>
      <c r="E330" s="31"/>
      <c r="F330" s="30"/>
      <c r="G330" s="30"/>
      <c r="H330" s="32" t="s">
        <v>428</v>
      </c>
      <c r="I330" s="33" t="s">
        <v>365</v>
      </c>
      <c r="J330" s="32" t="s">
        <v>25</v>
      </c>
      <c r="K330" s="34" t="str">
        <f aca="false">IF(OR(M330="",$E330=""),"",M330-$E330)</f>
        <v/>
      </c>
      <c r="L330" s="35" t="str">
        <f aca="false">IF(SUM(FA330:FN330)=0,"",SUM(EM330:EZ330)/SUM(FA330:FN330))</f>
        <v/>
      </c>
      <c r="M330" s="36" t="str">
        <f aca="false">IF(OR(L330="",FO330=""),"",IFERROR(MATCH(L330,INDEX(Boundaries!$B$2:$I$30,MATCH(FO330,Boundaries!$A$2:$A$30,0),0),1)-1,""))</f>
        <v/>
      </c>
      <c r="N330" s="37" t="str">
        <f aca="false">IF(COUNT($DY330:$EL330)&lt;2,"",INDEX($DK330:$DX330,MAX($DY330:$EL330))-INDEX($DK330:$DX330,MIN($DY330:$EL330)))</f>
        <v/>
      </c>
      <c r="O330" s="37" t="str">
        <f aca="false">IF(COUNT($DY330:$EL330)&lt;2,"",INDEX($DK330:$DX330,MAX($DY330:$EL330))-INDEX($DK330:$DX330,LARGE($DY330:$EL330,2)))</f>
        <v/>
      </c>
      <c r="P330" s="38" t="str">
        <f aca="false">IF(K330="","",IF(K330&gt;=0,"On/above target",IF(AND(N330&lt;&gt;"",N330&gt;=0.5),"Improving towards target",IF(AND(O330&lt;&gt;"",O330&lt;=-0.5),"Declining","Stable below target"))))</f>
        <v/>
      </c>
      <c r="Q330" s="39"/>
      <c r="R330" s="40" t="str">
        <f aca="false">IF(OR(Q330="",BU330=""),"",Q330/BU330*100)</f>
        <v/>
      </c>
      <c r="S330" s="41" t="str">
        <f aca="false">IF(R330="","",IFERROR(MATCH(R330,INDEX(Boundaries!$B$2:$I$30,MATCH(CI330,Boundaries!$A$2:$A$30,0),0),1)-1,""))</f>
        <v/>
      </c>
      <c r="T330" s="42" t="str">
        <f aca="false">IF(OR(S330="",$E330=""),"",S330-$E330)</f>
        <v/>
      </c>
      <c r="U330" s="39"/>
      <c r="V330" s="40" t="str">
        <f aca="false">IF(OR(U330="",BV330=""),"",U330/BV330*100)</f>
        <v/>
      </c>
      <c r="W330" s="41" t="str">
        <f aca="false">IF(V330="","",IFERROR(MATCH(V330,INDEX(Boundaries!$B$2:$I$30,MATCH(CJ330,Boundaries!$A$2:$A$30,0),0),1)-1,""))</f>
        <v/>
      </c>
      <c r="X330" s="42" t="str">
        <f aca="false">IF(OR(W330="",$E330=""),"",W330-$E330)</f>
        <v/>
      </c>
      <c r="Y330" s="39"/>
      <c r="Z330" s="40" t="str">
        <f aca="false">IF(OR(Y330="",BW330=""),"",Y330/BW330*100)</f>
        <v/>
      </c>
      <c r="AA330" s="41" t="str">
        <f aca="false">IF(Z330="","",IFERROR(MATCH(Z330,INDEX(Boundaries!$B$2:$I$30,MATCH(CK330,Boundaries!$A$2:$A$30,0),0),1)-1,""))</f>
        <v/>
      </c>
      <c r="AB330" s="42" t="str">
        <f aca="false">IF(OR(AA330="",$E330=""),"",AA330-$E330)</f>
        <v/>
      </c>
      <c r="AC330" s="39"/>
      <c r="AD330" s="40" t="str">
        <f aca="false">IF(OR(AC330="",BX330=""),"",AC330/BX330*100)</f>
        <v/>
      </c>
      <c r="AE330" s="41" t="str">
        <f aca="false">IF(AD330="","",IFERROR(MATCH(AD330,INDEX(Boundaries!$B$2:$I$30,MATCH(CL330,Boundaries!$A$2:$A$30,0),0),1)-1,""))</f>
        <v/>
      </c>
      <c r="AF330" s="42" t="str">
        <f aca="false">IF(OR(AE330="",$E330=""),"",AE330-$E330)</f>
        <v/>
      </c>
      <c r="AG330" s="39"/>
      <c r="AH330" s="40" t="str">
        <f aca="false">IF(OR(AG330="",BY330=""),"",AG330/BY330*100)</f>
        <v/>
      </c>
      <c r="AI330" s="41" t="str">
        <f aca="false">IF(AH330="","",IFERROR(MATCH(AH330,INDEX(Boundaries!$B$2:$I$30,MATCH(CM330,Boundaries!$A$2:$A$30,0),0),1)-1,""))</f>
        <v/>
      </c>
      <c r="AJ330" s="42" t="str">
        <f aca="false">IF(OR(AI330="",$E330=""),"",AI330-$E330)</f>
        <v/>
      </c>
      <c r="AK330" s="39"/>
      <c r="AL330" s="40" t="str">
        <f aca="false">IF(OR(AK330="",BZ330=""),"",AK330/BZ330*100)</f>
        <v/>
      </c>
      <c r="AM330" s="41" t="str">
        <f aca="false">IF(AL330="","",IFERROR(MATCH(AL330,INDEX(Boundaries!$B$2:$I$30,MATCH(CN330,Boundaries!$A$2:$A$30,0),0),1)-1,""))</f>
        <v/>
      </c>
      <c r="AN330" s="42" t="str">
        <f aca="false">IF(OR(AM330="",$E330=""),"",AM330-$E330)</f>
        <v/>
      </c>
      <c r="AO330" s="39"/>
      <c r="AP330" s="40" t="str">
        <f aca="false">IF(OR(AO330="",CA330=""),"",AO330/CA330*100)</f>
        <v/>
      </c>
      <c r="AQ330" s="41" t="str">
        <f aca="false">IF(AP330="","",IFERROR(MATCH(AP330,INDEX(Boundaries!$B$2:$I$30,MATCH(CO330,Boundaries!$A$2:$A$30,0),0),1)-1,""))</f>
        <v/>
      </c>
      <c r="AR330" s="42" t="str">
        <f aca="false">IF(OR(AQ330="",$E330=""),"",AQ330-$E330)</f>
        <v/>
      </c>
      <c r="AS330" s="39"/>
      <c r="AT330" s="40" t="str">
        <f aca="false">IF(OR(AS330="",CB330=""),"",AS330/CB330*100)</f>
        <v/>
      </c>
      <c r="AU330" s="41" t="str">
        <f aca="false">IF(AT330="","",IFERROR(MATCH(AT330,INDEX(Boundaries!$B$2:$I$30,MATCH(CP330,Boundaries!$A$2:$A$30,0),0),1)-1,""))</f>
        <v/>
      </c>
      <c r="AV330" s="42" t="str">
        <f aca="false">IF(OR(AU330="",$E330=""),"",AU330-$E330)</f>
        <v/>
      </c>
      <c r="AW330" s="39"/>
      <c r="AX330" s="40" t="str">
        <f aca="false">IF(OR(AW330="",CC330=""),"",AW330/CC330*100)</f>
        <v/>
      </c>
      <c r="AY330" s="41" t="str">
        <f aca="false">IF(AX330="","",IFERROR(MATCH(AX330,INDEX(Boundaries!$B$2:$I$30,MATCH(CQ330,Boundaries!$A$2:$A$30,0),0),1)-1,""))</f>
        <v/>
      </c>
      <c r="AZ330" s="42" t="str">
        <f aca="false">IF(OR(AY330="",$E330=""),"",AY330-$E330)</f>
        <v/>
      </c>
      <c r="BA330" s="39"/>
      <c r="BB330" s="40" t="str">
        <f aca="false">IF(OR(BA330="",CD330=""),"",BA330/CD330*100)</f>
        <v/>
      </c>
      <c r="BC330" s="41" t="str">
        <f aca="false">IF(BB330="","",IFERROR(MATCH(BB330,INDEX(Boundaries!$B$2:$I$30,MATCH(CR330,Boundaries!$A$2:$A$30,0),0),1)-1,""))</f>
        <v/>
      </c>
      <c r="BD330" s="42" t="str">
        <f aca="false">IF(OR(BC330="",$E330=""),"",BC330-$E330)</f>
        <v/>
      </c>
      <c r="BE330" s="39"/>
      <c r="BF330" s="40" t="str">
        <f aca="false">IF(OR(BE330="",CE330=""),"",BE330/CE330*100)</f>
        <v/>
      </c>
      <c r="BG330" s="41" t="str">
        <f aca="false">IF(BF330="","",IFERROR(MATCH(BF330,INDEX(Boundaries!$B$2:$I$30,MATCH(CS330,Boundaries!$A$2:$A$30,0),0),1)-1,""))</f>
        <v/>
      </c>
      <c r="BH330" s="42" t="str">
        <f aca="false">IF(OR(BG330="",$E330=""),"",BG330-$E330)</f>
        <v/>
      </c>
      <c r="BI330" s="39"/>
      <c r="BJ330" s="40" t="str">
        <f aca="false">IF(OR(BI330="",CF330=""),"",BI330/CF330*100)</f>
        <v/>
      </c>
      <c r="BK330" s="41" t="str">
        <f aca="false">IF(BJ330="","",IFERROR(MATCH(BJ330,INDEX(Boundaries!$B$2:$I$30,MATCH(CT330,Boundaries!$A$2:$A$30,0),0),1)-1,""))</f>
        <v/>
      </c>
      <c r="BL330" s="42" t="str">
        <f aca="false">IF(OR(BK330="",$E330=""),"",BK330-$E330)</f>
        <v/>
      </c>
      <c r="BM330" s="39"/>
      <c r="BN330" s="40" t="str">
        <f aca="false">IF(OR(BM330="",CG330=""),"",BM330/CG330*100)</f>
        <v/>
      </c>
      <c r="BO330" s="41" t="str">
        <f aca="false">IF(BN330="","",IFERROR(MATCH(BN330,INDEX(Boundaries!$B$2:$I$30,MATCH(CU330,Boundaries!$A$2:$A$30,0),0),1)-1,""))</f>
        <v/>
      </c>
      <c r="BP330" s="42" t="str">
        <f aca="false">IF(OR(BO330="",$E330=""),"",BO330-$E330)</f>
        <v/>
      </c>
      <c r="BQ330" s="39"/>
      <c r="BR330" s="40" t="str">
        <f aca="false">IF(OR(BQ330="",CH330=""),"",BQ330/CH330*100)</f>
        <v/>
      </c>
      <c r="BS330" s="41" t="str">
        <f aca="false">IF(BR330="","",IFERROR(MATCH(BR330,INDEX(Boundaries!$B$2:$I$30,MATCH(CV330,Boundaries!$A$2:$A$30,0),0),1)-1,""))</f>
        <v/>
      </c>
      <c r="BT330" s="42" t="str">
        <f aca="false">IF(OR(BS330="",$E330=""),"",BS330-$E330)</f>
        <v/>
      </c>
      <c r="BU330" s="28" t="n">
        <f aca="false">IFERROR(INDEX(Assessments!$H$2:$H$600,MATCH($H330&amp;"|"&amp;$I330&amp;"|"&amp;$J330&amp;"|"&amp;1,Assessments!$A$2:$A$600,0)),"")</f>
        <v>24</v>
      </c>
      <c r="BV330" s="28" t="n">
        <f aca="false">IFERROR(INDEX(Assessments!$H$2:$H$600,MATCH($H330&amp;"|"&amp;$I330&amp;"|"&amp;$J330&amp;"|"&amp;2,Assessments!$A$2:$A$600,0)),"")</f>
        <v>20</v>
      </c>
      <c r="BW330" s="28" t="n">
        <f aca="false">IFERROR(INDEX(Assessments!$H$2:$H$600,MATCH($H330&amp;"|"&amp;$I330&amp;"|"&amp;$J330&amp;"|"&amp;3,Assessments!$A$2:$A$600,0)),"")</f>
        <v>20</v>
      </c>
      <c r="BX330" s="28" t="n">
        <f aca="false">IFERROR(INDEX(Assessments!$H$2:$H$600,MATCH($H330&amp;"|"&amp;$I330&amp;"|"&amp;$J330&amp;"|"&amp;4,Assessments!$A$2:$A$600,0)),"")</f>
        <v>40</v>
      </c>
      <c r="BY330" s="28" t="n">
        <f aca="false">IFERROR(INDEX(Assessments!$H$2:$H$600,MATCH($H330&amp;"|"&amp;$I330&amp;"|"&amp;$J330&amp;"|"&amp;5,Assessments!$A$2:$A$600,0)),"")</f>
        <v>30</v>
      </c>
      <c r="BZ330" s="28" t="n">
        <f aca="false">IFERROR(INDEX(Assessments!$H$2:$H$600,MATCH($H330&amp;"|"&amp;$I330&amp;"|"&amp;$J330&amp;"|"&amp;6,Assessments!$A$2:$A$600,0)),"")</f>
        <v>20</v>
      </c>
      <c r="CA330" s="28" t="n">
        <f aca="false">IFERROR(INDEX(Assessments!$H$2:$H$600,MATCH($H330&amp;"|"&amp;$I330&amp;"|"&amp;$J330&amp;"|"&amp;7,Assessments!$A$2:$A$600,0)),"")</f>
        <v>50</v>
      </c>
      <c r="CB330" s="28" t="str">
        <f aca="false">IFERROR(INDEX(Assessments!$H$2:$H$600,MATCH($H330&amp;"|"&amp;$I330&amp;"|"&amp;$J330&amp;"|"&amp;8,Assessments!$A$2:$A$600,0)),"")</f>
        <v/>
      </c>
      <c r="CC330" s="28" t="str">
        <f aca="false">IFERROR(INDEX(Assessments!$H$2:$H$600,MATCH($H330&amp;"|"&amp;$I330&amp;"|"&amp;$J330&amp;"|"&amp;9,Assessments!$A$2:$A$600,0)),"")</f>
        <v/>
      </c>
      <c r="CD330" s="28" t="str">
        <f aca="false">IFERROR(INDEX(Assessments!$H$2:$H$600,MATCH($H330&amp;"|"&amp;$I330&amp;"|"&amp;$J330&amp;"|"&amp;10,Assessments!$A$2:$A$600,0)),"")</f>
        <v/>
      </c>
      <c r="CE330" s="28" t="str">
        <f aca="false">IFERROR(INDEX(Assessments!$H$2:$H$600,MATCH($H330&amp;"|"&amp;$I330&amp;"|"&amp;$J330&amp;"|"&amp;11,Assessments!$A$2:$A$600,0)),"")</f>
        <v/>
      </c>
      <c r="CF330" s="28" t="str">
        <f aca="false">IFERROR(INDEX(Assessments!$H$2:$H$600,MATCH($H330&amp;"|"&amp;$I330&amp;"|"&amp;$J330&amp;"|"&amp;12,Assessments!$A$2:$A$600,0)),"")</f>
        <v/>
      </c>
      <c r="CG330" s="28" t="str">
        <f aca="false">IFERROR(INDEX(Assessments!$H$2:$H$600,MATCH($H330&amp;"|"&amp;$I330&amp;"|"&amp;$J330&amp;"|"&amp;13,Assessments!$A$2:$A$600,0)),"")</f>
        <v/>
      </c>
      <c r="CH330" s="28" t="str">
        <f aca="false">IFERROR(INDEX(Assessments!$H$2:$H$600,MATCH($H330&amp;"|"&amp;$I330&amp;"|"&amp;$J330&amp;"|"&amp;14,Assessments!$A$2:$A$600,0)),"")</f>
        <v/>
      </c>
      <c r="CI330" s="28" t="str">
        <f aca="false">IFERROR(INDEX(Assessments!$I$2:$I$600,MATCH($H330&amp;"|"&amp;$I330&amp;"|"&amp;$J330&amp;"|"&amp;1,Assessments!$A$2:$A$600,0)),"")</f>
        <v>BM Test</v>
      </c>
      <c r="CJ330" s="28" t="str">
        <f aca="false">IFERROR(INDEX(Assessments!$I$2:$I$600,MATCH($H330&amp;"|"&amp;$I330&amp;"|"&amp;$J330&amp;"|"&amp;2,Assessments!$A$2:$A$600,0)),"")</f>
        <v>BM Test</v>
      </c>
      <c r="CK330" s="28" t="str">
        <f aca="false">IFERROR(INDEX(Assessments!$I$2:$I$600,MATCH($H330&amp;"|"&amp;$I330&amp;"|"&amp;$J330&amp;"|"&amp;3,Assessments!$A$2:$A$600,0)),"")</f>
        <v>BM Test</v>
      </c>
      <c r="CL330" s="28" t="str">
        <f aca="false">IFERROR(INDEX(Assessments!$I$2:$I$600,MATCH($H330&amp;"|"&amp;$I330&amp;"|"&amp;$J330&amp;"|"&amp;4,Assessments!$A$2:$A$600,0)),"")</f>
        <v>BM Exam</v>
      </c>
      <c r="CM330" s="28" t="str">
        <f aca="false">IFERROR(INDEX(Assessments!$I$2:$I$600,MATCH($H330&amp;"|"&amp;$I330&amp;"|"&amp;$J330&amp;"|"&amp;5,Assessments!$A$2:$A$600,0)),"")</f>
        <v>BM Test</v>
      </c>
      <c r="CN330" s="28" t="str">
        <f aca="false">IFERROR(INDEX(Assessments!$I$2:$I$600,MATCH($H330&amp;"|"&amp;$I330&amp;"|"&amp;$J330&amp;"|"&amp;6,Assessments!$A$2:$A$600,0)),"")</f>
        <v>BM Test</v>
      </c>
      <c r="CO330" s="28" t="str">
        <f aca="false">IFERROR(INDEX(Assessments!$I$2:$I$600,MATCH($H330&amp;"|"&amp;$I330&amp;"|"&amp;$J330&amp;"|"&amp;7,Assessments!$A$2:$A$600,0)),"")</f>
        <v>BM Exam</v>
      </c>
      <c r="CP330" s="28" t="str">
        <f aca="false">IFERROR(INDEX(Assessments!$I$2:$I$600,MATCH($H330&amp;"|"&amp;$I330&amp;"|"&amp;$J330&amp;"|"&amp;8,Assessments!$A$2:$A$600,0)),"")</f>
        <v/>
      </c>
      <c r="CQ330" s="28" t="str">
        <f aca="false">IFERROR(INDEX(Assessments!$I$2:$I$600,MATCH($H330&amp;"|"&amp;$I330&amp;"|"&amp;$J330&amp;"|"&amp;9,Assessments!$A$2:$A$600,0)),"")</f>
        <v/>
      </c>
      <c r="CR330" s="28" t="str">
        <f aca="false">IFERROR(INDEX(Assessments!$I$2:$I$600,MATCH($H330&amp;"|"&amp;$I330&amp;"|"&amp;$J330&amp;"|"&amp;10,Assessments!$A$2:$A$600,0)),"")</f>
        <v/>
      </c>
      <c r="CS330" s="28" t="str">
        <f aca="false">IFERROR(INDEX(Assessments!$I$2:$I$600,MATCH($H330&amp;"|"&amp;$I330&amp;"|"&amp;$J330&amp;"|"&amp;11,Assessments!$A$2:$A$600,0)),"")</f>
        <v/>
      </c>
      <c r="CT330" s="28" t="str">
        <f aca="false">IFERROR(INDEX(Assessments!$I$2:$I$600,MATCH($H330&amp;"|"&amp;$I330&amp;"|"&amp;$J330&amp;"|"&amp;12,Assessments!$A$2:$A$600,0)),"")</f>
        <v/>
      </c>
      <c r="CU330" s="28" t="str">
        <f aca="false">IFERROR(INDEX(Assessments!$I$2:$I$600,MATCH($H330&amp;"|"&amp;$I330&amp;"|"&amp;$J330&amp;"|"&amp;13,Assessments!$A$2:$A$600,0)),"")</f>
        <v/>
      </c>
      <c r="CV330" s="28" t="str">
        <f aca="false">IFERROR(INDEX(Assessments!$I$2:$I$600,MATCH($H330&amp;"|"&amp;$I330&amp;"|"&amp;$J330&amp;"|"&amp;14,Assessments!$A$2:$A$600,0)),"")</f>
        <v/>
      </c>
      <c r="CW330" s="28" t="n">
        <f aca="false">IFERROR(INDEX(Assessments!$J$2:$J$600,MATCH($H330&amp;"|"&amp;$I330&amp;"|"&amp;$J330&amp;"|"&amp;1,Assessments!$A$2:$A$600,0)),0)</f>
        <v>1</v>
      </c>
      <c r="CX330" s="28" t="n">
        <f aca="false">IFERROR(INDEX(Assessments!$J$2:$J$600,MATCH($H330&amp;"|"&amp;$I330&amp;"|"&amp;$J330&amp;"|"&amp;2,Assessments!$A$2:$A$600,0)),0)</f>
        <v>1</v>
      </c>
      <c r="CY330" s="28" t="n">
        <f aca="false">IFERROR(INDEX(Assessments!$J$2:$J$600,MATCH($H330&amp;"|"&amp;$I330&amp;"|"&amp;$J330&amp;"|"&amp;3,Assessments!$A$2:$A$600,0)),0)</f>
        <v>1</v>
      </c>
      <c r="CZ330" s="28" t="n">
        <f aca="false">IFERROR(INDEX(Assessments!$J$2:$J$600,MATCH($H330&amp;"|"&amp;$I330&amp;"|"&amp;$J330&amp;"|"&amp;4,Assessments!$A$2:$A$600,0)),0)</f>
        <v>2</v>
      </c>
      <c r="DA330" s="28" t="n">
        <f aca="false">IFERROR(INDEX(Assessments!$J$2:$J$600,MATCH($H330&amp;"|"&amp;$I330&amp;"|"&amp;$J330&amp;"|"&amp;5,Assessments!$A$2:$A$600,0)),0)</f>
        <v>1</v>
      </c>
      <c r="DB330" s="28" t="n">
        <f aca="false">IFERROR(INDEX(Assessments!$J$2:$J$600,MATCH($H330&amp;"|"&amp;$I330&amp;"|"&amp;$J330&amp;"|"&amp;6,Assessments!$A$2:$A$600,0)),0)</f>
        <v>1</v>
      </c>
      <c r="DC330" s="28" t="n">
        <f aca="false">IFERROR(INDEX(Assessments!$J$2:$J$600,MATCH($H330&amp;"|"&amp;$I330&amp;"|"&amp;$J330&amp;"|"&amp;7,Assessments!$A$2:$A$600,0)),0)</f>
        <v>2</v>
      </c>
      <c r="DD330" s="28" t="n">
        <f aca="false">IFERROR(INDEX(Assessments!$J$2:$J$600,MATCH($H330&amp;"|"&amp;$I330&amp;"|"&amp;$J330&amp;"|"&amp;8,Assessments!$A$2:$A$600,0)),0)</f>
        <v>0</v>
      </c>
      <c r="DE330" s="28" t="n">
        <f aca="false">IFERROR(INDEX(Assessments!$J$2:$J$600,MATCH($H330&amp;"|"&amp;$I330&amp;"|"&amp;$J330&amp;"|"&amp;9,Assessments!$A$2:$A$600,0)),0)</f>
        <v>0</v>
      </c>
      <c r="DF330" s="28" t="n">
        <f aca="false">IFERROR(INDEX(Assessments!$J$2:$J$600,MATCH($H330&amp;"|"&amp;$I330&amp;"|"&amp;$J330&amp;"|"&amp;10,Assessments!$A$2:$A$600,0)),0)</f>
        <v>0</v>
      </c>
      <c r="DG330" s="28" t="n">
        <f aca="false">IFERROR(INDEX(Assessments!$J$2:$J$600,MATCH($H330&amp;"|"&amp;$I330&amp;"|"&amp;$J330&amp;"|"&amp;11,Assessments!$A$2:$A$600,0)),0)</f>
        <v>0</v>
      </c>
      <c r="DH330" s="28" t="n">
        <f aca="false">IFERROR(INDEX(Assessments!$J$2:$J$600,MATCH($H330&amp;"|"&amp;$I330&amp;"|"&amp;$J330&amp;"|"&amp;12,Assessments!$A$2:$A$600,0)),0)</f>
        <v>0</v>
      </c>
      <c r="DI330" s="28" t="n">
        <f aca="false">IFERROR(INDEX(Assessments!$J$2:$J$600,MATCH($H330&amp;"|"&amp;$I330&amp;"|"&amp;$J330&amp;"|"&amp;13,Assessments!$A$2:$A$600,0)),0)</f>
        <v>0</v>
      </c>
      <c r="DJ330" s="28" t="n">
        <f aca="false">IFERROR(INDEX(Assessments!$J$2:$J$600,MATCH($H330&amp;"|"&amp;$I330&amp;"|"&amp;$J330&amp;"|"&amp;14,Assessments!$A$2:$A$600,0)),0)</f>
        <v>0</v>
      </c>
      <c r="DK330" s="28" t="str">
        <f aca="false">S330</f>
        <v/>
      </c>
      <c r="DL330" s="28" t="str">
        <f aca="false">W330</f>
        <v/>
      </c>
      <c r="DM330" s="28" t="str">
        <f aca="false">AA330</f>
        <v/>
      </c>
      <c r="DN330" s="28" t="str">
        <f aca="false">AE330</f>
        <v/>
      </c>
      <c r="DO330" s="28" t="str">
        <f aca="false">AI330</f>
        <v/>
      </c>
      <c r="DP330" s="28" t="str">
        <f aca="false">AM330</f>
        <v/>
      </c>
      <c r="DQ330" s="28" t="str">
        <f aca="false">AQ330</f>
        <v/>
      </c>
      <c r="DR330" s="28" t="str">
        <f aca="false">AU330</f>
        <v/>
      </c>
      <c r="DS330" s="28" t="str">
        <f aca="false">AY330</f>
        <v/>
      </c>
      <c r="DT330" s="28" t="str">
        <f aca="false">BC330</f>
        <v/>
      </c>
      <c r="DU330" s="28" t="str">
        <f aca="false">BG330</f>
        <v/>
      </c>
      <c r="DV330" s="28" t="str">
        <f aca="false">BK330</f>
        <v/>
      </c>
      <c r="DW330" s="28" t="str">
        <f aca="false">BO330</f>
        <v/>
      </c>
      <c r="DX330" s="28" t="str">
        <f aca="false">BS330</f>
        <v/>
      </c>
      <c r="DY330" s="28" t="str">
        <f aca="false">IF(ISNUMBER(S330),1,"")</f>
        <v/>
      </c>
      <c r="DZ330" s="28" t="str">
        <f aca="false">IF(ISNUMBER(W330),2,"")</f>
        <v/>
      </c>
      <c r="EA330" s="28" t="str">
        <f aca="false">IF(ISNUMBER(AA330),3,"")</f>
        <v/>
      </c>
      <c r="EB330" s="28" t="str">
        <f aca="false">IF(ISNUMBER(AE330),4,"")</f>
        <v/>
      </c>
      <c r="EC330" s="28" t="str">
        <f aca="false">IF(ISNUMBER(AI330),5,"")</f>
        <v/>
      </c>
      <c r="ED330" s="28" t="str">
        <f aca="false">IF(ISNUMBER(AM330),6,"")</f>
        <v/>
      </c>
      <c r="EE330" s="28" t="str">
        <f aca="false">IF(ISNUMBER(AQ330),7,"")</f>
        <v/>
      </c>
      <c r="EF330" s="28" t="str">
        <f aca="false">IF(ISNUMBER(AU330),8,"")</f>
        <v/>
      </c>
      <c r="EG330" s="28" t="str">
        <f aca="false">IF(ISNUMBER(AY330),9,"")</f>
        <v/>
      </c>
      <c r="EH330" s="28" t="str">
        <f aca="false">IF(ISNUMBER(BC330),10,"")</f>
        <v/>
      </c>
      <c r="EI330" s="28" t="str">
        <f aca="false">IF(ISNUMBER(BG330),11,"")</f>
        <v/>
      </c>
      <c r="EJ330" s="28" t="str">
        <f aca="false">IF(ISNUMBER(BK330),12,"")</f>
        <v/>
      </c>
      <c r="EK330" s="28" t="str">
        <f aca="false">IF(ISNUMBER(BO330),13,"")</f>
        <v/>
      </c>
      <c r="EL330" s="28" t="str">
        <f aca="false">IF(ISNUMBER(BS330),14,"")</f>
        <v/>
      </c>
      <c r="EM330" s="28" t="n">
        <f aca="false">IF(ISNUMBER(R330),R330*CW330,0)</f>
        <v>0</v>
      </c>
      <c r="EN330" s="28" t="n">
        <f aca="false">IF(ISNUMBER(V330),V330*CX330,0)</f>
        <v>0</v>
      </c>
      <c r="EO330" s="28" t="n">
        <f aca="false">IF(ISNUMBER(Z330),Z330*CY330,0)</f>
        <v>0</v>
      </c>
      <c r="EP330" s="28" t="n">
        <f aca="false">IF(ISNUMBER(AD330),AD330*CZ330,0)</f>
        <v>0</v>
      </c>
      <c r="EQ330" s="28" t="n">
        <f aca="false">IF(ISNUMBER(AH330),AH330*DA330,0)</f>
        <v>0</v>
      </c>
      <c r="ER330" s="28" t="n">
        <f aca="false">IF(ISNUMBER(AL330),AL330*DB330,0)</f>
        <v>0</v>
      </c>
      <c r="ES330" s="28" t="n">
        <f aca="false">IF(ISNUMBER(AP330),AP330*DC330,0)</f>
        <v>0</v>
      </c>
      <c r="ET330" s="28" t="n">
        <f aca="false">IF(ISNUMBER(AT330),AT330*DD330,0)</f>
        <v>0</v>
      </c>
      <c r="EU330" s="28" t="n">
        <f aca="false">IF(ISNUMBER(AX330),AX330*DE330,0)</f>
        <v>0</v>
      </c>
      <c r="EV330" s="28" t="n">
        <f aca="false">IF(ISNUMBER(BB330),BB330*DF330,0)</f>
        <v>0</v>
      </c>
      <c r="EW330" s="28" t="n">
        <f aca="false">IF(ISNUMBER(BF330),BF330*DG330,0)</f>
        <v>0</v>
      </c>
      <c r="EX330" s="28" t="n">
        <f aca="false">IF(ISNUMBER(BJ330),BJ330*DH330,0)</f>
        <v>0</v>
      </c>
      <c r="EY330" s="28" t="n">
        <f aca="false">IF(ISNUMBER(BN330),BN330*DI330,0)</f>
        <v>0</v>
      </c>
      <c r="EZ330" s="28" t="n">
        <f aca="false">IF(ISNUMBER(BR330),BR330*DJ330,0)</f>
        <v>0</v>
      </c>
      <c r="FA330" s="28" t="n">
        <f aca="false">IF(ISNUMBER(R330),CW330,0)</f>
        <v>0</v>
      </c>
      <c r="FB330" s="28" t="n">
        <f aca="false">IF(ISNUMBER(V330),CX330,0)</f>
        <v>0</v>
      </c>
      <c r="FC330" s="28" t="n">
        <f aca="false">IF(ISNUMBER(Z330),CY330,0)</f>
        <v>0</v>
      </c>
      <c r="FD330" s="28" t="n">
        <f aca="false">IF(ISNUMBER(AD330),CZ330,0)</f>
        <v>0</v>
      </c>
      <c r="FE330" s="28" t="n">
        <f aca="false">IF(ISNUMBER(AH330),DA330,0)</f>
        <v>0</v>
      </c>
      <c r="FF330" s="28" t="n">
        <f aca="false">IF(ISNUMBER(AL330),DB330,0)</f>
        <v>0</v>
      </c>
      <c r="FG330" s="28" t="n">
        <f aca="false">IF(ISNUMBER(AP330),DC330,0)</f>
        <v>0</v>
      </c>
      <c r="FH330" s="28" t="n">
        <f aca="false">IF(ISNUMBER(AT330),DD330,0)</f>
        <v>0</v>
      </c>
      <c r="FI330" s="28" t="n">
        <f aca="false">IF(ISNUMBER(AX330),DE330,0)</f>
        <v>0</v>
      </c>
      <c r="FJ330" s="28" t="n">
        <f aca="false">IF(ISNUMBER(BB330),DF330,0)</f>
        <v>0</v>
      </c>
      <c r="FK330" s="28" t="n">
        <f aca="false">IF(ISNUMBER(BF330),DG330,0)</f>
        <v>0</v>
      </c>
      <c r="FL330" s="28" t="n">
        <f aca="false">IF(ISNUMBER(BJ330),DH330,0)</f>
        <v>0</v>
      </c>
      <c r="FM330" s="28" t="n">
        <f aca="false">IF(ISNUMBER(BN330),DI330,0)</f>
        <v>0</v>
      </c>
      <c r="FN330" s="28" t="n">
        <f aca="false">IF(ISNUMBER(BR330),DJ330,0)</f>
        <v>0</v>
      </c>
      <c r="FO330" s="28" t="str">
        <f aca="false">IFERROR(INDEX(Lists!$G$2:$G$20,MATCH($I330&amp;"|"&amp;$J330,Lists!$F$2:$F$20,0)),"")</f>
        <v>BM Exam</v>
      </c>
    </row>
    <row r="331" customFormat="false" ht="19.5" hidden="false" customHeight="true" outlineLevel="0" collapsed="false">
      <c r="A331" s="29" t="s">
        <v>433</v>
      </c>
      <c r="B331" s="29" t="s">
        <v>434</v>
      </c>
      <c r="C331" s="30" t="s">
        <v>192</v>
      </c>
      <c r="D331" s="30" t="s">
        <v>625</v>
      </c>
      <c r="E331" s="31"/>
      <c r="F331" s="30"/>
      <c r="G331" s="30"/>
      <c r="H331" s="32" t="s">
        <v>428</v>
      </c>
      <c r="I331" s="33" t="s">
        <v>365</v>
      </c>
      <c r="J331" s="32" t="s">
        <v>25</v>
      </c>
      <c r="K331" s="34" t="str">
        <f aca="false">IF(OR(M331="",$E331=""),"",M331-$E331)</f>
        <v/>
      </c>
      <c r="L331" s="35" t="str">
        <f aca="false">IF(SUM(FA331:FN331)=0,"",SUM(EM331:EZ331)/SUM(FA331:FN331))</f>
        <v/>
      </c>
      <c r="M331" s="36" t="str">
        <f aca="false">IF(OR(L331="",FO331=""),"",IFERROR(MATCH(L331,INDEX(Boundaries!$B$2:$I$30,MATCH(FO331,Boundaries!$A$2:$A$30,0),0),1)-1,""))</f>
        <v/>
      </c>
      <c r="N331" s="37" t="str">
        <f aca="false">IF(COUNT($DY331:$EL331)&lt;2,"",INDEX($DK331:$DX331,MAX($DY331:$EL331))-INDEX($DK331:$DX331,MIN($DY331:$EL331)))</f>
        <v/>
      </c>
      <c r="O331" s="37" t="str">
        <f aca="false">IF(COUNT($DY331:$EL331)&lt;2,"",INDEX($DK331:$DX331,MAX($DY331:$EL331))-INDEX($DK331:$DX331,LARGE($DY331:$EL331,2)))</f>
        <v/>
      </c>
      <c r="P331" s="38" t="str">
        <f aca="false">IF(K331="","",IF(K331&gt;=0,"On/above target",IF(AND(N331&lt;&gt;"",N331&gt;=0.5),"Improving towards target",IF(AND(O331&lt;&gt;"",O331&lt;=-0.5),"Declining","Stable below target"))))</f>
        <v/>
      </c>
      <c r="Q331" s="39"/>
      <c r="R331" s="40" t="str">
        <f aca="false">IF(OR(Q331="",BU331=""),"",Q331/BU331*100)</f>
        <v/>
      </c>
      <c r="S331" s="41" t="str">
        <f aca="false">IF(R331="","",IFERROR(MATCH(R331,INDEX(Boundaries!$B$2:$I$30,MATCH(CI331,Boundaries!$A$2:$A$30,0),0),1)-1,""))</f>
        <v/>
      </c>
      <c r="T331" s="42" t="str">
        <f aca="false">IF(OR(S331="",$E331=""),"",S331-$E331)</f>
        <v/>
      </c>
      <c r="U331" s="39"/>
      <c r="V331" s="40" t="str">
        <f aca="false">IF(OR(U331="",BV331=""),"",U331/BV331*100)</f>
        <v/>
      </c>
      <c r="W331" s="41" t="str">
        <f aca="false">IF(V331="","",IFERROR(MATCH(V331,INDEX(Boundaries!$B$2:$I$30,MATCH(CJ331,Boundaries!$A$2:$A$30,0),0),1)-1,""))</f>
        <v/>
      </c>
      <c r="X331" s="42" t="str">
        <f aca="false">IF(OR(W331="",$E331=""),"",W331-$E331)</f>
        <v/>
      </c>
      <c r="Y331" s="39"/>
      <c r="Z331" s="40" t="str">
        <f aca="false">IF(OR(Y331="",BW331=""),"",Y331/BW331*100)</f>
        <v/>
      </c>
      <c r="AA331" s="41" t="str">
        <f aca="false">IF(Z331="","",IFERROR(MATCH(Z331,INDEX(Boundaries!$B$2:$I$30,MATCH(CK331,Boundaries!$A$2:$A$30,0),0),1)-1,""))</f>
        <v/>
      </c>
      <c r="AB331" s="42" t="str">
        <f aca="false">IF(OR(AA331="",$E331=""),"",AA331-$E331)</f>
        <v/>
      </c>
      <c r="AC331" s="39"/>
      <c r="AD331" s="40" t="str">
        <f aca="false">IF(OR(AC331="",BX331=""),"",AC331/BX331*100)</f>
        <v/>
      </c>
      <c r="AE331" s="41" t="str">
        <f aca="false">IF(AD331="","",IFERROR(MATCH(AD331,INDEX(Boundaries!$B$2:$I$30,MATCH(CL331,Boundaries!$A$2:$A$30,0),0),1)-1,""))</f>
        <v/>
      </c>
      <c r="AF331" s="42" t="str">
        <f aca="false">IF(OR(AE331="",$E331=""),"",AE331-$E331)</f>
        <v/>
      </c>
      <c r="AG331" s="39"/>
      <c r="AH331" s="40" t="str">
        <f aca="false">IF(OR(AG331="",BY331=""),"",AG331/BY331*100)</f>
        <v/>
      </c>
      <c r="AI331" s="41" t="str">
        <f aca="false">IF(AH331="","",IFERROR(MATCH(AH331,INDEX(Boundaries!$B$2:$I$30,MATCH(CM331,Boundaries!$A$2:$A$30,0),0),1)-1,""))</f>
        <v/>
      </c>
      <c r="AJ331" s="42" t="str">
        <f aca="false">IF(OR(AI331="",$E331=""),"",AI331-$E331)</f>
        <v/>
      </c>
      <c r="AK331" s="39"/>
      <c r="AL331" s="40" t="str">
        <f aca="false">IF(OR(AK331="",BZ331=""),"",AK331/BZ331*100)</f>
        <v/>
      </c>
      <c r="AM331" s="41" t="str">
        <f aca="false">IF(AL331="","",IFERROR(MATCH(AL331,INDEX(Boundaries!$B$2:$I$30,MATCH(CN331,Boundaries!$A$2:$A$30,0),0),1)-1,""))</f>
        <v/>
      </c>
      <c r="AN331" s="42" t="str">
        <f aca="false">IF(OR(AM331="",$E331=""),"",AM331-$E331)</f>
        <v/>
      </c>
      <c r="AO331" s="39"/>
      <c r="AP331" s="40" t="str">
        <f aca="false">IF(OR(AO331="",CA331=""),"",AO331/CA331*100)</f>
        <v/>
      </c>
      <c r="AQ331" s="41" t="str">
        <f aca="false">IF(AP331="","",IFERROR(MATCH(AP331,INDEX(Boundaries!$B$2:$I$30,MATCH(CO331,Boundaries!$A$2:$A$30,0),0),1)-1,""))</f>
        <v/>
      </c>
      <c r="AR331" s="42" t="str">
        <f aca="false">IF(OR(AQ331="",$E331=""),"",AQ331-$E331)</f>
        <v/>
      </c>
      <c r="AS331" s="39"/>
      <c r="AT331" s="40" t="str">
        <f aca="false">IF(OR(AS331="",CB331=""),"",AS331/CB331*100)</f>
        <v/>
      </c>
      <c r="AU331" s="41" t="str">
        <f aca="false">IF(AT331="","",IFERROR(MATCH(AT331,INDEX(Boundaries!$B$2:$I$30,MATCH(CP331,Boundaries!$A$2:$A$30,0),0),1)-1,""))</f>
        <v/>
      </c>
      <c r="AV331" s="42" t="str">
        <f aca="false">IF(OR(AU331="",$E331=""),"",AU331-$E331)</f>
        <v/>
      </c>
      <c r="AW331" s="39"/>
      <c r="AX331" s="40" t="str">
        <f aca="false">IF(OR(AW331="",CC331=""),"",AW331/CC331*100)</f>
        <v/>
      </c>
      <c r="AY331" s="41" t="str">
        <f aca="false">IF(AX331="","",IFERROR(MATCH(AX331,INDEX(Boundaries!$B$2:$I$30,MATCH(CQ331,Boundaries!$A$2:$A$30,0),0),1)-1,""))</f>
        <v/>
      </c>
      <c r="AZ331" s="42" t="str">
        <f aca="false">IF(OR(AY331="",$E331=""),"",AY331-$E331)</f>
        <v/>
      </c>
      <c r="BA331" s="39"/>
      <c r="BB331" s="40" t="str">
        <f aca="false">IF(OR(BA331="",CD331=""),"",BA331/CD331*100)</f>
        <v/>
      </c>
      <c r="BC331" s="41" t="str">
        <f aca="false">IF(BB331="","",IFERROR(MATCH(BB331,INDEX(Boundaries!$B$2:$I$30,MATCH(CR331,Boundaries!$A$2:$A$30,0),0),1)-1,""))</f>
        <v/>
      </c>
      <c r="BD331" s="42" t="str">
        <f aca="false">IF(OR(BC331="",$E331=""),"",BC331-$E331)</f>
        <v/>
      </c>
      <c r="BE331" s="39"/>
      <c r="BF331" s="40" t="str">
        <f aca="false">IF(OR(BE331="",CE331=""),"",BE331/CE331*100)</f>
        <v/>
      </c>
      <c r="BG331" s="41" t="str">
        <f aca="false">IF(BF331="","",IFERROR(MATCH(BF331,INDEX(Boundaries!$B$2:$I$30,MATCH(CS331,Boundaries!$A$2:$A$30,0),0),1)-1,""))</f>
        <v/>
      </c>
      <c r="BH331" s="42" t="str">
        <f aca="false">IF(OR(BG331="",$E331=""),"",BG331-$E331)</f>
        <v/>
      </c>
      <c r="BI331" s="39"/>
      <c r="BJ331" s="40" t="str">
        <f aca="false">IF(OR(BI331="",CF331=""),"",BI331/CF331*100)</f>
        <v/>
      </c>
      <c r="BK331" s="41" t="str">
        <f aca="false">IF(BJ331="","",IFERROR(MATCH(BJ331,INDEX(Boundaries!$B$2:$I$30,MATCH(CT331,Boundaries!$A$2:$A$30,0),0),1)-1,""))</f>
        <v/>
      </c>
      <c r="BL331" s="42" t="str">
        <f aca="false">IF(OR(BK331="",$E331=""),"",BK331-$E331)</f>
        <v/>
      </c>
      <c r="BM331" s="39"/>
      <c r="BN331" s="40" t="str">
        <f aca="false">IF(OR(BM331="",CG331=""),"",BM331/CG331*100)</f>
        <v/>
      </c>
      <c r="BO331" s="41" t="str">
        <f aca="false">IF(BN331="","",IFERROR(MATCH(BN331,INDEX(Boundaries!$B$2:$I$30,MATCH(CU331,Boundaries!$A$2:$A$30,0),0),1)-1,""))</f>
        <v/>
      </c>
      <c r="BP331" s="42" t="str">
        <f aca="false">IF(OR(BO331="",$E331=""),"",BO331-$E331)</f>
        <v/>
      </c>
      <c r="BQ331" s="39"/>
      <c r="BR331" s="40" t="str">
        <f aca="false">IF(OR(BQ331="",CH331=""),"",BQ331/CH331*100)</f>
        <v/>
      </c>
      <c r="BS331" s="41" t="str">
        <f aca="false">IF(BR331="","",IFERROR(MATCH(BR331,INDEX(Boundaries!$B$2:$I$30,MATCH(CV331,Boundaries!$A$2:$A$30,0),0),1)-1,""))</f>
        <v/>
      </c>
      <c r="BT331" s="42" t="str">
        <f aca="false">IF(OR(BS331="",$E331=""),"",BS331-$E331)</f>
        <v/>
      </c>
      <c r="BU331" s="28" t="n">
        <f aca="false">IFERROR(INDEX(Assessments!$H$2:$H$600,MATCH($H331&amp;"|"&amp;$I331&amp;"|"&amp;$J331&amp;"|"&amp;1,Assessments!$A$2:$A$600,0)),"")</f>
        <v>24</v>
      </c>
      <c r="BV331" s="28" t="n">
        <f aca="false">IFERROR(INDEX(Assessments!$H$2:$H$600,MATCH($H331&amp;"|"&amp;$I331&amp;"|"&amp;$J331&amp;"|"&amp;2,Assessments!$A$2:$A$600,0)),"")</f>
        <v>20</v>
      </c>
      <c r="BW331" s="28" t="n">
        <f aca="false">IFERROR(INDEX(Assessments!$H$2:$H$600,MATCH($H331&amp;"|"&amp;$I331&amp;"|"&amp;$J331&amp;"|"&amp;3,Assessments!$A$2:$A$600,0)),"")</f>
        <v>20</v>
      </c>
      <c r="BX331" s="28" t="n">
        <f aca="false">IFERROR(INDEX(Assessments!$H$2:$H$600,MATCH($H331&amp;"|"&amp;$I331&amp;"|"&amp;$J331&amp;"|"&amp;4,Assessments!$A$2:$A$600,0)),"")</f>
        <v>40</v>
      </c>
      <c r="BY331" s="28" t="n">
        <f aca="false">IFERROR(INDEX(Assessments!$H$2:$H$600,MATCH($H331&amp;"|"&amp;$I331&amp;"|"&amp;$J331&amp;"|"&amp;5,Assessments!$A$2:$A$600,0)),"")</f>
        <v>30</v>
      </c>
      <c r="BZ331" s="28" t="n">
        <f aca="false">IFERROR(INDEX(Assessments!$H$2:$H$600,MATCH($H331&amp;"|"&amp;$I331&amp;"|"&amp;$J331&amp;"|"&amp;6,Assessments!$A$2:$A$600,0)),"")</f>
        <v>20</v>
      </c>
      <c r="CA331" s="28" t="n">
        <f aca="false">IFERROR(INDEX(Assessments!$H$2:$H$600,MATCH($H331&amp;"|"&amp;$I331&amp;"|"&amp;$J331&amp;"|"&amp;7,Assessments!$A$2:$A$600,0)),"")</f>
        <v>50</v>
      </c>
      <c r="CB331" s="28" t="str">
        <f aca="false">IFERROR(INDEX(Assessments!$H$2:$H$600,MATCH($H331&amp;"|"&amp;$I331&amp;"|"&amp;$J331&amp;"|"&amp;8,Assessments!$A$2:$A$600,0)),"")</f>
        <v/>
      </c>
      <c r="CC331" s="28" t="str">
        <f aca="false">IFERROR(INDEX(Assessments!$H$2:$H$600,MATCH($H331&amp;"|"&amp;$I331&amp;"|"&amp;$J331&amp;"|"&amp;9,Assessments!$A$2:$A$600,0)),"")</f>
        <v/>
      </c>
      <c r="CD331" s="28" t="str">
        <f aca="false">IFERROR(INDEX(Assessments!$H$2:$H$600,MATCH($H331&amp;"|"&amp;$I331&amp;"|"&amp;$J331&amp;"|"&amp;10,Assessments!$A$2:$A$600,0)),"")</f>
        <v/>
      </c>
      <c r="CE331" s="28" t="str">
        <f aca="false">IFERROR(INDEX(Assessments!$H$2:$H$600,MATCH($H331&amp;"|"&amp;$I331&amp;"|"&amp;$J331&amp;"|"&amp;11,Assessments!$A$2:$A$600,0)),"")</f>
        <v/>
      </c>
      <c r="CF331" s="28" t="str">
        <f aca="false">IFERROR(INDEX(Assessments!$H$2:$H$600,MATCH($H331&amp;"|"&amp;$I331&amp;"|"&amp;$J331&amp;"|"&amp;12,Assessments!$A$2:$A$600,0)),"")</f>
        <v/>
      </c>
      <c r="CG331" s="28" t="str">
        <f aca="false">IFERROR(INDEX(Assessments!$H$2:$H$600,MATCH($H331&amp;"|"&amp;$I331&amp;"|"&amp;$J331&amp;"|"&amp;13,Assessments!$A$2:$A$600,0)),"")</f>
        <v/>
      </c>
      <c r="CH331" s="28" t="str">
        <f aca="false">IFERROR(INDEX(Assessments!$H$2:$H$600,MATCH($H331&amp;"|"&amp;$I331&amp;"|"&amp;$J331&amp;"|"&amp;14,Assessments!$A$2:$A$600,0)),"")</f>
        <v/>
      </c>
      <c r="CI331" s="28" t="str">
        <f aca="false">IFERROR(INDEX(Assessments!$I$2:$I$600,MATCH($H331&amp;"|"&amp;$I331&amp;"|"&amp;$J331&amp;"|"&amp;1,Assessments!$A$2:$A$600,0)),"")</f>
        <v>BM Test</v>
      </c>
      <c r="CJ331" s="28" t="str">
        <f aca="false">IFERROR(INDEX(Assessments!$I$2:$I$600,MATCH($H331&amp;"|"&amp;$I331&amp;"|"&amp;$J331&amp;"|"&amp;2,Assessments!$A$2:$A$600,0)),"")</f>
        <v>BM Test</v>
      </c>
      <c r="CK331" s="28" t="str">
        <f aca="false">IFERROR(INDEX(Assessments!$I$2:$I$600,MATCH($H331&amp;"|"&amp;$I331&amp;"|"&amp;$J331&amp;"|"&amp;3,Assessments!$A$2:$A$600,0)),"")</f>
        <v>BM Test</v>
      </c>
      <c r="CL331" s="28" t="str">
        <f aca="false">IFERROR(INDEX(Assessments!$I$2:$I$600,MATCH($H331&amp;"|"&amp;$I331&amp;"|"&amp;$J331&amp;"|"&amp;4,Assessments!$A$2:$A$600,0)),"")</f>
        <v>BM Exam</v>
      </c>
      <c r="CM331" s="28" t="str">
        <f aca="false">IFERROR(INDEX(Assessments!$I$2:$I$600,MATCH($H331&amp;"|"&amp;$I331&amp;"|"&amp;$J331&amp;"|"&amp;5,Assessments!$A$2:$A$600,0)),"")</f>
        <v>BM Test</v>
      </c>
      <c r="CN331" s="28" t="str">
        <f aca="false">IFERROR(INDEX(Assessments!$I$2:$I$600,MATCH($H331&amp;"|"&amp;$I331&amp;"|"&amp;$J331&amp;"|"&amp;6,Assessments!$A$2:$A$600,0)),"")</f>
        <v>BM Test</v>
      </c>
      <c r="CO331" s="28" t="str">
        <f aca="false">IFERROR(INDEX(Assessments!$I$2:$I$600,MATCH($H331&amp;"|"&amp;$I331&amp;"|"&amp;$J331&amp;"|"&amp;7,Assessments!$A$2:$A$600,0)),"")</f>
        <v>BM Exam</v>
      </c>
      <c r="CP331" s="28" t="str">
        <f aca="false">IFERROR(INDEX(Assessments!$I$2:$I$600,MATCH($H331&amp;"|"&amp;$I331&amp;"|"&amp;$J331&amp;"|"&amp;8,Assessments!$A$2:$A$600,0)),"")</f>
        <v/>
      </c>
      <c r="CQ331" s="28" t="str">
        <f aca="false">IFERROR(INDEX(Assessments!$I$2:$I$600,MATCH($H331&amp;"|"&amp;$I331&amp;"|"&amp;$J331&amp;"|"&amp;9,Assessments!$A$2:$A$600,0)),"")</f>
        <v/>
      </c>
      <c r="CR331" s="28" t="str">
        <f aca="false">IFERROR(INDEX(Assessments!$I$2:$I$600,MATCH($H331&amp;"|"&amp;$I331&amp;"|"&amp;$J331&amp;"|"&amp;10,Assessments!$A$2:$A$600,0)),"")</f>
        <v/>
      </c>
      <c r="CS331" s="28" t="str">
        <f aca="false">IFERROR(INDEX(Assessments!$I$2:$I$600,MATCH($H331&amp;"|"&amp;$I331&amp;"|"&amp;$J331&amp;"|"&amp;11,Assessments!$A$2:$A$600,0)),"")</f>
        <v/>
      </c>
      <c r="CT331" s="28" t="str">
        <f aca="false">IFERROR(INDEX(Assessments!$I$2:$I$600,MATCH($H331&amp;"|"&amp;$I331&amp;"|"&amp;$J331&amp;"|"&amp;12,Assessments!$A$2:$A$600,0)),"")</f>
        <v/>
      </c>
      <c r="CU331" s="28" t="str">
        <f aca="false">IFERROR(INDEX(Assessments!$I$2:$I$600,MATCH($H331&amp;"|"&amp;$I331&amp;"|"&amp;$J331&amp;"|"&amp;13,Assessments!$A$2:$A$600,0)),"")</f>
        <v/>
      </c>
      <c r="CV331" s="28" t="str">
        <f aca="false">IFERROR(INDEX(Assessments!$I$2:$I$600,MATCH($H331&amp;"|"&amp;$I331&amp;"|"&amp;$J331&amp;"|"&amp;14,Assessments!$A$2:$A$600,0)),"")</f>
        <v/>
      </c>
      <c r="CW331" s="28" t="n">
        <f aca="false">IFERROR(INDEX(Assessments!$J$2:$J$600,MATCH($H331&amp;"|"&amp;$I331&amp;"|"&amp;$J331&amp;"|"&amp;1,Assessments!$A$2:$A$600,0)),0)</f>
        <v>1</v>
      </c>
      <c r="CX331" s="28" t="n">
        <f aca="false">IFERROR(INDEX(Assessments!$J$2:$J$600,MATCH($H331&amp;"|"&amp;$I331&amp;"|"&amp;$J331&amp;"|"&amp;2,Assessments!$A$2:$A$600,0)),0)</f>
        <v>1</v>
      </c>
      <c r="CY331" s="28" t="n">
        <f aca="false">IFERROR(INDEX(Assessments!$J$2:$J$600,MATCH($H331&amp;"|"&amp;$I331&amp;"|"&amp;$J331&amp;"|"&amp;3,Assessments!$A$2:$A$600,0)),0)</f>
        <v>1</v>
      </c>
      <c r="CZ331" s="28" t="n">
        <f aca="false">IFERROR(INDEX(Assessments!$J$2:$J$600,MATCH($H331&amp;"|"&amp;$I331&amp;"|"&amp;$J331&amp;"|"&amp;4,Assessments!$A$2:$A$600,0)),0)</f>
        <v>2</v>
      </c>
      <c r="DA331" s="28" t="n">
        <f aca="false">IFERROR(INDEX(Assessments!$J$2:$J$600,MATCH($H331&amp;"|"&amp;$I331&amp;"|"&amp;$J331&amp;"|"&amp;5,Assessments!$A$2:$A$600,0)),0)</f>
        <v>1</v>
      </c>
      <c r="DB331" s="28" t="n">
        <f aca="false">IFERROR(INDEX(Assessments!$J$2:$J$600,MATCH($H331&amp;"|"&amp;$I331&amp;"|"&amp;$J331&amp;"|"&amp;6,Assessments!$A$2:$A$600,0)),0)</f>
        <v>1</v>
      </c>
      <c r="DC331" s="28" t="n">
        <f aca="false">IFERROR(INDEX(Assessments!$J$2:$J$600,MATCH($H331&amp;"|"&amp;$I331&amp;"|"&amp;$J331&amp;"|"&amp;7,Assessments!$A$2:$A$600,0)),0)</f>
        <v>2</v>
      </c>
      <c r="DD331" s="28" t="n">
        <f aca="false">IFERROR(INDEX(Assessments!$J$2:$J$600,MATCH($H331&amp;"|"&amp;$I331&amp;"|"&amp;$J331&amp;"|"&amp;8,Assessments!$A$2:$A$600,0)),0)</f>
        <v>0</v>
      </c>
      <c r="DE331" s="28" t="n">
        <f aca="false">IFERROR(INDEX(Assessments!$J$2:$J$600,MATCH($H331&amp;"|"&amp;$I331&amp;"|"&amp;$J331&amp;"|"&amp;9,Assessments!$A$2:$A$600,0)),0)</f>
        <v>0</v>
      </c>
      <c r="DF331" s="28" t="n">
        <f aca="false">IFERROR(INDEX(Assessments!$J$2:$J$600,MATCH($H331&amp;"|"&amp;$I331&amp;"|"&amp;$J331&amp;"|"&amp;10,Assessments!$A$2:$A$600,0)),0)</f>
        <v>0</v>
      </c>
      <c r="DG331" s="28" t="n">
        <f aca="false">IFERROR(INDEX(Assessments!$J$2:$J$600,MATCH($H331&amp;"|"&amp;$I331&amp;"|"&amp;$J331&amp;"|"&amp;11,Assessments!$A$2:$A$600,0)),0)</f>
        <v>0</v>
      </c>
      <c r="DH331" s="28" t="n">
        <f aca="false">IFERROR(INDEX(Assessments!$J$2:$J$600,MATCH($H331&amp;"|"&amp;$I331&amp;"|"&amp;$J331&amp;"|"&amp;12,Assessments!$A$2:$A$600,0)),0)</f>
        <v>0</v>
      </c>
      <c r="DI331" s="28" t="n">
        <f aca="false">IFERROR(INDEX(Assessments!$J$2:$J$600,MATCH($H331&amp;"|"&amp;$I331&amp;"|"&amp;$J331&amp;"|"&amp;13,Assessments!$A$2:$A$600,0)),0)</f>
        <v>0</v>
      </c>
      <c r="DJ331" s="28" t="n">
        <f aca="false">IFERROR(INDEX(Assessments!$J$2:$J$600,MATCH($H331&amp;"|"&amp;$I331&amp;"|"&amp;$J331&amp;"|"&amp;14,Assessments!$A$2:$A$600,0)),0)</f>
        <v>0</v>
      </c>
      <c r="DK331" s="28" t="str">
        <f aca="false">S331</f>
        <v/>
      </c>
      <c r="DL331" s="28" t="str">
        <f aca="false">W331</f>
        <v/>
      </c>
      <c r="DM331" s="28" t="str">
        <f aca="false">AA331</f>
        <v/>
      </c>
      <c r="DN331" s="28" t="str">
        <f aca="false">AE331</f>
        <v/>
      </c>
      <c r="DO331" s="28" t="str">
        <f aca="false">AI331</f>
        <v/>
      </c>
      <c r="DP331" s="28" t="str">
        <f aca="false">AM331</f>
        <v/>
      </c>
      <c r="DQ331" s="28" t="str">
        <f aca="false">AQ331</f>
        <v/>
      </c>
      <c r="DR331" s="28" t="str">
        <f aca="false">AU331</f>
        <v/>
      </c>
      <c r="DS331" s="28" t="str">
        <f aca="false">AY331</f>
        <v/>
      </c>
      <c r="DT331" s="28" t="str">
        <f aca="false">BC331</f>
        <v/>
      </c>
      <c r="DU331" s="28" t="str">
        <f aca="false">BG331</f>
        <v/>
      </c>
      <c r="DV331" s="28" t="str">
        <f aca="false">BK331</f>
        <v/>
      </c>
      <c r="DW331" s="28" t="str">
        <f aca="false">BO331</f>
        <v/>
      </c>
      <c r="DX331" s="28" t="str">
        <f aca="false">BS331</f>
        <v/>
      </c>
      <c r="DY331" s="28" t="str">
        <f aca="false">IF(ISNUMBER(S331),1,"")</f>
        <v/>
      </c>
      <c r="DZ331" s="28" t="str">
        <f aca="false">IF(ISNUMBER(W331),2,"")</f>
        <v/>
      </c>
      <c r="EA331" s="28" t="str">
        <f aca="false">IF(ISNUMBER(AA331),3,"")</f>
        <v/>
      </c>
      <c r="EB331" s="28" t="str">
        <f aca="false">IF(ISNUMBER(AE331),4,"")</f>
        <v/>
      </c>
      <c r="EC331" s="28" t="str">
        <f aca="false">IF(ISNUMBER(AI331),5,"")</f>
        <v/>
      </c>
      <c r="ED331" s="28" t="str">
        <f aca="false">IF(ISNUMBER(AM331),6,"")</f>
        <v/>
      </c>
      <c r="EE331" s="28" t="str">
        <f aca="false">IF(ISNUMBER(AQ331),7,"")</f>
        <v/>
      </c>
      <c r="EF331" s="28" t="str">
        <f aca="false">IF(ISNUMBER(AU331),8,"")</f>
        <v/>
      </c>
      <c r="EG331" s="28" t="str">
        <f aca="false">IF(ISNUMBER(AY331),9,"")</f>
        <v/>
      </c>
      <c r="EH331" s="28" t="str">
        <f aca="false">IF(ISNUMBER(BC331),10,"")</f>
        <v/>
      </c>
      <c r="EI331" s="28" t="str">
        <f aca="false">IF(ISNUMBER(BG331),11,"")</f>
        <v/>
      </c>
      <c r="EJ331" s="28" t="str">
        <f aca="false">IF(ISNUMBER(BK331),12,"")</f>
        <v/>
      </c>
      <c r="EK331" s="28" t="str">
        <f aca="false">IF(ISNUMBER(BO331),13,"")</f>
        <v/>
      </c>
      <c r="EL331" s="28" t="str">
        <f aca="false">IF(ISNUMBER(BS331),14,"")</f>
        <v/>
      </c>
      <c r="EM331" s="28" t="n">
        <f aca="false">IF(ISNUMBER(R331),R331*CW331,0)</f>
        <v>0</v>
      </c>
      <c r="EN331" s="28" t="n">
        <f aca="false">IF(ISNUMBER(V331),V331*CX331,0)</f>
        <v>0</v>
      </c>
      <c r="EO331" s="28" t="n">
        <f aca="false">IF(ISNUMBER(Z331),Z331*CY331,0)</f>
        <v>0</v>
      </c>
      <c r="EP331" s="28" t="n">
        <f aca="false">IF(ISNUMBER(AD331),AD331*CZ331,0)</f>
        <v>0</v>
      </c>
      <c r="EQ331" s="28" t="n">
        <f aca="false">IF(ISNUMBER(AH331),AH331*DA331,0)</f>
        <v>0</v>
      </c>
      <c r="ER331" s="28" t="n">
        <f aca="false">IF(ISNUMBER(AL331),AL331*DB331,0)</f>
        <v>0</v>
      </c>
      <c r="ES331" s="28" t="n">
        <f aca="false">IF(ISNUMBER(AP331),AP331*DC331,0)</f>
        <v>0</v>
      </c>
      <c r="ET331" s="28" t="n">
        <f aca="false">IF(ISNUMBER(AT331),AT331*DD331,0)</f>
        <v>0</v>
      </c>
      <c r="EU331" s="28" t="n">
        <f aca="false">IF(ISNUMBER(AX331),AX331*DE331,0)</f>
        <v>0</v>
      </c>
      <c r="EV331" s="28" t="n">
        <f aca="false">IF(ISNUMBER(BB331),BB331*DF331,0)</f>
        <v>0</v>
      </c>
      <c r="EW331" s="28" t="n">
        <f aca="false">IF(ISNUMBER(BF331),BF331*DG331,0)</f>
        <v>0</v>
      </c>
      <c r="EX331" s="28" t="n">
        <f aca="false">IF(ISNUMBER(BJ331),BJ331*DH331,0)</f>
        <v>0</v>
      </c>
      <c r="EY331" s="28" t="n">
        <f aca="false">IF(ISNUMBER(BN331),BN331*DI331,0)</f>
        <v>0</v>
      </c>
      <c r="EZ331" s="28" t="n">
        <f aca="false">IF(ISNUMBER(BR331),BR331*DJ331,0)</f>
        <v>0</v>
      </c>
      <c r="FA331" s="28" t="n">
        <f aca="false">IF(ISNUMBER(R331),CW331,0)</f>
        <v>0</v>
      </c>
      <c r="FB331" s="28" t="n">
        <f aca="false">IF(ISNUMBER(V331),CX331,0)</f>
        <v>0</v>
      </c>
      <c r="FC331" s="28" t="n">
        <f aca="false">IF(ISNUMBER(Z331),CY331,0)</f>
        <v>0</v>
      </c>
      <c r="FD331" s="28" t="n">
        <f aca="false">IF(ISNUMBER(AD331),CZ331,0)</f>
        <v>0</v>
      </c>
      <c r="FE331" s="28" t="n">
        <f aca="false">IF(ISNUMBER(AH331),DA331,0)</f>
        <v>0</v>
      </c>
      <c r="FF331" s="28" t="n">
        <f aca="false">IF(ISNUMBER(AL331),DB331,0)</f>
        <v>0</v>
      </c>
      <c r="FG331" s="28" t="n">
        <f aca="false">IF(ISNUMBER(AP331),DC331,0)</f>
        <v>0</v>
      </c>
      <c r="FH331" s="28" t="n">
        <f aca="false">IF(ISNUMBER(AT331),DD331,0)</f>
        <v>0</v>
      </c>
      <c r="FI331" s="28" t="n">
        <f aca="false">IF(ISNUMBER(AX331),DE331,0)</f>
        <v>0</v>
      </c>
      <c r="FJ331" s="28" t="n">
        <f aca="false">IF(ISNUMBER(BB331),DF331,0)</f>
        <v>0</v>
      </c>
      <c r="FK331" s="28" t="n">
        <f aca="false">IF(ISNUMBER(BF331),DG331,0)</f>
        <v>0</v>
      </c>
      <c r="FL331" s="28" t="n">
        <f aca="false">IF(ISNUMBER(BJ331),DH331,0)</f>
        <v>0</v>
      </c>
      <c r="FM331" s="28" t="n">
        <f aca="false">IF(ISNUMBER(BN331),DI331,0)</f>
        <v>0</v>
      </c>
      <c r="FN331" s="28" t="n">
        <f aca="false">IF(ISNUMBER(BR331),DJ331,0)</f>
        <v>0</v>
      </c>
      <c r="FO331" s="28" t="str">
        <f aca="false">IFERROR(INDEX(Lists!$G$2:$G$20,MATCH($I331&amp;"|"&amp;$J331,Lists!$F$2:$F$20,0)),"")</f>
        <v>BM Exam</v>
      </c>
    </row>
    <row r="332" customFormat="false" ht="19.5" hidden="false" customHeight="true" outlineLevel="0" collapsed="false">
      <c r="A332" s="29" t="s">
        <v>512</v>
      </c>
      <c r="B332" s="29" t="s">
        <v>513</v>
      </c>
      <c r="C332" s="30" t="s">
        <v>192</v>
      </c>
      <c r="D332" s="30" t="s">
        <v>625</v>
      </c>
      <c r="E332" s="31"/>
      <c r="F332" s="30"/>
      <c r="G332" s="30"/>
      <c r="H332" s="32" t="s">
        <v>428</v>
      </c>
      <c r="I332" s="33" t="s">
        <v>365</v>
      </c>
      <c r="J332" s="32" t="s">
        <v>25</v>
      </c>
      <c r="K332" s="34" t="str">
        <f aca="false">IF(OR(M332="",$E332=""),"",M332-$E332)</f>
        <v/>
      </c>
      <c r="L332" s="35" t="str">
        <f aca="false">IF(SUM(FA332:FN332)=0,"",SUM(EM332:EZ332)/SUM(FA332:FN332))</f>
        <v/>
      </c>
      <c r="M332" s="36" t="str">
        <f aca="false">IF(OR(L332="",FO332=""),"",IFERROR(MATCH(L332,INDEX(Boundaries!$B$2:$I$30,MATCH(FO332,Boundaries!$A$2:$A$30,0),0),1)-1,""))</f>
        <v/>
      </c>
      <c r="N332" s="37" t="str">
        <f aca="false">IF(COUNT($DY332:$EL332)&lt;2,"",INDEX($DK332:$DX332,MAX($DY332:$EL332))-INDEX($DK332:$DX332,MIN($DY332:$EL332)))</f>
        <v/>
      </c>
      <c r="O332" s="37" t="str">
        <f aca="false">IF(COUNT($DY332:$EL332)&lt;2,"",INDEX($DK332:$DX332,MAX($DY332:$EL332))-INDEX($DK332:$DX332,LARGE($DY332:$EL332,2)))</f>
        <v/>
      </c>
      <c r="P332" s="38" t="str">
        <f aca="false">IF(K332="","",IF(K332&gt;=0,"On/above target",IF(AND(N332&lt;&gt;"",N332&gt;=0.5),"Improving towards target",IF(AND(O332&lt;&gt;"",O332&lt;=-0.5),"Declining","Stable below target"))))</f>
        <v/>
      </c>
      <c r="Q332" s="39"/>
      <c r="R332" s="40" t="str">
        <f aca="false">IF(OR(Q332="",BU332=""),"",Q332/BU332*100)</f>
        <v/>
      </c>
      <c r="S332" s="41" t="str">
        <f aca="false">IF(R332="","",IFERROR(MATCH(R332,INDEX(Boundaries!$B$2:$I$30,MATCH(CI332,Boundaries!$A$2:$A$30,0),0),1)-1,""))</f>
        <v/>
      </c>
      <c r="T332" s="42" t="str">
        <f aca="false">IF(OR(S332="",$E332=""),"",S332-$E332)</f>
        <v/>
      </c>
      <c r="U332" s="39"/>
      <c r="V332" s="40" t="str">
        <f aca="false">IF(OR(U332="",BV332=""),"",U332/BV332*100)</f>
        <v/>
      </c>
      <c r="W332" s="41" t="str">
        <f aca="false">IF(V332="","",IFERROR(MATCH(V332,INDEX(Boundaries!$B$2:$I$30,MATCH(CJ332,Boundaries!$A$2:$A$30,0),0),1)-1,""))</f>
        <v/>
      </c>
      <c r="X332" s="42" t="str">
        <f aca="false">IF(OR(W332="",$E332=""),"",W332-$E332)</f>
        <v/>
      </c>
      <c r="Y332" s="39"/>
      <c r="Z332" s="40" t="str">
        <f aca="false">IF(OR(Y332="",BW332=""),"",Y332/BW332*100)</f>
        <v/>
      </c>
      <c r="AA332" s="41" t="str">
        <f aca="false">IF(Z332="","",IFERROR(MATCH(Z332,INDEX(Boundaries!$B$2:$I$30,MATCH(CK332,Boundaries!$A$2:$A$30,0),0),1)-1,""))</f>
        <v/>
      </c>
      <c r="AB332" s="42" t="str">
        <f aca="false">IF(OR(AA332="",$E332=""),"",AA332-$E332)</f>
        <v/>
      </c>
      <c r="AC332" s="39"/>
      <c r="AD332" s="40" t="str">
        <f aca="false">IF(OR(AC332="",BX332=""),"",AC332/BX332*100)</f>
        <v/>
      </c>
      <c r="AE332" s="41" t="str">
        <f aca="false">IF(AD332="","",IFERROR(MATCH(AD332,INDEX(Boundaries!$B$2:$I$30,MATCH(CL332,Boundaries!$A$2:$A$30,0),0),1)-1,""))</f>
        <v/>
      </c>
      <c r="AF332" s="42" t="str">
        <f aca="false">IF(OR(AE332="",$E332=""),"",AE332-$E332)</f>
        <v/>
      </c>
      <c r="AG332" s="39"/>
      <c r="AH332" s="40" t="str">
        <f aca="false">IF(OR(AG332="",BY332=""),"",AG332/BY332*100)</f>
        <v/>
      </c>
      <c r="AI332" s="41" t="str">
        <f aca="false">IF(AH332="","",IFERROR(MATCH(AH332,INDEX(Boundaries!$B$2:$I$30,MATCH(CM332,Boundaries!$A$2:$A$30,0),0),1)-1,""))</f>
        <v/>
      </c>
      <c r="AJ332" s="42" t="str">
        <f aca="false">IF(OR(AI332="",$E332=""),"",AI332-$E332)</f>
        <v/>
      </c>
      <c r="AK332" s="39"/>
      <c r="AL332" s="40" t="str">
        <f aca="false">IF(OR(AK332="",BZ332=""),"",AK332/BZ332*100)</f>
        <v/>
      </c>
      <c r="AM332" s="41" t="str">
        <f aca="false">IF(AL332="","",IFERROR(MATCH(AL332,INDEX(Boundaries!$B$2:$I$30,MATCH(CN332,Boundaries!$A$2:$A$30,0),0),1)-1,""))</f>
        <v/>
      </c>
      <c r="AN332" s="42" t="str">
        <f aca="false">IF(OR(AM332="",$E332=""),"",AM332-$E332)</f>
        <v/>
      </c>
      <c r="AO332" s="39"/>
      <c r="AP332" s="40" t="str">
        <f aca="false">IF(OR(AO332="",CA332=""),"",AO332/CA332*100)</f>
        <v/>
      </c>
      <c r="AQ332" s="41" t="str">
        <f aca="false">IF(AP332="","",IFERROR(MATCH(AP332,INDEX(Boundaries!$B$2:$I$30,MATCH(CO332,Boundaries!$A$2:$A$30,0),0),1)-1,""))</f>
        <v/>
      </c>
      <c r="AR332" s="42" t="str">
        <f aca="false">IF(OR(AQ332="",$E332=""),"",AQ332-$E332)</f>
        <v/>
      </c>
      <c r="AS332" s="39"/>
      <c r="AT332" s="40" t="str">
        <f aca="false">IF(OR(AS332="",CB332=""),"",AS332/CB332*100)</f>
        <v/>
      </c>
      <c r="AU332" s="41" t="str">
        <f aca="false">IF(AT332="","",IFERROR(MATCH(AT332,INDEX(Boundaries!$B$2:$I$30,MATCH(CP332,Boundaries!$A$2:$A$30,0),0),1)-1,""))</f>
        <v/>
      </c>
      <c r="AV332" s="42" t="str">
        <f aca="false">IF(OR(AU332="",$E332=""),"",AU332-$E332)</f>
        <v/>
      </c>
      <c r="AW332" s="39"/>
      <c r="AX332" s="40" t="str">
        <f aca="false">IF(OR(AW332="",CC332=""),"",AW332/CC332*100)</f>
        <v/>
      </c>
      <c r="AY332" s="41" t="str">
        <f aca="false">IF(AX332="","",IFERROR(MATCH(AX332,INDEX(Boundaries!$B$2:$I$30,MATCH(CQ332,Boundaries!$A$2:$A$30,0),0),1)-1,""))</f>
        <v/>
      </c>
      <c r="AZ332" s="42" t="str">
        <f aca="false">IF(OR(AY332="",$E332=""),"",AY332-$E332)</f>
        <v/>
      </c>
      <c r="BA332" s="39"/>
      <c r="BB332" s="40" t="str">
        <f aca="false">IF(OR(BA332="",CD332=""),"",BA332/CD332*100)</f>
        <v/>
      </c>
      <c r="BC332" s="41" t="str">
        <f aca="false">IF(BB332="","",IFERROR(MATCH(BB332,INDEX(Boundaries!$B$2:$I$30,MATCH(CR332,Boundaries!$A$2:$A$30,0),0),1)-1,""))</f>
        <v/>
      </c>
      <c r="BD332" s="42" t="str">
        <f aca="false">IF(OR(BC332="",$E332=""),"",BC332-$E332)</f>
        <v/>
      </c>
      <c r="BE332" s="39"/>
      <c r="BF332" s="40" t="str">
        <f aca="false">IF(OR(BE332="",CE332=""),"",BE332/CE332*100)</f>
        <v/>
      </c>
      <c r="BG332" s="41" t="str">
        <f aca="false">IF(BF332="","",IFERROR(MATCH(BF332,INDEX(Boundaries!$B$2:$I$30,MATCH(CS332,Boundaries!$A$2:$A$30,0),0),1)-1,""))</f>
        <v/>
      </c>
      <c r="BH332" s="42" t="str">
        <f aca="false">IF(OR(BG332="",$E332=""),"",BG332-$E332)</f>
        <v/>
      </c>
      <c r="BI332" s="39"/>
      <c r="BJ332" s="40" t="str">
        <f aca="false">IF(OR(BI332="",CF332=""),"",BI332/CF332*100)</f>
        <v/>
      </c>
      <c r="BK332" s="41" t="str">
        <f aca="false">IF(BJ332="","",IFERROR(MATCH(BJ332,INDEX(Boundaries!$B$2:$I$30,MATCH(CT332,Boundaries!$A$2:$A$30,0),0),1)-1,""))</f>
        <v/>
      </c>
      <c r="BL332" s="42" t="str">
        <f aca="false">IF(OR(BK332="",$E332=""),"",BK332-$E332)</f>
        <v/>
      </c>
      <c r="BM332" s="39"/>
      <c r="BN332" s="40" t="str">
        <f aca="false">IF(OR(BM332="",CG332=""),"",BM332/CG332*100)</f>
        <v/>
      </c>
      <c r="BO332" s="41" t="str">
        <f aca="false">IF(BN332="","",IFERROR(MATCH(BN332,INDEX(Boundaries!$B$2:$I$30,MATCH(CU332,Boundaries!$A$2:$A$30,0),0),1)-1,""))</f>
        <v/>
      </c>
      <c r="BP332" s="42" t="str">
        <f aca="false">IF(OR(BO332="",$E332=""),"",BO332-$E332)</f>
        <v/>
      </c>
      <c r="BQ332" s="39"/>
      <c r="BR332" s="40" t="str">
        <f aca="false">IF(OR(BQ332="",CH332=""),"",BQ332/CH332*100)</f>
        <v/>
      </c>
      <c r="BS332" s="41" t="str">
        <f aca="false">IF(BR332="","",IFERROR(MATCH(BR332,INDEX(Boundaries!$B$2:$I$30,MATCH(CV332,Boundaries!$A$2:$A$30,0),0),1)-1,""))</f>
        <v/>
      </c>
      <c r="BT332" s="42" t="str">
        <f aca="false">IF(OR(BS332="",$E332=""),"",BS332-$E332)</f>
        <v/>
      </c>
      <c r="BU332" s="28" t="n">
        <f aca="false">IFERROR(INDEX(Assessments!$H$2:$H$600,MATCH($H332&amp;"|"&amp;$I332&amp;"|"&amp;$J332&amp;"|"&amp;1,Assessments!$A$2:$A$600,0)),"")</f>
        <v>24</v>
      </c>
      <c r="BV332" s="28" t="n">
        <f aca="false">IFERROR(INDEX(Assessments!$H$2:$H$600,MATCH($H332&amp;"|"&amp;$I332&amp;"|"&amp;$J332&amp;"|"&amp;2,Assessments!$A$2:$A$600,0)),"")</f>
        <v>20</v>
      </c>
      <c r="BW332" s="28" t="n">
        <f aca="false">IFERROR(INDEX(Assessments!$H$2:$H$600,MATCH($H332&amp;"|"&amp;$I332&amp;"|"&amp;$J332&amp;"|"&amp;3,Assessments!$A$2:$A$600,0)),"")</f>
        <v>20</v>
      </c>
      <c r="BX332" s="28" t="n">
        <f aca="false">IFERROR(INDEX(Assessments!$H$2:$H$600,MATCH($H332&amp;"|"&amp;$I332&amp;"|"&amp;$J332&amp;"|"&amp;4,Assessments!$A$2:$A$600,0)),"")</f>
        <v>40</v>
      </c>
      <c r="BY332" s="28" t="n">
        <f aca="false">IFERROR(INDEX(Assessments!$H$2:$H$600,MATCH($H332&amp;"|"&amp;$I332&amp;"|"&amp;$J332&amp;"|"&amp;5,Assessments!$A$2:$A$600,0)),"")</f>
        <v>30</v>
      </c>
      <c r="BZ332" s="28" t="n">
        <f aca="false">IFERROR(INDEX(Assessments!$H$2:$H$600,MATCH($H332&amp;"|"&amp;$I332&amp;"|"&amp;$J332&amp;"|"&amp;6,Assessments!$A$2:$A$600,0)),"")</f>
        <v>20</v>
      </c>
      <c r="CA332" s="28" t="n">
        <f aca="false">IFERROR(INDEX(Assessments!$H$2:$H$600,MATCH($H332&amp;"|"&amp;$I332&amp;"|"&amp;$J332&amp;"|"&amp;7,Assessments!$A$2:$A$600,0)),"")</f>
        <v>50</v>
      </c>
      <c r="CB332" s="28" t="str">
        <f aca="false">IFERROR(INDEX(Assessments!$H$2:$H$600,MATCH($H332&amp;"|"&amp;$I332&amp;"|"&amp;$J332&amp;"|"&amp;8,Assessments!$A$2:$A$600,0)),"")</f>
        <v/>
      </c>
      <c r="CC332" s="28" t="str">
        <f aca="false">IFERROR(INDEX(Assessments!$H$2:$H$600,MATCH($H332&amp;"|"&amp;$I332&amp;"|"&amp;$J332&amp;"|"&amp;9,Assessments!$A$2:$A$600,0)),"")</f>
        <v/>
      </c>
      <c r="CD332" s="28" t="str">
        <f aca="false">IFERROR(INDEX(Assessments!$H$2:$H$600,MATCH($H332&amp;"|"&amp;$I332&amp;"|"&amp;$J332&amp;"|"&amp;10,Assessments!$A$2:$A$600,0)),"")</f>
        <v/>
      </c>
      <c r="CE332" s="28" t="str">
        <f aca="false">IFERROR(INDEX(Assessments!$H$2:$H$600,MATCH($H332&amp;"|"&amp;$I332&amp;"|"&amp;$J332&amp;"|"&amp;11,Assessments!$A$2:$A$600,0)),"")</f>
        <v/>
      </c>
      <c r="CF332" s="28" t="str">
        <f aca="false">IFERROR(INDEX(Assessments!$H$2:$H$600,MATCH($H332&amp;"|"&amp;$I332&amp;"|"&amp;$J332&amp;"|"&amp;12,Assessments!$A$2:$A$600,0)),"")</f>
        <v/>
      </c>
      <c r="CG332" s="28" t="str">
        <f aca="false">IFERROR(INDEX(Assessments!$H$2:$H$600,MATCH($H332&amp;"|"&amp;$I332&amp;"|"&amp;$J332&amp;"|"&amp;13,Assessments!$A$2:$A$600,0)),"")</f>
        <v/>
      </c>
      <c r="CH332" s="28" t="str">
        <f aca="false">IFERROR(INDEX(Assessments!$H$2:$H$600,MATCH($H332&amp;"|"&amp;$I332&amp;"|"&amp;$J332&amp;"|"&amp;14,Assessments!$A$2:$A$600,0)),"")</f>
        <v/>
      </c>
      <c r="CI332" s="28" t="str">
        <f aca="false">IFERROR(INDEX(Assessments!$I$2:$I$600,MATCH($H332&amp;"|"&amp;$I332&amp;"|"&amp;$J332&amp;"|"&amp;1,Assessments!$A$2:$A$600,0)),"")</f>
        <v>BM Test</v>
      </c>
      <c r="CJ332" s="28" t="str">
        <f aca="false">IFERROR(INDEX(Assessments!$I$2:$I$600,MATCH($H332&amp;"|"&amp;$I332&amp;"|"&amp;$J332&amp;"|"&amp;2,Assessments!$A$2:$A$600,0)),"")</f>
        <v>BM Test</v>
      </c>
      <c r="CK332" s="28" t="str">
        <f aca="false">IFERROR(INDEX(Assessments!$I$2:$I$600,MATCH($H332&amp;"|"&amp;$I332&amp;"|"&amp;$J332&amp;"|"&amp;3,Assessments!$A$2:$A$600,0)),"")</f>
        <v>BM Test</v>
      </c>
      <c r="CL332" s="28" t="str">
        <f aca="false">IFERROR(INDEX(Assessments!$I$2:$I$600,MATCH($H332&amp;"|"&amp;$I332&amp;"|"&amp;$J332&amp;"|"&amp;4,Assessments!$A$2:$A$600,0)),"")</f>
        <v>BM Exam</v>
      </c>
      <c r="CM332" s="28" t="str">
        <f aca="false">IFERROR(INDEX(Assessments!$I$2:$I$600,MATCH($H332&amp;"|"&amp;$I332&amp;"|"&amp;$J332&amp;"|"&amp;5,Assessments!$A$2:$A$600,0)),"")</f>
        <v>BM Test</v>
      </c>
      <c r="CN332" s="28" t="str">
        <f aca="false">IFERROR(INDEX(Assessments!$I$2:$I$600,MATCH($H332&amp;"|"&amp;$I332&amp;"|"&amp;$J332&amp;"|"&amp;6,Assessments!$A$2:$A$600,0)),"")</f>
        <v>BM Test</v>
      </c>
      <c r="CO332" s="28" t="str">
        <f aca="false">IFERROR(INDEX(Assessments!$I$2:$I$600,MATCH($H332&amp;"|"&amp;$I332&amp;"|"&amp;$J332&amp;"|"&amp;7,Assessments!$A$2:$A$600,0)),"")</f>
        <v>BM Exam</v>
      </c>
      <c r="CP332" s="28" t="str">
        <f aca="false">IFERROR(INDEX(Assessments!$I$2:$I$600,MATCH($H332&amp;"|"&amp;$I332&amp;"|"&amp;$J332&amp;"|"&amp;8,Assessments!$A$2:$A$600,0)),"")</f>
        <v/>
      </c>
      <c r="CQ332" s="28" t="str">
        <f aca="false">IFERROR(INDEX(Assessments!$I$2:$I$600,MATCH($H332&amp;"|"&amp;$I332&amp;"|"&amp;$J332&amp;"|"&amp;9,Assessments!$A$2:$A$600,0)),"")</f>
        <v/>
      </c>
      <c r="CR332" s="28" t="str">
        <f aca="false">IFERROR(INDEX(Assessments!$I$2:$I$600,MATCH($H332&amp;"|"&amp;$I332&amp;"|"&amp;$J332&amp;"|"&amp;10,Assessments!$A$2:$A$600,0)),"")</f>
        <v/>
      </c>
      <c r="CS332" s="28" t="str">
        <f aca="false">IFERROR(INDEX(Assessments!$I$2:$I$600,MATCH($H332&amp;"|"&amp;$I332&amp;"|"&amp;$J332&amp;"|"&amp;11,Assessments!$A$2:$A$600,0)),"")</f>
        <v/>
      </c>
      <c r="CT332" s="28" t="str">
        <f aca="false">IFERROR(INDEX(Assessments!$I$2:$I$600,MATCH($H332&amp;"|"&amp;$I332&amp;"|"&amp;$J332&amp;"|"&amp;12,Assessments!$A$2:$A$600,0)),"")</f>
        <v/>
      </c>
      <c r="CU332" s="28" t="str">
        <f aca="false">IFERROR(INDEX(Assessments!$I$2:$I$600,MATCH($H332&amp;"|"&amp;$I332&amp;"|"&amp;$J332&amp;"|"&amp;13,Assessments!$A$2:$A$600,0)),"")</f>
        <v/>
      </c>
      <c r="CV332" s="28" t="str">
        <f aca="false">IFERROR(INDEX(Assessments!$I$2:$I$600,MATCH($H332&amp;"|"&amp;$I332&amp;"|"&amp;$J332&amp;"|"&amp;14,Assessments!$A$2:$A$600,0)),"")</f>
        <v/>
      </c>
      <c r="CW332" s="28" t="n">
        <f aca="false">IFERROR(INDEX(Assessments!$J$2:$J$600,MATCH($H332&amp;"|"&amp;$I332&amp;"|"&amp;$J332&amp;"|"&amp;1,Assessments!$A$2:$A$600,0)),0)</f>
        <v>1</v>
      </c>
      <c r="CX332" s="28" t="n">
        <f aca="false">IFERROR(INDEX(Assessments!$J$2:$J$600,MATCH($H332&amp;"|"&amp;$I332&amp;"|"&amp;$J332&amp;"|"&amp;2,Assessments!$A$2:$A$600,0)),0)</f>
        <v>1</v>
      </c>
      <c r="CY332" s="28" t="n">
        <f aca="false">IFERROR(INDEX(Assessments!$J$2:$J$600,MATCH($H332&amp;"|"&amp;$I332&amp;"|"&amp;$J332&amp;"|"&amp;3,Assessments!$A$2:$A$600,0)),0)</f>
        <v>1</v>
      </c>
      <c r="CZ332" s="28" t="n">
        <f aca="false">IFERROR(INDEX(Assessments!$J$2:$J$600,MATCH($H332&amp;"|"&amp;$I332&amp;"|"&amp;$J332&amp;"|"&amp;4,Assessments!$A$2:$A$600,0)),0)</f>
        <v>2</v>
      </c>
      <c r="DA332" s="28" t="n">
        <f aca="false">IFERROR(INDEX(Assessments!$J$2:$J$600,MATCH($H332&amp;"|"&amp;$I332&amp;"|"&amp;$J332&amp;"|"&amp;5,Assessments!$A$2:$A$600,0)),0)</f>
        <v>1</v>
      </c>
      <c r="DB332" s="28" t="n">
        <f aca="false">IFERROR(INDEX(Assessments!$J$2:$J$600,MATCH($H332&amp;"|"&amp;$I332&amp;"|"&amp;$J332&amp;"|"&amp;6,Assessments!$A$2:$A$600,0)),0)</f>
        <v>1</v>
      </c>
      <c r="DC332" s="28" t="n">
        <f aca="false">IFERROR(INDEX(Assessments!$J$2:$J$600,MATCH($H332&amp;"|"&amp;$I332&amp;"|"&amp;$J332&amp;"|"&amp;7,Assessments!$A$2:$A$600,0)),0)</f>
        <v>2</v>
      </c>
      <c r="DD332" s="28" t="n">
        <f aca="false">IFERROR(INDEX(Assessments!$J$2:$J$600,MATCH($H332&amp;"|"&amp;$I332&amp;"|"&amp;$J332&amp;"|"&amp;8,Assessments!$A$2:$A$600,0)),0)</f>
        <v>0</v>
      </c>
      <c r="DE332" s="28" t="n">
        <f aca="false">IFERROR(INDEX(Assessments!$J$2:$J$600,MATCH($H332&amp;"|"&amp;$I332&amp;"|"&amp;$J332&amp;"|"&amp;9,Assessments!$A$2:$A$600,0)),0)</f>
        <v>0</v>
      </c>
      <c r="DF332" s="28" t="n">
        <f aca="false">IFERROR(INDEX(Assessments!$J$2:$J$600,MATCH($H332&amp;"|"&amp;$I332&amp;"|"&amp;$J332&amp;"|"&amp;10,Assessments!$A$2:$A$600,0)),0)</f>
        <v>0</v>
      </c>
      <c r="DG332" s="28" t="n">
        <f aca="false">IFERROR(INDEX(Assessments!$J$2:$J$600,MATCH($H332&amp;"|"&amp;$I332&amp;"|"&amp;$J332&amp;"|"&amp;11,Assessments!$A$2:$A$600,0)),0)</f>
        <v>0</v>
      </c>
      <c r="DH332" s="28" t="n">
        <f aca="false">IFERROR(INDEX(Assessments!$J$2:$J$600,MATCH($H332&amp;"|"&amp;$I332&amp;"|"&amp;$J332&amp;"|"&amp;12,Assessments!$A$2:$A$600,0)),0)</f>
        <v>0</v>
      </c>
      <c r="DI332" s="28" t="n">
        <f aca="false">IFERROR(INDEX(Assessments!$J$2:$J$600,MATCH($H332&amp;"|"&amp;$I332&amp;"|"&amp;$J332&amp;"|"&amp;13,Assessments!$A$2:$A$600,0)),0)</f>
        <v>0</v>
      </c>
      <c r="DJ332" s="28" t="n">
        <f aca="false">IFERROR(INDEX(Assessments!$J$2:$J$600,MATCH($H332&amp;"|"&amp;$I332&amp;"|"&amp;$J332&amp;"|"&amp;14,Assessments!$A$2:$A$600,0)),0)</f>
        <v>0</v>
      </c>
      <c r="DK332" s="28" t="str">
        <f aca="false">S332</f>
        <v/>
      </c>
      <c r="DL332" s="28" t="str">
        <f aca="false">W332</f>
        <v/>
      </c>
      <c r="DM332" s="28" t="str">
        <f aca="false">AA332</f>
        <v/>
      </c>
      <c r="DN332" s="28" t="str">
        <f aca="false">AE332</f>
        <v/>
      </c>
      <c r="DO332" s="28" t="str">
        <f aca="false">AI332</f>
        <v/>
      </c>
      <c r="DP332" s="28" t="str">
        <f aca="false">AM332</f>
        <v/>
      </c>
      <c r="DQ332" s="28" t="str">
        <f aca="false">AQ332</f>
        <v/>
      </c>
      <c r="DR332" s="28" t="str">
        <f aca="false">AU332</f>
        <v/>
      </c>
      <c r="DS332" s="28" t="str">
        <f aca="false">AY332</f>
        <v/>
      </c>
      <c r="DT332" s="28" t="str">
        <f aca="false">BC332</f>
        <v/>
      </c>
      <c r="DU332" s="28" t="str">
        <f aca="false">BG332</f>
        <v/>
      </c>
      <c r="DV332" s="28" t="str">
        <f aca="false">BK332</f>
        <v/>
      </c>
      <c r="DW332" s="28" t="str">
        <f aca="false">BO332</f>
        <v/>
      </c>
      <c r="DX332" s="28" t="str">
        <f aca="false">BS332</f>
        <v/>
      </c>
      <c r="DY332" s="28" t="str">
        <f aca="false">IF(ISNUMBER(S332),1,"")</f>
        <v/>
      </c>
      <c r="DZ332" s="28" t="str">
        <f aca="false">IF(ISNUMBER(W332),2,"")</f>
        <v/>
      </c>
      <c r="EA332" s="28" t="str">
        <f aca="false">IF(ISNUMBER(AA332),3,"")</f>
        <v/>
      </c>
      <c r="EB332" s="28" t="str">
        <f aca="false">IF(ISNUMBER(AE332),4,"")</f>
        <v/>
      </c>
      <c r="EC332" s="28" t="str">
        <f aca="false">IF(ISNUMBER(AI332),5,"")</f>
        <v/>
      </c>
      <c r="ED332" s="28" t="str">
        <f aca="false">IF(ISNUMBER(AM332),6,"")</f>
        <v/>
      </c>
      <c r="EE332" s="28" t="str">
        <f aca="false">IF(ISNUMBER(AQ332),7,"")</f>
        <v/>
      </c>
      <c r="EF332" s="28" t="str">
        <f aca="false">IF(ISNUMBER(AU332),8,"")</f>
        <v/>
      </c>
      <c r="EG332" s="28" t="str">
        <f aca="false">IF(ISNUMBER(AY332),9,"")</f>
        <v/>
      </c>
      <c r="EH332" s="28" t="str">
        <f aca="false">IF(ISNUMBER(BC332),10,"")</f>
        <v/>
      </c>
      <c r="EI332" s="28" t="str">
        <f aca="false">IF(ISNUMBER(BG332),11,"")</f>
        <v/>
      </c>
      <c r="EJ332" s="28" t="str">
        <f aca="false">IF(ISNUMBER(BK332),12,"")</f>
        <v/>
      </c>
      <c r="EK332" s="28" t="str">
        <f aca="false">IF(ISNUMBER(BO332),13,"")</f>
        <v/>
      </c>
      <c r="EL332" s="28" t="str">
        <f aca="false">IF(ISNUMBER(BS332),14,"")</f>
        <v/>
      </c>
      <c r="EM332" s="28" t="n">
        <f aca="false">IF(ISNUMBER(R332),R332*CW332,0)</f>
        <v>0</v>
      </c>
      <c r="EN332" s="28" t="n">
        <f aca="false">IF(ISNUMBER(V332),V332*CX332,0)</f>
        <v>0</v>
      </c>
      <c r="EO332" s="28" t="n">
        <f aca="false">IF(ISNUMBER(Z332),Z332*CY332,0)</f>
        <v>0</v>
      </c>
      <c r="EP332" s="28" t="n">
        <f aca="false">IF(ISNUMBER(AD332),AD332*CZ332,0)</f>
        <v>0</v>
      </c>
      <c r="EQ332" s="28" t="n">
        <f aca="false">IF(ISNUMBER(AH332),AH332*DA332,0)</f>
        <v>0</v>
      </c>
      <c r="ER332" s="28" t="n">
        <f aca="false">IF(ISNUMBER(AL332),AL332*DB332,0)</f>
        <v>0</v>
      </c>
      <c r="ES332" s="28" t="n">
        <f aca="false">IF(ISNUMBER(AP332),AP332*DC332,0)</f>
        <v>0</v>
      </c>
      <c r="ET332" s="28" t="n">
        <f aca="false">IF(ISNUMBER(AT332),AT332*DD332,0)</f>
        <v>0</v>
      </c>
      <c r="EU332" s="28" t="n">
        <f aca="false">IF(ISNUMBER(AX332),AX332*DE332,0)</f>
        <v>0</v>
      </c>
      <c r="EV332" s="28" t="n">
        <f aca="false">IF(ISNUMBER(BB332),BB332*DF332,0)</f>
        <v>0</v>
      </c>
      <c r="EW332" s="28" t="n">
        <f aca="false">IF(ISNUMBER(BF332),BF332*DG332,0)</f>
        <v>0</v>
      </c>
      <c r="EX332" s="28" t="n">
        <f aca="false">IF(ISNUMBER(BJ332),BJ332*DH332,0)</f>
        <v>0</v>
      </c>
      <c r="EY332" s="28" t="n">
        <f aca="false">IF(ISNUMBER(BN332),BN332*DI332,0)</f>
        <v>0</v>
      </c>
      <c r="EZ332" s="28" t="n">
        <f aca="false">IF(ISNUMBER(BR332),BR332*DJ332,0)</f>
        <v>0</v>
      </c>
      <c r="FA332" s="28" t="n">
        <f aca="false">IF(ISNUMBER(R332),CW332,0)</f>
        <v>0</v>
      </c>
      <c r="FB332" s="28" t="n">
        <f aca="false">IF(ISNUMBER(V332),CX332,0)</f>
        <v>0</v>
      </c>
      <c r="FC332" s="28" t="n">
        <f aca="false">IF(ISNUMBER(Z332),CY332,0)</f>
        <v>0</v>
      </c>
      <c r="FD332" s="28" t="n">
        <f aca="false">IF(ISNUMBER(AD332),CZ332,0)</f>
        <v>0</v>
      </c>
      <c r="FE332" s="28" t="n">
        <f aca="false">IF(ISNUMBER(AH332),DA332,0)</f>
        <v>0</v>
      </c>
      <c r="FF332" s="28" t="n">
        <f aca="false">IF(ISNUMBER(AL332),DB332,0)</f>
        <v>0</v>
      </c>
      <c r="FG332" s="28" t="n">
        <f aca="false">IF(ISNUMBER(AP332),DC332,0)</f>
        <v>0</v>
      </c>
      <c r="FH332" s="28" t="n">
        <f aca="false">IF(ISNUMBER(AT332),DD332,0)</f>
        <v>0</v>
      </c>
      <c r="FI332" s="28" t="n">
        <f aca="false">IF(ISNUMBER(AX332),DE332,0)</f>
        <v>0</v>
      </c>
      <c r="FJ332" s="28" t="n">
        <f aca="false">IF(ISNUMBER(BB332),DF332,0)</f>
        <v>0</v>
      </c>
      <c r="FK332" s="28" t="n">
        <f aca="false">IF(ISNUMBER(BF332),DG332,0)</f>
        <v>0</v>
      </c>
      <c r="FL332" s="28" t="n">
        <f aca="false">IF(ISNUMBER(BJ332),DH332,0)</f>
        <v>0</v>
      </c>
      <c r="FM332" s="28" t="n">
        <f aca="false">IF(ISNUMBER(BN332),DI332,0)</f>
        <v>0</v>
      </c>
      <c r="FN332" s="28" t="n">
        <f aca="false">IF(ISNUMBER(BR332),DJ332,0)</f>
        <v>0</v>
      </c>
      <c r="FO332" s="28" t="str">
        <f aca="false">IFERROR(INDEX(Lists!$G$2:$G$20,MATCH($I332&amp;"|"&amp;$J332,Lists!$F$2:$F$20,0)),"")</f>
        <v>BM Exam</v>
      </c>
    </row>
    <row r="333" customFormat="false" ht="19.5" hidden="false" customHeight="true" outlineLevel="0" collapsed="false">
      <c r="A333" s="29" t="s">
        <v>576</v>
      </c>
      <c r="B333" s="29" t="s">
        <v>577</v>
      </c>
      <c r="C333" s="30" t="s">
        <v>192</v>
      </c>
      <c r="D333" s="30" t="s">
        <v>625</v>
      </c>
      <c r="E333" s="31"/>
      <c r="F333" s="30"/>
      <c r="G333" s="30"/>
      <c r="H333" s="32" t="s">
        <v>428</v>
      </c>
      <c r="I333" s="33" t="s">
        <v>365</v>
      </c>
      <c r="J333" s="32" t="s">
        <v>25</v>
      </c>
      <c r="K333" s="34" t="str">
        <f aca="false">IF(OR(M333="",$E333=""),"",M333-$E333)</f>
        <v/>
      </c>
      <c r="L333" s="35" t="str">
        <f aca="false">IF(SUM(FA333:FN333)=0,"",SUM(EM333:EZ333)/SUM(FA333:FN333))</f>
        <v/>
      </c>
      <c r="M333" s="36" t="str">
        <f aca="false">IF(OR(L333="",FO333=""),"",IFERROR(MATCH(L333,INDEX(Boundaries!$B$2:$I$30,MATCH(FO333,Boundaries!$A$2:$A$30,0),0),1)-1,""))</f>
        <v/>
      </c>
      <c r="N333" s="37" t="str">
        <f aca="false">IF(COUNT($DY333:$EL333)&lt;2,"",INDEX($DK333:$DX333,MAX($DY333:$EL333))-INDEX($DK333:$DX333,MIN($DY333:$EL333)))</f>
        <v/>
      </c>
      <c r="O333" s="37" t="str">
        <f aca="false">IF(COUNT($DY333:$EL333)&lt;2,"",INDEX($DK333:$DX333,MAX($DY333:$EL333))-INDEX($DK333:$DX333,LARGE($DY333:$EL333,2)))</f>
        <v/>
      </c>
      <c r="P333" s="38" t="str">
        <f aca="false">IF(K333="","",IF(K333&gt;=0,"On/above target",IF(AND(N333&lt;&gt;"",N333&gt;=0.5),"Improving towards target",IF(AND(O333&lt;&gt;"",O333&lt;=-0.5),"Declining","Stable below target"))))</f>
        <v/>
      </c>
      <c r="Q333" s="39"/>
      <c r="R333" s="40" t="str">
        <f aca="false">IF(OR(Q333="",BU333=""),"",Q333/BU333*100)</f>
        <v/>
      </c>
      <c r="S333" s="41" t="str">
        <f aca="false">IF(R333="","",IFERROR(MATCH(R333,INDEX(Boundaries!$B$2:$I$30,MATCH(CI333,Boundaries!$A$2:$A$30,0),0),1)-1,""))</f>
        <v/>
      </c>
      <c r="T333" s="42" t="str">
        <f aca="false">IF(OR(S333="",$E333=""),"",S333-$E333)</f>
        <v/>
      </c>
      <c r="U333" s="39"/>
      <c r="V333" s="40" t="str">
        <f aca="false">IF(OR(U333="",BV333=""),"",U333/BV333*100)</f>
        <v/>
      </c>
      <c r="W333" s="41" t="str">
        <f aca="false">IF(V333="","",IFERROR(MATCH(V333,INDEX(Boundaries!$B$2:$I$30,MATCH(CJ333,Boundaries!$A$2:$A$30,0),0),1)-1,""))</f>
        <v/>
      </c>
      <c r="X333" s="42" t="str">
        <f aca="false">IF(OR(W333="",$E333=""),"",W333-$E333)</f>
        <v/>
      </c>
      <c r="Y333" s="39"/>
      <c r="Z333" s="40" t="str">
        <f aca="false">IF(OR(Y333="",BW333=""),"",Y333/BW333*100)</f>
        <v/>
      </c>
      <c r="AA333" s="41" t="str">
        <f aca="false">IF(Z333="","",IFERROR(MATCH(Z333,INDEX(Boundaries!$B$2:$I$30,MATCH(CK333,Boundaries!$A$2:$A$30,0),0),1)-1,""))</f>
        <v/>
      </c>
      <c r="AB333" s="42" t="str">
        <f aca="false">IF(OR(AA333="",$E333=""),"",AA333-$E333)</f>
        <v/>
      </c>
      <c r="AC333" s="39"/>
      <c r="AD333" s="40" t="str">
        <f aca="false">IF(OR(AC333="",BX333=""),"",AC333/BX333*100)</f>
        <v/>
      </c>
      <c r="AE333" s="41" t="str">
        <f aca="false">IF(AD333="","",IFERROR(MATCH(AD333,INDEX(Boundaries!$B$2:$I$30,MATCH(CL333,Boundaries!$A$2:$A$30,0),0),1)-1,""))</f>
        <v/>
      </c>
      <c r="AF333" s="42" t="str">
        <f aca="false">IF(OR(AE333="",$E333=""),"",AE333-$E333)</f>
        <v/>
      </c>
      <c r="AG333" s="39"/>
      <c r="AH333" s="40" t="str">
        <f aca="false">IF(OR(AG333="",BY333=""),"",AG333/BY333*100)</f>
        <v/>
      </c>
      <c r="AI333" s="41" t="str">
        <f aca="false">IF(AH333="","",IFERROR(MATCH(AH333,INDEX(Boundaries!$B$2:$I$30,MATCH(CM333,Boundaries!$A$2:$A$30,0),0),1)-1,""))</f>
        <v/>
      </c>
      <c r="AJ333" s="42" t="str">
        <f aca="false">IF(OR(AI333="",$E333=""),"",AI333-$E333)</f>
        <v/>
      </c>
      <c r="AK333" s="39"/>
      <c r="AL333" s="40" t="str">
        <f aca="false">IF(OR(AK333="",BZ333=""),"",AK333/BZ333*100)</f>
        <v/>
      </c>
      <c r="AM333" s="41" t="str">
        <f aca="false">IF(AL333="","",IFERROR(MATCH(AL333,INDEX(Boundaries!$B$2:$I$30,MATCH(CN333,Boundaries!$A$2:$A$30,0),0),1)-1,""))</f>
        <v/>
      </c>
      <c r="AN333" s="42" t="str">
        <f aca="false">IF(OR(AM333="",$E333=""),"",AM333-$E333)</f>
        <v/>
      </c>
      <c r="AO333" s="39"/>
      <c r="AP333" s="40" t="str">
        <f aca="false">IF(OR(AO333="",CA333=""),"",AO333/CA333*100)</f>
        <v/>
      </c>
      <c r="AQ333" s="41" t="str">
        <f aca="false">IF(AP333="","",IFERROR(MATCH(AP333,INDEX(Boundaries!$B$2:$I$30,MATCH(CO333,Boundaries!$A$2:$A$30,0),0),1)-1,""))</f>
        <v/>
      </c>
      <c r="AR333" s="42" t="str">
        <f aca="false">IF(OR(AQ333="",$E333=""),"",AQ333-$E333)</f>
        <v/>
      </c>
      <c r="AS333" s="39"/>
      <c r="AT333" s="40" t="str">
        <f aca="false">IF(OR(AS333="",CB333=""),"",AS333/CB333*100)</f>
        <v/>
      </c>
      <c r="AU333" s="41" t="str">
        <f aca="false">IF(AT333="","",IFERROR(MATCH(AT333,INDEX(Boundaries!$B$2:$I$30,MATCH(CP333,Boundaries!$A$2:$A$30,0),0),1)-1,""))</f>
        <v/>
      </c>
      <c r="AV333" s="42" t="str">
        <f aca="false">IF(OR(AU333="",$E333=""),"",AU333-$E333)</f>
        <v/>
      </c>
      <c r="AW333" s="39"/>
      <c r="AX333" s="40" t="str">
        <f aca="false">IF(OR(AW333="",CC333=""),"",AW333/CC333*100)</f>
        <v/>
      </c>
      <c r="AY333" s="41" t="str">
        <f aca="false">IF(AX333="","",IFERROR(MATCH(AX333,INDEX(Boundaries!$B$2:$I$30,MATCH(CQ333,Boundaries!$A$2:$A$30,0),0),1)-1,""))</f>
        <v/>
      </c>
      <c r="AZ333" s="42" t="str">
        <f aca="false">IF(OR(AY333="",$E333=""),"",AY333-$E333)</f>
        <v/>
      </c>
      <c r="BA333" s="39"/>
      <c r="BB333" s="40" t="str">
        <f aca="false">IF(OR(BA333="",CD333=""),"",BA333/CD333*100)</f>
        <v/>
      </c>
      <c r="BC333" s="41" t="str">
        <f aca="false">IF(BB333="","",IFERROR(MATCH(BB333,INDEX(Boundaries!$B$2:$I$30,MATCH(CR333,Boundaries!$A$2:$A$30,0),0),1)-1,""))</f>
        <v/>
      </c>
      <c r="BD333" s="42" t="str">
        <f aca="false">IF(OR(BC333="",$E333=""),"",BC333-$E333)</f>
        <v/>
      </c>
      <c r="BE333" s="39"/>
      <c r="BF333" s="40" t="str">
        <f aca="false">IF(OR(BE333="",CE333=""),"",BE333/CE333*100)</f>
        <v/>
      </c>
      <c r="BG333" s="41" t="str">
        <f aca="false">IF(BF333="","",IFERROR(MATCH(BF333,INDEX(Boundaries!$B$2:$I$30,MATCH(CS333,Boundaries!$A$2:$A$30,0),0),1)-1,""))</f>
        <v/>
      </c>
      <c r="BH333" s="42" t="str">
        <f aca="false">IF(OR(BG333="",$E333=""),"",BG333-$E333)</f>
        <v/>
      </c>
      <c r="BI333" s="39"/>
      <c r="BJ333" s="40" t="str">
        <f aca="false">IF(OR(BI333="",CF333=""),"",BI333/CF333*100)</f>
        <v/>
      </c>
      <c r="BK333" s="41" t="str">
        <f aca="false">IF(BJ333="","",IFERROR(MATCH(BJ333,INDEX(Boundaries!$B$2:$I$30,MATCH(CT333,Boundaries!$A$2:$A$30,0),0),1)-1,""))</f>
        <v/>
      </c>
      <c r="BL333" s="42" t="str">
        <f aca="false">IF(OR(BK333="",$E333=""),"",BK333-$E333)</f>
        <v/>
      </c>
      <c r="BM333" s="39"/>
      <c r="BN333" s="40" t="str">
        <f aca="false">IF(OR(BM333="",CG333=""),"",BM333/CG333*100)</f>
        <v/>
      </c>
      <c r="BO333" s="41" t="str">
        <f aca="false">IF(BN333="","",IFERROR(MATCH(BN333,INDEX(Boundaries!$B$2:$I$30,MATCH(CU333,Boundaries!$A$2:$A$30,0),0),1)-1,""))</f>
        <v/>
      </c>
      <c r="BP333" s="42" t="str">
        <f aca="false">IF(OR(BO333="",$E333=""),"",BO333-$E333)</f>
        <v/>
      </c>
      <c r="BQ333" s="39"/>
      <c r="BR333" s="40" t="str">
        <f aca="false">IF(OR(BQ333="",CH333=""),"",BQ333/CH333*100)</f>
        <v/>
      </c>
      <c r="BS333" s="41" t="str">
        <f aca="false">IF(BR333="","",IFERROR(MATCH(BR333,INDEX(Boundaries!$B$2:$I$30,MATCH(CV333,Boundaries!$A$2:$A$30,0),0),1)-1,""))</f>
        <v/>
      </c>
      <c r="BT333" s="42" t="str">
        <f aca="false">IF(OR(BS333="",$E333=""),"",BS333-$E333)</f>
        <v/>
      </c>
      <c r="BU333" s="28" t="n">
        <f aca="false">IFERROR(INDEX(Assessments!$H$2:$H$600,MATCH($H333&amp;"|"&amp;$I333&amp;"|"&amp;$J333&amp;"|"&amp;1,Assessments!$A$2:$A$600,0)),"")</f>
        <v>24</v>
      </c>
      <c r="BV333" s="28" t="n">
        <f aca="false">IFERROR(INDEX(Assessments!$H$2:$H$600,MATCH($H333&amp;"|"&amp;$I333&amp;"|"&amp;$J333&amp;"|"&amp;2,Assessments!$A$2:$A$600,0)),"")</f>
        <v>20</v>
      </c>
      <c r="BW333" s="28" t="n">
        <f aca="false">IFERROR(INDEX(Assessments!$H$2:$H$600,MATCH($H333&amp;"|"&amp;$I333&amp;"|"&amp;$J333&amp;"|"&amp;3,Assessments!$A$2:$A$600,0)),"")</f>
        <v>20</v>
      </c>
      <c r="BX333" s="28" t="n">
        <f aca="false">IFERROR(INDEX(Assessments!$H$2:$H$600,MATCH($H333&amp;"|"&amp;$I333&amp;"|"&amp;$J333&amp;"|"&amp;4,Assessments!$A$2:$A$600,0)),"")</f>
        <v>40</v>
      </c>
      <c r="BY333" s="28" t="n">
        <f aca="false">IFERROR(INDEX(Assessments!$H$2:$H$600,MATCH($H333&amp;"|"&amp;$I333&amp;"|"&amp;$J333&amp;"|"&amp;5,Assessments!$A$2:$A$600,0)),"")</f>
        <v>30</v>
      </c>
      <c r="BZ333" s="28" t="n">
        <f aca="false">IFERROR(INDEX(Assessments!$H$2:$H$600,MATCH($H333&amp;"|"&amp;$I333&amp;"|"&amp;$J333&amp;"|"&amp;6,Assessments!$A$2:$A$600,0)),"")</f>
        <v>20</v>
      </c>
      <c r="CA333" s="28" t="n">
        <f aca="false">IFERROR(INDEX(Assessments!$H$2:$H$600,MATCH($H333&amp;"|"&amp;$I333&amp;"|"&amp;$J333&amp;"|"&amp;7,Assessments!$A$2:$A$600,0)),"")</f>
        <v>50</v>
      </c>
      <c r="CB333" s="28" t="str">
        <f aca="false">IFERROR(INDEX(Assessments!$H$2:$H$600,MATCH($H333&amp;"|"&amp;$I333&amp;"|"&amp;$J333&amp;"|"&amp;8,Assessments!$A$2:$A$600,0)),"")</f>
        <v/>
      </c>
      <c r="CC333" s="28" t="str">
        <f aca="false">IFERROR(INDEX(Assessments!$H$2:$H$600,MATCH($H333&amp;"|"&amp;$I333&amp;"|"&amp;$J333&amp;"|"&amp;9,Assessments!$A$2:$A$600,0)),"")</f>
        <v/>
      </c>
      <c r="CD333" s="28" t="str">
        <f aca="false">IFERROR(INDEX(Assessments!$H$2:$H$600,MATCH($H333&amp;"|"&amp;$I333&amp;"|"&amp;$J333&amp;"|"&amp;10,Assessments!$A$2:$A$600,0)),"")</f>
        <v/>
      </c>
      <c r="CE333" s="28" t="str">
        <f aca="false">IFERROR(INDEX(Assessments!$H$2:$H$600,MATCH($H333&amp;"|"&amp;$I333&amp;"|"&amp;$J333&amp;"|"&amp;11,Assessments!$A$2:$A$600,0)),"")</f>
        <v/>
      </c>
      <c r="CF333" s="28" t="str">
        <f aca="false">IFERROR(INDEX(Assessments!$H$2:$H$600,MATCH($H333&amp;"|"&amp;$I333&amp;"|"&amp;$J333&amp;"|"&amp;12,Assessments!$A$2:$A$600,0)),"")</f>
        <v/>
      </c>
      <c r="CG333" s="28" t="str">
        <f aca="false">IFERROR(INDEX(Assessments!$H$2:$H$600,MATCH($H333&amp;"|"&amp;$I333&amp;"|"&amp;$J333&amp;"|"&amp;13,Assessments!$A$2:$A$600,0)),"")</f>
        <v/>
      </c>
      <c r="CH333" s="28" t="str">
        <f aca="false">IFERROR(INDEX(Assessments!$H$2:$H$600,MATCH($H333&amp;"|"&amp;$I333&amp;"|"&amp;$J333&amp;"|"&amp;14,Assessments!$A$2:$A$600,0)),"")</f>
        <v/>
      </c>
      <c r="CI333" s="28" t="str">
        <f aca="false">IFERROR(INDEX(Assessments!$I$2:$I$600,MATCH($H333&amp;"|"&amp;$I333&amp;"|"&amp;$J333&amp;"|"&amp;1,Assessments!$A$2:$A$600,0)),"")</f>
        <v>BM Test</v>
      </c>
      <c r="CJ333" s="28" t="str">
        <f aca="false">IFERROR(INDEX(Assessments!$I$2:$I$600,MATCH($H333&amp;"|"&amp;$I333&amp;"|"&amp;$J333&amp;"|"&amp;2,Assessments!$A$2:$A$600,0)),"")</f>
        <v>BM Test</v>
      </c>
      <c r="CK333" s="28" t="str">
        <f aca="false">IFERROR(INDEX(Assessments!$I$2:$I$600,MATCH($H333&amp;"|"&amp;$I333&amp;"|"&amp;$J333&amp;"|"&amp;3,Assessments!$A$2:$A$600,0)),"")</f>
        <v>BM Test</v>
      </c>
      <c r="CL333" s="28" t="str">
        <f aca="false">IFERROR(INDEX(Assessments!$I$2:$I$600,MATCH($H333&amp;"|"&amp;$I333&amp;"|"&amp;$J333&amp;"|"&amp;4,Assessments!$A$2:$A$600,0)),"")</f>
        <v>BM Exam</v>
      </c>
      <c r="CM333" s="28" t="str">
        <f aca="false">IFERROR(INDEX(Assessments!$I$2:$I$600,MATCH($H333&amp;"|"&amp;$I333&amp;"|"&amp;$J333&amp;"|"&amp;5,Assessments!$A$2:$A$600,0)),"")</f>
        <v>BM Test</v>
      </c>
      <c r="CN333" s="28" t="str">
        <f aca="false">IFERROR(INDEX(Assessments!$I$2:$I$600,MATCH($H333&amp;"|"&amp;$I333&amp;"|"&amp;$J333&amp;"|"&amp;6,Assessments!$A$2:$A$600,0)),"")</f>
        <v>BM Test</v>
      </c>
      <c r="CO333" s="28" t="str">
        <f aca="false">IFERROR(INDEX(Assessments!$I$2:$I$600,MATCH($H333&amp;"|"&amp;$I333&amp;"|"&amp;$J333&amp;"|"&amp;7,Assessments!$A$2:$A$600,0)),"")</f>
        <v>BM Exam</v>
      </c>
      <c r="CP333" s="28" t="str">
        <f aca="false">IFERROR(INDEX(Assessments!$I$2:$I$600,MATCH($H333&amp;"|"&amp;$I333&amp;"|"&amp;$J333&amp;"|"&amp;8,Assessments!$A$2:$A$600,0)),"")</f>
        <v/>
      </c>
      <c r="CQ333" s="28" t="str">
        <f aca="false">IFERROR(INDEX(Assessments!$I$2:$I$600,MATCH($H333&amp;"|"&amp;$I333&amp;"|"&amp;$J333&amp;"|"&amp;9,Assessments!$A$2:$A$600,0)),"")</f>
        <v/>
      </c>
      <c r="CR333" s="28" t="str">
        <f aca="false">IFERROR(INDEX(Assessments!$I$2:$I$600,MATCH($H333&amp;"|"&amp;$I333&amp;"|"&amp;$J333&amp;"|"&amp;10,Assessments!$A$2:$A$600,0)),"")</f>
        <v/>
      </c>
      <c r="CS333" s="28" t="str">
        <f aca="false">IFERROR(INDEX(Assessments!$I$2:$I$600,MATCH($H333&amp;"|"&amp;$I333&amp;"|"&amp;$J333&amp;"|"&amp;11,Assessments!$A$2:$A$600,0)),"")</f>
        <v/>
      </c>
      <c r="CT333" s="28" t="str">
        <f aca="false">IFERROR(INDEX(Assessments!$I$2:$I$600,MATCH($H333&amp;"|"&amp;$I333&amp;"|"&amp;$J333&amp;"|"&amp;12,Assessments!$A$2:$A$600,0)),"")</f>
        <v/>
      </c>
      <c r="CU333" s="28" t="str">
        <f aca="false">IFERROR(INDEX(Assessments!$I$2:$I$600,MATCH($H333&amp;"|"&amp;$I333&amp;"|"&amp;$J333&amp;"|"&amp;13,Assessments!$A$2:$A$600,0)),"")</f>
        <v/>
      </c>
      <c r="CV333" s="28" t="str">
        <f aca="false">IFERROR(INDEX(Assessments!$I$2:$I$600,MATCH($H333&amp;"|"&amp;$I333&amp;"|"&amp;$J333&amp;"|"&amp;14,Assessments!$A$2:$A$600,0)),"")</f>
        <v/>
      </c>
      <c r="CW333" s="28" t="n">
        <f aca="false">IFERROR(INDEX(Assessments!$J$2:$J$600,MATCH($H333&amp;"|"&amp;$I333&amp;"|"&amp;$J333&amp;"|"&amp;1,Assessments!$A$2:$A$600,0)),0)</f>
        <v>1</v>
      </c>
      <c r="CX333" s="28" t="n">
        <f aca="false">IFERROR(INDEX(Assessments!$J$2:$J$600,MATCH($H333&amp;"|"&amp;$I333&amp;"|"&amp;$J333&amp;"|"&amp;2,Assessments!$A$2:$A$600,0)),0)</f>
        <v>1</v>
      </c>
      <c r="CY333" s="28" t="n">
        <f aca="false">IFERROR(INDEX(Assessments!$J$2:$J$600,MATCH($H333&amp;"|"&amp;$I333&amp;"|"&amp;$J333&amp;"|"&amp;3,Assessments!$A$2:$A$600,0)),0)</f>
        <v>1</v>
      </c>
      <c r="CZ333" s="28" t="n">
        <f aca="false">IFERROR(INDEX(Assessments!$J$2:$J$600,MATCH($H333&amp;"|"&amp;$I333&amp;"|"&amp;$J333&amp;"|"&amp;4,Assessments!$A$2:$A$600,0)),0)</f>
        <v>2</v>
      </c>
      <c r="DA333" s="28" t="n">
        <f aca="false">IFERROR(INDEX(Assessments!$J$2:$J$600,MATCH($H333&amp;"|"&amp;$I333&amp;"|"&amp;$J333&amp;"|"&amp;5,Assessments!$A$2:$A$600,0)),0)</f>
        <v>1</v>
      </c>
      <c r="DB333" s="28" t="n">
        <f aca="false">IFERROR(INDEX(Assessments!$J$2:$J$600,MATCH($H333&amp;"|"&amp;$I333&amp;"|"&amp;$J333&amp;"|"&amp;6,Assessments!$A$2:$A$600,0)),0)</f>
        <v>1</v>
      </c>
      <c r="DC333" s="28" t="n">
        <f aca="false">IFERROR(INDEX(Assessments!$J$2:$J$600,MATCH($H333&amp;"|"&amp;$I333&amp;"|"&amp;$J333&amp;"|"&amp;7,Assessments!$A$2:$A$600,0)),0)</f>
        <v>2</v>
      </c>
      <c r="DD333" s="28" t="n">
        <f aca="false">IFERROR(INDEX(Assessments!$J$2:$J$600,MATCH($H333&amp;"|"&amp;$I333&amp;"|"&amp;$J333&amp;"|"&amp;8,Assessments!$A$2:$A$600,0)),0)</f>
        <v>0</v>
      </c>
      <c r="DE333" s="28" t="n">
        <f aca="false">IFERROR(INDEX(Assessments!$J$2:$J$600,MATCH($H333&amp;"|"&amp;$I333&amp;"|"&amp;$J333&amp;"|"&amp;9,Assessments!$A$2:$A$600,0)),0)</f>
        <v>0</v>
      </c>
      <c r="DF333" s="28" t="n">
        <f aca="false">IFERROR(INDEX(Assessments!$J$2:$J$600,MATCH($H333&amp;"|"&amp;$I333&amp;"|"&amp;$J333&amp;"|"&amp;10,Assessments!$A$2:$A$600,0)),0)</f>
        <v>0</v>
      </c>
      <c r="DG333" s="28" t="n">
        <f aca="false">IFERROR(INDEX(Assessments!$J$2:$J$600,MATCH($H333&amp;"|"&amp;$I333&amp;"|"&amp;$J333&amp;"|"&amp;11,Assessments!$A$2:$A$600,0)),0)</f>
        <v>0</v>
      </c>
      <c r="DH333" s="28" t="n">
        <f aca="false">IFERROR(INDEX(Assessments!$J$2:$J$600,MATCH($H333&amp;"|"&amp;$I333&amp;"|"&amp;$J333&amp;"|"&amp;12,Assessments!$A$2:$A$600,0)),0)</f>
        <v>0</v>
      </c>
      <c r="DI333" s="28" t="n">
        <f aca="false">IFERROR(INDEX(Assessments!$J$2:$J$600,MATCH($H333&amp;"|"&amp;$I333&amp;"|"&amp;$J333&amp;"|"&amp;13,Assessments!$A$2:$A$600,0)),0)</f>
        <v>0</v>
      </c>
      <c r="DJ333" s="28" t="n">
        <f aca="false">IFERROR(INDEX(Assessments!$J$2:$J$600,MATCH($H333&amp;"|"&amp;$I333&amp;"|"&amp;$J333&amp;"|"&amp;14,Assessments!$A$2:$A$600,0)),0)</f>
        <v>0</v>
      </c>
      <c r="DK333" s="28" t="str">
        <f aca="false">S333</f>
        <v/>
      </c>
      <c r="DL333" s="28" t="str">
        <f aca="false">W333</f>
        <v/>
      </c>
      <c r="DM333" s="28" t="str">
        <f aca="false">AA333</f>
        <v/>
      </c>
      <c r="DN333" s="28" t="str">
        <f aca="false">AE333</f>
        <v/>
      </c>
      <c r="DO333" s="28" t="str">
        <f aca="false">AI333</f>
        <v/>
      </c>
      <c r="DP333" s="28" t="str">
        <f aca="false">AM333</f>
        <v/>
      </c>
      <c r="DQ333" s="28" t="str">
        <f aca="false">AQ333</f>
        <v/>
      </c>
      <c r="DR333" s="28" t="str">
        <f aca="false">AU333</f>
        <v/>
      </c>
      <c r="DS333" s="28" t="str">
        <f aca="false">AY333</f>
        <v/>
      </c>
      <c r="DT333" s="28" t="str">
        <f aca="false">BC333</f>
        <v/>
      </c>
      <c r="DU333" s="28" t="str">
        <f aca="false">BG333</f>
        <v/>
      </c>
      <c r="DV333" s="28" t="str">
        <f aca="false">BK333</f>
        <v/>
      </c>
      <c r="DW333" s="28" t="str">
        <f aca="false">BO333</f>
        <v/>
      </c>
      <c r="DX333" s="28" t="str">
        <f aca="false">BS333</f>
        <v/>
      </c>
      <c r="DY333" s="28" t="str">
        <f aca="false">IF(ISNUMBER(S333),1,"")</f>
        <v/>
      </c>
      <c r="DZ333" s="28" t="str">
        <f aca="false">IF(ISNUMBER(W333),2,"")</f>
        <v/>
      </c>
      <c r="EA333" s="28" t="str">
        <f aca="false">IF(ISNUMBER(AA333),3,"")</f>
        <v/>
      </c>
      <c r="EB333" s="28" t="str">
        <f aca="false">IF(ISNUMBER(AE333),4,"")</f>
        <v/>
      </c>
      <c r="EC333" s="28" t="str">
        <f aca="false">IF(ISNUMBER(AI333),5,"")</f>
        <v/>
      </c>
      <c r="ED333" s="28" t="str">
        <f aca="false">IF(ISNUMBER(AM333),6,"")</f>
        <v/>
      </c>
      <c r="EE333" s="28" t="str">
        <f aca="false">IF(ISNUMBER(AQ333),7,"")</f>
        <v/>
      </c>
      <c r="EF333" s="28" t="str">
        <f aca="false">IF(ISNUMBER(AU333),8,"")</f>
        <v/>
      </c>
      <c r="EG333" s="28" t="str">
        <f aca="false">IF(ISNUMBER(AY333),9,"")</f>
        <v/>
      </c>
      <c r="EH333" s="28" t="str">
        <f aca="false">IF(ISNUMBER(BC333),10,"")</f>
        <v/>
      </c>
      <c r="EI333" s="28" t="str">
        <f aca="false">IF(ISNUMBER(BG333),11,"")</f>
        <v/>
      </c>
      <c r="EJ333" s="28" t="str">
        <f aca="false">IF(ISNUMBER(BK333),12,"")</f>
        <v/>
      </c>
      <c r="EK333" s="28" t="str">
        <f aca="false">IF(ISNUMBER(BO333),13,"")</f>
        <v/>
      </c>
      <c r="EL333" s="28" t="str">
        <f aca="false">IF(ISNUMBER(BS333),14,"")</f>
        <v/>
      </c>
      <c r="EM333" s="28" t="n">
        <f aca="false">IF(ISNUMBER(R333),R333*CW333,0)</f>
        <v>0</v>
      </c>
      <c r="EN333" s="28" t="n">
        <f aca="false">IF(ISNUMBER(V333),V333*CX333,0)</f>
        <v>0</v>
      </c>
      <c r="EO333" s="28" t="n">
        <f aca="false">IF(ISNUMBER(Z333),Z333*CY333,0)</f>
        <v>0</v>
      </c>
      <c r="EP333" s="28" t="n">
        <f aca="false">IF(ISNUMBER(AD333),AD333*CZ333,0)</f>
        <v>0</v>
      </c>
      <c r="EQ333" s="28" t="n">
        <f aca="false">IF(ISNUMBER(AH333),AH333*DA333,0)</f>
        <v>0</v>
      </c>
      <c r="ER333" s="28" t="n">
        <f aca="false">IF(ISNUMBER(AL333),AL333*DB333,0)</f>
        <v>0</v>
      </c>
      <c r="ES333" s="28" t="n">
        <f aca="false">IF(ISNUMBER(AP333),AP333*DC333,0)</f>
        <v>0</v>
      </c>
      <c r="ET333" s="28" t="n">
        <f aca="false">IF(ISNUMBER(AT333),AT333*DD333,0)</f>
        <v>0</v>
      </c>
      <c r="EU333" s="28" t="n">
        <f aca="false">IF(ISNUMBER(AX333),AX333*DE333,0)</f>
        <v>0</v>
      </c>
      <c r="EV333" s="28" t="n">
        <f aca="false">IF(ISNUMBER(BB333),BB333*DF333,0)</f>
        <v>0</v>
      </c>
      <c r="EW333" s="28" t="n">
        <f aca="false">IF(ISNUMBER(BF333),BF333*DG333,0)</f>
        <v>0</v>
      </c>
      <c r="EX333" s="28" t="n">
        <f aca="false">IF(ISNUMBER(BJ333),BJ333*DH333,0)</f>
        <v>0</v>
      </c>
      <c r="EY333" s="28" t="n">
        <f aca="false">IF(ISNUMBER(BN333),BN333*DI333,0)</f>
        <v>0</v>
      </c>
      <c r="EZ333" s="28" t="n">
        <f aca="false">IF(ISNUMBER(BR333),BR333*DJ333,0)</f>
        <v>0</v>
      </c>
      <c r="FA333" s="28" t="n">
        <f aca="false">IF(ISNUMBER(R333),CW333,0)</f>
        <v>0</v>
      </c>
      <c r="FB333" s="28" t="n">
        <f aca="false">IF(ISNUMBER(V333),CX333,0)</f>
        <v>0</v>
      </c>
      <c r="FC333" s="28" t="n">
        <f aca="false">IF(ISNUMBER(Z333),CY333,0)</f>
        <v>0</v>
      </c>
      <c r="FD333" s="28" t="n">
        <f aca="false">IF(ISNUMBER(AD333),CZ333,0)</f>
        <v>0</v>
      </c>
      <c r="FE333" s="28" t="n">
        <f aca="false">IF(ISNUMBER(AH333),DA333,0)</f>
        <v>0</v>
      </c>
      <c r="FF333" s="28" t="n">
        <f aca="false">IF(ISNUMBER(AL333),DB333,0)</f>
        <v>0</v>
      </c>
      <c r="FG333" s="28" t="n">
        <f aca="false">IF(ISNUMBER(AP333),DC333,0)</f>
        <v>0</v>
      </c>
      <c r="FH333" s="28" t="n">
        <f aca="false">IF(ISNUMBER(AT333),DD333,0)</f>
        <v>0</v>
      </c>
      <c r="FI333" s="28" t="n">
        <f aca="false">IF(ISNUMBER(AX333),DE333,0)</f>
        <v>0</v>
      </c>
      <c r="FJ333" s="28" t="n">
        <f aca="false">IF(ISNUMBER(BB333),DF333,0)</f>
        <v>0</v>
      </c>
      <c r="FK333" s="28" t="n">
        <f aca="false">IF(ISNUMBER(BF333),DG333,0)</f>
        <v>0</v>
      </c>
      <c r="FL333" s="28" t="n">
        <f aca="false">IF(ISNUMBER(BJ333),DH333,0)</f>
        <v>0</v>
      </c>
      <c r="FM333" s="28" t="n">
        <f aca="false">IF(ISNUMBER(BN333),DI333,0)</f>
        <v>0</v>
      </c>
      <c r="FN333" s="28" t="n">
        <f aca="false">IF(ISNUMBER(BR333),DJ333,0)</f>
        <v>0</v>
      </c>
      <c r="FO333" s="28" t="str">
        <f aca="false">IFERROR(INDEX(Lists!$G$2:$G$20,MATCH($I333&amp;"|"&amp;$J333,Lists!$F$2:$F$20,0)),"")</f>
        <v>BM Exam</v>
      </c>
    </row>
    <row r="334" customFormat="false" ht="19.5" hidden="false" customHeight="true" outlineLevel="0" collapsed="false">
      <c r="A334" s="29" t="s">
        <v>630</v>
      </c>
      <c r="B334" s="29" t="s">
        <v>631</v>
      </c>
      <c r="C334" s="30" t="s">
        <v>192</v>
      </c>
      <c r="D334" s="30" t="s">
        <v>625</v>
      </c>
      <c r="E334" s="31"/>
      <c r="F334" s="30"/>
      <c r="G334" s="30"/>
      <c r="H334" s="32" t="s">
        <v>428</v>
      </c>
      <c r="I334" s="33" t="s">
        <v>365</v>
      </c>
      <c r="J334" s="32" t="s">
        <v>25</v>
      </c>
      <c r="K334" s="34" t="str">
        <f aca="false">IF(OR(M334="",$E334=""),"",M334-$E334)</f>
        <v/>
      </c>
      <c r="L334" s="35" t="str">
        <f aca="false">IF(SUM(FA334:FN334)=0,"",SUM(EM334:EZ334)/SUM(FA334:FN334))</f>
        <v/>
      </c>
      <c r="M334" s="36" t="str">
        <f aca="false">IF(OR(L334="",FO334=""),"",IFERROR(MATCH(L334,INDEX(Boundaries!$B$2:$I$30,MATCH(FO334,Boundaries!$A$2:$A$30,0),0),1)-1,""))</f>
        <v/>
      </c>
      <c r="N334" s="37" t="str">
        <f aca="false">IF(COUNT($DY334:$EL334)&lt;2,"",INDEX($DK334:$DX334,MAX($DY334:$EL334))-INDEX($DK334:$DX334,MIN($DY334:$EL334)))</f>
        <v/>
      </c>
      <c r="O334" s="37" t="str">
        <f aca="false">IF(COUNT($DY334:$EL334)&lt;2,"",INDEX($DK334:$DX334,MAX($DY334:$EL334))-INDEX($DK334:$DX334,LARGE($DY334:$EL334,2)))</f>
        <v/>
      </c>
      <c r="P334" s="38" t="str">
        <f aca="false">IF(K334="","",IF(K334&gt;=0,"On/above target",IF(AND(N334&lt;&gt;"",N334&gt;=0.5),"Improving towards target",IF(AND(O334&lt;&gt;"",O334&lt;=-0.5),"Declining","Stable below target"))))</f>
        <v/>
      </c>
      <c r="Q334" s="39"/>
      <c r="R334" s="40" t="str">
        <f aca="false">IF(OR(Q334="",BU334=""),"",Q334/BU334*100)</f>
        <v/>
      </c>
      <c r="S334" s="41" t="str">
        <f aca="false">IF(R334="","",IFERROR(MATCH(R334,INDEX(Boundaries!$B$2:$I$30,MATCH(CI334,Boundaries!$A$2:$A$30,0),0),1)-1,""))</f>
        <v/>
      </c>
      <c r="T334" s="42" t="str">
        <f aca="false">IF(OR(S334="",$E334=""),"",S334-$E334)</f>
        <v/>
      </c>
      <c r="U334" s="39"/>
      <c r="V334" s="40" t="str">
        <f aca="false">IF(OR(U334="",BV334=""),"",U334/BV334*100)</f>
        <v/>
      </c>
      <c r="W334" s="41" t="str">
        <f aca="false">IF(V334="","",IFERROR(MATCH(V334,INDEX(Boundaries!$B$2:$I$30,MATCH(CJ334,Boundaries!$A$2:$A$30,0),0),1)-1,""))</f>
        <v/>
      </c>
      <c r="X334" s="42" t="str">
        <f aca="false">IF(OR(W334="",$E334=""),"",W334-$E334)</f>
        <v/>
      </c>
      <c r="Y334" s="39"/>
      <c r="Z334" s="40" t="str">
        <f aca="false">IF(OR(Y334="",BW334=""),"",Y334/BW334*100)</f>
        <v/>
      </c>
      <c r="AA334" s="41" t="str">
        <f aca="false">IF(Z334="","",IFERROR(MATCH(Z334,INDEX(Boundaries!$B$2:$I$30,MATCH(CK334,Boundaries!$A$2:$A$30,0),0),1)-1,""))</f>
        <v/>
      </c>
      <c r="AB334" s="42" t="str">
        <f aca="false">IF(OR(AA334="",$E334=""),"",AA334-$E334)</f>
        <v/>
      </c>
      <c r="AC334" s="39"/>
      <c r="AD334" s="40" t="str">
        <f aca="false">IF(OR(AC334="",BX334=""),"",AC334/BX334*100)</f>
        <v/>
      </c>
      <c r="AE334" s="41" t="str">
        <f aca="false">IF(AD334="","",IFERROR(MATCH(AD334,INDEX(Boundaries!$B$2:$I$30,MATCH(CL334,Boundaries!$A$2:$A$30,0),0),1)-1,""))</f>
        <v/>
      </c>
      <c r="AF334" s="42" t="str">
        <f aca="false">IF(OR(AE334="",$E334=""),"",AE334-$E334)</f>
        <v/>
      </c>
      <c r="AG334" s="39"/>
      <c r="AH334" s="40" t="str">
        <f aca="false">IF(OR(AG334="",BY334=""),"",AG334/BY334*100)</f>
        <v/>
      </c>
      <c r="AI334" s="41" t="str">
        <f aca="false">IF(AH334="","",IFERROR(MATCH(AH334,INDEX(Boundaries!$B$2:$I$30,MATCH(CM334,Boundaries!$A$2:$A$30,0),0),1)-1,""))</f>
        <v/>
      </c>
      <c r="AJ334" s="42" t="str">
        <f aca="false">IF(OR(AI334="",$E334=""),"",AI334-$E334)</f>
        <v/>
      </c>
      <c r="AK334" s="39"/>
      <c r="AL334" s="40" t="str">
        <f aca="false">IF(OR(AK334="",BZ334=""),"",AK334/BZ334*100)</f>
        <v/>
      </c>
      <c r="AM334" s="41" t="str">
        <f aca="false">IF(AL334="","",IFERROR(MATCH(AL334,INDEX(Boundaries!$B$2:$I$30,MATCH(CN334,Boundaries!$A$2:$A$30,0),0),1)-1,""))</f>
        <v/>
      </c>
      <c r="AN334" s="42" t="str">
        <f aca="false">IF(OR(AM334="",$E334=""),"",AM334-$E334)</f>
        <v/>
      </c>
      <c r="AO334" s="39"/>
      <c r="AP334" s="40" t="str">
        <f aca="false">IF(OR(AO334="",CA334=""),"",AO334/CA334*100)</f>
        <v/>
      </c>
      <c r="AQ334" s="41" t="str">
        <f aca="false">IF(AP334="","",IFERROR(MATCH(AP334,INDEX(Boundaries!$B$2:$I$30,MATCH(CO334,Boundaries!$A$2:$A$30,0),0),1)-1,""))</f>
        <v/>
      </c>
      <c r="AR334" s="42" t="str">
        <f aca="false">IF(OR(AQ334="",$E334=""),"",AQ334-$E334)</f>
        <v/>
      </c>
      <c r="AS334" s="39"/>
      <c r="AT334" s="40" t="str">
        <f aca="false">IF(OR(AS334="",CB334=""),"",AS334/CB334*100)</f>
        <v/>
      </c>
      <c r="AU334" s="41" t="str">
        <f aca="false">IF(AT334="","",IFERROR(MATCH(AT334,INDEX(Boundaries!$B$2:$I$30,MATCH(CP334,Boundaries!$A$2:$A$30,0),0),1)-1,""))</f>
        <v/>
      </c>
      <c r="AV334" s="42" t="str">
        <f aca="false">IF(OR(AU334="",$E334=""),"",AU334-$E334)</f>
        <v/>
      </c>
      <c r="AW334" s="39"/>
      <c r="AX334" s="40" t="str">
        <f aca="false">IF(OR(AW334="",CC334=""),"",AW334/CC334*100)</f>
        <v/>
      </c>
      <c r="AY334" s="41" t="str">
        <f aca="false">IF(AX334="","",IFERROR(MATCH(AX334,INDEX(Boundaries!$B$2:$I$30,MATCH(CQ334,Boundaries!$A$2:$A$30,0),0),1)-1,""))</f>
        <v/>
      </c>
      <c r="AZ334" s="42" t="str">
        <f aca="false">IF(OR(AY334="",$E334=""),"",AY334-$E334)</f>
        <v/>
      </c>
      <c r="BA334" s="39"/>
      <c r="BB334" s="40" t="str">
        <f aca="false">IF(OR(BA334="",CD334=""),"",BA334/CD334*100)</f>
        <v/>
      </c>
      <c r="BC334" s="41" t="str">
        <f aca="false">IF(BB334="","",IFERROR(MATCH(BB334,INDEX(Boundaries!$B$2:$I$30,MATCH(CR334,Boundaries!$A$2:$A$30,0),0),1)-1,""))</f>
        <v/>
      </c>
      <c r="BD334" s="42" t="str">
        <f aca="false">IF(OR(BC334="",$E334=""),"",BC334-$E334)</f>
        <v/>
      </c>
      <c r="BE334" s="39"/>
      <c r="BF334" s="40" t="str">
        <f aca="false">IF(OR(BE334="",CE334=""),"",BE334/CE334*100)</f>
        <v/>
      </c>
      <c r="BG334" s="41" t="str">
        <f aca="false">IF(BF334="","",IFERROR(MATCH(BF334,INDEX(Boundaries!$B$2:$I$30,MATCH(CS334,Boundaries!$A$2:$A$30,0),0),1)-1,""))</f>
        <v/>
      </c>
      <c r="BH334" s="42" t="str">
        <f aca="false">IF(OR(BG334="",$E334=""),"",BG334-$E334)</f>
        <v/>
      </c>
      <c r="BI334" s="39"/>
      <c r="BJ334" s="40" t="str">
        <f aca="false">IF(OR(BI334="",CF334=""),"",BI334/CF334*100)</f>
        <v/>
      </c>
      <c r="BK334" s="41" t="str">
        <f aca="false">IF(BJ334="","",IFERROR(MATCH(BJ334,INDEX(Boundaries!$B$2:$I$30,MATCH(CT334,Boundaries!$A$2:$A$30,0),0),1)-1,""))</f>
        <v/>
      </c>
      <c r="BL334" s="42" t="str">
        <f aca="false">IF(OR(BK334="",$E334=""),"",BK334-$E334)</f>
        <v/>
      </c>
      <c r="BM334" s="39"/>
      <c r="BN334" s="40" t="str">
        <f aca="false">IF(OR(BM334="",CG334=""),"",BM334/CG334*100)</f>
        <v/>
      </c>
      <c r="BO334" s="41" t="str">
        <f aca="false">IF(BN334="","",IFERROR(MATCH(BN334,INDEX(Boundaries!$B$2:$I$30,MATCH(CU334,Boundaries!$A$2:$A$30,0),0),1)-1,""))</f>
        <v/>
      </c>
      <c r="BP334" s="42" t="str">
        <f aca="false">IF(OR(BO334="",$E334=""),"",BO334-$E334)</f>
        <v/>
      </c>
      <c r="BQ334" s="39"/>
      <c r="BR334" s="40" t="str">
        <f aca="false">IF(OR(BQ334="",CH334=""),"",BQ334/CH334*100)</f>
        <v/>
      </c>
      <c r="BS334" s="41" t="str">
        <f aca="false">IF(BR334="","",IFERROR(MATCH(BR334,INDEX(Boundaries!$B$2:$I$30,MATCH(CV334,Boundaries!$A$2:$A$30,0),0),1)-1,""))</f>
        <v/>
      </c>
      <c r="BT334" s="42" t="str">
        <f aca="false">IF(OR(BS334="",$E334=""),"",BS334-$E334)</f>
        <v/>
      </c>
      <c r="BU334" s="28" t="n">
        <f aca="false">IFERROR(INDEX(Assessments!$H$2:$H$600,MATCH($H334&amp;"|"&amp;$I334&amp;"|"&amp;$J334&amp;"|"&amp;1,Assessments!$A$2:$A$600,0)),"")</f>
        <v>24</v>
      </c>
      <c r="BV334" s="28" t="n">
        <f aca="false">IFERROR(INDEX(Assessments!$H$2:$H$600,MATCH($H334&amp;"|"&amp;$I334&amp;"|"&amp;$J334&amp;"|"&amp;2,Assessments!$A$2:$A$600,0)),"")</f>
        <v>20</v>
      </c>
      <c r="BW334" s="28" t="n">
        <f aca="false">IFERROR(INDEX(Assessments!$H$2:$H$600,MATCH($H334&amp;"|"&amp;$I334&amp;"|"&amp;$J334&amp;"|"&amp;3,Assessments!$A$2:$A$600,0)),"")</f>
        <v>20</v>
      </c>
      <c r="BX334" s="28" t="n">
        <f aca="false">IFERROR(INDEX(Assessments!$H$2:$H$600,MATCH($H334&amp;"|"&amp;$I334&amp;"|"&amp;$J334&amp;"|"&amp;4,Assessments!$A$2:$A$600,0)),"")</f>
        <v>40</v>
      </c>
      <c r="BY334" s="28" t="n">
        <f aca="false">IFERROR(INDEX(Assessments!$H$2:$H$600,MATCH($H334&amp;"|"&amp;$I334&amp;"|"&amp;$J334&amp;"|"&amp;5,Assessments!$A$2:$A$600,0)),"")</f>
        <v>30</v>
      </c>
      <c r="BZ334" s="28" t="n">
        <f aca="false">IFERROR(INDEX(Assessments!$H$2:$H$600,MATCH($H334&amp;"|"&amp;$I334&amp;"|"&amp;$J334&amp;"|"&amp;6,Assessments!$A$2:$A$600,0)),"")</f>
        <v>20</v>
      </c>
      <c r="CA334" s="28" t="n">
        <f aca="false">IFERROR(INDEX(Assessments!$H$2:$H$600,MATCH($H334&amp;"|"&amp;$I334&amp;"|"&amp;$J334&amp;"|"&amp;7,Assessments!$A$2:$A$600,0)),"")</f>
        <v>50</v>
      </c>
      <c r="CB334" s="28" t="str">
        <f aca="false">IFERROR(INDEX(Assessments!$H$2:$H$600,MATCH($H334&amp;"|"&amp;$I334&amp;"|"&amp;$J334&amp;"|"&amp;8,Assessments!$A$2:$A$600,0)),"")</f>
        <v/>
      </c>
      <c r="CC334" s="28" t="str">
        <f aca="false">IFERROR(INDEX(Assessments!$H$2:$H$600,MATCH($H334&amp;"|"&amp;$I334&amp;"|"&amp;$J334&amp;"|"&amp;9,Assessments!$A$2:$A$600,0)),"")</f>
        <v/>
      </c>
      <c r="CD334" s="28" t="str">
        <f aca="false">IFERROR(INDEX(Assessments!$H$2:$H$600,MATCH($H334&amp;"|"&amp;$I334&amp;"|"&amp;$J334&amp;"|"&amp;10,Assessments!$A$2:$A$600,0)),"")</f>
        <v/>
      </c>
      <c r="CE334" s="28" t="str">
        <f aca="false">IFERROR(INDEX(Assessments!$H$2:$H$600,MATCH($H334&amp;"|"&amp;$I334&amp;"|"&amp;$J334&amp;"|"&amp;11,Assessments!$A$2:$A$600,0)),"")</f>
        <v/>
      </c>
      <c r="CF334" s="28" t="str">
        <f aca="false">IFERROR(INDEX(Assessments!$H$2:$H$600,MATCH($H334&amp;"|"&amp;$I334&amp;"|"&amp;$J334&amp;"|"&amp;12,Assessments!$A$2:$A$600,0)),"")</f>
        <v/>
      </c>
      <c r="CG334" s="28" t="str">
        <f aca="false">IFERROR(INDEX(Assessments!$H$2:$H$600,MATCH($H334&amp;"|"&amp;$I334&amp;"|"&amp;$J334&amp;"|"&amp;13,Assessments!$A$2:$A$600,0)),"")</f>
        <v/>
      </c>
      <c r="CH334" s="28" t="str">
        <f aca="false">IFERROR(INDEX(Assessments!$H$2:$H$600,MATCH($H334&amp;"|"&amp;$I334&amp;"|"&amp;$J334&amp;"|"&amp;14,Assessments!$A$2:$A$600,0)),"")</f>
        <v/>
      </c>
      <c r="CI334" s="28" t="str">
        <f aca="false">IFERROR(INDEX(Assessments!$I$2:$I$600,MATCH($H334&amp;"|"&amp;$I334&amp;"|"&amp;$J334&amp;"|"&amp;1,Assessments!$A$2:$A$600,0)),"")</f>
        <v>BM Test</v>
      </c>
      <c r="CJ334" s="28" t="str">
        <f aca="false">IFERROR(INDEX(Assessments!$I$2:$I$600,MATCH($H334&amp;"|"&amp;$I334&amp;"|"&amp;$J334&amp;"|"&amp;2,Assessments!$A$2:$A$600,0)),"")</f>
        <v>BM Test</v>
      </c>
      <c r="CK334" s="28" t="str">
        <f aca="false">IFERROR(INDEX(Assessments!$I$2:$I$600,MATCH($H334&amp;"|"&amp;$I334&amp;"|"&amp;$J334&amp;"|"&amp;3,Assessments!$A$2:$A$600,0)),"")</f>
        <v>BM Test</v>
      </c>
      <c r="CL334" s="28" t="str">
        <f aca="false">IFERROR(INDEX(Assessments!$I$2:$I$600,MATCH($H334&amp;"|"&amp;$I334&amp;"|"&amp;$J334&amp;"|"&amp;4,Assessments!$A$2:$A$600,0)),"")</f>
        <v>BM Exam</v>
      </c>
      <c r="CM334" s="28" t="str">
        <f aca="false">IFERROR(INDEX(Assessments!$I$2:$I$600,MATCH($H334&amp;"|"&amp;$I334&amp;"|"&amp;$J334&amp;"|"&amp;5,Assessments!$A$2:$A$600,0)),"")</f>
        <v>BM Test</v>
      </c>
      <c r="CN334" s="28" t="str">
        <f aca="false">IFERROR(INDEX(Assessments!$I$2:$I$600,MATCH($H334&amp;"|"&amp;$I334&amp;"|"&amp;$J334&amp;"|"&amp;6,Assessments!$A$2:$A$600,0)),"")</f>
        <v>BM Test</v>
      </c>
      <c r="CO334" s="28" t="str">
        <f aca="false">IFERROR(INDEX(Assessments!$I$2:$I$600,MATCH($H334&amp;"|"&amp;$I334&amp;"|"&amp;$J334&amp;"|"&amp;7,Assessments!$A$2:$A$600,0)),"")</f>
        <v>BM Exam</v>
      </c>
      <c r="CP334" s="28" t="str">
        <f aca="false">IFERROR(INDEX(Assessments!$I$2:$I$600,MATCH($H334&amp;"|"&amp;$I334&amp;"|"&amp;$J334&amp;"|"&amp;8,Assessments!$A$2:$A$600,0)),"")</f>
        <v/>
      </c>
      <c r="CQ334" s="28" t="str">
        <f aca="false">IFERROR(INDEX(Assessments!$I$2:$I$600,MATCH($H334&amp;"|"&amp;$I334&amp;"|"&amp;$J334&amp;"|"&amp;9,Assessments!$A$2:$A$600,0)),"")</f>
        <v/>
      </c>
      <c r="CR334" s="28" t="str">
        <f aca="false">IFERROR(INDEX(Assessments!$I$2:$I$600,MATCH($H334&amp;"|"&amp;$I334&amp;"|"&amp;$J334&amp;"|"&amp;10,Assessments!$A$2:$A$600,0)),"")</f>
        <v/>
      </c>
      <c r="CS334" s="28" t="str">
        <f aca="false">IFERROR(INDEX(Assessments!$I$2:$I$600,MATCH($H334&amp;"|"&amp;$I334&amp;"|"&amp;$J334&amp;"|"&amp;11,Assessments!$A$2:$A$600,0)),"")</f>
        <v/>
      </c>
      <c r="CT334" s="28" t="str">
        <f aca="false">IFERROR(INDEX(Assessments!$I$2:$I$600,MATCH($H334&amp;"|"&amp;$I334&amp;"|"&amp;$J334&amp;"|"&amp;12,Assessments!$A$2:$A$600,0)),"")</f>
        <v/>
      </c>
      <c r="CU334" s="28" t="str">
        <f aca="false">IFERROR(INDEX(Assessments!$I$2:$I$600,MATCH($H334&amp;"|"&amp;$I334&amp;"|"&amp;$J334&amp;"|"&amp;13,Assessments!$A$2:$A$600,0)),"")</f>
        <v/>
      </c>
      <c r="CV334" s="28" t="str">
        <f aca="false">IFERROR(INDEX(Assessments!$I$2:$I$600,MATCH($H334&amp;"|"&amp;$I334&amp;"|"&amp;$J334&amp;"|"&amp;14,Assessments!$A$2:$A$600,0)),"")</f>
        <v/>
      </c>
      <c r="CW334" s="28" t="n">
        <f aca="false">IFERROR(INDEX(Assessments!$J$2:$J$600,MATCH($H334&amp;"|"&amp;$I334&amp;"|"&amp;$J334&amp;"|"&amp;1,Assessments!$A$2:$A$600,0)),0)</f>
        <v>1</v>
      </c>
      <c r="CX334" s="28" t="n">
        <f aca="false">IFERROR(INDEX(Assessments!$J$2:$J$600,MATCH($H334&amp;"|"&amp;$I334&amp;"|"&amp;$J334&amp;"|"&amp;2,Assessments!$A$2:$A$600,0)),0)</f>
        <v>1</v>
      </c>
      <c r="CY334" s="28" t="n">
        <f aca="false">IFERROR(INDEX(Assessments!$J$2:$J$600,MATCH($H334&amp;"|"&amp;$I334&amp;"|"&amp;$J334&amp;"|"&amp;3,Assessments!$A$2:$A$600,0)),0)</f>
        <v>1</v>
      </c>
      <c r="CZ334" s="28" t="n">
        <f aca="false">IFERROR(INDEX(Assessments!$J$2:$J$600,MATCH($H334&amp;"|"&amp;$I334&amp;"|"&amp;$J334&amp;"|"&amp;4,Assessments!$A$2:$A$600,0)),0)</f>
        <v>2</v>
      </c>
      <c r="DA334" s="28" t="n">
        <f aca="false">IFERROR(INDEX(Assessments!$J$2:$J$600,MATCH($H334&amp;"|"&amp;$I334&amp;"|"&amp;$J334&amp;"|"&amp;5,Assessments!$A$2:$A$600,0)),0)</f>
        <v>1</v>
      </c>
      <c r="DB334" s="28" t="n">
        <f aca="false">IFERROR(INDEX(Assessments!$J$2:$J$600,MATCH($H334&amp;"|"&amp;$I334&amp;"|"&amp;$J334&amp;"|"&amp;6,Assessments!$A$2:$A$600,0)),0)</f>
        <v>1</v>
      </c>
      <c r="DC334" s="28" t="n">
        <f aca="false">IFERROR(INDEX(Assessments!$J$2:$J$600,MATCH($H334&amp;"|"&amp;$I334&amp;"|"&amp;$J334&amp;"|"&amp;7,Assessments!$A$2:$A$600,0)),0)</f>
        <v>2</v>
      </c>
      <c r="DD334" s="28" t="n">
        <f aca="false">IFERROR(INDEX(Assessments!$J$2:$J$600,MATCH($H334&amp;"|"&amp;$I334&amp;"|"&amp;$J334&amp;"|"&amp;8,Assessments!$A$2:$A$600,0)),0)</f>
        <v>0</v>
      </c>
      <c r="DE334" s="28" t="n">
        <f aca="false">IFERROR(INDEX(Assessments!$J$2:$J$600,MATCH($H334&amp;"|"&amp;$I334&amp;"|"&amp;$J334&amp;"|"&amp;9,Assessments!$A$2:$A$600,0)),0)</f>
        <v>0</v>
      </c>
      <c r="DF334" s="28" t="n">
        <f aca="false">IFERROR(INDEX(Assessments!$J$2:$J$600,MATCH($H334&amp;"|"&amp;$I334&amp;"|"&amp;$J334&amp;"|"&amp;10,Assessments!$A$2:$A$600,0)),0)</f>
        <v>0</v>
      </c>
      <c r="DG334" s="28" t="n">
        <f aca="false">IFERROR(INDEX(Assessments!$J$2:$J$600,MATCH($H334&amp;"|"&amp;$I334&amp;"|"&amp;$J334&amp;"|"&amp;11,Assessments!$A$2:$A$600,0)),0)</f>
        <v>0</v>
      </c>
      <c r="DH334" s="28" t="n">
        <f aca="false">IFERROR(INDEX(Assessments!$J$2:$J$600,MATCH($H334&amp;"|"&amp;$I334&amp;"|"&amp;$J334&amp;"|"&amp;12,Assessments!$A$2:$A$600,0)),0)</f>
        <v>0</v>
      </c>
      <c r="DI334" s="28" t="n">
        <f aca="false">IFERROR(INDEX(Assessments!$J$2:$J$600,MATCH($H334&amp;"|"&amp;$I334&amp;"|"&amp;$J334&amp;"|"&amp;13,Assessments!$A$2:$A$600,0)),0)</f>
        <v>0</v>
      </c>
      <c r="DJ334" s="28" t="n">
        <f aca="false">IFERROR(INDEX(Assessments!$J$2:$J$600,MATCH($H334&amp;"|"&amp;$I334&amp;"|"&amp;$J334&amp;"|"&amp;14,Assessments!$A$2:$A$600,0)),0)</f>
        <v>0</v>
      </c>
      <c r="DK334" s="28" t="str">
        <f aca="false">S334</f>
        <v/>
      </c>
      <c r="DL334" s="28" t="str">
        <f aca="false">W334</f>
        <v/>
      </c>
      <c r="DM334" s="28" t="str">
        <f aca="false">AA334</f>
        <v/>
      </c>
      <c r="DN334" s="28" t="str">
        <f aca="false">AE334</f>
        <v/>
      </c>
      <c r="DO334" s="28" t="str">
        <f aca="false">AI334</f>
        <v/>
      </c>
      <c r="DP334" s="28" t="str">
        <f aca="false">AM334</f>
        <v/>
      </c>
      <c r="DQ334" s="28" t="str">
        <f aca="false">AQ334</f>
        <v/>
      </c>
      <c r="DR334" s="28" t="str">
        <f aca="false">AU334</f>
        <v/>
      </c>
      <c r="DS334" s="28" t="str">
        <f aca="false">AY334</f>
        <v/>
      </c>
      <c r="DT334" s="28" t="str">
        <f aca="false">BC334</f>
        <v/>
      </c>
      <c r="DU334" s="28" t="str">
        <f aca="false">BG334</f>
        <v/>
      </c>
      <c r="DV334" s="28" t="str">
        <f aca="false">BK334</f>
        <v/>
      </c>
      <c r="DW334" s="28" t="str">
        <f aca="false">BO334</f>
        <v/>
      </c>
      <c r="DX334" s="28" t="str">
        <f aca="false">BS334</f>
        <v/>
      </c>
      <c r="DY334" s="28" t="str">
        <f aca="false">IF(ISNUMBER(S334),1,"")</f>
        <v/>
      </c>
      <c r="DZ334" s="28" t="str">
        <f aca="false">IF(ISNUMBER(W334),2,"")</f>
        <v/>
      </c>
      <c r="EA334" s="28" t="str">
        <f aca="false">IF(ISNUMBER(AA334),3,"")</f>
        <v/>
      </c>
      <c r="EB334" s="28" t="str">
        <f aca="false">IF(ISNUMBER(AE334),4,"")</f>
        <v/>
      </c>
      <c r="EC334" s="28" t="str">
        <f aca="false">IF(ISNUMBER(AI334),5,"")</f>
        <v/>
      </c>
      <c r="ED334" s="28" t="str">
        <f aca="false">IF(ISNUMBER(AM334),6,"")</f>
        <v/>
      </c>
      <c r="EE334" s="28" t="str">
        <f aca="false">IF(ISNUMBER(AQ334),7,"")</f>
        <v/>
      </c>
      <c r="EF334" s="28" t="str">
        <f aca="false">IF(ISNUMBER(AU334),8,"")</f>
        <v/>
      </c>
      <c r="EG334" s="28" t="str">
        <f aca="false">IF(ISNUMBER(AY334),9,"")</f>
        <v/>
      </c>
      <c r="EH334" s="28" t="str">
        <f aca="false">IF(ISNUMBER(BC334),10,"")</f>
        <v/>
      </c>
      <c r="EI334" s="28" t="str">
        <f aca="false">IF(ISNUMBER(BG334),11,"")</f>
        <v/>
      </c>
      <c r="EJ334" s="28" t="str">
        <f aca="false">IF(ISNUMBER(BK334),12,"")</f>
        <v/>
      </c>
      <c r="EK334" s="28" t="str">
        <f aca="false">IF(ISNUMBER(BO334),13,"")</f>
        <v/>
      </c>
      <c r="EL334" s="28" t="str">
        <f aca="false">IF(ISNUMBER(BS334),14,"")</f>
        <v/>
      </c>
      <c r="EM334" s="28" t="n">
        <f aca="false">IF(ISNUMBER(R334),R334*CW334,0)</f>
        <v>0</v>
      </c>
      <c r="EN334" s="28" t="n">
        <f aca="false">IF(ISNUMBER(V334),V334*CX334,0)</f>
        <v>0</v>
      </c>
      <c r="EO334" s="28" t="n">
        <f aca="false">IF(ISNUMBER(Z334),Z334*CY334,0)</f>
        <v>0</v>
      </c>
      <c r="EP334" s="28" t="n">
        <f aca="false">IF(ISNUMBER(AD334),AD334*CZ334,0)</f>
        <v>0</v>
      </c>
      <c r="EQ334" s="28" t="n">
        <f aca="false">IF(ISNUMBER(AH334),AH334*DA334,0)</f>
        <v>0</v>
      </c>
      <c r="ER334" s="28" t="n">
        <f aca="false">IF(ISNUMBER(AL334),AL334*DB334,0)</f>
        <v>0</v>
      </c>
      <c r="ES334" s="28" t="n">
        <f aca="false">IF(ISNUMBER(AP334),AP334*DC334,0)</f>
        <v>0</v>
      </c>
      <c r="ET334" s="28" t="n">
        <f aca="false">IF(ISNUMBER(AT334),AT334*DD334,0)</f>
        <v>0</v>
      </c>
      <c r="EU334" s="28" t="n">
        <f aca="false">IF(ISNUMBER(AX334),AX334*DE334,0)</f>
        <v>0</v>
      </c>
      <c r="EV334" s="28" t="n">
        <f aca="false">IF(ISNUMBER(BB334),BB334*DF334,0)</f>
        <v>0</v>
      </c>
      <c r="EW334" s="28" t="n">
        <f aca="false">IF(ISNUMBER(BF334),BF334*DG334,0)</f>
        <v>0</v>
      </c>
      <c r="EX334" s="28" t="n">
        <f aca="false">IF(ISNUMBER(BJ334),BJ334*DH334,0)</f>
        <v>0</v>
      </c>
      <c r="EY334" s="28" t="n">
        <f aca="false">IF(ISNUMBER(BN334),BN334*DI334,0)</f>
        <v>0</v>
      </c>
      <c r="EZ334" s="28" t="n">
        <f aca="false">IF(ISNUMBER(BR334),BR334*DJ334,0)</f>
        <v>0</v>
      </c>
      <c r="FA334" s="28" t="n">
        <f aca="false">IF(ISNUMBER(R334),CW334,0)</f>
        <v>0</v>
      </c>
      <c r="FB334" s="28" t="n">
        <f aca="false">IF(ISNUMBER(V334),CX334,0)</f>
        <v>0</v>
      </c>
      <c r="FC334" s="28" t="n">
        <f aca="false">IF(ISNUMBER(Z334),CY334,0)</f>
        <v>0</v>
      </c>
      <c r="FD334" s="28" t="n">
        <f aca="false">IF(ISNUMBER(AD334),CZ334,0)</f>
        <v>0</v>
      </c>
      <c r="FE334" s="28" t="n">
        <f aca="false">IF(ISNUMBER(AH334),DA334,0)</f>
        <v>0</v>
      </c>
      <c r="FF334" s="28" t="n">
        <f aca="false">IF(ISNUMBER(AL334),DB334,0)</f>
        <v>0</v>
      </c>
      <c r="FG334" s="28" t="n">
        <f aca="false">IF(ISNUMBER(AP334),DC334,0)</f>
        <v>0</v>
      </c>
      <c r="FH334" s="28" t="n">
        <f aca="false">IF(ISNUMBER(AT334),DD334,0)</f>
        <v>0</v>
      </c>
      <c r="FI334" s="28" t="n">
        <f aca="false">IF(ISNUMBER(AX334),DE334,0)</f>
        <v>0</v>
      </c>
      <c r="FJ334" s="28" t="n">
        <f aca="false">IF(ISNUMBER(BB334),DF334,0)</f>
        <v>0</v>
      </c>
      <c r="FK334" s="28" t="n">
        <f aca="false">IF(ISNUMBER(BF334),DG334,0)</f>
        <v>0</v>
      </c>
      <c r="FL334" s="28" t="n">
        <f aca="false">IF(ISNUMBER(BJ334),DH334,0)</f>
        <v>0</v>
      </c>
      <c r="FM334" s="28" t="n">
        <f aca="false">IF(ISNUMBER(BN334),DI334,0)</f>
        <v>0</v>
      </c>
      <c r="FN334" s="28" t="n">
        <f aca="false">IF(ISNUMBER(BR334),DJ334,0)</f>
        <v>0</v>
      </c>
      <c r="FO334" s="28" t="str">
        <f aca="false">IFERROR(INDEX(Lists!$G$2:$G$20,MATCH($I334&amp;"|"&amp;$J334,Lists!$F$2:$F$20,0)),"")</f>
        <v>BM Exam</v>
      </c>
    </row>
    <row r="335" customFormat="false" ht="19.5" hidden="false" customHeight="true" outlineLevel="0" collapsed="false">
      <c r="A335" s="29" t="s">
        <v>632</v>
      </c>
      <c r="B335" s="29" t="s">
        <v>633</v>
      </c>
      <c r="C335" s="30" t="s">
        <v>192</v>
      </c>
      <c r="D335" s="30" t="s">
        <v>625</v>
      </c>
      <c r="E335" s="31"/>
      <c r="F335" s="30"/>
      <c r="G335" s="30"/>
      <c r="H335" s="32" t="s">
        <v>428</v>
      </c>
      <c r="I335" s="33" t="s">
        <v>365</v>
      </c>
      <c r="J335" s="32" t="s">
        <v>25</v>
      </c>
      <c r="K335" s="34" t="str">
        <f aca="false">IF(OR(M335="",$E335=""),"",M335-$E335)</f>
        <v/>
      </c>
      <c r="L335" s="35" t="str">
        <f aca="false">IF(SUM(FA335:FN335)=0,"",SUM(EM335:EZ335)/SUM(FA335:FN335))</f>
        <v/>
      </c>
      <c r="M335" s="36" t="str">
        <f aca="false">IF(OR(L335="",FO335=""),"",IFERROR(MATCH(L335,INDEX(Boundaries!$B$2:$I$30,MATCH(FO335,Boundaries!$A$2:$A$30,0),0),1)-1,""))</f>
        <v/>
      </c>
      <c r="N335" s="37" t="str">
        <f aca="false">IF(COUNT($DY335:$EL335)&lt;2,"",INDEX($DK335:$DX335,MAX($DY335:$EL335))-INDEX($DK335:$DX335,MIN($DY335:$EL335)))</f>
        <v/>
      </c>
      <c r="O335" s="37" t="str">
        <f aca="false">IF(COUNT($DY335:$EL335)&lt;2,"",INDEX($DK335:$DX335,MAX($DY335:$EL335))-INDEX($DK335:$DX335,LARGE($DY335:$EL335,2)))</f>
        <v/>
      </c>
      <c r="P335" s="38" t="str">
        <f aca="false">IF(K335="","",IF(K335&gt;=0,"On/above target",IF(AND(N335&lt;&gt;"",N335&gt;=0.5),"Improving towards target",IF(AND(O335&lt;&gt;"",O335&lt;=-0.5),"Declining","Stable below target"))))</f>
        <v/>
      </c>
      <c r="Q335" s="39"/>
      <c r="R335" s="40" t="str">
        <f aca="false">IF(OR(Q335="",BU335=""),"",Q335/BU335*100)</f>
        <v/>
      </c>
      <c r="S335" s="41" t="str">
        <f aca="false">IF(R335="","",IFERROR(MATCH(R335,INDEX(Boundaries!$B$2:$I$30,MATCH(CI335,Boundaries!$A$2:$A$30,0),0),1)-1,""))</f>
        <v/>
      </c>
      <c r="T335" s="42" t="str">
        <f aca="false">IF(OR(S335="",$E335=""),"",S335-$E335)</f>
        <v/>
      </c>
      <c r="U335" s="39"/>
      <c r="V335" s="40" t="str">
        <f aca="false">IF(OR(U335="",BV335=""),"",U335/BV335*100)</f>
        <v/>
      </c>
      <c r="W335" s="41" t="str">
        <f aca="false">IF(V335="","",IFERROR(MATCH(V335,INDEX(Boundaries!$B$2:$I$30,MATCH(CJ335,Boundaries!$A$2:$A$30,0),0),1)-1,""))</f>
        <v/>
      </c>
      <c r="X335" s="42" t="str">
        <f aca="false">IF(OR(W335="",$E335=""),"",W335-$E335)</f>
        <v/>
      </c>
      <c r="Y335" s="39"/>
      <c r="Z335" s="40" t="str">
        <f aca="false">IF(OR(Y335="",BW335=""),"",Y335/BW335*100)</f>
        <v/>
      </c>
      <c r="AA335" s="41" t="str">
        <f aca="false">IF(Z335="","",IFERROR(MATCH(Z335,INDEX(Boundaries!$B$2:$I$30,MATCH(CK335,Boundaries!$A$2:$A$30,0),0),1)-1,""))</f>
        <v/>
      </c>
      <c r="AB335" s="42" t="str">
        <f aca="false">IF(OR(AA335="",$E335=""),"",AA335-$E335)</f>
        <v/>
      </c>
      <c r="AC335" s="39"/>
      <c r="AD335" s="40" t="str">
        <f aca="false">IF(OR(AC335="",BX335=""),"",AC335/BX335*100)</f>
        <v/>
      </c>
      <c r="AE335" s="41" t="str">
        <f aca="false">IF(AD335="","",IFERROR(MATCH(AD335,INDEX(Boundaries!$B$2:$I$30,MATCH(CL335,Boundaries!$A$2:$A$30,0),0),1)-1,""))</f>
        <v/>
      </c>
      <c r="AF335" s="42" t="str">
        <f aca="false">IF(OR(AE335="",$E335=""),"",AE335-$E335)</f>
        <v/>
      </c>
      <c r="AG335" s="39"/>
      <c r="AH335" s="40" t="str">
        <f aca="false">IF(OR(AG335="",BY335=""),"",AG335/BY335*100)</f>
        <v/>
      </c>
      <c r="AI335" s="41" t="str">
        <f aca="false">IF(AH335="","",IFERROR(MATCH(AH335,INDEX(Boundaries!$B$2:$I$30,MATCH(CM335,Boundaries!$A$2:$A$30,0),0),1)-1,""))</f>
        <v/>
      </c>
      <c r="AJ335" s="42" t="str">
        <f aca="false">IF(OR(AI335="",$E335=""),"",AI335-$E335)</f>
        <v/>
      </c>
      <c r="AK335" s="39"/>
      <c r="AL335" s="40" t="str">
        <f aca="false">IF(OR(AK335="",BZ335=""),"",AK335/BZ335*100)</f>
        <v/>
      </c>
      <c r="AM335" s="41" t="str">
        <f aca="false">IF(AL335="","",IFERROR(MATCH(AL335,INDEX(Boundaries!$B$2:$I$30,MATCH(CN335,Boundaries!$A$2:$A$30,0),0),1)-1,""))</f>
        <v/>
      </c>
      <c r="AN335" s="42" t="str">
        <f aca="false">IF(OR(AM335="",$E335=""),"",AM335-$E335)</f>
        <v/>
      </c>
      <c r="AO335" s="39"/>
      <c r="AP335" s="40" t="str">
        <f aca="false">IF(OR(AO335="",CA335=""),"",AO335/CA335*100)</f>
        <v/>
      </c>
      <c r="AQ335" s="41" t="str">
        <f aca="false">IF(AP335="","",IFERROR(MATCH(AP335,INDEX(Boundaries!$B$2:$I$30,MATCH(CO335,Boundaries!$A$2:$A$30,0),0),1)-1,""))</f>
        <v/>
      </c>
      <c r="AR335" s="42" t="str">
        <f aca="false">IF(OR(AQ335="",$E335=""),"",AQ335-$E335)</f>
        <v/>
      </c>
      <c r="AS335" s="39"/>
      <c r="AT335" s="40" t="str">
        <f aca="false">IF(OR(AS335="",CB335=""),"",AS335/CB335*100)</f>
        <v/>
      </c>
      <c r="AU335" s="41" t="str">
        <f aca="false">IF(AT335="","",IFERROR(MATCH(AT335,INDEX(Boundaries!$B$2:$I$30,MATCH(CP335,Boundaries!$A$2:$A$30,0),0),1)-1,""))</f>
        <v/>
      </c>
      <c r="AV335" s="42" t="str">
        <f aca="false">IF(OR(AU335="",$E335=""),"",AU335-$E335)</f>
        <v/>
      </c>
      <c r="AW335" s="39"/>
      <c r="AX335" s="40" t="str">
        <f aca="false">IF(OR(AW335="",CC335=""),"",AW335/CC335*100)</f>
        <v/>
      </c>
      <c r="AY335" s="41" t="str">
        <f aca="false">IF(AX335="","",IFERROR(MATCH(AX335,INDEX(Boundaries!$B$2:$I$30,MATCH(CQ335,Boundaries!$A$2:$A$30,0),0),1)-1,""))</f>
        <v/>
      </c>
      <c r="AZ335" s="42" t="str">
        <f aca="false">IF(OR(AY335="",$E335=""),"",AY335-$E335)</f>
        <v/>
      </c>
      <c r="BA335" s="39"/>
      <c r="BB335" s="40" t="str">
        <f aca="false">IF(OR(BA335="",CD335=""),"",BA335/CD335*100)</f>
        <v/>
      </c>
      <c r="BC335" s="41" t="str">
        <f aca="false">IF(BB335="","",IFERROR(MATCH(BB335,INDEX(Boundaries!$B$2:$I$30,MATCH(CR335,Boundaries!$A$2:$A$30,0),0),1)-1,""))</f>
        <v/>
      </c>
      <c r="BD335" s="42" t="str">
        <f aca="false">IF(OR(BC335="",$E335=""),"",BC335-$E335)</f>
        <v/>
      </c>
      <c r="BE335" s="39"/>
      <c r="BF335" s="40" t="str">
        <f aca="false">IF(OR(BE335="",CE335=""),"",BE335/CE335*100)</f>
        <v/>
      </c>
      <c r="BG335" s="41" t="str">
        <f aca="false">IF(BF335="","",IFERROR(MATCH(BF335,INDEX(Boundaries!$B$2:$I$30,MATCH(CS335,Boundaries!$A$2:$A$30,0),0),1)-1,""))</f>
        <v/>
      </c>
      <c r="BH335" s="42" t="str">
        <f aca="false">IF(OR(BG335="",$E335=""),"",BG335-$E335)</f>
        <v/>
      </c>
      <c r="BI335" s="39"/>
      <c r="BJ335" s="40" t="str">
        <f aca="false">IF(OR(BI335="",CF335=""),"",BI335/CF335*100)</f>
        <v/>
      </c>
      <c r="BK335" s="41" t="str">
        <f aca="false">IF(BJ335="","",IFERROR(MATCH(BJ335,INDEX(Boundaries!$B$2:$I$30,MATCH(CT335,Boundaries!$A$2:$A$30,0),0),1)-1,""))</f>
        <v/>
      </c>
      <c r="BL335" s="42" t="str">
        <f aca="false">IF(OR(BK335="",$E335=""),"",BK335-$E335)</f>
        <v/>
      </c>
      <c r="BM335" s="39"/>
      <c r="BN335" s="40" t="str">
        <f aca="false">IF(OR(BM335="",CG335=""),"",BM335/CG335*100)</f>
        <v/>
      </c>
      <c r="BO335" s="41" t="str">
        <f aca="false">IF(BN335="","",IFERROR(MATCH(BN335,INDEX(Boundaries!$B$2:$I$30,MATCH(CU335,Boundaries!$A$2:$A$30,0),0),1)-1,""))</f>
        <v/>
      </c>
      <c r="BP335" s="42" t="str">
        <f aca="false">IF(OR(BO335="",$E335=""),"",BO335-$E335)</f>
        <v/>
      </c>
      <c r="BQ335" s="39"/>
      <c r="BR335" s="40" t="str">
        <f aca="false">IF(OR(BQ335="",CH335=""),"",BQ335/CH335*100)</f>
        <v/>
      </c>
      <c r="BS335" s="41" t="str">
        <f aca="false">IF(BR335="","",IFERROR(MATCH(BR335,INDEX(Boundaries!$B$2:$I$30,MATCH(CV335,Boundaries!$A$2:$A$30,0),0),1)-1,""))</f>
        <v/>
      </c>
      <c r="BT335" s="42" t="str">
        <f aca="false">IF(OR(BS335="",$E335=""),"",BS335-$E335)</f>
        <v/>
      </c>
      <c r="BU335" s="28" t="n">
        <f aca="false">IFERROR(INDEX(Assessments!$H$2:$H$600,MATCH($H335&amp;"|"&amp;$I335&amp;"|"&amp;$J335&amp;"|"&amp;1,Assessments!$A$2:$A$600,0)),"")</f>
        <v>24</v>
      </c>
      <c r="BV335" s="28" t="n">
        <f aca="false">IFERROR(INDEX(Assessments!$H$2:$H$600,MATCH($H335&amp;"|"&amp;$I335&amp;"|"&amp;$J335&amp;"|"&amp;2,Assessments!$A$2:$A$600,0)),"")</f>
        <v>20</v>
      </c>
      <c r="BW335" s="28" t="n">
        <f aca="false">IFERROR(INDEX(Assessments!$H$2:$H$600,MATCH($H335&amp;"|"&amp;$I335&amp;"|"&amp;$J335&amp;"|"&amp;3,Assessments!$A$2:$A$600,0)),"")</f>
        <v>20</v>
      </c>
      <c r="BX335" s="28" t="n">
        <f aca="false">IFERROR(INDEX(Assessments!$H$2:$H$600,MATCH($H335&amp;"|"&amp;$I335&amp;"|"&amp;$J335&amp;"|"&amp;4,Assessments!$A$2:$A$600,0)),"")</f>
        <v>40</v>
      </c>
      <c r="BY335" s="28" t="n">
        <f aca="false">IFERROR(INDEX(Assessments!$H$2:$H$600,MATCH($H335&amp;"|"&amp;$I335&amp;"|"&amp;$J335&amp;"|"&amp;5,Assessments!$A$2:$A$600,0)),"")</f>
        <v>30</v>
      </c>
      <c r="BZ335" s="28" t="n">
        <f aca="false">IFERROR(INDEX(Assessments!$H$2:$H$600,MATCH($H335&amp;"|"&amp;$I335&amp;"|"&amp;$J335&amp;"|"&amp;6,Assessments!$A$2:$A$600,0)),"")</f>
        <v>20</v>
      </c>
      <c r="CA335" s="28" t="n">
        <f aca="false">IFERROR(INDEX(Assessments!$H$2:$H$600,MATCH($H335&amp;"|"&amp;$I335&amp;"|"&amp;$J335&amp;"|"&amp;7,Assessments!$A$2:$A$600,0)),"")</f>
        <v>50</v>
      </c>
      <c r="CB335" s="28" t="str">
        <f aca="false">IFERROR(INDEX(Assessments!$H$2:$H$600,MATCH($H335&amp;"|"&amp;$I335&amp;"|"&amp;$J335&amp;"|"&amp;8,Assessments!$A$2:$A$600,0)),"")</f>
        <v/>
      </c>
      <c r="CC335" s="28" t="str">
        <f aca="false">IFERROR(INDEX(Assessments!$H$2:$H$600,MATCH($H335&amp;"|"&amp;$I335&amp;"|"&amp;$J335&amp;"|"&amp;9,Assessments!$A$2:$A$600,0)),"")</f>
        <v/>
      </c>
      <c r="CD335" s="28" t="str">
        <f aca="false">IFERROR(INDEX(Assessments!$H$2:$H$600,MATCH($H335&amp;"|"&amp;$I335&amp;"|"&amp;$J335&amp;"|"&amp;10,Assessments!$A$2:$A$600,0)),"")</f>
        <v/>
      </c>
      <c r="CE335" s="28" t="str">
        <f aca="false">IFERROR(INDEX(Assessments!$H$2:$H$600,MATCH($H335&amp;"|"&amp;$I335&amp;"|"&amp;$J335&amp;"|"&amp;11,Assessments!$A$2:$A$600,0)),"")</f>
        <v/>
      </c>
      <c r="CF335" s="28" t="str">
        <f aca="false">IFERROR(INDEX(Assessments!$H$2:$H$600,MATCH($H335&amp;"|"&amp;$I335&amp;"|"&amp;$J335&amp;"|"&amp;12,Assessments!$A$2:$A$600,0)),"")</f>
        <v/>
      </c>
      <c r="CG335" s="28" t="str">
        <f aca="false">IFERROR(INDEX(Assessments!$H$2:$H$600,MATCH($H335&amp;"|"&amp;$I335&amp;"|"&amp;$J335&amp;"|"&amp;13,Assessments!$A$2:$A$600,0)),"")</f>
        <v/>
      </c>
      <c r="CH335" s="28" t="str">
        <f aca="false">IFERROR(INDEX(Assessments!$H$2:$H$600,MATCH($H335&amp;"|"&amp;$I335&amp;"|"&amp;$J335&amp;"|"&amp;14,Assessments!$A$2:$A$600,0)),"")</f>
        <v/>
      </c>
      <c r="CI335" s="28" t="str">
        <f aca="false">IFERROR(INDEX(Assessments!$I$2:$I$600,MATCH($H335&amp;"|"&amp;$I335&amp;"|"&amp;$J335&amp;"|"&amp;1,Assessments!$A$2:$A$600,0)),"")</f>
        <v>BM Test</v>
      </c>
      <c r="CJ335" s="28" t="str">
        <f aca="false">IFERROR(INDEX(Assessments!$I$2:$I$600,MATCH($H335&amp;"|"&amp;$I335&amp;"|"&amp;$J335&amp;"|"&amp;2,Assessments!$A$2:$A$600,0)),"")</f>
        <v>BM Test</v>
      </c>
      <c r="CK335" s="28" t="str">
        <f aca="false">IFERROR(INDEX(Assessments!$I$2:$I$600,MATCH($H335&amp;"|"&amp;$I335&amp;"|"&amp;$J335&amp;"|"&amp;3,Assessments!$A$2:$A$600,0)),"")</f>
        <v>BM Test</v>
      </c>
      <c r="CL335" s="28" t="str">
        <f aca="false">IFERROR(INDEX(Assessments!$I$2:$I$600,MATCH($H335&amp;"|"&amp;$I335&amp;"|"&amp;$J335&amp;"|"&amp;4,Assessments!$A$2:$A$600,0)),"")</f>
        <v>BM Exam</v>
      </c>
      <c r="CM335" s="28" t="str">
        <f aca="false">IFERROR(INDEX(Assessments!$I$2:$I$600,MATCH($H335&amp;"|"&amp;$I335&amp;"|"&amp;$J335&amp;"|"&amp;5,Assessments!$A$2:$A$600,0)),"")</f>
        <v>BM Test</v>
      </c>
      <c r="CN335" s="28" t="str">
        <f aca="false">IFERROR(INDEX(Assessments!$I$2:$I$600,MATCH($H335&amp;"|"&amp;$I335&amp;"|"&amp;$J335&amp;"|"&amp;6,Assessments!$A$2:$A$600,0)),"")</f>
        <v>BM Test</v>
      </c>
      <c r="CO335" s="28" t="str">
        <f aca="false">IFERROR(INDEX(Assessments!$I$2:$I$600,MATCH($H335&amp;"|"&amp;$I335&amp;"|"&amp;$J335&amp;"|"&amp;7,Assessments!$A$2:$A$600,0)),"")</f>
        <v>BM Exam</v>
      </c>
      <c r="CP335" s="28" t="str">
        <f aca="false">IFERROR(INDEX(Assessments!$I$2:$I$600,MATCH($H335&amp;"|"&amp;$I335&amp;"|"&amp;$J335&amp;"|"&amp;8,Assessments!$A$2:$A$600,0)),"")</f>
        <v/>
      </c>
      <c r="CQ335" s="28" t="str">
        <f aca="false">IFERROR(INDEX(Assessments!$I$2:$I$600,MATCH($H335&amp;"|"&amp;$I335&amp;"|"&amp;$J335&amp;"|"&amp;9,Assessments!$A$2:$A$600,0)),"")</f>
        <v/>
      </c>
      <c r="CR335" s="28" t="str">
        <f aca="false">IFERROR(INDEX(Assessments!$I$2:$I$600,MATCH($H335&amp;"|"&amp;$I335&amp;"|"&amp;$J335&amp;"|"&amp;10,Assessments!$A$2:$A$600,0)),"")</f>
        <v/>
      </c>
      <c r="CS335" s="28" t="str">
        <f aca="false">IFERROR(INDEX(Assessments!$I$2:$I$600,MATCH($H335&amp;"|"&amp;$I335&amp;"|"&amp;$J335&amp;"|"&amp;11,Assessments!$A$2:$A$600,0)),"")</f>
        <v/>
      </c>
      <c r="CT335" s="28" t="str">
        <f aca="false">IFERROR(INDEX(Assessments!$I$2:$I$600,MATCH($H335&amp;"|"&amp;$I335&amp;"|"&amp;$J335&amp;"|"&amp;12,Assessments!$A$2:$A$600,0)),"")</f>
        <v/>
      </c>
      <c r="CU335" s="28" t="str">
        <f aca="false">IFERROR(INDEX(Assessments!$I$2:$I$600,MATCH($H335&amp;"|"&amp;$I335&amp;"|"&amp;$J335&amp;"|"&amp;13,Assessments!$A$2:$A$600,0)),"")</f>
        <v/>
      </c>
      <c r="CV335" s="28" t="str">
        <f aca="false">IFERROR(INDEX(Assessments!$I$2:$I$600,MATCH($H335&amp;"|"&amp;$I335&amp;"|"&amp;$J335&amp;"|"&amp;14,Assessments!$A$2:$A$600,0)),"")</f>
        <v/>
      </c>
      <c r="CW335" s="28" t="n">
        <f aca="false">IFERROR(INDEX(Assessments!$J$2:$J$600,MATCH($H335&amp;"|"&amp;$I335&amp;"|"&amp;$J335&amp;"|"&amp;1,Assessments!$A$2:$A$600,0)),0)</f>
        <v>1</v>
      </c>
      <c r="CX335" s="28" t="n">
        <f aca="false">IFERROR(INDEX(Assessments!$J$2:$J$600,MATCH($H335&amp;"|"&amp;$I335&amp;"|"&amp;$J335&amp;"|"&amp;2,Assessments!$A$2:$A$600,0)),0)</f>
        <v>1</v>
      </c>
      <c r="CY335" s="28" t="n">
        <f aca="false">IFERROR(INDEX(Assessments!$J$2:$J$600,MATCH($H335&amp;"|"&amp;$I335&amp;"|"&amp;$J335&amp;"|"&amp;3,Assessments!$A$2:$A$600,0)),0)</f>
        <v>1</v>
      </c>
      <c r="CZ335" s="28" t="n">
        <f aca="false">IFERROR(INDEX(Assessments!$J$2:$J$600,MATCH($H335&amp;"|"&amp;$I335&amp;"|"&amp;$J335&amp;"|"&amp;4,Assessments!$A$2:$A$600,0)),0)</f>
        <v>2</v>
      </c>
      <c r="DA335" s="28" t="n">
        <f aca="false">IFERROR(INDEX(Assessments!$J$2:$J$600,MATCH($H335&amp;"|"&amp;$I335&amp;"|"&amp;$J335&amp;"|"&amp;5,Assessments!$A$2:$A$600,0)),0)</f>
        <v>1</v>
      </c>
      <c r="DB335" s="28" t="n">
        <f aca="false">IFERROR(INDEX(Assessments!$J$2:$J$600,MATCH($H335&amp;"|"&amp;$I335&amp;"|"&amp;$J335&amp;"|"&amp;6,Assessments!$A$2:$A$600,0)),0)</f>
        <v>1</v>
      </c>
      <c r="DC335" s="28" t="n">
        <f aca="false">IFERROR(INDEX(Assessments!$J$2:$J$600,MATCH($H335&amp;"|"&amp;$I335&amp;"|"&amp;$J335&amp;"|"&amp;7,Assessments!$A$2:$A$600,0)),0)</f>
        <v>2</v>
      </c>
      <c r="DD335" s="28" t="n">
        <f aca="false">IFERROR(INDEX(Assessments!$J$2:$J$600,MATCH($H335&amp;"|"&amp;$I335&amp;"|"&amp;$J335&amp;"|"&amp;8,Assessments!$A$2:$A$600,0)),0)</f>
        <v>0</v>
      </c>
      <c r="DE335" s="28" t="n">
        <f aca="false">IFERROR(INDEX(Assessments!$J$2:$J$600,MATCH($H335&amp;"|"&amp;$I335&amp;"|"&amp;$J335&amp;"|"&amp;9,Assessments!$A$2:$A$600,0)),0)</f>
        <v>0</v>
      </c>
      <c r="DF335" s="28" t="n">
        <f aca="false">IFERROR(INDEX(Assessments!$J$2:$J$600,MATCH($H335&amp;"|"&amp;$I335&amp;"|"&amp;$J335&amp;"|"&amp;10,Assessments!$A$2:$A$600,0)),0)</f>
        <v>0</v>
      </c>
      <c r="DG335" s="28" t="n">
        <f aca="false">IFERROR(INDEX(Assessments!$J$2:$J$600,MATCH($H335&amp;"|"&amp;$I335&amp;"|"&amp;$J335&amp;"|"&amp;11,Assessments!$A$2:$A$600,0)),0)</f>
        <v>0</v>
      </c>
      <c r="DH335" s="28" t="n">
        <f aca="false">IFERROR(INDEX(Assessments!$J$2:$J$600,MATCH($H335&amp;"|"&amp;$I335&amp;"|"&amp;$J335&amp;"|"&amp;12,Assessments!$A$2:$A$600,0)),0)</f>
        <v>0</v>
      </c>
      <c r="DI335" s="28" t="n">
        <f aca="false">IFERROR(INDEX(Assessments!$J$2:$J$600,MATCH($H335&amp;"|"&amp;$I335&amp;"|"&amp;$J335&amp;"|"&amp;13,Assessments!$A$2:$A$600,0)),0)</f>
        <v>0</v>
      </c>
      <c r="DJ335" s="28" t="n">
        <f aca="false">IFERROR(INDEX(Assessments!$J$2:$J$600,MATCH($H335&amp;"|"&amp;$I335&amp;"|"&amp;$J335&amp;"|"&amp;14,Assessments!$A$2:$A$600,0)),0)</f>
        <v>0</v>
      </c>
      <c r="DK335" s="28" t="str">
        <f aca="false">S335</f>
        <v/>
      </c>
      <c r="DL335" s="28" t="str">
        <f aca="false">W335</f>
        <v/>
      </c>
      <c r="DM335" s="28" t="str">
        <f aca="false">AA335</f>
        <v/>
      </c>
      <c r="DN335" s="28" t="str">
        <f aca="false">AE335</f>
        <v/>
      </c>
      <c r="DO335" s="28" t="str">
        <f aca="false">AI335</f>
        <v/>
      </c>
      <c r="DP335" s="28" t="str">
        <f aca="false">AM335</f>
        <v/>
      </c>
      <c r="DQ335" s="28" t="str">
        <f aca="false">AQ335</f>
        <v/>
      </c>
      <c r="DR335" s="28" t="str">
        <f aca="false">AU335</f>
        <v/>
      </c>
      <c r="DS335" s="28" t="str">
        <f aca="false">AY335</f>
        <v/>
      </c>
      <c r="DT335" s="28" t="str">
        <f aca="false">BC335</f>
        <v/>
      </c>
      <c r="DU335" s="28" t="str">
        <f aca="false">BG335</f>
        <v/>
      </c>
      <c r="DV335" s="28" t="str">
        <f aca="false">BK335</f>
        <v/>
      </c>
      <c r="DW335" s="28" t="str">
        <f aca="false">BO335</f>
        <v/>
      </c>
      <c r="DX335" s="28" t="str">
        <f aca="false">BS335</f>
        <v/>
      </c>
      <c r="DY335" s="28" t="str">
        <f aca="false">IF(ISNUMBER(S335),1,"")</f>
        <v/>
      </c>
      <c r="DZ335" s="28" t="str">
        <f aca="false">IF(ISNUMBER(W335),2,"")</f>
        <v/>
      </c>
      <c r="EA335" s="28" t="str">
        <f aca="false">IF(ISNUMBER(AA335),3,"")</f>
        <v/>
      </c>
      <c r="EB335" s="28" t="str">
        <f aca="false">IF(ISNUMBER(AE335),4,"")</f>
        <v/>
      </c>
      <c r="EC335" s="28" t="str">
        <f aca="false">IF(ISNUMBER(AI335),5,"")</f>
        <v/>
      </c>
      <c r="ED335" s="28" t="str">
        <f aca="false">IF(ISNUMBER(AM335),6,"")</f>
        <v/>
      </c>
      <c r="EE335" s="28" t="str">
        <f aca="false">IF(ISNUMBER(AQ335),7,"")</f>
        <v/>
      </c>
      <c r="EF335" s="28" t="str">
        <f aca="false">IF(ISNUMBER(AU335),8,"")</f>
        <v/>
      </c>
      <c r="EG335" s="28" t="str">
        <f aca="false">IF(ISNUMBER(AY335),9,"")</f>
        <v/>
      </c>
      <c r="EH335" s="28" t="str">
        <f aca="false">IF(ISNUMBER(BC335),10,"")</f>
        <v/>
      </c>
      <c r="EI335" s="28" t="str">
        <f aca="false">IF(ISNUMBER(BG335),11,"")</f>
        <v/>
      </c>
      <c r="EJ335" s="28" t="str">
        <f aca="false">IF(ISNUMBER(BK335),12,"")</f>
        <v/>
      </c>
      <c r="EK335" s="28" t="str">
        <f aca="false">IF(ISNUMBER(BO335),13,"")</f>
        <v/>
      </c>
      <c r="EL335" s="28" t="str">
        <f aca="false">IF(ISNUMBER(BS335),14,"")</f>
        <v/>
      </c>
      <c r="EM335" s="28" t="n">
        <f aca="false">IF(ISNUMBER(R335),R335*CW335,0)</f>
        <v>0</v>
      </c>
      <c r="EN335" s="28" t="n">
        <f aca="false">IF(ISNUMBER(V335),V335*CX335,0)</f>
        <v>0</v>
      </c>
      <c r="EO335" s="28" t="n">
        <f aca="false">IF(ISNUMBER(Z335),Z335*CY335,0)</f>
        <v>0</v>
      </c>
      <c r="EP335" s="28" t="n">
        <f aca="false">IF(ISNUMBER(AD335),AD335*CZ335,0)</f>
        <v>0</v>
      </c>
      <c r="EQ335" s="28" t="n">
        <f aca="false">IF(ISNUMBER(AH335),AH335*DA335,0)</f>
        <v>0</v>
      </c>
      <c r="ER335" s="28" t="n">
        <f aca="false">IF(ISNUMBER(AL335),AL335*DB335,0)</f>
        <v>0</v>
      </c>
      <c r="ES335" s="28" t="n">
        <f aca="false">IF(ISNUMBER(AP335),AP335*DC335,0)</f>
        <v>0</v>
      </c>
      <c r="ET335" s="28" t="n">
        <f aca="false">IF(ISNUMBER(AT335),AT335*DD335,0)</f>
        <v>0</v>
      </c>
      <c r="EU335" s="28" t="n">
        <f aca="false">IF(ISNUMBER(AX335),AX335*DE335,0)</f>
        <v>0</v>
      </c>
      <c r="EV335" s="28" t="n">
        <f aca="false">IF(ISNUMBER(BB335),BB335*DF335,0)</f>
        <v>0</v>
      </c>
      <c r="EW335" s="28" t="n">
        <f aca="false">IF(ISNUMBER(BF335),BF335*DG335,0)</f>
        <v>0</v>
      </c>
      <c r="EX335" s="28" t="n">
        <f aca="false">IF(ISNUMBER(BJ335),BJ335*DH335,0)</f>
        <v>0</v>
      </c>
      <c r="EY335" s="28" t="n">
        <f aca="false">IF(ISNUMBER(BN335),BN335*DI335,0)</f>
        <v>0</v>
      </c>
      <c r="EZ335" s="28" t="n">
        <f aca="false">IF(ISNUMBER(BR335),BR335*DJ335,0)</f>
        <v>0</v>
      </c>
      <c r="FA335" s="28" t="n">
        <f aca="false">IF(ISNUMBER(R335),CW335,0)</f>
        <v>0</v>
      </c>
      <c r="FB335" s="28" t="n">
        <f aca="false">IF(ISNUMBER(V335),CX335,0)</f>
        <v>0</v>
      </c>
      <c r="FC335" s="28" t="n">
        <f aca="false">IF(ISNUMBER(Z335),CY335,0)</f>
        <v>0</v>
      </c>
      <c r="FD335" s="28" t="n">
        <f aca="false">IF(ISNUMBER(AD335),CZ335,0)</f>
        <v>0</v>
      </c>
      <c r="FE335" s="28" t="n">
        <f aca="false">IF(ISNUMBER(AH335),DA335,0)</f>
        <v>0</v>
      </c>
      <c r="FF335" s="28" t="n">
        <f aca="false">IF(ISNUMBER(AL335),DB335,0)</f>
        <v>0</v>
      </c>
      <c r="FG335" s="28" t="n">
        <f aca="false">IF(ISNUMBER(AP335),DC335,0)</f>
        <v>0</v>
      </c>
      <c r="FH335" s="28" t="n">
        <f aca="false">IF(ISNUMBER(AT335),DD335,0)</f>
        <v>0</v>
      </c>
      <c r="FI335" s="28" t="n">
        <f aca="false">IF(ISNUMBER(AX335),DE335,0)</f>
        <v>0</v>
      </c>
      <c r="FJ335" s="28" t="n">
        <f aca="false">IF(ISNUMBER(BB335),DF335,0)</f>
        <v>0</v>
      </c>
      <c r="FK335" s="28" t="n">
        <f aca="false">IF(ISNUMBER(BF335),DG335,0)</f>
        <v>0</v>
      </c>
      <c r="FL335" s="28" t="n">
        <f aca="false">IF(ISNUMBER(BJ335),DH335,0)</f>
        <v>0</v>
      </c>
      <c r="FM335" s="28" t="n">
        <f aca="false">IF(ISNUMBER(BN335),DI335,0)</f>
        <v>0</v>
      </c>
      <c r="FN335" s="28" t="n">
        <f aca="false">IF(ISNUMBER(BR335),DJ335,0)</f>
        <v>0</v>
      </c>
      <c r="FO335" s="28" t="str">
        <f aca="false">IFERROR(INDEX(Lists!$G$2:$G$20,MATCH($I335&amp;"|"&amp;$J335,Lists!$F$2:$F$20,0)),"")</f>
        <v>BM Exam</v>
      </c>
    </row>
    <row r="336" customFormat="false" ht="19.5" hidden="false" customHeight="true" outlineLevel="0" collapsed="false">
      <c r="A336" s="29" t="s">
        <v>634</v>
      </c>
      <c r="B336" s="29" t="s">
        <v>635</v>
      </c>
      <c r="C336" s="30" t="s">
        <v>192</v>
      </c>
      <c r="D336" s="30" t="s">
        <v>625</v>
      </c>
      <c r="E336" s="31"/>
      <c r="F336" s="30"/>
      <c r="G336" s="30"/>
      <c r="H336" s="32" t="s">
        <v>428</v>
      </c>
      <c r="I336" s="33" t="s">
        <v>365</v>
      </c>
      <c r="J336" s="32" t="s">
        <v>25</v>
      </c>
      <c r="K336" s="34" t="str">
        <f aca="false">IF(OR(M336="",$E336=""),"",M336-$E336)</f>
        <v/>
      </c>
      <c r="L336" s="35" t="str">
        <f aca="false">IF(SUM(FA336:FN336)=0,"",SUM(EM336:EZ336)/SUM(FA336:FN336))</f>
        <v/>
      </c>
      <c r="M336" s="36" t="str">
        <f aca="false">IF(OR(L336="",FO336=""),"",IFERROR(MATCH(L336,INDEX(Boundaries!$B$2:$I$30,MATCH(FO336,Boundaries!$A$2:$A$30,0),0),1)-1,""))</f>
        <v/>
      </c>
      <c r="N336" s="37" t="str">
        <f aca="false">IF(COUNT($DY336:$EL336)&lt;2,"",INDEX($DK336:$DX336,MAX($DY336:$EL336))-INDEX($DK336:$DX336,MIN($DY336:$EL336)))</f>
        <v/>
      </c>
      <c r="O336" s="37" t="str">
        <f aca="false">IF(COUNT($DY336:$EL336)&lt;2,"",INDEX($DK336:$DX336,MAX($DY336:$EL336))-INDEX($DK336:$DX336,LARGE($DY336:$EL336,2)))</f>
        <v/>
      </c>
      <c r="P336" s="38" t="str">
        <f aca="false">IF(K336="","",IF(K336&gt;=0,"On/above target",IF(AND(N336&lt;&gt;"",N336&gt;=0.5),"Improving towards target",IF(AND(O336&lt;&gt;"",O336&lt;=-0.5),"Declining","Stable below target"))))</f>
        <v/>
      </c>
      <c r="Q336" s="39"/>
      <c r="R336" s="40" t="str">
        <f aca="false">IF(OR(Q336="",BU336=""),"",Q336/BU336*100)</f>
        <v/>
      </c>
      <c r="S336" s="41" t="str">
        <f aca="false">IF(R336="","",IFERROR(MATCH(R336,INDEX(Boundaries!$B$2:$I$30,MATCH(CI336,Boundaries!$A$2:$A$30,0),0),1)-1,""))</f>
        <v/>
      </c>
      <c r="T336" s="42" t="str">
        <f aca="false">IF(OR(S336="",$E336=""),"",S336-$E336)</f>
        <v/>
      </c>
      <c r="U336" s="39"/>
      <c r="V336" s="40" t="str">
        <f aca="false">IF(OR(U336="",BV336=""),"",U336/BV336*100)</f>
        <v/>
      </c>
      <c r="W336" s="41" t="str">
        <f aca="false">IF(V336="","",IFERROR(MATCH(V336,INDEX(Boundaries!$B$2:$I$30,MATCH(CJ336,Boundaries!$A$2:$A$30,0),0),1)-1,""))</f>
        <v/>
      </c>
      <c r="X336" s="42" t="str">
        <f aca="false">IF(OR(W336="",$E336=""),"",W336-$E336)</f>
        <v/>
      </c>
      <c r="Y336" s="39"/>
      <c r="Z336" s="40" t="str">
        <f aca="false">IF(OR(Y336="",BW336=""),"",Y336/BW336*100)</f>
        <v/>
      </c>
      <c r="AA336" s="41" t="str">
        <f aca="false">IF(Z336="","",IFERROR(MATCH(Z336,INDEX(Boundaries!$B$2:$I$30,MATCH(CK336,Boundaries!$A$2:$A$30,0),0),1)-1,""))</f>
        <v/>
      </c>
      <c r="AB336" s="42" t="str">
        <f aca="false">IF(OR(AA336="",$E336=""),"",AA336-$E336)</f>
        <v/>
      </c>
      <c r="AC336" s="39"/>
      <c r="AD336" s="40" t="str">
        <f aca="false">IF(OR(AC336="",BX336=""),"",AC336/BX336*100)</f>
        <v/>
      </c>
      <c r="AE336" s="41" t="str">
        <f aca="false">IF(AD336="","",IFERROR(MATCH(AD336,INDEX(Boundaries!$B$2:$I$30,MATCH(CL336,Boundaries!$A$2:$A$30,0),0),1)-1,""))</f>
        <v/>
      </c>
      <c r="AF336" s="42" t="str">
        <f aca="false">IF(OR(AE336="",$E336=""),"",AE336-$E336)</f>
        <v/>
      </c>
      <c r="AG336" s="39"/>
      <c r="AH336" s="40" t="str">
        <f aca="false">IF(OR(AG336="",BY336=""),"",AG336/BY336*100)</f>
        <v/>
      </c>
      <c r="AI336" s="41" t="str">
        <f aca="false">IF(AH336="","",IFERROR(MATCH(AH336,INDEX(Boundaries!$B$2:$I$30,MATCH(CM336,Boundaries!$A$2:$A$30,0),0),1)-1,""))</f>
        <v/>
      </c>
      <c r="AJ336" s="42" t="str">
        <f aca="false">IF(OR(AI336="",$E336=""),"",AI336-$E336)</f>
        <v/>
      </c>
      <c r="AK336" s="39"/>
      <c r="AL336" s="40" t="str">
        <f aca="false">IF(OR(AK336="",BZ336=""),"",AK336/BZ336*100)</f>
        <v/>
      </c>
      <c r="AM336" s="41" t="str">
        <f aca="false">IF(AL336="","",IFERROR(MATCH(AL336,INDEX(Boundaries!$B$2:$I$30,MATCH(CN336,Boundaries!$A$2:$A$30,0),0),1)-1,""))</f>
        <v/>
      </c>
      <c r="AN336" s="42" t="str">
        <f aca="false">IF(OR(AM336="",$E336=""),"",AM336-$E336)</f>
        <v/>
      </c>
      <c r="AO336" s="39"/>
      <c r="AP336" s="40" t="str">
        <f aca="false">IF(OR(AO336="",CA336=""),"",AO336/CA336*100)</f>
        <v/>
      </c>
      <c r="AQ336" s="41" t="str">
        <f aca="false">IF(AP336="","",IFERROR(MATCH(AP336,INDEX(Boundaries!$B$2:$I$30,MATCH(CO336,Boundaries!$A$2:$A$30,0),0),1)-1,""))</f>
        <v/>
      </c>
      <c r="AR336" s="42" t="str">
        <f aca="false">IF(OR(AQ336="",$E336=""),"",AQ336-$E336)</f>
        <v/>
      </c>
      <c r="AS336" s="39"/>
      <c r="AT336" s="40" t="str">
        <f aca="false">IF(OR(AS336="",CB336=""),"",AS336/CB336*100)</f>
        <v/>
      </c>
      <c r="AU336" s="41" t="str">
        <f aca="false">IF(AT336="","",IFERROR(MATCH(AT336,INDEX(Boundaries!$B$2:$I$30,MATCH(CP336,Boundaries!$A$2:$A$30,0),0),1)-1,""))</f>
        <v/>
      </c>
      <c r="AV336" s="42" t="str">
        <f aca="false">IF(OR(AU336="",$E336=""),"",AU336-$E336)</f>
        <v/>
      </c>
      <c r="AW336" s="39"/>
      <c r="AX336" s="40" t="str">
        <f aca="false">IF(OR(AW336="",CC336=""),"",AW336/CC336*100)</f>
        <v/>
      </c>
      <c r="AY336" s="41" t="str">
        <f aca="false">IF(AX336="","",IFERROR(MATCH(AX336,INDEX(Boundaries!$B$2:$I$30,MATCH(CQ336,Boundaries!$A$2:$A$30,0),0),1)-1,""))</f>
        <v/>
      </c>
      <c r="AZ336" s="42" t="str">
        <f aca="false">IF(OR(AY336="",$E336=""),"",AY336-$E336)</f>
        <v/>
      </c>
      <c r="BA336" s="39"/>
      <c r="BB336" s="40" t="str">
        <f aca="false">IF(OR(BA336="",CD336=""),"",BA336/CD336*100)</f>
        <v/>
      </c>
      <c r="BC336" s="41" t="str">
        <f aca="false">IF(BB336="","",IFERROR(MATCH(BB336,INDEX(Boundaries!$B$2:$I$30,MATCH(CR336,Boundaries!$A$2:$A$30,0),0),1)-1,""))</f>
        <v/>
      </c>
      <c r="BD336" s="42" t="str">
        <f aca="false">IF(OR(BC336="",$E336=""),"",BC336-$E336)</f>
        <v/>
      </c>
      <c r="BE336" s="39"/>
      <c r="BF336" s="40" t="str">
        <f aca="false">IF(OR(BE336="",CE336=""),"",BE336/CE336*100)</f>
        <v/>
      </c>
      <c r="BG336" s="41" t="str">
        <f aca="false">IF(BF336="","",IFERROR(MATCH(BF336,INDEX(Boundaries!$B$2:$I$30,MATCH(CS336,Boundaries!$A$2:$A$30,0),0),1)-1,""))</f>
        <v/>
      </c>
      <c r="BH336" s="42" t="str">
        <f aca="false">IF(OR(BG336="",$E336=""),"",BG336-$E336)</f>
        <v/>
      </c>
      <c r="BI336" s="39"/>
      <c r="BJ336" s="40" t="str">
        <f aca="false">IF(OR(BI336="",CF336=""),"",BI336/CF336*100)</f>
        <v/>
      </c>
      <c r="BK336" s="41" t="str">
        <f aca="false">IF(BJ336="","",IFERROR(MATCH(BJ336,INDEX(Boundaries!$B$2:$I$30,MATCH(CT336,Boundaries!$A$2:$A$30,0),0),1)-1,""))</f>
        <v/>
      </c>
      <c r="BL336" s="42" t="str">
        <f aca="false">IF(OR(BK336="",$E336=""),"",BK336-$E336)</f>
        <v/>
      </c>
      <c r="BM336" s="39"/>
      <c r="BN336" s="40" t="str">
        <f aca="false">IF(OR(BM336="",CG336=""),"",BM336/CG336*100)</f>
        <v/>
      </c>
      <c r="BO336" s="41" t="str">
        <f aca="false">IF(BN336="","",IFERROR(MATCH(BN336,INDEX(Boundaries!$B$2:$I$30,MATCH(CU336,Boundaries!$A$2:$A$30,0),0),1)-1,""))</f>
        <v/>
      </c>
      <c r="BP336" s="42" t="str">
        <f aca="false">IF(OR(BO336="",$E336=""),"",BO336-$E336)</f>
        <v/>
      </c>
      <c r="BQ336" s="39"/>
      <c r="BR336" s="40" t="str">
        <f aca="false">IF(OR(BQ336="",CH336=""),"",BQ336/CH336*100)</f>
        <v/>
      </c>
      <c r="BS336" s="41" t="str">
        <f aca="false">IF(BR336="","",IFERROR(MATCH(BR336,INDEX(Boundaries!$B$2:$I$30,MATCH(CV336,Boundaries!$A$2:$A$30,0),0),1)-1,""))</f>
        <v/>
      </c>
      <c r="BT336" s="42" t="str">
        <f aca="false">IF(OR(BS336="",$E336=""),"",BS336-$E336)</f>
        <v/>
      </c>
      <c r="BU336" s="28" t="n">
        <f aca="false">IFERROR(INDEX(Assessments!$H$2:$H$600,MATCH($H336&amp;"|"&amp;$I336&amp;"|"&amp;$J336&amp;"|"&amp;1,Assessments!$A$2:$A$600,0)),"")</f>
        <v>24</v>
      </c>
      <c r="BV336" s="28" t="n">
        <f aca="false">IFERROR(INDEX(Assessments!$H$2:$H$600,MATCH($H336&amp;"|"&amp;$I336&amp;"|"&amp;$J336&amp;"|"&amp;2,Assessments!$A$2:$A$600,0)),"")</f>
        <v>20</v>
      </c>
      <c r="BW336" s="28" t="n">
        <f aca="false">IFERROR(INDEX(Assessments!$H$2:$H$600,MATCH($H336&amp;"|"&amp;$I336&amp;"|"&amp;$J336&amp;"|"&amp;3,Assessments!$A$2:$A$600,0)),"")</f>
        <v>20</v>
      </c>
      <c r="BX336" s="28" t="n">
        <f aca="false">IFERROR(INDEX(Assessments!$H$2:$H$600,MATCH($H336&amp;"|"&amp;$I336&amp;"|"&amp;$J336&amp;"|"&amp;4,Assessments!$A$2:$A$600,0)),"")</f>
        <v>40</v>
      </c>
      <c r="BY336" s="28" t="n">
        <f aca="false">IFERROR(INDEX(Assessments!$H$2:$H$600,MATCH($H336&amp;"|"&amp;$I336&amp;"|"&amp;$J336&amp;"|"&amp;5,Assessments!$A$2:$A$600,0)),"")</f>
        <v>30</v>
      </c>
      <c r="BZ336" s="28" t="n">
        <f aca="false">IFERROR(INDEX(Assessments!$H$2:$H$600,MATCH($H336&amp;"|"&amp;$I336&amp;"|"&amp;$J336&amp;"|"&amp;6,Assessments!$A$2:$A$600,0)),"")</f>
        <v>20</v>
      </c>
      <c r="CA336" s="28" t="n">
        <f aca="false">IFERROR(INDEX(Assessments!$H$2:$H$600,MATCH($H336&amp;"|"&amp;$I336&amp;"|"&amp;$J336&amp;"|"&amp;7,Assessments!$A$2:$A$600,0)),"")</f>
        <v>50</v>
      </c>
      <c r="CB336" s="28" t="str">
        <f aca="false">IFERROR(INDEX(Assessments!$H$2:$H$600,MATCH($H336&amp;"|"&amp;$I336&amp;"|"&amp;$J336&amp;"|"&amp;8,Assessments!$A$2:$A$600,0)),"")</f>
        <v/>
      </c>
      <c r="CC336" s="28" t="str">
        <f aca="false">IFERROR(INDEX(Assessments!$H$2:$H$600,MATCH($H336&amp;"|"&amp;$I336&amp;"|"&amp;$J336&amp;"|"&amp;9,Assessments!$A$2:$A$600,0)),"")</f>
        <v/>
      </c>
      <c r="CD336" s="28" t="str">
        <f aca="false">IFERROR(INDEX(Assessments!$H$2:$H$600,MATCH($H336&amp;"|"&amp;$I336&amp;"|"&amp;$J336&amp;"|"&amp;10,Assessments!$A$2:$A$600,0)),"")</f>
        <v/>
      </c>
      <c r="CE336" s="28" t="str">
        <f aca="false">IFERROR(INDEX(Assessments!$H$2:$H$600,MATCH($H336&amp;"|"&amp;$I336&amp;"|"&amp;$J336&amp;"|"&amp;11,Assessments!$A$2:$A$600,0)),"")</f>
        <v/>
      </c>
      <c r="CF336" s="28" t="str">
        <f aca="false">IFERROR(INDEX(Assessments!$H$2:$H$600,MATCH($H336&amp;"|"&amp;$I336&amp;"|"&amp;$J336&amp;"|"&amp;12,Assessments!$A$2:$A$600,0)),"")</f>
        <v/>
      </c>
      <c r="CG336" s="28" t="str">
        <f aca="false">IFERROR(INDEX(Assessments!$H$2:$H$600,MATCH($H336&amp;"|"&amp;$I336&amp;"|"&amp;$J336&amp;"|"&amp;13,Assessments!$A$2:$A$600,0)),"")</f>
        <v/>
      </c>
      <c r="CH336" s="28" t="str">
        <f aca="false">IFERROR(INDEX(Assessments!$H$2:$H$600,MATCH($H336&amp;"|"&amp;$I336&amp;"|"&amp;$J336&amp;"|"&amp;14,Assessments!$A$2:$A$600,0)),"")</f>
        <v/>
      </c>
      <c r="CI336" s="28" t="str">
        <f aca="false">IFERROR(INDEX(Assessments!$I$2:$I$600,MATCH($H336&amp;"|"&amp;$I336&amp;"|"&amp;$J336&amp;"|"&amp;1,Assessments!$A$2:$A$600,0)),"")</f>
        <v>BM Test</v>
      </c>
      <c r="CJ336" s="28" t="str">
        <f aca="false">IFERROR(INDEX(Assessments!$I$2:$I$600,MATCH($H336&amp;"|"&amp;$I336&amp;"|"&amp;$J336&amp;"|"&amp;2,Assessments!$A$2:$A$600,0)),"")</f>
        <v>BM Test</v>
      </c>
      <c r="CK336" s="28" t="str">
        <f aca="false">IFERROR(INDEX(Assessments!$I$2:$I$600,MATCH($H336&amp;"|"&amp;$I336&amp;"|"&amp;$J336&amp;"|"&amp;3,Assessments!$A$2:$A$600,0)),"")</f>
        <v>BM Test</v>
      </c>
      <c r="CL336" s="28" t="str">
        <f aca="false">IFERROR(INDEX(Assessments!$I$2:$I$600,MATCH($H336&amp;"|"&amp;$I336&amp;"|"&amp;$J336&amp;"|"&amp;4,Assessments!$A$2:$A$600,0)),"")</f>
        <v>BM Exam</v>
      </c>
      <c r="CM336" s="28" t="str">
        <f aca="false">IFERROR(INDEX(Assessments!$I$2:$I$600,MATCH($H336&amp;"|"&amp;$I336&amp;"|"&amp;$J336&amp;"|"&amp;5,Assessments!$A$2:$A$600,0)),"")</f>
        <v>BM Test</v>
      </c>
      <c r="CN336" s="28" t="str">
        <f aca="false">IFERROR(INDEX(Assessments!$I$2:$I$600,MATCH($H336&amp;"|"&amp;$I336&amp;"|"&amp;$J336&amp;"|"&amp;6,Assessments!$A$2:$A$600,0)),"")</f>
        <v>BM Test</v>
      </c>
      <c r="CO336" s="28" t="str">
        <f aca="false">IFERROR(INDEX(Assessments!$I$2:$I$600,MATCH($H336&amp;"|"&amp;$I336&amp;"|"&amp;$J336&amp;"|"&amp;7,Assessments!$A$2:$A$600,0)),"")</f>
        <v>BM Exam</v>
      </c>
      <c r="CP336" s="28" t="str">
        <f aca="false">IFERROR(INDEX(Assessments!$I$2:$I$600,MATCH($H336&amp;"|"&amp;$I336&amp;"|"&amp;$J336&amp;"|"&amp;8,Assessments!$A$2:$A$600,0)),"")</f>
        <v/>
      </c>
      <c r="CQ336" s="28" t="str">
        <f aca="false">IFERROR(INDEX(Assessments!$I$2:$I$600,MATCH($H336&amp;"|"&amp;$I336&amp;"|"&amp;$J336&amp;"|"&amp;9,Assessments!$A$2:$A$600,0)),"")</f>
        <v/>
      </c>
      <c r="CR336" s="28" t="str">
        <f aca="false">IFERROR(INDEX(Assessments!$I$2:$I$600,MATCH($H336&amp;"|"&amp;$I336&amp;"|"&amp;$J336&amp;"|"&amp;10,Assessments!$A$2:$A$600,0)),"")</f>
        <v/>
      </c>
      <c r="CS336" s="28" t="str">
        <f aca="false">IFERROR(INDEX(Assessments!$I$2:$I$600,MATCH($H336&amp;"|"&amp;$I336&amp;"|"&amp;$J336&amp;"|"&amp;11,Assessments!$A$2:$A$600,0)),"")</f>
        <v/>
      </c>
      <c r="CT336" s="28" t="str">
        <f aca="false">IFERROR(INDEX(Assessments!$I$2:$I$600,MATCH($H336&amp;"|"&amp;$I336&amp;"|"&amp;$J336&amp;"|"&amp;12,Assessments!$A$2:$A$600,0)),"")</f>
        <v/>
      </c>
      <c r="CU336" s="28" t="str">
        <f aca="false">IFERROR(INDEX(Assessments!$I$2:$I$600,MATCH($H336&amp;"|"&amp;$I336&amp;"|"&amp;$J336&amp;"|"&amp;13,Assessments!$A$2:$A$600,0)),"")</f>
        <v/>
      </c>
      <c r="CV336" s="28" t="str">
        <f aca="false">IFERROR(INDEX(Assessments!$I$2:$I$600,MATCH($H336&amp;"|"&amp;$I336&amp;"|"&amp;$J336&amp;"|"&amp;14,Assessments!$A$2:$A$600,0)),"")</f>
        <v/>
      </c>
      <c r="CW336" s="28" t="n">
        <f aca="false">IFERROR(INDEX(Assessments!$J$2:$J$600,MATCH($H336&amp;"|"&amp;$I336&amp;"|"&amp;$J336&amp;"|"&amp;1,Assessments!$A$2:$A$600,0)),0)</f>
        <v>1</v>
      </c>
      <c r="CX336" s="28" t="n">
        <f aca="false">IFERROR(INDEX(Assessments!$J$2:$J$600,MATCH($H336&amp;"|"&amp;$I336&amp;"|"&amp;$J336&amp;"|"&amp;2,Assessments!$A$2:$A$600,0)),0)</f>
        <v>1</v>
      </c>
      <c r="CY336" s="28" t="n">
        <f aca="false">IFERROR(INDEX(Assessments!$J$2:$J$600,MATCH($H336&amp;"|"&amp;$I336&amp;"|"&amp;$J336&amp;"|"&amp;3,Assessments!$A$2:$A$600,0)),0)</f>
        <v>1</v>
      </c>
      <c r="CZ336" s="28" t="n">
        <f aca="false">IFERROR(INDEX(Assessments!$J$2:$J$600,MATCH($H336&amp;"|"&amp;$I336&amp;"|"&amp;$J336&amp;"|"&amp;4,Assessments!$A$2:$A$600,0)),0)</f>
        <v>2</v>
      </c>
      <c r="DA336" s="28" t="n">
        <f aca="false">IFERROR(INDEX(Assessments!$J$2:$J$600,MATCH($H336&amp;"|"&amp;$I336&amp;"|"&amp;$J336&amp;"|"&amp;5,Assessments!$A$2:$A$600,0)),0)</f>
        <v>1</v>
      </c>
      <c r="DB336" s="28" t="n">
        <f aca="false">IFERROR(INDEX(Assessments!$J$2:$J$600,MATCH($H336&amp;"|"&amp;$I336&amp;"|"&amp;$J336&amp;"|"&amp;6,Assessments!$A$2:$A$600,0)),0)</f>
        <v>1</v>
      </c>
      <c r="DC336" s="28" t="n">
        <f aca="false">IFERROR(INDEX(Assessments!$J$2:$J$600,MATCH($H336&amp;"|"&amp;$I336&amp;"|"&amp;$J336&amp;"|"&amp;7,Assessments!$A$2:$A$600,0)),0)</f>
        <v>2</v>
      </c>
      <c r="DD336" s="28" t="n">
        <f aca="false">IFERROR(INDEX(Assessments!$J$2:$J$600,MATCH($H336&amp;"|"&amp;$I336&amp;"|"&amp;$J336&amp;"|"&amp;8,Assessments!$A$2:$A$600,0)),0)</f>
        <v>0</v>
      </c>
      <c r="DE336" s="28" t="n">
        <f aca="false">IFERROR(INDEX(Assessments!$J$2:$J$600,MATCH($H336&amp;"|"&amp;$I336&amp;"|"&amp;$J336&amp;"|"&amp;9,Assessments!$A$2:$A$600,0)),0)</f>
        <v>0</v>
      </c>
      <c r="DF336" s="28" t="n">
        <f aca="false">IFERROR(INDEX(Assessments!$J$2:$J$600,MATCH($H336&amp;"|"&amp;$I336&amp;"|"&amp;$J336&amp;"|"&amp;10,Assessments!$A$2:$A$600,0)),0)</f>
        <v>0</v>
      </c>
      <c r="DG336" s="28" t="n">
        <f aca="false">IFERROR(INDEX(Assessments!$J$2:$J$600,MATCH($H336&amp;"|"&amp;$I336&amp;"|"&amp;$J336&amp;"|"&amp;11,Assessments!$A$2:$A$600,0)),0)</f>
        <v>0</v>
      </c>
      <c r="DH336" s="28" t="n">
        <f aca="false">IFERROR(INDEX(Assessments!$J$2:$J$600,MATCH($H336&amp;"|"&amp;$I336&amp;"|"&amp;$J336&amp;"|"&amp;12,Assessments!$A$2:$A$600,0)),0)</f>
        <v>0</v>
      </c>
      <c r="DI336" s="28" t="n">
        <f aca="false">IFERROR(INDEX(Assessments!$J$2:$J$600,MATCH($H336&amp;"|"&amp;$I336&amp;"|"&amp;$J336&amp;"|"&amp;13,Assessments!$A$2:$A$600,0)),0)</f>
        <v>0</v>
      </c>
      <c r="DJ336" s="28" t="n">
        <f aca="false">IFERROR(INDEX(Assessments!$J$2:$J$600,MATCH($H336&amp;"|"&amp;$I336&amp;"|"&amp;$J336&amp;"|"&amp;14,Assessments!$A$2:$A$600,0)),0)</f>
        <v>0</v>
      </c>
      <c r="DK336" s="28" t="str">
        <f aca="false">S336</f>
        <v/>
      </c>
      <c r="DL336" s="28" t="str">
        <f aca="false">W336</f>
        <v/>
      </c>
      <c r="DM336" s="28" t="str">
        <f aca="false">AA336</f>
        <v/>
      </c>
      <c r="DN336" s="28" t="str">
        <f aca="false">AE336</f>
        <v/>
      </c>
      <c r="DO336" s="28" t="str">
        <f aca="false">AI336</f>
        <v/>
      </c>
      <c r="DP336" s="28" t="str">
        <f aca="false">AM336</f>
        <v/>
      </c>
      <c r="DQ336" s="28" t="str">
        <f aca="false">AQ336</f>
        <v/>
      </c>
      <c r="DR336" s="28" t="str">
        <f aca="false">AU336</f>
        <v/>
      </c>
      <c r="DS336" s="28" t="str">
        <f aca="false">AY336</f>
        <v/>
      </c>
      <c r="DT336" s="28" t="str">
        <f aca="false">BC336</f>
        <v/>
      </c>
      <c r="DU336" s="28" t="str">
        <f aca="false">BG336</f>
        <v/>
      </c>
      <c r="DV336" s="28" t="str">
        <f aca="false">BK336</f>
        <v/>
      </c>
      <c r="DW336" s="28" t="str">
        <f aca="false">BO336</f>
        <v/>
      </c>
      <c r="DX336" s="28" t="str">
        <f aca="false">BS336</f>
        <v/>
      </c>
      <c r="DY336" s="28" t="str">
        <f aca="false">IF(ISNUMBER(S336),1,"")</f>
        <v/>
      </c>
      <c r="DZ336" s="28" t="str">
        <f aca="false">IF(ISNUMBER(W336),2,"")</f>
        <v/>
      </c>
      <c r="EA336" s="28" t="str">
        <f aca="false">IF(ISNUMBER(AA336),3,"")</f>
        <v/>
      </c>
      <c r="EB336" s="28" t="str">
        <f aca="false">IF(ISNUMBER(AE336),4,"")</f>
        <v/>
      </c>
      <c r="EC336" s="28" t="str">
        <f aca="false">IF(ISNUMBER(AI336),5,"")</f>
        <v/>
      </c>
      <c r="ED336" s="28" t="str">
        <f aca="false">IF(ISNUMBER(AM336),6,"")</f>
        <v/>
      </c>
      <c r="EE336" s="28" t="str">
        <f aca="false">IF(ISNUMBER(AQ336),7,"")</f>
        <v/>
      </c>
      <c r="EF336" s="28" t="str">
        <f aca="false">IF(ISNUMBER(AU336),8,"")</f>
        <v/>
      </c>
      <c r="EG336" s="28" t="str">
        <f aca="false">IF(ISNUMBER(AY336),9,"")</f>
        <v/>
      </c>
      <c r="EH336" s="28" t="str">
        <f aca="false">IF(ISNUMBER(BC336),10,"")</f>
        <v/>
      </c>
      <c r="EI336" s="28" t="str">
        <f aca="false">IF(ISNUMBER(BG336),11,"")</f>
        <v/>
      </c>
      <c r="EJ336" s="28" t="str">
        <f aca="false">IF(ISNUMBER(BK336),12,"")</f>
        <v/>
      </c>
      <c r="EK336" s="28" t="str">
        <f aca="false">IF(ISNUMBER(BO336),13,"")</f>
        <v/>
      </c>
      <c r="EL336" s="28" t="str">
        <f aca="false">IF(ISNUMBER(BS336),14,"")</f>
        <v/>
      </c>
      <c r="EM336" s="28" t="n">
        <f aca="false">IF(ISNUMBER(R336),R336*CW336,0)</f>
        <v>0</v>
      </c>
      <c r="EN336" s="28" t="n">
        <f aca="false">IF(ISNUMBER(V336),V336*CX336,0)</f>
        <v>0</v>
      </c>
      <c r="EO336" s="28" t="n">
        <f aca="false">IF(ISNUMBER(Z336),Z336*CY336,0)</f>
        <v>0</v>
      </c>
      <c r="EP336" s="28" t="n">
        <f aca="false">IF(ISNUMBER(AD336),AD336*CZ336,0)</f>
        <v>0</v>
      </c>
      <c r="EQ336" s="28" t="n">
        <f aca="false">IF(ISNUMBER(AH336),AH336*DA336,0)</f>
        <v>0</v>
      </c>
      <c r="ER336" s="28" t="n">
        <f aca="false">IF(ISNUMBER(AL336),AL336*DB336,0)</f>
        <v>0</v>
      </c>
      <c r="ES336" s="28" t="n">
        <f aca="false">IF(ISNUMBER(AP336),AP336*DC336,0)</f>
        <v>0</v>
      </c>
      <c r="ET336" s="28" t="n">
        <f aca="false">IF(ISNUMBER(AT336),AT336*DD336,0)</f>
        <v>0</v>
      </c>
      <c r="EU336" s="28" t="n">
        <f aca="false">IF(ISNUMBER(AX336),AX336*DE336,0)</f>
        <v>0</v>
      </c>
      <c r="EV336" s="28" t="n">
        <f aca="false">IF(ISNUMBER(BB336),BB336*DF336,0)</f>
        <v>0</v>
      </c>
      <c r="EW336" s="28" t="n">
        <f aca="false">IF(ISNUMBER(BF336),BF336*DG336,0)</f>
        <v>0</v>
      </c>
      <c r="EX336" s="28" t="n">
        <f aca="false">IF(ISNUMBER(BJ336),BJ336*DH336,0)</f>
        <v>0</v>
      </c>
      <c r="EY336" s="28" t="n">
        <f aca="false">IF(ISNUMBER(BN336),BN336*DI336,0)</f>
        <v>0</v>
      </c>
      <c r="EZ336" s="28" t="n">
        <f aca="false">IF(ISNUMBER(BR336),BR336*DJ336,0)</f>
        <v>0</v>
      </c>
      <c r="FA336" s="28" t="n">
        <f aca="false">IF(ISNUMBER(R336),CW336,0)</f>
        <v>0</v>
      </c>
      <c r="FB336" s="28" t="n">
        <f aca="false">IF(ISNUMBER(V336),CX336,0)</f>
        <v>0</v>
      </c>
      <c r="FC336" s="28" t="n">
        <f aca="false">IF(ISNUMBER(Z336),CY336,0)</f>
        <v>0</v>
      </c>
      <c r="FD336" s="28" t="n">
        <f aca="false">IF(ISNUMBER(AD336),CZ336,0)</f>
        <v>0</v>
      </c>
      <c r="FE336" s="28" t="n">
        <f aca="false">IF(ISNUMBER(AH336),DA336,0)</f>
        <v>0</v>
      </c>
      <c r="FF336" s="28" t="n">
        <f aca="false">IF(ISNUMBER(AL336),DB336,0)</f>
        <v>0</v>
      </c>
      <c r="FG336" s="28" t="n">
        <f aca="false">IF(ISNUMBER(AP336),DC336,0)</f>
        <v>0</v>
      </c>
      <c r="FH336" s="28" t="n">
        <f aca="false">IF(ISNUMBER(AT336),DD336,0)</f>
        <v>0</v>
      </c>
      <c r="FI336" s="28" t="n">
        <f aca="false">IF(ISNUMBER(AX336),DE336,0)</f>
        <v>0</v>
      </c>
      <c r="FJ336" s="28" t="n">
        <f aca="false">IF(ISNUMBER(BB336),DF336,0)</f>
        <v>0</v>
      </c>
      <c r="FK336" s="28" t="n">
        <f aca="false">IF(ISNUMBER(BF336),DG336,0)</f>
        <v>0</v>
      </c>
      <c r="FL336" s="28" t="n">
        <f aca="false">IF(ISNUMBER(BJ336),DH336,0)</f>
        <v>0</v>
      </c>
      <c r="FM336" s="28" t="n">
        <f aca="false">IF(ISNUMBER(BN336),DI336,0)</f>
        <v>0</v>
      </c>
      <c r="FN336" s="28" t="n">
        <f aca="false">IF(ISNUMBER(BR336),DJ336,0)</f>
        <v>0</v>
      </c>
      <c r="FO336" s="28" t="str">
        <f aca="false">IFERROR(INDEX(Lists!$G$2:$G$20,MATCH($I336&amp;"|"&amp;$J336,Lists!$F$2:$F$20,0)),"")</f>
        <v>BM Exam</v>
      </c>
    </row>
    <row r="337" customFormat="false" ht="19.5" hidden="false" customHeight="true" outlineLevel="0" collapsed="false">
      <c r="A337" s="29" t="s">
        <v>478</v>
      </c>
      <c r="B337" s="29" t="s">
        <v>479</v>
      </c>
      <c r="C337" s="30" t="s">
        <v>192</v>
      </c>
      <c r="D337" s="30" t="s">
        <v>625</v>
      </c>
      <c r="E337" s="31"/>
      <c r="F337" s="30"/>
      <c r="G337" s="30"/>
      <c r="H337" s="32" t="s">
        <v>428</v>
      </c>
      <c r="I337" s="33" t="s">
        <v>365</v>
      </c>
      <c r="J337" s="32" t="s">
        <v>25</v>
      </c>
      <c r="K337" s="34" t="str">
        <f aca="false">IF(OR(M337="",$E337=""),"",M337-$E337)</f>
        <v/>
      </c>
      <c r="L337" s="35" t="str">
        <f aca="false">IF(SUM(FA337:FN337)=0,"",SUM(EM337:EZ337)/SUM(FA337:FN337))</f>
        <v/>
      </c>
      <c r="M337" s="36" t="str">
        <f aca="false">IF(OR(L337="",FO337=""),"",IFERROR(MATCH(L337,INDEX(Boundaries!$B$2:$I$30,MATCH(FO337,Boundaries!$A$2:$A$30,0),0),1)-1,""))</f>
        <v/>
      </c>
      <c r="N337" s="37" t="str">
        <f aca="false">IF(COUNT($DY337:$EL337)&lt;2,"",INDEX($DK337:$DX337,MAX($DY337:$EL337))-INDEX($DK337:$DX337,MIN($DY337:$EL337)))</f>
        <v/>
      </c>
      <c r="O337" s="37" t="str">
        <f aca="false">IF(COUNT($DY337:$EL337)&lt;2,"",INDEX($DK337:$DX337,MAX($DY337:$EL337))-INDEX($DK337:$DX337,LARGE($DY337:$EL337,2)))</f>
        <v/>
      </c>
      <c r="P337" s="38" t="str">
        <f aca="false">IF(K337="","",IF(K337&gt;=0,"On/above target",IF(AND(N337&lt;&gt;"",N337&gt;=0.5),"Improving towards target",IF(AND(O337&lt;&gt;"",O337&lt;=-0.5),"Declining","Stable below target"))))</f>
        <v/>
      </c>
      <c r="Q337" s="39"/>
      <c r="R337" s="40" t="str">
        <f aca="false">IF(OR(Q337="",BU337=""),"",Q337/BU337*100)</f>
        <v/>
      </c>
      <c r="S337" s="41" t="str">
        <f aca="false">IF(R337="","",IFERROR(MATCH(R337,INDEX(Boundaries!$B$2:$I$30,MATCH(CI337,Boundaries!$A$2:$A$30,0),0),1)-1,""))</f>
        <v/>
      </c>
      <c r="T337" s="42" t="str">
        <f aca="false">IF(OR(S337="",$E337=""),"",S337-$E337)</f>
        <v/>
      </c>
      <c r="U337" s="39"/>
      <c r="V337" s="40" t="str">
        <f aca="false">IF(OR(U337="",BV337=""),"",U337/BV337*100)</f>
        <v/>
      </c>
      <c r="W337" s="41" t="str">
        <f aca="false">IF(V337="","",IFERROR(MATCH(V337,INDEX(Boundaries!$B$2:$I$30,MATCH(CJ337,Boundaries!$A$2:$A$30,0),0),1)-1,""))</f>
        <v/>
      </c>
      <c r="X337" s="42" t="str">
        <f aca="false">IF(OR(W337="",$E337=""),"",W337-$E337)</f>
        <v/>
      </c>
      <c r="Y337" s="39"/>
      <c r="Z337" s="40" t="str">
        <f aca="false">IF(OR(Y337="",BW337=""),"",Y337/BW337*100)</f>
        <v/>
      </c>
      <c r="AA337" s="41" t="str">
        <f aca="false">IF(Z337="","",IFERROR(MATCH(Z337,INDEX(Boundaries!$B$2:$I$30,MATCH(CK337,Boundaries!$A$2:$A$30,0),0),1)-1,""))</f>
        <v/>
      </c>
      <c r="AB337" s="42" t="str">
        <f aca="false">IF(OR(AA337="",$E337=""),"",AA337-$E337)</f>
        <v/>
      </c>
      <c r="AC337" s="39"/>
      <c r="AD337" s="40" t="str">
        <f aca="false">IF(OR(AC337="",BX337=""),"",AC337/BX337*100)</f>
        <v/>
      </c>
      <c r="AE337" s="41" t="str">
        <f aca="false">IF(AD337="","",IFERROR(MATCH(AD337,INDEX(Boundaries!$B$2:$I$30,MATCH(CL337,Boundaries!$A$2:$A$30,0),0),1)-1,""))</f>
        <v/>
      </c>
      <c r="AF337" s="42" t="str">
        <f aca="false">IF(OR(AE337="",$E337=""),"",AE337-$E337)</f>
        <v/>
      </c>
      <c r="AG337" s="39"/>
      <c r="AH337" s="40" t="str">
        <f aca="false">IF(OR(AG337="",BY337=""),"",AG337/BY337*100)</f>
        <v/>
      </c>
      <c r="AI337" s="41" t="str">
        <f aca="false">IF(AH337="","",IFERROR(MATCH(AH337,INDEX(Boundaries!$B$2:$I$30,MATCH(CM337,Boundaries!$A$2:$A$30,0),0),1)-1,""))</f>
        <v/>
      </c>
      <c r="AJ337" s="42" t="str">
        <f aca="false">IF(OR(AI337="",$E337=""),"",AI337-$E337)</f>
        <v/>
      </c>
      <c r="AK337" s="39"/>
      <c r="AL337" s="40" t="str">
        <f aca="false">IF(OR(AK337="",BZ337=""),"",AK337/BZ337*100)</f>
        <v/>
      </c>
      <c r="AM337" s="41" t="str">
        <f aca="false">IF(AL337="","",IFERROR(MATCH(AL337,INDEX(Boundaries!$B$2:$I$30,MATCH(CN337,Boundaries!$A$2:$A$30,0),0),1)-1,""))</f>
        <v/>
      </c>
      <c r="AN337" s="42" t="str">
        <f aca="false">IF(OR(AM337="",$E337=""),"",AM337-$E337)</f>
        <v/>
      </c>
      <c r="AO337" s="39"/>
      <c r="AP337" s="40" t="str">
        <f aca="false">IF(OR(AO337="",CA337=""),"",AO337/CA337*100)</f>
        <v/>
      </c>
      <c r="AQ337" s="41" t="str">
        <f aca="false">IF(AP337="","",IFERROR(MATCH(AP337,INDEX(Boundaries!$B$2:$I$30,MATCH(CO337,Boundaries!$A$2:$A$30,0),0),1)-1,""))</f>
        <v/>
      </c>
      <c r="AR337" s="42" t="str">
        <f aca="false">IF(OR(AQ337="",$E337=""),"",AQ337-$E337)</f>
        <v/>
      </c>
      <c r="AS337" s="39"/>
      <c r="AT337" s="40" t="str">
        <f aca="false">IF(OR(AS337="",CB337=""),"",AS337/CB337*100)</f>
        <v/>
      </c>
      <c r="AU337" s="41" t="str">
        <f aca="false">IF(AT337="","",IFERROR(MATCH(AT337,INDEX(Boundaries!$B$2:$I$30,MATCH(CP337,Boundaries!$A$2:$A$30,0),0),1)-1,""))</f>
        <v/>
      </c>
      <c r="AV337" s="42" t="str">
        <f aca="false">IF(OR(AU337="",$E337=""),"",AU337-$E337)</f>
        <v/>
      </c>
      <c r="AW337" s="39"/>
      <c r="AX337" s="40" t="str">
        <f aca="false">IF(OR(AW337="",CC337=""),"",AW337/CC337*100)</f>
        <v/>
      </c>
      <c r="AY337" s="41" t="str">
        <f aca="false">IF(AX337="","",IFERROR(MATCH(AX337,INDEX(Boundaries!$B$2:$I$30,MATCH(CQ337,Boundaries!$A$2:$A$30,0),0),1)-1,""))</f>
        <v/>
      </c>
      <c r="AZ337" s="42" t="str">
        <f aca="false">IF(OR(AY337="",$E337=""),"",AY337-$E337)</f>
        <v/>
      </c>
      <c r="BA337" s="39"/>
      <c r="BB337" s="40" t="str">
        <f aca="false">IF(OR(BA337="",CD337=""),"",BA337/CD337*100)</f>
        <v/>
      </c>
      <c r="BC337" s="41" t="str">
        <f aca="false">IF(BB337="","",IFERROR(MATCH(BB337,INDEX(Boundaries!$B$2:$I$30,MATCH(CR337,Boundaries!$A$2:$A$30,0),0),1)-1,""))</f>
        <v/>
      </c>
      <c r="BD337" s="42" t="str">
        <f aca="false">IF(OR(BC337="",$E337=""),"",BC337-$E337)</f>
        <v/>
      </c>
      <c r="BE337" s="39"/>
      <c r="BF337" s="40" t="str">
        <f aca="false">IF(OR(BE337="",CE337=""),"",BE337/CE337*100)</f>
        <v/>
      </c>
      <c r="BG337" s="41" t="str">
        <f aca="false">IF(BF337="","",IFERROR(MATCH(BF337,INDEX(Boundaries!$B$2:$I$30,MATCH(CS337,Boundaries!$A$2:$A$30,0),0),1)-1,""))</f>
        <v/>
      </c>
      <c r="BH337" s="42" t="str">
        <f aca="false">IF(OR(BG337="",$E337=""),"",BG337-$E337)</f>
        <v/>
      </c>
      <c r="BI337" s="39"/>
      <c r="BJ337" s="40" t="str">
        <f aca="false">IF(OR(BI337="",CF337=""),"",BI337/CF337*100)</f>
        <v/>
      </c>
      <c r="BK337" s="41" t="str">
        <f aca="false">IF(BJ337="","",IFERROR(MATCH(BJ337,INDEX(Boundaries!$B$2:$I$30,MATCH(CT337,Boundaries!$A$2:$A$30,0),0),1)-1,""))</f>
        <v/>
      </c>
      <c r="BL337" s="42" t="str">
        <f aca="false">IF(OR(BK337="",$E337=""),"",BK337-$E337)</f>
        <v/>
      </c>
      <c r="BM337" s="39"/>
      <c r="BN337" s="40" t="str">
        <f aca="false">IF(OR(BM337="",CG337=""),"",BM337/CG337*100)</f>
        <v/>
      </c>
      <c r="BO337" s="41" t="str">
        <f aca="false">IF(BN337="","",IFERROR(MATCH(BN337,INDEX(Boundaries!$B$2:$I$30,MATCH(CU337,Boundaries!$A$2:$A$30,0),0),1)-1,""))</f>
        <v/>
      </c>
      <c r="BP337" s="42" t="str">
        <f aca="false">IF(OR(BO337="",$E337=""),"",BO337-$E337)</f>
        <v/>
      </c>
      <c r="BQ337" s="39"/>
      <c r="BR337" s="40" t="str">
        <f aca="false">IF(OR(BQ337="",CH337=""),"",BQ337/CH337*100)</f>
        <v/>
      </c>
      <c r="BS337" s="41" t="str">
        <f aca="false">IF(BR337="","",IFERROR(MATCH(BR337,INDEX(Boundaries!$B$2:$I$30,MATCH(CV337,Boundaries!$A$2:$A$30,0),0),1)-1,""))</f>
        <v/>
      </c>
      <c r="BT337" s="42" t="str">
        <f aca="false">IF(OR(BS337="",$E337=""),"",BS337-$E337)</f>
        <v/>
      </c>
      <c r="BU337" s="28" t="n">
        <f aca="false">IFERROR(INDEX(Assessments!$H$2:$H$600,MATCH($H337&amp;"|"&amp;$I337&amp;"|"&amp;$J337&amp;"|"&amp;1,Assessments!$A$2:$A$600,0)),"")</f>
        <v>24</v>
      </c>
      <c r="BV337" s="28" t="n">
        <f aca="false">IFERROR(INDEX(Assessments!$H$2:$H$600,MATCH($H337&amp;"|"&amp;$I337&amp;"|"&amp;$J337&amp;"|"&amp;2,Assessments!$A$2:$A$600,0)),"")</f>
        <v>20</v>
      </c>
      <c r="BW337" s="28" t="n">
        <f aca="false">IFERROR(INDEX(Assessments!$H$2:$H$600,MATCH($H337&amp;"|"&amp;$I337&amp;"|"&amp;$J337&amp;"|"&amp;3,Assessments!$A$2:$A$600,0)),"")</f>
        <v>20</v>
      </c>
      <c r="BX337" s="28" t="n">
        <f aca="false">IFERROR(INDEX(Assessments!$H$2:$H$600,MATCH($H337&amp;"|"&amp;$I337&amp;"|"&amp;$J337&amp;"|"&amp;4,Assessments!$A$2:$A$600,0)),"")</f>
        <v>40</v>
      </c>
      <c r="BY337" s="28" t="n">
        <f aca="false">IFERROR(INDEX(Assessments!$H$2:$H$600,MATCH($H337&amp;"|"&amp;$I337&amp;"|"&amp;$J337&amp;"|"&amp;5,Assessments!$A$2:$A$600,0)),"")</f>
        <v>30</v>
      </c>
      <c r="BZ337" s="28" t="n">
        <f aca="false">IFERROR(INDEX(Assessments!$H$2:$H$600,MATCH($H337&amp;"|"&amp;$I337&amp;"|"&amp;$J337&amp;"|"&amp;6,Assessments!$A$2:$A$600,0)),"")</f>
        <v>20</v>
      </c>
      <c r="CA337" s="28" t="n">
        <f aca="false">IFERROR(INDEX(Assessments!$H$2:$H$600,MATCH($H337&amp;"|"&amp;$I337&amp;"|"&amp;$J337&amp;"|"&amp;7,Assessments!$A$2:$A$600,0)),"")</f>
        <v>50</v>
      </c>
      <c r="CB337" s="28" t="str">
        <f aca="false">IFERROR(INDEX(Assessments!$H$2:$H$600,MATCH($H337&amp;"|"&amp;$I337&amp;"|"&amp;$J337&amp;"|"&amp;8,Assessments!$A$2:$A$600,0)),"")</f>
        <v/>
      </c>
      <c r="CC337" s="28" t="str">
        <f aca="false">IFERROR(INDEX(Assessments!$H$2:$H$600,MATCH($H337&amp;"|"&amp;$I337&amp;"|"&amp;$J337&amp;"|"&amp;9,Assessments!$A$2:$A$600,0)),"")</f>
        <v/>
      </c>
      <c r="CD337" s="28" t="str">
        <f aca="false">IFERROR(INDEX(Assessments!$H$2:$H$600,MATCH($H337&amp;"|"&amp;$I337&amp;"|"&amp;$J337&amp;"|"&amp;10,Assessments!$A$2:$A$600,0)),"")</f>
        <v/>
      </c>
      <c r="CE337" s="28" t="str">
        <f aca="false">IFERROR(INDEX(Assessments!$H$2:$H$600,MATCH($H337&amp;"|"&amp;$I337&amp;"|"&amp;$J337&amp;"|"&amp;11,Assessments!$A$2:$A$600,0)),"")</f>
        <v/>
      </c>
      <c r="CF337" s="28" t="str">
        <f aca="false">IFERROR(INDEX(Assessments!$H$2:$H$600,MATCH($H337&amp;"|"&amp;$I337&amp;"|"&amp;$J337&amp;"|"&amp;12,Assessments!$A$2:$A$600,0)),"")</f>
        <v/>
      </c>
      <c r="CG337" s="28" t="str">
        <f aca="false">IFERROR(INDEX(Assessments!$H$2:$H$600,MATCH($H337&amp;"|"&amp;$I337&amp;"|"&amp;$J337&amp;"|"&amp;13,Assessments!$A$2:$A$600,0)),"")</f>
        <v/>
      </c>
      <c r="CH337" s="28" t="str">
        <f aca="false">IFERROR(INDEX(Assessments!$H$2:$H$600,MATCH($H337&amp;"|"&amp;$I337&amp;"|"&amp;$J337&amp;"|"&amp;14,Assessments!$A$2:$A$600,0)),"")</f>
        <v/>
      </c>
      <c r="CI337" s="28" t="str">
        <f aca="false">IFERROR(INDEX(Assessments!$I$2:$I$600,MATCH($H337&amp;"|"&amp;$I337&amp;"|"&amp;$J337&amp;"|"&amp;1,Assessments!$A$2:$A$600,0)),"")</f>
        <v>BM Test</v>
      </c>
      <c r="CJ337" s="28" t="str">
        <f aca="false">IFERROR(INDEX(Assessments!$I$2:$I$600,MATCH($H337&amp;"|"&amp;$I337&amp;"|"&amp;$J337&amp;"|"&amp;2,Assessments!$A$2:$A$600,0)),"")</f>
        <v>BM Test</v>
      </c>
      <c r="CK337" s="28" t="str">
        <f aca="false">IFERROR(INDEX(Assessments!$I$2:$I$600,MATCH($H337&amp;"|"&amp;$I337&amp;"|"&amp;$J337&amp;"|"&amp;3,Assessments!$A$2:$A$600,0)),"")</f>
        <v>BM Test</v>
      </c>
      <c r="CL337" s="28" t="str">
        <f aca="false">IFERROR(INDEX(Assessments!$I$2:$I$600,MATCH($H337&amp;"|"&amp;$I337&amp;"|"&amp;$J337&amp;"|"&amp;4,Assessments!$A$2:$A$600,0)),"")</f>
        <v>BM Exam</v>
      </c>
      <c r="CM337" s="28" t="str">
        <f aca="false">IFERROR(INDEX(Assessments!$I$2:$I$600,MATCH($H337&amp;"|"&amp;$I337&amp;"|"&amp;$J337&amp;"|"&amp;5,Assessments!$A$2:$A$600,0)),"")</f>
        <v>BM Test</v>
      </c>
      <c r="CN337" s="28" t="str">
        <f aca="false">IFERROR(INDEX(Assessments!$I$2:$I$600,MATCH($H337&amp;"|"&amp;$I337&amp;"|"&amp;$J337&amp;"|"&amp;6,Assessments!$A$2:$A$600,0)),"")</f>
        <v>BM Test</v>
      </c>
      <c r="CO337" s="28" t="str">
        <f aca="false">IFERROR(INDEX(Assessments!$I$2:$I$600,MATCH($H337&amp;"|"&amp;$I337&amp;"|"&amp;$J337&amp;"|"&amp;7,Assessments!$A$2:$A$600,0)),"")</f>
        <v>BM Exam</v>
      </c>
      <c r="CP337" s="28" t="str">
        <f aca="false">IFERROR(INDEX(Assessments!$I$2:$I$600,MATCH($H337&amp;"|"&amp;$I337&amp;"|"&amp;$J337&amp;"|"&amp;8,Assessments!$A$2:$A$600,0)),"")</f>
        <v/>
      </c>
      <c r="CQ337" s="28" t="str">
        <f aca="false">IFERROR(INDEX(Assessments!$I$2:$I$600,MATCH($H337&amp;"|"&amp;$I337&amp;"|"&amp;$J337&amp;"|"&amp;9,Assessments!$A$2:$A$600,0)),"")</f>
        <v/>
      </c>
      <c r="CR337" s="28" t="str">
        <f aca="false">IFERROR(INDEX(Assessments!$I$2:$I$600,MATCH($H337&amp;"|"&amp;$I337&amp;"|"&amp;$J337&amp;"|"&amp;10,Assessments!$A$2:$A$600,0)),"")</f>
        <v/>
      </c>
      <c r="CS337" s="28" t="str">
        <f aca="false">IFERROR(INDEX(Assessments!$I$2:$I$600,MATCH($H337&amp;"|"&amp;$I337&amp;"|"&amp;$J337&amp;"|"&amp;11,Assessments!$A$2:$A$600,0)),"")</f>
        <v/>
      </c>
      <c r="CT337" s="28" t="str">
        <f aca="false">IFERROR(INDEX(Assessments!$I$2:$I$600,MATCH($H337&amp;"|"&amp;$I337&amp;"|"&amp;$J337&amp;"|"&amp;12,Assessments!$A$2:$A$600,0)),"")</f>
        <v/>
      </c>
      <c r="CU337" s="28" t="str">
        <f aca="false">IFERROR(INDEX(Assessments!$I$2:$I$600,MATCH($H337&amp;"|"&amp;$I337&amp;"|"&amp;$J337&amp;"|"&amp;13,Assessments!$A$2:$A$600,0)),"")</f>
        <v/>
      </c>
      <c r="CV337" s="28" t="str">
        <f aca="false">IFERROR(INDEX(Assessments!$I$2:$I$600,MATCH($H337&amp;"|"&amp;$I337&amp;"|"&amp;$J337&amp;"|"&amp;14,Assessments!$A$2:$A$600,0)),"")</f>
        <v/>
      </c>
      <c r="CW337" s="28" t="n">
        <f aca="false">IFERROR(INDEX(Assessments!$J$2:$J$600,MATCH($H337&amp;"|"&amp;$I337&amp;"|"&amp;$J337&amp;"|"&amp;1,Assessments!$A$2:$A$600,0)),0)</f>
        <v>1</v>
      </c>
      <c r="CX337" s="28" t="n">
        <f aca="false">IFERROR(INDEX(Assessments!$J$2:$J$600,MATCH($H337&amp;"|"&amp;$I337&amp;"|"&amp;$J337&amp;"|"&amp;2,Assessments!$A$2:$A$600,0)),0)</f>
        <v>1</v>
      </c>
      <c r="CY337" s="28" t="n">
        <f aca="false">IFERROR(INDEX(Assessments!$J$2:$J$600,MATCH($H337&amp;"|"&amp;$I337&amp;"|"&amp;$J337&amp;"|"&amp;3,Assessments!$A$2:$A$600,0)),0)</f>
        <v>1</v>
      </c>
      <c r="CZ337" s="28" t="n">
        <f aca="false">IFERROR(INDEX(Assessments!$J$2:$J$600,MATCH($H337&amp;"|"&amp;$I337&amp;"|"&amp;$J337&amp;"|"&amp;4,Assessments!$A$2:$A$600,0)),0)</f>
        <v>2</v>
      </c>
      <c r="DA337" s="28" t="n">
        <f aca="false">IFERROR(INDEX(Assessments!$J$2:$J$600,MATCH($H337&amp;"|"&amp;$I337&amp;"|"&amp;$J337&amp;"|"&amp;5,Assessments!$A$2:$A$600,0)),0)</f>
        <v>1</v>
      </c>
      <c r="DB337" s="28" t="n">
        <f aca="false">IFERROR(INDEX(Assessments!$J$2:$J$600,MATCH($H337&amp;"|"&amp;$I337&amp;"|"&amp;$J337&amp;"|"&amp;6,Assessments!$A$2:$A$600,0)),0)</f>
        <v>1</v>
      </c>
      <c r="DC337" s="28" t="n">
        <f aca="false">IFERROR(INDEX(Assessments!$J$2:$J$600,MATCH($H337&amp;"|"&amp;$I337&amp;"|"&amp;$J337&amp;"|"&amp;7,Assessments!$A$2:$A$600,0)),0)</f>
        <v>2</v>
      </c>
      <c r="DD337" s="28" t="n">
        <f aca="false">IFERROR(INDEX(Assessments!$J$2:$J$600,MATCH($H337&amp;"|"&amp;$I337&amp;"|"&amp;$J337&amp;"|"&amp;8,Assessments!$A$2:$A$600,0)),0)</f>
        <v>0</v>
      </c>
      <c r="DE337" s="28" t="n">
        <f aca="false">IFERROR(INDEX(Assessments!$J$2:$J$600,MATCH($H337&amp;"|"&amp;$I337&amp;"|"&amp;$J337&amp;"|"&amp;9,Assessments!$A$2:$A$600,0)),0)</f>
        <v>0</v>
      </c>
      <c r="DF337" s="28" t="n">
        <f aca="false">IFERROR(INDEX(Assessments!$J$2:$J$600,MATCH($H337&amp;"|"&amp;$I337&amp;"|"&amp;$J337&amp;"|"&amp;10,Assessments!$A$2:$A$600,0)),0)</f>
        <v>0</v>
      </c>
      <c r="DG337" s="28" t="n">
        <f aca="false">IFERROR(INDEX(Assessments!$J$2:$J$600,MATCH($H337&amp;"|"&amp;$I337&amp;"|"&amp;$J337&amp;"|"&amp;11,Assessments!$A$2:$A$600,0)),0)</f>
        <v>0</v>
      </c>
      <c r="DH337" s="28" t="n">
        <f aca="false">IFERROR(INDEX(Assessments!$J$2:$J$600,MATCH($H337&amp;"|"&amp;$I337&amp;"|"&amp;$J337&amp;"|"&amp;12,Assessments!$A$2:$A$600,0)),0)</f>
        <v>0</v>
      </c>
      <c r="DI337" s="28" t="n">
        <f aca="false">IFERROR(INDEX(Assessments!$J$2:$J$600,MATCH($H337&amp;"|"&amp;$I337&amp;"|"&amp;$J337&amp;"|"&amp;13,Assessments!$A$2:$A$600,0)),0)</f>
        <v>0</v>
      </c>
      <c r="DJ337" s="28" t="n">
        <f aca="false">IFERROR(INDEX(Assessments!$J$2:$J$600,MATCH($H337&amp;"|"&amp;$I337&amp;"|"&amp;$J337&amp;"|"&amp;14,Assessments!$A$2:$A$600,0)),0)</f>
        <v>0</v>
      </c>
      <c r="DK337" s="28" t="str">
        <f aca="false">S337</f>
        <v/>
      </c>
      <c r="DL337" s="28" t="str">
        <f aca="false">W337</f>
        <v/>
      </c>
      <c r="DM337" s="28" t="str">
        <f aca="false">AA337</f>
        <v/>
      </c>
      <c r="DN337" s="28" t="str">
        <f aca="false">AE337</f>
        <v/>
      </c>
      <c r="DO337" s="28" t="str">
        <f aca="false">AI337</f>
        <v/>
      </c>
      <c r="DP337" s="28" t="str">
        <f aca="false">AM337</f>
        <v/>
      </c>
      <c r="DQ337" s="28" t="str">
        <f aca="false">AQ337</f>
        <v/>
      </c>
      <c r="DR337" s="28" t="str">
        <f aca="false">AU337</f>
        <v/>
      </c>
      <c r="DS337" s="28" t="str">
        <f aca="false">AY337</f>
        <v/>
      </c>
      <c r="DT337" s="28" t="str">
        <f aca="false">BC337</f>
        <v/>
      </c>
      <c r="DU337" s="28" t="str">
        <f aca="false">BG337</f>
        <v/>
      </c>
      <c r="DV337" s="28" t="str">
        <f aca="false">BK337</f>
        <v/>
      </c>
      <c r="DW337" s="28" t="str">
        <f aca="false">BO337</f>
        <v/>
      </c>
      <c r="DX337" s="28" t="str">
        <f aca="false">BS337</f>
        <v/>
      </c>
      <c r="DY337" s="28" t="str">
        <f aca="false">IF(ISNUMBER(S337),1,"")</f>
        <v/>
      </c>
      <c r="DZ337" s="28" t="str">
        <f aca="false">IF(ISNUMBER(W337),2,"")</f>
        <v/>
      </c>
      <c r="EA337" s="28" t="str">
        <f aca="false">IF(ISNUMBER(AA337),3,"")</f>
        <v/>
      </c>
      <c r="EB337" s="28" t="str">
        <f aca="false">IF(ISNUMBER(AE337),4,"")</f>
        <v/>
      </c>
      <c r="EC337" s="28" t="str">
        <f aca="false">IF(ISNUMBER(AI337),5,"")</f>
        <v/>
      </c>
      <c r="ED337" s="28" t="str">
        <f aca="false">IF(ISNUMBER(AM337),6,"")</f>
        <v/>
      </c>
      <c r="EE337" s="28" t="str">
        <f aca="false">IF(ISNUMBER(AQ337),7,"")</f>
        <v/>
      </c>
      <c r="EF337" s="28" t="str">
        <f aca="false">IF(ISNUMBER(AU337),8,"")</f>
        <v/>
      </c>
      <c r="EG337" s="28" t="str">
        <f aca="false">IF(ISNUMBER(AY337),9,"")</f>
        <v/>
      </c>
      <c r="EH337" s="28" t="str">
        <f aca="false">IF(ISNUMBER(BC337),10,"")</f>
        <v/>
      </c>
      <c r="EI337" s="28" t="str">
        <f aca="false">IF(ISNUMBER(BG337),11,"")</f>
        <v/>
      </c>
      <c r="EJ337" s="28" t="str">
        <f aca="false">IF(ISNUMBER(BK337),12,"")</f>
        <v/>
      </c>
      <c r="EK337" s="28" t="str">
        <f aca="false">IF(ISNUMBER(BO337),13,"")</f>
        <v/>
      </c>
      <c r="EL337" s="28" t="str">
        <f aca="false">IF(ISNUMBER(BS337),14,"")</f>
        <v/>
      </c>
      <c r="EM337" s="28" t="n">
        <f aca="false">IF(ISNUMBER(R337),R337*CW337,0)</f>
        <v>0</v>
      </c>
      <c r="EN337" s="28" t="n">
        <f aca="false">IF(ISNUMBER(V337),V337*CX337,0)</f>
        <v>0</v>
      </c>
      <c r="EO337" s="28" t="n">
        <f aca="false">IF(ISNUMBER(Z337),Z337*CY337,0)</f>
        <v>0</v>
      </c>
      <c r="EP337" s="28" t="n">
        <f aca="false">IF(ISNUMBER(AD337),AD337*CZ337,0)</f>
        <v>0</v>
      </c>
      <c r="EQ337" s="28" t="n">
        <f aca="false">IF(ISNUMBER(AH337),AH337*DA337,0)</f>
        <v>0</v>
      </c>
      <c r="ER337" s="28" t="n">
        <f aca="false">IF(ISNUMBER(AL337),AL337*DB337,0)</f>
        <v>0</v>
      </c>
      <c r="ES337" s="28" t="n">
        <f aca="false">IF(ISNUMBER(AP337),AP337*DC337,0)</f>
        <v>0</v>
      </c>
      <c r="ET337" s="28" t="n">
        <f aca="false">IF(ISNUMBER(AT337),AT337*DD337,0)</f>
        <v>0</v>
      </c>
      <c r="EU337" s="28" t="n">
        <f aca="false">IF(ISNUMBER(AX337),AX337*DE337,0)</f>
        <v>0</v>
      </c>
      <c r="EV337" s="28" t="n">
        <f aca="false">IF(ISNUMBER(BB337),BB337*DF337,0)</f>
        <v>0</v>
      </c>
      <c r="EW337" s="28" t="n">
        <f aca="false">IF(ISNUMBER(BF337),BF337*DG337,0)</f>
        <v>0</v>
      </c>
      <c r="EX337" s="28" t="n">
        <f aca="false">IF(ISNUMBER(BJ337),BJ337*DH337,0)</f>
        <v>0</v>
      </c>
      <c r="EY337" s="28" t="n">
        <f aca="false">IF(ISNUMBER(BN337),BN337*DI337,0)</f>
        <v>0</v>
      </c>
      <c r="EZ337" s="28" t="n">
        <f aca="false">IF(ISNUMBER(BR337),BR337*DJ337,0)</f>
        <v>0</v>
      </c>
      <c r="FA337" s="28" t="n">
        <f aca="false">IF(ISNUMBER(R337),CW337,0)</f>
        <v>0</v>
      </c>
      <c r="FB337" s="28" t="n">
        <f aca="false">IF(ISNUMBER(V337),CX337,0)</f>
        <v>0</v>
      </c>
      <c r="FC337" s="28" t="n">
        <f aca="false">IF(ISNUMBER(Z337),CY337,0)</f>
        <v>0</v>
      </c>
      <c r="FD337" s="28" t="n">
        <f aca="false">IF(ISNUMBER(AD337),CZ337,0)</f>
        <v>0</v>
      </c>
      <c r="FE337" s="28" t="n">
        <f aca="false">IF(ISNUMBER(AH337),DA337,0)</f>
        <v>0</v>
      </c>
      <c r="FF337" s="28" t="n">
        <f aca="false">IF(ISNUMBER(AL337),DB337,0)</f>
        <v>0</v>
      </c>
      <c r="FG337" s="28" t="n">
        <f aca="false">IF(ISNUMBER(AP337),DC337,0)</f>
        <v>0</v>
      </c>
      <c r="FH337" s="28" t="n">
        <f aca="false">IF(ISNUMBER(AT337),DD337,0)</f>
        <v>0</v>
      </c>
      <c r="FI337" s="28" t="n">
        <f aca="false">IF(ISNUMBER(AX337),DE337,0)</f>
        <v>0</v>
      </c>
      <c r="FJ337" s="28" t="n">
        <f aca="false">IF(ISNUMBER(BB337),DF337,0)</f>
        <v>0</v>
      </c>
      <c r="FK337" s="28" t="n">
        <f aca="false">IF(ISNUMBER(BF337),DG337,0)</f>
        <v>0</v>
      </c>
      <c r="FL337" s="28" t="n">
        <f aca="false">IF(ISNUMBER(BJ337),DH337,0)</f>
        <v>0</v>
      </c>
      <c r="FM337" s="28" t="n">
        <f aca="false">IF(ISNUMBER(BN337),DI337,0)</f>
        <v>0</v>
      </c>
      <c r="FN337" s="28" t="n">
        <f aca="false">IF(ISNUMBER(BR337),DJ337,0)</f>
        <v>0</v>
      </c>
      <c r="FO337" s="28" t="str">
        <f aca="false">IFERROR(INDEX(Lists!$G$2:$G$20,MATCH($I337&amp;"|"&amp;$J337,Lists!$F$2:$F$20,0)),"")</f>
        <v>BM Exam</v>
      </c>
    </row>
    <row r="338" customFormat="false" ht="19.5" hidden="false" customHeight="true" outlineLevel="0" collapsed="false">
      <c r="A338" s="29" t="s">
        <v>484</v>
      </c>
      <c r="B338" s="29" t="s">
        <v>485</v>
      </c>
      <c r="C338" s="30" t="s">
        <v>192</v>
      </c>
      <c r="D338" s="30" t="s">
        <v>625</v>
      </c>
      <c r="E338" s="31"/>
      <c r="F338" s="30"/>
      <c r="G338" s="30"/>
      <c r="H338" s="32" t="s">
        <v>428</v>
      </c>
      <c r="I338" s="33" t="s">
        <v>365</v>
      </c>
      <c r="J338" s="32" t="s">
        <v>25</v>
      </c>
      <c r="K338" s="34" t="str">
        <f aca="false">IF(OR(M338="",$E338=""),"",M338-$E338)</f>
        <v/>
      </c>
      <c r="L338" s="35" t="str">
        <f aca="false">IF(SUM(FA338:FN338)=0,"",SUM(EM338:EZ338)/SUM(FA338:FN338))</f>
        <v/>
      </c>
      <c r="M338" s="36" t="str">
        <f aca="false">IF(OR(L338="",FO338=""),"",IFERROR(MATCH(L338,INDEX(Boundaries!$B$2:$I$30,MATCH(FO338,Boundaries!$A$2:$A$30,0),0),1)-1,""))</f>
        <v/>
      </c>
      <c r="N338" s="37" t="str">
        <f aca="false">IF(COUNT($DY338:$EL338)&lt;2,"",INDEX($DK338:$DX338,MAX($DY338:$EL338))-INDEX($DK338:$DX338,MIN($DY338:$EL338)))</f>
        <v/>
      </c>
      <c r="O338" s="37" t="str">
        <f aca="false">IF(COUNT($DY338:$EL338)&lt;2,"",INDEX($DK338:$DX338,MAX($DY338:$EL338))-INDEX($DK338:$DX338,LARGE($DY338:$EL338,2)))</f>
        <v/>
      </c>
      <c r="P338" s="38" t="str">
        <f aca="false">IF(K338="","",IF(K338&gt;=0,"On/above target",IF(AND(N338&lt;&gt;"",N338&gt;=0.5),"Improving towards target",IF(AND(O338&lt;&gt;"",O338&lt;=-0.5),"Declining","Stable below target"))))</f>
        <v/>
      </c>
      <c r="Q338" s="39"/>
      <c r="R338" s="40" t="str">
        <f aca="false">IF(OR(Q338="",BU338=""),"",Q338/BU338*100)</f>
        <v/>
      </c>
      <c r="S338" s="41" t="str">
        <f aca="false">IF(R338="","",IFERROR(MATCH(R338,INDEX(Boundaries!$B$2:$I$30,MATCH(CI338,Boundaries!$A$2:$A$30,0),0),1)-1,""))</f>
        <v/>
      </c>
      <c r="T338" s="42" t="str">
        <f aca="false">IF(OR(S338="",$E338=""),"",S338-$E338)</f>
        <v/>
      </c>
      <c r="U338" s="39"/>
      <c r="V338" s="40" t="str">
        <f aca="false">IF(OR(U338="",BV338=""),"",U338/BV338*100)</f>
        <v/>
      </c>
      <c r="W338" s="41" t="str">
        <f aca="false">IF(V338="","",IFERROR(MATCH(V338,INDEX(Boundaries!$B$2:$I$30,MATCH(CJ338,Boundaries!$A$2:$A$30,0),0),1)-1,""))</f>
        <v/>
      </c>
      <c r="X338" s="42" t="str">
        <f aca="false">IF(OR(W338="",$E338=""),"",W338-$E338)</f>
        <v/>
      </c>
      <c r="Y338" s="39"/>
      <c r="Z338" s="40" t="str">
        <f aca="false">IF(OR(Y338="",BW338=""),"",Y338/BW338*100)</f>
        <v/>
      </c>
      <c r="AA338" s="41" t="str">
        <f aca="false">IF(Z338="","",IFERROR(MATCH(Z338,INDEX(Boundaries!$B$2:$I$30,MATCH(CK338,Boundaries!$A$2:$A$30,0),0),1)-1,""))</f>
        <v/>
      </c>
      <c r="AB338" s="42" t="str">
        <f aca="false">IF(OR(AA338="",$E338=""),"",AA338-$E338)</f>
        <v/>
      </c>
      <c r="AC338" s="39"/>
      <c r="AD338" s="40" t="str">
        <f aca="false">IF(OR(AC338="",BX338=""),"",AC338/BX338*100)</f>
        <v/>
      </c>
      <c r="AE338" s="41" t="str">
        <f aca="false">IF(AD338="","",IFERROR(MATCH(AD338,INDEX(Boundaries!$B$2:$I$30,MATCH(CL338,Boundaries!$A$2:$A$30,0),0),1)-1,""))</f>
        <v/>
      </c>
      <c r="AF338" s="42" t="str">
        <f aca="false">IF(OR(AE338="",$E338=""),"",AE338-$E338)</f>
        <v/>
      </c>
      <c r="AG338" s="39"/>
      <c r="AH338" s="40" t="str">
        <f aca="false">IF(OR(AG338="",BY338=""),"",AG338/BY338*100)</f>
        <v/>
      </c>
      <c r="AI338" s="41" t="str">
        <f aca="false">IF(AH338="","",IFERROR(MATCH(AH338,INDEX(Boundaries!$B$2:$I$30,MATCH(CM338,Boundaries!$A$2:$A$30,0),0),1)-1,""))</f>
        <v/>
      </c>
      <c r="AJ338" s="42" t="str">
        <f aca="false">IF(OR(AI338="",$E338=""),"",AI338-$E338)</f>
        <v/>
      </c>
      <c r="AK338" s="39"/>
      <c r="AL338" s="40" t="str">
        <f aca="false">IF(OR(AK338="",BZ338=""),"",AK338/BZ338*100)</f>
        <v/>
      </c>
      <c r="AM338" s="41" t="str">
        <f aca="false">IF(AL338="","",IFERROR(MATCH(AL338,INDEX(Boundaries!$B$2:$I$30,MATCH(CN338,Boundaries!$A$2:$A$30,0),0),1)-1,""))</f>
        <v/>
      </c>
      <c r="AN338" s="42" t="str">
        <f aca="false">IF(OR(AM338="",$E338=""),"",AM338-$E338)</f>
        <v/>
      </c>
      <c r="AO338" s="39"/>
      <c r="AP338" s="40" t="str">
        <f aca="false">IF(OR(AO338="",CA338=""),"",AO338/CA338*100)</f>
        <v/>
      </c>
      <c r="AQ338" s="41" t="str">
        <f aca="false">IF(AP338="","",IFERROR(MATCH(AP338,INDEX(Boundaries!$B$2:$I$30,MATCH(CO338,Boundaries!$A$2:$A$30,0),0),1)-1,""))</f>
        <v/>
      </c>
      <c r="AR338" s="42" t="str">
        <f aca="false">IF(OR(AQ338="",$E338=""),"",AQ338-$E338)</f>
        <v/>
      </c>
      <c r="AS338" s="39"/>
      <c r="AT338" s="40" t="str">
        <f aca="false">IF(OR(AS338="",CB338=""),"",AS338/CB338*100)</f>
        <v/>
      </c>
      <c r="AU338" s="41" t="str">
        <f aca="false">IF(AT338="","",IFERROR(MATCH(AT338,INDEX(Boundaries!$B$2:$I$30,MATCH(CP338,Boundaries!$A$2:$A$30,0),0),1)-1,""))</f>
        <v/>
      </c>
      <c r="AV338" s="42" t="str">
        <f aca="false">IF(OR(AU338="",$E338=""),"",AU338-$E338)</f>
        <v/>
      </c>
      <c r="AW338" s="39"/>
      <c r="AX338" s="40" t="str">
        <f aca="false">IF(OR(AW338="",CC338=""),"",AW338/CC338*100)</f>
        <v/>
      </c>
      <c r="AY338" s="41" t="str">
        <f aca="false">IF(AX338="","",IFERROR(MATCH(AX338,INDEX(Boundaries!$B$2:$I$30,MATCH(CQ338,Boundaries!$A$2:$A$30,0),0),1)-1,""))</f>
        <v/>
      </c>
      <c r="AZ338" s="42" t="str">
        <f aca="false">IF(OR(AY338="",$E338=""),"",AY338-$E338)</f>
        <v/>
      </c>
      <c r="BA338" s="39"/>
      <c r="BB338" s="40" t="str">
        <f aca="false">IF(OR(BA338="",CD338=""),"",BA338/CD338*100)</f>
        <v/>
      </c>
      <c r="BC338" s="41" t="str">
        <f aca="false">IF(BB338="","",IFERROR(MATCH(BB338,INDEX(Boundaries!$B$2:$I$30,MATCH(CR338,Boundaries!$A$2:$A$30,0),0),1)-1,""))</f>
        <v/>
      </c>
      <c r="BD338" s="42" t="str">
        <f aca="false">IF(OR(BC338="",$E338=""),"",BC338-$E338)</f>
        <v/>
      </c>
      <c r="BE338" s="39"/>
      <c r="BF338" s="40" t="str">
        <f aca="false">IF(OR(BE338="",CE338=""),"",BE338/CE338*100)</f>
        <v/>
      </c>
      <c r="BG338" s="41" t="str">
        <f aca="false">IF(BF338="","",IFERROR(MATCH(BF338,INDEX(Boundaries!$B$2:$I$30,MATCH(CS338,Boundaries!$A$2:$A$30,0),0),1)-1,""))</f>
        <v/>
      </c>
      <c r="BH338" s="42" t="str">
        <f aca="false">IF(OR(BG338="",$E338=""),"",BG338-$E338)</f>
        <v/>
      </c>
      <c r="BI338" s="39"/>
      <c r="BJ338" s="40" t="str">
        <f aca="false">IF(OR(BI338="",CF338=""),"",BI338/CF338*100)</f>
        <v/>
      </c>
      <c r="BK338" s="41" t="str">
        <f aca="false">IF(BJ338="","",IFERROR(MATCH(BJ338,INDEX(Boundaries!$B$2:$I$30,MATCH(CT338,Boundaries!$A$2:$A$30,0),0),1)-1,""))</f>
        <v/>
      </c>
      <c r="BL338" s="42" t="str">
        <f aca="false">IF(OR(BK338="",$E338=""),"",BK338-$E338)</f>
        <v/>
      </c>
      <c r="BM338" s="39"/>
      <c r="BN338" s="40" t="str">
        <f aca="false">IF(OR(BM338="",CG338=""),"",BM338/CG338*100)</f>
        <v/>
      </c>
      <c r="BO338" s="41" t="str">
        <f aca="false">IF(BN338="","",IFERROR(MATCH(BN338,INDEX(Boundaries!$B$2:$I$30,MATCH(CU338,Boundaries!$A$2:$A$30,0),0),1)-1,""))</f>
        <v/>
      </c>
      <c r="BP338" s="42" t="str">
        <f aca="false">IF(OR(BO338="",$E338=""),"",BO338-$E338)</f>
        <v/>
      </c>
      <c r="BQ338" s="39"/>
      <c r="BR338" s="40" t="str">
        <f aca="false">IF(OR(BQ338="",CH338=""),"",BQ338/CH338*100)</f>
        <v/>
      </c>
      <c r="BS338" s="41" t="str">
        <f aca="false">IF(BR338="","",IFERROR(MATCH(BR338,INDEX(Boundaries!$B$2:$I$30,MATCH(CV338,Boundaries!$A$2:$A$30,0),0),1)-1,""))</f>
        <v/>
      </c>
      <c r="BT338" s="42" t="str">
        <f aca="false">IF(OR(BS338="",$E338=""),"",BS338-$E338)</f>
        <v/>
      </c>
      <c r="BU338" s="28" t="n">
        <f aca="false">IFERROR(INDEX(Assessments!$H$2:$H$600,MATCH($H338&amp;"|"&amp;$I338&amp;"|"&amp;$J338&amp;"|"&amp;1,Assessments!$A$2:$A$600,0)),"")</f>
        <v>24</v>
      </c>
      <c r="BV338" s="28" t="n">
        <f aca="false">IFERROR(INDEX(Assessments!$H$2:$H$600,MATCH($H338&amp;"|"&amp;$I338&amp;"|"&amp;$J338&amp;"|"&amp;2,Assessments!$A$2:$A$600,0)),"")</f>
        <v>20</v>
      </c>
      <c r="BW338" s="28" t="n">
        <f aca="false">IFERROR(INDEX(Assessments!$H$2:$H$600,MATCH($H338&amp;"|"&amp;$I338&amp;"|"&amp;$J338&amp;"|"&amp;3,Assessments!$A$2:$A$600,0)),"")</f>
        <v>20</v>
      </c>
      <c r="BX338" s="28" t="n">
        <f aca="false">IFERROR(INDEX(Assessments!$H$2:$H$600,MATCH($H338&amp;"|"&amp;$I338&amp;"|"&amp;$J338&amp;"|"&amp;4,Assessments!$A$2:$A$600,0)),"")</f>
        <v>40</v>
      </c>
      <c r="BY338" s="28" t="n">
        <f aca="false">IFERROR(INDEX(Assessments!$H$2:$H$600,MATCH($H338&amp;"|"&amp;$I338&amp;"|"&amp;$J338&amp;"|"&amp;5,Assessments!$A$2:$A$600,0)),"")</f>
        <v>30</v>
      </c>
      <c r="BZ338" s="28" t="n">
        <f aca="false">IFERROR(INDEX(Assessments!$H$2:$H$600,MATCH($H338&amp;"|"&amp;$I338&amp;"|"&amp;$J338&amp;"|"&amp;6,Assessments!$A$2:$A$600,0)),"")</f>
        <v>20</v>
      </c>
      <c r="CA338" s="28" t="n">
        <f aca="false">IFERROR(INDEX(Assessments!$H$2:$H$600,MATCH($H338&amp;"|"&amp;$I338&amp;"|"&amp;$J338&amp;"|"&amp;7,Assessments!$A$2:$A$600,0)),"")</f>
        <v>50</v>
      </c>
      <c r="CB338" s="28" t="str">
        <f aca="false">IFERROR(INDEX(Assessments!$H$2:$H$600,MATCH($H338&amp;"|"&amp;$I338&amp;"|"&amp;$J338&amp;"|"&amp;8,Assessments!$A$2:$A$600,0)),"")</f>
        <v/>
      </c>
      <c r="CC338" s="28" t="str">
        <f aca="false">IFERROR(INDEX(Assessments!$H$2:$H$600,MATCH($H338&amp;"|"&amp;$I338&amp;"|"&amp;$J338&amp;"|"&amp;9,Assessments!$A$2:$A$600,0)),"")</f>
        <v/>
      </c>
      <c r="CD338" s="28" t="str">
        <f aca="false">IFERROR(INDEX(Assessments!$H$2:$H$600,MATCH($H338&amp;"|"&amp;$I338&amp;"|"&amp;$J338&amp;"|"&amp;10,Assessments!$A$2:$A$600,0)),"")</f>
        <v/>
      </c>
      <c r="CE338" s="28" t="str">
        <f aca="false">IFERROR(INDEX(Assessments!$H$2:$H$600,MATCH($H338&amp;"|"&amp;$I338&amp;"|"&amp;$J338&amp;"|"&amp;11,Assessments!$A$2:$A$600,0)),"")</f>
        <v/>
      </c>
      <c r="CF338" s="28" t="str">
        <f aca="false">IFERROR(INDEX(Assessments!$H$2:$H$600,MATCH($H338&amp;"|"&amp;$I338&amp;"|"&amp;$J338&amp;"|"&amp;12,Assessments!$A$2:$A$600,0)),"")</f>
        <v/>
      </c>
      <c r="CG338" s="28" t="str">
        <f aca="false">IFERROR(INDEX(Assessments!$H$2:$H$600,MATCH($H338&amp;"|"&amp;$I338&amp;"|"&amp;$J338&amp;"|"&amp;13,Assessments!$A$2:$A$600,0)),"")</f>
        <v/>
      </c>
      <c r="CH338" s="28" t="str">
        <f aca="false">IFERROR(INDEX(Assessments!$H$2:$H$600,MATCH($H338&amp;"|"&amp;$I338&amp;"|"&amp;$J338&amp;"|"&amp;14,Assessments!$A$2:$A$600,0)),"")</f>
        <v/>
      </c>
      <c r="CI338" s="28" t="str">
        <f aca="false">IFERROR(INDEX(Assessments!$I$2:$I$600,MATCH($H338&amp;"|"&amp;$I338&amp;"|"&amp;$J338&amp;"|"&amp;1,Assessments!$A$2:$A$600,0)),"")</f>
        <v>BM Test</v>
      </c>
      <c r="CJ338" s="28" t="str">
        <f aca="false">IFERROR(INDEX(Assessments!$I$2:$I$600,MATCH($H338&amp;"|"&amp;$I338&amp;"|"&amp;$J338&amp;"|"&amp;2,Assessments!$A$2:$A$600,0)),"")</f>
        <v>BM Test</v>
      </c>
      <c r="CK338" s="28" t="str">
        <f aca="false">IFERROR(INDEX(Assessments!$I$2:$I$600,MATCH($H338&amp;"|"&amp;$I338&amp;"|"&amp;$J338&amp;"|"&amp;3,Assessments!$A$2:$A$600,0)),"")</f>
        <v>BM Test</v>
      </c>
      <c r="CL338" s="28" t="str">
        <f aca="false">IFERROR(INDEX(Assessments!$I$2:$I$600,MATCH($H338&amp;"|"&amp;$I338&amp;"|"&amp;$J338&amp;"|"&amp;4,Assessments!$A$2:$A$600,0)),"")</f>
        <v>BM Exam</v>
      </c>
      <c r="CM338" s="28" t="str">
        <f aca="false">IFERROR(INDEX(Assessments!$I$2:$I$600,MATCH($H338&amp;"|"&amp;$I338&amp;"|"&amp;$J338&amp;"|"&amp;5,Assessments!$A$2:$A$600,0)),"")</f>
        <v>BM Test</v>
      </c>
      <c r="CN338" s="28" t="str">
        <f aca="false">IFERROR(INDEX(Assessments!$I$2:$I$600,MATCH($H338&amp;"|"&amp;$I338&amp;"|"&amp;$J338&amp;"|"&amp;6,Assessments!$A$2:$A$600,0)),"")</f>
        <v>BM Test</v>
      </c>
      <c r="CO338" s="28" t="str">
        <f aca="false">IFERROR(INDEX(Assessments!$I$2:$I$600,MATCH($H338&amp;"|"&amp;$I338&amp;"|"&amp;$J338&amp;"|"&amp;7,Assessments!$A$2:$A$600,0)),"")</f>
        <v>BM Exam</v>
      </c>
      <c r="CP338" s="28" t="str">
        <f aca="false">IFERROR(INDEX(Assessments!$I$2:$I$600,MATCH($H338&amp;"|"&amp;$I338&amp;"|"&amp;$J338&amp;"|"&amp;8,Assessments!$A$2:$A$600,0)),"")</f>
        <v/>
      </c>
      <c r="CQ338" s="28" t="str">
        <f aca="false">IFERROR(INDEX(Assessments!$I$2:$I$600,MATCH($H338&amp;"|"&amp;$I338&amp;"|"&amp;$J338&amp;"|"&amp;9,Assessments!$A$2:$A$600,0)),"")</f>
        <v/>
      </c>
      <c r="CR338" s="28" t="str">
        <f aca="false">IFERROR(INDEX(Assessments!$I$2:$I$600,MATCH($H338&amp;"|"&amp;$I338&amp;"|"&amp;$J338&amp;"|"&amp;10,Assessments!$A$2:$A$600,0)),"")</f>
        <v/>
      </c>
      <c r="CS338" s="28" t="str">
        <f aca="false">IFERROR(INDEX(Assessments!$I$2:$I$600,MATCH($H338&amp;"|"&amp;$I338&amp;"|"&amp;$J338&amp;"|"&amp;11,Assessments!$A$2:$A$600,0)),"")</f>
        <v/>
      </c>
      <c r="CT338" s="28" t="str">
        <f aca="false">IFERROR(INDEX(Assessments!$I$2:$I$600,MATCH($H338&amp;"|"&amp;$I338&amp;"|"&amp;$J338&amp;"|"&amp;12,Assessments!$A$2:$A$600,0)),"")</f>
        <v/>
      </c>
      <c r="CU338" s="28" t="str">
        <f aca="false">IFERROR(INDEX(Assessments!$I$2:$I$600,MATCH($H338&amp;"|"&amp;$I338&amp;"|"&amp;$J338&amp;"|"&amp;13,Assessments!$A$2:$A$600,0)),"")</f>
        <v/>
      </c>
      <c r="CV338" s="28" t="str">
        <f aca="false">IFERROR(INDEX(Assessments!$I$2:$I$600,MATCH($H338&amp;"|"&amp;$I338&amp;"|"&amp;$J338&amp;"|"&amp;14,Assessments!$A$2:$A$600,0)),"")</f>
        <v/>
      </c>
      <c r="CW338" s="28" t="n">
        <f aca="false">IFERROR(INDEX(Assessments!$J$2:$J$600,MATCH($H338&amp;"|"&amp;$I338&amp;"|"&amp;$J338&amp;"|"&amp;1,Assessments!$A$2:$A$600,0)),0)</f>
        <v>1</v>
      </c>
      <c r="CX338" s="28" t="n">
        <f aca="false">IFERROR(INDEX(Assessments!$J$2:$J$600,MATCH($H338&amp;"|"&amp;$I338&amp;"|"&amp;$J338&amp;"|"&amp;2,Assessments!$A$2:$A$600,0)),0)</f>
        <v>1</v>
      </c>
      <c r="CY338" s="28" t="n">
        <f aca="false">IFERROR(INDEX(Assessments!$J$2:$J$600,MATCH($H338&amp;"|"&amp;$I338&amp;"|"&amp;$J338&amp;"|"&amp;3,Assessments!$A$2:$A$600,0)),0)</f>
        <v>1</v>
      </c>
      <c r="CZ338" s="28" t="n">
        <f aca="false">IFERROR(INDEX(Assessments!$J$2:$J$600,MATCH($H338&amp;"|"&amp;$I338&amp;"|"&amp;$J338&amp;"|"&amp;4,Assessments!$A$2:$A$600,0)),0)</f>
        <v>2</v>
      </c>
      <c r="DA338" s="28" t="n">
        <f aca="false">IFERROR(INDEX(Assessments!$J$2:$J$600,MATCH($H338&amp;"|"&amp;$I338&amp;"|"&amp;$J338&amp;"|"&amp;5,Assessments!$A$2:$A$600,0)),0)</f>
        <v>1</v>
      </c>
      <c r="DB338" s="28" t="n">
        <f aca="false">IFERROR(INDEX(Assessments!$J$2:$J$600,MATCH($H338&amp;"|"&amp;$I338&amp;"|"&amp;$J338&amp;"|"&amp;6,Assessments!$A$2:$A$600,0)),0)</f>
        <v>1</v>
      </c>
      <c r="DC338" s="28" t="n">
        <f aca="false">IFERROR(INDEX(Assessments!$J$2:$J$600,MATCH($H338&amp;"|"&amp;$I338&amp;"|"&amp;$J338&amp;"|"&amp;7,Assessments!$A$2:$A$600,0)),0)</f>
        <v>2</v>
      </c>
      <c r="DD338" s="28" t="n">
        <f aca="false">IFERROR(INDEX(Assessments!$J$2:$J$600,MATCH($H338&amp;"|"&amp;$I338&amp;"|"&amp;$J338&amp;"|"&amp;8,Assessments!$A$2:$A$600,0)),0)</f>
        <v>0</v>
      </c>
      <c r="DE338" s="28" t="n">
        <f aca="false">IFERROR(INDEX(Assessments!$J$2:$J$600,MATCH($H338&amp;"|"&amp;$I338&amp;"|"&amp;$J338&amp;"|"&amp;9,Assessments!$A$2:$A$600,0)),0)</f>
        <v>0</v>
      </c>
      <c r="DF338" s="28" t="n">
        <f aca="false">IFERROR(INDEX(Assessments!$J$2:$J$600,MATCH($H338&amp;"|"&amp;$I338&amp;"|"&amp;$J338&amp;"|"&amp;10,Assessments!$A$2:$A$600,0)),0)</f>
        <v>0</v>
      </c>
      <c r="DG338" s="28" t="n">
        <f aca="false">IFERROR(INDEX(Assessments!$J$2:$J$600,MATCH($H338&amp;"|"&amp;$I338&amp;"|"&amp;$J338&amp;"|"&amp;11,Assessments!$A$2:$A$600,0)),0)</f>
        <v>0</v>
      </c>
      <c r="DH338" s="28" t="n">
        <f aca="false">IFERROR(INDEX(Assessments!$J$2:$J$600,MATCH($H338&amp;"|"&amp;$I338&amp;"|"&amp;$J338&amp;"|"&amp;12,Assessments!$A$2:$A$600,0)),0)</f>
        <v>0</v>
      </c>
      <c r="DI338" s="28" t="n">
        <f aca="false">IFERROR(INDEX(Assessments!$J$2:$J$600,MATCH($H338&amp;"|"&amp;$I338&amp;"|"&amp;$J338&amp;"|"&amp;13,Assessments!$A$2:$A$600,0)),0)</f>
        <v>0</v>
      </c>
      <c r="DJ338" s="28" t="n">
        <f aca="false">IFERROR(INDEX(Assessments!$J$2:$J$600,MATCH($H338&amp;"|"&amp;$I338&amp;"|"&amp;$J338&amp;"|"&amp;14,Assessments!$A$2:$A$600,0)),0)</f>
        <v>0</v>
      </c>
      <c r="DK338" s="28" t="str">
        <f aca="false">S338</f>
        <v/>
      </c>
      <c r="DL338" s="28" t="str">
        <f aca="false">W338</f>
        <v/>
      </c>
      <c r="DM338" s="28" t="str">
        <f aca="false">AA338</f>
        <v/>
      </c>
      <c r="DN338" s="28" t="str">
        <f aca="false">AE338</f>
        <v/>
      </c>
      <c r="DO338" s="28" t="str">
        <f aca="false">AI338</f>
        <v/>
      </c>
      <c r="DP338" s="28" t="str">
        <f aca="false">AM338</f>
        <v/>
      </c>
      <c r="DQ338" s="28" t="str">
        <f aca="false">AQ338</f>
        <v/>
      </c>
      <c r="DR338" s="28" t="str">
        <f aca="false">AU338</f>
        <v/>
      </c>
      <c r="DS338" s="28" t="str">
        <f aca="false">AY338</f>
        <v/>
      </c>
      <c r="DT338" s="28" t="str">
        <f aca="false">BC338</f>
        <v/>
      </c>
      <c r="DU338" s="28" t="str">
        <f aca="false">BG338</f>
        <v/>
      </c>
      <c r="DV338" s="28" t="str">
        <f aca="false">BK338</f>
        <v/>
      </c>
      <c r="DW338" s="28" t="str">
        <f aca="false">BO338</f>
        <v/>
      </c>
      <c r="DX338" s="28" t="str">
        <f aca="false">BS338</f>
        <v/>
      </c>
      <c r="DY338" s="28" t="str">
        <f aca="false">IF(ISNUMBER(S338),1,"")</f>
        <v/>
      </c>
      <c r="DZ338" s="28" t="str">
        <f aca="false">IF(ISNUMBER(W338),2,"")</f>
        <v/>
      </c>
      <c r="EA338" s="28" t="str">
        <f aca="false">IF(ISNUMBER(AA338),3,"")</f>
        <v/>
      </c>
      <c r="EB338" s="28" t="str">
        <f aca="false">IF(ISNUMBER(AE338),4,"")</f>
        <v/>
      </c>
      <c r="EC338" s="28" t="str">
        <f aca="false">IF(ISNUMBER(AI338),5,"")</f>
        <v/>
      </c>
      <c r="ED338" s="28" t="str">
        <f aca="false">IF(ISNUMBER(AM338),6,"")</f>
        <v/>
      </c>
      <c r="EE338" s="28" t="str">
        <f aca="false">IF(ISNUMBER(AQ338),7,"")</f>
        <v/>
      </c>
      <c r="EF338" s="28" t="str">
        <f aca="false">IF(ISNUMBER(AU338),8,"")</f>
        <v/>
      </c>
      <c r="EG338" s="28" t="str">
        <f aca="false">IF(ISNUMBER(AY338),9,"")</f>
        <v/>
      </c>
      <c r="EH338" s="28" t="str">
        <f aca="false">IF(ISNUMBER(BC338),10,"")</f>
        <v/>
      </c>
      <c r="EI338" s="28" t="str">
        <f aca="false">IF(ISNUMBER(BG338),11,"")</f>
        <v/>
      </c>
      <c r="EJ338" s="28" t="str">
        <f aca="false">IF(ISNUMBER(BK338),12,"")</f>
        <v/>
      </c>
      <c r="EK338" s="28" t="str">
        <f aca="false">IF(ISNUMBER(BO338),13,"")</f>
        <v/>
      </c>
      <c r="EL338" s="28" t="str">
        <f aca="false">IF(ISNUMBER(BS338),14,"")</f>
        <v/>
      </c>
      <c r="EM338" s="28" t="n">
        <f aca="false">IF(ISNUMBER(R338),R338*CW338,0)</f>
        <v>0</v>
      </c>
      <c r="EN338" s="28" t="n">
        <f aca="false">IF(ISNUMBER(V338),V338*CX338,0)</f>
        <v>0</v>
      </c>
      <c r="EO338" s="28" t="n">
        <f aca="false">IF(ISNUMBER(Z338),Z338*CY338,0)</f>
        <v>0</v>
      </c>
      <c r="EP338" s="28" t="n">
        <f aca="false">IF(ISNUMBER(AD338),AD338*CZ338,0)</f>
        <v>0</v>
      </c>
      <c r="EQ338" s="28" t="n">
        <f aca="false">IF(ISNUMBER(AH338),AH338*DA338,0)</f>
        <v>0</v>
      </c>
      <c r="ER338" s="28" t="n">
        <f aca="false">IF(ISNUMBER(AL338),AL338*DB338,0)</f>
        <v>0</v>
      </c>
      <c r="ES338" s="28" t="n">
        <f aca="false">IF(ISNUMBER(AP338),AP338*DC338,0)</f>
        <v>0</v>
      </c>
      <c r="ET338" s="28" t="n">
        <f aca="false">IF(ISNUMBER(AT338),AT338*DD338,0)</f>
        <v>0</v>
      </c>
      <c r="EU338" s="28" t="n">
        <f aca="false">IF(ISNUMBER(AX338),AX338*DE338,0)</f>
        <v>0</v>
      </c>
      <c r="EV338" s="28" t="n">
        <f aca="false">IF(ISNUMBER(BB338),BB338*DF338,0)</f>
        <v>0</v>
      </c>
      <c r="EW338" s="28" t="n">
        <f aca="false">IF(ISNUMBER(BF338),BF338*DG338,0)</f>
        <v>0</v>
      </c>
      <c r="EX338" s="28" t="n">
        <f aca="false">IF(ISNUMBER(BJ338),BJ338*DH338,0)</f>
        <v>0</v>
      </c>
      <c r="EY338" s="28" t="n">
        <f aca="false">IF(ISNUMBER(BN338),BN338*DI338,0)</f>
        <v>0</v>
      </c>
      <c r="EZ338" s="28" t="n">
        <f aca="false">IF(ISNUMBER(BR338),BR338*DJ338,0)</f>
        <v>0</v>
      </c>
      <c r="FA338" s="28" t="n">
        <f aca="false">IF(ISNUMBER(R338),CW338,0)</f>
        <v>0</v>
      </c>
      <c r="FB338" s="28" t="n">
        <f aca="false">IF(ISNUMBER(V338),CX338,0)</f>
        <v>0</v>
      </c>
      <c r="FC338" s="28" t="n">
        <f aca="false">IF(ISNUMBER(Z338),CY338,0)</f>
        <v>0</v>
      </c>
      <c r="FD338" s="28" t="n">
        <f aca="false">IF(ISNUMBER(AD338),CZ338,0)</f>
        <v>0</v>
      </c>
      <c r="FE338" s="28" t="n">
        <f aca="false">IF(ISNUMBER(AH338),DA338,0)</f>
        <v>0</v>
      </c>
      <c r="FF338" s="28" t="n">
        <f aca="false">IF(ISNUMBER(AL338),DB338,0)</f>
        <v>0</v>
      </c>
      <c r="FG338" s="28" t="n">
        <f aca="false">IF(ISNUMBER(AP338),DC338,0)</f>
        <v>0</v>
      </c>
      <c r="FH338" s="28" t="n">
        <f aca="false">IF(ISNUMBER(AT338),DD338,0)</f>
        <v>0</v>
      </c>
      <c r="FI338" s="28" t="n">
        <f aca="false">IF(ISNUMBER(AX338),DE338,0)</f>
        <v>0</v>
      </c>
      <c r="FJ338" s="28" t="n">
        <f aca="false">IF(ISNUMBER(BB338),DF338,0)</f>
        <v>0</v>
      </c>
      <c r="FK338" s="28" t="n">
        <f aca="false">IF(ISNUMBER(BF338),DG338,0)</f>
        <v>0</v>
      </c>
      <c r="FL338" s="28" t="n">
        <f aca="false">IF(ISNUMBER(BJ338),DH338,0)</f>
        <v>0</v>
      </c>
      <c r="FM338" s="28" t="n">
        <f aca="false">IF(ISNUMBER(BN338),DI338,0)</f>
        <v>0</v>
      </c>
      <c r="FN338" s="28" t="n">
        <f aca="false">IF(ISNUMBER(BR338),DJ338,0)</f>
        <v>0</v>
      </c>
      <c r="FO338" s="28" t="str">
        <f aca="false">IFERROR(INDEX(Lists!$G$2:$G$20,MATCH($I338&amp;"|"&amp;$J338,Lists!$F$2:$F$20,0)),"")</f>
        <v>BM Exam</v>
      </c>
    </row>
    <row r="339" customFormat="false" ht="19.5" hidden="false" customHeight="true" outlineLevel="0" collapsed="false">
      <c r="A339" s="29" t="s">
        <v>486</v>
      </c>
      <c r="B339" s="29" t="s">
        <v>487</v>
      </c>
      <c r="C339" s="30" t="s">
        <v>192</v>
      </c>
      <c r="D339" s="30" t="s">
        <v>625</v>
      </c>
      <c r="E339" s="31"/>
      <c r="F339" s="30"/>
      <c r="G339" s="30"/>
      <c r="H339" s="32" t="s">
        <v>428</v>
      </c>
      <c r="I339" s="33" t="s">
        <v>365</v>
      </c>
      <c r="J339" s="32" t="s">
        <v>25</v>
      </c>
      <c r="K339" s="34" t="str">
        <f aca="false">IF(OR(M339="",$E339=""),"",M339-$E339)</f>
        <v/>
      </c>
      <c r="L339" s="35" t="str">
        <f aca="false">IF(SUM(FA339:FN339)=0,"",SUM(EM339:EZ339)/SUM(FA339:FN339))</f>
        <v/>
      </c>
      <c r="M339" s="36" t="str">
        <f aca="false">IF(OR(L339="",FO339=""),"",IFERROR(MATCH(L339,INDEX(Boundaries!$B$2:$I$30,MATCH(FO339,Boundaries!$A$2:$A$30,0),0),1)-1,""))</f>
        <v/>
      </c>
      <c r="N339" s="37" t="str">
        <f aca="false">IF(COUNT($DY339:$EL339)&lt;2,"",INDEX($DK339:$DX339,MAX($DY339:$EL339))-INDEX($DK339:$DX339,MIN($DY339:$EL339)))</f>
        <v/>
      </c>
      <c r="O339" s="37" t="str">
        <f aca="false">IF(COUNT($DY339:$EL339)&lt;2,"",INDEX($DK339:$DX339,MAX($DY339:$EL339))-INDEX($DK339:$DX339,LARGE($DY339:$EL339,2)))</f>
        <v/>
      </c>
      <c r="P339" s="38" t="str">
        <f aca="false">IF(K339="","",IF(K339&gt;=0,"On/above target",IF(AND(N339&lt;&gt;"",N339&gt;=0.5),"Improving towards target",IF(AND(O339&lt;&gt;"",O339&lt;=-0.5),"Declining","Stable below target"))))</f>
        <v/>
      </c>
      <c r="Q339" s="39"/>
      <c r="R339" s="40" t="str">
        <f aca="false">IF(OR(Q339="",BU339=""),"",Q339/BU339*100)</f>
        <v/>
      </c>
      <c r="S339" s="41" t="str">
        <f aca="false">IF(R339="","",IFERROR(MATCH(R339,INDEX(Boundaries!$B$2:$I$30,MATCH(CI339,Boundaries!$A$2:$A$30,0),0),1)-1,""))</f>
        <v/>
      </c>
      <c r="T339" s="42" t="str">
        <f aca="false">IF(OR(S339="",$E339=""),"",S339-$E339)</f>
        <v/>
      </c>
      <c r="U339" s="39"/>
      <c r="V339" s="40" t="str">
        <f aca="false">IF(OR(U339="",BV339=""),"",U339/BV339*100)</f>
        <v/>
      </c>
      <c r="W339" s="41" t="str">
        <f aca="false">IF(V339="","",IFERROR(MATCH(V339,INDEX(Boundaries!$B$2:$I$30,MATCH(CJ339,Boundaries!$A$2:$A$30,0),0),1)-1,""))</f>
        <v/>
      </c>
      <c r="X339" s="42" t="str">
        <f aca="false">IF(OR(W339="",$E339=""),"",W339-$E339)</f>
        <v/>
      </c>
      <c r="Y339" s="39"/>
      <c r="Z339" s="40" t="str">
        <f aca="false">IF(OR(Y339="",BW339=""),"",Y339/BW339*100)</f>
        <v/>
      </c>
      <c r="AA339" s="41" t="str">
        <f aca="false">IF(Z339="","",IFERROR(MATCH(Z339,INDEX(Boundaries!$B$2:$I$30,MATCH(CK339,Boundaries!$A$2:$A$30,0),0),1)-1,""))</f>
        <v/>
      </c>
      <c r="AB339" s="42" t="str">
        <f aca="false">IF(OR(AA339="",$E339=""),"",AA339-$E339)</f>
        <v/>
      </c>
      <c r="AC339" s="39"/>
      <c r="AD339" s="40" t="str">
        <f aca="false">IF(OR(AC339="",BX339=""),"",AC339/BX339*100)</f>
        <v/>
      </c>
      <c r="AE339" s="41" t="str">
        <f aca="false">IF(AD339="","",IFERROR(MATCH(AD339,INDEX(Boundaries!$B$2:$I$30,MATCH(CL339,Boundaries!$A$2:$A$30,0),0),1)-1,""))</f>
        <v/>
      </c>
      <c r="AF339" s="42" t="str">
        <f aca="false">IF(OR(AE339="",$E339=""),"",AE339-$E339)</f>
        <v/>
      </c>
      <c r="AG339" s="39"/>
      <c r="AH339" s="40" t="str">
        <f aca="false">IF(OR(AG339="",BY339=""),"",AG339/BY339*100)</f>
        <v/>
      </c>
      <c r="AI339" s="41" t="str">
        <f aca="false">IF(AH339="","",IFERROR(MATCH(AH339,INDEX(Boundaries!$B$2:$I$30,MATCH(CM339,Boundaries!$A$2:$A$30,0),0),1)-1,""))</f>
        <v/>
      </c>
      <c r="AJ339" s="42" t="str">
        <f aca="false">IF(OR(AI339="",$E339=""),"",AI339-$E339)</f>
        <v/>
      </c>
      <c r="AK339" s="39"/>
      <c r="AL339" s="40" t="str">
        <f aca="false">IF(OR(AK339="",BZ339=""),"",AK339/BZ339*100)</f>
        <v/>
      </c>
      <c r="AM339" s="41" t="str">
        <f aca="false">IF(AL339="","",IFERROR(MATCH(AL339,INDEX(Boundaries!$B$2:$I$30,MATCH(CN339,Boundaries!$A$2:$A$30,0),0),1)-1,""))</f>
        <v/>
      </c>
      <c r="AN339" s="42" t="str">
        <f aca="false">IF(OR(AM339="",$E339=""),"",AM339-$E339)</f>
        <v/>
      </c>
      <c r="AO339" s="39"/>
      <c r="AP339" s="40" t="str">
        <f aca="false">IF(OR(AO339="",CA339=""),"",AO339/CA339*100)</f>
        <v/>
      </c>
      <c r="AQ339" s="41" t="str">
        <f aca="false">IF(AP339="","",IFERROR(MATCH(AP339,INDEX(Boundaries!$B$2:$I$30,MATCH(CO339,Boundaries!$A$2:$A$30,0),0),1)-1,""))</f>
        <v/>
      </c>
      <c r="AR339" s="42" t="str">
        <f aca="false">IF(OR(AQ339="",$E339=""),"",AQ339-$E339)</f>
        <v/>
      </c>
      <c r="AS339" s="39"/>
      <c r="AT339" s="40" t="str">
        <f aca="false">IF(OR(AS339="",CB339=""),"",AS339/CB339*100)</f>
        <v/>
      </c>
      <c r="AU339" s="41" t="str">
        <f aca="false">IF(AT339="","",IFERROR(MATCH(AT339,INDEX(Boundaries!$B$2:$I$30,MATCH(CP339,Boundaries!$A$2:$A$30,0),0),1)-1,""))</f>
        <v/>
      </c>
      <c r="AV339" s="42" t="str">
        <f aca="false">IF(OR(AU339="",$E339=""),"",AU339-$E339)</f>
        <v/>
      </c>
      <c r="AW339" s="39"/>
      <c r="AX339" s="40" t="str">
        <f aca="false">IF(OR(AW339="",CC339=""),"",AW339/CC339*100)</f>
        <v/>
      </c>
      <c r="AY339" s="41" t="str">
        <f aca="false">IF(AX339="","",IFERROR(MATCH(AX339,INDEX(Boundaries!$B$2:$I$30,MATCH(CQ339,Boundaries!$A$2:$A$30,0),0),1)-1,""))</f>
        <v/>
      </c>
      <c r="AZ339" s="42" t="str">
        <f aca="false">IF(OR(AY339="",$E339=""),"",AY339-$E339)</f>
        <v/>
      </c>
      <c r="BA339" s="39"/>
      <c r="BB339" s="40" t="str">
        <f aca="false">IF(OR(BA339="",CD339=""),"",BA339/CD339*100)</f>
        <v/>
      </c>
      <c r="BC339" s="41" t="str">
        <f aca="false">IF(BB339="","",IFERROR(MATCH(BB339,INDEX(Boundaries!$B$2:$I$30,MATCH(CR339,Boundaries!$A$2:$A$30,0),0),1)-1,""))</f>
        <v/>
      </c>
      <c r="BD339" s="42" t="str">
        <f aca="false">IF(OR(BC339="",$E339=""),"",BC339-$E339)</f>
        <v/>
      </c>
      <c r="BE339" s="39"/>
      <c r="BF339" s="40" t="str">
        <f aca="false">IF(OR(BE339="",CE339=""),"",BE339/CE339*100)</f>
        <v/>
      </c>
      <c r="BG339" s="41" t="str">
        <f aca="false">IF(BF339="","",IFERROR(MATCH(BF339,INDEX(Boundaries!$B$2:$I$30,MATCH(CS339,Boundaries!$A$2:$A$30,0),0),1)-1,""))</f>
        <v/>
      </c>
      <c r="BH339" s="42" t="str">
        <f aca="false">IF(OR(BG339="",$E339=""),"",BG339-$E339)</f>
        <v/>
      </c>
      <c r="BI339" s="39"/>
      <c r="BJ339" s="40" t="str">
        <f aca="false">IF(OR(BI339="",CF339=""),"",BI339/CF339*100)</f>
        <v/>
      </c>
      <c r="BK339" s="41" t="str">
        <f aca="false">IF(BJ339="","",IFERROR(MATCH(BJ339,INDEX(Boundaries!$B$2:$I$30,MATCH(CT339,Boundaries!$A$2:$A$30,0),0),1)-1,""))</f>
        <v/>
      </c>
      <c r="BL339" s="42" t="str">
        <f aca="false">IF(OR(BK339="",$E339=""),"",BK339-$E339)</f>
        <v/>
      </c>
      <c r="BM339" s="39"/>
      <c r="BN339" s="40" t="str">
        <f aca="false">IF(OR(BM339="",CG339=""),"",BM339/CG339*100)</f>
        <v/>
      </c>
      <c r="BO339" s="41" t="str">
        <f aca="false">IF(BN339="","",IFERROR(MATCH(BN339,INDEX(Boundaries!$B$2:$I$30,MATCH(CU339,Boundaries!$A$2:$A$30,0),0),1)-1,""))</f>
        <v/>
      </c>
      <c r="BP339" s="42" t="str">
        <f aca="false">IF(OR(BO339="",$E339=""),"",BO339-$E339)</f>
        <v/>
      </c>
      <c r="BQ339" s="39"/>
      <c r="BR339" s="40" t="str">
        <f aca="false">IF(OR(BQ339="",CH339=""),"",BQ339/CH339*100)</f>
        <v/>
      </c>
      <c r="BS339" s="41" t="str">
        <f aca="false">IF(BR339="","",IFERROR(MATCH(BR339,INDEX(Boundaries!$B$2:$I$30,MATCH(CV339,Boundaries!$A$2:$A$30,0),0),1)-1,""))</f>
        <v/>
      </c>
      <c r="BT339" s="42" t="str">
        <f aca="false">IF(OR(BS339="",$E339=""),"",BS339-$E339)</f>
        <v/>
      </c>
      <c r="BU339" s="28" t="n">
        <f aca="false">IFERROR(INDEX(Assessments!$H$2:$H$600,MATCH($H339&amp;"|"&amp;$I339&amp;"|"&amp;$J339&amp;"|"&amp;1,Assessments!$A$2:$A$600,0)),"")</f>
        <v>24</v>
      </c>
      <c r="BV339" s="28" t="n">
        <f aca="false">IFERROR(INDEX(Assessments!$H$2:$H$600,MATCH($H339&amp;"|"&amp;$I339&amp;"|"&amp;$J339&amp;"|"&amp;2,Assessments!$A$2:$A$600,0)),"")</f>
        <v>20</v>
      </c>
      <c r="BW339" s="28" t="n">
        <f aca="false">IFERROR(INDEX(Assessments!$H$2:$H$600,MATCH($H339&amp;"|"&amp;$I339&amp;"|"&amp;$J339&amp;"|"&amp;3,Assessments!$A$2:$A$600,0)),"")</f>
        <v>20</v>
      </c>
      <c r="BX339" s="28" t="n">
        <f aca="false">IFERROR(INDEX(Assessments!$H$2:$H$600,MATCH($H339&amp;"|"&amp;$I339&amp;"|"&amp;$J339&amp;"|"&amp;4,Assessments!$A$2:$A$600,0)),"")</f>
        <v>40</v>
      </c>
      <c r="BY339" s="28" t="n">
        <f aca="false">IFERROR(INDEX(Assessments!$H$2:$H$600,MATCH($H339&amp;"|"&amp;$I339&amp;"|"&amp;$J339&amp;"|"&amp;5,Assessments!$A$2:$A$600,0)),"")</f>
        <v>30</v>
      </c>
      <c r="BZ339" s="28" t="n">
        <f aca="false">IFERROR(INDEX(Assessments!$H$2:$H$600,MATCH($H339&amp;"|"&amp;$I339&amp;"|"&amp;$J339&amp;"|"&amp;6,Assessments!$A$2:$A$600,0)),"")</f>
        <v>20</v>
      </c>
      <c r="CA339" s="28" t="n">
        <f aca="false">IFERROR(INDEX(Assessments!$H$2:$H$600,MATCH($H339&amp;"|"&amp;$I339&amp;"|"&amp;$J339&amp;"|"&amp;7,Assessments!$A$2:$A$600,0)),"")</f>
        <v>50</v>
      </c>
      <c r="CB339" s="28" t="str">
        <f aca="false">IFERROR(INDEX(Assessments!$H$2:$H$600,MATCH($H339&amp;"|"&amp;$I339&amp;"|"&amp;$J339&amp;"|"&amp;8,Assessments!$A$2:$A$600,0)),"")</f>
        <v/>
      </c>
      <c r="CC339" s="28" t="str">
        <f aca="false">IFERROR(INDEX(Assessments!$H$2:$H$600,MATCH($H339&amp;"|"&amp;$I339&amp;"|"&amp;$J339&amp;"|"&amp;9,Assessments!$A$2:$A$600,0)),"")</f>
        <v/>
      </c>
      <c r="CD339" s="28" t="str">
        <f aca="false">IFERROR(INDEX(Assessments!$H$2:$H$600,MATCH($H339&amp;"|"&amp;$I339&amp;"|"&amp;$J339&amp;"|"&amp;10,Assessments!$A$2:$A$600,0)),"")</f>
        <v/>
      </c>
      <c r="CE339" s="28" t="str">
        <f aca="false">IFERROR(INDEX(Assessments!$H$2:$H$600,MATCH($H339&amp;"|"&amp;$I339&amp;"|"&amp;$J339&amp;"|"&amp;11,Assessments!$A$2:$A$600,0)),"")</f>
        <v/>
      </c>
      <c r="CF339" s="28" t="str">
        <f aca="false">IFERROR(INDEX(Assessments!$H$2:$H$600,MATCH($H339&amp;"|"&amp;$I339&amp;"|"&amp;$J339&amp;"|"&amp;12,Assessments!$A$2:$A$600,0)),"")</f>
        <v/>
      </c>
      <c r="CG339" s="28" t="str">
        <f aca="false">IFERROR(INDEX(Assessments!$H$2:$H$600,MATCH($H339&amp;"|"&amp;$I339&amp;"|"&amp;$J339&amp;"|"&amp;13,Assessments!$A$2:$A$600,0)),"")</f>
        <v/>
      </c>
      <c r="CH339" s="28" t="str">
        <f aca="false">IFERROR(INDEX(Assessments!$H$2:$H$600,MATCH($H339&amp;"|"&amp;$I339&amp;"|"&amp;$J339&amp;"|"&amp;14,Assessments!$A$2:$A$600,0)),"")</f>
        <v/>
      </c>
      <c r="CI339" s="28" t="str">
        <f aca="false">IFERROR(INDEX(Assessments!$I$2:$I$600,MATCH($H339&amp;"|"&amp;$I339&amp;"|"&amp;$J339&amp;"|"&amp;1,Assessments!$A$2:$A$600,0)),"")</f>
        <v>BM Test</v>
      </c>
      <c r="CJ339" s="28" t="str">
        <f aca="false">IFERROR(INDEX(Assessments!$I$2:$I$600,MATCH($H339&amp;"|"&amp;$I339&amp;"|"&amp;$J339&amp;"|"&amp;2,Assessments!$A$2:$A$600,0)),"")</f>
        <v>BM Test</v>
      </c>
      <c r="CK339" s="28" t="str">
        <f aca="false">IFERROR(INDEX(Assessments!$I$2:$I$600,MATCH($H339&amp;"|"&amp;$I339&amp;"|"&amp;$J339&amp;"|"&amp;3,Assessments!$A$2:$A$600,0)),"")</f>
        <v>BM Test</v>
      </c>
      <c r="CL339" s="28" t="str">
        <f aca="false">IFERROR(INDEX(Assessments!$I$2:$I$600,MATCH($H339&amp;"|"&amp;$I339&amp;"|"&amp;$J339&amp;"|"&amp;4,Assessments!$A$2:$A$600,0)),"")</f>
        <v>BM Exam</v>
      </c>
      <c r="CM339" s="28" t="str">
        <f aca="false">IFERROR(INDEX(Assessments!$I$2:$I$600,MATCH($H339&amp;"|"&amp;$I339&amp;"|"&amp;$J339&amp;"|"&amp;5,Assessments!$A$2:$A$600,0)),"")</f>
        <v>BM Test</v>
      </c>
      <c r="CN339" s="28" t="str">
        <f aca="false">IFERROR(INDEX(Assessments!$I$2:$I$600,MATCH($H339&amp;"|"&amp;$I339&amp;"|"&amp;$J339&amp;"|"&amp;6,Assessments!$A$2:$A$600,0)),"")</f>
        <v>BM Test</v>
      </c>
      <c r="CO339" s="28" t="str">
        <f aca="false">IFERROR(INDEX(Assessments!$I$2:$I$600,MATCH($H339&amp;"|"&amp;$I339&amp;"|"&amp;$J339&amp;"|"&amp;7,Assessments!$A$2:$A$600,0)),"")</f>
        <v>BM Exam</v>
      </c>
      <c r="CP339" s="28" t="str">
        <f aca="false">IFERROR(INDEX(Assessments!$I$2:$I$600,MATCH($H339&amp;"|"&amp;$I339&amp;"|"&amp;$J339&amp;"|"&amp;8,Assessments!$A$2:$A$600,0)),"")</f>
        <v/>
      </c>
      <c r="CQ339" s="28" t="str">
        <f aca="false">IFERROR(INDEX(Assessments!$I$2:$I$600,MATCH($H339&amp;"|"&amp;$I339&amp;"|"&amp;$J339&amp;"|"&amp;9,Assessments!$A$2:$A$600,0)),"")</f>
        <v/>
      </c>
      <c r="CR339" s="28" t="str">
        <f aca="false">IFERROR(INDEX(Assessments!$I$2:$I$600,MATCH($H339&amp;"|"&amp;$I339&amp;"|"&amp;$J339&amp;"|"&amp;10,Assessments!$A$2:$A$600,0)),"")</f>
        <v/>
      </c>
      <c r="CS339" s="28" t="str">
        <f aca="false">IFERROR(INDEX(Assessments!$I$2:$I$600,MATCH($H339&amp;"|"&amp;$I339&amp;"|"&amp;$J339&amp;"|"&amp;11,Assessments!$A$2:$A$600,0)),"")</f>
        <v/>
      </c>
      <c r="CT339" s="28" t="str">
        <f aca="false">IFERROR(INDEX(Assessments!$I$2:$I$600,MATCH($H339&amp;"|"&amp;$I339&amp;"|"&amp;$J339&amp;"|"&amp;12,Assessments!$A$2:$A$600,0)),"")</f>
        <v/>
      </c>
      <c r="CU339" s="28" t="str">
        <f aca="false">IFERROR(INDEX(Assessments!$I$2:$I$600,MATCH($H339&amp;"|"&amp;$I339&amp;"|"&amp;$J339&amp;"|"&amp;13,Assessments!$A$2:$A$600,0)),"")</f>
        <v/>
      </c>
      <c r="CV339" s="28" t="str">
        <f aca="false">IFERROR(INDEX(Assessments!$I$2:$I$600,MATCH($H339&amp;"|"&amp;$I339&amp;"|"&amp;$J339&amp;"|"&amp;14,Assessments!$A$2:$A$600,0)),"")</f>
        <v/>
      </c>
      <c r="CW339" s="28" t="n">
        <f aca="false">IFERROR(INDEX(Assessments!$J$2:$J$600,MATCH($H339&amp;"|"&amp;$I339&amp;"|"&amp;$J339&amp;"|"&amp;1,Assessments!$A$2:$A$600,0)),0)</f>
        <v>1</v>
      </c>
      <c r="CX339" s="28" t="n">
        <f aca="false">IFERROR(INDEX(Assessments!$J$2:$J$600,MATCH($H339&amp;"|"&amp;$I339&amp;"|"&amp;$J339&amp;"|"&amp;2,Assessments!$A$2:$A$600,0)),0)</f>
        <v>1</v>
      </c>
      <c r="CY339" s="28" t="n">
        <f aca="false">IFERROR(INDEX(Assessments!$J$2:$J$600,MATCH($H339&amp;"|"&amp;$I339&amp;"|"&amp;$J339&amp;"|"&amp;3,Assessments!$A$2:$A$600,0)),0)</f>
        <v>1</v>
      </c>
      <c r="CZ339" s="28" t="n">
        <f aca="false">IFERROR(INDEX(Assessments!$J$2:$J$600,MATCH($H339&amp;"|"&amp;$I339&amp;"|"&amp;$J339&amp;"|"&amp;4,Assessments!$A$2:$A$600,0)),0)</f>
        <v>2</v>
      </c>
      <c r="DA339" s="28" t="n">
        <f aca="false">IFERROR(INDEX(Assessments!$J$2:$J$600,MATCH($H339&amp;"|"&amp;$I339&amp;"|"&amp;$J339&amp;"|"&amp;5,Assessments!$A$2:$A$600,0)),0)</f>
        <v>1</v>
      </c>
      <c r="DB339" s="28" t="n">
        <f aca="false">IFERROR(INDEX(Assessments!$J$2:$J$600,MATCH($H339&amp;"|"&amp;$I339&amp;"|"&amp;$J339&amp;"|"&amp;6,Assessments!$A$2:$A$600,0)),0)</f>
        <v>1</v>
      </c>
      <c r="DC339" s="28" t="n">
        <f aca="false">IFERROR(INDEX(Assessments!$J$2:$J$600,MATCH($H339&amp;"|"&amp;$I339&amp;"|"&amp;$J339&amp;"|"&amp;7,Assessments!$A$2:$A$600,0)),0)</f>
        <v>2</v>
      </c>
      <c r="DD339" s="28" t="n">
        <f aca="false">IFERROR(INDEX(Assessments!$J$2:$J$600,MATCH($H339&amp;"|"&amp;$I339&amp;"|"&amp;$J339&amp;"|"&amp;8,Assessments!$A$2:$A$600,0)),0)</f>
        <v>0</v>
      </c>
      <c r="DE339" s="28" t="n">
        <f aca="false">IFERROR(INDEX(Assessments!$J$2:$J$600,MATCH($H339&amp;"|"&amp;$I339&amp;"|"&amp;$J339&amp;"|"&amp;9,Assessments!$A$2:$A$600,0)),0)</f>
        <v>0</v>
      </c>
      <c r="DF339" s="28" t="n">
        <f aca="false">IFERROR(INDEX(Assessments!$J$2:$J$600,MATCH($H339&amp;"|"&amp;$I339&amp;"|"&amp;$J339&amp;"|"&amp;10,Assessments!$A$2:$A$600,0)),0)</f>
        <v>0</v>
      </c>
      <c r="DG339" s="28" t="n">
        <f aca="false">IFERROR(INDEX(Assessments!$J$2:$J$600,MATCH($H339&amp;"|"&amp;$I339&amp;"|"&amp;$J339&amp;"|"&amp;11,Assessments!$A$2:$A$600,0)),0)</f>
        <v>0</v>
      </c>
      <c r="DH339" s="28" t="n">
        <f aca="false">IFERROR(INDEX(Assessments!$J$2:$J$600,MATCH($H339&amp;"|"&amp;$I339&amp;"|"&amp;$J339&amp;"|"&amp;12,Assessments!$A$2:$A$600,0)),0)</f>
        <v>0</v>
      </c>
      <c r="DI339" s="28" t="n">
        <f aca="false">IFERROR(INDEX(Assessments!$J$2:$J$600,MATCH($H339&amp;"|"&amp;$I339&amp;"|"&amp;$J339&amp;"|"&amp;13,Assessments!$A$2:$A$600,0)),0)</f>
        <v>0</v>
      </c>
      <c r="DJ339" s="28" t="n">
        <f aca="false">IFERROR(INDEX(Assessments!$J$2:$J$600,MATCH($H339&amp;"|"&amp;$I339&amp;"|"&amp;$J339&amp;"|"&amp;14,Assessments!$A$2:$A$600,0)),0)</f>
        <v>0</v>
      </c>
      <c r="DK339" s="28" t="str">
        <f aca="false">S339</f>
        <v/>
      </c>
      <c r="DL339" s="28" t="str">
        <f aca="false">W339</f>
        <v/>
      </c>
      <c r="DM339" s="28" t="str">
        <f aca="false">AA339</f>
        <v/>
      </c>
      <c r="DN339" s="28" t="str">
        <f aca="false">AE339</f>
        <v/>
      </c>
      <c r="DO339" s="28" t="str">
        <f aca="false">AI339</f>
        <v/>
      </c>
      <c r="DP339" s="28" t="str">
        <f aca="false">AM339</f>
        <v/>
      </c>
      <c r="DQ339" s="28" t="str">
        <f aca="false">AQ339</f>
        <v/>
      </c>
      <c r="DR339" s="28" t="str">
        <f aca="false">AU339</f>
        <v/>
      </c>
      <c r="DS339" s="28" t="str">
        <f aca="false">AY339</f>
        <v/>
      </c>
      <c r="DT339" s="28" t="str">
        <f aca="false">BC339</f>
        <v/>
      </c>
      <c r="DU339" s="28" t="str">
        <f aca="false">BG339</f>
        <v/>
      </c>
      <c r="DV339" s="28" t="str">
        <f aca="false">BK339</f>
        <v/>
      </c>
      <c r="DW339" s="28" t="str">
        <f aca="false">BO339</f>
        <v/>
      </c>
      <c r="DX339" s="28" t="str">
        <f aca="false">BS339</f>
        <v/>
      </c>
      <c r="DY339" s="28" t="str">
        <f aca="false">IF(ISNUMBER(S339),1,"")</f>
        <v/>
      </c>
      <c r="DZ339" s="28" t="str">
        <f aca="false">IF(ISNUMBER(W339),2,"")</f>
        <v/>
      </c>
      <c r="EA339" s="28" t="str">
        <f aca="false">IF(ISNUMBER(AA339),3,"")</f>
        <v/>
      </c>
      <c r="EB339" s="28" t="str">
        <f aca="false">IF(ISNUMBER(AE339),4,"")</f>
        <v/>
      </c>
      <c r="EC339" s="28" t="str">
        <f aca="false">IF(ISNUMBER(AI339),5,"")</f>
        <v/>
      </c>
      <c r="ED339" s="28" t="str">
        <f aca="false">IF(ISNUMBER(AM339),6,"")</f>
        <v/>
      </c>
      <c r="EE339" s="28" t="str">
        <f aca="false">IF(ISNUMBER(AQ339),7,"")</f>
        <v/>
      </c>
      <c r="EF339" s="28" t="str">
        <f aca="false">IF(ISNUMBER(AU339),8,"")</f>
        <v/>
      </c>
      <c r="EG339" s="28" t="str">
        <f aca="false">IF(ISNUMBER(AY339),9,"")</f>
        <v/>
      </c>
      <c r="EH339" s="28" t="str">
        <f aca="false">IF(ISNUMBER(BC339),10,"")</f>
        <v/>
      </c>
      <c r="EI339" s="28" t="str">
        <f aca="false">IF(ISNUMBER(BG339),11,"")</f>
        <v/>
      </c>
      <c r="EJ339" s="28" t="str">
        <f aca="false">IF(ISNUMBER(BK339),12,"")</f>
        <v/>
      </c>
      <c r="EK339" s="28" t="str">
        <f aca="false">IF(ISNUMBER(BO339),13,"")</f>
        <v/>
      </c>
      <c r="EL339" s="28" t="str">
        <f aca="false">IF(ISNUMBER(BS339),14,"")</f>
        <v/>
      </c>
      <c r="EM339" s="28" t="n">
        <f aca="false">IF(ISNUMBER(R339),R339*CW339,0)</f>
        <v>0</v>
      </c>
      <c r="EN339" s="28" t="n">
        <f aca="false">IF(ISNUMBER(V339),V339*CX339,0)</f>
        <v>0</v>
      </c>
      <c r="EO339" s="28" t="n">
        <f aca="false">IF(ISNUMBER(Z339),Z339*CY339,0)</f>
        <v>0</v>
      </c>
      <c r="EP339" s="28" t="n">
        <f aca="false">IF(ISNUMBER(AD339),AD339*CZ339,0)</f>
        <v>0</v>
      </c>
      <c r="EQ339" s="28" t="n">
        <f aca="false">IF(ISNUMBER(AH339),AH339*DA339,0)</f>
        <v>0</v>
      </c>
      <c r="ER339" s="28" t="n">
        <f aca="false">IF(ISNUMBER(AL339),AL339*DB339,0)</f>
        <v>0</v>
      </c>
      <c r="ES339" s="28" t="n">
        <f aca="false">IF(ISNUMBER(AP339),AP339*DC339,0)</f>
        <v>0</v>
      </c>
      <c r="ET339" s="28" t="n">
        <f aca="false">IF(ISNUMBER(AT339),AT339*DD339,0)</f>
        <v>0</v>
      </c>
      <c r="EU339" s="28" t="n">
        <f aca="false">IF(ISNUMBER(AX339),AX339*DE339,0)</f>
        <v>0</v>
      </c>
      <c r="EV339" s="28" t="n">
        <f aca="false">IF(ISNUMBER(BB339),BB339*DF339,0)</f>
        <v>0</v>
      </c>
      <c r="EW339" s="28" t="n">
        <f aca="false">IF(ISNUMBER(BF339),BF339*DG339,0)</f>
        <v>0</v>
      </c>
      <c r="EX339" s="28" t="n">
        <f aca="false">IF(ISNUMBER(BJ339),BJ339*DH339,0)</f>
        <v>0</v>
      </c>
      <c r="EY339" s="28" t="n">
        <f aca="false">IF(ISNUMBER(BN339),BN339*DI339,0)</f>
        <v>0</v>
      </c>
      <c r="EZ339" s="28" t="n">
        <f aca="false">IF(ISNUMBER(BR339),BR339*DJ339,0)</f>
        <v>0</v>
      </c>
      <c r="FA339" s="28" t="n">
        <f aca="false">IF(ISNUMBER(R339),CW339,0)</f>
        <v>0</v>
      </c>
      <c r="FB339" s="28" t="n">
        <f aca="false">IF(ISNUMBER(V339),CX339,0)</f>
        <v>0</v>
      </c>
      <c r="FC339" s="28" t="n">
        <f aca="false">IF(ISNUMBER(Z339),CY339,0)</f>
        <v>0</v>
      </c>
      <c r="FD339" s="28" t="n">
        <f aca="false">IF(ISNUMBER(AD339),CZ339,0)</f>
        <v>0</v>
      </c>
      <c r="FE339" s="28" t="n">
        <f aca="false">IF(ISNUMBER(AH339),DA339,0)</f>
        <v>0</v>
      </c>
      <c r="FF339" s="28" t="n">
        <f aca="false">IF(ISNUMBER(AL339),DB339,0)</f>
        <v>0</v>
      </c>
      <c r="FG339" s="28" t="n">
        <f aca="false">IF(ISNUMBER(AP339),DC339,0)</f>
        <v>0</v>
      </c>
      <c r="FH339" s="28" t="n">
        <f aca="false">IF(ISNUMBER(AT339),DD339,0)</f>
        <v>0</v>
      </c>
      <c r="FI339" s="28" t="n">
        <f aca="false">IF(ISNUMBER(AX339),DE339,0)</f>
        <v>0</v>
      </c>
      <c r="FJ339" s="28" t="n">
        <f aca="false">IF(ISNUMBER(BB339),DF339,0)</f>
        <v>0</v>
      </c>
      <c r="FK339" s="28" t="n">
        <f aca="false">IF(ISNUMBER(BF339),DG339,0)</f>
        <v>0</v>
      </c>
      <c r="FL339" s="28" t="n">
        <f aca="false">IF(ISNUMBER(BJ339),DH339,0)</f>
        <v>0</v>
      </c>
      <c r="FM339" s="28" t="n">
        <f aca="false">IF(ISNUMBER(BN339),DI339,0)</f>
        <v>0</v>
      </c>
      <c r="FN339" s="28" t="n">
        <f aca="false">IF(ISNUMBER(BR339),DJ339,0)</f>
        <v>0</v>
      </c>
      <c r="FO339" s="28" t="str">
        <f aca="false">IFERROR(INDEX(Lists!$G$2:$G$20,MATCH($I339&amp;"|"&amp;$J339,Lists!$F$2:$F$20,0)),"")</f>
        <v>BM Exam</v>
      </c>
    </row>
    <row r="340" customFormat="false" ht="19.5" hidden="false" customHeight="true" outlineLevel="0" collapsed="false">
      <c r="A340" s="29" t="s">
        <v>636</v>
      </c>
      <c r="B340" s="29" t="s">
        <v>637</v>
      </c>
      <c r="C340" s="30" t="s">
        <v>152</v>
      </c>
      <c r="D340" s="30" t="s">
        <v>625</v>
      </c>
      <c r="E340" s="31"/>
      <c r="F340" s="30"/>
      <c r="G340" s="30"/>
      <c r="H340" s="32" t="s">
        <v>428</v>
      </c>
      <c r="I340" s="33" t="s">
        <v>365</v>
      </c>
      <c r="J340" s="32" t="s">
        <v>223</v>
      </c>
      <c r="K340" s="34" t="str">
        <f aca="false">IF(OR(M340="",$E340=""),"",M340-$E340)</f>
        <v/>
      </c>
      <c r="L340" s="35" t="str">
        <f aca="false">IF(SUM(FA340:FN340)=0,"",SUM(EM340:EZ340)/SUM(FA340:FN340))</f>
        <v/>
      </c>
      <c r="M340" s="36" t="str">
        <f aca="false">IF(OR(L340="",FO340=""),"",IFERROR(MATCH(L340,INDEX(Boundaries!$B$2:$I$30,MATCH(FO340,Boundaries!$A$2:$A$30,0),0),1)-1,""))</f>
        <v/>
      </c>
      <c r="N340" s="37" t="str">
        <f aca="false">IF(COUNT($DY340:$EL340)&lt;2,"",INDEX($DK340:$DX340,MAX($DY340:$EL340))-INDEX($DK340:$DX340,MIN($DY340:$EL340)))</f>
        <v/>
      </c>
      <c r="O340" s="37" t="str">
        <f aca="false">IF(COUNT($DY340:$EL340)&lt;2,"",INDEX($DK340:$DX340,MAX($DY340:$EL340))-INDEX($DK340:$DX340,LARGE($DY340:$EL340,2)))</f>
        <v/>
      </c>
      <c r="P340" s="38" t="str">
        <f aca="false">IF(K340="","",IF(K340&gt;=0,"On/above target",IF(AND(N340&lt;&gt;"",N340&gt;=0.5),"Improving towards target",IF(AND(O340&lt;&gt;"",O340&lt;=-0.5),"Declining","Stable below target"))))</f>
        <v/>
      </c>
      <c r="Q340" s="39"/>
      <c r="R340" s="40" t="str">
        <f aca="false">IF(OR(Q340="",BU340=""),"",Q340/BU340*100)</f>
        <v/>
      </c>
      <c r="S340" s="41" t="str">
        <f aca="false">IF(R340="","",IFERROR(MATCH(R340,INDEX(Boundaries!$B$2:$I$30,MATCH(CI340,Boundaries!$A$2:$A$30,0),0),1)-1,""))</f>
        <v/>
      </c>
      <c r="T340" s="42" t="str">
        <f aca="false">IF(OR(S340="",$E340=""),"",S340-$E340)</f>
        <v/>
      </c>
      <c r="U340" s="39"/>
      <c r="V340" s="40" t="str">
        <f aca="false">IF(OR(U340="",BV340=""),"",U340/BV340*100)</f>
        <v/>
      </c>
      <c r="W340" s="41" t="str">
        <f aca="false">IF(V340="","",IFERROR(MATCH(V340,INDEX(Boundaries!$B$2:$I$30,MATCH(CJ340,Boundaries!$A$2:$A$30,0),0),1)-1,""))</f>
        <v/>
      </c>
      <c r="X340" s="42" t="str">
        <f aca="false">IF(OR(W340="",$E340=""),"",W340-$E340)</f>
        <v/>
      </c>
      <c r="Y340" s="39"/>
      <c r="Z340" s="40" t="str">
        <f aca="false">IF(OR(Y340="",BW340=""),"",Y340/BW340*100)</f>
        <v/>
      </c>
      <c r="AA340" s="41" t="str">
        <f aca="false">IF(Z340="","",IFERROR(MATCH(Z340,INDEX(Boundaries!$B$2:$I$30,MATCH(CK340,Boundaries!$A$2:$A$30,0),0),1)-1,""))</f>
        <v/>
      </c>
      <c r="AB340" s="42" t="str">
        <f aca="false">IF(OR(AA340="",$E340=""),"",AA340-$E340)</f>
        <v/>
      </c>
      <c r="AC340" s="39"/>
      <c r="AD340" s="40" t="str">
        <f aca="false">IF(OR(AC340="",BX340=""),"",AC340/BX340*100)</f>
        <v/>
      </c>
      <c r="AE340" s="41" t="str">
        <f aca="false">IF(AD340="","",IFERROR(MATCH(AD340,INDEX(Boundaries!$B$2:$I$30,MATCH(CL340,Boundaries!$A$2:$A$30,0),0),1)-1,""))</f>
        <v/>
      </c>
      <c r="AF340" s="42" t="str">
        <f aca="false">IF(OR(AE340="",$E340=""),"",AE340-$E340)</f>
        <v/>
      </c>
      <c r="AG340" s="39"/>
      <c r="AH340" s="40" t="str">
        <f aca="false">IF(OR(AG340="",BY340=""),"",AG340/BY340*100)</f>
        <v/>
      </c>
      <c r="AI340" s="41" t="str">
        <f aca="false">IF(AH340="","",IFERROR(MATCH(AH340,INDEX(Boundaries!$B$2:$I$30,MATCH(CM340,Boundaries!$A$2:$A$30,0),0),1)-1,""))</f>
        <v/>
      </c>
      <c r="AJ340" s="42" t="str">
        <f aca="false">IF(OR(AI340="",$E340=""),"",AI340-$E340)</f>
        <v/>
      </c>
      <c r="AK340" s="39"/>
      <c r="AL340" s="40" t="str">
        <f aca="false">IF(OR(AK340="",BZ340=""),"",AK340/BZ340*100)</f>
        <v/>
      </c>
      <c r="AM340" s="41" t="str">
        <f aca="false">IF(AL340="","",IFERROR(MATCH(AL340,INDEX(Boundaries!$B$2:$I$30,MATCH(CN340,Boundaries!$A$2:$A$30,0),0),1)-1,""))</f>
        <v/>
      </c>
      <c r="AN340" s="42" t="str">
        <f aca="false">IF(OR(AM340="",$E340=""),"",AM340-$E340)</f>
        <v/>
      </c>
      <c r="AO340" s="39"/>
      <c r="AP340" s="40" t="str">
        <f aca="false">IF(OR(AO340="",CA340=""),"",AO340/CA340*100)</f>
        <v/>
      </c>
      <c r="AQ340" s="41" t="str">
        <f aca="false">IF(AP340="","",IFERROR(MATCH(AP340,INDEX(Boundaries!$B$2:$I$30,MATCH(CO340,Boundaries!$A$2:$A$30,0),0),1)-1,""))</f>
        <v/>
      </c>
      <c r="AR340" s="42" t="str">
        <f aca="false">IF(OR(AQ340="",$E340=""),"",AQ340-$E340)</f>
        <v/>
      </c>
      <c r="AS340" s="39"/>
      <c r="AT340" s="40" t="str">
        <f aca="false">IF(OR(AS340="",CB340=""),"",AS340/CB340*100)</f>
        <v/>
      </c>
      <c r="AU340" s="41" t="str">
        <f aca="false">IF(AT340="","",IFERROR(MATCH(AT340,INDEX(Boundaries!$B$2:$I$30,MATCH(CP340,Boundaries!$A$2:$A$30,0),0),1)-1,""))</f>
        <v/>
      </c>
      <c r="AV340" s="42" t="str">
        <f aca="false">IF(OR(AU340="",$E340=""),"",AU340-$E340)</f>
        <v/>
      </c>
      <c r="AW340" s="39"/>
      <c r="AX340" s="40" t="str">
        <f aca="false">IF(OR(AW340="",CC340=""),"",AW340/CC340*100)</f>
        <v/>
      </c>
      <c r="AY340" s="41" t="str">
        <f aca="false">IF(AX340="","",IFERROR(MATCH(AX340,INDEX(Boundaries!$B$2:$I$30,MATCH(CQ340,Boundaries!$A$2:$A$30,0),0),1)-1,""))</f>
        <v/>
      </c>
      <c r="AZ340" s="42" t="str">
        <f aca="false">IF(OR(AY340="",$E340=""),"",AY340-$E340)</f>
        <v/>
      </c>
      <c r="BA340" s="39"/>
      <c r="BB340" s="40" t="str">
        <f aca="false">IF(OR(BA340="",CD340=""),"",BA340/CD340*100)</f>
        <v/>
      </c>
      <c r="BC340" s="41" t="str">
        <f aca="false">IF(BB340="","",IFERROR(MATCH(BB340,INDEX(Boundaries!$B$2:$I$30,MATCH(CR340,Boundaries!$A$2:$A$30,0),0),1)-1,""))</f>
        <v/>
      </c>
      <c r="BD340" s="42" t="str">
        <f aca="false">IF(OR(BC340="",$E340=""),"",BC340-$E340)</f>
        <v/>
      </c>
      <c r="BE340" s="39"/>
      <c r="BF340" s="40" t="str">
        <f aca="false">IF(OR(BE340="",CE340=""),"",BE340/CE340*100)</f>
        <v/>
      </c>
      <c r="BG340" s="41" t="str">
        <f aca="false">IF(BF340="","",IFERROR(MATCH(BF340,INDEX(Boundaries!$B$2:$I$30,MATCH(CS340,Boundaries!$A$2:$A$30,0),0),1)-1,""))</f>
        <v/>
      </c>
      <c r="BH340" s="42" t="str">
        <f aca="false">IF(OR(BG340="",$E340=""),"",BG340-$E340)</f>
        <v/>
      </c>
      <c r="BI340" s="39"/>
      <c r="BJ340" s="40" t="str">
        <f aca="false">IF(OR(BI340="",CF340=""),"",BI340/CF340*100)</f>
        <v/>
      </c>
      <c r="BK340" s="41" t="str">
        <f aca="false">IF(BJ340="","",IFERROR(MATCH(BJ340,INDEX(Boundaries!$B$2:$I$30,MATCH(CT340,Boundaries!$A$2:$A$30,0),0),1)-1,""))</f>
        <v/>
      </c>
      <c r="BL340" s="42" t="str">
        <f aca="false">IF(OR(BK340="",$E340=""),"",BK340-$E340)</f>
        <v/>
      </c>
      <c r="BM340" s="39"/>
      <c r="BN340" s="40" t="str">
        <f aca="false">IF(OR(BM340="",CG340=""),"",BM340/CG340*100)</f>
        <v/>
      </c>
      <c r="BO340" s="41" t="str">
        <f aca="false">IF(BN340="","",IFERROR(MATCH(BN340,INDEX(Boundaries!$B$2:$I$30,MATCH(CU340,Boundaries!$A$2:$A$30,0),0),1)-1,""))</f>
        <v/>
      </c>
      <c r="BP340" s="42" t="str">
        <f aca="false">IF(OR(BO340="",$E340=""),"",BO340-$E340)</f>
        <v/>
      </c>
      <c r="BQ340" s="39"/>
      <c r="BR340" s="40" t="str">
        <f aca="false">IF(OR(BQ340="",CH340=""),"",BQ340/CH340*100)</f>
        <v/>
      </c>
      <c r="BS340" s="41" t="str">
        <f aca="false">IF(BR340="","",IFERROR(MATCH(BR340,INDEX(Boundaries!$B$2:$I$30,MATCH(CV340,Boundaries!$A$2:$A$30,0),0),1)-1,""))</f>
        <v/>
      </c>
      <c r="BT340" s="42" t="str">
        <f aca="false">IF(OR(BS340="",$E340=""),"",BS340-$E340)</f>
        <v/>
      </c>
      <c r="BU340" s="28" t="n">
        <f aca="false">IFERROR(INDEX(Assessments!$H$2:$H$600,MATCH($H340&amp;"|"&amp;$I340&amp;"|"&amp;$J340&amp;"|"&amp;1,Assessments!$A$2:$A$600,0)),"")</f>
        <v>24</v>
      </c>
      <c r="BV340" s="28" t="n">
        <f aca="false">IFERROR(INDEX(Assessments!$H$2:$H$600,MATCH($H340&amp;"|"&amp;$I340&amp;"|"&amp;$J340&amp;"|"&amp;2,Assessments!$A$2:$A$600,0)),"")</f>
        <v>20</v>
      </c>
      <c r="BW340" s="28" t="n">
        <f aca="false">IFERROR(INDEX(Assessments!$H$2:$H$600,MATCH($H340&amp;"|"&amp;$I340&amp;"|"&amp;$J340&amp;"|"&amp;3,Assessments!$A$2:$A$600,0)),"")</f>
        <v>24</v>
      </c>
      <c r="BX340" s="28" t="n">
        <f aca="false">IFERROR(INDEX(Assessments!$H$2:$H$600,MATCH($H340&amp;"|"&amp;$I340&amp;"|"&amp;$J340&amp;"|"&amp;4,Assessments!$A$2:$A$600,0)),"")</f>
        <v>40</v>
      </c>
      <c r="BY340" s="28" t="n">
        <f aca="false">IFERROR(INDEX(Assessments!$H$2:$H$600,MATCH($H340&amp;"|"&amp;$I340&amp;"|"&amp;$J340&amp;"|"&amp;5,Assessments!$A$2:$A$600,0)),"")</f>
        <v>30</v>
      </c>
      <c r="BZ340" s="28" t="n">
        <f aca="false">IFERROR(INDEX(Assessments!$H$2:$H$600,MATCH($H340&amp;"|"&amp;$I340&amp;"|"&amp;$J340&amp;"|"&amp;6,Assessments!$A$2:$A$600,0)),"")</f>
        <v>20</v>
      </c>
      <c r="CA340" s="28" t="str">
        <f aca="false">IFERROR(INDEX(Assessments!$H$2:$H$600,MATCH($H340&amp;"|"&amp;$I340&amp;"|"&amp;$J340&amp;"|"&amp;7,Assessments!$A$2:$A$600,0)),"")</f>
        <v/>
      </c>
      <c r="CB340" s="28" t="str">
        <f aca="false">IFERROR(INDEX(Assessments!$H$2:$H$600,MATCH($H340&amp;"|"&amp;$I340&amp;"|"&amp;$J340&amp;"|"&amp;8,Assessments!$A$2:$A$600,0)),"")</f>
        <v/>
      </c>
      <c r="CC340" s="28" t="str">
        <f aca="false">IFERROR(INDEX(Assessments!$H$2:$H$600,MATCH($H340&amp;"|"&amp;$I340&amp;"|"&amp;$J340&amp;"|"&amp;9,Assessments!$A$2:$A$600,0)),"")</f>
        <v/>
      </c>
      <c r="CD340" s="28" t="str">
        <f aca="false">IFERROR(INDEX(Assessments!$H$2:$H$600,MATCH($H340&amp;"|"&amp;$I340&amp;"|"&amp;$J340&amp;"|"&amp;10,Assessments!$A$2:$A$600,0)),"")</f>
        <v/>
      </c>
      <c r="CE340" s="28" t="str">
        <f aca="false">IFERROR(INDEX(Assessments!$H$2:$H$600,MATCH($H340&amp;"|"&amp;$I340&amp;"|"&amp;$J340&amp;"|"&amp;11,Assessments!$A$2:$A$600,0)),"")</f>
        <v/>
      </c>
      <c r="CF340" s="28" t="str">
        <f aca="false">IFERROR(INDEX(Assessments!$H$2:$H$600,MATCH($H340&amp;"|"&amp;$I340&amp;"|"&amp;$J340&amp;"|"&amp;12,Assessments!$A$2:$A$600,0)),"")</f>
        <v/>
      </c>
      <c r="CG340" s="28" t="str">
        <f aca="false">IFERROR(INDEX(Assessments!$H$2:$H$600,MATCH($H340&amp;"|"&amp;$I340&amp;"|"&amp;$J340&amp;"|"&amp;13,Assessments!$A$2:$A$600,0)),"")</f>
        <v/>
      </c>
      <c r="CH340" s="28" t="str">
        <f aca="false">IFERROR(INDEX(Assessments!$H$2:$H$600,MATCH($H340&amp;"|"&amp;$I340&amp;"|"&amp;$J340&amp;"|"&amp;14,Assessments!$A$2:$A$600,0)),"")</f>
        <v/>
      </c>
      <c r="CI340" s="28" t="str">
        <f aca="false">IFERROR(INDEX(Assessments!$I$2:$I$600,MATCH($H340&amp;"|"&amp;$I340&amp;"|"&amp;$J340&amp;"|"&amp;1,Assessments!$A$2:$A$600,0)),"")</f>
        <v>BM Test</v>
      </c>
      <c r="CJ340" s="28" t="str">
        <f aca="false">IFERROR(INDEX(Assessments!$I$2:$I$600,MATCH($H340&amp;"|"&amp;$I340&amp;"|"&amp;$J340&amp;"|"&amp;2,Assessments!$A$2:$A$600,0)),"")</f>
        <v>BM Test</v>
      </c>
      <c r="CK340" s="28" t="str">
        <f aca="false">IFERROR(INDEX(Assessments!$I$2:$I$600,MATCH($H340&amp;"|"&amp;$I340&amp;"|"&amp;$J340&amp;"|"&amp;3,Assessments!$A$2:$A$600,0)),"")</f>
        <v>BM Test</v>
      </c>
      <c r="CL340" s="28" t="str">
        <f aca="false">IFERROR(INDEX(Assessments!$I$2:$I$600,MATCH($H340&amp;"|"&amp;$I340&amp;"|"&amp;$J340&amp;"|"&amp;4,Assessments!$A$2:$A$600,0)),"")</f>
        <v>BM Exam</v>
      </c>
      <c r="CM340" s="28" t="str">
        <f aca="false">IFERROR(INDEX(Assessments!$I$2:$I$600,MATCH($H340&amp;"|"&amp;$I340&amp;"|"&amp;$J340&amp;"|"&amp;5,Assessments!$A$2:$A$600,0)),"")</f>
        <v>BM Test</v>
      </c>
      <c r="CN340" s="28" t="str">
        <f aca="false">IFERROR(INDEX(Assessments!$I$2:$I$600,MATCH($H340&amp;"|"&amp;$I340&amp;"|"&amp;$J340&amp;"|"&amp;6,Assessments!$A$2:$A$600,0)),"")</f>
        <v>BM Test</v>
      </c>
      <c r="CO340" s="28" t="str">
        <f aca="false">IFERROR(INDEX(Assessments!$I$2:$I$600,MATCH($H340&amp;"|"&amp;$I340&amp;"|"&amp;$J340&amp;"|"&amp;7,Assessments!$A$2:$A$600,0)),"")</f>
        <v/>
      </c>
      <c r="CP340" s="28" t="str">
        <f aca="false">IFERROR(INDEX(Assessments!$I$2:$I$600,MATCH($H340&amp;"|"&amp;$I340&amp;"|"&amp;$J340&amp;"|"&amp;8,Assessments!$A$2:$A$600,0)),"")</f>
        <v/>
      </c>
      <c r="CQ340" s="28" t="str">
        <f aca="false">IFERROR(INDEX(Assessments!$I$2:$I$600,MATCH($H340&amp;"|"&amp;$I340&amp;"|"&amp;$J340&amp;"|"&amp;9,Assessments!$A$2:$A$600,0)),"")</f>
        <v/>
      </c>
      <c r="CR340" s="28" t="str">
        <f aca="false">IFERROR(INDEX(Assessments!$I$2:$I$600,MATCH($H340&amp;"|"&amp;$I340&amp;"|"&amp;$J340&amp;"|"&amp;10,Assessments!$A$2:$A$600,0)),"")</f>
        <v/>
      </c>
      <c r="CS340" s="28" t="str">
        <f aca="false">IFERROR(INDEX(Assessments!$I$2:$I$600,MATCH($H340&amp;"|"&amp;$I340&amp;"|"&amp;$J340&amp;"|"&amp;11,Assessments!$A$2:$A$600,0)),"")</f>
        <v/>
      </c>
      <c r="CT340" s="28" t="str">
        <f aca="false">IFERROR(INDEX(Assessments!$I$2:$I$600,MATCH($H340&amp;"|"&amp;$I340&amp;"|"&amp;$J340&amp;"|"&amp;12,Assessments!$A$2:$A$600,0)),"")</f>
        <v/>
      </c>
      <c r="CU340" s="28" t="str">
        <f aca="false">IFERROR(INDEX(Assessments!$I$2:$I$600,MATCH($H340&amp;"|"&amp;$I340&amp;"|"&amp;$J340&amp;"|"&amp;13,Assessments!$A$2:$A$600,0)),"")</f>
        <v/>
      </c>
      <c r="CV340" s="28" t="str">
        <f aca="false">IFERROR(INDEX(Assessments!$I$2:$I$600,MATCH($H340&amp;"|"&amp;$I340&amp;"|"&amp;$J340&amp;"|"&amp;14,Assessments!$A$2:$A$600,0)),"")</f>
        <v/>
      </c>
      <c r="CW340" s="28" t="n">
        <f aca="false">IFERROR(INDEX(Assessments!$J$2:$J$600,MATCH($H340&amp;"|"&amp;$I340&amp;"|"&amp;$J340&amp;"|"&amp;1,Assessments!$A$2:$A$600,0)),0)</f>
        <v>1</v>
      </c>
      <c r="CX340" s="28" t="n">
        <f aca="false">IFERROR(INDEX(Assessments!$J$2:$J$600,MATCH($H340&amp;"|"&amp;$I340&amp;"|"&amp;$J340&amp;"|"&amp;2,Assessments!$A$2:$A$600,0)),0)</f>
        <v>1</v>
      </c>
      <c r="CY340" s="28" t="n">
        <f aca="false">IFERROR(INDEX(Assessments!$J$2:$J$600,MATCH($H340&amp;"|"&amp;$I340&amp;"|"&amp;$J340&amp;"|"&amp;3,Assessments!$A$2:$A$600,0)),0)</f>
        <v>1</v>
      </c>
      <c r="CZ340" s="28" t="n">
        <f aca="false">IFERROR(INDEX(Assessments!$J$2:$J$600,MATCH($H340&amp;"|"&amp;$I340&amp;"|"&amp;$J340&amp;"|"&amp;4,Assessments!$A$2:$A$600,0)),0)</f>
        <v>2</v>
      </c>
      <c r="DA340" s="28" t="n">
        <f aca="false">IFERROR(INDEX(Assessments!$J$2:$J$600,MATCH($H340&amp;"|"&amp;$I340&amp;"|"&amp;$J340&amp;"|"&amp;5,Assessments!$A$2:$A$600,0)),0)</f>
        <v>1</v>
      </c>
      <c r="DB340" s="28" t="n">
        <f aca="false">IFERROR(INDEX(Assessments!$J$2:$J$600,MATCH($H340&amp;"|"&amp;$I340&amp;"|"&amp;$J340&amp;"|"&amp;6,Assessments!$A$2:$A$600,0)),0)</f>
        <v>1</v>
      </c>
      <c r="DC340" s="28" t="n">
        <f aca="false">IFERROR(INDEX(Assessments!$J$2:$J$600,MATCH($H340&amp;"|"&amp;$I340&amp;"|"&amp;$J340&amp;"|"&amp;7,Assessments!$A$2:$A$600,0)),0)</f>
        <v>0</v>
      </c>
      <c r="DD340" s="28" t="n">
        <f aca="false">IFERROR(INDEX(Assessments!$J$2:$J$600,MATCH($H340&amp;"|"&amp;$I340&amp;"|"&amp;$J340&amp;"|"&amp;8,Assessments!$A$2:$A$600,0)),0)</f>
        <v>0</v>
      </c>
      <c r="DE340" s="28" t="n">
        <f aca="false">IFERROR(INDEX(Assessments!$J$2:$J$600,MATCH($H340&amp;"|"&amp;$I340&amp;"|"&amp;$J340&amp;"|"&amp;9,Assessments!$A$2:$A$600,0)),0)</f>
        <v>0</v>
      </c>
      <c r="DF340" s="28" t="n">
        <f aca="false">IFERROR(INDEX(Assessments!$J$2:$J$600,MATCH($H340&amp;"|"&amp;$I340&amp;"|"&amp;$J340&amp;"|"&amp;10,Assessments!$A$2:$A$600,0)),0)</f>
        <v>0</v>
      </c>
      <c r="DG340" s="28" t="n">
        <f aca="false">IFERROR(INDEX(Assessments!$J$2:$J$600,MATCH($H340&amp;"|"&amp;$I340&amp;"|"&amp;$J340&amp;"|"&amp;11,Assessments!$A$2:$A$600,0)),0)</f>
        <v>0</v>
      </c>
      <c r="DH340" s="28" t="n">
        <f aca="false">IFERROR(INDEX(Assessments!$J$2:$J$600,MATCH($H340&amp;"|"&amp;$I340&amp;"|"&amp;$J340&amp;"|"&amp;12,Assessments!$A$2:$A$600,0)),0)</f>
        <v>0</v>
      </c>
      <c r="DI340" s="28" t="n">
        <f aca="false">IFERROR(INDEX(Assessments!$J$2:$J$600,MATCH($H340&amp;"|"&amp;$I340&amp;"|"&amp;$J340&amp;"|"&amp;13,Assessments!$A$2:$A$600,0)),0)</f>
        <v>0</v>
      </c>
      <c r="DJ340" s="28" t="n">
        <f aca="false">IFERROR(INDEX(Assessments!$J$2:$J$600,MATCH($H340&amp;"|"&amp;$I340&amp;"|"&amp;$J340&amp;"|"&amp;14,Assessments!$A$2:$A$600,0)),0)</f>
        <v>0</v>
      </c>
      <c r="DK340" s="28" t="str">
        <f aca="false">S340</f>
        <v/>
      </c>
      <c r="DL340" s="28" t="str">
        <f aca="false">W340</f>
        <v/>
      </c>
      <c r="DM340" s="28" t="str">
        <f aca="false">AA340</f>
        <v/>
      </c>
      <c r="DN340" s="28" t="str">
        <f aca="false">AE340</f>
        <v/>
      </c>
      <c r="DO340" s="28" t="str">
        <f aca="false">AI340</f>
        <v/>
      </c>
      <c r="DP340" s="28" t="str">
        <f aca="false">AM340</f>
        <v/>
      </c>
      <c r="DQ340" s="28" t="str">
        <f aca="false">AQ340</f>
        <v/>
      </c>
      <c r="DR340" s="28" t="str">
        <f aca="false">AU340</f>
        <v/>
      </c>
      <c r="DS340" s="28" t="str">
        <f aca="false">AY340</f>
        <v/>
      </c>
      <c r="DT340" s="28" t="str">
        <f aca="false">BC340</f>
        <v/>
      </c>
      <c r="DU340" s="28" t="str">
        <f aca="false">BG340</f>
        <v/>
      </c>
      <c r="DV340" s="28" t="str">
        <f aca="false">BK340</f>
        <v/>
      </c>
      <c r="DW340" s="28" t="str">
        <f aca="false">BO340</f>
        <v/>
      </c>
      <c r="DX340" s="28" t="str">
        <f aca="false">BS340</f>
        <v/>
      </c>
      <c r="DY340" s="28" t="str">
        <f aca="false">IF(ISNUMBER(S340),1,"")</f>
        <v/>
      </c>
      <c r="DZ340" s="28" t="str">
        <f aca="false">IF(ISNUMBER(W340),2,"")</f>
        <v/>
      </c>
      <c r="EA340" s="28" t="str">
        <f aca="false">IF(ISNUMBER(AA340),3,"")</f>
        <v/>
      </c>
      <c r="EB340" s="28" t="str">
        <f aca="false">IF(ISNUMBER(AE340),4,"")</f>
        <v/>
      </c>
      <c r="EC340" s="28" t="str">
        <f aca="false">IF(ISNUMBER(AI340),5,"")</f>
        <v/>
      </c>
      <c r="ED340" s="28" t="str">
        <f aca="false">IF(ISNUMBER(AM340),6,"")</f>
        <v/>
      </c>
      <c r="EE340" s="28" t="str">
        <f aca="false">IF(ISNUMBER(AQ340),7,"")</f>
        <v/>
      </c>
      <c r="EF340" s="28" t="str">
        <f aca="false">IF(ISNUMBER(AU340),8,"")</f>
        <v/>
      </c>
      <c r="EG340" s="28" t="str">
        <f aca="false">IF(ISNUMBER(AY340),9,"")</f>
        <v/>
      </c>
      <c r="EH340" s="28" t="str">
        <f aca="false">IF(ISNUMBER(BC340),10,"")</f>
        <v/>
      </c>
      <c r="EI340" s="28" t="str">
        <f aca="false">IF(ISNUMBER(BG340),11,"")</f>
        <v/>
      </c>
      <c r="EJ340" s="28" t="str">
        <f aca="false">IF(ISNUMBER(BK340),12,"")</f>
        <v/>
      </c>
      <c r="EK340" s="28" t="str">
        <f aca="false">IF(ISNUMBER(BO340),13,"")</f>
        <v/>
      </c>
      <c r="EL340" s="28" t="str">
        <f aca="false">IF(ISNUMBER(BS340),14,"")</f>
        <v/>
      </c>
      <c r="EM340" s="28" t="n">
        <f aca="false">IF(ISNUMBER(R340),R340*CW340,0)</f>
        <v>0</v>
      </c>
      <c r="EN340" s="28" t="n">
        <f aca="false">IF(ISNUMBER(V340),V340*CX340,0)</f>
        <v>0</v>
      </c>
      <c r="EO340" s="28" t="n">
        <f aca="false">IF(ISNUMBER(Z340),Z340*CY340,0)</f>
        <v>0</v>
      </c>
      <c r="EP340" s="28" t="n">
        <f aca="false">IF(ISNUMBER(AD340),AD340*CZ340,0)</f>
        <v>0</v>
      </c>
      <c r="EQ340" s="28" t="n">
        <f aca="false">IF(ISNUMBER(AH340),AH340*DA340,0)</f>
        <v>0</v>
      </c>
      <c r="ER340" s="28" t="n">
        <f aca="false">IF(ISNUMBER(AL340),AL340*DB340,0)</f>
        <v>0</v>
      </c>
      <c r="ES340" s="28" t="n">
        <f aca="false">IF(ISNUMBER(AP340),AP340*DC340,0)</f>
        <v>0</v>
      </c>
      <c r="ET340" s="28" t="n">
        <f aca="false">IF(ISNUMBER(AT340),AT340*DD340,0)</f>
        <v>0</v>
      </c>
      <c r="EU340" s="28" t="n">
        <f aca="false">IF(ISNUMBER(AX340),AX340*DE340,0)</f>
        <v>0</v>
      </c>
      <c r="EV340" s="28" t="n">
        <f aca="false">IF(ISNUMBER(BB340),BB340*DF340,0)</f>
        <v>0</v>
      </c>
      <c r="EW340" s="28" t="n">
        <f aca="false">IF(ISNUMBER(BF340),BF340*DG340,0)</f>
        <v>0</v>
      </c>
      <c r="EX340" s="28" t="n">
        <f aca="false">IF(ISNUMBER(BJ340),BJ340*DH340,0)</f>
        <v>0</v>
      </c>
      <c r="EY340" s="28" t="n">
        <f aca="false">IF(ISNUMBER(BN340),BN340*DI340,0)</f>
        <v>0</v>
      </c>
      <c r="EZ340" s="28" t="n">
        <f aca="false">IF(ISNUMBER(BR340),BR340*DJ340,0)</f>
        <v>0</v>
      </c>
      <c r="FA340" s="28" t="n">
        <f aca="false">IF(ISNUMBER(R340),CW340,0)</f>
        <v>0</v>
      </c>
      <c r="FB340" s="28" t="n">
        <f aca="false">IF(ISNUMBER(V340),CX340,0)</f>
        <v>0</v>
      </c>
      <c r="FC340" s="28" t="n">
        <f aca="false">IF(ISNUMBER(Z340),CY340,0)</f>
        <v>0</v>
      </c>
      <c r="FD340" s="28" t="n">
        <f aca="false">IF(ISNUMBER(AD340),CZ340,0)</f>
        <v>0</v>
      </c>
      <c r="FE340" s="28" t="n">
        <f aca="false">IF(ISNUMBER(AH340),DA340,0)</f>
        <v>0</v>
      </c>
      <c r="FF340" s="28" t="n">
        <f aca="false">IF(ISNUMBER(AL340),DB340,0)</f>
        <v>0</v>
      </c>
      <c r="FG340" s="28" t="n">
        <f aca="false">IF(ISNUMBER(AP340),DC340,0)</f>
        <v>0</v>
      </c>
      <c r="FH340" s="28" t="n">
        <f aca="false">IF(ISNUMBER(AT340),DD340,0)</f>
        <v>0</v>
      </c>
      <c r="FI340" s="28" t="n">
        <f aca="false">IF(ISNUMBER(AX340),DE340,0)</f>
        <v>0</v>
      </c>
      <c r="FJ340" s="28" t="n">
        <f aca="false">IF(ISNUMBER(BB340),DF340,0)</f>
        <v>0</v>
      </c>
      <c r="FK340" s="28" t="n">
        <f aca="false">IF(ISNUMBER(BF340),DG340,0)</f>
        <v>0</v>
      </c>
      <c r="FL340" s="28" t="n">
        <f aca="false">IF(ISNUMBER(BJ340),DH340,0)</f>
        <v>0</v>
      </c>
      <c r="FM340" s="28" t="n">
        <f aca="false">IF(ISNUMBER(BN340),DI340,0)</f>
        <v>0</v>
      </c>
      <c r="FN340" s="28" t="n">
        <f aca="false">IF(ISNUMBER(BR340),DJ340,0)</f>
        <v>0</v>
      </c>
      <c r="FO340" s="28" t="str">
        <f aca="false">IFERROR(INDEX(Lists!$G$2:$G$20,MATCH($I340&amp;"|"&amp;$J340,Lists!$F$2:$F$20,0)),"")</f>
        <v>BM Exam</v>
      </c>
    </row>
    <row r="341" customFormat="false" ht="19.5" hidden="false" customHeight="true" outlineLevel="0" collapsed="false">
      <c r="A341" s="29" t="s">
        <v>638</v>
      </c>
      <c r="B341" s="29" t="s">
        <v>639</v>
      </c>
      <c r="C341" s="30" t="s">
        <v>152</v>
      </c>
      <c r="D341" s="30" t="s">
        <v>625</v>
      </c>
      <c r="E341" s="31"/>
      <c r="F341" s="30"/>
      <c r="G341" s="30"/>
      <c r="H341" s="32" t="s">
        <v>428</v>
      </c>
      <c r="I341" s="33" t="s">
        <v>365</v>
      </c>
      <c r="J341" s="32" t="s">
        <v>223</v>
      </c>
      <c r="K341" s="34" t="str">
        <f aca="false">IF(OR(M341="",$E341=""),"",M341-$E341)</f>
        <v/>
      </c>
      <c r="L341" s="35" t="str">
        <f aca="false">IF(SUM(FA341:FN341)=0,"",SUM(EM341:EZ341)/SUM(FA341:FN341))</f>
        <v/>
      </c>
      <c r="M341" s="36" t="str">
        <f aca="false">IF(OR(L341="",FO341=""),"",IFERROR(MATCH(L341,INDEX(Boundaries!$B$2:$I$30,MATCH(FO341,Boundaries!$A$2:$A$30,0),0),1)-1,""))</f>
        <v/>
      </c>
      <c r="N341" s="37" t="str">
        <f aca="false">IF(COUNT($DY341:$EL341)&lt;2,"",INDEX($DK341:$DX341,MAX($DY341:$EL341))-INDEX($DK341:$DX341,MIN($DY341:$EL341)))</f>
        <v/>
      </c>
      <c r="O341" s="37" t="str">
        <f aca="false">IF(COUNT($DY341:$EL341)&lt;2,"",INDEX($DK341:$DX341,MAX($DY341:$EL341))-INDEX($DK341:$DX341,LARGE($DY341:$EL341,2)))</f>
        <v/>
      </c>
      <c r="P341" s="38" t="str">
        <f aca="false">IF(K341="","",IF(K341&gt;=0,"On/above target",IF(AND(N341&lt;&gt;"",N341&gt;=0.5),"Improving towards target",IF(AND(O341&lt;&gt;"",O341&lt;=-0.5),"Declining","Stable below target"))))</f>
        <v/>
      </c>
      <c r="Q341" s="39"/>
      <c r="R341" s="40" t="str">
        <f aca="false">IF(OR(Q341="",BU341=""),"",Q341/BU341*100)</f>
        <v/>
      </c>
      <c r="S341" s="41" t="str">
        <f aca="false">IF(R341="","",IFERROR(MATCH(R341,INDEX(Boundaries!$B$2:$I$30,MATCH(CI341,Boundaries!$A$2:$A$30,0),0),1)-1,""))</f>
        <v/>
      </c>
      <c r="T341" s="42" t="str">
        <f aca="false">IF(OR(S341="",$E341=""),"",S341-$E341)</f>
        <v/>
      </c>
      <c r="U341" s="39"/>
      <c r="V341" s="40" t="str">
        <f aca="false">IF(OR(U341="",BV341=""),"",U341/BV341*100)</f>
        <v/>
      </c>
      <c r="W341" s="41" t="str">
        <f aca="false">IF(V341="","",IFERROR(MATCH(V341,INDEX(Boundaries!$B$2:$I$30,MATCH(CJ341,Boundaries!$A$2:$A$30,0),0),1)-1,""))</f>
        <v/>
      </c>
      <c r="X341" s="42" t="str">
        <f aca="false">IF(OR(W341="",$E341=""),"",W341-$E341)</f>
        <v/>
      </c>
      <c r="Y341" s="39"/>
      <c r="Z341" s="40" t="str">
        <f aca="false">IF(OR(Y341="",BW341=""),"",Y341/BW341*100)</f>
        <v/>
      </c>
      <c r="AA341" s="41" t="str">
        <f aca="false">IF(Z341="","",IFERROR(MATCH(Z341,INDEX(Boundaries!$B$2:$I$30,MATCH(CK341,Boundaries!$A$2:$A$30,0),0),1)-1,""))</f>
        <v/>
      </c>
      <c r="AB341" s="42" t="str">
        <f aca="false">IF(OR(AA341="",$E341=""),"",AA341-$E341)</f>
        <v/>
      </c>
      <c r="AC341" s="39"/>
      <c r="AD341" s="40" t="str">
        <f aca="false">IF(OR(AC341="",BX341=""),"",AC341/BX341*100)</f>
        <v/>
      </c>
      <c r="AE341" s="41" t="str">
        <f aca="false">IF(AD341="","",IFERROR(MATCH(AD341,INDEX(Boundaries!$B$2:$I$30,MATCH(CL341,Boundaries!$A$2:$A$30,0),0),1)-1,""))</f>
        <v/>
      </c>
      <c r="AF341" s="42" t="str">
        <f aca="false">IF(OR(AE341="",$E341=""),"",AE341-$E341)</f>
        <v/>
      </c>
      <c r="AG341" s="39"/>
      <c r="AH341" s="40" t="str">
        <f aca="false">IF(OR(AG341="",BY341=""),"",AG341/BY341*100)</f>
        <v/>
      </c>
      <c r="AI341" s="41" t="str">
        <f aca="false">IF(AH341="","",IFERROR(MATCH(AH341,INDEX(Boundaries!$B$2:$I$30,MATCH(CM341,Boundaries!$A$2:$A$30,0),0),1)-1,""))</f>
        <v/>
      </c>
      <c r="AJ341" s="42" t="str">
        <f aca="false">IF(OR(AI341="",$E341=""),"",AI341-$E341)</f>
        <v/>
      </c>
      <c r="AK341" s="39"/>
      <c r="AL341" s="40" t="str">
        <f aca="false">IF(OR(AK341="",BZ341=""),"",AK341/BZ341*100)</f>
        <v/>
      </c>
      <c r="AM341" s="41" t="str">
        <f aca="false">IF(AL341="","",IFERROR(MATCH(AL341,INDEX(Boundaries!$B$2:$I$30,MATCH(CN341,Boundaries!$A$2:$A$30,0),0),1)-1,""))</f>
        <v/>
      </c>
      <c r="AN341" s="42" t="str">
        <f aca="false">IF(OR(AM341="",$E341=""),"",AM341-$E341)</f>
        <v/>
      </c>
      <c r="AO341" s="39"/>
      <c r="AP341" s="40" t="str">
        <f aca="false">IF(OR(AO341="",CA341=""),"",AO341/CA341*100)</f>
        <v/>
      </c>
      <c r="AQ341" s="41" t="str">
        <f aca="false">IF(AP341="","",IFERROR(MATCH(AP341,INDEX(Boundaries!$B$2:$I$30,MATCH(CO341,Boundaries!$A$2:$A$30,0),0),1)-1,""))</f>
        <v/>
      </c>
      <c r="AR341" s="42" t="str">
        <f aca="false">IF(OR(AQ341="",$E341=""),"",AQ341-$E341)</f>
        <v/>
      </c>
      <c r="AS341" s="39"/>
      <c r="AT341" s="40" t="str">
        <f aca="false">IF(OR(AS341="",CB341=""),"",AS341/CB341*100)</f>
        <v/>
      </c>
      <c r="AU341" s="41" t="str">
        <f aca="false">IF(AT341="","",IFERROR(MATCH(AT341,INDEX(Boundaries!$B$2:$I$30,MATCH(CP341,Boundaries!$A$2:$A$30,0),0),1)-1,""))</f>
        <v/>
      </c>
      <c r="AV341" s="42" t="str">
        <f aca="false">IF(OR(AU341="",$E341=""),"",AU341-$E341)</f>
        <v/>
      </c>
      <c r="AW341" s="39"/>
      <c r="AX341" s="40" t="str">
        <f aca="false">IF(OR(AW341="",CC341=""),"",AW341/CC341*100)</f>
        <v/>
      </c>
      <c r="AY341" s="41" t="str">
        <f aca="false">IF(AX341="","",IFERROR(MATCH(AX341,INDEX(Boundaries!$B$2:$I$30,MATCH(CQ341,Boundaries!$A$2:$A$30,0),0),1)-1,""))</f>
        <v/>
      </c>
      <c r="AZ341" s="42" t="str">
        <f aca="false">IF(OR(AY341="",$E341=""),"",AY341-$E341)</f>
        <v/>
      </c>
      <c r="BA341" s="39"/>
      <c r="BB341" s="40" t="str">
        <f aca="false">IF(OR(BA341="",CD341=""),"",BA341/CD341*100)</f>
        <v/>
      </c>
      <c r="BC341" s="41" t="str">
        <f aca="false">IF(BB341="","",IFERROR(MATCH(BB341,INDEX(Boundaries!$B$2:$I$30,MATCH(CR341,Boundaries!$A$2:$A$30,0),0),1)-1,""))</f>
        <v/>
      </c>
      <c r="BD341" s="42" t="str">
        <f aca="false">IF(OR(BC341="",$E341=""),"",BC341-$E341)</f>
        <v/>
      </c>
      <c r="BE341" s="39"/>
      <c r="BF341" s="40" t="str">
        <f aca="false">IF(OR(BE341="",CE341=""),"",BE341/CE341*100)</f>
        <v/>
      </c>
      <c r="BG341" s="41" t="str">
        <f aca="false">IF(BF341="","",IFERROR(MATCH(BF341,INDEX(Boundaries!$B$2:$I$30,MATCH(CS341,Boundaries!$A$2:$A$30,0),0),1)-1,""))</f>
        <v/>
      </c>
      <c r="BH341" s="42" t="str">
        <f aca="false">IF(OR(BG341="",$E341=""),"",BG341-$E341)</f>
        <v/>
      </c>
      <c r="BI341" s="39"/>
      <c r="BJ341" s="40" t="str">
        <f aca="false">IF(OR(BI341="",CF341=""),"",BI341/CF341*100)</f>
        <v/>
      </c>
      <c r="BK341" s="41" t="str">
        <f aca="false">IF(BJ341="","",IFERROR(MATCH(BJ341,INDEX(Boundaries!$B$2:$I$30,MATCH(CT341,Boundaries!$A$2:$A$30,0),0),1)-1,""))</f>
        <v/>
      </c>
      <c r="BL341" s="42" t="str">
        <f aca="false">IF(OR(BK341="",$E341=""),"",BK341-$E341)</f>
        <v/>
      </c>
      <c r="BM341" s="39"/>
      <c r="BN341" s="40" t="str">
        <f aca="false">IF(OR(BM341="",CG341=""),"",BM341/CG341*100)</f>
        <v/>
      </c>
      <c r="BO341" s="41" t="str">
        <f aca="false">IF(BN341="","",IFERROR(MATCH(BN341,INDEX(Boundaries!$B$2:$I$30,MATCH(CU341,Boundaries!$A$2:$A$30,0),0),1)-1,""))</f>
        <v/>
      </c>
      <c r="BP341" s="42" t="str">
        <f aca="false">IF(OR(BO341="",$E341=""),"",BO341-$E341)</f>
        <v/>
      </c>
      <c r="BQ341" s="39"/>
      <c r="BR341" s="40" t="str">
        <f aca="false">IF(OR(BQ341="",CH341=""),"",BQ341/CH341*100)</f>
        <v/>
      </c>
      <c r="BS341" s="41" t="str">
        <f aca="false">IF(BR341="","",IFERROR(MATCH(BR341,INDEX(Boundaries!$B$2:$I$30,MATCH(CV341,Boundaries!$A$2:$A$30,0),0),1)-1,""))</f>
        <v/>
      </c>
      <c r="BT341" s="42" t="str">
        <f aca="false">IF(OR(BS341="",$E341=""),"",BS341-$E341)</f>
        <v/>
      </c>
      <c r="BU341" s="28" t="n">
        <f aca="false">IFERROR(INDEX(Assessments!$H$2:$H$600,MATCH($H341&amp;"|"&amp;$I341&amp;"|"&amp;$J341&amp;"|"&amp;1,Assessments!$A$2:$A$600,0)),"")</f>
        <v>24</v>
      </c>
      <c r="BV341" s="28" t="n">
        <f aca="false">IFERROR(INDEX(Assessments!$H$2:$H$600,MATCH($H341&amp;"|"&amp;$I341&amp;"|"&amp;$J341&amp;"|"&amp;2,Assessments!$A$2:$A$600,0)),"")</f>
        <v>20</v>
      </c>
      <c r="BW341" s="28" t="n">
        <f aca="false">IFERROR(INDEX(Assessments!$H$2:$H$600,MATCH($H341&amp;"|"&amp;$I341&amp;"|"&amp;$J341&amp;"|"&amp;3,Assessments!$A$2:$A$600,0)),"")</f>
        <v>24</v>
      </c>
      <c r="BX341" s="28" t="n">
        <f aca="false">IFERROR(INDEX(Assessments!$H$2:$H$600,MATCH($H341&amp;"|"&amp;$I341&amp;"|"&amp;$J341&amp;"|"&amp;4,Assessments!$A$2:$A$600,0)),"")</f>
        <v>40</v>
      </c>
      <c r="BY341" s="28" t="n">
        <f aca="false">IFERROR(INDEX(Assessments!$H$2:$H$600,MATCH($H341&amp;"|"&amp;$I341&amp;"|"&amp;$J341&amp;"|"&amp;5,Assessments!$A$2:$A$600,0)),"")</f>
        <v>30</v>
      </c>
      <c r="BZ341" s="28" t="n">
        <f aca="false">IFERROR(INDEX(Assessments!$H$2:$H$600,MATCH($H341&amp;"|"&amp;$I341&amp;"|"&amp;$J341&amp;"|"&amp;6,Assessments!$A$2:$A$600,0)),"")</f>
        <v>20</v>
      </c>
      <c r="CA341" s="28" t="str">
        <f aca="false">IFERROR(INDEX(Assessments!$H$2:$H$600,MATCH($H341&amp;"|"&amp;$I341&amp;"|"&amp;$J341&amp;"|"&amp;7,Assessments!$A$2:$A$600,0)),"")</f>
        <v/>
      </c>
      <c r="CB341" s="28" t="str">
        <f aca="false">IFERROR(INDEX(Assessments!$H$2:$H$600,MATCH($H341&amp;"|"&amp;$I341&amp;"|"&amp;$J341&amp;"|"&amp;8,Assessments!$A$2:$A$600,0)),"")</f>
        <v/>
      </c>
      <c r="CC341" s="28" t="str">
        <f aca="false">IFERROR(INDEX(Assessments!$H$2:$H$600,MATCH($H341&amp;"|"&amp;$I341&amp;"|"&amp;$J341&amp;"|"&amp;9,Assessments!$A$2:$A$600,0)),"")</f>
        <v/>
      </c>
      <c r="CD341" s="28" t="str">
        <f aca="false">IFERROR(INDEX(Assessments!$H$2:$H$600,MATCH($H341&amp;"|"&amp;$I341&amp;"|"&amp;$J341&amp;"|"&amp;10,Assessments!$A$2:$A$600,0)),"")</f>
        <v/>
      </c>
      <c r="CE341" s="28" t="str">
        <f aca="false">IFERROR(INDEX(Assessments!$H$2:$H$600,MATCH($H341&amp;"|"&amp;$I341&amp;"|"&amp;$J341&amp;"|"&amp;11,Assessments!$A$2:$A$600,0)),"")</f>
        <v/>
      </c>
      <c r="CF341" s="28" t="str">
        <f aca="false">IFERROR(INDEX(Assessments!$H$2:$H$600,MATCH($H341&amp;"|"&amp;$I341&amp;"|"&amp;$J341&amp;"|"&amp;12,Assessments!$A$2:$A$600,0)),"")</f>
        <v/>
      </c>
      <c r="CG341" s="28" t="str">
        <f aca="false">IFERROR(INDEX(Assessments!$H$2:$H$600,MATCH($H341&amp;"|"&amp;$I341&amp;"|"&amp;$J341&amp;"|"&amp;13,Assessments!$A$2:$A$600,0)),"")</f>
        <v/>
      </c>
      <c r="CH341" s="28" t="str">
        <f aca="false">IFERROR(INDEX(Assessments!$H$2:$H$600,MATCH($H341&amp;"|"&amp;$I341&amp;"|"&amp;$J341&amp;"|"&amp;14,Assessments!$A$2:$A$600,0)),"")</f>
        <v/>
      </c>
      <c r="CI341" s="28" t="str">
        <f aca="false">IFERROR(INDEX(Assessments!$I$2:$I$600,MATCH($H341&amp;"|"&amp;$I341&amp;"|"&amp;$J341&amp;"|"&amp;1,Assessments!$A$2:$A$600,0)),"")</f>
        <v>BM Test</v>
      </c>
      <c r="CJ341" s="28" t="str">
        <f aca="false">IFERROR(INDEX(Assessments!$I$2:$I$600,MATCH($H341&amp;"|"&amp;$I341&amp;"|"&amp;$J341&amp;"|"&amp;2,Assessments!$A$2:$A$600,0)),"")</f>
        <v>BM Test</v>
      </c>
      <c r="CK341" s="28" t="str">
        <f aca="false">IFERROR(INDEX(Assessments!$I$2:$I$600,MATCH($H341&amp;"|"&amp;$I341&amp;"|"&amp;$J341&amp;"|"&amp;3,Assessments!$A$2:$A$600,0)),"")</f>
        <v>BM Test</v>
      </c>
      <c r="CL341" s="28" t="str">
        <f aca="false">IFERROR(INDEX(Assessments!$I$2:$I$600,MATCH($H341&amp;"|"&amp;$I341&amp;"|"&amp;$J341&amp;"|"&amp;4,Assessments!$A$2:$A$600,0)),"")</f>
        <v>BM Exam</v>
      </c>
      <c r="CM341" s="28" t="str">
        <f aca="false">IFERROR(INDEX(Assessments!$I$2:$I$600,MATCH($H341&amp;"|"&amp;$I341&amp;"|"&amp;$J341&amp;"|"&amp;5,Assessments!$A$2:$A$600,0)),"")</f>
        <v>BM Test</v>
      </c>
      <c r="CN341" s="28" t="str">
        <f aca="false">IFERROR(INDEX(Assessments!$I$2:$I$600,MATCH($H341&amp;"|"&amp;$I341&amp;"|"&amp;$J341&amp;"|"&amp;6,Assessments!$A$2:$A$600,0)),"")</f>
        <v>BM Test</v>
      </c>
      <c r="CO341" s="28" t="str">
        <f aca="false">IFERROR(INDEX(Assessments!$I$2:$I$600,MATCH($H341&amp;"|"&amp;$I341&amp;"|"&amp;$J341&amp;"|"&amp;7,Assessments!$A$2:$A$600,0)),"")</f>
        <v/>
      </c>
      <c r="CP341" s="28" t="str">
        <f aca="false">IFERROR(INDEX(Assessments!$I$2:$I$600,MATCH($H341&amp;"|"&amp;$I341&amp;"|"&amp;$J341&amp;"|"&amp;8,Assessments!$A$2:$A$600,0)),"")</f>
        <v/>
      </c>
      <c r="CQ341" s="28" t="str">
        <f aca="false">IFERROR(INDEX(Assessments!$I$2:$I$600,MATCH($H341&amp;"|"&amp;$I341&amp;"|"&amp;$J341&amp;"|"&amp;9,Assessments!$A$2:$A$600,0)),"")</f>
        <v/>
      </c>
      <c r="CR341" s="28" t="str">
        <f aca="false">IFERROR(INDEX(Assessments!$I$2:$I$600,MATCH($H341&amp;"|"&amp;$I341&amp;"|"&amp;$J341&amp;"|"&amp;10,Assessments!$A$2:$A$600,0)),"")</f>
        <v/>
      </c>
      <c r="CS341" s="28" t="str">
        <f aca="false">IFERROR(INDEX(Assessments!$I$2:$I$600,MATCH($H341&amp;"|"&amp;$I341&amp;"|"&amp;$J341&amp;"|"&amp;11,Assessments!$A$2:$A$600,0)),"")</f>
        <v/>
      </c>
      <c r="CT341" s="28" t="str">
        <f aca="false">IFERROR(INDEX(Assessments!$I$2:$I$600,MATCH($H341&amp;"|"&amp;$I341&amp;"|"&amp;$J341&amp;"|"&amp;12,Assessments!$A$2:$A$600,0)),"")</f>
        <v/>
      </c>
      <c r="CU341" s="28" t="str">
        <f aca="false">IFERROR(INDEX(Assessments!$I$2:$I$600,MATCH($H341&amp;"|"&amp;$I341&amp;"|"&amp;$J341&amp;"|"&amp;13,Assessments!$A$2:$A$600,0)),"")</f>
        <v/>
      </c>
      <c r="CV341" s="28" t="str">
        <f aca="false">IFERROR(INDEX(Assessments!$I$2:$I$600,MATCH($H341&amp;"|"&amp;$I341&amp;"|"&amp;$J341&amp;"|"&amp;14,Assessments!$A$2:$A$600,0)),"")</f>
        <v/>
      </c>
      <c r="CW341" s="28" t="n">
        <f aca="false">IFERROR(INDEX(Assessments!$J$2:$J$600,MATCH($H341&amp;"|"&amp;$I341&amp;"|"&amp;$J341&amp;"|"&amp;1,Assessments!$A$2:$A$600,0)),0)</f>
        <v>1</v>
      </c>
      <c r="CX341" s="28" t="n">
        <f aca="false">IFERROR(INDEX(Assessments!$J$2:$J$600,MATCH($H341&amp;"|"&amp;$I341&amp;"|"&amp;$J341&amp;"|"&amp;2,Assessments!$A$2:$A$600,0)),0)</f>
        <v>1</v>
      </c>
      <c r="CY341" s="28" t="n">
        <f aca="false">IFERROR(INDEX(Assessments!$J$2:$J$600,MATCH($H341&amp;"|"&amp;$I341&amp;"|"&amp;$J341&amp;"|"&amp;3,Assessments!$A$2:$A$600,0)),0)</f>
        <v>1</v>
      </c>
      <c r="CZ341" s="28" t="n">
        <f aca="false">IFERROR(INDEX(Assessments!$J$2:$J$600,MATCH($H341&amp;"|"&amp;$I341&amp;"|"&amp;$J341&amp;"|"&amp;4,Assessments!$A$2:$A$600,0)),0)</f>
        <v>2</v>
      </c>
      <c r="DA341" s="28" t="n">
        <f aca="false">IFERROR(INDEX(Assessments!$J$2:$J$600,MATCH($H341&amp;"|"&amp;$I341&amp;"|"&amp;$J341&amp;"|"&amp;5,Assessments!$A$2:$A$600,0)),0)</f>
        <v>1</v>
      </c>
      <c r="DB341" s="28" t="n">
        <f aca="false">IFERROR(INDEX(Assessments!$J$2:$J$600,MATCH($H341&amp;"|"&amp;$I341&amp;"|"&amp;$J341&amp;"|"&amp;6,Assessments!$A$2:$A$600,0)),0)</f>
        <v>1</v>
      </c>
      <c r="DC341" s="28" t="n">
        <f aca="false">IFERROR(INDEX(Assessments!$J$2:$J$600,MATCH($H341&amp;"|"&amp;$I341&amp;"|"&amp;$J341&amp;"|"&amp;7,Assessments!$A$2:$A$600,0)),0)</f>
        <v>0</v>
      </c>
      <c r="DD341" s="28" t="n">
        <f aca="false">IFERROR(INDEX(Assessments!$J$2:$J$600,MATCH($H341&amp;"|"&amp;$I341&amp;"|"&amp;$J341&amp;"|"&amp;8,Assessments!$A$2:$A$600,0)),0)</f>
        <v>0</v>
      </c>
      <c r="DE341" s="28" t="n">
        <f aca="false">IFERROR(INDEX(Assessments!$J$2:$J$600,MATCH($H341&amp;"|"&amp;$I341&amp;"|"&amp;$J341&amp;"|"&amp;9,Assessments!$A$2:$A$600,0)),0)</f>
        <v>0</v>
      </c>
      <c r="DF341" s="28" t="n">
        <f aca="false">IFERROR(INDEX(Assessments!$J$2:$J$600,MATCH($H341&amp;"|"&amp;$I341&amp;"|"&amp;$J341&amp;"|"&amp;10,Assessments!$A$2:$A$600,0)),0)</f>
        <v>0</v>
      </c>
      <c r="DG341" s="28" t="n">
        <f aca="false">IFERROR(INDEX(Assessments!$J$2:$J$600,MATCH($H341&amp;"|"&amp;$I341&amp;"|"&amp;$J341&amp;"|"&amp;11,Assessments!$A$2:$A$600,0)),0)</f>
        <v>0</v>
      </c>
      <c r="DH341" s="28" t="n">
        <f aca="false">IFERROR(INDEX(Assessments!$J$2:$J$600,MATCH($H341&amp;"|"&amp;$I341&amp;"|"&amp;$J341&amp;"|"&amp;12,Assessments!$A$2:$A$600,0)),0)</f>
        <v>0</v>
      </c>
      <c r="DI341" s="28" t="n">
        <f aca="false">IFERROR(INDEX(Assessments!$J$2:$J$600,MATCH($H341&amp;"|"&amp;$I341&amp;"|"&amp;$J341&amp;"|"&amp;13,Assessments!$A$2:$A$600,0)),0)</f>
        <v>0</v>
      </c>
      <c r="DJ341" s="28" t="n">
        <f aca="false">IFERROR(INDEX(Assessments!$J$2:$J$600,MATCH($H341&amp;"|"&amp;$I341&amp;"|"&amp;$J341&amp;"|"&amp;14,Assessments!$A$2:$A$600,0)),0)</f>
        <v>0</v>
      </c>
      <c r="DK341" s="28" t="str">
        <f aca="false">S341</f>
        <v/>
      </c>
      <c r="DL341" s="28" t="str">
        <f aca="false">W341</f>
        <v/>
      </c>
      <c r="DM341" s="28" t="str">
        <f aca="false">AA341</f>
        <v/>
      </c>
      <c r="DN341" s="28" t="str">
        <f aca="false">AE341</f>
        <v/>
      </c>
      <c r="DO341" s="28" t="str">
        <f aca="false">AI341</f>
        <v/>
      </c>
      <c r="DP341" s="28" t="str">
        <f aca="false">AM341</f>
        <v/>
      </c>
      <c r="DQ341" s="28" t="str">
        <f aca="false">AQ341</f>
        <v/>
      </c>
      <c r="DR341" s="28" t="str">
        <f aca="false">AU341</f>
        <v/>
      </c>
      <c r="DS341" s="28" t="str">
        <f aca="false">AY341</f>
        <v/>
      </c>
      <c r="DT341" s="28" t="str">
        <f aca="false">BC341</f>
        <v/>
      </c>
      <c r="DU341" s="28" t="str">
        <f aca="false">BG341</f>
        <v/>
      </c>
      <c r="DV341" s="28" t="str">
        <f aca="false">BK341</f>
        <v/>
      </c>
      <c r="DW341" s="28" t="str">
        <f aca="false">BO341</f>
        <v/>
      </c>
      <c r="DX341" s="28" t="str">
        <f aca="false">BS341</f>
        <v/>
      </c>
      <c r="DY341" s="28" t="str">
        <f aca="false">IF(ISNUMBER(S341),1,"")</f>
        <v/>
      </c>
      <c r="DZ341" s="28" t="str">
        <f aca="false">IF(ISNUMBER(W341),2,"")</f>
        <v/>
      </c>
      <c r="EA341" s="28" t="str">
        <f aca="false">IF(ISNUMBER(AA341),3,"")</f>
        <v/>
      </c>
      <c r="EB341" s="28" t="str">
        <f aca="false">IF(ISNUMBER(AE341),4,"")</f>
        <v/>
      </c>
      <c r="EC341" s="28" t="str">
        <f aca="false">IF(ISNUMBER(AI341),5,"")</f>
        <v/>
      </c>
      <c r="ED341" s="28" t="str">
        <f aca="false">IF(ISNUMBER(AM341),6,"")</f>
        <v/>
      </c>
      <c r="EE341" s="28" t="str">
        <f aca="false">IF(ISNUMBER(AQ341),7,"")</f>
        <v/>
      </c>
      <c r="EF341" s="28" t="str">
        <f aca="false">IF(ISNUMBER(AU341),8,"")</f>
        <v/>
      </c>
      <c r="EG341" s="28" t="str">
        <f aca="false">IF(ISNUMBER(AY341),9,"")</f>
        <v/>
      </c>
      <c r="EH341" s="28" t="str">
        <f aca="false">IF(ISNUMBER(BC341),10,"")</f>
        <v/>
      </c>
      <c r="EI341" s="28" t="str">
        <f aca="false">IF(ISNUMBER(BG341),11,"")</f>
        <v/>
      </c>
      <c r="EJ341" s="28" t="str">
        <f aca="false">IF(ISNUMBER(BK341),12,"")</f>
        <v/>
      </c>
      <c r="EK341" s="28" t="str">
        <f aca="false">IF(ISNUMBER(BO341),13,"")</f>
        <v/>
      </c>
      <c r="EL341" s="28" t="str">
        <f aca="false">IF(ISNUMBER(BS341),14,"")</f>
        <v/>
      </c>
      <c r="EM341" s="28" t="n">
        <f aca="false">IF(ISNUMBER(R341),R341*CW341,0)</f>
        <v>0</v>
      </c>
      <c r="EN341" s="28" t="n">
        <f aca="false">IF(ISNUMBER(V341),V341*CX341,0)</f>
        <v>0</v>
      </c>
      <c r="EO341" s="28" t="n">
        <f aca="false">IF(ISNUMBER(Z341),Z341*CY341,0)</f>
        <v>0</v>
      </c>
      <c r="EP341" s="28" t="n">
        <f aca="false">IF(ISNUMBER(AD341),AD341*CZ341,0)</f>
        <v>0</v>
      </c>
      <c r="EQ341" s="28" t="n">
        <f aca="false">IF(ISNUMBER(AH341),AH341*DA341,0)</f>
        <v>0</v>
      </c>
      <c r="ER341" s="28" t="n">
        <f aca="false">IF(ISNUMBER(AL341),AL341*DB341,0)</f>
        <v>0</v>
      </c>
      <c r="ES341" s="28" t="n">
        <f aca="false">IF(ISNUMBER(AP341),AP341*DC341,0)</f>
        <v>0</v>
      </c>
      <c r="ET341" s="28" t="n">
        <f aca="false">IF(ISNUMBER(AT341),AT341*DD341,0)</f>
        <v>0</v>
      </c>
      <c r="EU341" s="28" t="n">
        <f aca="false">IF(ISNUMBER(AX341),AX341*DE341,0)</f>
        <v>0</v>
      </c>
      <c r="EV341" s="28" t="n">
        <f aca="false">IF(ISNUMBER(BB341),BB341*DF341,0)</f>
        <v>0</v>
      </c>
      <c r="EW341" s="28" t="n">
        <f aca="false">IF(ISNUMBER(BF341),BF341*DG341,0)</f>
        <v>0</v>
      </c>
      <c r="EX341" s="28" t="n">
        <f aca="false">IF(ISNUMBER(BJ341),BJ341*DH341,0)</f>
        <v>0</v>
      </c>
      <c r="EY341" s="28" t="n">
        <f aca="false">IF(ISNUMBER(BN341),BN341*DI341,0)</f>
        <v>0</v>
      </c>
      <c r="EZ341" s="28" t="n">
        <f aca="false">IF(ISNUMBER(BR341),BR341*DJ341,0)</f>
        <v>0</v>
      </c>
      <c r="FA341" s="28" t="n">
        <f aca="false">IF(ISNUMBER(R341),CW341,0)</f>
        <v>0</v>
      </c>
      <c r="FB341" s="28" t="n">
        <f aca="false">IF(ISNUMBER(V341),CX341,0)</f>
        <v>0</v>
      </c>
      <c r="FC341" s="28" t="n">
        <f aca="false">IF(ISNUMBER(Z341),CY341,0)</f>
        <v>0</v>
      </c>
      <c r="FD341" s="28" t="n">
        <f aca="false">IF(ISNUMBER(AD341),CZ341,0)</f>
        <v>0</v>
      </c>
      <c r="FE341" s="28" t="n">
        <f aca="false">IF(ISNUMBER(AH341),DA341,0)</f>
        <v>0</v>
      </c>
      <c r="FF341" s="28" t="n">
        <f aca="false">IF(ISNUMBER(AL341),DB341,0)</f>
        <v>0</v>
      </c>
      <c r="FG341" s="28" t="n">
        <f aca="false">IF(ISNUMBER(AP341),DC341,0)</f>
        <v>0</v>
      </c>
      <c r="FH341" s="28" t="n">
        <f aca="false">IF(ISNUMBER(AT341),DD341,0)</f>
        <v>0</v>
      </c>
      <c r="FI341" s="28" t="n">
        <f aca="false">IF(ISNUMBER(AX341),DE341,0)</f>
        <v>0</v>
      </c>
      <c r="FJ341" s="28" t="n">
        <f aca="false">IF(ISNUMBER(BB341),DF341,0)</f>
        <v>0</v>
      </c>
      <c r="FK341" s="28" t="n">
        <f aca="false">IF(ISNUMBER(BF341),DG341,0)</f>
        <v>0</v>
      </c>
      <c r="FL341" s="28" t="n">
        <f aca="false">IF(ISNUMBER(BJ341),DH341,0)</f>
        <v>0</v>
      </c>
      <c r="FM341" s="28" t="n">
        <f aca="false">IF(ISNUMBER(BN341),DI341,0)</f>
        <v>0</v>
      </c>
      <c r="FN341" s="28" t="n">
        <f aca="false">IF(ISNUMBER(BR341),DJ341,0)</f>
        <v>0</v>
      </c>
      <c r="FO341" s="28" t="str">
        <f aca="false">IFERROR(INDEX(Lists!$G$2:$G$20,MATCH($I341&amp;"|"&amp;$J341,Lists!$F$2:$F$20,0)),"")</f>
        <v>BM Exam</v>
      </c>
    </row>
    <row r="342" customFormat="false" ht="19.5" hidden="false" customHeight="true" outlineLevel="0" collapsed="false">
      <c r="A342" s="29" t="s">
        <v>640</v>
      </c>
      <c r="B342" s="29" t="s">
        <v>641</v>
      </c>
      <c r="C342" s="30" t="s">
        <v>152</v>
      </c>
      <c r="D342" s="30" t="s">
        <v>625</v>
      </c>
      <c r="E342" s="31"/>
      <c r="F342" s="30"/>
      <c r="G342" s="30"/>
      <c r="H342" s="32" t="s">
        <v>428</v>
      </c>
      <c r="I342" s="33" t="s">
        <v>365</v>
      </c>
      <c r="J342" s="32" t="s">
        <v>223</v>
      </c>
      <c r="K342" s="34" t="str">
        <f aca="false">IF(OR(M342="",$E342=""),"",M342-$E342)</f>
        <v/>
      </c>
      <c r="L342" s="35" t="str">
        <f aca="false">IF(SUM(FA342:FN342)=0,"",SUM(EM342:EZ342)/SUM(FA342:FN342))</f>
        <v/>
      </c>
      <c r="M342" s="36" t="str">
        <f aca="false">IF(OR(L342="",FO342=""),"",IFERROR(MATCH(L342,INDEX(Boundaries!$B$2:$I$30,MATCH(FO342,Boundaries!$A$2:$A$30,0),0),1)-1,""))</f>
        <v/>
      </c>
      <c r="N342" s="37" t="str">
        <f aca="false">IF(COUNT($DY342:$EL342)&lt;2,"",INDEX($DK342:$DX342,MAX($DY342:$EL342))-INDEX($DK342:$DX342,MIN($DY342:$EL342)))</f>
        <v/>
      </c>
      <c r="O342" s="37" t="str">
        <f aca="false">IF(COUNT($DY342:$EL342)&lt;2,"",INDEX($DK342:$DX342,MAX($DY342:$EL342))-INDEX($DK342:$DX342,LARGE($DY342:$EL342,2)))</f>
        <v/>
      </c>
      <c r="P342" s="38" t="str">
        <f aca="false">IF(K342="","",IF(K342&gt;=0,"On/above target",IF(AND(N342&lt;&gt;"",N342&gt;=0.5),"Improving towards target",IF(AND(O342&lt;&gt;"",O342&lt;=-0.5),"Declining","Stable below target"))))</f>
        <v/>
      </c>
      <c r="Q342" s="39"/>
      <c r="R342" s="40" t="str">
        <f aca="false">IF(OR(Q342="",BU342=""),"",Q342/BU342*100)</f>
        <v/>
      </c>
      <c r="S342" s="41" t="str">
        <f aca="false">IF(R342="","",IFERROR(MATCH(R342,INDEX(Boundaries!$B$2:$I$30,MATCH(CI342,Boundaries!$A$2:$A$30,0),0),1)-1,""))</f>
        <v/>
      </c>
      <c r="T342" s="42" t="str">
        <f aca="false">IF(OR(S342="",$E342=""),"",S342-$E342)</f>
        <v/>
      </c>
      <c r="U342" s="39"/>
      <c r="V342" s="40" t="str">
        <f aca="false">IF(OR(U342="",BV342=""),"",U342/BV342*100)</f>
        <v/>
      </c>
      <c r="W342" s="41" t="str">
        <f aca="false">IF(V342="","",IFERROR(MATCH(V342,INDEX(Boundaries!$B$2:$I$30,MATCH(CJ342,Boundaries!$A$2:$A$30,0),0),1)-1,""))</f>
        <v/>
      </c>
      <c r="X342" s="42" t="str">
        <f aca="false">IF(OR(W342="",$E342=""),"",W342-$E342)</f>
        <v/>
      </c>
      <c r="Y342" s="39"/>
      <c r="Z342" s="40" t="str">
        <f aca="false">IF(OR(Y342="",BW342=""),"",Y342/BW342*100)</f>
        <v/>
      </c>
      <c r="AA342" s="41" t="str">
        <f aca="false">IF(Z342="","",IFERROR(MATCH(Z342,INDEX(Boundaries!$B$2:$I$30,MATCH(CK342,Boundaries!$A$2:$A$30,0),0),1)-1,""))</f>
        <v/>
      </c>
      <c r="AB342" s="42" t="str">
        <f aca="false">IF(OR(AA342="",$E342=""),"",AA342-$E342)</f>
        <v/>
      </c>
      <c r="AC342" s="39"/>
      <c r="AD342" s="40" t="str">
        <f aca="false">IF(OR(AC342="",BX342=""),"",AC342/BX342*100)</f>
        <v/>
      </c>
      <c r="AE342" s="41" t="str">
        <f aca="false">IF(AD342="","",IFERROR(MATCH(AD342,INDEX(Boundaries!$B$2:$I$30,MATCH(CL342,Boundaries!$A$2:$A$30,0),0),1)-1,""))</f>
        <v/>
      </c>
      <c r="AF342" s="42" t="str">
        <f aca="false">IF(OR(AE342="",$E342=""),"",AE342-$E342)</f>
        <v/>
      </c>
      <c r="AG342" s="39"/>
      <c r="AH342" s="40" t="str">
        <f aca="false">IF(OR(AG342="",BY342=""),"",AG342/BY342*100)</f>
        <v/>
      </c>
      <c r="AI342" s="41" t="str">
        <f aca="false">IF(AH342="","",IFERROR(MATCH(AH342,INDEX(Boundaries!$B$2:$I$30,MATCH(CM342,Boundaries!$A$2:$A$30,0),0),1)-1,""))</f>
        <v/>
      </c>
      <c r="AJ342" s="42" t="str">
        <f aca="false">IF(OR(AI342="",$E342=""),"",AI342-$E342)</f>
        <v/>
      </c>
      <c r="AK342" s="39"/>
      <c r="AL342" s="40" t="str">
        <f aca="false">IF(OR(AK342="",BZ342=""),"",AK342/BZ342*100)</f>
        <v/>
      </c>
      <c r="AM342" s="41" t="str">
        <f aca="false">IF(AL342="","",IFERROR(MATCH(AL342,INDEX(Boundaries!$B$2:$I$30,MATCH(CN342,Boundaries!$A$2:$A$30,0),0),1)-1,""))</f>
        <v/>
      </c>
      <c r="AN342" s="42" t="str">
        <f aca="false">IF(OR(AM342="",$E342=""),"",AM342-$E342)</f>
        <v/>
      </c>
      <c r="AO342" s="39"/>
      <c r="AP342" s="40" t="str">
        <f aca="false">IF(OR(AO342="",CA342=""),"",AO342/CA342*100)</f>
        <v/>
      </c>
      <c r="AQ342" s="41" t="str">
        <f aca="false">IF(AP342="","",IFERROR(MATCH(AP342,INDEX(Boundaries!$B$2:$I$30,MATCH(CO342,Boundaries!$A$2:$A$30,0),0),1)-1,""))</f>
        <v/>
      </c>
      <c r="AR342" s="42" t="str">
        <f aca="false">IF(OR(AQ342="",$E342=""),"",AQ342-$E342)</f>
        <v/>
      </c>
      <c r="AS342" s="39"/>
      <c r="AT342" s="40" t="str">
        <f aca="false">IF(OR(AS342="",CB342=""),"",AS342/CB342*100)</f>
        <v/>
      </c>
      <c r="AU342" s="41" t="str">
        <f aca="false">IF(AT342="","",IFERROR(MATCH(AT342,INDEX(Boundaries!$B$2:$I$30,MATCH(CP342,Boundaries!$A$2:$A$30,0),0),1)-1,""))</f>
        <v/>
      </c>
      <c r="AV342" s="42" t="str">
        <f aca="false">IF(OR(AU342="",$E342=""),"",AU342-$E342)</f>
        <v/>
      </c>
      <c r="AW342" s="39"/>
      <c r="AX342" s="40" t="str">
        <f aca="false">IF(OR(AW342="",CC342=""),"",AW342/CC342*100)</f>
        <v/>
      </c>
      <c r="AY342" s="41" t="str">
        <f aca="false">IF(AX342="","",IFERROR(MATCH(AX342,INDEX(Boundaries!$B$2:$I$30,MATCH(CQ342,Boundaries!$A$2:$A$30,0),0),1)-1,""))</f>
        <v/>
      </c>
      <c r="AZ342" s="42" t="str">
        <f aca="false">IF(OR(AY342="",$E342=""),"",AY342-$E342)</f>
        <v/>
      </c>
      <c r="BA342" s="39"/>
      <c r="BB342" s="40" t="str">
        <f aca="false">IF(OR(BA342="",CD342=""),"",BA342/CD342*100)</f>
        <v/>
      </c>
      <c r="BC342" s="41" t="str">
        <f aca="false">IF(BB342="","",IFERROR(MATCH(BB342,INDEX(Boundaries!$B$2:$I$30,MATCH(CR342,Boundaries!$A$2:$A$30,0),0),1)-1,""))</f>
        <v/>
      </c>
      <c r="BD342" s="42" t="str">
        <f aca="false">IF(OR(BC342="",$E342=""),"",BC342-$E342)</f>
        <v/>
      </c>
      <c r="BE342" s="39"/>
      <c r="BF342" s="40" t="str">
        <f aca="false">IF(OR(BE342="",CE342=""),"",BE342/CE342*100)</f>
        <v/>
      </c>
      <c r="BG342" s="41" t="str">
        <f aca="false">IF(BF342="","",IFERROR(MATCH(BF342,INDEX(Boundaries!$B$2:$I$30,MATCH(CS342,Boundaries!$A$2:$A$30,0),0),1)-1,""))</f>
        <v/>
      </c>
      <c r="BH342" s="42" t="str">
        <f aca="false">IF(OR(BG342="",$E342=""),"",BG342-$E342)</f>
        <v/>
      </c>
      <c r="BI342" s="39"/>
      <c r="BJ342" s="40" t="str">
        <f aca="false">IF(OR(BI342="",CF342=""),"",BI342/CF342*100)</f>
        <v/>
      </c>
      <c r="BK342" s="41" t="str">
        <f aca="false">IF(BJ342="","",IFERROR(MATCH(BJ342,INDEX(Boundaries!$B$2:$I$30,MATCH(CT342,Boundaries!$A$2:$A$30,0),0),1)-1,""))</f>
        <v/>
      </c>
      <c r="BL342" s="42" t="str">
        <f aca="false">IF(OR(BK342="",$E342=""),"",BK342-$E342)</f>
        <v/>
      </c>
      <c r="BM342" s="39"/>
      <c r="BN342" s="40" t="str">
        <f aca="false">IF(OR(BM342="",CG342=""),"",BM342/CG342*100)</f>
        <v/>
      </c>
      <c r="BO342" s="41" t="str">
        <f aca="false">IF(BN342="","",IFERROR(MATCH(BN342,INDEX(Boundaries!$B$2:$I$30,MATCH(CU342,Boundaries!$A$2:$A$30,0),0),1)-1,""))</f>
        <v/>
      </c>
      <c r="BP342" s="42" t="str">
        <f aca="false">IF(OR(BO342="",$E342=""),"",BO342-$E342)</f>
        <v/>
      </c>
      <c r="BQ342" s="39"/>
      <c r="BR342" s="40" t="str">
        <f aca="false">IF(OR(BQ342="",CH342=""),"",BQ342/CH342*100)</f>
        <v/>
      </c>
      <c r="BS342" s="41" t="str">
        <f aca="false">IF(BR342="","",IFERROR(MATCH(BR342,INDEX(Boundaries!$B$2:$I$30,MATCH(CV342,Boundaries!$A$2:$A$30,0),0),1)-1,""))</f>
        <v/>
      </c>
      <c r="BT342" s="42" t="str">
        <f aca="false">IF(OR(BS342="",$E342=""),"",BS342-$E342)</f>
        <v/>
      </c>
      <c r="BU342" s="28" t="n">
        <f aca="false">IFERROR(INDEX(Assessments!$H$2:$H$600,MATCH($H342&amp;"|"&amp;$I342&amp;"|"&amp;$J342&amp;"|"&amp;1,Assessments!$A$2:$A$600,0)),"")</f>
        <v>24</v>
      </c>
      <c r="BV342" s="28" t="n">
        <f aca="false">IFERROR(INDEX(Assessments!$H$2:$H$600,MATCH($H342&amp;"|"&amp;$I342&amp;"|"&amp;$J342&amp;"|"&amp;2,Assessments!$A$2:$A$600,0)),"")</f>
        <v>20</v>
      </c>
      <c r="BW342" s="28" t="n">
        <f aca="false">IFERROR(INDEX(Assessments!$H$2:$H$600,MATCH($H342&amp;"|"&amp;$I342&amp;"|"&amp;$J342&amp;"|"&amp;3,Assessments!$A$2:$A$600,0)),"")</f>
        <v>24</v>
      </c>
      <c r="BX342" s="28" t="n">
        <f aca="false">IFERROR(INDEX(Assessments!$H$2:$H$600,MATCH($H342&amp;"|"&amp;$I342&amp;"|"&amp;$J342&amp;"|"&amp;4,Assessments!$A$2:$A$600,0)),"")</f>
        <v>40</v>
      </c>
      <c r="BY342" s="28" t="n">
        <f aca="false">IFERROR(INDEX(Assessments!$H$2:$H$600,MATCH($H342&amp;"|"&amp;$I342&amp;"|"&amp;$J342&amp;"|"&amp;5,Assessments!$A$2:$A$600,0)),"")</f>
        <v>30</v>
      </c>
      <c r="BZ342" s="28" t="n">
        <f aca="false">IFERROR(INDEX(Assessments!$H$2:$H$600,MATCH($H342&amp;"|"&amp;$I342&amp;"|"&amp;$J342&amp;"|"&amp;6,Assessments!$A$2:$A$600,0)),"")</f>
        <v>20</v>
      </c>
      <c r="CA342" s="28" t="str">
        <f aca="false">IFERROR(INDEX(Assessments!$H$2:$H$600,MATCH($H342&amp;"|"&amp;$I342&amp;"|"&amp;$J342&amp;"|"&amp;7,Assessments!$A$2:$A$600,0)),"")</f>
        <v/>
      </c>
      <c r="CB342" s="28" t="str">
        <f aca="false">IFERROR(INDEX(Assessments!$H$2:$H$600,MATCH($H342&amp;"|"&amp;$I342&amp;"|"&amp;$J342&amp;"|"&amp;8,Assessments!$A$2:$A$600,0)),"")</f>
        <v/>
      </c>
      <c r="CC342" s="28" t="str">
        <f aca="false">IFERROR(INDEX(Assessments!$H$2:$H$600,MATCH($H342&amp;"|"&amp;$I342&amp;"|"&amp;$J342&amp;"|"&amp;9,Assessments!$A$2:$A$600,0)),"")</f>
        <v/>
      </c>
      <c r="CD342" s="28" t="str">
        <f aca="false">IFERROR(INDEX(Assessments!$H$2:$H$600,MATCH($H342&amp;"|"&amp;$I342&amp;"|"&amp;$J342&amp;"|"&amp;10,Assessments!$A$2:$A$600,0)),"")</f>
        <v/>
      </c>
      <c r="CE342" s="28" t="str">
        <f aca="false">IFERROR(INDEX(Assessments!$H$2:$H$600,MATCH($H342&amp;"|"&amp;$I342&amp;"|"&amp;$J342&amp;"|"&amp;11,Assessments!$A$2:$A$600,0)),"")</f>
        <v/>
      </c>
      <c r="CF342" s="28" t="str">
        <f aca="false">IFERROR(INDEX(Assessments!$H$2:$H$600,MATCH($H342&amp;"|"&amp;$I342&amp;"|"&amp;$J342&amp;"|"&amp;12,Assessments!$A$2:$A$600,0)),"")</f>
        <v/>
      </c>
      <c r="CG342" s="28" t="str">
        <f aca="false">IFERROR(INDEX(Assessments!$H$2:$H$600,MATCH($H342&amp;"|"&amp;$I342&amp;"|"&amp;$J342&amp;"|"&amp;13,Assessments!$A$2:$A$600,0)),"")</f>
        <v/>
      </c>
      <c r="CH342" s="28" t="str">
        <f aca="false">IFERROR(INDEX(Assessments!$H$2:$H$600,MATCH($H342&amp;"|"&amp;$I342&amp;"|"&amp;$J342&amp;"|"&amp;14,Assessments!$A$2:$A$600,0)),"")</f>
        <v/>
      </c>
      <c r="CI342" s="28" t="str">
        <f aca="false">IFERROR(INDEX(Assessments!$I$2:$I$600,MATCH($H342&amp;"|"&amp;$I342&amp;"|"&amp;$J342&amp;"|"&amp;1,Assessments!$A$2:$A$600,0)),"")</f>
        <v>BM Test</v>
      </c>
      <c r="CJ342" s="28" t="str">
        <f aca="false">IFERROR(INDEX(Assessments!$I$2:$I$600,MATCH($H342&amp;"|"&amp;$I342&amp;"|"&amp;$J342&amp;"|"&amp;2,Assessments!$A$2:$A$600,0)),"")</f>
        <v>BM Test</v>
      </c>
      <c r="CK342" s="28" t="str">
        <f aca="false">IFERROR(INDEX(Assessments!$I$2:$I$600,MATCH($H342&amp;"|"&amp;$I342&amp;"|"&amp;$J342&amp;"|"&amp;3,Assessments!$A$2:$A$600,0)),"")</f>
        <v>BM Test</v>
      </c>
      <c r="CL342" s="28" t="str">
        <f aca="false">IFERROR(INDEX(Assessments!$I$2:$I$600,MATCH($H342&amp;"|"&amp;$I342&amp;"|"&amp;$J342&amp;"|"&amp;4,Assessments!$A$2:$A$600,0)),"")</f>
        <v>BM Exam</v>
      </c>
      <c r="CM342" s="28" t="str">
        <f aca="false">IFERROR(INDEX(Assessments!$I$2:$I$600,MATCH($H342&amp;"|"&amp;$I342&amp;"|"&amp;$J342&amp;"|"&amp;5,Assessments!$A$2:$A$600,0)),"")</f>
        <v>BM Test</v>
      </c>
      <c r="CN342" s="28" t="str">
        <f aca="false">IFERROR(INDEX(Assessments!$I$2:$I$600,MATCH($H342&amp;"|"&amp;$I342&amp;"|"&amp;$J342&amp;"|"&amp;6,Assessments!$A$2:$A$600,0)),"")</f>
        <v>BM Test</v>
      </c>
      <c r="CO342" s="28" t="str">
        <f aca="false">IFERROR(INDEX(Assessments!$I$2:$I$600,MATCH($H342&amp;"|"&amp;$I342&amp;"|"&amp;$J342&amp;"|"&amp;7,Assessments!$A$2:$A$600,0)),"")</f>
        <v/>
      </c>
      <c r="CP342" s="28" t="str">
        <f aca="false">IFERROR(INDEX(Assessments!$I$2:$I$600,MATCH($H342&amp;"|"&amp;$I342&amp;"|"&amp;$J342&amp;"|"&amp;8,Assessments!$A$2:$A$600,0)),"")</f>
        <v/>
      </c>
      <c r="CQ342" s="28" t="str">
        <f aca="false">IFERROR(INDEX(Assessments!$I$2:$I$600,MATCH($H342&amp;"|"&amp;$I342&amp;"|"&amp;$J342&amp;"|"&amp;9,Assessments!$A$2:$A$600,0)),"")</f>
        <v/>
      </c>
      <c r="CR342" s="28" t="str">
        <f aca="false">IFERROR(INDEX(Assessments!$I$2:$I$600,MATCH($H342&amp;"|"&amp;$I342&amp;"|"&amp;$J342&amp;"|"&amp;10,Assessments!$A$2:$A$600,0)),"")</f>
        <v/>
      </c>
      <c r="CS342" s="28" t="str">
        <f aca="false">IFERROR(INDEX(Assessments!$I$2:$I$600,MATCH($H342&amp;"|"&amp;$I342&amp;"|"&amp;$J342&amp;"|"&amp;11,Assessments!$A$2:$A$600,0)),"")</f>
        <v/>
      </c>
      <c r="CT342" s="28" t="str">
        <f aca="false">IFERROR(INDEX(Assessments!$I$2:$I$600,MATCH($H342&amp;"|"&amp;$I342&amp;"|"&amp;$J342&amp;"|"&amp;12,Assessments!$A$2:$A$600,0)),"")</f>
        <v/>
      </c>
      <c r="CU342" s="28" t="str">
        <f aca="false">IFERROR(INDEX(Assessments!$I$2:$I$600,MATCH($H342&amp;"|"&amp;$I342&amp;"|"&amp;$J342&amp;"|"&amp;13,Assessments!$A$2:$A$600,0)),"")</f>
        <v/>
      </c>
      <c r="CV342" s="28" t="str">
        <f aca="false">IFERROR(INDEX(Assessments!$I$2:$I$600,MATCH($H342&amp;"|"&amp;$I342&amp;"|"&amp;$J342&amp;"|"&amp;14,Assessments!$A$2:$A$600,0)),"")</f>
        <v/>
      </c>
      <c r="CW342" s="28" t="n">
        <f aca="false">IFERROR(INDEX(Assessments!$J$2:$J$600,MATCH($H342&amp;"|"&amp;$I342&amp;"|"&amp;$J342&amp;"|"&amp;1,Assessments!$A$2:$A$600,0)),0)</f>
        <v>1</v>
      </c>
      <c r="CX342" s="28" t="n">
        <f aca="false">IFERROR(INDEX(Assessments!$J$2:$J$600,MATCH($H342&amp;"|"&amp;$I342&amp;"|"&amp;$J342&amp;"|"&amp;2,Assessments!$A$2:$A$600,0)),0)</f>
        <v>1</v>
      </c>
      <c r="CY342" s="28" t="n">
        <f aca="false">IFERROR(INDEX(Assessments!$J$2:$J$600,MATCH($H342&amp;"|"&amp;$I342&amp;"|"&amp;$J342&amp;"|"&amp;3,Assessments!$A$2:$A$600,0)),0)</f>
        <v>1</v>
      </c>
      <c r="CZ342" s="28" t="n">
        <f aca="false">IFERROR(INDEX(Assessments!$J$2:$J$600,MATCH($H342&amp;"|"&amp;$I342&amp;"|"&amp;$J342&amp;"|"&amp;4,Assessments!$A$2:$A$600,0)),0)</f>
        <v>2</v>
      </c>
      <c r="DA342" s="28" t="n">
        <f aca="false">IFERROR(INDEX(Assessments!$J$2:$J$600,MATCH($H342&amp;"|"&amp;$I342&amp;"|"&amp;$J342&amp;"|"&amp;5,Assessments!$A$2:$A$600,0)),0)</f>
        <v>1</v>
      </c>
      <c r="DB342" s="28" t="n">
        <f aca="false">IFERROR(INDEX(Assessments!$J$2:$J$600,MATCH($H342&amp;"|"&amp;$I342&amp;"|"&amp;$J342&amp;"|"&amp;6,Assessments!$A$2:$A$600,0)),0)</f>
        <v>1</v>
      </c>
      <c r="DC342" s="28" t="n">
        <f aca="false">IFERROR(INDEX(Assessments!$J$2:$J$600,MATCH($H342&amp;"|"&amp;$I342&amp;"|"&amp;$J342&amp;"|"&amp;7,Assessments!$A$2:$A$600,0)),0)</f>
        <v>0</v>
      </c>
      <c r="DD342" s="28" t="n">
        <f aca="false">IFERROR(INDEX(Assessments!$J$2:$J$600,MATCH($H342&amp;"|"&amp;$I342&amp;"|"&amp;$J342&amp;"|"&amp;8,Assessments!$A$2:$A$600,0)),0)</f>
        <v>0</v>
      </c>
      <c r="DE342" s="28" t="n">
        <f aca="false">IFERROR(INDEX(Assessments!$J$2:$J$600,MATCH($H342&amp;"|"&amp;$I342&amp;"|"&amp;$J342&amp;"|"&amp;9,Assessments!$A$2:$A$600,0)),0)</f>
        <v>0</v>
      </c>
      <c r="DF342" s="28" t="n">
        <f aca="false">IFERROR(INDEX(Assessments!$J$2:$J$600,MATCH($H342&amp;"|"&amp;$I342&amp;"|"&amp;$J342&amp;"|"&amp;10,Assessments!$A$2:$A$600,0)),0)</f>
        <v>0</v>
      </c>
      <c r="DG342" s="28" t="n">
        <f aca="false">IFERROR(INDEX(Assessments!$J$2:$J$600,MATCH($H342&amp;"|"&amp;$I342&amp;"|"&amp;$J342&amp;"|"&amp;11,Assessments!$A$2:$A$600,0)),0)</f>
        <v>0</v>
      </c>
      <c r="DH342" s="28" t="n">
        <f aca="false">IFERROR(INDEX(Assessments!$J$2:$J$600,MATCH($H342&amp;"|"&amp;$I342&amp;"|"&amp;$J342&amp;"|"&amp;12,Assessments!$A$2:$A$600,0)),0)</f>
        <v>0</v>
      </c>
      <c r="DI342" s="28" t="n">
        <f aca="false">IFERROR(INDEX(Assessments!$J$2:$J$600,MATCH($H342&amp;"|"&amp;$I342&amp;"|"&amp;$J342&amp;"|"&amp;13,Assessments!$A$2:$A$600,0)),0)</f>
        <v>0</v>
      </c>
      <c r="DJ342" s="28" t="n">
        <f aca="false">IFERROR(INDEX(Assessments!$J$2:$J$600,MATCH($H342&amp;"|"&amp;$I342&amp;"|"&amp;$J342&amp;"|"&amp;14,Assessments!$A$2:$A$600,0)),0)</f>
        <v>0</v>
      </c>
      <c r="DK342" s="28" t="str">
        <f aca="false">S342</f>
        <v/>
      </c>
      <c r="DL342" s="28" t="str">
        <f aca="false">W342</f>
        <v/>
      </c>
      <c r="DM342" s="28" t="str">
        <f aca="false">AA342</f>
        <v/>
      </c>
      <c r="DN342" s="28" t="str">
        <f aca="false">AE342</f>
        <v/>
      </c>
      <c r="DO342" s="28" t="str">
        <f aca="false">AI342</f>
        <v/>
      </c>
      <c r="DP342" s="28" t="str">
        <f aca="false">AM342</f>
        <v/>
      </c>
      <c r="DQ342" s="28" t="str">
        <f aca="false">AQ342</f>
        <v/>
      </c>
      <c r="DR342" s="28" t="str">
        <f aca="false">AU342</f>
        <v/>
      </c>
      <c r="DS342" s="28" t="str">
        <f aca="false">AY342</f>
        <v/>
      </c>
      <c r="DT342" s="28" t="str">
        <f aca="false">BC342</f>
        <v/>
      </c>
      <c r="DU342" s="28" t="str">
        <f aca="false">BG342</f>
        <v/>
      </c>
      <c r="DV342" s="28" t="str">
        <f aca="false">BK342</f>
        <v/>
      </c>
      <c r="DW342" s="28" t="str">
        <f aca="false">BO342</f>
        <v/>
      </c>
      <c r="DX342" s="28" t="str">
        <f aca="false">BS342</f>
        <v/>
      </c>
      <c r="DY342" s="28" t="str">
        <f aca="false">IF(ISNUMBER(S342),1,"")</f>
        <v/>
      </c>
      <c r="DZ342" s="28" t="str">
        <f aca="false">IF(ISNUMBER(W342),2,"")</f>
        <v/>
      </c>
      <c r="EA342" s="28" t="str">
        <f aca="false">IF(ISNUMBER(AA342),3,"")</f>
        <v/>
      </c>
      <c r="EB342" s="28" t="str">
        <f aca="false">IF(ISNUMBER(AE342),4,"")</f>
        <v/>
      </c>
      <c r="EC342" s="28" t="str">
        <f aca="false">IF(ISNUMBER(AI342),5,"")</f>
        <v/>
      </c>
      <c r="ED342" s="28" t="str">
        <f aca="false">IF(ISNUMBER(AM342),6,"")</f>
        <v/>
      </c>
      <c r="EE342" s="28" t="str">
        <f aca="false">IF(ISNUMBER(AQ342),7,"")</f>
        <v/>
      </c>
      <c r="EF342" s="28" t="str">
        <f aca="false">IF(ISNUMBER(AU342),8,"")</f>
        <v/>
      </c>
      <c r="EG342" s="28" t="str">
        <f aca="false">IF(ISNUMBER(AY342),9,"")</f>
        <v/>
      </c>
      <c r="EH342" s="28" t="str">
        <f aca="false">IF(ISNUMBER(BC342),10,"")</f>
        <v/>
      </c>
      <c r="EI342" s="28" t="str">
        <f aca="false">IF(ISNUMBER(BG342),11,"")</f>
        <v/>
      </c>
      <c r="EJ342" s="28" t="str">
        <f aca="false">IF(ISNUMBER(BK342),12,"")</f>
        <v/>
      </c>
      <c r="EK342" s="28" t="str">
        <f aca="false">IF(ISNUMBER(BO342),13,"")</f>
        <v/>
      </c>
      <c r="EL342" s="28" t="str">
        <f aca="false">IF(ISNUMBER(BS342),14,"")</f>
        <v/>
      </c>
      <c r="EM342" s="28" t="n">
        <f aca="false">IF(ISNUMBER(R342),R342*CW342,0)</f>
        <v>0</v>
      </c>
      <c r="EN342" s="28" t="n">
        <f aca="false">IF(ISNUMBER(V342),V342*CX342,0)</f>
        <v>0</v>
      </c>
      <c r="EO342" s="28" t="n">
        <f aca="false">IF(ISNUMBER(Z342),Z342*CY342,0)</f>
        <v>0</v>
      </c>
      <c r="EP342" s="28" t="n">
        <f aca="false">IF(ISNUMBER(AD342),AD342*CZ342,0)</f>
        <v>0</v>
      </c>
      <c r="EQ342" s="28" t="n">
        <f aca="false">IF(ISNUMBER(AH342),AH342*DA342,0)</f>
        <v>0</v>
      </c>
      <c r="ER342" s="28" t="n">
        <f aca="false">IF(ISNUMBER(AL342),AL342*DB342,0)</f>
        <v>0</v>
      </c>
      <c r="ES342" s="28" t="n">
        <f aca="false">IF(ISNUMBER(AP342),AP342*DC342,0)</f>
        <v>0</v>
      </c>
      <c r="ET342" s="28" t="n">
        <f aca="false">IF(ISNUMBER(AT342),AT342*DD342,0)</f>
        <v>0</v>
      </c>
      <c r="EU342" s="28" t="n">
        <f aca="false">IF(ISNUMBER(AX342),AX342*DE342,0)</f>
        <v>0</v>
      </c>
      <c r="EV342" s="28" t="n">
        <f aca="false">IF(ISNUMBER(BB342),BB342*DF342,0)</f>
        <v>0</v>
      </c>
      <c r="EW342" s="28" t="n">
        <f aca="false">IF(ISNUMBER(BF342),BF342*DG342,0)</f>
        <v>0</v>
      </c>
      <c r="EX342" s="28" t="n">
        <f aca="false">IF(ISNUMBER(BJ342),BJ342*DH342,0)</f>
        <v>0</v>
      </c>
      <c r="EY342" s="28" t="n">
        <f aca="false">IF(ISNUMBER(BN342),BN342*DI342,0)</f>
        <v>0</v>
      </c>
      <c r="EZ342" s="28" t="n">
        <f aca="false">IF(ISNUMBER(BR342),BR342*DJ342,0)</f>
        <v>0</v>
      </c>
      <c r="FA342" s="28" t="n">
        <f aca="false">IF(ISNUMBER(R342),CW342,0)</f>
        <v>0</v>
      </c>
      <c r="FB342" s="28" t="n">
        <f aca="false">IF(ISNUMBER(V342),CX342,0)</f>
        <v>0</v>
      </c>
      <c r="FC342" s="28" t="n">
        <f aca="false">IF(ISNUMBER(Z342),CY342,0)</f>
        <v>0</v>
      </c>
      <c r="FD342" s="28" t="n">
        <f aca="false">IF(ISNUMBER(AD342),CZ342,0)</f>
        <v>0</v>
      </c>
      <c r="FE342" s="28" t="n">
        <f aca="false">IF(ISNUMBER(AH342),DA342,0)</f>
        <v>0</v>
      </c>
      <c r="FF342" s="28" t="n">
        <f aca="false">IF(ISNUMBER(AL342),DB342,0)</f>
        <v>0</v>
      </c>
      <c r="FG342" s="28" t="n">
        <f aca="false">IF(ISNUMBER(AP342),DC342,0)</f>
        <v>0</v>
      </c>
      <c r="FH342" s="28" t="n">
        <f aca="false">IF(ISNUMBER(AT342),DD342,0)</f>
        <v>0</v>
      </c>
      <c r="FI342" s="28" t="n">
        <f aca="false">IF(ISNUMBER(AX342),DE342,0)</f>
        <v>0</v>
      </c>
      <c r="FJ342" s="28" t="n">
        <f aca="false">IF(ISNUMBER(BB342),DF342,0)</f>
        <v>0</v>
      </c>
      <c r="FK342" s="28" t="n">
        <f aca="false">IF(ISNUMBER(BF342),DG342,0)</f>
        <v>0</v>
      </c>
      <c r="FL342" s="28" t="n">
        <f aca="false">IF(ISNUMBER(BJ342),DH342,0)</f>
        <v>0</v>
      </c>
      <c r="FM342" s="28" t="n">
        <f aca="false">IF(ISNUMBER(BN342),DI342,0)</f>
        <v>0</v>
      </c>
      <c r="FN342" s="28" t="n">
        <f aca="false">IF(ISNUMBER(BR342),DJ342,0)</f>
        <v>0</v>
      </c>
      <c r="FO342" s="28" t="str">
        <f aca="false">IFERROR(INDEX(Lists!$G$2:$G$20,MATCH($I342&amp;"|"&amp;$J342,Lists!$F$2:$F$20,0)),"")</f>
        <v>BM Exam</v>
      </c>
    </row>
    <row r="343" customFormat="false" ht="19.5" hidden="false" customHeight="true" outlineLevel="0" collapsed="false">
      <c r="A343" s="29" t="s">
        <v>642</v>
      </c>
      <c r="B343" s="29" t="s">
        <v>643</v>
      </c>
      <c r="C343" s="30" t="s">
        <v>152</v>
      </c>
      <c r="D343" s="30" t="s">
        <v>625</v>
      </c>
      <c r="E343" s="31"/>
      <c r="F343" s="30"/>
      <c r="G343" s="30"/>
      <c r="H343" s="32" t="s">
        <v>428</v>
      </c>
      <c r="I343" s="33" t="s">
        <v>365</v>
      </c>
      <c r="J343" s="32" t="s">
        <v>223</v>
      </c>
      <c r="K343" s="34" t="str">
        <f aca="false">IF(OR(M343="",$E343=""),"",M343-$E343)</f>
        <v/>
      </c>
      <c r="L343" s="35" t="str">
        <f aca="false">IF(SUM(FA343:FN343)=0,"",SUM(EM343:EZ343)/SUM(FA343:FN343))</f>
        <v/>
      </c>
      <c r="M343" s="36" t="str">
        <f aca="false">IF(OR(L343="",FO343=""),"",IFERROR(MATCH(L343,INDEX(Boundaries!$B$2:$I$30,MATCH(FO343,Boundaries!$A$2:$A$30,0),0),1)-1,""))</f>
        <v/>
      </c>
      <c r="N343" s="37" t="str">
        <f aca="false">IF(COUNT($DY343:$EL343)&lt;2,"",INDEX($DK343:$DX343,MAX($DY343:$EL343))-INDEX($DK343:$DX343,MIN($DY343:$EL343)))</f>
        <v/>
      </c>
      <c r="O343" s="37" t="str">
        <f aca="false">IF(COUNT($DY343:$EL343)&lt;2,"",INDEX($DK343:$DX343,MAX($DY343:$EL343))-INDEX($DK343:$DX343,LARGE($DY343:$EL343,2)))</f>
        <v/>
      </c>
      <c r="P343" s="38" t="str">
        <f aca="false">IF(K343="","",IF(K343&gt;=0,"On/above target",IF(AND(N343&lt;&gt;"",N343&gt;=0.5),"Improving towards target",IF(AND(O343&lt;&gt;"",O343&lt;=-0.5),"Declining","Stable below target"))))</f>
        <v/>
      </c>
      <c r="Q343" s="39"/>
      <c r="R343" s="40" t="str">
        <f aca="false">IF(OR(Q343="",BU343=""),"",Q343/BU343*100)</f>
        <v/>
      </c>
      <c r="S343" s="41" t="str">
        <f aca="false">IF(R343="","",IFERROR(MATCH(R343,INDEX(Boundaries!$B$2:$I$30,MATCH(CI343,Boundaries!$A$2:$A$30,0),0),1)-1,""))</f>
        <v/>
      </c>
      <c r="T343" s="42" t="str">
        <f aca="false">IF(OR(S343="",$E343=""),"",S343-$E343)</f>
        <v/>
      </c>
      <c r="U343" s="39"/>
      <c r="V343" s="40" t="str">
        <f aca="false">IF(OR(U343="",BV343=""),"",U343/BV343*100)</f>
        <v/>
      </c>
      <c r="W343" s="41" t="str">
        <f aca="false">IF(V343="","",IFERROR(MATCH(V343,INDEX(Boundaries!$B$2:$I$30,MATCH(CJ343,Boundaries!$A$2:$A$30,0),0),1)-1,""))</f>
        <v/>
      </c>
      <c r="X343" s="42" t="str">
        <f aca="false">IF(OR(W343="",$E343=""),"",W343-$E343)</f>
        <v/>
      </c>
      <c r="Y343" s="39"/>
      <c r="Z343" s="40" t="str">
        <f aca="false">IF(OR(Y343="",BW343=""),"",Y343/BW343*100)</f>
        <v/>
      </c>
      <c r="AA343" s="41" t="str">
        <f aca="false">IF(Z343="","",IFERROR(MATCH(Z343,INDEX(Boundaries!$B$2:$I$30,MATCH(CK343,Boundaries!$A$2:$A$30,0),0),1)-1,""))</f>
        <v/>
      </c>
      <c r="AB343" s="42" t="str">
        <f aca="false">IF(OR(AA343="",$E343=""),"",AA343-$E343)</f>
        <v/>
      </c>
      <c r="AC343" s="39"/>
      <c r="AD343" s="40" t="str">
        <f aca="false">IF(OR(AC343="",BX343=""),"",AC343/BX343*100)</f>
        <v/>
      </c>
      <c r="AE343" s="41" t="str">
        <f aca="false">IF(AD343="","",IFERROR(MATCH(AD343,INDEX(Boundaries!$B$2:$I$30,MATCH(CL343,Boundaries!$A$2:$A$30,0),0),1)-1,""))</f>
        <v/>
      </c>
      <c r="AF343" s="42" t="str">
        <f aca="false">IF(OR(AE343="",$E343=""),"",AE343-$E343)</f>
        <v/>
      </c>
      <c r="AG343" s="39"/>
      <c r="AH343" s="40" t="str">
        <f aca="false">IF(OR(AG343="",BY343=""),"",AG343/BY343*100)</f>
        <v/>
      </c>
      <c r="AI343" s="41" t="str">
        <f aca="false">IF(AH343="","",IFERROR(MATCH(AH343,INDEX(Boundaries!$B$2:$I$30,MATCH(CM343,Boundaries!$A$2:$A$30,0),0),1)-1,""))</f>
        <v/>
      </c>
      <c r="AJ343" s="42" t="str">
        <f aca="false">IF(OR(AI343="",$E343=""),"",AI343-$E343)</f>
        <v/>
      </c>
      <c r="AK343" s="39"/>
      <c r="AL343" s="40" t="str">
        <f aca="false">IF(OR(AK343="",BZ343=""),"",AK343/BZ343*100)</f>
        <v/>
      </c>
      <c r="AM343" s="41" t="str">
        <f aca="false">IF(AL343="","",IFERROR(MATCH(AL343,INDEX(Boundaries!$B$2:$I$30,MATCH(CN343,Boundaries!$A$2:$A$30,0),0),1)-1,""))</f>
        <v/>
      </c>
      <c r="AN343" s="42" t="str">
        <f aca="false">IF(OR(AM343="",$E343=""),"",AM343-$E343)</f>
        <v/>
      </c>
      <c r="AO343" s="39"/>
      <c r="AP343" s="40" t="str">
        <f aca="false">IF(OR(AO343="",CA343=""),"",AO343/CA343*100)</f>
        <v/>
      </c>
      <c r="AQ343" s="41" t="str">
        <f aca="false">IF(AP343="","",IFERROR(MATCH(AP343,INDEX(Boundaries!$B$2:$I$30,MATCH(CO343,Boundaries!$A$2:$A$30,0),0),1)-1,""))</f>
        <v/>
      </c>
      <c r="AR343" s="42" t="str">
        <f aca="false">IF(OR(AQ343="",$E343=""),"",AQ343-$E343)</f>
        <v/>
      </c>
      <c r="AS343" s="39"/>
      <c r="AT343" s="40" t="str">
        <f aca="false">IF(OR(AS343="",CB343=""),"",AS343/CB343*100)</f>
        <v/>
      </c>
      <c r="AU343" s="41" t="str">
        <f aca="false">IF(AT343="","",IFERROR(MATCH(AT343,INDEX(Boundaries!$B$2:$I$30,MATCH(CP343,Boundaries!$A$2:$A$30,0),0),1)-1,""))</f>
        <v/>
      </c>
      <c r="AV343" s="42" t="str">
        <f aca="false">IF(OR(AU343="",$E343=""),"",AU343-$E343)</f>
        <v/>
      </c>
      <c r="AW343" s="39"/>
      <c r="AX343" s="40" t="str">
        <f aca="false">IF(OR(AW343="",CC343=""),"",AW343/CC343*100)</f>
        <v/>
      </c>
      <c r="AY343" s="41" t="str">
        <f aca="false">IF(AX343="","",IFERROR(MATCH(AX343,INDEX(Boundaries!$B$2:$I$30,MATCH(CQ343,Boundaries!$A$2:$A$30,0),0),1)-1,""))</f>
        <v/>
      </c>
      <c r="AZ343" s="42" t="str">
        <f aca="false">IF(OR(AY343="",$E343=""),"",AY343-$E343)</f>
        <v/>
      </c>
      <c r="BA343" s="39"/>
      <c r="BB343" s="40" t="str">
        <f aca="false">IF(OR(BA343="",CD343=""),"",BA343/CD343*100)</f>
        <v/>
      </c>
      <c r="BC343" s="41" t="str">
        <f aca="false">IF(BB343="","",IFERROR(MATCH(BB343,INDEX(Boundaries!$B$2:$I$30,MATCH(CR343,Boundaries!$A$2:$A$30,0),0),1)-1,""))</f>
        <v/>
      </c>
      <c r="BD343" s="42" t="str">
        <f aca="false">IF(OR(BC343="",$E343=""),"",BC343-$E343)</f>
        <v/>
      </c>
      <c r="BE343" s="39"/>
      <c r="BF343" s="40" t="str">
        <f aca="false">IF(OR(BE343="",CE343=""),"",BE343/CE343*100)</f>
        <v/>
      </c>
      <c r="BG343" s="41" t="str">
        <f aca="false">IF(BF343="","",IFERROR(MATCH(BF343,INDEX(Boundaries!$B$2:$I$30,MATCH(CS343,Boundaries!$A$2:$A$30,0),0),1)-1,""))</f>
        <v/>
      </c>
      <c r="BH343" s="42" t="str">
        <f aca="false">IF(OR(BG343="",$E343=""),"",BG343-$E343)</f>
        <v/>
      </c>
      <c r="BI343" s="39"/>
      <c r="BJ343" s="40" t="str">
        <f aca="false">IF(OR(BI343="",CF343=""),"",BI343/CF343*100)</f>
        <v/>
      </c>
      <c r="BK343" s="41" t="str">
        <f aca="false">IF(BJ343="","",IFERROR(MATCH(BJ343,INDEX(Boundaries!$B$2:$I$30,MATCH(CT343,Boundaries!$A$2:$A$30,0),0),1)-1,""))</f>
        <v/>
      </c>
      <c r="BL343" s="42" t="str">
        <f aca="false">IF(OR(BK343="",$E343=""),"",BK343-$E343)</f>
        <v/>
      </c>
      <c r="BM343" s="39"/>
      <c r="BN343" s="40" t="str">
        <f aca="false">IF(OR(BM343="",CG343=""),"",BM343/CG343*100)</f>
        <v/>
      </c>
      <c r="BO343" s="41" t="str">
        <f aca="false">IF(BN343="","",IFERROR(MATCH(BN343,INDEX(Boundaries!$B$2:$I$30,MATCH(CU343,Boundaries!$A$2:$A$30,0),0),1)-1,""))</f>
        <v/>
      </c>
      <c r="BP343" s="42" t="str">
        <f aca="false">IF(OR(BO343="",$E343=""),"",BO343-$E343)</f>
        <v/>
      </c>
      <c r="BQ343" s="39"/>
      <c r="BR343" s="40" t="str">
        <f aca="false">IF(OR(BQ343="",CH343=""),"",BQ343/CH343*100)</f>
        <v/>
      </c>
      <c r="BS343" s="41" t="str">
        <f aca="false">IF(BR343="","",IFERROR(MATCH(BR343,INDEX(Boundaries!$B$2:$I$30,MATCH(CV343,Boundaries!$A$2:$A$30,0),0),1)-1,""))</f>
        <v/>
      </c>
      <c r="BT343" s="42" t="str">
        <f aca="false">IF(OR(BS343="",$E343=""),"",BS343-$E343)</f>
        <v/>
      </c>
      <c r="BU343" s="28" t="n">
        <f aca="false">IFERROR(INDEX(Assessments!$H$2:$H$600,MATCH($H343&amp;"|"&amp;$I343&amp;"|"&amp;$J343&amp;"|"&amp;1,Assessments!$A$2:$A$600,0)),"")</f>
        <v>24</v>
      </c>
      <c r="BV343" s="28" t="n">
        <f aca="false">IFERROR(INDEX(Assessments!$H$2:$H$600,MATCH($H343&amp;"|"&amp;$I343&amp;"|"&amp;$J343&amp;"|"&amp;2,Assessments!$A$2:$A$600,0)),"")</f>
        <v>20</v>
      </c>
      <c r="BW343" s="28" t="n">
        <f aca="false">IFERROR(INDEX(Assessments!$H$2:$H$600,MATCH($H343&amp;"|"&amp;$I343&amp;"|"&amp;$J343&amp;"|"&amp;3,Assessments!$A$2:$A$600,0)),"")</f>
        <v>24</v>
      </c>
      <c r="BX343" s="28" t="n">
        <f aca="false">IFERROR(INDEX(Assessments!$H$2:$H$600,MATCH($H343&amp;"|"&amp;$I343&amp;"|"&amp;$J343&amp;"|"&amp;4,Assessments!$A$2:$A$600,0)),"")</f>
        <v>40</v>
      </c>
      <c r="BY343" s="28" t="n">
        <f aca="false">IFERROR(INDEX(Assessments!$H$2:$H$600,MATCH($H343&amp;"|"&amp;$I343&amp;"|"&amp;$J343&amp;"|"&amp;5,Assessments!$A$2:$A$600,0)),"")</f>
        <v>30</v>
      </c>
      <c r="BZ343" s="28" t="n">
        <f aca="false">IFERROR(INDEX(Assessments!$H$2:$H$600,MATCH($H343&amp;"|"&amp;$I343&amp;"|"&amp;$J343&amp;"|"&amp;6,Assessments!$A$2:$A$600,0)),"")</f>
        <v>20</v>
      </c>
      <c r="CA343" s="28" t="str">
        <f aca="false">IFERROR(INDEX(Assessments!$H$2:$H$600,MATCH($H343&amp;"|"&amp;$I343&amp;"|"&amp;$J343&amp;"|"&amp;7,Assessments!$A$2:$A$600,0)),"")</f>
        <v/>
      </c>
      <c r="CB343" s="28" t="str">
        <f aca="false">IFERROR(INDEX(Assessments!$H$2:$H$600,MATCH($H343&amp;"|"&amp;$I343&amp;"|"&amp;$J343&amp;"|"&amp;8,Assessments!$A$2:$A$600,0)),"")</f>
        <v/>
      </c>
      <c r="CC343" s="28" t="str">
        <f aca="false">IFERROR(INDEX(Assessments!$H$2:$H$600,MATCH($H343&amp;"|"&amp;$I343&amp;"|"&amp;$J343&amp;"|"&amp;9,Assessments!$A$2:$A$600,0)),"")</f>
        <v/>
      </c>
      <c r="CD343" s="28" t="str">
        <f aca="false">IFERROR(INDEX(Assessments!$H$2:$H$600,MATCH($H343&amp;"|"&amp;$I343&amp;"|"&amp;$J343&amp;"|"&amp;10,Assessments!$A$2:$A$600,0)),"")</f>
        <v/>
      </c>
      <c r="CE343" s="28" t="str">
        <f aca="false">IFERROR(INDEX(Assessments!$H$2:$H$600,MATCH($H343&amp;"|"&amp;$I343&amp;"|"&amp;$J343&amp;"|"&amp;11,Assessments!$A$2:$A$600,0)),"")</f>
        <v/>
      </c>
      <c r="CF343" s="28" t="str">
        <f aca="false">IFERROR(INDEX(Assessments!$H$2:$H$600,MATCH($H343&amp;"|"&amp;$I343&amp;"|"&amp;$J343&amp;"|"&amp;12,Assessments!$A$2:$A$600,0)),"")</f>
        <v/>
      </c>
      <c r="CG343" s="28" t="str">
        <f aca="false">IFERROR(INDEX(Assessments!$H$2:$H$600,MATCH($H343&amp;"|"&amp;$I343&amp;"|"&amp;$J343&amp;"|"&amp;13,Assessments!$A$2:$A$600,0)),"")</f>
        <v/>
      </c>
      <c r="CH343" s="28" t="str">
        <f aca="false">IFERROR(INDEX(Assessments!$H$2:$H$600,MATCH($H343&amp;"|"&amp;$I343&amp;"|"&amp;$J343&amp;"|"&amp;14,Assessments!$A$2:$A$600,0)),"")</f>
        <v/>
      </c>
      <c r="CI343" s="28" t="str">
        <f aca="false">IFERROR(INDEX(Assessments!$I$2:$I$600,MATCH($H343&amp;"|"&amp;$I343&amp;"|"&amp;$J343&amp;"|"&amp;1,Assessments!$A$2:$A$600,0)),"")</f>
        <v>BM Test</v>
      </c>
      <c r="CJ343" s="28" t="str">
        <f aca="false">IFERROR(INDEX(Assessments!$I$2:$I$600,MATCH($H343&amp;"|"&amp;$I343&amp;"|"&amp;$J343&amp;"|"&amp;2,Assessments!$A$2:$A$600,0)),"")</f>
        <v>BM Test</v>
      </c>
      <c r="CK343" s="28" t="str">
        <f aca="false">IFERROR(INDEX(Assessments!$I$2:$I$600,MATCH($H343&amp;"|"&amp;$I343&amp;"|"&amp;$J343&amp;"|"&amp;3,Assessments!$A$2:$A$600,0)),"")</f>
        <v>BM Test</v>
      </c>
      <c r="CL343" s="28" t="str">
        <f aca="false">IFERROR(INDEX(Assessments!$I$2:$I$600,MATCH($H343&amp;"|"&amp;$I343&amp;"|"&amp;$J343&amp;"|"&amp;4,Assessments!$A$2:$A$600,0)),"")</f>
        <v>BM Exam</v>
      </c>
      <c r="CM343" s="28" t="str">
        <f aca="false">IFERROR(INDEX(Assessments!$I$2:$I$600,MATCH($H343&amp;"|"&amp;$I343&amp;"|"&amp;$J343&amp;"|"&amp;5,Assessments!$A$2:$A$600,0)),"")</f>
        <v>BM Test</v>
      </c>
      <c r="CN343" s="28" t="str">
        <f aca="false">IFERROR(INDEX(Assessments!$I$2:$I$600,MATCH($H343&amp;"|"&amp;$I343&amp;"|"&amp;$J343&amp;"|"&amp;6,Assessments!$A$2:$A$600,0)),"")</f>
        <v>BM Test</v>
      </c>
      <c r="CO343" s="28" t="str">
        <f aca="false">IFERROR(INDEX(Assessments!$I$2:$I$600,MATCH($H343&amp;"|"&amp;$I343&amp;"|"&amp;$J343&amp;"|"&amp;7,Assessments!$A$2:$A$600,0)),"")</f>
        <v/>
      </c>
      <c r="CP343" s="28" t="str">
        <f aca="false">IFERROR(INDEX(Assessments!$I$2:$I$600,MATCH($H343&amp;"|"&amp;$I343&amp;"|"&amp;$J343&amp;"|"&amp;8,Assessments!$A$2:$A$600,0)),"")</f>
        <v/>
      </c>
      <c r="CQ343" s="28" t="str">
        <f aca="false">IFERROR(INDEX(Assessments!$I$2:$I$600,MATCH($H343&amp;"|"&amp;$I343&amp;"|"&amp;$J343&amp;"|"&amp;9,Assessments!$A$2:$A$600,0)),"")</f>
        <v/>
      </c>
      <c r="CR343" s="28" t="str">
        <f aca="false">IFERROR(INDEX(Assessments!$I$2:$I$600,MATCH($H343&amp;"|"&amp;$I343&amp;"|"&amp;$J343&amp;"|"&amp;10,Assessments!$A$2:$A$600,0)),"")</f>
        <v/>
      </c>
      <c r="CS343" s="28" t="str">
        <f aca="false">IFERROR(INDEX(Assessments!$I$2:$I$600,MATCH($H343&amp;"|"&amp;$I343&amp;"|"&amp;$J343&amp;"|"&amp;11,Assessments!$A$2:$A$600,0)),"")</f>
        <v/>
      </c>
      <c r="CT343" s="28" t="str">
        <f aca="false">IFERROR(INDEX(Assessments!$I$2:$I$600,MATCH($H343&amp;"|"&amp;$I343&amp;"|"&amp;$J343&amp;"|"&amp;12,Assessments!$A$2:$A$600,0)),"")</f>
        <v/>
      </c>
      <c r="CU343" s="28" t="str">
        <f aca="false">IFERROR(INDEX(Assessments!$I$2:$I$600,MATCH($H343&amp;"|"&amp;$I343&amp;"|"&amp;$J343&amp;"|"&amp;13,Assessments!$A$2:$A$600,0)),"")</f>
        <v/>
      </c>
      <c r="CV343" s="28" t="str">
        <f aca="false">IFERROR(INDEX(Assessments!$I$2:$I$600,MATCH($H343&amp;"|"&amp;$I343&amp;"|"&amp;$J343&amp;"|"&amp;14,Assessments!$A$2:$A$600,0)),"")</f>
        <v/>
      </c>
      <c r="CW343" s="28" t="n">
        <f aca="false">IFERROR(INDEX(Assessments!$J$2:$J$600,MATCH($H343&amp;"|"&amp;$I343&amp;"|"&amp;$J343&amp;"|"&amp;1,Assessments!$A$2:$A$600,0)),0)</f>
        <v>1</v>
      </c>
      <c r="CX343" s="28" t="n">
        <f aca="false">IFERROR(INDEX(Assessments!$J$2:$J$600,MATCH($H343&amp;"|"&amp;$I343&amp;"|"&amp;$J343&amp;"|"&amp;2,Assessments!$A$2:$A$600,0)),0)</f>
        <v>1</v>
      </c>
      <c r="CY343" s="28" t="n">
        <f aca="false">IFERROR(INDEX(Assessments!$J$2:$J$600,MATCH($H343&amp;"|"&amp;$I343&amp;"|"&amp;$J343&amp;"|"&amp;3,Assessments!$A$2:$A$600,0)),0)</f>
        <v>1</v>
      </c>
      <c r="CZ343" s="28" t="n">
        <f aca="false">IFERROR(INDEX(Assessments!$J$2:$J$600,MATCH($H343&amp;"|"&amp;$I343&amp;"|"&amp;$J343&amp;"|"&amp;4,Assessments!$A$2:$A$600,0)),0)</f>
        <v>2</v>
      </c>
      <c r="DA343" s="28" t="n">
        <f aca="false">IFERROR(INDEX(Assessments!$J$2:$J$600,MATCH($H343&amp;"|"&amp;$I343&amp;"|"&amp;$J343&amp;"|"&amp;5,Assessments!$A$2:$A$600,0)),0)</f>
        <v>1</v>
      </c>
      <c r="DB343" s="28" t="n">
        <f aca="false">IFERROR(INDEX(Assessments!$J$2:$J$600,MATCH($H343&amp;"|"&amp;$I343&amp;"|"&amp;$J343&amp;"|"&amp;6,Assessments!$A$2:$A$600,0)),0)</f>
        <v>1</v>
      </c>
      <c r="DC343" s="28" t="n">
        <f aca="false">IFERROR(INDEX(Assessments!$J$2:$J$600,MATCH($H343&amp;"|"&amp;$I343&amp;"|"&amp;$J343&amp;"|"&amp;7,Assessments!$A$2:$A$600,0)),0)</f>
        <v>0</v>
      </c>
      <c r="DD343" s="28" t="n">
        <f aca="false">IFERROR(INDEX(Assessments!$J$2:$J$600,MATCH($H343&amp;"|"&amp;$I343&amp;"|"&amp;$J343&amp;"|"&amp;8,Assessments!$A$2:$A$600,0)),0)</f>
        <v>0</v>
      </c>
      <c r="DE343" s="28" t="n">
        <f aca="false">IFERROR(INDEX(Assessments!$J$2:$J$600,MATCH($H343&amp;"|"&amp;$I343&amp;"|"&amp;$J343&amp;"|"&amp;9,Assessments!$A$2:$A$600,0)),0)</f>
        <v>0</v>
      </c>
      <c r="DF343" s="28" t="n">
        <f aca="false">IFERROR(INDEX(Assessments!$J$2:$J$600,MATCH($H343&amp;"|"&amp;$I343&amp;"|"&amp;$J343&amp;"|"&amp;10,Assessments!$A$2:$A$600,0)),0)</f>
        <v>0</v>
      </c>
      <c r="DG343" s="28" t="n">
        <f aca="false">IFERROR(INDEX(Assessments!$J$2:$J$600,MATCH($H343&amp;"|"&amp;$I343&amp;"|"&amp;$J343&amp;"|"&amp;11,Assessments!$A$2:$A$600,0)),0)</f>
        <v>0</v>
      </c>
      <c r="DH343" s="28" t="n">
        <f aca="false">IFERROR(INDEX(Assessments!$J$2:$J$600,MATCH($H343&amp;"|"&amp;$I343&amp;"|"&amp;$J343&amp;"|"&amp;12,Assessments!$A$2:$A$600,0)),0)</f>
        <v>0</v>
      </c>
      <c r="DI343" s="28" t="n">
        <f aca="false">IFERROR(INDEX(Assessments!$J$2:$J$600,MATCH($H343&amp;"|"&amp;$I343&amp;"|"&amp;$J343&amp;"|"&amp;13,Assessments!$A$2:$A$600,0)),0)</f>
        <v>0</v>
      </c>
      <c r="DJ343" s="28" t="n">
        <f aca="false">IFERROR(INDEX(Assessments!$J$2:$J$600,MATCH($H343&amp;"|"&amp;$I343&amp;"|"&amp;$J343&amp;"|"&amp;14,Assessments!$A$2:$A$600,0)),0)</f>
        <v>0</v>
      </c>
      <c r="DK343" s="28" t="str">
        <f aca="false">S343</f>
        <v/>
      </c>
      <c r="DL343" s="28" t="str">
        <f aca="false">W343</f>
        <v/>
      </c>
      <c r="DM343" s="28" t="str">
        <f aca="false">AA343</f>
        <v/>
      </c>
      <c r="DN343" s="28" t="str">
        <f aca="false">AE343</f>
        <v/>
      </c>
      <c r="DO343" s="28" t="str">
        <f aca="false">AI343</f>
        <v/>
      </c>
      <c r="DP343" s="28" t="str">
        <f aca="false">AM343</f>
        <v/>
      </c>
      <c r="DQ343" s="28" t="str">
        <f aca="false">AQ343</f>
        <v/>
      </c>
      <c r="DR343" s="28" t="str">
        <f aca="false">AU343</f>
        <v/>
      </c>
      <c r="DS343" s="28" t="str">
        <f aca="false">AY343</f>
        <v/>
      </c>
      <c r="DT343" s="28" t="str">
        <f aca="false">BC343</f>
        <v/>
      </c>
      <c r="DU343" s="28" t="str">
        <f aca="false">BG343</f>
        <v/>
      </c>
      <c r="DV343" s="28" t="str">
        <f aca="false">BK343</f>
        <v/>
      </c>
      <c r="DW343" s="28" t="str">
        <f aca="false">BO343</f>
        <v/>
      </c>
      <c r="DX343" s="28" t="str">
        <f aca="false">BS343</f>
        <v/>
      </c>
      <c r="DY343" s="28" t="str">
        <f aca="false">IF(ISNUMBER(S343),1,"")</f>
        <v/>
      </c>
      <c r="DZ343" s="28" t="str">
        <f aca="false">IF(ISNUMBER(W343),2,"")</f>
        <v/>
      </c>
      <c r="EA343" s="28" t="str">
        <f aca="false">IF(ISNUMBER(AA343),3,"")</f>
        <v/>
      </c>
      <c r="EB343" s="28" t="str">
        <f aca="false">IF(ISNUMBER(AE343),4,"")</f>
        <v/>
      </c>
      <c r="EC343" s="28" t="str">
        <f aca="false">IF(ISNUMBER(AI343),5,"")</f>
        <v/>
      </c>
      <c r="ED343" s="28" t="str">
        <f aca="false">IF(ISNUMBER(AM343),6,"")</f>
        <v/>
      </c>
      <c r="EE343" s="28" t="str">
        <f aca="false">IF(ISNUMBER(AQ343),7,"")</f>
        <v/>
      </c>
      <c r="EF343" s="28" t="str">
        <f aca="false">IF(ISNUMBER(AU343),8,"")</f>
        <v/>
      </c>
      <c r="EG343" s="28" t="str">
        <f aca="false">IF(ISNUMBER(AY343),9,"")</f>
        <v/>
      </c>
      <c r="EH343" s="28" t="str">
        <f aca="false">IF(ISNUMBER(BC343),10,"")</f>
        <v/>
      </c>
      <c r="EI343" s="28" t="str">
        <f aca="false">IF(ISNUMBER(BG343),11,"")</f>
        <v/>
      </c>
      <c r="EJ343" s="28" t="str">
        <f aca="false">IF(ISNUMBER(BK343),12,"")</f>
        <v/>
      </c>
      <c r="EK343" s="28" t="str">
        <f aca="false">IF(ISNUMBER(BO343),13,"")</f>
        <v/>
      </c>
      <c r="EL343" s="28" t="str">
        <f aca="false">IF(ISNUMBER(BS343),14,"")</f>
        <v/>
      </c>
      <c r="EM343" s="28" t="n">
        <f aca="false">IF(ISNUMBER(R343),R343*CW343,0)</f>
        <v>0</v>
      </c>
      <c r="EN343" s="28" t="n">
        <f aca="false">IF(ISNUMBER(V343),V343*CX343,0)</f>
        <v>0</v>
      </c>
      <c r="EO343" s="28" t="n">
        <f aca="false">IF(ISNUMBER(Z343),Z343*CY343,0)</f>
        <v>0</v>
      </c>
      <c r="EP343" s="28" t="n">
        <f aca="false">IF(ISNUMBER(AD343),AD343*CZ343,0)</f>
        <v>0</v>
      </c>
      <c r="EQ343" s="28" t="n">
        <f aca="false">IF(ISNUMBER(AH343),AH343*DA343,0)</f>
        <v>0</v>
      </c>
      <c r="ER343" s="28" t="n">
        <f aca="false">IF(ISNUMBER(AL343),AL343*DB343,0)</f>
        <v>0</v>
      </c>
      <c r="ES343" s="28" t="n">
        <f aca="false">IF(ISNUMBER(AP343),AP343*DC343,0)</f>
        <v>0</v>
      </c>
      <c r="ET343" s="28" t="n">
        <f aca="false">IF(ISNUMBER(AT343),AT343*DD343,0)</f>
        <v>0</v>
      </c>
      <c r="EU343" s="28" t="n">
        <f aca="false">IF(ISNUMBER(AX343),AX343*DE343,0)</f>
        <v>0</v>
      </c>
      <c r="EV343" s="28" t="n">
        <f aca="false">IF(ISNUMBER(BB343),BB343*DF343,0)</f>
        <v>0</v>
      </c>
      <c r="EW343" s="28" t="n">
        <f aca="false">IF(ISNUMBER(BF343),BF343*DG343,0)</f>
        <v>0</v>
      </c>
      <c r="EX343" s="28" t="n">
        <f aca="false">IF(ISNUMBER(BJ343),BJ343*DH343,0)</f>
        <v>0</v>
      </c>
      <c r="EY343" s="28" t="n">
        <f aca="false">IF(ISNUMBER(BN343),BN343*DI343,0)</f>
        <v>0</v>
      </c>
      <c r="EZ343" s="28" t="n">
        <f aca="false">IF(ISNUMBER(BR343),BR343*DJ343,0)</f>
        <v>0</v>
      </c>
      <c r="FA343" s="28" t="n">
        <f aca="false">IF(ISNUMBER(R343),CW343,0)</f>
        <v>0</v>
      </c>
      <c r="FB343" s="28" t="n">
        <f aca="false">IF(ISNUMBER(V343),CX343,0)</f>
        <v>0</v>
      </c>
      <c r="FC343" s="28" t="n">
        <f aca="false">IF(ISNUMBER(Z343),CY343,0)</f>
        <v>0</v>
      </c>
      <c r="FD343" s="28" t="n">
        <f aca="false">IF(ISNUMBER(AD343),CZ343,0)</f>
        <v>0</v>
      </c>
      <c r="FE343" s="28" t="n">
        <f aca="false">IF(ISNUMBER(AH343),DA343,0)</f>
        <v>0</v>
      </c>
      <c r="FF343" s="28" t="n">
        <f aca="false">IF(ISNUMBER(AL343),DB343,0)</f>
        <v>0</v>
      </c>
      <c r="FG343" s="28" t="n">
        <f aca="false">IF(ISNUMBER(AP343),DC343,0)</f>
        <v>0</v>
      </c>
      <c r="FH343" s="28" t="n">
        <f aca="false">IF(ISNUMBER(AT343),DD343,0)</f>
        <v>0</v>
      </c>
      <c r="FI343" s="28" t="n">
        <f aca="false">IF(ISNUMBER(AX343),DE343,0)</f>
        <v>0</v>
      </c>
      <c r="FJ343" s="28" t="n">
        <f aca="false">IF(ISNUMBER(BB343),DF343,0)</f>
        <v>0</v>
      </c>
      <c r="FK343" s="28" t="n">
        <f aca="false">IF(ISNUMBER(BF343),DG343,0)</f>
        <v>0</v>
      </c>
      <c r="FL343" s="28" t="n">
        <f aca="false">IF(ISNUMBER(BJ343),DH343,0)</f>
        <v>0</v>
      </c>
      <c r="FM343" s="28" t="n">
        <f aca="false">IF(ISNUMBER(BN343),DI343,0)</f>
        <v>0</v>
      </c>
      <c r="FN343" s="28" t="n">
        <f aca="false">IF(ISNUMBER(BR343),DJ343,0)</f>
        <v>0</v>
      </c>
      <c r="FO343" s="28" t="str">
        <f aca="false">IFERROR(INDEX(Lists!$G$2:$G$20,MATCH($I343&amp;"|"&amp;$J343,Lists!$F$2:$F$20,0)),"")</f>
        <v>BM Exam</v>
      </c>
    </row>
    <row r="344" customFormat="false" ht="19.5" hidden="false" customHeight="true" outlineLevel="0" collapsed="false">
      <c r="A344" s="29" t="s">
        <v>644</v>
      </c>
      <c r="B344" s="29" t="s">
        <v>645</v>
      </c>
      <c r="C344" s="30" t="s">
        <v>152</v>
      </c>
      <c r="D344" s="30" t="s">
        <v>625</v>
      </c>
      <c r="E344" s="31"/>
      <c r="F344" s="30"/>
      <c r="G344" s="30"/>
      <c r="H344" s="32" t="s">
        <v>428</v>
      </c>
      <c r="I344" s="33" t="s">
        <v>365</v>
      </c>
      <c r="J344" s="32" t="s">
        <v>223</v>
      </c>
      <c r="K344" s="34" t="str">
        <f aca="false">IF(OR(M344="",$E344=""),"",M344-$E344)</f>
        <v/>
      </c>
      <c r="L344" s="35" t="str">
        <f aca="false">IF(SUM(FA344:FN344)=0,"",SUM(EM344:EZ344)/SUM(FA344:FN344))</f>
        <v/>
      </c>
      <c r="M344" s="36" t="str">
        <f aca="false">IF(OR(L344="",FO344=""),"",IFERROR(MATCH(L344,INDEX(Boundaries!$B$2:$I$30,MATCH(FO344,Boundaries!$A$2:$A$30,0),0),1)-1,""))</f>
        <v/>
      </c>
      <c r="N344" s="37" t="str">
        <f aca="false">IF(COUNT($DY344:$EL344)&lt;2,"",INDEX($DK344:$DX344,MAX($DY344:$EL344))-INDEX($DK344:$DX344,MIN($DY344:$EL344)))</f>
        <v/>
      </c>
      <c r="O344" s="37" t="str">
        <f aca="false">IF(COUNT($DY344:$EL344)&lt;2,"",INDEX($DK344:$DX344,MAX($DY344:$EL344))-INDEX($DK344:$DX344,LARGE($DY344:$EL344,2)))</f>
        <v/>
      </c>
      <c r="P344" s="38" t="str">
        <f aca="false">IF(K344="","",IF(K344&gt;=0,"On/above target",IF(AND(N344&lt;&gt;"",N344&gt;=0.5),"Improving towards target",IF(AND(O344&lt;&gt;"",O344&lt;=-0.5),"Declining","Stable below target"))))</f>
        <v/>
      </c>
      <c r="Q344" s="39"/>
      <c r="R344" s="40" t="str">
        <f aca="false">IF(OR(Q344="",BU344=""),"",Q344/BU344*100)</f>
        <v/>
      </c>
      <c r="S344" s="41" t="str">
        <f aca="false">IF(R344="","",IFERROR(MATCH(R344,INDEX(Boundaries!$B$2:$I$30,MATCH(CI344,Boundaries!$A$2:$A$30,0),0),1)-1,""))</f>
        <v/>
      </c>
      <c r="T344" s="42" t="str">
        <f aca="false">IF(OR(S344="",$E344=""),"",S344-$E344)</f>
        <v/>
      </c>
      <c r="U344" s="39"/>
      <c r="V344" s="40" t="str">
        <f aca="false">IF(OR(U344="",BV344=""),"",U344/BV344*100)</f>
        <v/>
      </c>
      <c r="W344" s="41" t="str">
        <f aca="false">IF(V344="","",IFERROR(MATCH(V344,INDEX(Boundaries!$B$2:$I$30,MATCH(CJ344,Boundaries!$A$2:$A$30,0),0),1)-1,""))</f>
        <v/>
      </c>
      <c r="X344" s="42" t="str">
        <f aca="false">IF(OR(W344="",$E344=""),"",W344-$E344)</f>
        <v/>
      </c>
      <c r="Y344" s="39"/>
      <c r="Z344" s="40" t="str">
        <f aca="false">IF(OR(Y344="",BW344=""),"",Y344/BW344*100)</f>
        <v/>
      </c>
      <c r="AA344" s="41" t="str">
        <f aca="false">IF(Z344="","",IFERROR(MATCH(Z344,INDEX(Boundaries!$B$2:$I$30,MATCH(CK344,Boundaries!$A$2:$A$30,0),0),1)-1,""))</f>
        <v/>
      </c>
      <c r="AB344" s="42" t="str">
        <f aca="false">IF(OR(AA344="",$E344=""),"",AA344-$E344)</f>
        <v/>
      </c>
      <c r="AC344" s="39"/>
      <c r="AD344" s="40" t="str">
        <f aca="false">IF(OR(AC344="",BX344=""),"",AC344/BX344*100)</f>
        <v/>
      </c>
      <c r="AE344" s="41" t="str">
        <f aca="false">IF(AD344="","",IFERROR(MATCH(AD344,INDEX(Boundaries!$B$2:$I$30,MATCH(CL344,Boundaries!$A$2:$A$30,0),0),1)-1,""))</f>
        <v/>
      </c>
      <c r="AF344" s="42" t="str">
        <f aca="false">IF(OR(AE344="",$E344=""),"",AE344-$E344)</f>
        <v/>
      </c>
      <c r="AG344" s="39"/>
      <c r="AH344" s="40" t="str">
        <f aca="false">IF(OR(AG344="",BY344=""),"",AG344/BY344*100)</f>
        <v/>
      </c>
      <c r="AI344" s="41" t="str">
        <f aca="false">IF(AH344="","",IFERROR(MATCH(AH344,INDEX(Boundaries!$B$2:$I$30,MATCH(CM344,Boundaries!$A$2:$A$30,0),0),1)-1,""))</f>
        <v/>
      </c>
      <c r="AJ344" s="42" t="str">
        <f aca="false">IF(OR(AI344="",$E344=""),"",AI344-$E344)</f>
        <v/>
      </c>
      <c r="AK344" s="39"/>
      <c r="AL344" s="40" t="str">
        <f aca="false">IF(OR(AK344="",BZ344=""),"",AK344/BZ344*100)</f>
        <v/>
      </c>
      <c r="AM344" s="41" t="str">
        <f aca="false">IF(AL344="","",IFERROR(MATCH(AL344,INDEX(Boundaries!$B$2:$I$30,MATCH(CN344,Boundaries!$A$2:$A$30,0),0),1)-1,""))</f>
        <v/>
      </c>
      <c r="AN344" s="42" t="str">
        <f aca="false">IF(OR(AM344="",$E344=""),"",AM344-$E344)</f>
        <v/>
      </c>
      <c r="AO344" s="39"/>
      <c r="AP344" s="40" t="str">
        <f aca="false">IF(OR(AO344="",CA344=""),"",AO344/CA344*100)</f>
        <v/>
      </c>
      <c r="AQ344" s="41" t="str">
        <f aca="false">IF(AP344="","",IFERROR(MATCH(AP344,INDEX(Boundaries!$B$2:$I$30,MATCH(CO344,Boundaries!$A$2:$A$30,0),0),1)-1,""))</f>
        <v/>
      </c>
      <c r="AR344" s="42" t="str">
        <f aca="false">IF(OR(AQ344="",$E344=""),"",AQ344-$E344)</f>
        <v/>
      </c>
      <c r="AS344" s="39"/>
      <c r="AT344" s="40" t="str">
        <f aca="false">IF(OR(AS344="",CB344=""),"",AS344/CB344*100)</f>
        <v/>
      </c>
      <c r="AU344" s="41" t="str">
        <f aca="false">IF(AT344="","",IFERROR(MATCH(AT344,INDEX(Boundaries!$B$2:$I$30,MATCH(CP344,Boundaries!$A$2:$A$30,0),0),1)-1,""))</f>
        <v/>
      </c>
      <c r="AV344" s="42" t="str">
        <f aca="false">IF(OR(AU344="",$E344=""),"",AU344-$E344)</f>
        <v/>
      </c>
      <c r="AW344" s="39"/>
      <c r="AX344" s="40" t="str">
        <f aca="false">IF(OR(AW344="",CC344=""),"",AW344/CC344*100)</f>
        <v/>
      </c>
      <c r="AY344" s="41" t="str">
        <f aca="false">IF(AX344="","",IFERROR(MATCH(AX344,INDEX(Boundaries!$B$2:$I$30,MATCH(CQ344,Boundaries!$A$2:$A$30,0),0),1)-1,""))</f>
        <v/>
      </c>
      <c r="AZ344" s="42" t="str">
        <f aca="false">IF(OR(AY344="",$E344=""),"",AY344-$E344)</f>
        <v/>
      </c>
      <c r="BA344" s="39"/>
      <c r="BB344" s="40" t="str">
        <f aca="false">IF(OR(BA344="",CD344=""),"",BA344/CD344*100)</f>
        <v/>
      </c>
      <c r="BC344" s="41" t="str">
        <f aca="false">IF(BB344="","",IFERROR(MATCH(BB344,INDEX(Boundaries!$B$2:$I$30,MATCH(CR344,Boundaries!$A$2:$A$30,0),0),1)-1,""))</f>
        <v/>
      </c>
      <c r="BD344" s="42" t="str">
        <f aca="false">IF(OR(BC344="",$E344=""),"",BC344-$E344)</f>
        <v/>
      </c>
      <c r="BE344" s="39"/>
      <c r="BF344" s="40" t="str">
        <f aca="false">IF(OR(BE344="",CE344=""),"",BE344/CE344*100)</f>
        <v/>
      </c>
      <c r="BG344" s="41" t="str">
        <f aca="false">IF(BF344="","",IFERROR(MATCH(BF344,INDEX(Boundaries!$B$2:$I$30,MATCH(CS344,Boundaries!$A$2:$A$30,0),0),1)-1,""))</f>
        <v/>
      </c>
      <c r="BH344" s="42" t="str">
        <f aca="false">IF(OR(BG344="",$E344=""),"",BG344-$E344)</f>
        <v/>
      </c>
      <c r="BI344" s="39"/>
      <c r="BJ344" s="40" t="str">
        <f aca="false">IF(OR(BI344="",CF344=""),"",BI344/CF344*100)</f>
        <v/>
      </c>
      <c r="BK344" s="41" t="str">
        <f aca="false">IF(BJ344="","",IFERROR(MATCH(BJ344,INDEX(Boundaries!$B$2:$I$30,MATCH(CT344,Boundaries!$A$2:$A$30,0),0),1)-1,""))</f>
        <v/>
      </c>
      <c r="BL344" s="42" t="str">
        <f aca="false">IF(OR(BK344="",$E344=""),"",BK344-$E344)</f>
        <v/>
      </c>
      <c r="BM344" s="39"/>
      <c r="BN344" s="40" t="str">
        <f aca="false">IF(OR(BM344="",CG344=""),"",BM344/CG344*100)</f>
        <v/>
      </c>
      <c r="BO344" s="41" t="str">
        <f aca="false">IF(BN344="","",IFERROR(MATCH(BN344,INDEX(Boundaries!$B$2:$I$30,MATCH(CU344,Boundaries!$A$2:$A$30,0),0),1)-1,""))</f>
        <v/>
      </c>
      <c r="BP344" s="42" t="str">
        <f aca="false">IF(OR(BO344="",$E344=""),"",BO344-$E344)</f>
        <v/>
      </c>
      <c r="BQ344" s="39"/>
      <c r="BR344" s="40" t="str">
        <f aca="false">IF(OR(BQ344="",CH344=""),"",BQ344/CH344*100)</f>
        <v/>
      </c>
      <c r="BS344" s="41" t="str">
        <f aca="false">IF(BR344="","",IFERROR(MATCH(BR344,INDEX(Boundaries!$B$2:$I$30,MATCH(CV344,Boundaries!$A$2:$A$30,0),0),1)-1,""))</f>
        <v/>
      </c>
      <c r="BT344" s="42" t="str">
        <f aca="false">IF(OR(BS344="",$E344=""),"",BS344-$E344)</f>
        <v/>
      </c>
      <c r="BU344" s="28" t="n">
        <f aca="false">IFERROR(INDEX(Assessments!$H$2:$H$600,MATCH($H344&amp;"|"&amp;$I344&amp;"|"&amp;$J344&amp;"|"&amp;1,Assessments!$A$2:$A$600,0)),"")</f>
        <v>24</v>
      </c>
      <c r="BV344" s="28" t="n">
        <f aca="false">IFERROR(INDEX(Assessments!$H$2:$H$600,MATCH($H344&amp;"|"&amp;$I344&amp;"|"&amp;$J344&amp;"|"&amp;2,Assessments!$A$2:$A$600,0)),"")</f>
        <v>20</v>
      </c>
      <c r="BW344" s="28" t="n">
        <f aca="false">IFERROR(INDEX(Assessments!$H$2:$H$600,MATCH($H344&amp;"|"&amp;$I344&amp;"|"&amp;$J344&amp;"|"&amp;3,Assessments!$A$2:$A$600,0)),"")</f>
        <v>24</v>
      </c>
      <c r="BX344" s="28" t="n">
        <f aca="false">IFERROR(INDEX(Assessments!$H$2:$H$600,MATCH($H344&amp;"|"&amp;$I344&amp;"|"&amp;$J344&amp;"|"&amp;4,Assessments!$A$2:$A$600,0)),"")</f>
        <v>40</v>
      </c>
      <c r="BY344" s="28" t="n">
        <f aca="false">IFERROR(INDEX(Assessments!$H$2:$H$600,MATCH($H344&amp;"|"&amp;$I344&amp;"|"&amp;$J344&amp;"|"&amp;5,Assessments!$A$2:$A$600,0)),"")</f>
        <v>30</v>
      </c>
      <c r="BZ344" s="28" t="n">
        <f aca="false">IFERROR(INDEX(Assessments!$H$2:$H$600,MATCH($H344&amp;"|"&amp;$I344&amp;"|"&amp;$J344&amp;"|"&amp;6,Assessments!$A$2:$A$600,0)),"")</f>
        <v>20</v>
      </c>
      <c r="CA344" s="28" t="str">
        <f aca="false">IFERROR(INDEX(Assessments!$H$2:$H$600,MATCH($H344&amp;"|"&amp;$I344&amp;"|"&amp;$J344&amp;"|"&amp;7,Assessments!$A$2:$A$600,0)),"")</f>
        <v/>
      </c>
      <c r="CB344" s="28" t="str">
        <f aca="false">IFERROR(INDEX(Assessments!$H$2:$H$600,MATCH($H344&amp;"|"&amp;$I344&amp;"|"&amp;$J344&amp;"|"&amp;8,Assessments!$A$2:$A$600,0)),"")</f>
        <v/>
      </c>
      <c r="CC344" s="28" t="str">
        <f aca="false">IFERROR(INDEX(Assessments!$H$2:$H$600,MATCH($H344&amp;"|"&amp;$I344&amp;"|"&amp;$J344&amp;"|"&amp;9,Assessments!$A$2:$A$600,0)),"")</f>
        <v/>
      </c>
      <c r="CD344" s="28" t="str">
        <f aca="false">IFERROR(INDEX(Assessments!$H$2:$H$600,MATCH($H344&amp;"|"&amp;$I344&amp;"|"&amp;$J344&amp;"|"&amp;10,Assessments!$A$2:$A$600,0)),"")</f>
        <v/>
      </c>
      <c r="CE344" s="28" t="str">
        <f aca="false">IFERROR(INDEX(Assessments!$H$2:$H$600,MATCH($H344&amp;"|"&amp;$I344&amp;"|"&amp;$J344&amp;"|"&amp;11,Assessments!$A$2:$A$600,0)),"")</f>
        <v/>
      </c>
      <c r="CF344" s="28" t="str">
        <f aca="false">IFERROR(INDEX(Assessments!$H$2:$H$600,MATCH($H344&amp;"|"&amp;$I344&amp;"|"&amp;$J344&amp;"|"&amp;12,Assessments!$A$2:$A$600,0)),"")</f>
        <v/>
      </c>
      <c r="CG344" s="28" t="str">
        <f aca="false">IFERROR(INDEX(Assessments!$H$2:$H$600,MATCH($H344&amp;"|"&amp;$I344&amp;"|"&amp;$J344&amp;"|"&amp;13,Assessments!$A$2:$A$600,0)),"")</f>
        <v/>
      </c>
      <c r="CH344" s="28" t="str">
        <f aca="false">IFERROR(INDEX(Assessments!$H$2:$H$600,MATCH($H344&amp;"|"&amp;$I344&amp;"|"&amp;$J344&amp;"|"&amp;14,Assessments!$A$2:$A$600,0)),"")</f>
        <v/>
      </c>
      <c r="CI344" s="28" t="str">
        <f aca="false">IFERROR(INDEX(Assessments!$I$2:$I$600,MATCH($H344&amp;"|"&amp;$I344&amp;"|"&amp;$J344&amp;"|"&amp;1,Assessments!$A$2:$A$600,0)),"")</f>
        <v>BM Test</v>
      </c>
      <c r="CJ344" s="28" t="str">
        <f aca="false">IFERROR(INDEX(Assessments!$I$2:$I$600,MATCH($H344&amp;"|"&amp;$I344&amp;"|"&amp;$J344&amp;"|"&amp;2,Assessments!$A$2:$A$600,0)),"")</f>
        <v>BM Test</v>
      </c>
      <c r="CK344" s="28" t="str">
        <f aca="false">IFERROR(INDEX(Assessments!$I$2:$I$600,MATCH($H344&amp;"|"&amp;$I344&amp;"|"&amp;$J344&amp;"|"&amp;3,Assessments!$A$2:$A$600,0)),"")</f>
        <v>BM Test</v>
      </c>
      <c r="CL344" s="28" t="str">
        <f aca="false">IFERROR(INDEX(Assessments!$I$2:$I$600,MATCH($H344&amp;"|"&amp;$I344&amp;"|"&amp;$J344&amp;"|"&amp;4,Assessments!$A$2:$A$600,0)),"")</f>
        <v>BM Exam</v>
      </c>
      <c r="CM344" s="28" t="str">
        <f aca="false">IFERROR(INDEX(Assessments!$I$2:$I$600,MATCH($H344&amp;"|"&amp;$I344&amp;"|"&amp;$J344&amp;"|"&amp;5,Assessments!$A$2:$A$600,0)),"")</f>
        <v>BM Test</v>
      </c>
      <c r="CN344" s="28" t="str">
        <f aca="false">IFERROR(INDEX(Assessments!$I$2:$I$600,MATCH($H344&amp;"|"&amp;$I344&amp;"|"&amp;$J344&amp;"|"&amp;6,Assessments!$A$2:$A$600,0)),"")</f>
        <v>BM Test</v>
      </c>
      <c r="CO344" s="28" t="str">
        <f aca="false">IFERROR(INDEX(Assessments!$I$2:$I$600,MATCH($H344&amp;"|"&amp;$I344&amp;"|"&amp;$J344&amp;"|"&amp;7,Assessments!$A$2:$A$600,0)),"")</f>
        <v/>
      </c>
      <c r="CP344" s="28" t="str">
        <f aca="false">IFERROR(INDEX(Assessments!$I$2:$I$600,MATCH($H344&amp;"|"&amp;$I344&amp;"|"&amp;$J344&amp;"|"&amp;8,Assessments!$A$2:$A$600,0)),"")</f>
        <v/>
      </c>
      <c r="CQ344" s="28" t="str">
        <f aca="false">IFERROR(INDEX(Assessments!$I$2:$I$600,MATCH($H344&amp;"|"&amp;$I344&amp;"|"&amp;$J344&amp;"|"&amp;9,Assessments!$A$2:$A$600,0)),"")</f>
        <v/>
      </c>
      <c r="CR344" s="28" t="str">
        <f aca="false">IFERROR(INDEX(Assessments!$I$2:$I$600,MATCH($H344&amp;"|"&amp;$I344&amp;"|"&amp;$J344&amp;"|"&amp;10,Assessments!$A$2:$A$600,0)),"")</f>
        <v/>
      </c>
      <c r="CS344" s="28" t="str">
        <f aca="false">IFERROR(INDEX(Assessments!$I$2:$I$600,MATCH($H344&amp;"|"&amp;$I344&amp;"|"&amp;$J344&amp;"|"&amp;11,Assessments!$A$2:$A$600,0)),"")</f>
        <v/>
      </c>
      <c r="CT344" s="28" t="str">
        <f aca="false">IFERROR(INDEX(Assessments!$I$2:$I$600,MATCH($H344&amp;"|"&amp;$I344&amp;"|"&amp;$J344&amp;"|"&amp;12,Assessments!$A$2:$A$600,0)),"")</f>
        <v/>
      </c>
      <c r="CU344" s="28" t="str">
        <f aca="false">IFERROR(INDEX(Assessments!$I$2:$I$600,MATCH($H344&amp;"|"&amp;$I344&amp;"|"&amp;$J344&amp;"|"&amp;13,Assessments!$A$2:$A$600,0)),"")</f>
        <v/>
      </c>
      <c r="CV344" s="28" t="str">
        <f aca="false">IFERROR(INDEX(Assessments!$I$2:$I$600,MATCH($H344&amp;"|"&amp;$I344&amp;"|"&amp;$J344&amp;"|"&amp;14,Assessments!$A$2:$A$600,0)),"")</f>
        <v/>
      </c>
      <c r="CW344" s="28" t="n">
        <f aca="false">IFERROR(INDEX(Assessments!$J$2:$J$600,MATCH($H344&amp;"|"&amp;$I344&amp;"|"&amp;$J344&amp;"|"&amp;1,Assessments!$A$2:$A$600,0)),0)</f>
        <v>1</v>
      </c>
      <c r="CX344" s="28" t="n">
        <f aca="false">IFERROR(INDEX(Assessments!$J$2:$J$600,MATCH($H344&amp;"|"&amp;$I344&amp;"|"&amp;$J344&amp;"|"&amp;2,Assessments!$A$2:$A$600,0)),0)</f>
        <v>1</v>
      </c>
      <c r="CY344" s="28" t="n">
        <f aca="false">IFERROR(INDEX(Assessments!$J$2:$J$600,MATCH($H344&amp;"|"&amp;$I344&amp;"|"&amp;$J344&amp;"|"&amp;3,Assessments!$A$2:$A$600,0)),0)</f>
        <v>1</v>
      </c>
      <c r="CZ344" s="28" t="n">
        <f aca="false">IFERROR(INDEX(Assessments!$J$2:$J$600,MATCH($H344&amp;"|"&amp;$I344&amp;"|"&amp;$J344&amp;"|"&amp;4,Assessments!$A$2:$A$600,0)),0)</f>
        <v>2</v>
      </c>
      <c r="DA344" s="28" t="n">
        <f aca="false">IFERROR(INDEX(Assessments!$J$2:$J$600,MATCH($H344&amp;"|"&amp;$I344&amp;"|"&amp;$J344&amp;"|"&amp;5,Assessments!$A$2:$A$600,0)),0)</f>
        <v>1</v>
      </c>
      <c r="DB344" s="28" t="n">
        <f aca="false">IFERROR(INDEX(Assessments!$J$2:$J$600,MATCH($H344&amp;"|"&amp;$I344&amp;"|"&amp;$J344&amp;"|"&amp;6,Assessments!$A$2:$A$600,0)),0)</f>
        <v>1</v>
      </c>
      <c r="DC344" s="28" t="n">
        <f aca="false">IFERROR(INDEX(Assessments!$J$2:$J$600,MATCH($H344&amp;"|"&amp;$I344&amp;"|"&amp;$J344&amp;"|"&amp;7,Assessments!$A$2:$A$600,0)),0)</f>
        <v>0</v>
      </c>
      <c r="DD344" s="28" t="n">
        <f aca="false">IFERROR(INDEX(Assessments!$J$2:$J$600,MATCH($H344&amp;"|"&amp;$I344&amp;"|"&amp;$J344&amp;"|"&amp;8,Assessments!$A$2:$A$600,0)),0)</f>
        <v>0</v>
      </c>
      <c r="DE344" s="28" t="n">
        <f aca="false">IFERROR(INDEX(Assessments!$J$2:$J$600,MATCH($H344&amp;"|"&amp;$I344&amp;"|"&amp;$J344&amp;"|"&amp;9,Assessments!$A$2:$A$600,0)),0)</f>
        <v>0</v>
      </c>
      <c r="DF344" s="28" t="n">
        <f aca="false">IFERROR(INDEX(Assessments!$J$2:$J$600,MATCH($H344&amp;"|"&amp;$I344&amp;"|"&amp;$J344&amp;"|"&amp;10,Assessments!$A$2:$A$600,0)),0)</f>
        <v>0</v>
      </c>
      <c r="DG344" s="28" t="n">
        <f aca="false">IFERROR(INDEX(Assessments!$J$2:$J$600,MATCH($H344&amp;"|"&amp;$I344&amp;"|"&amp;$J344&amp;"|"&amp;11,Assessments!$A$2:$A$600,0)),0)</f>
        <v>0</v>
      </c>
      <c r="DH344" s="28" t="n">
        <f aca="false">IFERROR(INDEX(Assessments!$J$2:$J$600,MATCH($H344&amp;"|"&amp;$I344&amp;"|"&amp;$J344&amp;"|"&amp;12,Assessments!$A$2:$A$600,0)),0)</f>
        <v>0</v>
      </c>
      <c r="DI344" s="28" t="n">
        <f aca="false">IFERROR(INDEX(Assessments!$J$2:$J$600,MATCH($H344&amp;"|"&amp;$I344&amp;"|"&amp;$J344&amp;"|"&amp;13,Assessments!$A$2:$A$600,0)),0)</f>
        <v>0</v>
      </c>
      <c r="DJ344" s="28" t="n">
        <f aca="false">IFERROR(INDEX(Assessments!$J$2:$J$600,MATCH($H344&amp;"|"&amp;$I344&amp;"|"&amp;$J344&amp;"|"&amp;14,Assessments!$A$2:$A$600,0)),0)</f>
        <v>0</v>
      </c>
      <c r="DK344" s="28" t="str">
        <f aca="false">S344</f>
        <v/>
      </c>
      <c r="DL344" s="28" t="str">
        <f aca="false">W344</f>
        <v/>
      </c>
      <c r="DM344" s="28" t="str">
        <f aca="false">AA344</f>
        <v/>
      </c>
      <c r="DN344" s="28" t="str">
        <f aca="false">AE344</f>
        <v/>
      </c>
      <c r="DO344" s="28" t="str">
        <f aca="false">AI344</f>
        <v/>
      </c>
      <c r="DP344" s="28" t="str">
        <f aca="false">AM344</f>
        <v/>
      </c>
      <c r="DQ344" s="28" t="str">
        <f aca="false">AQ344</f>
        <v/>
      </c>
      <c r="DR344" s="28" t="str">
        <f aca="false">AU344</f>
        <v/>
      </c>
      <c r="DS344" s="28" t="str">
        <f aca="false">AY344</f>
        <v/>
      </c>
      <c r="DT344" s="28" t="str">
        <f aca="false">BC344</f>
        <v/>
      </c>
      <c r="DU344" s="28" t="str">
        <f aca="false">BG344</f>
        <v/>
      </c>
      <c r="DV344" s="28" t="str">
        <f aca="false">BK344</f>
        <v/>
      </c>
      <c r="DW344" s="28" t="str">
        <f aca="false">BO344</f>
        <v/>
      </c>
      <c r="DX344" s="28" t="str">
        <f aca="false">BS344</f>
        <v/>
      </c>
      <c r="DY344" s="28" t="str">
        <f aca="false">IF(ISNUMBER(S344),1,"")</f>
        <v/>
      </c>
      <c r="DZ344" s="28" t="str">
        <f aca="false">IF(ISNUMBER(W344),2,"")</f>
        <v/>
      </c>
      <c r="EA344" s="28" t="str">
        <f aca="false">IF(ISNUMBER(AA344),3,"")</f>
        <v/>
      </c>
      <c r="EB344" s="28" t="str">
        <f aca="false">IF(ISNUMBER(AE344),4,"")</f>
        <v/>
      </c>
      <c r="EC344" s="28" t="str">
        <f aca="false">IF(ISNUMBER(AI344),5,"")</f>
        <v/>
      </c>
      <c r="ED344" s="28" t="str">
        <f aca="false">IF(ISNUMBER(AM344),6,"")</f>
        <v/>
      </c>
      <c r="EE344" s="28" t="str">
        <f aca="false">IF(ISNUMBER(AQ344),7,"")</f>
        <v/>
      </c>
      <c r="EF344" s="28" t="str">
        <f aca="false">IF(ISNUMBER(AU344),8,"")</f>
        <v/>
      </c>
      <c r="EG344" s="28" t="str">
        <f aca="false">IF(ISNUMBER(AY344),9,"")</f>
        <v/>
      </c>
      <c r="EH344" s="28" t="str">
        <f aca="false">IF(ISNUMBER(BC344),10,"")</f>
        <v/>
      </c>
      <c r="EI344" s="28" t="str">
        <f aca="false">IF(ISNUMBER(BG344),11,"")</f>
        <v/>
      </c>
      <c r="EJ344" s="28" t="str">
        <f aca="false">IF(ISNUMBER(BK344),12,"")</f>
        <v/>
      </c>
      <c r="EK344" s="28" t="str">
        <f aca="false">IF(ISNUMBER(BO344),13,"")</f>
        <v/>
      </c>
      <c r="EL344" s="28" t="str">
        <f aca="false">IF(ISNUMBER(BS344),14,"")</f>
        <v/>
      </c>
      <c r="EM344" s="28" t="n">
        <f aca="false">IF(ISNUMBER(R344),R344*CW344,0)</f>
        <v>0</v>
      </c>
      <c r="EN344" s="28" t="n">
        <f aca="false">IF(ISNUMBER(V344),V344*CX344,0)</f>
        <v>0</v>
      </c>
      <c r="EO344" s="28" t="n">
        <f aca="false">IF(ISNUMBER(Z344),Z344*CY344,0)</f>
        <v>0</v>
      </c>
      <c r="EP344" s="28" t="n">
        <f aca="false">IF(ISNUMBER(AD344),AD344*CZ344,0)</f>
        <v>0</v>
      </c>
      <c r="EQ344" s="28" t="n">
        <f aca="false">IF(ISNUMBER(AH344),AH344*DA344,0)</f>
        <v>0</v>
      </c>
      <c r="ER344" s="28" t="n">
        <f aca="false">IF(ISNUMBER(AL344),AL344*DB344,0)</f>
        <v>0</v>
      </c>
      <c r="ES344" s="28" t="n">
        <f aca="false">IF(ISNUMBER(AP344),AP344*DC344,0)</f>
        <v>0</v>
      </c>
      <c r="ET344" s="28" t="n">
        <f aca="false">IF(ISNUMBER(AT344),AT344*DD344,0)</f>
        <v>0</v>
      </c>
      <c r="EU344" s="28" t="n">
        <f aca="false">IF(ISNUMBER(AX344),AX344*DE344,0)</f>
        <v>0</v>
      </c>
      <c r="EV344" s="28" t="n">
        <f aca="false">IF(ISNUMBER(BB344),BB344*DF344,0)</f>
        <v>0</v>
      </c>
      <c r="EW344" s="28" t="n">
        <f aca="false">IF(ISNUMBER(BF344),BF344*DG344,0)</f>
        <v>0</v>
      </c>
      <c r="EX344" s="28" t="n">
        <f aca="false">IF(ISNUMBER(BJ344),BJ344*DH344,0)</f>
        <v>0</v>
      </c>
      <c r="EY344" s="28" t="n">
        <f aca="false">IF(ISNUMBER(BN344),BN344*DI344,0)</f>
        <v>0</v>
      </c>
      <c r="EZ344" s="28" t="n">
        <f aca="false">IF(ISNUMBER(BR344),BR344*DJ344,0)</f>
        <v>0</v>
      </c>
      <c r="FA344" s="28" t="n">
        <f aca="false">IF(ISNUMBER(R344),CW344,0)</f>
        <v>0</v>
      </c>
      <c r="FB344" s="28" t="n">
        <f aca="false">IF(ISNUMBER(V344),CX344,0)</f>
        <v>0</v>
      </c>
      <c r="FC344" s="28" t="n">
        <f aca="false">IF(ISNUMBER(Z344),CY344,0)</f>
        <v>0</v>
      </c>
      <c r="FD344" s="28" t="n">
        <f aca="false">IF(ISNUMBER(AD344),CZ344,0)</f>
        <v>0</v>
      </c>
      <c r="FE344" s="28" t="n">
        <f aca="false">IF(ISNUMBER(AH344),DA344,0)</f>
        <v>0</v>
      </c>
      <c r="FF344" s="28" t="n">
        <f aca="false">IF(ISNUMBER(AL344),DB344,0)</f>
        <v>0</v>
      </c>
      <c r="FG344" s="28" t="n">
        <f aca="false">IF(ISNUMBER(AP344),DC344,0)</f>
        <v>0</v>
      </c>
      <c r="FH344" s="28" t="n">
        <f aca="false">IF(ISNUMBER(AT344),DD344,0)</f>
        <v>0</v>
      </c>
      <c r="FI344" s="28" t="n">
        <f aca="false">IF(ISNUMBER(AX344),DE344,0)</f>
        <v>0</v>
      </c>
      <c r="FJ344" s="28" t="n">
        <f aca="false">IF(ISNUMBER(BB344),DF344,0)</f>
        <v>0</v>
      </c>
      <c r="FK344" s="28" t="n">
        <f aca="false">IF(ISNUMBER(BF344),DG344,0)</f>
        <v>0</v>
      </c>
      <c r="FL344" s="28" t="n">
        <f aca="false">IF(ISNUMBER(BJ344),DH344,0)</f>
        <v>0</v>
      </c>
      <c r="FM344" s="28" t="n">
        <f aca="false">IF(ISNUMBER(BN344),DI344,0)</f>
        <v>0</v>
      </c>
      <c r="FN344" s="28" t="n">
        <f aca="false">IF(ISNUMBER(BR344),DJ344,0)</f>
        <v>0</v>
      </c>
      <c r="FO344" s="28" t="str">
        <f aca="false">IFERROR(INDEX(Lists!$G$2:$G$20,MATCH($I344&amp;"|"&amp;$J344,Lists!$F$2:$F$20,0)),"")</f>
        <v>BM Exam</v>
      </c>
    </row>
    <row r="345" customFormat="false" ht="19.5" hidden="false" customHeight="true" outlineLevel="0" collapsed="false">
      <c r="A345" s="29" t="s">
        <v>453</v>
      </c>
      <c r="B345" s="29" t="s">
        <v>454</v>
      </c>
      <c r="C345" s="30" t="s">
        <v>152</v>
      </c>
      <c r="D345" s="30" t="s">
        <v>625</v>
      </c>
      <c r="E345" s="31"/>
      <c r="F345" s="30"/>
      <c r="G345" s="30"/>
      <c r="H345" s="32" t="s">
        <v>428</v>
      </c>
      <c r="I345" s="33" t="s">
        <v>365</v>
      </c>
      <c r="J345" s="32" t="s">
        <v>223</v>
      </c>
      <c r="K345" s="34" t="str">
        <f aca="false">IF(OR(M345="",$E345=""),"",M345-$E345)</f>
        <v/>
      </c>
      <c r="L345" s="35" t="str">
        <f aca="false">IF(SUM(FA345:FN345)=0,"",SUM(EM345:EZ345)/SUM(FA345:FN345))</f>
        <v/>
      </c>
      <c r="M345" s="36" t="str">
        <f aca="false">IF(OR(L345="",FO345=""),"",IFERROR(MATCH(L345,INDEX(Boundaries!$B$2:$I$30,MATCH(FO345,Boundaries!$A$2:$A$30,0),0),1)-1,""))</f>
        <v/>
      </c>
      <c r="N345" s="37" t="str">
        <f aca="false">IF(COUNT($DY345:$EL345)&lt;2,"",INDEX($DK345:$DX345,MAX($DY345:$EL345))-INDEX($DK345:$DX345,MIN($DY345:$EL345)))</f>
        <v/>
      </c>
      <c r="O345" s="37" t="str">
        <f aca="false">IF(COUNT($DY345:$EL345)&lt;2,"",INDEX($DK345:$DX345,MAX($DY345:$EL345))-INDEX($DK345:$DX345,LARGE($DY345:$EL345,2)))</f>
        <v/>
      </c>
      <c r="P345" s="38" t="str">
        <f aca="false">IF(K345="","",IF(K345&gt;=0,"On/above target",IF(AND(N345&lt;&gt;"",N345&gt;=0.5),"Improving towards target",IF(AND(O345&lt;&gt;"",O345&lt;=-0.5),"Declining","Stable below target"))))</f>
        <v/>
      </c>
      <c r="Q345" s="39"/>
      <c r="R345" s="40" t="str">
        <f aca="false">IF(OR(Q345="",BU345=""),"",Q345/BU345*100)</f>
        <v/>
      </c>
      <c r="S345" s="41" t="str">
        <f aca="false">IF(R345="","",IFERROR(MATCH(R345,INDEX(Boundaries!$B$2:$I$30,MATCH(CI345,Boundaries!$A$2:$A$30,0),0),1)-1,""))</f>
        <v/>
      </c>
      <c r="T345" s="42" t="str">
        <f aca="false">IF(OR(S345="",$E345=""),"",S345-$E345)</f>
        <v/>
      </c>
      <c r="U345" s="39"/>
      <c r="V345" s="40" t="str">
        <f aca="false">IF(OR(U345="",BV345=""),"",U345/BV345*100)</f>
        <v/>
      </c>
      <c r="W345" s="41" t="str">
        <f aca="false">IF(V345="","",IFERROR(MATCH(V345,INDEX(Boundaries!$B$2:$I$30,MATCH(CJ345,Boundaries!$A$2:$A$30,0),0),1)-1,""))</f>
        <v/>
      </c>
      <c r="X345" s="42" t="str">
        <f aca="false">IF(OR(W345="",$E345=""),"",W345-$E345)</f>
        <v/>
      </c>
      <c r="Y345" s="39"/>
      <c r="Z345" s="40" t="str">
        <f aca="false">IF(OR(Y345="",BW345=""),"",Y345/BW345*100)</f>
        <v/>
      </c>
      <c r="AA345" s="41" t="str">
        <f aca="false">IF(Z345="","",IFERROR(MATCH(Z345,INDEX(Boundaries!$B$2:$I$30,MATCH(CK345,Boundaries!$A$2:$A$30,0),0),1)-1,""))</f>
        <v/>
      </c>
      <c r="AB345" s="42" t="str">
        <f aca="false">IF(OR(AA345="",$E345=""),"",AA345-$E345)</f>
        <v/>
      </c>
      <c r="AC345" s="39"/>
      <c r="AD345" s="40" t="str">
        <f aca="false">IF(OR(AC345="",BX345=""),"",AC345/BX345*100)</f>
        <v/>
      </c>
      <c r="AE345" s="41" t="str">
        <f aca="false">IF(AD345="","",IFERROR(MATCH(AD345,INDEX(Boundaries!$B$2:$I$30,MATCH(CL345,Boundaries!$A$2:$A$30,0),0),1)-1,""))</f>
        <v/>
      </c>
      <c r="AF345" s="42" t="str">
        <f aca="false">IF(OR(AE345="",$E345=""),"",AE345-$E345)</f>
        <v/>
      </c>
      <c r="AG345" s="39"/>
      <c r="AH345" s="40" t="str">
        <f aca="false">IF(OR(AG345="",BY345=""),"",AG345/BY345*100)</f>
        <v/>
      </c>
      <c r="AI345" s="41" t="str">
        <f aca="false">IF(AH345="","",IFERROR(MATCH(AH345,INDEX(Boundaries!$B$2:$I$30,MATCH(CM345,Boundaries!$A$2:$A$30,0),0),1)-1,""))</f>
        <v/>
      </c>
      <c r="AJ345" s="42" t="str">
        <f aca="false">IF(OR(AI345="",$E345=""),"",AI345-$E345)</f>
        <v/>
      </c>
      <c r="AK345" s="39"/>
      <c r="AL345" s="40" t="str">
        <f aca="false">IF(OR(AK345="",BZ345=""),"",AK345/BZ345*100)</f>
        <v/>
      </c>
      <c r="AM345" s="41" t="str">
        <f aca="false">IF(AL345="","",IFERROR(MATCH(AL345,INDEX(Boundaries!$B$2:$I$30,MATCH(CN345,Boundaries!$A$2:$A$30,0),0),1)-1,""))</f>
        <v/>
      </c>
      <c r="AN345" s="42" t="str">
        <f aca="false">IF(OR(AM345="",$E345=""),"",AM345-$E345)</f>
        <v/>
      </c>
      <c r="AO345" s="39"/>
      <c r="AP345" s="40" t="str">
        <f aca="false">IF(OR(AO345="",CA345=""),"",AO345/CA345*100)</f>
        <v/>
      </c>
      <c r="AQ345" s="41" t="str">
        <f aca="false">IF(AP345="","",IFERROR(MATCH(AP345,INDEX(Boundaries!$B$2:$I$30,MATCH(CO345,Boundaries!$A$2:$A$30,0),0),1)-1,""))</f>
        <v/>
      </c>
      <c r="AR345" s="42" t="str">
        <f aca="false">IF(OR(AQ345="",$E345=""),"",AQ345-$E345)</f>
        <v/>
      </c>
      <c r="AS345" s="39"/>
      <c r="AT345" s="40" t="str">
        <f aca="false">IF(OR(AS345="",CB345=""),"",AS345/CB345*100)</f>
        <v/>
      </c>
      <c r="AU345" s="41" t="str">
        <f aca="false">IF(AT345="","",IFERROR(MATCH(AT345,INDEX(Boundaries!$B$2:$I$30,MATCH(CP345,Boundaries!$A$2:$A$30,0),0),1)-1,""))</f>
        <v/>
      </c>
      <c r="AV345" s="42" t="str">
        <f aca="false">IF(OR(AU345="",$E345=""),"",AU345-$E345)</f>
        <v/>
      </c>
      <c r="AW345" s="39"/>
      <c r="AX345" s="40" t="str">
        <f aca="false">IF(OR(AW345="",CC345=""),"",AW345/CC345*100)</f>
        <v/>
      </c>
      <c r="AY345" s="41" t="str">
        <f aca="false">IF(AX345="","",IFERROR(MATCH(AX345,INDEX(Boundaries!$B$2:$I$30,MATCH(CQ345,Boundaries!$A$2:$A$30,0),0),1)-1,""))</f>
        <v/>
      </c>
      <c r="AZ345" s="42" t="str">
        <f aca="false">IF(OR(AY345="",$E345=""),"",AY345-$E345)</f>
        <v/>
      </c>
      <c r="BA345" s="39"/>
      <c r="BB345" s="40" t="str">
        <f aca="false">IF(OR(BA345="",CD345=""),"",BA345/CD345*100)</f>
        <v/>
      </c>
      <c r="BC345" s="41" t="str">
        <f aca="false">IF(BB345="","",IFERROR(MATCH(BB345,INDEX(Boundaries!$B$2:$I$30,MATCH(CR345,Boundaries!$A$2:$A$30,0),0),1)-1,""))</f>
        <v/>
      </c>
      <c r="BD345" s="42" t="str">
        <f aca="false">IF(OR(BC345="",$E345=""),"",BC345-$E345)</f>
        <v/>
      </c>
      <c r="BE345" s="39"/>
      <c r="BF345" s="40" t="str">
        <f aca="false">IF(OR(BE345="",CE345=""),"",BE345/CE345*100)</f>
        <v/>
      </c>
      <c r="BG345" s="41" t="str">
        <f aca="false">IF(BF345="","",IFERROR(MATCH(BF345,INDEX(Boundaries!$B$2:$I$30,MATCH(CS345,Boundaries!$A$2:$A$30,0),0),1)-1,""))</f>
        <v/>
      </c>
      <c r="BH345" s="42" t="str">
        <f aca="false">IF(OR(BG345="",$E345=""),"",BG345-$E345)</f>
        <v/>
      </c>
      <c r="BI345" s="39"/>
      <c r="BJ345" s="40" t="str">
        <f aca="false">IF(OR(BI345="",CF345=""),"",BI345/CF345*100)</f>
        <v/>
      </c>
      <c r="BK345" s="41" t="str">
        <f aca="false">IF(BJ345="","",IFERROR(MATCH(BJ345,INDEX(Boundaries!$B$2:$I$30,MATCH(CT345,Boundaries!$A$2:$A$30,0),0),1)-1,""))</f>
        <v/>
      </c>
      <c r="BL345" s="42" t="str">
        <f aca="false">IF(OR(BK345="",$E345=""),"",BK345-$E345)</f>
        <v/>
      </c>
      <c r="BM345" s="39"/>
      <c r="BN345" s="40" t="str">
        <f aca="false">IF(OR(BM345="",CG345=""),"",BM345/CG345*100)</f>
        <v/>
      </c>
      <c r="BO345" s="41" t="str">
        <f aca="false">IF(BN345="","",IFERROR(MATCH(BN345,INDEX(Boundaries!$B$2:$I$30,MATCH(CU345,Boundaries!$A$2:$A$30,0),0),1)-1,""))</f>
        <v/>
      </c>
      <c r="BP345" s="42" t="str">
        <f aca="false">IF(OR(BO345="",$E345=""),"",BO345-$E345)</f>
        <v/>
      </c>
      <c r="BQ345" s="39"/>
      <c r="BR345" s="40" t="str">
        <f aca="false">IF(OR(BQ345="",CH345=""),"",BQ345/CH345*100)</f>
        <v/>
      </c>
      <c r="BS345" s="41" t="str">
        <f aca="false">IF(BR345="","",IFERROR(MATCH(BR345,INDEX(Boundaries!$B$2:$I$30,MATCH(CV345,Boundaries!$A$2:$A$30,0),0),1)-1,""))</f>
        <v/>
      </c>
      <c r="BT345" s="42" t="str">
        <f aca="false">IF(OR(BS345="",$E345=""),"",BS345-$E345)</f>
        <v/>
      </c>
      <c r="BU345" s="28" t="n">
        <f aca="false">IFERROR(INDEX(Assessments!$H$2:$H$600,MATCH($H345&amp;"|"&amp;$I345&amp;"|"&amp;$J345&amp;"|"&amp;1,Assessments!$A$2:$A$600,0)),"")</f>
        <v>24</v>
      </c>
      <c r="BV345" s="28" t="n">
        <f aca="false">IFERROR(INDEX(Assessments!$H$2:$H$600,MATCH($H345&amp;"|"&amp;$I345&amp;"|"&amp;$J345&amp;"|"&amp;2,Assessments!$A$2:$A$600,0)),"")</f>
        <v>20</v>
      </c>
      <c r="BW345" s="28" t="n">
        <f aca="false">IFERROR(INDEX(Assessments!$H$2:$H$600,MATCH($H345&amp;"|"&amp;$I345&amp;"|"&amp;$J345&amp;"|"&amp;3,Assessments!$A$2:$A$600,0)),"")</f>
        <v>24</v>
      </c>
      <c r="BX345" s="28" t="n">
        <f aca="false">IFERROR(INDEX(Assessments!$H$2:$H$600,MATCH($H345&amp;"|"&amp;$I345&amp;"|"&amp;$J345&amp;"|"&amp;4,Assessments!$A$2:$A$600,0)),"")</f>
        <v>40</v>
      </c>
      <c r="BY345" s="28" t="n">
        <f aca="false">IFERROR(INDEX(Assessments!$H$2:$H$600,MATCH($H345&amp;"|"&amp;$I345&amp;"|"&amp;$J345&amp;"|"&amp;5,Assessments!$A$2:$A$600,0)),"")</f>
        <v>30</v>
      </c>
      <c r="BZ345" s="28" t="n">
        <f aca="false">IFERROR(INDEX(Assessments!$H$2:$H$600,MATCH($H345&amp;"|"&amp;$I345&amp;"|"&amp;$J345&amp;"|"&amp;6,Assessments!$A$2:$A$600,0)),"")</f>
        <v>20</v>
      </c>
      <c r="CA345" s="28" t="str">
        <f aca="false">IFERROR(INDEX(Assessments!$H$2:$H$600,MATCH($H345&amp;"|"&amp;$I345&amp;"|"&amp;$J345&amp;"|"&amp;7,Assessments!$A$2:$A$600,0)),"")</f>
        <v/>
      </c>
      <c r="CB345" s="28" t="str">
        <f aca="false">IFERROR(INDEX(Assessments!$H$2:$H$600,MATCH($H345&amp;"|"&amp;$I345&amp;"|"&amp;$J345&amp;"|"&amp;8,Assessments!$A$2:$A$600,0)),"")</f>
        <v/>
      </c>
      <c r="CC345" s="28" t="str">
        <f aca="false">IFERROR(INDEX(Assessments!$H$2:$H$600,MATCH($H345&amp;"|"&amp;$I345&amp;"|"&amp;$J345&amp;"|"&amp;9,Assessments!$A$2:$A$600,0)),"")</f>
        <v/>
      </c>
      <c r="CD345" s="28" t="str">
        <f aca="false">IFERROR(INDEX(Assessments!$H$2:$H$600,MATCH($H345&amp;"|"&amp;$I345&amp;"|"&amp;$J345&amp;"|"&amp;10,Assessments!$A$2:$A$600,0)),"")</f>
        <v/>
      </c>
      <c r="CE345" s="28" t="str">
        <f aca="false">IFERROR(INDEX(Assessments!$H$2:$H$600,MATCH($H345&amp;"|"&amp;$I345&amp;"|"&amp;$J345&amp;"|"&amp;11,Assessments!$A$2:$A$600,0)),"")</f>
        <v/>
      </c>
      <c r="CF345" s="28" t="str">
        <f aca="false">IFERROR(INDEX(Assessments!$H$2:$H$600,MATCH($H345&amp;"|"&amp;$I345&amp;"|"&amp;$J345&amp;"|"&amp;12,Assessments!$A$2:$A$600,0)),"")</f>
        <v/>
      </c>
      <c r="CG345" s="28" t="str">
        <f aca="false">IFERROR(INDEX(Assessments!$H$2:$H$600,MATCH($H345&amp;"|"&amp;$I345&amp;"|"&amp;$J345&amp;"|"&amp;13,Assessments!$A$2:$A$600,0)),"")</f>
        <v/>
      </c>
      <c r="CH345" s="28" t="str">
        <f aca="false">IFERROR(INDEX(Assessments!$H$2:$H$600,MATCH($H345&amp;"|"&amp;$I345&amp;"|"&amp;$J345&amp;"|"&amp;14,Assessments!$A$2:$A$600,0)),"")</f>
        <v/>
      </c>
      <c r="CI345" s="28" t="str">
        <f aca="false">IFERROR(INDEX(Assessments!$I$2:$I$600,MATCH($H345&amp;"|"&amp;$I345&amp;"|"&amp;$J345&amp;"|"&amp;1,Assessments!$A$2:$A$600,0)),"")</f>
        <v>BM Test</v>
      </c>
      <c r="CJ345" s="28" t="str">
        <f aca="false">IFERROR(INDEX(Assessments!$I$2:$I$600,MATCH($H345&amp;"|"&amp;$I345&amp;"|"&amp;$J345&amp;"|"&amp;2,Assessments!$A$2:$A$600,0)),"")</f>
        <v>BM Test</v>
      </c>
      <c r="CK345" s="28" t="str">
        <f aca="false">IFERROR(INDEX(Assessments!$I$2:$I$600,MATCH($H345&amp;"|"&amp;$I345&amp;"|"&amp;$J345&amp;"|"&amp;3,Assessments!$A$2:$A$600,0)),"")</f>
        <v>BM Test</v>
      </c>
      <c r="CL345" s="28" t="str">
        <f aca="false">IFERROR(INDEX(Assessments!$I$2:$I$600,MATCH($H345&amp;"|"&amp;$I345&amp;"|"&amp;$J345&amp;"|"&amp;4,Assessments!$A$2:$A$600,0)),"")</f>
        <v>BM Exam</v>
      </c>
      <c r="CM345" s="28" t="str">
        <f aca="false">IFERROR(INDEX(Assessments!$I$2:$I$600,MATCH($H345&amp;"|"&amp;$I345&amp;"|"&amp;$J345&amp;"|"&amp;5,Assessments!$A$2:$A$600,0)),"")</f>
        <v>BM Test</v>
      </c>
      <c r="CN345" s="28" t="str">
        <f aca="false">IFERROR(INDEX(Assessments!$I$2:$I$600,MATCH($H345&amp;"|"&amp;$I345&amp;"|"&amp;$J345&amp;"|"&amp;6,Assessments!$A$2:$A$600,0)),"")</f>
        <v>BM Test</v>
      </c>
      <c r="CO345" s="28" t="str">
        <f aca="false">IFERROR(INDEX(Assessments!$I$2:$I$600,MATCH($H345&amp;"|"&amp;$I345&amp;"|"&amp;$J345&amp;"|"&amp;7,Assessments!$A$2:$A$600,0)),"")</f>
        <v/>
      </c>
      <c r="CP345" s="28" t="str">
        <f aca="false">IFERROR(INDEX(Assessments!$I$2:$I$600,MATCH($H345&amp;"|"&amp;$I345&amp;"|"&amp;$J345&amp;"|"&amp;8,Assessments!$A$2:$A$600,0)),"")</f>
        <v/>
      </c>
      <c r="CQ345" s="28" t="str">
        <f aca="false">IFERROR(INDEX(Assessments!$I$2:$I$600,MATCH($H345&amp;"|"&amp;$I345&amp;"|"&amp;$J345&amp;"|"&amp;9,Assessments!$A$2:$A$600,0)),"")</f>
        <v/>
      </c>
      <c r="CR345" s="28" t="str">
        <f aca="false">IFERROR(INDEX(Assessments!$I$2:$I$600,MATCH($H345&amp;"|"&amp;$I345&amp;"|"&amp;$J345&amp;"|"&amp;10,Assessments!$A$2:$A$600,0)),"")</f>
        <v/>
      </c>
      <c r="CS345" s="28" t="str">
        <f aca="false">IFERROR(INDEX(Assessments!$I$2:$I$600,MATCH($H345&amp;"|"&amp;$I345&amp;"|"&amp;$J345&amp;"|"&amp;11,Assessments!$A$2:$A$600,0)),"")</f>
        <v/>
      </c>
      <c r="CT345" s="28" t="str">
        <f aca="false">IFERROR(INDEX(Assessments!$I$2:$I$600,MATCH($H345&amp;"|"&amp;$I345&amp;"|"&amp;$J345&amp;"|"&amp;12,Assessments!$A$2:$A$600,0)),"")</f>
        <v/>
      </c>
      <c r="CU345" s="28" t="str">
        <f aca="false">IFERROR(INDEX(Assessments!$I$2:$I$600,MATCH($H345&amp;"|"&amp;$I345&amp;"|"&amp;$J345&amp;"|"&amp;13,Assessments!$A$2:$A$600,0)),"")</f>
        <v/>
      </c>
      <c r="CV345" s="28" t="str">
        <f aca="false">IFERROR(INDEX(Assessments!$I$2:$I$600,MATCH($H345&amp;"|"&amp;$I345&amp;"|"&amp;$J345&amp;"|"&amp;14,Assessments!$A$2:$A$600,0)),"")</f>
        <v/>
      </c>
      <c r="CW345" s="28" t="n">
        <f aca="false">IFERROR(INDEX(Assessments!$J$2:$J$600,MATCH($H345&amp;"|"&amp;$I345&amp;"|"&amp;$J345&amp;"|"&amp;1,Assessments!$A$2:$A$600,0)),0)</f>
        <v>1</v>
      </c>
      <c r="CX345" s="28" t="n">
        <f aca="false">IFERROR(INDEX(Assessments!$J$2:$J$600,MATCH($H345&amp;"|"&amp;$I345&amp;"|"&amp;$J345&amp;"|"&amp;2,Assessments!$A$2:$A$600,0)),0)</f>
        <v>1</v>
      </c>
      <c r="CY345" s="28" t="n">
        <f aca="false">IFERROR(INDEX(Assessments!$J$2:$J$600,MATCH($H345&amp;"|"&amp;$I345&amp;"|"&amp;$J345&amp;"|"&amp;3,Assessments!$A$2:$A$600,0)),0)</f>
        <v>1</v>
      </c>
      <c r="CZ345" s="28" t="n">
        <f aca="false">IFERROR(INDEX(Assessments!$J$2:$J$600,MATCH($H345&amp;"|"&amp;$I345&amp;"|"&amp;$J345&amp;"|"&amp;4,Assessments!$A$2:$A$600,0)),0)</f>
        <v>2</v>
      </c>
      <c r="DA345" s="28" t="n">
        <f aca="false">IFERROR(INDEX(Assessments!$J$2:$J$600,MATCH($H345&amp;"|"&amp;$I345&amp;"|"&amp;$J345&amp;"|"&amp;5,Assessments!$A$2:$A$600,0)),0)</f>
        <v>1</v>
      </c>
      <c r="DB345" s="28" t="n">
        <f aca="false">IFERROR(INDEX(Assessments!$J$2:$J$600,MATCH($H345&amp;"|"&amp;$I345&amp;"|"&amp;$J345&amp;"|"&amp;6,Assessments!$A$2:$A$600,0)),0)</f>
        <v>1</v>
      </c>
      <c r="DC345" s="28" t="n">
        <f aca="false">IFERROR(INDEX(Assessments!$J$2:$J$600,MATCH($H345&amp;"|"&amp;$I345&amp;"|"&amp;$J345&amp;"|"&amp;7,Assessments!$A$2:$A$600,0)),0)</f>
        <v>0</v>
      </c>
      <c r="DD345" s="28" t="n">
        <f aca="false">IFERROR(INDEX(Assessments!$J$2:$J$600,MATCH($H345&amp;"|"&amp;$I345&amp;"|"&amp;$J345&amp;"|"&amp;8,Assessments!$A$2:$A$600,0)),0)</f>
        <v>0</v>
      </c>
      <c r="DE345" s="28" t="n">
        <f aca="false">IFERROR(INDEX(Assessments!$J$2:$J$600,MATCH($H345&amp;"|"&amp;$I345&amp;"|"&amp;$J345&amp;"|"&amp;9,Assessments!$A$2:$A$600,0)),0)</f>
        <v>0</v>
      </c>
      <c r="DF345" s="28" t="n">
        <f aca="false">IFERROR(INDEX(Assessments!$J$2:$J$600,MATCH($H345&amp;"|"&amp;$I345&amp;"|"&amp;$J345&amp;"|"&amp;10,Assessments!$A$2:$A$600,0)),0)</f>
        <v>0</v>
      </c>
      <c r="DG345" s="28" t="n">
        <f aca="false">IFERROR(INDEX(Assessments!$J$2:$J$600,MATCH($H345&amp;"|"&amp;$I345&amp;"|"&amp;$J345&amp;"|"&amp;11,Assessments!$A$2:$A$600,0)),0)</f>
        <v>0</v>
      </c>
      <c r="DH345" s="28" t="n">
        <f aca="false">IFERROR(INDEX(Assessments!$J$2:$J$600,MATCH($H345&amp;"|"&amp;$I345&amp;"|"&amp;$J345&amp;"|"&amp;12,Assessments!$A$2:$A$600,0)),0)</f>
        <v>0</v>
      </c>
      <c r="DI345" s="28" t="n">
        <f aca="false">IFERROR(INDEX(Assessments!$J$2:$J$600,MATCH($H345&amp;"|"&amp;$I345&amp;"|"&amp;$J345&amp;"|"&amp;13,Assessments!$A$2:$A$600,0)),0)</f>
        <v>0</v>
      </c>
      <c r="DJ345" s="28" t="n">
        <f aca="false">IFERROR(INDEX(Assessments!$J$2:$J$600,MATCH($H345&amp;"|"&amp;$I345&amp;"|"&amp;$J345&amp;"|"&amp;14,Assessments!$A$2:$A$600,0)),0)</f>
        <v>0</v>
      </c>
      <c r="DK345" s="28" t="str">
        <f aca="false">S345</f>
        <v/>
      </c>
      <c r="DL345" s="28" t="str">
        <f aca="false">W345</f>
        <v/>
      </c>
      <c r="DM345" s="28" t="str">
        <f aca="false">AA345</f>
        <v/>
      </c>
      <c r="DN345" s="28" t="str">
        <f aca="false">AE345</f>
        <v/>
      </c>
      <c r="DO345" s="28" t="str">
        <f aca="false">AI345</f>
        <v/>
      </c>
      <c r="DP345" s="28" t="str">
        <f aca="false">AM345</f>
        <v/>
      </c>
      <c r="DQ345" s="28" t="str">
        <f aca="false">AQ345</f>
        <v/>
      </c>
      <c r="DR345" s="28" t="str">
        <f aca="false">AU345</f>
        <v/>
      </c>
      <c r="DS345" s="28" t="str">
        <f aca="false">AY345</f>
        <v/>
      </c>
      <c r="DT345" s="28" t="str">
        <f aca="false">BC345</f>
        <v/>
      </c>
      <c r="DU345" s="28" t="str">
        <f aca="false">BG345</f>
        <v/>
      </c>
      <c r="DV345" s="28" t="str">
        <f aca="false">BK345</f>
        <v/>
      </c>
      <c r="DW345" s="28" t="str">
        <f aca="false">BO345</f>
        <v/>
      </c>
      <c r="DX345" s="28" t="str">
        <f aca="false">BS345</f>
        <v/>
      </c>
      <c r="DY345" s="28" t="str">
        <f aca="false">IF(ISNUMBER(S345),1,"")</f>
        <v/>
      </c>
      <c r="DZ345" s="28" t="str">
        <f aca="false">IF(ISNUMBER(W345),2,"")</f>
        <v/>
      </c>
      <c r="EA345" s="28" t="str">
        <f aca="false">IF(ISNUMBER(AA345),3,"")</f>
        <v/>
      </c>
      <c r="EB345" s="28" t="str">
        <f aca="false">IF(ISNUMBER(AE345),4,"")</f>
        <v/>
      </c>
      <c r="EC345" s="28" t="str">
        <f aca="false">IF(ISNUMBER(AI345),5,"")</f>
        <v/>
      </c>
      <c r="ED345" s="28" t="str">
        <f aca="false">IF(ISNUMBER(AM345),6,"")</f>
        <v/>
      </c>
      <c r="EE345" s="28" t="str">
        <f aca="false">IF(ISNUMBER(AQ345),7,"")</f>
        <v/>
      </c>
      <c r="EF345" s="28" t="str">
        <f aca="false">IF(ISNUMBER(AU345),8,"")</f>
        <v/>
      </c>
      <c r="EG345" s="28" t="str">
        <f aca="false">IF(ISNUMBER(AY345),9,"")</f>
        <v/>
      </c>
      <c r="EH345" s="28" t="str">
        <f aca="false">IF(ISNUMBER(BC345),10,"")</f>
        <v/>
      </c>
      <c r="EI345" s="28" t="str">
        <f aca="false">IF(ISNUMBER(BG345),11,"")</f>
        <v/>
      </c>
      <c r="EJ345" s="28" t="str">
        <f aca="false">IF(ISNUMBER(BK345),12,"")</f>
        <v/>
      </c>
      <c r="EK345" s="28" t="str">
        <f aca="false">IF(ISNUMBER(BO345),13,"")</f>
        <v/>
      </c>
      <c r="EL345" s="28" t="str">
        <f aca="false">IF(ISNUMBER(BS345),14,"")</f>
        <v/>
      </c>
      <c r="EM345" s="28" t="n">
        <f aca="false">IF(ISNUMBER(R345),R345*CW345,0)</f>
        <v>0</v>
      </c>
      <c r="EN345" s="28" t="n">
        <f aca="false">IF(ISNUMBER(V345),V345*CX345,0)</f>
        <v>0</v>
      </c>
      <c r="EO345" s="28" t="n">
        <f aca="false">IF(ISNUMBER(Z345),Z345*CY345,0)</f>
        <v>0</v>
      </c>
      <c r="EP345" s="28" t="n">
        <f aca="false">IF(ISNUMBER(AD345),AD345*CZ345,0)</f>
        <v>0</v>
      </c>
      <c r="EQ345" s="28" t="n">
        <f aca="false">IF(ISNUMBER(AH345),AH345*DA345,0)</f>
        <v>0</v>
      </c>
      <c r="ER345" s="28" t="n">
        <f aca="false">IF(ISNUMBER(AL345),AL345*DB345,0)</f>
        <v>0</v>
      </c>
      <c r="ES345" s="28" t="n">
        <f aca="false">IF(ISNUMBER(AP345),AP345*DC345,0)</f>
        <v>0</v>
      </c>
      <c r="ET345" s="28" t="n">
        <f aca="false">IF(ISNUMBER(AT345),AT345*DD345,0)</f>
        <v>0</v>
      </c>
      <c r="EU345" s="28" t="n">
        <f aca="false">IF(ISNUMBER(AX345),AX345*DE345,0)</f>
        <v>0</v>
      </c>
      <c r="EV345" s="28" t="n">
        <f aca="false">IF(ISNUMBER(BB345),BB345*DF345,0)</f>
        <v>0</v>
      </c>
      <c r="EW345" s="28" t="n">
        <f aca="false">IF(ISNUMBER(BF345),BF345*DG345,0)</f>
        <v>0</v>
      </c>
      <c r="EX345" s="28" t="n">
        <f aca="false">IF(ISNUMBER(BJ345),BJ345*DH345,0)</f>
        <v>0</v>
      </c>
      <c r="EY345" s="28" t="n">
        <f aca="false">IF(ISNUMBER(BN345),BN345*DI345,0)</f>
        <v>0</v>
      </c>
      <c r="EZ345" s="28" t="n">
        <f aca="false">IF(ISNUMBER(BR345),BR345*DJ345,0)</f>
        <v>0</v>
      </c>
      <c r="FA345" s="28" t="n">
        <f aca="false">IF(ISNUMBER(R345),CW345,0)</f>
        <v>0</v>
      </c>
      <c r="FB345" s="28" t="n">
        <f aca="false">IF(ISNUMBER(V345),CX345,0)</f>
        <v>0</v>
      </c>
      <c r="FC345" s="28" t="n">
        <f aca="false">IF(ISNUMBER(Z345),CY345,0)</f>
        <v>0</v>
      </c>
      <c r="FD345" s="28" t="n">
        <f aca="false">IF(ISNUMBER(AD345),CZ345,0)</f>
        <v>0</v>
      </c>
      <c r="FE345" s="28" t="n">
        <f aca="false">IF(ISNUMBER(AH345),DA345,0)</f>
        <v>0</v>
      </c>
      <c r="FF345" s="28" t="n">
        <f aca="false">IF(ISNUMBER(AL345),DB345,0)</f>
        <v>0</v>
      </c>
      <c r="FG345" s="28" t="n">
        <f aca="false">IF(ISNUMBER(AP345),DC345,0)</f>
        <v>0</v>
      </c>
      <c r="FH345" s="28" t="n">
        <f aca="false">IF(ISNUMBER(AT345),DD345,0)</f>
        <v>0</v>
      </c>
      <c r="FI345" s="28" t="n">
        <f aca="false">IF(ISNUMBER(AX345),DE345,0)</f>
        <v>0</v>
      </c>
      <c r="FJ345" s="28" t="n">
        <f aca="false">IF(ISNUMBER(BB345),DF345,0)</f>
        <v>0</v>
      </c>
      <c r="FK345" s="28" t="n">
        <f aca="false">IF(ISNUMBER(BF345),DG345,0)</f>
        <v>0</v>
      </c>
      <c r="FL345" s="28" t="n">
        <f aca="false">IF(ISNUMBER(BJ345),DH345,0)</f>
        <v>0</v>
      </c>
      <c r="FM345" s="28" t="n">
        <f aca="false">IF(ISNUMBER(BN345),DI345,0)</f>
        <v>0</v>
      </c>
      <c r="FN345" s="28" t="n">
        <f aca="false">IF(ISNUMBER(BR345),DJ345,0)</f>
        <v>0</v>
      </c>
      <c r="FO345" s="28" t="str">
        <f aca="false">IFERROR(INDEX(Lists!$G$2:$G$20,MATCH($I345&amp;"|"&amp;$J345,Lists!$F$2:$F$20,0)),"")</f>
        <v>BM Exam</v>
      </c>
    </row>
    <row r="346" customFormat="false" ht="19.5" hidden="false" customHeight="true" outlineLevel="0" collapsed="false">
      <c r="A346" s="29" t="s">
        <v>646</v>
      </c>
      <c r="B346" s="29" t="s">
        <v>647</v>
      </c>
      <c r="C346" s="30" t="s">
        <v>152</v>
      </c>
      <c r="D346" s="30" t="s">
        <v>625</v>
      </c>
      <c r="E346" s="31"/>
      <c r="F346" s="30"/>
      <c r="G346" s="30"/>
      <c r="H346" s="32" t="s">
        <v>428</v>
      </c>
      <c r="I346" s="33" t="s">
        <v>365</v>
      </c>
      <c r="J346" s="32" t="s">
        <v>223</v>
      </c>
      <c r="K346" s="34" t="str">
        <f aca="false">IF(OR(M346="",$E346=""),"",M346-$E346)</f>
        <v/>
      </c>
      <c r="L346" s="35" t="str">
        <f aca="false">IF(SUM(FA346:FN346)=0,"",SUM(EM346:EZ346)/SUM(FA346:FN346))</f>
        <v/>
      </c>
      <c r="M346" s="36" t="str">
        <f aca="false">IF(OR(L346="",FO346=""),"",IFERROR(MATCH(L346,INDEX(Boundaries!$B$2:$I$30,MATCH(FO346,Boundaries!$A$2:$A$30,0),0),1)-1,""))</f>
        <v/>
      </c>
      <c r="N346" s="37" t="str">
        <f aca="false">IF(COUNT($DY346:$EL346)&lt;2,"",INDEX($DK346:$DX346,MAX($DY346:$EL346))-INDEX($DK346:$DX346,MIN($DY346:$EL346)))</f>
        <v/>
      </c>
      <c r="O346" s="37" t="str">
        <f aca="false">IF(COUNT($DY346:$EL346)&lt;2,"",INDEX($DK346:$DX346,MAX($DY346:$EL346))-INDEX($DK346:$DX346,LARGE($DY346:$EL346,2)))</f>
        <v/>
      </c>
      <c r="P346" s="38" t="str">
        <f aca="false">IF(K346="","",IF(K346&gt;=0,"On/above target",IF(AND(N346&lt;&gt;"",N346&gt;=0.5),"Improving towards target",IF(AND(O346&lt;&gt;"",O346&lt;=-0.5),"Declining","Stable below target"))))</f>
        <v/>
      </c>
      <c r="Q346" s="39"/>
      <c r="R346" s="40" t="str">
        <f aca="false">IF(OR(Q346="",BU346=""),"",Q346/BU346*100)</f>
        <v/>
      </c>
      <c r="S346" s="41" t="str">
        <f aca="false">IF(R346="","",IFERROR(MATCH(R346,INDEX(Boundaries!$B$2:$I$30,MATCH(CI346,Boundaries!$A$2:$A$30,0),0),1)-1,""))</f>
        <v/>
      </c>
      <c r="T346" s="42" t="str">
        <f aca="false">IF(OR(S346="",$E346=""),"",S346-$E346)</f>
        <v/>
      </c>
      <c r="U346" s="39"/>
      <c r="V346" s="40" t="str">
        <f aca="false">IF(OR(U346="",BV346=""),"",U346/BV346*100)</f>
        <v/>
      </c>
      <c r="W346" s="41" t="str">
        <f aca="false">IF(V346="","",IFERROR(MATCH(V346,INDEX(Boundaries!$B$2:$I$30,MATCH(CJ346,Boundaries!$A$2:$A$30,0),0),1)-1,""))</f>
        <v/>
      </c>
      <c r="X346" s="42" t="str">
        <f aca="false">IF(OR(W346="",$E346=""),"",W346-$E346)</f>
        <v/>
      </c>
      <c r="Y346" s="39"/>
      <c r="Z346" s="40" t="str">
        <f aca="false">IF(OR(Y346="",BW346=""),"",Y346/BW346*100)</f>
        <v/>
      </c>
      <c r="AA346" s="41" t="str">
        <f aca="false">IF(Z346="","",IFERROR(MATCH(Z346,INDEX(Boundaries!$B$2:$I$30,MATCH(CK346,Boundaries!$A$2:$A$30,0),0),1)-1,""))</f>
        <v/>
      </c>
      <c r="AB346" s="42" t="str">
        <f aca="false">IF(OR(AA346="",$E346=""),"",AA346-$E346)</f>
        <v/>
      </c>
      <c r="AC346" s="39"/>
      <c r="AD346" s="40" t="str">
        <f aca="false">IF(OR(AC346="",BX346=""),"",AC346/BX346*100)</f>
        <v/>
      </c>
      <c r="AE346" s="41" t="str">
        <f aca="false">IF(AD346="","",IFERROR(MATCH(AD346,INDEX(Boundaries!$B$2:$I$30,MATCH(CL346,Boundaries!$A$2:$A$30,0),0),1)-1,""))</f>
        <v/>
      </c>
      <c r="AF346" s="42" t="str">
        <f aca="false">IF(OR(AE346="",$E346=""),"",AE346-$E346)</f>
        <v/>
      </c>
      <c r="AG346" s="39"/>
      <c r="AH346" s="40" t="str">
        <f aca="false">IF(OR(AG346="",BY346=""),"",AG346/BY346*100)</f>
        <v/>
      </c>
      <c r="AI346" s="41" t="str">
        <f aca="false">IF(AH346="","",IFERROR(MATCH(AH346,INDEX(Boundaries!$B$2:$I$30,MATCH(CM346,Boundaries!$A$2:$A$30,0),0),1)-1,""))</f>
        <v/>
      </c>
      <c r="AJ346" s="42" t="str">
        <f aca="false">IF(OR(AI346="",$E346=""),"",AI346-$E346)</f>
        <v/>
      </c>
      <c r="AK346" s="39"/>
      <c r="AL346" s="40" t="str">
        <f aca="false">IF(OR(AK346="",BZ346=""),"",AK346/BZ346*100)</f>
        <v/>
      </c>
      <c r="AM346" s="41" t="str">
        <f aca="false">IF(AL346="","",IFERROR(MATCH(AL346,INDEX(Boundaries!$B$2:$I$30,MATCH(CN346,Boundaries!$A$2:$A$30,0),0),1)-1,""))</f>
        <v/>
      </c>
      <c r="AN346" s="42" t="str">
        <f aca="false">IF(OR(AM346="",$E346=""),"",AM346-$E346)</f>
        <v/>
      </c>
      <c r="AO346" s="39"/>
      <c r="AP346" s="40" t="str">
        <f aca="false">IF(OR(AO346="",CA346=""),"",AO346/CA346*100)</f>
        <v/>
      </c>
      <c r="AQ346" s="41" t="str">
        <f aca="false">IF(AP346="","",IFERROR(MATCH(AP346,INDEX(Boundaries!$B$2:$I$30,MATCH(CO346,Boundaries!$A$2:$A$30,0),0),1)-1,""))</f>
        <v/>
      </c>
      <c r="AR346" s="42" t="str">
        <f aca="false">IF(OR(AQ346="",$E346=""),"",AQ346-$E346)</f>
        <v/>
      </c>
      <c r="AS346" s="39"/>
      <c r="AT346" s="40" t="str">
        <f aca="false">IF(OR(AS346="",CB346=""),"",AS346/CB346*100)</f>
        <v/>
      </c>
      <c r="AU346" s="41" t="str">
        <f aca="false">IF(AT346="","",IFERROR(MATCH(AT346,INDEX(Boundaries!$B$2:$I$30,MATCH(CP346,Boundaries!$A$2:$A$30,0),0),1)-1,""))</f>
        <v/>
      </c>
      <c r="AV346" s="42" t="str">
        <f aca="false">IF(OR(AU346="",$E346=""),"",AU346-$E346)</f>
        <v/>
      </c>
      <c r="AW346" s="39"/>
      <c r="AX346" s="40" t="str">
        <f aca="false">IF(OR(AW346="",CC346=""),"",AW346/CC346*100)</f>
        <v/>
      </c>
      <c r="AY346" s="41" t="str">
        <f aca="false">IF(AX346="","",IFERROR(MATCH(AX346,INDEX(Boundaries!$B$2:$I$30,MATCH(CQ346,Boundaries!$A$2:$A$30,0),0),1)-1,""))</f>
        <v/>
      </c>
      <c r="AZ346" s="42" t="str">
        <f aca="false">IF(OR(AY346="",$E346=""),"",AY346-$E346)</f>
        <v/>
      </c>
      <c r="BA346" s="39"/>
      <c r="BB346" s="40" t="str">
        <f aca="false">IF(OR(BA346="",CD346=""),"",BA346/CD346*100)</f>
        <v/>
      </c>
      <c r="BC346" s="41" t="str">
        <f aca="false">IF(BB346="","",IFERROR(MATCH(BB346,INDEX(Boundaries!$B$2:$I$30,MATCH(CR346,Boundaries!$A$2:$A$30,0),0),1)-1,""))</f>
        <v/>
      </c>
      <c r="BD346" s="42" t="str">
        <f aca="false">IF(OR(BC346="",$E346=""),"",BC346-$E346)</f>
        <v/>
      </c>
      <c r="BE346" s="39"/>
      <c r="BF346" s="40" t="str">
        <f aca="false">IF(OR(BE346="",CE346=""),"",BE346/CE346*100)</f>
        <v/>
      </c>
      <c r="BG346" s="41" t="str">
        <f aca="false">IF(BF346="","",IFERROR(MATCH(BF346,INDEX(Boundaries!$B$2:$I$30,MATCH(CS346,Boundaries!$A$2:$A$30,0),0),1)-1,""))</f>
        <v/>
      </c>
      <c r="BH346" s="42" t="str">
        <f aca="false">IF(OR(BG346="",$E346=""),"",BG346-$E346)</f>
        <v/>
      </c>
      <c r="BI346" s="39"/>
      <c r="BJ346" s="40" t="str">
        <f aca="false">IF(OR(BI346="",CF346=""),"",BI346/CF346*100)</f>
        <v/>
      </c>
      <c r="BK346" s="41" t="str">
        <f aca="false">IF(BJ346="","",IFERROR(MATCH(BJ346,INDEX(Boundaries!$B$2:$I$30,MATCH(CT346,Boundaries!$A$2:$A$30,0),0),1)-1,""))</f>
        <v/>
      </c>
      <c r="BL346" s="42" t="str">
        <f aca="false">IF(OR(BK346="",$E346=""),"",BK346-$E346)</f>
        <v/>
      </c>
      <c r="BM346" s="39"/>
      <c r="BN346" s="40" t="str">
        <f aca="false">IF(OR(BM346="",CG346=""),"",BM346/CG346*100)</f>
        <v/>
      </c>
      <c r="BO346" s="41" t="str">
        <f aca="false">IF(BN346="","",IFERROR(MATCH(BN346,INDEX(Boundaries!$B$2:$I$30,MATCH(CU346,Boundaries!$A$2:$A$30,0),0),1)-1,""))</f>
        <v/>
      </c>
      <c r="BP346" s="42" t="str">
        <f aca="false">IF(OR(BO346="",$E346=""),"",BO346-$E346)</f>
        <v/>
      </c>
      <c r="BQ346" s="39"/>
      <c r="BR346" s="40" t="str">
        <f aca="false">IF(OR(BQ346="",CH346=""),"",BQ346/CH346*100)</f>
        <v/>
      </c>
      <c r="BS346" s="41" t="str">
        <f aca="false">IF(BR346="","",IFERROR(MATCH(BR346,INDEX(Boundaries!$B$2:$I$30,MATCH(CV346,Boundaries!$A$2:$A$30,0),0),1)-1,""))</f>
        <v/>
      </c>
      <c r="BT346" s="42" t="str">
        <f aca="false">IF(OR(BS346="",$E346=""),"",BS346-$E346)</f>
        <v/>
      </c>
      <c r="BU346" s="28" t="n">
        <f aca="false">IFERROR(INDEX(Assessments!$H$2:$H$600,MATCH($H346&amp;"|"&amp;$I346&amp;"|"&amp;$J346&amp;"|"&amp;1,Assessments!$A$2:$A$600,0)),"")</f>
        <v>24</v>
      </c>
      <c r="BV346" s="28" t="n">
        <f aca="false">IFERROR(INDEX(Assessments!$H$2:$H$600,MATCH($H346&amp;"|"&amp;$I346&amp;"|"&amp;$J346&amp;"|"&amp;2,Assessments!$A$2:$A$600,0)),"")</f>
        <v>20</v>
      </c>
      <c r="BW346" s="28" t="n">
        <f aca="false">IFERROR(INDEX(Assessments!$H$2:$H$600,MATCH($H346&amp;"|"&amp;$I346&amp;"|"&amp;$J346&amp;"|"&amp;3,Assessments!$A$2:$A$600,0)),"")</f>
        <v>24</v>
      </c>
      <c r="BX346" s="28" t="n">
        <f aca="false">IFERROR(INDEX(Assessments!$H$2:$H$600,MATCH($H346&amp;"|"&amp;$I346&amp;"|"&amp;$J346&amp;"|"&amp;4,Assessments!$A$2:$A$600,0)),"")</f>
        <v>40</v>
      </c>
      <c r="BY346" s="28" t="n">
        <f aca="false">IFERROR(INDEX(Assessments!$H$2:$H$600,MATCH($H346&amp;"|"&amp;$I346&amp;"|"&amp;$J346&amp;"|"&amp;5,Assessments!$A$2:$A$600,0)),"")</f>
        <v>30</v>
      </c>
      <c r="BZ346" s="28" t="n">
        <f aca="false">IFERROR(INDEX(Assessments!$H$2:$H$600,MATCH($H346&amp;"|"&amp;$I346&amp;"|"&amp;$J346&amp;"|"&amp;6,Assessments!$A$2:$A$600,0)),"")</f>
        <v>20</v>
      </c>
      <c r="CA346" s="28" t="str">
        <f aca="false">IFERROR(INDEX(Assessments!$H$2:$H$600,MATCH($H346&amp;"|"&amp;$I346&amp;"|"&amp;$J346&amp;"|"&amp;7,Assessments!$A$2:$A$600,0)),"")</f>
        <v/>
      </c>
      <c r="CB346" s="28" t="str">
        <f aca="false">IFERROR(INDEX(Assessments!$H$2:$H$600,MATCH($H346&amp;"|"&amp;$I346&amp;"|"&amp;$J346&amp;"|"&amp;8,Assessments!$A$2:$A$600,0)),"")</f>
        <v/>
      </c>
      <c r="CC346" s="28" t="str">
        <f aca="false">IFERROR(INDEX(Assessments!$H$2:$H$600,MATCH($H346&amp;"|"&amp;$I346&amp;"|"&amp;$J346&amp;"|"&amp;9,Assessments!$A$2:$A$600,0)),"")</f>
        <v/>
      </c>
      <c r="CD346" s="28" t="str">
        <f aca="false">IFERROR(INDEX(Assessments!$H$2:$H$600,MATCH($H346&amp;"|"&amp;$I346&amp;"|"&amp;$J346&amp;"|"&amp;10,Assessments!$A$2:$A$600,0)),"")</f>
        <v/>
      </c>
      <c r="CE346" s="28" t="str">
        <f aca="false">IFERROR(INDEX(Assessments!$H$2:$H$600,MATCH($H346&amp;"|"&amp;$I346&amp;"|"&amp;$J346&amp;"|"&amp;11,Assessments!$A$2:$A$600,0)),"")</f>
        <v/>
      </c>
      <c r="CF346" s="28" t="str">
        <f aca="false">IFERROR(INDEX(Assessments!$H$2:$H$600,MATCH($H346&amp;"|"&amp;$I346&amp;"|"&amp;$J346&amp;"|"&amp;12,Assessments!$A$2:$A$600,0)),"")</f>
        <v/>
      </c>
      <c r="CG346" s="28" t="str">
        <f aca="false">IFERROR(INDEX(Assessments!$H$2:$H$600,MATCH($H346&amp;"|"&amp;$I346&amp;"|"&amp;$J346&amp;"|"&amp;13,Assessments!$A$2:$A$600,0)),"")</f>
        <v/>
      </c>
      <c r="CH346" s="28" t="str">
        <f aca="false">IFERROR(INDEX(Assessments!$H$2:$H$600,MATCH($H346&amp;"|"&amp;$I346&amp;"|"&amp;$J346&amp;"|"&amp;14,Assessments!$A$2:$A$600,0)),"")</f>
        <v/>
      </c>
      <c r="CI346" s="28" t="str">
        <f aca="false">IFERROR(INDEX(Assessments!$I$2:$I$600,MATCH($H346&amp;"|"&amp;$I346&amp;"|"&amp;$J346&amp;"|"&amp;1,Assessments!$A$2:$A$600,0)),"")</f>
        <v>BM Test</v>
      </c>
      <c r="CJ346" s="28" t="str">
        <f aca="false">IFERROR(INDEX(Assessments!$I$2:$I$600,MATCH($H346&amp;"|"&amp;$I346&amp;"|"&amp;$J346&amp;"|"&amp;2,Assessments!$A$2:$A$600,0)),"")</f>
        <v>BM Test</v>
      </c>
      <c r="CK346" s="28" t="str">
        <f aca="false">IFERROR(INDEX(Assessments!$I$2:$I$600,MATCH($H346&amp;"|"&amp;$I346&amp;"|"&amp;$J346&amp;"|"&amp;3,Assessments!$A$2:$A$600,0)),"")</f>
        <v>BM Test</v>
      </c>
      <c r="CL346" s="28" t="str">
        <f aca="false">IFERROR(INDEX(Assessments!$I$2:$I$600,MATCH($H346&amp;"|"&amp;$I346&amp;"|"&amp;$J346&amp;"|"&amp;4,Assessments!$A$2:$A$600,0)),"")</f>
        <v>BM Exam</v>
      </c>
      <c r="CM346" s="28" t="str">
        <f aca="false">IFERROR(INDEX(Assessments!$I$2:$I$600,MATCH($H346&amp;"|"&amp;$I346&amp;"|"&amp;$J346&amp;"|"&amp;5,Assessments!$A$2:$A$600,0)),"")</f>
        <v>BM Test</v>
      </c>
      <c r="CN346" s="28" t="str">
        <f aca="false">IFERROR(INDEX(Assessments!$I$2:$I$600,MATCH($H346&amp;"|"&amp;$I346&amp;"|"&amp;$J346&amp;"|"&amp;6,Assessments!$A$2:$A$600,0)),"")</f>
        <v>BM Test</v>
      </c>
      <c r="CO346" s="28" t="str">
        <f aca="false">IFERROR(INDEX(Assessments!$I$2:$I$600,MATCH($H346&amp;"|"&amp;$I346&amp;"|"&amp;$J346&amp;"|"&amp;7,Assessments!$A$2:$A$600,0)),"")</f>
        <v/>
      </c>
      <c r="CP346" s="28" t="str">
        <f aca="false">IFERROR(INDEX(Assessments!$I$2:$I$600,MATCH($H346&amp;"|"&amp;$I346&amp;"|"&amp;$J346&amp;"|"&amp;8,Assessments!$A$2:$A$600,0)),"")</f>
        <v/>
      </c>
      <c r="CQ346" s="28" t="str">
        <f aca="false">IFERROR(INDEX(Assessments!$I$2:$I$600,MATCH($H346&amp;"|"&amp;$I346&amp;"|"&amp;$J346&amp;"|"&amp;9,Assessments!$A$2:$A$600,0)),"")</f>
        <v/>
      </c>
      <c r="CR346" s="28" t="str">
        <f aca="false">IFERROR(INDEX(Assessments!$I$2:$I$600,MATCH($H346&amp;"|"&amp;$I346&amp;"|"&amp;$J346&amp;"|"&amp;10,Assessments!$A$2:$A$600,0)),"")</f>
        <v/>
      </c>
      <c r="CS346" s="28" t="str">
        <f aca="false">IFERROR(INDEX(Assessments!$I$2:$I$600,MATCH($H346&amp;"|"&amp;$I346&amp;"|"&amp;$J346&amp;"|"&amp;11,Assessments!$A$2:$A$600,0)),"")</f>
        <v/>
      </c>
      <c r="CT346" s="28" t="str">
        <f aca="false">IFERROR(INDEX(Assessments!$I$2:$I$600,MATCH($H346&amp;"|"&amp;$I346&amp;"|"&amp;$J346&amp;"|"&amp;12,Assessments!$A$2:$A$600,0)),"")</f>
        <v/>
      </c>
      <c r="CU346" s="28" t="str">
        <f aca="false">IFERROR(INDEX(Assessments!$I$2:$I$600,MATCH($H346&amp;"|"&amp;$I346&amp;"|"&amp;$J346&amp;"|"&amp;13,Assessments!$A$2:$A$600,0)),"")</f>
        <v/>
      </c>
      <c r="CV346" s="28" t="str">
        <f aca="false">IFERROR(INDEX(Assessments!$I$2:$I$600,MATCH($H346&amp;"|"&amp;$I346&amp;"|"&amp;$J346&amp;"|"&amp;14,Assessments!$A$2:$A$600,0)),"")</f>
        <v/>
      </c>
      <c r="CW346" s="28" t="n">
        <f aca="false">IFERROR(INDEX(Assessments!$J$2:$J$600,MATCH($H346&amp;"|"&amp;$I346&amp;"|"&amp;$J346&amp;"|"&amp;1,Assessments!$A$2:$A$600,0)),0)</f>
        <v>1</v>
      </c>
      <c r="CX346" s="28" t="n">
        <f aca="false">IFERROR(INDEX(Assessments!$J$2:$J$600,MATCH($H346&amp;"|"&amp;$I346&amp;"|"&amp;$J346&amp;"|"&amp;2,Assessments!$A$2:$A$600,0)),0)</f>
        <v>1</v>
      </c>
      <c r="CY346" s="28" t="n">
        <f aca="false">IFERROR(INDEX(Assessments!$J$2:$J$600,MATCH($H346&amp;"|"&amp;$I346&amp;"|"&amp;$J346&amp;"|"&amp;3,Assessments!$A$2:$A$600,0)),0)</f>
        <v>1</v>
      </c>
      <c r="CZ346" s="28" t="n">
        <f aca="false">IFERROR(INDEX(Assessments!$J$2:$J$600,MATCH($H346&amp;"|"&amp;$I346&amp;"|"&amp;$J346&amp;"|"&amp;4,Assessments!$A$2:$A$600,0)),0)</f>
        <v>2</v>
      </c>
      <c r="DA346" s="28" t="n">
        <f aca="false">IFERROR(INDEX(Assessments!$J$2:$J$600,MATCH($H346&amp;"|"&amp;$I346&amp;"|"&amp;$J346&amp;"|"&amp;5,Assessments!$A$2:$A$600,0)),0)</f>
        <v>1</v>
      </c>
      <c r="DB346" s="28" t="n">
        <f aca="false">IFERROR(INDEX(Assessments!$J$2:$J$600,MATCH($H346&amp;"|"&amp;$I346&amp;"|"&amp;$J346&amp;"|"&amp;6,Assessments!$A$2:$A$600,0)),0)</f>
        <v>1</v>
      </c>
      <c r="DC346" s="28" t="n">
        <f aca="false">IFERROR(INDEX(Assessments!$J$2:$J$600,MATCH($H346&amp;"|"&amp;$I346&amp;"|"&amp;$J346&amp;"|"&amp;7,Assessments!$A$2:$A$600,0)),0)</f>
        <v>0</v>
      </c>
      <c r="DD346" s="28" t="n">
        <f aca="false">IFERROR(INDEX(Assessments!$J$2:$J$600,MATCH($H346&amp;"|"&amp;$I346&amp;"|"&amp;$J346&amp;"|"&amp;8,Assessments!$A$2:$A$600,0)),0)</f>
        <v>0</v>
      </c>
      <c r="DE346" s="28" t="n">
        <f aca="false">IFERROR(INDEX(Assessments!$J$2:$J$600,MATCH($H346&amp;"|"&amp;$I346&amp;"|"&amp;$J346&amp;"|"&amp;9,Assessments!$A$2:$A$600,0)),0)</f>
        <v>0</v>
      </c>
      <c r="DF346" s="28" t="n">
        <f aca="false">IFERROR(INDEX(Assessments!$J$2:$J$600,MATCH($H346&amp;"|"&amp;$I346&amp;"|"&amp;$J346&amp;"|"&amp;10,Assessments!$A$2:$A$600,0)),0)</f>
        <v>0</v>
      </c>
      <c r="DG346" s="28" t="n">
        <f aca="false">IFERROR(INDEX(Assessments!$J$2:$J$600,MATCH($H346&amp;"|"&amp;$I346&amp;"|"&amp;$J346&amp;"|"&amp;11,Assessments!$A$2:$A$600,0)),0)</f>
        <v>0</v>
      </c>
      <c r="DH346" s="28" t="n">
        <f aca="false">IFERROR(INDEX(Assessments!$J$2:$J$600,MATCH($H346&amp;"|"&amp;$I346&amp;"|"&amp;$J346&amp;"|"&amp;12,Assessments!$A$2:$A$600,0)),0)</f>
        <v>0</v>
      </c>
      <c r="DI346" s="28" t="n">
        <f aca="false">IFERROR(INDEX(Assessments!$J$2:$J$600,MATCH($H346&amp;"|"&amp;$I346&amp;"|"&amp;$J346&amp;"|"&amp;13,Assessments!$A$2:$A$600,0)),0)</f>
        <v>0</v>
      </c>
      <c r="DJ346" s="28" t="n">
        <f aca="false">IFERROR(INDEX(Assessments!$J$2:$J$600,MATCH($H346&amp;"|"&amp;$I346&amp;"|"&amp;$J346&amp;"|"&amp;14,Assessments!$A$2:$A$600,0)),0)</f>
        <v>0</v>
      </c>
      <c r="DK346" s="28" t="str">
        <f aca="false">S346</f>
        <v/>
      </c>
      <c r="DL346" s="28" t="str">
        <f aca="false">W346</f>
        <v/>
      </c>
      <c r="DM346" s="28" t="str">
        <f aca="false">AA346</f>
        <v/>
      </c>
      <c r="DN346" s="28" t="str">
        <f aca="false">AE346</f>
        <v/>
      </c>
      <c r="DO346" s="28" t="str">
        <f aca="false">AI346</f>
        <v/>
      </c>
      <c r="DP346" s="28" t="str">
        <f aca="false">AM346</f>
        <v/>
      </c>
      <c r="DQ346" s="28" t="str">
        <f aca="false">AQ346</f>
        <v/>
      </c>
      <c r="DR346" s="28" t="str">
        <f aca="false">AU346</f>
        <v/>
      </c>
      <c r="DS346" s="28" t="str">
        <f aca="false">AY346</f>
        <v/>
      </c>
      <c r="DT346" s="28" t="str">
        <f aca="false">BC346</f>
        <v/>
      </c>
      <c r="DU346" s="28" t="str">
        <f aca="false">BG346</f>
        <v/>
      </c>
      <c r="DV346" s="28" t="str">
        <f aca="false">BK346</f>
        <v/>
      </c>
      <c r="DW346" s="28" t="str">
        <f aca="false">BO346</f>
        <v/>
      </c>
      <c r="DX346" s="28" t="str">
        <f aca="false">BS346</f>
        <v/>
      </c>
      <c r="DY346" s="28" t="str">
        <f aca="false">IF(ISNUMBER(S346),1,"")</f>
        <v/>
      </c>
      <c r="DZ346" s="28" t="str">
        <f aca="false">IF(ISNUMBER(W346),2,"")</f>
        <v/>
      </c>
      <c r="EA346" s="28" t="str">
        <f aca="false">IF(ISNUMBER(AA346),3,"")</f>
        <v/>
      </c>
      <c r="EB346" s="28" t="str">
        <f aca="false">IF(ISNUMBER(AE346),4,"")</f>
        <v/>
      </c>
      <c r="EC346" s="28" t="str">
        <f aca="false">IF(ISNUMBER(AI346),5,"")</f>
        <v/>
      </c>
      <c r="ED346" s="28" t="str">
        <f aca="false">IF(ISNUMBER(AM346),6,"")</f>
        <v/>
      </c>
      <c r="EE346" s="28" t="str">
        <f aca="false">IF(ISNUMBER(AQ346),7,"")</f>
        <v/>
      </c>
      <c r="EF346" s="28" t="str">
        <f aca="false">IF(ISNUMBER(AU346),8,"")</f>
        <v/>
      </c>
      <c r="EG346" s="28" t="str">
        <f aca="false">IF(ISNUMBER(AY346),9,"")</f>
        <v/>
      </c>
      <c r="EH346" s="28" t="str">
        <f aca="false">IF(ISNUMBER(BC346),10,"")</f>
        <v/>
      </c>
      <c r="EI346" s="28" t="str">
        <f aca="false">IF(ISNUMBER(BG346),11,"")</f>
        <v/>
      </c>
      <c r="EJ346" s="28" t="str">
        <f aca="false">IF(ISNUMBER(BK346),12,"")</f>
        <v/>
      </c>
      <c r="EK346" s="28" t="str">
        <f aca="false">IF(ISNUMBER(BO346),13,"")</f>
        <v/>
      </c>
      <c r="EL346" s="28" t="str">
        <f aca="false">IF(ISNUMBER(BS346),14,"")</f>
        <v/>
      </c>
      <c r="EM346" s="28" t="n">
        <f aca="false">IF(ISNUMBER(R346),R346*CW346,0)</f>
        <v>0</v>
      </c>
      <c r="EN346" s="28" t="n">
        <f aca="false">IF(ISNUMBER(V346),V346*CX346,0)</f>
        <v>0</v>
      </c>
      <c r="EO346" s="28" t="n">
        <f aca="false">IF(ISNUMBER(Z346),Z346*CY346,0)</f>
        <v>0</v>
      </c>
      <c r="EP346" s="28" t="n">
        <f aca="false">IF(ISNUMBER(AD346),AD346*CZ346,0)</f>
        <v>0</v>
      </c>
      <c r="EQ346" s="28" t="n">
        <f aca="false">IF(ISNUMBER(AH346),AH346*DA346,0)</f>
        <v>0</v>
      </c>
      <c r="ER346" s="28" t="n">
        <f aca="false">IF(ISNUMBER(AL346),AL346*DB346,0)</f>
        <v>0</v>
      </c>
      <c r="ES346" s="28" t="n">
        <f aca="false">IF(ISNUMBER(AP346),AP346*DC346,0)</f>
        <v>0</v>
      </c>
      <c r="ET346" s="28" t="n">
        <f aca="false">IF(ISNUMBER(AT346),AT346*DD346,0)</f>
        <v>0</v>
      </c>
      <c r="EU346" s="28" t="n">
        <f aca="false">IF(ISNUMBER(AX346),AX346*DE346,0)</f>
        <v>0</v>
      </c>
      <c r="EV346" s="28" t="n">
        <f aca="false">IF(ISNUMBER(BB346),BB346*DF346,0)</f>
        <v>0</v>
      </c>
      <c r="EW346" s="28" t="n">
        <f aca="false">IF(ISNUMBER(BF346),BF346*DG346,0)</f>
        <v>0</v>
      </c>
      <c r="EX346" s="28" t="n">
        <f aca="false">IF(ISNUMBER(BJ346),BJ346*DH346,0)</f>
        <v>0</v>
      </c>
      <c r="EY346" s="28" t="n">
        <f aca="false">IF(ISNUMBER(BN346),BN346*DI346,0)</f>
        <v>0</v>
      </c>
      <c r="EZ346" s="28" t="n">
        <f aca="false">IF(ISNUMBER(BR346),BR346*DJ346,0)</f>
        <v>0</v>
      </c>
      <c r="FA346" s="28" t="n">
        <f aca="false">IF(ISNUMBER(R346),CW346,0)</f>
        <v>0</v>
      </c>
      <c r="FB346" s="28" t="n">
        <f aca="false">IF(ISNUMBER(V346),CX346,0)</f>
        <v>0</v>
      </c>
      <c r="FC346" s="28" t="n">
        <f aca="false">IF(ISNUMBER(Z346),CY346,0)</f>
        <v>0</v>
      </c>
      <c r="FD346" s="28" t="n">
        <f aca="false">IF(ISNUMBER(AD346),CZ346,0)</f>
        <v>0</v>
      </c>
      <c r="FE346" s="28" t="n">
        <f aca="false">IF(ISNUMBER(AH346),DA346,0)</f>
        <v>0</v>
      </c>
      <c r="FF346" s="28" t="n">
        <f aca="false">IF(ISNUMBER(AL346),DB346,0)</f>
        <v>0</v>
      </c>
      <c r="FG346" s="28" t="n">
        <f aca="false">IF(ISNUMBER(AP346),DC346,0)</f>
        <v>0</v>
      </c>
      <c r="FH346" s="28" t="n">
        <f aca="false">IF(ISNUMBER(AT346),DD346,0)</f>
        <v>0</v>
      </c>
      <c r="FI346" s="28" t="n">
        <f aca="false">IF(ISNUMBER(AX346),DE346,0)</f>
        <v>0</v>
      </c>
      <c r="FJ346" s="28" t="n">
        <f aca="false">IF(ISNUMBER(BB346),DF346,0)</f>
        <v>0</v>
      </c>
      <c r="FK346" s="28" t="n">
        <f aca="false">IF(ISNUMBER(BF346),DG346,0)</f>
        <v>0</v>
      </c>
      <c r="FL346" s="28" t="n">
        <f aca="false">IF(ISNUMBER(BJ346),DH346,0)</f>
        <v>0</v>
      </c>
      <c r="FM346" s="28" t="n">
        <f aca="false">IF(ISNUMBER(BN346),DI346,0)</f>
        <v>0</v>
      </c>
      <c r="FN346" s="28" t="n">
        <f aca="false">IF(ISNUMBER(BR346),DJ346,0)</f>
        <v>0</v>
      </c>
      <c r="FO346" s="28" t="str">
        <f aca="false">IFERROR(INDEX(Lists!$G$2:$G$20,MATCH($I346&amp;"|"&amp;$J346,Lists!$F$2:$F$20,0)),"")</f>
        <v>BM Exam</v>
      </c>
    </row>
    <row r="347" customFormat="false" ht="19.5" hidden="false" customHeight="true" outlineLevel="0" collapsed="false">
      <c r="A347" s="29" t="s">
        <v>648</v>
      </c>
      <c r="B347" s="29" t="s">
        <v>624</v>
      </c>
      <c r="C347" s="30" t="s">
        <v>152</v>
      </c>
      <c r="D347" s="30" t="s">
        <v>625</v>
      </c>
      <c r="E347" s="31"/>
      <c r="F347" s="30"/>
      <c r="G347" s="30"/>
      <c r="H347" s="32" t="s">
        <v>428</v>
      </c>
      <c r="I347" s="33" t="s">
        <v>365</v>
      </c>
      <c r="J347" s="32" t="s">
        <v>223</v>
      </c>
      <c r="K347" s="34" t="str">
        <f aca="false">IF(OR(M347="",$E347=""),"",M347-$E347)</f>
        <v/>
      </c>
      <c r="L347" s="35" t="str">
        <f aca="false">IF(SUM(FA347:FN347)=0,"",SUM(EM347:EZ347)/SUM(FA347:FN347))</f>
        <v/>
      </c>
      <c r="M347" s="36" t="str">
        <f aca="false">IF(OR(L347="",FO347=""),"",IFERROR(MATCH(L347,INDEX(Boundaries!$B$2:$I$30,MATCH(FO347,Boundaries!$A$2:$A$30,0),0),1)-1,""))</f>
        <v/>
      </c>
      <c r="N347" s="37" t="str">
        <f aca="false">IF(COUNT($DY347:$EL347)&lt;2,"",INDEX($DK347:$DX347,MAX($DY347:$EL347))-INDEX($DK347:$DX347,MIN($DY347:$EL347)))</f>
        <v/>
      </c>
      <c r="O347" s="37" t="str">
        <f aca="false">IF(COUNT($DY347:$EL347)&lt;2,"",INDEX($DK347:$DX347,MAX($DY347:$EL347))-INDEX($DK347:$DX347,LARGE($DY347:$EL347,2)))</f>
        <v/>
      </c>
      <c r="P347" s="38" t="str">
        <f aca="false">IF(K347="","",IF(K347&gt;=0,"On/above target",IF(AND(N347&lt;&gt;"",N347&gt;=0.5),"Improving towards target",IF(AND(O347&lt;&gt;"",O347&lt;=-0.5),"Declining","Stable below target"))))</f>
        <v/>
      </c>
      <c r="Q347" s="39"/>
      <c r="R347" s="40" t="str">
        <f aca="false">IF(OR(Q347="",BU347=""),"",Q347/BU347*100)</f>
        <v/>
      </c>
      <c r="S347" s="41" t="str">
        <f aca="false">IF(R347="","",IFERROR(MATCH(R347,INDEX(Boundaries!$B$2:$I$30,MATCH(CI347,Boundaries!$A$2:$A$30,0),0),1)-1,""))</f>
        <v/>
      </c>
      <c r="T347" s="42" t="str">
        <f aca="false">IF(OR(S347="",$E347=""),"",S347-$E347)</f>
        <v/>
      </c>
      <c r="U347" s="39"/>
      <c r="V347" s="40" t="str">
        <f aca="false">IF(OR(U347="",BV347=""),"",U347/BV347*100)</f>
        <v/>
      </c>
      <c r="W347" s="41" t="str">
        <f aca="false">IF(V347="","",IFERROR(MATCH(V347,INDEX(Boundaries!$B$2:$I$30,MATCH(CJ347,Boundaries!$A$2:$A$30,0),0),1)-1,""))</f>
        <v/>
      </c>
      <c r="X347" s="42" t="str">
        <f aca="false">IF(OR(W347="",$E347=""),"",W347-$E347)</f>
        <v/>
      </c>
      <c r="Y347" s="39"/>
      <c r="Z347" s="40" t="str">
        <f aca="false">IF(OR(Y347="",BW347=""),"",Y347/BW347*100)</f>
        <v/>
      </c>
      <c r="AA347" s="41" t="str">
        <f aca="false">IF(Z347="","",IFERROR(MATCH(Z347,INDEX(Boundaries!$B$2:$I$30,MATCH(CK347,Boundaries!$A$2:$A$30,0),0),1)-1,""))</f>
        <v/>
      </c>
      <c r="AB347" s="42" t="str">
        <f aca="false">IF(OR(AA347="",$E347=""),"",AA347-$E347)</f>
        <v/>
      </c>
      <c r="AC347" s="39"/>
      <c r="AD347" s="40" t="str">
        <f aca="false">IF(OR(AC347="",BX347=""),"",AC347/BX347*100)</f>
        <v/>
      </c>
      <c r="AE347" s="41" t="str">
        <f aca="false">IF(AD347="","",IFERROR(MATCH(AD347,INDEX(Boundaries!$B$2:$I$30,MATCH(CL347,Boundaries!$A$2:$A$30,0),0),1)-1,""))</f>
        <v/>
      </c>
      <c r="AF347" s="42" t="str">
        <f aca="false">IF(OR(AE347="",$E347=""),"",AE347-$E347)</f>
        <v/>
      </c>
      <c r="AG347" s="39"/>
      <c r="AH347" s="40" t="str">
        <f aca="false">IF(OR(AG347="",BY347=""),"",AG347/BY347*100)</f>
        <v/>
      </c>
      <c r="AI347" s="41" t="str">
        <f aca="false">IF(AH347="","",IFERROR(MATCH(AH347,INDEX(Boundaries!$B$2:$I$30,MATCH(CM347,Boundaries!$A$2:$A$30,0),0),1)-1,""))</f>
        <v/>
      </c>
      <c r="AJ347" s="42" t="str">
        <f aca="false">IF(OR(AI347="",$E347=""),"",AI347-$E347)</f>
        <v/>
      </c>
      <c r="AK347" s="39"/>
      <c r="AL347" s="40" t="str">
        <f aca="false">IF(OR(AK347="",BZ347=""),"",AK347/BZ347*100)</f>
        <v/>
      </c>
      <c r="AM347" s="41" t="str">
        <f aca="false">IF(AL347="","",IFERROR(MATCH(AL347,INDEX(Boundaries!$B$2:$I$30,MATCH(CN347,Boundaries!$A$2:$A$30,0),0),1)-1,""))</f>
        <v/>
      </c>
      <c r="AN347" s="42" t="str">
        <f aca="false">IF(OR(AM347="",$E347=""),"",AM347-$E347)</f>
        <v/>
      </c>
      <c r="AO347" s="39"/>
      <c r="AP347" s="40" t="str">
        <f aca="false">IF(OR(AO347="",CA347=""),"",AO347/CA347*100)</f>
        <v/>
      </c>
      <c r="AQ347" s="41" t="str">
        <f aca="false">IF(AP347="","",IFERROR(MATCH(AP347,INDEX(Boundaries!$B$2:$I$30,MATCH(CO347,Boundaries!$A$2:$A$30,0),0),1)-1,""))</f>
        <v/>
      </c>
      <c r="AR347" s="42" t="str">
        <f aca="false">IF(OR(AQ347="",$E347=""),"",AQ347-$E347)</f>
        <v/>
      </c>
      <c r="AS347" s="39"/>
      <c r="AT347" s="40" t="str">
        <f aca="false">IF(OR(AS347="",CB347=""),"",AS347/CB347*100)</f>
        <v/>
      </c>
      <c r="AU347" s="41" t="str">
        <f aca="false">IF(AT347="","",IFERROR(MATCH(AT347,INDEX(Boundaries!$B$2:$I$30,MATCH(CP347,Boundaries!$A$2:$A$30,0),0),1)-1,""))</f>
        <v/>
      </c>
      <c r="AV347" s="42" t="str">
        <f aca="false">IF(OR(AU347="",$E347=""),"",AU347-$E347)</f>
        <v/>
      </c>
      <c r="AW347" s="39"/>
      <c r="AX347" s="40" t="str">
        <f aca="false">IF(OR(AW347="",CC347=""),"",AW347/CC347*100)</f>
        <v/>
      </c>
      <c r="AY347" s="41" t="str">
        <f aca="false">IF(AX347="","",IFERROR(MATCH(AX347,INDEX(Boundaries!$B$2:$I$30,MATCH(CQ347,Boundaries!$A$2:$A$30,0),0),1)-1,""))</f>
        <v/>
      </c>
      <c r="AZ347" s="42" t="str">
        <f aca="false">IF(OR(AY347="",$E347=""),"",AY347-$E347)</f>
        <v/>
      </c>
      <c r="BA347" s="39"/>
      <c r="BB347" s="40" t="str">
        <f aca="false">IF(OR(BA347="",CD347=""),"",BA347/CD347*100)</f>
        <v/>
      </c>
      <c r="BC347" s="41" t="str">
        <f aca="false">IF(BB347="","",IFERROR(MATCH(BB347,INDEX(Boundaries!$B$2:$I$30,MATCH(CR347,Boundaries!$A$2:$A$30,0),0),1)-1,""))</f>
        <v/>
      </c>
      <c r="BD347" s="42" t="str">
        <f aca="false">IF(OR(BC347="",$E347=""),"",BC347-$E347)</f>
        <v/>
      </c>
      <c r="BE347" s="39"/>
      <c r="BF347" s="40" t="str">
        <f aca="false">IF(OR(BE347="",CE347=""),"",BE347/CE347*100)</f>
        <v/>
      </c>
      <c r="BG347" s="41" t="str">
        <f aca="false">IF(BF347="","",IFERROR(MATCH(BF347,INDEX(Boundaries!$B$2:$I$30,MATCH(CS347,Boundaries!$A$2:$A$30,0),0),1)-1,""))</f>
        <v/>
      </c>
      <c r="BH347" s="42" t="str">
        <f aca="false">IF(OR(BG347="",$E347=""),"",BG347-$E347)</f>
        <v/>
      </c>
      <c r="BI347" s="39"/>
      <c r="BJ347" s="40" t="str">
        <f aca="false">IF(OR(BI347="",CF347=""),"",BI347/CF347*100)</f>
        <v/>
      </c>
      <c r="BK347" s="41" t="str">
        <f aca="false">IF(BJ347="","",IFERROR(MATCH(BJ347,INDEX(Boundaries!$B$2:$I$30,MATCH(CT347,Boundaries!$A$2:$A$30,0),0),1)-1,""))</f>
        <v/>
      </c>
      <c r="BL347" s="42" t="str">
        <f aca="false">IF(OR(BK347="",$E347=""),"",BK347-$E347)</f>
        <v/>
      </c>
      <c r="BM347" s="39"/>
      <c r="BN347" s="40" t="str">
        <f aca="false">IF(OR(BM347="",CG347=""),"",BM347/CG347*100)</f>
        <v/>
      </c>
      <c r="BO347" s="41" t="str">
        <f aca="false">IF(BN347="","",IFERROR(MATCH(BN347,INDEX(Boundaries!$B$2:$I$30,MATCH(CU347,Boundaries!$A$2:$A$30,0),0),1)-1,""))</f>
        <v/>
      </c>
      <c r="BP347" s="42" t="str">
        <f aca="false">IF(OR(BO347="",$E347=""),"",BO347-$E347)</f>
        <v/>
      </c>
      <c r="BQ347" s="39"/>
      <c r="BR347" s="40" t="str">
        <f aca="false">IF(OR(BQ347="",CH347=""),"",BQ347/CH347*100)</f>
        <v/>
      </c>
      <c r="BS347" s="41" t="str">
        <f aca="false">IF(BR347="","",IFERROR(MATCH(BR347,INDEX(Boundaries!$B$2:$I$30,MATCH(CV347,Boundaries!$A$2:$A$30,0),0),1)-1,""))</f>
        <v/>
      </c>
      <c r="BT347" s="42" t="str">
        <f aca="false">IF(OR(BS347="",$E347=""),"",BS347-$E347)</f>
        <v/>
      </c>
      <c r="BU347" s="28" t="n">
        <f aca="false">IFERROR(INDEX(Assessments!$H$2:$H$600,MATCH($H347&amp;"|"&amp;$I347&amp;"|"&amp;$J347&amp;"|"&amp;1,Assessments!$A$2:$A$600,0)),"")</f>
        <v>24</v>
      </c>
      <c r="BV347" s="28" t="n">
        <f aca="false">IFERROR(INDEX(Assessments!$H$2:$H$600,MATCH($H347&amp;"|"&amp;$I347&amp;"|"&amp;$J347&amp;"|"&amp;2,Assessments!$A$2:$A$600,0)),"")</f>
        <v>20</v>
      </c>
      <c r="BW347" s="28" t="n">
        <f aca="false">IFERROR(INDEX(Assessments!$H$2:$H$600,MATCH($H347&amp;"|"&amp;$I347&amp;"|"&amp;$J347&amp;"|"&amp;3,Assessments!$A$2:$A$600,0)),"")</f>
        <v>24</v>
      </c>
      <c r="BX347" s="28" t="n">
        <f aca="false">IFERROR(INDEX(Assessments!$H$2:$H$600,MATCH($H347&amp;"|"&amp;$I347&amp;"|"&amp;$J347&amp;"|"&amp;4,Assessments!$A$2:$A$600,0)),"")</f>
        <v>40</v>
      </c>
      <c r="BY347" s="28" t="n">
        <f aca="false">IFERROR(INDEX(Assessments!$H$2:$H$600,MATCH($H347&amp;"|"&amp;$I347&amp;"|"&amp;$J347&amp;"|"&amp;5,Assessments!$A$2:$A$600,0)),"")</f>
        <v>30</v>
      </c>
      <c r="BZ347" s="28" t="n">
        <f aca="false">IFERROR(INDEX(Assessments!$H$2:$H$600,MATCH($H347&amp;"|"&amp;$I347&amp;"|"&amp;$J347&amp;"|"&amp;6,Assessments!$A$2:$A$600,0)),"")</f>
        <v>20</v>
      </c>
      <c r="CA347" s="28" t="str">
        <f aca="false">IFERROR(INDEX(Assessments!$H$2:$H$600,MATCH($H347&amp;"|"&amp;$I347&amp;"|"&amp;$J347&amp;"|"&amp;7,Assessments!$A$2:$A$600,0)),"")</f>
        <v/>
      </c>
      <c r="CB347" s="28" t="str">
        <f aca="false">IFERROR(INDEX(Assessments!$H$2:$H$600,MATCH($H347&amp;"|"&amp;$I347&amp;"|"&amp;$J347&amp;"|"&amp;8,Assessments!$A$2:$A$600,0)),"")</f>
        <v/>
      </c>
      <c r="CC347" s="28" t="str">
        <f aca="false">IFERROR(INDEX(Assessments!$H$2:$H$600,MATCH($H347&amp;"|"&amp;$I347&amp;"|"&amp;$J347&amp;"|"&amp;9,Assessments!$A$2:$A$600,0)),"")</f>
        <v/>
      </c>
      <c r="CD347" s="28" t="str">
        <f aca="false">IFERROR(INDEX(Assessments!$H$2:$H$600,MATCH($H347&amp;"|"&amp;$I347&amp;"|"&amp;$J347&amp;"|"&amp;10,Assessments!$A$2:$A$600,0)),"")</f>
        <v/>
      </c>
      <c r="CE347" s="28" t="str">
        <f aca="false">IFERROR(INDEX(Assessments!$H$2:$H$600,MATCH($H347&amp;"|"&amp;$I347&amp;"|"&amp;$J347&amp;"|"&amp;11,Assessments!$A$2:$A$600,0)),"")</f>
        <v/>
      </c>
      <c r="CF347" s="28" t="str">
        <f aca="false">IFERROR(INDEX(Assessments!$H$2:$H$600,MATCH($H347&amp;"|"&amp;$I347&amp;"|"&amp;$J347&amp;"|"&amp;12,Assessments!$A$2:$A$600,0)),"")</f>
        <v/>
      </c>
      <c r="CG347" s="28" t="str">
        <f aca="false">IFERROR(INDEX(Assessments!$H$2:$H$600,MATCH($H347&amp;"|"&amp;$I347&amp;"|"&amp;$J347&amp;"|"&amp;13,Assessments!$A$2:$A$600,0)),"")</f>
        <v/>
      </c>
      <c r="CH347" s="28" t="str">
        <f aca="false">IFERROR(INDEX(Assessments!$H$2:$H$600,MATCH($H347&amp;"|"&amp;$I347&amp;"|"&amp;$J347&amp;"|"&amp;14,Assessments!$A$2:$A$600,0)),"")</f>
        <v/>
      </c>
      <c r="CI347" s="28" t="str">
        <f aca="false">IFERROR(INDEX(Assessments!$I$2:$I$600,MATCH($H347&amp;"|"&amp;$I347&amp;"|"&amp;$J347&amp;"|"&amp;1,Assessments!$A$2:$A$600,0)),"")</f>
        <v>BM Test</v>
      </c>
      <c r="CJ347" s="28" t="str">
        <f aca="false">IFERROR(INDEX(Assessments!$I$2:$I$600,MATCH($H347&amp;"|"&amp;$I347&amp;"|"&amp;$J347&amp;"|"&amp;2,Assessments!$A$2:$A$600,0)),"")</f>
        <v>BM Test</v>
      </c>
      <c r="CK347" s="28" t="str">
        <f aca="false">IFERROR(INDEX(Assessments!$I$2:$I$600,MATCH($H347&amp;"|"&amp;$I347&amp;"|"&amp;$J347&amp;"|"&amp;3,Assessments!$A$2:$A$600,0)),"")</f>
        <v>BM Test</v>
      </c>
      <c r="CL347" s="28" t="str">
        <f aca="false">IFERROR(INDEX(Assessments!$I$2:$I$600,MATCH($H347&amp;"|"&amp;$I347&amp;"|"&amp;$J347&amp;"|"&amp;4,Assessments!$A$2:$A$600,0)),"")</f>
        <v>BM Exam</v>
      </c>
      <c r="CM347" s="28" t="str">
        <f aca="false">IFERROR(INDEX(Assessments!$I$2:$I$600,MATCH($H347&amp;"|"&amp;$I347&amp;"|"&amp;$J347&amp;"|"&amp;5,Assessments!$A$2:$A$600,0)),"")</f>
        <v>BM Test</v>
      </c>
      <c r="CN347" s="28" t="str">
        <f aca="false">IFERROR(INDEX(Assessments!$I$2:$I$600,MATCH($H347&amp;"|"&amp;$I347&amp;"|"&amp;$J347&amp;"|"&amp;6,Assessments!$A$2:$A$600,0)),"")</f>
        <v>BM Test</v>
      </c>
      <c r="CO347" s="28" t="str">
        <f aca="false">IFERROR(INDEX(Assessments!$I$2:$I$600,MATCH($H347&amp;"|"&amp;$I347&amp;"|"&amp;$J347&amp;"|"&amp;7,Assessments!$A$2:$A$600,0)),"")</f>
        <v/>
      </c>
      <c r="CP347" s="28" t="str">
        <f aca="false">IFERROR(INDEX(Assessments!$I$2:$I$600,MATCH($H347&amp;"|"&amp;$I347&amp;"|"&amp;$J347&amp;"|"&amp;8,Assessments!$A$2:$A$600,0)),"")</f>
        <v/>
      </c>
      <c r="CQ347" s="28" t="str">
        <f aca="false">IFERROR(INDEX(Assessments!$I$2:$I$600,MATCH($H347&amp;"|"&amp;$I347&amp;"|"&amp;$J347&amp;"|"&amp;9,Assessments!$A$2:$A$600,0)),"")</f>
        <v/>
      </c>
      <c r="CR347" s="28" t="str">
        <f aca="false">IFERROR(INDEX(Assessments!$I$2:$I$600,MATCH($H347&amp;"|"&amp;$I347&amp;"|"&amp;$J347&amp;"|"&amp;10,Assessments!$A$2:$A$600,0)),"")</f>
        <v/>
      </c>
      <c r="CS347" s="28" t="str">
        <f aca="false">IFERROR(INDEX(Assessments!$I$2:$I$600,MATCH($H347&amp;"|"&amp;$I347&amp;"|"&amp;$J347&amp;"|"&amp;11,Assessments!$A$2:$A$600,0)),"")</f>
        <v/>
      </c>
      <c r="CT347" s="28" t="str">
        <f aca="false">IFERROR(INDEX(Assessments!$I$2:$I$600,MATCH($H347&amp;"|"&amp;$I347&amp;"|"&amp;$J347&amp;"|"&amp;12,Assessments!$A$2:$A$600,0)),"")</f>
        <v/>
      </c>
      <c r="CU347" s="28" t="str">
        <f aca="false">IFERROR(INDEX(Assessments!$I$2:$I$600,MATCH($H347&amp;"|"&amp;$I347&amp;"|"&amp;$J347&amp;"|"&amp;13,Assessments!$A$2:$A$600,0)),"")</f>
        <v/>
      </c>
      <c r="CV347" s="28" t="str">
        <f aca="false">IFERROR(INDEX(Assessments!$I$2:$I$600,MATCH($H347&amp;"|"&amp;$I347&amp;"|"&amp;$J347&amp;"|"&amp;14,Assessments!$A$2:$A$600,0)),"")</f>
        <v/>
      </c>
      <c r="CW347" s="28" t="n">
        <f aca="false">IFERROR(INDEX(Assessments!$J$2:$J$600,MATCH($H347&amp;"|"&amp;$I347&amp;"|"&amp;$J347&amp;"|"&amp;1,Assessments!$A$2:$A$600,0)),0)</f>
        <v>1</v>
      </c>
      <c r="CX347" s="28" t="n">
        <f aca="false">IFERROR(INDEX(Assessments!$J$2:$J$600,MATCH($H347&amp;"|"&amp;$I347&amp;"|"&amp;$J347&amp;"|"&amp;2,Assessments!$A$2:$A$600,0)),0)</f>
        <v>1</v>
      </c>
      <c r="CY347" s="28" t="n">
        <f aca="false">IFERROR(INDEX(Assessments!$J$2:$J$600,MATCH($H347&amp;"|"&amp;$I347&amp;"|"&amp;$J347&amp;"|"&amp;3,Assessments!$A$2:$A$600,0)),0)</f>
        <v>1</v>
      </c>
      <c r="CZ347" s="28" t="n">
        <f aca="false">IFERROR(INDEX(Assessments!$J$2:$J$600,MATCH($H347&amp;"|"&amp;$I347&amp;"|"&amp;$J347&amp;"|"&amp;4,Assessments!$A$2:$A$600,0)),0)</f>
        <v>2</v>
      </c>
      <c r="DA347" s="28" t="n">
        <f aca="false">IFERROR(INDEX(Assessments!$J$2:$J$600,MATCH($H347&amp;"|"&amp;$I347&amp;"|"&amp;$J347&amp;"|"&amp;5,Assessments!$A$2:$A$600,0)),0)</f>
        <v>1</v>
      </c>
      <c r="DB347" s="28" t="n">
        <f aca="false">IFERROR(INDEX(Assessments!$J$2:$J$600,MATCH($H347&amp;"|"&amp;$I347&amp;"|"&amp;$J347&amp;"|"&amp;6,Assessments!$A$2:$A$600,0)),0)</f>
        <v>1</v>
      </c>
      <c r="DC347" s="28" t="n">
        <f aca="false">IFERROR(INDEX(Assessments!$J$2:$J$600,MATCH($H347&amp;"|"&amp;$I347&amp;"|"&amp;$J347&amp;"|"&amp;7,Assessments!$A$2:$A$600,0)),0)</f>
        <v>0</v>
      </c>
      <c r="DD347" s="28" t="n">
        <f aca="false">IFERROR(INDEX(Assessments!$J$2:$J$600,MATCH($H347&amp;"|"&amp;$I347&amp;"|"&amp;$J347&amp;"|"&amp;8,Assessments!$A$2:$A$600,0)),0)</f>
        <v>0</v>
      </c>
      <c r="DE347" s="28" t="n">
        <f aca="false">IFERROR(INDEX(Assessments!$J$2:$J$600,MATCH($H347&amp;"|"&amp;$I347&amp;"|"&amp;$J347&amp;"|"&amp;9,Assessments!$A$2:$A$600,0)),0)</f>
        <v>0</v>
      </c>
      <c r="DF347" s="28" t="n">
        <f aca="false">IFERROR(INDEX(Assessments!$J$2:$J$600,MATCH($H347&amp;"|"&amp;$I347&amp;"|"&amp;$J347&amp;"|"&amp;10,Assessments!$A$2:$A$600,0)),0)</f>
        <v>0</v>
      </c>
      <c r="DG347" s="28" t="n">
        <f aca="false">IFERROR(INDEX(Assessments!$J$2:$J$600,MATCH($H347&amp;"|"&amp;$I347&amp;"|"&amp;$J347&amp;"|"&amp;11,Assessments!$A$2:$A$600,0)),0)</f>
        <v>0</v>
      </c>
      <c r="DH347" s="28" t="n">
        <f aca="false">IFERROR(INDEX(Assessments!$J$2:$J$600,MATCH($H347&amp;"|"&amp;$I347&amp;"|"&amp;$J347&amp;"|"&amp;12,Assessments!$A$2:$A$600,0)),0)</f>
        <v>0</v>
      </c>
      <c r="DI347" s="28" t="n">
        <f aca="false">IFERROR(INDEX(Assessments!$J$2:$J$600,MATCH($H347&amp;"|"&amp;$I347&amp;"|"&amp;$J347&amp;"|"&amp;13,Assessments!$A$2:$A$600,0)),0)</f>
        <v>0</v>
      </c>
      <c r="DJ347" s="28" t="n">
        <f aca="false">IFERROR(INDEX(Assessments!$J$2:$J$600,MATCH($H347&amp;"|"&amp;$I347&amp;"|"&amp;$J347&amp;"|"&amp;14,Assessments!$A$2:$A$600,0)),0)</f>
        <v>0</v>
      </c>
      <c r="DK347" s="28" t="str">
        <f aca="false">S347</f>
        <v/>
      </c>
      <c r="DL347" s="28" t="str">
        <f aca="false">W347</f>
        <v/>
      </c>
      <c r="DM347" s="28" t="str">
        <f aca="false">AA347</f>
        <v/>
      </c>
      <c r="DN347" s="28" t="str">
        <f aca="false">AE347</f>
        <v/>
      </c>
      <c r="DO347" s="28" t="str">
        <f aca="false">AI347</f>
        <v/>
      </c>
      <c r="DP347" s="28" t="str">
        <f aca="false">AM347</f>
        <v/>
      </c>
      <c r="DQ347" s="28" t="str">
        <f aca="false">AQ347</f>
        <v/>
      </c>
      <c r="DR347" s="28" t="str">
        <f aca="false">AU347</f>
        <v/>
      </c>
      <c r="DS347" s="28" t="str">
        <f aca="false">AY347</f>
        <v/>
      </c>
      <c r="DT347" s="28" t="str">
        <f aca="false">BC347</f>
        <v/>
      </c>
      <c r="DU347" s="28" t="str">
        <f aca="false">BG347</f>
        <v/>
      </c>
      <c r="DV347" s="28" t="str">
        <f aca="false">BK347</f>
        <v/>
      </c>
      <c r="DW347" s="28" t="str">
        <f aca="false">BO347</f>
        <v/>
      </c>
      <c r="DX347" s="28" t="str">
        <f aca="false">BS347</f>
        <v/>
      </c>
      <c r="DY347" s="28" t="str">
        <f aca="false">IF(ISNUMBER(S347),1,"")</f>
        <v/>
      </c>
      <c r="DZ347" s="28" t="str">
        <f aca="false">IF(ISNUMBER(W347),2,"")</f>
        <v/>
      </c>
      <c r="EA347" s="28" t="str">
        <f aca="false">IF(ISNUMBER(AA347),3,"")</f>
        <v/>
      </c>
      <c r="EB347" s="28" t="str">
        <f aca="false">IF(ISNUMBER(AE347),4,"")</f>
        <v/>
      </c>
      <c r="EC347" s="28" t="str">
        <f aca="false">IF(ISNUMBER(AI347),5,"")</f>
        <v/>
      </c>
      <c r="ED347" s="28" t="str">
        <f aca="false">IF(ISNUMBER(AM347),6,"")</f>
        <v/>
      </c>
      <c r="EE347" s="28" t="str">
        <f aca="false">IF(ISNUMBER(AQ347),7,"")</f>
        <v/>
      </c>
      <c r="EF347" s="28" t="str">
        <f aca="false">IF(ISNUMBER(AU347),8,"")</f>
        <v/>
      </c>
      <c r="EG347" s="28" t="str">
        <f aca="false">IF(ISNUMBER(AY347),9,"")</f>
        <v/>
      </c>
      <c r="EH347" s="28" t="str">
        <f aca="false">IF(ISNUMBER(BC347),10,"")</f>
        <v/>
      </c>
      <c r="EI347" s="28" t="str">
        <f aca="false">IF(ISNUMBER(BG347),11,"")</f>
        <v/>
      </c>
      <c r="EJ347" s="28" t="str">
        <f aca="false">IF(ISNUMBER(BK347),12,"")</f>
        <v/>
      </c>
      <c r="EK347" s="28" t="str">
        <f aca="false">IF(ISNUMBER(BO347),13,"")</f>
        <v/>
      </c>
      <c r="EL347" s="28" t="str">
        <f aca="false">IF(ISNUMBER(BS347),14,"")</f>
        <v/>
      </c>
      <c r="EM347" s="28" t="n">
        <f aca="false">IF(ISNUMBER(R347),R347*CW347,0)</f>
        <v>0</v>
      </c>
      <c r="EN347" s="28" t="n">
        <f aca="false">IF(ISNUMBER(V347),V347*CX347,0)</f>
        <v>0</v>
      </c>
      <c r="EO347" s="28" t="n">
        <f aca="false">IF(ISNUMBER(Z347),Z347*CY347,0)</f>
        <v>0</v>
      </c>
      <c r="EP347" s="28" t="n">
        <f aca="false">IF(ISNUMBER(AD347),AD347*CZ347,0)</f>
        <v>0</v>
      </c>
      <c r="EQ347" s="28" t="n">
        <f aca="false">IF(ISNUMBER(AH347),AH347*DA347,0)</f>
        <v>0</v>
      </c>
      <c r="ER347" s="28" t="n">
        <f aca="false">IF(ISNUMBER(AL347),AL347*DB347,0)</f>
        <v>0</v>
      </c>
      <c r="ES347" s="28" t="n">
        <f aca="false">IF(ISNUMBER(AP347),AP347*DC347,0)</f>
        <v>0</v>
      </c>
      <c r="ET347" s="28" t="n">
        <f aca="false">IF(ISNUMBER(AT347),AT347*DD347,0)</f>
        <v>0</v>
      </c>
      <c r="EU347" s="28" t="n">
        <f aca="false">IF(ISNUMBER(AX347),AX347*DE347,0)</f>
        <v>0</v>
      </c>
      <c r="EV347" s="28" t="n">
        <f aca="false">IF(ISNUMBER(BB347),BB347*DF347,0)</f>
        <v>0</v>
      </c>
      <c r="EW347" s="28" t="n">
        <f aca="false">IF(ISNUMBER(BF347),BF347*DG347,0)</f>
        <v>0</v>
      </c>
      <c r="EX347" s="28" t="n">
        <f aca="false">IF(ISNUMBER(BJ347),BJ347*DH347,0)</f>
        <v>0</v>
      </c>
      <c r="EY347" s="28" t="n">
        <f aca="false">IF(ISNUMBER(BN347),BN347*DI347,0)</f>
        <v>0</v>
      </c>
      <c r="EZ347" s="28" t="n">
        <f aca="false">IF(ISNUMBER(BR347),BR347*DJ347,0)</f>
        <v>0</v>
      </c>
      <c r="FA347" s="28" t="n">
        <f aca="false">IF(ISNUMBER(R347),CW347,0)</f>
        <v>0</v>
      </c>
      <c r="FB347" s="28" t="n">
        <f aca="false">IF(ISNUMBER(V347),CX347,0)</f>
        <v>0</v>
      </c>
      <c r="FC347" s="28" t="n">
        <f aca="false">IF(ISNUMBER(Z347),CY347,0)</f>
        <v>0</v>
      </c>
      <c r="FD347" s="28" t="n">
        <f aca="false">IF(ISNUMBER(AD347),CZ347,0)</f>
        <v>0</v>
      </c>
      <c r="FE347" s="28" t="n">
        <f aca="false">IF(ISNUMBER(AH347),DA347,0)</f>
        <v>0</v>
      </c>
      <c r="FF347" s="28" t="n">
        <f aca="false">IF(ISNUMBER(AL347),DB347,0)</f>
        <v>0</v>
      </c>
      <c r="FG347" s="28" t="n">
        <f aca="false">IF(ISNUMBER(AP347),DC347,0)</f>
        <v>0</v>
      </c>
      <c r="FH347" s="28" t="n">
        <f aca="false">IF(ISNUMBER(AT347),DD347,0)</f>
        <v>0</v>
      </c>
      <c r="FI347" s="28" t="n">
        <f aca="false">IF(ISNUMBER(AX347),DE347,0)</f>
        <v>0</v>
      </c>
      <c r="FJ347" s="28" t="n">
        <f aca="false">IF(ISNUMBER(BB347),DF347,0)</f>
        <v>0</v>
      </c>
      <c r="FK347" s="28" t="n">
        <f aca="false">IF(ISNUMBER(BF347),DG347,0)</f>
        <v>0</v>
      </c>
      <c r="FL347" s="28" t="n">
        <f aca="false">IF(ISNUMBER(BJ347),DH347,0)</f>
        <v>0</v>
      </c>
      <c r="FM347" s="28" t="n">
        <f aca="false">IF(ISNUMBER(BN347),DI347,0)</f>
        <v>0</v>
      </c>
      <c r="FN347" s="28" t="n">
        <f aca="false">IF(ISNUMBER(BR347),DJ347,0)</f>
        <v>0</v>
      </c>
      <c r="FO347" s="28" t="str">
        <f aca="false">IFERROR(INDEX(Lists!$G$2:$G$20,MATCH($I347&amp;"|"&amp;$J347,Lists!$F$2:$F$20,0)),"")</f>
        <v>BM Exam</v>
      </c>
    </row>
    <row r="348" customFormat="false" ht="19.5" hidden="false" customHeight="true" outlineLevel="0" collapsed="false">
      <c r="A348" s="29" t="s">
        <v>649</v>
      </c>
      <c r="B348" s="29" t="s">
        <v>650</v>
      </c>
      <c r="C348" s="30" t="s">
        <v>152</v>
      </c>
      <c r="D348" s="30" t="s">
        <v>625</v>
      </c>
      <c r="E348" s="31"/>
      <c r="F348" s="30"/>
      <c r="G348" s="30"/>
      <c r="H348" s="32" t="s">
        <v>428</v>
      </c>
      <c r="I348" s="33" t="s">
        <v>365</v>
      </c>
      <c r="J348" s="32" t="s">
        <v>223</v>
      </c>
      <c r="K348" s="34" t="str">
        <f aca="false">IF(OR(M348="",$E348=""),"",M348-$E348)</f>
        <v/>
      </c>
      <c r="L348" s="35" t="str">
        <f aca="false">IF(SUM(FA348:FN348)=0,"",SUM(EM348:EZ348)/SUM(FA348:FN348))</f>
        <v/>
      </c>
      <c r="M348" s="36" t="str">
        <f aca="false">IF(OR(L348="",FO348=""),"",IFERROR(MATCH(L348,INDEX(Boundaries!$B$2:$I$30,MATCH(FO348,Boundaries!$A$2:$A$30,0),0),1)-1,""))</f>
        <v/>
      </c>
      <c r="N348" s="37" t="str">
        <f aca="false">IF(COUNT($DY348:$EL348)&lt;2,"",INDEX($DK348:$DX348,MAX($DY348:$EL348))-INDEX($DK348:$DX348,MIN($DY348:$EL348)))</f>
        <v/>
      </c>
      <c r="O348" s="37" t="str">
        <f aca="false">IF(COUNT($DY348:$EL348)&lt;2,"",INDEX($DK348:$DX348,MAX($DY348:$EL348))-INDEX($DK348:$DX348,LARGE($DY348:$EL348,2)))</f>
        <v/>
      </c>
      <c r="P348" s="38" t="str">
        <f aca="false">IF(K348="","",IF(K348&gt;=0,"On/above target",IF(AND(N348&lt;&gt;"",N348&gt;=0.5),"Improving towards target",IF(AND(O348&lt;&gt;"",O348&lt;=-0.5),"Declining","Stable below target"))))</f>
        <v/>
      </c>
      <c r="Q348" s="39"/>
      <c r="R348" s="40" t="str">
        <f aca="false">IF(OR(Q348="",BU348=""),"",Q348/BU348*100)</f>
        <v/>
      </c>
      <c r="S348" s="41" t="str">
        <f aca="false">IF(R348="","",IFERROR(MATCH(R348,INDEX(Boundaries!$B$2:$I$30,MATCH(CI348,Boundaries!$A$2:$A$30,0),0),1)-1,""))</f>
        <v/>
      </c>
      <c r="T348" s="42" t="str">
        <f aca="false">IF(OR(S348="",$E348=""),"",S348-$E348)</f>
        <v/>
      </c>
      <c r="U348" s="39"/>
      <c r="V348" s="40" t="str">
        <f aca="false">IF(OR(U348="",BV348=""),"",U348/BV348*100)</f>
        <v/>
      </c>
      <c r="W348" s="41" t="str">
        <f aca="false">IF(V348="","",IFERROR(MATCH(V348,INDEX(Boundaries!$B$2:$I$30,MATCH(CJ348,Boundaries!$A$2:$A$30,0),0),1)-1,""))</f>
        <v/>
      </c>
      <c r="X348" s="42" t="str">
        <f aca="false">IF(OR(W348="",$E348=""),"",W348-$E348)</f>
        <v/>
      </c>
      <c r="Y348" s="39"/>
      <c r="Z348" s="40" t="str">
        <f aca="false">IF(OR(Y348="",BW348=""),"",Y348/BW348*100)</f>
        <v/>
      </c>
      <c r="AA348" s="41" t="str">
        <f aca="false">IF(Z348="","",IFERROR(MATCH(Z348,INDEX(Boundaries!$B$2:$I$30,MATCH(CK348,Boundaries!$A$2:$A$30,0),0),1)-1,""))</f>
        <v/>
      </c>
      <c r="AB348" s="42" t="str">
        <f aca="false">IF(OR(AA348="",$E348=""),"",AA348-$E348)</f>
        <v/>
      </c>
      <c r="AC348" s="39"/>
      <c r="AD348" s="40" t="str">
        <f aca="false">IF(OR(AC348="",BX348=""),"",AC348/BX348*100)</f>
        <v/>
      </c>
      <c r="AE348" s="41" t="str">
        <f aca="false">IF(AD348="","",IFERROR(MATCH(AD348,INDEX(Boundaries!$B$2:$I$30,MATCH(CL348,Boundaries!$A$2:$A$30,0),0),1)-1,""))</f>
        <v/>
      </c>
      <c r="AF348" s="42" t="str">
        <f aca="false">IF(OR(AE348="",$E348=""),"",AE348-$E348)</f>
        <v/>
      </c>
      <c r="AG348" s="39"/>
      <c r="AH348" s="40" t="str">
        <f aca="false">IF(OR(AG348="",BY348=""),"",AG348/BY348*100)</f>
        <v/>
      </c>
      <c r="AI348" s="41" t="str">
        <f aca="false">IF(AH348="","",IFERROR(MATCH(AH348,INDEX(Boundaries!$B$2:$I$30,MATCH(CM348,Boundaries!$A$2:$A$30,0),0),1)-1,""))</f>
        <v/>
      </c>
      <c r="AJ348" s="42" t="str">
        <f aca="false">IF(OR(AI348="",$E348=""),"",AI348-$E348)</f>
        <v/>
      </c>
      <c r="AK348" s="39"/>
      <c r="AL348" s="40" t="str">
        <f aca="false">IF(OR(AK348="",BZ348=""),"",AK348/BZ348*100)</f>
        <v/>
      </c>
      <c r="AM348" s="41" t="str">
        <f aca="false">IF(AL348="","",IFERROR(MATCH(AL348,INDEX(Boundaries!$B$2:$I$30,MATCH(CN348,Boundaries!$A$2:$A$30,0),0),1)-1,""))</f>
        <v/>
      </c>
      <c r="AN348" s="42" t="str">
        <f aca="false">IF(OR(AM348="",$E348=""),"",AM348-$E348)</f>
        <v/>
      </c>
      <c r="AO348" s="39"/>
      <c r="AP348" s="40" t="str">
        <f aca="false">IF(OR(AO348="",CA348=""),"",AO348/CA348*100)</f>
        <v/>
      </c>
      <c r="AQ348" s="41" t="str">
        <f aca="false">IF(AP348="","",IFERROR(MATCH(AP348,INDEX(Boundaries!$B$2:$I$30,MATCH(CO348,Boundaries!$A$2:$A$30,0),0),1)-1,""))</f>
        <v/>
      </c>
      <c r="AR348" s="42" t="str">
        <f aca="false">IF(OR(AQ348="",$E348=""),"",AQ348-$E348)</f>
        <v/>
      </c>
      <c r="AS348" s="39"/>
      <c r="AT348" s="40" t="str">
        <f aca="false">IF(OR(AS348="",CB348=""),"",AS348/CB348*100)</f>
        <v/>
      </c>
      <c r="AU348" s="41" t="str">
        <f aca="false">IF(AT348="","",IFERROR(MATCH(AT348,INDEX(Boundaries!$B$2:$I$30,MATCH(CP348,Boundaries!$A$2:$A$30,0),0),1)-1,""))</f>
        <v/>
      </c>
      <c r="AV348" s="42" t="str">
        <f aca="false">IF(OR(AU348="",$E348=""),"",AU348-$E348)</f>
        <v/>
      </c>
      <c r="AW348" s="39"/>
      <c r="AX348" s="40" t="str">
        <f aca="false">IF(OR(AW348="",CC348=""),"",AW348/CC348*100)</f>
        <v/>
      </c>
      <c r="AY348" s="41" t="str">
        <f aca="false">IF(AX348="","",IFERROR(MATCH(AX348,INDEX(Boundaries!$B$2:$I$30,MATCH(CQ348,Boundaries!$A$2:$A$30,0),0),1)-1,""))</f>
        <v/>
      </c>
      <c r="AZ348" s="42" t="str">
        <f aca="false">IF(OR(AY348="",$E348=""),"",AY348-$E348)</f>
        <v/>
      </c>
      <c r="BA348" s="39"/>
      <c r="BB348" s="40" t="str">
        <f aca="false">IF(OR(BA348="",CD348=""),"",BA348/CD348*100)</f>
        <v/>
      </c>
      <c r="BC348" s="41" t="str">
        <f aca="false">IF(BB348="","",IFERROR(MATCH(BB348,INDEX(Boundaries!$B$2:$I$30,MATCH(CR348,Boundaries!$A$2:$A$30,0),0),1)-1,""))</f>
        <v/>
      </c>
      <c r="BD348" s="42" t="str">
        <f aca="false">IF(OR(BC348="",$E348=""),"",BC348-$E348)</f>
        <v/>
      </c>
      <c r="BE348" s="39"/>
      <c r="BF348" s="40" t="str">
        <f aca="false">IF(OR(BE348="",CE348=""),"",BE348/CE348*100)</f>
        <v/>
      </c>
      <c r="BG348" s="41" t="str">
        <f aca="false">IF(BF348="","",IFERROR(MATCH(BF348,INDEX(Boundaries!$B$2:$I$30,MATCH(CS348,Boundaries!$A$2:$A$30,0),0),1)-1,""))</f>
        <v/>
      </c>
      <c r="BH348" s="42" t="str">
        <f aca="false">IF(OR(BG348="",$E348=""),"",BG348-$E348)</f>
        <v/>
      </c>
      <c r="BI348" s="39"/>
      <c r="BJ348" s="40" t="str">
        <f aca="false">IF(OR(BI348="",CF348=""),"",BI348/CF348*100)</f>
        <v/>
      </c>
      <c r="BK348" s="41" t="str">
        <f aca="false">IF(BJ348="","",IFERROR(MATCH(BJ348,INDEX(Boundaries!$B$2:$I$30,MATCH(CT348,Boundaries!$A$2:$A$30,0),0),1)-1,""))</f>
        <v/>
      </c>
      <c r="BL348" s="42" t="str">
        <f aca="false">IF(OR(BK348="",$E348=""),"",BK348-$E348)</f>
        <v/>
      </c>
      <c r="BM348" s="39"/>
      <c r="BN348" s="40" t="str">
        <f aca="false">IF(OR(BM348="",CG348=""),"",BM348/CG348*100)</f>
        <v/>
      </c>
      <c r="BO348" s="41" t="str">
        <f aca="false">IF(BN348="","",IFERROR(MATCH(BN348,INDEX(Boundaries!$B$2:$I$30,MATCH(CU348,Boundaries!$A$2:$A$30,0),0),1)-1,""))</f>
        <v/>
      </c>
      <c r="BP348" s="42" t="str">
        <f aca="false">IF(OR(BO348="",$E348=""),"",BO348-$E348)</f>
        <v/>
      </c>
      <c r="BQ348" s="39"/>
      <c r="BR348" s="40" t="str">
        <f aca="false">IF(OR(BQ348="",CH348=""),"",BQ348/CH348*100)</f>
        <v/>
      </c>
      <c r="BS348" s="41" t="str">
        <f aca="false">IF(BR348="","",IFERROR(MATCH(BR348,INDEX(Boundaries!$B$2:$I$30,MATCH(CV348,Boundaries!$A$2:$A$30,0),0),1)-1,""))</f>
        <v/>
      </c>
      <c r="BT348" s="42" t="str">
        <f aca="false">IF(OR(BS348="",$E348=""),"",BS348-$E348)</f>
        <v/>
      </c>
      <c r="BU348" s="28" t="n">
        <f aca="false">IFERROR(INDEX(Assessments!$H$2:$H$600,MATCH($H348&amp;"|"&amp;$I348&amp;"|"&amp;$J348&amp;"|"&amp;1,Assessments!$A$2:$A$600,0)),"")</f>
        <v>24</v>
      </c>
      <c r="BV348" s="28" t="n">
        <f aca="false">IFERROR(INDEX(Assessments!$H$2:$H$600,MATCH($H348&amp;"|"&amp;$I348&amp;"|"&amp;$J348&amp;"|"&amp;2,Assessments!$A$2:$A$600,0)),"")</f>
        <v>20</v>
      </c>
      <c r="BW348" s="28" t="n">
        <f aca="false">IFERROR(INDEX(Assessments!$H$2:$H$600,MATCH($H348&amp;"|"&amp;$I348&amp;"|"&amp;$J348&amp;"|"&amp;3,Assessments!$A$2:$A$600,0)),"")</f>
        <v>24</v>
      </c>
      <c r="BX348" s="28" t="n">
        <f aca="false">IFERROR(INDEX(Assessments!$H$2:$H$600,MATCH($H348&amp;"|"&amp;$I348&amp;"|"&amp;$J348&amp;"|"&amp;4,Assessments!$A$2:$A$600,0)),"")</f>
        <v>40</v>
      </c>
      <c r="BY348" s="28" t="n">
        <f aca="false">IFERROR(INDEX(Assessments!$H$2:$H$600,MATCH($H348&amp;"|"&amp;$I348&amp;"|"&amp;$J348&amp;"|"&amp;5,Assessments!$A$2:$A$600,0)),"")</f>
        <v>30</v>
      </c>
      <c r="BZ348" s="28" t="n">
        <f aca="false">IFERROR(INDEX(Assessments!$H$2:$H$600,MATCH($H348&amp;"|"&amp;$I348&amp;"|"&amp;$J348&amp;"|"&amp;6,Assessments!$A$2:$A$600,0)),"")</f>
        <v>20</v>
      </c>
      <c r="CA348" s="28" t="str">
        <f aca="false">IFERROR(INDEX(Assessments!$H$2:$H$600,MATCH($H348&amp;"|"&amp;$I348&amp;"|"&amp;$J348&amp;"|"&amp;7,Assessments!$A$2:$A$600,0)),"")</f>
        <v/>
      </c>
      <c r="CB348" s="28" t="str">
        <f aca="false">IFERROR(INDEX(Assessments!$H$2:$H$600,MATCH($H348&amp;"|"&amp;$I348&amp;"|"&amp;$J348&amp;"|"&amp;8,Assessments!$A$2:$A$600,0)),"")</f>
        <v/>
      </c>
      <c r="CC348" s="28" t="str">
        <f aca="false">IFERROR(INDEX(Assessments!$H$2:$H$600,MATCH($H348&amp;"|"&amp;$I348&amp;"|"&amp;$J348&amp;"|"&amp;9,Assessments!$A$2:$A$600,0)),"")</f>
        <v/>
      </c>
      <c r="CD348" s="28" t="str">
        <f aca="false">IFERROR(INDEX(Assessments!$H$2:$H$600,MATCH($H348&amp;"|"&amp;$I348&amp;"|"&amp;$J348&amp;"|"&amp;10,Assessments!$A$2:$A$600,0)),"")</f>
        <v/>
      </c>
      <c r="CE348" s="28" t="str">
        <f aca="false">IFERROR(INDEX(Assessments!$H$2:$H$600,MATCH($H348&amp;"|"&amp;$I348&amp;"|"&amp;$J348&amp;"|"&amp;11,Assessments!$A$2:$A$600,0)),"")</f>
        <v/>
      </c>
      <c r="CF348" s="28" t="str">
        <f aca="false">IFERROR(INDEX(Assessments!$H$2:$H$600,MATCH($H348&amp;"|"&amp;$I348&amp;"|"&amp;$J348&amp;"|"&amp;12,Assessments!$A$2:$A$600,0)),"")</f>
        <v/>
      </c>
      <c r="CG348" s="28" t="str">
        <f aca="false">IFERROR(INDEX(Assessments!$H$2:$H$600,MATCH($H348&amp;"|"&amp;$I348&amp;"|"&amp;$J348&amp;"|"&amp;13,Assessments!$A$2:$A$600,0)),"")</f>
        <v/>
      </c>
      <c r="CH348" s="28" t="str">
        <f aca="false">IFERROR(INDEX(Assessments!$H$2:$H$600,MATCH($H348&amp;"|"&amp;$I348&amp;"|"&amp;$J348&amp;"|"&amp;14,Assessments!$A$2:$A$600,0)),"")</f>
        <v/>
      </c>
      <c r="CI348" s="28" t="str">
        <f aca="false">IFERROR(INDEX(Assessments!$I$2:$I$600,MATCH($H348&amp;"|"&amp;$I348&amp;"|"&amp;$J348&amp;"|"&amp;1,Assessments!$A$2:$A$600,0)),"")</f>
        <v>BM Test</v>
      </c>
      <c r="CJ348" s="28" t="str">
        <f aca="false">IFERROR(INDEX(Assessments!$I$2:$I$600,MATCH($H348&amp;"|"&amp;$I348&amp;"|"&amp;$J348&amp;"|"&amp;2,Assessments!$A$2:$A$600,0)),"")</f>
        <v>BM Test</v>
      </c>
      <c r="CK348" s="28" t="str">
        <f aca="false">IFERROR(INDEX(Assessments!$I$2:$I$600,MATCH($H348&amp;"|"&amp;$I348&amp;"|"&amp;$J348&amp;"|"&amp;3,Assessments!$A$2:$A$600,0)),"")</f>
        <v>BM Test</v>
      </c>
      <c r="CL348" s="28" t="str">
        <f aca="false">IFERROR(INDEX(Assessments!$I$2:$I$600,MATCH($H348&amp;"|"&amp;$I348&amp;"|"&amp;$J348&amp;"|"&amp;4,Assessments!$A$2:$A$600,0)),"")</f>
        <v>BM Exam</v>
      </c>
      <c r="CM348" s="28" t="str">
        <f aca="false">IFERROR(INDEX(Assessments!$I$2:$I$600,MATCH($H348&amp;"|"&amp;$I348&amp;"|"&amp;$J348&amp;"|"&amp;5,Assessments!$A$2:$A$600,0)),"")</f>
        <v>BM Test</v>
      </c>
      <c r="CN348" s="28" t="str">
        <f aca="false">IFERROR(INDEX(Assessments!$I$2:$I$600,MATCH($H348&amp;"|"&amp;$I348&amp;"|"&amp;$J348&amp;"|"&amp;6,Assessments!$A$2:$A$600,0)),"")</f>
        <v>BM Test</v>
      </c>
      <c r="CO348" s="28" t="str">
        <f aca="false">IFERROR(INDEX(Assessments!$I$2:$I$600,MATCH($H348&amp;"|"&amp;$I348&amp;"|"&amp;$J348&amp;"|"&amp;7,Assessments!$A$2:$A$600,0)),"")</f>
        <v/>
      </c>
      <c r="CP348" s="28" t="str">
        <f aca="false">IFERROR(INDEX(Assessments!$I$2:$I$600,MATCH($H348&amp;"|"&amp;$I348&amp;"|"&amp;$J348&amp;"|"&amp;8,Assessments!$A$2:$A$600,0)),"")</f>
        <v/>
      </c>
      <c r="CQ348" s="28" t="str">
        <f aca="false">IFERROR(INDEX(Assessments!$I$2:$I$600,MATCH($H348&amp;"|"&amp;$I348&amp;"|"&amp;$J348&amp;"|"&amp;9,Assessments!$A$2:$A$600,0)),"")</f>
        <v/>
      </c>
      <c r="CR348" s="28" t="str">
        <f aca="false">IFERROR(INDEX(Assessments!$I$2:$I$600,MATCH($H348&amp;"|"&amp;$I348&amp;"|"&amp;$J348&amp;"|"&amp;10,Assessments!$A$2:$A$600,0)),"")</f>
        <v/>
      </c>
      <c r="CS348" s="28" t="str">
        <f aca="false">IFERROR(INDEX(Assessments!$I$2:$I$600,MATCH($H348&amp;"|"&amp;$I348&amp;"|"&amp;$J348&amp;"|"&amp;11,Assessments!$A$2:$A$600,0)),"")</f>
        <v/>
      </c>
      <c r="CT348" s="28" t="str">
        <f aca="false">IFERROR(INDEX(Assessments!$I$2:$I$600,MATCH($H348&amp;"|"&amp;$I348&amp;"|"&amp;$J348&amp;"|"&amp;12,Assessments!$A$2:$A$600,0)),"")</f>
        <v/>
      </c>
      <c r="CU348" s="28" t="str">
        <f aca="false">IFERROR(INDEX(Assessments!$I$2:$I$600,MATCH($H348&amp;"|"&amp;$I348&amp;"|"&amp;$J348&amp;"|"&amp;13,Assessments!$A$2:$A$600,0)),"")</f>
        <v/>
      </c>
      <c r="CV348" s="28" t="str">
        <f aca="false">IFERROR(INDEX(Assessments!$I$2:$I$600,MATCH($H348&amp;"|"&amp;$I348&amp;"|"&amp;$J348&amp;"|"&amp;14,Assessments!$A$2:$A$600,0)),"")</f>
        <v/>
      </c>
      <c r="CW348" s="28" t="n">
        <f aca="false">IFERROR(INDEX(Assessments!$J$2:$J$600,MATCH($H348&amp;"|"&amp;$I348&amp;"|"&amp;$J348&amp;"|"&amp;1,Assessments!$A$2:$A$600,0)),0)</f>
        <v>1</v>
      </c>
      <c r="CX348" s="28" t="n">
        <f aca="false">IFERROR(INDEX(Assessments!$J$2:$J$600,MATCH($H348&amp;"|"&amp;$I348&amp;"|"&amp;$J348&amp;"|"&amp;2,Assessments!$A$2:$A$600,0)),0)</f>
        <v>1</v>
      </c>
      <c r="CY348" s="28" t="n">
        <f aca="false">IFERROR(INDEX(Assessments!$J$2:$J$600,MATCH($H348&amp;"|"&amp;$I348&amp;"|"&amp;$J348&amp;"|"&amp;3,Assessments!$A$2:$A$600,0)),0)</f>
        <v>1</v>
      </c>
      <c r="CZ348" s="28" t="n">
        <f aca="false">IFERROR(INDEX(Assessments!$J$2:$J$600,MATCH($H348&amp;"|"&amp;$I348&amp;"|"&amp;$J348&amp;"|"&amp;4,Assessments!$A$2:$A$600,0)),0)</f>
        <v>2</v>
      </c>
      <c r="DA348" s="28" t="n">
        <f aca="false">IFERROR(INDEX(Assessments!$J$2:$J$600,MATCH($H348&amp;"|"&amp;$I348&amp;"|"&amp;$J348&amp;"|"&amp;5,Assessments!$A$2:$A$600,0)),0)</f>
        <v>1</v>
      </c>
      <c r="DB348" s="28" t="n">
        <f aca="false">IFERROR(INDEX(Assessments!$J$2:$J$600,MATCH($H348&amp;"|"&amp;$I348&amp;"|"&amp;$J348&amp;"|"&amp;6,Assessments!$A$2:$A$600,0)),0)</f>
        <v>1</v>
      </c>
      <c r="DC348" s="28" t="n">
        <f aca="false">IFERROR(INDEX(Assessments!$J$2:$J$600,MATCH($H348&amp;"|"&amp;$I348&amp;"|"&amp;$J348&amp;"|"&amp;7,Assessments!$A$2:$A$600,0)),0)</f>
        <v>0</v>
      </c>
      <c r="DD348" s="28" t="n">
        <f aca="false">IFERROR(INDEX(Assessments!$J$2:$J$600,MATCH($H348&amp;"|"&amp;$I348&amp;"|"&amp;$J348&amp;"|"&amp;8,Assessments!$A$2:$A$600,0)),0)</f>
        <v>0</v>
      </c>
      <c r="DE348" s="28" t="n">
        <f aca="false">IFERROR(INDEX(Assessments!$J$2:$J$600,MATCH($H348&amp;"|"&amp;$I348&amp;"|"&amp;$J348&amp;"|"&amp;9,Assessments!$A$2:$A$600,0)),0)</f>
        <v>0</v>
      </c>
      <c r="DF348" s="28" t="n">
        <f aca="false">IFERROR(INDEX(Assessments!$J$2:$J$600,MATCH($H348&amp;"|"&amp;$I348&amp;"|"&amp;$J348&amp;"|"&amp;10,Assessments!$A$2:$A$600,0)),0)</f>
        <v>0</v>
      </c>
      <c r="DG348" s="28" t="n">
        <f aca="false">IFERROR(INDEX(Assessments!$J$2:$J$600,MATCH($H348&amp;"|"&amp;$I348&amp;"|"&amp;$J348&amp;"|"&amp;11,Assessments!$A$2:$A$600,0)),0)</f>
        <v>0</v>
      </c>
      <c r="DH348" s="28" t="n">
        <f aca="false">IFERROR(INDEX(Assessments!$J$2:$J$600,MATCH($H348&amp;"|"&amp;$I348&amp;"|"&amp;$J348&amp;"|"&amp;12,Assessments!$A$2:$A$600,0)),0)</f>
        <v>0</v>
      </c>
      <c r="DI348" s="28" t="n">
        <f aca="false">IFERROR(INDEX(Assessments!$J$2:$J$600,MATCH($H348&amp;"|"&amp;$I348&amp;"|"&amp;$J348&amp;"|"&amp;13,Assessments!$A$2:$A$600,0)),0)</f>
        <v>0</v>
      </c>
      <c r="DJ348" s="28" t="n">
        <f aca="false">IFERROR(INDEX(Assessments!$J$2:$J$600,MATCH($H348&amp;"|"&amp;$I348&amp;"|"&amp;$J348&amp;"|"&amp;14,Assessments!$A$2:$A$600,0)),0)</f>
        <v>0</v>
      </c>
      <c r="DK348" s="28" t="str">
        <f aca="false">S348</f>
        <v/>
      </c>
      <c r="DL348" s="28" t="str">
        <f aca="false">W348</f>
        <v/>
      </c>
      <c r="DM348" s="28" t="str">
        <f aca="false">AA348</f>
        <v/>
      </c>
      <c r="DN348" s="28" t="str">
        <f aca="false">AE348</f>
        <v/>
      </c>
      <c r="DO348" s="28" t="str">
        <f aca="false">AI348</f>
        <v/>
      </c>
      <c r="DP348" s="28" t="str">
        <f aca="false">AM348</f>
        <v/>
      </c>
      <c r="DQ348" s="28" t="str">
        <f aca="false">AQ348</f>
        <v/>
      </c>
      <c r="DR348" s="28" t="str">
        <f aca="false">AU348</f>
        <v/>
      </c>
      <c r="DS348" s="28" t="str">
        <f aca="false">AY348</f>
        <v/>
      </c>
      <c r="DT348" s="28" t="str">
        <f aca="false">BC348</f>
        <v/>
      </c>
      <c r="DU348" s="28" t="str">
        <f aca="false">BG348</f>
        <v/>
      </c>
      <c r="DV348" s="28" t="str">
        <f aca="false">BK348</f>
        <v/>
      </c>
      <c r="DW348" s="28" t="str">
        <f aca="false">BO348</f>
        <v/>
      </c>
      <c r="DX348" s="28" t="str">
        <f aca="false">BS348</f>
        <v/>
      </c>
      <c r="DY348" s="28" t="str">
        <f aca="false">IF(ISNUMBER(S348),1,"")</f>
        <v/>
      </c>
      <c r="DZ348" s="28" t="str">
        <f aca="false">IF(ISNUMBER(W348),2,"")</f>
        <v/>
      </c>
      <c r="EA348" s="28" t="str">
        <f aca="false">IF(ISNUMBER(AA348),3,"")</f>
        <v/>
      </c>
      <c r="EB348" s="28" t="str">
        <f aca="false">IF(ISNUMBER(AE348),4,"")</f>
        <v/>
      </c>
      <c r="EC348" s="28" t="str">
        <f aca="false">IF(ISNUMBER(AI348),5,"")</f>
        <v/>
      </c>
      <c r="ED348" s="28" t="str">
        <f aca="false">IF(ISNUMBER(AM348),6,"")</f>
        <v/>
      </c>
      <c r="EE348" s="28" t="str">
        <f aca="false">IF(ISNUMBER(AQ348),7,"")</f>
        <v/>
      </c>
      <c r="EF348" s="28" t="str">
        <f aca="false">IF(ISNUMBER(AU348),8,"")</f>
        <v/>
      </c>
      <c r="EG348" s="28" t="str">
        <f aca="false">IF(ISNUMBER(AY348),9,"")</f>
        <v/>
      </c>
      <c r="EH348" s="28" t="str">
        <f aca="false">IF(ISNUMBER(BC348),10,"")</f>
        <v/>
      </c>
      <c r="EI348" s="28" t="str">
        <f aca="false">IF(ISNUMBER(BG348),11,"")</f>
        <v/>
      </c>
      <c r="EJ348" s="28" t="str">
        <f aca="false">IF(ISNUMBER(BK348),12,"")</f>
        <v/>
      </c>
      <c r="EK348" s="28" t="str">
        <f aca="false">IF(ISNUMBER(BO348),13,"")</f>
        <v/>
      </c>
      <c r="EL348" s="28" t="str">
        <f aca="false">IF(ISNUMBER(BS348),14,"")</f>
        <v/>
      </c>
      <c r="EM348" s="28" t="n">
        <f aca="false">IF(ISNUMBER(R348),R348*CW348,0)</f>
        <v>0</v>
      </c>
      <c r="EN348" s="28" t="n">
        <f aca="false">IF(ISNUMBER(V348),V348*CX348,0)</f>
        <v>0</v>
      </c>
      <c r="EO348" s="28" t="n">
        <f aca="false">IF(ISNUMBER(Z348),Z348*CY348,0)</f>
        <v>0</v>
      </c>
      <c r="EP348" s="28" t="n">
        <f aca="false">IF(ISNUMBER(AD348),AD348*CZ348,0)</f>
        <v>0</v>
      </c>
      <c r="EQ348" s="28" t="n">
        <f aca="false">IF(ISNUMBER(AH348),AH348*DA348,0)</f>
        <v>0</v>
      </c>
      <c r="ER348" s="28" t="n">
        <f aca="false">IF(ISNUMBER(AL348),AL348*DB348,0)</f>
        <v>0</v>
      </c>
      <c r="ES348" s="28" t="n">
        <f aca="false">IF(ISNUMBER(AP348),AP348*DC348,0)</f>
        <v>0</v>
      </c>
      <c r="ET348" s="28" t="n">
        <f aca="false">IF(ISNUMBER(AT348),AT348*DD348,0)</f>
        <v>0</v>
      </c>
      <c r="EU348" s="28" t="n">
        <f aca="false">IF(ISNUMBER(AX348),AX348*DE348,0)</f>
        <v>0</v>
      </c>
      <c r="EV348" s="28" t="n">
        <f aca="false">IF(ISNUMBER(BB348),BB348*DF348,0)</f>
        <v>0</v>
      </c>
      <c r="EW348" s="28" t="n">
        <f aca="false">IF(ISNUMBER(BF348),BF348*DG348,0)</f>
        <v>0</v>
      </c>
      <c r="EX348" s="28" t="n">
        <f aca="false">IF(ISNUMBER(BJ348),BJ348*DH348,0)</f>
        <v>0</v>
      </c>
      <c r="EY348" s="28" t="n">
        <f aca="false">IF(ISNUMBER(BN348),BN348*DI348,0)</f>
        <v>0</v>
      </c>
      <c r="EZ348" s="28" t="n">
        <f aca="false">IF(ISNUMBER(BR348),BR348*DJ348,0)</f>
        <v>0</v>
      </c>
      <c r="FA348" s="28" t="n">
        <f aca="false">IF(ISNUMBER(R348),CW348,0)</f>
        <v>0</v>
      </c>
      <c r="FB348" s="28" t="n">
        <f aca="false">IF(ISNUMBER(V348),CX348,0)</f>
        <v>0</v>
      </c>
      <c r="FC348" s="28" t="n">
        <f aca="false">IF(ISNUMBER(Z348),CY348,0)</f>
        <v>0</v>
      </c>
      <c r="FD348" s="28" t="n">
        <f aca="false">IF(ISNUMBER(AD348),CZ348,0)</f>
        <v>0</v>
      </c>
      <c r="FE348" s="28" t="n">
        <f aca="false">IF(ISNUMBER(AH348),DA348,0)</f>
        <v>0</v>
      </c>
      <c r="FF348" s="28" t="n">
        <f aca="false">IF(ISNUMBER(AL348),DB348,0)</f>
        <v>0</v>
      </c>
      <c r="FG348" s="28" t="n">
        <f aca="false">IF(ISNUMBER(AP348),DC348,0)</f>
        <v>0</v>
      </c>
      <c r="FH348" s="28" t="n">
        <f aca="false">IF(ISNUMBER(AT348),DD348,0)</f>
        <v>0</v>
      </c>
      <c r="FI348" s="28" t="n">
        <f aca="false">IF(ISNUMBER(AX348),DE348,0)</f>
        <v>0</v>
      </c>
      <c r="FJ348" s="28" t="n">
        <f aca="false">IF(ISNUMBER(BB348),DF348,0)</f>
        <v>0</v>
      </c>
      <c r="FK348" s="28" t="n">
        <f aca="false">IF(ISNUMBER(BF348),DG348,0)</f>
        <v>0</v>
      </c>
      <c r="FL348" s="28" t="n">
        <f aca="false">IF(ISNUMBER(BJ348),DH348,0)</f>
        <v>0</v>
      </c>
      <c r="FM348" s="28" t="n">
        <f aca="false">IF(ISNUMBER(BN348),DI348,0)</f>
        <v>0</v>
      </c>
      <c r="FN348" s="28" t="n">
        <f aca="false">IF(ISNUMBER(BR348),DJ348,0)</f>
        <v>0</v>
      </c>
      <c r="FO348" s="28" t="str">
        <f aca="false">IFERROR(INDEX(Lists!$G$2:$G$20,MATCH($I348&amp;"|"&amp;$J348,Lists!$F$2:$F$20,0)),"")</f>
        <v>BM Exam</v>
      </c>
    </row>
    <row r="349" customFormat="false" ht="19.5" hidden="false" customHeight="true" outlineLevel="0" collapsed="false">
      <c r="A349" s="29" t="s">
        <v>533</v>
      </c>
      <c r="B349" s="29" t="s">
        <v>534</v>
      </c>
      <c r="C349" s="30" t="s">
        <v>152</v>
      </c>
      <c r="D349" s="30" t="s">
        <v>625</v>
      </c>
      <c r="E349" s="31"/>
      <c r="F349" s="30"/>
      <c r="G349" s="30"/>
      <c r="H349" s="32" t="s">
        <v>428</v>
      </c>
      <c r="I349" s="33" t="s">
        <v>365</v>
      </c>
      <c r="J349" s="32" t="s">
        <v>223</v>
      </c>
      <c r="K349" s="34" t="str">
        <f aca="false">IF(OR(M349="",$E349=""),"",M349-$E349)</f>
        <v/>
      </c>
      <c r="L349" s="35" t="str">
        <f aca="false">IF(SUM(FA349:FN349)=0,"",SUM(EM349:EZ349)/SUM(FA349:FN349))</f>
        <v/>
      </c>
      <c r="M349" s="36" t="str">
        <f aca="false">IF(OR(L349="",FO349=""),"",IFERROR(MATCH(L349,INDEX(Boundaries!$B$2:$I$30,MATCH(FO349,Boundaries!$A$2:$A$30,0),0),1)-1,""))</f>
        <v/>
      </c>
      <c r="N349" s="37" t="str">
        <f aca="false">IF(COUNT($DY349:$EL349)&lt;2,"",INDEX($DK349:$DX349,MAX($DY349:$EL349))-INDEX($DK349:$DX349,MIN($DY349:$EL349)))</f>
        <v/>
      </c>
      <c r="O349" s="37" t="str">
        <f aca="false">IF(COUNT($DY349:$EL349)&lt;2,"",INDEX($DK349:$DX349,MAX($DY349:$EL349))-INDEX($DK349:$DX349,LARGE($DY349:$EL349,2)))</f>
        <v/>
      </c>
      <c r="P349" s="38" t="str">
        <f aca="false">IF(K349="","",IF(K349&gt;=0,"On/above target",IF(AND(N349&lt;&gt;"",N349&gt;=0.5),"Improving towards target",IF(AND(O349&lt;&gt;"",O349&lt;=-0.5),"Declining","Stable below target"))))</f>
        <v/>
      </c>
      <c r="Q349" s="39"/>
      <c r="R349" s="40" t="str">
        <f aca="false">IF(OR(Q349="",BU349=""),"",Q349/BU349*100)</f>
        <v/>
      </c>
      <c r="S349" s="41" t="str">
        <f aca="false">IF(R349="","",IFERROR(MATCH(R349,INDEX(Boundaries!$B$2:$I$30,MATCH(CI349,Boundaries!$A$2:$A$30,0),0),1)-1,""))</f>
        <v/>
      </c>
      <c r="T349" s="42" t="str">
        <f aca="false">IF(OR(S349="",$E349=""),"",S349-$E349)</f>
        <v/>
      </c>
      <c r="U349" s="39"/>
      <c r="V349" s="40" t="str">
        <f aca="false">IF(OR(U349="",BV349=""),"",U349/BV349*100)</f>
        <v/>
      </c>
      <c r="W349" s="41" t="str">
        <f aca="false">IF(V349="","",IFERROR(MATCH(V349,INDEX(Boundaries!$B$2:$I$30,MATCH(CJ349,Boundaries!$A$2:$A$30,0),0),1)-1,""))</f>
        <v/>
      </c>
      <c r="X349" s="42" t="str">
        <f aca="false">IF(OR(W349="",$E349=""),"",W349-$E349)</f>
        <v/>
      </c>
      <c r="Y349" s="39"/>
      <c r="Z349" s="40" t="str">
        <f aca="false">IF(OR(Y349="",BW349=""),"",Y349/BW349*100)</f>
        <v/>
      </c>
      <c r="AA349" s="41" t="str">
        <f aca="false">IF(Z349="","",IFERROR(MATCH(Z349,INDEX(Boundaries!$B$2:$I$30,MATCH(CK349,Boundaries!$A$2:$A$30,0),0),1)-1,""))</f>
        <v/>
      </c>
      <c r="AB349" s="42" t="str">
        <f aca="false">IF(OR(AA349="",$E349=""),"",AA349-$E349)</f>
        <v/>
      </c>
      <c r="AC349" s="39"/>
      <c r="AD349" s="40" t="str">
        <f aca="false">IF(OR(AC349="",BX349=""),"",AC349/BX349*100)</f>
        <v/>
      </c>
      <c r="AE349" s="41" t="str">
        <f aca="false">IF(AD349="","",IFERROR(MATCH(AD349,INDEX(Boundaries!$B$2:$I$30,MATCH(CL349,Boundaries!$A$2:$A$30,0),0),1)-1,""))</f>
        <v/>
      </c>
      <c r="AF349" s="42" t="str">
        <f aca="false">IF(OR(AE349="",$E349=""),"",AE349-$E349)</f>
        <v/>
      </c>
      <c r="AG349" s="39"/>
      <c r="AH349" s="40" t="str">
        <f aca="false">IF(OR(AG349="",BY349=""),"",AG349/BY349*100)</f>
        <v/>
      </c>
      <c r="AI349" s="41" t="str">
        <f aca="false">IF(AH349="","",IFERROR(MATCH(AH349,INDEX(Boundaries!$B$2:$I$30,MATCH(CM349,Boundaries!$A$2:$A$30,0),0),1)-1,""))</f>
        <v/>
      </c>
      <c r="AJ349" s="42" t="str">
        <f aca="false">IF(OR(AI349="",$E349=""),"",AI349-$E349)</f>
        <v/>
      </c>
      <c r="AK349" s="39"/>
      <c r="AL349" s="40" t="str">
        <f aca="false">IF(OR(AK349="",BZ349=""),"",AK349/BZ349*100)</f>
        <v/>
      </c>
      <c r="AM349" s="41" t="str">
        <f aca="false">IF(AL349="","",IFERROR(MATCH(AL349,INDEX(Boundaries!$B$2:$I$30,MATCH(CN349,Boundaries!$A$2:$A$30,0),0),1)-1,""))</f>
        <v/>
      </c>
      <c r="AN349" s="42" t="str">
        <f aca="false">IF(OR(AM349="",$E349=""),"",AM349-$E349)</f>
        <v/>
      </c>
      <c r="AO349" s="39"/>
      <c r="AP349" s="40" t="str">
        <f aca="false">IF(OR(AO349="",CA349=""),"",AO349/CA349*100)</f>
        <v/>
      </c>
      <c r="AQ349" s="41" t="str">
        <f aca="false">IF(AP349="","",IFERROR(MATCH(AP349,INDEX(Boundaries!$B$2:$I$30,MATCH(CO349,Boundaries!$A$2:$A$30,0),0),1)-1,""))</f>
        <v/>
      </c>
      <c r="AR349" s="42" t="str">
        <f aca="false">IF(OR(AQ349="",$E349=""),"",AQ349-$E349)</f>
        <v/>
      </c>
      <c r="AS349" s="39"/>
      <c r="AT349" s="40" t="str">
        <f aca="false">IF(OR(AS349="",CB349=""),"",AS349/CB349*100)</f>
        <v/>
      </c>
      <c r="AU349" s="41" t="str">
        <f aca="false">IF(AT349="","",IFERROR(MATCH(AT349,INDEX(Boundaries!$B$2:$I$30,MATCH(CP349,Boundaries!$A$2:$A$30,0),0),1)-1,""))</f>
        <v/>
      </c>
      <c r="AV349" s="42" t="str">
        <f aca="false">IF(OR(AU349="",$E349=""),"",AU349-$E349)</f>
        <v/>
      </c>
      <c r="AW349" s="39"/>
      <c r="AX349" s="40" t="str">
        <f aca="false">IF(OR(AW349="",CC349=""),"",AW349/CC349*100)</f>
        <v/>
      </c>
      <c r="AY349" s="41" t="str">
        <f aca="false">IF(AX349="","",IFERROR(MATCH(AX349,INDEX(Boundaries!$B$2:$I$30,MATCH(CQ349,Boundaries!$A$2:$A$30,0),0),1)-1,""))</f>
        <v/>
      </c>
      <c r="AZ349" s="42" t="str">
        <f aca="false">IF(OR(AY349="",$E349=""),"",AY349-$E349)</f>
        <v/>
      </c>
      <c r="BA349" s="39"/>
      <c r="BB349" s="40" t="str">
        <f aca="false">IF(OR(BA349="",CD349=""),"",BA349/CD349*100)</f>
        <v/>
      </c>
      <c r="BC349" s="41" t="str">
        <f aca="false">IF(BB349="","",IFERROR(MATCH(BB349,INDEX(Boundaries!$B$2:$I$30,MATCH(CR349,Boundaries!$A$2:$A$30,0),0),1)-1,""))</f>
        <v/>
      </c>
      <c r="BD349" s="42" t="str">
        <f aca="false">IF(OR(BC349="",$E349=""),"",BC349-$E349)</f>
        <v/>
      </c>
      <c r="BE349" s="39"/>
      <c r="BF349" s="40" t="str">
        <f aca="false">IF(OR(BE349="",CE349=""),"",BE349/CE349*100)</f>
        <v/>
      </c>
      <c r="BG349" s="41" t="str">
        <f aca="false">IF(BF349="","",IFERROR(MATCH(BF349,INDEX(Boundaries!$B$2:$I$30,MATCH(CS349,Boundaries!$A$2:$A$30,0),0),1)-1,""))</f>
        <v/>
      </c>
      <c r="BH349" s="42" t="str">
        <f aca="false">IF(OR(BG349="",$E349=""),"",BG349-$E349)</f>
        <v/>
      </c>
      <c r="BI349" s="39"/>
      <c r="BJ349" s="40" t="str">
        <f aca="false">IF(OR(BI349="",CF349=""),"",BI349/CF349*100)</f>
        <v/>
      </c>
      <c r="BK349" s="41" t="str">
        <f aca="false">IF(BJ349="","",IFERROR(MATCH(BJ349,INDEX(Boundaries!$B$2:$I$30,MATCH(CT349,Boundaries!$A$2:$A$30,0),0),1)-1,""))</f>
        <v/>
      </c>
      <c r="BL349" s="42" t="str">
        <f aca="false">IF(OR(BK349="",$E349=""),"",BK349-$E349)</f>
        <v/>
      </c>
      <c r="BM349" s="39"/>
      <c r="BN349" s="40" t="str">
        <f aca="false">IF(OR(BM349="",CG349=""),"",BM349/CG349*100)</f>
        <v/>
      </c>
      <c r="BO349" s="41" t="str">
        <f aca="false">IF(BN349="","",IFERROR(MATCH(BN349,INDEX(Boundaries!$B$2:$I$30,MATCH(CU349,Boundaries!$A$2:$A$30,0),0),1)-1,""))</f>
        <v/>
      </c>
      <c r="BP349" s="42" t="str">
        <f aca="false">IF(OR(BO349="",$E349=""),"",BO349-$E349)</f>
        <v/>
      </c>
      <c r="BQ349" s="39"/>
      <c r="BR349" s="40" t="str">
        <f aca="false">IF(OR(BQ349="",CH349=""),"",BQ349/CH349*100)</f>
        <v/>
      </c>
      <c r="BS349" s="41" t="str">
        <f aca="false">IF(BR349="","",IFERROR(MATCH(BR349,INDEX(Boundaries!$B$2:$I$30,MATCH(CV349,Boundaries!$A$2:$A$30,0),0),1)-1,""))</f>
        <v/>
      </c>
      <c r="BT349" s="42" t="str">
        <f aca="false">IF(OR(BS349="",$E349=""),"",BS349-$E349)</f>
        <v/>
      </c>
      <c r="BU349" s="28" t="n">
        <f aca="false">IFERROR(INDEX(Assessments!$H$2:$H$600,MATCH($H349&amp;"|"&amp;$I349&amp;"|"&amp;$J349&amp;"|"&amp;1,Assessments!$A$2:$A$600,0)),"")</f>
        <v>24</v>
      </c>
      <c r="BV349" s="28" t="n">
        <f aca="false">IFERROR(INDEX(Assessments!$H$2:$H$600,MATCH($H349&amp;"|"&amp;$I349&amp;"|"&amp;$J349&amp;"|"&amp;2,Assessments!$A$2:$A$600,0)),"")</f>
        <v>20</v>
      </c>
      <c r="BW349" s="28" t="n">
        <f aca="false">IFERROR(INDEX(Assessments!$H$2:$H$600,MATCH($H349&amp;"|"&amp;$I349&amp;"|"&amp;$J349&amp;"|"&amp;3,Assessments!$A$2:$A$600,0)),"")</f>
        <v>24</v>
      </c>
      <c r="BX349" s="28" t="n">
        <f aca="false">IFERROR(INDEX(Assessments!$H$2:$H$600,MATCH($H349&amp;"|"&amp;$I349&amp;"|"&amp;$J349&amp;"|"&amp;4,Assessments!$A$2:$A$600,0)),"")</f>
        <v>40</v>
      </c>
      <c r="BY349" s="28" t="n">
        <f aca="false">IFERROR(INDEX(Assessments!$H$2:$H$600,MATCH($H349&amp;"|"&amp;$I349&amp;"|"&amp;$J349&amp;"|"&amp;5,Assessments!$A$2:$A$600,0)),"")</f>
        <v>30</v>
      </c>
      <c r="BZ349" s="28" t="n">
        <f aca="false">IFERROR(INDEX(Assessments!$H$2:$H$600,MATCH($H349&amp;"|"&amp;$I349&amp;"|"&amp;$J349&amp;"|"&amp;6,Assessments!$A$2:$A$600,0)),"")</f>
        <v>20</v>
      </c>
      <c r="CA349" s="28" t="str">
        <f aca="false">IFERROR(INDEX(Assessments!$H$2:$H$600,MATCH($H349&amp;"|"&amp;$I349&amp;"|"&amp;$J349&amp;"|"&amp;7,Assessments!$A$2:$A$600,0)),"")</f>
        <v/>
      </c>
      <c r="CB349" s="28" t="str">
        <f aca="false">IFERROR(INDEX(Assessments!$H$2:$H$600,MATCH($H349&amp;"|"&amp;$I349&amp;"|"&amp;$J349&amp;"|"&amp;8,Assessments!$A$2:$A$600,0)),"")</f>
        <v/>
      </c>
      <c r="CC349" s="28" t="str">
        <f aca="false">IFERROR(INDEX(Assessments!$H$2:$H$600,MATCH($H349&amp;"|"&amp;$I349&amp;"|"&amp;$J349&amp;"|"&amp;9,Assessments!$A$2:$A$600,0)),"")</f>
        <v/>
      </c>
      <c r="CD349" s="28" t="str">
        <f aca="false">IFERROR(INDEX(Assessments!$H$2:$H$600,MATCH($H349&amp;"|"&amp;$I349&amp;"|"&amp;$J349&amp;"|"&amp;10,Assessments!$A$2:$A$600,0)),"")</f>
        <v/>
      </c>
      <c r="CE349" s="28" t="str">
        <f aca="false">IFERROR(INDEX(Assessments!$H$2:$H$600,MATCH($H349&amp;"|"&amp;$I349&amp;"|"&amp;$J349&amp;"|"&amp;11,Assessments!$A$2:$A$600,0)),"")</f>
        <v/>
      </c>
      <c r="CF349" s="28" t="str">
        <f aca="false">IFERROR(INDEX(Assessments!$H$2:$H$600,MATCH($H349&amp;"|"&amp;$I349&amp;"|"&amp;$J349&amp;"|"&amp;12,Assessments!$A$2:$A$600,0)),"")</f>
        <v/>
      </c>
      <c r="CG349" s="28" t="str">
        <f aca="false">IFERROR(INDEX(Assessments!$H$2:$H$600,MATCH($H349&amp;"|"&amp;$I349&amp;"|"&amp;$J349&amp;"|"&amp;13,Assessments!$A$2:$A$600,0)),"")</f>
        <v/>
      </c>
      <c r="CH349" s="28" t="str">
        <f aca="false">IFERROR(INDEX(Assessments!$H$2:$H$600,MATCH($H349&amp;"|"&amp;$I349&amp;"|"&amp;$J349&amp;"|"&amp;14,Assessments!$A$2:$A$600,0)),"")</f>
        <v/>
      </c>
      <c r="CI349" s="28" t="str">
        <f aca="false">IFERROR(INDEX(Assessments!$I$2:$I$600,MATCH($H349&amp;"|"&amp;$I349&amp;"|"&amp;$J349&amp;"|"&amp;1,Assessments!$A$2:$A$600,0)),"")</f>
        <v>BM Test</v>
      </c>
      <c r="CJ349" s="28" t="str">
        <f aca="false">IFERROR(INDEX(Assessments!$I$2:$I$600,MATCH($H349&amp;"|"&amp;$I349&amp;"|"&amp;$J349&amp;"|"&amp;2,Assessments!$A$2:$A$600,0)),"")</f>
        <v>BM Test</v>
      </c>
      <c r="CK349" s="28" t="str">
        <f aca="false">IFERROR(INDEX(Assessments!$I$2:$I$600,MATCH($H349&amp;"|"&amp;$I349&amp;"|"&amp;$J349&amp;"|"&amp;3,Assessments!$A$2:$A$600,0)),"")</f>
        <v>BM Test</v>
      </c>
      <c r="CL349" s="28" t="str">
        <f aca="false">IFERROR(INDEX(Assessments!$I$2:$I$600,MATCH($H349&amp;"|"&amp;$I349&amp;"|"&amp;$J349&amp;"|"&amp;4,Assessments!$A$2:$A$600,0)),"")</f>
        <v>BM Exam</v>
      </c>
      <c r="CM349" s="28" t="str">
        <f aca="false">IFERROR(INDEX(Assessments!$I$2:$I$600,MATCH($H349&amp;"|"&amp;$I349&amp;"|"&amp;$J349&amp;"|"&amp;5,Assessments!$A$2:$A$600,0)),"")</f>
        <v>BM Test</v>
      </c>
      <c r="CN349" s="28" t="str">
        <f aca="false">IFERROR(INDEX(Assessments!$I$2:$I$600,MATCH($H349&amp;"|"&amp;$I349&amp;"|"&amp;$J349&amp;"|"&amp;6,Assessments!$A$2:$A$600,0)),"")</f>
        <v>BM Test</v>
      </c>
      <c r="CO349" s="28" t="str">
        <f aca="false">IFERROR(INDEX(Assessments!$I$2:$I$600,MATCH($H349&amp;"|"&amp;$I349&amp;"|"&amp;$J349&amp;"|"&amp;7,Assessments!$A$2:$A$600,0)),"")</f>
        <v/>
      </c>
      <c r="CP349" s="28" t="str">
        <f aca="false">IFERROR(INDEX(Assessments!$I$2:$I$600,MATCH($H349&amp;"|"&amp;$I349&amp;"|"&amp;$J349&amp;"|"&amp;8,Assessments!$A$2:$A$600,0)),"")</f>
        <v/>
      </c>
      <c r="CQ349" s="28" t="str">
        <f aca="false">IFERROR(INDEX(Assessments!$I$2:$I$600,MATCH($H349&amp;"|"&amp;$I349&amp;"|"&amp;$J349&amp;"|"&amp;9,Assessments!$A$2:$A$600,0)),"")</f>
        <v/>
      </c>
      <c r="CR349" s="28" t="str">
        <f aca="false">IFERROR(INDEX(Assessments!$I$2:$I$600,MATCH($H349&amp;"|"&amp;$I349&amp;"|"&amp;$J349&amp;"|"&amp;10,Assessments!$A$2:$A$600,0)),"")</f>
        <v/>
      </c>
      <c r="CS349" s="28" t="str">
        <f aca="false">IFERROR(INDEX(Assessments!$I$2:$I$600,MATCH($H349&amp;"|"&amp;$I349&amp;"|"&amp;$J349&amp;"|"&amp;11,Assessments!$A$2:$A$600,0)),"")</f>
        <v/>
      </c>
      <c r="CT349" s="28" t="str">
        <f aca="false">IFERROR(INDEX(Assessments!$I$2:$I$600,MATCH($H349&amp;"|"&amp;$I349&amp;"|"&amp;$J349&amp;"|"&amp;12,Assessments!$A$2:$A$600,0)),"")</f>
        <v/>
      </c>
      <c r="CU349" s="28" t="str">
        <f aca="false">IFERROR(INDEX(Assessments!$I$2:$I$600,MATCH($H349&amp;"|"&amp;$I349&amp;"|"&amp;$J349&amp;"|"&amp;13,Assessments!$A$2:$A$600,0)),"")</f>
        <v/>
      </c>
      <c r="CV349" s="28" t="str">
        <f aca="false">IFERROR(INDEX(Assessments!$I$2:$I$600,MATCH($H349&amp;"|"&amp;$I349&amp;"|"&amp;$J349&amp;"|"&amp;14,Assessments!$A$2:$A$600,0)),"")</f>
        <v/>
      </c>
      <c r="CW349" s="28" t="n">
        <f aca="false">IFERROR(INDEX(Assessments!$J$2:$J$600,MATCH($H349&amp;"|"&amp;$I349&amp;"|"&amp;$J349&amp;"|"&amp;1,Assessments!$A$2:$A$600,0)),0)</f>
        <v>1</v>
      </c>
      <c r="CX349" s="28" t="n">
        <f aca="false">IFERROR(INDEX(Assessments!$J$2:$J$600,MATCH($H349&amp;"|"&amp;$I349&amp;"|"&amp;$J349&amp;"|"&amp;2,Assessments!$A$2:$A$600,0)),0)</f>
        <v>1</v>
      </c>
      <c r="CY349" s="28" t="n">
        <f aca="false">IFERROR(INDEX(Assessments!$J$2:$J$600,MATCH($H349&amp;"|"&amp;$I349&amp;"|"&amp;$J349&amp;"|"&amp;3,Assessments!$A$2:$A$600,0)),0)</f>
        <v>1</v>
      </c>
      <c r="CZ349" s="28" t="n">
        <f aca="false">IFERROR(INDEX(Assessments!$J$2:$J$600,MATCH($H349&amp;"|"&amp;$I349&amp;"|"&amp;$J349&amp;"|"&amp;4,Assessments!$A$2:$A$600,0)),0)</f>
        <v>2</v>
      </c>
      <c r="DA349" s="28" t="n">
        <f aca="false">IFERROR(INDEX(Assessments!$J$2:$J$600,MATCH($H349&amp;"|"&amp;$I349&amp;"|"&amp;$J349&amp;"|"&amp;5,Assessments!$A$2:$A$600,0)),0)</f>
        <v>1</v>
      </c>
      <c r="DB349" s="28" t="n">
        <f aca="false">IFERROR(INDEX(Assessments!$J$2:$J$600,MATCH($H349&amp;"|"&amp;$I349&amp;"|"&amp;$J349&amp;"|"&amp;6,Assessments!$A$2:$A$600,0)),0)</f>
        <v>1</v>
      </c>
      <c r="DC349" s="28" t="n">
        <f aca="false">IFERROR(INDEX(Assessments!$J$2:$J$600,MATCH($H349&amp;"|"&amp;$I349&amp;"|"&amp;$J349&amp;"|"&amp;7,Assessments!$A$2:$A$600,0)),0)</f>
        <v>0</v>
      </c>
      <c r="DD349" s="28" t="n">
        <f aca="false">IFERROR(INDEX(Assessments!$J$2:$J$600,MATCH($H349&amp;"|"&amp;$I349&amp;"|"&amp;$J349&amp;"|"&amp;8,Assessments!$A$2:$A$600,0)),0)</f>
        <v>0</v>
      </c>
      <c r="DE349" s="28" t="n">
        <f aca="false">IFERROR(INDEX(Assessments!$J$2:$J$600,MATCH($H349&amp;"|"&amp;$I349&amp;"|"&amp;$J349&amp;"|"&amp;9,Assessments!$A$2:$A$600,0)),0)</f>
        <v>0</v>
      </c>
      <c r="DF349" s="28" t="n">
        <f aca="false">IFERROR(INDEX(Assessments!$J$2:$J$600,MATCH($H349&amp;"|"&amp;$I349&amp;"|"&amp;$J349&amp;"|"&amp;10,Assessments!$A$2:$A$600,0)),0)</f>
        <v>0</v>
      </c>
      <c r="DG349" s="28" t="n">
        <f aca="false">IFERROR(INDEX(Assessments!$J$2:$J$600,MATCH($H349&amp;"|"&amp;$I349&amp;"|"&amp;$J349&amp;"|"&amp;11,Assessments!$A$2:$A$600,0)),0)</f>
        <v>0</v>
      </c>
      <c r="DH349" s="28" t="n">
        <f aca="false">IFERROR(INDEX(Assessments!$J$2:$J$600,MATCH($H349&amp;"|"&amp;$I349&amp;"|"&amp;$J349&amp;"|"&amp;12,Assessments!$A$2:$A$600,0)),0)</f>
        <v>0</v>
      </c>
      <c r="DI349" s="28" t="n">
        <f aca="false">IFERROR(INDEX(Assessments!$J$2:$J$600,MATCH($H349&amp;"|"&amp;$I349&amp;"|"&amp;$J349&amp;"|"&amp;13,Assessments!$A$2:$A$600,0)),0)</f>
        <v>0</v>
      </c>
      <c r="DJ349" s="28" t="n">
        <f aca="false">IFERROR(INDEX(Assessments!$J$2:$J$600,MATCH($H349&amp;"|"&amp;$I349&amp;"|"&amp;$J349&amp;"|"&amp;14,Assessments!$A$2:$A$600,0)),0)</f>
        <v>0</v>
      </c>
      <c r="DK349" s="28" t="str">
        <f aca="false">S349</f>
        <v/>
      </c>
      <c r="DL349" s="28" t="str">
        <f aca="false">W349</f>
        <v/>
      </c>
      <c r="DM349" s="28" t="str">
        <f aca="false">AA349</f>
        <v/>
      </c>
      <c r="DN349" s="28" t="str">
        <f aca="false">AE349</f>
        <v/>
      </c>
      <c r="DO349" s="28" t="str">
        <f aca="false">AI349</f>
        <v/>
      </c>
      <c r="DP349" s="28" t="str">
        <f aca="false">AM349</f>
        <v/>
      </c>
      <c r="DQ349" s="28" t="str">
        <f aca="false">AQ349</f>
        <v/>
      </c>
      <c r="DR349" s="28" t="str">
        <f aca="false">AU349</f>
        <v/>
      </c>
      <c r="DS349" s="28" t="str">
        <f aca="false">AY349</f>
        <v/>
      </c>
      <c r="DT349" s="28" t="str">
        <f aca="false">BC349</f>
        <v/>
      </c>
      <c r="DU349" s="28" t="str">
        <f aca="false">BG349</f>
        <v/>
      </c>
      <c r="DV349" s="28" t="str">
        <f aca="false">BK349</f>
        <v/>
      </c>
      <c r="DW349" s="28" t="str">
        <f aca="false">BO349</f>
        <v/>
      </c>
      <c r="DX349" s="28" t="str">
        <f aca="false">BS349</f>
        <v/>
      </c>
      <c r="DY349" s="28" t="str">
        <f aca="false">IF(ISNUMBER(S349),1,"")</f>
        <v/>
      </c>
      <c r="DZ349" s="28" t="str">
        <f aca="false">IF(ISNUMBER(W349),2,"")</f>
        <v/>
      </c>
      <c r="EA349" s="28" t="str">
        <f aca="false">IF(ISNUMBER(AA349),3,"")</f>
        <v/>
      </c>
      <c r="EB349" s="28" t="str">
        <f aca="false">IF(ISNUMBER(AE349),4,"")</f>
        <v/>
      </c>
      <c r="EC349" s="28" t="str">
        <f aca="false">IF(ISNUMBER(AI349),5,"")</f>
        <v/>
      </c>
      <c r="ED349" s="28" t="str">
        <f aca="false">IF(ISNUMBER(AM349),6,"")</f>
        <v/>
      </c>
      <c r="EE349" s="28" t="str">
        <f aca="false">IF(ISNUMBER(AQ349),7,"")</f>
        <v/>
      </c>
      <c r="EF349" s="28" t="str">
        <f aca="false">IF(ISNUMBER(AU349),8,"")</f>
        <v/>
      </c>
      <c r="EG349" s="28" t="str">
        <f aca="false">IF(ISNUMBER(AY349),9,"")</f>
        <v/>
      </c>
      <c r="EH349" s="28" t="str">
        <f aca="false">IF(ISNUMBER(BC349),10,"")</f>
        <v/>
      </c>
      <c r="EI349" s="28" t="str">
        <f aca="false">IF(ISNUMBER(BG349),11,"")</f>
        <v/>
      </c>
      <c r="EJ349" s="28" t="str">
        <f aca="false">IF(ISNUMBER(BK349),12,"")</f>
        <v/>
      </c>
      <c r="EK349" s="28" t="str">
        <f aca="false">IF(ISNUMBER(BO349),13,"")</f>
        <v/>
      </c>
      <c r="EL349" s="28" t="str">
        <f aca="false">IF(ISNUMBER(BS349),14,"")</f>
        <v/>
      </c>
      <c r="EM349" s="28" t="n">
        <f aca="false">IF(ISNUMBER(R349),R349*CW349,0)</f>
        <v>0</v>
      </c>
      <c r="EN349" s="28" t="n">
        <f aca="false">IF(ISNUMBER(V349),V349*CX349,0)</f>
        <v>0</v>
      </c>
      <c r="EO349" s="28" t="n">
        <f aca="false">IF(ISNUMBER(Z349),Z349*CY349,0)</f>
        <v>0</v>
      </c>
      <c r="EP349" s="28" t="n">
        <f aca="false">IF(ISNUMBER(AD349),AD349*CZ349,0)</f>
        <v>0</v>
      </c>
      <c r="EQ349" s="28" t="n">
        <f aca="false">IF(ISNUMBER(AH349),AH349*DA349,0)</f>
        <v>0</v>
      </c>
      <c r="ER349" s="28" t="n">
        <f aca="false">IF(ISNUMBER(AL349),AL349*DB349,0)</f>
        <v>0</v>
      </c>
      <c r="ES349" s="28" t="n">
        <f aca="false">IF(ISNUMBER(AP349),AP349*DC349,0)</f>
        <v>0</v>
      </c>
      <c r="ET349" s="28" t="n">
        <f aca="false">IF(ISNUMBER(AT349),AT349*DD349,0)</f>
        <v>0</v>
      </c>
      <c r="EU349" s="28" t="n">
        <f aca="false">IF(ISNUMBER(AX349),AX349*DE349,0)</f>
        <v>0</v>
      </c>
      <c r="EV349" s="28" t="n">
        <f aca="false">IF(ISNUMBER(BB349),BB349*DF349,0)</f>
        <v>0</v>
      </c>
      <c r="EW349" s="28" t="n">
        <f aca="false">IF(ISNUMBER(BF349),BF349*DG349,0)</f>
        <v>0</v>
      </c>
      <c r="EX349" s="28" t="n">
        <f aca="false">IF(ISNUMBER(BJ349),BJ349*DH349,0)</f>
        <v>0</v>
      </c>
      <c r="EY349" s="28" t="n">
        <f aca="false">IF(ISNUMBER(BN349),BN349*DI349,0)</f>
        <v>0</v>
      </c>
      <c r="EZ349" s="28" t="n">
        <f aca="false">IF(ISNUMBER(BR349),BR349*DJ349,0)</f>
        <v>0</v>
      </c>
      <c r="FA349" s="28" t="n">
        <f aca="false">IF(ISNUMBER(R349),CW349,0)</f>
        <v>0</v>
      </c>
      <c r="FB349" s="28" t="n">
        <f aca="false">IF(ISNUMBER(V349),CX349,0)</f>
        <v>0</v>
      </c>
      <c r="FC349" s="28" t="n">
        <f aca="false">IF(ISNUMBER(Z349),CY349,0)</f>
        <v>0</v>
      </c>
      <c r="FD349" s="28" t="n">
        <f aca="false">IF(ISNUMBER(AD349),CZ349,0)</f>
        <v>0</v>
      </c>
      <c r="FE349" s="28" t="n">
        <f aca="false">IF(ISNUMBER(AH349),DA349,0)</f>
        <v>0</v>
      </c>
      <c r="FF349" s="28" t="n">
        <f aca="false">IF(ISNUMBER(AL349),DB349,0)</f>
        <v>0</v>
      </c>
      <c r="FG349" s="28" t="n">
        <f aca="false">IF(ISNUMBER(AP349),DC349,0)</f>
        <v>0</v>
      </c>
      <c r="FH349" s="28" t="n">
        <f aca="false">IF(ISNUMBER(AT349),DD349,0)</f>
        <v>0</v>
      </c>
      <c r="FI349" s="28" t="n">
        <f aca="false">IF(ISNUMBER(AX349),DE349,0)</f>
        <v>0</v>
      </c>
      <c r="FJ349" s="28" t="n">
        <f aca="false">IF(ISNUMBER(BB349),DF349,0)</f>
        <v>0</v>
      </c>
      <c r="FK349" s="28" t="n">
        <f aca="false">IF(ISNUMBER(BF349),DG349,0)</f>
        <v>0</v>
      </c>
      <c r="FL349" s="28" t="n">
        <f aca="false">IF(ISNUMBER(BJ349),DH349,0)</f>
        <v>0</v>
      </c>
      <c r="FM349" s="28" t="n">
        <f aca="false">IF(ISNUMBER(BN349),DI349,0)</f>
        <v>0</v>
      </c>
      <c r="FN349" s="28" t="n">
        <f aca="false">IF(ISNUMBER(BR349),DJ349,0)</f>
        <v>0</v>
      </c>
      <c r="FO349" s="28" t="str">
        <f aca="false">IFERROR(INDEX(Lists!$G$2:$G$20,MATCH($I349&amp;"|"&amp;$J349,Lists!$F$2:$F$20,0)),"")</f>
        <v>BM Exam</v>
      </c>
    </row>
    <row r="350" customFormat="false" ht="19.5" hidden="false" customHeight="true" outlineLevel="0" collapsed="false">
      <c r="A350" s="29" t="s">
        <v>651</v>
      </c>
      <c r="B350" s="29" t="s">
        <v>652</v>
      </c>
      <c r="C350" s="30" t="s">
        <v>152</v>
      </c>
      <c r="D350" s="30" t="s">
        <v>625</v>
      </c>
      <c r="E350" s="31"/>
      <c r="F350" s="30"/>
      <c r="G350" s="30"/>
      <c r="H350" s="32" t="s">
        <v>428</v>
      </c>
      <c r="I350" s="33" t="s">
        <v>365</v>
      </c>
      <c r="J350" s="32" t="s">
        <v>223</v>
      </c>
      <c r="K350" s="34" t="str">
        <f aca="false">IF(OR(M350="",$E350=""),"",M350-$E350)</f>
        <v/>
      </c>
      <c r="L350" s="35" t="str">
        <f aca="false">IF(SUM(FA350:FN350)=0,"",SUM(EM350:EZ350)/SUM(FA350:FN350))</f>
        <v/>
      </c>
      <c r="M350" s="36" t="str">
        <f aca="false">IF(OR(L350="",FO350=""),"",IFERROR(MATCH(L350,INDEX(Boundaries!$B$2:$I$30,MATCH(FO350,Boundaries!$A$2:$A$30,0),0),1)-1,""))</f>
        <v/>
      </c>
      <c r="N350" s="37" t="str">
        <f aca="false">IF(COUNT($DY350:$EL350)&lt;2,"",INDEX($DK350:$DX350,MAX($DY350:$EL350))-INDEX($DK350:$DX350,MIN($DY350:$EL350)))</f>
        <v/>
      </c>
      <c r="O350" s="37" t="str">
        <f aca="false">IF(COUNT($DY350:$EL350)&lt;2,"",INDEX($DK350:$DX350,MAX($DY350:$EL350))-INDEX($DK350:$DX350,LARGE($DY350:$EL350,2)))</f>
        <v/>
      </c>
      <c r="P350" s="38" t="str">
        <f aca="false">IF(K350="","",IF(K350&gt;=0,"On/above target",IF(AND(N350&lt;&gt;"",N350&gt;=0.5),"Improving towards target",IF(AND(O350&lt;&gt;"",O350&lt;=-0.5),"Declining","Stable below target"))))</f>
        <v/>
      </c>
      <c r="Q350" s="39"/>
      <c r="R350" s="40" t="str">
        <f aca="false">IF(OR(Q350="",BU350=""),"",Q350/BU350*100)</f>
        <v/>
      </c>
      <c r="S350" s="41" t="str">
        <f aca="false">IF(R350="","",IFERROR(MATCH(R350,INDEX(Boundaries!$B$2:$I$30,MATCH(CI350,Boundaries!$A$2:$A$30,0),0),1)-1,""))</f>
        <v/>
      </c>
      <c r="T350" s="42" t="str">
        <f aca="false">IF(OR(S350="",$E350=""),"",S350-$E350)</f>
        <v/>
      </c>
      <c r="U350" s="39"/>
      <c r="V350" s="40" t="str">
        <f aca="false">IF(OR(U350="",BV350=""),"",U350/BV350*100)</f>
        <v/>
      </c>
      <c r="W350" s="41" t="str">
        <f aca="false">IF(V350="","",IFERROR(MATCH(V350,INDEX(Boundaries!$B$2:$I$30,MATCH(CJ350,Boundaries!$A$2:$A$30,0),0),1)-1,""))</f>
        <v/>
      </c>
      <c r="X350" s="42" t="str">
        <f aca="false">IF(OR(W350="",$E350=""),"",W350-$E350)</f>
        <v/>
      </c>
      <c r="Y350" s="39"/>
      <c r="Z350" s="40" t="str">
        <f aca="false">IF(OR(Y350="",BW350=""),"",Y350/BW350*100)</f>
        <v/>
      </c>
      <c r="AA350" s="41" t="str">
        <f aca="false">IF(Z350="","",IFERROR(MATCH(Z350,INDEX(Boundaries!$B$2:$I$30,MATCH(CK350,Boundaries!$A$2:$A$30,0),0),1)-1,""))</f>
        <v/>
      </c>
      <c r="AB350" s="42" t="str">
        <f aca="false">IF(OR(AA350="",$E350=""),"",AA350-$E350)</f>
        <v/>
      </c>
      <c r="AC350" s="39"/>
      <c r="AD350" s="40" t="str">
        <f aca="false">IF(OR(AC350="",BX350=""),"",AC350/BX350*100)</f>
        <v/>
      </c>
      <c r="AE350" s="41" t="str">
        <f aca="false">IF(AD350="","",IFERROR(MATCH(AD350,INDEX(Boundaries!$B$2:$I$30,MATCH(CL350,Boundaries!$A$2:$A$30,0),0),1)-1,""))</f>
        <v/>
      </c>
      <c r="AF350" s="42" t="str">
        <f aca="false">IF(OR(AE350="",$E350=""),"",AE350-$E350)</f>
        <v/>
      </c>
      <c r="AG350" s="39"/>
      <c r="AH350" s="40" t="str">
        <f aca="false">IF(OR(AG350="",BY350=""),"",AG350/BY350*100)</f>
        <v/>
      </c>
      <c r="AI350" s="41" t="str">
        <f aca="false">IF(AH350="","",IFERROR(MATCH(AH350,INDEX(Boundaries!$B$2:$I$30,MATCH(CM350,Boundaries!$A$2:$A$30,0),0),1)-1,""))</f>
        <v/>
      </c>
      <c r="AJ350" s="42" t="str">
        <f aca="false">IF(OR(AI350="",$E350=""),"",AI350-$E350)</f>
        <v/>
      </c>
      <c r="AK350" s="39"/>
      <c r="AL350" s="40" t="str">
        <f aca="false">IF(OR(AK350="",BZ350=""),"",AK350/BZ350*100)</f>
        <v/>
      </c>
      <c r="AM350" s="41" t="str">
        <f aca="false">IF(AL350="","",IFERROR(MATCH(AL350,INDEX(Boundaries!$B$2:$I$30,MATCH(CN350,Boundaries!$A$2:$A$30,0),0),1)-1,""))</f>
        <v/>
      </c>
      <c r="AN350" s="42" t="str">
        <f aca="false">IF(OR(AM350="",$E350=""),"",AM350-$E350)</f>
        <v/>
      </c>
      <c r="AO350" s="39"/>
      <c r="AP350" s="40" t="str">
        <f aca="false">IF(OR(AO350="",CA350=""),"",AO350/CA350*100)</f>
        <v/>
      </c>
      <c r="AQ350" s="41" t="str">
        <f aca="false">IF(AP350="","",IFERROR(MATCH(AP350,INDEX(Boundaries!$B$2:$I$30,MATCH(CO350,Boundaries!$A$2:$A$30,0),0),1)-1,""))</f>
        <v/>
      </c>
      <c r="AR350" s="42" t="str">
        <f aca="false">IF(OR(AQ350="",$E350=""),"",AQ350-$E350)</f>
        <v/>
      </c>
      <c r="AS350" s="39"/>
      <c r="AT350" s="40" t="str">
        <f aca="false">IF(OR(AS350="",CB350=""),"",AS350/CB350*100)</f>
        <v/>
      </c>
      <c r="AU350" s="41" t="str">
        <f aca="false">IF(AT350="","",IFERROR(MATCH(AT350,INDEX(Boundaries!$B$2:$I$30,MATCH(CP350,Boundaries!$A$2:$A$30,0),0),1)-1,""))</f>
        <v/>
      </c>
      <c r="AV350" s="42" t="str">
        <f aca="false">IF(OR(AU350="",$E350=""),"",AU350-$E350)</f>
        <v/>
      </c>
      <c r="AW350" s="39"/>
      <c r="AX350" s="40" t="str">
        <f aca="false">IF(OR(AW350="",CC350=""),"",AW350/CC350*100)</f>
        <v/>
      </c>
      <c r="AY350" s="41" t="str">
        <f aca="false">IF(AX350="","",IFERROR(MATCH(AX350,INDEX(Boundaries!$B$2:$I$30,MATCH(CQ350,Boundaries!$A$2:$A$30,0),0),1)-1,""))</f>
        <v/>
      </c>
      <c r="AZ350" s="42" t="str">
        <f aca="false">IF(OR(AY350="",$E350=""),"",AY350-$E350)</f>
        <v/>
      </c>
      <c r="BA350" s="39"/>
      <c r="BB350" s="40" t="str">
        <f aca="false">IF(OR(BA350="",CD350=""),"",BA350/CD350*100)</f>
        <v/>
      </c>
      <c r="BC350" s="41" t="str">
        <f aca="false">IF(BB350="","",IFERROR(MATCH(BB350,INDEX(Boundaries!$B$2:$I$30,MATCH(CR350,Boundaries!$A$2:$A$30,0),0),1)-1,""))</f>
        <v/>
      </c>
      <c r="BD350" s="42" t="str">
        <f aca="false">IF(OR(BC350="",$E350=""),"",BC350-$E350)</f>
        <v/>
      </c>
      <c r="BE350" s="39"/>
      <c r="BF350" s="40" t="str">
        <f aca="false">IF(OR(BE350="",CE350=""),"",BE350/CE350*100)</f>
        <v/>
      </c>
      <c r="BG350" s="41" t="str">
        <f aca="false">IF(BF350="","",IFERROR(MATCH(BF350,INDEX(Boundaries!$B$2:$I$30,MATCH(CS350,Boundaries!$A$2:$A$30,0),0),1)-1,""))</f>
        <v/>
      </c>
      <c r="BH350" s="42" t="str">
        <f aca="false">IF(OR(BG350="",$E350=""),"",BG350-$E350)</f>
        <v/>
      </c>
      <c r="BI350" s="39"/>
      <c r="BJ350" s="40" t="str">
        <f aca="false">IF(OR(BI350="",CF350=""),"",BI350/CF350*100)</f>
        <v/>
      </c>
      <c r="BK350" s="41" t="str">
        <f aca="false">IF(BJ350="","",IFERROR(MATCH(BJ350,INDEX(Boundaries!$B$2:$I$30,MATCH(CT350,Boundaries!$A$2:$A$30,0),0),1)-1,""))</f>
        <v/>
      </c>
      <c r="BL350" s="42" t="str">
        <f aca="false">IF(OR(BK350="",$E350=""),"",BK350-$E350)</f>
        <v/>
      </c>
      <c r="BM350" s="39"/>
      <c r="BN350" s="40" t="str">
        <f aca="false">IF(OR(BM350="",CG350=""),"",BM350/CG350*100)</f>
        <v/>
      </c>
      <c r="BO350" s="41" t="str">
        <f aca="false">IF(BN350="","",IFERROR(MATCH(BN350,INDEX(Boundaries!$B$2:$I$30,MATCH(CU350,Boundaries!$A$2:$A$30,0),0),1)-1,""))</f>
        <v/>
      </c>
      <c r="BP350" s="42" t="str">
        <f aca="false">IF(OR(BO350="",$E350=""),"",BO350-$E350)</f>
        <v/>
      </c>
      <c r="BQ350" s="39"/>
      <c r="BR350" s="40" t="str">
        <f aca="false">IF(OR(BQ350="",CH350=""),"",BQ350/CH350*100)</f>
        <v/>
      </c>
      <c r="BS350" s="41" t="str">
        <f aca="false">IF(BR350="","",IFERROR(MATCH(BR350,INDEX(Boundaries!$B$2:$I$30,MATCH(CV350,Boundaries!$A$2:$A$30,0),0),1)-1,""))</f>
        <v/>
      </c>
      <c r="BT350" s="42" t="str">
        <f aca="false">IF(OR(BS350="",$E350=""),"",BS350-$E350)</f>
        <v/>
      </c>
      <c r="BU350" s="28" t="n">
        <f aca="false">IFERROR(INDEX(Assessments!$H$2:$H$600,MATCH($H350&amp;"|"&amp;$I350&amp;"|"&amp;$J350&amp;"|"&amp;1,Assessments!$A$2:$A$600,0)),"")</f>
        <v>24</v>
      </c>
      <c r="BV350" s="28" t="n">
        <f aca="false">IFERROR(INDEX(Assessments!$H$2:$H$600,MATCH($H350&amp;"|"&amp;$I350&amp;"|"&amp;$J350&amp;"|"&amp;2,Assessments!$A$2:$A$600,0)),"")</f>
        <v>20</v>
      </c>
      <c r="BW350" s="28" t="n">
        <f aca="false">IFERROR(INDEX(Assessments!$H$2:$H$600,MATCH($H350&amp;"|"&amp;$I350&amp;"|"&amp;$J350&amp;"|"&amp;3,Assessments!$A$2:$A$600,0)),"")</f>
        <v>24</v>
      </c>
      <c r="BX350" s="28" t="n">
        <f aca="false">IFERROR(INDEX(Assessments!$H$2:$H$600,MATCH($H350&amp;"|"&amp;$I350&amp;"|"&amp;$J350&amp;"|"&amp;4,Assessments!$A$2:$A$600,0)),"")</f>
        <v>40</v>
      </c>
      <c r="BY350" s="28" t="n">
        <f aca="false">IFERROR(INDEX(Assessments!$H$2:$H$600,MATCH($H350&amp;"|"&amp;$I350&amp;"|"&amp;$J350&amp;"|"&amp;5,Assessments!$A$2:$A$600,0)),"")</f>
        <v>30</v>
      </c>
      <c r="BZ350" s="28" t="n">
        <f aca="false">IFERROR(INDEX(Assessments!$H$2:$H$600,MATCH($H350&amp;"|"&amp;$I350&amp;"|"&amp;$J350&amp;"|"&amp;6,Assessments!$A$2:$A$600,0)),"")</f>
        <v>20</v>
      </c>
      <c r="CA350" s="28" t="str">
        <f aca="false">IFERROR(INDEX(Assessments!$H$2:$H$600,MATCH($H350&amp;"|"&amp;$I350&amp;"|"&amp;$J350&amp;"|"&amp;7,Assessments!$A$2:$A$600,0)),"")</f>
        <v/>
      </c>
      <c r="CB350" s="28" t="str">
        <f aca="false">IFERROR(INDEX(Assessments!$H$2:$H$600,MATCH($H350&amp;"|"&amp;$I350&amp;"|"&amp;$J350&amp;"|"&amp;8,Assessments!$A$2:$A$600,0)),"")</f>
        <v/>
      </c>
      <c r="CC350" s="28" t="str">
        <f aca="false">IFERROR(INDEX(Assessments!$H$2:$H$600,MATCH($H350&amp;"|"&amp;$I350&amp;"|"&amp;$J350&amp;"|"&amp;9,Assessments!$A$2:$A$600,0)),"")</f>
        <v/>
      </c>
      <c r="CD350" s="28" t="str">
        <f aca="false">IFERROR(INDEX(Assessments!$H$2:$H$600,MATCH($H350&amp;"|"&amp;$I350&amp;"|"&amp;$J350&amp;"|"&amp;10,Assessments!$A$2:$A$600,0)),"")</f>
        <v/>
      </c>
      <c r="CE350" s="28" t="str">
        <f aca="false">IFERROR(INDEX(Assessments!$H$2:$H$600,MATCH($H350&amp;"|"&amp;$I350&amp;"|"&amp;$J350&amp;"|"&amp;11,Assessments!$A$2:$A$600,0)),"")</f>
        <v/>
      </c>
      <c r="CF350" s="28" t="str">
        <f aca="false">IFERROR(INDEX(Assessments!$H$2:$H$600,MATCH($H350&amp;"|"&amp;$I350&amp;"|"&amp;$J350&amp;"|"&amp;12,Assessments!$A$2:$A$600,0)),"")</f>
        <v/>
      </c>
      <c r="CG350" s="28" t="str">
        <f aca="false">IFERROR(INDEX(Assessments!$H$2:$H$600,MATCH($H350&amp;"|"&amp;$I350&amp;"|"&amp;$J350&amp;"|"&amp;13,Assessments!$A$2:$A$600,0)),"")</f>
        <v/>
      </c>
      <c r="CH350" s="28" t="str">
        <f aca="false">IFERROR(INDEX(Assessments!$H$2:$H$600,MATCH($H350&amp;"|"&amp;$I350&amp;"|"&amp;$J350&amp;"|"&amp;14,Assessments!$A$2:$A$600,0)),"")</f>
        <v/>
      </c>
      <c r="CI350" s="28" t="str">
        <f aca="false">IFERROR(INDEX(Assessments!$I$2:$I$600,MATCH($H350&amp;"|"&amp;$I350&amp;"|"&amp;$J350&amp;"|"&amp;1,Assessments!$A$2:$A$600,0)),"")</f>
        <v>BM Test</v>
      </c>
      <c r="CJ350" s="28" t="str">
        <f aca="false">IFERROR(INDEX(Assessments!$I$2:$I$600,MATCH($H350&amp;"|"&amp;$I350&amp;"|"&amp;$J350&amp;"|"&amp;2,Assessments!$A$2:$A$600,0)),"")</f>
        <v>BM Test</v>
      </c>
      <c r="CK350" s="28" t="str">
        <f aca="false">IFERROR(INDEX(Assessments!$I$2:$I$600,MATCH($H350&amp;"|"&amp;$I350&amp;"|"&amp;$J350&amp;"|"&amp;3,Assessments!$A$2:$A$600,0)),"")</f>
        <v>BM Test</v>
      </c>
      <c r="CL350" s="28" t="str">
        <f aca="false">IFERROR(INDEX(Assessments!$I$2:$I$600,MATCH($H350&amp;"|"&amp;$I350&amp;"|"&amp;$J350&amp;"|"&amp;4,Assessments!$A$2:$A$600,0)),"")</f>
        <v>BM Exam</v>
      </c>
      <c r="CM350" s="28" t="str">
        <f aca="false">IFERROR(INDEX(Assessments!$I$2:$I$600,MATCH($H350&amp;"|"&amp;$I350&amp;"|"&amp;$J350&amp;"|"&amp;5,Assessments!$A$2:$A$600,0)),"")</f>
        <v>BM Test</v>
      </c>
      <c r="CN350" s="28" t="str">
        <f aca="false">IFERROR(INDEX(Assessments!$I$2:$I$600,MATCH($H350&amp;"|"&amp;$I350&amp;"|"&amp;$J350&amp;"|"&amp;6,Assessments!$A$2:$A$600,0)),"")</f>
        <v>BM Test</v>
      </c>
      <c r="CO350" s="28" t="str">
        <f aca="false">IFERROR(INDEX(Assessments!$I$2:$I$600,MATCH($H350&amp;"|"&amp;$I350&amp;"|"&amp;$J350&amp;"|"&amp;7,Assessments!$A$2:$A$600,0)),"")</f>
        <v/>
      </c>
      <c r="CP350" s="28" t="str">
        <f aca="false">IFERROR(INDEX(Assessments!$I$2:$I$600,MATCH($H350&amp;"|"&amp;$I350&amp;"|"&amp;$J350&amp;"|"&amp;8,Assessments!$A$2:$A$600,0)),"")</f>
        <v/>
      </c>
      <c r="CQ350" s="28" t="str">
        <f aca="false">IFERROR(INDEX(Assessments!$I$2:$I$600,MATCH($H350&amp;"|"&amp;$I350&amp;"|"&amp;$J350&amp;"|"&amp;9,Assessments!$A$2:$A$600,0)),"")</f>
        <v/>
      </c>
      <c r="CR350" s="28" t="str">
        <f aca="false">IFERROR(INDEX(Assessments!$I$2:$I$600,MATCH($H350&amp;"|"&amp;$I350&amp;"|"&amp;$J350&amp;"|"&amp;10,Assessments!$A$2:$A$600,0)),"")</f>
        <v/>
      </c>
      <c r="CS350" s="28" t="str">
        <f aca="false">IFERROR(INDEX(Assessments!$I$2:$I$600,MATCH($H350&amp;"|"&amp;$I350&amp;"|"&amp;$J350&amp;"|"&amp;11,Assessments!$A$2:$A$600,0)),"")</f>
        <v/>
      </c>
      <c r="CT350" s="28" t="str">
        <f aca="false">IFERROR(INDEX(Assessments!$I$2:$I$600,MATCH($H350&amp;"|"&amp;$I350&amp;"|"&amp;$J350&amp;"|"&amp;12,Assessments!$A$2:$A$600,0)),"")</f>
        <v/>
      </c>
      <c r="CU350" s="28" t="str">
        <f aca="false">IFERROR(INDEX(Assessments!$I$2:$I$600,MATCH($H350&amp;"|"&amp;$I350&amp;"|"&amp;$J350&amp;"|"&amp;13,Assessments!$A$2:$A$600,0)),"")</f>
        <v/>
      </c>
      <c r="CV350" s="28" t="str">
        <f aca="false">IFERROR(INDEX(Assessments!$I$2:$I$600,MATCH($H350&amp;"|"&amp;$I350&amp;"|"&amp;$J350&amp;"|"&amp;14,Assessments!$A$2:$A$600,0)),"")</f>
        <v/>
      </c>
      <c r="CW350" s="28" t="n">
        <f aca="false">IFERROR(INDEX(Assessments!$J$2:$J$600,MATCH($H350&amp;"|"&amp;$I350&amp;"|"&amp;$J350&amp;"|"&amp;1,Assessments!$A$2:$A$600,0)),0)</f>
        <v>1</v>
      </c>
      <c r="CX350" s="28" t="n">
        <f aca="false">IFERROR(INDEX(Assessments!$J$2:$J$600,MATCH($H350&amp;"|"&amp;$I350&amp;"|"&amp;$J350&amp;"|"&amp;2,Assessments!$A$2:$A$600,0)),0)</f>
        <v>1</v>
      </c>
      <c r="CY350" s="28" t="n">
        <f aca="false">IFERROR(INDEX(Assessments!$J$2:$J$600,MATCH($H350&amp;"|"&amp;$I350&amp;"|"&amp;$J350&amp;"|"&amp;3,Assessments!$A$2:$A$600,0)),0)</f>
        <v>1</v>
      </c>
      <c r="CZ350" s="28" t="n">
        <f aca="false">IFERROR(INDEX(Assessments!$J$2:$J$600,MATCH($H350&amp;"|"&amp;$I350&amp;"|"&amp;$J350&amp;"|"&amp;4,Assessments!$A$2:$A$600,0)),0)</f>
        <v>2</v>
      </c>
      <c r="DA350" s="28" t="n">
        <f aca="false">IFERROR(INDEX(Assessments!$J$2:$J$600,MATCH($H350&amp;"|"&amp;$I350&amp;"|"&amp;$J350&amp;"|"&amp;5,Assessments!$A$2:$A$600,0)),0)</f>
        <v>1</v>
      </c>
      <c r="DB350" s="28" t="n">
        <f aca="false">IFERROR(INDEX(Assessments!$J$2:$J$600,MATCH($H350&amp;"|"&amp;$I350&amp;"|"&amp;$J350&amp;"|"&amp;6,Assessments!$A$2:$A$600,0)),0)</f>
        <v>1</v>
      </c>
      <c r="DC350" s="28" t="n">
        <f aca="false">IFERROR(INDEX(Assessments!$J$2:$J$600,MATCH($H350&amp;"|"&amp;$I350&amp;"|"&amp;$J350&amp;"|"&amp;7,Assessments!$A$2:$A$600,0)),0)</f>
        <v>0</v>
      </c>
      <c r="DD350" s="28" t="n">
        <f aca="false">IFERROR(INDEX(Assessments!$J$2:$J$600,MATCH($H350&amp;"|"&amp;$I350&amp;"|"&amp;$J350&amp;"|"&amp;8,Assessments!$A$2:$A$600,0)),0)</f>
        <v>0</v>
      </c>
      <c r="DE350" s="28" t="n">
        <f aca="false">IFERROR(INDEX(Assessments!$J$2:$J$600,MATCH($H350&amp;"|"&amp;$I350&amp;"|"&amp;$J350&amp;"|"&amp;9,Assessments!$A$2:$A$600,0)),0)</f>
        <v>0</v>
      </c>
      <c r="DF350" s="28" t="n">
        <f aca="false">IFERROR(INDEX(Assessments!$J$2:$J$600,MATCH($H350&amp;"|"&amp;$I350&amp;"|"&amp;$J350&amp;"|"&amp;10,Assessments!$A$2:$A$600,0)),0)</f>
        <v>0</v>
      </c>
      <c r="DG350" s="28" t="n">
        <f aca="false">IFERROR(INDEX(Assessments!$J$2:$J$600,MATCH($H350&amp;"|"&amp;$I350&amp;"|"&amp;$J350&amp;"|"&amp;11,Assessments!$A$2:$A$600,0)),0)</f>
        <v>0</v>
      </c>
      <c r="DH350" s="28" t="n">
        <f aca="false">IFERROR(INDEX(Assessments!$J$2:$J$600,MATCH($H350&amp;"|"&amp;$I350&amp;"|"&amp;$J350&amp;"|"&amp;12,Assessments!$A$2:$A$600,0)),0)</f>
        <v>0</v>
      </c>
      <c r="DI350" s="28" t="n">
        <f aca="false">IFERROR(INDEX(Assessments!$J$2:$J$600,MATCH($H350&amp;"|"&amp;$I350&amp;"|"&amp;$J350&amp;"|"&amp;13,Assessments!$A$2:$A$600,0)),0)</f>
        <v>0</v>
      </c>
      <c r="DJ350" s="28" t="n">
        <f aca="false">IFERROR(INDEX(Assessments!$J$2:$J$600,MATCH($H350&amp;"|"&amp;$I350&amp;"|"&amp;$J350&amp;"|"&amp;14,Assessments!$A$2:$A$600,0)),0)</f>
        <v>0</v>
      </c>
      <c r="DK350" s="28" t="str">
        <f aca="false">S350</f>
        <v/>
      </c>
      <c r="DL350" s="28" t="str">
        <f aca="false">W350</f>
        <v/>
      </c>
      <c r="DM350" s="28" t="str">
        <f aca="false">AA350</f>
        <v/>
      </c>
      <c r="DN350" s="28" t="str">
        <f aca="false">AE350</f>
        <v/>
      </c>
      <c r="DO350" s="28" t="str">
        <f aca="false">AI350</f>
        <v/>
      </c>
      <c r="DP350" s="28" t="str">
        <f aca="false">AM350</f>
        <v/>
      </c>
      <c r="DQ350" s="28" t="str">
        <f aca="false">AQ350</f>
        <v/>
      </c>
      <c r="DR350" s="28" t="str">
        <f aca="false">AU350</f>
        <v/>
      </c>
      <c r="DS350" s="28" t="str">
        <f aca="false">AY350</f>
        <v/>
      </c>
      <c r="DT350" s="28" t="str">
        <f aca="false">BC350</f>
        <v/>
      </c>
      <c r="DU350" s="28" t="str">
        <f aca="false">BG350</f>
        <v/>
      </c>
      <c r="DV350" s="28" t="str">
        <f aca="false">BK350</f>
        <v/>
      </c>
      <c r="DW350" s="28" t="str">
        <f aca="false">BO350</f>
        <v/>
      </c>
      <c r="DX350" s="28" t="str">
        <f aca="false">BS350</f>
        <v/>
      </c>
      <c r="DY350" s="28" t="str">
        <f aca="false">IF(ISNUMBER(S350),1,"")</f>
        <v/>
      </c>
      <c r="DZ350" s="28" t="str">
        <f aca="false">IF(ISNUMBER(W350),2,"")</f>
        <v/>
      </c>
      <c r="EA350" s="28" t="str">
        <f aca="false">IF(ISNUMBER(AA350),3,"")</f>
        <v/>
      </c>
      <c r="EB350" s="28" t="str">
        <f aca="false">IF(ISNUMBER(AE350),4,"")</f>
        <v/>
      </c>
      <c r="EC350" s="28" t="str">
        <f aca="false">IF(ISNUMBER(AI350),5,"")</f>
        <v/>
      </c>
      <c r="ED350" s="28" t="str">
        <f aca="false">IF(ISNUMBER(AM350),6,"")</f>
        <v/>
      </c>
      <c r="EE350" s="28" t="str">
        <f aca="false">IF(ISNUMBER(AQ350),7,"")</f>
        <v/>
      </c>
      <c r="EF350" s="28" t="str">
        <f aca="false">IF(ISNUMBER(AU350),8,"")</f>
        <v/>
      </c>
      <c r="EG350" s="28" t="str">
        <f aca="false">IF(ISNUMBER(AY350),9,"")</f>
        <v/>
      </c>
      <c r="EH350" s="28" t="str">
        <f aca="false">IF(ISNUMBER(BC350),10,"")</f>
        <v/>
      </c>
      <c r="EI350" s="28" t="str">
        <f aca="false">IF(ISNUMBER(BG350),11,"")</f>
        <v/>
      </c>
      <c r="EJ350" s="28" t="str">
        <f aca="false">IF(ISNUMBER(BK350),12,"")</f>
        <v/>
      </c>
      <c r="EK350" s="28" t="str">
        <f aca="false">IF(ISNUMBER(BO350),13,"")</f>
        <v/>
      </c>
      <c r="EL350" s="28" t="str">
        <f aca="false">IF(ISNUMBER(BS350),14,"")</f>
        <v/>
      </c>
      <c r="EM350" s="28" t="n">
        <f aca="false">IF(ISNUMBER(R350),R350*CW350,0)</f>
        <v>0</v>
      </c>
      <c r="EN350" s="28" t="n">
        <f aca="false">IF(ISNUMBER(V350),V350*CX350,0)</f>
        <v>0</v>
      </c>
      <c r="EO350" s="28" t="n">
        <f aca="false">IF(ISNUMBER(Z350),Z350*CY350,0)</f>
        <v>0</v>
      </c>
      <c r="EP350" s="28" t="n">
        <f aca="false">IF(ISNUMBER(AD350),AD350*CZ350,0)</f>
        <v>0</v>
      </c>
      <c r="EQ350" s="28" t="n">
        <f aca="false">IF(ISNUMBER(AH350),AH350*DA350,0)</f>
        <v>0</v>
      </c>
      <c r="ER350" s="28" t="n">
        <f aca="false">IF(ISNUMBER(AL350),AL350*DB350,0)</f>
        <v>0</v>
      </c>
      <c r="ES350" s="28" t="n">
        <f aca="false">IF(ISNUMBER(AP350),AP350*DC350,0)</f>
        <v>0</v>
      </c>
      <c r="ET350" s="28" t="n">
        <f aca="false">IF(ISNUMBER(AT350),AT350*DD350,0)</f>
        <v>0</v>
      </c>
      <c r="EU350" s="28" t="n">
        <f aca="false">IF(ISNUMBER(AX350),AX350*DE350,0)</f>
        <v>0</v>
      </c>
      <c r="EV350" s="28" t="n">
        <f aca="false">IF(ISNUMBER(BB350),BB350*DF350,0)</f>
        <v>0</v>
      </c>
      <c r="EW350" s="28" t="n">
        <f aca="false">IF(ISNUMBER(BF350),BF350*DG350,0)</f>
        <v>0</v>
      </c>
      <c r="EX350" s="28" t="n">
        <f aca="false">IF(ISNUMBER(BJ350),BJ350*DH350,0)</f>
        <v>0</v>
      </c>
      <c r="EY350" s="28" t="n">
        <f aca="false">IF(ISNUMBER(BN350),BN350*DI350,0)</f>
        <v>0</v>
      </c>
      <c r="EZ350" s="28" t="n">
        <f aca="false">IF(ISNUMBER(BR350),BR350*DJ350,0)</f>
        <v>0</v>
      </c>
      <c r="FA350" s="28" t="n">
        <f aca="false">IF(ISNUMBER(R350),CW350,0)</f>
        <v>0</v>
      </c>
      <c r="FB350" s="28" t="n">
        <f aca="false">IF(ISNUMBER(V350),CX350,0)</f>
        <v>0</v>
      </c>
      <c r="FC350" s="28" t="n">
        <f aca="false">IF(ISNUMBER(Z350),CY350,0)</f>
        <v>0</v>
      </c>
      <c r="FD350" s="28" t="n">
        <f aca="false">IF(ISNUMBER(AD350),CZ350,0)</f>
        <v>0</v>
      </c>
      <c r="FE350" s="28" t="n">
        <f aca="false">IF(ISNUMBER(AH350),DA350,0)</f>
        <v>0</v>
      </c>
      <c r="FF350" s="28" t="n">
        <f aca="false">IF(ISNUMBER(AL350),DB350,0)</f>
        <v>0</v>
      </c>
      <c r="FG350" s="28" t="n">
        <f aca="false">IF(ISNUMBER(AP350),DC350,0)</f>
        <v>0</v>
      </c>
      <c r="FH350" s="28" t="n">
        <f aca="false">IF(ISNUMBER(AT350),DD350,0)</f>
        <v>0</v>
      </c>
      <c r="FI350" s="28" t="n">
        <f aca="false">IF(ISNUMBER(AX350),DE350,0)</f>
        <v>0</v>
      </c>
      <c r="FJ350" s="28" t="n">
        <f aca="false">IF(ISNUMBER(BB350),DF350,0)</f>
        <v>0</v>
      </c>
      <c r="FK350" s="28" t="n">
        <f aca="false">IF(ISNUMBER(BF350),DG350,0)</f>
        <v>0</v>
      </c>
      <c r="FL350" s="28" t="n">
        <f aca="false">IF(ISNUMBER(BJ350),DH350,0)</f>
        <v>0</v>
      </c>
      <c r="FM350" s="28" t="n">
        <f aca="false">IF(ISNUMBER(BN350),DI350,0)</f>
        <v>0</v>
      </c>
      <c r="FN350" s="28" t="n">
        <f aca="false">IF(ISNUMBER(BR350),DJ350,0)</f>
        <v>0</v>
      </c>
      <c r="FO350" s="28" t="str">
        <f aca="false">IFERROR(INDEX(Lists!$G$2:$G$20,MATCH($I350&amp;"|"&amp;$J350,Lists!$F$2:$F$20,0)),"")</f>
        <v>BM Exam</v>
      </c>
    </row>
    <row r="351" customFormat="false" ht="19.5" hidden="false" customHeight="true" outlineLevel="0" collapsed="false">
      <c r="A351" s="29" t="s">
        <v>653</v>
      </c>
      <c r="B351" s="29" t="s">
        <v>654</v>
      </c>
      <c r="C351" s="30" t="s">
        <v>152</v>
      </c>
      <c r="D351" s="30" t="s">
        <v>625</v>
      </c>
      <c r="E351" s="31"/>
      <c r="F351" s="30"/>
      <c r="G351" s="30"/>
      <c r="H351" s="32" t="s">
        <v>428</v>
      </c>
      <c r="I351" s="33" t="s">
        <v>365</v>
      </c>
      <c r="J351" s="32" t="s">
        <v>223</v>
      </c>
      <c r="K351" s="34" t="str">
        <f aca="false">IF(OR(M351="",$E351=""),"",M351-$E351)</f>
        <v/>
      </c>
      <c r="L351" s="35" t="str">
        <f aca="false">IF(SUM(FA351:FN351)=0,"",SUM(EM351:EZ351)/SUM(FA351:FN351))</f>
        <v/>
      </c>
      <c r="M351" s="36" t="str">
        <f aca="false">IF(OR(L351="",FO351=""),"",IFERROR(MATCH(L351,INDEX(Boundaries!$B$2:$I$30,MATCH(FO351,Boundaries!$A$2:$A$30,0),0),1)-1,""))</f>
        <v/>
      </c>
      <c r="N351" s="37" t="str">
        <f aca="false">IF(COUNT($DY351:$EL351)&lt;2,"",INDEX($DK351:$DX351,MAX($DY351:$EL351))-INDEX($DK351:$DX351,MIN($DY351:$EL351)))</f>
        <v/>
      </c>
      <c r="O351" s="37" t="str">
        <f aca="false">IF(COUNT($DY351:$EL351)&lt;2,"",INDEX($DK351:$DX351,MAX($DY351:$EL351))-INDEX($DK351:$DX351,LARGE($DY351:$EL351,2)))</f>
        <v/>
      </c>
      <c r="P351" s="38" t="str">
        <f aca="false">IF(K351="","",IF(K351&gt;=0,"On/above target",IF(AND(N351&lt;&gt;"",N351&gt;=0.5),"Improving towards target",IF(AND(O351&lt;&gt;"",O351&lt;=-0.5),"Declining","Stable below target"))))</f>
        <v/>
      </c>
      <c r="Q351" s="39"/>
      <c r="R351" s="40" t="str">
        <f aca="false">IF(OR(Q351="",BU351=""),"",Q351/BU351*100)</f>
        <v/>
      </c>
      <c r="S351" s="41" t="str">
        <f aca="false">IF(R351="","",IFERROR(MATCH(R351,INDEX(Boundaries!$B$2:$I$30,MATCH(CI351,Boundaries!$A$2:$A$30,0),0),1)-1,""))</f>
        <v/>
      </c>
      <c r="T351" s="42" t="str">
        <f aca="false">IF(OR(S351="",$E351=""),"",S351-$E351)</f>
        <v/>
      </c>
      <c r="U351" s="39"/>
      <c r="V351" s="40" t="str">
        <f aca="false">IF(OR(U351="",BV351=""),"",U351/BV351*100)</f>
        <v/>
      </c>
      <c r="W351" s="41" t="str">
        <f aca="false">IF(V351="","",IFERROR(MATCH(V351,INDEX(Boundaries!$B$2:$I$30,MATCH(CJ351,Boundaries!$A$2:$A$30,0),0),1)-1,""))</f>
        <v/>
      </c>
      <c r="X351" s="42" t="str">
        <f aca="false">IF(OR(W351="",$E351=""),"",W351-$E351)</f>
        <v/>
      </c>
      <c r="Y351" s="39"/>
      <c r="Z351" s="40" t="str">
        <f aca="false">IF(OR(Y351="",BW351=""),"",Y351/BW351*100)</f>
        <v/>
      </c>
      <c r="AA351" s="41" t="str">
        <f aca="false">IF(Z351="","",IFERROR(MATCH(Z351,INDEX(Boundaries!$B$2:$I$30,MATCH(CK351,Boundaries!$A$2:$A$30,0),0),1)-1,""))</f>
        <v/>
      </c>
      <c r="AB351" s="42" t="str">
        <f aca="false">IF(OR(AA351="",$E351=""),"",AA351-$E351)</f>
        <v/>
      </c>
      <c r="AC351" s="39"/>
      <c r="AD351" s="40" t="str">
        <f aca="false">IF(OR(AC351="",BX351=""),"",AC351/BX351*100)</f>
        <v/>
      </c>
      <c r="AE351" s="41" t="str">
        <f aca="false">IF(AD351="","",IFERROR(MATCH(AD351,INDEX(Boundaries!$B$2:$I$30,MATCH(CL351,Boundaries!$A$2:$A$30,0),0),1)-1,""))</f>
        <v/>
      </c>
      <c r="AF351" s="42" t="str">
        <f aca="false">IF(OR(AE351="",$E351=""),"",AE351-$E351)</f>
        <v/>
      </c>
      <c r="AG351" s="39"/>
      <c r="AH351" s="40" t="str">
        <f aca="false">IF(OR(AG351="",BY351=""),"",AG351/BY351*100)</f>
        <v/>
      </c>
      <c r="AI351" s="41" t="str">
        <f aca="false">IF(AH351="","",IFERROR(MATCH(AH351,INDEX(Boundaries!$B$2:$I$30,MATCH(CM351,Boundaries!$A$2:$A$30,0),0),1)-1,""))</f>
        <v/>
      </c>
      <c r="AJ351" s="42" t="str">
        <f aca="false">IF(OR(AI351="",$E351=""),"",AI351-$E351)</f>
        <v/>
      </c>
      <c r="AK351" s="39"/>
      <c r="AL351" s="40" t="str">
        <f aca="false">IF(OR(AK351="",BZ351=""),"",AK351/BZ351*100)</f>
        <v/>
      </c>
      <c r="AM351" s="41" t="str">
        <f aca="false">IF(AL351="","",IFERROR(MATCH(AL351,INDEX(Boundaries!$B$2:$I$30,MATCH(CN351,Boundaries!$A$2:$A$30,0),0),1)-1,""))</f>
        <v/>
      </c>
      <c r="AN351" s="42" t="str">
        <f aca="false">IF(OR(AM351="",$E351=""),"",AM351-$E351)</f>
        <v/>
      </c>
      <c r="AO351" s="39"/>
      <c r="AP351" s="40" t="str">
        <f aca="false">IF(OR(AO351="",CA351=""),"",AO351/CA351*100)</f>
        <v/>
      </c>
      <c r="AQ351" s="41" t="str">
        <f aca="false">IF(AP351="","",IFERROR(MATCH(AP351,INDEX(Boundaries!$B$2:$I$30,MATCH(CO351,Boundaries!$A$2:$A$30,0),0),1)-1,""))</f>
        <v/>
      </c>
      <c r="AR351" s="42" t="str">
        <f aca="false">IF(OR(AQ351="",$E351=""),"",AQ351-$E351)</f>
        <v/>
      </c>
      <c r="AS351" s="39"/>
      <c r="AT351" s="40" t="str">
        <f aca="false">IF(OR(AS351="",CB351=""),"",AS351/CB351*100)</f>
        <v/>
      </c>
      <c r="AU351" s="41" t="str">
        <f aca="false">IF(AT351="","",IFERROR(MATCH(AT351,INDEX(Boundaries!$B$2:$I$30,MATCH(CP351,Boundaries!$A$2:$A$30,0),0),1)-1,""))</f>
        <v/>
      </c>
      <c r="AV351" s="42" t="str">
        <f aca="false">IF(OR(AU351="",$E351=""),"",AU351-$E351)</f>
        <v/>
      </c>
      <c r="AW351" s="39"/>
      <c r="AX351" s="40" t="str">
        <f aca="false">IF(OR(AW351="",CC351=""),"",AW351/CC351*100)</f>
        <v/>
      </c>
      <c r="AY351" s="41" t="str">
        <f aca="false">IF(AX351="","",IFERROR(MATCH(AX351,INDEX(Boundaries!$B$2:$I$30,MATCH(CQ351,Boundaries!$A$2:$A$30,0),0),1)-1,""))</f>
        <v/>
      </c>
      <c r="AZ351" s="42" t="str">
        <f aca="false">IF(OR(AY351="",$E351=""),"",AY351-$E351)</f>
        <v/>
      </c>
      <c r="BA351" s="39"/>
      <c r="BB351" s="40" t="str">
        <f aca="false">IF(OR(BA351="",CD351=""),"",BA351/CD351*100)</f>
        <v/>
      </c>
      <c r="BC351" s="41" t="str">
        <f aca="false">IF(BB351="","",IFERROR(MATCH(BB351,INDEX(Boundaries!$B$2:$I$30,MATCH(CR351,Boundaries!$A$2:$A$30,0),0),1)-1,""))</f>
        <v/>
      </c>
      <c r="BD351" s="42" t="str">
        <f aca="false">IF(OR(BC351="",$E351=""),"",BC351-$E351)</f>
        <v/>
      </c>
      <c r="BE351" s="39"/>
      <c r="BF351" s="40" t="str">
        <f aca="false">IF(OR(BE351="",CE351=""),"",BE351/CE351*100)</f>
        <v/>
      </c>
      <c r="BG351" s="41" t="str">
        <f aca="false">IF(BF351="","",IFERROR(MATCH(BF351,INDEX(Boundaries!$B$2:$I$30,MATCH(CS351,Boundaries!$A$2:$A$30,0),0),1)-1,""))</f>
        <v/>
      </c>
      <c r="BH351" s="42" t="str">
        <f aca="false">IF(OR(BG351="",$E351=""),"",BG351-$E351)</f>
        <v/>
      </c>
      <c r="BI351" s="39"/>
      <c r="BJ351" s="40" t="str">
        <f aca="false">IF(OR(BI351="",CF351=""),"",BI351/CF351*100)</f>
        <v/>
      </c>
      <c r="BK351" s="41" t="str">
        <f aca="false">IF(BJ351="","",IFERROR(MATCH(BJ351,INDEX(Boundaries!$B$2:$I$30,MATCH(CT351,Boundaries!$A$2:$A$30,0),0),1)-1,""))</f>
        <v/>
      </c>
      <c r="BL351" s="42" t="str">
        <f aca="false">IF(OR(BK351="",$E351=""),"",BK351-$E351)</f>
        <v/>
      </c>
      <c r="BM351" s="39"/>
      <c r="BN351" s="40" t="str">
        <f aca="false">IF(OR(BM351="",CG351=""),"",BM351/CG351*100)</f>
        <v/>
      </c>
      <c r="BO351" s="41" t="str">
        <f aca="false">IF(BN351="","",IFERROR(MATCH(BN351,INDEX(Boundaries!$B$2:$I$30,MATCH(CU351,Boundaries!$A$2:$A$30,0),0),1)-1,""))</f>
        <v/>
      </c>
      <c r="BP351" s="42" t="str">
        <f aca="false">IF(OR(BO351="",$E351=""),"",BO351-$E351)</f>
        <v/>
      </c>
      <c r="BQ351" s="39"/>
      <c r="BR351" s="40" t="str">
        <f aca="false">IF(OR(BQ351="",CH351=""),"",BQ351/CH351*100)</f>
        <v/>
      </c>
      <c r="BS351" s="41" t="str">
        <f aca="false">IF(BR351="","",IFERROR(MATCH(BR351,INDEX(Boundaries!$B$2:$I$30,MATCH(CV351,Boundaries!$A$2:$A$30,0),0),1)-1,""))</f>
        <v/>
      </c>
      <c r="BT351" s="42" t="str">
        <f aca="false">IF(OR(BS351="",$E351=""),"",BS351-$E351)</f>
        <v/>
      </c>
      <c r="BU351" s="28" t="n">
        <f aca="false">IFERROR(INDEX(Assessments!$H$2:$H$600,MATCH($H351&amp;"|"&amp;$I351&amp;"|"&amp;$J351&amp;"|"&amp;1,Assessments!$A$2:$A$600,0)),"")</f>
        <v>24</v>
      </c>
      <c r="BV351" s="28" t="n">
        <f aca="false">IFERROR(INDEX(Assessments!$H$2:$H$600,MATCH($H351&amp;"|"&amp;$I351&amp;"|"&amp;$J351&amp;"|"&amp;2,Assessments!$A$2:$A$600,0)),"")</f>
        <v>20</v>
      </c>
      <c r="BW351" s="28" t="n">
        <f aca="false">IFERROR(INDEX(Assessments!$H$2:$H$600,MATCH($H351&amp;"|"&amp;$I351&amp;"|"&amp;$J351&amp;"|"&amp;3,Assessments!$A$2:$A$600,0)),"")</f>
        <v>24</v>
      </c>
      <c r="BX351" s="28" t="n">
        <f aca="false">IFERROR(INDEX(Assessments!$H$2:$H$600,MATCH($H351&amp;"|"&amp;$I351&amp;"|"&amp;$J351&amp;"|"&amp;4,Assessments!$A$2:$A$600,0)),"")</f>
        <v>40</v>
      </c>
      <c r="BY351" s="28" t="n">
        <f aca="false">IFERROR(INDEX(Assessments!$H$2:$H$600,MATCH($H351&amp;"|"&amp;$I351&amp;"|"&amp;$J351&amp;"|"&amp;5,Assessments!$A$2:$A$600,0)),"")</f>
        <v>30</v>
      </c>
      <c r="BZ351" s="28" t="n">
        <f aca="false">IFERROR(INDEX(Assessments!$H$2:$H$600,MATCH($H351&amp;"|"&amp;$I351&amp;"|"&amp;$J351&amp;"|"&amp;6,Assessments!$A$2:$A$600,0)),"")</f>
        <v>20</v>
      </c>
      <c r="CA351" s="28" t="str">
        <f aca="false">IFERROR(INDEX(Assessments!$H$2:$H$600,MATCH($H351&amp;"|"&amp;$I351&amp;"|"&amp;$J351&amp;"|"&amp;7,Assessments!$A$2:$A$600,0)),"")</f>
        <v/>
      </c>
      <c r="CB351" s="28" t="str">
        <f aca="false">IFERROR(INDEX(Assessments!$H$2:$H$600,MATCH($H351&amp;"|"&amp;$I351&amp;"|"&amp;$J351&amp;"|"&amp;8,Assessments!$A$2:$A$600,0)),"")</f>
        <v/>
      </c>
      <c r="CC351" s="28" t="str">
        <f aca="false">IFERROR(INDEX(Assessments!$H$2:$H$600,MATCH($H351&amp;"|"&amp;$I351&amp;"|"&amp;$J351&amp;"|"&amp;9,Assessments!$A$2:$A$600,0)),"")</f>
        <v/>
      </c>
      <c r="CD351" s="28" t="str">
        <f aca="false">IFERROR(INDEX(Assessments!$H$2:$H$600,MATCH($H351&amp;"|"&amp;$I351&amp;"|"&amp;$J351&amp;"|"&amp;10,Assessments!$A$2:$A$600,0)),"")</f>
        <v/>
      </c>
      <c r="CE351" s="28" t="str">
        <f aca="false">IFERROR(INDEX(Assessments!$H$2:$H$600,MATCH($H351&amp;"|"&amp;$I351&amp;"|"&amp;$J351&amp;"|"&amp;11,Assessments!$A$2:$A$600,0)),"")</f>
        <v/>
      </c>
      <c r="CF351" s="28" t="str">
        <f aca="false">IFERROR(INDEX(Assessments!$H$2:$H$600,MATCH($H351&amp;"|"&amp;$I351&amp;"|"&amp;$J351&amp;"|"&amp;12,Assessments!$A$2:$A$600,0)),"")</f>
        <v/>
      </c>
      <c r="CG351" s="28" t="str">
        <f aca="false">IFERROR(INDEX(Assessments!$H$2:$H$600,MATCH($H351&amp;"|"&amp;$I351&amp;"|"&amp;$J351&amp;"|"&amp;13,Assessments!$A$2:$A$600,0)),"")</f>
        <v/>
      </c>
      <c r="CH351" s="28" t="str">
        <f aca="false">IFERROR(INDEX(Assessments!$H$2:$H$600,MATCH($H351&amp;"|"&amp;$I351&amp;"|"&amp;$J351&amp;"|"&amp;14,Assessments!$A$2:$A$600,0)),"")</f>
        <v/>
      </c>
      <c r="CI351" s="28" t="str">
        <f aca="false">IFERROR(INDEX(Assessments!$I$2:$I$600,MATCH($H351&amp;"|"&amp;$I351&amp;"|"&amp;$J351&amp;"|"&amp;1,Assessments!$A$2:$A$600,0)),"")</f>
        <v>BM Test</v>
      </c>
      <c r="CJ351" s="28" t="str">
        <f aca="false">IFERROR(INDEX(Assessments!$I$2:$I$600,MATCH($H351&amp;"|"&amp;$I351&amp;"|"&amp;$J351&amp;"|"&amp;2,Assessments!$A$2:$A$600,0)),"")</f>
        <v>BM Test</v>
      </c>
      <c r="CK351" s="28" t="str">
        <f aca="false">IFERROR(INDEX(Assessments!$I$2:$I$600,MATCH($H351&amp;"|"&amp;$I351&amp;"|"&amp;$J351&amp;"|"&amp;3,Assessments!$A$2:$A$600,0)),"")</f>
        <v>BM Test</v>
      </c>
      <c r="CL351" s="28" t="str">
        <f aca="false">IFERROR(INDEX(Assessments!$I$2:$I$600,MATCH($H351&amp;"|"&amp;$I351&amp;"|"&amp;$J351&amp;"|"&amp;4,Assessments!$A$2:$A$600,0)),"")</f>
        <v>BM Exam</v>
      </c>
      <c r="CM351" s="28" t="str">
        <f aca="false">IFERROR(INDEX(Assessments!$I$2:$I$600,MATCH($H351&amp;"|"&amp;$I351&amp;"|"&amp;$J351&amp;"|"&amp;5,Assessments!$A$2:$A$600,0)),"")</f>
        <v>BM Test</v>
      </c>
      <c r="CN351" s="28" t="str">
        <f aca="false">IFERROR(INDEX(Assessments!$I$2:$I$600,MATCH($H351&amp;"|"&amp;$I351&amp;"|"&amp;$J351&amp;"|"&amp;6,Assessments!$A$2:$A$600,0)),"")</f>
        <v>BM Test</v>
      </c>
      <c r="CO351" s="28" t="str">
        <f aca="false">IFERROR(INDEX(Assessments!$I$2:$I$600,MATCH($H351&amp;"|"&amp;$I351&amp;"|"&amp;$J351&amp;"|"&amp;7,Assessments!$A$2:$A$600,0)),"")</f>
        <v/>
      </c>
      <c r="CP351" s="28" t="str">
        <f aca="false">IFERROR(INDEX(Assessments!$I$2:$I$600,MATCH($H351&amp;"|"&amp;$I351&amp;"|"&amp;$J351&amp;"|"&amp;8,Assessments!$A$2:$A$600,0)),"")</f>
        <v/>
      </c>
      <c r="CQ351" s="28" t="str">
        <f aca="false">IFERROR(INDEX(Assessments!$I$2:$I$600,MATCH($H351&amp;"|"&amp;$I351&amp;"|"&amp;$J351&amp;"|"&amp;9,Assessments!$A$2:$A$600,0)),"")</f>
        <v/>
      </c>
      <c r="CR351" s="28" t="str">
        <f aca="false">IFERROR(INDEX(Assessments!$I$2:$I$600,MATCH($H351&amp;"|"&amp;$I351&amp;"|"&amp;$J351&amp;"|"&amp;10,Assessments!$A$2:$A$600,0)),"")</f>
        <v/>
      </c>
      <c r="CS351" s="28" t="str">
        <f aca="false">IFERROR(INDEX(Assessments!$I$2:$I$600,MATCH($H351&amp;"|"&amp;$I351&amp;"|"&amp;$J351&amp;"|"&amp;11,Assessments!$A$2:$A$600,0)),"")</f>
        <v/>
      </c>
      <c r="CT351" s="28" t="str">
        <f aca="false">IFERROR(INDEX(Assessments!$I$2:$I$600,MATCH($H351&amp;"|"&amp;$I351&amp;"|"&amp;$J351&amp;"|"&amp;12,Assessments!$A$2:$A$600,0)),"")</f>
        <v/>
      </c>
      <c r="CU351" s="28" t="str">
        <f aca="false">IFERROR(INDEX(Assessments!$I$2:$I$600,MATCH($H351&amp;"|"&amp;$I351&amp;"|"&amp;$J351&amp;"|"&amp;13,Assessments!$A$2:$A$600,0)),"")</f>
        <v/>
      </c>
      <c r="CV351" s="28" t="str">
        <f aca="false">IFERROR(INDEX(Assessments!$I$2:$I$600,MATCH($H351&amp;"|"&amp;$I351&amp;"|"&amp;$J351&amp;"|"&amp;14,Assessments!$A$2:$A$600,0)),"")</f>
        <v/>
      </c>
      <c r="CW351" s="28" t="n">
        <f aca="false">IFERROR(INDEX(Assessments!$J$2:$J$600,MATCH($H351&amp;"|"&amp;$I351&amp;"|"&amp;$J351&amp;"|"&amp;1,Assessments!$A$2:$A$600,0)),0)</f>
        <v>1</v>
      </c>
      <c r="CX351" s="28" t="n">
        <f aca="false">IFERROR(INDEX(Assessments!$J$2:$J$600,MATCH($H351&amp;"|"&amp;$I351&amp;"|"&amp;$J351&amp;"|"&amp;2,Assessments!$A$2:$A$600,0)),0)</f>
        <v>1</v>
      </c>
      <c r="CY351" s="28" t="n">
        <f aca="false">IFERROR(INDEX(Assessments!$J$2:$J$600,MATCH($H351&amp;"|"&amp;$I351&amp;"|"&amp;$J351&amp;"|"&amp;3,Assessments!$A$2:$A$600,0)),0)</f>
        <v>1</v>
      </c>
      <c r="CZ351" s="28" t="n">
        <f aca="false">IFERROR(INDEX(Assessments!$J$2:$J$600,MATCH($H351&amp;"|"&amp;$I351&amp;"|"&amp;$J351&amp;"|"&amp;4,Assessments!$A$2:$A$600,0)),0)</f>
        <v>2</v>
      </c>
      <c r="DA351" s="28" t="n">
        <f aca="false">IFERROR(INDEX(Assessments!$J$2:$J$600,MATCH($H351&amp;"|"&amp;$I351&amp;"|"&amp;$J351&amp;"|"&amp;5,Assessments!$A$2:$A$600,0)),0)</f>
        <v>1</v>
      </c>
      <c r="DB351" s="28" t="n">
        <f aca="false">IFERROR(INDEX(Assessments!$J$2:$J$600,MATCH($H351&amp;"|"&amp;$I351&amp;"|"&amp;$J351&amp;"|"&amp;6,Assessments!$A$2:$A$600,0)),0)</f>
        <v>1</v>
      </c>
      <c r="DC351" s="28" t="n">
        <f aca="false">IFERROR(INDEX(Assessments!$J$2:$J$600,MATCH($H351&amp;"|"&amp;$I351&amp;"|"&amp;$J351&amp;"|"&amp;7,Assessments!$A$2:$A$600,0)),0)</f>
        <v>0</v>
      </c>
      <c r="DD351" s="28" t="n">
        <f aca="false">IFERROR(INDEX(Assessments!$J$2:$J$600,MATCH($H351&amp;"|"&amp;$I351&amp;"|"&amp;$J351&amp;"|"&amp;8,Assessments!$A$2:$A$600,0)),0)</f>
        <v>0</v>
      </c>
      <c r="DE351" s="28" t="n">
        <f aca="false">IFERROR(INDEX(Assessments!$J$2:$J$600,MATCH($H351&amp;"|"&amp;$I351&amp;"|"&amp;$J351&amp;"|"&amp;9,Assessments!$A$2:$A$600,0)),0)</f>
        <v>0</v>
      </c>
      <c r="DF351" s="28" t="n">
        <f aca="false">IFERROR(INDEX(Assessments!$J$2:$J$600,MATCH($H351&amp;"|"&amp;$I351&amp;"|"&amp;$J351&amp;"|"&amp;10,Assessments!$A$2:$A$600,0)),0)</f>
        <v>0</v>
      </c>
      <c r="DG351" s="28" t="n">
        <f aca="false">IFERROR(INDEX(Assessments!$J$2:$J$600,MATCH($H351&amp;"|"&amp;$I351&amp;"|"&amp;$J351&amp;"|"&amp;11,Assessments!$A$2:$A$600,0)),0)</f>
        <v>0</v>
      </c>
      <c r="DH351" s="28" t="n">
        <f aca="false">IFERROR(INDEX(Assessments!$J$2:$J$600,MATCH($H351&amp;"|"&amp;$I351&amp;"|"&amp;$J351&amp;"|"&amp;12,Assessments!$A$2:$A$600,0)),0)</f>
        <v>0</v>
      </c>
      <c r="DI351" s="28" t="n">
        <f aca="false">IFERROR(INDEX(Assessments!$J$2:$J$600,MATCH($H351&amp;"|"&amp;$I351&amp;"|"&amp;$J351&amp;"|"&amp;13,Assessments!$A$2:$A$600,0)),0)</f>
        <v>0</v>
      </c>
      <c r="DJ351" s="28" t="n">
        <f aca="false">IFERROR(INDEX(Assessments!$J$2:$J$600,MATCH($H351&amp;"|"&amp;$I351&amp;"|"&amp;$J351&amp;"|"&amp;14,Assessments!$A$2:$A$600,0)),0)</f>
        <v>0</v>
      </c>
      <c r="DK351" s="28" t="str">
        <f aca="false">S351</f>
        <v/>
      </c>
      <c r="DL351" s="28" t="str">
        <f aca="false">W351</f>
        <v/>
      </c>
      <c r="DM351" s="28" t="str">
        <f aca="false">AA351</f>
        <v/>
      </c>
      <c r="DN351" s="28" t="str">
        <f aca="false">AE351</f>
        <v/>
      </c>
      <c r="DO351" s="28" t="str">
        <f aca="false">AI351</f>
        <v/>
      </c>
      <c r="DP351" s="28" t="str">
        <f aca="false">AM351</f>
        <v/>
      </c>
      <c r="DQ351" s="28" t="str">
        <f aca="false">AQ351</f>
        <v/>
      </c>
      <c r="DR351" s="28" t="str">
        <f aca="false">AU351</f>
        <v/>
      </c>
      <c r="DS351" s="28" t="str">
        <f aca="false">AY351</f>
        <v/>
      </c>
      <c r="DT351" s="28" t="str">
        <f aca="false">BC351</f>
        <v/>
      </c>
      <c r="DU351" s="28" t="str">
        <f aca="false">BG351</f>
        <v/>
      </c>
      <c r="DV351" s="28" t="str">
        <f aca="false">BK351</f>
        <v/>
      </c>
      <c r="DW351" s="28" t="str">
        <f aca="false">BO351</f>
        <v/>
      </c>
      <c r="DX351" s="28" t="str">
        <f aca="false">BS351</f>
        <v/>
      </c>
      <c r="DY351" s="28" t="str">
        <f aca="false">IF(ISNUMBER(S351),1,"")</f>
        <v/>
      </c>
      <c r="DZ351" s="28" t="str">
        <f aca="false">IF(ISNUMBER(W351),2,"")</f>
        <v/>
      </c>
      <c r="EA351" s="28" t="str">
        <f aca="false">IF(ISNUMBER(AA351),3,"")</f>
        <v/>
      </c>
      <c r="EB351" s="28" t="str">
        <f aca="false">IF(ISNUMBER(AE351),4,"")</f>
        <v/>
      </c>
      <c r="EC351" s="28" t="str">
        <f aca="false">IF(ISNUMBER(AI351),5,"")</f>
        <v/>
      </c>
      <c r="ED351" s="28" t="str">
        <f aca="false">IF(ISNUMBER(AM351),6,"")</f>
        <v/>
      </c>
      <c r="EE351" s="28" t="str">
        <f aca="false">IF(ISNUMBER(AQ351),7,"")</f>
        <v/>
      </c>
      <c r="EF351" s="28" t="str">
        <f aca="false">IF(ISNUMBER(AU351),8,"")</f>
        <v/>
      </c>
      <c r="EG351" s="28" t="str">
        <f aca="false">IF(ISNUMBER(AY351),9,"")</f>
        <v/>
      </c>
      <c r="EH351" s="28" t="str">
        <f aca="false">IF(ISNUMBER(BC351),10,"")</f>
        <v/>
      </c>
      <c r="EI351" s="28" t="str">
        <f aca="false">IF(ISNUMBER(BG351),11,"")</f>
        <v/>
      </c>
      <c r="EJ351" s="28" t="str">
        <f aca="false">IF(ISNUMBER(BK351),12,"")</f>
        <v/>
      </c>
      <c r="EK351" s="28" t="str">
        <f aca="false">IF(ISNUMBER(BO351),13,"")</f>
        <v/>
      </c>
      <c r="EL351" s="28" t="str">
        <f aca="false">IF(ISNUMBER(BS351),14,"")</f>
        <v/>
      </c>
      <c r="EM351" s="28" t="n">
        <f aca="false">IF(ISNUMBER(R351),R351*CW351,0)</f>
        <v>0</v>
      </c>
      <c r="EN351" s="28" t="n">
        <f aca="false">IF(ISNUMBER(V351),V351*CX351,0)</f>
        <v>0</v>
      </c>
      <c r="EO351" s="28" t="n">
        <f aca="false">IF(ISNUMBER(Z351),Z351*CY351,0)</f>
        <v>0</v>
      </c>
      <c r="EP351" s="28" t="n">
        <f aca="false">IF(ISNUMBER(AD351),AD351*CZ351,0)</f>
        <v>0</v>
      </c>
      <c r="EQ351" s="28" t="n">
        <f aca="false">IF(ISNUMBER(AH351),AH351*DA351,0)</f>
        <v>0</v>
      </c>
      <c r="ER351" s="28" t="n">
        <f aca="false">IF(ISNUMBER(AL351),AL351*DB351,0)</f>
        <v>0</v>
      </c>
      <c r="ES351" s="28" t="n">
        <f aca="false">IF(ISNUMBER(AP351),AP351*DC351,0)</f>
        <v>0</v>
      </c>
      <c r="ET351" s="28" t="n">
        <f aca="false">IF(ISNUMBER(AT351),AT351*DD351,0)</f>
        <v>0</v>
      </c>
      <c r="EU351" s="28" t="n">
        <f aca="false">IF(ISNUMBER(AX351),AX351*DE351,0)</f>
        <v>0</v>
      </c>
      <c r="EV351" s="28" t="n">
        <f aca="false">IF(ISNUMBER(BB351),BB351*DF351,0)</f>
        <v>0</v>
      </c>
      <c r="EW351" s="28" t="n">
        <f aca="false">IF(ISNUMBER(BF351),BF351*DG351,0)</f>
        <v>0</v>
      </c>
      <c r="EX351" s="28" t="n">
        <f aca="false">IF(ISNUMBER(BJ351),BJ351*DH351,0)</f>
        <v>0</v>
      </c>
      <c r="EY351" s="28" t="n">
        <f aca="false">IF(ISNUMBER(BN351),BN351*DI351,0)</f>
        <v>0</v>
      </c>
      <c r="EZ351" s="28" t="n">
        <f aca="false">IF(ISNUMBER(BR351),BR351*DJ351,0)</f>
        <v>0</v>
      </c>
      <c r="FA351" s="28" t="n">
        <f aca="false">IF(ISNUMBER(R351),CW351,0)</f>
        <v>0</v>
      </c>
      <c r="FB351" s="28" t="n">
        <f aca="false">IF(ISNUMBER(V351),CX351,0)</f>
        <v>0</v>
      </c>
      <c r="FC351" s="28" t="n">
        <f aca="false">IF(ISNUMBER(Z351),CY351,0)</f>
        <v>0</v>
      </c>
      <c r="FD351" s="28" t="n">
        <f aca="false">IF(ISNUMBER(AD351),CZ351,0)</f>
        <v>0</v>
      </c>
      <c r="FE351" s="28" t="n">
        <f aca="false">IF(ISNUMBER(AH351),DA351,0)</f>
        <v>0</v>
      </c>
      <c r="FF351" s="28" t="n">
        <f aca="false">IF(ISNUMBER(AL351),DB351,0)</f>
        <v>0</v>
      </c>
      <c r="FG351" s="28" t="n">
        <f aca="false">IF(ISNUMBER(AP351),DC351,0)</f>
        <v>0</v>
      </c>
      <c r="FH351" s="28" t="n">
        <f aca="false">IF(ISNUMBER(AT351),DD351,0)</f>
        <v>0</v>
      </c>
      <c r="FI351" s="28" t="n">
        <f aca="false">IF(ISNUMBER(AX351),DE351,0)</f>
        <v>0</v>
      </c>
      <c r="FJ351" s="28" t="n">
        <f aca="false">IF(ISNUMBER(BB351),DF351,0)</f>
        <v>0</v>
      </c>
      <c r="FK351" s="28" t="n">
        <f aca="false">IF(ISNUMBER(BF351),DG351,0)</f>
        <v>0</v>
      </c>
      <c r="FL351" s="28" t="n">
        <f aca="false">IF(ISNUMBER(BJ351),DH351,0)</f>
        <v>0</v>
      </c>
      <c r="FM351" s="28" t="n">
        <f aca="false">IF(ISNUMBER(BN351),DI351,0)</f>
        <v>0</v>
      </c>
      <c r="FN351" s="28" t="n">
        <f aca="false">IF(ISNUMBER(BR351),DJ351,0)</f>
        <v>0</v>
      </c>
      <c r="FO351" s="28" t="str">
        <f aca="false">IFERROR(INDEX(Lists!$G$2:$G$20,MATCH($I351&amp;"|"&amp;$J351,Lists!$F$2:$F$20,0)),"")</f>
        <v>BM Exam</v>
      </c>
    </row>
    <row r="352" customFormat="false" ht="19.5" hidden="false" customHeight="true" outlineLevel="0" collapsed="false">
      <c r="A352" s="29" t="s">
        <v>535</v>
      </c>
      <c r="B352" s="29" t="s">
        <v>536</v>
      </c>
      <c r="C352" s="30" t="s">
        <v>152</v>
      </c>
      <c r="D352" s="30" t="s">
        <v>625</v>
      </c>
      <c r="E352" s="31"/>
      <c r="F352" s="30"/>
      <c r="G352" s="30"/>
      <c r="H352" s="32" t="s">
        <v>428</v>
      </c>
      <c r="I352" s="33" t="s">
        <v>365</v>
      </c>
      <c r="J352" s="32" t="s">
        <v>223</v>
      </c>
      <c r="K352" s="34" t="str">
        <f aca="false">IF(OR(M352="",$E352=""),"",M352-$E352)</f>
        <v/>
      </c>
      <c r="L352" s="35" t="str">
        <f aca="false">IF(SUM(FA352:FN352)=0,"",SUM(EM352:EZ352)/SUM(FA352:FN352))</f>
        <v/>
      </c>
      <c r="M352" s="36" t="str">
        <f aca="false">IF(OR(L352="",FO352=""),"",IFERROR(MATCH(L352,INDEX(Boundaries!$B$2:$I$30,MATCH(FO352,Boundaries!$A$2:$A$30,0),0),1)-1,""))</f>
        <v/>
      </c>
      <c r="N352" s="37" t="str">
        <f aca="false">IF(COUNT($DY352:$EL352)&lt;2,"",INDEX($DK352:$DX352,MAX($DY352:$EL352))-INDEX($DK352:$DX352,MIN($DY352:$EL352)))</f>
        <v/>
      </c>
      <c r="O352" s="37" t="str">
        <f aca="false">IF(COUNT($DY352:$EL352)&lt;2,"",INDEX($DK352:$DX352,MAX($DY352:$EL352))-INDEX($DK352:$DX352,LARGE($DY352:$EL352,2)))</f>
        <v/>
      </c>
      <c r="P352" s="38" t="str">
        <f aca="false">IF(K352="","",IF(K352&gt;=0,"On/above target",IF(AND(N352&lt;&gt;"",N352&gt;=0.5),"Improving towards target",IF(AND(O352&lt;&gt;"",O352&lt;=-0.5),"Declining","Stable below target"))))</f>
        <v/>
      </c>
      <c r="Q352" s="39"/>
      <c r="R352" s="40" t="str">
        <f aca="false">IF(OR(Q352="",BU352=""),"",Q352/BU352*100)</f>
        <v/>
      </c>
      <c r="S352" s="41" t="str">
        <f aca="false">IF(R352="","",IFERROR(MATCH(R352,INDEX(Boundaries!$B$2:$I$30,MATCH(CI352,Boundaries!$A$2:$A$30,0),0),1)-1,""))</f>
        <v/>
      </c>
      <c r="T352" s="42" t="str">
        <f aca="false">IF(OR(S352="",$E352=""),"",S352-$E352)</f>
        <v/>
      </c>
      <c r="U352" s="39"/>
      <c r="V352" s="40" t="str">
        <f aca="false">IF(OR(U352="",BV352=""),"",U352/BV352*100)</f>
        <v/>
      </c>
      <c r="W352" s="41" t="str">
        <f aca="false">IF(V352="","",IFERROR(MATCH(V352,INDEX(Boundaries!$B$2:$I$30,MATCH(CJ352,Boundaries!$A$2:$A$30,0),0),1)-1,""))</f>
        <v/>
      </c>
      <c r="X352" s="42" t="str">
        <f aca="false">IF(OR(W352="",$E352=""),"",W352-$E352)</f>
        <v/>
      </c>
      <c r="Y352" s="39"/>
      <c r="Z352" s="40" t="str">
        <f aca="false">IF(OR(Y352="",BW352=""),"",Y352/BW352*100)</f>
        <v/>
      </c>
      <c r="AA352" s="41" t="str">
        <f aca="false">IF(Z352="","",IFERROR(MATCH(Z352,INDEX(Boundaries!$B$2:$I$30,MATCH(CK352,Boundaries!$A$2:$A$30,0),0),1)-1,""))</f>
        <v/>
      </c>
      <c r="AB352" s="42" t="str">
        <f aca="false">IF(OR(AA352="",$E352=""),"",AA352-$E352)</f>
        <v/>
      </c>
      <c r="AC352" s="39"/>
      <c r="AD352" s="40" t="str">
        <f aca="false">IF(OR(AC352="",BX352=""),"",AC352/BX352*100)</f>
        <v/>
      </c>
      <c r="AE352" s="41" t="str">
        <f aca="false">IF(AD352="","",IFERROR(MATCH(AD352,INDEX(Boundaries!$B$2:$I$30,MATCH(CL352,Boundaries!$A$2:$A$30,0),0),1)-1,""))</f>
        <v/>
      </c>
      <c r="AF352" s="42" t="str">
        <f aca="false">IF(OR(AE352="",$E352=""),"",AE352-$E352)</f>
        <v/>
      </c>
      <c r="AG352" s="39"/>
      <c r="AH352" s="40" t="str">
        <f aca="false">IF(OR(AG352="",BY352=""),"",AG352/BY352*100)</f>
        <v/>
      </c>
      <c r="AI352" s="41" t="str">
        <f aca="false">IF(AH352="","",IFERROR(MATCH(AH352,INDEX(Boundaries!$B$2:$I$30,MATCH(CM352,Boundaries!$A$2:$A$30,0),0),1)-1,""))</f>
        <v/>
      </c>
      <c r="AJ352" s="42" t="str">
        <f aca="false">IF(OR(AI352="",$E352=""),"",AI352-$E352)</f>
        <v/>
      </c>
      <c r="AK352" s="39"/>
      <c r="AL352" s="40" t="str">
        <f aca="false">IF(OR(AK352="",BZ352=""),"",AK352/BZ352*100)</f>
        <v/>
      </c>
      <c r="AM352" s="41" t="str">
        <f aca="false">IF(AL352="","",IFERROR(MATCH(AL352,INDEX(Boundaries!$B$2:$I$30,MATCH(CN352,Boundaries!$A$2:$A$30,0),0),1)-1,""))</f>
        <v/>
      </c>
      <c r="AN352" s="42" t="str">
        <f aca="false">IF(OR(AM352="",$E352=""),"",AM352-$E352)</f>
        <v/>
      </c>
      <c r="AO352" s="39"/>
      <c r="AP352" s="40" t="str">
        <f aca="false">IF(OR(AO352="",CA352=""),"",AO352/CA352*100)</f>
        <v/>
      </c>
      <c r="AQ352" s="41" t="str">
        <f aca="false">IF(AP352="","",IFERROR(MATCH(AP352,INDEX(Boundaries!$B$2:$I$30,MATCH(CO352,Boundaries!$A$2:$A$30,0),0),1)-1,""))</f>
        <v/>
      </c>
      <c r="AR352" s="42" t="str">
        <f aca="false">IF(OR(AQ352="",$E352=""),"",AQ352-$E352)</f>
        <v/>
      </c>
      <c r="AS352" s="39"/>
      <c r="AT352" s="40" t="str">
        <f aca="false">IF(OR(AS352="",CB352=""),"",AS352/CB352*100)</f>
        <v/>
      </c>
      <c r="AU352" s="41" t="str">
        <f aca="false">IF(AT352="","",IFERROR(MATCH(AT352,INDEX(Boundaries!$B$2:$I$30,MATCH(CP352,Boundaries!$A$2:$A$30,0),0),1)-1,""))</f>
        <v/>
      </c>
      <c r="AV352" s="42" t="str">
        <f aca="false">IF(OR(AU352="",$E352=""),"",AU352-$E352)</f>
        <v/>
      </c>
      <c r="AW352" s="39"/>
      <c r="AX352" s="40" t="str">
        <f aca="false">IF(OR(AW352="",CC352=""),"",AW352/CC352*100)</f>
        <v/>
      </c>
      <c r="AY352" s="41" t="str">
        <f aca="false">IF(AX352="","",IFERROR(MATCH(AX352,INDEX(Boundaries!$B$2:$I$30,MATCH(CQ352,Boundaries!$A$2:$A$30,0),0),1)-1,""))</f>
        <v/>
      </c>
      <c r="AZ352" s="42" t="str">
        <f aca="false">IF(OR(AY352="",$E352=""),"",AY352-$E352)</f>
        <v/>
      </c>
      <c r="BA352" s="39"/>
      <c r="BB352" s="40" t="str">
        <f aca="false">IF(OR(BA352="",CD352=""),"",BA352/CD352*100)</f>
        <v/>
      </c>
      <c r="BC352" s="41" t="str">
        <f aca="false">IF(BB352="","",IFERROR(MATCH(BB352,INDEX(Boundaries!$B$2:$I$30,MATCH(CR352,Boundaries!$A$2:$A$30,0),0),1)-1,""))</f>
        <v/>
      </c>
      <c r="BD352" s="42" t="str">
        <f aca="false">IF(OR(BC352="",$E352=""),"",BC352-$E352)</f>
        <v/>
      </c>
      <c r="BE352" s="39"/>
      <c r="BF352" s="40" t="str">
        <f aca="false">IF(OR(BE352="",CE352=""),"",BE352/CE352*100)</f>
        <v/>
      </c>
      <c r="BG352" s="41" t="str">
        <f aca="false">IF(BF352="","",IFERROR(MATCH(BF352,INDEX(Boundaries!$B$2:$I$30,MATCH(CS352,Boundaries!$A$2:$A$30,0),0),1)-1,""))</f>
        <v/>
      </c>
      <c r="BH352" s="42" t="str">
        <f aca="false">IF(OR(BG352="",$E352=""),"",BG352-$E352)</f>
        <v/>
      </c>
      <c r="BI352" s="39"/>
      <c r="BJ352" s="40" t="str">
        <f aca="false">IF(OR(BI352="",CF352=""),"",BI352/CF352*100)</f>
        <v/>
      </c>
      <c r="BK352" s="41" t="str">
        <f aca="false">IF(BJ352="","",IFERROR(MATCH(BJ352,INDEX(Boundaries!$B$2:$I$30,MATCH(CT352,Boundaries!$A$2:$A$30,0),0),1)-1,""))</f>
        <v/>
      </c>
      <c r="BL352" s="42" t="str">
        <f aca="false">IF(OR(BK352="",$E352=""),"",BK352-$E352)</f>
        <v/>
      </c>
      <c r="BM352" s="39"/>
      <c r="BN352" s="40" t="str">
        <f aca="false">IF(OR(BM352="",CG352=""),"",BM352/CG352*100)</f>
        <v/>
      </c>
      <c r="BO352" s="41" t="str">
        <f aca="false">IF(BN352="","",IFERROR(MATCH(BN352,INDEX(Boundaries!$B$2:$I$30,MATCH(CU352,Boundaries!$A$2:$A$30,0),0),1)-1,""))</f>
        <v/>
      </c>
      <c r="BP352" s="42" t="str">
        <f aca="false">IF(OR(BO352="",$E352=""),"",BO352-$E352)</f>
        <v/>
      </c>
      <c r="BQ352" s="39"/>
      <c r="BR352" s="40" t="str">
        <f aca="false">IF(OR(BQ352="",CH352=""),"",BQ352/CH352*100)</f>
        <v/>
      </c>
      <c r="BS352" s="41" t="str">
        <f aca="false">IF(BR352="","",IFERROR(MATCH(BR352,INDEX(Boundaries!$B$2:$I$30,MATCH(CV352,Boundaries!$A$2:$A$30,0),0),1)-1,""))</f>
        <v/>
      </c>
      <c r="BT352" s="42" t="str">
        <f aca="false">IF(OR(BS352="",$E352=""),"",BS352-$E352)</f>
        <v/>
      </c>
      <c r="BU352" s="28" t="n">
        <f aca="false">IFERROR(INDEX(Assessments!$H$2:$H$600,MATCH($H352&amp;"|"&amp;$I352&amp;"|"&amp;$J352&amp;"|"&amp;1,Assessments!$A$2:$A$600,0)),"")</f>
        <v>24</v>
      </c>
      <c r="BV352" s="28" t="n">
        <f aca="false">IFERROR(INDEX(Assessments!$H$2:$H$600,MATCH($H352&amp;"|"&amp;$I352&amp;"|"&amp;$J352&amp;"|"&amp;2,Assessments!$A$2:$A$600,0)),"")</f>
        <v>20</v>
      </c>
      <c r="BW352" s="28" t="n">
        <f aca="false">IFERROR(INDEX(Assessments!$H$2:$H$600,MATCH($H352&amp;"|"&amp;$I352&amp;"|"&amp;$J352&amp;"|"&amp;3,Assessments!$A$2:$A$600,0)),"")</f>
        <v>24</v>
      </c>
      <c r="BX352" s="28" t="n">
        <f aca="false">IFERROR(INDEX(Assessments!$H$2:$H$600,MATCH($H352&amp;"|"&amp;$I352&amp;"|"&amp;$J352&amp;"|"&amp;4,Assessments!$A$2:$A$600,0)),"")</f>
        <v>40</v>
      </c>
      <c r="BY352" s="28" t="n">
        <f aca="false">IFERROR(INDEX(Assessments!$H$2:$H$600,MATCH($H352&amp;"|"&amp;$I352&amp;"|"&amp;$J352&amp;"|"&amp;5,Assessments!$A$2:$A$600,0)),"")</f>
        <v>30</v>
      </c>
      <c r="BZ352" s="28" t="n">
        <f aca="false">IFERROR(INDEX(Assessments!$H$2:$H$600,MATCH($H352&amp;"|"&amp;$I352&amp;"|"&amp;$J352&amp;"|"&amp;6,Assessments!$A$2:$A$600,0)),"")</f>
        <v>20</v>
      </c>
      <c r="CA352" s="28" t="str">
        <f aca="false">IFERROR(INDEX(Assessments!$H$2:$H$600,MATCH($H352&amp;"|"&amp;$I352&amp;"|"&amp;$J352&amp;"|"&amp;7,Assessments!$A$2:$A$600,0)),"")</f>
        <v/>
      </c>
      <c r="CB352" s="28" t="str">
        <f aca="false">IFERROR(INDEX(Assessments!$H$2:$H$600,MATCH($H352&amp;"|"&amp;$I352&amp;"|"&amp;$J352&amp;"|"&amp;8,Assessments!$A$2:$A$600,0)),"")</f>
        <v/>
      </c>
      <c r="CC352" s="28" t="str">
        <f aca="false">IFERROR(INDEX(Assessments!$H$2:$H$600,MATCH($H352&amp;"|"&amp;$I352&amp;"|"&amp;$J352&amp;"|"&amp;9,Assessments!$A$2:$A$600,0)),"")</f>
        <v/>
      </c>
      <c r="CD352" s="28" t="str">
        <f aca="false">IFERROR(INDEX(Assessments!$H$2:$H$600,MATCH($H352&amp;"|"&amp;$I352&amp;"|"&amp;$J352&amp;"|"&amp;10,Assessments!$A$2:$A$600,0)),"")</f>
        <v/>
      </c>
      <c r="CE352" s="28" t="str">
        <f aca="false">IFERROR(INDEX(Assessments!$H$2:$H$600,MATCH($H352&amp;"|"&amp;$I352&amp;"|"&amp;$J352&amp;"|"&amp;11,Assessments!$A$2:$A$600,0)),"")</f>
        <v/>
      </c>
      <c r="CF352" s="28" t="str">
        <f aca="false">IFERROR(INDEX(Assessments!$H$2:$H$600,MATCH($H352&amp;"|"&amp;$I352&amp;"|"&amp;$J352&amp;"|"&amp;12,Assessments!$A$2:$A$600,0)),"")</f>
        <v/>
      </c>
      <c r="CG352" s="28" t="str">
        <f aca="false">IFERROR(INDEX(Assessments!$H$2:$H$600,MATCH($H352&amp;"|"&amp;$I352&amp;"|"&amp;$J352&amp;"|"&amp;13,Assessments!$A$2:$A$600,0)),"")</f>
        <v/>
      </c>
      <c r="CH352" s="28" t="str">
        <f aca="false">IFERROR(INDEX(Assessments!$H$2:$H$600,MATCH($H352&amp;"|"&amp;$I352&amp;"|"&amp;$J352&amp;"|"&amp;14,Assessments!$A$2:$A$600,0)),"")</f>
        <v/>
      </c>
      <c r="CI352" s="28" t="str">
        <f aca="false">IFERROR(INDEX(Assessments!$I$2:$I$600,MATCH($H352&amp;"|"&amp;$I352&amp;"|"&amp;$J352&amp;"|"&amp;1,Assessments!$A$2:$A$600,0)),"")</f>
        <v>BM Test</v>
      </c>
      <c r="CJ352" s="28" t="str">
        <f aca="false">IFERROR(INDEX(Assessments!$I$2:$I$600,MATCH($H352&amp;"|"&amp;$I352&amp;"|"&amp;$J352&amp;"|"&amp;2,Assessments!$A$2:$A$600,0)),"")</f>
        <v>BM Test</v>
      </c>
      <c r="CK352" s="28" t="str">
        <f aca="false">IFERROR(INDEX(Assessments!$I$2:$I$600,MATCH($H352&amp;"|"&amp;$I352&amp;"|"&amp;$J352&amp;"|"&amp;3,Assessments!$A$2:$A$600,0)),"")</f>
        <v>BM Test</v>
      </c>
      <c r="CL352" s="28" t="str">
        <f aca="false">IFERROR(INDEX(Assessments!$I$2:$I$600,MATCH($H352&amp;"|"&amp;$I352&amp;"|"&amp;$J352&amp;"|"&amp;4,Assessments!$A$2:$A$600,0)),"")</f>
        <v>BM Exam</v>
      </c>
      <c r="CM352" s="28" t="str">
        <f aca="false">IFERROR(INDEX(Assessments!$I$2:$I$600,MATCH($H352&amp;"|"&amp;$I352&amp;"|"&amp;$J352&amp;"|"&amp;5,Assessments!$A$2:$A$600,0)),"")</f>
        <v>BM Test</v>
      </c>
      <c r="CN352" s="28" t="str">
        <f aca="false">IFERROR(INDEX(Assessments!$I$2:$I$600,MATCH($H352&amp;"|"&amp;$I352&amp;"|"&amp;$J352&amp;"|"&amp;6,Assessments!$A$2:$A$600,0)),"")</f>
        <v>BM Test</v>
      </c>
      <c r="CO352" s="28" t="str">
        <f aca="false">IFERROR(INDEX(Assessments!$I$2:$I$600,MATCH($H352&amp;"|"&amp;$I352&amp;"|"&amp;$J352&amp;"|"&amp;7,Assessments!$A$2:$A$600,0)),"")</f>
        <v/>
      </c>
      <c r="CP352" s="28" t="str">
        <f aca="false">IFERROR(INDEX(Assessments!$I$2:$I$600,MATCH($H352&amp;"|"&amp;$I352&amp;"|"&amp;$J352&amp;"|"&amp;8,Assessments!$A$2:$A$600,0)),"")</f>
        <v/>
      </c>
      <c r="CQ352" s="28" t="str">
        <f aca="false">IFERROR(INDEX(Assessments!$I$2:$I$600,MATCH($H352&amp;"|"&amp;$I352&amp;"|"&amp;$J352&amp;"|"&amp;9,Assessments!$A$2:$A$600,0)),"")</f>
        <v/>
      </c>
      <c r="CR352" s="28" t="str">
        <f aca="false">IFERROR(INDEX(Assessments!$I$2:$I$600,MATCH($H352&amp;"|"&amp;$I352&amp;"|"&amp;$J352&amp;"|"&amp;10,Assessments!$A$2:$A$600,0)),"")</f>
        <v/>
      </c>
      <c r="CS352" s="28" t="str">
        <f aca="false">IFERROR(INDEX(Assessments!$I$2:$I$600,MATCH($H352&amp;"|"&amp;$I352&amp;"|"&amp;$J352&amp;"|"&amp;11,Assessments!$A$2:$A$600,0)),"")</f>
        <v/>
      </c>
      <c r="CT352" s="28" t="str">
        <f aca="false">IFERROR(INDEX(Assessments!$I$2:$I$600,MATCH($H352&amp;"|"&amp;$I352&amp;"|"&amp;$J352&amp;"|"&amp;12,Assessments!$A$2:$A$600,0)),"")</f>
        <v/>
      </c>
      <c r="CU352" s="28" t="str">
        <f aca="false">IFERROR(INDEX(Assessments!$I$2:$I$600,MATCH($H352&amp;"|"&amp;$I352&amp;"|"&amp;$J352&amp;"|"&amp;13,Assessments!$A$2:$A$600,0)),"")</f>
        <v/>
      </c>
      <c r="CV352" s="28" t="str">
        <f aca="false">IFERROR(INDEX(Assessments!$I$2:$I$600,MATCH($H352&amp;"|"&amp;$I352&amp;"|"&amp;$J352&amp;"|"&amp;14,Assessments!$A$2:$A$600,0)),"")</f>
        <v/>
      </c>
      <c r="CW352" s="28" t="n">
        <f aca="false">IFERROR(INDEX(Assessments!$J$2:$J$600,MATCH($H352&amp;"|"&amp;$I352&amp;"|"&amp;$J352&amp;"|"&amp;1,Assessments!$A$2:$A$600,0)),0)</f>
        <v>1</v>
      </c>
      <c r="CX352" s="28" t="n">
        <f aca="false">IFERROR(INDEX(Assessments!$J$2:$J$600,MATCH($H352&amp;"|"&amp;$I352&amp;"|"&amp;$J352&amp;"|"&amp;2,Assessments!$A$2:$A$600,0)),0)</f>
        <v>1</v>
      </c>
      <c r="CY352" s="28" t="n">
        <f aca="false">IFERROR(INDEX(Assessments!$J$2:$J$600,MATCH($H352&amp;"|"&amp;$I352&amp;"|"&amp;$J352&amp;"|"&amp;3,Assessments!$A$2:$A$600,0)),0)</f>
        <v>1</v>
      </c>
      <c r="CZ352" s="28" t="n">
        <f aca="false">IFERROR(INDEX(Assessments!$J$2:$J$600,MATCH($H352&amp;"|"&amp;$I352&amp;"|"&amp;$J352&amp;"|"&amp;4,Assessments!$A$2:$A$600,0)),0)</f>
        <v>2</v>
      </c>
      <c r="DA352" s="28" t="n">
        <f aca="false">IFERROR(INDEX(Assessments!$J$2:$J$600,MATCH($H352&amp;"|"&amp;$I352&amp;"|"&amp;$J352&amp;"|"&amp;5,Assessments!$A$2:$A$600,0)),0)</f>
        <v>1</v>
      </c>
      <c r="DB352" s="28" t="n">
        <f aca="false">IFERROR(INDEX(Assessments!$J$2:$J$600,MATCH($H352&amp;"|"&amp;$I352&amp;"|"&amp;$J352&amp;"|"&amp;6,Assessments!$A$2:$A$600,0)),0)</f>
        <v>1</v>
      </c>
      <c r="DC352" s="28" t="n">
        <f aca="false">IFERROR(INDEX(Assessments!$J$2:$J$600,MATCH($H352&amp;"|"&amp;$I352&amp;"|"&amp;$J352&amp;"|"&amp;7,Assessments!$A$2:$A$600,0)),0)</f>
        <v>0</v>
      </c>
      <c r="DD352" s="28" t="n">
        <f aca="false">IFERROR(INDEX(Assessments!$J$2:$J$600,MATCH($H352&amp;"|"&amp;$I352&amp;"|"&amp;$J352&amp;"|"&amp;8,Assessments!$A$2:$A$600,0)),0)</f>
        <v>0</v>
      </c>
      <c r="DE352" s="28" t="n">
        <f aca="false">IFERROR(INDEX(Assessments!$J$2:$J$600,MATCH($H352&amp;"|"&amp;$I352&amp;"|"&amp;$J352&amp;"|"&amp;9,Assessments!$A$2:$A$600,0)),0)</f>
        <v>0</v>
      </c>
      <c r="DF352" s="28" t="n">
        <f aca="false">IFERROR(INDEX(Assessments!$J$2:$J$600,MATCH($H352&amp;"|"&amp;$I352&amp;"|"&amp;$J352&amp;"|"&amp;10,Assessments!$A$2:$A$600,0)),0)</f>
        <v>0</v>
      </c>
      <c r="DG352" s="28" t="n">
        <f aca="false">IFERROR(INDEX(Assessments!$J$2:$J$600,MATCH($H352&amp;"|"&amp;$I352&amp;"|"&amp;$J352&amp;"|"&amp;11,Assessments!$A$2:$A$600,0)),0)</f>
        <v>0</v>
      </c>
      <c r="DH352" s="28" t="n">
        <f aca="false">IFERROR(INDEX(Assessments!$J$2:$J$600,MATCH($H352&amp;"|"&amp;$I352&amp;"|"&amp;$J352&amp;"|"&amp;12,Assessments!$A$2:$A$600,0)),0)</f>
        <v>0</v>
      </c>
      <c r="DI352" s="28" t="n">
        <f aca="false">IFERROR(INDEX(Assessments!$J$2:$J$600,MATCH($H352&amp;"|"&amp;$I352&amp;"|"&amp;$J352&amp;"|"&amp;13,Assessments!$A$2:$A$600,0)),0)</f>
        <v>0</v>
      </c>
      <c r="DJ352" s="28" t="n">
        <f aca="false">IFERROR(INDEX(Assessments!$J$2:$J$600,MATCH($H352&amp;"|"&amp;$I352&amp;"|"&amp;$J352&amp;"|"&amp;14,Assessments!$A$2:$A$600,0)),0)</f>
        <v>0</v>
      </c>
      <c r="DK352" s="28" t="str">
        <f aca="false">S352</f>
        <v/>
      </c>
      <c r="DL352" s="28" t="str">
        <f aca="false">W352</f>
        <v/>
      </c>
      <c r="DM352" s="28" t="str">
        <f aca="false">AA352</f>
        <v/>
      </c>
      <c r="DN352" s="28" t="str">
        <f aca="false">AE352</f>
        <v/>
      </c>
      <c r="DO352" s="28" t="str">
        <f aca="false">AI352</f>
        <v/>
      </c>
      <c r="DP352" s="28" t="str">
        <f aca="false">AM352</f>
        <v/>
      </c>
      <c r="DQ352" s="28" t="str">
        <f aca="false">AQ352</f>
        <v/>
      </c>
      <c r="DR352" s="28" t="str">
        <f aca="false">AU352</f>
        <v/>
      </c>
      <c r="DS352" s="28" t="str">
        <f aca="false">AY352</f>
        <v/>
      </c>
      <c r="DT352" s="28" t="str">
        <f aca="false">BC352</f>
        <v/>
      </c>
      <c r="DU352" s="28" t="str">
        <f aca="false">BG352</f>
        <v/>
      </c>
      <c r="DV352" s="28" t="str">
        <f aca="false">BK352</f>
        <v/>
      </c>
      <c r="DW352" s="28" t="str">
        <f aca="false">BO352</f>
        <v/>
      </c>
      <c r="DX352" s="28" t="str">
        <f aca="false">BS352</f>
        <v/>
      </c>
      <c r="DY352" s="28" t="str">
        <f aca="false">IF(ISNUMBER(S352),1,"")</f>
        <v/>
      </c>
      <c r="DZ352" s="28" t="str">
        <f aca="false">IF(ISNUMBER(W352),2,"")</f>
        <v/>
      </c>
      <c r="EA352" s="28" t="str">
        <f aca="false">IF(ISNUMBER(AA352),3,"")</f>
        <v/>
      </c>
      <c r="EB352" s="28" t="str">
        <f aca="false">IF(ISNUMBER(AE352),4,"")</f>
        <v/>
      </c>
      <c r="EC352" s="28" t="str">
        <f aca="false">IF(ISNUMBER(AI352),5,"")</f>
        <v/>
      </c>
      <c r="ED352" s="28" t="str">
        <f aca="false">IF(ISNUMBER(AM352),6,"")</f>
        <v/>
      </c>
      <c r="EE352" s="28" t="str">
        <f aca="false">IF(ISNUMBER(AQ352),7,"")</f>
        <v/>
      </c>
      <c r="EF352" s="28" t="str">
        <f aca="false">IF(ISNUMBER(AU352),8,"")</f>
        <v/>
      </c>
      <c r="EG352" s="28" t="str">
        <f aca="false">IF(ISNUMBER(AY352),9,"")</f>
        <v/>
      </c>
      <c r="EH352" s="28" t="str">
        <f aca="false">IF(ISNUMBER(BC352),10,"")</f>
        <v/>
      </c>
      <c r="EI352" s="28" t="str">
        <f aca="false">IF(ISNUMBER(BG352),11,"")</f>
        <v/>
      </c>
      <c r="EJ352" s="28" t="str">
        <f aca="false">IF(ISNUMBER(BK352),12,"")</f>
        <v/>
      </c>
      <c r="EK352" s="28" t="str">
        <f aca="false">IF(ISNUMBER(BO352),13,"")</f>
        <v/>
      </c>
      <c r="EL352" s="28" t="str">
        <f aca="false">IF(ISNUMBER(BS352),14,"")</f>
        <v/>
      </c>
      <c r="EM352" s="28" t="n">
        <f aca="false">IF(ISNUMBER(R352),R352*CW352,0)</f>
        <v>0</v>
      </c>
      <c r="EN352" s="28" t="n">
        <f aca="false">IF(ISNUMBER(V352),V352*CX352,0)</f>
        <v>0</v>
      </c>
      <c r="EO352" s="28" t="n">
        <f aca="false">IF(ISNUMBER(Z352),Z352*CY352,0)</f>
        <v>0</v>
      </c>
      <c r="EP352" s="28" t="n">
        <f aca="false">IF(ISNUMBER(AD352),AD352*CZ352,0)</f>
        <v>0</v>
      </c>
      <c r="EQ352" s="28" t="n">
        <f aca="false">IF(ISNUMBER(AH352),AH352*DA352,0)</f>
        <v>0</v>
      </c>
      <c r="ER352" s="28" t="n">
        <f aca="false">IF(ISNUMBER(AL352),AL352*DB352,0)</f>
        <v>0</v>
      </c>
      <c r="ES352" s="28" t="n">
        <f aca="false">IF(ISNUMBER(AP352),AP352*DC352,0)</f>
        <v>0</v>
      </c>
      <c r="ET352" s="28" t="n">
        <f aca="false">IF(ISNUMBER(AT352),AT352*DD352,0)</f>
        <v>0</v>
      </c>
      <c r="EU352" s="28" t="n">
        <f aca="false">IF(ISNUMBER(AX352),AX352*DE352,0)</f>
        <v>0</v>
      </c>
      <c r="EV352" s="28" t="n">
        <f aca="false">IF(ISNUMBER(BB352),BB352*DF352,0)</f>
        <v>0</v>
      </c>
      <c r="EW352" s="28" t="n">
        <f aca="false">IF(ISNUMBER(BF352),BF352*DG352,0)</f>
        <v>0</v>
      </c>
      <c r="EX352" s="28" t="n">
        <f aca="false">IF(ISNUMBER(BJ352),BJ352*DH352,0)</f>
        <v>0</v>
      </c>
      <c r="EY352" s="28" t="n">
        <f aca="false">IF(ISNUMBER(BN352),BN352*DI352,0)</f>
        <v>0</v>
      </c>
      <c r="EZ352" s="28" t="n">
        <f aca="false">IF(ISNUMBER(BR352),BR352*DJ352,0)</f>
        <v>0</v>
      </c>
      <c r="FA352" s="28" t="n">
        <f aca="false">IF(ISNUMBER(R352),CW352,0)</f>
        <v>0</v>
      </c>
      <c r="FB352" s="28" t="n">
        <f aca="false">IF(ISNUMBER(V352),CX352,0)</f>
        <v>0</v>
      </c>
      <c r="FC352" s="28" t="n">
        <f aca="false">IF(ISNUMBER(Z352),CY352,0)</f>
        <v>0</v>
      </c>
      <c r="FD352" s="28" t="n">
        <f aca="false">IF(ISNUMBER(AD352),CZ352,0)</f>
        <v>0</v>
      </c>
      <c r="FE352" s="28" t="n">
        <f aca="false">IF(ISNUMBER(AH352),DA352,0)</f>
        <v>0</v>
      </c>
      <c r="FF352" s="28" t="n">
        <f aca="false">IF(ISNUMBER(AL352),DB352,0)</f>
        <v>0</v>
      </c>
      <c r="FG352" s="28" t="n">
        <f aca="false">IF(ISNUMBER(AP352),DC352,0)</f>
        <v>0</v>
      </c>
      <c r="FH352" s="28" t="n">
        <f aca="false">IF(ISNUMBER(AT352),DD352,0)</f>
        <v>0</v>
      </c>
      <c r="FI352" s="28" t="n">
        <f aca="false">IF(ISNUMBER(AX352),DE352,0)</f>
        <v>0</v>
      </c>
      <c r="FJ352" s="28" t="n">
        <f aca="false">IF(ISNUMBER(BB352),DF352,0)</f>
        <v>0</v>
      </c>
      <c r="FK352" s="28" t="n">
        <f aca="false">IF(ISNUMBER(BF352),DG352,0)</f>
        <v>0</v>
      </c>
      <c r="FL352" s="28" t="n">
        <f aca="false">IF(ISNUMBER(BJ352),DH352,0)</f>
        <v>0</v>
      </c>
      <c r="FM352" s="28" t="n">
        <f aca="false">IF(ISNUMBER(BN352),DI352,0)</f>
        <v>0</v>
      </c>
      <c r="FN352" s="28" t="n">
        <f aca="false">IF(ISNUMBER(BR352),DJ352,0)</f>
        <v>0</v>
      </c>
      <c r="FO352" s="28" t="str">
        <f aca="false">IFERROR(INDEX(Lists!$G$2:$G$20,MATCH($I352&amp;"|"&amp;$J352,Lists!$F$2:$F$20,0)),"")</f>
        <v>BM Exam</v>
      </c>
    </row>
    <row r="353" customFormat="false" ht="19.5" hidden="false" customHeight="true" outlineLevel="0" collapsed="false">
      <c r="A353" s="29" t="s">
        <v>655</v>
      </c>
      <c r="B353" s="29" t="s">
        <v>656</v>
      </c>
      <c r="C353" s="30" t="s">
        <v>152</v>
      </c>
      <c r="D353" s="30" t="s">
        <v>625</v>
      </c>
      <c r="E353" s="31"/>
      <c r="F353" s="30"/>
      <c r="G353" s="30"/>
      <c r="H353" s="32" t="s">
        <v>428</v>
      </c>
      <c r="I353" s="33" t="s">
        <v>365</v>
      </c>
      <c r="J353" s="32" t="s">
        <v>223</v>
      </c>
      <c r="K353" s="34" t="str">
        <f aca="false">IF(OR(M353="",$E353=""),"",M353-$E353)</f>
        <v/>
      </c>
      <c r="L353" s="35" t="str">
        <f aca="false">IF(SUM(FA353:FN353)=0,"",SUM(EM353:EZ353)/SUM(FA353:FN353))</f>
        <v/>
      </c>
      <c r="M353" s="36" t="str">
        <f aca="false">IF(OR(L353="",FO353=""),"",IFERROR(MATCH(L353,INDEX(Boundaries!$B$2:$I$30,MATCH(FO353,Boundaries!$A$2:$A$30,0),0),1)-1,""))</f>
        <v/>
      </c>
      <c r="N353" s="37" t="str">
        <f aca="false">IF(COUNT($DY353:$EL353)&lt;2,"",INDEX($DK353:$DX353,MAX($DY353:$EL353))-INDEX($DK353:$DX353,MIN($DY353:$EL353)))</f>
        <v/>
      </c>
      <c r="O353" s="37" t="str">
        <f aca="false">IF(COUNT($DY353:$EL353)&lt;2,"",INDEX($DK353:$DX353,MAX($DY353:$EL353))-INDEX($DK353:$DX353,LARGE($DY353:$EL353,2)))</f>
        <v/>
      </c>
      <c r="P353" s="38" t="str">
        <f aca="false">IF(K353="","",IF(K353&gt;=0,"On/above target",IF(AND(N353&lt;&gt;"",N353&gt;=0.5),"Improving towards target",IF(AND(O353&lt;&gt;"",O353&lt;=-0.5),"Declining","Stable below target"))))</f>
        <v/>
      </c>
      <c r="Q353" s="39"/>
      <c r="R353" s="40" t="str">
        <f aca="false">IF(OR(Q353="",BU353=""),"",Q353/BU353*100)</f>
        <v/>
      </c>
      <c r="S353" s="41" t="str">
        <f aca="false">IF(R353="","",IFERROR(MATCH(R353,INDEX(Boundaries!$B$2:$I$30,MATCH(CI353,Boundaries!$A$2:$A$30,0),0),1)-1,""))</f>
        <v/>
      </c>
      <c r="T353" s="42" t="str">
        <f aca="false">IF(OR(S353="",$E353=""),"",S353-$E353)</f>
        <v/>
      </c>
      <c r="U353" s="39"/>
      <c r="V353" s="40" t="str">
        <f aca="false">IF(OR(U353="",BV353=""),"",U353/BV353*100)</f>
        <v/>
      </c>
      <c r="W353" s="41" t="str">
        <f aca="false">IF(V353="","",IFERROR(MATCH(V353,INDEX(Boundaries!$B$2:$I$30,MATCH(CJ353,Boundaries!$A$2:$A$30,0),0),1)-1,""))</f>
        <v/>
      </c>
      <c r="X353" s="42" t="str">
        <f aca="false">IF(OR(W353="",$E353=""),"",W353-$E353)</f>
        <v/>
      </c>
      <c r="Y353" s="39"/>
      <c r="Z353" s="40" t="str">
        <f aca="false">IF(OR(Y353="",BW353=""),"",Y353/BW353*100)</f>
        <v/>
      </c>
      <c r="AA353" s="41" t="str">
        <f aca="false">IF(Z353="","",IFERROR(MATCH(Z353,INDEX(Boundaries!$B$2:$I$30,MATCH(CK353,Boundaries!$A$2:$A$30,0),0),1)-1,""))</f>
        <v/>
      </c>
      <c r="AB353" s="42" t="str">
        <f aca="false">IF(OR(AA353="",$E353=""),"",AA353-$E353)</f>
        <v/>
      </c>
      <c r="AC353" s="39"/>
      <c r="AD353" s="40" t="str">
        <f aca="false">IF(OR(AC353="",BX353=""),"",AC353/BX353*100)</f>
        <v/>
      </c>
      <c r="AE353" s="41" t="str">
        <f aca="false">IF(AD353="","",IFERROR(MATCH(AD353,INDEX(Boundaries!$B$2:$I$30,MATCH(CL353,Boundaries!$A$2:$A$30,0),0),1)-1,""))</f>
        <v/>
      </c>
      <c r="AF353" s="42" t="str">
        <f aca="false">IF(OR(AE353="",$E353=""),"",AE353-$E353)</f>
        <v/>
      </c>
      <c r="AG353" s="39"/>
      <c r="AH353" s="40" t="str">
        <f aca="false">IF(OR(AG353="",BY353=""),"",AG353/BY353*100)</f>
        <v/>
      </c>
      <c r="AI353" s="41" t="str">
        <f aca="false">IF(AH353="","",IFERROR(MATCH(AH353,INDEX(Boundaries!$B$2:$I$30,MATCH(CM353,Boundaries!$A$2:$A$30,0),0),1)-1,""))</f>
        <v/>
      </c>
      <c r="AJ353" s="42" t="str">
        <f aca="false">IF(OR(AI353="",$E353=""),"",AI353-$E353)</f>
        <v/>
      </c>
      <c r="AK353" s="39"/>
      <c r="AL353" s="40" t="str">
        <f aca="false">IF(OR(AK353="",BZ353=""),"",AK353/BZ353*100)</f>
        <v/>
      </c>
      <c r="AM353" s="41" t="str">
        <f aca="false">IF(AL353="","",IFERROR(MATCH(AL353,INDEX(Boundaries!$B$2:$I$30,MATCH(CN353,Boundaries!$A$2:$A$30,0),0),1)-1,""))</f>
        <v/>
      </c>
      <c r="AN353" s="42" t="str">
        <f aca="false">IF(OR(AM353="",$E353=""),"",AM353-$E353)</f>
        <v/>
      </c>
      <c r="AO353" s="39"/>
      <c r="AP353" s="40" t="str">
        <f aca="false">IF(OR(AO353="",CA353=""),"",AO353/CA353*100)</f>
        <v/>
      </c>
      <c r="AQ353" s="41" t="str">
        <f aca="false">IF(AP353="","",IFERROR(MATCH(AP353,INDEX(Boundaries!$B$2:$I$30,MATCH(CO353,Boundaries!$A$2:$A$30,0),0),1)-1,""))</f>
        <v/>
      </c>
      <c r="AR353" s="42" t="str">
        <f aca="false">IF(OR(AQ353="",$E353=""),"",AQ353-$E353)</f>
        <v/>
      </c>
      <c r="AS353" s="39"/>
      <c r="AT353" s="40" t="str">
        <f aca="false">IF(OR(AS353="",CB353=""),"",AS353/CB353*100)</f>
        <v/>
      </c>
      <c r="AU353" s="41" t="str">
        <f aca="false">IF(AT353="","",IFERROR(MATCH(AT353,INDEX(Boundaries!$B$2:$I$30,MATCH(CP353,Boundaries!$A$2:$A$30,0),0),1)-1,""))</f>
        <v/>
      </c>
      <c r="AV353" s="42" t="str">
        <f aca="false">IF(OR(AU353="",$E353=""),"",AU353-$E353)</f>
        <v/>
      </c>
      <c r="AW353" s="39"/>
      <c r="AX353" s="40" t="str">
        <f aca="false">IF(OR(AW353="",CC353=""),"",AW353/CC353*100)</f>
        <v/>
      </c>
      <c r="AY353" s="41" t="str">
        <f aca="false">IF(AX353="","",IFERROR(MATCH(AX353,INDEX(Boundaries!$B$2:$I$30,MATCH(CQ353,Boundaries!$A$2:$A$30,0),0),1)-1,""))</f>
        <v/>
      </c>
      <c r="AZ353" s="42" t="str">
        <f aca="false">IF(OR(AY353="",$E353=""),"",AY353-$E353)</f>
        <v/>
      </c>
      <c r="BA353" s="39"/>
      <c r="BB353" s="40" t="str">
        <f aca="false">IF(OR(BA353="",CD353=""),"",BA353/CD353*100)</f>
        <v/>
      </c>
      <c r="BC353" s="41" t="str">
        <f aca="false">IF(BB353="","",IFERROR(MATCH(BB353,INDEX(Boundaries!$B$2:$I$30,MATCH(CR353,Boundaries!$A$2:$A$30,0),0),1)-1,""))</f>
        <v/>
      </c>
      <c r="BD353" s="42" t="str">
        <f aca="false">IF(OR(BC353="",$E353=""),"",BC353-$E353)</f>
        <v/>
      </c>
      <c r="BE353" s="39"/>
      <c r="BF353" s="40" t="str">
        <f aca="false">IF(OR(BE353="",CE353=""),"",BE353/CE353*100)</f>
        <v/>
      </c>
      <c r="BG353" s="41" t="str">
        <f aca="false">IF(BF353="","",IFERROR(MATCH(BF353,INDEX(Boundaries!$B$2:$I$30,MATCH(CS353,Boundaries!$A$2:$A$30,0),0),1)-1,""))</f>
        <v/>
      </c>
      <c r="BH353" s="42" t="str">
        <f aca="false">IF(OR(BG353="",$E353=""),"",BG353-$E353)</f>
        <v/>
      </c>
      <c r="BI353" s="39"/>
      <c r="BJ353" s="40" t="str">
        <f aca="false">IF(OR(BI353="",CF353=""),"",BI353/CF353*100)</f>
        <v/>
      </c>
      <c r="BK353" s="41" t="str">
        <f aca="false">IF(BJ353="","",IFERROR(MATCH(BJ353,INDEX(Boundaries!$B$2:$I$30,MATCH(CT353,Boundaries!$A$2:$A$30,0),0),1)-1,""))</f>
        <v/>
      </c>
      <c r="BL353" s="42" t="str">
        <f aca="false">IF(OR(BK353="",$E353=""),"",BK353-$E353)</f>
        <v/>
      </c>
      <c r="BM353" s="39"/>
      <c r="BN353" s="40" t="str">
        <f aca="false">IF(OR(BM353="",CG353=""),"",BM353/CG353*100)</f>
        <v/>
      </c>
      <c r="BO353" s="41" t="str">
        <f aca="false">IF(BN353="","",IFERROR(MATCH(BN353,INDEX(Boundaries!$B$2:$I$30,MATCH(CU353,Boundaries!$A$2:$A$30,0),0),1)-1,""))</f>
        <v/>
      </c>
      <c r="BP353" s="42" t="str">
        <f aca="false">IF(OR(BO353="",$E353=""),"",BO353-$E353)</f>
        <v/>
      </c>
      <c r="BQ353" s="39"/>
      <c r="BR353" s="40" t="str">
        <f aca="false">IF(OR(BQ353="",CH353=""),"",BQ353/CH353*100)</f>
        <v/>
      </c>
      <c r="BS353" s="41" t="str">
        <f aca="false">IF(BR353="","",IFERROR(MATCH(BR353,INDEX(Boundaries!$B$2:$I$30,MATCH(CV353,Boundaries!$A$2:$A$30,0),0),1)-1,""))</f>
        <v/>
      </c>
      <c r="BT353" s="42" t="str">
        <f aca="false">IF(OR(BS353="",$E353=""),"",BS353-$E353)</f>
        <v/>
      </c>
      <c r="BU353" s="28" t="n">
        <f aca="false">IFERROR(INDEX(Assessments!$H$2:$H$600,MATCH($H353&amp;"|"&amp;$I353&amp;"|"&amp;$J353&amp;"|"&amp;1,Assessments!$A$2:$A$600,0)),"")</f>
        <v>24</v>
      </c>
      <c r="BV353" s="28" t="n">
        <f aca="false">IFERROR(INDEX(Assessments!$H$2:$H$600,MATCH($H353&amp;"|"&amp;$I353&amp;"|"&amp;$J353&amp;"|"&amp;2,Assessments!$A$2:$A$600,0)),"")</f>
        <v>20</v>
      </c>
      <c r="BW353" s="28" t="n">
        <f aca="false">IFERROR(INDEX(Assessments!$H$2:$H$600,MATCH($H353&amp;"|"&amp;$I353&amp;"|"&amp;$J353&amp;"|"&amp;3,Assessments!$A$2:$A$600,0)),"")</f>
        <v>24</v>
      </c>
      <c r="BX353" s="28" t="n">
        <f aca="false">IFERROR(INDEX(Assessments!$H$2:$H$600,MATCH($H353&amp;"|"&amp;$I353&amp;"|"&amp;$J353&amp;"|"&amp;4,Assessments!$A$2:$A$600,0)),"")</f>
        <v>40</v>
      </c>
      <c r="BY353" s="28" t="n">
        <f aca="false">IFERROR(INDEX(Assessments!$H$2:$H$600,MATCH($H353&amp;"|"&amp;$I353&amp;"|"&amp;$J353&amp;"|"&amp;5,Assessments!$A$2:$A$600,0)),"")</f>
        <v>30</v>
      </c>
      <c r="BZ353" s="28" t="n">
        <f aca="false">IFERROR(INDEX(Assessments!$H$2:$H$600,MATCH($H353&amp;"|"&amp;$I353&amp;"|"&amp;$J353&amp;"|"&amp;6,Assessments!$A$2:$A$600,0)),"")</f>
        <v>20</v>
      </c>
      <c r="CA353" s="28" t="str">
        <f aca="false">IFERROR(INDEX(Assessments!$H$2:$H$600,MATCH($H353&amp;"|"&amp;$I353&amp;"|"&amp;$J353&amp;"|"&amp;7,Assessments!$A$2:$A$600,0)),"")</f>
        <v/>
      </c>
      <c r="CB353" s="28" t="str">
        <f aca="false">IFERROR(INDEX(Assessments!$H$2:$H$600,MATCH($H353&amp;"|"&amp;$I353&amp;"|"&amp;$J353&amp;"|"&amp;8,Assessments!$A$2:$A$600,0)),"")</f>
        <v/>
      </c>
      <c r="CC353" s="28" t="str">
        <f aca="false">IFERROR(INDEX(Assessments!$H$2:$H$600,MATCH($H353&amp;"|"&amp;$I353&amp;"|"&amp;$J353&amp;"|"&amp;9,Assessments!$A$2:$A$600,0)),"")</f>
        <v/>
      </c>
      <c r="CD353" s="28" t="str">
        <f aca="false">IFERROR(INDEX(Assessments!$H$2:$H$600,MATCH($H353&amp;"|"&amp;$I353&amp;"|"&amp;$J353&amp;"|"&amp;10,Assessments!$A$2:$A$600,0)),"")</f>
        <v/>
      </c>
      <c r="CE353" s="28" t="str">
        <f aca="false">IFERROR(INDEX(Assessments!$H$2:$H$600,MATCH($H353&amp;"|"&amp;$I353&amp;"|"&amp;$J353&amp;"|"&amp;11,Assessments!$A$2:$A$600,0)),"")</f>
        <v/>
      </c>
      <c r="CF353" s="28" t="str">
        <f aca="false">IFERROR(INDEX(Assessments!$H$2:$H$600,MATCH($H353&amp;"|"&amp;$I353&amp;"|"&amp;$J353&amp;"|"&amp;12,Assessments!$A$2:$A$600,0)),"")</f>
        <v/>
      </c>
      <c r="CG353" s="28" t="str">
        <f aca="false">IFERROR(INDEX(Assessments!$H$2:$H$600,MATCH($H353&amp;"|"&amp;$I353&amp;"|"&amp;$J353&amp;"|"&amp;13,Assessments!$A$2:$A$600,0)),"")</f>
        <v/>
      </c>
      <c r="CH353" s="28" t="str">
        <f aca="false">IFERROR(INDEX(Assessments!$H$2:$H$600,MATCH($H353&amp;"|"&amp;$I353&amp;"|"&amp;$J353&amp;"|"&amp;14,Assessments!$A$2:$A$600,0)),"")</f>
        <v/>
      </c>
      <c r="CI353" s="28" t="str">
        <f aca="false">IFERROR(INDEX(Assessments!$I$2:$I$600,MATCH($H353&amp;"|"&amp;$I353&amp;"|"&amp;$J353&amp;"|"&amp;1,Assessments!$A$2:$A$600,0)),"")</f>
        <v>BM Test</v>
      </c>
      <c r="CJ353" s="28" t="str">
        <f aca="false">IFERROR(INDEX(Assessments!$I$2:$I$600,MATCH($H353&amp;"|"&amp;$I353&amp;"|"&amp;$J353&amp;"|"&amp;2,Assessments!$A$2:$A$600,0)),"")</f>
        <v>BM Test</v>
      </c>
      <c r="CK353" s="28" t="str">
        <f aca="false">IFERROR(INDEX(Assessments!$I$2:$I$600,MATCH($H353&amp;"|"&amp;$I353&amp;"|"&amp;$J353&amp;"|"&amp;3,Assessments!$A$2:$A$600,0)),"")</f>
        <v>BM Test</v>
      </c>
      <c r="CL353" s="28" t="str">
        <f aca="false">IFERROR(INDEX(Assessments!$I$2:$I$600,MATCH($H353&amp;"|"&amp;$I353&amp;"|"&amp;$J353&amp;"|"&amp;4,Assessments!$A$2:$A$600,0)),"")</f>
        <v>BM Exam</v>
      </c>
      <c r="CM353" s="28" t="str">
        <f aca="false">IFERROR(INDEX(Assessments!$I$2:$I$600,MATCH($H353&amp;"|"&amp;$I353&amp;"|"&amp;$J353&amp;"|"&amp;5,Assessments!$A$2:$A$600,0)),"")</f>
        <v>BM Test</v>
      </c>
      <c r="CN353" s="28" t="str">
        <f aca="false">IFERROR(INDEX(Assessments!$I$2:$I$600,MATCH($H353&amp;"|"&amp;$I353&amp;"|"&amp;$J353&amp;"|"&amp;6,Assessments!$A$2:$A$600,0)),"")</f>
        <v>BM Test</v>
      </c>
      <c r="CO353" s="28" t="str">
        <f aca="false">IFERROR(INDEX(Assessments!$I$2:$I$600,MATCH($H353&amp;"|"&amp;$I353&amp;"|"&amp;$J353&amp;"|"&amp;7,Assessments!$A$2:$A$600,0)),"")</f>
        <v/>
      </c>
      <c r="CP353" s="28" t="str">
        <f aca="false">IFERROR(INDEX(Assessments!$I$2:$I$600,MATCH($H353&amp;"|"&amp;$I353&amp;"|"&amp;$J353&amp;"|"&amp;8,Assessments!$A$2:$A$600,0)),"")</f>
        <v/>
      </c>
      <c r="CQ353" s="28" t="str">
        <f aca="false">IFERROR(INDEX(Assessments!$I$2:$I$600,MATCH($H353&amp;"|"&amp;$I353&amp;"|"&amp;$J353&amp;"|"&amp;9,Assessments!$A$2:$A$600,0)),"")</f>
        <v/>
      </c>
      <c r="CR353" s="28" t="str">
        <f aca="false">IFERROR(INDEX(Assessments!$I$2:$I$600,MATCH($H353&amp;"|"&amp;$I353&amp;"|"&amp;$J353&amp;"|"&amp;10,Assessments!$A$2:$A$600,0)),"")</f>
        <v/>
      </c>
      <c r="CS353" s="28" t="str">
        <f aca="false">IFERROR(INDEX(Assessments!$I$2:$I$600,MATCH($H353&amp;"|"&amp;$I353&amp;"|"&amp;$J353&amp;"|"&amp;11,Assessments!$A$2:$A$600,0)),"")</f>
        <v/>
      </c>
      <c r="CT353" s="28" t="str">
        <f aca="false">IFERROR(INDEX(Assessments!$I$2:$I$600,MATCH($H353&amp;"|"&amp;$I353&amp;"|"&amp;$J353&amp;"|"&amp;12,Assessments!$A$2:$A$600,0)),"")</f>
        <v/>
      </c>
      <c r="CU353" s="28" t="str">
        <f aca="false">IFERROR(INDEX(Assessments!$I$2:$I$600,MATCH($H353&amp;"|"&amp;$I353&amp;"|"&amp;$J353&amp;"|"&amp;13,Assessments!$A$2:$A$600,0)),"")</f>
        <v/>
      </c>
      <c r="CV353" s="28" t="str">
        <f aca="false">IFERROR(INDEX(Assessments!$I$2:$I$600,MATCH($H353&amp;"|"&amp;$I353&amp;"|"&amp;$J353&amp;"|"&amp;14,Assessments!$A$2:$A$600,0)),"")</f>
        <v/>
      </c>
      <c r="CW353" s="28" t="n">
        <f aca="false">IFERROR(INDEX(Assessments!$J$2:$J$600,MATCH($H353&amp;"|"&amp;$I353&amp;"|"&amp;$J353&amp;"|"&amp;1,Assessments!$A$2:$A$600,0)),0)</f>
        <v>1</v>
      </c>
      <c r="CX353" s="28" t="n">
        <f aca="false">IFERROR(INDEX(Assessments!$J$2:$J$600,MATCH($H353&amp;"|"&amp;$I353&amp;"|"&amp;$J353&amp;"|"&amp;2,Assessments!$A$2:$A$600,0)),0)</f>
        <v>1</v>
      </c>
      <c r="CY353" s="28" t="n">
        <f aca="false">IFERROR(INDEX(Assessments!$J$2:$J$600,MATCH($H353&amp;"|"&amp;$I353&amp;"|"&amp;$J353&amp;"|"&amp;3,Assessments!$A$2:$A$600,0)),0)</f>
        <v>1</v>
      </c>
      <c r="CZ353" s="28" t="n">
        <f aca="false">IFERROR(INDEX(Assessments!$J$2:$J$600,MATCH($H353&amp;"|"&amp;$I353&amp;"|"&amp;$J353&amp;"|"&amp;4,Assessments!$A$2:$A$600,0)),0)</f>
        <v>2</v>
      </c>
      <c r="DA353" s="28" t="n">
        <f aca="false">IFERROR(INDEX(Assessments!$J$2:$J$600,MATCH($H353&amp;"|"&amp;$I353&amp;"|"&amp;$J353&amp;"|"&amp;5,Assessments!$A$2:$A$600,0)),0)</f>
        <v>1</v>
      </c>
      <c r="DB353" s="28" t="n">
        <f aca="false">IFERROR(INDEX(Assessments!$J$2:$J$600,MATCH($H353&amp;"|"&amp;$I353&amp;"|"&amp;$J353&amp;"|"&amp;6,Assessments!$A$2:$A$600,0)),0)</f>
        <v>1</v>
      </c>
      <c r="DC353" s="28" t="n">
        <f aca="false">IFERROR(INDEX(Assessments!$J$2:$J$600,MATCH($H353&amp;"|"&amp;$I353&amp;"|"&amp;$J353&amp;"|"&amp;7,Assessments!$A$2:$A$600,0)),0)</f>
        <v>0</v>
      </c>
      <c r="DD353" s="28" t="n">
        <f aca="false">IFERROR(INDEX(Assessments!$J$2:$J$600,MATCH($H353&amp;"|"&amp;$I353&amp;"|"&amp;$J353&amp;"|"&amp;8,Assessments!$A$2:$A$600,0)),0)</f>
        <v>0</v>
      </c>
      <c r="DE353" s="28" t="n">
        <f aca="false">IFERROR(INDEX(Assessments!$J$2:$J$600,MATCH($H353&amp;"|"&amp;$I353&amp;"|"&amp;$J353&amp;"|"&amp;9,Assessments!$A$2:$A$600,0)),0)</f>
        <v>0</v>
      </c>
      <c r="DF353" s="28" t="n">
        <f aca="false">IFERROR(INDEX(Assessments!$J$2:$J$600,MATCH($H353&amp;"|"&amp;$I353&amp;"|"&amp;$J353&amp;"|"&amp;10,Assessments!$A$2:$A$600,0)),0)</f>
        <v>0</v>
      </c>
      <c r="DG353" s="28" t="n">
        <f aca="false">IFERROR(INDEX(Assessments!$J$2:$J$600,MATCH($H353&amp;"|"&amp;$I353&amp;"|"&amp;$J353&amp;"|"&amp;11,Assessments!$A$2:$A$600,0)),0)</f>
        <v>0</v>
      </c>
      <c r="DH353" s="28" t="n">
        <f aca="false">IFERROR(INDEX(Assessments!$J$2:$J$600,MATCH($H353&amp;"|"&amp;$I353&amp;"|"&amp;$J353&amp;"|"&amp;12,Assessments!$A$2:$A$600,0)),0)</f>
        <v>0</v>
      </c>
      <c r="DI353" s="28" t="n">
        <f aca="false">IFERROR(INDEX(Assessments!$J$2:$J$600,MATCH($H353&amp;"|"&amp;$I353&amp;"|"&amp;$J353&amp;"|"&amp;13,Assessments!$A$2:$A$600,0)),0)</f>
        <v>0</v>
      </c>
      <c r="DJ353" s="28" t="n">
        <f aca="false">IFERROR(INDEX(Assessments!$J$2:$J$600,MATCH($H353&amp;"|"&amp;$I353&amp;"|"&amp;$J353&amp;"|"&amp;14,Assessments!$A$2:$A$600,0)),0)</f>
        <v>0</v>
      </c>
      <c r="DK353" s="28" t="str">
        <f aca="false">S353</f>
        <v/>
      </c>
      <c r="DL353" s="28" t="str">
        <f aca="false">W353</f>
        <v/>
      </c>
      <c r="DM353" s="28" t="str">
        <f aca="false">AA353</f>
        <v/>
      </c>
      <c r="DN353" s="28" t="str">
        <f aca="false">AE353</f>
        <v/>
      </c>
      <c r="DO353" s="28" t="str">
        <f aca="false">AI353</f>
        <v/>
      </c>
      <c r="DP353" s="28" t="str">
        <f aca="false">AM353</f>
        <v/>
      </c>
      <c r="DQ353" s="28" t="str">
        <f aca="false">AQ353</f>
        <v/>
      </c>
      <c r="DR353" s="28" t="str">
        <f aca="false">AU353</f>
        <v/>
      </c>
      <c r="DS353" s="28" t="str">
        <f aca="false">AY353</f>
        <v/>
      </c>
      <c r="DT353" s="28" t="str">
        <f aca="false">BC353</f>
        <v/>
      </c>
      <c r="DU353" s="28" t="str">
        <f aca="false">BG353</f>
        <v/>
      </c>
      <c r="DV353" s="28" t="str">
        <f aca="false">BK353</f>
        <v/>
      </c>
      <c r="DW353" s="28" t="str">
        <f aca="false">BO353</f>
        <v/>
      </c>
      <c r="DX353" s="28" t="str">
        <f aca="false">BS353</f>
        <v/>
      </c>
      <c r="DY353" s="28" t="str">
        <f aca="false">IF(ISNUMBER(S353),1,"")</f>
        <v/>
      </c>
      <c r="DZ353" s="28" t="str">
        <f aca="false">IF(ISNUMBER(W353),2,"")</f>
        <v/>
      </c>
      <c r="EA353" s="28" t="str">
        <f aca="false">IF(ISNUMBER(AA353),3,"")</f>
        <v/>
      </c>
      <c r="EB353" s="28" t="str">
        <f aca="false">IF(ISNUMBER(AE353),4,"")</f>
        <v/>
      </c>
      <c r="EC353" s="28" t="str">
        <f aca="false">IF(ISNUMBER(AI353),5,"")</f>
        <v/>
      </c>
      <c r="ED353" s="28" t="str">
        <f aca="false">IF(ISNUMBER(AM353),6,"")</f>
        <v/>
      </c>
      <c r="EE353" s="28" t="str">
        <f aca="false">IF(ISNUMBER(AQ353),7,"")</f>
        <v/>
      </c>
      <c r="EF353" s="28" t="str">
        <f aca="false">IF(ISNUMBER(AU353),8,"")</f>
        <v/>
      </c>
      <c r="EG353" s="28" t="str">
        <f aca="false">IF(ISNUMBER(AY353),9,"")</f>
        <v/>
      </c>
      <c r="EH353" s="28" t="str">
        <f aca="false">IF(ISNUMBER(BC353),10,"")</f>
        <v/>
      </c>
      <c r="EI353" s="28" t="str">
        <f aca="false">IF(ISNUMBER(BG353),11,"")</f>
        <v/>
      </c>
      <c r="EJ353" s="28" t="str">
        <f aca="false">IF(ISNUMBER(BK353),12,"")</f>
        <v/>
      </c>
      <c r="EK353" s="28" t="str">
        <f aca="false">IF(ISNUMBER(BO353),13,"")</f>
        <v/>
      </c>
      <c r="EL353" s="28" t="str">
        <f aca="false">IF(ISNUMBER(BS353),14,"")</f>
        <v/>
      </c>
      <c r="EM353" s="28" t="n">
        <f aca="false">IF(ISNUMBER(R353),R353*CW353,0)</f>
        <v>0</v>
      </c>
      <c r="EN353" s="28" t="n">
        <f aca="false">IF(ISNUMBER(V353),V353*CX353,0)</f>
        <v>0</v>
      </c>
      <c r="EO353" s="28" t="n">
        <f aca="false">IF(ISNUMBER(Z353),Z353*CY353,0)</f>
        <v>0</v>
      </c>
      <c r="EP353" s="28" t="n">
        <f aca="false">IF(ISNUMBER(AD353),AD353*CZ353,0)</f>
        <v>0</v>
      </c>
      <c r="EQ353" s="28" t="n">
        <f aca="false">IF(ISNUMBER(AH353),AH353*DA353,0)</f>
        <v>0</v>
      </c>
      <c r="ER353" s="28" t="n">
        <f aca="false">IF(ISNUMBER(AL353),AL353*DB353,0)</f>
        <v>0</v>
      </c>
      <c r="ES353" s="28" t="n">
        <f aca="false">IF(ISNUMBER(AP353),AP353*DC353,0)</f>
        <v>0</v>
      </c>
      <c r="ET353" s="28" t="n">
        <f aca="false">IF(ISNUMBER(AT353),AT353*DD353,0)</f>
        <v>0</v>
      </c>
      <c r="EU353" s="28" t="n">
        <f aca="false">IF(ISNUMBER(AX353),AX353*DE353,0)</f>
        <v>0</v>
      </c>
      <c r="EV353" s="28" t="n">
        <f aca="false">IF(ISNUMBER(BB353),BB353*DF353,0)</f>
        <v>0</v>
      </c>
      <c r="EW353" s="28" t="n">
        <f aca="false">IF(ISNUMBER(BF353),BF353*DG353,0)</f>
        <v>0</v>
      </c>
      <c r="EX353" s="28" t="n">
        <f aca="false">IF(ISNUMBER(BJ353),BJ353*DH353,0)</f>
        <v>0</v>
      </c>
      <c r="EY353" s="28" t="n">
        <f aca="false">IF(ISNUMBER(BN353),BN353*DI353,0)</f>
        <v>0</v>
      </c>
      <c r="EZ353" s="28" t="n">
        <f aca="false">IF(ISNUMBER(BR353),BR353*DJ353,0)</f>
        <v>0</v>
      </c>
      <c r="FA353" s="28" t="n">
        <f aca="false">IF(ISNUMBER(R353),CW353,0)</f>
        <v>0</v>
      </c>
      <c r="FB353" s="28" t="n">
        <f aca="false">IF(ISNUMBER(V353),CX353,0)</f>
        <v>0</v>
      </c>
      <c r="FC353" s="28" t="n">
        <f aca="false">IF(ISNUMBER(Z353),CY353,0)</f>
        <v>0</v>
      </c>
      <c r="FD353" s="28" t="n">
        <f aca="false">IF(ISNUMBER(AD353),CZ353,0)</f>
        <v>0</v>
      </c>
      <c r="FE353" s="28" t="n">
        <f aca="false">IF(ISNUMBER(AH353),DA353,0)</f>
        <v>0</v>
      </c>
      <c r="FF353" s="28" t="n">
        <f aca="false">IF(ISNUMBER(AL353),DB353,0)</f>
        <v>0</v>
      </c>
      <c r="FG353" s="28" t="n">
        <f aca="false">IF(ISNUMBER(AP353),DC353,0)</f>
        <v>0</v>
      </c>
      <c r="FH353" s="28" t="n">
        <f aca="false">IF(ISNUMBER(AT353),DD353,0)</f>
        <v>0</v>
      </c>
      <c r="FI353" s="28" t="n">
        <f aca="false">IF(ISNUMBER(AX353),DE353,0)</f>
        <v>0</v>
      </c>
      <c r="FJ353" s="28" t="n">
        <f aca="false">IF(ISNUMBER(BB353),DF353,0)</f>
        <v>0</v>
      </c>
      <c r="FK353" s="28" t="n">
        <f aca="false">IF(ISNUMBER(BF353),DG353,0)</f>
        <v>0</v>
      </c>
      <c r="FL353" s="28" t="n">
        <f aca="false">IF(ISNUMBER(BJ353),DH353,0)</f>
        <v>0</v>
      </c>
      <c r="FM353" s="28" t="n">
        <f aca="false">IF(ISNUMBER(BN353),DI353,0)</f>
        <v>0</v>
      </c>
      <c r="FN353" s="28" t="n">
        <f aca="false">IF(ISNUMBER(BR353),DJ353,0)</f>
        <v>0</v>
      </c>
      <c r="FO353" s="28" t="str">
        <f aca="false">IFERROR(INDEX(Lists!$G$2:$G$20,MATCH($I353&amp;"|"&amp;$J353,Lists!$F$2:$F$20,0)),"")</f>
        <v>BM Exam</v>
      </c>
    </row>
    <row r="354" customFormat="false" ht="19.5" hidden="false" customHeight="true" outlineLevel="0" collapsed="false">
      <c r="A354" s="29" t="s">
        <v>445</v>
      </c>
      <c r="B354" s="29" t="s">
        <v>446</v>
      </c>
      <c r="C354" s="30" t="s">
        <v>152</v>
      </c>
      <c r="D354" s="30" t="s">
        <v>422</v>
      </c>
      <c r="E354" s="31"/>
      <c r="F354" s="30"/>
      <c r="G354" s="30"/>
      <c r="H354" s="32" t="s">
        <v>428</v>
      </c>
      <c r="I354" s="33" t="s">
        <v>416</v>
      </c>
      <c r="J354" s="32" t="s">
        <v>25</v>
      </c>
      <c r="K354" s="34" t="str">
        <f aca="false">IF(OR(M354="",$E354=""),"",M354-$E354)</f>
        <v/>
      </c>
      <c r="L354" s="35" t="n">
        <f aca="false">IF(SUM(FA354:FN354)=0,"",SUM(EM354:EZ354)/SUM(FA354:FN354))</f>
        <v>50</v>
      </c>
      <c r="M354" s="36" t="n">
        <f aca="false">IF(OR(L354="",FO354=""),"",IFERROR(MATCH(L354,INDEX(Boundaries!$B$2:$I$30,MATCH(FO354,Boundaries!$A$2:$A$30,0),0),1)-1,""))</f>
        <v>5</v>
      </c>
      <c r="N354" s="37" t="str">
        <f aca="false">IF(COUNT($DY354:$EL354)&lt;2,"",INDEX($DK354:$DX354,MAX($DY354:$EL354))-INDEX($DK354:$DX354,MIN($DY354:$EL354)))</f>
        <v/>
      </c>
      <c r="O354" s="37" t="str">
        <f aca="false">IF(COUNT($DY354:$EL354)&lt;2,"",INDEX($DK354:$DX354,MAX($DY354:$EL354))-INDEX($DK354:$DX354,LARGE($DY354:$EL354,2)))</f>
        <v/>
      </c>
      <c r="P354" s="38" t="str">
        <f aca="false">IF(K354="","",IF(K354&gt;=0,"On/above target",IF(AND(N354&lt;&gt;"",N354&gt;=0.5),"Improving towards target",IF(AND(O354&lt;&gt;"",O354&lt;=-0.5),"Declining","Stable below target"))))</f>
        <v/>
      </c>
      <c r="Q354" s="39"/>
      <c r="R354" s="40" t="str">
        <f aca="false">IF(OR(Q354="",BU354=""),"",Q354/BU354*100)</f>
        <v/>
      </c>
      <c r="S354" s="41" t="str">
        <f aca="false">IF(R354="","",IFERROR(MATCH(R354,INDEX(Boundaries!$B$2:$I$30,MATCH(CI354,Boundaries!$A$2:$A$30,0),0),1)-1,""))</f>
        <v/>
      </c>
      <c r="T354" s="42" t="str">
        <f aca="false">IF(OR(S354="",$E354=""),"",S354-$E354)</f>
        <v/>
      </c>
      <c r="U354" s="39" t="n">
        <v>5</v>
      </c>
      <c r="V354" s="40" t="n">
        <f aca="false">IF(OR(U354="",BV354=""),"",U354/BV354*100)</f>
        <v>50</v>
      </c>
      <c r="W354" s="41" t="n">
        <f aca="false">IF(V354="","",IFERROR(MATCH(V354,INDEX(Boundaries!$B$2:$I$30,MATCH(CJ354,Boundaries!$A$2:$A$30,0),0),1)-1,""))</f>
        <v>4</v>
      </c>
      <c r="X354" s="42" t="str">
        <f aca="false">IF(OR(W354="",$E354=""),"",W354-$E354)</f>
        <v/>
      </c>
      <c r="Y354" s="39"/>
      <c r="Z354" s="40" t="str">
        <f aca="false">IF(OR(Y354="",BW354=""),"",Y354/BW354*100)</f>
        <v/>
      </c>
      <c r="AA354" s="41" t="str">
        <f aca="false">IF(Z354="","",IFERROR(MATCH(Z354,INDEX(Boundaries!$B$2:$I$30,MATCH(CK354,Boundaries!$A$2:$A$30,0),0),1)-1,""))</f>
        <v/>
      </c>
      <c r="AB354" s="42" t="str">
        <f aca="false">IF(OR(AA354="",$E354=""),"",AA354-$E354)</f>
        <v/>
      </c>
      <c r="AC354" s="39"/>
      <c r="AD354" s="40" t="str">
        <f aca="false">IF(OR(AC354="",BX354=""),"",AC354/BX354*100)</f>
        <v/>
      </c>
      <c r="AE354" s="41" t="str">
        <f aca="false">IF(AD354="","",IFERROR(MATCH(AD354,INDEX(Boundaries!$B$2:$I$30,MATCH(CL354,Boundaries!$A$2:$A$30,0),0),1)-1,""))</f>
        <v/>
      </c>
      <c r="AF354" s="42" t="str">
        <f aca="false">IF(OR(AE354="",$E354=""),"",AE354-$E354)</f>
        <v/>
      </c>
      <c r="AG354" s="39"/>
      <c r="AH354" s="40" t="str">
        <f aca="false">IF(OR(AG354="",BY354=""),"",AG354/BY354*100)</f>
        <v/>
      </c>
      <c r="AI354" s="41" t="str">
        <f aca="false">IF(AH354="","",IFERROR(MATCH(AH354,INDEX(Boundaries!$B$2:$I$30,MATCH(CM354,Boundaries!$A$2:$A$30,0),0),1)-1,""))</f>
        <v/>
      </c>
      <c r="AJ354" s="42" t="str">
        <f aca="false">IF(OR(AI354="",$E354=""),"",AI354-$E354)</f>
        <v/>
      </c>
      <c r="AK354" s="39"/>
      <c r="AL354" s="40" t="str">
        <f aca="false">IF(OR(AK354="",BZ354=""),"",AK354/BZ354*100)</f>
        <v/>
      </c>
      <c r="AM354" s="41" t="str">
        <f aca="false">IF(AL354="","",IFERROR(MATCH(AL354,INDEX(Boundaries!$B$2:$I$30,MATCH(CN354,Boundaries!$A$2:$A$30,0),0),1)-1,""))</f>
        <v/>
      </c>
      <c r="AN354" s="42" t="str">
        <f aca="false">IF(OR(AM354="",$E354=""),"",AM354-$E354)</f>
        <v/>
      </c>
      <c r="AO354" s="39"/>
      <c r="AP354" s="40" t="str">
        <f aca="false">IF(OR(AO354="",CA354=""),"",AO354/CA354*100)</f>
        <v/>
      </c>
      <c r="AQ354" s="41" t="str">
        <f aca="false">IF(AP354="","",IFERROR(MATCH(AP354,INDEX(Boundaries!$B$2:$I$30,MATCH(CO354,Boundaries!$A$2:$A$30,0),0),1)-1,""))</f>
        <v/>
      </c>
      <c r="AR354" s="42" t="str">
        <f aca="false">IF(OR(AQ354="",$E354=""),"",AQ354-$E354)</f>
        <v/>
      </c>
      <c r="AS354" s="39"/>
      <c r="AT354" s="40" t="str">
        <f aca="false">IF(OR(AS354="",CB354=""),"",AS354/CB354*100)</f>
        <v/>
      </c>
      <c r="AU354" s="41" t="str">
        <f aca="false">IF(AT354="","",IFERROR(MATCH(AT354,INDEX(Boundaries!$B$2:$I$30,MATCH(CP354,Boundaries!$A$2:$A$30,0),0),1)-1,""))</f>
        <v/>
      </c>
      <c r="AV354" s="42" t="str">
        <f aca="false">IF(OR(AU354="",$E354=""),"",AU354-$E354)</f>
        <v/>
      </c>
      <c r="AW354" s="39"/>
      <c r="AX354" s="40" t="str">
        <f aca="false">IF(OR(AW354="",CC354=""),"",AW354/CC354*100)</f>
        <v/>
      </c>
      <c r="AY354" s="41" t="str">
        <f aca="false">IF(AX354="","",IFERROR(MATCH(AX354,INDEX(Boundaries!$B$2:$I$30,MATCH(CQ354,Boundaries!$A$2:$A$30,0),0),1)-1,""))</f>
        <v/>
      </c>
      <c r="AZ354" s="42" t="str">
        <f aca="false">IF(OR(AY354="",$E354=""),"",AY354-$E354)</f>
        <v/>
      </c>
      <c r="BA354" s="39"/>
      <c r="BB354" s="40" t="str">
        <f aca="false">IF(OR(BA354="",CD354=""),"",BA354/CD354*100)</f>
        <v/>
      </c>
      <c r="BC354" s="41" t="str">
        <f aca="false">IF(BB354="","",IFERROR(MATCH(BB354,INDEX(Boundaries!$B$2:$I$30,MATCH(CR354,Boundaries!$A$2:$A$30,0),0),1)-1,""))</f>
        <v/>
      </c>
      <c r="BD354" s="42" t="str">
        <f aca="false">IF(OR(BC354="",$E354=""),"",BC354-$E354)</f>
        <v/>
      </c>
      <c r="BE354" s="39"/>
      <c r="BF354" s="40" t="str">
        <f aca="false">IF(OR(BE354="",CE354=""),"",BE354/CE354*100)</f>
        <v/>
      </c>
      <c r="BG354" s="41" t="str">
        <f aca="false">IF(BF354="","",IFERROR(MATCH(BF354,INDEX(Boundaries!$B$2:$I$30,MATCH(CS354,Boundaries!$A$2:$A$30,0),0),1)-1,""))</f>
        <v/>
      </c>
      <c r="BH354" s="42" t="str">
        <f aca="false">IF(OR(BG354="",$E354=""),"",BG354-$E354)</f>
        <v/>
      </c>
      <c r="BI354" s="39"/>
      <c r="BJ354" s="40" t="str">
        <f aca="false">IF(OR(BI354="",CF354=""),"",BI354/CF354*100)</f>
        <v/>
      </c>
      <c r="BK354" s="41" t="str">
        <f aca="false">IF(BJ354="","",IFERROR(MATCH(BJ354,INDEX(Boundaries!$B$2:$I$30,MATCH(CT354,Boundaries!$A$2:$A$30,0),0),1)-1,""))</f>
        <v/>
      </c>
      <c r="BL354" s="42" t="str">
        <f aca="false">IF(OR(BK354="",$E354=""),"",BK354-$E354)</f>
        <v/>
      </c>
      <c r="BM354" s="39"/>
      <c r="BN354" s="40" t="str">
        <f aca="false">IF(OR(BM354="",CG354=""),"",BM354/CG354*100)</f>
        <v/>
      </c>
      <c r="BO354" s="41" t="str">
        <f aca="false">IF(BN354="","",IFERROR(MATCH(BN354,INDEX(Boundaries!$B$2:$I$30,MATCH(CU354,Boundaries!$A$2:$A$30,0),0),1)-1,""))</f>
        <v/>
      </c>
      <c r="BP354" s="42" t="str">
        <f aca="false">IF(OR(BO354="",$E354=""),"",BO354-$E354)</f>
        <v/>
      </c>
      <c r="BQ354" s="39"/>
      <c r="BR354" s="40" t="str">
        <f aca="false">IF(OR(BQ354="",CH354=""),"",BQ354/CH354*100)</f>
        <v/>
      </c>
      <c r="BS354" s="41" t="str">
        <f aca="false">IF(BR354="","",IFERROR(MATCH(BR354,INDEX(Boundaries!$B$2:$I$30,MATCH(CV354,Boundaries!$A$2:$A$30,0),0),1)-1,""))</f>
        <v/>
      </c>
      <c r="BT354" s="42" t="str">
        <f aca="false">IF(OR(BS354="",$E354=""),"",BS354-$E354)</f>
        <v/>
      </c>
      <c r="BU354" s="28" t="n">
        <f aca="false">IFERROR(INDEX(Assessments!$H$2:$H$600,MATCH($H354&amp;"|"&amp;$I354&amp;"|"&amp;$J354&amp;"|"&amp;1,Assessments!$A$2:$A$600,0)),"")</f>
        <v>15</v>
      </c>
      <c r="BV354" s="28" t="n">
        <f aca="false">IFERROR(INDEX(Assessments!$H$2:$H$600,MATCH($H354&amp;"|"&amp;$I354&amp;"|"&amp;$J354&amp;"|"&amp;2,Assessments!$A$2:$A$600,0)),"")</f>
        <v>10</v>
      </c>
      <c r="BW354" s="28" t="n">
        <f aca="false">IFERROR(INDEX(Assessments!$H$2:$H$600,MATCH($H354&amp;"|"&amp;$I354&amp;"|"&amp;$J354&amp;"|"&amp;3,Assessments!$A$2:$A$600,0)),"")</f>
        <v>24</v>
      </c>
      <c r="BX354" s="28" t="n">
        <f aca="false">IFERROR(INDEX(Assessments!$H$2:$H$600,MATCH($H354&amp;"|"&amp;$I354&amp;"|"&amp;$J354&amp;"|"&amp;4,Assessments!$A$2:$A$600,0)),"")</f>
        <v>15</v>
      </c>
      <c r="BY354" s="28" t="n">
        <f aca="false">IFERROR(INDEX(Assessments!$H$2:$H$600,MATCH($H354&amp;"|"&amp;$I354&amp;"|"&amp;$J354&amp;"|"&amp;5,Assessments!$A$2:$A$600,0)),"")</f>
        <v>15</v>
      </c>
      <c r="BZ354" s="28" t="n">
        <f aca="false">IFERROR(INDEX(Assessments!$H$2:$H$600,MATCH($H354&amp;"|"&amp;$I354&amp;"|"&amp;$J354&amp;"|"&amp;6,Assessments!$A$2:$A$600,0)),"")</f>
        <v>15</v>
      </c>
      <c r="CA354" s="28" t="n">
        <f aca="false">IFERROR(INDEX(Assessments!$H$2:$H$600,MATCH($H354&amp;"|"&amp;$I354&amp;"|"&amp;$J354&amp;"|"&amp;7,Assessments!$A$2:$A$600,0)),"")</f>
        <v>24</v>
      </c>
      <c r="CB354" s="28" t="n">
        <f aca="false">IFERROR(INDEX(Assessments!$H$2:$H$600,MATCH($H354&amp;"|"&amp;$I354&amp;"|"&amp;$J354&amp;"|"&amp;8,Assessments!$A$2:$A$600,0)),"")</f>
        <v>30</v>
      </c>
      <c r="CC354" s="28" t="n">
        <f aca="false">IFERROR(INDEX(Assessments!$H$2:$H$600,MATCH($H354&amp;"|"&amp;$I354&amp;"|"&amp;$J354&amp;"|"&amp;9,Assessments!$A$2:$A$600,0)),"")</f>
        <v>15</v>
      </c>
      <c r="CD354" s="28" t="str">
        <f aca="false">IFERROR(INDEX(Assessments!$H$2:$H$600,MATCH($H354&amp;"|"&amp;$I354&amp;"|"&amp;$J354&amp;"|"&amp;10,Assessments!$A$2:$A$600,0)),"")</f>
        <v/>
      </c>
      <c r="CE354" s="28" t="str">
        <f aca="false">IFERROR(INDEX(Assessments!$H$2:$H$600,MATCH($H354&amp;"|"&amp;$I354&amp;"|"&amp;$J354&amp;"|"&amp;11,Assessments!$A$2:$A$600,0)),"")</f>
        <v/>
      </c>
      <c r="CF354" s="28" t="str">
        <f aca="false">IFERROR(INDEX(Assessments!$H$2:$H$600,MATCH($H354&amp;"|"&amp;$I354&amp;"|"&amp;$J354&amp;"|"&amp;12,Assessments!$A$2:$A$600,0)),"")</f>
        <v/>
      </c>
      <c r="CG354" s="28" t="str">
        <f aca="false">IFERROR(INDEX(Assessments!$H$2:$H$600,MATCH($H354&amp;"|"&amp;$I354&amp;"|"&amp;$J354&amp;"|"&amp;13,Assessments!$A$2:$A$600,0)),"")</f>
        <v/>
      </c>
      <c r="CH354" s="28" t="str">
        <f aca="false">IFERROR(INDEX(Assessments!$H$2:$H$600,MATCH($H354&amp;"|"&amp;$I354&amp;"|"&amp;$J354&amp;"|"&amp;14,Assessments!$A$2:$A$600,0)),"")</f>
        <v/>
      </c>
      <c r="CI354" s="28" t="str">
        <f aca="false">IFERROR(INDEX(Assessments!$I$2:$I$600,MATCH($H354&amp;"|"&amp;$I354&amp;"|"&amp;$J354&amp;"|"&amp;1,Assessments!$A$2:$A$600,0)),"")</f>
        <v>Hist P3 essay</v>
      </c>
      <c r="CJ354" s="28" t="str">
        <f aca="false">IFERROR(INDEX(Assessments!$I$2:$I$600,MATCH($H354&amp;"|"&amp;$I354&amp;"|"&amp;$J354&amp;"|"&amp;2,Assessments!$A$2:$A$600,0)),"")</f>
        <v>Hist P2 partial</v>
      </c>
      <c r="CK354" s="28" t="str">
        <f aca="false">IFERROR(INDEX(Assessments!$I$2:$I$600,MATCH($H354&amp;"|"&amp;$I354&amp;"|"&amp;$J354&amp;"|"&amp;3,Assessments!$A$2:$A$600,0)),"")</f>
        <v>Hist P2 partial</v>
      </c>
      <c r="CL354" s="28" t="str">
        <f aca="false">IFERROR(INDEX(Assessments!$I$2:$I$600,MATCH($H354&amp;"|"&amp;$I354&amp;"|"&amp;$J354&amp;"|"&amp;4,Assessments!$A$2:$A$600,0)),"")</f>
        <v>Hist P3 essay</v>
      </c>
      <c r="CM354" s="28" t="str">
        <f aca="false">IFERROR(INDEX(Assessments!$I$2:$I$600,MATCH($H354&amp;"|"&amp;$I354&amp;"|"&amp;$J354&amp;"|"&amp;5,Assessments!$A$2:$A$600,0)),"")</f>
        <v>Hist P3 essay</v>
      </c>
      <c r="CN354" s="28" t="str">
        <f aca="false">IFERROR(INDEX(Assessments!$I$2:$I$600,MATCH($H354&amp;"|"&amp;$I354&amp;"|"&amp;$J354&amp;"|"&amp;6,Assessments!$A$2:$A$600,0)),"")</f>
        <v>Hist P3 essay</v>
      </c>
      <c r="CO354" s="28" t="str">
        <f aca="false">IFERROR(INDEX(Assessments!$I$2:$I$600,MATCH($H354&amp;"|"&amp;$I354&amp;"|"&amp;$J354&amp;"|"&amp;7,Assessments!$A$2:$A$600,0)),"")</f>
        <v>Hist Paper 1</v>
      </c>
      <c r="CP354" s="28" t="str">
        <f aca="false">IFERROR(INDEX(Assessments!$I$2:$I$600,MATCH($H354&amp;"|"&amp;$I354&amp;"|"&amp;$J354&amp;"|"&amp;8,Assessments!$A$2:$A$600,0)),"")</f>
        <v>Hist P2 full</v>
      </c>
      <c r="CQ354" s="28" t="str">
        <f aca="false">IFERROR(INDEX(Assessments!$I$2:$I$600,MATCH($H354&amp;"|"&amp;$I354&amp;"|"&amp;$J354&amp;"|"&amp;9,Assessments!$A$2:$A$600,0)),"")</f>
        <v>Hist P3 full</v>
      </c>
      <c r="CR354" s="28" t="str">
        <f aca="false">IFERROR(INDEX(Assessments!$I$2:$I$600,MATCH($H354&amp;"|"&amp;$I354&amp;"|"&amp;$J354&amp;"|"&amp;10,Assessments!$A$2:$A$600,0)),"")</f>
        <v/>
      </c>
      <c r="CS354" s="28" t="str">
        <f aca="false">IFERROR(INDEX(Assessments!$I$2:$I$600,MATCH($H354&amp;"|"&amp;$I354&amp;"|"&amp;$J354&amp;"|"&amp;11,Assessments!$A$2:$A$600,0)),"")</f>
        <v/>
      </c>
      <c r="CT354" s="28" t="str">
        <f aca="false">IFERROR(INDEX(Assessments!$I$2:$I$600,MATCH($H354&amp;"|"&amp;$I354&amp;"|"&amp;$J354&amp;"|"&amp;12,Assessments!$A$2:$A$600,0)),"")</f>
        <v/>
      </c>
      <c r="CU354" s="28" t="str">
        <f aca="false">IFERROR(INDEX(Assessments!$I$2:$I$600,MATCH($H354&amp;"|"&amp;$I354&amp;"|"&amp;$J354&amp;"|"&amp;13,Assessments!$A$2:$A$600,0)),"")</f>
        <v/>
      </c>
      <c r="CV354" s="28" t="str">
        <f aca="false">IFERROR(INDEX(Assessments!$I$2:$I$600,MATCH($H354&amp;"|"&amp;$I354&amp;"|"&amp;$J354&amp;"|"&amp;14,Assessments!$A$2:$A$600,0)),"")</f>
        <v/>
      </c>
      <c r="CW354" s="28" t="n">
        <f aca="false">IFERROR(INDEX(Assessments!$J$2:$J$600,MATCH($H354&amp;"|"&amp;$I354&amp;"|"&amp;$J354&amp;"|"&amp;1,Assessments!$A$2:$A$600,0)),0)</f>
        <v>1</v>
      </c>
      <c r="CX354" s="28" t="n">
        <f aca="false">IFERROR(INDEX(Assessments!$J$2:$J$600,MATCH($H354&amp;"|"&amp;$I354&amp;"|"&amp;$J354&amp;"|"&amp;2,Assessments!$A$2:$A$600,0)),0)</f>
        <v>1</v>
      </c>
      <c r="CY354" s="28" t="n">
        <f aca="false">IFERROR(INDEX(Assessments!$J$2:$J$600,MATCH($H354&amp;"|"&amp;$I354&amp;"|"&amp;$J354&amp;"|"&amp;3,Assessments!$A$2:$A$600,0)),0)</f>
        <v>1</v>
      </c>
      <c r="CZ354" s="28" t="n">
        <f aca="false">IFERROR(INDEX(Assessments!$J$2:$J$600,MATCH($H354&amp;"|"&amp;$I354&amp;"|"&amp;$J354&amp;"|"&amp;4,Assessments!$A$2:$A$600,0)),0)</f>
        <v>1</v>
      </c>
      <c r="DA354" s="28" t="n">
        <f aca="false">IFERROR(INDEX(Assessments!$J$2:$J$600,MATCH($H354&amp;"|"&amp;$I354&amp;"|"&amp;$J354&amp;"|"&amp;5,Assessments!$A$2:$A$600,0)),0)</f>
        <v>1</v>
      </c>
      <c r="DB354" s="28" t="n">
        <f aca="false">IFERROR(INDEX(Assessments!$J$2:$J$600,MATCH($H354&amp;"|"&amp;$I354&amp;"|"&amp;$J354&amp;"|"&amp;6,Assessments!$A$2:$A$600,0)),0)</f>
        <v>1</v>
      </c>
      <c r="DC354" s="28" t="n">
        <f aca="false">IFERROR(INDEX(Assessments!$J$2:$J$600,MATCH($H354&amp;"|"&amp;$I354&amp;"|"&amp;$J354&amp;"|"&amp;7,Assessments!$A$2:$A$600,0)),0)</f>
        <v>2</v>
      </c>
      <c r="DD354" s="28" t="n">
        <f aca="false">IFERROR(INDEX(Assessments!$J$2:$J$600,MATCH($H354&amp;"|"&amp;$I354&amp;"|"&amp;$J354&amp;"|"&amp;8,Assessments!$A$2:$A$600,0)),0)</f>
        <v>2</v>
      </c>
      <c r="DE354" s="28" t="n">
        <f aca="false">IFERROR(INDEX(Assessments!$J$2:$J$600,MATCH($H354&amp;"|"&amp;$I354&amp;"|"&amp;$J354&amp;"|"&amp;9,Assessments!$A$2:$A$600,0)),0)</f>
        <v>2</v>
      </c>
      <c r="DF354" s="28" t="n">
        <f aca="false">IFERROR(INDEX(Assessments!$J$2:$J$600,MATCH($H354&amp;"|"&amp;$I354&amp;"|"&amp;$J354&amp;"|"&amp;10,Assessments!$A$2:$A$600,0)),0)</f>
        <v>0</v>
      </c>
      <c r="DG354" s="28" t="n">
        <f aca="false">IFERROR(INDEX(Assessments!$J$2:$J$600,MATCH($H354&amp;"|"&amp;$I354&amp;"|"&amp;$J354&amp;"|"&amp;11,Assessments!$A$2:$A$600,0)),0)</f>
        <v>0</v>
      </c>
      <c r="DH354" s="28" t="n">
        <f aca="false">IFERROR(INDEX(Assessments!$J$2:$J$600,MATCH($H354&amp;"|"&amp;$I354&amp;"|"&amp;$J354&amp;"|"&amp;12,Assessments!$A$2:$A$600,0)),0)</f>
        <v>0</v>
      </c>
      <c r="DI354" s="28" t="n">
        <f aca="false">IFERROR(INDEX(Assessments!$J$2:$J$600,MATCH($H354&amp;"|"&amp;$I354&amp;"|"&amp;$J354&amp;"|"&amp;13,Assessments!$A$2:$A$600,0)),0)</f>
        <v>0</v>
      </c>
      <c r="DJ354" s="28" t="n">
        <f aca="false">IFERROR(INDEX(Assessments!$J$2:$J$600,MATCH($H354&amp;"|"&amp;$I354&amp;"|"&amp;$J354&amp;"|"&amp;14,Assessments!$A$2:$A$600,0)),0)</f>
        <v>0</v>
      </c>
      <c r="DK354" s="28" t="str">
        <f aca="false">S354</f>
        <v/>
      </c>
      <c r="DL354" s="28" t="n">
        <f aca="false">W354</f>
        <v>4</v>
      </c>
      <c r="DM354" s="28" t="str">
        <f aca="false">AA354</f>
        <v/>
      </c>
      <c r="DN354" s="28" t="str">
        <f aca="false">AE354</f>
        <v/>
      </c>
      <c r="DO354" s="28" t="str">
        <f aca="false">AI354</f>
        <v/>
      </c>
      <c r="DP354" s="28" t="str">
        <f aca="false">AM354</f>
        <v/>
      </c>
      <c r="DQ354" s="28" t="str">
        <f aca="false">AQ354</f>
        <v/>
      </c>
      <c r="DR354" s="28" t="str">
        <f aca="false">AU354</f>
        <v/>
      </c>
      <c r="DS354" s="28" t="str">
        <f aca="false">AY354</f>
        <v/>
      </c>
      <c r="DT354" s="28" t="str">
        <f aca="false">BC354</f>
        <v/>
      </c>
      <c r="DU354" s="28" t="str">
        <f aca="false">BG354</f>
        <v/>
      </c>
      <c r="DV354" s="28" t="str">
        <f aca="false">BK354</f>
        <v/>
      </c>
      <c r="DW354" s="28" t="str">
        <f aca="false">BO354</f>
        <v/>
      </c>
      <c r="DX354" s="28" t="str">
        <f aca="false">BS354</f>
        <v/>
      </c>
      <c r="DY354" s="28" t="str">
        <f aca="false">IF(ISNUMBER(S354),1,"")</f>
        <v/>
      </c>
      <c r="DZ354" s="28" t="n">
        <f aca="false">IF(ISNUMBER(W354),2,"")</f>
        <v>2</v>
      </c>
      <c r="EA354" s="28" t="str">
        <f aca="false">IF(ISNUMBER(AA354),3,"")</f>
        <v/>
      </c>
      <c r="EB354" s="28" t="str">
        <f aca="false">IF(ISNUMBER(AE354),4,"")</f>
        <v/>
      </c>
      <c r="EC354" s="28" t="str">
        <f aca="false">IF(ISNUMBER(AI354),5,"")</f>
        <v/>
      </c>
      <c r="ED354" s="28" t="str">
        <f aca="false">IF(ISNUMBER(AM354),6,"")</f>
        <v/>
      </c>
      <c r="EE354" s="28" t="str">
        <f aca="false">IF(ISNUMBER(AQ354),7,"")</f>
        <v/>
      </c>
      <c r="EF354" s="28" t="str">
        <f aca="false">IF(ISNUMBER(AU354),8,"")</f>
        <v/>
      </c>
      <c r="EG354" s="28" t="str">
        <f aca="false">IF(ISNUMBER(AY354),9,"")</f>
        <v/>
      </c>
      <c r="EH354" s="28" t="str">
        <f aca="false">IF(ISNUMBER(BC354),10,"")</f>
        <v/>
      </c>
      <c r="EI354" s="28" t="str">
        <f aca="false">IF(ISNUMBER(BG354),11,"")</f>
        <v/>
      </c>
      <c r="EJ354" s="28" t="str">
        <f aca="false">IF(ISNUMBER(BK354),12,"")</f>
        <v/>
      </c>
      <c r="EK354" s="28" t="str">
        <f aca="false">IF(ISNUMBER(BO354),13,"")</f>
        <v/>
      </c>
      <c r="EL354" s="28" t="str">
        <f aca="false">IF(ISNUMBER(BS354),14,"")</f>
        <v/>
      </c>
      <c r="EM354" s="28" t="n">
        <f aca="false">IF(ISNUMBER(R354),R354*CW354,0)</f>
        <v>0</v>
      </c>
      <c r="EN354" s="28" t="n">
        <f aca="false">IF(ISNUMBER(V354),V354*CX354,0)</f>
        <v>50</v>
      </c>
      <c r="EO354" s="28" t="n">
        <f aca="false">IF(ISNUMBER(Z354),Z354*CY354,0)</f>
        <v>0</v>
      </c>
      <c r="EP354" s="28" t="n">
        <f aca="false">IF(ISNUMBER(AD354),AD354*CZ354,0)</f>
        <v>0</v>
      </c>
      <c r="EQ354" s="28" t="n">
        <f aca="false">IF(ISNUMBER(AH354),AH354*DA354,0)</f>
        <v>0</v>
      </c>
      <c r="ER354" s="28" t="n">
        <f aca="false">IF(ISNUMBER(AL354),AL354*DB354,0)</f>
        <v>0</v>
      </c>
      <c r="ES354" s="28" t="n">
        <f aca="false">IF(ISNUMBER(AP354),AP354*DC354,0)</f>
        <v>0</v>
      </c>
      <c r="ET354" s="28" t="n">
        <f aca="false">IF(ISNUMBER(AT354),AT354*DD354,0)</f>
        <v>0</v>
      </c>
      <c r="EU354" s="28" t="n">
        <f aca="false">IF(ISNUMBER(AX354),AX354*DE354,0)</f>
        <v>0</v>
      </c>
      <c r="EV354" s="28" t="n">
        <f aca="false">IF(ISNUMBER(BB354),BB354*DF354,0)</f>
        <v>0</v>
      </c>
      <c r="EW354" s="28" t="n">
        <f aca="false">IF(ISNUMBER(BF354),BF354*DG354,0)</f>
        <v>0</v>
      </c>
      <c r="EX354" s="28" t="n">
        <f aca="false">IF(ISNUMBER(BJ354),BJ354*DH354,0)</f>
        <v>0</v>
      </c>
      <c r="EY354" s="28" t="n">
        <f aca="false">IF(ISNUMBER(BN354),BN354*DI354,0)</f>
        <v>0</v>
      </c>
      <c r="EZ354" s="28" t="n">
        <f aca="false">IF(ISNUMBER(BR354),BR354*DJ354,0)</f>
        <v>0</v>
      </c>
      <c r="FA354" s="28" t="n">
        <f aca="false">IF(ISNUMBER(R354),CW354,0)</f>
        <v>0</v>
      </c>
      <c r="FB354" s="28" t="n">
        <f aca="false">IF(ISNUMBER(V354),CX354,0)</f>
        <v>1</v>
      </c>
      <c r="FC354" s="28" t="n">
        <f aca="false">IF(ISNUMBER(Z354),CY354,0)</f>
        <v>0</v>
      </c>
      <c r="FD354" s="28" t="n">
        <f aca="false">IF(ISNUMBER(AD354),CZ354,0)</f>
        <v>0</v>
      </c>
      <c r="FE354" s="28" t="n">
        <f aca="false">IF(ISNUMBER(AH354),DA354,0)</f>
        <v>0</v>
      </c>
      <c r="FF354" s="28" t="n">
        <f aca="false">IF(ISNUMBER(AL354),DB354,0)</f>
        <v>0</v>
      </c>
      <c r="FG354" s="28" t="n">
        <f aca="false">IF(ISNUMBER(AP354),DC354,0)</f>
        <v>0</v>
      </c>
      <c r="FH354" s="28" t="n">
        <f aca="false">IF(ISNUMBER(AT354),DD354,0)</f>
        <v>0</v>
      </c>
      <c r="FI354" s="28" t="n">
        <f aca="false">IF(ISNUMBER(AX354),DE354,0)</f>
        <v>0</v>
      </c>
      <c r="FJ354" s="28" t="n">
        <f aca="false">IF(ISNUMBER(BB354),DF354,0)</f>
        <v>0</v>
      </c>
      <c r="FK354" s="28" t="n">
        <f aca="false">IF(ISNUMBER(BF354),DG354,0)</f>
        <v>0</v>
      </c>
      <c r="FL354" s="28" t="n">
        <f aca="false">IF(ISNUMBER(BJ354),DH354,0)</f>
        <v>0</v>
      </c>
      <c r="FM354" s="28" t="n">
        <f aca="false">IF(ISNUMBER(BN354),DI354,0)</f>
        <v>0</v>
      </c>
      <c r="FN354" s="28" t="n">
        <f aca="false">IF(ISNUMBER(BR354),DJ354,0)</f>
        <v>0</v>
      </c>
      <c r="FO354" s="28" t="str">
        <f aca="false">IFERROR(INDEX(Lists!$G$2:$G$20,MATCH($I354&amp;"|"&amp;$J354,Lists!$F$2:$F$20,0)),"")</f>
        <v>Hist Overall HL</v>
      </c>
    </row>
    <row r="355" customFormat="false" ht="19.5" hidden="false" customHeight="true" outlineLevel="0" collapsed="false">
      <c r="A355" s="29" t="s">
        <v>657</v>
      </c>
      <c r="B355" s="29" t="s">
        <v>658</v>
      </c>
      <c r="C355" s="30" t="s">
        <v>152</v>
      </c>
      <c r="D355" s="30" t="s">
        <v>422</v>
      </c>
      <c r="E355" s="31"/>
      <c r="F355" s="30"/>
      <c r="G355" s="30"/>
      <c r="H355" s="32" t="s">
        <v>428</v>
      </c>
      <c r="I355" s="33" t="s">
        <v>416</v>
      </c>
      <c r="J355" s="32" t="s">
        <v>25</v>
      </c>
      <c r="K355" s="34" t="str">
        <f aca="false">IF(OR(M355="",$E355=""),"",M355-$E355)</f>
        <v/>
      </c>
      <c r="L355" s="35" t="n">
        <f aca="false">IF(SUM(FA355:FN355)=0,"",SUM(EM355:EZ355)/SUM(FA355:FN355))</f>
        <v>51.6666666666667</v>
      </c>
      <c r="M355" s="36" t="n">
        <f aca="false">IF(OR(L355="",FO355=""),"",IFERROR(MATCH(L355,INDEX(Boundaries!$B$2:$I$30,MATCH(FO355,Boundaries!$A$2:$A$30,0),0),1)-1,""))</f>
        <v>5</v>
      </c>
      <c r="N355" s="37" t="n">
        <f aca="false">IF(COUNT($DY355:$EL355)&lt;2,"",INDEX($DK355:$DX355,MAX($DY355:$EL355))-INDEX($DK355:$DX355,MIN($DY355:$EL355)))</f>
        <v>-1</v>
      </c>
      <c r="O355" s="37" t="n">
        <f aca="false">IF(COUNT($DY355:$EL355)&lt;2,"",INDEX($DK355:$DX355,MAX($DY355:$EL355))-INDEX($DK355:$DX355,LARGE($DY355:$EL355,2)))</f>
        <v>-1</v>
      </c>
      <c r="P355" s="38" t="str">
        <f aca="false">IF(K355="","",IF(K355&gt;=0,"On/above target",IF(AND(N355&lt;&gt;"",N355&gt;=0.5),"Improving towards target",IF(AND(O355&lt;&gt;"",O355&lt;=-0.5),"Declining","Stable below target"))))</f>
        <v/>
      </c>
      <c r="Q355" s="39" t="n">
        <v>8</v>
      </c>
      <c r="R355" s="40" t="n">
        <f aca="false">IF(OR(Q355="",BU355=""),"",Q355/BU355*100)</f>
        <v>53.3333333333333</v>
      </c>
      <c r="S355" s="41" t="n">
        <f aca="false">IF(R355="","",IFERROR(MATCH(R355,INDEX(Boundaries!$B$2:$I$30,MATCH(CI355,Boundaries!$A$2:$A$30,0),0),1)-1,""))</f>
        <v>5</v>
      </c>
      <c r="T355" s="42" t="str">
        <f aca="false">IF(OR(S355="",$E355=""),"",S355-$E355)</f>
        <v/>
      </c>
      <c r="U355" s="39" t="n">
        <v>5</v>
      </c>
      <c r="V355" s="40" t="n">
        <f aca="false">IF(OR(U355="",BV355=""),"",U355/BV355*100)</f>
        <v>50</v>
      </c>
      <c r="W355" s="41" t="n">
        <f aca="false">IF(V355="","",IFERROR(MATCH(V355,INDEX(Boundaries!$B$2:$I$30,MATCH(CJ355,Boundaries!$A$2:$A$30,0),0),1)-1,""))</f>
        <v>4</v>
      </c>
      <c r="X355" s="42" t="str">
        <f aca="false">IF(OR(W355="",$E355=""),"",W355-$E355)</f>
        <v/>
      </c>
      <c r="Y355" s="39"/>
      <c r="Z355" s="40" t="str">
        <f aca="false">IF(OR(Y355="",BW355=""),"",Y355/BW355*100)</f>
        <v/>
      </c>
      <c r="AA355" s="41" t="str">
        <f aca="false">IF(Z355="","",IFERROR(MATCH(Z355,INDEX(Boundaries!$B$2:$I$30,MATCH(CK355,Boundaries!$A$2:$A$30,0),0),1)-1,""))</f>
        <v/>
      </c>
      <c r="AB355" s="42" t="str">
        <f aca="false">IF(OR(AA355="",$E355=""),"",AA355-$E355)</f>
        <v/>
      </c>
      <c r="AC355" s="39"/>
      <c r="AD355" s="40" t="str">
        <f aca="false">IF(OR(AC355="",BX355=""),"",AC355/BX355*100)</f>
        <v/>
      </c>
      <c r="AE355" s="41" t="str">
        <f aca="false">IF(AD355="","",IFERROR(MATCH(AD355,INDEX(Boundaries!$B$2:$I$30,MATCH(CL355,Boundaries!$A$2:$A$30,0),0),1)-1,""))</f>
        <v/>
      </c>
      <c r="AF355" s="42" t="str">
        <f aca="false">IF(OR(AE355="",$E355=""),"",AE355-$E355)</f>
        <v/>
      </c>
      <c r="AG355" s="39"/>
      <c r="AH355" s="40" t="str">
        <f aca="false">IF(OR(AG355="",BY355=""),"",AG355/BY355*100)</f>
        <v/>
      </c>
      <c r="AI355" s="41" t="str">
        <f aca="false">IF(AH355="","",IFERROR(MATCH(AH355,INDEX(Boundaries!$B$2:$I$30,MATCH(CM355,Boundaries!$A$2:$A$30,0),0),1)-1,""))</f>
        <v/>
      </c>
      <c r="AJ355" s="42" t="str">
        <f aca="false">IF(OR(AI355="",$E355=""),"",AI355-$E355)</f>
        <v/>
      </c>
      <c r="AK355" s="39"/>
      <c r="AL355" s="40" t="str">
        <f aca="false">IF(OR(AK355="",BZ355=""),"",AK355/BZ355*100)</f>
        <v/>
      </c>
      <c r="AM355" s="41" t="str">
        <f aca="false">IF(AL355="","",IFERROR(MATCH(AL355,INDEX(Boundaries!$B$2:$I$30,MATCH(CN355,Boundaries!$A$2:$A$30,0),0),1)-1,""))</f>
        <v/>
      </c>
      <c r="AN355" s="42" t="str">
        <f aca="false">IF(OR(AM355="",$E355=""),"",AM355-$E355)</f>
        <v/>
      </c>
      <c r="AO355" s="39"/>
      <c r="AP355" s="40" t="str">
        <f aca="false">IF(OR(AO355="",CA355=""),"",AO355/CA355*100)</f>
        <v/>
      </c>
      <c r="AQ355" s="41" t="str">
        <f aca="false">IF(AP355="","",IFERROR(MATCH(AP355,INDEX(Boundaries!$B$2:$I$30,MATCH(CO355,Boundaries!$A$2:$A$30,0),0),1)-1,""))</f>
        <v/>
      </c>
      <c r="AR355" s="42" t="str">
        <f aca="false">IF(OR(AQ355="",$E355=""),"",AQ355-$E355)</f>
        <v/>
      </c>
      <c r="AS355" s="39"/>
      <c r="AT355" s="40" t="str">
        <f aca="false">IF(OR(AS355="",CB355=""),"",AS355/CB355*100)</f>
        <v/>
      </c>
      <c r="AU355" s="41" t="str">
        <f aca="false">IF(AT355="","",IFERROR(MATCH(AT355,INDEX(Boundaries!$B$2:$I$30,MATCH(CP355,Boundaries!$A$2:$A$30,0),0),1)-1,""))</f>
        <v/>
      </c>
      <c r="AV355" s="42" t="str">
        <f aca="false">IF(OR(AU355="",$E355=""),"",AU355-$E355)</f>
        <v/>
      </c>
      <c r="AW355" s="39"/>
      <c r="AX355" s="40" t="str">
        <f aca="false">IF(OR(AW355="",CC355=""),"",AW355/CC355*100)</f>
        <v/>
      </c>
      <c r="AY355" s="41" t="str">
        <f aca="false">IF(AX355="","",IFERROR(MATCH(AX355,INDEX(Boundaries!$B$2:$I$30,MATCH(CQ355,Boundaries!$A$2:$A$30,0),0),1)-1,""))</f>
        <v/>
      </c>
      <c r="AZ355" s="42" t="str">
        <f aca="false">IF(OR(AY355="",$E355=""),"",AY355-$E355)</f>
        <v/>
      </c>
      <c r="BA355" s="39"/>
      <c r="BB355" s="40" t="str">
        <f aca="false">IF(OR(BA355="",CD355=""),"",BA355/CD355*100)</f>
        <v/>
      </c>
      <c r="BC355" s="41" t="str">
        <f aca="false">IF(BB355="","",IFERROR(MATCH(BB355,INDEX(Boundaries!$B$2:$I$30,MATCH(CR355,Boundaries!$A$2:$A$30,0),0),1)-1,""))</f>
        <v/>
      </c>
      <c r="BD355" s="42" t="str">
        <f aca="false">IF(OR(BC355="",$E355=""),"",BC355-$E355)</f>
        <v/>
      </c>
      <c r="BE355" s="39"/>
      <c r="BF355" s="40" t="str">
        <f aca="false">IF(OR(BE355="",CE355=""),"",BE355/CE355*100)</f>
        <v/>
      </c>
      <c r="BG355" s="41" t="str">
        <f aca="false">IF(BF355="","",IFERROR(MATCH(BF355,INDEX(Boundaries!$B$2:$I$30,MATCH(CS355,Boundaries!$A$2:$A$30,0),0),1)-1,""))</f>
        <v/>
      </c>
      <c r="BH355" s="42" t="str">
        <f aca="false">IF(OR(BG355="",$E355=""),"",BG355-$E355)</f>
        <v/>
      </c>
      <c r="BI355" s="39"/>
      <c r="BJ355" s="40" t="str">
        <f aca="false">IF(OR(BI355="",CF355=""),"",BI355/CF355*100)</f>
        <v/>
      </c>
      <c r="BK355" s="41" t="str">
        <f aca="false">IF(BJ355="","",IFERROR(MATCH(BJ355,INDEX(Boundaries!$B$2:$I$30,MATCH(CT355,Boundaries!$A$2:$A$30,0),0),1)-1,""))</f>
        <v/>
      </c>
      <c r="BL355" s="42" t="str">
        <f aca="false">IF(OR(BK355="",$E355=""),"",BK355-$E355)</f>
        <v/>
      </c>
      <c r="BM355" s="39"/>
      <c r="BN355" s="40" t="str">
        <f aca="false">IF(OR(BM355="",CG355=""),"",BM355/CG355*100)</f>
        <v/>
      </c>
      <c r="BO355" s="41" t="str">
        <f aca="false">IF(BN355="","",IFERROR(MATCH(BN355,INDEX(Boundaries!$B$2:$I$30,MATCH(CU355,Boundaries!$A$2:$A$30,0),0),1)-1,""))</f>
        <v/>
      </c>
      <c r="BP355" s="42" t="str">
        <f aca="false">IF(OR(BO355="",$E355=""),"",BO355-$E355)</f>
        <v/>
      </c>
      <c r="BQ355" s="39"/>
      <c r="BR355" s="40" t="str">
        <f aca="false">IF(OR(BQ355="",CH355=""),"",BQ355/CH355*100)</f>
        <v/>
      </c>
      <c r="BS355" s="41" t="str">
        <f aca="false">IF(BR355="","",IFERROR(MATCH(BR355,INDEX(Boundaries!$B$2:$I$30,MATCH(CV355,Boundaries!$A$2:$A$30,0),0),1)-1,""))</f>
        <v/>
      </c>
      <c r="BT355" s="42" t="str">
        <f aca="false">IF(OR(BS355="",$E355=""),"",BS355-$E355)</f>
        <v/>
      </c>
      <c r="BU355" s="28" t="n">
        <f aca="false">IFERROR(INDEX(Assessments!$H$2:$H$600,MATCH($H355&amp;"|"&amp;$I355&amp;"|"&amp;$J355&amp;"|"&amp;1,Assessments!$A$2:$A$600,0)),"")</f>
        <v>15</v>
      </c>
      <c r="BV355" s="28" t="n">
        <f aca="false">IFERROR(INDEX(Assessments!$H$2:$H$600,MATCH($H355&amp;"|"&amp;$I355&amp;"|"&amp;$J355&amp;"|"&amp;2,Assessments!$A$2:$A$600,0)),"")</f>
        <v>10</v>
      </c>
      <c r="BW355" s="28" t="n">
        <f aca="false">IFERROR(INDEX(Assessments!$H$2:$H$600,MATCH($H355&amp;"|"&amp;$I355&amp;"|"&amp;$J355&amp;"|"&amp;3,Assessments!$A$2:$A$600,0)),"")</f>
        <v>24</v>
      </c>
      <c r="BX355" s="28" t="n">
        <f aca="false">IFERROR(INDEX(Assessments!$H$2:$H$600,MATCH($H355&amp;"|"&amp;$I355&amp;"|"&amp;$J355&amp;"|"&amp;4,Assessments!$A$2:$A$600,0)),"")</f>
        <v>15</v>
      </c>
      <c r="BY355" s="28" t="n">
        <f aca="false">IFERROR(INDEX(Assessments!$H$2:$H$600,MATCH($H355&amp;"|"&amp;$I355&amp;"|"&amp;$J355&amp;"|"&amp;5,Assessments!$A$2:$A$600,0)),"")</f>
        <v>15</v>
      </c>
      <c r="BZ355" s="28" t="n">
        <f aca="false">IFERROR(INDEX(Assessments!$H$2:$H$600,MATCH($H355&amp;"|"&amp;$I355&amp;"|"&amp;$J355&amp;"|"&amp;6,Assessments!$A$2:$A$600,0)),"")</f>
        <v>15</v>
      </c>
      <c r="CA355" s="28" t="n">
        <f aca="false">IFERROR(INDEX(Assessments!$H$2:$H$600,MATCH($H355&amp;"|"&amp;$I355&amp;"|"&amp;$J355&amp;"|"&amp;7,Assessments!$A$2:$A$600,0)),"")</f>
        <v>24</v>
      </c>
      <c r="CB355" s="28" t="n">
        <f aca="false">IFERROR(INDEX(Assessments!$H$2:$H$600,MATCH($H355&amp;"|"&amp;$I355&amp;"|"&amp;$J355&amp;"|"&amp;8,Assessments!$A$2:$A$600,0)),"")</f>
        <v>30</v>
      </c>
      <c r="CC355" s="28" t="n">
        <f aca="false">IFERROR(INDEX(Assessments!$H$2:$H$600,MATCH($H355&amp;"|"&amp;$I355&amp;"|"&amp;$J355&amp;"|"&amp;9,Assessments!$A$2:$A$600,0)),"")</f>
        <v>15</v>
      </c>
      <c r="CD355" s="28" t="str">
        <f aca="false">IFERROR(INDEX(Assessments!$H$2:$H$600,MATCH($H355&amp;"|"&amp;$I355&amp;"|"&amp;$J355&amp;"|"&amp;10,Assessments!$A$2:$A$600,0)),"")</f>
        <v/>
      </c>
      <c r="CE355" s="28" t="str">
        <f aca="false">IFERROR(INDEX(Assessments!$H$2:$H$600,MATCH($H355&amp;"|"&amp;$I355&amp;"|"&amp;$J355&amp;"|"&amp;11,Assessments!$A$2:$A$600,0)),"")</f>
        <v/>
      </c>
      <c r="CF355" s="28" t="str">
        <f aca="false">IFERROR(INDEX(Assessments!$H$2:$H$600,MATCH($H355&amp;"|"&amp;$I355&amp;"|"&amp;$J355&amp;"|"&amp;12,Assessments!$A$2:$A$600,0)),"")</f>
        <v/>
      </c>
      <c r="CG355" s="28" t="str">
        <f aca="false">IFERROR(INDEX(Assessments!$H$2:$H$600,MATCH($H355&amp;"|"&amp;$I355&amp;"|"&amp;$J355&amp;"|"&amp;13,Assessments!$A$2:$A$600,0)),"")</f>
        <v/>
      </c>
      <c r="CH355" s="28" t="str">
        <f aca="false">IFERROR(INDEX(Assessments!$H$2:$H$600,MATCH($H355&amp;"|"&amp;$I355&amp;"|"&amp;$J355&amp;"|"&amp;14,Assessments!$A$2:$A$600,0)),"")</f>
        <v/>
      </c>
      <c r="CI355" s="28" t="str">
        <f aca="false">IFERROR(INDEX(Assessments!$I$2:$I$600,MATCH($H355&amp;"|"&amp;$I355&amp;"|"&amp;$J355&amp;"|"&amp;1,Assessments!$A$2:$A$600,0)),"")</f>
        <v>Hist P3 essay</v>
      </c>
      <c r="CJ355" s="28" t="str">
        <f aca="false">IFERROR(INDEX(Assessments!$I$2:$I$600,MATCH($H355&amp;"|"&amp;$I355&amp;"|"&amp;$J355&amp;"|"&amp;2,Assessments!$A$2:$A$600,0)),"")</f>
        <v>Hist P2 partial</v>
      </c>
      <c r="CK355" s="28" t="str">
        <f aca="false">IFERROR(INDEX(Assessments!$I$2:$I$600,MATCH($H355&amp;"|"&amp;$I355&amp;"|"&amp;$J355&amp;"|"&amp;3,Assessments!$A$2:$A$600,0)),"")</f>
        <v>Hist P2 partial</v>
      </c>
      <c r="CL355" s="28" t="str">
        <f aca="false">IFERROR(INDEX(Assessments!$I$2:$I$600,MATCH($H355&amp;"|"&amp;$I355&amp;"|"&amp;$J355&amp;"|"&amp;4,Assessments!$A$2:$A$600,0)),"")</f>
        <v>Hist P3 essay</v>
      </c>
      <c r="CM355" s="28" t="str">
        <f aca="false">IFERROR(INDEX(Assessments!$I$2:$I$600,MATCH($H355&amp;"|"&amp;$I355&amp;"|"&amp;$J355&amp;"|"&amp;5,Assessments!$A$2:$A$600,0)),"")</f>
        <v>Hist P3 essay</v>
      </c>
      <c r="CN355" s="28" t="str">
        <f aca="false">IFERROR(INDEX(Assessments!$I$2:$I$600,MATCH($H355&amp;"|"&amp;$I355&amp;"|"&amp;$J355&amp;"|"&amp;6,Assessments!$A$2:$A$600,0)),"")</f>
        <v>Hist P3 essay</v>
      </c>
      <c r="CO355" s="28" t="str">
        <f aca="false">IFERROR(INDEX(Assessments!$I$2:$I$600,MATCH($H355&amp;"|"&amp;$I355&amp;"|"&amp;$J355&amp;"|"&amp;7,Assessments!$A$2:$A$600,0)),"")</f>
        <v>Hist Paper 1</v>
      </c>
      <c r="CP355" s="28" t="str">
        <f aca="false">IFERROR(INDEX(Assessments!$I$2:$I$600,MATCH($H355&amp;"|"&amp;$I355&amp;"|"&amp;$J355&amp;"|"&amp;8,Assessments!$A$2:$A$600,0)),"")</f>
        <v>Hist P2 full</v>
      </c>
      <c r="CQ355" s="28" t="str">
        <f aca="false">IFERROR(INDEX(Assessments!$I$2:$I$600,MATCH($H355&amp;"|"&amp;$I355&amp;"|"&amp;$J355&amp;"|"&amp;9,Assessments!$A$2:$A$600,0)),"")</f>
        <v>Hist P3 full</v>
      </c>
      <c r="CR355" s="28" t="str">
        <f aca="false">IFERROR(INDEX(Assessments!$I$2:$I$600,MATCH($H355&amp;"|"&amp;$I355&amp;"|"&amp;$J355&amp;"|"&amp;10,Assessments!$A$2:$A$600,0)),"")</f>
        <v/>
      </c>
      <c r="CS355" s="28" t="str">
        <f aca="false">IFERROR(INDEX(Assessments!$I$2:$I$600,MATCH($H355&amp;"|"&amp;$I355&amp;"|"&amp;$J355&amp;"|"&amp;11,Assessments!$A$2:$A$600,0)),"")</f>
        <v/>
      </c>
      <c r="CT355" s="28" t="str">
        <f aca="false">IFERROR(INDEX(Assessments!$I$2:$I$600,MATCH($H355&amp;"|"&amp;$I355&amp;"|"&amp;$J355&amp;"|"&amp;12,Assessments!$A$2:$A$600,0)),"")</f>
        <v/>
      </c>
      <c r="CU355" s="28" t="str">
        <f aca="false">IFERROR(INDEX(Assessments!$I$2:$I$600,MATCH($H355&amp;"|"&amp;$I355&amp;"|"&amp;$J355&amp;"|"&amp;13,Assessments!$A$2:$A$600,0)),"")</f>
        <v/>
      </c>
      <c r="CV355" s="28" t="str">
        <f aca="false">IFERROR(INDEX(Assessments!$I$2:$I$600,MATCH($H355&amp;"|"&amp;$I355&amp;"|"&amp;$J355&amp;"|"&amp;14,Assessments!$A$2:$A$600,0)),"")</f>
        <v/>
      </c>
      <c r="CW355" s="28" t="n">
        <f aca="false">IFERROR(INDEX(Assessments!$J$2:$J$600,MATCH($H355&amp;"|"&amp;$I355&amp;"|"&amp;$J355&amp;"|"&amp;1,Assessments!$A$2:$A$600,0)),0)</f>
        <v>1</v>
      </c>
      <c r="CX355" s="28" t="n">
        <f aca="false">IFERROR(INDEX(Assessments!$J$2:$J$600,MATCH($H355&amp;"|"&amp;$I355&amp;"|"&amp;$J355&amp;"|"&amp;2,Assessments!$A$2:$A$600,0)),0)</f>
        <v>1</v>
      </c>
      <c r="CY355" s="28" t="n">
        <f aca="false">IFERROR(INDEX(Assessments!$J$2:$J$600,MATCH($H355&amp;"|"&amp;$I355&amp;"|"&amp;$J355&amp;"|"&amp;3,Assessments!$A$2:$A$600,0)),0)</f>
        <v>1</v>
      </c>
      <c r="CZ355" s="28" t="n">
        <f aca="false">IFERROR(INDEX(Assessments!$J$2:$J$600,MATCH($H355&amp;"|"&amp;$I355&amp;"|"&amp;$J355&amp;"|"&amp;4,Assessments!$A$2:$A$600,0)),0)</f>
        <v>1</v>
      </c>
      <c r="DA355" s="28" t="n">
        <f aca="false">IFERROR(INDEX(Assessments!$J$2:$J$600,MATCH($H355&amp;"|"&amp;$I355&amp;"|"&amp;$J355&amp;"|"&amp;5,Assessments!$A$2:$A$600,0)),0)</f>
        <v>1</v>
      </c>
      <c r="DB355" s="28" t="n">
        <f aca="false">IFERROR(INDEX(Assessments!$J$2:$J$600,MATCH($H355&amp;"|"&amp;$I355&amp;"|"&amp;$J355&amp;"|"&amp;6,Assessments!$A$2:$A$600,0)),0)</f>
        <v>1</v>
      </c>
      <c r="DC355" s="28" t="n">
        <f aca="false">IFERROR(INDEX(Assessments!$J$2:$J$600,MATCH($H355&amp;"|"&amp;$I355&amp;"|"&amp;$J355&amp;"|"&amp;7,Assessments!$A$2:$A$600,0)),0)</f>
        <v>2</v>
      </c>
      <c r="DD355" s="28" t="n">
        <f aca="false">IFERROR(INDEX(Assessments!$J$2:$J$600,MATCH($H355&amp;"|"&amp;$I355&amp;"|"&amp;$J355&amp;"|"&amp;8,Assessments!$A$2:$A$600,0)),0)</f>
        <v>2</v>
      </c>
      <c r="DE355" s="28" t="n">
        <f aca="false">IFERROR(INDEX(Assessments!$J$2:$J$600,MATCH($H355&amp;"|"&amp;$I355&amp;"|"&amp;$J355&amp;"|"&amp;9,Assessments!$A$2:$A$600,0)),0)</f>
        <v>2</v>
      </c>
      <c r="DF355" s="28" t="n">
        <f aca="false">IFERROR(INDEX(Assessments!$J$2:$J$600,MATCH($H355&amp;"|"&amp;$I355&amp;"|"&amp;$J355&amp;"|"&amp;10,Assessments!$A$2:$A$600,0)),0)</f>
        <v>0</v>
      </c>
      <c r="DG355" s="28" t="n">
        <f aca="false">IFERROR(INDEX(Assessments!$J$2:$J$600,MATCH($H355&amp;"|"&amp;$I355&amp;"|"&amp;$J355&amp;"|"&amp;11,Assessments!$A$2:$A$600,0)),0)</f>
        <v>0</v>
      </c>
      <c r="DH355" s="28" t="n">
        <f aca="false">IFERROR(INDEX(Assessments!$J$2:$J$600,MATCH($H355&amp;"|"&amp;$I355&amp;"|"&amp;$J355&amp;"|"&amp;12,Assessments!$A$2:$A$600,0)),0)</f>
        <v>0</v>
      </c>
      <c r="DI355" s="28" t="n">
        <f aca="false">IFERROR(INDEX(Assessments!$J$2:$J$600,MATCH($H355&amp;"|"&amp;$I355&amp;"|"&amp;$J355&amp;"|"&amp;13,Assessments!$A$2:$A$600,0)),0)</f>
        <v>0</v>
      </c>
      <c r="DJ355" s="28" t="n">
        <f aca="false">IFERROR(INDEX(Assessments!$J$2:$J$600,MATCH($H355&amp;"|"&amp;$I355&amp;"|"&amp;$J355&amp;"|"&amp;14,Assessments!$A$2:$A$600,0)),0)</f>
        <v>0</v>
      </c>
      <c r="DK355" s="28" t="n">
        <f aca="false">S355</f>
        <v>5</v>
      </c>
      <c r="DL355" s="28" t="n">
        <f aca="false">W355</f>
        <v>4</v>
      </c>
      <c r="DM355" s="28" t="str">
        <f aca="false">AA355</f>
        <v/>
      </c>
      <c r="DN355" s="28" t="str">
        <f aca="false">AE355</f>
        <v/>
      </c>
      <c r="DO355" s="28" t="str">
        <f aca="false">AI355</f>
        <v/>
      </c>
      <c r="DP355" s="28" t="str">
        <f aca="false">AM355</f>
        <v/>
      </c>
      <c r="DQ355" s="28" t="str">
        <f aca="false">AQ355</f>
        <v/>
      </c>
      <c r="DR355" s="28" t="str">
        <f aca="false">AU355</f>
        <v/>
      </c>
      <c r="DS355" s="28" t="str">
        <f aca="false">AY355</f>
        <v/>
      </c>
      <c r="DT355" s="28" t="str">
        <f aca="false">BC355</f>
        <v/>
      </c>
      <c r="DU355" s="28" t="str">
        <f aca="false">BG355</f>
        <v/>
      </c>
      <c r="DV355" s="28" t="str">
        <f aca="false">BK355</f>
        <v/>
      </c>
      <c r="DW355" s="28" t="str">
        <f aca="false">BO355</f>
        <v/>
      </c>
      <c r="DX355" s="28" t="str">
        <f aca="false">BS355</f>
        <v/>
      </c>
      <c r="DY355" s="28" t="n">
        <f aca="false">IF(ISNUMBER(S355),1,"")</f>
        <v>1</v>
      </c>
      <c r="DZ355" s="28" t="n">
        <f aca="false">IF(ISNUMBER(W355),2,"")</f>
        <v>2</v>
      </c>
      <c r="EA355" s="28" t="str">
        <f aca="false">IF(ISNUMBER(AA355),3,"")</f>
        <v/>
      </c>
      <c r="EB355" s="28" t="str">
        <f aca="false">IF(ISNUMBER(AE355),4,"")</f>
        <v/>
      </c>
      <c r="EC355" s="28" t="str">
        <f aca="false">IF(ISNUMBER(AI355),5,"")</f>
        <v/>
      </c>
      <c r="ED355" s="28" t="str">
        <f aca="false">IF(ISNUMBER(AM355),6,"")</f>
        <v/>
      </c>
      <c r="EE355" s="28" t="str">
        <f aca="false">IF(ISNUMBER(AQ355),7,"")</f>
        <v/>
      </c>
      <c r="EF355" s="28" t="str">
        <f aca="false">IF(ISNUMBER(AU355),8,"")</f>
        <v/>
      </c>
      <c r="EG355" s="28" t="str">
        <f aca="false">IF(ISNUMBER(AY355),9,"")</f>
        <v/>
      </c>
      <c r="EH355" s="28" t="str">
        <f aca="false">IF(ISNUMBER(BC355),10,"")</f>
        <v/>
      </c>
      <c r="EI355" s="28" t="str">
        <f aca="false">IF(ISNUMBER(BG355),11,"")</f>
        <v/>
      </c>
      <c r="EJ355" s="28" t="str">
        <f aca="false">IF(ISNUMBER(BK355),12,"")</f>
        <v/>
      </c>
      <c r="EK355" s="28" t="str">
        <f aca="false">IF(ISNUMBER(BO355),13,"")</f>
        <v/>
      </c>
      <c r="EL355" s="28" t="str">
        <f aca="false">IF(ISNUMBER(BS355),14,"")</f>
        <v/>
      </c>
      <c r="EM355" s="28" t="n">
        <f aca="false">IF(ISNUMBER(R355),R355*CW355,0)</f>
        <v>53.3333333333333</v>
      </c>
      <c r="EN355" s="28" t="n">
        <f aca="false">IF(ISNUMBER(V355),V355*CX355,0)</f>
        <v>50</v>
      </c>
      <c r="EO355" s="28" t="n">
        <f aca="false">IF(ISNUMBER(Z355),Z355*CY355,0)</f>
        <v>0</v>
      </c>
      <c r="EP355" s="28" t="n">
        <f aca="false">IF(ISNUMBER(AD355),AD355*CZ355,0)</f>
        <v>0</v>
      </c>
      <c r="EQ355" s="28" t="n">
        <f aca="false">IF(ISNUMBER(AH355),AH355*DA355,0)</f>
        <v>0</v>
      </c>
      <c r="ER355" s="28" t="n">
        <f aca="false">IF(ISNUMBER(AL355),AL355*DB355,0)</f>
        <v>0</v>
      </c>
      <c r="ES355" s="28" t="n">
        <f aca="false">IF(ISNUMBER(AP355),AP355*DC355,0)</f>
        <v>0</v>
      </c>
      <c r="ET355" s="28" t="n">
        <f aca="false">IF(ISNUMBER(AT355),AT355*DD355,0)</f>
        <v>0</v>
      </c>
      <c r="EU355" s="28" t="n">
        <f aca="false">IF(ISNUMBER(AX355),AX355*DE355,0)</f>
        <v>0</v>
      </c>
      <c r="EV355" s="28" t="n">
        <f aca="false">IF(ISNUMBER(BB355),BB355*DF355,0)</f>
        <v>0</v>
      </c>
      <c r="EW355" s="28" t="n">
        <f aca="false">IF(ISNUMBER(BF355),BF355*DG355,0)</f>
        <v>0</v>
      </c>
      <c r="EX355" s="28" t="n">
        <f aca="false">IF(ISNUMBER(BJ355),BJ355*DH355,0)</f>
        <v>0</v>
      </c>
      <c r="EY355" s="28" t="n">
        <f aca="false">IF(ISNUMBER(BN355),BN355*DI355,0)</f>
        <v>0</v>
      </c>
      <c r="EZ355" s="28" t="n">
        <f aca="false">IF(ISNUMBER(BR355),BR355*DJ355,0)</f>
        <v>0</v>
      </c>
      <c r="FA355" s="28" t="n">
        <f aca="false">IF(ISNUMBER(R355),CW355,0)</f>
        <v>1</v>
      </c>
      <c r="FB355" s="28" t="n">
        <f aca="false">IF(ISNUMBER(V355),CX355,0)</f>
        <v>1</v>
      </c>
      <c r="FC355" s="28" t="n">
        <f aca="false">IF(ISNUMBER(Z355),CY355,0)</f>
        <v>0</v>
      </c>
      <c r="FD355" s="28" t="n">
        <f aca="false">IF(ISNUMBER(AD355),CZ355,0)</f>
        <v>0</v>
      </c>
      <c r="FE355" s="28" t="n">
        <f aca="false">IF(ISNUMBER(AH355),DA355,0)</f>
        <v>0</v>
      </c>
      <c r="FF355" s="28" t="n">
        <f aca="false">IF(ISNUMBER(AL355),DB355,0)</f>
        <v>0</v>
      </c>
      <c r="FG355" s="28" t="n">
        <f aca="false">IF(ISNUMBER(AP355),DC355,0)</f>
        <v>0</v>
      </c>
      <c r="FH355" s="28" t="n">
        <f aca="false">IF(ISNUMBER(AT355),DD355,0)</f>
        <v>0</v>
      </c>
      <c r="FI355" s="28" t="n">
        <f aca="false">IF(ISNUMBER(AX355),DE355,0)</f>
        <v>0</v>
      </c>
      <c r="FJ355" s="28" t="n">
        <f aca="false">IF(ISNUMBER(BB355),DF355,0)</f>
        <v>0</v>
      </c>
      <c r="FK355" s="28" t="n">
        <f aca="false">IF(ISNUMBER(BF355),DG355,0)</f>
        <v>0</v>
      </c>
      <c r="FL355" s="28" t="n">
        <f aca="false">IF(ISNUMBER(BJ355),DH355,0)</f>
        <v>0</v>
      </c>
      <c r="FM355" s="28" t="n">
        <f aca="false">IF(ISNUMBER(BN355),DI355,0)</f>
        <v>0</v>
      </c>
      <c r="FN355" s="28" t="n">
        <f aca="false">IF(ISNUMBER(BR355),DJ355,0)</f>
        <v>0</v>
      </c>
      <c r="FO355" s="28" t="str">
        <f aca="false">IFERROR(INDEX(Lists!$G$2:$G$20,MATCH($I355&amp;"|"&amp;$J355,Lists!$F$2:$F$20,0)),"")</f>
        <v>Hist Overall HL</v>
      </c>
    </row>
    <row r="356" customFormat="false" ht="19.5" hidden="false" customHeight="true" outlineLevel="0" collapsed="false">
      <c r="A356" s="29" t="s">
        <v>216</v>
      </c>
      <c r="B356" s="29" t="s">
        <v>659</v>
      </c>
      <c r="C356" s="30" t="s">
        <v>152</v>
      </c>
      <c r="D356" s="30" t="s">
        <v>422</v>
      </c>
      <c r="E356" s="31"/>
      <c r="F356" s="30"/>
      <c r="G356" s="30"/>
      <c r="H356" s="32" t="s">
        <v>428</v>
      </c>
      <c r="I356" s="33" t="s">
        <v>416</v>
      </c>
      <c r="J356" s="32" t="s">
        <v>25</v>
      </c>
      <c r="K356" s="34" t="str">
        <f aca="false">IF(OR(M356="",$E356=""),"",M356-$E356)</f>
        <v/>
      </c>
      <c r="L356" s="35" t="n">
        <f aca="false">IF(SUM(FA356:FN356)=0,"",SUM(EM356:EZ356)/SUM(FA356:FN356))</f>
        <v>43.3333333333333</v>
      </c>
      <c r="M356" s="36" t="n">
        <f aca="false">IF(OR(L356="",FO356=""),"",IFERROR(MATCH(L356,INDEX(Boundaries!$B$2:$I$30,MATCH(FO356,Boundaries!$A$2:$A$30,0),0),1)-1,""))</f>
        <v>4</v>
      </c>
      <c r="N356" s="37" t="n">
        <f aca="false">IF(COUNT($DY356:$EL356)&lt;2,"",INDEX($DK356:$DX356,MAX($DY356:$EL356))-INDEX($DK356:$DX356,MIN($DY356:$EL356)))</f>
        <v>-1</v>
      </c>
      <c r="O356" s="37" t="n">
        <f aca="false">IF(COUNT($DY356:$EL356)&lt;2,"",INDEX($DK356:$DX356,MAX($DY356:$EL356))-INDEX($DK356:$DX356,LARGE($DY356:$EL356,2)))</f>
        <v>-1</v>
      </c>
      <c r="P356" s="38" t="str">
        <f aca="false">IF(K356="","",IF(K356&gt;=0,"On/above target",IF(AND(N356&lt;&gt;"",N356&gt;=0.5),"Improving towards target",IF(AND(O356&lt;&gt;"",O356&lt;=-0.5),"Declining","Stable below target"))))</f>
        <v/>
      </c>
      <c r="Q356" s="39" t="n">
        <v>7</v>
      </c>
      <c r="R356" s="40" t="n">
        <f aca="false">IF(OR(Q356="",BU356=""),"",Q356/BU356*100)</f>
        <v>46.6666666666667</v>
      </c>
      <c r="S356" s="41" t="n">
        <f aca="false">IF(R356="","",IFERROR(MATCH(R356,INDEX(Boundaries!$B$2:$I$30,MATCH(CI356,Boundaries!$A$2:$A$30,0),0),1)-1,""))</f>
        <v>4</v>
      </c>
      <c r="T356" s="42" t="str">
        <f aca="false">IF(OR(S356="",$E356=""),"",S356-$E356)</f>
        <v/>
      </c>
      <c r="U356" s="39" t="n">
        <v>4</v>
      </c>
      <c r="V356" s="40" t="n">
        <f aca="false">IF(OR(U356="",BV356=""),"",U356/BV356*100)</f>
        <v>40</v>
      </c>
      <c r="W356" s="41" t="n">
        <f aca="false">IF(V356="","",IFERROR(MATCH(V356,INDEX(Boundaries!$B$2:$I$30,MATCH(CJ356,Boundaries!$A$2:$A$30,0),0),1)-1,""))</f>
        <v>3</v>
      </c>
      <c r="X356" s="42" t="str">
        <f aca="false">IF(OR(W356="",$E356=""),"",W356-$E356)</f>
        <v/>
      </c>
      <c r="Y356" s="39"/>
      <c r="Z356" s="40" t="str">
        <f aca="false">IF(OR(Y356="",BW356=""),"",Y356/BW356*100)</f>
        <v/>
      </c>
      <c r="AA356" s="41" t="str">
        <f aca="false">IF(Z356="","",IFERROR(MATCH(Z356,INDEX(Boundaries!$B$2:$I$30,MATCH(CK356,Boundaries!$A$2:$A$30,0),0),1)-1,""))</f>
        <v/>
      </c>
      <c r="AB356" s="42" t="str">
        <f aca="false">IF(OR(AA356="",$E356=""),"",AA356-$E356)</f>
        <v/>
      </c>
      <c r="AC356" s="39"/>
      <c r="AD356" s="40" t="str">
        <f aca="false">IF(OR(AC356="",BX356=""),"",AC356/BX356*100)</f>
        <v/>
      </c>
      <c r="AE356" s="41" t="str">
        <f aca="false">IF(AD356="","",IFERROR(MATCH(AD356,INDEX(Boundaries!$B$2:$I$30,MATCH(CL356,Boundaries!$A$2:$A$30,0),0),1)-1,""))</f>
        <v/>
      </c>
      <c r="AF356" s="42" t="str">
        <f aca="false">IF(OR(AE356="",$E356=""),"",AE356-$E356)</f>
        <v/>
      </c>
      <c r="AG356" s="39"/>
      <c r="AH356" s="40" t="str">
        <f aca="false">IF(OR(AG356="",BY356=""),"",AG356/BY356*100)</f>
        <v/>
      </c>
      <c r="AI356" s="41" t="str">
        <f aca="false">IF(AH356="","",IFERROR(MATCH(AH356,INDEX(Boundaries!$B$2:$I$30,MATCH(CM356,Boundaries!$A$2:$A$30,0),0),1)-1,""))</f>
        <v/>
      </c>
      <c r="AJ356" s="42" t="str">
        <f aca="false">IF(OR(AI356="",$E356=""),"",AI356-$E356)</f>
        <v/>
      </c>
      <c r="AK356" s="39"/>
      <c r="AL356" s="40" t="str">
        <f aca="false">IF(OR(AK356="",BZ356=""),"",AK356/BZ356*100)</f>
        <v/>
      </c>
      <c r="AM356" s="41" t="str">
        <f aca="false">IF(AL356="","",IFERROR(MATCH(AL356,INDEX(Boundaries!$B$2:$I$30,MATCH(CN356,Boundaries!$A$2:$A$30,0),0),1)-1,""))</f>
        <v/>
      </c>
      <c r="AN356" s="42" t="str">
        <f aca="false">IF(OR(AM356="",$E356=""),"",AM356-$E356)</f>
        <v/>
      </c>
      <c r="AO356" s="39"/>
      <c r="AP356" s="40" t="str">
        <f aca="false">IF(OR(AO356="",CA356=""),"",AO356/CA356*100)</f>
        <v/>
      </c>
      <c r="AQ356" s="41" t="str">
        <f aca="false">IF(AP356="","",IFERROR(MATCH(AP356,INDEX(Boundaries!$B$2:$I$30,MATCH(CO356,Boundaries!$A$2:$A$30,0),0),1)-1,""))</f>
        <v/>
      </c>
      <c r="AR356" s="42" t="str">
        <f aca="false">IF(OR(AQ356="",$E356=""),"",AQ356-$E356)</f>
        <v/>
      </c>
      <c r="AS356" s="39"/>
      <c r="AT356" s="40" t="str">
        <f aca="false">IF(OR(AS356="",CB356=""),"",AS356/CB356*100)</f>
        <v/>
      </c>
      <c r="AU356" s="41" t="str">
        <f aca="false">IF(AT356="","",IFERROR(MATCH(AT356,INDEX(Boundaries!$B$2:$I$30,MATCH(CP356,Boundaries!$A$2:$A$30,0),0),1)-1,""))</f>
        <v/>
      </c>
      <c r="AV356" s="42" t="str">
        <f aca="false">IF(OR(AU356="",$E356=""),"",AU356-$E356)</f>
        <v/>
      </c>
      <c r="AW356" s="39"/>
      <c r="AX356" s="40" t="str">
        <f aca="false">IF(OR(AW356="",CC356=""),"",AW356/CC356*100)</f>
        <v/>
      </c>
      <c r="AY356" s="41" t="str">
        <f aca="false">IF(AX356="","",IFERROR(MATCH(AX356,INDEX(Boundaries!$B$2:$I$30,MATCH(CQ356,Boundaries!$A$2:$A$30,0),0),1)-1,""))</f>
        <v/>
      </c>
      <c r="AZ356" s="42" t="str">
        <f aca="false">IF(OR(AY356="",$E356=""),"",AY356-$E356)</f>
        <v/>
      </c>
      <c r="BA356" s="39"/>
      <c r="BB356" s="40" t="str">
        <f aca="false">IF(OR(BA356="",CD356=""),"",BA356/CD356*100)</f>
        <v/>
      </c>
      <c r="BC356" s="41" t="str">
        <f aca="false">IF(BB356="","",IFERROR(MATCH(BB356,INDEX(Boundaries!$B$2:$I$30,MATCH(CR356,Boundaries!$A$2:$A$30,0),0),1)-1,""))</f>
        <v/>
      </c>
      <c r="BD356" s="42" t="str">
        <f aca="false">IF(OR(BC356="",$E356=""),"",BC356-$E356)</f>
        <v/>
      </c>
      <c r="BE356" s="39"/>
      <c r="BF356" s="40" t="str">
        <f aca="false">IF(OR(BE356="",CE356=""),"",BE356/CE356*100)</f>
        <v/>
      </c>
      <c r="BG356" s="41" t="str">
        <f aca="false">IF(BF356="","",IFERROR(MATCH(BF356,INDEX(Boundaries!$B$2:$I$30,MATCH(CS356,Boundaries!$A$2:$A$30,0),0),1)-1,""))</f>
        <v/>
      </c>
      <c r="BH356" s="42" t="str">
        <f aca="false">IF(OR(BG356="",$E356=""),"",BG356-$E356)</f>
        <v/>
      </c>
      <c r="BI356" s="39"/>
      <c r="BJ356" s="40" t="str">
        <f aca="false">IF(OR(BI356="",CF356=""),"",BI356/CF356*100)</f>
        <v/>
      </c>
      <c r="BK356" s="41" t="str">
        <f aca="false">IF(BJ356="","",IFERROR(MATCH(BJ356,INDEX(Boundaries!$B$2:$I$30,MATCH(CT356,Boundaries!$A$2:$A$30,0),0),1)-1,""))</f>
        <v/>
      </c>
      <c r="BL356" s="42" t="str">
        <f aca="false">IF(OR(BK356="",$E356=""),"",BK356-$E356)</f>
        <v/>
      </c>
      <c r="BM356" s="39"/>
      <c r="BN356" s="40" t="str">
        <f aca="false">IF(OR(BM356="",CG356=""),"",BM356/CG356*100)</f>
        <v/>
      </c>
      <c r="BO356" s="41" t="str">
        <f aca="false">IF(BN356="","",IFERROR(MATCH(BN356,INDEX(Boundaries!$B$2:$I$30,MATCH(CU356,Boundaries!$A$2:$A$30,0),0),1)-1,""))</f>
        <v/>
      </c>
      <c r="BP356" s="42" t="str">
        <f aca="false">IF(OR(BO356="",$E356=""),"",BO356-$E356)</f>
        <v/>
      </c>
      <c r="BQ356" s="39"/>
      <c r="BR356" s="40" t="str">
        <f aca="false">IF(OR(BQ356="",CH356=""),"",BQ356/CH356*100)</f>
        <v/>
      </c>
      <c r="BS356" s="41" t="str">
        <f aca="false">IF(BR356="","",IFERROR(MATCH(BR356,INDEX(Boundaries!$B$2:$I$30,MATCH(CV356,Boundaries!$A$2:$A$30,0),0),1)-1,""))</f>
        <v/>
      </c>
      <c r="BT356" s="42" t="str">
        <f aca="false">IF(OR(BS356="",$E356=""),"",BS356-$E356)</f>
        <v/>
      </c>
      <c r="BU356" s="28" t="n">
        <f aca="false">IFERROR(INDEX(Assessments!$H$2:$H$600,MATCH($H356&amp;"|"&amp;$I356&amp;"|"&amp;$J356&amp;"|"&amp;1,Assessments!$A$2:$A$600,0)),"")</f>
        <v>15</v>
      </c>
      <c r="BV356" s="28" t="n">
        <f aca="false">IFERROR(INDEX(Assessments!$H$2:$H$600,MATCH($H356&amp;"|"&amp;$I356&amp;"|"&amp;$J356&amp;"|"&amp;2,Assessments!$A$2:$A$600,0)),"")</f>
        <v>10</v>
      </c>
      <c r="BW356" s="28" t="n">
        <f aca="false">IFERROR(INDEX(Assessments!$H$2:$H$600,MATCH($H356&amp;"|"&amp;$I356&amp;"|"&amp;$J356&amp;"|"&amp;3,Assessments!$A$2:$A$600,0)),"")</f>
        <v>24</v>
      </c>
      <c r="BX356" s="28" t="n">
        <f aca="false">IFERROR(INDEX(Assessments!$H$2:$H$600,MATCH($H356&amp;"|"&amp;$I356&amp;"|"&amp;$J356&amp;"|"&amp;4,Assessments!$A$2:$A$600,0)),"")</f>
        <v>15</v>
      </c>
      <c r="BY356" s="28" t="n">
        <f aca="false">IFERROR(INDEX(Assessments!$H$2:$H$600,MATCH($H356&amp;"|"&amp;$I356&amp;"|"&amp;$J356&amp;"|"&amp;5,Assessments!$A$2:$A$600,0)),"")</f>
        <v>15</v>
      </c>
      <c r="BZ356" s="28" t="n">
        <f aca="false">IFERROR(INDEX(Assessments!$H$2:$H$600,MATCH($H356&amp;"|"&amp;$I356&amp;"|"&amp;$J356&amp;"|"&amp;6,Assessments!$A$2:$A$600,0)),"")</f>
        <v>15</v>
      </c>
      <c r="CA356" s="28" t="n">
        <f aca="false">IFERROR(INDEX(Assessments!$H$2:$H$600,MATCH($H356&amp;"|"&amp;$I356&amp;"|"&amp;$J356&amp;"|"&amp;7,Assessments!$A$2:$A$600,0)),"")</f>
        <v>24</v>
      </c>
      <c r="CB356" s="28" t="n">
        <f aca="false">IFERROR(INDEX(Assessments!$H$2:$H$600,MATCH($H356&amp;"|"&amp;$I356&amp;"|"&amp;$J356&amp;"|"&amp;8,Assessments!$A$2:$A$600,0)),"")</f>
        <v>30</v>
      </c>
      <c r="CC356" s="28" t="n">
        <f aca="false">IFERROR(INDEX(Assessments!$H$2:$H$600,MATCH($H356&amp;"|"&amp;$I356&amp;"|"&amp;$J356&amp;"|"&amp;9,Assessments!$A$2:$A$600,0)),"")</f>
        <v>15</v>
      </c>
      <c r="CD356" s="28" t="str">
        <f aca="false">IFERROR(INDEX(Assessments!$H$2:$H$600,MATCH($H356&amp;"|"&amp;$I356&amp;"|"&amp;$J356&amp;"|"&amp;10,Assessments!$A$2:$A$600,0)),"")</f>
        <v/>
      </c>
      <c r="CE356" s="28" t="str">
        <f aca="false">IFERROR(INDEX(Assessments!$H$2:$H$600,MATCH($H356&amp;"|"&amp;$I356&amp;"|"&amp;$J356&amp;"|"&amp;11,Assessments!$A$2:$A$600,0)),"")</f>
        <v/>
      </c>
      <c r="CF356" s="28" t="str">
        <f aca="false">IFERROR(INDEX(Assessments!$H$2:$H$600,MATCH($H356&amp;"|"&amp;$I356&amp;"|"&amp;$J356&amp;"|"&amp;12,Assessments!$A$2:$A$600,0)),"")</f>
        <v/>
      </c>
      <c r="CG356" s="28" t="str">
        <f aca="false">IFERROR(INDEX(Assessments!$H$2:$H$600,MATCH($H356&amp;"|"&amp;$I356&amp;"|"&amp;$J356&amp;"|"&amp;13,Assessments!$A$2:$A$600,0)),"")</f>
        <v/>
      </c>
      <c r="CH356" s="28" t="str">
        <f aca="false">IFERROR(INDEX(Assessments!$H$2:$H$600,MATCH($H356&amp;"|"&amp;$I356&amp;"|"&amp;$J356&amp;"|"&amp;14,Assessments!$A$2:$A$600,0)),"")</f>
        <v/>
      </c>
      <c r="CI356" s="28" t="str">
        <f aca="false">IFERROR(INDEX(Assessments!$I$2:$I$600,MATCH($H356&amp;"|"&amp;$I356&amp;"|"&amp;$J356&amp;"|"&amp;1,Assessments!$A$2:$A$600,0)),"")</f>
        <v>Hist P3 essay</v>
      </c>
      <c r="CJ356" s="28" t="str">
        <f aca="false">IFERROR(INDEX(Assessments!$I$2:$I$600,MATCH($H356&amp;"|"&amp;$I356&amp;"|"&amp;$J356&amp;"|"&amp;2,Assessments!$A$2:$A$600,0)),"")</f>
        <v>Hist P2 partial</v>
      </c>
      <c r="CK356" s="28" t="str">
        <f aca="false">IFERROR(INDEX(Assessments!$I$2:$I$600,MATCH($H356&amp;"|"&amp;$I356&amp;"|"&amp;$J356&amp;"|"&amp;3,Assessments!$A$2:$A$600,0)),"")</f>
        <v>Hist P2 partial</v>
      </c>
      <c r="CL356" s="28" t="str">
        <f aca="false">IFERROR(INDEX(Assessments!$I$2:$I$600,MATCH($H356&amp;"|"&amp;$I356&amp;"|"&amp;$J356&amp;"|"&amp;4,Assessments!$A$2:$A$600,0)),"")</f>
        <v>Hist P3 essay</v>
      </c>
      <c r="CM356" s="28" t="str">
        <f aca="false">IFERROR(INDEX(Assessments!$I$2:$I$600,MATCH($H356&amp;"|"&amp;$I356&amp;"|"&amp;$J356&amp;"|"&amp;5,Assessments!$A$2:$A$600,0)),"")</f>
        <v>Hist P3 essay</v>
      </c>
      <c r="CN356" s="28" t="str">
        <f aca="false">IFERROR(INDEX(Assessments!$I$2:$I$600,MATCH($H356&amp;"|"&amp;$I356&amp;"|"&amp;$J356&amp;"|"&amp;6,Assessments!$A$2:$A$600,0)),"")</f>
        <v>Hist P3 essay</v>
      </c>
      <c r="CO356" s="28" t="str">
        <f aca="false">IFERROR(INDEX(Assessments!$I$2:$I$600,MATCH($H356&amp;"|"&amp;$I356&amp;"|"&amp;$J356&amp;"|"&amp;7,Assessments!$A$2:$A$600,0)),"")</f>
        <v>Hist Paper 1</v>
      </c>
      <c r="CP356" s="28" t="str">
        <f aca="false">IFERROR(INDEX(Assessments!$I$2:$I$600,MATCH($H356&amp;"|"&amp;$I356&amp;"|"&amp;$J356&amp;"|"&amp;8,Assessments!$A$2:$A$600,0)),"")</f>
        <v>Hist P2 full</v>
      </c>
      <c r="CQ356" s="28" t="str">
        <f aca="false">IFERROR(INDEX(Assessments!$I$2:$I$600,MATCH($H356&amp;"|"&amp;$I356&amp;"|"&amp;$J356&amp;"|"&amp;9,Assessments!$A$2:$A$600,0)),"")</f>
        <v>Hist P3 full</v>
      </c>
      <c r="CR356" s="28" t="str">
        <f aca="false">IFERROR(INDEX(Assessments!$I$2:$I$600,MATCH($H356&amp;"|"&amp;$I356&amp;"|"&amp;$J356&amp;"|"&amp;10,Assessments!$A$2:$A$600,0)),"")</f>
        <v/>
      </c>
      <c r="CS356" s="28" t="str">
        <f aca="false">IFERROR(INDEX(Assessments!$I$2:$I$600,MATCH($H356&amp;"|"&amp;$I356&amp;"|"&amp;$J356&amp;"|"&amp;11,Assessments!$A$2:$A$600,0)),"")</f>
        <v/>
      </c>
      <c r="CT356" s="28" t="str">
        <f aca="false">IFERROR(INDEX(Assessments!$I$2:$I$600,MATCH($H356&amp;"|"&amp;$I356&amp;"|"&amp;$J356&amp;"|"&amp;12,Assessments!$A$2:$A$600,0)),"")</f>
        <v/>
      </c>
      <c r="CU356" s="28" t="str">
        <f aca="false">IFERROR(INDEX(Assessments!$I$2:$I$600,MATCH($H356&amp;"|"&amp;$I356&amp;"|"&amp;$J356&amp;"|"&amp;13,Assessments!$A$2:$A$600,0)),"")</f>
        <v/>
      </c>
      <c r="CV356" s="28" t="str">
        <f aca="false">IFERROR(INDEX(Assessments!$I$2:$I$600,MATCH($H356&amp;"|"&amp;$I356&amp;"|"&amp;$J356&amp;"|"&amp;14,Assessments!$A$2:$A$600,0)),"")</f>
        <v/>
      </c>
      <c r="CW356" s="28" t="n">
        <f aca="false">IFERROR(INDEX(Assessments!$J$2:$J$600,MATCH($H356&amp;"|"&amp;$I356&amp;"|"&amp;$J356&amp;"|"&amp;1,Assessments!$A$2:$A$600,0)),0)</f>
        <v>1</v>
      </c>
      <c r="CX356" s="28" t="n">
        <f aca="false">IFERROR(INDEX(Assessments!$J$2:$J$600,MATCH($H356&amp;"|"&amp;$I356&amp;"|"&amp;$J356&amp;"|"&amp;2,Assessments!$A$2:$A$600,0)),0)</f>
        <v>1</v>
      </c>
      <c r="CY356" s="28" t="n">
        <f aca="false">IFERROR(INDEX(Assessments!$J$2:$J$600,MATCH($H356&amp;"|"&amp;$I356&amp;"|"&amp;$J356&amp;"|"&amp;3,Assessments!$A$2:$A$600,0)),0)</f>
        <v>1</v>
      </c>
      <c r="CZ356" s="28" t="n">
        <f aca="false">IFERROR(INDEX(Assessments!$J$2:$J$600,MATCH($H356&amp;"|"&amp;$I356&amp;"|"&amp;$J356&amp;"|"&amp;4,Assessments!$A$2:$A$600,0)),0)</f>
        <v>1</v>
      </c>
      <c r="DA356" s="28" t="n">
        <f aca="false">IFERROR(INDEX(Assessments!$J$2:$J$600,MATCH($H356&amp;"|"&amp;$I356&amp;"|"&amp;$J356&amp;"|"&amp;5,Assessments!$A$2:$A$600,0)),0)</f>
        <v>1</v>
      </c>
      <c r="DB356" s="28" t="n">
        <f aca="false">IFERROR(INDEX(Assessments!$J$2:$J$600,MATCH($H356&amp;"|"&amp;$I356&amp;"|"&amp;$J356&amp;"|"&amp;6,Assessments!$A$2:$A$600,0)),0)</f>
        <v>1</v>
      </c>
      <c r="DC356" s="28" t="n">
        <f aca="false">IFERROR(INDEX(Assessments!$J$2:$J$600,MATCH($H356&amp;"|"&amp;$I356&amp;"|"&amp;$J356&amp;"|"&amp;7,Assessments!$A$2:$A$600,0)),0)</f>
        <v>2</v>
      </c>
      <c r="DD356" s="28" t="n">
        <f aca="false">IFERROR(INDEX(Assessments!$J$2:$J$600,MATCH($H356&amp;"|"&amp;$I356&amp;"|"&amp;$J356&amp;"|"&amp;8,Assessments!$A$2:$A$600,0)),0)</f>
        <v>2</v>
      </c>
      <c r="DE356" s="28" t="n">
        <f aca="false">IFERROR(INDEX(Assessments!$J$2:$J$600,MATCH($H356&amp;"|"&amp;$I356&amp;"|"&amp;$J356&amp;"|"&amp;9,Assessments!$A$2:$A$600,0)),0)</f>
        <v>2</v>
      </c>
      <c r="DF356" s="28" t="n">
        <f aca="false">IFERROR(INDEX(Assessments!$J$2:$J$600,MATCH($H356&amp;"|"&amp;$I356&amp;"|"&amp;$J356&amp;"|"&amp;10,Assessments!$A$2:$A$600,0)),0)</f>
        <v>0</v>
      </c>
      <c r="DG356" s="28" t="n">
        <f aca="false">IFERROR(INDEX(Assessments!$J$2:$J$600,MATCH($H356&amp;"|"&amp;$I356&amp;"|"&amp;$J356&amp;"|"&amp;11,Assessments!$A$2:$A$600,0)),0)</f>
        <v>0</v>
      </c>
      <c r="DH356" s="28" t="n">
        <f aca="false">IFERROR(INDEX(Assessments!$J$2:$J$600,MATCH($H356&amp;"|"&amp;$I356&amp;"|"&amp;$J356&amp;"|"&amp;12,Assessments!$A$2:$A$600,0)),0)</f>
        <v>0</v>
      </c>
      <c r="DI356" s="28" t="n">
        <f aca="false">IFERROR(INDEX(Assessments!$J$2:$J$600,MATCH($H356&amp;"|"&amp;$I356&amp;"|"&amp;$J356&amp;"|"&amp;13,Assessments!$A$2:$A$600,0)),0)</f>
        <v>0</v>
      </c>
      <c r="DJ356" s="28" t="n">
        <f aca="false">IFERROR(INDEX(Assessments!$J$2:$J$600,MATCH($H356&amp;"|"&amp;$I356&amp;"|"&amp;$J356&amp;"|"&amp;14,Assessments!$A$2:$A$600,0)),0)</f>
        <v>0</v>
      </c>
      <c r="DK356" s="28" t="n">
        <f aca="false">S356</f>
        <v>4</v>
      </c>
      <c r="DL356" s="28" t="n">
        <f aca="false">W356</f>
        <v>3</v>
      </c>
      <c r="DM356" s="28" t="str">
        <f aca="false">AA356</f>
        <v/>
      </c>
      <c r="DN356" s="28" t="str">
        <f aca="false">AE356</f>
        <v/>
      </c>
      <c r="DO356" s="28" t="str">
        <f aca="false">AI356</f>
        <v/>
      </c>
      <c r="DP356" s="28" t="str">
        <f aca="false">AM356</f>
        <v/>
      </c>
      <c r="DQ356" s="28" t="str">
        <f aca="false">AQ356</f>
        <v/>
      </c>
      <c r="DR356" s="28" t="str">
        <f aca="false">AU356</f>
        <v/>
      </c>
      <c r="DS356" s="28" t="str">
        <f aca="false">AY356</f>
        <v/>
      </c>
      <c r="DT356" s="28" t="str">
        <f aca="false">BC356</f>
        <v/>
      </c>
      <c r="DU356" s="28" t="str">
        <f aca="false">BG356</f>
        <v/>
      </c>
      <c r="DV356" s="28" t="str">
        <f aca="false">BK356</f>
        <v/>
      </c>
      <c r="DW356" s="28" t="str">
        <f aca="false">BO356</f>
        <v/>
      </c>
      <c r="DX356" s="28" t="str">
        <f aca="false">BS356</f>
        <v/>
      </c>
      <c r="DY356" s="28" t="n">
        <f aca="false">IF(ISNUMBER(S356),1,"")</f>
        <v>1</v>
      </c>
      <c r="DZ356" s="28" t="n">
        <f aca="false">IF(ISNUMBER(W356),2,"")</f>
        <v>2</v>
      </c>
      <c r="EA356" s="28" t="str">
        <f aca="false">IF(ISNUMBER(AA356),3,"")</f>
        <v/>
      </c>
      <c r="EB356" s="28" t="str">
        <f aca="false">IF(ISNUMBER(AE356),4,"")</f>
        <v/>
      </c>
      <c r="EC356" s="28" t="str">
        <f aca="false">IF(ISNUMBER(AI356),5,"")</f>
        <v/>
      </c>
      <c r="ED356" s="28" t="str">
        <f aca="false">IF(ISNUMBER(AM356),6,"")</f>
        <v/>
      </c>
      <c r="EE356" s="28" t="str">
        <f aca="false">IF(ISNUMBER(AQ356),7,"")</f>
        <v/>
      </c>
      <c r="EF356" s="28" t="str">
        <f aca="false">IF(ISNUMBER(AU356),8,"")</f>
        <v/>
      </c>
      <c r="EG356" s="28" t="str">
        <f aca="false">IF(ISNUMBER(AY356),9,"")</f>
        <v/>
      </c>
      <c r="EH356" s="28" t="str">
        <f aca="false">IF(ISNUMBER(BC356),10,"")</f>
        <v/>
      </c>
      <c r="EI356" s="28" t="str">
        <f aca="false">IF(ISNUMBER(BG356),11,"")</f>
        <v/>
      </c>
      <c r="EJ356" s="28" t="str">
        <f aca="false">IF(ISNUMBER(BK356),12,"")</f>
        <v/>
      </c>
      <c r="EK356" s="28" t="str">
        <f aca="false">IF(ISNUMBER(BO356),13,"")</f>
        <v/>
      </c>
      <c r="EL356" s="28" t="str">
        <f aca="false">IF(ISNUMBER(BS356),14,"")</f>
        <v/>
      </c>
      <c r="EM356" s="28" t="n">
        <f aca="false">IF(ISNUMBER(R356),R356*CW356,0)</f>
        <v>46.6666666666667</v>
      </c>
      <c r="EN356" s="28" t="n">
        <f aca="false">IF(ISNUMBER(V356),V356*CX356,0)</f>
        <v>40</v>
      </c>
      <c r="EO356" s="28" t="n">
        <f aca="false">IF(ISNUMBER(Z356),Z356*CY356,0)</f>
        <v>0</v>
      </c>
      <c r="EP356" s="28" t="n">
        <f aca="false">IF(ISNUMBER(AD356),AD356*CZ356,0)</f>
        <v>0</v>
      </c>
      <c r="EQ356" s="28" t="n">
        <f aca="false">IF(ISNUMBER(AH356),AH356*DA356,0)</f>
        <v>0</v>
      </c>
      <c r="ER356" s="28" t="n">
        <f aca="false">IF(ISNUMBER(AL356),AL356*DB356,0)</f>
        <v>0</v>
      </c>
      <c r="ES356" s="28" t="n">
        <f aca="false">IF(ISNUMBER(AP356),AP356*DC356,0)</f>
        <v>0</v>
      </c>
      <c r="ET356" s="28" t="n">
        <f aca="false">IF(ISNUMBER(AT356),AT356*DD356,0)</f>
        <v>0</v>
      </c>
      <c r="EU356" s="28" t="n">
        <f aca="false">IF(ISNUMBER(AX356),AX356*DE356,0)</f>
        <v>0</v>
      </c>
      <c r="EV356" s="28" t="n">
        <f aca="false">IF(ISNUMBER(BB356),BB356*DF356,0)</f>
        <v>0</v>
      </c>
      <c r="EW356" s="28" t="n">
        <f aca="false">IF(ISNUMBER(BF356),BF356*DG356,0)</f>
        <v>0</v>
      </c>
      <c r="EX356" s="28" t="n">
        <f aca="false">IF(ISNUMBER(BJ356),BJ356*DH356,0)</f>
        <v>0</v>
      </c>
      <c r="EY356" s="28" t="n">
        <f aca="false">IF(ISNUMBER(BN356),BN356*DI356,0)</f>
        <v>0</v>
      </c>
      <c r="EZ356" s="28" t="n">
        <f aca="false">IF(ISNUMBER(BR356),BR356*DJ356,0)</f>
        <v>0</v>
      </c>
      <c r="FA356" s="28" t="n">
        <f aca="false">IF(ISNUMBER(R356),CW356,0)</f>
        <v>1</v>
      </c>
      <c r="FB356" s="28" t="n">
        <f aca="false">IF(ISNUMBER(V356),CX356,0)</f>
        <v>1</v>
      </c>
      <c r="FC356" s="28" t="n">
        <f aca="false">IF(ISNUMBER(Z356),CY356,0)</f>
        <v>0</v>
      </c>
      <c r="FD356" s="28" t="n">
        <f aca="false">IF(ISNUMBER(AD356),CZ356,0)</f>
        <v>0</v>
      </c>
      <c r="FE356" s="28" t="n">
        <f aca="false">IF(ISNUMBER(AH356),DA356,0)</f>
        <v>0</v>
      </c>
      <c r="FF356" s="28" t="n">
        <f aca="false">IF(ISNUMBER(AL356),DB356,0)</f>
        <v>0</v>
      </c>
      <c r="FG356" s="28" t="n">
        <f aca="false">IF(ISNUMBER(AP356),DC356,0)</f>
        <v>0</v>
      </c>
      <c r="FH356" s="28" t="n">
        <f aca="false">IF(ISNUMBER(AT356),DD356,0)</f>
        <v>0</v>
      </c>
      <c r="FI356" s="28" t="n">
        <f aca="false">IF(ISNUMBER(AX356),DE356,0)</f>
        <v>0</v>
      </c>
      <c r="FJ356" s="28" t="n">
        <f aca="false">IF(ISNUMBER(BB356),DF356,0)</f>
        <v>0</v>
      </c>
      <c r="FK356" s="28" t="n">
        <f aca="false">IF(ISNUMBER(BF356),DG356,0)</f>
        <v>0</v>
      </c>
      <c r="FL356" s="28" t="n">
        <f aca="false">IF(ISNUMBER(BJ356),DH356,0)</f>
        <v>0</v>
      </c>
      <c r="FM356" s="28" t="n">
        <f aca="false">IF(ISNUMBER(BN356),DI356,0)</f>
        <v>0</v>
      </c>
      <c r="FN356" s="28" t="n">
        <f aca="false">IF(ISNUMBER(BR356),DJ356,0)</f>
        <v>0</v>
      </c>
      <c r="FO356" s="28" t="str">
        <f aca="false">IFERROR(INDEX(Lists!$G$2:$G$20,MATCH($I356&amp;"|"&amp;$J356,Lists!$F$2:$F$20,0)),"")</f>
        <v>Hist Overall HL</v>
      </c>
    </row>
    <row r="357" customFormat="false" ht="19.5" hidden="false" customHeight="true" outlineLevel="0" collapsed="false">
      <c r="A357" s="29" t="s">
        <v>630</v>
      </c>
      <c r="B357" s="29" t="s">
        <v>631</v>
      </c>
      <c r="C357" s="30" t="s">
        <v>152</v>
      </c>
      <c r="D357" s="30" t="s">
        <v>422</v>
      </c>
      <c r="E357" s="31"/>
      <c r="F357" s="30"/>
      <c r="G357" s="30"/>
      <c r="H357" s="32" t="s">
        <v>428</v>
      </c>
      <c r="I357" s="33" t="s">
        <v>416</v>
      </c>
      <c r="J357" s="32" t="s">
        <v>25</v>
      </c>
      <c r="K357" s="34" t="str">
        <f aca="false">IF(OR(M357="",$E357=""),"",M357-$E357)</f>
        <v/>
      </c>
      <c r="L357" s="35" t="n">
        <f aca="false">IF(SUM(FA357:FN357)=0,"",SUM(EM357:EZ357)/SUM(FA357:FN357))</f>
        <v>43.3333333333333</v>
      </c>
      <c r="M357" s="36" t="n">
        <f aca="false">IF(OR(L357="",FO357=""),"",IFERROR(MATCH(L357,INDEX(Boundaries!$B$2:$I$30,MATCH(FO357,Boundaries!$A$2:$A$30,0),0),1)-1,""))</f>
        <v>4</v>
      </c>
      <c r="N357" s="37" t="n">
        <f aca="false">IF(COUNT($DY357:$EL357)&lt;2,"",INDEX($DK357:$DX357,MAX($DY357:$EL357))-INDEX($DK357:$DX357,MIN($DY357:$EL357)))</f>
        <v>-1</v>
      </c>
      <c r="O357" s="37" t="n">
        <f aca="false">IF(COUNT($DY357:$EL357)&lt;2,"",INDEX($DK357:$DX357,MAX($DY357:$EL357))-INDEX($DK357:$DX357,LARGE($DY357:$EL357,2)))</f>
        <v>-1</v>
      </c>
      <c r="P357" s="38" t="str">
        <f aca="false">IF(K357="","",IF(K357&gt;=0,"On/above target",IF(AND(N357&lt;&gt;"",N357&gt;=0.5),"Improving towards target",IF(AND(O357&lt;&gt;"",O357&lt;=-0.5),"Declining","Stable below target"))))</f>
        <v/>
      </c>
      <c r="Q357" s="39" t="n">
        <v>7</v>
      </c>
      <c r="R357" s="40" t="n">
        <f aca="false">IF(OR(Q357="",BU357=""),"",Q357/BU357*100)</f>
        <v>46.6666666666667</v>
      </c>
      <c r="S357" s="41" t="n">
        <f aca="false">IF(R357="","",IFERROR(MATCH(R357,INDEX(Boundaries!$B$2:$I$30,MATCH(CI357,Boundaries!$A$2:$A$30,0),0),1)-1,""))</f>
        <v>4</v>
      </c>
      <c r="T357" s="42" t="str">
        <f aca="false">IF(OR(S357="",$E357=""),"",S357-$E357)</f>
        <v/>
      </c>
      <c r="U357" s="39" t="n">
        <v>4</v>
      </c>
      <c r="V357" s="40" t="n">
        <f aca="false">IF(OR(U357="",BV357=""),"",U357/BV357*100)</f>
        <v>40</v>
      </c>
      <c r="W357" s="41" t="n">
        <f aca="false">IF(V357="","",IFERROR(MATCH(V357,INDEX(Boundaries!$B$2:$I$30,MATCH(CJ357,Boundaries!$A$2:$A$30,0),0),1)-1,""))</f>
        <v>3</v>
      </c>
      <c r="X357" s="42" t="str">
        <f aca="false">IF(OR(W357="",$E357=""),"",W357-$E357)</f>
        <v/>
      </c>
      <c r="Y357" s="39"/>
      <c r="Z357" s="40" t="str">
        <f aca="false">IF(OR(Y357="",BW357=""),"",Y357/BW357*100)</f>
        <v/>
      </c>
      <c r="AA357" s="41" t="str">
        <f aca="false">IF(Z357="","",IFERROR(MATCH(Z357,INDEX(Boundaries!$B$2:$I$30,MATCH(CK357,Boundaries!$A$2:$A$30,0),0),1)-1,""))</f>
        <v/>
      </c>
      <c r="AB357" s="42" t="str">
        <f aca="false">IF(OR(AA357="",$E357=""),"",AA357-$E357)</f>
        <v/>
      </c>
      <c r="AC357" s="39"/>
      <c r="AD357" s="40" t="str">
        <f aca="false">IF(OR(AC357="",BX357=""),"",AC357/BX357*100)</f>
        <v/>
      </c>
      <c r="AE357" s="41" t="str">
        <f aca="false">IF(AD357="","",IFERROR(MATCH(AD357,INDEX(Boundaries!$B$2:$I$30,MATCH(CL357,Boundaries!$A$2:$A$30,0),0),1)-1,""))</f>
        <v/>
      </c>
      <c r="AF357" s="42" t="str">
        <f aca="false">IF(OR(AE357="",$E357=""),"",AE357-$E357)</f>
        <v/>
      </c>
      <c r="AG357" s="39"/>
      <c r="AH357" s="40" t="str">
        <f aca="false">IF(OR(AG357="",BY357=""),"",AG357/BY357*100)</f>
        <v/>
      </c>
      <c r="AI357" s="41" t="str">
        <f aca="false">IF(AH357="","",IFERROR(MATCH(AH357,INDEX(Boundaries!$B$2:$I$30,MATCH(CM357,Boundaries!$A$2:$A$30,0),0),1)-1,""))</f>
        <v/>
      </c>
      <c r="AJ357" s="42" t="str">
        <f aca="false">IF(OR(AI357="",$E357=""),"",AI357-$E357)</f>
        <v/>
      </c>
      <c r="AK357" s="39"/>
      <c r="AL357" s="40" t="str">
        <f aca="false">IF(OR(AK357="",BZ357=""),"",AK357/BZ357*100)</f>
        <v/>
      </c>
      <c r="AM357" s="41" t="str">
        <f aca="false">IF(AL357="","",IFERROR(MATCH(AL357,INDEX(Boundaries!$B$2:$I$30,MATCH(CN357,Boundaries!$A$2:$A$30,0),0),1)-1,""))</f>
        <v/>
      </c>
      <c r="AN357" s="42" t="str">
        <f aca="false">IF(OR(AM357="",$E357=""),"",AM357-$E357)</f>
        <v/>
      </c>
      <c r="AO357" s="39"/>
      <c r="AP357" s="40" t="str">
        <f aca="false">IF(OR(AO357="",CA357=""),"",AO357/CA357*100)</f>
        <v/>
      </c>
      <c r="AQ357" s="41" t="str">
        <f aca="false">IF(AP357="","",IFERROR(MATCH(AP357,INDEX(Boundaries!$B$2:$I$30,MATCH(CO357,Boundaries!$A$2:$A$30,0),0),1)-1,""))</f>
        <v/>
      </c>
      <c r="AR357" s="42" t="str">
        <f aca="false">IF(OR(AQ357="",$E357=""),"",AQ357-$E357)</f>
        <v/>
      </c>
      <c r="AS357" s="39"/>
      <c r="AT357" s="40" t="str">
        <f aca="false">IF(OR(AS357="",CB357=""),"",AS357/CB357*100)</f>
        <v/>
      </c>
      <c r="AU357" s="41" t="str">
        <f aca="false">IF(AT357="","",IFERROR(MATCH(AT357,INDEX(Boundaries!$B$2:$I$30,MATCH(CP357,Boundaries!$A$2:$A$30,0),0),1)-1,""))</f>
        <v/>
      </c>
      <c r="AV357" s="42" t="str">
        <f aca="false">IF(OR(AU357="",$E357=""),"",AU357-$E357)</f>
        <v/>
      </c>
      <c r="AW357" s="39"/>
      <c r="AX357" s="40" t="str">
        <f aca="false">IF(OR(AW357="",CC357=""),"",AW357/CC357*100)</f>
        <v/>
      </c>
      <c r="AY357" s="41" t="str">
        <f aca="false">IF(AX357="","",IFERROR(MATCH(AX357,INDEX(Boundaries!$B$2:$I$30,MATCH(CQ357,Boundaries!$A$2:$A$30,0),0),1)-1,""))</f>
        <v/>
      </c>
      <c r="AZ357" s="42" t="str">
        <f aca="false">IF(OR(AY357="",$E357=""),"",AY357-$E357)</f>
        <v/>
      </c>
      <c r="BA357" s="39"/>
      <c r="BB357" s="40" t="str">
        <f aca="false">IF(OR(BA357="",CD357=""),"",BA357/CD357*100)</f>
        <v/>
      </c>
      <c r="BC357" s="41" t="str">
        <f aca="false">IF(BB357="","",IFERROR(MATCH(BB357,INDEX(Boundaries!$B$2:$I$30,MATCH(CR357,Boundaries!$A$2:$A$30,0),0),1)-1,""))</f>
        <v/>
      </c>
      <c r="BD357" s="42" t="str">
        <f aca="false">IF(OR(BC357="",$E357=""),"",BC357-$E357)</f>
        <v/>
      </c>
      <c r="BE357" s="39"/>
      <c r="BF357" s="40" t="str">
        <f aca="false">IF(OR(BE357="",CE357=""),"",BE357/CE357*100)</f>
        <v/>
      </c>
      <c r="BG357" s="41" t="str">
        <f aca="false">IF(BF357="","",IFERROR(MATCH(BF357,INDEX(Boundaries!$B$2:$I$30,MATCH(CS357,Boundaries!$A$2:$A$30,0),0),1)-1,""))</f>
        <v/>
      </c>
      <c r="BH357" s="42" t="str">
        <f aca="false">IF(OR(BG357="",$E357=""),"",BG357-$E357)</f>
        <v/>
      </c>
      <c r="BI357" s="39"/>
      <c r="BJ357" s="40" t="str">
        <f aca="false">IF(OR(BI357="",CF357=""),"",BI357/CF357*100)</f>
        <v/>
      </c>
      <c r="BK357" s="41" t="str">
        <f aca="false">IF(BJ357="","",IFERROR(MATCH(BJ357,INDEX(Boundaries!$B$2:$I$30,MATCH(CT357,Boundaries!$A$2:$A$30,0),0),1)-1,""))</f>
        <v/>
      </c>
      <c r="BL357" s="42" t="str">
        <f aca="false">IF(OR(BK357="",$E357=""),"",BK357-$E357)</f>
        <v/>
      </c>
      <c r="BM357" s="39"/>
      <c r="BN357" s="40" t="str">
        <f aca="false">IF(OR(BM357="",CG357=""),"",BM357/CG357*100)</f>
        <v/>
      </c>
      <c r="BO357" s="41" t="str">
        <f aca="false">IF(BN357="","",IFERROR(MATCH(BN357,INDEX(Boundaries!$B$2:$I$30,MATCH(CU357,Boundaries!$A$2:$A$30,0),0),1)-1,""))</f>
        <v/>
      </c>
      <c r="BP357" s="42" t="str">
        <f aca="false">IF(OR(BO357="",$E357=""),"",BO357-$E357)</f>
        <v/>
      </c>
      <c r="BQ357" s="39"/>
      <c r="BR357" s="40" t="str">
        <f aca="false">IF(OR(BQ357="",CH357=""),"",BQ357/CH357*100)</f>
        <v/>
      </c>
      <c r="BS357" s="41" t="str">
        <f aca="false">IF(BR357="","",IFERROR(MATCH(BR357,INDEX(Boundaries!$B$2:$I$30,MATCH(CV357,Boundaries!$A$2:$A$30,0),0),1)-1,""))</f>
        <v/>
      </c>
      <c r="BT357" s="42" t="str">
        <f aca="false">IF(OR(BS357="",$E357=""),"",BS357-$E357)</f>
        <v/>
      </c>
      <c r="BU357" s="28" t="n">
        <f aca="false">IFERROR(INDEX(Assessments!$H$2:$H$600,MATCH($H357&amp;"|"&amp;$I357&amp;"|"&amp;$J357&amp;"|"&amp;1,Assessments!$A$2:$A$600,0)),"")</f>
        <v>15</v>
      </c>
      <c r="BV357" s="28" t="n">
        <f aca="false">IFERROR(INDEX(Assessments!$H$2:$H$600,MATCH($H357&amp;"|"&amp;$I357&amp;"|"&amp;$J357&amp;"|"&amp;2,Assessments!$A$2:$A$600,0)),"")</f>
        <v>10</v>
      </c>
      <c r="BW357" s="28" t="n">
        <f aca="false">IFERROR(INDEX(Assessments!$H$2:$H$600,MATCH($H357&amp;"|"&amp;$I357&amp;"|"&amp;$J357&amp;"|"&amp;3,Assessments!$A$2:$A$600,0)),"")</f>
        <v>24</v>
      </c>
      <c r="BX357" s="28" t="n">
        <f aca="false">IFERROR(INDEX(Assessments!$H$2:$H$600,MATCH($H357&amp;"|"&amp;$I357&amp;"|"&amp;$J357&amp;"|"&amp;4,Assessments!$A$2:$A$600,0)),"")</f>
        <v>15</v>
      </c>
      <c r="BY357" s="28" t="n">
        <f aca="false">IFERROR(INDEX(Assessments!$H$2:$H$600,MATCH($H357&amp;"|"&amp;$I357&amp;"|"&amp;$J357&amp;"|"&amp;5,Assessments!$A$2:$A$600,0)),"")</f>
        <v>15</v>
      </c>
      <c r="BZ357" s="28" t="n">
        <f aca="false">IFERROR(INDEX(Assessments!$H$2:$H$600,MATCH($H357&amp;"|"&amp;$I357&amp;"|"&amp;$J357&amp;"|"&amp;6,Assessments!$A$2:$A$600,0)),"")</f>
        <v>15</v>
      </c>
      <c r="CA357" s="28" t="n">
        <f aca="false">IFERROR(INDEX(Assessments!$H$2:$H$600,MATCH($H357&amp;"|"&amp;$I357&amp;"|"&amp;$J357&amp;"|"&amp;7,Assessments!$A$2:$A$600,0)),"")</f>
        <v>24</v>
      </c>
      <c r="CB357" s="28" t="n">
        <f aca="false">IFERROR(INDEX(Assessments!$H$2:$H$600,MATCH($H357&amp;"|"&amp;$I357&amp;"|"&amp;$J357&amp;"|"&amp;8,Assessments!$A$2:$A$600,0)),"")</f>
        <v>30</v>
      </c>
      <c r="CC357" s="28" t="n">
        <f aca="false">IFERROR(INDEX(Assessments!$H$2:$H$600,MATCH($H357&amp;"|"&amp;$I357&amp;"|"&amp;$J357&amp;"|"&amp;9,Assessments!$A$2:$A$600,0)),"")</f>
        <v>15</v>
      </c>
      <c r="CD357" s="28" t="str">
        <f aca="false">IFERROR(INDEX(Assessments!$H$2:$H$600,MATCH($H357&amp;"|"&amp;$I357&amp;"|"&amp;$J357&amp;"|"&amp;10,Assessments!$A$2:$A$600,0)),"")</f>
        <v/>
      </c>
      <c r="CE357" s="28" t="str">
        <f aca="false">IFERROR(INDEX(Assessments!$H$2:$H$600,MATCH($H357&amp;"|"&amp;$I357&amp;"|"&amp;$J357&amp;"|"&amp;11,Assessments!$A$2:$A$600,0)),"")</f>
        <v/>
      </c>
      <c r="CF357" s="28" t="str">
        <f aca="false">IFERROR(INDEX(Assessments!$H$2:$H$600,MATCH($H357&amp;"|"&amp;$I357&amp;"|"&amp;$J357&amp;"|"&amp;12,Assessments!$A$2:$A$600,0)),"")</f>
        <v/>
      </c>
      <c r="CG357" s="28" t="str">
        <f aca="false">IFERROR(INDEX(Assessments!$H$2:$H$600,MATCH($H357&amp;"|"&amp;$I357&amp;"|"&amp;$J357&amp;"|"&amp;13,Assessments!$A$2:$A$600,0)),"")</f>
        <v/>
      </c>
      <c r="CH357" s="28" t="str">
        <f aca="false">IFERROR(INDEX(Assessments!$H$2:$H$600,MATCH($H357&amp;"|"&amp;$I357&amp;"|"&amp;$J357&amp;"|"&amp;14,Assessments!$A$2:$A$600,0)),"")</f>
        <v/>
      </c>
      <c r="CI357" s="28" t="str">
        <f aca="false">IFERROR(INDEX(Assessments!$I$2:$I$600,MATCH($H357&amp;"|"&amp;$I357&amp;"|"&amp;$J357&amp;"|"&amp;1,Assessments!$A$2:$A$600,0)),"")</f>
        <v>Hist P3 essay</v>
      </c>
      <c r="CJ357" s="28" t="str">
        <f aca="false">IFERROR(INDEX(Assessments!$I$2:$I$600,MATCH($H357&amp;"|"&amp;$I357&amp;"|"&amp;$J357&amp;"|"&amp;2,Assessments!$A$2:$A$600,0)),"")</f>
        <v>Hist P2 partial</v>
      </c>
      <c r="CK357" s="28" t="str">
        <f aca="false">IFERROR(INDEX(Assessments!$I$2:$I$600,MATCH($H357&amp;"|"&amp;$I357&amp;"|"&amp;$J357&amp;"|"&amp;3,Assessments!$A$2:$A$600,0)),"")</f>
        <v>Hist P2 partial</v>
      </c>
      <c r="CL357" s="28" t="str">
        <f aca="false">IFERROR(INDEX(Assessments!$I$2:$I$600,MATCH($H357&amp;"|"&amp;$I357&amp;"|"&amp;$J357&amp;"|"&amp;4,Assessments!$A$2:$A$600,0)),"")</f>
        <v>Hist P3 essay</v>
      </c>
      <c r="CM357" s="28" t="str">
        <f aca="false">IFERROR(INDEX(Assessments!$I$2:$I$600,MATCH($H357&amp;"|"&amp;$I357&amp;"|"&amp;$J357&amp;"|"&amp;5,Assessments!$A$2:$A$600,0)),"")</f>
        <v>Hist P3 essay</v>
      </c>
      <c r="CN357" s="28" t="str">
        <f aca="false">IFERROR(INDEX(Assessments!$I$2:$I$600,MATCH($H357&amp;"|"&amp;$I357&amp;"|"&amp;$J357&amp;"|"&amp;6,Assessments!$A$2:$A$600,0)),"")</f>
        <v>Hist P3 essay</v>
      </c>
      <c r="CO357" s="28" t="str">
        <f aca="false">IFERROR(INDEX(Assessments!$I$2:$I$600,MATCH($H357&amp;"|"&amp;$I357&amp;"|"&amp;$J357&amp;"|"&amp;7,Assessments!$A$2:$A$600,0)),"")</f>
        <v>Hist Paper 1</v>
      </c>
      <c r="CP357" s="28" t="str">
        <f aca="false">IFERROR(INDEX(Assessments!$I$2:$I$600,MATCH($H357&amp;"|"&amp;$I357&amp;"|"&amp;$J357&amp;"|"&amp;8,Assessments!$A$2:$A$600,0)),"")</f>
        <v>Hist P2 full</v>
      </c>
      <c r="CQ357" s="28" t="str">
        <f aca="false">IFERROR(INDEX(Assessments!$I$2:$I$600,MATCH($H357&amp;"|"&amp;$I357&amp;"|"&amp;$J357&amp;"|"&amp;9,Assessments!$A$2:$A$600,0)),"")</f>
        <v>Hist P3 full</v>
      </c>
      <c r="CR357" s="28" t="str">
        <f aca="false">IFERROR(INDEX(Assessments!$I$2:$I$600,MATCH($H357&amp;"|"&amp;$I357&amp;"|"&amp;$J357&amp;"|"&amp;10,Assessments!$A$2:$A$600,0)),"")</f>
        <v/>
      </c>
      <c r="CS357" s="28" t="str">
        <f aca="false">IFERROR(INDEX(Assessments!$I$2:$I$600,MATCH($H357&amp;"|"&amp;$I357&amp;"|"&amp;$J357&amp;"|"&amp;11,Assessments!$A$2:$A$600,0)),"")</f>
        <v/>
      </c>
      <c r="CT357" s="28" t="str">
        <f aca="false">IFERROR(INDEX(Assessments!$I$2:$I$600,MATCH($H357&amp;"|"&amp;$I357&amp;"|"&amp;$J357&amp;"|"&amp;12,Assessments!$A$2:$A$600,0)),"")</f>
        <v/>
      </c>
      <c r="CU357" s="28" t="str">
        <f aca="false">IFERROR(INDEX(Assessments!$I$2:$I$600,MATCH($H357&amp;"|"&amp;$I357&amp;"|"&amp;$J357&amp;"|"&amp;13,Assessments!$A$2:$A$600,0)),"")</f>
        <v/>
      </c>
      <c r="CV357" s="28" t="str">
        <f aca="false">IFERROR(INDEX(Assessments!$I$2:$I$600,MATCH($H357&amp;"|"&amp;$I357&amp;"|"&amp;$J357&amp;"|"&amp;14,Assessments!$A$2:$A$600,0)),"")</f>
        <v/>
      </c>
      <c r="CW357" s="28" t="n">
        <f aca="false">IFERROR(INDEX(Assessments!$J$2:$J$600,MATCH($H357&amp;"|"&amp;$I357&amp;"|"&amp;$J357&amp;"|"&amp;1,Assessments!$A$2:$A$600,0)),0)</f>
        <v>1</v>
      </c>
      <c r="CX357" s="28" t="n">
        <f aca="false">IFERROR(INDEX(Assessments!$J$2:$J$600,MATCH($H357&amp;"|"&amp;$I357&amp;"|"&amp;$J357&amp;"|"&amp;2,Assessments!$A$2:$A$600,0)),0)</f>
        <v>1</v>
      </c>
      <c r="CY357" s="28" t="n">
        <f aca="false">IFERROR(INDEX(Assessments!$J$2:$J$600,MATCH($H357&amp;"|"&amp;$I357&amp;"|"&amp;$J357&amp;"|"&amp;3,Assessments!$A$2:$A$600,0)),0)</f>
        <v>1</v>
      </c>
      <c r="CZ357" s="28" t="n">
        <f aca="false">IFERROR(INDEX(Assessments!$J$2:$J$600,MATCH($H357&amp;"|"&amp;$I357&amp;"|"&amp;$J357&amp;"|"&amp;4,Assessments!$A$2:$A$600,0)),0)</f>
        <v>1</v>
      </c>
      <c r="DA357" s="28" t="n">
        <f aca="false">IFERROR(INDEX(Assessments!$J$2:$J$600,MATCH($H357&amp;"|"&amp;$I357&amp;"|"&amp;$J357&amp;"|"&amp;5,Assessments!$A$2:$A$600,0)),0)</f>
        <v>1</v>
      </c>
      <c r="DB357" s="28" t="n">
        <f aca="false">IFERROR(INDEX(Assessments!$J$2:$J$600,MATCH($H357&amp;"|"&amp;$I357&amp;"|"&amp;$J357&amp;"|"&amp;6,Assessments!$A$2:$A$600,0)),0)</f>
        <v>1</v>
      </c>
      <c r="DC357" s="28" t="n">
        <f aca="false">IFERROR(INDEX(Assessments!$J$2:$J$600,MATCH($H357&amp;"|"&amp;$I357&amp;"|"&amp;$J357&amp;"|"&amp;7,Assessments!$A$2:$A$600,0)),0)</f>
        <v>2</v>
      </c>
      <c r="DD357" s="28" t="n">
        <f aca="false">IFERROR(INDEX(Assessments!$J$2:$J$600,MATCH($H357&amp;"|"&amp;$I357&amp;"|"&amp;$J357&amp;"|"&amp;8,Assessments!$A$2:$A$600,0)),0)</f>
        <v>2</v>
      </c>
      <c r="DE357" s="28" t="n">
        <f aca="false">IFERROR(INDEX(Assessments!$J$2:$J$600,MATCH($H357&amp;"|"&amp;$I357&amp;"|"&amp;$J357&amp;"|"&amp;9,Assessments!$A$2:$A$600,0)),0)</f>
        <v>2</v>
      </c>
      <c r="DF357" s="28" t="n">
        <f aca="false">IFERROR(INDEX(Assessments!$J$2:$J$600,MATCH($H357&amp;"|"&amp;$I357&amp;"|"&amp;$J357&amp;"|"&amp;10,Assessments!$A$2:$A$600,0)),0)</f>
        <v>0</v>
      </c>
      <c r="DG357" s="28" t="n">
        <f aca="false">IFERROR(INDEX(Assessments!$J$2:$J$600,MATCH($H357&amp;"|"&amp;$I357&amp;"|"&amp;$J357&amp;"|"&amp;11,Assessments!$A$2:$A$600,0)),0)</f>
        <v>0</v>
      </c>
      <c r="DH357" s="28" t="n">
        <f aca="false">IFERROR(INDEX(Assessments!$J$2:$J$600,MATCH($H357&amp;"|"&amp;$I357&amp;"|"&amp;$J357&amp;"|"&amp;12,Assessments!$A$2:$A$600,0)),0)</f>
        <v>0</v>
      </c>
      <c r="DI357" s="28" t="n">
        <f aca="false">IFERROR(INDEX(Assessments!$J$2:$J$600,MATCH($H357&amp;"|"&amp;$I357&amp;"|"&amp;$J357&amp;"|"&amp;13,Assessments!$A$2:$A$600,0)),0)</f>
        <v>0</v>
      </c>
      <c r="DJ357" s="28" t="n">
        <f aca="false">IFERROR(INDEX(Assessments!$J$2:$J$600,MATCH($H357&amp;"|"&amp;$I357&amp;"|"&amp;$J357&amp;"|"&amp;14,Assessments!$A$2:$A$600,0)),0)</f>
        <v>0</v>
      </c>
      <c r="DK357" s="28" t="n">
        <f aca="false">S357</f>
        <v>4</v>
      </c>
      <c r="DL357" s="28" t="n">
        <f aca="false">W357</f>
        <v>3</v>
      </c>
      <c r="DM357" s="28" t="str">
        <f aca="false">AA357</f>
        <v/>
      </c>
      <c r="DN357" s="28" t="str">
        <f aca="false">AE357</f>
        <v/>
      </c>
      <c r="DO357" s="28" t="str">
        <f aca="false">AI357</f>
        <v/>
      </c>
      <c r="DP357" s="28" t="str">
        <f aca="false">AM357</f>
        <v/>
      </c>
      <c r="DQ357" s="28" t="str">
        <f aca="false">AQ357</f>
        <v/>
      </c>
      <c r="DR357" s="28" t="str">
        <f aca="false">AU357</f>
        <v/>
      </c>
      <c r="DS357" s="28" t="str">
        <f aca="false">AY357</f>
        <v/>
      </c>
      <c r="DT357" s="28" t="str">
        <f aca="false">BC357</f>
        <v/>
      </c>
      <c r="DU357" s="28" t="str">
        <f aca="false">BG357</f>
        <v/>
      </c>
      <c r="DV357" s="28" t="str">
        <f aca="false">BK357</f>
        <v/>
      </c>
      <c r="DW357" s="28" t="str">
        <f aca="false">BO357</f>
        <v/>
      </c>
      <c r="DX357" s="28" t="str">
        <f aca="false">BS357</f>
        <v/>
      </c>
      <c r="DY357" s="28" t="n">
        <f aca="false">IF(ISNUMBER(S357),1,"")</f>
        <v>1</v>
      </c>
      <c r="DZ357" s="28" t="n">
        <f aca="false">IF(ISNUMBER(W357),2,"")</f>
        <v>2</v>
      </c>
      <c r="EA357" s="28" t="str">
        <f aca="false">IF(ISNUMBER(AA357),3,"")</f>
        <v/>
      </c>
      <c r="EB357" s="28" t="str">
        <f aca="false">IF(ISNUMBER(AE357),4,"")</f>
        <v/>
      </c>
      <c r="EC357" s="28" t="str">
        <f aca="false">IF(ISNUMBER(AI357),5,"")</f>
        <v/>
      </c>
      <c r="ED357" s="28" t="str">
        <f aca="false">IF(ISNUMBER(AM357),6,"")</f>
        <v/>
      </c>
      <c r="EE357" s="28" t="str">
        <f aca="false">IF(ISNUMBER(AQ357),7,"")</f>
        <v/>
      </c>
      <c r="EF357" s="28" t="str">
        <f aca="false">IF(ISNUMBER(AU357),8,"")</f>
        <v/>
      </c>
      <c r="EG357" s="28" t="str">
        <f aca="false">IF(ISNUMBER(AY357),9,"")</f>
        <v/>
      </c>
      <c r="EH357" s="28" t="str">
        <f aca="false">IF(ISNUMBER(BC357),10,"")</f>
        <v/>
      </c>
      <c r="EI357" s="28" t="str">
        <f aca="false">IF(ISNUMBER(BG357),11,"")</f>
        <v/>
      </c>
      <c r="EJ357" s="28" t="str">
        <f aca="false">IF(ISNUMBER(BK357),12,"")</f>
        <v/>
      </c>
      <c r="EK357" s="28" t="str">
        <f aca="false">IF(ISNUMBER(BO357),13,"")</f>
        <v/>
      </c>
      <c r="EL357" s="28" t="str">
        <f aca="false">IF(ISNUMBER(BS357),14,"")</f>
        <v/>
      </c>
      <c r="EM357" s="28" t="n">
        <f aca="false">IF(ISNUMBER(R357),R357*CW357,0)</f>
        <v>46.6666666666667</v>
      </c>
      <c r="EN357" s="28" t="n">
        <f aca="false">IF(ISNUMBER(V357),V357*CX357,0)</f>
        <v>40</v>
      </c>
      <c r="EO357" s="28" t="n">
        <f aca="false">IF(ISNUMBER(Z357),Z357*CY357,0)</f>
        <v>0</v>
      </c>
      <c r="EP357" s="28" t="n">
        <f aca="false">IF(ISNUMBER(AD357),AD357*CZ357,0)</f>
        <v>0</v>
      </c>
      <c r="EQ357" s="28" t="n">
        <f aca="false">IF(ISNUMBER(AH357),AH357*DA357,0)</f>
        <v>0</v>
      </c>
      <c r="ER357" s="28" t="n">
        <f aca="false">IF(ISNUMBER(AL357),AL357*DB357,0)</f>
        <v>0</v>
      </c>
      <c r="ES357" s="28" t="n">
        <f aca="false">IF(ISNUMBER(AP357),AP357*DC357,0)</f>
        <v>0</v>
      </c>
      <c r="ET357" s="28" t="n">
        <f aca="false">IF(ISNUMBER(AT357),AT357*DD357,0)</f>
        <v>0</v>
      </c>
      <c r="EU357" s="28" t="n">
        <f aca="false">IF(ISNUMBER(AX357),AX357*DE357,0)</f>
        <v>0</v>
      </c>
      <c r="EV357" s="28" t="n">
        <f aca="false">IF(ISNUMBER(BB357),BB357*DF357,0)</f>
        <v>0</v>
      </c>
      <c r="EW357" s="28" t="n">
        <f aca="false">IF(ISNUMBER(BF357),BF357*DG357,0)</f>
        <v>0</v>
      </c>
      <c r="EX357" s="28" t="n">
        <f aca="false">IF(ISNUMBER(BJ357),BJ357*DH357,0)</f>
        <v>0</v>
      </c>
      <c r="EY357" s="28" t="n">
        <f aca="false">IF(ISNUMBER(BN357),BN357*DI357,0)</f>
        <v>0</v>
      </c>
      <c r="EZ357" s="28" t="n">
        <f aca="false">IF(ISNUMBER(BR357),BR357*DJ357,0)</f>
        <v>0</v>
      </c>
      <c r="FA357" s="28" t="n">
        <f aca="false">IF(ISNUMBER(R357),CW357,0)</f>
        <v>1</v>
      </c>
      <c r="FB357" s="28" t="n">
        <f aca="false">IF(ISNUMBER(V357),CX357,0)</f>
        <v>1</v>
      </c>
      <c r="FC357" s="28" t="n">
        <f aca="false">IF(ISNUMBER(Z357),CY357,0)</f>
        <v>0</v>
      </c>
      <c r="FD357" s="28" t="n">
        <f aca="false">IF(ISNUMBER(AD357),CZ357,0)</f>
        <v>0</v>
      </c>
      <c r="FE357" s="28" t="n">
        <f aca="false">IF(ISNUMBER(AH357),DA357,0)</f>
        <v>0</v>
      </c>
      <c r="FF357" s="28" t="n">
        <f aca="false">IF(ISNUMBER(AL357),DB357,0)</f>
        <v>0</v>
      </c>
      <c r="FG357" s="28" t="n">
        <f aca="false">IF(ISNUMBER(AP357),DC357,0)</f>
        <v>0</v>
      </c>
      <c r="FH357" s="28" t="n">
        <f aca="false">IF(ISNUMBER(AT357),DD357,0)</f>
        <v>0</v>
      </c>
      <c r="FI357" s="28" t="n">
        <f aca="false">IF(ISNUMBER(AX357),DE357,0)</f>
        <v>0</v>
      </c>
      <c r="FJ357" s="28" t="n">
        <f aca="false">IF(ISNUMBER(BB357),DF357,0)</f>
        <v>0</v>
      </c>
      <c r="FK357" s="28" t="n">
        <f aca="false">IF(ISNUMBER(BF357),DG357,0)</f>
        <v>0</v>
      </c>
      <c r="FL357" s="28" t="n">
        <f aca="false">IF(ISNUMBER(BJ357),DH357,0)</f>
        <v>0</v>
      </c>
      <c r="FM357" s="28" t="n">
        <f aca="false">IF(ISNUMBER(BN357),DI357,0)</f>
        <v>0</v>
      </c>
      <c r="FN357" s="28" t="n">
        <f aca="false">IF(ISNUMBER(BR357),DJ357,0)</f>
        <v>0</v>
      </c>
      <c r="FO357" s="28" t="str">
        <f aca="false">IFERROR(INDEX(Lists!$G$2:$G$20,MATCH($I357&amp;"|"&amp;$J357,Lists!$F$2:$F$20,0)),"")</f>
        <v>Hist Overall HL</v>
      </c>
    </row>
    <row r="358" customFormat="false" ht="19.5" hidden="false" customHeight="true" outlineLevel="0" collapsed="false">
      <c r="A358" s="29" t="s">
        <v>660</v>
      </c>
      <c r="B358" s="29" t="s">
        <v>661</v>
      </c>
      <c r="C358" s="30" t="s">
        <v>152</v>
      </c>
      <c r="D358" s="30" t="s">
        <v>422</v>
      </c>
      <c r="E358" s="31"/>
      <c r="F358" s="30"/>
      <c r="G358" s="30"/>
      <c r="H358" s="32" t="s">
        <v>428</v>
      </c>
      <c r="I358" s="33" t="s">
        <v>416</v>
      </c>
      <c r="J358" s="32" t="s">
        <v>25</v>
      </c>
      <c r="K358" s="34" t="str">
        <f aca="false">IF(OR(M358="",$E358=""),"",M358-$E358)</f>
        <v/>
      </c>
      <c r="L358" s="35" t="n">
        <f aca="false">IF(SUM(FA358:FN358)=0,"",SUM(EM358:EZ358)/SUM(FA358:FN358))</f>
        <v>43.3333333333333</v>
      </c>
      <c r="M358" s="36" t="n">
        <f aca="false">IF(OR(L358="",FO358=""),"",IFERROR(MATCH(L358,INDEX(Boundaries!$B$2:$I$30,MATCH(FO358,Boundaries!$A$2:$A$30,0),0),1)-1,""))</f>
        <v>4</v>
      </c>
      <c r="N358" s="37" t="n">
        <f aca="false">IF(COUNT($DY358:$EL358)&lt;2,"",INDEX($DK358:$DX358,MAX($DY358:$EL358))-INDEX($DK358:$DX358,MIN($DY358:$EL358)))</f>
        <v>-1</v>
      </c>
      <c r="O358" s="37" t="n">
        <f aca="false">IF(COUNT($DY358:$EL358)&lt;2,"",INDEX($DK358:$DX358,MAX($DY358:$EL358))-INDEX($DK358:$DX358,LARGE($DY358:$EL358,2)))</f>
        <v>-1</v>
      </c>
      <c r="P358" s="38" t="str">
        <f aca="false">IF(K358="","",IF(K358&gt;=0,"On/above target",IF(AND(N358&lt;&gt;"",N358&gt;=0.5),"Improving towards target",IF(AND(O358&lt;&gt;"",O358&lt;=-0.5),"Declining","Stable below target"))))</f>
        <v/>
      </c>
      <c r="Q358" s="39" t="n">
        <v>7</v>
      </c>
      <c r="R358" s="40" t="n">
        <f aca="false">IF(OR(Q358="",BU358=""),"",Q358/BU358*100)</f>
        <v>46.6666666666667</v>
      </c>
      <c r="S358" s="41" t="n">
        <f aca="false">IF(R358="","",IFERROR(MATCH(R358,INDEX(Boundaries!$B$2:$I$30,MATCH(CI358,Boundaries!$A$2:$A$30,0),0),1)-1,""))</f>
        <v>4</v>
      </c>
      <c r="T358" s="42" t="str">
        <f aca="false">IF(OR(S358="",$E358=""),"",S358-$E358)</f>
        <v/>
      </c>
      <c r="U358" s="39" t="n">
        <v>4</v>
      </c>
      <c r="V358" s="40" t="n">
        <f aca="false">IF(OR(U358="",BV358=""),"",U358/BV358*100)</f>
        <v>40</v>
      </c>
      <c r="W358" s="41" t="n">
        <f aca="false">IF(V358="","",IFERROR(MATCH(V358,INDEX(Boundaries!$B$2:$I$30,MATCH(CJ358,Boundaries!$A$2:$A$30,0),0),1)-1,""))</f>
        <v>3</v>
      </c>
      <c r="X358" s="42" t="str">
        <f aca="false">IF(OR(W358="",$E358=""),"",W358-$E358)</f>
        <v/>
      </c>
      <c r="Y358" s="39"/>
      <c r="Z358" s="40" t="str">
        <f aca="false">IF(OR(Y358="",BW358=""),"",Y358/BW358*100)</f>
        <v/>
      </c>
      <c r="AA358" s="41" t="str">
        <f aca="false">IF(Z358="","",IFERROR(MATCH(Z358,INDEX(Boundaries!$B$2:$I$30,MATCH(CK358,Boundaries!$A$2:$A$30,0),0),1)-1,""))</f>
        <v/>
      </c>
      <c r="AB358" s="42" t="str">
        <f aca="false">IF(OR(AA358="",$E358=""),"",AA358-$E358)</f>
        <v/>
      </c>
      <c r="AC358" s="39"/>
      <c r="AD358" s="40" t="str">
        <f aca="false">IF(OR(AC358="",BX358=""),"",AC358/BX358*100)</f>
        <v/>
      </c>
      <c r="AE358" s="41" t="str">
        <f aca="false">IF(AD358="","",IFERROR(MATCH(AD358,INDEX(Boundaries!$B$2:$I$30,MATCH(CL358,Boundaries!$A$2:$A$30,0),0),1)-1,""))</f>
        <v/>
      </c>
      <c r="AF358" s="42" t="str">
        <f aca="false">IF(OR(AE358="",$E358=""),"",AE358-$E358)</f>
        <v/>
      </c>
      <c r="AG358" s="39"/>
      <c r="AH358" s="40" t="str">
        <f aca="false">IF(OR(AG358="",BY358=""),"",AG358/BY358*100)</f>
        <v/>
      </c>
      <c r="AI358" s="41" t="str">
        <f aca="false">IF(AH358="","",IFERROR(MATCH(AH358,INDEX(Boundaries!$B$2:$I$30,MATCH(CM358,Boundaries!$A$2:$A$30,0),0),1)-1,""))</f>
        <v/>
      </c>
      <c r="AJ358" s="42" t="str">
        <f aca="false">IF(OR(AI358="",$E358=""),"",AI358-$E358)</f>
        <v/>
      </c>
      <c r="AK358" s="39"/>
      <c r="AL358" s="40" t="str">
        <f aca="false">IF(OR(AK358="",BZ358=""),"",AK358/BZ358*100)</f>
        <v/>
      </c>
      <c r="AM358" s="41" t="str">
        <f aca="false">IF(AL358="","",IFERROR(MATCH(AL358,INDEX(Boundaries!$B$2:$I$30,MATCH(CN358,Boundaries!$A$2:$A$30,0),0),1)-1,""))</f>
        <v/>
      </c>
      <c r="AN358" s="42" t="str">
        <f aca="false">IF(OR(AM358="",$E358=""),"",AM358-$E358)</f>
        <v/>
      </c>
      <c r="AO358" s="39"/>
      <c r="AP358" s="40" t="str">
        <f aca="false">IF(OR(AO358="",CA358=""),"",AO358/CA358*100)</f>
        <v/>
      </c>
      <c r="AQ358" s="41" t="str">
        <f aca="false">IF(AP358="","",IFERROR(MATCH(AP358,INDEX(Boundaries!$B$2:$I$30,MATCH(CO358,Boundaries!$A$2:$A$30,0),0),1)-1,""))</f>
        <v/>
      </c>
      <c r="AR358" s="42" t="str">
        <f aca="false">IF(OR(AQ358="",$E358=""),"",AQ358-$E358)</f>
        <v/>
      </c>
      <c r="AS358" s="39"/>
      <c r="AT358" s="40" t="str">
        <f aca="false">IF(OR(AS358="",CB358=""),"",AS358/CB358*100)</f>
        <v/>
      </c>
      <c r="AU358" s="41" t="str">
        <f aca="false">IF(AT358="","",IFERROR(MATCH(AT358,INDEX(Boundaries!$B$2:$I$30,MATCH(CP358,Boundaries!$A$2:$A$30,0),0),1)-1,""))</f>
        <v/>
      </c>
      <c r="AV358" s="42" t="str">
        <f aca="false">IF(OR(AU358="",$E358=""),"",AU358-$E358)</f>
        <v/>
      </c>
      <c r="AW358" s="39"/>
      <c r="AX358" s="40" t="str">
        <f aca="false">IF(OR(AW358="",CC358=""),"",AW358/CC358*100)</f>
        <v/>
      </c>
      <c r="AY358" s="41" t="str">
        <f aca="false">IF(AX358="","",IFERROR(MATCH(AX358,INDEX(Boundaries!$B$2:$I$30,MATCH(CQ358,Boundaries!$A$2:$A$30,0),0),1)-1,""))</f>
        <v/>
      </c>
      <c r="AZ358" s="42" t="str">
        <f aca="false">IF(OR(AY358="",$E358=""),"",AY358-$E358)</f>
        <v/>
      </c>
      <c r="BA358" s="39"/>
      <c r="BB358" s="40" t="str">
        <f aca="false">IF(OR(BA358="",CD358=""),"",BA358/CD358*100)</f>
        <v/>
      </c>
      <c r="BC358" s="41" t="str">
        <f aca="false">IF(BB358="","",IFERROR(MATCH(BB358,INDEX(Boundaries!$B$2:$I$30,MATCH(CR358,Boundaries!$A$2:$A$30,0),0),1)-1,""))</f>
        <v/>
      </c>
      <c r="BD358" s="42" t="str">
        <f aca="false">IF(OR(BC358="",$E358=""),"",BC358-$E358)</f>
        <v/>
      </c>
      <c r="BE358" s="39"/>
      <c r="BF358" s="40" t="str">
        <f aca="false">IF(OR(BE358="",CE358=""),"",BE358/CE358*100)</f>
        <v/>
      </c>
      <c r="BG358" s="41" t="str">
        <f aca="false">IF(BF358="","",IFERROR(MATCH(BF358,INDEX(Boundaries!$B$2:$I$30,MATCH(CS358,Boundaries!$A$2:$A$30,0),0),1)-1,""))</f>
        <v/>
      </c>
      <c r="BH358" s="42" t="str">
        <f aca="false">IF(OR(BG358="",$E358=""),"",BG358-$E358)</f>
        <v/>
      </c>
      <c r="BI358" s="39"/>
      <c r="BJ358" s="40" t="str">
        <f aca="false">IF(OR(BI358="",CF358=""),"",BI358/CF358*100)</f>
        <v/>
      </c>
      <c r="BK358" s="41" t="str">
        <f aca="false">IF(BJ358="","",IFERROR(MATCH(BJ358,INDEX(Boundaries!$B$2:$I$30,MATCH(CT358,Boundaries!$A$2:$A$30,0),0),1)-1,""))</f>
        <v/>
      </c>
      <c r="BL358" s="42" t="str">
        <f aca="false">IF(OR(BK358="",$E358=""),"",BK358-$E358)</f>
        <v/>
      </c>
      <c r="BM358" s="39"/>
      <c r="BN358" s="40" t="str">
        <f aca="false">IF(OR(BM358="",CG358=""),"",BM358/CG358*100)</f>
        <v/>
      </c>
      <c r="BO358" s="41" t="str">
        <f aca="false">IF(BN358="","",IFERROR(MATCH(BN358,INDEX(Boundaries!$B$2:$I$30,MATCH(CU358,Boundaries!$A$2:$A$30,0),0),1)-1,""))</f>
        <v/>
      </c>
      <c r="BP358" s="42" t="str">
        <f aca="false">IF(OR(BO358="",$E358=""),"",BO358-$E358)</f>
        <v/>
      </c>
      <c r="BQ358" s="39"/>
      <c r="BR358" s="40" t="str">
        <f aca="false">IF(OR(BQ358="",CH358=""),"",BQ358/CH358*100)</f>
        <v/>
      </c>
      <c r="BS358" s="41" t="str">
        <f aca="false">IF(BR358="","",IFERROR(MATCH(BR358,INDEX(Boundaries!$B$2:$I$30,MATCH(CV358,Boundaries!$A$2:$A$30,0),0),1)-1,""))</f>
        <v/>
      </c>
      <c r="BT358" s="42" t="str">
        <f aca="false">IF(OR(BS358="",$E358=""),"",BS358-$E358)</f>
        <v/>
      </c>
      <c r="BU358" s="28" t="n">
        <f aca="false">IFERROR(INDEX(Assessments!$H$2:$H$600,MATCH($H358&amp;"|"&amp;$I358&amp;"|"&amp;$J358&amp;"|"&amp;1,Assessments!$A$2:$A$600,0)),"")</f>
        <v>15</v>
      </c>
      <c r="BV358" s="28" t="n">
        <f aca="false">IFERROR(INDEX(Assessments!$H$2:$H$600,MATCH($H358&amp;"|"&amp;$I358&amp;"|"&amp;$J358&amp;"|"&amp;2,Assessments!$A$2:$A$600,0)),"")</f>
        <v>10</v>
      </c>
      <c r="BW358" s="28" t="n">
        <f aca="false">IFERROR(INDEX(Assessments!$H$2:$H$600,MATCH($H358&amp;"|"&amp;$I358&amp;"|"&amp;$J358&amp;"|"&amp;3,Assessments!$A$2:$A$600,0)),"")</f>
        <v>24</v>
      </c>
      <c r="BX358" s="28" t="n">
        <f aca="false">IFERROR(INDEX(Assessments!$H$2:$H$600,MATCH($H358&amp;"|"&amp;$I358&amp;"|"&amp;$J358&amp;"|"&amp;4,Assessments!$A$2:$A$600,0)),"")</f>
        <v>15</v>
      </c>
      <c r="BY358" s="28" t="n">
        <f aca="false">IFERROR(INDEX(Assessments!$H$2:$H$600,MATCH($H358&amp;"|"&amp;$I358&amp;"|"&amp;$J358&amp;"|"&amp;5,Assessments!$A$2:$A$600,0)),"")</f>
        <v>15</v>
      </c>
      <c r="BZ358" s="28" t="n">
        <f aca="false">IFERROR(INDEX(Assessments!$H$2:$H$600,MATCH($H358&amp;"|"&amp;$I358&amp;"|"&amp;$J358&amp;"|"&amp;6,Assessments!$A$2:$A$600,0)),"")</f>
        <v>15</v>
      </c>
      <c r="CA358" s="28" t="n">
        <f aca="false">IFERROR(INDEX(Assessments!$H$2:$H$600,MATCH($H358&amp;"|"&amp;$I358&amp;"|"&amp;$J358&amp;"|"&amp;7,Assessments!$A$2:$A$600,0)),"")</f>
        <v>24</v>
      </c>
      <c r="CB358" s="28" t="n">
        <f aca="false">IFERROR(INDEX(Assessments!$H$2:$H$600,MATCH($H358&amp;"|"&amp;$I358&amp;"|"&amp;$J358&amp;"|"&amp;8,Assessments!$A$2:$A$600,0)),"")</f>
        <v>30</v>
      </c>
      <c r="CC358" s="28" t="n">
        <f aca="false">IFERROR(INDEX(Assessments!$H$2:$H$600,MATCH($H358&amp;"|"&amp;$I358&amp;"|"&amp;$J358&amp;"|"&amp;9,Assessments!$A$2:$A$600,0)),"")</f>
        <v>15</v>
      </c>
      <c r="CD358" s="28" t="str">
        <f aca="false">IFERROR(INDEX(Assessments!$H$2:$H$600,MATCH($H358&amp;"|"&amp;$I358&amp;"|"&amp;$J358&amp;"|"&amp;10,Assessments!$A$2:$A$600,0)),"")</f>
        <v/>
      </c>
      <c r="CE358" s="28" t="str">
        <f aca="false">IFERROR(INDEX(Assessments!$H$2:$H$600,MATCH($H358&amp;"|"&amp;$I358&amp;"|"&amp;$J358&amp;"|"&amp;11,Assessments!$A$2:$A$600,0)),"")</f>
        <v/>
      </c>
      <c r="CF358" s="28" t="str">
        <f aca="false">IFERROR(INDEX(Assessments!$H$2:$H$600,MATCH($H358&amp;"|"&amp;$I358&amp;"|"&amp;$J358&amp;"|"&amp;12,Assessments!$A$2:$A$600,0)),"")</f>
        <v/>
      </c>
      <c r="CG358" s="28" t="str">
        <f aca="false">IFERROR(INDEX(Assessments!$H$2:$H$600,MATCH($H358&amp;"|"&amp;$I358&amp;"|"&amp;$J358&amp;"|"&amp;13,Assessments!$A$2:$A$600,0)),"")</f>
        <v/>
      </c>
      <c r="CH358" s="28" t="str">
        <f aca="false">IFERROR(INDEX(Assessments!$H$2:$H$600,MATCH($H358&amp;"|"&amp;$I358&amp;"|"&amp;$J358&amp;"|"&amp;14,Assessments!$A$2:$A$600,0)),"")</f>
        <v/>
      </c>
      <c r="CI358" s="28" t="str">
        <f aca="false">IFERROR(INDEX(Assessments!$I$2:$I$600,MATCH($H358&amp;"|"&amp;$I358&amp;"|"&amp;$J358&amp;"|"&amp;1,Assessments!$A$2:$A$600,0)),"")</f>
        <v>Hist P3 essay</v>
      </c>
      <c r="CJ358" s="28" t="str">
        <f aca="false">IFERROR(INDEX(Assessments!$I$2:$I$600,MATCH($H358&amp;"|"&amp;$I358&amp;"|"&amp;$J358&amp;"|"&amp;2,Assessments!$A$2:$A$600,0)),"")</f>
        <v>Hist P2 partial</v>
      </c>
      <c r="CK358" s="28" t="str">
        <f aca="false">IFERROR(INDEX(Assessments!$I$2:$I$600,MATCH($H358&amp;"|"&amp;$I358&amp;"|"&amp;$J358&amp;"|"&amp;3,Assessments!$A$2:$A$600,0)),"")</f>
        <v>Hist P2 partial</v>
      </c>
      <c r="CL358" s="28" t="str">
        <f aca="false">IFERROR(INDEX(Assessments!$I$2:$I$600,MATCH($H358&amp;"|"&amp;$I358&amp;"|"&amp;$J358&amp;"|"&amp;4,Assessments!$A$2:$A$600,0)),"")</f>
        <v>Hist P3 essay</v>
      </c>
      <c r="CM358" s="28" t="str">
        <f aca="false">IFERROR(INDEX(Assessments!$I$2:$I$600,MATCH($H358&amp;"|"&amp;$I358&amp;"|"&amp;$J358&amp;"|"&amp;5,Assessments!$A$2:$A$600,0)),"")</f>
        <v>Hist P3 essay</v>
      </c>
      <c r="CN358" s="28" t="str">
        <f aca="false">IFERROR(INDEX(Assessments!$I$2:$I$600,MATCH($H358&amp;"|"&amp;$I358&amp;"|"&amp;$J358&amp;"|"&amp;6,Assessments!$A$2:$A$600,0)),"")</f>
        <v>Hist P3 essay</v>
      </c>
      <c r="CO358" s="28" t="str">
        <f aca="false">IFERROR(INDEX(Assessments!$I$2:$I$600,MATCH($H358&amp;"|"&amp;$I358&amp;"|"&amp;$J358&amp;"|"&amp;7,Assessments!$A$2:$A$600,0)),"")</f>
        <v>Hist Paper 1</v>
      </c>
      <c r="CP358" s="28" t="str">
        <f aca="false">IFERROR(INDEX(Assessments!$I$2:$I$600,MATCH($H358&amp;"|"&amp;$I358&amp;"|"&amp;$J358&amp;"|"&amp;8,Assessments!$A$2:$A$600,0)),"")</f>
        <v>Hist P2 full</v>
      </c>
      <c r="CQ358" s="28" t="str">
        <f aca="false">IFERROR(INDEX(Assessments!$I$2:$I$600,MATCH($H358&amp;"|"&amp;$I358&amp;"|"&amp;$J358&amp;"|"&amp;9,Assessments!$A$2:$A$600,0)),"")</f>
        <v>Hist P3 full</v>
      </c>
      <c r="CR358" s="28" t="str">
        <f aca="false">IFERROR(INDEX(Assessments!$I$2:$I$600,MATCH($H358&amp;"|"&amp;$I358&amp;"|"&amp;$J358&amp;"|"&amp;10,Assessments!$A$2:$A$600,0)),"")</f>
        <v/>
      </c>
      <c r="CS358" s="28" t="str">
        <f aca="false">IFERROR(INDEX(Assessments!$I$2:$I$600,MATCH($H358&amp;"|"&amp;$I358&amp;"|"&amp;$J358&amp;"|"&amp;11,Assessments!$A$2:$A$600,0)),"")</f>
        <v/>
      </c>
      <c r="CT358" s="28" t="str">
        <f aca="false">IFERROR(INDEX(Assessments!$I$2:$I$600,MATCH($H358&amp;"|"&amp;$I358&amp;"|"&amp;$J358&amp;"|"&amp;12,Assessments!$A$2:$A$600,0)),"")</f>
        <v/>
      </c>
      <c r="CU358" s="28" t="str">
        <f aca="false">IFERROR(INDEX(Assessments!$I$2:$I$600,MATCH($H358&amp;"|"&amp;$I358&amp;"|"&amp;$J358&amp;"|"&amp;13,Assessments!$A$2:$A$600,0)),"")</f>
        <v/>
      </c>
      <c r="CV358" s="28" t="str">
        <f aca="false">IFERROR(INDEX(Assessments!$I$2:$I$600,MATCH($H358&amp;"|"&amp;$I358&amp;"|"&amp;$J358&amp;"|"&amp;14,Assessments!$A$2:$A$600,0)),"")</f>
        <v/>
      </c>
      <c r="CW358" s="28" t="n">
        <f aca="false">IFERROR(INDEX(Assessments!$J$2:$J$600,MATCH($H358&amp;"|"&amp;$I358&amp;"|"&amp;$J358&amp;"|"&amp;1,Assessments!$A$2:$A$600,0)),0)</f>
        <v>1</v>
      </c>
      <c r="CX358" s="28" t="n">
        <f aca="false">IFERROR(INDEX(Assessments!$J$2:$J$600,MATCH($H358&amp;"|"&amp;$I358&amp;"|"&amp;$J358&amp;"|"&amp;2,Assessments!$A$2:$A$600,0)),0)</f>
        <v>1</v>
      </c>
      <c r="CY358" s="28" t="n">
        <f aca="false">IFERROR(INDEX(Assessments!$J$2:$J$600,MATCH($H358&amp;"|"&amp;$I358&amp;"|"&amp;$J358&amp;"|"&amp;3,Assessments!$A$2:$A$600,0)),0)</f>
        <v>1</v>
      </c>
      <c r="CZ358" s="28" t="n">
        <f aca="false">IFERROR(INDEX(Assessments!$J$2:$J$600,MATCH($H358&amp;"|"&amp;$I358&amp;"|"&amp;$J358&amp;"|"&amp;4,Assessments!$A$2:$A$600,0)),0)</f>
        <v>1</v>
      </c>
      <c r="DA358" s="28" t="n">
        <f aca="false">IFERROR(INDEX(Assessments!$J$2:$J$600,MATCH($H358&amp;"|"&amp;$I358&amp;"|"&amp;$J358&amp;"|"&amp;5,Assessments!$A$2:$A$600,0)),0)</f>
        <v>1</v>
      </c>
      <c r="DB358" s="28" t="n">
        <f aca="false">IFERROR(INDEX(Assessments!$J$2:$J$600,MATCH($H358&amp;"|"&amp;$I358&amp;"|"&amp;$J358&amp;"|"&amp;6,Assessments!$A$2:$A$600,0)),0)</f>
        <v>1</v>
      </c>
      <c r="DC358" s="28" t="n">
        <f aca="false">IFERROR(INDEX(Assessments!$J$2:$J$600,MATCH($H358&amp;"|"&amp;$I358&amp;"|"&amp;$J358&amp;"|"&amp;7,Assessments!$A$2:$A$600,0)),0)</f>
        <v>2</v>
      </c>
      <c r="DD358" s="28" t="n">
        <f aca="false">IFERROR(INDEX(Assessments!$J$2:$J$600,MATCH($H358&amp;"|"&amp;$I358&amp;"|"&amp;$J358&amp;"|"&amp;8,Assessments!$A$2:$A$600,0)),0)</f>
        <v>2</v>
      </c>
      <c r="DE358" s="28" t="n">
        <f aca="false">IFERROR(INDEX(Assessments!$J$2:$J$600,MATCH($H358&amp;"|"&amp;$I358&amp;"|"&amp;$J358&amp;"|"&amp;9,Assessments!$A$2:$A$600,0)),0)</f>
        <v>2</v>
      </c>
      <c r="DF358" s="28" t="n">
        <f aca="false">IFERROR(INDEX(Assessments!$J$2:$J$600,MATCH($H358&amp;"|"&amp;$I358&amp;"|"&amp;$J358&amp;"|"&amp;10,Assessments!$A$2:$A$600,0)),0)</f>
        <v>0</v>
      </c>
      <c r="DG358" s="28" t="n">
        <f aca="false">IFERROR(INDEX(Assessments!$J$2:$J$600,MATCH($H358&amp;"|"&amp;$I358&amp;"|"&amp;$J358&amp;"|"&amp;11,Assessments!$A$2:$A$600,0)),0)</f>
        <v>0</v>
      </c>
      <c r="DH358" s="28" t="n">
        <f aca="false">IFERROR(INDEX(Assessments!$J$2:$J$600,MATCH($H358&amp;"|"&amp;$I358&amp;"|"&amp;$J358&amp;"|"&amp;12,Assessments!$A$2:$A$600,0)),0)</f>
        <v>0</v>
      </c>
      <c r="DI358" s="28" t="n">
        <f aca="false">IFERROR(INDEX(Assessments!$J$2:$J$600,MATCH($H358&amp;"|"&amp;$I358&amp;"|"&amp;$J358&amp;"|"&amp;13,Assessments!$A$2:$A$600,0)),0)</f>
        <v>0</v>
      </c>
      <c r="DJ358" s="28" t="n">
        <f aca="false">IFERROR(INDEX(Assessments!$J$2:$J$600,MATCH($H358&amp;"|"&amp;$I358&amp;"|"&amp;$J358&amp;"|"&amp;14,Assessments!$A$2:$A$600,0)),0)</f>
        <v>0</v>
      </c>
      <c r="DK358" s="28" t="n">
        <f aca="false">S358</f>
        <v>4</v>
      </c>
      <c r="DL358" s="28" t="n">
        <f aca="false">W358</f>
        <v>3</v>
      </c>
      <c r="DM358" s="28" t="str">
        <f aca="false">AA358</f>
        <v/>
      </c>
      <c r="DN358" s="28" t="str">
        <f aca="false">AE358</f>
        <v/>
      </c>
      <c r="DO358" s="28" t="str">
        <f aca="false">AI358</f>
        <v/>
      </c>
      <c r="DP358" s="28" t="str">
        <f aca="false">AM358</f>
        <v/>
      </c>
      <c r="DQ358" s="28" t="str">
        <f aca="false">AQ358</f>
        <v/>
      </c>
      <c r="DR358" s="28" t="str">
        <f aca="false">AU358</f>
        <v/>
      </c>
      <c r="DS358" s="28" t="str">
        <f aca="false">AY358</f>
        <v/>
      </c>
      <c r="DT358" s="28" t="str">
        <f aca="false">BC358</f>
        <v/>
      </c>
      <c r="DU358" s="28" t="str">
        <f aca="false">BG358</f>
        <v/>
      </c>
      <c r="DV358" s="28" t="str">
        <f aca="false">BK358</f>
        <v/>
      </c>
      <c r="DW358" s="28" t="str">
        <f aca="false">BO358</f>
        <v/>
      </c>
      <c r="DX358" s="28" t="str">
        <f aca="false">BS358</f>
        <v/>
      </c>
      <c r="DY358" s="28" t="n">
        <f aca="false">IF(ISNUMBER(S358),1,"")</f>
        <v>1</v>
      </c>
      <c r="DZ358" s="28" t="n">
        <f aca="false">IF(ISNUMBER(W358),2,"")</f>
        <v>2</v>
      </c>
      <c r="EA358" s="28" t="str">
        <f aca="false">IF(ISNUMBER(AA358),3,"")</f>
        <v/>
      </c>
      <c r="EB358" s="28" t="str">
        <f aca="false">IF(ISNUMBER(AE358),4,"")</f>
        <v/>
      </c>
      <c r="EC358" s="28" t="str">
        <f aca="false">IF(ISNUMBER(AI358),5,"")</f>
        <v/>
      </c>
      <c r="ED358" s="28" t="str">
        <f aca="false">IF(ISNUMBER(AM358),6,"")</f>
        <v/>
      </c>
      <c r="EE358" s="28" t="str">
        <f aca="false">IF(ISNUMBER(AQ358),7,"")</f>
        <v/>
      </c>
      <c r="EF358" s="28" t="str">
        <f aca="false">IF(ISNUMBER(AU358),8,"")</f>
        <v/>
      </c>
      <c r="EG358" s="28" t="str">
        <f aca="false">IF(ISNUMBER(AY358),9,"")</f>
        <v/>
      </c>
      <c r="EH358" s="28" t="str">
        <f aca="false">IF(ISNUMBER(BC358),10,"")</f>
        <v/>
      </c>
      <c r="EI358" s="28" t="str">
        <f aca="false">IF(ISNUMBER(BG358),11,"")</f>
        <v/>
      </c>
      <c r="EJ358" s="28" t="str">
        <f aca="false">IF(ISNUMBER(BK358),12,"")</f>
        <v/>
      </c>
      <c r="EK358" s="28" t="str">
        <f aca="false">IF(ISNUMBER(BO358),13,"")</f>
        <v/>
      </c>
      <c r="EL358" s="28" t="str">
        <f aca="false">IF(ISNUMBER(BS358),14,"")</f>
        <v/>
      </c>
      <c r="EM358" s="28" t="n">
        <f aca="false">IF(ISNUMBER(R358),R358*CW358,0)</f>
        <v>46.6666666666667</v>
      </c>
      <c r="EN358" s="28" t="n">
        <f aca="false">IF(ISNUMBER(V358),V358*CX358,0)</f>
        <v>40</v>
      </c>
      <c r="EO358" s="28" t="n">
        <f aca="false">IF(ISNUMBER(Z358),Z358*CY358,0)</f>
        <v>0</v>
      </c>
      <c r="EP358" s="28" t="n">
        <f aca="false">IF(ISNUMBER(AD358),AD358*CZ358,0)</f>
        <v>0</v>
      </c>
      <c r="EQ358" s="28" t="n">
        <f aca="false">IF(ISNUMBER(AH358),AH358*DA358,0)</f>
        <v>0</v>
      </c>
      <c r="ER358" s="28" t="n">
        <f aca="false">IF(ISNUMBER(AL358),AL358*DB358,0)</f>
        <v>0</v>
      </c>
      <c r="ES358" s="28" t="n">
        <f aca="false">IF(ISNUMBER(AP358),AP358*DC358,0)</f>
        <v>0</v>
      </c>
      <c r="ET358" s="28" t="n">
        <f aca="false">IF(ISNUMBER(AT358),AT358*DD358,0)</f>
        <v>0</v>
      </c>
      <c r="EU358" s="28" t="n">
        <f aca="false">IF(ISNUMBER(AX358),AX358*DE358,0)</f>
        <v>0</v>
      </c>
      <c r="EV358" s="28" t="n">
        <f aca="false">IF(ISNUMBER(BB358),BB358*DF358,0)</f>
        <v>0</v>
      </c>
      <c r="EW358" s="28" t="n">
        <f aca="false">IF(ISNUMBER(BF358),BF358*DG358,0)</f>
        <v>0</v>
      </c>
      <c r="EX358" s="28" t="n">
        <f aca="false">IF(ISNUMBER(BJ358),BJ358*DH358,0)</f>
        <v>0</v>
      </c>
      <c r="EY358" s="28" t="n">
        <f aca="false">IF(ISNUMBER(BN358),BN358*DI358,0)</f>
        <v>0</v>
      </c>
      <c r="EZ358" s="28" t="n">
        <f aca="false">IF(ISNUMBER(BR358),BR358*DJ358,0)</f>
        <v>0</v>
      </c>
      <c r="FA358" s="28" t="n">
        <f aca="false">IF(ISNUMBER(R358),CW358,0)</f>
        <v>1</v>
      </c>
      <c r="FB358" s="28" t="n">
        <f aca="false">IF(ISNUMBER(V358),CX358,0)</f>
        <v>1</v>
      </c>
      <c r="FC358" s="28" t="n">
        <f aca="false">IF(ISNUMBER(Z358),CY358,0)</f>
        <v>0</v>
      </c>
      <c r="FD358" s="28" t="n">
        <f aca="false">IF(ISNUMBER(AD358),CZ358,0)</f>
        <v>0</v>
      </c>
      <c r="FE358" s="28" t="n">
        <f aca="false">IF(ISNUMBER(AH358),DA358,0)</f>
        <v>0</v>
      </c>
      <c r="FF358" s="28" t="n">
        <f aca="false">IF(ISNUMBER(AL358),DB358,0)</f>
        <v>0</v>
      </c>
      <c r="FG358" s="28" t="n">
        <f aca="false">IF(ISNUMBER(AP358),DC358,0)</f>
        <v>0</v>
      </c>
      <c r="FH358" s="28" t="n">
        <f aca="false">IF(ISNUMBER(AT358),DD358,0)</f>
        <v>0</v>
      </c>
      <c r="FI358" s="28" t="n">
        <f aca="false">IF(ISNUMBER(AX358),DE358,0)</f>
        <v>0</v>
      </c>
      <c r="FJ358" s="28" t="n">
        <f aca="false">IF(ISNUMBER(BB358),DF358,0)</f>
        <v>0</v>
      </c>
      <c r="FK358" s="28" t="n">
        <f aca="false">IF(ISNUMBER(BF358),DG358,0)</f>
        <v>0</v>
      </c>
      <c r="FL358" s="28" t="n">
        <f aca="false">IF(ISNUMBER(BJ358),DH358,0)</f>
        <v>0</v>
      </c>
      <c r="FM358" s="28" t="n">
        <f aca="false">IF(ISNUMBER(BN358),DI358,0)</f>
        <v>0</v>
      </c>
      <c r="FN358" s="28" t="n">
        <f aca="false">IF(ISNUMBER(BR358),DJ358,0)</f>
        <v>0</v>
      </c>
      <c r="FO358" s="28" t="str">
        <f aca="false">IFERROR(INDEX(Lists!$G$2:$G$20,MATCH($I358&amp;"|"&amp;$J358,Lists!$F$2:$F$20,0)),"")</f>
        <v>Hist Overall HL</v>
      </c>
    </row>
    <row r="359" customFormat="false" ht="19.5" hidden="false" customHeight="true" outlineLevel="0" collapsed="false">
      <c r="A359" s="29" t="s">
        <v>662</v>
      </c>
      <c r="B359" s="29" t="s">
        <v>663</v>
      </c>
      <c r="C359" s="30" t="s">
        <v>152</v>
      </c>
      <c r="D359" s="30" t="s">
        <v>422</v>
      </c>
      <c r="E359" s="31"/>
      <c r="F359" s="30"/>
      <c r="G359" s="30"/>
      <c r="H359" s="32" t="s">
        <v>428</v>
      </c>
      <c r="I359" s="33" t="s">
        <v>416</v>
      </c>
      <c r="J359" s="32" t="s">
        <v>25</v>
      </c>
      <c r="K359" s="34" t="str">
        <f aca="false">IF(OR(M359="",$E359=""),"",M359-$E359)</f>
        <v/>
      </c>
      <c r="L359" s="35" t="n">
        <f aca="false">IF(SUM(FA359:FN359)=0,"",SUM(EM359:EZ359)/SUM(FA359:FN359))</f>
        <v>40</v>
      </c>
      <c r="M359" s="36" t="n">
        <f aca="false">IF(OR(L359="",FO359=""),"",IFERROR(MATCH(L359,INDEX(Boundaries!$B$2:$I$30,MATCH(FO359,Boundaries!$A$2:$A$30,0),0),1)-1,""))</f>
        <v>4</v>
      </c>
      <c r="N359" s="37" t="str">
        <f aca="false">IF(COUNT($DY359:$EL359)&lt;2,"",INDEX($DK359:$DX359,MAX($DY359:$EL359))-INDEX($DK359:$DX359,MIN($DY359:$EL359)))</f>
        <v/>
      </c>
      <c r="O359" s="37" t="str">
        <f aca="false">IF(COUNT($DY359:$EL359)&lt;2,"",INDEX($DK359:$DX359,MAX($DY359:$EL359))-INDEX($DK359:$DX359,LARGE($DY359:$EL359,2)))</f>
        <v/>
      </c>
      <c r="P359" s="38" t="str">
        <f aca="false">IF(K359="","",IF(K359&gt;=0,"On/above target",IF(AND(N359&lt;&gt;"",N359&gt;=0.5),"Improving towards target",IF(AND(O359&lt;&gt;"",O359&lt;=-0.5),"Declining","Stable below target"))))</f>
        <v/>
      </c>
      <c r="Q359" s="39"/>
      <c r="R359" s="40" t="str">
        <f aca="false">IF(OR(Q359="",BU359=""),"",Q359/BU359*100)</f>
        <v/>
      </c>
      <c r="S359" s="41" t="str">
        <f aca="false">IF(R359="","",IFERROR(MATCH(R359,INDEX(Boundaries!$B$2:$I$30,MATCH(CI359,Boundaries!$A$2:$A$30,0),0),1)-1,""))</f>
        <v/>
      </c>
      <c r="T359" s="42" t="str">
        <f aca="false">IF(OR(S359="",$E359=""),"",S359-$E359)</f>
        <v/>
      </c>
      <c r="U359" s="39" t="n">
        <v>4</v>
      </c>
      <c r="V359" s="40" t="n">
        <f aca="false">IF(OR(U359="",BV359=""),"",U359/BV359*100)</f>
        <v>40</v>
      </c>
      <c r="W359" s="41" t="n">
        <f aca="false">IF(V359="","",IFERROR(MATCH(V359,INDEX(Boundaries!$B$2:$I$30,MATCH(CJ359,Boundaries!$A$2:$A$30,0),0),1)-1,""))</f>
        <v>3</v>
      </c>
      <c r="X359" s="42" t="str">
        <f aca="false">IF(OR(W359="",$E359=""),"",W359-$E359)</f>
        <v/>
      </c>
      <c r="Y359" s="39"/>
      <c r="Z359" s="40" t="str">
        <f aca="false">IF(OR(Y359="",BW359=""),"",Y359/BW359*100)</f>
        <v/>
      </c>
      <c r="AA359" s="41" t="str">
        <f aca="false">IF(Z359="","",IFERROR(MATCH(Z359,INDEX(Boundaries!$B$2:$I$30,MATCH(CK359,Boundaries!$A$2:$A$30,0),0),1)-1,""))</f>
        <v/>
      </c>
      <c r="AB359" s="42" t="str">
        <f aca="false">IF(OR(AA359="",$E359=""),"",AA359-$E359)</f>
        <v/>
      </c>
      <c r="AC359" s="39"/>
      <c r="AD359" s="40" t="str">
        <f aca="false">IF(OR(AC359="",BX359=""),"",AC359/BX359*100)</f>
        <v/>
      </c>
      <c r="AE359" s="41" t="str">
        <f aca="false">IF(AD359="","",IFERROR(MATCH(AD359,INDEX(Boundaries!$B$2:$I$30,MATCH(CL359,Boundaries!$A$2:$A$30,0),0),1)-1,""))</f>
        <v/>
      </c>
      <c r="AF359" s="42" t="str">
        <f aca="false">IF(OR(AE359="",$E359=""),"",AE359-$E359)</f>
        <v/>
      </c>
      <c r="AG359" s="39"/>
      <c r="AH359" s="40" t="str">
        <f aca="false">IF(OR(AG359="",BY359=""),"",AG359/BY359*100)</f>
        <v/>
      </c>
      <c r="AI359" s="41" t="str">
        <f aca="false">IF(AH359="","",IFERROR(MATCH(AH359,INDEX(Boundaries!$B$2:$I$30,MATCH(CM359,Boundaries!$A$2:$A$30,0),0),1)-1,""))</f>
        <v/>
      </c>
      <c r="AJ359" s="42" t="str">
        <f aca="false">IF(OR(AI359="",$E359=""),"",AI359-$E359)</f>
        <v/>
      </c>
      <c r="AK359" s="39"/>
      <c r="AL359" s="40" t="str">
        <f aca="false">IF(OR(AK359="",BZ359=""),"",AK359/BZ359*100)</f>
        <v/>
      </c>
      <c r="AM359" s="41" t="str">
        <f aca="false">IF(AL359="","",IFERROR(MATCH(AL359,INDEX(Boundaries!$B$2:$I$30,MATCH(CN359,Boundaries!$A$2:$A$30,0),0),1)-1,""))</f>
        <v/>
      </c>
      <c r="AN359" s="42" t="str">
        <f aca="false">IF(OR(AM359="",$E359=""),"",AM359-$E359)</f>
        <v/>
      </c>
      <c r="AO359" s="39"/>
      <c r="AP359" s="40" t="str">
        <f aca="false">IF(OR(AO359="",CA359=""),"",AO359/CA359*100)</f>
        <v/>
      </c>
      <c r="AQ359" s="41" t="str">
        <f aca="false">IF(AP359="","",IFERROR(MATCH(AP359,INDEX(Boundaries!$B$2:$I$30,MATCH(CO359,Boundaries!$A$2:$A$30,0),0),1)-1,""))</f>
        <v/>
      </c>
      <c r="AR359" s="42" t="str">
        <f aca="false">IF(OR(AQ359="",$E359=""),"",AQ359-$E359)</f>
        <v/>
      </c>
      <c r="AS359" s="39"/>
      <c r="AT359" s="40" t="str">
        <f aca="false">IF(OR(AS359="",CB359=""),"",AS359/CB359*100)</f>
        <v/>
      </c>
      <c r="AU359" s="41" t="str">
        <f aca="false">IF(AT359="","",IFERROR(MATCH(AT359,INDEX(Boundaries!$B$2:$I$30,MATCH(CP359,Boundaries!$A$2:$A$30,0),0),1)-1,""))</f>
        <v/>
      </c>
      <c r="AV359" s="42" t="str">
        <f aca="false">IF(OR(AU359="",$E359=""),"",AU359-$E359)</f>
        <v/>
      </c>
      <c r="AW359" s="39"/>
      <c r="AX359" s="40" t="str">
        <f aca="false">IF(OR(AW359="",CC359=""),"",AW359/CC359*100)</f>
        <v/>
      </c>
      <c r="AY359" s="41" t="str">
        <f aca="false">IF(AX359="","",IFERROR(MATCH(AX359,INDEX(Boundaries!$B$2:$I$30,MATCH(CQ359,Boundaries!$A$2:$A$30,0),0),1)-1,""))</f>
        <v/>
      </c>
      <c r="AZ359" s="42" t="str">
        <f aca="false">IF(OR(AY359="",$E359=""),"",AY359-$E359)</f>
        <v/>
      </c>
      <c r="BA359" s="39"/>
      <c r="BB359" s="40" t="str">
        <f aca="false">IF(OR(BA359="",CD359=""),"",BA359/CD359*100)</f>
        <v/>
      </c>
      <c r="BC359" s="41" t="str">
        <f aca="false">IF(BB359="","",IFERROR(MATCH(BB359,INDEX(Boundaries!$B$2:$I$30,MATCH(CR359,Boundaries!$A$2:$A$30,0),0),1)-1,""))</f>
        <v/>
      </c>
      <c r="BD359" s="42" t="str">
        <f aca="false">IF(OR(BC359="",$E359=""),"",BC359-$E359)</f>
        <v/>
      </c>
      <c r="BE359" s="39"/>
      <c r="BF359" s="40" t="str">
        <f aca="false">IF(OR(BE359="",CE359=""),"",BE359/CE359*100)</f>
        <v/>
      </c>
      <c r="BG359" s="41" t="str">
        <f aca="false">IF(BF359="","",IFERROR(MATCH(BF359,INDEX(Boundaries!$B$2:$I$30,MATCH(CS359,Boundaries!$A$2:$A$30,0),0),1)-1,""))</f>
        <v/>
      </c>
      <c r="BH359" s="42" t="str">
        <f aca="false">IF(OR(BG359="",$E359=""),"",BG359-$E359)</f>
        <v/>
      </c>
      <c r="BI359" s="39"/>
      <c r="BJ359" s="40" t="str">
        <f aca="false">IF(OR(BI359="",CF359=""),"",BI359/CF359*100)</f>
        <v/>
      </c>
      <c r="BK359" s="41" t="str">
        <f aca="false">IF(BJ359="","",IFERROR(MATCH(BJ359,INDEX(Boundaries!$B$2:$I$30,MATCH(CT359,Boundaries!$A$2:$A$30,0),0),1)-1,""))</f>
        <v/>
      </c>
      <c r="BL359" s="42" t="str">
        <f aca="false">IF(OR(BK359="",$E359=""),"",BK359-$E359)</f>
        <v/>
      </c>
      <c r="BM359" s="39"/>
      <c r="BN359" s="40" t="str">
        <f aca="false">IF(OR(BM359="",CG359=""),"",BM359/CG359*100)</f>
        <v/>
      </c>
      <c r="BO359" s="41" t="str">
        <f aca="false">IF(BN359="","",IFERROR(MATCH(BN359,INDEX(Boundaries!$B$2:$I$30,MATCH(CU359,Boundaries!$A$2:$A$30,0),0),1)-1,""))</f>
        <v/>
      </c>
      <c r="BP359" s="42" t="str">
        <f aca="false">IF(OR(BO359="",$E359=""),"",BO359-$E359)</f>
        <v/>
      </c>
      <c r="BQ359" s="39"/>
      <c r="BR359" s="40" t="str">
        <f aca="false">IF(OR(BQ359="",CH359=""),"",BQ359/CH359*100)</f>
        <v/>
      </c>
      <c r="BS359" s="41" t="str">
        <f aca="false">IF(BR359="","",IFERROR(MATCH(BR359,INDEX(Boundaries!$B$2:$I$30,MATCH(CV359,Boundaries!$A$2:$A$30,0),0),1)-1,""))</f>
        <v/>
      </c>
      <c r="BT359" s="42" t="str">
        <f aca="false">IF(OR(BS359="",$E359=""),"",BS359-$E359)</f>
        <v/>
      </c>
      <c r="BU359" s="28" t="n">
        <f aca="false">IFERROR(INDEX(Assessments!$H$2:$H$600,MATCH($H359&amp;"|"&amp;$I359&amp;"|"&amp;$J359&amp;"|"&amp;1,Assessments!$A$2:$A$600,0)),"")</f>
        <v>15</v>
      </c>
      <c r="BV359" s="28" t="n">
        <f aca="false">IFERROR(INDEX(Assessments!$H$2:$H$600,MATCH($H359&amp;"|"&amp;$I359&amp;"|"&amp;$J359&amp;"|"&amp;2,Assessments!$A$2:$A$600,0)),"")</f>
        <v>10</v>
      </c>
      <c r="BW359" s="28" t="n">
        <f aca="false">IFERROR(INDEX(Assessments!$H$2:$H$600,MATCH($H359&amp;"|"&amp;$I359&amp;"|"&amp;$J359&amp;"|"&amp;3,Assessments!$A$2:$A$600,0)),"")</f>
        <v>24</v>
      </c>
      <c r="BX359" s="28" t="n">
        <f aca="false">IFERROR(INDEX(Assessments!$H$2:$H$600,MATCH($H359&amp;"|"&amp;$I359&amp;"|"&amp;$J359&amp;"|"&amp;4,Assessments!$A$2:$A$600,0)),"")</f>
        <v>15</v>
      </c>
      <c r="BY359" s="28" t="n">
        <f aca="false">IFERROR(INDEX(Assessments!$H$2:$H$600,MATCH($H359&amp;"|"&amp;$I359&amp;"|"&amp;$J359&amp;"|"&amp;5,Assessments!$A$2:$A$600,0)),"")</f>
        <v>15</v>
      </c>
      <c r="BZ359" s="28" t="n">
        <f aca="false">IFERROR(INDEX(Assessments!$H$2:$H$600,MATCH($H359&amp;"|"&amp;$I359&amp;"|"&amp;$J359&amp;"|"&amp;6,Assessments!$A$2:$A$600,0)),"")</f>
        <v>15</v>
      </c>
      <c r="CA359" s="28" t="n">
        <f aca="false">IFERROR(INDEX(Assessments!$H$2:$H$600,MATCH($H359&amp;"|"&amp;$I359&amp;"|"&amp;$J359&amp;"|"&amp;7,Assessments!$A$2:$A$600,0)),"")</f>
        <v>24</v>
      </c>
      <c r="CB359" s="28" t="n">
        <f aca="false">IFERROR(INDEX(Assessments!$H$2:$H$600,MATCH($H359&amp;"|"&amp;$I359&amp;"|"&amp;$J359&amp;"|"&amp;8,Assessments!$A$2:$A$600,0)),"")</f>
        <v>30</v>
      </c>
      <c r="CC359" s="28" t="n">
        <f aca="false">IFERROR(INDEX(Assessments!$H$2:$H$600,MATCH($H359&amp;"|"&amp;$I359&amp;"|"&amp;$J359&amp;"|"&amp;9,Assessments!$A$2:$A$600,0)),"")</f>
        <v>15</v>
      </c>
      <c r="CD359" s="28" t="str">
        <f aca="false">IFERROR(INDEX(Assessments!$H$2:$H$600,MATCH($H359&amp;"|"&amp;$I359&amp;"|"&amp;$J359&amp;"|"&amp;10,Assessments!$A$2:$A$600,0)),"")</f>
        <v/>
      </c>
      <c r="CE359" s="28" t="str">
        <f aca="false">IFERROR(INDEX(Assessments!$H$2:$H$600,MATCH($H359&amp;"|"&amp;$I359&amp;"|"&amp;$J359&amp;"|"&amp;11,Assessments!$A$2:$A$600,0)),"")</f>
        <v/>
      </c>
      <c r="CF359" s="28" t="str">
        <f aca="false">IFERROR(INDEX(Assessments!$H$2:$H$600,MATCH($H359&amp;"|"&amp;$I359&amp;"|"&amp;$J359&amp;"|"&amp;12,Assessments!$A$2:$A$600,0)),"")</f>
        <v/>
      </c>
      <c r="CG359" s="28" t="str">
        <f aca="false">IFERROR(INDEX(Assessments!$H$2:$H$600,MATCH($H359&amp;"|"&amp;$I359&amp;"|"&amp;$J359&amp;"|"&amp;13,Assessments!$A$2:$A$600,0)),"")</f>
        <v/>
      </c>
      <c r="CH359" s="28" t="str">
        <f aca="false">IFERROR(INDEX(Assessments!$H$2:$H$600,MATCH($H359&amp;"|"&amp;$I359&amp;"|"&amp;$J359&amp;"|"&amp;14,Assessments!$A$2:$A$600,0)),"")</f>
        <v/>
      </c>
      <c r="CI359" s="28" t="str">
        <f aca="false">IFERROR(INDEX(Assessments!$I$2:$I$600,MATCH($H359&amp;"|"&amp;$I359&amp;"|"&amp;$J359&amp;"|"&amp;1,Assessments!$A$2:$A$600,0)),"")</f>
        <v>Hist P3 essay</v>
      </c>
      <c r="CJ359" s="28" t="str">
        <f aca="false">IFERROR(INDEX(Assessments!$I$2:$I$600,MATCH($H359&amp;"|"&amp;$I359&amp;"|"&amp;$J359&amp;"|"&amp;2,Assessments!$A$2:$A$600,0)),"")</f>
        <v>Hist P2 partial</v>
      </c>
      <c r="CK359" s="28" t="str">
        <f aca="false">IFERROR(INDEX(Assessments!$I$2:$I$600,MATCH($H359&amp;"|"&amp;$I359&amp;"|"&amp;$J359&amp;"|"&amp;3,Assessments!$A$2:$A$600,0)),"")</f>
        <v>Hist P2 partial</v>
      </c>
      <c r="CL359" s="28" t="str">
        <f aca="false">IFERROR(INDEX(Assessments!$I$2:$I$600,MATCH($H359&amp;"|"&amp;$I359&amp;"|"&amp;$J359&amp;"|"&amp;4,Assessments!$A$2:$A$600,0)),"")</f>
        <v>Hist P3 essay</v>
      </c>
      <c r="CM359" s="28" t="str">
        <f aca="false">IFERROR(INDEX(Assessments!$I$2:$I$600,MATCH($H359&amp;"|"&amp;$I359&amp;"|"&amp;$J359&amp;"|"&amp;5,Assessments!$A$2:$A$600,0)),"")</f>
        <v>Hist P3 essay</v>
      </c>
      <c r="CN359" s="28" t="str">
        <f aca="false">IFERROR(INDEX(Assessments!$I$2:$I$600,MATCH($H359&amp;"|"&amp;$I359&amp;"|"&amp;$J359&amp;"|"&amp;6,Assessments!$A$2:$A$600,0)),"")</f>
        <v>Hist P3 essay</v>
      </c>
      <c r="CO359" s="28" t="str">
        <f aca="false">IFERROR(INDEX(Assessments!$I$2:$I$600,MATCH($H359&amp;"|"&amp;$I359&amp;"|"&amp;$J359&amp;"|"&amp;7,Assessments!$A$2:$A$600,0)),"")</f>
        <v>Hist Paper 1</v>
      </c>
      <c r="CP359" s="28" t="str">
        <f aca="false">IFERROR(INDEX(Assessments!$I$2:$I$600,MATCH($H359&amp;"|"&amp;$I359&amp;"|"&amp;$J359&amp;"|"&amp;8,Assessments!$A$2:$A$600,0)),"")</f>
        <v>Hist P2 full</v>
      </c>
      <c r="CQ359" s="28" t="str">
        <f aca="false">IFERROR(INDEX(Assessments!$I$2:$I$600,MATCH($H359&amp;"|"&amp;$I359&amp;"|"&amp;$J359&amp;"|"&amp;9,Assessments!$A$2:$A$600,0)),"")</f>
        <v>Hist P3 full</v>
      </c>
      <c r="CR359" s="28" t="str">
        <f aca="false">IFERROR(INDEX(Assessments!$I$2:$I$600,MATCH($H359&amp;"|"&amp;$I359&amp;"|"&amp;$J359&amp;"|"&amp;10,Assessments!$A$2:$A$600,0)),"")</f>
        <v/>
      </c>
      <c r="CS359" s="28" t="str">
        <f aca="false">IFERROR(INDEX(Assessments!$I$2:$I$600,MATCH($H359&amp;"|"&amp;$I359&amp;"|"&amp;$J359&amp;"|"&amp;11,Assessments!$A$2:$A$600,0)),"")</f>
        <v/>
      </c>
      <c r="CT359" s="28" t="str">
        <f aca="false">IFERROR(INDEX(Assessments!$I$2:$I$600,MATCH($H359&amp;"|"&amp;$I359&amp;"|"&amp;$J359&amp;"|"&amp;12,Assessments!$A$2:$A$600,0)),"")</f>
        <v/>
      </c>
      <c r="CU359" s="28" t="str">
        <f aca="false">IFERROR(INDEX(Assessments!$I$2:$I$600,MATCH($H359&amp;"|"&amp;$I359&amp;"|"&amp;$J359&amp;"|"&amp;13,Assessments!$A$2:$A$600,0)),"")</f>
        <v/>
      </c>
      <c r="CV359" s="28" t="str">
        <f aca="false">IFERROR(INDEX(Assessments!$I$2:$I$600,MATCH($H359&amp;"|"&amp;$I359&amp;"|"&amp;$J359&amp;"|"&amp;14,Assessments!$A$2:$A$600,0)),"")</f>
        <v/>
      </c>
      <c r="CW359" s="28" t="n">
        <f aca="false">IFERROR(INDEX(Assessments!$J$2:$J$600,MATCH($H359&amp;"|"&amp;$I359&amp;"|"&amp;$J359&amp;"|"&amp;1,Assessments!$A$2:$A$600,0)),0)</f>
        <v>1</v>
      </c>
      <c r="CX359" s="28" t="n">
        <f aca="false">IFERROR(INDEX(Assessments!$J$2:$J$600,MATCH($H359&amp;"|"&amp;$I359&amp;"|"&amp;$J359&amp;"|"&amp;2,Assessments!$A$2:$A$600,0)),0)</f>
        <v>1</v>
      </c>
      <c r="CY359" s="28" t="n">
        <f aca="false">IFERROR(INDEX(Assessments!$J$2:$J$600,MATCH($H359&amp;"|"&amp;$I359&amp;"|"&amp;$J359&amp;"|"&amp;3,Assessments!$A$2:$A$600,0)),0)</f>
        <v>1</v>
      </c>
      <c r="CZ359" s="28" t="n">
        <f aca="false">IFERROR(INDEX(Assessments!$J$2:$J$600,MATCH($H359&amp;"|"&amp;$I359&amp;"|"&amp;$J359&amp;"|"&amp;4,Assessments!$A$2:$A$600,0)),0)</f>
        <v>1</v>
      </c>
      <c r="DA359" s="28" t="n">
        <f aca="false">IFERROR(INDEX(Assessments!$J$2:$J$600,MATCH($H359&amp;"|"&amp;$I359&amp;"|"&amp;$J359&amp;"|"&amp;5,Assessments!$A$2:$A$600,0)),0)</f>
        <v>1</v>
      </c>
      <c r="DB359" s="28" t="n">
        <f aca="false">IFERROR(INDEX(Assessments!$J$2:$J$600,MATCH($H359&amp;"|"&amp;$I359&amp;"|"&amp;$J359&amp;"|"&amp;6,Assessments!$A$2:$A$600,0)),0)</f>
        <v>1</v>
      </c>
      <c r="DC359" s="28" t="n">
        <f aca="false">IFERROR(INDEX(Assessments!$J$2:$J$600,MATCH($H359&amp;"|"&amp;$I359&amp;"|"&amp;$J359&amp;"|"&amp;7,Assessments!$A$2:$A$600,0)),0)</f>
        <v>2</v>
      </c>
      <c r="DD359" s="28" t="n">
        <f aca="false">IFERROR(INDEX(Assessments!$J$2:$J$600,MATCH($H359&amp;"|"&amp;$I359&amp;"|"&amp;$J359&amp;"|"&amp;8,Assessments!$A$2:$A$600,0)),0)</f>
        <v>2</v>
      </c>
      <c r="DE359" s="28" t="n">
        <f aca="false">IFERROR(INDEX(Assessments!$J$2:$J$600,MATCH($H359&amp;"|"&amp;$I359&amp;"|"&amp;$J359&amp;"|"&amp;9,Assessments!$A$2:$A$600,0)),0)</f>
        <v>2</v>
      </c>
      <c r="DF359" s="28" t="n">
        <f aca="false">IFERROR(INDEX(Assessments!$J$2:$J$600,MATCH($H359&amp;"|"&amp;$I359&amp;"|"&amp;$J359&amp;"|"&amp;10,Assessments!$A$2:$A$600,0)),0)</f>
        <v>0</v>
      </c>
      <c r="DG359" s="28" t="n">
        <f aca="false">IFERROR(INDEX(Assessments!$J$2:$J$600,MATCH($H359&amp;"|"&amp;$I359&amp;"|"&amp;$J359&amp;"|"&amp;11,Assessments!$A$2:$A$600,0)),0)</f>
        <v>0</v>
      </c>
      <c r="DH359" s="28" t="n">
        <f aca="false">IFERROR(INDEX(Assessments!$J$2:$J$600,MATCH($H359&amp;"|"&amp;$I359&amp;"|"&amp;$J359&amp;"|"&amp;12,Assessments!$A$2:$A$600,0)),0)</f>
        <v>0</v>
      </c>
      <c r="DI359" s="28" t="n">
        <f aca="false">IFERROR(INDEX(Assessments!$J$2:$J$600,MATCH($H359&amp;"|"&amp;$I359&amp;"|"&amp;$J359&amp;"|"&amp;13,Assessments!$A$2:$A$600,0)),0)</f>
        <v>0</v>
      </c>
      <c r="DJ359" s="28" t="n">
        <f aca="false">IFERROR(INDEX(Assessments!$J$2:$J$600,MATCH($H359&amp;"|"&amp;$I359&amp;"|"&amp;$J359&amp;"|"&amp;14,Assessments!$A$2:$A$600,0)),0)</f>
        <v>0</v>
      </c>
      <c r="DK359" s="28" t="str">
        <f aca="false">S359</f>
        <v/>
      </c>
      <c r="DL359" s="28" t="n">
        <f aca="false">W359</f>
        <v>3</v>
      </c>
      <c r="DM359" s="28" t="str">
        <f aca="false">AA359</f>
        <v/>
      </c>
      <c r="DN359" s="28" t="str">
        <f aca="false">AE359</f>
        <v/>
      </c>
      <c r="DO359" s="28" t="str">
        <f aca="false">AI359</f>
        <v/>
      </c>
      <c r="DP359" s="28" t="str">
        <f aca="false">AM359</f>
        <v/>
      </c>
      <c r="DQ359" s="28" t="str">
        <f aca="false">AQ359</f>
        <v/>
      </c>
      <c r="DR359" s="28" t="str">
        <f aca="false">AU359</f>
        <v/>
      </c>
      <c r="DS359" s="28" t="str">
        <f aca="false">AY359</f>
        <v/>
      </c>
      <c r="DT359" s="28" t="str">
        <f aca="false">BC359</f>
        <v/>
      </c>
      <c r="DU359" s="28" t="str">
        <f aca="false">BG359</f>
        <v/>
      </c>
      <c r="DV359" s="28" t="str">
        <f aca="false">BK359</f>
        <v/>
      </c>
      <c r="DW359" s="28" t="str">
        <f aca="false">BO359</f>
        <v/>
      </c>
      <c r="DX359" s="28" t="str">
        <f aca="false">BS359</f>
        <v/>
      </c>
      <c r="DY359" s="28" t="str">
        <f aca="false">IF(ISNUMBER(S359),1,"")</f>
        <v/>
      </c>
      <c r="DZ359" s="28" t="n">
        <f aca="false">IF(ISNUMBER(W359),2,"")</f>
        <v>2</v>
      </c>
      <c r="EA359" s="28" t="str">
        <f aca="false">IF(ISNUMBER(AA359),3,"")</f>
        <v/>
      </c>
      <c r="EB359" s="28" t="str">
        <f aca="false">IF(ISNUMBER(AE359),4,"")</f>
        <v/>
      </c>
      <c r="EC359" s="28" t="str">
        <f aca="false">IF(ISNUMBER(AI359),5,"")</f>
        <v/>
      </c>
      <c r="ED359" s="28" t="str">
        <f aca="false">IF(ISNUMBER(AM359),6,"")</f>
        <v/>
      </c>
      <c r="EE359" s="28" t="str">
        <f aca="false">IF(ISNUMBER(AQ359),7,"")</f>
        <v/>
      </c>
      <c r="EF359" s="28" t="str">
        <f aca="false">IF(ISNUMBER(AU359),8,"")</f>
        <v/>
      </c>
      <c r="EG359" s="28" t="str">
        <f aca="false">IF(ISNUMBER(AY359),9,"")</f>
        <v/>
      </c>
      <c r="EH359" s="28" t="str">
        <f aca="false">IF(ISNUMBER(BC359),10,"")</f>
        <v/>
      </c>
      <c r="EI359" s="28" t="str">
        <f aca="false">IF(ISNUMBER(BG359),11,"")</f>
        <v/>
      </c>
      <c r="EJ359" s="28" t="str">
        <f aca="false">IF(ISNUMBER(BK359),12,"")</f>
        <v/>
      </c>
      <c r="EK359" s="28" t="str">
        <f aca="false">IF(ISNUMBER(BO359),13,"")</f>
        <v/>
      </c>
      <c r="EL359" s="28" t="str">
        <f aca="false">IF(ISNUMBER(BS359),14,"")</f>
        <v/>
      </c>
      <c r="EM359" s="28" t="n">
        <f aca="false">IF(ISNUMBER(R359),R359*CW359,0)</f>
        <v>0</v>
      </c>
      <c r="EN359" s="28" t="n">
        <f aca="false">IF(ISNUMBER(V359),V359*CX359,0)</f>
        <v>40</v>
      </c>
      <c r="EO359" s="28" t="n">
        <f aca="false">IF(ISNUMBER(Z359),Z359*CY359,0)</f>
        <v>0</v>
      </c>
      <c r="EP359" s="28" t="n">
        <f aca="false">IF(ISNUMBER(AD359),AD359*CZ359,0)</f>
        <v>0</v>
      </c>
      <c r="EQ359" s="28" t="n">
        <f aca="false">IF(ISNUMBER(AH359),AH359*DA359,0)</f>
        <v>0</v>
      </c>
      <c r="ER359" s="28" t="n">
        <f aca="false">IF(ISNUMBER(AL359),AL359*DB359,0)</f>
        <v>0</v>
      </c>
      <c r="ES359" s="28" t="n">
        <f aca="false">IF(ISNUMBER(AP359),AP359*DC359,0)</f>
        <v>0</v>
      </c>
      <c r="ET359" s="28" t="n">
        <f aca="false">IF(ISNUMBER(AT359),AT359*DD359,0)</f>
        <v>0</v>
      </c>
      <c r="EU359" s="28" t="n">
        <f aca="false">IF(ISNUMBER(AX359),AX359*DE359,0)</f>
        <v>0</v>
      </c>
      <c r="EV359" s="28" t="n">
        <f aca="false">IF(ISNUMBER(BB359),BB359*DF359,0)</f>
        <v>0</v>
      </c>
      <c r="EW359" s="28" t="n">
        <f aca="false">IF(ISNUMBER(BF359),BF359*DG359,0)</f>
        <v>0</v>
      </c>
      <c r="EX359" s="28" t="n">
        <f aca="false">IF(ISNUMBER(BJ359),BJ359*DH359,0)</f>
        <v>0</v>
      </c>
      <c r="EY359" s="28" t="n">
        <f aca="false">IF(ISNUMBER(BN359),BN359*DI359,0)</f>
        <v>0</v>
      </c>
      <c r="EZ359" s="28" t="n">
        <f aca="false">IF(ISNUMBER(BR359),BR359*DJ359,0)</f>
        <v>0</v>
      </c>
      <c r="FA359" s="28" t="n">
        <f aca="false">IF(ISNUMBER(R359),CW359,0)</f>
        <v>0</v>
      </c>
      <c r="FB359" s="28" t="n">
        <f aca="false">IF(ISNUMBER(V359),CX359,0)</f>
        <v>1</v>
      </c>
      <c r="FC359" s="28" t="n">
        <f aca="false">IF(ISNUMBER(Z359),CY359,0)</f>
        <v>0</v>
      </c>
      <c r="FD359" s="28" t="n">
        <f aca="false">IF(ISNUMBER(AD359),CZ359,0)</f>
        <v>0</v>
      </c>
      <c r="FE359" s="28" t="n">
        <f aca="false">IF(ISNUMBER(AH359),DA359,0)</f>
        <v>0</v>
      </c>
      <c r="FF359" s="28" t="n">
        <f aca="false">IF(ISNUMBER(AL359),DB359,0)</f>
        <v>0</v>
      </c>
      <c r="FG359" s="28" t="n">
        <f aca="false">IF(ISNUMBER(AP359),DC359,0)</f>
        <v>0</v>
      </c>
      <c r="FH359" s="28" t="n">
        <f aca="false">IF(ISNUMBER(AT359),DD359,0)</f>
        <v>0</v>
      </c>
      <c r="FI359" s="28" t="n">
        <f aca="false">IF(ISNUMBER(AX359),DE359,0)</f>
        <v>0</v>
      </c>
      <c r="FJ359" s="28" t="n">
        <f aca="false">IF(ISNUMBER(BB359),DF359,0)</f>
        <v>0</v>
      </c>
      <c r="FK359" s="28" t="n">
        <f aca="false">IF(ISNUMBER(BF359),DG359,0)</f>
        <v>0</v>
      </c>
      <c r="FL359" s="28" t="n">
        <f aca="false">IF(ISNUMBER(BJ359),DH359,0)</f>
        <v>0</v>
      </c>
      <c r="FM359" s="28" t="n">
        <f aca="false">IF(ISNUMBER(BN359),DI359,0)</f>
        <v>0</v>
      </c>
      <c r="FN359" s="28" t="n">
        <f aca="false">IF(ISNUMBER(BR359),DJ359,0)</f>
        <v>0</v>
      </c>
      <c r="FO359" s="28" t="str">
        <f aca="false">IFERROR(INDEX(Lists!$G$2:$G$20,MATCH($I359&amp;"|"&amp;$J359,Lists!$F$2:$F$20,0)),"")</f>
        <v>Hist Overall HL</v>
      </c>
    </row>
    <row r="360" customFormat="false" ht="19.5" hidden="false" customHeight="true" outlineLevel="0" collapsed="false">
      <c r="A360" s="29" t="s">
        <v>496</v>
      </c>
      <c r="B360" s="29" t="s">
        <v>497</v>
      </c>
      <c r="C360" s="30" t="s">
        <v>192</v>
      </c>
      <c r="D360" s="30" t="s">
        <v>415</v>
      </c>
      <c r="E360" s="31"/>
      <c r="F360" s="30"/>
      <c r="G360" s="30"/>
      <c r="H360" s="32" t="s">
        <v>428</v>
      </c>
      <c r="I360" s="33" t="s">
        <v>416</v>
      </c>
      <c r="J360" s="32" t="s">
        <v>25</v>
      </c>
      <c r="K360" s="34" t="str">
        <f aca="false">IF(OR(M360="",$E360=""),"",M360-$E360)</f>
        <v/>
      </c>
      <c r="L360" s="35" t="n">
        <f aca="false">IF(SUM(FA360:FN360)=0,"",SUM(EM360:EZ360)/SUM(FA360:FN360))</f>
        <v>41.6666666666667</v>
      </c>
      <c r="M360" s="36" t="n">
        <f aca="false">IF(OR(L360="",FO360=""),"",IFERROR(MATCH(L360,INDEX(Boundaries!$B$2:$I$30,MATCH(FO360,Boundaries!$A$2:$A$30,0),0),1)-1,""))</f>
        <v>4</v>
      </c>
      <c r="N360" s="37" t="n">
        <f aca="false">IF(COUNT($DY360:$EL360)&lt;2,"",INDEX($DK360:$DX360,MAX($DY360:$EL360))-INDEX($DK360:$DX360,MIN($DY360:$EL360)))</f>
        <v>-3</v>
      </c>
      <c r="O360" s="37" t="n">
        <f aca="false">IF(COUNT($DY360:$EL360)&lt;2,"",INDEX($DK360:$DX360,MAX($DY360:$EL360))-INDEX($DK360:$DX360,LARGE($DY360:$EL360,2)))</f>
        <v>-3</v>
      </c>
      <c r="P360" s="38" t="str">
        <f aca="false">IF(K360="","",IF(K360&gt;=0,"On/above target",IF(AND(N360&lt;&gt;"",N360&gt;=0.5),"Improving towards target",IF(AND(O360&lt;&gt;"",O360&lt;=-0.5),"Declining","Stable below target"))))</f>
        <v/>
      </c>
      <c r="Q360" s="39" t="n">
        <v>8</v>
      </c>
      <c r="R360" s="40" t="n">
        <f aca="false">IF(OR(Q360="",BU360=""),"",Q360/BU360*100)</f>
        <v>53.3333333333333</v>
      </c>
      <c r="S360" s="41" t="n">
        <f aca="false">IF(R360="","",IFERROR(MATCH(R360,INDEX(Boundaries!$B$2:$I$30,MATCH(CI360,Boundaries!$A$2:$A$30,0),0),1)-1,""))</f>
        <v>5</v>
      </c>
      <c r="T360" s="42" t="str">
        <f aca="false">IF(OR(S360="",$E360=""),"",S360-$E360)</f>
        <v/>
      </c>
      <c r="U360" s="39" t="n">
        <v>3</v>
      </c>
      <c r="V360" s="40" t="n">
        <f aca="false">IF(OR(U360="",BV360=""),"",U360/BV360*100)</f>
        <v>30</v>
      </c>
      <c r="W360" s="41" t="n">
        <f aca="false">IF(V360="","",IFERROR(MATCH(V360,INDEX(Boundaries!$B$2:$I$30,MATCH(CJ360,Boundaries!$A$2:$A$30,0),0),1)-1,""))</f>
        <v>2</v>
      </c>
      <c r="X360" s="42" t="str">
        <f aca="false">IF(OR(W360="",$E360=""),"",W360-$E360)</f>
        <v/>
      </c>
      <c r="Y360" s="39"/>
      <c r="Z360" s="40" t="str">
        <f aca="false">IF(OR(Y360="",BW360=""),"",Y360/BW360*100)</f>
        <v/>
      </c>
      <c r="AA360" s="41" t="str">
        <f aca="false">IF(Z360="","",IFERROR(MATCH(Z360,INDEX(Boundaries!$B$2:$I$30,MATCH(CK360,Boundaries!$A$2:$A$30,0),0),1)-1,""))</f>
        <v/>
      </c>
      <c r="AB360" s="42" t="str">
        <f aca="false">IF(OR(AA360="",$E360=""),"",AA360-$E360)</f>
        <v/>
      </c>
      <c r="AC360" s="39"/>
      <c r="AD360" s="40" t="str">
        <f aca="false">IF(OR(AC360="",BX360=""),"",AC360/BX360*100)</f>
        <v/>
      </c>
      <c r="AE360" s="41" t="str">
        <f aca="false">IF(AD360="","",IFERROR(MATCH(AD360,INDEX(Boundaries!$B$2:$I$30,MATCH(CL360,Boundaries!$A$2:$A$30,0),0),1)-1,""))</f>
        <v/>
      </c>
      <c r="AF360" s="42" t="str">
        <f aca="false">IF(OR(AE360="",$E360=""),"",AE360-$E360)</f>
        <v/>
      </c>
      <c r="AG360" s="39"/>
      <c r="AH360" s="40" t="str">
        <f aca="false">IF(OR(AG360="",BY360=""),"",AG360/BY360*100)</f>
        <v/>
      </c>
      <c r="AI360" s="41" t="str">
        <f aca="false">IF(AH360="","",IFERROR(MATCH(AH360,INDEX(Boundaries!$B$2:$I$30,MATCH(CM360,Boundaries!$A$2:$A$30,0),0),1)-1,""))</f>
        <v/>
      </c>
      <c r="AJ360" s="42" t="str">
        <f aca="false">IF(OR(AI360="",$E360=""),"",AI360-$E360)</f>
        <v/>
      </c>
      <c r="AK360" s="39"/>
      <c r="AL360" s="40" t="str">
        <f aca="false">IF(OR(AK360="",BZ360=""),"",AK360/BZ360*100)</f>
        <v/>
      </c>
      <c r="AM360" s="41" t="str">
        <f aca="false">IF(AL360="","",IFERROR(MATCH(AL360,INDEX(Boundaries!$B$2:$I$30,MATCH(CN360,Boundaries!$A$2:$A$30,0),0),1)-1,""))</f>
        <v/>
      </c>
      <c r="AN360" s="42" t="str">
        <f aca="false">IF(OR(AM360="",$E360=""),"",AM360-$E360)</f>
        <v/>
      </c>
      <c r="AO360" s="39"/>
      <c r="AP360" s="40" t="str">
        <f aca="false">IF(OR(AO360="",CA360=""),"",AO360/CA360*100)</f>
        <v/>
      </c>
      <c r="AQ360" s="41" t="str">
        <f aca="false">IF(AP360="","",IFERROR(MATCH(AP360,INDEX(Boundaries!$B$2:$I$30,MATCH(CO360,Boundaries!$A$2:$A$30,0),0),1)-1,""))</f>
        <v/>
      </c>
      <c r="AR360" s="42" t="str">
        <f aca="false">IF(OR(AQ360="",$E360=""),"",AQ360-$E360)</f>
        <v/>
      </c>
      <c r="AS360" s="39"/>
      <c r="AT360" s="40" t="str">
        <f aca="false">IF(OR(AS360="",CB360=""),"",AS360/CB360*100)</f>
        <v/>
      </c>
      <c r="AU360" s="41" t="str">
        <f aca="false">IF(AT360="","",IFERROR(MATCH(AT360,INDEX(Boundaries!$B$2:$I$30,MATCH(CP360,Boundaries!$A$2:$A$30,0),0),1)-1,""))</f>
        <v/>
      </c>
      <c r="AV360" s="42" t="str">
        <f aca="false">IF(OR(AU360="",$E360=""),"",AU360-$E360)</f>
        <v/>
      </c>
      <c r="AW360" s="39"/>
      <c r="AX360" s="40" t="str">
        <f aca="false">IF(OR(AW360="",CC360=""),"",AW360/CC360*100)</f>
        <v/>
      </c>
      <c r="AY360" s="41" t="str">
        <f aca="false">IF(AX360="","",IFERROR(MATCH(AX360,INDEX(Boundaries!$B$2:$I$30,MATCH(CQ360,Boundaries!$A$2:$A$30,0),0),1)-1,""))</f>
        <v/>
      </c>
      <c r="AZ360" s="42" t="str">
        <f aca="false">IF(OR(AY360="",$E360=""),"",AY360-$E360)</f>
        <v/>
      </c>
      <c r="BA360" s="39"/>
      <c r="BB360" s="40" t="str">
        <f aca="false">IF(OR(BA360="",CD360=""),"",BA360/CD360*100)</f>
        <v/>
      </c>
      <c r="BC360" s="41" t="str">
        <f aca="false">IF(BB360="","",IFERROR(MATCH(BB360,INDEX(Boundaries!$B$2:$I$30,MATCH(CR360,Boundaries!$A$2:$A$30,0),0),1)-1,""))</f>
        <v/>
      </c>
      <c r="BD360" s="42" t="str">
        <f aca="false">IF(OR(BC360="",$E360=""),"",BC360-$E360)</f>
        <v/>
      </c>
      <c r="BE360" s="39"/>
      <c r="BF360" s="40" t="str">
        <f aca="false">IF(OR(BE360="",CE360=""),"",BE360/CE360*100)</f>
        <v/>
      </c>
      <c r="BG360" s="41" t="str">
        <f aca="false">IF(BF360="","",IFERROR(MATCH(BF360,INDEX(Boundaries!$B$2:$I$30,MATCH(CS360,Boundaries!$A$2:$A$30,0),0),1)-1,""))</f>
        <v/>
      </c>
      <c r="BH360" s="42" t="str">
        <f aca="false">IF(OR(BG360="",$E360=""),"",BG360-$E360)</f>
        <v/>
      </c>
      <c r="BI360" s="39"/>
      <c r="BJ360" s="40" t="str">
        <f aca="false">IF(OR(BI360="",CF360=""),"",BI360/CF360*100)</f>
        <v/>
      </c>
      <c r="BK360" s="41" t="str">
        <f aca="false">IF(BJ360="","",IFERROR(MATCH(BJ360,INDEX(Boundaries!$B$2:$I$30,MATCH(CT360,Boundaries!$A$2:$A$30,0),0),1)-1,""))</f>
        <v/>
      </c>
      <c r="BL360" s="42" t="str">
        <f aca="false">IF(OR(BK360="",$E360=""),"",BK360-$E360)</f>
        <v/>
      </c>
      <c r="BM360" s="39"/>
      <c r="BN360" s="40" t="str">
        <f aca="false">IF(OR(BM360="",CG360=""),"",BM360/CG360*100)</f>
        <v/>
      </c>
      <c r="BO360" s="41" t="str">
        <f aca="false">IF(BN360="","",IFERROR(MATCH(BN360,INDEX(Boundaries!$B$2:$I$30,MATCH(CU360,Boundaries!$A$2:$A$30,0),0),1)-1,""))</f>
        <v/>
      </c>
      <c r="BP360" s="42" t="str">
        <f aca="false">IF(OR(BO360="",$E360=""),"",BO360-$E360)</f>
        <v/>
      </c>
      <c r="BQ360" s="39"/>
      <c r="BR360" s="40" t="str">
        <f aca="false">IF(OR(BQ360="",CH360=""),"",BQ360/CH360*100)</f>
        <v/>
      </c>
      <c r="BS360" s="41" t="str">
        <f aca="false">IF(BR360="","",IFERROR(MATCH(BR360,INDEX(Boundaries!$B$2:$I$30,MATCH(CV360,Boundaries!$A$2:$A$30,0),0),1)-1,""))</f>
        <v/>
      </c>
      <c r="BT360" s="42" t="str">
        <f aca="false">IF(OR(BS360="",$E360=""),"",BS360-$E360)</f>
        <v/>
      </c>
      <c r="BU360" s="28" t="n">
        <f aca="false">IFERROR(INDEX(Assessments!$H$2:$H$600,MATCH($H360&amp;"|"&amp;$I360&amp;"|"&amp;$J360&amp;"|"&amp;1,Assessments!$A$2:$A$600,0)),"")</f>
        <v>15</v>
      </c>
      <c r="BV360" s="28" t="n">
        <f aca="false">IFERROR(INDEX(Assessments!$H$2:$H$600,MATCH($H360&amp;"|"&amp;$I360&amp;"|"&amp;$J360&amp;"|"&amp;2,Assessments!$A$2:$A$600,0)),"")</f>
        <v>10</v>
      </c>
      <c r="BW360" s="28" t="n">
        <f aca="false">IFERROR(INDEX(Assessments!$H$2:$H$600,MATCH($H360&amp;"|"&amp;$I360&amp;"|"&amp;$J360&amp;"|"&amp;3,Assessments!$A$2:$A$600,0)),"")</f>
        <v>24</v>
      </c>
      <c r="BX360" s="28" t="n">
        <f aca="false">IFERROR(INDEX(Assessments!$H$2:$H$600,MATCH($H360&amp;"|"&amp;$I360&amp;"|"&amp;$J360&amp;"|"&amp;4,Assessments!$A$2:$A$600,0)),"")</f>
        <v>15</v>
      </c>
      <c r="BY360" s="28" t="n">
        <f aca="false">IFERROR(INDEX(Assessments!$H$2:$H$600,MATCH($H360&amp;"|"&amp;$I360&amp;"|"&amp;$J360&amp;"|"&amp;5,Assessments!$A$2:$A$600,0)),"")</f>
        <v>15</v>
      </c>
      <c r="BZ360" s="28" t="n">
        <f aca="false">IFERROR(INDEX(Assessments!$H$2:$H$600,MATCH($H360&amp;"|"&amp;$I360&amp;"|"&amp;$J360&amp;"|"&amp;6,Assessments!$A$2:$A$600,0)),"")</f>
        <v>15</v>
      </c>
      <c r="CA360" s="28" t="n">
        <f aca="false">IFERROR(INDEX(Assessments!$H$2:$H$600,MATCH($H360&amp;"|"&amp;$I360&amp;"|"&amp;$J360&amp;"|"&amp;7,Assessments!$A$2:$A$600,0)),"")</f>
        <v>24</v>
      </c>
      <c r="CB360" s="28" t="n">
        <f aca="false">IFERROR(INDEX(Assessments!$H$2:$H$600,MATCH($H360&amp;"|"&amp;$I360&amp;"|"&amp;$J360&amp;"|"&amp;8,Assessments!$A$2:$A$600,0)),"")</f>
        <v>30</v>
      </c>
      <c r="CC360" s="28" t="n">
        <f aca="false">IFERROR(INDEX(Assessments!$H$2:$H$600,MATCH($H360&amp;"|"&amp;$I360&amp;"|"&amp;$J360&amp;"|"&amp;9,Assessments!$A$2:$A$600,0)),"")</f>
        <v>15</v>
      </c>
      <c r="CD360" s="28" t="str">
        <f aca="false">IFERROR(INDEX(Assessments!$H$2:$H$600,MATCH($H360&amp;"|"&amp;$I360&amp;"|"&amp;$J360&amp;"|"&amp;10,Assessments!$A$2:$A$600,0)),"")</f>
        <v/>
      </c>
      <c r="CE360" s="28" t="str">
        <f aca="false">IFERROR(INDEX(Assessments!$H$2:$H$600,MATCH($H360&amp;"|"&amp;$I360&amp;"|"&amp;$J360&amp;"|"&amp;11,Assessments!$A$2:$A$600,0)),"")</f>
        <v/>
      </c>
      <c r="CF360" s="28" t="str">
        <f aca="false">IFERROR(INDEX(Assessments!$H$2:$H$600,MATCH($H360&amp;"|"&amp;$I360&amp;"|"&amp;$J360&amp;"|"&amp;12,Assessments!$A$2:$A$600,0)),"")</f>
        <v/>
      </c>
      <c r="CG360" s="28" t="str">
        <f aca="false">IFERROR(INDEX(Assessments!$H$2:$H$600,MATCH($H360&amp;"|"&amp;$I360&amp;"|"&amp;$J360&amp;"|"&amp;13,Assessments!$A$2:$A$600,0)),"")</f>
        <v/>
      </c>
      <c r="CH360" s="28" t="str">
        <f aca="false">IFERROR(INDEX(Assessments!$H$2:$H$600,MATCH($H360&amp;"|"&amp;$I360&amp;"|"&amp;$J360&amp;"|"&amp;14,Assessments!$A$2:$A$600,0)),"")</f>
        <v/>
      </c>
      <c r="CI360" s="28" t="str">
        <f aca="false">IFERROR(INDEX(Assessments!$I$2:$I$600,MATCH($H360&amp;"|"&amp;$I360&amp;"|"&amp;$J360&amp;"|"&amp;1,Assessments!$A$2:$A$600,0)),"")</f>
        <v>Hist P3 essay</v>
      </c>
      <c r="CJ360" s="28" t="str">
        <f aca="false">IFERROR(INDEX(Assessments!$I$2:$I$600,MATCH($H360&amp;"|"&amp;$I360&amp;"|"&amp;$J360&amp;"|"&amp;2,Assessments!$A$2:$A$600,0)),"")</f>
        <v>Hist P2 partial</v>
      </c>
      <c r="CK360" s="28" t="str">
        <f aca="false">IFERROR(INDEX(Assessments!$I$2:$I$600,MATCH($H360&amp;"|"&amp;$I360&amp;"|"&amp;$J360&amp;"|"&amp;3,Assessments!$A$2:$A$600,0)),"")</f>
        <v>Hist P2 partial</v>
      </c>
      <c r="CL360" s="28" t="str">
        <f aca="false">IFERROR(INDEX(Assessments!$I$2:$I$600,MATCH($H360&amp;"|"&amp;$I360&amp;"|"&amp;$J360&amp;"|"&amp;4,Assessments!$A$2:$A$600,0)),"")</f>
        <v>Hist P3 essay</v>
      </c>
      <c r="CM360" s="28" t="str">
        <f aca="false">IFERROR(INDEX(Assessments!$I$2:$I$600,MATCH($H360&amp;"|"&amp;$I360&amp;"|"&amp;$J360&amp;"|"&amp;5,Assessments!$A$2:$A$600,0)),"")</f>
        <v>Hist P3 essay</v>
      </c>
      <c r="CN360" s="28" t="str">
        <f aca="false">IFERROR(INDEX(Assessments!$I$2:$I$600,MATCH($H360&amp;"|"&amp;$I360&amp;"|"&amp;$J360&amp;"|"&amp;6,Assessments!$A$2:$A$600,0)),"")</f>
        <v>Hist P3 essay</v>
      </c>
      <c r="CO360" s="28" t="str">
        <f aca="false">IFERROR(INDEX(Assessments!$I$2:$I$600,MATCH($H360&amp;"|"&amp;$I360&amp;"|"&amp;$J360&amp;"|"&amp;7,Assessments!$A$2:$A$600,0)),"")</f>
        <v>Hist Paper 1</v>
      </c>
      <c r="CP360" s="28" t="str">
        <f aca="false">IFERROR(INDEX(Assessments!$I$2:$I$600,MATCH($H360&amp;"|"&amp;$I360&amp;"|"&amp;$J360&amp;"|"&amp;8,Assessments!$A$2:$A$600,0)),"")</f>
        <v>Hist P2 full</v>
      </c>
      <c r="CQ360" s="28" t="str">
        <f aca="false">IFERROR(INDEX(Assessments!$I$2:$I$600,MATCH($H360&amp;"|"&amp;$I360&amp;"|"&amp;$J360&amp;"|"&amp;9,Assessments!$A$2:$A$600,0)),"")</f>
        <v>Hist P3 full</v>
      </c>
      <c r="CR360" s="28" t="str">
        <f aca="false">IFERROR(INDEX(Assessments!$I$2:$I$600,MATCH($H360&amp;"|"&amp;$I360&amp;"|"&amp;$J360&amp;"|"&amp;10,Assessments!$A$2:$A$600,0)),"")</f>
        <v/>
      </c>
      <c r="CS360" s="28" t="str">
        <f aca="false">IFERROR(INDEX(Assessments!$I$2:$I$600,MATCH($H360&amp;"|"&amp;$I360&amp;"|"&amp;$J360&amp;"|"&amp;11,Assessments!$A$2:$A$600,0)),"")</f>
        <v/>
      </c>
      <c r="CT360" s="28" t="str">
        <f aca="false">IFERROR(INDEX(Assessments!$I$2:$I$600,MATCH($H360&amp;"|"&amp;$I360&amp;"|"&amp;$J360&amp;"|"&amp;12,Assessments!$A$2:$A$600,0)),"")</f>
        <v/>
      </c>
      <c r="CU360" s="28" t="str">
        <f aca="false">IFERROR(INDEX(Assessments!$I$2:$I$600,MATCH($H360&amp;"|"&amp;$I360&amp;"|"&amp;$J360&amp;"|"&amp;13,Assessments!$A$2:$A$600,0)),"")</f>
        <v/>
      </c>
      <c r="CV360" s="28" t="str">
        <f aca="false">IFERROR(INDEX(Assessments!$I$2:$I$600,MATCH($H360&amp;"|"&amp;$I360&amp;"|"&amp;$J360&amp;"|"&amp;14,Assessments!$A$2:$A$600,0)),"")</f>
        <v/>
      </c>
      <c r="CW360" s="28" t="n">
        <f aca="false">IFERROR(INDEX(Assessments!$J$2:$J$600,MATCH($H360&amp;"|"&amp;$I360&amp;"|"&amp;$J360&amp;"|"&amp;1,Assessments!$A$2:$A$600,0)),0)</f>
        <v>1</v>
      </c>
      <c r="CX360" s="28" t="n">
        <f aca="false">IFERROR(INDEX(Assessments!$J$2:$J$600,MATCH($H360&amp;"|"&amp;$I360&amp;"|"&amp;$J360&amp;"|"&amp;2,Assessments!$A$2:$A$600,0)),0)</f>
        <v>1</v>
      </c>
      <c r="CY360" s="28" t="n">
        <f aca="false">IFERROR(INDEX(Assessments!$J$2:$J$600,MATCH($H360&amp;"|"&amp;$I360&amp;"|"&amp;$J360&amp;"|"&amp;3,Assessments!$A$2:$A$600,0)),0)</f>
        <v>1</v>
      </c>
      <c r="CZ360" s="28" t="n">
        <f aca="false">IFERROR(INDEX(Assessments!$J$2:$J$600,MATCH($H360&amp;"|"&amp;$I360&amp;"|"&amp;$J360&amp;"|"&amp;4,Assessments!$A$2:$A$600,0)),0)</f>
        <v>1</v>
      </c>
      <c r="DA360" s="28" t="n">
        <f aca="false">IFERROR(INDEX(Assessments!$J$2:$J$600,MATCH($H360&amp;"|"&amp;$I360&amp;"|"&amp;$J360&amp;"|"&amp;5,Assessments!$A$2:$A$600,0)),0)</f>
        <v>1</v>
      </c>
      <c r="DB360" s="28" t="n">
        <f aca="false">IFERROR(INDEX(Assessments!$J$2:$J$600,MATCH($H360&amp;"|"&amp;$I360&amp;"|"&amp;$J360&amp;"|"&amp;6,Assessments!$A$2:$A$600,0)),0)</f>
        <v>1</v>
      </c>
      <c r="DC360" s="28" t="n">
        <f aca="false">IFERROR(INDEX(Assessments!$J$2:$J$600,MATCH($H360&amp;"|"&amp;$I360&amp;"|"&amp;$J360&amp;"|"&amp;7,Assessments!$A$2:$A$600,0)),0)</f>
        <v>2</v>
      </c>
      <c r="DD360" s="28" t="n">
        <f aca="false">IFERROR(INDEX(Assessments!$J$2:$J$600,MATCH($H360&amp;"|"&amp;$I360&amp;"|"&amp;$J360&amp;"|"&amp;8,Assessments!$A$2:$A$600,0)),0)</f>
        <v>2</v>
      </c>
      <c r="DE360" s="28" t="n">
        <f aca="false">IFERROR(INDEX(Assessments!$J$2:$J$600,MATCH($H360&amp;"|"&amp;$I360&amp;"|"&amp;$J360&amp;"|"&amp;9,Assessments!$A$2:$A$600,0)),0)</f>
        <v>2</v>
      </c>
      <c r="DF360" s="28" t="n">
        <f aca="false">IFERROR(INDEX(Assessments!$J$2:$J$600,MATCH($H360&amp;"|"&amp;$I360&amp;"|"&amp;$J360&amp;"|"&amp;10,Assessments!$A$2:$A$600,0)),0)</f>
        <v>0</v>
      </c>
      <c r="DG360" s="28" t="n">
        <f aca="false">IFERROR(INDEX(Assessments!$J$2:$J$600,MATCH($H360&amp;"|"&amp;$I360&amp;"|"&amp;$J360&amp;"|"&amp;11,Assessments!$A$2:$A$600,0)),0)</f>
        <v>0</v>
      </c>
      <c r="DH360" s="28" t="n">
        <f aca="false">IFERROR(INDEX(Assessments!$J$2:$J$600,MATCH($H360&amp;"|"&amp;$I360&amp;"|"&amp;$J360&amp;"|"&amp;12,Assessments!$A$2:$A$600,0)),0)</f>
        <v>0</v>
      </c>
      <c r="DI360" s="28" t="n">
        <f aca="false">IFERROR(INDEX(Assessments!$J$2:$J$600,MATCH($H360&amp;"|"&amp;$I360&amp;"|"&amp;$J360&amp;"|"&amp;13,Assessments!$A$2:$A$600,0)),0)</f>
        <v>0</v>
      </c>
      <c r="DJ360" s="28" t="n">
        <f aca="false">IFERROR(INDEX(Assessments!$J$2:$J$600,MATCH($H360&amp;"|"&amp;$I360&amp;"|"&amp;$J360&amp;"|"&amp;14,Assessments!$A$2:$A$600,0)),0)</f>
        <v>0</v>
      </c>
      <c r="DK360" s="28" t="n">
        <f aca="false">S360</f>
        <v>5</v>
      </c>
      <c r="DL360" s="28" t="n">
        <f aca="false">W360</f>
        <v>2</v>
      </c>
      <c r="DM360" s="28" t="str">
        <f aca="false">AA360</f>
        <v/>
      </c>
      <c r="DN360" s="28" t="str">
        <f aca="false">AE360</f>
        <v/>
      </c>
      <c r="DO360" s="28" t="str">
        <f aca="false">AI360</f>
        <v/>
      </c>
      <c r="DP360" s="28" t="str">
        <f aca="false">AM360</f>
        <v/>
      </c>
      <c r="DQ360" s="28" t="str">
        <f aca="false">AQ360</f>
        <v/>
      </c>
      <c r="DR360" s="28" t="str">
        <f aca="false">AU360</f>
        <v/>
      </c>
      <c r="DS360" s="28" t="str">
        <f aca="false">AY360</f>
        <v/>
      </c>
      <c r="DT360" s="28" t="str">
        <f aca="false">BC360</f>
        <v/>
      </c>
      <c r="DU360" s="28" t="str">
        <f aca="false">BG360</f>
        <v/>
      </c>
      <c r="DV360" s="28" t="str">
        <f aca="false">BK360</f>
        <v/>
      </c>
      <c r="DW360" s="28" t="str">
        <f aca="false">BO360</f>
        <v/>
      </c>
      <c r="DX360" s="28" t="str">
        <f aca="false">BS360</f>
        <v/>
      </c>
      <c r="DY360" s="28" t="n">
        <f aca="false">IF(ISNUMBER(S360),1,"")</f>
        <v>1</v>
      </c>
      <c r="DZ360" s="28" t="n">
        <f aca="false">IF(ISNUMBER(W360),2,"")</f>
        <v>2</v>
      </c>
      <c r="EA360" s="28" t="str">
        <f aca="false">IF(ISNUMBER(AA360),3,"")</f>
        <v/>
      </c>
      <c r="EB360" s="28" t="str">
        <f aca="false">IF(ISNUMBER(AE360),4,"")</f>
        <v/>
      </c>
      <c r="EC360" s="28" t="str">
        <f aca="false">IF(ISNUMBER(AI360),5,"")</f>
        <v/>
      </c>
      <c r="ED360" s="28" t="str">
        <f aca="false">IF(ISNUMBER(AM360),6,"")</f>
        <v/>
      </c>
      <c r="EE360" s="28" t="str">
        <f aca="false">IF(ISNUMBER(AQ360),7,"")</f>
        <v/>
      </c>
      <c r="EF360" s="28" t="str">
        <f aca="false">IF(ISNUMBER(AU360),8,"")</f>
        <v/>
      </c>
      <c r="EG360" s="28" t="str">
        <f aca="false">IF(ISNUMBER(AY360),9,"")</f>
        <v/>
      </c>
      <c r="EH360" s="28" t="str">
        <f aca="false">IF(ISNUMBER(BC360),10,"")</f>
        <v/>
      </c>
      <c r="EI360" s="28" t="str">
        <f aca="false">IF(ISNUMBER(BG360),11,"")</f>
        <v/>
      </c>
      <c r="EJ360" s="28" t="str">
        <f aca="false">IF(ISNUMBER(BK360),12,"")</f>
        <v/>
      </c>
      <c r="EK360" s="28" t="str">
        <f aca="false">IF(ISNUMBER(BO360),13,"")</f>
        <v/>
      </c>
      <c r="EL360" s="28" t="str">
        <f aca="false">IF(ISNUMBER(BS360),14,"")</f>
        <v/>
      </c>
      <c r="EM360" s="28" t="n">
        <f aca="false">IF(ISNUMBER(R360),R360*CW360,0)</f>
        <v>53.3333333333333</v>
      </c>
      <c r="EN360" s="28" t="n">
        <f aca="false">IF(ISNUMBER(V360),V360*CX360,0)</f>
        <v>30</v>
      </c>
      <c r="EO360" s="28" t="n">
        <f aca="false">IF(ISNUMBER(Z360),Z360*CY360,0)</f>
        <v>0</v>
      </c>
      <c r="EP360" s="28" t="n">
        <f aca="false">IF(ISNUMBER(AD360),AD360*CZ360,0)</f>
        <v>0</v>
      </c>
      <c r="EQ360" s="28" t="n">
        <f aca="false">IF(ISNUMBER(AH360),AH360*DA360,0)</f>
        <v>0</v>
      </c>
      <c r="ER360" s="28" t="n">
        <f aca="false">IF(ISNUMBER(AL360),AL360*DB360,0)</f>
        <v>0</v>
      </c>
      <c r="ES360" s="28" t="n">
        <f aca="false">IF(ISNUMBER(AP360),AP360*DC360,0)</f>
        <v>0</v>
      </c>
      <c r="ET360" s="28" t="n">
        <f aca="false">IF(ISNUMBER(AT360),AT360*DD360,0)</f>
        <v>0</v>
      </c>
      <c r="EU360" s="28" t="n">
        <f aca="false">IF(ISNUMBER(AX360),AX360*DE360,0)</f>
        <v>0</v>
      </c>
      <c r="EV360" s="28" t="n">
        <f aca="false">IF(ISNUMBER(BB360),BB360*DF360,0)</f>
        <v>0</v>
      </c>
      <c r="EW360" s="28" t="n">
        <f aca="false">IF(ISNUMBER(BF360),BF360*DG360,0)</f>
        <v>0</v>
      </c>
      <c r="EX360" s="28" t="n">
        <f aca="false">IF(ISNUMBER(BJ360),BJ360*DH360,0)</f>
        <v>0</v>
      </c>
      <c r="EY360" s="28" t="n">
        <f aca="false">IF(ISNUMBER(BN360),BN360*DI360,0)</f>
        <v>0</v>
      </c>
      <c r="EZ360" s="28" t="n">
        <f aca="false">IF(ISNUMBER(BR360),BR360*DJ360,0)</f>
        <v>0</v>
      </c>
      <c r="FA360" s="28" t="n">
        <f aca="false">IF(ISNUMBER(R360),CW360,0)</f>
        <v>1</v>
      </c>
      <c r="FB360" s="28" t="n">
        <f aca="false">IF(ISNUMBER(V360),CX360,0)</f>
        <v>1</v>
      </c>
      <c r="FC360" s="28" t="n">
        <f aca="false">IF(ISNUMBER(Z360),CY360,0)</f>
        <v>0</v>
      </c>
      <c r="FD360" s="28" t="n">
        <f aca="false">IF(ISNUMBER(AD360),CZ360,0)</f>
        <v>0</v>
      </c>
      <c r="FE360" s="28" t="n">
        <f aca="false">IF(ISNUMBER(AH360),DA360,0)</f>
        <v>0</v>
      </c>
      <c r="FF360" s="28" t="n">
        <f aca="false">IF(ISNUMBER(AL360),DB360,0)</f>
        <v>0</v>
      </c>
      <c r="FG360" s="28" t="n">
        <f aca="false">IF(ISNUMBER(AP360),DC360,0)</f>
        <v>0</v>
      </c>
      <c r="FH360" s="28" t="n">
        <f aca="false">IF(ISNUMBER(AT360),DD360,0)</f>
        <v>0</v>
      </c>
      <c r="FI360" s="28" t="n">
        <f aca="false">IF(ISNUMBER(AX360),DE360,0)</f>
        <v>0</v>
      </c>
      <c r="FJ360" s="28" t="n">
        <f aca="false">IF(ISNUMBER(BB360),DF360,0)</f>
        <v>0</v>
      </c>
      <c r="FK360" s="28" t="n">
        <f aca="false">IF(ISNUMBER(BF360),DG360,0)</f>
        <v>0</v>
      </c>
      <c r="FL360" s="28" t="n">
        <f aca="false">IF(ISNUMBER(BJ360),DH360,0)</f>
        <v>0</v>
      </c>
      <c r="FM360" s="28" t="n">
        <f aca="false">IF(ISNUMBER(BN360),DI360,0)</f>
        <v>0</v>
      </c>
      <c r="FN360" s="28" t="n">
        <f aca="false">IF(ISNUMBER(BR360),DJ360,0)</f>
        <v>0</v>
      </c>
      <c r="FO360" s="28" t="str">
        <f aca="false">IFERROR(INDEX(Lists!$G$2:$G$20,MATCH($I360&amp;"|"&amp;$J360,Lists!$F$2:$F$20,0)),"")</f>
        <v>Hist Overall HL</v>
      </c>
    </row>
    <row r="361" customFormat="false" ht="19.5" hidden="false" customHeight="true" outlineLevel="0" collapsed="false">
      <c r="A361" s="29" t="s">
        <v>664</v>
      </c>
      <c r="B361" s="29" t="s">
        <v>665</v>
      </c>
      <c r="C361" s="30" t="s">
        <v>192</v>
      </c>
      <c r="D361" s="30" t="s">
        <v>415</v>
      </c>
      <c r="E361" s="31"/>
      <c r="F361" s="30"/>
      <c r="G361" s="30"/>
      <c r="H361" s="32" t="s">
        <v>428</v>
      </c>
      <c r="I361" s="33" t="s">
        <v>416</v>
      </c>
      <c r="J361" s="32" t="s">
        <v>25</v>
      </c>
      <c r="K361" s="34" t="str">
        <f aca="false">IF(OR(M361="",$E361=""),"",M361-$E361)</f>
        <v/>
      </c>
      <c r="L361" s="35" t="n">
        <f aca="false">IF(SUM(FA361:FN361)=0,"",SUM(EM361:EZ361)/SUM(FA361:FN361))</f>
        <v>36.6666666666667</v>
      </c>
      <c r="M361" s="36" t="n">
        <f aca="false">IF(OR(L361="",FO361=""),"",IFERROR(MATCH(L361,INDEX(Boundaries!$B$2:$I$30,MATCH(FO361,Boundaries!$A$2:$A$30,0),0),1)-1,""))</f>
        <v>4</v>
      </c>
      <c r="N361" s="37" t="n">
        <f aca="false">IF(COUNT($DY361:$EL361)&lt;2,"",INDEX($DK361:$DX361,MAX($DY361:$EL361))-INDEX($DK361:$DX361,MIN($DY361:$EL361)))</f>
        <v>0</v>
      </c>
      <c r="O361" s="37" t="n">
        <f aca="false">IF(COUNT($DY361:$EL361)&lt;2,"",INDEX($DK361:$DX361,MAX($DY361:$EL361))-INDEX($DK361:$DX361,LARGE($DY361:$EL361,2)))</f>
        <v>0</v>
      </c>
      <c r="P361" s="38" t="str">
        <f aca="false">IF(K361="","",IF(K361&gt;=0,"On/above target",IF(AND(N361&lt;&gt;"",N361&gt;=0.5),"Improving towards target",IF(AND(O361&lt;&gt;"",O361&lt;=-0.5),"Declining","Stable below target"))))</f>
        <v/>
      </c>
      <c r="Q361" s="39" t="n">
        <v>5</v>
      </c>
      <c r="R361" s="40" t="n">
        <f aca="false">IF(OR(Q361="",BU361=""),"",Q361/BU361*100)</f>
        <v>33.3333333333333</v>
      </c>
      <c r="S361" s="41" t="n">
        <f aca="false">IF(R361="","",IFERROR(MATCH(R361,INDEX(Boundaries!$B$2:$I$30,MATCH(CI361,Boundaries!$A$2:$A$30,0),0),1)-1,""))</f>
        <v>3</v>
      </c>
      <c r="T361" s="42" t="str">
        <f aca="false">IF(OR(S361="",$E361=""),"",S361-$E361)</f>
        <v/>
      </c>
      <c r="U361" s="39" t="n">
        <v>4</v>
      </c>
      <c r="V361" s="40" t="n">
        <f aca="false">IF(OR(U361="",BV361=""),"",U361/BV361*100)</f>
        <v>40</v>
      </c>
      <c r="W361" s="41" t="n">
        <f aca="false">IF(V361="","",IFERROR(MATCH(V361,INDEX(Boundaries!$B$2:$I$30,MATCH(CJ361,Boundaries!$A$2:$A$30,0),0),1)-1,""))</f>
        <v>3</v>
      </c>
      <c r="X361" s="42" t="str">
        <f aca="false">IF(OR(W361="",$E361=""),"",W361-$E361)</f>
        <v/>
      </c>
      <c r="Y361" s="39"/>
      <c r="Z361" s="40" t="str">
        <f aca="false">IF(OR(Y361="",BW361=""),"",Y361/BW361*100)</f>
        <v/>
      </c>
      <c r="AA361" s="41" t="str">
        <f aca="false">IF(Z361="","",IFERROR(MATCH(Z361,INDEX(Boundaries!$B$2:$I$30,MATCH(CK361,Boundaries!$A$2:$A$30,0),0),1)-1,""))</f>
        <v/>
      </c>
      <c r="AB361" s="42" t="str">
        <f aca="false">IF(OR(AA361="",$E361=""),"",AA361-$E361)</f>
        <v/>
      </c>
      <c r="AC361" s="39"/>
      <c r="AD361" s="40" t="str">
        <f aca="false">IF(OR(AC361="",BX361=""),"",AC361/BX361*100)</f>
        <v/>
      </c>
      <c r="AE361" s="41" t="str">
        <f aca="false">IF(AD361="","",IFERROR(MATCH(AD361,INDEX(Boundaries!$B$2:$I$30,MATCH(CL361,Boundaries!$A$2:$A$30,0),0),1)-1,""))</f>
        <v/>
      </c>
      <c r="AF361" s="42" t="str">
        <f aca="false">IF(OR(AE361="",$E361=""),"",AE361-$E361)</f>
        <v/>
      </c>
      <c r="AG361" s="39"/>
      <c r="AH361" s="40" t="str">
        <f aca="false">IF(OR(AG361="",BY361=""),"",AG361/BY361*100)</f>
        <v/>
      </c>
      <c r="AI361" s="41" t="str">
        <f aca="false">IF(AH361="","",IFERROR(MATCH(AH361,INDEX(Boundaries!$B$2:$I$30,MATCH(CM361,Boundaries!$A$2:$A$30,0),0),1)-1,""))</f>
        <v/>
      </c>
      <c r="AJ361" s="42" t="str">
        <f aca="false">IF(OR(AI361="",$E361=""),"",AI361-$E361)</f>
        <v/>
      </c>
      <c r="AK361" s="39"/>
      <c r="AL361" s="40" t="str">
        <f aca="false">IF(OR(AK361="",BZ361=""),"",AK361/BZ361*100)</f>
        <v/>
      </c>
      <c r="AM361" s="41" t="str">
        <f aca="false">IF(AL361="","",IFERROR(MATCH(AL361,INDEX(Boundaries!$B$2:$I$30,MATCH(CN361,Boundaries!$A$2:$A$30,0),0),1)-1,""))</f>
        <v/>
      </c>
      <c r="AN361" s="42" t="str">
        <f aca="false">IF(OR(AM361="",$E361=""),"",AM361-$E361)</f>
        <v/>
      </c>
      <c r="AO361" s="39"/>
      <c r="AP361" s="40" t="str">
        <f aca="false">IF(OR(AO361="",CA361=""),"",AO361/CA361*100)</f>
        <v/>
      </c>
      <c r="AQ361" s="41" t="str">
        <f aca="false">IF(AP361="","",IFERROR(MATCH(AP361,INDEX(Boundaries!$B$2:$I$30,MATCH(CO361,Boundaries!$A$2:$A$30,0),0),1)-1,""))</f>
        <v/>
      </c>
      <c r="AR361" s="42" t="str">
        <f aca="false">IF(OR(AQ361="",$E361=""),"",AQ361-$E361)</f>
        <v/>
      </c>
      <c r="AS361" s="39"/>
      <c r="AT361" s="40" t="str">
        <f aca="false">IF(OR(AS361="",CB361=""),"",AS361/CB361*100)</f>
        <v/>
      </c>
      <c r="AU361" s="41" t="str">
        <f aca="false">IF(AT361="","",IFERROR(MATCH(AT361,INDEX(Boundaries!$B$2:$I$30,MATCH(CP361,Boundaries!$A$2:$A$30,0),0),1)-1,""))</f>
        <v/>
      </c>
      <c r="AV361" s="42" t="str">
        <f aca="false">IF(OR(AU361="",$E361=""),"",AU361-$E361)</f>
        <v/>
      </c>
      <c r="AW361" s="39"/>
      <c r="AX361" s="40" t="str">
        <f aca="false">IF(OR(AW361="",CC361=""),"",AW361/CC361*100)</f>
        <v/>
      </c>
      <c r="AY361" s="41" t="str">
        <f aca="false">IF(AX361="","",IFERROR(MATCH(AX361,INDEX(Boundaries!$B$2:$I$30,MATCH(CQ361,Boundaries!$A$2:$A$30,0),0),1)-1,""))</f>
        <v/>
      </c>
      <c r="AZ361" s="42" t="str">
        <f aca="false">IF(OR(AY361="",$E361=""),"",AY361-$E361)</f>
        <v/>
      </c>
      <c r="BA361" s="39"/>
      <c r="BB361" s="40" t="str">
        <f aca="false">IF(OR(BA361="",CD361=""),"",BA361/CD361*100)</f>
        <v/>
      </c>
      <c r="BC361" s="41" t="str">
        <f aca="false">IF(BB361="","",IFERROR(MATCH(BB361,INDEX(Boundaries!$B$2:$I$30,MATCH(CR361,Boundaries!$A$2:$A$30,0),0),1)-1,""))</f>
        <v/>
      </c>
      <c r="BD361" s="42" t="str">
        <f aca="false">IF(OR(BC361="",$E361=""),"",BC361-$E361)</f>
        <v/>
      </c>
      <c r="BE361" s="39"/>
      <c r="BF361" s="40" t="str">
        <f aca="false">IF(OR(BE361="",CE361=""),"",BE361/CE361*100)</f>
        <v/>
      </c>
      <c r="BG361" s="41" t="str">
        <f aca="false">IF(BF361="","",IFERROR(MATCH(BF361,INDEX(Boundaries!$B$2:$I$30,MATCH(CS361,Boundaries!$A$2:$A$30,0),0),1)-1,""))</f>
        <v/>
      </c>
      <c r="BH361" s="42" t="str">
        <f aca="false">IF(OR(BG361="",$E361=""),"",BG361-$E361)</f>
        <v/>
      </c>
      <c r="BI361" s="39"/>
      <c r="BJ361" s="40" t="str">
        <f aca="false">IF(OR(BI361="",CF361=""),"",BI361/CF361*100)</f>
        <v/>
      </c>
      <c r="BK361" s="41" t="str">
        <f aca="false">IF(BJ361="","",IFERROR(MATCH(BJ361,INDEX(Boundaries!$B$2:$I$30,MATCH(CT361,Boundaries!$A$2:$A$30,0),0),1)-1,""))</f>
        <v/>
      </c>
      <c r="BL361" s="42" t="str">
        <f aca="false">IF(OR(BK361="",$E361=""),"",BK361-$E361)</f>
        <v/>
      </c>
      <c r="BM361" s="39"/>
      <c r="BN361" s="40" t="str">
        <f aca="false">IF(OR(BM361="",CG361=""),"",BM361/CG361*100)</f>
        <v/>
      </c>
      <c r="BO361" s="41" t="str">
        <f aca="false">IF(BN361="","",IFERROR(MATCH(BN361,INDEX(Boundaries!$B$2:$I$30,MATCH(CU361,Boundaries!$A$2:$A$30,0),0),1)-1,""))</f>
        <v/>
      </c>
      <c r="BP361" s="42" t="str">
        <f aca="false">IF(OR(BO361="",$E361=""),"",BO361-$E361)</f>
        <v/>
      </c>
      <c r="BQ361" s="39"/>
      <c r="BR361" s="40" t="str">
        <f aca="false">IF(OR(BQ361="",CH361=""),"",BQ361/CH361*100)</f>
        <v/>
      </c>
      <c r="BS361" s="41" t="str">
        <f aca="false">IF(BR361="","",IFERROR(MATCH(BR361,INDEX(Boundaries!$B$2:$I$30,MATCH(CV361,Boundaries!$A$2:$A$30,0),0),1)-1,""))</f>
        <v/>
      </c>
      <c r="BT361" s="42" t="str">
        <f aca="false">IF(OR(BS361="",$E361=""),"",BS361-$E361)</f>
        <v/>
      </c>
      <c r="BU361" s="28" t="n">
        <f aca="false">IFERROR(INDEX(Assessments!$H$2:$H$600,MATCH($H361&amp;"|"&amp;$I361&amp;"|"&amp;$J361&amp;"|"&amp;1,Assessments!$A$2:$A$600,0)),"")</f>
        <v>15</v>
      </c>
      <c r="BV361" s="28" t="n">
        <f aca="false">IFERROR(INDEX(Assessments!$H$2:$H$600,MATCH($H361&amp;"|"&amp;$I361&amp;"|"&amp;$J361&amp;"|"&amp;2,Assessments!$A$2:$A$600,0)),"")</f>
        <v>10</v>
      </c>
      <c r="BW361" s="28" t="n">
        <f aca="false">IFERROR(INDEX(Assessments!$H$2:$H$600,MATCH($H361&amp;"|"&amp;$I361&amp;"|"&amp;$J361&amp;"|"&amp;3,Assessments!$A$2:$A$600,0)),"")</f>
        <v>24</v>
      </c>
      <c r="BX361" s="28" t="n">
        <f aca="false">IFERROR(INDEX(Assessments!$H$2:$H$600,MATCH($H361&amp;"|"&amp;$I361&amp;"|"&amp;$J361&amp;"|"&amp;4,Assessments!$A$2:$A$600,0)),"")</f>
        <v>15</v>
      </c>
      <c r="BY361" s="28" t="n">
        <f aca="false">IFERROR(INDEX(Assessments!$H$2:$H$600,MATCH($H361&amp;"|"&amp;$I361&amp;"|"&amp;$J361&amp;"|"&amp;5,Assessments!$A$2:$A$600,0)),"")</f>
        <v>15</v>
      </c>
      <c r="BZ361" s="28" t="n">
        <f aca="false">IFERROR(INDEX(Assessments!$H$2:$H$600,MATCH($H361&amp;"|"&amp;$I361&amp;"|"&amp;$J361&amp;"|"&amp;6,Assessments!$A$2:$A$600,0)),"")</f>
        <v>15</v>
      </c>
      <c r="CA361" s="28" t="n">
        <f aca="false">IFERROR(INDEX(Assessments!$H$2:$H$600,MATCH($H361&amp;"|"&amp;$I361&amp;"|"&amp;$J361&amp;"|"&amp;7,Assessments!$A$2:$A$600,0)),"")</f>
        <v>24</v>
      </c>
      <c r="CB361" s="28" t="n">
        <f aca="false">IFERROR(INDEX(Assessments!$H$2:$H$600,MATCH($H361&amp;"|"&amp;$I361&amp;"|"&amp;$J361&amp;"|"&amp;8,Assessments!$A$2:$A$600,0)),"")</f>
        <v>30</v>
      </c>
      <c r="CC361" s="28" t="n">
        <f aca="false">IFERROR(INDEX(Assessments!$H$2:$H$600,MATCH($H361&amp;"|"&amp;$I361&amp;"|"&amp;$J361&amp;"|"&amp;9,Assessments!$A$2:$A$600,0)),"")</f>
        <v>15</v>
      </c>
      <c r="CD361" s="28" t="str">
        <f aca="false">IFERROR(INDEX(Assessments!$H$2:$H$600,MATCH($H361&amp;"|"&amp;$I361&amp;"|"&amp;$J361&amp;"|"&amp;10,Assessments!$A$2:$A$600,0)),"")</f>
        <v/>
      </c>
      <c r="CE361" s="28" t="str">
        <f aca="false">IFERROR(INDEX(Assessments!$H$2:$H$600,MATCH($H361&amp;"|"&amp;$I361&amp;"|"&amp;$J361&amp;"|"&amp;11,Assessments!$A$2:$A$600,0)),"")</f>
        <v/>
      </c>
      <c r="CF361" s="28" t="str">
        <f aca="false">IFERROR(INDEX(Assessments!$H$2:$H$600,MATCH($H361&amp;"|"&amp;$I361&amp;"|"&amp;$J361&amp;"|"&amp;12,Assessments!$A$2:$A$600,0)),"")</f>
        <v/>
      </c>
      <c r="CG361" s="28" t="str">
        <f aca="false">IFERROR(INDEX(Assessments!$H$2:$H$600,MATCH($H361&amp;"|"&amp;$I361&amp;"|"&amp;$J361&amp;"|"&amp;13,Assessments!$A$2:$A$600,0)),"")</f>
        <v/>
      </c>
      <c r="CH361" s="28" t="str">
        <f aca="false">IFERROR(INDEX(Assessments!$H$2:$H$600,MATCH($H361&amp;"|"&amp;$I361&amp;"|"&amp;$J361&amp;"|"&amp;14,Assessments!$A$2:$A$600,0)),"")</f>
        <v/>
      </c>
      <c r="CI361" s="28" t="str">
        <f aca="false">IFERROR(INDEX(Assessments!$I$2:$I$600,MATCH($H361&amp;"|"&amp;$I361&amp;"|"&amp;$J361&amp;"|"&amp;1,Assessments!$A$2:$A$600,0)),"")</f>
        <v>Hist P3 essay</v>
      </c>
      <c r="CJ361" s="28" t="str">
        <f aca="false">IFERROR(INDEX(Assessments!$I$2:$I$600,MATCH($H361&amp;"|"&amp;$I361&amp;"|"&amp;$J361&amp;"|"&amp;2,Assessments!$A$2:$A$600,0)),"")</f>
        <v>Hist P2 partial</v>
      </c>
      <c r="CK361" s="28" t="str">
        <f aca="false">IFERROR(INDEX(Assessments!$I$2:$I$600,MATCH($H361&amp;"|"&amp;$I361&amp;"|"&amp;$J361&amp;"|"&amp;3,Assessments!$A$2:$A$600,0)),"")</f>
        <v>Hist P2 partial</v>
      </c>
      <c r="CL361" s="28" t="str">
        <f aca="false">IFERROR(INDEX(Assessments!$I$2:$I$600,MATCH($H361&amp;"|"&amp;$I361&amp;"|"&amp;$J361&amp;"|"&amp;4,Assessments!$A$2:$A$600,0)),"")</f>
        <v>Hist P3 essay</v>
      </c>
      <c r="CM361" s="28" t="str">
        <f aca="false">IFERROR(INDEX(Assessments!$I$2:$I$600,MATCH($H361&amp;"|"&amp;$I361&amp;"|"&amp;$J361&amp;"|"&amp;5,Assessments!$A$2:$A$600,0)),"")</f>
        <v>Hist P3 essay</v>
      </c>
      <c r="CN361" s="28" t="str">
        <f aca="false">IFERROR(INDEX(Assessments!$I$2:$I$600,MATCH($H361&amp;"|"&amp;$I361&amp;"|"&amp;$J361&amp;"|"&amp;6,Assessments!$A$2:$A$600,0)),"")</f>
        <v>Hist P3 essay</v>
      </c>
      <c r="CO361" s="28" t="str">
        <f aca="false">IFERROR(INDEX(Assessments!$I$2:$I$600,MATCH($H361&amp;"|"&amp;$I361&amp;"|"&amp;$J361&amp;"|"&amp;7,Assessments!$A$2:$A$600,0)),"")</f>
        <v>Hist Paper 1</v>
      </c>
      <c r="CP361" s="28" t="str">
        <f aca="false">IFERROR(INDEX(Assessments!$I$2:$I$600,MATCH($H361&amp;"|"&amp;$I361&amp;"|"&amp;$J361&amp;"|"&amp;8,Assessments!$A$2:$A$600,0)),"")</f>
        <v>Hist P2 full</v>
      </c>
      <c r="CQ361" s="28" t="str">
        <f aca="false">IFERROR(INDEX(Assessments!$I$2:$I$600,MATCH($H361&amp;"|"&amp;$I361&amp;"|"&amp;$J361&amp;"|"&amp;9,Assessments!$A$2:$A$600,0)),"")</f>
        <v>Hist P3 full</v>
      </c>
      <c r="CR361" s="28" t="str">
        <f aca="false">IFERROR(INDEX(Assessments!$I$2:$I$600,MATCH($H361&amp;"|"&amp;$I361&amp;"|"&amp;$J361&amp;"|"&amp;10,Assessments!$A$2:$A$600,0)),"")</f>
        <v/>
      </c>
      <c r="CS361" s="28" t="str">
        <f aca="false">IFERROR(INDEX(Assessments!$I$2:$I$600,MATCH($H361&amp;"|"&amp;$I361&amp;"|"&amp;$J361&amp;"|"&amp;11,Assessments!$A$2:$A$600,0)),"")</f>
        <v/>
      </c>
      <c r="CT361" s="28" t="str">
        <f aca="false">IFERROR(INDEX(Assessments!$I$2:$I$600,MATCH($H361&amp;"|"&amp;$I361&amp;"|"&amp;$J361&amp;"|"&amp;12,Assessments!$A$2:$A$600,0)),"")</f>
        <v/>
      </c>
      <c r="CU361" s="28" t="str">
        <f aca="false">IFERROR(INDEX(Assessments!$I$2:$I$600,MATCH($H361&amp;"|"&amp;$I361&amp;"|"&amp;$J361&amp;"|"&amp;13,Assessments!$A$2:$A$600,0)),"")</f>
        <v/>
      </c>
      <c r="CV361" s="28" t="str">
        <f aca="false">IFERROR(INDEX(Assessments!$I$2:$I$600,MATCH($H361&amp;"|"&amp;$I361&amp;"|"&amp;$J361&amp;"|"&amp;14,Assessments!$A$2:$A$600,0)),"")</f>
        <v/>
      </c>
      <c r="CW361" s="28" t="n">
        <f aca="false">IFERROR(INDEX(Assessments!$J$2:$J$600,MATCH($H361&amp;"|"&amp;$I361&amp;"|"&amp;$J361&amp;"|"&amp;1,Assessments!$A$2:$A$600,0)),0)</f>
        <v>1</v>
      </c>
      <c r="CX361" s="28" t="n">
        <f aca="false">IFERROR(INDEX(Assessments!$J$2:$J$600,MATCH($H361&amp;"|"&amp;$I361&amp;"|"&amp;$J361&amp;"|"&amp;2,Assessments!$A$2:$A$600,0)),0)</f>
        <v>1</v>
      </c>
      <c r="CY361" s="28" t="n">
        <f aca="false">IFERROR(INDEX(Assessments!$J$2:$J$600,MATCH($H361&amp;"|"&amp;$I361&amp;"|"&amp;$J361&amp;"|"&amp;3,Assessments!$A$2:$A$600,0)),0)</f>
        <v>1</v>
      </c>
      <c r="CZ361" s="28" t="n">
        <f aca="false">IFERROR(INDEX(Assessments!$J$2:$J$600,MATCH($H361&amp;"|"&amp;$I361&amp;"|"&amp;$J361&amp;"|"&amp;4,Assessments!$A$2:$A$600,0)),0)</f>
        <v>1</v>
      </c>
      <c r="DA361" s="28" t="n">
        <f aca="false">IFERROR(INDEX(Assessments!$J$2:$J$600,MATCH($H361&amp;"|"&amp;$I361&amp;"|"&amp;$J361&amp;"|"&amp;5,Assessments!$A$2:$A$600,0)),0)</f>
        <v>1</v>
      </c>
      <c r="DB361" s="28" t="n">
        <f aca="false">IFERROR(INDEX(Assessments!$J$2:$J$600,MATCH($H361&amp;"|"&amp;$I361&amp;"|"&amp;$J361&amp;"|"&amp;6,Assessments!$A$2:$A$600,0)),0)</f>
        <v>1</v>
      </c>
      <c r="DC361" s="28" t="n">
        <f aca="false">IFERROR(INDEX(Assessments!$J$2:$J$600,MATCH($H361&amp;"|"&amp;$I361&amp;"|"&amp;$J361&amp;"|"&amp;7,Assessments!$A$2:$A$600,0)),0)</f>
        <v>2</v>
      </c>
      <c r="DD361" s="28" t="n">
        <f aca="false">IFERROR(INDEX(Assessments!$J$2:$J$600,MATCH($H361&amp;"|"&amp;$I361&amp;"|"&amp;$J361&amp;"|"&amp;8,Assessments!$A$2:$A$600,0)),0)</f>
        <v>2</v>
      </c>
      <c r="DE361" s="28" t="n">
        <f aca="false">IFERROR(INDEX(Assessments!$J$2:$J$600,MATCH($H361&amp;"|"&amp;$I361&amp;"|"&amp;$J361&amp;"|"&amp;9,Assessments!$A$2:$A$600,0)),0)</f>
        <v>2</v>
      </c>
      <c r="DF361" s="28" t="n">
        <f aca="false">IFERROR(INDEX(Assessments!$J$2:$J$600,MATCH($H361&amp;"|"&amp;$I361&amp;"|"&amp;$J361&amp;"|"&amp;10,Assessments!$A$2:$A$600,0)),0)</f>
        <v>0</v>
      </c>
      <c r="DG361" s="28" t="n">
        <f aca="false">IFERROR(INDEX(Assessments!$J$2:$J$600,MATCH($H361&amp;"|"&amp;$I361&amp;"|"&amp;$J361&amp;"|"&amp;11,Assessments!$A$2:$A$600,0)),0)</f>
        <v>0</v>
      </c>
      <c r="DH361" s="28" t="n">
        <f aca="false">IFERROR(INDEX(Assessments!$J$2:$J$600,MATCH($H361&amp;"|"&amp;$I361&amp;"|"&amp;$J361&amp;"|"&amp;12,Assessments!$A$2:$A$600,0)),0)</f>
        <v>0</v>
      </c>
      <c r="DI361" s="28" t="n">
        <f aca="false">IFERROR(INDEX(Assessments!$J$2:$J$600,MATCH($H361&amp;"|"&amp;$I361&amp;"|"&amp;$J361&amp;"|"&amp;13,Assessments!$A$2:$A$600,0)),0)</f>
        <v>0</v>
      </c>
      <c r="DJ361" s="28" t="n">
        <f aca="false">IFERROR(INDEX(Assessments!$J$2:$J$600,MATCH($H361&amp;"|"&amp;$I361&amp;"|"&amp;$J361&amp;"|"&amp;14,Assessments!$A$2:$A$600,0)),0)</f>
        <v>0</v>
      </c>
      <c r="DK361" s="28" t="n">
        <f aca="false">S361</f>
        <v>3</v>
      </c>
      <c r="DL361" s="28" t="n">
        <f aca="false">W361</f>
        <v>3</v>
      </c>
      <c r="DM361" s="28" t="str">
        <f aca="false">AA361</f>
        <v/>
      </c>
      <c r="DN361" s="28" t="str">
        <f aca="false">AE361</f>
        <v/>
      </c>
      <c r="DO361" s="28" t="str">
        <f aca="false">AI361</f>
        <v/>
      </c>
      <c r="DP361" s="28" t="str">
        <f aca="false">AM361</f>
        <v/>
      </c>
      <c r="DQ361" s="28" t="str">
        <f aca="false">AQ361</f>
        <v/>
      </c>
      <c r="DR361" s="28" t="str">
        <f aca="false">AU361</f>
        <v/>
      </c>
      <c r="DS361" s="28" t="str">
        <f aca="false">AY361</f>
        <v/>
      </c>
      <c r="DT361" s="28" t="str">
        <f aca="false">BC361</f>
        <v/>
      </c>
      <c r="DU361" s="28" t="str">
        <f aca="false">BG361</f>
        <v/>
      </c>
      <c r="DV361" s="28" t="str">
        <f aca="false">BK361</f>
        <v/>
      </c>
      <c r="DW361" s="28" t="str">
        <f aca="false">BO361</f>
        <v/>
      </c>
      <c r="DX361" s="28" t="str">
        <f aca="false">BS361</f>
        <v/>
      </c>
      <c r="DY361" s="28" t="n">
        <f aca="false">IF(ISNUMBER(S361),1,"")</f>
        <v>1</v>
      </c>
      <c r="DZ361" s="28" t="n">
        <f aca="false">IF(ISNUMBER(W361),2,"")</f>
        <v>2</v>
      </c>
      <c r="EA361" s="28" t="str">
        <f aca="false">IF(ISNUMBER(AA361),3,"")</f>
        <v/>
      </c>
      <c r="EB361" s="28" t="str">
        <f aca="false">IF(ISNUMBER(AE361),4,"")</f>
        <v/>
      </c>
      <c r="EC361" s="28" t="str">
        <f aca="false">IF(ISNUMBER(AI361),5,"")</f>
        <v/>
      </c>
      <c r="ED361" s="28" t="str">
        <f aca="false">IF(ISNUMBER(AM361),6,"")</f>
        <v/>
      </c>
      <c r="EE361" s="28" t="str">
        <f aca="false">IF(ISNUMBER(AQ361),7,"")</f>
        <v/>
      </c>
      <c r="EF361" s="28" t="str">
        <f aca="false">IF(ISNUMBER(AU361),8,"")</f>
        <v/>
      </c>
      <c r="EG361" s="28" t="str">
        <f aca="false">IF(ISNUMBER(AY361),9,"")</f>
        <v/>
      </c>
      <c r="EH361" s="28" t="str">
        <f aca="false">IF(ISNUMBER(BC361),10,"")</f>
        <v/>
      </c>
      <c r="EI361" s="28" t="str">
        <f aca="false">IF(ISNUMBER(BG361),11,"")</f>
        <v/>
      </c>
      <c r="EJ361" s="28" t="str">
        <f aca="false">IF(ISNUMBER(BK361),12,"")</f>
        <v/>
      </c>
      <c r="EK361" s="28" t="str">
        <f aca="false">IF(ISNUMBER(BO361),13,"")</f>
        <v/>
      </c>
      <c r="EL361" s="28" t="str">
        <f aca="false">IF(ISNUMBER(BS361),14,"")</f>
        <v/>
      </c>
      <c r="EM361" s="28" t="n">
        <f aca="false">IF(ISNUMBER(R361),R361*CW361,0)</f>
        <v>33.3333333333333</v>
      </c>
      <c r="EN361" s="28" t="n">
        <f aca="false">IF(ISNUMBER(V361),V361*CX361,0)</f>
        <v>40</v>
      </c>
      <c r="EO361" s="28" t="n">
        <f aca="false">IF(ISNUMBER(Z361),Z361*CY361,0)</f>
        <v>0</v>
      </c>
      <c r="EP361" s="28" t="n">
        <f aca="false">IF(ISNUMBER(AD361),AD361*CZ361,0)</f>
        <v>0</v>
      </c>
      <c r="EQ361" s="28" t="n">
        <f aca="false">IF(ISNUMBER(AH361),AH361*DA361,0)</f>
        <v>0</v>
      </c>
      <c r="ER361" s="28" t="n">
        <f aca="false">IF(ISNUMBER(AL361),AL361*DB361,0)</f>
        <v>0</v>
      </c>
      <c r="ES361" s="28" t="n">
        <f aca="false">IF(ISNUMBER(AP361),AP361*DC361,0)</f>
        <v>0</v>
      </c>
      <c r="ET361" s="28" t="n">
        <f aca="false">IF(ISNUMBER(AT361),AT361*DD361,0)</f>
        <v>0</v>
      </c>
      <c r="EU361" s="28" t="n">
        <f aca="false">IF(ISNUMBER(AX361),AX361*DE361,0)</f>
        <v>0</v>
      </c>
      <c r="EV361" s="28" t="n">
        <f aca="false">IF(ISNUMBER(BB361),BB361*DF361,0)</f>
        <v>0</v>
      </c>
      <c r="EW361" s="28" t="n">
        <f aca="false">IF(ISNUMBER(BF361),BF361*DG361,0)</f>
        <v>0</v>
      </c>
      <c r="EX361" s="28" t="n">
        <f aca="false">IF(ISNUMBER(BJ361),BJ361*DH361,0)</f>
        <v>0</v>
      </c>
      <c r="EY361" s="28" t="n">
        <f aca="false">IF(ISNUMBER(BN361),BN361*DI361,0)</f>
        <v>0</v>
      </c>
      <c r="EZ361" s="28" t="n">
        <f aca="false">IF(ISNUMBER(BR361),BR361*DJ361,0)</f>
        <v>0</v>
      </c>
      <c r="FA361" s="28" t="n">
        <f aca="false">IF(ISNUMBER(R361),CW361,0)</f>
        <v>1</v>
      </c>
      <c r="FB361" s="28" t="n">
        <f aca="false">IF(ISNUMBER(V361),CX361,0)</f>
        <v>1</v>
      </c>
      <c r="FC361" s="28" t="n">
        <f aca="false">IF(ISNUMBER(Z361),CY361,0)</f>
        <v>0</v>
      </c>
      <c r="FD361" s="28" t="n">
        <f aca="false">IF(ISNUMBER(AD361),CZ361,0)</f>
        <v>0</v>
      </c>
      <c r="FE361" s="28" t="n">
        <f aca="false">IF(ISNUMBER(AH361),DA361,0)</f>
        <v>0</v>
      </c>
      <c r="FF361" s="28" t="n">
        <f aca="false">IF(ISNUMBER(AL361),DB361,0)</f>
        <v>0</v>
      </c>
      <c r="FG361" s="28" t="n">
        <f aca="false">IF(ISNUMBER(AP361),DC361,0)</f>
        <v>0</v>
      </c>
      <c r="FH361" s="28" t="n">
        <f aca="false">IF(ISNUMBER(AT361),DD361,0)</f>
        <v>0</v>
      </c>
      <c r="FI361" s="28" t="n">
        <f aca="false">IF(ISNUMBER(AX361),DE361,0)</f>
        <v>0</v>
      </c>
      <c r="FJ361" s="28" t="n">
        <f aca="false">IF(ISNUMBER(BB361),DF361,0)</f>
        <v>0</v>
      </c>
      <c r="FK361" s="28" t="n">
        <f aca="false">IF(ISNUMBER(BF361),DG361,0)</f>
        <v>0</v>
      </c>
      <c r="FL361" s="28" t="n">
        <f aca="false">IF(ISNUMBER(BJ361),DH361,0)</f>
        <v>0</v>
      </c>
      <c r="FM361" s="28" t="n">
        <f aca="false">IF(ISNUMBER(BN361),DI361,0)</f>
        <v>0</v>
      </c>
      <c r="FN361" s="28" t="n">
        <f aca="false">IF(ISNUMBER(BR361),DJ361,0)</f>
        <v>0</v>
      </c>
      <c r="FO361" s="28" t="str">
        <f aca="false">IFERROR(INDEX(Lists!$G$2:$G$20,MATCH($I361&amp;"|"&amp;$J361,Lists!$F$2:$F$20,0)),"")</f>
        <v>Hist Overall HL</v>
      </c>
    </row>
    <row r="362" customFormat="false" ht="19.5" hidden="false" customHeight="true" outlineLevel="0" collapsed="false">
      <c r="A362" s="29" t="s">
        <v>666</v>
      </c>
      <c r="B362" s="29" t="s">
        <v>667</v>
      </c>
      <c r="C362" s="30" t="s">
        <v>192</v>
      </c>
      <c r="D362" s="30" t="s">
        <v>415</v>
      </c>
      <c r="E362" s="31"/>
      <c r="F362" s="30"/>
      <c r="G362" s="30"/>
      <c r="H362" s="32" t="s">
        <v>428</v>
      </c>
      <c r="I362" s="33" t="s">
        <v>416</v>
      </c>
      <c r="J362" s="32" t="s">
        <v>25</v>
      </c>
      <c r="K362" s="34" t="str">
        <f aca="false">IF(OR(M362="",$E362=""),"",M362-$E362)</f>
        <v/>
      </c>
      <c r="L362" s="35" t="n">
        <f aca="false">IF(SUM(FA362:FN362)=0,"",SUM(EM362:EZ362)/SUM(FA362:FN362))</f>
        <v>40</v>
      </c>
      <c r="M362" s="36" t="n">
        <f aca="false">IF(OR(L362="",FO362=""),"",IFERROR(MATCH(L362,INDEX(Boundaries!$B$2:$I$30,MATCH(FO362,Boundaries!$A$2:$A$30,0),0),1)-1,""))</f>
        <v>4</v>
      </c>
      <c r="N362" s="37" t="n">
        <f aca="false">IF(COUNT($DY362:$EL362)&lt;2,"",INDEX($DK362:$DX362,MAX($DY362:$EL362))-INDEX($DK362:$DX362,MIN($DY362:$EL362)))</f>
        <v>-1</v>
      </c>
      <c r="O362" s="37" t="n">
        <f aca="false">IF(COUNT($DY362:$EL362)&lt;2,"",INDEX($DK362:$DX362,MAX($DY362:$EL362))-INDEX($DK362:$DX362,LARGE($DY362:$EL362,2)))</f>
        <v>-1</v>
      </c>
      <c r="P362" s="38" t="str">
        <f aca="false">IF(K362="","",IF(K362&gt;=0,"On/above target",IF(AND(N362&lt;&gt;"",N362&gt;=0.5),"Improving towards target",IF(AND(O362&lt;&gt;"",O362&lt;=-0.5),"Declining","Stable below target"))))</f>
        <v/>
      </c>
      <c r="Q362" s="39" t="n">
        <v>6</v>
      </c>
      <c r="R362" s="40" t="n">
        <f aca="false">IF(OR(Q362="",BU362=""),"",Q362/BU362*100)</f>
        <v>40</v>
      </c>
      <c r="S362" s="41" t="n">
        <f aca="false">IF(R362="","",IFERROR(MATCH(R362,INDEX(Boundaries!$B$2:$I$30,MATCH(CI362,Boundaries!$A$2:$A$30,0),0),1)-1,""))</f>
        <v>4</v>
      </c>
      <c r="T362" s="42" t="str">
        <f aca="false">IF(OR(S362="",$E362=""),"",S362-$E362)</f>
        <v/>
      </c>
      <c r="U362" s="39" t="n">
        <v>4</v>
      </c>
      <c r="V362" s="40" t="n">
        <f aca="false">IF(OR(U362="",BV362=""),"",U362/BV362*100)</f>
        <v>40</v>
      </c>
      <c r="W362" s="41" t="n">
        <f aca="false">IF(V362="","",IFERROR(MATCH(V362,INDEX(Boundaries!$B$2:$I$30,MATCH(CJ362,Boundaries!$A$2:$A$30,0),0),1)-1,""))</f>
        <v>3</v>
      </c>
      <c r="X362" s="42" t="str">
        <f aca="false">IF(OR(W362="",$E362=""),"",W362-$E362)</f>
        <v/>
      </c>
      <c r="Y362" s="39"/>
      <c r="Z362" s="40" t="str">
        <f aca="false">IF(OR(Y362="",BW362=""),"",Y362/BW362*100)</f>
        <v/>
      </c>
      <c r="AA362" s="41" t="str">
        <f aca="false">IF(Z362="","",IFERROR(MATCH(Z362,INDEX(Boundaries!$B$2:$I$30,MATCH(CK362,Boundaries!$A$2:$A$30,0),0),1)-1,""))</f>
        <v/>
      </c>
      <c r="AB362" s="42" t="str">
        <f aca="false">IF(OR(AA362="",$E362=""),"",AA362-$E362)</f>
        <v/>
      </c>
      <c r="AC362" s="39"/>
      <c r="AD362" s="40" t="str">
        <f aca="false">IF(OR(AC362="",BX362=""),"",AC362/BX362*100)</f>
        <v/>
      </c>
      <c r="AE362" s="41" t="str">
        <f aca="false">IF(AD362="","",IFERROR(MATCH(AD362,INDEX(Boundaries!$B$2:$I$30,MATCH(CL362,Boundaries!$A$2:$A$30,0),0),1)-1,""))</f>
        <v/>
      </c>
      <c r="AF362" s="42" t="str">
        <f aca="false">IF(OR(AE362="",$E362=""),"",AE362-$E362)</f>
        <v/>
      </c>
      <c r="AG362" s="39"/>
      <c r="AH362" s="40" t="str">
        <f aca="false">IF(OR(AG362="",BY362=""),"",AG362/BY362*100)</f>
        <v/>
      </c>
      <c r="AI362" s="41" t="str">
        <f aca="false">IF(AH362="","",IFERROR(MATCH(AH362,INDEX(Boundaries!$B$2:$I$30,MATCH(CM362,Boundaries!$A$2:$A$30,0),0),1)-1,""))</f>
        <v/>
      </c>
      <c r="AJ362" s="42" t="str">
        <f aca="false">IF(OR(AI362="",$E362=""),"",AI362-$E362)</f>
        <v/>
      </c>
      <c r="AK362" s="39"/>
      <c r="AL362" s="40" t="str">
        <f aca="false">IF(OR(AK362="",BZ362=""),"",AK362/BZ362*100)</f>
        <v/>
      </c>
      <c r="AM362" s="41" t="str">
        <f aca="false">IF(AL362="","",IFERROR(MATCH(AL362,INDEX(Boundaries!$B$2:$I$30,MATCH(CN362,Boundaries!$A$2:$A$30,0),0),1)-1,""))</f>
        <v/>
      </c>
      <c r="AN362" s="42" t="str">
        <f aca="false">IF(OR(AM362="",$E362=""),"",AM362-$E362)</f>
        <v/>
      </c>
      <c r="AO362" s="39"/>
      <c r="AP362" s="40" t="str">
        <f aca="false">IF(OR(AO362="",CA362=""),"",AO362/CA362*100)</f>
        <v/>
      </c>
      <c r="AQ362" s="41" t="str">
        <f aca="false">IF(AP362="","",IFERROR(MATCH(AP362,INDEX(Boundaries!$B$2:$I$30,MATCH(CO362,Boundaries!$A$2:$A$30,0),0),1)-1,""))</f>
        <v/>
      </c>
      <c r="AR362" s="42" t="str">
        <f aca="false">IF(OR(AQ362="",$E362=""),"",AQ362-$E362)</f>
        <v/>
      </c>
      <c r="AS362" s="39"/>
      <c r="AT362" s="40" t="str">
        <f aca="false">IF(OR(AS362="",CB362=""),"",AS362/CB362*100)</f>
        <v/>
      </c>
      <c r="AU362" s="41" t="str">
        <f aca="false">IF(AT362="","",IFERROR(MATCH(AT362,INDEX(Boundaries!$B$2:$I$30,MATCH(CP362,Boundaries!$A$2:$A$30,0),0),1)-1,""))</f>
        <v/>
      </c>
      <c r="AV362" s="42" t="str">
        <f aca="false">IF(OR(AU362="",$E362=""),"",AU362-$E362)</f>
        <v/>
      </c>
      <c r="AW362" s="39"/>
      <c r="AX362" s="40" t="str">
        <f aca="false">IF(OR(AW362="",CC362=""),"",AW362/CC362*100)</f>
        <v/>
      </c>
      <c r="AY362" s="41" t="str">
        <f aca="false">IF(AX362="","",IFERROR(MATCH(AX362,INDEX(Boundaries!$B$2:$I$30,MATCH(CQ362,Boundaries!$A$2:$A$30,0),0),1)-1,""))</f>
        <v/>
      </c>
      <c r="AZ362" s="42" t="str">
        <f aca="false">IF(OR(AY362="",$E362=""),"",AY362-$E362)</f>
        <v/>
      </c>
      <c r="BA362" s="39"/>
      <c r="BB362" s="40" t="str">
        <f aca="false">IF(OR(BA362="",CD362=""),"",BA362/CD362*100)</f>
        <v/>
      </c>
      <c r="BC362" s="41" t="str">
        <f aca="false">IF(BB362="","",IFERROR(MATCH(BB362,INDEX(Boundaries!$B$2:$I$30,MATCH(CR362,Boundaries!$A$2:$A$30,0),0),1)-1,""))</f>
        <v/>
      </c>
      <c r="BD362" s="42" t="str">
        <f aca="false">IF(OR(BC362="",$E362=""),"",BC362-$E362)</f>
        <v/>
      </c>
      <c r="BE362" s="39"/>
      <c r="BF362" s="40" t="str">
        <f aca="false">IF(OR(BE362="",CE362=""),"",BE362/CE362*100)</f>
        <v/>
      </c>
      <c r="BG362" s="41" t="str">
        <f aca="false">IF(BF362="","",IFERROR(MATCH(BF362,INDEX(Boundaries!$B$2:$I$30,MATCH(CS362,Boundaries!$A$2:$A$30,0),0),1)-1,""))</f>
        <v/>
      </c>
      <c r="BH362" s="42" t="str">
        <f aca="false">IF(OR(BG362="",$E362=""),"",BG362-$E362)</f>
        <v/>
      </c>
      <c r="BI362" s="39"/>
      <c r="BJ362" s="40" t="str">
        <f aca="false">IF(OR(BI362="",CF362=""),"",BI362/CF362*100)</f>
        <v/>
      </c>
      <c r="BK362" s="41" t="str">
        <f aca="false">IF(BJ362="","",IFERROR(MATCH(BJ362,INDEX(Boundaries!$B$2:$I$30,MATCH(CT362,Boundaries!$A$2:$A$30,0),0),1)-1,""))</f>
        <v/>
      </c>
      <c r="BL362" s="42" t="str">
        <f aca="false">IF(OR(BK362="",$E362=""),"",BK362-$E362)</f>
        <v/>
      </c>
      <c r="BM362" s="39"/>
      <c r="BN362" s="40" t="str">
        <f aca="false">IF(OR(BM362="",CG362=""),"",BM362/CG362*100)</f>
        <v/>
      </c>
      <c r="BO362" s="41" t="str">
        <f aca="false">IF(BN362="","",IFERROR(MATCH(BN362,INDEX(Boundaries!$B$2:$I$30,MATCH(CU362,Boundaries!$A$2:$A$30,0),0),1)-1,""))</f>
        <v/>
      </c>
      <c r="BP362" s="42" t="str">
        <f aca="false">IF(OR(BO362="",$E362=""),"",BO362-$E362)</f>
        <v/>
      </c>
      <c r="BQ362" s="39"/>
      <c r="BR362" s="40" t="str">
        <f aca="false">IF(OR(BQ362="",CH362=""),"",BQ362/CH362*100)</f>
        <v/>
      </c>
      <c r="BS362" s="41" t="str">
        <f aca="false">IF(BR362="","",IFERROR(MATCH(BR362,INDEX(Boundaries!$B$2:$I$30,MATCH(CV362,Boundaries!$A$2:$A$30,0),0),1)-1,""))</f>
        <v/>
      </c>
      <c r="BT362" s="42" t="str">
        <f aca="false">IF(OR(BS362="",$E362=""),"",BS362-$E362)</f>
        <v/>
      </c>
      <c r="BU362" s="28" t="n">
        <f aca="false">IFERROR(INDEX(Assessments!$H$2:$H$600,MATCH($H362&amp;"|"&amp;$I362&amp;"|"&amp;$J362&amp;"|"&amp;1,Assessments!$A$2:$A$600,0)),"")</f>
        <v>15</v>
      </c>
      <c r="BV362" s="28" t="n">
        <f aca="false">IFERROR(INDEX(Assessments!$H$2:$H$600,MATCH($H362&amp;"|"&amp;$I362&amp;"|"&amp;$J362&amp;"|"&amp;2,Assessments!$A$2:$A$600,0)),"")</f>
        <v>10</v>
      </c>
      <c r="BW362" s="28" t="n">
        <f aca="false">IFERROR(INDEX(Assessments!$H$2:$H$600,MATCH($H362&amp;"|"&amp;$I362&amp;"|"&amp;$J362&amp;"|"&amp;3,Assessments!$A$2:$A$600,0)),"")</f>
        <v>24</v>
      </c>
      <c r="BX362" s="28" t="n">
        <f aca="false">IFERROR(INDEX(Assessments!$H$2:$H$600,MATCH($H362&amp;"|"&amp;$I362&amp;"|"&amp;$J362&amp;"|"&amp;4,Assessments!$A$2:$A$600,0)),"")</f>
        <v>15</v>
      </c>
      <c r="BY362" s="28" t="n">
        <f aca="false">IFERROR(INDEX(Assessments!$H$2:$H$600,MATCH($H362&amp;"|"&amp;$I362&amp;"|"&amp;$J362&amp;"|"&amp;5,Assessments!$A$2:$A$600,0)),"")</f>
        <v>15</v>
      </c>
      <c r="BZ362" s="28" t="n">
        <f aca="false">IFERROR(INDEX(Assessments!$H$2:$H$600,MATCH($H362&amp;"|"&amp;$I362&amp;"|"&amp;$J362&amp;"|"&amp;6,Assessments!$A$2:$A$600,0)),"")</f>
        <v>15</v>
      </c>
      <c r="CA362" s="28" t="n">
        <f aca="false">IFERROR(INDEX(Assessments!$H$2:$H$600,MATCH($H362&amp;"|"&amp;$I362&amp;"|"&amp;$J362&amp;"|"&amp;7,Assessments!$A$2:$A$600,0)),"")</f>
        <v>24</v>
      </c>
      <c r="CB362" s="28" t="n">
        <f aca="false">IFERROR(INDEX(Assessments!$H$2:$H$600,MATCH($H362&amp;"|"&amp;$I362&amp;"|"&amp;$J362&amp;"|"&amp;8,Assessments!$A$2:$A$600,0)),"")</f>
        <v>30</v>
      </c>
      <c r="CC362" s="28" t="n">
        <f aca="false">IFERROR(INDEX(Assessments!$H$2:$H$600,MATCH($H362&amp;"|"&amp;$I362&amp;"|"&amp;$J362&amp;"|"&amp;9,Assessments!$A$2:$A$600,0)),"")</f>
        <v>15</v>
      </c>
      <c r="CD362" s="28" t="str">
        <f aca="false">IFERROR(INDEX(Assessments!$H$2:$H$600,MATCH($H362&amp;"|"&amp;$I362&amp;"|"&amp;$J362&amp;"|"&amp;10,Assessments!$A$2:$A$600,0)),"")</f>
        <v/>
      </c>
      <c r="CE362" s="28" t="str">
        <f aca="false">IFERROR(INDEX(Assessments!$H$2:$H$600,MATCH($H362&amp;"|"&amp;$I362&amp;"|"&amp;$J362&amp;"|"&amp;11,Assessments!$A$2:$A$600,0)),"")</f>
        <v/>
      </c>
      <c r="CF362" s="28" t="str">
        <f aca="false">IFERROR(INDEX(Assessments!$H$2:$H$600,MATCH($H362&amp;"|"&amp;$I362&amp;"|"&amp;$J362&amp;"|"&amp;12,Assessments!$A$2:$A$600,0)),"")</f>
        <v/>
      </c>
      <c r="CG362" s="28" t="str">
        <f aca="false">IFERROR(INDEX(Assessments!$H$2:$H$600,MATCH($H362&amp;"|"&amp;$I362&amp;"|"&amp;$J362&amp;"|"&amp;13,Assessments!$A$2:$A$600,0)),"")</f>
        <v/>
      </c>
      <c r="CH362" s="28" t="str">
        <f aca="false">IFERROR(INDEX(Assessments!$H$2:$H$600,MATCH($H362&amp;"|"&amp;$I362&amp;"|"&amp;$J362&amp;"|"&amp;14,Assessments!$A$2:$A$600,0)),"")</f>
        <v/>
      </c>
      <c r="CI362" s="28" t="str">
        <f aca="false">IFERROR(INDEX(Assessments!$I$2:$I$600,MATCH($H362&amp;"|"&amp;$I362&amp;"|"&amp;$J362&amp;"|"&amp;1,Assessments!$A$2:$A$600,0)),"")</f>
        <v>Hist P3 essay</v>
      </c>
      <c r="CJ362" s="28" t="str">
        <f aca="false">IFERROR(INDEX(Assessments!$I$2:$I$600,MATCH($H362&amp;"|"&amp;$I362&amp;"|"&amp;$J362&amp;"|"&amp;2,Assessments!$A$2:$A$600,0)),"")</f>
        <v>Hist P2 partial</v>
      </c>
      <c r="CK362" s="28" t="str">
        <f aca="false">IFERROR(INDEX(Assessments!$I$2:$I$600,MATCH($H362&amp;"|"&amp;$I362&amp;"|"&amp;$J362&amp;"|"&amp;3,Assessments!$A$2:$A$600,0)),"")</f>
        <v>Hist P2 partial</v>
      </c>
      <c r="CL362" s="28" t="str">
        <f aca="false">IFERROR(INDEX(Assessments!$I$2:$I$600,MATCH($H362&amp;"|"&amp;$I362&amp;"|"&amp;$J362&amp;"|"&amp;4,Assessments!$A$2:$A$600,0)),"")</f>
        <v>Hist P3 essay</v>
      </c>
      <c r="CM362" s="28" t="str">
        <f aca="false">IFERROR(INDEX(Assessments!$I$2:$I$600,MATCH($H362&amp;"|"&amp;$I362&amp;"|"&amp;$J362&amp;"|"&amp;5,Assessments!$A$2:$A$600,0)),"")</f>
        <v>Hist P3 essay</v>
      </c>
      <c r="CN362" s="28" t="str">
        <f aca="false">IFERROR(INDEX(Assessments!$I$2:$I$600,MATCH($H362&amp;"|"&amp;$I362&amp;"|"&amp;$J362&amp;"|"&amp;6,Assessments!$A$2:$A$600,0)),"")</f>
        <v>Hist P3 essay</v>
      </c>
      <c r="CO362" s="28" t="str">
        <f aca="false">IFERROR(INDEX(Assessments!$I$2:$I$600,MATCH($H362&amp;"|"&amp;$I362&amp;"|"&amp;$J362&amp;"|"&amp;7,Assessments!$A$2:$A$600,0)),"")</f>
        <v>Hist Paper 1</v>
      </c>
      <c r="CP362" s="28" t="str">
        <f aca="false">IFERROR(INDEX(Assessments!$I$2:$I$600,MATCH($H362&amp;"|"&amp;$I362&amp;"|"&amp;$J362&amp;"|"&amp;8,Assessments!$A$2:$A$600,0)),"")</f>
        <v>Hist P2 full</v>
      </c>
      <c r="CQ362" s="28" t="str">
        <f aca="false">IFERROR(INDEX(Assessments!$I$2:$I$600,MATCH($H362&amp;"|"&amp;$I362&amp;"|"&amp;$J362&amp;"|"&amp;9,Assessments!$A$2:$A$600,0)),"")</f>
        <v>Hist P3 full</v>
      </c>
      <c r="CR362" s="28" t="str">
        <f aca="false">IFERROR(INDEX(Assessments!$I$2:$I$600,MATCH($H362&amp;"|"&amp;$I362&amp;"|"&amp;$J362&amp;"|"&amp;10,Assessments!$A$2:$A$600,0)),"")</f>
        <v/>
      </c>
      <c r="CS362" s="28" t="str">
        <f aca="false">IFERROR(INDEX(Assessments!$I$2:$I$600,MATCH($H362&amp;"|"&amp;$I362&amp;"|"&amp;$J362&amp;"|"&amp;11,Assessments!$A$2:$A$600,0)),"")</f>
        <v/>
      </c>
      <c r="CT362" s="28" t="str">
        <f aca="false">IFERROR(INDEX(Assessments!$I$2:$I$600,MATCH($H362&amp;"|"&amp;$I362&amp;"|"&amp;$J362&amp;"|"&amp;12,Assessments!$A$2:$A$600,0)),"")</f>
        <v/>
      </c>
      <c r="CU362" s="28" t="str">
        <f aca="false">IFERROR(INDEX(Assessments!$I$2:$I$600,MATCH($H362&amp;"|"&amp;$I362&amp;"|"&amp;$J362&amp;"|"&amp;13,Assessments!$A$2:$A$600,0)),"")</f>
        <v/>
      </c>
      <c r="CV362" s="28" t="str">
        <f aca="false">IFERROR(INDEX(Assessments!$I$2:$I$600,MATCH($H362&amp;"|"&amp;$I362&amp;"|"&amp;$J362&amp;"|"&amp;14,Assessments!$A$2:$A$600,0)),"")</f>
        <v/>
      </c>
      <c r="CW362" s="28" t="n">
        <f aca="false">IFERROR(INDEX(Assessments!$J$2:$J$600,MATCH($H362&amp;"|"&amp;$I362&amp;"|"&amp;$J362&amp;"|"&amp;1,Assessments!$A$2:$A$600,0)),0)</f>
        <v>1</v>
      </c>
      <c r="CX362" s="28" t="n">
        <f aca="false">IFERROR(INDEX(Assessments!$J$2:$J$600,MATCH($H362&amp;"|"&amp;$I362&amp;"|"&amp;$J362&amp;"|"&amp;2,Assessments!$A$2:$A$600,0)),0)</f>
        <v>1</v>
      </c>
      <c r="CY362" s="28" t="n">
        <f aca="false">IFERROR(INDEX(Assessments!$J$2:$J$600,MATCH($H362&amp;"|"&amp;$I362&amp;"|"&amp;$J362&amp;"|"&amp;3,Assessments!$A$2:$A$600,0)),0)</f>
        <v>1</v>
      </c>
      <c r="CZ362" s="28" t="n">
        <f aca="false">IFERROR(INDEX(Assessments!$J$2:$J$600,MATCH($H362&amp;"|"&amp;$I362&amp;"|"&amp;$J362&amp;"|"&amp;4,Assessments!$A$2:$A$600,0)),0)</f>
        <v>1</v>
      </c>
      <c r="DA362" s="28" t="n">
        <f aca="false">IFERROR(INDEX(Assessments!$J$2:$J$600,MATCH($H362&amp;"|"&amp;$I362&amp;"|"&amp;$J362&amp;"|"&amp;5,Assessments!$A$2:$A$600,0)),0)</f>
        <v>1</v>
      </c>
      <c r="DB362" s="28" t="n">
        <f aca="false">IFERROR(INDEX(Assessments!$J$2:$J$600,MATCH($H362&amp;"|"&amp;$I362&amp;"|"&amp;$J362&amp;"|"&amp;6,Assessments!$A$2:$A$600,0)),0)</f>
        <v>1</v>
      </c>
      <c r="DC362" s="28" t="n">
        <f aca="false">IFERROR(INDEX(Assessments!$J$2:$J$600,MATCH($H362&amp;"|"&amp;$I362&amp;"|"&amp;$J362&amp;"|"&amp;7,Assessments!$A$2:$A$600,0)),0)</f>
        <v>2</v>
      </c>
      <c r="DD362" s="28" t="n">
        <f aca="false">IFERROR(INDEX(Assessments!$J$2:$J$600,MATCH($H362&amp;"|"&amp;$I362&amp;"|"&amp;$J362&amp;"|"&amp;8,Assessments!$A$2:$A$600,0)),0)</f>
        <v>2</v>
      </c>
      <c r="DE362" s="28" t="n">
        <f aca="false">IFERROR(INDEX(Assessments!$J$2:$J$600,MATCH($H362&amp;"|"&amp;$I362&amp;"|"&amp;$J362&amp;"|"&amp;9,Assessments!$A$2:$A$600,0)),0)</f>
        <v>2</v>
      </c>
      <c r="DF362" s="28" t="n">
        <f aca="false">IFERROR(INDEX(Assessments!$J$2:$J$600,MATCH($H362&amp;"|"&amp;$I362&amp;"|"&amp;$J362&amp;"|"&amp;10,Assessments!$A$2:$A$600,0)),0)</f>
        <v>0</v>
      </c>
      <c r="DG362" s="28" t="n">
        <f aca="false">IFERROR(INDEX(Assessments!$J$2:$J$600,MATCH($H362&amp;"|"&amp;$I362&amp;"|"&amp;$J362&amp;"|"&amp;11,Assessments!$A$2:$A$600,0)),0)</f>
        <v>0</v>
      </c>
      <c r="DH362" s="28" t="n">
        <f aca="false">IFERROR(INDEX(Assessments!$J$2:$J$600,MATCH($H362&amp;"|"&amp;$I362&amp;"|"&amp;$J362&amp;"|"&amp;12,Assessments!$A$2:$A$600,0)),0)</f>
        <v>0</v>
      </c>
      <c r="DI362" s="28" t="n">
        <f aca="false">IFERROR(INDEX(Assessments!$J$2:$J$600,MATCH($H362&amp;"|"&amp;$I362&amp;"|"&amp;$J362&amp;"|"&amp;13,Assessments!$A$2:$A$600,0)),0)</f>
        <v>0</v>
      </c>
      <c r="DJ362" s="28" t="n">
        <f aca="false">IFERROR(INDEX(Assessments!$J$2:$J$600,MATCH($H362&amp;"|"&amp;$I362&amp;"|"&amp;$J362&amp;"|"&amp;14,Assessments!$A$2:$A$600,0)),0)</f>
        <v>0</v>
      </c>
      <c r="DK362" s="28" t="n">
        <f aca="false">S362</f>
        <v>4</v>
      </c>
      <c r="DL362" s="28" t="n">
        <f aca="false">W362</f>
        <v>3</v>
      </c>
      <c r="DM362" s="28" t="str">
        <f aca="false">AA362</f>
        <v/>
      </c>
      <c r="DN362" s="28" t="str">
        <f aca="false">AE362</f>
        <v/>
      </c>
      <c r="DO362" s="28" t="str">
        <f aca="false">AI362</f>
        <v/>
      </c>
      <c r="DP362" s="28" t="str">
        <f aca="false">AM362</f>
        <v/>
      </c>
      <c r="DQ362" s="28" t="str">
        <f aca="false">AQ362</f>
        <v/>
      </c>
      <c r="DR362" s="28" t="str">
        <f aca="false">AU362</f>
        <v/>
      </c>
      <c r="DS362" s="28" t="str">
        <f aca="false">AY362</f>
        <v/>
      </c>
      <c r="DT362" s="28" t="str">
        <f aca="false">BC362</f>
        <v/>
      </c>
      <c r="DU362" s="28" t="str">
        <f aca="false">BG362</f>
        <v/>
      </c>
      <c r="DV362" s="28" t="str">
        <f aca="false">BK362</f>
        <v/>
      </c>
      <c r="DW362" s="28" t="str">
        <f aca="false">BO362</f>
        <v/>
      </c>
      <c r="DX362" s="28" t="str">
        <f aca="false">BS362</f>
        <v/>
      </c>
      <c r="DY362" s="28" t="n">
        <f aca="false">IF(ISNUMBER(S362),1,"")</f>
        <v>1</v>
      </c>
      <c r="DZ362" s="28" t="n">
        <f aca="false">IF(ISNUMBER(W362),2,"")</f>
        <v>2</v>
      </c>
      <c r="EA362" s="28" t="str">
        <f aca="false">IF(ISNUMBER(AA362),3,"")</f>
        <v/>
      </c>
      <c r="EB362" s="28" t="str">
        <f aca="false">IF(ISNUMBER(AE362),4,"")</f>
        <v/>
      </c>
      <c r="EC362" s="28" t="str">
        <f aca="false">IF(ISNUMBER(AI362),5,"")</f>
        <v/>
      </c>
      <c r="ED362" s="28" t="str">
        <f aca="false">IF(ISNUMBER(AM362),6,"")</f>
        <v/>
      </c>
      <c r="EE362" s="28" t="str">
        <f aca="false">IF(ISNUMBER(AQ362),7,"")</f>
        <v/>
      </c>
      <c r="EF362" s="28" t="str">
        <f aca="false">IF(ISNUMBER(AU362),8,"")</f>
        <v/>
      </c>
      <c r="EG362" s="28" t="str">
        <f aca="false">IF(ISNUMBER(AY362),9,"")</f>
        <v/>
      </c>
      <c r="EH362" s="28" t="str">
        <f aca="false">IF(ISNUMBER(BC362),10,"")</f>
        <v/>
      </c>
      <c r="EI362" s="28" t="str">
        <f aca="false">IF(ISNUMBER(BG362),11,"")</f>
        <v/>
      </c>
      <c r="EJ362" s="28" t="str">
        <f aca="false">IF(ISNUMBER(BK362),12,"")</f>
        <v/>
      </c>
      <c r="EK362" s="28" t="str">
        <f aca="false">IF(ISNUMBER(BO362),13,"")</f>
        <v/>
      </c>
      <c r="EL362" s="28" t="str">
        <f aca="false">IF(ISNUMBER(BS362),14,"")</f>
        <v/>
      </c>
      <c r="EM362" s="28" t="n">
        <f aca="false">IF(ISNUMBER(R362),R362*CW362,0)</f>
        <v>40</v>
      </c>
      <c r="EN362" s="28" t="n">
        <f aca="false">IF(ISNUMBER(V362),V362*CX362,0)</f>
        <v>40</v>
      </c>
      <c r="EO362" s="28" t="n">
        <f aca="false">IF(ISNUMBER(Z362),Z362*CY362,0)</f>
        <v>0</v>
      </c>
      <c r="EP362" s="28" t="n">
        <f aca="false">IF(ISNUMBER(AD362),AD362*CZ362,0)</f>
        <v>0</v>
      </c>
      <c r="EQ362" s="28" t="n">
        <f aca="false">IF(ISNUMBER(AH362),AH362*DA362,0)</f>
        <v>0</v>
      </c>
      <c r="ER362" s="28" t="n">
        <f aca="false">IF(ISNUMBER(AL362),AL362*DB362,0)</f>
        <v>0</v>
      </c>
      <c r="ES362" s="28" t="n">
        <f aca="false">IF(ISNUMBER(AP362),AP362*DC362,0)</f>
        <v>0</v>
      </c>
      <c r="ET362" s="28" t="n">
        <f aca="false">IF(ISNUMBER(AT362),AT362*DD362,0)</f>
        <v>0</v>
      </c>
      <c r="EU362" s="28" t="n">
        <f aca="false">IF(ISNUMBER(AX362),AX362*DE362,0)</f>
        <v>0</v>
      </c>
      <c r="EV362" s="28" t="n">
        <f aca="false">IF(ISNUMBER(BB362),BB362*DF362,0)</f>
        <v>0</v>
      </c>
      <c r="EW362" s="28" t="n">
        <f aca="false">IF(ISNUMBER(BF362),BF362*DG362,0)</f>
        <v>0</v>
      </c>
      <c r="EX362" s="28" t="n">
        <f aca="false">IF(ISNUMBER(BJ362),BJ362*DH362,0)</f>
        <v>0</v>
      </c>
      <c r="EY362" s="28" t="n">
        <f aca="false">IF(ISNUMBER(BN362),BN362*DI362,0)</f>
        <v>0</v>
      </c>
      <c r="EZ362" s="28" t="n">
        <f aca="false">IF(ISNUMBER(BR362),BR362*DJ362,0)</f>
        <v>0</v>
      </c>
      <c r="FA362" s="28" t="n">
        <f aca="false">IF(ISNUMBER(R362),CW362,0)</f>
        <v>1</v>
      </c>
      <c r="FB362" s="28" t="n">
        <f aca="false">IF(ISNUMBER(V362),CX362,0)</f>
        <v>1</v>
      </c>
      <c r="FC362" s="28" t="n">
        <f aca="false">IF(ISNUMBER(Z362),CY362,0)</f>
        <v>0</v>
      </c>
      <c r="FD362" s="28" t="n">
        <f aca="false">IF(ISNUMBER(AD362),CZ362,0)</f>
        <v>0</v>
      </c>
      <c r="FE362" s="28" t="n">
        <f aca="false">IF(ISNUMBER(AH362),DA362,0)</f>
        <v>0</v>
      </c>
      <c r="FF362" s="28" t="n">
        <f aca="false">IF(ISNUMBER(AL362),DB362,0)</f>
        <v>0</v>
      </c>
      <c r="FG362" s="28" t="n">
        <f aca="false">IF(ISNUMBER(AP362),DC362,0)</f>
        <v>0</v>
      </c>
      <c r="FH362" s="28" t="n">
        <f aca="false">IF(ISNUMBER(AT362),DD362,0)</f>
        <v>0</v>
      </c>
      <c r="FI362" s="28" t="n">
        <f aca="false">IF(ISNUMBER(AX362),DE362,0)</f>
        <v>0</v>
      </c>
      <c r="FJ362" s="28" t="n">
        <f aca="false">IF(ISNUMBER(BB362),DF362,0)</f>
        <v>0</v>
      </c>
      <c r="FK362" s="28" t="n">
        <f aca="false">IF(ISNUMBER(BF362),DG362,0)</f>
        <v>0</v>
      </c>
      <c r="FL362" s="28" t="n">
        <f aca="false">IF(ISNUMBER(BJ362),DH362,0)</f>
        <v>0</v>
      </c>
      <c r="FM362" s="28" t="n">
        <f aca="false">IF(ISNUMBER(BN362),DI362,0)</f>
        <v>0</v>
      </c>
      <c r="FN362" s="28" t="n">
        <f aca="false">IF(ISNUMBER(BR362),DJ362,0)</f>
        <v>0</v>
      </c>
      <c r="FO362" s="28" t="str">
        <f aca="false">IFERROR(INDEX(Lists!$G$2:$G$20,MATCH($I362&amp;"|"&amp;$J362,Lists!$F$2:$F$20,0)),"")</f>
        <v>Hist Overall HL</v>
      </c>
    </row>
    <row r="363" customFormat="false" ht="19.5" hidden="false" customHeight="true" outlineLevel="0" collapsed="false">
      <c r="A363" s="29" t="s">
        <v>504</v>
      </c>
      <c r="B363" s="29" t="s">
        <v>505</v>
      </c>
      <c r="C363" s="30" t="s">
        <v>192</v>
      </c>
      <c r="D363" s="30" t="s">
        <v>415</v>
      </c>
      <c r="E363" s="31"/>
      <c r="F363" s="30"/>
      <c r="G363" s="30"/>
      <c r="H363" s="32" t="s">
        <v>428</v>
      </c>
      <c r="I363" s="33" t="s">
        <v>416</v>
      </c>
      <c r="J363" s="32" t="s">
        <v>25</v>
      </c>
      <c r="K363" s="34" t="str">
        <f aca="false">IF(OR(M363="",$E363=""),"",M363-$E363)</f>
        <v/>
      </c>
      <c r="L363" s="35" t="n">
        <f aca="false">IF(SUM(FA363:FN363)=0,"",SUM(EM363:EZ363)/SUM(FA363:FN363))</f>
        <v>41.6666666666667</v>
      </c>
      <c r="M363" s="36" t="n">
        <f aca="false">IF(OR(L363="",FO363=""),"",IFERROR(MATCH(L363,INDEX(Boundaries!$B$2:$I$30,MATCH(FO363,Boundaries!$A$2:$A$30,0),0),1)-1,""))</f>
        <v>4</v>
      </c>
      <c r="N363" s="37" t="n">
        <f aca="false">IF(COUNT($DY363:$EL363)&lt;2,"",INDEX($DK363:$DX363,MAX($DY363:$EL363))-INDEX($DK363:$DX363,MIN($DY363:$EL363)))</f>
        <v>-3</v>
      </c>
      <c r="O363" s="37" t="n">
        <f aca="false">IF(COUNT($DY363:$EL363)&lt;2,"",INDEX($DK363:$DX363,MAX($DY363:$EL363))-INDEX($DK363:$DX363,LARGE($DY363:$EL363,2)))</f>
        <v>-3</v>
      </c>
      <c r="P363" s="38" t="str">
        <f aca="false">IF(K363="","",IF(K363&gt;=0,"On/above target",IF(AND(N363&lt;&gt;"",N363&gt;=0.5),"Improving towards target",IF(AND(O363&lt;&gt;"",O363&lt;=-0.5),"Declining","Stable below target"))))</f>
        <v/>
      </c>
      <c r="Q363" s="39" t="n">
        <v>8</v>
      </c>
      <c r="R363" s="40" t="n">
        <f aca="false">IF(OR(Q363="",BU363=""),"",Q363/BU363*100)</f>
        <v>53.3333333333333</v>
      </c>
      <c r="S363" s="41" t="n">
        <f aca="false">IF(R363="","",IFERROR(MATCH(R363,INDEX(Boundaries!$B$2:$I$30,MATCH(CI363,Boundaries!$A$2:$A$30,0),0),1)-1,""))</f>
        <v>5</v>
      </c>
      <c r="T363" s="42" t="str">
        <f aca="false">IF(OR(S363="",$E363=""),"",S363-$E363)</f>
        <v/>
      </c>
      <c r="U363" s="39" t="n">
        <v>3</v>
      </c>
      <c r="V363" s="40" t="n">
        <f aca="false">IF(OR(U363="",BV363=""),"",U363/BV363*100)</f>
        <v>30</v>
      </c>
      <c r="W363" s="41" t="n">
        <f aca="false">IF(V363="","",IFERROR(MATCH(V363,INDEX(Boundaries!$B$2:$I$30,MATCH(CJ363,Boundaries!$A$2:$A$30,0),0),1)-1,""))</f>
        <v>2</v>
      </c>
      <c r="X363" s="42" t="str">
        <f aca="false">IF(OR(W363="",$E363=""),"",W363-$E363)</f>
        <v/>
      </c>
      <c r="Y363" s="39"/>
      <c r="Z363" s="40" t="str">
        <f aca="false">IF(OR(Y363="",BW363=""),"",Y363/BW363*100)</f>
        <v/>
      </c>
      <c r="AA363" s="41" t="str">
        <f aca="false">IF(Z363="","",IFERROR(MATCH(Z363,INDEX(Boundaries!$B$2:$I$30,MATCH(CK363,Boundaries!$A$2:$A$30,0),0),1)-1,""))</f>
        <v/>
      </c>
      <c r="AB363" s="42" t="str">
        <f aca="false">IF(OR(AA363="",$E363=""),"",AA363-$E363)</f>
        <v/>
      </c>
      <c r="AC363" s="39"/>
      <c r="AD363" s="40" t="str">
        <f aca="false">IF(OR(AC363="",BX363=""),"",AC363/BX363*100)</f>
        <v/>
      </c>
      <c r="AE363" s="41" t="str">
        <f aca="false">IF(AD363="","",IFERROR(MATCH(AD363,INDEX(Boundaries!$B$2:$I$30,MATCH(CL363,Boundaries!$A$2:$A$30,0),0),1)-1,""))</f>
        <v/>
      </c>
      <c r="AF363" s="42" t="str">
        <f aca="false">IF(OR(AE363="",$E363=""),"",AE363-$E363)</f>
        <v/>
      </c>
      <c r="AG363" s="39"/>
      <c r="AH363" s="40" t="str">
        <f aca="false">IF(OR(AG363="",BY363=""),"",AG363/BY363*100)</f>
        <v/>
      </c>
      <c r="AI363" s="41" t="str">
        <f aca="false">IF(AH363="","",IFERROR(MATCH(AH363,INDEX(Boundaries!$B$2:$I$30,MATCH(CM363,Boundaries!$A$2:$A$30,0),0),1)-1,""))</f>
        <v/>
      </c>
      <c r="AJ363" s="42" t="str">
        <f aca="false">IF(OR(AI363="",$E363=""),"",AI363-$E363)</f>
        <v/>
      </c>
      <c r="AK363" s="39"/>
      <c r="AL363" s="40" t="str">
        <f aca="false">IF(OR(AK363="",BZ363=""),"",AK363/BZ363*100)</f>
        <v/>
      </c>
      <c r="AM363" s="41" t="str">
        <f aca="false">IF(AL363="","",IFERROR(MATCH(AL363,INDEX(Boundaries!$B$2:$I$30,MATCH(CN363,Boundaries!$A$2:$A$30,0),0),1)-1,""))</f>
        <v/>
      </c>
      <c r="AN363" s="42" t="str">
        <f aca="false">IF(OR(AM363="",$E363=""),"",AM363-$E363)</f>
        <v/>
      </c>
      <c r="AO363" s="39"/>
      <c r="AP363" s="40" t="str">
        <f aca="false">IF(OR(AO363="",CA363=""),"",AO363/CA363*100)</f>
        <v/>
      </c>
      <c r="AQ363" s="41" t="str">
        <f aca="false">IF(AP363="","",IFERROR(MATCH(AP363,INDEX(Boundaries!$B$2:$I$30,MATCH(CO363,Boundaries!$A$2:$A$30,0),0),1)-1,""))</f>
        <v/>
      </c>
      <c r="AR363" s="42" t="str">
        <f aca="false">IF(OR(AQ363="",$E363=""),"",AQ363-$E363)</f>
        <v/>
      </c>
      <c r="AS363" s="39"/>
      <c r="AT363" s="40" t="str">
        <f aca="false">IF(OR(AS363="",CB363=""),"",AS363/CB363*100)</f>
        <v/>
      </c>
      <c r="AU363" s="41" t="str">
        <f aca="false">IF(AT363="","",IFERROR(MATCH(AT363,INDEX(Boundaries!$B$2:$I$30,MATCH(CP363,Boundaries!$A$2:$A$30,0),0),1)-1,""))</f>
        <v/>
      </c>
      <c r="AV363" s="42" t="str">
        <f aca="false">IF(OR(AU363="",$E363=""),"",AU363-$E363)</f>
        <v/>
      </c>
      <c r="AW363" s="39"/>
      <c r="AX363" s="40" t="str">
        <f aca="false">IF(OR(AW363="",CC363=""),"",AW363/CC363*100)</f>
        <v/>
      </c>
      <c r="AY363" s="41" t="str">
        <f aca="false">IF(AX363="","",IFERROR(MATCH(AX363,INDEX(Boundaries!$B$2:$I$30,MATCH(CQ363,Boundaries!$A$2:$A$30,0),0),1)-1,""))</f>
        <v/>
      </c>
      <c r="AZ363" s="42" t="str">
        <f aca="false">IF(OR(AY363="",$E363=""),"",AY363-$E363)</f>
        <v/>
      </c>
      <c r="BA363" s="39"/>
      <c r="BB363" s="40" t="str">
        <f aca="false">IF(OR(BA363="",CD363=""),"",BA363/CD363*100)</f>
        <v/>
      </c>
      <c r="BC363" s="41" t="str">
        <f aca="false">IF(BB363="","",IFERROR(MATCH(BB363,INDEX(Boundaries!$B$2:$I$30,MATCH(CR363,Boundaries!$A$2:$A$30,0),0),1)-1,""))</f>
        <v/>
      </c>
      <c r="BD363" s="42" t="str">
        <f aca="false">IF(OR(BC363="",$E363=""),"",BC363-$E363)</f>
        <v/>
      </c>
      <c r="BE363" s="39"/>
      <c r="BF363" s="40" t="str">
        <f aca="false">IF(OR(BE363="",CE363=""),"",BE363/CE363*100)</f>
        <v/>
      </c>
      <c r="BG363" s="41" t="str">
        <f aca="false">IF(BF363="","",IFERROR(MATCH(BF363,INDEX(Boundaries!$B$2:$I$30,MATCH(CS363,Boundaries!$A$2:$A$30,0),0),1)-1,""))</f>
        <v/>
      </c>
      <c r="BH363" s="42" t="str">
        <f aca="false">IF(OR(BG363="",$E363=""),"",BG363-$E363)</f>
        <v/>
      </c>
      <c r="BI363" s="39"/>
      <c r="BJ363" s="40" t="str">
        <f aca="false">IF(OR(BI363="",CF363=""),"",BI363/CF363*100)</f>
        <v/>
      </c>
      <c r="BK363" s="41" t="str">
        <f aca="false">IF(BJ363="","",IFERROR(MATCH(BJ363,INDEX(Boundaries!$B$2:$I$30,MATCH(CT363,Boundaries!$A$2:$A$30,0),0),1)-1,""))</f>
        <v/>
      </c>
      <c r="BL363" s="42" t="str">
        <f aca="false">IF(OR(BK363="",$E363=""),"",BK363-$E363)</f>
        <v/>
      </c>
      <c r="BM363" s="39"/>
      <c r="BN363" s="40" t="str">
        <f aca="false">IF(OR(BM363="",CG363=""),"",BM363/CG363*100)</f>
        <v/>
      </c>
      <c r="BO363" s="41" t="str">
        <f aca="false">IF(BN363="","",IFERROR(MATCH(BN363,INDEX(Boundaries!$B$2:$I$30,MATCH(CU363,Boundaries!$A$2:$A$30,0),0),1)-1,""))</f>
        <v/>
      </c>
      <c r="BP363" s="42" t="str">
        <f aca="false">IF(OR(BO363="",$E363=""),"",BO363-$E363)</f>
        <v/>
      </c>
      <c r="BQ363" s="39"/>
      <c r="BR363" s="40" t="str">
        <f aca="false">IF(OR(BQ363="",CH363=""),"",BQ363/CH363*100)</f>
        <v/>
      </c>
      <c r="BS363" s="41" t="str">
        <f aca="false">IF(BR363="","",IFERROR(MATCH(BR363,INDEX(Boundaries!$B$2:$I$30,MATCH(CV363,Boundaries!$A$2:$A$30,0),0),1)-1,""))</f>
        <v/>
      </c>
      <c r="BT363" s="42" t="str">
        <f aca="false">IF(OR(BS363="",$E363=""),"",BS363-$E363)</f>
        <v/>
      </c>
      <c r="BU363" s="28" t="n">
        <f aca="false">IFERROR(INDEX(Assessments!$H$2:$H$600,MATCH($H363&amp;"|"&amp;$I363&amp;"|"&amp;$J363&amp;"|"&amp;1,Assessments!$A$2:$A$600,0)),"")</f>
        <v>15</v>
      </c>
      <c r="BV363" s="28" t="n">
        <f aca="false">IFERROR(INDEX(Assessments!$H$2:$H$600,MATCH($H363&amp;"|"&amp;$I363&amp;"|"&amp;$J363&amp;"|"&amp;2,Assessments!$A$2:$A$600,0)),"")</f>
        <v>10</v>
      </c>
      <c r="BW363" s="28" t="n">
        <f aca="false">IFERROR(INDEX(Assessments!$H$2:$H$600,MATCH($H363&amp;"|"&amp;$I363&amp;"|"&amp;$J363&amp;"|"&amp;3,Assessments!$A$2:$A$600,0)),"")</f>
        <v>24</v>
      </c>
      <c r="BX363" s="28" t="n">
        <f aca="false">IFERROR(INDEX(Assessments!$H$2:$H$600,MATCH($H363&amp;"|"&amp;$I363&amp;"|"&amp;$J363&amp;"|"&amp;4,Assessments!$A$2:$A$600,0)),"")</f>
        <v>15</v>
      </c>
      <c r="BY363" s="28" t="n">
        <f aca="false">IFERROR(INDEX(Assessments!$H$2:$H$600,MATCH($H363&amp;"|"&amp;$I363&amp;"|"&amp;$J363&amp;"|"&amp;5,Assessments!$A$2:$A$600,0)),"")</f>
        <v>15</v>
      </c>
      <c r="BZ363" s="28" t="n">
        <f aca="false">IFERROR(INDEX(Assessments!$H$2:$H$600,MATCH($H363&amp;"|"&amp;$I363&amp;"|"&amp;$J363&amp;"|"&amp;6,Assessments!$A$2:$A$600,0)),"")</f>
        <v>15</v>
      </c>
      <c r="CA363" s="28" t="n">
        <f aca="false">IFERROR(INDEX(Assessments!$H$2:$H$600,MATCH($H363&amp;"|"&amp;$I363&amp;"|"&amp;$J363&amp;"|"&amp;7,Assessments!$A$2:$A$600,0)),"")</f>
        <v>24</v>
      </c>
      <c r="CB363" s="28" t="n">
        <f aca="false">IFERROR(INDEX(Assessments!$H$2:$H$600,MATCH($H363&amp;"|"&amp;$I363&amp;"|"&amp;$J363&amp;"|"&amp;8,Assessments!$A$2:$A$600,0)),"")</f>
        <v>30</v>
      </c>
      <c r="CC363" s="28" t="n">
        <f aca="false">IFERROR(INDEX(Assessments!$H$2:$H$600,MATCH($H363&amp;"|"&amp;$I363&amp;"|"&amp;$J363&amp;"|"&amp;9,Assessments!$A$2:$A$600,0)),"")</f>
        <v>15</v>
      </c>
      <c r="CD363" s="28" t="str">
        <f aca="false">IFERROR(INDEX(Assessments!$H$2:$H$600,MATCH($H363&amp;"|"&amp;$I363&amp;"|"&amp;$J363&amp;"|"&amp;10,Assessments!$A$2:$A$600,0)),"")</f>
        <v/>
      </c>
      <c r="CE363" s="28" t="str">
        <f aca="false">IFERROR(INDEX(Assessments!$H$2:$H$600,MATCH($H363&amp;"|"&amp;$I363&amp;"|"&amp;$J363&amp;"|"&amp;11,Assessments!$A$2:$A$600,0)),"")</f>
        <v/>
      </c>
      <c r="CF363" s="28" t="str">
        <f aca="false">IFERROR(INDEX(Assessments!$H$2:$H$600,MATCH($H363&amp;"|"&amp;$I363&amp;"|"&amp;$J363&amp;"|"&amp;12,Assessments!$A$2:$A$600,0)),"")</f>
        <v/>
      </c>
      <c r="CG363" s="28" t="str">
        <f aca="false">IFERROR(INDEX(Assessments!$H$2:$H$600,MATCH($H363&amp;"|"&amp;$I363&amp;"|"&amp;$J363&amp;"|"&amp;13,Assessments!$A$2:$A$600,0)),"")</f>
        <v/>
      </c>
      <c r="CH363" s="28" t="str">
        <f aca="false">IFERROR(INDEX(Assessments!$H$2:$H$600,MATCH($H363&amp;"|"&amp;$I363&amp;"|"&amp;$J363&amp;"|"&amp;14,Assessments!$A$2:$A$600,0)),"")</f>
        <v/>
      </c>
      <c r="CI363" s="28" t="str">
        <f aca="false">IFERROR(INDEX(Assessments!$I$2:$I$600,MATCH($H363&amp;"|"&amp;$I363&amp;"|"&amp;$J363&amp;"|"&amp;1,Assessments!$A$2:$A$600,0)),"")</f>
        <v>Hist P3 essay</v>
      </c>
      <c r="CJ363" s="28" t="str">
        <f aca="false">IFERROR(INDEX(Assessments!$I$2:$I$600,MATCH($H363&amp;"|"&amp;$I363&amp;"|"&amp;$J363&amp;"|"&amp;2,Assessments!$A$2:$A$600,0)),"")</f>
        <v>Hist P2 partial</v>
      </c>
      <c r="CK363" s="28" t="str">
        <f aca="false">IFERROR(INDEX(Assessments!$I$2:$I$600,MATCH($H363&amp;"|"&amp;$I363&amp;"|"&amp;$J363&amp;"|"&amp;3,Assessments!$A$2:$A$600,0)),"")</f>
        <v>Hist P2 partial</v>
      </c>
      <c r="CL363" s="28" t="str">
        <f aca="false">IFERROR(INDEX(Assessments!$I$2:$I$600,MATCH($H363&amp;"|"&amp;$I363&amp;"|"&amp;$J363&amp;"|"&amp;4,Assessments!$A$2:$A$600,0)),"")</f>
        <v>Hist P3 essay</v>
      </c>
      <c r="CM363" s="28" t="str">
        <f aca="false">IFERROR(INDEX(Assessments!$I$2:$I$600,MATCH($H363&amp;"|"&amp;$I363&amp;"|"&amp;$J363&amp;"|"&amp;5,Assessments!$A$2:$A$600,0)),"")</f>
        <v>Hist P3 essay</v>
      </c>
      <c r="CN363" s="28" t="str">
        <f aca="false">IFERROR(INDEX(Assessments!$I$2:$I$600,MATCH($H363&amp;"|"&amp;$I363&amp;"|"&amp;$J363&amp;"|"&amp;6,Assessments!$A$2:$A$600,0)),"")</f>
        <v>Hist P3 essay</v>
      </c>
      <c r="CO363" s="28" t="str">
        <f aca="false">IFERROR(INDEX(Assessments!$I$2:$I$600,MATCH($H363&amp;"|"&amp;$I363&amp;"|"&amp;$J363&amp;"|"&amp;7,Assessments!$A$2:$A$600,0)),"")</f>
        <v>Hist Paper 1</v>
      </c>
      <c r="CP363" s="28" t="str">
        <f aca="false">IFERROR(INDEX(Assessments!$I$2:$I$600,MATCH($H363&amp;"|"&amp;$I363&amp;"|"&amp;$J363&amp;"|"&amp;8,Assessments!$A$2:$A$600,0)),"")</f>
        <v>Hist P2 full</v>
      </c>
      <c r="CQ363" s="28" t="str">
        <f aca="false">IFERROR(INDEX(Assessments!$I$2:$I$600,MATCH($H363&amp;"|"&amp;$I363&amp;"|"&amp;$J363&amp;"|"&amp;9,Assessments!$A$2:$A$600,0)),"")</f>
        <v>Hist P3 full</v>
      </c>
      <c r="CR363" s="28" t="str">
        <f aca="false">IFERROR(INDEX(Assessments!$I$2:$I$600,MATCH($H363&amp;"|"&amp;$I363&amp;"|"&amp;$J363&amp;"|"&amp;10,Assessments!$A$2:$A$600,0)),"")</f>
        <v/>
      </c>
      <c r="CS363" s="28" t="str">
        <f aca="false">IFERROR(INDEX(Assessments!$I$2:$I$600,MATCH($H363&amp;"|"&amp;$I363&amp;"|"&amp;$J363&amp;"|"&amp;11,Assessments!$A$2:$A$600,0)),"")</f>
        <v/>
      </c>
      <c r="CT363" s="28" t="str">
        <f aca="false">IFERROR(INDEX(Assessments!$I$2:$I$600,MATCH($H363&amp;"|"&amp;$I363&amp;"|"&amp;$J363&amp;"|"&amp;12,Assessments!$A$2:$A$600,0)),"")</f>
        <v/>
      </c>
      <c r="CU363" s="28" t="str">
        <f aca="false">IFERROR(INDEX(Assessments!$I$2:$I$600,MATCH($H363&amp;"|"&amp;$I363&amp;"|"&amp;$J363&amp;"|"&amp;13,Assessments!$A$2:$A$600,0)),"")</f>
        <v/>
      </c>
      <c r="CV363" s="28" t="str">
        <f aca="false">IFERROR(INDEX(Assessments!$I$2:$I$600,MATCH($H363&amp;"|"&amp;$I363&amp;"|"&amp;$J363&amp;"|"&amp;14,Assessments!$A$2:$A$600,0)),"")</f>
        <v/>
      </c>
      <c r="CW363" s="28" t="n">
        <f aca="false">IFERROR(INDEX(Assessments!$J$2:$J$600,MATCH($H363&amp;"|"&amp;$I363&amp;"|"&amp;$J363&amp;"|"&amp;1,Assessments!$A$2:$A$600,0)),0)</f>
        <v>1</v>
      </c>
      <c r="CX363" s="28" t="n">
        <f aca="false">IFERROR(INDEX(Assessments!$J$2:$J$600,MATCH($H363&amp;"|"&amp;$I363&amp;"|"&amp;$J363&amp;"|"&amp;2,Assessments!$A$2:$A$600,0)),0)</f>
        <v>1</v>
      </c>
      <c r="CY363" s="28" t="n">
        <f aca="false">IFERROR(INDEX(Assessments!$J$2:$J$600,MATCH($H363&amp;"|"&amp;$I363&amp;"|"&amp;$J363&amp;"|"&amp;3,Assessments!$A$2:$A$600,0)),0)</f>
        <v>1</v>
      </c>
      <c r="CZ363" s="28" t="n">
        <f aca="false">IFERROR(INDEX(Assessments!$J$2:$J$600,MATCH($H363&amp;"|"&amp;$I363&amp;"|"&amp;$J363&amp;"|"&amp;4,Assessments!$A$2:$A$600,0)),0)</f>
        <v>1</v>
      </c>
      <c r="DA363" s="28" t="n">
        <f aca="false">IFERROR(INDEX(Assessments!$J$2:$J$600,MATCH($H363&amp;"|"&amp;$I363&amp;"|"&amp;$J363&amp;"|"&amp;5,Assessments!$A$2:$A$600,0)),0)</f>
        <v>1</v>
      </c>
      <c r="DB363" s="28" t="n">
        <f aca="false">IFERROR(INDEX(Assessments!$J$2:$J$600,MATCH($H363&amp;"|"&amp;$I363&amp;"|"&amp;$J363&amp;"|"&amp;6,Assessments!$A$2:$A$600,0)),0)</f>
        <v>1</v>
      </c>
      <c r="DC363" s="28" t="n">
        <f aca="false">IFERROR(INDEX(Assessments!$J$2:$J$600,MATCH($H363&amp;"|"&amp;$I363&amp;"|"&amp;$J363&amp;"|"&amp;7,Assessments!$A$2:$A$600,0)),0)</f>
        <v>2</v>
      </c>
      <c r="DD363" s="28" t="n">
        <f aca="false">IFERROR(INDEX(Assessments!$J$2:$J$600,MATCH($H363&amp;"|"&amp;$I363&amp;"|"&amp;$J363&amp;"|"&amp;8,Assessments!$A$2:$A$600,0)),0)</f>
        <v>2</v>
      </c>
      <c r="DE363" s="28" t="n">
        <f aca="false">IFERROR(INDEX(Assessments!$J$2:$J$600,MATCH($H363&amp;"|"&amp;$I363&amp;"|"&amp;$J363&amp;"|"&amp;9,Assessments!$A$2:$A$600,0)),0)</f>
        <v>2</v>
      </c>
      <c r="DF363" s="28" t="n">
        <f aca="false">IFERROR(INDEX(Assessments!$J$2:$J$600,MATCH($H363&amp;"|"&amp;$I363&amp;"|"&amp;$J363&amp;"|"&amp;10,Assessments!$A$2:$A$600,0)),0)</f>
        <v>0</v>
      </c>
      <c r="DG363" s="28" t="n">
        <f aca="false">IFERROR(INDEX(Assessments!$J$2:$J$600,MATCH($H363&amp;"|"&amp;$I363&amp;"|"&amp;$J363&amp;"|"&amp;11,Assessments!$A$2:$A$600,0)),0)</f>
        <v>0</v>
      </c>
      <c r="DH363" s="28" t="n">
        <f aca="false">IFERROR(INDEX(Assessments!$J$2:$J$600,MATCH($H363&amp;"|"&amp;$I363&amp;"|"&amp;$J363&amp;"|"&amp;12,Assessments!$A$2:$A$600,0)),0)</f>
        <v>0</v>
      </c>
      <c r="DI363" s="28" t="n">
        <f aca="false">IFERROR(INDEX(Assessments!$J$2:$J$600,MATCH($H363&amp;"|"&amp;$I363&amp;"|"&amp;$J363&amp;"|"&amp;13,Assessments!$A$2:$A$600,0)),0)</f>
        <v>0</v>
      </c>
      <c r="DJ363" s="28" t="n">
        <f aca="false">IFERROR(INDEX(Assessments!$J$2:$J$600,MATCH($H363&amp;"|"&amp;$I363&amp;"|"&amp;$J363&amp;"|"&amp;14,Assessments!$A$2:$A$600,0)),0)</f>
        <v>0</v>
      </c>
      <c r="DK363" s="28" t="n">
        <f aca="false">S363</f>
        <v>5</v>
      </c>
      <c r="DL363" s="28" t="n">
        <f aca="false">W363</f>
        <v>2</v>
      </c>
      <c r="DM363" s="28" t="str">
        <f aca="false">AA363</f>
        <v/>
      </c>
      <c r="DN363" s="28" t="str">
        <f aca="false">AE363</f>
        <v/>
      </c>
      <c r="DO363" s="28" t="str">
        <f aca="false">AI363</f>
        <v/>
      </c>
      <c r="DP363" s="28" t="str">
        <f aca="false">AM363</f>
        <v/>
      </c>
      <c r="DQ363" s="28" t="str">
        <f aca="false">AQ363</f>
        <v/>
      </c>
      <c r="DR363" s="28" t="str">
        <f aca="false">AU363</f>
        <v/>
      </c>
      <c r="DS363" s="28" t="str">
        <f aca="false">AY363</f>
        <v/>
      </c>
      <c r="DT363" s="28" t="str">
        <f aca="false">BC363</f>
        <v/>
      </c>
      <c r="DU363" s="28" t="str">
        <f aca="false">BG363</f>
        <v/>
      </c>
      <c r="DV363" s="28" t="str">
        <f aca="false">BK363</f>
        <v/>
      </c>
      <c r="DW363" s="28" t="str">
        <f aca="false">BO363</f>
        <v/>
      </c>
      <c r="DX363" s="28" t="str">
        <f aca="false">BS363</f>
        <v/>
      </c>
      <c r="DY363" s="28" t="n">
        <f aca="false">IF(ISNUMBER(S363),1,"")</f>
        <v>1</v>
      </c>
      <c r="DZ363" s="28" t="n">
        <f aca="false">IF(ISNUMBER(W363),2,"")</f>
        <v>2</v>
      </c>
      <c r="EA363" s="28" t="str">
        <f aca="false">IF(ISNUMBER(AA363),3,"")</f>
        <v/>
      </c>
      <c r="EB363" s="28" t="str">
        <f aca="false">IF(ISNUMBER(AE363),4,"")</f>
        <v/>
      </c>
      <c r="EC363" s="28" t="str">
        <f aca="false">IF(ISNUMBER(AI363),5,"")</f>
        <v/>
      </c>
      <c r="ED363" s="28" t="str">
        <f aca="false">IF(ISNUMBER(AM363),6,"")</f>
        <v/>
      </c>
      <c r="EE363" s="28" t="str">
        <f aca="false">IF(ISNUMBER(AQ363),7,"")</f>
        <v/>
      </c>
      <c r="EF363" s="28" t="str">
        <f aca="false">IF(ISNUMBER(AU363),8,"")</f>
        <v/>
      </c>
      <c r="EG363" s="28" t="str">
        <f aca="false">IF(ISNUMBER(AY363),9,"")</f>
        <v/>
      </c>
      <c r="EH363" s="28" t="str">
        <f aca="false">IF(ISNUMBER(BC363),10,"")</f>
        <v/>
      </c>
      <c r="EI363" s="28" t="str">
        <f aca="false">IF(ISNUMBER(BG363),11,"")</f>
        <v/>
      </c>
      <c r="EJ363" s="28" t="str">
        <f aca="false">IF(ISNUMBER(BK363),12,"")</f>
        <v/>
      </c>
      <c r="EK363" s="28" t="str">
        <f aca="false">IF(ISNUMBER(BO363),13,"")</f>
        <v/>
      </c>
      <c r="EL363" s="28" t="str">
        <f aca="false">IF(ISNUMBER(BS363),14,"")</f>
        <v/>
      </c>
      <c r="EM363" s="28" t="n">
        <f aca="false">IF(ISNUMBER(R363),R363*CW363,0)</f>
        <v>53.3333333333333</v>
      </c>
      <c r="EN363" s="28" t="n">
        <f aca="false">IF(ISNUMBER(V363),V363*CX363,0)</f>
        <v>30</v>
      </c>
      <c r="EO363" s="28" t="n">
        <f aca="false">IF(ISNUMBER(Z363),Z363*CY363,0)</f>
        <v>0</v>
      </c>
      <c r="EP363" s="28" t="n">
        <f aca="false">IF(ISNUMBER(AD363),AD363*CZ363,0)</f>
        <v>0</v>
      </c>
      <c r="EQ363" s="28" t="n">
        <f aca="false">IF(ISNUMBER(AH363),AH363*DA363,0)</f>
        <v>0</v>
      </c>
      <c r="ER363" s="28" t="n">
        <f aca="false">IF(ISNUMBER(AL363),AL363*DB363,0)</f>
        <v>0</v>
      </c>
      <c r="ES363" s="28" t="n">
        <f aca="false">IF(ISNUMBER(AP363),AP363*DC363,0)</f>
        <v>0</v>
      </c>
      <c r="ET363" s="28" t="n">
        <f aca="false">IF(ISNUMBER(AT363),AT363*DD363,0)</f>
        <v>0</v>
      </c>
      <c r="EU363" s="28" t="n">
        <f aca="false">IF(ISNUMBER(AX363),AX363*DE363,0)</f>
        <v>0</v>
      </c>
      <c r="EV363" s="28" t="n">
        <f aca="false">IF(ISNUMBER(BB363),BB363*DF363,0)</f>
        <v>0</v>
      </c>
      <c r="EW363" s="28" t="n">
        <f aca="false">IF(ISNUMBER(BF363),BF363*DG363,0)</f>
        <v>0</v>
      </c>
      <c r="EX363" s="28" t="n">
        <f aca="false">IF(ISNUMBER(BJ363),BJ363*DH363,0)</f>
        <v>0</v>
      </c>
      <c r="EY363" s="28" t="n">
        <f aca="false">IF(ISNUMBER(BN363),BN363*DI363,0)</f>
        <v>0</v>
      </c>
      <c r="EZ363" s="28" t="n">
        <f aca="false">IF(ISNUMBER(BR363),BR363*DJ363,0)</f>
        <v>0</v>
      </c>
      <c r="FA363" s="28" t="n">
        <f aca="false">IF(ISNUMBER(R363),CW363,0)</f>
        <v>1</v>
      </c>
      <c r="FB363" s="28" t="n">
        <f aca="false">IF(ISNUMBER(V363),CX363,0)</f>
        <v>1</v>
      </c>
      <c r="FC363" s="28" t="n">
        <f aca="false">IF(ISNUMBER(Z363),CY363,0)</f>
        <v>0</v>
      </c>
      <c r="FD363" s="28" t="n">
        <f aca="false">IF(ISNUMBER(AD363),CZ363,0)</f>
        <v>0</v>
      </c>
      <c r="FE363" s="28" t="n">
        <f aca="false">IF(ISNUMBER(AH363),DA363,0)</f>
        <v>0</v>
      </c>
      <c r="FF363" s="28" t="n">
        <f aca="false">IF(ISNUMBER(AL363),DB363,0)</f>
        <v>0</v>
      </c>
      <c r="FG363" s="28" t="n">
        <f aca="false">IF(ISNUMBER(AP363),DC363,0)</f>
        <v>0</v>
      </c>
      <c r="FH363" s="28" t="n">
        <f aca="false">IF(ISNUMBER(AT363),DD363,0)</f>
        <v>0</v>
      </c>
      <c r="FI363" s="28" t="n">
        <f aca="false">IF(ISNUMBER(AX363),DE363,0)</f>
        <v>0</v>
      </c>
      <c r="FJ363" s="28" t="n">
        <f aca="false">IF(ISNUMBER(BB363),DF363,0)</f>
        <v>0</v>
      </c>
      <c r="FK363" s="28" t="n">
        <f aca="false">IF(ISNUMBER(BF363),DG363,0)</f>
        <v>0</v>
      </c>
      <c r="FL363" s="28" t="n">
        <f aca="false">IF(ISNUMBER(BJ363),DH363,0)</f>
        <v>0</v>
      </c>
      <c r="FM363" s="28" t="n">
        <f aca="false">IF(ISNUMBER(BN363),DI363,0)</f>
        <v>0</v>
      </c>
      <c r="FN363" s="28" t="n">
        <f aca="false">IF(ISNUMBER(BR363),DJ363,0)</f>
        <v>0</v>
      </c>
      <c r="FO363" s="28" t="str">
        <f aca="false">IFERROR(INDEX(Lists!$G$2:$G$20,MATCH($I363&amp;"|"&amp;$J363,Lists!$F$2:$F$20,0)),"")</f>
        <v>Hist Overall HL</v>
      </c>
    </row>
    <row r="364" customFormat="false" ht="19.5" hidden="false" customHeight="true" outlineLevel="0" collapsed="false">
      <c r="A364" s="29" t="s">
        <v>586</v>
      </c>
      <c r="B364" s="29" t="s">
        <v>587</v>
      </c>
      <c r="C364" s="30" t="s">
        <v>192</v>
      </c>
      <c r="D364" s="30" t="s">
        <v>415</v>
      </c>
      <c r="E364" s="31"/>
      <c r="F364" s="30"/>
      <c r="G364" s="30"/>
      <c r="H364" s="32" t="s">
        <v>428</v>
      </c>
      <c r="I364" s="33" t="s">
        <v>416</v>
      </c>
      <c r="J364" s="32" t="s">
        <v>25</v>
      </c>
      <c r="K364" s="34" t="str">
        <f aca="false">IF(OR(M364="",$E364=""),"",M364-$E364)</f>
        <v/>
      </c>
      <c r="L364" s="35" t="n">
        <f aca="false">IF(SUM(FA364:FN364)=0,"",SUM(EM364:EZ364)/SUM(FA364:FN364))</f>
        <v>45</v>
      </c>
      <c r="M364" s="36" t="n">
        <f aca="false">IF(OR(L364="",FO364=""),"",IFERROR(MATCH(L364,INDEX(Boundaries!$B$2:$I$30,MATCH(FO364,Boundaries!$A$2:$A$30,0),0),1)-1,""))</f>
        <v>4</v>
      </c>
      <c r="N364" s="37" t="n">
        <f aca="false">IF(COUNT($DY364:$EL364)&lt;2,"",INDEX($DK364:$DX364,MAX($DY364:$EL364))-INDEX($DK364:$DX364,MIN($DY364:$EL364)))</f>
        <v>0</v>
      </c>
      <c r="O364" s="37" t="n">
        <f aca="false">IF(COUNT($DY364:$EL364)&lt;2,"",INDEX($DK364:$DX364,MAX($DY364:$EL364))-INDEX($DK364:$DX364,LARGE($DY364:$EL364,2)))</f>
        <v>0</v>
      </c>
      <c r="P364" s="38" t="str">
        <f aca="false">IF(K364="","",IF(K364&gt;=0,"On/above target",IF(AND(N364&lt;&gt;"",N364&gt;=0.5),"Improving towards target",IF(AND(O364&lt;&gt;"",O364&lt;=-0.5),"Declining","Stable below target"))))</f>
        <v/>
      </c>
      <c r="Q364" s="39" t="n">
        <v>6</v>
      </c>
      <c r="R364" s="40" t="n">
        <f aca="false">IF(OR(Q364="",BU364=""),"",Q364/BU364*100)</f>
        <v>40</v>
      </c>
      <c r="S364" s="41" t="n">
        <f aca="false">IF(R364="","",IFERROR(MATCH(R364,INDEX(Boundaries!$B$2:$I$30,MATCH(CI364,Boundaries!$A$2:$A$30,0),0),1)-1,""))</f>
        <v>4</v>
      </c>
      <c r="T364" s="42" t="str">
        <f aca="false">IF(OR(S364="",$E364=""),"",S364-$E364)</f>
        <v/>
      </c>
      <c r="U364" s="39" t="n">
        <v>5</v>
      </c>
      <c r="V364" s="40" t="n">
        <f aca="false">IF(OR(U364="",BV364=""),"",U364/BV364*100)</f>
        <v>50</v>
      </c>
      <c r="W364" s="41" t="n">
        <f aca="false">IF(V364="","",IFERROR(MATCH(V364,INDEX(Boundaries!$B$2:$I$30,MATCH(CJ364,Boundaries!$A$2:$A$30,0),0),1)-1,""))</f>
        <v>4</v>
      </c>
      <c r="X364" s="42" t="str">
        <f aca="false">IF(OR(W364="",$E364=""),"",W364-$E364)</f>
        <v/>
      </c>
      <c r="Y364" s="39"/>
      <c r="Z364" s="40" t="str">
        <f aca="false">IF(OR(Y364="",BW364=""),"",Y364/BW364*100)</f>
        <v/>
      </c>
      <c r="AA364" s="41" t="str">
        <f aca="false">IF(Z364="","",IFERROR(MATCH(Z364,INDEX(Boundaries!$B$2:$I$30,MATCH(CK364,Boundaries!$A$2:$A$30,0),0),1)-1,""))</f>
        <v/>
      </c>
      <c r="AB364" s="42" t="str">
        <f aca="false">IF(OR(AA364="",$E364=""),"",AA364-$E364)</f>
        <v/>
      </c>
      <c r="AC364" s="39"/>
      <c r="AD364" s="40" t="str">
        <f aca="false">IF(OR(AC364="",BX364=""),"",AC364/BX364*100)</f>
        <v/>
      </c>
      <c r="AE364" s="41" t="str">
        <f aca="false">IF(AD364="","",IFERROR(MATCH(AD364,INDEX(Boundaries!$B$2:$I$30,MATCH(CL364,Boundaries!$A$2:$A$30,0),0),1)-1,""))</f>
        <v/>
      </c>
      <c r="AF364" s="42" t="str">
        <f aca="false">IF(OR(AE364="",$E364=""),"",AE364-$E364)</f>
        <v/>
      </c>
      <c r="AG364" s="39"/>
      <c r="AH364" s="40" t="str">
        <f aca="false">IF(OR(AG364="",BY364=""),"",AG364/BY364*100)</f>
        <v/>
      </c>
      <c r="AI364" s="41" t="str">
        <f aca="false">IF(AH364="","",IFERROR(MATCH(AH364,INDEX(Boundaries!$B$2:$I$30,MATCH(CM364,Boundaries!$A$2:$A$30,0),0),1)-1,""))</f>
        <v/>
      </c>
      <c r="AJ364" s="42" t="str">
        <f aca="false">IF(OR(AI364="",$E364=""),"",AI364-$E364)</f>
        <v/>
      </c>
      <c r="AK364" s="39"/>
      <c r="AL364" s="40" t="str">
        <f aca="false">IF(OR(AK364="",BZ364=""),"",AK364/BZ364*100)</f>
        <v/>
      </c>
      <c r="AM364" s="41" t="str">
        <f aca="false">IF(AL364="","",IFERROR(MATCH(AL364,INDEX(Boundaries!$B$2:$I$30,MATCH(CN364,Boundaries!$A$2:$A$30,0),0),1)-1,""))</f>
        <v/>
      </c>
      <c r="AN364" s="42" t="str">
        <f aca="false">IF(OR(AM364="",$E364=""),"",AM364-$E364)</f>
        <v/>
      </c>
      <c r="AO364" s="39"/>
      <c r="AP364" s="40" t="str">
        <f aca="false">IF(OR(AO364="",CA364=""),"",AO364/CA364*100)</f>
        <v/>
      </c>
      <c r="AQ364" s="41" t="str">
        <f aca="false">IF(AP364="","",IFERROR(MATCH(AP364,INDEX(Boundaries!$B$2:$I$30,MATCH(CO364,Boundaries!$A$2:$A$30,0),0),1)-1,""))</f>
        <v/>
      </c>
      <c r="AR364" s="42" t="str">
        <f aca="false">IF(OR(AQ364="",$E364=""),"",AQ364-$E364)</f>
        <v/>
      </c>
      <c r="AS364" s="39"/>
      <c r="AT364" s="40" t="str">
        <f aca="false">IF(OR(AS364="",CB364=""),"",AS364/CB364*100)</f>
        <v/>
      </c>
      <c r="AU364" s="41" t="str">
        <f aca="false">IF(AT364="","",IFERROR(MATCH(AT364,INDEX(Boundaries!$B$2:$I$30,MATCH(CP364,Boundaries!$A$2:$A$30,0),0),1)-1,""))</f>
        <v/>
      </c>
      <c r="AV364" s="42" t="str">
        <f aca="false">IF(OR(AU364="",$E364=""),"",AU364-$E364)</f>
        <v/>
      </c>
      <c r="AW364" s="39"/>
      <c r="AX364" s="40" t="str">
        <f aca="false">IF(OR(AW364="",CC364=""),"",AW364/CC364*100)</f>
        <v/>
      </c>
      <c r="AY364" s="41" t="str">
        <f aca="false">IF(AX364="","",IFERROR(MATCH(AX364,INDEX(Boundaries!$B$2:$I$30,MATCH(CQ364,Boundaries!$A$2:$A$30,0),0),1)-1,""))</f>
        <v/>
      </c>
      <c r="AZ364" s="42" t="str">
        <f aca="false">IF(OR(AY364="",$E364=""),"",AY364-$E364)</f>
        <v/>
      </c>
      <c r="BA364" s="39"/>
      <c r="BB364" s="40" t="str">
        <f aca="false">IF(OR(BA364="",CD364=""),"",BA364/CD364*100)</f>
        <v/>
      </c>
      <c r="BC364" s="41" t="str">
        <f aca="false">IF(BB364="","",IFERROR(MATCH(BB364,INDEX(Boundaries!$B$2:$I$30,MATCH(CR364,Boundaries!$A$2:$A$30,0),0),1)-1,""))</f>
        <v/>
      </c>
      <c r="BD364" s="42" t="str">
        <f aca="false">IF(OR(BC364="",$E364=""),"",BC364-$E364)</f>
        <v/>
      </c>
      <c r="BE364" s="39"/>
      <c r="BF364" s="40" t="str">
        <f aca="false">IF(OR(BE364="",CE364=""),"",BE364/CE364*100)</f>
        <v/>
      </c>
      <c r="BG364" s="41" t="str">
        <f aca="false">IF(BF364="","",IFERROR(MATCH(BF364,INDEX(Boundaries!$B$2:$I$30,MATCH(CS364,Boundaries!$A$2:$A$30,0),0),1)-1,""))</f>
        <v/>
      </c>
      <c r="BH364" s="42" t="str">
        <f aca="false">IF(OR(BG364="",$E364=""),"",BG364-$E364)</f>
        <v/>
      </c>
      <c r="BI364" s="39"/>
      <c r="BJ364" s="40" t="str">
        <f aca="false">IF(OR(BI364="",CF364=""),"",BI364/CF364*100)</f>
        <v/>
      </c>
      <c r="BK364" s="41" t="str">
        <f aca="false">IF(BJ364="","",IFERROR(MATCH(BJ364,INDEX(Boundaries!$B$2:$I$30,MATCH(CT364,Boundaries!$A$2:$A$30,0),0),1)-1,""))</f>
        <v/>
      </c>
      <c r="BL364" s="42" t="str">
        <f aca="false">IF(OR(BK364="",$E364=""),"",BK364-$E364)</f>
        <v/>
      </c>
      <c r="BM364" s="39"/>
      <c r="BN364" s="40" t="str">
        <f aca="false">IF(OR(BM364="",CG364=""),"",BM364/CG364*100)</f>
        <v/>
      </c>
      <c r="BO364" s="41" t="str">
        <f aca="false">IF(BN364="","",IFERROR(MATCH(BN364,INDEX(Boundaries!$B$2:$I$30,MATCH(CU364,Boundaries!$A$2:$A$30,0),0),1)-1,""))</f>
        <v/>
      </c>
      <c r="BP364" s="42" t="str">
        <f aca="false">IF(OR(BO364="",$E364=""),"",BO364-$E364)</f>
        <v/>
      </c>
      <c r="BQ364" s="39"/>
      <c r="BR364" s="40" t="str">
        <f aca="false">IF(OR(BQ364="",CH364=""),"",BQ364/CH364*100)</f>
        <v/>
      </c>
      <c r="BS364" s="41" t="str">
        <f aca="false">IF(BR364="","",IFERROR(MATCH(BR364,INDEX(Boundaries!$B$2:$I$30,MATCH(CV364,Boundaries!$A$2:$A$30,0),0),1)-1,""))</f>
        <v/>
      </c>
      <c r="BT364" s="42" t="str">
        <f aca="false">IF(OR(BS364="",$E364=""),"",BS364-$E364)</f>
        <v/>
      </c>
      <c r="BU364" s="28" t="n">
        <f aca="false">IFERROR(INDEX(Assessments!$H$2:$H$600,MATCH($H364&amp;"|"&amp;$I364&amp;"|"&amp;$J364&amp;"|"&amp;1,Assessments!$A$2:$A$600,0)),"")</f>
        <v>15</v>
      </c>
      <c r="BV364" s="28" t="n">
        <f aca="false">IFERROR(INDEX(Assessments!$H$2:$H$600,MATCH($H364&amp;"|"&amp;$I364&amp;"|"&amp;$J364&amp;"|"&amp;2,Assessments!$A$2:$A$600,0)),"")</f>
        <v>10</v>
      </c>
      <c r="BW364" s="28" t="n">
        <f aca="false">IFERROR(INDEX(Assessments!$H$2:$H$600,MATCH($H364&amp;"|"&amp;$I364&amp;"|"&amp;$J364&amp;"|"&amp;3,Assessments!$A$2:$A$600,0)),"")</f>
        <v>24</v>
      </c>
      <c r="BX364" s="28" t="n">
        <f aca="false">IFERROR(INDEX(Assessments!$H$2:$H$600,MATCH($H364&amp;"|"&amp;$I364&amp;"|"&amp;$J364&amp;"|"&amp;4,Assessments!$A$2:$A$600,0)),"")</f>
        <v>15</v>
      </c>
      <c r="BY364" s="28" t="n">
        <f aca="false">IFERROR(INDEX(Assessments!$H$2:$H$600,MATCH($H364&amp;"|"&amp;$I364&amp;"|"&amp;$J364&amp;"|"&amp;5,Assessments!$A$2:$A$600,0)),"")</f>
        <v>15</v>
      </c>
      <c r="BZ364" s="28" t="n">
        <f aca="false">IFERROR(INDEX(Assessments!$H$2:$H$600,MATCH($H364&amp;"|"&amp;$I364&amp;"|"&amp;$J364&amp;"|"&amp;6,Assessments!$A$2:$A$600,0)),"")</f>
        <v>15</v>
      </c>
      <c r="CA364" s="28" t="n">
        <f aca="false">IFERROR(INDEX(Assessments!$H$2:$H$600,MATCH($H364&amp;"|"&amp;$I364&amp;"|"&amp;$J364&amp;"|"&amp;7,Assessments!$A$2:$A$600,0)),"")</f>
        <v>24</v>
      </c>
      <c r="CB364" s="28" t="n">
        <f aca="false">IFERROR(INDEX(Assessments!$H$2:$H$600,MATCH($H364&amp;"|"&amp;$I364&amp;"|"&amp;$J364&amp;"|"&amp;8,Assessments!$A$2:$A$600,0)),"")</f>
        <v>30</v>
      </c>
      <c r="CC364" s="28" t="n">
        <f aca="false">IFERROR(INDEX(Assessments!$H$2:$H$600,MATCH($H364&amp;"|"&amp;$I364&amp;"|"&amp;$J364&amp;"|"&amp;9,Assessments!$A$2:$A$600,0)),"")</f>
        <v>15</v>
      </c>
      <c r="CD364" s="28" t="str">
        <f aca="false">IFERROR(INDEX(Assessments!$H$2:$H$600,MATCH($H364&amp;"|"&amp;$I364&amp;"|"&amp;$J364&amp;"|"&amp;10,Assessments!$A$2:$A$600,0)),"")</f>
        <v/>
      </c>
      <c r="CE364" s="28" t="str">
        <f aca="false">IFERROR(INDEX(Assessments!$H$2:$H$600,MATCH($H364&amp;"|"&amp;$I364&amp;"|"&amp;$J364&amp;"|"&amp;11,Assessments!$A$2:$A$600,0)),"")</f>
        <v/>
      </c>
      <c r="CF364" s="28" t="str">
        <f aca="false">IFERROR(INDEX(Assessments!$H$2:$H$600,MATCH($H364&amp;"|"&amp;$I364&amp;"|"&amp;$J364&amp;"|"&amp;12,Assessments!$A$2:$A$600,0)),"")</f>
        <v/>
      </c>
      <c r="CG364" s="28" t="str">
        <f aca="false">IFERROR(INDEX(Assessments!$H$2:$H$600,MATCH($H364&amp;"|"&amp;$I364&amp;"|"&amp;$J364&amp;"|"&amp;13,Assessments!$A$2:$A$600,0)),"")</f>
        <v/>
      </c>
      <c r="CH364" s="28" t="str">
        <f aca="false">IFERROR(INDEX(Assessments!$H$2:$H$600,MATCH($H364&amp;"|"&amp;$I364&amp;"|"&amp;$J364&amp;"|"&amp;14,Assessments!$A$2:$A$600,0)),"")</f>
        <v/>
      </c>
      <c r="CI364" s="28" t="str">
        <f aca="false">IFERROR(INDEX(Assessments!$I$2:$I$600,MATCH($H364&amp;"|"&amp;$I364&amp;"|"&amp;$J364&amp;"|"&amp;1,Assessments!$A$2:$A$600,0)),"")</f>
        <v>Hist P3 essay</v>
      </c>
      <c r="CJ364" s="28" t="str">
        <f aca="false">IFERROR(INDEX(Assessments!$I$2:$I$600,MATCH($H364&amp;"|"&amp;$I364&amp;"|"&amp;$J364&amp;"|"&amp;2,Assessments!$A$2:$A$600,0)),"")</f>
        <v>Hist P2 partial</v>
      </c>
      <c r="CK364" s="28" t="str">
        <f aca="false">IFERROR(INDEX(Assessments!$I$2:$I$600,MATCH($H364&amp;"|"&amp;$I364&amp;"|"&amp;$J364&amp;"|"&amp;3,Assessments!$A$2:$A$600,0)),"")</f>
        <v>Hist P2 partial</v>
      </c>
      <c r="CL364" s="28" t="str">
        <f aca="false">IFERROR(INDEX(Assessments!$I$2:$I$600,MATCH($H364&amp;"|"&amp;$I364&amp;"|"&amp;$J364&amp;"|"&amp;4,Assessments!$A$2:$A$600,0)),"")</f>
        <v>Hist P3 essay</v>
      </c>
      <c r="CM364" s="28" t="str">
        <f aca="false">IFERROR(INDEX(Assessments!$I$2:$I$600,MATCH($H364&amp;"|"&amp;$I364&amp;"|"&amp;$J364&amp;"|"&amp;5,Assessments!$A$2:$A$600,0)),"")</f>
        <v>Hist P3 essay</v>
      </c>
      <c r="CN364" s="28" t="str">
        <f aca="false">IFERROR(INDEX(Assessments!$I$2:$I$600,MATCH($H364&amp;"|"&amp;$I364&amp;"|"&amp;$J364&amp;"|"&amp;6,Assessments!$A$2:$A$600,0)),"")</f>
        <v>Hist P3 essay</v>
      </c>
      <c r="CO364" s="28" t="str">
        <f aca="false">IFERROR(INDEX(Assessments!$I$2:$I$600,MATCH($H364&amp;"|"&amp;$I364&amp;"|"&amp;$J364&amp;"|"&amp;7,Assessments!$A$2:$A$600,0)),"")</f>
        <v>Hist Paper 1</v>
      </c>
      <c r="CP364" s="28" t="str">
        <f aca="false">IFERROR(INDEX(Assessments!$I$2:$I$600,MATCH($H364&amp;"|"&amp;$I364&amp;"|"&amp;$J364&amp;"|"&amp;8,Assessments!$A$2:$A$600,0)),"")</f>
        <v>Hist P2 full</v>
      </c>
      <c r="CQ364" s="28" t="str">
        <f aca="false">IFERROR(INDEX(Assessments!$I$2:$I$600,MATCH($H364&amp;"|"&amp;$I364&amp;"|"&amp;$J364&amp;"|"&amp;9,Assessments!$A$2:$A$600,0)),"")</f>
        <v>Hist P3 full</v>
      </c>
      <c r="CR364" s="28" t="str">
        <f aca="false">IFERROR(INDEX(Assessments!$I$2:$I$600,MATCH($H364&amp;"|"&amp;$I364&amp;"|"&amp;$J364&amp;"|"&amp;10,Assessments!$A$2:$A$600,0)),"")</f>
        <v/>
      </c>
      <c r="CS364" s="28" t="str">
        <f aca="false">IFERROR(INDEX(Assessments!$I$2:$I$600,MATCH($H364&amp;"|"&amp;$I364&amp;"|"&amp;$J364&amp;"|"&amp;11,Assessments!$A$2:$A$600,0)),"")</f>
        <v/>
      </c>
      <c r="CT364" s="28" t="str">
        <f aca="false">IFERROR(INDEX(Assessments!$I$2:$I$600,MATCH($H364&amp;"|"&amp;$I364&amp;"|"&amp;$J364&amp;"|"&amp;12,Assessments!$A$2:$A$600,0)),"")</f>
        <v/>
      </c>
      <c r="CU364" s="28" t="str">
        <f aca="false">IFERROR(INDEX(Assessments!$I$2:$I$600,MATCH($H364&amp;"|"&amp;$I364&amp;"|"&amp;$J364&amp;"|"&amp;13,Assessments!$A$2:$A$600,0)),"")</f>
        <v/>
      </c>
      <c r="CV364" s="28" t="str">
        <f aca="false">IFERROR(INDEX(Assessments!$I$2:$I$600,MATCH($H364&amp;"|"&amp;$I364&amp;"|"&amp;$J364&amp;"|"&amp;14,Assessments!$A$2:$A$600,0)),"")</f>
        <v/>
      </c>
      <c r="CW364" s="28" t="n">
        <f aca="false">IFERROR(INDEX(Assessments!$J$2:$J$600,MATCH($H364&amp;"|"&amp;$I364&amp;"|"&amp;$J364&amp;"|"&amp;1,Assessments!$A$2:$A$600,0)),0)</f>
        <v>1</v>
      </c>
      <c r="CX364" s="28" t="n">
        <f aca="false">IFERROR(INDEX(Assessments!$J$2:$J$600,MATCH($H364&amp;"|"&amp;$I364&amp;"|"&amp;$J364&amp;"|"&amp;2,Assessments!$A$2:$A$600,0)),0)</f>
        <v>1</v>
      </c>
      <c r="CY364" s="28" t="n">
        <f aca="false">IFERROR(INDEX(Assessments!$J$2:$J$600,MATCH($H364&amp;"|"&amp;$I364&amp;"|"&amp;$J364&amp;"|"&amp;3,Assessments!$A$2:$A$600,0)),0)</f>
        <v>1</v>
      </c>
      <c r="CZ364" s="28" t="n">
        <f aca="false">IFERROR(INDEX(Assessments!$J$2:$J$600,MATCH($H364&amp;"|"&amp;$I364&amp;"|"&amp;$J364&amp;"|"&amp;4,Assessments!$A$2:$A$600,0)),0)</f>
        <v>1</v>
      </c>
      <c r="DA364" s="28" t="n">
        <f aca="false">IFERROR(INDEX(Assessments!$J$2:$J$600,MATCH($H364&amp;"|"&amp;$I364&amp;"|"&amp;$J364&amp;"|"&amp;5,Assessments!$A$2:$A$600,0)),0)</f>
        <v>1</v>
      </c>
      <c r="DB364" s="28" t="n">
        <f aca="false">IFERROR(INDEX(Assessments!$J$2:$J$600,MATCH($H364&amp;"|"&amp;$I364&amp;"|"&amp;$J364&amp;"|"&amp;6,Assessments!$A$2:$A$600,0)),0)</f>
        <v>1</v>
      </c>
      <c r="DC364" s="28" t="n">
        <f aca="false">IFERROR(INDEX(Assessments!$J$2:$J$600,MATCH($H364&amp;"|"&amp;$I364&amp;"|"&amp;$J364&amp;"|"&amp;7,Assessments!$A$2:$A$600,0)),0)</f>
        <v>2</v>
      </c>
      <c r="DD364" s="28" t="n">
        <f aca="false">IFERROR(INDEX(Assessments!$J$2:$J$600,MATCH($H364&amp;"|"&amp;$I364&amp;"|"&amp;$J364&amp;"|"&amp;8,Assessments!$A$2:$A$600,0)),0)</f>
        <v>2</v>
      </c>
      <c r="DE364" s="28" t="n">
        <f aca="false">IFERROR(INDEX(Assessments!$J$2:$J$600,MATCH($H364&amp;"|"&amp;$I364&amp;"|"&amp;$J364&amp;"|"&amp;9,Assessments!$A$2:$A$600,0)),0)</f>
        <v>2</v>
      </c>
      <c r="DF364" s="28" t="n">
        <f aca="false">IFERROR(INDEX(Assessments!$J$2:$J$600,MATCH($H364&amp;"|"&amp;$I364&amp;"|"&amp;$J364&amp;"|"&amp;10,Assessments!$A$2:$A$600,0)),0)</f>
        <v>0</v>
      </c>
      <c r="DG364" s="28" t="n">
        <f aca="false">IFERROR(INDEX(Assessments!$J$2:$J$600,MATCH($H364&amp;"|"&amp;$I364&amp;"|"&amp;$J364&amp;"|"&amp;11,Assessments!$A$2:$A$600,0)),0)</f>
        <v>0</v>
      </c>
      <c r="DH364" s="28" t="n">
        <f aca="false">IFERROR(INDEX(Assessments!$J$2:$J$600,MATCH($H364&amp;"|"&amp;$I364&amp;"|"&amp;$J364&amp;"|"&amp;12,Assessments!$A$2:$A$600,0)),0)</f>
        <v>0</v>
      </c>
      <c r="DI364" s="28" t="n">
        <f aca="false">IFERROR(INDEX(Assessments!$J$2:$J$600,MATCH($H364&amp;"|"&amp;$I364&amp;"|"&amp;$J364&amp;"|"&amp;13,Assessments!$A$2:$A$600,0)),0)</f>
        <v>0</v>
      </c>
      <c r="DJ364" s="28" t="n">
        <f aca="false">IFERROR(INDEX(Assessments!$J$2:$J$600,MATCH($H364&amp;"|"&amp;$I364&amp;"|"&amp;$J364&amp;"|"&amp;14,Assessments!$A$2:$A$600,0)),0)</f>
        <v>0</v>
      </c>
      <c r="DK364" s="28" t="n">
        <f aca="false">S364</f>
        <v>4</v>
      </c>
      <c r="DL364" s="28" t="n">
        <f aca="false">W364</f>
        <v>4</v>
      </c>
      <c r="DM364" s="28" t="str">
        <f aca="false">AA364</f>
        <v/>
      </c>
      <c r="DN364" s="28" t="str">
        <f aca="false">AE364</f>
        <v/>
      </c>
      <c r="DO364" s="28" t="str">
        <f aca="false">AI364</f>
        <v/>
      </c>
      <c r="DP364" s="28" t="str">
        <f aca="false">AM364</f>
        <v/>
      </c>
      <c r="DQ364" s="28" t="str">
        <f aca="false">AQ364</f>
        <v/>
      </c>
      <c r="DR364" s="28" t="str">
        <f aca="false">AU364</f>
        <v/>
      </c>
      <c r="DS364" s="28" t="str">
        <f aca="false">AY364</f>
        <v/>
      </c>
      <c r="DT364" s="28" t="str">
        <f aca="false">BC364</f>
        <v/>
      </c>
      <c r="DU364" s="28" t="str">
        <f aca="false">BG364</f>
        <v/>
      </c>
      <c r="DV364" s="28" t="str">
        <f aca="false">BK364</f>
        <v/>
      </c>
      <c r="DW364" s="28" t="str">
        <f aca="false">BO364</f>
        <v/>
      </c>
      <c r="DX364" s="28" t="str">
        <f aca="false">BS364</f>
        <v/>
      </c>
      <c r="DY364" s="28" t="n">
        <f aca="false">IF(ISNUMBER(S364),1,"")</f>
        <v>1</v>
      </c>
      <c r="DZ364" s="28" t="n">
        <f aca="false">IF(ISNUMBER(W364),2,"")</f>
        <v>2</v>
      </c>
      <c r="EA364" s="28" t="str">
        <f aca="false">IF(ISNUMBER(AA364),3,"")</f>
        <v/>
      </c>
      <c r="EB364" s="28" t="str">
        <f aca="false">IF(ISNUMBER(AE364),4,"")</f>
        <v/>
      </c>
      <c r="EC364" s="28" t="str">
        <f aca="false">IF(ISNUMBER(AI364),5,"")</f>
        <v/>
      </c>
      <c r="ED364" s="28" t="str">
        <f aca="false">IF(ISNUMBER(AM364),6,"")</f>
        <v/>
      </c>
      <c r="EE364" s="28" t="str">
        <f aca="false">IF(ISNUMBER(AQ364),7,"")</f>
        <v/>
      </c>
      <c r="EF364" s="28" t="str">
        <f aca="false">IF(ISNUMBER(AU364),8,"")</f>
        <v/>
      </c>
      <c r="EG364" s="28" t="str">
        <f aca="false">IF(ISNUMBER(AY364),9,"")</f>
        <v/>
      </c>
      <c r="EH364" s="28" t="str">
        <f aca="false">IF(ISNUMBER(BC364),10,"")</f>
        <v/>
      </c>
      <c r="EI364" s="28" t="str">
        <f aca="false">IF(ISNUMBER(BG364),11,"")</f>
        <v/>
      </c>
      <c r="EJ364" s="28" t="str">
        <f aca="false">IF(ISNUMBER(BK364),12,"")</f>
        <v/>
      </c>
      <c r="EK364" s="28" t="str">
        <f aca="false">IF(ISNUMBER(BO364),13,"")</f>
        <v/>
      </c>
      <c r="EL364" s="28" t="str">
        <f aca="false">IF(ISNUMBER(BS364),14,"")</f>
        <v/>
      </c>
      <c r="EM364" s="28" t="n">
        <f aca="false">IF(ISNUMBER(R364),R364*CW364,0)</f>
        <v>40</v>
      </c>
      <c r="EN364" s="28" t="n">
        <f aca="false">IF(ISNUMBER(V364),V364*CX364,0)</f>
        <v>50</v>
      </c>
      <c r="EO364" s="28" t="n">
        <f aca="false">IF(ISNUMBER(Z364),Z364*CY364,0)</f>
        <v>0</v>
      </c>
      <c r="EP364" s="28" t="n">
        <f aca="false">IF(ISNUMBER(AD364),AD364*CZ364,0)</f>
        <v>0</v>
      </c>
      <c r="EQ364" s="28" t="n">
        <f aca="false">IF(ISNUMBER(AH364),AH364*DA364,0)</f>
        <v>0</v>
      </c>
      <c r="ER364" s="28" t="n">
        <f aca="false">IF(ISNUMBER(AL364),AL364*DB364,0)</f>
        <v>0</v>
      </c>
      <c r="ES364" s="28" t="n">
        <f aca="false">IF(ISNUMBER(AP364),AP364*DC364,0)</f>
        <v>0</v>
      </c>
      <c r="ET364" s="28" t="n">
        <f aca="false">IF(ISNUMBER(AT364),AT364*DD364,0)</f>
        <v>0</v>
      </c>
      <c r="EU364" s="28" t="n">
        <f aca="false">IF(ISNUMBER(AX364),AX364*DE364,0)</f>
        <v>0</v>
      </c>
      <c r="EV364" s="28" t="n">
        <f aca="false">IF(ISNUMBER(BB364),BB364*DF364,0)</f>
        <v>0</v>
      </c>
      <c r="EW364" s="28" t="n">
        <f aca="false">IF(ISNUMBER(BF364),BF364*DG364,0)</f>
        <v>0</v>
      </c>
      <c r="EX364" s="28" t="n">
        <f aca="false">IF(ISNUMBER(BJ364),BJ364*DH364,0)</f>
        <v>0</v>
      </c>
      <c r="EY364" s="28" t="n">
        <f aca="false">IF(ISNUMBER(BN364),BN364*DI364,0)</f>
        <v>0</v>
      </c>
      <c r="EZ364" s="28" t="n">
        <f aca="false">IF(ISNUMBER(BR364),BR364*DJ364,0)</f>
        <v>0</v>
      </c>
      <c r="FA364" s="28" t="n">
        <f aca="false">IF(ISNUMBER(R364),CW364,0)</f>
        <v>1</v>
      </c>
      <c r="FB364" s="28" t="n">
        <f aca="false">IF(ISNUMBER(V364),CX364,0)</f>
        <v>1</v>
      </c>
      <c r="FC364" s="28" t="n">
        <f aca="false">IF(ISNUMBER(Z364),CY364,0)</f>
        <v>0</v>
      </c>
      <c r="FD364" s="28" t="n">
        <f aca="false">IF(ISNUMBER(AD364),CZ364,0)</f>
        <v>0</v>
      </c>
      <c r="FE364" s="28" t="n">
        <f aca="false">IF(ISNUMBER(AH364),DA364,0)</f>
        <v>0</v>
      </c>
      <c r="FF364" s="28" t="n">
        <f aca="false">IF(ISNUMBER(AL364),DB364,0)</f>
        <v>0</v>
      </c>
      <c r="FG364" s="28" t="n">
        <f aca="false">IF(ISNUMBER(AP364),DC364,0)</f>
        <v>0</v>
      </c>
      <c r="FH364" s="28" t="n">
        <f aca="false">IF(ISNUMBER(AT364),DD364,0)</f>
        <v>0</v>
      </c>
      <c r="FI364" s="28" t="n">
        <f aca="false">IF(ISNUMBER(AX364),DE364,0)</f>
        <v>0</v>
      </c>
      <c r="FJ364" s="28" t="n">
        <f aca="false">IF(ISNUMBER(BB364),DF364,0)</f>
        <v>0</v>
      </c>
      <c r="FK364" s="28" t="n">
        <f aca="false">IF(ISNUMBER(BF364),DG364,0)</f>
        <v>0</v>
      </c>
      <c r="FL364" s="28" t="n">
        <f aca="false">IF(ISNUMBER(BJ364),DH364,0)</f>
        <v>0</v>
      </c>
      <c r="FM364" s="28" t="n">
        <f aca="false">IF(ISNUMBER(BN364),DI364,0)</f>
        <v>0</v>
      </c>
      <c r="FN364" s="28" t="n">
        <f aca="false">IF(ISNUMBER(BR364),DJ364,0)</f>
        <v>0</v>
      </c>
      <c r="FO364" s="28" t="str">
        <f aca="false">IFERROR(INDEX(Lists!$G$2:$G$20,MATCH($I364&amp;"|"&amp;$J364,Lists!$F$2:$F$20,0)),"")</f>
        <v>Hist Overall HL</v>
      </c>
    </row>
    <row r="365" customFormat="false" ht="19.5" hidden="false" customHeight="true" outlineLevel="0" collapsed="false">
      <c r="A365" s="29" t="s">
        <v>668</v>
      </c>
      <c r="B365" s="29" t="s">
        <v>669</v>
      </c>
      <c r="C365" s="30" t="s">
        <v>192</v>
      </c>
      <c r="D365" s="30" t="s">
        <v>415</v>
      </c>
      <c r="E365" s="31"/>
      <c r="F365" s="30"/>
      <c r="G365" s="30"/>
      <c r="H365" s="32" t="s">
        <v>428</v>
      </c>
      <c r="I365" s="33" t="s">
        <v>416</v>
      </c>
      <c r="J365" s="32" t="s">
        <v>25</v>
      </c>
      <c r="K365" s="34" t="str">
        <f aca="false">IF(OR(M365="",$E365=""),"",M365-$E365)</f>
        <v/>
      </c>
      <c r="L365" s="35" t="n">
        <f aca="false">IF(SUM(FA365:FN365)=0,"",SUM(EM365:EZ365)/SUM(FA365:FN365))</f>
        <v>35</v>
      </c>
      <c r="M365" s="36" t="n">
        <f aca="false">IF(OR(L365="",FO365=""),"",IFERROR(MATCH(L365,INDEX(Boundaries!$B$2:$I$30,MATCH(FO365,Boundaries!$A$2:$A$30,0),0),1)-1,""))</f>
        <v>4</v>
      </c>
      <c r="N365" s="37" t="n">
        <f aca="false">IF(COUNT($DY365:$EL365)&lt;2,"",INDEX($DK365:$DX365,MAX($DY365:$EL365))-INDEX($DK365:$DX365,MIN($DY365:$EL365)))</f>
        <v>-2</v>
      </c>
      <c r="O365" s="37" t="n">
        <f aca="false">IF(COUNT($DY365:$EL365)&lt;2,"",INDEX($DK365:$DX365,MAX($DY365:$EL365))-INDEX($DK365:$DX365,LARGE($DY365:$EL365,2)))</f>
        <v>-2</v>
      </c>
      <c r="P365" s="38" t="str">
        <f aca="false">IF(K365="","",IF(K365&gt;=0,"On/above target",IF(AND(N365&lt;&gt;"",N365&gt;=0.5),"Improving towards target",IF(AND(O365&lt;&gt;"",O365&lt;=-0.5),"Declining","Stable below target"))))</f>
        <v/>
      </c>
      <c r="Q365" s="39" t="n">
        <v>6</v>
      </c>
      <c r="R365" s="40" t="n">
        <f aca="false">IF(OR(Q365="",BU365=""),"",Q365/BU365*100)</f>
        <v>40</v>
      </c>
      <c r="S365" s="41" t="n">
        <f aca="false">IF(R365="","",IFERROR(MATCH(R365,INDEX(Boundaries!$B$2:$I$30,MATCH(CI365,Boundaries!$A$2:$A$30,0),0),1)-1,""))</f>
        <v>4</v>
      </c>
      <c r="T365" s="42" t="str">
        <f aca="false">IF(OR(S365="",$E365=""),"",S365-$E365)</f>
        <v/>
      </c>
      <c r="U365" s="39" t="n">
        <v>3</v>
      </c>
      <c r="V365" s="40" t="n">
        <f aca="false">IF(OR(U365="",BV365=""),"",U365/BV365*100)</f>
        <v>30</v>
      </c>
      <c r="W365" s="41" t="n">
        <f aca="false">IF(V365="","",IFERROR(MATCH(V365,INDEX(Boundaries!$B$2:$I$30,MATCH(CJ365,Boundaries!$A$2:$A$30,0),0),1)-1,""))</f>
        <v>2</v>
      </c>
      <c r="X365" s="42" t="str">
        <f aca="false">IF(OR(W365="",$E365=""),"",W365-$E365)</f>
        <v/>
      </c>
      <c r="Y365" s="39"/>
      <c r="Z365" s="40" t="str">
        <f aca="false">IF(OR(Y365="",BW365=""),"",Y365/BW365*100)</f>
        <v/>
      </c>
      <c r="AA365" s="41" t="str">
        <f aca="false">IF(Z365="","",IFERROR(MATCH(Z365,INDEX(Boundaries!$B$2:$I$30,MATCH(CK365,Boundaries!$A$2:$A$30,0),0),1)-1,""))</f>
        <v/>
      </c>
      <c r="AB365" s="42" t="str">
        <f aca="false">IF(OR(AA365="",$E365=""),"",AA365-$E365)</f>
        <v/>
      </c>
      <c r="AC365" s="39"/>
      <c r="AD365" s="40" t="str">
        <f aca="false">IF(OR(AC365="",BX365=""),"",AC365/BX365*100)</f>
        <v/>
      </c>
      <c r="AE365" s="41" t="str">
        <f aca="false">IF(AD365="","",IFERROR(MATCH(AD365,INDEX(Boundaries!$B$2:$I$30,MATCH(CL365,Boundaries!$A$2:$A$30,0),0),1)-1,""))</f>
        <v/>
      </c>
      <c r="AF365" s="42" t="str">
        <f aca="false">IF(OR(AE365="",$E365=""),"",AE365-$E365)</f>
        <v/>
      </c>
      <c r="AG365" s="39"/>
      <c r="AH365" s="40" t="str">
        <f aca="false">IF(OR(AG365="",BY365=""),"",AG365/BY365*100)</f>
        <v/>
      </c>
      <c r="AI365" s="41" t="str">
        <f aca="false">IF(AH365="","",IFERROR(MATCH(AH365,INDEX(Boundaries!$B$2:$I$30,MATCH(CM365,Boundaries!$A$2:$A$30,0),0),1)-1,""))</f>
        <v/>
      </c>
      <c r="AJ365" s="42" t="str">
        <f aca="false">IF(OR(AI365="",$E365=""),"",AI365-$E365)</f>
        <v/>
      </c>
      <c r="AK365" s="39"/>
      <c r="AL365" s="40" t="str">
        <f aca="false">IF(OR(AK365="",BZ365=""),"",AK365/BZ365*100)</f>
        <v/>
      </c>
      <c r="AM365" s="41" t="str">
        <f aca="false">IF(AL365="","",IFERROR(MATCH(AL365,INDEX(Boundaries!$B$2:$I$30,MATCH(CN365,Boundaries!$A$2:$A$30,0),0),1)-1,""))</f>
        <v/>
      </c>
      <c r="AN365" s="42" t="str">
        <f aca="false">IF(OR(AM365="",$E365=""),"",AM365-$E365)</f>
        <v/>
      </c>
      <c r="AO365" s="39"/>
      <c r="AP365" s="40" t="str">
        <f aca="false">IF(OR(AO365="",CA365=""),"",AO365/CA365*100)</f>
        <v/>
      </c>
      <c r="AQ365" s="41" t="str">
        <f aca="false">IF(AP365="","",IFERROR(MATCH(AP365,INDEX(Boundaries!$B$2:$I$30,MATCH(CO365,Boundaries!$A$2:$A$30,0),0),1)-1,""))</f>
        <v/>
      </c>
      <c r="AR365" s="42" t="str">
        <f aca="false">IF(OR(AQ365="",$E365=""),"",AQ365-$E365)</f>
        <v/>
      </c>
      <c r="AS365" s="39"/>
      <c r="AT365" s="40" t="str">
        <f aca="false">IF(OR(AS365="",CB365=""),"",AS365/CB365*100)</f>
        <v/>
      </c>
      <c r="AU365" s="41" t="str">
        <f aca="false">IF(AT365="","",IFERROR(MATCH(AT365,INDEX(Boundaries!$B$2:$I$30,MATCH(CP365,Boundaries!$A$2:$A$30,0),0),1)-1,""))</f>
        <v/>
      </c>
      <c r="AV365" s="42" t="str">
        <f aca="false">IF(OR(AU365="",$E365=""),"",AU365-$E365)</f>
        <v/>
      </c>
      <c r="AW365" s="39"/>
      <c r="AX365" s="40" t="str">
        <f aca="false">IF(OR(AW365="",CC365=""),"",AW365/CC365*100)</f>
        <v/>
      </c>
      <c r="AY365" s="41" t="str">
        <f aca="false">IF(AX365="","",IFERROR(MATCH(AX365,INDEX(Boundaries!$B$2:$I$30,MATCH(CQ365,Boundaries!$A$2:$A$30,0),0),1)-1,""))</f>
        <v/>
      </c>
      <c r="AZ365" s="42" t="str">
        <f aca="false">IF(OR(AY365="",$E365=""),"",AY365-$E365)</f>
        <v/>
      </c>
      <c r="BA365" s="39"/>
      <c r="BB365" s="40" t="str">
        <f aca="false">IF(OR(BA365="",CD365=""),"",BA365/CD365*100)</f>
        <v/>
      </c>
      <c r="BC365" s="41" t="str">
        <f aca="false">IF(BB365="","",IFERROR(MATCH(BB365,INDEX(Boundaries!$B$2:$I$30,MATCH(CR365,Boundaries!$A$2:$A$30,0),0),1)-1,""))</f>
        <v/>
      </c>
      <c r="BD365" s="42" t="str">
        <f aca="false">IF(OR(BC365="",$E365=""),"",BC365-$E365)</f>
        <v/>
      </c>
      <c r="BE365" s="39"/>
      <c r="BF365" s="40" t="str">
        <f aca="false">IF(OR(BE365="",CE365=""),"",BE365/CE365*100)</f>
        <v/>
      </c>
      <c r="BG365" s="41" t="str">
        <f aca="false">IF(BF365="","",IFERROR(MATCH(BF365,INDEX(Boundaries!$B$2:$I$30,MATCH(CS365,Boundaries!$A$2:$A$30,0),0),1)-1,""))</f>
        <v/>
      </c>
      <c r="BH365" s="42" t="str">
        <f aca="false">IF(OR(BG365="",$E365=""),"",BG365-$E365)</f>
        <v/>
      </c>
      <c r="BI365" s="39"/>
      <c r="BJ365" s="40" t="str">
        <f aca="false">IF(OR(BI365="",CF365=""),"",BI365/CF365*100)</f>
        <v/>
      </c>
      <c r="BK365" s="41" t="str">
        <f aca="false">IF(BJ365="","",IFERROR(MATCH(BJ365,INDEX(Boundaries!$B$2:$I$30,MATCH(CT365,Boundaries!$A$2:$A$30,0),0),1)-1,""))</f>
        <v/>
      </c>
      <c r="BL365" s="42" t="str">
        <f aca="false">IF(OR(BK365="",$E365=""),"",BK365-$E365)</f>
        <v/>
      </c>
      <c r="BM365" s="39"/>
      <c r="BN365" s="40" t="str">
        <f aca="false">IF(OR(BM365="",CG365=""),"",BM365/CG365*100)</f>
        <v/>
      </c>
      <c r="BO365" s="41" t="str">
        <f aca="false">IF(BN365="","",IFERROR(MATCH(BN365,INDEX(Boundaries!$B$2:$I$30,MATCH(CU365,Boundaries!$A$2:$A$30,0),0),1)-1,""))</f>
        <v/>
      </c>
      <c r="BP365" s="42" t="str">
        <f aca="false">IF(OR(BO365="",$E365=""),"",BO365-$E365)</f>
        <v/>
      </c>
      <c r="BQ365" s="39"/>
      <c r="BR365" s="40" t="str">
        <f aca="false">IF(OR(BQ365="",CH365=""),"",BQ365/CH365*100)</f>
        <v/>
      </c>
      <c r="BS365" s="41" t="str">
        <f aca="false">IF(BR365="","",IFERROR(MATCH(BR365,INDEX(Boundaries!$B$2:$I$30,MATCH(CV365,Boundaries!$A$2:$A$30,0),0),1)-1,""))</f>
        <v/>
      </c>
      <c r="BT365" s="42" t="str">
        <f aca="false">IF(OR(BS365="",$E365=""),"",BS365-$E365)</f>
        <v/>
      </c>
      <c r="BU365" s="28" t="n">
        <f aca="false">IFERROR(INDEX(Assessments!$H$2:$H$600,MATCH($H365&amp;"|"&amp;$I365&amp;"|"&amp;$J365&amp;"|"&amp;1,Assessments!$A$2:$A$600,0)),"")</f>
        <v>15</v>
      </c>
      <c r="BV365" s="28" t="n">
        <f aca="false">IFERROR(INDEX(Assessments!$H$2:$H$600,MATCH($H365&amp;"|"&amp;$I365&amp;"|"&amp;$J365&amp;"|"&amp;2,Assessments!$A$2:$A$600,0)),"")</f>
        <v>10</v>
      </c>
      <c r="BW365" s="28" t="n">
        <f aca="false">IFERROR(INDEX(Assessments!$H$2:$H$600,MATCH($H365&amp;"|"&amp;$I365&amp;"|"&amp;$J365&amp;"|"&amp;3,Assessments!$A$2:$A$600,0)),"")</f>
        <v>24</v>
      </c>
      <c r="BX365" s="28" t="n">
        <f aca="false">IFERROR(INDEX(Assessments!$H$2:$H$600,MATCH($H365&amp;"|"&amp;$I365&amp;"|"&amp;$J365&amp;"|"&amp;4,Assessments!$A$2:$A$600,0)),"")</f>
        <v>15</v>
      </c>
      <c r="BY365" s="28" t="n">
        <f aca="false">IFERROR(INDEX(Assessments!$H$2:$H$600,MATCH($H365&amp;"|"&amp;$I365&amp;"|"&amp;$J365&amp;"|"&amp;5,Assessments!$A$2:$A$600,0)),"")</f>
        <v>15</v>
      </c>
      <c r="BZ365" s="28" t="n">
        <f aca="false">IFERROR(INDEX(Assessments!$H$2:$H$600,MATCH($H365&amp;"|"&amp;$I365&amp;"|"&amp;$J365&amp;"|"&amp;6,Assessments!$A$2:$A$600,0)),"")</f>
        <v>15</v>
      </c>
      <c r="CA365" s="28" t="n">
        <f aca="false">IFERROR(INDEX(Assessments!$H$2:$H$600,MATCH($H365&amp;"|"&amp;$I365&amp;"|"&amp;$J365&amp;"|"&amp;7,Assessments!$A$2:$A$600,0)),"")</f>
        <v>24</v>
      </c>
      <c r="CB365" s="28" t="n">
        <f aca="false">IFERROR(INDEX(Assessments!$H$2:$H$600,MATCH($H365&amp;"|"&amp;$I365&amp;"|"&amp;$J365&amp;"|"&amp;8,Assessments!$A$2:$A$600,0)),"")</f>
        <v>30</v>
      </c>
      <c r="CC365" s="28" t="n">
        <f aca="false">IFERROR(INDEX(Assessments!$H$2:$H$600,MATCH($H365&amp;"|"&amp;$I365&amp;"|"&amp;$J365&amp;"|"&amp;9,Assessments!$A$2:$A$600,0)),"")</f>
        <v>15</v>
      </c>
      <c r="CD365" s="28" t="str">
        <f aca="false">IFERROR(INDEX(Assessments!$H$2:$H$600,MATCH($H365&amp;"|"&amp;$I365&amp;"|"&amp;$J365&amp;"|"&amp;10,Assessments!$A$2:$A$600,0)),"")</f>
        <v/>
      </c>
      <c r="CE365" s="28" t="str">
        <f aca="false">IFERROR(INDEX(Assessments!$H$2:$H$600,MATCH($H365&amp;"|"&amp;$I365&amp;"|"&amp;$J365&amp;"|"&amp;11,Assessments!$A$2:$A$600,0)),"")</f>
        <v/>
      </c>
      <c r="CF365" s="28" t="str">
        <f aca="false">IFERROR(INDEX(Assessments!$H$2:$H$600,MATCH($H365&amp;"|"&amp;$I365&amp;"|"&amp;$J365&amp;"|"&amp;12,Assessments!$A$2:$A$600,0)),"")</f>
        <v/>
      </c>
      <c r="CG365" s="28" t="str">
        <f aca="false">IFERROR(INDEX(Assessments!$H$2:$H$600,MATCH($H365&amp;"|"&amp;$I365&amp;"|"&amp;$J365&amp;"|"&amp;13,Assessments!$A$2:$A$600,0)),"")</f>
        <v/>
      </c>
      <c r="CH365" s="28" t="str">
        <f aca="false">IFERROR(INDEX(Assessments!$H$2:$H$600,MATCH($H365&amp;"|"&amp;$I365&amp;"|"&amp;$J365&amp;"|"&amp;14,Assessments!$A$2:$A$600,0)),"")</f>
        <v/>
      </c>
      <c r="CI365" s="28" t="str">
        <f aca="false">IFERROR(INDEX(Assessments!$I$2:$I$600,MATCH($H365&amp;"|"&amp;$I365&amp;"|"&amp;$J365&amp;"|"&amp;1,Assessments!$A$2:$A$600,0)),"")</f>
        <v>Hist P3 essay</v>
      </c>
      <c r="CJ365" s="28" t="str">
        <f aca="false">IFERROR(INDEX(Assessments!$I$2:$I$600,MATCH($H365&amp;"|"&amp;$I365&amp;"|"&amp;$J365&amp;"|"&amp;2,Assessments!$A$2:$A$600,0)),"")</f>
        <v>Hist P2 partial</v>
      </c>
      <c r="CK365" s="28" t="str">
        <f aca="false">IFERROR(INDEX(Assessments!$I$2:$I$600,MATCH($H365&amp;"|"&amp;$I365&amp;"|"&amp;$J365&amp;"|"&amp;3,Assessments!$A$2:$A$600,0)),"")</f>
        <v>Hist P2 partial</v>
      </c>
      <c r="CL365" s="28" t="str">
        <f aca="false">IFERROR(INDEX(Assessments!$I$2:$I$600,MATCH($H365&amp;"|"&amp;$I365&amp;"|"&amp;$J365&amp;"|"&amp;4,Assessments!$A$2:$A$600,0)),"")</f>
        <v>Hist P3 essay</v>
      </c>
      <c r="CM365" s="28" t="str">
        <f aca="false">IFERROR(INDEX(Assessments!$I$2:$I$600,MATCH($H365&amp;"|"&amp;$I365&amp;"|"&amp;$J365&amp;"|"&amp;5,Assessments!$A$2:$A$600,0)),"")</f>
        <v>Hist P3 essay</v>
      </c>
      <c r="CN365" s="28" t="str">
        <f aca="false">IFERROR(INDEX(Assessments!$I$2:$I$600,MATCH($H365&amp;"|"&amp;$I365&amp;"|"&amp;$J365&amp;"|"&amp;6,Assessments!$A$2:$A$600,0)),"")</f>
        <v>Hist P3 essay</v>
      </c>
      <c r="CO365" s="28" t="str">
        <f aca="false">IFERROR(INDEX(Assessments!$I$2:$I$600,MATCH($H365&amp;"|"&amp;$I365&amp;"|"&amp;$J365&amp;"|"&amp;7,Assessments!$A$2:$A$600,0)),"")</f>
        <v>Hist Paper 1</v>
      </c>
      <c r="CP365" s="28" t="str">
        <f aca="false">IFERROR(INDEX(Assessments!$I$2:$I$600,MATCH($H365&amp;"|"&amp;$I365&amp;"|"&amp;$J365&amp;"|"&amp;8,Assessments!$A$2:$A$600,0)),"")</f>
        <v>Hist P2 full</v>
      </c>
      <c r="CQ365" s="28" t="str">
        <f aca="false">IFERROR(INDEX(Assessments!$I$2:$I$600,MATCH($H365&amp;"|"&amp;$I365&amp;"|"&amp;$J365&amp;"|"&amp;9,Assessments!$A$2:$A$600,0)),"")</f>
        <v>Hist P3 full</v>
      </c>
      <c r="CR365" s="28" t="str">
        <f aca="false">IFERROR(INDEX(Assessments!$I$2:$I$600,MATCH($H365&amp;"|"&amp;$I365&amp;"|"&amp;$J365&amp;"|"&amp;10,Assessments!$A$2:$A$600,0)),"")</f>
        <v/>
      </c>
      <c r="CS365" s="28" t="str">
        <f aca="false">IFERROR(INDEX(Assessments!$I$2:$I$600,MATCH($H365&amp;"|"&amp;$I365&amp;"|"&amp;$J365&amp;"|"&amp;11,Assessments!$A$2:$A$600,0)),"")</f>
        <v/>
      </c>
      <c r="CT365" s="28" t="str">
        <f aca="false">IFERROR(INDEX(Assessments!$I$2:$I$600,MATCH($H365&amp;"|"&amp;$I365&amp;"|"&amp;$J365&amp;"|"&amp;12,Assessments!$A$2:$A$600,0)),"")</f>
        <v/>
      </c>
      <c r="CU365" s="28" t="str">
        <f aca="false">IFERROR(INDEX(Assessments!$I$2:$I$600,MATCH($H365&amp;"|"&amp;$I365&amp;"|"&amp;$J365&amp;"|"&amp;13,Assessments!$A$2:$A$600,0)),"")</f>
        <v/>
      </c>
      <c r="CV365" s="28" t="str">
        <f aca="false">IFERROR(INDEX(Assessments!$I$2:$I$600,MATCH($H365&amp;"|"&amp;$I365&amp;"|"&amp;$J365&amp;"|"&amp;14,Assessments!$A$2:$A$600,0)),"")</f>
        <v/>
      </c>
      <c r="CW365" s="28" t="n">
        <f aca="false">IFERROR(INDEX(Assessments!$J$2:$J$600,MATCH($H365&amp;"|"&amp;$I365&amp;"|"&amp;$J365&amp;"|"&amp;1,Assessments!$A$2:$A$600,0)),0)</f>
        <v>1</v>
      </c>
      <c r="CX365" s="28" t="n">
        <f aca="false">IFERROR(INDEX(Assessments!$J$2:$J$600,MATCH($H365&amp;"|"&amp;$I365&amp;"|"&amp;$J365&amp;"|"&amp;2,Assessments!$A$2:$A$600,0)),0)</f>
        <v>1</v>
      </c>
      <c r="CY365" s="28" t="n">
        <f aca="false">IFERROR(INDEX(Assessments!$J$2:$J$600,MATCH($H365&amp;"|"&amp;$I365&amp;"|"&amp;$J365&amp;"|"&amp;3,Assessments!$A$2:$A$600,0)),0)</f>
        <v>1</v>
      </c>
      <c r="CZ365" s="28" t="n">
        <f aca="false">IFERROR(INDEX(Assessments!$J$2:$J$600,MATCH($H365&amp;"|"&amp;$I365&amp;"|"&amp;$J365&amp;"|"&amp;4,Assessments!$A$2:$A$600,0)),0)</f>
        <v>1</v>
      </c>
      <c r="DA365" s="28" t="n">
        <f aca="false">IFERROR(INDEX(Assessments!$J$2:$J$600,MATCH($H365&amp;"|"&amp;$I365&amp;"|"&amp;$J365&amp;"|"&amp;5,Assessments!$A$2:$A$600,0)),0)</f>
        <v>1</v>
      </c>
      <c r="DB365" s="28" t="n">
        <f aca="false">IFERROR(INDEX(Assessments!$J$2:$J$600,MATCH($H365&amp;"|"&amp;$I365&amp;"|"&amp;$J365&amp;"|"&amp;6,Assessments!$A$2:$A$600,0)),0)</f>
        <v>1</v>
      </c>
      <c r="DC365" s="28" t="n">
        <f aca="false">IFERROR(INDEX(Assessments!$J$2:$J$600,MATCH($H365&amp;"|"&amp;$I365&amp;"|"&amp;$J365&amp;"|"&amp;7,Assessments!$A$2:$A$600,0)),0)</f>
        <v>2</v>
      </c>
      <c r="DD365" s="28" t="n">
        <f aca="false">IFERROR(INDEX(Assessments!$J$2:$J$600,MATCH($H365&amp;"|"&amp;$I365&amp;"|"&amp;$J365&amp;"|"&amp;8,Assessments!$A$2:$A$600,0)),0)</f>
        <v>2</v>
      </c>
      <c r="DE365" s="28" t="n">
        <f aca="false">IFERROR(INDEX(Assessments!$J$2:$J$600,MATCH($H365&amp;"|"&amp;$I365&amp;"|"&amp;$J365&amp;"|"&amp;9,Assessments!$A$2:$A$600,0)),0)</f>
        <v>2</v>
      </c>
      <c r="DF365" s="28" t="n">
        <f aca="false">IFERROR(INDEX(Assessments!$J$2:$J$600,MATCH($H365&amp;"|"&amp;$I365&amp;"|"&amp;$J365&amp;"|"&amp;10,Assessments!$A$2:$A$600,0)),0)</f>
        <v>0</v>
      </c>
      <c r="DG365" s="28" t="n">
        <f aca="false">IFERROR(INDEX(Assessments!$J$2:$J$600,MATCH($H365&amp;"|"&amp;$I365&amp;"|"&amp;$J365&amp;"|"&amp;11,Assessments!$A$2:$A$600,0)),0)</f>
        <v>0</v>
      </c>
      <c r="DH365" s="28" t="n">
        <f aca="false">IFERROR(INDEX(Assessments!$J$2:$J$600,MATCH($H365&amp;"|"&amp;$I365&amp;"|"&amp;$J365&amp;"|"&amp;12,Assessments!$A$2:$A$600,0)),0)</f>
        <v>0</v>
      </c>
      <c r="DI365" s="28" t="n">
        <f aca="false">IFERROR(INDEX(Assessments!$J$2:$J$600,MATCH($H365&amp;"|"&amp;$I365&amp;"|"&amp;$J365&amp;"|"&amp;13,Assessments!$A$2:$A$600,0)),0)</f>
        <v>0</v>
      </c>
      <c r="DJ365" s="28" t="n">
        <f aca="false">IFERROR(INDEX(Assessments!$J$2:$J$600,MATCH($H365&amp;"|"&amp;$I365&amp;"|"&amp;$J365&amp;"|"&amp;14,Assessments!$A$2:$A$600,0)),0)</f>
        <v>0</v>
      </c>
      <c r="DK365" s="28" t="n">
        <f aca="false">S365</f>
        <v>4</v>
      </c>
      <c r="DL365" s="28" t="n">
        <f aca="false">W365</f>
        <v>2</v>
      </c>
      <c r="DM365" s="28" t="str">
        <f aca="false">AA365</f>
        <v/>
      </c>
      <c r="DN365" s="28" t="str">
        <f aca="false">AE365</f>
        <v/>
      </c>
      <c r="DO365" s="28" t="str">
        <f aca="false">AI365</f>
        <v/>
      </c>
      <c r="DP365" s="28" t="str">
        <f aca="false">AM365</f>
        <v/>
      </c>
      <c r="DQ365" s="28" t="str">
        <f aca="false">AQ365</f>
        <v/>
      </c>
      <c r="DR365" s="28" t="str">
        <f aca="false">AU365</f>
        <v/>
      </c>
      <c r="DS365" s="28" t="str">
        <f aca="false">AY365</f>
        <v/>
      </c>
      <c r="DT365" s="28" t="str">
        <f aca="false">BC365</f>
        <v/>
      </c>
      <c r="DU365" s="28" t="str">
        <f aca="false">BG365</f>
        <v/>
      </c>
      <c r="DV365" s="28" t="str">
        <f aca="false">BK365</f>
        <v/>
      </c>
      <c r="DW365" s="28" t="str">
        <f aca="false">BO365</f>
        <v/>
      </c>
      <c r="DX365" s="28" t="str">
        <f aca="false">BS365</f>
        <v/>
      </c>
      <c r="DY365" s="28" t="n">
        <f aca="false">IF(ISNUMBER(S365),1,"")</f>
        <v>1</v>
      </c>
      <c r="DZ365" s="28" t="n">
        <f aca="false">IF(ISNUMBER(W365),2,"")</f>
        <v>2</v>
      </c>
      <c r="EA365" s="28" t="str">
        <f aca="false">IF(ISNUMBER(AA365),3,"")</f>
        <v/>
      </c>
      <c r="EB365" s="28" t="str">
        <f aca="false">IF(ISNUMBER(AE365),4,"")</f>
        <v/>
      </c>
      <c r="EC365" s="28" t="str">
        <f aca="false">IF(ISNUMBER(AI365),5,"")</f>
        <v/>
      </c>
      <c r="ED365" s="28" t="str">
        <f aca="false">IF(ISNUMBER(AM365),6,"")</f>
        <v/>
      </c>
      <c r="EE365" s="28" t="str">
        <f aca="false">IF(ISNUMBER(AQ365),7,"")</f>
        <v/>
      </c>
      <c r="EF365" s="28" t="str">
        <f aca="false">IF(ISNUMBER(AU365),8,"")</f>
        <v/>
      </c>
      <c r="EG365" s="28" t="str">
        <f aca="false">IF(ISNUMBER(AY365),9,"")</f>
        <v/>
      </c>
      <c r="EH365" s="28" t="str">
        <f aca="false">IF(ISNUMBER(BC365),10,"")</f>
        <v/>
      </c>
      <c r="EI365" s="28" t="str">
        <f aca="false">IF(ISNUMBER(BG365),11,"")</f>
        <v/>
      </c>
      <c r="EJ365" s="28" t="str">
        <f aca="false">IF(ISNUMBER(BK365),12,"")</f>
        <v/>
      </c>
      <c r="EK365" s="28" t="str">
        <f aca="false">IF(ISNUMBER(BO365),13,"")</f>
        <v/>
      </c>
      <c r="EL365" s="28" t="str">
        <f aca="false">IF(ISNUMBER(BS365),14,"")</f>
        <v/>
      </c>
      <c r="EM365" s="28" t="n">
        <f aca="false">IF(ISNUMBER(R365),R365*CW365,0)</f>
        <v>40</v>
      </c>
      <c r="EN365" s="28" t="n">
        <f aca="false">IF(ISNUMBER(V365),V365*CX365,0)</f>
        <v>30</v>
      </c>
      <c r="EO365" s="28" t="n">
        <f aca="false">IF(ISNUMBER(Z365),Z365*CY365,0)</f>
        <v>0</v>
      </c>
      <c r="EP365" s="28" t="n">
        <f aca="false">IF(ISNUMBER(AD365),AD365*CZ365,0)</f>
        <v>0</v>
      </c>
      <c r="EQ365" s="28" t="n">
        <f aca="false">IF(ISNUMBER(AH365),AH365*DA365,0)</f>
        <v>0</v>
      </c>
      <c r="ER365" s="28" t="n">
        <f aca="false">IF(ISNUMBER(AL365),AL365*DB365,0)</f>
        <v>0</v>
      </c>
      <c r="ES365" s="28" t="n">
        <f aca="false">IF(ISNUMBER(AP365),AP365*DC365,0)</f>
        <v>0</v>
      </c>
      <c r="ET365" s="28" t="n">
        <f aca="false">IF(ISNUMBER(AT365),AT365*DD365,0)</f>
        <v>0</v>
      </c>
      <c r="EU365" s="28" t="n">
        <f aca="false">IF(ISNUMBER(AX365),AX365*DE365,0)</f>
        <v>0</v>
      </c>
      <c r="EV365" s="28" t="n">
        <f aca="false">IF(ISNUMBER(BB365),BB365*DF365,0)</f>
        <v>0</v>
      </c>
      <c r="EW365" s="28" t="n">
        <f aca="false">IF(ISNUMBER(BF365),BF365*DG365,0)</f>
        <v>0</v>
      </c>
      <c r="EX365" s="28" t="n">
        <f aca="false">IF(ISNUMBER(BJ365),BJ365*DH365,0)</f>
        <v>0</v>
      </c>
      <c r="EY365" s="28" t="n">
        <f aca="false">IF(ISNUMBER(BN365),BN365*DI365,0)</f>
        <v>0</v>
      </c>
      <c r="EZ365" s="28" t="n">
        <f aca="false">IF(ISNUMBER(BR365),BR365*DJ365,0)</f>
        <v>0</v>
      </c>
      <c r="FA365" s="28" t="n">
        <f aca="false">IF(ISNUMBER(R365),CW365,0)</f>
        <v>1</v>
      </c>
      <c r="FB365" s="28" t="n">
        <f aca="false">IF(ISNUMBER(V365),CX365,0)</f>
        <v>1</v>
      </c>
      <c r="FC365" s="28" t="n">
        <f aca="false">IF(ISNUMBER(Z365),CY365,0)</f>
        <v>0</v>
      </c>
      <c r="FD365" s="28" t="n">
        <f aca="false">IF(ISNUMBER(AD365),CZ365,0)</f>
        <v>0</v>
      </c>
      <c r="FE365" s="28" t="n">
        <f aca="false">IF(ISNUMBER(AH365),DA365,0)</f>
        <v>0</v>
      </c>
      <c r="FF365" s="28" t="n">
        <f aca="false">IF(ISNUMBER(AL365),DB365,0)</f>
        <v>0</v>
      </c>
      <c r="FG365" s="28" t="n">
        <f aca="false">IF(ISNUMBER(AP365),DC365,0)</f>
        <v>0</v>
      </c>
      <c r="FH365" s="28" t="n">
        <f aca="false">IF(ISNUMBER(AT365),DD365,0)</f>
        <v>0</v>
      </c>
      <c r="FI365" s="28" t="n">
        <f aca="false">IF(ISNUMBER(AX365),DE365,0)</f>
        <v>0</v>
      </c>
      <c r="FJ365" s="28" t="n">
        <f aca="false">IF(ISNUMBER(BB365),DF365,0)</f>
        <v>0</v>
      </c>
      <c r="FK365" s="28" t="n">
        <f aca="false">IF(ISNUMBER(BF365),DG365,0)</f>
        <v>0</v>
      </c>
      <c r="FL365" s="28" t="n">
        <f aca="false">IF(ISNUMBER(BJ365),DH365,0)</f>
        <v>0</v>
      </c>
      <c r="FM365" s="28" t="n">
        <f aca="false">IF(ISNUMBER(BN365),DI365,0)</f>
        <v>0</v>
      </c>
      <c r="FN365" s="28" t="n">
        <f aca="false">IF(ISNUMBER(BR365),DJ365,0)</f>
        <v>0</v>
      </c>
      <c r="FO365" s="28" t="str">
        <f aca="false">IFERROR(INDEX(Lists!$G$2:$G$20,MATCH($I365&amp;"|"&amp;$J365,Lists!$F$2:$F$20,0)),"")</f>
        <v>Hist Overall HL</v>
      </c>
    </row>
    <row r="366" customFormat="false" ht="19.5" hidden="false" customHeight="true" outlineLevel="0" collapsed="false">
      <c r="A366" s="29" t="s">
        <v>610</v>
      </c>
      <c r="B366" s="29" t="s">
        <v>434</v>
      </c>
      <c r="C366" s="30" t="s">
        <v>192</v>
      </c>
      <c r="D366" s="30" t="s">
        <v>415</v>
      </c>
      <c r="E366" s="31"/>
      <c r="F366" s="30"/>
      <c r="G366" s="30"/>
      <c r="H366" s="32" t="s">
        <v>428</v>
      </c>
      <c r="I366" s="33" t="s">
        <v>416</v>
      </c>
      <c r="J366" s="32" t="s">
        <v>25</v>
      </c>
      <c r="K366" s="34" t="str">
        <f aca="false">IF(OR(M366="",$E366=""),"",M366-$E366)</f>
        <v/>
      </c>
      <c r="L366" s="35" t="n">
        <f aca="false">IF(SUM(FA366:FN366)=0,"",SUM(EM366:EZ366)/SUM(FA366:FN366))</f>
        <v>36.6666666666667</v>
      </c>
      <c r="M366" s="36" t="n">
        <f aca="false">IF(OR(L366="",FO366=""),"",IFERROR(MATCH(L366,INDEX(Boundaries!$B$2:$I$30,MATCH(FO366,Boundaries!$A$2:$A$30,0),0),1)-1,""))</f>
        <v>4</v>
      </c>
      <c r="N366" s="37" t="n">
        <f aca="false">IF(COUNT($DY366:$EL366)&lt;2,"",INDEX($DK366:$DX366,MAX($DY366:$EL366))-INDEX($DK366:$DX366,MIN($DY366:$EL366)))</f>
        <v>0</v>
      </c>
      <c r="O366" s="37" t="n">
        <f aca="false">IF(COUNT($DY366:$EL366)&lt;2,"",INDEX($DK366:$DX366,MAX($DY366:$EL366))-INDEX($DK366:$DX366,LARGE($DY366:$EL366,2)))</f>
        <v>0</v>
      </c>
      <c r="P366" s="38" t="str">
        <f aca="false">IF(K366="","",IF(K366&gt;=0,"On/above target",IF(AND(N366&lt;&gt;"",N366&gt;=0.5),"Improving towards target",IF(AND(O366&lt;&gt;"",O366&lt;=-0.5),"Declining","Stable below target"))))</f>
        <v/>
      </c>
      <c r="Q366" s="39" t="n">
        <v>5</v>
      </c>
      <c r="R366" s="40" t="n">
        <f aca="false">IF(OR(Q366="",BU366=""),"",Q366/BU366*100)</f>
        <v>33.3333333333333</v>
      </c>
      <c r="S366" s="41" t="n">
        <f aca="false">IF(R366="","",IFERROR(MATCH(R366,INDEX(Boundaries!$B$2:$I$30,MATCH(CI366,Boundaries!$A$2:$A$30,0),0),1)-1,""))</f>
        <v>3</v>
      </c>
      <c r="T366" s="42" t="str">
        <f aca="false">IF(OR(S366="",$E366=""),"",S366-$E366)</f>
        <v/>
      </c>
      <c r="U366" s="39" t="n">
        <v>4</v>
      </c>
      <c r="V366" s="40" t="n">
        <f aca="false">IF(OR(U366="",BV366=""),"",U366/BV366*100)</f>
        <v>40</v>
      </c>
      <c r="W366" s="41" t="n">
        <f aca="false">IF(V366="","",IFERROR(MATCH(V366,INDEX(Boundaries!$B$2:$I$30,MATCH(CJ366,Boundaries!$A$2:$A$30,0),0),1)-1,""))</f>
        <v>3</v>
      </c>
      <c r="X366" s="42" t="str">
        <f aca="false">IF(OR(W366="",$E366=""),"",W366-$E366)</f>
        <v/>
      </c>
      <c r="Y366" s="39"/>
      <c r="Z366" s="40" t="str">
        <f aca="false">IF(OR(Y366="",BW366=""),"",Y366/BW366*100)</f>
        <v/>
      </c>
      <c r="AA366" s="41" t="str">
        <f aca="false">IF(Z366="","",IFERROR(MATCH(Z366,INDEX(Boundaries!$B$2:$I$30,MATCH(CK366,Boundaries!$A$2:$A$30,0),0),1)-1,""))</f>
        <v/>
      </c>
      <c r="AB366" s="42" t="str">
        <f aca="false">IF(OR(AA366="",$E366=""),"",AA366-$E366)</f>
        <v/>
      </c>
      <c r="AC366" s="39"/>
      <c r="AD366" s="40" t="str">
        <f aca="false">IF(OR(AC366="",BX366=""),"",AC366/BX366*100)</f>
        <v/>
      </c>
      <c r="AE366" s="41" t="str">
        <f aca="false">IF(AD366="","",IFERROR(MATCH(AD366,INDEX(Boundaries!$B$2:$I$30,MATCH(CL366,Boundaries!$A$2:$A$30,0),0),1)-1,""))</f>
        <v/>
      </c>
      <c r="AF366" s="42" t="str">
        <f aca="false">IF(OR(AE366="",$E366=""),"",AE366-$E366)</f>
        <v/>
      </c>
      <c r="AG366" s="39"/>
      <c r="AH366" s="40" t="str">
        <f aca="false">IF(OR(AG366="",BY366=""),"",AG366/BY366*100)</f>
        <v/>
      </c>
      <c r="AI366" s="41" t="str">
        <f aca="false">IF(AH366="","",IFERROR(MATCH(AH366,INDEX(Boundaries!$B$2:$I$30,MATCH(CM366,Boundaries!$A$2:$A$30,0),0),1)-1,""))</f>
        <v/>
      </c>
      <c r="AJ366" s="42" t="str">
        <f aca="false">IF(OR(AI366="",$E366=""),"",AI366-$E366)</f>
        <v/>
      </c>
      <c r="AK366" s="39"/>
      <c r="AL366" s="40" t="str">
        <f aca="false">IF(OR(AK366="",BZ366=""),"",AK366/BZ366*100)</f>
        <v/>
      </c>
      <c r="AM366" s="41" t="str">
        <f aca="false">IF(AL366="","",IFERROR(MATCH(AL366,INDEX(Boundaries!$B$2:$I$30,MATCH(CN366,Boundaries!$A$2:$A$30,0),0),1)-1,""))</f>
        <v/>
      </c>
      <c r="AN366" s="42" t="str">
        <f aca="false">IF(OR(AM366="",$E366=""),"",AM366-$E366)</f>
        <v/>
      </c>
      <c r="AO366" s="39"/>
      <c r="AP366" s="40" t="str">
        <f aca="false">IF(OR(AO366="",CA366=""),"",AO366/CA366*100)</f>
        <v/>
      </c>
      <c r="AQ366" s="41" t="str">
        <f aca="false">IF(AP366="","",IFERROR(MATCH(AP366,INDEX(Boundaries!$B$2:$I$30,MATCH(CO366,Boundaries!$A$2:$A$30,0),0),1)-1,""))</f>
        <v/>
      </c>
      <c r="AR366" s="42" t="str">
        <f aca="false">IF(OR(AQ366="",$E366=""),"",AQ366-$E366)</f>
        <v/>
      </c>
      <c r="AS366" s="39"/>
      <c r="AT366" s="40" t="str">
        <f aca="false">IF(OR(AS366="",CB366=""),"",AS366/CB366*100)</f>
        <v/>
      </c>
      <c r="AU366" s="41" t="str">
        <f aca="false">IF(AT366="","",IFERROR(MATCH(AT366,INDEX(Boundaries!$B$2:$I$30,MATCH(CP366,Boundaries!$A$2:$A$30,0),0),1)-1,""))</f>
        <v/>
      </c>
      <c r="AV366" s="42" t="str">
        <f aca="false">IF(OR(AU366="",$E366=""),"",AU366-$E366)</f>
        <v/>
      </c>
      <c r="AW366" s="39"/>
      <c r="AX366" s="40" t="str">
        <f aca="false">IF(OR(AW366="",CC366=""),"",AW366/CC366*100)</f>
        <v/>
      </c>
      <c r="AY366" s="41" t="str">
        <f aca="false">IF(AX366="","",IFERROR(MATCH(AX366,INDEX(Boundaries!$B$2:$I$30,MATCH(CQ366,Boundaries!$A$2:$A$30,0),0),1)-1,""))</f>
        <v/>
      </c>
      <c r="AZ366" s="42" t="str">
        <f aca="false">IF(OR(AY366="",$E366=""),"",AY366-$E366)</f>
        <v/>
      </c>
      <c r="BA366" s="39"/>
      <c r="BB366" s="40" t="str">
        <f aca="false">IF(OR(BA366="",CD366=""),"",BA366/CD366*100)</f>
        <v/>
      </c>
      <c r="BC366" s="41" t="str">
        <f aca="false">IF(BB366="","",IFERROR(MATCH(BB366,INDEX(Boundaries!$B$2:$I$30,MATCH(CR366,Boundaries!$A$2:$A$30,0),0),1)-1,""))</f>
        <v/>
      </c>
      <c r="BD366" s="42" t="str">
        <f aca="false">IF(OR(BC366="",$E366=""),"",BC366-$E366)</f>
        <v/>
      </c>
      <c r="BE366" s="39"/>
      <c r="BF366" s="40" t="str">
        <f aca="false">IF(OR(BE366="",CE366=""),"",BE366/CE366*100)</f>
        <v/>
      </c>
      <c r="BG366" s="41" t="str">
        <f aca="false">IF(BF366="","",IFERROR(MATCH(BF366,INDEX(Boundaries!$B$2:$I$30,MATCH(CS366,Boundaries!$A$2:$A$30,0),0),1)-1,""))</f>
        <v/>
      </c>
      <c r="BH366" s="42" t="str">
        <f aca="false">IF(OR(BG366="",$E366=""),"",BG366-$E366)</f>
        <v/>
      </c>
      <c r="BI366" s="39"/>
      <c r="BJ366" s="40" t="str">
        <f aca="false">IF(OR(BI366="",CF366=""),"",BI366/CF366*100)</f>
        <v/>
      </c>
      <c r="BK366" s="41" t="str">
        <f aca="false">IF(BJ366="","",IFERROR(MATCH(BJ366,INDEX(Boundaries!$B$2:$I$30,MATCH(CT366,Boundaries!$A$2:$A$30,0),0),1)-1,""))</f>
        <v/>
      </c>
      <c r="BL366" s="42" t="str">
        <f aca="false">IF(OR(BK366="",$E366=""),"",BK366-$E366)</f>
        <v/>
      </c>
      <c r="BM366" s="39"/>
      <c r="BN366" s="40" t="str">
        <f aca="false">IF(OR(BM366="",CG366=""),"",BM366/CG366*100)</f>
        <v/>
      </c>
      <c r="BO366" s="41" t="str">
        <f aca="false">IF(BN366="","",IFERROR(MATCH(BN366,INDEX(Boundaries!$B$2:$I$30,MATCH(CU366,Boundaries!$A$2:$A$30,0),0),1)-1,""))</f>
        <v/>
      </c>
      <c r="BP366" s="42" t="str">
        <f aca="false">IF(OR(BO366="",$E366=""),"",BO366-$E366)</f>
        <v/>
      </c>
      <c r="BQ366" s="39"/>
      <c r="BR366" s="40" t="str">
        <f aca="false">IF(OR(BQ366="",CH366=""),"",BQ366/CH366*100)</f>
        <v/>
      </c>
      <c r="BS366" s="41" t="str">
        <f aca="false">IF(BR366="","",IFERROR(MATCH(BR366,INDEX(Boundaries!$B$2:$I$30,MATCH(CV366,Boundaries!$A$2:$A$30,0),0),1)-1,""))</f>
        <v/>
      </c>
      <c r="BT366" s="42" t="str">
        <f aca="false">IF(OR(BS366="",$E366=""),"",BS366-$E366)</f>
        <v/>
      </c>
      <c r="BU366" s="28" t="n">
        <f aca="false">IFERROR(INDEX(Assessments!$H$2:$H$600,MATCH($H366&amp;"|"&amp;$I366&amp;"|"&amp;$J366&amp;"|"&amp;1,Assessments!$A$2:$A$600,0)),"")</f>
        <v>15</v>
      </c>
      <c r="BV366" s="28" t="n">
        <f aca="false">IFERROR(INDEX(Assessments!$H$2:$H$600,MATCH($H366&amp;"|"&amp;$I366&amp;"|"&amp;$J366&amp;"|"&amp;2,Assessments!$A$2:$A$600,0)),"")</f>
        <v>10</v>
      </c>
      <c r="BW366" s="28" t="n">
        <f aca="false">IFERROR(INDEX(Assessments!$H$2:$H$600,MATCH($H366&amp;"|"&amp;$I366&amp;"|"&amp;$J366&amp;"|"&amp;3,Assessments!$A$2:$A$600,0)),"")</f>
        <v>24</v>
      </c>
      <c r="BX366" s="28" t="n">
        <f aca="false">IFERROR(INDEX(Assessments!$H$2:$H$600,MATCH($H366&amp;"|"&amp;$I366&amp;"|"&amp;$J366&amp;"|"&amp;4,Assessments!$A$2:$A$600,0)),"")</f>
        <v>15</v>
      </c>
      <c r="BY366" s="28" t="n">
        <f aca="false">IFERROR(INDEX(Assessments!$H$2:$H$600,MATCH($H366&amp;"|"&amp;$I366&amp;"|"&amp;$J366&amp;"|"&amp;5,Assessments!$A$2:$A$600,0)),"")</f>
        <v>15</v>
      </c>
      <c r="BZ366" s="28" t="n">
        <f aca="false">IFERROR(INDEX(Assessments!$H$2:$H$600,MATCH($H366&amp;"|"&amp;$I366&amp;"|"&amp;$J366&amp;"|"&amp;6,Assessments!$A$2:$A$600,0)),"")</f>
        <v>15</v>
      </c>
      <c r="CA366" s="28" t="n">
        <f aca="false">IFERROR(INDEX(Assessments!$H$2:$H$600,MATCH($H366&amp;"|"&amp;$I366&amp;"|"&amp;$J366&amp;"|"&amp;7,Assessments!$A$2:$A$600,0)),"")</f>
        <v>24</v>
      </c>
      <c r="CB366" s="28" t="n">
        <f aca="false">IFERROR(INDEX(Assessments!$H$2:$H$600,MATCH($H366&amp;"|"&amp;$I366&amp;"|"&amp;$J366&amp;"|"&amp;8,Assessments!$A$2:$A$600,0)),"")</f>
        <v>30</v>
      </c>
      <c r="CC366" s="28" t="n">
        <f aca="false">IFERROR(INDEX(Assessments!$H$2:$H$600,MATCH($H366&amp;"|"&amp;$I366&amp;"|"&amp;$J366&amp;"|"&amp;9,Assessments!$A$2:$A$600,0)),"")</f>
        <v>15</v>
      </c>
      <c r="CD366" s="28" t="str">
        <f aca="false">IFERROR(INDEX(Assessments!$H$2:$H$600,MATCH($H366&amp;"|"&amp;$I366&amp;"|"&amp;$J366&amp;"|"&amp;10,Assessments!$A$2:$A$600,0)),"")</f>
        <v/>
      </c>
      <c r="CE366" s="28" t="str">
        <f aca="false">IFERROR(INDEX(Assessments!$H$2:$H$600,MATCH($H366&amp;"|"&amp;$I366&amp;"|"&amp;$J366&amp;"|"&amp;11,Assessments!$A$2:$A$600,0)),"")</f>
        <v/>
      </c>
      <c r="CF366" s="28" t="str">
        <f aca="false">IFERROR(INDEX(Assessments!$H$2:$H$600,MATCH($H366&amp;"|"&amp;$I366&amp;"|"&amp;$J366&amp;"|"&amp;12,Assessments!$A$2:$A$600,0)),"")</f>
        <v/>
      </c>
      <c r="CG366" s="28" t="str">
        <f aca="false">IFERROR(INDEX(Assessments!$H$2:$H$600,MATCH($H366&amp;"|"&amp;$I366&amp;"|"&amp;$J366&amp;"|"&amp;13,Assessments!$A$2:$A$600,0)),"")</f>
        <v/>
      </c>
      <c r="CH366" s="28" t="str">
        <f aca="false">IFERROR(INDEX(Assessments!$H$2:$H$600,MATCH($H366&amp;"|"&amp;$I366&amp;"|"&amp;$J366&amp;"|"&amp;14,Assessments!$A$2:$A$600,0)),"")</f>
        <v/>
      </c>
      <c r="CI366" s="28" t="str">
        <f aca="false">IFERROR(INDEX(Assessments!$I$2:$I$600,MATCH($H366&amp;"|"&amp;$I366&amp;"|"&amp;$J366&amp;"|"&amp;1,Assessments!$A$2:$A$600,0)),"")</f>
        <v>Hist P3 essay</v>
      </c>
      <c r="CJ366" s="28" t="str">
        <f aca="false">IFERROR(INDEX(Assessments!$I$2:$I$600,MATCH($H366&amp;"|"&amp;$I366&amp;"|"&amp;$J366&amp;"|"&amp;2,Assessments!$A$2:$A$600,0)),"")</f>
        <v>Hist P2 partial</v>
      </c>
      <c r="CK366" s="28" t="str">
        <f aca="false">IFERROR(INDEX(Assessments!$I$2:$I$600,MATCH($H366&amp;"|"&amp;$I366&amp;"|"&amp;$J366&amp;"|"&amp;3,Assessments!$A$2:$A$600,0)),"")</f>
        <v>Hist P2 partial</v>
      </c>
      <c r="CL366" s="28" t="str">
        <f aca="false">IFERROR(INDEX(Assessments!$I$2:$I$600,MATCH($H366&amp;"|"&amp;$I366&amp;"|"&amp;$J366&amp;"|"&amp;4,Assessments!$A$2:$A$600,0)),"")</f>
        <v>Hist P3 essay</v>
      </c>
      <c r="CM366" s="28" t="str">
        <f aca="false">IFERROR(INDEX(Assessments!$I$2:$I$600,MATCH($H366&amp;"|"&amp;$I366&amp;"|"&amp;$J366&amp;"|"&amp;5,Assessments!$A$2:$A$600,0)),"")</f>
        <v>Hist P3 essay</v>
      </c>
      <c r="CN366" s="28" t="str">
        <f aca="false">IFERROR(INDEX(Assessments!$I$2:$I$600,MATCH($H366&amp;"|"&amp;$I366&amp;"|"&amp;$J366&amp;"|"&amp;6,Assessments!$A$2:$A$600,0)),"")</f>
        <v>Hist P3 essay</v>
      </c>
      <c r="CO366" s="28" t="str">
        <f aca="false">IFERROR(INDEX(Assessments!$I$2:$I$600,MATCH($H366&amp;"|"&amp;$I366&amp;"|"&amp;$J366&amp;"|"&amp;7,Assessments!$A$2:$A$600,0)),"")</f>
        <v>Hist Paper 1</v>
      </c>
      <c r="CP366" s="28" t="str">
        <f aca="false">IFERROR(INDEX(Assessments!$I$2:$I$600,MATCH($H366&amp;"|"&amp;$I366&amp;"|"&amp;$J366&amp;"|"&amp;8,Assessments!$A$2:$A$600,0)),"")</f>
        <v>Hist P2 full</v>
      </c>
      <c r="CQ366" s="28" t="str">
        <f aca="false">IFERROR(INDEX(Assessments!$I$2:$I$600,MATCH($H366&amp;"|"&amp;$I366&amp;"|"&amp;$J366&amp;"|"&amp;9,Assessments!$A$2:$A$600,0)),"")</f>
        <v>Hist P3 full</v>
      </c>
      <c r="CR366" s="28" t="str">
        <f aca="false">IFERROR(INDEX(Assessments!$I$2:$I$600,MATCH($H366&amp;"|"&amp;$I366&amp;"|"&amp;$J366&amp;"|"&amp;10,Assessments!$A$2:$A$600,0)),"")</f>
        <v/>
      </c>
      <c r="CS366" s="28" t="str">
        <f aca="false">IFERROR(INDEX(Assessments!$I$2:$I$600,MATCH($H366&amp;"|"&amp;$I366&amp;"|"&amp;$J366&amp;"|"&amp;11,Assessments!$A$2:$A$600,0)),"")</f>
        <v/>
      </c>
      <c r="CT366" s="28" t="str">
        <f aca="false">IFERROR(INDEX(Assessments!$I$2:$I$600,MATCH($H366&amp;"|"&amp;$I366&amp;"|"&amp;$J366&amp;"|"&amp;12,Assessments!$A$2:$A$600,0)),"")</f>
        <v/>
      </c>
      <c r="CU366" s="28" t="str">
        <f aca="false">IFERROR(INDEX(Assessments!$I$2:$I$600,MATCH($H366&amp;"|"&amp;$I366&amp;"|"&amp;$J366&amp;"|"&amp;13,Assessments!$A$2:$A$600,0)),"")</f>
        <v/>
      </c>
      <c r="CV366" s="28" t="str">
        <f aca="false">IFERROR(INDEX(Assessments!$I$2:$I$600,MATCH($H366&amp;"|"&amp;$I366&amp;"|"&amp;$J366&amp;"|"&amp;14,Assessments!$A$2:$A$600,0)),"")</f>
        <v/>
      </c>
      <c r="CW366" s="28" t="n">
        <f aca="false">IFERROR(INDEX(Assessments!$J$2:$J$600,MATCH($H366&amp;"|"&amp;$I366&amp;"|"&amp;$J366&amp;"|"&amp;1,Assessments!$A$2:$A$600,0)),0)</f>
        <v>1</v>
      </c>
      <c r="CX366" s="28" t="n">
        <f aca="false">IFERROR(INDEX(Assessments!$J$2:$J$600,MATCH($H366&amp;"|"&amp;$I366&amp;"|"&amp;$J366&amp;"|"&amp;2,Assessments!$A$2:$A$600,0)),0)</f>
        <v>1</v>
      </c>
      <c r="CY366" s="28" t="n">
        <f aca="false">IFERROR(INDEX(Assessments!$J$2:$J$600,MATCH($H366&amp;"|"&amp;$I366&amp;"|"&amp;$J366&amp;"|"&amp;3,Assessments!$A$2:$A$600,0)),0)</f>
        <v>1</v>
      </c>
      <c r="CZ366" s="28" t="n">
        <f aca="false">IFERROR(INDEX(Assessments!$J$2:$J$600,MATCH($H366&amp;"|"&amp;$I366&amp;"|"&amp;$J366&amp;"|"&amp;4,Assessments!$A$2:$A$600,0)),0)</f>
        <v>1</v>
      </c>
      <c r="DA366" s="28" t="n">
        <f aca="false">IFERROR(INDEX(Assessments!$J$2:$J$600,MATCH($H366&amp;"|"&amp;$I366&amp;"|"&amp;$J366&amp;"|"&amp;5,Assessments!$A$2:$A$600,0)),0)</f>
        <v>1</v>
      </c>
      <c r="DB366" s="28" t="n">
        <f aca="false">IFERROR(INDEX(Assessments!$J$2:$J$600,MATCH($H366&amp;"|"&amp;$I366&amp;"|"&amp;$J366&amp;"|"&amp;6,Assessments!$A$2:$A$600,0)),0)</f>
        <v>1</v>
      </c>
      <c r="DC366" s="28" t="n">
        <f aca="false">IFERROR(INDEX(Assessments!$J$2:$J$600,MATCH($H366&amp;"|"&amp;$I366&amp;"|"&amp;$J366&amp;"|"&amp;7,Assessments!$A$2:$A$600,0)),0)</f>
        <v>2</v>
      </c>
      <c r="DD366" s="28" t="n">
        <f aca="false">IFERROR(INDEX(Assessments!$J$2:$J$600,MATCH($H366&amp;"|"&amp;$I366&amp;"|"&amp;$J366&amp;"|"&amp;8,Assessments!$A$2:$A$600,0)),0)</f>
        <v>2</v>
      </c>
      <c r="DE366" s="28" t="n">
        <f aca="false">IFERROR(INDEX(Assessments!$J$2:$J$600,MATCH($H366&amp;"|"&amp;$I366&amp;"|"&amp;$J366&amp;"|"&amp;9,Assessments!$A$2:$A$600,0)),0)</f>
        <v>2</v>
      </c>
      <c r="DF366" s="28" t="n">
        <f aca="false">IFERROR(INDEX(Assessments!$J$2:$J$600,MATCH($H366&amp;"|"&amp;$I366&amp;"|"&amp;$J366&amp;"|"&amp;10,Assessments!$A$2:$A$600,0)),0)</f>
        <v>0</v>
      </c>
      <c r="DG366" s="28" t="n">
        <f aca="false">IFERROR(INDEX(Assessments!$J$2:$J$600,MATCH($H366&amp;"|"&amp;$I366&amp;"|"&amp;$J366&amp;"|"&amp;11,Assessments!$A$2:$A$600,0)),0)</f>
        <v>0</v>
      </c>
      <c r="DH366" s="28" t="n">
        <f aca="false">IFERROR(INDEX(Assessments!$J$2:$J$600,MATCH($H366&amp;"|"&amp;$I366&amp;"|"&amp;$J366&amp;"|"&amp;12,Assessments!$A$2:$A$600,0)),0)</f>
        <v>0</v>
      </c>
      <c r="DI366" s="28" t="n">
        <f aca="false">IFERROR(INDEX(Assessments!$J$2:$J$600,MATCH($H366&amp;"|"&amp;$I366&amp;"|"&amp;$J366&amp;"|"&amp;13,Assessments!$A$2:$A$600,0)),0)</f>
        <v>0</v>
      </c>
      <c r="DJ366" s="28" t="n">
        <f aca="false">IFERROR(INDEX(Assessments!$J$2:$J$600,MATCH($H366&amp;"|"&amp;$I366&amp;"|"&amp;$J366&amp;"|"&amp;14,Assessments!$A$2:$A$600,0)),0)</f>
        <v>0</v>
      </c>
      <c r="DK366" s="28" t="n">
        <f aca="false">S366</f>
        <v>3</v>
      </c>
      <c r="DL366" s="28" t="n">
        <f aca="false">W366</f>
        <v>3</v>
      </c>
      <c r="DM366" s="28" t="str">
        <f aca="false">AA366</f>
        <v/>
      </c>
      <c r="DN366" s="28" t="str">
        <f aca="false">AE366</f>
        <v/>
      </c>
      <c r="DO366" s="28" t="str">
        <f aca="false">AI366</f>
        <v/>
      </c>
      <c r="DP366" s="28" t="str">
        <f aca="false">AM366</f>
        <v/>
      </c>
      <c r="DQ366" s="28" t="str">
        <f aca="false">AQ366</f>
        <v/>
      </c>
      <c r="DR366" s="28" t="str">
        <f aca="false">AU366</f>
        <v/>
      </c>
      <c r="DS366" s="28" t="str">
        <f aca="false">AY366</f>
        <v/>
      </c>
      <c r="DT366" s="28" t="str">
        <f aca="false">BC366</f>
        <v/>
      </c>
      <c r="DU366" s="28" t="str">
        <f aca="false">BG366</f>
        <v/>
      </c>
      <c r="DV366" s="28" t="str">
        <f aca="false">BK366</f>
        <v/>
      </c>
      <c r="DW366" s="28" t="str">
        <f aca="false">BO366</f>
        <v/>
      </c>
      <c r="DX366" s="28" t="str">
        <f aca="false">BS366</f>
        <v/>
      </c>
      <c r="DY366" s="28" t="n">
        <f aca="false">IF(ISNUMBER(S366),1,"")</f>
        <v>1</v>
      </c>
      <c r="DZ366" s="28" t="n">
        <f aca="false">IF(ISNUMBER(W366),2,"")</f>
        <v>2</v>
      </c>
      <c r="EA366" s="28" t="str">
        <f aca="false">IF(ISNUMBER(AA366),3,"")</f>
        <v/>
      </c>
      <c r="EB366" s="28" t="str">
        <f aca="false">IF(ISNUMBER(AE366),4,"")</f>
        <v/>
      </c>
      <c r="EC366" s="28" t="str">
        <f aca="false">IF(ISNUMBER(AI366),5,"")</f>
        <v/>
      </c>
      <c r="ED366" s="28" t="str">
        <f aca="false">IF(ISNUMBER(AM366),6,"")</f>
        <v/>
      </c>
      <c r="EE366" s="28" t="str">
        <f aca="false">IF(ISNUMBER(AQ366),7,"")</f>
        <v/>
      </c>
      <c r="EF366" s="28" t="str">
        <f aca="false">IF(ISNUMBER(AU366),8,"")</f>
        <v/>
      </c>
      <c r="EG366" s="28" t="str">
        <f aca="false">IF(ISNUMBER(AY366),9,"")</f>
        <v/>
      </c>
      <c r="EH366" s="28" t="str">
        <f aca="false">IF(ISNUMBER(BC366),10,"")</f>
        <v/>
      </c>
      <c r="EI366" s="28" t="str">
        <f aca="false">IF(ISNUMBER(BG366),11,"")</f>
        <v/>
      </c>
      <c r="EJ366" s="28" t="str">
        <f aca="false">IF(ISNUMBER(BK366),12,"")</f>
        <v/>
      </c>
      <c r="EK366" s="28" t="str">
        <f aca="false">IF(ISNUMBER(BO366),13,"")</f>
        <v/>
      </c>
      <c r="EL366" s="28" t="str">
        <f aca="false">IF(ISNUMBER(BS366),14,"")</f>
        <v/>
      </c>
      <c r="EM366" s="28" t="n">
        <f aca="false">IF(ISNUMBER(R366),R366*CW366,0)</f>
        <v>33.3333333333333</v>
      </c>
      <c r="EN366" s="28" t="n">
        <f aca="false">IF(ISNUMBER(V366),V366*CX366,0)</f>
        <v>40</v>
      </c>
      <c r="EO366" s="28" t="n">
        <f aca="false">IF(ISNUMBER(Z366),Z366*CY366,0)</f>
        <v>0</v>
      </c>
      <c r="EP366" s="28" t="n">
        <f aca="false">IF(ISNUMBER(AD366),AD366*CZ366,0)</f>
        <v>0</v>
      </c>
      <c r="EQ366" s="28" t="n">
        <f aca="false">IF(ISNUMBER(AH366),AH366*DA366,0)</f>
        <v>0</v>
      </c>
      <c r="ER366" s="28" t="n">
        <f aca="false">IF(ISNUMBER(AL366),AL366*DB366,0)</f>
        <v>0</v>
      </c>
      <c r="ES366" s="28" t="n">
        <f aca="false">IF(ISNUMBER(AP366),AP366*DC366,0)</f>
        <v>0</v>
      </c>
      <c r="ET366" s="28" t="n">
        <f aca="false">IF(ISNUMBER(AT366),AT366*DD366,0)</f>
        <v>0</v>
      </c>
      <c r="EU366" s="28" t="n">
        <f aca="false">IF(ISNUMBER(AX366),AX366*DE366,0)</f>
        <v>0</v>
      </c>
      <c r="EV366" s="28" t="n">
        <f aca="false">IF(ISNUMBER(BB366),BB366*DF366,0)</f>
        <v>0</v>
      </c>
      <c r="EW366" s="28" t="n">
        <f aca="false">IF(ISNUMBER(BF366),BF366*DG366,0)</f>
        <v>0</v>
      </c>
      <c r="EX366" s="28" t="n">
        <f aca="false">IF(ISNUMBER(BJ366),BJ366*DH366,0)</f>
        <v>0</v>
      </c>
      <c r="EY366" s="28" t="n">
        <f aca="false">IF(ISNUMBER(BN366),BN366*DI366,0)</f>
        <v>0</v>
      </c>
      <c r="EZ366" s="28" t="n">
        <f aca="false">IF(ISNUMBER(BR366),BR366*DJ366,0)</f>
        <v>0</v>
      </c>
      <c r="FA366" s="28" t="n">
        <f aca="false">IF(ISNUMBER(R366),CW366,0)</f>
        <v>1</v>
      </c>
      <c r="FB366" s="28" t="n">
        <f aca="false">IF(ISNUMBER(V366),CX366,0)</f>
        <v>1</v>
      </c>
      <c r="FC366" s="28" t="n">
        <f aca="false">IF(ISNUMBER(Z366),CY366,0)</f>
        <v>0</v>
      </c>
      <c r="FD366" s="28" t="n">
        <f aca="false">IF(ISNUMBER(AD366),CZ366,0)</f>
        <v>0</v>
      </c>
      <c r="FE366" s="28" t="n">
        <f aca="false">IF(ISNUMBER(AH366),DA366,0)</f>
        <v>0</v>
      </c>
      <c r="FF366" s="28" t="n">
        <f aca="false">IF(ISNUMBER(AL366),DB366,0)</f>
        <v>0</v>
      </c>
      <c r="FG366" s="28" t="n">
        <f aca="false">IF(ISNUMBER(AP366),DC366,0)</f>
        <v>0</v>
      </c>
      <c r="FH366" s="28" t="n">
        <f aca="false">IF(ISNUMBER(AT366),DD366,0)</f>
        <v>0</v>
      </c>
      <c r="FI366" s="28" t="n">
        <f aca="false">IF(ISNUMBER(AX366),DE366,0)</f>
        <v>0</v>
      </c>
      <c r="FJ366" s="28" t="n">
        <f aca="false">IF(ISNUMBER(BB366),DF366,0)</f>
        <v>0</v>
      </c>
      <c r="FK366" s="28" t="n">
        <f aca="false">IF(ISNUMBER(BF366),DG366,0)</f>
        <v>0</v>
      </c>
      <c r="FL366" s="28" t="n">
        <f aca="false">IF(ISNUMBER(BJ366),DH366,0)</f>
        <v>0</v>
      </c>
      <c r="FM366" s="28" t="n">
        <f aca="false">IF(ISNUMBER(BN366),DI366,0)</f>
        <v>0</v>
      </c>
      <c r="FN366" s="28" t="n">
        <f aca="false">IF(ISNUMBER(BR366),DJ366,0)</f>
        <v>0</v>
      </c>
      <c r="FO366" s="28" t="str">
        <f aca="false">IFERROR(INDEX(Lists!$G$2:$G$20,MATCH($I366&amp;"|"&amp;$J366,Lists!$F$2:$F$20,0)),"")</f>
        <v>Hist Overall HL</v>
      </c>
    </row>
    <row r="367" customFormat="false" ht="19.5" hidden="false" customHeight="true" outlineLevel="0" collapsed="false">
      <c r="A367" s="29" t="s">
        <v>670</v>
      </c>
      <c r="B367" s="29" t="s">
        <v>549</v>
      </c>
      <c r="C367" s="30" t="s">
        <v>192</v>
      </c>
      <c r="D367" s="30" t="s">
        <v>415</v>
      </c>
      <c r="E367" s="31"/>
      <c r="F367" s="30"/>
      <c r="G367" s="30"/>
      <c r="H367" s="32" t="s">
        <v>428</v>
      </c>
      <c r="I367" s="33" t="s">
        <v>416</v>
      </c>
      <c r="J367" s="32" t="s">
        <v>25</v>
      </c>
      <c r="K367" s="34" t="str">
        <f aca="false">IF(OR(M367="",$E367=""),"",M367-$E367)</f>
        <v/>
      </c>
      <c r="L367" s="35" t="n">
        <f aca="false">IF(SUM(FA367:FN367)=0,"",SUM(EM367:EZ367)/SUM(FA367:FN367))</f>
        <v>70</v>
      </c>
      <c r="M367" s="36" t="n">
        <f aca="false">IF(OR(L367="",FO367=""),"",IFERROR(MATCH(L367,INDEX(Boundaries!$B$2:$I$30,MATCH(FO367,Boundaries!$A$2:$A$30,0),0),1)-1,""))</f>
        <v>6</v>
      </c>
      <c r="N367" s="37" t="n">
        <f aca="false">IF(COUNT($DY367:$EL367)&lt;2,"",INDEX($DK367:$DX367,MAX($DY367:$EL367))-INDEX($DK367:$DX367,MIN($DY367:$EL367)))</f>
        <v>1</v>
      </c>
      <c r="O367" s="37" t="n">
        <f aca="false">IF(COUNT($DY367:$EL367)&lt;2,"",INDEX($DK367:$DX367,MAX($DY367:$EL367))-INDEX($DK367:$DX367,LARGE($DY367:$EL367,2)))</f>
        <v>1</v>
      </c>
      <c r="P367" s="38" t="str">
        <f aca="false">IF(K367="","",IF(K367&gt;=0,"On/above target",IF(AND(N367&lt;&gt;"",N367&gt;=0.5),"Improving towards target",IF(AND(O367&lt;&gt;"",O367&lt;=-0.5),"Declining","Stable below target"))))</f>
        <v/>
      </c>
      <c r="Q367" s="39" t="n">
        <v>9</v>
      </c>
      <c r="R367" s="40" t="n">
        <f aca="false">IF(OR(Q367="",BU367=""),"",Q367/BU367*100)</f>
        <v>60</v>
      </c>
      <c r="S367" s="41" t="n">
        <f aca="false">IF(R367="","",IFERROR(MATCH(R367,INDEX(Boundaries!$B$2:$I$30,MATCH(CI367,Boundaries!$A$2:$A$30,0),0),1)-1,""))</f>
        <v>5</v>
      </c>
      <c r="T367" s="42" t="str">
        <f aca="false">IF(OR(S367="",$E367=""),"",S367-$E367)</f>
        <v/>
      </c>
      <c r="U367" s="39" t="n">
        <v>8</v>
      </c>
      <c r="V367" s="40" t="n">
        <f aca="false">IF(OR(U367="",BV367=""),"",U367/BV367*100)</f>
        <v>80</v>
      </c>
      <c r="W367" s="41" t="n">
        <f aca="false">IF(V367="","",IFERROR(MATCH(V367,INDEX(Boundaries!$B$2:$I$30,MATCH(CJ367,Boundaries!$A$2:$A$30,0),0),1)-1,""))</f>
        <v>6</v>
      </c>
      <c r="X367" s="42" t="str">
        <f aca="false">IF(OR(W367="",$E367=""),"",W367-$E367)</f>
        <v/>
      </c>
      <c r="Y367" s="39"/>
      <c r="Z367" s="40" t="str">
        <f aca="false">IF(OR(Y367="",BW367=""),"",Y367/BW367*100)</f>
        <v/>
      </c>
      <c r="AA367" s="41" t="str">
        <f aca="false">IF(Z367="","",IFERROR(MATCH(Z367,INDEX(Boundaries!$B$2:$I$30,MATCH(CK367,Boundaries!$A$2:$A$30,0),0),1)-1,""))</f>
        <v/>
      </c>
      <c r="AB367" s="42" t="str">
        <f aca="false">IF(OR(AA367="",$E367=""),"",AA367-$E367)</f>
        <v/>
      </c>
      <c r="AC367" s="39"/>
      <c r="AD367" s="40" t="str">
        <f aca="false">IF(OR(AC367="",BX367=""),"",AC367/BX367*100)</f>
        <v/>
      </c>
      <c r="AE367" s="41" t="str">
        <f aca="false">IF(AD367="","",IFERROR(MATCH(AD367,INDEX(Boundaries!$B$2:$I$30,MATCH(CL367,Boundaries!$A$2:$A$30,0),0),1)-1,""))</f>
        <v/>
      </c>
      <c r="AF367" s="42" t="str">
        <f aca="false">IF(OR(AE367="",$E367=""),"",AE367-$E367)</f>
        <v/>
      </c>
      <c r="AG367" s="39"/>
      <c r="AH367" s="40" t="str">
        <f aca="false">IF(OR(AG367="",BY367=""),"",AG367/BY367*100)</f>
        <v/>
      </c>
      <c r="AI367" s="41" t="str">
        <f aca="false">IF(AH367="","",IFERROR(MATCH(AH367,INDEX(Boundaries!$B$2:$I$30,MATCH(CM367,Boundaries!$A$2:$A$30,0),0),1)-1,""))</f>
        <v/>
      </c>
      <c r="AJ367" s="42" t="str">
        <f aca="false">IF(OR(AI367="",$E367=""),"",AI367-$E367)</f>
        <v/>
      </c>
      <c r="AK367" s="39"/>
      <c r="AL367" s="40" t="str">
        <f aca="false">IF(OR(AK367="",BZ367=""),"",AK367/BZ367*100)</f>
        <v/>
      </c>
      <c r="AM367" s="41" t="str">
        <f aca="false">IF(AL367="","",IFERROR(MATCH(AL367,INDEX(Boundaries!$B$2:$I$30,MATCH(CN367,Boundaries!$A$2:$A$30,0),0),1)-1,""))</f>
        <v/>
      </c>
      <c r="AN367" s="42" t="str">
        <f aca="false">IF(OR(AM367="",$E367=""),"",AM367-$E367)</f>
        <v/>
      </c>
      <c r="AO367" s="39"/>
      <c r="AP367" s="40" t="str">
        <f aca="false">IF(OR(AO367="",CA367=""),"",AO367/CA367*100)</f>
        <v/>
      </c>
      <c r="AQ367" s="41" t="str">
        <f aca="false">IF(AP367="","",IFERROR(MATCH(AP367,INDEX(Boundaries!$B$2:$I$30,MATCH(CO367,Boundaries!$A$2:$A$30,0),0),1)-1,""))</f>
        <v/>
      </c>
      <c r="AR367" s="42" t="str">
        <f aca="false">IF(OR(AQ367="",$E367=""),"",AQ367-$E367)</f>
        <v/>
      </c>
      <c r="AS367" s="39"/>
      <c r="AT367" s="40" t="str">
        <f aca="false">IF(OR(AS367="",CB367=""),"",AS367/CB367*100)</f>
        <v/>
      </c>
      <c r="AU367" s="41" t="str">
        <f aca="false">IF(AT367="","",IFERROR(MATCH(AT367,INDEX(Boundaries!$B$2:$I$30,MATCH(CP367,Boundaries!$A$2:$A$30,0),0),1)-1,""))</f>
        <v/>
      </c>
      <c r="AV367" s="42" t="str">
        <f aca="false">IF(OR(AU367="",$E367=""),"",AU367-$E367)</f>
        <v/>
      </c>
      <c r="AW367" s="39"/>
      <c r="AX367" s="40" t="str">
        <f aca="false">IF(OR(AW367="",CC367=""),"",AW367/CC367*100)</f>
        <v/>
      </c>
      <c r="AY367" s="41" t="str">
        <f aca="false">IF(AX367="","",IFERROR(MATCH(AX367,INDEX(Boundaries!$B$2:$I$30,MATCH(CQ367,Boundaries!$A$2:$A$30,0),0),1)-1,""))</f>
        <v/>
      </c>
      <c r="AZ367" s="42" t="str">
        <f aca="false">IF(OR(AY367="",$E367=""),"",AY367-$E367)</f>
        <v/>
      </c>
      <c r="BA367" s="39"/>
      <c r="BB367" s="40" t="str">
        <f aca="false">IF(OR(BA367="",CD367=""),"",BA367/CD367*100)</f>
        <v/>
      </c>
      <c r="BC367" s="41" t="str">
        <f aca="false">IF(BB367="","",IFERROR(MATCH(BB367,INDEX(Boundaries!$B$2:$I$30,MATCH(CR367,Boundaries!$A$2:$A$30,0),0),1)-1,""))</f>
        <v/>
      </c>
      <c r="BD367" s="42" t="str">
        <f aca="false">IF(OR(BC367="",$E367=""),"",BC367-$E367)</f>
        <v/>
      </c>
      <c r="BE367" s="39"/>
      <c r="BF367" s="40" t="str">
        <f aca="false">IF(OR(BE367="",CE367=""),"",BE367/CE367*100)</f>
        <v/>
      </c>
      <c r="BG367" s="41" t="str">
        <f aca="false">IF(BF367="","",IFERROR(MATCH(BF367,INDEX(Boundaries!$B$2:$I$30,MATCH(CS367,Boundaries!$A$2:$A$30,0),0),1)-1,""))</f>
        <v/>
      </c>
      <c r="BH367" s="42" t="str">
        <f aca="false">IF(OR(BG367="",$E367=""),"",BG367-$E367)</f>
        <v/>
      </c>
      <c r="BI367" s="39"/>
      <c r="BJ367" s="40" t="str">
        <f aca="false">IF(OR(BI367="",CF367=""),"",BI367/CF367*100)</f>
        <v/>
      </c>
      <c r="BK367" s="41" t="str">
        <f aca="false">IF(BJ367="","",IFERROR(MATCH(BJ367,INDEX(Boundaries!$B$2:$I$30,MATCH(CT367,Boundaries!$A$2:$A$30,0),0),1)-1,""))</f>
        <v/>
      </c>
      <c r="BL367" s="42" t="str">
        <f aca="false">IF(OR(BK367="",$E367=""),"",BK367-$E367)</f>
        <v/>
      </c>
      <c r="BM367" s="39"/>
      <c r="BN367" s="40" t="str">
        <f aca="false">IF(OR(BM367="",CG367=""),"",BM367/CG367*100)</f>
        <v/>
      </c>
      <c r="BO367" s="41" t="str">
        <f aca="false">IF(BN367="","",IFERROR(MATCH(BN367,INDEX(Boundaries!$B$2:$I$30,MATCH(CU367,Boundaries!$A$2:$A$30,0),0),1)-1,""))</f>
        <v/>
      </c>
      <c r="BP367" s="42" t="str">
        <f aca="false">IF(OR(BO367="",$E367=""),"",BO367-$E367)</f>
        <v/>
      </c>
      <c r="BQ367" s="39"/>
      <c r="BR367" s="40" t="str">
        <f aca="false">IF(OR(BQ367="",CH367=""),"",BQ367/CH367*100)</f>
        <v/>
      </c>
      <c r="BS367" s="41" t="str">
        <f aca="false">IF(BR367="","",IFERROR(MATCH(BR367,INDEX(Boundaries!$B$2:$I$30,MATCH(CV367,Boundaries!$A$2:$A$30,0),0),1)-1,""))</f>
        <v/>
      </c>
      <c r="BT367" s="42" t="str">
        <f aca="false">IF(OR(BS367="",$E367=""),"",BS367-$E367)</f>
        <v/>
      </c>
      <c r="BU367" s="28" t="n">
        <f aca="false">IFERROR(INDEX(Assessments!$H$2:$H$600,MATCH($H367&amp;"|"&amp;$I367&amp;"|"&amp;$J367&amp;"|"&amp;1,Assessments!$A$2:$A$600,0)),"")</f>
        <v>15</v>
      </c>
      <c r="BV367" s="28" t="n">
        <f aca="false">IFERROR(INDEX(Assessments!$H$2:$H$600,MATCH($H367&amp;"|"&amp;$I367&amp;"|"&amp;$J367&amp;"|"&amp;2,Assessments!$A$2:$A$600,0)),"")</f>
        <v>10</v>
      </c>
      <c r="BW367" s="28" t="n">
        <f aca="false">IFERROR(INDEX(Assessments!$H$2:$H$600,MATCH($H367&amp;"|"&amp;$I367&amp;"|"&amp;$J367&amp;"|"&amp;3,Assessments!$A$2:$A$600,0)),"")</f>
        <v>24</v>
      </c>
      <c r="BX367" s="28" t="n">
        <f aca="false">IFERROR(INDEX(Assessments!$H$2:$H$600,MATCH($H367&amp;"|"&amp;$I367&amp;"|"&amp;$J367&amp;"|"&amp;4,Assessments!$A$2:$A$600,0)),"")</f>
        <v>15</v>
      </c>
      <c r="BY367" s="28" t="n">
        <f aca="false">IFERROR(INDEX(Assessments!$H$2:$H$600,MATCH($H367&amp;"|"&amp;$I367&amp;"|"&amp;$J367&amp;"|"&amp;5,Assessments!$A$2:$A$600,0)),"")</f>
        <v>15</v>
      </c>
      <c r="BZ367" s="28" t="n">
        <f aca="false">IFERROR(INDEX(Assessments!$H$2:$H$600,MATCH($H367&amp;"|"&amp;$I367&amp;"|"&amp;$J367&amp;"|"&amp;6,Assessments!$A$2:$A$600,0)),"")</f>
        <v>15</v>
      </c>
      <c r="CA367" s="28" t="n">
        <f aca="false">IFERROR(INDEX(Assessments!$H$2:$H$600,MATCH($H367&amp;"|"&amp;$I367&amp;"|"&amp;$J367&amp;"|"&amp;7,Assessments!$A$2:$A$600,0)),"")</f>
        <v>24</v>
      </c>
      <c r="CB367" s="28" t="n">
        <f aca="false">IFERROR(INDEX(Assessments!$H$2:$H$600,MATCH($H367&amp;"|"&amp;$I367&amp;"|"&amp;$J367&amp;"|"&amp;8,Assessments!$A$2:$A$600,0)),"")</f>
        <v>30</v>
      </c>
      <c r="CC367" s="28" t="n">
        <f aca="false">IFERROR(INDEX(Assessments!$H$2:$H$600,MATCH($H367&amp;"|"&amp;$I367&amp;"|"&amp;$J367&amp;"|"&amp;9,Assessments!$A$2:$A$600,0)),"")</f>
        <v>15</v>
      </c>
      <c r="CD367" s="28" t="str">
        <f aca="false">IFERROR(INDEX(Assessments!$H$2:$H$600,MATCH($H367&amp;"|"&amp;$I367&amp;"|"&amp;$J367&amp;"|"&amp;10,Assessments!$A$2:$A$600,0)),"")</f>
        <v/>
      </c>
      <c r="CE367" s="28" t="str">
        <f aca="false">IFERROR(INDEX(Assessments!$H$2:$H$600,MATCH($H367&amp;"|"&amp;$I367&amp;"|"&amp;$J367&amp;"|"&amp;11,Assessments!$A$2:$A$600,0)),"")</f>
        <v/>
      </c>
      <c r="CF367" s="28" t="str">
        <f aca="false">IFERROR(INDEX(Assessments!$H$2:$H$600,MATCH($H367&amp;"|"&amp;$I367&amp;"|"&amp;$J367&amp;"|"&amp;12,Assessments!$A$2:$A$600,0)),"")</f>
        <v/>
      </c>
      <c r="CG367" s="28" t="str">
        <f aca="false">IFERROR(INDEX(Assessments!$H$2:$H$600,MATCH($H367&amp;"|"&amp;$I367&amp;"|"&amp;$J367&amp;"|"&amp;13,Assessments!$A$2:$A$600,0)),"")</f>
        <v/>
      </c>
      <c r="CH367" s="28" t="str">
        <f aca="false">IFERROR(INDEX(Assessments!$H$2:$H$600,MATCH($H367&amp;"|"&amp;$I367&amp;"|"&amp;$J367&amp;"|"&amp;14,Assessments!$A$2:$A$600,0)),"")</f>
        <v/>
      </c>
      <c r="CI367" s="28" t="str">
        <f aca="false">IFERROR(INDEX(Assessments!$I$2:$I$600,MATCH($H367&amp;"|"&amp;$I367&amp;"|"&amp;$J367&amp;"|"&amp;1,Assessments!$A$2:$A$600,0)),"")</f>
        <v>Hist P3 essay</v>
      </c>
      <c r="CJ367" s="28" t="str">
        <f aca="false">IFERROR(INDEX(Assessments!$I$2:$I$600,MATCH($H367&amp;"|"&amp;$I367&amp;"|"&amp;$J367&amp;"|"&amp;2,Assessments!$A$2:$A$600,0)),"")</f>
        <v>Hist P2 partial</v>
      </c>
      <c r="CK367" s="28" t="str">
        <f aca="false">IFERROR(INDEX(Assessments!$I$2:$I$600,MATCH($H367&amp;"|"&amp;$I367&amp;"|"&amp;$J367&amp;"|"&amp;3,Assessments!$A$2:$A$600,0)),"")</f>
        <v>Hist P2 partial</v>
      </c>
      <c r="CL367" s="28" t="str">
        <f aca="false">IFERROR(INDEX(Assessments!$I$2:$I$600,MATCH($H367&amp;"|"&amp;$I367&amp;"|"&amp;$J367&amp;"|"&amp;4,Assessments!$A$2:$A$600,0)),"")</f>
        <v>Hist P3 essay</v>
      </c>
      <c r="CM367" s="28" t="str">
        <f aca="false">IFERROR(INDEX(Assessments!$I$2:$I$600,MATCH($H367&amp;"|"&amp;$I367&amp;"|"&amp;$J367&amp;"|"&amp;5,Assessments!$A$2:$A$600,0)),"")</f>
        <v>Hist P3 essay</v>
      </c>
      <c r="CN367" s="28" t="str">
        <f aca="false">IFERROR(INDEX(Assessments!$I$2:$I$600,MATCH($H367&amp;"|"&amp;$I367&amp;"|"&amp;$J367&amp;"|"&amp;6,Assessments!$A$2:$A$600,0)),"")</f>
        <v>Hist P3 essay</v>
      </c>
      <c r="CO367" s="28" t="str">
        <f aca="false">IFERROR(INDEX(Assessments!$I$2:$I$600,MATCH($H367&amp;"|"&amp;$I367&amp;"|"&amp;$J367&amp;"|"&amp;7,Assessments!$A$2:$A$600,0)),"")</f>
        <v>Hist Paper 1</v>
      </c>
      <c r="CP367" s="28" t="str">
        <f aca="false">IFERROR(INDEX(Assessments!$I$2:$I$600,MATCH($H367&amp;"|"&amp;$I367&amp;"|"&amp;$J367&amp;"|"&amp;8,Assessments!$A$2:$A$600,0)),"")</f>
        <v>Hist P2 full</v>
      </c>
      <c r="CQ367" s="28" t="str">
        <f aca="false">IFERROR(INDEX(Assessments!$I$2:$I$600,MATCH($H367&amp;"|"&amp;$I367&amp;"|"&amp;$J367&amp;"|"&amp;9,Assessments!$A$2:$A$600,0)),"")</f>
        <v>Hist P3 full</v>
      </c>
      <c r="CR367" s="28" t="str">
        <f aca="false">IFERROR(INDEX(Assessments!$I$2:$I$600,MATCH($H367&amp;"|"&amp;$I367&amp;"|"&amp;$J367&amp;"|"&amp;10,Assessments!$A$2:$A$600,0)),"")</f>
        <v/>
      </c>
      <c r="CS367" s="28" t="str">
        <f aca="false">IFERROR(INDEX(Assessments!$I$2:$I$600,MATCH($H367&amp;"|"&amp;$I367&amp;"|"&amp;$J367&amp;"|"&amp;11,Assessments!$A$2:$A$600,0)),"")</f>
        <v/>
      </c>
      <c r="CT367" s="28" t="str">
        <f aca="false">IFERROR(INDEX(Assessments!$I$2:$I$600,MATCH($H367&amp;"|"&amp;$I367&amp;"|"&amp;$J367&amp;"|"&amp;12,Assessments!$A$2:$A$600,0)),"")</f>
        <v/>
      </c>
      <c r="CU367" s="28" t="str">
        <f aca="false">IFERROR(INDEX(Assessments!$I$2:$I$600,MATCH($H367&amp;"|"&amp;$I367&amp;"|"&amp;$J367&amp;"|"&amp;13,Assessments!$A$2:$A$600,0)),"")</f>
        <v/>
      </c>
      <c r="CV367" s="28" t="str">
        <f aca="false">IFERROR(INDEX(Assessments!$I$2:$I$600,MATCH($H367&amp;"|"&amp;$I367&amp;"|"&amp;$J367&amp;"|"&amp;14,Assessments!$A$2:$A$600,0)),"")</f>
        <v/>
      </c>
      <c r="CW367" s="28" t="n">
        <f aca="false">IFERROR(INDEX(Assessments!$J$2:$J$600,MATCH($H367&amp;"|"&amp;$I367&amp;"|"&amp;$J367&amp;"|"&amp;1,Assessments!$A$2:$A$600,0)),0)</f>
        <v>1</v>
      </c>
      <c r="CX367" s="28" t="n">
        <f aca="false">IFERROR(INDEX(Assessments!$J$2:$J$600,MATCH($H367&amp;"|"&amp;$I367&amp;"|"&amp;$J367&amp;"|"&amp;2,Assessments!$A$2:$A$600,0)),0)</f>
        <v>1</v>
      </c>
      <c r="CY367" s="28" t="n">
        <f aca="false">IFERROR(INDEX(Assessments!$J$2:$J$600,MATCH($H367&amp;"|"&amp;$I367&amp;"|"&amp;$J367&amp;"|"&amp;3,Assessments!$A$2:$A$600,0)),0)</f>
        <v>1</v>
      </c>
      <c r="CZ367" s="28" t="n">
        <f aca="false">IFERROR(INDEX(Assessments!$J$2:$J$600,MATCH($H367&amp;"|"&amp;$I367&amp;"|"&amp;$J367&amp;"|"&amp;4,Assessments!$A$2:$A$600,0)),0)</f>
        <v>1</v>
      </c>
      <c r="DA367" s="28" t="n">
        <f aca="false">IFERROR(INDEX(Assessments!$J$2:$J$600,MATCH($H367&amp;"|"&amp;$I367&amp;"|"&amp;$J367&amp;"|"&amp;5,Assessments!$A$2:$A$600,0)),0)</f>
        <v>1</v>
      </c>
      <c r="DB367" s="28" t="n">
        <f aca="false">IFERROR(INDEX(Assessments!$J$2:$J$600,MATCH($H367&amp;"|"&amp;$I367&amp;"|"&amp;$J367&amp;"|"&amp;6,Assessments!$A$2:$A$600,0)),0)</f>
        <v>1</v>
      </c>
      <c r="DC367" s="28" t="n">
        <f aca="false">IFERROR(INDEX(Assessments!$J$2:$J$600,MATCH($H367&amp;"|"&amp;$I367&amp;"|"&amp;$J367&amp;"|"&amp;7,Assessments!$A$2:$A$600,0)),0)</f>
        <v>2</v>
      </c>
      <c r="DD367" s="28" t="n">
        <f aca="false">IFERROR(INDEX(Assessments!$J$2:$J$600,MATCH($H367&amp;"|"&amp;$I367&amp;"|"&amp;$J367&amp;"|"&amp;8,Assessments!$A$2:$A$600,0)),0)</f>
        <v>2</v>
      </c>
      <c r="DE367" s="28" t="n">
        <f aca="false">IFERROR(INDEX(Assessments!$J$2:$J$600,MATCH($H367&amp;"|"&amp;$I367&amp;"|"&amp;$J367&amp;"|"&amp;9,Assessments!$A$2:$A$600,0)),0)</f>
        <v>2</v>
      </c>
      <c r="DF367" s="28" t="n">
        <f aca="false">IFERROR(INDEX(Assessments!$J$2:$J$600,MATCH($H367&amp;"|"&amp;$I367&amp;"|"&amp;$J367&amp;"|"&amp;10,Assessments!$A$2:$A$600,0)),0)</f>
        <v>0</v>
      </c>
      <c r="DG367" s="28" t="n">
        <f aca="false">IFERROR(INDEX(Assessments!$J$2:$J$600,MATCH($H367&amp;"|"&amp;$I367&amp;"|"&amp;$J367&amp;"|"&amp;11,Assessments!$A$2:$A$600,0)),0)</f>
        <v>0</v>
      </c>
      <c r="DH367" s="28" t="n">
        <f aca="false">IFERROR(INDEX(Assessments!$J$2:$J$600,MATCH($H367&amp;"|"&amp;$I367&amp;"|"&amp;$J367&amp;"|"&amp;12,Assessments!$A$2:$A$600,0)),0)</f>
        <v>0</v>
      </c>
      <c r="DI367" s="28" t="n">
        <f aca="false">IFERROR(INDEX(Assessments!$J$2:$J$600,MATCH($H367&amp;"|"&amp;$I367&amp;"|"&amp;$J367&amp;"|"&amp;13,Assessments!$A$2:$A$600,0)),0)</f>
        <v>0</v>
      </c>
      <c r="DJ367" s="28" t="n">
        <f aca="false">IFERROR(INDEX(Assessments!$J$2:$J$600,MATCH($H367&amp;"|"&amp;$I367&amp;"|"&amp;$J367&amp;"|"&amp;14,Assessments!$A$2:$A$600,0)),0)</f>
        <v>0</v>
      </c>
      <c r="DK367" s="28" t="n">
        <f aca="false">S367</f>
        <v>5</v>
      </c>
      <c r="DL367" s="28" t="n">
        <f aca="false">W367</f>
        <v>6</v>
      </c>
      <c r="DM367" s="28" t="str">
        <f aca="false">AA367</f>
        <v/>
      </c>
      <c r="DN367" s="28" t="str">
        <f aca="false">AE367</f>
        <v/>
      </c>
      <c r="DO367" s="28" t="str">
        <f aca="false">AI367</f>
        <v/>
      </c>
      <c r="DP367" s="28" t="str">
        <f aca="false">AM367</f>
        <v/>
      </c>
      <c r="DQ367" s="28" t="str">
        <f aca="false">AQ367</f>
        <v/>
      </c>
      <c r="DR367" s="28" t="str">
        <f aca="false">AU367</f>
        <v/>
      </c>
      <c r="DS367" s="28" t="str">
        <f aca="false">AY367</f>
        <v/>
      </c>
      <c r="DT367" s="28" t="str">
        <f aca="false">BC367</f>
        <v/>
      </c>
      <c r="DU367" s="28" t="str">
        <f aca="false">BG367</f>
        <v/>
      </c>
      <c r="DV367" s="28" t="str">
        <f aca="false">BK367</f>
        <v/>
      </c>
      <c r="DW367" s="28" t="str">
        <f aca="false">BO367</f>
        <v/>
      </c>
      <c r="DX367" s="28" t="str">
        <f aca="false">BS367</f>
        <v/>
      </c>
      <c r="DY367" s="28" t="n">
        <f aca="false">IF(ISNUMBER(S367),1,"")</f>
        <v>1</v>
      </c>
      <c r="DZ367" s="28" t="n">
        <f aca="false">IF(ISNUMBER(W367),2,"")</f>
        <v>2</v>
      </c>
      <c r="EA367" s="28" t="str">
        <f aca="false">IF(ISNUMBER(AA367),3,"")</f>
        <v/>
      </c>
      <c r="EB367" s="28" t="str">
        <f aca="false">IF(ISNUMBER(AE367),4,"")</f>
        <v/>
      </c>
      <c r="EC367" s="28" t="str">
        <f aca="false">IF(ISNUMBER(AI367),5,"")</f>
        <v/>
      </c>
      <c r="ED367" s="28" t="str">
        <f aca="false">IF(ISNUMBER(AM367),6,"")</f>
        <v/>
      </c>
      <c r="EE367" s="28" t="str">
        <f aca="false">IF(ISNUMBER(AQ367),7,"")</f>
        <v/>
      </c>
      <c r="EF367" s="28" t="str">
        <f aca="false">IF(ISNUMBER(AU367),8,"")</f>
        <v/>
      </c>
      <c r="EG367" s="28" t="str">
        <f aca="false">IF(ISNUMBER(AY367),9,"")</f>
        <v/>
      </c>
      <c r="EH367" s="28" t="str">
        <f aca="false">IF(ISNUMBER(BC367),10,"")</f>
        <v/>
      </c>
      <c r="EI367" s="28" t="str">
        <f aca="false">IF(ISNUMBER(BG367),11,"")</f>
        <v/>
      </c>
      <c r="EJ367" s="28" t="str">
        <f aca="false">IF(ISNUMBER(BK367),12,"")</f>
        <v/>
      </c>
      <c r="EK367" s="28" t="str">
        <f aca="false">IF(ISNUMBER(BO367),13,"")</f>
        <v/>
      </c>
      <c r="EL367" s="28" t="str">
        <f aca="false">IF(ISNUMBER(BS367),14,"")</f>
        <v/>
      </c>
      <c r="EM367" s="28" t="n">
        <f aca="false">IF(ISNUMBER(R367),R367*CW367,0)</f>
        <v>60</v>
      </c>
      <c r="EN367" s="28" t="n">
        <f aca="false">IF(ISNUMBER(V367),V367*CX367,0)</f>
        <v>80</v>
      </c>
      <c r="EO367" s="28" t="n">
        <f aca="false">IF(ISNUMBER(Z367),Z367*CY367,0)</f>
        <v>0</v>
      </c>
      <c r="EP367" s="28" t="n">
        <f aca="false">IF(ISNUMBER(AD367),AD367*CZ367,0)</f>
        <v>0</v>
      </c>
      <c r="EQ367" s="28" t="n">
        <f aca="false">IF(ISNUMBER(AH367),AH367*DA367,0)</f>
        <v>0</v>
      </c>
      <c r="ER367" s="28" t="n">
        <f aca="false">IF(ISNUMBER(AL367),AL367*DB367,0)</f>
        <v>0</v>
      </c>
      <c r="ES367" s="28" t="n">
        <f aca="false">IF(ISNUMBER(AP367),AP367*DC367,0)</f>
        <v>0</v>
      </c>
      <c r="ET367" s="28" t="n">
        <f aca="false">IF(ISNUMBER(AT367),AT367*DD367,0)</f>
        <v>0</v>
      </c>
      <c r="EU367" s="28" t="n">
        <f aca="false">IF(ISNUMBER(AX367),AX367*DE367,0)</f>
        <v>0</v>
      </c>
      <c r="EV367" s="28" t="n">
        <f aca="false">IF(ISNUMBER(BB367),BB367*DF367,0)</f>
        <v>0</v>
      </c>
      <c r="EW367" s="28" t="n">
        <f aca="false">IF(ISNUMBER(BF367),BF367*DG367,0)</f>
        <v>0</v>
      </c>
      <c r="EX367" s="28" t="n">
        <f aca="false">IF(ISNUMBER(BJ367),BJ367*DH367,0)</f>
        <v>0</v>
      </c>
      <c r="EY367" s="28" t="n">
        <f aca="false">IF(ISNUMBER(BN367),BN367*DI367,0)</f>
        <v>0</v>
      </c>
      <c r="EZ367" s="28" t="n">
        <f aca="false">IF(ISNUMBER(BR367),BR367*DJ367,0)</f>
        <v>0</v>
      </c>
      <c r="FA367" s="28" t="n">
        <f aca="false">IF(ISNUMBER(R367),CW367,0)</f>
        <v>1</v>
      </c>
      <c r="FB367" s="28" t="n">
        <f aca="false">IF(ISNUMBER(V367),CX367,0)</f>
        <v>1</v>
      </c>
      <c r="FC367" s="28" t="n">
        <f aca="false">IF(ISNUMBER(Z367),CY367,0)</f>
        <v>0</v>
      </c>
      <c r="FD367" s="28" t="n">
        <f aca="false">IF(ISNUMBER(AD367),CZ367,0)</f>
        <v>0</v>
      </c>
      <c r="FE367" s="28" t="n">
        <f aca="false">IF(ISNUMBER(AH367),DA367,0)</f>
        <v>0</v>
      </c>
      <c r="FF367" s="28" t="n">
        <f aca="false">IF(ISNUMBER(AL367),DB367,0)</f>
        <v>0</v>
      </c>
      <c r="FG367" s="28" t="n">
        <f aca="false">IF(ISNUMBER(AP367),DC367,0)</f>
        <v>0</v>
      </c>
      <c r="FH367" s="28" t="n">
        <f aca="false">IF(ISNUMBER(AT367),DD367,0)</f>
        <v>0</v>
      </c>
      <c r="FI367" s="28" t="n">
        <f aca="false">IF(ISNUMBER(AX367),DE367,0)</f>
        <v>0</v>
      </c>
      <c r="FJ367" s="28" t="n">
        <f aca="false">IF(ISNUMBER(BB367),DF367,0)</f>
        <v>0</v>
      </c>
      <c r="FK367" s="28" t="n">
        <f aca="false">IF(ISNUMBER(BF367),DG367,0)</f>
        <v>0</v>
      </c>
      <c r="FL367" s="28" t="n">
        <f aca="false">IF(ISNUMBER(BJ367),DH367,0)</f>
        <v>0</v>
      </c>
      <c r="FM367" s="28" t="n">
        <f aca="false">IF(ISNUMBER(BN367),DI367,0)</f>
        <v>0</v>
      </c>
      <c r="FN367" s="28" t="n">
        <f aca="false">IF(ISNUMBER(BR367),DJ367,0)</f>
        <v>0</v>
      </c>
      <c r="FO367" s="28" t="str">
        <f aca="false">IFERROR(INDEX(Lists!$G$2:$G$20,MATCH($I367&amp;"|"&amp;$J367,Lists!$F$2:$F$20,0)),"")</f>
        <v>Hist Overall HL</v>
      </c>
    </row>
    <row r="368" customFormat="false" ht="19.5" hidden="false" customHeight="true" outlineLevel="0" collapsed="false">
      <c r="A368" s="29" t="s">
        <v>671</v>
      </c>
      <c r="B368" s="29" t="s">
        <v>616</v>
      </c>
      <c r="C368" s="30" t="s">
        <v>192</v>
      </c>
      <c r="D368" s="30" t="s">
        <v>415</v>
      </c>
      <c r="E368" s="31"/>
      <c r="F368" s="30"/>
      <c r="G368" s="30"/>
      <c r="H368" s="32" t="s">
        <v>428</v>
      </c>
      <c r="I368" s="33" t="s">
        <v>416</v>
      </c>
      <c r="J368" s="32" t="s">
        <v>25</v>
      </c>
      <c r="K368" s="34" t="str">
        <f aca="false">IF(OR(M368="",$E368=""),"",M368-$E368)</f>
        <v/>
      </c>
      <c r="L368" s="35" t="n">
        <f aca="false">IF(SUM(FA368:FN368)=0,"",SUM(EM368:EZ368)/SUM(FA368:FN368))</f>
        <v>50</v>
      </c>
      <c r="M368" s="36" t="n">
        <f aca="false">IF(OR(L368="",FO368=""),"",IFERROR(MATCH(L368,INDEX(Boundaries!$B$2:$I$30,MATCH(FO368,Boundaries!$A$2:$A$30,0),0),1)-1,""))</f>
        <v>5</v>
      </c>
      <c r="N368" s="37" t="n">
        <f aca="false">IF(COUNT($DY368:$EL368)&lt;2,"",INDEX($DK368:$DX368,MAX($DY368:$EL368))-INDEX($DK368:$DX368,MIN($DY368:$EL368)))</f>
        <v>-2</v>
      </c>
      <c r="O368" s="37" t="n">
        <f aca="false">IF(COUNT($DY368:$EL368)&lt;2,"",INDEX($DK368:$DX368,MAX($DY368:$EL368))-INDEX($DK368:$DX368,LARGE($DY368:$EL368,2)))</f>
        <v>-2</v>
      </c>
      <c r="P368" s="38" t="str">
        <f aca="false">IF(K368="","",IF(K368&gt;=0,"On/above target",IF(AND(N368&lt;&gt;"",N368&gt;=0.5),"Improving towards target",IF(AND(O368&lt;&gt;"",O368&lt;=-0.5),"Declining","Stable below target"))))</f>
        <v/>
      </c>
      <c r="Q368" s="39" t="n">
        <v>9</v>
      </c>
      <c r="R368" s="40" t="n">
        <f aca="false">IF(OR(Q368="",BU368=""),"",Q368/BU368*100)</f>
        <v>60</v>
      </c>
      <c r="S368" s="41" t="n">
        <f aca="false">IF(R368="","",IFERROR(MATCH(R368,INDEX(Boundaries!$B$2:$I$30,MATCH(CI368,Boundaries!$A$2:$A$30,0),0),1)-1,""))</f>
        <v>5</v>
      </c>
      <c r="T368" s="42" t="str">
        <f aca="false">IF(OR(S368="",$E368=""),"",S368-$E368)</f>
        <v/>
      </c>
      <c r="U368" s="39" t="n">
        <v>4</v>
      </c>
      <c r="V368" s="40" t="n">
        <f aca="false">IF(OR(U368="",BV368=""),"",U368/BV368*100)</f>
        <v>40</v>
      </c>
      <c r="W368" s="41" t="n">
        <f aca="false">IF(V368="","",IFERROR(MATCH(V368,INDEX(Boundaries!$B$2:$I$30,MATCH(CJ368,Boundaries!$A$2:$A$30,0),0),1)-1,""))</f>
        <v>3</v>
      </c>
      <c r="X368" s="42" t="str">
        <f aca="false">IF(OR(W368="",$E368=""),"",W368-$E368)</f>
        <v/>
      </c>
      <c r="Y368" s="39"/>
      <c r="Z368" s="40" t="str">
        <f aca="false">IF(OR(Y368="",BW368=""),"",Y368/BW368*100)</f>
        <v/>
      </c>
      <c r="AA368" s="41" t="str">
        <f aca="false">IF(Z368="","",IFERROR(MATCH(Z368,INDEX(Boundaries!$B$2:$I$30,MATCH(CK368,Boundaries!$A$2:$A$30,0),0),1)-1,""))</f>
        <v/>
      </c>
      <c r="AB368" s="42" t="str">
        <f aca="false">IF(OR(AA368="",$E368=""),"",AA368-$E368)</f>
        <v/>
      </c>
      <c r="AC368" s="39"/>
      <c r="AD368" s="40" t="str">
        <f aca="false">IF(OR(AC368="",BX368=""),"",AC368/BX368*100)</f>
        <v/>
      </c>
      <c r="AE368" s="41" t="str">
        <f aca="false">IF(AD368="","",IFERROR(MATCH(AD368,INDEX(Boundaries!$B$2:$I$30,MATCH(CL368,Boundaries!$A$2:$A$30,0),0),1)-1,""))</f>
        <v/>
      </c>
      <c r="AF368" s="42" t="str">
        <f aca="false">IF(OR(AE368="",$E368=""),"",AE368-$E368)</f>
        <v/>
      </c>
      <c r="AG368" s="39"/>
      <c r="AH368" s="40" t="str">
        <f aca="false">IF(OR(AG368="",BY368=""),"",AG368/BY368*100)</f>
        <v/>
      </c>
      <c r="AI368" s="41" t="str">
        <f aca="false">IF(AH368="","",IFERROR(MATCH(AH368,INDEX(Boundaries!$B$2:$I$30,MATCH(CM368,Boundaries!$A$2:$A$30,0),0),1)-1,""))</f>
        <v/>
      </c>
      <c r="AJ368" s="42" t="str">
        <f aca="false">IF(OR(AI368="",$E368=""),"",AI368-$E368)</f>
        <v/>
      </c>
      <c r="AK368" s="39"/>
      <c r="AL368" s="40" t="str">
        <f aca="false">IF(OR(AK368="",BZ368=""),"",AK368/BZ368*100)</f>
        <v/>
      </c>
      <c r="AM368" s="41" t="str">
        <f aca="false">IF(AL368="","",IFERROR(MATCH(AL368,INDEX(Boundaries!$B$2:$I$30,MATCH(CN368,Boundaries!$A$2:$A$30,0),0),1)-1,""))</f>
        <v/>
      </c>
      <c r="AN368" s="42" t="str">
        <f aca="false">IF(OR(AM368="",$E368=""),"",AM368-$E368)</f>
        <v/>
      </c>
      <c r="AO368" s="39"/>
      <c r="AP368" s="40" t="str">
        <f aca="false">IF(OR(AO368="",CA368=""),"",AO368/CA368*100)</f>
        <v/>
      </c>
      <c r="AQ368" s="41" t="str">
        <f aca="false">IF(AP368="","",IFERROR(MATCH(AP368,INDEX(Boundaries!$B$2:$I$30,MATCH(CO368,Boundaries!$A$2:$A$30,0),0),1)-1,""))</f>
        <v/>
      </c>
      <c r="AR368" s="42" t="str">
        <f aca="false">IF(OR(AQ368="",$E368=""),"",AQ368-$E368)</f>
        <v/>
      </c>
      <c r="AS368" s="39"/>
      <c r="AT368" s="40" t="str">
        <f aca="false">IF(OR(AS368="",CB368=""),"",AS368/CB368*100)</f>
        <v/>
      </c>
      <c r="AU368" s="41" t="str">
        <f aca="false">IF(AT368="","",IFERROR(MATCH(AT368,INDEX(Boundaries!$B$2:$I$30,MATCH(CP368,Boundaries!$A$2:$A$30,0),0),1)-1,""))</f>
        <v/>
      </c>
      <c r="AV368" s="42" t="str">
        <f aca="false">IF(OR(AU368="",$E368=""),"",AU368-$E368)</f>
        <v/>
      </c>
      <c r="AW368" s="39"/>
      <c r="AX368" s="40" t="str">
        <f aca="false">IF(OR(AW368="",CC368=""),"",AW368/CC368*100)</f>
        <v/>
      </c>
      <c r="AY368" s="41" t="str">
        <f aca="false">IF(AX368="","",IFERROR(MATCH(AX368,INDEX(Boundaries!$B$2:$I$30,MATCH(CQ368,Boundaries!$A$2:$A$30,0),0),1)-1,""))</f>
        <v/>
      </c>
      <c r="AZ368" s="42" t="str">
        <f aca="false">IF(OR(AY368="",$E368=""),"",AY368-$E368)</f>
        <v/>
      </c>
      <c r="BA368" s="39"/>
      <c r="BB368" s="40" t="str">
        <f aca="false">IF(OR(BA368="",CD368=""),"",BA368/CD368*100)</f>
        <v/>
      </c>
      <c r="BC368" s="41" t="str">
        <f aca="false">IF(BB368="","",IFERROR(MATCH(BB368,INDEX(Boundaries!$B$2:$I$30,MATCH(CR368,Boundaries!$A$2:$A$30,0),0),1)-1,""))</f>
        <v/>
      </c>
      <c r="BD368" s="42" t="str">
        <f aca="false">IF(OR(BC368="",$E368=""),"",BC368-$E368)</f>
        <v/>
      </c>
      <c r="BE368" s="39"/>
      <c r="BF368" s="40" t="str">
        <f aca="false">IF(OR(BE368="",CE368=""),"",BE368/CE368*100)</f>
        <v/>
      </c>
      <c r="BG368" s="41" t="str">
        <f aca="false">IF(BF368="","",IFERROR(MATCH(BF368,INDEX(Boundaries!$B$2:$I$30,MATCH(CS368,Boundaries!$A$2:$A$30,0),0),1)-1,""))</f>
        <v/>
      </c>
      <c r="BH368" s="42" t="str">
        <f aca="false">IF(OR(BG368="",$E368=""),"",BG368-$E368)</f>
        <v/>
      </c>
      <c r="BI368" s="39"/>
      <c r="BJ368" s="40" t="str">
        <f aca="false">IF(OR(BI368="",CF368=""),"",BI368/CF368*100)</f>
        <v/>
      </c>
      <c r="BK368" s="41" t="str">
        <f aca="false">IF(BJ368="","",IFERROR(MATCH(BJ368,INDEX(Boundaries!$B$2:$I$30,MATCH(CT368,Boundaries!$A$2:$A$30,0),0),1)-1,""))</f>
        <v/>
      </c>
      <c r="BL368" s="42" t="str">
        <f aca="false">IF(OR(BK368="",$E368=""),"",BK368-$E368)</f>
        <v/>
      </c>
      <c r="BM368" s="39"/>
      <c r="BN368" s="40" t="str">
        <f aca="false">IF(OR(BM368="",CG368=""),"",BM368/CG368*100)</f>
        <v/>
      </c>
      <c r="BO368" s="41" t="str">
        <f aca="false">IF(BN368="","",IFERROR(MATCH(BN368,INDEX(Boundaries!$B$2:$I$30,MATCH(CU368,Boundaries!$A$2:$A$30,0),0),1)-1,""))</f>
        <v/>
      </c>
      <c r="BP368" s="42" t="str">
        <f aca="false">IF(OR(BO368="",$E368=""),"",BO368-$E368)</f>
        <v/>
      </c>
      <c r="BQ368" s="39"/>
      <c r="BR368" s="40" t="str">
        <f aca="false">IF(OR(BQ368="",CH368=""),"",BQ368/CH368*100)</f>
        <v/>
      </c>
      <c r="BS368" s="41" t="str">
        <f aca="false">IF(BR368="","",IFERROR(MATCH(BR368,INDEX(Boundaries!$B$2:$I$30,MATCH(CV368,Boundaries!$A$2:$A$30,0),0),1)-1,""))</f>
        <v/>
      </c>
      <c r="BT368" s="42" t="str">
        <f aca="false">IF(OR(BS368="",$E368=""),"",BS368-$E368)</f>
        <v/>
      </c>
      <c r="BU368" s="28" t="n">
        <f aca="false">IFERROR(INDEX(Assessments!$H$2:$H$600,MATCH($H368&amp;"|"&amp;$I368&amp;"|"&amp;$J368&amp;"|"&amp;1,Assessments!$A$2:$A$600,0)),"")</f>
        <v>15</v>
      </c>
      <c r="BV368" s="28" t="n">
        <f aca="false">IFERROR(INDEX(Assessments!$H$2:$H$600,MATCH($H368&amp;"|"&amp;$I368&amp;"|"&amp;$J368&amp;"|"&amp;2,Assessments!$A$2:$A$600,0)),"")</f>
        <v>10</v>
      </c>
      <c r="BW368" s="28" t="n">
        <f aca="false">IFERROR(INDEX(Assessments!$H$2:$H$600,MATCH($H368&amp;"|"&amp;$I368&amp;"|"&amp;$J368&amp;"|"&amp;3,Assessments!$A$2:$A$600,0)),"")</f>
        <v>24</v>
      </c>
      <c r="BX368" s="28" t="n">
        <f aca="false">IFERROR(INDEX(Assessments!$H$2:$H$600,MATCH($H368&amp;"|"&amp;$I368&amp;"|"&amp;$J368&amp;"|"&amp;4,Assessments!$A$2:$A$600,0)),"")</f>
        <v>15</v>
      </c>
      <c r="BY368" s="28" t="n">
        <f aca="false">IFERROR(INDEX(Assessments!$H$2:$H$600,MATCH($H368&amp;"|"&amp;$I368&amp;"|"&amp;$J368&amp;"|"&amp;5,Assessments!$A$2:$A$600,0)),"")</f>
        <v>15</v>
      </c>
      <c r="BZ368" s="28" t="n">
        <f aca="false">IFERROR(INDEX(Assessments!$H$2:$H$600,MATCH($H368&amp;"|"&amp;$I368&amp;"|"&amp;$J368&amp;"|"&amp;6,Assessments!$A$2:$A$600,0)),"")</f>
        <v>15</v>
      </c>
      <c r="CA368" s="28" t="n">
        <f aca="false">IFERROR(INDEX(Assessments!$H$2:$H$600,MATCH($H368&amp;"|"&amp;$I368&amp;"|"&amp;$J368&amp;"|"&amp;7,Assessments!$A$2:$A$600,0)),"")</f>
        <v>24</v>
      </c>
      <c r="CB368" s="28" t="n">
        <f aca="false">IFERROR(INDEX(Assessments!$H$2:$H$600,MATCH($H368&amp;"|"&amp;$I368&amp;"|"&amp;$J368&amp;"|"&amp;8,Assessments!$A$2:$A$600,0)),"")</f>
        <v>30</v>
      </c>
      <c r="CC368" s="28" t="n">
        <f aca="false">IFERROR(INDEX(Assessments!$H$2:$H$600,MATCH($H368&amp;"|"&amp;$I368&amp;"|"&amp;$J368&amp;"|"&amp;9,Assessments!$A$2:$A$600,0)),"")</f>
        <v>15</v>
      </c>
      <c r="CD368" s="28" t="str">
        <f aca="false">IFERROR(INDEX(Assessments!$H$2:$H$600,MATCH($H368&amp;"|"&amp;$I368&amp;"|"&amp;$J368&amp;"|"&amp;10,Assessments!$A$2:$A$600,0)),"")</f>
        <v/>
      </c>
      <c r="CE368" s="28" t="str">
        <f aca="false">IFERROR(INDEX(Assessments!$H$2:$H$600,MATCH($H368&amp;"|"&amp;$I368&amp;"|"&amp;$J368&amp;"|"&amp;11,Assessments!$A$2:$A$600,0)),"")</f>
        <v/>
      </c>
      <c r="CF368" s="28" t="str">
        <f aca="false">IFERROR(INDEX(Assessments!$H$2:$H$600,MATCH($H368&amp;"|"&amp;$I368&amp;"|"&amp;$J368&amp;"|"&amp;12,Assessments!$A$2:$A$600,0)),"")</f>
        <v/>
      </c>
      <c r="CG368" s="28" t="str">
        <f aca="false">IFERROR(INDEX(Assessments!$H$2:$H$600,MATCH($H368&amp;"|"&amp;$I368&amp;"|"&amp;$J368&amp;"|"&amp;13,Assessments!$A$2:$A$600,0)),"")</f>
        <v/>
      </c>
      <c r="CH368" s="28" t="str">
        <f aca="false">IFERROR(INDEX(Assessments!$H$2:$H$600,MATCH($H368&amp;"|"&amp;$I368&amp;"|"&amp;$J368&amp;"|"&amp;14,Assessments!$A$2:$A$600,0)),"")</f>
        <v/>
      </c>
      <c r="CI368" s="28" t="str">
        <f aca="false">IFERROR(INDEX(Assessments!$I$2:$I$600,MATCH($H368&amp;"|"&amp;$I368&amp;"|"&amp;$J368&amp;"|"&amp;1,Assessments!$A$2:$A$600,0)),"")</f>
        <v>Hist P3 essay</v>
      </c>
      <c r="CJ368" s="28" t="str">
        <f aca="false">IFERROR(INDEX(Assessments!$I$2:$I$600,MATCH($H368&amp;"|"&amp;$I368&amp;"|"&amp;$J368&amp;"|"&amp;2,Assessments!$A$2:$A$600,0)),"")</f>
        <v>Hist P2 partial</v>
      </c>
      <c r="CK368" s="28" t="str">
        <f aca="false">IFERROR(INDEX(Assessments!$I$2:$I$600,MATCH($H368&amp;"|"&amp;$I368&amp;"|"&amp;$J368&amp;"|"&amp;3,Assessments!$A$2:$A$600,0)),"")</f>
        <v>Hist P2 partial</v>
      </c>
      <c r="CL368" s="28" t="str">
        <f aca="false">IFERROR(INDEX(Assessments!$I$2:$I$600,MATCH($H368&amp;"|"&amp;$I368&amp;"|"&amp;$J368&amp;"|"&amp;4,Assessments!$A$2:$A$600,0)),"")</f>
        <v>Hist P3 essay</v>
      </c>
      <c r="CM368" s="28" t="str">
        <f aca="false">IFERROR(INDEX(Assessments!$I$2:$I$600,MATCH($H368&amp;"|"&amp;$I368&amp;"|"&amp;$J368&amp;"|"&amp;5,Assessments!$A$2:$A$600,0)),"")</f>
        <v>Hist P3 essay</v>
      </c>
      <c r="CN368" s="28" t="str">
        <f aca="false">IFERROR(INDEX(Assessments!$I$2:$I$600,MATCH($H368&amp;"|"&amp;$I368&amp;"|"&amp;$J368&amp;"|"&amp;6,Assessments!$A$2:$A$600,0)),"")</f>
        <v>Hist P3 essay</v>
      </c>
      <c r="CO368" s="28" t="str">
        <f aca="false">IFERROR(INDEX(Assessments!$I$2:$I$600,MATCH($H368&amp;"|"&amp;$I368&amp;"|"&amp;$J368&amp;"|"&amp;7,Assessments!$A$2:$A$600,0)),"")</f>
        <v>Hist Paper 1</v>
      </c>
      <c r="CP368" s="28" t="str">
        <f aca="false">IFERROR(INDEX(Assessments!$I$2:$I$600,MATCH($H368&amp;"|"&amp;$I368&amp;"|"&amp;$J368&amp;"|"&amp;8,Assessments!$A$2:$A$600,0)),"")</f>
        <v>Hist P2 full</v>
      </c>
      <c r="CQ368" s="28" t="str">
        <f aca="false">IFERROR(INDEX(Assessments!$I$2:$I$600,MATCH($H368&amp;"|"&amp;$I368&amp;"|"&amp;$J368&amp;"|"&amp;9,Assessments!$A$2:$A$600,0)),"")</f>
        <v>Hist P3 full</v>
      </c>
      <c r="CR368" s="28" t="str">
        <f aca="false">IFERROR(INDEX(Assessments!$I$2:$I$600,MATCH($H368&amp;"|"&amp;$I368&amp;"|"&amp;$J368&amp;"|"&amp;10,Assessments!$A$2:$A$600,0)),"")</f>
        <v/>
      </c>
      <c r="CS368" s="28" t="str">
        <f aca="false">IFERROR(INDEX(Assessments!$I$2:$I$600,MATCH($H368&amp;"|"&amp;$I368&amp;"|"&amp;$J368&amp;"|"&amp;11,Assessments!$A$2:$A$600,0)),"")</f>
        <v/>
      </c>
      <c r="CT368" s="28" t="str">
        <f aca="false">IFERROR(INDEX(Assessments!$I$2:$I$600,MATCH($H368&amp;"|"&amp;$I368&amp;"|"&amp;$J368&amp;"|"&amp;12,Assessments!$A$2:$A$600,0)),"")</f>
        <v/>
      </c>
      <c r="CU368" s="28" t="str">
        <f aca="false">IFERROR(INDEX(Assessments!$I$2:$I$600,MATCH($H368&amp;"|"&amp;$I368&amp;"|"&amp;$J368&amp;"|"&amp;13,Assessments!$A$2:$A$600,0)),"")</f>
        <v/>
      </c>
      <c r="CV368" s="28" t="str">
        <f aca="false">IFERROR(INDEX(Assessments!$I$2:$I$600,MATCH($H368&amp;"|"&amp;$I368&amp;"|"&amp;$J368&amp;"|"&amp;14,Assessments!$A$2:$A$600,0)),"")</f>
        <v/>
      </c>
      <c r="CW368" s="28" t="n">
        <f aca="false">IFERROR(INDEX(Assessments!$J$2:$J$600,MATCH($H368&amp;"|"&amp;$I368&amp;"|"&amp;$J368&amp;"|"&amp;1,Assessments!$A$2:$A$600,0)),0)</f>
        <v>1</v>
      </c>
      <c r="CX368" s="28" t="n">
        <f aca="false">IFERROR(INDEX(Assessments!$J$2:$J$600,MATCH($H368&amp;"|"&amp;$I368&amp;"|"&amp;$J368&amp;"|"&amp;2,Assessments!$A$2:$A$600,0)),0)</f>
        <v>1</v>
      </c>
      <c r="CY368" s="28" t="n">
        <f aca="false">IFERROR(INDEX(Assessments!$J$2:$J$600,MATCH($H368&amp;"|"&amp;$I368&amp;"|"&amp;$J368&amp;"|"&amp;3,Assessments!$A$2:$A$600,0)),0)</f>
        <v>1</v>
      </c>
      <c r="CZ368" s="28" t="n">
        <f aca="false">IFERROR(INDEX(Assessments!$J$2:$J$600,MATCH($H368&amp;"|"&amp;$I368&amp;"|"&amp;$J368&amp;"|"&amp;4,Assessments!$A$2:$A$600,0)),0)</f>
        <v>1</v>
      </c>
      <c r="DA368" s="28" t="n">
        <f aca="false">IFERROR(INDEX(Assessments!$J$2:$J$600,MATCH($H368&amp;"|"&amp;$I368&amp;"|"&amp;$J368&amp;"|"&amp;5,Assessments!$A$2:$A$600,0)),0)</f>
        <v>1</v>
      </c>
      <c r="DB368" s="28" t="n">
        <f aca="false">IFERROR(INDEX(Assessments!$J$2:$J$600,MATCH($H368&amp;"|"&amp;$I368&amp;"|"&amp;$J368&amp;"|"&amp;6,Assessments!$A$2:$A$600,0)),0)</f>
        <v>1</v>
      </c>
      <c r="DC368" s="28" t="n">
        <f aca="false">IFERROR(INDEX(Assessments!$J$2:$J$600,MATCH($H368&amp;"|"&amp;$I368&amp;"|"&amp;$J368&amp;"|"&amp;7,Assessments!$A$2:$A$600,0)),0)</f>
        <v>2</v>
      </c>
      <c r="DD368" s="28" t="n">
        <f aca="false">IFERROR(INDEX(Assessments!$J$2:$J$600,MATCH($H368&amp;"|"&amp;$I368&amp;"|"&amp;$J368&amp;"|"&amp;8,Assessments!$A$2:$A$600,0)),0)</f>
        <v>2</v>
      </c>
      <c r="DE368" s="28" t="n">
        <f aca="false">IFERROR(INDEX(Assessments!$J$2:$J$600,MATCH($H368&amp;"|"&amp;$I368&amp;"|"&amp;$J368&amp;"|"&amp;9,Assessments!$A$2:$A$600,0)),0)</f>
        <v>2</v>
      </c>
      <c r="DF368" s="28" t="n">
        <f aca="false">IFERROR(INDEX(Assessments!$J$2:$J$600,MATCH($H368&amp;"|"&amp;$I368&amp;"|"&amp;$J368&amp;"|"&amp;10,Assessments!$A$2:$A$600,0)),0)</f>
        <v>0</v>
      </c>
      <c r="DG368" s="28" t="n">
        <f aca="false">IFERROR(INDEX(Assessments!$J$2:$J$600,MATCH($H368&amp;"|"&amp;$I368&amp;"|"&amp;$J368&amp;"|"&amp;11,Assessments!$A$2:$A$600,0)),0)</f>
        <v>0</v>
      </c>
      <c r="DH368" s="28" t="n">
        <f aca="false">IFERROR(INDEX(Assessments!$J$2:$J$600,MATCH($H368&amp;"|"&amp;$I368&amp;"|"&amp;$J368&amp;"|"&amp;12,Assessments!$A$2:$A$600,0)),0)</f>
        <v>0</v>
      </c>
      <c r="DI368" s="28" t="n">
        <f aca="false">IFERROR(INDEX(Assessments!$J$2:$J$600,MATCH($H368&amp;"|"&amp;$I368&amp;"|"&amp;$J368&amp;"|"&amp;13,Assessments!$A$2:$A$600,0)),0)</f>
        <v>0</v>
      </c>
      <c r="DJ368" s="28" t="n">
        <f aca="false">IFERROR(INDEX(Assessments!$J$2:$J$600,MATCH($H368&amp;"|"&amp;$I368&amp;"|"&amp;$J368&amp;"|"&amp;14,Assessments!$A$2:$A$600,0)),0)</f>
        <v>0</v>
      </c>
      <c r="DK368" s="28" t="n">
        <f aca="false">S368</f>
        <v>5</v>
      </c>
      <c r="DL368" s="28" t="n">
        <f aca="false">W368</f>
        <v>3</v>
      </c>
      <c r="DM368" s="28" t="str">
        <f aca="false">AA368</f>
        <v/>
      </c>
      <c r="DN368" s="28" t="str">
        <f aca="false">AE368</f>
        <v/>
      </c>
      <c r="DO368" s="28" t="str">
        <f aca="false">AI368</f>
        <v/>
      </c>
      <c r="DP368" s="28" t="str">
        <f aca="false">AM368</f>
        <v/>
      </c>
      <c r="DQ368" s="28" t="str">
        <f aca="false">AQ368</f>
        <v/>
      </c>
      <c r="DR368" s="28" t="str">
        <f aca="false">AU368</f>
        <v/>
      </c>
      <c r="DS368" s="28" t="str">
        <f aca="false">AY368</f>
        <v/>
      </c>
      <c r="DT368" s="28" t="str">
        <f aca="false">BC368</f>
        <v/>
      </c>
      <c r="DU368" s="28" t="str">
        <f aca="false">BG368</f>
        <v/>
      </c>
      <c r="DV368" s="28" t="str">
        <f aca="false">BK368</f>
        <v/>
      </c>
      <c r="DW368" s="28" t="str">
        <f aca="false">BO368</f>
        <v/>
      </c>
      <c r="DX368" s="28" t="str">
        <f aca="false">BS368</f>
        <v/>
      </c>
      <c r="DY368" s="28" t="n">
        <f aca="false">IF(ISNUMBER(S368),1,"")</f>
        <v>1</v>
      </c>
      <c r="DZ368" s="28" t="n">
        <f aca="false">IF(ISNUMBER(W368),2,"")</f>
        <v>2</v>
      </c>
      <c r="EA368" s="28" t="str">
        <f aca="false">IF(ISNUMBER(AA368),3,"")</f>
        <v/>
      </c>
      <c r="EB368" s="28" t="str">
        <f aca="false">IF(ISNUMBER(AE368),4,"")</f>
        <v/>
      </c>
      <c r="EC368" s="28" t="str">
        <f aca="false">IF(ISNUMBER(AI368),5,"")</f>
        <v/>
      </c>
      <c r="ED368" s="28" t="str">
        <f aca="false">IF(ISNUMBER(AM368),6,"")</f>
        <v/>
      </c>
      <c r="EE368" s="28" t="str">
        <f aca="false">IF(ISNUMBER(AQ368),7,"")</f>
        <v/>
      </c>
      <c r="EF368" s="28" t="str">
        <f aca="false">IF(ISNUMBER(AU368),8,"")</f>
        <v/>
      </c>
      <c r="EG368" s="28" t="str">
        <f aca="false">IF(ISNUMBER(AY368),9,"")</f>
        <v/>
      </c>
      <c r="EH368" s="28" t="str">
        <f aca="false">IF(ISNUMBER(BC368),10,"")</f>
        <v/>
      </c>
      <c r="EI368" s="28" t="str">
        <f aca="false">IF(ISNUMBER(BG368),11,"")</f>
        <v/>
      </c>
      <c r="EJ368" s="28" t="str">
        <f aca="false">IF(ISNUMBER(BK368),12,"")</f>
        <v/>
      </c>
      <c r="EK368" s="28" t="str">
        <f aca="false">IF(ISNUMBER(BO368),13,"")</f>
        <v/>
      </c>
      <c r="EL368" s="28" t="str">
        <f aca="false">IF(ISNUMBER(BS368),14,"")</f>
        <v/>
      </c>
      <c r="EM368" s="28" t="n">
        <f aca="false">IF(ISNUMBER(R368),R368*CW368,0)</f>
        <v>60</v>
      </c>
      <c r="EN368" s="28" t="n">
        <f aca="false">IF(ISNUMBER(V368),V368*CX368,0)</f>
        <v>40</v>
      </c>
      <c r="EO368" s="28" t="n">
        <f aca="false">IF(ISNUMBER(Z368),Z368*CY368,0)</f>
        <v>0</v>
      </c>
      <c r="EP368" s="28" t="n">
        <f aca="false">IF(ISNUMBER(AD368),AD368*CZ368,0)</f>
        <v>0</v>
      </c>
      <c r="EQ368" s="28" t="n">
        <f aca="false">IF(ISNUMBER(AH368),AH368*DA368,0)</f>
        <v>0</v>
      </c>
      <c r="ER368" s="28" t="n">
        <f aca="false">IF(ISNUMBER(AL368),AL368*DB368,0)</f>
        <v>0</v>
      </c>
      <c r="ES368" s="28" t="n">
        <f aca="false">IF(ISNUMBER(AP368),AP368*DC368,0)</f>
        <v>0</v>
      </c>
      <c r="ET368" s="28" t="n">
        <f aca="false">IF(ISNUMBER(AT368),AT368*DD368,0)</f>
        <v>0</v>
      </c>
      <c r="EU368" s="28" t="n">
        <f aca="false">IF(ISNUMBER(AX368),AX368*DE368,0)</f>
        <v>0</v>
      </c>
      <c r="EV368" s="28" t="n">
        <f aca="false">IF(ISNUMBER(BB368),BB368*DF368,0)</f>
        <v>0</v>
      </c>
      <c r="EW368" s="28" t="n">
        <f aca="false">IF(ISNUMBER(BF368),BF368*DG368,0)</f>
        <v>0</v>
      </c>
      <c r="EX368" s="28" t="n">
        <f aca="false">IF(ISNUMBER(BJ368),BJ368*DH368,0)</f>
        <v>0</v>
      </c>
      <c r="EY368" s="28" t="n">
        <f aca="false">IF(ISNUMBER(BN368),BN368*DI368,0)</f>
        <v>0</v>
      </c>
      <c r="EZ368" s="28" t="n">
        <f aca="false">IF(ISNUMBER(BR368),BR368*DJ368,0)</f>
        <v>0</v>
      </c>
      <c r="FA368" s="28" t="n">
        <f aca="false">IF(ISNUMBER(R368),CW368,0)</f>
        <v>1</v>
      </c>
      <c r="FB368" s="28" t="n">
        <f aca="false">IF(ISNUMBER(V368),CX368,0)</f>
        <v>1</v>
      </c>
      <c r="FC368" s="28" t="n">
        <f aca="false">IF(ISNUMBER(Z368),CY368,0)</f>
        <v>0</v>
      </c>
      <c r="FD368" s="28" t="n">
        <f aca="false">IF(ISNUMBER(AD368),CZ368,0)</f>
        <v>0</v>
      </c>
      <c r="FE368" s="28" t="n">
        <f aca="false">IF(ISNUMBER(AH368),DA368,0)</f>
        <v>0</v>
      </c>
      <c r="FF368" s="28" t="n">
        <f aca="false">IF(ISNUMBER(AL368),DB368,0)</f>
        <v>0</v>
      </c>
      <c r="FG368" s="28" t="n">
        <f aca="false">IF(ISNUMBER(AP368),DC368,0)</f>
        <v>0</v>
      </c>
      <c r="FH368" s="28" t="n">
        <f aca="false">IF(ISNUMBER(AT368),DD368,0)</f>
        <v>0</v>
      </c>
      <c r="FI368" s="28" t="n">
        <f aca="false">IF(ISNUMBER(AX368),DE368,0)</f>
        <v>0</v>
      </c>
      <c r="FJ368" s="28" t="n">
        <f aca="false">IF(ISNUMBER(BB368),DF368,0)</f>
        <v>0</v>
      </c>
      <c r="FK368" s="28" t="n">
        <f aca="false">IF(ISNUMBER(BF368),DG368,0)</f>
        <v>0</v>
      </c>
      <c r="FL368" s="28" t="n">
        <f aca="false">IF(ISNUMBER(BJ368),DH368,0)</f>
        <v>0</v>
      </c>
      <c r="FM368" s="28" t="n">
        <f aca="false">IF(ISNUMBER(BN368),DI368,0)</f>
        <v>0</v>
      </c>
      <c r="FN368" s="28" t="n">
        <f aca="false">IF(ISNUMBER(BR368),DJ368,0)</f>
        <v>0</v>
      </c>
      <c r="FO368" s="28" t="str">
        <f aca="false">IFERROR(INDEX(Lists!$G$2:$G$20,MATCH($I368&amp;"|"&amp;$J368,Lists!$F$2:$F$20,0)),"")</f>
        <v>Hist Overall HL</v>
      </c>
    </row>
    <row r="369" customFormat="false" ht="19.5" hidden="false" customHeight="true" outlineLevel="0" collapsed="false">
      <c r="A369" s="29" t="s">
        <v>514</v>
      </c>
      <c r="B369" s="29" t="s">
        <v>515</v>
      </c>
      <c r="C369" s="30" t="s">
        <v>192</v>
      </c>
      <c r="D369" s="30" t="s">
        <v>415</v>
      </c>
      <c r="E369" s="31"/>
      <c r="F369" s="30"/>
      <c r="G369" s="30"/>
      <c r="H369" s="32" t="s">
        <v>428</v>
      </c>
      <c r="I369" s="33" t="s">
        <v>416</v>
      </c>
      <c r="J369" s="32" t="s">
        <v>25</v>
      </c>
      <c r="K369" s="34" t="str">
        <f aca="false">IF(OR(M369="",$E369=""),"",M369-$E369)</f>
        <v/>
      </c>
      <c r="L369" s="35" t="n">
        <f aca="false">IF(SUM(FA369:FN369)=0,"",SUM(EM369:EZ369)/SUM(FA369:FN369))</f>
        <v>55</v>
      </c>
      <c r="M369" s="36" t="n">
        <f aca="false">IF(OR(L369="",FO369=""),"",IFERROR(MATCH(L369,INDEX(Boundaries!$B$2:$I$30,MATCH(FO369,Boundaries!$A$2:$A$30,0),0),1)-1,""))</f>
        <v>5</v>
      </c>
      <c r="N369" s="37" t="n">
        <f aca="false">IF(COUNT($DY369:$EL369)&lt;2,"",INDEX($DK369:$DX369,MAX($DY369:$EL369))-INDEX($DK369:$DX369,MIN($DY369:$EL369)))</f>
        <v>-1</v>
      </c>
      <c r="O369" s="37" t="n">
        <f aca="false">IF(COUNT($DY369:$EL369)&lt;2,"",INDEX($DK369:$DX369,MAX($DY369:$EL369))-INDEX($DK369:$DX369,LARGE($DY369:$EL369,2)))</f>
        <v>-1</v>
      </c>
      <c r="P369" s="38" t="str">
        <f aca="false">IF(K369="","",IF(K369&gt;=0,"On/above target",IF(AND(N369&lt;&gt;"",N369&gt;=0.5),"Improving towards target",IF(AND(O369&lt;&gt;"",O369&lt;=-0.5),"Declining","Stable below target"))))</f>
        <v/>
      </c>
      <c r="Q369" s="39" t="n">
        <v>9</v>
      </c>
      <c r="R369" s="40" t="n">
        <f aca="false">IF(OR(Q369="",BU369=""),"",Q369/BU369*100)</f>
        <v>60</v>
      </c>
      <c r="S369" s="41" t="n">
        <f aca="false">IF(R369="","",IFERROR(MATCH(R369,INDEX(Boundaries!$B$2:$I$30,MATCH(CI369,Boundaries!$A$2:$A$30,0),0),1)-1,""))</f>
        <v>5</v>
      </c>
      <c r="T369" s="42" t="str">
        <f aca="false">IF(OR(S369="",$E369=""),"",S369-$E369)</f>
        <v/>
      </c>
      <c r="U369" s="39" t="n">
        <v>5</v>
      </c>
      <c r="V369" s="40" t="n">
        <f aca="false">IF(OR(U369="",BV369=""),"",U369/BV369*100)</f>
        <v>50</v>
      </c>
      <c r="W369" s="41" t="n">
        <f aca="false">IF(V369="","",IFERROR(MATCH(V369,INDEX(Boundaries!$B$2:$I$30,MATCH(CJ369,Boundaries!$A$2:$A$30,0),0),1)-1,""))</f>
        <v>4</v>
      </c>
      <c r="X369" s="42" t="str">
        <f aca="false">IF(OR(W369="",$E369=""),"",W369-$E369)</f>
        <v/>
      </c>
      <c r="Y369" s="39"/>
      <c r="Z369" s="40" t="str">
        <f aca="false">IF(OR(Y369="",BW369=""),"",Y369/BW369*100)</f>
        <v/>
      </c>
      <c r="AA369" s="41" t="str">
        <f aca="false">IF(Z369="","",IFERROR(MATCH(Z369,INDEX(Boundaries!$B$2:$I$30,MATCH(CK369,Boundaries!$A$2:$A$30,0),0),1)-1,""))</f>
        <v/>
      </c>
      <c r="AB369" s="42" t="str">
        <f aca="false">IF(OR(AA369="",$E369=""),"",AA369-$E369)</f>
        <v/>
      </c>
      <c r="AC369" s="39"/>
      <c r="AD369" s="40" t="str">
        <f aca="false">IF(OR(AC369="",BX369=""),"",AC369/BX369*100)</f>
        <v/>
      </c>
      <c r="AE369" s="41" t="str">
        <f aca="false">IF(AD369="","",IFERROR(MATCH(AD369,INDEX(Boundaries!$B$2:$I$30,MATCH(CL369,Boundaries!$A$2:$A$30,0),0),1)-1,""))</f>
        <v/>
      </c>
      <c r="AF369" s="42" t="str">
        <f aca="false">IF(OR(AE369="",$E369=""),"",AE369-$E369)</f>
        <v/>
      </c>
      <c r="AG369" s="39"/>
      <c r="AH369" s="40" t="str">
        <f aca="false">IF(OR(AG369="",BY369=""),"",AG369/BY369*100)</f>
        <v/>
      </c>
      <c r="AI369" s="41" t="str">
        <f aca="false">IF(AH369="","",IFERROR(MATCH(AH369,INDEX(Boundaries!$B$2:$I$30,MATCH(CM369,Boundaries!$A$2:$A$30,0),0),1)-1,""))</f>
        <v/>
      </c>
      <c r="AJ369" s="42" t="str">
        <f aca="false">IF(OR(AI369="",$E369=""),"",AI369-$E369)</f>
        <v/>
      </c>
      <c r="AK369" s="39"/>
      <c r="AL369" s="40" t="str">
        <f aca="false">IF(OR(AK369="",BZ369=""),"",AK369/BZ369*100)</f>
        <v/>
      </c>
      <c r="AM369" s="41" t="str">
        <f aca="false">IF(AL369="","",IFERROR(MATCH(AL369,INDEX(Boundaries!$B$2:$I$30,MATCH(CN369,Boundaries!$A$2:$A$30,0),0),1)-1,""))</f>
        <v/>
      </c>
      <c r="AN369" s="42" t="str">
        <f aca="false">IF(OR(AM369="",$E369=""),"",AM369-$E369)</f>
        <v/>
      </c>
      <c r="AO369" s="39"/>
      <c r="AP369" s="40" t="str">
        <f aca="false">IF(OR(AO369="",CA369=""),"",AO369/CA369*100)</f>
        <v/>
      </c>
      <c r="AQ369" s="41" t="str">
        <f aca="false">IF(AP369="","",IFERROR(MATCH(AP369,INDEX(Boundaries!$B$2:$I$30,MATCH(CO369,Boundaries!$A$2:$A$30,0),0),1)-1,""))</f>
        <v/>
      </c>
      <c r="AR369" s="42" t="str">
        <f aca="false">IF(OR(AQ369="",$E369=""),"",AQ369-$E369)</f>
        <v/>
      </c>
      <c r="AS369" s="39"/>
      <c r="AT369" s="40" t="str">
        <f aca="false">IF(OR(AS369="",CB369=""),"",AS369/CB369*100)</f>
        <v/>
      </c>
      <c r="AU369" s="41" t="str">
        <f aca="false">IF(AT369="","",IFERROR(MATCH(AT369,INDEX(Boundaries!$B$2:$I$30,MATCH(CP369,Boundaries!$A$2:$A$30,0),0),1)-1,""))</f>
        <v/>
      </c>
      <c r="AV369" s="42" t="str">
        <f aca="false">IF(OR(AU369="",$E369=""),"",AU369-$E369)</f>
        <v/>
      </c>
      <c r="AW369" s="39"/>
      <c r="AX369" s="40" t="str">
        <f aca="false">IF(OR(AW369="",CC369=""),"",AW369/CC369*100)</f>
        <v/>
      </c>
      <c r="AY369" s="41" t="str">
        <f aca="false">IF(AX369="","",IFERROR(MATCH(AX369,INDEX(Boundaries!$B$2:$I$30,MATCH(CQ369,Boundaries!$A$2:$A$30,0),0),1)-1,""))</f>
        <v/>
      </c>
      <c r="AZ369" s="42" t="str">
        <f aca="false">IF(OR(AY369="",$E369=""),"",AY369-$E369)</f>
        <v/>
      </c>
      <c r="BA369" s="39"/>
      <c r="BB369" s="40" t="str">
        <f aca="false">IF(OR(BA369="",CD369=""),"",BA369/CD369*100)</f>
        <v/>
      </c>
      <c r="BC369" s="41" t="str">
        <f aca="false">IF(BB369="","",IFERROR(MATCH(BB369,INDEX(Boundaries!$B$2:$I$30,MATCH(CR369,Boundaries!$A$2:$A$30,0),0),1)-1,""))</f>
        <v/>
      </c>
      <c r="BD369" s="42" t="str">
        <f aca="false">IF(OR(BC369="",$E369=""),"",BC369-$E369)</f>
        <v/>
      </c>
      <c r="BE369" s="39"/>
      <c r="BF369" s="40" t="str">
        <f aca="false">IF(OR(BE369="",CE369=""),"",BE369/CE369*100)</f>
        <v/>
      </c>
      <c r="BG369" s="41" t="str">
        <f aca="false">IF(BF369="","",IFERROR(MATCH(BF369,INDEX(Boundaries!$B$2:$I$30,MATCH(CS369,Boundaries!$A$2:$A$30,0),0),1)-1,""))</f>
        <v/>
      </c>
      <c r="BH369" s="42" t="str">
        <f aca="false">IF(OR(BG369="",$E369=""),"",BG369-$E369)</f>
        <v/>
      </c>
      <c r="BI369" s="39"/>
      <c r="BJ369" s="40" t="str">
        <f aca="false">IF(OR(BI369="",CF369=""),"",BI369/CF369*100)</f>
        <v/>
      </c>
      <c r="BK369" s="41" t="str">
        <f aca="false">IF(BJ369="","",IFERROR(MATCH(BJ369,INDEX(Boundaries!$B$2:$I$30,MATCH(CT369,Boundaries!$A$2:$A$30,0),0),1)-1,""))</f>
        <v/>
      </c>
      <c r="BL369" s="42" t="str">
        <f aca="false">IF(OR(BK369="",$E369=""),"",BK369-$E369)</f>
        <v/>
      </c>
      <c r="BM369" s="39"/>
      <c r="BN369" s="40" t="str">
        <f aca="false">IF(OR(BM369="",CG369=""),"",BM369/CG369*100)</f>
        <v/>
      </c>
      <c r="BO369" s="41" t="str">
        <f aca="false">IF(BN369="","",IFERROR(MATCH(BN369,INDEX(Boundaries!$B$2:$I$30,MATCH(CU369,Boundaries!$A$2:$A$30,0),0),1)-1,""))</f>
        <v/>
      </c>
      <c r="BP369" s="42" t="str">
        <f aca="false">IF(OR(BO369="",$E369=""),"",BO369-$E369)</f>
        <v/>
      </c>
      <c r="BQ369" s="39"/>
      <c r="BR369" s="40" t="str">
        <f aca="false">IF(OR(BQ369="",CH369=""),"",BQ369/CH369*100)</f>
        <v/>
      </c>
      <c r="BS369" s="41" t="str">
        <f aca="false">IF(BR369="","",IFERROR(MATCH(BR369,INDEX(Boundaries!$B$2:$I$30,MATCH(CV369,Boundaries!$A$2:$A$30,0),0),1)-1,""))</f>
        <v/>
      </c>
      <c r="BT369" s="42" t="str">
        <f aca="false">IF(OR(BS369="",$E369=""),"",BS369-$E369)</f>
        <v/>
      </c>
      <c r="BU369" s="28" t="n">
        <f aca="false">IFERROR(INDEX(Assessments!$H$2:$H$600,MATCH($H369&amp;"|"&amp;$I369&amp;"|"&amp;$J369&amp;"|"&amp;1,Assessments!$A$2:$A$600,0)),"")</f>
        <v>15</v>
      </c>
      <c r="BV369" s="28" t="n">
        <f aca="false">IFERROR(INDEX(Assessments!$H$2:$H$600,MATCH($H369&amp;"|"&amp;$I369&amp;"|"&amp;$J369&amp;"|"&amp;2,Assessments!$A$2:$A$600,0)),"")</f>
        <v>10</v>
      </c>
      <c r="BW369" s="28" t="n">
        <f aca="false">IFERROR(INDEX(Assessments!$H$2:$H$600,MATCH($H369&amp;"|"&amp;$I369&amp;"|"&amp;$J369&amp;"|"&amp;3,Assessments!$A$2:$A$600,0)),"")</f>
        <v>24</v>
      </c>
      <c r="BX369" s="28" t="n">
        <f aca="false">IFERROR(INDEX(Assessments!$H$2:$H$600,MATCH($H369&amp;"|"&amp;$I369&amp;"|"&amp;$J369&amp;"|"&amp;4,Assessments!$A$2:$A$600,0)),"")</f>
        <v>15</v>
      </c>
      <c r="BY369" s="28" t="n">
        <f aca="false">IFERROR(INDEX(Assessments!$H$2:$H$600,MATCH($H369&amp;"|"&amp;$I369&amp;"|"&amp;$J369&amp;"|"&amp;5,Assessments!$A$2:$A$600,0)),"")</f>
        <v>15</v>
      </c>
      <c r="BZ369" s="28" t="n">
        <f aca="false">IFERROR(INDEX(Assessments!$H$2:$H$600,MATCH($H369&amp;"|"&amp;$I369&amp;"|"&amp;$J369&amp;"|"&amp;6,Assessments!$A$2:$A$600,0)),"")</f>
        <v>15</v>
      </c>
      <c r="CA369" s="28" t="n">
        <f aca="false">IFERROR(INDEX(Assessments!$H$2:$H$600,MATCH($H369&amp;"|"&amp;$I369&amp;"|"&amp;$J369&amp;"|"&amp;7,Assessments!$A$2:$A$600,0)),"")</f>
        <v>24</v>
      </c>
      <c r="CB369" s="28" t="n">
        <f aca="false">IFERROR(INDEX(Assessments!$H$2:$H$600,MATCH($H369&amp;"|"&amp;$I369&amp;"|"&amp;$J369&amp;"|"&amp;8,Assessments!$A$2:$A$600,0)),"")</f>
        <v>30</v>
      </c>
      <c r="CC369" s="28" t="n">
        <f aca="false">IFERROR(INDEX(Assessments!$H$2:$H$600,MATCH($H369&amp;"|"&amp;$I369&amp;"|"&amp;$J369&amp;"|"&amp;9,Assessments!$A$2:$A$600,0)),"")</f>
        <v>15</v>
      </c>
      <c r="CD369" s="28" t="str">
        <f aca="false">IFERROR(INDEX(Assessments!$H$2:$H$600,MATCH($H369&amp;"|"&amp;$I369&amp;"|"&amp;$J369&amp;"|"&amp;10,Assessments!$A$2:$A$600,0)),"")</f>
        <v/>
      </c>
      <c r="CE369" s="28" t="str">
        <f aca="false">IFERROR(INDEX(Assessments!$H$2:$H$600,MATCH($H369&amp;"|"&amp;$I369&amp;"|"&amp;$J369&amp;"|"&amp;11,Assessments!$A$2:$A$600,0)),"")</f>
        <v/>
      </c>
      <c r="CF369" s="28" t="str">
        <f aca="false">IFERROR(INDEX(Assessments!$H$2:$H$600,MATCH($H369&amp;"|"&amp;$I369&amp;"|"&amp;$J369&amp;"|"&amp;12,Assessments!$A$2:$A$600,0)),"")</f>
        <v/>
      </c>
      <c r="CG369" s="28" t="str">
        <f aca="false">IFERROR(INDEX(Assessments!$H$2:$H$600,MATCH($H369&amp;"|"&amp;$I369&amp;"|"&amp;$J369&amp;"|"&amp;13,Assessments!$A$2:$A$600,0)),"")</f>
        <v/>
      </c>
      <c r="CH369" s="28" t="str">
        <f aca="false">IFERROR(INDEX(Assessments!$H$2:$H$600,MATCH($H369&amp;"|"&amp;$I369&amp;"|"&amp;$J369&amp;"|"&amp;14,Assessments!$A$2:$A$600,0)),"")</f>
        <v/>
      </c>
      <c r="CI369" s="28" t="str">
        <f aca="false">IFERROR(INDEX(Assessments!$I$2:$I$600,MATCH($H369&amp;"|"&amp;$I369&amp;"|"&amp;$J369&amp;"|"&amp;1,Assessments!$A$2:$A$600,0)),"")</f>
        <v>Hist P3 essay</v>
      </c>
      <c r="CJ369" s="28" t="str">
        <f aca="false">IFERROR(INDEX(Assessments!$I$2:$I$600,MATCH($H369&amp;"|"&amp;$I369&amp;"|"&amp;$J369&amp;"|"&amp;2,Assessments!$A$2:$A$600,0)),"")</f>
        <v>Hist P2 partial</v>
      </c>
      <c r="CK369" s="28" t="str">
        <f aca="false">IFERROR(INDEX(Assessments!$I$2:$I$600,MATCH($H369&amp;"|"&amp;$I369&amp;"|"&amp;$J369&amp;"|"&amp;3,Assessments!$A$2:$A$600,0)),"")</f>
        <v>Hist P2 partial</v>
      </c>
      <c r="CL369" s="28" t="str">
        <f aca="false">IFERROR(INDEX(Assessments!$I$2:$I$600,MATCH($H369&amp;"|"&amp;$I369&amp;"|"&amp;$J369&amp;"|"&amp;4,Assessments!$A$2:$A$600,0)),"")</f>
        <v>Hist P3 essay</v>
      </c>
      <c r="CM369" s="28" t="str">
        <f aca="false">IFERROR(INDEX(Assessments!$I$2:$I$600,MATCH($H369&amp;"|"&amp;$I369&amp;"|"&amp;$J369&amp;"|"&amp;5,Assessments!$A$2:$A$600,0)),"")</f>
        <v>Hist P3 essay</v>
      </c>
      <c r="CN369" s="28" t="str">
        <f aca="false">IFERROR(INDEX(Assessments!$I$2:$I$600,MATCH($H369&amp;"|"&amp;$I369&amp;"|"&amp;$J369&amp;"|"&amp;6,Assessments!$A$2:$A$600,0)),"")</f>
        <v>Hist P3 essay</v>
      </c>
      <c r="CO369" s="28" t="str">
        <f aca="false">IFERROR(INDEX(Assessments!$I$2:$I$600,MATCH($H369&amp;"|"&amp;$I369&amp;"|"&amp;$J369&amp;"|"&amp;7,Assessments!$A$2:$A$600,0)),"")</f>
        <v>Hist Paper 1</v>
      </c>
      <c r="CP369" s="28" t="str">
        <f aca="false">IFERROR(INDEX(Assessments!$I$2:$I$600,MATCH($H369&amp;"|"&amp;$I369&amp;"|"&amp;$J369&amp;"|"&amp;8,Assessments!$A$2:$A$600,0)),"")</f>
        <v>Hist P2 full</v>
      </c>
      <c r="CQ369" s="28" t="str">
        <f aca="false">IFERROR(INDEX(Assessments!$I$2:$I$600,MATCH($H369&amp;"|"&amp;$I369&amp;"|"&amp;$J369&amp;"|"&amp;9,Assessments!$A$2:$A$600,0)),"")</f>
        <v>Hist P3 full</v>
      </c>
      <c r="CR369" s="28" t="str">
        <f aca="false">IFERROR(INDEX(Assessments!$I$2:$I$600,MATCH($H369&amp;"|"&amp;$I369&amp;"|"&amp;$J369&amp;"|"&amp;10,Assessments!$A$2:$A$600,0)),"")</f>
        <v/>
      </c>
      <c r="CS369" s="28" t="str">
        <f aca="false">IFERROR(INDEX(Assessments!$I$2:$I$600,MATCH($H369&amp;"|"&amp;$I369&amp;"|"&amp;$J369&amp;"|"&amp;11,Assessments!$A$2:$A$600,0)),"")</f>
        <v/>
      </c>
      <c r="CT369" s="28" t="str">
        <f aca="false">IFERROR(INDEX(Assessments!$I$2:$I$600,MATCH($H369&amp;"|"&amp;$I369&amp;"|"&amp;$J369&amp;"|"&amp;12,Assessments!$A$2:$A$600,0)),"")</f>
        <v/>
      </c>
      <c r="CU369" s="28" t="str">
        <f aca="false">IFERROR(INDEX(Assessments!$I$2:$I$600,MATCH($H369&amp;"|"&amp;$I369&amp;"|"&amp;$J369&amp;"|"&amp;13,Assessments!$A$2:$A$600,0)),"")</f>
        <v/>
      </c>
      <c r="CV369" s="28" t="str">
        <f aca="false">IFERROR(INDEX(Assessments!$I$2:$I$600,MATCH($H369&amp;"|"&amp;$I369&amp;"|"&amp;$J369&amp;"|"&amp;14,Assessments!$A$2:$A$600,0)),"")</f>
        <v/>
      </c>
      <c r="CW369" s="28" t="n">
        <f aca="false">IFERROR(INDEX(Assessments!$J$2:$J$600,MATCH($H369&amp;"|"&amp;$I369&amp;"|"&amp;$J369&amp;"|"&amp;1,Assessments!$A$2:$A$600,0)),0)</f>
        <v>1</v>
      </c>
      <c r="CX369" s="28" t="n">
        <f aca="false">IFERROR(INDEX(Assessments!$J$2:$J$600,MATCH($H369&amp;"|"&amp;$I369&amp;"|"&amp;$J369&amp;"|"&amp;2,Assessments!$A$2:$A$600,0)),0)</f>
        <v>1</v>
      </c>
      <c r="CY369" s="28" t="n">
        <f aca="false">IFERROR(INDEX(Assessments!$J$2:$J$600,MATCH($H369&amp;"|"&amp;$I369&amp;"|"&amp;$J369&amp;"|"&amp;3,Assessments!$A$2:$A$600,0)),0)</f>
        <v>1</v>
      </c>
      <c r="CZ369" s="28" t="n">
        <f aca="false">IFERROR(INDEX(Assessments!$J$2:$J$600,MATCH($H369&amp;"|"&amp;$I369&amp;"|"&amp;$J369&amp;"|"&amp;4,Assessments!$A$2:$A$600,0)),0)</f>
        <v>1</v>
      </c>
      <c r="DA369" s="28" t="n">
        <f aca="false">IFERROR(INDEX(Assessments!$J$2:$J$600,MATCH($H369&amp;"|"&amp;$I369&amp;"|"&amp;$J369&amp;"|"&amp;5,Assessments!$A$2:$A$600,0)),0)</f>
        <v>1</v>
      </c>
      <c r="DB369" s="28" t="n">
        <f aca="false">IFERROR(INDEX(Assessments!$J$2:$J$600,MATCH($H369&amp;"|"&amp;$I369&amp;"|"&amp;$J369&amp;"|"&amp;6,Assessments!$A$2:$A$600,0)),0)</f>
        <v>1</v>
      </c>
      <c r="DC369" s="28" t="n">
        <f aca="false">IFERROR(INDEX(Assessments!$J$2:$J$600,MATCH($H369&amp;"|"&amp;$I369&amp;"|"&amp;$J369&amp;"|"&amp;7,Assessments!$A$2:$A$600,0)),0)</f>
        <v>2</v>
      </c>
      <c r="DD369" s="28" t="n">
        <f aca="false">IFERROR(INDEX(Assessments!$J$2:$J$600,MATCH($H369&amp;"|"&amp;$I369&amp;"|"&amp;$J369&amp;"|"&amp;8,Assessments!$A$2:$A$600,0)),0)</f>
        <v>2</v>
      </c>
      <c r="DE369" s="28" t="n">
        <f aca="false">IFERROR(INDEX(Assessments!$J$2:$J$600,MATCH($H369&amp;"|"&amp;$I369&amp;"|"&amp;$J369&amp;"|"&amp;9,Assessments!$A$2:$A$600,0)),0)</f>
        <v>2</v>
      </c>
      <c r="DF369" s="28" t="n">
        <f aca="false">IFERROR(INDEX(Assessments!$J$2:$J$600,MATCH($H369&amp;"|"&amp;$I369&amp;"|"&amp;$J369&amp;"|"&amp;10,Assessments!$A$2:$A$600,0)),0)</f>
        <v>0</v>
      </c>
      <c r="DG369" s="28" t="n">
        <f aca="false">IFERROR(INDEX(Assessments!$J$2:$J$600,MATCH($H369&amp;"|"&amp;$I369&amp;"|"&amp;$J369&amp;"|"&amp;11,Assessments!$A$2:$A$600,0)),0)</f>
        <v>0</v>
      </c>
      <c r="DH369" s="28" t="n">
        <f aca="false">IFERROR(INDEX(Assessments!$J$2:$J$600,MATCH($H369&amp;"|"&amp;$I369&amp;"|"&amp;$J369&amp;"|"&amp;12,Assessments!$A$2:$A$600,0)),0)</f>
        <v>0</v>
      </c>
      <c r="DI369" s="28" t="n">
        <f aca="false">IFERROR(INDEX(Assessments!$J$2:$J$600,MATCH($H369&amp;"|"&amp;$I369&amp;"|"&amp;$J369&amp;"|"&amp;13,Assessments!$A$2:$A$600,0)),0)</f>
        <v>0</v>
      </c>
      <c r="DJ369" s="28" t="n">
        <f aca="false">IFERROR(INDEX(Assessments!$J$2:$J$600,MATCH($H369&amp;"|"&amp;$I369&amp;"|"&amp;$J369&amp;"|"&amp;14,Assessments!$A$2:$A$600,0)),0)</f>
        <v>0</v>
      </c>
      <c r="DK369" s="28" t="n">
        <f aca="false">S369</f>
        <v>5</v>
      </c>
      <c r="DL369" s="28" t="n">
        <f aca="false">W369</f>
        <v>4</v>
      </c>
      <c r="DM369" s="28" t="str">
        <f aca="false">AA369</f>
        <v/>
      </c>
      <c r="DN369" s="28" t="str">
        <f aca="false">AE369</f>
        <v/>
      </c>
      <c r="DO369" s="28" t="str">
        <f aca="false">AI369</f>
        <v/>
      </c>
      <c r="DP369" s="28" t="str">
        <f aca="false">AM369</f>
        <v/>
      </c>
      <c r="DQ369" s="28" t="str">
        <f aca="false">AQ369</f>
        <v/>
      </c>
      <c r="DR369" s="28" t="str">
        <f aca="false">AU369</f>
        <v/>
      </c>
      <c r="DS369" s="28" t="str">
        <f aca="false">AY369</f>
        <v/>
      </c>
      <c r="DT369" s="28" t="str">
        <f aca="false">BC369</f>
        <v/>
      </c>
      <c r="DU369" s="28" t="str">
        <f aca="false">BG369</f>
        <v/>
      </c>
      <c r="DV369" s="28" t="str">
        <f aca="false">BK369</f>
        <v/>
      </c>
      <c r="DW369" s="28" t="str">
        <f aca="false">BO369</f>
        <v/>
      </c>
      <c r="DX369" s="28" t="str">
        <f aca="false">BS369</f>
        <v/>
      </c>
      <c r="DY369" s="28" t="n">
        <f aca="false">IF(ISNUMBER(S369),1,"")</f>
        <v>1</v>
      </c>
      <c r="DZ369" s="28" t="n">
        <f aca="false">IF(ISNUMBER(W369),2,"")</f>
        <v>2</v>
      </c>
      <c r="EA369" s="28" t="str">
        <f aca="false">IF(ISNUMBER(AA369),3,"")</f>
        <v/>
      </c>
      <c r="EB369" s="28" t="str">
        <f aca="false">IF(ISNUMBER(AE369),4,"")</f>
        <v/>
      </c>
      <c r="EC369" s="28" t="str">
        <f aca="false">IF(ISNUMBER(AI369),5,"")</f>
        <v/>
      </c>
      <c r="ED369" s="28" t="str">
        <f aca="false">IF(ISNUMBER(AM369),6,"")</f>
        <v/>
      </c>
      <c r="EE369" s="28" t="str">
        <f aca="false">IF(ISNUMBER(AQ369),7,"")</f>
        <v/>
      </c>
      <c r="EF369" s="28" t="str">
        <f aca="false">IF(ISNUMBER(AU369),8,"")</f>
        <v/>
      </c>
      <c r="EG369" s="28" t="str">
        <f aca="false">IF(ISNUMBER(AY369),9,"")</f>
        <v/>
      </c>
      <c r="EH369" s="28" t="str">
        <f aca="false">IF(ISNUMBER(BC369),10,"")</f>
        <v/>
      </c>
      <c r="EI369" s="28" t="str">
        <f aca="false">IF(ISNUMBER(BG369),11,"")</f>
        <v/>
      </c>
      <c r="EJ369" s="28" t="str">
        <f aca="false">IF(ISNUMBER(BK369),12,"")</f>
        <v/>
      </c>
      <c r="EK369" s="28" t="str">
        <f aca="false">IF(ISNUMBER(BO369),13,"")</f>
        <v/>
      </c>
      <c r="EL369" s="28" t="str">
        <f aca="false">IF(ISNUMBER(BS369),14,"")</f>
        <v/>
      </c>
      <c r="EM369" s="28" t="n">
        <f aca="false">IF(ISNUMBER(R369),R369*CW369,0)</f>
        <v>60</v>
      </c>
      <c r="EN369" s="28" t="n">
        <f aca="false">IF(ISNUMBER(V369),V369*CX369,0)</f>
        <v>50</v>
      </c>
      <c r="EO369" s="28" t="n">
        <f aca="false">IF(ISNUMBER(Z369),Z369*CY369,0)</f>
        <v>0</v>
      </c>
      <c r="EP369" s="28" t="n">
        <f aca="false">IF(ISNUMBER(AD369),AD369*CZ369,0)</f>
        <v>0</v>
      </c>
      <c r="EQ369" s="28" t="n">
        <f aca="false">IF(ISNUMBER(AH369),AH369*DA369,0)</f>
        <v>0</v>
      </c>
      <c r="ER369" s="28" t="n">
        <f aca="false">IF(ISNUMBER(AL369),AL369*DB369,0)</f>
        <v>0</v>
      </c>
      <c r="ES369" s="28" t="n">
        <f aca="false">IF(ISNUMBER(AP369),AP369*DC369,0)</f>
        <v>0</v>
      </c>
      <c r="ET369" s="28" t="n">
        <f aca="false">IF(ISNUMBER(AT369),AT369*DD369,0)</f>
        <v>0</v>
      </c>
      <c r="EU369" s="28" t="n">
        <f aca="false">IF(ISNUMBER(AX369),AX369*DE369,0)</f>
        <v>0</v>
      </c>
      <c r="EV369" s="28" t="n">
        <f aca="false">IF(ISNUMBER(BB369),BB369*DF369,0)</f>
        <v>0</v>
      </c>
      <c r="EW369" s="28" t="n">
        <f aca="false">IF(ISNUMBER(BF369),BF369*DG369,0)</f>
        <v>0</v>
      </c>
      <c r="EX369" s="28" t="n">
        <f aca="false">IF(ISNUMBER(BJ369),BJ369*DH369,0)</f>
        <v>0</v>
      </c>
      <c r="EY369" s="28" t="n">
        <f aca="false">IF(ISNUMBER(BN369),BN369*DI369,0)</f>
        <v>0</v>
      </c>
      <c r="EZ369" s="28" t="n">
        <f aca="false">IF(ISNUMBER(BR369),BR369*DJ369,0)</f>
        <v>0</v>
      </c>
      <c r="FA369" s="28" t="n">
        <f aca="false">IF(ISNUMBER(R369),CW369,0)</f>
        <v>1</v>
      </c>
      <c r="FB369" s="28" t="n">
        <f aca="false">IF(ISNUMBER(V369),CX369,0)</f>
        <v>1</v>
      </c>
      <c r="FC369" s="28" t="n">
        <f aca="false">IF(ISNUMBER(Z369),CY369,0)</f>
        <v>0</v>
      </c>
      <c r="FD369" s="28" t="n">
        <f aca="false">IF(ISNUMBER(AD369),CZ369,0)</f>
        <v>0</v>
      </c>
      <c r="FE369" s="28" t="n">
        <f aca="false">IF(ISNUMBER(AH369),DA369,0)</f>
        <v>0</v>
      </c>
      <c r="FF369" s="28" t="n">
        <f aca="false">IF(ISNUMBER(AL369),DB369,0)</f>
        <v>0</v>
      </c>
      <c r="FG369" s="28" t="n">
        <f aca="false">IF(ISNUMBER(AP369),DC369,0)</f>
        <v>0</v>
      </c>
      <c r="FH369" s="28" t="n">
        <f aca="false">IF(ISNUMBER(AT369),DD369,0)</f>
        <v>0</v>
      </c>
      <c r="FI369" s="28" t="n">
        <f aca="false">IF(ISNUMBER(AX369),DE369,0)</f>
        <v>0</v>
      </c>
      <c r="FJ369" s="28" t="n">
        <f aca="false">IF(ISNUMBER(BB369),DF369,0)</f>
        <v>0</v>
      </c>
      <c r="FK369" s="28" t="n">
        <f aca="false">IF(ISNUMBER(BF369),DG369,0)</f>
        <v>0</v>
      </c>
      <c r="FL369" s="28" t="n">
        <f aca="false">IF(ISNUMBER(BJ369),DH369,0)</f>
        <v>0</v>
      </c>
      <c r="FM369" s="28" t="n">
        <f aca="false">IF(ISNUMBER(BN369),DI369,0)</f>
        <v>0</v>
      </c>
      <c r="FN369" s="28" t="n">
        <f aca="false">IF(ISNUMBER(BR369),DJ369,0)</f>
        <v>0</v>
      </c>
      <c r="FO369" s="28" t="str">
        <f aca="false">IFERROR(INDEX(Lists!$G$2:$G$20,MATCH($I369&amp;"|"&amp;$J369,Lists!$F$2:$F$20,0)),"")</f>
        <v>Hist Overall HL</v>
      </c>
    </row>
    <row r="370" customFormat="false" ht="19.5" hidden="false" customHeight="true" outlineLevel="0" collapsed="false">
      <c r="A370" s="29" t="s">
        <v>672</v>
      </c>
      <c r="B370" s="29" t="s">
        <v>598</v>
      </c>
      <c r="C370" s="30" t="s">
        <v>192</v>
      </c>
      <c r="D370" s="30" t="s">
        <v>415</v>
      </c>
      <c r="E370" s="31"/>
      <c r="F370" s="30"/>
      <c r="G370" s="30"/>
      <c r="H370" s="32" t="s">
        <v>428</v>
      </c>
      <c r="I370" s="33" t="s">
        <v>416</v>
      </c>
      <c r="J370" s="32" t="s">
        <v>25</v>
      </c>
      <c r="K370" s="34" t="str">
        <f aca="false">IF(OR(M370="",$E370=""),"",M370-$E370)</f>
        <v/>
      </c>
      <c r="L370" s="35" t="n">
        <f aca="false">IF(SUM(FA370:FN370)=0,"",SUM(EM370:EZ370)/SUM(FA370:FN370))</f>
        <v>48.3333333333333</v>
      </c>
      <c r="M370" s="36" t="n">
        <f aca="false">IF(OR(L370="",FO370=""),"",IFERROR(MATCH(L370,INDEX(Boundaries!$B$2:$I$30,MATCH(FO370,Boundaries!$A$2:$A$30,0),0),1)-1,""))</f>
        <v>5</v>
      </c>
      <c r="N370" s="37" t="n">
        <f aca="false">IF(COUNT($DY370:$EL370)&lt;2,"",INDEX($DK370:$DX370,MAX($DY370:$EL370))-INDEX($DK370:$DX370,MIN($DY370:$EL370)))</f>
        <v>0</v>
      </c>
      <c r="O370" s="37" t="n">
        <f aca="false">IF(COUNT($DY370:$EL370)&lt;2,"",INDEX($DK370:$DX370,MAX($DY370:$EL370))-INDEX($DK370:$DX370,LARGE($DY370:$EL370,2)))</f>
        <v>0</v>
      </c>
      <c r="P370" s="38" t="str">
        <f aca="false">IF(K370="","",IF(K370&gt;=0,"On/above target",IF(AND(N370&lt;&gt;"",N370&gt;=0.5),"Improving towards target",IF(AND(O370&lt;&gt;"",O370&lt;=-0.5),"Declining","Stable below target"))))</f>
        <v/>
      </c>
      <c r="Q370" s="39" t="n">
        <v>7</v>
      </c>
      <c r="R370" s="40" t="n">
        <f aca="false">IF(OR(Q370="",BU370=""),"",Q370/BU370*100)</f>
        <v>46.6666666666667</v>
      </c>
      <c r="S370" s="41" t="n">
        <f aca="false">IF(R370="","",IFERROR(MATCH(R370,INDEX(Boundaries!$B$2:$I$30,MATCH(CI370,Boundaries!$A$2:$A$30,0),0),1)-1,""))</f>
        <v>4</v>
      </c>
      <c r="T370" s="42" t="str">
        <f aca="false">IF(OR(S370="",$E370=""),"",S370-$E370)</f>
        <v/>
      </c>
      <c r="U370" s="39" t="n">
        <v>5</v>
      </c>
      <c r="V370" s="40" t="n">
        <f aca="false">IF(OR(U370="",BV370=""),"",U370/BV370*100)</f>
        <v>50</v>
      </c>
      <c r="W370" s="41" t="n">
        <f aca="false">IF(V370="","",IFERROR(MATCH(V370,INDEX(Boundaries!$B$2:$I$30,MATCH(CJ370,Boundaries!$A$2:$A$30,0),0),1)-1,""))</f>
        <v>4</v>
      </c>
      <c r="X370" s="42" t="str">
        <f aca="false">IF(OR(W370="",$E370=""),"",W370-$E370)</f>
        <v/>
      </c>
      <c r="Y370" s="39"/>
      <c r="Z370" s="40" t="str">
        <f aca="false">IF(OR(Y370="",BW370=""),"",Y370/BW370*100)</f>
        <v/>
      </c>
      <c r="AA370" s="41" t="str">
        <f aca="false">IF(Z370="","",IFERROR(MATCH(Z370,INDEX(Boundaries!$B$2:$I$30,MATCH(CK370,Boundaries!$A$2:$A$30,0),0),1)-1,""))</f>
        <v/>
      </c>
      <c r="AB370" s="42" t="str">
        <f aca="false">IF(OR(AA370="",$E370=""),"",AA370-$E370)</f>
        <v/>
      </c>
      <c r="AC370" s="39"/>
      <c r="AD370" s="40" t="str">
        <f aca="false">IF(OR(AC370="",BX370=""),"",AC370/BX370*100)</f>
        <v/>
      </c>
      <c r="AE370" s="41" t="str">
        <f aca="false">IF(AD370="","",IFERROR(MATCH(AD370,INDEX(Boundaries!$B$2:$I$30,MATCH(CL370,Boundaries!$A$2:$A$30,0),0),1)-1,""))</f>
        <v/>
      </c>
      <c r="AF370" s="42" t="str">
        <f aca="false">IF(OR(AE370="",$E370=""),"",AE370-$E370)</f>
        <v/>
      </c>
      <c r="AG370" s="39"/>
      <c r="AH370" s="40" t="str">
        <f aca="false">IF(OR(AG370="",BY370=""),"",AG370/BY370*100)</f>
        <v/>
      </c>
      <c r="AI370" s="41" t="str">
        <f aca="false">IF(AH370="","",IFERROR(MATCH(AH370,INDEX(Boundaries!$B$2:$I$30,MATCH(CM370,Boundaries!$A$2:$A$30,0),0),1)-1,""))</f>
        <v/>
      </c>
      <c r="AJ370" s="42" t="str">
        <f aca="false">IF(OR(AI370="",$E370=""),"",AI370-$E370)</f>
        <v/>
      </c>
      <c r="AK370" s="39"/>
      <c r="AL370" s="40" t="str">
        <f aca="false">IF(OR(AK370="",BZ370=""),"",AK370/BZ370*100)</f>
        <v/>
      </c>
      <c r="AM370" s="41" t="str">
        <f aca="false">IF(AL370="","",IFERROR(MATCH(AL370,INDEX(Boundaries!$B$2:$I$30,MATCH(CN370,Boundaries!$A$2:$A$30,0),0),1)-1,""))</f>
        <v/>
      </c>
      <c r="AN370" s="42" t="str">
        <f aca="false">IF(OR(AM370="",$E370=""),"",AM370-$E370)</f>
        <v/>
      </c>
      <c r="AO370" s="39"/>
      <c r="AP370" s="40" t="str">
        <f aca="false">IF(OR(AO370="",CA370=""),"",AO370/CA370*100)</f>
        <v/>
      </c>
      <c r="AQ370" s="41" t="str">
        <f aca="false">IF(AP370="","",IFERROR(MATCH(AP370,INDEX(Boundaries!$B$2:$I$30,MATCH(CO370,Boundaries!$A$2:$A$30,0),0),1)-1,""))</f>
        <v/>
      </c>
      <c r="AR370" s="42" t="str">
        <f aca="false">IF(OR(AQ370="",$E370=""),"",AQ370-$E370)</f>
        <v/>
      </c>
      <c r="AS370" s="39"/>
      <c r="AT370" s="40" t="str">
        <f aca="false">IF(OR(AS370="",CB370=""),"",AS370/CB370*100)</f>
        <v/>
      </c>
      <c r="AU370" s="41" t="str">
        <f aca="false">IF(AT370="","",IFERROR(MATCH(AT370,INDEX(Boundaries!$B$2:$I$30,MATCH(CP370,Boundaries!$A$2:$A$30,0),0),1)-1,""))</f>
        <v/>
      </c>
      <c r="AV370" s="42" t="str">
        <f aca="false">IF(OR(AU370="",$E370=""),"",AU370-$E370)</f>
        <v/>
      </c>
      <c r="AW370" s="39"/>
      <c r="AX370" s="40" t="str">
        <f aca="false">IF(OR(AW370="",CC370=""),"",AW370/CC370*100)</f>
        <v/>
      </c>
      <c r="AY370" s="41" t="str">
        <f aca="false">IF(AX370="","",IFERROR(MATCH(AX370,INDEX(Boundaries!$B$2:$I$30,MATCH(CQ370,Boundaries!$A$2:$A$30,0),0),1)-1,""))</f>
        <v/>
      </c>
      <c r="AZ370" s="42" t="str">
        <f aca="false">IF(OR(AY370="",$E370=""),"",AY370-$E370)</f>
        <v/>
      </c>
      <c r="BA370" s="39"/>
      <c r="BB370" s="40" t="str">
        <f aca="false">IF(OR(BA370="",CD370=""),"",BA370/CD370*100)</f>
        <v/>
      </c>
      <c r="BC370" s="41" t="str">
        <f aca="false">IF(BB370="","",IFERROR(MATCH(BB370,INDEX(Boundaries!$B$2:$I$30,MATCH(CR370,Boundaries!$A$2:$A$30,0),0),1)-1,""))</f>
        <v/>
      </c>
      <c r="BD370" s="42" t="str">
        <f aca="false">IF(OR(BC370="",$E370=""),"",BC370-$E370)</f>
        <v/>
      </c>
      <c r="BE370" s="39"/>
      <c r="BF370" s="40" t="str">
        <f aca="false">IF(OR(BE370="",CE370=""),"",BE370/CE370*100)</f>
        <v/>
      </c>
      <c r="BG370" s="41" t="str">
        <f aca="false">IF(BF370="","",IFERROR(MATCH(BF370,INDEX(Boundaries!$B$2:$I$30,MATCH(CS370,Boundaries!$A$2:$A$30,0),0),1)-1,""))</f>
        <v/>
      </c>
      <c r="BH370" s="42" t="str">
        <f aca="false">IF(OR(BG370="",$E370=""),"",BG370-$E370)</f>
        <v/>
      </c>
      <c r="BI370" s="39"/>
      <c r="BJ370" s="40" t="str">
        <f aca="false">IF(OR(BI370="",CF370=""),"",BI370/CF370*100)</f>
        <v/>
      </c>
      <c r="BK370" s="41" t="str">
        <f aca="false">IF(BJ370="","",IFERROR(MATCH(BJ370,INDEX(Boundaries!$B$2:$I$30,MATCH(CT370,Boundaries!$A$2:$A$30,0),0),1)-1,""))</f>
        <v/>
      </c>
      <c r="BL370" s="42" t="str">
        <f aca="false">IF(OR(BK370="",$E370=""),"",BK370-$E370)</f>
        <v/>
      </c>
      <c r="BM370" s="39"/>
      <c r="BN370" s="40" t="str">
        <f aca="false">IF(OR(BM370="",CG370=""),"",BM370/CG370*100)</f>
        <v/>
      </c>
      <c r="BO370" s="41" t="str">
        <f aca="false">IF(BN370="","",IFERROR(MATCH(BN370,INDEX(Boundaries!$B$2:$I$30,MATCH(CU370,Boundaries!$A$2:$A$30,0),0),1)-1,""))</f>
        <v/>
      </c>
      <c r="BP370" s="42" t="str">
        <f aca="false">IF(OR(BO370="",$E370=""),"",BO370-$E370)</f>
        <v/>
      </c>
      <c r="BQ370" s="39"/>
      <c r="BR370" s="40" t="str">
        <f aca="false">IF(OR(BQ370="",CH370=""),"",BQ370/CH370*100)</f>
        <v/>
      </c>
      <c r="BS370" s="41" t="str">
        <f aca="false">IF(BR370="","",IFERROR(MATCH(BR370,INDEX(Boundaries!$B$2:$I$30,MATCH(CV370,Boundaries!$A$2:$A$30,0),0),1)-1,""))</f>
        <v/>
      </c>
      <c r="BT370" s="42" t="str">
        <f aca="false">IF(OR(BS370="",$E370=""),"",BS370-$E370)</f>
        <v/>
      </c>
      <c r="BU370" s="28" t="n">
        <f aca="false">IFERROR(INDEX(Assessments!$H$2:$H$600,MATCH($H370&amp;"|"&amp;$I370&amp;"|"&amp;$J370&amp;"|"&amp;1,Assessments!$A$2:$A$600,0)),"")</f>
        <v>15</v>
      </c>
      <c r="BV370" s="28" t="n">
        <f aca="false">IFERROR(INDEX(Assessments!$H$2:$H$600,MATCH($H370&amp;"|"&amp;$I370&amp;"|"&amp;$J370&amp;"|"&amp;2,Assessments!$A$2:$A$600,0)),"")</f>
        <v>10</v>
      </c>
      <c r="BW370" s="28" t="n">
        <f aca="false">IFERROR(INDEX(Assessments!$H$2:$H$600,MATCH($H370&amp;"|"&amp;$I370&amp;"|"&amp;$J370&amp;"|"&amp;3,Assessments!$A$2:$A$600,0)),"")</f>
        <v>24</v>
      </c>
      <c r="BX370" s="28" t="n">
        <f aca="false">IFERROR(INDEX(Assessments!$H$2:$H$600,MATCH($H370&amp;"|"&amp;$I370&amp;"|"&amp;$J370&amp;"|"&amp;4,Assessments!$A$2:$A$600,0)),"")</f>
        <v>15</v>
      </c>
      <c r="BY370" s="28" t="n">
        <f aca="false">IFERROR(INDEX(Assessments!$H$2:$H$600,MATCH($H370&amp;"|"&amp;$I370&amp;"|"&amp;$J370&amp;"|"&amp;5,Assessments!$A$2:$A$600,0)),"")</f>
        <v>15</v>
      </c>
      <c r="BZ370" s="28" t="n">
        <f aca="false">IFERROR(INDEX(Assessments!$H$2:$H$600,MATCH($H370&amp;"|"&amp;$I370&amp;"|"&amp;$J370&amp;"|"&amp;6,Assessments!$A$2:$A$600,0)),"")</f>
        <v>15</v>
      </c>
      <c r="CA370" s="28" t="n">
        <f aca="false">IFERROR(INDEX(Assessments!$H$2:$H$600,MATCH($H370&amp;"|"&amp;$I370&amp;"|"&amp;$J370&amp;"|"&amp;7,Assessments!$A$2:$A$600,0)),"")</f>
        <v>24</v>
      </c>
      <c r="CB370" s="28" t="n">
        <f aca="false">IFERROR(INDEX(Assessments!$H$2:$H$600,MATCH($H370&amp;"|"&amp;$I370&amp;"|"&amp;$J370&amp;"|"&amp;8,Assessments!$A$2:$A$600,0)),"")</f>
        <v>30</v>
      </c>
      <c r="CC370" s="28" t="n">
        <f aca="false">IFERROR(INDEX(Assessments!$H$2:$H$600,MATCH($H370&amp;"|"&amp;$I370&amp;"|"&amp;$J370&amp;"|"&amp;9,Assessments!$A$2:$A$600,0)),"")</f>
        <v>15</v>
      </c>
      <c r="CD370" s="28" t="str">
        <f aca="false">IFERROR(INDEX(Assessments!$H$2:$H$600,MATCH($H370&amp;"|"&amp;$I370&amp;"|"&amp;$J370&amp;"|"&amp;10,Assessments!$A$2:$A$600,0)),"")</f>
        <v/>
      </c>
      <c r="CE370" s="28" t="str">
        <f aca="false">IFERROR(INDEX(Assessments!$H$2:$H$600,MATCH($H370&amp;"|"&amp;$I370&amp;"|"&amp;$J370&amp;"|"&amp;11,Assessments!$A$2:$A$600,0)),"")</f>
        <v/>
      </c>
      <c r="CF370" s="28" t="str">
        <f aca="false">IFERROR(INDEX(Assessments!$H$2:$H$600,MATCH($H370&amp;"|"&amp;$I370&amp;"|"&amp;$J370&amp;"|"&amp;12,Assessments!$A$2:$A$600,0)),"")</f>
        <v/>
      </c>
      <c r="CG370" s="28" t="str">
        <f aca="false">IFERROR(INDEX(Assessments!$H$2:$H$600,MATCH($H370&amp;"|"&amp;$I370&amp;"|"&amp;$J370&amp;"|"&amp;13,Assessments!$A$2:$A$600,0)),"")</f>
        <v/>
      </c>
      <c r="CH370" s="28" t="str">
        <f aca="false">IFERROR(INDEX(Assessments!$H$2:$H$600,MATCH($H370&amp;"|"&amp;$I370&amp;"|"&amp;$J370&amp;"|"&amp;14,Assessments!$A$2:$A$600,0)),"")</f>
        <v/>
      </c>
      <c r="CI370" s="28" t="str">
        <f aca="false">IFERROR(INDEX(Assessments!$I$2:$I$600,MATCH($H370&amp;"|"&amp;$I370&amp;"|"&amp;$J370&amp;"|"&amp;1,Assessments!$A$2:$A$600,0)),"")</f>
        <v>Hist P3 essay</v>
      </c>
      <c r="CJ370" s="28" t="str">
        <f aca="false">IFERROR(INDEX(Assessments!$I$2:$I$600,MATCH($H370&amp;"|"&amp;$I370&amp;"|"&amp;$J370&amp;"|"&amp;2,Assessments!$A$2:$A$600,0)),"")</f>
        <v>Hist P2 partial</v>
      </c>
      <c r="CK370" s="28" t="str">
        <f aca="false">IFERROR(INDEX(Assessments!$I$2:$I$600,MATCH($H370&amp;"|"&amp;$I370&amp;"|"&amp;$J370&amp;"|"&amp;3,Assessments!$A$2:$A$600,0)),"")</f>
        <v>Hist P2 partial</v>
      </c>
      <c r="CL370" s="28" t="str">
        <f aca="false">IFERROR(INDEX(Assessments!$I$2:$I$600,MATCH($H370&amp;"|"&amp;$I370&amp;"|"&amp;$J370&amp;"|"&amp;4,Assessments!$A$2:$A$600,0)),"")</f>
        <v>Hist P3 essay</v>
      </c>
      <c r="CM370" s="28" t="str">
        <f aca="false">IFERROR(INDEX(Assessments!$I$2:$I$600,MATCH($H370&amp;"|"&amp;$I370&amp;"|"&amp;$J370&amp;"|"&amp;5,Assessments!$A$2:$A$600,0)),"")</f>
        <v>Hist P3 essay</v>
      </c>
      <c r="CN370" s="28" t="str">
        <f aca="false">IFERROR(INDEX(Assessments!$I$2:$I$600,MATCH($H370&amp;"|"&amp;$I370&amp;"|"&amp;$J370&amp;"|"&amp;6,Assessments!$A$2:$A$600,0)),"")</f>
        <v>Hist P3 essay</v>
      </c>
      <c r="CO370" s="28" t="str">
        <f aca="false">IFERROR(INDEX(Assessments!$I$2:$I$600,MATCH($H370&amp;"|"&amp;$I370&amp;"|"&amp;$J370&amp;"|"&amp;7,Assessments!$A$2:$A$600,0)),"")</f>
        <v>Hist Paper 1</v>
      </c>
      <c r="CP370" s="28" t="str">
        <f aca="false">IFERROR(INDEX(Assessments!$I$2:$I$600,MATCH($H370&amp;"|"&amp;$I370&amp;"|"&amp;$J370&amp;"|"&amp;8,Assessments!$A$2:$A$600,0)),"")</f>
        <v>Hist P2 full</v>
      </c>
      <c r="CQ370" s="28" t="str">
        <f aca="false">IFERROR(INDEX(Assessments!$I$2:$I$600,MATCH($H370&amp;"|"&amp;$I370&amp;"|"&amp;$J370&amp;"|"&amp;9,Assessments!$A$2:$A$600,0)),"")</f>
        <v>Hist P3 full</v>
      </c>
      <c r="CR370" s="28" t="str">
        <f aca="false">IFERROR(INDEX(Assessments!$I$2:$I$600,MATCH($H370&amp;"|"&amp;$I370&amp;"|"&amp;$J370&amp;"|"&amp;10,Assessments!$A$2:$A$600,0)),"")</f>
        <v/>
      </c>
      <c r="CS370" s="28" t="str">
        <f aca="false">IFERROR(INDEX(Assessments!$I$2:$I$600,MATCH($H370&amp;"|"&amp;$I370&amp;"|"&amp;$J370&amp;"|"&amp;11,Assessments!$A$2:$A$600,0)),"")</f>
        <v/>
      </c>
      <c r="CT370" s="28" t="str">
        <f aca="false">IFERROR(INDEX(Assessments!$I$2:$I$600,MATCH($H370&amp;"|"&amp;$I370&amp;"|"&amp;$J370&amp;"|"&amp;12,Assessments!$A$2:$A$600,0)),"")</f>
        <v/>
      </c>
      <c r="CU370" s="28" t="str">
        <f aca="false">IFERROR(INDEX(Assessments!$I$2:$I$600,MATCH($H370&amp;"|"&amp;$I370&amp;"|"&amp;$J370&amp;"|"&amp;13,Assessments!$A$2:$A$600,0)),"")</f>
        <v/>
      </c>
      <c r="CV370" s="28" t="str">
        <f aca="false">IFERROR(INDEX(Assessments!$I$2:$I$600,MATCH($H370&amp;"|"&amp;$I370&amp;"|"&amp;$J370&amp;"|"&amp;14,Assessments!$A$2:$A$600,0)),"")</f>
        <v/>
      </c>
      <c r="CW370" s="28" t="n">
        <f aca="false">IFERROR(INDEX(Assessments!$J$2:$J$600,MATCH($H370&amp;"|"&amp;$I370&amp;"|"&amp;$J370&amp;"|"&amp;1,Assessments!$A$2:$A$600,0)),0)</f>
        <v>1</v>
      </c>
      <c r="CX370" s="28" t="n">
        <f aca="false">IFERROR(INDEX(Assessments!$J$2:$J$600,MATCH($H370&amp;"|"&amp;$I370&amp;"|"&amp;$J370&amp;"|"&amp;2,Assessments!$A$2:$A$600,0)),0)</f>
        <v>1</v>
      </c>
      <c r="CY370" s="28" t="n">
        <f aca="false">IFERROR(INDEX(Assessments!$J$2:$J$600,MATCH($H370&amp;"|"&amp;$I370&amp;"|"&amp;$J370&amp;"|"&amp;3,Assessments!$A$2:$A$600,0)),0)</f>
        <v>1</v>
      </c>
      <c r="CZ370" s="28" t="n">
        <f aca="false">IFERROR(INDEX(Assessments!$J$2:$J$600,MATCH($H370&amp;"|"&amp;$I370&amp;"|"&amp;$J370&amp;"|"&amp;4,Assessments!$A$2:$A$600,0)),0)</f>
        <v>1</v>
      </c>
      <c r="DA370" s="28" t="n">
        <f aca="false">IFERROR(INDEX(Assessments!$J$2:$J$600,MATCH($H370&amp;"|"&amp;$I370&amp;"|"&amp;$J370&amp;"|"&amp;5,Assessments!$A$2:$A$600,0)),0)</f>
        <v>1</v>
      </c>
      <c r="DB370" s="28" t="n">
        <f aca="false">IFERROR(INDEX(Assessments!$J$2:$J$600,MATCH($H370&amp;"|"&amp;$I370&amp;"|"&amp;$J370&amp;"|"&amp;6,Assessments!$A$2:$A$600,0)),0)</f>
        <v>1</v>
      </c>
      <c r="DC370" s="28" t="n">
        <f aca="false">IFERROR(INDEX(Assessments!$J$2:$J$600,MATCH($H370&amp;"|"&amp;$I370&amp;"|"&amp;$J370&amp;"|"&amp;7,Assessments!$A$2:$A$600,0)),0)</f>
        <v>2</v>
      </c>
      <c r="DD370" s="28" t="n">
        <f aca="false">IFERROR(INDEX(Assessments!$J$2:$J$600,MATCH($H370&amp;"|"&amp;$I370&amp;"|"&amp;$J370&amp;"|"&amp;8,Assessments!$A$2:$A$600,0)),0)</f>
        <v>2</v>
      </c>
      <c r="DE370" s="28" t="n">
        <f aca="false">IFERROR(INDEX(Assessments!$J$2:$J$600,MATCH($H370&amp;"|"&amp;$I370&amp;"|"&amp;$J370&amp;"|"&amp;9,Assessments!$A$2:$A$600,0)),0)</f>
        <v>2</v>
      </c>
      <c r="DF370" s="28" t="n">
        <f aca="false">IFERROR(INDEX(Assessments!$J$2:$J$600,MATCH($H370&amp;"|"&amp;$I370&amp;"|"&amp;$J370&amp;"|"&amp;10,Assessments!$A$2:$A$600,0)),0)</f>
        <v>0</v>
      </c>
      <c r="DG370" s="28" t="n">
        <f aca="false">IFERROR(INDEX(Assessments!$J$2:$J$600,MATCH($H370&amp;"|"&amp;$I370&amp;"|"&amp;$J370&amp;"|"&amp;11,Assessments!$A$2:$A$600,0)),0)</f>
        <v>0</v>
      </c>
      <c r="DH370" s="28" t="n">
        <f aca="false">IFERROR(INDEX(Assessments!$J$2:$J$600,MATCH($H370&amp;"|"&amp;$I370&amp;"|"&amp;$J370&amp;"|"&amp;12,Assessments!$A$2:$A$600,0)),0)</f>
        <v>0</v>
      </c>
      <c r="DI370" s="28" t="n">
        <f aca="false">IFERROR(INDEX(Assessments!$J$2:$J$600,MATCH($H370&amp;"|"&amp;$I370&amp;"|"&amp;$J370&amp;"|"&amp;13,Assessments!$A$2:$A$600,0)),0)</f>
        <v>0</v>
      </c>
      <c r="DJ370" s="28" t="n">
        <f aca="false">IFERROR(INDEX(Assessments!$J$2:$J$600,MATCH($H370&amp;"|"&amp;$I370&amp;"|"&amp;$J370&amp;"|"&amp;14,Assessments!$A$2:$A$600,0)),0)</f>
        <v>0</v>
      </c>
      <c r="DK370" s="28" t="n">
        <f aca="false">S370</f>
        <v>4</v>
      </c>
      <c r="DL370" s="28" t="n">
        <f aca="false">W370</f>
        <v>4</v>
      </c>
      <c r="DM370" s="28" t="str">
        <f aca="false">AA370</f>
        <v/>
      </c>
      <c r="DN370" s="28" t="str">
        <f aca="false">AE370</f>
        <v/>
      </c>
      <c r="DO370" s="28" t="str">
        <f aca="false">AI370</f>
        <v/>
      </c>
      <c r="DP370" s="28" t="str">
        <f aca="false">AM370</f>
        <v/>
      </c>
      <c r="DQ370" s="28" t="str">
        <f aca="false">AQ370</f>
        <v/>
      </c>
      <c r="DR370" s="28" t="str">
        <f aca="false">AU370</f>
        <v/>
      </c>
      <c r="DS370" s="28" t="str">
        <f aca="false">AY370</f>
        <v/>
      </c>
      <c r="DT370" s="28" t="str">
        <f aca="false">BC370</f>
        <v/>
      </c>
      <c r="DU370" s="28" t="str">
        <f aca="false">BG370</f>
        <v/>
      </c>
      <c r="DV370" s="28" t="str">
        <f aca="false">BK370</f>
        <v/>
      </c>
      <c r="DW370" s="28" t="str">
        <f aca="false">BO370</f>
        <v/>
      </c>
      <c r="DX370" s="28" t="str">
        <f aca="false">BS370</f>
        <v/>
      </c>
      <c r="DY370" s="28" t="n">
        <f aca="false">IF(ISNUMBER(S370),1,"")</f>
        <v>1</v>
      </c>
      <c r="DZ370" s="28" t="n">
        <f aca="false">IF(ISNUMBER(W370),2,"")</f>
        <v>2</v>
      </c>
      <c r="EA370" s="28" t="str">
        <f aca="false">IF(ISNUMBER(AA370),3,"")</f>
        <v/>
      </c>
      <c r="EB370" s="28" t="str">
        <f aca="false">IF(ISNUMBER(AE370),4,"")</f>
        <v/>
      </c>
      <c r="EC370" s="28" t="str">
        <f aca="false">IF(ISNUMBER(AI370),5,"")</f>
        <v/>
      </c>
      <c r="ED370" s="28" t="str">
        <f aca="false">IF(ISNUMBER(AM370),6,"")</f>
        <v/>
      </c>
      <c r="EE370" s="28" t="str">
        <f aca="false">IF(ISNUMBER(AQ370),7,"")</f>
        <v/>
      </c>
      <c r="EF370" s="28" t="str">
        <f aca="false">IF(ISNUMBER(AU370),8,"")</f>
        <v/>
      </c>
      <c r="EG370" s="28" t="str">
        <f aca="false">IF(ISNUMBER(AY370),9,"")</f>
        <v/>
      </c>
      <c r="EH370" s="28" t="str">
        <f aca="false">IF(ISNUMBER(BC370),10,"")</f>
        <v/>
      </c>
      <c r="EI370" s="28" t="str">
        <f aca="false">IF(ISNUMBER(BG370),11,"")</f>
        <v/>
      </c>
      <c r="EJ370" s="28" t="str">
        <f aca="false">IF(ISNUMBER(BK370),12,"")</f>
        <v/>
      </c>
      <c r="EK370" s="28" t="str">
        <f aca="false">IF(ISNUMBER(BO370),13,"")</f>
        <v/>
      </c>
      <c r="EL370" s="28" t="str">
        <f aca="false">IF(ISNUMBER(BS370),14,"")</f>
        <v/>
      </c>
      <c r="EM370" s="28" t="n">
        <f aca="false">IF(ISNUMBER(R370),R370*CW370,0)</f>
        <v>46.6666666666667</v>
      </c>
      <c r="EN370" s="28" t="n">
        <f aca="false">IF(ISNUMBER(V370),V370*CX370,0)</f>
        <v>50</v>
      </c>
      <c r="EO370" s="28" t="n">
        <f aca="false">IF(ISNUMBER(Z370),Z370*CY370,0)</f>
        <v>0</v>
      </c>
      <c r="EP370" s="28" t="n">
        <f aca="false">IF(ISNUMBER(AD370),AD370*CZ370,0)</f>
        <v>0</v>
      </c>
      <c r="EQ370" s="28" t="n">
        <f aca="false">IF(ISNUMBER(AH370),AH370*DA370,0)</f>
        <v>0</v>
      </c>
      <c r="ER370" s="28" t="n">
        <f aca="false">IF(ISNUMBER(AL370),AL370*DB370,0)</f>
        <v>0</v>
      </c>
      <c r="ES370" s="28" t="n">
        <f aca="false">IF(ISNUMBER(AP370),AP370*DC370,0)</f>
        <v>0</v>
      </c>
      <c r="ET370" s="28" t="n">
        <f aca="false">IF(ISNUMBER(AT370),AT370*DD370,0)</f>
        <v>0</v>
      </c>
      <c r="EU370" s="28" t="n">
        <f aca="false">IF(ISNUMBER(AX370),AX370*DE370,0)</f>
        <v>0</v>
      </c>
      <c r="EV370" s="28" t="n">
        <f aca="false">IF(ISNUMBER(BB370),BB370*DF370,0)</f>
        <v>0</v>
      </c>
      <c r="EW370" s="28" t="n">
        <f aca="false">IF(ISNUMBER(BF370),BF370*DG370,0)</f>
        <v>0</v>
      </c>
      <c r="EX370" s="28" t="n">
        <f aca="false">IF(ISNUMBER(BJ370),BJ370*DH370,0)</f>
        <v>0</v>
      </c>
      <c r="EY370" s="28" t="n">
        <f aca="false">IF(ISNUMBER(BN370),BN370*DI370,0)</f>
        <v>0</v>
      </c>
      <c r="EZ370" s="28" t="n">
        <f aca="false">IF(ISNUMBER(BR370),BR370*DJ370,0)</f>
        <v>0</v>
      </c>
      <c r="FA370" s="28" t="n">
        <f aca="false">IF(ISNUMBER(R370),CW370,0)</f>
        <v>1</v>
      </c>
      <c r="FB370" s="28" t="n">
        <f aca="false">IF(ISNUMBER(V370),CX370,0)</f>
        <v>1</v>
      </c>
      <c r="FC370" s="28" t="n">
        <f aca="false">IF(ISNUMBER(Z370),CY370,0)</f>
        <v>0</v>
      </c>
      <c r="FD370" s="28" t="n">
        <f aca="false">IF(ISNUMBER(AD370),CZ370,0)</f>
        <v>0</v>
      </c>
      <c r="FE370" s="28" t="n">
        <f aca="false">IF(ISNUMBER(AH370),DA370,0)</f>
        <v>0</v>
      </c>
      <c r="FF370" s="28" t="n">
        <f aca="false">IF(ISNUMBER(AL370),DB370,0)</f>
        <v>0</v>
      </c>
      <c r="FG370" s="28" t="n">
        <f aca="false">IF(ISNUMBER(AP370),DC370,0)</f>
        <v>0</v>
      </c>
      <c r="FH370" s="28" t="n">
        <f aca="false">IF(ISNUMBER(AT370),DD370,0)</f>
        <v>0</v>
      </c>
      <c r="FI370" s="28" t="n">
        <f aca="false">IF(ISNUMBER(AX370),DE370,0)</f>
        <v>0</v>
      </c>
      <c r="FJ370" s="28" t="n">
        <f aca="false">IF(ISNUMBER(BB370),DF370,0)</f>
        <v>0</v>
      </c>
      <c r="FK370" s="28" t="n">
        <f aca="false">IF(ISNUMBER(BF370),DG370,0)</f>
        <v>0</v>
      </c>
      <c r="FL370" s="28" t="n">
        <f aca="false">IF(ISNUMBER(BJ370),DH370,0)</f>
        <v>0</v>
      </c>
      <c r="FM370" s="28" t="n">
        <f aca="false">IF(ISNUMBER(BN370),DI370,0)</f>
        <v>0</v>
      </c>
      <c r="FN370" s="28" t="n">
        <f aca="false">IF(ISNUMBER(BR370),DJ370,0)</f>
        <v>0</v>
      </c>
      <c r="FO370" s="28" t="str">
        <f aca="false">IFERROR(INDEX(Lists!$G$2:$G$20,MATCH($I370&amp;"|"&amp;$J370,Lists!$F$2:$F$20,0)),"")</f>
        <v>Hist Overall HL</v>
      </c>
    </row>
    <row r="371" customFormat="false" ht="19.5" hidden="false" customHeight="true" outlineLevel="0" collapsed="false">
      <c r="A371" s="29" t="s">
        <v>558</v>
      </c>
      <c r="B371" s="29" t="s">
        <v>557</v>
      </c>
      <c r="C371" s="30" t="s">
        <v>192</v>
      </c>
      <c r="D371" s="30" t="s">
        <v>415</v>
      </c>
      <c r="E371" s="31"/>
      <c r="F371" s="30"/>
      <c r="G371" s="30"/>
      <c r="H371" s="32" t="s">
        <v>428</v>
      </c>
      <c r="I371" s="33" t="s">
        <v>416</v>
      </c>
      <c r="J371" s="32" t="s">
        <v>25</v>
      </c>
      <c r="K371" s="34" t="str">
        <f aca="false">IF(OR(M371="",$E371=""),"",M371-$E371)</f>
        <v/>
      </c>
      <c r="L371" s="35" t="n">
        <f aca="false">IF(SUM(FA371:FN371)=0,"",SUM(EM371:EZ371)/SUM(FA371:FN371))</f>
        <v>56.6666666666667</v>
      </c>
      <c r="M371" s="36" t="n">
        <f aca="false">IF(OR(L371="",FO371=""),"",IFERROR(MATCH(L371,INDEX(Boundaries!$B$2:$I$30,MATCH(FO371,Boundaries!$A$2:$A$30,0),0),1)-1,""))</f>
        <v>5</v>
      </c>
      <c r="N371" s="37" t="n">
        <f aca="false">IF(COUNT($DY371:$EL371)&lt;2,"",INDEX($DK371:$DX371,MAX($DY371:$EL371))-INDEX($DK371:$DX371,MIN($DY371:$EL371)))</f>
        <v>0</v>
      </c>
      <c r="O371" s="37" t="n">
        <f aca="false">IF(COUNT($DY371:$EL371)&lt;2,"",INDEX($DK371:$DX371,MAX($DY371:$EL371))-INDEX($DK371:$DX371,LARGE($DY371:$EL371,2)))</f>
        <v>0</v>
      </c>
      <c r="P371" s="38" t="str">
        <f aca="false">IF(K371="","",IF(K371&gt;=0,"On/above target",IF(AND(N371&lt;&gt;"",N371&gt;=0.5),"Improving towards target",IF(AND(O371&lt;&gt;"",O371&lt;=-0.5),"Declining","Stable below target"))))</f>
        <v/>
      </c>
      <c r="Q371" s="39" t="n">
        <v>8</v>
      </c>
      <c r="R371" s="40" t="n">
        <f aca="false">IF(OR(Q371="",BU371=""),"",Q371/BU371*100)</f>
        <v>53.3333333333333</v>
      </c>
      <c r="S371" s="41" t="n">
        <f aca="false">IF(R371="","",IFERROR(MATCH(R371,INDEX(Boundaries!$B$2:$I$30,MATCH(CI371,Boundaries!$A$2:$A$30,0),0),1)-1,""))</f>
        <v>5</v>
      </c>
      <c r="T371" s="42" t="str">
        <f aca="false">IF(OR(S371="",$E371=""),"",S371-$E371)</f>
        <v/>
      </c>
      <c r="U371" s="39" t="n">
        <v>6</v>
      </c>
      <c r="V371" s="40" t="n">
        <f aca="false">IF(OR(U371="",BV371=""),"",U371/BV371*100)</f>
        <v>60</v>
      </c>
      <c r="W371" s="41" t="n">
        <f aca="false">IF(V371="","",IFERROR(MATCH(V371,INDEX(Boundaries!$B$2:$I$30,MATCH(CJ371,Boundaries!$A$2:$A$30,0),0),1)-1,""))</f>
        <v>5</v>
      </c>
      <c r="X371" s="42" t="str">
        <f aca="false">IF(OR(W371="",$E371=""),"",W371-$E371)</f>
        <v/>
      </c>
      <c r="Y371" s="39"/>
      <c r="Z371" s="40" t="str">
        <f aca="false">IF(OR(Y371="",BW371=""),"",Y371/BW371*100)</f>
        <v/>
      </c>
      <c r="AA371" s="41" t="str">
        <f aca="false">IF(Z371="","",IFERROR(MATCH(Z371,INDEX(Boundaries!$B$2:$I$30,MATCH(CK371,Boundaries!$A$2:$A$30,0),0),1)-1,""))</f>
        <v/>
      </c>
      <c r="AB371" s="42" t="str">
        <f aca="false">IF(OR(AA371="",$E371=""),"",AA371-$E371)</f>
        <v/>
      </c>
      <c r="AC371" s="39"/>
      <c r="AD371" s="40" t="str">
        <f aca="false">IF(OR(AC371="",BX371=""),"",AC371/BX371*100)</f>
        <v/>
      </c>
      <c r="AE371" s="41" t="str">
        <f aca="false">IF(AD371="","",IFERROR(MATCH(AD371,INDEX(Boundaries!$B$2:$I$30,MATCH(CL371,Boundaries!$A$2:$A$30,0),0),1)-1,""))</f>
        <v/>
      </c>
      <c r="AF371" s="42" t="str">
        <f aca="false">IF(OR(AE371="",$E371=""),"",AE371-$E371)</f>
        <v/>
      </c>
      <c r="AG371" s="39"/>
      <c r="AH371" s="40" t="str">
        <f aca="false">IF(OR(AG371="",BY371=""),"",AG371/BY371*100)</f>
        <v/>
      </c>
      <c r="AI371" s="41" t="str">
        <f aca="false">IF(AH371="","",IFERROR(MATCH(AH371,INDEX(Boundaries!$B$2:$I$30,MATCH(CM371,Boundaries!$A$2:$A$30,0),0),1)-1,""))</f>
        <v/>
      </c>
      <c r="AJ371" s="42" t="str">
        <f aca="false">IF(OR(AI371="",$E371=""),"",AI371-$E371)</f>
        <v/>
      </c>
      <c r="AK371" s="39"/>
      <c r="AL371" s="40" t="str">
        <f aca="false">IF(OR(AK371="",BZ371=""),"",AK371/BZ371*100)</f>
        <v/>
      </c>
      <c r="AM371" s="41" t="str">
        <f aca="false">IF(AL371="","",IFERROR(MATCH(AL371,INDEX(Boundaries!$B$2:$I$30,MATCH(CN371,Boundaries!$A$2:$A$30,0),0),1)-1,""))</f>
        <v/>
      </c>
      <c r="AN371" s="42" t="str">
        <f aca="false">IF(OR(AM371="",$E371=""),"",AM371-$E371)</f>
        <v/>
      </c>
      <c r="AO371" s="39"/>
      <c r="AP371" s="40" t="str">
        <f aca="false">IF(OR(AO371="",CA371=""),"",AO371/CA371*100)</f>
        <v/>
      </c>
      <c r="AQ371" s="41" t="str">
        <f aca="false">IF(AP371="","",IFERROR(MATCH(AP371,INDEX(Boundaries!$B$2:$I$30,MATCH(CO371,Boundaries!$A$2:$A$30,0),0),1)-1,""))</f>
        <v/>
      </c>
      <c r="AR371" s="42" t="str">
        <f aca="false">IF(OR(AQ371="",$E371=""),"",AQ371-$E371)</f>
        <v/>
      </c>
      <c r="AS371" s="39"/>
      <c r="AT371" s="40" t="str">
        <f aca="false">IF(OR(AS371="",CB371=""),"",AS371/CB371*100)</f>
        <v/>
      </c>
      <c r="AU371" s="41" t="str">
        <f aca="false">IF(AT371="","",IFERROR(MATCH(AT371,INDEX(Boundaries!$B$2:$I$30,MATCH(CP371,Boundaries!$A$2:$A$30,0),0),1)-1,""))</f>
        <v/>
      </c>
      <c r="AV371" s="42" t="str">
        <f aca="false">IF(OR(AU371="",$E371=""),"",AU371-$E371)</f>
        <v/>
      </c>
      <c r="AW371" s="39"/>
      <c r="AX371" s="40" t="str">
        <f aca="false">IF(OR(AW371="",CC371=""),"",AW371/CC371*100)</f>
        <v/>
      </c>
      <c r="AY371" s="41" t="str">
        <f aca="false">IF(AX371="","",IFERROR(MATCH(AX371,INDEX(Boundaries!$B$2:$I$30,MATCH(CQ371,Boundaries!$A$2:$A$30,0),0),1)-1,""))</f>
        <v/>
      </c>
      <c r="AZ371" s="42" t="str">
        <f aca="false">IF(OR(AY371="",$E371=""),"",AY371-$E371)</f>
        <v/>
      </c>
      <c r="BA371" s="39"/>
      <c r="BB371" s="40" t="str">
        <f aca="false">IF(OR(BA371="",CD371=""),"",BA371/CD371*100)</f>
        <v/>
      </c>
      <c r="BC371" s="41" t="str">
        <f aca="false">IF(BB371="","",IFERROR(MATCH(BB371,INDEX(Boundaries!$B$2:$I$30,MATCH(CR371,Boundaries!$A$2:$A$30,0),0),1)-1,""))</f>
        <v/>
      </c>
      <c r="BD371" s="42" t="str">
        <f aca="false">IF(OR(BC371="",$E371=""),"",BC371-$E371)</f>
        <v/>
      </c>
      <c r="BE371" s="39"/>
      <c r="BF371" s="40" t="str">
        <f aca="false">IF(OR(BE371="",CE371=""),"",BE371/CE371*100)</f>
        <v/>
      </c>
      <c r="BG371" s="41" t="str">
        <f aca="false">IF(BF371="","",IFERROR(MATCH(BF371,INDEX(Boundaries!$B$2:$I$30,MATCH(CS371,Boundaries!$A$2:$A$30,0),0),1)-1,""))</f>
        <v/>
      </c>
      <c r="BH371" s="42" t="str">
        <f aca="false">IF(OR(BG371="",$E371=""),"",BG371-$E371)</f>
        <v/>
      </c>
      <c r="BI371" s="39"/>
      <c r="BJ371" s="40" t="str">
        <f aca="false">IF(OR(BI371="",CF371=""),"",BI371/CF371*100)</f>
        <v/>
      </c>
      <c r="BK371" s="41" t="str">
        <f aca="false">IF(BJ371="","",IFERROR(MATCH(BJ371,INDEX(Boundaries!$B$2:$I$30,MATCH(CT371,Boundaries!$A$2:$A$30,0),0),1)-1,""))</f>
        <v/>
      </c>
      <c r="BL371" s="42" t="str">
        <f aca="false">IF(OR(BK371="",$E371=""),"",BK371-$E371)</f>
        <v/>
      </c>
      <c r="BM371" s="39"/>
      <c r="BN371" s="40" t="str">
        <f aca="false">IF(OR(BM371="",CG371=""),"",BM371/CG371*100)</f>
        <v/>
      </c>
      <c r="BO371" s="41" t="str">
        <f aca="false">IF(BN371="","",IFERROR(MATCH(BN371,INDEX(Boundaries!$B$2:$I$30,MATCH(CU371,Boundaries!$A$2:$A$30,0),0),1)-1,""))</f>
        <v/>
      </c>
      <c r="BP371" s="42" t="str">
        <f aca="false">IF(OR(BO371="",$E371=""),"",BO371-$E371)</f>
        <v/>
      </c>
      <c r="BQ371" s="39"/>
      <c r="BR371" s="40" t="str">
        <f aca="false">IF(OR(BQ371="",CH371=""),"",BQ371/CH371*100)</f>
        <v/>
      </c>
      <c r="BS371" s="41" t="str">
        <f aca="false">IF(BR371="","",IFERROR(MATCH(BR371,INDEX(Boundaries!$B$2:$I$30,MATCH(CV371,Boundaries!$A$2:$A$30,0),0),1)-1,""))</f>
        <v/>
      </c>
      <c r="BT371" s="42" t="str">
        <f aca="false">IF(OR(BS371="",$E371=""),"",BS371-$E371)</f>
        <v/>
      </c>
      <c r="BU371" s="28" t="n">
        <f aca="false">IFERROR(INDEX(Assessments!$H$2:$H$600,MATCH($H371&amp;"|"&amp;$I371&amp;"|"&amp;$J371&amp;"|"&amp;1,Assessments!$A$2:$A$600,0)),"")</f>
        <v>15</v>
      </c>
      <c r="BV371" s="28" t="n">
        <f aca="false">IFERROR(INDEX(Assessments!$H$2:$H$600,MATCH($H371&amp;"|"&amp;$I371&amp;"|"&amp;$J371&amp;"|"&amp;2,Assessments!$A$2:$A$600,0)),"")</f>
        <v>10</v>
      </c>
      <c r="BW371" s="28" t="n">
        <f aca="false">IFERROR(INDEX(Assessments!$H$2:$H$600,MATCH($H371&amp;"|"&amp;$I371&amp;"|"&amp;$J371&amp;"|"&amp;3,Assessments!$A$2:$A$600,0)),"")</f>
        <v>24</v>
      </c>
      <c r="BX371" s="28" t="n">
        <f aca="false">IFERROR(INDEX(Assessments!$H$2:$H$600,MATCH($H371&amp;"|"&amp;$I371&amp;"|"&amp;$J371&amp;"|"&amp;4,Assessments!$A$2:$A$600,0)),"")</f>
        <v>15</v>
      </c>
      <c r="BY371" s="28" t="n">
        <f aca="false">IFERROR(INDEX(Assessments!$H$2:$H$600,MATCH($H371&amp;"|"&amp;$I371&amp;"|"&amp;$J371&amp;"|"&amp;5,Assessments!$A$2:$A$600,0)),"")</f>
        <v>15</v>
      </c>
      <c r="BZ371" s="28" t="n">
        <f aca="false">IFERROR(INDEX(Assessments!$H$2:$H$600,MATCH($H371&amp;"|"&amp;$I371&amp;"|"&amp;$J371&amp;"|"&amp;6,Assessments!$A$2:$A$600,0)),"")</f>
        <v>15</v>
      </c>
      <c r="CA371" s="28" t="n">
        <f aca="false">IFERROR(INDEX(Assessments!$H$2:$H$600,MATCH($H371&amp;"|"&amp;$I371&amp;"|"&amp;$J371&amp;"|"&amp;7,Assessments!$A$2:$A$600,0)),"")</f>
        <v>24</v>
      </c>
      <c r="CB371" s="28" t="n">
        <f aca="false">IFERROR(INDEX(Assessments!$H$2:$H$600,MATCH($H371&amp;"|"&amp;$I371&amp;"|"&amp;$J371&amp;"|"&amp;8,Assessments!$A$2:$A$600,0)),"")</f>
        <v>30</v>
      </c>
      <c r="CC371" s="28" t="n">
        <f aca="false">IFERROR(INDEX(Assessments!$H$2:$H$600,MATCH($H371&amp;"|"&amp;$I371&amp;"|"&amp;$J371&amp;"|"&amp;9,Assessments!$A$2:$A$600,0)),"")</f>
        <v>15</v>
      </c>
      <c r="CD371" s="28" t="str">
        <f aca="false">IFERROR(INDEX(Assessments!$H$2:$H$600,MATCH($H371&amp;"|"&amp;$I371&amp;"|"&amp;$J371&amp;"|"&amp;10,Assessments!$A$2:$A$600,0)),"")</f>
        <v/>
      </c>
      <c r="CE371" s="28" t="str">
        <f aca="false">IFERROR(INDEX(Assessments!$H$2:$H$600,MATCH($H371&amp;"|"&amp;$I371&amp;"|"&amp;$J371&amp;"|"&amp;11,Assessments!$A$2:$A$600,0)),"")</f>
        <v/>
      </c>
      <c r="CF371" s="28" t="str">
        <f aca="false">IFERROR(INDEX(Assessments!$H$2:$H$600,MATCH($H371&amp;"|"&amp;$I371&amp;"|"&amp;$J371&amp;"|"&amp;12,Assessments!$A$2:$A$600,0)),"")</f>
        <v/>
      </c>
      <c r="CG371" s="28" t="str">
        <f aca="false">IFERROR(INDEX(Assessments!$H$2:$H$600,MATCH($H371&amp;"|"&amp;$I371&amp;"|"&amp;$J371&amp;"|"&amp;13,Assessments!$A$2:$A$600,0)),"")</f>
        <v/>
      </c>
      <c r="CH371" s="28" t="str">
        <f aca="false">IFERROR(INDEX(Assessments!$H$2:$H$600,MATCH($H371&amp;"|"&amp;$I371&amp;"|"&amp;$J371&amp;"|"&amp;14,Assessments!$A$2:$A$600,0)),"")</f>
        <v/>
      </c>
      <c r="CI371" s="28" t="str">
        <f aca="false">IFERROR(INDEX(Assessments!$I$2:$I$600,MATCH($H371&amp;"|"&amp;$I371&amp;"|"&amp;$J371&amp;"|"&amp;1,Assessments!$A$2:$A$600,0)),"")</f>
        <v>Hist P3 essay</v>
      </c>
      <c r="CJ371" s="28" t="str">
        <f aca="false">IFERROR(INDEX(Assessments!$I$2:$I$600,MATCH($H371&amp;"|"&amp;$I371&amp;"|"&amp;$J371&amp;"|"&amp;2,Assessments!$A$2:$A$600,0)),"")</f>
        <v>Hist P2 partial</v>
      </c>
      <c r="CK371" s="28" t="str">
        <f aca="false">IFERROR(INDEX(Assessments!$I$2:$I$600,MATCH($H371&amp;"|"&amp;$I371&amp;"|"&amp;$J371&amp;"|"&amp;3,Assessments!$A$2:$A$600,0)),"")</f>
        <v>Hist P2 partial</v>
      </c>
      <c r="CL371" s="28" t="str">
        <f aca="false">IFERROR(INDEX(Assessments!$I$2:$I$600,MATCH($H371&amp;"|"&amp;$I371&amp;"|"&amp;$J371&amp;"|"&amp;4,Assessments!$A$2:$A$600,0)),"")</f>
        <v>Hist P3 essay</v>
      </c>
      <c r="CM371" s="28" t="str">
        <f aca="false">IFERROR(INDEX(Assessments!$I$2:$I$600,MATCH($H371&amp;"|"&amp;$I371&amp;"|"&amp;$J371&amp;"|"&amp;5,Assessments!$A$2:$A$600,0)),"")</f>
        <v>Hist P3 essay</v>
      </c>
      <c r="CN371" s="28" t="str">
        <f aca="false">IFERROR(INDEX(Assessments!$I$2:$I$600,MATCH($H371&amp;"|"&amp;$I371&amp;"|"&amp;$J371&amp;"|"&amp;6,Assessments!$A$2:$A$600,0)),"")</f>
        <v>Hist P3 essay</v>
      </c>
      <c r="CO371" s="28" t="str">
        <f aca="false">IFERROR(INDEX(Assessments!$I$2:$I$600,MATCH($H371&amp;"|"&amp;$I371&amp;"|"&amp;$J371&amp;"|"&amp;7,Assessments!$A$2:$A$600,0)),"")</f>
        <v>Hist Paper 1</v>
      </c>
      <c r="CP371" s="28" t="str">
        <f aca="false">IFERROR(INDEX(Assessments!$I$2:$I$600,MATCH($H371&amp;"|"&amp;$I371&amp;"|"&amp;$J371&amp;"|"&amp;8,Assessments!$A$2:$A$600,0)),"")</f>
        <v>Hist P2 full</v>
      </c>
      <c r="CQ371" s="28" t="str">
        <f aca="false">IFERROR(INDEX(Assessments!$I$2:$I$600,MATCH($H371&amp;"|"&amp;$I371&amp;"|"&amp;$J371&amp;"|"&amp;9,Assessments!$A$2:$A$600,0)),"")</f>
        <v>Hist P3 full</v>
      </c>
      <c r="CR371" s="28" t="str">
        <f aca="false">IFERROR(INDEX(Assessments!$I$2:$I$600,MATCH($H371&amp;"|"&amp;$I371&amp;"|"&amp;$J371&amp;"|"&amp;10,Assessments!$A$2:$A$600,0)),"")</f>
        <v/>
      </c>
      <c r="CS371" s="28" t="str">
        <f aca="false">IFERROR(INDEX(Assessments!$I$2:$I$600,MATCH($H371&amp;"|"&amp;$I371&amp;"|"&amp;$J371&amp;"|"&amp;11,Assessments!$A$2:$A$600,0)),"")</f>
        <v/>
      </c>
      <c r="CT371" s="28" t="str">
        <f aca="false">IFERROR(INDEX(Assessments!$I$2:$I$600,MATCH($H371&amp;"|"&amp;$I371&amp;"|"&amp;$J371&amp;"|"&amp;12,Assessments!$A$2:$A$600,0)),"")</f>
        <v/>
      </c>
      <c r="CU371" s="28" t="str">
        <f aca="false">IFERROR(INDEX(Assessments!$I$2:$I$600,MATCH($H371&amp;"|"&amp;$I371&amp;"|"&amp;$J371&amp;"|"&amp;13,Assessments!$A$2:$A$600,0)),"")</f>
        <v/>
      </c>
      <c r="CV371" s="28" t="str">
        <f aca="false">IFERROR(INDEX(Assessments!$I$2:$I$600,MATCH($H371&amp;"|"&amp;$I371&amp;"|"&amp;$J371&amp;"|"&amp;14,Assessments!$A$2:$A$600,0)),"")</f>
        <v/>
      </c>
      <c r="CW371" s="28" t="n">
        <f aca="false">IFERROR(INDEX(Assessments!$J$2:$J$600,MATCH($H371&amp;"|"&amp;$I371&amp;"|"&amp;$J371&amp;"|"&amp;1,Assessments!$A$2:$A$600,0)),0)</f>
        <v>1</v>
      </c>
      <c r="CX371" s="28" t="n">
        <f aca="false">IFERROR(INDEX(Assessments!$J$2:$J$600,MATCH($H371&amp;"|"&amp;$I371&amp;"|"&amp;$J371&amp;"|"&amp;2,Assessments!$A$2:$A$600,0)),0)</f>
        <v>1</v>
      </c>
      <c r="CY371" s="28" t="n">
        <f aca="false">IFERROR(INDEX(Assessments!$J$2:$J$600,MATCH($H371&amp;"|"&amp;$I371&amp;"|"&amp;$J371&amp;"|"&amp;3,Assessments!$A$2:$A$600,0)),0)</f>
        <v>1</v>
      </c>
      <c r="CZ371" s="28" t="n">
        <f aca="false">IFERROR(INDEX(Assessments!$J$2:$J$600,MATCH($H371&amp;"|"&amp;$I371&amp;"|"&amp;$J371&amp;"|"&amp;4,Assessments!$A$2:$A$600,0)),0)</f>
        <v>1</v>
      </c>
      <c r="DA371" s="28" t="n">
        <f aca="false">IFERROR(INDEX(Assessments!$J$2:$J$600,MATCH($H371&amp;"|"&amp;$I371&amp;"|"&amp;$J371&amp;"|"&amp;5,Assessments!$A$2:$A$600,0)),0)</f>
        <v>1</v>
      </c>
      <c r="DB371" s="28" t="n">
        <f aca="false">IFERROR(INDEX(Assessments!$J$2:$J$600,MATCH($H371&amp;"|"&amp;$I371&amp;"|"&amp;$J371&amp;"|"&amp;6,Assessments!$A$2:$A$600,0)),0)</f>
        <v>1</v>
      </c>
      <c r="DC371" s="28" t="n">
        <f aca="false">IFERROR(INDEX(Assessments!$J$2:$J$600,MATCH($H371&amp;"|"&amp;$I371&amp;"|"&amp;$J371&amp;"|"&amp;7,Assessments!$A$2:$A$600,0)),0)</f>
        <v>2</v>
      </c>
      <c r="DD371" s="28" t="n">
        <f aca="false">IFERROR(INDEX(Assessments!$J$2:$J$600,MATCH($H371&amp;"|"&amp;$I371&amp;"|"&amp;$J371&amp;"|"&amp;8,Assessments!$A$2:$A$600,0)),0)</f>
        <v>2</v>
      </c>
      <c r="DE371" s="28" t="n">
        <f aca="false">IFERROR(INDEX(Assessments!$J$2:$J$600,MATCH($H371&amp;"|"&amp;$I371&amp;"|"&amp;$J371&amp;"|"&amp;9,Assessments!$A$2:$A$600,0)),0)</f>
        <v>2</v>
      </c>
      <c r="DF371" s="28" t="n">
        <f aca="false">IFERROR(INDEX(Assessments!$J$2:$J$600,MATCH($H371&amp;"|"&amp;$I371&amp;"|"&amp;$J371&amp;"|"&amp;10,Assessments!$A$2:$A$600,0)),0)</f>
        <v>0</v>
      </c>
      <c r="DG371" s="28" t="n">
        <f aca="false">IFERROR(INDEX(Assessments!$J$2:$J$600,MATCH($H371&amp;"|"&amp;$I371&amp;"|"&amp;$J371&amp;"|"&amp;11,Assessments!$A$2:$A$600,0)),0)</f>
        <v>0</v>
      </c>
      <c r="DH371" s="28" t="n">
        <f aca="false">IFERROR(INDEX(Assessments!$J$2:$J$600,MATCH($H371&amp;"|"&amp;$I371&amp;"|"&amp;$J371&amp;"|"&amp;12,Assessments!$A$2:$A$600,0)),0)</f>
        <v>0</v>
      </c>
      <c r="DI371" s="28" t="n">
        <f aca="false">IFERROR(INDEX(Assessments!$J$2:$J$600,MATCH($H371&amp;"|"&amp;$I371&amp;"|"&amp;$J371&amp;"|"&amp;13,Assessments!$A$2:$A$600,0)),0)</f>
        <v>0</v>
      </c>
      <c r="DJ371" s="28" t="n">
        <f aca="false">IFERROR(INDEX(Assessments!$J$2:$J$600,MATCH($H371&amp;"|"&amp;$I371&amp;"|"&amp;$J371&amp;"|"&amp;14,Assessments!$A$2:$A$600,0)),0)</f>
        <v>0</v>
      </c>
      <c r="DK371" s="28" t="n">
        <f aca="false">S371</f>
        <v>5</v>
      </c>
      <c r="DL371" s="28" t="n">
        <f aca="false">W371</f>
        <v>5</v>
      </c>
      <c r="DM371" s="28" t="str">
        <f aca="false">AA371</f>
        <v/>
      </c>
      <c r="DN371" s="28" t="str">
        <f aca="false">AE371</f>
        <v/>
      </c>
      <c r="DO371" s="28" t="str">
        <f aca="false">AI371</f>
        <v/>
      </c>
      <c r="DP371" s="28" t="str">
        <f aca="false">AM371</f>
        <v/>
      </c>
      <c r="DQ371" s="28" t="str">
        <f aca="false">AQ371</f>
        <v/>
      </c>
      <c r="DR371" s="28" t="str">
        <f aca="false">AU371</f>
        <v/>
      </c>
      <c r="DS371" s="28" t="str">
        <f aca="false">AY371</f>
        <v/>
      </c>
      <c r="DT371" s="28" t="str">
        <f aca="false">BC371</f>
        <v/>
      </c>
      <c r="DU371" s="28" t="str">
        <f aca="false">BG371</f>
        <v/>
      </c>
      <c r="DV371" s="28" t="str">
        <f aca="false">BK371</f>
        <v/>
      </c>
      <c r="DW371" s="28" t="str">
        <f aca="false">BO371</f>
        <v/>
      </c>
      <c r="DX371" s="28" t="str">
        <f aca="false">BS371</f>
        <v/>
      </c>
      <c r="DY371" s="28" t="n">
        <f aca="false">IF(ISNUMBER(S371),1,"")</f>
        <v>1</v>
      </c>
      <c r="DZ371" s="28" t="n">
        <f aca="false">IF(ISNUMBER(W371),2,"")</f>
        <v>2</v>
      </c>
      <c r="EA371" s="28" t="str">
        <f aca="false">IF(ISNUMBER(AA371),3,"")</f>
        <v/>
      </c>
      <c r="EB371" s="28" t="str">
        <f aca="false">IF(ISNUMBER(AE371),4,"")</f>
        <v/>
      </c>
      <c r="EC371" s="28" t="str">
        <f aca="false">IF(ISNUMBER(AI371),5,"")</f>
        <v/>
      </c>
      <c r="ED371" s="28" t="str">
        <f aca="false">IF(ISNUMBER(AM371),6,"")</f>
        <v/>
      </c>
      <c r="EE371" s="28" t="str">
        <f aca="false">IF(ISNUMBER(AQ371),7,"")</f>
        <v/>
      </c>
      <c r="EF371" s="28" t="str">
        <f aca="false">IF(ISNUMBER(AU371),8,"")</f>
        <v/>
      </c>
      <c r="EG371" s="28" t="str">
        <f aca="false">IF(ISNUMBER(AY371),9,"")</f>
        <v/>
      </c>
      <c r="EH371" s="28" t="str">
        <f aca="false">IF(ISNUMBER(BC371),10,"")</f>
        <v/>
      </c>
      <c r="EI371" s="28" t="str">
        <f aca="false">IF(ISNUMBER(BG371),11,"")</f>
        <v/>
      </c>
      <c r="EJ371" s="28" t="str">
        <f aca="false">IF(ISNUMBER(BK371),12,"")</f>
        <v/>
      </c>
      <c r="EK371" s="28" t="str">
        <f aca="false">IF(ISNUMBER(BO371),13,"")</f>
        <v/>
      </c>
      <c r="EL371" s="28" t="str">
        <f aca="false">IF(ISNUMBER(BS371),14,"")</f>
        <v/>
      </c>
      <c r="EM371" s="28" t="n">
        <f aca="false">IF(ISNUMBER(R371),R371*CW371,0)</f>
        <v>53.3333333333333</v>
      </c>
      <c r="EN371" s="28" t="n">
        <f aca="false">IF(ISNUMBER(V371),V371*CX371,0)</f>
        <v>60</v>
      </c>
      <c r="EO371" s="28" t="n">
        <f aca="false">IF(ISNUMBER(Z371),Z371*CY371,0)</f>
        <v>0</v>
      </c>
      <c r="EP371" s="28" t="n">
        <f aca="false">IF(ISNUMBER(AD371),AD371*CZ371,0)</f>
        <v>0</v>
      </c>
      <c r="EQ371" s="28" t="n">
        <f aca="false">IF(ISNUMBER(AH371),AH371*DA371,0)</f>
        <v>0</v>
      </c>
      <c r="ER371" s="28" t="n">
        <f aca="false">IF(ISNUMBER(AL371),AL371*DB371,0)</f>
        <v>0</v>
      </c>
      <c r="ES371" s="28" t="n">
        <f aca="false">IF(ISNUMBER(AP371),AP371*DC371,0)</f>
        <v>0</v>
      </c>
      <c r="ET371" s="28" t="n">
        <f aca="false">IF(ISNUMBER(AT371),AT371*DD371,0)</f>
        <v>0</v>
      </c>
      <c r="EU371" s="28" t="n">
        <f aca="false">IF(ISNUMBER(AX371),AX371*DE371,0)</f>
        <v>0</v>
      </c>
      <c r="EV371" s="28" t="n">
        <f aca="false">IF(ISNUMBER(BB371),BB371*DF371,0)</f>
        <v>0</v>
      </c>
      <c r="EW371" s="28" t="n">
        <f aca="false">IF(ISNUMBER(BF371),BF371*DG371,0)</f>
        <v>0</v>
      </c>
      <c r="EX371" s="28" t="n">
        <f aca="false">IF(ISNUMBER(BJ371),BJ371*DH371,0)</f>
        <v>0</v>
      </c>
      <c r="EY371" s="28" t="n">
        <f aca="false">IF(ISNUMBER(BN371),BN371*DI371,0)</f>
        <v>0</v>
      </c>
      <c r="EZ371" s="28" t="n">
        <f aca="false">IF(ISNUMBER(BR371),BR371*DJ371,0)</f>
        <v>0</v>
      </c>
      <c r="FA371" s="28" t="n">
        <f aca="false">IF(ISNUMBER(R371),CW371,0)</f>
        <v>1</v>
      </c>
      <c r="FB371" s="28" t="n">
        <f aca="false">IF(ISNUMBER(V371),CX371,0)</f>
        <v>1</v>
      </c>
      <c r="FC371" s="28" t="n">
        <f aca="false">IF(ISNUMBER(Z371),CY371,0)</f>
        <v>0</v>
      </c>
      <c r="FD371" s="28" t="n">
        <f aca="false">IF(ISNUMBER(AD371),CZ371,0)</f>
        <v>0</v>
      </c>
      <c r="FE371" s="28" t="n">
        <f aca="false">IF(ISNUMBER(AH371),DA371,0)</f>
        <v>0</v>
      </c>
      <c r="FF371" s="28" t="n">
        <f aca="false">IF(ISNUMBER(AL371),DB371,0)</f>
        <v>0</v>
      </c>
      <c r="FG371" s="28" t="n">
        <f aca="false">IF(ISNUMBER(AP371),DC371,0)</f>
        <v>0</v>
      </c>
      <c r="FH371" s="28" t="n">
        <f aca="false">IF(ISNUMBER(AT371),DD371,0)</f>
        <v>0</v>
      </c>
      <c r="FI371" s="28" t="n">
        <f aca="false">IF(ISNUMBER(AX371),DE371,0)</f>
        <v>0</v>
      </c>
      <c r="FJ371" s="28" t="n">
        <f aca="false">IF(ISNUMBER(BB371),DF371,0)</f>
        <v>0</v>
      </c>
      <c r="FK371" s="28" t="n">
        <f aca="false">IF(ISNUMBER(BF371),DG371,0)</f>
        <v>0</v>
      </c>
      <c r="FL371" s="28" t="n">
        <f aca="false">IF(ISNUMBER(BJ371),DH371,0)</f>
        <v>0</v>
      </c>
      <c r="FM371" s="28" t="n">
        <f aca="false">IF(ISNUMBER(BN371),DI371,0)</f>
        <v>0</v>
      </c>
      <c r="FN371" s="28" t="n">
        <f aca="false">IF(ISNUMBER(BR371),DJ371,0)</f>
        <v>0</v>
      </c>
      <c r="FO371" s="28" t="str">
        <f aca="false">IFERROR(INDEX(Lists!$G$2:$G$20,MATCH($I371&amp;"|"&amp;$J371,Lists!$F$2:$F$20,0)),"")</f>
        <v>Hist Overall HL</v>
      </c>
    </row>
    <row r="372" customFormat="false" ht="19.5" hidden="false" customHeight="true" outlineLevel="0" collapsed="false">
      <c r="A372" s="29" t="s">
        <v>626</v>
      </c>
      <c r="B372" s="29" t="s">
        <v>627</v>
      </c>
      <c r="C372" s="30" t="s">
        <v>152</v>
      </c>
      <c r="D372" s="30" t="s">
        <v>422</v>
      </c>
      <c r="E372" s="31"/>
      <c r="F372" s="30"/>
      <c r="G372" s="30"/>
      <c r="H372" s="32" t="s">
        <v>428</v>
      </c>
      <c r="I372" s="33" t="s">
        <v>416</v>
      </c>
      <c r="J372" s="32" t="s">
        <v>223</v>
      </c>
      <c r="K372" s="34" t="str">
        <f aca="false">IF(OR(M372="",$E372=""),"",M372-$E372)</f>
        <v/>
      </c>
      <c r="L372" s="35" t="n">
        <f aca="false">IF(SUM(FA372:FN372)=0,"",SUM(EM372:EZ372)/SUM(FA372:FN372))</f>
        <v>40</v>
      </c>
      <c r="M372" s="36" t="n">
        <f aca="false">IF(OR(L372="",FO372=""),"",IFERROR(MATCH(L372,INDEX(Boundaries!$B$2:$I$30,MATCH(FO372,Boundaries!$A$2:$A$30,0),0),1)-1,""))</f>
        <v>4</v>
      </c>
      <c r="N372" s="37" t="str">
        <f aca="false">IF(COUNT($DY372:$EL372)&lt;2,"",INDEX($DK372:$DX372,MAX($DY372:$EL372))-INDEX($DK372:$DX372,MIN($DY372:$EL372)))</f>
        <v/>
      </c>
      <c r="O372" s="37" t="str">
        <f aca="false">IF(COUNT($DY372:$EL372)&lt;2,"",INDEX($DK372:$DX372,MAX($DY372:$EL372))-INDEX($DK372:$DX372,LARGE($DY372:$EL372,2)))</f>
        <v/>
      </c>
      <c r="P372" s="38" t="str">
        <f aca="false">IF(K372="","",IF(K372&gt;=0,"On/above target",IF(AND(N372&lt;&gt;"",N372&gt;=0.5),"Improving towards target",IF(AND(O372&lt;&gt;"",O372&lt;=-0.5),"Declining","Stable below target"))))</f>
        <v/>
      </c>
      <c r="Q372" s="39" t="n">
        <v>4</v>
      </c>
      <c r="R372" s="40" t="n">
        <f aca="false">IF(OR(Q372="",BU372=""),"",Q372/BU372*100)</f>
        <v>40</v>
      </c>
      <c r="S372" s="41" t="n">
        <f aca="false">IF(R372="","",IFERROR(MATCH(R372,INDEX(Boundaries!$B$2:$I$30,MATCH(CI372,Boundaries!$A$2:$A$30,0),0),1)-1,""))</f>
        <v>3</v>
      </c>
      <c r="T372" s="42" t="str">
        <f aca="false">IF(OR(S372="",$E372=""),"",S372-$E372)</f>
        <v/>
      </c>
      <c r="U372" s="39"/>
      <c r="V372" s="40" t="str">
        <f aca="false">IF(OR(U372="",BV372=""),"",U372/BV372*100)</f>
        <v/>
      </c>
      <c r="W372" s="41" t="str">
        <f aca="false">IF(V372="","",IFERROR(MATCH(V372,INDEX(Boundaries!$B$2:$I$30,MATCH(CJ372,Boundaries!$A$2:$A$30,0),0),1)-1,""))</f>
        <v/>
      </c>
      <c r="X372" s="42" t="str">
        <f aca="false">IF(OR(W372="",$E372=""),"",W372-$E372)</f>
        <v/>
      </c>
      <c r="Y372" s="39"/>
      <c r="Z372" s="40" t="str">
        <f aca="false">IF(OR(Y372="",BW372=""),"",Y372/BW372*100)</f>
        <v/>
      </c>
      <c r="AA372" s="41" t="str">
        <f aca="false">IF(Z372="","",IFERROR(MATCH(Z372,INDEX(Boundaries!$B$2:$I$30,MATCH(CK372,Boundaries!$A$2:$A$30,0),0),1)-1,""))</f>
        <v/>
      </c>
      <c r="AB372" s="42" t="str">
        <f aca="false">IF(OR(AA372="",$E372=""),"",AA372-$E372)</f>
        <v/>
      </c>
      <c r="AC372" s="39"/>
      <c r="AD372" s="40" t="str">
        <f aca="false">IF(OR(AC372="",BX372=""),"",AC372/BX372*100)</f>
        <v/>
      </c>
      <c r="AE372" s="41" t="str">
        <f aca="false">IF(AD372="","",IFERROR(MATCH(AD372,INDEX(Boundaries!$B$2:$I$30,MATCH(CL372,Boundaries!$A$2:$A$30,0),0),1)-1,""))</f>
        <v/>
      </c>
      <c r="AF372" s="42" t="str">
        <f aca="false">IF(OR(AE372="",$E372=""),"",AE372-$E372)</f>
        <v/>
      </c>
      <c r="AG372" s="39"/>
      <c r="AH372" s="40" t="str">
        <f aca="false">IF(OR(AG372="",BY372=""),"",AG372/BY372*100)</f>
        <v/>
      </c>
      <c r="AI372" s="41" t="str">
        <f aca="false">IF(AH372="","",IFERROR(MATCH(AH372,INDEX(Boundaries!$B$2:$I$30,MATCH(CM372,Boundaries!$A$2:$A$30,0),0),1)-1,""))</f>
        <v/>
      </c>
      <c r="AJ372" s="42" t="str">
        <f aca="false">IF(OR(AI372="",$E372=""),"",AI372-$E372)</f>
        <v/>
      </c>
      <c r="AK372" s="39"/>
      <c r="AL372" s="40" t="str">
        <f aca="false">IF(OR(AK372="",BZ372=""),"",AK372/BZ372*100)</f>
        <v/>
      </c>
      <c r="AM372" s="41" t="str">
        <f aca="false">IF(AL372="","",IFERROR(MATCH(AL372,INDEX(Boundaries!$B$2:$I$30,MATCH(CN372,Boundaries!$A$2:$A$30,0),0),1)-1,""))</f>
        <v/>
      </c>
      <c r="AN372" s="42" t="str">
        <f aca="false">IF(OR(AM372="",$E372=""),"",AM372-$E372)</f>
        <v/>
      </c>
      <c r="AO372" s="39"/>
      <c r="AP372" s="40" t="str">
        <f aca="false">IF(OR(AO372="",CA372=""),"",AO372/CA372*100)</f>
        <v/>
      </c>
      <c r="AQ372" s="41" t="str">
        <f aca="false">IF(AP372="","",IFERROR(MATCH(AP372,INDEX(Boundaries!$B$2:$I$30,MATCH(CO372,Boundaries!$A$2:$A$30,0),0),1)-1,""))</f>
        <v/>
      </c>
      <c r="AR372" s="42" t="str">
        <f aca="false">IF(OR(AQ372="",$E372=""),"",AQ372-$E372)</f>
        <v/>
      </c>
      <c r="AS372" s="39"/>
      <c r="AT372" s="40" t="str">
        <f aca="false">IF(OR(AS372="",CB372=""),"",AS372/CB372*100)</f>
        <v/>
      </c>
      <c r="AU372" s="41" t="str">
        <f aca="false">IF(AT372="","",IFERROR(MATCH(AT372,INDEX(Boundaries!$B$2:$I$30,MATCH(CP372,Boundaries!$A$2:$A$30,0),0),1)-1,""))</f>
        <v/>
      </c>
      <c r="AV372" s="42" t="str">
        <f aca="false">IF(OR(AU372="",$E372=""),"",AU372-$E372)</f>
        <v/>
      </c>
      <c r="AW372" s="39"/>
      <c r="AX372" s="40" t="str">
        <f aca="false">IF(OR(AW372="",CC372=""),"",AW372/CC372*100)</f>
        <v/>
      </c>
      <c r="AY372" s="41" t="str">
        <f aca="false">IF(AX372="","",IFERROR(MATCH(AX372,INDEX(Boundaries!$B$2:$I$30,MATCH(CQ372,Boundaries!$A$2:$A$30,0),0),1)-1,""))</f>
        <v/>
      </c>
      <c r="AZ372" s="42" t="str">
        <f aca="false">IF(OR(AY372="",$E372=""),"",AY372-$E372)</f>
        <v/>
      </c>
      <c r="BA372" s="39"/>
      <c r="BB372" s="40" t="str">
        <f aca="false">IF(OR(BA372="",CD372=""),"",BA372/CD372*100)</f>
        <v/>
      </c>
      <c r="BC372" s="41" t="str">
        <f aca="false">IF(BB372="","",IFERROR(MATCH(BB372,INDEX(Boundaries!$B$2:$I$30,MATCH(CR372,Boundaries!$A$2:$A$30,0),0),1)-1,""))</f>
        <v/>
      </c>
      <c r="BD372" s="42" t="str">
        <f aca="false">IF(OR(BC372="",$E372=""),"",BC372-$E372)</f>
        <v/>
      </c>
      <c r="BE372" s="39"/>
      <c r="BF372" s="40" t="str">
        <f aca="false">IF(OR(BE372="",CE372=""),"",BE372/CE372*100)</f>
        <v/>
      </c>
      <c r="BG372" s="41" t="str">
        <f aca="false">IF(BF372="","",IFERROR(MATCH(BF372,INDEX(Boundaries!$B$2:$I$30,MATCH(CS372,Boundaries!$A$2:$A$30,0),0),1)-1,""))</f>
        <v/>
      </c>
      <c r="BH372" s="42" t="str">
        <f aca="false">IF(OR(BG372="",$E372=""),"",BG372-$E372)</f>
        <v/>
      </c>
      <c r="BI372" s="39"/>
      <c r="BJ372" s="40" t="str">
        <f aca="false">IF(OR(BI372="",CF372=""),"",BI372/CF372*100)</f>
        <v/>
      </c>
      <c r="BK372" s="41" t="str">
        <f aca="false">IF(BJ372="","",IFERROR(MATCH(BJ372,INDEX(Boundaries!$B$2:$I$30,MATCH(CT372,Boundaries!$A$2:$A$30,0),0),1)-1,""))</f>
        <v/>
      </c>
      <c r="BL372" s="42" t="str">
        <f aca="false">IF(OR(BK372="",$E372=""),"",BK372-$E372)</f>
        <v/>
      </c>
      <c r="BM372" s="39"/>
      <c r="BN372" s="40" t="str">
        <f aca="false">IF(OR(BM372="",CG372=""),"",BM372/CG372*100)</f>
        <v/>
      </c>
      <c r="BO372" s="41" t="str">
        <f aca="false">IF(BN372="","",IFERROR(MATCH(BN372,INDEX(Boundaries!$B$2:$I$30,MATCH(CU372,Boundaries!$A$2:$A$30,0),0),1)-1,""))</f>
        <v/>
      </c>
      <c r="BP372" s="42" t="str">
        <f aca="false">IF(OR(BO372="",$E372=""),"",BO372-$E372)</f>
        <v/>
      </c>
      <c r="BQ372" s="39"/>
      <c r="BR372" s="40" t="str">
        <f aca="false">IF(OR(BQ372="",CH372=""),"",BQ372/CH372*100)</f>
        <v/>
      </c>
      <c r="BS372" s="41" t="str">
        <f aca="false">IF(BR372="","",IFERROR(MATCH(BR372,INDEX(Boundaries!$B$2:$I$30,MATCH(CV372,Boundaries!$A$2:$A$30,0),0),1)-1,""))</f>
        <v/>
      </c>
      <c r="BT372" s="42" t="str">
        <f aca="false">IF(OR(BS372="",$E372=""),"",BS372-$E372)</f>
        <v/>
      </c>
      <c r="BU372" s="28" t="n">
        <f aca="false">IFERROR(INDEX(Assessments!$H$2:$H$600,MATCH($H372&amp;"|"&amp;$I372&amp;"|"&amp;$J372&amp;"|"&amp;1,Assessments!$A$2:$A$600,0)),"")</f>
        <v>10</v>
      </c>
      <c r="BV372" s="28" t="n">
        <f aca="false">IFERROR(INDEX(Assessments!$H$2:$H$600,MATCH($H372&amp;"|"&amp;$I372&amp;"|"&amp;$J372&amp;"|"&amp;2,Assessments!$A$2:$A$600,0)),"")</f>
        <v>24</v>
      </c>
      <c r="BW372" s="28" t="n">
        <f aca="false">IFERROR(INDEX(Assessments!$H$2:$H$600,MATCH($H372&amp;"|"&amp;$I372&amp;"|"&amp;$J372&amp;"|"&amp;3,Assessments!$A$2:$A$600,0)),"")</f>
        <v>15</v>
      </c>
      <c r="BX372" s="28" t="n">
        <f aca="false">IFERROR(INDEX(Assessments!$H$2:$H$600,MATCH($H372&amp;"|"&amp;$I372&amp;"|"&amp;$J372&amp;"|"&amp;4,Assessments!$A$2:$A$600,0)),"")</f>
        <v>24</v>
      </c>
      <c r="BY372" s="28" t="n">
        <f aca="false">IFERROR(INDEX(Assessments!$H$2:$H$600,MATCH($H372&amp;"|"&amp;$I372&amp;"|"&amp;$J372&amp;"|"&amp;5,Assessments!$A$2:$A$600,0)),"")</f>
        <v>30</v>
      </c>
      <c r="BZ372" s="28" t="str">
        <f aca="false">IFERROR(INDEX(Assessments!$H$2:$H$600,MATCH($H372&amp;"|"&amp;$I372&amp;"|"&amp;$J372&amp;"|"&amp;6,Assessments!$A$2:$A$600,0)),"")</f>
        <v/>
      </c>
      <c r="CA372" s="28" t="str">
        <f aca="false">IFERROR(INDEX(Assessments!$H$2:$H$600,MATCH($H372&amp;"|"&amp;$I372&amp;"|"&amp;$J372&amp;"|"&amp;7,Assessments!$A$2:$A$600,0)),"")</f>
        <v/>
      </c>
      <c r="CB372" s="28" t="str">
        <f aca="false">IFERROR(INDEX(Assessments!$H$2:$H$600,MATCH($H372&amp;"|"&amp;$I372&amp;"|"&amp;$J372&amp;"|"&amp;8,Assessments!$A$2:$A$600,0)),"")</f>
        <v/>
      </c>
      <c r="CC372" s="28" t="str">
        <f aca="false">IFERROR(INDEX(Assessments!$H$2:$H$600,MATCH($H372&amp;"|"&amp;$I372&amp;"|"&amp;$J372&amp;"|"&amp;9,Assessments!$A$2:$A$600,0)),"")</f>
        <v/>
      </c>
      <c r="CD372" s="28" t="str">
        <f aca="false">IFERROR(INDEX(Assessments!$H$2:$H$600,MATCH($H372&amp;"|"&amp;$I372&amp;"|"&amp;$J372&amp;"|"&amp;10,Assessments!$A$2:$A$600,0)),"")</f>
        <v/>
      </c>
      <c r="CE372" s="28" t="str">
        <f aca="false">IFERROR(INDEX(Assessments!$H$2:$H$600,MATCH($H372&amp;"|"&amp;$I372&amp;"|"&amp;$J372&amp;"|"&amp;11,Assessments!$A$2:$A$600,0)),"")</f>
        <v/>
      </c>
      <c r="CF372" s="28" t="str">
        <f aca="false">IFERROR(INDEX(Assessments!$H$2:$H$600,MATCH($H372&amp;"|"&amp;$I372&amp;"|"&amp;$J372&amp;"|"&amp;12,Assessments!$A$2:$A$600,0)),"")</f>
        <v/>
      </c>
      <c r="CG372" s="28" t="str">
        <f aca="false">IFERROR(INDEX(Assessments!$H$2:$H$600,MATCH($H372&amp;"|"&amp;$I372&amp;"|"&amp;$J372&amp;"|"&amp;13,Assessments!$A$2:$A$600,0)),"")</f>
        <v/>
      </c>
      <c r="CH372" s="28" t="str">
        <f aca="false">IFERROR(INDEX(Assessments!$H$2:$H$600,MATCH($H372&amp;"|"&amp;$I372&amp;"|"&amp;$J372&amp;"|"&amp;14,Assessments!$A$2:$A$600,0)),"")</f>
        <v/>
      </c>
      <c r="CI372" s="28" t="str">
        <f aca="false">IFERROR(INDEX(Assessments!$I$2:$I$600,MATCH($H372&amp;"|"&amp;$I372&amp;"|"&amp;$J372&amp;"|"&amp;1,Assessments!$A$2:$A$600,0)),"")</f>
        <v>Hist P2 partial</v>
      </c>
      <c r="CJ372" s="28" t="str">
        <f aca="false">IFERROR(INDEX(Assessments!$I$2:$I$600,MATCH($H372&amp;"|"&amp;$I372&amp;"|"&amp;$J372&amp;"|"&amp;2,Assessments!$A$2:$A$600,0)),"")</f>
        <v>Hist P2 partial</v>
      </c>
      <c r="CK372" s="28" t="str">
        <f aca="false">IFERROR(INDEX(Assessments!$I$2:$I$600,MATCH($H372&amp;"|"&amp;$I372&amp;"|"&amp;$J372&amp;"|"&amp;3,Assessments!$A$2:$A$600,0)),"")</f>
        <v>Hist P2 partial</v>
      </c>
      <c r="CL372" s="28" t="str">
        <f aca="false">IFERROR(INDEX(Assessments!$I$2:$I$600,MATCH($H372&amp;"|"&amp;$I372&amp;"|"&amp;$J372&amp;"|"&amp;4,Assessments!$A$2:$A$600,0)),"")</f>
        <v>Hist Paper 1</v>
      </c>
      <c r="CM372" s="28" t="str">
        <f aca="false">IFERROR(INDEX(Assessments!$I$2:$I$600,MATCH($H372&amp;"|"&amp;$I372&amp;"|"&amp;$J372&amp;"|"&amp;5,Assessments!$A$2:$A$600,0)),"")</f>
        <v>Hist P2 full</v>
      </c>
      <c r="CN372" s="28" t="str">
        <f aca="false">IFERROR(INDEX(Assessments!$I$2:$I$600,MATCH($H372&amp;"|"&amp;$I372&amp;"|"&amp;$J372&amp;"|"&amp;6,Assessments!$A$2:$A$600,0)),"")</f>
        <v/>
      </c>
      <c r="CO372" s="28" t="str">
        <f aca="false">IFERROR(INDEX(Assessments!$I$2:$I$600,MATCH($H372&amp;"|"&amp;$I372&amp;"|"&amp;$J372&amp;"|"&amp;7,Assessments!$A$2:$A$600,0)),"")</f>
        <v/>
      </c>
      <c r="CP372" s="28" t="str">
        <f aca="false">IFERROR(INDEX(Assessments!$I$2:$I$600,MATCH($H372&amp;"|"&amp;$I372&amp;"|"&amp;$J372&amp;"|"&amp;8,Assessments!$A$2:$A$600,0)),"")</f>
        <v/>
      </c>
      <c r="CQ372" s="28" t="str">
        <f aca="false">IFERROR(INDEX(Assessments!$I$2:$I$600,MATCH($H372&amp;"|"&amp;$I372&amp;"|"&amp;$J372&amp;"|"&amp;9,Assessments!$A$2:$A$600,0)),"")</f>
        <v/>
      </c>
      <c r="CR372" s="28" t="str">
        <f aca="false">IFERROR(INDEX(Assessments!$I$2:$I$600,MATCH($H372&amp;"|"&amp;$I372&amp;"|"&amp;$J372&amp;"|"&amp;10,Assessments!$A$2:$A$600,0)),"")</f>
        <v/>
      </c>
      <c r="CS372" s="28" t="str">
        <f aca="false">IFERROR(INDEX(Assessments!$I$2:$I$600,MATCH($H372&amp;"|"&amp;$I372&amp;"|"&amp;$J372&amp;"|"&amp;11,Assessments!$A$2:$A$600,0)),"")</f>
        <v/>
      </c>
      <c r="CT372" s="28" t="str">
        <f aca="false">IFERROR(INDEX(Assessments!$I$2:$I$600,MATCH($H372&amp;"|"&amp;$I372&amp;"|"&amp;$J372&amp;"|"&amp;12,Assessments!$A$2:$A$600,0)),"")</f>
        <v/>
      </c>
      <c r="CU372" s="28" t="str">
        <f aca="false">IFERROR(INDEX(Assessments!$I$2:$I$600,MATCH($H372&amp;"|"&amp;$I372&amp;"|"&amp;$J372&amp;"|"&amp;13,Assessments!$A$2:$A$600,0)),"")</f>
        <v/>
      </c>
      <c r="CV372" s="28" t="str">
        <f aca="false">IFERROR(INDEX(Assessments!$I$2:$I$600,MATCH($H372&amp;"|"&amp;$I372&amp;"|"&amp;$J372&amp;"|"&amp;14,Assessments!$A$2:$A$600,0)),"")</f>
        <v/>
      </c>
      <c r="CW372" s="28" t="n">
        <f aca="false">IFERROR(INDEX(Assessments!$J$2:$J$600,MATCH($H372&amp;"|"&amp;$I372&amp;"|"&amp;$J372&amp;"|"&amp;1,Assessments!$A$2:$A$600,0)),0)</f>
        <v>1</v>
      </c>
      <c r="CX372" s="28" t="n">
        <f aca="false">IFERROR(INDEX(Assessments!$J$2:$J$600,MATCH($H372&amp;"|"&amp;$I372&amp;"|"&amp;$J372&amp;"|"&amp;2,Assessments!$A$2:$A$600,0)),0)</f>
        <v>1</v>
      </c>
      <c r="CY372" s="28" t="n">
        <f aca="false">IFERROR(INDEX(Assessments!$J$2:$J$600,MATCH($H372&amp;"|"&amp;$I372&amp;"|"&amp;$J372&amp;"|"&amp;3,Assessments!$A$2:$A$600,0)),0)</f>
        <v>1</v>
      </c>
      <c r="CZ372" s="28" t="n">
        <f aca="false">IFERROR(INDEX(Assessments!$J$2:$J$600,MATCH($H372&amp;"|"&amp;$I372&amp;"|"&amp;$J372&amp;"|"&amp;4,Assessments!$A$2:$A$600,0)),0)</f>
        <v>2</v>
      </c>
      <c r="DA372" s="28" t="n">
        <f aca="false">IFERROR(INDEX(Assessments!$J$2:$J$600,MATCH($H372&amp;"|"&amp;$I372&amp;"|"&amp;$J372&amp;"|"&amp;5,Assessments!$A$2:$A$600,0)),0)</f>
        <v>2</v>
      </c>
      <c r="DB372" s="28" t="n">
        <f aca="false">IFERROR(INDEX(Assessments!$J$2:$J$600,MATCH($H372&amp;"|"&amp;$I372&amp;"|"&amp;$J372&amp;"|"&amp;6,Assessments!$A$2:$A$600,0)),0)</f>
        <v>0</v>
      </c>
      <c r="DC372" s="28" t="n">
        <f aca="false">IFERROR(INDEX(Assessments!$J$2:$J$600,MATCH($H372&amp;"|"&amp;$I372&amp;"|"&amp;$J372&amp;"|"&amp;7,Assessments!$A$2:$A$600,0)),0)</f>
        <v>0</v>
      </c>
      <c r="DD372" s="28" t="n">
        <f aca="false">IFERROR(INDEX(Assessments!$J$2:$J$600,MATCH($H372&amp;"|"&amp;$I372&amp;"|"&amp;$J372&amp;"|"&amp;8,Assessments!$A$2:$A$600,0)),0)</f>
        <v>0</v>
      </c>
      <c r="DE372" s="28" t="n">
        <f aca="false">IFERROR(INDEX(Assessments!$J$2:$J$600,MATCH($H372&amp;"|"&amp;$I372&amp;"|"&amp;$J372&amp;"|"&amp;9,Assessments!$A$2:$A$600,0)),0)</f>
        <v>0</v>
      </c>
      <c r="DF372" s="28" t="n">
        <f aca="false">IFERROR(INDEX(Assessments!$J$2:$J$600,MATCH($H372&amp;"|"&amp;$I372&amp;"|"&amp;$J372&amp;"|"&amp;10,Assessments!$A$2:$A$600,0)),0)</f>
        <v>0</v>
      </c>
      <c r="DG372" s="28" t="n">
        <f aca="false">IFERROR(INDEX(Assessments!$J$2:$J$600,MATCH($H372&amp;"|"&amp;$I372&amp;"|"&amp;$J372&amp;"|"&amp;11,Assessments!$A$2:$A$600,0)),0)</f>
        <v>0</v>
      </c>
      <c r="DH372" s="28" t="n">
        <f aca="false">IFERROR(INDEX(Assessments!$J$2:$J$600,MATCH($H372&amp;"|"&amp;$I372&amp;"|"&amp;$J372&amp;"|"&amp;12,Assessments!$A$2:$A$600,0)),0)</f>
        <v>0</v>
      </c>
      <c r="DI372" s="28" t="n">
        <f aca="false">IFERROR(INDEX(Assessments!$J$2:$J$600,MATCH($H372&amp;"|"&amp;$I372&amp;"|"&amp;$J372&amp;"|"&amp;13,Assessments!$A$2:$A$600,0)),0)</f>
        <v>0</v>
      </c>
      <c r="DJ372" s="28" t="n">
        <f aca="false">IFERROR(INDEX(Assessments!$J$2:$J$600,MATCH($H372&amp;"|"&amp;$I372&amp;"|"&amp;$J372&amp;"|"&amp;14,Assessments!$A$2:$A$600,0)),0)</f>
        <v>0</v>
      </c>
      <c r="DK372" s="28" t="n">
        <f aca="false">S372</f>
        <v>3</v>
      </c>
      <c r="DL372" s="28" t="str">
        <f aca="false">W372</f>
        <v/>
      </c>
      <c r="DM372" s="28" t="str">
        <f aca="false">AA372</f>
        <v/>
      </c>
      <c r="DN372" s="28" t="str">
        <f aca="false">AE372</f>
        <v/>
      </c>
      <c r="DO372" s="28" t="str">
        <f aca="false">AI372</f>
        <v/>
      </c>
      <c r="DP372" s="28" t="str">
        <f aca="false">AM372</f>
        <v/>
      </c>
      <c r="DQ372" s="28" t="str">
        <f aca="false">AQ372</f>
        <v/>
      </c>
      <c r="DR372" s="28" t="str">
        <f aca="false">AU372</f>
        <v/>
      </c>
      <c r="DS372" s="28" t="str">
        <f aca="false">AY372</f>
        <v/>
      </c>
      <c r="DT372" s="28" t="str">
        <f aca="false">BC372</f>
        <v/>
      </c>
      <c r="DU372" s="28" t="str">
        <f aca="false">BG372</f>
        <v/>
      </c>
      <c r="DV372" s="28" t="str">
        <f aca="false">BK372</f>
        <v/>
      </c>
      <c r="DW372" s="28" t="str">
        <f aca="false">BO372</f>
        <v/>
      </c>
      <c r="DX372" s="28" t="str">
        <f aca="false">BS372</f>
        <v/>
      </c>
      <c r="DY372" s="28" t="n">
        <f aca="false">IF(ISNUMBER(S372),1,"")</f>
        <v>1</v>
      </c>
      <c r="DZ372" s="28" t="str">
        <f aca="false">IF(ISNUMBER(W372),2,"")</f>
        <v/>
      </c>
      <c r="EA372" s="28" t="str">
        <f aca="false">IF(ISNUMBER(AA372),3,"")</f>
        <v/>
      </c>
      <c r="EB372" s="28" t="str">
        <f aca="false">IF(ISNUMBER(AE372),4,"")</f>
        <v/>
      </c>
      <c r="EC372" s="28" t="str">
        <f aca="false">IF(ISNUMBER(AI372),5,"")</f>
        <v/>
      </c>
      <c r="ED372" s="28" t="str">
        <f aca="false">IF(ISNUMBER(AM372),6,"")</f>
        <v/>
      </c>
      <c r="EE372" s="28" t="str">
        <f aca="false">IF(ISNUMBER(AQ372),7,"")</f>
        <v/>
      </c>
      <c r="EF372" s="28" t="str">
        <f aca="false">IF(ISNUMBER(AU372),8,"")</f>
        <v/>
      </c>
      <c r="EG372" s="28" t="str">
        <f aca="false">IF(ISNUMBER(AY372),9,"")</f>
        <v/>
      </c>
      <c r="EH372" s="28" t="str">
        <f aca="false">IF(ISNUMBER(BC372),10,"")</f>
        <v/>
      </c>
      <c r="EI372" s="28" t="str">
        <f aca="false">IF(ISNUMBER(BG372),11,"")</f>
        <v/>
      </c>
      <c r="EJ372" s="28" t="str">
        <f aca="false">IF(ISNUMBER(BK372),12,"")</f>
        <v/>
      </c>
      <c r="EK372" s="28" t="str">
        <f aca="false">IF(ISNUMBER(BO372),13,"")</f>
        <v/>
      </c>
      <c r="EL372" s="28" t="str">
        <f aca="false">IF(ISNUMBER(BS372),14,"")</f>
        <v/>
      </c>
      <c r="EM372" s="28" t="n">
        <f aca="false">IF(ISNUMBER(R372),R372*CW372,0)</f>
        <v>40</v>
      </c>
      <c r="EN372" s="28" t="n">
        <f aca="false">IF(ISNUMBER(V372),V372*CX372,0)</f>
        <v>0</v>
      </c>
      <c r="EO372" s="28" t="n">
        <f aca="false">IF(ISNUMBER(Z372),Z372*CY372,0)</f>
        <v>0</v>
      </c>
      <c r="EP372" s="28" t="n">
        <f aca="false">IF(ISNUMBER(AD372),AD372*CZ372,0)</f>
        <v>0</v>
      </c>
      <c r="EQ372" s="28" t="n">
        <f aca="false">IF(ISNUMBER(AH372),AH372*DA372,0)</f>
        <v>0</v>
      </c>
      <c r="ER372" s="28" t="n">
        <f aca="false">IF(ISNUMBER(AL372),AL372*DB372,0)</f>
        <v>0</v>
      </c>
      <c r="ES372" s="28" t="n">
        <f aca="false">IF(ISNUMBER(AP372),AP372*DC372,0)</f>
        <v>0</v>
      </c>
      <c r="ET372" s="28" t="n">
        <f aca="false">IF(ISNUMBER(AT372),AT372*DD372,0)</f>
        <v>0</v>
      </c>
      <c r="EU372" s="28" t="n">
        <f aca="false">IF(ISNUMBER(AX372),AX372*DE372,0)</f>
        <v>0</v>
      </c>
      <c r="EV372" s="28" t="n">
        <f aca="false">IF(ISNUMBER(BB372),BB372*DF372,0)</f>
        <v>0</v>
      </c>
      <c r="EW372" s="28" t="n">
        <f aca="false">IF(ISNUMBER(BF372),BF372*DG372,0)</f>
        <v>0</v>
      </c>
      <c r="EX372" s="28" t="n">
        <f aca="false">IF(ISNUMBER(BJ372),BJ372*DH372,0)</f>
        <v>0</v>
      </c>
      <c r="EY372" s="28" t="n">
        <f aca="false">IF(ISNUMBER(BN372),BN372*DI372,0)</f>
        <v>0</v>
      </c>
      <c r="EZ372" s="28" t="n">
        <f aca="false">IF(ISNUMBER(BR372),BR372*DJ372,0)</f>
        <v>0</v>
      </c>
      <c r="FA372" s="28" t="n">
        <f aca="false">IF(ISNUMBER(R372),CW372,0)</f>
        <v>1</v>
      </c>
      <c r="FB372" s="28" t="n">
        <f aca="false">IF(ISNUMBER(V372),CX372,0)</f>
        <v>0</v>
      </c>
      <c r="FC372" s="28" t="n">
        <f aca="false">IF(ISNUMBER(Z372),CY372,0)</f>
        <v>0</v>
      </c>
      <c r="FD372" s="28" t="n">
        <f aca="false">IF(ISNUMBER(AD372),CZ372,0)</f>
        <v>0</v>
      </c>
      <c r="FE372" s="28" t="n">
        <f aca="false">IF(ISNUMBER(AH372),DA372,0)</f>
        <v>0</v>
      </c>
      <c r="FF372" s="28" t="n">
        <f aca="false">IF(ISNUMBER(AL372),DB372,0)</f>
        <v>0</v>
      </c>
      <c r="FG372" s="28" t="n">
        <f aca="false">IF(ISNUMBER(AP372),DC372,0)</f>
        <v>0</v>
      </c>
      <c r="FH372" s="28" t="n">
        <f aca="false">IF(ISNUMBER(AT372),DD372,0)</f>
        <v>0</v>
      </c>
      <c r="FI372" s="28" t="n">
        <f aca="false">IF(ISNUMBER(AX372),DE372,0)</f>
        <v>0</v>
      </c>
      <c r="FJ372" s="28" t="n">
        <f aca="false">IF(ISNUMBER(BB372),DF372,0)</f>
        <v>0</v>
      </c>
      <c r="FK372" s="28" t="n">
        <f aca="false">IF(ISNUMBER(BF372),DG372,0)</f>
        <v>0</v>
      </c>
      <c r="FL372" s="28" t="n">
        <f aca="false">IF(ISNUMBER(BJ372),DH372,0)</f>
        <v>0</v>
      </c>
      <c r="FM372" s="28" t="n">
        <f aca="false">IF(ISNUMBER(BN372),DI372,0)</f>
        <v>0</v>
      </c>
      <c r="FN372" s="28" t="n">
        <f aca="false">IF(ISNUMBER(BR372),DJ372,0)</f>
        <v>0</v>
      </c>
      <c r="FO372" s="28" t="str">
        <f aca="false">IFERROR(INDEX(Lists!$G$2:$G$20,MATCH($I372&amp;"|"&amp;$J372,Lists!$F$2:$F$20,0)),"")</f>
        <v>Hist Overall SL</v>
      </c>
    </row>
    <row r="373" customFormat="false" ht="19.5" hidden="false" customHeight="true" outlineLevel="0" collapsed="false">
      <c r="A373" s="29" t="s">
        <v>673</v>
      </c>
      <c r="B373" s="29" t="s">
        <v>525</v>
      </c>
      <c r="C373" s="30" t="s">
        <v>152</v>
      </c>
      <c r="D373" s="30" t="s">
        <v>422</v>
      </c>
      <c r="E373" s="31"/>
      <c r="F373" s="30"/>
      <c r="G373" s="30"/>
      <c r="H373" s="32" t="s">
        <v>428</v>
      </c>
      <c r="I373" s="33" t="s">
        <v>416</v>
      </c>
      <c r="J373" s="32" t="s">
        <v>223</v>
      </c>
      <c r="K373" s="34" t="str">
        <f aca="false">IF(OR(M373="",$E373=""),"",M373-$E373)</f>
        <v/>
      </c>
      <c r="L373" s="35" t="n">
        <f aca="false">IF(SUM(FA373:FN373)=0,"",SUM(EM373:EZ373)/SUM(FA373:FN373))</f>
        <v>50</v>
      </c>
      <c r="M373" s="36" t="n">
        <f aca="false">IF(OR(L373="",FO373=""),"",IFERROR(MATCH(L373,INDEX(Boundaries!$B$2:$I$30,MATCH(FO373,Boundaries!$A$2:$A$30,0),0),1)-1,""))</f>
        <v>5</v>
      </c>
      <c r="N373" s="37" t="str">
        <f aca="false">IF(COUNT($DY373:$EL373)&lt;2,"",INDEX($DK373:$DX373,MAX($DY373:$EL373))-INDEX($DK373:$DX373,MIN($DY373:$EL373)))</f>
        <v/>
      </c>
      <c r="O373" s="37" t="str">
        <f aca="false">IF(COUNT($DY373:$EL373)&lt;2,"",INDEX($DK373:$DX373,MAX($DY373:$EL373))-INDEX($DK373:$DX373,LARGE($DY373:$EL373,2)))</f>
        <v/>
      </c>
      <c r="P373" s="38" t="str">
        <f aca="false">IF(K373="","",IF(K373&gt;=0,"On/above target",IF(AND(N373&lt;&gt;"",N373&gt;=0.5),"Improving towards target",IF(AND(O373&lt;&gt;"",O373&lt;=-0.5),"Declining","Stable below target"))))</f>
        <v/>
      </c>
      <c r="Q373" s="39" t="n">
        <v>5</v>
      </c>
      <c r="R373" s="40" t="n">
        <f aca="false">IF(OR(Q373="",BU373=""),"",Q373/BU373*100)</f>
        <v>50</v>
      </c>
      <c r="S373" s="41" t="n">
        <f aca="false">IF(R373="","",IFERROR(MATCH(R373,INDEX(Boundaries!$B$2:$I$30,MATCH(CI373,Boundaries!$A$2:$A$30,0),0),1)-1,""))</f>
        <v>4</v>
      </c>
      <c r="T373" s="42" t="str">
        <f aca="false">IF(OR(S373="",$E373=""),"",S373-$E373)</f>
        <v/>
      </c>
      <c r="U373" s="39"/>
      <c r="V373" s="40" t="str">
        <f aca="false">IF(OR(U373="",BV373=""),"",U373/BV373*100)</f>
        <v/>
      </c>
      <c r="W373" s="41" t="str">
        <f aca="false">IF(V373="","",IFERROR(MATCH(V373,INDEX(Boundaries!$B$2:$I$30,MATCH(CJ373,Boundaries!$A$2:$A$30,0),0),1)-1,""))</f>
        <v/>
      </c>
      <c r="X373" s="42" t="str">
        <f aca="false">IF(OR(W373="",$E373=""),"",W373-$E373)</f>
        <v/>
      </c>
      <c r="Y373" s="39"/>
      <c r="Z373" s="40" t="str">
        <f aca="false">IF(OR(Y373="",BW373=""),"",Y373/BW373*100)</f>
        <v/>
      </c>
      <c r="AA373" s="41" t="str">
        <f aca="false">IF(Z373="","",IFERROR(MATCH(Z373,INDEX(Boundaries!$B$2:$I$30,MATCH(CK373,Boundaries!$A$2:$A$30,0),0),1)-1,""))</f>
        <v/>
      </c>
      <c r="AB373" s="42" t="str">
        <f aca="false">IF(OR(AA373="",$E373=""),"",AA373-$E373)</f>
        <v/>
      </c>
      <c r="AC373" s="39"/>
      <c r="AD373" s="40" t="str">
        <f aca="false">IF(OR(AC373="",BX373=""),"",AC373/BX373*100)</f>
        <v/>
      </c>
      <c r="AE373" s="41" t="str">
        <f aca="false">IF(AD373="","",IFERROR(MATCH(AD373,INDEX(Boundaries!$B$2:$I$30,MATCH(CL373,Boundaries!$A$2:$A$30,0),0),1)-1,""))</f>
        <v/>
      </c>
      <c r="AF373" s="42" t="str">
        <f aca="false">IF(OR(AE373="",$E373=""),"",AE373-$E373)</f>
        <v/>
      </c>
      <c r="AG373" s="39"/>
      <c r="AH373" s="40" t="str">
        <f aca="false">IF(OR(AG373="",BY373=""),"",AG373/BY373*100)</f>
        <v/>
      </c>
      <c r="AI373" s="41" t="str">
        <f aca="false">IF(AH373="","",IFERROR(MATCH(AH373,INDEX(Boundaries!$B$2:$I$30,MATCH(CM373,Boundaries!$A$2:$A$30,0),0),1)-1,""))</f>
        <v/>
      </c>
      <c r="AJ373" s="42" t="str">
        <f aca="false">IF(OR(AI373="",$E373=""),"",AI373-$E373)</f>
        <v/>
      </c>
      <c r="AK373" s="39"/>
      <c r="AL373" s="40" t="str">
        <f aca="false">IF(OR(AK373="",BZ373=""),"",AK373/BZ373*100)</f>
        <v/>
      </c>
      <c r="AM373" s="41" t="str">
        <f aca="false">IF(AL373="","",IFERROR(MATCH(AL373,INDEX(Boundaries!$B$2:$I$30,MATCH(CN373,Boundaries!$A$2:$A$30,0),0),1)-1,""))</f>
        <v/>
      </c>
      <c r="AN373" s="42" t="str">
        <f aca="false">IF(OR(AM373="",$E373=""),"",AM373-$E373)</f>
        <v/>
      </c>
      <c r="AO373" s="39"/>
      <c r="AP373" s="40" t="str">
        <f aca="false">IF(OR(AO373="",CA373=""),"",AO373/CA373*100)</f>
        <v/>
      </c>
      <c r="AQ373" s="41" t="str">
        <f aca="false">IF(AP373="","",IFERROR(MATCH(AP373,INDEX(Boundaries!$B$2:$I$30,MATCH(CO373,Boundaries!$A$2:$A$30,0),0),1)-1,""))</f>
        <v/>
      </c>
      <c r="AR373" s="42" t="str">
        <f aca="false">IF(OR(AQ373="",$E373=""),"",AQ373-$E373)</f>
        <v/>
      </c>
      <c r="AS373" s="39"/>
      <c r="AT373" s="40" t="str">
        <f aca="false">IF(OR(AS373="",CB373=""),"",AS373/CB373*100)</f>
        <v/>
      </c>
      <c r="AU373" s="41" t="str">
        <f aca="false">IF(AT373="","",IFERROR(MATCH(AT373,INDEX(Boundaries!$B$2:$I$30,MATCH(CP373,Boundaries!$A$2:$A$30,0),0),1)-1,""))</f>
        <v/>
      </c>
      <c r="AV373" s="42" t="str">
        <f aca="false">IF(OR(AU373="",$E373=""),"",AU373-$E373)</f>
        <v/>
      </c>
      <c r="AW373" s="39"/>
      <c r="AX373" s="40" t="str">
        <f aca="false">IF(OR(AW373="",CC373=""),"",AW373/CC373*100)</f>
        <v/>
      </c>
      <c r="AY373" s="41" t="str">
        <f aca="false">IF(AX373="","",IFERROR(MATCH(AX373,INDEX(Boundaries!$B$2:$I$30,MATCH(CQ373,Boundaries!$A$2:$A$30,0),0),1)-1,""))</f>
        <v/>
      </c>
      <c r="AZ373" s="42" t="str">
        <f aca="false">IF(OR(AY373="",$E373=""),"",AY373-$E373)</f>
        <v/>
      </c>
      <c r="BA373" s="39"/>
      <c r="BB373" s="40" t="str">
        <f aca="false">IF(OR(BA373="",CD373=""),"",BA373/CD373*100)</f>
        <v/>
      </c>
      <c r="BC373" s="41" t="str">
        <f aca="false">IF(BB373="","",IFERROR(MATCH(BB373,INDEX(Boundaries!$B$2:$I$30,MATCH(CR373,Boundaries!$A$2:$A$30,0),0),1)-1,""))</f>
        <v/>
      </c>
      <c r="BD373" s="42" t="str">
        <f aca="false">IF(OR(BC373="",$E373=""),"",BC373-$E373)</f>
        <v/>
      </c>
      <c r="BE373" s="39"/>
      <c r="BF373" s="40" t="str">
        <f aca="false">IF(OR(BE373="",CE373=""),"",BE373/CE373*100)</f>
        <v/>
      </c>
      <c r="BG373" s="41" t="str">
        <f aca="false">IF(BF373="","",IFERROR(MATCH(BF373,INDEX(Boundaries!$B$2:$I$30,MATCH(CS373,Boundaries!$A$2:$A$30,0),0),1)-1,""))</f>
        <v/>
      </c>
      <c r="BH373" s="42" t="str">
        <f aca="false">IF(OR(BG373="",$E373=""),"",BG373-$E373)</f>
        <v/>
      </c>
      <c r="BI373" s="39"/>
      <c r="BJ373" s="40" t="str">
        <f aca="false">IF(OR(BI373="",CF373=""),"",BI373/CF373*100)</f>
        <v/>
      </c>
      <c r="BK373" s="41" t="str">
        <f aca="false">IF(BJ373="","",IFERROR(MATCH(BJ373,INDEX(Boundaries!$B$2:$I$30,MATCH(CT373,Boundaries!$A$2:$A$30,0),0),1)-1,""))</f>
        <v/>
      </c>
      <c r="BL373" s="42" t="str">
        <f aca="false">IF(OR(BK373="",$E373=""),"",BK373-$E373)</f>
        <v/>
      </c>
      <c r="BM373" s="39"/>
      <c r="BN373" s="40" t="str">
        <f aca="false">IF(OR(BM373="",CG373=""),"",BM373/CG373*100)</f>
        <v/>
      </c>
      <c r="BO373" s="41" t="str">
        <f aca="false">IF(BN373="","",IFERROR(MATCH(BN373,INDEX(Boundaries!$B$2:$I$30,MATCH(CU373,Boundaries!$A$2:$A$30,0),0),1)-1,""))</f>
        <v/>
      </c>
      <c r="BP373" s="42" t="str">
        <f aca="false">IF(OR(BO373="",$E373=""),"",BO373-$E373)</f>
        <v/>
      </c>
      <c r="BQ373" s="39"/>
      <c r="BR373" s="40" t="str">
        <f aca="false">IF(OR(BQ373="",CH373=""),"",BQ373/CH373*100)</f>
        <v/>
      </c>
      <c r="BS373" s="41" t="str">
        <f aca="false">IF(BR373="","",IFERROR(MATCH(BR373,INDEX(Boundaries!$B$2:$I$30,MATCH(CV373,Boundaries!$A$2:$A$30,0),0),1)-1,""))</f>
        <v/>
      </c>
      <c r="BT373" s="42" t="str">
        <f aca="false">IF(OR(BS373="",$E373=""),"",BS373-$E373)</f>
        <v/>
      </c>
      <c r="BU373" s="28" t="n">
        <f aca="false">IFERROR(INDEX(Assessments!$H$2:$H$600,MATCH($H373&amp;"|"&amp;$I373&amp;"|"&amp;$J373&amp;"|"&amp;1,Assessments!$A$2:$A$600,0)),"")</f>
        <v>10</v>
      </c>
      <c r="BV373" s="28" t="n">
        <f aca="false">IFERROR(INDEX(Assessments!$H$2:$H$600,MATCH($H373&amp;"|"&amp;$I373&amp;"|"&amp;$J373&amp;"|"&amp;2,Assessments!$A$2:$A$600,0)),"")</f>
        <v>24</v>
      </c>
      <c r="BW373" s="28" t="n">
        <f aca="false">IFERROR(INDEX(Assessments!$H$2:$H$600,MATCH($H373&amp;"|"&amp;$I373&amp;"|"&amp;$J373&amp;"|"&amp;3,Assessments!$A$2:$A$600,0)),"")</f>
        <v>15</v>
      </c>
      <c r="BX373" s="28" t="n">
        <f aca="false">IFERROR(INDEX(Assessments!$H$2:$H$600,MATCH($H373&amp;"|"&amp;$I373&amp;"|"&amp;$J373&amp;"|"&amp;4,Assessments!$A$2:$A$600,0)),"")</f>
        <v>24</v>
      </c>
      <c r="BY373" s="28" t="n">
        <f aca="false">IFERROR(INDEX(Assessments!$H$2:$H$600,MATCH($H373&amp;"|"&amp;$I373&amp;"|"&amp;$J373&amp;"|"&amp;5,Assessments!$A$2:$A$600,0)),"")</f>
        <v>30</v>
      </c>
      <c r="BZ373" s="28" t="str">
        <f aca="false">IFERROR(INDEX(Assessments!$H$2:$H$600,MATCH($H373&amp;"|"&amp;$I373&amp;"|"&amp;$J373&amp;"|"&amp;6,Assessments!$A$2:$A$600,0)),"")</f>
        <v/>
      </c>
      <c r="CA373" s="28" t="str">
        <f aca="false">IFERROR(INDEX(Assessments!$H$2:$H$600,MATCH($H373&amp;"|"&amp;$I373&amp;"|"&amp;$J373&amp;"|"&amp;7,Assessments!$A$2:$A$600,0)),"")</f>
        <v/>
      </c>
      <c r="CB373" s="28" t="str">
        <f aca="false">IFERROR(INDEX(Assessments!$H$2:$H$600,MATCH($H373&amp;"|"&amp;$I373&amp;"|"&amp;$J373&amp;"|"&amp;8,Assessments!$A$2:$A$600,0)),"")</f>
        <v/>
      </c>
      <c r="CC373" s="28" t="str">
        <f aca="false">IFERROR(INDEX(Assessments!$H$2:$H$600,MATCH($H373&amp;"|"&amp;$I373&amp;"|"&amp;$J373&amp;"|"&amp;9,Assessments!$A$2:$A$600,0)),"")</f>
        <v/>
      </c>
      <c r="CD373" s="28" t="str">
        <f aca="false">IFERROR(INDEX(Assessments!$H$2:$H$600,MATCH($H373&amp;"|"&amp;$I373&amp;"|"&amp;$J373&amp;"|"&amp;10,Assessments!$A$2:$A$600,0)),"")</f>
        <v/>
      </c>
      <c r="CE373" s="28" t="str">
        <f aca="false">IFERROR(INDEX(Assessments!$H$2:$H$600,MATCH($H373&amp;"|"&amp;$I373&amp;"|"&amp;$J373&amp;"|"&amp;11,Assessments!$A$2:$A$600,0)),"")</f>
        <v/>
      </c>
      <c r="CF373" s="28" t="str">
        <f aca="false">IFERROR(INDEX(Assessments!$H$2:$H$600,MATCH($H373&amp;"|"&amp;$I373&amp;"|"&amp;$J373&amp;"|"&amp;12,Assessments!$A$2:$A$600,0)),"")</f>
        <v/>
      </c>
      <c r="CG373" s="28" t="str">
        <f aca="false">IFERROR(INDEX(Assessments!$H$2:$H$600,MATCH($H373&amp;"|"&amp;$I373&amp;"|"&amp;$J373&amp;"|"&amp;13,Assessments!$A$2:$A$600,0)),"")</f>
        <v/>
      </c>
      <c r="CH373" s="28" t="str">
        <f aca="false">IFERROR(INDEX(Assessments!$H$2:$H$600,MATCH($H373&amp;"|"&amp;$I373&amp;"|"&amp;$J373&amp;"|"&amp;14,Assessments!$A$2:$A$600,0)),"")</f>
        <v/>
      </c>
      <c r="CI373" s="28" t="str">
        <f aca="false">IFERROR(INDEX(Assessments!$I$2:$I$600,MATCH($H373&amp;"|"&amp;$I373&amp;"|"&amp;$J373&amp;"|"&amp;1,Assessments!$A$2:$A$600,0)),"")</f>
        <v>Hist P2 partial</v>
      </c>
      <c r="CJ373" s="28" t="str">
        <f aca="false">IFERROR(INDEX(Assessments!$I$2:$I$600,MATCH($H373&amp;"|"&amp;$I373&amp;"|"&amp;$J373&amp;"|"&amp;2,Assessments!$A$2:$A$600,0)),"")</f>
        <v>Hist P2 partial</v>
      </c>
      <c r="CK373" s="28" t="str">
        <f aca="false">IFERROR(INDEX(Assessments!$I$2:$I$600,MATCH($H373&amp;"|"&amp;$I373&amp;"|"&amp;$J373&amp;"|"&amp;3,Assessments!$A$2:$A$600,0)),"")</f>
        <v>Hist P2 partial</v>
      </c>
      <c r="CL373" s="28" t="str">
        <f aca="false">IFERROR(INDEX(Assessments!$I$2:$I$600,MATCH($H373&amp;"|"&amp;$I373&amp;"|"&amp;$J373&amp;"|"&amp;4,Assessments!$A$2:$A$600,0)),"")</f>
        <v>Hist Paper 1</v>
      </c>
      <c r="CM373" s="28" t="str">
        <f aca="false">IFERROR(INDEX(Assessments!$I$2:$I$600,MATCH($H373&amp;"|"&amp;$I373&amp;"|"&amp;$J373&amp;"|"&amp;5,Assessments!$A$2:$A$600,0)),"")</f>
        <v>Hist P2 full</v>
      </c>
      <c r="CN373" s="28" t="str">
        <f aca="false">IFERROR(INDEX(Assessments!$I$2:$I$600,MATCH($H373&amp;"|"&amp;$I373&amp;"|"&amp;$J373&amp;"|"&amp;6,Assessments!$A$2:$A$600,0)),"")</f>
        <v/>
      </c>
      <c r="CO373" s="28" t="str">
        <f aca="false">IFERROR(INDEX(Assessments!$I$2:$I$600,MATCH($H373&amp;"|"&amp;$I373&amp;"|"&amp;$J373&amp;"|"&amp;7,Assessments!$A$2:$A$600,0)),"")</f>
        <v/>
      </c>
      <c r="CP373" s="28" t="str">
        <f aca="false">IFERROR(INDEX(Assessments!$I$2:$I$600,MATCH($H373&amp;"|"&amp;$I373&amp;"|"&amp;$J373&amp;"|"&amp;8,Assessments!$A$2:$A$600,0)),"")</f>
        <v/>
      </c>
      <c r="CQ373" s="28" t="str">
        <f aca="false">IFERROR(INDEX(Assessments!$I$2:$I$600,MATCH($H373&amp;"|"&amp;$I373&amp;"|"&amp;$J373&amp;"|"&amp;9,Assessments!$A$2:$A$600,0)),"")</f>
        <v/>
      </c>
      <c r="CR373" s="28" t="str">
        <f aca="false">IFERROR(INDEX(Assessments!$I$2:$I$600,MATCH($H373&amp;"|"&amp;$I373&amp;"|"&amp;$J373&amp;"|"&amp;10,Assessments!$A$2:$A$600,0)),"")</f>
        <v/>
      </c>
      <c r="CS373" s="28" t="str">
        <f aca="false">IFERROR(INDEX(Assessments!$I$2:$I$600,MATCH($H373&amp;"|"&amp;$I373&amp;"|"&amp;$J373&amp;"|"&amp;11,Assessments!$A$2:$A$600,0)),"")</f>
        <v/>
      </c>
      <c r="CT373" s="28" t="str">
        <f aca="false">IFERROR(INDEX(Assessments!$I$2:$I$600,MATCH($H373&amp;"|"&amp;$I373&amp;"|"&amp;$J373&amp;"|"&amp;12,Assessments!$A$2:$A$600,0)),"")</f>
        <v/>
      </c>
      <c r="CU373" s="28" t="str">
        <f aca="false">IFERROR(INDEX(Assessments!$I$2:$I$600,MATCH($H373&amp;"|"&amp;$I373&amp;"|"&amp;$J373&amp;"|"&amp;13,Assessments!$A$2:$A$600,0)),"")</f>
        <v/>
      </c>
      <c r="CV373" s="28" t="str">
        <f aca="false">IFERROR(INDEX(Assessments!$I$2:$I$600,MATCH($H373&amp;"|"&amp;$I373&amp;"|"&amp;$J373&amp;"|"&amp;14,Assessments!$A$2:$A$600,0)),"")</f>
        <v/>
      </c>
      <c r="CW373" s="28" t="n">
        <f aca="false">IFERROR(INDEX(Assessments!$J$2:$J$600,MATCH($H373&amp;"|"&amp;$I373&amp;"|"&amp;$J373&amp;"|"&amp;1,Assessments!$A$2:$A$600,0)),0)</f>
        <v>1</v>
      </c>
      <c r="CX373" s="28" t="n">
        <f aca="false">IFERROR(INDEX(Assessments!$J$2:$J$600,MATCH($H373&amp;"|"&amp;$I373&amp;"|"&amp;$J373&amp;"|"&amp;2,Assessments!$A$2:$A$600,0)),0)</f>
        <v>1</v>
      </c>
      <c r="CY373" s="28" t="n">
        <f aca="false">IFERROR(INDEX(Assessments!$J$2:$J$600,MATCH($H373&amp;"|"&amp;$I373&amp;"|"&amp;$J373&amp;"|"&amp;3,Assessments!$A$2:$A$600,0)),0)</f>
        <v>1</v>
      </c>
      <c r="CZ373" s="28" t="n">
        <f aca="false">IFERROR(INDEX(Assessments!$J$2:$J$600,MATCH($H373&amp;"|"&amp;$I373&amp;"|"&amp;$J373&amp;"|"&amp;4,Assessments!$A$2:$A$600,0)),0)</f>
        <v>2</v>
      </c>
      <c r="DA373" s="28" t="n">
        <f aca="false">IFERROR(INDEX(Assessments!$J$2:$J$600,MATCH($H373&amp;"|"&amp;$I373&amp;"|"&amp;$J373&amp;"|"&amp;5,Assessments!$A$2:$A$600,0)),0)</f>
        <v>2</v>
      </c>
      <c r="DB373" s="28" t="n">
        <f aca="false">IFERROR(INDEX(Assessments!$J$2:$J$600,MATCH($H373&amp;"|"&amp;$I373&amp;"|"&amp;$J373&amp;"|"&amp;6,Assessments!$A$2:$A$600,0)),0)</f>
        <v>0</v>
      </c>
      <c r="DC373" s="28" t="n">
        <f aca="false">IFERROR(INDEX(Assessments!$J$2:$J$600,MATCH($H373&amp;"|"&amp;$I373&amp;"|"&amp;$J373&amp;"|"&amp;7,Assessments!$A$2:$A$600,0)),0)</f>
        <v>0</v>
      </c>
      <c r="DD373" s="28" t="n">
        <f aca="false">IFERROR(INDEX(Assessments!$J$2:$J$600,MATCH($H373&amp;"|"&amp;$I373&amp;"|"&amp;$J373&amp;"|"&amp;8,Assessments!$A$2:$A$600,0)),0)</f>
        <v>0</v>
      </c>
      <c r="DE373" s="28" t="n">
        <f aca="false">IFERROR(INDEX(Assessments!$J$2:$J$600,MATCH($H373&amp;"|"&amp;$I373&amp;"|"&amp;$J373&amp;"|"&amp;9,Assessments!$A$2:$A$600,0)),0)</f>
        <v>0</v>
      </c>
      <c r="DF373" s="28" t="n">
        <f aca="false">IFERROR(INDEX(Assessments!$J$2:$J$600,MATCH($H373&amp;"|"&amp;$I373&amp;"|"&amp;$J373&amp;"|"&amp;10,Assessments!$A$2:$A$600,0)),0)</f>
        <v>0</v>
      </c>
      <c r="DG373" s="28" t="n">
        <f aca="false">IFERROR(INDEX(Assessments!$J$2:$J$600,MATCH($H373&amp;"|"&amp;$I373&amp;"|"&amp;$J373&amp;"|"&amp;11,Assessments!$A$2:$A$600,0)),0)</f>
        <v>0</v>
      </c>
      <c r="DH373" s="28" t="n">
        <f aca="false">IFERROR(INDEX(Assessments!$J$2:$J$600,MATCH($H373&amp;"|"&amp;$I373&amp;"|"&amp;$J373&amp;"|"&amp;12,Assessments!$A$2:$A$600,0)),0)</f>
        <v>0</v>
      </c>
      <c r="DI373" s="28" t="n">
        <f aca="false">IFERROR(INDEX(Assessments!$J$2:$J$600,MATCH($H373&amp;"|"&amp;$I373&amp;"|"&amp;$J373&amp;"|"&amp;13,Assessments!$A$2:$A$600,0)),0)</f>
        <v>0</v>
      </c>
      <c r="DJ373" s="28" t="n">
        <f aca="false">IFERROR(INDEX(Assessments!$J$2:$J$600,MATCH($H373&amp;"|"&amp;$I373&amp;"|"&amp;$J373&amp;"|"&amp;14,Assessments!$A$2:$A$600,0)),0)</f>
        <v>0</v>
      </c>
      <c r="DK373" s="28" t="n">
        <f aca="false">S373</f>
        <v>4</v>
      </c>
      <c r="DL373" s="28" t="str">
        <f aca="false">W373</f>
        <v/>
      </c>
      <c r="DM373" s="28" t="str">
        <f aca="false">AA373</f>
        <v/>
      </c>
      <c r="DN373" s="28" t="str">
        <f aca="false">AE373</f>
        <v/>
      </c>
      <c r="DO373" s="28" t="str">
        <f aca="false">AI373</f>
        <v/>
      </c>
      <c r="DP373" s="28" t="str">
        <f aca="false">AM373</f>
        <v/>
      </c>
      <c r="DQ373" s="28" t="str">
        <f aca="false">AQ373</f>
        <v/>
      </c>
      <c r="DR373" s="28" t="str">
        <f aca="false">AU373</f>
        <v/>
      </c>
      <c r="DS373" s="28" t="str">
        <f aca="false">AY373</f>
        <v/>
      </c>
      <c r="DT373" s="28" t="str">
        <f aca="false">BC373</f>
        <v/>
      </c>
      <c r="DU373" s="28" t="str">
        <f aca="false">BG373</f>
        <v/>
      </c>
      <c r="DV373" s="28" t="str">
        <f aca="false">BK373</f>
        <v/>
      </c>
      <c r="DW373" s="28" t="str">
        <f aca="false">BO373</f>
        <v/>
      </c>
      <c r="DX373" s="28" t="str">
        <f aca="false">BS373</f>
        <v/>
      </c>
      <c r="DY373" s="28" t="n">
        <f aca="false">IF(ISNUMBER(S373),1,"")</f>
        <v>1</v>
      </c>
      <c r="DZ373" s="28" t="str">
        <f aca="false">IF(ISNUMBER(W373),2,"")</f>
        <v/>
      </c>
      <c r="EA373" s="28" t="str">
        <f aca="false">IF(ISNUMBER(AA373),3,"")</f>
        <v/>
      </c>
      <c r="EB373" s="28" t="str">
        <f aca="false">IF(ISNUMBER(AE373),4,"")</f>
        <v/>
      </c>
      <c r="EC373" s="28" t="str">
        <f aca="false">IF(ISNUMBER(AI373),5,"")</f>
        <v/>
      </c>
      <c r="ED373" s="28" t="str">
        <f aca="false">IF(ISNUMBER(AM373),6,"")</f>
        <v/>
      </c>
      <c r="EE373" s="28" t="str">
        <f aca="false">IF(ISNUMBER(AQ373),7,"")</f>
        <v/>
      </c>
      <c r="EF373" s="28" t="str">
        <f aca="false">IF(ISNUMBER(AU373),8,"")</f>
        <v/>
      </c>
      <c r="EG373" s="28" t="str">
        <f aca="false">IF(ISNUMBER(AY373),9,"")</f>
        <v/>
      </c>
      <c r="EH373" s="28" t="str">
        <f aca="false">IF(ISNUMBER(BC373),10,"")</f>
        <v/>
      </c>
      <c r="EI373" s="28" t="str">
        <f aca="false">IF(ISNUMBER(BG373),11,"")</f>
        <v/>
      </c>
      <c r="EJ373" s="28" t="str">
        <f aca="false">IF(ISNUMBER(BK373),12,"")</f>
        <v/>
      </c>
      <c r="EK373" s="28" t="str">
        <f aca="false">IF(ISNUMBER(BO373),13,"")</f>
        <v/>
      </c>
      <c r="EL373" s="28" t="str">
        <f aca="false">IF(ISNUMBER(BS373),14,"")</f>
        <v/>
      </c>
      <c r="EM373" s="28" t="n">
        <f aca="false">IF(ISNUMBER(R373),R373*CW373,0)</f>
        <v>50</v>
      </c>
      <c r="EN373" s="28" t="n">
        <f aca="false">IF(ISNUMBER(V373),V373*CX373,0)</f>
        <v>0</v>
      </c>
      <c r="EO373" s="28" t="n">
        <f aca="false">IF(ISNUMBER(Z373),Z373*CY373,0)</f>
        <v>0</v>
      </c>
      <c r="EP373" s="28" t="n">
        <f aca="false">IF(ISNUMBER(AD373),AD373*CZ373,0)</f>
        <v>0</v>
      </c>
      <c r="EQ373" s="28" t="n">
        <f aca="false">IF(ISNUMBER(AH373),AH373*DA373,0)</f>
        <v>0</v>
      </c>
      <c r="ER373" s="28" t="n">
        <f aca="false">IF(ISNUMBER(AL373),AL373*DB373,0)</f>
        <v>0</v>
      </c>
      <c r="ES373" s="28" t="n">
        <f aca="false">IF(ISNUMBER(AP373),AP373*DC373,0)</f>
        <v>0</v>
      </c>
      <c r="ET373" s="28" t="n">
        <f aca="false">IF(ISNUMBER(AT373),AT373*DD373,0)</f>
        <v>0</v>
      </c>
      <c r="EU373" s="28" t="n">
        <f aca="false">IF(ISNUMBER(AX373),AX373*DE373,0)</f>
        <v>0</v>
      </c>
      <c r="EV373" s="28" t="n">
        <f aca="false">IF(ISNUMBER(BB373),BB373*DF373,0)</f>
        <v>0</v>
      </c>
      <c r="EW373" s="28" t="n">
        <f aca="false">IF(ISNUMBER(BF373),BF373*DG373,0)</f>
        <v>0</v>
      </c>
      <c r="EX373" s="28" t="n">
        <f aca="false">IF(ISNUMBER(BJ373),BJ373*DH373,0)</f>
        <v>0</v>
      </c>
      <c r="EY373" s="28" t="n">
        <f aca="false">IF(ISNUMBER(BN373),BN373*DI373,0)</f>
        <v>0</v>
      </c>
      <c r="EZ373" s="28" t="n">
        <f aca="false">IF(ISNUMBER(BR373),BR373*DJ373,0)</f>
        <v>0</v>
      </c>
      <c r="FA373" s="28" t="n">
        <f aca="false">IF(ISNUMBER(R373),CW373,0)</f>
        <v>1</v>
      </c>
      <c r="FB373" s="28" t="n">
        <f aca="false">IF(ISNUMBER(V373),CX373,0)</f>
        <v>0</v>
      </c>
      <c r="FC373" s="28" t="n">
        <f aca="false">IF(ISNUMBER(Z373),CY373,0)</f>
        <v>0</v>
      </c>
      <c r="FD373" s="28" t="n">
        <f aca="false">IF(ISNUMBER(AD373),CZ373,0)</f>
        <v>0</v>
      </c>
      <c r="FE373" s="28" t="n">
        <f aca="false">IF(ISNUMBER(AH373),DA373,0)</f>
        <v>0</v>
      </c>
      <c r="FF373" s="28" t="n">
        <f aca="false">IF(ISNUMBER(AL373),DB373,0)</f>
        <v>0</v>
      </c>
      <c r="FG373" s="28" t="n">
        <f aca="false">IF(ISNUMBER(AP373),DC373,0)</f>
        <v>0</v>
      </c>
      <c r="FH373" s="28" t="n">
        <f aca="false">IF(ISNUMBER(AT373),DD373,0)</f>
        <v>0</v>
      </c>
      <c r="FI373" s="28" t="n">
        <f aca="false">IF(ISNUMBER(AX373),DE373,0)</f>
        <v>0</v>
      </c>
      <c r="FJ373" s="28" t="n">
        <f aca="false">IF(ISNUMBER(BB373),DF373,0)</f>
        <v>0</v>
      </c>
      <c r="FK373" s="28" t="n">
        <f aca="false">IF(ISNUMBER(BF373),DG373,0)</f>
        <v>0</v>
      </c>
      <c r="FL373" s="28" t="n">
        <f aca="false">IF(ISNUMBER(BJ373),DH373,0)</f>
        <v>0</v>
      </c>
      <c r="FM373" s="28" t="n">
        <f aca="false">IF(ISNUMBER(BN373),DI373,0)</f>
        <v>0</v>
      </c>
      <c r="FN373" s="28" t="n">
        <f aca="false">IF(ISNUMBER(BR373),DJ373,0)</f>
        <v>0</v>
      </c>
      <c r="FO373" s="28" t="str">
        <f aca="false">IFERROR(INDEX(Lists!$G$2:$G$20,MATCH($I373&amp;"|"&amp;$J373,Lists!$F$2:$F$20,0)),"")</f>
        <v>Hist Overall SL</v>
      </c>
    </row>
    <row r="374" customFormat="false" ht="19.5" hidden="false" customHeight="true" outlineLevel="0" collapsed="false">
      <c r="A374" s="29" t="s">
        <v>674</v>
      </c>
      <c r="B374" s="29" t="s">
        <v>675</v>
      </c>
      <c r="C374" s="30" t="s">
        <v>152</v>
      </c>
      <c r="D374" s="30" t="s">
        <v>422</v>
      </c>
      <c r="E374" s="31"/>
      <c r="F374" s="30"/>
      <c r="G374" s="30"/>
      <c r="H374" s="32" t="s">
        <v>428</v>
      </c>
      <c r="I374" s="33" t="s">
        <v>416</v>
      </c>
      <c r="J374" s="32" t="s">
        <v>223</v>
      </c>
      <c r="K374" s="34" t="str">
        <f aca="false">IF(OR(M374="",$E374=""),"",M374-$E374)</f>
        <v/>
      </c>
      <c r="L374" s="35" t="n">
        <f aca="false">IF(SUM(FA374:FN374)=0,"",SUM(EM374:EZ374)/SUM(FA374:FN374))</f>
        <v>40</v>
      </c>
      <c r="M374" s="36" t="n">
        <f aca="false">IF(OR(L374="",FO374=""),"",IFERROR(MATCH(L374,INDEX(Boundaries!$B$2:$I$30,MATCH(FO374,Boundaries!$A$2:$A$30,0),0),1)-1,""))</f>
        <v>4</v>
      </c>
      <c r="N374" s="37" t="str">
        <f aca="false">IF(COUNT($DY374:$EL374)&lt;2,"",INDEX($DK374:$DX374,MAX($DY374:$EL374))-INDEX($DK374:$DX374,MIN($DY374:$EL374)))</f>
        <v/>
      </c>
      <c r="O374" s="37" t="str">
        <f aca="false">IF(COUNT($DY374:$EL374)&lt;2,"",INDEX($DK374:$DX374,MAX($DY374:$EL374))-INDEX($DK374:$DX374,LARGE($DY374:$EL374,2)))</f>
        <v/>
      </c>
      <c r="P374" s="38" t="str">
        <f aca="false">IF(K374="","",IF(K374&gt;=0,"On/above target",IF(AND(N374&lt;&gt;"",N374&gt;=0.5),"Improving towards target",IF(AND(O374&lt;&gt;"",O374&lt;=-0.5),"Declining","Stable below target"))))</f>
        <v/>
      </c>
      <c r="Q374" s="39" t="n">
        <v>4</v>
      </c>
      <c r="R374" s="40" t="n">
        <f aca="false">IF(OR(Q374="",BU374=""),"",Q374/BU374*100)</f>
        <v>40</v>
      </c>
      <c r="S374" s="41" t="n">
        <f aca="false">IF(R374="","",IFERROR(MATCH(R374,INDEX(Boundaries!$B$2:$I$30,MATCH(CI374,Boundaries!$A$2:$A$30,0),0),1)-1,""))</f>
        <v>3</v>
      </c>
      <c r="T374" s="42" t="str">
        <f aca="false">IF(OR(S374="",$E374=""),"",S374-$E374)</f>
        <v/>
      </c>
      <c r="U374" s="39"/>
      <c r="V374" s="40" t="str">
        <f aca="false">IF(OR(U374="",BV374=""),"",U374/BV374*100)</f>
        <v/>
      </c>
      <c r="W374" s="41" t="str">
        <f aca="false">IF(V374="","",IFERROR(MATCH(V374,INDEX(Boundaries!$B$2:$I$30,MATCH(CJ374,Boundaries!$A$2:$A$30,0),0),1)-1,""))</f>
        <v/>
      </c>
      <c r="X374" s="42" t="str">
        <f aca="false">IF(OR(W374="",$E374=""),"",W374-$E374)</f>
        <v/>
      </c>
      <c r="Y374" s="39"/>
      <c r="Z374" s="40" t="str">
        <f aca="false">IF(OR(Y374="",BW374=""),"",Y374/BW374*100)</f>
        <v/>
      </c>
      <c r="AA374" s="41" t="str">
        <f aca="false">IF(Z374="","",IFERROR(MATCH(Z374,INDEX(Boundaries!$B$2:$I$30,MATCH(CK374,Boundaries!$A$2:$A$30,0),0),1)-1,""))</f>
        <v/>
      </c>
      <c r="AB374" s="42" t="str">
        <f aca="false">IF(OR(AA374="",$E374=""),"",AA374-$E374)</f>
        <v/>
      </c>
      <c r="AC374" s="39"/>
      <c r="AD374" s="40" t="str">
        <f aca="false">IF(OR(AC374="",BX374=""),"",AC374/BX374*100)</f>
        <v/>
      </c>
      <c r="AE374" s="41" t="str">
        <f aca="false">IF(AD374="","",IFERROR(MATCH(AD374,INDEX(Boundaries!$B$2:$I$30,MATCH(CL374,Boundaries!$A$2:$A$30,0),0),1)-1,""))</f>
        <v/>
      </c>
      <c r="AF374" s="42" t="str">
        <f aca="false">IF(OR(AE374="",$E374=""),"",AE374-$E374)</f>
        <v/>
      </c>
      <c r="AG374" s="39"/>
      <c r="AH374" s="40" t="str">
        <f aca="false">IF(OR(AG374="",BY374=""),"",AG374/BY374*100)</f>
        <v/>
      </c>
      <c r="AI374" s="41" t="str">
        <f aca="false">IF(AH374="","",IFERROR(MATCH(AH374,INDEX(Boundaries!$B$2:$I$30,MATCH(CM374,Boundaries!$A$2:$A$30,0),0),1)-1,""))</f>
        <v/>
      </c>
      <c r="AJ374" s="42" t="str">
        <f aca="false">IF(OR(AI374="",$E374=""),"",AI374-$E374)</f>
        <v/>
      </c>
      <c r="AK374" s="39"/>
      <c r="AL374" s="40" t="str">
        <f aca="false">IF(OR(AK374="",BZ374=""),"",AK374/BZ374*100)</f>
        <v/>
      </c>
      <c r="AM374" s="41" t="str">
        <f aca="false">IF(AL374="","",IFERROR(MATCH(AL374,INDEX(Boundaries!$B$2:$I$30,MATCH(CN374,Boundaries!$A$2:$A$30,0),0),1)-1,""))</f>
        <v/>
      </c>
      <c r="AN374" s="42" t="str">
        <f aca="false">IF(OR(AM374="",$E374=""),"",AM374-$E374)</f>
        <v/>
      </c>
      <c r="AO374" s="39"/>
      <c r="AP374" s="40" t="str">
        <f aca="false">IF(OR(AO374="",CA374=""),"",AO374/CA374*100)</f>
        <v/>
      </c>
      <c r="AQ374" s="41" t="str">
        <f aca="false">IF(AP374="","",IFERROR(MATCH(AP374,INDEX(Boundaries!$B$2:$I$30,MATCH(CO374,Boundaries!$A$2:$A$30,0),0),1)-1,""))</f>
        <v/>
      </c>
      <c r="AR374" s="42" t="str">
        <f aca="false">IF(OR(AQ374="",$E374=""),"",AQ374-$E374)</f>
        <v/>
      </c>
      <c r="AS374" s="39"/>
      <c r="AT374" s="40" t="str">
        <f aca="false">IF(OR(AS374="",CB374=""),"",AS374/CB374*100)</f>
        <v/>
      </c>
      <c r="AU374" s="41" t="str">
        <f aca="false">IF(AT374="","",IFERROR(MATCH(AT374,INDEX(Boundaries!$B$2:$I$30,MATCH(CP374,Boundaries!$A$2:$A$30,0),0),1)-1,""))</f>
        <v/>
      </c>
      <c r="AV374" s="42" t="str">
        <f aca="false">IF(OR(AU374="",$E374=""),"",AU374-$E374)</f>
        <v/>
      </c>
      <c r="AW374" s="39"/>
      <c r="AX374" s="40" t="str">
        <f aca="false">IF(OR(AW374="",CC374=""),"",AW374/CC374*100)</f>
        <v/>
      </c>
      <c r="AY374" s="41" t="str">
        <f aca="false">IF(AX374="","",IFERROR(MATCH(AX374,INDEX(Boundaries!$B$2:$I$30,MATCH(CQ374,Boundaries!$A$2:$A$30,0),0),1)-1,""))</f>
        <v/>
      </c>
      <c r="AZ374" s="42" t="str">
        <f aca="false">IF(OR(AY374="",$E374=""),"",AY374-$E374)</f>
        <v/>
      </c>
      <c r="BA374" s="39"/>
      <c r="BB374" s="40" t="str">
        <f aca="false">IF(OR(BA374="",CD374=""),"",BA374/CD374*100)</f>
        <v/>
      </c>
      <c r="BC374" s="41" t="str">
        <f aca="false">IF(BB374="","",IFERROR(MATCH(BB374,INDEX(Boundaries!$B$2:$I$30,MATCH(CR374,Boundaries!$A$2:$A$30,0),0),1)-1,""))</f>
        <v/>
      </c>
      <c r="BD374" s="42" t="str">
        <f aca="false">IF(OR(BC374="",$E374=""),"",BC374-$E374)</f>
        <v/>
      </c>
      <c r="BE374" s="39"/>
      <c r="BF374" s="40" t="str">
        <f aca="false">IF(OR(BE374="",CE374=""),"",BE374/CE374*100)</f>
        <v/>
      </c>
      <c r="BG374" s="41" t="str">
        <f aca="false">IF(BF374="","",IFERROR(MATCH(BF374,INDEX(Boundaries!$B$2:$I$30,MATCH(CS374,Boundaries!$A$2:$A$30,0),0),1)-1,""))</f>
        <v/>
      </c>
      <c r="BH374" s="42" t="str">
        <f aca="false">IF(OR(BG374="",$E374=""),"",BG374-$E374)</f>
        <v/>
      </c>
      <c r="BI374" s="39"/>
      <c r="BJ374" s="40" t="str">
        <f aca="false">IF(OR(BI374="",CF374=""),"",BI374/CF374*100)</f>
        <v/>
      </c>
      <c r="BK374" s="41" t="str">
        <f aca="false">IF(BJ374="","",IFERROR(MATCH(BJ374,INDEX(Boundaries!$B$2:$I$30,MATCH(CT374,Boundaries!$A$2:$A$30,0),0),1)-1,""))</f>
        <v/>
      </c>
      <c r="BL374" s="42" t="str">
        <f aca="false">IF(OR(BK374="",$E374=""),"",BK374-$E374)</f>
        <v/>
      </c>
      <c r="BM374" s="39"/>
      <c r="BN374" s="40" t="str">
        <f aca="false">IF(OR(BM374="",CG374=""),"",BM374/CG374*100)</f>
        <v/>
      </c>
      <c r="BO374" s="41" t="str">
        <f aca="false">IF(BN374="","",IFERROR(MATCH(BN374,INDEX(Boundaries!$B$2:$I$30,MATCH(CU374,Boundaries!$A$2:$A$30,0),0),1)-1,""))</f>
        <v/>
      </c>
      <c r="BP374" s="42" t="str">
        <f aca="false">IF(OR(BO374="",$E374=""),"",BO374-$E374)</f>
        <v/>
      </c>
      <c r="BQ374" s="39"/>
      <c r="BR374" s="40" t="str">
        <f aca="false">IF(OR(BQ374="",CH374=""),"",BQ374/CH374*100)</f>
        <v/>
      </c>
      <c r="BS374" s="41" t="str">
        <f aca="false">IF(BR374="","",IFERROR(MATCH(BR374,INDEX(Boundaries!$B$2:$I$30,MATCH(CV374,Boundaries!$A$2:$A$30,0),0),1)-1,""))</f>
        <v/>
      </c>
      <c r="BT374" s="42" t="str">
        <f aca="false">IF(OR(BS374="",$E374=""),"",BS374-$E374)</f>
        <v/>
      </c>
      <c r="BU374" s="28" t="n">
        <f aca="false">IFERROR(INDEX(Assessments!$H$2:$H$600,MATCH($H374&amp;"|"&amp;$I374&amp;"|"&amp;$J374&amp;"|"&amp;1,Assessments!$A$2:$A$600,0)),"")</f>
        <v>10</v>
      </c>
      <c r="BV374" s="28" t="n">
        <f aca="false">IFERROR(INDEX(Assessments!$H$2:$H$600,MATCH($H374&amp;"|"&amp;$I374&amp;"|"&amp;$J374&amp;"|"&amp;2,Assessments!$A$2:$A$600,0)),"")</f>
        <v>24</v>
      </c>
      <c r="BW374" s="28" t="n">
        <f aca="false">IFERROR(INDEX(Assessments!$H$2:$H$600,MATCH($H374&amp;"|"&amp;$I374&amp;"|"&amp;$J374&amp;"|"&amp;3,Assessments!$A$2:$A$600,0)),"")</f>
        <v>15</v>
      </c>
      <c r="BX374" s="28" t="n">
        <f aca="false">IFERROR(INDEX(Assessments!$H$2:$H$600,MATCH($H374&amp;"|"&amp;$I374&amp;"|"&amp;$J374&amp;"|"&amp;4,Assessments!$A$2:$A$600,0)),"")</f>
        <v>24</v>
      </c>
      <c r="BY374" s="28" t="n">
        <f aca="false">IFERROR(INDEX(Assessments!$H$2:$H$600,MATCH($H374&amp;"|"&amp;$I374&amp;"|"&amp;$J374&amp;"|"&amp;5,Assessments!$A$2:$A$600,0)),"")</f>
        <v>30</v>
      </c>
      <c r="BZ374" s="28" t="str">
        <f aca="false">IFERROR(INDEX(Assessments!$H$2:$H$600,MATCH($H374&amp;"|"&amp;$I374&amp;"|"&amp;$J374&amp;"|"&amp;6,Assessments!$A$2:$A$600,0)),"")</f>
        <v/>
      </c>
      <c r="CA374" s="28" t="str">
        <f aca="false">IFERROR(INDEX(Assessments!$H$2:$H$600,MATCH($H374&amp;"|"&amp;$I374&amp;"|"&amp;$J374&amp;"|"&amp;7,Assessments!$A$2:$A$600,0)),"")</f>
        <v/>
      </c>
      <c r="CB374" s="28" t="str">
        <f aca="false">IFERROR(INDEX(Assessments!$H$2:$H$600,MATCH($H374&amp;"|"&amp;$I374&amp;"|"&amp;$J374&amp;"|"&amp;8,Assessments!$A$2:$A$600,0)),"")</f>
        <v/>
      </c>
      <c r="CC374" s="28" t="str">
        <f aca="false">IFERROR(INDEX(Assessments!$H$2:$H$600,MATCH($H374&amp;"|"&amp;$I374&amp;"|"&amp;$J374&amp;"|"&amp;9,Assessments!$A$2:$A$600,0)),"")</f>
        <v/>
      </c>
      <c r="CD374" s="28" t="str">
        <f aca="false">IFERROR(INDEX(Assessments!$H$2:$H$600,MATCH($H374&amp;"|"&amp;$I374&amp;"|"&amp;$J374&amp;"|"&amp;10,Assessments!$A$2:$A$600,0)),"")</f>
        <v/>
      </c>
      <c r="CE374" s="28" t="str">
        <f aca="false">IFERROR(INDEX(Assessments!$H$2:$H$600,MATCH($H374&amp;"|"&amp;$I374&amp;"|"&amp;$J374&amp;"|"&amp;11,Assessments!$A$2:$A$600,0)),"")</f>
        <v/>
      </c>
      <c r="CF374" s="28" t="str">
        <f aca="false">IFERROR(INDEX(Assessments!$H$2:$H$600,MATCH($H374&amp;"|"&amp;$I374&amp;"|"&amp;$J374&amp;"|"&amp;12,Assessments!$A$2:$A$600,0)),"")</f>
        <v/>
      </c>
      <c r="CG374" s="28" t="str">
        <f aca="false">IFERROR(INDEX(Assessments!$H$2:$H$600,MATCH($H374&amp;"|"&amp;$I374&amp;"|"&amp;$J374&amp;"|"&amp;13,Assessments!$A$2:$A$600,0)),"")</f>
        <v/>
      </c>
      <c r="CH374" s="28" t="str">
        <f aca="false">IFERROR(INDEX(Assessments!$H$2:$H$600,MATCH($H374&amp;"|"&amp;$I374&amp;"|"&amp;$J374&amp;"|"&amp;14,Assessments!$A$2:$A$600,0)),"")</f>
        <v/>
      </c>
      <c r="CI374" s="28" t="str">
        <f aca="false">IFERROR(INDEX(Assessments!$I$2:$I$600,MATCH($H374&amp;"|"&amp;$I374&amp;"|"&amp;$J374&amp;"|"&amp;1,Assessments!$A$2:$A$600,0)),"")</f>
        <v>Hist P2 partial</v>
      </c>
      <c r="CJ374" s="28" t="str">
        <f aca="false">IFERROR(INDEX(Assessments!$I$2:$I$600,MATCH($H374&amp;"|"&amp;$I374&amp;"|"&amp;$J374&amp;"|"&amp;2,Assessments!$A$2:$A$600,0)),"")</f>
        <v>Hist P2 partial</v>
      </c>
      <c r="CK374" s="28" t="str">
        <f aca="false">IFERROR(INDEX(Assessments!$I$2:$I$600,MATCH($H374&amp;"|"&amp;$I374&amp;"|"&amp;$J374&amp;"|"&amp;3,Assessments!$A$2:$A$600,0)),"")</f>
        <v>Hist P2 partial</v>
      </c>
      <c r="CL374" s="28" t="str">
        <f aca="false">IFERROR(INDEX(Assessments!$I$2:$I$600,MATCH($H374&amp;"|"&amp;$I374&amp;"|"&amp;$J374&amp;"|"&amp;4,Assessments!$A$2:$A$600,0)),"")</f>
        <v>Hist Paper 1</v>
      </c>
      <c r="CM374" s="28" t="str">
        <f aca="false">IFERROR(INDEX(Assessments!$I$2:$I$600,MATCH($H374&amp;"|"&amp;$I374&amp;"|"&amp;$J374&amp;"|"&amp;5,Assessments!$A$2:$A$600,0)),"")</f>
        <v>Hist P2 full</v>
      </c>
      <c r="CN374" s="28" t="str">
        <f aca="false">IFERROR(INDEX(Assessments!$I$2:$I$600,MATCH($H374&amp;"|"&amp;$I374&amp;"|"&amp;$J374&amp;"|"&amp;6,Assessments!$A$2:$A$600,0)),"")</f>
        <v/>
      </c>
      <c r="CO374" s="28" t="str">
        <f aca="false">IFERROR(INDEX(Assessments!$I$2:$I$600,MATCH($H374&amp;"|"&amp;$I374&amp;"|"&amp;$J374&amp;"|"&amp;7,Assessments!$A$2:$A$600,0)),"")</f>
        <v/>
      </c>
      <c r="CP374" s="28" t="str">
        <f aca="false">IFERROR(INDEX(Assessments!$I$2:$I$600,MATCH($H374&amp;"|"&amp;$I374&amp;"|"&amp;$J374&amp;"|"&amp;8,Assessments!$A$2:$A$600,0)),"")</f>
        <v/>
      </c>
      <c r="CQ374" s="28" t="str">
        <f aca="false">IFERROR(INDEX(Assessments!$I$2:$I$600,MATCH($H374&amp;"|"&amp;$I374&amp;"|"&amp;$J374&amp;"|"&amp;9,Assessments!$A$2:$A$600,0)),"")</f>
        <v/>
      </c>
      <c r="CR374" s="28" t="str">
        <f aca="false">IFERROR(INDEX(Assessments!$I$2:$I$600,MATCH($H374&amp;"|"&amp;$I374&amp;"|"&amp;$J374&amp;"|"&amp;10,Assessments!$A$2:$A$600,0)),"")</f>
        <v/>
      </c>
      <c r="CS374" s="28" t="str">
        <f aca="false">IFERROR(INDEX(Assessments!$I$2:$I$600,MATCH($H374&amp;"|"&amp;$I374&amp;"|"&amp;$J374&amp;"|"&amp;11,Assessments!$A$2:$A$600,0)),"")</f>
        <v/>
      </c>
      <c r="CT374" s="28" t="str">
        <f aca="false">IFERROR(INDEX(Assessments!$I$2:$I$600,MATCH($H374&amp;"|"&amp;$I374&amp;"|"&amp;$J374&amp;"|"&amp;12,Assessments!$A$2:$A$600,0)),"")</f>
        <v/>
      </c>
      <c r="CU374" s="28" t="str">
        <f aca="false">IFERROR(INDEX(Assessments!$I$2:$I$600,MATCH($H374&amp;"|"&amp;$I374&amp;"|"&amp;$J374&amp;"|"&amp;13,Assessments!$A$2:$A$600,0)),"")</f>
        <v/>
      </c>
      <c r="CV374" s="28" t="str">
        <f aca="false">IFERROR(INDEX(Assessments!$I$2:$I$600,MATCH($H374&amp;"|"&amp;$I374&amp;"|"&amp;$J374&amp;"|"&amp;14,Assessments!$A$2:$A$600,0)),"")</f>
        <v/>
      </c>
      <c r="CW374" s="28" t="n">
        <f aca="false">IFERROR(INDEX(Assessments!$J$2:$J$600,MATCH($H374&amp;"|"&amp;$I374&amp;"|"&amp;$J374&amp;"|"&amp;1,Assessments!$A$2:$A$600,0)),0)</f>
        <v>1</v>
      </c>
      <c r="CX374" s="28" t="n">
        <f aca="false">IFERROR(INDEX(Assessments!$J$2:$J$600,MATCH($H374&amp;"|"&amp;$I374&amp;"|"&amp;$J374&amp;"|"&amp;2,Assessments!$A$2:$A$600,0)),0)</f>
        <v>1</v>
      </c>
      <c r="CY374" s="28" t="n">
        <f aca="false">IFERROR(INDEX(Assessments!$J$2:$J$600,MATCH($H374&amp;"|"&amp;$I374&amp;"|"&amp;$J374&amp;"|"&amp;3,Assessments!$A$2:$A$600,0)),0)</f>
        <v>1</v>
      </c>
      <c r="CZ374" s="28" t="n">
        <f aca="false">IFERROR(INDEX(Assessments!$J$2:$J$600,MATCH($H374&amp;"|"&amp;$I374&amp;"|"&amp;$J374&amp;"|"&amp;4,Assessments!$A$2:$A$600,0)),0)</f>
        <v>2</v>
      </c>
      <c r="DA374" s="28" t="n">
        <f aca="false">IFERROR(INDEX(Assessments!$J$2:$J$600,MATCH($H374&amp;"|"&amp;$I374&amp;"|"&amp;$J374&amp;"|"&amp;5,Assessments!$A$2:$A$600,0)),0)</f>
        <v>2</v>
      </c>
      <c r="DB374" s="28" t="n">
        <f aca="false">IFERROR(INDEX(Assessments!$J$2:$J$600,MATCH($H374&amp;"|"&amp;$I374&amp;"|"&amp;$J374&amp;"|"&amp;6,Assessments!$A$2:$A$600,0)),0)</f>
        <v>0</v>
      </c>
      <c r="DC374" s="28" t="n">
        <f aca="false">IFERROR(INDEX(Assessments!$J$2:$J$600,MATCH($H374&amp;"|"&amp;$I374&amp;"|"&amp;$J374&amp;"|"&amp;7,Assessments!$A$2:$A$600,0)),0)</f>
        <v>0</v>
      </c>
      <c r="DD374" s="28" t="n">
        <f aca="false">IFERROR(INDEX(Assessments!$J$2:$J$600,MATCH($H374&amp;"|"&amp;$I374&amp;"|"&amp;$J374&amp;"|"&amp;8,Assessments!$A$2:$A$600,0)),0)</f>
        <v>0</v>
      </c>
      <c r="DE374" s="28" t="n">
        <f aca="false">IFERROR(INDEX(Assessments!$J$2:$J$600,MATCH($H374&amp;"|"&amp;$I374&amp;"|"&amp;$J374&amp;"|"&amp;9,Assessments!$A$2:$A$600,0)),0)</f>
        <v>0</v>
      </c>
      <c r="DF374" s="28" t="n">
        <f aca="false">IFERROR(INDEX(Assessments!$J$2:$J$600,MATCH($H374&amp;"|"&amp;$I374&amp;"|"&amp;$J374&amp;"|"&amp;10,Assessments!$A$2:$A$600,0)),0)</f>
        <v>0</v>
      </c>
      <c r="DG374" s="28" t="n">
        <f aca="false">IFERROR(INDEX(Assessments!$J$2:$J$600,MATCH($H374&amp;"|"&amp;$I374&amp;"|"&amp;$J374&amp;"|"&amp;11,Assessments!$A$2:$A$600,0)),0)</f>
        <v>0</v>
      </c>
      <c r="DH374" s="28" t="n">
        <f aca="false">IFERROR(INDEX(Assessments!$J$2:$J$600,MATCH($H374&amp;"|"&amp;$I374&amp;"|"&amp;$J374&amp;"|"&amp;12,Assessments!$A$2:$A$600,0)),0)</f>
        <v>0</v>
      </c>
      <c r="DI374" s="28" t="n">
        <f aca="false">IFERROR(INDEX(Assessments!$J$2:$J$600,MATCH($H374&amp;"|"&amp;$I374&amp;"|"&amp;$J374&amp;"|"&amp;13,Assessments!$A$2:$A$600,0)),0)</f>
        <v>0</v>
      </c>
      <c r="DJ374" s="28" t="n">
        <f aca="false">IFERROR(INDEX(Assessments!$J$2:$J$600,MATCH($H374&amp;"|"&amp;$I374&amp;"|"&amp;$J374&amp;"|"&amp;14,Assessments!$A$2:$A$600,0)),0)</f>
        <v>0</v>
      </c>
      <c r="DK374" s="28" t="n">
        <f aca="false">S374</f>
        <v>3</v>
      </c>
      <c r="DL374" s="28" t="str">
        <f aca="false">W374</f>
        <v/>
      </c>
      <c r="DM374" s="28" t="str">
        <f aca="false">AA374</f>
        <v/>
      </c>
      <c r="DN374" s="28" t="str">
        <f aca="false">AE374</f>
        <v/>
      </c>
      <c r="DO374" s="28" t="str">
        <f aca="false">AI374</f>
        <v/>
      </c>
      <c r="DP374" s="28" t="str">
        <f aca="false">AM374</f>
        <v/>
      </c>
      <c r="DQ374" s="28" t="str">
        <f aca="false">AQ374</f>
        <v/>
      </c>
      <c r="DR374" s="28" t="str">
        <f aca="false">AU374</f>
        <v/>
      </c>
      <c r="DS374" s="28" t="str">
        <f aca="false">AY374</f>
        <v/>
      </c>
      <c r="DT374" s="28" t="str">
        <f aca="false">BC374</f>
        <v/>
      </c>
      <c r="DU374" s="28" t="str">
        <f aca="false">BG374</f>
        <v/>
      </c>
      <c r="DV374" s="28" t="str">
        <f aca="false">BK374</f>
        <v/>
      </c>
      <c r="DW374" s="28" t="str">
        <f aca="false">BO374</f>
        <v/>
      </c>
      <c r="DX374" s="28" t="str">
        <f aca="false">BS374</f>
        <v/>
      </c>
      <c r="DY374" s="28" t="n">
        <f aca="false">IF(ISNUMBER(S374),1,"")</f>
        <v>1</v>
      </c>
      <c r="DZ374" s="28" t="str">
        <f aca="false">IF(ISNUMBER(W374),2,"")</f>
        <v/>
      </c>
      <c r="EA374" s="28" t="str">
        <f aca="false">IF(ISNUMBER(AA374),3,"")</f>
        <v/>
      </c>
      <c r="EB374" s="28" t="str">
        <f aca="false">IF(ISNUMBER(AE374),4,"")</f>
        <v/>
      </c>
      <c r="EC374" s="28" t="str">
        <f aca="false">IF(ISNUMBER(AI374),5,"")</f>
        <v/>
      </c>
      <c r="ED374" s="28" t="str">
        <f aca="false">IF(ISNUMBER(AM374),6,"")</f>
        <v/>
      </c>
      <c r="EE374" s="28" t="str">
        <f aca="false">IF(ISNUMBER(AQ374),7,"")</f>
        <v/>
      </c>
      <c r="EF374" s="28" t="str">
        <f aca="false">IF(ISNUMBER(AU374),8,"")</f>
        <v/>
      </c>
      <c r="EG374" s="28" t="str">
        <f aca="false">IF(ISNUMBER(AY374),9,"")</f>
        <v/>
      </c>
      <c r="EH374" s="28" t="str">
        <f aca="false">IF(ISNUMBER(BC374),10,"")</f>
        <v/>
      </c>
      <c r="EI374" s="28" t="str">
        <f aca="false">IF(ISNUMBER(BG374),11,"")</f>
        <v/>
      </c>
      <c r="EJ374" s="28" t="str">
        <f aca="false">IF(ISNUMBER(BK374),12,"")</f>
        <v/>
      </c>
      <c r="EK374" s="28" t="str">
        <f aca="false">IF(ISNUMBER(BO374),13,"")</f>
        <v/>
      </c>
      <c r="EL374" s="28" t="str">
        <f aca="false">IF(ISNUMBER(BS374),14,"")</f>
        <v/>
      </c>
      <c r="EM374" s="28" t="n">
        <f aca="false">IF(ISNUMBER(R374),R374*CW374,0)</f>
        <v>40</v>
      </c>
      <c r="EN374" s="28" t="n">
        <f aca="false">IF(ISNUMBER(V374),V374*CX374,0)</f>
        <v>0</v>
      </c>
      <c r="EO374" s="28" t="n">
        <f aca="false">IF(ISNUMBER(Z374),Z374*CY374,0)</f>
        <v>0</v>
      </c>
      <c r="EP374" s="28" t="n">
        <f aca="false">IF(ISNUMBER(AD374),AD374*CZ374,0)</f>
        <v>0</v>
      </c>
      <c r="EQ374" s="28" t="n">
        <f aca="false">IF(ISNUMBER(AH374),AH374*DA374,0)</f>
        <v>0</v>
      </c>
      <c r="ER374" s="28" t="n">
        <f aca="false">IF(ISNUMBER(AL374),AL374*DB374,0)</f>
        <v>0</v>
      </c>
      <c r="ES374" s="28" t="n">
        <f aca="false">IF(ISNUMBER(AP374),AP374*DC374,0)</f>
        <v>0</v>
      </c>
      <c r="ET374" s="28" t="n">
        <f aca="false">IF(ISNUMBER(AT374),AT374*DD374,0)</f>
        <v>0</v>
      </c>
      <c r="EU374" s="28" t="n">
        <f aca="false">IF(ISNUMBER(AX374),AX374*DE374,0)</f>
        <v>0</v>
      </c>
      <c r="EV374" s="28" t="n">
        <f aca="false">IF(ISNUMBER(BB374),BB374*DF374,0)</f>
        <v>0</v>
      </c>
      <c r="EW374" s="28" t="n">
        <f aca="false">IF(ISNUMBER(BF374),BF374*DG374,0)</f>
        <v>0</v>
      </c>
      <c r="EX374" s="28" t="n">
        <f aca="false">IF(ISNUMBER(BJ374),BJ374*DH374,0)</f>
        <v>0</v>
      </c>
      <c r="EY374" s="28" t="n">
        <f aca="false">IF(ISNUMBER(BN374),BN374*DI374,0)</f>
        <v>0</v>
      </c>
      <c r="EZ374" s="28" t="n">
        <f aca="false">IF(ISNUMBER(BR374),BR374*DJ374,0)</f>
        <v>0</v>
      </c>
      <c r="FA374" s="28" t="n">
        <f aca="false">IF(ISNUMBER(R374),CW374,0)</f>
        <v>1</v>
      </c>
      <c r="FB374" s="28" t="n">
        <f aca="false">IF(ISNUMBER(V374),CX374,0)</f>
        <v>0</v>
      </c>
      <c r="FC374" s="28" t="n">
        <f aca="false">IF(ISNUMBER(Z374),CY374,0)</f>
        <v>0</v>
      </c>
      <c r="FD374" s="28" t="n">
        <f aca="false">IF(ISNUMBER(AD374),CZ374,0)</f>
        <v>0</v>
      </c>
      <c r="FE374" s="28" t="n">
        <f aca="false">IF(ISNUMBER(AH374),DA374,0)</f>
        <v>0</v>
      </c>
      <c r="FF374" s="28" t="n">
        <f aca="false">IF(ISNUMBER(AL374),DB374,0)</f>
        <v>0</v>
      </c>
      <c r="FG374" s="28" t="n">
        <f aca="false">IF(ISNUMBER(AP374),DC374,0)</f>
        <v>0</v>
      </c>
      <c r="FH374" s="28" t="n">
        <f aca="false">IF(ISNUMBER(AT374),DD374,0)</f>
        <v>0</v>
      </c>
      <c r="FI374" s="28" t="n">
        <f aca="false">IF(ISNUMBER(AX374),DE374,0)</f>
        <v>0</v>
      </c>
      <c r="FJ374" s="28" t="n">
        <f aca="false">IF(ISNUMBER(BB374),DF374,0)</f>
        <v>0</v>
      </c>
      <c r="FK374" s="28" t="n">
        <f aca="false">IF(ISNUMBER(BF374),DG374,0)</f>
        <v>0</v>
      </c>
      <c r="FL374" s="28" t="n">
        <f aca="false">IF(ISNUMBER(BJ374),DH374,0)</f>
        <v>0</v>
      </c>
      <c r="FM374" s="28" t="n">
        <f aca="false">IF(ISNUMBER(BN374),DI374,0)</f>
        <v>0</v>
      </c>
      <c r="FN374" s="28" t="n">
        <f aca="false">IF(ISNUMBER(BR374),DJ374,0)</f>
        <v>0</v>
      </c>
      <c r="FO374" s="28" t="str">
        <f aca="false">IFERROR(INDEX(Lists!$G$2:$G$20,MATCH($I374&amp;"|"&amp;$J374,Lists!$F$2:$F$20,0)),"")</f>
        <v>Hist Overall SL</v>
      </c>
    </row>
    <row r="375" customFormat="false" ht="19.5" hidden="false" customHeight="true" outlineLevel="0" collapsed="false">
      <c r="A375" s="29" t="s">
        <v>526</v>
      </c>
      <c r="B375" s="29" t="s">
        <v>527</v>
      </c>
      <c r="C375" s="30" t="s">
        <v>152</v>
      </c>
      <c r="D375" s="30" t="s">
        <v>422</v>
      </c>
      <c r="E375" s="31"/>
      <c r="F375" s="30"/>
      <c r="G375" s="30"/>
      <c r="H375" s="32" t="s">
        <v>428</v>
      </c>
      <c r="I375" s="33" t="s">
        <v>416</v>
      </c>
      <c r="J375" s="32" t="s">
        <v>223</v>
      </c>
      <c r="K375" s="34" t="str">
        <f aca="false">IF(OR(M375="",$E375=""),"",M375-$E375)</f>
        <v/>
      </c>
      <c r="L375" s="35" t="n">
        <f aca="false">IF(SUM(FA375:FN375)=0,"",SUM(EM375:EZ375)/SUM(FA375:FN375))</f>
        <v>60</v>
      </c>
      <c r="M375" s="36" t="n">
        <f aca="false">IF(OR(L375="",FO375=""),"",IFERROR(MATCH(L375,INDEX(Boundaries!$B$2:$I$30,MATCH(FO375,Boundaries!$A$2:$A$30,0),0),1)-1,""))</f>
        <v>5</v>
      </c>
      <c r="N375" s="37" t="str">
        <f aca="false">IF(COUNT($DY375:$EL375)&lt;2,"",INDEX($DK375:$DX375,MAX($DY375:$EL375))-INDEX($DK375:$DX375,MIN($DY375:$EL375)))</f>
        <v/>
      </c>
      <c r="O375" s="37" t="str">
        <f aca="false">IF(COUNT($DY375:$EL375)&lt;2,"",INDEX($DK375:$DX375,MAX($DY375:$EL375))-INDEX($DK375:$DX375,LARGE($DY375:$EL375,2)))</f>
        <v/>
      </c>
      <c r="P375" s="38" t="str">
        <f aca="false">IF(K375="","",IF(K375&gt;=0,"On/above target",IF(AND(N375&lt;&gt;"",N375&gt;=0.5),"Improving towards target",IF(AND(O375&lt;&gt;"",O375&lt;=-0.5),"Declining","Stable below target"))))</f>
        <v/>
      </c>
      <c r="Q375" s="39" t="n">
        <v>6</v>
      </c>
      <c r="R375" s="40" t="n">
        <f aca="false">IF(OR(Q375="",BU375=""),"",Q375/BU375*100)</f>
        <v>60</v>
      </c>
      <c r="S375" s="41" t="n">
        <f aca="false">IF(R375="","",IFERROR(MATCH(R375,INDEX(Boundaries!$B$2:$I$30,MATCH(CI375,Boundaries!$A$2:$A$30,0),0),1)-1,""))</f>
        <v>5</v>
      </c>
      <c r="T375" s="42" t="str">
        <f aca="false">IF(OR(S375="",$E375=""),"",S375-$E375)</f>
        <v/>
      </c>
      <c r="U375" s="39"/>
      <c r="V375" s="40" t="str">
        <f aca="false">IF(OR(U375="",BV375=""),"",U375/BV375*100)</f>
        <v/>
      </c>
      <c r="W375" s="41" t="str">
        <f aca="false">IF(V375="","",IFERROR(MATCH(V375,INDEX(Boundaries!$B$2:$I$30,MATCH(CJ375,Boundaries!$A$2:$A$30,0),0),1)-1,""))</f>
        <v/>
      </c>
      <c r="X375" s="42" t="str">
        <f aca="false">IF(OR(W375="",$E375=""),"",W375-$E375)</f>
        <v/>
      </c>
      <c r="Y375" s="39"/>
      <c r="Z375" s="40" t="str">
        <f aca="false">IF(OR(Y375="",BW375=""),"",Y375/BW375*100)</f>
        <v/>
      </c>
      <c r="AA375" s="41" t="str">
        <f aca="false">IF(Z375="","",IFERROR(MATCH(Z375,INDEX(Boundaries!$B$2:$I$30,MATCH(CK375,Boundaries!$A$2:$A$30,0),0),1)-1,""))</f>
        <v/>
      </c>
      <c r="AB375" s="42" t="str">
        <f aca="false">IF(OR(AA375="",$E375=""),"",AA375-$E375)</f>
        <v/>
      </c>
      <c r="AC375" s="39"/>
      <c r="AD375" s="40" t="str">
        <f aca="false">IF(OR(AC375="",BX375=""),"",AC375/BX375*100)</f>
        <v/>
      </c>
      <c r="AE375" s="41" t="str">
        <f aca="false">IF(AD375="","",IFERROR(MATCH(AD375,INDEX(Boundaries!$B$2:$I$30,MATCH(CL375,Boundaries!$A$2:$A$30,0),0),1)-1,""))</f>
        <v/>
      </c>
      <c r="AF375" s="42" t="str">
        <f aca="false">IF(OR(AE375="",$E375=""),"",AE375-$E375)</f>
        <v/>
      </c>
      <c r="AG375" s="39"/>
      <c r="AH375" s="40" t="str">
        <f aca="false">IF(OR(AG375="",BY375=""),"",AG375/BY375*100)</f>
        <v/>
      </c>
      <c r="AI375" s="41" t="str">
        <f aca="false">IF(AH375="","",IFERROR(MATCH(AH375,INDEX(Boundaries!$B$2:$I$30,MATCH(CM375,Boundaries!$A$2:$A$30,0),0),1)-1,""))</f>
        <v/>
      </c>
      <c r="AJ375" s="42" t="str">
        <f aca="false">IF(OR(AI375="",$E375=""),"",AI375-$E375)</f>
        <v/>
      </c>
      <c r="AK375" s="39"/>
      <c r="AL375" s="40" t="str">
        <f aca="false">IF(OR(AK375="",BZ375=""),"",AK375/BZ375*100)</f>
        <v/>
      </c>
      <c r="AM375" s="41" t="str">
        <f aca="false">IF(AL375="","",IFERROR(MATCH(AL375,INDEX(Boundaries!$B$2:$I$30,MATCH(CN375,Boundaries!$A$2:$A$30,0),0),1)-1,""))</f>
        <v/>
      </c>
      <c r="AN375" s="42" t="str">
        <f aca="false">IF(OR(AM375="",$E375=""),"",AM375-$E375)</f>
        <v/>
      </c>
      <c r="AO375" s="39"/>
      <c r="AP375" s="40" t="str">
        <f aca="false">IF(OR(AO375="",CA375=""),"",AO375/CA375*100)</f>
        <v/>
      </c>
      <c r="AQ375" s="41" t="str">
        <f aca="false">IF(AP375="","",IFERROR(MATCH(AP375,INDEX(Boundaries!$B$2:$I$30,MATCH(CO375,Boundaries!$A$2:$A$30,0),0),1)-1,""))</f>
        <v/>
      </c>
      <c r="AR375" s="42" t="str">
        <f aca="false">IF(OR(AQ375="",$E375=""),"",AQ375-$E375)</f>
        <v/>
      </c>
      <c r="AS375" s="39"/>
      <c r="AT375" s="40" t="str">
        <f aca="false">IF(OR(AS375="",CB375=""),"",AS375/CB375*100)</f>
        <v/>
      </c>
      <c r="AU375" s="41" t="str">
        <f aca="false">IF(AT375="","",IFERROR(MATCH(AT375,INDEX(Boundaries!$B$2:$I$30,MATCH(CP375,Boundaries!$A$2:$A$30,0),0),1)-1,""))</f>
        <v/>
      </c>
      <c r="AV375" s="42" t="str">
        <f aca="false">IF(OR(AU375="",$E375=""),"",AU375-$E375)</f>
        <v/>
      </c>
      <c r="AW375" s="39"/>
      <c r="AX375" s="40" t="str">
        <f aca="false">IF(OR(AW375="",CC375=""),"",AW375/CC375*100)</f>
        <v/>
      </c>
      <c r="AY375" s="41" t="str">
        <f aca="false">IF(AX375="","",IFERROR(MATCH(AX375,INDEX(Boundaries!$B$2:$I$30,MATCH(CQ375,Boundaries!$A$2:$A$30,0),0),1)-1,""))</f>
        <v/>
      </c>
      <c r="AZ375" s="42" t="str">
        <f aca="false">IF(OR(AY375="",$E375=""),"",AY375-$E375)</f>
        <v/>
      </c>
      <c r="BA375" s="39"/>
      <c r="BB375" s="40" t="str">
        <f aca="false">IF(OR(BA375="",CD375=""),"",BA375/CD375*100)</f>
        <v/>
      </c>
      <c r="BC375" s="41" t="str">
        <f aca="false">IF(BB375="","",IFERROR(MATCH(BB375,INDEX(Boundaries!$B$2:$I$30,MATCH(CR375,Boundaries!$A$2:$A$30,0),0),1)-1,""))</f>
        <v/>
      </c>
      <c r="BD375" s="42" t="str">
        <f aca="false">IF(OR(BC375="",$E375=""),"",BC375-$E375)</f>
        <v/>
      </c>
      <c r="BE375" s="39"/>
      <c r="BF375" s="40" t="str">
        <f aca="false">IF(OR(BE375="",CE375=""),"",BE375/CE375*100)</f>
        <v/>
      </c>
      <c r="BG375" s="41" t="str">
        <f aca="false">IF(BF375="","",IFERROR(MATCH(BF375,INDEX(Boundaries!$B$2:$I$30,MATCH(CS375,Boundaries!$A$2:$A$30,0),0),1)-1,""))</f>
        <v/>
      </c>
      <c r="BH375" s="42" t="str">
        <f aca="false">IF(OR(BG375="",$E375=""),"",BG375-$E375)</f>
        <v/>
      </c>
      <c r="BI375" s="39"/>
      <c r="BJ375" s="40" t="str">
        <f aca="false">IF(OR(BI375="",CF375=""),"",BI375/CF375*100)</f>
        <v/>
      </c>
      <c r="BK375" s="41" t="str">
        <f aca="false">IF(BJ375="","",IFERROR(MATCH(BJ375,INDEX(Boundaries!$B$2:$I$30,MATCH(CT375,Boundaries!$A$2:$A$30,0),0),1)-1,""))</f>
        <v/>
      </c>
      <c r="BL375" s="42" t="str">
        <f aca="false">IF(OR(BK375="",$E375=""),"",BK375-$E375)</f>
        <v/>
      </c>
      <c r="BM375" s="39"/>
      <c r="BN375" s="40" t="str">
        <f aca="false">IF(OR(BM375="",CG375=""),"",BM375/CG375*100)</f>
        <v/>
      </c>
      <c r="BO375" s="41" t="str">
        <f aca="false">IF(BN375="","",IFERROR(MATCH(BN375,INDEX(Boundaries!$B$2:$I$30,MATCH(CU375,Boundaries!$A$2:$A$30,0),0),1)-1,""))</f>
        <v/>
      </c>
      <c r="BP375" s="42" t="str">
        <f aca="false">IF(OR(BO375="",$E375=""),"",BO375-$E375)</f>
        <v/>
      </c>
      <c r="BQ375" s="39"/>
      <c r="BR375" s="40" t="str">
        <f aca="false">IF(OR(BQ375="",CH375=""),"",BQ375/CH375*100)</f>
        <v/>
      </c>
      <c r="BS375" s="41" t="str">
        <f aca="false">IF(BR375="","",IFERROR(MATCH(BR375,INDEX(Boundaries!$B$2:$I$30,MATCH(CV375,Boundaries!$A$2:$A$30,0),0),1)-1,""))</f>
        <v/>
      </c>
      <c r="BT375" s="42" t="str">
        <f aca="false">IF(OR(BS375="",$E375=""),"",BS375-$E375)</f>
        <v/>
      </c>
      <c r="BU375" s="28" t="n">
        <f aca="false">IFERROR(INDEX(Assessments!$H$2:$H$600,MATCH($H375&amp;"|"&amp;$I375&amp;"|"&amp;$J375&amp;"|"&amp;1,Assessments!$A$2:$A$600,0)),"")</f>
        <v>10</v>
      </c>
      <c r="BV375" s="28" t="n">
        <f aca="false">IFERROR(INDEX(Assessments!$H$2:$H$600,MATCH($H375&amp;"|"&amp;$I375&amp;"|"&amp;$J375&amp;"|"&amp;2,Assessments!$A$2:$A$600,0)),"")</f>
        <v>24</v>
      </c>
      <c r="BW375" s="28" t="n">
        <f aca="false">IFERROR(INDEX(Assessments!$H$2:$H$600,MATCH($H375&amp;"|"&amp;$I375&amp;"|"&amp;$J375&amp;"|"&amp;3,Assessments!$A$2:$A$600,0)),"")</f>
        <v>15</v>
      </c>
      <c r="BX375" s="28" t="n">
        <f aca="false">IFERROR(INDEX(Assessments!$H$2:$H$600,MATCH($H375&amp;"|"&amp;$I375&amp;"|"&amp;$J375&amp;"|"&amp;4,Assessments!$A$2:$A$600,0)),"")</f>
        <v>24</v>
      </c>
      <c r="BY375" s="28" t="n">
        <f aca="false">IFERROR(INDEX(Assessments!$H$2:$H$600,MATCH($H375&amp;"|"&amp;$I375&amp;"|"&amp;$J375&amp;"|"&amp;5,Assessments!$A$2:$A$600,0)),"")</f>
        <v>30</v>
      </c>
      <c r="BZ375" s="28" t="str">
        <f aca="false">IFERROR(INDEX(Assessments!$H$2:$H$600,MATCH($H375&amp;"|"&amp;$I375&amp;"|"&amp;$J375&amp;"|"&amp;6,Assessments!$A$2:$A$600,0)),"")</f>
        <v/>
      </c>
      <c r="CA375" s="28" t="str">
        <f aca="false">IFERROR(INDEX(Assessments!$H$2:$H$600,MATCH($H375&amp;"|"&amp;$I375&amp;"|"&amp;$J375&amp;"|"&amp;7,Assessments!$A$2:$A$600,0)),"")</f>
        <v/>
      </c>
      <c r="CB375" s="28" t="str">
        <f aca="false">IFERROR(INDEX(Assessments!$H$2:$H$600,MATCH($H375&amp;"|"&amp;$I375&amp;"|"&amp;$J375&amp;"|"&amp;8,Assessments!$A$2:$A$600,0)),"")</f>
        <v/>
      </c>
      <c r="CC375" s="28" t="str">
        <f aca="false">IFERROR(INDEX(Assessments!$H$2:$H$600,MATCH($H375&amp;"|"&amp;$I375&amp;"|"&amp;$J375&amp;"|"&amp;9,Assessments!$A$2:$A$600,0)),"")</f>
        <v/>
      </c>
      <c r="CD375" s="28" t="str">
        <f aca="false">IFERROR(INDEX(Assessments!$H$2:$H$600,MATCH($H375&amp;"|"&amp;$I375&amp;"|"&amp;$J375&amp;"|"&amp;10,Assessments!$A$2:$A$600,0)),"")</f>
        <v/>
      </c>
      <c r="CE375" s="28" t="str">
        <f aca="false">IFERROR(INDEX(Assessments!$H$2:$H$600,MATCH($H375&amp;"|"&amp;$I375&amp;"|"&amp;$J375&amp;"|"&amp;11,Assessments!$A$2:$A$600,0)),"")</f>
        <v/>
      </c>
      <c r="CF375" s="28" t="str">
        <f aca="false">IFERROR(INDEX(Assessments!$H$2:$H$600,MATCH($H375&amp;"|"&amp;$I375&amp;"|"&amp;$J375&amp;"|"&amp;12,Assessments!$A$2:$A$600,0)),"")</f>
        <v/>
      </c>
      <c r="CG375" s="28" t="str">
        <f aca="false">IFERROR(INDEX(Assessments!$H$2:$H$600,MATCH($H375&amp;"|"&amp;$I375&amp;"|"&amp;$J375&amp;"|"&amp;13,Assessments!$A$2:$A$600,0)),"")</f>
        <v/>
      </c>
      <c r="CH375" s="28" t="str">
        <f aca="false">IFERROR(INDEX(Assessments!$H$2:$H$600,MATCH($H375&amp;"|"&amp;$I375&amp;"|"&amp;$J375&amp;"|"&amp;14,Assessments!$A$2:$A$600,0)),"")</f>
        <v/>
      </c>
      <c r="CI375" s="28" t="str">
        <f aca="false">IFERROR(INDEX(Assessments!$I$2:$I$600,MATCH($H375&amp;"|"&amp;$I375&amp;"|"&amp;$J375&amp;"|"&amp;1,Assessments!$A$2:$A$600,0)),"")</f>
        <v>Hist P2 partial</v>
      </c>
      <c r="CJ375" s="28" t="str">
        <f aca="false">IFERROR(INDEX(Assessments!$I$2:$I$600,MATCH($H375&amp;"|"&amp;$I375&amp;"|"&amp;$J375&amp;"|"&amp;2,Assessments!$A$2:$A$600,0)),"")</f>
        <v>Hist P2 partial</v>
      </c>
      <c r="CK375" s="28" t="str">
        <f aca="false">IFERROR(INDEX(Assessments!$I$2:$I$600,MATCH($H375&amp;"|"&amp;$I375&amp;"|"&amp;$J375&amp;"|"&amp;3,Assessments!$A$2:$A$600,0)),"")</f>
        <v>Hist P2 partial</v>
      </c>
      <c r="CL375" s="28" t="str">
        <f aca="false">IFERROR(INDEX(Assessments!$I$2:$I$600,MATCH($H375&amp;"|"&amp;$I375&amp;"|"&amp;$J375&amp;"|"&amp;4,Assessments!$A$2:$A$600,0)),"")</f>
        <v>Hist Paper 1</v>
      </c>
      <c r="CM375" s="28" t="str">
        <f aca="false">IFERROR(INDEX(Assessments!$I$2:$I$600,MATCH($H375&amp;"|"&amp;$I375&amp;"|"&amp;$J375&amp;"|"&amp;5,Assessments!$A$2:$A$600,0)),"")</f>
        <v>Hist P2 full</v>
      </c>
      <c r="CN375" s="28" t="str">
        <f aca="false">IFERROR(INDEX(Assessments!$I$2:$I$600,MATCH($H375&amp;"|"&amp;$I375&amp;"|"&amp;$J375&amp;"|"&amp;6,Assessments!$A$2:$A$600,0)),"")</f>
        <v/>
      </c>
      <c r="CO375" s="28" t="str">
        <f aca="false">IFERROR(INDEX(Assessments!$I$2:$I$600,MATCH($H375&amp;"|"&amp;$I375&amp;"|"&amp;$J375&amp;"|"&amp;7,Assessments!$A$2:$A$600,0)),"")</f>
        <v/>
      </c>
      <c r="CP375" s="28" t="str">
        <f aca="false">IFERROR(INDEX(Assessments!$I$2:$I$600,MATCH($H375&amp;"|"&amp;$I375&amp;"|"&amp;$J375&amp;"|"&amp;8,Assessments!$A$2:$A$600,0)),"")</f>
        <v/>
      </c>
      <c r="CQ375" s="28" t="str">
        <f aca="false">IFERROR(INDEX(Assessments!$I$2:$I$600,MATCH($H375&amp;"|"&amp;$I375&amp;"|"&amp;$J375&amp;"|"&amp;9,Assessments!$A$2:$A$600,0)),"")</f>
        <v/>
      </c>
      <c r="CR375" s="28" t="str">
        <f aca="false">IFERROR(INDEX(Assessments!$I$2:$I$600,MATCH($H375&amp;"|"&amp;$I375&amp;"|"&amp;$J375&amp;"|"&amp;10,Assessments!$A$2:$A$600,0)),"")</f>
        <v/>
      </c>
      <c r="CS375" s="28" t="str">
        <f aca="false">IFERROR(INDEX(Assessments!$I$2:$I$600,MATCH($H375&amp;"|"&amp;$I375&amp;"|"&amp;$J375&amp;"|"&amp;11,Assessments!$A$2:$A$600,0)),"")</f>
        <v/>
      </c>
      <c r="CT375" s="28" t="str">
        <f aca="false">IFERROR(INDEX(Assessments!$I$2:$I$600,MATCH($H375&amp;"|"&amp;$I375&amp;"|"&amp;$J375&amp;"|"&amp;12,Assessments!$A$2:$A$600,0)),"")</f>
        <v/>
      </c>
      <c r="CU375" s="28" t="str">
        <f aca="false">IFERROR(INDEX(Assessments!$I$2:$I$600,MATCH($H375&amp;"|"&amp;$I375&amp;"|"&amp;$J375&amp;"|"&amp;13,Assessments!$A$2:$A$600,0)),"")</f>
        <v/>
      </c>
      <c r="CV375" s="28" t="str">
        <f aca="false">IFERROR(INDEX(Assessments!$I$2:$I$600,MATCH($H375&amp;"|"&amp;$I375&amp;"|"&amp;$J375&amp;"|"&amp;14,Assessments!$A$2:$A$600,0)),"")</f>
        <v/>
      </c>
      <c r="CW375" s="28" t="n">
        <f aca="false">IFERROR(INDEX(Assessments!$J$2:$J$600,MATCH($H375&amp;"|"&amp;$I375&amp;"|"&amp;$J375&amp;"|"&amp;1,Assessments!$A$2:$A$600,0)),0)</f>
        <v>1</v>
      </c>
      <c r="CX375" s="28" t="n">
        <f aca="false">IFERROR(INDEX(Assessments!$J$2:$J$600,MATCH($H375&amp;"|"&amp;$I375&amp;"|"&amp;$J375&amp;"|"&amp;2,Assessments!$A$2:$A$600,0)),0)</f>
        <v>1</v>
      </c>
      <c r="CY375" s="28" t="n">
        <f aca="false">IFERROR(INDEX(Assessments!$J$2:$J$600,MATCH($H375&amp;"|"&amp;$I375&amp;"|"&amp;$J375&amp;"|"&amp;3,Assessments!$A$2:$A$600,0)),0)</f>
        <v>1</v>
      </c>
      <c r="CZ375" s="28" t="n">
        <f aca="false">IFERROR(INDEX(Assessments!$J$2:$J$600,MATCH($H375&amp;"|"&amp;$I375&amp;"|"&amp;$J375&amp;"|"&amp;4,Assessments!$A$2:$A$600,0)),0)</f>
        <v>2</v>
      </c>
      <c r="DA375" s="28" t="n">
        <f aca="false">IFERROR(INDEX(Assessments!$J$2:$J$600,MATCH($H375&amp;"|"&amp;$I375&amp;"|"&amp;$J375&amp;"|"&amp;5,Assessments!$A$2:$A$600,0)),0)</f>
        <v>2</v>
      </c>
      <c r="DB375" s="28" t="n">
        <f aca="false">IFERROR(INDEX(Assessments!$J$2:$J$600,MATCH($H375&amp;"|"&amp;$I375&amp;"|"&amp;$J375&amp;"|"&amp;6,Assessments!$A$2:$A$600,0)),0)</f>
        <v>0</v>
      </c>
      <c r="DC375" s="28" t="n">
        <f aca="false">IFERROR(INDEX(Assessments!$J$2:$J$600,MATCH($H375&amp;"|"&amp;$I375&amp;"|"&amp;$J375&amp;"|"&amp;7,Assessments!$A$2:$A$600,0)),0)</f>
        <v>0</v>
      </c>
      <c r="DD375" s="28" t="n">
        <f aca="false">IFERROR(INDEX(Assessments!$J$2:$J$600,MATCH($H375&amp;"|"&amp;$I375&amp;"|"&amp;$J375&amp;"|"&amp;8,Assessments!$A$2:$A$600,0)),0)</f>
        <v>0</v>
      </c>
      <c r="DE375" s="28" t="n">
        <f aca="false">IFERROR(INDEX(Assessments!$J$2:$J$600,MATCH($H375&amp;"|"&amp;$I375&amp;"|"&amp;$J375&amp;"|"&amp;9,Assessments!$A$2:$A$600,0)),0)</f>
        <v>0</v>
      </c>
      <c r="DF375" s="28" t="n">
        <f aca="false">IFERROR(INDEX(Assessments!$J$2:$J$600,MATCH($H375&amp;"|"&amp;$I375&amp;"|"&amp;$J375&amp;"|"&amp;10,Assessments!$A$2:$A$600,0)),0)</f>
        <v>0</v>
      </c>
      <c r="DG375" s="28" t="n">
        <f aca="false">IFERROR(INDEX(Assessments!$J$2:$J$600,MATCH($H375&amp;"|"&amp;$I375&amp;"|"&amp;$J375&amp;"|"&amp;11,Assessments!$A$2:$A$600,0)),0)</f>
        <v>0</v>
      </c>
      <c r="DH375" s="28" t="n">
        <f aca="false">IFERROR(INDEX(Assessments!$J$2:$J$600,MATCH($H375&amp;"|"&amp;$I375&amp;"|"&amp;$J375&amp;"|"&amp;12,Assessments!$A$2:$A$600,0)),0)</f>
        <v>0</v>
      </c>
      <c r="DI375" s="28" t="n">
        <f aca="false">IFERROR(INDEX(Assessments!$J$2:$J$600,MATCH($H375&amp;"|"&amp;$I375&amp;"|"&amp;$J375&amp;"|"&amp;13,Assessments!$A$2:$A$600,0)),0)</f>
        <v>0</v>
      </c>
      <c r="DJ375" s="28" t="n">
        <f aca="false">IFERROR(INDEX(Assessments!$J$2:$J$600,MATCH($H375&amp;"|"&amp;$I375&amp;"|"&amp;$J375&amp;"|"&amp;14,Assessments!$A$2:$A$600,0)),0)</f>
        <v>0</v>
      </c>
      <c r="DK375" s="28" t="n">
        <f aca="false">S375</f>
        <v>5</v>
      </c>
      <c r="DL375" s="28" t="str">
        <f aca="false">W375</f>
        <v/>
      </c>
      <c r="DM375" s="28" t="str">
        <f aca="false">AA375</f>
        <v/>
      </c>
      <c r="DN375" s="28" t="str">
        <f aca="false">AE375</f>
        <v/>
      </c>
      <c r="DO375" s="28" t="str">
        <f aca="false">AI375</f>
        <v/>
      </c>
      <c r="DP375" s="28" t="str">
        <f aca="false">AM375</f>
        <v/>
      </c>
      <c r="DQ375" s="28" t="str">
        <f aca="false">AQ375</f>
        <v/>
      </c>
      <c r="DR375" s="28" t="str">
        <f aca="false">AU375</f>
        <v/>
      </c>
      <c r="DS375" s="28" t="str">
        <f aca="false">AY375</f>
        <v/>
      </c>
      <c r="DT375" s="28" t="str">
        <f aca="false">BC375</f>
        <v/>
      </c>
      <c r="DU375" s="28" t="str">
        <f aca="false">BG375</f>
        <v/>
      </c>
      <c r="DV375" s="28" t="str">
        <f aca="false">BK375</f>
        <v/>
      </c>
      <c r="DW375" s="28" t="str">
        <f aca="false">BO375</f>
        <v/>
      </c>
      <c r="DX375" s="28" t="str">
        <f aca="false">BS375</f>
        <v/>
      </c>
      <c r="DY375" s="28" t="n">
        <f aca="false">IF(ISNUMBER(S375),1,"")</f>
        <v>1</v>
      </c>
      <c r="DZ375" s="28" t="str">
        <f aca="false">IF(ISNUMBER(W375),2,"")</f>
        <v/>
      </c>
      <c r="EA375" s="28" t="str">
        <f aca="false">IF(ISNUMBER(AA375),3,"")</f>
        <v/>
      </c>
      <c r="EB375" s="28" t="str">
        <f aca="false">IF(ISNUMBER(AE375),4,"")</f>
        <v/>
      </c>
      <c r="EC375" s="28" t="str">
        <f aca="false">IF(ISNUMBER(AI375),5,"")</f>
        <v/>
      </c>
      <c r="ED375" s="28" t="str">
        <f aca="false">IF(ISNUMBER(AM375),6,"")</f>
        <v/>
      </c>
      <c r="EE375" s="28" t="str">
        <f aca="false">IF(ISNUMBER(AQ375),7,"")</f>
        <v/>
      </c>
      <c r="EF375" s="28" t="str">
        <f aca="false">IF(ISNUMBER(AU375),8,"")</f>
        <v/>
      </c>
      <c r="EG375" s="28" t="str">
        <f aca="false">IF(ISNUMBER(AY375),9,"")</f>
        <v/>
      </c>
      <c r="EH375" s="28" t="str">
        <f aca="false">IF(ISNUMBER(BC375),10,"")</f>
        <v/>
      </c>
      <c r="EI375" s="28" t="str">
        <f aca="false">IF(ISNUMBER(BG375),11,"")</f>
        <v/>
      </c>
      <c r="EJ375" s="28" t="str">
        <f aca="false">IF(ISNUMBER(BK375),12,"")</f>
        <v/>
      </c>
      <c r="EK375" s="28" t="str">
        <f aca="false">IF(ISNUMBER(BO375),13,"")</f>
        <v/>
      </c>
      <c r="EL375" s="28" t="str">
        <f aca="false">IF(ISNUMBER(BS375),14,"")</f>
        <v/>
      </c>
      <c r="EM375" s="28" t="n">
        <f aca="false">IF(ISNUMBER(R375),R375*CW375,0)</f>
        <v>60</v>
      </c>
      <c r="EN375" s="28" t="n">
        <f aca="false">IF(ISNUMBER(V375),V375*CX375,0)</f>
        <v>0</v>
      </c>
      <c r="EO375" s="28" t="n">
        <f aca="false">IF(ISNUMBER(Z375),Z375*CY375,0)</f>
        <v>0</v>
      </c>
      <c r="EP375" s="28" t="n">
        <f aca="false">IF(ISNUMBER(AD375),AD375*CZ375,0)</f>
        <v>0</v>
      </c>
      <c r="EQ375" s="28" t="n">
        <f aca="false">IF(ISNUMBER(AH375),AH375*DA375,0)</f>
        <v>0</v>
      </c>
      <c r="ER375" s="28" t="n">
        <f aca="false">IF(ISNUMBER(AL375),AL375*DB375,0)</f>
        <v>0</v>
      </c>
      <c r="ES375" s="28" t="n">
        <f aca="false">IF(ISNUMBER(AP375),AP375*DC375,0)</f>
        <v>0</v>
      </c>
      <c r="ET375" s="28" t="n">
        <f aca="false">IF(ISNUMBER(AT375),AT375*DD375,0)</f>
        <v>0</v>
      </c>
      <c r="EU375" s="28" t="n">
        <f aca="false">IF(ISNUMBER(AX375),AX375*DE375,0)</f>
        <v>0</v>
      </c>
      <c r="EV375" s="28" t="n">
        <f aca="false">IF(ISNUMBER(BB375),BB375*DF375,0)</f>
        <v>0</v>
      </c>
      <c r="EW375" s="28" t="n">
        <f aca="false">IF(ISNUMBER(BF375),BF375*DG375,0)</f>
        <v>0</v>
      </c>
      <c r="EX375" s="28" t="n">
        <f aca="false">IF(ISNUMBER(BJ375),BJ375*DH375,0)</f>
        <v>0</v>
      </c>
      <c r="EY375" s="28" t="n">
        <f aca="false">IF(ISNUMBER(BN375),BN375*DI375,0)</f>
        <v>0</v>
      </c>
      <c r="EZ375" s="28" t="n">
        <f aca="false">IF(ISNUMBER(BR375),BR375*DJ375,0)</f>
        <v>0</v>
      </c>
      <c r="FA375" s="28" t="n">
        <f aca="false">IF(ISNUMBER(R375),CW375,0)</f>
        <v>1</v>
      </c>
      <c r="FB375" s="28" t="n">
        <f aca="false">IF(ISNUMBER(V375),CX375,0)</f>
        <v>0</v>
      </c>
      <c r="FC375" s="28" t="n">
        <f aca="false">IF(ISNUMBER(Z375),CY375,0)</f>
        <v>0</v>
      </c>
      <c r="FD375" s="28" t="n">
        <f aca="false">IF(ISNUMBER(AD375),CZ375,0)</f>
        <v>0</v>
      </c>
      <c r="FE375" s="28" t="n">
        <f aca="false">IF(ISNUMBER(AH375),DA375,0)</f>
        <v>0</v>
      </c>
      <c r="FF375" s="28" t="n">
        <f aca="false">IF(ISNUMBER(AL375),DB375,0)</f>
        <v>0</v>
      </c>
      <c r="FG375" s="28" t="n">
        <f aca="false">IF(ISNUMBER(AP375),DC375,0)</f>
        <v>0</v>
      </c>
      <c r="FH375" s="28" t="n">
        <f aca="false">IF(ISNUMBER(AT375),DD375,0)</f>
        <v>0</v>
      </c>
      <c r="FI375" s="28" t="n">
        <f aca="false">IF(ISNUMBER(AX375),DE375,0)</f>
        <v>0</v>
      </c>
      <c r="FJ375" s="28" t="n">
        <f aca="false">IF(ISNUMBER(BB375),DF375,0)</f>
        <v>0</v>
      </c>
      <c r="FK375" s="28" t="n">
        <f aca="false">IF(ISNUMBER(BF375),DG375,0)</f>
        <v>0</v>
      </c>
      <c r="FL375" s="28" t="n">
        <f aca="false">IF(ISNUMBER(BJ375),DH375,0)</f>
        <v>0</v>
      </c>
      <c r="FM375" s="28" t="n">
        <f aca="false">IF(ISNUMBER(BN375),DI375,0)</f>
        <v>0</v>
      </c>
      <c r="FN375" s="28" t="n">
        <f aca="false">IF(ISNUMBER(BR375),DJ375,0)</f>
        <v>0</v>
      </c>
      <c r="FO375" s="28" t="str">
        <f aca="false">IFERROR(INDEX(Lists!$G$2:$G$20,MATCH($I375&amp;"|"&amp;$J375,Lists!$F$2:$F$20,0)),"")</f>
        <v>Hist Overall SL</v>
      </c>
    </row>
    <row r="376" customFormat="false" ht="19.5" hidden="false" customHeight="true" outlineLevel="0" collapsed="false">
      <c r="A376" s="29" t="s">
        <v>676</v>
      </c>
      <c r="B376" s="29" t="s">
        <v>677</v>
      </c>
      <c r="C376" s="30" t="s">
        <v>152</v>
      </c>
      <c r="D376" s="30" t="s">
        <v>422</v>
      </c>
      <c r="E376" s="31"/>
      <c r="F376" s="30"/>
      <c r="G376" s="30"/>
      <c r="H376" s="32" t="s">
        <v>428</v>
      </c>
      <c r="I376" s="33" t="s">
        <v>416</v>
      </c>
      <c r="J376" s="32" t="s">
        <v>223</v>
      </c>
      <c r="K376" s="34" t="str">
        <f aca="false">IF(OR(M376="",$E376=""),"",M376-$E376)</f>
        <v/>
      </c>
      <c r="L376" s="35" t="n">
        <f aca="false">IF(SUM(FA376:FN376)=0,"",SUM(EM376:EZ376)/SUM(FA376:FN376))</f>
        <v>50</v>
      </c>
      <c r="M376" s="36" t="n">
        <f aca="false">IF(OR(L376="",FO376=""),"",IFERROR(MATCH(L376,INDEX(Boundaries!$B$2:$I$30,MATCH(FO376,Boundaries!$A$2:$A$30,0),0),1)-1,""))</f>
        <v>5</v>
      </c>
      <c r="N376" s="37" t="str">
        <f aca="false">IF(COUNT($DY376:$EL376)&lt;2,"",INDEX($DK376:$DX376,MAX($DY376:$EL376))-INDEX($DK376:$DX376,MIN($DY376:$EL376)))</f>
        <v/>
      </c>
      <c r="O376" s="37" t="str">
        <f aca="false">IF(COUNT($DY376:$EL376)&lt;2,"",INDEX($DK376:$DX376,MAX($DY376:$EL376))-INDEX($DK376:$DX376,LARGE($DY376:$EL376,2)))</f>
        <v/>
      </c>
      <c r="P376" s="38" t="str">
        <f aca="false">IF(K376="","",IF(K376&gt;=0,"On/above target",IF(AND(N376&lt;&gt;"",N376&gt;=0.5),"Improving towards target",IF(AND(O376&lt;&gt;"",O376&lt;=-0.5),"Declining","Stable below target"))))</f>
        <v/>
      </c>
      <c r="Q376" s="39" t="n">
        <v>5</v>
      </c>
      <c r="R376" s="40" t="n">
        <f aca="false">IF(OR(Q376="",BU376=""),"",Q376/BU376*100)</f>
        <v>50</v>
      </c>
      <c r="S376" s="41" t="n">
        <f aca="false">IF(R376="","",IFERROR(MATCH(R376,INDEX(Boundaries!$B$2:$I$30,MATCH(CI376,Boundaries!$A$2:$A$30,0),0),1)-1,""))</f>
        <v>4</v>
      </c>
      <c r="T376" s="42" t="str">
        <f aca="false">IF(OR(S376="",$E376=""),"",S376-$E376)</f>
        <v/>
      </c>
      <c r="U376" s="39"/>
      <c r="V376" s="40" t="str">
        <f aca="false">IF(OR(U376="",BV376=""),"",U376/BV376*100)</f>
        <v/>
      </c>
      <c r="W376" s="41" t="str">
        <f aca="false">IF(V376="","",IFERROR(MATCH(V376,INDEX(Boundaries!$B$2:$I$30,MATCH(CJ376,Boundaries!$A$2:$A$30,0),0),1)-1,""))</f>
        <v/>
      </c>
      <c r="X376" s="42" t="str">
        <f aca="false">IF(OR(W376="",$E376=""),"",W376-$E376)</f>
        <v/>
      </c>
      <c r="Y376" s="39"/>
      <c r="Z376" s="40" t="str">
        <f aca="false">IF(OR(Y376="",BW376=""),"",Y376/BW376*100)</f>
        <v/>
      </c>
      <c r="AA376" s="41" t="str">
        <f aca="false">IF(Z376="","",IFERROR(MATCH(Z376,INDEX(Boundaries!$B$2:$I$30,MATCH(CK376,Boundaries!$A$2:$A$30,0),0),1)-1,""))</f>
        <v/>
      </c>
      <c r="AB376" s="42" t="str">
        <f aca="false">IF(OR(AA376="",$E376=""),"",AA376-$E376)</f>
        <v/>
      </c>
      <c r="AC376" s="39"/>
      <c r="AD376" s="40" t="str">
        <f aca="false">IF(OR(AC376="",BX376=""),"",AC376/BX376*100)</f>
        <v/>
      </c>
      <c r="AE376" s="41" t="str">
        <f aca="false">IF(AD376="","",IFERROR(MATCH(AD376,INDEX(Boundaries!$B$2:$I$30,MATCH(CL376,Boundaries!$A$2:$A$30,0),0),1)-1,""))</f>
        <v/>
      </c>
      <c r="AF376" s="42" t="str">
        <f aca="false">IF(OR(AE376="",$E376=""),"",AE376-$E376)</f>
        <v/>
      </c>
      <c r="AG376" s="39"/>
      <c r="AH376" s="40" t="str">
        <f aca="false">IF(OR(AG376="",BY376=""),"",AG376/BY376*100)</f>
        <v/>
      </c>
      <c r="AI376" s="41" t="str">
        <f aca="false">IF(AH376="","",IFERROR(MATCH(AH376,INDEX(Boundaries!$B$2:$I$30,MATCH(CM376,Boundaries!$A$2:$A$30,0),0),1)-1,""))</f>
        <v/>
      </c>
      <c r="AJ376" s="42" t="str">
        <f aca="false">IF(OR(AI376="",$E376=""),"",AI376-$E376)</f>
        <v/>
      </c>
      <c r="AK376" s="39"/>
      <c r="AL376" s="40" t="str">
        <f aca="false">IF(OR(AK376="",BZ376=""),"",AK376/BZ376*100)</f>
        <v/>
      </c>
      <c r="AM376" s="41" t="str">
        <f aca="false">IF(AL376="","",IFERROR(MATCH(AL376,INDEX(Boundaries!$B$2:$I$30,MATCH(CN376,Boundaries!$A$2:$A$30,0),0),1)-1,""))</f>
        <v/>
      </c>
      <c r="AN376" s="42" t="str">
        <f aca="false">IF(OR(AM376="",$E376=""),"",AM376-$E376)</f>
        <v/>
      </c>
      <c r="AO376" s="39"/>
      <c r="AP376" s="40" t="str">
        <f aca="false">IF(OR(AO376="",CA376=""),"",AO376/CA376*100)</f>
        <v/>
      </c>
      <c r="AQ376" s="41" t="str">
        <f aca="false">IF(AP376="","",IFERROR(MATCH(AP376,INDEX(Boundaries!$B$2:$I$30,MATCH(CO376,Boundaries!$A$2:$A$30,0),0),1)-1,""))</f>
        <v/>
      </c>
      <c r="AR376" s="42" t="str">
        <f aca="false">IF(OR(AQ376="",$E376=""),"",AQ376-$E376)</f>
        <v/>
      </c>
      <c r="AS376" s="39"/>
      <c r="AT376" s="40" t="str">
        <f aca="false">IF(OR(AS376="",CB376=""),"",AS376/CB376*100)</f>
        <v/>
      </c>
      <c r="AU376" s="41" t="str">
        <f aca="false">IF(AT376="","",IFERROR(MATCH(AT376,INDEX(Boundaries!$B$2:$I$30,MATCH(CP376,Boundaries!$A$2:$A$30,0),0),1)-1,""))</f>
        <v/>
      </c>
      <c r="AV376" s="42" t="str">
        <f aca="false">IF(OR(AU376="",$E376=""),"",AU376-$E376)</f>
        <v/>
      </c>
      <c r="AW376" s="39"/>
      <c r="AX376" s="40" t="str">
        <f aca="false">IF(OR(AW376="",CC376=""),"",AW376/CC376*100)</f>
        <v/>
      </c>
      <c r="AY376" s="41" t="str">
        <f aca="false">IF(AX376="","",IFERROR(MATCH(AX376,INDEX(Boundaries!$B$2:$I$30,MATCH(CQ376,Boundaries!$A$2:$A$30,0),0),1)-1,""))</f>
        <v/>
      </c>
      <c r="AZ376" s="42" t="str">
        <f aca="false">IF(OR(AY376="",$E376=""),"",AY376-$E376)</f>
        <v/>
      </c>
      <c r="BA376" s="39"/>
      <c r="BB376" s="40" t="str">
        <f aca="false">IF(OR(BA376="",CD376=""),"",BA376/CD376*100)</f>
        <v/>
      </c>
      <c r="BC376" s="41" t="str">
        <f aca="false">IF(BB376="","",IFERROR(MATCH(BB376,INDEX(Boundaries!$B$2:$I$30,MATCH(CR376,Boundaries!$A$2:$A$30,0),0),1)-1,""))</f>
        <v/>
      </c>
      <c r="BD376" s="42" t="str">
        <f aca="false">IF(OR(BC376="",$E376=""),"",BC376-$E376)</f>
        <v/>
      </c>
      <c r="BE376" s="39"/>
      <c r="BF376" s="40" t="str">
        <f aca="false">IF(OR(BE376="",CE376=""),"",BE376/CE376*100)</f>
        <v/>
      </c>
      <c r="BG376" s="41" t="str">
        <f aca="false">IF(BF376="","",IFERROR(MATCH(BF376,INDEX(Boundaries!$B$2:$I$30,MATCH(CS376,Boundaries!$A$2:$A$30,0),0),1)-1,""))</f>
        <v/>
      </c>
      <c r="BH376" s="42" t="str">
        <f aca="false">IF(OR(BG376="",$E376=""),"",BG376-$E376)</f>
        <v/>
      </c>
      <c r="BI376" s="39"/>
      <c r="BJ376" s="40" t="str">
        <f aca="false">IF(OR(BI376="",CF376=""),"",BI376/CF376*100)</f>
        <v/>
      </c>
      <c r="BK376" s="41" t="str">
        <f aca="false">IF(BJ376="","",IFERROR(MATCH(BJ376,INDEX(Boundaries!$B$2:$I$30,MATCH(CT376,Boundaries!$A$2:$A$30,0),0),1)-1,""))</f>
        <v/>
      </c>
      <c r="BL376" s="42" t="str">
        <f aca="false">IF(OR(BK376="",$E376=""),"",BK376-$E376)</f>
        <v/>
      </c>
      <c r="BM376" s="39"/>
      <c r="BN376" s="40" t="str">
        <f aca="false">IF(OR(BM376="",CG376=""),"",BM376/CG376*100)</f>
        <v/>
      </c>
      <c r="BO376" s="41" t="str">
        <f aca="false">IF(BN376="","",IFERROR(MATCH(BN376,INDEX(Boundaries!$B$2:$I$30,MATCH(CU376,Boundaries!$A$2:$A$30,0),0),1)-1,""))</f>
        <v/>
      </c>
      <c r="BP376" s="42" t="str">
        <f aca="false">IF(OR(BO376="",$E376=""),"",BO376-$E376)</f>
        <v/>
      </c>
      <c r="BQ376" s="39"/>
      <c r="BR376" s="40" t="str">
        <f aca="false">IF(OR(BQ376="",CH376=""),"",BQ376/CH376*100)</f>
        <v/>
      </c>
      <c r="BS376" s="41" t="str">
        <f aca="false">IF(BR376="","",IFERROR(MATCH(BR376,INDEX(Boundaries!$B$2:$I$30,MATCH(CV376,Boundaries!$A$2:$A$30,0),0),1)-1,""))</f>
        <v/>
      </c>
      <c r="BT376" s="42" t="str">
        <f aca="false">IF(OR(BS376="",$E376=""),"",BS376-$E376)</f>
        <v/>
      </c>
      <c r="BU376" s="28" t="n">
        <f aca="false">IFERROR(INDEX(Assessments!$H$2:$H$600,MATCH($H376&amp;"|"&amp;$I376&amp;"|"&amp;$J376&amp;"|"&amp;1,Assessments!$A$2:$A$600,0)),"")</f>
        <v>10</v>
      </c>
      <c r="BV376" s="28" t="n">
        <f aca="false">IFERROR(INDEX(Assessments!$H$2:$H$600,MATCH($H376&amp;"|"&amp;$I376&amp;"|"&amp;$J376&amp;"|"&amp;2,Assessments!$A$2:$A$600,0)),"")</f>
        <v>24</v>
      </c>
      <c r="BW376" s="28" t="n">
        <f aca="false">IFERROR(INDEX(Assessments!$H$2:$H$600,MATCH($H376&amp;"|"&amp;$I376&amp;"|"&amp;$J376&amp;"|"&amp;3,Assessments!$A$2:$A$600,0)),"")</f>
        <v>15</v>
      </c>
      <c r="BX376" s="28" t="n">
        <f aca="false">IFERROR(INDEX(Assessments!$H$2:$H$600,MATCH($H376&amp;"|"&amp;$I376&amp;"|"&amp;$J376&amp;"|"&amp;4,Assessments!$A$2:$A$600,0)),"")</f>
        <v>24</v>
      </c>
      <c r="BY376" s="28" t="n">
        <f aca="false">IFERROR(INDEX(Assessments!$H$2:$H$600,MATCH($H376&amp;"|"&amp;$I376&amp;"|"&amp;$J376&amp;"|"&amp;5,Assessments!$A$2:$A$600,0)),"")</f>
        <v>30</v>
      </c>
      <c r="BZ376" s="28" t="str">
        <f aca="false">IFERROR(INDEX(Assessments!$H$2:$H$600,MATCH($H376&amp;"|"&amp;$I376&amp;"|"&amp;$J376&amp;"|"&amp;6,Assessments!$A$2:$A$600,0)),"")</f>
        <v/>
      </c>
      <c r="CA376" s="28" t="str">
        <f aca="false">IFERROR(INDEX(Assessments!$H$2:$H$600,MATCH($H376&amp;"|"&amp;$I376&amp;"|"&amp;$J376&amp;"|"&amp;7,Assessments!$A$2:$A$600,0)),"")</f>
        <v/>
      </c>
      <c r="CB376" s="28" t="str">
        <f aca="false">IFERROR(INDEX(Assessments!$H$2:$H$600,MATCH($H376&amp;"|"&amp;$I376&amp;"|"&amp;$J376&amp;"|"&amp;8,Assessments!$A$2:$A$600,0)),"")</f>
        <v/>
      </c>
      <c r="CC376" s="28" t="str">
        <f aca="false">IFERROR(INDEX(Assessments!$H$2:$H$600,MATCH($H376&amp;"|"&amp;$I376&amp;"|"&amp;$J376&amp;"|"&amp;9,Assessments!$A$2:$A$600,0)),"")</f>
        <v/>
      </c>
      <c r="CD376" s="28" t="str">
        <f aca="false">IFERROR(INDEX(Assessments!$H$2:$H$600,MATCH($H376&amp;"|"&amp;$I376&amp;"|"&amp;$J376&amp;"|"&amp;10,Assessments!$A$2:$A$600,0)),"")</f>
        <v/>
      </c>
      <c r="CE376" s="28" t="str">
        <f aca="false">IFERROR(INDEX(Assessments!$H$2:$H$600,MATCH($H376&amp;"|"&amp;$I376&amp;"|"&amp;$J376&amp;"|"&amp;11,Assessments!$A$2:$A$600,0)),"")</f>
        <v/>
      </c>
      <c r="CF376" s="28" t="str">
        <f aca="false">IFERROR(INDEX(Assessments!$H$2:$H$600,MATCH($H376&amp;"|"&amp;$I376&amp;"|"&amp;$J376&amp;"|"&amp;12,Assessments!$A$2:$A$600,0)),"")</f>
        <v/>
      </c>
      <c r="CG376" s="28" t="str">
        <f aca="false">IFERROR(INDEX(Assessments!$H$2:$H$600,MATCH($H376&amp;"|"&amp;$I376&amp;"|"&amp;$J376&amp;"|"&amp;13,Assessments!$A$2:$A$600,0)),"")</f>
        <v/>
      </c>
      <c r="CH376" s="28" t="str">
        <f aca="false">IFERROR(INDEX(Assessments!$H$2:$H$600,MATCH($H376&amp;"|"&amp;$I376&amp;"|"&amp;$J376&amp;"|"&amp;14,Assessments!$A$2:$A$600,0)),"")</f>
        <v/>
      </c>
      <c r="CI376" s="28" t="str">
        <f aca="false">IFERROR(INDEX(Assessments!$I$2:$I$600,MATCH($H376&amp;"|"&amp;$I376&amp;"|"&amp;$J376&amp;"|"&amp;1,Assessments!$A$2:$A$600,0)),"")</f>
        <v>Hist P2 partial</v>
      </c>
      <c r="CJ376" s="28" t="str">
        <f aca="false">IFERROR(INDEX(Assessments!$I$2:$I$600,MATCH($H376&amp;"|"&amp;$I376&amp;"|"&amp;$J376&amp;"|"&amp;2,Assessments!$A$2:$A$600,0)),"")</f>
        <v>Hist P2 partial</v>
      </c>
      <c r="CK376" s="28" t="str">
        <f aca="false">IFERROR(INDEX(Assessments!$I$2:$I$600,MATCH($H376&amp;"|"&amp;$I376&amp;"|"&amp;$J376&amp;"|"&amp;3,Assessments!$A$2:$A$600,0)),"")</f>
        <v>Hist P2 partial</v>
      </c>
      <c r="CL376" s="28" t="str">
        <f aca="false">IFERROR(INDEX(Assessments!$I$2:$I$600,MATCH($H376&amp;"|"&amp;$I376&amp;"|"&amp;$J376&amp;"|"&amp;4,Assessments!$A$2:$A$600,0)),"")</f>
        <v>Hist Paper 1</v>
      </c>
      <c r="CM376" s="28" t="str">
        <f aca="false">IFERROR(INDEX(Assessments!$I$2:$I$600,MATCH($H376&amp;"|"&amp;$I376&amp;"|"&amp;$J376&amp;"|"&amp;5,Assessments!$A$2:$A$600,0)),"")</f>
        <v>Hist P2 full</v>
      </c>
      <c r="CN376" s="28" t="str">
        <f aca="false">IFERROR(INDEX(Assessments!$I$2:$I$600,MATCH($H376&amp;"|"&amp;$I376&amp;"|"&amp;$J376&amp;"|"&amp;6,Assessments!$A$2:$A$600,0)),"")</f>
        <v/>
      </c>
      <c r="CO376" s="28" t="str">
        <f aca="false">IFERROR(INDEX(Assessments!$I$2:$I$600,MATCH($H376&amp;"|"&amp;$I376&amp;"|"&amp;$J376&amp;"|"&amp;7,Assessments!$A$2:$A$600,0)),"")</f>
        <v/>
      </c>
      <c r="CP376" s="28" t="str">
        <f aca="false">IFERROR(INDEX(Assessments!$I$2:$I$600,MATCH($H376&amp;"|"&amp;$I376&amp;"|"&amp;$J376&amp;"|"&amp;8,Assessments!$A$2:$A$600,0)),"")</f>
        <v/>
      </c>
      <c r="CQ376" s="28" t="str">
        <f aca="false">IFERROR(INDEX(Assessments!$I$2:$I$600,MATCH($H376&amp;"|"&amp;$I376&amp;"|"&amp;$J376&amp;"|"&amp;9,Assessments!$A$2:$A$600,0)),"")</f>
        <v/>
      </c>
      <c r="CR376" s="28" t="str">
        <f aca="false">IFERROR(INDEX(Assessments!$I$2:$I$600,MATCH($H376&amp;"|"&amp;$I376&amp;"|"&amp;$J376&amp;"|"&amp;10,Assessments!$A$2:$A$600,0)),"")</f>
        <v/>
      </c>
      <c r="CS376" s="28" t="str">
        <f aca="false">IFERROR(INDEX(Assessments!$I$2:$I$600,MATCH($H376&amp;"|"&amp;$I376&amp;"|"&amp;$J376&amp;"|"&amp;11,Assessments!$A$2:$A$600,0)),"")</f>
        <v/>
      </c>
      <c r="CT376" s="28" t="str">
        <f aca="false">IFERROR(INDEX(Assessments!$I$2:$I$600,MATCH($H376&amp;"|"&amp;$I376&amp;"|"&amp;$J376&amp;"|"&amp;12,Assessments!$A$2:$A$600,0)),"")</f>
        <v/>
      </c>
      <c r="CU376" s="28" t="str">
        <f aca="false">IFERROR(INDEX(Assessments!$I$2:$I$600,MATCH($H376&amp;"|"&amp;$I376&amp;"|"&amp;$J376&amp;"|"&amp;13,Assessments!$A$2:$A$600,0)),"")</f>
        <v/>
      </c>
      <c r="CV376" s="28" t="str">
        <f aca="false">IFERROR(INDEX(Assessments!$I$2:$I$600,MATCH($H376&amp;"|"&amp;$I376&amp;"|"&amp;$J376&amp;"|"&amp;14,Assessments!$A$2:$A$600,0)),"")</f>
        <v/>
      </c>
      <c r="CW376" s="28" t="n">
        <f aca="false">IFERROR(INDEX(Assessments!$J$2:$J$600,MATCH($H376&amp;"|"&amp;$I376&amp;"|"&amp;$J376&amp;"|"&amp;1,Assessments!$A$2:$A$600,0)),0)</f>
        <v>1</v>
      </c>
      <c r="CX376" s="28" t="n">
        <f aca="false">IFERROR(INDEX(Assessments!$J$2:$J$600,MATCH($H376&amp;"|"&amp;$I376&amp;"|"&amp;$J376&amp;"|"&amp;2,Assessments!$A$2:$A$600,0)),0)</f>
        <v>1</v>
      </c>
      <c r="CY376" s="28" t="n">
        <f aca="false">IFERROR(INDEX(Assessments!$J$2:$J$600,MATCH($H376&amp;"|"&amp;$I376&amp;"|"&amp;$J376&amp;"|"&amp;3,Assessments!$A$2:$A$600,0)),0)</f>
        <v>1</v>
      </c>
      <c r="CZ376" s="28" t="n">
        <f aca="false">IFERROR(INDEX(Assessments!$J$2:$J$600,MATCH($H376&amp;"|"&amp;$I376&amp;"|"&amp;$J376&amp;"|"&amp;4,Assessments!$A$2:$A$600,0)),0)</f>
        <v>2</v>
      </c>
      <c r="DA376" s="28" t="n">
        <f aca="false">IFERROR(INDEX(Assessments!$J$2:$J$600,MATCH($H376&amp;"|"&amp;$I376&amp;"|"&amp;$J376&amp;"|"&amp;5,Assessments!$A$2:$A$600,0)),0)</f>
        <v>2</v>
      </c>
      <c r="DB376" s="28" t="n">
        <f aca="false">IFERROR(INDEX(Assessments!$J$2:$J$600,MATCH($H376&amp;"|"&amp;$I376&amp;"|"&amp;$J376&amp;"|"&amp;6,Assessments!$A$2:$A$600,0)),0)</f>
        <v>0</v>
      </c>
      <c r="DC376" s="28" t="n">
        <f aca="false">IFERROR(INDEX(Assessments!$J$2:$J$600,MATCH($H376&amp;"|"&amp;$I376&amp;"|"&amp;$J376&amp;"|"&amp;7,Assessments!$A$2:$A$600,0)),0)</f>
        <v>0</v>
      </c>
      <c r="DD376" s="28" t="n">
        <f aca="false">IFERROR(INDEX(Assessments!$J$2:$J$600,MATCH($H376&amp;"|"&amp;$I376&amp;"|"&amp;$J376&amp;"|"&amp;8,Assessments!$A$2:$A$600,0)),0)</f>
        <v>0</v>
      </c>
      <c r="DE376" s="28" t="n">
        <f aca="false">IFERROR(INDEX(Assessments!$J$2:$J$600,MATCH($H376&amp;"|"&amp;$I376&amp;"|"&amp;$J376&amp;"|"&amp;9,Assessments!$A$2:$A$600,0)),0)</f>
        <v>0</v>
      </c>
      <c r="DF376" s="28" t="n">
        <f aca="false">IFERROR(INDEX(Assessments!$J$2:$J$600,MATCH($H376&amp;"|"&amp;$I376&amp;"|"&amp;$J376&amp;"|"&amp;10,Assessments!$A$2:$A$600,0)),0)</f>
        <v>0</v>
      </c>
      <c r="DG376" s="28" t="n">
        <f aca="false">IFERROR(INDEX(Assessments!$J$2:$J$600,MATCH($H376&amp;"|"&amp;$I376&amp;"|"&amp;$J376&amp;"|"&amp;11,Assessments!$A$2:$A$600,0)),0)</f>
        <v>0</v>
      </c>
      <c r="DH376" s="28" t="n">
        <f aca="false">IFERROR(INDEX(Assessments!$J$2:$J$600,MATCH($H376&amp;"|"&amp;$I376&amp;"|"&amp;$J376&amp;"|"&amp;12,Assessments!$A$2:$A$600,0)),0)</f>
        <v>0</v>
      </c>
      <c r="DI376" s="28" t="n">
        <f aca="false">IFERROR(INDEX(Assessments!$J$2:$J$600,MATCH($H376&amp;"|"&amp;$I376&amp;"|"&amp;$J376&amp;"|"&amp;13,Assessments!$A$2:$A$600,0)),0)</f>
        <v>0</v>
      </c>
      <c r="DJ376" s="28" t="n">
        <f aca="false">IFERROR(INDEX(Assessments!$J$2:$J$600,MATCH($H376&amp;"|"&amp;$I376&amp;"|"&amp;$J376&amp;"|"&amp;14,Assessments!$A$2:$A$600,0)),0)</f>
        <v>0</v>
      </c>
      <c r="DK376" s="28" t="n">
        <f aca="false">S376</f>
        <v>4</v>
      </c>
      <c r="DL376" s="28" t="str">
        <f aca="false">W376</f>
        <v/>
      </c>
      <c r="DM376" s="28" t="str">
        <f aca="false">AA376</f>
        <v/>
      </c>
      <c r="DN376" s="28" t="str">
        <f aca="false">AE376</f>
        <v/>
      </c>
      <c r="DO376" s="28" t="str">
        <f aca="false">AI376</f>
        <v/>
      </c>
      <c r="DP376" s="28" t="str">
        <f aca="false">AM376</f>
        <v/>
      </c>
      <c r="DQ376" s="28" t="str">
        <f aca="false">AQ376</f>
        <v/>
      </c>
      <c r="DR376" s="28" t="str">
        <f aca="false">AU376</f>
        <v/>
      </c>
      <c r="DS376" s="28" t="str">
        <f aca="false">AY376</f>
        <v/>
      </c>
      <c r="DT376" s="28" t="str">
        <f aca="false">BC376</f>
        <v/>
      </c>
      <c r="DU376" s="28" t="str">
        <f aca="false">BG376</f>
        <v/>
      </c>
      <c r="DV376" s="28" t="str">
        <f aca="false">BK376</f>
        <v/>
      </c>
      <c r="DW376" s="28" t="str">
        <f aca="false">BO376</f>
        <v/>
      </c>
      <c r="DX376" s="28" t="str">
        <f aca="false">BS376</f>
        <v/>
      </c>
      <c r="DY376" s="28" t="n">
        <f aca="false">IF(ISNUMBER(S376),1,"")</f>
        <v>1</v>
      </c>
      <c r="DZ376" s="28" t="str">
        <f aca="false">IF(ISNUMBER(W376),2,"")</f>
        <v/>
      </c>
      <c r="EA376" s="28" t="str">
        <f aca="false">IF(ISNUMBER(AA376),3,"")</f>
        <v/>
      </c>
      <c r="EB376" s="28" t="str">
        <f aca="false">IF(ISNUMBER(AE376),4,"")</f>
        <v/>
      </c>
      <c r="EC376" s="28" t="str">
        <f aca="false">IF(ISNUMBER(AI376),5,"")</f>
        <v/>
      </c>
      <c r="ED376" s="28" t="str">
        <f aca="false">IF(ISNUMBER(AM376),6,"")</f>
        <v/>
      </c>
      <c r="EE376" s="28" t="str">
        <f aca="false">IF(ISNUMBER(AQ376),7,"")</f>
        <v/>
      </c>
      <c r="EF376" s="28" t="str">
        <f aca="false">IF(ISNUMBER(AU376),8,"")</f>
        <v/>
      </c>
      <c r="EG376" s="28" t="str">
        <f aca="false">IF(ISNUMBER(AY376),9,"")</f>
        <v/>
      </c>
      <c r="EH376" s="28" t="str">
        <f aca="false">IF(ISNUMBER(BC376),10,"")</f>
        <v/>
      </c>
      <c r="EI376" s="28" t="str">
        <f aca="false">IF(ISNUMBER(BG376),11,"")</f>
        <v/>
      </c>
      <c r="EJ376" s="28" t="str">
        <f aca="false">IF(ISNUMBER(BK376),12,"")</f>
        <v/>
      </c>
      <c r="EK376" s="28" t="str">
        <f aca="false">IF(ISNUMBER(BO376),13,"")</f>
        <v/>
      </c>
      <c r="EL376" s="28" t="str">
        <f aca="false">IF(ISNUMBER(BS376),14,"")</f>
        <v/>
      </c>
      <c r="EM376" s="28" t="n">
        <f aca="false">IF(ISNUMBER(R376),R376*CW376,0)</f>
        <v>50</v>
      </c>
      <c r="EN376" s="28" t="n">
        <f aca="false">IF(ISNUMBER(V376),V376*CX376,0)</f>
        <v>0</v>
      </c>
      <c r="EO376" s="28" t="n">
        <f aca="false">IF(ISNUMBER(Z376),Z376*CY376,0)</f>
        <v>0</v>
      </c>
      <c r="EP376" s="28" t="n">
        <f aca="false">IF(ISNUMBER(AD376),AD376*CZ376,0)</f>
        <v>0</v>
      </c>
      <c r="EQ376" s="28" t="n">
        <f aca="false">IF(ISNUMBER(AH376),AH376*DA376,0)</f>
        <v>0</v>
      </c>
      <c r="ER376" s="28" t="n">
        <f aca="false">IF(ISNUMBER(AL376),AL376*DB376,0)</f>
        <v>0</v>
      </c>
      <c r="ES376" s="28" t="n">
        <f aca="false">IF(ISNUMBER(AP376),AP376*DC376,0)</f>
        <v>0</v>
      </c>
      <c r="ET376" s="28" t="n">
        <f aca="false">IF(ISNUMBER(AT376),AT376*DD376,0)</f>
        <v>0</v>
      </c>
      <c r="EU376" s="28" t="n">
        <f aca="false">IF(ISNUMBER(AX376),AX376*DE376,0)</f>
        <v>0</v>
      </c>
      <c r="EV376" s="28" t="n">
        <f aca="false">IF(ISNUMBER(BB376),BB376*DF376,0)</f>
        <v>0</v>
      </c>
      <c r="EW376" s="28" t="n">
        <f aca="false">IF(ISNUMBER(BF376),BF376*DG376,0)</f>
        <v>0</v>
      </c>
      <c r="EX376" s="28" t="n">
        <f aca="false">IF(ISNUMBER(BJ376),BJ376*DH376,0)</f>
        <v>0</v>
      </c>
      <c r="EY376" s="28" t="n">
        <f aca="false">IF(ISNUMBER(BN376),BN376*DI376,0)</f>
        <v>0</v>
      </c>
      <c r="EZ376" s="28" t="n">
        <f aca="false">IF(ISNUMBER(BR376),BR376*DJ376,0)</f>
        <v>0</v>
      </c>
      <c r="FA376" s="28" t="n">
        <f aca="false">IF(ISNUMBER(R376),CW376,0)</f>
        <v>1</v>
      </c>
      <c r="FB376" s="28" t="n">
        <f aca="false">IF(ISNUMBER(V376),CX376,0)</f>
        <v>0</v>
      </c>
      <c r="FC376" s="28" t="n">
        <f aca="false">IF(ISNUMBER(Z376),CY376,0)</f>
        <v>0</v>
      </c>
      <c r="FD376" s="28" t="n">
        <f aca="false">IF(ISNUMBER(AD376),CZ376,0)</f>
        <v>0</v>
      </c>
      <c r="FE376" s="28" t="n">
        <f aca="false">IF(ISNUMBER(AH376),DA376,0)</f>
        <v>0</v>
      </c>
      <c r="FF376" s="28" t="n">
        <f aca="false">IF(ISNUMBER(AL376),DB376,0)</f>
        <v>0</v>
      </c>
      <c r="FG376" s="28" t="n">
        <f aca="false">IF(ISNUMBER(AP376),DC376,0)</f>
        <v>0</v>
      </c>
      <c r="FH376" s="28" t="n">
        <f aca="false">IF(ISNUMBER(AT376),DD376,0)</f>
        <v>0</v>
      </c>
      <c r="FI376" s="28" t="n">
        <f aca="false">IF(ISNUMBER(AX376),DE376,0)</f>
        <v>0</v>
      </c>
      <c r="FJ376" s="28" t="n">
        <f aca="false">IF(ISNUMBER(BB376),DF376,0)</f>
        <v>0</v>
      </c>
      <c r="FK376" s="28" t="n">
        <f aca="false">IF(ISNUMBER(BF376),DG376,0)</f>
        <v>0</v>
      </c>
      <c r="FL376" s="28" t="n">
        <f aca="false">IF(ISNUMBER(BJ376),DH376,0)</f>
        <v>0</v>
      </c>
      <c r="FM376" s="28" t="n">
        <f aca="false">IF(ISNUMBER(BN376),DI376,0)</f>
        <v>0</v>
      </c>
      <c r="FN376" s="28" t="n">
        <f aca="false">IF(ISNUMBER(BR376),DJ376,0)</f>
        <v>0</v>
      </c>
      <c r="FO376" s="28" t="str">
        <f aca="false">IFERROR(INDEX(Lists!$G$2:$G$20,MATCH($I376&amp;"|"&amp;$J376,Lists!$F$2:$F$20,0)),"")</f>
        <v>Hist Overall SL</v>
      </c>
    </row>
    <row r="377" customFormat="false" ht="19.5" hidden="false" customHeight="true" outlineLevel="0" collapsed="false">
      <c r="A377" s="29" t="s">
        <v>678</v>
      </c>
      <c r="B377" s="29" t="s">
        <v>679</v>
      </c>
      <c r="C377" s="30" t="s">
        <v>152</v>
      </c>
      <c r="D377" s="30" t="s">
        <v>422</v>
      </c>
      <c r="E377" s="31"/>
      <c r="F377" s="30"/>
      <c r="G377" s="30"/>
      <c r="H377" s="32" t="s">
        <v>428</v>
      </c>
      <c r="I377" s="33" t="s">
        <v>416</v>
      </c>
      <c r="J377" s="32" t="s">
        <v>223</v>
      </c>
      <c r="K377" s="34" t="str">
        <f aca="false">IF(OR(M377="",$E377=""),"",M377-$E377)</f>
        <v/>
      </c>
      <c r="L377" s="35" t="n">
        <f aca="false">IF(SUM(FA377:FN377)=0,"",SUM(EM377:EZ377)/SUM(FA377:FN377))</f>
        <v>60</v>
      </c>
      <c r="M377" s="36" t="n">
        <f aca="false">IF(OR(L377="",FO377=""),"",IFERROR(MATCH(L377,INDEX(Boundaries!$B$2:$I$30,MATCH(FO377,Boundaries!$A$2:$A$30,0),0),1)-1,""))</f>
        <v>5</v>
      </c>
      <c r="N377" s="37" t="str">
        <f aca="false">IF(COUNT($DY377:$EL377)&lt;2,"",INDEX($DK377:$DX377,MAX($DY377:$EL377))-INDEX($DK377:$DX377,MIN($DY377:$EL377)))</f>
        <v/>
      </c>
      <c r="O377" s="37" t="str">
        <f aca="false">IF(COUNT($DY377:$EL377)&lt;2,"",INDEX($DK377:$DX377,MAX($DY377:$EL377))-INDEX($DK377:$DX377,LARGE($DY377:$EL377,2)))</f>
        <v/>
      </c>
      <c r="P377" s="38" t="str">
        <f aca="false">IF(K377="","",IF(K377&gt;=0,"On/above target",IF(AND(N377&lt;&gt;"",N377&gt;=0.5),"Improving towards target",IF(AND(O377&lt;&gt;"",O377&lt;=-0.5),"Declining","Stable below target"))))</f>
        <v/>
      </c>
      <c r="Q377" s="39" t="n">
        <v>6</v>
      </c>
      <c r="R377" s="40" t="n">
        <f aca="false">IF(OR(Q377="",BU377=""),"",Q377/BU377*100)</f>
        <v>60</v>
      </c>
      <c r="S377" s="41" t="n">
        <f aca="false">IF(R377="","",IFERROR(MATCH(R377,INDEX(Boundaries!$B$2:$I$30,MATCH(CI377,Boundaries!$A$2:$A$30,0),0),1)-1,""))</f>
        <v>5</v>
      </c>
      <c r="T377" s="42" t="str">
        <f aca="false">IF(OR(S377="",$E377=""),"",S377-$E377)</f>
        <v/>
      </c>
      <c r="U377" s="39"/>
      <c r="V377" s="40" t="str">
        <f aca="false">IF(OR(U377="",BV377=""),"",U377/BV377*100)</f>
        <v/>
      </c>
      <c r="W377" s="41" t="str">
        <f aca="false">IF(V377="","",IFERROR(MATCH(V377,INDEX(Boundaries!$B$2:$I$30,MATCH(CJ377,Boundaries!$A$2:$A$30,0),0),1)-1,""))</f>
        <v/>
      </c>
      <c r="X377" s="42" t="str">
        <f aca="false">IF(OR(W377="",$E377=""),"",W377-$E377)</f>
        <v/>
      </c>
      <c r="Y377" s="39"/>
      <c r="Z377" s="40" t="str">
        <f aca="false">IF(OR(Y377="",BW377=""),"",Y377/BW377*100)</f>
        <v/>
      </c>
      <c r="AA377" s="41" t="str">
        <f aca="false">IF(Z377="","",IFERROR(MATCH(Z377,INDEX(Boundaries!$B$2:$I$30,MATCH(CK377,Boundaries!$A$2:$A$30,0),0),1)-1,""))</f>
        <v/>
      </c>
      <c r="AB377" s="42" t="str">
        <f aca="false">IF(OR(AA377="",$E377=""),"",AA377-$E377)</f>
        <v/>
      </c>
      <c r="AC377" s="39"/>
      <c r="AD377" s="40" t="str">
        <f aca="false">IF(OR(AC377="",BX377=""),"",AC377/BX377*100)</f>
        <v/>
      </c>
      <c r="AE377" s="41" t="str">
        <f aca="false">IF(AD377="","",IFERROR(MATCH(AD377,INDEX(Boundaries!$B$2:$I$30,MATCH(CL377,Boundaries!$A$2:$A$30,0),0),1)-1,""))</f>
        <v/>
      </c>
      <c r="AF377" s="42" t="str">
        <f aca="false">IF(OR(AE377="",$E377=""),"",AE377-$E377)</f>
        <v/>
      </c>
      <c r="AG377" s="39"/>
      <c r="AH377" s="40" t="str">
        <f aca="false">IF(OR(AG377="",BY377=""),"",AG377/BY377*100)</f>
        <v/>
      </c>
      <c r="AI377" s="41" t="str">
        <f aca="false">IF(AH377="","",IFERROR(MATCH(AH377,INDEX(Boundaries!$B$2:$I$30,MATCH(CM377,Boundaries!$A$2:$A$30,0),0),1)-1,""))</f>
        <v/>
      </c>
      <c r="AJ377" s="42" t="str">
        <f aca="false">IF(OR(AI377="",$E377=""),"",AI377-$E377)</f>
        <v/>
      </c>
      <c r="AK377" s="39"/>
      <c r="AL377" s="40" t="str">
        <f aca="false">IF(OR(AK377="",BZ377=""),"",AK377/BZ377*100)</f>
        <v/>
      </c>
      <c r="AM377" s="41" t="str">
        <f aca="false">IF(AL377="","",IFERROR(MATCH(AL377,INDEX(Boundaries!$B$2:$I$30,MATCH(CN377,Boundaries!$A$2:$A$30,0),0),1)-1,""))</f>
        <v/>
      </c>
      <c r="AN377" s="42" t="str">
        <f aca="false">IF(OR(AM377="",$E377=""),"",AM377-$E377)</f>
        <v/>
      </c>
      <c r="AO377" s="39"/>
      <c r="AP377" s="40" t="str">
        <f aca="false">IF(OR(AO377="",CA377=""),"",AO377/CA377*100)</f>
        <v/>
      </c>
      <c r="AQ377" s="41" t="str">
        <f aca="false">IF(AP377="","",IFERROR(MATCH(AP377,INDEX(Boundaries!$B$2:$I$30,MATCH(CO377,Boundaries!$A$2:$A$30,0),0),1)-1,""))</f>
        <v/>
      </c>
      <c r="AR377" s="42" t="str">
        <f aca="false">IF(OR(AQ377="",$E377=""),"",AQ377-$E377)</f>
        <v/>
      </c>
      <c r="AS377" s="39"/>
      <c r="AT377" s="40" t="str">
        <f aca="false">IF(OR(AS377="",CB377=""),"",AS377/CB377*100)</f>
        <v/>
      </c>
      <c r="AU377" s="41" t="str">
        <f aca="false">IF(AT377="","",IFERROR(MATCH(AT377,INDEX(Boundaries!$B$2:$I$30,MATCH(CP377,Boundaries!$A$2:$A$30,0),0),1)-1,""))</f>
        <v/>
      </c>
      <c r="AV377" s="42" t="str">
        <f aca="false">IF(OR(AU377="",$E377=""),"",AU377-$E377)</f>
        <v/>
      </c>
      <c r="AW377" s="39"/>
      <c r="AX377" s="40" t="str">
        <f aca="false">IF(OR(AW377="",CC377=""),"",AW377/CC377*100)</f>
        <v/>
      </c>
      <c r="AY377" s="41" t="str">
        <f aca="false">IF(AX377="","",IFERROR(MATCH(AX377,INDEX(Boundaries!$B$2:$I$30,MATCH(CQ377,Boundaries!$A$2:$A$30,0),0),1)-1,""))</f>
        <v/>
      </c>
      <c r="AZ377" s="42" t="str">
        <f aca="false">IF(OR(AY377="",$E377=""),"",AY377-$E377)</f>
        <v/>
      </c>
      <c r="BA377" s="39"/>
      <c r="BB377" s="40" t="str">
        <f aca="false">IF(OR(BA377="",CD377=""),"",BA377/CD377*100)</f>
        <v/>
      </c>
      <c r="BC377" s="41" t="str">
        <f aca="false">IF(BB377="","",IFERROR(MATCH(BB377,INDEX(Boundaries!$B$2:$I$30,MATCH(CR377,Boundaries!$A$2:$A$30,0),0),1)-1,""))</f>
        <v/>
      </c>
      <c r="BD377" s="42" t="str">
        <f aca="false">IF(OR(BC377="",$E377=""),"",BC377-$E377)</f>
        <v/>
      </c>
      <c r="BE377" s="39"/>
      <c r="BF377" s="40" t="str">
        <f aca="false">IF(OR(BE377="",CE377=""),"",BE377/CE377*100)</f>
        <v/>
      </c>
      <c r="BG377" s="41" t="str">
        <f aca="false">IF(BF377="","",IFERROR(MATCH(BF377,INDEX(Boundaries!$B$2:$I$30,MATCH(CS377,Boundaries!$A$2:$A$30,0),0),1)-1,""))</f>
        <v/>
      </c>
      <c r="BH377" s="42" t="str">
        <f aca="false">IF(OR(BG377="",$E377=""),"",BG377-$E377)</f>
        <v/>
      </c>
      <c r="BI377" s="39"/>
      <c r="BJ377" s="40" t="str">
        <f aca="false">IF(OR(BI377="",CF377=""),"",BI377/CF377*100)</f>
        <v/>
      </c>
      <c r="BK377" s="41" t="str">
        <f aca="false">IF(BJ377="","",IFERROR(MATCH(BJ377,INDEX(Boundaries!$B$2:$I$30,MATCH(CT377,Boundaries!$A$2:$A$30,0),0),1)-1,""))</f>
        <v/>
      </c>
      <c r="BL377" s="42" t="str">
        <f aca="false">IF(OR(BK377="",$E377=""),"",BK377-$E377)</f>
        <v/>
      </c>
      <c r="BM377" s="39"/>
      <c r="BN377" s="40" t="str">
        <f aca="false">IF(OR(BM377="",CG377=""),"",BM377/CG377*100)</f>
        <v/>
      </c>
      <c r="BO377" s="41" t="str">
        <f aca="false">IF(BN377="","",IFERROR(MATCH(BN377,INDEX(Boundaries!$B$2:$I$30,MATCH(CU377,Boundaries!$A$2:$A$30,0),0),1)-1,""))</f>
        <v/>
      </c>
      <c r="BP377" s="42" t="str">
        <f aca="false">IF(OR(BO377="",$E377=""),"",BO377-$E377)</f>
        <v/>
      </c>
      <c r="BQ377" s="39"/>
      <c r="BR377" s="40" t="str">
        <f aca="false">IF(OR(BQ377="",CH377=""),"",BQ377/CH377*100)</f>
        <v/>
      </c>
      <c r="BS377" s="41" t="str">
        <f aca="false">IF(BR377="","",IFERROR(MATCH(BR377,INDEX(Boundaries!$B$2:$I$30,MATCH(CV377,Boundaries!$A$2:$A$30,0),0),1)-1,""))</f>
        <v/>
      </c>
      <c r="BT377" s="42" t="str">
        <f aca="false">IF(OR(BS377="",$E377=""),"",BS377-$E377)</f>
        <v/>
      </c>
      <c r="BU377" s="28" t="n">
        <f aca="false">IFERROR(INDEX(Assessments!$H$2:$H$600,MATCH($H377&amp;"|"&amp;$I377&amp;"|"&amp;$J377&amp;"|"&amp;1,Assessments!$A$2:$A$600,0)),"")</f>
        <v>10</v>
      </c>
      <c r="BV377" s="28" t="n">
        <f aca="false">IFERROR(INDEX(Assessments!$H$2:$H$600,MATCH($H377&amp;"|"&amp;$I377&amp;"|"&amp;$J377&amp;"|"&amp;2,Assessments!$A$2:$A$600,0)),"")</f>
        <v>24</v>
      </c>
      <c r="BW377" s="28" t="n">
        <f aca="false">IFERROR(INDEX(Assessments!$H$2:$H$600,MATCH($H377&amp;"|"&amp;$I377&amp;"|"&amp;$J377&amp;"|"&amp;3,Assessments!$A$2:$A$600,0)),"")</f>
        <v>15</v>
      </c>
      <c r="BX377" s="28" t="n">
        <f aca="false">IFERROR(INDEX(Assessments!$H$2:$H$600,MATCH($H377&amp;"|"&amp;$I377&amp;"|"&amp;$J377&amp;"|"&amp;4,Assessments!$A$2:$A$600,0)),"")</f>
        <v>24</v>
      </c>
      <c r="BY377" s="28" t="n">
        <f aca="false">IFERROR(INDEX(Assessments!$H$2:$H$600,MATCH($H377&amp;"|"&amp;$I377&amp;"|"&amp;$J377&amp;"|"&amp;5,Assessments!$A$2:$A$600,0)),"")</f>
        <v>30</v>
      </c>
      <c r="BZ377" s="28" t="str">
        <f aca="false">IFERROR(INDEX(Assessments!$H$2:$H$600,MATCH($H377&amp;"|"&amp;$I377&amp;"|"&amp;$J377&amp;"|"&amp;6,Assessments!$A$2:$A$600,0)),"")</f>
        <v/>
      </c>
      <c r="CA377" s="28" t="str">
        <f aca="false">IFERROR(INDEX(Assessments!$H$2:$H$600,MATCH($H377&amp;"|"&amp;$I377&amp;"|"&amp;$J377&amp;"|"&amp;7,Assessments!$A$2:$A$600,0)),"")</f>
        <v/>
      </c>
      <c r="CB377" s="28" t="str">
        <f aca="false">IFERROR(INDEX(Assessments!$H$2:$H$600,MATCH($H377&amp;"|"&amp;$I377&amp;"|"&amp;$J377&amp;"|"&amp;8,Assessments!$A$2:$A$600,0)),"")</f>
        <v/>
      </c>
      <c r="CC377" s="28" t="str">
        <f aca="false">IFERROR(INDEX(Assessments!$H$2:$H$600,MATCH($H377&amp;"|"&amp;$I377&amp;"|"&amp;$J377&amp;"|"&amp;9,Assessments!$A$2:$A$600,0)),"")</f>
        <v/>
      </c>
      <c r="CD377" s="28" t="str">
        <f aca="false">IFERROR(INDEX(Assessments!$H$2:$H$600,MATCH($H377&amp;"|"&amp;$I377&amp;"|"&amp;$J377&amp;"|"&amp;10,Assessments!$A$2:$A$600,0)),"")</f>
        <v/>
      </c>
      <c r="CE377" s="28" t="str">
        <f aca="false">IFERROR(INDEX(Assessments!$H$2:$H$600,MATCH($H377&amp;"|"&amp;$I377&amp;"|"&amp;$J377&amp;"|"&amp;11,Assessments!$A$2:$A$600,0)),"")</f>
        <v/>
      </c>
      <c r="CF377" s="28" t="str">
        <f aca="false">IFERROR(INDEX(Assessments!$H$2:$H$600,MATCH($H377&amp;"|"&amp;$I377&amp;"|"&amp;$J377&amp;"|"&amp;12,Assessments!$A$2:$A$600,0)),"")</f>
        <v/>
      </c>
      <c r="CG377" s="28" t="str">
        <f aca="false">IFERROR(INDEX(Assessments!$H$2:$H$600,MATCH($H377&amp;"|"&amp;$I377&amp;"|"&amp;$J377&amp;"|"&amp;13,Assessments!$A$2:$A$600,0)),"")</f>
        <v/>
      </c>
      <c r="CH377" s="28" t="str">
        <f aca="false">IFERROR(INDEX(Assessments!$H$2:$H$600,MATCH($H377&amp;"|"&amp;$I377&amp;"|"&amp;$J377&amp;"|"&amp;14,Assessments!$A$2:$A$600,0)),"")</f>
        <v/>
      </c>
      <c r="CI377" s="28" t="str">
        <f aca="false">IFERROR(INDEX(Assessments!$I$2:$I$600,MATCH($H377&amp;"|"&amp;$I377&amp;"|"&amp;$J377&amp;"|"&amp;1,Assessments!$A$2:$A$600,0)),"")</f>
        <v>Hist P2 partial</v>
      </c>
      <c r="CJ377" s="28" t="str">
        <f aca="false">IFERROR(INDEX(Assessments!$I$2:$I$600,MATCH($H377&amp;"|"&amp;$I377&amp;"|"&amp;$J377&amp;"|"&amp;2,Assessments!$A$2:$A$600,0)),"")</f>
        <v>Hist P2 partial</v>
      </c>
      <c r="CK377" s="28" t="str">
        <f aca="false">IFERROR(INDEX(Assessments!$I$2:$I$600,MATCH($H377&amp;"|"&amp;$I377&amp;"|"&amp;$J377&amp;"|"&amp;3,Assessments!$A$2:$A$600,0)),"")</f>
        <v>Hist P2 partial</v>
      </c>
      <c r="CL377" s="28" t="str">
        <f aca="false">IFERROR(INDEX(Assessments!$I$2:$I$600,MATCH($H377&amp;"|"&amp;$I377&amp;"|"&amp;$J377&amp;"|"&amp;4,Assessments!$A$2:$A$600,0)),"")</f>
        <v>Hist Paper 1</v>
      </c>
      <c r="CM377" s="28" t="str">
        <f aca="false">IFERROR(INDEX(Assessments!$I$2:$I$600,MATCH($H377&amp;"|"&amp;$I377&amp;"|"&amp;$J377&amp;"|"&amp;5,Assessments!$A$2:$A$600,0)),"")</f>
        <v>Hist P2 full</v>
      </c>
      <c r="CN377" s="28" t="str">
        <f aca="false">IFERROR(INDEX(Assessments!$I$2:$I$600,MATCH($H377&amp;"|"&amp;$I377&amp;"|"&amp;$J377&amp;"|"&amp;6,Assessments!$A$2:$A$600,0)),"")</f>
        <v/>
      </c>
      <c r="CO377" s="28" t="str">
        <f aca="false">IFERROR(INDEX(Assessments!$I$2:$I$600,MATCH($H377&amp;"|"&amp;$I377&amp;"|"&amp;$J377&amp;"|"&amp;7,Assessments!$A$2:$A$600,0)),"")</f>
        <v/>
      </c>
      <c r="CP377" s="28" t="str">
        <f aca="false">IFERROR(INDEX(Assessments!$I$2:$I$600,MATCH($H377&amp;"|"&amp;$I377&amp;"|"&amp;$J377&amp;"|"&amp;8,Assessments!$A$2:$A$600,0)),"")</f>
        <v/>
      </c>
      <c r="CQ377" s="28" t="str">
        <f aca="false">IFERROR(INDEX(Assessments!$I$2:$I$600,MATCH($H377&amp;"|"&amp;$I377&amp;"|"&amp;$J377&amp;"|"&amp;9,Assessments!$A$2:$A$600,0)),"")</f>
        <v/>
      </c>
      <c r="CR377" s="28" t="str">
        <f aca="false">IFERROR(INDEX(Assessments!$I$2:$I$600,MATCH($H377&amp;"|"&amp;$I377&amp;"|"&amp;$J377&amp;"|"&amp;10,Assessments!$A$2:$A$600,0)),"")</f>
        <v/>
      </c>
      <c r="CS377" s="28" t="str">
        <f aca="false">IFERROR(INDEX(Assessments!$I$2:$I$600,MATCH($H377&amp;"|"&amp;$I377&amp;"|"&amp;$J377&amp;"|"&amp;11,Assessments!$A$2:$A$600,0)),"")</f>
        <v/>
      </c>
      <c r="CT377" s="28" t="str">
        <f aca="false">IFERROR(INDEX(Assessments!$I$2:$I$600,MATCH($H377&amp;"|"&amp;$I377&amp;"|"&amp;$J377&amp;"|"&amp;12,Assessments!$A$2:$A$600,0)),"")</f>
        <v/>
      </c>
      <c r="CU377" s="28" t="str">
        <f aca="false">IFERROR(INDEX(Assessments!$I$2:$I$600,MATCH($H377&amp;"|"&amp;$I377&amp;"|"&amp;$J377&amp;"|"&amp;13,Assessments!$A$2:$A$600,0)),"")</f>
        <v/>
      </c>
      <c r="CV377" s="28" t="str">
        <f aca="false">IFERROR(INDEX(Assessments!$I$2:$I$600,MATCH($H377&amp;"|"&amp;$I377&amp;"|"&amp;$J377&amp;"|"&amp;14,Assessments!$A$2:$A$600,0)),"")</f>
        <v/>
      </c>
      <c r="CW377" s="28" t="n">
        <f aca="false">IFERROR(INDEX(Assessments!$J$2:$J$600,MATCH($H377&amp;"|"&amp;$I377&amp;"|"&amp;$J377&amp;"|"&amp;1,Assessments!$A$2:$A$600,0)),0)</f>
        <v>1</v>
      </c>
      <c r="CX377" s="28" t="n">
        <f aca="false">IFERROR(INDEX(Assessments!$J$2:$J$600,MATCH($H377&amp;"|"&amp;$I377&amp;"|"&amp;$J377&amp;"|"&amp;2,Assessments!$A$2:$A$600,0)),0)</f>
        <v>1</v>
      </c>
      <c r="CY377" s="28" t="n">
        <f aca="false">IFERROR(INDEX(Assessments!$J$2:$J$600,MATCH($H377&amp;"|"&amp;$I377&amp;"|"&amp;$J377&amp;"|"&amp;3,Assessments!$A$2:$A$600,0)),0)</f>
        <v>1</v>
      </c>
      <c r="CZ377" s="28" t="n">
        <f aca="false">IFERROR(INDEX(Assessments!$J$2:$J$600,MATCH($H377&amp;"|"&amp;$I377&amp;"|"&amp;$J377&amp;"|"&amp;4,Assessments!$A$2:$A$600,0)),0)</f>
        <v>2</v>
      </c>
      <c r="DA377" s="28" t="n">
        <f aca="false">IFERROR(INDEX(Assessments!$J$2:$J$600,MATCH($H377&amp;"|"&amp;$I377&amp;"|"&amp;$J377&amp;"|"&amp;5,Assessments!$A$2:$A$600,0)),0)</f>
        <v>2</v>
      </c>
      <c r="DB377" s="28" t="n">
        <f aca="false">IFERROR(INDEX(Assessments!$J$2:$J$600,MATCH($H377&amp;"|"&amp;$I377&amp;"|"&amp;$J377&amp;"|"&amp;6,Assessments!$A$2:$A$600,0)),0)</f>
        <v>0</v>
      </c>
      <c r="DC377" s="28" t="n">
        <f aca="false">IFERROR(INDEX(Assessments!$J$2:$J$600,MATCH($H377&amp;"|"&amp;$I377&amp;"|"&amp;$J377&amp;"|"&amp;7,Assessments!$A$2:$A$600,0)),0)</f>
        <v>0</v>
      </c>
      <c r="DD377" s="28" t="n">
        <f aca="false">IFERROR(INDEX(Assessments!$J$2:$J$600,MATCH($H377&amp;"|"&amp;$I377&amp;"|"&amp;$J377&amp;"|"&amp;8,Assessments!$A$2:$A$600,0)),0)</f>
        <v>0</v>
      </c>
      <c r="DE377" s="28" t="n">
        <f aca="false">IFERROR(INDEX(Assessments!$J$2:$J$600,MATCH($H377&amp;"|"&amp;$I377&amp;"|"&amp;$J377&amp;"|"&amp;9,Assessments!$A$2:$A$600,0)),0)</f>
        <v>0</v>
      </c>
      <c r="DF377" s="28" t="n">
        <f aca="false">IFERROR(INDEX(Assessments!$J$2:$J$600,MATCH($H377&amp;"|"&amp;$I377&amp;"|"&amp;$J377&amp;"|"&amp;10,Assessments!$A$2:$A$600,0)),0)</f>
        <v>0</v>
      </c>
      <c r="DG377" s="28" t="n">
        <f aca="false">IFERROR(INDEX(Assessments!$J$2:$J$600,MATCH($H377&amp;"|"&amp;$I377&amp;"|"&amp;$J377&amp;"|"&amp;11,Assessments!$A$2:$A$600,0)),0)</f>
        <v>0</v>
      </c>
      <c r="DH377" s="28" t="n">
        <f aca="false">IFERROR(INDEX(Assessments!$J$2:$J$600,MATCH($H377&amp;"|"&amp;$I377&amp;"|"&amp;$J377&amp;"|"&amp;12,Assessments!$A$2:$A$600,0)),0)</f>
        <v>0</v>
      </c>
      <c r="DI377" s="28" t="n">
        <f aca="false">IFERROR(INDEX(Assessments!$J$2:$J$600,MATCH($H377&amp;"|"&amp;$I377&amp;"|"&amp;$J377&amp;"|"&amp;13,Assessments!$A$2:$A$600,0)),0)</f>
        <v>0</v>
      </c>
      <c r="DJ377" s="28" t="n">
        <f aca="false">IFERROR(INDEX(Assessments!$J$2:$J$600,MATCH($H377&amp;"|"&amp;$I377&amp;"|"&amp;$J377&amp;"|"&amp;14,Assessments!$A$2:$A$600,0)),0)</f>
        <v>0</v>
      </c>
      <c r="DK377" s="28" t="n">
        <f aca="false">S377</f>
        <v>5</v>
      </c>
      <c r="DL377" s="28" t="str">
        <f aca="false">W377</f>
        <v/>
      </c>
      <c r="DM377" s="28" t="str">
        <f aca="false">AA377</f>
        <v/>
      </c>
      <c r="DN377" s="28" t="str">
        <f aca="false">AE377</f>
        <v/>
      </c>
      <c r="DO377" s="28" t="str">
        <f aca="false">AI377</f>
        <v/>
      </c>
      <c r="DP377" s="28" t="str">
        <f aca="false">AM377</f>
        <v/>
      </c>
      <c r="DQ377" s="28" t="str">
        <f aca="false">AQ377</f>
        <v/>
      </c>
      <c r="DR377" s="28" t="str">
        <f aca="false">AU377</f>
        <v/>
      </c>
      <c r="DS377" s="28" t="str">
        <f aca="false">AY377</f>
        <v/>
      </c>
      <c r="DT377" s="28" t="str">
        <f aca="false">BC377</f>
        <v/>
      </c>
      <c r="DU377" s="28" t="str">
        <f aca="false">BG377</f>
        <v/>
      </c>
      <c r="DV377" s="28" t="str">
        <f aca="false">BK377</f>
        <v/>
      </c>
      <c r="DW377" s="28" t="str">
        <f aca="false">BO377</f>
        <v/>
      </c>
      <c r="DX377" s="28" t="str">
        <f aca="false">BS377</f>
        <v/>
      </c>
      <c r="DY377" s="28" t="n">
        <f aca="false">IF(ISNUMBER(S377),1,"")</f>
        <v>1</v>
      </c>
      <c r="DZ377" s="28" t="str">
        <f aca="false">IF(ISNUMBER(W377),2,"")</f>
        <v/>
      </c>
      <c r="EA377" s="28" t="str">
        <f aca="false">IF(ISNUMBER(AA377),3,"")</f>
        <v/>
      </c>
      <c r="EB377" s="28" t="str">
        <f aca="false">IF(ISNUMBER(AE377),4,"")</f>
        <v/>
      </c>
      <c r="EC377" s="28" t="str">
        <f aca="false">IF(ISNUMBER(AI377),5,"")</f>
        <v/>
      </c>
      <c r="ED377" s="28" t="str">
        <f aca="false">IF(ISNUMBER(AM377),6,"")</f>
        <v/>
      </c>
      <c r="EE377" s="28" t="str">
        <f aca="false">IF(ISNUMBER(AQ377),7,"")</f>
        <v/>
      </c>
      <c r="EF377" s="28" t="str">
        <f aca="false">IF(ISNUMBER(AU377),8,"")</f>
        <v/>
      </c>
      <c r="EG377" s="28" t="str">
        <f aca="false">IF(ISNUMBER(AY377),9,"")</f>
        <v/>
      </c>
      <c r="EH377" s="28" t="str">
        <f aca="false">IF(ISNUMBER(BC377),10,"")</f>
        <v/>
      </c>
      <c r="EI377" s="28" t="str">
        <f aca="false">IF(ISNUMBER(BG377),11,"")</f>
        <v/>
      </c>
      <c r="EJ377" s="28" t="str">
        <f aca="false">IF(ISNUMBER(BK377),12,"")</f>
        <v/>
      </c>
      <c r="EK377" s="28" t="str">
        <f aca="false">IF(ISNUMBER(BO377),13,"")</f>
        <v/>
      </c>
      <c r="EL377" s="28" t="str">
        <f aca="false">IF(ISNUMBER(BS377),14,"")</f>
        <v/>
      </c>
      <c r="EM377" s="28" t="n">
        <f aca="false">IF(ISNUMBER(R377),R377*CW377,0)</f>
        <v>60</v>
      </c>
      <c r="EN377" s="28" t="n">
        <f aca="false">IF(ISNUMBER(V377),V377*CX377,0)</f>
        <v>0</v>
      </c>
      <c r="EO377" s="28" t="n">
        <f aca="false">IF(ISNUMBER(Z377),Z377*CY377,0)</f>
        <v>0</v>
      </c>
      <c r="EP377" s="28" t="n">
        <f aca="false">IF(ISNUMBER(AD377),AD377*CZ377,0)</f>
        <v>0</v>
      </c>
      <c r="EQ377" s="28" t="n">
        <f aca="false">IF(ISNUMBER(AH377),AH377*DA377,0)</f>
        <v>0</v>
      </c>
      <c r="ER377" s="28" t="n">
        <f aca="false">IF(ISNUMBER(AL377),AL377*DB377,0)</f>
        <v>0</v>
      </c>
      <c r="ES377" s="28" t="n">
        <f aca="false">IF(ISNUMBER(AP377),AP377*DC377,0)</f>
        <v>0</v>
      </c>
      <c r="ET377" s="28" t="n">
        <f aca="false">IF(ISNUMBER(AT377),AT377*DD377,0)</f>
        <v>0</v>
      </c>
      <c r="EU377" s="28" t="n">
        <f aca="false">IF(ISNUMBER(AX377),AX377*DE377,0)</f>
        <v>0</v>
      </c>
      <c r="EV377" s="28" t="n">
        <f aca="false">IF(ISNUMBER(BB377),BB377*DF377,0)</f>
        <v>0</v>
      </c>
      <c r="EW377" s="28" t="n">
        <f aca="false">IF(ISNUMBER(BF377),BF377*DG377,0)</f>
        <v>0</v>
      </c>
      <c r="EX377" s="28" t="n">
        <f aca="false">IF(ISNUMBER(BJ377),BJ377*DH377,0)</f>
        <v>0</v>
      </c>
      <c r="EY377" s="28" t="n">
        <f aca="false">IF(ISNUMBER(BN377),BN377*DI377,0)</f>
        <v>0</v>
      </c>
      <c r="EZ377" s="28" t="n">
        <f aca="false">IF(ISNUMBER(BR377),BR377*DJ377,0)</f>
        <v>0</v>
      </c>
      <c r="FA377" s="28" t="n">
        <f aca="false">IF(ISNUMBER(R377),CW377,0)</f>
        <v>1</v>
      </c>
      <c r="FB377" s="28" t="n">
        <f aca="false">IF(ISNUMBER(V377),CX377,0)</f>
        <v>0</v>
      </c>
      <c r="FC377" s="28" t="n">
        <f aca="false">IF(ISNUMBER(Z377),CY377,0)</f>
        <v>0</v>
      </c>
      <c r="FD377" s="28" t="n">
        <f aca="false">IF(ISNUMBER(AD377),CZ377,0)</f>
        <v>0</v>
      </c>
      <c r="FE377" s="28" t="n">
        <f aca="false">IF(ISNUMBER(AH377),DA377,0)</f>
        <v>0</v>
      </c>
      <c r="FF377" s="28" t="n">
        <f aca="false">IF(ISNUMBER(AL377),DB377,0)</f>
        <v>0</v>
      </c>
      <c r="FG377" s="28" t="n">
        <f aca="false">IF(ISNUMBER(AP377),DC377,0)</f>
        <v>0</v>
      </c>
      <c r="FH377" s="28" t="n">
        <f aca="false">IF(ISNUMBER(AT377),DD377,0)</f>
        <v>0</v>
      </c>
      <c r="FI377" s="28" t="n">
        <f aca="false">IF(ISNUMBER(AX377),DE377,0)</f>
        <v>0</v>
      </c>
      <c r="FJ377" s="28" t="n">
        <f aca="false">IF(ISNUMBER(BB377),DF377,0)</f>
        <v>0</v>
      </c>
      <c r="FK377" s="28" t="n">
        <f aca="false">IF(ISNUMBER(BF377),DG377,0)</f>
        <v>0</v>
      </c>
      <c r="FL377" s="28" t="n">
        <f aca="false">IF(ISNUMBER(BJ377),DH377,0)</f>
        <v>0</v>
      </c>
      <c r="FM377" s="28" t="n">
        <f aca="false">IF(ISNUMBER(BN377),DI377,0)</f>
        <v>0</v>
      </c>
      <c r="FN377" s="28" t="n">
        <f aca="false">IF(ISNUMBER(BR377),DJ377,0)</f>
        <v>0</v>
      </c>
      <c r="FO377" s="28" t="str">
        <f aca="false">IFERROR(INDEX(Lists!$G$2:$G$20,MATCH($I377&amp;"|"&amp;$J377,Lists!$F$2:$F$20,0)),"")</f>
        <v>Hist Overall SL</v>
      </c>
    </row>
    <row r="378" customFormat="false" ht="19.5" hidden="false" customHeight="true" outlineLevel="0" collapsed="false">
      <c r="A378" s="29" t="s">
        <v>315</v>
      </c>
      <c r="B378" s="29" t="s">
        <v>680</v>
      </c>
      <c r="C378" s="30" t="s">
        <v>192</v>
      </c>
      <c r="D378" s="30" t="s">
        <v>415</v>
      </c>
      <c r="E378" s="31"/>
      <c r="F378" s="30"/>
      <c r="G378" s="30"/>
      <c r="H378" s="32" t="s">
        <v>428</v>
      </c>
      <c r="I378" s="33" t="s">
        <v>416</v>
      </c>
      <c r="J378" s="32" t="s">
        <v>223</v>
      </c>
      <c r="K378" s="34" t="str">
        <f aca="false">IF(OR(M378="",$E378=""),"",M378-$E378)</f>
        <v/>
      </c>
      <c r="L378" s="35" t="n">
        <f aca="false">IF(SUM(FA378:FN378)=0,"",SUM(EM378:EZ378)/SUM(FA378:FN378))</f>
        <v>20</v>
      </c>
      <c r="M378" s="36" t="n">
        <f aca="false">IF(OR(L378="",FO378=""),"",IFERROR(MATCH(L378,INDEX(Boundaries!$B$2:$I$30,MATCH(FO378,Boundaries!$A$2:$A$30,0),0),1)-1,""))</f>
        <v>2</v>
      </c>
      <c r="N378" s="37" t="str">
        <f aca="false">IF(COUNT($DY378:$EL378)&lt;2,"",INDEX($DK378:$DX378,MAX($DY378:$EL378))-INDEX($DK378:$DX378,MIN($DY378:$EL378)))</f>
        <v/>
      </c>
      <c r="O378" s="37" t="str">
        <f aca="false">IF(COUNT($DY378:$EL378)&lt;2,"",INDEX($DK378:$DX378,MAX($DY378:$EL378))-INDEX($DK378:$DX378,LARGE($DY378:$EL378,2)))</f>
        <v/>
      </c>
      <c r="P378" s="38" t="str">
        <f aca="false">IF(K378="","",IF(K378&gt;=0,"On/above target",IF(AND(N378&lt;&gt;"",N378&gt;=0.5),"Improving towards target",IF(AND(O378&lt;&gt;"",O378&lt;=-0.5),"Declining","Stable below target"))))</f>
        <v/>
      </c>
      <c r="Q378" s="39" t="n">
        <v>2</v>
      </c>
      <c r="R378" s="40" t="n">
        <f aca="false">IF(OR(Q378="",BU378=""),"",Q378/BU378*100)</f>
        <v>20</v>
      </c>
      <c r="S378" s="41" t="n">
        <f aca="false">IF(R378="","",IFERROR(MATCH(R378,INDEX(Boundaries!$B$2:$I$30,MATCH(CI378,Boundaries!$A$2:$A$30,0),0),1)-1,""))</f>
        <v>2</v>
      </c>
      <c r="T378" s="42" t="str">
        <f aca="false">IF(OR(S378="",$E378=""),"",S378-$E378)</f>
        <v/>
      </c>
      <c r="U378" s="39"/>
      <c r="V378" s="40" t="str">
        <f aca="false">IF(OR(U378="",BV378=""),"",U378/BV378*100)</f>
        <v/>
      </c>
      <c r="W378" s="41" t="str">
        <f aca="false">IF(V378="","",IFERROR(MATCH(V378,INDEX(Boundaries!$B$2:$I$30,MATCH(CJ378,Boundaries!$A$2:$A$30,0),0),1)-1,""))</f>
        <v/>
      </c>
      <c r="X378" s="42" t="str">
        <f aca="false">IF(OR(W378="",$E378=""),"",W378-$E378)</f>
        <v/>
      </c>
      <c r="Y378" s="39"/>
      <c r="Z378" s="40" t="str">
        <f aca="false">IF(OR(Y378="",BW378=""),"",Y378/BW378*100)</f>
        <v/>
      </c>
      <c r="AA378" s="41" t="str">
        <f aca="false">IF(Z378="","",IFERROR(MATCH(Z378,INDEX(Boundaries!$B$2:$I$30,MATCH(CK378,Boundaries!$A$2:$A$30,0),0),1)-1,""))</f>
        <v/>
      </c>
      <c r="AB378" s="42" t="str">
        <f aca="false">IF(OR(AA378="",$E378=""),"",AA378-$E378)</f>
        <v/>
      </c>
      <c r="AC378" s="39"/>
      <c r="AD378" s="40" t="str">
        <f aca="false">IF(OR(AC378="",BX378=""),"",AC378/BX378*100)</f>
        <v/>
      </c>
      <c r="AE378" s="41" t="str">
        <f aca="false">IF(AD378="","",IFERROR(MATCH(AD378,INDEX(Boundaries!$B$2:$I$30,MATCH(CL378,Boundaries!$A$2:$A$30,0),0),1)-1,""))</f>
        <v/>
      </c>
      <c r="AF378" s="42" t="str">
        <f aca="false">IF(OR(AE378="",$E378=""),"",AE378-$E378)</f>
        <v/>
      </c>
      <c r="AG378" s="39"/>
      <c r="AH378" s="40" t="str">
        <f aca="false">IF(OR(AG378="",BY378=""),"",AG378/BY378*100)</f>
        <v/>
      </c>
      <c r="AI378" s="41" t="str">
        <f aca="false">IF(AH378="","",IFERROR(MATCH(AH378,INDEX(Boundaries!$B$2:$I$30,MATCH(CM378,Boundaries!$A$2:$A$30,0),0),1)-1,""))</f>
        <v/>
      </c>
      <c r="AJ378" s="42" t="str">
        <f aca="false">IF(OR(AI378="",$E378=""),"",AI378-$E378)</f>
        <v/>
      </c>
      <c r="AK378" s="39"/>
      <c r="AL378" s="40" t="str">
        <f aca="false">IF(OR(AK378="",BZ378=""),"",AK378/BZ378*100)</f>
        <v/>
      </c>
      <c r="AM378" s="41" t="str">
        <f aca="false">IF(AL378="","",IFERROR(MATCH(AL378,INDEX(Boundaries!$B$2:$I$30,MATCH(CN378,Boundaries!$A$2:$A$30,0),0),1)-1,""))</f>
        <v/>
      </c>
      <c r="AN378" s="42" t="str">
        <f aca="false">IF(OR(AM378="",$E378=""),"",AM378-$E378)</f>
        <v/>
      </c>
      <c r="AO378" s="39"/>
      <c r="AP378" s="40" t="str">
        <f aca="false">IF(OR(AO378="",CA378=""),"",AO378/CA378*100)</f>
        <v/>
      </c>
      <c r="AQ378" s="41" t="str">
        <f aca="false">IF(AP378="","",IFERROR(MATCH(AP378,INDEX(Boundaries!$B$2:$I$30,MATCH(CO378,Boundaries!$A$2:$A$30,0),0),1)-1,""))</f>
        <v/>
      </c>
      <c r="AR378" s="42" t="str">
        <f aca="false">IF(OR(AQ378="",$E378=""),"",AQ378-$E378)</f>
        <v/>
      </c>
      <c r="AS378" s="39"/>
      <c r="AT378" s="40" t="str">
        <f aca="false">IF(OR(AS378="",CB378=""),"",AS378/CB378*100)</f>
        <v/>
      </c>
      <c r="AU378" s="41" t="str">
        <f aca="false">IF(AT378="","",IFERROR(MATCH(AT378,INDEX(Boundaries!$B$2:$I$30,MATCH(CP378,Boundaries!$A$2:$A$30,0),0),1)-1,""))</f>
        <v/>
      </c>
      <c r="AV378" s="42" t="str">
        <f aca="false">IF(OR(AU378="",$E378=""),"",AU378-$E378)</f>
        <v/>
      </c>
      <c r="AW378" s="39"/>
      <c r="AX378" s="40" t="str">
        <f aca="false">IF(OR(AW378="",CC378=""),"",AW378/CC378*100)</f>
        <v/>
      </c>
      <c r="AY378" s="41" t="str">
        <f aca="false">IF(AX378="","",IFERROR(MATCH(AX378,INDEX(Boundaries!$B$2:$I$30,MATCH(CQ378,Boundaries!$A$2:$A$30,0),0),1)-1,""))</f>
        <v/>
      </c>
      <c r="AZ378" s="42" t="str">
        <f aca="false">IF(OR(AY378="",$E378=""),"",AY378-$E378)</f>
        <v/>
      </c>
      <c r="BA378" s="39"/>
      <c r="BB378" s="40" t="str">
        <f aca="false">IF(OR(BA378="",CD378=""),"",BA378/CD378*100)</f>
        <v/>
      </c>
      <c r="BC378" s="41" t="str">
        <f aca="false">IF(BB378="","",IFERROR(MATCH(BB378,INDEX(Boundaries!$B$2:$I$30,MATCH(CR378,Boundaries!$A$2:$A$30,0),0),1)-1,""))</f>
        <v/>
      </c>
      <c r="BD378" s="42" t="str">
        <f aca="false">IF(OR(BC378="",$E378=""),"",BC378-$E378)</f>
        <v/>
      </c>
      <c r="BE378" s="39"/>
      <c r="BF378" s="40" t="str">
        <f aca="false">IF(OR(BE378="",CE378=""),"",BE378/CE378*100)</f>
        <v/>
      </c>
      <c r="BG378" s="41" t="str">
        <f aca="false">IF(BF378="","",IFERROR(MATCH(BF378,INDEX(Boundaries!$B$2:$I$30,MATCH(CS378,Boundaries!$A$2:$A$30,0),0),1)-1,""))</f>
        <v/>
      </c>
      <c r="BH378" s="42" t="str">
        <f aca="false">IF(OR(BG378="",$E378=""),"",BG378-$E378)</f>
        <v/>
      </c>
      <c r="BI378" s="39"/>
      <c r="BJ378" s="40" t="str">
        <f aca="false">IF(OR(BI378="",CF378=""),"",BI378/CF378*100)</f>
        <v/>
      </c>
      <c r="BK378" s="41" t="str">
        <f aca="false">IF(BJ378="","",IFERROR(MATCH(BJ378,INDEX(Boundaries!$B$2:$I$30,MATCH(CT378,Boundaries!$A$2:$A$30,0),0),1)-1,""))</f>
        <v/>
      </c>
      <c r="BL378" s="42" t="str">
        <f aca="false">IF(OR(BK378="",$E378=""),"",BK378-$E378)</f>
        <v/>
      </c>
      <c r="BM378" s="39"/>
      <c r="BN378" s="40" t="str">
        <f aca="false">IF(OR(BM378="",CG378=""),"",BM378/CG378*100)</f>
        <v/>
      </c>
      <c r="BO378" s="41" t="str">
        <f aca="false">IF(BN378="","",IFERROR(MATCH(BN378,INDEX(Boundaries!$B$2:$I$30,MATCH(CU378,Boundaries!$A$2:$A$30,0),0),1)-1,""))</f>
        <v/>
      </c>
      <c r="BP378" s="42" t="str">
        <f aca="false">IF(OR(BO378="",$E378=""),"",BO378-$E378)</f>
        <v/>
      </c>
      <c r="BQ378" s="39"/>
      <c r="BR378" s="40" t="str">
        <f aca="false">IF(OR(BQ378="",CH378=""),"",BQ378/CH378*100)</f>
        <v/>
      </c>
      <c r="BS378" s="41" t="str">
        <f aca="false">IF(BR378="","",IFERROR(MATCH(BR378,INDEX(Boundaries!$B$2:$I$30,MATCH(CV378,Boundaries!$A$2:$A$30,0),0),1)-1,""))</f>
        <v/>
      </c>
      <c r="BT378" s="42" t="str">
        <f aca="false">IF(OR(BS378="",$E378=""),"",BS378-$E378)</f>
        <v/>
      </c>
      <c r="BU378" s="28" t="n">
        <f aca="false">IFERROR(INDEX(Assessments!$H$2:$H$600,MATCH($H378&amp;"|"&amp;$I378&amp;"|"&amp;$J378&amp;"|"&amp;1,Assessments!$A$2:$A$600,0)),"")</f>
        <v>10</v>
      </c>
      <c r="BV378" s="28" t="n">
        <f aca="false">IFERROR(INDEX(Assessments!$H$2:$H$600,MATCH($H378&amp;"|"&amp;$I378&amp;"|"&amp;$J378&amp;"|"&amp;2,Assessments!$A$2:$A$600,0)),"")</f>
        <v>24</v>
      </c>
      <c r="BW378" s="28" t="n">
        <f aca="false">IFERROR(INDEX(Assessments!$H$2:$H$600,MATCH($H378&amp;"|"&amp;$I378&amp;"|"&amp;$J378&amp;"|"&amp;3,Assessments!$A$2:$A$600,0)),"")</f>
        <v>15</v>
      </c>
      <c r="BX378" s="28" t="n">
        <f aca="false">IFERROR(INDEX(Assessments!$H$2:$H$600,MATCH($H378&amp;"|"&amp;$I378&amp;"|"&amp;$J378&amp;"|"&amp;4,Assessments!$A$2:$A$600,0)),"")</f>
        <v>24</v>
      </c>
      <c r="BY378" s="28" t="n">
        <f aca="false">IFERROR(INDEX(Assessments!$H$2:$H$600,MATCH($H378&amp;"|"&amp;$I378&amp;"|"&amp;$J378&amp;"|"&amp;5,Assessments!$A$2:$A$600,0)),"")</f>
        <v>30</v>
      </c>
      <c r="BZ378" s="28" t="str">
        <f aca="false">IFERROR(INDEX(Assessments!$H$2:$H$600,MATCH($H378&amp;"|"&amp;$I378&amp;"|"&amp;$J378&amp;"|"&amp;6,Assessments!$A$2:$A$600,0)),"")</f>
        <v/>
      </c>
      <c r="CA378" s="28" t="str">
        <f aca="false">IFERROR(INDEX(Assessments!$H$2:$H$600,MATCH($H378&amp;"|"&amp;$I378&amp;"|"&amp;$J378&amp;"|"&amp;7,Assessments!$A$2:$A$600,0)),"")</f>
        <v/>
      </c>
      <c r="CB378" s="28" t="str">
        <f aca="false">IFERROR(INDEX(Assessments!$H$2:$H$600,MATCH($H378&amp;"|"&amp;$I378&amp;"|"&amp;$J378&amp;"|"&amp;8,Assessments!$A$2:$A$600,0)),"")</f>
        <v/>
      </c>
      <c r="CC378" s="28" t="str">
        <f aca="false">IFERROR(INDEX(Assessments!$H$2:$H$600,MATCH($H378&amp;"|"&amp;$I378&amp;"|"&amp;$J378&amp;"|"&amp;9,Assessments!$A$2:$A$600,0)),"")</f>
        <v/>
      </c>
      <c r="CD378" s="28" t="str">
        <f aca="false">IFERROR(INDEX(Assessments!$H$2:$H$600,MATCH($H378&amp;"|"&amp;$I378&amp;"|"&amp;$J378&amp;"|"&amp;10,Assessments!$A$2:$A$600,0)),"")</f>
        <v/>
      </c>
      <c r="CE378" s="28" t="str">
        <f aca="false">IFERROR(INDEX(Assessments!$H$2:$H$600,MATCH($H378&amp;"|"&amp;$I378&amp;"|"&amp;$J378&amp;"|"&amp;11,Assessments!$A$2:$A$600,0)),"")</f>
        <v/>
      </c>
      <c r="CF378" s="28" t="str">
        <f aca="false">IFERROR(INDEX(Assessments!$H$2:$H$600,MATCH($H378&amp;"|"&amp;$I378&amp;"|"&amp;$J378&amp;"|"&amp;12,Assessments!$A$2:$A$600,0)),"")</f>
        <v/>
      </c>
      <c r="CG378" s="28" t="str">
        <f aca="false">IFERROR(INDEX(Assessments!$H$2:$H$600,MATCH($H378&amp;"|"&amp;$I378&amp;"|"&amp;$J378&amp;"|"&amp;13,Assessments!$A$2:$A$600,0)),"")</f>
        <v/>
      </c>
      <c r="CH378" s="28" t="str">
        <f aca="false">IFERROR(INDEX(Assessments!$H$2:$H$600,MATCH($H378&amp;"|"&amp;$I378&amp;"|"&amp;$J378&amp;"|"&amp;14,Assessments!$A$2:$A$600,0)),"")</f>
        <v/>
      </c>
      <c r="CI378" s="28" t="str">
        <f aca="false">IFERROR(INDEX(Assessments!$I$2:$I$600,MATCH($H378&amp;"|"&amp;$I378&amp;"|"&amp;$J378&amp;"|"&amp;1,Assessments!$A$2:$A$600,0)),"")</f>
        <v>Hist P2 partial</v>
      </c>
      <c r="CJ378" s="28" t="str">
        <f aca="false">IFERROR(INDEX(Assessments!$I$2:$I$600,MATCH($H378&amp;"|"&amp;$I378&amp;"|"&amp;$J378&amp;"|"&amp;2,Assessments!$A$2:$A$600,0)),"")</f>
        <v>Hist P2 partial</v>
      </c>
      <c r="CK378" s="28" t="str">
        <f aca="false">IFERROR(INDEX(Assessments!$I$2:$I$600,MATCH($H378&amp;"|"&amp;$I378&amp;"|"&amp;$J378&amp;"|"&amp;3,Assessments!$A$2:$A$600,0)),"")</f>
        <v>Hist P2 partial</v>
      </c>
      <c r="CL378" s="28" t="str">
        <f aca="false">IFERROR(INDEX(Assessments!$I$2:$I$600,MATCH($H378&amp;"|"&amp;$I378&amp;"|"&amp;$J378&amp;"|"&amp;4,Assessments!$A$2:$A$600,0)),"")</f>
        <v>Hist Paper 1</v>
      </c>
      <c r="CM378" s="28" t="str">
        <f aca="false">IFERROR(INDEX(Assessments!$I$2:$I$600,MATCH($H378&amp;"|"&amp;$I378&amp;"|"&amp;$J378&amp;"|"&amp;5,Assessments!$A$2:$A$600,0)),"")</f>
        <v>Hist P2 full</v>
      </c>
      <c r="CN378" s="28" t="str">
        <f aca="false">IFERROR(INDEX(Assessments!$I$2:$I$600,MATCH($H378&amp;"|"&amp;$I378&amp;"|"&amp;$J378&amp;"|"&amp;6,Assessments!$A$2:$A$600,0)),"")</f>
        <v/>
      </c>
      <c r="CO378" s="28" t="str">
        <f aca="false">IFERROR(INDEX(Assessments!$I$2:$I$600,MATCH($H378&amp;"|"&amp;$I378&amp;"|"&amp;$J378&amp;"|"&amp;7,Assessments!$A$2:$A$600,0)),"")</f>
        <v/>
      </c>
      <c r="CP378" s="28" t="str">
        <f aca="false">IFERROR(INDEX(Assessments!$I$2:$I$600,MATCH($H378&amp;"|"&amp;$I378&amp;"|"&amp;$J378&amp;"|"&amp;8,Assessments!$A$2:$A$600,0)),"")</f>
        <v/>
      </c>
      <c r="CQ378" s="28" t="str">
        <f aca="false">IFERROR(INDEX(Assessments!$I$2:$I$600,MATCH($H378&amp;"|"&amp;$I378&amp;"|"&amp;$J378&amp;"|"&amp;9,Assessments!$A$2:$A$600,0)),"")</f>
        <v/>
      </c>
      <c r="CR378" s="28" t="str">
        <f aca="false">IFERROR(INDEX(Assessments!$I$2:$I$600,MATCH($H378&amp;"|"&amp;$I378&amp;"|"&amp;$J378&amp;"|"&amp;10,Assessments!$A$2:$A$600,0)),"")</f>
        <v/>
      </c>
      <c r="CS378" s="28" t="str">
        <f aca="false">IFERROR(INDEX(Assessments!$I$2:$I$600,MATCH($H378&amp;"|"&amp;$I378&amp;"|"&amp;$J378&amp;"|"&amp;11,Assessments!$A$2:$A$600,0)),"")</f>
        <v/>
      </c>
      <c r="CT378" s="28" t="str">
        <f aca="false">IFERROR(INDEX(Assessments!$I$2:$I$600,MATCH($H378&amp;"|"&amp;$I378&amp;"|"&amp;$J378&amp;"|"&amp;12,Assessments!$A$2:$A$600,0)),"")</f>
        <v/>
      </c>
      <c r="CU378" s="28" t="str">
        <f aca="false">IFERROR(INDEX(Assessments!$I$2:$I$600,MATCH($H378&amp;"|"&amp;$I378&amp;"|"&amp;$J378&amp;"|"&amp;13,Assessments!$A$2:$A$600,0)),"")</f>
        <v/>
      </c>
      <c r="CV378" s="28" t="str">
        <f aca="false">IFERROR(INDEX(Assessments!$I$2:$I$600,MATCH($H378&amp;"|"&amp;$I378&amp;"|"&amp;$J378&amp;"|"&amp;14,Assessments!$A$2:$A$600,0)),"")</f>
        <v/>
      </c>
      <c r="CW378" s="28" t="n">
        <f aca="false">IFERROR(INDEX(Assessments!$J$2:$J$600,MATCH($H378&amp;"|"&amp;$I378&amp;"|"&amp;$J378&amp;"|"&amp;1,Assessments!$A$2:$A$600,0)),0)</f>
        <v>1</v>
      </c>
      <c r="CX378" s="28" t="n">
        <f aca="false">IFERROR(INDEX(Assessments!$J$2:$J$600,MATCH($H378&amp;"|"&amp;$I378&amp;"|"&amp;$J378&amp;"|"&amp;2,Assessments!$A$2:$A$600,0)),0)</f>
        <v>1</v>
      </c>
      <c r="CY378" s="28" t="n">
        <f aca="false">IFERROR(INDEX(Assessments!$J$2:$J$600,MATCH($H378&amp;"|"&amp;$I378&amp;"|"&amp;$J378&amp;"|"&amp;3,Assessments!$A$2:$A$600,0)),0)</f>
        <v>1</v>
      </c>
      <c r="CZ378" s="28" t="n">
        <f aca="false">IFERROR(INDEX(Assessments!$J$2:$J$600,MATCH($H378&amp;"|"&amp;$I378&amp;"|"&amp;$J378&amp;"|"&amp;4,Assessments!$A$2:$A$600,0)),0)</f>
        <v>2</v>
      </c>
      <c r="DA378" s="28" t="n">
        <f aca="false">IFERROR(INDEX(Assessments!$J$2:$J$600,MATCH($H378&amp;"|"&amp;$I378&amp;"|"&amp;$J378&amp;"|"&amp;5,Assessments!$A$2:$A$600,0)),0)</f>
        <v>2</v>
      </c>
      <c r="DB378" s="28" t="n">
        <f aca="false">IFERROR(INDEX(Assessments!$J$2:$J$600,MATCH($H378&amp;"|"&amp;$I378&amp;"|"&amp;$J378&amp;"|"&amp;6,Assessments!$A$2:$A$600,0)),0)</f>
        <v>0</v>
      </c>
      <c r="DC378" s="28" t="n">
        <f aca="false">IFERROR(INDEX(Assessments!$J$2:$J$600,MATCH($H378&amp;"|"&amp;$I378&amp;"|"&amp;$J378&amp;"|"&amp;7,Assessments!$A$2:$A$600,0)),0)</f>
        <v>0</v>
      </c>
      <c r="DD378" s="28" t="n">
        <f aca="false">IFERROR(INDEX(Assessments!$J$2:$J$600,MATCH($H378&amp;"|"&amp;$I378&amp;"|"&amp;$J378&amp;"|"&amp;8,Assessments!$A$2:$A$600,0)),0)</f>
        <v>0</v>
      </c>
      <c r="DE378" s="28" t="n">
        <f aca="false">IFERROR(INDEX(Assessments!$J$2:$J$600,MATCH($H378&amp;"|"&amp;$I378&amp;"|"&amp;$J378&amp;"|"&amp;9,Assessments!$A$2:$A$600,0)),0)</f>
        <v>0</v>
      </c>
      <c r="DF378" s="28" t="n">
        <f aca="false">IFERROR(INDEX(Assessments!$J$2:$J$600,MATCH($H378&amp;"|"&amp;$I378&amp;"|"&amp;$J378&amp;"|"&amp;10,Assessments!$A$2:$A$600,0)),0)</f>
        <v>0</v>
      </c>
      <c r="DG378" s="28" t="n">
        <f aca="false">IFERROR(INDEX(Assessments!$J$2:$J$600,MATCH($H378&amp;"|"&amp;$I378&amp;"|"&amp;$J378&amp;"|"&amp;11,Assessments!$A$2:$A$600,0)),0)</f>
        <v>0</v>
      </c>
      <c r="DH378" s="28" t="n">
        <f aca="false">IFERROR(INDEX(Assessments!$J$2:$J$600,MATCH($H378&amp;"|"&amp;$I378&amp;"|"&amp;$J378&amp;"|"&amp;12,Assessments!$A$2:$A$600,0)),0)</f>
        <v>0</v>
      </c>
      <c r="DI378" s="28" t="n">
        <f aca="false">IFERROR(INDEX(Assessments!$J$2:$J$600,MATCH($H378&amp;"|"&amp;$I378&amp;"|"&amp;$J378&amp;"|"&amp;13,Assessments!$A$2:$A$600,0)),0)</f>
        <v>0</v>
      </c>
      <c r="DJ378" s="28" t="n">
        <f aca="false">IFERROR(INDEX(Assessments!$J$2:$J$600,MATCH($H378&amp;"|"&amp;$I378&amp;"|"&amp;$J378&amp;"|"&amp;14,Assessments!$A$2:$A$600,0)),0)</f>
        <v>0</v>
      </c>
      <c r="DK378" s="28" t="n">
        <f aca="false">S378</f>
        <v>2</v>
      </c>
      <c r="DL378" s="28" t="str">
        <f aca="false">W378</f>
        <v/>
      </c>
      <c r="DM378" s="28" t="str">
        <f aca="false">AA378</f>
        <v/>
      </c>
      <c r="DN378" s="28" t="str">
        <f aca="false">AE378</f>
        <v/>
      </c>
      <c r="DO378" s="28" t="str">
        <f aca="false">AI378</f>
        <v/>
      </c>
      <c r="DP378" s="28" t="str">
        <f aca="false">AM378</f>
        <v/>
      </c>
      <c r="DQ378" s="28" t="str">
        <f aca="false">AQ378</f>
        <v/>
      </c>
      <c r="DR378" s="28" t="str">
        <f aca="false">AU378</f>
        <v/>
      </c>
      <c r="DS378" s="28" t="str">
        <f aca="false">AY378</f>
        <v/>
      </c>
      <c r="DT378" s="28" t="str">
        <f aca="false">BC378</f>
        <v/>
      </c>
      <c r="DU378" s="28" t="str">
        <f aca="false">BG378</f>
        <v/>
      </c>
      <c r="DV378" s="28" t="str">
        <f aca="false">BK378</f>
        <v/>
      </c>
      <c r="DW378" s="28" t="str">
        <f aca="false">BO378</f>
        <v/>
      </c>
      <c r="DX378" s="28" t="str">
        <f aca="false">BS378</f>
        <v/>
      </c>
      <c r="DY378" s="28" t="n">
        <f aca="false">IF(ISNUMBER(S378),1,"")</f>
        <v>1</v>
      </c>
      <c r="DZ378" s="28" t="str">
        <f aca="false">IF(ISNUMBER(W378),2,"")</f>
        <v/>
      </c>
      <c r="EA378" s="28" t="str">
        <f aca="false">IF(ISNUMBER(AA378),3,"")</f>
        <v/>
      </c>
      <c r="EB378" s="28" t="str">
        <f aca="false">IF(ISNUMBER(AE378),4,"")</f>
        <v/>
      </c>
      <c r="EC378" s="28" t="str">
        <f aca="false">IF(ISNUMBER(AI378),5,"")</f>
        <v/>
      </c>
      <c r="ED378" s="28" t="str">
        <f aca="false">IF(ISNUMBER(AM378),6,"")</f>
        <v/>
      </c>
      <c r="EE378" s="28" t="str">
        <f aca="false">IF(ISNUMBER(AQ378),7,"")</f>
        <v/>
      </c>
      <c r="EF378" s="28" t="str">
        <f aca="false">IF(ISNUMBER(AU378),8,"")</f>
        <v/>
      </c>
      <c r="EG378" s="28" t="str">
        <f aca="false">IF(ISNUMBER(AY378),9,"")</f>
        <v/>
      </c>
      <c r="EH378" s="28" t="str">
        <f aca="false">IF(ISNUMBER(BC378),10,"")</f>
        <v/>
      </c>
      <c r="EI378" s="28" t="str">
        <f aca="false">IF(ISNUMBER(BG378),11,"")</f>
        <v/>
      </c>
      <c r="EJ378" s="28" t="str">
        <f aca="false">IF(ISNUMBER(BK378),12,"")</f>
        <v/>
      </c>
      <c r="EK378" s="28" t="str">
        <f aca="false">IF(ISNUMBER(BO378),13,"")</f>
        <v/>
      </c>
      <c r="EL378" s="28" t="str">
        <f aca="false">IF(ISNUMBER(BS378),14,"")</f>
        <v/>
      </c>
      <c r="EM378" s="28" t="n">
        <f aca="false">IF(ISNUMBER(R378),R378*CW378,0)</f>
        <v>20</v>
      </c>
      <c r="EN378" s="28" t="n">
        <f aca="false">IF(ISNUMBER(V378),V378*CX378,0)</f>
        <v>0</v>
      </c>
      <c r="EO378" s="28" t="n">
        <f aca="false">IF(ISNUMBER(Z378),Z378*CY378,0)</f>
        <v>0</v>
      </c>
      <c r="EP378" s="28" t="n">
        <f aca="false">IF(ISNUMBER(AD378),AD378*CZ378,0)</f>
        <v>0</v>
      </c>
      <c r="EQ378" s="28" t="n">
        <f aca="false">IF(ISNUMBER(AH378),AH378*DA378,0)</f>
        <v>0</v>
      </c>
      <c r="ER378" s="28" t="n">
        <f aca="false">IF(ISNUMBER(AL378),AL378*DB378,0)</f>
        <v>0</v>
      </c>
      <c r="ES378" s="28" t="n">
        <f aca="false">IF(ISNUMBER(AP378),AP378*DC378,0)</f>
        <v>0</v>
      </c>
      <c r="ET378" s="28" t="n">
        <f aca="false">IF(ISNUMBER(AT378),AT378*DD378,0)</f>
        <v>0</v>
      </c>
      <c r="EU378" s="28" t="n">
        <f aca="false">IF(ISNUMBER(AX378),AX378*DE378,0)</f>
        <v>0</v>
      </c>
      <c r="EV378" s="28" t="n">
        <f aca="false">IF(ISNUMBER(BB378),BB378*DF378,0)</f>
        <v>0</v>
      </c>
      <c r="EW378" s="28" t="n">
        <f aca="false">IF(ISNUMBER(BF378),BF378*DG378,0)</f>
        <v>0</v>
      </c>
      <c r="EX378" s="28" t="n">
        <f aca="false">IF(ISNUMBER(BJ378),BJ378*DH378,0)</f>
        <v>0</v>
      </c>
      <c r="EY378" s="28" t="n">
        <f aca="false">IF(ISNUMBER(BN378),BN378*DI378,0)</f>
        <v>0</v>
      </c>
      <c r="EZ378" s="28" t="n">
        <f aca="false">IF(ISNUMBER(BR378),BR378*DJ378,0)</f>
        <v>0</v>
      </c>
      <c r="FA378" s="28" t="n">
        <f aca="false">IF(ISNUMBER(R378),CW378,0)</f>
        <v>1</v>
      </c>
      <c r="FB378" s="28" t="n">
        <f aca="false">IF(ISNUMBER(V378),CX378,0)</f>
        <v>0</v>
      </c>
      <c r="FC378" s="28" t="n">
        <f aca="false">IF(ISNUMBER(Z378),CY378,0)</f>
        <v>0</v>
      </c>
      <c r="FD378" s="28" t="n">
        <f aca="false">IF(ISNUMBER(AD378),CZ378,0)</f>
        <v>0</v>
      </c>
      <c r="FE378" s="28" t="n">
        <f aca="false">IF(ISNUMBER(AH378),DA378,0)</f>
        <v>0</v>
      </c>
      <c r="FF378" s="28" t="n">
        <f aca="false">IF(ISNUMBER(AL378),DB378,0)</f>
        <v>0</v>
      </c>
      <c r="FG378" s="28" t="n">
        <f aca="false">IF(ISNUMBER(AP378),DC378,0)</f>
        <v>0</v>
      </c>
      <c r="FH378" s="28" t="n">
        <f aca="false">IF(ISNUMBER(AT378),DD378,0)</f>
        <v>0</v>
      </c>
      <c r="FI378" s="28" t="n">
        <f aca="false">IF(ISNUMBER(AX378),DE378,0)</f>
        <v>0</v>
      </c>
      <c r="FJ378" s="28" t="n">
        <f aca="false">IF(ISNUMBER(BB378),DF378,0)</f>
        <v>0</v>
      </c>
      <c r="FK378" s="28" t="n">
        <f aca="false">IF(ISNUMBER(BF378),DG378,0)</f>
        <v>0</v>
      </c>
      <c r="FL378" s="28" t="n">
        <f aca="false">IF(ISNUMBER(BJ378),DH378,0)</f>
        <v>0</v>
      </c>
      <c r="FM378" s="28" t="n">
        <f aca="false">IF(ISNUMBER(BN378),DI378,0)</f>
        <v>0</v>
      </c>
      <c r="FN378" s="28" t="n">
        <f aca="false">IF(ISNUMBER(BR378),DJ378,0)</f>
        <v>0</v>
      </c>
      <c r="FO378" s="28" t="str">
        <f aca="false">IFERROR(INDEX(Lists!$G$2:$G$20,MATCH($I378&amp;"|"&amp;$J378,Lists!$F$2:$F$20,0)),"")</f>
        <v>Hist Overall SL</v>
      </c>
    </row>
    <row r="379" customFormat="false" ht="19.5" hidden="false" customHeight="true" outlineLevel="0" collapsed="false">
      <c r="A379" s="29"/>
      <c r="B379" s="29"/>
      <c r="C379" s="30"/>
      <c r="D379" s="30"/>
      <c r="E379" s="31"/>
      <c r="F379" s="30"/>
      <c r="G379" s="30"/>
      <c r="H379" s="32"/>
      <c r="I379" s="33"/>
      <c r="J379" s="32"/>
      <c r="K379" s="34" t="str">
        <f aca="false">IF(OR(M379="",$E379=""),"",M379-$E379)</f>
        <v/>
      </c>
      <c r="L379" s="35" t="str">
        <f aca="false">IF(SUM(FA379:FN379)=0,"",SUM(EM379:EZ379)/SUM(FA379:FN379))</f>
        <v/>
      </c>
      <c r="M379" s="36" t="str">
        <f aca="false">IF(OR(L379="",FO379=""),"",IFERROR(MATCH(L379,INDEX(Boundaries!$B$2:$I$30,MATCH(FO379,Boundaries!$A$2:$A$30,0),0),1)-1,""))</f>
        <v/>
      </c>
      <c r="N379" s="37" t="str">
        <f aca="false">IF(COUNT($DY379:$EL379)&lt;2,"",INDEX($DK379:$DX379,MAX($DY379:$EL379))-INDEX($DK379:$DX379,MIN($DY379:$EL379)))</f>
        <v/>
      </c>
      <c r="O379" s="37" t="str">
        <f aca="false">IF(COUNT($DY379:$EL379)&lt;2,"",INDEX($DK379:$DX379,MAX($DY379:$EL379))-INDEX($DK379:$DX379,LARGE($DY379:$EL379,2)))</f>
        <v/>
      </c>
      <c r="P379" s="38" t="str">
        <f aca="false">IF(K379="","",IF(K379&gt;=0,"On/above target",IF(AND(N379&lt;&gt;"",N379&gt;=0.5),"Improving towards target",IF(AND(O379&lt;&gt;"",O379&lt;=-0.5),"Declining","Stable below target"))))</f>
        <v/>
      </c>
      <c r="Q379" s="39"/>
      <c r="R379" s="40" t="str">
        <f aca="false">IF(OR(Q379="",BU379=""),"",Q379/BU379*100)</f>
        <v/>
      </c>
      <c r="S379" s="41" t="str">
        <f aca="false">IF(R379="","",IFERROR(MATCH(R379,INDEX(Boundaries!$B$2:$I$30,MATCH(CI379,Boundaries!$A$2:$A$30,0),0),1)-1,""))</f>
        <v/>
      </c>
      <c r="T379" s="42" t="str">
        <f aca="false">IF(OR(S379="",$E379=""),"",S379-$E379)</f>
        <v/>
      </c>
      <c r="U379" s="39"/>
      <c r="V379" s="40" t="str">
        <f aca="false">IF(OR(U379="",BV379=""),"",U379/BV379*100)</f>
        <v/>
      </c>
      <c r="W379" s="41" t="str">
        <f aca="false">IF(V379="","",IFERROR(MATCH(V379,INDEX(Boundaries!$B$2:$I$30,MATCH(CJ379,Boundaries!$A$2:$A$30,0),0),1)-1,""))</f>
        <v/>
      </c>
      <c r="X379" s="42" t="str">
        <f aca="false">IF(OR(W379="",$E379=""),"",W379-$E379)</f>
        <v/>
      </c>
      <c r="Y379" s="39"/>
      <c r="Z379" s="40" t="str">
        <f aca="false">IF(OR(Y379="",BW379=""),"",Y379/BW379*100)</f>
        <v/>
      </c>
      <c r="AA379" s="41" t="str">
        <f aca="false">IF(Z379="","",IFERROR(MATCH(Z379,INDEX(Boundaries!$B$2:$I$30,MATCH(CK379,Boundaries!$A$2:$A$30,0),0),1)-1,""))</f>
        <v/>
      </c>
      <c r="AB379" s="42" t="str">
        <f aca="false">IF(OR(AA379="",$E379=""),"",AA379-$E379)</f>
        <v/>
      </c>
      <c r="AC379" s="39"/>
      <c r="AD379" s="40" t="str">
        <f aca="false">IF(OR(AC379="",BX379=""),"",AC379/BX379*100)</f>
        <v/>
      </c>
      <c r="AE379" s="41" t="str">
        <f aca="false">IF(AD379="","",IFERROR(MATCH(AD379,INDEX(Boundaries!$B$2:$I$30,MATCH(CL379,Boundaries!$A$2:$A$30,0),0),1)-1,""))</f>
        <v/>
      </c>
      <c r="AF379" s="42" t="str">
        <f aca="false">IF(OR(AE379="",$E379=""),"",AE379-$E379)</f>
        <v/>
      </c>
      <c r="AG379" s="39"/>
      <c r="AH379" s="40" t="str">
        <f aca="false">IF(OR(AG379="",BY379=""),"",AG379/BY379*100)</f>
        <v/>
      </c>
      <c r="AI379" s="41" t="str">
        <f aca="false">IF(AH379="","",IFERROR(MATCH(AH379,INDEX(Boundaries!$B$2:$I$30,MATCH(CM379,Boundaries!$A$2:$A$30,0),0),1)-1,""))</f>
        <v/>
      </c>
      <c r="AJ379" s="42" t="str">
        <f aca="false">IF(OR(AI379="",$E379=""),"",AI379-$E379)</f>
        <v/>
      </c>
      <c r="AK379" s="39"/>
      <c r="AL379" s="40" t="str">
        <f aca="false">IF(OR(AK379="",BZ379=""),"",AK379/BZ379*100)</f>
        <v/>
      </c>
      <c r="AM379" s="41" t="str">
        <f aca="false">IF(AL379="","",IFERROR(MATCH(AL379,INDEX(Boundaries!$B$2:$I$30,MATCH(CN379,Boundaries!$A$2:$A$30,0),0),1)-1,""))</f>
        <v/>
      </c>
      <c r="AN379" s="42" t="str">
        <f aca="false">IF(OR(AM379="",$E379=""),"",AM379-$E379)</f>
        <v/>
      </c>
      <c r="AO379" s="39"/>
      <c r="AP379" s="40" t="str">
        <f aca="false">IF(OR(AO379="",CA379=""),"",AO379/CA379*100)</f>
        <v/>
      </c>
      <c r="AQ379" s="41" t="str">
        <f aca="false">IF(AP379="","",IFERROR(MATCH(AP379,INDEX(Boundaries!$B$2:$I$30,MATCH(CO379,Boundaries!$A$2:$A$30,0),0),1)-1,""))</f>
        <v/>
      </c>
      <c r="AR379" s="42" t="str">
        <f aca="false">IF(OR(AQ379="",$E379=""),"",AQ379-$E379)</f>
        <v/>
      </c>
      <c r="AS379" s="39"/>
      <c r="AT379" s="40" t="str">
        <f aca="false">IF(OR(AS379="",CB379=""),"",AS379/CB379*100)</f>
        <v/>
      </c>
      <c r="AU379" s="41" t="str">
        <f aca="false">IF(AT379="","",IFERROR(MATCH(AT379,INDEX(Boundaries!$B$2:$I$30,MATCH(CP379,Boundaries!$A$2:$A$30,0),0),1)-1,""))</f>
        <v/>
      </c>
      <c r="AV379" s="42" t="str">
        <f aca="false">IF(OR(AU379="",$E379=""),"",AU379-$E379)</f>
        <v/>
      </c>
      <c r="AW379" s="39"/>
      <c r="AX379" s="40" t="str">
        <f aca="false">IF(OR(AW379="",CC379=""),"",AW379/CC379*100)</f>
        <v/>
      </c>
      <c r="AY379" s="41" t="str">
        <f aca="false">IF(AX379="","",IFERROR(MATCH(AX379,INDEX(Boundaries!$B$2:$I$30,MATCH(CQ379,Boundaries!$A$2:$A$30,0),0),1)-1,""))</f>
        <v/>
      </c>
      <c r="AZ379" s="42" t="str">
        <f aca="false">IF(OR(AY379="",$E379=""),"",AY379-$E379)</f>
        <v/>
      </c>
      <c r="BA379" s="39"/>
      <c r="BB379" s="40" t="str">
        <f aca="false">IF(OR(BA379="",CD379=""),"",BA379/CD379*100)</f>
        <v/>
      </c>
      <c r="BC379" s="41" t="str">
        <f aca="false">IF(BB379="","",IFERROR(MATCH(BB379,INDEX(Boundaries!$B$2:$I$30,MATCH(CR379,Boundaries!$A$2:$A$30,0),0),1)-1,""))</f>
        <v/>
      </c>
      <c r="BD379" s="42" t="str">
        <f aca="false">IF(OR(BC379="",$E379=""),"",BC379-$E379)</f>
        <v/>
      </c>
      <c r="BE379" s="39"/>
      <c r="BF379" s="40" t="str">
        <f aca="false">IF(OR(BE379="",CE379=""),"",BE379/CE379*100)</f>
        <v/>
      </c>
      <c r="BG379" s="41" t="str">
        <f aca="false">IF(BF379="","",IFERROR(MATCH(BF379,INDEX(Boundaries!$B$2:$I$30,MATCH(CS379,Boundaries!$A$2:$A$30,0),0),1)-1,""))</f>
        <v/>
      </c>
      <c r="BH379" s="42" t="str">
        <f aca="false">IF(OR(BG379="",$E379=""),"",BG379-$E379)</f>
        <v/>
      </c>
      <c r="BI379" s="39"/>
      <c r="BJ379" s="40" t="str">
        <f aca="false">IF(OR(BI379="",CF379=""),"",BI379/CF379*100)</f>
        <v/>
      </c>
      <c r="BK379" s="41" t="str">
        <f aca="false">IF(BJ379="","",IFERROR(MATCH(BJ379,INDEX(Boundaries!$B$2:$I$30,MATCH(CT379,Boundaries!$A$2:$A$30,0),0),1)-1,""))</f>
        <v/>
      </c>
      <c r="BL379" s="42" t="str">
        <f aca="false">IF(OR(BK379="",$E379=""),"",BK379-$E379)</f>
        <v/>
      </c>
      <c r="BM379" s="39"/>
      <c r="BN379" s="40" t="str">
        <f aca="false">IF(OR(BM379="",CG379=""),"",BM379/CG379*100)</f>
        <v/>
      </c>
      <c r="BO379" s="41" t="str">
        <f aca="false">IF(BN379="","",IFERROR(MATCH(BN379,INDEX(Boundaries!$B$2:$I$30,MATCH(CU379,Boundaries!$A$2:$A$30,0),0),1)-1,""))</f>
        <v/>
      </c>
      <c r="BP379" s="42" t="str">
        <f aca="false">IF(OR(BO379="",$E379=""),"",BO379-$E379)</f>
        <v/>
      </c>
      <c r="BQ379" s="39"/>
      <c r="BR379" s="40" t="str">
        <f aca="false">IF(OR(BQ379="",CH379=""),"",BQ379/CH379*100)</f>
        <v/>
      </c>
      <c r="BS379" s="41" t="str">
        <f aca="false">IF(BR379="","",IFERROR(MATCH(BR379,INDEX(Boundaries!$B$2:$I$30,MATCH(CV379,Boundaries!$A$2:$A$30,0),0),1)-1,""))</f>
        <v/>
      </c>
      <c r="BT379" s="42" t="str">
        <f aca="false">IF(OR(BS379="",$E379=""),"",BS379-$E379)</f>
        <v/>
      </c>
      <c r="BU379" s="28" t="str">
        <f aca="false">IFERROR(INDEX(Assessments!$H$2:$H$600,MATCH($H379&amp;"|"&amp;$I379&amp;"|"&amp;$J379&amp;"|"&amp;1,Assessments!$A$2:$A$600,0)),"")</f>
        <v/>
      </c>
      <c r="BV379" s="28" t="str">
        <f aca="false">IFERROR(INDEX(Assessments!$H$2:$H$600,MATCH($H379&amp;"|"&amp;$I379&amp;"|"&amp;$J379&amp;"|"&amp;2,Assessments!$A$2:$A$600,0)),"")</f>
        <v/>
      </c>
      <c r="BW379" s="28" t="str">
        <f aca="false">IFERROR(INDEX(Assessments!$H$2:$H$600,MATCH($H379&amp;"|"&amp;$I379&amp;"|"&amp;$J379&amp;"|"&amp;3,Assessments!$A$2:$A$600,0)),"")</f>
        <v/>
      </c>
      <c r="BX379" s="28" t="str">
        <f aca="false">IFERROR(INDEX(Assessments!$H$2:$H$600,MATCH($H379&amp;"|"&amp;$I379&amp;"|"&amp;$J379&amp;"|"&amp;4,Assessments!$A$2:$A$600,0)),"")</f>
        <v/>
      </c>
      <c r="BY379" s="28" t="str">
        <f aca="false">IFERROR(INDEX(Assessments!$H$2:$H$600,MATCH($H379&amp;"|"&amp;$I379&amp;"|"&amp;$J379&amp;"|"&amp;5,Assessments!$A$2:$A$600,0)),"")</f>
        <v/>
      </c>
      <c r="BZ379" s="28" t="str">
        <f aca="false">IFERROR(INDEX(Assessments!$H$2:$H$600,MATCH($H379&amp;"|"&amp;$I379&amp;"|"&amp;$J379&amp;"|"&amp;6,Assessments!$A$2:$A$600,0)),"")</f>
        <v/>
      </c>
      <c r="CA379" s="28" t="str">
        <f aca="false">IFERROR(INDEX(Assessments!$H$2:$H$600,MATCH($H379&amp;"|"&amp;$I379&amp;"|"&amp;$J379&amp;"|"&amp;7,Assessments!$A$2:$A$600,0)),"")</f>
        <v/>
      </c>
      <c r="CB379" s="28" t="str">
        <f aca="false">IFERROR(INDEX(Assessments!$H$2:$H$600,MATCH($H379&amp;"|"&amp;$I379&amp;"|"&amp;$J379&amp;"|"&amp;8,Assessments!$A$2:$A$600,0)),"")</f>
        <v/>
      </c>
      <c r="CC379" s="28" t="str">
        <f aca="false">IFERROR(INDEX(Assessments!$H$2:$H$600,MATCH($H379&amp;"|"&amp;$I379&amp;"|"&amp;$J379&amp;"|"&amp;9,Assessments!$A$2:$A$600,0)),"")</f>
        <v/>
      </c>
      <c r="CD379" s="28" t="str">
        <f aca="false">IFERROR(INDEX(Assessments!$H$2:$H$600,MATCH($H379&amp;"|"&amp;$I379&amp;"|"&amp;$J379&amp;"|"&amp;10,Assessments!$A$2:$A$600,0)),"")</f>
        <v/>
      </c>
      <c r="CE379" s="28" t="str">
        <f aca="false">IFERROR(INDEX(Assessments!$H$2:$H$600,MATCH($H379&amp;"|"&amp;$I379&amp;"|"&amp;$J379&amp;"|"&amp;11,Assessments!$A$2:$A$600,0)),"")</f>
        <v/>
      </c>
      <c r="CF379" s="28" t="str">
        <f aca="false">IFERROR(INDEX(Assessments!$H$2:$H$600,MATCH($H379&amp;"|"&amp;$I379&amp;"|"&amp;$J379&amp;"|"&amp;12,Assessments!$A$2:$A$600,0)),"")</f>
        <v/>
      </c>
      <c r="CG379" s="28" t="str">
        <f aca="false">IFERROR(INDEX(Assessments!$H$2:$H$600,MATCH($H379&amp;"|"&amp;$I379&amp;"|"&amp;$J379&amp;"|"&amp;13,Assessments!$A$2:$A$600,0)),"")</f>
        <v/>
      </c>
      <c r="CH379" s="28" t="str">
        <f aca="false">IFERROR(INDEX(Assessments!$H$2:$H$600,MATCH($H379&amp;"|"&amp;$I379&amp;"|"&amp;$J379&amp;"|"&amp;14,Assessments!$A$2:$A$600,0)),"")</f>
        <v/>
      </c>
      <c r="CI379" s="28" t="str">
        <f aca="false">IFERROR(INDEX(Assessments!$I$2:$I$600,MATCH($H379&amp;"|"&amp;$I379&amp;"|"&amp;$J379&amp;"|"&amp;1,Assessments!$A$2:$A$600,0)),"")</f>
        <v/>
      </c>
      <c r="CJ379" s="28" t="str">
        <f aca="false">IFERROR(INDEX(Assessments!$I$2:$I$600,MATCH($H379&amp;"|"&amp;$I379&amp;"|"&amp;$J379&amp;"|"&amp;2,Assessments!$A$2:$A$600,0)),"")</f>
        <v/>
      </c>
      <c r="CK379" s="28" t="str">
        <f aca="false">IFERROR(INDEX(Assessments!$I$2:$I$600,MATCH($H379&amp;"|"&amp;$I379&amp;"|"&amp;$J379&amp;"|"&amp;3,Assessments!$A$2:$A$600,0)),"")</f>
        <v/>
      </c>
      <c r="CL379" s="28" t="str">
        <f aca="false">IFERROR(INDEX(Assessments!$I$2:$I$600,MATCH($H379&amp;"|"&amp;$I379&amp;"|"&amp;$J379&amp;"|"&amp;4,Assessments!$A$2:$A$600,0)),"")</f>
        <v/>
      </c>
      <c r="CM379" s="28" t="str">
        <f aca="false">IFERROR(INDEX(Assessments!$I$2:$I$600,MATCH($H379&amp;"|"&amp;$I379&amp;"|"&amp;$J379&amp;"|"&amp;5,Assessments!$A$2:$A$600,0)),"")</f>
        <v/>
      </c>
      <c r="CN379" s="28" t="str">
        <f aca="false">IFERROR(INDEX(Assessments!$I$2:$I$600,MATCH($H379&amp;"|"&amp;$I379&amp;"|"&amp;$J379&amp;"|"&amp;6,Assessments!$A$2:$A$600,0)),"")</f>
        <v/>
      </c>
      <c r="CO379" s="28" t="str">
        <f aca="false">IFERROR(INDEX(Assessments!$I$2:$I$600,MATCH($H379&amp;"|"&amp;$I379&amp;"|"&amp;$J379&amp;"|"&amp;7,Assessments!$A$2:$A$600,0)),"")</f>
        <v/>
      </c>
      <c r="CP379" s="28" t="str">
        <f aca="false">IFERROR(INDEX(Assessments!$I$2:$I$600,MATCH($H379&amp;"|"&amp;$I379&amp;"|"&amp;$J379&amp;"|"&amp;8,Assessments!$A$2:$A$600,0)),"")</f>
        <v/>
      </c>
      <c r="CQ379" s="28" t="str">
        <f aca="false">IFERROR(INDEX(Assessments!$I$2:$I$600,MATCH($H379&amp;"|"&amp;$I379&amp;"|"&amp;$J379&amp;"|"&amp;9,Assessments!$A$2:$A$600,0)),"")</f>
        <v/>
      </c>
      <c r="CR379" s="28" t="str">
        <f aca="false">IFERROR(INDEX(Assessments!$I$2:$I$600,MATCH($H379&amp;"|"&amp;$I379&amp;"|"&amp;$J379&amp;"|"&amp;10,Assessments!$A$2:$A$600,0)),"")</f>
        <v/>
      </c>
      <c r="CS379" s="28" t="str">
        <f aca="false">IFERROR(INDEX(Assessments!$I$2:$I$600,MATCH($H379&amp;"|"&amp;$I379&amp;"|"&amp;$J379&amp;"|"&amp;11,Assessments!$A$2:$A$600,0)),"")</f>
        <v/>
      </c>
      <c r="CT379" s="28" t="str">
        <f aca="false">IFERROR(INDEX(Assessments!$I$2:$I$600,MATCH($H379&amp;"|"&amp;$I379&amp;"|"&amp;$J379&amp;"|"&amp;12,Assessments!$A$2:$A$600,0)),"")</f>
        <v/>
      </c>
      <c r="CU379" s="28" t="str">
        <f aca="false">IFERROR(INDEX(Assessments!$I$2:$I$600,MATCH($H379&amp;"|"&amp;$I379&amp;"|"&amp;$J379&amp;"|"&amp;13,Assessments!$A$2:$A$600,0)),"")</f>
        <v/>
      </c>
      <c r="CV379" s="28" t="str">
        <f aca="false">IFERROR(INDEX(Assessments!$I$2:$I$600,MATCH($H379&amp;"|"&amp;$I379&amp;"|"&amp;$J379&amp;"|"&amp;14,Assessments!$A$2:$A$600,0)),"")</f>
        <v/>
      </c>
      <c r="CW379" s="28" t="n">
        <f aca="false">IFERROR(INDEX(Assessments!$J$2:$J$600,MATCH($H379&amp;"|"&amp;$I379&amp;"|"&amp;$J379&amp;"|"&amp;1,Assessments!$A$2:$A$600,0)),0)</f>
        <v>0</v>
      </c>
      <c r="CX379" s="28" t="n">
        <f aca="false">IFERROR(INDEX(Assessments!$J$2:$J$600,MATCH($H379&amp;"|"&amp;$I379&amp;"|"&amp;$J379&amp;"|"&amp;2,Assessments!$A$2:$A$600,0)),0)</f>
        <v>0</v>
      </c>
      <c r="CY379" s="28" t="n">
        <f aca="false">IFERROR(INDEX(Assessments!$J$2:$J$600,MATCH($H379&amp;"|"&amp;$I379&amp;"|"&amp;$J379&amp;"|"&amp;3,Assessments!$A$2:$A$600,0)),0)</f>
        <v>0</v>
      </c>
      <c r="CZ379" s="28" t="n">
        <f aca="false">IFERROR(INDEX(Assessments!$J$2:$J$600,MATCH($H379&amp;"|"&amp;$I379&amp;"|"&amp;$J379&amp;"|"&amp;4,Assessments!$A$2:$A$600,0)),0)</f>
        <v>0</v>
      </c>
      <c r="DA379" s="28" t="n">
        <f aca="false">IFERROR(INDEX(Assessments!$J$2:$J$600,MATCH($H379&amp;"|"&amp;$I379&amp;"|"&amp;$J379&amp;"|"&amp;5,Assessments!$A$2:$A$600,0)),0)</f>
        <v>0</v>
      </c>
      <c r="DB379" s="28" t="n">
        <f aca="false">IFERROR(INDEX(Assessments!$J$2:$J$600,MATCH($H379&amp;"|"&amp;$I379&amp;"|"&amp;$J379&amp;"|"&amp;6,Assessments!$A$2:$A$600,0)),0)</f>
        <v>0</v>
      </c>
      <c r="DC379" s="28" t="n">
        <f aca="false">IFERROR(INDEX(Assessments!$J$2:$J$600,MATCH($H379&amp;"|"&amp;$I379&amp;"|"&amp;$J379&amp;"|"&amp;7,Assessments!$A$2:$A$600,0)),0)</f>
        <v>0</v>
      </c>
      <c r="DD379" s="28" t="n">
        <f aca="false">IFERROR(INDEX(Assessments!$J$2:$J$600,MATCH($H379&amp;"|"&amp;$I379&amp;"|"&amp;$J379&amp;"|"&amp;8,Assessments!$A$2:$A$600,0)),0)</f>
        <v>0</v>
      </c>
      <c r="DE379" s="28" t="n">
        <f aca="false">IFERROR(INDEX(Assessments!$J$2:$J$600,MATCH($H379&amp;"|"&amp;$I379&amp;"|"&amp;$J379&amp;"|"&amp;9,Assessments!$A$2:$A$600,0)),0)</f>
        <v>0</v>
      </c>
      <c r="DF379" s="28" t="n">
        <f aca="false">IFERROR(INDEX(Assessments!$J$2:$J$600,MATCH($H379&amp;"|"&amp;$I379&amp;"|"&amp;$J379&amp;"|"&amp;10,Assessments!$A$2:$A$600,0)),0)</f>
        <v>0</v>
      </c>
      <c r="DG379" s="28" t="n">
        <f aca="false">IFERROR(INDEX(Assessments!$J$2:$J$600,MATCH($H379&amp;"|"&amp;$I379&amp;"|"&amp;$J379&amp;"|"&amp;11,Assessments!$A$2:$A$600,0)),0)</f>
        <v>0</v>
      </c>
      <c r="DH379" s="28" t="n">
        <f aca="false">IFERROR(INDEX(Assessments!$J$2:$J$600,MATCH($H379&amp;"|"&amp;$I379&amp;"|"&amp;$J379&amp;"|"&amp;12,Assessments!$A$2:$A$600,0)),0)</f>
        <v>0</v>
      </c>
      <c r="DI379" s="28" t="n">
        <f aca="false">IFERROR(INDEX(Assessments!$J$2:$J$600,MATCH($H379&amp;"|"&amp;$I379&amp;"|"&amp;$J379&amp;"|"&amp;13,Assessments!$A$2:$A$600,0)),0)</f>
        <v>0</v>
      </c>
      <c r="DJ379" s="28" t="n">
        <f aca="false">IFERROR(INDEX(Assessments!$J$2:$J$600,MATCH($H379&amp;"|"&amp;$I379&amp;"|"&amp;$J379&amp;"|"&amp;14,Assessments!$A$2:$A$600,0)),0)</f>
        <v>0</v>
      </c>
      <c r="DK379" s="28" t="str">
        <f aca="false">S379</f>
        <v/>
      </c>
      <c r="DL379" s="28" t="str">
        <f aca="false">W379</f>
        <v/>
      </c>
      <c r="DM379" s="28" t="str">
        <f aca="false">AA379</f>
        <v/>
      </c>
      <c r="DN379" s="28" t="str">
        <f aca="false">AE379</f>
        <v/>
      </c>
      <c r="DO379" s="28" t="str">
        <f aca="false">AI379</f>
        <v/>
      </c>
      <c r="DP379" s="28" t="str">
        <f aca="false">AM379</f>
        <v/>
      </c>
      <c r="DQ379" s="28" t="str">
        <f aca="false">AQ379</f>
        <v/>
      </c>
      <c r="DR379" s="28" t="str">
        <f aca="false">AU379</f>
        <v/>
      </c>
      <c r="DS379" s="28" t="str">
        <f aca="false">AY379</f>
        <v/>
      </c>
      <c r="DT379" s="28" t="str">
        <f aca="false">BC379</f>
        <v/>
      </c>
      <c r="DU379" s="28" t="str">
        <f aca="false">BG379</f>
        <v/>
      </c>
      <c r="DV379" s="28" t="str">
        <f aca="false">BK379</f>
        <v/>
      </c>
      <c r="DW379" s="28" t="str">
        <f aca="false">BO379</f>
        <v/>
      </c>
      <c r="DX379" s="28" t="str">
        <f aca="false">BS379</f>
        <v/>
      </c>
      <c r="DY379" s="28" t="str">
        <f aca="false">IF(ISNUMBER(S379),1,"")</f>
        <v/>
      </c>
      <c r="DZ379" s="28" t="str">
        <f aca="false">IF(ISNUMBER(W379),2,"")</f>
        <v/>
      </c>
      <c r="EA379" s="28" t="str">
        <f aca="false">IF(ISNUMBER(AA379),3,"")</f>
        <v/>
      </c>
      <c r="EB379" s="28" t="str">
        <f aca="false">IF(ISNUMBER(AE379),4,"")</f>
        <v/>
      </c>
      <c r="EC379" s="28" t="str">
        <f aca="false">IF(ISNUMBER(AI379),5,"")</f>
        <v/>
      </c>
      <c r="ED379" s="28" t="str">
        <f aca="false">IF(ISNUMBER(AM379),6,"")</f>
        <v/>
      </c>
      <c r="EE379" s="28" t="str">
        <f aca="false">IF(ISNUMBER(AQ379),7,"")</f>
        <v/>
      </c>
      <c r="EF379" s="28" t="str">
        <f aca="false">IF(ISNUMBER(AU379),8,"")</f>
        <v/>
      </c>
      <c r="EG379" s="28" t="str">
        <f aca="false">IF(ISNUMBER(AY379),9,"")</f>
        <v/>
      </c>
      <c r="EH379" s="28" t="str">
        <f aca="false">IF(ISNUMBER(BC379),10,"")</f>
        <v/>
      </c>
      <c r="EI379" s="28" t="str">
        <f aca="false">IF(ISNUMBER(BG379),11,"")</f>
        <v/>
      </c>
      <c r="EJ379" s="28" t="str">
        <f aca="false">IF(ISNUMBER(BK379),12,"")</f>
        <v/>
      </c>
      <c r="EK379" s="28" t="str">
        <f aca="false">IF(ISNUMBER(BO379),13,"")</f>
        <v/>
      </c>
      <c r="EL379" s="28" t="str">
        <f aca="false">IF(ISNUMBER(BS379),14,"")</f>
        <v/>
      </c>
      <c r="EM379" s="28" t="n">
        <f aca="false">IF(ISNUMBER(R379),R379*CW379,0)</f>
        <v>0</v>
      </c>
      <c r="EN379" s="28" t="n">
        <f aca="false">IF(ISNUMBER(V379),V379*CX379,0)</f>
        <v>0</v>
      </c>
      <c r="EO379" s="28" t="n">
        <f aca="false">IF(ISNUMBER(Z379),Z379*CY379,0)</f>
        <v>0</v>
      </c>
      <c r="EP379" s="28" t="n">
        <f aca="false">IF(ISNUMBER(AD379),AD379*CZ379,0)</f>
        <v>0</v>
      </c>
      <c r="EQ379" s="28" t="n">
        <f aca="false">IF(ISNUMBER(AH379),AH379*DA379,0)</f>
        <v>0</v>
      </c>
      <c r="ER379" s="28" t="n">
        <f aca="false">IF(ISNUMBER(AL379),AL379*DB379,0)</f>
        <v>0</v>
      </c>
      <c r="ES379" s="28" t="n">
        <f aca="false">IF(ISNUMBER(AP379),AP379*DC379,0)</f>
        <v>0</v>
      </c>
      <c r="ET379" s="28" t="n">
        <f aca="false">IF(ISNUMBER(AT379),AT379*DD379,0)</f>
        <v>0</v>
      </c>
      <c r="EU379" s="28" t="n">
        <f aca="false">IF(ISNUMBER(AX379),AX379*DE379,0)</f>
        <v>0</v>
      </c>
      <c r="EV379" s="28" t="n">
        <f aca="false">IF(ISNUMBER(BB379),BB379*DF379,0)</f>
        <v>0</v>
      </c>
      <c r="EW379" s="28" t="n">
        <f aca="false">IF(ISNUMBER(BF379),BF379*DG379,0)</f>
        <v>0</v>
      </c>
      <c r="EX379" s="28" t="n">
        <f aca="false">IF(ISNUMBER(BJ379),BJ379*DH379,0)</f>
        <v>0</v>
      </c>
      <c r="EY379" s="28" t="n">
        <f aca="false">IF(ISNUMBER(BN379),BN379*DI379,0)</f>
        <v>0</v>
      </c>
      <c r="EZ379" s="28" t="n">
        <f aca="false">IF(ISNUMBER(BR379),BR379*DJ379,0)</f>
        <v>0</v>
      </c>
      <c r="FA379" s="28" t="n">
        <f aca="false">IF(ISNUMBER(R379),CW379,0)</f>
        <v>0</v>
      </c>
      <c r="FB379" s="28" t="n">
        <f aca="false">IF(ISNUMBER(V379),CX379,0)</f>
        <v>0</v>
      </c>
      <c r="FC379" s="28" t="n">
        <f aca="false">IF(ISNUMBER(Z379),CY379,0)</f>
        <v>0</v>
      </c>
      <c r="FD379" s="28" t="n">
        <f aca="false">IF(ISNUMBER(AD379),CZ379,0)</f>
        <v>0</v>
      </c>
      <c r="FE379" s="28" t="n">
        <f aca="false">IF(ISNUMBER(AH379),DA379,0)</f>
        <v>0</v>
      </c>
      <c r="FF379" s="28" t="n">
        <f aca="false">IF(ISNUMBER(AL379),DB379,0)</f>
        <v>0</v>
      </c>
      <c r="FG379" s="28" t="n">
        <f aca="false">IF(ISNUMBER(AP379),DC379,0)</f>
        <v>0</v>
      </c>
      <c r="FH379" s="28" t="n">
        <f aca="false">IF(ISNUMBER(AT379),DD379,0)</f>
        <v>0</v>
      </c>
      <c r="FI379" s="28" t="n">
        <f aca="false">IF(ISNUMBER(AX379),DE379,0)</f>
        <v>0</v>
      </c>
      <c r="FJ379" s="28" t="n">
        <f aca="false">IF(ISNUMBER(BB379),DF379,0)</f>
        <v>0</v>
      </c>
      <c r="FK379" s="28" t="n">
        <f aca="false">IF(ISNUMBER(BF379),DG379,0)</f>
        <v>0</v>
      </c>
      <c r="FL379" s="28" t="n">
        <f aca="false">IF(ISNUMBER(BJ379),DH379,0)</f>
        <v>0</v>
      </c>
      <c r="FM379" s="28" t="n">
        <f aca="false">IF(ISNUMBER(BN379),DI379,0)</f>
        <v>0</v>
      </c>
      <c r="FN379" s="28" t="n">
        <f aca="false">IF(ISNUMBER(BR379),DJ379,0)</f>
        <v>0</v>
      </c>
      <c r="FO379" s="28" t="str">
        <f aca="false">IFERROR(INDEX(Lists!$G$2:$G$20,MATCH($I379&amp;"|"&amp;$J379,Lists!$F$2:$F$20,0)),"")</f>
        <v/>
      </c>
    </row>
    <row r="380" customFormat="false" ht="19.5" hidden="false" customHeight="true" outlineLevel="0" collapsed="false">
      <c r="A380" s="29"/>
      <c r="B380" s="29"/>
      <c r="C380" s="30"/>
      <c r="D380" s="30"/>
      <c r="E380" s="31"/>
      <c r="F380" s="30"/>
      <c r="G380" s="30"/>
      <c r="H380" s="32"/>
      <c r="I380" s="33"/>
      <c r="J380" s="32"/>
      <c r="K380" s="34" t="str">
        <f aca="false">IF(OR(M380="",$E380=""),"",M380-$E380)</f>
        <v/>
      </c>
      <c r="L380" s="35" t="str">
        <f aca="false">IF(SUM(FA380:FN380)=0,"",SUM(EM380:EZ380)/SUM(FA380:FN380))</f>
        <v/>
      </c>
      <c r="M380" s="36" t="str">
        <f aca="false">IF(OR(L380="",FO380=""),"",IFERROR(MATCH(L380,INDEX(Boundaries!$B$2:$I$30,MATCH(FO380,Boundaries!$A$2:$A$30,0),0),1)-1,""))</f>
        <v/>
      </c>
      <c r="N380" s="37" t="str">
        <f aca="false">IF(COUNT($DY380:$EL380)&lt;2,"",INDEX($DK380:$DX380,MAX($DY380:$EL380))-INDEX($DK380:$DX380,MIN($DY380:$EL380)))</f>
        <v/>
      </c>
      <c r="O380" s="37" t="str">
        <f aca="false">IF(COUNT($DY380:$EL380)&lt;2,"",INDEX($DK380:$DX380,MAX($DY380:$EL380))-INDEX($DK380:$DX380,LARGE($DY380:$EL380,2)))</f>
        <v/>
      </c>
      <c r="P380" s="38" t="str">
        <f aca="false">IF(K380="","",IF(K380&gt;=0,"On/above target",IF(AND(N380&lt;&gt;"",N380&gt;=0.5),"Improving towards target",IF(AND(O380&lt;&gt;"",O380&lt;=-0.5),"Declining","Stable below target"))))</f>
        <v/>
      </c>
      <c r="Q380" s="39"/>
      <c r="R380" s="40" t="str">
        <f aca="false">IF(OR(Q380="",BU380=""),"",Q380/BU380*100)</f>
        <v/>
      </c>
      <c r="S380" s="41" t="str">
        <f aca="false">IF(R380="","",IFERROR(MATCH(R380,INDEX(Boundaries!$B$2:$I$30,MATCH(CI380,Boundaries!$A$2:$A$30,0),0),1)-1,""))</f>
        <v/>
      </c>
      <c r="T380" s="42" t="str">
        <f aca="false">IF(OR(S380="",$E380=""),"",S380-$E380)</f>
        <v/>
      </c>
      <c r="U380" s="39"/>
      <c r="V380" s="40" t="str">
        <f aca="false">IF(OR(U380="",BV380=""),"",U380/BV380*100)</f>
        <v/>
      </c>
      <c r="W380" s="41" t="str">
        <f aca="false">IF(V380="","",IFERROR(MATCH(V380,INDEX(Boundaries!$B$2:$I$30,MATCH(CJ380,Boundaries!$A$2:$A$30,0),0),1)-1,""))</f>
        <v/>
      </c>
      <c r="X380" s="42" t="str">
        <f aca="false">IF(OR(W380="",$E380=""),"",W380-$E380)</f>
        <v/>
      </c>
      <c r="Y380" s="39"/>
      <c r="Z380" s="40" t="str">
        <f aca="false">IF(OR(Y380="",BW380=""),"",Y380/BW380*100)</f>
        <v/>
      </c>
      <c r="AA380" s="41" t="str">
        <f aca="false">IF(Z380="","",IFERROR(MATCH(Z380,INDEX(Boundaries!$B$2:$I$30,MATCH(CK380,Boundaries!$A$2:$A$30,0),0),1)-1,""))</f>
        <v/>
      </c>
      <c r="AB380" s="42" t="str">
        <f aca="false">IF(OR(AA380="",$E380=""),"",AA380-$E380)</f>
        <v/>
      </c>
      <c r="AC380" s="39"/>
      <c r="AD380" s="40" t="str">
        <f aca="false">IF(OR(AC380="",BX380=""),"",AC380/BX380*100)</f>
        <v/>
      </c>
      <c r="AE380" s="41" t="str">
        <f aca="false">IF(AD380="","",IFERROR(MATCH(AD380,INDEX(Boundaries!$B$2:$I$30,MATCH(CL380,Boundaries!$A$2:$A$30,0),0),1)-1,""))</f>
        <v/>
      </c>
      <c r="AF380" s="42" t="str">
        <f aca="false">IF(OR(AE380="",$E380=""),"",AE380-$E380)</f>
        <v/>
      </c>
      <c r="AG380" s="39"/>
      <c r="AH380" s="40" t="str">
        <f aca="false">IF(OR(AG380="",BY380=""),"",AG380/BY380*100)</f>
        <v/>
      </c>
      <c r="AI380" s="41" t="str">
        <f aca="false">IF(AH380="","",IFERROR(MATCH(AH380,INDEX(Boundaries!$B$2:$I$30,MATCH(CM380,Boundaries!$A$2:$A$30,0),0),1)-1,""))</f>
        <v/>
      </c>
      <c r="AJ380" s="42" t="str">
        <f aca="false">IF(OR(AI380="",$E380=""),"",AI380-$E380)</f>
        <v/>
      </c>
      <c r="AK380" s="39"/>
      <c r="AL380" s="40" t="str">
        <f aca="false">IF(OR(AK380="",BZ380=""),"",AK380/BZ380*100)</f>
        <v/>
      </c>
      <c r="AM380" s="41" t="str">
        <f aca="false">IF(AL380="","",IFERROR(MATCH(AL380,INDEX(Boundaries!$B$2:$I$30,MATCH(CN380,Boundaries!$A$2:$A$30,0),0),1)-1,""))</f>
        <v/>
      </c>
      <c r="AN380" s="42" t="str">
        <f aca="false">IF(OR(AM380="",$E380=""),"",AM380-$E380)</f>
        <v/>
      </c>
      <c r="AO380" s="39"/>
      <c r="AP380" s="40" t="str">
        <f aca="false">IF(OR(AO380="",CA380=""),"",AO380/CA380*100)</f>
        <v/>
      </c>
      <c r="AQ380" s="41" t="str">
        <f aca="false">IF(AP380="","",IFERROR(MATCH(AP380,INDEX(Boundaries!$B$2:$I$30,MATCH(CO380,Boundaries!$A$2:$A$30,0),0),1)-1,""))</f>
        <v/>
      </c>
      <c r="AR380" s="42" t="str">
        <f aca="false">IF(OR(AQ380="",$E380=""),"",AQ380-$E380)</f>
        <v/>
      </c>
      <c r="AS380" s="39"/>
      <c r="AT380" s="40" t="str">
        <f aca="false">IF(OR(AS380="",CB380=""),"",AS380/CB380*100)</f>
        <v/>
      </c>
      <c r="AU380" s="41" t="str">
        <f aca="false">IF(AT380="","",IFERROR(MATCH(AT380,INDEX(Boundaries!$B$2:$I$30,MATCH(CP380,Boundaries!$A$2:$A$30,0),0),1)-1,""))</f>
        <v/>
      </c>
      <c r="AV380" s="42" t="str">
        <f aca="false">IF(OR(AU380="",$E380=""),"",AU380-$E380)</f>
        <v/>
      </c>
      <c r="AW380" s="39"/>
      <c r="AX380" s="40" t="str">
        <f aca="false">IF(OR(AW380="",CC380=""),"",AW380/CC380*100)</f>
        <v/>
      </c>
      <c r="AY380" s="41" t="str">
        <f aca="false">IF(AX380="","",IFERROR(MATCH(AX380,INDEX(Boundaries!$B$2:$I$30,MATCH(CQ380,Boundaries!$A$2:$A$30,0),0),1)-1,""))</f>
        <v/>
      </c>
      <c r="AZ380" s="42" t="str">
        <f aca="false">IF(OR(AY380="",$E380=""),"",AY380-$E380)</f>
        <v/>
      </c>
      <c r="BA380" s="39"/>
      <c r="BB380" s="40" t="str">
        <f aca="false">IF(OR(BA380="",CD380=""),"",BA380/CD380*100)</f>
        <v/>
      </c>
      <c r="BC380" s="41" t="str">
        <f aca="false">IF(BB380="","",IFERROR(MATCH(BB380,INDEX(Boundaries!$B$2:$I$30,MATCH(CR380,Boundaries!$A$2:$A$30,0),0),1)-1,""))</f>
        <v/>
      </c>
      <c r="BD380" s="42" t="str">
        <f aca="false">IF(OR(BC380="",$E380=""),"",BC380-$E380)</f>
        <v/>
      </c>
      <c r="BE380" s="39"/>
      <c r="BF380" s="40" t="str">
        <f aca="false">IF(OR(BE380="",CE380=""),"",BE380/CE380*100)</f>
        <v/>
      </c>
      <c r="BG380" s="41" t="str">
        <f aca="false">IF(BF380="","",IFERROR(MATCH(BF380,INDEX(Boundaries!$B$2:$I$30,MATCH(CS380,Boundaries!$A$2:$A$30,0),0),1)-1,""))</f>
        <v/>
      </c>
      <c r="BH380" s="42" t="str">
        <f aca="false">IF(OR(BG380="",$E380=""),"",BG380-$E380)</f>
        <v/>
      </c>
      <c r="BI380" s="39"/>
      <c r="BJ380" s="40" t="str">
        <f aca="false">IF(OR(BI380="",CF380=""),"",BI380/CF380*100)</f>
        <v/>
      </c>
      <c r="BK380" s="41" t="str">
        <f aca="false">IF(BJ380="","",IFERROR(MATCH(BJ380,INDEX(Boundaries!$B$2:$I$30,MATCH(CT380,Boundaries!$A$2:$A$30,0),0),1)-1,""))</f>
        <v/>
      </c>
      <c r="BL380" s="42" t="str">
        <f aca="false">IF(OR(BK380="",$E380=""),"",BK380-$E380)</f>
        <v/>
      </c>
      <c r="BM380" s="39"/>
      <c r="BN380" s="40" t="str">
        <f aca="false">IF(OR(BM380="",CG380=""),"",BM380/CG380*100)</f>
        <v/>
      </c>
      <c r="BO380" s="41" t="str">
        <f aca="false">IF(BN380="","",IFERROR(MATCH(BN380,INDEX(Boundaries!$B$2:$I$30,MATCH(CU380,Boundaries!$A$2:$A$30,0),0),1)-1,""))</f>
        <v/>
      </c>
      <c r="BP380" s="42" t="str">
        <f aca="false">IF(OR(BO380="",$E380=""),"",BO380-$E380)</f>
        <v/>
      </c>
      <c r="BQ380" s="39"/>
      <c r="BR380" s="40" t="str">
        <f aca="false">IF(OR(BQ380="",CH380=""),"",BQ380/CH380*100)</f>
        <v/>
      </c>
      <c r="BS380" s="41" t="str">
        <f aca="false">IF(BR380="","",IFERROR(MATCH(BR380,INDEX(Boundaries!$B$2:$I$30,MATCH(CV380,Boundaries!$A$2:$A$30,0),0),1)-1,""))</f>
        <v/>
      </c>
      <c r="BT380" s="42" t="str">
        <f aca="false">IF(OR(BS380="",$E380=""),"",BS380-$E380)</f>
        <v/>
      </c>
      <c r="BU380" s="28" t="str">
        <f aca="false">IFERROR(INDEX(Assessments!$H$2:$H$600,MATCH($H380&amp;"|"&amp;$I380&amp;"|"&amp;$J380&amp;"|"&amp;1,Assessments!$A$2:$A$600,0)),"")</f>
        <v/>
      </c>
      <c r="BV380" s="28" t="str">
        <f aca="false">IFERROR(INDEX(Assessments!$H$2:$H$600,MATCH($H380&amp;"|"&amp;$I380&amp;"|"&amp;$J380&amp;"|"&amp;2,Assessments!$A$2:$A$600,0)),"")</f>
        <v/>
      </c>
      <c r="BW380" s="28" t="str">
        <f aca="false">IFERROR(INDEX(Assessments!$H$2:$H$600,MATCH($H380&amp;"|"&amp;$I380&amp;"|"&amp;$J380&amp;"|"&amp;3,Assessments!$A$2:$A$600,0)),"")</f>
        <v/>
      </c>
      <c r="BX380" s="28" t="str">
        <f aca="false">IFERROR(INDEX(Assessments!$H$2:$H$600,MATCH($H380&amp;"|"&amp;$I380&amp;"|"&amp;$J380&amp;"|"&amp;4,Assessments!$A$2:$A$600,0)),"")</f>
        <v/>
      </c>
      <c r="BY380" s="28" t="str">
        <f aca="false">IFERROR(INDEX(Assessments!$H$2:$H$600,MATCH($H380&amp;"|"&amp;$I380&amp;"|"&amp;$J380&amp;"|"&amp;5,Assessments!$A$2:$A$600,0)),"")</f>
        <v/>
      </c>
      <c r="BZ380" s="28" t="str">
        <f aca="false">IFERROR(INDEX(Assessments!$H$2:$H$600,MATCH($H380&amp;"|"&amp;$I380&amp;"|"&amp;$J380&amp;"|"&amp;6,Assessments!$A$2:$A$600,0)),"")</f>
        <v/>
      </c>
      <c r="CA380" s="28" t="str">
        <f aca="false">IFERROR(INDEX(Assessments!$H$2:$H$600,MATCH($H380&amp;"|"&amp;$I380&amp;"|"&amp;$J380&amp;"|"&amp;7,Assessments!$A$2:$A$600,0)),"")</f>
        <v/>
      </c>
      <c r="CB380" s="28" t="str">
        <f aca="false">IFERROR(INDEX(Assessments!$H$2:$H$600,MATCH($H380&amp;"|"&amp;$I380&amp;"|"&amp;$J380&amp;"|"&amp;8,Assessments!$A$2:$A$600,0)),"")</f>
        <v/>
      </c>
      <c r="CC380" s="28" t="str">
        <f aca="false">IFERROR(INDEX(Assessments!$H$2:$H$600,MATCH($H380&amp;"|"&amp;$I380&amp;"|"&amp;$J380&amp;"|"&amp;9,Assessments!$A$2:$A$600,0)),"")</f>
        <v/>
      </c>
      <c r="CD380" s="28" t="str">
        <f aca="false">IFERROR(INDEX(Assessments!$H$2:$H$600,MATCH($H380&amp;"|"&amp;$I380&amp;"|"&amp;$J380&amp;"|"&amp;10,Assessments!$A$2:$A$600,0)),"")</f>
        <v/>
      </c>
      <c r="CE380" s="28" t="str">
        <f aca="false">IFERROR(INDEX(Assessments!$H$2:$H$600,MATCH($H380&amp;"|"&amp;$I380&amp;"|"&amp;$J380&amp;"|"&amp;11,Assessments!$A$2:$A$600,0)),"")</f>
        <v/>
      </c>
      <c r="CF380" s="28" t="str">
        <f aca="false">IFERROR(INDEX(Assessments!$H$2:$H$600,MATCH($H380&amp;"|"&amp;$I380&amp;"|"&amp;$J380&amp;"|"&amp;12,Assessments!$A$2:$A$600,0)),"")</f>
        <v/>
      </c>
      <c r="CG380" s="28" t="str">
        <f aca="false">IFERROR(INDEX(Assessments!$H$2:$H$600,MATCH($H380&amp;"|"&amp;$I380&amp;"|"&amp;$J380&amp;"|"&amp;13,Assessments!$A$2:$A$600,0)),"")</f>
        <v/>
      </c>
      <c r="CH380" s="28" t="str">
        <f aca="false">IFERROR(INDEX(Assessments!$H$2:$H$600,MATCH($H380&amp;"|"&amp;$I380&amp;"|"&amp;$J380&amp;"|"&amp;14,Assessments!$A$2:$A$600,0)),"")</f>
        <v/>
      </c>
      <c r="CI380" s="28" t="str">
        <f aca="false">IFERROR(INDEX(Assessments!$I$2:$I$600,MATCH($H380&amp;"|"&amp;$I380&amp;"|"&amp;$J380&amp;"|"&amp;1,Assessments!$A$2:$A$600,0)),"")</f>
        <v/>
      </c>
      <c r="CJ380" s="28" t="str">
        <f aca="false">IFERROR(INDEX(Assessments!$I$2:$I$600,MATCH($H380&amp;"|"&amp;$I380&amp;"|"&amp;$J380&amp;"|"&amp;2,Assessments!$A$2:$A$600,0)),"")</f>
        <v/>
      </c>
      <c r="CK380" s="28" t="str">
        <f aca="false">IFERROR(INDEX(Assessments!$I$2:$I$600,MATCH($H380&amp;"|"&amp;$I380&amp;"|"&amp;$J380&amp;"|"&amp;3,Assessments!$A$2:$A$600,0)),"")</f>
        <v/>
      </c>
      <c r="CL380" s="28" t="str">
        <f aca="false">IFERROR(INDEX(Assessments!$I$2:$I$600,MATCH($H380&amp;"|"&amp;$I380&amp;"|"&amp;$J380&amp;"|"&amp;4,Assessments!$A$2:$A$600,0)),"")</f>
        <v/>
      </c>
      <c r="CM380" s="28" t="str">
        <f aca="false">IFERROR(INDEX(Assessments!$I$2:$I$600,MATCH($H380&amp;"|"&amp;$I380&amp;"|"&amp;$J380&amp;"|"&amp;5,Assessments!$A$2:$A$600,0)),"")</f>
        <v/>
      </c>
      <c r="CN380" s="28" t="str">
        <f aca="false">IFERROR(INDEX(Assessments!$I$2:$I$600,MATCH($H380&amp;"|"&amp;$I380&amp;"|"&amp;$J380&amp;"|"&amp;6,Assessments!$A$2:$A$600,0)),"")</f>
        <v/>
      </c>
      <c r="CO380" s="28" t="str">
        <f aca="false">IFERROR(INDEX(Assessments!$I$2:$I$600,MATCH($H380&amp;"|"&amp;$I380&amp;"|"&amp;$J380&amp;"|"&amp;7,Assessments!$A$2:$A$600,0)),"")</f>
        <v/>
      </c>
      <c r="CP380" s="28" t="str">
        <f aca="false">IFERROR(INDEX(Assessments!$I$2:$I$600,MATCH($H380&amp;"|"&amp;$I380&amp;"|"&amp;$J380&amp;"|"&amp;8,Assessments!$A$2:$A$600,0)),"")</f>
        <v/>
      </c>
      <c r="CQ380" s="28" t="str">
        <f aca="false">IFERROR(INDEX(Assessments!$I$2:$I$600,MATCH($H380&amp;"|"&amp;$I380&amp;"|"&amp;$J380&amp;"|"&amp;9,Assessments!$A$2:$A$600,0)),"")</f>
        <v/>
      </c>
      <c r="CR380" s="28" t="str">
        <f aca="false">IFERROR(INDEX(Assessments!$I$2:$I$600,MATCH($H380&amp;"|"&amp;$I380&amp;"|"&amp;$J380&amp;"|"&amp;10,Assessments!$A$2:$A$600,0)),"")</f>
        <v/>
      </c>
      <c r="CS380" s="28" t="str">
        <f aca="false">IFERROR(INDEX(Assessments!$I$2:$I$600,MATCH($H380&amp;"|"&amp;$I380&amp;"|"&amp;$J380&amp;"|"&amp;11,Assessments!$A$2:$A$600,0)),"")</f>
        <v/>
      </c>
      <c r="CT380" s="28" t="str">
        <f aca="false">IFERROR(INDEX(Assessments!$I$2:$I$600,MATCH($H380&amp;"|"&amp;$I380&amp;"|"&amp;$J380&amp;"|"&amp;12,Assessments!$A$2:$A$600,0)),"")</f>
        <v/>
      </c>
      <c r="CU380" s="28" t="str">
        <f aca="false">IFERROR(INDEX(Assessments!$I$2:$I$600,MATCH($H380&amp;"|"&amp;$I380&amp;"|"&amp;$J380&amp;"|"&amp;13,Assessments!$A$2:$A$600,0)),"")</f>
        <v/>
      </c>
      <c r="CV380" s="28" t="str">
        <f aca="false">IFERROR(INDEX(Assessments!$I$2:$I$600,MATCH($H380&amp;"|"&amp;$I380&amp;"|"&amp;$J380&amp;"|"&amp;14,Assessments!$A$2:$A$600,0)),"")</f>
        <v/>
      </c>
      <c r="CW380" s="28" t="n">
        <f aca="false">IFERROR(INDEX(Assessments!$J$2:$J$600,MATCH($H380&amp;"|"&amp;$I380&amp;"|"&amp;$J380&amp;"|"&amp;1,Assessments!$A$2:$A$600,0)),0)</f>
        <v>0</v>
      </c>
      <c r="CX380" s="28" t="n">
        <f aca="false">IFERROR(INDEX(Assessments!$J$2:$J$600,MATCH($H380&amp;"|"&amp;$I380&amp;"|"&amp;$J380&amp;"|"&amp;2,Assessments!$A$2:$A$600,0)),0)</f>
        <v>0</v>
      </c>
      <c r="CY380" s="28" t="n">
        <f aca="false">IFERROR(INDEX(Assessments!$J$2:$J$600,MATCH($H380&amp;"|"&amp;$I380&amp;"|"&amp;$J380&amp;"|"&amp;3,Assessments!$A$2:$A$600,0)),0)</f>
        <v>0</v>
      </c>
      <c r="CZ380" s="28" t="n">
        <f aca="false">IFERROR(INDEX(Assessments!$J$2:$J$600,MATCH($H380&amp;"|"&amp;$I380&amp;"|"&amp;$J380&amp;"|"&amp;4,Assessments!$A$2:$A$600,0)),0)</f>
        <v>0</v>
      </c>
      <c r="DA380" s="28" t="n">
        <f aca="false">IFERROR(INDEX(Assessments!$J$2:$J$600,MATCH($H380&amp;"|"&amp;$I380&amp;"|"&amp;$J380&amp;"|"&amp;5,Assessments!$A$2:$A$600,0)),0)</f>
        <v>0</v>
      </c>
      <c r="DB380" s="28" t="n">
        <f aca="false">IFERROR(INDEX(Assessments!$J$2:$J$600,MATCH($H380&amp;"|"&amp;$I380&amp;"|"&amp;$J380&amp;"|"&amp;6,Assessments!$A$2:$A$600,0)),0)</f>
        <v>0</v>
      </c>
      <c r="DC380" s="28" t="n">
        <f aca="false">IFERROR(INDEX(Assessments!$J$2:$J$600,MATCH($H380&amp;"|"&amp;$I380&amp;"|"&amp;$J380&amp;"|"&amp;7,Assessments!$A$2:$A$600,0)),0)</f>
        <v>0</v>
      </c>
      <c r="DD380" s="28" t="n">
        <f aca="false">IFERROR(INDEX(Assessments!$J$2:$J$600,MATCH($H380&amp;"|"&amp;$I380&amp;"|"&amp;$J380&amp;"|"&amp;8,Assessments!$A$2:$A$600,0)),0)</f>
        <v>0</v>
      </c>
      <c r="DE380" s="28" t="n">
        <f aca="false">IFERROR(INDEX(Assessments!$J$2:$J$600,MATCH($H380&amp;"|"&amp;$I380&amp;"|"&amp;$J380&amp;"|"&amp;9,Assessments!$A$2:$A$600,0)),0)</f>
        <v>0</v>
      </c>
      <c r="DF380" s="28" t="n">
        <f aca="false">IFERROR(INDEX(Assessments!$J$2:$J$600,MATCH($H380&amp;"|"&amp;$I380&amp;"|"&amp;$J380&amp;"|"&amp;10,Assessments!$A$2:$A$600,0)),0)</f>
        <v>0</v>
      </c>
      <c r="DG380" s="28" t="n">
        <f aca="false">IFERROR(INDEX(Assessments!$J$2:$J$600,MATCH($H380&amp;"|"&amp;$I380&amp;"|"&amp;$J380&amp;"|"&amp;11,Assessments!$A$2:$A$600,0)),0)</f>
        <v>0</v>
      </c>
      <c r="DH380" s="28" t="n">
        <f aca="false">IFERROR(INDEX(Assessments!$J$2:$J$600,MATCH($H380&amp;"|"&amp;$I380&amp;"|"&amp;$J380&amp;"|"&amp;12,Assessments!$A$2:$A$600,0)),0)</f>
        <v>0</v>
      </c>
      <c r="DI380" s="28" t="n">
        <f aca="false">IFERROR(INDEX(Assessments!$J$2:$J$600,MATCH($H380&amp;"|"&amp;$I380&amp;"|"&amp;$J380&amp;"|"&amp;13,Assessments!$A$2:$A$600,0)),0)</f>
        <v>0</v>
      </c>
      <c r="DJ380" s="28" t="n">
        <f aca="false">IFERROR(INDEX(Assessments!$J$2:$J$600,MATCH($H380&amp;"|"&amp;$I380&amp;"|"&amp;$J380&amp;"|"&amp;14,Assessments!$A$2:$A$600,0)),0)</f>
        <v>0</v>
      </c>
      <c r="DK380" s="28" t="str">
        <f aca="false">S380</f>
        <v/>
      </c>
      <c r="DL380" s="28" t="str">
        <f aca="false">W380</f>
        <v/>
      </c>
      <c r="DM380" s="28" t="str">
        <f aca="false">AA380</f>
        <v/>
      </c>
      <c r="DN380" s="28" t="str">
        <f aca="false">AE380</f>
        <v/>
      </c>
      <c r="DO380" s="28" t="str">
        <f aca="false">AI380</f>
        <v/>
      </c>
      <c r="DP380" s="28" t="str">
        <f aca="false">AM380</f>
        <v/>
      </c>
      <c r="DQ380" s="28" t="str">
        <f aca="false">AQ380</f>
        <v/>
      </c>
      <c r="DR380" s="28" t="str">
        <f aca="false">AU380</f>
        <v/>
      </c>
      <c r="DS380" s="28" t="str">
        <f aca="false">AY380</f>
        <v/>
      </c>
      <c r="DT380" s="28" t="str">
        <f aca="false">BC380</f>
        <v/>
      </c>
      <c r="DU380" s="28" t="str">
        <f aca="false">BG380</f>
        <v/>
      </c>
      <c r="DV380" s="28" t="str">
        <f aca="false">BK380</f>
        <v/>
      </c>
      <c r="DW380" s="28" t="str">
        <f aca="false">BO380</f>
        <v/>
      </c>
      <c r="DX380" s="28" t="str">
        <f aca="false">BS380</f>
        <v/>
      </c>
      <c r="DY380" s="28" t="str">
        <f aca="false">IF(ISNUMBER(S380),1,"")</f>
        <v/>
      </c>
      <c r="DZ380" s="28" t="str">
        <f aca="false">IF(ISNUMBER(W380),2,"")</f>
        <v/>
      </c>
      <c r="EA380" s="28" t="str">
        <f aca="false">IF(ISNUMBER(AA380),3,"")</f>
        <v/>
      </c>
      <c r="EB380" s="28" t="str">
        <f aca="false">IF(ISNUMBER(AE380),4,"")</f>
        <v/>
      </c>
      <c r="EC380" s="28" t="str">
        <f aca="false">IF(ISNUMBER(AI380),5,"")</f>
        <v/>
      </c>
      <c r="ED380" s="28" t="str">
        <f aca="false">IF(ISNUMBER(AM380),6,"")</f>
        <v/>
      </c>
      <c r="EE380" s="28" t="str">
        <f aca="false">IF(ISNUMBER(AQ380),7,"")</f>
        <v/>
      </c>
      <c r="EF380" s="28" t="str">
        <f aca="false">IF(ISNUMBER(AU380),8,"")</f>
        <v/>
      </c>
      <c r="EG380" s="28" t="str">
        <f aca="false">IF(ISNUMBER(AY380),9,"")</f>
        <v/>
      </c>
      <c r="EH380" s="28" t="str">
        <f aca="false">IF(ISNUMBER(BC380),10,"")</f>
        <v/>
      </c>
      <c r="EI380" s="28" t="str">
        <f aca="false">IF(ISNUMBER(BG380),11,"")</f>
        <v/>
      </c>
      <c r="EJ380" s="28" t="str">
        <f aca="false">IF(ISNUMBER(BK380),12,"")</f>
        <v/>
      </c>
      <c r="EK380" s="28" t="str">
        <f aca="false">IF(ISNUMBER(BO380),13,"")</f>
        <v/>
      </c>
      <c r="EL380" s="28" t="str">
        <f aca="false">IF(ISNUMBER(BS380),14,"")</f>
        <v/>
      </c>
      <c r="EM380" s="28" t="n">
        <f aca="false">IF(ISNUMBER(R380),R380*CW380,0)</f>
        <v>0</v>
      </c>
      <c r="EN380" s="28" t="n">
        <f aca="false">IF(ISNUMBER(V380),V380*CX380,0)</f>
        <v>0</v>
      </c>
      <c r="EO380" s="28" t="n">
        <f aca="false">IF(ISNUMBER(Z380),Z380*CY380,0)</f>
        <v>0</v>
      </c>
      <c r="EP380" s="28" t="n">
        <f aca="false">IF(ISNUMBER(AD380),AD380*CZ380,0)</f>
        <v>0</v>
      </c>
      <c r="EQ380" s="28" t="n">
        <f aca="false">IF(ISNUMBER(AH380),AH380*DA380,0)</f>
        <v>0</v>
      </c>
      <c r="ER380" s="28" t="n">
        <f aca="false">IF(ISNUMBER(AL380),AL380*DB380,0)</f>
        <v>0</v>
      </c>
      <c r="ES380" s="28" t="n">
        <f aca="false">IF(ISNUMBER(AP380),AP380*DC380,0)</f>
        <v>0</v>
      </c>
      <c r="ET380" s="28" t="n">
        <f aca="false">IF(ISNUMBER(AT380),AT380*DD380,0)</f>
        <v>0</v>
      </c>
      <c r="EU380" s="28" t="n">
        <f aca="false">IF(ISNUMBER(AX380),AX380*DE380,0)</f>
        <v>0</v>
      </c>
      <c r="EV380" s="28" t="n">
        <f aca="false">IF(ISNUMBER(BB380),BB380*DF380,0)</f>
        <v>0</v>
      </c>
      <c r="EW380" s="28" t="n">
        <f aca="false">IF(ISNUMBER(BF380),BF380*DG380,0)</f>
        <v>0</v>
      </c>
      <c r="EX380" s="28" t="n">
        <f aca="false">IF(ISNUMBER(BJ380),BJ380*DH380,0)</f>
        <v>0</v>
      </c>
      <c r="EY380" s="28" t="n">
        <f aca="false">IF(ISNUMBER(BN380),BN380*DI380,0)</f>
        <v>0</v>
      </c>
      <c r="EZ380" s="28" t="n">
        <f aca="false">IF(ISNUMBER(BR380),BR380*DJ380,0)</f>
        <v>0</v>
      </c>
      <c r="FA380" s="28" t="n">
        <f aca="false">IF(ISNUMBER(R380),CW380,0)</f>
        <v>0</v>
      </c>
      <c r="FB380" s="28" t="n">
        <f aca="false">IF(ISNUMBER(V380),CX380,0)</f>
        <v>0</v>
      </c>
      <c r="FC380" s="28" t="n">
        <f aca="false">IF(ISNUMBER(Z380),CY380,0)</f>
        <v>0</v>
      </c>
      <c r="FD380" s="28" t="n">
        <f aca="false">IF(ISNUMBER(AD380),CZ380,0)</f>
        <v>0</v>
      </c>
      <c r="FE380" s="28" t="n">
        <f aca="false">IF(ISNUMBER(AH380),DA380,0)</f>
        <v>0</v>
      </c>
      <c r="FF380" s="28" t="n">
        <f aca="false">IF(ISNUMBER(AL380),DB380,0)</f>
        <v>0</v>
      </c>
      <c r="FG380" s="28" t="n">
        <f aca="false">IF(ISNUMBER(AP380),DC380,0)</f>
        <v>0</v>
      </c>
      <c r="FH380" s="28" t="n">
        <f aca="false">IF(ISNUMBER(AT380),DD380,0)</f>
        <v>0</v>
      </c>
      <c r="FI380" s="28" t="n">
        <f aca="false">IF(ISNUMBER(AX380),DE380,0)</f>
        <v>0</v>
      </c>
      <c r="FJ380" s="28" t="n">
        <f aca="false">IF(ISNUMBER(BB380),DF380,0)</f>
        <v>0</v>
      </c>
      <c r="FK380" s="28" t="n">
        <f aca="false">IF(ISNUMBER(BF380),DG380,0)</f>
        <v>0</v>
      </c>
      <c r="FL380" s="28" t="n">
        <f aca="false">IF(ISNUMBER(BJ380),DH380,0)</f>
        <v>0</v>
      </c>
      <c r="FM380" s="28" t="n">
        <f aca="false">IF(ISNUMBER(BN380),DI380,0)</f>
        <v>0</v>
      </c>
      <c r="FN380" s="28" t="n">
        <f aca="false">IF(ISNUMBER(BR380),DJ380,0)</f>
        <v>0</v>
      </c>
      <c r="FO380" s="28" t="str">
        <f aca="false">IFERROR(INDEX(Lists!$G$2:$G$20,MATCH($I380&amp;"|"&amp;$J380,Lists!$F$2:$F$20,0)),"")</f>
        <v/>
      </c>
    </row>
    <row r="381" customFormat="false" ht="19.5" hidden="false" customHeight="true" outlineLevel="0" collapsed="false">
      <c r="A381" s="29"/>
      <c r="B381" s="29"/>
      <c r="C381" s="30"/>
      <c r="D381" s="30"/>
      <c r="E381" s="31"/>
      <c r="F381" s="30"/>
      <c r="G381" s="30"/>
      <c r="H381" s="32"/>
      <c r="I381" s="33"/>
      <c r="J381" s="32"/>
      <c r="K381" s="34" t="str">
        <f aca="false">IF(OR(M381="",$E381=""),"",M381-$E381)</f>
        <v/>
      </c>
      <c r="L381" s="35" t="str">
        <f aca="false">IF(SUM(FA381:FN381)=0,"",SUM(EM381:EZ381)/SUM(FA381:FN381))</f>
        <v/>
      </c>
      <c r="M381" s="36" t="str">
        <f aca="false">IF(OR(L381="",FO381=""),"",IFERROR(MATCH(L381,INDEX(Boundaries!$B$2:$I$30,MATCH(FO381,Boundaries!$A$2:$A$30,0),0),1)-1,""))</f>
        <v/>
      </c>
      <c r="N381" s="37" t="str">
        <f aca="false">IF(COUNT($DY381:$EL381)&lt;2,"",INDEX($DK381:$DX381,MAX($DY381:$EL381))-INDEX($DK381:$DX381,MIN($DY381:$EL381)))</f>
        <v/>
      </c>
      <c r="O381" s="37" t="str">
        <f aca="false">IF(COUNT($DY381:$EL381)&lt;2,"",INDEX($DK381:$DX381,MAX($DY381:$EL381))-INDEX($DK381:$DX381,LARGE($DY381:$EL381,2)))</f>
        <v/>
      </c>
      <c r="P381" s="38" t="str">
        <f aca="false">IF(K381="","",IF(K381&gt;=0,"On/above target",IF(AND(N381&lt;&gt;"",N381&gt;=0.5),"Improving towards target",IF(AND(O381&lt;&gt;"",O381&lt;=-0.5),"Declining","Stable below target"))))</f>
        <v/>
      </c>
      <c r="Q381" s="39"/>
      <c r="R381" s="40" t="str">
        <f aca="false">IF(OR(Q381="",BU381=""),"",Q381/BU381*100)</f>
        <v/>
      </c>
      <c r="S381" s="41" t="str">
        <f aca="false">IF(R381="","",IFERROR(MATCH(R381,INDEX(Boundaries!$B$2:$I$30,MATCH(CI381,Boundaries!$A$2:$A$30,0),0),1)-1,""))</f>
        <v/>
      </c>
      <c r="T381" s="42" t="str">
        <f aca="false">IF(OR(S381="",$E381=""),"",S381-$E381)</f>
        <v/>
      </c>
      <c r="U381" s="39"/>
      <c r="V381" s="40" t="str">
        <f aca="false">IF(OR(U381="",BV381=""),"",U381/BV381*100)</f>
        <v/>
      </c>
      <c r="W381" s="41" t="str">
        <f aca="false">IF(V381="","",IFERROR(MATCH(V381,INDEX(Boundaries!$B$2:$I$30,MATCH(CJ381,Boundaries!$A$2:$A$30,0),0),1)-1,""))</f>
        <v/>
      </c>
      <c r="X381" s="42" t="str">
        <f aca="false">IF(OR(W381="",$E381=""),"",W381-$E381)</f>
        <v/>
      </c>
      <c r="Y381" s="39"/>
      <c r="Z381" s="40" t="str">
        <f aca="false">IF(OR(Y381="",BW381=""),"",Y381/BW381*100)</f>
        <v/>
      </c>
      <c r="AA381" s="41" t="str">
        <f aca="false">IF(Z381="","",IFERROR(MATCH(Z381,INDEX(Boundaries!$B$2:$I$30,MATCH(CK381,Boundaries!$A$2:$A$30,0),0),1)-1,""))</f>
        <v/>
      </c>
      <c r="AB381" s="42" t="str">
        <f aca="false">IF(OR(AA381="",$E381=""),"",AA381-$E381)</f>
        <v/>
      </c>
      <c r="AC381" s="39"/>
      <c r="AD381" s="40" t="str">
        <f aca="false">IF(OR(AC381="",BX381=""),"",AC381/BX381*100)</f>
        <v/>
      </c>
      <c r="AE381" s="41" t="str">
        <f aca="false">IF(AD381="","",IFERROR(MATCH(AD381,INDEX(Boundaries!$B$2:$I$30,MATCH(CL381,Boundaries!$A$2:$A$30,0),0),1)-1,""))</f>
        <v/>
      </c>
      <c r="AF381" s="42" t="str">
        <f aca="false">IF(OR(AE381="",$E381=""),"",AE381-$E381)</f>
        <v/>
      </c>
      <c r="AG381" s="39"/>
      <c r="AH381" s="40" t="str">
        <f aca="false">IF(OR(AG381="",BY381=""),"",AG381/BY381*100)</f>
        <v/>
      </c>
      <c r="AI381" s="41" t="str">
        <f aca="false">IF(AH381="","",IFERROR(MATCH(AH381,INDEX(Boundaries!$B$2:$I$30,MATCH(CM381,Boundaries!$A$2:$A$30,0),0),1)-1,""))</f>
        <v/>
      </c>
      <c r="AJ381" s="42" t="str">
        <f aca="false">IF(OR(AI381="",$E381=""),"",AI381-$E381)</f>
        <v/>
      </c>
      <c r="AK381" s="39"/>
      <c r="AL381" s="40" t="str">
        <f aca="false">IF(OR(AK381="",BZ381=""),"",AK381/BZ381*100)</f>
        <v/>
      </c>
      <c r="AM381" s="41" t="str">
        <f aca="false">IF(AL381="","",IFERROR(MATCH(AL381,INDEX(Boundaries!$B$2:$I$30,MATCH(CN381,Boundaries!$A$2:$A$30,0),0),1)-1,""))</f>
        <v/>
      </c>
      <c r="AN381" s="42" t="str">
        <f aca="false">IF(OR(AM381="",$E381=""),"",AM381-$E381)</f>
        <v/>
      </c>
      <c r="AO381" s="39"/>
      <c r="AP381" s="40" t="str">
        <f aca="false">IF(OR(AO381="",CA381=""),"",AO381/CA381*100)</f>
        <v/>
      </c>
      <c r="AQ381" s="41" t="str">
        <f aca="false">IF(AP381="","",IFERROR(MATCH(AP381,INDEX(Boundaries!$B$2:$I$30,MATCH(CO381,Boundaries!$A$2:$A$30,0),0),1)-1,""))</f>
        <v/>
      </c>
      <c r="AR381" s="42" t="str">
        <f aca="false">IF(OR(AQ381="",$E381=""),"",AQ381-$E381)</f>
        <v/>
      </c>
      <c r="AS381" s="39"/>
      <c r="AT381" s="40" t="str">
        <f aca="false">IF(OR(AS381="",CB381=""),"",AS381/CB381*100)</f>
        <v/>
      </c>
      <c r="AU381" s="41" t="str">
        <f aca="false">IF(AT381="","",IFERROR(MATCH(AT381,INDEX(Boundaries!$B$2:$I$30,MATCH(CP381,Boundaries!$A$2:$A$30,0),0),1)-1,""))</f>
        <v/>
      </c>
      <c r="AV381" s="42" t="str">
        <f aca="false">IF(OR(AU381="",$E381=""),"",AU381-$E381)</f>
        <v/>
      </c>
      <c r="AW381" s="39"/>
      <c r="AX381" s="40" t="str">
        <f aca="false">IF(OR(AW381="",CC381=""),"",AW381/CC381*100)</f>
        <v/>
      </c>
      <c r="AY381" s="41" t="str">
        <f aca="false">IF(AX381="","",IFERROR(MATCH(AX381,INDEX(Boundaries!$B$2:$I$30,MATCH(CQ381,Boundaries!$A$2:$A$30,0),0),1)-1,""))</f>
        <v/>
      </c>
      <c r="AZ381" s="42" t="str">
        <f aca="false">IF(OR(AY381="",$E381=""),"",AY381-$E381)</f>
        <v/>
      </c>
      <c r="BA381" s="39"/>
      <c r="BB381" s="40" t="str">
        <f aca="false">IF(OR(BA381="",CD381=""),"",BA381/CD381*100)</f>
        <v/>
      </c>
      <c r="BC381" s="41" t="str">
        <f aca="false">IF(BB381="","",IFERROR(MATCH(BB381,INDEX(Boundaries!$B$2:$I$30,MATCH(CR381,Boundaries!$A$2:$A$30,0),0),1)-1,""))</f>
        <v/>
      </c>
      <c r="BD381" s="42" t="str">
        <f aca="false">IF(OR(BC381="",$E381=""),"",BC381-$E381)</f>
        <v/>
      </c>
      <c r="BE381" s="39"/>
      <c r="BF381" s="40" t="str">
        <f aca="false">IF(OR(BE381="",CE381=""),"",BE381/CE381*100)</f>
        <v/>
      </c>
      <c r="BG381" s="41" t="str">
        <f aca="false">IF(BF381="","",IFERROR(MATCH(BF381,INDEX(Boundaries!$B$2:$I$30,MATCH(CS381,Boundaries!$A$2:$A$30,0),0),1)-1,""))</f>
        <v/>
      </c>
      <c r="BH381" s="42" t="str">
        <f aca="false">IF(OR(BG381="",$E381=""),"",BG381-$E381)</f>
        <v/>
      </c>
      <c r="BI381" s="39"/>
      <c r="BJ381" s="40" t="str">
        <f aca="false">IF(OR(BI381="",CF381=""),"",BI381/CF381*100)</f>
        <v/>
      </c>
      <c r="BK381" s="41" t="str">
        <f aca="false">IF(BJ381="","",IFERROR(MATCH(BJ381,INDEX(Boundaries!$B$2:$I$30,MATCH(CT381,Boundaries!$A$2:$A$30,0),0),1)-1,""))</f>
        <v/>
      </c>
      <c r="BL381" s="42" t="str">
        <f aca="false">IF(OR(BK381="",$E381=""),"",BK381-$E381)</f>
        <v/>
      </c>
      <c r="BM381" s="39"/>
      <c r="BN381" s="40" t="str">
        <f aca="false">IF(OR(BM381="",CG381=""),"",BM381/CG381*100)</f>
        <v/>
      </c>
      <c r="BO381" s="41" t="str">
        <f aca="false">IF(BN381="","",IFERROR(MATCH(BN381,INDEX(Boundaries!$B$2:$I$30,MATCH(CU381,Boundaries!$A$2:$A$30,0),0),1)-1,""))</f>
        <v/>
      </c>
      <c r="BP381" s="42" t="str">
        <f aca="false">IF(OR(BO381="",$E381=""),"",BO381-$E381)</f>
        <v/>
      </c>
      <c r="BQ381" s="39"/>
      <c r="BR381" s="40" t="str">
        <f aca="false">IF(OR(BQ381="",CH381=""),"",BQ381/CH381*100)</f>
        <v/>
      </c>
      <c r="BS381" s="41" t="str">
        <f aca="false">IF(BR381="","",IFERROR(MATCH(BR381,INDEX(Boundaries!$B$2:$I$30,MATCH(CV381,Boundaries!$A$2:$A$30,0),0),1)-1,""))</f>
        <v/>
      </c>
      <c r="BT381" s="42" t="str">
        <f aca="false">IF(OR(BS381="",$E381=""),"",BS381-$E381)</f>
        <v/>
      </c>
      <c r="BU381" s="28" t="str">
        <f aca="false">IFERROR(INDEX(Assessments!$H$2:$H$600,MATCH($H381&amp;"|"&amp;$I381&amp;"|"&amp;$J381&amp;"|"&amp;1,Assessments!$A$2:$A$600,0)),"")</f>
        <v/>
      </c>
      <c r="BV381" s="28" t="str">
        <f aca="false">IFERROR(INDEX(Assessments!$H$2:$H$600,MATCH($H381&amp;"|"&amp;$I381&amp;"|"&amp;$J381&amp;"|"&amp;2,Assessments!$A$2:$A$600,0)),"")</f>
        <v/>
      </c>
      <c r="BW381" s="28" t="str">
        <f aca="false">IFERROR(INDEX(Assessments!$H$2:$H$600,MATCH($H381&amp;"|"&amp;$I381&amp;"|"&amp;$J381&amp;"|"&amp;3,Assessments!$A$2:$A$600,0)),"")</f>
        <v/>
      </c>
      <c r="BX381" s="28" t="str">
        <f aca="false">IFERROR(INDEX(Assessments!$H$2:$H$600,MATCH($H381&amp;"|"&amp;$I381&amp;"|"&amp;$J381&amp;"|"&amp;4,Assessments!$A$2:$A$600,0)),"")</f>
        <v/>
      </c>
      <c r="BY381" s="28" t="str">
        <f aca="false">IFERROR(INDEX(Assessments!$H$2:$H$600,MATCH($H381&amp;"|"&amp;$I381&amp;"|"&amp;$J381&amp;"|"&amp;5,Assessments!$A$2:$A$600,0)),"")</f>
        <v/>
      </c>
      <c r="BZ381" s="28" t="str">
        <f aca="false">IFERROR(INDEX(Assessments!$H$2:$H$600,MATCH($H381&amp;"|"&amp;$I381&amp;"|"&amp;$J381&amp;"|"&amp;6,Assessments!$A$2:$A$600,0)),"")</f>
        <v/>
      </c>
      <c r="CA381" s="28" t="str">
        <f aca="false">IFERROR(INDEX(Assessments!$H$2:$H$600,MATCH($H381&amp;"|"&amp;$I381&amp;"|"&amp;$J381&amp;"|"&amp;7,Assessments!$A$2:$A$600,0)),"")</f>
        <v/>
      </c>
      <c r="CB381" s="28" t="str">
        <f aca="false">IFERROR(INDEX(Assessments!$H$2:$H$600,MATCH($H381&amp;"|"&amp;$I381&amp;"|"&amp;$J381&amp;"|"&amp;8,Assessments!$A$2:$A$600,0)),"")</f>
        <v/>
      </c>
      <c r="CC381" s="28" t="str">
        <f aca="false">IFERROR(INDEX(Assessments!$H$2:$H$600,MATCH($H381&amp;"|"&amp;$I381&amp;"|"&amp;$J381&amp;"|"&amp;9,Assessments!$A$2:$A$600,0)),"")</f>
        <v/>
      </c>
      <c r="CD381" s="28" t="str">
        <f aca="false">IFERROR(INDEX(Assessments!$H$2:$H$600,MATCH($H381&amp;"|"&amp;$I381&amp;"|"&amp;$J381&amp;"|"&amp;10,Assessments!$A$2:$A$600,0)),"")</f>
        <v/>
      </c>
      <c r="CE381" s="28" t="str">
        <f aca="false">IFERROR(INDEX(Assessments!$H$2:$H$600,MATCH($H381&amp;"|"&amp;$I381&amp;"|"&amp;$J381&amp;"|"&amp;11,Assessments!$A$2:$A$600,0)),"")</f>
        <v/>
      </c>
      <c r="CF381" s="28" t="str">
        <f aca="false">IFERROR(INDEX(Assessments!$H$2:$H$600,MATCH($H381&amp;"|"&amp;$I381&amp;"|"&amp;$J381&amp;"|"&amp;12,Assessments!$A$2:$A$600,0)),"")</f>
        <v/>
      </c>
      <c r="CG381" s="28" t="str">
        <f aca="false">IFERROR(INDEX(Assessments!$H$2:$H$600,MATCH($H381&amp;"|"&amp;$I381&amp;"|"&amp;$J381&amp;"|"&amp;13,Assessments!$A$2:$A$600,0)),"")</f>
        <v/>
      </c>
      <c r="CH381" s="28" t="str">
        <f aca="false">IFERROR(INDEX(Assessments!$H$2:$H$600,MATCH($H381&amp;"|"&amp;$I381&amp;"|"&amp;$J381&amp;"|"&amp;14,Assessments!$A$2:$A$600,0)),"")</f>
        <v/>
      </c>
      <c r="CI381" s="28" t="str">
        <f aca="false">IFERROR(INDEX(Assessments!$I$2:$I$600,MATCH($H381&amp;"|"&amp;$I381&amp;"|"&amp;$J381&amp;"|"&amp;1,Assessments!$A$2:$A$600,0)),"")</f>
        <v/>
      </c>
      <c r="CJ381" s="28" t="str">
        <f aca="false">IFERROR(INDEX(Assessments!$I$2:$I$600,MATCH($H381&amp;"|"&amp;$I381&amp;"|"&amp;$J381&amp;"|"&amp;2,Assessments!$A$2:$A$600,0)),"")</f>
        <v/>
      </c>
      <c r="CK381" s="28" t="str">
        <f aca="false">IFERROR(INDEX(Assessments!$I$2:$I$600,MATCH($H381&amp;"|"&amp;$I381&amp;"|"&amp;$J381&amp;"|"&amp;3,Assessments!$A$2:$A$600,0)),"")</f>
        <v/>
      </c>
      <c r="CL381" s="28" t="str">
        <f aca="false">IFERROR(INDEX(Assessments!$I$2:$I$600,MATCH($H381&amp;"|"&amp;$I381&amp;"|"&amp;$J381&amp;"|"&amp;4,Assessments!$A$2:$A$600,0)),"")</f>
        <v/>
      </c>
      <c r="CM381" s="28" t="str">
        <f aca="false">IFERROR(INDEX(Assessments!$I$2:$I$600,MATCH($H381&amp;"|"&amp;$I381&amp;"|"&amp;$J381&amp;"|"&amp;5,Assessments!$A$2:$A$600,0)),"")</f>
        <v/>
      </c>
      <c r="CN381" s="28" t="str">
        <f aca="false">IFERROR(INDEX(Assessments!$I$2:$I$600,MATCH($H381&amp;"|"&amp;$I381&amp;"|"&amp;$J381&amp;"|"&amp;6,Assessments!$A$2:$A$600,0)),"")</f>
        <v/>
      </c>
      <c r="CO381" s="28" t="str">
        <f aca="false">IFERROR(INDEX(Assessments!$I$2:$I$600,MATCH($H381&amp;"|"&amp;$I381&amp;"|"&amp;$J381&amp;"|"&amp;7,Assessments!$A$2:$A$600,0)),"")</f>
        <v/>
      </c>
      <c r="CP381" s="28" t="str">
        <f aca="false">IFERROR(INDEX(Assessments!$I$2:$I$600,MATCH($H381&amp;"|"&amp;$I381&amp;"|"&amp;$J381&amp;"|"&amp;8,Assessments!$A$2:$A$600,0)),"")</f>
        <v/>
      </c>
      <c r="CQ381" s="28" t="str">
        <f aca="false">IFERROR(INDEX(Assessments!$I$2:$I$600,MATCH($H381&amp;"|"&amp;$I381&amp;"|"&amp;$J381&amp;"|"&amp;9,Assessments!$A$2:$A$600,0)),"")</f>
        <v/>
      </c>
      <c r="CR381" s="28" t="str">
        <f aca="false">IFERROR(INDEX(Assessments!$I$2:$I$600,MATCH($H381&amp;"|"&amp;$I381&amp;"|"&amp;$J381&amp;"|"&amp;10,Assessments!$A$2:$A$600,0)),"")</f>
        <v/>
      </c>
      <c r="CS381" s="28" t="str">
        <f aca="false">IFERROR(INDEX(Assessments!$I$2:$I$600,MATCH($H381&amp;"|"&amp;$I381&amp;"|"&amp;$J381&amp;"|"&amp;11,Assessments!$A$2:$A$600,0)),"")</f>
        <v/>
      </c>
      <c r="CT381" s="28" t="str">
        <f aca="false">IFERROR(INDEX(Assessments!$I$2:$I$600,MATCH($H381&amp;"|"&amp;$I381&amp;"|"&amp;$J381&amp;"|"&amp;12,Assessments!$A$2:$A$600,0)),"")</f>
        <v/>
      </c>
      <c r="CU381" s="28" t="str">
        <f aca="false">IFERROR(INDEX(Assessments!$I$2:$I$600,MATCH($H381&amp;"|"&amp;$I381&amp;"|"&amp;$J381&amp;"|"&amp;13,Assessments!$A$2:$A$600,0)),"")</f>
        <v/>
      </c>
      <c r="CV381" s="28" t="str">
        <f aca="false">IFERROR(INDEX(Assessments!$I$2:$I$600,MATCH($H381&amp;"|"&amp;$I381&amp;"|"&amp;$J381&amp;"|"&amp;14,Assessments!$A$2:$A$600,0)),"")</f>
        <v/>
      </c>
      <c r="CW381" s="28" t="n">
        <f aca="false">IFERROR(INDEX(Assessments!$J$2:$J$600,MATCH($H381&amp;"|"&amp;$I381&amp;"|"&amp;$J381&amp;"|"&amp;1,Assessments!$A$2:$A$600,0)),0)</f>
        <v>0</v>
      </c>
      <c r="CX381" s="28" t="n">
        <f aca="false">IFERROR(INDEX(Assessments!$J$2:$J$600,MATCH($H381&amp;"|"&amp;$I381&amp;"|"&amp;$J381&amp;"|"&amp;2,Assessments!$A$2:$A$600,0)),0)</f>
        <v>0</v>
      </c>
      <c r="CY381" s="28" t="n">
        <f aca="false">IFERROR(INDEX(Assessments!$J$2:$J$600,MATCH($H381&amp;"|"&amp;$I381&amp;"|"&amp;$J381&amp;"|"&amp;3,Assessments!$A$2:$A$600,0)),0)</f>
        <v>0</v>
      </c>
      <c r="CZ381" s="28" t="n">
        <f aca="false">IFERROR(INDEX(Assessments!$J$2:$J$600,MATCH($H381&amp;"|"&amp;$I381&amp;"|"&amp;$J381&amp;"|"&amp;4,Assessments!$A$2:$A$600,0)),0)</f>
        <v>0</v>
      </c>
      <c r="DA381" s="28" t="n">
        <f aca="false">IFERROR(INDEX(Assessments!$J$2:$J$600,MATCH($H381&amp;"|"&amp;$I381&amp;"|"&amp;$J381&amp;"|"&amp;5,Assessments!$A$2:$A$600,0)),0)</f>
        <v>0</v>
      </c>
      <c r="DB381" s="28" t="n">
        <f aca="false">IFERROR(INDEX(Assessments!$J$2:$J$600,MATCH($H381&amp;"|"&amp;$I381&amp;"|"&amp;$J381&amp;"|"&amp;6,Assessments!$A$2:$A$600,0)),0)</f>
        <v>0</v>
      </c>
      <c r="DC381" s="28" t="n">
        <f aca="false">IFERROR(INDEX(Assessments!$J$2:$J$600,MATCH($H381&amp;"|"&amp;$I381&amp;"|"&amp;$J381&amp;"|"&amp;7,Assessments!$A$2:$A$600,0)),0)</f>
        <v>0</v>
      </c>
      <c r="DD381" s="28" t="n">
        <f aca="false">IFERROR(INDEX(Assessments!$J$2:$J$600,MATCH($H381&amp;"|"&amp;$I381&amp;"|"&amp;$J381&amp;"|"&amp;8,Assessments!$A$2:$A$600,0)),0)</f>
        <v>0</v>
      </c>
      <c r="DE381" s="28" t="n">
        <f aca="false">IFERROR(INDEX(Assessments!$J$2:$J$600,MATCH($H381&amp;"|"&amp;$I381&amp;"|"&amp;$J381&amp;"|"&amp;9,Assessments!$A$2:$A$600,0)),0)</f>
        <v>0</v>
      </c>
      <c r="DF381" s="28" t="n">
        <f aca="false">IFERROR(INDEX(Assessments!$J$2:$J$600,MATCH($H381&amp;"|"&amp;$I381&amp;"|"&amp;$J381&amp;"|"&amp;10,Assessments!$A$2:$A$600,0)),0)</f>
        <v>0</v>
      </c>
      <c r="DG381" s="28" t="n">
        <f aca="false">IFERROR(INDEX(Assessments!$J$2:$J$600,MATCH($H381&amp;"|"&amp;$I381&amp;"|"&amp;$J381&amp;"|"&amp;11,Assessments!$A$2:$A$600,0)),0)</f>
        <v>0</v>
      </c>
      <c r="DH381" s="28" t="n">
        <f aca="false">IFERROR(INDEX(Assessments!$J$2:$J$600,MATCH($H381&amp;"|"&amp;$I381&amp;"|"&amp;$J381&amp;"|"&amp;12,Assessments!$A$2:$A$600,0)),0)</f>
        <v>0</v>
      </c>
      <c r="DI381" s="28" t="n">
        <f aca="false">IFERROR(INDEX(Assessments!$J$2:$J$600,MATCH($H381&amp;"|"&amp;$I381&amp;"|"&amp;$J381&amp;"|"&amp;13,Assessments!$A$2:$A$600,0)),0)</f>
        <v>0</v>
      </c>
      <c r="DJ381" s="28" t="n">
        <f aca="false">IFERROR(INDEX(Assessments!$J$2:$J$600,MATCH($H381&amp;"|"&amp;$I381&amp;"|"&amp;$J381&amp;"|"&amp;14,Assessments!$A$2:$A$600,0)),0)</f>
        <v>0</v>
      </c>
      <c r="DK381" s="28" t="str">
        <f aca="false">S381</f>
        <v/>
      </c>
      <c r="DL381" s="28" t="str">
        <f aca="false">W381</f>
        <v/>
      </c>
      <c r="DM381" s="28" t="str">
        <f aca="false">AA381</f>
        <v/>
      </c>
      <c r="DN381" s="28" t="str">
        <f aca="false">AE381</f>
        <v/>
      </c>
      <c r="DO381" s="28" t="str">
        <f aca="false">AI381</f>
        <v/>
      </c>
      <c r="DP381" s="28" t="str">
        <f aca="false">AM381</f>
        <v/>
      </c>
      <c r="DQ381" s="28" t="str">
        <f aca="false">AQ381</f>
        <v/>
      </c>
      <c r="DR381" s="28" t="str">
        <f aca="false">AU381</f>
        <v/>
      </c>
      <c r="DS381" s="28" t="str">
        <f aca="false">AY381</f>
        <v/>
      </c>
      <c r="DT381" s="28" t="str">
        <f aca="false">BC381</f>
        <v/>
      </c>
      <c r="DU381" s="28" t="str">
        <f aca="false">BG381</f>
        <v/>
      </c>
      <c r="DV381" s="28" t="str">
        <f aca="false">BK381</f>
        <v/>
      </c>
      <c r="DW381" s="28" t="str">
        <f aca="false">BO381</f>
        <v/>
      </c>
      <c r="DX381" s="28" t="str">
        <f aca="false">BS381</f>
        <v/>
      </c>
      <c r="DY381" s="28" t="str">
        <f aca="false">IF(ISNUMBER(S381),1,"")</f>
        <v/>
      </c>
      <c r="DZ381" s="28" t="str">
        <f aca="false">IF(ISNUMBER(W381),2,"")</f>
        <v/>
      </c>
      <c r="EA381" s="28" t="str">
        <f aca="false">IF(ISNUMBER(AA381),3,"")</f>
        <v/>
      </c>
      <c r="EB381" s="28" t="str">
        <f aca="false">IF(ISNUMBER(AE381),4,"")</f>
        <v/>
      </c>
      <c r="EC381" s="28" t="str">
        <f aca="false">IF(ISNUMBER(AI381),5,"")</f>
        <v/>
      </c>
      <c r="ED381" s="28" t="str">
        <f aca="false">IF(ISNUMBER(AM381),6,"")</f>
        <v/>
      </c>
      <c r="EE381" s="28" t="str">
        <f aca="false">IF(ISNUMBER(AQ381),7,"")</f>
        <v/>
      </c>
      <c r="EF381" s="28" t="str">
        <f aca="false">IF(ISNUMBER(AU381),8,"")</f>
        <v/>
      </c>
      <c r="EG381" s="28" t="str">
        <f aca="false">IF(ISNUMBER(AY381),9,"")</f>
        <v/>
      </c>
      <c r="EH381" s="28" t="str">
        <f aca="false">IF(ISNUMBER(BC381),10,"")</f>
        <v/>
      </c>
      <c r="EI381" s="28" t="str">
        <f aca="false">IF(ISNUMBER(BG381),11,"")</f>
        <v/>
      </c>
      <c r="EJ381" s="28" t="str">
        <f aca="false">IF(ISNUMBER(BK381),12,"")</f>
        <v/>
      </c>
      <c r="EK381" s="28" t="str">
        <f aca="false">IF(ISNUMBER(BO381),13,"")</f>
        <v/>
      </c>
      <c r="EL381" s="28" t="str">
        <f aca="false">IF(ISNUMBER(BS381),14,"")</f>
        <v/>
      </c>
      <c r="EM381" s="28" t="n">
        <f aca="false">IF(ISNUMBER(R381),R381*CW381,0)</f>
        <v>0</v>
      </c>
      <c r="EN381" s="28" t="n">
        <f aca="false">IF(ISNUMBER(V381),V381*CX381,0)</f>
        <v>0</v>
      </c>
      <c r="EO381" s="28" t="n">
        <f aca="false">IF(ISNUMBER(Z381),Z381*CY381,0)</f>
        <v>0</v>
      </c>
      <c r="EP381" s="28" t="n">
        <f aca="false">IF(ISNUMBER(AD381),AD381*CZ381,0)</f>
        <v>0</v>
      </c>
      <c r="EQ381" s="28" t="n">
        <f aca="false">IF(ISNUMBER(AH381),AH381*DA381,0)</f>
        <v>0</v>
      </c>
      <c r="ER381" s="28" t="n">
        <f aca="false">IF(ISNUMBER(AL381),AL381*DB381,0)</f>
        <v>0</v>
      </c>
      <c r="ES381" s="28" t="n">
        <f aca="false">IF(ISNUMBER(AP381),AP381*DC381,0)</f>
        <v>0</v>
      </c>
      <c r="ET381" s="28" t="n">
        <f aca="false">IF(ISNUMBER(AT381),AT381*DD381,0)</f>
        <v>0</v>
      </c>
      <c r="EU381" s="28" t="n">
        <f aca="false">IF(ISNUMBER(AX381),AX381*DE381,0)</f>
        <v>0</v>
      </c>
      <c r="EV381" s="28" t="n">
        <f aca="false">IF(ISNUMBER(BB381),BB381*DF381,0)</f>
        <v>0</v>
      </c>
      <c r="EW381" s="28" t="n">
        <f aca="false">IF(ISNUMBER(BF381),BF381*DG381,0)</f>
        <v>0</v>
      </c>
      <c r="EX381" s="28" t="n">
        <f aca="false">IF(ISNUMBER(BJ381),BJ381*DH381,0)</f>
        <v>0</v>
      </c>
      <c r="EY381" s="28" t="n">
        <f aca="false">IF(ISNUMBER(BN381),BN381*DI381,0)</f>
        <v>0</v>
      </c>
      <c r="EZ381" s="28" t="n">
        <f aca="false">IF(ISNUMBER(BR381),BR381*DJ381,0)</f>
        <v>0</v>
      </c>
      <c r="FA381" s="28" t="n">
        <f aca="false">IF(ISNUMBER(R381),CW381,0)</f>
        <v>0</v>
      </c>
      <c r="FB381" s="28" t="n">
        <f aca="false">IF(ISNUMBER(V381),CX381,0)</f>
        <v>0</v>
      </c>
      <c r="FC381" s="28" t="n">
        <f aca="false">IF(ISNUMBER(Z381),CY381,0)</f>
        <v>0</v>
      </c>
      <c r="FD381" s="28" t="n">
        <f aca="false">IF(ISNUMBER(AD381),CZ381,0)</f>
        <v>0</v>
      </c>
      <c r="FE381" s="28" t="n">
        <f aca="false">IF(ISNUMBER(AH381),DA381,0)</f>
        <v>0</v>
      </c>
      <c r="FF381" s="28" t="n">
        <f aca="false">IF(ISNUMBER(AL381),DB381,0)</f>
        <v>0</v>
      </c>
      <c r="FG381" s="28" t="n">
        <f aca="false">IF(ISNUMBER(AP381),DC381,0)</f>
        <v>0</v>
      </c>
      <c r="FH381" s="28" t="n">
        <f aca="false">IF(ISNUMBER(AT381),DD381,0)</f>
        <v>0</v>
      </c>
      <c r="FI381" s="28" t="n">
        <f aca="false">IF(ISNUMBER(AX381),DE381,0)</f>
        <v>0</v>
      </c>
      <c r="FJ381" s="28" t="n">
        <f aca="false">IF(ISNUMBER(BB381),DF381,0)</f>
        <v>0</v>
      </c>
      <c r="FK381" s="28" t="n">
        <f aca="false">IF(ISNUMBER(BF381),DG381,0)</f>
        <v>0</v>
      </c>
      <c r="FL381" s="28" t="n">
        <f aca="false">IF(ISNUMBER(BJ381),DH381,0)</f>
        <v>0</v>
      </c>
      <c r="FM381" s="28" t="n">
        <f aca="false">IF(ISNUMBER(BN381),DI381,0)</f>
        <v>0</v>
      </c>
      <c r="FN381" s="28" t="n">
        <f aca="false">IF(ISNUMBER(BR381),DJ381,0)</f>
        <v>0</v>
      </c>
      <c r="FO381" s="28" t="str">
        <f aca="false">IFERROR(INDEX(Lists!$G$2:$G$20,MATCH($I381&amp;"|"&amp;$J381,Lists!$F$2:$F$20,0)),"")</f>
        <v/>
      </c>
    </row>
    <row r="382" customFormat="false" ht="19.5" hidden="false" customHeight="true" outlineLevel="0" collapsed="false">
      <c r="A382" s="29"/>
      <c r="B382" s="29"/>
      <c r="C382" s="30"/>
      <c r="D382" s="30"/>
      <c r="E382" s="31"/>
      <c r="F382" s="30"/>
      <c r="G382" s="30"/>
      <c r="H382" s="32"/>
      <c r="I382" s="33"/>
      <c r="J382" s="32"/>
      <c r="K382" s="34" t="str">
        <f aca="false">IF(OR(M382="",$E382=""),"",M382-$E382)</f>
        <v/>
      </c>
      <c r="L382" s="35" t="str">
        <f aca="false">IF(SUM(FA382:FN382)=0,"",SUM(EM382:EZ382)/SUM(FA382:FN382))</f>
        <v/>
      </c>
      <c r="M382" s="36" t="str">
        <f aca="false">IF(OR(L382="",FO382=""),"",IFERROR(MATCH(L382,INDEX(Boundaries!$B$2:$I$30,MATCH(FO382,Boundaries!$A$2:$A$30,0),0),1)-1,""))</f>
        <v/>
      </c>
      <c r="N382" s="37" t="str">
        <f aca="false">IF(COUNT($DY382:$EL382)&lt;2,"",INDEX($DK382:$DX382,MAX($DY382:$EL382))-INDEX($DK382:$DX382,MIN($DY382:$EL382)))</f>
        <v/>
      </c>
      <c r="O382" s="37" t="str">
        <f aca="false">IF(COUNT($DY382:$EL382)&lt;2,"",INDEX($DK382:$DX382,MAX($DY382:$EL382))-INDEX($DK382:$DX382,LARGE($DY382:$EL382,2)))</f>
        <v/>
      </c>
      <c r="P382" s="38" t="str">
        <f aca="false">IF(K382="","",IF(K382&gt;=0,"On/above target",IF(AND(N382&lt;&gt;"",N382&gt;=0.5),"Improving towards target",IF(AND(O382&lt;&gt;"",O382&lt;=-0.5),"Declining","Stable below target"))))</f>
        <v/>
      </c>
      <c r="Q382" s="39"/>
      <c r="R382" s="40" t="str">
        <f aca="false">IF(OR(Q382="",BU382=""),"",Q382/BU382*100)</f>
        <v/>
      </c>
      <c r="S382" s="41" t="str">
        <f aca="false">IF(R382="","",IFERROR(MATCH(R382,INDEX(Boundaries!$B$2:$I$30,MATCH(CI382,Boundaries!$A$2:$A$30,0),0),1)-1,""))</f>
        <v/>
      </c>
      <c r="T382" s="42" t="str">
        <f aca="false">IF(OR(S382="",$E382=""),"",S382-$E382)</f>
        <v/>
      </c>
      <c r="U382" s="39"/>
      <c r="V382" s="40" t="str">
        <f aca="false">IF(OR(U382="",BV382=""),"",U382/BV382*100)</f>
        <v/>
      </c>
      <c r="W382" s="41" t="str">
        <f aca="false">IF(V382="","",IFERROR(MATCH(V382,INDEX(Boundaries!$B$2:$I$30,MATCH(CJ382,Boundaries!$A$2:$A$30,0),0),1)-1,""))</f>
        <v/>
      </c>
      <c r="X382" s="42" t="str">
        <f aca="false">IF(OR(W382="",$E382=""),"",W382-$E382)</f>
        <v/>
      </c>
      <c r="Y382" s="39"/>
      <c r="Z382" s="40" t="str">
        <f aca="false">IF(OR(Y382="",BW382=""),"",Y382/BW382*100)</f>
        <v/>
      </c>
      <c r="AA382" s="41" t="str">
        <f aca="false">IF(Z382="","",IFERROR(MATCH(Z382,INDEX(Boundaries!$B$2:$I$30,MATCH(CK382,Boundaries!$A$2:$A$30,0),0),1)-1,""))</f>
        <v/>
      </c>
      <c r="AB382" s="42" t="str">
        <f aca="false">IF(OR(AA382="",$E382=""),"",AA382-$E382)</f>
        <v/>
      </c>
      <c r="AC382" s="39"/>
      <c r="AD382" s="40" t="str">
        <f aca="false">IF(OR(AC382="",BX382=""),"",AC382/BX382*100)</f>
        <v/>
      </c>
      <c r="AE382" s="41" t="str">
        <f aca="false">IF(AD382="","",IFERROR(MATCH(AD382,INDEX(Boundaries!$B$2:$I$30,MATCH(CL382,Boundaries!$A$2:$A$30,0),0),1)-1,""))</f>
        <v/>
      </c>
      <c r="AF382" s="42" t="str">
        <f aca="false">IF(OR(AE382="",$E382=""),"",AE382-$E382)</f>
        <v/>
      </c>
      <c r="AG382" s="39"/>
      <c r="AH382" s="40" t="str">
        <f aca="false">IF(OR(AG382="",BY382=""),"",AG382/BY382*100)</f>
        <v/>
      </c>
      <c r="AI382" s="41" t="str">
        <f aca="false">IF(AH382="","",IFERROR(MATCH(AH382,INDEX(Boundaries!$B$2:$I$30,MATCH(CM382,Boundaries!$A$2:$A$30,0),0),1)-1,""))</f>
        <v/>
      </c>
      <c r="AJ382" s="42" t="str">
        <f aca="false">IF(OR(AI382="",$E382=""),"",AI382-$E382)</f>
        <v/>
      </c>
      <c r="AK382" s="39"/>
      <c r="AL382" s="40" t="str">
        <f aca="false">IF(OR(AK382="",BZ382=""),"",AK382/BZ382*100)</f>
        <v/>
      </c>
      <c r="AM382" s="41" t="str">
        <f aca="false">IF(AL382="","",IFERROR(MATCH(AL382,INDEX(Boundaries!$B$2:$I$30,MATCH(CN382,Boundaries!$A$2:$A$30,0),0),1)-1,""))</f>
        <v/>
      </c>
      <c r="AN382" s="42" t="str">
        <f aca="false">IF(OR(AM382="",$E382=""),"",AM382-$E382)</f>
        <v/>
      </c>
      <c r="AO382" s="39"/>
      <c r="AP382" s="40" t="str">
        <f aca="false">IF(OR(AO382="",CA382=""),"",AO382/CA382*100)</f>
        <v/>
      </c>
      <c r="AQ382" s="41" t="str">
        <f aca="false">IF(AP382="","",IFERROR(MATCH(AP382,INDEX(Boundaries!$B$2:$I$30,MATCH(CO382,Boundaries!$A$2:$A$30,0),0),1)-1,""))</f>
        <v/>
      </c>
      <c r="AR382" s="42" t="str">
        <f aca="false">IF(OR(AQ382="",$E382=""),"",AQ382-$E382)</f>
        <v/>
      </c>
      <c r="AS382" s="39"/>
      <c r="AT382" s="40" t="str">
        <f aca="false">IF(OR(AS382="",CB382=""),"",AS382/CB382*100)</f>
        <v/>
      </c>
      <c r="AU382" s="41" t="str">
        <f aca="false">IF(AT382="","",IFERROR(MATCH(AT382,INDEX(Boundaries!$B$2:$I$30,MATCH(CP382,Boundaries!$A$2:$A$30,0),0),1)-1,""))</f>
        <v/>
      </c>
      <c r="AV382" s="42" t="str">
        <f aca="false">IF(OR(AU382="",$E382=""),"",AU382-$E382)</f>
        <v/>
      </c>
      <c r="AW382" s="39"/>
      <c r="AX382" s="40" t="str">
        <f aca="false">IF(OR(AW382="",CC382=""),"",AW382/CC382*100)</f>
        <v/>
      </c>
      <c r="AY382" s="41" t="str">
        <f aca="false">IF(AX382="","",IFERROR(MATCH(AX382,INDEX(Boundaries!$B$2:$I$30,MATCH(CQ382,Boundaries!$A$2:$A$30,0),0),1)-1,""))</f>
        <v/>
      </c>
      <c r="AZ382" s="42" t="str">
        <f aca="false">IF(OR(AY382="",$E382=""),"",AY382-$E382)</f>
        <v/>
      </c>
      <c r="BA382" s="39"/>
      <c r="BB382" s="40" t="str">
        <f aca="false">IF(OR(BA382="",CD382=""),"",BA382/CD382*100)</f>
        <v/>
      </c>
      <c r="BC382" s="41" t="str">
        <f aca="false">IF(BB382="","",IFERROR(MATCH(BB382,INDEX(Boundaries!$B$2:$I$30,MATCH(CR382,Boundaries!$A$2:$A$30,0),0),1)-1,""))</f>
        <v/>
      </c>
      <c r="BD382" s="42" t="str">
        <f aca="false">IF(OR(BC382="",$E382=""),"",BC382-$E382)</f>
        <v/>
      </c>
      <c r="BE382" s="39"/>
      <c r="BF382" s="40" t="str">
        <f aca="false">IF(OR(BE382="",CE382=""),"",BE382/CE382*100)</f>
        <v/>
      </c>
      <c r="BG382" s="41" t="str">
        <f aca="false">IF(BF382="","",IFERROR(MATCH(BF382,INDEX(Boundaries!$B$2:$I$30,MATCH(CS382,Boundaries!$A$2:$A$30,0),0),1)-1,""))</f>
        <v/>
      </c>
      <c r="BH382" s="42" t="str">
        <f aca="false">IF(OR(BG382="",$E382=""),"",BG382-$E382)</f>
        <v/>
      </c>
      <c r="BI382" s="39"/>
      <c r="BJ382" s="40" t="str">
        <f aca="false">IF(OR(BI382="",CF382=""),"",BI382/CF382*100)</f>
        <v/>
      </c>
      <c r="BK382" s="41" t="str">
        <f aca="false">IF(BJ382="","",IFERROR(MATCH(BJ382,INDEX(Boundaries!$B$2:$I$30,MATCH(CT382,Boundaries!$A$2:$A$30,0),0),1)-1,""))</f>
        <v/>
      </c>
      <c r="BL382" s="42" t="str">
        <f aca="false">IF(OR(BK382="",$E382=""),"",BK382-$E382)</f>
        <v/>
      </c>
      <c r="BM382" s="39"/>
      <c r="BN382" s="40" t="str">
        <f aca="false">IF(OR(BM382="",CG382=""),"",BM382/CG382*100)</f>
        <v/>
      </c>
      <c r="BO382" s="41" t="str">
        <f aca="false">IF(BN382="","",IFERROR(MATCH(BN382,INDEX(Boundaries!$B$2:$I$30,MATCH(CU382,Boundaries!$A$2:$A$30,0),0),1)-1,""))</f>
        <v/>
      </c>
      <c r="BP382" s="42" t="str">
        <f aca="false">IF(OR(BO382="",$E382=""),"",BO382-$E382)</f>
        <v/>
      </c>
      <c r="BQ382" s="39"/>
      <c r="BR382" s="40" t="str">
        <f aca="false">IF(OR(BQ382="",CH382=""),"",BQ382/CH382*100)</f>
        <v/>
      </c>
      <c r="BS382" s="41" t="str">
        <f aca="false">IF(BR382="","",IFERROR(MATCH(BR382,INDEX(Boundaries!$B$2:$I$30,MATCH(CV382,Boundaries!$A$2:$A$30,0),0),1)-1,""))</f>
        <v/>
      </c>
      <c r="BT382" s="42" t="str">
        <f aca="false">IF(OR(BS382="",$E382=""),"",BS382-$E382)</f>
        <v/>
      </c>
      <c r="BU382" s="28" t="str">
        <f aca="false">IFERROR(INDEX(Assessments!$H$2:$H$600,MATCH($H382&amp;"|"&amp;$I382&amp;"|"&amp;$J382&amp;"|"&amp;1,Assessments!$A$2:$A$600,0)),"")</f>
        <v/>
      </c>
      <c r="BV382" s="28" t="str">
        <f aca="false">IFERROR(INDEX(Assessments!$H$2:$H$600,MATCH($H382&amp;"|"&amp;$I382&amp;"|"&amp;$J382&amp;"|"&amp;2,Assessments!$A$2:$A$600,0)),"")</f>
        <v/>
      </c>
      <c r="BW382" s="28" t="str">
        <f aca="false">IFERROR(INDEX(Assessments!$H$2:$H$600,MATCH($H382&amp;"|"&amp;$I382&amp;"|"&amp;$J382&amp;"|"&amp;3,Assessments!$A$2:$A$600,0)),"")</f>
        <v/>
      </c>
      <c r="BX382" s="28" t="str">
        <f aca="false">IFERROR(INDEX(Assessments!$H$2:$H$600,MATCH($H382&amp;"|"&amp;$I382&amp;"|"&amp;$J382&amp;"|"&amp;4,Assessments!$A$2:$A$600,0)),"")</f>
        <v/>
      </c>
      <c r="BY382" s="28" t="str">
        <f aca="false">IFERROR(INDEX(Assessments!$H$2:$H$600,MATCH($H382&amp;"|"&amp;$I382&amp;"|"&amp;$J382&amp;"|"&amp;5,Assessments!$A$2:$A$600,0)),"")</f>
        <v/>
      </c>
      <c r="BZ382" s="28" t="str">
        <f aca="false">IFERROR(INDEX(Assessments!$H$2:$H$600,MATCH($H382&amp;"|"&amp;$I382&amp;"|"&amp;$J382&amp;"|"&amp;6,Assessments!$A$2:$A$600,0)),"")</f>
        <v/>
      </c>
      <c r="CA382" s="28" t="str">
        <f aca="false">IFERROR(INDEX(Assessments!$H$2:$H$600,MATCH($H382&amp;"|"&amp;$I382&amp;"|"&amp;$J382&amp;"|"&amp;7,Assessments!$A$2:$A$600,0)),"")</f>
        <v/>
      </c>
      <c r="CB382" s="28" t="str">
        <f aca="false">IFERROR(INDEX(Assessments!$H$2:$H$600,MATCH($H382&amp;"|"&amp;$I382&amp;"|"&amp;$J382&amp;"|"&amp;8,Assessments!$A$2:$A$600,0)),"")</f>
        <v/>
      </c>
      <c r="CC382" s="28" t="str">
        <f aca="false">IFERROR(INDEX(Assessments!$H$2:$H$600,MATCH($H382&amp;"|"&amp;$I382&amp;"|"&amp;$J382&amp;"|"&amp;9,Assessments!$A$2:$A$600,0)),"")</f>
        <v/>
      </c>
      <c r="CD382" s="28" t="str">
        <f aca="false">IFERROR(INDEX(Assessments!$H$2:$H$600,MATCH($H382&amp;"|"&amp;$I382&amp;"|"&amp;$J382&amp;"|"&amp;10,Assessments!$A$2:$A$600,0)),"")</f>
        <v/>
      </c>
      <c r="CE382" s="28" t="str">
        <f aca="false">IFERROR(INDEX(Assessments!$H$2:$H$600,MATCH($H382&amp;"|"&amp;$I382&amp;"|"&amp;$J382&amp;"|"&amp;11,Assessments!$A$2:$A$600,0)),"")</f>
        <v/>
      </c>
      <c r="CF382" s="28" t="str">
        <f aca="false">IFERROR(INDEX(Assessments!$H$2:$H$600,MATCH($H382&amp;"|"&amp;$I382&amp;"|"&amp;$J382&amp;"|"&amp;12,Assessments!$A$2:$A$600,0)),"")</f>
        <v/>
      </c>
      <c r="CG382" s="28" t="str">
        <f aca="false">IFERROR(INDEX(Assessments!$H$2:$H$600,MATCH($H382&amp;"|"&amp;$I382&amp;"|"&amp;$J382&amp;"|"&amp;13,Assessments!$A$2:$A$600,0)),"")</f>
        <v/>
      </c>
      <c r="CH382" s="28" t="str">
        <f aca="false">IFERROR(INDEX(Assessments!$H$2:$H$600,MATCH($H382&amp;"|"&amp;$I382&amp;"|"&amp;$J382&amp;"|"&amp;14,Assessments!$A$2:$A$600,0)),"")</f>
        <v/>
      </c>
      <c r="CI382" s="28" t="str">
        <f aca="false">IFERROR(INDEX(Assessments!$I$2:$I$600,MATCH($H382&amp;"|"&amp;$I382&amp;"|"&amp;$J382&amp;"|"&amp;1,Assessments!$A$2:$A$600,0)),"")</f>
        <v/>
      </c>
      <c r="CJ382" s="28" t="str">
        <f aca="false">IFERROR(INDEX(Assessments!$I$2:$I$600,MATCH($H382&amp;"|"&amp;$I382&amp;"|"&amp;$J382&amp;"|"&amp;2,Assessments!$A$2:$A$600,0)),"")</f>
        <v/>
      </c>
      <c r="CK382" s="28" t="str">
        <f aca="false">IFERROR(INDEX(Assessments!$I$2:$I$600,MATCH($H382&amp;"|"&amp;$I382&amp;"|"&amp;$J382&amp;"|"&amp;3,Assessments!$A$2:$A$600,0)),"")</f>
        <v/>
      </c>
      <c r="CL382" s="28" t="str">
        <f aca="false">IFERROR(INDEX(Assessments!$I$2:$I$600,MATCH($H382&amp;"|"&amp;$I382&amp;"|"&amp;$J382&amp;"|"&amp;4,Assessments!$A$2:$A$600,0)),"")</f>
        <v/>
      </c>
      <c r="CM382" s="28" t="str">
        <f aca="false">IFERROR(INDEX(Assessments!$I$2:$I$600,MATCH($H382&amp;"|"&amp;$I382&amp;"|"&amp;$J382&amp;"|"&amp;5,Assessments!$A$2:$A$600,0)),"")</f>
        <v/>
      </c>
      <c r="CN382" s="28" t="str">
        <f aca="false">IFERROR(INDEX(Assessments!$I$2:$I$600,MATCH($H382&amp;"|"&amp;$I382&amp;"|"&amp;$J382&amp;"|"&amp;6,Assessments!$A$2:$A$600,0)),"")</f>
        <v/>
      </c>
      <c r="CO382" s="28" t="str">
        <f aca="false">IFERROR(INDEX(Assessments!$I$2:$I$600,MATCH($H382&amp;"|"&amp;$I382&amp;"|"&amp;$J382&amp;"|"&amp;7,Assessments!$A$2:$A$600,0)),"")</f>
        <v/>
      </c>
      <c r="CP382" s="28" t="str">
        <f aca="false">IFERROR(INDEX(Assessments!$I$2:$I$600,MATCH($H382&amp;"|"&amp;$I382&amp;"|"&amp;$J382&amp;"|"&amp;8,Assessments!$A$2:$A$600,0)),"")</f>
        <v/>
      </c>
      <c r="CQ382" s="28" t="str">
        <f aca="false">IFERROR(INDEX(Assessments!$I$2:$I$600,MATCH($H382&amp;"|"&amp;$I382&amp;"|"&amp;$J382&amp;"|"&amp;9,Assessments!$A$2:$A$600,0)),"")</f>
        <v/>
      </c>
      <c r="CR382" s="28" t="str">
        <f aca="false">IFERROR(INDEX(Assessments!$I$2:$I$600,MATCH($H382&amp;"|"&amp;$I382&amp;"|"&amp;$J382&amp;"|"&amp;10,Assessments!$A$2:$A$600,0)),"")</f>
        <v/>
      </c>
      <c r="CS382" s="28" t="str">
        <f aca="false">IFERROR(INDEX(Assessments!$I$2:$I$600,MATCH($H382&amp;"|"&amp;$I382&amp;"|"&amp;$J382&amp;"|"&amp;11,Assessments!$A$2:$A$600,0)),"")</f>
        <v/>
      </c>
      <c r="CT382" s="28" t="str">
        <f aca="false">IFERROR(INDEX(Assessments!$I$2:$I$600,MATCH($H382&amp;"|"&amp;$I382&amp;"|"&amp;$J382&amp;"|"&amp;12,Assessments!$A$2:$A$600,0)),"")</f>
        <v/>
      </c>
      <c r="CU382" s="28" t="str">
        <f aca="false">IFERROR(INDEX(Assessments!$I$2:$I$600,MATCH($H382&amp;"|"&amp;$I382&amp;"|"&amp;$J382&amp;"|"&amp;13,Assessments!$A$2:$A$600,0)),"")</f>
        <v/>
      </c>
      <c r="CV382" s="28" t="str">
        <f aca="false">IFERROR(INDEX(Assessments!$I$2:$I$600,MATCH($H382&amp;"|"&amp;$I382&amp;"|"&amp;$J382&amp;"|"&amp;14,Assessments!$A$2:$A$600,0)),"")</f>
        <v/>
      </c>
      <c r="CW382" s="28" t="n">
        <f aca="false">IFERROR(INDEX(Assessments!$J$2:$J$600,MATCH($H382&amp;"|"&amp;$I382&amp;"|"&amp;$J382&amp;"|"&amp;1,Assessments!$A$2:$A$600,0)),0)</f>
        <v>0</v>
      </c>
      <c r="CX382" s="28" t="n">
        <f aca="false">IFERROR(INDEX(Assessments!$J$2:$J$600,MATCH($H382&amp;"|"&amp;$I382&amp;"|"&amp;$J382&amp;"|"&amp;2,Assessments!$A$2:$A$600,0)),0)</f>
        <v>0</v>
      </c>
      <c r="CY382" s="28" t="n">
        <f aca="false">IFERROR(INDEX(Assessments!$J$2:$J$600,MATCH($H382&amp;"|"&amp;$I382&amp;"|"&amp;$J382&amp;"|"&amp;3,Assessments!$A$2:$A$600,0)),0)</f>
        <v>0</v>
      </c>
      <c r="CZ382" s="28" t="n">
        <f aca="false">IFERROR(INDEX(Assessments!$J$2:$J$600,MATCH($H382&amp;"|"&amp;$I382&amp;"|"&amp;$J382&amp;"|"&amp;4,Assessments!$A$2:$A$600,0)),0)</f>
        <v>0</v>
      </c>
      <c r="DA382" s="28" t="n">
        <f aca="false">IFERROR(INDEX(Assessments!$J$2:$J$600,MATCH($H382&amp;"|"&amp;$I382&amp;"|"&amp;$J382&amp;"|"&amp;5,Assessments!$A$2:$A$600,0)),0)</f>
        <v>0</v>
      </c>
      <c r="DB382" s="28" t="n">
        <f aca="false">IFERROR(INDEX(Assessments!$J$2:$J$600,MATCH($H382&amp;"|"&amp;$I382&amp;"|"&amp;$J382&amp;"|"&amp;6,Assessments!$A$2:$A$600,0)),0)</f>
        <v>0</v>
      </c>
      <c r="DC382" s="28" t="n">
        <f aca="false">IFERROR(INDEX(Assessments!$J$2:$J$600,MATCH($H382&amp;"|"&amp;$I382&amp;"|"&amp;$J382&amp;"|"&amp;7,Assessments!$A$2:$A$600,0)),0)</f>
        <v>0</v>
      </c>
      <c r="DD382" s="28" t="n">
        <f aca="false">IFERROR(INDEX(Assessments!$J$2:$J$600,MATCH($H382&amp;"|"&amp;$I382&amp;"|"&amp;$J382&amp;"|"&amp;8,Assessments!$A$2:$A$600,0)),0)</f>
        <v>0</v>
      </c>
      <c r="DE382" s="28" t="n">
        <f aca="false">IFERROR(INDEX(Assessments!$J$2:$J$600,MATCH($H382&amp;"|"&amp;$I382&amp;"|"&amp;$J382&amp;"|"&amp;9,Assessments!$A$2:$A$600,0)),0)</f>
        <v>0</v>
      </c>
      <c r="DF382" s="28" t="n">
        <f aca="false">IFERROR(INDEX(Assessments!$J$2:$J$600,MATCH($H382&amp;"|"&amp;$I382&amp;"|"&amp;$J382&amp;"|"&amp;10,Assessments!$A$2:$A$600,0)),0)</f>
        <v>0</v>
      </c>
      <c r="DG382" s="28" t="n">
        <f aca="false">IFERROR(INDEX(Assessments!$J$2:$J$600,MATCH($H382&amp;"|"&amp;$I382&amp;"|"&amp;$J382&amp;"|"&amp;11,Assessments!$A$2:$A$600,0)),0)</f>
        <v>0</v>
      </c>
      <c r="DH382" s="28" t="n">
        <f aca="false">IFERROR(INDEX(Assessments!$J$2:$J$600,MATCH($H382&amp;"|"&amp;$I382&amp;"|"&amp;$J382&amp;"|"&amp;12,Assessments!$A$2:$A$600,0)),0)</f>
        <v>0</v>
      </c>
      <c r="DI382" s="28" t="n">
        <f aca="false">IFERROR(INDEX(Assessments!$J$2:$J$600,MATCH($H382&amp;"|"&amp;$I382&amp;"|"&amp;$J382&amp;"|"&amp;13,Assessments!$A$2:$A$600,0)),0)</f>
        <v>0</v>
      </c>
      <c r="DJ382" s="28" t="n">
        <f aca="false">IFERROR(INDEX(Assessments!$J$2:$J$600,MATCH($H382&amp;"|"&amp;$I382&amp;"|"&amp;$J382&amp;"|"&amp;14,Assessments!$A$2:$A$600,0)),0)</f>
        <v>0</v>
      </c>
      <c r="DK382" s="28" t="str">
        <f aca="false">S382</f>
        <v/>
      </c>
      <c r="DL382" s="28" t="str">
        <f aca="false">W382</f>
        <v/>
      </c>
      <c r="DM382" s="28" t="str">
        <f aca="false">AA382</f>
        <v/>
      </c>
      <c r="DN382" s="28" t="str">
        <f aca="false">AE382</f>
        <v/>
      </c>
      <c r="DO382" s="28" t="str">
        <f aca="false">AI382</f>
        <v/>
      </c>
      <c r="DP382" s="28" t="str">
        <f aca="false">AM382</f>
        <v/>
      </c>
      <c r="DQ382" s="28" t="str">
        <f aca="false">AQ382</f>
        <v/>
      </c>
      <c r="DR382" s="28" t="str">
        <f aca="false">AU382</f>
        <v/>
      </c>
      <c r="DS382" s="28" t="str">
        <f aca="false">AY382</f>
        <v/>
      </c>
      <c r="DT382" s="28" t="str">
        <f aca="false">BC382</f>
        <v/>
      </c>
      <c r="DU382" s="28" t="str">
        <f aca="false">BG382</f>
        <v/>
      </c>
      <c r="DV382" s="28" t="str">
        <f aca="false">BK382</f>
        <v/>
      </c>
      <c r="DW382" s="28" t="str">
        <f aca="false">BO382</f>
        <v/>
      </c>
      <c r="DX382" s="28" t="str">
        <f aca="false">BS382</f>
        <v/>
      </c>
      <c r="DY382" s="28" t="str">
        <f aca="false">IF(ISNUMBER(S382),1,"")</f>
        <v/>
      </c>
      <c r="DZ382" s="28" t="str">
        <f aca="false">IF(ISNUMBER(W382),2,"")</f>
        <v/>
      </c>
      <c r="EA382" s="28" t="str">
        <f aca="false">IF(ISNUMBER(AA382),3,"")</f>
        <v/>
      </c>
      <c r="EB382" s="28" t="str">
        <f aca="false">IF(ISNUMBER(AE382),4,"")</f>
        <v/>
      </c>
      <c r="EC382" s="28" t="str">
        <f aca="false">IF(ISNUMBER(AI382),5,"")</f>
        <v/>
      </c>
      <c r="ED382" s="28" t="str">
        <f aca="false">IF(ISNUMBER(AM382),6,"")</f>
        <v/>
      </c>
      <c r="EE382" s="28" t="str">
        <f aca="false">IF(ISNUMBER(AQ382),7,"")</f>
        <v/>
      </c>
      <c r="EF382" s="28" t="str">
        <f aca="false">IF(ISNUMBER(AU382),8,"")</f>
        <v/>
      </c>
      <c r="EG382" s="28" t="str">
        <f aca="false">IF(ISNUMBER(AY382),9,"")</f>
        <v/>
      </c>
      <c r="EH382" s="28" t="str">
        <f aca="false">IF(ISNUMBER(BC382),10,"")</f>
        <v/>
      </c>
      <c r="EI382" s="28" t="str">
        <f aca="false">IF(ISNUMBER(BG382),11,"")</f>
        <v/>
      </c>
      <c r="EJ382" s="28" t="str">
        <f aca="false">IF(ISNUMBER(BK382),12,"")</f>
        <v/>
      </c>
      <c r="EK382" s="28" t="str">
        <f aca="false">IF(ISNUMBER(BO382),13,"")</f>
        <v/>
      </c>
      <c r="EL382" s="28" t="str">
        <f aca="false">IF(ISNUMBER(BS382),14,"")</f>
        <v/>
      </c>
      <c r="EM382" s="28" t="n">
        <f aca="false">IF(ISNUMBER(R382),R382*CW382,0)</f>
        <v>0</v>
      </c>
      <c r="EN382" s="28" t="n">
        <f aca="false">IF(ISNUMBER(V382),V382*CX382,0)</f>
        <v>0</v>
      </c>
      <c r="EO382" s="28" t="n">
        <f aca="false">IF(ISNUMBER(Z382),Z382*CY382,0)</f>
        <v>0</v>
      </c>
      <c r="EP382" s="28" t="n">
        <f aca="false">IF(ISNUMBER(AD382),AD382*CZ382,0)</f>
        <v>0</v>
      </c>
      <c r="EQ382" s="28" t="n">
        <f aca="false">IF(ISNUMBER(AH382),AH382*DA382,0)</f>
        <v>0</v>
      </c>
      <c r="ER382" s="28" t="n">
        <f aca="false">IF(ISNUMBER(AL382),AL382*DB382,0)</f>
        <v>0</v>
      </c>
      <c r="ES382" s="28" t="n">
        <f aca="false">IF(ISNUMBER(AP382),AP382*DC382,0)</f>
        <v>0</v>
      </c>
      <c r="ET382" s="28" t="n">
        <f aca="false">IF(ISNUMBER(AT382),AT382*DD382,0)</f>
        <v>0</v>
      </c>
      <c r="EU382" s="28" t="n">
        <f aca="false">IF(ISNUMBER(AX382),AX382*DE382,0)</f>
        <v>0</v>
      </c>
      <c r="EV382" s="28" t="n">
        <f aca="false">IF(ISNUMBER(BB382),BB382*DF382,0)</f>
        <v>0</v>
      </c>
      <c r="EW382" s="28" t="n">
        <f aca="false">IF(ISNUMBER(BF382),BF382*DG382,0)</f>
        <v>0</v>
      </c>
      <c r="EX382" s="28" t="n">
        <f aca="false">IF(ISNUMBER(BJ382),BJ382*DH382,0)</f>
        <v>0</v>
      </c>
      <c r="EY382" s="28" t="n">
        <f aca="false">IF(ISNUMBER(BN382),BN382*DI382,0)</f>
        <v>0</v>
      </c>
      <c r="EZ382" s="28" t="n">
        <f aca="false">IF(ISNUMBER(BR382),BR382*DJ382,0)</f>
        <v>0</v>
      </c>
      <c r="FA382" s="28" t="n">
        <f aca="false">IF(ISNUMBER(R382),CW382,0)</f>
        <v>0</v>
      </c>
      <c r="FB382" s="28" t="n">
        <f aca="false">IF(ISNUMBER(V382),CX382,0)</f>
        <v>0</v>
      </c>
      <c r="FC382" s="28" t="n">
        <f aca="false">IF(ISNUMBER(Z382),CY382,0)</f>
        <v>0</v>
      </c>
      <c r="FD382" s="28" t="n">
        <f aca="false">IF(ISNUMBER(AD382),CZ382,0)</f>
        <v>0</v>
      </c>
      <c r="FE382" s="28" t="n">
        <f aca="false">IF(ISNUMBER(AH382),DA382,0)</f>
        <v>0</v>
      </c>
      <c r="FF382" s="28" t="n">
        <f aca="false">IF(ISNUMBER(AL382),DB382,0)</f>
        <v>0</v>
      </c>
      <c r="FG382" s="28" t="n">
        <f aca="false">IF(ISNUMBER(AP382),DC382,0)</f>
        <v>0</v>
      </c>
      <c r="FH382" s="28" t="n">
        <f aca="false">IF(ISNUMBER(AT382),DD382,0)</f>
        <v>0</v>
      </c>
      <c r="FI382" s="28" t="n">
        <f aca="false">IF(ISNUMBER(AX382),DE382,0)</f>
        <v>0</v>
      </c>
      <c r="FJ382" s="28" t="n">
        <f aca="false">IF(ISNUMBER(BB382),DF382,0)</f>
        <v>0</v>
      </c>
      <c r="FK382" s="28" t="n">
        <f aca="false">IF(ISNUMBER(BF382),DG382,0)</f>
        <v>0</v>
      </c>
      <c r="FL382" s="28" t="n">
        <f aca="false">IF(ISNUMBER(BJ382),DH382,0)</f>
        <v>0</v>
      </c>
      <c r="FM382" s="28" t="n">
        <f aca="false">IF(ISNUMBER(BN382),DI382,0)</f>
        <v>0</v>
      </c>
      <c r="FN382" s="28" t="n">
        <f aca="false">IF(ISNUMBER(BR382),DJ382,0)</f>
        <v>0</v>
      </c>
      <c r="FO382" s="28" t="str">
        <f aca="false">IFERROR(INDEX(Lists!$G$2:$G$20,MATCH($I382&amp;"|"&amp;$J382,Lists!$F$2:$F$20,0)),"")</f>
        <v/>
      </c>
    </row>
    <row r="383" customFormat="false" ht="19.5" hidden="false" customHeight="true" outlineLevel="0" collapsed="false">
      <c r="A383" s="29"/>
      <c r="B383" s="29"/>
      <c r="C383" s="30"/>
      <c r="D383" s="30"/>
      <c r="E383" s="31"/>
      <c r="F383" s="30"/>
      <c r="G383" s="30"/>
      <c r="H383" s="32"/>
      <c r="I383" s="33"/>
      <c r="J383" s="32"/>
      <c r="K383" s="34" t="str">
        <f aca="false">IF(OR(M383="",$E383=""),"",M383-$E383)</f>
        <v/>
      </c>
      <c r="L383" s="35" t="str">
        <f aca="false">IF(SUM(FA383:FN383)=0,"",SUM(EM383:EZ383)/SUM(FA383:FN383))</f>
        <v/>
      </c>
      <c r="M383" s="36" t="str">
        <f aca="false">IF(OR(L383="",FO383=""),"",IFERROR(MATCH(L383,INDEX(Boundaries!$B$2:$I$30,MATCH(FO383,Boundaries!$A$2:$A$30,0),0),1)-1,""))</f>
        <v/>
      </c>
      <c r="N383" s="37" t="str">
        <f aca="false">IF(COUNT($DY383:$EL383)&lt;2,"",INDEX($DK383:$DX383,MAX($DY383:$EL383))-INDEX($DK383:$DX383,MIN($DY383:$EL383)))</f>
        <v/>
      </c>
      <c r="O383" s="37" t="str">
        <f aca="false">IF(COUNT($DY383:$EL383)&lt;2,"",INDEX($DK383:$DX383,MAX($DY383:$EL383))-INDEX($DK383:$DX383,LARGE($DY383:$EL383,2)))</f>
        <v/>
      </c>
      <c r="P383" s="38" t="str">
        <f aca="false">IF(K383="","",IF(K383&gt;=0,"On/above target",IF(AND(N383&lt;&gt;"",N383&gt;=0.5),"Improving towards target",IF(AND(O383&lt;&gt;"",O383&lt;=-0.5),"Declining","Stable below target"))))</f>
        <v/>
      </c>
      <c r="Q383" s="39"/>
      <c r="R383" s="40" t="str">
        <f aca="false">IF(OR(Q383="",BU383=""),"",Q383/BU383*100)</f>
        <v/>
      </c>
      <c r="S383" s="41" t="str">
        <f aca="false">IF(R383="","",IFERROR(MATCH(R383,INDEX(Boundaries!$B$2:$I$30,MATCH(CI383,Boundaries!$A$2:$A$30,0),0),1)-1,""))</f>
        <v/>
      </c>
      <c r="T383" s="42" t="str">
        <f aca="false">IF(OR(S383="",$E383=""),"",S383-$E383)</f>
        <v/>
      </c>
      <c r="U383" s="39"/>
      <c r="V383" s="40" t="str">
        <f aca="false">IF(OR(U383="",BV383=""),"",U383/BV383*100)</f>
        <v/>
      </c>
      <c r="W383" s="41" t="str">
        <f aca="false">IF(V383="","",IFERROR(MATCH(V383,INDEX(Boundaries!$B$2:$I$30,MATCH(CJ383,Boundaries!$A$2:$A$30,0),0),1)-1,""))</f>
        <v/>
      </c>
      <c r="X383" s="42" t="str">
        <f aca="false">IF(OR(W383="",$E383=""),"",W383-$E383)</f>
        <v/>
      </c>
      <c r="Y383" s="39"/>
      <c r="Z383" s="40" t="str">
        <f aca="false">IF(OR(Y383="",BW383=""),"",Y383/BW383*100)</f>
        <v/>
      </c>
      <c r="AA383" s="41" t="str">
        <f aca="false">IF(Z383="","",IFERROR(MATCH(Z383,INDEX(Boundaries!$B$2:$I$30,MATCH(CK383,Boundaries!$A$2:$A$30,0),0),1)-1,""))</f>
        <v/>
      </c>
      <c r="AB383" s="42" t="str">
        <f aca="false">IF(OR(AA383="",$E383=""),"",AA383-$E383)</f>
        <v/>
      </c>
      <c r="AC383" s="39"/>
      <c r="AD383" s="40" t="str">
        <f aca="false">IF(OR(AC383="",BX383=""),"",AC383/BX383*100)</f>
        <v/>
      </c>
      <c r="AE383" s="41" t="str">
        <f aca="false">IF(AD383="","",IFERROR(MATCH(AD383,INDEX(Boundaries!$B$2:$I$30,MATCH(CL383,Boundaries!$A$2:$A$30,0),0),1)-1,""))</f>
        <v/>
      </c>
      <c r="AF383" s="42" t="str">
        <f aca="false">IF(OR(AE383="",$E383=""),"",AE383-$E383)</f>
        <v/>
      </c>
      <c r="AG383" s="39"/>
      <c r="AH383" s="40" t="str">
        <f aca="false">IF(OR(AG383="",BY383=""),"",AG383/BY383*100)</f>
        <v/>
      </c>
      <c r="AI383" s="41" t="str">
        <f aca="false">IF(AH383="","",IFERROR(MATCH(AH383,INDEX(Boundaries!$B$2:$I$30,MATCH(CM383,Boundaries!$A$2:$A$30,0),0),1)-1,""))</f>
        <v/>
      </c>
      <c r="AJ383" s="42" t="str">
        <f aca="false">IF(OR(AI383="",$E383=""),"",AI383-$E383)</f>
        <v/>
      </c>
      <c r="AK383" s="39"/>
      <c r="AL383" s="40" t="str">
        <f aca="false">IF(OR(AK383="",BZ383=""),"",AK383/BZ383*100)</f>
        <v/>
      </c>
      <c r="AM383" s="41" t="str">
        <f aca="false">IF(AL383="","",IFERROR(MATCH(AL383,INDEX(Boundaries!$B$2:$I$30,MATCH(CN383,Boundaries!$A$2:$A$30,0),0),1)-1,""))</f>
        <v/>
      </c>
      <c r="AN383" s="42" t="str">
        <f aca="false">IF(OR(AM383="",$E383=""),"",AM383-$E383)</f>
        <v/>
      </c>
      <c r="AO383" s="39"/>
      <c r="AP383" s="40" t="str">
        <f aca="false">IF(OR(AO383="",CA383=""),"",AO383/CA383*100)</f>
        <v/>
      </c>
      <c r="AQ383" s="41" t="str">
        <f aca="false">IF(AP383="","",IFERROR(MATCH(AP383,INDEX(Boundaries!$B$2:$I$30,MATCH(CO383,Boundaries!$A$2:$A$30,0),0),1)-1,""))</f>
        <v/>
      </c>
      <c r="AR383" s="42" t="str">
        <f aca="false">IF(OR(AQ383="",$E383=""),"",AQ383-$E383)</f>
        <v/>
      </c>
      <c r="AS383" s="39"/>
      <c r="AT383" s="40" t="str">
        <f aca="false">IF(OR(AS383="",CB383=""),"",AS383/CB383*100)</f>
        <v/>
      </c>
      <c r="AU383" s="41" t="str">
        <f aca="false">IF(AT383="","",IFERROR(MATCH(AT383,INDEX(Boundaries!$B$2:$I$30,MATCH(CP383,Boundaries!$A$2:$A$30,0),0),1)-1,""))</f>
        <v/>
      </c>
      <c r="AV383" s="42" t="str">
        <f aca="false">IF(OR(AU383="",$E383=""),"",AU383-$E383)</f>
        <v/>
      </c>
      <c r="AW383" s="39"/>
      <c r="AX383" s="40" t="str">
        <f aca="false">IF(OR(AW383="",CC383=""),"",AW383/CC383*100)</f>
        <v/>
      </c>
      <c r="AY383" s="41" t="str">
        <f aca="false">IF(AX383="","",IFERROR(MATCH(AX383,INDEX(Boundaries!$B$2:$I$30,MATCH(CQ383,Boundaries!$A$2:$A$30,0),0),1)-1,""))</f>
        <v/>
      </c>
      <c r="AZ383" s="42" t="str">
        <f aca="false">IF(OR(AY383="",$E383=""),"",AY383-$E383)</f>
        <v/>
      </c>
      <c r="BA383" s="39"/>
      <c r="BB383" s="40" t="str">
        <f aca="false">IF(OR(BA383="",CD383=""),"",BA383/CD383*100)</f>
        <v/>
      </c>
      <c r="BC383" s="41" t="str">
        <f aca="false">IF(BB383="","",IFERROR(MATCH(BB383,INDEX(Boundaries!$B$2:$I$30,MATCH(CR383,Boundaries!$A$2:$A$30,0),0),1)-1,""))</f>
        <v/>
      </c>
      <c r="BD383" s="42" t="str">
        <f aca="false">IF(OR(BC383="",$E383=""),"",BC383-$E383)</f>
        <v/>
      </c>
      <c r="BE383" s="39"/>
      <c r="BF383" s="40" t="str">
        <f aca="false">IF(OR(BE383="",CE383=""),"",BE383/CE383*100)</f>
        <v/>
      </c>
      <c r="BG383" s="41" t="str">
        <f aca="false">IF(BF383="","",IFERROR(MATCH(BF383,INDEX(Boundaries!$B$2:$I$30,MATCH(CS383,Boundaries!$A$2:$A$30,0),0),1)-1,""))</f>
        <v/>
      </c>
      <c r="BH383" s="42" t="str">
        <f aca="false">IF(OR(BG383="",$E383=""),"",BG383-$E383)</f>
        <v/>
      </c>
      <c r="BI383" s="39"/>
      <c r="BJ383" s="40" t="str">
        <f aca="false">IF(OR(BI383="",CF383=""),"",BI383/CF383*100)</f>
        <v/>
      </c>
      <c r="BK383" s="41" t="str">
        <f aca="false">IF(BJ383="","",IFERROR(MATCH(BJ383,INDEX(Boundaries!$B$2:$I$30,MATCH(CT383,Boundaries!$A$2:$A$30,0),0),1)-1,""))</f>
        <v/>
      </c>
      <c r="BL383" s="42" t="str">
        <f aca="false">IF(OR(BK383="",$E383=""),"",BK383-$E383)</f>
        <v/>
      </c>
      <c r="BM383" s="39"/>
      <c r="BN383" s="40" t="str">
        <f aca="false">IF(OR(BM383="",CG383=""),"",BM383/CG383*100)</f>
        <v/>
      </c>
      <c r="BO383" s="41" t="str">
        <f aca="false">IF(BN383="","",IFERROR(MATCH(BN383,INDEX(Boundaries!$B$2:$I$30,MATCH(CU383,Boundaries!$A$2:$A$30,0),0),1)-1,""))</f>
        <v/>
      </c>
      <c r="BP383" s="42" t="str">
        <f aca="false">IF(OR(BO383="",$E383=""),"",BO383-$E383)</f>
        <v/>
      </c>
      <c r="BQ383" s="39"/>
      <c r="BR383" s="40" t="str">
        <f aca="false">IF(OR(BQ383="",CH383=""),"",BQ383/CH383*100)</f>
        <v/>
      </c>
      <c r="BS383" s="41" t="str">
        <f aca="false">IF(BR383="","",IFERROR(MATCH(BR383,INDEX(Boundaries!$B$2:$I$30,MATCH(CV383,Boundaries!$A$2:$A$30,0),0),1)-1,""))</f>
        <v/>
      </c>
      <c r="BT383" s="42" t="str">
        <f aca="false">IF(OR(BS383="",$E383=""),"",BS383-$E383)</f>
        <v/>
      </c>
      <c r="BU383" s="28" t="str">
        <f aca="false">IFERROR(INDEX(Assessments!$H$2:$H$600,MATCH($H383&amp;"|"&amp;$I383&amp;"|"&amp;$J383&amp;"|"&amp;1,Assessments!$A$2:$A$600,0)),"")</f>
        <v/>
      </c>
      <c r="BV383" s="28" t="str">
        <f aca="false">IFERROR(INDEX(Assessments!$H$2:$H$600,MATCH($H383&amp;"|"&amp;$I383&amp;"|"&amp;$J383&amp;"|"&amp;2,Assessments!$A$2:$A$600,0)),"")</f>
        <v/>
      </c>
      <c r="BW383" s="28" t="str">
        <f aca="false">IFERROR(INDEX(Assessments!$H$2:$H$600,MATCH($H383&amp;"|"&amp;$I383&amp;"|"&amp;$J383&amp;"|"&amp;3,Assessments!$A$2:$A$600,0)),"")</f>
        <v/>
      </c>
      <c r="BX383" s="28" t="str">
        <f aca="false">IFERROR(INDEX(Assessments!$H$2:$H$600,MATCH($H383&amp;"|"&amp;$I383&amp;"|"&amp;$J383&amp;"|"&amp;4,Assessments!$A$2:$A$600,0)),"")</f>
        <v/>
      </c>
      <c r="BY383" s="28" t="str">
        <f aca="false">IFERROR(INDEX(Assessments!$H$2:$H$600,MATCH($H383&amp;"|"&amp;$I383&amp;"|"&amp;$J383&amp;"|"&amp;5,Assessments!$A$2:$A$600,0)),"")</f>
        <v/>
      </c>
      <c r="BZ383" s="28" t="str">
        <f aca="false">IFERROR(INDEX(Assessments!$H$2:$H$600,MATCH($H383&amp;"|"&amp;$I383&amp;"|"&amp;$J383&amp;"|"&amp;6,Assessments!$A$2:$A$600,0)),"")</f>
        <v/>
      </c>
      <c r="CA383" s="28" t="str">
        <f aca="false">IFERROR(INDEX(Assessments!$H$2:$H$600,MATCH($H383&amp;"|"&amp;$I383&amp;"|"&amp;$J383&amp;"|"&amp;7,Assessments!$A$2:$A$600,0)),"")</f>
        <v/>
      </c>
      <c r="CB383" s="28" t="str">
        <f aca="false">IFERROR(INDEX(Assessments!$H$2:$H$600,MATCH($H383&amp;"|"&amp;$I383&amp;"|"&amp;$J383&amp;"|"&amp;8,Assessments!$A$2:$A$600,0)),"")</f>
        <v/>
      </c>
      <c r="CC383" s="28" t="str">
        <f aca="false">IFERROR(INDEX(Assessments!$H$2:$H$600,MATCH($H383&amp;"|"&amp;$I383&amp;"|"&amp;$J383&amp;"|"&amp;9,Assessments!$A$2:$A$600,0)),"")</f>
        <v/>
      </c>
      <c r="CD383" s="28" t="str">
        <f aca="false">IFERROR(INDEX(Assessments!$H$2:$H$600,MATCH($H383&amp;"|"&amp;$I383&amp;"|"&amp;$J383&amp;"|"&amp;10,Assessments!$A$2:$A$600,0)),"")</f>
        <v/>
      </c>
      <c r="CE383" s="28" t="str">
        <f aca="false">IFERROR(INDEX(Assessments!$H$2:$H$600,MATCH($H383&amp;"|"&amp;$I383&amp;"|"&amp;$J383&amp;"|"&amp;11,Assessments!$A$2:$A$600,0)),"")</f>
        <v/>
      </c>
      <c r="CF383" s="28" t="str">
        <f aca="false">IFERROR(INDEX(Assessments!$H$2:$H$600,MATCH($H383&amp;"|"&amp;$I383&amp;"|"&amp;$J383&amp;"|"&amp;12,Assessments!$A$2:$A$600,0)),"")</f>
        <v/>
      </c>
      <c r="CG383" s="28" t="str">
        <f aca="false">IFERROR(INDEX(Assessments!$H$2:$H$600,MATCH($H383&amp;"|"&amp;$I383&amp;"|"&amp;$J383&amp;"|"&amp;13,Assessments!$A$2:$A$600,0)),"")</f>
        <v/>
      </c>
      <c r="CH383" s="28" t="str">
        <f aca="false">IFERROR(INDEX(Assessments!$H$2:$H$600,MATCH($H383&amp;"|"&amp;$I383&amp;"|"&amp;$J383&amp;"|"&amp;14,Assessments!$A$2:$A$600,0)),"")</f>
        <v/>
      </c>
      <c r="CI383" s="28" t="str">
        <f aca="false">IFERROR(INDEX(Assessments!$I$2:$I$600,MATCH($H383&amp;"|"&amp;$I383&amp;"|"&amp;$J383&amp;"|"&amp;1,Assessments!$A$2:$A$600,0)),"")</f>
        <v/>
      </c>
      <c r="CJ383" s="28" t="str">
        <f aca="false">IFERROR(INDEX(Assessments!$I$2:$I$600,MATCH($H383&amp;"|"&amp;$I383&amp;"|"&amp;$J383&amp;"|"&amp;2,Assessments!$A$2:$A$600,0)),"")</f>
        <v/>
      </c>
      <c r="CK383" s="28" t="str">
        <f aca="false">IFERROR(INDEX(Assessments!$I$2:$I$600,MATCH($H383&amp;"|"&amp;$I383&amp;"|"&amp;$J383&amp;"|"&amp;3,Assessments!$A$2:$A$600,0)),"")</f>
        <v/>
      </c>
      <c r="CL383" s="28" t="str">
        <f aca="false">IFERROR(INDEX(Assessments!$I$2:$I$600,MATCH($H383&amp;"|"&amp;$I383&amp;"|"&amp;$J383&amp;"|"&amp;4,Assessments!$A$2:$A$600,0)),"")</f>
        <v/>
      </c>
      <c r="CM383" s="28" t="str">
        <f aca="false">IFERROR(INDEX(Assessments!$I$2:$I$600,MATCH($H383&amp;"|"&amp;$I383&amp;"|"&amp;$J383&amp;"|"&amp;5,Assessments!$A$2:$A$600,0)),"")</f>
        <v/>
      </c>
      <c r="CN383" s="28" t="str">
        <f aca="false">IFERROR(INDEX(Assessments!$I$2:$I$600,MATCH($H383&amp;"|"&amp;$I383&amp;"|"&amp;$J383&amp;"|"&amp;6,Assessments!$A$2:$A$600,0)),"")</f>
        <v/>
      </c>
      <c r="CO383" s="28" t="str">
        <f aca="false">IFERROR(INDEX(Assessments!$I$2:$I$600,MATCH($H383&amp;"|"&amp;$I383&amp;"|"&amp;$J383&amp;"|"&amp;7,Assessments!$A$2:$A$600,0)),"")</f>
        <v/>
      </c>
      <c r="CP383" s="28" t="str">
        <f aca="false">IFERROR(INDEX(Assessments!$I$2:$I$600,MATCH($H383&amp;"|"&amp;$I383&amp;"|"&amp;$J383&amp;"|"&amp;8,Assessments!$A$2:$A$600,0)),"")</f>
        <v/>
      </c>
      <c r="CQ383" s="28" t="str">
        <f aca="false">IFERROR(INDEX(Assessments!$I$2:$I$600,MATCH($H383&amp;"|"&amp;$I383&amp;"|"&amp;$J383&amp;"|"&amp;9,Assessments!$A$2:$A$600,0)),"")</f>
        <v/>
      </c>
      <c r="CR383" s="28" t="str">
        <f aca="false">IFERROR(INDEX(Assessments!$I$2:$I$600,MATCH($H383&amp;"|"&amp;$I383&amp;"|"&amp;$J383&amp;"|"&amp;10,Assessments!$A$2:$A$600,0)),"")</f>
        <v/>
      </c>
      <c r="CS383" s="28" t="str">
        <f aca="false">IFERROR(INDEX(Assessments!$I$2:$I$600,MATCH($H383&amp;"|"&amp;$I383&amp;"|"&amp;$J383&amp;"|"&amp;11,Assessments!$A$2:$A$600,0)),"")</f>
        <v/>
      </c>
      <c r="CT383" s="28" t="str">
        <f aca="false">IFERROR(INDEX(Assessments!$I$2:$I$600,MATCH($H383&amp;"|"&amp;$I383&amp;"|"&amp;$J383&amp;"|"&amp;12,Assessments!$A$2:$A$600,0)),"")</f>
        <v/>
      </c>
      <c r="CU383" s="28" t="str">
        <f aca="false">IFERROR(INDEX(Assessments!$I$2:$I$600,MATCH($H383&amp;"|"&amp;$I383&amp;"|"&amp;$J383&amp;"|"&amp;13,Assessments!$A$2:$A$600,0)),"")</f>
        <v/>
      </c>
      <c r="CV383" s="28" t="str">
        <f aca="false">IFERROR(INDEX(Assessments!$I$2:$I$600,MATCH($H383&amp;"|"&amp;$I383&amp;"|"&amp;$J383&amp;"|"&amp;14,Assessments!$A$2:$A$600,0)),"")</f>
        <v/>
      </c>
      <c r="CW383" s="28" t="n">
        <f aca="false">IFERROR(INDEX(Assessments!$J$2:$J$600,MATCH($H383&amp;"|"&amp;$I383&amp;"|"&amp;$J383&amp;"|"&amp;1,Assessments!$A$2:$A$600,0)),0)</f>
        <v>0</v>
      </c>
      <c r="CX383" s="28" t="n">
        <f aca="false">IFERROR(INDEX(Assessments!$J$2:$J$600,MATCH($H383&amp;"|"&amp;$I383&amp;"|"&amp;$J383&amp;"|"&amp;2,Assessments!$A$2:$A$600,0)),0)</f>
        <v>0</v>
      </c>
      <c r="CY383" s="28" t="n">
        <f aca="false">IFERROR(INDEX(Assessments!$J$2:$J$600,MATCH($H383&amp;"|"&amp;$I383&amp;"|"&amp;$J383&amp;"|"&amp;3,Assessments!$A$2:$A$600,0)),0)</f>
        <v>0</v>
      </c>
      <c r="CZ383" s="28" t="n">
        <f aca="false">IFERROR(INDEX(Assessments!$J$2:$J$600,MATCH($H383&amp;"|"&amp;$I383&amp;"|"&amp;$J383&amp;"|"&amp;4,Assessments!$A$2:$A$600,0)),0)</f>
        <v>0</v>
      </c>
      <c r="DA383" s="28" t="n">
        <f aca="false">IFERROR(INDEX(Assessments!$J$2:$J$600,MATCH($H383&amp;"|"&amp;$I383&amp;"|"&amp;$J383&amp;"|"&amp;5,Assessments!$A$2:$A$600,0)),0)</f>
        <v>0</v>
      </c>
      <c r="DB383" s="28" t="n">
        <f aca="false">IFERROR(INDEX(Assessments!$J$2:$J$600,MATCH($H383&amp;"|"&amp;$I383&amp;"|"&amp;$J383&amp;"|"&amp;6,Assessments!$A$2:$A$600,0)),0)</f>
        <v>0</v>
      </c>
      <c r="DC383" s="28" t="n">
        <f aca="false">IFERROR(INDEX(Assessments!$J$2:$J$600,MATCH($H383&amp;"|"&amp;$I383&amp;"|"&amp;$J383&amp;"|"&amp;7,Assessments!$A$2:$A$600,0)),0)</f>
        <v>0</v>
      </c>
      <c r="DD383" s="28" t="n">
        <f aca="false">IFERROR(INDEX(Assessments!$J$2:$J$600,MATCH($H383&amp;"|"&amp;$I383&amp;"|"&amp;$J383&amp;"|"&amp;8,Assessments!$A$2:$A$600,0)),0)</f>
        <v>0</v>
      </c>
      <c r="DE383" s="28" t="n">
        <f aca="false">IFERROR(INDEX(Assessments!$J$2:$J$600,MATCH($H383&amp;"|"&amp;$I383&amp;"|"&amp;$J383&amp;"|"&amp;9,Assessments!$A$2:$A$600,0)),0)</f>
        <v>0</v>
      </c>
      <c r="DF383" s="28" t="n">
        <f aca="false">IFERROR(INDEX(Assessments!$J$2:$J$600,MATCH($H383&amp;"|"&amp;$I383&amp;"|"&amp;$J383&amp;"|"&amp;10,Assessments!$A$2:$A$600,0)),0)</f>
        <v>0</v>
      </c>
      <c r="DG383" s="28" t="n">
        <f aca="false">IFERROR(INDEX(Assessments!$J$2:$J$600,MATCH($H383&amp;"|"&amp;$I383&amp;"|"&amp;$J383&amp;"|"&amp;11,Assessments!$A$2:$A$600,0)),0)</f>
        <v>0</v>
      </c>
      <c r="DH383" s="28" t="n">
        <f aca="false">IFERROR(INDEX(Assessments!$J$2:$J$600,MATCH($H383&amp;"|"&amp;$I383&amp;"|"&amp;$J383&amp;"|"&amp;12,Assessments!$A$2:$A$600,0)),0)</f>
        <v>0</v>
      </c>
      <c r="DI383" s="28" t="n">
        <f aca="false">IFERROR(INDEX(Assessments!$J$2:$J$600,MATCH($H383&amp;"|"&amp;$I383&amp;"|"&amp;$J383&amp;"|"&amp;13,Assessments!$A$2:$A$600,0)),0)</f>
        <v>0</v>
      </c>
      <c r="DJ383" s="28" t="n">
        <f aca="false">IFERROR(INDEX(Assessments!$J$2:$J$600,MATCH($H383&amp;"|"&amp;$I383&amp;"|"&amp;$J383&amp;"|"&amp;14,Assessments!$A$2:$A$600,0)),0)</f>
        <v>0</v>
      </c>
      <c r="DK383" s="28" t="str">
        <f aca="false">S383</f>
        <v/>
      </c>
      <c r="DL383" s="28" t="str">
        <f aca="false">W383</f>
        <v/>
      </c>
      <c r="DM383" s="28" t="str">
        <f aca="false">AA383</f>
        <v/>
      </c>
      <c r="DN383" s="28" t="str">
        <f aca="false">AE383</f>
        <v/>
      </c>
      <c r="DO383" s="28" t="str">
        <f aca="false">AI383</f>
        <v/>
      </c>
      <c r="DP383" s="28" t="str">
        <f aca="false">AM383</f>
        <v/>
      </c>
      <c r="DQ383" s="28" t="str">
        <f aca="false">AQ383</f>
        <v/>
      </c>
      <c r="DR383" s="28" t="str">
        <f aca="false">AU383</f>
        <v/>
      </c>
      <c r="DS383" s="28" t="str">
        <f aca="false">AY383</f>
        <v/>
      </c>
      <c r="DT383" s="28" t="str">
        <f aca="false">BC383</f>
        <v/>
      </c>
      <c r="DU383" s="28" t="str">
        <f aca="false">BG383</f>
        <v/>
      </c>
      <c r="DV383" s="28" t="str">
        <f aca="false">BK383</f>
        <v/>
      </c>
      <c r="DW383" s="28" t="str">
        <f aca="false">BO383</f>
        <v/>
      </c>
      <c r="DX383" s="28" t="str">
        <f aca="false">BS383</f>
        <v/>
      </c>
      <c r="DY383" s="28" t="str">
        <f aca="false">IF(ISNUMBER(S383),1,"")</f>
        <v/>
      </c>
      <c r="DZ383" s="28" t="str">
        <f aca="false">IF(ISNUMBER(W383),2,"")</f>
        <v/>
      </c>
      <c r="EA383" s="28" t="str">
        <f aca="false">IF(ISNUMBER(AA383),3,"")</f>
        <v/>
      </c>
      <c r="EB383" s="28" t="str">
        <f aca="false">IF(ISNUMBER(AE383),4,"")</f>
        <v/>
      </c>
      <c r="EC383" s="28" t="str">
        <f aca="false">IF(ISNUMBER(AI383),5,"")</f>
        <v/>
      </c>
      <c r="ED383" s="28" t="str">
        <f aca="false">IF(ISNUMBER(AM383),6,"")</f>
        <v/>
      </c>
      <c r="EE383" s="28" t="str">
        <f aca="false">IF(ISNUMBER(AQ383),7,"")</f>
        <v/>
      </c>
      <c r="EF383" s="28" t="str">
        <f aca="false">IF(ISNUMBER(AU383),8,"")</f>
        <v/>
      </c>
      <c r="EG383" s="28" t="str">
        <f aca="false">IF(ISNUMBER(AY383),9,"")</f>
        <v/>
      </c>
      <c r="EH383" s="28" t="str">
        <f aca="false">IF(ISNUMBER(BC383),10,"")</f>
        <v/>
      </c>
      <c r="EI383" s="28" t="str">
        <f aca="false">IF(ISNUMBER(BG383),11,"")</f>
        <v/>
      </c>
      <c r="EJ383" s="28" t="str">
        <f aca="false">IF(ISNUMBER(BK383),12,"")</f>
        <v/>
      </c>
      <c r="EK383" s="28" t="str">
        <f aca="false">IF(ISNUMBER(BO383),13,"")</f>
        <v/>
      </c>
      <c r="EL383" s="28" t="str">
        <f aca="false">IF(ISNUMBER(BS383),14,"")</f>
        <v/>
      </c>
      <c r="EM383" s="28" t="n">
        <f aca="false">IF(ISNUMBER(R383),R383*CW383,0)</f>
        <v>0</v>
      </c>
      <c r="EN383" s="28" t="n">
        <f aca="false">IF(ISNUMBER(V383),V383*CX383,0)</f>
        <v>0</v>
      </c>
      <c r="EO383" s="28" t="n">
        <f aca="false">IF(ISNUMBER(Z383),Z383*CY383,0)</f>
        <v>0</v>
      </c>
      <c r="EP383" s="28" t="n">
        <f aca="false">IF(ISNUMBER(AD383),AD383*CZ383,0)</f>
        <v>0</v>
      </c>
      <c r="EQ383" s="28" t="n">
        <f aca="false">IF(ISNUMBER(AH383),AH383*DA383,0)</f>
        <v>0</v>
      </c>
      <c r="ER383" s="28" t="n">
        <f aca="false">IF(ISNUMBER(AL383),AL383*DB383,0)</f>
        <v>0</v>
      </c>
      <c r="ES383" s="28" t="n">
        <f aca="false">IF(ISNUMBER(AP383),AP383*DC383,0)</f>
        <v>0</v>
      </c>
      <c r="ET383" s="28" t="n">
        <f aca="false">IF(ISNUMBER(AT383),AT383*DD383,0)</f>
        <v>0</v>
      </c>
      <c r="EU383" s="28" t="n">
        <f aca="false">IF(ISNUMBER(AX383),AX383*DE383,0)</f>
        <v>0</v>
      </c>
      <c r="EV383" s="28" t="n">
        <f aca="false">IF(ISNUMBER(BB383),BB383*DF383,0)</f>
        <v>0</v>
      </c>
      <c r="EW383" s="28" t="n">
        <f aca="false">IF(ISNUMBER(BF383),BF383*DG383,0)</f>
        <v>0</v>
      </c>
      <c r="EX383" s="28" t="n">
        <f aca="false">IF(ISNUMBER(BJ383),BJ383*DH383,0)</f>
        <v>0</v>
      </c>
      <c r="EY383" s="28" t="n">
        <f aca="false">IF(ISNUMBER(BN383),BN383*DI383,0)</f>
        <v>0</v>
      </c>
      <c r="EZ383" s="28" t="n">
        <f aca="false">IF(ISNUMBER(BR383),BR383*DJ383,0)</f>
        <v>0</v>
      </c>
      <c r="FA383" s="28" t="n">
        <f aca="false">IF(ISNUMBER(R383),CW383,0)</f>
        <v>0</v>
      </c>
      <c r="FB383" s="28" t="n">
        <f aca="false">IF(ISNUMBER(V383),CX383,0)</f>
        <v>0</v>
      </c>
      <c r="FC383" s="28" t="n">
        <f aca="false">IF(ISNUMBER(Z383),CY383,0)</f>
        <v>0</v>
      </c>
      <c r="FD383" s="28" t="n">
        <f aca="false">IF(ISNUMBER(AD383),CZ383,0)</f>
        <v>0</v>
      </c>
      <c r="FE383" s="28" t="n">
        <f aca="false">IF(ISNUMBER(AH383),DA383,0)</f>
        <v>0</v>
      </c>
      <c r="FF383" s="28" t="n">
        <f aca="false">IF(ISNUMBER(AL383),DB383,0)</f>
        <v>0</v>
      </c>
      <c r="FG383" s="28" t="n">
        <f aca="false">IF(ISNUMBER(AP383),DC383,0)</f>
        <v>0</v>
      </c>
      <c r="FH383" s="28" t="n">
        <f aca="false">IF(ISNUMBER(AT383),DD383,0)</f>
        <v>0</v>
      </c>
      <c r="FI383" s="28" t="n">
        <f aca="false">IF(ISNUMBER(AX383),DE383,0)</f>
        <v>0</v>
      </c>
      <c r="FJ383" s="28" t="n">
        <f aca="false">IF(ISNUMBER(BB383),DF383,0)</f>
        <v>0</v>
      </c>
      <c r="FK383" s="28" t="n">
        <f aca="false">IF(ISNUMBER(BF383),DG383,0)</f>
        <v>0</v>
      </c>
      <c r="FL383" s="28" t="n">
        <f aca="false">IF(ISNUMBER(BJ383),DH383,0)</f>
        <v>0</v>
      </c>
      <c r="FM383" s="28" t="n">
        <f aca="false">IF(ISNUMBER(BN383),DI383,0)</f>
        <v>0</v>
      </c>
      <c r="FN383" s="28" t="n">
        <f aca="false">IF(ISNUMBER(BR383),DJ383,0)</f>
        <v>0</v>
      </c>
      <c r="FO383" s="28" t="str">
        <f aca="false">IFERROR(INDEX(Lists!$G$2:$G$20,MATCH($I383&amp;"|"&amp;$J383,Lists!$F$2:$F$20,0)),"")</f>
        <v/>
      </c>
    </row>
    <row r="384" customFormat="false" ht="19.5" hidden="false" customHeight="true" outlineLevel="0" collapsed="false">
      <c r="A384" s="29"/>
      <c r="B384" s="29"/>
      <c r="C384" s="30"/>
      <c r="D384" s="30"/>
      <c r="E384" s="31"/>
      <c r="F384" s="30"/>
      <c r="G384" s="30"/>
      <c r="H384" s="32"/>
      <c r="I384" s="33"/>
      <c r="J384" s="32"/>
      <c r="K384" s="34" t="str">
        <f aca="false">IF(OR(M384="",$E384=""),"",M384-$E384)</f>
        <v/>
      </c>
      <c r="L384" s="35" t="str">
        <f aca="false">IF(SUM(FA384:FN384)=0,"",SUM(EM384:EZ384)/SUM(FA384:FN384))</f>
        <v/>
      </c>
      <c r="M384" s="36" t="str">
        <f aca="false">IF(OR(L384="",FO384=""),"",IFERROR(MATCH(L384,INDEX(Boundaries!$B$2:$I$30,MATCH(FO384,Boundaries!$A$2:$A$30,0),0),1)-1,""))</f>
        <v/>
      </c>
      <c r="N384" s="37" t="str">
        <f aca="false">IF(COUNT($DY384:$EL384)&lt;2,"",INDEX($DK384:$DX384,MAX($DY384:$EL384))-INDEX($DK384:$DX384,MIN($DY384:$EL384)))</f>
        <v/>
      </c>
      <c r="O384" s="37" t="str">
        <f aca="false">IF(COUNT($DY384:$EL384)&lt;2,"",INDEX($DK384:$DX384,MAX($DY384:$EL384))-INDEX($DK384:$DX384,LARGE($DY384:$EL384,2)))</f>
        <v/>
      </c>
      <c r="P384" s="38" t="str">
        <f aca="false">IF(K384="","",IF(K384&gt;=0,"On/above target",IF(AND(N384&lt;&gt;"",N384&gt;=0.5),"Improving towards target",IF(AND(O384&lt;&gt;"",O384&lt;=-0.5),"Declining","Stable below target"))))</f>
        <v/>
      </c>
      <c r="Q384" s="39"/>
      <c r="R384" s="40" t="str">
        <f aca="false">IF(OR(Q384="",BU384=""),"",Q384/BU384*100)</f>
        <v/>
      </c>
      <c r="S384" s="41" t="str">
        <f aca="false">IF(R384="","",IFERROR(MATCH(R384,INDEX(Boundaries!$B$2:$I$30,MATCH(CI384,Boundaries!$A$2:$A$30,0),0),1)-1,""))</f>
        <v/>
      </c>
      <c r="T384" s="42" t="str">
        <f aca="false">IF(OR(S384="",$E384=""),"",S384-$E384)</f>
        <v/>
      </c>
      <c r="U384" s="39"/>
      <c r="V384" s="40" t="str">
        <f aca="false">IF(OR(U384="",BV384=""),"",U384/BV384*100)</f>
        <v/>
      </c>
      <c r="W384" s="41" t="str">
        <f aca="false">IF(V384="","",IFERROR(MATCH(V384,INDEX(Boundaries!$B$2:$I$30,MATCH(CJ384,Boundaries!$A$2:$A$30,0),0),1)-1,""))</f>
        <v/>
      </c>
      <c r="X384" s="42" t="str">
        <f aca="false">IF(OR(W384="",$E384=""),"",W384-$E384)</f>
        <v/>
      </c>
      <c r="Y384" s="39"/>
      <c r="Z384" s="40" t="str">
        <f aca="false">IF(OR(Y384="",BW384=""),"",Y384/BW384*100)</f>
        <v/>
      </c>
      <c r="AA384" s="41" t="str">
        <f aca="false">IF(Z384="","",IFERROR(MATCH(Z384,INDEX(Boundaries!$B$2:$I$30,MATCH(CK384,Boundaries!$A$2:$A$30,0),0),1)-1,""))</f>
        <v/>
      </c>
      <c r="AB384" s="42" t="str">
        <f aca="false">IF(OR(AA384="",$E384=""),"",AA384-$E384)</f>
        <v/>
      </c>
      <c r="AC384" s="39"/>
      <c r="AD384" s="40" t="str">
        <f aca="false">IF(OR(AC384="",BX384=""),"",AC384/BX384*100)</f>
        <v/>
      </c>
      <c r="AE384" s="41" t="str">
        <f aca="false">IF(AD384="","",IFERROR(MATCH(AD384,INDEX(Boundaries!$B$2:$I$30,MATCH(CL384,Boundaries!$A$2:$A$30,0),0),1)-1,""))</f>
        <v/>
      </c>
      <c r="AF384" s="42" t="str">
        <f aca="false">IF(OR(AE384="",$E384=""),"",AE384-$E384)</f>
        <v/>
      </c>
      <c r="AG384" s="39"/>
      <c r="AH384" s="40" t="str">
        <f aca="false">IF(OR(AG384="",BY384=""),"",AG384/BY384*100)</f>
        <v/>
      </c>
      <c r="AI384" s="41" t="str">
        <f aca="false">IF(AH384="","",IFERROR(MATCH(AH384,INDEX(Boundaries!$B$2:$I$30,MATCH(CM384,Boundaries!$A$2:$A$30,0),0),1)-1,""))</f>
        <v/>
      </c>
      <c r="AJ384" s="42" t="str">
        <f aca="false">IF(OR(AI384="",$E384=""),"",AI384-$E384)</f>
        <v/>
      </c>
      <c r="AK384" s="39"/>
      <c r="AL384" s="40" t="str">
        <f aca="false">IF(OR(AK384="",BZ384=""),"",AK384/BZ384*100)</f>
        <v/>
      </c>
      <c r="AM384" s="41" t="str">
        <f aca="false">IF(AL384="","",IFERROR(MATCH(AL384,INDEX(Boundaries!$B$2:$I$30,MATCH(CN384,Boundaries!$A$2:$A$30,0),0),1)-1,""))</f>
        <v/>
      </c>
      <c r="AN384" s="42" t="str">
        <f aca="false">IF(OR(AM384="",$E384=""),"",AM384-$E384)</f>
        <v/>
      </c>
      <c r="AO384" s="39"/>
      <c r="AP384" s="40" t="str">
        <f aca="false">IF(OR(AO384="",CA384=""),"",AO384/CA384*100)</f>
        <v/>
      </c>
      <c r="AQ384" s="41" t="str">
        <f aca="false">IF(AP384="","",IFERROR(MATCH(AP384,INDEX(Boundaries!$B$2:$I$30,MATCH(CO384,Boundaries!$A$2:$A$30,0),0),1)-1,""))</f>
        <v/>
      </c>
      <c r="AR384" s="42" t="str">
        <f aca="false">IF(OR(AQ384="",$E384=""),"",AQ384-$E384)</f>
        <v/>
      </c>
      <c r="AS384" s="39"/>
      <c r="AT384" s="40" t="str">
        <f aca="false">IF(OR(AS384="",CB384=""),"",AS384/CB384*100)</f>
        <v/>
      </c>
      <c r="AU384" s="41" t="str">
        <f aca="false">IF(AT384="","",IFERROR(MATCH(AT384,INDEX(Boundaries!$B$2:$I$30,MATCH(CP384,Boundaries!$A$2:$A$30,0),0),1)-1,""))</f>
        <v/>
      </c>
      <c r="AV384" s="42" t="str">
        <f aca="false">IF(OR(AU384="",$E384=""),"",AU384-$E384)</f>
        <v/>
      </c>
      <c r="AW384" s="39"/>
      <c r="AX384" s="40" t="str">
        <f aca="false">IF(OR(AW384="",CC384=""),"",AW384/CC384*100)</f>
        <v/>
      </c>
      <c r="AY384" s="41" t="str">
        <f aca="false">IF(AX384="","",IFERROR(MATCH(AX384,INDEX(Boundaries!$B$2:$I$30,MATCH(CQ384,Boundaries!$A$2:$A$30,0),0),1)-1,""))</f>
        <v/>
      </c>
      <c r="AZ384" s="42" t="str">
        <f aca="false">IF(OR(AY384="",$E384=""),"",AY384-$E384)</f>
        <v/>
      </c>
      <c r="BA384" s="39"/>
      <c r="BB384" s="40" t="str">
        <f aca="false">IF(OR(BA384="",CD384=""),"",BA384/CD384*100)</f>
        <v/>
      </c>
      <c r="BC384" s="41" t="str">
        <f aca="false">IF(BB384="","",IFERROR(MATCH(BB384,INDEX(Boundaries!$B$2:$I$30,MATCH(CR384,Boundaries!$A$2:$A$30,0),0),1)-1,""))</f>
        <v/>
      </c>
      <c r="BD384" s="42" t="str">
        <f aca="false">IF(OR(BC384="",$E384=""),"",BC384-$E384)</f>
        <v/>
      </c>
      <c r="BE384" s="39"/>
      <c r="BF384" s="40" t="str">
        <f aca="false">IF(OR(BE384="",CE384=""),"",BE384/CE384*100)</f>
        <v/>
      </c>
      <c r="BG384" s="41" t="str">
        <f aca="false">IF(BF384="","",IFERROR(MATCH(BF384,INDEX(Boundaries!$B$2:$I$30,MATCH(CS384,Boundaries!$A$2:$A$30,0),0),1)-1,""))</f>
        <v/>
      </c>
      <c r="BH384" s="42" t="str">
        <f aca="false">IF(OR(BG384="",$E384=""),"",BG384-$E384)</f>
        <v/>
      </c>
      <c r="BI384" s="39"/>
      <c r="BJ384" s="40" t="str">
        <f aca="false">IF(OR(BI384="",CF384=""),"",BI384/CF384*100)</f>
        <v/>
      </c>
      <c r="BK384" s="41" t="str">
        <f aca="false">IF(BJ384="","",IFERROR(MATCH(BJ384,INDEX(Boundaries!$B$2:$I$30,MATCH(CT384,Boundaries!$A$2:$A$30,0),0),1)-1,""))</f>
        <v/>
      </c>
      <c r="BL384" s="42" t="str">
        <f aca="false">IF(OR(BK384="",$E384=""),"",BK384-$E384)</f>
        <v/>
      </c>
      <c r="BM384" s="39"/>
      <c r="BN384" s="40" t="str">
        <f aca="false">IF(OR(BM384="",CG384=""),"",BM384/CG384*100)</f>
        <v/>
      </c>
      <c r="BO384" s="41" t="str">
        <f aca="false">IF(BN384="","",IFERROR(MATCH(BN384,INDEX(Boundaries!$B$2:$I$30,MATCH(CU384,Boundaries!$A$2:$A$30,0),0),1)-1,""))</f>
        <v/>
      </c>
      <c r="BP384" s="42" t="str">
        <f aca="false">IF(OR(BO384="",$E384=""),"",BO384-$E384)</f>
        <v/>
      </c>
      <c r="BQ384" s="39"/>
      <c r="BR384" s="40" t="str">
        <f aca="false">IF(OR(BQ384="",CH384=""),"",BQ384/CH384*100)</f>
        <v/>
      </c>
      <c r="BS384" s="41" t="str">
        <f aca="false">IF(BR384="","",IFERROR(MATCH(BR384,INDEX(Boundaries!$B$2:$I$30,MATCH(CV384,Boundaries!$A$2:$A$30,0),0),1)-1,""))</f>
        <v/>
      </c>
      <c r="BT384" s="42" t="str">
        <f aca="false">IF(OR(BS384="",$E384=""),"",BS384-$E384)</f>
        <v/>
      </c>
      <c r="BU384" s="28" t="str">
        <f aca="false">IFERROR(INDEX(Assessments!$H$2:$H$600,MATCH($H384&amp;"|"&amp;$I384&amp;"|"&amp;$J384&amp;"|"&amp;1,Assessments!$A$2:$A$600,0)),"")</f>
        <v/>
      </c>
      <c r="BV384" s="28" t="str">
        <f aca="false">IFERROR(INDEX(Assessments!$H$2:$H$600,MATCH($H384&amp;"|"&amp;$I384&amp;"|"&amp;$J384&amp;"|"&amp;2,Assessments!$A$2:$A$600,0)),"")</f>
        <v/>
      </c>
      <c r="BW384" s="28" t="str">
        <f aca="false">IFERROR(INDEX(Assessments!$H$2:$H$600,MATCH($H384&amp;"|"&amp;$I384&amp;"|"&amp;$J384&amp;"|"&amp;3,Assessments!$A$2:$A$600,0)),"")</f>
        <v/>
      </c>
      <c r="BX384" s="28" t="str">
        <f aca="false">IFERROR(INDEX(Assessments!$H$2:$H$600,MATCH($H384&amp;"|"&amp;$I384&amp;"|"&amp;$J384&amp;"|"&amp;4,Assessments!$A$2:$A$600,0)),"")</f>
        <v/>
      </c>
      <c r="BY384" s="28" t="str">
        <f aca="false">IFERROR(INDEX(Assessments!$H$2:$H$600,MATCH($H384&amp;"|"&amp;$I384&amp;"|"&amp;$J384&amp;"|"&amp;5,Assessments!$A$2:$A$600,0)),"")</f>
        <v/>
      </c>
      <c r="BZ384" s="28" t="str">
        <f aca="false">IFERROR(INDEX(Assessments!$H$2:$H$600,MATCH($H384&amp;"|"&amp;$I384&amp;"|"&amp;$J384&amp;"|"&amp;6,Assessments!$A$2:$A$600,0)),"")</f>
        <v/>
      </c>
      <c r="CA384" s="28" t="str">
        <f aca="false">IFERROR(INDEX(Assessments!$H$2:$H$600,MATCH($H384&amp;"|"&amp;$I384&amp;"|"&amp;$J384&amp;"|"&amp;7,Assessments!$A$2:$A$600,0)),"")</f>
        <v/>
      </c>
      <c r="CB384" s="28" t="str">
        <f aca="false">IFERROR(INDEX(Assessments!$H$2:$H$600,MATCH($H384&amp;"|"&amp;$I384&amp;"|"&amp;$J384&amp;"|"&amp;8,Assessments!$A$2:$A$600,0)),"")</f>
        <v/>
      </c>
      <c r="CC384" s="28" t="str">
        <f aca="false">IFERROR(INDEX(Assessments!$H$2:$H$600,MATCH($H384&amp;"|"&amp;$I384&amp;"|"&amp;$J384&amp;"|"&amp;9,Assessments!$A$2:$A$600,0)),"")</f>
        <v/>
      </c>
      <c r="CD384" s="28" t="str">
        <f aca="false">IFERROR(INDEX(Assessments!$H$2:$H$600,MATCH($H384&amp;"|"&amp;$I384&amp;"|"&amp;$J384&amp;"|"&amp;10,Assessments!$A$2:$A$600,0)),"")</f>
        <v/>
      </c>
      <c r="CE384" s="28" t="str">
        <f aca="false">IFERROR(INDEX(Assessments!$H$2:$H$600,MATCH($H384&amp;"|"&amp;$I384&amp;"|"&amp;$J384&amp;"|"&amp;11,Assessments!$A$2:$A$600,0)),"")</f>
        <v/>
      </c>
      <c r="CF384" s="28" t="str">
        <f aca="false">IFERROR(INDEX(Assessments!$H$2:$H$600,MATCH($H384&amp;"|"&amp;$I384&amp;"|"&amp;$J384&amp;"|"&amp;12,Assessments!$A$2:$A$600,0)),"")</f>
        <v/>
      </c>
      <c r="CG384" s="28" t="str">
        <f aca="false">IFERROR(INDEX(Assessments!$H$2:$H$600,MATCH($H384&amp;"|"&amp;$I384&amp;"|"&amp;$J384&amp;"|"&amp;13,Assessments!$A$2:$A$600,0)),"")</f>
        <v/>
      </c>
      <c r="CH384" s="28" t="str">
        <f aca="false">IFERROR(INDEX(Assessments!$H$2:$H$600,MATCH($H384&amp;"|"&amp;$I384&amp;"|"&amp;$J384&amp;"|"&amp;14,Assessments!$A$2:$A$600,0)),"")</f>
        <v/>
      </c>
      <c r="CI384" s="28" t="str">
        <f aca="false">IFERROR(INDEX(Assessments!$I$2:$I$600,MATCH($H384&amp;"|"&amp;$I384&amp;"|"&amp;$J384&amp;"|"&amp;1,Assessments!$A$2:$A$600,0)),"")</f>
        <v/>
      </c>
      <c r="CJ384" s="28" t="str">
        <f aca="false">IFERROR(INDEX(Assessments!$I$2:$I$600,MATCH($H384&amp;"|"&amp;$I384&amp;"|"&amp;$J384&amp;"|"&amp;2,Assessments!$A$2:$A$600,0)),"")</f>
        <v/>
      </c>
      <c r="CK384" s="28" t="str">
        <f aca="false">IFERROR(INDEX(Assessments!$I$2:$I$600,MATCH($H384&amp;"|"&amp;$I384&amp;"|"&amp;$J384&amp;"|"&amp;3,Assessments!$A$2:$A$600,0)),"")</f>
        <v/>
      </c>
      <c r="CL384" s="28" t="str">
        <f aca="false">IFERROR(INDEX(Assessments!$I$2:$I$600,MATCH($H384&amp;"|"&amp;$I384&amp;"|"&amp;$J384&amp;"|"&amp;4,Assessments!$A$2:$A$600,0)),"")</f>
        <v/>
      </c>
      <c r="CM384" s="28" t="str">
        <f aca="false">IFERROR(INDEX(Assessments!$I$2:$I$600,MATCH($H384&amp;"|"&amp;$I384&amp;"|"&amp;$J384&amp;"|"&amp;5,Assessments!$A$2:$A$600,0)),"")</f>
        <v/>
      </c>
      <c r="CN384" s="28" t="str">
        <f aca="false">IFERROR(INDEX(Assessments!$I$2:$I$600,MATCH($H384&amp;"|"&amp;$I384&amp;"|"&amp;$J384&amp;"|"&amp;6,Assessments!$A$2:$A$600,0)),"")</f>
        <v/>
      </c>
      <c r="CO384" s="28" t="str">
        <f aca="false">IFERROR(INDEX(Assessments!$I$2:$I$600,MATCH($H384&amp;"|"&amp;$I384&amp;"|"&amp;$J384&amp;"|"&amp;7,Assessments!$A$2:$A$600,0)),"")</f>
        <v/>
      </c>
      <c r="CP384" s="28" t="str">
        <f aca="false">IFERROR(INDEX(Assessments!$I$2:$I$600,MATCH($H384&amp;"|"&amp;$I384&amp;"|"&amp;$J384&amp;"|"&amp;8,Assessments!$A$2:$A$600,0)),"")</f>
        <v/>
      </c>
      <c r="CQ384" s="28" t="str">
        <f aca="false">IFERROR(INDEX(Assessments!$I$2:$I$600,MATCH($H384&amp;"|"&amp;$I384&amp;"|"&amp;$J384&amp;"|"&amp;9,Assessments!$A$2:$A$600,0)),"")</f>
        <v/>
      </c>
      <c r="CR384" s="28" t="str">
        <f aca="false">IFERROR(INDEX(Assessments!$I$2:$I$600,MATCH($H384&amp;"|"&amp;$I384&amp;"|"&amp;$J384&amp;"|"&amp;10,Assessments!$A$2:$A$600,0)),"")</f>
        <v/>
      </c>
      <c r="CS384" s="28" t="str">
        <f aca="false">IFERROR(INDEX(Assessments!$I$2:$I$600,MATCH($H384&amp;"|"&amp;$I384&amp;"|"&amp;$J384&amp;"|"&amp;11,Assessments!$A$2:$A$600,0)),"")</f>
        <v/>
      </c>
      <c r="CT384" s="28" t="str">
        <f aca="false">IFERROR(INDEX(Assessments!$I$2:$I$600,MATCH($H384&amp;"|"&amp;$I384&amp;"|"&amp;$J384&amp;"|"&amp;12,Assessments!$A$2:$A$600,0)),"")</f>
        <v/>
      </c>
      <c r="CU384" s="28" t="str">
        <f aca="false">IFERROR(INDEX(Assessments!$I$2:$I$600,MATCH($H384&amp;"|"&amp;$I384&amp;"|"&amp;$J384&amp;"|"&amp;13,Assessments!$A$2:$A$600,0)),"")</f>
        <v/>
      </c>
      <c r="CV384" s="28" t="str">
        <f aca="false">IFERROR(INDEX(Assessments!$I$2:$I$600,MATCH($H384&amp;"|"&amp;$I384&amp;"|"&amp;$J384&amp;"|"&amp;14,Assessments!$A$2:$A$600,0)),"")</f>
        <v/>
      </c>
      <c r="CW384" s="28" t="n">
        <f aca="false">IFERROR(INDEX(Assessments!$J$2:$J$600,MATCH($H384&amp;"|"&amp;$I384&amp;"|"&amp;$J384&amp;"|"&amp;1,Assessments!$A$2:$A$600,0)),0)</f>
        <v>0</v>
      </c>
      <c r="CX384" s="28" t="n">
        <f aca="false">IFERROR(INDEX(Assessments!$J$2:$J$600,MATCH($H384&amp;"|"&amp;$I384&amp;"|"&amp;$J384&amp;"|"&amp;2,Assessments!$A$2:$A$600,0)),0)</f>
        <v>0</v>
      </c>
      <c r="CY384" s="28" t="n">
        <f aca="false">IFERROR(INDEX(Assessments!$J$2:$J$600,MATCH($H384&amp;"|"&amp;$I384&amp;"|"&amp;$J384&amp;"|"&amp;3,Assessments!$A$2:$A$600,0)),0)</f>
        <v>0</v>
      </c>
      <c r="CZ384" s="28" t="n">
        <f aca="false">IFERROR(INDEX(Assessments!$J$2:$J$600,MATCH($H384&amp;"|"&amp;$I384&amp;"|"&amp;$J384&amp;"|"&amp;4,Assessments!$A$2:$A$600,0)),0)</f>
        <v>0</v>
      </c>
      <c r="DA384" s="28" t="n">
        <f aca="false">IFERROR(INDEX(Assessments!$J$2:$J$600,MATCH($H384&amp;"|"&amp;$I384&amp;"|"&amp;$J384&amp;"|"&amp;5,Assessments!$A$2:$A$600,0)),0)</f>
        <v>0</v>
      </c>
      <c r="DB384" s="28" t="n">
        <f aca="false">IFERROR(INDEX(Assessments!$J$2:$J$600,MATCH($H384&amp;"|"&amp;$I384&amp;"|"&amp;$J384&amp;"|"&amp;6,Assessments!$A$2:$A$600,0)),0)</f>
        <v>0</v>
      </c>
      <c r="DC384" s="28" t="n">
        <f aca="false">IFERROR(INDEX(Assessments!$J$2:$J$600,MATCH($H384&amp;"|"&amp;$I384&amp;"|"&amp;$J384&amp;"|"&amp;7,Assessments!$A$2:$A$600,0)),0)</f>
        <v>0</v>
      </c>
      <c r="DD384" s="28" t="n">
        <f aca="false">IFERROR(INDEX(Assessments!$J$2:$J$600,MATCH($H384&amp;"|"&amp;$I384&amp;"|"&amp;$J384&amp;"|"&amp;8,Assessments!$A$2:$A$600,0)),0)</f>
        <v>0</v>
      </c>
      <c r="DE384" s="28" t="n">
        <f aca="false">IFERROR(INDEX(Assessments!$J$2:$J$600,MATCH($H384&amp;"|"&amp;$I384&amp;"|"&amp;$J384&amp;"|"&amp;9,Assessments!$A$2:$A$600,0)),0)</f>
        <v>0</v>
      </c>
      <c r="DF384" s="28" t="n">
        <f aca="false">IFERROR(INDEX(Assessments!$J$2:$J$600,MATCH($H384&amp;"|"&amp;$I384&amp;"|"&amp;$J384&amp;"|"&amp;10,Assessments!$A$2:$A$600,0)),0)</f>
        <v>0</v>
      </c>
      <c r="DG384" s="28" t="n">
        <f aca="false">IFERROR(INDEX(Assessments!$J$2:$J$600,MATCH($H384&amp;"|"&amp;$I384&amp;"|"&amp;$J384&amp;"|"&amp;11,Assessments!$A$2:$A$600,0)),0)</f>
        <v>0</v>
      </c>
      <c r="DH384" s="28" t="n">
        <f aca="false">IFERROR(INDEX(Assessments!$J$2:$J$600,MATCH($H384&amp;"|"&amp;$I384&amp;"|"&amp;$J384&amp;"|"&amp;12,Assessments!$A$2:$A$600,0)),0)</f>
        <v>0</v>
      </c>
      <c r="DI384" s="28" t="n">
        <f aca="false">IFERROR(INDEX(Assessments!$J$2:$J$600,MATCH($H384&amp;"|"&amp;$I384&amp;"|"&amp;$J384&amp;"|"&amp;13,Assessments!$A$2:$A$600,0)),0)</f>
        <v>0</v>
      </c>
      <c r="DJ384" s="28" t="n">
        <f aca="false">IFERROR(INDEX(Assessments!$J$2:$J$600,MATCH($H384&amp;"|"&amp;$I384&amp;"|"&amp;$J384&amp;"|"&amp;14,Assessments!$A$2:$A$600,0)),0)</f>
        <v>0</v>
      </c>
      <c r="DK384" s="28" t="str">
        <f aca="false">S384</f>
        <v/>
      </c>
      <c r="DL384" s="28" t="str">
        <f aca="false">W384</f>
        <v/>
      </c>
      <c r="DM384" s="28" t="str">
        <f aca="false">AA384</f>
        <v/>
      </c>
      <c r="DN384" s="28" t="str">
        <f aca="false">AE384</f>
        <v/>
      </c>
      <c r="DO384" s="28" t="str">
        <f aca="false">AI384</f>
        <v/>
      </c>
      <c r="DP384" s="28" t="str">
        <f aca="false">AM384</f>
        <v/>
      </c>
      <c r="DQ384" s="28" t="str">
        <f aca="false">AQ384</f>
        <v/>
      </c>
      <c r="DR384" s="28" t="str">
        <f aca="false">AU384</f>
        <v/>
      </c>
      <c r="DS384" s="28" t="str">
        <f aca="false">AY384</f>
        <v/>
      </c>
      <c r="DT384" s="28" t="str">
        <f aca="false">BC384</f>
        <v/>
      </c>
      <c r="DU384" s="28" t="str">
        <f aca="false">BG384</f>
        <v/>
      </c>
      <c r="DV384" s="28" t="str">
        <f aca="false">BK384</f>
        <v/>
      </c>
      <c r="DW384" s="28" t="str">
        <f aca="false">BO384</f>
        <v/>
      </c>
      <c r="DX384" s="28" t="str">
        <f aca="false">BS384</f>
        <v/>
      </c>
      <c r="DY384" s="28" t="str">
        <f aca="false">IF(ISNUMBER(S384),1,"")</f>
        <v/>
      </c>
      <c r="DZ384" s="28" t="str">
        <f aca="false">IF(ISNUMBER(W384),2,"")</f>
        <v/>
      </c>
      <c r="EA384" s="28" t="str">
        <f aca="false">IF(ISNUMBER(AA384),3,"")</f>
        <v/>
      </c>
      <c r="EB384" s="28" t="str">
        <f aca="false">IF(ISNUMBER(AE384),4,"")</f>
        <v/>
      </c>
      <c r="EC384" s="28" t="str">
        <f aca="false">IF(ISNUMBER(AI384),5,"")</f>
        <v/>
      </c>
      <c r="ED384" s="28" t="str">
        <f aca="false">IF(ISNUMBER(AM384),6,"")</f>
        <v/>
      </c>
      <c r="EE384" s="28" t="str">
        <f aca="false">IF(ISNUMBER(AQ384),7,"")</f>
        <v/>
      </c>
      <c r="EF384" s="28" t="str">
        <f aca="false">IF(ISNUMBER(AU384),8,"")</f>
        <v/>
      </c>
      <c r="EG384" s="28" t="str">
        <f aca="false">IF(ISNUMBER(AY384),9,"")</f>
        <v/>
      </c>
      <c r="EH384" s="28" t="str">
        <f aca="false">IF(ISNUMBER(BC384),10,"")</f>
        <v/>
      </c>
      <c r="EI384" s="28" t="str">
        <f aca="false">IF(ISNUMBER(BG384),11,"")</f>
        <v/>
      </c>
      <c r="EJ384" s="28" t="str">
        <f aca="false">IF(ISNUMBER(BK384),12,"")</f>
        <v/>
      </c>
      <c r="EK384" s="28" t="str">
        <f aca="false">IF(ISNUMBER(BO384),13,"")</f>
        <v/>
      </c>
      <c r="EL384" s="28" t="str">
        <f aca="false">IF(ISNUMBER(BS384),14,"")</f>
        <v/>
      </c>
      <c r="EM384" s="28" t="n">
        <f aca="false">IF(ISNUMBER(R384),R384*CW384,0)</f>
        <v>0</v>
      </c>
      <c r="EN384" s="28" t="n">
        <f aca="false">IF(ISNUMBER(V384),V384*CX384,0)</f>
        <v>0</v>
      </c>
      <c r="EO384" s="28" t="n">
        <f aca="false">IF(ISNUMBER(Z384),Z384*CY384,0)</f>
        <v>0</v>
      </c>
      <c r="EP384" s="28" t="n">
        <f aca="false">IF(ISNUMBER(AD384),AD384*CZ384,0)</f>
        <v>0</v>
      </c>
      <c r="EQ384" s="28" t="n">
        <f aca="false">IF(ISNUMBER(AH384),AH384*DA384,0)</f>
        <v>0</v>
      </c>
      <c r="ER384" s="28" t="n">
        <f aca="false">IF(ISNUMBER(AL384),AL384*DB384,0)</f>
        <v>0</v>
      </c>
      <c r="ES384" s="28" t="n">
        <f aca="false">IF(ISNUMBER(AP384),AP384*DC384,0)</f>
        <v>0</v>
      </c>
      <c r="ET384" s="28" t="n">
        <f aca="false">IF(ISNUMBER(AT384),AT384*DD384,0)</f>
        <v>0</v>
      </c>
      <c r="EU384" s="28" t="n">
        <f aca="false">IF(ISNUMBER(AX384),AX384*DE384,0)</f>
        <v>0</v>
      </c>
      <c r="EV384" s="28" t="n">
        <f aca="false">IF(ISNUMBER(BB384),BB384*DF384,0)</f>
        <v>0</v>
      </c>
      <c r="EW384" s="28" t="n">
        <f aca="false">IF(ISNUMBER(BF384),BF384*DG384,0)</f>
        <v>0</v>
      </c>
      <c r="EX384" s="28" t="n">
        <f aca="false">IF(ISNUMBER(BJ384),BJ384*DH384,0)</f>
        <v>0</v>
      </c>
      <c r="EY384" s="28" t="n">
        <f aca="false">IF(ISNUMBER(BN384),BN384*DI384,0)</f>
        <v>0</v>
      </c>
      <c r="EZ384" s="28" t="n">
        <f aca="false">IF(ISNUMBER(BR384),BR384*DJ384,0)</f>
        <v>0</v>
      </c>
      <c r="FA384" s="28" t="n">
        <f aca="false">IF(ISNUMBER(R384),CW384,0)</f>
        <v>0</v>
      </c>
      <c r="FB384" s="28" t="n">
        <f aca="false">IF(ISNUMBER(V384),CX384,0)</f>
        <v>0</v>
      </c>
      <c r="FC384" s="28" t="n">
        <f aca="false">IF(ISNUMBER(Z384),CY384,0)</f>
        <v>0</v>
      </c>
      <c r="FD384" s="28" t="n">
        <f aca="false">IF(ISNUMBER(AD384),CZ384,0)</f>
        <v>0</v>
      </c>
      <c r="FE384" s="28" t="n">
        <f aca="false">IF(ISNUMBER(AH384),DA384,0)</f>
        <v>0</v>
      </c>
      <c r="FF384" s="28" t="n">
        <f aca="false">IF(ISNUMBER(AL384),DB384,0)</f>
        <v>0</v>
      </c>
      <c r="FG384" s="28" t="n">
        <f aca="false">IF(ISNUMBER(AP384),DC384,0)</f>
        <v>0</v>
      </c>
      <c r="FH384" s="28" t="n">
        <f aca="false">IF(ISNUMBER(AT384),DD384,0)</f>
        <v>0</v>
      </c>
      <c r="FI384" s="28" t="n">
        <f aca="false">IF(ISNUMBER(AX384),DE384,0)</f>
        <v>0</v>
      </c>
      <c r="FJ384" s="28" t="n">
        <f aca="false">IF(ISNUMBER(BB384),DF384,0)</f>
        <v>0</v>
      </c>
      <c r="FK384" s="28" t="n">
        <f aca="false">IF(ISNUMBER(BF384),DG384,0)</f>
        <v>0</v>
      </c>
      <c r="FL384" s="28" t="n">
        <f aca="false">IF(ISNUMBER(BJ384),DH384,0)</f>
        <v>0</v>
      </c>
      <c r="FM384" s="28" t="n">
        <f aca="false">IF(ISNUMBER(BN384),DI384,0)</f>
        <v>0</v>
      </c>
      <c r="FN384" s="28" t="n">
        <f aca="false">IF(ISNUMBER(BR384),DJ384,0)</f>
        <v>0</v>
      </c>
      <c r="FO384" s="28" t="str">
        <f aca="false">IFERROR(INDEX(Lists!$G$2:$G$20,MATCH($I384&amp;"|"&amp;$J384,Lists!$F$2:$F$20,0)),"")</f>
        <v/>
      </c>
    </row>
    <row r="385" customFormat="false" ht="19.5" hidden="false" customHeight="true" outlineLevel="0" collapsed="false">
      <c r="A385" s="29"/>
      <c r="B385" s="29"/>
      <c r="C385" s="30"/>
      <c r="D385" s="30"/>
      <c r="E385" s="31"/>
      <c r="F385" s="30"/>
      <c r="G385" s="30"/>
      <c r="H385" s="32"/>
      <c r="I385" s="33"/>
      <c r="J385" s="32"/>
      <c r="K385" s="34" t="str">
        <f aca="false">IF(OR(M385="",$E385=""),"",M385-$E385)</f>
        <v/>
      </c>
      <c r="L385" s="35" t="str">
        <f aca="false">IF(SUM(FA385:FN385)=0,"",SUM(EM385:EZ385)/SUM(FA385:FN385))</f>
        <v/>
      </c>
      <c r="M385" s="36" t="str">
        <f aca="false">IF(OR(L385="",FO385=""),"",IFERROR(MATCH(L385,INDEX(Boundaries!$B$2:$I$30,MATCH(FO385,Boundaries!$A$2:$A$30,0),0),1)-1,""))</f>
        <v/>
      </c>
      <c r="N385" s="37" t="str">
        <f aca="false">IF(COUNT($DY385:$EL385)&lt;2,"",INDEX($DK385:$DX385,MAX($DY385:$EL385))-INDEX($DK385:$DX385,MIN($DY385:$EL385)))</f>
        <v/>
      </c>
      <c r="O385" s="37" t="str">
        <f aca="false">IF(COUNT($DY385:$EL385)&lt;2,"",INDEX($DK385:$DX385,MAX($DY385:$EL385))-INDEX($DK385:$DX385,LARGE($DY385:$EL385,2)))</f>
        <v/>
      </c>
      <c r="P385" s="38" t="str">
        <f aca="false">IF(K385="","",IF(K385&gt;=0,"On/above target",IF(AND(N385&lt;&gt;"",N385&gt;=0.5),"Improving towards target",IF(AND(O385&lt;&gt;"",O385&lt;=-0.5),"Declining","Stable below target"))))</f>
        <v/>
      </c>
      <c r="Q385" s="39"/>
      <c r="R385" s="40" t="str">
        <f aca="false">IF(OR(Q385="",BU385=""),"",Q385/BU385*100)</f>
        <v/>
      </c>
      <c r="S385" s="41" t="str">
        <f aca="false">IF(R385="","",IFERROR(MATCH(R385,INDEX(Boundaries!$B$2:$I$30,MATCH(CI385,Boundaries!$A$2:$A$30,0),0),1)-1,""))</f>
        <v/>
      </c>
      <c r="T385" s="42" t="str">
        <f aca="false">IF(OR(S385="",$E385=""),"",S385-$E385)</f>
        <v/>
      </c>
      <c r="U385" s="39"/>
      <c r="V385" s="40" t="str">
        <f aca="false">IF(OR(U385="",BV385=""),"",U385/BV385*100)</f>
        <v/>
      </c>
      <c r="W385" s="41" t="str">
        <f aca="false">IF(V385="","",IFERROR(MATCH(V385,INDEX(Boundaries!$B$2:$I$30,MATCH(CJ385,Boundaries!$A$2:$A$30,0),0),1)-1,""))</f>
        <v/>
      </c>
      <c r="X385" s="42" t="str">
        <f aca="false">IF(OR(W385="",$E385=""),"",W385-$E385)</f>
        <v/>
      </c>
      <c r="Y385" s="39"/>
      <c r="Z385" s="40" t="str">
        <f aca="false">IF(OR(Y385="",BW385=""),"",Y385/BW385*100)</f>
        <v/>
      </c>
      <c r="AA385" s="41" t="str">
        <f aca="false">IF(Z385="","",IFERROR(MATCH(Z385,INDEX(Boundaries!$B$2:$I$30,MATCH(CK385,Boundaries!$A$2:$A$30,0),0),1)-1,""))</f>
        <v/>
      </c>
      <c r="AB385" s="42" t="str">
        <f aca="false">IF(OR(AA385="",$E385=""),"",AA385-$E385)</f>
        <v/>
      </c>
      <c r="AC385" s="39"/>
      <c r="AD385" s="40" t="str">
        <f aca="false">IF(OR(AC385="",BX385=""),"",AC385/BX385*100)</f>
        <v/>
      </c>
      <c r="AE385" s="41" t="str">
        <f aca="false">IF(AD385="","",IFERROR(MATCH(AD385,INDEX(Boundaries!$B$2:$I$30,MATCH(CL385,Boundaries!$A$2:$A$30,0),0),1)-1,""))</f>
        <v/>
      </c>
      <c r="AF385" s="42" t="str">
        <f aca="false">IF(OR(AE385="",$E385=""),"",AE385-$E385)</f>
        <v/>
      </c>
      <c r="AG385" s="39"/>
      <c r="AH385" s="40" t="str">
        <f aca="false">IF(OR(AG385="",BY385=""),"",AG385/BY385*100)</f>
        <v/>
      </c>
      <c r="AI385" s="41" t="str">
        <f aca="false">IF(AH385="","",IFERROR(MATCH(AH385,INDEX(Boundaries!$B$2:$I$30,MATCH(CM385,Boundaries!$A$2:$A$30,0),0),1)-1,""))</f>
        <v/>
      </c>
      <c r="AJ385" s="42" t="str">
        <f aca="false">IF(OR(AI385="",$E385=""),"",AI385-$E385)</f>
        <v/>
      </c>
      <c r="AK385" s="39"/>
      <c r="AL385" s="40" t="str">
        <f aca="false">IF(OR(AK385="",BZ385=""),"",AK385/BZ385*100)</f>
        <v/>
      </c>
      <c r="AM385" s="41" t="str">
        <f aca="false">IF(AL385="","",IFERROR(MATCH(AL385,INDEX(Boundaries!$B$2:$I$30,MATCH(CN385,Boundaries!$A$2:$A$30,0),0),1)-1,""))</f>
        <v/>
      </c>
      <c r="AN385" s="42" t="str">
        <f aca="false">IF(OR(AM385="",$E385=""),"",AM385-$E385)</f>
        <v/>
      </c>
      <c r="AO385" s="39"/>
      <c r="AP385" s="40" t="str">
        <f aca="false">IF(OR(AO385="",CA385=""),"",AO385/CA385*100)</f>
        <v/>
      </c>
      <c r="AQ385" s="41" t="str">
        <f aca="false">IF(AP385="","",IFERROR(MATCH(AP385,INDEX(Boundaries!$B$2:$I$30,MATCH(CO385,Boundaries!$A$2:$A$30,0),0),1)-1,""))</f>
        <v/>
      </c>
      <c r="AR385" s="42" t="str">
        <f aca="false">IF(OR(AQ385="",$E385=""),"",AQ385-$E385)</f>
        <v/>
      </c>
      <c r="AS385" s="39"/>
      <c r="AT385" s="40" t="str">
        <f aca="false">IF(OR(AS385="",CB385=""),"",AS385/CB385*100)</f>
        <v/>
      </c>
      <c r="AU385" s="41" t="str">
        <f aca="false">IF(AT385="","",IFERROR(MATCH(AT385,INDEX(Boundaries!$B$2:$I$30,MATCH(CP385,Boundaries!$A$2:$A$30,0),0),1)-1,""))</f>
        <v/>
      </c>
      <c r="AV385" s="42" t="str">
        <f aca="false">IF(OR(AU385="",$E385=""),"",AU385-$E385)</f>
        <v/>
      </c>
      <c r="AW385" s="39"/>
      <c r="AX385" s="40" t="str">
        <f aca="false">IF(OR(AW385="",CC385=""),"",AW385/CC385*100)</f>
        <v/>
      </c>
      <c r="AY385" s="41" t="str">
        <f aca="false">IF(AX385="","",IFERROR(MATCH(AX385,INDEX(Boundaries!$B$2:$I$30,MATCH(CQ385,Boundaries!$A$2:$A$30,0),0),1)-1,""))</f>
        <v/>
      </c>
      <c r="AZ385" s="42" t="str">
        <f aca="false">IF(OR(AY385="",$E385=""),"",AY385-$E385)</f>
        <v/>
      </c>
      <c r="BA385" s="39"/>
      <c r="BB385" s="40" t="str">
        <f aca="false">IF(OR(BA385="",CD385=""),"",BA385/CD385*100)</f>
        <v/>
      </c>
      <c r="BC385" s="41" t="str">
        <f aca="false">IF(BB385="","",IFERROR(MATCH(BB385,INDEX(Boundaries!$B$2:$I$30,MATCH(CR385,Boundaries!$A$2:$A$30,0),0),1)-1,""))</f>
        <v/>
      </c>
      <c r="BD385" s="42" t="str">
        <f aca="false">IF(OR(BC385="",$E385=""),"",BC385-$E385)</f>
        <v/>
      </c>
      <c r="BE385" s="39"/>
      <c r="BF385" s="40" t="str">
        <f aca="false">IF(OR(BE385="",CE385=""),"",BE385/CE385*100)</f>
        <v/>
      </c>
      <c r="BG385" s="41" t="str">
        <f aca="false">IF(BF385="","",IFERROR(MATCH(BF385,INDEX(Boundaries!$B$2:$I$30,MATCH(CS385,Boundaries!$A$2:$A$30,0),0),1)-1,""))</f>
        <v/>
      </c>
      <c r="BH385" s="42" t="str">
        <f aca="false">IF(OR(BG385="",$E385=""),"",BG385-$E385)</f>
        <v/>
      </c>
      <c r="BI385" s="39"/>
      <c r="BJ385" s="40" t="str">
        <f aca="false">IF(OR(BI385="",CF385=""),"",BI385/CF385*100)</f>
        <v/>
      </c>
      <c r="BK385" s="41" t="str">
        <f aca="false">IF(BJ385="","",IFERROR(MATCH(BJ385,INDEX(Boundaries!$B$2:$I$30,MATCH(CT385,Boundaries!$A$2:$A$30,0),0),1)-1,""))</f>
        <v/>
      </c>
      <c r="BL385" s="42" t="str">
        <f aca="false">IF(OR(BK385="",$E385=""),"",BK385-$E385)</f>
        <v/>
      </c>
      <c r="BM385" s="39"/>
      <c r="BN385" s="40" t="str">
        <f aca="false">IF(OR(BM385="",CG385=""),"",BM385/CG385*100)</f>
        <v/>
      </c>
      <c r="BO385" s="41" t="str">
        <f aca="false">IF(BN385="","",IFERROR(MATCH(BN385,INDEX(Boundaries!$B$2:$I$30,MATCH(CU385,Boundaries!$A$2:$A$30,0),0),1)-1,""))</f>
        <v/>
      </c>
      <c r="BP385" s="42" t="str">
        <f aca="false">IF(OR(BO385="",$E385=""),"",BO385-$E385)</f>
        <v/>
      </c>
      <c r="BQ385" s="39"/>
      <c r="BR385" s="40" t="str">
        <f aca="false">IF(OR(BQ385="",CH385=""),"",BQ385/CH385*100)</f>
        <v/>
      </c>
      <c r="BS385" s="41" t="str">
        <f aca="false">IF(BR385="","",IFERROR(MATCH(BR385,INDEX(Boundaries!$B$2:$I$30,MATCH(CV385,Boundaries!$A$2:$A$30,0),0),1)-1,""))</f>
        <v/>
      </c>
      <c r="BT385" s="42" t="str">
        <f aca="false">IF(OR(BS385="",$E385=""),"",BS385-$E385)</f>
        <v/>
      </c>
      <c r="BU385" s="28" t="str">
        <f aca="false">IFERROR(INDEX(Assessments!$H$2:$H$600,MATCH($H385&amp;"|"&amp;$I385&amp;"|"&amp;$J385&amp;"|"&amp;1,Assessments!$A$2:$A$600,0)),"")</f>
        <v/>
      </c>
      <c r="BV385" s="28" t="str">
        <f aca="false">IFERROR(INDEX(Assessments!$H$2:$H$600,MATCH($H385&amp;"|"&amp;$I385&amp;"|"&amp;$J385&amp;"|"&amp;2,Assessments!$A$2:$A$600,0)),"")</f>
        <v/>
      </c>
      <c r="BW385" s="28" t="str">
        <f aca="false">IFERROR(INDEX(Assessments!$H$2:$H$600,MATCH($H385&amp;"|"&amp;$I385&amp;"|"&amp;$J385&amp;"|"&amp;3,Assessments!$A$2:$A$600,0)),"")</f>
        <v/>
      </c>
      <c r="BX385" s="28" t="str">
        <f aca="false">IFERROR(INDEX(Assessments!$H$2:$H$600,MATCH($H385&amp;"|"&amp;$I385&amp;"|"&amp;$J385&amp;"|"&amp;4,Assessments!$A$2:$A$600,0)),"")</f>
        <v/>
      </c>
      <c r="BY385" s="28" t="str">
        <f aca="false">IFERROR(INDEX(Assessments!$H$2:$H$600,MATCH($H385&amp;"|"&amp;$I385&amp;"|"&amp;$J385&amp;"|"&amp;5,Assessments!$A$2:$A$600,0)),"")</f>
        <v/>
      </c>
      <c r="BZ385" s="28" t="str">
        <f aca="false">IFERROR(INDEX(Assessments!$H$2:$H$600,MATCH($H385&amp;"|"&amp;$I385&amp;"|"&amp;$J385&amp;"|"&amp;6,Assessments!$A$2:$A$600,0)),"")</f>
        <v/>
      </c>
      <c r="CA385" s="28" t="str">
        <f aca="false">IFERROR(INDEX(Assessments!$H$2:$H$600,MATCH($H385&amp;"|"&amp;$I385&amp;"|"&amp;$J385&amp;"|"&amp;7,Assessments!$A$2:$A$600,0)),"")</f>
        <v/>
      </c>
      <c r="CB385" s="28" t="str">
        <f aca="false">IFERROR(INDEX(Assessments!$H$2:$H$600,MATCH($H385&amp;"|"&amp;$I385&amp;"|"&amp;$J385&amp;"|"&amp;8,Assessments!$A$2:$A$600,0)),"")</f>
        <v/>
      </c>
      <c r="CC385" s="28" t="str">
        <f aca="false">IFERROR(INDEX(Assessments!$H$2:$H$600,MATCH($H385&amp;"|"&amp;$I385&amp;"|"&amp;$J385&amp;"|"&amp;9,Assessments!$A$2:$A$600,0)),"")</f>
        <v/>
      </c>
      <c r="CD385" s="28" t="str">
        <f aca="false">IFERROR(INDEX(Assessments!$H$2:$H$600,MATCH($H385&amp;"|"&amp;$I385&amp;"|"&amp;$J385&amp;"|"&amp;10,Assessments!$A$2:$A$600,0)),"")</f>
        <v/>
      </c>
      <c r="CE385" s="28" t="str">
        <f aca="false">IFERROR(INDEX(Assessments!$H$2:$H$600,MATCH($H385&amp;"|"&amp;$I385&amp;"|"&amp;$J385&amp;"|"&amp;11,Assessments!$A$2:$A$600,0)),"")</f>
        <v/>
      </c>
      <c r="CF385" s="28" t="str">
        <f aca="false">IFERROR(INDEX(Assessments!$H$2:$H$600,MATCH($H385&amp;"|"&amp;$I385&amp;"|"&amp;$J385&amp;"|"&amp;12,Assessments!$A$2:$A$600,0)),"")</f>
        <v/>
      </c>
      <c r="CG385" s="28" t="str">
        <f aca="false">IFERROR(INDEX(Assessments!$H$2:$H$600,MATCH($H385&amp;"|"&amp;$I385&amp;"|"&amp;$J385&amp;"|"&amp;13,Assessments!$A$2:$A$600,0)),"")</f>
        <v/>
      </c>
      <c r="CH385" s="28" t="str">
        <f aca="false">IFERROR(INDEX(Assessments!$H$2:$H$600,MATCH($H385&amp;"|"&amp;$I385&amp;"|"&amp;$J385&amp;"|"&amp;14,Assessments!$A$2:$A$600,0)),"")</f>
        <v/>
      </c>
      <c r="CI385" s="28" t="str">
        <f aca="false">IFERROR(INDEX(Assessments!$I$2:$I$600,MATCH($H385&amp;"|"&amp;$I385&amp;"|"&amp;$J385&amp;"|"&amp;1,Assessments!$A$2:$A$600,0)),"")</f>
        <v/>
      </c>
      <c r="CJ385" s="28" t="str">
        <f aca="false">IFERROR(INDEX(Assessments!$I$2:$I$600,MATCH($H385&amp;"|"&amp;$I385&amp;"|"&amp;$J385&amp;"|"&amp;2,Assessments!$A$2:$A$600,0)),"")</f>
        <v/>
      </c>
      <c r="CK385" s="28" t="str">
        <f aca="false">IFERROR(INDEX(Assessments!$I$2:$I$600,MATCH($H385&amp;"|"&amp;$I385&amp;"|"&amp;$J385&amp;"|"&amp;3,Assessments!$A$2:$A$600,0)),"")</f>
        <v/>
      </c>
      <c r="CL385" s="28" t="str">
        <f aca="false">IFERROR(INDEX(Assessments!$I$2:$I$600,MATCH($H385&amp;"|"&amp;$I385&amp;"|"&amp;$J385&amp;"|"&amp;4,Assessments!$A$2:$A$600,0)),"")</f>
        <v/>
      </c>
      <c r="CM385" s="28" t="str">
        <f aca="false">IFERROR(INDEX(Assessments!$I$2:$I$600,MATCH($H385&amp;"|"&amp;$I385&amp;"|"&amp;$J385&amp;"|"&amp;5,Assessments!$A$2:$A$600,0)),"")</f>
        <v/>
      </c>
      <c r="CN385" s="28" t="str">
        <f aca="false">IFERROR(INDEX(Assessments!$I$2:$I$600,MATCH($H385&amp;"|"&amp;$I385&amp;"|"&amp;$J385&amp;"|"&amp;6,Assessments!$A$2:$A$600,0)),"")</f>
        <v/>
      </c>
      <c r="CO385" s="28" t="str">
        <f aca="false">IFERROR(INDEX(Assessments!$I$2:$I$600,MATCH($H385&amp;"|"&amp;$I385&amp;"|"&amp;$J385&amp;"|"&amp;7,Assessments!$A$2:$A$600,0)),"")</f>
        <v/>
      </c>
      <c r="CP385" s="28" t="str">
        <f aca="false">IFERROR(INDEX(Assessments!$I$2:$I$600,MATCH($H385&amp;"|"&amp;$I385&amp;"|"&amp;$J385&amp;"|"&amp;8,Assessments!$A$2:$A$600,0)),"")</f>
        <v/>
      </c>
      <c r="CQ385" s="28" t="str">
        <f aca="false">IFERROR(INDEX(Assessments!$I$2:$I$600,MATCH($H385&amp;"|"&amp;$I385&amp;"|"&amp;$J385&amp;"|"&amp;9,Assessments!$A$2:$A$600,0)),"")</f>
        <v/>
      </c>
      <c r="CR385" s="28" t="str">
        <f aca="false">IFERROR(INDEX(Assessments!$I$2:$I$600,MATCH($H385&amp;"|"&amp;$I385&amp;"|"&amp;$J385&amp;"|"&amp;10,Assessments!$A$2:$A$600,0)),"")</f>
        <v/>
      </c>
      <c r="CS385" s="28" t="str">
        <f aca="false">IFERROR(INDEX(Assessments!$I$2:$I$600,MATCH($H385&amp;"|"&amp;$I385&amp;"|"&amp;$J385&amp;"|"&amp;11,Assessments!$A$2:$A$600,0)),"")</f>
        <v/>
      </c>
      <c r="CT385" s="28" t="str">
        <f aca="false">IFERROR(INDEX(Assessments!$I$2:$I$600,MATCH($H385&amp;"|"&amp;$I385&amp;"|"&amp;$J385&amp;"|"&amp;12,Assessments!$A$2:$A$600,0)),"")</f>
        <v/>
      </c>
      <c r="CU385" s="28" t="str">
        <f aca="false">IFERROR(INDEX(Assessments!$I$2:$I$600,MATCH($H385&amp;"|"&amp;$I385&amp;"|"&amp;$J385&amp;"|"&amp;13,Assessments!$A$2:$A$600,0)),"")</f>
        <v/>
      </c>
      <c r="CV385" s="28" t="str">
        <f aca="false">IFERROR(INDEX(Assessments!$I$2:$I$600,MATCH($H385&amp;"|"&amp;$I385&amp;"|"&amp;$J385&amp;"|"&amp;14,Assessments!$A$2:$A$600,0)),"")</f>
        <v/>
      </c>
      <c r="CW385" s="28" t="n">
        <f aca="false">IFERROR(INDEX(Assessments!$J$2:$J$600,MATCH($H385&amp;"|"&amp;$I385&amp;"|"&amp;$J385&amp;"|"&amp;1,Assessments!$A$2:$A$600,0)),0)</f>
        <v>0</v>
      </c>
      <c r="CX385" s="28" t="n">
        <f aca="false">IFERROR(INDEX(Assessments!$J$2:$J$600,MATCH($H385&amp;"|"&amp;$I385&amp;"|"&amp;$J385&amp;"|"&amp;2,Assessments!$A$2:$A$600,0)),0)</f>
        <v>0</v>
      </c>
      <c r="CY385" s="28" t="n">
        <f aca="false">IFERROR(INDEX(Assessments!$J$2:$J$600,MATCH($H385&amp;"|"&amp;$I385&amp;"|"&amp;$J385&amp;"|"&amp;3,Assessments!$A$2:$A$600,0)),0)</f>
        <v>0</v>
      </c>
      <c r="CZ385" s="28" t="n">
        <f aca="false">IFERROR(INDEX(Assessments!$J$2:$J$600,MATCH($H385&amp;"|"&amp;$I385&amp;"|"&amp;$J385&amp;"|"&amp;4,Assessments!$A$2:$A$600,0)),0)</f>
        <v>0</v>
      </c>
      <c r="DA385" s="28" t="n">
        <f aca="false">IFERROR(INDEX(Assessments!$J$2:$J$600,MATCH($H385&amp;"|"&amp;$I385&amp;"|"&amp;$J385&amp;"|"&amp;5,Assessments!$A$2:$A$600,0)),0)</f>
        <v>0</v>
      </c>
      <c r="DB385" s="28" t="n">
        <f aca="false">IFERROR(INDEX(Assessments!$J$2:$J$600,MATCH($H385&amp;"|"&amp;$I385&amp;"|"&amp;$J385&amp;"|"&amp;6,Assessments!$A$2:$A$600,0)),0)</f>
        <v>0</v>
      </c>
      <c r="DC385" s="28" t="n">
        <f aca="false">IFERROR(INDEX(Assessments!$J$2:$J$600,MATCH($H385&amp;"|"&amp;$I385&amp;"|"&amp;$J385&amp;"|"&amp;7,Assessments!$A$2:$A$600,0)),0)</f>
        <v>0</v>
      </c>
      <c r="DD385" s="28" t="n">
        <f aca="false">IFERROR(INDEX(Assessments!$J$2:$J$600,MATCH($H385&amp;"|"&amp;$I385&amp;"|"&amp;$J385&amp;"|"&amp;8,Assessments!$A$2:$A$600,0)),0)</f>
        <v>0</v>
      </c>
      <c r="DE385" s="28" t="n">
        <f aca="false">IFERROR(INDEX(Assessments!$J$2:$J$600,MATCH($H385&amp;"|"&amp;$I385&amp;"|"&amp;$J385&amp;"|"&amp;9,Assessments!$A$2:$A$600,0)),0)</f>
        <v>0</v>
      </c>
      <c r="DF385" s="28" t="n">
        <f aca="false">IFERROR(INDEX(Assessments!$J$2:$J$600,MATCH($H385&amp;"|"&amp;$I385&amp;"|"&amp;$J385&amp;"|"&amp;10,Assessments!$A$2:$A$600,0)),0)</f>
        <v>0</v>
      </c>
      <c r="DG385" s="28" t="n">
        <f aca="false">IFERROR(INDEX(Assessments!$J$2:$J$600,MATCH($H385&amp;"|"&amp;$I385&amp;"|"&amp;$J385&amp;"|"&amp;11,Assessments!$A$2:$A$600,0)),0)</f>
        <v>0</v>
      </c>
      <c r="DH385" s="28" t="n">
        <f aca="false">IFERROR(INDEX(Assessments!$J$2:$J$600,MATCH($H385&amp;"|"&amp;$I385&amp;"|"&amp;$J385&amp;"|"&amp;12,Assessments!$A$2:$A$600,0)),0)</f>
        <v>0</v>
      </c>
      <c r="DI385" s="28" t="n">
        <f aca="false">IFERROR(INDEX(Assessments!$J$2:$J$600,MATCH($H385&amp;"|"&amp;$I385&amp;"|"&amp;$J385&amp;"|"&amp;13,Assessments!$A$2:$A$600,0)),0)</f>
        <v>0</v>
      </c>
      <c r="DJ385" s="28" t="n">
        <f aca="false">IFERROR(INDEX(Assessments!$J$2:$J$600,MATCH($H385&amp;"|"&amp;$I385&amp;"|"&amp;$J385&amp;"|"&amp;14,Assessments!$A$2:$A$600,0)),0)</f>
        <v>0</v>
      </c>
      <c r="DK385" s="28" t="str">
        <f aca="false">S385</f>
        <v/>
      </c>
      <c r="DL385" s="28" t="str">
        <f aca="false">W385</f>
        <v/>
      </c>
      <c r="DM385" s="28" t="str">
        <f aca="false">AA385</f>
        <v/>
      </c>
      <c r="DN385" s="28" t="str">
        <f aca="false">AE385</f>
        <v/>
      </c>
      <c r="DO385" s="28" t="str">
        <f aca="false">AI385</f>
        <v/>
      </c>
      <c r="DP385" s="28" t="str">
        <f aca="false">AM385</f>
        <v/>
      </c>
      <c r="DQ385" s="28" t="str">
        <f aca="false">AQ385</f>
        <v/>
      </c>
      <c r="DR385" s="28" t="str">
        <f aca="false">AU385</f>
        <v/>
      </c>
      <c r="DS385" s="28" t="str">
        <f aca="false">AY385</f>
        <v/>
      </c>
      <c r="DT385" s="28" t="str">
        <f aca="false">BC385</f>
        <v/>
      </c>
      <c r="DU385" s="28" t="str">
        <f aca="false">BG385</f>
        <v/>
      </c>
      <c r="DV385" s="28" t="str">
        <f aca="false">BK385</f>
        <v/>
      </c>
      <c r="DW385" s="28" t="str">
        <f aca="false">BO385</f>
        <v/>
      </c>
      <c r="DX385" s="28" t="str">
        <f aca="false">BS385</f>
        <v/>
      </c>
      <c r="DY385" s="28" t="str">
        <f aca="false">IF(ISNUMBER(S385),1,"")</f>
        <v/>
      </c>
      <c r="DZ385" s="28" t="str">
        <f aca="false">IF(ISNUMBER(W385),2,"")</f>
        <v/>
      </c>
      <c r="EA385" s="28" t="str">
        <f aca="false">IF(ISNUMBER(AA385),3,"")</f>
        <v/>
      </c>
      <c r="EB385" s="28" t="str">
        <f aca="false">IF(ISNUMBER(AE385),4,"")</f>
        <v/>
      </c>
      <c r="EC385" s="28" t="str">
        <f aca="false">IF(ISNUMBER(AI385),5,"")</f>
        <v/>
      </c>
      <c r="ED385" s="28" t="str">
        <f aca="false">IF(ISNUMBER(AM385),6,"")</f>
        <v/>
      </c>
      <c r="EE385" s="28" t="str">
        <f aca="false">IF(ISNUMBER(AQ385),7,"")</f>
        <v/>
      </c>
      <c r="EF385" s="28" t="str">
        <f aca="false">IF(ISNUMBER(AU385),8,"")</f>
        <v/>
      </c>
      <c r="EG385" s="28" t="str">
        <f aca="false">IF(ISNUMBER(AY385),9,"")</f>
        <v/>
      </c>
      <c r="EH385" s="28" t="str">
        <f aca="false">IF(ISNUMBER(BC385),10,"")</f>
        <v/>
      </c>
      <c r="EI385" s="28" t="str">
        <f aca="false">IF(ISNUMBER(BG385),11,"")</f>
        <v/>
      </c>
      <c r="EJ385" s="28" t="str">
        <f aca="false">IF(ISNUMBER(BK385),12,"")</f>
        <v/>
      </c>
      <c r="EK385" s="28" t="str">
        <f aca="false">IF(ISNUMBER(BO385),13,"")</f>
        <v/>
      </c>
      <c r="EL385" s="28" t="str">
        <f aca="false">IF(ISNUMBER(BS385),14,"")</f>
        <v/>
      </c>
      <c r="EM385" s="28" t="n">
        <f aca="false">IF(ISNUMBER(R385),R385*CW385,0)</f>
        <v>0</v>
      </c>
      <c r="EN385" s="28" t="n">
        <f aca="false">IF(ISNUMBER(V385),V385*CX385,0)</f>
        <v>0</v>
      </c>
      <c r="EO385" s="28" t="n">
        <f aca="false">IF(ISNUMBER(Z385),Z385*CY385,0)</f>
        <v>0</v>
      </c>
      <c r="EP385" s="28" t="n">
        <f aca="false">IF(ISNUMBER(AD385),AD385*CZ385,0)</f>
        <v>0</v>
      </c>
      <c r="EQ385" s="28" t="n">
        <f aca="false">IF(ISNUMBER(AH385),AH385*DA385,0)</f>
        <v>0</v>
      </c>
      <c r="ER385" s="28" t="n">
        <f aca="false">IF(ISNUMBER(AL385),AL385*DB385,0)</f>
        <v>0</v>
      </c>
      <c r="ES385" s="28" t="n">
        <f aca="false">IF(ISNUMBER(AP385),AP385*DC385,0)</f>
        <v>0</v>
      </c>
      <c r="ET385" s="28" t="n">
        <f aca="false">IF(ISNUMBER(AT385),AT385*DD385,0)</f>
        <v>0</v>
      </c>
      <c r="EU385" s="28" t="n">
        <f aca="false">IF(ISNUMBER(AX385),AX385*DE385,0)</f>
        <v>0</v>
      </c>
      <c r="EV385" s="28" t="n">
        <f aca="false">IF(ISNUMBER(BB385),BB385*DF385,0)</f>
        <v>0</v>
      </c>
      <c r="EW385" s="28" t="n">
        <f aca="false">IF(ISNUMBER(BF385),BF385*DG385,0)</f>
        <v>0</v>
      </c>
      <c r="EX385" s="28" t="n">
        <f aca="false">IF(ISNUMBER(BJ385),BJ385*DH385,0)</f>
        <v>0</v>
      </c>
      <c r="EY385" s="28" t="n">
        <f aca="false">IF(ISNUMBER(BN385),BN385*DI385,0)</f>
        <v>0</v>
      </c>
      <c r="EZ385" s="28" t="n">
        <f aca="false">IF(ISNUMBER(BR385),BR385*DJ385,0)</f>
        <v>0</v>
      </c>
      <c r="FA385" s="28" t="n">
        <f aca="false">IF(ISNUMBER(R385),CW385,0)</f>
        <v>0</v>
      </c>
      <c r="FB385" s="28" t="n">
        <f aca="false">IF(ISNUMBER(V385),CX385,0)</f>
        <v>0</v>
      </c>
      <c r="FC385" s="28" t="n">
        <f aca="false">IF(ISNUMBER(Z385),CY385,0)</f>
        <v>0</v>
      </c>
      <c r="FD385" s="28" t="n">
        <f aca="false">IF(ISNUMBER(AD385),CZ385,0)</f>
        <v>0</v>
      </c>
      <c r="FE385" s="28" t="n">
        <f aca="false">IF(ISNUMBER(AH385),DA385,0)</f>
        <v>0</v>
      </c>
      <c r="FF385" s="28" t="n">
        <f aca="false">IF(ISNUMBER(AL385),DB385,0)</f>
        <v>0</v>
      </c>
      <c r="FG385" s="28" t="n">
        <f aca="false">IF(ISNUMBER(AP385),DC385,0)</f>
        <v>0</v>
      </c>
      <c r="FH385" s="28" t="n">
        <f aca="false">IF(ISNUMBER(AT385),DD385,0)</f>
        <v>0</v>
      </c>
      <c r="FI385" s="28" t="n">
        <f aca="false">IF(ISNUMBER(AX385),DE385,0)</f>
        <v>0</v>
      </c>
      <c r="FJ385" s="28" t="n">
        <f aca="false">IF(ISNUMBER(BB385),DF385,0)</f>
        <v>0</v>
      </c>
      <c r="FK385" s="28" t="n">
        <f aca="false">IF(ISNUMBER(BF385),DG385,0)</f>
        <v>0</v>
      </c>
      <c r="FL385" s="28" t="n">
        <f aca="false">IF(ISNUMBER(BJ385),DH385,0)</f>
        <v>0</v>
      </c>
      <c r="FM385" s="28" t="n">
        <f aca="false">IF(ISNUMBER(BN385),DI385,0)</f>
        <v>0</v>
      </c>
      <c r="FN385" s="28" t="n">
        <f aca="false">IF(ISNUMBER(BR385),DJ385,0)</f>
        <v>0</v>
      </c>
      <c r="FO385" s="28" t="str">
        <f aca="false">IFERROR(INDEX(Lists!$G$2:$G$20,MATCH($I385&amp;"|"&amp;$J385,Lists!$F$2:$F$20,0)),"")</f>
        <v/>
      </c>
    </row>
    <row r="386" customFormat="false" ht="19.5" hidden="false" customHeight="true" outlineLevel="0" collapsed="false">
      <c r="A386" s="29"/>
      <c r="B386" s="29"/>
      <c r="C386" s="30"/>
      <c r="D386" s="30"/>
      <c r="E386" s="31"/>
      <c r="F386" s="30"/>
      <c r="G386" s="30"/>
      <c r="H386" s="32"/>
      <c r="I386" s="33"/>
      <c r="J386" s="32"/>
      <c r="K386" s="34" t="str">
        <f aca="false">IF(OR(M386="",$E386=""),"",M386-$E386)</f>
        <v/>
      </c>
      <c r="L386" s="35" t="str">
        <f aca="false">IF(SUM(FA386:FN386)=0,"",SUM(EM386:EZ386)/SUM(FA386:FN386))</f>
        <v/>
      </c>
      <c r="M386" s="36" t="str">
        <f aca="false">IF(OR(L386="",FO386=""),"",IFERROR(MATCH(L386,INDEX(Boundaries!$B$2:$I$30,MATCH(FO386,Boundaries!$A$2:$A$30,0),0),1)-1,""))</f>
        <v/>
      </c>
      <c r="N386" s="37" t="str">
        <f aca="false">IF(COUNT($DY386:$EL386)&lt;2,"",INDEX($DK386:$DX386,MAX($DY386:$EL386))-INDEX($DK386:$DX386,MIN($DY386:$EL386)))</f>
        <v/>
      </c>
      <c r="O386" s="37" t="str">
        <f aca="false">IF(COUNT($DY386:$EL386)&lt;2,"",INDEX($DK386:$DX386,MAX($DY386:$EL386))-INDEX($DK386:$DX386,LARGE($DY386:$EL386,2)))</f>
        <v/>
      </c>
      <c r="P386" s="38" t="str">
        <f aca="false">IF(K386="","",IF(K386&gt;=0,"On/above target",IF(AND(N386&lt;&gt;"",N386&gt;=0.5),"Improving towards target",IF(AND(O386&lt;&gt;"",O386&lt;=-0.5),"Declining","Stable below target"))))</f>
        <v/>
      </c>
      <c r="Q386" s="39"/>
      <c r="R386" s="40" t="str">
        <f aca="false">IF(OR(Q386="",BU386=""),"",Q386/BU386*100)</f>
        <v/>
      </c>
      <c r="S386" s="41" t="str">
        <f aca="false">IF(R386="","",IFERROR(MATCH(R386,INDEX(Boundaries!$B$2:$I$30,MATCH(CI386,Boundaries!$A$2:$A$30,0),0),1)-1,""))</f>
        <v/>
      </c>
      <c r="T386" s="42" t="str">
        <f aca="false">IF(OR(S386="",$E386=""),"",S386-$E386)</f>
        <v/>
      </c>
      <c r="U386" s="39"/>
      <c r="V386" s="40" t="str">
        <f aca="false">IF(OR(U386="",BV386=""),"",U386/BV386*100)</f>
        <v/>
      </c>
      <c r="W386" s="41" t="str">
        <f aca="false">IF(V386="","",IFERROR(MATCH(V386,INDEX(Boundaries!$B$2:$I$30,MATCH(CJ386,Boundaries!$A$2:$A$30,0),0),1)-1,""))</f>
        <v/>
      </c>
      <c r="X386" s="42" t="str">
        <f aca="false">IF(OR(W386="",$E386=""),"",W386-$E386)</f>
        <v/>
      </c>
      <c r="Y386" s="39"/>
      <c r="Z386" s="40" t="str">
        <f aca="false">IF(OR(Y386="",BW386=""),"",Y386/BW386*100)</f>
        <v/>
      </c>
      <c r="AA386" s="41" t="str">
        <f aca="false">IF(Z386="","",IFERROR(MATCH(Z386,INDEX(Boundaries!$B$2:$I$30,MATCH(CK386,Boundaries!$A$2:$A$30,0),0),1)-1,""))</f>
        <v/>
      </c>
      <c r="AB386" s="42" t="str">
        <f aca="false">IF(OR(AA386="",$E386=""),"",AA386-$E386)</f>
        <v/>
      </c>
      <c r="AC386" s="39"/>
      <c r="AD386" s="40" t="str">
        <f aca="false">IF(OR(AC386="",BX386=""),"",AC386/BX386*100)</f>
        <v/>
      </c>
      <c r="AE386" s="41" t="str">
        <f aca="false">IF(AD386="","",IFERROR(MATCH(AD386,INDEX(Boundaries!$B$2:$I$30,MATCH(CL386,Boundaries!$A$2:$A$30,0),0),1)-1,""))</f>
        <v/>
      </c>
      <c r="AF386" s="42" t="str">
        <f aca="false">IF(OR(AE386="",$E386=""),"",AE386-$E386)</f>
        <v/>
      </c>
      <c r="AG386" s="39"/>
      <c r="AH386" s="40" t="str">
        <f aca="false">IF(OR(AG386="",BY386=""),"",AG386/BY386*100)</f>
        <v/>
      </c>
      <c r="AI386" s="41" t="str">
        <f aca="false">IF(AH386="","",IFERROR(MATCH(AH386,INDEX(Boundaries!$B$2:$I$30,MATCH(CM386,Boundaries!$A$2:$A$30,0),0),1)-1,""))</f>
        <v/>
      </c>
      <c r="AJ386" s="42" t="str">
        <f aca="false">IF(OR(AI386="",$E386=""),"",AI386-$E386)</f>
        <v/>
      </c>
      <c r="AK386" s="39"/>
      <c r="AL386" s="40" t="str">
        <f aca="false">IF(OR(AK386="",BZ386=""),"",AK386/BZ386*100)</f>
        <v/>
      </c>
      <c r="AM386" s="41" t="str">
        <f aca="false">IF(AL386="","",IFERROR(MATCH(AL386,INDEX(Boundaries!$B$2:$I$30,MATCH(CN386,Boundaries!$A$2:$A$30,0),0),1)-1,""))</f>
        <v/>
      </c>
      <c r="AN386" s="42" t="str">
        <f aca="false">IF(OR(AM386="",$E386=""),"",AM386-$E386)</f>
        <v/>
      </c>
      <c r="AO386" s="39"/>
      <c r="AP386" s="40" t="str">
        <f aca="false">IF(OR(AO386="",CA386=""),"",AO386/CA386*100)</f>
        <v/>
      </c>
      <c r="AQ386" s="41" t="str">
        <f aca="false">IF(AP386="","",IFERROR(MATCH(AP386,INDEX(Boundaries!$B$2:$I$30,MATCH(CO386,Boundaries!$A$2:$A$30,0),0),1)-1,""))</f>
        <v/>
      </c>
      <c r="AR386" s="42" t="str">
        <f aca="false">IF(OR(AQ386="",$E386=""),"",AQ386-$E386)</f>
        <v/>
      </c>
      <c r="AS386" s="39"/>
      <c r="AT386" s="40" t="str">
        <f aca="false">IF(OR(AS386="",CB386=""),"",AS386/CB386*100)</f>
        <v/>
      </c>
      <c r="AU386" s="41" t="str">
        <f aca="false">IF(AT386="","",IFERROR(MATCH(AT386,INDEX(Boundaries!$B$2:$I$30,MATCH(CP386,Boundaries!$A$2:$A$30,0),0),1)-1,""))</f>
        <v/>
      </c>
      <c r="AV386" s="42" t="str">
        <f aca="false">IF(OR(AU386="",$E386=""),"",AU386-$E386)</f>
        <v/>
      </c>
      <c r="AW386" s="39"/>
      <c r="AX386" s="40" t="str">
        <f aca="false">IF(OR(AW386="",CC386=""),"",AW386/CC386*100)</f>
        <v/>
      </c>
      <c r="AY386" s="41" t="str">
        <f aca="false">IF(AX386="","",IFERROR(MATCH(AX386,INDEX(Boundaries!$B$2:$I$30,MATCH(CQ386,Boundaries!$A$2:$A$30,0),0),1)-1,""))</f>
        <v/>
      </c>
      <c r="AZ386" s="42" t="str">
        <f aca="false">IF(OR(AY386="",$E386=""),"",AY386-$E386)</f>
        <v/>
      </c>
      <c r="BA386" s="39"/>
      <c r="BB386" s="40" t="str">
        <f aca="false">IF(OR(BA386="",CD386=""),"",BA386/CD386*100)</f>
        <v/>
      </c>
      <c r="BC386" s="41" t="str">
        <f aca="false">IF(BB386="","",IFERROR(MATCH(BB386,INDEX(Boundaries!$B$2:$I$30,MATCH(CR386,Boundaries!$A$2:$A$30,0),0),1)-1,""))</f>
        <v/>
      </c>
      <c r="BD386" s="42" t="str">
        <f aca="false">IF(OR(BC386="",$E386=""),"",BC386-$E386)</f>
        <v/>
      </c>
      <c r="BE386" s="39"/>
      <c r="BF386" s="40" t="str">
        <f aca="false">IF(OR(BE386="",CE386=""),"",BE386/CE386*100)</f>
        <v/>
      </c>
      <c r="BG386" s="41" t="str">
        <f aca="false">IF(BF386="","",IFERROR(MATCH(BF386,INDEX(Boundaries!$B$2:$I$30,MATCH(CS386,Boundaries!$A$2:$A$30,0),0),1)-1,""))</f>
        <v/>
      </c>
      <c r="BH386" s="42" t="str">
        <f aca="false">IF(OR(BG386="",$E386=""),"",BG386-$E386)</f>
        <v/>
      </c>
      <c r="BI386" s="39"/>
      <c r="BJ386" s="40" t="str">
        <f aca="false">IF(OR(BI386="",CF386=""),"",BI386/CF386*100)</f>
        <v/>
      </c>
      <c r="BK386" s="41" t="str">
        <f aca="false">IF(BJ386="","",IFERROR(MATCH(BJ386,INDEX(Boundaries!$B$2:$I$30,MATCH(CT386,Boundaries!$A$2:$A$30,0),0),1)-1,""))</f>
        <v/>
      </c>
      <c r="BL386" s="42" t="str">
        <f aca="false">IF(OR(BK386="",$E386=""),"",BK386-$E386)</f>
        <v/>
      </c>
      <c r="BM386" s="39"/>
      <c r="BN386" s="40" t="str">
        <f aca="false">IF(OR(BM386="",CG386=""),"",BM386/CG386*100)</f>
        <v/>
      </c>
      <c r="BO386" s="41" t="str">
        <f aca="false">IF(BN386="","",IFERROR(MATCH(BN386,INDEX(Boundaries!$B$2:$I$30,MATCH(CU386,Boundaries!$A$2:$A$30,0),0),1)-1,""))</f>
        <v/>
      </c>
      <c r="BP386" s="42" t="str">
        <f aca="false">IF(OR(BO386="",$E386=""),"",BO386-$E386)</f>
        <v/>
      </c>
      <c r="BQ386" s="39"/>
      <c r="BR386" s="40" t="str">
        <f aca="false">IF(OR(BQ386="",CH386=""),"",BQ386/CH386*100)</f>
        <v/>
      </c>
      <c r="BS386" s="41" t="str">
        <f aca="false">IF(BR386="","",IFERROR(MATCH(BR386,INDEX(Boundaries!$B$2:$I$30,MATCH(CV386,Boundaries!$A$2:$A$30,0),0),1)-1,""))</f>
        <v/>
      </c>
      <c r="BT386" s="42" t="str">
        <f aca="false">IF(OR(BS386="",$E386=""),"",BS386-$E386)</f>
        <v/>
      </c>
      <c r="BU386" s="28" t="str">
        <f aca="false">IFERROR(INDEX(Assessments!$H$2:$H$600,MATCH($H386&amp;"|"&amp;$I386&amp;"|"&amp;$J386&amp;"|"&amp;1,Assessments!$A$2:$A$600,0)),"")</f>
        <v/>
      </c>
      <c r="BV386" s="28" t="str">
        <f aca="false">IFERROR(INDEX(Assessments!$H$2:$H$600,MATCH($H386&amp;"|"&amp;$I386&amp;"|"&amp;$J386&amp;"|"&amp;2,Assessments!$A$2:$A$600,0)),"")</f>
        <v/>
      </c>
      <c r="BW386" s="28" t="str">
        <f aca="false">IFERROR(INDEX(Assessments!$H$2:$H$600,MATCH($H386&amp;"|"&amp;$I386&amp;"|"&amp;$J386&amp;"|"&amp;3,Assessments!$A$2:$A$600,0)),"")</f>
        <v/>
      </c>
      <c r="BX386" s="28" t="str">
        <f aca="false">IFERROR(INDEX(Assessments!$H$2:$H$600,MATCH($H386&amp;"|"&amp;$I386&amp;"|"&amp;$J386&amp;"|"&amp;4,Assessments!$A$2:$A$600,0)),"")</f>
        <v/>
      </c>
      <c r="BY386" s="28" t="str">
        <f aca="false">IFERROR(INDEX(Assessments!$H$2:$H$600,MATCH($H386&amp;"|"&amp;$I386&amp;"|"&amp;$J386&amp;"|"&amp;5,Assessments!$A$2:$A$600,0)),"")</f>
        <v/>
      </c>
      <c r="BZ386" s="28" t="str">
        <f aca="false">IFERROR(INDEX(Assessments!$H$2:$H$600,MATCH($H386&amp;"|"&amp;$I386&amp;"|"&amp;$J386&amp;"|"&amp;6,Assessments!$A$2:$A$600,0)),"")</f>
        <v/>
      </c>
      <c r="CA386" s="28" t="str">
        <f aca="false">IFERROR(INDEX(Assessments!$H$2:$H$600,MATCH($H386&amp;"|"&amp;$I386&amp;"|"&amp;$J386&amp;"|"&amp;7,Assessments!$A$2:$A$600,0)),"")</f>
        <v/>
      </c>
      <c r="CB386" s="28" t="str">
        <f aca="false">IFERROR(INDEX(Assessments!$H$2:$H$600,MATCH($H386&amp;"|"&amp;$I386&amp;"|"&amp;$J386&amp;"|"&amp;8,Assessments!$A$2:$A$600,0)),"")</f>
        <v/>
      </c>
      <c r="CC386" s="28" t="str">
        <f aca="false">IFERROR(INDEX(Assessments!$H$2:$H$600,MATCH($H386&amp;"|"&amp;$I386&amp;"|"&amp;$J386&amp;"|"&amp;9,Assessments!$A$2:$A$600,0)),"")</f>
        <v/>
      </c>
      <c r="CD386" s="28" t="str">
        <f aca="false">IFERROR(INDEX(Assessments!$H$2:$H$600,MATCH($H386&amp;"|"&amp;$I386&amp;"|"&amp;$J386&amp;"|"&amp;10,Assessments!$A$2:$A$600,0)),"")</f>
        <v/>
      </c>
      <c r="CE386" s="28" t="str">
        <f aca="false">IFERROR(INDEX(Assessments!$H$2:$H$600,MATCH($H386&amp;"|"&amp;$I386&amp;"|"&amp;$J386&amp;"|"&amp;11,Assessments!$A$2:$A$600,0)),"")</f>
        <v/>
      </c>
      <c r="CF386" s="28" t="str">
        <f aca="false">IFERROR(INDEX(Assessments!$H$2:$H$600,MATCH($H386&amp;"|"&amp;$I386&amp;"|"&amp;$J386&amp;"|"&amp;12,Assessments!$A$2:$A$600,0)),"")</f>
        <v/>
      </c>
      <c r="CG386" s="28" t="str">
        <f aca="false">IFERROR(INDEX(Assessments!$H$2:$H$600,MATCH($H386&amp;"|"&amp;$I386&amp;"|"&amp;$J386&amp;"|"&amp;13,Assessments!$A$2:$A$600,0)),"")</f>
        <v/>
      </c>
      <c r="CH386" s="28" t="str">
        <f aca="false">IFERROR(INDEX(Assessments!$H$2:$H$600,MATCH($H386&amp;"|"&amp;$I386&amp;"|"&amp;$J386&amp;"|"&amp;14,Assessments!$A$2:$A$600,0)),"")</f>
        <v/>
      </c>
      <c r="CI386" s="28" t="str">
        <f aca="false">IFERROR(INDEX(Assessments!$I$2:$I$600,MATCH($H386&amp;"|"&amp;$I386&amp;"|"&amp;$J386&amp;"|"&amp;1,Assessments!$A$2:$A$600,0)),"")</f>
        <v/>
      </c>
      <c r="CJ386" s="28" t="str">
        <f aca="false">IFERROR(INDEX(Assessments!$I$2:$I$600,MATCH($H386&amp;"|"&amp;$I386&amp;"|"&amp;$J386&amp;"|"&amp;2,Assessments!$A$2:$A$600,0)),"")</f>
        <v/>
      </c>
      <c r="CK386" s="28" t="str">
        <f aca="false">IFERROR(INDEX(Assessments!$I$2:$I$600,MATCH($H386&amp;"|"&amp;$I386&amp;"|"&amp;$J386&amp;"|"&amp;3,Assessments!$A$2:$A$600,0)),"")</f>
        <v/>
      </c>
      <c r="CL386" s="28" t="str">
        <f aca="false">IFERROR(INDEX(Assessments!$I$2:$I$600,MATCH($H386&amp;"|"&amp;$I386&amp;"|"&amp;$J386&amp;"|"&amp;4,Assessments!$A$2:$A$600,0)),"")</f>
        <v/>
      </c>
      <c r="CM386" s="28" t="str">
        <f aca="false">IFERROR(INDEX(Assessments!$I$2:$I$600,MATCH($H386&amp;"|"&amp;$I386&amp;"|"&amp;$J386&amp;"|"&amp;5,Assessments!$A$2:$A$600,0)),"")</f>
        <v/>
      </c>
      <c r="CN386" s="28" t="str">
        <f aca="false">IFERROR(INDEX(Assessments!$I$2:$I$600,MATCH($H386&amp;"|"&amp;$I386&amp;"|"&amp;$J386&amp;"|"&amp;6,Assessments!$A$2:$A$600,0)),"")</f>
        <v/>
      </c>
      <c r="CO386" s="28" t="str">
        <f aca="false">IFERROR(INDEX(Assessments!$I$2:$I$600,MATCH($H386&amp;"|"&amp;$I386&amp;"|"&amp;$J386&amp;"|"&amp;7,Assessments!$A$2:$A$600,0)),"")</f>
        <v/>
      </c>
      <c r="CP386" s="28" t="str">
        <f aca="false">IFERROR(INDEX(Assessments!$I$2:$I$600,MATCH($H386&amp;"|"&amp;$I386&amp;"|"&amp;$J386&amp;"|"&amp;8,Assessments!$A$2:$A$600,0)),"")</f>
        <v/>
      </c>
      <c r="CQ386" s="28" t="str">
        <f aca="false">IFERROR(INDEX(Assessments!$I$2:$I$600,MATCH($H386&amp;"|"&amp;$I386&amp;"|"&amp;$J386&amp;"|"&amp;9,Assessments!$A$2:$A$600,0)),"")</f>
        <v/>
      </c>
      <c r="CR386" s="28" t="str">
        <f aca="false">IFERROR(INDEX(Assessments!$I$2:$I$600,MATCH($H386&amp;"|"&amp;$I386&amp;"|"&amp;$J386&amp;"|"&amp;10,Assessments!$A$2:$A$600,0)),"")</f>
        <v/>
      </c>
      <c r="CS386" s="28" t="str">
        <f aca="false">IFERROR(INDEX(Assessments!$I$2:$I$600,MATCH($H386&amp;"|"&amp;$I386&amp;"|"&amp;$J386&amp;"|"&amp;11,Assessments!$A$2:$A$600,0)),"")</f>
        <v/>
      </c>
      <c r="CT386" s="28" t="str">
        <f aca="false">IFERROR(INDEX(Assessments!$I$2:$I$600,MATCH($H386&amp;"|"&amp;$I386&amp;"|"&amp;$J386&amp;"|"&amp;12,Assessments!$A$2:$A$600,0)),"")</f>
        <v/>
      </c>
      <c r="CU386" s="28" t="str">
        <f aca="false">IFERROR(INDEX(Assessments!$I$2:$I$600,MATCH($H386&amp;"|"&amp;$I386&amp;"|"&amp;$J386&amp;"|"&amp;13,Assessments!$A$2:$A$600,0)),"")</f>
        <v/>
      </c>
      <c r="CV386" s="28" t="str">
        <f aca="false">IFERROR(INDEX(Assessments!$I$2:$I$600,MATCH($H386&amp;"|"&amp;$I386&amp;"|"&amp;$J386&amp;"|"&amp;14,Assessments!$A$2:$A$600,0)),"")</f>
        <v/>
      </c>
      <c r="CW386" s="28" t="n">
        <f aca="false">IFERROR(INDEX(Assessments!$J$2:$J$600,MATCH($H386&amp;"|"&amp;$I386&amp;"|"&amp;$J386&amp;"|"&amp;1,Assessments!$A$2:$A$600,0)),0)</f>
        <v>0</v>
      </c>
      <c r="CX386" s="28" t="n">
        <f aca="false">IFERROR(INDEX(Assessments!$J$2:$J$600,MATCH($H386&amp;"|"&amp;$I386&amp;"|"&amp;$J386&amp;"|"&amp;2,Assessments!$A$2:$A$600,0)),0)</f>
        <v>0</v>
      </c>
      <c r="CY386" s="28" t="n">
        <f aca="false">IFERROR(INDEX(Assessments!$J$2:$J$600,MATCH($H386&amp;"|"&amp;$I386&amp;"|"&amp;$J386&amp;"|"&amp;3,Assessments!$A$2:$A$600,0)),0)</f>
        <v>0</v>
      </c>
      <c r="CZ386" s="28" t="n">
        <f aca="false">IFERROR(INDEX(Assessments!$J$2:$J$600,MATCH($H386&amp;"|"&amp;$I386&amp;"|"&amp;$J386&amp;"|"&amp;4,Assessments!$A$2:$A$600,0)),0)</f>
        <v>0</v>
      </c>
      <c r="DA386" s="28" t="n">
        <f aca="false">IFERROR(INDEX(Assessments!$J$2:$J$600,MATCH($H386&amp;"|"&amp;$I386&amp;"|"&amp;$J386&amp;"|"&amp;5,Assessments!$A$2:$A$600,0)),0)</f>
        <v>0</v>
      </c>
      <c r="DB386" s="28" t="n">
        <f aca="false">IFERROR(INDEX(Assessments!$J$2:$J$600,MATCH($H386&amp;"|"&amp;$I386&amp;"|"&amp;$J386&amp;"|"&amp;6,Assessments!$A$2:$A$600,0)),0)</f>
        <v>0</v>
      </c>
      <c r="DC386" s="28" t="n">
        <f aca="false">IFERROR(INDEX(Assessments!$J$2:$J$600,MATCH($H386&amp;"|"&amp;$I386&amp;"|"&amp;$J386&amp;"|"&amp;7,Assessments!$A$2:$A$600,0)),0)</f>
        <v>0</v>
      </c>
      <c r="DD386" s="28" t="n">
        <f aca="false">IFERROR(INDEX(Assessments!$J$2:$J$600,MATCH($H386&amp;"|"&amp;$I386&amp;"|"&amp;$J386&amp;"|"&amp;8,Assessments!$A$2:$A$600,0)),0)</f>
        <v>0</v>
      </c>
      <c r="DE386" s="28" t="n">
        <f aca="false">IFERROR(INDEX(Assessments!$J$2:$J$600,MATCH($H386&amp;"|"&amp;$I386&amp;"|"&amp;$J386&amp;"|"&amp;9,Assessments!$A$2:$A$600,0)),0)</f>
        <v>0</v>
      </c>
      <c r="DF386" s="28" t="n">
        <f aca="false">IFERROR(INDEX(Assessments!$J$2:$J$600,MATCH($H386&amp;"|"&amp;$I386&amp;"|"&amp;$J386&amp;"|"&amp;10,Assessments!$A$2:$A$600,0)),0)</f>
        <v>0</v>
      </c>
      <c r="DG386" s="28" t="n">
        <f aca="false">IFERROR(INDEX(Assessments!$J$2:$J$600,MATCH($H386&amp;"|"&amp;$I386&amp;"|"&amp;$J386&amp;"|"&amp;11,Assessments!$A$2:$A$600,0)),0)</f>
        <v>0</v>
      </c>
      <c r="DH386" s="28" t="n">
        <f aca="false">IFERROR(INDEX(Assessments!$J$2:$J$600,MATCH($H386&amp;"|"&amp;$I386&amp;"|"&amp;$J386&amp;"|"&amp;12,Assessments!$A$2:$A$600,0)),0)</f>
        <v>0</v>
      </c>
      <c r="DI386" s="28" t="n">
        <f aca="false">IFERROR(INDEX(Assessments!$J$2:$J$600,MATCH($H386&amp;"|"&amp;$I386&amp;"|"&amp;$J386&amp;"|"&amp;13,Assessments!$A$2:$A$600,0)),0)</f>
        <v>0</v>
      </c>
      <c r="DJ386" s="28" t="n">
        <f aca="false">IFERROR(INDEX(Assessments!$J$2:$J$600,MATCH($H386&amp;"|"&amp;$I386&amp;"|"&amp;$J386&amp;"|"&amp;14,Assessments!$A$2:$A$600,0)),0)</f>
        <v>0</v>
      </c>
      <c r="DK386" s="28" t="str">
        <f aca="false">S386</f>
        <v/>
      </c>
      <c r="DL386" s="28" t="str">
        <f aca="false">W386</f>
        <v/>
      </c>
      <c r="DM386" s="28" t="str">
        <f aca="false">AA386</f>
        <v/>
      </c>
      <c r="DN386" s="28" t="str">
        <f aca="false">AE386</f>
        <v/>
      </c>
      <c r="DO386" s="28" t="str">
        <f aca="false">AI386</f>
        <v/>
      </c>
      <c r="DP386" s="28" t="str">
        <f aca="false">AM386</f>
        <v/>
      </c>
      <c r="DQ386" s="28" t="str">
        <f aca="false">AQ386</f>
        <v/>
      </c>
      <c r="DR386" s="28" t="str">
        <f aca="false">AU386</f>
        <v/>
      </c>
      <c r="DS386" s="28" t="str">
        <f aca="false">AY386</f>
        <v/>
      </c>
      <c r="DT386" s="28" t="str">
        <f aca="false">BC386</f>
        <v/>
      </c>
      <c r="DU386" s="28" t="str">
        <f aca="false">BG386</f>
        <v/>
      </c>
      <c r="DV386" s="28" t="str">
        <f aca="false">BK386</f>
        <v/>
      </c>
      <c r="DW386" s="28" t="str">
        <f aca="false">BO386</f>
        <v/>
      </c>
      <c r="DX386" s="28" t="str">
        <f aca="false">BS386</f>
        <v/>
      </c>
      <c r="DY386" s="28" t="str">
        <f aca="false">IF(ISNUMBER(S386),1,"")</f>
        <v/>
      </c>
      <c r="DZ386" s="28" t="str">
        <f aca="false">IF(ISNUMBER(W386),2,"")</f>
        <v/>
      </c>
      <c r="EA386" s="28" t="str">
        <f aca="false">IF(ISNUMBER(AA386),3,"")</f>
        <v/>
      </c>
      <c r="EB386" s="28" t="str">
        <f aca="false">IF(ISNUMBER(AE386),4,"")</f>
        <v/>
      </c>
      <c r="EC386" s="28" t="str">
        <f aca="false">IF(ISNUMBER(AI386),5,"")</f>
        <v/>
      </c>
      <c r="ED386" s="28" t="str">
        <f aca="false">IF(ISNUMBER(AM386),6,"")</f>
        <v/>
      </c>
      <c r="EE386" s="28" t="str">
        <f aca="false">IF(ISNUMBER(AQ386),7,"")</f>
        <v/>
      </c>
      <c r="EF386" s="28" t="str">
        <f aca="false">IF(ISNUMBER(AU386),8,"")</f>
        <v/>
      </c>
      <c r="EG386" s="28" t="str">
        <f aca="false">IF(ISNUMBER(AY386),9,"")</f>
        <v/>
      </c>
      <c r="EH386" s="28" t="str">
        <f aca="false">IF(ISNUMBER(BC386),10,"")</f>
        <v/>
      </c>
      <c r="EI386" s="28" t="str">
        <f aca="false">IF(ISNUMBER(BG386),11,"")</f>
        <v/>
      </c>
      <c r="EJ386" s="28" t="str">
        <f aca="false">IF(ISNUMBER(BK386),12,"")</f>
        <v/>
      </c>
      <c r="EK386" s="28" t="str">
        <f aca="false">IF(ISNUMBER(BO386),13,"")</f>
        <v/>
      </c>
      <c r="EL386" s="28" t="str">
        <f aca="false">IF(ISNUMBER(BS386),14,"")</f>
        <v/>
      </c>
      <c r="EM386" s="28" t="n">
        <f aca="false">IF(ISNUMBER(R386),R386*CW386,0)</f>
        <v>0</v>
      </c>
      <c r="EN386" s="28" t="n">
        <f aca="false">IF(ISNUMBER(V386),V386*CX386,0)</f>
        <v>0</v>
      </c>
      <c r="EO386" s="28" t="n">
        <f aca="false">IF(ISNUMBER(Z386),Z386*CY386,0)</f>
        <v>0</v>
      </c>
      <c r="EP386" s="28" t="n">
        <f aca="false">IF(ISNUMBER(AD386),AD386*CZ386,0)</f>
        <v>0</v>
      </c>
      <c r="EQ386" s="28" t="n">
        <f aca="false">IF(ISNUMBER(AH386),AH386*DA386,0)</f>
        <v>0</v>
      </c>
      <c r="ER386" s="28" t="n">
        <f aca="false">IF(ISNUMBER(AL386),AL386*DB386,0)</f>
        <v>0</v>
      </c>
      <c r="ES386" s="28" t="n">
        <f aca="false">IF(ISNUMBER(AP386),AP386*DC386,0)</f>
        <v>0</v>
      </c>
      <c r="ET386" s="28" t="n">
        <f aca="false">IF(ISNUMBER(AT386),AT386*DD386,0)</f>
        <v>0</v>
      </c>
      <c r="EU386" s="28" t="n">
        <f aca="false">IF(ISNUMBER(AX386),AX386*DE386,0)</f>
        <v>0</v>
      </c>
      <c r="EV386" s="28" t="n">
        <f aca="false">IF(ISNUMBER(BB386),BB386*DF386,0)</f>
        <v>0</v>
      </c>
      <c r="EW386" s="28" t="n">
        <f aca="false">IF(ISNUMBER(BF386),BF386*DG386,0)</f>
        <v>0</v>
      </c>
      <c r="EX386" s="28" t="n">
        <f aca="false">IF(ISNUMBER(BJ386),BJ386*DH386,0)</f>
        <v>0</v>
      </c>
      <c r="EY386" s="28" t="n">
        <f aca="false">IF(ISNUMBER(BN386),BN386*DI386,0)</f>
        <v>0</v>
      </c>
      <c r="EZ386" s="28" t="n">
        <f aca="false">IF(ISNUMBER(BR386),BR386*DJ386,0)</f>
        <v>0</v>
      </c>
      <c r="FA386" s="28" t="n">
        <f aca="false">IF(ISNUMBER(R386),CW386,0)</f>
        <v>0</v>
      </c>
      <c r="FB386" s="28" t="n">
        <f aca="false">IF(ISNUMBER(V386),CX386,0)</f>
        <v>0</v>
      </c>
      <c r="FC386" s="28" t="n">
        <f aca="false">IF(ISNUMBER(Z386),CY386,0)</f>
        <v>0</v>
      </c>
      <c r="FD386" s="28" t="n">
        <f aca="false">IF(ISNUMBER(AD386),CZ386,0)</f>
        <v>0</v>
      </c>
      <c r="FE386" s="28" t="n">
        <f aca="false">IF(ISNUMBER(AH386),DA386,0)</f>
        <v>0</v>
      </c>
      <c r="FF386" s="28" t="n">
        <f aca="false">IF(ISNUMBER(AL386),DB386,0)</f>
        <v>0</v>
      </c>
      <c r="FG386" s="28" t="n">
        <f aca="false">IF(ISNUMBER(AP386),DC386,0)</f>
        <v>0</v>
      </c>
      <c r="FH386" s="28" t="n">
        <f aca="false">IF(ISNUMBER(AT386),DD386,0)</f>
        <v>0</v>
      </c>
      <c r="FI386" s="28" t="n">
        <f aca="false">IF(ISNUMBER(AX386),DE386,0)</f>
        <v>0</v>
      </c>
      <c r="FJ386" s="28" t="n">
        <f aca="false">IF(ISNUMBER(BB386),DF386,0)</f>
        <v>0</v>
      </c>
      <c r="FK386" s="28" t="n">
        <f aca="false">IF(ISNUMBER(BF386),DG386,0)</f>
        <v>0</v>
      </c>
      <c r="FL386" s="28" t="n">
        <f aca="false">IF(ISNUMBER(BJ386),DH386,0)</f>
        <v>0</v>
      </c>
      <c r="FM386" s="28" t="n">
        <f aca="false">IF(ISNUMBER(BN386),DI386,0)</f>
        <v>0</v>
      </c>
      <c r="FN386" s="28" t="n">
        <f aca="false">IF(ISNUMBER(BR386),DJ386,0)</f>
        <v>0</v>
      </c>
      <c r="FO386" s="28" t="str">
        <f aca="false">IFERROR(INDEX(Lists!$G$2:$G$20,MATCH($I386&amp;"|"&amp;$J386,Lists!$F$2:$F$20,0)),"")</f>
        <v/>
      </c>
    </row>
    <row r="387" customFormat="false" ht="19.5" hidden="false" customHeight="true" outlineLevel="0" collapsed="false">
      <c r="A387" s="29"/>
      <c r="B387" s="29"/>
      <c r="C387" s="30"/>
      <c r="D387" s="30"/>
      <c r="E387" s="31"/>
      <c r="F387" s="30"/>
      <c r="G387" s="30"/>
      <c r="H387" s="32"/>
      <c r="I387" s="33"/>
      <c r="J387" s="32"/>
      <c r="K387" s="34" t="str">
        <f aca="false">IF(OR(M387="",$E387=""),"",M387-$E387)</f>
        <v/>
      </c>
      <c r="L387" s="35" t="str">
        <f aca="false">IF(SUM(FA387:FN387)=0,"",SUM(EM387:EZ387)/SUM(FA387:FN387))</f>
        <v/>
      </c>
      <c r="M387" s="36" t="str">
        <f aca="false">IF(OR(L387="",FO387=""),"",IFERROR(MATCH(L387,INDEX(Boundaries!$B$2:$I$30,MATCH(FO387,Boundaries!$A$2:$A$30,0),0),1)-1,""))</f>
        <v/>
      </c>
      <c r="N387" s="37" t="str">
        <f aca="false">IF(COUNT($DY387:$EL387)&lt;2,"",INDEX($DK387:$DX387,MAX($DY387:$EL387))-INDEX($DK387:$DX387,MIN($DY387:$EL387)))</f>
        <v/>
      </c>
      <c r="O387" s="37" t="str">
        <f aca="false">IF(COUNT($DY387:$EL387)&lt;2,"",INDEX($DK387:$DX387,MAX($DY387:$EL387))-INDEX($DK387:$DX387,LARGE($DY387:$EL387,2)))</f>
        <v/>
      </c>
      <c r="P387" s="38" t="str">
        <f aca="false">IF(K387="","",IF(K387&gt;=0,"On/above target",IF(AND(N387&lt;&gt;"",N387&gt;=0.5),"Improving towards target",IF(AND(O387&lt;&gt;"",O387&lt;=-0.5),"Declining","Stable below target"))))</f>
        <v/>
      </c>
      <c r="Q387" s="39"/>
      <c r="R387" s="40" t="str">
        <f aca="false">IF(OR(Q387="",BU387=""),"",Q387/BU387*100)</f>
        <v/>
      </c>
      <c r="S387" s="41" t="str">
        <f aca="false">IF(R387="","",IFERROR(MATCH(R387,INDEX(Boundaries!$B$2:$I$30,MATCH(CI387,Boundaries!$A$2:$A$30,0),0),1)-1,""))</f>
        <v/>
      </c>
      <c r="T387" s="42" t="str">
        <f aca="false">IF(OR(S387="",$E387=""),"",S387-$E387)</f>
        <v/>
      </c>
      <c r="U387" s="39"/>
      <c r="V387" s="40" t="str">
        <f aca="false">IF(OR(U387="",BV387=""),"",U387/BV387*100)</f>
        <v/>
      </c>
      <c r="W387" s="41" t="str">
        <f aca="false">IF(V387="","",IFERROR(MATCH(V387,INDEX(Boundaries!$B$2:$I$30,MATCH(CJ387,Boundaries!$A$2:$A$30,0),0),1)-1,""))</f>
        <v/>
      </c>
      <c r="X387" s="42" t="str">
        <f aca="false">IF(OR(W387="",$E387=""),"",W387-$E387)</f>
        <v/>
      </c>
      <c r="Y387" s="39"/>
      <c r="Z387" s="40" t="str">
        <f aca="false">IF(OR(Y387="",BW387=""),"",Y387/BW387*100)</f>
        <v/>
      </c>
      <c r="AA387" s="41" t="str">
        <f aca="false">IF(Z387="","",IFERROR(MATCH(Z387,INDEX(Boundaries!$B$2:$I$30,MATCH(CK387,Boundaries!$A$2:$A$30,0),0),1)-1,""))</f>
        <v/>
      </c>
      <c r="AB387" s="42" t="str">
        <f aca="false">IF(OR(AA387="",$E387=""),"",AA387-$E387)</f>
        <v/>
      </c>
      <c r="AC387" s="39"/>
      <c r="AD387" s="40" t="str">
        <f aca="false">IF(OR(AC387="",BX387=""),"",AC387/BX387*100)</f>
        <v/>
      </c>
      <c r="AE387" s="41" t="str">
        <f aca="false">IF(AD387="","",IFERROR(MATCH(AD387,INDEX(Boundaries!$B$2:$I$30,MATCH(CL387,Boundaries!$A$2:$A$30,0),0),1)-1,""))</f>
        <v/>
      </c>
      <c r="AF387" s="42" t="str">
        <f aca="false">IF(OR(AE387="",$E387=""),"",AE387-$E387)</f>
        <v/>
      </c>
      <c r="AG387" s="39"/>
      <c r="AH387" s="40" t="str">
        <f aca="false">IF(OR(AG387="",BY387=""),"",AG387/BY387*100)</f>
        <v/>
      </c>
      <c r="AI387" s="41" t="str">
        <f aca="false">IF(AH387="","",IFERROR(MATCH(AH387,INDEX(Boundaries!$B$2:$I$30,MATCH(CM387,Boundaries!$A$2:$A$30,0),0),1)-1,""))</f>
        <v/>
      </c>
      <c r="AJ387" s="42" t="str">
        <f aca="false">IF(OR(AI387="",$E387=""),"",AI387-$E387)</f>
        <v/>
      </c>
      <c r="AK387" s="39"/>
      <c r="AL387" s="40" t="str">
        <f aca="false">IF(OR(AK387="",BZ387=""),"",AK387/BZ387*100)</f>
        <v/>
      </c>
      <c r="AM387" s="41" t="str">
        <f aca="false">IF(AL387="","",IFERROR(MATCH(AL387,INDEX(Boundaries!$B$2:$I$30,MATCH(CN387,Boundaries!$A$2:$A$30,0),0),1)-1,""))</f>
        <v/>
      </c>
      <c r="AN387" s="42" t="str">
        <f aca="false">IF(OR(AM387="",$E387=""),"",AM387-$E387)</f>
        <v/>
      </c>
      <c r="AO387" s="39"/>
      <c r="AP387" s="40" t="str">
        <f aca="false">IF(OR(AO387="",CA387=""),"",AO387/CA387*100)</f>
        <v/>
      </c>
      <c r="AQ387" s="41" t="str">
        <f aca="false">IF(AP387="","",IFERROR(MATCH(AP387,INDEX(Boundaries!$B$2:$I$30,MATCH(CO387,Boundaries!$A$2:$A$30,0),0),1)-1,""))</f>
        <v/>
      </c>
      <c r="AR387" s="42" t="str">
        <f aca="false">IF(OR(AQ387="",$E387=""),"",AQ387-$E387)</f>
        <v/>
      </c>
      <c r="AS387" s="39"/>
      <c r="AT387" s="40" t="str">
        <f aca="false">IF(OR(AS387="",CB387=""),"",AS387/CB387*100)</f>
        <v/>
      </c>
      <c r="AU387" s="41" t="str">
        <f aca="false">IF(AT387="","",IFERROR(MATCH(AT387,INDEX(Boundaries!$B$2:$I$30,MATCH(CP387,Boundaries!$A$2:$A$30,0),0),1)-1,""))</f>
        <v/>
      </c>
      <c r="AV387" s="42" t="str">
        <f aca="false">IF(OR(AU387="",$E387=""),"",AU387-$E387)</f>
        <v/>
      </c>
      <c r="AW387" s="39"/>
      <c r="AX387" s="40" t="str">
        <f aca="false">IF(OR(AW387="",CC387=""),"",AW387/CC387*100)</f>
        <v/>
      </c>
      <c r="AY387" s="41" t="str">
        <f aca="false">IF(AX387="","",IFERROR(MATCH(AX387,INDEX(Boundaries!$B$2:$I$30,MATCH(CQ387,Boundaries!$A$2:$A$30,0),0),1)-1,""))</f>
        <v/>
      </c>
      <c r="AZ387" s="42" t="str">
        <f aca="false">IF(OR(AY387="",$E387=""),"",AY387-$E387)</f>
        <v/>
      </c>
      <c r="BA387" s="39"/>
      <c r="BB387" s="40" t="str">
        <f aca="false">IF(OR(BA387="",CD387=""),"",BA387/CD387*100)</f>
        <v/>
      </c>
      <c r="BC387" s="41" t="str">
        <f aca="false">IF(BB387="","",IFERROR(MATCH(BB387,INDEX(Boundaries!$B$2:$I$30,MATCH(CR387,Boundaries!$A$2:$A$30,0),0),1)-1,""))</f>
        <v/>
      </c>
      <c r="BD387" s="42" t="str">
        <f aca="false">IF(OR(BC387="",$E387=""),"",BC387-$E387)</f>
        <v/>
      </c>
      <c r="BE387" s="39"/>
      <c r="BF387" s="40" t="str">
        <f aca="false">IF(OR(BE387="",CE387=""),"",BE387/CE387*100)</f>
        <v/>
      </c>
      <c r="BG387" s="41" t="str">
        <f aca="false">IF(BF387="","",IFERROR(MATCH(BF387,INDEX(Boundaries!$B$2:$I$30,MATCH(CS387,Boundaries!$A$2:$A$30,0),0),1)-1,""))</f>
        <v/>
      </c>
      <c r="BH387" s="42" t="str">
        <f aca="false">IF(OR(BG387="",$E387=""),"",BG387-$E387)</f>
        <v/>
      </c>
      <c r="BI387" s="39"/>
      <c r="BJ387" s="40" t="str">
        <f aca="false">IF(OR(BI387="",CF387=""),"",BI387/CF387*100)</f>
        <v/>
      </c>
      <c r="BK387" s="41" t="str">
        <f aca="false">IF(BJ387="","",IFERROR(MATCH(BJ387,INDEX(Boundaries!$B$2:$I$30,MATCH(CT387,Boundaries!$A$2:$A$30,0),0),1)-1,""))</f>
        <v/>
      </c>
      <c r="BL387" s="42" t="str">
        <f aca="false">IF(OR(BK387="",$E387=""),"",BK387-$E387)</f>
        <v/>
      </c>
      <c r="BM387" s="39"/>
      <c r="BN387" s="40" t="str">
        <f aca="false">IF(OR(BM387="",CG387=""),"",BM387/CG387*100)</f>
        <v/>
      </c>
      <c r="BO387" s="41" t="str">
        <f aca="false">IF(BN387="","",IFERROR(MATCH(BN387,INDEX(Boundaries!$B$2:$I$30,MATCH(CU387,Boundaries!$A$2:$A$30,0),0),1)-1,""))</f>
        <v/>
      </c>
      <c r="BP387" s="42" t="str">
        <f aca="false">IF(OR(BO387="",$E387=""),"",BO387-$E387)</f>
        <v/>
      </c>
      <c r="BQ387" s="39"/>
      <c r="BR387" s="40" t="str">
        <f aca="false">IF(OR(BQ387="",CH387=""),"",BQ387/CH387*100)</f>
        <v/>
      </c>
      <c r="BS387" s="41" t="str">
        <f aca="false">IF(BR387="","",IFERROR(MATCH(BR387,INDEX(Boundaries!$B$2:$I$30,MATCH(CV387,Boundaries!$A$2:$A$30,0),0),1)-1,""))</f>
        <v/>
      </c>
      <c r="BT387" s="42" t="str">
        <f aca="false">IF(OR(BS387="",$E387=""),"",BS387-$E387)</f>
        <v/>
      </c>
      <c r="BU387" s="28" t="str">
        <f aca="false">IFERROR(INDEX(Assessments!$H$2:$H$600,MATCH($H387&amp;"|"&amp;$I387&amp;"|"&amp;$J387&amp;"|"&amp;1,Assessments!$A$2:$A$600,0)),"")</f>
        <v/>
      </c>
      <c r="BV387" s="28" t="str">
        <f aca="false">IFERROR(INDEX(Assessments!$H$2:$H$600,MATCH($H387&amp;"|"&amp;$I387&amp;"|"&amp;$J387&amp;"|"&amp;2,Assessments!$A$2:$A$600,0)),"")</f>
        <v/>
      </c>
      <c r="BW387" s="28" t="str">
        <f aca="false">IFERROR(INDEX(Assessments!$H$2:$H$600,MATCH($H387&amp;"|"&amp;$I387&amp;"|"&amp;$J387&amp;"|"&amp;3,Assessments!$A$2:$A$600,0)),"")</f>
        <v/>
      </c>
      <c r="BX387" s="28" t="str">
        <f aca="false">IFERROR(INDEX(Assessments!$H$2:$H$600,MATCH($H387&amp;"|"&amp;$I387&amp;"|"&amp;$J387&amp;"|"&amp;4,Assessments!$A$2:$A$600,0)),"")</f>
        <v/>
      </c>
      <c r="BY387" s="28" t="str">
        <f aca="false">IFERROR(INDEX(Assessments!$H$2:$H$600,MATCH($H387&amp;"|"&amp;$I387&amp;"|"&amp;$J387&amp;"|"&amp;5,Assessments!$A$2:$A$600,0)),"")</f>
        <v/>
      </c>
      <c r="BZ387" s="28" t="str">
        <f aca="false">IFERROR(INDEX(Assessments!$H$2:$H$600,MATCH($H387&amp;"|"&amp;$I387&amp;"|"&amp;$J387&amp;"|"&amp;6,Assessments!$A$2:$A$600,0)),"")</f>
        <v/>
      </c>
      <c r="CA387" s="28" t="str">
        <f aca="false">IFERROR(INDEX(Assessments!$H$2:$H$600,MATCH($H387&amp;"|"&amp;$I387&amp;"|"&amp;$J387&amp;"|"&amp;7,Assessments!$A$2:$A$600,0)),"")</f>
        <v/>
      </c>
      <c r="CB387" s="28" t="str">
        <f aca="false">IFERROR(INDEX(Assessments!$H$2:$H$600,MATCH($H387&amp;"|"&amp;$I387&amp;"|"&amp;$J387&amp;"|"&amp;8,Assessments!$A$2:$A$600,0)),"")</f>
        <v/>
      </c>
      <c r="CC387" s="28" t="str">
        <f aca="false">IFERROR(INDEX(Assessments!$H$2:$H$600,MATCH($H387&amp;"|"&amp;$I387&amp;"|"&amp;$J387&amp;"|"&amp;9,Assessments!$A$2:$A$600,0)),"")</f>
        <v/>
      </c>
      <c r="CD387" s="28" t="str">
        <f aca="false">IFERROR(INDEX(Assessments!$H$2:$H$600,MATCH($H387&amp;"|"&amp;$I387&amp;"|"&amp;$J387&amp;"|"&amp;10,Assessments!$A$2:$A$600,0)),"")</f>
        <v/>
      </c>
      <c r="CE387" s="28" t="str">
        <f aca="false">IFERROR(INDEX(Assessments!$H$2:$H$600,MATCH($H387&amp;"|"&amp;$I387&amp;"|"&amp;$J387&amp;"|"&amp;11,Assessments!$A$2:$A$600,0)),"")</f>
        <v/>
      </c>
      <c r="CF387" s="28" t="str">
        <f aca="false">IFERROR(INDEX(Assessments!$H$2:$H$600,MATCH($H387&amp;"|"&amp;$I387&amp;"|"&amp;$J387&amp;"|"&amp;12,Assessments!$A$2:$A$600,0)),"")</f>
        <v/>
      </c>
      <c r="CG387" s="28" t="str">
        <f aca="false">IFERROR(INDEX(Assessments!$H$2:$H$600,MATCH($H387&amp;"|"&amp;$I387&amp;"|"&amp;$J387&amp;"|"&amp;13,Assessments!$A$2:$A$600,0)),"")</f>
        <v/>
      </c>
      <c r="CH387" s="28" t="str">
        <f aca="false">IFERROR(INDEX(Assessments!$H$2:$H$600,MATCH($H387&amp;"|"&amp;$I387&amp;"|"&amp;$J387&amp;"|"&amp;14,Assessments!$A$2:$A$600,0)),"")</f>
        <v/>
      </c>
      <c r="CI387" s="28" t="str">
        <f aca="false">IFERROR(INDEX(Assessments!$I$2:$I$600,MATCH($H387&amp;"|"&amp;$I387&amp;"|"&amp;$J387&amp;"|"&amp;1,Assessments!$A$2:$A$600,0)),"")</f>
        <v/>
      </c>
      <c r="CJ387" s="28" t="str">
        <f aca="false">IFERROR(INDEX(Assessments!$I$2:$I$600,MATCH($H387&amp;"|"&amp;$I387&amp;"|"&amp;$J387&amp;"|"&amp;2,Assessments!$A$2:$A$600,0)),"")</f>
        <v/>
      </c>
      <c r="CK387" s="28" t="str">
        <f aca="false">IFERROR(INDEX(Assessments!$I$2:$I$600,MATCH($H387&amp;"|"&amp;$I387&amp;"|"&amp;$J387&amp;"|"&amp;3,Assessments!$A$2:$A$600,0)),"")</f>
        <v/>
      </c>
      <c r="CL387" s="28" t="str">
        <f aca="false">IFERROR(INDEX(Assessments!$I$2:$I$600,MATCH($H387&amp;"|"&amp;$I387&amp;"|"&amp;$J387&amp;"|"&amp;4,Assessments!$A$2:$A$600,0)),"")</f>
        <v/>
      </c>
      <c r="CM387" s="28" t="str">
        <f aca="false">IFERROR(INDEX(Assessments!$I$2:$I$600,MATCH($H387&amp;"|"&amp;$I387&amp;"|"&amp;$J387&amp;"|"&amp;5,Assessments!$A$2:$A$600,0)),"")</f>
        <v/>
      </c>
      <c r="CN387" s="28" t="str">
        <f aca="false">IFERROR(INDEX(Assessments!$I$2:$I$600,MATCH($H387&amp;"|"&amp;$I387&amp;"|"&amp;$J387&amp;"|"&amp;6,Assessments!$A$2:$A$600,0)),"")</f>
        <v/>
      </c>
      <c r="CO387" s="28" t="str">
        <f aca="false">IFERROR(INDEX(Assessments!$I$2:$I$600,MATCH($H387&amp;"|"&amp;$I387&amp;"|"&amp;$J387&amp;"|"&amp;7,Assessments!$A$2:$A$600,0)),"")</f>
        <v/>
      </c>
      <c r="CP387" s="28" t="str">
        <f aca="false">IFERROR(INDEX(Assessments!$I$2:$I$600,MATCH($H387&amp;"|"&amp;$I387&amp;"|"&amp;$J387&amp;"|"&amp;8,Assessments!$A$2:$A$600,0)),"")</f>
        <v/>
      </c>
      <c r="CQ387" s="28" t="str">
        <f aca="false">IFERROR(INDEX(Assessments!$I$2:$I$600,MATCH($H387&amp;"|"&amp;$I387&amp;"|"&amp;$J387&amp;"|"&amp;9,Assessments!$A$2:$A$600,0)),"")</f>
        <v/>
      </c>
      <c r="CR387" s="28" t="str">
        <f aca="false">IFERROR(INDEX(Assessments!$I$2:$I$600,MATCH($H387&amp;"|"&amp;$I387&amp;"|"&amp;$J387&amp;"|"&amp;10,Assessments!$A$2:$A$600,0)),"")</f>
        <v/>
      </c>
      <c r="CS387" s="28" t="str">
        <f aca="false">IFERROR(INDEX(Assessments!$I$2:$I$600,MATCH($H387&amp;"|"&amp;$I387&amp;"|"&amp;$J387&amp;"|"&amp;11,Assessments!$A$2:$A$600,0)),"")</f>
        <v/>
      </c>
      <c r="CT387" s="28" t="str">
        <f aca="false">IFERROR(INDEX(Assessments!$I$2:$I$600,MATCH($H387&amp;"|"&amp;$I387&amp;"|"&amp;$J387&amp;"|"&amp;12,Assessments!$A$2:$A$600,0)),"")</f>
        <v/>
      </c>
      <c r="CU387" s="28" t="str">
        <f aca="false">IFERROR(INDEX(Assessments!$I$2:$I$600,MATCH($H387&amp;"|"&amp;$I387&amp;"|"&amp;$J387&amp;"|"&amp;13,Assessments!$A$2:$A$600,0)),"")</f>
        <v/>
      </c>
      <c r="CV387" s="28" t="str">
        <f aca="false">IFERROR(INDEX(Assessments!$I$2:$I$600,MATCH($H387&amp;"|"&amp;$I387&amp;"|"&amp;$J387&amp;"|"&amp;14,Assessments!$A$2:$A$600,0)),"")</f>
        <v/>
      </c>
      <c r="CW387" s="28" t="n">
        <f aca="false">IFERROR(INDEX(Assessments!$J$2:$J$600,MATCH($H387&amp;"|"&amp;$I387&amp;"|"&amp;$J387&amp;"|"&amp;1,Assessments!$A$2:$A$600,0)),0)</f>
        <v>0</v>
      </c>
      <c r="CX387" s="28" t="n">
        <f aca="false">IFERROR(INDEX(Assessments!$J$2:$J$600,MATCH($H387&amp;"|"&amp;$I387&amp;"|"&amp;$J387&amp;"|"&amp;2,Assessments!$A$2:$A$600,0)),0)</f>
        <v>0</v>
      </c>
      <c r="CY387" s="28" t="n">
        <f aca="false">IFERROR(INDEX(Assessments!$J$2:$J$600,MATCH($H387&amp;"|"&amp;$I387&amp;"|"&amp;$J387&amp;"|"&amp;3,Assessments!$A$2:$A$600,0)),0)</f>
        <v>0</v>
      </c>
      <c r="CZ387" s="28" t="n">
        <f aca="false">IFERROR(INDEX(Assessments!$J$2:$J$600,MATCH($H387&amp;"|"&amp;$I387&amp;"|"&amp;$J387&amp;"|"&amp;4,Assessments!$A$2:$A$600,0)),0)</f>
        <v>0</v>
      </c>
      <c r="DA387" s="28" t="n">
        <f aca="false">IFERROR(INDEX(Assessments!$J$2:$J$600,MATCH($H387&amp;"|"&amp;$I387&amp;"|"&amp;$J387&amp;"|"&amp;5,Assessments!$A$2:$A$600,0)),0)</f>
        <v>0</v>
      </c>
      <c r="DB387" s="28" t="n">
        <f aca="false">IFERROR(INDEX(Assessments!$J$2:$J$600,MATCH($H387&amp;"|"&amp;$I387&amp;"|"&amp;$J387&amp;"|"&amp;6,Assessments!$A$2:$A$600,0)),0)</f>
        <v>0</v>
      </c>
      <c r="DC387" s="28" t="n">
        <f aca="false">IFERROR(INDEX(Assessments!$J$2:$J$600,MATCH($H387&amp;"|"&amp;$I387&amp;"|"&amp;$J387&amp;"|"&amp;7,Assessments!$A$2:$A$600,0)),0)</f>
        <v>0</v>
      </c>
      <c r="DD387" s="28" t="n">
        <f aca="false">IFERROR(INDEX(Assessments!$J$2:$J$600,MATCH($H387&amp;"|"&amp;$I387&amp;"|"&amp;$J387&amp;"|"&amp;8,Assessments!$A$2:$A$600,0)),0)</f>
        <v>0</v>
      </c>
      <c r="DE387" s="28" t="n">
        <f aca="false">IFERROR(INDEX(Assessments!$J$2:$J$600,MATCH($H387&amp;"|"&amp;$I387&amp;"|"&amp;$J387&amp;"|"&amp;9,Assessments!$A$2:$A$600,0)),0)</f>
        <v>0</v>
      </c>
      <c r="DF387" s="28" t="n">
        <f aca="false">IFERROR(INDEX(Assessments!$J$2:$J$600,MATCH($H387&amp;"|"&amp;$I387&amp;"|"&amp;$J387&amp;"|"&amp;10,Assessments!$A$2:$A$600,0)),0)</f>
        <v>0</v>
      </c>
      <c r="DG387" s="28" t="n">
        <f aca="false">IFERROR(INDEX(Assessments!$J$2:$J$600,MATCH($H387&amp;"|"&amp;$I387&amp;"|"&amp;$J387&amp;"|"&amp;11,Assessments!$A$2:$A$600,0)),0)</f>
        <v>0</v>
      </c>
      <c r="DH387" s="28" t="n">
        <f aca="false">IFERROR(INDEX(Assessments!$J$2:$J$600,MATCH($H387&amp;"|"&amp;$I387&amp;"|"&amp;$J387&amp;"|"&amp;12,Assessments!$A$2:$A$600,0)),0)</f>
        <v>0</v>
      </c>
      <c r="DI387" s="28" t="n">
        <f aca="false">IFERROR(INDEX(Assessments!$J$2:$J$600,MATCH($H387&amp;"|"&amp;$I387&amp;"|"&amp;$J387&amp;"|"&amp;13,Assessments!$A$2:$A$600,0)),0)</f>
        <v>0</v>
      </c>
      <c r="DJ387" s="28" t="n">
        <f aca="false">IFERROR(INDEX(Assessments!$J$2:$J$600,MATCH($H387&amp;"|"&amp;$I387&amp;"|"&amp;$J387&amp;"|"&amp;14,Assessments!$A$2:$A$600,0)),0)</f>
        <v>0</v>
      </c>
      <c r="DK387" s="28" t="str">
        <f aca="false">S387</f>
        <v/>
      </c>
      <c r="DL387" s="28" t="str">
        <f aca="false">W387</f>
        <v/>
      </c>
      <c r="DM387" s="28" t="str">
        <f aca="false">AA387</f>
        <v/>
      </c>
      <c r="DN387" s="28" t="str">
        <f aca="false">AE387</f>
        <v/>
      </c>
      <c r="DO387" s="28" t="str">
        <f aca="false">AI387</f>
        <v/>
      </c>
      <c r="DP387" s="28" t="str">
        <f aca="false">AM387</f>
        <v/>
      </c>
      <c r="DQ387" s="28" t="str">
        <f aca="false">AQ387</f>
        <v/>
      </c>
      <c r="DR387" s="28" t="str">
        <f aca="false">AU387</f>
        <v/>
      </c>
      <c r="DS387" s="28" t="str">
        <f aca="false">AY387</f>
        <v/>
      </c>
      <c r="DT387" s="28" t="str">
        <f aca="false">BC387</f>
        <v/>
      </c>
      <c r="DU387" s="28" t="str">
        <f aca="false">BG387</f>
        <v/>
      </c>
      <c r="DV387" s="28" t="str">
        <f aca="false">BK387</f>
        <v/>
      </c>
      <c r="DW387" s="28" t="str">
        <f aca="false">BO387</f>
        <v/>
      </c>
      <c r="DX387" s="28" t="str">
        <f aca="false">BS387</f>
        <v/>
      </c>
      <c r="DY387" s="28" t="str">
        <f aca="false">IF(ISNUMBER(S387),1,"")</f>
        <v/>
      </c>
      <c r="DZ387" s="28" t="str">
        <f aca="false">IF(ISNUMBER(W387),2,"")</f>
        <v/>
      </c>
      <c r="EA387" s="28" t="str">
        <f aca="false">IF(ISNUMBER(AA387),3,"")</f>
        <v/>
      </c>
      <c r="EB387" s="28" t="str">
        <f aca="false">IF(ISNUMBER(AE387),4,"")</f>
        <v/>
      </c>
      <c r="EC387" s="28" t="str">
        <f aca="false">IF(ISNUMBER(AI387),5,"")</f>
        <v/>
      </c>
      <c r="ED387" s="28" t="str">
        <f aca="false">IF(ISNUMBER(AM387),6,"")</f>
        <v/>
      </c>
      <c r="EE387" s="28" t="str">
        <f aca="false">IF(ISNUMBER(AQ387),7,"")</f>
        <v/>
      </c>
      <c r="EF387" s="28" t="str">
        <f aca="false">IF(ISNUMBER(AU387),8,"")</f>
        <v/>
      </c>
      <c r="EG387" s="28" t="str">
        <f aca="false">IF(ISNUMBER(AY387),9,"")</f>
        <v/>
      </c>
      <c r="EH387" s="28" t="str">
        <f aca="false">IF(ISNUMBER(BC387),10,"")</f>
        <v/>
      </c>
      <c r="EI387" s="28" t="str">
        <f aca="false">IF(ISNUMBER(BG387),11,"")</f>
        <v/>
      </c>
      <c r="EJ387" s="28" t="str">
        <f aca="false">IF(ISNUMBER(BK387),12,"")</f>
        <v/>
      </c>
      <c r="EK387" s="28" t="str">
        <f aca="false">IF(ISNUMBER(BO387),13,"")</f>
        <v/>
      </c>
      <c r="EL387" s="28" t="str">
        <f aca="false">IF(ISNUMBER(BS387),14,"")</f>
        <v/>
      </c>
      <c r="EM387" s="28" t="n">
        <f aca="false">IF(ISNUMBER(R387),R387*CW387,0)</f>
        <v>0</v>
      </c>
      <c r="EN387" s="28" t="n">
        <f aca="false">IF(ISNUMBER(V387),V387*CX387,0)</f>
        <v>0</v>
      </c>
      <c r="EO387" s="28" t="n">
        <f aca="false">IF(ISNUMBER(Z387),Z387*CY387,0)</f>
        <v>0</v>
      </c>
      <c r="EP387" s="28" t="n">
        <f aca="false">IF(ISNUMBER(AD387),AD387*CZ387,0)</f>
        <v>0</v>
      </c>
      <c r="EQ387" s="28" t="n">
        <f aca="false">IF(ISNUMBER(AH387),AH387*DA387,0)</f>
        <v>0</v>
      </c>
      <c r="ER387" s="28" t="n">
        <f aca="false">IF(ISNUMBER(AL387),AL387*DB387,0)</f>
        <v>0</v>
      </c>
      <c r="ES387" s="28" t="n">
        <f aca="false">IF(ISNUMBER(AP387),AP387*DC387,0)</f>
        <v>0</v>
      </c>
      <c r="ET387" s="28" t="n">
        <f aca="false">IF(ISNUMBER(AT387),AT387*DD387,0)</f>
        <v>0</v>
      </c>
      <c r="EU387" s="28" t="n">
        <f aca="false">IF(ISNUMBER(AX387),AX387*DE387,0)</f>
        <v>0</v>
      </c>
      <c r="EV387" s="28" t="n">
        <f aca="false">IF(ISNUMBER(BB387),BB387*DF387,0)</f>
        <v>0</v>
      </c>
      <c r="EW387" s="28" t="n">
        <f aca="false">IF(ISNUMBER(BF387),BF387*DG387,0)</f>
        <v>0</v>
      </c>
      <c r="EX387" s="28" t="n">
        <f aca="false">IF(ISNUMBER(BJ387),BJ387*DH387,0)</f>
        <v>0</v>
      </c>
      <c r="EY387" s="28" t="n">
        <f aca="false">IF(ISNUMBER(BN387),BN387*DI387,0)</f>
        <v>0</v>
      </c>
      <c r="EZ387" s="28" t="n">
        <f aca="false">IF(ISNUMBER(BR387),BR387*DJ387,0)</f>
        <v>0</v>
      </c>
      <c r="FA387" s="28" t="n">
        <f aca="false">IF(ISNUMBER(R387),CW387,0)</f>
        <v>0</v>
      </c>
      <c r="FB387" s="28" t="n">
        <f aca="false">IF(ISNUMBER(V387),CX387,0)</f>
        <v>0</v>
      </c>
      <c r="FC387" s="28" t="n">
        <f aca="false">IF(ISNUMBER(Z387),CY387,0)</f>
        <v>0</v>
      </c>
      <c r="FD387" s="28" t="n">
        <f aca="false">IF(ISNUMBER(AD387),CZ387,0)</f>
        <v>0</v>
      </c>
      <c r="FE387" s="28" t="n">
        <f aca="false">IF(ISNUMBER(AH387),DA387,0)</f>
        <v>0</v>
      </c>
      <c r="FF387" s="28" t="n">
        <f aca="false">IF(ISNUMBER(AL387),DB387,0)</f>
        <v>0</v>
      </c>
      <c r="FG387" s="28" t="n">
        <f aca="false">IF(ISNUMBER(AP387),DC387,0)</f>
        <v>0</v>
      </c>
      <c r="FH387" s="28" t="n">
        <f aca="false">IF(ISNUMBER(AT387),DD387,0)</f>
        <v>0</v>
      </c>
      <c r="FI387" s="28" t="n">
        <f aca="false">IF(ISNUMBER(AX387),DE387,0)</f>
        <v>0</v>
      </c>
      <c r="FJ387" s="28" t="n">
        <f aca="false">IF(ISNUMBER(BB387),DF387,0)</f>
        <v>0</v>
      </c>
      <c r="FK387" s="28" t="n">
        <f aca="false">IF(ISNUMBER(BF387),DG387,0)</f>
        <v>0</v>
      </c>
      <c r="FL387" s="28" t="n">
        <f aca="false">IF(ISNUMBER(BJ387),DH387,0)</f>
        <v>0</v>
      </c>
      <c r="FM387" s="28" t="n">
        <f aca="false">IF(ISNUMBER(BN387),DI387,0)</f>
        <v>0</v>
      </c>
      <c r="FN387" s="28" t="n">
        <f aca="false">IF(ISNUMBER(BR387),DJ387,0)</f>
        <v>0</v>
      </c>
      <c r="FO387" s="28" t="str">
        <f aca="false">IFERROR(INDEX(Lists!$G$2:$G$20,MATCH($I387&amp;"|"&amp;$J387,Lists!$F$2:$F$20,0)),"")</f>
        <v/>
      </c>
    </row>
    <row r="388" customFormat="false" ht="19.5" hidden="false" customHeight="true" outlineLevel="0" collapsed="false">
      <c r="A388" s="29"/>
      <c r="B388" s="29"/>
      <c r="C388" s="30"/>
      <c r="D388" s="30"/>
      <c r="E388" s="31"/>
      <c r="F388" s="30"/>
      <c r="G388" s="30"/>
      <c r="H388" s="32"/>
      <c r="I388" s="33"/>
      <c r="J388" s="32"/>
      <c r="K388" s="34" t="str">
        <f aca="false">IF(OR(M388="",$E388=""),"",M388-$E388)</f>
        <v/>
      </c>
      <c r="L388" s="35" t="str">
        <f aca="false">IF(SUM(FA388:FN388)=0,"",SUM(EM388:EZ388)/SUM(FA388:FN388))</f>
        <v/>
      </c>
      <c r="M388" s="36" t="str">
        <f aca="false">IF(OR(L388="",FO388=""),"",IFERROR(MATCH(L388,INDEX(Boundaries!$B$2:$I$30,MATCH(FO388,Boundaries!$A$2:$A$30,0),0),1)-1,""))</f>
        <v/>
      </c>
      <c r="N388" s="37" t="str">
        <f aca="false">IF(COUNT($DY388:$EL388)&lt;2,"",INDEX($DK388:$DX388,MAX($DY388:$EL388))-INDEX($DK388:$DX388,MIN($DY388:$EL388)))</f>
        <v/>
      </c>
      <c r="O388" s="37" t="str">
        <f aca="false">IF(COUNT($DY388:$EL388)&lt;2,"",INDEX($DK388:$DX388,MAX($DY388:$EL388))-INDEX($DK388:$DX388,LARGE($DY388:$EL388,2)))</f>
        <v/>
      </c>
      <c r="P388" s="38" t="str">
        <f aca="false">IF(K388="","",IF(K388&gt;=0,"On/above target",IF(AND(N388&lt;&gt;"",N388&gt;=0.5),"Improving towards target",IF(AND(O388&lt;&gt;"",O388&lt;=-0.5),"Declining","Stable below target"))))</f>
        <v/>
      </c>
      <c r="Q388" s="39"/>
      <c r="R388" s="40" t="str">
        <f aca="false">IF(OR(Q388="",BU388=""),"",Q388/BU388*100)</f>
        <v/>
      </c>
      <c r="S388" s="41" t="str">
        <f aca="false">IF(R388="","",IFERROR(MATCH(R388,INDEX(Boundaries!$B$2:$I$30,MATCH(CI388,Boundaries!$A$2:$A$30,0),0),1)-1,""))</f>
        <v/>
      </c>
      <c r="T388" s="42" t="str">
        <f aca="false">IF(OR(S388="",$E388=""),"",S388-$E388)</f>
        <v/>
      </c>
      <c r="U388" s="39"/>
      <c r="V388" s="40" t="str">
        <f aca="false">IF(OR(U388="",BV388=""),"",U388/BV388*100)</f>
        <v/>
      </c>
      <c r="W388" s="41" t="str">
        <f aca="false">IF(V388="","",IFERROR(MATCH(V388,INDEX(Boundaries!$B$2:$I$30,MATCH(CJ388,Boundaries!$A$2:$A$30,0),0),1)-1,""))</f>
        <v/>
      </c>
      <c r="X388" s="42" t="str">
        <f aca="false">IF(OR(W388="",$E388=""),"",W388-$E388)</f>
        <v/>
      </c>
      <c r="Y388" s="39"/>
      <c r="Z388" s="40" t="str">
        <f aca="false">IF(OR(Y388="",BW388=""),"",Y388/BW388*100)</f>
        <v/>
      </c>
      <c r="AA388" s="41" t="str">
        <f aca="false">IF(Z388="","",IFERROR(MATCH(Z388,INDEX(Boundaries!$B$2:$I$30,MATCH(CK388,Boundaries!$A$2:$A$30,0),0),1)-1,""))</f>
        <v/>
      </c>
      <c r="AB388" s="42" t="str">
        <f aca="false">IF(OR(AA388="",$E388=""),"",AA388-$E388)</f>
        <v/>
      </c>
      <c r="AC388" s="39"/>
      <c r="AD388" s="40" t="str">
        <f aca="false">IF(OR(AC388="",BX388=""),"",AC388/BX388*100)</f>
        <v/>
      </c>
      <c r="AE388" s="41" t="str">
        <f aca="false">IF(AD388="","",IFERROR(MATCH(AD388,INDEX(Boundaries!$B$2:$I$30,MATCH(CL388,Boundaries!$A$2:$A$30,0),0),1)-1,""))</f>
        <v/>
      </c>
      <c r="AF388" s="42" t="str">
        <f aca="false">IF(OR(AE388="",$E388=""),"",AE388-$E388)</f>
        <v/>
      </c>
      <c r="AG388" s="39"/>
      <c r="AH388" s="40" t="str">
        <f aca="false">IF(OR(AG388="",BY388=""),"",AG388/BY388*100)</f>
        <v/>
      </c>
      <c r="AI388" s="41" t="str">
        <f aca="false">IF(AH388="","",IFERROR(MATCH(AH388,INDEX(Boundaries!$B$2:$I$30,MATCH(CM388,Boundaries!$A$2:$A$30,0),0),1)-1,""))</f>
        <v/>
      </c>
      <c r="AJ388" s="42" t="str">
        <f aca="false">IF(OR(AI388="",$E388=""),"",AI388-$E388)</f>
        <v/>
      </c>
      <c r="AK388" s="39"/>
      <c r="AL388" s="40" t="str">
        <f aca="false">IF(OR(AK388="",BZ388=""),"",AK388/BZ388*100)</f>
        <v/>
      </c>
      <c r="AM388" s="41" t="str">
        <f aca="false">IF(AL388="","",IFERROR(MATCH(AL388,INDEX(Boundaries!$B$2:$I$30,MATCH(CN388,Boundaries!$A$2:$A$30,0),0),1)-1,""))</f>
        <v/>
      </c>
      <c r="AN388" s="42" t="str">
        <f aca="false">IF(OR(AM388="",$E388=""),"",AM388-$E388)</f>
        <v/>
      </c>
      <c r="AO388" s="39"/>
      <c r="AP388" s="40" t="str">
        <f aca="false">IF(OR(AO388="",CA388=""),"",AO388/CA388*100)</f>
        <v/>
      </c>
      <c r="AQ388" s="41" t="str">
        <f aca="false">IF(AP388="","",IFERROR(MATCH(AP388,INDEX(Boundaries!$B$2:$I$30,MATCH(CO388,Boundaries!$A$2:$A$30,0),0),1)-1,""))</f>
        <v/>
      </c>
      <c r="AR388" s="42" t="str">
        <f aca="false">IF(OR(AQ388="",$E388=""),"",AQ388-$E388)</f>
        <v/>
      </c>
      <c r="AS388" s="39"/>
      <c r="AT388" s="40" t="str">
        <f aca="false">IF(OR(AS388="",CB388=""),"",AS388/CB388*100)</f>
        <v/>
      </c>
      <c r="AU388" s="41" t="str">
        <f aca="false">IF(AT388="","",IFERROR(MATCH(AT388,INDEX(Boundaries!$B$2:$I$30,MATCH(CP388,Boundaries!$A$2:$A$30,0),0),1)-1,""))</f>
        <v/>
      </c>
      <c r="AV388" s="42" t="str">
        <f aca="false">IF(OR(AU388="",$E388=""),"",AU388-$E388)</f>
        <v/>
      </c>
      <c r="AW388" s="39"/>
      <c r="AX388" s="40" t="str">
        <f aca="false">IF(OR(AW388="",CC388=""),"",AW388/CC388*100)</f>
        <v/>
      </c>
      <c r="AY388" s="41" t="str">
        <f aca="false">IF(AX388="","",IFERROR(MATCH(AX388,INDEX(Boundaries!$B$2:$I$30,MATCH(CQ388,Boundaries!$A$2:$A$30,0),0),1)-1,""))</f>
        <v/>
      </c>
      <c r="AZ388" s="42" t="str">
        <f aca="false">IF(OR(AY388="",$E388=""),"",AY388-$E388)</f>
        <v/>
      </c>
      <c r="BA388" s="39"/>
      <c r="BB388" s="40" t="str">
        <f aca="false">IF(OR(BA388="",CD388=""),"",BA388/CD388*100)</f>
        <v/>
      </c>
      <c r="BC388" s="41" t="str">
        <f aca="false">IF(BB388="","",IFERROR(MATCH(BB388,INDEX(Boundaries!$B$2:$I$30,MATCH(CR388,Boundaries!$A$2:$A$30,0),0),1)-1,""))</f>
        <v/>
      </c>
      <c r="BD388" s="42" t="str">
        <f aca="false">IF(OR(BC388="",$E388=""),"",BC388-$E388)</f>
        <v/>
      </c>
      <c r="BE388" s="39"/>
      <c r="BF388" s="40" t="str">
        <f aca="false">IF(OR(BE388="",CE388=""),"",BE388/CE388*100)</f>
        <v/>
      </c>
      <c r="BG388" s="41" t="str">
        <f aca="false">IF(BF388="","",IFERROR(MATCH(BF388,INDEX(Boundaries!$B$2:$I$30,MATCH(CS388,Boundaries!$A$2:$A$30,0),0),1)-1,""))</f>
        <v/>
      </c>
      <c r="BH388" s="42" t="str">
        <f aca="false">IF(OR(BG388="",$E388=""),"",BG388-$E388)</f>
        <v/>
      </c>
      <c r="BI388" s="39"/>
      <c r="BJ388" s="40" t="str">
        <f aca="false">IF(OR(BI388="",CF388=""),"",BI388/CF388*100)</f>
        <v/>
      </c>
      <c r="BK388" s="41" t="str">
        <f aca="false">IF(BJ388="","",IFERROR(MATCH(BJ388,INDEX(Boundaries!$B$2:$I$30,MATCH(CT388,Boundaries!$A$2:$A$30,0),0),1)-1,""))</f>
        <v/>
      </c>
      <c r="BL388" s="42" t="str">
        <f aca="false">IF(OR(BK388="",$E388=""),"",BK388-$E388)</f>
        <v/>
      </c>
      <c r="BM388" s="39"/>
      <c r="BN388" s="40" t="str">
        <f aca="false">IF(OR(BM388="",CG388=""),"",BM388/CG388*100)</f>
        <v/>
      </c>
      <c r="BO388" s="41" t="str">
        <f aca="false">IF(BN388="","",IFERROR(MATCH(BN388,INDEX(Boundaries!$B$2:$I$30,MATCH(CU388,Boundaries!$A$2:$A$30,0),0),1)-1,""))</f>
        <v/>
      </c>
      <c r="BP388" s="42" t="str">
        <f aca="false">IF(OR(BO388="",$E388=""),"",BO388-$E388)</f>
        <v/>
      </c>
      <c r="BQ388" s="39"/>
      <c r="BR388" s="40" t="str">
        <f aca="false">IF(OR(BQ388="",CH388=""),"",BQ388/CH388*100)</f>
        <v/>
      </c>
      <c r="BS388" s="41" t="str">
        <f aca="false">IF(BR388="","",IFERROR(MATCH(BR388,INDEX(Boundaries!$B$2:$I$30,MATCH(CV388,Boundaries!$A$2:$A$30,0),0),1)-1,""))</f>
        <v/>
      </c>
      <c r="BT388" s="42" t="str">
        <f aca="false">IF(OR(BS388="",$E388=""),"",BS388-$E388)</f>
        <v/>
      </c>
      <c r="BU388" s="28" t="str">
        <f aca="false">IFERROR(INDEX(Assessments!$H$2:$H$600,MATCH($H388&amp;"|"&amp;$I388&amp;"|"&amp;$J388&amp;"|"&amp;1,Assessments!$A$2:$A$600,0)),"")</f>
        <v/>
      </c>
      <c r="BV388" s="28" t="str">
        <f aca="false">IFERROR(INDEX(Assessments!$H$2:$H$600,MATCH($H388&amp;"|"&amp;$I388&amp;"|"&amp;$J388&amp;"|"&amp;2,Assessments!$A$2:$A$600,0)),"")</f>
        <v/>
      </c>
      <c r="BW388" s="28" t="str">
        <f aca="false">IFERROR(INDEX(Assessments!$H$2:$H$600,MATCH($H388&amp;"|"&amp;$I388&amp;"|"&amp;$J388&amp;"|"&amp;3,Assessments!$A$2:$A$600,0)),"")</f>
        <v/>
      </c>
      <c r="BX388" s="28" t="str">
        <f aca="false">IFERROR(INDEX(Assessments!$H$2:$H$600,MATCH($H388&amp;"|"&amp;$I388&amp;"|"&amp;$J388&amp;"|"&amp;4,Assessments!$A$2:$A$600,0)),"")</f>
        <v/>
      </c>
      <c r="BY388" s="28" t="str">
        <f aca="false">IFERROR(INDEX(Assessments!$H$2:$H$600,MATCH($H388&amp;"|"&amp;$I388&amp;"|"&amp;$J388&amp;"|"&amp;5,Assessments!$A$2:$A$600,0)),"")</f>
        <v/>
      </c>
      <c r="BZ388" s="28" t="str">
        <f aca="false">IFERROR(INDEX(Assessments!$H$2:$H$600,MATCH($H388&amp;"|"&amp;$I388&amp;"|"&amp;$J388&amp;"|"&amp;6,Assessments!$A$2:$A$600,0)),"")</f>
        <v/>
      </c>
      <c r="CA388" s="28" t="str">
        <f aca="false">IFERROR(INDEX(Assessments!$H$2:$H$600,MATCH($H388&amp;"|"&amp;$I388&amp;"|"&amp;$J388&amp;"|"&amp;7,Assessments!$A$2:$A$600,0)),"")</f>
        <v/>
      </c>
      <c r="CB388" s="28" t="str">
        <f aca="false">IFERROR(INDEX(Assessments!$H$2:$H$600,MATCH($H388&amp;"|"&amp;$I388&amp;"|"&amp;$J388&amp;"|"&amp;8,Assessments!$A$2:$A$600,0)),"")</f>
        <v/>
      </c>
      <c r="CC388" s="28" t="str">
        <f aca="false">IFERROR(INDEX(Assessments!$H$2:$H$600,MATCH($H388&amp;"|"&amp;$I388&amp;"|"&amp;$J388&amp;"|"&amp;9,Assessments!$A$2:$A$600,0)),"")</f>
        <v/>
      </c>
      <c r="CD388" s="28" t="str">
        <f aca="false">IFERROR(INDEX(Assessments!$H$2:$H$600,MATCH($H388&amp;"|"&amp;$I388&amp;"|"&amp;$J388&amp;"|"&amp;10,Assessments!$A$2:$A$600,0)),"")</f>
        <v/>
      </c>
      <c r="CE388" s="28" t="str">
        <f aca="false">IFERROR(INDEX(Assessments!$H$2:$H$600,MATCH($H388&amp;"|"&amp;$I388&amp;"|"&amp;$J388&amp;"|"&amp;11,Assessments!$A$2:$A$600,0)),"")</f>
        <v/>
      </c>
      <c r="CF388" s="28" t="str">
        <f aca="false">IFERROR(INDEX(Assessments!$H$2:$H$600,MATCH($H388&amp;"|"&amp;$I388&amp;"|"&amp;$J388&amp;"|"&amp;12,Assessments!$A$2:$A$600,0)),"")</f>
        <v/>
      </c>
      <c r="CG388" s="28" t="str">
        <f aca="false">IFERROR(INDEX(Assessments!$H$2:$H$600,MATCH($H388&amp;"|"&amp;$I388&amp;"|"&amp;$J388&amp;"|"&amp;13,Assessments!$A$2:$A$600,0)),"")</f>
        <v/>
      </c>
      <c r="CH388" s="28" t="str">
        <f aca="false">IFERROR(INDEX(Assessments!$H$2:$H$600,MATCH($H388&amp;"|"&amp;$I388&amp;"|"&amp;$J388&amp;"|"&amp;14,Assessments!$A$2:$A$600,0)),"")</f>
        <v/>
      </c>
      <c r="CI388" s="28" t="str">
        <f aca="false">IFERROR(INDEX(Assessments!$I$2:$I$600,MATCH($H388&amp;"|"&amp;$I388&amp;"|"&amp;$J388&amp;"|"&amp;1,Assessments!$A$2:$A$600,0)),"")</f>
        <v/>
      </c>
      <c r="CJ388" s="28" t="str">
        <f aca="false">IFERROR(INDEX(Assessments!$I$2:$I$600,MATCH($H388&amp;"|"&amp;$I388&amp;"|"&amp;$J388&amp;"|"&amp;2,Assessments!$A$2:$A$600,0)),"")</f>
        <v/>
      </c>
      <c r="CK388" s="28" t="str">
        <f aca="false">IFERROR(INDEX(Assessments!$I$2:$I$600,MATCH($H388&amp;"|"&amp;$I388&amp;"|"&amp;$J388&amp;"|"&amp;3,Assessments!$A$2:$A$600,0)),"")</f>
        <v/>
      </c>
      <c r="CL388" s="28" t="str">
        <f aca="false">IFERROR(INDEX(Assessments!$I$2:$I$600,MATCH($H388&amp;"|"&amp;$I388&amp;"|"&amp;$J388&amp;"|"&amp;4,Assessments!$A$2:$A$600,0)),"")</f>
        <v/>
      </c>
      <c r="CM388" s="28" t="str">
        <f aca="false">IFERROR(INDEX(Assessments!$I$2:$I$600,MATCH($H388&amp;"|"&amp;$I388&amp;"|"&amp;$J388&amp;"|"&amp;5,Assessments!$A$2:$A$600,0)),"")</f>
        <v/>
      </c>
      <c r="CN388" s="28" t="str">
        <f aca="false">IFERROR(INDEX(Assessments!$I$2:$I$600,MATCH($H388&amp;"|"&amp;$I388&amp;"|"&amp;$J388&amp;"|"&amp;6,Assessments!$A$2:$A$600,0)),"")</f>
        <v/>
      </c>
      <c r="CO388" s="28" t="str">
        <f aca="false">IFERROR(INDEX(Assessments!$I$2:$I$600,MATCH($H388&amp;"|"&amp;$I388&amp;"|"&amp;$J388&amp;"|"&amp;7,Assessments!$A$2:$A$600,0)),"")</f>
        <v/>
      </c>
      <c r="CP388" s="28" t="str">
        <f aca="false">IFERROR(INDEX(Assessments!$I$2:$I$600,MATCH($H388&amp;"|"&amp;$I388&amp;"|"&amp;$J388&amp;"|"&amp;8,Assessments!$A$2:$A$600,0)),"")</f>
        <v/>
      </c>
      <c r="CQ388" s="28" t="str">
        <f aca="false">IFERROR(INDEX(Assessments!$I$2:$I$600,MATCH($H388&amp;"|"&amp;$I388&amp;"|"&amp;$J388&amp;"|"&amp;9,Assessments!$A$2:$A$600,0)),"")</f>
        <v/>
      </c>
      <c r="CR388" s="28" t="str">
        <f aca="false">IFERROR(INDEX(Assessments!$I$2:$I$600,MATCH($H388&amp;"|"&amp;$I388&amp;"|"&amp;$J388&amp;"|"&amp;10,Assessments!$A$2:$A$600,0)),"")</f>
        <v/>
      </c>
      <c r="CS388" s="28" t="str">
        <f aca="false">IFERROR(INDEX(Assessments!$I$2:$I$600,MATCH($H388&amp;"|"&amp;$I388&amp;"|"&amp;$J388&amp;"|"&amp;11,Assessments!$A$2:$A$600,0)),"")</f>
        <v/>
      </c>
      <c r="CT388" s="28" t="str">
        <f aca="false">IFERROR(INDEX(Assessments!$I$2:$I$600,MATCH($H388&amp;"|"&amp;$I388&amp;"|"&amp;$J388&amp;"|"&amp;12,Assessments!$A$2:$A$600,0)),"")</f>
        <v/>
      </c>
      <c r="CU388" s="28" t="str">
        <f aca="false">IFERROR(INDEX(Assessments!$I$2:$I$600,MATCH($H388&amp;"|"&amp;$I388&amp;"|"&amp;$J388&amp;"|"&amp;13,Assessments!$A$2:$A$600,0)),"")</f>
        <v/>
      </c>
      <c r="CV388" s="28" t="str">
        <f aca="false">IFERROR(INDEX(Assessments!$I$2:$I$600,MATCH($H388&amp;"|"&amp;$I388&amp;"|"&amp;$J388&amp;"|"&amp;14,Assessments!$A$2:$A$600,0)),"")</f>
        <v/>
      </c>
      <c r="CW388" s="28" t="n">
        <f aca="false">IFERROR(INDEX(Assessments!$J$2:$J$600,MATCH($H388&amp;"|"&amp;$I388&amp;"|"&amp;$J388&amp;"|"&amp;1,Assessments!$A$2:$A$600,0)),0)</f>
        <v>0</v>
      </c>
      <c r="CX388" s="28" t="n">
        <f aca="false">IFERROR(INDEX(Assessments!$J$2:$J$600,MATCH($H388&amp;"|"&amp;$I388&amp;"|"&amp;$J388&amp;"|"&amp;2,Assessments!$A$2:$A$600,0)),0)</f>
        <v>0</v>
      </c>
      <c r="CY388" s="28" t="n">
        <f aca="false">IFERROR(INDEX(Assessments!$J$2:$J$600,MATCH($H388&amp;"|"&amp;$I388&amp;"|"&amp;$J388&amp;"|"&amp;3,Assessments!$A$2:$A$600,0)),0)</f>
        <v>0</v>
      </c>
      <c r="CZ388" s="28" t="n">
        <f aca="false">IFERROR(INDEX(Assessments!$J$2:$J$600,MATCH($H388&amp;"|"&amp;$I388&amp;"|"&amp;$J388&amp;"|"&amp;4,Assessments!$A$2:$A$600,0)),0)</f>
        <v>0</v>
      </c>
      <c r="DA388" s="28" t="n">
        <f aca="false">IFERROR(INDEX(Assessments!$J$2:$J$600,MATCH($H388&amp;"|"&amp;$I388&amp;"|"&amp;$J388&amp;"|"&amp;5,Assessments!$A$2:$A$600,0)),0)</f>
        <v>0</v>
      </c>
      <c r="DB388" s="28" t="n">
        <f aca="false">IFERROR(INDEX(Assessments!$J$2:$J$600,MATCH($H388&amp;"|"&amp;$I388&amp;"|"&amp;$J388&amp;"|"&amp;6,Assessments!$A$2:$A$600,0)),0)</f>
        <v>0</v>
      </c>
      <c r="DC388" s="28" t="n">
        <f aca="false">IFERROR(INDEX(Assessments!$J$2:$J$600,MATCH($H388&amp;"|"&amp;$I388&amp;"|"&amp;$J388&amp;"|"&amp;7,Assessments!$A$2:$A$600,0)),0)</f>
        <v>0</v>
      </c>
      <c r="DD388" s="28" t="n">
        <f aca="false">IFERROR(INDEX(Assessments!$J$2:$J$600,MATCH($H388&amp;"|"&amp;$I388&amp;"|"&amp;$J388&amp;"|"&amp;8,Assessments!$A$2:$A$600,0)),0)</f>
        <v>0</v>
      </c>
      <c r="DE388" s="28" t="n">
        <f aca="false">IFERROR(INDEX(Assessments!$J$2:$J$600,MATCH($H388&amp;"|"&amp;$I388&amp;"|"&amp;$J388&amp;"|"&amp;9,Assessments!$A$2:$A$600,0)),0)</f>
        <v>0</v>
      </c>
      <c r="DF388" s="28" t="n">
        <f aca="false">IFERROR(INDEX(Assessments!$J$2:$J$600,MATCH($H388&amp;"|"&amp;$I388&amp;"|"&amp;$J388&amp;"|"&amp;10,Assessments!$A$2:$A$600,0)),0)</f>
        <v>0</v>
      </c>
      <c r="DG388" s="28" t="n">
        <f aca="false">IFERROR(INDEX(Assessments!$J$2:$J$600,MATCH($H388&amp;"|"&amp;$I388&amp;"|"&amp;$J388&amp;"|"&amp;11,Assessments!$A$2:$A$600,0)),0)</f>
        <v>0</v>
      </c>
      <c r="DH388" s="28" t="n">
        <f aca="false">IFERROR(INDEX(Assessments!$J$2:$J$600,MATCH($H388&amp;"|"&amp;$I388&amp;"|"&amp;$J388&amp;"|"&amp;12,Assessments!$A$2:$A$600,0)),0)</f>
        <v>0</v>
      </c>
      <c r="DI388" s="28" t="n">
        <f aca="false">IFERROR(INDEX(Assessments!$J$2:$J$600,MATCH($H388&amp;"|"&amp;$I388&amp;"|"&amp;$J388&amp;"|"&amp;13,Assessments!$A$2:$A$600,0)),0)</f>
        <v>0</v>
      </c>
      <c r="DJ388" s="28" t="n">
        <f aca="false">IFERROR(INDEX(Assessments!$J$2:$J$600,MATCH($H388&amp;"|"&amp;$I388&amp;"|"&amp;$J388&amp;"|"&amp;14,Assessments!$A$2:$A$600,0)),0)</f>
        <v>0</v>
      </c>
      <c r="DK388" s="28" t="str">
        <f aca="false">S388</f>
        <v/>
      </c>
      <c r="DL388" s="28" t="str">
        <f aca="false">W388</f>
        <v/>
      </c>
      <c r="DM388" s="28" t="str">
        <f aca="false">AA388</f>
        <v/>
      </c>
      <c r="DN388" s="28" t="str">
        <f aca="false">AE388</f>
        <v/>
      </c>
      <c r="DO388" s="28" t="str">
        <f aca="false">AI388</f>
        <v/>
      </c>
      <c r="DP388" s="28" t="str">
        <f aca="false">AM388</f>
        <v/>
      </c>
      <c r="DQ388" s="28" t="str">
        <f aca="false">AQ388</f>
        <v/>
      </c>
      <c r="DR388" s="28" t="str">
        <f aca="false">AU388</f>
        <v/>
      </c>
      <c r="DS388" s="28" t="str">
        <f aca="false">AY388</f>
        <v/>
      </c>
      <c r="DT388" s="28" t="str">
        <f aca="false">BC388</f>
        <v/>
      </c>
      <c r="DU388" s="28" t="str">
        <f aca="false">BG388</f>
        <v/>
      </c>
      <c r="DV388" s="28" t="str">
        <f aca="false">BK388</f>
        <v/>
      </c>
      <c r="DW388" s="28" t="str">
        <f aca="false">BO388</f>
        <v/>
      </c>
      <c r="DX388" s="28" t="str">
        <f aca="false">BS388</f>
        <v/>
      </c>
      <c r="DY388" s="28" t="str">
        <f aca="false">IF(ISNUMBER(S388),1,"")</f>
        <v/>
      </c>
      <c r="DZ388" s="28" t="str">
        <f aca="false">IF(ISNUMBER(W388),2,"")</f>
        <v/>
      </c>
      <c r="EA388" s="28" t="str">
        <f aca="false">IF(ISNUMBER(AA388),3,"")</f>
        <v/>
      </c>
      <c r="EB388" s="28" t="str">
        <f aca="false">IF(ISNUMBER(AE388),4,"")</f>
        <v/>
      </c>
      <c r="EC388" s="28" t="str">
        <f aca="false">IF(ISNUMBER(AI388),5,"")</f>
        <v/>
      </c>
      <c r="ED388" s="28" t="str">
        <f aca="false">IF(ISNUMBER(AM388),6,"")</f>
        <v/>
      </c>
      <c r="EE388" s="28" t="str">
        <f aca="false">IF(ISNUMBER(AQ388),7,"")</f>
        <v/>
      </c>
      <c r="EF388" s="28" t="str">
        <f aca="false">IF(ISNUMBER(AU388),8,"")</f>
        <v/>
      </c>
      <c r="EG388" s="28" t="str">
        <f aca="false">IF(ISNUMBER(AY388),9,"")</f>
        <v/>
      </c>
      <c r="EH388" s="28" t="str">
        <f aca="false">IF(ISNUMBER(BC388),10,"")</f>
        <v/>
      </c>
      <c r="EI388" s="28" t="str">
        <f aca="false">IF(ISNUMBER(BG388),11,"")</f>
        <v/>
      </c>
      <c r="EJ388" s="28" t="str">
        <f aca="false">IF(ISNUMBER(BK388),12,"")</f>
        <v/>
      </c>
      <c r="EK388" s="28" t="str">
        <f aca="false">IF(ISNUMBER(BO388),13,"")</f>
        <v/>
      </c>
      <c r="EL388" s="28" t="str">
        <f aca="false">IF(ISNUMBER(BS388),14,"")</f>
        <v/>
      </c>
      <c r="EM388" s="28" t="n">
        <f aca="false">IF(ISNUMBER(R388),R388*CW388,0)</f>
        <v>0</v>
      </c>
      <c r="EN388" s="28" t="n">
        <f aca="false">IF(ISNUMBER(V388),V388*CX388,0)</f>
        <v>0</v>
      </c>
      <c r="EO388" s="28" t="n">
        <f aca="false">IF(ISNUMBER(Z388),Z388*CY388,0)</f>
        <v>0</v>
      </c>
      <c r="EP388" s="28" t="n">
        <f aca="false">IF(ISNUMBER(AD388),AD388*CZ388,0)</f>
        <v>0</v>
      </c>
      <c r="EQ388" s="28" t="n">
        <f aca="false">IF(ISNUMBER(AH388),AH388*DA388,0)</f>
        <v>0</v>
      </c>
      <c r="ER388" s="28" t="n">
        <f aca="false">IF(ISNUMBER(AL388),AL388*DB388,0)</f>
        <v>0</v>
      </c>
      <c r="ES388" s="28" t="n">
        <f aca="false">IF(ISNUMBER(AP388),AP388*DC388,0)</f>
        <v>0</v>
      </c>
      <c r="ET388" s="28" t="n">
        <f aca="false">IF(ISNUMBER(AT388),AT388*DD388,0)</f>
        <v>0</v>
      </c>
      <c r="EU388" s="28" t="n">
        <f aca="false">IF(ISNUMBER(AX388),AX388*DE388,0)</f>
        <v>0</v>
      </c>
      <c r="EV388" s="28" t="n">
        <f aca="false">IF(ISNUMBER(BB388),BB388*DF388,0)</f>
        <v>0</v>
      </c>
      <c r="EW388" s="28" t="n">
        <f aca="false">IF(ISNUMBER(BF388),BF388*DG388,0)</f>
        <v>0</v>
      </c>
      <c r="EX388" s="28" t="n">
        <f aca="false">IF(ISNUMBER(BJ388),BJ388*DH388,0)</f>
        <v>0</v>
      </c>
      <c r="EY388" s="28" t="n">
        <f aca="false">IF(ISNUMBER(BN388),BN388*DI388,0)</f>
        <v>0</v>
      </c>
      <c r="EZ388" s="28" t="n">
        <f aca="false">IF(ISNUMBER(BR388),BR388*DJ388,0)</f>
        <v>0</v>
      </c>
      <c r="FA388" s="28" t="n">
        <f aca="false">IF(ISNUMBER(R388),CW388,0)</f>
        <v>0</v>
      </c>
      <c r="FB388" s="28" t="n">
        <f aca="false">IF(ISNUMBER(V388),CX388,0)</f>
        <v>0</v>
      </c>
      <c r="FC388" s="28" t="n">
        <f aca="false">IF(ISNUMBER(Z388),CY388,0)</f>
        <v>0</v>
      </c>
      <c r="FD388" s="28" t="n">
        <f aca="false">IF(ISNUMBER(AD388),CZ388,0)</f>
        <v>0</v>
      </c>
      <c r="FE388" s="28" t="n">
        <f aca="false">IF(ISNUMBER(AH388),DA388,0)</f>
        <v>0</v>
      </c>
      <c r="FF388" s="28" t="n">
        <f aca="false">IF(ISNUMBER(AL388),DB388,0)</f>
        <v>0</v>
      </c>
      <c r="FG388" s="28" t="n">
        <f aca="false">IF(ISNUMBER(AP388),DC388,0)</f>
        <v>0</v>
      </c>
      <c r="FH388" s="28" t="n">
        <f aca="false">IF(ISNUMBER(AT388),DD388,0)</f>
        <v>0</v>
      </c>
      <c r="FI388" s="28" t="n">
        <f aca="false">IF(ISNUMBER(AX388),DE388,0)</f>
        <v>0</v>
      </c>
      <c r="FJ388" s="28" t="n">
        <f aca="false">IF(ISNUMBER(BB388),DF388,0)</f>
        <v>0</v>
      </c>
      <c r="FK388" s="28" t="n">
        <f aca="false">IF(ISNUMBER(BF388),DG388,0)</f>
        <v>0</v>
      </c>
      <c r="FL388" s="28" t="n">
        <f aca="false">IF(ISNUMBER(BJ388),DH388,0)</f>
        <v>0</v>
      </c>
      <c r="FM388" s="28" t="n">
        <f aca="false">IF(ISNUMBER(BN388),DI388,0)</f>
        <v>0</v>
      </c>
      <c r="FN388" s="28" t="n">
        <f aca="false">IF(ISNUMBER(BR388),DJ388,0)</f>
        <v>0</v>
      </c>
      <c r="FO388" s="28" t="str">
        <f aca="false">IFERROR(INDEX(Lists!$G$2:$G$20,MATCH($I388&amp;"|"&amp;$J388,Lists!$F$2:$F$20,0)),"")</f>
        <v/>
      </c>
    </row>
    <row r="389" customFormat="false" ht="19.5" hidden="false" customHeight="true" outlineLevel="0" collapsed="false">
      <c r="A389" s="29"/>
      <c r="B389" s="29"/>
      <c r="C389" s="30"/>
      <c r="D389" s="30"/>
      <c r="E389" s="31"/>
      <c r="F389" s="30"/>
      <c r="G389" s="30"/>
      <c r="H389" s="32"/>
      <c r="I389" s="33"/>
      <c r="J389" s="32"/>
      <c r="K389" s="34" t="str">
        <f aca="false">IF(OR(M389="",$E389=""),"",M389-$E389)</f>
        <v/>
      </c>
      <c r="L389" s="35" t="str">
        <f aca="false">IF(SUM(FA389:FN389)=0,"",SUM(EM389:EZ389)/SUM(FA389:FN389))</f>
        <v/>
      </c>
      <c r="M389" s="36" t="str">
        <f aca="false">IF(OR(L389="",FO389=""),"",IFERROR(MATCH(L389,INDEX(Boundaries!$B$2:$I$30,MATCH(FO389,Boundaries!$A$2:$A$30,0),0),1)-1,""))</f>
        <v/>
      </c>
      <c r="N389" s="37" t="str">
        <f aca="false">IF(COUNT($DY389:$EL389)&lt;2,"",INDEX($DK389:$DX389,MAX($DY389:$EL389))-INDEX($DK389:$DX389,MIN($DY389:$EL389)))</f>
        <v/>
      </c>
      <c r="O389" s="37" t="str">
        <f aca="false">IF(COUNT($DY389:$EL389)&lt;2,"",INDEX($DK389:$DX389,MAX($DY389:$EL389))-INDEX($DK389:$DX389,LARGE($DY389:$EL389,2)))</f>
        <v/>
      </c>
      <c r="P389" s="38" t="str">
        <f aca="false">IF(K389="","",IF(K389&gt;=0,"On/above target",IF(AND(N389&lt;&gt;"",N389&gt;=0.5),"Improving towards target",IF(AND(O389&lt;&gt;"",O389&lt;=-0.5),"Declining","Stable below target"))))</f>
        <v/>
      </c>
      <c r="Q389" s="39"/>
      <c r="R389" s="40" t="str">
        <f aca="false">IF(OR(Q389="",BU389=""),"",Q389/BU389*100)</f>
        <v/>
      </c>
      <c r="S389" s="41" t="str">
        <f aca="false">IF(R389="","",IFERROR(MATCH(R389,INDEX(Boundaries!$B$2:$I$30,MATCH(CI389,Boundaries!$A$2:$A$30,0),0),1)-1,""))</f>
        <v/>
      </c>
      <c r="T389" s="42" t="str">
        <f aca="false">IF(OR(S389="",$E389=""),"",S389-$E389)</f>
        <v/>
      </c>
      <c r="U389" s="39"/>
      <c r="V389" s="40" t="str">
        <f aca="false">IF(OR(U389="",BV389=""),"",U389/BV389*100)</f>
        <v/>
      </c>
      <c r="W389" s="41" t="str">
        <f aca="false">IF(V389="","",IFERROR(MATCH(V389,INDEX(Boundaries!$B$2:$I$30,MATCH(CJ389,Boundaries!$A$2:$A$30,0),0),1)-1,""))</f>
        <v/>
      </c>
      <c r="X389" s="42" t="str">
        <f aca="false">IF(OR(W389="",$E389=""),"",W389-$E389)</f>
        <v/>
      </c>
      <c r="Y389" s="39"/>
      <c r="Z389" s="40" t="str">
        <f aca="false">IF(OR(Y389="",BW389=""),"",Y389/BW389*100)</f>
        <v/>
      </c>
      <c r="AA389" s="41" t="str">
        <f aca="false">IF(Z389="","",IFERROR(MATCH(Z389,INDEX(Boundaries!$B$2:$I$30,MATCH(CK389,Boundaries!$A$2:$A$30,0),0),1)-1,""))</f>
        <v/>
      </c>
      <c r="AB389" s="42" t="str">
        <f aca="false">IF(OR(AA389="",$E389=""),"",AA389-$E389)</f>
        <v/>
      </c>
      <c r="AC389" s="39"/>
      <c r="AD389" s="40" t="str">
        <f aca="false">IF(OR(AC389="",BX389=""),"",AC389/BX389*100)</f>
        <v/>
      </c>
      <c r="AE389" s="41" t="str">
        <f aca="false">IF(AD389="","",IFERROR(MATCH(AD389,INDEX(Boundaries!$B$2:$I$30,MATCH(CL389,Boundaries!$A$2:$A$30,0),0),1)-1,""))</f>
        <v/>
      </c>
      <c r="AF389" s="42" t="str">
        <f aca="false">IF(OR(AE389="",$E389=""),"",AE389-$E389)</f>
        <v/>
      </c>
      <c r="AG389" s="39"/>
      <c r="AH389" s="40" t="str">
        <f aca="false">IF(OR(AG389="",BY389=""),"",AG389/BY389*100)</f>
        <v/>
      </c>
      <c r="AI389" s="41" t="str">
        <f aca="false">IF(AH389="","",IFERROR(MATCH(AH389,INDEX(Boundaries!$B$2:$I$30,MATCH(CM389,Boundaries!$A$2:$A$30,0),0),1)-1,""))</f>
        <v/>
      </c>
      <c r="AJ389" s="42" t="str">
        <f aca="false">IF(OR(AI389="",$E389=""),"",AI389-$E389)</f>
        <v/>
      </c>
      <c r="AK389" s="39"/>
      <c r="AL389" s="40" t="str">
        <f aca="false">IF(OR(AK389="",BZ389=""),"",AK389/BZ389*100)</f>
        <v/>
      </c>
      <c r="AM389" s="41" t="str">
        <f aca="false">IF(AL389="","",IFERROR(MATCH(AL389,INDEX(Boundaries!$B$2:$I$30,MATCH(CN389,Boundaries!$A$2:$A$30,0),0),1)-1,""))</f>
        <v/>
      </c>
      <c r="AN389" s="42" t="str">
        <f aca="false">IF(OR(AM389="",$E389=""),"",AM389-$E389)</f>
        <v/>
      </c>
      <c r="AO389" s="39"/>
      <c r="AP389" s="40" t="str">
        <f aca="false">IF(OR(AO389="",CA389=""),"",AO389/CA389*100)</f>
        <v/>
      </c>
      <c r="AQ389" s="41" t="str">
        <f aca="false">IF(AP389="","",IFERROR(MATCH(AP389,INDEX(Boundaries!$B$2:$I$30,MATCH(CO389,Boundaries!$A$2:$A$30,0),0),1)-1,""))</f>
        <v/>
      </c>
      <c r="AR389" s="42" t="str">
        <f aca="false">IF(OR(AQ389="",$E389=""),"",AQ389-$E389)</f>
        <v/>
      </c>
      <c r="AS389" s="39"/>
      <c r="AT389" s="40" t="str">
        <f aca="false">IF(OR(AS389="",CB389=""),"",AS389/CB389*100)</f>
        <v/>
      </c>
      <c r="AU389" s="41" t="str">
        <f aca="false">IF(AT389="","",IFERROR(MATCH(AT389,INDEX(Boundaries!$B$2:$I$30,MATCH(CP389,Boundaries!$A$2:$A$30,0),0),1)-1,""))</f>
        <v/>
      </c>
      <c r="AV389" s="42" t="str">
        <f aca="false">IF(OR(AU389="",$E389=""),"",AU389-$E389)</f>
        <v/>
      </c>
      <c r="AW389" s="39"/>
      <c r="AX389" s="40" t="str">
        <f aca="false">IF(OR(AW389="",CC389=""),"",AW389/CC389*100)</f>
        <v/>
      </c>
      <c r="AY389" s="41" t="str">
        <f aca="false">IF(AX389="","",IFERROR(MATCH(AX389,INDEX(Boundaries!$B$2:$I$30,MATCH(CQ389,Boundaries!$A$2:$A$30,0),0),1)-1,""))</f>
        <v/>
      </c>
      <c r="AZ389" s="42" t="str">
        <f aca="false">IF(OR(AY389="",$E389=""),"",AY389-$E389)</f>
        <v/>
      </c>
      <c r="BA389" s="39"/>
      <c r="BB389" s="40" t="str">
        <f aca="false">IF(OR(BA389="",CD389=""),"",BA389/CD389*100)</f>
        <v/>
      </c>
      <c r="BC389" s="41" t="str">
        <f aca="false">IF(BB389="","",IFERROR(MATCH(BB389,INDEX(Boundaries!$B$2:$I$30,MATCH(CR389,Boundaries!$A$2:$A$30,0),0),1)-1,""))</f>
        <v/>
      </c>
      <c r="BD389" s="42" t="str">
        <f aca="false">IF(OR(BC389="",$E389=""),"",BC389-$E389)</f>
        <v/>
      </c>
      <c r="BE389" s="39"/>
      <c r="BF389" s="40" t="str">
        <f aca="false">IF(OR(BE389="",CE389=""),"",BE389/CE389*100)</f>
        <v/>
      </c>
      <c r="BG389" s="41" t="str">
        <f aca="false">IF(BF389="","",IFERROR(MATCH(BF389,INDEX(Boundaries!$B$2:$I$30,MATCH(CS389,Boundaries!$A$2:$A$30,0),0),1)-1,""))</f>
        <v/>
      </c>
      <c r="BH389" s="42" t="str">
        <f aca="false">IF(OR(BG389="",$E389=""),"",BG389-$E389)</f>
        <v/>
      </c>
      <c r="BI389" s="39"/>
      <c r="BJ389" s="40" t="str">
        <f aca="false">IF(OR(BI389="",CF389=""),"",BI389/CF389*100)</f>
        <v/>
      </c>
      <c r="BK389" s="41" t="str">
        <f aca="false">IF(BJ389="","",IFERROR(MATCH(BJ389,INDEX(Boundaries!$B$2:$I$30,MATCH(CT389,Boundaries!$A$2:$A$30,0),0),1)-1,""))</f>
        <v/>
      </c>
      <c r="BL389" s="42" t="str">
        <f aca="false">IF(OR(BK389="",$E389=""),"",BK389-$E389)</f>
        <v/>
      </c>
      <c r="BM389" s="39"/>
      <c r="BN389" s="40" t="str">
        <f aca="false">IF(OR(BM389="",CG389=""),"",BM389/CG389*100)</f>
        <v/>
      </c>
      <c r="BO389" s="41" t="str">
        <f aca="false">IF(BN389="","",IFERROR(MATCH(BN389,INDEX(Boundaries!$B$2:$I$30,MATCH(CU389,Boundaries!$A$2:$A$30,0),0),1)-1,""))</f>
        <v/>
      </c>
      <c r="BP389" s="42" t="str">
        <f aca="false">IF(OR(BO389="",$E389=""),"",BO389-$E389)</f>
        <v/>
      </c>
      <c r="BQ389" s="39"/>
      <c r="BR389" s="40" t="str">
        <f aca="false">IF(OR(BQ389="",CH389=""),"",BQ389/CH389*100)</f>
        <v/>
      </c>
      <c r="BS389" s="41" t="str">
        <f aca="false">IF(BR389="","",IFERROR(MATCH(BR389,INDEX(Boundaries!$B$2:$I$30,MATCH(CV389,Boundaries!$A$2:$A$30,0),0),1)-1,""))</f>
        <v/>
      </c>
      <c r="BT389" s="42" t="str">
        <f aca="false">IF(OR(BS389="",$E389=""),"",BS389-$E389)</f>
        <v/>
      </c>
      <c r="BU389" s="28" t="str">
        <f aca="false">IFERROR(INDEX(Assessments!$H$2:$H$600,MATCH($H389&amp;"|"&amp;$I389&amp;"|"&amp;$J389&amp;"|"&amp;1,Assessments!$A$2:$A$600,0)),"")</f>
        <v/>
      </c>
      <c r="BV389" s="28" t="str">
        <f aca="false">IFERROR(INDEX(Assessments!$H$2:$H$600,MATCH($H389&amp;"|"&amp;$I389&amp;"|"&amp;$J389&amp;"|"&amp;2,Assessments!$A$2:$A$600,0)),"")</f>
        <v/>
      </c>
      <c r="BW389" s="28" t="str">
        <f aca="false">IFERROR(INDEX(Assessments!$H$2:$H$600,MATCH($H389&amp;"|"&amp;$I389&amp;"|"&amp;$J389&amp;"|"&amp;3,Assessments!$A$2:$A$600,0)),"")</f>
        <v/>
      </c>
      <c r="BX389" s="28" t="str">
        <f aca="false">IFERROR(INDEX(Assessments!$H$2:$H$600,MATCH($H389&amp;"|"&amp;$I389&amp;"|"&amp;$J389&amp;"|"&amp;4,Assessments!$A$2:$A$600,0)),"")</f>
        <v/>
      </c>
      <c r="BY389" s="28" t="str">
        <f aca="false">IFERROR(INDEX(Assessments!$H$2:$H$600,MATCH($H389&amp;"|"&amp;$I389&amp;"|"&amp;$J389&amp;"|"&amp;5,Assessments!$A$2:$A$600,0)),"")</f>
        <v/>
      </c>
      <c r="BZ389" s="28" t="str">
        <f aca="false">IFERROR(INDEX(Assessments!$H$2:$H$600,MATCH($H389&amp;"|"&amp;$I389&amp;"|"&amp;$J389&amp;"|"&amp;6,Assessments!$A$2:$A$600,0)),"")</f>
        <v/>
      </c>
      <c r="CA389" s="28" t="str">
        <f aca="false">IFERROR(INDEX(Assessments!$H$2:$H$600,MATCH($H389&amp;"|"&amp;$I389&amp;"|"&amp;$J389&amp;"|"&amp;7,Assessments!$A$2:$A$600,0)),"")</f>
        <v/>
      </c>
      <c r="CB389" s="28" t="str">
        <f aca="false">IFERROR(INDEX(Assessments!$H$2:$H$600,MATCH($H389&amp;"|"&amp;$I389&amp;"|"&amp;$J389&amp;"|"&amp;8,Assessments!$A$2:$A$600,0)),"")</f>
        <v/>
      </c>
      <c r="CC389" s="28" t="str">
        <f aca="false">IFERROR(INDEX(Assessments!$H$2:$H$600,MATCH($H389&amp;"|"&amp;$I389&amp;"|"&amp;$J389&amp;"|"&amp;9,Assessments!$A$2:$A$600,0)),"")</f>
        <v/>
      </c>
      <c r="CD389" s="28" t="str">
        <f aca="false">IFERROR(INDEX(Assessments!$H$2:$H$600,MATCH($H389&amp;"|"&amp;$I389&amp;"|"&amp;$J389&amp;"|"&amp;10,Assessments!$A$2:$A$600,0)),"")</f>
        <v/>
      </c>
      <c r="CE389" s="28" t="str">
        <f aca="false">IFERROR(INDEX(Assessments!$H$2:$H$600,MATCH($H389&amp;"|"&amp;$I389&amp;"|"&amp;$J389&amp;"|"&amp;11,Assessments!$A$2:$A$600,0)),"")</f>
        <v/>
      </c>
      <c r="CF389" s="28" t="str">
        <f aca="false">IFERROR(INDEX(Assessments!$H$2:$H$600,MATCH($H389&amp;"|"&amp;$I389&amp;"|"&amp;$J389&amp;"|"&amp;12,Assessments!$A$2:$A$600,0)),"")</f>
        <v/>
      </c>
      <c r="CG389" s="28" t="str">
        <f aca="false">IFERROR(INDEX(Assessments!$H$2:$H$600,MATCH($H389&amp;"|"&amp;$I389&amp;"|"&amp;$J389&amp;"|"&amp;13,Assessments!$A$2:$A$600,0)),"")</f>
        <v/>
      </c>
      <c r="CH389" s="28" t="str">
        <f aca="false">IFERROR(INDEX(Assessments!$H$2:$H$600,MATCH($H389&amp;"|"&amp;$I389&amp;"|"&amp;$J389&amp;"|"&amp;14,Assessments!$A$2:$A$600,0)),"")</f>
        <v/>
      </c>
      <c r="CI389" s="28" t="str">
        <f aca="false">IFERROR(INDEX(Assessments!$I$2:$I$600,MATCH($H389&amp;"|"&amp;$I389&amp;"|"&amp;$J389&amp;"|"&amp;1,Assessments!$A$2:$A$600,0)),"")</f>
        <v/>
      </c>
      <c r="CJ389" s="28" t="str">
        <f aca="false">IFERROR(INDEX(Assessments!$I$2:$I$600,MATCH($H389&amp;"|"&amp;$I389&amp;"|"&amp;$J389&amp;"|"&amp;2,Assessments!$A$2:$A$600,0)),"")</f>
        <v/>
      </c>
      <c r="CK389" s="28" t="str">
        <f aca="false">IFERROR(INDEX(Assessments!$I$2:$I$600,MATCH($H389&amp;"|"&amp;$I389&amp;"|"&amp;$J389&amp;"|"&amp;3,Assessments!$A$2:$A$600,0)),"")</f>
        <v/>
      </c>
      <c r="CL389" s="28" t="str">
        <f aca="false">IFERROR(INDEX(Assessments!$I$2:$I$600,MATCH($H389&amp;"|"&amp;$I389&amp;"|"&amp;$J389&amp;"|"&amp;4,Assessments!$A$2:$A$600,0)),"")</f>
        <v/>
      </c>
      <c r="CM389" s="28" t="str">
        <f aca="false">IFERROR(INDEX(Assessments!$I$2:$I$600,MATCH($H389&amp;"|"&amp;$I389&amp;"|"&amp;$J389&amp;"|"&amp;5,Assessments!$A$2:$A$600,0)),"")</f>
        <v/>
      </c>
      <c r="CN389" s="28" t="str">
        <f aca="false">IFERROR(INDEX(Assessments!$I$2:$I$600,MATCH($H389&amp;"|"&amp;$I389&amp;"|"&amp;$J389&amp;"|"&amp;6,Assessments!$A$2:$A$600,0)),"")</f>
        <v/>
      </c>
      <c r="CO389" s="28" t="str">
        <f aca="false">IFERROR(INDEX(Assessments!$I$2:$I$600,MATCH($H389&amp;"|"&amp;$I389&amp;"|"&amp;$J389&amp;"|"&amp;7,Assessments!$A$2:$A$600,0)),"")</f>
        <v/>
      </c>
      <c r="CP389" s="28" t="str">
        <f aca="false">IFERROR(INDEX(Assessments!$I$2:$I$600,MATCH($H389&amp;"|"&amp;$I389&amp;"|"&amp;$J389&amp;"|"&amp;8,Assessments!$A$2:$A$600,0)),"")</f>
        <v/>
      </c>
      <c r="CQ389" s="28" t="str">
        <f aca="false">IFERROR(INDEX(Assessments!$I$2:$I$600,MATCH($H389&amp;"|"&amp;$I389&amp;"|"&amp;$J389&amp;"|"&amp;9,Assessments!$A$2:$A$600,0)),"")</f>
        <v/>
      </c>
      <c r="CR389" s="28" t="str">
        <f aca="false">IFERROR(INDEX(Assessments!$I$2:$I$600,MATCH($H389&amp;"|"&amp;$I389&amp;"|"&amp;$J389&amp;"|"&amp;10,Assessments!$A$2:$A$600,0)),"")</f>
        <v/>
      </c>
      <c r="CS389" s="28" t="str">
        <f aca="false">IFERROR(INDEX(Assessments!$I$2:$I$600,MATCH($H389&amp;"|"&amp;$I389&amp;"|"&amp;$J389&amp;"|"&amp;11,Assessments!$A$2:$A$600,0)),"")</f>
        <v/>
      </c>
      <c r="CT389" s="28" t="str">
        <f aca="false">IFERROR(INDEX(Assessments!$I$2:$I$600,MATCH($H389&amp;"|"&amp;$I389&amp;"|"&amp;$J389&amp;"|"&amp;12,Assessments!$A$2:$A$600,0)),"")</f>
        <v/>
      </c>
      <c r="CU389" s="28" t="str">
        <f aca="false">IFERROR(INDEX(Assessments!$I$2:$I$600,MATCH($H389&amp;"|"&amp;$I389&amp;"|"&amp;$J389&amp;"|"&amp;13,Assessments!$A$2:$A$600,0)),"")</f>
        <v/>
      </c>
      <c r="CV389" s="28" t="str">
        <f aca="false">IFERROR(INDEX(Assessments!$I$2:$I$600,MATCH($H389&amp;"|"&amp;$I389&amp;"|"&amp;$J389&amp;"|"&amp;14,Assessments!$A$2:$A$600,0)),"")</f>
        <v/>
      </c>
      <c r="CW389" s="28" t="n">
        <f aca="false">IFERROR(INDEX(Assessments!$J$2:$J$600,MATCH($H389&amp;"|"&amp;$I389&amp;"|"&amp;$J389&amp;"|"&amp;1,Assessments!$A$2:$A$600,0)),0)</f>
        <v>0</v>
      </c>
      <c r="CX389" s="28" t="n">
        <f aca="false">IFERROR(INDEX(Assessments!$J$2:$J$600,MATCH($H389&amp;"|"&amp;$I389&amp;"|"&amp;$J389&amp;"|"&amp;2,Assessments!$A$2:$A$600,0)),0)</f>
        <v>0</v>
      </c>
      <c r="CY389" s="28" t="n">
        <f aca="false">IFERROR(INDEX(Assessments!$J$2:$J$600,MATCH($H389&amp;"|"&amp;$I389&amp;"|"&amp;$J389&amp;"|"&amp;3,Assessments!$A$2:$A$600,0)),0)</f>
        <v>0</v>
      </c>
      <c r="CZ389" s="28" t="n">
        <f aca="false">IFERROR(INDEX(Assessments!$J$2:$J$600,MATCH($H389&amp;"|"&amp;$I389&amp;"|"&amp;$J389&amp;"|"&amp;4,Assessments!$A$2:$A$600,0)),0)</f>
        <v>0</v>
      </c>
      <c r="DA389" s="28" t="n">
        <f aca="false">IFERROR(INDEX(Assessments!$J$2:$J$600,MATCH($H389&amp;"|"&amp;$I389&amp;"|"&amp;$J389&amp;"|"&amp;5,Assessments!$A$2:$A$600,0)),0)</f>
        <v>0</v>
      </c>
      <c r="DB389" s="28" t="n">
        <f aca="false">IFERROR(INDEX(Assessments!$J$2:$J$600,MATCH($H389&amp;"|"&amp;$I389&amp;"|"&amp;$J389&amp;"|"&amp;6,Assessments!$A$2:$A$600,0)),0)</f>
        <v>0</v>
      </c>
      <c r="DC389" s="28" t="n">
        <f aca="false">IFERROR(INDEX(Assessments!$J$2:$J$600,MATCH($H389&amp;"|"&amp;$I389&amp;"|"&amp;$J389&amp;"|"&amp;7,Assessments!$A$2:$A$600,0)),0)</f>
        <v>0</v>
      </c>
      <c r="DD389" s="28" t="n">
        <f aca="false">IFERROR(INDEX(Assessments!$J$2:$J$600,MATCH($H389&amp;"|"&amp;$I389&amp;"|"&amp;$J389&amp;"|"&amp;8,Assessments!$A$2:$A$600,0)),0)</f>
        <v>0</v>
      </c>
      <c r="DE389" s="28" t="n">
        <f aca="false">IFERROR(INDEX(Assessments!$J$2:$J$600,MATCH($H389&amp;"|"&amp;$I389&amp;"|"&amp;$J389&amp;"|"&amp;9,Assessments!$A$2:$A$600,0)),0)</f>
        <v>0</v>
      </c>
      <c r="DF389" s="28" t="n">
        <f aca="false">IFERROR(INDEX(Assessments!$J$2:$J$600,MATCH($H389&amp;"|"&amp;$I389&amp;"|"&amp;$J389&amp;"|"&amp;10,Assessments!$A$2:$A$600,0)),0)</f>
        <v>0</v>
      </c>
      <c r="DG389" s="28" t="n">
        <f aca="false">IFERROR(INDEX(Assessments!$J$2:$J$600,MATCH($H389&amp;"|"&amp;$I389&amp;"|"&amp;$J389&amp;"|"&amp;11,Assessments!$A$2:$A$600,0)),0)</f>
        <v>0</v>
      </c>
      <c r="DH389" s="28" t="n">
        <f aca="false">IFERROR(INDEX(Assessments!$J$2:$J$600,MATCH($H389&amp;"|"&amp;$I389&amp;"|"&amp;$J389&amp;"|"&amp;12,Assessments!$A$2:$A$600,0)),0)</f>
        <v>0</v>
      </c>
      <c r="DI389" s="28" t="n">
        <f aca="false">IFERROR(INDEX(Assessments!$J$2:$J$600,MATCH($H389&amp;"|"&amp;$I389&amp;"|"&amp;$J389&amp;"|"&amp;13,Assessments!$A$2:$A$600,0)),0)</f>
        <v>0</v>
      </c>
      <c r="DJ389" s="28" t="n">
        <f aca="false">IFERROR(INDEX(Assessments!$J$2:$J$600,MATCH($H389&amp;"|"&amp;$I389&amp;"|"&amp;$J389&amp;"|"&amp;14,Assessments!$A$2:$A$600,0)),0)</f>
        <v>0</v>
      </c>
      <c r="DK389" s="28" t="str">
        <f aca="false">S389</f>
        <v/>
      </c>
      <c r="DL389" s="28" t="str">
        <f aca="false">W389</f>
        <v/>
      </c>
      <c r="DM389" s="28" t="str">
        <f aca="false">AA389</f>
        <v/>
      </c>
      <c r="DN389" s="28" t="str">
        <f aca="false">AE389</f>
        <v/>
      </c>
      <c r="DO389" s="28" t="str">
        <f aca="false">AI389</f>
        <v/>
      </c>
      <c r="DP389" s="28" t="str">
        <f aca="false">AM389</f>
        <v/>
      </c>
      <c r="DQ389" s="28" t="str">
        <f aca="false">AQ389</f>
        <v/>
      </c>
      <c r="DR389" s="28" t="str">
        <f aca="false">AU389</f>
        <v/>
      </c>
      <c r="DS389" s="28" t="str">
        <f aca="false">AY389</f>
        <v/>
      </c>
      <c r="DT389" s="28" t="str">
        <f aca="false">BC389</f>
        <v/>
      </c>
      <c r="DU389" s="28" t="str">
        <f aca="false">BG389</f>
        <v/>
      </c>
      <c r="DV389" s="28" t="str">
        <f aca="false">BK389</f>
        <v/>
      </c>
      <c r="DW389" s="28" t="str">
        <f aca="false">BO389</f>
        <v/>
      </c>
      <c r="DX389" s="28" t="str">
        <f aca="false">BS389</f>
        <v/>
      </c>
      <c r="DY389" s="28" t="str">
        <f aca="false">IF(ISNUMBER(S389),1,"")</f>
        <v/>
      </c>
      <c r="DZ389" s="28" t="str">
        <f aca="false">IF(ISNUMBER(W389),2,"")</f>
        <v/>
      </c>
      <c r="EA389" s="28" t="str">
        <f aca="false">IF(ISNUMBER(AA389),3,"")</f>
        <v/>
      </c>
      <c r="EB389" s="28" t="str">
        <f aca="false">IF(ISNUMBER(AE389),4,"")</f>
        <v/>
      </c>
      <c r="EC389" s="28" t="str">
        <f aca="false">IF(ISNUMBER(AI389),5,"")</f>
        <v/>
      </c>
      <c r="ED389" s="28" t="str">
        <f aca="false">IF(ISNUMBER(AM389),6,"")</f>
        <v/>
      </c>
      <c r="EE389" s="28" t="str">
        <f aca="false">IF(ISNUMBER(AQ389),7,"")</f>
        <v/>
      </c>
      <c r="EF389" s="28" t="str">
        <f aca="false">IF(ISNUMBER(AU389),8,"")</f>
        <v/>
      </c>
      <c r="EG389" s="28" t="str">
        <f aca="false">IF(ISNUMBER(AY389),9,"")</f>
        <v/>
      </c>
      <c r="EH389" s="28" t="str">
        <f aca="false">IF(ISNUMBER(BC389),10,"")</f>
        <v/>
      </c>
      <c r="EI389" s="28" t="str">
        <f aca="false">IF(ISNUMBER(BG389),11,"")</f>
        <v/>
      </c>
      <c r="EJ389" s="28" t="str">
        <f aca="false">IF(ISNUMBER(BK389),12,"")</f>
        <v/>
      </c>
      <c r="EK389" s="28" t="str">
        <f aca="false">IF(ISNUMBER(BO389),13,"")</f>
        <v/>
      </c>
      <c r="EL389" s="28" t="str">
        <f aca="false">IF(ISNUMBER(BS389),14,"")</f>
        <v/>
      </c>
      <c r="EM389" s="28" t="n">
        <f aca="false">IF(ISNUMBER(R389),R389*CW389,0)</f>
        <v>0</v>
      </c>
      <c r="EN389" s="28" t="n">
        <f aca="false">IF(ISNUMBER(V389),V389*CX389,0)</f>
        <v>0</v>
      </c>
      <c r="EO389" s="28" t="n">
        <f aca="false">IF(ISNUMBER(Z389),Z389*CY389,0)</f>
        <v>0</v>
      </c>
      <c r="EP389" s="28" t="n">
        <f aca="false">IF(ISNUMBER(AD389),AD389*CZ389,0)</f>
        <v>0</v>
      </c>
      <c r="EQ389" s="28" t="n">
        <f aca="false">IF(ISNUMBER(AH389),AH389*DA389,0)</f>
        <v>0</v>
      </c>
      <c r="ER389" s="28" t="n">
        <f aca="false">IF(ISNUMBER(AL389),AL389*DB389,0)</f>
        <v>0</v>
      </c>
      <c r="ES389" s="28" t="n">
        <f aca="false">IF(ISNUMBER(AP389),AP389*DC389,0)</f>
        <v>0</v>
      </c>
      <c r="ET389" s="28" t="n">
        <f aca="false">IF(ISNUMBER(AT389),AT389*DD389,0)</f>
        <v>0</v>
      </c>
      <c r="EU389" s="28" t="n">
        <f aca="false">IF(ISNUMBER(AX389),AX389*DE389,0)</f>
        <v>0</v>
      </c>
      <c r="EV389" s="28" t="n">
        <f aca="false">IF(ISNUMBER(BB389),BB389*DF389,0)</f>
        <v>0</v>
      </c>
      <c r="EW389" s="28" t="n">
        <f aca="false">IF(ISNUMBER(BF389),BF389*DG389,0)</f>
        <v>0</v>
      </c>
      <c r="EX389" s="28" t="n">
        <f aca="false">IF(ISNUMBER(BJ389),BJ389*DH389,0)</f>
        <v>0</v>
      </c>
      <c r="EY389" s="28" t="n">
        <f aca="false">IF(ISNUMBER(BN389),BN389*DI389,0)</f>
        <v>0</v>
      </c>
      <c r="EZ389" s="28" t="n">
        <f aca="false">IF(ISNUMBER(BR389),BR389*DJ389,0)</f>
        <v>0</v>
      </c>
      <c r="FA389" s="28" t="n">
        <f aca="false">IF(ISNUMBER(R389),CW389,0)</f>
        <v>0</v>
      </c>
      <c r="FB389" s="28" t="n">
        <f aca="false">IF(ISNUMBER(V389),CX389,0)</f>
        <v>0</v>
      </c>
      <c r="FC389" s="28" t="n">
        <f aca="false">IF(ISNUMBER(Z389),CY389,0)</f>
        <v>0</v>
      </c>
      <c r="FD389" s="28" t="n">
        <f aca="false">IF(ISNUMBER(AD389),CZ389,0)</f>
        <v>0</v>
      </c>
      <c r="FE389" s="28" t="n">
        <f aca="false">IF(ISNUMBER(AH389),DA389,0)</f>
        <v>0</v>
      </c>
      <c r="FF389" s="28" t="n">
        <f aca="false">IF(ISNUMBER(AL389),DB389,0)</f>
        <v>0</v>
      </c>
      <c r="FG389" s="28" t="n">
        <f aca="false">IF(ISNUMBER(AP389),DC389,0)</f>
        <v>0</v>
      </c>
      <c r="FH389" s="28" t="n">
        <f aca="false">IF(ISNUMBER(AT389),DD389,0)</f>
        <v>0</v>
      </c>
      <c r="FI389" s="28" t="n">
        <f aca="false">IF(ISNUMBER(AX389),DE389,0)</f>
        <v>0</v>
      </c>
      <c r="FJ389" s="28" t="n">
        <f aca="false">IF(ISNUMBER(BB389),DF389,0)</f>
        <v>0</v>
      </c>
      <c r="FK389" s="28" t="n">
        <f aca="false">IF(ISNUMBER(BF389),DG389,0)</f>
        <v>0</v>
      </c>
      <c r="FL389" s="28" t="n">
        <f aca="false">IF(ISNUMBER(BJ389),DH389,0)</f>
        <v>0</v>
      </c>
      <c r="FM389" s="28" t="n">
        <f aca="false">IF(ISNUMBER(BN389),DI389,0)</f>
        <v>0</v>
      </c>
      <c r="FN389" s="28" t="n">
        <f aca="false">IF(ISNUMBER(BR389),DJ389,0)</f>
        <v>0</v>
      </c>
      <c r="FO389" s="28" t="str">
        <f aca="false">IFERROR(INDEX(Lists!$G$2:$G$20,MATCH($I389&amp;"|"&amp;$J389,Lists!$F$2:$F$20,0)),"")</f>
        <v/>
      </c>
    </row>
    <row r="390" customFormat="false" ht="19.5" hidden="false" customHeight="true" outlineLevel="0" collapsed="false">
      <c r="A390" s="29"/>
      <c r="B390" s="29"/>
      <c r="C390" s="30"/>
      <c r="D390" s="30"/>
      <c r="E390" s="31"/>
      <c r="F390" s="30"/>
      <c r="G390" s="30"/>
      <c r="H390" s="32"/>
      <c r="I390" s="33"/>
      <c r="J390" s="32"/>
      <c r="K390" s="34" t="str">
        <f aca="false">IF(OR(M390="",$E390=""),"",M390-$E390)</f>
        <v/>
      </c>
      <c r="L390" s="35" t="str">
        <f aca="false">IF(SUM(FA390:FN390)=0,"",SUM(EM390:EZ390)/SUM(FA390:FN390))</f>
        <v/>
      </c>
      <c r="M390" s="36" t="str">
        <f aca="false">IF(OR(L390="",FO390=""),"",IFERROR(MATCH(L390,INDEX(Boundaries!$B$2:$I$30,MATCH(FO390,Boundaries!$A$2:$A$30,0),0),1)-1,""))</f>
        <v/>
      </c>
      <c r="N390" s="37" t="str">
        <f aca="false">IF(COUNT($DY390:$EL390)&lt;2,"",INDEX($DK390:$DX390,MAX($DY390:$EL390))-INDEX($DK390:$DX390,MIN($DY390:$EL390)))</f>
        <v/>
      </c>
      <c r="O390" s="37" t="str">
        <f aca="false">IF(COUNT($DY390:$EL390)&lt;2,"",INDEX($DK390:$DX390,MAX($DY390:$EL390))-INDEX($DK390:$DX390,LARGE($DY390:$EL390,2)))</f>
        <v/>
      </c>
      <c r="P390" s="38" t="str">
        <f aca="false">IF(K390="","",IF(K390&gt;=0,"On/above target",IF(AND(N390&lt;&gt;"",N390&gt;=0.5),"Improving towards target",IF(AND(O390&lt;&gt;"",O390&lt;=-0.5),"Declining","Stable below target"))))</f>
        <v/>
      </c>
      <c r="Q390" s="39"/>
      <c r="R390" s="40" t="str">
        <f aca="false">IF(OR(Q390="",BU390=""),"",Q390/BU390*100)</f>
        <v/>
      </c>
      <c r="S390" s="41" t="str">
        <f aca="false">IF(R390="","",IFERROR(MATCH(R390,INDEX(Boundaries!$B$2:$I$30,MATCH(CI390,Boundaries!$A$2:$A$30,0),0),1)-1,""))</f>
        <v/>
      </c>
      <c r="T390" s="42" t="str">
        <f aca="false">IF(OR(S390="",$E390=""),"",S390-$E390)</f>
        <v/>
      </c>
      <c r="U390" s="39"/>
      <c r="V390" s="40" t="str">
        <f aca="false">IF(OR(U390="",BV390=""),"",U390/BV390*100)</f>
        <v/>
      </c>
      <c r="W390" s="41" t="str">
        <f aca="false">IF(V390="","",IFERROR(MATCH(V390,INDEX(Boundaries!$B$2:$I$30,MATCH(CJ390,Boundaries!$A$2:$A$30,0),0),1)-1,""))</f>
        <v/>
      </c>
      <c r="X390" s="42" t="str">
        <f aca="false">IF(OR(W390="",$E390=""),"",W390-$E390)</f>
        <v/>
      </c>
      <c r="Y390" s="39"/>
      <c r="Z390" s="40" t="str">
        <f aca="false">IF(OR(Y390="",BW390=""),"",Y390/BW390*100)</f>
        <v/>
      </c>
      <c r="AA390" s="41" t="str">
        <f aca="false">IF(Z390="","",IFERROR(MATCH(Z390,INDEX(Boundaries!$B$2:$I$30,MATCH(CK390,Boundaries!$A$2:$A$30,0),0),1)-1,""))</f>
        <v/>
      </c>
      <c r="AB390" s="42" t="str">
        <f aca="false">IF(OR(AA390="",$E390=""),"",AA390-$E390)</f>
        <v/>
      </c>
      <c r="AC390" s="39"/>
      <c r="AD390" s="40" t="str">
        <f aca="false">IF(OR(AC390="",BX390=""),"",AC390/BX390*100)</f>
        <v/>
      </c>
      <c r="AE390" s="41" t="str">
        <f aca="false">IF(AD390="","",IFERROR(MATCH(AD390,INDEX(Boundaries!$B$2:$I$30,MATCH(CL390,Boundaries!$A$2:$A$30,0),0),1)-1,""))</f>
        <v/>
      </c>
      <c r="AF390" s="42" t="str">
        <f aca="false">IF(OR(AE390="",$E390=""),"",AE390-$E390)</f>
        <v/>
      </c>
      <c r="AG390" s="39"/>
      <c r="AH390" s="40" t="str">
        <f aca="false">IF(OR(AG390="",BY390=""),"",AG390/BY390*100)</f>
        <v/>
      </c>
      <c r="AI390" s="41" t="str">
        <f aca="false">IF(AH390="","",IFERROR(MATCH(AH390,INDEX(Boundaries!$B$2:$I$30,MATCH(CM390,Boundaries!$A$2:$A$30,0),0),1)-1,""))</f>
        <v/>
      </c>
      <c r="AJ390" s="42" t="str">
        <f aca="false">IF(OR(AI390="",$E390=""),"",AI390-$E390)</f>
        <v/>
      </c>
      <c r="AK390" s="39"/>
      <c r="AL390" s="40" t="str">
        <f aca="false">IF(OR(AK390="",BZ390=""),"",AK390/BZ390*100)</f>
        <v/>
      </c>
      <c r="AM390" s="41" t="str">
        <f aca="false">IF(AL390="","",IFERROR(MATCH(AL390,INDEX(Boundaries!$B$2:$I$30,MATCH(CN390,Boundaries!$A$2:$A$30,0),0),1)-1,""))</f>
        <v/>
      </c>
      <c r="AN390" s="42" t="str">
        <f aca="false">IF(OR(AM390="",$E390=""),"",AM390-$E390)</f>
        <v/>
      </c>
      <c r="AO390" s="39"/>
      <c r="AP390" s="40" t="str">
        <f aca="false">IF(OR(AO390="",CA390=""),"",AO390/CA390*100)</f>
        <v/>
      </c>
      <c r="AQ390" s="41" t="str">
        <f aca="false">IF(AP390="","",IFERROR(MATCH(AP390,INDEX(Boundaries!$B$2:$I$30,MATCH(CO390,Boundaries!$A$2:$A$30,0),0),1)-1,""))</f>
        <v/>
      </c>
      <c r="AR390" s="42" t="str">
        <f aca="false">IF(OR(AQ390="",$E390=""),"",AQ390-$E390)</f>
        <v/>
      </c>
      <c r="AS390" s="39"/>
      <c r="AT390" s="40" t="str">
        <f aca="false">IF(OR(AS390="",CB390=""),"",AS390/CB390*100)</f>
        <v/>
      </c>
      <c r="AU390" s="41" t="str">
        <f aca="false">IF(AT390="","",IFERROR(MATCH(AT390,INDEX(Boundaries!$B$2:$I$30,MATCH(CP390,Boundaries!$A$2:$A$30,0),0),1)-1,""))</f>
        <v/>
      </c>
      <c r="AV390" s="42" t="str">
        <f aca="false">IF(OR(AU390="",$E390=""),"",AU390-$E390)</f>
        <v/>
      </c>
      <c r="AW390" s="39"/>
      <c r="AX390" s="40" t="str">
        <f aca="false">IF(OR(AW390="",CC390=""),"",AW390/CC390*100)</f>
        <v/>
      </c>
      <c r="AY390" s="41" t="str">
        <f aca="false">IF(AX390="","",IFERROR(MATCH(AX390,INDEX(Boundaries!$B$2:$I$30,MATCH(CQ390,Boundaries!$A$2:$A$30,0),0),1)-1,""))</f>
        <v/>
      </c>
      <c r="AZ390" s="42" t="str">
        <f aca="false">IF(OR(AY390="",$E390=""),"",AY390-$E390)</f>
        <v/>
      </c>
      <c r="BA390" s="39"/>
      <c r="BB390" s="40" t="str">
        <f aca="false">IF(OR(BA390="",CD390=""),"",BA390/CD390*100)</f>
        <v/>
      </c>
      <c r="BC390" s="41" t="str">
        <f aca="false">IF(BB390="","",IFERROR(MATCH(BB390,INDEX(Boundaries!$B$2:$I$30,MATCH(CR390,Boundaries!$A$2:$A$30,0),0),1)-1,""))</f>
        <v/>
      </c>
      <c r="BD390" s="42" t="str">
        <f aca="false">IF(OR(BC390="",$E390=""),"",BC390-$E390)</f>
        <v/>
      </c>
      <c r="BE390" s="39"/>
      <c r="BF390" s="40" t="str">
        <f aca="false">IF(OR(BE390="",CE390=""),"",BE390/CE390*100)</f>
        <v/>
      </c>
      <c r="BG390" s="41" t="str">
        <f aca="false">IF(BF390="","",IFERROR(MATCH(BF390,INDEX(Boundaries!$B$2:$I$30,MATCH(CS390,Boundaries!$A$2:$A$30,0),0),1)-1,""))</f>
        <v/>
      </c>
      <c r="BH390" s="42" t="str">
        <f aca="false">IF(OR(BG390="",$E390=""),"",BG390-$E390)</f>
        <v/>
      </c>
      <c r="BI390" s="39"/>
      <c r="BJ390" s="40" t="str">
        <f aca="false">IF(OR(BI390="",CF390=""),"",BI390/CF390*100)</f>
        <v/>
      </c>
      <c r="BK390" s="41" t="str">
        <f aca="false">IF(BJ390="","",IFERROR(MATCH(BJ390,INDEX(Boundaries!$B$2:$I$30,MATCH(CT390,Boundaries!$A$2:$A$30,0),0),1)-1,""))</f>
        <v/>
      </c>
      <c r="BL390" s="42" t="str">
        <f aca="false">IF(OR(BK390="",$E390=""),"",BK390-$E390)</f>
        <v/>
      </c>
      <c r="BM390" s="39"/>
      <c r="BN390" s="40" t="str">
        <f aca="false">IF(OR(BM390="",CG390=""),"",BM390/CG390*100)</f>
        <v/>
      </c>
      <c r="BO390" s="41" t="str">
        <f aca="false">IF(BN390="","",IFERROR(MATCH(BN390,INDEX(Boundaries!$B$2:$I$30,MATCH(CU390,Boundaries!$A$2:$A$30,0),0),1)-1,""))</f>
        <v/>
      </c>
      <c r="BP390" s="42" t="str">
        <f aca="false">IF(OR(BO390="",$E390=""),"",BO390-$E390)</f>
        <v/>
      </c>
      <c r="BQ390" s="39"/>
      <c r="BR390" s="40" t="str">
        <f aca="false">IF(OR(BQ390="",CH390=""),"",BQ390/CH390*100)</f>
        <v/>
      </c>
      <c r="BS390" s="41" t="str">
        <f aca="false">IF(BR390="","",IFERROR(MATCH(BR390,INDEX(Boundaries!$B$2:$I$30,MATCH(CV390,Boundaries!$A$2:$A$30,0),0),1)-1,""))</f>
        <v/>
      </c>
      <c r="BT390" s="42" t="str">
        <f aca="false">IF(OR(BS390="",$E390=""),"",BS390-$E390)</f>
        <v/>
      </c>
      <c r="BU390" s="28" t="str">
        <f aca="false">IFERROR(INDEX(Assessments!$H$2:$H$600,MATCH($H390&amp;"|"&amp;$I390&amp;"|"&amp;$J390&amp;"|"&amp;1,Assessments!$A$2:$A$600,0)),"")</f>
        <v/>
      </c>
      <c r="BV390" s="28" t="str">
        <f aca="false">IFERROR(INDEX(Assessments!$H$2:$H$600,MATCH($H390&amp;"|"&amp;$I390&amp;"|"&amp;$J390&amp;"|"&amp;2,Assessments!$A$2:$A$600,0)),"")</f>
        <v/>
      </c>
      <c r="BW390" s="28" t="str">
        <f aca="false">IFERROR(INDEX(Assessments!$H$2:$H$600,MATCH($H390&amp;"|"&amp;$I390&amp;"|"&amp;$J390&amp;"|"&amp;3,Assessments!$A$2:$A$600,0)),"")</f>
        <v/>
      </c>
      <c r="BX390" s="28" t="str">
        <f aca="false">IFERROR(INDEX(Assessments!$H$2:$H$600,MATCH($H390&amp;"|"&amp;$I390&amp;"|"&amp;$J390&amp;"|"&amp;4,Assessments!$A$2:$A$600,0)),"")</f>
        <v/>
      </c>
      <c r="BY390" s="28" t="str">
        <f aca="false">IFERROR(INDEX(Assessments!$H$2:$H$600,MATCH($H390&amp;"|"&amp;$I390&amp;"|"&amp;$J390&amp;"|"&amp;5,Assessments!$A$2:$A$600,0)),"")</f>
        <v/>
      </c>
      <c r="BZ390" s="28" t="str">
        <f aca="false">IFERROR(INDEX(Assessments!$H$2:$H$600,MATCH($H390&amp;"|"&amp;$I390&amp;"|"&amp;$J390&amp;"|"&amp;6,Assessments!$A$2:$A$600,0)),"")</f>
        <v/>
      </c>
      <c r="CA390" s="28" t="str">
        <f aca="false">IFERROR(INDEX(Assessments!$H$2:$H$600,MATCH($H390&amp;"|"&amp;$I390&amp;"|"&amp;$J390&amp;"|"&amp;7,Assessments!$A$2:$A$600,0)),"")</f>
        <v/>
      </c>
      <c r="CB390" s="28" t="str">
        <f aca="false">IFERROR(INDEX(Assessments!$H$2:$H$600,MATCH($H390&amp;"|"&amp;$I390&amp;"|"&amp;$J390&amp;"|"&amp;8,Assessments!$A$2:$A$600,0)),"")</f>
        <v/>
      </c>
      <c r="CC390" s="28" t="str">
        <f aca="false">IFERROR(INDEX(Assessments!$H$2:$H$600,MATCH($H390&amp;"|"&amp;$I390&amp;"|"&amp;$J390&amp;"|"&amp;9,Assessments!$A$2:$A$600,0)),"")</f>
        <v/>
      </c>
      <c r="CD390" s="28" t="str">
        <f aca="false">IFERROR(INDEX(Assessments!$H$2:$H$600,MATCH($H390&amp;"|"&amp;$I390&amp;"|"&amp;$J390&amp;"|"&amp;10,Assessments!$A$2:$A$600,0)),"")</f>
        <v/>
      </c>
      <c r="CE390" s="28" t="str">
        <f aca="false">IFERROR(INDEX(Assessments!$H$2:$H$600,MATCH($H390&amp;"|"&amp;$I390&amp;"|"&amp;$J390&amp;"|"&amp;11,Assessments!$A$2:$A$600,0)),"")</f>
        <v/>
      </c>
      <c r="CF390" s="28" t="str">
        <f aca="false">IFERROR(INDEX(Assessments!$H$2:$H$600,MATCH($H390&amp;"|"&amp;$I390&amp;"|"&amp;$J390&amp;"|"&amp;12,Assessments!$A$2:$A$600,0)),"")</f>
        <v/>
      </c>
      <c r="CG390" s="28" t="str">
        <f aca="false">IFERROR(INDEX(Assessments!$H$2:$H$600,MATCH($H390&amp;"|"&amp;$I390&amp;"|"&amp;$J390&amp;"|"&amp;13,Assessments!$A$2:$A$600,0)),"")</f>
        <v/>
      </c>
      <c r="CH390" s="28" t="str">
        <f aca="false">IFERROR(INDEX(Assessments!$H$2:$H$600,MATCH($H390&amp;"|"&amp;$I390&amp;"|"&amp;$J390&amp;"|"&amp;14,Assessments!$A$2:$A$600,0)),"")</f>
        <v/>
      </c>
      <c r="CI390" s="28" t="str">
        <f aca="false">IFERROR(INDEX(Assessments!$I$2:$I$600,MATCH($H390&amp;"|"&amp;$I390&amp;"|"&amp;$J390&amp;"|"&amp;1,Assessments!$A$2:$A$600,0)),"")</f>
        <v/>
      </c>
      <c r="CJ390" s="28" t="str">
        <f aca="false">IFERROR(INDEX(Assessments!$I$2:$I$600,MATCH($H390&amp;"|"&amp;$I390&amp;"|"&amp;$J390&amp;"|"&amp;2,Assessments!$A$2:$A$600,0)),"")</f>
        <v/>
      </c>
      <c r="CK390" s="28" t="str">
        <f aca="false">IFERROR(INDEX(Assessments!$I$2:$I$600,MATCH($H390&amp;"|"&amp;$I390&amp;"|"&amp;$J390&amp;"|"&amp;3,Assessments!$A$2:$A$600,0)),"")</f>
        <v/>
      </c>
      <c r="CL390" s="28" t="str">
        <f aca="false">IFERROR(INDEX(Assessments!$I$2:$I$600,MATCH($H390&amp;"|"&amp;$I390&amp;"|"&amp;$J390&amp;"|"&amp;4,Assessments!$A$2:$A$600,0)),"")</f>
        <v/>
      </c>
      <c r="CM390" s="28" t="str">
        <f aca="false">IFERROR(INDEX(Assessments!$I$2:$I$600,MATCH($H390&amp;"|"&amp;$I390&amp;"|"&amp;$J390&amp;"|"&amp;5,Assessments!$A$2:$A$600,0)),"")</f>
        <v/>
      </c>
      <c r="CN390" s="28" t="str">
        <f aca="false">IFERROR(INDEX(Assessments!$I$2:$I$600,MATCH($H390&amp;"|"&amp;$I390&amp;"|"&amp;$J390&amp;"|"&amp;6,Assessments!$A$2:$A$600,0)),"")</f>
        <v/>
      </c>
      <c r="CO390" s="28" t="str">
        <f aca="false">IFERROR(INDEX(Assessments!$I$2:$I$600,MATCH($H390&amp;"|"&amp;$I390&amp;"|"&amp;$J390&amp;"|"&amp;7,Assessments!$A$2:$A$600,0)),"")</f>
        <v/>
      </c>
      <c r="CP390" s="28" t="str">
        <f aca="false">IFERROR(INDEX(Assessments!$I$2:$I$600,MATCH($H390&amp;"|"&amp;$I390&amp;"|"&amp;$J390&amp;"|"&amp;8,Assessments!$A$2:$A$600,0)),"")</f>
        <v/>
      </c>
      <c r="CQ390" s="28" t="str">
        <f aca="false">IFERROR(INDEX(Assessments!$I$2:$I$600,MATCH($H390&amp;"|"&amp;$I390&amp;"|"&amp;$J390&amp;"|"&amp;9,Assessments!$A$2:$A$600,0)),"")</f>
        <v/>
      </c>
      <c r="CR390" s="28" t="str">
        <f aca="false">IFERROR(INDEX(Assessments!$I$2:$I$600,MATCH($H390&amp;"|"&amp;$I390&amp;"|"&amp;$J390&amp;"|"&amp;10,Assessments!$A$2:$A$600,0)),"")</f>
        <v/>
      </c>
      <c r="CS390" s="28" t="str">
        <f aca="false">IFERROR(INDEX(Assessments!$I$2:$I$600,MATCH($H390&amp;"|"&amp;$I390&amp;"|"&amp;$J390&amp;"|"&amp;11,Assessments!$A$2:$A$600,0)),"")</f>
        <v/>
      </c>
      <c r="CT390" s="28" t="str">
        <f aca="false">IFERROR(INDEX(Assessments!$I$2:$I$600,MATCH($H390&amp;"|"&amp;$I390&amp;"|"&amp;$J390&amp;"|"&amp;12,Assessments!$A$2:$A$600,0)),"")</f>
        <v/>
      </c>
      <c r="CU390" s="28" t="str">
        <f aca="false">IFERROR(INDEX(Assessments!$I$2:$I$600,MATCH($H390&amp;"|"&amp;$I390&amp;"|"&amp;$J390&amp;"|"&amp;13,Assessments!$A$2:$A$600,0)),"")</f>
        <v/>
      </c>
      <c r="CV390" s="28" t="str">
        <f aca="false">IFERROR(INDEX(Assessments!$I$2:$I$600,MATCH($H390&amp;"|"&amp;$I390&amp;"|"&amp;$J390&amp;"|"&amp;14,Assessments!$A$2:$A$600,0)),"")</f>
        <v/>
      </c>
      <c r="CW390" s="28" t="n">
        <f aca="false">IFERROR(INDEX(Assessments!$J$2:$J$600,MATCH($H390&amp;"|"&amp;$I390&amp;"|"&amp;$J390&amp;"|"&amp;1,Assessments!$A$2:$A$600,0)),0)</f>
        <v>0</v>
      </c>
      <c r="CX390" s="28" t="n">
        <f aca="false">IFERROR(INDEX(Assessments!$J$2:$J$600,MATCH($H390&amp;"|"&amp;$I390&amp;"|"&amp;$J390&amp;"|"&amp;2,Assessments!$A$2:$A$600,0)),0)</f>
        <v>0</v>
      </c>
      <c r="CY390" s="28" t="n">
        <f aca="false">IFERROR(INDEX(Assessments!$J$2:$J$600,MATCH($H390&amp;"|"&amp;$I390&amp;"|"&amp;$J390&amp;"|"&amp;3,Assessments!$A$2:$A$600,0)),0)</f>
        <v>0</v>
      </c>
      <c r="CZ390" s="28" t="n">
        <f aca="false">IFERROR(INDEX(Assessments!$J$2:$J$600,MATCH($H390&amp;"|"&amp;$I390&amp;"|"&amp;$J390&amp;"|"&amp;4,Assessments!$A$2:$A$600,0)),0)</f>
        <v>0</v>
      </c>
      <c r="DA390" s="28" t="n">
        <f aca="false">IFERROR(INDEX(Assessments!$J$2:$J$600,MATCH($H390&amp;"|"&amp;$I390&amp;"|"&amp;$J390&amp;"|"&amp;5,Assessments!$A$2:$A$600,0)),0)</f>
        <v>0</v>
      </c>
      <c r="DB390" s="28" t="n">
        <f aca="false">IFERROR(INDEX(Assessments!$J$2:$J$600,MATCH($H390&amp;"|"&amp;$I390&amp;"|"&amp;$J390&amp;"|"&amp;6,Assessments!$A$2:$A$600,0)),0)</f>
        <v>0</v>
      </c>
      <c r="DC390" s="28" t="n">
        <f aca="false">IFERROR(INDEX(Assessments!$J$2:$J$600,MATCH($H390&amp;"|"&amp;$I390&amp;"|"&amp;$J390&amp;"|"&amp;7,Assessments!$A$2:$A$600,0)),0)</f>
        <v>0</v>
      </c>
      <c r="DD390" s="28" t="n">
        <f aca="false">IFERROR(INDEX(Assessments!$J$2:$J$600,MATCH($H390&amp;"|"&amp;$I390&amp;"|"&amp;$J390&amp;"|"&amp;8,Assessments!$A$2:$A$600,0)),0)</f>
        <v>0</v>
      </c>
      <c r="DE390" s="28" t="n">
        <f aca="false">IFERROR(INDEX(Assessments!$J$2:$J$600,MATCH($H390&amp;"|"&amp;$I390&amp;"|"&amp;$J390&amp;"|"&amp;9,Assessments!$A$2:$A$600,0)),0)</f>
        <v>0</v>
      </c>
      <c r="DF390" s="28" t="n">
        <f aca="false">IFERROR(INDEX(Assessments!$J$2:$J$600,MATCH($H390&amp;"|"&amp;$I390&amp;"|"&amp;$J390&amp;"|"&amp;10,Assessments!$A$2:$A$600,0)),0)</f>
        <v>0</v>
      </c>
      <c r="DG390" s="28" t="n">
        <f aca="false">IFERROR(INDEX(Assessments!$J$2:$J$600,MATCH($H390&amp;"|"&amp;$I390&amp;"|"&amp;$J390&amp;"|"&amp;11,Assessments!$A$2:$A$600,0)),0)</f>
        <v>0</v>
      </c>
      <c r="DH390" s="28" t="n">
        <f aca="false">IFERROR(INDEX(Assessments!$J$2:$J$600,MATCH($H390&amp;"|"&amp;$I390&amp;"|"&amp;$J390&amp;"|"&amp;12,Assessments!$A$2:$A$600,0)),0)</f>
        <v>0</v>
      </c>
      <c r="DI390" s="28" t="n">
        <f aca="false">IFERROR(INDEX(Assessments!$J$2:$J$600,MATCH($H390&amp;"|"&amp;$I390&amp;"|"&amp;$J390&amp;"|"&amp;13,Assessments!$A$2:$A$600,0)),0)</f>
        <v>0</v>
      </c>
      <c r="DJ390" s="28" t="n">
        <f aca="false">IFERROR(INDEX(Assessments!$J$2:$J$600,MATCH($H390&amp;"|"&amp;$I390&amp;"|"&amp;$J390&amp;"|"&amp;14,Assessments!$A$2:$A$600,0)),0)</f>
        <v>0</v>
      </c>
      <c r="DK390" s="28" t="str">
        <f aca="false">S390</f>
        <v/>
      </c>
      <c r="DL390" s="28" t="str">
        <f aca="false">W390</f>
        <v/>
      </c>
      <c r="DM390" s="28" t="str">
        <f aca="false">AA390</f>
        <v/>
      </c>
      <c r="DN390" s="28" t="str">
        <f aca="false">AE390</f>
        <v/>
      </c>
      <c r="DO390" s="28" t="str">
        <f aca="false">AI390</f>
        <v/>
      </c>
      <c r="DP390" s="28" t="str">
        <f aca="false">AM390</f>
        <v/>
      </c>
      <c r="DQ390" s="28" t="str">
        <f aca="false">AQ390</f>
        <v/>
      </c>
      <c r="DR390" s="28" t="str">
        <f aca="false">AU390</f>
        <v/>
      </c>
      <c r="DS390" s="28" t="str">
        <f aca="false">AY390</f>
        <v/>
      </c>
      <c r="DT390" s="28" t="str">
        <f aca="false">BC390</f>
        <v/>
      </c>
      <c r="DU390" s="28" t="str">
        <f aca="false">BG390</f>
        <v/>
      </c>
      <c r="DV390" s="28" t="str">
        <f aca="false">BK390</f>
        <v/>
      </c>
      <c r="DW390" s="28" t="str">
        <f aca="false">BO390</f>
        <v/>
      </c>
      <c r="DX390" s="28" t="str">
        <f aca="false">BS390</f>
        <v/>
      </c>
      <c r="DY390" s="28" t="str">
        <f aca="false">IF(ISNUMBER(S390),1,"")</f>
        <v/>
      </c>
      <c r="DZ390" s="28" t="str">
        <f aca="false">IF(ISNUMBER(W390),2,"")</f>
        <v/>
      </c>
      <c r="EA390" s="28" t="str">
        <f aca="false">IF(ISNUMBER(AA390),3,"")</f>
        <v/>
      </c>
      <c r="EB390" s="28" t="str">
        <f aca="false">IF(ISNUMBER(AE390),4,"")</f>
        <v/>
      </c>
      <c r="EC390" s="28" t="str">
        <f aca="false">IF(ISNUMBER(AI390),5,"")</f>
        <v/>
      </c>
      <c r="ED390" s="28" t="str">
        <f aca="false">IF(ISNUMBER(AM390),6,"")</f>
        <v/>
      </c>
      <c r="EE390" s="28" t="str">
        <f aca="false">IF(ISNUMBER(AQ390),7,"")</f>
        <v/>
      </c>
      <c r="EF390" s="28" t="str">
        <f aca="false">IF(ISNUMBER(AU390),8,"")</f>
        <v/>
      </c>
      <c r="EG390" s="28" t="str">
        <f aca="false">IF(ISNUMBER(AY390),9,"")</f>
        <v/>
      </c>
      <c r="EH390" s="28" t="str">
        <f aca="false">IF(ISNUMBER(BC390),10,"")</f>
        <v/>
      </c>
      <c r="EI390" s="28" t="str">
        <f aca="false">IF(ISNUMBER(BG390),11,"")</f>
        <v/>
      </c>
      <c r="EJ390" s="28" t="str">
        <f aca="false">IF(ISNUMBER(BK390),12,"")</f>
        <v/>
      </c>
      <c r="EK390" s="28" t="str">
        <f aca="false">IF(ISNUMBER(BO390),13,"")</f>
        <v/>
      </c>
      <c r="EL390" s="28" t="str">
        <f aca="false">IF(ISNUMBER(BS390),14,"")</f>
        <v/>
      </c>
      <c r="EM390" s="28" t="n">
        <f aca="false">IF(ISNUMBER(R390),R390*CW390,0)</f>
        <v>0</v>
      </c>
      <c r="EN390" s="28" t="n">
        <f aca="false">IF(ISNUMBER(V390),V390*CX390,0)</f>
        <v>0</v>
      </c>
      <c r="EO390" s="28" t="n">
        <f aca="false">IF(ISNUMBER(Z390),Z390*CY390,0)</f>
        <v>0</v>
      </c>
      <c r="EP390" s="28" t="n">
        <f aca="false">IF(ISNUMBER(AD390),AD390*CZ390,0)</f>
        <v>0</v>
      </c>
      <c r="EQ390" s="28" t="n">
        <f aca="false">IF(ISNUMBER(AH390),AH390*DA390,0)</f>
        <v>0</v>
      </c>
      <c r="ER390" s="28" t="n">
        <f aca="false">IF(ISNUMBER(AL390),AL390*DB390,0)</f>
        <v>0</v>
      </c>
      <c r="ES390" s="28" t="n">
        <f aca="false">IF(ISNUMBER(AP390),AP390*DC390,0)</f>
        <v>0</v>
      </c>
      <c r="ET390" s="28" t="n">
        <f aca="false">IF(ISNUMBER(AT390),AT390*DD390,0)</f>
        <v>0</v>
      </c>
      <c r="EU390" s="28" t="n">
        <f aca="false">IF(ISNUMBER(AX390),AX390*DE390,0)</f>
        <v>0</v>
      </c>
      <c r="EV390" s="28" t="n">
        <f aca="false">IF(ISNUMBER(BB390),BB390*DF390,0)</f>
        <v>0</v>
      </c>
      <c r="EW390" s="28" t="n">
        <f aca="false">IF(ISNUMBER(BF390),BF390*DG390,0)</f>
        <v>0</v>
      </c>
      <c r="EX390" s="28" t="n">
        <f aca="false">IF(ISNUMBER(BJ390),BJ390*DH390,0)</f>
        <v>0</v>
      </c>
      <c r="EY390" s="28" t="n">
        <f aca="false">IF(ISNUMBER(BN390),BN390*DI390,0)</f>
        <v>0</v>
      </c>
      <c r="EZ390" s="28" t="n">
        <f aca="false">IF(ISNUMBER(BR390),BR390*DJ390,0)</f>
        <v>0</v>
      </c>
      <c r="FA390" s="28" t="n">
        <f aca="false">IF(ISNUMBER(R390),CW390,0)</f>
        <v>0</v>
      </c>
      <c r="FB390" s="28" t="n">
        <f aca="false">IF(ISNUMBER(V390),CX390,0)</f>
        <v>0</v>
      </c>
      <c r="FC390" s="28" t="n">
        <f aca="false">IF(ISNUMBER(Z390),CY390,0)</f>
        <v>0</v>
      </c>
      <c r="FD390" s="28" t="n">
        <f aca="false">IF(ISNUMBER(AD390),CZ390,0)</f>
        <v>0</v>
      </c>
      <c r="FE390" s="28" t="n">
        <f aca="false">IF(ISNUMBER(AH390),DA390,0)</f>
        <v>0</v>
      </c>
      <c r="FF390" s="28" t="n">
        <f aca="false">IF(ISNUMBER(AL390),DB390,0)</f>
        <v>0</v>
      </c>
      <c r="FG390" s="28" t="n">
        <f aca="false">IF(ISNUMBER(AP390),DC390,0)</f>
        <v>0</v>
      </c>
      <c r="FH390" s="28" t="n">
        <f aca="false">IF(ISNUMBER(AT390),DD390,0)</f>
        <v>0</v>
      </c>
      <c r="FI390" s="28" t="n">
        <f aca="false">IF(ISNUMBER(AX390),DE390,0)</f>
        <v>0</v>
      </c>
      <c r="FJ390" s="28" t="n">
        <f aca="false">IF(ISNUMBER(BB390),DF390,0)</f>
        <v>0</v>
      </c>
      <c r="FK390" s="28" t="n">
        <f aca="false">IF(ISNUMBER(BF390),DG390,0)</f>
        <v>0</v>
      </c>
      <c r="FL390" s="28" t="n">
        <f aca="false">IF(ISNUMBER(BJ390),DH390,0)</f>
        <v>0</v>
      </c>
      <c r="FM390" s="28" t="n">
        <f aca="false">IF(ISNUMBER(BN390),DI390,0)</f>
        <v>0</v>
      </c>
      <c r="FN390" s="28" t="n">
        <f aca="false">IF(ISNUMBER(BR390),DJ390,0)</f>
        <v>0</v>
      </c>
      <c r="FO390" s="28" t="str">
        <f aca="false">IFERROR(INDEX(Lists!$G$2:$G$20,MATCH($I390&amp;"|"&amp;$J390,Lists!$F$2:$F$20,0)),"")</f>
        <v/>
      </c>
    </row>
    <row r="391" customFormat="false" ht="19.5" hidden="false" customHeight="true" outlineLevel="0" collapsed="false">
      <c r="A391" s="29"/>
      <c r="B391" s="29"/>
      <c r="C391" s="30"/>
      <c r="D391" s="30"/>
      <c r="E391" s="31"/>
      <c r="F391" s="30"/>
      <c r="G391" s="30"/>
      <c r="H391" s="32"/>
      <c r="I391" s="33"/>
      <c r="J391" s="32"/>
      <c r="K391" s="34" t="str">
        <f aca="false">IF(OR(M391="",$E391=""),"",M391-$E391)</f>
        <v/>
      </c>
      <c r="L391" s="35" t="str">
        <f aca="false">IF(SUM(FA391:FN391)=0,"",SUM(EM391:EZ391)/SUM(FA391:FN391))</f>
        <v/>
      </c>
      <c r="M391" s="36" t="str">
        <f aca="false">IF(OR(L391="",FO391=""),"",IFERROR(MATCH(L391,INDEX(Boundaries!$B$2:$I$30,MATCH(FO391,Boundaries!$A$2:$A$30,0),0),1)-1,""))</f>
        <v/>
      </c>
      <c r="N391" s="37" t="str">
        <f aca="false">IF(COUNT($DY391:$EL391)&lt;2,"",INDEX($DK391:$DX391,MAX($DY391:$EL391))-INDEX($DK391:$DX391,MIN($DY391:$EL391)))</f>
        <v/>
      </c>
      <c r="O391" s="37" t="str">
        <f aca="false">IF(COUNT($DY391:$EL391)&lt;2,"",INDEX($DK391:$DX391,MAX($DY391:$EL391))-INDEX($DK391:$DX391,LARGE($DY391:$EL391,2)))</f>
        <v/>
      </c>
      <c r="P391" s="38" t="str">
        <f aca="false">IF(K391="","",IF(K391&gt;=0,"On/above target",IF(AND(N391&lt;&gt;"",N391&gt;=0.5),"Improving towards target",IF(AND(O391&lt;&gt;"",O391&lt;=-0.5),"Declining","Stable below target"))))</f>
        <v/>
      </c>
      <c r="Q391" s="39"/>
      <c r="R391" s="40" t="str">
        <f aca="false">IF(OR(Q391="",BU391=""),"",Q391/BU391*100)</f>
        <v/>
      </c>
      <c r="S391" s="41" t="str">
        <f aca="false">IF(R391="","",IFERROR(MATCH(R391,INDEX(Boundaries!$B$2:$I$30,MATCH(CI391,Boundaries!$A$2:$A$30,0),0),1)-1,""))</f>
        <v/>
      </c>
      <c r="T391" s="42" t="str">
        <f aca="false">IF(OR(S391="",$E391=""),"",S391-$E391)</f>
        <v/>
      </c>
      <c r="U391" s="39"/>
      <c r="V391" s="40" t="str">
        <f aca="false">IF(OR(U391="",BV391=""),"",U391/BV391*100)</f>
        <v/>
      </c>
      <c r="W391" s="41" t="str">
        <f aca="false">IF(V391="","",IFERROR(MATCH(V391,INDEX(Boundaries!$B$2:$I$30,MATCH(CJ391,Boundaries!$A$2:$A$30,0),0),1)-1,""))</f>
        <v/>
      </c>
      <c r="X391" s="42" t="str">
        <f aca="false">IF(OR(W391="",$E391=""),"",W391-$E391)</f>
        <v/>
      </c>
      <c r="Y391" s="39"/>
      <c r="Z391" s="40" t="str">
        <f aca="false">IF(OR(Y391="",BW391=""),"",Y391/BW391*100)</f>
        <v/>
      </c>
      <c r="AA391" s="41" t="str">
        <f aca="false">IF(Z391="","",IFERROR(MATCH(Z391,INDEX(Boundaries!$B$2:$I$30,MATCH(CK391,Boundaries!$A$2:$A$30,0),0),1)-1,""))</f>
        <v/>
      </c>
      <c r="AB391" s="42" t="str">
        <f aca="false">IF(OR(AA391="",$E391=""),"",AA391-$E391)</f>
        <v/>
      </c>
      <c r="AC391" s="39"/>
      <c r="AD391" s="40" t="str">
        <f aca="false">IF(OR(AC391="",BX391=""),"",AC391/BX391*100)</f>
        <v/>
      </c>
      <c r="AE391" s="41" t="str">
        <f aca="false">IF(AD391="","",IFERROR(MATCH(AD391,INDEX(Boundaries!$B$2:$I$30,MATCH(CL391,Boundaries!$A$2:$A$30,0),0),1)-1,""))</f>
        <v/>
      </c>
      <c r="AF391" s="42" t="str">
        <f aca="false">IF(OR(AE391="",$E391=""),"",AE391-$E391)</f>
        <v/>
      </c>
      <c r="AG391" s="39"/>
      <c r="AH391" s="40" t="str">
        <f aca="false">IF(OR(AG391="",BY391=""),"",AG391/BY391*100)</f>
        <v/>
      </c>
      <c r="AI391" s="41" t="str">
        <f aca="false">IF(AH391="","",IFERROR(MATCH(AH391,INDEX(Boundaries!$B$2:$I$30,MATCH(CM391,Boundaries!$A$2:$A$30,0),0),1)-1,""))</f>
        <v/>
      </c>
      <c r="AJ391" s="42" t="str">
        <f aca="false">IF(OR(AI391="",$E391=""),"",AI391-$E391)</f>
        <v/>
      </c>
      <c r="AK391" s="39"/>
      <c r="AL391" s="40" t="str">
        <f aca="false">IF(OR(AK391="",BZ391=""),"",AK391/BZ391*100)</f>
        <v/>
      </c>
      <c r="AM391" s="41" t="str">
        <f aca="false">IF(AL391="","",IFERROR(MATCH(AL391,INDEX(Boundaries!$B$2:$I$30,MATCH(CN391,Boundaries!$A$2:$A$30,0),0),1)-1,""))</f>
        <v/>
      </c>
      <c r="AN391" s="42" t="str">
        <f aca="false">IF(OR(AM391="",$E391=""),"",AM391-$E391)</f>
        <v/>
      </c>
      <c r="AO391" s="39"/>
      <c r="AP391" s="40" t="str">
        <f aca="false">IF(OR(AO391="",CA391=""),"",AO391/CA391*100)</f>
        <v/>
      </c>
      <c r="AQ391" s="41" t="str">
        <f aca="false">IF(AP391="","",IFERROR(MATCH(AP391,INDEX(Boundaries!$B$2:$I$30,MATCH(CO391,Boundaries!$A$2:$A$30,0),0),1)-1,""))</f>
        <v/>
      </c>
      <c r="AR391" s="42" t="str">
        <f aca="false">IF(OR(AQ391="",$E391=""),"",AQ391-$E391)</f>
        <v/>
      </c>
      <c r="AS391" s="39"/>
      <c r="AT391" s="40" t="str">
        <f aca="false">IF(OR(AS391="",CB391=""),"",AS391/CB391*100)</f>
        <v/>
      </c>
      <c r="AU391" s="41" t="str">
        <f aca="false">IF(AT391="","",IFERROR(MATCH(AT391,INDEX(Boundaries!$B$2:$I$30,MATCH(CP391,Boundaries!$A$2:$A$30,0),0),1)-1,""))</f>
        <v/>
      </c>
      <c r="AV391" s="42" t="str">
        <f aca="false">IF(OR(AU391="",$E391=""),"",AU391-$E391)</f>
        <v/>
      </c>
      <c r="AW391" s="39"/>
      <c r="AX391" s="40" t="str">
        <f aca="false">IF(OR(AW391="",CC391=""),"",AW391/CC391*100)</f>
        <v/>
      </c>
      <c r="AY391" s="41" t="str">
        <f aca="false">IF(AX391="","",IFERROR(MATCH(AX391,INDEX(Boundaries!$B$2:$I$30,MATCH(CQ391,Boundaries!$A$2:$A$30,0),0),1)-1,""))</f>
        <v/>
      </c>
      <c r="AZ391" s="42" t="str">
        <f aca="false">IF(OR(AY391="",$E391=""),"",AY391-$E391)</f>
        <v/>
      </c>
      <c r="BA391" s="39"/>
      <c r="BB391" s="40" t="str">
        <f aca="false">IF(OR(BA391="",CD391=""),"",BA391/CD391*100)</f>
        <v/>
      </c>
      <c r="BC391" s="41" t="str">
        <f aca="false">IF(BB391="","",IFERROR(MATCH(BB391,INDEX(Boundaries!$B$2:$I$30,MATCH(CR391,Boundaries!$A$2:$A$30,0),0),1)-1,""))</f>
        <v/>
      </c>
      <c r="BD391" s="42" t="str">
        <f aca="false">IF(OR(BC391="",$E391=""),"",BC391-$E391)</f>
        <v/>
      </c>
      <c r="BE391" s="39"/>
      <c r="BF391" s="40" t="str">
        <f aca="false">IF(OR(BE391="",CE391=""),"",BE391/CE391*100)</f>
        <v/>
      </c>
      <c r="BG391" s="41" t="str">
        <f aca="false">IF(BF391="","",IFERROR(MATCH(BF391,INDEX(Boundaries!$B$2:$I$30,MATCH(CS391,Boundaries!$A$2:$A$30,0),0),1)-1,""))</f>
        <v/>
      </c>
      <c r="BH391" s="42" t="str">
        <f aca="false">IF(OR(BG391="",$E391=""),"",BG391-$E391)</f>
        <v/>
      </c>
      <c r="BI391" s="39"/>
      <c r="BJ391" s="40" t="str">
        <f aca="false">IF(OR(BI391="",CF391=""),"",BI391/CF391*100)</f>
        <v/>
      </c>
      <c r="BK391" s="41" t="str">
        <f aca="false">IF(BJ391="","",IFERROR(MATCH(BJ391,INDEX(Boundaries!$B$2:$I$30,MATCH(CT391,Boundaries!$A$2:$A$30,0),0),1)-1,""))</f>
        <v/>
      </c>
      <c r="BL391" s="42" t="str">
        <f aca="false">IF(OR(BK391="",$E391=""),"",BK391-$E391)</f>
        <v/>
      </c>
      <c r="BM391" s="39"/>
      <c r="BN391" s="40" t="str">
        <f aca="false">IF(OR(BM391="",CG391=""),"",BM391/CG391*100)</f>
        <v/>
      </c>
      <c r="BO391" s="41" t="str">
        <f aca="false">IF(BN391="","",IFERROR(MATCH(BN391,INDEX(Boundaries!$B$2:$I$30,MATCH(CU391,Boundaries!$A$2:$A$30,0),0),1)-1,""))</f>
        <v/>
      </c>
      <c r="BP391" s="42" t="str">
        <f aca="false">IF(OR(BO391="",$E391=""),"",BO391-$E391)</f>
        <v/>
      </c>
      <c r="BQ391" s="39"/>
      <c r="BR391" s="40" t="str">
        <f aca="false">IF(OR(BQ391="",CH391=""),"",BQ391/CH391*100)</f>
        <v/>
      </c>
      <c r="BS391" s="41" t="str">
        <f aca="false">IF(BR391="","",IFERROR(MATCH(BR391,INDEX(Boundaries!$B$2:$I$30,MATCH(CV391,Boundaries!$A$2:$A$30,0),0),1)-1,""))</f>
        <v/>
      </c>
      <c r="BT391" s="42" t="str">
        <f aca="false">IF(OR(BS391="",$E391=""),"",BS391-$E391)</f>
        <v/>
      </c>
      <c r="BU391" s="28" t="str">
        <f aca="false">IFERROR(INDEX(Assessments!$H$2:$H$600,MATCH($H391&amp;"|"&amp;$I391&amp;"|"&amp;$J391&amp;"|"&amp;1,Assessments!$A$2:$A$600,0)),"")</f>
        <v/>
      </c>
      <c r="BV391" s="28" t="str">
        <f aca="false">IFERROR(INDEX(Assessments!$H$2:$H$600,MATCH($H391&amp;"|"&amp;$I391&amp;"|"&amp;$J391&amp;"|"&amp;2,Assessments!$A$2:$A$600,0)),"")</f>
        <v/>
      </c>
      <c r="BW391" s="28" t="str">
        <f aca="false">IFERROR(INDEX(Assessments!$H$2:$H$600,MATCH($H391&amp;"|"&amp;$I391&amp;"|"&amp;$J391&amp;"|"&amp;3,Assessments!$A$2:$A$600,0)),"")</f>
        <v/>
      </c>
      <c r="BX391" s="28" t="str">
        <f aca="false">IFERROR(INDEX(Assessments!$H$2:$H$600,MATCH($H391&amp;"|"&amp;$I391&amp;"|"&amp;$J391&amp;"|"&amp;4,Assessments!$A$2:$A$600,0)),"")</f>
        <v/>
      </c>
      <c r="BY391" s="28" t="str">
        <f aca="false">IFERROR(INDEX(Assessments!$H$2:$H$600,MATCH($H391&amp;"|"&amp;$I391&amp;"|"&amp;$J391&amp;"|"&amp;5,Assessments!$A$2:$A$600,0)),"")</f>
        <v/>
      </c>
      <c r="BZ391" s="28" t="str">
        <f aca="false">IFERROR(INDEX(Assessments!$H$2:$H$600,MATCH($H391&amp;"|"&amp;$I391&amp;"|"&amp;$J391&amp;"|"&amp;6,Assessments!$A$2:$A$600,0)),"")</f>
        <v/>
      </c>
      <c r="CA391" s="28" t="str">
        <f aca="false">IFERROR(INDEX(Assessments!$H$2:$H$600,MATCH($H391&amp;"|"&amp;$I391&amp;"|"&amp;$J391&amp;"|"&amp;7,Assessments!$A$2:$A$600,0)),"")</f>
        <v/>
      </c>
      <c r="CB391" s="28" t="str">
        <f aca="false">IFERROR(INDEX(Assessments!$H$2:$H$600,MATCH($H391&amp;"|"&amp;$I391&amp;"|"&amp;$J391&amp;"|"&amp;8,Assessments!$A$2:$A$600,0)),"")</f>
        <v/>
      </c>
      <c r="CC391" s="28" t="str">
        <f aca="false">IFERROR(INDEX(Assessments!$H$2:$H$600,MATCH($H391&amp;"|"&amp;$I391&amp;"|"&amp;$J391&amp;"|"&amp;9,Assessments!$A$2:$A$600,0)),"")</f>
        <v/>
      </c>
      <c r="CD391" s="28" t="str">
        <f aca="false">IFERROR(INDEX(Assessments!$H$2:$H$600,MATCH($H391&amp;"|"&amp;$I391&amp;"|"&amp;$J391&amp;"|"&amp;10,Assessments!$A$2:$A$600,0)),"")</f>
        <v/>
      </c>
      <c r="CE391" s="28" t="str">
        <f aca="false">IFERROR(INDEX(Assessments!$H$2:$H$600,MATCH($H391&amp;"|"&amp;$I391&amp;"|"&amp;$J391&amp;"|"&amp;11,Assessments!$A$2:$A$600,0)),"")</f>
        <v/>
      </c>
      <c r="CF391" s="28" t="str">
        <f aca="false">IFERROR(INDEX(Assessments!$H$2:$H$600,MATCH($H391&amp;"|"&amp;$I391&amp;"|"&amp;$J391&amp;"|"&amp;12,Assessments!$A$2:$A$600,0)),"")</f>
        <v/>
      </c>
      <c r="CG391" s="28" t="str">
        <f aca="false">IFERROR(INDEX(Assessments!$H$2:$H$600,MATCH($H391&amp;"|"&amp;$I391&amp;"|"&amp;$J391&amp;"|"&amp;13,Assessments!$A$2:$A$600,0)),"")</f>
        <v/>
      </c>
      <c r="CH391" s="28" t="str">
        <f aca="false">IFERROR(INDEX(Assessments!$H$2:$H$600,MATCH($H391&amp;"|"&amp;$I391&amp;"|"&amp;$J391&amp;"|"&amp;14,Assessments!$A$2:$A$600,0)),"")</f>
        <v/>
      </c>
      <c r="CI391" s="28" t="str">
        <f aca="false">IFERROR(INDEX(Assessments!$I$2:$I$600,MATCH($H391&amp;"|"&amp;$I391&amp;"|"&amp;$J391&amp;"|"&amp;1,Assessments!$A$2:$A$600,0)),"")</f>
        <v/>
      </c>
      <c r="CJ391" s="28" t="str">
        <f aca="false">IFERROR(INDEX(Assessments!$I$2:$I$600,MATCH($H391&amp;"|"&amp;$I391&amp;"|"&amp;$J391&amp;"|"&amp;2,Assessments!$A$2:$A$600,0)),"")</f>
        <v/>
      </c>
      <c r="CK391" s="28" t="str">
        <f aca="false">IFERROR(INDEX(Assessments!$I$2:$I$600,MATCH($H391&amp;"|"&amp;$I391&amp;"|"&amp;$J391&amp;"|"&amp;3,Assessments!$A$2:$A$600,0)),"")</f>
        <v/>
      </c>
      <c r="CL391" s="28" t="str">
        <f aca="false">IFERROR(INDEX(Assessments!$I$2:$I$600,MATCH($H391&amp;"|"&amp;$I391&amp;"|"&amp;$J391&amp;"|"&amp;4,Assessments!$A$2:$A$600,0)),"")</f>
        <v/>
      </c>
      <c r="CM391" s="28" t="str">
        <f aca="false">IFERROR(INDEX(Assessments!$I$2:$I$600,MATCH($H391&amp;"|"&amp;$I391&amp;"|"&amp;$J391&amp;"|"&amp;5,Assessments!$A$2:$A$600,0)),"")</f>
        <v/>
      </c>
      <c r="CN391" s="28" t="str">
        <f aca="false">IFERROR(INDEX(Assessments!$I$2:$I$600,MATCH($H391&amp;"|"&amp;$I391&amp;"|"&amp;$J391&amp;"|"&amp;6,Assessments!$A$2:$A$600,0)),"")</f>
        <v/>
      </c>
      <c r="CO391" s="28" t="str">
        <f aca="false">IFERROR(INDEX(Assessments!$I$2:$I$600,MATCH($H391&amp;"|"&amp;$I391&amp;"|"&amp;$J391&amp;"|"&amp;7,Assessments!$A$2:$A$600,0)),"")</f>
        <v/>
      </c>
      <c r="CP391" s="28" t="str">
        <f aca="false">IFERROR(INDEX(Assessments!$I$2:$I$600,MATCH($H391&amp;"|"&amp;$I391&amp;"|"&amp;$J391&amp;"|"&amp;8,Assessments!$A$2:$A$600,0)),"")</f>
        <v/>
      </c>
      <c r="CQ391" s="28" t="str">
        <f aca="false">IFERROR(INDEX(Assessments!$I$2:$I$600,MATCH($H391&amp;"|"&amp;$I391&amp;"|"&amp;$J391&amp;"|"&amp;9,Assessments!$A$2:$A$600,0)),"")</f>
        <v/>
      </c>
      <c r="CR391" s="28" t="str">
        <f aca="false">IFERROR(INDEX(Assessments!$I$2:$I$600,MATCH($H391&amp;"|"&amp;$I391&amp;"|"&amp;$J391&amp;"|"&amp;10,Assessments!$A$2:$A$600,0)),"")</f>
        <v/>
      </c>
      <c r="CS391" s="28" t="str">
        <f aca="false">IFERROR(INDEX(Assessments!$I$2:$I$600,MATCH($H391&amp;"|"&amp;$I391&amp;"|"&amp;$J391&amp;"|"&amp;11,Assessments!$A$2:$A$600,0)),"")</f>
        <v/>
      </c>
      <c r="CT391" s="28" t="str">
        <f aca="false">IFERROR(INDEX(Assessments!$I$2:$I$600,MATCH($H391&amp;"|"&amp;$I391&amp;"|"&amp;$J391&amp;"|"&amp;12,Assessments!$A$2:$A$600,0)),"")</f>
        <v/>
      </c>
      <c r="CU391" s="28" t="str">
        <f aca="false">IFERROR(INDEX(Assessments!$I$2:$I$600,MATCH($H391&amp;"|"&amp;$I391&amp;"|"&amp;$J391&amp;"|"&amp;13,Assessments!$A$2:$A$600,0)),"")</f>
        <v/>
      </c>
      <c r="CV391" s="28" t="str">
        <f aca="false">IFERROR(INDEX(Assessments!$I$2:$I$600,MATCH($H391&amp;"|"&amp;$I391&amp;"|"&amp;$J391&amp;"|"&amp;14,Assessments!$A$2:$A$600,0)),"")</f>
        <v/>
      </c>
      <c r="CW391" s="28" t="n">
        <f aca="false">IFERROR(INDEX(Assessments!$J$2:$J$600,MATCH($H391&amp;"|"&amp;$I391&amp;"|"&amp;$J391&amp;"|"&amp;1,Assessments!$A$2:$A$600,0)),0)</f>
        <v>0</v>
      </c>
      <c r="CX391" s="28" t="n">
        <f aca="false">IFERROR(INDEX(Assessments!$J$2:$J$600,MATCH($H391&amp;"|"&amp;$I391&amp;"|"&amp;$J391&amp;"|"&amp;2,Assessments!$A$2:$A$600,0)),0)</f>
        <v>0</v>
      </c>
      <c r="CY391" s="28" t="n">
        <f aca="false">IFERROR(INDEX(Assessments!$J$2:$J$600,MATCH($H391&amp;"|"&amp;$I391&amp;"|"&amp;$J391&amp;"|"&amp;3,Assessments!$A$2:$A$600,0)),0)</f>
        <v>0</v>
      </c>
      <c r="CZ391" s="28" t="n">
        <f aca="false">IFERROR(INDEX(Assessments!$J$2:$J$600,MATCH($H391&amp;"|"&amp;$I391&amp;"|"&amp;$J391&amp;"|"&amp;4,Assessments!$A$2:$A$600,0)),0)</f>
        <v>0</v>
      </c>
      <c r="DA391" s="28" t="n">
        <f aca="false">IFERROR(INDEX(Assessments!$J$2:$J$600,MATCH($H391&amp;"|"&amp;$I391&amp;"|"&amp;$J391&amp;"|"&amp;5,Assessments!$A$2:$A$600,0)),0)</f>
        <v>0</v>
      </c>
      <c r="DB391" s="28" t="n">
        <f aca="false">IFERROR(INDEX(Assessments!$J$2:$J$600,MATCH($H391&amp;"|"&amp;$I391&amp;"|"&amp;$J391&amp;"|"&amp;6,Assessments!$A$2:$A$600,0)),0)</f>
        <v>0</v>
      </c>
      <c r="DC391" s="28" t="n">
        <f aca="false">IFERROR(INDEX(Assessments!$J$2:$J$600,MATCH($H391&amp;"|"&amp;$I391&amp;"|"&amp;$J391&amp;"|"&amp;7,Assessments!$A$2:$A$600,0)),0)</f>
        <v>0</v>
      </c>
      <c r="DD391" s="28" t="n">
        <f aca="false">IFERROR(INDEX(Assessments!$J$2:$J$600,MATCH($H391&amp;"|"&amp;$I391&amp;"|"&amp;$J391&amp;"|"&amp;8,Assessments!$A$2:$A$600,0)),0)</f>
        <v>0</v>
      </c>
      <c r="DE391" s="28" t="n">
        <f aca="false">IFERROR(INDEX(Assessments!$J$2:$J$600,MATCH($H391&amp;"|"&amp;$I391&amp;"|"&amp;$J391&amp;"|"&amp;9,Assessments!$A$2:$A$600,0)),0)</f>
        <v>0</v>
      </c>
      <c r="DF391" s="28" t="n">
        <f aca="false">IFERROR(INDEX(Assessments!$J$2:$J$600,MATCH($H391&amp;"|"&amp;$I391&amp;"|"&amp;$J391&amp;"|"&amp;10,Assessments!$A$2:$A$600,0)),0)</f>
        <v>0</v>
      </c>
      <c r="DG391" s="28" t="n">
        <f aca="false">IFERROR(INDEX(Assessments!$J$2:$J$600,MATCH($H391&amp;"|"&amp;$I391&amp;"|"&amp;$J391&amp;"|"&amp;11,Assessments!$A$2:$A$600,0)),0)</f>
        <v>0</v>
      </c>
      <c r="DH391" s="28" t="n">
        <f aca="false">IFERROR(INDEX(Assessments!$J$2:$J$600,MATCH($H391&amp;"|"&amp;$I391&amp;"|"&amp;$J391&amp;"|"&amp;12,Assessments!$A$2:$A$600,0)),0)</f>
        <v>0</v>
      </c>
      <c r="DI391" s="28" t="n">
        <f aca="false">IFERROR(INDEX(Assessments!$J$2:$J$600,MATCH($H391&amp;"|"&amp;$I391&amp;"|"&amp;$J391&amp;"|"&amp;13,Assessments!$A$2:$A$600,0)),0)</f>
        <v>0</v>
      </c>
      <c r="DJ391" s="28" t="n">
        <f aca="false">IFERROR(INDEX(Assessments!$J$2:$J$600,MATCH($H391&amp;"|"&amp;$I391&amp;"|"&amp;$J391&amp;"|"&amp;14,Assessments!$A$2:$A$600,0)),0)</f>
        <v>0</v>
      </c>
      <c r="DK391" s="28" t="str">
        <f aca="false">S391</f>
        <v/>
      </c>
      <c r="DL391" s="28" t="str">
        <f aca="false">W391</f>
        <v/>
      </c>
      <c r="DM391" s="28" t="str">
        <f aca="false">AA391</f>
        <v/>
      </c>
      <c r="DN391" s="28" t="str">
        <f aca="false">AE391</f>
        <v/>
      </c>
      <c r="DO391" s="28" t="str">
        <f aca="false">AI391</f>
        <v/>
      </c>
      <c r="DP391" s="28" t="str">
        <f aca="false">AM391</f>
        <v/>
      </c>
      <c r="DQ391" s="28" t="str">
        <f aca="false">AQ391</f>
        <v/>
      </c>
      <c r="DR391" s="28" t="str">
        <f aca="false">AU391</f>
        <v/>
      </c>
      <c r="DS391" s="28" t="str">
        <f aca="false">AY391</f>
        <v/>
      </c>
      <c r="DT391" s="28" t="str">
        <f aca="false">BC391</f>
        <v/>
      </c>
      <c r="DU391" s="28" t="str">
        <f aca="false">BG391</f>
        <v/>
      </c>
      <c r="DV391" s="28" t="str">
        <f aca="false">BK391</f>
        <v/>
      </c>
      <c r="DW391" s="28" t="str">
        <f aca="false">BO391</f>
        <v/>
      </c>
      <c r="DX391" s="28" t="str">
        <f aca="false">BS391</f>
        <v/>
      </c>
      <c r="DY391" s="28" t="str">
        <f aca="false">IF(ISNUMBER(S391),1,"")</f>
        <v/>
      </c>
      <c r="DZ391" s="28" t="str">
        <f aca="false">IF(ISNUMBER(W391),2,"")</f>
        <v/>
      </c>
      <c r="EA391" s="28" t="str">
        <f aca="false">IF(ISNUMBER(AA391),3,"")</f>
        <v/>
      </c>
      <c r="EB391" s="28" t="str">
        <f aca="false">IF(ISNUMBER(AE391),4,"")</f>
        <v/>
      </c>
      <c r="EC391" s="28" t="str">
        <f aca="false">IF(ISNUMBER(AI391),5,"")</f>
        <v/>
      </c>
      <c r="ED391" s="28" t="str">
        <f aca="false">IF(ISNUMBER(AM391),6,"")</f>
        <v/>
      </c>
      <c r="EE391" s="28" t="str">
        <f aca="false">IF(ISNUMBER(AQ391),7,"")</f>
        <v/>
      </c>
      <c r="EF391" s="28" t="str">
        <f aca="false">IF(ISNUMBER(AU391),8,"")</f>
        <v/>
      </c>
      <c r="EG391" s="28" t="str">
        <f aca="false">IF(ISNUMBER(AY391),9,"")</f>
        <v/>
      </c>
      <c r="EH391" s="28" t="str">
        <f aca="false">IF(ISNUMBER(BC391),10,"")</f>
        <v/>
      </c>
      <c r="EI391" s="28" t="str">
        <f aca="false">IF(ISNUMBER(BG391),11,"")</f>
        <v/>
      </c>
      <c r="EJ391" s="28" t="str">
        <f aca="false">IF(ISNUMBER(BK391),12,"")</f>
        <v/>
      </c>
      <c r="EK391" s="28" t="str">
        <f aca="false">IF(ISNUMBER(BO391),13,"")</f>
        <v/>
      </c>
      <c r="EL391" s="28" t="str">
        <f aca="false">IF(ISNUMBER(BS391),14,"")</f>
        <v/>
      </c>
      <c r="EM391" s="28" t="n">
        <f aca="false">IF(ISNUMBER(R391),R391*CW391,0)</f>
        <v>0</v>
      </c>
      <c r="EN391" s="28" t="n">
        <f aca="false">IF(ISNUMBER(V391),V391*CX391,0)</f>
        <v>0</v>
      </c>
      <c r="EO391" s="28" t="n">
        <f aca="false">IF(ISNUMBER(Z391),Z391*CY391,0)</f>
        <v>0</v>
      </c>
      <c r="EP391" s="28" t="n">
        <f aca="false">IF(ISNUMBER(AD391),AD391*CZ391,0)</f>
        <v>0</v>
      </c>
      <c r="EQ391" s="28" t="n">
        <f aca="false">IF(ISNUMBER(AH391),AH391*DA391,0)</f>
        <v>0</v>
      </c>
      <c r="ER391" s="28" t="n">
        <f aca="false">IF(ISNUMBER(AL391),AL391*DB391,0)</f>
        <v>0</v>
      </c>
      <c r="ES391" s="28" t="n">
        <f aca="false">IF(ISNUMBER(AP391),AP391*DC391,0)</f>
        <v>0</v>
      </c>
      <c r="ET391" s="28" t="n">
        <f aca="false">IF(ISNUMBER(AT391),AT391*DD391,0)</f>
        <v>0</v>
      </c>
      <c r="EU391" s="28" t="n">
        <f aca="false">IF(ISNUMBER(AX391),AX391*DE391,0)</f>
        <v>0</v>
      </c>
      <c r="EV391" s="28" t="n">
        <f aca="false">IF(ISNUMBER(BB391),BB391*DF391,0)</f>
        <v>0</v>
      </c>
      <c r="EW391" s="28" t="n">
        <f aca="false">IF(ISNUMBER(BF391),BF391*DG391,0)</f>
        <v>0</v>
      </c>
      <c r="EX391" s="28" t="n">
        <f aca="false">IF(ISNUMBER(BJ391),BJ391*DH391,0)</f>
        <v>0</v>
      </c>
      <c r="EY391" s="28" t="n">
        <f aca="false">IF(ISNUMBER(BN391),BN391*DI391,0)</f>
        <v>0</v>
      </c>
      <c r="EZ391" s="28" t="n">
        <f aca="false">IF(ISNUMBER(BR391),BR391*DJ391,0)</f>
        <v>0</v>
      </c>
      <c r="FA391" s="28" t="n">
        <f aca="false">IF(ISNUMBER(R391),CW391,0)</f>
        <v>0</v>
      </c>
      <c r="FB391" s="28" t="n">
        <f aca="false">IF(ISNUMBER(V391),CX391,0)</f>
        <v>0</v>
      </c>
      <c r="FC391" s="28" t="n">
        <f aca="false">IF(ISNUMBER(Z391),CY391,0)</f>
        <v>0</v>
      </c>
      <c r="FD391" s="28" t="n">
        <f aca="false">IF(ISNUMBER(AD391),CZ391,0)</f>
        <v>0</v>
      </c>
      <c r="FE391" s="28" t="n">
        <f aca="false">IF(ISNUMBER(AH391),DA391,0)</f>
        <v>0</v>
      </c>
      <c r="FF391" s="28" t="n">
        <f aca="false">IF(ISNUMBER(AL391),DB391,0)</f>
        <v>0</v>
      </c>
      <c r="FG391" s="28" t="n">
        <f aca="false">IF(ISNUMBER(AP391),DC391,0)</f>
        <v>0</v>
      </c>
      <c r="FH391" s="28" t="n">
        <f aca="false">IF(ISNUMBER(AT391),DD391,0)</f>
        <v>0</v>
      </c>
      <c r="FI391" s="28" t="n">
        <f aca="false">IF(ISNUMBER(AX391),DE391,0)</f>
        <v>0</v>
      </c>
      <c r="FJ391" s="28" t="n">
        <f aca="false">IF(ISNUMBER(BB391),DF391,0)</f>
        <v>0</v>
      </c>
      <c r="FK391" s="28" t="n">
        <f aca="false">IF(ISNUMBER(BF391),DG391,0)</f>
        <v>0</v>
      </c>
      <c r="FL391" s="28" t="n">
        <f aca="false">IF(ISNUMBER(BJ391),DH391,0)</f>
        <v>0</v>
      </c>
      <c r="FM391" s="28" t="n">
        <f aca="false">IF(ISNUMBER(BN391),DI391,0)</f>
        <v>0</v>
      </c>
      <c r="FN391" s="28" t="n">
        <f aca="false">IF(ISNUMBER(BR391),DJ391,0)</f>
        <v>0</v>
      </c>
      <c r="FO391" s="28" t="str">
        <f aca="false">IFERROR(INDEX(Lists!$G$2:$G$20,MATCH($I391&amp;"|"&amp;$J391,Lists!$F$2:$F$20,0)),"")</f>
        <v/>
      </c>
    </row>
    <row r="392" customFormat="false" ht="19.5" hidden="false" customHeight="true" outlineLevel="0" collapsed="false">
      <c r="A392" s="29"/>
      <c r="B392" s="29"/>
      <c r="C392" s="30"/>
      <c r="D392" s="30"/>
      <c r="E392" s="31"/>
      <c r="F392" s="30"/>
      <c r="G392" s="30"/>
      <c r="H392" s="32"/>
      <c r="I392" s="33"/>
      <c r="J392" s="32"/>
      <c r="K392" s="34" t="str">
        <f aca="false">IF(OR(M392="",$E392=""),"",M392-$E392)</f>
        <v/>
      </c>
      <c r="L392" s="35" t="str">
        <f aca="false">IF(SUM(FA392:FN392)=0,"",SUM(EM392:EZ392)/SUM(FA392:FN392))</f>
        <v/>
      </c>
      <c r="M392" s="36" t="str">
        <f aca="false">IF(OR(L392="",FO392=""),"",IFERROR(MATCH(L392,INDEX(Boundaries!$B$2:$I$30,MATCH(FO392,Boundaries!$A$2:$A$30,0),0),1)-1,""))</f>
        <v/>
      </c>
      <c r="N392" s="37" t="str">
        <f aca="false">IF(COUNT($DY392:$EL392)&lt;2,"",INDEX($DK392:$DX392,MAX($DY392:$EL392))-INDEX($DK392:$DX392,MIN($DY392:$EL392)))</f>
        <v/>
      </c>
      <c r="O392" s="37" t="str">
        <f aca="false">IF(COUNT($DY392:$EL392)&lt;2,"",INDEX($DK392:$DX392,MAX($DY392:$EL392))-INDEX($DK392:$DX392,LARGE($DY392:$EL392,2)))</f>
        <v/>
      </c>
      <c r="P392" s="38" t="str">
        <f aca="false">IF(K392="","",IF(K392&gt;=0,"On/above target",IF(AND(N392&lt;&gt;"",N392&gt;=0.5),"Improving towards target",IF(AND(O392&lt;&gt;"",O392&lt;=-0.5),"Declining","Stable below target"))))</f>
        <v/>
      </c>
      <c r="Q392" s="39"/>
      <c r="R392" s="40" t="str">
        <f aca="false">IF(OR(Q392="",BU392=""),"",Q392/BU392*100)</f>
        <v/>
      </c>
      <c r="S392" s="41" t="str">
        <f aca="false">IF(R392="","",IFERROR(MATCH(R392,INDEX(Boundaries!$B$2:$I$30,MATCH(CI392,Boundaries!$A$2:$A$30,0),0),1)-1,""))</f>
        <v/>
      </c>
      <c r="T392" s="42" t="str">
        <f aca="false">IF(OR(S392="",$E392=""),"",S392-$E392)</f>
        <v/>
      </c>
      <c r="U392" s="39"/>
      <c r="V392" s="40" t="str">
        <f aca="false">IF(OR(U392="",BV392=""),"",U392/BV392*100)</f>
        <v/>
      </c>
      <c r="W392" s="41" t="str">
        <f aca="false">IF(V392="","",IFERROR(MATCH(V392,INDEX(Boundaries!$B$2:$I$30,MATCH(CJ392,Boundaries!$A$2:$A$30,0),0),1)-1,""))</f>
        <v/>
      </c>
      <c r="X392" s="42" t="str">
        <f aca="false">IF(OR(W392="",$E392=""),"",W392-$E392)</f>
        <v/>
      </c>
      <c r="Y392" s="39"/>
      <c r="Z392" s="40" t="str">
        <f aca="false">IF(OR(Y392="",BW392=""),"",Y392/BW392*100)</f>
        <v/>
      </c>
      <c r="AA392" s="41" t="str">
        <f aca="false">IF(Z392="","",IFERROR(MATCH(Z392,INDEX(Boundaries!$B$2:$I$30,MATCH(CK392,Boundaries!$A$2:$A$30,0),0),1)-1,""))</f>
        <v/>
      </c>
      <c r="AB392" s="42" t="str">
        <f aca="false">IF(OR(AA392="",$E392=""),"",AA392-$E392)</f>
        <v/>
      </c>
      <c r="AC392" s="39"/>
      <c r="AD392" s="40" t="str">
        <f aca="false">IF(OR(AC392="",BX392=""),"",AC392/BX392*100)</f>
        <v/>
      </c>
      <c r="AE392" s="41" t="str">
        <f aca="false">IF(AD392="","",IFERROR(MATCH(AD392,INDEX(Boundaries!$B$2:$I$30,MATCH(CL392,Boundaries!$A$2:$A$30,0),0),1)-1,""))</f>
        <v/>
      </c>
      <c r="AF392" s="42" t="str">
        <f aca="false">IF(OR(AE392="",$E392=""),"",AE392-$E392)</f>
        <v/>
      </c>
      <c r="AG392" s="39"/>
      <c r="AH392" s="40" t="str">
        <f aca="false">IF(OR(AG392="",BY392=""),"",AG392/BY392*100)</f>
        <v/>
      </c>
      <c r="AI392" s="41" t="str">
        <f aca="false">IF(AH392="","",IFERROR(MATCH(AH392,INDEX(Boundaries!$B$2:$I$30,MATCH(CM392,Boundaries!$A$2:$A$30,0),0),1)-1,""))</f>
        <v/>
      </c>
      <c r="AJ392" s="42" t="str">
        <f aca="false">IF(OR(AI392="",$E392=""),"",AI392-$E392)</f>
        <v/>
      </c>
      <c r="AK392" s="39"/>
      <c r="AL392" s="40" t="str">
        <f aca="false">IF(OR(AK392="",BZ392=""),"",AK392/BZ392*100)</f>
        <v/>
      </c>
      <c r="AM392" s="41" t="str">
        <f aca="false">IF(AL392="","",IFERROR(MATCH(AL392,INDEX(Boundaries!$B$2:$I$30,MATCH(CN392,Boundaries!$A$2:$A$30,0),0),1)-1,""))</f>
        <v/>
      </c>
      <c r="AN392" s="42" t="str">
        <f aca="false">IF(OR(AM392="",$E392=""),"",AM392-$E392)</f>
        <v/>
      </c>
      <c r="AO392" s="39"/>
      <c r="AP392" s="40" t="str">
        <f aca="false">IF(OR(AO392="",CA392=""),"",AO392/CA392*100)</f>
        <v/>
      </c>
      <c r="AQ392" s="41" t="str">
        <f aca="false">IF(AP392="","",IFERROR(MATCH(AP392,INDEX(Boundaries!$B$2:$I$30,MATCH(CO392,Boundaries!$A$2:$A$30,0),0),1)-1,""))</f>
        <v/>
      </c>
      <c r="AR392" s="42" t="str">
        <f aca="false">IF(OR(AQ392="",$E392=""),"",AQ392-$E392)</f>
        <v/>
      </c>
      <c r="AS392" s="39"/>
      <c r="AT392" s="40" t="str">
        <f aca="false">IF(OR(AS392="",CB392=""),"",AS392/CB392*100)</f>
        <v/>
      </c>
      <c r="AU392" s="41" t="str">
        <f aca="false">IF(AT392="","",IFERROR(MATCH(AT392,INDEX(Boundaries!$B$2:$I$30,MATCH(CP392,Boundaries!$A$2:$A$30,0),0),1)-1,""))</f>
        <v/>
      </c>
      <c r="AV392" s="42" t="str">
        <f aca="false">IF(OR(AU392="",$E392=""),"",AU392-$E392)</f>
        <v/>
      </c>
      <c r="AW392" s="39"/>
      <c r="AX392" s="40" t="str">
        <f aca="false">IF(OR(AW392="",CC392=""),"",AW392/CC392*100)</f>
        <v/>
      </c>
      <c r="AY392" s="41" t="str">
        <f aca="false">IF(AX392="","",IFERROR(MATCH(AX392,INDEX(Boundaries!$B$2:$I$30,MATCH(CQ392,Boundaries!$A$2:$A$30,0),0),1)-1,""))</f>
        <v/>
      </c>
      <c r="AZ392" s="42" t="str">
        <f aca="false">IF(OR(AY392="",$E392=""),"",AY392-$E392)</f>
        <v/>
      </c>
      <c r="BA392" s="39"/>
      <c r="BB392" s="40" t="str">
        <f aca="false">IF(OR(BA392="",CD392=""),"",BA392/CD392*100)</f>
        <v/>
      </c>
      <c r="BC392" s="41" t="str">
        <f aca="false">IF(BB392="","",IFERROR(MATCH(BB392,INDEX(Boundaries!$B$2:$I$30,MATCH(CR392,Boundaries!$A$2:$A$30,0),0),1)-1,""))</f>
        <v/>
      </c>
      <c r="BD392" s="42" t="str">
        <f aca="false">IF(OR(BC392="",$E392=""),"",BC392-$E392)</f>
        <v/>
      </c>
      <c r="BE392" s="39"/>
      <c r="BF392" s="40" t="str">
        <f aca="false">IF(OR(BE392="",CE392=""),"",BE392/CE392*100)</f>
        <v/>
      </c>
      <c r="BG392" s="41" t="str">
        <f aca="false">IF(BF392="","",IFERROR(MATCH(BF392,INDEX(Boundaries!$B$2:$I$30,MATCH(CS392,Boundaries!$A$2:$A$30,0),0),1)-1,""))</f>
        <v/>
      </c>
      <c r="BH392" s="42" t="str">
        <f aca="false">IF(OR(BG392="",$E392=""),"",BG392-$E392)</f>
        <v/>
      </c>
      <c r="BI392" s="39"/>
      <c r="BJ392" s="40" t="str">
        <f aca="false">IF(OR(BI392="",CF392=""),"",BI392/CF392*100)</f>
        <v/>
      </c>
      <c r="BK392" s="41" t="str">
        <f aca="false">IF(BJ392="","",IFERROR(MATCH(BJ392,INDEX(Boundaries!$B$2:$I$30,MATCH(CT392,Boundaries!$A$2:$A$30,0),0),1)-1,""))</f>
        <v/>
      </c>
      <c r="BL392" s="42" t="str">
        <f aca="false">IF(OR(BK392="",$E392=""),"",BK392-$E392)</f>
        <v/>
      </c>
      <c r="BM392" s="39"/>
      <c r="BN392" s="40" t="str">
        <f aca="false">IF(OR(BM392="",CG392=""),"",BM392/CG392*100)</f>
        <v/>
      </c>
      <c r="BO392" s="41" t="str">
        <f aca="false">IF(BN392="","",IFERROR(MATCH(BN392,INDEX(Boundaries!$B$2:$I$30,MATCH(CU392,Boundaries!$A$2:$A$30,0),0),1)-1,""))</f>
        <v/>
      </c>
      <c r="BP392" s="42" t="str">
        <f aca="false">IF(OR(BO392="",$E392=""),"",BO392-$E392)</f>
        <v/>
      </c>
      <c r="BQ392" s="39"/>
      <c r="BR392" s="40" t="str">
        <f aca="false">IF(OR(BQ392="",CH392=""),"",BQ392/CH392*100)</f>
        <v/>
      </c>
      <c r="BS392" s="41" t="str">
        <f aca="false">IF(BR392="","",IFERROR(MATCH(BR392,INDEX(Boundaries!$B$2:$I$30,MATCH(CV392,Boundaries!$A$2:$A$30,0),0),1)-1,""))</f>
        <v/>
      </c>
      <c r="BT392" s="42" t="str">
        <f aca="false">IF(OR(BS392="",$E392=""),"",BS392-$E392)</f>
        <v/>
      </c>
      <c r="BU392" s="28" t="str">
        <f aca="false">IFERROR(INDEX(Assessments!$H$2:$H$600,MATCH($H392&amp;"|"&amp;$I392&amp;"|"&amp;$J392&amp;"|"&amp;1,Assessments!$A$2:$A$600,0)),"")</f>
        <v/>
      </c>
      <c r="BV392" s="28" t="str">
        <f aca="false">IFERROR(INDEX(Assessments!$H$2:$H$600,MATCH($H392&amp;"|"&amp;$I392&amp;"|"&amp;$J392&amp;"|"&amp;2,Assessments!$A$2:$A$600,0)),"")</f>
        <v/>
      </c>
      <c r="BW392" s="28" t="str">
        <f aca="false">IFERROR(INDEX(Assessments!$H$2:$H$600,MATCH($H392&amp;"|"&amp;$I392&amp;"|"&amp;$J392&amp;"|"&amp;3,Assessments!$A$2:$A$600,0)),"")</f>
        <v/>
      </c>
      <c r="BX392" s="28" t="str">
        <f aca="false">IFERROR(INDEX(Assessments!$H$2:$H$600,MATCH($H392&amp;"|"&amp;$I392&amp;"|"&amp;$J392&amp;"|"&amp;4,Assessments!$A$2:$A$600,0)),"")</f>
        <v/>
      </c>
      <c r="BY392" s="28" t="str">
        <f aca="false">IFERROR(INDEX(Assessments!$H$2:$H$600,MATCH($H392&amp;"|"&amp;$I392&amp;"|"&amp;$J392&amp;"|"&amp;5,Assessments!$A$2:$A$600,0)),"")</f>
        <v/>
      </c>
      <c r="BZ392" s="28" t="str">
        <f aca="false">IFERROR(INDEX(Assessments!$H$2:$H$600,MATCH($H392&amp;"|"&amp;$I392&amp;"|"&amp;$J392&amp;"|"&amp;6,Assessments!$A$2:$A$600,0)),"")</f>
        <v/>
      </c>
      <c r="CA392" s="28" t="str">
        <f aca="false">IFERROR(INDEX(Assessments!$H$2:$H$600,MATCH($H392&amp;"|"&amp;$I392&amp;"|"&amp;$J392&amp;"|"&amp;7,Assessments!$A$2:$A$600,0)),"")</f>
        <v/>
      </c>
      <c r="CB392" s="28" t="str">
        <f aca="false">IFERROR(INDEX(Assessments!$H$2:$H$600,MATCH($H392&amp;"|"&amp;$I392&amp;"|"&amp;$J392&amp;"|"&amp;8,Assessments!$A$2:$A$600,0)),"")</f>
        <v/>
      </c>
      <c r="CC392" s="28" t="str">
        <f aca="false">IFERROR(INDEX(Assessments!$H$2:$H$600,MATCH($H392&amp;"|"&amp;$I392&amp;"|"&amp;$J392&amp;"|"&amp;9,Assessments!$A$2:$A$600,0)),"")</f>
        <v/>
      </c>
      <c r="CD392" s="28" t="str">
        <f aca="false">IFERROR(INDEX(Assessments!$H$2:$H$600,MATCH($H392&amp;"|"&amp;$I392&amp;"|"&amp;$J392&amp;"|"&amp;10,Assessments!$A$2:$A$600,0)),"")</f>
        <v/>
      </c>
      <c r="CE392" s="28" t="str">
        <f aca="false">IFERROR(INDEX(Assessments!$H$2:$H$600,MATCH($H392&amp;"|"&amp;$I392&amp;"|"&amp;$J392&amp;"|"&amp;11,Assessments!$A$2:$A$600,0)),"")</f>
        <v/>
      </c>
      <c r="CF392" s="28" t="str">
        <f aca="false">IFERROR(INDEX(Assessments!$H$2:$H$600,MATCH($H392&amp;"|"&amp;$I392&amp;"|"&amp;$J392&amp;"|"&amp;12,Assessments!$A$2:$A$600,0)),"")</f>
        <v/>
      </c>
      <c r="CG392" s="28" t="str">
        <f aca="false">IFERROR(INDEX(Assessments!$H$2:$H$600,MATCH($H392&amp;"|"&amp;$I392&amp;"|"&amp;$J392&amp;"|"&amp;13,Assessments!$A$2:$A$600,0)),"")</f>
        <v/>
      </c>
      <c r="CH392" s="28" t="str">
        <f aca="false">IFERROR(INDEX(Assessments!$H$2:$H$600,MATCH($H392&amp;"|"&amp;$I392&amp;"|"&amp;$J392&amp;"|"&amp;14,Assessments!$A$2:$A$600,0)),"")</f>
        <v/>
      </c>
      <c r="CI392" s="28" t="str">
        <f aca="false">IFERROR(INDEX(Assessments!$I$2:$I$600,MATCH($H392&amp;"|"&amp;$I392&amp;"|"&amp;$J392&amp;"|"&amp;1,Assessments!$A$2:$A$600,0)),"")</f>
        <v/>
      </c>
      <c r="CJ392" s="28" t="str">
        <f aca="false">IFERROR(INDEX(Assessments!$I$2:$I$600,MATCH($H392&amp;"|"&amp;$I392&amp;"|"&amp;$J392&amp;"|"&amp;2,Assessments!$A$2:$A$600,0)),"")</f>
        <v/>
      </c>
      <c r="CK392" s="28" t="str">
        <f aca="false">IFERROR(INDEX(Assessments!$I$2:$I$600,MATCH($H392&amp;"|"&amp;$I392&amp;"|"&amp;$J392&amp;"|"&amp;3,Assessments!$A$2:$A$600,0)),"")</f>
        <v/>
      </c>
      <c r="CL392" s="28" t="str">
        <f aca="false">IFERROR(INDEX(Assessments!$I$2:$I$600,MATCH($H392&amp;"|"&amp;$I392&amp;"|"&amp;$J392&amp;"|"&amp;4,Assessments!$A$2:$A$600,0)),"")</f>
        <v/>
      </c>
      <c r="CM392" s="28" t="str">
        <f aca="false">IFERROR(INDEX(Assessments!$I$2:$I$600,MATCH($H392&amp;"|"&amp;$I392&amp;"|"&amp;$J392&amp;"|"&amp;5,Assessments!$A$2:$A$600,0)),"")</f>
        <v/>
      </c>
      <c r="CN392" s="28" t="str">
        <f aca="false">IFERROR(INDEX(Assessments!$I$2:$I$600,MATCH($H392&amp;"|"&amp;$I392&amp;"|"&amp;$J392&amp;"|"&amp;6,Assessments!$A$2:$A$600,0)),"")</f>
        <v/>
      </c>
      <c r="CO392" s="28" t="str">
        <f aca="false">IFERROR(INDEX(Assessments!$I$2:$I$600,MATCH($H392&amp;"|"&amp;$I392&amp;"|"&amp;$J392&amp;"|"&amp;7,Assessments!$A$2:$A$600,0)),"")</f>
        <v/>
      </c>
      <c r="CP392" s="28" t="str">
        <f aca="false">IFERROR(INDEX(Assessments!$I$2:$I$600,MATCH($H392&amp;"|"&amp;$I392&amp;"|"&amp;$J392&amp;"|"&amp;8,Assessments!$A$2:$A$600,0)),"")</f>
        <v/>
      </c>
      <c r="CQ392" s="28" t="str">
        <f aca="false">IFERROR(INDEX(Assessments!$I$2:$I$600,MATCH($H392&amp;"|"&amp;$I392&amp;"|"&amp;$J392&amp;"|"&amp;9,Assessments!$A$2:$A$600,0)),"")</f>
        <v/>
      </c>
      <c r="CR392" s="28" t="str">
        <f aca="false">IFERROR(INDEX(Assessments!$I$2:$I$600,MATCH($H392&amp;"|"&amp;$I392&amp;"|"&amp;$J392&amp;"|"&amp;10,Assessments!$A$2:$A$600,0)),"")</f>
        <v/>
      </c>
      <c r="CS392" s="28" t="str">
        <f aca="false">IFERROR(INDEX(Assessments!$I$2:$I$600,MATCH($H392&amp;"|"&amp;$I392&amp;"|"&amp;$J392&amp;"|"&amp;11,Assessments!$A$2:$A$600,0)),"")</f>
        <v/>
      </c>
      <c r="CT392" s="28" t="str">
        <f aca="false">IFERROR(INDEX(Assessments!$I$2:$I$600,MATCH($H392&amp;"|"&amp;$I392&amp;"|"&amp;$J392&amp;"|"&amp;12,Assessments!$A$2:$A$600,0)),"")</f>
        <v/>
      </c>
      <c r="CU392" s="28" t="str">
        <f aca="false">IFERROR(INDEX(Assessments!$I$2:$I$600,MATCH($H392&amp;"|"&amp;$I392&amp;"|"&amp;$J392&amp;"|"&amp;13,Assessments!$A$2:$A$600,0)),"")</f>
        <v/>
      </c>
      <c r="CV392" s="28" t="str">
        <f aca="false">IFERROR(INDEX(Assessments!$I$2:$I$600,MATCH($H392&amp;"|"&amp;$I392&amp;"|"&amp;$J392&amp;"|"&amp;14,Assessments!$A$2:$A$600,0)),"")</f>
        <v/>
      </c>
      <c r="CW392" s="28" t="n">
        <f aca="false">IFERROR(INDEX(Assessments!$J$2:$J$600,MATCH($H392&amp;"|"&amp;$I392&amp;"|"&amp;$J392&amp;"|"&amp;1,Assessments!$A$2:$A$600,0)),0)</f>
        <v>0</v>
      </c>
      <c r="CX392" s="28" t="n">
        <f aca="false">IFERROR(INDEX(Assessments!$J$2:$J$600,MATCH($H392&amp;"|"&amp;$I392&amp;"|"&amp;$J392&amp;"|"&amp;2,Assessments!$A$2:$A$600,0)),0)</f>
        <v>0</v>
      </c>
      <c r="CY392" s="28" t="n">
        <f aca="false">IFERROR(INDEX(Assessments!$J$2:$J$600,MATCH($H392&amp;"|"&amp;$I392&amp;"|"&amp;$J392&amp;"|"&amp;3,Assessments!$A$2:$A$600,0)),0)</f>
        <v>0</v>
      </c>
      <c r="CZ392" s="28" t="n">
        <f aca="false">IFERROR(INDEX(Assessments!$J$2:$J$600,MATCH($H392&amp;"|"&amp;$I392&amp;"|"&amp;$J392&amp;"|"&amp;4,Assessments!$A$2:$A$600,0)),0)</f>
        <v>0</v>
      </c>
      <c r="DA392" s="28" t="n">
        <f aca="false">IFERROR(INDEX(Assessments!$J$2:$J$600,MATCH($H392&amp;"|"&amp;$I392&amp;"|"&amp;$J392&amp;"|"&amp;5,Assessments!$A$2:$A$600,0)),0)</f>
        <v>0</v>
      </c>
      <c r="DB392" s="28" t="n">
        <f aca="false">IFERROR(INDEX(Assessments!$J$2:$J$600,MATCH($H392&amp;"|"&amp;$I392&amp;"|"&amp;$J392&amp;"|"&amp;6,Assessments!$A$2:$A$600,0)),0)</f>
        <v>0</v>
      </c>
      <c r="DC392" s="28" t="n">
        <f aca="false">IFERROR(INDEX(Assessments!$J$2:$J$600,MATCH($H392&amp;"|"&amp;$I392&amp;"|"&amp;$J392&amp;"|"&amp;7,Assessments!$A$2:$A$600,0)),0)</f>
        <v>0</v>
      </c>
      <c r="DD392" s="28" t="n">
        <f aca="false">IFERROR(INDEX(Assessments!$J$2:$J$600,MATCH($H392&amp;"|"&amp;$I392&amp;"|"&amp;$J392&amp;"|"&amp;8,Assessments!$A$2:$A$600,0)),0)</f>
        <v>0</v>
      </c>
      <c r="DE392" s="28" t="n">
        <f aca="false">IFERROR(INDEX(Assessments!$J$2:$J$600,MATCH($H392&amp;"|"&amp;$I392&amp;"|"&amp;$J392&amp;"|"&amp;9,Assessments!$A$2:$A$600,0)),0)</f>
        <v>0</v>
      </c>
      <c r="DF392" s="28" t="n">
        <f aca="false">IFERROR(INDEX(Assessments!$J$2:$J$600,MATCH($H392&amp;"|"&amp;$I392&amp;"|"&amp;$J392&amp;"|"&amp;10,Assessments!$A$2:$A$600,0)),0)</f>
        <v>0</v>
      </c>
      <c r="DG392" s="28" t="n">
        <f aca="false">IFERROR(INDEX(Assessments!$J$2:$J$600,MATCH($H392&amp;"|"&amp;$I392&amp;"|"&amp;$J392&amp;"|"&amp;11,Assessments!$A$2:$A$600,0)),0)</f>
        <v>0</v>
      </c>
      <c r="DH392" s="28" t="n">
        <f aca="false">IFERROR(INDEX(Assessments!$J$2:$J$600,MATCH($H392&amp;"|"&amp;$I392&amp;"|"&amp;$J392&amp;"|"&amp;12,Assessments!$A$2:$A$600,0)),0)</f>
        <v>0</v>
      </c>
      <c r="DI392" s="28" t="n">
        <f aca="false">IFERROR(INDEX(Assessments!$J$2:$J$600,MATCH($H392&amp;"|"&amp;$I392&amp;"|"&amp;$J392&amp;"|"&amp;13,Assessments!$A$2:$A$600,0)),0)</f>
        <v>0</v>
      </c>
      <c r="DJ392" s="28" t="n">
        <f aca="false">IFERROR(INDEX(Assessments!$J$2:$J$600,MATCH($H392&amp;"|"&amp;$I392&amp;"|"&amp;$J392&amp;"|"&amp;14,Assessments!$A$2:$A$600,0)),0)</f>
        <v>0</v>
      </c>
      <c r="DK392" s="28" t="str">
        <f aca="false">S392</f>
        <v/>
      </c>
      <c r="DL392" s="28" t="str">
        <f aca="false">W392</f>
        <v/>
      </c>
      <c r="DM392" s="28" t="str">
        <f aca="false">AA392</f>
        <v/>
      </c>
      <c r="DN392" s="28" t="str">
        <f aca="false">AE392</f>
        <v/>
      </c>
      <c r="DO392" s="28" t="str">
        <f aca="false">AI392</f>
        <v/>
      </c>
      <c r="DP392" s="28" t="str">
        <f aca="false">AM392</f>
        <v/>
      </c>
      <c r="DQ392" s="28" t="str">
        <f aca="false">AQ392</f>
        <v/>
      </c>
      <c r="DR392" s="28" t="str">
        <f aca="false">AU392</f>
        <v/>
      </c>
      <c r="DS392" s="28" t="str">
        <f aca="false">AY392</f>
        <v/>
      </c>
      <c r="DT392" s="28" t="str">
        <f aca="false">BC392</f>
        <v/>
      </c>
      <c r="DU392" s="28" t="str">
        <f aca="false">BG392</f>
        <v/>
      </c>
      <c r="DV392" s="28" t="str">
        <f aca="false">BK392</f>
        <v/>
      </c>
      <c r="DW392" s="28" t="str">
        <f aca="false">BO392</f>
        <v/>
      </c>
      <c r="DX392" s="28" t="str">
        <f aca="false">BS392</f>
        <v/>
      </c>
      <c r="DY392" s="28" t="str">
        <f aca="false">IF(ISNUMBER(S392),1,"")</f>
        <v/>
      </c>
      <c r="DZ392" s="28" t="str">
        <f aca="false">IF(ISNUMBER(W392),2,"")</f>
        <v/>
      </c>
      <c r="EA392" s="28" t="str">
        <f aca="false">IF(ISNUMBER(AA392),3,"")</f>
        <v/>
      </c>
      <c r="EB392" s="28" t="str">
        <f aca="false">IF(ISNUMBER(AE392),4,"")</f>
        <v/>
      </c>
      <c r="EC392" s="28" t="str">
        <f aca="false">IF(ISNUMBER(AI392),5,"")</f>
        <v/>
      </c>
      <c r="ED392" s="28" t="str">
        <f aca="false">IF(ISNUMBER(AM392),6,"")</f>
        <v/>
      </c>
      <c r="EE392" s="28" t="str">
        <f aca="false">IF(ISNUMBER(AQ392),7,"")</f>
        <v/>
      </c>
      <c r="EF392" s="28" t="str">
        <f aca="false">IF(ISNUMBER(AU392),8,"")</f>
        <v/>
      </c>
      <c r="EG392" s="28" t="str">
        <f aca="false">IF(ISNUMBER(AY392),9,"")</f>
        <v/>
      </c>
      <c r="EH392" s="28" t="str">
        <f aca="false">IF(ISNUMBER(BC392),10,"")</f>
        <v/>
      </c>
      <c r="EI392" s="28" t="str">
        <f aca="false">IF(ISNUMBER(BG392),11,"")</f>
        <v/>
      </c>
      <c r="EJ392" s="28" t="str">
        <f aca="false">IF(ISNUMBER(BK392),12,"")</f>
        <v/>
      </c>
      <c r="EK392" s="28" t="str">
        <f aca="false">IF(ISNUMBER(BO392),13,"")</f>
        <v/>
      </c>
      <c r="EL392" s="28" t="str">
        <f aca="false">IF(ISNUMBER(BS392),14,"")</f>
        <v/>
      </c>
      <c r="EM392" s="28" t="n">
        <f aca="false">IF(ISNUMBER(R392),R392*CW392,0)</f>
        <v>0</v>
      </c>
      <c r="EN392" s="28" t="n">
        <f aca="false">IF(ISNUMBER(V392),V392*CX392,0)</f>
        <v>0</v>
      </c>
      <c r="EO392" s="28" t="n">
        <f aca="false">IF(ISNUMBER(Z392),Z392*CY392,0)</f>
        <v>0</v>
      </c>
      <c r="EP392" s="28" t="n">
        <f aca="false">IF(ISNUMBER(AD392),AD392*CZ392,0)</f>
        <v>0</v>
      </c>
      <c r="EQ392" s="28" t="n">
        <f aca="false">IF(ISNUMBER(AH392),AH392*DA392,0)</f>
        <v>0</v>
      </c>
      <c r="ER392" s="28" t="n">
        <f aca="false">IF(ISNUMBER(AL392),AL392*DB392,0)</f>
        <v>0</v>
      </c>
      <c r="ES392" s="28" t="n">
        <f aca="false">IF(ISNUMBER(AP392),AP392*DC392,0)</f>
        <v>0</v>
      </c>
      <c r="ET392" s="28" t="n">
        <f aca="false">IF(ISNUMBER(AT392),AT392*DD392,0)</f>
        <v>0</v>
      </c>
      <c r="EU392" s="28" t="n">
        <f aca="false">IF(ISNUMBER(AX392),AX392*DE392,0)</f>
        <v>0</v>
      </c>
      <c r="EV392" s="28" t="n">
        <f aca="false">IF(ISNUMBER(BB392),BB392*DF392,0)</f>
        <v>0</v>
      </c>
      <c r="EW392" s="28" t="n">
        <f aca="false">IF(ISNUMBER(BF392),BF392*DG392,0)</f>
        <v>0</v>
      </c>
      <c r="EX392" s="28" t="n">
        <f aca="false">IF(ISNUMBER(BJ392),BJ392*DH392,0)</f>
        <v>0</v>
      </c>
      <c r="EY392" s="28" t="n">
        <f aca="false">IF(ISNUMBER(BN392),BN392*DI392,0)</f>
        <v>0</v>
      </c>
      <c r="EZ392" s="28" t="n">
        <f aca="false">IF(ISNUMBER(BR392),BR392*DJ392,0)</f>
        <v>0</v>
      </c>
      <c r="FA392" s="28" t="n">
        <f aca="false">IF(ISNUMBER(R392),CW392,0)</f>
        <v>0</v>
      </c>
      <c r="FB392" s="28" t="n">
        <f aca="false">IF(ISNUMBER(V392),CX392,0)</f>
        <v>0</v>
      </c>
      <c r="FC392" s="28" t="n">
        <f aca="false">IF(ISNUMBER(Z392),CY392,0)</f>
        <v>0</v>
      </c>
      <c r="FD392" s="28" t="n">
        <f aca="false">IF(ISNUMBER(AD392),CZ392,0)</f>
        <v>0</v>
      </c>
      <c r="FE392" s="28" t="n">
        <f aca="false">IF(ISNUMBER(AH392),DA392,0)</f>
        <v>0</v>
      </c>
      <c r="FF392" s="28" t="n">
        <f aca="false">IF(ISNUMBER(AL392),DB392,0)</f>
        <v>0</v>
      </c>
      <c r="FG392" s="28" t="n">
        <f aca="false">IF(ISNUMBER(AP392),DC392,0)</f>
        <v>0</v>
      </c>
      <c r="FH392" s="28" t="n">
        <f aca="false">IF(ISNUMBER(AT392),DD392,0)</f>
        <v>0</v>
      </c>
      <c r="FI392" s="28" t="n">
        <f aca="false">IF(ISNUMBER(AX392),DE392,0)</f>
        <v>0</v>
      </c>
      <c r="FJ392" s="28" t="n">
        <f aca="false">IF(ISNUMBER(BB392),DF392,0)</f>
        <v>0</v>
      </c>
      <c r="FK392" s="28" t="n">
        <f aca="false">IF(ISNUMBER(BF392),DG392,0)</f>
        <v>0</v>
      </c>
      <c r="FL392" s="28" t="n">
        <f aca="false">IF(ISNUMBER(BJ392),DH392,0)</f>
        <v>0</v>
      </c>
      <c r="FM392" s="28" t="n">
        <f aca="false">IF(ISNUMBER(BN392),DI392,0)</f>
        <v>0</v>
      </c>
      <c r="FN392" s="28" t="n">
        <f aca="false">IF(ISNUMBER(BR392),DJ392,0)</f>
        <v>0</v>
      </c>
      <c r="FO392" s="28" t="str">
        <f aca="false">IFERROR(INDEX(Lists!$G$2:$G$20,MATCH($I392&amp;"|"&amp;$J392,Lists!$F$2:$F$20,0)),"")</f>
        <v/>
      </c>
    </row>
    <row r="393" customFormat="false" ht="19.5" hidden="false" customHeight="true" outlineLevel="0" collapsed="false">
      <c r="A393" s="29"/>
      <c r="B393" s="29"/>
      <c r="C393" s="30"/>
      <c r="D393" s="30"/>
      <c r="E393" s="31"/>
      <c r="F393" s="30"/>
      <c r="G393" s="30"/>
      <c r="H393" s="32"/>
      <c r="I393" s="33"/>
      <c r="J393" s="32"/>
      <c r="K393" s="34" t="str">
        <f aca="false">IF(OR(M393="",$E393=""),"",M393-$E393)</f>
        <v/>
      </c>
      <c r="L393" s="35" t="str">
        <f aca="false">IF(SUM(FA393:FN393)=0,"",SUM(EM393:EZ393)/SUM(FA393:FN393))</f>
        <v/>
      </c>
      <c r="M393" s="36" t="str">
        <f aca="false">IF(OR(L393="",FO393=""),"",IFERROR(MATCH(L393,INDEX(Boundaries!$B$2:$I$30,MATCH(FO393,Boundaries!$A$2:$A$30,0),0),1)-1,""))</f>
        <v/>
      </c>
      <c r="N393" s="37" t="str">
        <f aca="false">IF(COUNT($DY393:$EL393)&lt;2,"",INDEX($DK393:$DX393,MAX($DY393:$EL393))-INDEX($DK393:$DX393,MIN($DY393:$EL393)))</f>
        <v/>
      </c>
      <c r="O393" s="37" t="str">
        <f aca="false">IF(COUNT($DY393:$EL393)&lt;2,"",INDEX($DK393:$DX393,MAX($DY393:$EL393))-INDEX($DK393:$DX393,LARGE($DY393:$EL393,2)))</f>
        <v/>
      </c>
      <c r="P393" s="38" t="str">
        <f aca="false">IF(K393="","",IF(K393&gt;=0,"On/above target",IF(AND(N393&lt;&gt;"",N393&gt;=0.5),"Improving towards target",IF(AND(O393&lt;&gt;"",O393&lt;=-0.5),"Declining","Stable below target"))))</f>
        <v/>
      </c>
      <c r="Q393" s="39"/>
      <c r="R393" s="40" t="str">
        <f aca="false">IF(OR(Q393="",BU393=""),"",Q393/BU393*100)</f>
        <v/>
      </c>
      <c r="S393" s="41" t="str">
        <f aca="false">IF(R393="","",IFERROR(MATCH(R393,INDEX(Boundaries!$B$2:$I$30,MATCH(CI393,Boundaries!$A$2:$A$30,0),0),1)-1,""))</f>
        <v/>
      </c>
      <c r="T393" s="42" t="str">
        <f aca="false">IF(OR(S393="",$E393=""),"",S393-$E393)</f>
        <v/>
      </c>
      <c r="U393" s="39"/>
      <c r="V393" s="40" t="str">
        <f aca="false">IF(OR(U393="",BV393=""),"",U393/BV393*100)</f>
        <v/>
      </c>
      <c r="W393" s="41" t="str">
        <f aca="false">IF(V393="","",IFERROR(MATCH(V393,INDEX(Boundaries!$B$2:$I$30,MATCH(CJ393,Boundaries!$A$2:$A$30,0),0),1)-1,""))</f>
        <v/>
      </c>
      <c r="X393" s="42" t="str">
        <f aca="false">IF(OR(W393="",$E393=""),"",W393-$E393)</f>
        <v/>
      </c>
      <c r="Y393" s="39"/>
      <c r="Z393" s="40" t="str">
        <f aca="false">IF(OR(Y393="",BW393=""),"",Y393/BW393*100)</f>
        <v/>
      </c>
      <c r="AA393" s="41" t="str">
        <f aca="false">IF(Z393="","",IFERROR(MATCH(Z393,INDEX(Boundaries!$B$2:$I$30,MATCH(CK393,Boundaries!$A$2:$A$30,0),0),1)-1,""))</f>
        <v/>
      </c>
      <c r="AB393" s="42" t="str">
        <f aca="false">IF(OR(AA393="",$E393=""),"",AA393-$E393)</f>
        <v/>
      </c>
      <c r="AC393" s="39"/>
      <c r="AD393" s="40" t="str">
        <f aca="false">IF(OR(AC393="",BX393=""),"",AC393/BX393*100)</f>
        <v/>
      </c>
      <c r="AE393" s="41" t="str">
        <f aca="false">IF(AD393="","",IFERROR(MATCH(AD393,INDEX(Boundaries!$B$2:$I$30,MATCH(CL393,Boundaries!$A$2:$A$30,0),0),1)-1,""))</f>
        <v/>
      </c>
      <c r="AF393" s="42" t="str">
        <f aca="false">IF(OR(AE393="",$E393=""),"",AE393-$E393)</f>
        <v/>
      </c>
      <c r="AG393" s="39"/>
      <c r="AH393" s="40" t="str">
        <f aca="false">IF(OR(AG393="",BY393=""),"",AG393/BY393*100)</f>
        <v/>
      </c>
      <c r="AI393" s="41" t="str">
        <f aca="false">IF(AH393="","",IFERROR(MATCH(AH393,INDEX(Boundaries!$B$2:$I$30,MATCH(CM393,Boundaries!$A$2:$A$30,0),0),1)-1,""))</f>
        <v/>
      </c>
      <c r="AJ393" s="42" t="str">
        <f aca="false">IF(OR(AI393="",$E393=""),"",AI393-$E393)</f>
        <v/>
      </c>
      <c r="AK393" s="39"/>
      <c r="AL393" s="40" t="str">
        <f aca="false">IF(OR(AK393="",BZ393=""),"",AK393/BZ393*100)</f>
        <v/>
      </c>
      <c r="AM393" s="41" t="str">
        <f aca="false">IF(AL393="","",IFERROR(MATCH(AL393,INDEX(Boundaries!$B$2:$I$30,MATCH(CN393,Boundaries!$A$2:$A$30,0),0),1)-1,""))</f>
        <v/>
      </c>
      <c r="AN393" s="42" t="str">
        <f aca="false">IF(OR(AM393="",$E393=""),"",AM393-$E393)</f>
        <v/>
      </c>
      <c r="AO393" s="39"/>
      <c r="AP393" s="40" t="str">
        <f aca="false">IF(OR(AO393="",CA393=""),"",AO393/CA393*100)</f>
        <v/>
      </c>
      <c r="AQ393" s="41" t="str">
        <f aca="false">IF(AP393="","",IFERROR(MATCH(AP393,INDEX(Boundaries!$B$2:$I$30,MATCH(CO393,Boundaries!$A$2:$A$30,0),0),1)-1,""))</f>
        <v/>
      </c>
      <c r="AR393" s="42" t="str">
        <f aca="false">IF(OR(AQ393="",$E393=""),"",AQ393-$E393)</f>
        <v/>
      </c>
      <c r="AS393" s="39"/>
      <c r="AT393" s="40" t="str">
        <f aca="false">IF(OR(AS393="",CB393=""),"",AS393/CB393*100)</f>
        <v/>
      </c>
      <c r="AU393" s="41" t="str">
        <f aca="false">IF(AT393="","",IFERROR(MATCH(AT393,INDEX(Boundaries!$B$2:$I$30,MATCH(CP393,Boundaries!$A$2:$A$30,0),0),1)-1,""))</f>
        <v/>
      </c>
      <c r="AV393" s="42" t="str">
        <f aca="false">IF(OR(AU393="",$E393=""),"",AU393-$E393)</f>
        <v/>
      </c>
      <c r="AW393" s="39"/>
      <c r="AX393" s="40" t="str">
        <f aca="false">IF(OR(AW393="",CC393=""),"",AW393/CC393*100)</f>
        <v/>
      </c>
      <c r="AY393" s="41" t="str">
        <f aca="false">IF(AX393="","",IFERROR(MATCH(AX393,INDEX(Boundaries!$B$2:$I$30,MATCH(CQ393,Boundaries!$A$2:$A$30,0),0),1)-1,""))</f>
        <v/>
      </c>
      <c r="AZ393" s="42" t="str">
        <f aca="false">IF(OR(AY393="",$E393=""),"",AY393-$E393)</f>
        <v/>
      </c>
      <c r="BA393" s="39"/>
      <c r="BB393" s="40" t="str">
        <f aca="false">IF(OR(BA393="",CD393=""),"",BA393/CD393*100)</f>
        <v/>
      </c>
      <c r="BC393" s="41" t="str">
        <f aca="false">IF(BB393="","",IFERROR(MATCH(BB393,INDEX(Boundaries!$B$2:$I$30,MATCH(CR393,Boundaries!$A$2:$A$30,0),0),1)-1,""))</f>
        <v/>
      </c>
      <c r="BD393" s="42" t="str">
        <f aca="false">IF(OR(BC393="",$E393=""),"",BC393-$E393)</f>
        <v/>
      </c>
      <c r="BE393" s="39"/>
      <c r="BF393" s="40" t="str">
        <f aca="false">IF(OR(BE393="",CE393=""),"",BE393/CE393*100)</f>
        <v/>
      </c>
      <c r="BG393" s="41" t="str">
        <f aca="false">IF(BF393="","",IFERROR(MATCH(BF393,INDEX(Boundaries!$B$2:$I$30,MATCH(CS393,Boundaries!$A$2:$A$30,0),0),1)-1,""))</f>
        <v/>
      </c>
      <c r="BH393" s="42" t="str">
        <f aca="false">IF(OR(BG393="",$E393=""),"",BG393-$E393)</f>
        <v/>
      </c>
      <c r="BI393" s="39"/>
      <c r="BJ393" s="40" t="str">
        <f aca="false">IF(OR(BI393="",CF393=""),"",BI393/CF393*100)</f>
        <v/>
      </c>
      <c r="BK393" s="41" t="str">
        <f aca="false">IF(BJ393="","",IFERROR(MATCH(BJ393,INDEX(Boundaries!$B$2:$I$30,MATCH(CT393,Boundaries!$A$2:$A$30,0),0),1)-1,""))</f>
        <v/>
      </c>
      <c r="BL393" s="42" t="str">
        <f aca="false">IF(OR(BK393="",$E393=""),"",BK393-$E393)</f>
        <v/>
      </c>
      <c r="BM393" s="39"/>
      <c r="BN393" s="40" t="str">
        <f aca="false">IF(OR(BM393="",CG393=""),"",BM393/CG393*100)</f>
        <v/>
      </c>
      <c r="BO393" s="41" t="str">
        <f aca="false">IF(BN393="","",IFERROR(MATCH(BN393,INDEX(Boundaries!$B$2:$I$30,MATCH(CU393,Boundaries!$A$2:$A$30,0),0),1)-1,""))</f>
        <v/>
      </c>
      <c r="BP393" s="42" t="str">
        <f aca="false">IF(OR(BO393="",$E393=""),"",BO393-$E393)</f>
        <v/>
      </c>
      <c r="BQ393" s="39"/>
      <c r="BR393" s="40" t="str">
        <f aca="false">IF(OR(BQ393="",CH393=""),"",BQ393/CH393*100)</f>
        <v/>
      </c>
      <c r="BS393" s="41" t="str">
        <f aca="false">IF(BR393="","",IFERROR(MATCH(BR393,INDEX(Boundaries!$B$2:$I$30,MATCH(CV393,Boundaries!$A$2:$A$30,0),0),1)-1,""))</f>
        <v/>
      </c>
      <c r="BT393" s="42" t="str">
        <f aca="false">IF(OR(BS393="",$E393=""),"",BS393-$E393)</f>
        <v/>
      </c>
      <c r="BU393" s="28" t="str">
        <f aca="false">IFERROR(INDEX(Assessments!$H$2:$H$600,MATCH($H393&amp;"|"&amp;$I393&amp;"|"&amp;$J393&amp;"|"&amp;1,Assessments!$A$2:$A$600,0)),"")</f>
        <v/>
      </c>
      <c r="BV393" s="28" t="str">
        <f aca="false">IFERROR(INDEX(Assessments!$H$2:$H$600,MATCH($H393&amp;"|"&amp;$I393&amp;"|"&amp;$J393&amp;"|"&amp;2,Assessments!$A$2:$A$600,0)),"")</f>
        <v/>
      </c>
      <c r="BW393" s="28" t="str">
        <f aca="false">IFERROR(INDEX(Assessments!$H$2:$H$600,MATCH($H393&amp;"|"&amp;$I393&amp;"|"&amp;$J393&amp;"|"&amp;3,Assessments!$A$2:$A$600,0)),"")</f>
        <v/>
      </c>
      <c r="BX393" s="28" t="str">
        <f aca="false">IFERROR(INDEX(Assessments!$H$2:$H$600,MATCH($H393&amp;"|"&amp;$I393&amp;"|"&amp;$J393&amp;"|"&amp;4,Assessments!$A$2:$A$600,0)),"")</f>
        <v/>
      </c>
      <c r="BY393" s="28" t="str">
        <f aca="false">IFERROR(INDEX(Assessments!$H$2:$H$600,MATCH($H393&amp;"|"&amp;$I393&amp;"|"&amp;$J393&amp;"|"&amp;5,Assessments!$A$2:$A$600,0)),"")</f>
        <v/>
      </c>
      <c r="BZ393" s="28" t="str">
        <f aca="false">IFERROR(INDEX(Assessments!$H$2:$H$600,MATCH($H393&amp;"|"&amp;$I393&amp;"|"&amp;$J393&amp;"|"&amp;6,Assessments!$A$2:$A$600,0)),"")</f>
        <v/>
      </c>
      <c r="CA393" s="28" t="str">
        <f aca="false">IFERROR(INDEX(Assessments!$H$2:$H$600,MATCH($H393&amp;"|"&amp;$I393&amp;"|"&amp;$J393&amp;"|"&amp;7,Assessments!$A$2:$A$600,0)),"")</f>
        <v/>
      </c>
      <c r="CB393" s="28" t="str">
        <f aca="false">IFERROR(INDEX(Assessments!$H$2:$H$600,MATCH($H393&amp;"|"&amp;$I393&amp;"|"&amp;$J393&amp;"|"&amp;8,Assessments!$A$2:$A$600,0)),"")</f>
        <v/>
      </c>
      <c r="CC393" s="28" t="str">
        <f aca="false">IFERROR(INDEX(Assessments!$H$2:$H$600,MATCH($H393&amp;"|"&amp;$I393&amp;"|"&amp;$J393&amp;"|"&amp;9,Assessments!$A$2:$A$600,0)),"")</f>
        <v/>
      </c>
      <c r="CD393" s="28" t="str">
        <f aca="false">IFERROR(INDEX(Assessments!$H$2:$H$600,MATCH($H393&amp;"|"&amp;$I393&amp;"|"&amp;$J393&amp;"|"&amp;10,Assessments!$A$2:$A$600,0)),"")</f>
        <v/>
      </c>
      <c r="CE393" s="28" t="str">
        <f aca="false">IFERROR(INDEX(Assessments!$H$2:$H$600,MATCH($H393&amp;"|"&amp;$I393&amp;"|"&amp;$J393&amp;"|"&amp;11,Assessments!$A$2:$A$600,0)),"")</f>
        <v/>
      </c>
      <c r="CF393" s="28" t="str">
        <f aca="false">IFERROR(INDEX(Assessments!$H$2:$H$600,MATCH($H393&amp;"|"&amp;$I393&amp;"|"&amp;$J393&amp;"|"&amp;12,Assessments!$A$2:$A$600,0)),"")</f>
        <v/>
      </c>
      <c r="CG393" s="28" t="str">
        <f aca="false">IFERROR(INDEX(Assessments!$H$2:$H$600,MATCH($H393&amp;"|"&amp;$I393&amp;"|"&amp;$J393&amp;"|"&amp;13,Assessments!$A$2:$A$600,0)),"")</f>
        <v/>
      </c>
      <c r="CH393" s="28" t="str">
        <f aca="false">IFERROR(INDEX(Assessments!$H$2:$H$600,MATCH($H393&amp;"|"&amp;$I393&amp;"|"&amp;$J393&amp;"|"&amp;14,Assessments!$A$2:$A$600,0)),"")</f>
        <v/>
      </c>
      <c r="CI393" s="28" t="str">
        <f aca="false">IFERROR(INDEX(Assessments!$I$2:$I$600,MATCH($H393&amp;"|"&amp;$I393&amp;"|"&amp;$J393&amp;"|"&amp;1,Assessments!$A$2:$A$600,0)),"")</f>
        <v/>
      </c>
      <c r="CJ393" s="28" t="str">
        <f aca="false">IFERROR(INDEX(Assessments!$I$2:$I$600,MATCH($H393&amp;"|"&amp;$I393&amp;"|"&amp;$J393&amp;"|"&amp;2,Assessments!$A$2:$A$600,0)),"")</f>
        <v/>
      </c>
      <c r="CK393" s="28" t="str">
        <f aca="false">IFERROR(INDEX(Assessments!$I$2:$I$600,MATCH($H393&amp;"|"&amp;$I393&amp;"|"&amp;$J393&amp;"|"&amp;3,Assessments!$A$2:$A$600,0)),"")</f>
        <v/>
      </c>
      <c r="CL393" s="28" t="str">
        <f aca="false">IFERROR(INDEX(Assessments!$I$2:$I$600,MATCH($H393&amp;"|"&amp;$I393&amp;"|"&amp;$J393&amp;"|"&amp;4,Assessments!$A$2:$A$600,0)),"")</f>
        <v/>
      </c>
      <c r="CM393" s="28" t="str">
        <f aca="false">IFERROR(INDEX(Assessments!$I$2:$I$600,MATCH($H393&amp;"|"&amp;$I393&amp;"|"&amp;$J393&amp;"|"&amp;5,Assessments!$A$2:$A$600,0)),"")</f>
        <v/>
      </c>
      <c r="CN393" s="28" t="str">
        <f aca="false">IFERROR(INDEX(Assessments!$I$2:$I$600,MATCH($H393&amp;"|"&amp;$I393&amp;"|"&amp;$J393&amp;"|"&amp;6,Assessments!$A$2:$A$600,0)),"")</f>
        <v/>
      </c>
      <c r="CO393" s="28" t="str">
        <f aca="false">IFERROR(INDEX(Assessments!$I$2:$I$600,MATCH($H393&amp;"|"&amp;$I393&amp;"|"&amp;$J393&amp;"|"&amp;7,Assessments!$A$2:$A$600,0)),"")</f>
        <v/>
      </c>
      <c r="CP393" s="28" t="str">
        <f aca="false">IFERROR(INDEX(Assessments!$I$2:$I$600,MATCH($H393&amp;"|"&amp;$I393&amp;"|"&amp;$J393&amp;"|"&amp;8,Assessments!$A$2:$A$600,0)),"")</f>
        <v/>
      </c>
      <c r="CQ393" s="28" t="str">
        <f aca="false">IFERROR(INDEX(Assessments!$I$2:$I$600,MATCH($H393&amp;"|"&amp;$I393&amp;"|"&amp;$J393&amp;"|"&amp;9,Assessments!$A$2:$A$600,0)),"")</f>
        <v/>
      </c>
      <c r="CR393" s="28" t="str">
        <f aca="false">IFERROR(INDEX(Assessments!$I$2:$I$600,MATCH($H393&amp;"|"&amp;$I393&amp;"|"&amp;$J393&amp;"|"&amp;10,Assessments!$A$2:$A$600,0)),"")</f>
        <v/>
      </c>
      <c r="CS393" s="28" t="str">
        <f aca="false">IFERROR(INDEX(Assessments!$I$2:$I$600,MATCH($H393&amp;"|"&amp;$I393&amp;"|"&amp;$J393&amp;"|"&amp;11,Assessments!$A$2:$A$600,0)),"")</f>
        <v/>
      </c>
      <c r="CT393" s="28" t="str">
        <f aca="false">IFERROR(INDEX(Assessments!$I$2:$I$600,MATCH($H393&amp;"|"&amp;$I393&amp;"|"&amp;$J393&amp;"|"&amp;12,Assessments!$A$2:$A$600,0)),"")</f>
        <v/>
      </c>
      <c r="CU393" s="28" t="str">
        <f aca="false">IFERROR(INDEX(Assessments!$I$2:$I$600,MATCH($H393&amp;"|"&amp;$I393&amp;"|"&amp;$J393&amp;"|"&amp;13,Assessments!$A$2:$A$600,0)),"")</f>
        <v/>
      </c>
      <c r="CV393" s="28" t="str">
        <f aca="false">IFERROR(INDEX(Assessments!$I$2:$I$600,MATCH($H393&amp;"|"&amp;$I393&amp;"|"&amp;$J393&amp;"|"&amp;14,Assessments!$A$2:$A$600,0)),"")</f>
        <v/>
      </c>
      <c r="CW393" s="28" t="n">
        <f aca="false">IFERROR(INDEX(Assessments!$J$2:$J$600,MATCH($H393&amp;"|"&amp;$I393&amp;"|"&amp;$J393&amp;"|"&amp;1,Assessments!$A$2:$A$600,0)),0)</f>
        <v>0</v>
      </c>
      <c r="CX393" s="28" t="n">
        <f aca="false">IFERROR(INDEX(Assessments!$J$2:$J$600,MATCH($H393&amp;"|"&amp;$I393&amp;"|"&amp;$J393&amp;"|"&amp;2,Assessments!$A$2:$A$600,0)),0)</f>
        <v>0</v>
      </c>
      <c r="CY393" s="28" t="n">
        <f aca="false">IFERROR(INDEX(Assessments!$J$2:$J$600,MATCH($H393&amp;"|"&amp;$I393&amp;"|"&amp;$J393&amp;"|"&amp;3,Assessments!$A$2:$A$600,0)),0)</f>
        <v>0</v>
      </c>
      <c r="CZ393" s="28" t="n">
        <f aca="false">IFERROR(INDEX(Assessments!$J$2:$J$600,MATCH($H393&amp;"|"&amp;$I393&amp;"|"&amp;$J393&amp;"|"&amp;4,Assessments!$A$2:$A$600,0)),0)</f>
        <v>0</v>
      </c>
      <c r="DA393" s="28" t="n">
        <f aca="false">IFERROR(INDEX(Assessments!$J$2:$J$600,MATCH($H393&amp;"|"&amp;$I393&amp;"|"&amp;$J393&amp;"|"&amp;5,Assessments!$A$2:$A$600,0)),0)</f>
        <v>0</v>
      </c>
      <c r="DB393" s="28" t="n">
        <f aca="false">IFERROR(INDEX(Assessments!$J$2:$J$600,MATCH($H393&amp;"|"&amp;$I393&amp;"|"&amp;$J393&amp;"|"&amp;6,Assessments!$A$2:$A$600,0)),0)</f>
        <v>0</v>
      </c>
      <c r="DC393" s="28" t="n">
        <f aca="false">IFERROR(INDEX(Assessments!$J$2:$J$600,MATCH($H393&amp;"|"&amp;$I393&amp;"|"&amp;$J393&amp;"|"&amp;7,Assessments!$A$2:$A$600,0)),0)</f>
        <v>0</v>
      </c>
      <c r="DD393" s="28" t="n">
        <f aca="false">IFERROR(INDEX(Assessments!$J$2:$J$600,MATCH($H393&amp;"|"&amp;$I393&amp;"|"&amp;$J393&amp;"|"&amp;8,Assessments!$A$2:$A$600,0)),0)</f>
        <v>0</v>
      </c>
      <c r="DE393" s="28" t="n">
        <f aca="false">IFERROR(INDEX(Assessments!$J$2:$J$600,MATCH($H393&amp;"|"&amp;$I393&amp;"|"&amp;$J393&amp;"|"&amp;9,Assessments!$A$2:$A$600,0)),0)</f>
        <v>0</v>
      </c>
      <c r="DF393" s="28" t="n">
        <f aca="false">IFERROR(INDEX(Assessments!$J$2:$J$600,MATCH($H393&amp;"|"&amp;$I393&amp;"|"&amp;$J393&amp;"|"&amp;10,Assessments!$A$2:$A$600,0)),0)</f>
        <v>0</v>
      </c>
      <c r="DG393" s="28" t="n">
        <f aca="false">IFERROR(INDEX(Assessments!$J$2:$J$600,MATCH($H393&amp;"|"&amp;$I393&amp;"|"&amp;$J393&amp;"|"&amp;11,Assessments!$A$2:$A$600,0)),0)</f>
        <v>0</v>
      </c>
      <c r="DH393" s="28" t="n">
        <f aca="false">IFERROR(INDEX(Assessments!$J$2:$J$600,MATCH($H393&amp;"|"&amp;$I393&amp;"|"&amp;$J393&amp;"|"&amp;12,Assessments!$A$2:$A$600,0)),0)</f>
        <v>0</v>
      </c>
      <c r="DI393" s="28" t="n">
        <f aca="false">IFERROR(INDEX(Assessments!$J$2:$J$600,MATCH($H393&amp;"|"&amp;$I393&amp;"|"&amp;$J393&amp;"|"&amp;13,Assessments!$A$2:$A$600,0)),0)</f>
        <v>0</v>
      </c>
      <c r="DJ393" s="28" t="n">
        <f aca="false">IFERROR(INDEX(Assessments!$J$2:$J$600,MATCH($H393&amp;"|"&amp;$I393&amp;"|"&amp;$J393&amp;"|"&amp;14,Assessments!$A$2:$A$600,0)),0)</f>
        <v>0</v>
      </c>
      <c r="DK393" s="28" t="str">
        <f aca="false">S393</f>
        <v/>
      </c>
      <c r="DL393" s="28" t="str">
        <f aca="false">W393</f>
        <v/>
      </c>
      <c r="DM393" s="28" t="str">
        <f aca="false">AA393</f>
        <v/>
      </c>
      <c r="DN393" s="28" t="str">
        <f aca="false">AE393</f>
        <v/>
      </c>
      <c r="DO393" s="28" t="str">
        <f aca="false">AI393</f>
        <v/>
      </c>
      <c r="DP393" s="28" t="str">
        <f aca="false">AM393</f>
        <v/>
      </c>
      <c r="DQ393" s="28" t="str">
        <f aca="false">AQ393</f>
        <v/>
      </c>
      <c r="DR393" s="28" t="str">
        <f aca="false">AU393</f>
        <v/>
      </c>
      <c r="DS393" s="28" t="str">
        <f aca="false">AY393</f>
        <v/>
      </c>
      <c r="DT393" s="28" t="str">
        <f aca="false">BC393</f>
        <v/>
      </c>
      <c r="DU393" s="28" t="str">
        <f aca="false">BG393</f>
        <v/>
      </c>
      <c r="DV393" s="28" t="str">
        <f aca="false">BK393</f>
        <v/>
      </c>
      <c r="DW393" s="28" t="str">
        <f aca="false">BO393</f>
        <v/>
      </c>
      <c r="DX393" s="28" t="str">
        <f aca="false">BS393</f>
        <v/>
      </c>
      <c r="DY393" s="28" t="str">
        <f aca="false">IF(ISNUMBER(S393),1,"")</f>
        <v/>
      </c>
      <c r="DZ393" s="28" t="str">
        <f aca="false">IF(ISNUMBER(W393),2,"")</f>
        <v/>
      </c>
      <c r="EA393" s="28" t="str">
        <f aca="false">IF(ISNUMBER(AA393),3,"")</f>
        <v/>
      </c>
      <c r="EB393" s="28" t="str">
        <f aca="false">IF(ISNUMBER(AE393),4,"")</f>
        <v/>
      </c>
      <c r="EC393" s="28" t="str">
        <f aca="false">IF(ISNUMBER(AI393),5,"")</f>
        <v/>
      </c>
      <c r="ED393" s="28" t="str">
        <f aca="false">IF(ISNUMBER(AM393),6,"")</f>
        <v/>
      </c>
      <c r="EE393" s="28" t="str">
        <f aca="false">IF(ISNUMBER(AQ393),7,"")</f>
        <v/>
      </c>
      <c r="EF393" s="28" t="str">
        <f aca="false">IF(ISNUMBER(AU393),8,"")</f>
        <v/>
      </c>
      <c r="EG393" s="28" t="str">
        <f aca="false">IF(ISNUMBER(AY393),9,"")</f>
        <v/>
      </c>
      <c r="EH393" s="28" t="str">
        <f aca="false">IF(ISNUMBER(BC393),10,"")</f>
        <v/>
      </c>
      <c r="EI393" s="28" t="str">
        <f aca="false">IF(ISNUMBER(BG393),11,"")</f>
        <v/>
      </c>
      <c r="EJ393" s="28" t="str">
        <f aca="false">IF(ISNUMBER(BK393),12,"")</f>
        <v/>
      </c>
      <c r="EK393" s="28" t="str">
        <f aca="false">IF(ISNUMBER(BO393),13,"")</f>
        <v/>
      </c>
      <c r="EL393" s="28" t="str">
        <f aca="false">IF(ISNUMBER(BS393),14,"")</f>
        <v/>
      </c>
      <c r="EM393" s="28" t="n">
        <f aca="false">IF(ISNUMBER(R393),R393*CW393,0)</f>
        <v>0</v>
      </c>
      <c r="EN393" s="28" t="n">
        <f aca="false">IF(ISNUMBER(V393),V393*CX393,0)</f>
        <v>0</v>
      </c>
      <c r="EO393" s="28" t="n">
        <f aca="false">IF(ISNUMBER(Z393),Z393*CY393,0)</f>
        <v>0</v>
      </c>
      <c r="EP393" s="28" t="n">
        <f aca="false">IF(ISNUMBER(AD393),AD393*CZ393,0)</f>
        <v>0</v>
      </c>
      <c r="EQ393" s="28" t="n">
        <f aca="false">IF(ISNUMBER(AH393),AH393*DA393,0)</f>
        <v>0</v>
      </c>
      <c r="ER393" s="28" t="n">
        <f aca="false">IF(ISNUMBER(AL393),AL393*DB393,0)</f>
        <v>0</v>
      </c>
      <c r="ES393" s="28" t="n">
        <f aca="false">IF(ISNUMBER(AP393),AP393*DC393,0)</f>
        <v>0</v>
      </c>
      <c r="ET393" s="28" t="n">
        <f aca="false">IF(ISNUMBER(AT393),AT393*DD393,0)</f>
        <v>0</v>
      </c>
      <c r="EU393" s="28" t="n">
        <f aca="false">IF(ISNUMBER(AX393),AX393*DE393,0)</f>
        <v>0</v>
      </c>
      <c r="EV393" s="28" t="n">
        <f aca="false">IF(ISNUMBER(BB393),BB393*DF393,0)</f>
        <v>0</v>
      </c>
      <c r="EW393" s="28" t="n">
        <f aca="false">IF(ISNUMBER(BF393),BF393*DG393,0)</f>
        <v>0</v>
      </c>
      <c r="EX393" s="28" t="n">
        <f aca="false">IF(ISNUMBER(BJ393),BJ393*DH393,0)</f>
        <v>0</v>
      </c>
      <c r="EY393" s="28" t="n">
        <f aca="false">IF(ISNUMBER(BN393),BN393*DI393,0)</f>
        <v>0</v>
      </c>
      <c r="EZ393" s="28" t="n">
        <f aca="false">IF(ISNUMBER(BR393),BR393*DJ393,0)</f>
        <v>0</v>
      </c>
      <c r="FA393" s="28" t="n">
        <f aca="false">IF(ISNUMBER(R393),CW393,0)</f>
        <v>0</v>
      </c>
      <c r="FB393" s="28" t="n">
        <f aca="false">IF(ISNUMBER(V393),CX393,0)</f>
        <v>0</v>
      </c>
      <c r="FC393" s="28" t="n">
        <f aca="false">IF(ISNUMBER(Z393),CY393,0)</f>
        <v>0</v>
      </c>
      <c r="FD393" s="28" t="n">
        <f aca="false">IF(ISNUMBER(AD393),CZ393,0)</f>
        <v>0</v>
      </c>
      <c r="FE393" s="28" t="n">
        <f aca="false">IF(ISNUMBER(AH393),DA393,0)</f>
        <v>0</v>
      </c>
      <c r="FF393" s="28" t="n">
        <f aca="false">IF(ISNUMBER(AL393),DB393,0)</f>
        <v>0</v>
      </c>
      <c r="FG393" s="28" t="n">
        <f aca="false">IF(ISNUMBER(AP393),DC393,0)</f>
        <v>0</v>
      </c>
      <c r="FH393" s="28" t="n">
        <f aca="false">IF(ISNUMBER(AT393),DD393,0)</f>
        <v>0</v>
      </c>
      <c r="FI393" s="28" t="n">
        <f aca="false">IF(ISNUMBER(AX393),DE393,0)</f>
        <v>0</v>
      </c>
      <c r="FJ393" s="28" t="n">
        <f aca="false">IF(ISNUMBER(BB393),DF393,0)</f>
        <v>0</v>
      </c>
      <c r="FK393" s="28" t="n">
        <f aca="false">IF(ISNUMBER(BF393),DG393,0)</f>
        <v>0</v>
      </c>
      <c r="FL393" s="28" t="n">
        <f aca="false">IF(ISNUMBER(BJ393),DH393,0)</f>
        <v>0</v>
      </c>
      <c r="FM393" s="28" t="n">
        <f aca="false">IF(ISNUMBER(BN393),DI393,0)</f>
        <v>0</v>
      </c>
      <c r="FN393" s="28" t="n">
        <f aca="false">IF(ISNUMBER(BR393),DJ393,0)</f>
        <v>0</v>
      </c>
      <c r="FO393" s="28" t="str">
        <f aca="false">IFERROR(INDEX(Lists!$G$2:$G$20,MATCH($I393&amp;"|"&amp;$J393,Lists!$F$2:$F$20,0)),"")</f>
        <v/>
      </c>
    </row>
    <row r="394" customFormat="false" ht="19.5" hidden="false" customHeight="true" outlineLevel="0" collapsed="false">
      <c r="A394" s="29"/>
      <c r="B394" s="29"/>
      <c r="C394" s="30"/>
      <c r="D394" s="30"/>
      <c r="E394" s="31"/>
      <c r="F394" s="30"/>
      <c r="G394" s="30"/>
      <c r="H394" s="32"/>
      <c r="I394" s="33"/>
      <c r="J394" s="32"/>
      <c r="K394" s="34" t="str">
        <f aca="false">IF(OR(M394="",$E394=""),"",M394-$E394)</f>
        <v/>
      </c>
      <c r="L394" s="35" t="str">
        <f aca="false">IF(SUM(FA394:FN394)=0,"",SUM(EM394:EZ394)/SUM(FA394:FN394))</f>
        <v/>
      </c>
      <c r="M394" s="36" t="str">
        <f aca="false">IF(OR(L394="",FO394=""),"",IFERROR(MATCH(L394,INDEX(Boundaries!$B$2:$I$30,MATCH(FO394,Boundaries!$A$2:$A$30,0),0),1)-1,""))</f>
        <v/>
      </c>
      <c r="N394" s="37" t="str">
        <f aca="false">IF(COUNT($DY394:$EL394)&lt;2,"",INDEX($DK394:$DX394,MAX($DY394:$EL394))-INDEX($DK394:$DX394,MIN($DY394:$EL394)))</f>
        <v/>
      </c>
      <c r="O394" s="37" t="str">
        <f aca="false">IF(COUNT($DY394:$EL394)&lt;2,"",INDEX($DK394:$DX394,MAX($DY394:$EL394))-INDEX($DK394:$DX394,LARGE($DY394:$EL394,2)))</f>
        <v/>
      </c>
      <c r="P394" s="38" t="str">
        <f aca="false">IF(K394="","",IF(K394&gt;=0,"On/above target",IF(AND(N394&lt;&gt;"",N394&gt;=0.5),"Improving towards target",IF(AND(O394&lt;&gt;"",O394&lt;=-0.5),"Declining","Stable below target"))))</f>
        <v/>
      </c>
      <c r="Q394" s="39"/>
      <c r="R394" s="40" t="str">
        <f aca="false">IF(OR(Q394="",BU394=""),"",Q394/BU394*100)</f>
        <v/>
      </c>
      <c r="S394" s="41" t="str">
        <f aca="false">IF(R394="","",IFERROR(MATCH(R394,INDEX(Boundaries!$B$2:$I$30,MATCH(CI394,Boundaries!$A$2:$A$30,0),0),1)-1,""))</f>
        <v/>
      </c>
      <c r="T394" s="42" t="str">
        <f aca="false">IF(OR(S394="",$E394=""),"",S394-$E394)</f>
        <v/>
      </c>
      <c r="U394" s="39"/>
      <c r="V394" s="40" t="str">
        <f aca="false">IF(OR(U394="",BV394=""),"",U394/BV394*100)</f>
        <v/>
      </c>
      <c r="W394" s="41" t="str">
        <f aca="false">IF(V394="","",IFERROR(MATCH(V394,INDEX(Boundaries!$B$2:$I$30,MATCH(CJ394,Boundaries!$A$2:$A$30,0),0),1)-1,""))</f>
        <v/>
      </c>
      <c r="X394" s="42" t="str">
        <f aca="false">IF(OR(W394="",$E394=""),"",W394-$E394)</f>
        <v/>
      </c>
      <c r="Y394" s="39"/>
      <c r="Z394" s="40" t="str">
        <f aca="false">IF(OR(Y394="",BW394=""),"",Y394/BW394*100)</f>
        <v/>
      </c>
      <c r="AA394" s="41" t="str">
        <f aca="false">IF(Z394="","",IFERROR(MATCH(Z394,INDEX(Boundaries!$B$2:$I$30,MATCH(CK394,Boundaries!$A$2:$A$30,0),0),1)-1,""))</f>
        <v/>
      </c>
      <c r="AB394" s="42" t="str">
        <f aca="false">IF(OR(AA394="",$E394=""),"",AA394-$E394)</f>
        <v/>
      </c>
      <c r="AC394" s="39"/>
      <c r="AD394" s="40" t="str">
        <f aca="false">IF(OR(AC394="",BX394=""),"",AC394/BX394*100)</f>
        <v/>
      </c>
      <c r="AE394" s="41" t="str">
        <f aca="false">IF(AD394="","",IFERROR(MATCH(AD394,INDEX(Boundaries!$B$2:$I$30,MATCH(CL394,Boundaries!$A$2:$A$30,0),0),1)-1,""))</f>
        <v/>
      </c>
      <c r="AF394" s="42" t="str">
        <f aca="false">IF(OR(AE394="",$E394=""),"",AE394-$E394)</f>
        <v/>
      </c>
      <c r="AG394" s="39"/>
      <c r="AH394" s="40" t="str">
        <f aca="false">IF(OR(AG394="",BY394=""),"",AG394/BY394*100)</f>
        <v/>
      </c>
      <c r="AI394" s="41" t="str">
        <f aca="false">IF(AH394="","",IFERROR(MATCH(AH394,INDEX(Boundaries!$B$2:$I$30,MATCH(CM394,Boundaries!$A$2:$A$30,0),0),1)-1,""))</f>
        <v/>
      </c>
      <c r="AJ394" s="42" t="str">
        <f aca="false">IF(OR(AI394="",$E394=""),"",AI394-$E394)</f>
        <v/>
      </c>
      <c r="AK394" s="39"/>
      <c r="AL394" s="40" t="str">
        <f aca="false">IF(OR(AK394="",BZ394=""),"",AK394/BZ394*100)</f>
        <v/>
      </c>
      <c r="AM394" s="41" t="str">
        <f aca="false">IF(AL394="","",IFERROR(MATCH(AL394,INDEX(Boundaries!$B$2:$I$30,MATCH(CN394,Boundaries!$A$2:$A$30,0),0),1)-1,""))</f>
        <v/>
      </c>
      <c r="AN394" s="42" t="str">
        <f aca="false">IF(OR(AM394="",$E394=""),"",AM394-$E394)</f>
        <v/>
      </c>
      <c r="AO394" s="39"/>
      <c r="AP394" s="40" t="str">
        <f aca="false">IF(OR(AO394="",CA394=""),"",AO394/CA394*100)</f>
        <v/>
      </c>
      <c r="AQ394" s="41" t="str">
        <f aca="false">IF(AP394="","",IFERROR(MATCH(AP394,INDEX(Boundaries!$B$2:$I$30,MATCH(CO394,Boundaries!$A$2:$A$30,0),0),1)-1,""))</f>
        <v/>
      </c>
      <c r="AR394" s="42" t="str">
        <f aca="false">IF(OR(AQ394="",$E394=""),"",AQ394-$E394)</f>
        <v/>
      </c>
      <c r="AS394" s="39"/>
      <c r="AT394" s="40" t="str">
        <f aca="false">IF(OR(AS394="",CB394=""),"",AS394/CB394*100)</f>
        <v/>
      </c>
      <c r="AU394" s="41" t="str">
        <f aca="false">IF(AT394="","",IFERROR(MATCH(AT394,INDEX(Boundaries!$B$2:$I$30,MATCH(CP394,Boundaries!$A$2:$A$30,0),0),1)-1,""))</f>
        <v/>
      </c>
      <c r="AV394" s="42" t="str">
        <f aca="false">IF(OR(AU394="",$E394=""),"",AU394-$E394)</f>
        <v/>
      </c>
      <c r="AW394" s="39"/>
      <c r="AX394" s="40" t="str">
        <f aca="false">IF(OR(AW394="",CC394=""),"",AW394/CC394*100)</f>
        <v/>
      </c>
      <c r="AY394" s="41" t="str">
        <f aca="false">IF(AX394="","",IFERROR(MATCH(AX394,INDEX(Boundaries!$B$2:$I$30,MATCH(CQ394,Boundaries!$A$2:$A$30,0),0),1)-1,""))</f>
        <v/>
      </c>
      <c r="AZ394" s="42" t="str">
        <f aca="false">IF(OR(AY394="",$E394=""),"",AY394-$E394)</f>
        <v/>
      </c>
      <c r="BA394" s="39"/>
      <c r="BB394" s="40" t="str">
        <f aca="false">IF(OR(BA394="",CD394=""),"",BA394/CD394*100)</f>
        <v/>
      </c>
      <c r="BC394" s="41" t="str">
        <f aca="false">IF(BB394="","",IFERROR(MATCH(BB394,INDEX(Boundaries!$B$2:$I$30,MATCH(CR394,Boundaries!$A$2:$A$30,0),0),1)-1,""))</f>
        <v/>
      </c>
      <c r="BD394" s="42" t="str">
        <f aca="false">IF(OR(BC394="",$E394=""),"",BC394-$E394)</f>
        <v/>
      </c>
      <c r="BE394" s="39"/>
      <c r="BF394" s="40" t="str">
        <f aca="false">IF(OR(BE394="",CE394=""),"",BE394/CE394*100)</f>
        <v/>
      </c>
      <c r="BG394" s="41" t="str">
        <f aca="false">IF(BF394="","",IFERROR(MATCH(BF394,INDEX(Boundaries!$B$2:$I$30,MATCH(CS394,Boundaries!$A$2:$A$30,0),0),1)-1,""))</f>
        <v/>
      </c>
      <c r="BH394" s="42" t="str">
        <f aca="false">IF(OR(BG394="",$E394=""),"",BG394-$E394)</f>
        <v/>
      </c>
      <c r="BI394" s="39"/>
      <c r="BJ394" s="40" t="str">
        <f aca="false">IF(OR(BI394="",CF394=""),"",BI394/CF394*100)</f>
        <v/>
      </c>
      <c r="BK394" s="41" t="str">
        <f aca="false">IF(BJ394="","",IFERROR(MATCH(BJ394,INDEX(Boundaries!$B$2:$I$30,MATCH(CT394,Boundaries!$A$2:$A$30,0),0),1)-1,""))</f>
        <v/>
      </c>
      <c r="BL394" s="42" t="str">
        <f aca="false">IF(OR(BK394="",$E394=""),"",BK394-$E394)</f>
        <v/>
      </c>
      <c r="BM394" s="39"/>
      <c r="BN394" s="40" t="str">
        <f aca="false">IF(OR(BM394="",CG394=""),"",BM394/CG394*100)</f>
        <v/>
      </c>
      <c r="BO394" s="41" t="str">
        <f aca="false">IF(BN394="","",IFERROR(MATCH(BN394,INDEX(Boundaries!$B$2:$I$30,MATCH(CU394,Boundaries!$A$2:$A$30,0),0),1)-1,""))</f>
        <v/>
      </c>
      <c r="BP394" s="42" t="str">
        <f aca="false">IF(OR(BO394="",$E394=""),"",BO394-$E394)</f>
        <v/>
      </c>
      <c r="BQ394" s="39"/>
      <c r="BR394" s="40" t="str">
        <f aca="false">IF(OR(BQ394="",CH394=""),"",BQ394/CH394*100)</f>
        <v/>
      </c>
      <c r="BS394" s="41" t="str">
        <f aca="false">IF(BR394="","",IFERROR(MATCH(BR394,INDEX(Boundaries!$B$2:$I$30,MATCH(CV394,Boundaries!$A$2:$A$30,0),0),1)-1,""))</f>
        <v/>
      </c>
      <c r="BT394" s="42" t="str">
        <f aca="false">IF(OR(BS394="",$E394=""),"",BS394-$E394)</f>
        <v/>
      </c>
      <c r="BU394" s="28" t="str">
        <f aca="false">IFERROR(INDEX(Assessments!$H$2:$H$600,MATCH($H394&amp;"|"&amp;$I394&amp;"|"&amp;$J394&amp;"|"&amp;1,Assessments!$A$2:$A$600,0)),"")</f>
        <v/>
      </c>
      <c r="BV394" s="28" t="str">
        <f aca="false">IFERROR(INDEX(Assessments!$H$2:$H$600,MATCH($H394&amp;"|"&amp;$I394&amp;"|"&amp;$J394&amp;"|"&amp;2,Assessments!$A$2:$A$600,0)),"")</f>
        <v/>
      </c>
      <c r="BW394" s="28" t="str">
        <f aca="false">IFERROR(INDEX(Assessments!$H$2:$H$600,MATCH($H394&amp;"|"&amp;$I394&amp;"|"&amp;$J394&amp;"|"&amp;3,Assessments!$A$2:$A$600,0)),"")</f>
        <v/>
      </c>
      <c r="BX394" s="28" t="str">
        <f aca="false">IFERROR(INDEX(Assessments!$H$2:$H$600,MATCH($H394&amp;"|"&amp;$I394&amp;"|"&amp;$J394&amp;"|"&amp;4,Assessments!$A$2:$A$600,0)),"")</f>
        <v/>
      </c>
      <c r="BY394" s="28" t="str">
        <f aca="false">IFERROR(INDEX(Assessments!$H$2:$H$600,MATCH($H394&amp;"|"&amp;$I394&amp;"|"&amp;$J394&amp;"|"&amp;5,Assessments!$A$2:$A$600,0)),"")</f>
        <v/>
      </c>
      <c r="BZ394" s="28" t="str">
        <f aca="false">IFERROR(INDEX(Assessments!$H$2:$H$600,MATCH($H394&amp;"|"&amp;$I394&amp;"|"&amp;$J394&amp;"|"&amp;6,Assessments!$A$2:$A$600,0)),"")</f>
        <v/>
      </c>
      <c r="CA394" s="28" t="str">
        <f aca="false">IFERROR(INDEX(Assessments!$H$2:$H$600,MATCH($H394&amp;"|"&amp;$I394&amp;"|"&amp;$J394&amp;"|"&amp;7,Assessments!$A$2:$A$600,0)),"")</f>
        <v/>
      </c>
      <c r="CB394" s="28" t="str">
        <f aca="false">IFERROR(INDEX(Assessments!$H$2:$H$600,MATCH($H394&amp;"|"&amp;$I394&amp;"|"&amp;$J394&amp;"|"&amp;8,Assessments!$A$2:$A$600,0)),"")</f>
        <v/>
      </c>
      <c r="CC394" s="28" t="str">
        <f aca="false">IFERROR(INDEX(Assessments!$H$2:$H$600,MATCH($H394&amp;"|"&amp;$I394&amp;"|"&amp;$J394&amp;"|"&amp;9,Assessments!$A$2:$A$600,0)),"")</f>
        <v/>
      </c>
      <c r="CD394" s="28" t="str">
        <f aca="false">IFERROR(INDEX(Assessments!$H$2:$H$600,MATCH($H394&amp;"|"&amp;$I394&amp;"|"&amp;$J394&amp;"|"&amp;10,Assessments!$A$2:$A$600,0)),"")</f>
        <v/>
      </c>
      <c r="CE394" s="28" t="str">
        <f aca="false">IFERROR(INDEX(Assessments!$H$2:$H$600,MATCH($H394&amp;"|"&amp;$I394&amp;"|"&amp;$J394&amp;"|"&amp;11,Assessments!$A$2:$A$600,0)),"")</f>
        <v/>
      </c>
      <c r="CF394" s="28" t="str">
        <f aca="false">IFERROR(INDEX(Assessments!$H$2:$H$600,MATCH($H394&amp;"|"&amp;$I394&amp;"|"&amp;$J394&amp;"|"&amp;12,Assessments!$A$2:$A$600,0)),"")</f>
        <v/>
      </c>
      <c r="CG394" s="28" t="str">
        <f aca="false">IFERROR(INDEX(Assessments!$H$2:$H$600,MATCH($H394&amp;"|"&amp;$I394&amp;"|"&amp;$J394&amp;"|"&amp;13,Assessments!$A$2:$A$600,0)),"")</f>
        <v/>
      </c>
      <c r="CH394" s="28" t="str">
        <f aca="false">IFERROR(INDEX(Assessments!$H$2:$H$600,MATCH($H394&amp;"|"&amp;$I394&amp;"|"&amp;$J394&amp;"|"&amp;14,Assessments!$A$2:$A$600,0)),"")</f>
        <v/>
      </c>
      <c r="CI394" s="28" t="str">
        <f aca="false">IFERROR(INDEX(Assessments!$I$2:$I$600,MATCH($H394&amp;"|"&amp;$I394&amp;"|"&amp;$J394&amp;"|"&amp;1,Assessments!$A$2:$A$600,0)),"")</f>
        <v/>
      </c>
      <c r="CJ394" s="28" t="str">
        <f aca="false">IFERROR(INDEX(Assessments!$I$2:$I$600,MATCH($H394&amp;"|"&amp;$I394&amp;"|"&amp;$J394&amp;"|"&amp;2,Assessments!$A$2:$A$600,0)),"")</f>
        <v/>
      </c>
      <c r="CK394" s="28" t="str">
        <f aca="false">IFERROR(INDEX(Assessments!$I$2:$I$600,MATCH($H394&amp;"|"&amp;$I394&amp;"|"&amp;$J394&amp;"|"&amp;3,Assessments!$A$2:$A$600,0)),"")</f>
        <v/>
      </c>
      <c r="CL394" s="28" t="str">
        <f aca="false">IFERROR(INDEX(Assessments!$I$2:$I$600,MATCH($H394&amp;"|"&amp;$I394&amp;"|"&amp;$J394&amp;"|"&amp;4,Assessments!$A$2:$A$600,0)),"")</f>
        <v/>
      </c>
      <c r="CM394" s="28" t="str">
        <f aca="false">IFERROR(INDEX(Assessments!$I$2:$I$600,MATCH($H394&amp;"|"&amp;$I394&amp;"|"&amp;$J394&amp;"|"&amp;5,Assessments!$A$2:$A$600,0)),"")</f>
        <v/>
      </c>
      <c r="CN394" s="28" t="str">
        <f aca="false">IFERROR(INDEX(Assessments!$I$2:$I$600,MATCH($H394&amp;"|"&amp;$I394&amp;"|"&amp;$J394&amp;"|"&amp;6,Assessments!$A$2:$A$600,0)),"")</f>
        <v/>
      </c>
      <c r="CO394" s="28" t="str">
        <f aca="false">IFERROR(INDEX(Assessments!$I$2:$I$600,MATCH($H394&amp;"|"&amp;$I394&amp;"|"&amp;$J394&amp;"|"&amp;7,Assessments!$A$2:$A$600,0)),"")</f>
        <v/>
      </c>
      <c r="CP394" s="28" t="str">
        <f aca="false">IFERROR(INDEX(Assessments!$I$2:$I$600,MATCH($H394&amp;"|"&amp;$I394&amp;"|"&amp;$J394&amp;"|"&amp;8,Assessments!$A$2:$A$600,0)),"")</f>
        <v/>
      </c>
      <c r="CQ394" s="28" t="str">
        <f aca="false">IFERROR(INDEX(Assessments!$I$2:$I$600,MATCH($H394&amp;"|"&amp;$I394&amp;"|"&amp;$J394&amp;"|"&amp;9,Assessments!$A$2:$A$600,0)),"")</f>
        <v/>
      </c>
      <c r="CR394" s="28" t="str">
        <f aca="false">IFERROR(INDEX(Assessments!$I$2:$I$600,MATCH($H394&amp;"|"&amp;$I394&amp;"|"&amp;$J394&amp;"|"&amp;10,Assessments!$A$2:$A$600,0)),"")</f>
        <v/>
      </c>
      <c r="CS394" s="28" t="str">
        <f aca="false">IFERROR(INDEX(Assessments!$I$2:$I$600,MATCH($H394&amp;"|"&amp;$I394&amp;"|"&amp;$J394&amp;"|"&amp;11,Assessments!$A$2:$A$600,0)),"")</f>
        <v/>
      </c>
      <c r="CT394" s="28" t="str">
        <f aca="false">IFERROR(INDEX(Assessments!$I$2:$I$600,MATCH($H394&amp;"|"&amp;$I394&amp;"|"&amp;$J394&amp;"|"&amp;12,Assessments!$A$2:$A$600,0)),"")</f>
        <v/>
      </c>
      <c r="CU394" s="28" t="str">
        <f aca="false">IFERROR(INDEX(Assessments!$I$2:$I$600,MATCH($H394&amp;"|"&amp;$I394&amp;"|"&amp;$J394&amp;"|"&amp;13,Assessments!$A$2:$A$600,0)),"")</f>
        <v/>
      </c>
      <c r="CV394" s="28" t="str">
        <f aca="false">IFERROR(INDEX(Assessments!$I$2:$I$600,MATCH($H394&amp;"|"&amp;$I394&amp;"|"&amp;$J394&amp;"|"&amp;14,Assessments!$A$2:$A$600,0)),"")</f>
        <v/>
      </c>
      <c r="CW394" s="28" t="n">
        <f aca="false">IFERROR(INDEX(Assessments!$J$2:$J$600,MATCH($H394&amp;"|"&amp;$I394&amp;"|"&amp;$J394&amp;"|"&amp;1,Assessments!$A$2:$A$600,0)),0)</f>
        <v>0</v>
      </c>
      <c r="CX394" s="28" t="n">
        <f aca="false">IFERROR(INDEX(Assessments!$J$2:$J$600,MATCH($H394&amp;"|"&amp;$I394&amp;"|"&amp;$J394&amp;"|"&amp;2,Assessments!$A$2:$A$600,0)),0)</f>
        <v>0</v>
      </c>
      <c r="CY394" s="28" t="n">
        <f aca="false">IFERROR(INDEX(Assessments!$J$2:$J$600,MATCH($H394&amp;"|"&amp;$I394&amp;"|"&amp;$J394&amp;"|"&amp;3,Assessments!$A$2:$A$600,0)),0)</f>
        <v>0</v>
      </c>
      <c r="CZ394" s="28" t="n">
        <f aca="false">IFERROR(INDEX(Assessments!$J$2:$J$600,MATCH($H394&amp;"|"&amp;$I394&amp;"|"&amp;$J394&amp;"|"&amp;4,Assessments!$A$2:$A$600,0)),0)</f>
        <v>0</v>
      </c>
      <c r="DA394" s="28" t="n">
        <f aca="false">IFERROR(INDEX(Assessments!$J$2:$J$600,MATCH($H394&amp;"|"&amp;$I394&amp;"|"&amp;$J394&amp;"|"&amp;5,Assessments!$A$2:$A$600,0)),0)</f>
        <v>0</v>
      </c>
      <c r="DB394" s="28" t="n">
        <f aca="false">IFERROR(INDEX(Assessments!$J$2:$J$600,MATCH($H394&amp;"|"&amp;$I394&amp;"|"&amp;$J394&amp;"|"&amp;6,Assessments!$A$2:$A$600,0)),0)</f>
        <v>0</v>
      </c>
      <c r="DC394" s="28" t="n">
        <f aca="false">IFERROR(INDEX(Assessments!$J$2:$J$600,MATCH($H394&amp;"|"&amp;$I394&amp;"|"&amp;$J394&amp;"|"&amp;7,Assessments!$A$2:$A$600,0)),0)</f>
        <v>0</v>
      </c>
      <c r="DD394" s="28" t="n">
        <f aca="false">IFERROR(INDEX(Assessments!$J$2:$J$600,MATCH($H394&amp;"|"&amp;$I394&amp;"|"&amp;$J394&amp;"|"&amp;8,Assessments!$A$2:$A$600,0)),0)</f>
        <v>0</v>
      </c>
      <c r="DE394" s="28" t="n">
        <f aca="false">IFERROR(INDEX(Assessments!$J$2:$J$600,MATCH($H394&amp;"|"&amp;$I394&amp;"|"&amp;$J394&amp;"|"&amp;9,Assessments!$A$2:$A$600,0)),0)</f>
        <v>0</v>
      </c>
      <c r="DF394" s="28" t="n">
        <f aca="false">IFERROR(INDEX(Assessments!$J$2:$J$600,MATCH($H394&amp;"|"&amp;$I394&amp;"|"&amp;$J394&amp;"|"&amp;10,Assessments!$A$2:$A$600,0)),0)</f>
        <v>0</v>
      </c>
      <c r="DG394" s="28" t="n">
        <f aca="false">IFERROR(INDEX(Assessments!$J$2:$J$600,MATCH($H394&amp;"|"&amp;$I394&amp;"|"&amp;$J394&amp;"|"&amp;11,Assessments!$A$2:$A$600,0)),0)</f>
        <v>0</v>
      </c>
      <c r="DH394" s="28" t="n">
        <f aca="false">IFERROR(INDEX(Assessments!$J$2:$J$600,MATCH($H394&amp;"|"&amp;$I394&amp;"|"&amp;$J394&amp;"|"&amp;12,Assessments!$A$2:$A$600,0)),0)</f>
        <v>0</v>
      </c>
      <c r="DI394" s="28" t="n">
        <f aca="false">IFERROR(INDEX(Assessments!$J$2:$J$600,MATCH($H394&amp;"|"&amp;$I394&amp;"|"&amp;$J394&amp;"|"&amp;13,Assessments!$A$2:$A$600,0)),0)</f>
        <v>0</v>
      </c>
      <c r="DJ394" s="28" t="n">
        <f aca="false">IFERROR(INDEX(Assessments!$J$2:$J$600,MATCH($H394&amp;"|"&amp;$I394&amp;"|"&amp;$J394&amp;"|"&amp;14,Assessments!$A$2:$A$600,0)),0)</f>
        <v>0</v>
      </c>
      <c r="DK394" s="28" t="str">
        <f aca="false">S394</f>
        <v/>
      </c>
      <c r="DL394" s="28" t="str">
        <f aca="false">W394</f>
        <v/>
      </c>
      <c r="DM394" s="28" t="str">
        <f aca="false">AA394</f>
        <v/>
      </c>
      <c r="DN394" s="28" t="str">
        <f aca="false">AE394</f>
        <v/>
      </c>
      <c r="DO394" s="28" t="str">
        <f aca="false">AI394</f>
        <v/>
      </c>
      <c r="DP394" s="28" t="str">
        <f aca="false">AM394</f>
        <v/>
      </c>
      <c r="DQ394" s="28" t="str">
        <f aca="false">AQ394</f>
        <v/>
      </c>
      <c r="DR394" s="28" t="str">
        <f aca="false">AU394</f>
        <v/>
      </c>
      <c r="DS394" s="28" t="str">
        <f aca="false">AY394</f>
        <v/>
      </c>
      <c r="DT394" s="28" t="str">
        <f aca="false">BC394</f>
        <v/>
      </c>
      <c r="DU394" s="28" t="str">
        <f aca="false">BG394</f>
        <v/>
      </c>
      <c r="DV394" s="28" t="str">
        <f aca="false">BK394</f>
        <v/>
      </c>
      <c r="DW394" s="28" t="str">
        <f aca="false">BO394</f>
        <v/>
      </c>
      <c r="DX394" s="28" t="str">
        <f aca="false">BS394</f>
        <v/>
      </c>
      <c r="DY394" s="28" t="str">
        <f aca="false">IF(ISNUMBER(S394),1,"")</f>
        <v/>
      </c>
      <c r="DZ394" s="28" t="str">
        <f aca="false">IF(ISNUMBER(W394),2,"")</f>
        <v/>
      </c>
      <c r="EA394" s="28" t="str">
        <f aca="false">IF(ISNUMBER(AA394),3,"")</f>
        <v/>
      </c>
      <c r="EB394" s="28" t="str">
        <f aca="false">IF(ISNUMBER(AE394),4,"")</f>
        <v/>
      </c>
      <c r="EC394" s="28" t="str">
        <f aca="false">IF(ISNUMBER(AI394),5,"")</f>
        <v/>
      </c>
      <c r="ED394" s="28" t="str">
        <f aca="false">IF(ISNUMBER(AM394),6,"")</f>
        <v/>
      </c>
      <c r="EE394" s="28" t="str">
        <f aca="false">IF(ISNUMBER(AQ394),7,"")</f>
        <v/>
      </c>
      <c r="EF394" s="28" t="str">
        <f aca="false">IF(ISNUMBER(AU394),8,"")</f>
        <v/>
      </c>
      <c r="EG394" s="28" t="str">
        <f aca="false">IF(ISNUMBER(AY394),9,"")</f>
        <v/>
      </c>
      <c r="EH394" s="28" t="str">
        <f aca="false">IF(ISNUMBER(BC394),10,"")</f>
        <v/>
      </c>
      <c r="EI394" s="28" t="str">
        <f aca="false">IF(ISNUMBER(BG394),11,"")</f>
        <v/>
      </c>
      <c r="EJ394" s="28" t="str">
        <f aca="false">IF(ISNUMBER(BK394),12,"")</f>
        <v/>
      </c>
      <c r="EK394" s="28" t="str">
        <f aca="false">IF(ISNUMBER(BO394),13,"")</f>
        <v/>
      </c>
      <c r="EL394" s="28" t="str">
        <f aca="false">IF(ISNUMBER(BS394),14,"")</f>
        <v/>
      </c>
      <c r="EM394" s="28" t="n">
        <f aca="false">IF(ISNUMBER(R394),R394*CW394,0)</f>
        <v>0</v>
      </c>
      <c r="EN394" s="28" t="n">
        <f aca="false">IF(ISNUMBER(V394),V394*CX394,0)</f>
        <v>0</v>
      </c>
      <c r="EO394" s="28" t="n">
        <f aca="false">IF(ISNUMBER(Z394),Z394*CY394,0)</f>
        <v>0</v>
      </c>
      <c r="EP394" s="28" t="n">
        <f aca="false">IF(ISNUMBER(AD394),AD394*CZ394,0)</f>
        <v>0</v>
      </c>
      <c r="EQ394" s="28" t="n">
        <f aca="false">IF(ISNUMBER(AH394),AH394*DA394,0)</f>
        <v>0</v>
      </c>
      <c r="ER394" s="28" t="n">
        <f aca="false">IF(ISNUMBER(AL394),AL394*DB394,0)</f>
        <v>0</v>
      </c>
      <c r="ES394" s="28" t="n">
        <f aca="false">IF(ISNUMBER(AP394),AP394*DC394,0)</f>
        <v>0</v>
      </c>
      <c r="ET394" s="28" t="n">
        <f aca="false">IF(ISNUMBER(AT394),AT394*DD394,0)</f>
        <v>0</v>
      </c>
      <c r="EU394" s="28" t="n">
        <f aca="false">IF(ISNUMBER(AX394),AX394*DE394,0)</f>
        <v>0</v>
      </c>
      <c r="EV394" s="28" t="n">
        <f aca="false">IF(ISNUMBER(BB394),BB394*DF394,0)</f>
        <v>0</v>
      </c>
      <c r="EW394" s="28" t="n">
        <f aca="false">IF(ISNUMBER(BF394),BF394*DG394,0)</f>
        <v>0</v>
      </c>
      <c r="EX394" s="28" t="n">
        <f aca="false">IF(ISNUMBER(BJ394),BJ394*DH394,0)</f>
        <v>0</v>
      </c>
      <c r="EY394" s="28" t="n">
        <f aca="false">IF(ISNUMBER(BN394),BN394*DI394,0)</f>
        <v>0</v>
      </c>
      <c r="EZ394" s="28" t="n">
        <f aca="false">IF(ISNUMBER(BR394),BR394*DJ394,0)</f>
        <v>0</v>
      </c>
      <c r="FA394" s="28" t="n">
        <f aca="false">IF(ISNUMBER(R394),CW394,0)</f>
        <v>0</v>
      </c>
      <c r="FB394" s="28" t="n">
        <f aca="false">IF(ISNUMBER(V394),CX394,0)</f>
        <v>0</v>
      </c>
      <c r="FC394" s="28" t="n">
        <f aca="false">IF(ISNUMBER(Z394),CY394,0)</f>
        <v>0</v>
      </c>
      <c r="FD394" s="28" t="n">
        <f aca="false">IF(ISNUMBER(AD394),CZ394,0)</f>
        <v>0</v>
      </c>
      <c r="FE394" s="28" t="n">
        <f aca="false">IF(ISNUMBER(AH394),DA394,0)</f>
        <v>0</v>
      </c>
      <c r="FF394" s="28" t="n">
        <f aca="false">IF(ISNUMBER(AL394),DB394,0)</f>
        <v>0</v>
      </c>
      <c r="FG394" s="28" t="n">
        <f aca="false">IF(ISNUMBER(AP394),DC394,0)</f>
        <v>0</v>
      </c>
      <c r="FH394" s="28" t="n">
        <f aca="false">IF(ISNUMBER(AT394),DD394,0)</f>
        <v>0</v>
      </c>
      <c r="FI394" s="28" t="n">
        <f aca="false">IF(ISNUMBER(AX394),DE394,0)</f>
        <v>0</v>
      </c>
      <c r="FJ394" s="28" t="n">
        <f aca="false">IF(ISNUMBER(BB394),DF394,0)</f>
        <v>0</v>
      </c>
      <c r="FK394" s="28" t="n">
        <f aca="false">IF(ISNUMBER(BF394),DG394,0)</f>
        <v>0</v>
      </c>
      <c r="FL394" s="28" t="n">
        <f aca="false">IF(ISNUMBER(BJ394),DH394,0)</f>
        <v>0</v>
      </c>
      <c r="FM394" s="28" t="n">
        <f aca="false">IF(ISNUMBER(BN394),DI394,0)</f>
        <v>0</v>
      </c>
      <c r="FN394" s="28" t="n">
        <f aca="false">IF(ISNUMBER(BR394),DJ394,0)</f>
        <v>0</v>
      </c>
      <c r="FO394" s="28" t="str">
        <f aca="false">IFERROR(INDEX(Lists!$G$2:$G$20,MATCH($I394&amp;"|"&amp;$J394,Lists!$F$2:$F$20,0)),"")</f>
        <v/>
      </c>
    </row>
    <row r="395" customFormat="false" ht="19.5" hidden="false" customHeight="true" outlineLevel="0" collapsed="false">
      <c r="A395" s="29"/>
      <c r="B395" s="29"/>
      <c r="C395" s="30"/>
      <c r="D395" s="30"/>
      <c r="E395" s="31"/>
      <c r="F395" s="30"/>
      <c r="G395" s="30"/>
      <c r="H395" s="32"/>
      <c r="I395" s="33"/>
      <c r="J395" s="32"/>
      <c r="K395" s="34" t="str">
        <f aca="false">IF(OR(M395="",$E395=""),"",M395-$E395)</f>
        <v/>
      </c>
      <c r="L395" s="35" t="str">
        <f aca="false">IF(SUM(FA395:FN395)=0,"",SUM(EM395:EZ395)/SUM(FA395:FN395))</f>
        <v/>
      </c>
      <c r="M395" s="36" t="str">
        <f aca="false">IF(OR(L395="",FO395=""),"",IFERROR(MATCH(L395,INDEX(Boundaries!$B$2:$I$30,MATCH(FO395,Boundaries!$A$2:$A$30,0),0),1)-1,""))</f>
        <v/>
      </c>
      <c r="N395" s="37" t="str">
        <f aca="false">IF(COUNT($DY395:$EL395)&lt;2,"",INDEX($DK395:$DX395,MAX($DY395:$EL395))-INDEX($DK395:$DX395,MIN($DY395:$EL395)))</f>
        <v/>
      </c>
      <c r="O395" s="37" t="str">
        <f aca="false">IF(COUNT($DY395:$EL395)&lt;2,"",INDEX($DK395:$DX395,MAX($DY395:$EL395))-INDEX($DK395:$DX395,LARGE($DY395:$EL395,2)))</f>
        <v/>
      </c>
      <c r="P395" s="38" t="str">
        <f aca="false">IF(K395="","",IF(K395&gt;=0,"On/above target",IF(AND(N395&lt;&gt;"",N395&gt;=0.5),"Improving towards target",IF(AND(O395&lt;&gt;"",O395&lt;=-0.5),"Declining","Stable below target"))))</f>
        <v/>
      </c>
      <c r="Q395" s="39"/>
      <c r="R395" s="40" t="str">
        <f aca="false">IF(OR(Q395="",BU395=""),"",Q395/BU395*100)</f>
        <v/>
      </c>
      <c r="S395" s="41" t="str">
        <f aca="false">IF(R395="","",IFERROR(MATCH(R395,INDEX(Boundaries!$B$2:$I$30,MATCH(CI395,Boundaries!$A$2:$A$30,0),0),1)-1,""))</f>
        <v/>
      </c>
      <c r="T395" s="42" t="str">
        <f aca="false">IF(OR(S395="",$E395=""),"",S395-$E395)</f>
        <v/>
      </c>
      <c r="U395" s="39"/>
      <c r="V395" s="40" t="str">
        <f aca="false">IF(OR(U395="",BV395=""),"",U395/BV395*100)</f>
        <v/>
      </c>
      <c r="W395" s="41" t="str">
        <f aca="false">IF(V395="","",IFERROR(MATCH(V395,INDEX(Boundaries!$B$2:$I$30,MATCH(CJ395,Boundaries!$A$2:$A$30,0),0),1)-1,""))</f>
        <v/>
      </c>
      <c r="X395" s="42" t="str">
        <f aca="false">IF(OR(W395="",$E395=""),"",W395-$E395)</f>
        <v/>
      </c>
      <c r="Y395" s="39"/>
      <c r="Z395" s="40" t="str">
        <f aca="false">IF(OR(Y395="",BW395=""),"",Y395/BW395*100)</f>
        <v/>
      </c>
      <c r="AA395" s="41" t="str">
        <f aca="false">IF(Z395="","",IFERROR(MATCH(Z395,INDEX(Boundaries!$B$2:$I$30,MATCH(CK395,Boundaries!$A$2:$A$30,0),0),1)-1,""))</f>
        <v/>
      </c>
      <c r="AB395" s="42" t="str">
        <f aca="false">IF(OR(AA395="",$E395=""),"",AA395-$E395)</f>
        <v/>
      </c>
      <c r="AC395" s="39"/>
      <c r="AD395" s="40" t="str">
        <f aca="false">IF(OR(AC395="",BX395=""),"",AC395/BX395*100)</f>
        <v/>
      </c>
      <c r="AE395" s="41" t="str">
        <f aca="false">IF(AD395="","",IFERROR(MATCH(AD395,INDEX(Boundaries!$B$2:$I$30,MATCH(CL395,Boundaries!$A$2:$A$30,0),0),1)-1,""))</f>
        <v/>
      </c>
      <c r="AF395" s="42" t="str">
        <f aca="false">IF(OR(AE395="",$E395=""),"",AE395-$E395)</f>
        <v/>
      </c>
      <c r="AG395" s="39"/>
      <c r="AH395" s="40" t="str">
        <f aca="false">IF(OR(AG395="",BY395=""),"",AG395/BY395*100)</f>
        <v/>
      </c>
      <c r="AI395" s="41" t="str">
        <f aca="false">IF(AH395="","",IFERROR(MATCH(AH395,INDEX(Boundaries!$B$2:$I$30,MATCH(CM395,Boundaries!$A$2:$A$30,0),0),1)-1,""))</f>
        <v/>
      </c>
      <c r="AJ395" s="42" t="str">
        <f aca="false">IF(OR(AI395="",$E395=""),"",AI395-$E395)</f>
        <v/>
      </c>
      <c r="AK395" s="39"/>
      <c r="AL395" s="40" t="str">
        <f aca="false">IF(OR(AK395="",BZ395=""),"",AK395/BZ395*100)</f>
        <v/>
      </c>
      <c r="AM395" s="41" t="str">
        <f aca="false">IF(AL395="","",IFERROR(MATCH(AL395,INDEX(Boundaries!$B$2:$I$30,MATCH(CN395,Boundaries!$A$2:$A$30,0),0),1)-1,""))</f>
        <v/>
      </c>
      <c r="AN395" s="42" t="str">
        <f aca="false">IF(OR(AM395="",$E395=""),"",AM395-$E395)</f>
        <v/>
      </c>
      <c r="AO395" s="39"/>
      <c r="AP395" s="40" t="str">
        <f aca="false">IF(OR(AO395="",CA395=""),"",AO395/CA395*100)</f>
        <v/>
      </c>
      <c r="AQ395" s="41" t="str">
        <f aca="false">IF(AP395="","",IFERROR(MATCH(AP395,INDEX(Boundaries!$B$2:$I$30,MATCH(CO395,Boundaries!$A$2:$A$30,0),0),1)-1,""))</f>
        <v/>
      </c>
      <c r="AR395" s="42" t="str">
        <f aca="false">IF(OR(AQ395="",$E395=""),"",AQ395-$E395)</f>
        <v/>
      </c>
      <c r="AS395" s="39"/>
      <c r="AT395" s="40" t="str">
        <f aca="false">IF(OR(AS395="",CB395=""),"",AS395/CB395*100)</f>
        <v/>
      </c>
      <c r="AU395" s="41" t="str">
        <f aca="false">IF(AT395="","",IFERROR(MATCH(AT395,INDEX(Boundaries!$B$2:$I$30,MATCH(CP395,Boundaries!$A$2:$A$30,0),0),1)-1,""))</f>
        <v/>
      </c>
      <c r="AV395" s="42" t="str">
        <f aca="false">IF(OR(AU395="",$E395=""),"",AU395-$E395)</f>
        <v/>
      </c>
      <c r="AW395" s="39"/>
      <c r="AX395" s="40" t="str">
        <f aca="false">IF(OR(AW395="",CC395=""),"",AW395/CC395*100)</f>
        <v/>
      </c>
      <c r="AY395" s="41" t="str">
        <f aca="false">IF(AX395="","",IFERROR(MATCH(AX395,INDEX(Boundaries!$B$2:$I$30,MATCH(CQ395,Boundaries!$A$2:$A$30,0),0),1)-1,""))</f>
        <v/>
      </c>
      <c r="AZ395" s="42" t="str">
        <f aca="false">IF(OR(AY395="",$E395=""),"",AY395-$E395)</f>
        <v/>
      </c>
      <c r="BA395" s="39"/>
      <c r="BB395" s="40" t="str">
        <f aca="false">IF(OR(BA395="",CD395=""),"",BA395/CD395*100)</f>
        <v/>
      </c>
      <c r="BC395" s="41" t="str">
        <f aca="false">IF(BB395="","",IFERROR(MATCH(BB395,INDEX(Boundaries!$B$2:$I$30,MATCH(CR395,Boundaries!$A$2:$A$30,0),0),1)-1,""))</f>
        <v/>
      </c>
      <c r="BD395" s="42" t="str">
        <f aca="false">IF(OR(BC395="",$E395=""),"",BC395-$E395)</f>
        <v/>
      </c>
      <c r="BE395" s="39"/>
      <c r="BF395" s="40" t="str">
        <f aca="false">IF(OR(BE395="",CE395=""),"",BE395/CE395*100)</f>
        <v/>
      </c>
      <c r="BG395" s="41" t="str">
        <f aca="false">IF(BF395="","",IFERROR(MATCH(BF395,INDEX(Boundaries!$B$2:$I$30,MATCH(CS395,Boundaries!$A$2:$A$30,0),0),1)-1,""))</f>
        <v/>
      </c>
      <c r="BH395" s="42" t="str">
        <f aca="false">IF(OR(BG395="",$E395=""),"",BG395-$E395)</f>
        <v/>
      </c>
      <c r="BI395" s="39"/>
      <c r="BJ395" s="40" t="str">
        <f aca="false">IF(OR(BI395="",CF395=""),"",BI395/CF395*100)</f>
        <v/>
      </c>
      <c r="BK395" s="41" t="str">
        <f aca="false">IF(BJ395="","",IFERROR(MATCH(BJ395,INDEX(Boundaries!$B$2:$I$30,MATCH(CT395,Boundaries!$A$2:$A$30,0),0),1)-1,""))</f>
        <v/>
      </c>
      <c r="BL395" s="42" t="str">
        <f aca="false">IF(OR(BK395="",$E395=""),"",BK395-$E395)</f>
        <v/>
      </c>
      <c r="BM395" s="39"/>
      <c r="BN395" s="40" t="str">
        <f aca="false">IF(OR(BM395="",CG395=""),"",BM395/CG395*100)</f>
        <v/>
      </c>
      <c r="BO395" s="41" t="str">
        <f aca="false">IF(BN395="","",IFERROR(MATCH(BN395,INDEX(Boundaries!$B$2:$I$30,MATCH(CU395,Boundaries!$A$2:$A$30,0),0),1)-1,""))</f>
        <v/>
      </c>
      <c r="BP395" s="42" t="str">
        <f aca="false">IF(OR(BO395="",$E395=""),"",BO395-$E395)</f>
        <v/>
      </c>
      <c r="BQ395" s="39"/>
      <c r="BR395" s="40" t="str">
        <f aca="false">IF(OR(BQ395="",CH395=""),"",BQ395/CH395*100)</f>
        <v/>
      </c>
      <c r="BS395" s="41" t="str">
        <f aca="false">IF(BR395="","",IFERROR(MATCH(BR395,INDEX(Boundaries!$B$2:$I$30,MATCH(CV395,Boundaries!$A$2:$A$30,0),0),1)-1,""))</f>
        <v/>
      </c>
      <c r="BT395" s="42" t="str">
        <f aca="false">IF(OR(BS395="",$E395=""),"",BS395-$E395)</f>
        <v/>
      </c>
      <c r="BU395" s="28" t="str">
        <f aca="false">IFERROR(INDEX(Assessments!$H$2:$H$600,MATCH($H395&amp;"|"&amp;$I395&amp;"|"&amp;$J395&amp;"|"&amp;1,Assessments!$A$2:$A$600,0)),"")</f>
        <v/>
      </c>
      <c r="BV395" s="28" t="str">
        <f aca="false">IFERROR(INDEX(Assessments!$H$2:$H$600,MATCH($H395&amp;"|"&amp;$I395&amp;"|"&amp;$J395&amp;"|"&amp;2,Assessments!$A$2:$A$600,0)),"")</f>
        <v/>
      </c>
      <c r="BW395" s="28" t="str">
        <f aca="false">IFERROR(INDEX(Assessments!$H$2:$H$600,MATCH($H395&amp;"|"&amp;$I395&amp;"|"&amp;$J395&amp;"|"&amp;3,Assessments!$A$2:$A$600,0)),"")</f>
        <v/>
      </c>
      <c r="BX395" s="28" t="str">
        <f aca="false">IFERROR(INDEX(Assessments!$H$2:$H$600,MATCH($H395&amp;"|"&amp;$I395&amp;"|"&amp;$J395&amp;"|"&amp;4,Assessments!$A$2:$A$600,0)),"")</f>
        <v/>
      </c>
      <c r="BY395" s="28" t="str">
        <f aca="false">IFERROR(INDEX(Assessments!$H$2:$H$600,MATCH($H395&amp;"|"&amp;$I395&amp;"|"&amp;$J395&amp;"|"&amp;5,Assessments!$A$2:$A$600,0)),"")</f>
        <v/>
      </c>
      <c r="BZ395" s="28" t="str">
        <f aca="false">IFERROR(INDEX(Assessments!$H$2:$H$600,MATCH($H395&amp;"|"&amp;$I395&amp;"|"&amp;$J395&amp;"|"&amp;6,Assessments!$A$2:$A$600,0)),"")</f>
        <v/>
      </c>
      <c r="CA395" s="28" t="str">
        <f aca="false">IFERROR(INDEX(Assessments!$H$2:$H$600,MATCH($H395&amp;"|"&amp;$I395&amp;"|"&amp;$J395&amp;"|"&amp;7,Assessments!$A$2:$A$600,0)),"")</f>
        <v/>
      </c>
      <c r="CB395" s="28" t="str">
        <f aca="false">IFERROR(INDEX(Assessments!$H$2:$H$600,MATCH($H395&amp;"|"&amp;$I395&amp;"|"&amp;$J395&amp;"|"&amp;8,Assessments!$A$2:$A$600,0)),"")</f>
        <v/>
      </c>
      <c r="CC395" s="28" t="str">
        <f aca="false">IFERROR(INDEX(Assessments!$H$2:$H$600,MATCH($H395&amp;"|"&amp;$I395&amp;"|"&amp;$J395&amp;"|"&amp;9,Assessments!$A$2:$A$600,0)),"")</f>
        <v/>
      </c>
      <c r="CD395" s="28" t="str">
        <f aca="false">IFERROR(INDEX(Assessments!$H$2:$H$600,MATCH($H395&amp;"|"&amp;$I395&amp;"|"&amp;$J395&amp;"|"&amp;10,Assessments!$A$2:$A$600,0)),"")</f>
        <v/>
      </c>
      <c r="CE395" s="28" t="str">
        <f aca="false">IFERROR(INDEX(Assessments!$H$2:$H$600,MATCH($H395&amp;"|"&amp;$I395&amp;"|"&amp;$J395&amp;"|"&amp;11,Assessments!$A$2:$A$600,0)),"")</f>
        <v/>
      </c>
      <c r="CF395" s="28" t="str">
        <f aca="false">IFERROR(INDEX(Assessments!$H$2:$H$600,MATCH($H395&amp;"|"&amp;$I395&amp;"|"&amp;$J395&amp;"|"&amp;12,Assessments!$A$2:$A$600,0)),"")</f>
        <v/>
      </c>
      <c r="CG395" s="28" t="str">
        <f aca="false">IFERROR(INDEX(Assessments!$H$2:$H$600,MATCH($H395&amp;"|"&amp;$I395&amp;"|"&amp;$J395&amp;"|"&amp;13,Assessments!$A$2:$A$600,0)),"")</f>
        <v/>
      </c>
      <c r="CH395" s="28" t="str">
        <f aca="false">IFERROR(INDEX(Assessments!$H$2:$H$600,MATCH($H395&amp;"|"&amp;$I395&amp;"|"&amp;$J395&amp;"|"&amp;14,Assessments!$A$2:$A$600,0)),"")</f>
        <v/>
      </c>
      <c r="CI395" s="28" t="str">
        <f aca="false">IFERROR(INDEX(Assessments!$I$2:$I$600,MATCH($H395&amp;"|"&amp;$I395&amp;"|"&amp;$J395&amp;"|"&amp;1,Assessments!$A$2:$A$600,0)),"")</f>
        <v/>
      </c>
      <c r="CJ395" s="28" t="str">
        <f aca="false">IFERROR(INDEX(Assessments!$I$2:$I$600,MATCH($H395&amp;"|"&amp;$I395&amp;"|"&amp;$J395&amp;"|"&amp;2,Assessments!$A$2:$A$600,0)),"")</f>
        <v/>
      </c>
      <c r="CK395" s="28" t="str">
        <f aca="false">IFERROR(INDEX(Assessments!$I$2:$I$600,MATCH($H395&amp;"|"&amp;$I395&amp;"|"&amp;$J395&amp;"|"&amp;3,Assessments!$A$2:$A$600,0)),"")</f>
        <v/>
      </c>
      <c r="CL395" s="28" t="str">
        <f aca="false">IFERROR(INDEX(Assessments!$I$2:$I$600,MATCH($H395&amp;"|"&amp;$I395&amp;"|"&amp;$J395&amp;"|"&amp;4,Assessments!$A$2:$A$600,0)),"")</f>
        <v/>
      </c>
      <c r="CM395" s="28" t="str">
        <f aca="false">IFERROR(INDEX(Assessments!$I$2:$I$600,MATCH($H395&amp;"|"&amp;$I395&amp;"|"&amp;$J395&amp;"|"&amp;5,Assessments!$A$2:$A$600,0)),"")</f>
        <v/>
      </c>
      <c r="CN395" s="28" t="str">
        <f aca="false">IFERROR(INDEX(Assessments!$I$2:$I$600,MATCH($H395&amp;"|"&amp;$I395&amp;"|"&amp;$J395&amp;"|"&amp;6,Assessments!$A$2:$A$600,0)),"")</f>
        <v/>
      </c>
      <c r="CO395" s="28" t="str">
        <f aca="false">IFERROR(INDEX(Assessments!$I$2:$I$600,MATCH($H395&amp;"|"&amp;$I395&amp;"|"&amp;$J395&amp;"|"&amp;7,Assessments!$A$2:$A$600,0)),"")</f>
        <v/>
      </c>
      <c r="CP395" s="28" t="str">
        <f aca="false">IFERROR(INDEX(Assessments!$I$2:$I$600,MATCH($H395&amp;"|"&amp;$I395&amp;"|"&amp;$J395&amp;"|"&amp;8,Assessments!$A$2:$A$600,0)),"")</f>
        <v/>
      </c>
      <c r="CQ395" s="28" t="str">
        <f aca="false">IFERROR(INDEX(Assessments!$I$2:$I$600,MATCH($H395&amp;"|"&amp;$I395&amp;"|"&amp;$J395&amp;"|"&amp;9,Assessments!$A$2:$A$600,0)),"")</f>
        <v/>
      </c>
      <c r="CR395" s="28" t="str">
        <f aca="false">IFERROR(INDEX(Assessments!$I$2:$I$600,MATCH($H395&amp;"|"&amp;$I395&amp;"|"&amp;$J395&amp;"|"&amp;10,Assessments!$A$2:$A$600,0)),"")</f>
        <v/>
      </c>
      <c r="CS395" s="28" t="str">
        <f aca="false">IFERROR(INDEX(Assessments!$I$2:$I$600,MATCH($H395&amp;"|"&amp;$I395&amp;"|"&amp;$J395&amp;"|"&amp;11,Assessments!$A$2:$A$600,0)),"")</f>
        <v/>
      </c>
      <c r="CT395" s="28" t="str">
        <f aca="false">IFERROR(INDEX(Assessments!$I$2:$I$600,MATCH($H395&amp;"|"&amp;$I395&amp;"|"&amp;$J395&amp;"|"&amp;12,Assessments!$A$2:$A$600,0)),"")</f>
        <v/>
      </c>
      <c r="CU395" s="28" t="str">
        <f aca="false">IFERROR(INDEX(Assessments!$I$2:$I$600,MATCH($H395&amp;"|"&amp;$I395&amp;"|"&amp;$J395&amp;"|"&amp;13,Assessments!$A$2:$A$600,0)),"")</f>
        <v/>
      </c>
      <c r="CV395" s="28" t="str">
        <f aca="false">IFERROR(INDEX(Assessments!$I$2:$I$600,MATCH($H395&amp;"|"&amp;$I395&amp;"|"&amp;$J395&amp;"|"&amp;14,Assessments!$A$2:$A$600,0)),"")</f>
        <v/>
      </c>
      <c r="CW395" s="28" t="n">
        <f aca="false">IFERROR(INDEX(Assessments!$J$2:$J$600,MATCH($H395&amp;"|"&amp;$I395&amp;"|"&amp;$J395&amp;"|"&amp;1,Assessments!$A$2:$A$600,0)),0)</f>
        <v>0</v>
      </c>
      <c r="CX395" s="28" t="n">
        <f aca="false">IFERROR(INDEX(Assessments!$J$2:$J$600,MATCH($H395&amp;"|"&amp;$I395&amp;"|"&amp;$J395&amp;"|"&amp;2,Assessments!$A$2:$A$600,0)),0)</f>
        <v>0</v>
      </c>
      <c r="CY395" s="28" t="n">
        <f aca="false">IFERROR(INDEX(Assessments!$J$2:$J$600,MATCH($H395&amp;"|"&amp;$I395&amp;"|"&amp;$J395&amp;"|"&amp;3,Assessments!$A$2:$A$600,0)),0)</f>
        <v>0</v>
      </c>
      <c r="CZ395" s="28" t="n">
        <f aca="false">IFERROR(INDEX(Assessments!$J$2:$J$600,MATCH($H395&amp;"|"&amp;$I395&amp;"|"&amp;$J395&amp;"|"&amp;4,Assessments!$A$2:$A$600,0)),0)</f>
        <v>0</v>
      </c>
      <c r="DA395" s="28" t="n">
        <f aca="false">IFERROR(INDEX(Assessments!$J$2:$J$600,MATCH($H395&amp;"|"&amp;$I395&amp;"|"&amp;$J395&amp;"|"&amp;5,Assessments!$A$2:$A$600,0)),0)</f>
        <v>0</v>
      </c>
      <c r="DB395" s="28" t="n">
        <f aca="false">IFERROR(INDEX(Assessments!$J$2:$J$600,MATCH($H395&amp;"|"&amp;$I395&amp;"|"&amp;$J395&amp;"|"&amp;6,Assessments!$A$2:$A$600,0)),0)</f>
        <v>0</v>
      </c>
      <c r="DC395" s="28" t="n">
        <f aca="false">IFERROR(INDEX(Assessments!$J$2:$J$600,MATCH($H395&amp;"|"&amp;$I395&amp;"|"&amp;$J395&amp;"|"&amp;7,Assessments!$A$2:$A$600,0)),0)</f>
        <v>0</v>
      </c>
      <c r="DD395" s="28" t="n">
        <f aca="false">IFERROR(INDEX(Assessments!$J$2:$J$600,MATCH($H395&amp;"|"&amp;$I395&amp;"|"&amp;$J395&amp;"|"&amp;8,Assessments!$A$2:$A$600,0)),0)</f>
        <v>0</v>
      </c>
      <c r="DE395" s="28" t="n">
        <f aca="false">IFERROR(INDEX(Assessments!$J$2:$J$600,MATCH($H395&amp;"|"&amp;$I395&amp;"|"&amp;$J395&amp;"|"&amp;9,Assessments!$A$2:$A$600,0)),0)</f>
        <v>0</v>
      </c>
      <c r="DF395" s="28" t="n">
        <f aca="false">IFERROR(INDEX(Assessments!$J$2:$J$600,MATCH($H395&amp;"|"&amp;$I395&amp;"|"&amp;$J395&amp;"|"&amp;10,Assessments!$A$2:$A$600,0)),0)</f>
        <v>0</v>
      </c>
      <c r="DG395" s="28" t="n">
        <f aca="false">IFERROR(INDEX(Assessments!$J$2:$J$600,MATCH($H395&amp;"|"&amp;$I395&amp;"|"&amp;$J395&amp;"|"&amp;11,Assessments!$A$2:$A$600,0)),0)</f>
        <v>0</v>
      </c>
      <c r="DH395" s="28" t="n">
        <f aca="false">IFERROR(INDEX(Assessments!$J$2:$J$600,MATCH($H395&amp;"|"&amp;$I395&amp;"|"&amp;$J395&amp;"|"&amp;12,Assessments!$A$2:$A$600,0)),0)</f>
        <v>0</v>
      </c>
      <c r="DI395" s="28" t="n">
        <f aca="false">IFERROR(INDEX(Assessments!$J$2:$J$600,MATCH($H395&amp;"|"&amp;$I395&amp;"|"&amp;$J395&amp;"|"&amp;13,Assessments!$A$2:$A$600,0)),0)</f>
        <v>0</v>
      </c>
      <c r="DJ395" s="28" t="n">
        <f aca="false">IFERROR(INDEX(Assessments!$J$2:$J$600,MATCH($H395&amp;"|"&amp;$I395&amp;"|"&amp;$J395&amp;"|"&amp;14,Assessments!$A$2:$A$600,0)),0)</f>
        <v>0</v>
      </c>
      <c r="DK395" s="28" t="str">
        <f aca="false">S395</f>
        <v/>
      </c>
      <c r="DL395" s="28" t="str">
        <f aca="false">W395</f>
        <v/>
      </c>
      <c r="DM395" s="28" t="str">
        <f aca="false">AA395</f>
        <v/>
      </c>
      <c r="DN395" s="28" t="str">
        <f aca="false">AE395</f>
        <v/>
      </c>
      <c r="DO395" s="28" t="str">
        <f aca="false">AI395</f>
        <v/>
      </c>
      <c r="DP395" s="28" t="str">
        <f aca="false">AM395</f>
        <v/>
      </c>
      <c r="DQ395" s="28" t="str">
        <f aca="false">AQ395</f>
        <v/>
      </c>
      <c r="DR395" s="28" t="str">
        <f aca="false">AU395</f>
        <v/>
      </c>
      <c r="DS395" s="28" t="str">
        <f aca="false">AY395</f>
        <v/>
      </c>
      <c r="DT395" s="28" t="str">
        <f aca="false">BC395</f>
        <v/>
      </c>
      <c r="DU395" s="28" t="str">
        <f aca="false">BG395</f>
        <v/>
      </c>
      <c r="DV395" s="28" t="str">
        <f aca="false">BK395</f>
        <v/>
      </c>
      <c r="DW395" s="28" t="str">
        <f aca="false">BO395</f>
        <v/>
      </c>
      <c r="DX395" s="28" t="str">
        <f aca="false">BS395</f>
        <v/>
      </c>
      <c r="DY395" s="28" t="str">
        <f aca="false">IF(ISNUMBER(S395),1,"")</f>
        <v/>
      </c>
      <c r="DZ395" s="28" t="str">
        <f aca="false">IF(ISNUMBER(W395),2,"")</f>
        <v/>
      </c>
      <c r="EA395" s="28" t="str">
        <f aca="false">IF(ISNUMBER(AA395),3,"")</f>
        <v/>
      </c>
      <c r="EB395" s="28" t="str">
        <f aca="false">IF(ISNUMBER(AE395),4,"")</f>
        <v/>
      </c>
      <c r="EC395" s="28" t="str">
        <f aca="false">IF(ISNUMBER(AI395),5,"")</f>
        <v/>
      </c>
      <c r="ED395" s="28" t="str">
        <f aca="false">IF(ISNUMBER(AM395),6,"")</f>
        <v/>
      </c>
      <c r="EE395" s="28" t="str">
        <f aca="false">IF(ISNUMBER(AQ395),7,"")</f>
        <v/>
      </c>
      <c r="EF395" s="28" t="str">
        <f aca="false">IF(ISNUMBER(AU395),8,"")</f>
        <v/>
      </c>
      <c r="EG395" s="28" t="str">
        <f aca="false">IF(ISNUMBER(AY395),9,"")</f>
        <v/>
      </c>
      <c r="EH395" s="28" t="str">
        <f aca="false">IF(ISNUMBER(BC395),10,"")</f>
        <v/>
      </c>
      <c r="EI395" s="28" t="str">
        <f aca="false">IF(ISNUMBER(BG395),11,"")</f>
        <v/>
      </c>
      <c r="EJ395" s="28" t="str">
        <f aca="false">IF(ISNUMBER(BK395),12,"")</f>
        <v/>
      </c>
      <c r="EK395" s="28" t="str">
        <f aca="false">IF(ISNUMBER(BO395),13,"")</f>
        <v/>
      </c>
      <c r="EL395" s="28" t="str">
        <f aca="false">IF(ISNUMBER(BS395),14,"")</f>
        <v/>
      </c>
      <c r="EM395" s="28" t="n">
        <f aca="false">IF(ISNUMBER(R395),R395*CW395,0)</f>
        <v>0</v>
      </c>
      <c r="EN395" s="28" t="n">
        <f aca="false">IF(ISNUMBER(V395),V395*CX395,0)</f>
        <v>0</v>
      </c>
      <c r="EO395" s="28" t="n">
        <f aca="false">IF(ISNUMBER(Z395),Z395*CY395,0)</f>
        <v>0</v>
      </c>
      <c r="EP395" s="28" t="n">
        <f aca="false">IF(ISNUMBER(AD395),AD395*CZ395,0)</f>
        <v>0</v>
      </c>
      <c r="EQ395" s="28" t="n">
        <f aca="false">IF(ISNUMBER(AH395),AH395*DA395,0)</f>
        <v>0</v>
      </c>
      <c r="ER395" s="28" t="n">
        <f aca="false">IF(ISNUMBER(AL395),AL395*DB395,0)</f>
        <v>0</v>
      </c>
      <c r="ES395" s="28" t="n">
        <f aca="false">IF(ISNUMBER(AP395),AP395*DC395,0)</f>
        <v>0</v>
      </c>
      <c r="ET395" s="28" t="n">
        <f aca="false">IF(ISNUMBER(AT395),AT395*DD395,0)</f>
        <v>0</v>
      </c>
      <c r="EU395" s="28" t="n">
        <f aca="false">IF(ISNUMBER(AX395),AX395*DE395,0)</f>
        <v>0</v>
      </c>
      <c r="EV395" s="28" t="n">
        <f aca="false">IF(ISNUMBER(BB395),BB395*DF395,0)</f>
        <v>0</v>
      </c>
      <c r="EW395" s="28" t="n">
        <f aca="false">IF(ISNUMBER(BF395),BF395*DG395,0)</f>
        <v>0</v>
      </c>
      <c r="EX395" s="28" t="n">
        <f aca="false">IF(ISNUMBER(BJ395),BJ395*DH395,0)</f>
        <v>0</v>
      </c>
      <c r="EY395" s="28" t="n">
        <f aca="false">IF(ISNUMBER(BN395),BN395*DI395,0)</f>
        <v>0</v>
      </c>
      <c r="EZ395" s="28" t="n">
        <f aca="false">IF(ISNUMBER(BR395),BR395*DJ395,0)</f>
        <v>0</v>
      </c>
      <c r="FA395" s="28" t="n">
        <f aca="false">IF(ISNUMBER(R395),CW395,0)</f>
        <v>0</v>
      </c>
      <c r="FB395" s="28" t="n">
        <f aca="false">IF(ISNUMBER(V395),CX395,0)</f>
        <v>0</v>
      </c>
      <c r="FC395" s="28" t="n">
        <f aca="false">IF(ISNUMBER(Z395),CY395,0)</f>
        <v>0</v>
      </c>
      <c r="FD395" s="28" t="n">
        <f aca="false">IF(ISNUMBER(AD395),CZ395,0)</f>
        <v>0</v>
      </c>
      <c r="FE395" s="28" t="n">
        <f aca="false">IF(ISNUMBER(AH395),DA395,0)</f>
        <v>0</v>
      </c>
      <c r="FF395" s="28" t="n">
        <f aca="false">IF(ISNUMBER(AL395),DB395,0)</f>
        <v>0</v>
      </c>
      <c r="FG395" s="28" t="n">
        <f aca="false">IF(ISNUMBER(AP395),DC395,0)</f>
        <v>0</v>
      </c>
      <c r="FH395" s="28" t="n">
        <f aca="false">IF(ISNUMBER(AT395),DD395,0)</f>
        <v>0</v>
      </c>
      <c r="FI395" s="28" t="n">
        <f aca="false">IF(ISNUMBER(AX395),DE395,0)</f>
        <v>0</v>
      </c>
      <c r="FJ395" s="28" t="n">
        <f aca="false">IF(ISNUMBER(BB395),DF395,0)</f>
        <v>0</v>
      </c>
      <c r="FK395" s="28" t="n">
        <f aca="false">IF(ISNUMBER(BF395),DG395,0)</f>
        <v>0</v>
      </c>
      <c r="FL395" s="28" t="n">
        <f aca="false">IF(ISNUMBER(BJ395),DH395,0)</f>
        <v>0</v>
      </c>
      <c r="FM395" s="28" t="n">
        <f aca="false">IF(ISNUMBER(BN395),DI395,0)</f>
        <v>0</v>
      </c>
      <c r="FN395" s="28" t="n">
        <f aca="false">IF(ISNUMBER(BR395),DJ395,0)</f>
        <v>0</v>
      </c>
      <c r="FO395" s="28" t="str">
        <f aca="false">IFERROR(INDEX(Lists!$G$2:$G$20,MATCH($I395&amp;"|"&amp;$J395,Lists!$F$2:$F$20,0)),"")</f>
        <v/>
      </c>
    </row>
    <row r="396" customFormat="false" ht="19.5" hidden="false" customHeight="true" outlineLevel="0" collapsed="false">
      <c r="A396" s="29"/>
      <c r="B396" s="29"/>
      <c r="C396" s="30"/>
      <c r="D396" s="30"/>
      <c r="E396" s="31"/>
      <c r="F396" s="30"/>
      <c r="G396" s="30"/>
      <c r="H396" s="32"/>
      <c r="I396" s="33"/>
      <c r="J396" s="32"/>
      <c r="K396" s="34" t="str">
        <f aca="false">IF(OR(M396="",$E396=""),"",M396-$E396)</f>
        <v/>
      </c>
      <c r="L396" s="35" t="str">
        <f aca="false">IF(SUM(FA396:FN396)=0,"",SUM(EM396:EZ396)/SUM(FA396:FN396))</f>
        <v/>
      </c>
      <c r="M396" s="36" t="str">
        <f aca="false">IF(OR(L396="",FO396=""),"",IFERROR(MATCH(L396,INDEX(Boundaries!$B$2:$I$30,MATCH(FO396,Boundaries!$A$2:$A$30,0),0),1)-1,""))</f>
        <v/>
      </c>
      <c r="N396" s="37" t="str">
        <f aca="false">IF(COUNT($DY396:$EL396)&lt;2,"",INDEX($DK396:$DX396,MAX($DY396:$EL396))-INDEX($DK396:$DX396,MIN($DY396:$EL396)))</f>
        <v/>
      </c>
      <c r="O396" s="37" t="str">
        <f aca="false">IF(COUNT($DY396:$EL396)&lt;2,"",INDEX($DK396:$DX396,MAX($DY396:$EL396))-INDEX($DK396:$DX396,LARGE($DY396:$EL396,2)))</f>
        <v/>
      </c>
      <c r="P396" s="38" t="str">
        <f aca="false">IF(K396="","",IF(K396&gt;=0,"On/above target",IF(AND(N396&lt;&gt;"",N396&gt;=0.5),"Improving towards target",IF(AND(O396&lt;&gt;"",O396&lt;=-0.5),"Declining","Stable below target"))))</f>
        <v/>
      </c>
      <c r="Q396" s="39"/>
      <c r="R396" s="40" t="str">
        <f aca="false">IF(OR(Q396="",BU396=""),"",Q396/BU396*100)</f>
        <v/>
      </c>
      <c r="S396" s="41" t="str">
        <f aca="false">IF(R396="","",IFERROR(MATCH(R396,INDEX(Boundaries!$B$2:$I$30,MATCH(CI396,Boundaries!$A$2:$A$30,0),0),1)-1,""))</f>
        <v/>
      </c>
      <c r="T396" s="42" t="str">
        <f aca="false">IF(OR(S396="",$E396=""),"",S396-$E396)</f>
        <v/>
      </c>
      <c r="U396" s="39"/>
      <c r="V396" s="40" t="str">
        <f aca="false">IF(OR(U396="",BV396=""),"",U396/BV396*100)</f>
        <v/>
      </c>
      <c r="W396" s="41" t="str">
        <f aca="false">IF(V396="","",IFERROR(MATCH(V396,INDEX(Boundaries!$B$2:$I$30,MATCH(CJ396,Boundaries!$A$2:$A$30,0),0),1)-1,""))</f>
        <v/>
      </c>
      <c r="X396" s="42" t="str">
        <f aca="false">IF(OR(W396="",$E396=""),"",W396-$E396)</f>
        <v/>
      </c>
      <c r="Y396" s="39"/>
      <c r="Z396" s="40" t="str">
        <f aca="false">IF(OR(Y396="",BW396=""),"",Y396/BW396*100)</f>
        <v/>
      </c>
      <c r="AA396" s="41" t="str">
        <f aca="false">IF(Z396="","",IFERROR(MATCH(Z396,INDEX(Boundaries!$B$2:$I$30,MATCH(CK396,Boundaries!$A$2:$A$30,0),0),1)-1,""))</f>
        <v/>
      </c>
      <c r="AB396" s="42" t="str">
        <f aca="false">IF(OR(AA396="",$E396=""),"",AA396-$E396)</f>
        <v/>
      </c>
      <c r="AC396" s="39"/>
      <c r="AD396" s="40" t="str">
        <f aca="false">IF(OR(AC396="",BX396=""),"",AC396/BX396*100)</f>
        <v/>
      </c>
      <c r="AE396" s="41" t="str">
        <f aca="false">IF(AD396="","",IFERROR(MATCH(AD396,INDEX(Boundaries!$B$2:$I$30,MATCH(CL396,Boundaries!$A$2:$A$30,0),0),1)-1,""))</f>
        <v/>
      </c>
      <c r="AF396" s="42" t="str">
        <f aca="false">IF(OR(AE396="",$E396=""),"",AE396-$E396)</f>
        <v/>
      </c>
      <c r="AG396" s="39"/>
      <c r="AH396" s="40" t="str">
        <f aca="false">IF(OR(AG396="",BY396=""),"",AG396/BY396*100)</f>
        <v/>
      </c>
      <c r="AI396" s="41" t="str">
        <f aca="false">IF(AH396="","",IFERROR(MATCH(AH396,INDEX(Boundaries!$B$2:$I$30,MATCH(CM396,Boundaries!$A$2:$A$30,0),0),1)-1,""))</f>
        <v/>
      </c>
      <c r="AJ396" s="42" t="str">
        <f aca="false">IF(OR(AI396="",$E396=""),"",AI396-$E396)</f>
        <v/>
      </c>
      <c r="AK396" s="39"/>
      <c r="AL396" s="40" t="str">
        <f aca="false">IF(OR(AK396="",BZ396=""),"",AK396/BZ396*100)</f>
        <v/>
      </c>
      <c r="AM396" s="41" t="str">
        <f aca="false">IF(AL396="","",IFERROR(MATCH(AL396,INDEX(Boundaries!$B$2:$I$30,MATCH(CN396,Boundaries!$A$2:$A$30,0),0),1)-1,""))</f>
        <v/>
      </c>
      <c r="AN396" s="42" t="str">
        <f aca="false">IF(OR(AM396="",$E396=""),"",AM396-$E396)</f>
        <v/>
      </c>
      <c r="AO396" s="39"/>
      <c r="AP396" s="40" t="str">
        <f aca="false">IF(OR(AO396="",CA396=""),"",AO396/CA396*100)</f>
        <v/>
      </c>
      <c r="AQ396" s="41" t="str">
        <f aca="false">IF(AP396="","",IFERROR(MATCH(AP396,INDEX(Boundaries!$B$2:$I$30,MATCH(CO396,Boundaries!$A$2:$A$30,0),0),1)-1,""))</f>
        <v/>
      </c>
      <c r="AR396" s="42" t="str">
        <f aca="false">IF(OR(AQ396="",$E396=""),"",AQ396-$E396)</f>
        <v/>
      </c>
      <c r="AS396" s="39"/>
      <c r="AT396" s="40" t="str">
        <f aca="false">IF(OR(AS396="",CB396=""),"",AS396/CB396*100)</f>
        <v/>
      </c>
      <c r="AU396" s="41" t="str">
        <f aca="false">IF(AT396="","",IFERROR(MATCH(AT396,INDEX(Boundaries!$B$2:$I$30,MATCH(CP396,Boundaries!$A$2:$A$30,0),0),1)-1,""))</f>
        <v/>
      </c>
      <c r="AV396" s="42" t="str">
        <f aca="false">IF(OR(AU396="",$E396=""),"",AU396-$E396)</f>
        <v/>
      </c>
      <c r="AW396" s="39"/>
      <c r="AX396" s="40" t="str">
        <f aca="false">IF(OR(AW396="",CC396=""),"",AW396/CC396*100)</f>
        <v/>
      </c>
      <c r="AY396" s="41" t="str">
        <f aca="false">IF(AX396="","",IFERROR(MATCH(AX396,INDEX(Boundaries!$B$2:$I$30,MATCH(CQ396,Boundaries!$A$2:$A$30,0),0),1)-1,""))</f>
        <v/>
      </c>
      <c r="AZ396" s="42" t="str">
        <f aca="false">IF(OR(AY396="",$E396=""),"",AY396-$E396)</f>
        <v/>
      </c>
      <c r="BA396" s="39"/>
      <c r="BB396" s="40" t="str">
        <f aca="false">IF(OR(BA396="",CD396=""),"",BA396/CD396*100)</f>
        <v/>
      </c>
      <c r="BC396" s="41" t="str">
        <f aca="false">IF(BB396="","",IFERROR(MATCH(BB396,INDEX(Boundaries!$B$2:$I$30,MATCH(CR396,Boundaries!$A$2:$A$30,0),0),1)-1,""))</f>
        <v/>
      </c>
      <c r="BD396" s="42" t="str">
        <f aca="false">IF(OR(BC396="",$E396=""),"",BC396-$E396)</f>
        <v/>
      </c>
      <c r="BE396" s="39"/>
      <c r="BF396" s="40" t="str">
        <f aca="false">IF(OR(BE396="",CE396=""),"",BE396/CE396*100)</f>
        <v/>
      </c>
      <c r="BG396" s="41" t="str">
        <f aca="false">IF(BF396="","",IFERROR(MATCH(BF396,INDEX(Boundaries!$B$2:$I$30,MATCH(CS396,Boundaries!$A$2:$A$30,0),0),1)-1,""))</f>
        <v/>
      </c>
      <c r="BH396" s="42" t="str">
        <f aca="false">IF(OR(BG396="",$E396=""),"",BG396-$E396)</f>
        <v/>
      </c>
      <c r="BI396" s="39"/>
      <c r="BJ396" s="40" t="str">
        <f aca="false">IF(OR(BI396="",CF396=""),"",BI396/CF396*100)</f>
        <v/>
      </c>
      <c r="BK396" s="41" t="str">
        <f aca="false">IF(BJ396="","",IFERROR(MATCH(BJ396,INDEX(Boundaries!$B$2:$I$30,MATCH(CT396,Boundaries!$A$2:$A$30,0),0),1)-1,""))</f>
        <v/>
      </c>
      <c r="BL396" s="42" t="str">
        <f aca="false">IF(OR(BK396="",$E396=""),"",BK396-$E396)</f>
        <v/>
      </c>
      <c r="BM396" s="39"/>
      <c r="BN396" s="40" t="str">
        <f aca="false">IF(OR(BM396="",CG396=""),"",BM396/CG396*100)</f>
        <v/>
      </c>
      <c r="BO396" s="41" t="str">
        <f aca="false">IF(BN396="","",IFERROR(MATCH(BN396,INDEX(Boundaries!$B$2:$I$30,MATCH(CU396,Boundaries!$A$2:$A$30,0),0),1)-1,""))</f>
        <v/>
      </c>
      <c r="BP396" s="42" t="str">
        <f aca="false">IF(OR(BO396="",$E396=""),"",BO396-$E396)</f>
        <v/>
      </c>
      <c r="BQ396" s="39"/>
      <c r="BR396" s="40" t="str">
        <f aca="false">IF(OR(BQ396="",CH396=""),"",BQ396/CH396*100)</f>
        <v/>
      </c>
      <c r="BS396" s="41" t="str">
        <f aca="false">IF(BR396="","",IFERROR(MATCH(BR396,INDEX(Boundaries!$B$2:$I$30,MATCH(CV396,Boundaries!$A$2:$A$30,0),0),1)-1,""))</f>
        <v/>
      </c>
      <c r="BT396" s="42" t="str">
        <f aca="false">IF(OR(BS396="",$E396=""),"",BS396-$E396)</f>
        <v/>
      </c>
      <c r="BU396" s="28" t="str">
        <f aca="false">IFERROR(INDEX(Assessments!$H$2:$H$600,MATCH($H396&amp;"|"&amp;$I396&amp;"|"&amp;$J396&amp;"|"&amp;1,Assessments!$A$2:$A$600,0)),"")</f>
        <v/>
      </c>
      <c r="BV396" s="28" t="str">
        <f aca="false">IFERROR(INDEX(Assessments!$H$2:$H$600,MATCH($H396&amp;"|"&amp;$I396&amp;"|"&amp;$J396&amp;"|"&amp;2,Assessments!$A$2:$A$600,0)),"")</f>
        <v/>
      </c>
      <c r="BW396" s="28" t="str">
        <f aca="false">IFERROR(INDEX(Assessments!$H$2:$H$600,MATCH($H396&amp;"|"&amp;$I396&amp;"|"&amp;$J396&amp;"|"&amp;3,Assessments!$A$2:$A$600,0)),"")</f>
        <v/>
      </c>
      <c r="BX396" s="28" t="str">
        <f aca="false">IFERROR(INDEX(Assessments!$H$2:$H$600,MATCH($H396&amp;"|"&amp;$I396&amp;"|"&amp;$J396&amp;"|"&amp;4,Assessments!$A$2:$A$600,0)),"")</f>
        <v/>
      </c>
      <c r="BY396" s="28" t="str">
        <f aca="false">IFERROR(INDEX(Assessments!$H$2:$H$600,MATCH($H396&amp;"|"&amp;$I396&amp;"|"&amp;$J396&amp;"|"&amp;5,Assessments!$A$2:$A$600,0)),"")</f>
        <v/>
      </c>
      <c r="BZ396" s="28" t="str">
        <f aca="false">IFERROR(INDEX(Assessments!$H$2:$H$600,MATCH($H396&amp;"|"&amp;$I396&amp;"|"&amp;$J396&amp;"|"&amp;6,Assessments!$A$2:$A$600,0)),"")</f>
        <v/>
      </c>
      <c r="CA396" s="28" t="str">
        <f aca="false">IFERROR(INDEX(Assessments!$H$2:$H$600,MATCH($H396&amp;"|"&amp;$I396&amp;"|"&amp;$J396&amp;"|"&amp;7,Assessments!$A$2:$A$600,0)),"")</f>
        <v/>
      </c>
      <c r="CB396" s="28" t="str">
        <f aca="false">IFERROR(INDEX(Assessments!$H$2:$H$600,MATCH($H396&amp;"|"&amp;$I396&amp;"|"&amp;$J396&amp;"|"&amp;8,Assessments!$A$2:$A$600,0)),"")</f>
        <v/>
      </c>
      <c r="CC396" s="28" t="str">
        <f aca="false">IFERROR(INDEX(Assessments!$H$2:$H$600,MATCH($H396&amp;"|"&amp;$I396&amp;"|"&amp;$J396&amp;"|"&amp;9,Assessments!$A$2:$A$600,0)),"")</f>
        <v/>
      </c>
      <c r="CD396" s="28" t="str">
        <f aca="false">IFERROR(INDEX(Assessments!$H$2:$H$600,MATCH($H396&amp;"|"&amp;$I396&amp;"|"&amp;$J396&amp;"|"&amp;10,Assessments!$A$2:$A$600,0)),"")</f>
        <v/>
      </c>
      <c r="CE396" s="28" t="str">
        <f aca="false">IFERROR(INDEX(Assessments!$H$2:$H$600,MATCH($H396&amp;"|"&amp;$I396&amp;"|"&amp;$J396&amp;"|"&amp;11,Assessments!$A$2:$A$600,0)),"")</f>
        <v/>
      </c>
      <c r="CF396" s="28" t="str">
        <f aca="false">IFERROR(INDEX(Assessments!$H$2:$H$600,MATCH($H396&amp;"|"&amp;$I396&amp;"|"&amp;$J396&amp;"|"&amp;12,Assessments!$A$2:$A$600,0)),"")</f>
        <v/>
      </c>
      <c r="CG396" s="28" t="str">
        <f aca="false">IFERROR(INDEX(Assessments!$H$2:$H$600,MATCH($H396&amp;"|"&amp;$I396&amp;"|"&amp;$J396&amp;"|"&amp;13,Assessments!$A$2:$A$600,0)),"")</f>
        <v/>
      </c>
      <c r="CH396" s="28" t="str">
        <f aca="false">IFERROR(INDEX(Assessments!$H$2:$H$600,MATCH($H396&amp;"|"&amp;$I396&amp;"|"&amp;$J396&amp;"|"&amp;14,Assessments!$A$2:$A$600,0)),"")</f>
        <v/>
      </c>
      <c r="CI396" s="28" t="str">
        <f aca="false">IFERROR(INDEX(Assessments!$I$2:$I$600,MATCH($H396&amp;"|"&amp;$I396&amp;"|"&amp;$J396&amp;"|"&amp;1,Assessments!$A$2:$A$600,0)),"")</f>
        <v/>
      </c>
      <c r="CJ396" s="28" t="str">
        <f aca="false">IFERROR(INDEX(Assessments!$I$2:$I$600,MATCH($H396&amp;"|"&amp;$I396&amp;"|"&amp;$J396&amp;"|"&amp;2,Assessments!$A$2:$A$600,0)),"")</f>
        <v/>
      </c>
      <c r="CK396" s="28" t="str">
        <f aca="false">IFERROR(INDEX(Assessments!$I$2:$I$600,MATCH($H396&amp;"|"&amp;$I396&amp;"|"&amp;$J396&amp;"|"&amp;3,Assessments!$A$2:$A$600,0)),"")</f>
        <v/>
      </c>
      <c r="CL396" s="28" t="str">
        <f aca="false">IFERROR(INDEX(Assessments!$I$2:$I$600,MATCH($H396&amp;"|"&amp;$I396&amp;"|"&amp;$J396&amp;"|"&amp;4,Assessments!$A$2:$A$600,0)),"")</f>
        <v/>
      </c>
      <c r="CM396" s="28" t="str">
        <f aca="false">IFERROR(INDEX(Assessments!$I$2:$I$600,MATCH($H396&amp;"|"&amp;$I396&amp;"|"&amp;$J396&amp;"|"&amp;5,Assessments!$A$2:$A$600,0)),"")</f>
        <v/>
      </c>
      <c r="CN396" s="28" t="str">
        <f aca="false">IFERROR(INDEX(Assessments!$I$2:$I$600,MATCH($H396&amp;"|"&amp;$I396&amp;"|"&amp;$J396&amp;"|"&amp;6,Assessments!$A$2:$A$600,0)),"")</f>
        <v/>
      </c>
      <c r="CO396" s="28" t="str">
        <f aca="false">IFERROR(INDEX(Assessments!$I$2:$I$600,MATCH($H396&amp;"|"&amp;$I396&amp;"|"&amp;$J396&amp;"|"&amp;7,Assessments!$A$2:$A$600,0)),"")</f>
        <v/>
      </c>
      <c r="CP396" s="28" t="str">
        <f aca="false">IFERROR(INDEX(Assessments!$I$2:$I$600,MATCH($H396&amp;"|"&amp;$I396&amp;"|"&amp;$J396&amp;"|"&amp;8,Assessments!$A$2:$A$600,0)),"")</f>
        <v/>
      </c>
      <c r="CQ396" s="28" t="str">
        <f aca="false">IFERROR(INDEX(Assessments!$I$2:$I$600,MATCH($H396&amp;"|"&amp;$I396&amp;"|"&amp;$J396&amp;"|"&amp;9,Assessments!$A$2:$A$600,0)),"")</f>
        <v/>
      </c>
      <c r="CR396" s="28" t="str">
        <f aca="false">IFERROR(INDEX(Assessments!$I$2:$I$600,MATCH($H396&amp;"|"&amp;$I396&amp;"|"&amp;$J396&amp;"|"&amp;10,Assessments!$A$2:$A$600,0)),"")</f>
        <v/>
      </c>
      <c r="CS396" s="28" t="str">
        <f aca="false">IFERROR(INDEX(Assessments!$I$2:$I$600,MATCH($H396&amp;"|"&amp;$I396&amp;"|"&amp;$J396&amp;"|"&amp;11,Assessments!$A$2:$A$600,0)),"")</f>
        <v/>
      </c>
      <c r="CT396" s="28" t="str">
        <f aca="false">IFERROR(INDEX(Assessments!$I$2:$I$600,MATCH($H396&amp;"|"&amp;$I396&amp;"|"&amp;$J396&amp;"|"&amp;12,Assessments!$A$2:$A$600,0)),"")</f>
        <v/>
      </c>
      <c r="CU396" s="28" t="str">
        <f aca="false">IFERROR(INDEX(Assessments!$I$2:$I$600,MATCH($H396&amp;"|"&amp;$I396&amp;"|"&amp;$J396&amp;"|"&amp;13,Assessments!$A$2:$A$600,0)),"")</f>
        <v/>
      </c>
      <c r="CV396" s="28" t="str">
        <f aca="false">IFERROR(INDEX(Assessments!$I$2:$I$600,MATCH($H396&amp;"|"&amp;$I396&amp;"|"&amp;$J396&amp;"|"&amp;14,Assessments!$A$2:$A$600,0)),"")</f>
        <v/>
      </c>
      <c r="CW396" s="28" t="n">
        <f aca="false">IFERROR(INDEX(Assessments!$J$2:$J$600,MATCH($H396&amp;"|"&amp;$I396&amp;"|"&amp;$J396&amp;"|"&amp;1,Assessments!$A$2:$A$600,0)),0)</f>
        <v>0</v>
      </c>
      <c r="CX396" s="28" t="n">
        <f aca="false">IFERROR(INDEX(Assessments!$J$2:$J$600,MATCH($H396&amp;"|"&amp;$I396&amp;"|"&amp;$J396&amp;"|"&amp;2,Assessments!$A$2:$A$600,0)),0)</f>
        <v>0</v>
      </c>
      <c r="CY396" s="28" t="n">
        <f aca="false">IFERROR(INDEX(Assessments!$J$2:$J$600,MATCH($H396&amp;"|"&amp;$I396&amp;"|"&amp;$J396&amp;"|"&amp;3,Assessments!$A$2:$A$600,0)),0)</f>
        <v>0</v>
      </c>
      <c r="CZ396" s="28" t="n">
        <f aca="false">IFERROR(INDEX(Assessments!$J$2:$J$600,MATCH($H396&amp;"|"&amp;$I396&amp;"|"&amp;$J396&amp;"|"&amp;4,Assessments!$A$2:$A$600,0)),0)</f>
        <v>0</v>
      </c>
      <c r="DA396" s="28" t="n">
        <f aca="false">IFERROR(INDEX(Assessments!$J$2:$J$600,MATCH($H396&amp;"|"&amp;$I396&amp;"|"&amp;$J396&amp;"|"&amp;5,Assessments!$A$2:$A$600,0)),0)</f>
        <v>0</v>
      </c>
      <c r="DB396" s="28" t="n">
        <f aca="false">IFERROR(INDEX(Assessments!$J$2:$J$600,MATCH($H396&amp;"|"&amp;$I396&amp;"|"&amp;$J396&amp;"|"&amp;6,Assessments!$A$2:$A$600,0)),0)</f>
        <v>0</v>
      </c>
      <c r="DC396" s="28" t="n">
        <f aca="false">IFERROR(INDEX(Assessments!$J$2:$J$600,MATCH($H396&amp;"|"&amp;$I396&amp;"|"&amp;$J396&amp;"|"&amp;7,Assessments!$A$2:$A$600,0)),0)</f>
        <v>0</v>
      </c>
      <c r="DD396" s="28" t="n">
        <f aca="false">IFERROR(INDEX(Assessments!$J$2:$J$600,MATCH($H396&amp;"|"&amp;$I396&amp;"|"&amp;$J396&amp;"|"&amp;8,Assessments!$A$2:$A$600,0)),0)</f>
        <v>0</v>
      </c>
      <c r="DE396" s="28" t="n">
        <f aca="false">IFERROR(INDEX(Assessments!$J$2:$J$600,MATCH($H396&amp;"|"&amp;$I396&amp;"|"&amp;$J396&amp;"|"&amp;9,Assessments!$A$2:$A$600,0)),0)</f>
        <v>0</v>
      </c>
      <c r="DF396" s="28" t="n">
        <f aca="false">IFERROR(INDEX(Assessments!$J$2:$J$600,MATCH($H396&amp;"|"&amp;$I396&amp;"|"&amp;$J396&amp;"|"&amp;10,Assessments!$A$2:$A$600,0)),0)</f>
        <v>0</v>
      </c>
      <c r="DG396" s="28" t="n">
        <f aca="false">IFERROR(INDEX(Assessments!$J$2:$J$600,MATCH($H396&amp;"|"&amp;$I396&amp;"|"&amp;$J396&amp;"|"&amp;11,Assessments!$A$2:$A$600,0)),0)</f>
        <v>0</v>
      </c>
      <c r="DH396" s="28" t="n">
        <f aca="false">IFERROR(INDEX(Assessments!$J$2:$J$600,MATCH($H396&amp;"|"&amp;$I396&amp;"|"&amp;$J396&amp;"|"&amp;12,Assessments!$A$2:$A$600,0)),0)</f>
        <v>0</v>
      </c>
      <c r="DI396" s="28" t="n">
        <f aca="false">IFERROR(INDEX(Assessments!$J$2:$J$600,MATCH($H396&amp;"|"&amp;$I396&amp;"|"&amp;$J396&amp;"|"&amp;13,Assessments!$A$2:$A$600,0)),0)</f>
        <v>0</v>
      </c>
      <c r="DJ396" s="28" t="n">
        <f aca="false">IFERROR(INDEX(Assessments!$J$2:$J$600,MATCH($H396&amp;"|"&amp;$I396&amp;"|"&amp;$J396&amp;"|"&amp;14,Assessments!$A$2:$A$600,0)),0)</f>
        <v>0</v>
      </c>
      <c r="DK396" s="28" t="str">
        <f aca="false">S396</f>
        <v/>
      </c>
      <c r="DL396" s="28" t="str">
        <f aca="false">W396</f>
        <v/>
      </c>
      <c r="DM396" s="28" t="str">
        <f aca="false">AA396</f>
        <v/>
      </c>
      <c r="DN396" s="28" t="str">
        <f aca="false">AE396</f>
        <v/>
      </c>
      <c r="DO396" s="28" t="str">
        <f aca="false">AI396</f>
        <v/>
      </c>
      <c r="DP396" s="28" t="str">
        <f aca="false">AM396</f>
        <v/>
      </c>
      <c r="DQ396" s="28" t="str">
        <f aca="false">AQ396</f>
        <v/>
      </c>
      <c r="DR396" s="28" t="str">
        <f aca="false">AU396</f>
        <v/>
      </c>
      <c r="DS396" s="28" t="str">
        <f aca="false">AY396</f>
        <v/>
      </c>
      <c r="DT396" s="28" t="str">
        <f aca="false">BC396</f>
        <v/>
      </c>
      <c r="DU396" s="28" t="str">
        <f aca="false">BG396</f>
        <v/>
      </c>
      <c r="DV396" s="28" t="str">
        <f aca="false">BK396</f>
        <v/>
      </c>
      <c r="DW396" s="28" t="str">
        <f aca="false">BO396</f>
        <v/>
      </c>
      <c r="DX396" s="28" t="str">
        <f aca="false">BS396</f>
        <v/>
      </c>
      <c r="DY396" s="28" t="str">
        <f aca="false">IF(ISNUMBER(S396),1,"")</f>
        <v/>
      </c>
      <c r="DZ396" s="28" t="str">
        <f aca="false">IF(ISNUMBER(W396),2,"")</f>
        <v/>
      </c>
      <c r="EA396" s="28" t="str">
        <f aca="false">IF(ISNUMBER(AA396),3,"")</f>
        <v/>
      </c>
      <c r="EB396" s="28" t="str">
        <f aca="false">IF(ISNUMBER(AE396),4,"")</f>
        <v/>
      </c>
      <c r="EC396" s="28" t="str">
        <f aca="false">IF(ISNUMBER(AI396),5,"")</f>
        <v/>
      </c>
      <c r="ED396" s="28" t="str">
        <f aca="false">IF(ISNUMBER(AM396),6,"")</f>
        <v/>
      </c>
      <c r="EE396" s="28" t="str">
        <f aca="false">IF(ISNUMBER(AQ396),7,"")</f>
        <v/>
      </c>
      <c r="EF396" s="28" t="str">
        <f aca="false">IF(ISNUMBER(AU396),8,"")</f>
        <v/>
      </c>
      <c r="EG396" s="28" t="str">
        <f aca="false">IF(ISNUMBER(AY396),9,"")</f>
        <v/>
      </c>
      <c r="EH396" s="28" t="str">
        <f aca="false">IF(ISNUMBER(BC396),10,"")</f>
        <v/>
      </c>
      <c r="EI396" s="28" t="str">
        <f aca="false">IF(ISNUMBER(BG396),11,"")</f>
        <v/>
      </c>
      <c r="EJ396" s="28" t="str">
        <f aca="false">IF(ISNUMBER(BK396),12,"")</f>
        <v/>
      </c>
      <c r="EK396" s="28" t="str">
        <f aca="false">IF(ISNUMBER(BO396),13,"")</f>
        <v/>
      </c>
      <c r="EL396" s="28" t="str">
        <f aca="false">IF(ISNUMBER(BS396),14,"")</f>
        <v/>
      </c>
      <c r="EM396" s="28" t="n">
        <f aca="false">IF(ISNUMBER(R396),R396*CW396,0)</f>
        <v>0</v>
      </c>
      <c r="EN396" s="28" t="n">
        <f aca="false">IF(ISNUMBER(V396),V396*CX396,0)</f>
        <v>0</v>
      </c>
      <c r="EO396" s="28" t="n">
        <f aca="false">IF(ISNUMBER(Z396),Z396*CY396,0)</f>
        <v>0</v>
      </c>
      <c r="EP396" s="28" t="n">
        <f aca="false">IF(ISNUMBER(AD396),AD396*CZ396,0)</f>
        <v>0</v>
      </c>
      <c r="EQ396" s="28" t="n">
        <f aca="false">IF(ISNUMBER(AH396),AH396*DA396,0)</f>
        <v>0</v>
      </c>
      <c r="ER396" s="28" t="n">
        <f aca="false">IF(ISNUMBER(AL396),AL396*DB396,0)</f>
        <v>0</v>
      </c>
      <c r="ES396" s="28" t="n">
        <f aca="false">IF(ISNUMBER(AP396),AP396*DC396,0)</f>
        <v>0</v>
      </c>
      <c r="ET396" s="28" t="n">
        <f aca="false">IF(ISNUMBER(AT396),AT396*DD396,0)</f>
        <v>0</v>
      </c>
      <c r="EU396" s="28" t="n">
        <f aca="false">IF(ISNUMBER(AX396),AX396*DE396,0)</f>
        <v>0</v>
      </c>
      <c r="EV396" s="28" t="n">
        <f aca="false">IF(ISNUMBER(BB396),BB396*DF396,0)</f>
        <v>0</v>
      </c>
      <c r="EW396" s="28" t="n">
        <f aca="false">IF(ISNUMBER(BF396),BF396*DG396,0)</f>
        <v>0</v>
      </c>
      <c r="EX396" s="28" t="n">
        <f aca="false">IF(ISNUMBER(BJ396),BJ396*DH396,0)</f>
        <v>0</v>
      </c>
      <c r="EY396" s="28" t="n">
        <f aca="false">IF(ISNUMBER(BN396),BN396*DI396,0)</f>
        <v>0</v>
      </c>
      <c r="EZ396" s="28" t="n">
        <f aca="false">IF(ISNUMBER(BR396),BR396*DJ396,0)</f>
        <v>0</v>
      </c>
      <c r="FA396" s="28" t="n">
        <f aca="false">IF(ISNUMBER(R396),CW396,0)</f>
        <v>0</v>
      </c>
      <c r="FB396" s="28" t="n">
        <f aca="false">IF(ISNUMBER(V396),CX396,0)</f>
        <v>0</v>
      </c>
      <c r="FC396" s="28" t="n">
        <f aca="false">IF(ISNUMBER(Z396),CY396,0)</f>
        <v>0</v>
      </c>
      <c r="FD396" s="28" t="n">
        <f aca="false">IF(ISNUMBER(AD396),CZ396,0)</f>
        <v>0</v>
      </c>
      <c r="FE396" s="28" t="n">
        <f aca="false">IF(ISNUMBER(AH396),DA396,0)</f>
        <v>0</v>
      </c>
      <c r="FF396" s="28" t="n">
        <f aca="false">IF(ISNUMBER(AL396),DB396,0)</f>
        <v>0</v>
      </c>
      <c r="FG396" s="28" t="n">
        <f aca="false">IF(ISNUMBER(AP396),DC396,0)</f>
        <v>0</v>
      </c>
      <c r="FH396" s="28" t="n">
        <f aca="false">IF(ISNUMBER(AT396),DD396,0)</f>
        <v>0</v>
      </c>
      <c r="FI396" s="28" t="n">
        <f aca="false">IF(ISNUMBER(AX396),DE396,0)</f>
        <v>0</v>
      </c>
      <c r="FJ396" s="28" t="n">
        <f aca="false">IF(ISNUMBER(BB396),DF396,0)</f>
        <v>0</v>
      </c>
      <c r="FK396" s="28" t="n">
        <f aca="false">IF(ISNUMBER(BF396),DG396,0)</f>
        <v>0</v>
      </c>
      <c r="FL396" s="28" t="n">
        <f aca="false">IF(ISNUMBER(BJ396),DH396,0)</f>
        <v>0</v>
      </c>
      <c r="FM396" s="28" t="n">
        <f aca="false">IF(ISNUMBER(BN396),DI396,0)</f>
        <v>0</v>
      </c>
      <c r="FN396" s="28" t="n">
        <f aca="false">IF(ISNUMBER(BR396),DJ396,0)</f>
        <v>0</v>
      </c>
      <c r="FO396" s="28" t="str">
        <f aca="false">IFERROR(INDEX(Lists!$G$2:$G$20,MATCH($I396&amp;"|"&amp;$J396,Lists!$F$2:$F$20,0)),"")</f>
        <v/>
      </c>
    </row>
    <row r="397" customFormat="false" ht="19.5" hidden="false" customHeight="true" outlineLevel="0" collapsed="false">
      <c r="A397" s="29"/>
      <c r="B397" s="29"/>
      <c r="C397" s="30"/>
      <c r="D397" s="30"/>
      <c r="E397" s="31"/>
      <c r="F397" s="30"/>
      <c r="G397" s="30"/>
      <c r="H397" s="32"/>
      <c r="I397" s="33"/>
      <c r="J397" s="32"/>
      <c r="K397" s="34" t="str">
        <f aca="false">IF(OR(M397="",$E397=""),"",M397-$E397)</f>
        <v/>
      </c>
      <c r="L397" s="35" t="str">
        <f aca="false">IF(SUM(FA397:FN397)=0,"",SUM(EM397:EZ397)/SUM(FA397:FN397))</f>
        <v/>
      </c>
      <c r="M397" s="36" t="str">
        <f aca="false">IF(OR(L397="",FO397=""),"",IFERROR(MATCH(L397,INDEX(Boundaries!$B$2:$I$30,MATCH(FO397,Boundaries!$A$2:$A$30,0),0),1)-1,""))</f>
        <v/>
      </c>
      <c r="N397" s="37" t="str">
        <f aca="false">IF(COUNT($DY397:$EL397)&lt;2,"",INDEX($DK397:$DX397,MAX($DY397:$EL397))-INDEX($DK397:$DX397,MIN($DY397:$EL397)))</f>
        <v/>
      </c>
      <c r="O397" s="37" t="str">
        <f aca="false">IF(COUNT($DY397:$EL397)&lt;2,"",INDEX($DK397:$DX397,MAX($DY397:$EL397))-INDEX($DK397:$DX397,LARGE($DY397:$EL397,2)))</f>
        <v/>
      </c>
      <c r="P397" s="38" t="str">
        <f aca="false">IF(K397="","",IF(K397&gt;=0,"On/above target",IF(AND(N397&lt;&gt;"",N397&gt;=0.5),"Improving towards target",IF(AND(O397&lt;&gt;"",O397&lt;=-0.5),"Declining","Stable below target"))))</f>
        <v/>
      </c>
      <c r="Q397" s="39"/>
      <c r="R397" s="40" t="str">
        <f aca="false">IF(OR(Q397="",BU397=""),"",Q397/BU397*100)</f>
        <v/>
      </c>
      <c r="S397" s="41" t="str">
        <f aca="false">IF(R397="","",IFERROR(MATCH(R397,INDEX(Boundaries!$B$2:$I$30,MATCH(CI397,Boundaries!$A$2:$A$30,0),0),1)-1,""))</f>
        <v/>
      </c>
      <c r="T397" s="42" t="str">
        <f aca="false">IF(OR(S397="",$E397=""),"",S397-$E397)</f>
        <v/>
      </c>
      <c r="U397" s="39"/>
      <c r="V397" s="40" t="str">
        <f aca="false">IF(OR(U397="",BV397=""),"",U397/BV397*100)</f>
        <v/>
      </c>
      <c r="W397" s="41" t="str">
        <f aca="false">IF(V397="","",IFERROR(MATCH(V397,INDEX(Boundaries!$B$2:$I$30,MATCH(CJ397,Boundaries!$A$2:$A$30,0),0),1)-1,""))</f>
        <v/>
      </c>
      <c r="X397" s="42" t="str">
        <f aca="false">IF(OR(W397="",$E397=""),"",W397-$E397)</f>
        <v/>
      </c>
      <c r="Y397" s="39"/>
      <c r="Z397" s="40" t="str">
        <f aca="false">IF(OR(Y397="",BW397=""),"",Y397/BW397*100)</f>
        <v/>
      </c>
      <c r="AA397" s="41" t="str">
        <f aca="false">IF(Z397="","",IFERROR(MATCH(Z397,INDEX(Boundaries!$B$2:$I$30,MATCH(CK397,Boundaries!$A$2:$A$30,0),0),1)-1,""))</f>
        <v/>
      </c>
      <c r="AB397" s="42" t="str">
        <f aca="false">IF(OR(AA397="",$E397=""),"",AA397-$E397)</f>
        <v/>
      </c>
      <c r="AC397" s="39"/>
      <c r="AD397" s="40" t="str">
        <f aca="false">IF(OR(AC397="",BX397=""),"",AC397/BX397*100)</f>
        <v/>
      </c>
      <c r="AE397" s="41" t="str">
        <f aca="false">IF(AD397="","",IFERROR(MATCH(AD397,INDEX(Boundaries!$B$2:$I$30,MATCH(CL397,Boundaries!$A$2:$A$30,0),0),1)-1,""))</f>
        <v/>
      </c>
      <c r="AF397" s="42" t="str">
        <f aca="false">IF(OR(AE397="",$E397=""),"",AE397-$E397)</f>
        <v/>
      </c>
      <c r="AG397" s="39"/>
      <c r="AH397" s="40" t="str">
        <f aca="false">IF(OR(AG397="",BY397=""),"",AG397/BY397*100)</f>
        <v/>
      </c>
      <c r="AI397" s="41" t="str">
        <f aca="false">IF(AH397="","",IFERROR(MATCH(AH397,INDEX(Boundaries!$B$2:$I$30,MATCH(CM397,Boundaries!$A$2:$A$30,0),0),1)-1,""))</f>
        <v/>
      </c>
      <c r="AJ397" s="42" t="str">
        <f aca="false">IF(OR(AI397="",$E397=""),"",AI397-$E397)</f>
        <v/>
      </c>
      <c r="AK397" s="39"/>
      <c r="AL397" s="40" t="str">
        <f aca="false">IF(OR(AK397="",BZ397=""),"",AK397/BZ397*100)</f>
        <v/>
      </c>
      <c r="AM397" s="41" t="str">
        <f aca="false">IF(AL397="","",IFERROR(MATCH(AL397,INDEX(Boundaries!$B$2:$I$30,MATCH(CN397,Boundaries!$A$2:$A$30,0),0),1)-1,""))</f>
        <v/>
      </c>
      <c r="AN397" s="42" t="str">
        <f aca="false">IF(OR(AM397="",$E397=""),"",AM397-$E397)</f>
        <v/>
      </c>
      <c r="AO397" s="39"/>
      <c r="AP397" s="40" t="str">
        <f aca="false">IF(OR(AO397="",CA397=""),"",AO397/CA397*100)</f>
        <v/>
      </c>
      <c r="AQ397" s="41" t="str">
        <f aca="false">IF(AP397="","",IFERROR(MATCH(AP397,INDEX(Boundaries!$B$2:$I$30,MATCH(CO397,Boundaries!$A$2:$A$30,0),0),1)-1,""))</f>
        <v/>
      </c>
      <c r="AR397" s="42" t="str">
        <f aca="false">IF(OR(AQ397="",$E397=""),"",AQ397-$E397)</f>
        <v/>
      </c>
      <c r="AS397" s="39"/>
      <c r="AT397" s="40" t="str">
        <f aca="false">IF(OR(AS397="",CB397=""),"",AS397/CB397*100)</f>
        <v/>
      </c>
      <c r="AU397" s="41" t="str">
        <f aca="false">IF(AT397="","",IFERROR(MATCH(AT397,INDEX(Boundaries!$B$2:$I$30,MATCH(CP397,Boundaries!$A$2:$A$30,0),0),1)-1,""))</f>
        <v/>
      </c>
      <c r="AV397" s="42" t="str">
        <f aca="false">IF(OR(AU397="",$E397=""),"",AU397-$E397)</f>
        <v/>
      </c>
      <c r="AW397" s="39"/>
      <c r="AX397" s="40" t="str">
        <f aca="false">IF(OR(AW397="",CC397=""),"",AW397/CC397*100)</f>
        <v/>
      </c>
      <c r="AY397" s="41" t="str">
        <f aca="false">IF(AX397="","",IFERROR(MATCH(AX397,INDEX(Boundaries!$B$2:$I$30,MATCH(CQ397,Boundaries!$A$2:$A$30,0),0),1)-1,""))</f>
        <v/>
      </c>
      <c r="AZ397" s="42" t="str">
        <f aca="false">IF(OR(AY397="",$E397=""),"",AY397-$E397)</f>
        <v/>
      </c>
      <c r="BA397" s="39"/>
      <c r="BB397" s="40" t="str">
        <f aca="false">IF(OR(BA397="",CD397=""),"",BA397/CD397*100)</f>
        <v/>
      </c>
      <c r="BC397" s="41" t="str">
        <f aca="false">IF(BB397="","",IFERROR(MATCH(BB397,INDEX(Boundaries!$B$2:$I$30,MATCH(CR397,Boundaries!$A$2:$A$30,0),0),1)-1,""))</f>
        <v/>
      </c>
      <c r="BD397" s="42" t="str">
        <f aca="false">IF(OR(BC397="",$E397=""),"",BC397-$E397)</f>
        <v/>
      </c>
      <c r="BE397" s="39"/>
      <c r="BF397" s="40" t="str">
        <f aca="false">IF(OR(BE397="",CE397=""),"",BE397/CE397*100)</f>
        <v/>
      </c>
      <c r="BG397" s="41" t="str">
        <f aca="false">IF(BF397="","",IFERROR(MATCH(BF397,INDEX(Boundaries!$B$2:$I$30,MATCH(CS397,Boundaries!$A$2:$A$30,0),0),1)-1,""))</f>
        <v/>
      </c>
      <c r="BH397" s="42" t="str">
        <f aca="false">IF(OR(BG397="",$E397=""),"",BG397-$E397)</f>
        <v/>
      </c>
      <c r="BI397" s="39"/>
      <c r="BJ397" s="40" t="str">
        <f aca="false">IF(OR(BI397="",CF397=""),"",BI397/CF397*100)</f>
        <v/>
      </c>
      <c r="BK397" s="41" t="str">
        <f aca="false">IF(BJ397="","",IFERROR(MATCH(BJ397,INDEX(Boundaries!$B$2:$I$30,MATCH(CT397,Boundaries!$A$2:$A$30,0),0),1)-1,""))</f>
        <v/>
      </c>
      <c r="BL397" s="42" t="str">
        <f aca="false">IF(OR(BK397="",$E397=""),"",BK397-$E397)</f>
        <v/>
      </c>
      <c r="BM397" s="39"/>
      <c r="BN397" s="40" t="str">
        <f aca="false">IF(OR(BM397="",CG397=""),"",BM397/CG397*100)</f>
        <v/>
      </c>
      <c r="BO397" s="41" t="str">
        <f aca="false">IF(BN397="","",IFERROR(MATCH(BN397,INDEX(Boundaries!$B$2:$I$30,MATCH(CU397,Boundaries!$A$2:$A$30,0),0),1)-1,""))</f>
        <v/>
      </c>
      <c r="BP397" s="42" t="str">
        <f aca="false">IF(OR(BO397="",$E397=""),"",BO397-$E397)</f>
        <v/>
      </c>
      <c r="BQ397" s="39"/>
      <c r="BR397" s="40" t="str">
        <f aca="false">IF(OR(BQ397="",CH397=""),"",BQ397/CH397*100)</f>
        <v/>
      </c>
      <c r="BS397" s="41" t="str">
        <f aca="false">IF(BR397="","",IFERROR(MATCH(BR397,INDEX(Boundaries!$B$2:$I$30,MATCH(CV397,Boundaries!$A$2:$A$30,0),0),1)-1,""))</f>
        <v/>
      </c>
      <c r="BT397" s="42" t="str">
        <f aca="false">IF(OR(BS397="",$E397=""),"",BS397-$E397)</f>
        <v/>
      </c>
      <c r="BU397" s="28" t="str">
        <f aca="false">IFERROR(INDEX(Assessments!$H$2:$H$600,MATCH($H397&amp;"|"&amp;$I397&amp;"|"&amp;$J397&amp;"|"&amp;1,Assessments!$A$2:$A$600,0)),"")</f>
        <v/>
      </c>
      <c r="BV397" s="28" t="str">
        <f aca="false">IFERROR(INDEX(Assessments!$H$2:$H$600,MATCH($H397&amp;"|"&amp;$I397&amp;"|"&amp;$J397&amp;"|"&amp;2,Assessments!$A$2:$A$600,0)),"")</f>
        <v/>
      </c>
      <c r="BW397" s="28" t="str">
        <f aca="false">IFERROR(INDEX(Assessments!$H$2:$H$600,MATCH($H397&amp;"|"&amp;$I397&amp;"|"&amp;$J397&amp;"|"&amp;3,Assessments!$A$2:$A$600,0)),"")</f>
        <v/>
      </c>
      <c r="BX397" s="28" t="str">
        <f aca="false">IFERROR(INDEX(Assessments!$H$2:$H$600,MATCH($H397&amp;"|"&amp;$I397&amp;"|"&amp;$J397&amp;"|"&amp;4,Assessments!$A$2:$A$600,0)),"")</f>
        <v/>
      </c>
      <c r="BY397" s="28" t="str">
        <f aca="false">IFERROR(INDEX(Assessments!$H$2:$H$600,MATCH($H397&amp;"|"&amp;$I397&amp;"|"&amp;$J397&amp;"|"&amp;5,Assessments!$A$2:$A$600,0)),"")</f>
        <v/>
      </c>
      <c r="BZ397" s="28" t="str">
        <f aca="false">IFERROR(INDEX(Assessments!$H$2:$H$600,MATCH($H397&amp;"|"&amp;$I397&amp;"|"&amp;$J397&amp;"|"&amp;6,Assessments!$A$2:$A$600,0)),"")</f>
        <v/>
      </c>
      <c r="CA397" s="28" t="str">
        <f aca="false">IFERROR(INDEX(Assessments!$H$2:$H$600,MATCH($H397&amp;"|"&amp;$I397&amp;"|"&amp;$J397&amp;"|"&amp;7,Assessments!$A$2:$A$600,0)),"")</f>
        <v/>
      </c>
      <c r="CB397" s="28" t="str">
        <f aca="false">IFERROR(INDEX(Assessments!$H$2:$H$600,MATCH($H397&amp;"|"&amp;$I397&amp;"|"&amp;$J397&amp;"|"&amp;8,Assessments!$A$2:$A$600,0)),"")</f>
        <v/>
      </c>
      <c r="CC397" s="28" t="str">
        <f aca="false">IFERROR(INDEX(Assessments!$H$2:$H$600,MATCH($H397&amp;"|"&amp;$I397&amp;"|"&amp;$J397&amp;"|"&amp;9,Assessments!$A$2:$A$600,0)),"")</f>
        <v/>
      </c>
      <c r="CD397" s="28" t="str">
        <f aca="false">IFERROR(INDEX(Assessments!$H$2:$H$600,MATCH($H397&amp;"|"&amp;$I397&amp;"|"&amp;$J397&amp;"|"&amp;10,Assessments!$A$2:$A$600,0)),"")</f>
        <v/>
      </c>
      <c r="CE397" s="28" t="str">
        <f aca="false">IFERROR(INDEX(Assessments!$H$2:$H$600,MATCH($H397&amp;"|"&amp;$I397&amp;"|"&amp;$J397&amp;"|"&amp;11,Assessments!$A$2:$A$600,0)),"")</f>
        <v/>
      </c>
      <c r="CF397" s="28" t="str">
        <f aca="false">IFERROR(INDEX(Assessments!$H$2:$H$600,MATCH($H397&amp;"|"&amp;$I397&amp;"|"&amp;$J397&amp;"|"&amp;12,Assessments!$A$2:$A$600,0)),"")</f>
        <v/>
      </c>
      <c r="CG397" s="28" t="str">
        <f aca="false">IFERROR(INDEX(Assessments!$H$2:$H$600,MATCH($H397&amp;"|"&amp;$I397&amp;"|"&amp;$J397&amp;"|"&amp;13,Assessments!$A$2:$A$600,0)),"")</f>
        <v/>
      </c>
      <c r="CH397" s="28" t="str">
        <f aca="false">IFERROR(INDEX(Assessments!$H$2:$H$600,MATCH($H397&amp;"|"&amp;$I397&amp;"|"&amp;$J397&amp;"|"&amp;14,Assessments!$A$2:$A$600,0)),"")</f>
        <v/>
      </c>
      <c r="CI397" s="28" t="str">
        <f aca="false">IFERROR(INDEX(Assessments!$I$2:$I$600,MATCH($H397&amp;"|"&amp;$I397&amp;"|"&amp;$J397&amp;"|"&amp;1,Assessments!$A$2:$A$600,0)),"")</f>
        <v/>
      </c>
      <c r="CJ397" s="28" t="str">
        <f aca="false">IFERROR(INDEX(Assessments!$I$2:$I$600,MATCH($H397&amp;"|"&amp;$I397&amp;"|"&amp;$J397&amp;"|"&amp;2,Assessments!$A$2:$A$600,0)),"")</f>
        <v/>
      </c>
      <c r="CK397" s="28" t="str">
        <f aca="false">IFERROR(INDEX(Assessments!$I$2:$I$600,MATCH($H397&amp;"|"&amp;$I397&amp;"|"&amp;$J397&amp;"|"&amp;3,Assessments!$A$2:$A$600,0)),"")</f>
        <v/>
      </c>
      <c r="CL397" s="28" t="str">
        <f aca="false">IFERROR(INDEX(Assessments!$I$2:$I$600,MATCH($H397&amp;"|"&amp;$I397&amp;"|"&amp;$J397&amp;"|"&amp;4,Assessments!$A$2:$A$600,0)),"")</f>
        <v/>
      </c>
      <c r="CM397" s="28" t="str">
        <f aca="false">IFERROR(INDEX(Assessments!$I$2:$I$600,MATCH($H397&amp;"|"&amp;$I397&amp;"|"&amp;$J397&amp;"|"&amp;5,Assessments!$A$2:$A$600,0)),"")</f>
        <v/>
      </c>
      <c r="CN397" s="28" t="str">
        <f aca="false">IFERROR(INDEX(Assessments!$I$2:$I$600,MATCH($H397&amp;"|"&amp;$I397&amp;"|"&amp;$J397&amp;"|"&amp;6,Assessments!$A$2:$A$600,0)),"")</f>
        <v/>
      </c>
      <c r="CO397" s="28" t="str">
        <f aca="false">IFERROR(INDEX(Assessments!$I$2:$I$600,MATCH($H397&amp;"|"&amp;$I397&amp;"|"&amp;$J397&amp;"|"&amp;7,Assessments!$A$2:$A$600,0)),"")</f>
        <v/>
      </c>
      <c r="CP397" s="28" t="str">
        <f aca="false">IFERROR(INDEX(Assessments!$I$2:$I$600,MATCH($H397&amp;"|"&amp;$I397&amp;"|"&amp;$J397&amp;"|"&amp;8,Assessments!$A$2:$A$600,0)),"")</f>
        <v/>
      </c>
      <c r="CQ397" s="28" t="str">
        <f aca="false">IFERROR(INDEX(Assessments!$I$2:$I$600,MATCH($H397&amp;"|"&amp;$I397&amp;"|"&amp;$J397&amp;"|"&amp;9,Assessments!$A$2:$A$600,0)),"")</f>
        <v/>
      </c>
      <c r="CR397" s="28" t="str">
        <f aca="false">IFERROR(INDEX(Assessments!$I$2:$I$600,MATCH($H397&amp;"|"&amp;$I397&amp;"|"&amp;$J397&amp;"|"&amp;10,Assessments!$A$2:$A$600,0)),"")</f>
        <v/>
      </c>
      <c r="CS397" s="28" t="str">
        <f aca="false">IFERROR(INDEX(Assessments!$I$2:$I$600,MATCH($H397&amp;"|"&amp;$I397&amp;"|"&amp;$J397&amp;"|"&amp;11,Assessments!$A$2:$A$600,0)),"")</f>
        <v/>
      </c>
      <c r="CT397" s="28" t="str">
        <f aca="false">IFERROR(INDEX(Assessments!$I$2:$I$600,MATCH($H397&amp;"|"&amp;$I397&amp;"|"&amp;$J397&amp;"|"&amp;12,Assessments!$A$2:$A$600,0)),"")</f>
        <v/>
      </c>
      <c r="CU397" s="28" t="str">
        <f aca="false">IFERROR(INDEX(Assessments!$I$2:$I$600,MATCH($H397&amp;"|"&amp;$I397&amp;"|"&amp;$J397&amp;"|"&amp;13,Assessments!$A$2:$A$600,0)),"")</f>
        <v/>
      </c>
      <c r="CV397" s="28" t="str">
        <f aca="false">IFERROR(INDEX(Assessments!$I$2:$I$600,MATCH($H397&amp;"|"&amp;$I397&amp;"|"&amp;$J397&amp;"|"&amp;14,Assessments!$A$2:$A$600,0)),"")</f>
        <v/>
      </c>
      <c r="CW397" s="28" t="n">
        <f aca="false">IFERROR(INDEX(Assessments!$J$2:$J$600,MATCH($H397&amp;"|"&amp;$I397&amp;"|"&amp;$J397&amp;"|"&amp;1,Assessments!$A$2:$A$600,0)),0)</f>
        <v>0</v>
      </c>
      <c r="CX397" s="28" t="n">
        <f aca="false">IFERROR(INDEX(Assessments!$J$2:$J$600,MATCH($H397&amp;"|"&amp;$I397&amp;"|"&amp;$J397&amp;"|"&amp;2,Assessments!$A$2:$A$600,0)),0)</f>
        <v>0</v>
      </c>
      <c r="CY397" s="28" t="n">
        <f aca="false">IFERROR(INDEX(Assessments!$J$2:$J$600,MATCH($H397&amp;"|"&amp;$I397&amp;"|"&amp;$J397&amp;"|"&amp;3,Assessments!$A$2:$A$600,0)),0)</f>
        <v>0</v>
      </c>
      <c r="CZ397" s="28" t="n">
        <f aca="false">IFERROR(INDEX(Assessments!$J$2:$J$600,MATCH($H397&amp;"|"&amp;$I397&amp;"|"&amp;$J397&amp;"|"&amp;4,Assessments!$A$2:$A$600,0)),0)</f>
        <v>0</v>
      </c>
      <c r="DA397" s="28" t="n">
        <f aca="false">IFERROR(INDEX(Assessments!$J$2:$J$600,MATCH($H397&amp;"|"&amp;$I397&amp;"|"&amp;$J397&amp;"|"&amp;5,Assessments!$A$2:$A$600,0)),0)</f>
        <v>0</v>
      </c>
      <c r="DB397" s="28" t="n">
        <f aca="false">IFERROR(INDEX(Assessments!$J$2:$J$600,MATCH($H397&amp;"|"&amp;$I397&amp;"|"&amp;$J397&amp;"|"&amp;6,Assessments!$A$2:$A$600,0)),0)</f>
        <v>0</v>
      </c>
      <c r="DC397" s="28" t="n">
        <f aca="false">IFERROR(INDEX(Assessments!$J$2:$J$600,MATCH($H397&amp;"|"&amp;$I397&amp;"|"&amp;$J397&amp;"|"&amp;7,Assessments!$A$2:$A$600,0)),0)</f>
        <v>0</v>
      </c>
      <c r="DD397" s="28" t="n">
        <f aca="false">IFERROR(INDEX(Assessments!$J$2:$J$600,MATCH($H397&amp;"|"&amp;$I397&amp;"|"&amp;$J397&amp;"|"&amp;8,Assessments!$A$2:$A$600,0)),0)</f>
        <v>0</v>
      </c>
      <c r="DE397" s="28" t="n">
        <f aca="false">IFERROR(INDEX(Assessments!$J$2:$J$600,MATCH($H397&amp;"|"&amp;$I397&amp;"|"&amp;$J397&amp;"|"&amp;9,Assessments!$A$2:$A$600,0)),0)</f>
        <v>0</v>
      </c>
      <c r="DF397" s="28" t="n">
        <f aca="false">IFERROR(INDEX(Assessments!$J$2:$J$600,MATCH($H397&amp;"|"&amp;$I397&amp;"|"&amp;$J397&amp;"|"&amp;10,Assessments!$A$2:$A$600,0)),0)</f>
        <v>0</v>
      </c>
      <c r="DG397" s="28" t="n">
        <f aca="false">IFERROR(INDEX(Assessments!$J$2:$J$600,MATCH($H397&amp;"|"&amp;$I397&amp;"|"&amp;$J397&amp;"|"&amp;11,Assessments!$A$2:$A$600,0)),0)</f>
        <v>0</v>
      </c>
      <c r="DH397" s="28" t="n">
        <f aca="false">IFERROR(INDEX(Assessments!$J$2:$J$600,MATCH($H397&amp;"|"&amp;$I397&amp;"|"&amp;$J397&amp;"|"&amp;12,Assessments!$A$2:$A$600,0)),0)</f>
        <v>0</v>
      </c>
      <c r="DI397" s="28" t="n">
        <f aca="false">IFERROR(INDEX(Assessments!$J$2:$J$600,MATCH($H397&amp;"|"&amp;$I397&amp;"|"&amp;$J397&amp;"|"&amp;13,Assessments!$A$2:$A$600,0)),0)</f>
        <v>0</v>
      </c>
      <c r="DJ397" s="28" t="n">
        <f aca="false">IFERROR(INDEX(Assessments!$J$2:$J$600,MATCH($H397&amp;"|"&amp;$I397&amp;"|"&amp;$J397&amp;"|"&amp;14,Assessments!$A$2:$A$600,0)),0)</f>
        <v>0</v>
      </c>
      <c r="DK397" s="28" t="str">
        <f aca="false">S397</f>
        <v/>
      </c>
      <c r="DL397" s="28" t="str">
        <f aca="false">W397</f>
        <v/>
      </c>
      <c r="DM397" s="28" t="str">
        <f aca="false">AA397</f>
        <v/>
      </c>
      <c r="DN397" s="28" t="str">
        <f aca="false">AE397</f>
        <v/>
      </c>
      <c r="DO397" s="28" t="str">
        <f aca="false">AI397</f>
        <v/>
      </c>
      <c r="DP397" s="28" t="str">
        <f aca="false">AM397</f>
        <v/>
      </c>
      <c r="DQ397" s="28" t="str">
        <f aca="false">AQ397</f>
        <v/>
      </c>
      <c r="DR397" s="28" t="str">
        <f aca="false">AU397</f>
        <v/>
      </c>
      <c r="DS397" s="28" t="str">
        <f aca="false">AY397</f>
        <v/>
      </c>
      <c r="DT397" s="28" t="str">
        <f aca="false">BC397</f>
        <v/>
      </c>
      <c r="DU397" s="28" t="str">
        <f aca="false">BG397</f>
        <v/>
      </c>
      <c r="DV397" s="28" t="str">
        <f aca="false">BK397</f>
        <v/>
      </c>
      <c r="DW397" s="28" t="str">
        <f aca="false">BO397</f>
        <v/>
      </c>
      <c r="DX397" s="28" t="str">
        <f aca="false">BS397</f>
        <v/>
      </c>
      <c r="DY397" s="28" t="str">
        <f aca="false">IF(ISNUMBER(S397),1,"")</f>
        <v/>
      </c>
      <c r="DZ397" s="28" t="str">
        <f aca="false">IF(ISNUMBER(W397),2,"")</f>
        <v/>
      </c>
      <c r="EA397" s="28" t="str">
        <f aca="false">IF(ISNUMBER(AA397),3,"")</f>
        <v/>
      </c>
      <c r="EB397" s="28" t="str">
        <f aca="false">IF(ISNUMBER(AE397),4,"")</f>
        <v/>
      </c>
      <c r="EC397" s="28" t="str">
        <f aca="false">IF(ISNUMBER(AI397),5,"")</f>
        <v/>
      </c>
      <c r="ED397" s="28" t="str">
        <f aca="false">IF(ISNUMBER(AM397),6,"")</f>
        <v/>
      </c>
      <c r="EE397" s="28" t="str">
        <f aca="false">IF(ISNUMBER(AQ397),7,"")</f>
        <v/>
      </c>
      <c r="EF397" s="28" t="str">
        <f aca="false">IF(ISNUMBER(AU397),8,"")</f>
        <v/>
      </c>
      <c r="EG397" s="28" t="str">
        <f aca="false">IF(ISNUMBER(AY397),9,"")</f>
        <v/>
      </c>
      <c r="EH397" s="28" t="str">
        <f aca="false">IF(ISNUMBER(BC397),10,"")</f>
        <v/>
      </c>
      <c r="EI397" s="28" t="str">
        <f aca="false">IF(ISNUMBER(BG397),11,"")</f>
        <v/>
      </c>
      <c r="EJ397" s="28" t="str">
        <f aca="false">IF(ISNUMBER(BK397),12,"")</f>
        <v/>
      </c>
      <c r="EK397" s="28" t="str">
        <f aca="false">IF(ISNUMBER(BO397),13,"")</f>
        <v/>
      </c>
      <c r="EL397" s="28" t="str">
        <f aca="false">IF(ISNUMBER(BS397),14,"")</f>
        <v/>
      </c>
      <c r="EM397" s="28" t="n">
        <f aca="false">IF(ISNUMBER(R397),R397*CW397,0)</f>
        <v>0</v>
      </c>
      <c r="EN397" s="28" t="n">
        <f aca="false">IF(ISNUMBER(V397),V397*CX397,0)</f>
        <v>0</v>
      </c>
      <c r="EO397" s="28" t="n">
        <f aca="false">IF(ISNUMBER(Z397),Z397*CY397,0)</f>
        <v>0</v>
      </c>
      <c r="EP397" s="28" t="n">
        <f aca="false">IF(ISNUMBER(AD397),AD397*CZ397,0)</f>
        <v>0</v>
      </c>
      <c r="EQ397" s="28" t="n">
        <f aca="false">IF(ISNUMBER(AH397),AH397*DA397,0)</f>
        <v>0</v>
      </c>
      <c r="ER397" s="28" t="n">
        <f aca="false">IF(ISNUMBER(AL397),AL397*DB397,0)</f>
        <v>0</v>
      </c>
      <c r="ES397" s="28" t="n">
        <f aca="false">IF(ISNUMBER(AP397),AP397*DC397,0)</f>
        <v>0</v>
      </c>
      <c r="ET397" s="28" t="n">
        <f aca="false">IF(ISNUMBER(AT397),AT397*DD397,0)</f>
        <v>0</v>
      </c>
      <c r="EU397" s="28" t="n">
        <f aca="false">IF(ISNUMBER(AX397),AX397*DE397,0)</f>
        <v>0</v>
      </c>
      <c r="EV397" s="28" t="n">
        <f aca="false">IF(ISNUMBER(BB397),BB397*DF397,0)</f>
        <v>0</v>
      </c>
      <c r="EW397" s="28" t="n">
        <f aca="false">IF(ISNUMBER(BF397),BF397*DG397,0)</f>
        <v>0</v>
      </c>
      <c r="EX397" s="28" t="n">
        <f aca="false">IF(ISNUMBER(BJ397),BJ397*DH397,0)</f>
        <v>0</v>
      </c>
      <c r="EY397" s="28" t="n">
        <f aca="false">IF(ISNUMBER(BN397),BN397*DI397,0)</f>
        <v>0</v>
      </c>
      <c r="EZ397" s="28" t="n">
        <f aca="false">IF(ISNUMBER(BR397),BR397*DJ397,0)</f>
        <v>0</v>
      </c>
      <c r="FA397" s="28" t="n">
        <f aca="false">IF(ISNUMBER(R397),CW397,0)</f>
        <v>0</v>
      </c>
      <c r="FB397" s="28" t="n">
        <f aca="false">IF(ISNUMBER(V397),CX397,0)</f>
        <v>0</v>
      </c>
      <c r="FC397" s="28" t="n">
        <f aca="false">IF(ISNUMBER(Z397),CY397,0)</f>
        <v>0</v>
      </c>
      <c r="FD397" s="28" t="n">
        <f aca="false">IF(ISNUMBER(AD397),CZ397,0)</f>
        <v>0</v>
      </c>
      <c r="FE397" s="28" t="n">
        <f aca="false">IF(ISNUMBER(AH397),DA397,0)</f>
        <v>0</v>
      </c>
      <c r="FF397" s="28" t="n">
        <f aca="false">IF(ISNUMBER(AL397),DB397,0)</f>
        <v>0</v>
      </c>
      <c r="FG397" s="28" t="n">
        <f aca="false">IF(ISNUMBER(AP397),DC397,0)</f>
        <v>0</v>
      </c>
      <c r="FH397" s="28" t="n">
        <f aca="false">IF(ISNUMBER(AT397),DD397,0)</f>
        <v>0</v>
      </c>
      <c r="FI397" s="28" t="n">
        <f aca="false">IF(ISNUMBER(AX397),DE397,0)</f>
        <v>0</v>
      </c>
      <c r="FJ397" s="28" t="n">
        <f aca="false">IF(ISNUMBER(BB397),DF397,0)</f>
        <v>0</v>
      </c>
      <c r="FK397" s="28" t="n">
        <f aca="false">IF(ISNUMBER(BF397),DG397,0)</f>
        <v>0</v>
      </c>
      <c r="FL397" s="28" t="n">
        <f aca="false">IF(ISNUMBER(BJ397),DH397,0)</f>
        <v>0</v>
      </c>
      <c r="FM397" s="28" t="n">
        <f aca="false">IF(ISNUMBER(BN397),DI397,0)</f>
        <v>0</v>
      </c>
      <c r="FN397" s="28" t="n">
        <f aca="false">IF(ISNUMBER(BR397),DJ397,0)</f>
        <v>0</v>
      </c>
      <c r="FO397" s="28" t="str">
        <f aca="false">IFERROR(INDEX(Lists!$G$2:$G$20,MATCH($I397&amp;"|"&amp;$J397,Lists!$F$2:$F$20,0)),"")</f>
        <v/>
      </c>
    </row>
    <row r="398" customFormat="false" ht="19.5" hidden="false" customHeight="true" outlineLevel="0" collapsed="false">
      <c r="A398" s="29"/>
      <c r="B398" s="29"/>
      <c r="C398" s="30"/>
      <c r="D398" s="30"/>
      <c r="E398" s="31"/>
      <c r="F398" s="30"/>
      <c r="G398" s="30"/>
      <c r="H398" s="32"/>
      <c r="I398" s="33"/>
      <c r="J398" s="32"/>
      <c r="K398" s="34" t="str">
        <f aca="false">IF(OR(M398="",$E398=""),"",M398-$E398)</f>
        <v/>
      </c>
      <c r="L398" s="35" t="str">
        <f aca="false">IF(SUM(FA398:FN398)=0,"",SUM(EM398:EZ398)/SUM(FA398:FN398))</f>
        <v/>
      </c>
      <c r="M398" s="36" t="str">
        <f aca="false">IF(OR(L398="",FO398=""),"",IFERROR(MATCH(L398,INDEX(Boundaries!$B$2:$I$30,MATCH(FO398,Boundaries!$A$2:$A$30,0),0),1)-1,""))</f>
        <v/>
      </c>
      <c r="N398" s="37" t="str">
        <f aca="false">IF(COUNT($DY398:$EL398)&lt;2,"",INDEX($DK398:$DX398,MAX($DY398:$EL398))-INDEX($DK398:$DX398,MIN($DY398:$EL398)))</f>
        <v/>
      </c>
      <c r="O398" s="37" t="str">
        <f aca="false">IF(COUNT($DY398:$EL398)&lt;2,"",INDEX($DK398:$DX398,MAX($DY398:$EL398))-INDEX($DK398:$DX398,LARGE($DY398:$EL398,2)))</f>
        <v/>
      </c>
      <c r="P398" s="38" t="str">
        <f aca="false">IF(K398="","",IF(K398&gt;=0,"On/above target",IF(AND(N398&lt;&gt;"",N398&gt;=0.5),"Improving towards target",IF(AND(O398&lt;&gt;"",O398&lt;=-0.5),"Declining","Stable below target"))))</f>
        <v/>
      </c>
      <c r="Q398" s="39"/>
      <c r="R398" s="40" t="str">
        <f aca="false">IF(OR(Q398="",BU398=""),"",Q398/BU398*100)</f>
        <v/>
      </c>
      <c r="S398" s="41" t="str">
        <f aca="false">IF(R398="","",IFERROR(MATCH(R398,INDEX(Boundaries!$B$2:$I$30,MATCH(CI398,Boundaries!$A$2:$A$30,0),0),1)-1,""))</f>
        <v/>
      </c>
      <c r="T398" s="42" t="str">
        <f aca="false">IF(OR(S398="",$E398=""),"",S398-$E398)</f>
        <v/>
      </c>
      <c r="U398" s="39"/>
      <c r="V398" s="40" t="str">
        <f aca="false">IF(OR(U398="",BV398=""),"",U398/BV398*100)</f>
        <v/>
      </c>
      <c r="W398" s="41" t="str">
        <f aca="false">IF(V398="","",IFERROR(MATCH(V398,INDEX(Boundaries!$B$2:$I$30,MATCH(CJ398,Boundaries!$A$2:$A$30,0),0),1)-1,""))</f>
        <v/>
      </c>
      <c r="X398" s="42" t="str">
        <f aca="false">IF(OR(W398="",$E398=""),"",W398-$E398)</f>
        <v/>
      </c>
      <c r="Y398" s="39"/>
      <c r="Z398" s="40" t="str">
        <f aca="false">IF(OR(Y398="",BW398=""),"",Y398/BW398*100)</f>
        <v/>
      </c>
      <c r="AA398" s="41" t="str">
        <f aca="false">IF(Z398="","",IFERROR(MATCH(Z398,INDEX(Boundaries!$B$2:$I$30,MATCH(CK398,Boundaries!$A$2:$A$30,0),0),1)-1,""))</f>
        <v/>
      </c>
      <c r="AB398" s="42" t="str">
        <f aca="false">IF(OR(AA398="",$E398=""),"",AA398-$E398)</f>
        <v/>
      </c>
      <c r="AC398" s="39"/>
      <c r="AD398" s="40" t="str">
        <f aca="false">IF(OR(AC398="",BX398=""),"",AC398/BX398*100)</f>
        <v/>
      </c>
      <c r="AE398" s="41" t="str">
        <f aca="false">IF(AD398="","",IFERROR(MATCH(AD398,INDEX(Boundaries!$B$2:$I$30,MATCH(CL398,Boundaries!$A$2:$A$30,0),0),1)-1,""))</f>
        <v/>
      </c>
      <c r="AF398" s="42" t="str">
        <f aca="false">IF(OR(AE398="",$E398=""),"",AE398-$E398)</f>
        <v/>
      </c>
      <c r="AG398" s="39"/>
      <c r="AH398" s="40" t="str">
        <f aca="false">IF(OR(AG398="",BY398=""),"",AG398/BY398*100)</f>
        <v/>
      </c>
      <c r="AI398" s="41" t="str">
        <f aca="false">IF(AH398="","",IFERROR(MATCH(AH398,INDEX(Boundaries!$B$2:$I$30,MATCH(CM398,Boundaries!$A$2:$A$30,0),0),1)-1,""))</f>
        <v/>
      </c>
      <c r="AJ398" s="42" t="str">
        <f aca="false">IF(OR(AI398="",$E398=""),"",AI398-$E398)</f>
        <v/>
      </c>
      <c r="AK398" s="39"/>
      <c r="AL398" s="40" t="str">
        <f aca="false">IF(OR(AK398="",BZ398=""),"",AK398/BZ398*100)</f>
        <v/>
      </c>
      <c r="AM398" s="41" t="str">
        <f aca="false">IF(AL398="","",IFERROR(MATCH(AL398,INDEX(Boundaries!$B$2:$I$30,MATCH(CN398,Boundaries!$A$2:$A$30,0),0),1)-1,""))</f>
        <v/>
      </c>
      <c r="AN398" s="42" t="str">
        <f aca="false">IF(OR(AM398="",$E398=""),"",AM398-$E398)</f>
        <v/>
      </c>
      <c r="AO398" s="39"/>
      <c r="AP398" s="40" t="str">
        <f aca="false">IF(OR(AO398="",CA398=""),"",AO398/CA398*100)</f>
        <v/>
      </c>
      <c r="AQ398" s="41" t="str">
        <f aca="false">IF(AP398="","",IFERROR(MATCH(AP398,INDEX(Boundaries!$B$2:$I$30,MATCH(CO398,Boundaries!$A$2:$A$30,0),0),1)-1,""))</f>
        <v/>
      </c>
      <c r="AR398" s="42" t="str">
        <f aca="false">IF(OR(AQ398="",$E398=""),"",AQ398-$E398)</f>
        <v/>
      </c>
      <c r="AS398" s="39"/>
      <c r="AT398" s="40" t="str">
        <f aca="false">IF(OR(AS398="",CB398=""),"",AS398/CB398*100)</f>
        <v/>
      </c>
      <c r="AU398" s="41" t="str">
        <f aca="false">IF(AT398="","",IFERROR(MATCH(AT398,INDEX(Boundaries!$B$2:$I$30,MATCH(CP398,Boundaries!$A$2:$A$30,0),0),1)-1,""))</f>
        <v/>
      </c>
      <c r="AV398" s="42" t="str">
        <f aca="false">IF(OR(AU398="",$E398=""),"",AU398-$E398)</f>
        <v/>
      </c>
      <c r="AW398" s="39"/>
      <c r="AX398" s="40" t="str">
        <f aca="false">IF(OR(AW398="",CC398=""),"",AW398/CC398*100)</f>
        <v/>
      </c>
      <c r="AY398" s="41" t="str">
        <f aca="false">IF(AX398="","",IFERROR(MATCH(AX398,INDEX(Boundaries!$B$2:$I$30,MATCH(CQ398,Boundaries!$A$2:$A$30,0),0),1)-1,""))</f>
        <v/>
      </c>
      <c r="AZ398" s="42" t="str">
        <f aca="false">IF(OR(AY398="",$E398=""),"",AY398-$E398)</f>
        <v/>
      </c>
      <c r="BA398" s="39"/>
      <c r="BB398" s="40" t="str">
        <f aca="false">IF(OR(BA398="",CD398=""),"",BA398/CD398*100)</f>
        <v/>
      </c>
      <c r="BC398" s="41" t="str">
        <f aca="false">IF(BB398="","",IFERROR(MATCH(BB398,INDEX(Boundaries!$B$2:$I$30,MATCH(CR398,Boundaries!$A$2:$A$30,0),0),1)-1,""))</f>
        <v/>
      </c>
      <c r="BD398" s="42" t="str">
        <f aca="false">IF(OR(BC398="",$E398=""),"",BC398-$E398)</f>
        <v/>
      </c>
      <c r="BE398" s="39"/>
      <c r="BF398" s="40" t="str">
        <f aca="false">IF(OR(BE398="",CE398=""),"",BE398/CE398*100)</f>
        <v/>
      </c>
      <c r="BG398" s="41" t="str">
        <f aca="false">IF(BF398="","",IFERROR(MATCH(BF398,INDEX(Boundaries!$B$2:$I$30,MATCH(CS398,Boundaries!$A$2:$A$30,0),0),1)-1,""))</f>
        <v/>
      </c>
      <c r="BH398" s="42" t="str">
        <f aca="false">IF(OR(BG398="",$E398=""),"",BG398-$E398)</f>
        <v/>
      </c>
      <c r="BI398" s="39"/>
      <c r="BJ398" s="40" t="str">
        <f aca="false">IF(OR(BI398="",CF398=""),"",BI398/CF398*100)</f>
        <v/>
      </c>
      <c r="BK398" s="41" t="str">
        <f aca="false">IF(BJ398="","",IFERROR(MATCH(BJ398,INDEX(Boundaries!$B$2:$I$30,MATCH(CT398,Boundaries!$A$2:$A$30,0),0),1)-1,""))</f>
        <v/>
      </c>
      <c r="BL398" s="42" t="str">
        <f aca="false">IF(OR(BK398="",$E398=""),"",BK398-$E398)</f>
        <v/>
      </c>
      <c r="BM398" s="39"/>
      <c r="BN398" s="40" t="str">
        <f aca="false">IF(OR(BM398="",CG398=""),"",BM398/CG398*100)</f>
        <v/>
      </c>
      <c r="BO398" s="41" t="str">
        <f aca="false">IF(BN398="","",IFERROR(MATCH(BN398,INDEX(Boundaries!$B$2:$I$30,MATCH(CU398,Boundaries!$A$2:$A$30,0),0),1)-1,""))</f>
        <v/>
      </c>
      <c r="BP398" s="42" t="str">
        <f aca="false">IF(OR(BO398="",$E398=""),"",BO398-$E398)</f>
        <v/>
      </c>
      <c r="BQ398" s="39"/>
      <c r="BR398" s="40" t="str">
        <f aca="false">IF(OR(BQ398="",CH398=""),"",BQ398/CH398*100)</f>
        <v/>
      </c>
      <c r="BS398" s="41" t="str">
        <f aca="false">IF(BR398="","",IFERROR(MATCH(BR398,INDEX(Boundaries!$B$2:$I$30,MATCH(CV398,Boundaries!$A$2:$A$30,0),0),1)-1,""))</f>
        <v/>
      </c>
      <c r="BT398" s="42" t="str">
        <f aca="false">IF(OR(BS398="",$E398=""),"",BS398-$E398)</f>
        <v/>
      </c>
      <c r="BU398" s="28" t="str">
        <f aca="false">IFERROR(INDEX(Assessments!$H$2:$H$600,MATCH($H398&amp;"|"&amp;$I398&amp;"|"&amp;$J398&amp;"|"&amp;1,Assessments!$A$2:$A$600,0)),"")</f>
        <v/>
      </c>
      <c r="BV398" s="28" t="str">
        <f aca="false">IFERROR(INDEX(Assessments!$H$2:$H$600,MATCH($H398&amp;"|"&amp;$I398&amp;"|"&amp;$J398&amp;"|"&amp;2,Assessments!$A$2:$A$600,0)),"")</f>
        <v/>
      </c>
      <c r="BW398" s="28" t="str">
        <f aca="false">IFERROR(INDEX(Assessments!$H$2:$H$600,MATCH($H398&amp;"|"&amp;$I398&amp;"|"&amp;$J398&amp;"|"&amp;3,Assessments!$A$2:$A$600,0)),"")</f>
        <v/>
      </c>
      <c r="BX398" s="28" t="str">
        <f aca="false">IFERROR(INDEX(Assessments!$H$2:$H$600,MATCH($H398&amp;"|"&amp;$I398&amp;"|"&amp;$J398&amp;"|"&amp;4,Assessments!$A$2:$A$600,0)),"")</f>
        <v/>
      </c>
      <c r="BY398" s="28" t="str">
        <f aca="false">IFERROR(INDEX(Assessments!$H$2:$H$600,MATCH($H398&amp;"|"&amp;$I398&amp;"|"&amp;$J398&amp;"|"&amp;5,Assessments!$A$2:$A$600,0)),"")</f>
        <v/>
      </c>
      <c r="BZ398" s="28" t="str">
        <f aca="false">IFERROR(INDEX(Assessments!$H$2:$H$600,MATCH($H398&amp;"|"&amp;$I398&amp;"|"&amp;$J398&amp;"|"&amp;6,Assessments!$A$2:$A$600,0)),"")</f>
        <v/>
      </c>
      <c r="CA398" s="28" t="str">
        <f aca="false">IFERROR(INDEX(Assessments!$H$2:$H$600,MATCH($H398&amp;"|"&amp;$I398&amp;"|"&amp;$J398&amp;"|"&amp;7,Assessments!$A$2:$A$600,0)),"")</f>
        <v/>
      </c>
      <c r="CB398" s="28" t="str">
        <f aca="false">IFERROR(INDEX(Assessments!$H$2:$H$600,MATCH($H398&amp;"|"&amp;$I398&amp;"|"&amp;$J398&amp;"|"&amp;8,Assessments!$A$2:$A$600,0)),"")</f>
        <v/>
      </c>
      <c r="CC398" s="28" t="str">
        <f aca="false">IFERROR(INDEX(Assessments!$H$2:$H$600,MATCH($H398&amp;"|"&amp;$I398&amp;"|"&amp;$J398&amp;"|"&amp;9,Assessments!$A$2:$A$600,0)),"")</f>
        <v/>
      </c>
      <c r="CD398" s="28" t="str">
        <f aca="false">IFERROR(INDEX(Assessments!$H$2:$H$600,MATCH($H398&amp;"|"&amp;$I398&amp;"|"&amp;$J398&amp;"|"&amp;10,Assessments!$A$2:$A$600,0)),"")</f>
        <v/>
      </c>
      <c r="CE398" s="28" t="str">
        <f aca="false">IFERROR(INDEX(Assessments!$H$2:$H$600,MATCH($H398&amp;"|"&amp;$I398&amp;"|"&amp;$J398&amp;"|"&amp;11,Assessments!$A$2:$A$600,0)),"")</f>
        <v/>
      </c>
      <c r="CF398" s="28" t="str">
        <f aca="false">IFERROR(INDEX(Assessments!$H$2:$H$600,MATCH($H398&amp;"|"&amp;$I398&amp;"|"&amp;$J398&amp;"|"&amp;12,Assessments!$A$2:$A$600,0)),"")</f>
        <v/>
      </c>
      <c r="CG398" s="28" t="str">
        <f aca="false">IFERROR(INDEX(Assessments!$H$2:$H$600,MATCH($H398&amp;"|"&amp;$I398&amp;"|"&amp;$J398&amp;"|"&amp;13,Assessments!$A$2:$A$600,0)),"")</f>
        <v/>
      </c>
      <c r="CH398" s="28" t="str">
        <f aca="false">IFERROR(INDEX(Assessments!$H$2:$H$600,MATCH($H398&amp;"|"&amp;$I398&amp;"|"&amp;$J398&amp;"|"&amp;14,Assessments!$A$2:$A$600,0)),"")</f>
        <v/>
      </c>
      <c r="CI398" s="28" t="str">
        <f aca="false">IFERROR(INDEX(Assessments!$I$2:$I$600,MATCH($H398&amp;"|"&amp;$I398&amp;"|"&amp;$J398&amp;"|"&amp;1,Assessments!$A$2:$A$600,0)),"")</f>
        <v/>
      </c>
      <c r="CJ398" s="28" t="str">
        <f aca="false">IFERROR(INDEX(Assessments!$I$2:$I$600,MATCH($H398&amp;"|"&amp;$I398&amp;"|"&amp;$J398&amp;"|"&amp;2,Assessments!$A$2:$A$600,0)),"")</f>
        <v/>
      </c>
      <c r="CK398" s="28" t="str">
        <f aca="false">IFERROR(INDEX(Assessments!$I$2:$I$600,MATCH($H398&amp;"|"&amp;$I398&amp;"|"&amp;$J398&amp;"|"&amp;3,Assessments!$A$2:$A$600,0)),"")</f>
        <v/>
      </c>
      <c r="CL398" s="28" t="str">
        <f aca="false">IFERROR(INDEX(Assessments!$I$2:$I$600,MATCH($H398&amp;"|"&amp;$I398&amp;"|"&amp;$J398&amp;"|"&amp;4,Assessments!$A$2:$A$600,0)),"")</f>
        <v/>
      </c>
      <c r="CM398" s="28" t="str">
        <f aca="false">IFERROR(INDEX(Assessments!$I$2:$I$600,MATCH($H398&amp;"|"&amp;$I398&amp;"|"&amp;$J398&amp;"|"&amp;5,Assessments!$A$2:$A$600,0)),"")</f>
        <v/>
      </c>
      <c r="CN398" s="28" t="str">
        <f aca="false">IFERROR(INDEX(Assessments!$I$2:$I$600,MATCH($H398&amp;"|"&amp;$I398&amp;"|"&amp;$J398&amp;"|"&amp;6,Assessments!$A$2:$A$600,0)),"")</f>
        <v/>
      </c>
      <c r="CO398" s="28" t="str">
        <f aca="false">IFERROR(INDEX(Assessments!$I$2:$I$600,MATCH($H398&amp;"|"&amp;$I398&amp;"|"&amp;$J398&amp;"|"&amp;7,Assessments!$A$2:$A$600,0)),"")</f>
        <v/>
      </c>
      <c r="CP398" s="28" t="str">
        <f aca="false">IFERROR(INDEX(Assessments!$I$2:$I$600,MATCH($H398&amp;"|"&amp;$I398&amp;"|"&amp;$J398&amp;"|"&amp;8,Assessments!$A$2:$A$600,0)),"")</f>
        <v/>
      </c>
      <c r="CQ398" s="28" t="str">
        <f aca="false">IFERROR(INDEX(Assessments!$I$2:$I$600,MATCH($H398&amp;"|"&amp;$I398&amp;"|"&amp;$J398&amp;"|"&amp;9,Assessments!$A$2:$A$600,0)),"")</f>
        <v/>
      </c>
      <c r="CR398" s="28" t="str">
        <f aca="false">IFERROR(INDEX(Assessments!$I$2:$I$600,MATCH($H398&amp;"|"&amp;$I398&amp;"|"&amp;$J398&amp;"|"&amp;10,Assessments!$A$2:$A$600,0)),"")</f>
        <v/>
      </c>
      <c r="CS398" s="28" t="str">
        <f aca="false">IFERROR(INDEX(Assessments!$I$2:$I$600,MATCH($H398&amp;"|"&amp;$I398&amp;"|"&amp;$J398&amp;"|"&amp;11,Assessments!$A$2:$A$600,0)),"")</f>
        <v/>
      </c>
      <c r="CT398" s="28" t="str">
        <f aca="false">IFERROR(INDEX(Assessments!$I$2:$I$600,MATCH($H398&amp;"|"&amp;$I398&amp;"|"&amp;$J398&amp;"|"&amp;12,Assessments!$A$2:$A$600,0)),"")</f>
        <v/>
      </c>
      <c r="CU398" s="28" t="str">
        <f aca="false">IFERROR(INDEX(Assessments!$I$2:$I$600,MATCH($H398&amp;"|"&amp;$I398&amp;"|"&amp;$J398&amp;"|"&amp;13,Assessments!$A$2:$A$600,0)),"")</f>
        <v/>
      </c>
      <c r="CV398" s="28" t="str">
        <f aca="false">IFERROR(INDEX(Assessments!$I$2:$I$600,MATCH($H398&amp;"|"&amp;$I398&amp;"|"&amp;$J398&amp;"|"&amp;14,Assessments!$A$2:$A$600,0)),"")</f>
        <v/>
      </c>
      <c r="CW398" s="28" t="n">
        <f aca="false">IFERROR(INDEX(Assessments!$J$2:$J$600,MATCH($H398&amp;"|"&amp;$I398&amp;"|"&amp;$J398&amp;"|"&amp;1,Assessments!$A$2:$A$600,0)),0)</f>
        <v>0</v>
      </c>
      <c r="CX398" s="28" t="n">
        <f aca="false">IFERROR(INDEX(Assessments!$J$2:$J$600,MATCH($H398&amp;"|"&amp;$I398&amp;"|"&amp;$J398&amp;"|"&amp;2,Assessments!$A$2:$A$600,0)),0)</f>
        <v>0</v>
      </c>
      <c r="CY398" s="28" t="n">
        <f aca="false">IFERROR(INDEX(Assessments!$J$2:$J$600,MATCH($H398&amp;"|"&amp;$I398&amp;"|"&amp;$J398&amp;"|"&amp;3,Assessments!$A$2:$A$600,0)),0)</f>
        <v>0</v>
      </c>
      <c r="CZ398" s="28" t="n">
        <f aca="false">IFERROR(INDEX(Assessments!$J$2:$J$600,MATCH($H398&amp;"|"&amp;$I398&amp;"|"&amp;$J398&amp;"|"&amp;4,Assessments!$A$2:$A$600,0)),0)</f>
        <v>0</v>
      </c>
      <c r="DA398" s="28" t="n">
        <f aca="false">IFERROR(INDEX(Assessments!$J$2:$J$600,MATCH($H398&amp;"|"&amp;$I398&amp;"|"&amp;$J398&amp;"|"&amp;5,Assessments!$A$2:$A$600,0)),0)</f>
        <v>0</v>
      </c>
      <c r="DB398" s="28" t="n">
        <f aca="false">IFERROR(INDEX(Assessments!$J$2:$J$600,MATCH($H398&amp;"|"&amp;$I398&amp;"|"&amp;$J398&amp;"|"&amp;6,Assessments!$A$2:$A$600,0)),0)</f>
        <v>0</v>
      </c>
      <c r="DC398" s="28" t="n">
        <f aca="false">IFERROR(INDEX(Assessments!$J$2:$J$600,MATCH($H398&amp;"|"&amp;$I398&amp;"|"&amp;$J398&amp;"|"&amp;7,Assessments!$A$2:$A$600,0)),0)</f>
        <v>0</v>
      </c>
      <c r="DD398" s="28" t="n">
        <f aca="false">IFERROR(INDEX(Assessments!$J$2:$J$600,MATCH($H398&amp;"|"&amp;$I398&amp;"|"&amp;$J398&amp;"|"&amp;8,Assessments!$A$2:$A$600,0)),0)</f>
        <v>0</v>
      </c>
      <c r="DE398" s="28" t="n">
        <f aca="false">IFERROR(INDEX(Assessments!$J$2:$J$600,MATCH($H398&amp;"|"&amp;$I398&amp;"|"&amp;$J398&amp;"|"&amp;9,Assessments!$A$2:$A$600,0)),0)</f>
        <v>0</v>
      </c>
      <c r="DF398" s="28" t="n">
        <f aca="false">IFERROR(INDEX(Assessments!$J$2:$J$600,MATCH($H398&amp;"|"&amp;$I398&amp;"|"&amp;$J398&amp;"|"&amp;10,Assessments!$A$2:$A$600,0)),0)</f>
        <v>0</v>
      </c>
      <c r="DG398" s="28" t="n">
        <f aca="false">IFERROR(INDEX(Assessments!$J$2:$J$600,MATCH($H398&amp;"|"&amp;$I398&amp;"|"&amp;$J398&amp;"|"&amp;11,Assessments!$A$2:$A$600,0)),0)</f>
        <v>0</v>
      </c>
      <c r="DH398" s="28" t="n">
        <f aca="false">IFERROR(INDEX(Assessments!$J$2:$J$600,MATCH($H398&amp;"|"&amp;$I398&amp;"|"&amp;$J398&amp;"|"&amp;12,Assessments!$A$2:$A$600,0)),0)</f>
        <v>0</v>
      </c>
      <c r="DI398" s="28" t="n">
        <f aca="false">IFERROR(INDEX(Assessments!$J$2:$J$600,MATCH($H398&amp;"|"&amp;$I398&amp;"|"&amp;$J398&amp;"|"&amp;13,Assessments!$A$2:$A$600,0)),0)</f>
        <v>0</v>
      </c>
      <c r="DJ398" s="28" t="n">
        <f aca="false">IFERROR(INDEX(Assessments!$J$2:$J$600,MATCH($H398&amp;"|"&amp;$I398&amp;"|"&amp;$J398&amp;"|"&amp;14,Assessments!$A$2:$A$600,0)),0)</f>
        <v>0</v>
      </c>
      <c r="DK398" s="28" t="str">
        <f aca="false">S398</f>
        <v/>
      </c>
      <c r="DL398" s="28" t="str">
        <f aca="false">W398</f>
        <v/>
      </c>
      <c r="DM398" s="28" t="str">
        <f aca="false">AA398</f>
        <v/>
      </c>
      <c r="DN398" s="28" t="str">
        <f aca="false">AE398</f>
        <v/>
      </c>
      <c r="DO398" s="28" t="str">
        <f aca="false">AI398</f>
        <v/>
      </c>
      <c r="DP398" s="28" t="str">
        <f aca="false">AM398</f>
        <v/>
      </c>
      <c r="DQ398" s="28" t="str">
        <f aca="false">AQ398</f>
        <v/>
      </c>
      <c r="DR398" s="28" t="str">
        <f aca="false">AU398</f>
        <v/>
      </c>
      <c r="DS398" s="28" t="str">
        <f aca="false">AY398</f>
        <v/>
      </c>
      <c r="DT398" s="28" t="str">
        <f aca="false">BC398</f>
        <v/>
      </c>
      <c r="DU398" s="28" t="str">
        <f aca="false">BG398</f>
        <v/>
      </c>
      <c r="DV398" s="28" t="str">
        <f aca="false">BK398</f>
        <v/>
      </c>
      <c r="DW398" s="28" t="str">
        <f aca="false">BO398</f>
        <v/>
      </c>
      <c r="DX398" s="28" t="str">
        <f aca="false">BS398</f>
        <v/>
      </c>
      <c r="DY398" s="28" t="str">
        <f aca="false">IF(ISNUMBER(S398),1,"")</f>
        <v/>
      </c>
      <c r="DZ398" s="28" t="str">
        <f aca="false">IF(ISNUMBER(W398),2,"")</f>
        <v/>
      </c>
      <c r="EA398" s="28" t="str">
        <f aca="false">IF(ISNUMBER(AA398),3,"")</f>
        <v/>
      </c>
      <c r="EB398" s="28" t="str">
        <f aca="false">IF(ISNUMBER(AE398),4,"")</f>
        <v/>
      </c>
      <c r="EC398" s="28" t="str">
        <f aca="false">IF(ISNUMBER(AI398),5,"")</f>
        <v/>
      </c>
      <c r="ED398" s="28" t="str">
        <f aca="false">IF(ISNUMBER(AM398),6,"")</f>
        <v/>
      </c>
      <c r="EE398" s="28" t="str">
        <f aca="false">IF(ISNUMBER(AQ398),7,"")</f>
        <v/>
      </c>
      <c r="EF398" s="28" t="str">
        <f aca="false">IF(ISNUMBER(AU398),8,"")</f>
        <v/>
      </c>
      <c r="EG398" s="28" t="str">
        <f aca="false">IF(ISNUMBER(AY398),9,"")</f>
        <v/>
      </c>
      <c r="EH398" s="28" t="str">
        <f aca="false">IF(ISNUMBER(BC398),10,"")</f>
        <v/>
      </c>
      <c r="EI398" s="28" t="str">
        <f aca="false">IF(ISNUMBER(BG398),11,"")</f>
        <v/>
      </c>
      <c r="EJ398" s="28" t="str">
        <f aca="false">IF(ISNUMBER(BK398),12,"")</f>
        <v/>
      </c>
      <c r="EK398" s="28" t="str">
        <f aca="false">IF(ISNUMBER(BO398),13,"")</f>
        <v/>
      </c>
      <c r="EL398" s="28" t="str">
        <f aca="false">IF(ISNUMBER(BS398),14,"")</f>
        <v/>
      </c>
      <c r="EM398" s="28" t="n">
        <f aca="false">IF(ISNUMBER(R398),R398*CW398,0)</f>
        <v>0</v>
      </c>
      <c r="EN398" s="28" t="n">
        <f aca="false">IF(ISNUMBER(V398),V398*CX398,0)</f>
        <v>0</v>
      </c>
      <c r="EO398" s="28" t="n">
        <f aca="false">IF(ISNUMBER(Z398),Z398*CY398,0)</f>
        <v>0</v>
      </c>
      <c r="EP398" s="28" t="n">
        <f aca="false">IF(ISNUMBER(AD398),AD398*CZ398,0)</f>
        <v>0</v>
      </c>
      <c r="EQ398" s="28" t="n">
        <f aca="false">IF(ISNUMBER(AH398),AH398*DA398,0)</f>
        <v>0</v>
      </c>
      <c r="ER398" s="28" t="n">
        <f aca="false">IF(ISNUMBER(AL398),AL398*DB398,0)</f>
        <v>0</v>
      </c>
      <c r="ES398" s="28" t="n">
        <f aca="false">IF(ISNUMBER(AP398),AP398*DC398,0)</f>
        <v>0</v>
      </c>
      <c r="ET398" s="28" t="n">
        <f aca="false">IF(ISNUMBER(AT398),AT398*DD398,0)</f>
        <v>0</v>
      </c>
      <c r="EU398" s="28" t="n">
        <f aca="false">IF(ISNUMBER(AX398),AX398*DE398,0)</f>
        <v>0</v>
      </c>
      <c r="EV398" s="28" t="n">
        <f aca="false">IF(ISNUMBER(BB398),BB398*DF398,0)</f>
        <v>0</v>
      </c>
      <c r="EW398" s="28" t="n">
        <f aca="false">IF(ISNUMBER(BF398),BF398*DG398,0)</f>
        <v>0</v>
      </c>
      <c r="EX398" s="28" t="n">
        <f aca="false">IF(ISNUMBER(BJ398),BJ398*DH398,0)</f>
        <v>0</v>
      </c>
      <c r="EY398" s="28" t="n">
        <f aca="false">IF(ISNUMBER(BN398),BN398*DI398,0)</f>
        <v>0</v>
      </c>
      <c r="EZ398" s="28" t="n">
        <f aca="false">IF(ISNUMBER(BR398),BR398*DJ398,0)</f>
        <v>0</v>
      </c>
      <c r="FA398" s="28" t="n">
        <f aca="false">IF(ISNUMBER(R398),CW398,0)</f>
        <v>0</v>
      </c>
      <c r="FB398" s="28" t="n">
        <f aca="false">IF(ISNUMBER(V398),CX398,0)</f>
        <v>0</v>
      </c>
      <c r="FC398" s="28" t="n">
        <f aca="false">IF(ISNUMBER(Z398),CY398,0)</f>
        <v>0</v>
      </c>
      <c r="FD398" s="28" t="n">
        <f aca="false">IF(ISNUMBER(AD398),CZ398,0)</f>
        <v>0</v>
      </c>
      <c r="FE398" s="28" t="n">
        <f aca="false">IF(ISNUMBER(AH398),DA398,0)</f>
        <v>0</v>
      </c>
      <c r="FF398" s="28" t="n">
        <f aca="false">IF(ISNUMBER(AL398),DB398,0)</f>
        <v>0</v>
      </c>
      <c r="FG398" s="28" t="n">
        <f aca="false">IF(ISNUMBER(AP398),DC398,0)</f>
        <v>0</v>
      </c>
      <c r="FH398" s="28" t="n">
        <f aca="false">IF(ISNUMBER(AT398),DD398,0)</f>
        <v>0</v>
      </c>
      <c r="FI398" s="28" t="n">
        <f aca="false">IF(ISNUMBER(AX398),DE398,0)</f>
        <v>0</v>
      </c>
      <c r="FJ398" s="28" t="n">
        <f aca="false">IF(ISNUMBER(BB398),DF398,0)</f>
        <v>0</v>
      </c>
      <c r="FK398" s="28" t="n">
        <f aca="false">IF(ISNUMBER(BF398),DG398,0)</f>
        <v>0</v>
      </c>
      <c r="FL398" s="28" t="n">
        <f aca="false">IF(ISNUMBER(BJ398),DH398,0)</f>
        <v>0</v>
      </c>
      <c r="FM398" s="28" t="n">
        <f aca="false">IF(ISNUMBER(BN398),DI398,0)</f>
        <v>0</v>
      </c>
      <c r="FN398" s="28" t="n">
        <f aca="false">IF(ISNUMBER(BR398),DJ398,0)</f>
        <v>0</v>
      </c>
      <c r="FO398" s="28" t="str">
        <f aca="false">IFERROR(INDEX(Lists!$G$2:$G$20,MATCH($I398&amp;"|"&amp;$J398,Lists!$F$2:$F$20,0)),"")</f>
        <v/>
      </c>
    </row>
    <row r="399" customFormat="false" ht="19.5" hidden="false" customHeight="true" outlineLevel="0" collapsed="false">
      <c r="A399" s="29"/>
      <c r="B399" s="29"/>
      <c r="C399" s="30"/>
      <c r="D399" s="30"/>
      <c r="E399" s="31"/>
      <c r="F399" s="30"/>
      <c r="G399" s="30"/>
      <c r="H399" s="32"/>
      <c r="I399" s="33"/>
      <c r="J399" s="32"/>
      <c r="K399" s="34" t="str">
        <f aca="false">IF(OR(M399="",$E399=""),"",M399-$E399)</f>
        <v/>
      </c>
      <c r="L399" s="35" t="str">
        <f aca="false">IF(SUM(FA399:FN399)=0,"",SUM(EM399:EZ399)/SUM(FA399:FN399))</f>
        <v/>
      </c>
      <c r="M399" s="36" t="str">
        <f aca="false">IF(OR(L399="",FO399=""),"",IFERROR(MATCH(L399,INDEX(Boundaries!$B$2:$I$30,MATCH(FO399,Boundaries!$A$2:$A$30,0),0),1)-1,""))</f>
        <v/>
      </c>
      <c r="N399" s="37" t="str">
        <f aca="false">IF(COUNT($DY399:$EL399)&lt;2,"",INDEX($DK399:$DX399,MAX($DY399:$EL399))-INDEX($DK399:$DX399,MIN($DY399:$EL399)))</f>
        <v/>
      </c>
      <c r="O399" s="37" t="str">
        <f aca="false">IF(COUNT($DY399:$EL399)&lt;2,"",INDEX($DK399:$DX399,MAX($DY399:$EL399))-INDEX($DK399:$DX399,LARGE($DY399:$EL399,2)))</f>
        <v/>
      </c>
      <c r="P399" s="38" t="str">
        <f aca="false">IF(K399="","",IF(K399&gt;=0,"On/above target",IF(AND(N399&lt;&gt;"",N399&gt;=0.5),"Improving towards target",IF(AND(O399&lt;&gt;"",O399&lt;=-0.5),"Declining","Stable below target"))))</f>
        <v/>
      </c>
      <c r="Q399" s="39"/>
      <c r="R399" s="40" t="str">
        <f aca="false">IF(OR(Q399="",BU399=""),"",Q399/BU399*100)</f>
        <v/>
      </c>
      <c r="S399" s="41" t="str">
        <f aca="false">IF(R399="","",IFERROR(MATCH(R399,INDEX(Boundaries!$B$2:$I$30,MATCH(CI399,Boundaries!$A$2:$A$30,0),0),1)-1,""))</f>
        <v/>
      </c>
      <c r="T399" s="42" t="str">
        <f aca="false">IF(OR(S399="",$E399=""),"",S399-$E399)</f>
        <v/>
      </c>
      <c r="U399" s="39"/>
      <c r="V399" s="40" t="str">
        <f aca="false">IF(OR(U399="",BV399=""),"",U399/BV399*100)</f>
        <v/>
      </c>
      <c r="W399" s="41" t="str">
        <f aca="false">IF(V399="","",IFERROR(MATCH(V399,INDEX(Boundaries!$B$2:$I$30,MATCH(CJ399,Boundaries!$A$2:$A$30,0),0),1)-1,""))</f>
        <v/>
      </c>
      <c r="X399" s="42" t="str">
        <f aca="false">IF(OR(W399="",$E399=""),"",W399-$E399)</f>
        <v/>
      </c>
      <c r="Y399" s="39"/>
      <c r="Z399" s="40" t="str">
        <f aca="false">IF(OR(Y399="",BW399=""),"",Y399/BW399*100)</f>
        <v/>
      </c>
      <c r="AA399" s="41" t="str">
        <f aca="false">IF(Z399="","",IFERROR(MATCH(Z399,INDEX(Boundaries!$B$2:$I$30,MATCH(CK399,Boundaries!$A$2:$A$30,0),0),1)-1,""))</f>
        <v/>
      </c>
      <c r="AB399" s="42" t="str">
        <f aca="false">IF(OR(AA399="",$E399=""),"",AA399-$E399)</f>
        <v/>
      </c>
      <c r="AC399" s="39"/>
      <c r="AD399" s="40" t="str">
        <f aca="false">IF(OR(AC399="",BX399=""),"",AC399/BX399*100)</f>
        <v/>
      </c>
      <c r="AE399" s="41" t="str">
        <f aca="false">IF(AD399="","",IFERROR(MATCH(AD399,INDEX(Boundaries!$B$2:$I$30,MATCH(CL399,Boundaries!$A$2:$A$30,0),0),1)-1,""))</f>
        <v/>
      </c>
      <c r="AF399" s="42" t="str">
        <f aca="false">IF(OR(AE399="",$E399=""),"",AE399-$E399)</f>
        <v/>
      </c>
      <c r="AG399" s="39"/>
      <c r="AH399" s="40" t="str">
        <f aca="false">IF(OR(AG399="",BY399=""),"",AG399/BY399*100)</f>
        <v/>
      </c>
      <c r="AI399" s="41" t="str">
        <f aca="false">IF(AH399="","",IFERROR(MATCH(AH399,INDEX(Boundaries!$B$2:$I$30,MATCH(CM399,Boundaries!$A$2:$A$30,0),0),1)-1,""))</f>
        <v/>
      </c>
      <c r="AJ399" s="42" t="str">
        <f aca="false">IF(OR(AI399="",$E399=""),"",AI399-$E399)</f>
        <v/>
      </c>
      <c r="AK399" s="39"/>
      <c r="AL399" s="40" t="str">
        <f aca="false">IF(OR(AK399="",BZ399=""),"",AK399/BZ399*100)</f>
        <v/>
      </c>
      <c r="AM399" s="41" t="str">
        <f aca="false">IF(AL399="","",IFERROR(MATCH(AL399,INDEX(Boundaries!$B$2:$I$30,MATCH(CN399,Boundaries!$A$2:$A$30,0),0),1)-1,""))</f>
        <v/>
      </c>
      <c r="AN399" s="42" t="str">
        <f aca="false">IF(OR(AM399="",$E399=""),"",AM399-$E399)</f>
        <v/>
      </c>
      <c r="AO399" s="39"/>
      <c r="AP399" s="40" t="str">
        <f aca="false">IF(OR(AO399="",CA399=""),"",AO399/CA399*100)</f>
        <v/>
      </c>
      <c r="AQ399" s="41" t="str">
        <f aca="false">IF(AP399="","",IFERROR(MATCH(AP399,INDEX(Boundaries!$B$2:$I$30,MATCH(CO399,Boundaries!$A$2:$A$30,0),0),1)-1,""))</f>
        <v/>
      </c>
      <c r="AR399" s="42" t="str">
        <f aca="false">IF(OR(AQ399="",$E399=""),"",AQ399-$E399)</f>
        <v/>
      </c>
      <c r="AS399" s="39"/>
      <c r="AT399" s="40" t="str">
        <f aca="false">IF(OR(AS399="",CB399=""),"",AS399/CB399*100)</f>
        <v/>
      </c>
      <c r="AU399" s="41" t="str">
        <f aca="false">IF(AT399="","",IFERROR(MATCH(AT399,INDEX(Boundaries!$B$2:$I$30,MATCH(CP399,Boundaries!$A$2:$A$30,0),0),1)-1,""))</f>
        <v/>
      </c>
      <c r="AV399" s="42" t="str">
        <f aca="false">IF(OR(AU399="",$E399=""),"",AU399-$E399)</f>
        <v/>
      </c>
      <c r="AW399" s="39"/>
      <c r="AX399" s="40" t="str">
        <f aca="false">IF(OR(AW399="",CC399=""),"",AW399/CC399*100)</f>
        <v/>
      </c>
      <c r="AY399" s="41" t="str">
        <f aca="false">IF(AX399="","",IFERROR(MATCH(AX399,INDEX(Boundaries!$B$2:$I$30,MATCH(CQ399,Boundaries!$A$2:$A$30,0),0),1)-1,""))</f>
        <v/>
      </c>
      <c r="AZ399" s="42" t="str">
        <f aca="false">IF(OR(AY399="",$E399=""),"",AY399-$E399)</f>
        <v/>
      </c>
      <c r="BA399" s="39"/>
      <c r="BB399" s="40" t="str">
        <f aca="false">IF(OR(BA399="",CD399=""),"",BA399/CD399*100)</f>
        <v/>
      </c>
      <c r="BC399" s="41" t="str">
        <f aca="false">IF(BB399="","",IFERROR(MATCH(BB399,INDEX(Boundaries!$B$2:$I$30,MATCH(CR399,Boundaries!$A$2:$A$30,0),0),1)-1,""))</f>
        <v/>
      </c>
      <c r="BD399" s="42" t="str">
        <f aca="false">IF(OR(BC399="",$E399=""),"",BC399-$E399)</f>
        <v/>
      </c>
      <c r="BE399" s="39"/>
      <c r="BF399" s="40" t="str">
        <f aca="false">IF(OR(BE399="",CE399=""),"",BE399/CE399*100)</f>
        <v/>
      </c>
      <c r="BG399" s="41" t="str">
        <f aca="false">IF(BF399="","",IFERROR(MATCH(BF399,INDEX(Boundaries!$B$2:$I$30,MATCH(CS399,Boundaries!$A$2:$A$30,0),0),1)-1,""))</f>
        <v/>
      </c>
      <c r="BH399" s="42" t="str">
        <f aca="false">IF(OR(BG399="",$E399=""),"",BG399-$E399)</f>
        <v/>
      </c>
      <c r="BI399" s="39"/>
      <c r="BJ399" s="40" t="str">
        <f aca="false">IF(OR(BI399="",CF399=""),"",BI399/CF399*100)</f>
        <v/>
      </c>
      <c r="BK399" s="41" t="str">
        <f aca="false">IF(BJ399="","",IFERROR(MATCH(BJ399,INDEX(Boundaries!$B$2:$I$30,MATCH(CT399,Boundaries!$A$2:$A$30,0),0),1)-1,""))</f>
        <v/>
      </c>
      <c r="BL399" s="42" t="str">
        <f aca="false">IF(OR(BK399="",$E399=""),"",BK399-$E399)</f>
        <v/>
      </c>
      <c r="BM399" s="39"/>
      <c r="BN399" s="40" t="str">
        <f aca="false">IF(OR(BM399="",CG399=""),"",BM399/CG399*100)</f>
        <v/>
      </c>
      <c r="BO399" s="41" t="str">
        <f aca="false">IF(BN399="","",IFERROR(MATCH(BN399,INDEX(Boundaries!$B$2:$I$30,MATCH(CU399,Boundaries!$A$2:$A$30,0),0),1)-1,""))</f>
        <v/>
      </c>
      <c r="BP399" s="42" t="str">
        <f aca="false">IF(OR(BO399="",$E399=""),"",BO399-$E399)</f>
        <v/>
      </c>
      <c r="BQ399" s="39"/>
      <c r="BR399" s="40" t="str">
        <f aca="false">IF(OR(BQ399="",CH399=""),"",BQ399/CH399*100)</f>
        <v/>
      </c>
      <c r="BS399" s="41" t="str">
        <f aca="false">IF(BR399="","",IFERROR(MATCH(BR399,INDEX(Boundaries!$B$2:$I$30,MATCH(CV399,Boundaries!$A$2:$A$30,0),0),1)-1,""))</f>
        <v/>
      </c>
      <c r="BT399" s="42" t="str">
        <f aca="false">IF(OR(BS399="",$E399=""),"",BS399-$E399)</f>
        <v/>
      </c>
      <c r="BU399" s="28" t="str">
        <f aca="false">IFERROR(INDEX(Assessments!$H$2:$H$600,MATCH($H399&amp;"|"&amp;$I399&amp;"|"&amp;$J399&amp;"|"&amp;1,Assessments!$A$2:$A$600,0)),"")</f>
        <v/>
      </c>
      <c r="BV399" s="28" t="str">
        <f aca="false">IFERROR(INDEX(Assessments!$H$2:$H$600,MATCH($H399&amp;"|"&amp;$I399&amp;"|"&amp;$J399&amp;"|"&amp;2,Assessments!$A$2:$A$600,0)),"")</f>
        <v/>
      </c>
      <c r="BW399" s="28" t="str">
        <f aca="false">IFERROR(INDEX(Assessments!$H$2:$H$600,MATCH($H399&amp;"|"&amp;$I399&amp;"|"&amp;$J399&amp;"|"&amp;3,Assessments!$A$2:$A$600,0)),"")</f>
        <v/>
      </c>
      <c r="BX399" s="28" t="str">
        <f aca="false">IFERROR(INDEX(Assessments!$H$2:$H$600,MATCH($H399&amp;"|"&amp;$I399&amp;"|"&amp;$J399&amp;"|"&amp;4,Assessments!$A$2:$A$600,0)),"")</f>
        <v/>
      </c>
      <c r="BY399" s="28" t="str">
        <f aca="false">IFERROR(INDEX(Assessments!$H$2:$H$600,MATCH($H399&amp;"|"&amp;$I399&amp;"|"&amp;$J399&amp;"|"&amp;5,Assessments!$A$2:$A$600,0)),"")</f>
        <v/>
      </c>
      <c r="BZ399" s="28" t="str">
        <f aca="false">IFERROR(INDEX(Assessments!$H$2:$H$600,MATCH($H399&amp;"|"&amp;$I399&amp;"|"&amp;$J399&amp;"|"&amp;6,Assessments!$A$2:$A$600,0)),"")</f>
        <v/>
      </c>
      <c r="CA399" s="28" t="str">
        <f aca="false">IFERROR(INDEX(Assessments!$H$2:$H$600,MATCH($H399&amp;"|"&amp;$I399&amp;"|"&amp;$J399&amp;"|"&amp;7,Assessments!$A$2:$A$600,0)),"")</f>
        <v/>
      </c>
      <c r="CB399" s="28" t="str">
        <f aca="false">IFERROR(INDEX(Assessments!$H$2:$H$600,MATCH($H399&amp;"|"&amp;$I399&amp;"|"&amp;$J399&amp;"|"&amp;8,Assessments!$A$2:$A$600,0)),"")</f>
        <v/>
      </c>
      <c r="CC399" s="28" t="str">
        <f aca="false">IFERROR(INDEX(Assessments!$H$2:$H$600,MATCH($H399&amp;"|"&amp;$I399&amp;"|"&amp;$J399&amp;"|"&amp;9,Assessments!$A$2:$A$600,0)),"")</f>
        <v/>
      </c>
      <c r="CD399" s="28" t="str">
        <f aca="false">IFERROR(INDEX(Assessments!$H$2:$H$600,MATCH($H399&amp;"|"&amp;$I399&amp;"|"&amp;$J399&amp;"|"&amp;10,Assessments!$A$2:$A$600,0)),"")</f>
        <v/>
      </c>
      <c r="CE399" s="28" t="str">
        <f aca="false">IFERROR(INDEX(Assessments!$H$2:$H$600,MATCH($H399&amp;"|"&amp;$I399&amp;"|"&amp;$J399&amp;"|"&amp;11,Assessments!$A$2:$A$600,0)),"")</f>
        <v/>
      </c>
      <c r="CF399" s="28" t="str">
        <f aca="false">IFERROR(INDEX(Assessments!$H$2:$H$600,MATCH($H399&amp;"|"&amp;$I399&amp;"|"&amp;$J399&amp;"|"&amp;12,Assessments!$A$2:$A$600,0)),"")</f>
        <v/>
      </c>
      <c r="CG399" s="28" t="str">
        <f aca="false">IFERROR(INDEX(Assessments!$H$2:$H$600,MATCH($H399&amp;"|"&amp;$I399&amp;"|"&amp;$J399&amp;"|"&amp;13,Assessments!$A$2:$A$600,0)),"")</f>
        <v/>
      </c>
      <c r="CH399" s="28" t="str">
        <f aca="false">IFERROR(INDEX(Assessments!$H$2:$H$600,MATCH($H399&amp;"|"&amp;$I399&amp;"|"&amp;$J399&amp;"|"&amp;14,Assessments!$A$2:$A$600,0)),"")</f>
        <v/>
      </c>
      <c r="CI399" s="28" t="str">
        <f aca="false">IFERROR(INDEX(Assessments!$I$2:$I$600,MATCH($H399&amp;"|"&amp;$I399&amp;"|"&amp;$J399&amp;"|"&amp;1,Assessments!$A$2:$A$600,0)),"")</f>
        <v/>
      </c>
      <c r="CJ399" s="28" t="str">
        <f aca="false">IFERROR(INDEX(Assessments!$I$2:$I$600,MATCH($H399&amp;"|"&amp;$I399&amp;"|"&amp;$J399&amp;"|"&amp;2,Assessments!$A$2:$A$600,0)),"")</f>
        <v/>
      </c>
      <c r="CK399" s="28" t="str">
        <f aca="false">IFERROR(INDEX(Assessments!$I$2:$I$600,MATCH($H399&amp;"|"&amp;$I399&amp;"|"&amp;$J399&amp;"|"&amp;3,Assessments!$A$2:$A$600,0)),"")</f>
        <v/>
      </c>
      <c r="CL399" s="28" t="str">
        <f aca="false">IFERROR(INDEX(Assessments!$I$2:$I$600,MATCH($H399&amp;"|"&amp;$I399&amp;"|"&amp;$J399&amp;"|"&amp;4,Assessments!$A$2:$A$600,0)),"")</f>
        <v/>
      </c>
      <c r="CM399" s="28" t="str">
        <f aca="false">IFERROR(INDEX(Assessments!$I$2:$I$600,MATCH($H399&amp;"|"&amp;$I399&amp;"|"&amp;$J399&amp;"|"&amp;5,Assessments!$A$2:$A$600,0)),"")</f>
        <v/>
      </c>
      <c r="CN399" s="28" t="str">
        <f aca="false">IFERROR(INDEX(Assessments!$I$2:$I$600,MATCH($H399&amp;"|"&amp;$I399&amp;"|"&amp;$J399&amp;"|"&amp;6,Assessments!$A$2:$A$600,0)),"")</f>
        <v/>
      </c>
      <c r="CO399" s="28" t="str">
        <f aca="false">IFERROR(INDEX(Assessments!$I$2:$I$600,MATCH($H399&amp;"|"&amp;$I399&amp;"|"&amp;$J399&amp;"|"&amp;7,Assessments!$A$2:$A$600,0)),"")</f>
        <v/>
      </c>
      <c r="CP399" s="28" t="str">
        <f aca="false">IFERROR(INDEX(Assessments!$I$2:$I$600,MATCH($H399&amp;"|"&amp;$I399&amp;"|"&amp;$J399&amp;"|"&amp;8,Assessments!$A$2:$A$600,0)),"")</f>
        <v/>
      </c>
      <c r="CQ399" s="28" t="str">
        <f aca="false">IFERROR(INDEX(Assessments!$I$2:$I$600,MATCH($H399&amp;"|"&amp;$I399&amp;"|"&amp;$J399&amp;"|"&amp;9,Assessments!$A$2:$A$600,0)),"")</f>
        <v/>
      </c>
      <c r="CR399" s="28" t="str">
        <f aca="false">IFERROR(INDEX(Assessments!$I$2:$I$600,MATCH($H399&amp;"|"&amp;$I399&amp;"|"&amp;$J399&amp;"|"&amp;10,Assessments!$A$2:$A$600,0)),"")</f>
        <v/>
      </c>
      <c r="CS399" s="28" t="str">
        <f aca="false">IFERROR(INDEX(Assessments!$I$2:$I$600,MATCH($H399&amp;"|"&amp;$I399&amp;"|"&amp;$J399&amp;"|"&amp;11,Assessments!$A$2:$A$600,0)),"")</f>
        <v/>
      </c>
      <c r="CT399" s="28" t="str">
        <f aca="false">IFERROR(INDEX(Assessments!$I$2:$I$600,MATCH($H399&amp;"|"&amp;$I399&amp;"|"&amp;$J399&amp;"|"&amp;12,Assessments!$A$2:$A$600,0)),"")</f>
        <v/>
      </c>
      <c r="CU399" s="28" t="str">
        <f aca="false">IFERROR(INDEX(Assessments!$I$2:$I$600,MATCH($H399&amp;"|"&amp;$I399&amp;"|"&amp;$J399&amp;"|"&amp;13,Assessments!$A$2:$A$600,0)),"")</f>
        <v/>
      </c>
      <c r="CV399" s="28" t="str">
        <f aca="false">IFERROR(INDEX(Assessments!$I$2:$I$600,MATCH($H399&amp;"|"&amp;$I399&amp;"|"&amp;$J399&amp;"|"&amp;14,Assessments!$A$2:$A$600,0)),"")</f>
        <v/>
      </c>
      <c r="CW399" s="28" t="n">
        <f aca="false">IFERROR(INDEX(Assessments!$J$2:$J$600,MATCH($H399&amp;"|"&amp;$I399&amp;"|"&amp;$J399&amp;"|"&amp;1,Assessments!$A$2:$A$600,0)),0)</f>
        <v>0</v>
      </c>
      <c r="CX399" s="28" t="n">
        <f aca="false">IFERROR(INDEX(Assessments!$J$2:$J$600,MATCH($H399&amp;"|"&amp;$I399&amp;"|"&amp;$J399&amp;"|"&amp;2,Assessments!$A$2:$A$600,0)),0)</f>
        <v>0</v>
      </c>
      <c r="CY399" s="28" t="n">
        <f aca="false">IFERROR(INDEX(Assessments!$J$2:$J$600,MATCH($H399&amp;"|"&amp;$I399&amp;"|"&amp;$J399&amp;"|"&amp;3,Assessments!$A$2:$A$600,0)),0)</f>
        <v>0</v>
      </c>
      <c r="CZ399" s="28" t="n">
        <f aca="false">IFERROR(INDEX(Assessments!$J$2:$J$600,MATCH($H399&amp;"|"&amp;$I399&amp;"|"&amp;$J399&amp;"|"&amp;4,Assessments!$A$2:$A$600,0)),0)</f>
        <v>0</v>
      </c>
      <c r="DA399" s="28" t="n">
        <f aca="false">IFERROR(INDEX(Assessments!$J$2:$J$600,MATCH($H399&amp;"|"&amp;$I399&amp;"|"&amp;$J399&amp;"|"&amp;5,Assessments!$A$2:$A$600,0)),0)</f>
        <v>0</v>
      </c>
      <c r="DB399" s="28" t="n">
        <f aca="false">IFERROR(INDEX(Assessments!$J$2:$J$600,MATCH($H399&amp;"|"&amp;$I399&amp;"|"&amp;$J399&amp;"|"&amp;6,Assessments!$A$2:$A$600,0)),0)</f>
        <v>0</v>
      </c>
      <c r="DC399" s="28" t="n">
        <f aca="false">IFERROR(INDEX(Assessments!$J$2:$J$600,MATCH($H399&amp;"|"&amp;$I399&amp;"|"&amp;$J399&amp;"|"&amp;7,Assessments!$A$2:$A$600,0)),0)</f>
        <v>0</v>
      </c>
      <c r="DD399" s="28" t="n">
        <f aca="false">IFERROR(INDEX(Assessments!$J$2:$J$600,MATCH($H399&amp;"|"&amp;$I399&amp;"|"&amp;$J399&amp;"|"&amp;8,Assessments!$A$2:$A$600,0)),0)</f>
        <v>0</v>
      </c>
      <c r="DE399" s="28" t="n">
        <f aca="false">IFERROR(INDEX(Assessments!$J$2:$J$600,MATCH($H399&amp;"|"&amp;$I399&amp;"|"&amp;$J399&amp;"|"&amp;9,Assessments!$A$2:$A$600,0)),0)</f>
        <v>0</v>
      </c>
      <c r="DF399" s="28" t="n">
        <f aca="false">IFERROR(INDEX(Assessments!$J$2:$J$600,MATCH($H399&amp;"|"&amp;$I399&amp;"|"&amp;$J399&amp;"|"&amp;10,Assessments!$A$2:$A$600,0)),0)</f>
        <v>0</v>
      </c>
      <c r="DG399" s="28" t="n">
        <f aca="false">IFERROR(INDEX(Assessments!$J$2:$J$600,MATCH($H399&amp;"|"&amp;$I399&amp;"|"&amp;$J399&amp;"|"&amp;11,Assessments!$A$2:$A$600,0)),0)</f>
        <v>0</v>
      </c>
      <c r="DH399" s="28" t="n">
        <f aca="false">IFERROR(INDEX(Assessments!$J$2:$J$600,MATCH($H399&amp;"|"&amp;$I399&amp;"|"&amp;$J399&amp;"|"&amp;12,Assessments!$A$2:$A$600,0)),0)</f>
        <v>0</v>
      </c>
      <c r="DI399" s="28" t="n">
        <f aca="false">IFERROR(INDEX(Assessments!$J$2:$J$600,MATCH($H399&amp;"|"&amp;$I399&amp;"|"&amp;$J399&amp;"|"&amp;13,Assessments!$A$2:$A$600,0)),0)</f>
        <v>0</v>
      </c>
      <c r="DJ399" s="28" t="n">
        <f aca="false">IFERROR(INDEX(Assessments!$J$2:$J$600,MATCH($H399&amp;"|"&amp;$I399&amp;"|"&amp;$J399&amp;"|"&amp;14,Assessments!$A$2:$A$600,0)),0)</f>
        <v>0</v>
      </c>
      <c r="DK399" s="28" t="str">
        <f aca="false">S399</f>
        <v/>
      </c>
      <c r="DL399" s="28" t="str">
        <f aca="false">W399</f>
        <v/>
      </c>
      <c r="DM399" s="28" t="str">
        <f aca="false">AA399</f>
        <v/>
      </c>
      <c r="DN399" s="28" t="str">
        <f aca="false">AE399</f>
        <v/>
      </c>
      <c r="DO399" s="28" t="str">
        <f aca="false">AI399</f>
        <v/>
      </c>
      <c r="DP399" s="28" t="str">
        <f aca="false">AM399</f>
        <v/>
      </c>
      <c r="DQ399" s="28" t="str">
        <f aca="false">AQ399</f>
        <v/>
      </c>
      <c r="DR399" s="28" t="str">
        <f aca="false">AU399</f>
        <v/>
      </c>
      <c r="DS399" s="28" t="str">
        <f aca="false">AY399</f>
        <v/>
      </c>
      <c r="DT399" s="28" t="str">
        <f aca="false">BC399</f>
        <v/>
      </c>
      <c r="DU399" s="28" t="str">
        <f aca="false">BG399</f>
        <v/>
      </c>
      <c r="DV399" s="28" t="str">
        <f aca="false">BK399</f>
        <v/>
      </c>
      <c r="DW399" s="28" t="str">
        <f aca="false">BO399</f>
        <v/>
      </c>
      <c r="DX399" s="28" t="str">
        <f aca="false">BS399</f>
        <v/>
      </c>
      <c r="DY399" s="28" t="str">
        <f aca="false">IF(ISNUMBER(S399),1,"")</f>
        <v/>
      </c>
      <c r="DZ399" s="28" t="str">
        <f aca="false">IF(ISNUMBER(W399),2,"")</f>
        <v/>
      </c>
      <c r="EA399" s="28" t="str">
        <f aca="false">IF(ISNUMBER(AA399),3,"")</f>
        <v/>
      </c>
      <c r="EB399" s="28" t="str">
        <f aca="false">IF(ISNUMBER(AE399),4,"")</f>
        <v/>
      </c>
      <c r="EC399" s="28" t="str">
        <f aca="false">IF(ISNUMBER(AI399),5,"")</f>
        <v/>
      </c>
      <c r="ED399" s="28" t="str">
        <f aca="false">IF(ISNUMBER(AM399),6,"")</f>
        <v/>
      </c>
      <c r="EE399" s="28" t="str">
        <f aca="false">IF(ISNUMBER(AQ399),7,"")</f>
        <v/>
      </c>
      <c r="EF399" s="28" t="str">
        <f aca="false">IF(ISNUMBER(AU399),8,"")</f>
        <v/>
      </c>
      <c r="EG399" s="28" t="str">
        <f aca="false">IF(ISNUMBER(AY399),9,"")</f>
        <v/>
      </c>
      <c r="EH399" s="28" t="str">
        <f aca="false">IF(ISNUMBER(BC399),10,"")</f>
        <v/>
      </c>
      <c r="EI399" s="28" t="str">
        <f aca="false">IF(ISNUMBER(BG399),11,"")</f>
        <v/>
      </c>
      <c r="EJ399" s="28" t="str">
        <f aca="false">IF(ISNUMBER(BK399),12,"")</f>
        <v/>
      </c>
      <c r="EK399" s="28" t="str">
        <f aca="false">IF(ISNUMBER(BO399),13,"")</f>
        <v/>
      </c>
      <c r="EL399" s="28" t="str">
        <f aca="false">IF(ISNUMBER(BS399),14,"")</f>
        <v/>
      </c>
      <c r="EM399" s="28" t="n">
        <f aca="false">IF(ISNUMBER(R399),R399*CW399,0)</f>
        <v>0</v>
      </c>
      <c r="EN399" s="28" t="n">
        <f aca="false">IF(ISNUMBER(V399),V399*CX399,0)</f>
        <v>0</v>
      </c>
      <c r="EO399" s="28" t="n">
        <f aca="false">IF(ISNUMBER(Z399),Z399*CY399,0)</f>
        <v>0</v>
      </c>
      <c r="EP399" s="28" t="n">
        <f aca="false">IF(ISNUMBER(AD399),AD399*CZ399,0)</f>
        <v>0</v>
      </c>
      <c r="EQ399" s="28" t="n">
        <f aca="false">IF(ISNUMBER(AH399),AH399*DA399,0)</f>
        <v>0</v>
      </c>
      <c r="ER399" s="28" t="n">
        <f aca="false">IF(ISNUMBER(AL399),AL399*DB399,0)</f>
        <v>0</v>
      </c>
      <c r="ES399" s="28" t="n">
        <f aca="false">IF(ISNUMBER(AP399),AP399*DC399,0)</f>
        <v>0</v>
      </c>
      <c r="ET399" s="28" t="n">
        <f aca="false">IF(ISNUMBER(AT399),AT399*DD399,0)</f>
        <v>0</v>
      </c>
      <c r="EU399" s="28" t="n">
        <f aca="false">IF(ISNUMBER(AX399),AX399*DE399,0)</f>
        <v>0</v>
      </c>
      <c r="EV399" s="28" t="n">
        <f aca="false">IF(ISNUMBER(BB399),BB399*DF399,0)</f>
        <v>0</v>
      </c>
      <c r="EW399" s="28" t="n">
        <f aca="false">IF(ISNUMBER(BF399),BF399*DG399,0)</f>
        <v>0</v>
      </c>
      <c r="EX399" s="28" t="n">
        <f aca="false">IF(ISNUMBER(BJ399),BJ399*DH399,0)</f>
        <v>0</v>
      </c>
      <c r="EY399" s="28" t="n">
        <f aca="false">IF(ISNUMBER(BN399),BN399*DI399,0)</f>
        <v>0</v>
      </c>
      <c r="EZ399" s="28" t="n">
        <f aca="false">IF(ISNUMBER(BR399),BR399*DJ399,0)</f>
        <v>0</v>
      </c>
      <c r="FA399" s="28" t="n">
        <f aca="false">IF(ISNUMBER(R399),CW399,0)</f>
        <v>0</v>
      </c>
      <c r="FB399" s="28" t="n">
        <f aca="false">IF(ISNUMBER(V399),CX399,0)</f>
        <v>0</v>
      </c>
      <c r="FC399" s="28" t="n">
        <f aca="false">IF(ISNUMBER(Z399),CY399,0)</f>
        <v>0</v>
      </c>
      <c r="FD399" s="28" t="n">
        <f aca="false">IF(ISNUMBER(AD399),CZ399,0)</f>
        <v>0</v>
      </c>
      <c r="FE399" s="28" t="n">
        <f aca="false">IF(ISNUMBER(AH399),DA399,0)</f>
        <v>0</v>
      </c>
      <c r="FF399" s="28" t="n">
        <f aca="false">IF(ISNUMBER(AL399),DB399,0)</f>
        <v>0</v>
      </c>
      <c r="FG399" s="28" t="n">
        <f aca="false">IF(ISNUMBER(AP399),DC399,0)</f>
        <v>0</v>
      </c>
      <c r="FH399" s="28" t="n">
        <f aca="false">IF(ISNUMBER(AT399),DD399,0)</f>
        <v>0</v>
      </c>
      <c r="FI399" s="28" t="n">
        <f aca="false">IF(ISNUMBER(AX399),DE399,0)</f>
        <v>0</v>
      </c>
      <c r="FJ399" s="28" t="n">
        <f aca="false">IF(ISNUMBER(BB399),DF399,0)</f>
        <v>0</v>
      </c>
      <c r="FK399" s="28" t="n">
        <f aca="false">IF(ISNUMBER(BF399),DG399,0)</f>
        <v>0</v>
      </c>
      <c r="FL399" s="28" t="n">
        <f aca="false">IF(ISNUMBER(BJ399),DH399,0)</f>
        <v>0</v>
      </c>
      <c r="FM399" s="28" t="n">
        <f aca="false">IF(ISNUMBER(BN399),DI399,0)</f>
        <v>0</v>
      </c>
      <c r="FN399" s="28" t="n">
        <f aca="false">IF(ISNUMBER(BR399),DJ399,0)</f>
        <v>0</v>
      </c>
      <c r="FO399" s="28" t="str">
        <f aca="false">IFERROR(INDEX(Lists!$G$2:$G$20,MATCH($I399&amp;"|"&amp;$J399,Lists!$F$2:$F$20,0)),"")</f>
        <v/>
      </c>
    </row>
    <row r="400" customFormat="false" ht="19.5" hidden="false" customHeight="true" outlineLevel="0" collapsed="false">
      <c r="A400" s="29"/>
      <c r="B400" s="29"/>
      <c r="C400" s="30"/>
      <c r="D400" s="30"/>
      <c r="E400" s="31"/>
      <c r="F400" s="30"/>
      <c r="G400" s="30"/>
      <c r="H400" s="32"/>
      <c r="I400" s="33"/>
      <c r="J400" s="32"/>
      <c r="K400" s="34" t="str">
        <f aca="false">IF(OR(M400="",$E400=""),"",M400-$E400)</f>
        <v/>
      </c>
      <c r="L400" s="35" t="str">
        <f aca="false">IF(SUM(FA400:FN400)=0,"",SUM(EM400:EZ400)/SUM(FA400:FN400))</f>
        <v/>
      </c>
      <c r="M400" s="36" t="str">
        <f aca="false">IF(OR(L400="",FO400=""),"",IFERROR(MATCH(L400,INDEX(Boundaries!$B$2:$I$30,MATCH(FO400,Boundaries!$A$2:$A$30,0),0),1)-1,""))</f>
        <v/>
      </c>
      <c r="N400" s="37" t="str">
        <f aca="false">IF(COUNT($DY400:$EL400)&lt;2,"",INDEX($DK400:$DX400,MAX($DY400:$EL400))-INDEX($DK400:$DX400,MIN($DY400:$EL400)))</f>
        <v/>
      </c>
      <c r="O400" s="37" t="str">
        <f aca="false">IF(COUNT($DY400:$EL400)&lt;2,"",INDEX($DK400:$DX400,MAX($DY400:$EL400))-INDEX($DK400:$DX400,LARGE($DY400:$EL400,2)))</f>
        <v/>
      </c>
      <c r="P400" s="38" t="str">
        <f aca="false">IF(K400="","",IF(K400&gt;=0,"On/above target",IF(AND(N400&lt;&gt;"",N400&gt;=0.5),"Improving towards target",IF(AND(O400&lt;&gt;"",O400&lt;=-0.5),"Declining","Stable below target"))))</f>
        <v/>
      </c>
      <c r="Q400" s="39"/>
      <c r="R400" s="40" t="str">
        <f aca="false">IF(OR(Q400="",BU400=""),"",Q400/BU400*100)</f>
        <v/>
      </c>
      <c r="S400" s="41" t="str">
        <f aca="false">IF(R400="","",IFERROR(MATCH(R400,INDEX(Boundaries!$B$2:$I$30,MATCH(CI400,Boundaries!$A$2:$A$30,0),0),1)-1,""))</f>
        <v/>
      </c>
      <c r="T400" s="42" t="str">
        <f aca="false">IF(OR(S400="",$E400=""),"",S400-$E400)</f>
        <v/>
      </c>
      <c r="U400" s="39"/>
      <c r="V400" s="40" t="str">
        <f aca="false">IF(OR(U400="",BV400=""),"",U400/BV400*100)</f>
        <v/>
      </c>
      <c r="W400" s="41" t="str">
        <f aca="false">IF(V400="","",IFERROR(MATCH(V400,INDEX(Boundaries!$B$2:$I$30,MATCH(CJ400,Boundaries!$A$2:$A$30,0),0),1)-1,""))</f>
        <v/>
      </c>
      <c r="X400" s="42" t="str">
        <f aca="false">IF(OR(W400="",$E400=""),"",W400-$E400)</f>
        <v/>
      </c>
      <c r="Y400" s="39"/>
      <c r="Z400" s="40" t="str">
        <f aca="false">IF(OR(Y400="",BW400=""),"",Y400/BW400*100)</f>
        <v/>
      </c>
      <c r="AA400" s="41" t="str">
        <f aca="false">IF(Z400="","",IFERROR(MATCH(Z400,INDEX(Boundaries!$B$2:$I$30,MATCH(CK400,Boundaries!$A$2:$A$30,0),0),1)-1,""))</f>
        <v/>
      </c>
      <c r="AB400" s="42" t="str">
        <f aca="false">IF(OR(AA400="",$E400=""),"",AA400-$E400)</f>
        <v/>
      </c>
      <c r="AC400" s="39"/>
      <c r="AD400" s="40" t="str">
        <f aca="false">IF(OR(AC400="",BX400=""),"",AC400/BX400*100)</f>
        <v/>
      </c>
      <c r="AE400" s="41" t="str">
        <f aca="false">IF(AD400="","",IFERROR(MATCH(AD400,INDEX(Boundaries!$B$2:$I$30,MATCH(CL400,Boundaries!$A$2:$A$30,0),0),1)-1,""))</f>
        <v/>
      </c>
      <c r="AF400" s="42" t="str">
        <f aca="false">IF(OR(AE400="",$E400=""),"",AE400-$E400)</f>
        <v/>
      </c>
      <c r="AG400" s="39"/>
      <c r="AH400" s="40" t="str">
        <f aca="false">IF(OR(AG400="",BY400=""),"",AG400/BY400*100)</f>
        <v/>
      </c>
      <c r="AI400" s="41" t="str">
        <f aca="false">IF(AH400="","",IFERROR(MATCH(AH400,INDEX(Boundaries!$B$2:$I$30,MATCH(CM400,Boundaries!$A$2:$A$30,0),0),1)-1,""))</f>
        <v/>
      </c>
      <c r="AJ400" s="42" t="str">
        <f aca="false">IF(OR(AI400="",$E400=""),"",AI400-$E400)</f>
        <v/>
      </c>
      <c r="AK400" s="39"/>
      <c r="AL400" s="40" t="str">
        <f aca="false">IF(OR(AK400="",BZ400=""),"",AK400/BZ400*100)</f>
        <v/>
      </c>
      <c r="AM400" s="41" t="str">
        <f aca="false">IF(AL400="","",IFERROR(MATCH(AL400,INDEX(Boundaries!$B$2:$I$30,MATCH(CN400,Boundaries!$A$2:$A$30,0),0),1)-1,""))</f>
        <v/>
      </c>
      <c r="AN400" s="42" t="str">
        <f aca="false">IF(OR(AM400="",$E400=""),"",AM400-$E400)</f>
        <v/>
      </c>
      <c r="AO400" s="39"/>
      <c r="AP400" s="40" t="str">
        <f aca="false">IF(OR(AO400="",CA400=""),"",AO400/CA400*100)</f>
        <v/>
      </c>
      <c r="AQ400" s="41" t="str">
        <f aca="false">IF(AP400="","",IFERROR(MATCH(AP400,INDEX(Boundaries!$B$2:$I$30,MATCH(CO400,Boundaries!$A$2:$A$30,0),0),1)-1,""))</f>
        <v/>
      </c>
      <c r="AR400" s="42" t="str">
        <f aca="false">IF(OR(AQ400="",$E400=""),"",AQ400-$E400)</f>
        <v/>
      </c>
      <c r="AS400" s="39"/>
      <c r="AT400" s="40" t="str">
        <f aca="false">IF(OR(AS400="",CB400=""),"",AS400/CB400*100)</f>
        <v/>
      </c>
      <c r="AU400" s="41" t="str">
        <f aca="false">IF(AT400="","",IFERROR(MATCH(AT400,INDEX(Boundaries!$B$2:$I$30,MATCH(CP400,Boundaries!$A$2:$A$30,0),0),1)-1,""))</f>
        <v/>
      </c>
      <c r="AV400" s="42" t="str">
        <f aca="false">IF(OR(AU400="",$E400=""),"",AU400-$E400)</f>
        <v/>
      </c>
      <c r="AW400" s="39"/>
      <c r="AX400" s="40" t="str">
        <f aca="false">IF(OR(AW400="",CC400=""),"",AW400/CC400*100)</f>
        <v/>
      </c>
      <c r="AY400" s="41" t="str">
        <f aca="false">IF(AX400="","",IFERROR(MATCH(AX400,INDEX(Boundaries!$B$2:$I$30,MATCH(CQ400,Boundaries!$A$2:$A$30,0),0),1)-1,""))</f>
        <v/>
      </c>
      <c r="AZ400" s="42" t="str">
        <f aca="false">IF(OR(AY400="",$E400=""),"",AY400-$E400)</f>
        <v/>
      </c>
      <c r="BA400" s="39"/>
      <c r="BB400" s="40" t="str">
        <f aca="false">IF(OR(BA400="",CD400=""),"",BA400/CD400*100)</f>
        <v/>
      </c>
      <c r="BC400" s="41" t="str">
        <f aca="false">IF(BB400="","",IFERROR(MATCH(BB400,INDEX(Boundaries!$B$2:$I$30,MATCH(CR400,Boundaries!$A$2:$A$30,0),0),1)-1,""))</f>
        <v/>
      </c>
      <c r="BD400" s="42" t="str">
        <f aca="false">IF(OR(BC400="",$E400=""),"",BC400-$E400)</f>
        <v/>
      </c>
      <c r="BE400" s="39"/>
      <c r="BF400" s="40" t="str">
        <f aca="false">IF(OR(BE400="",CE400=""),"",BE400/CE400*100)</f>
        <v/>
      </c>
      <c r="BG400" s="41" t="str">
        <f aca="false">IF(BF400="","",IFERROR(MATCH(BF400,INDEX(Boundaries!$B$2:$I$30,MATCH(CS400,Boundaries!$A$2:$A$30,0),0),1)-1,""))</f>
        <v/>
      </c>
      <c r="BH400" s="42" t="str">
        <f aca="false">IF(OR(BG400="",$E400=""),"",BG400-$E400)</f>
        <v/>
      </c>
      <c r="BI400" s="39"/>
      <c r="BJ400" s="40" t="str">
        <f aca="false">IF(OR(BI400="",CF400=""),"",BI400/CF400*100)</f>
        <v/>
      </c>
      <c r="BK400" s="41" t="str">
        <f aca="false">IF(BJ400="","",IFERROR(MATCH(BJ400,INDEX(Boundaries!$B$2:$I$30,MATCH(CT400,Boundaries!$A$2:$A$30,0),0),1)-1,""))</f>
        <v/>
      </c>
      <c r="BL400" s="42" t="str">
        <f aca="false">IF(OR(BK400="",$E400=""),"",BK400-$E400)</f>
        <v/>
      </c>
      <c r="BM400" s="39"/>
      <c r="BN400" s="40" t="str">
        <f aca="false">IF(OR(BM400="",CG400=""),"",BM400/CG400*100)</f>
        <v/>
      </c>
      <c r="BO400" s="41" t="str">
        <f aca="false">IF(BN400="","",IFERROR(MATCH(BN400,INDEX(Boundaries!$B$2:$I$30,MATCH(CU400,Boundaries!$A$2:$A$30,0),0),1)-1,""))</f>
        <v/>
      </c>
      <c r="BP400" s="42" t="str">
        <f aca="false">IF(OR(BO400="",$E400=""),"",BO400-$E400)</f>
        <v/>
      </c>
      <c r="BQ400" s="39"/>
      <c r="BR400" s="40" t="str">
        <f aca="false">IF(OR(BQ400="",CH400=""),"",BQ400/CH400*100)</f>
        <v/>
      </c>
      <c r="BS400" s="41" t="str">
        <f aca="false">IF(BR400="","",IFERROR(MATCH(BR400,INDEX(Boundaries!$B$2:$I$30,MATCH(CV400,Boundaries!$A$2:$A$30,0),0),1)-1,""))</f>
        <v/>
      </c>
      <c r="BT400" s="42" t="str">
        <f aca="false">IF(OR(BS400="",$E400=""),"",BS400-$E400)</f>
        <v/>
      </c>
      <c r="BU400" s="28" t="str">
        <f aca="false">IFERROR(INDEX(Assessments!$H$2:$H$600,MATCH($H400&amp;"|"&amp;$I400&amp;"|"&amp;$J400&amp;"|"&amp;1,Assessments!$A$2:$A$600,0)),"")</f>
        <v/>
      </c>
      <c r="BV400" s="28" t="str">
        <f aca="false">IFERROR(INDEX(Assessments!$H$2:$H$600,MATCH($H400&amp;"|"&amp;$I400&amp;"|"&amp;$J400&amp;"|"&amp;2,Assessments!$A$2:$A$600,0)),"")</f>
        <v/>
      </c>
      <c r="BW400" s="28" t="str">
        <f aca="false">IFERROR(INDEX(Assessments!$H$2:$H$600,MATCH($H400&amp;"|"&amp;$I400&amp;"|"&amp;$J400&amp;"|"&amp;3,Assessments!$A$2:$A$600,0)),"")</f>
        <v/>
      </c>
      <c r="BX400" s="28" t="str">
        <f aca="false">IFERROR(INDEX(Assessments!$H$2:$H$600,MATCH($H400&amp;"|"&amp;$I400&amp;"|"&amp;$J400&amp;"|"&amp;4,Assessments!$A$2:$A$600,0)),"")</f>
        <v/>
      </c>
      <c r="BY400" s="28" t="str">
        <f aca="false">IFERROR(INDEX(Assessments!$H$2:$H$600,MATCH($H400&amp;"|"&amp;$I400&amp;"|"&amp;$J400&amp;"|"&amp;5,Assessments!$A$2:$A$600,0)),"")</f>
        <v/>
      </c>
      <c r="BZ400" s="28" t="str">
        <f aca="false">IFERROR(INDEX(Assessments!$H$2:$H$600,MATCH($H400&amp;"|"&amp;$I400&amp;"|"&amp;$J400&amp;"|"&amp;6,Assessments!$A$2:$A$600,0)),"")</f>
        <v/>
      </c>
      <c r="CA400" s="28" t="str">
        <f aca="false">IFERROR(INDEX(Assessments!$H$2:$H$600,MATCH($H400&amp;"|"&amp;$I400&amp;"|"&amp;$J400&amp;"|"&amp;7,Assessments!$A$2:$A$600,0)),"")</f>
        <v/>
      </c>
      <c r="CB400" s="28" t="str">
        <f aca="false">IFERROR(INDEX(Assessments!$H$2:$H$600,MATCH($H400&amp;"|"&amp;$I400&amp;"|"&amp;$J400&amp;"|"&amp;8,Assessments!$A$2:$A$600,0)),"")</f>
        <v/>
      </c>
      <c r="CC400" s="28" t="str">
        <f aca="false">IFERROR(INDEX(Assessments!$H$2:$H$600,MATCH($H400&amp;"|"&amp;$I400&amp;"|"&amp;$J400&amp;"|"&amp;9,Assessments!$A$2:$A$600,0)),"")</f>
        <v/>
      </c>
      <c r="CD400" s="28" t="str">
        <f aca="false">IFERROR(INDEX(Assessments!$H$2:$H$600,MATCH($H400&amp;"|"&amp;$I400&amp;"|"&amp;$J400&amp;"|"&amp;10,Assessments!$A$2:$A$600,0)),"")</f>
        <v/>
      </c>
      <c r="CE400" s="28" t="str">
        <f aca="false">IFERROR(INDEX(Assessments!$H$2:$H$600,MATCH($H400&amp;"|"&amp;$I400&amp;"|"&amp;$J400&amp;"|"&amp;11,Assessments!$A$2:$A$600,0)),"")</f>
        <v/>
      </c>
      <c r="CF400" s="28" t="str">
        <f aca="false">IFERROR(INDEX(Assessments!$H$2:$H$600,MATCH($H400&amp;"|"&amp;$I400&amp;"|"&amp;$J400&amp;"|"&amp;12,Assessments!$A$2:$A$600,0)),"")</f>
        <v/>
      </c>
      <c r="CG400" s="28" t="str">
        <f aca="false">IFERROR(INDEX(Assessments!$H$2:$H$600,MATCH($H400&amp;"|"&amp;$I400&amp;"|"&amp;$J400&amp;"|"&amp;13,Assessments!$A$2:$A$600,0)),"")</f>
        <v/>
      </c>
      <c r="CH400" s="28" t="str">
        <f aca="false">IFERROR(INDEX(Assessments!$H$2:$H$600,MATCH($H400&amp;"|"&amp;$I400&amp;"|"&amp;$J400&amp;"|"&amp;14,Assessments!$A$2:$A$600,0)),"")</f>
        <v/>
      </c>
      <c r="CI400" s="28" t="str">
        <f aca="false">IFERROR(INDEX(Assessments!$I$2:$I$600,MATCH($H400&amp;"|"&amp;$I400&amp;"|"&amp;$J400&amp;"|"&amp;1,Assessments!$A$2:$A$600,0)),"")</f>
        <v/>
      </c>
      <c r="CJ400" s="28" t="str">
        <f aca="false">IFERROR(INDEX(Assessments!$I$2:$I$600,MATCH($H400&amp;"|"&amp;$I400&amp;"|"&amp;$J400&amp;"|"&amp;2,Assessments!$A$2:$A$600,0)),"")</f>
        <v/>
      </c>
      <c r="CK400" s="28" t="str">
        <f aca="false">IFERROR(INDEX(Assessments!$I$2:$I$600,MATCH($H400&amp;"|"&amp;$I400&amp;"|"&amp;$J400&amp;"|"&amp;3,Assessments!$A$2:$A$600,0)),"")</f>
        <v/>
      </c>
      <c r="CL400" s="28" t="str">
        <f aca="false">IFERROR(INDEX(Assessments!$I$2:$I$600,MATCH($H400&amp;"|"&amp;$I400&amp;"|"&amp;$J400&amp;"|"&amp;4,Assessments!$A$2:$A$600,0)),"")</f>
        <v/>
      </c>
      <c r="CM400" s="28" t="str">
        <f aca="false">IFERROR(INDEX(Assessments!$I$2:$I$600,MATCH($H400&amp;"|"&amp;$I400&amp;"|"&amp;$J400&amp;"|"&amp;5,Assessments!$A$2:$A$600,0)),"")</f>
        <v/>
      </c>
      <c r="CN400" s="28" t="str">
        <f aca="false">IFERROR(INDEX(Assessments!$I$2:$I$600,MATCH($H400&amp;"|"&amp;$I400&amp;"|"&amp;$J400&amp;"|"&amp;6,Assessments!$A$2:$A$600,0)),"")</f>
        <v/>
      </c>
      <c r="CO400" s="28" t="str">
        <f aca="false">IFERROR(INDEX(Assessments!$I$2:$I$600,MATCH($H400&amp;"|"&amp;$I400&amp;"|"&amp;$J400&amp;"|"&amp;7,Assessments!$A$2:$A$600,0)),"")</f>
        <v/>
      </c>
      <c r="CP400" s="28" t="str">
        <f aca="false">IFERROR(INDEX(Assessments!$I$2:$I$600,MATCH($H400&amp;"|"&amp;$I400&amp;"|"&amp;$J400&amp;"|"&amp;8,Assessments!$A$2:$A$600,0)),"")</f>
        <v/>
      </c>
      <c r="CQ400" s="28" t="str">
        <f aca="false">IFERROR(INDEX(Assessments!$I$2:$I$600,MATCH($H400&amp;"|"&amp;$I400&amp;"|"&amp;$J400&amp;"|"&amp;9,Assessments!$A$2:$A$600,0)),"")</f>
        <v/>
      </c>
      <c r="CR400" s="28" t="str">
        <f aca="false">IFERROR(INDEX(Assessments!$I$2:$I$600,MATCH($H400&amp;"|"&amp;$I400&amp;"|"&amp;$J400&amp;"|"&amp;10,Assessments!$A$2:$A$600,0)),"")</f>
        <v/>
      </c>
      <c r="CS400" s="28" t="str">
        <f aca="false">IFERROR(INDEX(Assessments!$I$2:$I$600,MATCH($H400&amp;"|"&amp;$I400&amp;"|"&amp;$J400&amp;"|"&amp;11,Assessments!$A$2:$A$600,0)),"")</f>
        <v/>
      </c>
      <c r="CT400" s="28" t="str">
        <f aca="false">IFERROR(INDEX(Assessments!$I$2:$I$600,MATCH($H400&amp;"|"&amp;$I400&amp;"|"&amp;$J400&amp;"|"&amp;12,Assessments!$A$2:$A$600,0)),"")</f>
        <v/>
      </c>
      <c r="CU400" s="28" t="str">
        <f aca="false">IFERROR(INDEX(Assessments!$I$2:$I$600,MATCH($H400&amp;"|"&amp;$I400&amp;"|"&amp;$J400&amp;"|"&amp;13,Assessments!$A$2:$A$600,0)),"")</f>
        <v/>
      </c>
      <c r="CV400" s="28" t="str">
        <f aca="false">IFERROR(INDEX(Assessments!$I$2:$I$600,MATCH($H400&amp;"|"&amp;$I400&amp;"|"&amp;$J400&amp;"|"&amp;14,Assessments!$A$2:$A$600,0)),"")</f>
        <v/>
      </c>
      <c r="CW400" s="28" t="n">
        <f aca="false">IFERROR(INDEX(Assessments!$J$2:$J$600,MATCH($H400&amp;"|"&amp;$I400&amp;"|"&amp;$J400&amp;"|"&amp;1,Assessments!$A$2:$A$600,0)),0)</f>
        <v>0</v>
      </c>
      <c r="CX400" s="28" t="n">
        <f aca="false">IFERROR(INDEX(Assessments!$J$2:$J$600,MATCH($H400&amp;"|"&amp;$I400&amp;"|"&amp;$J400&amp;"|"&amp;2,Assessments!$A$2:$A$600,0)),0)</f>
        <v>0</v>
      </c>
      <c r="CY400" s="28" t="n">
        <f aca="false">IFERROR(INDEX(Assessments!$J$2:$J$600,MATCH($H400&amp;"|"&amp;$I400&amp;"|"&amp;$J400&amp;"|"&amp;3,Assessments!$A$2:$A$600,0)),0)</f>
        <v>0</v>
      </c>
      <c r="CZ400" s="28" t="n">
        <f aca="false">IFERROR(INDEX(Assessments!$J$2:$J$600,MATCH($H400&amp;"|"&amp;$I400&amp;"|"&amp;$J400&amp;"|"&amp;4,Assessments!$A$2:$A$600,0)),0)</f>
        <v>0</v>
      </c>
      <c r="DA400" s="28" t="n">
        <f aca="false">IFERROR(INDEX(Assessments!$J$2:$J$600,MATCH($H400&amp;"|"&amp;$I400&amp;"|"&amp;$J400&amp;"|"&amp;5,Assessments!$A$2:$A$600,0)),0)</f>
        <v>0</v>
      </c>
      <c r="DB400" s="28" t="n">
        <f aca="false">IFERROR(INDEX(Assessments!$J$2:$J$600,MATCH($H400&amp;"|"&amp;$I400&amp;"|"&amp;$J400&amp;"|"&amp;6,Assessments!$A$2:$A$600,0)),0)</f>
        <v>0</v>
      </c>
      <c r="DC400" s="28" t="n">
        <f aca="false">IFERROR(INDEX(Assessments!$J$2:$J$600,MATCH($H400&amp;"|"&amp;$I400&amp;"|"&amp;$J400&amp;"|"&amp;7,Assessments!$A$2:$A$600,0)),0)</f>
        <v>0</v>
      </c>
      <c r="DD400" s="28" t="n">
        <f aca="false">IFERROR(INDEX(Assessments!$J$2:$J$600,MATCH($H400&amp;"|"&amp;$I400&amp;"|"&amp;$J400&amp;"|"&amp;8,Assessments!$A$2:$A$600,0)),0)</f>
        <v>0</v>
      </c>
      <c r="DE400" s="28" t="n">
        <f aca="false">IFERROR(INDEX(Assessments!$J$2:$J$600,MATCH($H400&amp;"|"&amp;$I400&amp;"|"&amp;$J400&amp;"|"&amp;9,Assessments!$A$2:$A$600,0)),0)</f>
        <v>0</v>
      </c>
      <c r="DF400" s="28" t="n">
        <f aca="false">IFERROR(INDEX(Assessments!$J$2:$J$600,MATCH($H400&amp;"|"&amp;$I400&amp;"|"&amp;$J400&amp;"|"&amp;10,Assessments!$A$2:$A$600,0)),0)</f>
        <v>0</v>
      </c>
      <c r="DG400" s="28" t="n">
        <f aca="false">IFERROR(INDEX(Assessments!$J$2:$J$600,MATCH($H400&amp;"|"&amp;$I400&amp;"|"&amp;$J400&amp;"|"&amp;11,Assessments!$A$2:$A$600,0)),0)</f>
        <v>0</v>
      </c>
      <c r="DH400" s="28" t="n">
        <f aca="false">IFERROR(INDEX(Assessments!$J$2:$J$600,MATCH($H400&amp;"|"&amp;$I400&amp;"|"&amp;$J400&amp;"|"&amp;12,Assessments!$A$2:$A$600,0)),0)</f>
        <v>0</v>
      </c>
      <c r="DI400" s="28" t="n">
        <f aca="false">IFERROR(INDEX(Assessments!$J$2:$J$600,MATCH($H400&amp;"|"&amp;$I400&amp;"|"&amp;$J400&amp;"|"&amp;13,Assessments!$A$2:$A$600,0)),0)</f>
        <v>0</v>
      </c>
      <c r="DJ400" s="28" t="n">
        <f aca="false">IFERROR(INDEX(Assessments!$J$2:$J$600,MATCH($H400&amp;"|"&amp;$I400&amp;"|"&amp;$J400&amp;"|"&amp;14,Assessments!$A$2:$A$600,0)),0)</f>
        <v>0</v>
      </c>
      <c r="DK400" s="28" t="str">
        <f aca="false">S400</f>
        <v/>
      </c>
      <c r="DL400" s="28" t="str">
        <f aca="false">W400</f>
        <v/>
      </c>
      <c r="DM400" s="28" t="str">
        <f aca="false">AA400</f>
        <v/>
      </c>
      <c r="DN400" s="28" t="str">
        <f aca="false">AE400</f>
        <v/>
      </c>
      <c r="DO400" s="28" t="str">
        <f aca="false">AI400</f>
        <v/>
      </c>
      <c r="DP400" s="28" t="str">
        <f aca="false">AM400</f>
        <v/>
      </c>
      <c r="DQ400" s="28" t="str">
        <f aca="false">AQ400</f>
        <v/>
      </c>
      <c r="DR400" s="28" t="str">
        <f aca="false">AU400</f>
        <v/>
      </c>
      <c r="DS400" s="28" t="str">
        <f aca="false">AY400</f>
        <v/>
      </c>
      <c r="DT400" s="28" t="str">
        <f aca="false">BC400</f>
        <v/>
      </c>
      <c r="DU400" s="28" t="str">
        <f aca="false">BG400</f>
        <v/>
      </c>
      <c r="DV400" s="28" t="str">
        <f aca="false">BK400</f>
        <v/>
      </c>
      <c r="DW400" s="28" t="str">
        <f aca="false">BO400</f>
        <v/>
      </c>
      <c r="DX400" s="28" t="str">
        <f aca="false">BS400</f>
        <v/>
      </c>
      <c r="DY400" s="28" t="str">
        <f aca="false">IF(ISNUMBER(S400),1,"")</f>
        <v/>
      </c>
      <c r="DZ400" s="28" t="str">
        <f aca="false">IF(ISNUMBER(W400),2,"")</f>
        <v/>
      </c>
      <c r="EA400" s="28" t="str">
        <f aca="false">IF(ISNUMBER(AA400),3,"")</f>
        <v/>
      </c>
      <c r="EB400" s="28" t="str">
        <f aca="false">IF(ISNUMBER(AE400),4,"")</f>
        <v/>
      </c>
      <c r="EC400" s="28" t="str">
        <f aca="false">IF(ISNUMBER(AI400),5,"")</f>
        <v/>
      </c>
      <c r="ED400" s="28" t="str">
        <f aca="false">IF(ISNUMBER(AM400),6,"")</f>
        <v/>
      </c>
      <c r="EE400" s="28" t="str">
        <f aca="false">IF(ISNUMBER(AQ400),7,"")</f>
        <v/>
      </c>
      <c r="EF400" s="28" t="str">
        <f aca="false">IF(ISNUMBER(AU400),8,"")</f>
        <v/>
      </c>
      <c r="EG400" s="28" t="str">
        <f aca="false">IF(ISNUMBER(AY400),9,"")</f>
        <v/>
      </c>
      <c r="EH400" s="28" t="str">
        <f aca="false">IF(ISNUMBER(BC400),10,"")</f>
        <v/>
      </c>
      <c r="EI400" s="28" t="str">
        <f aca="false">IF(ISNUMBER(BG400),11,"")</f>
        <v/>
      </c>
      <c r="EJ400" s="28" t="str">
        <f aca="false">IF(ISNUMBER(BK400),12,"")</f>
        <v/>
      </c>
      <c r="EK400" s="28" t="str">
        <f aca="false">IF(ISNUMBER(BO400),13,"")</f>
        <v/>
      </c>
      <c r="EL400" s="28" t="str">
        <f aca="false">IF(ISNUMBER(BS400),14,"")</f>
        <v/>
      </c>
      <c r="EM400" s="28" t="n">
        <f aca="false">IF(ISNUMBER(R400),R400*CW400,0)</f>
        <v>0</v>
      </c>
      <c r="EN400" s="28" t="n">
        <f aca="false">IF(ISNUMBER(V400),V400*CX400,0)</f>
        <v>0</v>
      </c>
      <c r="EO400" s="28" t="n">
        <f aca="false">IF(ISNUMBER(Z400),Z400*CY400,0)</f>
        <v>0</v>
      </c>
      <c r="EP400" s="28" t="n">
        <f aca="false">IF(ISNUMBER(AD400),AD400*CZ400,0)</f>
        <v>0</v>
      </c>
      <c r="EQ400" s="28" t="n">
        <f aca="false">IF(ISNUMBER(AH400),AH400*DA400,0)</f>
        <v>0</v>
      </c>
      <c r="ER400" s="28" t="n">
        <f aca="false">IF(ISNUMBER(AL400),AL400*DB400,0)</f>
        <v>0</v>
      </c>
      <c r="ES400" s="28" t="n">
        <f aca="false">IF(ISNUMBER(AP400),AP400*DC400,0)</f>
        <v>0</v>
      </c>
      <c r="ET400" s="28" t="n">
        <f aca="false">IF(ISNUMBER(AT400),AT400*DD400,0)</f>
        <v>0</v>
      </c>
      <c r="EU400" s="28" t="n">
        <f aca="false">IF(ISNUMBER(AX400),AX400*DE400,0)</f>
        <v>0</v>
      </c>
      <c r="EV400" s="28" t="n">
        <f aca="false">IF(ISNUMBER(BB400),BB400*DF400,0)</f>
        <v>0</v>
      </c>
      <c r="EW400" s="28" t="n">
        <f aca="false">IF(ISNUMBER(BF400),BF400*DG400,0)</f>
        <v>0</v>
      </c>
      <c r="EX400" s="28" t="n">
        <f aca="false">IF(ISNUMBER(BJ400),BJ400*DH400,0)</f>
        <v>0</v>
      </c>
      <c r="EY400" s="28" t="n">
        <f aca="false">IF(ISNUMBER(BN400),BN400*DI400,0)</f>
        <v>0</v>
      </c>
      <c r="EZ400" s="28" t="n">
        <f aca="false">IF(ISNUMBER(BR400),BR400*DJ400,0)</f>
        <v>0</v>
      </c>
      <c r="FA400" s="28" t="n">
        <f aca="false">IF(ISNUMBER(R400),CW400,0)</f>
        <v>0</v>
      </c>
      <c r="FB400" s="28" t="n">
        <f aca="false">IF(ISNUMBER(V400),CX400,0)</f>
        <v>0</v>
      </c>
      <c r="FC400" s="28" t="n">
        <f aca="false">IF(ISNUMBER(Z400),CY400,0)</f>
        <v>0</v>
      </c>
      <c r="FD400" s="28" t="n">
        <f aca="false">IF(ISNUMBER(AD400),CZ400,0)</f>
        <v>0</v>
      </c>
      <c r="FE400" s="28" t="n">
        <f aca="false">IF(ISNUMBER(AH400),DA400,0)</f>
        <v>0</v>
      </c>
      <c r="FF400" s="28" t="n">
        <f aca="false">IF(ISNUMBER(AL400),DB400,0)</f>
        <v>0</v>
      </c>
      <c r="FG400" s="28" t="n">
        <f aca="false">IF(ISNUMBER(AP400),DC400,0)</f>
        <v>0</v>
      </c>
      <c r="FH400" s="28" t="n">
        <f aca="false">IF(ISNUMBER(AT400),DD400,0)</f>
        <v>0</v>
      </c>
      <c r="FI400" s="28" t="n">
        <f aca="false">IF(ISNUMBER(AX400),DE400,0)</f>
        <v>0</v>
      </c>
      <c r="FJ400" s="28" t="n">
        <f aca="false">IF(ISNUMBER(BB400),DF400,0)</f>
        <v>0</v>
      </c>
      <c r="FK400" s="28" t="n">
        <f aca="false">IF(ISNUMBER(BF400),DG400,0)</f>
        <v>0</v>
      </c>
      <c r="FL400" s="28" t="n">
        <f aca="false">IF(ISNUMBER(BJ400),DH400,0)</f>
        <v>0</v>
      </c>
      <c r="FM400" s="28" t="n">
        <f aca="false">IF(ISNUMBER(BN400),DI400,0)</f>
        <v>0</v>
      </c>
      <c r="FN400" s="28" t="n">
        <f aca="false">IF(ISNUMBER(BR400),DJ400,0)</f>
        <v>0</v>
      </c>
      <c r="FO400" s="28" t="str">
        <f aca="false">IFERROR(INDEX(Lists!$G$2:$G$20,MATCH($I400&amp;"|"&amp;$J400,Lists!$F$2:$F$20,0)),"")</f>
        <v/>
      </c>
    </row>
    <row r="401" customFormat="false" ht="19.5" hidden="false" customHeight="true" outlineLevel="0" collapsed="false">
      <c r="A401" s="29"/>
      <c r="B401" s="29"/>
      <c r="C401" s="30"/>
      <c r="D401" s="30"/>
      <c r="E401" s="31"/>
      <c r="F401" s="30"/>
      <c r="G401" s="30"/>
      <c r="H401" s="32"/>
      <c r="I401" s="33"/>
      <c r="J401" s="32"/>
      <c r="K401" s="34" t="str">
        <f aca="false">IF(OR(M401="",$E401=""),"",M401-$E401)</f>
        <v/>
      </c>
      <c r="L401" s="35" t="str">
        <f aca="false">IF(SUM(FA401:FN401)=0,"",SUM(EM401:EZ401)/SUM(FA401:FN401))</f>
        <v/>
      </c>
      <c r="M401" s="36" t="str">
        <f aca="false">IF(OR(L401="",FO401=""),"",IFERROR(MATCH(L401,INDEX(Boundaries!$B$2:$I$30,MATCH(FO401,Boundaries!$A$2:$A$30,0),0),1)-1,""))</f>
        <v/>
      </c>
      <c r="N401" s="37" t="str">
        <f aca="false">IF(COUNT($DY401:$EL401)&lt;2,"",INDEX($DK401:$DX401,MAX($DY401:$EL401))-INDEX($DK401:$DX401,MIN($DY401:$EL401)))</f>
        <v/>
      </c>
      <c r="O401" s="37" t="str">
        <f aca="false">IF(COUNT($DY401:$EL401)&lt;2,"",INDEX($DK401:$DX401,MAX($DY401:$EL401))-INDEX($DK401:$DX401,LARGE($DY401:$EL401,2)))</f>
        <v/>
      </c>
      <c r="P401" s="38" t="str">
        <f aca="false">IF(K401="","",IF(K401&gt;=0,"On/above target",IF(AND(N401&lt;&gt;"",N401&gt;=0.5),"Improving towards target",IF(AND(O401&lt;&gt;"",O401&lt;=-0.5),"Declining","Stable below target"))))</f>
        <v/>
      </c>
      <c r="Q401" s="39"/>
      <c r="R401" s="40" t="str">
        <f aca="false">IF(OR(Q401="",BU401=""),"",Q401/BU401*100)</f>
        <v/>
      </c>
      <c r="S401" s="41" t="str">
        <f aca="false">IF(R401="","",IFERROR(MATCH(R401,INDEX(Boundaries!$B$2:$I$30,MATCH(CI401,Boundaries!$A$2:$A$30,0),0),1)-1,""))</f>
        <v/>
      </c>
      <c r="T401" s="42" t="str">
        <f aca="false">IF(OR(S401="",$E401=""),"",S401-$E401)</f>
        <v/>
      </c>
      <c r="U401" s="39"/>
      <c r="V401" s="40" t="str">
        <f aca="false">IF(OR(U401="",BV401=""),"",U401/BV401*100)</f>
        <v/>
      </c>
      <c r="W401" s="41" t="str">
        <f aca="false">IF(V401="","",IFERROR(MATCH(V401,INDEX(Boundaries!$B$2:$I$30,MATCH(CJ401,Boundaries!$A$2:$A$30,0),0),1)-1,""))</f>
        <v/>
      </c>
      <c r="X401" s="42" t="str">
        <f aca="false">IF(OR(W401="",$E401=""),"",W401-$E401)</f>
        <v/>
      </c>
      <c r="Y401" s="39"/>
      <c r="Z401" s="40" t="str">
        <f aca="false">IF(OR(Y401="",BW401=""),"",Y401/BW401*100)</f>
        <v/>
      </c>
      <c r="AA401" s="41" t="str">
        <f aca="false">IF(Z401="","",IFERROR(MATCH(Z401,INDEX(Boundaries!$B$2:$I$30,MATCH(CK401,Boundaries!$A$2:$A$30,0),0),1)-1,""))</f>
        <v/>
      </c>
      <c r="AB401" s="42" t="str">
        <f aca="false">IF(OR(AA401="",$E401=""),"",AA401-$E401)</f>
        <v/>
      </c>
      <c r="AC401" s="39"/>
      <c r="AD401" s="40" t="str">
        <f aca="false">IF(OR(AC401="",BX401=""),"",AC401/BX401*100)</f>
        <v/>
      </c>
      <c r="AE401" s="41" t="str">
        <f aca="false">IF(AD401="","",IFERROR(MATCH(AD401,INDEX(Boundaries!$B$2:$I$30,MATCH(CL401,Boundaries!$A$2:$A$30,0),0),1)-1,""))</f>
        <v/>
      </c>
      <c r="AF401" s="42" t="str">
        <f aca="false">IF(OR(AE401="",$E401=""),"",AE401-$E401)</f>
        <v/>
      </c>
      <c r="AG401" s="39"/>
      <c r="AH401" s="40" t="str">
        <f aca="false">IF(OR(AG401="",BY401=""),"",AG401/BY401*100)</f>
        <v/>
      </c>
      <c r="AI401" s="41" t="str">
        <f aca="false">IF(AH401="","",IFERROR(MATCH(AH401,INDEX(Boundaries!$B$2:$I$30,MATCH(CM401,Boundaries!$A$2:$A$30,0),0),1)-1,""))</f>
        <v/>
      </c>
      <c r="AJ401" s="42" t="str">
        <f aca="false">IF(OR(AI401="",$E401=""),"",AI401-$E401)</f>
        <v/>
      </c>
      <c r="AK401" s="39"/>
      <c r="AL401" s="40" t="str">
        <f aca="false">IF(OR(AK401="",BZ401=""),"",AK401/BZ401*100)</f>
        <v/>
      </c>
      <c r="AM401" s="41" t="str">
        <f aca="false">IF(AL401="","",IFERROR(MATCH(AL401,INDEX(Boundaries!$B$2:$I$30,MATCH(CN401,Boundaries!$A$2:$A$30,0),0),1)-1,""))</f>
        <v/>
      </c>
      <c r="AN401" s="42" t="str">
        <f aca="false">IF(OR(AM401="",$E401=""),"",AM401-$E401)</f>
        <v/>
      </c>
      <c r="AO401" s="39"/>
      <c r="AP401" s="40" t="str">
        <f aca="false">IF(OR(AO401="",CA401=""),"",AO401/CA401*100)</f>
        <v/>
      </c>
      <c r="AQ401" s="41" t="str">
        <f aca="false">IF(AP401="","",IFERROR(MATCH(AP401,INDEX(Boundaries!$B$2:$I$30,MATCH(CO401,Boundaries!$A$2:$A$30,0),0),1)-1,""))</f>
        <v/>
      </c>
      <c r="AR401" s="42" t="str">
        <f aca="false">IF(OR(AQ401="",$E401=""),"",AQ401-$E401)</f>
        <v/>
      </c>
      <c r="AS401" s="39"/>
      <c r="AT401" s="40" t="str">
        <f aca="false">IF(OR(AS401="",CB401=""),"",AS401/CB401*100)</f>
        <v/>
      </c>
      <c r="AU401" s="41" t="str">
        <f aca="false">IF(AT401="","",IFERROR(MATCH(AT401,INDEX(Boundaries!$B$2:$I$30,MATCH(CP401,Boundaries!$A$2:$A$30,0),0),1)-1,""))</f>
        <v/>
      </c>
      <c r="AV401" s="42" t="str">
        <f aca="false">IF(OR(AU401="",$E401=""),"",AU401-$E401)</f>
        <v/>
      </c>
      <c r="AW401" s="39"/>
      <c r="AX401" s="40" t="str">
        <f aca="false">IF(OR(AW401="",CC401=""),"",AW401/CC401*100)</f>
        <v/>
      </c>
      <c r="AY401" s="41" t="str">
        <f aca="false">IF(AX401="","",IFERROR(MATCH(AX401,INDEX(Boundaries!$B$2:$I$30,MATCH(CQ401,Boundaries!$A$2:$A$30,0),0),1)-1,""))</f>
        <v/>
      </c>
      <c r="AZ401" s="42" t="str">
        <f aca="false">IF(OR(AY401="",$E401=""),"",AY401-$E401)</f>
        <v/>
      </c>
      <c r="BA401" s="39"/>
      <c r="BB401" s="40" t="str">
        <f aca="false">IF(OR(BA401="",CD401=""),"",BA401/CD401*100)</f>
        <v/>
      </c>
      <c r="BC401" s="41" t="str">
        <f aca="false">IF(BB401="","",IFERROR(MATCH(BB401,INDEX(Boundaries!$B$2:$I$30,MATCH(CR401,Boundaries!$A$2:$A$30,0),0),1)-1,""))</f>
        <v/>
      </c>
      <c r="BD401" s="42" t="str">
        <f aca="false">IF(OR(BC401="",$E401=""),"",BC401-$E401)</f>
        <v/>
      </c>
      <c r="BE401" s="39"/>
      <c r="BF401" s="40" t="str">
        <f aca="false">IF(OR(BE401="",CE401=""),"",BE401/CE401*100)</f>
        <v/>
      </c>
      <c r="BG401" s="41" t="str">
        <f aca="false">IF(BF401="","",IFERROR(MATCH(BF401,INDEX(Boundaries!$B$2:$I$30,MATCH(CS401,Boundaries!$A$2:$A$30,0),0),1)-1,""))</f>
        <v/>
      </c>
      <c r="BH401" s="42" t="str">
        <f aca="false">IF(OR(BG401="",$E401=""),"",BG401-$E401)</f>
        <v/>
      </c>
      <c r="BI401" s="39"/>
      <c r="BJ401" s="40" t="str">
        <f aca="false">IF(OR(BI401="",CF401=""),"",BI401/CF401*100)</f>
        <v/>
      </c>
      <c r="BK401" s="41" t="str">
        <f aca="false">IF(BJ401="","",IFERROR(MATCH(BJ401,INDEX(Boundaries!$B$2:$I$30,MATCH(CT401,Boundaries!$A$2:$A$30,0),0),1)-1,""))</f>
        <v/>
      </c>
      <c r="BL401" s="42" t="str">
        <f aca="false">IF(OR(BK401="",$E401=""),"",BK401-$E401)</f>
        <v/>
      </c>
      <c r="BM401" s="39"/>
      <c r="BN401" s="40" t="str">
        <f aca="false">IF(OR(BM401="",CG401=""),"",BM401/CG401*100)</f>
        <v/>
      </c>
      <c r="BO401" s="41" t="str">
        <f aca="false">IF(BN401="","",IFERROR(MATCH(BN401,INDEX(Boundaries!$B$2:$I$30,MATCH(CU401,Boundaries!$A$2:$A$30,0),0),1)-1,""))</f>
        <v/>
      </c>
      <c r="BP401" s="42" t="str">
        <f aca="false">IF(OR(BO401="",$E401=""),"",BO401-$E401)</f>
        <v/>
      </c>
      <c r="BQ401" s="39"/>
      <c r="BR401" s="40" t="str">
        <f aca="false">IF(OR(BQ401="",CH401=""),"",BQ401/CH401*100)</f>
        <v/>
      </c>
      <c r="BS401" s="41" t="str">
        <f aca="false">IF(BR401="","",IFERROR(MATCH(BR401,INDEX(Boundaries!$B$2:$I$30,MATCH(CV401,Boundaries!$A$2:$A$30,0),0),1)-1,""))</f>
        <v/>
      </c>
      <c r="BT401" s="42" t="str">
        <f aca="false">IF(OR(BS401="",$E401=""),"",BS401-$E401)</f>
        <v/>
      </c>
      <c r="BU401" s="28" t="str">
        <f aca="false">IFERROR(INDEX(Assessments!$H$2:$H$600,MATCH($H401&amp;"|"&amp;$I401&amp;"|"&amp;$J401&amp;"|"&amp;1,Assessments!$A$2:$A$600,0)),"")</f>
        <v/>
      </c>
      <c r="BV401" s="28" t="str">
        <f aca="false">IFERROR(INDEX(Assessments!$H$2:$H$600,MATCH($H401&amp;"|"&amp;$I401&amp;"|"&amp;$J401&amp;"|"&amp;2,Assessments!$A$2:$A$600,0)),"")</f>
        <v/>
      </c>
      <c r="BW401" s="28" t="str">
        <f aca="false">IFERROR(INDEX(Assessments!$H$2:$H$600,MATCH($H401&amp;"|"&amp;$I401&amp;"|"&amp;$J401&amp;"|"&amp;3,Assessments!$A$2:$A$600,0)),"")</f>
        <v/>
      </c>
      <c r="BX401" s="28" t="str">
        <f aca="false">IFERROR(INDEX(Assessments!$H$2:$H$600,MATCH($H401&amp;"|"&amp;$I401&amp;"|"&amp;$J401&amp;"|"&amp;4,Assessments!$A$2:$A$600,0)),"")</f>
        <v/>
      </c>
      <c r="BY401" s="28" t="str">
        <f aca="false">IFERROR(INDEX(Assessments!$H$2:$H$600,MATCH($H401&amp;"|"&amp;$I401&amp;"|"&amp;$J401&amp;"|"&amp;5,Assessments!$A$2:$A$600,0)),"")</f>
        <v/>
      </c>
      <c r="BZ401" s="28" t="str">
        <f aca="false">IFERROR(INDEX(Assessments!$H$2:$H$600,MATCH($H401&amp;"|"&amp;$I401&amp;"|"&amp;$J401&amp;"|"&amp;6,Assessments!$A$2:$A$600,0)),"")</f>
        <v/>
      </c>
      <c r="CA401" s="28" t="str">
        <f aca="false">IFERROR(INDEX(Assessments!$H$2:$H$600,MATCH($H401&amp;"|"&amp;$I401&amp;"|"&amp;$J401&amp;"|"&amp;7,Assessments!$A$2:$A$600,0)),"")</f>
        <v/>
      </c>
      <c r="CB401" s="28" t="str">
        <f aca="false">IFERROR(INDEX(Assessments!$H$2:$H$600,MATCH($H401&amp;"|"&amp;$I401&amp;"|"&amp;$J401&amp;"|"&amp;8,Assessments!$A$2:$A$600,0)),"")</f>
        <v/>
      </c>
      <c r="CC401" s="28" t="str">
        <f aca="false">IFERROR(INDEX(Assessments!$H$2:$H$600,MATCH($H401&amp;"|"&amp;$I401&amp;"|"&amp;$J401&amp;"|"&amp;9,Assessments!$A$2:$A$600,0)),"")</f>
        <v/>
      </c>
      <c r="CD401" s="28" t="str">
        <f aca="false">IFERROR(INDEX(Assessments!$H$2:$H$600,MATCH($H401&amp;"|"&amp;$I401&amp;"|"&amp;$J401&amp;"|"&amp;10,Assessments!$A$2:$A$600,0)),"")</f>
        <v/>
      </c>
      <c r="CE401" s="28" t="str">
        <f aca="false">IFERROR(INDEX(Assessments!$H$2:$H$600,MATCH($H401&amp;"|"&amp;$I401&amp;"|"&amp;$J401&amp;"|"&amp;11,Assessments!$A$2:$A$600,0)),"")</f>
        <v/>
      </c>
      <c r="CF401" s="28" t="str">
        <f aca="false">IFERROR(INDEX(Assessments!$H$2:$H$600,MATCH($H401&amp;"|"&amp;$I401&amp;"|"&amp;$J401&amp;"|"&amp;12,Assessments!$A$2:$A$600,0)),"")</f>
        <v/>
      </c>
      <c r="CG401" s="28" t="str">
        <f aca="false">IFERROR(INDEX(Assessments!$H$2:$H$600,MATCH($H401&amp;"|"&amp;$I401&amp;"|"&amp;$J401&amp;"|"&amp;13,Assessments!$A$2:$A$600,0)),"")</f>
        <v/>
      </c>
      <c r="CH401" s="28" t="str">
        <f aca="false">IFERROR(INDEX(Assessments!$H$2:$H$600,MATCH($H401&amp;"|"&amp;$I401&amp;"|"&amp;$J401&amp;"|"&amp;14,Assessments!$A$2:$A$600,0)),"")</f>
        <v/>
      </c>
      <c r="CI401" s="28" t="str">
        <f aca="false">IFERROR(INDEX(Assessments!$I$2:$I$600,MATCH($H401&amp;"|"&amp;$I401&amp;"|"&amp;$J401&amp;"|"&amp;1,Assessments!$A$2:$A$600,0)),"")</f>
        <v/>
      </c>
      <c r="CJ401" s="28" t="str">
        <f aca="false">IFERROR(INDEX(Assessments!$I$2:$I$600,MATCH($H401&amp;"|"&amp;$I401&amp;"|"&amp;$J401&amp;"|"&amp;2,Assessments!$A$2:$A$600,0)),"")</f>
        <v/>
      </c>
      <c r="CK401" s="28" t="str">
        <f aca="false">IFERROR(INDEX(Assessments!$I$2:$I$600,MATCH($H401&amp;"|"&amp;$I401&amp;"|"&amp;$J401&amp;"|"&amp;3,Assessments!$A$2:$A$600,0)),"")</f>
        <v/>
      </c>
      <c r="CL401" s="28" t="str">
        <f aca="false">IFERROR(INDEX(Assessments!$I$2:$I$600,MATCH($H401&amp;"|"&amp;$I401&amp;"|"&amp;$J401&amp;"|"&amp;4,Assessments!$A$2:$A$600,0)),"")</f>
        <v/>
      </c>
      <c r="CM401" s="28" t="str">
        <f aca="false">IFERROR(INDEX(Assessments!$I$2:$I$600,MATCH($H401&amp;"|"&amp;$I401&amp;"|"&amp;$J401&amp;"|"&amp;5,Assessments!$A$2:$A$600,0)),"")</f>
        <v/>
      </c>
      <c r="CN401" s="28" t="str">
        <f aca="false">IFERROR(INDEX(Assessments!$I$2:$I$600,MATCH($H401&amp;"|"&amp;$I401&amp;"|"&amp;$J401&amp;"|"&amp;6,Assessments!$A$2:$A$600,0)),"")</f>
        <v/>
      </c>
      <c r="CO401" s="28" t="str">
        <f aca="false">IFERROR(INDEX(Assessments!$I$2:$I$600,MATCH($H401&amp;"|"&amp;$I401&amp;"|"&amp;$J401&amp;"|"&amp;7,Assessments!$A$2:$A$600,0)),"")</f>
        <v/>
      </c>
      <c r="CP401" s="28" t="str">
        <f aca="false">IFERROR(INDEX(Assessments!$I$2:$I$600,MATCH($H401&amp;"|"&amp;$I401&amp;"|"&amp;$J401&amp;"|"&amp;8,Assessments!$A$2:$A$600,0)),"")</f>
        <v/>
      </c>
      <c r="CQ401" s="28" t="str">
        <f aca="false">IFERROR(INDEX(Assessments!$I$2:$I$600,MATCH($H401&amp;"|"&amp;$I401&amp;"|"&amp;$J401&amp;"|"&amp;9,Assessments!$A$2:$A$600,0)),"")</f>
        <v/>
      </c>
      <c r="CR401" s="28" t="str">
        <f aca="false">IFERROR(INDEX(Assessments!$I$2:$I$600,MATCH($H401&amp;"|"&amp;$I401&amp;"|"&amp;$J401&amp;"|"&amp;10,Assessments!$A$2:$A$600,0)),"")</f>
        <v/>
      </c>
      <c r="CS401" s="28" t="str">
        <f aca="false">IFERROR(INDEX(Assessments!$I$2:$I$600,MATCH($H401&amp;"|"&amp;$I401&amp;"|"&amp;$J401&amp;"|"&amp;11,Assessments!$A$2:$A$600,0)),"")</f>
        <v/>
      </c>
      <c r="CT401" s="28" t="str">
        <f aca="false">IFERROR(INDEX(Assessments!$I$2:$I$600,MATCH($H401&amp;"|"&amp;$I401&amp;"|"&amp;$J401&amp;"|"&amp;12,Assessments!$A$2:$A$600,0)),"")</f>
        <v/>
      </c>
      <c r="CU401" s="28" t="str">
        <f aca="false">IFERROR(INDEX(Assessments!$I$2:$I$600,MATCH($H401&amp;"|"&amp;$I401&amp;"|"&amp;$J401&amp;"|"&amp;13,Assessments!$A$2:$A$600,0)),"")</f>
        <v/>
      </c>
      <c r="CV401" s="28" t="str">
        <f aca="false">IFERROR(INDEX(Assessments!$I$2:$I$600,MATCH($H401&amp;"|"&amp;$I401&amp;"|"&amp;$J401&amp;"|"&amp;14,Assessments!$A$2:$A$600,0)),"")</f>
        <v/>
      </c>
      <c r="CW401" s="28" t="n">
        <f aca="false">IFERROR(INDEX(Assessments!$J$2:$J$600,MATCH($H401&amp;"|"&amp;$I401&amp;"|"&amp;$J401&amp;"|"&amp;1,Assessments!$A$2:$A$600,0)),0)</f>
        <v>0</v>
      </c>
      <c r="CX401" s="28" t="n">
        <f aca="false">IFERROR(INDEX(Assessments!$J$2:$J$600,MATCH($H401&amp;"|"&amp;$I401&amp;"|"&amp;$J401&amp;"|"&amp;2,Assessments!$A$2:$A$600,0)),0)</f>
        <v>0</v>
      </c>
      <c r="CY401" s="28" t="n">
        <f aca="false">IFERROR(INDEX(Assessments!$J$2:$J$600,MATCH($H401&amp;"|"&amp;$I401&amp;"|"&amp;$J401&amp;"|"&amp;3,Assessments!$A$2:$A$600,0)),0)</f>
        <v>0</v>
      </c>
      <c r="CZ401" s="28" t="n">
        <f aca="false">IFERROR(INDEX(Assessments!$J$2:$J$600,MATCH($H401&amp;"|"&amp;$I401&amp;"|"&amp;$J401&amp;"|"&amp;4,Assessments!$A$2:$A$600,0)),0)</f>
        <v>0</v>
      </c>
      <c r="DA401" s="28" t="n">
        <f aca="false">IFERROR(INDEX(Assessments!$J$2:$J$600,MATCH($H401&amp;"|"&amp;$I401&amp;"|"&amp;$J401&amp;"|"&amp;5,Assessments!$A$2:$A$600,0)),0)</f>
        <v>0</v>
      </c>
      <c r="DB401" s="28" t="n">
        <f aca="false">IFERROR(INDEX(Assessments!$J$2:$J$600,MATCH($H401&amp;"|"&amp;$I401&amp;"|"&amp;$J401&amp;"|"&amp;6,Assessments!$A$2:$A$600,0)),0)</f>
        <v>0</v>
      </c>
      <c r="DC401" s="28" t="n">
        <f aca="false">IFERROR(INDEX(Assessments!$J$2:$J$600,MATCH($H401&amp;"|"&amp;$I401&amp;"|"&amp;$J401&amp;"|"&amp;7,Assessments!$A$2:$A$600,0)),0)</f>
        <v>0</v>
      </c>
      <c r="DD401" s="28" t="n">
        <f aca="false">IFERROR(INDEX(Assessments!$J$2:$J$600,MATCH($H401&amp;"|"&amp;$I401&amp;"|"&amp;$J401&amp;"|"&amp;8,Assessments!$A$2:$A$600,0)),0)</f>
        <v>0</v>
      </c>
      <c r="DE401" s="28" t="n">
        <f aca="false">IFERROR(INDEX(Assessments!$J$2:$J$600,MATCH($H401&amp;"|"&amp;$I401&amp;"|"&amp;$J401&amp;"|"&amp;9,Assessments!$A$2:$A$600,0)),0)</f>
        <v>0</v>
      </c>
      <c r="DF401" s="28" t="n">
        <f aca="false">IFERROR(INDEX(Assessments!$J$2:$J$600,MATCH($H401&amp;"|"&amp;$I401&amp;"|"&amp;$J401&amp;"|"&amp;10,Assessments!$A$2:$A$600,0)),0)</f>
        <v>0</v>
      </c>
      <c r="DG401" s="28" t="n">
        <f aca="false">IFERROR(INDEX(Assessments!$J$2:$J$600,MATCH($H401&amp;"|"&amp;$I401&amp;"|"&amp;$J401&amp;"|"&amp;11,Assessments!$A$2:$A$600,0)),0)</f>
        <v>0</v>
      </c>
      <c r="DH401" s="28" t="n">
        <f aca="false">IFERROR(INDEX(Assessments!$J$2:$J$600,MATCH($H401&amp;"|"&amp;$I401&amp;"|"&amp;$J401&amp;"|"&amp;12,Assessments!$A$2:$A$600,0)),0)</f>
        <v>0</v>
      </c>
      <c r="DI401" s="28" t="n">
        <f aca="false">IFERROR(INDEX(Assessments!$J$2:$J$600,MATCH($H401&amp;"|"&amp;$I401&amp;"|"&amp;$J401&amp;"|"&amp;13,Assessments!$A$2:$A$600,0)),0)</f>
        <v>0</v>
      </c>
      <c r="DJ401" s="28" t="n">
        <f aca="false">IFERROR(INDEX(Assessments!$J$2:$J$600,MATCH($H401&amp;"|"&amp;$I401&amp;"|"&amp;$J401&amp;"|"&amp;14,Assessments!$A$2:$A$600,0)),0)</f>
        <v>0</v>
      </c>
      <c r="DK401" s="28" t="str">
        <f aca="false">S401</f>
        <v/>
      </c>
      <c r="DL401" s="28" t="str">
        <f aca="false">W401</f>
        <v/>
      </c>
      <c r="DM401" s="28" t="str">
        <f aca="false">AA401</f>
        <v/>
      </c>
      <c r="DN401" s="28" t="str">
        <f aca="false">AE401</f>
        <v/>
      </c>
      <c r="DO401" s="28" t="str">
        <f aca="false">AI401</f>
        <v/>
      </c>
      <c r="DP401" s="28" t="str">
        <f aca="false">AM401</f>
        <v/>
      </c>
      <c r="DQ401" s="28" t="str">
        <f aca="false">AQ401</f>
        <v/>
      </c>
      <c r="DR401" s="28" t="str">
        <f aca="false">AU401</f>
        <v/>
      </c>
      <c r="DS401" s="28" t="str">
        <f aca="false">AY401</f>
        <v/>
      </c>
      <c r="DT401" s="28" t="str">
        <f aca="false">BC401</f>
        <v/>
      </c>
      <c r="DU401" s="28" t="str">
        <f aca="false">BG401</f>
        <v/>
      </c>
      <c r="DV401" s="28" t="str">
        <f aca="false">BK401</f>
        <v/>
      </c>
      <c r="DW401" s="28" t="str">
        <f aca="false">BO401</f>
        <v/>
      </c>
      <c r="DX401" s="28" t="str">
        <f aca="false">BS401</f>
        <v/>
      </c>
      <c r="DY401" s="28" t="str">
        <f aca="false">IF(ISNUMBER(S401),1,"")</f>
        <v/>
      </c>
      <c r="DZ401" s="28" t="str">
        <f aca="false">IF(ISNUMBER(W401),2,"")</f>
        <v/>
      </c>
      <c r="EA401" s="28" t="str">
        <f aca="false">IF(ISNUMBER(AA401),3,"")</f>
        <v/>
      </c>
      <c r="EB401" s="28" t="str">
        <f aca="false">IF(ISNUMBER(AE401),4,"")</f>
        <v/>
      </c>
      <c r="EC401" s="28" t="str">
        <f aca="false">IF(ISNUMBER(AI401),5,"")</f>
        <v/>
      </c>
      <c r="ED401" s="28" t="str">
        <f aca="false">IF(ISNUMBER(AM401),6,"")</f>
        <v/>
      </c>
      <c r="EE401" s="28" t="str">
        <f aca="false">IF(ISNUMBER(AQ401),7,"")</f>
        <v/>
      </c>
      <c r="EF401" s="28" t="str">
        <f aca="false">IF(ISNUMBER(AU401),8,"")</f>
        <v/>
      </c>
      <c r="EG401" s="28" t="str">
        <f aca="false">IF(ISNUMBER(AY401),9,"")</f>
        <v/>
      </c>
      <c r="EH401" s="28" t="str">
        <f aca="false">IF(ISNUMBER(BC401),10,"")</f>
        <v/>
      </c>
      <c r="EI401" s="28" t="str">
        <f aca="false">IF(ISNUMBER(BG401),11,"")</f>
        <v/>
      </c>
      <c r="EJ401" s="28" t="str">
        <f aca="false">IF(ISNUMBER(BK401),12,"")</f>
        <v/>
      </c>
      <c r="EK401" s="28" t="str">
        <f aca="false">IF(ISNUMBER(BO401),13,"")</f>
        <v/>
      </c>
      <c r="EL401" s="28" t="str">
        <f aca="false">IF(ISNUMBER(BS401),14,"")</f>
        <v/>
      </c>
      <c r="EM401" s="28" t="n">
        <f aca="false">IF(ISNUMBER(R401),R401*CW401,0)</f>
        <v>0</v>
      </c>
      <c r="EN401" s="28" t="n">
        <f aca="false">IF(ISNUMBER(V401),V401*CX401,0)</f>
        <v>0</v>
      </c>
      <c r="EO401" s="28" t="n">
        <f aca="false">IF(ISNUMBER(Z401),Z401*CY401,0)</f>
        <v>0</v>
      </c>
      <c r="EP401" s="28" t="n">
        <f aca="false">IF(ISNUMBER(AD401),AD401*CZ401,0)</f>
        <v>0</v>
      </c>
      <c r="EQ401" s="28" t="n">
        <f aca="false">IF(ISNUMBER(AH401),AH401*DA401,0)</f>
        <v>0</v>
      </c>
      <c r="ER401" s="28" t="n">
        <f aca="false">IF(ISNUMBER(AL401),AL401*DB401,0)</f>
        <v>0</v>
      </c>
      <c r="ES401" s="28" t="n">
        <f aca="false">IF(ISNUMBER(AP401),AP401*DC401,0)</f>
        <v>0</v>
      </c>
      <c r="ET401" s="28" t="n">
        <f aca="false">IF(ISNUMBER(AT401),AT401*DD401,0)</f>
        <v>0</v>
      </c>
      <c r="EU401" s="28" t="n">
        <f aca="false">IF(ISNUMBER(AX401),AX401*DE401,0)</f>
        <v>0</v>
      </c>
      <c r="EV401" s="28" t="n">
        <f aca="false">IF(ISNUMBER(BB401),BB401*DF401,0)</f>
        <v>0</v>
      </c>
      <c r="EW401" s="28" t="n">
        <f aca="false">IF(ISNUMBER(BF401),BF401*DG401,0)</f>
        <v>0</v>
      </c>
      <c r="EX401" s="28" t="n">
        <f aca="false">IF(ISNUMBER(BJ401),BJ401*DH401,0)</f>
        <v>0</v>
      </c>
      <c r="EY401" s="28" t="n">
        <f aca="false">IF(ISNUMBER(BN401),BN401*DI401,0)</f>
        <v>0</v>
      </c>
      <c r="EZ401" s="28" t="n">
        <f aca="false">IF(ISNUMBER(BR401),BR401*DJ401,0)</f>
        <v>0</v>
      </c>
      <c r="FA401" s="28" t="n">
        <f aca="false">IF(ISNUMBER(R401),CW401,0)</f>
        <v>0</v>
      </c>
      <c r="FB401" s="28" t="n">
        <f aca="false">IF(ISNUMBER(V401),CX401,0)</f>
        <v>0</v>
      </c>
      <c r="FC401" s="28" t="n">
        <f aca="false">IF(ISNUMBER(Z401),CY401,0)</f>
        <v>0</v>
      </c>
      <c r="FD401" s="28" t="n">
        <f aca="false">IF(ISNUMBER(AD401),CZ401,0)</f>
        <v>0</v>
      </c>
      <c r="FE401" s="28" t="n">
        <f aca="false">IF(ISNUMBER(AH401),DA401,0)</f>
        <v>0</v>
      </c>
      <c r="FF401" s="28" t="n">
        <f aca="false">IF(ISNUMBER(AL401),DB401,0)</f>
        <v>0</v>
      </c>
      <c r="FG401" s="28" t="n">
        <f aca="false">IF(ISNUMBER(AP401),DC401,0)</f>
        <v>0</v>
      </c>
      <c r="FH401" s="28" t="n">
        <f aca="false">IF(ISNUMBER(AT401),DD401,0)</f>
        <v>0</v>
      </c>
      <c r="FI401" s="28" t="n">
        <f aca="false">IF(ISNUMBER(AX401),DE401,0)</f>
        <v>0</v>
      </c>
      <c r="FJ401" s="28" t="n">
        <f aca="false">IF(ISNUMBER(BB401),DF401,0)</f>
        <v>0</v>
      </c>
      <c r="FK401" s="28" t="n">
        <f aca="false">IF(ISNUMBER(BF401),DG401,0)</f>
        <v>0</v>
      </c>
      <c r="FL401" s="28" t="n">
        <f aca="false">IF(ISNUMBER(BJ401),DH401,0)</f>
        <v>0</v>
      </c>
      <c r="FM401" s="28" t="n">
        <f aca="false">IF(ISNUMBER(BN401),DI401,0)</f>
        <v>0</v>
      </c>
      <c r="FN401" s="28" t="n">
        <f aca="false">IF(ISNUMBER(BR401),DJ401,0)</f>
        <v>0</v>
      </c>
      <c r="FO401" s="28" t="str">
        <f aca="false">IFERROR(INDEX(Lists!$G$2:$G$20,MATCH($I401&amp;"|"&amp;$J401,Lists!$F$2:$F$20,0)),"")</f>
        <v/>
      </c>
    </row>
    <row r="402" customFormat="false" ht="19.5" hidden="false" customHeight="true" outlineLevel="0" collapsed="false">
      <c r="A402" s="29"/>
      <c r="B402" s="29"/>
      <c r="C402" s="30"/>
      <c r="D402" s="30"/>
      <c r="E402" s="31"/>
      <c r="F402" s="30"/>
      <c r="G402" s="30"/>
      <c r="H402" s="32"/>
      <c r="I402" s="33"/>
      <c r="J402" s="32"/>
      <c r="K402" s="34" t="str">
        <f aca="false">IF(OR(M402="",$E402=""),"",M402-$E402)</f>
        <v/>
      </c>
      <c r="L402" s="35" t="str">
        <f aca="false">IF(SUM(FA402:FN402)=0,"",SUM(EM402:EZ402)/SUM(FA402:FN402))</f>
        <v/>
      </c>
      <c r="M402" s="36" t="str">
        <f aca="false">IF(OR(L402="",FO402=""),"",IFERROR(MATCH(L402,INDEX(Boundaries!$B$2:$I$30,MATCH(FO402,Boundaries!$A$2:$A$30,0),0),1)-1,""))</f>
        <v/>
      </c>
      <c r="N402" s="37" t="str">
        <f aca="false">IF(COUNT($DY402:$EL402)&lt;2,"",INDEX($DK402:$DX402,MAX($DY402:$EL402))-INDEX($DK402:$DX402,MIN($DY402:$EL402)))</f>
        <v/>
      </c>
      <c r="O402" s="37" t="str">
        <f aca="false">IF(COUNT($DY402:$EL402)&lt;2,"",INDEX($DK402:$DX402,MAX($DY402:$EL402))-INDEX($DK402:$DX402,LARGE($DY402:$EL402,2)))</f>
        <v/>
      </c>
      <c r="P402" s="38" t="str">
        <f aca="false">IF(K402="","",IF(K402&gt;=0,"On/above target",IF(AND(N402&lt;&gt;"",N402&gt;=0.5),"Improving towards target",IF(AND(O402&lt;&gt;"",O402&lt;=-0.5),"Declining","Stable below target"))))</f>
        <v/>
      </c>
      <c r="Q402" s="39"/>
      <c r="R402" s="40" t="str">
        <f aca="false">IF(OR(Q402="",BU402=""),"",Q402/BU402*100)</f>
        <v/>
      </c>
      <c r="S402" s="41" t="str">
        <f aca="false">IF(R402="","",IFERROR(MATCH(R402,INDEX(Boundaries!$B$2:$I$30,MATCH(CI402,Boundaries!$A$2:$A$30,0),0),1)-1,""))</f>
        <v/>
      </c>
      <c r="T402" s="42" t="str">
        <f aca="false">IF(OR(S402="",$E402=""),"",S402-$E402)</f>
        <v/>
      </c>
      <c r="U402" s="39"/>
      <c r="V402" s="40" t="str">
        <f aca="false">IF(OR(U402="",BV402=""),"",U402/BV402*100)</f>
        <v/>
      </c>
      <c r="W402" s="41" t="str">
        <f aca="false">IF(V402="","",IFERROR(MATCH(V402,INDEX(Boundaries!$B$2:$I$30,MATCH(CJ402,Boundaries!$A$2:$A$30,0),0),1)-1,""))</f>
        <v/>
      </c>
      <c r="X402" s="42" t="str">
        <f aca="false">IF(OR(W402="",$E402=""),"",W402-$E402)</f>
        <v/>
      </c>
      <c r="Y402" s="39"/>
      <c r="Z402" s="40" t="str">
        <f aca="false">IF(OR(Y402="",BW402=""),"",Y402/BW402*100)</f>
        <v/>
      </c>
      <c r="AA402" s="41" t="str">
        <f aca="false">IF(Z402="","",IFERROR(MATCH(Z402,INDEX(Boundaries!$B$2:$I$30,MATCH(CK402,Boundaries!$A$2:$A$30,0),0),1)-1,""))</f>
        <v/>
      </c>
      <c r="AB402" s="42" t="str">
        <f aca="false">IF(OR(AA402="",$E402=""),"",AA402-$E402)</f>
        <v/>
      </c>
      <c r="AC402" s="39"/>
      <c r="AD402" s="40" t="str">
        <f aca="false">IF(OR(AC402="",BX402=""),"",AC402/BX402*100)</f>
        <v/>
      </c>
      <c r="AE402" s="41" t="str">
        <f aca="false">IF(AD402="","",IFERROR(MATCH(AD402,INDEX(Boundaries!$B$2:$I$30,MATCH(CL402,Boundaries!$A$2:$A$30,0),0),1)-1,""))</f>
        <v/>
      </c>
      <c r="AF402" s="42" t="str">
        <f aca="false">IF(OR(AE402="",$E402=""),"",AE402-$E402)</f>
        <v/>
      </c>
      <c r="AG402" s="39"/>
      <c r="AH402" s="40" t="str">
        <f aca="false">IF(OR(AG402="",BY402=""),"",AG402/BY402*100)</f>
        <v/>
      </c>
      <c r="AI402" s="41" t="str">
        <f aca="false">IF(AH402="","",IFERROR(MATCH(AH402,INDEX(Boundaries!$B$2:$I$30,MATCH(CM402,Boundaries!$A$2:$A$30,0),0),1)-1,""))</f>
        <v/>
      </c>
      <c r="AJ402" s="42" t="str">
        <f aca="false">IF(OR(AI402="",$E402=""),"",AI402-$E402)</f>
        <v/>
      </c>
      <c r="AK402" s="39"/>
      <c r="AL402" s="40" t="str">
        <f aca="false">IF(OR(AK402="",BZ402=""),"",AK402/BZ402*100)</f>
        <v/>
      </c>
      <c r="AM402" s="41" t="str">
        <f aca="false">IF(AL402="","",IFERROR(MATCH(AL402,INDEX(Boundaries!$B$2:$I$30,MATCH(CN402,Boundaries!$A$2:$A$30,0),0),1)-1,""))</f>
        <v/>
      </c>
      <c r="AN402" s="42" t="str">
        <f aca="false">IF(OR(AM402="",$E402=""),"",AM402-$E402)</f>
        <v/>
      </c>
      <c r="AO402" s="39"/>
      <c r="AP402" s="40" t="str">
        <f aca="false">IF(OR(AO402="",CA402=""),"",AO402/CA402*100)</f>
        <v/>
      </c>
      <c r="AQ402" s="41" t="str">
        <f aca="false">IF(AP402="","",IFERROR(MATCH(AP402,INDEX(Boundaries!$B$2:$I$30,MATCH(CO402,Boundaries!$A$2:$A$30,0),0),1)-1,""))</f>
        <v/>
      </c>
      <c r="AR402" s="42" t="str">
        <f aca="false">IF(OR(AQ402="",$E402=""),"",AQ402-$E402)</f>
        <v/>
      </c>
      <c r="AS402" s="39"/>
      <c r="AT402" s="40" t="str">
        <f aca="false">IF(OR(AS402="",CB402=""),"",AS402/CB402*100)</f>
        <v/>
      </c>
      <c r="AU402" s="41" t="str">
        <f aca="false">IF(AT402="","",IFERROR(MATCH(AT402,INDEX(Boundaries!$B$2:$I$30,MATCH(CP402,Boundaries!$A$2:$A$30,0),0),1)-1,""))</f>
        <v/>
      </c>
      <c r="AV402" s="42" t="str">
        <f aca="false">IF(OR(AU402="",$E402=""),"",AU402-$E402)</f>
        <v/>
      </c>
      <c r="AW402" s="39"/>
      <c r="AX402" s="40" t="str">
        <f aca="false">IF(OR(AW402="",CC402=""),"",AW402/CC402*100)</f>
        <v/>
      </c>
      <c r="AY402" s="41" t="str">
        <f aca="false">IF(AX402="","",IFERROR(MATCH(AX402,INDEX(Boundaries!$B$2:$I$30,MATCH(CQ402,Boundaries!$A$2:$A$30,0),0),1)-1,""))</f>
        <v/>
      </c>
      <c r="AZ402" s="42" t="str">
        <f aca="false">IF(OR(AY402="",$E402=""),"",AY402-$E402)</f>
        <v/>
      </c>
      <c r="BA402" s="39"/>
      <c r="BB402" s="40" t="str">
        <f aca="false">IF(OR(BA402="",CD402=""),"",BA402/CD402*100)</f>
        <v/>
      </c>
      <c r="BC402" s="41" t="str">
        <f aca="false">IF(BB402="","",IFERROR(MATCH(BB402,INDEX(Boundaries!$B$2:$I$30,MATCH(CR402,Boundaries!$A$2:$A$30,0),0),1)-1,""))</f>
        <v/>
      </c>
      <c r="BD402" s="42" t="str">
        <f aca="false">IF(OR(BC402="",$E402=""),"",BC402-$E402)</f>
        <v/>
      </c>
      <c r="BE402" s="39"/>
      <c r="BF402" s="40" t="str">
        <f aca="false">IF(OR(BE402="",CE402=""),"",BE402/CE402*100)</f>
        <v/>
      </c>
      <c r="BG402" s="41" t="str">
        <f aca="false">IF(BF402="","",IFERROR(MATCH(BF402,INDEX(Boundaries!$B$2:$I$30,MATCH(CS402,Boundaries!$A$2:$A$30,0),0),1)-1,""))</f>
        <v/>
      </c>
      <c r="BH402" s="42" t="str">
        <f aca="false">IF(OR(BG402="",$E402=""),"",BG402-$E402)</f>
        <v/>
      </c>
      <c r="BI402" s="39"/>
      <c r="BJ402" s="40" t="str">
        <f aca="false">IF(OR(BI402="",CF402=""),"",BI402/CF402*100)</f>
        <v/>
      </c>
      <c r="BK402" s="41" t="str">
        <f aca="false">IF(BJ402="","",IFERROR(MATCH(BJ402,INDEX(Boundaries!$B$2:$I$30,MATCH(CT402,Boundaries!$A$2:$A$30,0),0),1)-1,""))</f>
        <v/>
      </c>
      <c r="BL402" s="42" t="str">
        <f aca="false">IF(OR(BK402="",$E402=""),"",BK402-$E402)</f>
        <v/>
      </c>
      <c r="BM402" s="39"/>
      <c r="BN402" s="40" t="str">
        <f aca="false">IF(OR(BM402="",CG402=""),"",BM402/CG402*100)</f>
        <v/>
      </c>
      <c r="BO402" s="41" t="str">
        <f aca="false">IF(BN402="","",IFERROR(MATCH(BN402,INDEX(Boundaries!$B$2:$I$30,MATCH(CU402,Boundaries!$A$2:$A$30,0),0),1)-1,""))</f>
        <v/>
      </c>
      <c r="BP402" s="42" t="str">
        <f aca="false">IF(OR(BO402="",$E402=""),"",BO402-$E402)</f>
        <v/>
      </c>
      <c r="BQ402" s="39"/>
      <c r="BR402" s="40" t="str">
        <f aca="false">IF(OR(BQ402="",CH402=""),"",BQ402/CH402*100)</f>
        <v/>
      </c>
      <c r="BS402" s="41" t="str">
        <f aca="false">IF(BR402="","",IFERROR(MATCH(BR402,INDEX(Boundaries!$B$2:$I$30,MATCH(CV402,Boundaries!$A$2:$A$30,0),0),1)-1,""))</f>
        <v/>
      </c>
      <c r="BT402" s="42" t="str">
        <f aca="false">IF(OR(BS402="",$E402=""),"",BS402-$E402)</f>
        <v/>
      </c>
      <c r="BU402" s="28" t="str">
        <f aca="false">IFERROR(INDEX(Assessments!$H$2:$H$600,MATCH($H402&amp;"|"&amp;$I402&amp;"|"&amp;$J402&amp;"|"&amp;1,Assessments!$A$2:$A$600,0)),"")</f>
        <v/>
      </c>
      <c r="BV402" s="28" t="str">
        <f aca="false">IFERROR(INDEX(Assessments!$H$2:$H$600,MATCH($H402&amp;"|"&amp;$I402&amp;"|"&amp;$J402&amp;"|"&amp;2,Assessments!$A$2:$A$600,0)),"")</f>
        <v/>
      </c>
      <c r="BW402" s="28" t="str">
        <f aca="false">IFERROR(INDEX(Assessments!$H$2:$H$600,MATCH($H402&amp;"|"&amp;$I402&amp;"|"&amp;$J402&amp;"|"&amp;3,Assessments!$A$2:$A$600,0)),"")</f>
        <v/>
      </c>
      <c r="BX402" s="28" t="str">
        <f aca="false">IFERROR(INDEX(Assessments!$H$2:$H$600,MATCH($H402&amp;"|"&amp;$I402&amp;"|"&amp;$J402&amp;"|"&amp;4,Assessments!$A$2:$A$600,0)),"")</f>
        <v/>
      </c>
      <c r="BY402" s="28" t="str">
        <f aca="false">IFERROR(INDEX(Assessments!$H$2:$H$600,MATCH($H402&amp;"|"&amp;$I402&amp;"|"&amp;$J402&amp;"|"&amp;5,Assessments!$A$2:$A$600,0)),"")</f>
        <v/>
      </c>
      <c r="BZ402" s="28" t="str">
        <f aca="false">IFERROR(INDEX(Assessments!$H$2:$H$600,MATCH($H402&amp;"|"&amp;$I402&amp;"|"&amp;$J402&amp;"|"&amp;6,Assessments!$A$2:$A$600,0)),"")</f>
        <v/>
      </c>
      <c r="CA402" s="28" t="str">
        <f aca="false">IFERROR(INDEX(Assessments!$H$2:$H$600,MATCH($H402&amp;"|"&amp;$I402&amp;"|"&amp;$J402&amp;"|"&amp;7,Assessments!$A$2:$A$600,0)),"")</f>
        <v/>
      </c>
      <c r="CB402" s="28" t="str">
        <f aca="false">IFERROR(INDEX(Assessments!$H$2:$H$600,MATCH($H402&amp;"|"&amp;$I402&amp;"|"&amp;$J402&amp;"|"&amp;8,Assessments!$A$2:$A$600,0)),"")</f>
        <v/>
      </c>
      <c r="CC402" s="28" t="str">
        <f aca="false">IFERROR(INDEX(Assessments!$H$2:$H$600,MATCH($H402&amp;"|"&amp;$I402&amp;"|"&amp;$J402&amp;"|"&amp;9,Assessments!$A$2:$A$600,0)),"")</f>
        <v/>
      </c>
      <c r="CD402" s="28" t="str">
        <f aca="false">IFERROR(INDEX(Assessments!$H$2:$H$600,MATCH($H402&amp;"|"&amp;$I402&amp;"|"&amp;$J402&amp;"|"&amp;10,Assessments!$A$2:$A$600,0)),"")</f>
        <v/>
      </c>
      <c r="CE402" s="28" t="str">
        <f aca="false">IFERROR(INDEX(Assessments!$H$2:$H$600,MATCH($H402&amp;"|"&amp;$I402&amp;"|"&amp;$J402&amp;"|"&amp;11,Assessments!$A$2:$A$600,0)),"")</f>
        <v/>
      </c>
      <c r="CF402" s="28" t="str">
        <f aca="false">IFERROR(INDEX(Assessments!$H$2:$H$600,MATCH($H402&amp;"|"&amp;$I402&amp;"|"&amp;$J402&amp;"|"&amp;12,Assessments!$A$2:$A$600,0)),"")</f>
        <v/>
      </c>
      <c r="CG402" s="28" t="str">
        <f aca="false">IFERROR(INDEX(Assessments!$H$2:$H$600,MATCH($H402&amp;"|"&amp;$I402&amp;"|"&amp;$J402&amp;"|"&amp;13,Assessments!$A$2:$A$600,0)),"")</f>
        <v/>
      </c>
      <c r="CH402" s="28" t="str">
        <f aca="false">IFERROR(INDEX(Assessments!$H$2:$H$600,MATCH($H402&amp;"|"&amp;$I402&amp;"|"&amp;$J402&amp;"|"&amp;14,Assessments!$A$2:$A$600,0)),"")</f>
        <v/>
      </c>
      <c r="CI402" s="28" t="str">
        <f aca="false">IFERROR(INDEX(Assessments!$I$2:$I$600,MATCH($H402&amp;"|"&amp;$I402&amp;"|"&amp;$J402&amp;"|"&amp;1,Assessments!$A$2:$A$600,0)),"")</f>
        <v/>
      </c>
      <c r="CJ402" s="28" t="str">
        <f aca="false">IFERROR(INDEX(Assessments!$I$2:$I$600,MATCH($H402&amp;"|"&amp;$I402&amp;"|"&amp;$J402&amp;"|"&amp;2,Assessments!$A$2:$A$600,0)),"")</f>
        <v/>
      </c>
      <c r="CK402" s="28" t="str">
        <f aca="false">IFERROR(INDEX(Assessments!$I$2:$I$600,MATCH($H402&amp;"|"&amp;$I402&amp;"|"&amp;$J402&amp;"|"&amp;3,Assessments!$A$2:$A$600,0)),"")</f>
        <v/>
      </c>
      <c r="CL402" s="28" t="str">
        <f aca="false">IFERROR(INDEX(Assessments!$I$2:$I$600,MATCH($H402&amp;"|"&amp;$I402&amp;"|"&amp;$J402&amp;"|"&amp;4,Assessments!$A$2:$A$600,0)),"")</f>
        <v/>
      </c>
      <c r="CM402" s="28" t="str">
        <f aca="false">IFERROR(INDEX(Assessments!$I$2:$I$600,MATCH($H402&amp;"|"&amp;$I402&amp;"|"&amp;$J402&amp;"|"&amp;5,Assessments!$A$2:$A$600,0)),"")</f>
        <v/>
      </c>
      <c r="CN402" s="28" t="str">
        <f aca="false">IFERROR(INDEX(Assessments!$I$2:$I$600,MATCH($H402&amp;"|"&amp;$I402&amp;"|"&amp;$J402&amp;"|"&amp;6,Assessments!$A$2:$A$600,0)),"")</f>
        <v/>
      </c>
      <c r="CO402" s="28" t="str">
        <f aca="false">IFERROR(INDEX(Assessments!$I$2:$I$600,MATCH($H402&amp;"|"&amp;$I402&amp;"|"&amp;$J402&amp;"|"&amp;7,Assessments!$A$2:$A$600,0)),"")</f>
        <v/>
      </c>
      <c r="CP402" s="28" t="str">
        <f aca="false">IFERROR(INDEX(Assessments!$I$2:$I$600,MATCH($H402&amp;"|"&amp;$I402&amp;"|"&amp;$J402&amp;"|"&amp;8,Assessments!$A$2:$A$600,0)),"")</f>
        <v/>
      </c>
      <c r="CQ402" s="28" t="str">
        <f aca="false">IFERROR(INDEX(Assessments!$I$2:$I$600,MATCH($H402&amp;"|"&amp;$I402&amp;"|"&amp;$J402&amp;"|"&amp;9,Assessments!$A$2:$A$600,0)),"")</f>
        <v/>
      </c>
      <c r="CR402" s="28" t="str">
        <f aca="false">IFERROR(INDEX(Assessments!$I$2:$I$600,MATCH($H402&amp;"|"&amp;$I402&amp;"|"&amp;$J402&amp;"|"&amp;10,Assessments!$A$2:$A$600,0)),"")</f>
        <v/>
      </c>
      <c r="CS402" s="28" t="str">
        <f aca="false">IFERROR(INDEX(Assessments!$I$2:$I$600,MATCH($H402&amp;"|"&amp;$I402&amp;"|"&amp;$J402&amp;"|"&amp;11,Assessments!$A$2:$A$600,0)),"")</f>
        <v/>
      </c>
      <c r="CT402" s="28" t="str">
        <f aca="false">IFERROR(INDEX(Assessments!$I$2:$I$600,MATCH($H402&amp;"|"&amp;$I402&amp;"|"&amp;$J402&amp;"|"&amp;12,Assessments!$A$2:$A$600,0)),"")</f>
        <v/>
      </c>
      <c r="CU402" s="28" t="str">
        <f aca="false">IFERROR(INDEX(Assessments!$I$2:$I$600,MATCH($H402&amp;"|"&amp;$I402&amp;"|"&amp;$J402&amp;"|"&amp;13,Assessments!$A$2:$A$600,0)),"")</f>
        <v/>
      </c>
      <c r="CV402" s="28" t="str">
        <f aca="false">IFERROR(INDEX(Assessments!$I$2:$I$600,MATCH($H402&amp;"|"&amp;$I402&amp;"|"&amp;$J402&amp;"|"&amp;14,Assessments!$A$2:$A$600,0)),"")</f>
        <v/>
      </c>
      <c r="CW402" s="28" t="n">
        <f aca="false">IFERROR(INDEX(Assessments!$J$2:$J$600,MATCH($H402&amp;"|"&amp;$I402&amp;"|"&amp;$J402&amp;"|"&amp;1,Assessments!$A$2:$A$600,0)),0)</f>
        <v>0</v>
      </c>
      <c r="CX402" s="28" t="n">
        <f aca="false">IFERROR(INDEX(Assessments!$J$2:$J$600,MATCH($H402&amp;"|"&amp;$I402&amp;"|"&amp;$J402&amp;"|"&amp;2,Assessments!$A$2:$A$600,0)),0)</f>
        <v>0</v>
      </c>
      <c r="CY402" s="28" t="n">
        <f aca="false">IFERROR(INDEX(Assessments!$J$2:$J$600,MATCH($H402&amp;"|"&amp;$I402&amp;"|"&amp;$J402&amp;"|"&amp;3,Assessments!$A$2:$A$600,0)),0)</f>
        <v>0</v>
      </c>
      <c r="CZ402" s="28" t="n">
        <f aca="false">IFERROR(INDEX(Assessments!$J$2:$J$600,MATCH($H402&amp;"|"&amp;$I402&amp;"|"&amp;$J402&amp;"|"&amp;4,Assessments!$A$2:$A$600,0)),0)</f>
        <v>0</v>
      </c>
      <c r="DA402" s="28" t="n">
        <f aca="false">IFERROR(INDEX(Assessments!$J$2:$J$600,MATCH($H402&amp;"|"&amp;$I402&amp;"|"&amp;$J402&amp;"|"&amp;5,Assessments!$A$2:$A$600,0)),0)</f>
        <v>0</v>
      </c>
      <c r="DB402" s="28" t="n">
        <f aca="false">IFERROR(INDEX(Assessments!$J$2:$J$600,MATCH($H402&amp;"|"&amp;$I402&amp;"|"&amp;$J402&amp;"|"&amp;6,Assessments!$A$2:$A$600,0)),0)</f>
        <v>0</v>
      </c>
      <c r="DC402" s="28" t="n">
        <f aca="false">IFERROR(INDEX(Assessments!$J$2:$J$600,MATCH($H402&amp;"|"&amp;$I402&amp;"|"&amp;$J402&amp;"|"&amp;7,Assessments!$A$2:$A$600,0)),0)</f>
        <v>0</v>
      </c>
      <c r="DD402" s="28" t="n">
        <f aca="false">IFERROR(INDEX(Assessments!$J$2:$J$600,MATCH($H402&amp;"|"&amp;$I402&amp;"|"&amp;$J402&amp;"|"&amp;8,Assessments!$A$2:$A$600,0)),0)</f>
        <v>0</v>
      </c>
      <c r="DE402" s="28" t="n">
        <f aca="false">IFERROR(INDEX(Assessments!$J$2:$J$600,MATCH($H402&amp;"|"&amp;$I402&amp;"|"&amp;$J402&amp;"|"&amp;9,Assessments!$A$2:$A$600,0)),0)</f>
        <v>0</v>
      </c>
      <c r="DF402" s="28" t="n">
        <f aca="false">IFERROR(INDEX(Assessments!$J$2:$J$600,MATCH($H402&amp;"|"&amp;$I402&amp;"|"&amp;$J402&amp;"|"&amp;10,Assessments!$A$2:$A$600,0)),0)</f>
        <v>0</v>
      </c>
      <c r="DG402" s="28" t="n">
        <f aca="false">IFERROR(INDEX(Assessments!$J$2:$J$600,MATCH($H402&amp;"|"&amp;$I402&amp;"|"&amp;$J402&amp;"|"&amp;11,Assessments!$A$2:$A$600,0)),0)</f>
        <v>0</v>
      </c>
      <c r="DH402" s="28" t="n">
        <f aca="false">IFERROR(INDEX(Assessments!$J$2:$J$600,MATCH($H402&amp;"|"&amp;$I402&amp;"|"&amp;$J402&amp;"|"&amp;12,Assessments!$A$2:$A$600,0)),0)</f>
        <v>0</v>
      </c>
      <c r="DI402" s="28" t="n">
        <f aca="false">IFERROR(INDEX(Assessments!$J$2:$J$600,MATCH($H402&amp;"|"&amp;$I402&amp;"|"&amp;$J402&amp;"|"&amp;13,Assessments!$A$2:$A$600,0)),0)</f>
        <v>0</v>
      </c>
      <c r="DJ402" s="28" t="n">
        <f aca="false">IFERROR(INDEX(Assessments!$J$2:$J$600,MATCH($H402&amp;"|"&amp;$I402&amp;"|"&amp;$J402&amp;"|"&amp;14,Assessments!$A$2:$A$600,0)),0)</f>
        <v>0</v>
      </c>
      <c r="DK402" s="28" t="str">
        <f aca="false">S402</f>
        <v/>
      </c>
      <c r="DL402" s="28" t="str">
        <f aca="false">W402</f>
        <v/>
      </c>
      <c r="DM402" s="28" t="str">
        <f aca="false">AA402</f>
        <v/>
      </c>
      <c r="DN402" s="28" t="str">
        <f aca="false">AE402</f>
        <v/>
      </c>
      <c r="DO402" s="28" t="str">
        <f aca="false">AI402</f>
        <v/>
      </c>
      <c r="DP402" s="28" t="str">
        <f aca="false">AM402</f>
        <v/>
      </c>
      <c r="DQ402" s="28" t="str">
        <f aca="false">AQ402</f>
        <v/>
      </c>
      <c r="DR402" s="28" t="str">
        <f aca="false">AU402</f>
        <v/>
      </c>
      <c r="DS402" s="28" t="str">
        <f aca="false">AY402</f>
        <v/>
      </c>
      <c r="DT402" s="28" t="str">
        <f aca="false">BC402</f>
        <v/>
      </c>
      <c r="DU402" s="28" t="str">
        <f aca="false">BG402</f>
        <v/>
      </c>
      <c r="DV402" s="28" t="str">
        <f aca="false">BK402</f>
        <v/>
      </c>
      <c r="DW402" s="28" t="str">
        <f aca="false">BO402</f>
        <v/>
      </c>
      <c r="DX402" s="28" t="str">
        <f aca="false">BS402</f>
        <v/>
      </c>
      <c r="DY402" s="28" t="str">
        <f aca="false">IF(ISNUMBER(S402),1,"")</f>
        <v/>
      </c>
      <c r="DZ402" s="28" t="str">
        <f aca="false">IF(ISNUMBER(W402),2,"")</f>
        <v/>
      </c>
      <c r="EA402" s="28" t="str">
        <f aca="false">IF(ISNUMBER(AA402),3,"")</f>
        <v/>
      </c>
      <c r="EB402" s="28" t="str">
        <f aca="false">IF(ISNUMBER(AE402),4,"")</f>
        <v/>
      </c>
      <c r="EC402" s="28" t="str">
        <f aca="false">IF(ISNUMBER(AI402),5,"")</f>
        <v/>
      </c>
      <c r="ED402" s="28" t="str">
        <f aca="false">IF(ISNUMBER(AM402),6,"")</f>
        <v/>
      </c>
      <c r="EE402" s="28" t="str">
        <f aca="false">IF(ISNUMBER(AQ402),7,"")</f>
        <v/>
      </c>
      <c r="EF402" s="28" t="str">
        <f aca="false">IF(ISNUMBER(AU402),8,"")</f>
        <v/>
      </c>
      <c r="EG402" s="28" t="str">
        <f aca="false">IF(ISNUMBER(AY402),9,"")</f>
        <v/>
      </c>
      <c r="EH402" s="28" t="str">
        <f aca="false">IF(ISNUMBER(BC402),10,"")</f>
        <v/>
      </c>
      <c r="EI402" s="28" t="str">
        <f aca="false">IF(ISNUMBER(BG402),11,"")</f>
        <v/>
      </c>
      <c r="EJ402" s="28" t="str">
        <f aca="false">IF(ISNUMBER(BK402),12,"")</f>
        <v/>
      </c>
      <c r="EK402" s="28" t="str">
        <f aca="false">IF(ISNUMBER(BO402),13,"")</f>
        <v/>
      </c>
      <c r="EL402" s="28" t="str">
        <f aca="false">IF(ISNUMBER(BS402),14,"")</f>
        <v/>
      </c>
      <c r="EM402" s="28" t="n">
        <f aca="false">IF(ISNUMBER(R402),R402*CW402,0)</f>
        <v>0</v>
      </c>
      <c r="EN402" s="28" t="n">
        <f aca="false">IF(ISNUMBER(V402),V402*CX402,0)</f>
        <v>0</v>
      </c>
      <c r="EO402" s="28" t="n">
        <f aca="false">IF(ISNUMBER(Z402),Z402*CY402,0)</f>
        <v>0</v>
      </c>
      <c r="EP402" s="28" t="n">
        <f aca="false">IF(ISNUMBER(AD402),AD402*CZ402,0)</f>
        <v>0</v>
      </c>
      <c r="EQ402" s="28" t="n">
        <f aca="false">IF(ISNUMBER(AH402),AH402*DA402,0)</f>
        <v>0</v>
      </c>
      <c r="ER402" s="28" t="n">
        <f aca="false">IF(ISNUMBER(AL402),AL402*DB402,0)</f>
        <v>0</v>
      </c>
      <c r="ES402" s="28" t="n">
        <f aca="false">IF(ISNUMBER(AP402),AP402*DC402,0)</f>
        <v>0</v>
      </c>
      <c r="ET402" s="28" t="n">
        <f aca="false">IF(ISNUMBER(AT402),AT402*DD402,0)</f>
        <v>0</v>
      </c>
      <c r="EU402" s="28" t="n">
        <f aca="false">IF(ISNUMBER(AX402),AX402*DE402,0)</f>
        <v>0</v>
      </c>
      <c r="EV402" s="28" t="n">
        <f aca="false">IF(ISNUMBER(BB402),BB402*DF402,0)</f>
        <v>0</v>
      </c>
      <c r="EW402" s="28" t="n">
        <f aca="false">IF(ISNUMBER(BF402),BF402*DG402,0)</f>
        <v>0</v>
      </c>
      <c r="EX402" s="28" t="n">
        <f aca="false">IF(ISNUMBER(BJ402),BJ402*DH402,0)</f>
        <v>0</v>
      </c>
      <c r="EY402" s="28" t="n">
        <f aca="false">IF(ISNUMBER(BN402),BN402*DI402,0)</f>
        <v>0</v>
      </c>
      <c r="EZ402" s="28" t="n">
        <f aca="false">IF(ISNUMBER(BR402),BR402*DJ402,0)</f>
        <v>0</v>
      </c>
      <c r="FA402" s="28" t="n">
        <f aca="false">IF(ISNUMBER(R402),CW402,0)</f>
        <v>0</v>
      </c>
      <c r="FB402" s="28" t="n">
        <f aca="false">IF(ISNUMBER(V402),CX402,0)</f>
        <v>0</v>
      </c>
      <c r="FC402" s="28" t="n">
        <f aca="false">IF(ISNUMBER(Z402),CY402,0)</f>
        <v>0</v>
      </c>
      <c r="FD402" s="28" t="n">
        <f aca="false">IF(ISNUMBER(AD402),CZ402,0)</f>
        <v>0</v>
      </c>
      <c r="FE402" s="28" t="n">
        <f aca="false">IF(ISNUMBER(AH402),DA402,0)</f>
        <v>0</v>
      </c>
      <c r="FF402" s="28" t="n">
        <f aca="false">IF(ISNUMBER(AL402),DB402,0)</f>
        <v>0</v>
      </c>
      <c r="FG402" s="28" t="n">
        <f aca="false">IF(ISNUMBER(AP402),DC402,0)</f>
        <v>0</v>
      </c>
      <c r="FH402" s="28" t="n">
        <f aca="false">IF(ISNUMBER(AT402),DD402,0)</f>
        <v>0</v>
      </c>
      <c r="FI402" s="28" t="n">
        <f aca="false">IF(ISNUMBER(AX402),DE402,0)</f>
        <v>0</v>
      </c>
      <c r="FJ402" s="28" t="n">
        <f aca="false">IF(ISNUMBER(BB402),DF402,0)</f>
        <v>0</v>
      </c>
      <c r="FK402" s="28" t="n">
        <f aca="false">IF(ISNUMBER(BF402),DG402,0)</f>
        <v>0</v>
      </c>
      <c r="FL402" s="28" t="n">
        <f aca="false">IF(ISNUMBER(BJ402),DH402,0)</f>
        <v>0</v>
      </c>
      <c r="FM402" s="28" t="n">
        <f aca="false">IF(ISNUMBER(BN402),DI402,0)</f>
        <v>0</v>
      </c>
      <c r="FN402" s="28" t="n">
        <f aca="false">IF(ISNUMBER(BR402),DJ402,0)</f>
        <v>0</v>
      </c>
      <c r="FO402" s="28" t="str">
        <f aca="false">IFERROR(INDEX(Lists!$G$2:$G$20,MATCH($I402&amp;"|"&amp;$J402,Lists!$F$2:$F$20,0)),"")</f>
        <v/>
      </c>
    </row>
    <row r="403" customFormat="false" ht="19.5" hidden="false" customHeight="true" outlineLevel="0" collapsed="false">
      <c r="A403" s="29"/>
      <c r="B403" s="29"/>
      <c r="C403" s="30"/>
      <c r="D403" s="30"/>
      <c r="E403" s="31"/>
      <c r="F403" s="30"/>
      <c r="G403" s="30"/>
      <c r="H403" s="32"/>
      <c r="I403" s="33"/>
      <c r="J403" s="32"/>
      <c r="K403" s="34" t="str">
        <f aca="false">IF(OR(M403="",$E403=""),"",M403-$E403)</f>
        <v/>
      </c>
      <c r="L403" s="35" t="str">
        <f aca="false">IF(SUM(FA403:FN403)=0,"",SUM(EM403:EZ403)/SUM(FA403:FN403))</f>
        <v/>
      </c>
      <c r="M403" s="36" t="str">
        <f aca="false">IF(OR(L403="",FO403=""),"",IFERROR(MATCH(L403,INDEX(Boundaries!$B$2:$I$30,MATCH(FO403,Boundaries!$A$2:$A$30,0),0),1)-1,""))</f>
        <v/>
      </c>
      <c r="N403" s="37" t="str">
        <f aca="false">IF(COUNT($DY403:$EL403)&lt;2,"",INDEX($DK403:$DX403,MAX($DY403:$EL403))-INDEX($DK403:$DX403,MIN($DY403:$EL403)))</f>
        <v/>
      </c>
      <c r="O403" s="37" t="str">
        <f aca="false">IF(COUNT($DY403:$EL403)&lt;2,"",INDEX($DK403:$DX403,MAX($DY403:$EL403))-INDEX($DK403:$DX403,LARGE($DY403:$EL403,2)))</f>
        <v/>
      </c>
      <c r="P403" s="38" t="str">
        <f aca="false">IF(K403="","",IF(K403&gt;=0,"On/above target",IF(AND(N403&lt;&gt;"",N403&gt;=0.5),"Improving towards target",IF(AND(O403&lt;&gt;"",O403&lt;=-0.5),"Declining","Stable below target"))))</f>
        <v/>
      </c>
      <c r="Q403" s="39"/>
      <c r="R403" s="40" t="str">
        <f aca="false">IF(OR(Q403="",BU403=""),"",Q403/BU403*100)</f>
        <v/>
      </c>
      <c r="S403" s="41" t="str">
        <f aca="false">IF(R403="","",IFERROR(MATCH(R403,INDEX(Boundaries!$B$2:$I$30,MATCH(CI403,Boundaries!$A$2:$A$30,0),0),1)-1,""))</f>
        <v/>
      </c>
      <c r="T403" s="42" t="str">
        <f aca="false">IF(OR(S403="",$E403=""),"",S403-$E403)</f>
        <v/>
      </c>
      <c r="U403" s="39"/>
      <c r="V403" s="40" t="str">
        <f aca="false">IF(OR(U403="",BV403=""),"",U403/BV403*100)</f>
        <v/>
      </c>
      <c r="W403" s="41" t="str">
        <f aca="false">IF(V403="","",IFERROR(MATCH(V403,INDEX(Boundaries!$B$2:$I$30,MATCH(CJ403,Boundaries!$A$2:$A$30,0),0),1)-1,""))</f>
        <v/>
      </c>
      <c r="X403" s="42" t="str">
        <f aca="false">IF(OR(W403="",$E403=""),"",W403-$E403)</f>
        <v/>
      </c>
      <c r="Y403" s="39"/>
      <c r="Z403" s="40" t="str">
        <f aca="false">IF(OR(Y403="",BW403=""),"",Y403/BW403*100)</f>
        <v/>
      </c>
      <c r="AA403" s="41" t="str">
        <f aca="false">IF(Z403="","",IFERROR(MATCH(Z403,INDEX(Boundaries!$B$2:$I$30,MATCH(CK403,Boundaries!$A$2:$A$30,0),0),1)-1,""))</f>
        <v/>
      </c>
      <c r="AB403" s="42" t="str">
        <f aca="false">IF(OR(AA403="",$E403=""),"",AA403-$E403)</f>
        <v/>
      </c>
      <c r="AC403" s="39"/>
      <c r="AD403" s="40" t="str">
        <f aca="false">IF(OR(AC403="",BX403=""),"",AC403/BX403*100)</f>
        <v/>
      </c>
      <c r="AE403" s="41" t="str">
        <f aca="false">IF(AD403="","",IFERROR(MATCH(AD403,INDEX(Boundaries!$B$2:$I$30,MATCH(CL403,Boundaries!$A$2:$A$30,0),0),1)-1,""))</f>
        <v/>
      </c>
      <c r="AF403" s="42" t="str">
        <f aca="false">IF(OR(AE403="",$E403=""),"",AE403-$E403)</f>
        <v/>
      </c>
      <c r="AG403" s="39"/>
      <c r="AH403" s="40" t="str">
        <f aca="false">IF(OR(AG403="",BY403=""),"",AG403/BY403*100)</f>
        <v/>
      </c>
      <c r="AI403" s="41" t="str">
        <f aca="false">IF(AH403="","",IFERROR(MATCH(AH403,INDEX(Boundaries!$B$2:$I$30,MATCH(CM403,Boundaries!$A$2:$A$30,0),0),1)-1,""))</f>
        <v/>
      </c>
      <c r="AJ403" s="42" t="str">
        <f aca="false">IF(OR(AI403="",$E403=""),"",AI403-$E403)</f>
        <v/>
      </c>
      <c r="AK403" s="39"/>
      <c r="AL403" s="40" t="str">
        <f aca="false">IF(OR(AK403="",BZ403=""),"",AK403/BZ403*100)</f>
        <v/>
      </c>
      <c r="AM403" s="41" t="str">
        <f aca="false">IF(AL403="","",IFERROR(MATCH(AL403,INDEX(Boundaries!$B$2:$I$30,MATCH(CN403,Boundaries!$A$2:$A$30,0),0),1)-1,""))</f>
        <v/>
      </c>
      <c r="AN403" s="42" t="str">
        <f aca="false">IF(OR(AM403="",$E403=""),"",AM403-$E403)</f>
        <v/>
      </c>
      <c r="AO403" s="39"/>
      <c r="AP403" s="40" t="str">
        <f aca="false">IF(OR(AO403="",CA403=""),"",AO403/CA403*100)</f>
        <v/>
      </c>
      <c r="AQ403" s="41" t="str">
        <f aca="false">IF(AP403="","",IFERROR(MATCH(AP403,INDEX(Boundaries!$B$2:$I$30,MATCH(CO403,Boundaries!$A$2:$A$30,0),0),1)-1,""))</f>
        <v/>
      </c>
      <c r="AR403" s="42" t="str">
        <f aca="false">IF(OR(AQ403="",$E403=""),"",AQ403-$E403)</f>
        <v/>
      </c>
      <c r="AS403" s="39"/>
      <c r="AT403" s="40" t="str">
        <f aca="false">IF(OR(AS403="",CB403=""),"",AS403/CB403*100)</f>
        <v/>
      </c>
      <c r="AU403" s="41" t="str">
        <f aca="false">IF(AT403="","",IFERROR(MATCH(AT403,INDEX(Boundaries!$B$2:$I$30,MATCH(CP403,Boundaries!$A$2:$A$30,0),0),1)-1,""))</f>
        <v/>
      </c>
      <c r="AV403" s="42" t="str">
        <f aca="false">IF(OR(AU403="",$E403=""),"",AU403-$E403)</f>
        <v/>
      </c>
      <c r="AW403" s="39"/>
      <c r="AX403" s="40" t="str">
        <f aca="false">IF(OR(AW403="",CC403=""),"",AW403/CC403*100)</f>
        <v/>
      </c>
      <c r="AY403" s="41" t="str">
        <f aca="false">IF(AX403="","",IFERROR(MATCH(AX403,INDEX(Boundaries!$B$2:$I$30,MATCH(CQ403,Boundaries!$A$2:$A$30,0),0),1)-1,""))</f>
        <v/>
      </c>
      <c r="AZ403" s="42" t="str">
        <f aca="false">IF(OR(AY403="",$E403=""),"",AY403-$E403)</f>
        <v/>
      </c>
      <c r="BA403" s="39"/>
      <c r="BB403" s="40" t="str">
        <f aca="false">IF(OR(BA403="",CD403=""),"",BA403/CD403*100)</f>
        <v/>
      </c>
      <c r="BC403" s="41" t="str">
        <f aca="false">IF(BB403="","",IFERROR(MATCH(BB403,INDEX(Boundaries!$B$2:$I$30,MATCH(CR403,Boundaries!$A$2:$A$30,0),0),1)-1,""))</f>
        <v/>
      </c>
      <c r="BD403" s="42" t="str">
        <f aca="false">IF(OR(BC403="",$E403=""),"",BC403-$E403)</f>
        <v/>
      </c>
      <c r="BE403" s="39"/>
      <c r="BF403" s="40" t="str">
        <f aca="false">IF(OR(BE403="",CE403=""),"",BE403/CE403*100)</f>
        <v/>
      </c>
      <c r="BG403" s="41" t="str">
        <f aca="false">IF(BF403="","",IFERROR(MATCH(BF403,INDEX(Boundaries!$B$2:$I$30,MATCH(CS403,Boundaries!$A$2:$A$30,0),0),1)-1,""))</f>
        <v/>
      </c>
      <c r="BH403" s="42" t="str">
        <f aca="false">IF(OR(BG403="",$E403=""),"",BG403-$E403)</f>
        <v/>
      </c>
      <c r="BI403" s="39"/>
      <c r="BJ403" s="40" t="str">
        <f aca="false">IF(OR(BI403="",CF403=""),"",BI403/CF403*100)</f>
        <v/>
      </c>
      <c r="BK403" s="41" t="str">
        <f aca="false">IF(BJ403="","",IFERROR(MATCH(BJ403,INDEX(Boundaries!$B$2:$I$30,MATCH(CT403,Boundaries!$A$2:$A$30,0),0),1)-1,""))</f>
        <v/>
      </c>
      <c r="BL403" s="42" t="str">
        <f aca="false">IF(OR(BK403="",$E403=""),"",BK403-$E403)</f>
        <v/>
      </c>
      <c r="BM403" s="39"/>
      <c r="BN403" s="40" t="str">
        <f aca="false">IF(OR(BM403="",CG403=""),"",BM403/CG403*100)</f>
        <v/>
      </c>
      <c r="BO403" s="41" t="str">
        <f aca="false">IF(BN403="","",IFERROR(MATCH(BN403,INDEX(Boundaries!$B$2:$I$30,MATCH(CU403,Boundaries!$A$2:$A$30,0),0),1)-1,""))</f>
        <v/>
      </c>
      <c r="BP403" s="42" t="str">
        <f aca="false">IF(OR(BO403="",$E403=""),"",BO403-$E403)</f>
        <v/>
      </c>
      <c r="BQ403" s="39"/>
      <c r="BR403" s="40" t="str">
        <f aca="false">IF(OR(BQ403="",CH403=""),"",BQ403/CH403*100)</f>
        <v/>
      </c>
      <c r="BS403" s="41" t="str">
        <f aca="false">IF(BR403="","",IFERROR(MATCH(BR403,INDEX(Boundaries!$B$2:$I$30,MATCH(CV403,Boundaries!$A$2:$A$30,0),0),1)-1,""))</f>
        <v/>
      </c>
      <c r="BT403" s="42" t="str">
        <f aca="false">IF(OR(BS403="",$E403=""),"",BS403-$E403)</f>
        <v/>
      </c>
      <c r="BU403" s="28" t="str">
        <f aca="false">IFERROR(INDEX(Assessments!$H$2:$H$600,MATCH($H403&amp;"|"&amp;$I403&amp;"|"&amp;$J403&amp;"|"&amp;1,Assessments!$A$2:$A$600,0)),"")</f>
        <v/>
      </c>
      <c r="BV403" s="28" t="str">
        <f aca="false">IFERROR(INDEX(Assessments!$H$2:$H$600,MATCH($H403&amp;"|"&amp;$I403&amp;"|"&amp;$J403&amp;"|"&amp;2,Assessments!$A$2:$A$600,0)),"")</f>
        <v/>
      </c>
      <c r="BW403" s="28" t="str">
        <f aca="false">IFERROR(INDEX(Assessments!$H$2:$H$600,MATCH($H403&amp;"|"&amp;$I403&amp;"|"&amp;$J403&amp;"|"&amp;3,Assessments!$A$2:$A$600,0)),"")</f>
        <v/>
      </c>
      <c r="BX403" s="28" t="str">
        <f aca="false">IFERROR(INDEX(Assessments!$H$2:$H$600,MATCH($H403&amp;"|"&amp;$I403&amp;"|"&amp;$J403&amp;"|"&amp;4,Assessments!$A$2:$A$600,0)),"")</f>
        <v/>
      </c>
      <c r="BY403" s="28" t="str">
        <f aca="false">IFERROR(INDEX(Assessments!$H$2:$H$600,MATCH($H403&amp;"|"&amp;$I403&amp;"|"&amp;$J403&amp;"|"&amp;5,Assessments!$A$2:$A$600,0)),"")</f>
        <v/>
      </c>
      <c r="BZ403" s="28" t="str">
        <f aca="false">IFERROR(INDEX(Assessments!$H$2:$H$600,MATCH($H403&amp;"|"&amp;$I403&amp;"|"&amp;$J403&amp;"|"&amp;6,Assessments!$A$2:$A$600,0)),"")</f>
        <v/>
      </c>
      <c r="CA403" s="28" t="str">
        <f aca="false">IFERROR(INDEX(Assessments!$H$2:$H$600,MATCH($H403&amp;"|"&amp;$I403&amp;"|"&amp;$J403&amp;"|"&amp;7,Assessments!$A$2:$A$600,0)),"")</f>
        <v/>
      </c>
      <c r="CB403" s="28" t="str">
        <f aca="false">IFERROR(INDEX(Assessments!$H$2:$H$600,MATCH($H403&amp;"|"&amp;$I403&amp;"|"&amp;$J403&amp;"|"&amp;8,Assessments!$A$2:$A$600,0)),"")</f>
        <v/>
      </c>
      <c r="CC403" s="28" t="str">
        <f aca="false">IFERROR(INDEX(Assessments!$H$2:$H$600,MATCH($H403&amp;"|"&amp;$I403&amp;"|"&amp;$J403&amp;"|"&amp;9,Assessments!$A$2:$A$600,0)),"")</f>
        <v/>
      </c>
      <c r="CD403" s="28" t="str">
        <f aca="false">IFERROR(INDEX(Assessments!$H$2:$H$600,MATCH($H403&amp;"|"&amp;$I403&amp;"|"&amp;$J403&amp;"|"&amp;10,Assessments!$A$2:$A$600,0)),"")</f>
        <v/>
      </c>
      <c r="CE403" s="28" t="str">
        <f aca="false">IFERROR(INDEX(Assessments!$H$2:$H$600,MATCH($H403&amp;"|"&amp;$I403&amp;"|"&amp;$J403&amp;"|"&amp;11,Assessments!$A$2:$A$600,0)),"")</f>
        <v/>
      </c>
      <c r="CF403" s="28" t="str">
        <f aca="false">IFERROR(INDEX(Assessments!$H$2:$H$600,MATCH($H403&amp;"|"&amp;$I403&amp;"|"&amp;$J403&amp;"|"&amp;12,Assessments!$A$2:$A$600,0)),"")</f>
        <v/>
      </c>
      <c r="CG403" s="28" t="str">
        <f aca="false">IFERROR(INDEX(Assessments!$H$2:$H$600,MATCH($H403&amp;"|"&amp;$I403&amp;"|"&amp;$J403&amp;"|"&amp;13,Assessments!$A$2:$A$600,0)),"")</f>
        <v/>
      </c>
      <c r="CH403" s="28" t="str">
        <f aca="false">IFERROR(INDEX(Assessments!$H$2:$H$600,MATCH($H403&amp;"|"&amp;$I403&amp;"|"&amp;$J403&amp;"|"&amp;14,Assessments!$A$2:$A$600,0)),"")</f>
        <v/>
      </c>
      <c r="CI403" s="28" t="str">
        <f aca="false">IFERROR(INDEX(Assessments!$I$2:$I$600,MATCH($H403&amp;"|"&amp;$I403&amp;"|"&amp;$J403&amp;"|"&amp;1,Assessments!$A$2:$A$600,0)),"")</f>
        <v/>
      </c>
      <c r="CJ403" s="28" t="str">
        <f aca="false">IFERROR(INDEX(Assessments!$I$2:$I$600,MATCH($H403&amp;"|"&amp;$I403&amp;"|"&amp;$J403&amp;"|"&amp;2,Assessments!$A$2:$A$600,0)),"")</f>
        <v/>
      </c>
      <c r="CK403" s="28" t="str">
        <f aca="false">IFERROR(INDEX(Assessments!$I$2:$I$600,MATCH($H403&amp;"|"&amp;$I403&amp;"|"&amp;$J403&amp;"|"&amp;3,Assessments!$A$2:$A$600,0)),"")</f>
        <v/>
      </c>
      <c r="CL403" s="28" t="str">
        <f aca="false">IFERROR(INDEX(Assessments!$I$2:$I$600,MATCH($H403&amp;"|"&amp;$I403&amp;"|"&amp;$J403&amp;"|"&amp;4,Assessments!$A$2:$A$600,0)),"")</f>
        <v/>
      </c>
      <c r="CM403" s="28" t="str">
        <f aca="false">IFERROR(INDEX(Assessments!$I$2:$I$600,MATCH($H403&amp;"|"&amp;$I403&amp;"|"&amp;$J403&amp;"|"&amp;5,Assessments!$A$2:$A$600,0)),"")</f>
        <v/>
      </c>
      <c r="CN403" s="28" t="str">
        <f aca="false">IFERROR(INDEX(Assessments!$I$2:$I$600,MATCH($H403&amp;"|"&amp;$I403&amp;"|"&amp;$J403&amp;"|"&amp;6,Assessments!$A$2:$A$600,0)),"")</f>
        <v/>
      </c>
      <c r="CO403" s="28" t="str">
        <f aca="false">IFERROR(INDEX(Assessments!$I$2:$I$600,MATCH($H403&amp;"|"&amp;$I403&amp;"|"&amp;$J403&amp;"|"&amp;7,Assessments!$A$2:$A$600,0)),"")</f>
        <v/>
      </c>
      <c r="CP403" s="28" t="str">
        <f aca="false">IFERROR(INDEX(Assessments!$I$2:$I$600,MATCH($H403&amp;"|"&amp;$I403&amp;"|"&amp;$J403&amp;"|"&amp;8,Assessments!$A$2:$A$600,0)),"")</f>
        <v/>
      </c>
      <c r="CQ403" s="28" t="str">
        <f aca="false">IFERROR(INDEX(Assessments!$I$2:$I$600,MATCH($H403&amp;"|"&amp;$I403&amp;"|"&amp;$J403&amp;"|"&amp;9,Assessments!$A$2:$A$600,0)),"")</f>
        <v/>
      </c>
      <c r="CR403" s="28" t="str">
        <f aca="false">IFERROR(INDEX(Assessments!$I$2:$I$600,MATCH($H403&amp;"|"&amp;$I403&amp;"|"&amp;$J403&amp;"|"&amp;10,Assessments!$A$2:$A$600,0)),"")</f>
        <v/>
      </c>
      <c r="CS403" s="28" t="str">
        <f aca="false">IFERROR(INDEX(Assessments!$I$2:$I$600,MATCH($H403&amp;"|"&amp;$I403&amp;"|"&amp;$J403&amp;"|"&amp;11,Assessments!$A$2:$A$600,0)),"")</f>
        <v/>
      </c>
      <c r="CT403" s="28" t="str">
        <f aca="false">IFERROR(INDEX(Assessments!$I$2:$I$600,MATCH($H403&amp;"|"&amp;$I403&amp;"|"&amp;$J403&amp;"|"&amp;12,Assessments!$A$2:$A$600,0)),"")</f>
        <v/>
      </c>
      <c r="CU403" s="28" t="str">
        <f aca="false">IFERROR(INDEX(Assessments!$I$2:$I$600,MATCH($H403&amp;"|"&amp;$I403&amp;"|"&amp;$J403&amp;"|"&amp;13,Assessments!$A$2:$A$600,0)),"")</f>
        <v/>
      </c>
      <c r="CV403" s="28" t="str">
        <f aca="false">IFERROR(INDEX(Assessments!$I$2:$I$600,MATCH($H403&amp;"|"&amp;$I403&amp;"|"&amp;$J403&amp;"|"&amp;14,Assessments!$A$2:$A$600,0)),"")</f>
        <v/>
      </c>
      <c r="CW403" s="28" t="n">
        <f aca="false">IFERROR(INDEX(Assessments!$J$2:$J$600,MATCH($H403&amp;"|"&amp;$I403&amp;"|"&amp;$J403&amp;"|"&amp;1,Assessments!$A$2:$A$600,0)),0)</f>
        <v>0</v>
      </c>
      <c r="CX403" s="28" t="n">
        <f aca="false">IFERROR(INDEX(Assessments!$J$2:$J$600,MATCH($H403&amp;"|"&amp;$I403&amp;"|"&amp;$J403&amp;"|"&amp;2,Assessments!$A$2:$A$600,0)),0)</f>
        <v>0</v>
      </c>
      <c r="CY403" s="28" t="n">
        <f aca="false">IFERROR(INDEX(Assessments!$J$2:$J$600,MATCH($H403&amp;"|"&amp;$I403&amp;"|"&amp;$J403&amp;"|"&amp;3,Assessments!$A$2:$A$600,0)),0)</f>
        <v>0</v>
      </c>
      <c r="CZ403" s="28" t="n">
        <f aca="false">IFERROR(INDEX(Assessments!$J$2:$J$600,MATCH($H403&amp;"|"&amp;$I403&amp;"|"&amp;$J403&amp;"|"&amp;4,Assessments!$A$2:$A$600,0)),0)</f>
        <v>0</v>
      </c>
      <c r="DA403" s="28" t="n">
        <f aca="false">IFERROR(INDEX(Assessments!$J$2:$J$600,MATCH($H403&amp;"|"&amp;$I403&amp;"|"&amp;$J403&amp;"|"&amp;5,Assessments!$A$2:$A$600,0)),0)</f>
        <v>0</v>
      </c>
      <c r="DB403" s="28" t="n">
        <f aca="false">IFERROR(INDEX(Assessments!$J$2:$J$600,MATCH($H403&amp;"|"&amp;$I403&amp;"|"&amp;$J403&amp;"|"&amp;6,Assessments!$A$2:$A$600,0)),0)</f>
        <v>0</v>
      </c>
      <c r="DC403" s="28" t="n">
        <f aca="false">IFERROR(INDEX(Assessments!$J$2:$J$600,MATCH($H403&amp;"|"&amp;$I403&amp;"|"&amp;$J403&amp;"|"&amp;7,Assessments!$A$2:$A$600,0)),0)</f>
        <v>0</v>
      </c>
      <c r="DD403" s="28" t="n">
        <f aca="false">IFERROR(INDEX(Assessments!$J$2:$J$600,MATCH($H403&amp;"|"&amp;$I403&amp;"|"&amp;$J403&amp;"|"&amp;8,Assessments!$A$2:$A$600,0)),0)</f>
        <v>0</v>
      </c>
      <c r="DE403" s="28" t="n">
        <f aca="false">IFERROR(INDEX(Assessments!$J$2:$J$600,MATCH($H403&amp;"|"&amp;$I403&amp;"|"&amp;$J403&amp;"|"&amp;9,Assessments!$A$2:$A$600,0)),0)</f>
        <v>0</v>
      </c>
      <c r="DF403" s="28" t="n">
        <f aca="false">IFERROR(INDEX(Assessments!$J$2:$J$600,MATCH($H403&amp;"|"&amp;$I403&amp;"|"&amp;$J403&amp;"|"&amp;10,Assessments!$A$2:$A$600,0)),0)</f>
        <v>0</v>
      </c>
      <c r="DG403" s="28" t="n">
        <f aca="false">IFERROR(INDEX(Assessments!$J$2:$J$600,MATCH($H403&amp;"|"&amp;$I403&amp;"|"&amp;$J403&amp;"|"&amp;11,Assessments!$A$2:$A$600,0)),0)</f>
        <v>0</v>
      </c>
      <c r="DH403" s="28" t="n">
        <f aca="false">IFERROR(INDEX(Assessments!$J$2:$J$600,MATCH($H403&amp;"|"&amp;$I403&amp;"|"&amp;$J403&amp;"|"&amp;12,Assessments!$A$2:$A$600,0)),0)</f>
        <v>0</v>
      </c>
      <c r="DI403" s="28" t="n">
        <f aca="false">IFERROR(INDEX(Assessments!$J$2:$J$600,MATCH($H403&amp;"|"&amp;$I403&amp;"|"&amp;$J403&amp;"|"&amp;13,Assessments!$A$2:$A$600,0)),0)</f>
        <v>0</v>
      </c>
      <c r="DJ403" s="28" t="n">
        <f aca="false">IFERROR(INDEX(Assessments!$J$2:$J$600,MATCH($H403&amp;"|"&amp;$I403&amp;"|"&amp;$J403&amp;"|"&amp;14,Assessments!$A$2:$A$600,0)),0)</f>
        <v>0</v>
      </c>
      <c r="DK403" s="28" t="str">
        <f aca="false">S403</f>
        <v/>
      </c>
      <c r="DL403" s="28" t="str">
        <f aca="false">W403</f>
        <v/>
      </c>
      <c r="DM403" s="28" t="str">
        <f aca="false">AA403</f>
        <v/>
      </c>
      <c r="DN403" s="28" t="str">
        <f aca="false">AE403</f>
        <v/>
      </c>
      <c r="DO403" s="28" t="str">
        <f aca="false">AI403</f>
        <v/>
      </c>
      <c r="DP403" s="28" t="str">
        <f aca="false">AM403</f>
        <v/>
      </c>
      <c r="DQ403" s="28" t="str">
        <f aca="false">AQ403</f>
        <v/>
      </c>
      <c r="DR403" s="28" t="str">
        <f aca="false">AU403</f>
        <v/>
      </c>
      <c r="DS403" s="28" t="str">
        <f aca="false">AY403</f>
        <v/>
      </c>
      <c r="DT403" s="28" t="str">
        <f aca="false">BC403</f>
        <v/>
      </c>
      <c r="DU403" s="28" t="str">
        <f aca="false">BG403</f>
        <v/>
      </c>
      <c r="DV403" s="28" t="str">
        <f aca="false">BK403</f>
        <v/>
      </c>
      <c r="DW403" s="28" t="str">
        <f aca="false">BO403</f>
        <v/>
      </c>
      <c r="DX403" s="28" t="str">
        <f aca="false">BS403</f>
        <v/>
      </c>
      <c r="DY403" s="28" t="str">
        <f aca="false">IF(ISNUMBER(S403),1,"")</f>
        <v/>
      </c>
      <c r="DZ403" s="28" t="str">
        <f aca="false">IF(ISNUMBER(W403),2,"")</f>
        <v/>
      </c>
      <c r="EA403" s="28" t="str">
        <f aca="false">IF(ISNUMBER(AA403),3,"")</f>
        <v/>
      </c>
      <c r="EB403" s="28" t="str">
        <f aca="false">IF(ISNUMBER(AE403),4,"")</f>
        <v/>
      </c>
      <c r="EC403" s="28" t="str">
        <f aca="false">IF(ISNUMBER(AI403),5,"")</f>
        <v/>
      </c>
      <c r="ED403" s="28" t="str">
        <f aca="false">IF(ISNUMBER(AM403),6,"")</f>
        <v/>
      </c>
      <c r="EE403" s="28" t="str">
        <f aca="false">IF(ISNUMBER(AQ403),7,"")</f>
        <v/>
      </c>
      <c r="EF403" s="28" t="str">
        <f aca="false">IF(ISNUMBER(AU403),8,"")</f>
        <v/>
      </c>
      <c r="EG403" s="28" t="str">
        <f aca="false">IF(ISNUMBER(AY403),9,"")</f>
        <v/>
      </c>
      <c r="EH403" s="28" t="str">
        <f aca="false">IF(ISNUMBER(BC403),10,"")</f>
        <v/>
      </c>
      <c r="EI403" s="28" t="str">
        <f aca="false">IF(ISNUMBER(BG403),11,"")</f>
        <v/>
      </c>
      <c r="EJ403" s="28" t="str">
        <f aca="false">IF(ISNUMBER(BK403),12,"")</f>
        <v/>
      </c>
      <c r="EK403" s="28" t="str">
        <f aca="false">IF(ISNUMBER(BO403),13,"")</f>
        <v/>
      </c>
      <c r="EL403" s="28" t="str">
        <f aca="false">IF(ISNUMBER(BS403),14,"")</f>
        <v/>
      </c>
      <c r="EM403" s="28" t="n">
        <f aca="false">IF(ISNUMBER(R403),R403*CW403,0)</f>
        <v>0</v>
      </c>
      <c r="EN403" s="28" t="n">
        <f aca="false">IF(ISNUMBER(V403),V403*CX403,0)</f>
        <v>0</v>
      </c>
      <c r="EO403" s="28" t="n">
        <f aca="false">IF(ISNUMBER(Z403),Z403*CY403,0)</f>
        <v>0</v>
      </c>
      <c r="EP403" s="28" t="n">
        <f aca="false">IF(ISNUMBER(AD403),AD403*CZ403,0)</f>
        <v>0</v>
      </c>
      <c r="EQ403" s="28" t="n">
        <f aca="false">IF(ISNUMBER(AH403),AH403*DA403,0)</f>
        <v>0</v>
      </c>
      <c r="ER403" s="28" t="n">
        <f aca="false">IF(ISNUMBER(AL403),AL403*DB403,0)</f>
        <v>0</v>
      </c>
      <c r="ES403" s="28" t="n">
        <f aca="false">IF(ISNUMBER(AP403),AP403*DC403,0)</f>
        <v>0</v>
      </c>
      <c r="ET403" s="28" t="n">
        <f aca="false">IF(ISNUMBER(AT403),AT403*DD403,0)</f>
        <v>0</v>
      </c>
      <c r="EU403" s="28" t="n">
        <f aca="false">IF(ISNUMBER(AX403),AX403*DE403,0)</f>
        <v>0</v>
      </c>
      <c r="EV403" s="28" t="n">
        <f aca="false">IF(ISNUMBER(BB403),BB403*DF403,0)</f>
        <v>0</v>
      </c>
      <c r="EW403" s="28" t="n">
        <f aca="false">IF(ISNUMBER(BF403),BF403*DG403,0)</f>
        <v>0</v>
      </c>
      <c r="EX403" s="28" t="n">
        <f aca="false">IF(ISNUMBER(BJ403),BJ403*DH403,0)</f>
        <v>0</v>
      </c>
      <c r="EY403" s="28" t="n">
        <f aca="false">IF(ISNUMBER(BN403),BN403*DI403,0)</f>
        <v>0</v>
      </c>
      <c r="EZ403" s="28" t="n">
        <f aca="false">IF(ISNUMBER(BR403),BR403*DJ403,0)</f>
        <v>0</v>
      </c>
      <c r="FA403" s="28" t="n">
        <f aca="false">IF(ISNUMBER(R403),CW403,0)</f>
        <v>0</v>
      </c>
      <c r="FB403" s="28" t="n">
        <f aca="false">IF(ISNUMBER(V403),CX403,0)</f>
        <v>0</v>
      </c>
      <c r="FC403" s="28" t="n">
        <f aca="false">IF(ISNUMBER(Z403),CY403,0)</f>
        <v>0</v>
      </c>
      <c r="FD403" s="28" t="n">
        <f aca="false">IF(ISNUMBER(AD403),CZ403,0)</f>
        <v>0</v>
      </c>
      <c r="FE403" s="28" t="n">
        <f aca="false">IF(ISNUMBER(AH403),DA403,0)</f>
        <v>0</v>
      </c>
      <c r="FF403" s="28" t="n">
        <f aca="false">IF(ISNUMBER(AL403),DB403,0)</f>
        <v>0</v>
      </c>
      <c r="FG403" s="28" t="n">
        <f aca="false">IF(ISNUMBER(AP403),DC403,0)</f>
        <v>0</v>
      </c>
      <c r="FH403" s="28" t="n">
        <f aca="false">IF(ISNUMBER(AT403),DD403,0)</f>
        <v>0</v>
      </c>
      <c r="FI403" s="28" t="n">
        <f aca="false">IF(ISNUMBER(AX403),DE403,0)</f>
        <v>0</v>
      </c>
      <c r="FJ403" s="28" t="n">
        <f aca="false">IF(ISNUMBER(BB403),DF403,0)</f>
        <v>0</v>
      </c>
      <c r="FK403" s="28" t="n">
        <f aca="false">IF(ISNUMBER(BF403),DG403,0)</f>
        <v>0</v>
      </c>
      <c r="FL403" s="28" t="n">
        <f aca="false">IF(ISNUMBER(BJ403),DH403,0)</f>
        <v>0</v>
      </c>
      <c r="FM403" s="28" t="n">
        <f aca="false">IF(ISNUMBER(BN403),DI403,0)</f>
        <v>0</v>
      </c>
      <c r="FN403" s="28" t="n">
        <f aca="false">IF(ISNUMBER(BR403),DJ403,0)</f>
        <v>0</v>
      </c>
      <c r="FO403" s="28" t="str">
        <f aca="false">IFERROR(INDEX(Lists!$G$2:$G$20,MATCH($I403&amp;"|"&amp;$J403,Lists!$F$2:$F$20,0)),"")</f>
        <v/>
      </c>
    </row>
    <row r="404" customFormat="false" ht="19.5" hidden="false" customHeight="true" outlineLevel="0" collapsed="false">
      <c r="A404" s="29"/>
      <c r="B404" s="29"/>
      <c r="C404" s="30"/>
      <c r="D404" s="30"/>
      <c r="E404" s="31"/>
      <c r="F404" s="30"/>
      <c r="G404" s="30"/>
      <c r="H404" s="32"/>
      <c r="I404" s="33"/>
      <c r="J404" s="32"/>
      <c r="K404" s="34" t="str">
        <f aca="false">IF(OR(M404="",$E404=""),"",M404-$E404)</f>
        <v/>
      </c>
      <c r="L404" s="35" t="str">
        <f aca="false">IF(SUM(FA404:FN404)=0,"",SUM(EM404:EZ404)/SUM(FA404:FN404))</f>
        <v/>
      </c>
      <c r="M404" s="36" t="str">
        <f aca="false">IF(OR(L404="",FO404=""),"",IFERROR(MATCH(L404,INDEX(Boundaries!$B$2:$I$30,MATCH(FO404,Boundaries!$A$2:$A$30,0),0),1)-1,""))</f>
        <v/>
      </c>
      <c r="N404" s="37" t="str">
        <f aca="false">IF(COUNT($DY404:$EL404)&lt;2,"",INDEX($DK404:$DX404,MAX($DY404:$EL404))-INDEX($DK404:$DX404,MIN($DY404:$EL404)))</f>
        <v/>
      </c>
      <c r="O404" s="37" t="str">
        <f aca="false">IF(COUNT($DY404:$EL404)&lt;2,"",INDEX($DK404:$DX404,MAX($DY404:$EL404))-INDEX($DK404:$DX404,LARGE($DY404:$EL404,2)))</f>
        <v/>
      </c>
      <c r="P404" s="38" t="str">
        <f aca="false">IF(K404="","",IF(K404&gt;=0,"On/above target",IF(AND(N404&lt;&gt;"",N404&gt;=0.5),"Improving towards target",IF(AND(O404&lt;&gt;"",O404&lt;=-0.5),"Declining","Stable below target"))))</f>
        <v/>
      </c>
      <c r="Q404" s="39"/>
      <c r="R404" s="40" t="str">
        <f aca="false">IF(OR(Q404="",BU404=""),"",Q404/BU404*100)</f>
        <v/>
      </c>
      <c r="S404" s="41" t="str">
        <f aca="false">IF(R404="","",IFERROR(MATCH(R404,INDEX(Boundaries!$B$2:$I$30,MATCH(CI404,Boundaries!$A$2:$A$30,0),0),1)-1,""))</f>
        <v/>
      </c>
      <c r="T404" s="42" t="str">
        <f aca="false">IF(OR(S404="",$E404=""),"",S404-$E404)</f>
        <v/>
      </c>
      <c r="U404" s="39"/>
      <c r="V404" s="40" t="str">
        <f aca="false">IF(OR(U404="",BV404=""),"",U404/BV404*100)</f>
        <v/>
      </c>
      <c r="W404" s="41" t="str">
        <f aca="false">IF(V404="","",IFERROR(MATCH(V404,INDEX(Boundaries!$B$2:$I$30,MATCH(CJ404,Boundaries!$A$2:$A$30,0),0),1)-1,""))</f>
        <v/>
      </c>
      <c r="X404" s="42" t="str">
        <f aca="false">IF(OR(W404="",$E404=""),"",W404-$E404)</f>
        <v/>
      </c>
      <c r="Y404" s="39"/>
      <c r="Z404" s="40" t="str">
        <f aca="false">IF(OR(Y404="",BW404=""),"",Y404/BW404*100)</f>
        <v/>
      </c>
      <c r="AA404" s="41" t="str">
        <f aca="false">IF(Z404="","",IFERROR(MATCH(Z404,INDEX(Boundaries!$B$2:$I$30,MATCH(CK404,Boundaries!$A$2:$A$30,0),0),1)-1,""))</f>
        <v/>
      </c>
      <c r="AB404" s="42" t="str">
        <f aca="false">IF(OR(AA404="",$E404=""),"",AA404-$E404)</f>
        <v/>
      </c>
      <c r="AC404" s="39"/>
      <c r="AD404" s="40" t="str">
        <f aca="false">IF(OR(AC404="",BX404=""),"",AC404/BX404*100)</f>
        <v/>
      </c>
      <c r="AE404" s="41" t="str">
        <f aca="false">IF(AD404="","",IFERROR(MATCH(AD404,INDEX(Boundaries!$B$2:$I$30,MATCH(CL404,Boundaries!$A$2:$A$30,0),0),1)-1,""))</f>
        <v/>
      </c>
      <c r="AF404" s="42" t="str">
        <f aca="false">IF(OR(AE404="",$E404=""),"",AE404-$E404)</f>
        <v/>
      </c>
      <c r="AG404" s="39"/>
      <c r="AH404" s="40" t="str">
        <f aca="false">IF(OR(AG404="",BY404=""),"",AG404/BY404*100)</f>
        <v/>
      </c>
      <c r="AI404" s="41" t="str">
        <f aca="false">IF(AH404="","",IFERROR(MATCH(AH404,INDEX(Boundaries!$B$2:$I$30,MATCH(CM404,Boundaries!$A$2:$A$30,0),0),1)-1,""))</f>
        <v/>
      </c>
      <c r="AJ404" s="42" t="str">
        <f aca="false">IF(OR(AI404="",$E404=""),"",AI404-$E404)</f>
        <v/>
      </c>
      <c r="AK404" s="39"/>
      <c r="AL404" s="40" t="str">
        <f aca="false">IF(OR(AK404="",BZ404=""),"",AK404/BZ404*100)</f>
        <v/>
      </c>
      <c r="AM404" s="41" t="str">
        <f aca="false">IF(AL404="","",IFERROR(MATCH(AL404,INDEX(Boundaries!$B$2:$I$30,MATCH(CN404,Boundaries!$A$2:$A$30,0),0),1)-1,""))</f>
        <v/>
      </c>
      <c r="AN404" s="42" t="str">
        <f aca="false">IF(OR(AM404="",$E404=""),"",AM404-$E404)</f>
        <v/>
      </c>
      <c r="AO404" s="39"/>
      <c r="AP404" s="40" t="str">
        <f aca="false">IF(OR(AO404="",CA404=""),"",AO404/CA404*100)</f>
        <v/>
      </c>
      <c r="AQ404" s="41" t="str">
        <f aca="false">IF(AP404="","",IFERROR(MATCH(AP404,INDEX(Boundaries!$B$2:$I$30,MATCH(CO404,Boundaries!$A$2:$A$30,0),0),1)-1,""))</f>
        <v/>
      </c>
      <c r="AR404" s="42" t="str">
        <f aca="false">IF(OR(AQ404="",$E404=""),"",AQ404-$E404)</f>
        <v/>
      </c>
      <c r="AS404" s="39"/>
      <c r="AT404" s="40" t="str">
        <f aca="false">IF(OR(AS404="",CB404=""),"",AS404/CB404*100)</f>
        <v/>
      </c>
      <c r="AU404" s="41" t="str">
        <f aca="false">IF(AT404="","",IFERROR(MATCH(AT404,INDEX(Boundaries!$B$2:$I$30,MATCH(CP404,Boundaries!$A$2:$A$30,0),0),1)-1,""))</f>
        <v/>
      </c>
      <c r="AV404" s="42" t="str">
        <f aca="false">IF(OR(AU404="",$E404=""),"",AU404-$E404)</f>
        <v/>
      </c>
      <c r="AW404" s="39"/>
      <c r="AX404" s="40" t="str">
        <f aca="false">IF(OR(AW404="",CC404=""),"",AW404/CC404*100)</f>
        <v/>
      </c>
      <c r="AY404" s="41" t="str">
        <f aca="false">IF(AX404="","",IFERROR(MATCH(AX404,INDEX(Boundaries!$B$2:$I$30,MATCH(CQ404,Boundaries!$A$2:$A$30,0),0),1)-1,""))</f>
        <v/>
      </c>
      <c r="AZ404" s="42" t="str">
        <f aca="false">IF(OR(AY404="",$E404=""),"",AY404-$E404)</f>
        <v/>
      </c>
      <c r="BA404" s="39"/>
      <c r="BB404" s="40" t="str">
        <f aca="false">IF(OR(BA404="",CD404=""),"",BA404/CD404*100)</f>
        <v/>
      </c>
      <c r="BC404" s="41" t="str">
        <f aca="false">IF(BB404="","",IFERROR(MATCH(BB404,INDEX(Boundaries!$B$2:$I$30,MATCH(CR404,Boundaries!$A$2:$A$30,0),0),1)-1,""))</f>
        <v/>
      </c>
      <c r="BD404" s="42" t="str">
        <f aca="false">IF(OR(BC404="",$E404=""),"",BC404-$E404)</f>
        <v/>
      </c>
      <c r="BE404" s="39"/>
      <c r="BF404" s="40" t="str">
        <f aca="false">IF(OR(BE404="",CE404=""),"",BE404/CE404*100)</f>
        <v/>
      </c>
      <c r="BG404" s="41" t="str">
        <f aca="false">IF(BF404="","",IFERROR(MATCH(BF404,INDEX(Boundaries!$B$2:$I$30,MATCH(CS404,Boundaries!$A$2:$A$30,0),0),1)-1,""))</f>
        <v/>
      </c>
      <c r="BH404" s="42" t="str">
        <f aca="false">IF(OR(BG404="",$E404=""),"",BG404-$E404)</f>
        <v/>
      </c>
      <c r="BI404" s="39"/>
      <c r="BJ404" s="40" t="str">
        <f aca="false">IF(OR(BI404="",CF404=""),"",BI404/CF404*100)</f>
        <v/>
      </c>
      <c r="BK404" s="41" t="str">
        <f aca="false">IF(BJ404="","",IFERROR(MATCH(BJ404,INDEX(Boundaries!$B$2:$I$30,MATCH(CT404,Boundaries!$A$2:$A$30,0),0),1)-1,""))</f>
        <v/>
      </c>
      <c r="BL404" s="42" t="str">
        <f aca="false">IF(OR(BK404="",$E404=""),"",BK404-$E404)</f>
        <v/>
      </c>
      <c r="BM404" s="39"/>
      <c r="BN404" s="40" t="str">
        <f aca="false">IF(OR(BM404="",CG404=""),"",BM404/CG404*100)</f>
        <v/>
      </c>
      <c r="BO404" s="41" t="str">
        <f aca="false">IF(BN404="","",IFERROR(MATCH(BN404,INDEX(Boundaries!$B$2:$I$30,MATCH(CU404,Boundaries!$A$2:$A$30,0),0),1)-1,""))</f>
        <v/>
      </c>
      <c r="BP404" s="42" t="str">
        <f aca="false">IF(OR(BO404="",$E404=""),"",BO404-$E404)</f>
        <v/>
      </c>
      <c r="BQ404" s="39"/>
      <c r="BR404" s="40" t="str">
        <f aca="false">IF(OR(BQ404="",CH404=""),"",BQ404/CH404*100)</f>
        <v/>
      </c>
      <c r="BS404" s="41" t="str">
        <f aca="false">IF(BR404="","",IFERROR(MATCH(BR404,INDEX(Boundaries!$B$2:$I$30,MATCH(CV404,Boundaries!$A$2:$A$30,0),0),1)-1,""))</f>
        <v/>
      </c>
      <c r="BT404" s="42" t="str">
        <f aca="false">IF(OR(BS404="",$E404=""),"",BS404-$E404)</f>
        <v/>
      </c>
      <c r="BU404" s="28" t="str">
        <f aca="false">IFERROR(INDEX(Assessments!$H$2:$H$600,MATCH($H404&amp;"|"&amp;$I404&amp;"|"&amp;$J404&amp;"|"&amp;1,Assessments!$A$2:$A$600,0)),"")</f>
        <v/>
      </c>
      <c r="BV404" s="28" t="str">
        <f aca="false">IFERROR(INDEX(Assessments!$H$2:$H$600,MATCH($H404&amp;"|"&amp;$I404&amp;"|"&amp;$J404&amp;"|"&amp;2,Assessments!$A$2:$A$600,0)),"")</f>
        <v/>
      </c>
      <c r="BW404" s="28" t="str">
        <f aca="false">IFERROR(INDEX(Assessments!$H$2:$H$600,MATCH($H404&amp;"|"&amp;$I404&amp;"|"&amp;$J404&amp;"|"&amp;3,Assessments!$A$2:$A$600,0)),"")</f>
        <v/>
      </c>
      <c r="BX404" s="28" t="str">
        <f aca="false">IFERROR(INDEX(Assessments!$H$2:$H$600,MATCH($H404&amp;"|"&amp;$I404&amp;"|"&amp;$J404&amp;"|"&amp;4,Assessments!$A$2:$A$600,0)),"")</f>
        <v/>
      </c>
      <c r="BY404" s="28" t="str">
        <f aca="false">IFERROR(INDEX(Assessments!$H$2:$H$600,MATCH($H404&amp;"|"&amp;$I404&amp;"|"&amp;$J404&amp;"|"&amp;5,Assessments!$A$2:$A$600,0)),"")</f>
        <v/>
      </c>
      <c r="BZ404" s="28" t="str">
        <f aca="false">IFERROR(INDEX(Assessments!$H$2:$H$600,MATCH($H404&amp;"|"&amp;$I404&amp;"|"&amp;$J404&amp;"|"&amp;6,Assessments!$A$2:$A$600,0)),"")</f>
        <v/>
      </c>
      <c r="CA404" s="28" t="str">
        <f aca="false">IFERROR(INDEX(Assessments!$H$2:$H$600,MATCH($H404&amp;"|"&amp;$I404&amp;"|"&amp;$J404&amp;"|"&amp;7,Assessments!$A$2:$A$600,0)),"")</f>
        <v/>
      </c>
      <c r="CB404" s="28" t="str">
        <f aca="false">IFERROR(INDEX(Assessments!$H$2:$H$600,MATCH($H404&amp;"|"&amp;$I404&amp;"|"&amp;$J404&amp;"|"&amp;8,Assessments!$A$2:$A$600,0)),"")</f>
        <v/>
      </c>
      <c r="CC404" s="28" t="str">
        <f aca="false">IFERROR(INDEX(Assessments!$H$2:$H$600,MATCH($H404&amp;"|"&amp;$I404&amp;"|"&amp;$J404&amp;"|"&amp;9,Assessments!$A$2:$A$600,0)),"")</f>
        <v/>
      </c>
      <c r="CD404" s="28" t="str">
        <f aca="false">IFERROR(INDEX(Assessments!$H$2:$H$600,MATCH($H404&amp;"|"&amp;$I404&amp;"|"&amp;$J404&amp;"|"&amp;10,Assessments!$A$2:$A$600,0)),"")</f>
        <v/>
      </c>
      <c r="CE404" s="28" t="str">
        <f aca="false">IFERROR(INDEX(Assessments!$H$2:$H$600,MATCH($H404&amp;"|"&amp;$I404&amp;"|"&amp;$J404&amp;"|"&amp;11,Assessments!$A$2:$A$600,0)),"")</f>
        <v/>
      </c>
      <c r="CF404" s="28" t="str">
        <f aca="false">IFERROR(INDEX(Assessments!$H$2:$H$600,MATCH($H404&amp;"|"&amp;$I404&amp;"|"&amp;$J404&amp;"|"&amp;12,Assessments!$A$2:$A$600,0)),"")</f>
        <v/>
      </c>
      <c r="CG404" s="28" t="str">
        <f aca="false">IFERROR(INDEX(Assessments!$H$2:$H$600,MATCH($H404&amp;"|"&amp;$I404&amp;"|"&amp;$J404&amp;"|"&amp;13,Assessments!$A$2:$A$600,0)),"")</f>
        <v/>
      </c>
      <c r="CH404" s="28" t="str">
        <f aca="false">IFERROR(INDEX(Assessments!$H$2:$H$600,MATCH($H404&amp;"|"&amp;$I404&amp;"|"&amp;$J404&amp;"|"&amp;14,Assessments!$A$2:$A$600,0)),"")</f>
        <v/>
      </c>
      <c r="CI404" s="28" t="str">
        <f aca="false">IFERROR(INDEX(Assessments!$I$2:$I$600,MATCH($H404&amp;"|"&amp;$I404&amp;"|"&amp;$J404&amp;"|"&amp;1,Assessments!$A$2:$A$600,0)),"")</f>
        <v/>
      </c>
      <c r="CJ404" s="28" t="str">
        <f aca="false">IFERROR(INDEX(Assessments!$I$2:$I$600,MATCH($H404&amp;"|"&amp;$I404&amp;"|"&amp;$J404&amp;"|"&amp;2,Assessments!$A$2:$A$600,0)),"")</f>
        <v/>
      </c>
      <c r="CK404" s="28" t="str">
        <f aca="false">IFERROR(INDEX(Assessments!$I$2:$I$600,MATCH($H404&amp;"|"&amp;$I404&amp;"|"&amp;$J404&amp;"|"&amp;3,Assessments!$A$2:$A$600,0)),"")</f>
        <v/>
      </c>
      <c r="CL404" s="28" t="str">
        <f aca="false">IFERROR(INDEX(Assessments!$I$2:$I$600,MATCH($H404&amp;"|"&amp;$I404&amp;"|"&amp;$J404&amp;"|"&amp;4,Assessments!$A$2:$A$600,0)),"")</f>
        <v/>
      </c>
      <c r="CM404" s="28" t="str">
        <f aca="false">IFERROR(INDEX(Assessments!$I$2:$I$600,MATCH($H404&amp;"|"&amp;$I404&amp;"|"&amp;$J404&amp;"|"&amp;5,Assessments!$A$2:$A$600,0)),"")</f>
        <v/>
      </c>
      <c r="CN404" s="28" t="str">
        <f aca="false">IFERROR(INDEX(Assessments!$I$2:$I$600,MATCH($H404&amp;"|"&amp;$I404&amp;"|"&amp;$J404&amp;"|"&amp;6,Assessments!$A$2:$A$600,0)),"")</f>
        <v/>
      </c>
      <c r="CO404" s="28" t="str">
        <f aca="false">IFERROR(INDEX(Assessments!$I$2:$I$600,MATCH($H404&amp;"|"&amp;$I404&amp;"|"&amp;$J404&amp;"|"&amp;7,Assessments!$A$2:$A$600,0)),"")</f>
        <v/>
      </c>
      <c r="CP404" s="28" t="str">
        <f aca="false">IFERROR(INDEX(Assessments!$I$2:$I$600,MATCH($H404&amp;"|"&amp;$I404&amp;"|"&amp;$J404&amp;"|"&amp;8,Assessments!$A$2:$A$600,0)),"")</f>
        <v/>
      </c>
      <c r="CQ404" s="28" t="str">
        <f aca="false">IFERROR(INDEX(Assessments!$I$2:$I$600,MATCH($H404&amp;"|"&amp;$I404&amp;"|"&amp;$J404&amp;"|"&amp;9,Assessments!$A$2:$A$600,0)),"")</f>
        <v/>
      </c>
      <c r="CR404" s="28" t="str">
        <f aca="false">IFERROR(INDEX(Assessments!$I$2:$I$600,MATCH($H404&amp;"|"&amp;$I404&amp;"|"&amp;$J404&amp;"|"&amp;10,Assessments!$A$2:$A$600,0)),"")</f>
        <v/>
      </c>
      <c r="CS404" s="28" t="str">
        <f aca="false">IFERROR(INDEX(Assessments!$I$2:$I$600,MATCH($H404&amp;"|"&amp;$I404&amp;"|"&amp;$J404&amp;"|"&amp;11,Assessments!$A$2:$A$600,0)),"")</f>
        <v/>
      </c>
      <c r="CT404" s="28" t="str">
        <f aca="false">IFERROR(INDEX(Assessments!$I$2:$I$600,MATCH($H404&amp;"|"&amp;$I404&amp;"|"&amp;$J404&amp;"|"&amp;12,Assessments!$A$2:$A$600,0)),"")</f>
        <v/>
      </c>
      <c r="CU404" s="28" t="str">
        <f aca="false">IFERROR(INDEX(Assessments!$I$2:$I$600,MATCH($H404&amp;"|"&amp;$I404&amp;"|"&amp;$J404&amp;"|"&amp;13,Assessments!$A$2:$A$600,0)),"")</f>
        <v/>
      </c>
      <c r="CV404" s="28" t="str">
        <f aca="false">IFERROR(INDEX(Assessments!$I$2:$I$600,MATCH($H404&amp;"|"&amp;$I404&amp;"|"&amp;$J404&amp;"|"&amp;14,Assessments!$A$2:$A$600,0)),"")</f>
        <v/>
      </c>
      <c r="CW404" s="28" t="n">
        <f aca="false">IFERROR(INDEX(Assessments!$J$2:$J$600,MATCH($H404&amp;"|"&amp;$I404&amp;"|"&amp;$J404&amp;"|"&amp;1,Assessments!$A$2:$A$600,0)),0)</f>
        <v>0</v>
      </c>
      <c r="CX404" s="28" t="n">
        <f aca="false">IFERROR(INDEX(Assessments!$J$2:$J$600,MATCH($H404&amp;"|"&amp;$I404&amp;"|"&amp;$J404&amp;"|"&amp;2,Assessments!$A$2:$A$600,0)),0)</f>
        <v>0</v>
      </c>
      <c r="CY404" s="28" t="n">
        <f aca="false">IFERROR(INDEX(Assessments!$J$2:$J$600,MATCH($H404&amp;"|"&amp;$I404&amp;"|"&amp;$J404&amp;"|"&amp;3,Assessments!$A$2:$A$600,0)),0)</f>
        <v>0</v>
      </c>
      <c r="CZ404" s="28" t="n">
        <f aca="false">IFERROR(INDEX(Assessments!$J$2:$J$600,MATCH($H404&amp;"|"&amp;$I404&amp;"|"&amp;$J404&amp;"|"&amp;4,Assessments!$A$2:$A$600,0)),0)</f>
        <v>0</v>
      </c>
      <c r="DA404" s="28" t="n">
        <f aca="false">IFERROR(INDEX(Assessments!$J$2:$J$600,MATCH($H404&amp;"|"&amp;$I404&amp;"|"&amp;$J404&amp;"|"&amp;5,Assessments!$A$2:$A$600,0)),0)</f>
        <v>0</v>
      </c>
      <c r="DB404" s="28" t="n">
        <f aca="false">IFERROR(INDEX(Assessments!$J$2:$J$600,MATCH($H404&amp;"|"&amp;$I404&amp;"|"&amp;$J404&amp;"|"&amp;6,Assessments!$A$2:$A$600,0)),0)</f>
        <v>0</v>
      </c>
      <c r="DC404" s="28" t="n">
        <f aca="false">IFERROR(INDEX(Assessments!$J$2:$J$600,MATCH($H404&amp;"|"&amp;$I404&amp;"|"&amp;$J404&amp;"|"&amp;7,Assessments!$A$2:$A$600,0)),0)</f>
        <v>0</v>
      </c>
      <c r="DD404" s="28" t="n">
        <f aca="false">IFERROR(INDEX(Assessments!$J$2:$J$600,MATCH($H404&amp;"|"&amp;$I404&amp;"|"&amp;$J404&amp;"|"&amp;8,Assessments!$A$2:$A$600,0)),0)</f>
        <v>0</v>
      </c>
      <c r="DE404" s="28" t="n">
        <f aca="false">IFERROR(INDEX(Assessments!$J$2:$J$600,MATCH($H404&amp;"|"&amp;$I404&amp;"|"&amp;$J404&amp;"|"&amp;9,Assessments!$A$2:$A$600,0)),0)</f>
        <v>0</v>
      </c>
      <c r="DF404" s="28" t="n">
        <f aca="false">IFERROR(INDEX(Assessments!$J$2:$J$600,MATCH($H404&amp;"|"&amp;$I404&amp;"|"&amp;$J404&amp;"|"&amp;10,Assessments!$A$2:$A$600,0)),0)</f>
        <v>0</v>
      </c>
      <c r="DG404" s="28" t="n">
        <f aca="false">IFERROR(INDEX(Assessments!$J$2:$J$600,MATCH($H404&amp;"|"&amp;$I404&amp;"|"&amp;$J404&amp;"|"&amp;11,Assessments!$A$2:$A$600,0)),0)</f>
        <v>0</v>
      </c>
      <c r="DH404" s="28" t="n">
        <f aca="false">IFERROR(INDEX(Assessments!$J$2:$J$600,MATCH($H404&amp;"|"&amp;$I404&amp;"|"&amp;$J404&amp;"|"&amp;12,Assessments!$A$2:$A$600,0)),0)</f>
        <v>0</v>
      </c>
      <c r="DI404" s="28" t="n">
        <f aca="false">IFERROR(INDEX(Assessments!$J$2:$J$600,MATCH($H404&amp;"|"&amp;$I404&amp;"|"&amp;$J404&amp;"|"&amp;13,Assessments!$A$2:$A$600,0)),0)</f>
        <v>0</v>
      </c>
      <c r="DJ404" s="28" t="n">
        <f aca="false">IFERROR(INDEX(Assessments!$J$2:$J$600,MATCH($H404&amp;"|"&amp;$I404&amp;"|"&amp;$J404&amp;"|"&amp;14,Assessments!$A$2:$A$600,0)),0)</f>
        <v>0</v>
      </c>
      <c r="DK404" s="28" t="str">
        <f aca="false">S404</f>
        <v/>
      </c>
      <c r="DL404" s="28" t="str">
        <f aca="false">W404</f>
        <v/>
      </c>
      <c r="DM404" s="28" t="str">
        <f aca="false">AA404</f>
        <v/>
      </c>
      <c r="DN404" s="28" t="str">
        <f aca="false">AE404</f>
        <v/>
      </c>
      <c r="DO404" s="28" t="str">
        <f aca="false">AI404</f>
        <v/>
      </c>
      <c r="DP404" s="28" t="str">
        <f aca="false">AM404</f>
        <v/>
      </c>
      <c r="DQ404" s="28" t="str">
        <f aca="false">AQ404</f>
        <v/>
      </c>
      <c r="DR404" s="28" t="str">
        <f aca="false">AU404</f>
        <v/>
      </c>
      <c r="DS404" s="28" t="str">
        <f aca="false">AY404</f>
        <v/>
      </c>
      <c r="DT404" s="28" t="str">
        <f aca="false">BC404</f>
        <v/>
      </c>
      <c r="DU404" s="28" t="str">
        <f aca="false">BG404</f>
        <v/>
      </c>
      <c r="DV404" s="28" t="str">
        <f aca="false">BK404</f>
        <v/>
      </c>
      <c r="DW404" s="28" t="str">
        <f aca="false">BO404</f>
        <v/>
      </c>
      <c r="DX404" s="28" t="str">
        <f aca="false">BS404</f>
        <v/>
      </c>
      <c r="DY404" s="28" t="str">
        <f aca="false">IF(ISNUMBER(S404),1,"")</f>
        <v/>
      </c>
      <c r="DZ404" s="28" t="str">
        <f aca="false">IF(ISNUMBER(W404),2,"")</f>
        <v/>
      </c>
      <c r="EA404" s="28" t="str">
        <f aca="false">IF(ISNUMBER(AA404),3,"")</f>
        <v/>
      </c>
      <c r="EB404" s="28" t="str">
        <f aca="false">IF(ISNUMBER(AE404),4,"")</f>
        <v/>
      </c>
      <c r="EC404" s="28" t="str">
        <f aca="false">IF(ISNUMBER(AI404),5,"")</f>
        <v/>
      </c>
      <c r="ED404" s="28" t="str">
        <f aca="false">IF(ISNUMBER(AM404),6,"")</f>
        <v/>
      </c>
      <c r="EE404" s="28" t="str">
        <f aca="false">IF(ISNUMBER(AQ404),7,"")</f>
        <v/>
      </c>
      <c r="EF404" s="28" t="str">
        <f aca="false">IF(ISNUMBER(AU404),8,"")</f>
        <v/>
      </c>
      <c r="EG404" s="28" t="str">
        <f aca="false">IF(ISNUMBER(AY404),9,"")</f>
        <v/>
      </c>
      <c r="EH404" s="28" t="str">
        <f aca="false">IF(ISNUMBER(BC404),10,"")</f>
        <v/>
      </c>
      <c r="EI404" s="28" t="str">
        <f aca="false">IF(ISNUMBER(BG404),11,"")</f>
        <v/>
      </c>
      <c r="EJ404" s="28" t="str">
        <f aca="false">IF(ISNUMBER(BK404),12,"")</f>
        <v/>
      </c>
      <c r="EK404" s="28" t="str">
        <f aca="false">IF(ISNUMBER(BO404),13,"")</f>
        <v/>
      </c>
      <c r="EL404" s="28" t="str">
        <f aca="false">IF(ISNUMBER(BS404),14,"")</f>
        <v/>
      </c>
      <c r="EM404" s="28" t="n">
        <f aca="false">IF(ISNUMBER(R404),R404*CW404,0)</f>
        <v>0</v>
      </c>
      <c r="EN404" s="28" t="n">
        <f aca="false">IF(ISNUMBER(V404),V404*CX404,0)</f>
        <v>0</v>
      </c>
      <c r="EO404" s="28" t="n">
        <f aca="false">IF(ISNUMBER(Z404),Z404*CY404,0)</f>
        <v>0</v>
      </c>
      <c r="EP404" s="28" t="n">
        <f aca="false">IF(ISNUMBER(AD404),AD404*CZ404,0)</f>
        <v>0</v>
      </c>
      <c r="EQ404" s="28" t="n">
        <f aca="false">IF(ISNUMBER(AH404),AH404*DA404,0)</f>
        <v>0</v>
      </c>
      <c r="ER404" s="28" t="n">
        <f aca="false">IF(ISNUMBER(AL404),AL404*DB404,0)</f>
        <v>0</v>
      </c>
      <c r="ES404" s="28" t="n">
        <f aca="false">IF(ISNUMBER(AP404),AP404*DC404,0)</f>
        <v>0</v>
      </c>
      <c r="ET404" s="28" t="n">
        <f aca="false">IF(ISNUMBER(AT404),AT404*DD404,0)</f>
        <v>0</v>
      </c>
      <c r="EU404" s="28" t="n">
        <f aca="false">IF(ISNUMBER(AX404),AX404*DE404,0)</f>
        <v>0</v>
      </c>
      <c r="EV404" s="28" t="n">
        <f aca="false">IF(ISNUMBER(BB404),BB404*DF404,0)</f>
        <v>0</v>
      </c>
      <c r="EW404" s="28" t="n">
        <f aca="false">IF(ISNUMBER(BF404),BF404*DG404,0)</f>
        <v>0</v>
      </c>
      <c r="EX404" s="28" t="n">
        <f aca="false">IF(ISNUMBER(BJ404),BJ404*DH404,0)</f>
        <v>0</v>
      </c>
      <c r="EY404" s="28" t="n">
        <f aca="false">IF(ISNUMBER(BN404),BN404*DI404,0)</f>
        <v>0</v>
      </c>
      <c r="EZ404" s="28" t="n">
        <f aca="false">IF(ISNUMBER(BR404),BR404*DJ404,0)</f>
        <v>0</v>
      </c>
      <c r="FA404" s="28" t="n">
        <f aca="false">IF(ISNUMBER(R404),CW404,0)</f>
        <v>0</v>
      </c>
      <c r="FB404" s="28" t="n">
        <f aca="false">IF(ISNUMBER(V404),CX404,0)</f>
        <v>0</v>
      </c>
      <c r="FC404" s="28" t="n">
        <f aca="false">IF(ISNUMBER(Z404),CY404,0)</f>
        <v>0</v>
      </c>
      <c r="FD404" s="28" t="n">
        <f aca="false">IF(ISNUMBER(AD404),CZ404,0)</f>
        <v>0</v>
      </c>
      <c r="FE404" s="28" t="n">
        <f aca="false">IF(ISNUMBER(AH404),DA404,0)</f>
        <v>0</v>
      </c>
      <c r="FF404" s="28" t="n">
        <f aca="false">IF(ISNUMBER(AL404),DB404,0)</f>
        <v>0</v>
      </c>
      <c r="FG404" s="28" t="n">
        <f aca="false">IF(ISNUMBER(AP404),DC404,0)</f>
        <v>0</v>
      </c>
      <c r="FH404" s="28" t="n">
        <f aca="false">IF(ISNUMBER(AT404),DD404,0)</f>
        <v>0</v>
      </c>
      <c r="FI404" s="28" t="n">
        <f aca="false">IF(ISNUMBER(AX404),DE404,0)</f>
        <v>0</v>
      </c>
      <c r="FJ404" s="28" t="n">
        <f aca="false">IF(ISNUMBER(BB404),DF404,0)</f>
        <v>0</v>
      </c>
      <c r="FK404" s="28" t="n">
        <f aca="false">IF(ISNUMBER(BF404),DG404,0)</f>
        <v>0</v>
      </c>
      <c r="FL404" s="28" t="n">
        <f aca="false">IF(ISNUMBER(BJ404),DH404,0)</f>
        <v>0</v>
      </c>
      <c r="FM404" s="28" t="n">
        <f aca="false">IF(ISNUMBER(BN404),DI404,0)</f>
        <v>0</v>
      </c>
      <c r="FN404" s="28" t="n">
        <f aca="false">IF(ISNUMBER(BR404),DJ404,0)</f>
        <v>0</v>
      </c>
      <c r="FO404" s="28" t="str">
        <f aca="false">IFERROR(INDEX(Lists!$G$2:$G$20,MATCH($I404&amp;"|"&amp;$J404,Lists!$F$2:$F$20,0)),"")</f>
        <v/>
      </c>
    </row>
    <row r="405" customFormat="false" ht="19.5" hidden="false" customHeight="true" outlineLevel="0" collapsed="false">
      <c r="A405" s="29"/>
      <c r="B405" s="29"/>
      <c r="C405" s="30"/>
      <c r="D405" s="30"/>
      <c r="E405" s="31"/>
      <c r="F405" s="30"/>
      <c r="G405" s="30"/>
      <c r="H405" s="32"/>
      <c r="I405" s="33"/>
      <c r="J405" s="32"/>
      <c r="K405" s="34" t="str">
        <f aca="false">IF(OR(M405="",$E405=""),"",M405-$E405)</f>
        <v/>
      </c>
      <c r="L405" s="35" t="str">
        <f aca="false">IF(SUM(FA405:FN405)=0,"",SUM(EM405:EZ405)/SUM(FA405:FN405))</f>
        <v/>
      </c>
      <c r="M405" s="36" t="str">
        <f aca="false">IF(OR(L405="",FO405=""),"",IFERROR(MATCH(L405,INDEX(Boundaries!$B$2:$I$30,MATCH(FO405,Boundaries!$A$2:$A$30,0),0),1)-1,""))</f>
        <v/>
      </c>
      <c r="N405" s="37" t="str">
        <f aca="false">IF(COUNT($DY405:$EL405)&lt;2,"",INDEX($DK405:$DX405,MAX($DY405:$EL405))-INDEX($DK405:$DX405,MIN($DY405:$EL405)))</f>
        <v/>
      </c>
      <c r="O405" s="37" t="str">
        <f aca="false">IF(COUNT($DY405:$EL405)&lt;2,"",INDEX($DK405:$DX405,MAX($DY405:$EL405))-INDEX($DK405:$DX405,LARGE($DY405:$EL405,2)))</f>
        <v/>
      </c>
      <c r="P405" s="38" t="str">
        <f aca="false">IF(K405="","",IF(K405&gt;=0,"On/above target",IF(AND(N405&lt;&gt;"",N405&gt;=0.5),"Improving towards target",IF(AND(O405&lt;&gt;"",O405&lt;=-0.5),"Declining","Stable below target"))))</f>
        <v/>
      </c>
      <c r="Q405" s="39"/>
      <c r="R405" s="40" t="str">
        <f aca="false">IF(OR(Q405="",BU405=""),"",Q405/BU405*100)</f>
        <v/>
      </c>
      <c r="S405" s="41" t="str">
        <f aca="false">IF(R405="","",IFERROR(MATCH(R405,INDEX(Boundaries!$B$2:$I$30,MATCH(CI405,Boundaries!$A$2:$A$30,0),0),1)-1,""))</f>
        <v/>
      </c>
      <c r="T405" s="42" t="str">
        <f aca="false">IF(OR(S405="",$E405=""),"",S405-$E405)</f>
        <v/>
      </c>
      <c r="U405" s="39"/>
      <c r="V405" s="40" t="str">
        <f aca="false">IF(OR(U405="",BV405=""),"",U405/BV405*100)</f>
        <v/>
      </c>
      <c r="W405" s="41" t="str">
        <f aca="false">IF(V405="","",IFERROR(MATCH(V405,INDEX(Boundaries!$B$2:$I$30,MATCH(CJ405,Boundaries!$A$2:$A$30,0),0),1)-1,""))</f>
        <v/>
      </c>
      <c r="X405" s="42" t="str">
        <f aca="false">IF(OR(W405="",$E405=""),"",W405-$E405)</f>
        <v/>
      </c>
      <c r="Y405" s="39"/>
      <c r="Z405" s="40" t="str">
        <f aca="false">IF(OR(Y405="",BW405=""),"",Y405/BW405*100)</f>
        <v/>
      </c>
      <c r="AA405" s="41" t="str">
        <f aca="false">IF(Z405="","",IFERROR(MATCH(Z405,INDEX(Boundaries!$B$2:$I$30,MATCH(CK405,Boundaries!$A$2:$A$30,0),0),1)-1,""))</f>
        <v/>
      </c>
      <c r="AB405" s="42" t="str">
        <f aca="false">IF(OR(AA405="",$E405=""),"",AA405-$E405)</f>
        <v/>
      </c>
      <c r="AC405" s="39"/>
      <c r="AD405" s="40" t="str">
        <f aca="false">IF(OR(AC405="",BX405=""),"",AC405/BX405*100)</f>
        <v/>
      </c>
      <c r="AE405" s="41" t="str">
        <f aca="false">IF(AD405="","",IFERROR(MATCH(AD405,INDEX(Boundaries!$B$2:$I$30,MATCH(CL405,Boundaries!$A$2:$A$30,0),0),1)-1,""))</f>
        <v/>
      </c>
      <c r="AF405" s="42" t="str">
        <f aca="false">IF(OR(AE405="",$E405=""),"",AE405-$E405)</f>
        <v/>
      </c>
      <c r="AG405" s="39"/>
      <c r="AH405" s="40" t="str">
        <f aca="false">IF(OR(AG405="",BY405=""),"",AG405/BY405*100)</f>
        <v/>
      </c>
      <c r="AI405" s="41" t="str">
        <f aca="false">IF(AH405="","",IFERROR(MATCH(AH405,INDEX(Boundaries!$B$2:$I$30,MATCH(CM405,Boundaries!$A$2:$A$30,0),0),1)-1,""))</f>
        <v/>
      </c>
      <c r="AJ405" s="42" t="str">
        <f aca="false">IF(OR(AI405="",$E405=""),"",AI405-$E405)</f>
        <v/>
      </c>
      <c r="AK405" s="39"/>
      <c r="AL405" s="40" t="str">
        <f aca="false">IF(OR(AK405="",BZ405=""),"",AK405/BZ405*100)</f>
        <v/>
      </c>
      <c r="AM405" s="41" t="str">
        <f aca="false">IF(AL405="","",IFERROR(MATCH(AL405,INDEX(Boundaries!$B$2:$I$30,MATCH(CN405,Boundaries!$A$2:$A$30,0),0),1)-1,""))</f>
        <v/>
      </c>
      <c r="AN405" s="42" t="str">
        <f aca="false">IF(OR(AM405="",$E405=""),"",AM405-$E405)</f>
        <v/>
      </c>
      <c r="AO405" s="39"/>
      <c r="AP405" s="40" t="str">
        <f aca="false">IF(OR(AO405="",CA405=""),"",AO405/CA405*100)</f>
        <v/>
      </c>
      <c r="AQ405" s="41" t="str">
        <f aca="false">IF(AP405="","",IFERROR(MATCH(AP405,INDEX(Boundaries!$B$2:$I$30,MATCH(CO405,Boundaries!$A$2:$A$30,0),0),1)-1,""))</f>
        <v/>
      </c>
      <c r="AR405" s="42" t="str">
        <f aca="false">IF(OR(AQ405="",$E405=""),"",AQ405-$E405)</f>
        <v/>
      </c>
      <c r="AS405" s="39"/>
      <c r="AT405" s="40" t="str">
        <f aca="false">IF(OR(AS405="",CB405=""),"",AS405/CB405*100)</f>
        <v/>
      </c>
      <c r="AU405" s="41" t="str">
        <f aca="false">IF(AT405="","",IFERROR(MATCH(AT405,INDEX(Boundaries!$B$2:$I$30,MATCH(CP405,Boundaries!$A$2:$A$30,0),0),1)-1,""))</f>
        <v/>
      </c>
      <c r="AV405" s="42" t="str">
        <f aca="false">IF(OR(AU405="",$E405=""),"",AU405-$E405)</f>
        <v/>
      </c>
      <c r="AW405" s="39"/>
      <c r="AX405" s="40" t="str">
        <f aca="false">IF(OR(AW405="",CC405=""),"",AW405/CC405*100)</f>
        <v/>
      </c>
      <c r="AY405" s="41" t="str">
        <f aca="false">IF(AX405="","",IFERROR(MATCH(AX405,INDEX(Boundaries!$B$2:$I$30,MATCH(CQ405,Boundaries!$A$2:$A$30,0),0),1)-1,""))</f>
        <v/>
      </c>
      <c r="AZ405" s="42" t="str">
        <f aca="false">IF(OR(AY405="",$E405=""),"",AY405-$E405)</f>
        <v/>
      </c>
      <c r="BA405" s="39"/>
      <c r="BB405" s="40" t="str">
        <f aca="false">IF(OR(BA405="",CD405=""),"",BA405/CD405*100)</f>
        <v/>
      </c>
      <c r="BC405" s="41" t="str">
        <f aca="false">IF(BB405="","",IFERROR(MATCH(BB405,INDEX(Boundaries!$B$2:$I$30,MATCH(CR405,Boundaries!$A$2:$A$30,0),0),1)-1,""))</f>
        <v/>
      </c>
      <c r="BD405" s="42" t="str">
        <f aca="false">IF(OR(BC405="",$E405=""),"",BC405-$E405)</f>
        <v/>
      </c>
      <c r="BE405" s="39"/>
      <c r="BF405" s="40" t="str">
        <f aca="false">IF(OR(BE405="",CE405=""),"",BE405/CE405*100)</f>
        <v/>
      </c>
      <c r="BG405" s="41" t="str">
        <f aca="false">IF(BF405="","",IFERROR(MATCH(BF405,INDEX(Boundaries!$B$2:$I$30,MATCH(CS405,Boundaries!$A$2:$A$30,0),0),1)-1,""))</f>
        <v/>
      </c>
      <c r="BH405" s="42" t="str">
        <f aca="false">IF(OR(BG405="",$E405=""),"",BG405-$E405)</f>
        <v/>
      </c>
      <c r="BI405" s="39"/>
      <c r="BJ405" s="40" t="str">
        <f aca="false">IF(OR(BI405="",CF405=""),"",BI405/CF405*100)</f>
        <v/>
      </c>
      <c r="BK405" s="41" t="str">
        <f aca="false">IF(BJ405="","",IFERROR(MATCH(BJ405,INDEX(Boundaries!$B$2:$I$30,MATCH(CT405,Boundaries!$A$2:$A$30,0),0),1)-1,""))</f>
        <v/>
      </c>
      <c r="BL405" s="42" t="str">
        <f aca="false">IF(OR(BK405="",$E405=""),"",BK405-$E405)</f>
        <v/>
      </c>
      <c r="BM405" s="39"/>
      <c r="BN405" s="40" t="str">
        <f aca="false">IF(OR(BM405="",CG405=""),"",BM405/CG405*100)</f>
        <v/>
      </c>
      <c r="BO405" s="41" t="str">
        <f aca="false">IF(BN405="","",IFERROR(MATCH(BN405,INDEX(Boundaries!$B$2:$I$30,MATCH(CU405,Boundaries!$A$2:$A$30,0),0),1)-1,""))</f>
        <v/>
      </c>
      <c r="BP405" s="42" t="str">
        <f aca="false">IF(OR(BO405="",$E405=""),"",BO405-$E405)</f>
        <v/>
      </c>
      <c r="BQ405" s="39"/>
      <c r="BR405" s="40" t="str">
        <f aca="false">IF(OR(BQ405="",CH405=""),"",BQ405/CH405*100)</f>
        <v/>
      </c>
      <c r="BS405" s="41" t="str">
        <f aca="false">IF(BR405="","",IFERROR(MATCH(BR405,INDEX(Boundaries!$B$2:$I$30,MATCH(CV405,Boundaries!$A$2:$A$30,0),0),1)-1,""))</f>
        <v/>
      </c>
      <c r="BT405" s="42" t="str">
        <f aca="false">IF(OR(BS405="",$E405=""),"",BS405-$E405)</f>
        <v/>
      </c>
      <c r="BU405" s="28" t="str">
        <f aca="false">IFERROR(INDEX(Assessments!$H$2:$H$600,MATCH($H405&amp;"|"&amp;$I405&amp;"|"&amp;$J405&amp;"|"&amp;1,Assessments!$A$2:$A$600,0)),"")</f>
        <v/>
      </c>
      <c r="BV405" s="28" t="str">
        <f aca="false">IFERROR(INDEX(Assessments!$H$2:$H$600,MATCH($H405&amp;"|"&amp;$I405&amp;"|"&amp;$J405&amp;"|"&amp;2,Assessments!$A$2:$A$600,0)),"")</f>
        <v/>
      </c>
      <c r="BW405" s="28" t="str">
        <f aca="false">IFERROR(INDEX(Assessments!$H$2:$H$600,MATCH($H405&amp;"|"&amp;$I405&amp;"|"&amp;$J405&amp;"|"&amp;3,Assessments!$A$2:$A$600,0)),"")</f>
        <v/>
      </c>
      <c r="BX405" s="28" t="str">
        <f aca="false">IFERROR(INDEX(Assessments!$H$2:$H$600,MATCH($H405&amp;"|"&amp;$I405&amp;"|"&amp;$J405&amp;"|"&amp;4,Assessments!$A$2:$A$600,0)),"")</f>
        <v/>
      </c>
      <c r="BY405" s="28" t="str">
        <f aca="false">IFERROR(INDEX(Assessments!$H$2:$H$600,MATCH($H405&amp;"|"&amp;$I405&amp;"|"&amp;$J405&amp;"|"&amp;5,Assessments!$A$2:$A$600,0)),"")</f>
        <v/>
      </c>
      <c r="BZ405" s="28" t="str">
        <f aca="false">IFERROR(INDEX(Assessments!$H$2:$H$600,MATCH($H405&amp;"|"&amp;$I405&amp;"|"&amp;$J405&amp;"|"&amp;6,Assessments!$A$2:$A$600,0)),"")</f>
        <v/>
      </c>
      <c r="CA405" s="28" t="str">
        <f aca="false">IFERROR(INDEX(Assessments!$H$2:$H$600,MATCH($H405&amp;"|"&amp;$I405&amp;"|"&amp;$J405&amp;"|"&amp;7,Assessments!$A$2:$A$600,0)),"")</f>
        <v/>
      </c>
      <c r="CB405" s="28" t="str">
        <f aca="false">IFERROR(INDEX(Assessments!$H$2:$H$600,MATCH($H405&amp;"|"&amp;$I405&amp;"|"&amp;$J405&amp;"|"&amp;8,Assessments!$A$2:$A$600,0)),"")</f>
        <v/>
      </c>
      <c r="CC405" s="28" t="str">
        <f aca="false">IFERROR(INDEX(Assessments!$H$2:$H$600,MATCH($H405&amp;"|"&amp;$I405&amp;"|"&amp;$J405&amp;"|"&amp;9,Assessments!$A$2:$A$600,0)),"")</f>
        <v/>
      </c>
      <c r="CD405" s="28" t="str">
        <f aca="false">IFERROR(INDEX(Assessments!$H$2:$H$600,MATCH($H405&amp;"|"&amp;$I405&amp;"|"&amp;$J405&amp;"|"&amp;10,Assessments!$A$2:$A$600,0)),"")</f>
        <v/>
      </c>
      <c r="CE405" s="28" t="str">
        <f aca="false">IFERROR(INDEX(Assessments!$H$2:$H$600,MATCH($H405&amp;"|"&amp;$I405&amp;"|"&amp;$J405&amp;"|"&amp;11,Assessments!$A$2:$A$600,0)),"")</f>
        <v/>
      </c>
      <c r="CF405" s="28" t="str">
        <f aca="false">IFERROR(INDEX(Assessments!$H$2:$H$600,MATCH($H405&amp;"|"&amp;$I405&amp;"|"&amp;$J405&amp;"|"&amp;12,Assessments!$A$2:$A$600,0)),"")</f>
        <v/>
      </c>
      <c r="CG405" s="28" t="str">
        <f aca="false">IFERROR(INDEX(Assessments!$H$2:$H$600,MATCH($H405&amp;"|"&amp;$I405&amp;"|"&amp;$J405&amp;"|"&amp;13,Assessments!$A$2:$A$600,0)),"")</f>
        <v/>
      </c>
      <c r="CH405" s="28" t="str">
        <f aca="false">IFERROR(INDEX(Assessments!$H$2:$H$600,MATCH($H405&amp;"|"&amp;$I405&amp;"|"&amp;$J405&amp;"|"&amp;14,Assessments!$A$2:$A$600,0)),"")</f>
        <v/>
      </c>
      <c r="CI405" s="28" t="str">
        <f aca="false">IFERROR(INDEX(Assessments!$I$2:$I$600,MATCH($H405&amp;"|"&amp;$I405&amp;"|"&amp;$J405&amp;"|"&amp;1,Assessments!$A$2:$A$600,0)),"")</f>
        <v/>
      </c>
      <c r="CJ405" s="28" t="str">
        <f aca="false">IFERROR(INDEX(Assessments!$I$2:$I$600,MATCH($H405&amp;"|"&amp;$I405&amp;"|"&amp;$J405&amp;"|"&amp;2,Assessments!$A$2:$A$600,0)),"")</f>
        <v/>
      </c>
      <c r="CK405" s="28" t="str">
        <f aca="false">IFERROR(INDEX(Assessments!$I$2:$I$600,MATCH($H405&amp;"|"&amp;$I405&amp;"|"&amp;$J405&amp;"|"&amp;3,Assessments!$A$2:$A$600,0)),"")</f>
        <v/>
      </c>
      <c r="CL405" s="28" t="str">
        <f aca="false">IFERROR(INDEX(Assessments!$I$2:$I$600,MATCH($H405&amp;"|"&amp;$I405&amp;"|"&amp;$J405&amp;"|"&amp;4,Assessments!$A$2:$A$600,0)),"")</f>
        <v/>
      </c>
      <c r="CM405" s="28" t="str">
        <f aca="false">IFERROR(INDEX(Assessments!$I$2:$I$600,MATCH($H405&amp;"|"&amp;$I405&amp;"|"&amp;$J405&amp;"|"&amp;5,Assessments!$A$2:$A$600,0)),"")</f>
        <v/>
      </c>
      <c r="CN405" s="28" t="str">
        <f aca="false">IFERROR(INDEX(Assessments!$I$2:$I$600,MATCH($H405&amp;"|"&amp;$I405&amp;"|"&amp;$J405&amp;"|"&amp;6,Assessments!$A$2:$A$600,0)),"")</f>
        <v/>
      </c>
      <c r="CO405" s="28" t="str">
        <f aca="false">IFERROR(INDEX(Assessments!$I$2:$I$600,MATCH($H405&amp;"|"&amp;$I405&amp;"|"&amp;$J405&amp;"|"&amp;7,Assessments!$A$2:$A$600,0)),"")</f>
        <v/>
      </c>
      <c r="CP405" s="28" t="str">
        <f aca="false">IFERROR(INDEX(Assessments!$I$2:$I$600,MATCH($H405&amp;"|"&amp;$I405&amp;"|"&amp;$J405&amp;"|"&amp;8,Assessments!$A$2:$A$600,0)),"")</f>
        <v/>
      </c>
      <c r="CQ405" s="28" t="str">
        <f aca="false">IFERROR(INDEX(Assessments!$I$2:$I$600,MATCH($H405&amp;"|"&amp;$I405&amp;"|"&amp;$J405&amp;"|"&amp;9,Assessments!$A$2:$A$600,0)),"")</f>
        <v/>
      </c>
      <c r="CR405" s="28" t="str">
        <f aca="false">IFERROR(INDEX(Assessments!$I$2:$I$600,MATCH($H405&amp;"|"&amp;$I405&amp;"|"&amp;$J405&amp;"|"&amp;10,Assessments!$A$2:$A$600,0)),"")</f>
        <v/>
      </c>
      <c r="CS405" s="28" t="str">
        <f aca="false">IFERROR(INDEX(Assessments!$I$2:$I$600,MATCH($H405&amp;"|"&amp;$I405&amp;"|"&amp;$J405&amp;"|"&amp;11,Assessments!$A$2:$A$600,0)),"")</f>
        <v/>
      </c>
      <c r="CT405" s="28" t="str">
        <f aca="false">IFERROR(INDEX(Assessments!$I$2:$I$600,MATCH($H405&amp;"|"&amp;$I405&amp;"|"&amp;$J405&amp;"|"&amp;12,Assessments!$A$2:$A$600,0)),"")</f>
        <v/>
      </c>
      <c r="CU405" s="28" t="str">
        <f aca="false">IFERROR(INDEX(Assessments!$I$2:$I$600,MATCH($H405&amp;"|"&amp;$I405&amp;"|"&amp;$J405&amp;"|"&amp;13,Assessments!$A$2:$A$600,0)),"")</f>
        <v/>
      </c>
      <c r="CV405" s="28" t="str">
        <f aca="false">IFERROR(INDEX(Assessments!$I$2:$I$600,MATCH($H405&amp;"|"&amp;$I405&amp;"|"&amp;$J405&amp;"|"&amp;14,Assessments!$A$2:$A$600,0)),"")</f>
        <v/>
      </c>
      <c r="CW405" s="28" t="n">
        <f aca="false">IFERROR(INDEX(Assessments!$J$2:$J$600,MATCH($H405&amp;"|"&amp;$I405&amp;"|"&amp;$J405&amp;"|"&amp;1,Assessments!$A$2:$A$600,0)),0)</f>
        <v>0</v>
      </c>
      <c r="CX405" s="28" t="n">
        <f aca="false">IFERROR(INDEX(Assessments!$J$2:$J$600,MATCH($H405&amp;"|"&amp;$I405&amp;"|"&amp;$J405&amp;"|"&amp;2,Assessments!$A$2:$A$600,0)),0)</f>
        <v>0</v>
      </c>
      <c r="CY405" s="28" t="n">
        <f aca="false">IFERROR(INDEX(Assessments!$J$2:$J$600,MATCH($H405&amp;"|"&amp;$I405&amp;"|"&amp;$J405&amp;"|"&amp;3,Assessments!$A$2:$A$600,0)),0)</f>
        <v>0</v>
      </c>
      <c r="CZ405" s="28" t="n">
        <f aca="false">IFERROR(INDEX(Assessments!$J$2:$J$600,MATCH($H405&amp;"|"&amp;$I405&amp;"|"&amp;$J405&amp;"|"&amp;4,Assessments!$A$2:$A$600,0)),0)</f>
        <v>0</v>
      </c>
      <c r="DA405" s="28" t="n">
        <f aca="false">IFERROR(INDEX(Assessments!$J$2:$J$600,MATCH($H405&amp;"|"&amp;$I405&amp;"|"&amp;$J405&amp;"|"&amp;5,Assessments!$A$2:$A$600,0)),0)</f>
        <v>0</v>
      </c>
      <c r="DB405" s="28" t="n">
        <f aca="false">IFERROR(INDEX(Assessments!$J$2:$J$600,MATCH($H405&amp;"|"&amp;$I405&amp;"|"&amp;$J405&amp;"|"&amp;6,Assessments!$A$2:$A$600,0)),0)</f>
        <v>0</v>
      </c>
      <c r="DC405" s="28" t="n">
        <f aca="false">IFERROR(INDEX(Assessments!$J$2:$J$600,MATCH($H405&amp;"|"&amp;$I405&amp;"|"&amp;$J405&amp;"|"&amp;7,Assessments!$A$2:$A$600,0)),0)</f>
        <v>0</v>
      </c>
      <c r="DD405" s="28" t="n">
        <f aca="false">IFERROR(INDEX(Assessments!$J$2:$J$600,MATCH($H405&amp;"|"&amp;$I405&amp;"|"&amp;$J405&amp;"|"&amp;8,Assessments!$A$2:$A$600,0)),0)</f>
        <v>0</v>
      </c>
      <c r="DE405" s="28" t="n">
        <f aca="false">IFERROR(INDEX(Assessments!$J$2:$J$600,MATCH($H405&amp;"|"&amp;$I405&amp;"|"&amp;$J405&amp;"|"&amp;9,Assessments!$A$2:$A$600,0)),0)</f>
        <v>0</v>
      </c>
      <c r="DF405" s="28" t="n">
        <f aca="false">IFERROR(INDEX(Assessments!$J$2:$J$600,MATCH($H405&amp;"|"&amp;$I405&amp;"|"&amp;$J405&amp;"|"&amp;10,Assessments!$A$2:$A$600,0)),0)</f>
        <v>0</v>
      </c>
      <c r="DG405" s="28" t="n">
        <f aca="false">IFERROR(INDEX(Assessments!$J$2:$J$600,MATCH($H405&amp;"|"&amp;$I405&amp;"|"&amp;$J405&amp;"|"&amp;11,Assessments!$A$2:$A$600,0)),0)</f>
        <v>0</v>
      </c>
      <c r="DH405" s="28" t="n">
        <f aca="false">IFERROR(INDEX(Assessments!$J$2:$J$600,MATCH($H405&amp;"|"&amp;$I405&amp;"|"&amp;$J405&amp;"|"&amp;12,Assessments!$A$2:$A$600,0)),0)</f>
        <v>0</v>
      </c>
      <c r="DI405" s="28" t="n">
        <f aca="false">IFERROR(INDEX(Assessments!$J$2:$J$600,MATCH($H405&amp;"|"&amp;$I405&amp;"|"&amp;$J405&amp;"|"&amp;13,Assessments!$A$2:$A$600,0)),0)</f>
        <v>0</v>
      </c>
      <c r="DJ405" s="28" t="n">
        <f aca="false">IFERROR(INDEX(Assessments!$J$2:$J$600,MATCH($H405&amp;"|"&amp;$I405&amp;"|"&amp;$J405&amp;"|"&amp;14,Assessments!$A$2:$A$600,0)),0)</f>
        <v>0</v>
      </c>
      <c r="DK405" s="28" t="str">
        <f aca="false">S405</f>
        <v/>
      </c>
      <c r="DL405" s="28" t="str">
        <f aca="false">W405</f>
        <v/>
      </c>
      <c r="DM405" s="28" t="str">
        <f aca="false">AA405</f>
        <v/>
      </c>
      <c r="DN405" s="28" t="str">
        <f aca="false">AE405</f>
        <v/>
      </c>
      <c r="DO405" s="28" t="str">
        <f aca="false">AI405</f>
        <v/>
      </c>
      <c r="DP405" s="28" t="str">
        <f aca="false">AM405</f>
        <v/>
      </c>
      <c r="DQ405" s="28" t="str">
        <f aca="false">AQ405</f>
        <v/>
      </c>
      <c r="DR405" s="28" t="str">
        <f aca="false">AU405</f>
        <v/>
      </c>
      <c r="DS405" s="28" t="str">
        <f aca="false">AY405</f>
        <v/>
      </c>
      <c r="DT405" s="28" t="str">
        <f aca="false">BC405</f>
        <v/>
      </c>
      <c r="DU405" s="28" t="str">
        <f aca="false">BG405</f>
        <v/>
      </c>
      <c r="DV405" s="28" t="str">
        <f aca="false">BK405</f>
        <v/>
      </c>
      <c r="DW405" s="28" t="str">
        <f aca="false">BO405</f>
        <v/>
      </c>
      <c r="DX405" s="28" t="str">
        <f aca="false">BS405</f>
        <v/>
      </c>
      <c r="DY405" s="28" t="str">
        <f aca="false">IF(ISNUMBER(S405),1,"")</f>
        <v/>
      </c>
      <c r="DZ405" s="28" t="str">
        <f aca="false">IF(ISNUMBER(W405),2,"")</f>
        <v/>
      </c>
      <c r="EA405" s="28" t="str">
        <f aca="false">IF(ISNUMBER(AA405),3,"")</f>
        <v/>
      </c>
      <c r="EB405" s="28" t="str">
        <f aca="false">IF(ISNUMBER(AE405),4,"")</f>
        <v/>
      </c>
      <c r="EC405" s="28" t="str">
        <f aca="false">IF(ISNUMBER(AI405),5,"")</f>
        <v/>
      </c>
      <c r="ED405" s="28" t="str">
        <f aca="false">IF(ISNUMBER(AM405),6,"")</f>
        <v/>
      </c>
      <c r="EE405" s="28" t="str">
        <f aca="false">IF(ISNUMBER(AQ405),7,"")</f>
        <v/>
      </c>
      <c r="EF405" s="28" t="str">
        <f aca="false">IF(ISNUMBER(AU405),8,"")</f>
        <v/>
      </c>
      <c r="EG405" s="28" t="str">
        <f aca="false">IF(ISNUMBER(AY405),9,"")</f>
        <v/>
      </c>
      <c r="EH405" s="28" t="str">
        <f aca="false">IF(ISNUMBER(BC405),10,"")</f>
        <v/>
      </c>
      <c r="EI405" s="28" t="str">
        <f aca="false">IF(ISNUMBER(BG405),11,"")</f>
        <v/>
      </c>
      <c r="EJ405" s="28" t="str">
        <f aca="false">IF(ISNUMBER(BK405),12,"")</f>
        <v/>
      </c>
      <c r="EK405" s="28" t="str">
        <f aca="false">IF(ISNUMBER(BO405),13,"")</f>
        <v/>
      </c>
      <c r="EL405" s="28" t="str">
        <f aca="false">IF(ISNUMBER(BS405),14,"")</f>
        <v/>
      </c>
      <c r="EM405" s="28" t="n">
        <f aca="false">IF(ISNUMBER(R405),R405*CW405,0)</f>
        <v>0</v>
      </c>
      <c r="EN405" s="28" t="n">
        <f aca="false">IF(ISNUMBER(V405),V405*CX405,0)</f>
        <v>0</v>
      </c>
      <c r="EO405" s="28" t="n">
        <f aca="false">IF(ISNUMBER(Z405),Z405*CY405,0)</f>
        <v>0</v>
      </c>
      <c r="EP405" s="28" t="n">
        <f aca="false">IF(ISNUMBER(AD405),AD405*CZ405,0)</f>
        <v>0</v>
      </c>
      <c r="EQ405" s="28" t="n">
        <f aca="false">IF(ISNUMBER(AH405),AH405*DA405,0)</f>
        <v>0</v>
      </c>
      <c r="ER405" s="28" t="n">
        <f aca="false">IF(ISNUMBER(AL405),AL405*DB405,0)</f>
        <v>0</v>
      </c>
      <c r="ES405" s="28" t="n">
        <f aca="false">IF(ISNUMBER(AP405),AP405*DC405,0)</f>
        <v>0</v>
      </c>
      <c r="ET405" s="28" t="n">
        <f aca="false">IF(ISNUMBER(AT405),AT405*DD405,0)</f>
        <v>0</v>
      </c>
      <c r="EU405" s="28" t="n">
        <f aca="false">IF(ISNUMBER(AX405),AX405*DE405,0)</f>
        <v>0</v>
      </c>
      <c r="EV405" s="28" t="n">
        <f aca="false">IF(ISNUMBER(BB405),BB405*DF405,0)</f>
        <v>0</v>
      </c>
      <c r="EW405" s="28" t="n">
        <f aca="false">IF(ISNUMBER(BF405),BF405*DG405,0)</f>
        <v>0</v>
      </c>
      <c r="EX405" s="28" t="n">
        <f aca="false">IF(ISNUMBER(BJ405),BJ405*DH405,0)</f>
        <v>0</v>
      </c>
      <c r="EY405" s="28" t="n">
        <f aca="false">IF(ISNUMBER(BN405),BN405*DI405,0)</f>
        <v>0</v>
      </c>
      <c r="EZ405" s="28" t="n">
        <f aca="false">IF(ISNUMBER(BR405),BR405*DJ405,0)</f>
        <v>0</v>
      </c>
      <c r="FA405" s="28" t="n">
        <f aca="false">IF(ISNUMBER(R405),CW405,0)</f>
        <v>0</v>
      </c>
      <c r="FB405" s="28" t="n">
        <f aca="false">IF(ISNUMBER(V405),CX405,0)</f>
        <v>0</v>
      </c>
      <c r="FC405" s="28" t="n">
        <f aca="false">IF(ISNUMBER(Z405),CY405,0)</f>
        <v>0</v>
      </c>
      <c r="FD405" s="28" t="n">
        <f aca="false">IF(ISNUMBER(AD405),CZ405,0)</f>
        <v>0</v>
      </c>
      <c r="FE405" s="28" t="n">
        <f aca="false">IF(ISNUMBER(AH405),DA405,0)</f>
        <v>0</v>
      </c>
      <c r="FF405" s="28" t="n">
        <f aca="false">IF(ISNUMBER(AL405),DB405,0)</f>
        <v>0</v>
      </c>
      <c r="FG405" s="28" t="n">
        <f aca="false">IF(ISNUMBER(AP405),DC405,0)</f>
        <v>0</v>
      </c>
      <c r="FH405" s="28" t="n">
        <f aca="false">IF(ISNUMBER(AT405),DD405,0)</f>
        <v>0</v>
      </c>
      <c r="FI405" s="28" t="n">
        <f aca="false">IF(ISNUMBER(AX405),DE405,0)</f>
        <v>0</v>
      </c>
      <c r="FJ405" s="28" t="n">
        <f aca="false">IF(ISNUMBER(BB405),DF405,0)</f>
        <v>0</v>
      </c>
      <c r="FK405" s="28" t="n">
        <f aca="false">IF(ISNUMBER(BF405),DG405,0)</f>
        <v>0</v>
      </c>
      <c r="FL405" s="28" t="n">
        <f aca="false">IF(ISNUMBER(BJ405),DH405,0)</f>
        <v>0</v>
      </c>
      <c r="FM405" s="28" t="n">
        <f aca="false">IF(ISNUMBER(BN405),DI405,0)</f>
        <v>0</v>
      </c>
      <c r="FN405" s="28" t="n">
        <f aca="false">IF(ISNUMBER(BR405),DJ405,0)</f>
        <v>0</v>
      </c>
      <c r="FO405" s="28" t="str">
        <f aca="false">IFERROR(INDEX(Lists!$G$2:$G$20,MATCH($I405&amp;"|"&amp;$J405,Lists!$F$2:$F$20,0)),"")</f>
        <v/>
      </c>
    </row>
    <row r="406" customFormat="false" ht="19.5" hidden="false" customHeight="true" outlineLevel="0" collapsed="false">
      <c r="A406" s="29"/>
      <c r="B406" s="29"/>
      <c r="C406" s="30"/>
      <c r="D406" s="30"/>
      <c r="E406" s="31"/>
      <c r="F406" s="30"/>
      <c r="G406" s="30"/>
      <c r="H406" s="32"/>
      <c r="I406" s="33"/>
      <c r="J406" s="32"/>
      <c r="K406" s="34" t="str">
        <f aca="false">IF(OR(M406="",$E406=""),"",M406-$E406)</f>
        <v/>
      </c>
      <c r="L406" s="35" t="str">
        <f aca="false">IF(SUM(FA406:FN406)=0,"",SUM(EM406:EZ406)/SUM(FA406:FN406))</f>
        <v/>
      </c>
      <c r="M406" s="36" t="str">
        <f aca="false">IF(OR(L406="",FO406=""),"",IFERROR(MATCH(L406,INDEX(Boundaries!$B$2:$I$30,MATCH(FO406,Boundaries!$A$2:$A$30,0),0),1)-1,""))</f>
        <v/>
      </c>
      <c r="N406" s="37" t="str">
        <f aca="false">IF(COUNT($DY406:$EL406)&lt;2,"",INDEX($DK406:$DX406,MAX($DY406:$EL406))-INDEX($DK406:$DX406,MIN($DY406:$EL406)))</f>
        <v/>
      </c>
      <c r="O406" s="37" t="str">
        <f aca="false">IF(COUNT($DY406:$EL406)&lt;2,"",INDEX($DK406:$DX406,MAX($DY406:$EL406))-INDEX($DK406:$DX406,LARGE($DY406:$EL406,2)))</f>
        <v/>
      </c>
      <c r="P406" s="38" t="str">
        <f aca="false">IF(K406="","",IF(K406&gt;=0,"On/above target",IF(AND(N406&lt;&gt;"",N406&gt;=0.5),"Improving towards target",IF(AND(O406&lt;&gt;"",O406&lt;=-0.5),"Declining","Stable below target"))))</f>
        <v/>
      </c>
      <c r="Q406" s="39"/>
      <c r="R406" s="40" t="str">
        <f aca="false">IF(OR(Q406="",BU406=""),"",Q406/BU406*100)</f>
        <v/>
      </c>
      <c r="S406" s="41" t="str">
        <f aca="false">IF(R406="","",IFERROR(MATCH(R406,INDEX(Boundaries!$B$2:$I$30,MATCH(CI406,Boundaries!$A$2:$A$30,0),0),1)-1,""))</f>
        <v/>
      </c>
      <c r="T406" s="42" t="str">
        <f aca="false">IF(OR(S406="",$E406=""),"",S406-$E406)</f>
        <v/>
      </c>
      <c r="U406" s="39"/>
      <c r="V406" s="40" t="str">
        <f aca="false">IF(OR(U406="",BV406=""),"",U406/BV406*100)</f>
        <v/>
      </c>
      <c r="W406" s="41" t="str">
        <f aca="false">IF(V406="","",IFERROR(MATCH(V406,INDEX(Boundaries!$B$2:$I$30,MATCH(CJ406,Boundaries!$A$2:$A$30,0),0),1)-1,""))</f>
        <v/>
      </c>
      <c r="X406" s="42" t="str">
        <f aca="false">IF(OR(W406="",$E406=""),"",W406-$E406)</f>
        <v/>
      </c>
      <c r="Y406" s="39"/>
      <c r="Z406" s="40" t="str">
        <f aca="false">IF(OR(Y406="",BW406=""),"",Y406/BW406*100)</f>
        <v/>
      </c>
      <c r="AA406" s="41" t="str">
        <f aca="false">IF(Z406="","",IFERROR(MATCH(Z406,INDEX(Boundaries!$B$2:$I$30,MATCH(CK406,Boundaries!$A$2:$A$30,0),0),1)-1,""))</f>
        <v/>
      </c>
      <c r="AB406" s="42" t="str">
        <f aca="false">IF(OR(AA406="",$E406=""),"",AA406-$E406)</f>
        <v/>
      </c>
      <c r="AC406" s="39"/>
      <c r="AD406" s="40" t="str">
        <f aca="false">IF(OR(AC406="",BX406=""),"",AC406/BX406*100)</f>
        <v/>
      </c>
      <c r="AE406" s="41" t="str">
        <f aca="false">IF(AD406="","",IFERROR(MATCH(AD406,INDEX(Boundaries!$B$2:$I$30,MATCH(CL406,Boundaries!$A$2:$A$30,0),0),1)-1,""))</f>
        <v/>
      </c>
      <c r="AF406" s="42" t="str">
        <f aca="false">IF(OR(AE406="",$E406=""),"",AE406-$E406)</f>
        <v/>
      </c>
      <c r="AG406" s="39"/>
      <c r="AH406" s="40" t="str">
        <f aca="false">IF(OR(AG406="",BY406=""),"",AG406/BY406*100)</f>
        <v/>
      </c>
      <c r="AI406" s="41" t="str">
        <f aca="false">IF(AH406="","",IFERROR(MATCH(AH406,INDEX(Boundaries!$B$2:$I$30,MATCH(CM406,Boundaries!$A$2:$A$30,0),0),1)-1,""))</f>
        <v/>
      </c>
      <c r="AJ406" s="42" t="str">
        <f aca="false">IF(OR(AI406="",$E406=""),"",AI406-$E406)</f>
        <v/>
      </c>
      <c r="AK406" s="39"/>
      <c r="AL406" s="40" t="str">
        <f aca="false">IF(OR(AK406="",BZ406=""),"",AK406/BZ406*100)</f>
        <v/>
      </c>
      <c r="AM406" s="41" t="str">
        <f aca="false">IF(AL406="","",IFERROR(MATCH(AL406,INDEX(Boundaries!$B$2:$I$30,MATCH(CN406,Boundaries!$A$2:$A$30,0),0),1)-1,""))</f>
        <v/>
      </c>
      <c r="AN406" s="42" t="str">
        <f aca="false">IF(OR(AM406="",$E406=""),"",AM406-$E406)</f>
        <v/>
      </c>
      <c r="AO406" s="39"/>
      <c r="AP406" s="40" t="str">
        <f aca="false">IF(OR(AO406="",CA406=""),"",AO406/CA406*100)</f>
        <v/>
      </c>
      <c r="AQ406" s="41" t="str">
        <f aca="false">IF(AP406="","",IFERROR(MATCH(AP406,INDEX(Boundaries!$B$2:$I$30,MATCH(CO406,Boundaries!$A$2:$A$30,0),0),1)-1,""))</f>
        <v/>
      </c>
      <c r="AR406" s="42" t="str">
        <f aca="false">IF(OR(AQ406="",$E406=""),"",AQ406-$E406)</f>
        <v/>
      </c>
      <c r="AS406" s="39"/>
      <c r="AT406" s="40" t="str">
        <f aca="false">IF(OR(AS406="",CB406=""),"",AS406/CB406*100)</f>
        <v/>
      </c>
      <c r="AU406" s="41" t="str">
        <f aca="false">IF(AT406="","",IFERROR(MATCH(AT406,INDEX(Boundaries!$B$2:$I$30,MATCH(CP406,Boundaries!$A$2:$A$30,0),0),1)-1,""))</f>
        <v/>
      </c>
      <c r="AV406" s="42" t="str">
        <f aca="false">IF(OR(AU406="",$E406=""),"",AU406-$E406)</f>
        <v/>
      </c>
      <c r="AW406" s="39"/>
      <c r="AX406" s="40" t="str">
        <f aca="false">IF(OR(AW406="",CC406=""),"",AW406/CC406*100)</f>
        <v/>
      </c>
      <c r="AY406" s="41" t="str">
        <f aca="false">IF(AX406="","",IFERROR(MATCH(AX406,INDEX(Boundaries!$B$2:$I$30,MATCH(CQ406,Boundaries!$A$2:$A$30,0),0),1)-1,""))</f>
        <v/>
      </c>
      <c r="AZ406" s="42" t="str">
        <f aca="false">IF(OR(AY406="",$E406=""),"",AY406-$E406)</f>
        <v/>
      </c>
      <c r="BA406" s="39"/>
      <c r="BB406" s="40" t="str">
        <f aca="false">IF(OR(BA406="",CD406=""),"",BA406/CD406*100)</f>
        <v/>
      </c>
      <c r="BC406" s="41" t="str">
        <f aca="false">IF(BB406="","",IFERROR(MATCH(BB406,INDEX(Boundaries!$B$2:$I$30,MATCH(CR406,Boundaries!$A$2:$A$30,0),0),1)-1,""))</f>
        <v/>
      </c>
      <c r="BD406" s="42" t="str">
        <f aca="false">IF(OR(BC406="",$E406=""),"",BC406-$E406)</f>
        <v/>
      </c>
      <c r="BE406" s="39"/>
      <c r="BF406" s="40" t="str">
        <f aca="false">IF(OR(BE406="",CE406=""),"",BE406/CE406*100)</f>
        <v/>
      </c>
      <c r="BG406" s="41" t="str">
        <f aca="false">IF(BF406="","",IFERROR(MATCH(BF406,INDEX(Boundaries!$B$2:$I$30,MATCH(CS406,Boundaries!$A$2:$A$30,0),0),1)-1,""))</f>
        <v/>
      </c>
      <c r="BH406" s="42" t="str">
        <f aca="false">IF(OR(BG406="",$E406=""),"",BG406-$E406)</f>
        <v/>
      </c>
      <c r="BI406" s="39"/>
      <c r="BJ406" s="40" t="str">
        <f aca="false">IF(OR(BI406="",CF406=""),"",BI406/CF406*100)</f>
        <v/>
      </c>
      <c r="BK406" s="41" t="str">
        <f aca="false">IF(BJ406="","",IFERROR(MATCH(BJ406,INDEX(Boundaries!$B$2:$I$30,MATCH(CT406,Boundaries!$A$2:$A$30,0),0),1)-1,""))</f>
        <v/>
      </c>
      <c r="BL406" s="42" t="str">
        <f aca="false">IF(OR(BK406="",$E406=""),"",BK406-$E406)</f>
        <v/>
      </c>
      <c r="BM406" s="39"/>
      <c r="BN406" s="40" t="str">
        <f aca="false">IF(OR(BM406="",CG406=""),"",BM406/CG406*100)</f>
        <v/>
      </c>
      <c r="BO406" s="41" t="str">
        <f aca="false">IF(BN406="","",IFERROR(MATCH(BN406,INDEX(Boundaries!$B$2:$I$30,MATCH(CU406,Boundaries!$A$2:$A$30,0),0),1)-1,""))</f>
        <v/>
      </c>
      <c r="BP406" s="42" t="str">
        <f aca="false">IF(OR(BO406="",$E406=""),"",BO406-$E406)</f>
        <v/>
      </c>
      <c r="BQ406" s="39"/>
      <c r="BR406" s="40" t="str">
        <f aca="false">IF(OR(BQ406="",CH406=""),"",BQ406/CH406*100)</f>
        <v/>
      </c>
      <c r="BS406" s="41" t="str">
        <f aca="false">IF(BR406="","",IFERROR(MATCH(BR406,INDEX(Boundaries!$B$2:$I$30,MATCH(CV406,Boundaries!$A$2:$A$30,0),0),1)-1,""))</f>
        <v/>
      </c>
      <c r="BT406" s="42" t="str">
        <f aca="false">IF(OR(BS406="",$E406=""),"",BS406-$E406)</f>
        <v/>
      </c>
      <c r="BU406" s="28" t="str">
        <f aca="false">IFERROR(INDEX(Assessments!$H$2:$H$600,MATCH($H406&amp;"|"&amp;$I406&amp;"|"&amp;$J406&amp;"|"&amp;1,Assessments!$A$2:$A$600,0)),"")</f>
        <v/>
      </c>
      <c r="BV406" s="28" t="str">
        <f aca="false">IFERROR(INDEX(Assessments!$H$2:$H$600,MATCH($H406&amp;"|"&amp;$I406&amp;"|"&amp;$J406&amp;"|"&amp;2,Assessments!$A$2:$A$600,0)),"")</f>
        <v/>
      </c>
      <c r="BW406" s="28" t="str">
        <f aca="false">IFERROR(INDEX(Assessments!$H$2:$H$600,MATCH($H406&amp;"|"&amp;$I406&amp;"|"&amp;$J406&amp;"|"&amp;3,Assessments!$A$2:$A$600,0)),"")</f>
        <v/>
      </c>
      <c r="BX406" s="28" t="str">
        <f aca="false">IFERROR(INDEX(Assessments!$H$2:$H$600,MATCH($H406&amp;"|"&amp;$I406&amp;"|"&amp;$J406&amp;"|"&amp;4,Assessments!$A$2:$A$600,0)),"")</f>
        <v/>
      </c>
      <c r="BY406" s="28" t="str">
        <f aca="false">IFERROR(INDEX(Assessments!$H$2:$H$600,MATCH($H406&amp;"|"&amp;$I406&amp;"|"&amp;$J406&amp;"|"&amp;5,Assessments!$A$2:$A$600,0)),"")</f>
        <v/>
      </c>
      <c r="BZ406" s="28" t="str">
        <f aca="false">IFERROR(INDEX(Assessments!$H$2:$H$600,MATCH($H406&amp;"|"&amp;$I406&amp;"|"&amp;$J406&amp;"|"&amp;6,Assessments!$A$2:$A$600,0)),"")</f>
        <v/>
      </c>
      <c r="CA406" s="28" t="str">
        <f aca="false">IFERROR(INDEX(Assessments!$H$2:$H$600,MATCH($H406&amp;"|"&amp;$I406&amp;"|"&amp;$J406&amp;"|"&amp;7,Assessments!$A$2:$A$600,0)),"")</f>
        <v/>
      </c>
      <c r="CB406" s="28" t="str">
        <f aca="false">IFERROR(INDEX(Assessments!$H$2:$H$600,MATCH($H406&amp;"|"&amp;$I406&amp;"|"&amp;$J406&amp;"|"&amp;8,Assessments!$A$2:$A$600,0)),"")</f>
        <v/>
      </c>
      <c r="CC406" s="28" t="str">
        <f aca="false">IFERROR(INDEX(Assessments!$H$2:$H$600,MATCH($H406&amp;"|"&amp;$I406&amp;"|"&amp;$J406&amp;"|"&amp;9,Assessments!$A$2:$A$600,0)),"")</f>
        <v/>
      </c>
      <c r="CD406" s="28" t="str">
        <f aca="false">IFERROR(INDEX(Assessments!$H$2:$H$600,MATCH($H406&amp;"|"&amp;$I406&amp;"|"&amp;$J406&amp;"|"&amp;10,Assessments!$A$2:$A$600,0)),"")</f>
        <v/>
      </c>
      <c r="CE406" s="28" t="str">
        <f aca="false">IFERROR(INDEX(Assessments!$H$2:$H$600,MATCH($H406&amp;"|"&amp;$I406&amp;"|"&amp;$J406&amp;"|"&amp;11,Assessments!$A$2:$A$600,0)),"")</f>
        <v/>
      </c>
      <c r="CF406" s="28" t="str">
        <f aca="false">IFERROR(INDEX(Assessments!$H$2:$H$600,MATCH($H406&amp;"|"&amp;$I406&amp;"|"&amp;$J406&amp;"|"&amp;12,Assessments!$A$2:$A$600,0)),"")</f>
        <v/>
      </c>
      <c r="CG406" s="28" t="str">
        <f aca="false">IFERROR(INDEX(Assessments!$H$2:$H$600,MATCH($H406&amp;"|"&amp;$I406&amp;"|"&amp;$J406&amp;"|"&amp;13,Assessments!$A$2:$A$600,0)),"")</f>
        <v/>
      </c>
      <c r="CH406" s="28" t="str">
        <f aca="false">IFERROR(INDEX(Assessments!$H$2:$H$600,MATCH($H406&amp;"|"&amp;$I406&amp;"|"&amp;$J406&amp;"|"&amp;14,Assessments!$A$2:$A$600,0)),"")</f>
        <v/>
      </c>
      <c r="CI406" s="28" t="str">
        <f aca="false">IFERROR(INDEX(Assessments!$I$2:$I$600,MATCH($H406&amp;"|"&amp;$I406&amp;"|"&amp;$J406&amp;"|"&amp;1,Assessments!$A$2:$A$600,0)),"")</f>
        <v/>
      </c>
      <c r="CJ406" s="28" t="str">
        <f aca="false">IFERROR(INDEX(Assessments!$I$2:$I$600,MATCH($H406&amp;"|"&amp;$I406&amp;"|"&amp;$J406&amp;"|"&amp;2,Assessments!$A$2:$A$600,0)),"")</f>
        <v/>
      </c>
      <c r="CK406" s="28" t="str">
        <f aca="false">IFERROR(INDEX(Assessments!$I$2:$I$600,MATCH($H406&amp;"|"&amp;$I406&amp;"|"&amp;$J406&amp;"|"&amp;3,Assessments!$A$2:$A$600,0)),"")</f>
        <v/>
      </c>
      <c r="CL406" s="28" t="str">
        <f aca="false">IFERROR(INDEX(Assessments!$I$2:$I$600,MATCH($H406&amp;"|"&amp;$I406&amp;"|"&amp;$J406&amp;"|"&amp;4,Assessments!$A$2:$A$600,0)),"")</f>
        <v/>
      </c>
      <c r="CM406" s="28" t="str">
        <f aca="false">IFERROR(INDEX(Assessments!$I$2:$I$600,MATCH($H406&amp;"|"&amp;$I406&amp;"|"&amp;$J406&amp;"|"&amp;5,Assessments!$A$2:$A$600,0)),"")</f>
        <v/>
      </c>
      <c r="CN406" s="28" t="str">
        <f aca="false">IFERROR(INDEX(Assessments!$I$2:$I$600,MATCH($H406&amp;"|"&amp;$I406&amp;"|"&amp;$J406&amp;"|"&amp;6,Assessments!$A$2:$A$600,0)),"")</f>
        <v/>
      </c>
      <c r="CO406" s="28" t="str">
        <f aca="false">IFERROR(INDEX(Assessments!$I$2:$I$600,MATCH($H406&amp;"|"&amp;$I406&amp;"|"&amp;$J406&amp;"|"&amp;7,Assessments!$A$2:$A$600,0)),"")</f>
        <v/>
      </c>
      <c r="CP406" s="28" t="str">
        <f aca="false">IFERROR(INDEX(Assessments!$I$2:$I$600,MATCH($H406&amp;"|"&amp;$I406&amp;"|"&amp;$J406&amp;"|"&amp;8,Assessments!$A$2:$A$600,0)),"")</f>
        <v/>
      </c>
      <c r="CQ406" s="28" t="str">
        <f aca="false">IFERROR(INDEX(Assessments!$I$2:$I$600,MATCH($H406&amp;"|"&amp;$I406&amp;"|"&amp;$J406&amp;"|"&amp;9,Assessments!$A$2:$A$600,0)),"")</f>
        <v/>
      </c>
      <c r="CR406" s="28" t="str">
        <f aca="false">IFERROR(INDEX(Assessments!$I$2:$I$600,MATCH($H406&amp;"|"&amp;$I406&amp;"|"&amp;$J406&amp;"|"&amp;10,Assessments!$A$2:$A$600,0)),"")</f>
        <v/>
      </c>
      <c r="CS406" s="28" t="str">
        <f aca="false">IFERROR(INDEX(Assessments!$I$2:$I$600,MATCH($H406&amp;"|"&amp;$I406&amp;"|"&amp;$J406&amp;"|"&amp;11,Assessments!$A$2:$A$600,0)),"")</f>
        <v/>
      </c>
      <c r="CT406" s="28" t="str">
        <f aca="false">IFERROR(INDEX(Assessments!$I$2:$I$600,MATCH($H406&amp;"|"&amp;$I406&amp;"|"&amp;$J406&amp;"|"&amp;12,Assessments!$A$2:$A$600,0)),"")</f>
        <v/>
      </c>
      <c r="CU406" s="28" t="str">
        <f aca="false">IFERROR(INDEX(Assessments!$I$2:$I$600,MATCH($H406&amp;"|"&amp;$I406&amp;"|"&amp;$J406&amp;"|"&amp;13,Assessments!$A$2:$A$600,0)),"")</f>
        <v/>
      </c>
      <c r="CV406" s="28" t="str">
        <f aca="false">IFERROR(INDEX(Assessments!$I$2:$I$600,MATCH($H406&amp;"|"&amp;$I406&amp;"|"&amp;$J406&amp;"|"&amp;14,Assessments!$A$2:$A$600,0)),"")</f>
        <v/>
      </c>
      <c r="CW406" s="28" t="n">
        <f aca="false">IFERROR(INDEX(Assessments!$J$2:$J$600,MATCH($H406&amp;"|"&amp;$I406&amp;"|"&amp;$J406&amp;"|"&amp;1,Assessments!$A$2:$A$600,0)),0)</f>
        <v>0</v>
      </c>
      <c r="CX406" s="28" t="n">
        <f aca="false">IFERROR(INDEX(Assessments!$J$2:$J$600,MATCH($H406&amp;"|"&amp;$I406&amp;"|"&amp;$J406&amp;"|"&amp;2,Assessments!$A$2:$A$600,0)),0)</f>
        <v>0</v>
      </c>
      <c r="CY406" s="28" t="n">
        <f aca="false">IFERROR(INDEX(Assessments!$J$2:$J$600,MATCH($H406&amp;"|"&amp;$I406&amp;"|"&amp;$J406&amp;"|"&amp;3,Assessments!$A$2:$A$600,0)),0)</f>
        <v>0</v>
      </c>
      <c r="CZ406" s="28" t="n">
        <f aca="false">IFERROR(INDEX(Assessments!$J$2:$J$600,MATCH($H406&amp;"|"&amp;$I406&amp;"|"&amp;$J406&amp;"|"&amp;4,Assessments!$A$2:$A$600,0)),0)</f>
        <v>0</v>
      </c>
      <c r="DA406" s="28" t="n">
        <f aca="false">IFERROR(INDEX(Assessments!$J$2:$J$600,MATCH($H406&amp;"|"&amp;$I406&amp;"|"&amp;$J406&amp;"|"&amp;5,Assessments!$A$2:$A$600,0)),0)</f>
        <v>0</v>
      </c>
      <c r="DB406" s="28" t="n">
        <f aca="false">IFERROR(INDEX(Assessments!$J$2:$J$600,MATCH($H406&amp;"|"&amp;$I406&amp;"|"&amp;$J406&amp;"|"&amp;6,Assessments!$A$2:$A$600,0)),0)</f>
        <v>0</v>
      </c>
      <c r="DC406" s="28" t="n">
        <f aca="false">IFERROR(INDEX(Assessments!$J$2:$J$600,MATCH($H406&amp;"|"&amp;$I406&amp;"|"&amp;$J406&amp;"|"&amp;7,Assessments!$A$2:$A$600,0)),0)</f>
        <v>0</v>
      </c>
      <c r="DD406" s="28" t="n">
        <f aca="false">IFERROR(INDEX(Assessments!$J$2:$J$600,MATCH($H406&amp;"|"&amp;$I406&amp;"|"&amp;$J406&amp;"|"&amp;8,Assessments!$A$2:$A$600,0)),0)</f>
        <v>0</v>
      </c>
      <c r="DE406" s="28" t="n">
        <f aca="false">IFERROR(INDEX(Assessments!$J$2:$J$600,MATCH($H406&amp;"|"&amp;$I406&amp;"|"&amp;$J406&amp;"|"&amp;9,Assessments!$A$2:$A$600,0)),0)</f>
        <v>0</v>
      </c>
      <c r="DF406" s="28" t="n">
        <f aca="false">IFERROR(INDEX(Assessments!$J$2:$J$600,MATCH($H406&amp;"|"&amp;$I406&amp;"|"&amp;$J406&amp;"|"&amp;10,Assessments!$A$2:$A$600,0)),0)</f>
        <v>0</v>
      </c>
      <c r="DG406" s="28" t="n">
        <f aca="false">IFERROR(INDEX(Assessments!$J$2:$J$600,MATCH($H406&amp;"|"&amp;$I406&amp;"|"&amp;$J406&amp;"|"&amp;11,Assessments!$A$2:$A$600,0)),0)</f>
        <v>0</v>
      </c>
      <c r="DH406" s="28" t="n">
        <f aca="false">IFERROR(INDEX(Assessments!$J$2:$J$600,MATCH($H406&amp;"|"&amp;$I406&amp;"|"&amp;$J406&amp;"|"&amp;12,Assessments!$A$2:$A$600,0)),0)</f>
        <v>0</v>
      </c>
      <c r="DI406" s="28" t="n">
        <f aca="false">IFERROR(INDEX(Assessments!$J$2:$J$600,MATCH($H406&amp;"|"&amp;$I406&amp;"|"&amp;$J406&amp;"|"&amp;13,Assessments!$A$2:$A$600,0)),0)</f>
        <v>0</v>
      </c>
      <c r="DJ406" s="28" t="n">
        <f aca="false">IFERROR(INDEX(Assessments!$J$2:$J$600,MATCH($H406&amp;"|"&amp;$I406&amp;"|"&amp;$J406&amp;"|"&amp;14,Assessments!$A$2:$A$600,0)),0)</f>
        <v>0</v>
      </c>
      <c r="DK406" s="28" t="str">
        <f aca="false">S406</f>
        <v/>
      </c>
      <c r="DL406" s="28" t="str">
        <f aca="false">W406</f>
        <v/>
      </c>
      <c r="DM406" s="28" t="str">
        <f aca="false">AA406</f>
        <v/>
      </c>
      <c r="DN406" s="28" t="str">
        <f aca="false">AE406</f>
        <v/>
      </c>
      <c r="DO406" s="28" t="str">
        <f aca="false">AI406</f>
        <v/>
      </c>
      <c r="DP406" s="28" t="str">
        <f aca="false">AM406</f>
        <v/>
      </c>
      <c r="DQ406" s="28" t="str">
        <f aca="false">AQ406</f>
        <v/>
      </c>
      <c r="DR406" s="28" t="str">
        <f aca="false">AU406</f>
        <v/>
      </c>
      <c r="DS406" s="28" t="str">
        <f aca="false">AY406</f>
        <v/>
      </c>
      <c r="DT406" s="28" t="str">
        <f aca="false">BC406</f>
        <v/>
      </c>
      <c r="DU406" s="28" t="str">
        <f aca="false">BG406</f>
        <v/>
      </c>
      <c r="DV406" s="28" t="str">
        <f aca="false">BK406</f>
        <v/>
      </c>
      <c r="DW406" s="28" t="str">
        <f aca="false">BO406</f>
        <v/>
      </c>
      <c r="DX406" s="28" t="str">
        <f aca="false">BS406</f>
        <v/>
      </c>
      <c r="DY406" s="28" t="str">
        <f aca="false">IF(ISNUMBER(S406),1,"")</f>
        <v/>
      </c>
      <c r="DZ406" s="28" t="str">
        <f aca="false">IF(ISNUMBER(W406),2,"")</f>
        <v/>
      </c>
      <c r="EA406" s="28" t="str">
        <f aca="false">IF(ISNUMBER(AA406),3,"")</f>
        <v/>
      </c>
      <c r="EB406" s="28" t="str">
        <f aca="false">IF(ISNUMBER(AE406),4,"")</f>
        <v/>
      </c>
      <c r="EC406" s="28" t="str">
        <f aca="false">IF(ISNUMBER(AI406),5,"")</f>
        <v/>
      </c>
      <c r="ED406" s="28" t="str">
        <f aca="false">IF(ISNUMBER(AM406),6,"")</f>
        <v/>
      </c>
      <c r="EE406" s="28" t="str">
        <f aca="false">IF(ISNUMBER(AQ406),7,"")</f>
        <v/>
      </c>
      <c r="EF406" s="28" t="str">
        <f aca="false">IF(ISNUMBER(AU406),8,"")</f>
        <v/>
      </c>
      <c r="EG406" s="28" t="str">
        <f aca="false">IF(ISNUMBER(AY406),9,"")</f>
        <v/>
      </c>
      <c r="EH406" s="28" t="str">
        <f aca="false">IF(ISNUMBER(BC406),10,"")</f>
        <v/>
      </c>
      <c r="EI406" s="28" t="str">
        <f aca="false">IF(ISNUMBER(BG406),11,"")</f>
        <v/>
      </c>
      <c r="EJ406" s="28" t="str">
        <f aca="false">IF(ISNUMBER(BK406),12,"")</f>
        <v/>
      </c>
      <c r="EK406" s="28" t="str">
        <f aca="false">IF(ISNUMBER(BO406),13,"")</f>
        <v/>
      </c>
      <c r="EL406" s="28" t="str">
        <f aca="false">IF(ISNUMBER(BS406),14,"")</f>
        <v/>
      </c>
      <c r="EM406" s="28" t="n">
        <f aca="false">IF(ISNUMBER(R406),R406*CW406,0)</f>
        <v>0</v>
      </c>
      <c r="EN406" s="28" t="n">
        <f aca="false">IF(ISNUMBER(V406),V406*CX406,0)</f>
        <v>0</v>
      </c>
      <c r="EO406" s="28" t="n">
        <f aca="false">IF(ISNUMBER(Z406),Z406*CY406,0)</f>
        <v>0</v>
      </c>
      <c r="EP406" s="28" t="n">
        <f aca="false">IF(ISNUMBER(AD406),AD406*CZ406,0)</f>
        <v>0</v>
      </c>
      <c r="EQ406" s="28" t="n">
        <f aca="false">IF(ISNUMBER(AH406),AH406*DA406,0)</f>
        <v>0</v>
      </c>
      <c r="ER406" s="28" t="n">
        <f aca="false">IF(ISNUMBER(AL406),AL406*DB406,0)</f>
        <v>0</v>
      </c>
      <c r="ES406" s="28" t="n">
        <f aca="false">IF(ISNUMBER(AP406),AP406*DC406,0)</f>
        <v>0</v>
      </c>
      <c r="ET406" s="28" t="n">
        <f aca="false">IF(ISNUMBER(AT406),AT406*DD406,0)</f>
        <v>0</v>
      </c>
      <c r="EU406" s="28" t="n">
        <f aca="false">IF(ISNUMBER(AX406),AX406*DE406,0)</f>
        <v>0</v>
      </c>
      <c r="EV406" s="28" t="n">
        <f aca="false">IF(ISNUMBER(BB406),BB406*DF406,0)</f>
        <v>0</v>
      </c>
      <c r="EW406" s="28" t="n">
        <f aca="false">IF(ISNUMBER(BF406),BF406*DG406,0)</f>
        <v>0</v>
      </c>
      <c r="EX406" s="28" t="n">
        <f aca="false">IF(ISNUMBER(BJ406),BJ406*DH406,0)</f>
        <v>0</v>
      </c>
      <c r="EY406" s="28" t="n">
        <f aca="false">IF(ISNUMBER(BN406),BN406*DI406,0)</f>
        <v>0</v>
      </c>
      <c r="EZ406" s="28" t="n">
        <f aca="false">IF(ISNUMBER(BR406),BR406*DJ406,0)</f>
        <v>0</v>
      </c>
      <c r="FA406" s="28" t="n">
        <f aca="false">IF(ISNUMBER(R406),CW406,0)</f>
        <v>0</v>
      </c>
      <c r="FB406" s="28" t="n">
        <f aca="false">IF(ISNUMBER(V406),CX406,0)</f>
        <v>0</v>
      </c>
      <c r="FC406" s="28" t="n">
        <f aca="false">IF(ISNUMBER(Z406),CY406,0)</f>
        <v>0</v>
      </c>
      <c r="FD406" s="28" t="n">
        <f aca="false">IF(ISNUMBER(AD406),CZ406,0)</f>
        <v>0</v>
      </c>
      <c r="FE406" s="28" t="n">
        <f aca="false">IF(ISNUMBER(AH406),DA406,0)</f>
        <v>0</v>
      </c>
      <c r="FF406" s="28" t="n">
        <f aca="false">IF(ISNUMBER(AL406),DB406,0)</f>
        <v>0</v>
      </c>
      <c r="FG406" s="28" t="n">
        <f aca="false">IF(ISNUMBER(AP406),DC406,0)</f>
        <v>0</v>
      </c>
      <c r="FH406" s="28" t="n">
        <f aca="false">IF(ISNUMBER(AT406),DD406,0)</f>
        <v>0</v>
      </c>
      <c r="FI406" s="28" t="n">
        <f aca="false">IF(ISNUMBER(AX406),DE406,0)</f>
        <v>0</v>
      </c>
      <c r="FJ406" s="28" t="n">
        <f aca="false">IF(ISNUMBER(BB406),DF406,0)</f>
        <v>0</v>
      </c>
      <c r="FK406" s="28" t="n">
        <f aca="false">IF(ISNUMBER(BF406),DG406,0)</f>
        <v>0</v>
      </c>
      <c r="FL406" s="28" t="n">
        <f aca="false">IF(ISNUMBER(BJ406),DH406,0)</f>
        <v>0</v>
      </c>
      <c r="FM406" s="28" t="n">
        <f aca="false">IF(ISNUMBER(BN406),DI406,0)</f>
        <v>0</v>
      </c>
      <c r="FN406" s="28" t="n">
        <f aca="false">IF(ISNUMBER(BR406),DJ406,0)</f>
        <v>0</v>
      </c>
      <c r="FO406" s="28" t="str">
        <f aca="false">IFERROR(INDEX(Lists!$G$2:$G$20,MATCH($I406&amp;"|"&amp;$J406,Lists!$F$2:$F$20,0)),"")</f>
        <v/>
      </c>
    </row>
    <row r="407" customFormat="false" ht="19.5" hidden="false" customHeight="true" outlineLevel="0" collapsed="false">
      <c r="A407" s="29"/>
      <c r="B407" s="29"/>
      <c r="C407" s="30"/>
      <c r="D407" s="30"/>
      <c r="E407" s="31"/>
      <c r="F407" s="30"/>
      <c r="G407" s="30"/>
      <c r="H407" s="32"/>
      <c r="I407" s="33"/>
      <c r="J407" s="32"/>
      <c r="K407" s="34" t="str">
        <f aca="false">IF(OR(M407="",$E407=""),"",M407-$E407)</f>
        <v/>
      </c>
      <c r="L407" s="35" t="str">
        <f aca="false">IF(SUM(FA407:FN407)=0,"",SUM(EM407:EZ407)/SUM(FA407:FN407))</f>
        <v/>
      </c>
      <c r="M407" s="36" t="str">
        <f aca="false">IF(OR(L407="",FO407=""),"",IFERROR(MATCH(L407,INDEX(Boundaries!$B$2:$I$30,MATCH(FO407,Boundaries!$A$2:$A$30,0),0),1)-1,""))</f>
        <v/>
      </c>
      <c r="N407" s="37" t="str">
        <f aca="false">IF(COUNT($DY407:$EL407)&lt;2,"",INDEX($DK407:$DX407,MAX($DY407:$EL407))-INDEX($DK407:$DX407,MIN($DY407:$EL407)))</f>
        <v/>
      </c>
      <c r="O407" s="37" t="str">
        <f aca="false">IF(COUNT($DY407:$EL407)&lt;2,"",INDEX($DK407:$DX407,MAX($DY407:$EL407))-INDEX($DK407:$DX407,LARGE($DY407:$EL407,2)))</f>
        <v/>
      </c>
      <c r="P407" s="38" t="str">
        <f aca="false">IF(K407="","",IF(K407&gt;=0,"On/above target",IF(AND(N407&lt;&gt;"",N407&gt;=0.5),"Improving towards target",IF(AND(O407&lt;&gt;"",O407&lt;=-0.5),"Declining","Stable below target"))))</f>
        <v/>
      </c>
      <c r="Q407" s="39"/>
      <c r="R407" s="40" t="str">
        <f aca="false">IF(OR(Q407="",BU407=""),"",Q407/BU407*100)</f>
        <v/>
      </c>
      <c r="S407" s="41" t="str">
        <f aca="false">IF(R407="","",IFERROR(MATCH(R407,INDEX(Boundaries!$B$2:$I$30,MATCH(CI407,Boundaries!$A$2:$A$30,0),0),1)-1,""))</f>
        <v/>
      </c>
      <c r="T407" s="42" t="str">
        <f aca="false">IF(OR(S407="",$E407=""),"",S407-$E407)</f>
        <v/>
      </c>
      <c r="U407" s="39"/>
      <c r="V407" s="40" t="str">
        <f aca="false">IF(OR(U407="",BV407=""),"",U407/BV407*100)</f>
        <v/>
      </c>
      <c r="W407" s="41" t="str">
        <f aca="false">IF(V407="","",IFERROR(MATCH(V407,INDEX(Boundaries!$B$2:$I$30,MATCH(CJ407,Boundaries!$A$2:$A$30,0),0),1)-1,""))</f>
        <v/>
      </c>
      <c r="X407" s="42" t="str">
        <f aca="false">IF(OR(W407="",$E407=""),"",W407-$E407)</f>
        <v/>
      </c>
      <c r="Y407" s="39"/>
      <c r="Z407" s="40" t="str">
        <f aca="false">IF(OR(Y407="",BW407=""),"",Y407/BW407*100)</f>
        <v/>
      </c>
      <c r="AA407" s="41" t="str">
        <f aca="false">IF(Z407="","",IFERROR(MATCH(Z407,INDEX(Boundaries!$B$2:$I$30,MATCH(CK407,Boundaries!$A$2:$A$30,0),0),1)-1,""))</f>
        <v/>
      </c>
      <c r="AB407" s="42" t="str">
        <f aca="false">IF(OR(AA407="",$E407=""),"",AA407-$E407)</f>
        <v/>
      </c>
      <c r="AC407" s="39"/>
      <c r="AD407" s="40" t="str">
        <f aca="false">IF(OR(AC407="",BX407=""),"",AC407/BX407*100)</f>
        <v/>
      </c>
      <c r="AE407" s="41" t="str">
        <f aca="false">IF(AD407="","",IFERROR(MATCH(AD407,INDEX(Boundaries!$B$2:$I$30,MATCH(CL407,Boundaries!$A$2:$A$30,0),0),1)-1,""))</f>
        <v/>
      </c>
      <c r="AF407" s="42" t="str">
        <f aca="false">IF(OR(AE407="",$E407=""),"",AE407-$E407)</f>
        <v/>
      </c>
      <c r="AG407" s="39"/>
      <c r="AH407" s="40" t="str">
        <f aca="false">IF(OR(AG407="",BY407=""),"",AG407/BY407*100)</f>
        <v/>
      </c>
      <c r="AI407" s="41" t="str">
        <f aca="false">IF(AH407="","",IFERROR(MATCH(AH407,INDEX(Boundaries!$B$2:$I$30,MATCH(CM407,Boundaries!$A$2:$A$30,0),0),1)-1,""))</f>
        <v/>
      </c>
      <c r="AJ407" s="42" t="str">
        <f aca="false">IF(OR(AI407="",$E407=""),"",AI407-$E407)</f>
        <v/>
      </c>
      <c r="AK407" s="39"/>
      <c r="AL407" s="40" t="str">
        <f aca="false">IF(OR(AK407="",BZ407=""),"",AK407/BZ407*100)</f>
        <v/>
      </c>
      <c r="AM407" s="41" t="str">
        <f aca="false">IF(AL407="","",IFERROR(MATCH(AL407,INDEX(Boundaries!$B$2:$I$30,MATCH(CN407,Boundaries!$A$2:$A$30,0),0),1)-1,""))</f>
        <v/>
      </c>
      <c r="AN407" s="42" t="str">
        <f aca="false">IF(OR(AM407="",$E407=""),"",AM407-$E407)</f>
        <v/>
      </c>
      <c r="AO407" s="39"/>
      <c r="AP407" s="40" t="str">
        <f aca="false">IF(OR(AO407="",CA407=""),"",AO407/CA407*100)</f>
        <v/>
      </c>
      <c r="AQ407" s="41" t="str">
        <f aca="false">IF(AP407="","",IFERROR(MATCH(AP407,INDEX(Boundaries!$B$2:$I$30,MATCH(CO407,Boundaries!$A$2:$A$30,0),0),1)-1,""))</f>
        <v/>
      </c>
      <c r="AR407" s="42" t="str">
        <f aca="false">IF(OR(AQ407="",$E407=""),"",AQ407-$E407)</f>
        <v/>
      </c>
      <c r="AS407" s="39"/>
      <c r="AT407" s="40" t="str">
        <f aca="false">IF(OR(AS407="",CB407=""),"",AS407/CB407*100)</f>
        <v/>
      </c>
      <c r="AU407" s="41" t="str">
        <f aca="false">IF(AT407="","",IFERROR(MATCH(AT407,INDEX(Boundaries!$B$2:$I$30,MATCH(CP407,Boundaries!$A$2:$A$30,0),0),1)-1,""))</f>
        <v/>
      </c>
      <c r="AV407" s="42" t="str">
        <f aca="false">IF(OR(AU407="",$E407=""),"",AU407-$E407)</f>
        <v/>
      </c>
      <c r="AW407" s="39"/>
      <c r="AX407" s="40" t="str">
        <f aca="false">IF(OR(AW407="",CC407=""),"",AW407/CC407*100)</f>
        <v/>
      </c>
      <c r="AY407" s="41" t="str">
        <f aca="false">IF(AX407="","",IFERROR(MATCH(AX407,INDEX(Boundaries!$B$2:$I$30,MATCH(CQ407,Boundaries!$A$2:$A$30,0),0),1)-1,""))</f>
        <v/>
      </c>
      <c r="AZ407" s="42" t="str">
        <f aca="false">IF(OR(AY407="",$E407=""),"",AY407-$E407)</f>
        <v/>
      </c>
      <c r="BA407" s="39"/>
      <c r="BB407" s="40" t="str">
        <f aca="false">IF(OR(BA407="",CD407=""),"",BA407/CD407*100)</f>
        <v/>
      </c>
      <c r="BC407" s="41" t="str">
        <f aca="false">IF(BB407="","",IFERROR(MATCH(BB407,INDEX(Boundaries!$B$2:$I$30,MATCH(CR407,Boundaries!$A$2:$A$30,0),0),1)-1,""))</f>
        <v/>
      </c>
      <c r="BD407" s="42" t="str">
        <f aca="false">IF(OR(BC407="",$E407=""),"",BC407-$E407)</f>
        <v/>
      </c>
      <c r="BE407" s="39"/>
      <c r="BF407" s="40" t="str">
        <f aca="false">IF(OR(BE407="",CE407=""),"",BE407/CE407*100)</f>
        <v/>
      </c>
      <c r="BG407" s="41" t="str">
        <f aca="false">IF(BF407="","",IFERROR(MATCH(BF407,INDEX(Boundaries!$B$2:$I$30,MATCH(CS407,Boundaries!$A$2:$A$30,0),0),1)-1,""))</f>
        <v/>
      </c>
      <c r="BH407" s="42" t="str">
        <f aca="false">IF(OR(BG407="",$E407=""),"",BG407-$E407)</f>
        <v/>
      </c>
      <c r="BI407" s="39"/>
      <c r="BJ407" s="40" t="str">
        <f aca="false">IF(OR(BI407="",CF407=""),"",BI407/CF407*100)</f>
        <v/>
      </c>
      <c r="BK407" s="41" t="str">
        <f aca="false">IF(BJ407="","",IFERROR(MATCH(BJ407,INDEX(Boundaries!$B$2:$I$30,MATCH(CT407,Boundaries!$A$2:$A$30,0),0),1)-1,""))</f>
        <v/>
      </c>
      <c r="BL407" s="42" t="str">
        <f aca="false">IF(OR(BK407="",$E407=""),"",BK407-$E407)</f>
        <v/>
      </c>
      <c r="BM407" s="39"/>
      <c r="BN407" s="40" t="str">
        <f aca="false">IF(OR(BM407="",CG407=""),"",BM407/CG407*100)</f>
        <v/>
      </c>
      <c r="BO407" s="41" t="str">
        <f aca="false">IF(BN407="","",IFERROR(MATCH(BN407,INDEX(Boundaries!$B$2:$I$30,MATCH(CU407,Boundaries!$A$2:$A$30,0),0),1)-1,""))</f>
        <v/>
      </c>
      <c r="BP407" s="42" t="str">
        <f aca="false">IF(OR(BO407="",$E407=""),"",BO407-$E407)</f>
        <v/>
      </c>
      <c r="BQ407" s="39"/>
      <c r="BR407" s="40" t="str">
        <f aca="false">IF(OR(BQ407="",CH407=""),"",BQ407/CH407*100)</f>
        <v/>
      </c>
      <c r="BS407" s="41" t="str">
        <f aca="false">IF(BR407="","",IFERROR(MATCH(BR407,INDEX(Boundaries!$B$2:$I$30,MATCH(CV407,Boundaries!$A$2:$A$30,0),0),1)-1,""))</f>
        <v/>
      </c>
      <c r="BT407" s="42" t="str">
        <f aca="false">IF(OR(BS407="",$E407=""),"",BS407-$E407)</f>
        <v/>
      </c>
      <c r="BU407" s="28" t="str">
        <f aca="false">IFERROR(INDEX(Assessments!$H$2:$H$600,MATCH($H407&amp;"|"&amp;$I407&amp;"|"&amp;$J407&amp;"|"&amp;1,Assessments!$A$2:$A$600,0)),"")</f>
        <v/>
      </c>
      <c r="BV407" s="28" t="str">
        <f aca="false">IFERROR(INDEX(Assessments!$H$2:$H$600,MATCH($H407&amp;"|"&amp;$I407&amp;"|"&amp;$J407&amp;"|"&amp;2,Assessments!$A$2:$A$600,0)),"")</f>
        <v/>
      </c>
      <c r="BW407" s="28" t="str">
        <f aca="false">IFERROR(INDEX(Assessments!$H$2:$H$600,MATCH($H407&amp;"|"&amp;$I407&amp;"|"&amp;$J407&amp;"|"&amp;3,Assessments!$A$2:$A$600,0)),"")</f>
        <v/>
      </c>
      <c r="BX407" s="28" t="str">
        <f aca="false">IFERROR(INDEX(Assessments!$H$2:$H$600,MATCH($H407&amp;"|"&amp;$I407&amp;"|"&amp;$J407&amp;"|"&amp;4,Assessments!$A$2:$A$600,0)),"")</f>
        <v/>
      </c>
      <c r="BY407" s="28" t="str">
        <f aca="false">IFERROR(INDEX(Assessments!$H$2:$H$600,MATCH($H407&amp;"|"&amp;$I407&amp;"|"&amp;$J407&amp;"|"&amp;5,Assessments!$A$2:$A$600,0)),"")</f>
        <v/>
      </c>
      <c r="BZ407" s="28" t="str">
        <f aca="false">IFERROR(INDEX(Assessments!$H$2:$H$600,MATCH($H407&amp;"|"&amp;$I407&amp;"|"&amp;$J407&amp;"|"&amp;6,Assessments!$A$2:$A$600,0)),"")</f>
        <v/>
      </c>
      <c r="CA407" s="28" t="str">
        <f aca="false">IFERROR(INDEX(Assessments!$H$2:$H$600,MATCH($H407&amp;"|"&amp;$I407&amp;"|"&amp;$J407&amp;"|"&amp;7,Assessments!$A$2:$A$600,0)),"")</f>
        <v/>
      </c>
      <c r="CB407" s="28" t="str">
        <f aca="false">IFERROR(INDEX(Assessments!$H$2:$H$600,MATCH($H407&amp;"|"&amp;$I407&amp;"|"&amp;$J407&amp;"|"&amp;8,Assessments!$A$2:$A$600,0)),"")</f>
        <v/>
      </c>
      <c r="CC407" s="28" t="str">
        <f aca="false">IFERROR(INDEX(Assessments!$H$2:$H$600,MATCH($H407&amp;"|"&amp;$I407&amp;"|"&amp;$J407&amp;"|"&amp;9,Assessments!$A$2:$A$600,0)),"")</f>
        <v/>
      </c>
      <c r="CD407" s="28" t="str">
        <f aca="false">IFERROR(INDEX(Assessments!$H$2:$H$600,MATCH($H407&amp;"|"&amp;$I407&amp;"|"&amp;$J407&amp;"|"&amp;10,Assessments!$A$2:$A$600,0)),"")</f>
        <v/>
      </c>
      <c r="CE407" s="28" t="str">
        <f aca="false">IFERROR(INDEX(Assessments!$H$2:$H$600,MATCH($H407&amp;"|"&amp;$I407&amp;"|"&amp;$J407&amp;"|"&amp;11,Assessments!$A$2:$A$600,0)),"")</f>
        <v/>
      </c>
      <c r="CF407" s="28" t="str">
        <f aca="false">IFERROR(INDEX(Assessments!$H$2:$H$600,MATCH($H407&amp;"|"&amp;$I407&amp;"|"&amp;$J407&amp;"|"&amp;12,Assessments!$A$2:$A$600,0)),"")</f>
        <v/>
      </c>
      <c r="CG407" s="28" t="str">
        <f aca="false">IFERROR(INDEX(Assessments!$H$2:$H$600,MATCH($H407&amp;"|"&amp;$I407&amp;"|"&amp;$J407&amp;"|"&amp;13,Assessments!$A$2:$A$600,0)),"")</f>
        <v/>
      </c>
      <c r="CH407" s="28" t="str">
        <f aca="false">IFERROR(INDEX(Assessments!$H$2:$H$600,MATCH($H407&amp;"|"&amp;$I407&amp;"|"&amp;$J407&amp;"|"&amp;14,Assessments!$A$2:$A$600,0)),"")</f>
        <v/>
      </c>
      <c r="CI407" s="28" t="str">
        <f aca="false">IFERROR(INDEX(Assessments!$I$2:$I$600,MATCH($H407&amp;"|"&amp;$I407&amp;"|"&amp;$J407&amp;"|"&amp;1,Assessments!$A$2:$A$600,0)),"")</f>
        <v/>
      </c>
      <c r="CJ407" s="28" t="str">
        <f aca="false">IFERROR(INDEX(Assessments!$I$2:$I$600,MATCH($H407&amp;"|"&amp;$I407&amp;"|"&amp;$J407&amp;"|"&amp;2,Assessments!$A$2:$A$600,0)),"")</f>
        <v/>
      </c>
      <c r="CK407" s="28" t="str">
        <f aca="false">IFERROR(INDEX(Assessments!$I$2:$I$600,MATCH($H407&amp;"|"&amp;$I407&amp;"|"&amp;$J407&amp;"|"&amp;3,Assessments!$A$2:$A$600,0)),"")</f>
        <v/>
      </c>
      <c r="CL407" s="28" t="str">
        <f aca="false">IFERROR(INDEX(Assessments!$I$2:$I$600,MATCH($H407&amp;"|"&amp;$I407&amp;"|"&amp;$J407&amp;"|"&amp;4,Assessments!$A$2:$A$600,0)),"")</f>
        <v/>
      </c>
      <c r="CM407" s="28" t="str">
        <f aca="false">IFERROR(INDEX(Assessments!$I$2:$I$600,MATCH($H407&amp;"|"&amp;$I407&amp;"|"&amp;$J407&amp;"|"&amp;5,Assessments!$A$2:$A$600,0)),"")</f>
        <v/>
      </c>
      <c r="CN407" s="28" t="str">
        <f aca="false">IFERROR(INDEX(Assessments!$I$2:$I$600,MATCH($H407&amp;"|"&amp;$I407&amp;"|"&amp;$J407&amp;"|"&amp;6,Assessments!$A$2:$A$600,0)),"")</f>
        <v/>
      </c>
      <c r="CO407" s="28" t="str">
        <f aca="false">IFERROR(INDEX(Assessments!$I$2:$I$600,MATCH($H407&amp;"|"&amp;$I407&amp;"|"&amp;$J407&amp;"|"&amp;7,Assessments!$A$2:$A$600,0)),"")</f>
        <v/>
      </c>
      <c r="CP407" s="28" t="str">
        <f aca="false">IFERROR(INDEX(Assessments!$I$2:$I$600,MATCH($H407&amp;"|"&amp;$I407&amp;"|"&amp;$J407&amp;"|"&amp;8,Assessments!$A$2:$A$600,0)),"")</f>
        <v/>
      </c>
      <c r="CQ407" s="28" t="str">
        <f aca="false">IFERROR(INDEX(Assessments!$I$2:$I$600,MATCH($H407&amp;"|"&amp;$I407&amp;"|"&amp;$J407&amp;"|"&amp;9,Assessments!$A$2:$A$600,0)),"")</f>
        <v/>
      </c>
      <c r="CR407" s="28" t="str">
        <f aca="false">IFERROR(INDEX(Assessments!$I$2:$I$600,MATCH($H407&amp;"|"&amp;$I407&amp;"|"&amp;$J407&amp;"|"&amp;10,Assessments!$A$2:$A$600,0)),"")</f>
        <v/>
      </c>
      <c r="CS407" s="28" t="str">
        <f aca="false">IFERROR(INDEX(Assessments!$I$2:$I$600,MATCH($H407&amp;"|"&amp;$I407&amp;"|"&amp;$J407&amp;"|"&amp;11,Assessments!$A$2:$A$600,0)),"")</f>
        <v/>
      </c>
      <c r="CT407" s="28" t="str">
        <f aca="false">IFERROR(INDEX(Assessments!$I$2:$I$600,MATCH($H407&amp;"|"&amp;$I407&amp;"|"&amp;$J407&amp;"|"&amp;12,Assessments!$A$2:$A$600,0)),"")</f>
        <v/>
      </c>
      <c r="CU407" s="28" t="str">
        <f aca="false">IFERROR(INDEX(Assessments!$I$2:$I$600,MATCH($H407&amp;"|"&amp;$I407&amp;"|"&amp;$J407&amp;"|"&amp;13,Assessments!$A$2:$A$600,0)),"")</f>
        <v/>
      </c>
      <c r="CV407" s="28" t="str">
        <f aca="false">IFERROR(INDEX(Assessments!$I$2:$I$600,MATCH($H407&amp;"|"&amp;$I407&amp;"|"&amp;$J407&amp;"|"&amp;14,Assessments!$A$2:$A$600,0)),"")</f>
        <v/>
      </c>
      <c r="CW407" s="28" t="n">
        <f aca="false">IFERROR(INDEX(Assessments!$J$2:$J$600,MATCH($H407&amp;"|"&amp;$I407&amp;"|"&amp;$J407&amp;"|"&amp;1,Assessments!$A$2:$A$600,0)),0)</f>
        <v>0</v>
      </c>
      <c r="CX407" s="28" t="n">
        <f aca="false">IFERROR(INDEX(Assessments!$J$2:$J$600,MATCH($H407&amp;"|"&amp;$I407&amp;"|"&amp;$J407&amp;"|"&amp;2,Assessments!$A$2:$A$600,0)),0)</f>
        <v>0</v>
      </c>
      <c r="CY407" s="28" t="n">
        <f aca="false">IFERROR(INDEX(Assessments!$J$2:$J$600,MATCH($H407&amp;"|"&amp;$I407&amp;"|"&amp;$J407&amp;"|"&amp;3,Assessments!$A$2:$A$600,0)),0)</f>
        <v>0</v>
      </c>
      <c r="CZ407" s="28" t="n">
        <f aca="false">IFERROR(INDEX(Assessments!$J$2:$J$600,MATCH($H407&amp;"|"&amp;$I407&amp;"|"&amp;$J407&amp;"|"&amp;4,Assessments!$A$2:$A$600,0)),0)</f>
        <v>0</v>
      </c>
      <c r="DA407" s="28" t="n">
        <f aca="false">IFERROR(INDEX(Assessments!$J$2:$J$600,MATCH($H407&amp;"|"&amp;$I407&amp;"|"&amp;$J407&amp;"|"&amp;5,Assessments!$A$2:$A$600,0)),0)</f>
        <v>0</v>
      </c>
      <c r="DB407" s="28" t="n">
        <f aca="false">IFERROR(INDEX(Assessments!$J$2:$J$600,MATCH($H407&amp;"|"&amp;$I407&amp;"|"&amp;$J407&amp;"|"&amp;6,Assessments!$A$2:$A$600,0)),0)</f>
        <v>0</v>
      </c>
      <c r="DC407" s="28" t="n">
        <f aca="false">IFERROR(INDEX(Assessments!$J$2:$J$600,MATCH($H407&amp;"|"&amp;$I407&amp;"|"&amp;$J407&amp;"|"&amp;7,Assessments!$A$2:$A$600,0)),0)</f>
        <v>0</v>
      </c>
      <c r="DD407" s="28" t="n">
        <f aca="false">IFERROR(INDEX(Assessments!$J$2:$J$600,MATCH($H407&amp;"|"&amp;$I407&amp;"|"&amp;$J407&amp;"|"&amp;8,Assessments!$A$2:$A$600,0)),0)</f>
        <v>0</v>
      </c>
      <c r="DE407" s="28" t="n">
        <f aca="false">IFERROR(INDEX(Assessments!$J$2:$J$600,MATCH($H407&amp;"|"&amp;$I407&amp;"|"&amp;$J407&amp;"|"&amp;9,Assessments!$A$2:$A$600,0)),0)</f>
        <v>0</v>
      </c>
      <c r="DF407" s="28" t="n">
        <f aca="false">IFERROR(INDEX(Assessments!$J$2:$J$600,MATCH($H407&amp;"|"&amp;$I407&amp;"|"&amp;$J407&amp;"|"&amp;10,Assessments!$A$2:$A$600,0)),0)</f>
        <v>0</v>
      </c>
      <c r="DG407" s="28" t="n">
        <f aca="false">IFERROR(INDEX(Assessments!$J$2:$J$600,MATCH($H407&amp;"|"&amp;$I407&amp;"|"&amp;$J407&amp;"|"&amp;11,Assessments!$A$2:$A$600,0)),0)</f>
        <v>0</v>
      </c>
      <c r="DH407" s="28" t="n">
        <f aca="false">IFERROR(INDEX(Assessments!$J$2:$J$600,MATCH($H407&amp;"|"&amp;$I407&amp;"|"&amp;$J407&amp;"|"&amp;12,Assessments!$A$2:$A$600,0)),0)</f>
        <v>0</v>
      </c>
      <c r="DI407" s="28" t="n">
        <f aca="false">IFERROR(INDEX(Assessments!$J$2:$J$600,MATCH($H407&amp;"|"&amp;$I407&amp;"|"&amp;$J407&amp;"|"&amp;13,Assessments!$A$2:$A$600,0)),0)</f>
        <v>0</v>
      </c>
      <c r="DJ407" s="28" t="n">
        <f aca="false">IFERROR(INDEX(Assessments!$J$2:$J$600,MATCH($H407&amp;"|"&amp;$I407&amp;"|"&amp;$J407&amp;"|"&amp;14,Assessments!$A$2:$A$600,0)),0)</f>
        <v>0</v>
      </c>
      <c r="DK407" s="28" t="str">
        <f aca="false">S407</f>
        <v/>
      </c>
      <c r="DL407" s="28" t="str">
        <f aca="false">W407</f>
        <v/>
      </c>
      <c r="DM407" s="28" t="str">
        <f aca="false">AA407</f>
        <v/>
      </c>
      <c r="DN407" s="28" t="str">
        <f aca="false">AE407</f>
        <v/>
      </c>
      <c r="DO407" s="28" t="str">
        <f aca="false">AI407</f>
        <v/>
      </c>
      <c r="DP407" s="28" t="str">
        <f aca="false">AM407</f>
        <v/>
      </c>
      <c r="DQ407" s="28" t="str">
        <f aca="false">AQ407</f>
        <v/>
      </c>
      <c r="DR407" s="28" t="str">
        <f aca="false">AU407</f>
        <v/>
      </c>
      <c r="DS407" s="28" t="str">
        <f aca="false">AY407</f>
        <v/>
      </c>
      <c r="DT407" s="28" t="str">
        <f aca="false">BC407</f>
        <v/>
      </c>
      <c r="DU407" s="28" t="str">
        <f aca="false">BG407</f>
        <v/>
      </c>
      <c r="DV407" s="28" t="str">
        <f aca="false">BK407</f>
        <v/>
      </c>
      <c r="DW407" s="28" t="str">
        <f aca="false">BO407</f>
        <v/>
      </c>
      <c r="DX407" s="28" t="str">
        <f aca="false">BS407</f>
        <v/>
      </c>
      <c r="DY407" s="28" t="str">
        <f aca="false">IF(ISNUMBER(S407),1,"")</f>
        <v/>
      </c>
      <c r="DZ407" s="28" t="str">
        <f aca="false">IF(ISNUMBER(W407),2,"")</f>
        <v/>
      </c>
      <c r="EA407" s="28" t="str">
        <f aca="false">IF(ISNUMBER(AA407),3,"")</f>
        <v/>
      </c>
      <c r="EB407" s="28" t="str">
        <f aca="false">IF(ISNUMBER(AE407),4,"")</f>
        <v/>
      </c>
      <c r="EC407" s="28" t="str">
        <f aca="false">IF(ISNUMBER(AI407),5,"")</f>
        <v/>
      </c>
      <c r="ED407" s="28" t="str">
        <f aca="false">IF(ISNUMBER(AM407),6,"")</f>
        <v/>
      </c>
      <c r="EE407" s="28" t="str">
        <f aca="false">IF(ISNUMBER(AQ407),7,"")</f>
        <v/>
      </c>
      <c r="EF407" s="28" t="str">
        <f aca="false">IF(ISNUMBER(AU407),8,"")</f>
        <v/>
      </c>
      <c r="EG407" s="28" t="str">
        <f aca="false">IF(ISNUMBER(AY407),9,"")</f>
        <v/>
      </c>
      <c r="EH407" s="28" t="str">
        <f aca="false">IF(ISNUMBER(BC407),10,"")</f>
        <v/>
      </c>
      <c r="EI407" s="28" t="str">
        <f aca="false">IF(ISNUMBER(BG407),11,"")</f>
        <v/>
      </c>
      <c r="EJ407" s="28" t="str">
        <f aca="false">IF(ISNUMBER(BK407),12,"")</f>
        <v/>
      </c>
      <c r="EK407" s="28" t="str">
        <f aca="false">IF(ISNUMBER(BO407),13,"")</f>
        <v/>
      </c>
      <c r="EL407" s="28" t="str">
        <f aca="false">IF(ISNUMBER(BS407),14,"")</f>
        <v/>
      </c>
      <c r="EM407" s="28" t="n">
        <f aca="false">IF(ISNUMBER(R407),R407*CW407,0)</f>
        <v>0</v>
      </c>
      <c r="EN407" s="28" t="n">
        <f aca="false">IF(ISNUMBER(V407),V407*CX407,0)</f>
        <v>0</v>
      </c>
      <c r="EO407" s="28" t="n">
        <f aca="false">IF(ISNUMBER(Z407),Z407*CY407,0)</f>
        <v>0</v>
      </c>
      <c r="EP407" s="28" t="n">
        <f aca="false">IF(ISNUMBER(AD407),AD407*CZ407,0)</f>
        <v>0</v>
      </c>
      <c r="EQ407" s="28" t="n">
        <f aca="false">IF(ISNUMBER(AH407),AH407*DA407,0)</f>
        <v>0</v>
      </c>
      <c r="ER407" s="28" t="n">
        <f aca="false">IF(ISNUMBER(AL407),AL407*DB407,0)</f>
        <v>0</v>
      </c>
      <c r="ES407" s="28" t="n">
        <f aca="false">IF(ISNUMBER(AP407),AP407*DC407,0)</f>
        <v>0</v>
      </c>
      <c r="ET407" s="28" t="n">
        <f aca="false">IF(ISNUMBER(AT407),AT407*DD407,0)</f>
        <v>0</v>
      </c>
      <c r="EU407" s="28" t="n">
        <f aca="false">IF(ISNUMBER(AX407),AX407*DE407,0)</f>
        <v>0</v>
      </c>
      <c r="EV407" s="28" t="n">
        <f aca="false">IF(ISNUMBER(BB407),BB407*DF407,0)</f>
        <v>0</v>
      </c>
      <c r="EW407" s="28" t="n">
        <f aca="false">IF(ISNUMBER(BF407),BF407*DG407,0)</f>
        <v>0</v>
      </c>
      <c r="EX407" s="28" t="n">
        <f aca="false">IF(ISNUMBER(BJ407),BJ407*DH407,0)</f>
        <v>0</v>
      </c>
      <c r="EY407" s="28" t="n">
        <f aca="false">IF(ISNUMBER(BN407),BN407*DI407,0)</f>
        <v>0</v>
      </c>
      <c r="EZ407" s="28" t="n">
        <f aca="false">IF(ISNUMBER(BR407),BR407*DJ407,0)</f>
        <v>0</v>
      </c>
      <c r="FA407" s="28" t="n">
        <f aca="false">IF(ISNUMBER(R407),CW407,0)</f>
        <v>0</v>
      </c>
      <c r="FB407" s="28" t="n">
        <f aca="false">IF(ISNUMBER(V407),CX407,0)</f>
        <v>0</v>
      </c>
      <c r="FC407" s="28" t="n">
        <f aca="false">IF(ISNUMBER(Z407),CY407,0)</f>
        <v>0</v>
      </c>
      <c r="FD407" s="28" t="n">
        <f aca="false">IF(ISNUMBER(AD407),CZ407,0)</f>
        <v>0</v>
      </c>
      <c r="FE407" s="28" t="n">
        <f aca="false">IF(ISNUMBER(AH407),DA407,0)</f>
        <v>0</v>
      </c>
      <c r="FF407" s="28" t="n">
        <f aca="false">IF(ISNUMBER(AL407),DB407,0)</f>
        <v>0</v>
      </c>
      <c r="FG407" s="28" t="n">
        <f aca="false">IF(ISNUMBER(AP407),DC407,0)</f>
        <v>0</v>
      </c>
      <c r="FH407" s="28" t="n">
        <f aca="false">IF(ISNUMBER(AT407),DD407,0)</f>
        <v>0</v>
      </c>
      <c r="FI407" s="28" t="n">
        <f aca="false">IF(ISNUMBER(AX407),DE407,0)</f>
        <v>0</v>
      </c>
      <c r="FJ407" s="28" t="n">
        <f aca="false">IF(ISNUMBER(BB407),DF407,0)</f>
        <v>0</v>
      </c>
      <c r="FK407" s="28" t="n">
        <f aca="false">IF(ISNUMBER(BF407),DG407,0)</f>
        <v>0</v>
      </c>
      <c r="FL407" s="28" t="n">
        <f aca="false">IF(ISNUMBER(BJ407),DH407,0)</f>
        <v>0</v>
      </c>
      <c r="FM407" s="28" t="n">
        <f aca="false">IF(ISNUMBER(BN407),DI407,0)</f>
        <v>0</v>
      </c>
      <c r="FN407" s="28" t="n">
        <f aca="false">IF(ISNUMBER(BR407),DJ407,0)</f>
        <v>0</v>
      </c>
      <c r="FO407" s="28" t="str">
        <f aca="false">IFERROR(INDEX(Lists!$G$2:$G$20,MATCH($I407&amp;"|"&amp;$J407,Lists!$F$2:$F$20,0)),"")</f>
        <v/>
      </c>
    </row>
    <row r="408" customFormat="false" ht="19.5" hidden="false" customHeight="true" outlineLevel="0" collapsed="false">
      <c r="A408" s="29"/>
      <c r="B408" s="29"/>
      <c r="C408" s="30"/>
      <c r="D408" s="30"/>
      <c r="E408" s="31"/>
      <c r="F408" s="30"/>
      <c r="G408" s="30"/>
      <c r="H408" s="32"/>
      <c r="I408" s="33"/>
      <c r="J408" s="32"/>
      <c r="K408" s="34" t="str">
        <f aca="false">IF(OR(M408="",$E408=""),"",M408-$E408)</f>
        <v/>
      </c>
      <c r="L408" s="35" t="str">
        <f aca="false">IF(SUM(FA408:FN408)=0,"",SUM(EM408:EZ408)/SUM(FA408:FN408))</f>
        <v/>
      </c>
      <c r="M408" s="36" t="str">
        <f aca="false">IF(OR(L408="",FO408=""),"",IFERROR(MATCH(L408,INDEX(Boundaries!$B$2:$I$30,MATCH(FO408,Boundaries!$A$2:$A$30,0),0),1)-1,""))</f>
        <v/>
      </c>
      <c r="N408" s="37" t="str">
        <f aca="false">IF(COUNT($DY408:$EL408)&lt;2,"",INDEX($DK408:$DX408,MAX($DY408:$EL408))-INDEX($DK408:$DX408,MIN($DY408:$EL408)))</f>
        <v/>
      </c>
      <c r="O408" s="37" t="str">
        <f aca="false">IF(COUNT($DY408:$EL408)&lt;2,"",INDEX($DK408:$DX408,MAX($DY408:$EL408))-INDEX($DK408:$DX408,LARGE($DY408:$EL408,2)))</f>
        <v/>
      </c>
      <c r="P408" s="38" t="str">
        <f aca="false">IF(K408="","",IF(K408&gt;=0,"On/above target",IF(AND(N408&lt;&gt;"",N408&gt;=0.5),"Improving towards target",IF(AND(O408&lt;&gt;"",O408&lt;=-0.5),"Declining","Stable below target"))))</f>
        <v/>
      </c>
      <c r="Q408" s="39"/>
      <c r="R408" s="40" t="str">
        <f aca="false">IF(OR(Q408="",BU408=""),"",Q408/BU408*100)</f>
        <v/>
      </c>
      <c r="S408" s="41" t="str">
        <f aca="false">IF(R408="","",IFERROR(MATCH(R408,INDEX(Boundaries!$B$2:$I$30,MATCH(CI408,Boundaries!$A$2:$A$30,0),0),1)-1,""))</f>
        <v/>
      </c>
      <c r="T408" s="42" t="str">
        <f aca="false">IF(OR(S408="",$E408=""),"",S408-$E408)</f>
        <v/>
      </c>
      <c r="U408" s="39"/>
      <c r="V408" s="40" t="str">
        <f aca="false">IF(OR(U408="",BV408=""),"",U408/BV408*100)</f>
        <v/>
      </c>
      <c r="W408" s="41" t="str">
        <f aca="false">IF(V408="","",IFERROR(MATCH(V408,INDEX(Boundaries!$B$2:$I$30,MATCH(CJ408,Boundaries!$A$2:$A$30,0),0),1)-1,""))</f>
        <v/>
      </c>
      <c r="X408" s="42" t="str">
        <f aca="false">IF(OR(W408="",$E408=""),"",W408-$E408)</f>
        <v/>
      </c>
      <c r="Y408" s="39"/>
      <c r="Z408" s="40" t="str">
        <f aca="false">IF(OR(Y408="",BW408=""),"",Y408/BW408*100)</f>
        <v/>
      </c>
      <c r="AA408" s="41" t="str">
        <f aca="false">IF(Z408="","",IFERROR(MATCH(Z408,INDEX(Boundaries!$B$2:$I$30,MATCH(CK408,Boundaries!$A$2:$A$30,0),0),1)-1,""))</f>
        <v/>
      </c>
      <c r="AB408" s="42" t="str">
        <f aca="false">IF(OR(AA408="",$E408=""),"",AA408-$E408)</f>
        <v/>
      </c>
      <c r="AC408" s="39"/>
      <c r="AD408" s="40" t="str">
        <f aca="false">IF(OR(AC408="",BX408=""),"",AC408/BX408*100)</f>
        <v/>
      </c>
      <c r="AE408" s="41" t="str">
        <f aca="false">IF(AD408="","",IFERROR(MATCH(AD408,INDEX(Boundaries!$B$2:$I$30,MATCH(CL408,Boundaries!$A$2:$A$30,0),0),1)-1,""))</f>
        <v/>
      </c>
      <c r="AF408" s="42" t="str">
        <f aca="false">IF(OR(AE408="",$E408=""),"",AE408-$E408)</f>
        <v/>
      </c>
      <c r="AG408" s="39"/>
      <c r="AH408" s="40" t="str">
        <f aca="false">IF(OR(AG408="",BY408=""),"",AG408/BY408*100)</f>
        <v/>
      </c>
      <c r="AI408" s="41" t="str">
        <f aca="false">IF(AH408="","",IFERROR(MATCH(AH408,INDEX(Boundaries!$B$2:$I$30,MATCH(CM408,Boundaries!$A$2:$A$30,0),0),1)-1,""))</f>
        <v/>
      </c>
      <c r="AJ408" s="42" t="str">
        <f aca="false">IF(OR(AI408="",$E408=""),"",AI408-$E408)</f>
        <v/>
      </c>
      <c r="AK408" s="39"/>
      <c r="AL408" s="40" t="str">
        <f aca="false">IF(OR(AK408="",BZ408=""),"",AK408/BZ408*100)</f>
        <v/>
      </c>
      <c r="AM408" s="41" t="str">
        <f aca="false">IF(AL408="","",IFERROR(MATCH(AL408,INDEX(Boundaries!$B$2:$I$30,MATCH(CN408,Boundaries!$A$2:$A$30,0),0),1)-1,""))</f>
        <v/>
      </c>
      <c r="AN408" s="42" t="str">
        <f aca="false">IF(OR(AM408="",$E408=""),"",AM408-$E408)</f>
        <v/>
      </c>
      <c r="AO408" s="39"/>
      <c r="AP408" s="40" t="str">
        <f aca="false">IF(OR(AO408="",CA408=""),"",AO408/CA408*100)</f>
        <v/>
      </c>
      <c r="AQ408" s="41" t="str">
        <f aca="false">IF(AP408="","",IFERROR(MATCH(AP408,INDEX(Boundaries!$B$2:$I$30,MATCH(CO408,Boundaries!$A$2:$A$30,0),0),1)-1,""))</f>
        <v/>
      </c>
      <c r="AR408" s="42" t="str">
        <f aca="false">IF(OR(AQ408="",$E408=""),"",AQ408-$E408)</f>
        <v/>
      </c>
      <c r="AS408" s="39"/>
      <c r="AT408" s="40" t="str">
        <f aca="false">IF(OR(AS408="",CB408=""),"",AS408/CB408*100)</f>
        <v/>
      </c>
      <c r="AU408" s="41" t="str">
        <f aca="false">IF(AT408="","",IFERROR(MATCH(AT408,INDEX(Boundaries!$B$2:$I$30,MATCH(CP408,Boundaries!$A$2:$A$30,0),0),1)-1,""))</f>
        <v/>
      </c>
      <c r="AV408" s="42" t="str">
        <f aca="false">IF(OR(AU408="",$E408=""),"",AU408-$E408)</f>
        <v/>
      </c>
      <c r="AW408" s="39"/>
      <c r="AX408" s="40" t="str">
        <f aca="false">IF(OR(AW408="",CC408=""),"",AW408/CC408*100)</f>
        <v/>
      </c>
      <c r="AY408" s="41" t="str">
        <f aca="false">IF(AX408="","",IFERROR(MATCH(AX408,INDEX(Boundaries!$B$2:$I$30,MATCH(CQ408,Boundaries!$A$2:$A$30,0),0),1)-1,""))</f>
        <v/>
      </c>
      <c r="AZ408" s="42" t="str">
        <f aca="false">IF(OR(AY408="",$E408=""),"",AY408-$E408)</f>
        <v/>
      </c>
      <c r="BA408" s="39"/>
      <c r="BB408" s="40" t="str">
        <f aca="false">IF(OR(BA408="",CD408=""),"",BA408/CD408*100)</f>
        <v/>
      </c>
      <c r="BC408" s="41" t="str">
        <f aca="false">IF(BB408="","",IFERROR(MATCH(BB408,INDEX(Boundaries!$B$2:$I$30,MATCH(CR408,Boundaries!$A$2:$A$30,0),0),1)-1,""))</f>
        <v/>
      </c>
      <c r="BD408" s="42" t="str">
        <f aca="false">IF(OR(BC408="",$E408=""),"",BC408-$E408)</f>
        <v/>
      </c>
      <c r="BE408" s="39"/>
      <c r="BF408" s="40" t="str">
        <f aca="false">IF(OR(BE408="",CE408=""),"",BE408/CE408*100)</f>
        <v/>
      </c>
      <c r="BG408" s="41" t="str">
        <f aca="false">IF(BF408="","",IFERROR(MATCH(BF408,INDEX(Boundaries!$B$2:$I$30,MATCH(CS408,Boundaries!$A$2:$A$30,0),0),1)-1,""))</f>
        <v/>
      </c>
      <c r="BH408" s="42" t="str">
        <f aca="false">IF(OR(BG408="",$E408=""),"",BG408-$E408)</f>
        <v/>
      </c>
      <c r="BI408" s="39"/>
      <c r="BJ408" s="40" t="str">
        <f aca="false">IF(OR(BI408="",CF408=""),"",BI408/CF408*100)</f>
        <v/>
      </c>
      <c r="BK408" s="41" t="str">
        <f aca="false">IF(BJ408="","",IFERROR(MATCH(BJ408,INDEX(Boundaries!$B$2:$I$30,MATCH(CT408,Boundaries!$A$2:$A$30,0),0),1)-1,""))</f>
        <v/>
      </c>
      <c r="BL408" s="42" t="str">
        <f aca="false">IF(OR(BK408="",$E408=""),"",BK408-$E408)</f>
        <v/>
      </c>
      <c r="BM408" s="39"/>
      <c r="BN408" s="40" t="str">
        <f aca="false">IF(OR(BM408="",CG408=""),"",BM408/CG408*100)</f>
        <v/>
      </c>
      <c r="BO408" s="41" t="str">
        <f aca="false">IF(BN408="","",IFERROR(MATCH(BN408,INDEX(Boundaries!$B$2:$I$30,MATCH(CU408,Boundaries!$A$2:$A$30,0),0),1)-1,""))</f>
        <v/>
      </c>
      <c r="BP408" s="42" t="str">
        <f aca="false">IF(OR(BO408="",$E408=""),"",BO408-$E408)</f>
        <v/>
      </c>
      <c r="BQ408" s="39"/>
      <c r="BR408" s="40" t="str">
        <f aca="false">IF(OR(BQ408="",CH408=""),"",BQ408/CH408*100)</f>
        <v/>
      </c>
      <c r="BS408" s="41" t="str">
        <f aca="false">IF(BR408="","",IFERROR(MATCH(BR408,INDEX(Boundaries!$B$2:$I$30,MATCH(CV408,Boundaries!$A$2:$A$30,0),0),1)-1,""))</f>
        <v/>
      </c>
      <c r="BT408" s="42" t="str">
        <f aca="false">IF(OR(BS408="",$E408=""),"",BS408-$E408)</f>
        <v/>
      </c>
      <c r="BU408" s="28" t="str">
        <f aca="false">IFERROR(INDEX(Assessments!$H$2:$H$600,MATCH($H408&amp;"|"&amp;$I408&amp;"|"&amp;$J408&amp;"|"&amp;1,Assessments!$A$2:$A$600,0)),"")</f>
        <v/>
      </c>
      <c r="BV408" s="28" t="str">
        <f aca="false">IFERROR(INDEX(Assessments!$H$2:$H$600,MATCH($H408&amp;"|"&amp;$I408&amp;"|"&amp;$J408&amp;"|"&amp;2,Assessments!$A$2:$A$600,0)),"")</f>
        <v/>
      </c>
      <c r="BW408" s="28" t="str">
        <f aca="false">IFERROR(INDEX(Assessments!$H$2:$H$600,MATCH($H408&amp;"|"&amp;$I408&amp;"|"&amp;$J408&amp;"|"&amp;3,Assessments!$A$2:$A$600,0)),"")</f>
        <v/>
      </c>
      <c r="BX408" s="28" t="str">
        <f aca="false">IFERROR(INDEX(Assessments!$H$2:$H$600,MATCH($H408&amp;"|"&amp;$I408&amp;"|"&amp;$J408&amp;"|"&amp;4,Assessments!$A$2:$A$600,0)),"")</f>
        <v/>
      </c>
      <c r="BY408" s="28" t="str">
        <f aca="false">IFERROR(INDEX(Assessments!$H$2:$H$600,MATCH($H408&amp;"|"&amp;$I408&amp;"|"&amp;$J408&amp;"|"&amp;5,Assessments!$A$2:$A$600,0)),"")</f>
        <v/>
      </c>
      <c r="BZ408" s="28" t="str">
        <f aca="false">IFERROR(INDEX(Assessments!$H$2:$H$600,MATCH($H408&amp;"|"&amp;$I408&amp;"|"&amp;$J408&amp;"|"&amp;6,Assessments!$A$2:$A$600,0)),"")</f>
        <v/>
      </c>
      <c r="CA408" s="28" t="str">
        <f aca="false">IFERROR(INDEX(Assessments!$H$2:$H$600,MATCH($H408&amp;"|"&amp;$I408&amp;"|"&amp;$J408&amp;"|"&amp;7,Assessments!$A$2:$A$600,0)),"")</f>
        <v/>
      </c>
      <c r="CB408" s="28" t="str">
        <f aca="false">IFERROR(INDEX(Assessments!$H$2:$H$600,MATCH($H408&amp;"|"&amp;$I408&amp;"|"&amp;$J408&amp;"|"&amp;8,Assessments!$A$2:$A$600,0)),"")</f>
        <v/>
      </c>
      <c r="CC408" s="28" t="str">
        <f aca="false">IFERROR(INDEX(Assessments!$H$2:$H$600,MATCH($H408&amp;"|"&amp;$I408&amp;"|"&amp;$J408&amp;"|"&amp;9,Assessments!$A$2:$A$600,0)),"")</f>
        <v/>
      </c>
      <c r="CD408" s="28" t="str">
        <f aca="false">IFERROR(INDEX(Assessments!$H$2:$H$600,MATCH($H408&amp;"|"&amp;$I408&amp;"|"&amp;$J408&amp;"|"&amp;10,Assessments!$A$2:$A$600,0)),"")</f>
        <v/>
      </c>
      <c r="CE408" s="28" t="str">
        <f aca="false">IFERROR(INDEX(Assessments!$H$2:$H$600,MATCH($H408&amp;"|"&amp;$I408&amp;"|"&amp;$J408&amp;"|"&amp;11,Assessments!$A$2:$A$600,0)),"")</f>
        <v/>
      </c>
      <c r="CF408" s="28" t="str">
        <f aca="false">IFERROR(INDEX(Assessments!$H$2:$H$600,MATCH($H408&amp;"|"&amp;$I408&amp;"|"&amp;$J408&amp;"|"&amp;12,Assessments!$A$2:$A$600,0)),"")</f>
        <v/>
      </c>
      <c r="CG408" s="28" t="str">
        <f aca="false">IFERROR(INDEX(Assessments!$H$2:$H$600,MATCH($H408&amp;"|"&amp;$I408&amp;"|"&amp;$J408&amp;"|"&amp;13,Assessments!$A$2:$A$600,0)),"")</f>
        <v/>
      </c>
      <c r="CH408" s="28" t="str">
        <f aca="false">IFERROR(INDEX(Assessments!$H$2:$H$600,MATCH($H408&amp;"|"&amp;$I408&amp;"|"&amp;$J408&amp;"|"&amp;14,Assessments!$A$2:$A$600,0)),"")</f>
        <v/>
      </c>
      <c r="CI408" s="28" t="str">
        <f aca="false">IFERROR(INDEX(Assessments!$I$2:$I$600,MATCH($H408&amp;"|"&amp;$I408&amp;"|"&amp;$J408&amp;"|"&amp;1,Assessments!$A$2:$A$600,0)),"")</f>
        <v/>
      </c>
      <c r="CJ408" s="28" t="str">
        <f aca="false">IFERROR(INDEX(Assessments!$I$2:$I$600,MATCH($H408&amp;"|"&amp;$I408&amp;"|"&amp;$J408&amp;"|"&amp;2,Assessments!$A$2:$A$600,0)),"")</f>
        <v/>
      </c>
      <c r="CK408" s="28" t="str">
        <f aca="false">IFERROR(INDEX(Assessments!$I$2:$I$600,MATCH($H408&amp;"|"&amp;$I408&amp;"|"&amp;$J408&amp;"|"&amp;3,Assessments!$A$2:$A$600,0)),"")</f>
        <v/>
      </c>
      <c r="CL408" s="28" t="str">
        <f aca="false">IFERROR(INDEX(Assessments!$I$2:$I$600,MATCH($H408&amp;"|"&amp;$I408&amp;"|"&amp;$J408&amp;"|"&amp;4,Assessments!$A$2:$A$600,0)),"")</f>
        <v/>
      </c>
      <c r="CM408" s="28" t="str">
        <f aca="false">IFERROR(INDEX(Assessments!$I$2:$I$600,MATCH($H408&amp;"|"&amp;$I408&amp;"|"&amp;$J408&amp;"|"&amp;5,Assessments!$A$2:$A$600,0)),"")</f>
        <v/>
      </c>
      <c r="CN408" s="28" t="str">
        <f aca="false">IFERROR(INDEX(Assessments!$I$2:$I$600,MATCH($H408&amp;"|"&amp;$I408&amp;"|"&amp;$J408&amp;"|"&amp;6,Assessments!$A$2:$A$600,0)),"")</f>
        <v/>
      </c>
      <c r="CO408" s="28" t="str">
        <f aca="false">IFERROR(INDEX(Assessments!$I$2:$I$600,MATCH($H408&amp;"|"&amp;$I408&amp;"|"&amp;$J408&amp;"|"&amp;7,Assessments!$A$2:$A$600,0)),"")</f>
        <v/>
      </c>
      <c r="CP408" s="28" t="str">
        <f aca="false">IFERROR(INDEX(Assessments!$I$2:$I$600,MATCH($H408&amp;"|"&amp;$I408&amp;"|"&amp;$J408&amp;"|"&amp;8,Assessments!$A$2:$A$600,0)),"")</f>
        <v/>
      </c>
      <c r="CQ408" s="28" t="str">
        <f aca="false">IFERROR(INDEX(Assessments!$I$2:$I$600,MATCH($H408&amp;"|"&amp;$I408&amp;"|"&amp;$J408&amp;"|"&amp;9,Assessments!$A$2:$A$600,0)),"")</f>
        <v/>
      </c>
      <c r="CR408" s="28" t="str">
        <f aca="false">IFERROR(INDEX(Assessments!$I$2:$I$600,MATCH($H408&amp;"|"&amp;$I408&amp;"|"&amp;$J408&amp;"|"&amp;10,Assessments!$A$2:$A$600,0)),"")</f>
        <v/>
      </c>
      <c r="CS408" s="28" t="str">
        <f aca="false">IFERROR(INDEX(Assessments!$I$2:$I$600,MATCH($H408&amp;"|"&amp;$I408&amp;"|"&amp;$J408&amp;"|"&amp;11,Assessments!$A$2:$A$600,0)),"")</f>
        <v/>
      </c>
      <c r="CT408" s="28" t="str">
        <f aca="false">IFERROR(INDEX(Assessments!$I$2:$I$600,MATCH($H408&amp;"|"&amp;$I408&amp;"|"&amp;$J408&amp;"|"&amp;12,Assessments!$A$2:$A$600,0)),"")</f>
        <v/>
      </c>
      <c r="CU408" s="28" t="str">
        <f aca="false">IFERROR(INDEX(Assessments!$I$2:$I$600,MATCH($H408&amp;"|"&amp;$I408&amp;"|"&amp;$J408&amp;"|"&amp;13,Assessments!$A$2:$A$600,0)),"")</f>
        <v/>
      </c>
      <c r="CV408" s="28" t="str">
        <f aca="false">IFERROR(INDEX(Assessments!$I$2:$I$600,MATCH($H408&amp;"|"&amp;$I408&amp;"|"&amp;$J408&amp;"|"&amp;14,Assessments!$A$2:$A$600,0)),"")</f>
        <v/>
      </c>
      <c r="CW408" s="28" t="n">
        <f aca="false">IFERROR(INDEX(Assessments!$J$2:$J$600,MATCH($H408&amp;"|"&amp;$I408&amp;"|"&amp;$J408&amp;"|"&amp;1,Assessments!$A$2:$A$600,0)),0)</f>
        <v>0</v>
      </c>
      <c r="CX408" s="28" t="n">
        <f aca="false">IFERROR(INDEX(Assessments!$J$2:$J$600,MATCH($H408&amp;"|"&amp;$I408&amp;"|"&amp;$J408&amp;"|"&amp;2,Assessments!$A$2:$A$600,0)),0)</f>
        <v>0</v>
      </c>
      <c r="CY408" s="28" t="n">
        <f aca="false">IFERROR(INDEX(Assessments!$J$2:$J$600,MATCH($H408&amp;"|"&amp;$I408&amp;"|"&amp;$J408&amp;"|"&amp;3,Assessments!$A$2:$A$600,0)),0)</f>
        <v>0</v>
      </c>
      <c r="CZ408" s="28" t="n">
        <f aca="false">IFERROR(INDEX(Assessments!$J$2:$J$600,MATCH($H408&amp;"|"&amp;$I408&amp;"|"&amp;$J408&amp;"|"&amp;4,Assessments!$A$2:$A$600,0)),0)</f>
        <v>0</v>
      </c>
      <c r="DA408" s="28" t="n">
        <f aca="false">IFERROR(INDEX(Assessments!$J$2:$J$600,MATCH($H408&amp;"|"&amp;$I408&amp;"|"&amp;$J408&amp;"|"&amp;5,Assessments!$A$2:$A$600,0)),0)</f>
        <v>0</v>
      </c>
      <c r="DB408" s="28" t="n">
        <f aca="false">IFERROR(INDEX(Assessments!$J$2:$J$600,MATCH($H408&amp;"|"&amp;$I408&amp;"|"&amp;$J408&amp;"|"&amp;6,Assessments!$A$2:$A$600,0)),0)</f>
        <v>0</v>
      </c>
      <c r="DC408" s="28" t="n">
        <f aca="false">IFERROR(INDEX(Assessments!$J$2:$J$600,MATCH($H408&amp;"|"&amp;$I408&amp;"|"&amp;$J408&amp;"|"&amp;7,Assessments!$A$2:$A$600,0)),0)</f>
        <v>0</v>
      </c>
      <c r="DD408" s="28" t="n">
        <f aca="false">IFERROR(INDEX(Assessments!$J$2:$J$600,MATCH($H408&amp;"|"&amp;$I408&amp;"|"&amp;$J408&amp;"|"&amp;8,Assessments!$A$2:$A$600,0)),0)</f>
        <v>0</v>
      </c>
      <c r="DE408" s="28" t="n">
        <f aca="false">IFERROR(INDEX(Assessments!$J$2:$J$600,MATCH($H408&amp;"|"&amp;$I408&amp;"|"&amp;$J408&amp;"|"&amp;9,Assessments!$A$2:$A$600,0)),0)</f>
        <v>0</v>
      </c>
      <c r="DF408" s="28" t="n">
        <f aca="false">IFERROR(INDEX(Assessments!$J$2:$J$600,MATCH($H408&amp;"|"&amp;$I408&amp;"|"&amp;$J408&amp;"|"&amp;10,Assessments!$A$2:$A$600,0)),0)</f>
        <v>0</v>
      </c>
      <c r="DG408" s="28" t="n">
        <f aca="false">IFERROR(INDEX(Assessments!$J$2:$J$600,MATCH($H408&amp;"|"&amp;$I408&amp;"|"&amp;$J408&amp;"|"&amp;11,Assessments!$A$2:$A$600,0)),0)</f>
        <v>0</v>
      </c>
      <c r="DH408" s="28" t="n">
        <f aca="false">IFERROR(INDEX(Assessments!$J$2:$J$600,MATCH($H408&amp;"|"&amp;$I408&amp;"|"&amp;$J408&amp;"|"&amp;12,Assessments!$A$2:$A$600,0)),0)</f>
        <v>0</v>
      </c>
      <c r="DI408" s="28" t="n">
        <f aca="false">IFERROR(INDEX(Assessments!$J$2:$J$600,MATCH($H408&amp;"|"&amp;$I408&amp;"|"&amp;$J408&amp;"|"&amp;13,Assessments!$A$2:$A$600,0)),0)</f>
        <v>0</v>
      </c>
      <c r="DJ408" s="28" t="n">
        <f aca="false">IFERROR(INDEX(Assessments!$J$2:$J$600,MATCH($H408&amp;"|"&amp;$I408&amp;"|"&amp;$J408&amp;"|"&amp;14,Assessments!$A$2:$A$600,0)),0)</f>
        <v>0</v>
      </c>
      <c r="DK408" s="28" t="str">
        <f aca="false">S408</f>
        <v/>
      </c>
      <c r="DL408" s="28" t="str">
        <f aca="false">W408</f>
        <v/>
      </c>
      <c r="DM408" s="28" t="str">
        <f aca="false">AA408</f>
        <v/>
      </c>
      <c r="DN408" s="28" t="str">
        <f aca="false">AE408</f>
        <v/>
      </c>
      <c r="DO408" s="28" t="str">
        <f aca="false">AI408</f>
        <v/>
      </c>
      <c r="DP408" s="28" t="str">
        <f aca="false">AM408</f>
        <v/>
      </c>
      <c r="DQ408" s="28" t="str">
        <f aca="false">AQ408</f>
        <v/>
      </c>
      <c r="DR408" s="28" t="str">
        <f aca="false">AU408</f>
        <v/>
      </c>
      <c r="DS408" s="28" t="str">
        <f aca="false">AY408</f>
        <v/>
      </c>
      <c r="DT408" s="28" t="str">
        <f aca="false">BC408</f>
        <v/>
      </c>
      <c r="DU408" s="28" t="str">
        <f aca="false">BG408</f>
        <v/>
      </c>
      <c r="DV408" s="28" t="str">
        <f aca="false">BK408</f>
        <v/>
      </c>
      <c r="DW408" s="28" t="str">
        <f aca="false">BO408</f>
        <v/>
      </c>
      <c r="DX408" s="28" t="str">
        <f aca="false">BS408</f>
        <v/>
      </c>
      <c r="DY408" s="28" t="str">
        <f aca="false">IF(ISNUMBER(S408),1,"")</f>
        <v/>
      </c>
      <c r="DZ408" s="28" t="str">
        <f aca="false">IF(ISNUMBER(W408),2,"")</f>
        <v/>
      </c>
      <c r="EA408" s="28" t="str">
        <f aca="false">IF(ISNUMBER(AA408),3,"")</f>
        <v/>
      </c>
      <c r="EB408" s="28" t="str">
        <f aca="false">IF(ISNUMBER(AE408),4,"")</f>
        <v/>
      </c>
      <c r="EC408" s="28" t="str">
        <f aca="false">IF(ISNUMBER(AI408),5,"")</f>
        <v/>
      </c>
      <c r="ED408" s="28" t="str">
        <f aca="false">IF(ISNUMBER(AM408),6,"")</f>
        <v/>
      </c>
      <c r="EE408" s="28" t="str">
        <f aca="false">IF(ISNUMBER(AQ408),7,"")</f>
        <v/>
      </c>
      <c r="EF408" s="28" t="str">
        <f aca="false">IF(ISNUMBER(AU408),8,"")</f>
        <v/>
      </c>
      <c r="EG408" s="28" t="str">
        <f aca="false">IF(ISNUMBER(AY408),9,"")</f>
        <v/>
      </c>
      <c r="EH408" s="28" t="str">
        <f aca="false">IF(ISNUMBER(BC408),10,"")</f>
        <v/>
      </c>
      <c r="EI408" s="28" t="str">
        <f aca="false">IF(ISNUMBER(BG408),11,"")</f>
        <v/>
      </c>
      <c r="EJ408" s="28" t="str">
        <f aca="false">IF(ISNUMBER(BK408),12,"")</f>
        <v/>
      </c>
      <c r="EK408" s="28" t="str">
        <f aca="false">IF(ISNUMBER(BO408),13,"")</f>
        <v/>
      </c>
      <c r="EL408" s="28" t="str">
        <f aca="false">IF(ISNUMBER(BS408),14,"")</f>
        <v/>
      </c>
      <c r="EM408" s="28" t="n">
        <f aca="false">IF(ISNUMBER(R408),R408*CW408,0)</f>
        <v>0</v>
      </c>
      <c r="EN408" s="28" t="n">
        <f aca="false">IF(ISNUMBER(V408),V408*CX408,0)</f>
        <v>0</v>
      </c>
      <c r="EO408" s="28" t="n">
        <f aca="false">IF(ISNUMBER(Z408),Z408*CY408,0)</f>
        <v>0</v>
      </c>
      <c r="EP408" s="28" t="n">
        <f aca="false">IF(ISNUMBER(AD408),AD408*CZ408,0)</f>
        <v>0</v>
      </c>
      <c r="EQ408" s="28" t="n">
        <f aca="false">IF(ISNUMBER(AH408),AH408*DA408,0)</f>
        <v>0</v>
      </c>
      <c r="ER408" s="28" t="n">
        <f aca="false">IF(ISNUMBER(AL408),AL408*DB408,0)</f>
        <v>0</v>
      </c>
      <c r="ES408" s="28" t="n">
        <f aca="false">IF(ISNUMBER(AP408),AP408*DC408,0)</f>
        <v>0</v>
      </c>
      <c r="ET408" s="28" t="n">
        <f aca="false">IF(ISNUMBER(AT408),AT408*DD408,0)</f>
        <v>0</v>
      </c>
      <c r="EU408" s="28" t="n">
        <f aca="false">IF(ISNUMBER(AX408),AX408*DE408,0)</f>
        <v>0</v>
      </c>
      <c r="EV408" s="28" t="n">
        <f aca="false">IF(ISNUMBER(BB408),BB408*DF408,0)</f>
        <v>0</v>
      </c>
      <c r="EW408" s="28" t="n">
        <f aca="false">IF(ISNUMBER(BF408),BF408*DG408,0)</f>
        <v>0</v>
      </c>
      <c r="EX408" s="28" t="n">
        <f aca="false">IF(ISNUMBER(BJ408),BJ408*DH408,0)</f>
        <v>0</v>
      </c>
      <c r="EY408" s="28" t="n">
        <f aca="false">IF(ISNUMBER(BN408),BN408*DI408,0)</f>
        <v>0</v>
      </c>
      <c r="EZ408" s="28" t="n">
        <f aca="false">IF(ISNUMBER(BR408),BR408*DJ408,0)</f>
        <v>0</v>
      </c>
      <c r="FA408" s="28" t="n">
        <f aca="false">IF(ISNUMBER(R408),CW408,0)</f>
        <v>0</v>
      </c>
      <c r="FB408" s="28" t="n">
        <f aca="false">IF(ISNUMBER(V408),CX408,0)</f>
        <v>0</v>
      </c>
      <c r="FC408" s="28" t="n">
        <f aca="false">IF(ISNUMBER(Z408),CY408,0)</f>
        <v>0</v>
      </c>
      <c r="FD408" s="28" t="n">
        <f aca="false">IF(ISNUMBER(AD408),CZ408,0)</f>
        <v>0</v>
      </c>
      <c r="FE408" s="28" t="n">
        <f aca="false">IF(ISNUMBER(AH408),DA408,0)</f>
        <v>0</v>
      </c>
      <c r="FF408" s="28" t="n">
        <f aca="false">IF(ISNUMBER(AL408),DB408,0)</f>
        <v>0</v>
      </c>
      <c r="FG408" s="28" t="n">
        <f aca="false">IF(ISNUMBER(AP408),DC408,0)</f>
        <v>0</v>
      </c>
      <c r="FH408" s="28" t="n">
        <f aca="false">IF(ISNUMBER(AT408),DD408,0)</f>
        <v>0</v>
      </c>
      <c r="FI408" s="28" t="n">
        <f aca="false">IF(ISNUMBER(AX408),DE408,0)</f>
        <v>0</v>
      </c>
      <c r="FJ408" s="28" t="n">
        <f aca="false">IF(ISNUMBER(BB408),DF408,0)</f>
        <v>0</v>
      </c>
      <c r="FK408" s="28" t="n">
        <f aca="false">IF(ISNUMBER(BF408),DG408,0)</f>
        <v>0</v>
      </c>
      <c r="FL408" s="28" t="n">
        <f aca="false">IF(ISNUMBER(BJ408),DH408,0)</f>
        <v>0</v>
      </c>
      <c r="FM408" s="28" t="n">
        <f aca="false">IF(ISNUMBER(BN408),DI408,0)</f>
        <v>0</v>
      </c>
      <c r="FN408" s="28" t="n">
        <f aca="false">IF(ISNUMBER(BR408),DJ408,0)</f>
        <v>0</v>
      </c>
      <c r="FO408" s="28" t="str">
        <f aca="false">IFERROR(INDEX(Lists!$G$2:$G$20,MATCH($I408&amp;"|"&amp;$J408,Lists!$F$2:$F$20,0)),"")</f>
        <v/>
      </c>
    </row>
    <row r="409" customFormat="false" ht="19.5" hidden="false" customHeight="true" outlineLevel="0" collapsed="false">
      <c r="A409" s="29"/>
      <c r="B409" s="29"/>
      <c r="C409" s="30"/>
      <c r="D409" s="30"/>
      <c r="E409" s="31"/>
      <c r="F409" s="30"/>
      <c r="G409" s="30"/>
      <c r="H409" s="32"/>
      <c r="I409" s="33"/>
      <c r="J409" s="32"/>
      <c r="K409" s="34" t="str">
        <f aca="false">IF(OR(M409="",$E409=""),"",M409-$E409)</f>
        <v/>
      </c>
      <c r="L409" s="35" t="str">
        <f aca="false">IF(SUM(FA409:FN409)=0,"",SUM(EM409:EZ409)/SUM(FA409:FN409))</f>
        <v/>
      </c>
      <c r="M409" s="36" t="str">
        <f aca="false">IF(OR(L409="",FO409=""),"",IFERROR(MATCH(L409,INDEX(Boundaries!$B$2:$I$30,MATCH(FO409,Boundaries!$A$2:$A$30,0),0),1)-1,""))</f>
        <v/>
      </c>
      <c r="N409" s="37" t="str">
        <f aca="false">IF(COUNT($DY409:$EL409)&lt;2,"",INDEX($DK409:$DX409,MAX($DY409:$EL409))-INDEX($DK409:$DX409,MIN($DY409:$EL409)))</f>
        <v/>
      </c>
      <c r="O409" s="37" t="str">
        <f aca="false">IF(COUNT($DY409:$EL409)&lt;2,"",INDEX($DK409:$DX409,MAX($DY409:$EL409))-INDEX($DK409:$DX409,LARGE($DY409:$EL409,2)))</f>
        <v/>
      </c>
      <c r="P409" s="38" t="str">
        <f aca="false">IF(K409="","",IF(K409&gt;=0,"On/above target",IF(AND(N409&lt;&gt;"",N409&gt;=0.5),"Improving towards target",IF(AND(O409&lt;&gt;"",O409&lt;=-0.5),"Declining","Stable below target"))))</f>
        <v/>
      </c>
      <c r="Q409" s="39"/>
      <c r="R409" s="40" t="str">
        <f aca="false">IF(OR(Q409="",BU409=""),"",Q409/BU409*100)</f>
        <v/>
      </c>
      <c r="S409" s="41" t="str">
        <f aca="false">IF(R409="","",IFERROR(MATCH(R409,INDEX(Boundaries!$B$2:$I$30,MATCH(CI409,Boundaries!$A$2:$A$30,0),0),1)-1,""))</f>
        <v/>
      </c>
      <c r="T409" s="42" t="str">
        <f aca="false">IF(OR(S409="",$E409=""),"",S409-$E409)</f>
        <v/>
      </c>
      <c r="U409" s="39"/>
      <c r="V409" s="40" t="str">
        <f aca="false">IF(OR(U409="",BV409=""),"",U409/BV409*100)</f>
        <v/>
      </c>
      <c r="W409" s="41" t="str">
        <f aca="false">IF(V409="","",IFERROR(MATCH(V409,INDEX(Boundaries!$B$2:$I$30,MATCH(CJ409,Boundaries!$A$2:$A$30,0),0),1)-1,""))</f>
        <v/>
      </c>
      <c r="X409" s="42" t="str">
        <f aca="false">IF(OR(W409="",$E409=""),"",W409-$E409)</f>
        <v/>
      </c>
      <c r="Y409" s="39"/>
      <c r="Z409" s="40" t="str">
        <f aca="false">IF(OR(Y409="",BW409=""),"",Y409/BW409*100)</f>
        <v/>
      </c>
      <c r="AA409" s="41" t="str">
        <f aca="false">IF(Z409="","",IFERROR(MATCH(Z409,INDEX(Boundaries!$B$2:$I$30,MATCH(CK409,Boundaries!$A$2:$A$30,0),0),1)-1,""))</f>
        <v/>
      </c>
      <c r="AB409" s="42" t="str">
        <f aca="false">IF(OR(AA409="",$E409=""),"",AA409-$E409)</f>
        <v/>
      </c>
      <c r="AC409" s="39"/>
      <c r="AD409" s="40" t="str">
        <f aca="false">IF(OR(AC409="",BX409=""),"",AC409/BX409*100)</f>
        <v/>
      </c>
      <c r="AE409" s="41" t="str">
        <f aca="false">IF(AD409="","",IFERROR(MATCH(AD409,INDEX(Boundaries!$B$2:$I$30,MATCH(CL409,Boundaries!$A$2:$A$30,0),0),1)-1,""))</f>
        <v/>
      </c>
      <c r="AF409" s="42" t="str">
        <f aca="false">IF(OR(AE409="",$E409=""),"",AE409-$E409)</f>
        <v/>
      </c>
      <c r="AG409" s="39"/>
      <c r="AH409" s="40" t="str">
        <f aca="false">IF(OR(AG409="",BY409=""),"",AG409/BY409*100)</f>
        <v/>
      </c>
      <c r="AI409" s="41" t="str">
        <f aca="false">IF(AH409="","",IFERROR(MATCH(AH409,INDEX(Boundaries!$B$2:$I$30,MATCH(CM409,Boundaries!$A$2:$A$30,0),0),1)-1,""))</f>
        <v/>
      </c>
      <c r="AJ409" s="42" t="str">
        <f aca="false">IF(OR(AI409="",$E409=""),"",AI409-$E409)</f>
        <v/>
      </c>
      <c r="AK409" s="39"/>
      <c r="AL409" s="40" t="str">
        <f aca="false">IF(OR(AK409="",BZ409=""),"",AK409/BZ409*100)</f>
        <v/>
      </c>
      <c r="AM409" s="41" t="str">
        <f aca="false">IF(AL409="","",IFERROR(MATCH(AL409,INDEX(Boundaries!$B$2:$I$30,MATCH(CN409,Boundaries!$A$2:$A$30,0),0),1)-1,""))</f>
        <v/>
      </c>
      <c r="AN409" s="42" t="str">
        <f aca="false">IF(OR(AM409="",$E409=""),"",AM409-$E409)</f>
        <v/>
      </c>
      <c r="AO409" s="39"/>
      <c r="AP409" s="40" t="str">
        <f aca="false">IF(OR(AO409="",CA409=""),"",AO409/CA409*100)</f>
        <v/>
      </c>
      <c r="AQ409" s="41" t="str">
        <f aca="false">IF(AP409="","",IFERROR(MATCH(AP409,INDEX(Boundaries!$B$2:$I$30,MATCH(CO409,Boundaries!$A$2:$A$30,0),0),1)-1,""))</f>
        <v/>
      </c>
      <c r="AR409" s="42" t="str">
        <f aca="false">IF(OR(AQ409="",$E409=""),"",AQ409-$E409)</f>
        <v/>
      </c>
      <c r="AS409" s="39"/>
      <c r="AT409" s="40" t="str">
        <f aca="false">IF(OR(AS409="",CB409=""),"",AS409/CB409*100)</f>
        <v/>
      </c>
      <c r="AU409" s="41" t="str">
        <f aca="false">IF(AT409="","",IFERROR(MATCH(AT409,INDEX(Boundaries!$B$2:$I$30,MATCH(CP409,Boundaries!$A$2:$A$30,0),0),1)-1,""))</f>
        <v/>
      </c>
      <c r="AV409" s="42" t="str">
        <f aca="false">IF(OR(AU409="",$E409=""),"",AU409-$E409)</f>
        <v/>
      </c>
      <c r="AW409" s="39"/>
      <c r="AX409" s="40" t="str">
        <f aca="false">IF(OR(AW409="",CC409=""),"",AW409/CC409*100)</f>
        <v/>
      </c>
      <c r="AY409" s="41" t="str">
        <f aca="false">IF(AX409="","",IFERROR(MATCH(AX409,INDEX(Boundaries!$B$2:$I$30,MATCH(CQ409,Boundaries!$A$2:$A$30,0),0),1)-1,""))</f>
        <v/>
      </c>
      <c r="AZ409" s="42" t="str">
        <f aca="false">IF(OR(AY409="",$E409=""),"",AY409-$E409)</f>
        <v/>
      </c>
      <c r="BA409" s="39"/>
      <c r="BB409" s="40" t="str">
        <f aca="false">IF(OR(BA409="",CD409=""),"",BA409/CD409*100)</f>
        <v/>
      </c>
      <c r="BC409" s="41" t="str">
        <f aca="false">IF(BB409="","",IFERROR(MATCH(BB409,INDEX(Boundaries!$B$2:$I$30,MATCH(CR409,Boundaries!$A$2:$A$30,0),0),1)-1,""))</f>
        <v/>
      </c>
      <c r="BD409" s="42" t="str">
        <f aca="false">IF(OR(BC409="",$E409=""),"",BC409-$E409)</f>
        <v/>
      </c>
      <c r="BE409" s="39"/>
      <c r="BF409" s="40" t="str">
        <f aca="false">IF(OR(BE409="",CE409=""),"",BE409/CE409*100)</f>
        <v/>
      </c>
      <c r="BG409" s="41" t="str">
        <f aca="false">IF(BF409="","",IFERROR(MATCH(BF409,INDEX(Boundaries!$B$2:$I$30,MATCH(CS409,Boundaries!$A$2:$A$30,0),0),1)-1,""))</f>
        <v/>
      </c>
      <c r="BH409" s="42" t="str">
        <f aca="false">IF(OR(BG409="",$E409=""),"",BG409-$E409)</f>
        <v/>
      </c>
      <c r="BI409" s="39"/>
      <c r="BJ409" s="40" t="str">
        <f aca="false">IF(OR(BI409="",CF409=""),"",BI409/CF409*100)</f>
        <v/>
      </c>
      <c r="BK409" s="41" t="str">
        <f aca="false">IF(BJ409="","",IFERROR(MATCH(BJ409,INDEX(Boundaries!$B$2:$I$30,MATCH(CT409,Boundaries!$A$2:$A$30,0),0),1)-1,""))</f>
        <v/>
      </c>
      <c r="BL409" s="42" t="str">
        <f aca="false">IF(OR(BK409="",$E409=""),"",BK409-$E409)</f>
        <v/>
      </c>
      <c r="BM409" s="39"/>
      <c r="BN409" s="40" t="str">
        <f aca="false">IF(OR(BM409="",CG409=""),"",BM409/CG409*100)</f>
        <v/>
      </c>
      <c r="BO409" s="41" t="str">
        <f aca="false">IF(BN409="","",IFERROR(MATCH(BN409,INDEX(Boundaries!$B$2:$I$30,MATCH(CU409,Boundaries!$A$2:$A$30,0),0),1)-1,""))</f>
        <v/>
      </c>
      <c r="BP409" s="42" t="str">
        <f aca="false">IF(OR(BO409="",$E409=""),"",BO409-$E409)</f>
        <v/>
      </c>
      <c r="BQ409" s="39"/>
      <c r="BR409" s="40" t="str">
        <f aca="false">IF(OR(BQ409="",CH409=""),"",BQ409/CH409*100)</f>
        <v/>
      </c>
      <c r="BS409" s="41" t="str">
        <f aca="false">IF(BR409="","",IFERROR(MATCH(BR409,INDEX(Boundaries!$B$2:$I$30,MATCH(CV409,Boundaries!$A$2:$A$30,0),0),1)-1,""))</f>
        <v/>
      </c>
      <c r="BT409" s="42" t="str">
        <f aca="false">IF(OR(BS409="",$E409=""),"",BS409-$E409)</f>
        <v/>
      </c>
      <c r="BU409" s="28" t="str">
        <f aca="false">IFERROR(INDEX(Assessments!$H$2:$H$600,MATCH($H409&amp;"|"&amp;$I409&amp;"|"&amp;$J409&amp;"|"&amp;1,Assessments!$A$2:$A$600,0)),"")</f>
        <v/>
      </c>
      <c r="BV409" s="28" t="str">
        <f aca="false">IFERROR(INDEX(Assessments!$H$2:$H$600,MATCH($H409&amp;"|"&amp;$I409&amp;"|"&amp;$J409&amp;"|"&amp;2,Assessments!$A$2:$A$600,0)),"")</f>
        <v/>
      </c>
      <c r="BW409" s="28" t="str">
        <f aca="false">IFERROR(INDEX(Assessments!$H$2:$H$600,MATCH($H409&amp;"|"&amp;$I409&amp;"|"&amp;$J409&amp;"|"&amp;3,Assessments!$A$2:$A$600,0)),"")</f>
        <v/>
      </c>
      <c r="BX409" s="28" t="str">
        <f aca="false">IFERROR(INDEX(Assessments!$H$2:$H$600,MATCH($H409&amp;"|"&amp;$I409&amp;"|"&amp;$J409&amp;"|"&amp;4,Assessments!$A$2:$A$600,0)),"")</f>
        <v/>
      </c>
      <c r="BY409" s="28" t="str">
        <f aca="false">IFERROR(INDEX(Assessments!$H$2:$H$600,MATCH($H409&amp;"|"&amp;$I409&amp;"|"&amp;$J409&amp;"|"&amp;5,Assessments!$A$2:$A$600,0)),"")</f>
        <v/>
      </c>
      <c r="BZ409" s="28" t="str">
        <f aca="false">IFERROR(INDEX(Assessments!$H$2:$H$600,MATCH($H409&amp;"|"&amp;$I409&amp;"|"&amp;$J409&amp;"|"&amp;6,Assessments!$A$2:$A$600,0)),"")</f>
        <v/>
      </c>
      <c r="CA409" s="28" t="str">
        <f aca="false">IFERROR(INDEX(Assessments!$H$2:$H$600,MATCH($H409&amp;"|"&amp;$I409&amp;"|"&amp;$J409&amp;"|"&amp;7,Assessments!$A$2:$A$600,0)),"")</f>
        <v/>
      </c>
      <c r="CB409" s="28" t="str">
        <f aca="false">IFERROR(INDEX(Assessments!$H$2:$H$600,MATCH($H409&amp;"|"&amp;$I409&amp;"|"&amp;$J409&amp;"|"&amp;8,Assessments!$A$2:$A$600,0)),"")</f>
        <v/>
      </c>
      <c r="CC409" s="28" t="str">
        <f aca="false">IFERROR(INDEX(Assessments!$H$2:$H$600,MATCH($H409&amp;"|"&amp;$I409&amp;"|"&amp;$J409&amp;"|"&amp;9,Assessments!$A$2:$A$600,0)),"")</f>
        <v/>
      </c>
      <c r="CD409" s="28" t="str">
        <f aca="false">IFERROR(INDEX(Assessments!$H$2:$H$600,MATCH($H409&amp;"|"&amp;$I409&amp;"|"&amp;$J409&amp;"|"&amp;10,Assessments!$A$2:$A$600,0)),"")</f>
        <v/>
      </c>
      <c r="CE409" s="28" t="str">
        <f aca="false">IFERROR(INDEX(Assessments!$H$2:$H$600,MATCH($H409&amp;"|"&amp;$I409&amp;"|"&amp;$J409&amp;"|"&amp;11,Assessments!$A$2:$A$600,0)),"")</f>
        <v/>
      </c>
      <c r="CF409" s="28" t="str">
        <f aca="false">IFERROR(INDEX(Assessments!$H$2:$H$600,MATCH($H409&amp;"|"&amp;$I409&amp;"|"&amp;$J409&amp;"|"&amp;12,Assessments!$A$2:$A$600,0)),"")</f>
        <v/>
      </c>
      <c r="CG409" s="28" t="str">
        <f aca="false">IFERROR(INDEX(Assessments!$H$2:$H$600,MATCH($H409&amp;"|"&amp;$I409&amp;"|"&amp;$J409&amp;"|"&amp;13,Assessments!$A$2:$A$600,0)),"")</f>
        <v/>
      </c>
      <c r="CH409" s="28" t="str">
        <f aca="false">IFERROR(INDEX(Assessments!$H$2:$H$600,MATCH($H409&amp;"|"&amp;$I409&amp;"|"&amp;$J409&amp;"|"&amp;14,Assessments!$A$2:$A$600,0)),"")</f>
        <v/>
      </c>
      <c r="CI409" s="28" t="str">
        <f aca="false">IFERROR(INDEX(Assessments!$I$2:$I$600,MATCH($H409&amp;"|"&amp;$I409&amp;"|"&amp;$J409&amp;"|"&amp;1,Assessments!$A$2:$A$600,0)),"")</f>
        <v/>
      </c>
      <c r="CJ409" s="28" t="str">
        <f aca="false">IFERROR(INDEX(Assessments!$I$2:$I$600,MATCH($H409&amp;"|"&amp;$I409&amp;"|"&amp;$J409&amp;"|"&amp;2,Assessments!$A$2:$A$600,0)),"")</f>
        <v/>
      </c>
      <c r="CK409" s="28" t="str">
        <f aca="false">IFERROR(INDEX(Assessments!$I$2:$I$600,MATCH($H409&amp;"|"&amp;$I409&amp;"|"&amp;$J409&amp;"|"&amp;3,Assessments!$A$2:$A$600,0)),"")</f>
        <v/>
      </c>
      <c r="CL409" s="28" t="str">
        <f aca="false">IFERROR(INDEX(Assessments!$I$2:$I$600,MATCH($H409&amp;"|"&amp;$I409&amp;"|"&amp;$J409&amp;"|"&amp;4,Assessments!$A$2:$A$600,0)),"")</f>
        <v/>
      </c>
      <c r="CM409" s="28" t="str">
        <f aca="false">IFERROR(INDEX(Assessments!$I$2:$I$600,MATCH($H409&amp;"|"&amp;$I409&amp;"|"&amp;$J409&amp;"|"&amp;5,Assessments!$A$2:$A$600,0)),"")</f>
        <v/>
      </c>
      <c r="CN409" s="28" t="str">
        <f aca="false">IFERROR(INDEX(Assessments!$I$2:$I$600,MATCH($H409&amp;"|"&amp;$I409&amp;"|"&amp;$J409&amp;"|"&amp;6,Assessments!$A$2:$A$600,0)),"")</f>
        <v/>
      </c>
      <c r="CO409" s="28" t="str">
        <f aca="false">IFERROR(INDEX(Assessments!$I$2:$I$600,MATCH($H409&amp;"|"&amp;$I409&amp;"|"&amp;$J409&amp;"|"&amp;7,Assessments!$A$2:$A$600,0)),"")</f>
        <v/>
      </c>
      <c r="CP409" s="28" t="str">
        <f aca="false">IFERROR(INDEX(Assessments!$I$2:$I$600,MATCH($H409&amp;"|"&amp;$I409&amp;"|"&amp;$J409&amp;"|"&amp;8,Assessments!$A$2:$A$600,0)),"")</f>
        <v/>
      </c>
      <c r="CQ409" s="28" t="str">
        <f aca="false">IFERROR(INDEX(Assessments!$I$2:$I$600,MATCH($H409&amp;"|"&amp;$I409&amp;"|"&amp;$J409&amp;"|"&amp;9,Assessments!$A$2:$A$600,0)),"")</f>
        <v/>
      </c>
      <c r="CR409" s="28" t="str">
        <f aca="false">IFERROR(INDEX(Assessments!$I$2:$I$600,MATCH($H409&amp;"|"&amp;$I409&amp;"|"&amp;$J409&amp;"|"&amp;10,Assessments!$A$2:$A$600,0)),"")</f>
        <v/>
      </c>
      <c r="CS409" s="28" t="str">
        <f aca="false">IFERROR(INDEX(Assessments!$I$2:$I$600,MATCH($H409&amp;"|"&amp;$I409&amp;"|"&amp;$J409&amp;"|"&amp;11,Assessments!$A$2:$A$600,0)),"")</f>
        <v/>
      </c>
      <c r="CT409" s="28" t="str">
        <f aca="false">IFERROR(INDEX(Assessments!$I$2:$I$600,MATCH($H409&amp;"|"&amp;$I409&amp;"|"&amp;$J409&amp;"|"&amp;12,Assessments!$A$2:$A$600,0)),"")</f>
        <v/>
      </c>
      <c r="CU409" s="28" t="str">
        <f aca="false">IFERROR(INDEX(Assessments!$I$2:$I$600,MATCH($H409&amp;"|"&amp;$I409&amp;"|"&amp;$J409&amp;"|"&amp;13,Assessments!$A$2:$A$600,0)),"")</f>
        <v/>
      </c>
      <c r="CV409" s="28" t="str">
        <f aca="false">IFERROR(INDEX(Assessments!$I$2:$I$600,MATCH($H409&amp;"|"&amp;$I409&amp;"|"&amp;$J409&amp;"|"&amp;14,Assessments!$A$2:$A$600,0)),"")</f>
        <v/>
      </c>
      <c r="CW409" s="28" t="n">
        <f aca="false">IFERROR(INDEX(Assessments!$J$2:$J$600,MATCH($H409&amp;"|"&amp;$I409&amp;"|"&amp;$J409&amp;"|"&amp;1,Assessments!$A$2:$A$600,0)),0)</f>
        <v>0</v>
      </c>
      <c r="CX409" s="28" t="n">
        <f aca="false">IFERROR(INDEX(Assessments!$J$2:$J$600,MATCH($H409&amp;"|"&amp;$I409&amp;"|"&amp;$J409&amp;"|"&amp;2,Assessments!$A$2:$A$600,0)),0)</f>
        <v>0</v>
      </c>
      <c r="CY409" s="28" t="n">
        <f aca="false">IFERROR(INDEX(Assessments!$J$2:$J$600,MATCH($H409&amp;"|"&amp;$I409&amp;"|"&amp;$J409&amp;"|"&amp;3,Assessments!$A$2:$A$600,0)),0)</f>
        <v>0</v>
      </c>
      <c r="CZ409" s="28" t="n">
        <f aca="false">IFERROR(INDEX(Assessments!$J$2:$J$600,MATCH($H409&amp;"|"&amp;$I409&amp;"|"&amp;$J409&amp;"|"&amp;4,Assessments!$A$2:$A$600,0)),0)</f>
        <v>0</v>
      </c>
      <c r="DA409" s="28" t="n">
        <f aca="false">IFERROR(INDEX(Assessments!$J$2:$J$600,MATCH($H409&amp;"|"&amp;$I409&amp;"|"&amp;$J409&amp;"|"&amp;5,Assessments!$A$2:$A$600,0)),0)</f>
        <v>0</v>
      </c>
      <c r="DB409" s="28" t="n">
        <f aca="false">IFERROR(INDEX(Assessments!$J$2:$J$600,MATCH($H409&amp;"|"&amp;$I409&amp;"|"&amp;$J409&amp;"|"&amp;6,Assessments!$A$2:$A$600,0)),0)</f>
        <v>0</v>
      </c>
      <c r="DC409" s="28" t="n">
        <f aca="false">IFERROR(INDEX(Assessments!$J$2:$J$600,MATCH($H409&amp;"|"&amp;$I409&amp;"|"&amp;$J409&amp;"|"&amp;7,Assessments!$A$2:$A$600,0)),0)</f>
        <v>0</v>
      </c>
      <c r="DD409" s="28" t="n">
        <f aca="false">IFERROR(INDEX(Assessments!$J$2:$J$600,MATCH($H409&amp;"|"&amp;$I409&amp;"|"&amp;$J409&amp;"|"&amp;8,Assessments!$A$2:$A$600,0)),0)</f>
        <v>0</v>
      </c>
      <c r="DE409" s="28" t="n">
        <f aca="false">IFERROR(INDEX(Assessments!$J$2:$J$600,MATCH($H409&amp;"|"&amp;$I409&amp;"|"&amp;$J409&amp;"|"&amp;9,Assessments!$A$2:$A$600,0)),0)</f>
        <v>0</v>
      </c>
      <c r="DF409" s="28" t="n">
        <f aca="false">IFERROR(INDEX(Assessments!$J$2:$J$600,MATCH($H409&amp;"|"&amp;$I409&amp;"|"&amp;$J409&amp;"|"&amp;10,Assessments!$A$2:$A$600,0)),0)</f>
        <v>0</v>
      </c>
      <c r="DG409" s="28" t="n">
        <f aca="false">IFERROR(INDEX(Assessments!$J$2:$J$600,MATCH($H409&amp;"|"&amp;$I409&amp;"|"&amp;$J409&amp;"|"&amp;11,Assessments!$A$2:$A$600,0)),0)</f>
        <v>0</v>
      </c>
      <c r="DH409" s="28" t="n">
        <f aca="false">IFERROR(INDEX(Assessments!$J$2:$J$600,MATCH($H409&amp;"|"&amp;$I409&amp;"|"&amp;$J409&amp;"|"&amp;12,Assessments!$A$2:$A$600,0)),0)</f>
        <v>0</v>
      </c>
      <c r="DI409" s="28" t="n">
        <f aca="false">IFERROR(INDEX(Assessments!$J$2:$J$600,MATCH($H409&amp;"|"&amp;$I409&amp;"|"&amp;$J409&amp;"|"&amp;13,Assessments!$A$2:$A$600,0)),0)</f>
        <v>0</v>
      </c>
      <c r="DJ409" s="28" t="n">
        <f aca="false">IFERROR(INDEX(Assessments!$J$2:$J$600,MATCH($H409&amp;"|"&amp;$I409&amp;"|"&amp;$J409&amp;"|"&amp;14,Assessments!$A$2:$A$600,0)),0)</f>
        <v>0</v>
      </c>
      <c r="DK409" s="28" t="str">
        <f aca="false">S409</f>
        <v/>
      </c>
      <c r="DL409" s="28" t="str">
        <f aca="false">W409</f>
        <v/>
      </c>
      <c r="DM409" s="28" t="str">
        <f aca="false">AA409</f>
        <v/>
      </c>
      <c r="DN409" s="28" t="str">
        <f aca="false">AE409</f>
        <v/>
      </c>
      <c r="DO409" s="28" t="str">
        <f aca="false">AI409</f>
        <v/>
      </c>
      <c r="DP409" s="28" t="str">
        <f aca="false">AM409</f>
        <v/>
      </c>
      <c r="DQ409" s="28" t="str">
        <f aca="false">AQ409</f>
        <v/>
      </c>
      <c r="DR409" s="28" t="str">
        <f aca="false">AU409</f>
        <v/>
      </c>
      <c r="DS409" s="28" t="str">
        <f aca="false">AY409</f>
        <v/>
      </c>
      <c r="DT409" s="28" t="str">
        <f aca="false">BC409</f>
        <v/>
      </c>
      <c r="DU409" s="28" t="str">
        <f aca="false">BG409</f>
        <v/>
      </c>
      <c r="DV409" s="28" t="str">
        <f aca="false">BK409</f>
        <v/>
      </c>
      <c r="DW409" s="28" t="str">
        <f aca="false">BO409</f>
        <v/>
      </c>
      <c r="DX409" s="28" t="str">
        <f aca="false">BS409</f>
        <v/>
      </c>
      <c r="DY409" s="28" t="str">
        <f aca="false">IF(ISNUMBER(S409),1,"")</f>
        <v/>
      </c>
      <c r="DZ409" s="28" t="str">
        <f aca="false">IF(ISNUMBER(W409),2,"")</f>
        <v/>
      </c>
      <c r="EA409" s="28" t="str">
        <f aca="false">IF(ISNUMBER(AA409),3,"")</f>
        <v/>
      </c>
      <c r="EB409" s="28" t="str">
        <f aca="false">IF(ISNUMBER(AE409),4,"")</f>
        <v/>
      </c>
      <c r="EC409" s="28" t="str">
        <f aca="false">IF(ISNUMBER(AI409),5,"")</f>
        <v/>
      </c>
      <c r="ED409" s="28" t="str">
        <f aca="false">IF(ISNUMBER(AM409),6,"")</f>
        <v/>
      </c>
      <c r="EE409" s="28" t="str">
        <f aca="false">IF(ISNUMBER(AQ409),7,"")</f>
        <v/>
      </c>
      <c r="EF409" s="28" t="str">
        <f aca="false">IF(ISNUMBER(AU409),8,"")</f>
        <v/>
      </c>
      <c r="EG409" s="28" t="str">
        <f aca="false">IF(ISNUMBER(AY409),9,"")</f>
        <v/>
      </c>
      <c r="EH409" s="28" t="str">
        <f aca="false">IF(ISNUMBER(BC409),10,"")</f>
        <v/>
      </c>
      <c r="EI409" s="28" t="str">
        <f aca="false">IF(ISNUMBER(BG409),11,"")</f>
        <v/>
      </c>
      <c r="EJ409" s="28" t="str">
        <f aca="false">IF(ISNUMBER(BK409),12,"")</f>
        <v/>
      </c>
      <c r="EK409" s="28" t="str">
        <f aca="false">IF(ISNUMBER(BO409),13,"")</f>
        <v/>
      </c>
      <c r="EL409" s="28" t="str">
        <f aca="false">IF(ISNUMBER(BS409),14,"")</f>
        <v/>
      </c>
      <c r="EM409" s="28" t="n">
        <f aca="false">IF(ISNUMBER(R409),R409*CW409,0)</f>
        <v>0</v>
      </c>
      <c r="EN409" s="28" t="n">
        <f aca="false">IF(ISNUMBER(V409),V409*CX409,0)</f>
        <v>0</v>
      </c>
      <c r="EO409" s="28" t="n">
        <f aca="false">IF(ISNUMBER(Z409),Z409*CY409,0)</f>
        <v>0</v>
      </c>
      <c r="EP409" s="28" t="n">
        <f aca="false">IF(ISNUMBER(AD409),AD409*CZ409,0)</f>
        <v>0</v>
      </c>
      <c r="EQ409" s="28" t="n">
        <f aca="false">IF(ISNUMBER(AH409),AH409*DA409,0)</f>
        <v>0</v>
      </c>
      <c r="ER409" s="28" t="n">
        <f aca="false">IF(ISNUMBER(AL409),AL409*DB409,0)</f>
        <v>0</v>
      </c>
      <c r="ES409" s="28" t="n">
        <f aca="false">IF(ISNUMBER(AP409),AP409*DC409,0)</f>
        <v>0</v>
      </c>
      <c r="ET409" s="28" t="n">
        <f aca="false">IF(ISNUMBER(AT409),AT409*DD409,0)</f>
        <v>0</v>
      </c>
      <c r="EU409" s="28" t="n">
        <f aca="false">IF(ISNUMBER(AX409),AX409*DE409,0)</f>
        <v>0</v>
      </c>
      <c r="EV409" s="28" t="n">
        <f aca="false">IF(ISNUMBER(BB409),BB409*DF409,0)</f>
        <v>0</v>
      </c>
      <c r="EW409" s="28" t="n">
        <f aca="false">IF(ISNUMBER(BF409),BF409*DG409,0)</f>
        <v>0</v>
      </c>
      <c r="EX409" s="28" t="n">
        <f aca="false">IF(ISNUMBER(BJ409),BJ409*DH409,0)</f>
        <v>0</v>
      </c>
      <c r="EY409" s="28" t="n">
        <f aca="false">IF(ISNUMBER(BN409),BN409*DI409,0)</f>
        <v>0</v>
      </c>
      <c r="EZ409" s="28" t="n">
        <f aca="false">IF(ISNUMBER(BR409),BR409*DJ409,0)</f>
        <v>0</v>
      </c>
      <c r="FA409" s="28" t="n">
        <f aca="false">IF(ISNUMBER(R409),CW409,0)</f>
        <v>0</v>
      </c>
      <c r="FB409" s="28" t="n">
        <f aca="false">IF(ISNUMBER(V409),CX409,0)</f>
        <v>0</v>
      </c>
      <c r="FC409" s="28" t="n">
        <f aca="false">IF(ISNUMBER(Z409),CY409,0)</f>
        <v>0</v>
      </c>
      <c r="FD409" s="28" t="n">
        <f aca="false">IF(ISNUMBER(AD409),CZ409,0)</f>
        <v>0</v>
      </c>
      <c r="FE409" s="28" t="n">
        <f aca="false">IF(ISNUMBER(AH409),DA409,0)</f>
        <v>0</v>
      </c>
      <c r="FF409" s="28" t="n">
        <f aca="false">IF(ISNUMBER(AL409),DB409,0)</f>
        <v>0</v>
      </c>
      <c r="FG409" s="28" t="n">
        <f aca="false">IF(ISNUMBER(AP409),DC409,0)</f>
        <v>0</v>
      </c>
      <c r="FH409" s="28" t="n">
        <f aca="false">IF(ISNUMBER(AT409),DD409,0)</f>
        <v>0</v>
      </c>
      <c r="FI409" s="28" t="n">
        <f aca="false">IF(ISNUMBER(AX409),DE409,0)</f>
        <v>0</v>
      </c>
      <c r="FJ409" s="28" t="n">
        <f aca="false">IF(ISNUMBER(BB409),DF409,0)</f>
        <v>0</v>
      </c>
      <c r="FK409" s="28" t="n">
        <f aca="false">IF(ISNUMBER(BF409),DG409,0)</f>
        <v>0</v>
      </c>
      <c r="FL409" s="28" t="n">
        <f aca="false">IF(ISNUMBER(BJ409),DH409,0)</f>
        <v>0</v>
      </c>
      <c r="FM409" s="28" t="n">
        <f aca="false">IF(ISNUMBER(BN409),DI409,0)</f>
        <v>0</v>
      </c>
      <c r="FN409" s="28" t="n">
        <f aca="false">IF(ISNUMBER(BR409),DJ409,0)</f>
        <v>0</v>
      </c>
      <c r="FO409" s="28" t="str">
        <f aca="false">IFERROR(INDEX(Lists!$G$2:$G$20,MATCH($I409&amp;"|"&amp;$J409,Lists!$F$2:$F$20,0)),"")</f>
        <v/>
      </c>
    </row>
    <row r="410" customFormat="false" ht="19.5" hidden="false" customHeight="true" outlineLevel="0" collapsed="false">
      <c r="A410" s="29"/>
      <c r="B410" s="29"/>
      <c r="C410" s="30"/>
      <c r="D410" s="30"/>
      <c r="E410" s="31"/>
      <c r="F410" s="30"/>
      <c r="G410" s="30"/>
      <c r="H410" s="32"/>
      <c r="I410" s="33"/>
      <c r="J410" s="32"/>
      <c r="K410" s="34" t="str">
        <f aca="false">IF(OR(M410="",$E410=""),"",M410-$E410)</f>
        <v/>
      </c>
      <c r="L410" s="35" t="str">
        <f aca="false">IF(SUM(FA410:FN410)=0,"",SUM(EM410:EZ410)/SUM(FA410:FN410))</f>
        <v/>
      </c>
      <c r="M410" s="36" t="str">
        <f aca="false">IF(OR(L410="",FO410=""),"",IFERROR(MATCH(L410,INDEX(Boundaries!$B$2:$I$30,MATCH(FO410,Boundaries!$A$2:$A$30,0),0),1)-1,""))</f>
        <v/>
      </c>
      <c r="N410" s="37" t="str">
        <f aca="false">IF(COUNT($DY410:$EL410)&lt;2,"",INDEX($DK410:$DX410,MAX($DY410:$EL410))-INDEX($DK410:$DX410,MIN($DY410:$EL410)))</f>
        <v/>
      </c>
      <c r="O410" s="37" t="str">
        <f aca="false">IF(COUNT($DY410:$EL410)&lt;2,"",INDEX($DK410:$DX410,MAX($DY410:$EL410))-INDEX($DK410:$DX410,LARGE($DY410:$EL410,2)))</f>
        <v/>
      </c>
      <c r="P410" s="38" t="str">
        <f aca="false">IF(K410="","",IF(K410&gt;=0,"On/above target",IF(AND(N410&lt;&gt;"",N410&gt;=0.5),"Improving towards target",IF(AND(O410&lt;&gt;"",O410&lt;=-0.5),"Declining","Stable below target"))))</f>
        <v/>
      </c>
      <c r="Q410" s="39"/>
      <c r="R410" s="40" t="str">
        <f aca="false">IF(OR(Q410="",BU410=""),"",Q410/BU410*100)</f>
        <v/>
      </c>
      <c r="S410" s="41" t="str">
        <f aca="false">IF(R410="","",IFERROR(MATCH(R410,INDEX(Boundaries!$B$2:$I$30,MATCH(CI410,Boundaries!$A$2:$A$30,0),0),1)-1,""))</f>
        <v/>
      </c>
      <c r="T410" s="42" t="str">
        <f aca="false">IF(OR(S410="",$E410=""),"",S410-$E410)</f>
        <v/>
      </c>
      <c r="U410" s="39"/>
      <c r="V410" s="40" t="str">
        <f aca="false">IF(OR(U410="",BV410=""),"",U410/BV410*100)</f>
        <v/>
      </c>
      <c r="W410" s="41" t="str">
        <f aca="false">IF(V410="","",IFERROR(MATCH(V410,INDEX(Boundaries!$B$2:$I$30,MATCH(CJ410,Boundaries!$A$2:$A$30,0),0),1)-1,""))</f>
        <v/>
      </c>
      <c r="X410" s="42" t="str">
        <f aca="false">IF(OR(W410="",$E410=""),"",W410-$E410)</f>
        <v/>
      </c>
      <c r="Y410" s="39"/>
      <c r="Z410" s="40" t="str">
        <f aca="false">IF(OR(Y410="",BW410=""),"",Y410/BW410*100)</f>
        <v/>
      </c>
      <c r="AA410" s="41" t="str">
        <f aca="false">IF(Z410="","",IFERROR(MATCH(Z410,INDEX(Boundaries!$B$2:$I$30,MATCH(CK410,Boundaries!$A$2:$A$30,0),0),1)-1,""))</f>
        <v/>
      </c>
      <c r="AB410" s="42" t="str">
        <f aca="false">IF(OR(AA410="",$E410=""),"",AA410-$E410)</f>
        <v/>
      </c>
      <c r="AC410" s="39"/>
      <c r="AD410" s="40" t="str">
        <f aca="false">IF(OR(AC410="",BX410=""),"",AC410/BX410*100)</f>
        <v/>
      </c>
      <c r="AE410" s="41" t="str">
        <f aca="false">IF(AD410="","",IFERROR(MATCH(AD410,INDEX(Boundaries!$B$2:$I$30,MATCH(CL410,Boundaries!$A$2:$A$30,0),0),1)-1,""))</f>
        <v/>
      </c>
      <c r="AF410" s="42" t="str">
        <f aca="false">IF(OR(AE410="",$E410=""),"",AE410-$E410)</f>
        <v/>
      </c>
      <c r="AG410" s="39"/>
      <c r="AH410" s="40" t="str">
        <f aca="false">IF(OR(AG410="",BY410=""),"",AG410/BY410*100)</f>
        <v/>
      </c>
      <c r="AI410" s="41" t="str">
        <f aca="false">IF(AH410="","",IFERROR(MATCH(AH410,INDEX(Boundaries!$B$2:$I$30,MATCH(CM410,Boundaries!$A$2:$A$30,0),0),1)-1,""))</f>
        <v/>
      </c>
      <c r="AJ410" s="42" t="str">
        <f aca="false">IF(OR(AI410="",$E410=""),"",AI410-$E410)</f>
        <v/>
      </c>
      <c r="AK410" s="39"/>
      <c r="AL410" s="40" t="str">
        <f aca="false">IF(OR(AK410="",BZ410=""),"",AK410/BZ410*100)</f>
        <v/>
      </c>
      <c r="AM410" s="41" t="str">
        <f aca="false">IF(AL410="","",IFERROR(MATCH(AL410,INDEX(Boundaries!$B$2:$I$30,MATCH(CN410,Boundaries!$A$2:$A$30,0),0),1)-1,""))</f>
        <v/>
      </c>
      <c r="AN410" s="42" t="str">
        <f aca="false">IF(OR(AM410="",$E410=""),"",AM410-$E410)</f>
        <v/>
      </c>
      <c r="AO410" s="39"/>
      <c r="AP410" s="40" t="str">
        <f aca="false">IF(OR(AO410="",CA410=""),"",AO410/CA410*100)</f>
        <v/>
      </c>
      <c r="AQ410" s="41" t="str">
        <f aca="false">IF(AP410="","",IFERROR(MATCH(AP410,INDEX(Boundaries!$B$2:$I$30,MATCH(CO410,Boundaries!$A$2:$A$30,0),0),1)-1,""))</f>
        <v/>
      </c>
      <c r="AR410" s="42" t="str">
        <f aca="false">IF(OR(AQ410="",$E410=""),"",AQ410-$E410)</f>
        <v/>
      </c>
      <c r="AS410" s="39"/>
      <c r="AT410" s="40" t="str">
        <f aca="false">IF(OR(AS410="",CB410=""),"",AS410/CB410*100)</f>
        <v/>
      </c>
      <c r="AU410" s="41" t="str">
        <f aca="false">IF(AT410="","",IFERROR(MATCH(AT410,INDEX(Boundaries!$B$2:$I$30,MATCH(CP410,Boundaries!$A$2:$A$30,0),0),1)-1,""))</f>
        <v/>
      </c>
      <c r="AV410" s="42" t="str">
        <f aca="false">IF(OR(AU410="",$E410=""),"",AU410-$E410)</f>
        <v/>
      </c>
      <c r="AW410" s="39"/>
      <c r="AX410" s="40" t="str">
        <f aca="false">IF(OR(AW410="",CC410=""),"",AW410/CC410*100)</f>
        <v/>
      </c>
      <c r="AY410" s="41" t="str">
        <f aca="false">IF(AX410="","",IFERROR(MATCH(AX410,INDEX(Boundaries!$B$2:$I$30,MATCH(CQ410,Boundaries!$A$2:$A$30,0),0),1)-1,""))</f>
        <v/>
      </c>
      <c r="AZ410" s="42" t="str">
        <f aca="false">IF(OR(AY410="",$E410=""),"",AY410-$E410)</f>
        <v/>
      </c>
      <c r="BA410" s="39"/>
      <c r="BB410" s="40" t="str">
        <f aca="false">IF(OR(BA410="",CD410=""),"",BA410/CD410*100)</f>
        <v/>
      </c>
      <c r="BC410" s="41" t="str">
        <f aca="false">IF(BB410="","",IFERROR(MATCH(BB410,INDEX(Boundaries!$B$2:$I$30,MATCH(CR410,Boundaries!$A$2:$A$30,0),0),1)-1,""))</f>
        <v/>
      </c>
      <c r="BD410" s="42" t="str">
        <f aca="false">IF(OR(BC410="",$E410=""),"",BC410-$E410)</f>
        <v/>
      </c>
      <c r="BE410" s="39"/>
      <c r="BF410" s="40" t="str">
        <f aca="false">IF(OR(BE410="",CE410=""),"",BE410/CE410*100)</f>
        <v/>
      </c>
      <c r="BG410" s="41" t="str">
        <f aca="false">IF(BF410="","",IFERROR(MATCH(BF410,INDEX(Boundaries!$B$2:$I$30,MATCH(CS410,Boundaries!$A$2:$A$30,0),0),1)-1,""))</f>
        <v/>
      </c>
      <c r="BH410" s="42" t="str">
        <f aca="false">IF(OR(BG410="",$E410=""),"",BG410-$E410)</f>
        <v/>
      </c>
      <c r="BI410" s="39"/>
      <c r="BJ410" s="40" t="str">
        <f aca="false">IF(OR(BI410="",CF410=""),"",BI410/CF410*100)</f>
        <v/>
      </c>
      <c r="BK410" s="41" t="str">
        <f aca="false">IF(BJ410="","",IFERROR(MATCH(BJ410,INDEX(Boundaries!$B$2:$I$30,MATCH(CT410,Boundaries!$A$2:$A$30,0),0),1)-1,""))</f>
        <v/>
      </c>
      <c r="BL410" s="42" t="str">
        <f aca="false">IF(OR(BK410="",$E410=""),"",BK410-$E410)</f>
        <v/>
      </c>
      <c r="BM410" s="39"/>
      <c r="BN410" s="40" t="str">
        <f aca="false">IF(OR(BM410="",CG410=""),"",BM410/CG410*100)</f>
        <v/>
      </c>
      <c r="BO410" s="41" t="str">
        <f aca="false">IF(BN410="","",IFERROR(MATCH(BN410,INDEX(Boundaries!$B$2:$I$30,MATCH(CU410,Boundaries!$A$2:$A$30,0),0),1)-1,""))</f>
        <v/>
      </c>
      <c r="BP410" s="42" t="str">
        <f aca="false">IF(OR(BO410="",$E410=""),"",BO410-$E410)</f>
        <v/>
      </c>
      <c r="BQ410" s="39"/>
      <c r="BR410" s="40" t="str">
        <f aca="false">IF(OR(BQ410="",CH410=""),"",BQ410/CH410*100)</f>
        <v/>
      </c>
      <c r="BS410" s="41" t="str">
        <f aca="false">IF(BR410="","",IFERROR(MATCH(BR410,INDEX(Boundaries!$B$2:$I$30,MATCH(CV410,Boundaries!$A$2:$A$30,0),0),1)-1,""))</f>
        <v/>
      </c>
      <c r="BT410" s="42" t="str">
        <f aca="false">IF(OR(BS410="",$E410=""),"",BS410-$E410)</f>
        <v/>
      </c>
      <c r="BU410" s="28" t="str">
        <f aca="false">IFERROR(INDEX(Assessments!$H$2:$H$600,MATCH($H410&amp;"|"&amp;$I410&amp;"|"&amp;$J410&amp;"|"&amp;1,Assessments!$A$2:$A$600,0)),"")</f>
        <v/>
      </c>
      <c r="BV410" s="28" t="str">
        <f aca="false">IFERROR(INDEX(Assessments!$H$2:$H$600,MATCH($H410&amp;"|"&amp;$I410&amp;"|"&amp;$J410&amp;"|"&amp;2,Assessments!$A$2:$A$600,0)),"")</f>
        <v/>
      </c>
      <c r="BW410" s="28" t="str">
        <f aca="false">IFERROR(INDEX(Assessments!$H$2:$H$600,MATCH($H410&amp;"|"&amp;$I410&amp;"|"&amp;$J410&amp;"|"&amp;3,Assessments!$A$2:$A$600,0)),"")</f>
        <v/>
      </c>
      <c r="BX410" s="28" t="str">
        <f aca="false">IFERROR(INDEX(Assessments!$H$2:$H$600,MATCH($H410&amp;"|"&amp;$I410&amp;"|"&amp;$J410&amp;"|"&amp;4,Assessments!$A$2:$A$600,0)),"")</f>
        <v/>
      </c>
      <c r="BY410" s="28" t="str">
        <f aca="false">IFERROR(INDEX(Assessments!$H$2:$H$600,MATCH($H410&amp;"|"&amp;$I410&amp;"|"&amp;$J410&amp;"|"&amp;5,Assessments!$A$2:$A$600,0)),"")</f>
        <v/>
      </c>
      <c r="BZ410" s="28" t="str">
        <f aca="false">IFERROR(INDEX(Assessments!$H$2:$H$600,MATCH($H410&amp;"|"&amp;$I410&amp;"|"&amp;$J410&amp;"|"&amp;6,Assessments!$A$2:$A$600,0)),"")</f>
        <v/>
      </c>
      <c r="CA410" s="28" t="str">
        <f aca="false">IFERROR(INDEX(Assessments!$H$2:$H$600,MATCH($H410&amp;"|"&amp;$I410&amp;"|"&amp;$J410&amp;"|"&amp;7,Assessments!$A$2:$A$600,0)),"")</f>
        <v/>
      </c>
      <c r="CB410" s="28" t="str">
        <f aca="false">IFERROR(INDEX(Assessments!$H$2:$H$600,MATCH($H410&amp;"|"&amp;$I410&amp;"|"&amp;$J410&amp;"|"&amp;8,Assessments!$A$2:$A$600,0)),"")</f>
        <v/>
      </c>
      <c r="CC410" s="28" t="str">
        <f aca="false">IFERROR(INDEX(Assessments!$H$2:$H$600,MATCH($H410&amp;"|"&amp;$I410&amp;"|"&amp;$J410&amp;"|"&amp;9,Assessments!$A$2:$A$600,0)),"")</f>
        <v/>
      </c>
      <c r="CD410" s="28" t="str">
        <f aca="false">IFERROR(INDEX(Assessments!$H$2:$H$600,MATCH($H410&amp;"|"&amp;$I410&amp;"|"&amp;$J410&amp;"|"&amp;10,Assessments!$A$2:$A$600,0)),"")</f>
        <v/>
      </c>
      <c r="CE410" s="28" t="str">
        <f aca="false">IFERROR(INDEX(Assessments!$H$2:$H$600,MATCH($H410&amp;"|"&amp;$I410&amp;"|"&amp;$J410&amp;"|"&amp;11,Assessments!$A$2:$A$600,0)),"")</f>
        <v/>
      </c>
      <c r="CF410" s="28" t="str">
        <f aca="false">IFERROR(INDEX(Assessments!$H$2:$H$600,MATCH($H410&amp;"|"&amp;$I410&amp;"|"&amp;$J410&amp;"|"&amp;12,Assessments!$A$2:$A$600,0)),"")</f>
        <v/>
      </c>
      <c r="CG410" s="28" t="str">
        <f aca="false">IFERROR(INDEX(Assessments!$H$2:$H$600,MATCH($H410&amp;"|"&amp;$I410&amp;"|"&amp;$J410&amp;"|"&amp;13,Assessments!$A$2:$A$600,0)),"")</f>
        <v/>
      </c>
      <c r="CH410" s="28" t="str">
        <f aca="false">IFERROR(INDEX(Assessments!$H$2:$H$600,MATCH($H410&amp;"|"&amp;$I410&amp;"|"&amp;$J410&amp;"|"&amp;14,Assessments!$A$2:$A$600,0)),"")</f>
        <v/>
      </c>
      <c r="CI410" s="28" t="str">
        <f aca="false">IFERROR(INDEX(Assessments!$I$2:$I$600,MATCH($H410&amp;"|"&amp;$I410&amp;"|"&amp;$J410&amp;"|"&amp;1,Assessments!$A$2:$A$600,0)),"")</f>
        <v/>
      </c>
      <c r="CJ410" s="28" t="str">
        <f aca="false">IFERROR(INDEX(Assessments!$I$2:$I$600,MATCH($H410&amp;"|"&amp;$I410&amp;"|"&amp;$J410&amp;"|"&amp;2,Assessments!$A$2:$A$600,0)),"")</f>
        <v/>
      </c>
      <c r="CK410" s="28" t="str">
        <f aca="false">IFERROR(INDEX(Assessments!$I$2:$I$600,MATCH($H410&amp;"|"&amp;$I410&amp;"|"&amp;$J410&amp;"|"&amp;3,Assessments!$A$2:$A$600,0)),"")</f>
        <v/>
      </c>
      <c r="CL410" s="28" t="str">
        <f aca="false">IFERROR(INDEX(Assessments!$I$2:$I$600,MATCH($H410&amp;"|"&amp;$I410&amp;"|"&amp;$J410&amp;"|"&amp;4,Assessments!$A$2:$A$600,0)),"")</f>
        <v/>
      </c>
      <c r="CM410" s="28" t="str">
        <f aca="false">IFERROR(INDEX(Assessments!$I$2:$I$600,MATCH($H410&amp;"|"&amp;$I410&amp;"|"&amp;$J410&amp;"|"&amp;5,Assessments!$A$2:$A$600,0)),"")</f>
        <v/>
      </c>
      <c r="CN410" s="28" t="str">
        <f aca="false">IFERROR(INDEX(Assessments!$I$2:$I$600,MATCH($H410&amp;"|"&amp;$I410&amp;"|"&amp;$J410&amp;"|"&amp;6,Assessments!$A$2:$A$600,0)),"")</f>
        <v/>
      </c>
      <c r="CO410" s="28" t="str">
        <f aca="false">IFERROR(INDEX(Assessments!$I$2:$I$600,MATCH($H410&amp;"|"&amp;$I410&amp;"|"&amp;$J410&amp;"|"&amp;7,Assessments!$A$2:$A$600,0)),"")</f>
        <v/>
      </c>
      <c r="CP410" s="28" t="str">
        <f aca="false">IFERROR(INDEX(Assessments!$I$2:$I$600,MATCH($H410&amp;"|"&amp;$I410&amp;"|"&amp;$J410&amp;"|"&amp;8,Assessments!$A$2:$A$600,0)),"")</f>
        <v/>
      </c>
      <c r="CQ410" s="28" t="str">
        <f aca="false">IFERROR(INDEX(Assessments!$I$2:$I$600,MATCH($H410&amp;"|"&amp;$I410&amp;"|"&amp;$J410&amp;"|"&amp;9,Assessments!$A$2:$A$600,0)),"")</f>
        <v/>
      </c>
      <c r="CR410" s="28" t="str">
        <f aca="false">IFERROR(INDEX(Assessments!$I$2:$I$600,MATCH($H410&amp;"|"&amp;$I410&amp;"|"&amp;$J410&amp;"|"&amp;10,Assessments!$A$2:$A$600,0)),"")</f>
        <v/>
      </c>
      <c r="CS410" s="28" t="str">
        <f aca="false">IFERROR(INDEX(Assessments!$I$2:$I$600,MATCH($H410&amp;"|"&amp;$I410&amp;"|"&amp;$J410&amp;"|"&amp;11,Assessments!$A$2:$A$600,0)),"")</f>
        <v/>
      </c>
      <c r="CT410" s="28" t="str">
        <f aca="false">IFERROR(INDEX(Assessments!$I$2:$I$600,MATCH($H410&amp;"|"&amp;$I410&amp;"|"&amp;$J410&amp;"|"&amp;12,Assessments!$A$2:$A$600,0)),"")</f>
        <v/>
      </c>
      <c r="CU410" s="28" t="str">
        <f aca="false">IFERROR(INDEX(Assessments!$I$2:$I$600,MATCH($H410&amp;"|"&amp;$I410&amp;"|"&amp;$J410&amp;"|"&amp;13,Assessments!$A$2:$A$600,0)),"")</f>
        <v/>
      </c>
      <c r="CV410" s="28" t="str">
        <f aca="false">IFERROR(INDEX(Assessments!$I$2:$I$600,MATCH($H410&amp;"|"&amp;$I410&amp;"|"&amp;$J410&amp;"|"&amp;14,Assessments!$A$2:$A$600,0)),"")</f>
        <v/>
      </c>
      <c r="CW410" s="28" t="n">
        <f aca="false">IFERROR(INDEX(Assessments!$J$2:$J$600,MATCH($H410&amp;"|"&amp;$I410&amp;"|"&amp;$J410&amp;"|"&amp;1,Assessments!$A$2:$A$600,0)),0)</f>
        <v>0</v>
      </c>
      <c r="CX410" s="28" t="n">
        <f aca="false">IFERROR(INDEX(Assessments!$J$2:$J$600,MATCH($H410&amp;"|"&amp;$I410&amp;"|"&amp;$J410&amp;"|"&amp;2,Assessments!$A$2:$A$600,0)),0)</f>
        <v>0</v>
      </c>
      <c r="CY410" s="28" t="n">
        <f aca="false">IFERROR(INDEX(Assessments!$J$2:$J$600,MATCH($H410&amp;"|"&amp;$I410&amp;"|"&amp;$J410&amp;"|"&amp;3,Assessments!$A$2:$A$600,0)),0)</f>
        <v>0</v>
      </c>
      <c r="CZ410" s="28" t="n">
        <f aca="false">IFERROR(INDEX(Assessments!$J$2:$J$600,MATCH($H410&amp;"|"&amp;$I410&amp;"|"&amp;$J410&amp;"|"&amp;4,Assessments!$A$2:$A$600,0)),0)</f>
        <v>0</v>
      </c>
      <c r="DA410" s="28" t="n">
        <f aca="false">IFERROR(INDEX(Assessments!$J$2:$J$600,MATCH($H410&amp;"|"&amp;$I410&amp;"|"&amp;$J410&amp;"|"&amp;5,Assessments!$A$2:$A$600,0)),0)</f>
        <v>0</v>
      </c>
      <c r="DB410" s="28" t="n">
        <f aca="false">IFERROR(INDEX(Assessments!$J$2:$J$600,MATCH($H410&amp;"|"&amp;$I410&amp;"|"&amp;$J410&amp;"|"&amp;6,Assessments!$A$2:$A$600,0)),0)</f>
        <v>0</v>
      </c>
      <c r="DC410" s="28" t="n">
        <f aca="false">IFERROR(INDEX(Assessments!$J$2:$J$600,MATCH($H410&amp;"|"&amp;$I410&amp;"|"&amp;$J410&amp;"|"&amp;7,Assessments!$A$2:$A$600,0)),0)</f>
        <v>0</v>
      </c>
      <c r="DD410" s="28" t="n">
        <f aca="false">IFERROR(INDEX(Assessments!$J$2:$J$600,MATCH($H410&amp;"|"&amp;$I410&amp;"|"&amp;$J410&amp;"|"&amp;8,Assessments!$A$2:$A$600,0)),0)</f>
        <v>0</v>
      </c>
      <c r="DE410" s="28" t="n">
        <f aca="false">IFERROR(INDEX(Assessments!$J$2:$J$600,MATCH($H410&amp;"|"&amp;$I410&amp;"|"&amp;$J410&amp;"|"&amp;9,Assessments!$A$2:$A$600,0)),0)</f>
        <v>0</v>
      </c>
      <c r="DF410" s="28" t="n">
        <f aca="false">IFERROR(INDEX(Assessments!$J$2:$J$600,MATCH($H410&amp;"|"&amp;$I410&amp;"|"&amp;$J410&amp;"|"&amp;10,Assessments!$A$2:$A$600,0)),0)</f>
        <v>0</v>
      </c>
      <c r="DG410" s="28" t="n">
        <f aca="false">IFERROR(INDEX(Assessments!$J$2:$J$600,MATCH($H410&amp;"|"&amp;$I410&amp;"|"&amp;$J410&amp;"|"&amp;11,Assessments!$A$2:$A$600,0)),0)</f>
        <v>0</v>
      </c>
      <c r="DH410" s="28" t="n">
        <f aca="false">IFERROR(INDEX(Assessments!$J$2:$J$600,MATCH($H410&amp;"|"&amp;$I410&amp;"|"&amp;$J410&amp;"|"&amp;12,Assessments!$A$2:$A$600,0)),0)</f>
        <v>0</v>
      </c>
      <c r="DI410" s="28" t="n">
        <f aca="false">IFERROR(INDEX(Assessments!$J$2:$J$600,MATCH($H410&amp;"|"&amp;$I410&amp;"|"&amp;$J410&amp;"|"&amp;13,Assessments!$A$2:$A$600,0)),0)</f>
        <v>0</v>
      </c>
      <c r="DJ410" s="28" t="n">
        <f aca="false">IFERROR(INDEX(Assessments!$J$2:$J$600,MATCH($H410&amp;"|"&amp;$I410&amp;"|"&amp;$J410&amp;"|"&amp;14,Assessments!$A$2:$A$600,0)),0)</f>
        <v>0</v>
      </c>
      <c r="DK410" s="28" t="str">
        <f aca="false">S410</f>
        <v/>
      </c>
      <c r="DL410" s="28" t="str">
        <f aca="false">W410</f>
        <v/>
      </c>
      <c r="DM410" s="28" t="str">
        <f aca="false">AA410</f>
        <v/>
      </c>
      <c r="DN410" s="28" t="str">
        <f aca="false">AE410</f>
        <v/>
      </c>
      <c r="DO410" s="28" t="str">
        <f aca="false">AI410</f>
        <v/>
      </c>
      <c r="DP410" s="28" t="str">
        <f aca="false">AM410</f>
        <v/>
      </c>
      <c r="DQ410" s="28" t="str">
        <f aca="false">AQ410</f>
        <v/>
      </c>
      <c r="DR410" s="28" t="str">
        <f aca="false">AU410</f>
        <v/>
      </c>
      <c r="DS410" s="28" t="str">
        <f aca="false">AY410</f>
        <v/>
      </c>
      <c r="DT410" s="28" t="str">
        <f aca="false">BC410</f>
        <v/>
      </c>
      <c r="DU410" s="28" t="str">
        <f aca="false">BG410</f>
        <v/>
      </c>
      <c r="DV410" s="28" t="str">
        <f aca="false">BK410</f>
        <v/>
      </c>
      <c r="DW410" s="28" t="str">
        <f aca="false">BO410</f>
        <v/>
      </c>
      <c r="DX410" s="28" t="str">
        <f aca="false">BS410</f>
        <v/>
      </c>
      <c r="DY410" s="28" t="str">
        <f aca="false">IF(ISNUMBER(S410),1,"")</f>
        <v/>
      </c>
      <c r="DZ410" s="28" t="str">
        <f aca="false">IF(ISNUMBER(W410),2,"")</f>
        <v/>
      </c>
      <c r="EA410" s="28" t="str">
        <f aca="false">IF(ISNUMBER(AA410),3,"")</f>
        <v/>
      </c>
      <c r="EB410" s="28" t="str">
        <f aca="false">IF(ISNUMBER(AE410),4,"")</f>
        <v/>
      </c>
      <c r="EC410" s="28" t="str">
        <f aca="false">IF(ISNUMBER(AI410),5,"")</f>
        <v/>
      </c>
      <c r="ED410" s="28" t="str">
        <f aca="false">IF(ISNUMBER(AM410),6,"")</f>
        <v/>
      </c>
      <c r="EE410" s="28" t="str">
        <f aca="false">IF(ISNUMBER(AQ410),7,"")</f>
        <v/>
      </c>
      <c r="EF410" s="28" t="str">
        <f aca="false">IF(ISNUMBER(AU410),8,"")</f>
        <v/>
      </c>
      <c r="EG410" s="28" t="str">
        <f aca="false">IF(ISNUMBER(AY410),9,"")</f>
        <v/>
      </c>
      <c r="EH410" s="28" t="str">
        <f aca="false">IF(ISNUMBER(BC410),10,"")</f>
        <v/>
      </c>
      <c r="EI410" s="28" t="str">
        <f aca="false">IF(ISNUMBER(BG410),11,"")</f>
        <v/>
      </c>
      <c r="EJ410" s="28" t="str">
        <f aca="false">IF(ISNUMBER(BK410),12,"")</f>
        <v/>
      </c>
      <c r="EK410" s="28" t="str">
        <f aca="false">IF(ISNUMBER(BO410),13,"")</f>
        <v/>
      </c>
      <c r="EL410" s="28" t="str">
        <f aca="false">IF(ISNUMBER(BS410),14,"")</f>
        <v/>
      </c>
      <c r="EM410" s="28" t="n">
        <f aca="false">IF(ISNUMBER(R410),R410*CW410,0)</f>
        <v>0</v>
      </c>
      <c r="EN410" s="28" t="n">
        <f aca="false">IF(ISNUMBER(V410),V410*CX410,0)</f>
        <v>0</v>
      </c>
      <c r="EO410" s="28" t="n">
        <f aca="false">IF(ISNUMBER(Z410),Z410*CY410,0)</f>
        <v>0</v>
      </c>
      <c r="EP410" s="28" t="n">
        <f aca="false">IF(ISNUMBER(AD410),AD410*CZ410,0)</f>
        <v>0</v>
      </c>
      <c r="EQ410" s="28" t="n">
        <f aca="false">IF(ISNUMBER(AH410),AH410*DA410,0)</f>
        <v>0</v>
      </c>
      <c r="ER410" s="28" t="n">
        <f aca="false">IF(ISNUMBER(AL410),AL410*DB410,0)</f>
        <v>0</v>
      </c>
      <c r="ES410" s="28" t="n">
        <f aca="false">IF(ISNUMBER(AP410),AP410*DC410,0)</f>
        <v>0</v>
      </c>
      <c r="ET410" s="28" t="n">
        <f aca="false">IF(ISNUMBER(AT410),AT410*DD410,0)</f>
        <v>0</v>
      </c>
      <c r="EU410" s="28" t="n">
        <f aca="false">IF(ISNUMBER(AX410),AX410*DE410,0)</f>
        <v>0</v>
      </c>
      <c r="EV410" s="28" t="n">
        <f aca="false">IF(ISNUMBER(BB410),BB410*DF410,0)</f>
        <v>0</v>
      </c>
      <c r="EW410" s="28" t="n">
        <f aca="false">IF(ISNUMBER(BF410),BF410*DG410,0)</f>
        <v>0</v>
      </c>
      <c r="EX410" s="28" t="n">
        <f aca="false">IF(ISNUMBER(BJ410),BJ410*DH410,0)</f>
        <v>0</v>
      </c>
      <c r="EY410" s="28" t="n">
        <f aca="false">IF(ISNUMBER(BN410),BN410*DI410,0)</f>
        <v>0</v>
      </c>
      <c r="EZ410" s="28" t="n">
        <f aca="false">IF(ISNUMBER(BR410),BR410*DJ410,0)</f>
        <v>0</v>
      </c>
      <c r="FA410" s="28" t="n">
        <f aca="false">IF(ISNUMBER(R410),CW410,0)</f>
        <v>0</v>
      </c>
      <c r="FB410" s="28" t="n">
        <f aca="false">IF(ISNUMBER(V410),CX410,0)</f>
        <v>0</v>
      </c>
      <c r="FC410" s="28" t="n">
        <f aca="false">IF(ISNUMBER(Z410),CY410,0)</f>
        <v>0</v>
      </c>
      <c r="FD410" s="28" t="n">
        <f aca="false">IF(ISNUMBER(AD410),CZ410,0)</f>
        <v>0</v>
      </c>
      <c r="FE410" s="28" t="n">
        <f aca="false">IF(ISNUMBER(AH410),DA410,0)</f>
        <v>0</v>
      </c>
      <c r="FF410" s="28" t="n">
        <f aca="false">IF(ISNUMBER(AL410),DB410,0)</f>
        <v>0</v>
      </c>
      <c r="FG410" s="28" t="n">
        <f aca="false">IF(ISNUMBER(AP410),DC410,0)</f>
        <v>0</v>
      </c>
      <c r="FH410" s="28" t="n">
        <f aca="false">IF(ISNUMBER(AT410),DD410,0)</f>
        <v>0</v>
      </c>
      <c r="FI410" s="28" t="n">
        <f aca="false">IF(ISNUMBER(AX410),DE410,0)</f>
        <v>0</v>
      </c>
      <c r="FJ410" s="28" t="n">
        <f aca="false">IF(ISNUMBER(BB410),DF410,0)</f>
        <v>0</v>
      </c>
      <c r="FK410" s="28" t="n">
        <f aca="false">IF(ISNUMBER(BF410),DG410,0)</f>
        <v>0</v>
      </c>
      <c r="FL410" s="28" t="n">
        <f aca="false">IF(ISNUMBER(BJ410),DH410,0)</f>
        <v>0</v>
      </c>
      <c r="FM410" s="28" t="n">
        <f aca="false">IF(ISNUMBER(BN410),DI410,0)</f>
        <v>0</v>
      </c>
      <c r="FN410" s="28" t="n">
        <f aca="false">IF(ISNUMBER(BR410),DJ410,0)</f>
        <v>0</v>
      </c>
      <c r="FO410" s="28" t="str">
        <f aca="false">IFERROR(INDEX(Lists!$G$2:$G$20,MATCH($I410&amp;"|"&amp;$J410,Lists!$F$2:$F$20,0)),"")</f>
        <v/>
      </c>
    </row>
    <row r="411" customFormat="false" ht="19.5" hidden="false" customHeight="true" outlineLevel="0" collapsed="false">
      <c r="A411" s="29"/>
      <c r="B411" s="29"/>
      <c r="C411" s="30"/>
      <c r="D411" s="30"/>
      <c r="E411" s="31"/>
      <c r="F411" s="30"/>
      <c r="G411" s="30"/>
      <c r="H411" s="32"/>
      <c r="I411" s="33"/>
      <c r="J411" s="32"/>
      <c r="K411" s="34" t="str">
        <f aca="false">IF(OR(M411="",$E411=""),"",M411-$E411)</f>
        <v/>
      </c>
      <c r="L411" s="35" t="str">
        <f aca="false">IF(SUM(FA411:FN411)=0,"",SUM(EM411:EZ411)/SUM(FA411:FN411))</f>
        <v/>
      </c>
      <c r="M411" s="36" t="str">
        <f aca="false">IF(OR(L411="",FO411=""),"",IFERROR(MATCH(L411,INDEX(Boundaries!$B$2:$I$30,MATCH(FO411,Boundaries!$A$2:$A$30,0),0),1)-1,""))</f>
        <v/>
      </c>
      <c r="N411" s="37" t="str">
        <f aca="false">IF(COUNT($DY411:$EL411)&lt;2,"",INDEX($DK411:$DX411,MAX($DY411:$EL411))-INDEX($DK411:$DX411,MIN($DY411:$EL411)))</f>
        <v/>
      </c>
      <c r="O411" s="37" t="str">
        <f aca="false">IF(COUNT($DY411:$EL411)&lt;2,"",INDEX($DK411:$DX411,MAX($DY411:$EL411))-INDEX($DK411:$DX411,LARGE($DY411:$EL411,2)))</f>
        <v/>
      </c>
      <c r="P411" s="38" t="str">
        <f aca="false">IF(K411="","",IF(K411&gt;=0,"On/above target",IF(AND(N411&lt;&gt;"",N411&gt;=0.5),"Improving towards target",IF(AND(O411&lt;&gt;"",O411&lt;=-0.5),"Declining","Stable below target"))))</f>
        <v/>
      </c>
      <c r="Q411" s="39"/>
      <c r="R411" s="40" t="str">
        <f aca="false">IF(OR(Q411="",BU411=""),"",Q411/BU411*100)</f>
        <v/>
      </c>
      <c r="S411" s="41" t="str">
        <f aca="false">IF(R411="","",IFERROR(MATCH(R411,INDEX(Boundaries!$B$2:$I$30,MATCH(CI411,Boundaries!$A$2:$A$30,0),0),1)-1,""))</f>
        <v/>
      </c>
      <c r="T411" s="42" t="str">
        <f aca="false">IF(OR(S411="",$E411=""),"",S411-$E411)</f>
        <v/>
      </c>
      <c r="U411" s="39"/>
      <c r="V411" s="40" t="str">
        <f aca="false">IF(OR(U411="",BV411=""),"",U411/BV411*100)</f>
        <v/>
      </c>
      <c r="W411" s="41" t="str">
        <f aca="false">IF(V411="","",IFERROR(MATCH(V411,INDEX(Boundaries!$B$2:$I$30,MATCH(CJ411,Boundaries!$A$2:$A$30,0),0),1)-1,""))</f>
        <v/>
      </c>
      <c r="X411" s="42" t="str">
        <f aca="false">IF(OR(W411="",$E411=""),"",W411-$E411)</f>
        <v/>
      </c>
      <c r="Y411" s="39"/>
      <c r="Z411" s="40" t="str">
        <f aca="false">IF(OR(Y411="",BW411=""),"",Y411/BW411*100)</f>
        <v/>
      </c>
      <c r="AA411" s="41" t="str">
        <f aca="false">IF(Z411="","",IFERROR(MATCH(Z411,INDEX(Boundaries!$B$2:$I$30,MATCH(CK411,Boundaries!$A$2:$A$30,0),0),1)-1,""))</f>
        <v/>
      </c>
      <c r="AB411" s="42" t="str">
        <f aca="false">IF(OR(AA411="",$E411=""),"",AA411-$E411)</f>
        <v/>
      </c>
      <c r="AC411" s="39"/>
      <c r="AD411" s="40" t="str">
        <f aca="false">IF(OR(AC411="",BX411=""),"",AC411/BX411*100)</f>
        <v/>
      </c>
      <c r="AE411" s="41" t="str">
        <f aca="false">IF(AD411="","",IFERROR(MATCH(AD411,INDEX(Boundaries!$B$2:$I$30,MATCH(CL411,Boundaries!$A$2:$A$30,0),0),1)-1,""))</f>
        <v/>
      </c>
      <c r="AF411" s="42" t="str">
        <f aca="false">IF(OR(AE411="",$E411=""),"",AE411-$E411)</f>
        <v/>
      </c>
      <c r="AG411" s="39"/>
      <c r="AH411" s="40" t="str">
        <f aca="false">IF(OR(AG411="",BY411=""),"",AG411/BY411*100)</f>
        <v/>
      </c>
      <c r="AI411" s="41" t="str">
        <f aca="false">IF(AH411="","",IFERROR(MATCH(AH411,INDEX(Boundaries!$B$2:$I$30,MATCH(CM411,Boundaries!$A$2:$A$30,0),0),1)-1,""))</f>
        <v/>
      </c>
      <c r="AJ411" s="42" t="str">
        <f aca="false">IF(OR(AI411="",$E411=""),"",AI411-$E411)</f>
        <v/>
      </c>
      <c r="AK411" s="39"/>
      <c r="AL411" s="40" t="str">
        <f aca="false">IF(OR(AK411="",BZ411=""),"",AK411/BZ411*100)</f>
        <v/>
      </c>
      <c r="AM411" s="41" t="str">
        <f aca="false">IF(AL411="","",IFERROR(MATCH(AL411,INDEX(Boundaries!$B$2:$I$30,MATCH(CN411,Boundaries!$A$2:$A$30,0),0),1)-1,""))</f>
        <v/>
      </c>
      <c r="AN411" s="42" t="str">
        <f aca="false">IF(OR(AM411="",$E411=""),"",AM411-$E411)</f>
        <v/>
      </c>
      <c r="AO411" s="39"/>
      <c r="AP411" s="40" t="str">
        <f aca="false">IF(OR(AO411="",CA411=""),"",AO411/CA411*100)</f>
        <v/>
      </c>
      <c r="AQ411" s="41" t="str">
        <f aca="false">IF(AP411="","",IFERROR(MATCH(AP411,INDEX(Boundaries!$B$2:$I$30,MATCH(CO411,Boundaries!$A$2:$A$30,0),0),1)-1,""))</f>
        <v/>
      </c>
      <c r="AR411" s="42" t="str">
        <f aca="false">IF(OR(AQ411="",$E411=""),"",AQ411-$E411)</f>
        <v/>
      </c>
      <c r="AS411" s="39"/>
      <c r="AT411" s="40" t="str">
        <f aca="false">IF(OR(AS411="",CB411=""),"",AS411/CB411*100)</f>
        <v/>
      </c>
      <c r="AU411" s="41" t="str">
        <f aca="false">IF(AT411="","",IFERROR(MATCH(AT411,INDEX(Boundaries!$B$2:$I$30,MATCH(CP411,Boundaries!$A$2:$A$30,0),0),1)-1,""))</f>
        <v/>
      </c>
      <c r="AV411" s="42" t="str">
        <f aca="false">IF(OR(AU411="",$E411=""),"",AU411-$E411)</f>
        <v/>
      </c>
      <c r="AW411" s="39"/>
      <c r="AX411" s="40" t="str">
        <f aca="false">IF(OR(AW411="",CC411=""),"",AW411/CC411*100)</f>
        <v/>
      </c>
      <c r="AY411" s="41" t="str">
        <f aca="false">IF(AX411="","",IFERROR(MATCH(AX411,INDEX(Boundaries!$B$2:$I$30,MATCH(CQ411,Boundaries!$A$2:$A$30,0),0),1)-1,""))</f>
        <v/>
      </c>
      <c r="AZ411" s="42" t="str">
        <f aca="false">IF(OR(AY411="",$E411=""),"",AY411-$E411)</f>
        <v/>
      </c>
      <c r="BA411" s="39"/>
      <c r="BB411" s="40" t="str">
        <f aca="false">IF(OR(BA411="",CD411=""),"",BA411/CD411*100)</f>
        <v/>
      </c>
      <c r="BC411" s="41" t="str">
        <f aca="false">IF(BB411="","",IFERROR(MATCH(BB411,INDEX(Boundaries!$B$2:$I$30,MATCH(CR411,Boundaries!$A$2:$A$30,0),0),1)-1,""))</f>
        <v/>
      </c>
      <c r="BD411" s="42" t="str">
        <f aca="false">IF(OR(BC411="",$E411=""),"",BC411-$E411)</f>
        <v/>
      </c>
      <c r="BE411" s="39"/>
      <c r="BF411" s="40" t="str">
        <f aca="false">IF(OR(BE411="",CE411=""),"",BE411/CE411*100)</f>
        <v/>
      </c>
      <c r="BG411" s="41" t="str">
        <f aca="false">IF(BF411="","",IFERROR(MATCH(BF411,INDEX(Boundaries!$B$2:$I$30,MATCH(CS411,Boundaries!$A$2:$A$30,0),0),1)-1,""))</f>
        <v/>
      </c>
      <c r="BH411" s="42" t="str">
        <f aca="false">IF(OR(BG411="",$E411=""),"",BG411-$E411)</f>
        <v/>
      </c>
      <c r="BI411" s="39"/>
      <c r="BJ411" s="40" t="str">
        <f aca="false">IF(OR(BI411="",CF411=""),"",BI411/CF411*100)</f>
        <v/>
      </c>
      <c r="BK411" s="41" t="str">
        <f aca="false">IF(BJ411="","",IFERROR(MATCH(BJ411,INDEX(Boundaries!$B$2:$I$30,MATCH(CT411,Boundaries!$A$2:$A$30,0),0),1)-1,""))</f>
        <v/>
      </c>
      <c r="BL411" s="42" t="str">
        <f aca="false">IF(OR(BK411="",$E411=""),"",BK411-$E411)</f>
        <v/>
      </c>
      <c r="BM411" s="39"/>
      <c r="BN411" s="40" t="str">
        <f aca="false">IF(OR(BM411="",CG411=""),"",BM411/CG411*100)</f>
        <v/>
      </c>
      <c r="BO411" s="41" t="str">
        <f aca="false">IF(BN411="","",IFERROR(MATCH(BN411,INDEX(Boundaries!$B$2:$I$30,MATCH(CU411,Boundaries!$A$2:$A$30,0),0),1)-1,""))</f>
        <v/>
      </c>
      <c r="BP411" s="42" t="str">
        <f aca="false">IF(OR(BO411="",$E411=""),"",BO411-$E411)</f>
        <v/>
      </c>
      <c r="BQ411" s="39"/>
      <c r="BR411" s="40" t="str">
        <f aca="false">IF(OR(BQ411="",CH411=""),"",BQ411/CH411*100)</f>
        <v/>
      </c>
      <c r="BS411" s="41" t="str">
        <f aca="false">IF(BR411="","",IFERROR(MATCH(BR411,INDEX(Boundaries!$B$2:$I$30,MATCH(CV411,Boundaries!$A$2:$A$30,0),0),1)-1,""))</f>
        <v/>
      </c>
      <c r="BT411" s="42" t="str">
        <f aca="false">IF(OR(BS411="",$E411=""),"",BS411-$E411)</f>
        <v/>
      </c>
      <c r="BU411" s="28" t="str">
        <f aca="false">IFERROR(INDEX(Assessments!$H$2:$H$600,MATCH($H411&amp;"|"&amp;$I411&amp;"|"&amp;$J411&amp;"|"&amp;1,Assessments!$A$2:$A$600,0)),"")</f>
        <v/>
      </c>
      <c r="BV411" s="28" t="str">
        <f aca="false">IFERROR(INDEX(Assessments!$H$2:$H$600,MATCH($H411&amp;"|"&amp;$I411&amp;"|"&amp;$J411&amp;"|"&amp;2,Assessments!$A$2:$A$600,0)),"")</f>
        <v/>
      </c>
      <c r="BW411" s="28" t="str">
        <f aca="false">IFERROR(INDEX(Assessments!$H$2:$H$600,MATCH($H411&amp;"|"&amp;$I411&amp;"|"&amp;$J411&amp;"|"&amp;3,Assessments!$A$2:$A$600,0)),"")</f>
        <v/>
      </c>
      <c r="BX411" s="28" t="str">
        <f aca="false">IFERROR(INDEX(Assessments!$H$2:$H$600,MATCH($H411&amp;"|"&amp;$I411&amp;"|"&amp;$J411&amp;"|"&amp;4,Assessments!$A$2:$A$600,0)),"")</f>
        <v/>
      </c>
      <c r="BY411" s="28" t="str">
        <f aca="false">IFERROR(INDEX(Assessments!$H$2:$H$600,MATCH($H411&amp;"|"&amp;$I411&amp;"|"&amp;$J411&amp;"|"&amp;5,Assessments!$A$2:$A$600,0)),"")</f>
        <v/>
      </c>
      <c r="BZ411" s="28" t="str">
        <f aca="false">IFERROR(INDEX(Assessments!$H$2:$H$600,MATCH($H411&amp;"|"&amp;$I411&amp;"|"&amp;$J411&amp;"|"&amp;6,Assessments!$A$2:$A$600,0)),"")</f>
        <v/>
      </c>
      <c r="CA411" s="28" t="str">
        <f aca="false">IFERROR(INDEX(Assessments!$H$2:$H$600,MATCH($H411&amp;"|"&amp;$I411&amp;"|"&amp;$J411&amp;"|"&amp;7,Assessments!$A$2:$A$600,0)),"")</f>
        <v/>
      </c>
      <c r="CB411" s="28" t="str">
        <f aca="false">IFERROR(INDEX(Assessments!$H$2:$H$600,MATCH($H411&amp;"|"&amp;$I411&amp;"|"&amp;$J411&amp;"|"&amp;8,Assessments!$A$2:$A$600,0)),"")</f>
        <v/>
      </c>
      <c r="CC411" s="28" t="str">
        <f aca="false">IFERROR(INDEX(Assessments!$H$2:$H$600,MATCH($H411&amp;"|"&amp;$I411&amp;"|"&amp;$J411&amp;"|"&amp;9,Assessments!$A$2:$A$600,0)),"")</f>
        <v/>
      </c>
      <c r="CD411" s="28" t="str">
        <f aca="false">IFERROR(INDEX(Assessments!$H$2:$H$600,MATCH($H411&amp;"|"&amp;$I411&amp;"|"&amp;$J411&amp;"|"&amp;10,Assessments!$A$2:$A$600,0)),"")</f>
        <v/>
      </c>
      <c r="CE411" s="28" t="str">
        <f aca="false">IFERROR(INDEX(Assessments!$H$2:$H$600,MATCH($H411&amp;"|"&amp;$I411&amp;"|"&amp;$J411&amp;"|"&amp;11,Assessments!$A$2:$A$600,0)),"")</f>
        <v/>
      </c>
      <c r="CF411" s="28" t="str">
        <f aca="false">IFERROR(INDEX(Assessments!$H$2:$H$600,MATCH($H411&amp;"|"&amp;$I411&amp;"|"&amp;$J411&amp;"|"&amp;12,Assessments!$A$2:$A$600,0)),"")</f>
        <v/>
      </c>
      <c r="CG411" s="28" t="str">
        <f aca="false">IFERROR(INDEX(Assessments!$H$2:$H$600,MATCH($H411&amp;"|"&amp;$I411&amp;"|"&amp;$J411&amp;"|"&amp;13,Assessments!$A$2:$A$600,0)),"")</f>
        <v/>
      </c>
      <c r="CH411" s="28" t="str">
        <f aca="false">IFERROR(INDEX(Assessments!$H$2:$H$600,MATCH($H411&amp;"|"&amp;$I411&amp;"|"&amp;$J411&amp;"|"&amp;14,Assessments!$A$2:$A$600,0)),"")</f>
        <v/>
      </c>
      <c r="CI411" s="28" t="str">
        <f aca="false">IFERROR(INDEX(Assessments!$I$2:$I$600,MATCH($H411&amp;"|"&amp;$I411&amp;"|"&amp;$J411&amp;"|"&amp;1,Assessments!$A$2:$A$600,0)),"")</f>
        <v/>
      </c>
      <c r="CJ411" s="28" t="str">
        <f aca="false">IFERROR(INDEX(Assessments!$I$2:$I$600,MATCH($H411&amp;"|"&amp;$I411&amp;"|"&amp;$J411&amp;"|"&amp;2,Assessments!$A$2:$A$600,0)),"")</f>
        <v/>
      </c>
      <c r="CK411" s="28" t="str">
        <f aca="false">IFERROR(INDEX(Assessments!$I$2:$I$600,MATCH($H411&amp;"|"&amp;$I411&amp;"|"&amp;$J411&amp;"|"&amp;3,Assessments!$A$2:$A$600,0)),"")</f>
        <v/>
      </c>
      <c r="CL411" s="28" t="str">
        <f aca="false">IFERROR(INDEX(Assessments!$I$2:$I$600,MATCH($H411&amp;"|"&amp;$I411&amp;"|"&amp;$J411&amp;"|"&amp;4,Assessments!$A$2:$A$600,0)),"")</f>
        <v/>
      </c>
      <c r="CM411" s="28" t="str">
        <f aca="false">IFERROR(INDEX(Assessments!$I$2:$I$600,MATCH($H411&amp;"|"&amp;$I411&amp;"|"&amp;$J411&amp;"|"&amp;5,Assessments!$A$2:$A$600,0)),"")</f>
        <v/>
      </c>
      <c r="CN411" s="28" t="str">
        <f aca="false">IFERROR(INDEX(Assessments!$I$2:$I$600,MATCH($H411&amp;"|"&amp;$I411&amp;"|"&amp;$J411&amp;"|"&amp;6,Assessments!$A$2:$A$600,0)),"")</f>
        <v/>
      </c>
      <c r="CO411" s="28" t="str">
        <f aca="false">IFERROR(INDEX(Assessments!$I$2:$I$600,MATCH($H411&amp;"|"&amp;$I411&amp;"|"&amp;$J411&amp;"|"&amp;7,Assessments!$A$2:$A$600,0)),"")</f>
        <v/>
      </c>
      <c r="CP411" s="28" t="str">
        <f aca="false">IFERROR(INDEX(Assessments!$I$2:$I$600,MATCH($H411&amp;"|"&amp;$I411&amp;"|"&amp;$J411&amp;"|"&amp;8,Assessments!$A$2:$A$600,0)),"")</f>
        <v/>
      </c>
      <c r="CQ411" s="28" t="str">
        <f aca="false">IFERROR(INDEX(Assessments!$I$2:$I$600,MATCH($H411&amp;"|"&amp;$I411&amp;"|"&amp;$J411&amp;"|"&amp;9,Assessments!$A$2:$A$600,0)),"")</f>
        <v/>
      </c>
      <c r="CR411" s="28" t="str">
        <f aca="false">IFERROR(INDEX(Assessments!$I$2:$I$600,MATCH($H411&amp;"|"&amp;$I411&amp;"|"&amp;$J411&amp;"|"&amp;10,Assessments!$A$2:$A$600,0)),"")</f>
        <v/>
      </c>
      <c r="CS411" s="28" t="str">
        <f aca="false">IFERROR(INDEX(Assessments!$I$2:$I$600,MATCH($H411&amp;"|"&amp;$I411&amp;"|"&amp;$J411&amp;"|"&amp;11,Assessments!$A$2:$A$600,0)),"")</f>
        <v/>
      </c>
      <c r="CT411" s="28" t="str">
        <f aca="false">IFERROR(INDEX(Assessments!$I$2:$I$600,MATCH($H411&amp;"|"&amp;$I411&amp;"|"&amp;$J411&amp;"|"&amp;12,Assessments!$A$2:$A$600,0)),"")</f>
        <v/>
      </c>
      <c r="CU411" s="28" t="str">
        <f aca="false">IFERROR(INDEX(Assessments!$I$2:$I$600,MATCH($H411&amp;"|"&amp;$I411&amp;"|"&amp;$J411&amp;"|"&amp;13,Assessments!$A$2:$A$600,0)),"")</f>
        <v/>
      </c>
      <c r="CV411" s="28" t="str">
        <f aca="false">IFERROR(INDEX(Assessments!$I$2:$I$600,MATCH($H411&amp;"|"&amp;$I411&amp;"|"&amp;$J411&amp;"|"&amp;14,Assessments!$A$2:$A$600,0)),"")</f>
        <v/>
      </c>
      <c r="CW411" s="28" t="n">
        <f aca="false">IFERROR(INDEX(Assessments!$J$2:$J$600,MATCH($H411&amp;"|"&amp;$I411&amp;"|"&amp;$J411&amp;"|"&amp;1,Assessments!$A$2:$A$600,0)),0)</f>
        <v>0</v>
      </c>
      <c r="CX411" s="28" t="n">
        <f aca="false">IFERROR(INDEX(Assessments!$J$2:$J$600,MATCH($H411&amp;"|"&amp;$I411&amp;"|"&amp;$J411&amp;"|"&amp;2,Assessments!$A$2:$A$600,0)),0)</f>
        <v>0</v>
      </c>
      <c r="CY411" s="28" t="n">
        <f aca="false">IFERROR(INDEX(Assessments!$J$2:$J$600,MATCH($H411&amp;"|"&amp;$I411&amp;"|"&amp;$J411&amp;"|"&amp;3,Assessments!$A$2:$A$600,0)),0)</f>
        <v>0</v>
      </c>
      <c r="CZ411" s="28" t="n">
        <f aca="false">IFERROR(INDEX(Assessments!$J$2:$J$600,MATCH($H411&amp;"|"&amp;$I411&amp;"|"&amp;$J411&amp;"|"&amp;4,Assessments!$A$2:$A$600,0)),0)</f>
        <v>0</v>
      </c>
      <c r="DA411" s="28" t="n">
        <f aca="false">IFERROR(INDEX(Assessments!$J$2:$J$600,MATCH($H411&amp;"|"&amp;$I411&amp;"|"&amp;$J411&amp;"|"&amp;5,Assessments!$A$2:$A$600,0)),0)</f>
        <v>0</v>
      </c>
      <c r="DB411" s="28" t="n">
        <f aca="false">IFERROR(INDEX(Assessments!$J$2:$J$600,MATCH($H411&amp;"|"&amp;$I411&amp;"|"&amp;$J411&amp;"|"&amp;6,Assessments!$A$2:$A$600,0)),0)</f>
        <v>0</v>
      </c>
      <c r="DC411" s="28" t="n">
        <f aca="false">IFERROR(INDEX(Assessments!$J$2:$J$600,MATCH($H411&amp;"|"&amp;$I411&amp;"|"&amp;$J411&amp;"|"&amp;7,Assessments!$A$2:$A$600,0)),0)</f>
        <v>0</v>
      </c>
      <c r="DD411" s="28" t="n">
        <f aca="false">IFERROR(INDEX(Assessments!$J$2:$J$600,MATCH($H411&amp;"|"&amp;$I411&amp;"|"&amp;$J411&amp;"|"&amp;8,Assessments!$A$2:$A$600,0)),0)</f>
        <v>0</v>
      </c>
      <c r="DE411" s="28" t="n">
        <f aca="false">IFERROR(INDEX(Assessments!$J$2:$J$600,MATCH($H411&amp;"|"&amp;$I411&amp;"|"&amp;$J411&amp;"|"&amp;9,Assessments!$A$2:$A$600,0)),0)</f>
        <v>0</v>
      </c>
      <c r="DF411" s="28" t="n">
        <f aca="false">IFERROR(INDEX(Assessments!$J$2:$J$600,MATCH($H411&amp;"|"&amp;$I411&amp;"|"&amp;$J411&amp;"|"&amp;10,Assessments!$A$2:$A$600,0)),0)</f>
        <v>0</v>
      </c>
      <c r="DG411" s="28" t="n">
        <f aca="false">IFERROR(INDEX(Assessments!$J$2:$J$600,MATCH($H411&amp;"|"&amp;$I411&amp;"|"&amp;$J411&amp;"|"&amp;11,Assessments!$A$2:$A$600,0)),0)</f>
        <v>0</v>
      </c>
      <c r="DH411" s="28" t="n">
        <f aca="false">IFERROR(INDEX(Assessments!$J$2:$J$600,MATCH($H411&amp;"|"&amp;$I411&amp;"|"&amp;$J411&amp;"|"&amp;12,Assessments!$A$2:$A$600,0)),0)</f>
        <v>0</v>
      </c>
      <c r="DI411" s="28" t="n">
        <f aca="false">IFERROR(INDEX(Assessments!$J$2:$J$600,MATCH($H411&amp;"|"&amp;$I411&amp;"|"&amp;$J411&amp;"|"&amp;13,Assessments!$A$2:$A$600,0)),0)</f>
        <v>0</v>
      </c>
      <c r="DJ411" s="28" t="n">
        <f aca="false">IFERROR(INDEX(Assessments!$J$2:$J$600,MATCH($H411&amp;"|"&amp;$I411&amp;"|"&amp;$J411&amp;"|"&amp;14,Assessments!$A$2:$A$600,0)),0)</f>
        <v>0</v>
      </c>
      <c r="DK411" s="28" t="str">
        <f aca="false">S411</f>
        <v/>
      </c>
      <c r="DL411" s="28" t="str">
        <f aca="false">W411</f>
        <v/>
      </c>
      <c r="DM411" s="28" t="str">
        <f aca="false">AA411</f>
        <v/>
      </c>
      <c r="DN411" s="28" t="str">
        <f aca="false">AE411</f>
        <v/>
      </c>
      <c r="DO411" s="28" t="str">
        <f aca="false">AI411</f>
        <v/>
      </c>
      <c r="DP411" s="28" t="str">
        <f aca="false">AM411</f>
        <v/>
      </c>
      <c r="DQ411" s="28" t="str">
        <f aca="false">AQ411</f>
        <v/>
      </c>
      <c r="DR411" s="28" t="str">
        <f aca="false">AU411</f>
        <v/>
      </c>
      <c r="DS411" s="28" t="str">
        <f aca="false">AY411</f>
        <v/>
      </c>
      <c r="DT411" s="28" t="str">
        <f aca="false">BC411</f>
        <v/>
      </c>
      <c r="DU411" s="28" t="str">
        <f aca="false">BG411</f>
        <v/>
      </c>
      <c r="DV411" s="28" t="str">
        <f aca="false">BK411</f>
        <v/>
      </c>
      <c r="DW411" s="28" t="str">
        <f aca="false">BO411</f>
        <v/>
      </c>
      <c r="DX411" s="28" t="str">
        <f aca="false">BS411</f>
        <v/>
      </c>
      <c r="DY411" s="28" t="str">
        <f aca="false">IF(ISNUMBER(S411),1,"")</f>
        <v/>
      </c>
      <c r="DZ411" s="28" t="str">
        <f aca="false">IF(ISNUMBER(W411),2,"")</f>
        <v/>
      </c>
      <c r="EA411" s="28" t="str">
        <f aca="false">IF(ISNUMBER(AA411),3,"")</f>
        <v/>
      </c>
      <c r="EB411" s="28" t="str">
        <f aca="false">IF(ISNUMBER(AE411),4,"")</f>
        <v/>
      </c>
      <c r="EC411" s="28" t="str">
        <f aca="false">IF(ISNUMBER(AI411),5,"")</f>
        <v/>
      </c>
      <c r="ED411" s="28" t="str">
        <f aca="false">IF(ISNUMBER(AM411),6,"")</f>
        <v/>
      </c>
      <c r="EE411" s="28" t="str">
        <f aca="false">IF(ISNUMBER(AQ411),7,"")</f>
        <v/>
      </c>
      <c r="EF411" s="28" t="str">
        <f aca="false">IF(ISNUMBER(AU411),8,"")</f>
        <v/>
      </c>
      <c r="EG411" s="28" t="str">
        <f aca="false">IF(ISNUMBER(AY411),9,"")</f>
        <v/>
      </c>
      <c r="EH411" s="28" t="str">
        <f aca="false">IF(ISNUMBER(BC411),10,"")</f>
        <v/>
      </c>
      <c r="EI411" s="28" t="str">
        <f aca="false">IF(ISNUMBER(BG411),11,"")</f>
        <v/>
      </c>
      <c r="EJ411" s="28" t="str">
        <f aca="false">IF(ISNUMBER(BK411),12,"")</f>
        <v/>
      </c>
      <c r="EK411" s="28" t="str">
        <f aca="false">IF(ISNUMBER(BO411),13,"")</f>
        <v/>
      </c>
      <c r="EL411" s="28" t="str">
        <f aca="false">IF(ISNUMBER(BS411),14,"")</f>
        <v/>
      </c>
      <c r="EM411" s="28" t="n">
        <f aca="false">IF(ISNUMBER(R411),R411*CW411,0)</f>
        <v>0</v>
      </c>
      <c r="EN411" s="28" t="n">
        <f aca="false">IF(ISNUMBER(V411),V411*CX411,0)</f>
        <v>0</v>
      </c>
      <c r="EO411" s="28" t="n">
        <f aca="false">IF(ISNUMBER(Z411),Z411*CY411,0)</f>
        <v>0</v>
      </c>
      <c r="EP411" s="28" t="n">
        <f aca="false">IF(ISNUMBER(AD411),AD411*CZ411,0)</f>
        <v>0</v>
      </c>
      <c r="EQ411" s="28" t="n">
        <f aca="false">IF(ISNUMBER(AH411),AH411*DA411,0)</f>
        <v>0</v>
      </c>
      <c r="ER411" s="28" t="n">
        <f aca="false">IF(ISNUMBER(AL411),AL411*DB411,0)</f>
        <v>0</v>
      </c>
      <c r="ES411" s="28" t="n">
        <f aca="false">IF(ISNUMBER(AP411),AP411*DC411,0)</f>
        <v>0</v>
      </c>
      <c r="ET411" s="28" t="n">
        <f aca="false">IF(ISNUMBER(AT411),AT411*DD411,0)</f>
        <v>0</v>
      </c>
      <c r="EU411" s="28" t="n">
        <f aca="false">IF(ISNUMBER(AX411),AX411*DE411,0)</f>
        <v>0</v>
      </c>
      <c r="EV411" s="28" t="n">
        <f aca="false">IF(ISNUMBER(BB411),BB411*DF411,0)</f>
        <v>0</v>
      </c>
      <c r="EW411" s="28" t="n">
        <f aca="false">IF(ISNUMBER(BF411),BF411*DG411,0)</f>
        <v>0</v>
      </c>
      <c r="EX411" s="28" t="n">
        <f aca="false">IF(ISNUMBER(BJ411),BJ411*DH411,0)</f>
        <v>0</v>
      </c>
      <c r="EY411" s="28" t="n">
        <f aca="false">IF(ISNUMBER(BN411),BN411*DI411,0)</f>
        <v>0</v>
      </c>
      <c r="EZ411" s="28" t="n">
        <f aca="false">IF(ISNUMBER(BR411),BR411*DJ411,0)</f>
        <v>0</v>
      </c>
      <c r="FA411" s="28" t="n">
        <f aca="false">IF(ISNUMBER(R411),CW411,0)</f>
        <v>0</v>
      </c>
      <c r="FB411" s="28" t="n">
        <f aca="false">IF(ISNUMBER(V411),CX411,0)</f>
        <v>0</v>
      </c>
      <c r="FC411" s="28" t="n">
        <f aca="false">IF(ISNUMBER(Z411),CY411,0)</f>
        <v>0</v>
      </c>
      <c r="FD411" s="28" t="n">
        <f aca="false">IF(ISNUMBER(AD411),CZ411,0)</f>
        <v>0</v>
      </c>
      <c r="FE411" s="28" t="n">
        <f aca="false">IF(ISNUMBER(AH411),DA411,0)</f>
        <v>0</v>
      </c>
      <c r="FF411" s="28" t="n">
        <f aca="false">IF(ISNUMBER(AL411),DB411,0)</f>
        <v>0</v>
      </c>
      <c r="FG411" s="28" t="n">
        <f aca="false">IF(ISNUMBER(AP411),DC411,0)</f>
        <v>0</v>
      </c>
      <c r="FH411" s="28" t="n">
        <f aca="false">IF(ISNUMBER(AT411),DD411,0)</f>
        <v>0</v>
      </c>
      <c r="FI411" s="28" t="n">
        <f aca="false">IF(ISNUMBER(AX411),DE411,0)</f>
        <v>0</v>
      </c>
      <c r="FJ411" s="28" t="n">
        <f aca="false">IF(ISNUMBER(BB411),DF411,0)</f>
        <v>0</v>
      </c>
      <c r="FK411" s="28" t="n">
        <f aca="false">IF(ISNUMBER(BF411),DG411,0)</f>
        <v>0</v>
      </c>
      <c r="FL411" s="28" t="n">
        <f aca="false">IF(ISNUMBER(BJ411),DH411,0)</f>
        <v>0</v>
      </c>
      <c r="FM411" s="28" t="n">
        <f aca="false">IF(ISNUMBER(BN411),DI411,0)</f>
        <v>0</v>
      </c>
      <c r="FN411" s="28" t="n">
        <f aca="false">IF(ISNUMBER(BR411),DJ411,0)</f>
        <v>0</v>
      </c>
      <c r="FO411" s="28" t="str">
        <f aca="false">IFERROR(INDEX(Lists!$G$2:$G$20,MATCH($I411&amp;"|"&amp;$J411,Lists!$F$2:$F$20,0)),"")</f>
        <v/>
      </c>
    </row>
    <row r="412" customFormat="false" ht="19.5" hidden="false" customHeight="true" outlineLevel="0" collapsed="false">
      <c r="A412" s="29"/>
      <c r="B412" s="29"/>
      <c r="C412" s="30"/>
      <c r="D412" s="30"/>
      <c r="E412" s="31"/>
      <c r="F412" s="30"/>
      <c r="G412" s="30"/>
      <c r="H412" s="32"/>
      <c r="I412" s="33"/>
      <c r="J412" s="32"/>
      <c r="K412" s="34" t="str">
        <f aca="false">IF(OR(M412="",$E412=""),"",M412-$E412)</f>
        <v/>
      </c>
      <c r="L412" s="35" t="str">
        <f aca="false">IF(SUM(FA412:FN412)=0,"",SUM(EM412:EZ412)/SUM(FA412:FN412))</f>
        <v/>
      </c>
      <c r="M412" s="36" t="str">
        <f aca="false">IF(OR(L412="",FO412=""),"",IFERROR(MATCH(L412,INDEX(Boundaries!$B$2:$I$30,MATCH(FO412,Boundaries!$A$2:$A$30,0),0),1)-1,""))</f>
        <v/>
      </c>
      <c r="N412" s="37" t="str">
        <f aca="false">IF(COUNT($DY412:$EL412)&lt;2,"",INDEX($DK412:$DX412,MAX($DY412:$EL412))-INDEX($DK412:$DX412,MIN($DY412:$EL412)))</f>
        <v/>
      </c>
      <c r="O412" s="37" t="str">
        <f aca="false">IF(COUNT($DY412:$EL412)&lt;2,"",INDEX($DK412:$DX412,MAX($DY412:$EL412))-INDEX($DK412:$DX412,LARGE($DY412:$EL412,2)))</f>
        <v/>
      </c>
      <c r="P412" s="38" t="str">
        <f aca="false">IF(K412="","",IF(K412&gt;=0,"On/above target",IF(AND(N412&lt;&gt;"",N412&gt;=0.5),"Improving towards target",IF(AND(O412&lt;&gt;"",O412&lt;=-0.5),"Declining","Stable below target"))))</f>
        <v/>
      </c>
      <c r="Q412" s="39"/>
      <c r="R412" s="40" t="str">
        <f aca="false">IF(OR(Q412="",BU412=""),"",Q412/BU412*100)</f>
        <v/>
      </c>
      <c r="S412" s="41" t="str">
        <f aca="false">IF(R412="","",IFERROR(MATCH(R412,INDEX(Boundaries!$B$2:$I$30,MATCH(CI412,Boundaries!$A$2:$A$30,0),0),1)-1,""))</f>
        <v/>
      </c>
      <c r="T412" s="42" t="str">
        <f aca="false">IF(OR(S412="",$E412=""),"",S412-$E412)</f>
        <v/>
      </c>
      <c r="U412" s="39"/>
      <c r="V412" s="40" t="str">
        <f aca="false">IF(OR(U412="",BV412=""),"",U412/BV412*100)</f>
        <v/>
      </c>
      <c r="W412" s="41" t="str">
        <f aca="false">IF(V412="","",IFERROR(MATCH(V412,INDEX(Boundaries!$B$2:$I$30,MATCH(CJ412,Boundaries!$A$2:$A$30,0),0),1)-1,""))</f>
        <v/>
      </c>
      <c r="X412" s="42" t="str">
        <f aca="false">IF(OR(W412="",$E412=""),"",W412-$E412)</f>
        <v/>
      </c>
      <c r="Y412" s="39"/>
      <c r="Z412" s="40" t="str">
        <f aca="false">IF(OR(Y412="",BW412=""),"",Y412/BW412*100)</f>
        <v/>
      </c>
      <c r="AA412" s="41" t="str">
        <f aca="false">IF(Z412="","",IFERROR(MATCH(Z412,INDEX(Boundaries!$B$2:$I$30,MATCH(CK412,Boundaries!$A$2:$A$30,0),0),1)-1,""))</f>
        <v/>
      </c>
      <c r="AB412" s="42" t="str">
        <f aca="false">IF(OR(AA412="",$E412=""),"",AA412-$E412)</f>
        <v/>
      </c>
      <c r="AC412" s="39"/>
      <c r="AD412" s="40" t="str">
        <f aca="false">IF(OR(AC412="",BX412=""),"",AC412/BX412*100)</f>
        <v/>
      </c>
      <c r="AE412" s="41" t="str">
        <f aca="false">IF(AD412="","",IFERROR(MATCH(AD412,INDEX(Boundaries!$B$2:$I$30,MATCH(CL412,Boundaries!$A$2:$A$30,0),0),1)-1,""))</f>
        <v/>
      </c>
      <c r="AF412" s="42" t="str">
        <f aca="false">IF(OR(AE412="",$E412=""),"",AE412-$E412)</f>
        <v/>
      </c>
      <c r="AG412" s="39"/>
      <c r="AH412" s="40" t="str">
        <f aca="false">IF(OR(AG412="",BY412=""),"",AG412/BY412*100)</f>
        <v/>
      </c>
      <c r="AI412" s="41" t="str">
        <f aca="false">IF(AH412="","",IFERROR(MATCH(AH412,INDEX(Boundaries!$B$2:$I$30,MATCH(CM412,Boundaries!$A$2:$A$30,0),0),1)-1,""))</f>
        <v/>
      </c>
      <c r="AJ412" s="42" t="str">
        <f aca="false">IF(OR(AI412="",$E412=""),"",AI412-$E412)</f>
        <v/>
      </c>
      <c r="AK412" s="39"/>
      <c r="AL412" s="40" t="str">
        <f aca="false">IF(OR(AK412="",BZ412=""),"",AK412/BZ412*100)</f>
        <v/>
      </c>
      <c r="AM412" s="41" t="str">
        <f aca="false">IF(AL412="","",IFERROR(MATCH(AL412,INDEX(Boundaries!$B$2:$I$30,MATCH(CN412,Boundaries!$A$2:$A$30,0),0),1)-1,""))</f>
        <v/>
      </c>
      <c r="AN412" s="42" t="str">
        <f aca="false">IF(OR(AM412="",$E412=""),"",AM412-$E412)</f>
        <v/>
      </c>
      <c r="AO412" s="39"/>
      <c r="AP412" s="40" t="str">
        <f aca="false">IF(OR(AO412="",CA412=""),"",AO412/CA412*100)</f>
        <v/>
      </c>
      <c r="AQ412" s="41" t="str">
        <f aca="false">IF(AP412="","",IFERROR(MATCH(AP412,INDEX(Boundaries!$B$2:$I$30,MATCH(CO412,Boundaries!$A$2:$A$30,0),0),1)-1,""))</f>
        <v/>
      </c>
      <c r="AR412" s="42" t="str">
        <f aca="false">IF(OR(AQ412="",$E412=""),"",AQ412-$E412)</f>
        <v/>
      </c>
      <c r="AS412" s="39"/>
      <c r="AT412" s="40" t="str">
        <f aca="false">IF(OR(AS412="",CB412=""),"",AS412/CB412*100)</f>
        <v/>
      </c>
      <c r="AU412" s="41" t="str">
        <f aca="false">IF(AT412="","",IFERROR(MATCH(AT412,INDEX(Boundaries!$B$2:$I$30,MATCH(CP412,Boundaries!$A$2:$A$30,0),0),1)-1,""))</f>
        <v/>
      </c>
      <c r="AV412" s="42" t="str">
        <f aca="false">IF(OR(AU412="",$E412=""),"",AU412-$E412)</f>
        <v/>
      </c>
      <c r="AW412" s="39"/>
      <c r="AX412" s="40" t="str">
        <f aca="false">IF(OR(AW412="",CC412=""),"",AW412/CC412*100)</f>
        <v/>
      </c>
      <c r="AY412" s="41" t="str">
        <f aca="false">IF(AX412="","",IFERROR(MATCH(AX412,INDEX(Boundaries!$B$2:$I$30,MATCH(CQ412,Boundaries!$A$2:$A$30,0),0),1)-1,""))</f>
        <v/>
      </c>
      <c r="AZ412" s="42" t="str">
        <f aca="false">IF(OR(AY412="",$E412=""),"",AY412-$E412)</f>
        <v/>
      </c>
      <c r="BA412" s="39"/>
      <c r="BB412" s="40" t="str">
        <f aca="false">IF(OR(BA412="",CD412=""),"",BA412/CD412*100)</f>
        <v/>
      </c>
      <c r="BC412" s="41" t="str">
        <f aca="false">IF(BB412="","",IFERROR(MATCH(BB412,INDEX(Boundaries!$B$2:$I$30,MATCH(CR412,Boundaries!$A$2:$A$30,0),0),1)-1,""))</f>
        <v/>
      </c>
      <c r="BD412" s="42" t="str">
        <f aca="false">IF(OR(BC412="",$E412=""),"",BC412-$E412)</f>
        <v/>
      </c>
      <c r="BE412" s="39"/>
      <c r="BF412" s="40" t="str">
        <f aca="false">IF(OR(BE412="",CE412=""),"",BE412/CE412*100)</f>
        <v/>
      </c>
      <c r="BG412" s="41" t="str">
        <f aca="false">IF(BF412="","",IFERROR(MATCH(BF412,INDEX(Boundaries!$B$2:$I$30,MATCH(CS412,Boundaries!$A$2:$A$30,0),0),1)-1,""))</f>
        <v/>
      </c>
      <c r="BH412" s="42" t="str">
        <f aca="false">IF(OR(BG412="",$E412=""),"",BG412-$E412)</f>
        <v/>
      </c>
      <c r="BI412" s="39"/>
      <c r="BJ412" s="40" t="str">
        <f aca="false">IF(OR(BI412="",CF412=""),"",BI412/CF412*100)</f>
        <v/>
      </c>
      <c r="BK412" s="41" t="str">
        <f aca="false">IF(BJ412="","",IFERROR(MATCH(BJ412,INDEX(Boundaries!$B$2:$I$30,MATCH(CT412,Boundaries!$A$2:$A$30,0),0),1)-1,""))</f>
        <v/>
      </c>
      <c r="BL412" s="42" t="str">
        <f aca="false">IF(OR(BK412="",$E412=""),"",BK412-$E412)</f>
        <v/>
      </c>
      <c r="BM412" s="39"/>
      <c r="BN412" s="40" t="str">
        <f aca="false">IF(OR(BM412="",CG412=""),"",BM412/CG412*100)</f>
        <v/>
      </c>
      <c r="BO412" s="41" t="str">
        <f aca="false">IF(BN412="","",IFERROR(MATCH(BN412,INDEX(Boundaries!$B$2:$I$30,MATCH(CU412,Boundaries!$A$2:$A$30,0),0),1)-1,""))</f>
        <v/>
      </c>
      <c r="BP412" s="42" t="str">
        <f aca="false">IF(OR(BO412="",$E412=""),"",BO412-$E412)</f>
        <v/>
      </c>
      <c r="BQ412" s="39"/>
      <c r="BR412" s="40" t="str">
        <f aca="false">IF(OR(BQ412="",CH412=""),"",BQ412/CH412*100)</f>
        <v/>
      </c>
      <c r="BS412" s="41" t="str">
        <f aca="false">IF(BR412="","",IFERROR(MATCH(BR412,INDEX(Boundaries!$B$2:$I$30,MATCH(CV412,Boundaries!$A$2:$A$30,0),0),1)-1,""))</f>
        <v/>
      </c>
      <c r="BT412" s="42" t="str">
        <f aca="false">IF(OR(BS412="",$E412=""),"",BS412-$E412)</f>
        <v/>
      </c>
      <c r="BU412" s="28" t="str">
        <f aca="false">IFERROR(INDEX(Assessments!$H$2:$H$600,MATCH($H412&amp;"|"&amp;$I412&amp;"|"&amp;$J412&amp;"|"&amp;1,Assessments!$A$2:$A$600,0)),"")</f>
        <v/>
      </c>
      <c r="BV412" s="28" t="str">
        <f aca="false">IFERROR(INDEX(Assessments!$H$2:$H$600,MATCH($H412&amp;"|"&amp;$I412&amp;"|"&amp;$J412&amp;"|"&amp;2,Assessments!$A$2:$A$600,0)),"")</f>
        <v/>
      </c>
      <c r="BW412" s="28" t="str">
        <f aca="false">IFERROR(INDEX(Assessments!$H$2:$H$600,MATCH($H412&amp;"|"&amp;$I412&amp;"|"&amp;$J412&amp;"|"&amp;3,Assessments!$A$2:$A$600,0)),"")</f>
        <v/>
      </c>
      <c r="BX412" s="28" t="str">
        <f aca="false">IFERROR(INDEX(Assessments!$H$2:$H$600,MATCH($H412&amp;"|"&amp;$I412&amp;"|"&amp;$J412&amp;"|"&amp;4,Assessments!$A$2:$A$600,0)),"")</f>
        <v/>
      </c>
      <c r="BY412" s="28" t="str">
        <f aca="false">IFERROR(INDEX(Assessments!$H$2:$H$600,MATCH($H412&amp;"|"&amp;$I412&amp;"|"&amp;$J412&amp;"|"&amp;5,Assessments!$A$2:$A$600,0)),"")</f>
        <v/>
      </c>
      <c r="BZ412" s="28" t="str">
        <f aca="false">IFERROR(INDEX(Assessments!$H$2:$H$600,MATCH($H412&amp;"|"&amp;$I412&amp;"|"&amp;$J412&amp;"|"&amp;6,Assessments!$A$2:$A$600,0)),"")</f>
        <v/>
      </c>
      <c r="CA412" s="28" t="str">
        <f aca="false">IFERROR(INDEX(Assessments!$H$2:$H$600,MATCH($H412&amp;"|"&amp;$I412&amp;"|"&amp;$J412&amp;"|"&amp;7,Assessments!$A$2:$A$600,0)),"")</f>
        <v/>
      </c>
      <c r="CB412" s="28" t="str">
        <f aca="false">IFERROR(INDEX(Assessments!$H$2:$H$600,MATCH($H412&amp;"|"&amp;$I412&amp;"|"&amp;$J412&amp;"|"&amp;8,Assessments!$A$2:$A$600,0)),"")</f>
        <v/>
      </c>
      <c r="CC412" s="28" t="str">
        <f aca="false">IFERROR(INDEX(Assessments!$H$2:$H$600,MATCH($H412&amp;"|"&amp;$I412&amp;"|"&amp;$J412&amp;"|"&amp;9,Assessments!$A$2:$A$600,0)),"")</f>
        <v/>
      </c>
      <c r="CD412" s="28" t="str">
        <f aca="false">IFERROR(INDEX(Assessments!$H$2:$H$600,MATCH($H412&amp;"|"&amp;$I412&amp;"|"&amp;$J412&amp;"|"&amp;10,Assessments!$A$2:$A$600,0)),"")</f>
        <v/>
      </c>
      <c r="CE412" s="28" t="str">
        <f aca="false">IFERROR(INDEX(Assessments!$H$2:$H$600,MATCH($H412&amp;"|"&amp;$I412&amp;"|"&amp;$J412&amp;"|"&amp;11,Assessments!$A$2:$A$600,0)),"")</f>
        <v/>
      </c>
      <c r="CF412" s="28" t="str">
        <f aca="false">IFERROR(INDEX(Assessments!$H$2:$H$600,MATCH($H412&amp;"|"&amp;$I412&amp;"|"&amp;$J412&amp;"|"&amp;12,Assessments!$A$2:$A$600,0)),"")</f>
        <v/>
      </c>
      <c r="CG412" s="28" t="str">
        <f aca="false">IFERROR(INDEX(Assessments!$H$2:$H$600,MATCH($H412&amp;"|"&amp;$I412&amp;"|"&amp;$J412&amp;"|"&amp;13,Assessments!$A$2:$A$600,0)),"")</f>
        <v/>
      </c>
      <c r="CH412" s="28" t="str">
        <f aca="false">IFERROR(INDEX(Assessments!$H$2:$H$600,MATCH($H412&amp;"|"&amp;$I412&amp;"|"&amp;$J412&amp;"|"&amp;14,Assessments!$A$2:$A$600,0)),"")</f>
        <v/>
      </c>
      <c r="CI412" s="28" t="str">
        <f aca="false">IFERROR(INDEX(Assessments!$I$2:$I$600,MATCH($H412&amp;"|"&amp;$I412&amp;"|"&amp;$J412&amp;"|"&amp;1,Assessments!$A$2:$A$600,0)),"")</f>
        <v/>
      </c>
      <c r="CJ412" s="28" t="str">
        <f aca="false">IFERROR(INDEX(Assessments!$I$2:$I$600,MATCH($H412&amp;"|"&amp;$I412&amp;"|"&amp;$J412&amp;"|"&amp;2,Assessments!$A$2:$A$600,0)),"")</f>
        <v/>
      </c>
      <c r="CK412" s="28" t="str">
        <f aca="false">IFERROR(INDEX(Assessments!$I$2:$I$600,MATCH($H412&amp;"|"&amp;$I412&amp;"|"&amp;$J412&amp;"|"&amp;3,Assessments!$A$2:$A$600,0)),"")</f>
        <v/>
      </c>
      <c r="CL412" s="28" t="str">
        <f aca="false">IFERROR(INDEX(Assessments!$I$2:$I$600,MATCH($H412&amp;"|"&amp;$I412&amp;"|"&amp;$J412&amp;"|"&amp;4,Assessments!$A$2:$A$600,0)),"")</f>
        <v/>
      </c>
      <c r="CM412" s="28" t="str">
        <f aca="false">IFERROR(INDEX(Assessments!$I$2:$I$600,MATCH($H412&amp;"|"&amp;$I412&amp;"|"&amp;$J412&amp;"|"&amp;5,Assessments!$A$2:$A$600,0)),"")</f>
        <v/>
      </c>
      <c r="CN412" s="28" t="str">
        <f aca="false">IFERROR(INDEX(Assessments!$I$2:$I$600,MATCH($H412&amp;"|"&amp;$I412&amp;"|"&amp;$J412&amp;"|"&amp;6,Assessments!$A$2:$A$600,0)),"")</f>
        <v/>
      </c>
      <c r="CO412" s="28" t="str">
        <f aca="false">IFERROR(INDEX(Assessments!$I$2:$I$600,MATCH($H412&amp;"|"&amp;$I412&amp;"|"&amp;$J412&amp;"|"&amp;7,Assessments!$A$2:$A$600,0)),"")</f>
        <v/>
      </c>
      <c r="CP412" s="28" t="str">
        <f aca="false">IFERROR(INDEX(Assessments!$I$2:$I$600,MATCH($H412&amp;"|"&amp;$I412&amp;"|"&amp;$J412&amp;"|"&amp;8,Assessments!$A$2:$A$600,0)),"")</f>
        <v/>
      </c>
      <c r="CQ412" s="28" t="str">
        <f aca="false">IFERROR(INDEX(Assessments!$I$2:$I$600,MATCH($H412&amp;"|"&amp;$I412&amp;"|"&amp;$J412&amp;"|"&amp;9,Assessments!$A$2:$A$600,0)),"")</f>
        <v/>
      </c>
      <c r="CR412" s="28" t="str">
        <f aca="false">IFERROR(INDEX(Assessments!$I$2:$I$600,MATCH($H412&amp;"|"&amp;$I412&amp;"|"&amp;$J412&amp;"|"&amp;10,Assessments!$A$2:$A$600,0)),"")</f>
        <v/>
      </c>
      <c r="CS412" s="28" t="str">
        <f aca="false">IFERROR(INDEX(Assessments!$I$2:$I$600,MATCH($H412&amp;"|"&amp;$I412&amp;"|"&amp;$J412&amp;"|"&amp;11,Assessments!$A$2:$A$600,0)),"")</f>
        <v/>
      </c>
      <c r="CT412" s="28" t="str">
        <f aca="false">IFERROR(INDEX(Assessments!$I$2:$I$600,MATCH($H412&amp;"|"&amp;$I412&amp;"|"&amp;$J412&amp;"|"&amp;12,Assessments!$A$2:$A$600,0)),"")</f>
        <v/>
      </c>
      <c r="CU412" s="28" t="str">
        <f aca="false">IFERROR(INDEX(Assessments!$I$2:$I$600,MATCH($H412&amp;"|"&amp;$I412&amp;"|"&amp;$J412&amp;"|"&amp;13,Assessments!$A$2:$A$600,0)),"")</f>
        <v/>
      </c>
      <c r="CV412" s="28" t="str">
        <f aca="false">IFERROR(INDEX(Assessments!$I$2:$I$600,MATCH($H412&amp;"|"&amp;$I412&amp;"|"&amp;$J412&amp;"|"&amp;14,Assessments!$A$2:$A$600,0)),"")</f>
        <v/>
      </c>
      <c r="CW412" s="28" t="n">
        <f aca="false">IFERROR(INDEX(Assessments!$J$2:$J$600,MATCH($H412&amp;"|"&amp;$I412&amp;"|"&amp;$J412&amp;"|"&amp;1,Assessments!$A$2:$A$600,0)),0)</f>
        <v>0</v>
      </c>
      <c r="CX412" s="28" t="n">
        <f aca="false">IFERROR(INDEX(Assessments!$J$2:$J$600,MATCH($H412&amp;"|"&amp;$I412&amp;"|"&amp;$J412&amp;"|"&amp;2,Assessments!$A$2:$A$600,0)),0)</f>
        <v>0</v>
      </c>
      <c r="CY412" s="28" t="n">
        <f aca="false">IFERROR(INDEX(Assessments!$J$2:$J$600,MATCH($H412&amp;"|"&amp;$I412&amp;"|"&amp;$J412&amp;"|"&amp;3,Assessments!$A$2:$A$600,0)),0)</f>
        <v>0</v>
      </c>
      <c r="CZ412" s="28" t="n">
        <f aca="false">IFERROR(INDEX(Assessments!$J$2:$J$600,MATCH($H412&amp;"|"&amp;$I412&amp;"|"&amp;$J412&amp;"|"&amp;4,Assessments!$A$2:$A$600,0)),0)</f>
        <v>0</v>
      </c>
      <c r="DA412" s="28" t="n">
        <f aca="false">IFERROR(INDEX(Assessments!$J$2:$J$600,MATCH($H412&amp;"|"&amp;$I412&amp;"|"&amp;$J412&amp;"|"&amp;5,Assessments!$A$2:$A$600,0)),0)</f>
        <v>0</v>
      </c>
      <c r="DB412" s="28" t="n">
        <f aca="false">IFERROR(INDEX(Assessments!$J$2:$J$600,MATCH($H412&amp;"|"&amp;$I412&amp;"|"&amp;$J412&amp;"|"&amp;6,Assessments!$A$2:$A$600,0)),0)</f>
        <v>0</v>
      </c>
      <c r="DC412" s="28" t="n">
        <f aca="false">IFERROR(INDEX(Assessments!$J$2:$J$600,MATCH($H412&amp;"|"&amp;$I412&amp;"|"&amp;$J412&amp;"|"&amp;7,Assessments!$A$2:$A$600,0)),0)</f>
        <v>0</v>
      </c>
      <c r="DD412" s="28" t="n">
        <f aca="false">IFERROR(INDEX(Assessments!$J$2:$J$600,MATCH($H412&amp;"|"&amp;$I412&amp;"|"&amp;$J412&amp;"|"&amp;8,Assessments!$A$2:$A$600,0)),0)</f>
        <v>0</v>
      </c>
      <c r="DE412" s="28" t="n">
        <f aca="false">IFERROR(INDEX(Assessments!$J$2:$J$600,MATCH($H412&amp;"|"&amp;$I412&amp;"|"&amp;$J412&amp;"|"&amp;9,Assessments!$A$2:$A$600,0)),0)</f>
        <v>0</v>
      </c>
      <c r="DF412" s="28" t="n">
        <f aca="false">IFERROR(INDEX(Assessments!$J$2:$J$600,MATCH($H412&amp;"|"&amp;$I412&amp;"|"&amp;$J412&amp;"|"&amp;10,Assessments!$A$2:$A$600,0)),0)</f>
        <v>0</v>
      </c>
      <c r="DG412" s="28" t="n">
        <f aca="false">IFERROR(INDEX(Assessments!$J$2:$J$600,MATCH($H412&amp;"|"&amp;$I412&amp;"|"&amp;$J412&amp;"|"&amp;11,Assessments!$A$2:$A$600,0)),0)</f>
        <v>0</v>
      </c>
      <c r="DH412" s="28" t="n">
        <f aca="false">IFERROR(INDEX(Assessments!$J$2:$J$600,MATCH($H412&amp;"|"&amp;$I412&amp;"|"&amp;$J412&amp;"|"&amp;12,Assessments!$A$2:$A$600,0)),0)</f>
        <v>0</v>
      </c>
      <c r="DI412" s="28" t="n">
        <f aca="false">IFERROR(INDEX(Assessments!$J$2:$J$600,MATCH($H412&amp;"|"&amp;$I412&amp;"|"&amp;$J412&amp;"|"&amp;13,Assessments!$A$2:$A$600,0)),0)</f>
        <v>0</v>
      </c>
      <c r="DJ412" s="28" t="n">
        <f aca="false">IFERROR(INDEX(Assessments!$J$2:$J$600,MATCH($H412&amp;"|"&amp;$I412&amp;"|"&amp;$J412&amp;"|"&amp;14,Assessments!$A$2:$A$600,0)),0)</f>
        <v>0</v>
      </c>
      <c r="DK412" s="28" t="str">
        <f aca="false">S412</f>
        <v/>
      </c>
      <c r="DL412" s="28" t="str">
        <f aca="false">W412</f>
        <v/>
      </c>
      <c r="DM412" s="28" t="str">
        <f aca="false">AA412</f>
        <v/>
      </c>
      <c r="DN412" s="28" t="str">
        <f aca="false">AE412</f>
        <v/>
      </c>
      <c r="DO412" s="28" t="str">
        <f aca="false">AI412</f>
        <v/>
      </c>
      <c r="DP412" s="28" t="str">
        <f aca="false">AM412</f>
        <v/>
      </c>
      <c r="DQ412" s="28" t="str">
        <f aca="false">AQ412</f>
        <v/>
      </c>
      <c r="DR412" s="28" t="str">
        <f aca="false">AU412</f>
        <v/>
      </c>
      <c r="DS412" s="28" t="str">
        <f aca="false">AY412</f>
        <v/>
      </c>
      <c r="DT412" s="28" t="str">
        <f aca="false">BC412</f>
        <v/>
      </c>
      <c r="DU412" s="28" t="str">
        <f aca="false">BG412</f>
        <v/>
      </c>
      <c r="DV412" s="28" t="str">
        <f aca="false">BK412</f>
        <v/>
      </c>
      <c r="DW412" s="28" t="str">
        <f aca="false">BO412</f>
        <v/>
      </c>
      <c r="DX412" s="28" t="str">
        <f aca="false">BS412</f>
        <v/>
      </c>
      <c r="DY412" s="28" t="str">
        <f aca="false">IF(ISNUMBER(S412),1,"")</f>
        <v/>
      </c>
      <c r="DZ412" s="28" t="str">
        <f aca="false">IF(ISNUMBER(W412),2,"")</f>
        <v/>
      </c>
      <c r="EA412" s="28" t="str">
        <f aca="false">IF(ISNUMBER(AA412),3,"")</f>
        <v/>
      </c>
      <c r="EB412" s="28" t="str">
        <f aca="false">IF(ISNUMBER(AE412),4,"")</f>
        <v/>
      </c>
      <c r="EC412" s="28" t="str">
        <f aca="false">IF(ISNUMBER(AI412),5,"")</f>
        <v/>
      </c>
      <c r="ED412" s="28" t="str">
        <f aca="false">IF(ISNUMBER(AM412),6,"")</f>
        <v/>
      </c>
      <c r="EE412" s="28" t="str">
        <f aca="false">IF(ISNUMBER(AQ412),7,"")</f>
        <v/>
      </c>
      <c r="EF412" s="28" t="str">
        <f aca="false">IF(ISNUMBER(AU412),8,"")</f>
        <v/>
      </c>
      <c r="EG412" s="28" t="str">
        <f aca="false">IF(ISNUMBER(AY412),9,"")</f>
        <v/>
      </c>
      <c r="EH412" s="28" t="str">
        <f aca="false">IF(ISNUMBER(BC412),10,"")</f>
        <v/>
      </c>
      <c r="EI412" s="28" t="str">
        <f aca="false">IF(ISNUMBER(BG412),11,"")</f>
        <v/>
      </c>
      <c r="EJ412" s="28" t="str">
        <f aca="false">IF(ISNUMBER(BK412),12,"")</f>
        <v/>
      </c>
      <c r="EK412" s="28" t="str">
        <f aca="false">IF(ISNUMBER(BO412),13,"")</f>
        <v/>
      </c>
      <c r="EL412" s="28" t="str">
        <f aca="false">IF(ISNUMBER(BS412),14,"")</f>
        <v/>
      </c>
      <c r="EM412" s="28" t="n">
        <f aca="false">IF(ISNUMBER(R412),R412*CW412,0)</f>
        <v>0</v>
      </c>
      <c r="EN412" s="28" t="n">
        <f aca="false">IF(ISNUMBER(V412),V412*CX412,0)</f>
        <v>0</v>
      </c>
      <c r="EO412" s="28" t="n">
        <f aca="false">IF(ISNUMBER(Z412),Z412*CY412,0)</f>
        <v>0</v>
      </c>
      <c r="EP412" s="28" t="n">
        <f aca="false">IF(ISNUMBER(AD412),AD412*CZ412,0)</f>
        <v>0</v>
      </c>
      <c r="EQ412" s="28" t="n">
        <f aca="false">IF(ISNUMBER(AH412),AH412*DA412,0)</f>
        <v>0</v>
      </c>
      <c r="ER412" s="28" t="n">
        <f aca="false">IF(ISNUMBER(AL412),AL412*DB412,0)</f>
        <v>0</v>
      </c>
      <c r="ES412" s="28" t="n">
        <f aca="false">IF(ISNUMBER(AP412),AP412*DC412,0)</f>
        <v>0</v>
      </c>
      <c r="ET412" s="28" t="n">
        <f aca="false">IF(ISNUMBER(AT412),AT412*DD412,0)</f>
        <v>0</v>
      </c>
      <c r="EU412" s="28" t="n">
        <f aca="false">IF(ISNUMBER(AX412),AX412*DE412,0)</f>
        <v>0</v>
      </c>
      <c r="EV412" s="28" t="n">
        <f aca="false">IF(ISNUMBER(BB412),BB412*DF412,0)</f>
        <v>0</v>
      </c>
      <c r="EW412" s="28" t="n">
        <f aca="false">IF(ISNUMBER(BF412),BF412*DG412,0)</f>
        <v>0</v>
      </c>
      <c r="EX412" s="28" t="n">
        <f aca="false">IF(ISNUMBER(BJ412),BJ412*DH412,0)</f>
        <v>0</v>
      </c>
      <c r="EY412" s="28" t="n">
        <f aca="false">IF(ISNUMBER(BN412),BN412*DI412,0)</f>
        <v>0</v>
      </c>
      <c r="EZ412" s="28" t="n">
        <f aca="false">IF(ISNUMBER(BR412),BR412*DJ412,0)</f>
        <v>0</v>
      </c>
      <c r="FA412" s="28" t="n">
        <f aca="false">IF(ISNUMBER(R412),CW412,0)</f>
        <v>0</v>
      </c>
      <c r="FB412" s="28" t="n">
        <f aca="false">IF(ISNUMBER(V412),CX412,0)</f>
        <v>0</v>
      </c>
      <c r="FC412" s="28" t="n">
        <f aca="false">IF(ISNUMBER(Z412),CY412,0)</f>
        <v>0</v>
      </c>
      <c r="FD412" s="28" t="n">
        <f aca="false">IF(ISNUMBER(AD412),CZ412,0)</f>
        <v>0</v>
      </c>
      <c r="FE412" s="28" t="n">
        <f aca="false">IF(ISNUMBER(AH412),DA412,0)</f>
        <v>0</v>
      </c>
      <c r="FF412" s="28" t="n">
        <f aca="false">IF(ISNUMBER(AL412),DB412,0)</f>
        <v>0</v>
      </c>
      <c r="FG412" s="28" t="n">
        <f aca="false">IF(ISNUMBER(AP412),DC412,0)</f>
        <v>0</v>
      </c>
      <c r="FH412" s="28" t="n">
        <f aca="false">IF(ISNUMBER(AT412),DD412,0)</f>
        <v>0</v>
      </c>
      <c r="FI412" s="28" t="n">
        <f aca="false">IF(ISNUMBER(AX412),DE412,0)</f>
        <v>0</v>
      </c>
      <c r="FJ412" s="28" t="n">
        <f aca="false">IF(ISNUMBER(BB412),DF412,0)</f>
        <v>0</v>
      </c>
      <c r="FK412" s="28" t="n">
        <f aca="false">IF(ISNUMBER(BF412),DG412,0)</f>
        <v>0</v>
      </c>
      <c r="FL412" s="28" t="n">
        <f aca="false">IF(ISNUMBER(BJ412),DH412,0)</f>
        <v>0</v>
      </c>
      <c r="FM412" s="28" t="n">
        <f aca="false">IF(ISNUMBER(BN412),DI412,0)</f>
        <v>0</v>
      </c>
      <c r="FN412" s="28" t="n">
        <f aca="false">IF(ISNUMBER(BR412),DJ412,0)</f>
        <v>0</v>
      </c>
      <c r="FO412" s="28" t="str">
        <f aca="false">IFERROR(INDEX(Lists!$G$2:$G$20,MATCH($I412&amp;"|"&amp;$J412,Lists!$F$2:$F$20,0)),"")</f>
        <v/>
      </c>
    </row>
    <row r="413" customFormat="false" ht="19.5" hidden="false" customHeight="true" outlineLevel="0" collapsed="false">
      <c r="A413" s="29"/>
      <c r="B413" s="29"/>
      <c r="C413" s="30"/>
      <c r="D413" s="30"/>
      <c r="E413" s="31"/>
      <c r="F413" s="30"/>
      <c r="G413" s="30"/>
      <c r="H413" s="32"/>
      <c r="I413" s="33"/>
      <c r="J413" s="32"/>
      <c r="K413" s="34" t="str">
        <f aca="false">IF(OR(M413="",$E413=""),"",M413-$E413)</f>
        <v/>
      </c>
      <c r="L413" s="35" t="str">
        <f aca="false">IF(SUM(FA413:FN413)=0,"",SUM(EM413:EZ413)/SUM(FA413:FN413))</f>
        <v/>
      </c>
      <c r="M413" s="36" t="str">
        <f aca="false">IF(OR(L413="",FO413=""),"",IFERROR(MATCH(L413,INDEX(Boundaries!$B$2:$I$30,MATCH(FO413,Boundaries!$A$2:$A$30,0),0),1)-1,""))</f>
        <v/>
      </c>
      <c r="N413" s="37" t="str">
        <f aca="false">IF(COUNT($DY413:$EL413)&lt;2,"",INDEX($DK413:$DX413,MAX($DY413:$EL413))-INDEX($DK413:$DX413,MIN($DY413:$EL413)))</f>
        <v/>
      </c>
      <c r="O413" s="37" t="str">
        <f aca="false">IF(COUNT($DY413:$EL413)&lt;2,"",INDEX($DK413:$DX413,MAX($DY413:$EL413))-INDEX($DK413:$DX413,LARGE($DY413:$EL413,2)))</f>
        <v/>
      </c>
      <c r="P413" s="38" t="str">
        <f aca="false">IF(K413="","",IF(K413&gt;=0,"On/above target",IF(AND(N413&lt;&gt;"",N413&gt;=0.5),"Improving towards target",IF(AND(O413&lt;&gt;"",O413&lt;=-0.5),"Declining","Stable below target"))))</f>
        <v/>
      </c>
      <c r="Q413" s="39"/>
      <c r="R413" s="40" t="str">
        <f aca="false">IF(OR(Q413="",BU413=""),"",Q413/BU413*100)</f>
        <v/>
      </c>
      <c r="S413" s="41" t="str">
        <f aca="false">IF(R413="","",IFERROR(MATCH(R413,INDEX(Boundaries!$B$2:$I$30,MATCH(CI413,Boundaries!$A$2:$A$30,0),0),1)-1,""))</f>
        <v/>
      </c>
      <c r="T413" s="42" t="str">
        <f aca="false">IF(OR(S413="",$E413=""),"",S413-$E413)</f>
        <v/>
      </c>
      <c r="U413" s="39"/>
      <c r="V413" s="40" t="str">
        <f aca="false">IF(OR(U413="",BV413=""),"",U413/BV413*100)</f>
        <v/>
      </c>
      <c r="W413" s="41" t="str">
        <f aca="false">IF(V413="","",IFERROR(MATCH(V413,INDEX(Boundaries!$B$2:$I$30,MATCH(CJ413,Boundaries!$A$2:$A$30,0),0),1)-1,""))</f>
        <v/>
      </c>
      <c r="X413" s="42" t="str">
        <f aca="false">IF(OR(W413="",$E413=""),"",W413-$E413)</f>
        <v/>
      </c>
      <c r="Y413" s="39"/>
      <c r="Z413" s="40" t="str">
        <f aca="false">IF(OR(Y413="",BW413=""),"",Y413/BW413*100)</f>
        <v/>
      </c>
      <c r="AA413" s="41" t="str">
        <f aca="false">IF(Z413="","",IFERROR(MATCH(Z413,INDEX(Boundaries!$B$2:$I$30,MATCH(CK413,Boundaries!$A$2:$A$30,0),0),1)-1,""))</f>
        <v/>
      </c>
      <c r="AB413" s="42" t="str">
        <f aca="false">IF(OR(AA413="",$E413=""),"",AA413-$E413)</f>
        <v/>
      </c>
      <c r="AC413" s="39"/>
      <c r="AD413" s="40" t="str">
        <f aca="false">IF(OR(AC413="",BX413=""),"",AC413/BX413*100)</f>
        <v/>
      </c>
      <c r="AE413" s="41" t="str">
        <f aca="false">IF(AD413="","",IFERROR(MATCH(AD413,INDEX(Boundaries!$B$2:$I$30,MATCH(CL413,Boundaries!$A$2:$A$30,0),0),1)-1,""))</f>
        <v/>
      </c>
      <c r="AF413" s="42" t="str">
        <f aca="false">IF(OR(AE413="",$E413=""),"",AE413-$E413)</f>
        <v/>
      </c>
      <c r="AG413" s="39"/>
      <c r="AH413" s="40" t="str">
        <f aca="false">IF(OR(AG413="",BY413=""),"",AG413/BY413*100)</f>
        <v/>
      </c>
      <c r="AI413" s="41" t="str">
        <f aca="false">IF(AH413="","",IFERROR(MATCH(AH413,INDEX(Boundaries!$B$2:$I$30,MATCH(CM413,Boundaries!$A$2:$A$30,0),0),1)-1,""))</f>
        <v/>
      </c>
      <c r="AJ413" s="42" t="str">
        <f aca="false">IF(OR(AI413="",$E413=""),"",AI413-$E413)</f>
        <v/>
      </c>
      <c r="AK413" s="39"/>
      <c r="AL413" s="40" t="str">
        <f aca="false">IF(OR(AK413="",BZ413=""),"",AK413/BZ413*100)</f>
        <v/>
      </c>
      <c r="AM413" s="41" t="str">
        <f aca="false">IF(AL413="","",IFERROR(MATCH(AL413,INDEX(Boundaries!$B$2:$I$30,MATCH(CN413,Boundaries!$A$2:$A$30,0),0),1)-1,""))</f>
        <v/>
      </c>
      <c r="AN413" s="42" t="str">
        <f aca="false">IF(OR(AM413="",$E413=""),"",AM413-$E413)</f>
        <v/>
      </c>
      <c r="AO413" s="39"/>
      <c r="AP413" s="40" t="str">
        <f aca="false">IF(OR(AO413="",CA413=""),"",AO413/CA413*100)</f>
        <v/>
      </c>
      <c r="AQ413" s="41" t="str">
        <f aca="false">IF(AP413="","",IFERROR(MATCH(AP413,INDEX(Boundaries!$B$2:$I$30,MATCH(CO413,Boundaries!$A$2:$A$30,0),0),1)-1,""))</f>
        <v/>
      </c>
      <c r="AR413" s="42" t="str">
        <f aca="false">IF(OR(AQ413="",$E413=""),"",AQ413-$E413)</f>
        <v/>
      </c>
      <c r="AS413" s="39"/>
      <c r="AT413" s="40" t="str">
        <f aca="false">IF(OR(AS413="",CB413=""),"",AS413/CB413*100)</f>
        <v/>
      </c>
      <c r="AU413" s="41" t="str">
        <f aca="false">IF(AT413="","",IFERROR(MATCH(AT413,INDEX(Boundaries!$B$2:$I$30,MATCH(CP413,Boundaries!$A$2:$A$30,0),0),1)-1,""))</f>
        <v/>
      </c>
      <c r="AV413" s="42" t="str">
        <f aca="false">IF(OR(AU413="",$E413=""),"",AU413-$E413)</f>
        <v/>
      </c>
      <c r="AW413" s="39"/>
      <c r="AX413" s="40" t="str">
        <f aca="false">IF(OR(AW413="",CC413=""),"",AW413/CC413*100)</f>
        <v/>
      </c>
      <c r="AY413" s="41" t="str">
        <f aca="false">IF(AX413="","",IFERROR(MATCH(AX413,INDEX(Boundaries!$B$2:$I$30,MATCH(CQ413,Boundaries!$A$2:$A$30,0),0),1)-1,""))</f>
        <v/>
      </c>
      <c r="AZ413" s="42" t="str">
        <f aca="false">IF(OR(AY413="",$E413=""),"",AY413-$E413)</f>
        <v/>
      </c>
      <c r="BA413" s="39"/>
      <c r="BB413" s="40" t="str">
        <f aca="false">IF(OR(BA413="",CD413=""),"",BA413/CD413*100)</f>
        <v/>
      </c>
      <c r="BC413" s="41" t="str">
        <f aca="false">IF(BB413="","",IFERROR(MATCH(BB413,INDEX(Boundaries!$B$2:$I$30,MATCH(CR413,Boundaries!$A$2:$A$30,0),0),1)-1,""))</f>
        <v/>
      </c>
      <c r="BD413" s="42" t="str">
        <f aca="false">IF(OR(BC413="",$E413=""),"",BC413-$E413)</f>
        <v/>
      </c>
      <c r="BE413" s="39"/>
      <c r="BF413" s="40" t="str">
        <f aca="false">IF(OR(BE413="",CE413=""),"",BE413/CE413*100)</f>
        <v/>
      </c>
      <c r="BG413" s="41" t="str">
        <f aca="false">IF(BF413="","",IFERROR(MATCH(BF413,INDEX(Boundaries!$B$2:$I$30,MATCH(CS413,Boundaries!$A$2:$A$30,0),0),1)-1,""))</f>
        <v/>
      </c>
      <c r="BH413" s="42" t="str">
        <f aca="false">IF(OR(BG413="",$E413=""),"",BG413-$E413)</f>
        <v/>
      </c>
      <c r="BI413" s="39"/>
      <c r="BJ413" s="40" t="str">
        <f aca="false">IF(OR(BI413="",CF413=""),"",BI413/CF413*100)</f>
        <v/>
      </c>
      <c r="BK413" s="41" t="str">
        <f aca="false">IF(BJ413="","",IFERROR(MATCH(BJ413,INDEX(Boundaries!$B$2:$I$30,MATCH(CT413,Boundaries!$A$2:$A$30,0),0),1)-1,""))</f>
        <v/>
      </c>
      <c r="BL413" s="42" t="str">
        <f aca="false">IF(OR(BK413="",$E413=""),"",BK413-$E413)</f>
        <v/>
      </c>
      <c r="BM413" s="39"/>
      <c r="BN413" s="40" t="str">
        <f aca="false">IF(OR(BM413="",CG413=""),"",BM413/CG413*100)</f>
        <v/>
      </c>
      <c r="BO413" s="41" t="str">
        <f aca="false">IF(BN413="","",IFERROR(MATCH(BN413,INDEX(Boundaries!$B$2:$I$30,MATCH(CU413,Boundaries!$A$2:$A$30,0),0),1)-1,""))</f>
        <v/>
      </c>
      <c r="BP413" s="42" t="str">
        <f aca="false">IF(OR(BO413="",$E413=""),"",BO413-$E413)</f>
        <v/>
      </c>
      <c r="BQ413" s="39"/>
      <c r="BR413" s="40" t="str">
        <f aca="false">IF(OR(BQ413="",CH413=""),"",BQ413/CH413*100)</f>
        <v/>
      </c>
      <c r="BS413" s="41" t="str">
        <f aca="false">IF(BR413="","",IFERROR(MATCH(BR413,INDEX(Boundaries!$B$2:$I$30,MATCH(CV413,Boundaries!$A$2:$A$30,0),0),1)-1,""))</f>
        <v/>
      </c>
      <c r="BT413" s="42" t="str">
        <f aca="false">IF(OR(BS413="",$E413=""),"",BS413-$E413)</f>
        <v/>
      </c>
      <c r="BU413" s="28" t="str">
        <f aca="false">IFERROR(INDEX(Assessments!$H$2:$H$600,MATCH($H413&amp;"|"&amp;$I413&amp;"|"&amp;$J413&amp;"|"&amp;1,Assessments!$A$2:$A$600,0)),"")</f>
        <v/>
      </c>
      <c r="BV413" s="28" t="str">
        <f aca="false">IFERROR(INDEX(Assessments!$H$2:$H$600,MATCH($H413&amp;"|"&amp;$I413&amp;"|"&amp;$J413&amp;"|"&amp;2,Assessments!$A$2:$A$600,0)),"")</f>
        <v/>
      </c>
      <c r="BW413" s="28" t="str">
        <f aca="false">IFERROR(INDEX(Assessments!$H$2:$H$600,MATCH($H413&amp;"|"&amp;$I413&amp;"|"&amp;$J413&amp;"|"&amp;3,Assessments!$A$2:$A$600,0)),"")</f>
        <v/>
      </c>
      <c r="BX413" s="28" t="str">
        <f aca="false">IFERROR(INDEX(Assessments!$H$2:$H$600,MATCH($H413&amp;"|"&amp;$I413&amp;"|"&amp;$J413&amp;"|"&amp;4,Assessments!$A$2:$A$600,0)),"")</f>
        <v/>
      </c>
      <c r="BY413" s="28" t="str">
        <f aca="false">IFERROR(INDEX(Assessments!$H$2:$H$600,MATCH($H413&amp;"|"&amp;$I413&amp;"|"&amp;$J413&amp;"|"&amp;5,Assessments!$A$2:$A$600,0)),"")</f>
        <v/>
      </c>
      <c r="BZ413" s="28" t="str">
        <f aca="false">IFERROR(INDEX(Assessments!$H$2:$H$600,MATCH($H413&amp;"|"&amp;$I413&amp;"|"&amp;$J413&amp;"|"&amp;6,Assessments!$A$2:$A$600,0)),"")</f>
        <v/>
      </c>
      <c r="CA413" s="28" t="str">
        <f aca="false">IFERROR(INDEX(Assessments!$H$2:$H$600,MATCH($H413&amp;"|"&amp;$I413&amp;"|"&amp;$J413&amp;"|"&amp;7,Assessments!$A$2:$A$600,0)),"")</f>
        <v/>
      </c>
      <c r="CB413" s="28" t="str">
        <f aca="false">IFERROR(INDEX(Assessments!$H$2:$H$600,MATCH($H413&amp;"|"&amp;$I413&amp;"|"&amp;$J413&amp;"|"&amp;8,Assessments!$A$2:$A$600,0)),"")</f>
        <v/>
      </c>
      <c r="CC413" s="28" t="str">
        <f aca="false">IFERROR(INDEX(Assessments!$H$2:$H$600,MATCH($H413&amp;"|"&amp;$I413&amp;"|"&amp;$J413&amp;"|"&amp;9,Assessments!$A$2:$A$600,0)),"")</f>
        <v/>
      </c>
      <c r="CD413" s="28" t="str">
        <f aca="false">IFERROR(INDEX(Assessments!$H$2:$H$600,MATCH($H413&amp;"|"&amp;$I413&amp;"|"&amp;$J413&amp;"|"&amp;10,Assessments!$A$2:$A$600,0)),"")</f>
        <v/>
      </c>
      <c r="CE413" s="28" t="str">
        <f aca="false">IFERROR(INDEX(Assessments!$H$2:$H$600,MATCH($H413&amp;"|"&amp;$I413&amp;"|"&amp;$J413&amp;"|"&amp;11,Assessments!$A$2:$A$600,0)),"")</f>
        <v/>
      </c>
      <c r="CF413" s="28" t="str">
        <f aca="false">IFERROR(INDEX(Assessments!$H$2:$H$600,MATCH($H413&amp;"|"&amp;$I413&amp;"|"&amp;$J413&amp;"|"&amp;12,Assessments!$A$2:$A$600,0)),"")</f>
        <v/>
      </c>
      <c r="CG413" s="28" t="str">
        <f aca="false">IFERROR(INDEX(Assessments!$H$2:$H$600,MATCH($H413&amp;"|"&amp;$I413&amp;"|"&amp;$J413&amp;"|"&amp;13,Assessments!$A$2:$A$600,0)),"")</f>
        <v/>
      </c>
      <c r="CH413" s="28" t="str">
        <f aca="false">IFERROR(INDEX(Assessments!$H$2:$H$600,MATCH($H413&amp;"|"&amp;$I413&amp;"|"&amp;$J413&amp;"|"&amp;14,Assessments!$A$2:$A$600,0)),"")</f>
        <v/>
      </c>
      <c r="CI413" s="28" t="str">
        <f aca="false">IFERROR(INDEX(Assessments!$I$2:$I$600,MATCH($H413&amp;"|"&amp;$I413&amp;"|"&amp;$J413&amp;"|"&amp;1,Assessments!$A$2:$A$600,0)),"")</f>
        <v/>
      </c>
      <c r="CJ413" s="28" t="str">
        <f aca="false">IFERROR(INDEX(Assessments!$I$2:$I$600,MATCH($H413&amp;"|"&amp;$I413&amp;"|"&amp;$J413&amp;"|"&amp;2,Assessments!$A$2:$A$600,0)),"")</f>
        <v/>
      </c>
      <c r="CK413" s="28" t="str">
        <f aca="false">IFERROR(INDEX(Assessments!$I$2:$I$600,MATCH($H413&amp;"|"&amp;$I413&amp;"|"&amp;$J413&amp;"|"&amp;3,Assessments!$A$2:$A$600,0)),"")</f>
        <v/>
      </c>
      <c r="CL413" s="28" t="str">
        <f aca="false">IFERROR(INDEX(Assessments!$I$2:$I$600,MATCH($H413&amp;"|"&amp;$I413&amp;"|"&amp;$J413&amp;"|"&amp;4,Assessments!$A$2:$A$600,0)),"")</f>
        <v/>
      </c>
      <c r="CM413" s="28" t="str">
        <f aca="false">IFERROR(INDEX(Assessments!$I$2:$I$600,MATCH($H413&amp;"|"&amp;$I413&amp;"|"&amp;$J413&amp;"|"&amp;5,Assessments!$A$2:$A$600,0)),"")</f>
        <v/>
      </c>
      <c r="CN413" s="28" t="str">
        <f aca="false">IFERROR(INDEX(Assessments!$I$2:$I$600,MATCH($H413&amp;"|"&amp;$I413&amp;"|"&amp;$J413&amp;"|"&amp;6,Assessments!$A$2:$A$600,0)),"")</f>
        <v/>
      </c>
      <c r="CO413" s="28" t="str">
        <f aca="false">IFERROR(INDEX(Assessments!$I$2:$I$600,MATCH($H413&amp;"|"&amp;$I413&amp;"|"&amp;$J413&amp;"|"&amp;7,Assessments!$A$2:$A$600,0)),"")</f>
        <v/>
      </c>
      <c r="CP413" s="28" t="str">
        <f aca="false">IFERROR(INDEX(Assessments!$I$2:$I$600,MATCH($H413&amp;"|"&amp;$I413&amp;"|"&amp;$J413&amp;"|"&amp;8,Assessments!$A$2:$A$600,0)),"")</f>
        <v/>
      </c>
      <c r="CQ413" s="28" t="str">
        <f aca="false">IFERROR(INDEX(Assessments!$I$2:$I$600,MATCH($H413&amp;"|"&amp;$I413&amp;"|"&amp;$J413&amp;"|"&amp;9,Assessments!$A$2:$A$600,0)),"")</f>
        <v/>
      </c>
      <c r="CR413" s="28" t="str">
        <f aca="false">IFERROR(INDEX(Assessments!$I$2:$I$600,MATCH($H413&amp;"|"&amp;$I413&amp;"|"&amp;$J413&amp;"|"&amp;10,Assessments!$A$2:$A$600,0)),"")</f>
        <v/>
      </c>
      <c r="CS413" s="28" t="str">
        <f aca="false">IFERROR(INDEX(Assessments!$I$2:$I$600,MATCH($H413&amp;"|"&amp;$I413&amp;"|"&amp;$J413&amp;"|"&amp;11,Assessments!$A$2:$A$600,0)),"")</f>
        <v/>
      </c>
      <c r="CT413" s="28" t="str">
        <f aca="false">IFERROR(INDEX(Assessments!$I$2:$I$600,MATCH($H413&amp;"|"&amp;$I413&amp;"|"&amp;$J413&amp;"|"&amp;12,Assessments!$A$2:$A$600,0)),"")</f>
        <v/>
      </c>
      <c r="CU413" s="28" t="str">
        <f aca="false">IFERROR(INDEX(Assessments!$I$2:$I$600,MATCH($H413&amp;"|"&amp;$I413&amp;"|"&amp;$J413&amp;"|"&amp;13,Assessments!$A$2:$A$600,0)),"")</f>
        <v/>
      </c>
      <c r="CV413" s="28" t="str">
        <f aca="false">IFERROR(INDEX(Assessments!$I$2:$I$600,MATCH($H413&amp;"|"&amp;$I413&amp;"|"&amp;$J413&amp;"|"&amp;14,Assessments!$A$2:$A$600,0)),"")</f>
        <v/>
      </c>
      <c r="CW413" s="28" t="n">
        <f aca="false">IFERROR(INDEX(Assessments!$J$2:$J$600,MATCH($H413&amp;"|"&amp;$I413&amp;"|"&amp;$J413&amp;"|"&amp;1,Assessments!$A$2:$A$600,0)),0)</f>
        <v>0</v>
      </c>
      <c r="CX413" s="28" t="n">
        <f aca="false">IFERROR(INDEX(Assessments!$J$2:$J$600,MATCH($H413&amp;"|"&amp;$I413&amp;"|"&amp;$J413&amp;"|"&amp;2,Assessments!$A$2:$A$600,0)),0)</f>
        <v>0</v>
      </c>
      <c r="CY413" s="28" t="n">
        <f aca="false">IFERROR(INDEX(Assessments!$J$2:$J$600,MATCH($H413&amp;"|"&amp;$I413&amp;"|"&amp;$J413&amp;"|"&amp;3,Assessments!$A$2:$A$600,0)),0)</f>
        <v>0</v>
      </c>
      <c r="CZ413" s="28" t="n">
        <f aca="false">IFERROR(INDEX(Assessments!$J$2:$J$600,MATCH($H413&amp;"|"&amp;$I413&amp;"|"&amp;$J413&amp;"|"&amp;4,Assessments!$A$2:$A$600,0)),0)</f>
        <v>0</v>
      </c>
      <c r="DA413" s="28" t="n">
        <f aca="false">IFERROR(INDEX(Assessments!$J$2:$J$600,MATCH($H413&amp;"|"&amp;$I413&amp;"|"&amp;$J413&amp;"|"&amp;5,Assessments!$A$2:$A$600,0)),0)</f>
        <v>0</v>
      </c>
      <c r="DB413" s="28" t="n">
        <f aca="false">IFERROR(INDEX(Assessments!$J$2:$J$600,MATCH($H413&amp;"|"&amp;$I413&amp;"|"&amp;$J413&amp;"|"&amp;6,Assessments!$A$2:$A$600,0)),0)</f>
        <v>0</v>
      </c>
      <c r="DC413" s="28" t="n">
        <f aca="false">IFERROR(INDEX(Assessments!$J$2:$J$600,MATCH($H413&amp;"|"&amp;$I413&amp;"|"&amp;$J413&amp;"|"&amp;7,Assessments!$A$2:$A$600,0)),0)</f>
        <v>0</v>
      </c>
      <c r="DD413" s="28" t="n">
        <f aca="false">IFERROR(INDEX(Assessments!$J$2:$J$600,MATCH($H413&amp;"|"&amp;$I413&amp;"|"&amp;$J413&amp;"|"&amp;8,Assessments!$A$2:$A$600,0)),0)</f>
        <v>0</v>
      </c>
      <c r="DE413" s="28" t="n">
        <f aca="false">IFERROR(INDEX(Assessments!$J$2:$J$600,MATCH($H413&amp;"|"&amp;$I413&amp;"|"&amp;$J413&amp;"|"&amp;9,Assessments!$A$2:$A$600,0)),0)</f>
        <v>0</v>
      </c>
      <c r="DF413" s="28" t="n">
        <f aca="false">IFERROR(INDEX(Assessments!$J$2:$J$600,MATCH($H413&amp;"|"&amp;$I413&amp;"|"&amp;$J413&amp;"|"&amp;10,Assessments!$A$2:$A$600,0)),0)</f>
        <v>0</v>
      </c>
      <c r="DG413" s="28" t="n">
        <f aca="false">IFERROR(INDEX(Assessments!$J$2:$J$600,MATCH($H413&amp;"|"&amp;$I413&amp;"|"&amp;$J413&amp;"|"&amp;11,Assessments!$A$2:$A$600,0)),0)</f>
        <v>0</v>
      </c>
      <c r="DH413" s="28" t="n">
        <f aca="false">IFERROR(INDEX(Assessments!$J$2:$J$600,MATCH($H413&amp;"|"&amp;$I413&amp;"|"&amp;$J413&amp;"|"&amp;12,Assessments!$A$2:$A$600,0)),0)</f>
        <v>0</v>
      </c>
      <c r="DI413" s="28" t="n">
        <f aca="false">IFERROR(INDEX(Assessments!$J$2:$J$600,MATCH($H413&amp;"|"&amp;$I413&amp;"|"&amp;$J413&amp;"|"&amp;13,Assessments!$A$2:$A$600,0)),0)</f>
        <v>0</v>
      </c>
      <c r="DJ413" s="28" t="n">
        <f aca="false">IFERROR(INDEX(Assessments!$J$2:$J$600,MATCH($H413&amp;"|"&amp;$I413&amp;"|"&amp;$J413&amp;"|"&amp;14,Assessments!$A$2:$A$600,0)),0)</f>
        <v>0</v>
      </c>
      <c r="DK413" s="28" t="str">
        <f aca="false">S413</f>
        <v/>
      </c>
      <c r="DL413" s="28" t="str">
        <f aca="false">W413</f>
        <v/>
      </c>
      <c r="DM413" s="28" t="str">
        <f aca="false">AA413</f>
        <v/>
      </c>
      <c r="DN413" s="28" t="str">
        <f aca="false">AE413</f>
        <v/>
      </c>
      <c r="DO413" s="28" t="str">
        <f aca="false">AI413</f>
        <v/>
      </c>
      <c r="DP413" s="28" t="str">
        <f aca="false">AM413</f>
        <v/>
      </c>
      <c r="DQ413" s="28" t="str">
        <f aca="false">AQ413</f>
        <v/>
      </c>
      <c r="DR413" s="28" t="str">
        <f aca="false">AU413</f>
        <v/>
      </c>
      <c r="DS413" s="28" t="str">
        <f aca="false">AY413</f>
        <v/>
      </c>
      <c r="DT413" s="28" t="str">
        <f aca="false">BC413</f>
        <v/>
      </c>
      <c r="DU413" s="28" t="str">
        <f aca="false">BG413</f>
        <v/>
      </c>
      <c r="DV413" s="28" t="str">
        <f aca="false">BK413</f>
        <v/>
      </c>
      <c r="DW413" s="28" t="str">
        <f aca="false">BO413</f>
        <v/>
      </c>
      <c r="DX413" s="28" t="str">
        <f aca="false">BS413</f>
        <v/>
      </c>
      <c r="DY413" s="28" t="str">
        <f aca="false">IF(ISNUMBER(S413),1,"")</f>
        <v/>
      </c>
      <c r="DZ413" s="28" t="str">
        <f aca="false">IF(ISNUMBER(W413),2,"")</f>
        <v/>
      </c>
      <c r="EA413" s="28" t="str">
        <f aca="false">IF(ISNUMBER(AA413),3,"")</f>
        <v/>
      </c>
      <c r="EB413" s="28" t="str">
        <f aca="false">IF(ISNUMBER(AE413),4,"")</f>
        <v/>
      </c>
      <c r="EC413" s="28" t="str">
        <f aca="false">IF(ISNUMBER(AI413),5,"")</f>
        <v/>
      </c>
      <c r="ED413" s="28" t="str">
        <f aca="false">IF(ISNUMBER(AM413),6,"")</f>
        <v/>
      </c>
      <c r="EE413" s="28" t="str">
        <f aca="false">IF(ISNUMBER(AQ413),7,"")</f>
        <v/>
      </c>
      <c r="EF413" s="28" t="str">
        <f aca="false">IF(ISNUMBER(AU413),8,"")</f>
        <v/>
      </c>
      <c r="EG413" s="28" t="str">
        <f aca="false">IF(ISNUMBER(AY413),9,"")</f>
        <v/>
      </c>
      <c r="EH413" s="28" t="str">
        <f aca="false">IF(ISNUMBER(BC413),10,"")</f>
        <v/>
      </c>
      <c r="EI413" s="28" t="str">
        <f aca="false">IF(ISNUMBER(BG413),11,"")</f>
        <v/>
      </c>
      <c r="EJ413" s="28" t="str">
        <f aca="false">IF(ISNUMBER(BK413),12,"")</f>
        <v/>
      </c>
      <c r="EK413" s="28" t="str">
        <f aca="false">IF(ISNUMBER(BO413),13,"")</f>
        <v/>
      </c>
      <c r="EL413" s="28" t="str">
        <f aca="false">IF(ISNUMBER(BS413),14,"")</f>
        <v/>
      </c>
      <c r="EM413" s="28" t="n">
        <f aca="false">IF(ISNUMBER(R413),R413*CW413,0)</f>
        <v>0</v>
      </c>
      <c r="EN413" s="28" t="n">
        <f aca="false">IF(ISNUMBER(V413),V413*CX413,0)</f>
        <v>0</v>
      </c>
      <c r="EO413" s="28" t="n">
        <f aca="false">IF(ISNUMBER(Z413),Z413*CY413,0)</f>
        <v>0</v>
      </c>
      <c r="EP413" s="28" t="n">
        <f aca="false">IF(ISNUMBER(AD413),AD413*CZ413,0)</f>
        <v>0</v>
      </c>
      <c r="EQ413" s="28" t="n">
        <f aca="false">IF(ISNUMBER(AH413),AH413*DA413,0)</f>
        <v>0</v>
      </c>
      <c r="ER413" s="28" t="n">
        <f aca="false">IF(ISNUMBER(AL413),AL413*DB413,0)</f>
        <v>0</v>
      </c>
      <c r="ES413" s="28" t="n">
        <f aca="false">IF(ISNUMBER(AP413),AP413*DC413,0)</f>
        <v>0</v>
      </c>
      <c r="ET413" s="28" t="n">
        <f aca="false">IF(ISNUMBER(AT413),AT413*DD413,0)</f>
        <v>0</v>
      </c>
      <c r="EU413" s="28" t="n">
        <f aca="false">IF(ISNUMBER(AX413),AX413*DE413,0)</f>
        <v>0</v>
      </c>
      <c r="EV413" s="28" t="n">
        <f aca="false">IF(ISNUMBER(BB413),BB413*DF413,0)</f>
        <v>0</v>
      </c>
      <c r="EW413" s="28" t="n">
        <f aca="false">IF(ISNUMBER(BF413),BF413*DG413,0)</f>
        <v>0</v>
      </c>
      <c r="EX413" s="28" t="n">
        <f aca="false">IF(ISNUMBER(BJ413),BJ413*DH413,0)</f>
        <v>0</v>
      </c>
      <c r="EY413" s="28" t="n">
        <f aca="false">IF(ISNUMBER(BN413),BN413*DI413,0)</f>
        <v>0</v>
      </c>
      <c r="EZ413" s="28" t="n">
        <f aca="false">IF(ISNUMBER(BR413),BR413*DJ413,0)</f>
        <v>0</v>
      </c>
      <c r="FA413" s="28" t="n">
        <f aca="false">IF(ISNUMBER(R413),CW413,0)</f>
        <v>0</v>
      </c>
      <c r="FB413" s="28" t="n">
        <f aca="false">IF(ISNUMBER(V413),CX413,0)</f>
        <v>0</v>
      </c>
      <c r="FC413" s="28" t="n">
        <f aca="false">IF(ISNUMBER(Z413),CY413,0)</f>
        <v>0</v>
      </c>
      <c r="FD413" s="28" t="n">
        <f aca="false">IF(ISNUMBER(AD413),CZ413,0)</f>
        <v>0</v>
      </c>
      <c r="FE413" s="28" t="n">
        <f aca="false">IF(ISNUMBER(AH413),DA413,0)</f>
        <v>0</v>
      </c>
      <c r="FF413" s="28" t="n">
        <f aca="false">IF(ISNUMBER(AL413),DB413,0)</f>
        <v>0</v>
      </c>
      <c r="FG413" s="28" t="n">
        <f aca="false">IF(ISNUMBER(AP413),DC413,0)</f>
        <v>0</v>
      </c>
      <c r="FH413" s="28" t="n">
        <f aca="false">IF(ISNUMBER(AT413),DD413,0)</f>
        <v>0</v>
      </c>
      <c r="FI413" s="28" t="n">
        <f aca="false">IF(ISNUMBER(AX413),DE413,0)</f>
        <v>0</v>
      </c>
      <c r="FJ413" s="28" t="n">
        <f aca="false">IF(ISNUMBER(BB413),DF413,0)</f>
        <v>0</v>
      </c>
      <c r="FK413" s="28" t="n">
        <f aca="false">IF(ISNUMBER(BF413),DG413,0)</f>
        <v>0</v>
      </c>
      <c r="FL413" s="28" t="n">
        <f aca="false">IF(ISNUMBER(BJ413),DH413,0)</f>
        <v>0</v>
      </c>
      <c r="FM413" s="28" t="n">
        <f aca="false">IF(ISNUMBER(BN413),DI413,0)</f>
        <v>0</v>
      </c>
      <c r="FN413" s="28" t="n">
        <f aca="false">IF(ISNUMBER(BR413),DJ413,0)</f>
        <v>0</v>
      </c>
      <c r="FO413" s="28" t="str">
        <f aca="false">IFERROR(INDEX(Lists!$G$2:$G$20,MATCH($I413&amp;"|"&amp;$J413,Lists!$F$2:$F$20,0)),"")</f>
        <v/>
      </c>
    </row>
    <row r="414" customFormat="false" ht="19.5" hidden="false" customHeight="true" outlineLevel="0" collapsed="false">
      <c r="A414" s="29"/>
      <c r="B414" s="29"/>
      <c r="C414" s="30"/>
      <c r="D414" s="30"/>
      <c r="E414" s="31"/>
      <c r="F414" s="30"/>
      <c r="G414" s="30"/>
      <c r="H414" s="32"/>
      <c r="I414" s="33"/>
      <c r="J414" s="32"/>
      <c r="K414" s="34" t="str">
        <f aca="false">IF(OR(M414="",$E414=""),"",M414-$E414)</f>
        <v/>
      </c>
      <c r="L414" s="35" t="str">
        <f aca="false">IF(SUM(FA414:FN414)=0,"",SUM(EM414:EZ414)/SUM(FA414:FN414))</f>
        <v/>
      </c>
      <c r="M414" s="36" t="str">
        <f aca="false">IF(OR(L414="",FO414=""),"",IFERROR(MATCH(L414,INDEX(Boundaries!$B$2:$I$30,MATCH(FO414,Boundaries!$A$2:$A$30,0),0),1)-1,""))</f>
        <v/>
      </c>
      <c r="N414" s="37" t="str">
        <f aca="false">IF(COUNT($DY414:$EL414)&lt;2,"",INDEX($DK414:$DX414,MAX($DY414:$EL414))-INDEX($DK414:$DX414,MIN($DY414:$EL414)))</f>
        <v/>
      </c>
      <c r="O414" s="37" t="str">
        <f aca="false">IF(COUNT($DY414:$EL414)&lt;2,"",INDEX($DK414:$DX414,MAX($DY414:$EL414))-INDEX($DK414:$DX414,LARGE($DY414:$EL414,2)))</f>
        <v/>
      </c>
      <c r="P414" s="38" t="str">
        <f aca="false">IF(K414="","",IF(K414&gt;=0,"On/above target",IF(AND(N414&lt;&gt;"",N414&gt;=0.5),"Improving towards target",IF(AND(O414&lt;&gt;"",O414&lt;=-0.5),"Declining","Stable below target"))))</f>
        <v/>
      </c>
      <c r="Q414" s="39"/>
      <c r="R414" s="40" t="str">
        <f aca="false">IF(OR(Q414="",BU414=""),"",Q414/BU414*100)</f>
        <v/>
      </c>
      <c r="S414" s="41" t="str">
        <f aca="false">IF(R414="","",IFERROR(MATCH(R414,INDEX(Boundaries!$B$2:$I$30,MATCH(CI414,Boundaries!$A$2:$A$30,0),0),1)-1,""))</f>
        <v/>
      </c>
      <c r="T414" s="42" t="str">
        <f aca="false">IF(OR(S414="",$E414=""),"",S414-$E414)</f>
        <v/>
      </c>
      <c r="U414" s="39"/>
      <c r="V414" s="40" t="str">
        <f aca="false">IF(OR(U414="",BV414=""),"",U414/BV414*100)</f>
        <v/>
      </c>
      <c r="W414" s="41" t="str">
        <f aca="false">IF(V414="","",IFERROR(MATCH(V414,INDEX(Boundaries!$B$2:$I$30,MATCH(CJ414,Boundaries!$A$2:$A$30,0),0),1)-1,""))</f>
        <v/>
      </c>
      <c r="X414" s="42" t="str">
        <f aca="false">IF(OR(W414="",$E414=""),"",W414-$E414)</f>
        <v/>
      </c>
      <c r="Y414" s="39"/>
      <c r="Z414" s="40" t="str">
        <f aca="false">IF(OR(Y414="",BW414=""),"",Y414/BW414*100)</f>
        <v/>
      </c>
      <c r="AA414" s="41" t="str">
        <f aca="false">IF(Z414="","",IFERROR(MATCH(Z414,INDEX(Boundaries!$B$2:$I$30,MATCH(CK414,Boundaries!$A$2:$A$30,0),0),1)-1,""))</f>
        <v/>
      </c>
      <c r="AB414" s="42" t="str">
        <f aca="false">IF(OR(AA414="",$E414=""),"",AA414-$E414)</f>
        <v/>
      </c>
      <c r="AC414" s="39"/>
      <c r="AD414" s="40" t="str">
        <f aca="false">IF(OR(AC414="",BX414=""),"",AC414/BX414*100)</f>
        <v/>
      </c>
      <c r="AE414" s="41" t="str">
        <f aca="false">IF(AD414="","",IFERROR(MATCH(AD414,INDEX(Boundaries!$B$2:$I$30,MATCH(CL414,Boundaries!$A$2:$A$30,0),0),1)-1,""))</f>
        <v/>
      </c>
      <c r="AF414" s="42" t="str">
        <f aca="false">IF(OR(AE414="",$E414=""),"",AE414-$E414)</f>
        <v/>
      </c>
      <c r="AG414" s="39"/>
      <c r="AH414" s="40" t="str">
        <f aca="false">IF(OR(AG414="",BY414=""),"",AG414/BY414*100)</f>
        <v/>
      </c>
      <c r="AI414" s="41" t="str">
        <f aca="false">IF(AH414="","",IFERROR(MATCH(AH414,INDEX(Boundaries!$B$2:$I$30,MATCH(CM414,Boundaries!$A$2:$A$30,0),0),1)-1,""))</f>
        <v/>
      </c>
      <c r="AJ414" s="42" t="str">
        <f aca="false">IF(OR(AI414="",$E414=""),"",AI414-$E414)</f>
        <v/>
      </c>
      <c r="AK414" s="39"/>
      <c r="AL414" s="40" t="str">
        <f aca="false">IF(OR(AK414="",BZ414=""),"",AK414/BZ414*100)</f>
        <v/>
      </c>
      <c r="AM414" s="41" t="str">
        <f aca="false">IF(AL414="","",IFERROR(MATCH(AL414,INDEX(Boundaries!$B$2:$I$30,MATCH(CN414,Boundaries!$A$2:$A$30,0),0),1)-1,""))</f>
        <v/>
      </c>
      <c r="AN414" s="42" t="str">
        <f aca="false">IF(OR(AM414="",$E414=""),"",AM414-$E414)</f>
        <v/>
      </c>
      <c r="AO414" s="39"/>
      <c r="AP414" s="40" t="str">
        <f aca="false">IF(OR(AO414="",CA414=""),"",AO414/CA414*100)</f>
        <v/>
      </c>
      <c r="AQ414" s="41" t="str">
        <f aca="false">IF(AP414="","",IFERROR(MATCH(AP414,INDEX(Boundaries!$B$2:$I$30,MATCH(CO414,Boundaries!$A$2:$A$30,0),0),1)-1,""))</f>
        <v/>
      </c>
      <c r="AR414" s="42" t="str">
        <f aca="false">IF(OR(AQ414="",$E414=""),"",AQ414-$E414)</f>
        <v/>
      </c>
      <c r="AS414" s="39"/>
      <c r="AT414" s="40" t="str">
        <f aca="false">IF(OR(AS414="",CB414=""),"",AS414/CB414*100)</f>
        <v/>
      </c>
      <c r="AU414" s="41" t="str">
        <f aca="false">IF(AT414="","",IFERROR(MATCH(AT414,INDEX(Boundaries!$B$2:$I$30,MATCH(CP414,Boundaries!$A$2:$A$30,0),0),1)-1,""))</f>
        <v/>
      </c>
      <c r="AV414" s="42" t="str">
        <f aca="false">IF(OR(AU414="",$E414=""),"",AU414-$E414)</f>
        <v/>
      </c>
      <c r="AW414" s="39"/>
      <c r="AX414" s="40" t="str">
        <f aca="false">IF(OR(AW414="",CC414=""),"",AW414/CC414*100)</f>
        <v/>
      </c>
      <c r="AY414" s="41" t="str">
        <f aca="false">IF(AX414="","",IFERROR(MATCH(AX414,INDEX(Boundaries!$B$2:$I$30,MATCH(CQ414,Boundaries!$A$2:$A$30,0),0),1)-1,""))</f>
        <v/>
      </c>
      <c r="AZ414" s="42" t="str">
        <f aca="false">IF(OR(AY414="",$E414=""),"",AY414-$E414)</f>
        <v/>
      </c>
      <c r="BA414" s="39"/>
      <c r="BB414" s="40" t="str">
        <f aca="false">IF(OR(BA414="",CD414=""),"",BA414/CD414*100)</f>
        <v/>
      </c>
      <c r="BC414" s="41" t="str">
        <f aca="false">IF(BB414="","",IFERROR(MATCH(BB414,INDEX(Boundaries!$B$2:$I$30,MATCH(CR414,Boundaries!$A$2:$A$30,0),0),1)-1,""))</f>
        <v/>
      </c>
      <c r="BD414" s="42" t="str">
        <f aca="false">IF(OR(BC414="",$E414=""),"",BC414-$E414)</f>
        <v/>
      </c>
      <c r="BE414" s="39"/>
      <c r="BF414" s="40" t="str">
        <f aca="false">IF(OR(BE414="",CE414=""),"",BE414/CE414*100)</f>
        <v/>
      </c>
      <c r="BG414" s="41" t="str">
        <f aca="false">IF(BF414="","",IFERROR(MATCH(BF414,INDEX(Boundaries!$B$2:$I$30,MATCH(CS414,Boundaries!$A$2:$A$30,0),0),1)-1,""))</f>
        <v/>
      </c>
      <c r="BH414" s="42" t="str">
        <f aca="false">IF(OR(BG414="",$E414=""),"",BG414-$E414)</f>
        <v/>
      </c>
      <c r="BI414" s="39"/>
      <c r="BJ414" s="40" t="str">
        <f aca="false">IF(OR(BI414="",CF414=""),"",BI414/CF414*100)</f>
        <v/>
      </c>
      <c r="BK414" s="41" t="str">
        <f aca="false">IF(BJ414="","",IFERROR(MATCH(BJ414,INDEX(Boundaries!$B$2:$I$30,MATCH(CT414,Boundaries!$A$2:$A$30,0),0),1)-1,""))</f>
        <v/>
      </c>
      <c r="BL414" s="42" t="str">
        <f aca="false">IF(OR(BK414="",$E414=""),"",BK414-$E414)</f>
        <v/>
      </c>
      <c r="BM414" s="39"/>
      <c r="BN414" s="40" t="str">
        <f aca="false">IF(OR(BM414="",CG414=""),"",BM414/CG414*100)</f>
        <v/>
      </c>
      <c r="BO414" s="41" t="str">
        <f aca="false">IF(BN414="","",IFERROR(MATCH(BN414,INDEX(Boundaries!$B$2:$I$30,MATCH(CU414,Boundaries!$A$2:$A$30,0),0),1)-1,""))</f>
        <v/>
      </c>
      <c r="BP414" s="42" t="str">
        <f aca="false">IF(OR(BO414="",$E414=""),"",BO414-$E414)</f>
        <v/>
      </c>
      <c r="BQ414" s="39"/>
      <c r="BR414" s="40" t="str">
        <f aca="false">IF(OR(BQ414="",CH414=""),"",BQ414/CH414*100)</f>
        <v/>
      </c>
      <c r="BS414" s="41" t="str">
        <f aca="false">IF(BR414="","",IFERROR(MATCH(BR414,INDEX(Boundaries!$B$2:$I$30,MATCH(CV414,Boundaries!$A$2:$A$30,0),0),1)-1,""))</f>
        <v/>
      </c>
      <c r="BT414" s="42" t="str">
        <f aca="false">IF(OR(BS414="",$E414=""),"",BS414-$E414)</f>
        <v/>
      </c>
      <c r="BU414" s="28" t="str">
        <f aca="false">IFERROR(INDEX(Assessments!$H$2:$H$600,MATCH($H414&amp;"|"&amp;$I414&amp;"|"&amp;$J414&amp;"|"&amp;1,Assessments!$A$2:$A$600,0)),"")</f>
        <v/>
      </c>
      <c r="BV414" s="28" t="str">
        <f aca="false">IFERROR(INDEX(Assessments!$H$2:$H$600,MATCH($H414&amp;"|"&amp;$I414&amp;"|"&amp;$J414&amp;"|"&amp;2,Assessments!$A$2:$A$600,0)),"")</f>
        <v/>
      </c>
      <c r="BW414" s="28" t="str">
        <f aca="false">IFERROR(INDEX(Assessments!$H$2:$H$600,MATCH($H414&amp;"|"&amp;$I414&amp;"|"&amp;$J414&amp;"|"&amp;3,Assessments!$A$2:$A$600,0)),"")</f>
        <v/>
      </c>
      <c r="BX414" s="28" t="str">
        <f aca="false">IFERROR(INDEX(Assessments!$H$2:$H$600,MATCH($H414&amp;"|"&amp;$I414&amp;"|"&amp;$J414&amp;"|"&amp;4,Assessments!$A$2:$A$600,0)),"")</f>
        <v/>
      </c>
      <c r="BY414" s="28" t="str">
        <f aca="false">IFERROR(INDEX(Assessments!$H$2:$H$600,MATCH($H414&amp;"|"&amp;$I414&amp;"|"&amp;$J414&amp;"|"&amp;5,Assessments!$A$2:$A$600,0)),"")</f>
        <v/>
      </c>
      <c r="BZ414" s="28" t="str">
        <f aca="false">IFERROR(INDEX(Assessments!$H$2:$H$600,MATCH($H414&amp;"|"&amp;$I414&amp;"|"&amp;$J414&amp;"|"&amp;6,Assessments!$A$2:$A$600,0)),"")</f>
        <v/>
      </c>
      <c r="CA414" s="28" t="str">
        <f aca="false">IFERROR(INDEX(Assessments!$H$2:$H$600,MATCH($H414&amp;"|"&amp;$I414&amp;"|"&amp;$J414&amp;"|"&amp;7,Assessments!$A$2:$A$600,0)),"")</f>
        <v/>
      </c>
      <c r="CB414" s="28" t="str">
        <f aca="false">IFERROR(INDEX(Assessments!$H$2:$H$600,MATCH($H414&amp;"|"&amp;$I414&amp;"|"&amp;$J414&amp;"|"&amp;8,Assessments!$A$2:$A$600,0)),"")</f>
        <v/>
      </c>
      <c r="CC414" s="28" t="str">
        <f aca="false">IFERROR(INDEX(Assessments!$H$2:$H$600,MATCH($H414&amp;"|"&amp;$I414&amp;"|"&amp;$J414&amp;"|"&amp;9,Assessments!$A$2:$A$600,0)),"")</f>
        <v/>
      </c>
      <c r="CD414" s="28" t="str">
        <f aca="false">IFERROR(INDEX(Assessments!$H$2:$H$600,MATCH($H414&amp;"|"&amp;$I414&amp;"|"&amp;$J414&amp;"|"&amp;10,Assessments!$A$2:$A$600,0)),"")</f>
        <v/>
      </c>
      <c r="CE414" s="28" t="str">
        <f aca="false">IFERROR(INDEX(Assessments!$H$2:$H$600,MATCH($H414&amp;"|"&amp;$I414&amp;"|"&amp;$J414&amp;"|"&amp;11,Assessments!$A$2:$A$600,0)),"")</f>
        <v/>
      </c>
      <c r="CF414" s="28" t="str">
        <f aca="false">IFERROR(INDEX(Assessments!$H$2:$H$600,MATCH($H414&amp;"|"&amp;$I414&amp;"|"&amp;$J414&amp;"|"&amp;12,Assessments!$A$2:$A$600,0)),"")</f>
        <v/>
      </c>
      <c r="CG414" s="28" t="str">
        <f aca="false">IFERROR(INDEX(Assessments!$H$2:$H$600,MATCH($H414&amp;"|"&amp;$I414&amp;"|"&amp;$J414&amp;"|"&amp;13,Assessments!$A$2:$A$600,0)),"")</f>
        <v/>
      </c>
      <c r="CH414" s="28" t="str">
        <f aca="false">IFERROR(INDEX(Assessments!$H$2:$H$600,MATCH($H414&amp;"|"&amp;$I414&amp;"|"&amp;$J414&amp;"|"&amp;14,Assessments!$A$2:$A$600,0)),"")</f>
        <v/>
      </c>
      <c r="CI414" s="28" t="str">
        <f aca="false">IFERROR(INDEX(Assessments!$I$2:$I$600,MATCH($H414&amp;"|"&amp;$I414&amp;"|"&amp;$J414&amp;"|"&amp;1,Assessments!$A$2:$A$600,0)),"")</f>
        <v/>
      </c>
      <c r="CJ414" s="28" t="str">
        <f aca="false">IFERROR(INDEX(Assessments!$I$2:$I$600,MATCH($H414&amp;"|"&amp;$I414&amp;"|"&amp;$J414&amp;"|"&amp;2,Assessments!$A$2:$A$600,0)),"")</f>
        <v/>
      </c>
      <c r="CK414" s="28" t="str">
        <f aca="false">IFERROR(INDEX(Assessments!$I$2:$I$600,MATCH($H414&amp;"|"&amp;$I414&amp;"|"&amp;$J414&amp;"|"&amp;3,Assessments!$A$2:$A$600,0)),"")</f>
        <v/>
      </c>
      <c r="CL414" s="28" t="str">
        <f aca="false">IFERROR(INDEX(Assessments!$I$2:$I$600,MATCH($H414&amp;"|"&amp;$I414&amp;"|"&amp;$J414&amp;"|"&amp;4,Assessments!$A$2:$A$600,0)),"")</f>
        <v/>
      </c>
      <c r="CM414" s="28" t="str">
        <f aca="false">IFERROR(INDEX(Assessments!$I$2:$I$600,MATCH($H414&amp;"|"&amp;$I414&amp;"|"&amp;$J414&amp;"|"&amp;5,Assessments!$A$2:$A$600,0)),"")</f>
        <v/>
      </c>
      <c r="CN414" s="28" t="str">
        <f aca="false">IFERROR(INDEX(Assessments!$I$2:$I$600,MATCH($H414&amp;"|"&amp;$I414&amp;"|"&amp;$J414&amp;"|"&amp;6,Assessments!$A$2:$A$600,0)),"")</f>
        <v/>
      </c>
      <c r="CO414" s="28" t="str">
        <f aca="false">IFERROR(INDEX(Assessments!$I$2:$I$600,MATCH($H414&amp;"|"&amp;$I414&amp;"|"&amp;$J414&amp;"|"&amp;7,Assessments!$A$2:$A$600,0)),"")</f>
        <v/>
      </c>
      <c r="CP414" s="28" t="str">
        <f aca="false">IFERROR(INDEX(Assessments!$I$2:$I$600,MATCH($H414&amp;"|"&amp;$I414&amp;"|"&amp;$J414&amp;"|"&amp;8,Assessments!$A$2:$A$600,0)),"")</f>
        <v/>
      </c>
      <c r="CQ414" s="28" t="str">
        <f aca="false">IFERROR(INDEX(Assessments!$I$2:$I$600,MATCH($H414&amp;"|"&amp;$I414&amp;"|"&amp;$J414&amp;"|"&amp;9,Assessments!$A$2:$A$600,0)),"")</f>
        <v/>
      </c>
      <c r="CR414" s="28" t="str">
        <f aca="false">IFERROR(INDEX(Assessments!$I$2:$I$600,MATCH($H414&amp;"|"&amp;$I414&amp;"|"&amp;$J414&amp;"|"&amp;10,Assessments!$A$2:$A$600,0)),"")</f>
        <v/>
      </c>
      <c r="CS414" s="28" t="str">
        <f aca="false">IFERROR(INDEX(Assessments!$I$2:$I$600,MATCH($H414&amp;"|"&amp;$I414&amp;"|"&amp;$J414&amp;"|"&amp;11,Assessments!$A$2:$A$600,0)),"")</f>
        <v/>
      </c>
      <c r="CT414" s="28" t="str">
        <f aca="false">IFERROR(INDEX(Assessments!$I$2:$I$600,MATCH($H414&amp;"|"&amp;$I414&amp;"|"&amp;$J414&amp;"|"&amp;12,Assessments!$A$2:$A$600,0)),"")</f>
        <v/>
      </c>
      <c r="CU414" s="28" t="str">
        <f aca="false">IFERROR(INDEX(Assessments!$I$2:$I$600,MATCH($H414&amp;"|"&amp;$I414&amp;"|"&amp;$J414&amp;"|"&amp;13,Assessments!$A$2:$A$600,0)),"")</f>
        <v/>
      </c>
      <c r="CV414" s="28" t="str">
        <f aca="false">IFERROR(INDEX(Assessments!$I$2:$I$600,MATCH($H414&amp;"|"&amp;$I414&amp;"|"&amp;$J414&amp;"|"&amp;14,Assessments!$A$2:$A$600,0)),"")</f>
        <v/>
      </c>
      <c r="CW414" s="28" t="n">
        <f aca="false">IFERROR(INDEX(Assessments!$J$2:$J$600,MATCH($H414&amp;"|"&amp;$I414&amp;"|"&amp;$J414&amp;"|"&amp;1,Assessments!$A$2:$A$600,0)),0)</f>
        <v>0</v>
      </c>
      <c r="CX414" s="28" t="n">
        <f aca="false">IFERROR(INDEX(Assessments!$J$2:$J$600,MATCH($H414&amp;"|"&amp;$I414&amp;"|"&amp;$J414&amp;"|"&amp;2,Assessments!$A$2:$A$600,0)),0)</f>
        <v>0</v>
      </c>
      <c r="CY414" s="28" t="n">
        <f aca="false">IFERROR(INDEX(Assessments!$J$2:$J$600,MATCH($H414&amp;"|"&amp;$I414&amp;"|"&amp;$J414&amp;"|"&amp;3,Assessments!$A$2:$A$600,0)),0)</f>
        <v>0</v>
      </c>
      <c r="CZ414" s="28" t="n">
        <f aca="false">IFERROR(INDEX(Assessments!$J$2:$J$600,MATCH($H414&amp;"|"&amp;$I414&amp;"|"&amp;$J414&amp;"|"&amp;4,Assessments!$A$2:$A$600,0)),0)</f>
        <v>0</v>
      </c>
      <c r="DA414" s="28" t="n">
        <f aca="false">IFERROR(INDEX(Assessments!$J$2:$J$600,MATCH($H414&amp;"|"&amp;$I414&amp;"|"&amp;$J414&amp;"|"&amp;5,Assessments!$A$2:$A$600,0)),0)</f>
        <v>0</v>
      </c>
      <c r="DB414" s="28" t="n">
        <f aca="false">IFERROR(INDEX(Assessments!$J$2:$J$600,MATCH($H414&amp;"|"&amp;$I414&amp;"|"&amp;$J414&amp;"|"&amp;6,Assessments!$A$2:$A$600,0)),0)</f>
        <v>0</v>
      </c>
      <c r="DC414" s="28" t="n">
        <f aca="false">IFERROR(INDEX(Assessments!$J$2:$J$600,MATCH($H414&amp;"|"&amp;$I414&amp;"|"&amp;$J414&amp;"|"&amp;7,Assessments!$A$2:$A$600,0)),0)</f>
        <v>0</v>
      </c>
      <c r="DD414" s="28" t="n">
        <f aca="false">IFERROR(INDEX(Assessments!$J$2:$J$600,MATCH($H414&amp;"|"&amp;$I414&amp;"|"&amp;$J414&amp;"|"&amp;8,Assessments!$A$2:$A$600,0)),0)</f>
        <v>0</v>
      </c>
      <c r="DE414" s="28" t="n">
        <f aca="false">IFERROR(INDEX(Assessments!$J$2:$J$600,MATCH($H414&amp;"|"&amp;$I414&amp;"|"&amp;$J414&amp;"|"&amp;9,Assessments!$A$2:$A$600,0)),0)</f>
        <v>0</v>
      </c>
      <c r="DF414" s="28" t="n">
        <f aca="false">IFERROR(INDEX(Assessments!$J$2:$J$600,MATCH($H414&amp;"|"&amp;$I414&amp;"|"&amp;$J414&amp;"|"&amp;10,Assessments!$A$2:$A$600,0)),0)</f>
        <v>0</v>
      </c>
      <c r="DG414" s="28" t="n">
        <f aca="false">IFERROR(INDEX(Assessments!$J$2:$J$600,MATCH($H414&amp;"|"&amp;$I414&amp;"|"&amp;$J414&amp;"|"&amp;11,Assessments!$A$2:$A$600,0)),0)</f>
        <v>0</v>
      </c>
      <c r="DH414" s="28" t="n">
        <f aca="false">IFERROR(INDEX(Assessments!$J$2:$J$600,MATCH($H414&amp;"|"&amp;$I414&amp;"|"&amp;$J414&amp;"|"&amp;12,Assessments!$A$2:$A$600,0)),0)</f>
        <v>0</v>
      </c>
      <c r="DI414" s="28" t="n">
        <f aca="false">IFERROR(INDEX(Assessments!$J$2:$J$600,MATCH($H414&amp;"|"&amp;$I414&amp;"|"&amp;$J414&amp;"|"&amp;13,Assessments!$A$2:$A$600,0)),0)</f>
        <v>0</v>
      </c>
      <c r="DJ414" s="28" t="n">
        <f aca="false">IFERROR(INDEX(Assessments!$J$2:$J$600,MATCH($H414&amp;"|"&amp;$I414&amp;"|"&amp;$J414&amp;"|"&amp;14,Assessments!$A$2:$A$600,0)),0)</f>
        <v>0</v>
      </c>
      <c r="DK414" s="28" t="str">
        <f aca="false">S414</f>
        <v/>
      </c>
      <c r="DL414" s="28" t="str">
        <f aca="false">W414</f>
        <v/>
      </c>
      <c r="DM414" s="28" t="str">
        <f aca="false">AA414</f>
        <v/>
      </c>
      <c r="DN414" s="28" t="str">
        <f aca="false">AE414</f>
        <v/>
      </c>
      <c r="DO414" s="28" t="str">
        <f aca="false">AI414</f>
        <v/>
      </c>
      <c r="DP414" s="28" t="str">
        <f aca="false">AM414</f>
        <v/>
      </c>
      <c r="DQ414" s="28" t="str">
        <f aca="false">AQ414</f>
        <v/>
      </c>
      <c r="DR414" s="28" t="str">
        <f aca="false">AU414</f>
        <v/>
      </c>
      <c r="DS414" s="28" t="str">
        <f aca="false">AY414</f>
        <v/>
      </c>
      <c r="DT414" s="28" t="str">
        <f aca="false">BC414</f>
        <v/>
      </c>
      <c r="DU414" s="28" t="str">
        <f aca="false">BG414</f>
        <v/>
      </c>
      <c r="DV414" s="28" t="str">
        <f aca="false">BK414</f>
        <v/>
      </c>
      <c r="DW414" s="28" t="str">
        <f aca="false">BO414</f>
        <v/>
      </c>
      <c r="DX414" s="28" t="str">
        <f aca="false">BS414</f>
        <v/>
      </c>
      <c r="DY414" s="28" t="str">
        <f aca="false">IF(ISNUMBER(S414),1,"")</f>
        <v/>
      </c>
      <c r="DZ414" s="28" t="str">
        <f aca="false">IF(ISNUMBER(W414),2,"")</f>
        <v/>
      </c>
      <c r="EA414" s="28" t="str">
        <f aca="false">IF(ISNUMBER(AA414),3,"")</f>
        <v/>
      </c>
      <c r="EB414" s="28" t="str">
        <f aca="false">IF(ISNUMBER(AE414),4,"")</f>
        <v/>
      </c>
      <c r="EC414" s="28" t="str">
        <f aca="false">IF(ISNUMBER(AI414),5,"")</f>
        <v/>
      </c>
      <c r="ED414" s="28" t="str">
        <f aca="false">IF(ISNUMBER(AM414),6,"")</f>
        <v/>
      </c>
      <c r="EE414" s="28" t="str">
        <f aca="false">IF(ISNUMBER(AQ414),7,"")</f>
        <v/>
      </c>
      <c r="EF414" s="28" t="str">
        <f aca="false">IF(ISNUMBER(AU414),8,"")</f>
        <v/>
      </c>
      <c r="EG414" s="28" t="str">
        <f aca="false">IF(ISNUMBER(AY414),9,"")</f>
        <v/>
      </c>
      <c r="EH414" s="28" t="str">
        <f aca="false">IF(ISNUMBER(BC414),10,"")</f>
        <v/>
      </c>
      <c r="EI414" s="28" t="str">
        <f aca="false">IF(ISNUMBER(BG414),11,"")</f>
        <v/>
      </c>
      <c r="EJ414" s="28" t="str">
        <f aca="false">IF(ISNUMBER(BK414),12,"")</f>
        <v/>
      </c>
      <c r="EK414" s="28" t="str">
        <f aca="false">IF(ISNUMBER(BO414),13,"")</f>
        <v/>
      </c>
      <c r="EL414" s="28" t="str">
        <f aca="false">IF(ISNUMBER(BS414),14,"")</f>
        <v/>
      </c>
      <c r="EM414" s="28" t="n">
        <f aca="false">IF(ISNUMBER(R414),R414*CW414,0)</f>
        <v>0</v>
      </c>
      <c r="EN414" s="28" t="n">
        <f aca="false">IF(ISNUMBER(V414),V414*CX414,0)</f>
        <v>0</v>
      </c>
      <c r="EO414" s="28" t="n">
        <f aca="false">IF(ISNUMBER(Z414),Z414*CY414,0)</f>
        <v>0</v>
      </c>
      <c r="EP414" s="28" t="n">
        <f aca="false">IF(ISNUMBER(AD414),AD414*CZ414,0)</f>
        <v>0</v>
      </c>
      <c r="EQ414" s="28" t="n">
        <f aca="false">IF(ISNUMBER(AH414),AH414*DA414,0)</f>
        <v>0</v>
      </c>
      <c r="ER414" s="28" t="n">
        <f aca="false">IF(ISNUMBER(AL414),AL414*DB414,0)</f>
        <v>0</v>
      </c>
      <c r="ES414" s="28" t="n">
        <f aca="false">IF(ISNUMBER(AP414),AP414*DC414,0)</f>
        <v>0</v>
      </c>
      <c r="ET414" s="28" t="n">
        <f aca="false">IF(ISNUMBER(AT414),AT414*DD414,0)</f>
        <v>0</v>
      </c>
      <c r="EU414" s="28" t="n">
        <f aca="false">IF(ISNUMBER(AX414),AX414*DE414,0)</f>
        <v>0</v>
      </c>
      <c r="EV414" s="28" t="n">
        <f aca="false">IF(ISNUMBER(BB414),BB414*DF414,0)</f>
        <v>0</v>
      </c>
      <c r="EW414" s="28" t="n">
        <f aca="false">IF(ISNUMBER(BF414),BF414*DG414,0)</f>
        <v>0</v>
      </c>
      <c r="EX414" s="28" t="n">
        <f aca="false">IF(ISNUMBER(BJ414),BJ414*DH414,0)</f>
        <v>0</v>
      </c>
      <c r="EY414" s="28" t="n">
        <f aca="false">IF(ISNUMBER(BN414),BN414*DI414,0)</f>
        <v>0</v>
      </c>
      <c r="EZ414" s="28" t="n">
        <f aca="false">IF(ISNUMBER(BR414),BR414*DJ414,0)</f>
        <v>0</v>
      </c>
      <c r="FA414" s="28" t="n">
        <f aca="false">IF(ISNUMBER(R414),CW414,0)</f>
        <v>0</v>
      </c>
      <c r="FB414" s="28" t="n">
        <f aca="false">IF(ISNUMBER(V414),CX414,0)</f>
        <v>0</v>
      </c>
      <c r="FC414" s="28" t="n">
        <f aca="false">IF(ISNUMBER(Z414),CY414,0)</f>
        <v>0</v>
      </c>
      <c r="FD414" s="28" t="n">
        <f aca="false">IF(ISNUMBER(AD414),CZ414,0)</f>
        <v>0</v>
      </c>
      <c r="FE414" s="28" t="n">
        <f aca="false">IF(ISNUMBER(AH414),DA414,0)</f>
        <v>0</v>
      </c>
      <c r="FF414" s="28" t="n">
        <f aca="false">IF(ISNUMBER(AL414),DB414,0)</f>
        <v>0</v>
      </c>
      <c r="FG414" s="28" t="n">
        <f aca="false">IF(ISNUMBER(AP414),DC414,0)</f>
        <v>0</v>
      </c>
      <c r="FH414" s="28" t="n">
        <f aca="false">IF(ISNUMBER(AT414),DD414,0)</f>
        <v>0</v>
      </c>
      <c r="FI414" s="28" t="n">
        <f aca="false">IF(ISNUMBER(AX414),DE414,0)</f>
        <v>0</v>
      </c>
      <c r="FJ414" s="28" t="n">
        <f aca="false">IF(ISNUMBER(BB414),DF414,0)</f>
        <v>0</v>
      </c>
      <c r="FK414" s="28" t="n">
        <f aca="false">IF(ISNUMBER(BF414),DG414,0)</f>
        <v>0</v>
      </c>
      <c r="FL414" s="28" t="n">
        <f aca="false">IF(ISNUMBER(BJ414),DH414,0)</f>
        <v>0</v>
      </c>
      <c r="FM414" s="28" t="n">
        <f aca="false">IF(ISNUMBER(BN414),DI414,0)</f>
        <v>0</v>
      </c>
      <c r="FN414" s="28" t="n">
        <f aca="false">IF(ISNUMBER(BR414),DJ414,0)</f>
        <v>0</v>
      </c>
      <c r="FO414" s="28" t="str">
        <f aca="false">IFERROR(INDEX(Lists!$G$2:$G$20,MATCH($I414&amp;"|"&amp;$J414,Lists!$F$2:$F$20,0)),"")</f>
        <v/>
      </c>
    </row>
    <row r="415" customFormat="false" ht="19.5" hidden="false" customHeight="true" outlineLevel="0" collapsed="false">
      <c r="A415" s="29"/>
      <c r="B415" s="29"/>
      <c r="C415" s="30"/>
      <c r="D415" s="30"/>
      <c r="E415" s="31"/>
      <c r="F415" s="30"/>
      <c r="G415" s="30"/>
      <c r="H415" s="32"/>
      <c r="I415" s="33"/>
      <c r="J415" s="32"/>
      <c r="K415" s="34" t="str">
        <f aca="false">IF(OR(M415="",$E415=""),"",M415-$E415)</f>
        <v/>
      </c>
      <c r="L415" s="35" t="str">
        <f aca="false">IF(SUM(FA415:FN415)=0,"",SUM(EM415:EZ415)/SUM(FA415:FN415))</f>
        <v/>
      </c>
      <c r="M415" s="36" t="str">
        <f aca="false">IF(OR(L415="",FO415=""),"",IFERROR(MATCH(L415,INDEX(Boundaries!$B$2:$I$30,MATCH(FO415,Boundaries!$A$2:$A$30,0),0),1)-1,""))</f>
        <v/>
      </c>
      <c r="N415" s="37" t="str">
        <f aca="false">IF(COUNT($DY415:$EL415)&lt;2,"",INDEX($DK415:$DX415,MAX($DY415:$EL415))-INDEX($DK415:$DX415,MIN($DY415:$EL415)))</f>
        <v/>
      </c>
      <c r="O415" s="37" t="str">
        <f aca="false">IF(COUNT($DY415:$EL415)&lt;2,"",INDEX($DK415:$DX415,MAX($DY415:$EL415))-INDEX($DK415:$DX415,LARGE($DY415:$EL415,2)))</f>
        <v/>
      </c>
      <c r="P415" s="38" t="str">
        <f aca="false">IF(K415="","",IF(K415&gt;=0,"On/above target",IF(AND(N415&lt;&gt;"",N415&gt;=0.5),"Improving towards target",IF(AND(O415&lt;&gt;"",O415&lt;=-0.5),"Declining","Stable below target"))))</f>
        <v/>
      </c>
      <c r="Q415" s="39"/>
      <c r="R415" s="40" t="str">
        <f aca="false">IF(OR(Q415="",BU415=""),"",Q415/BU415*100)</f>
        <v/>
      </c>
      <c r="S415" s="41" t="str">
        <f aca="false">IF(R415="","",IFERROR(MATCH(R415,INDEX(Boundaries!$B$2:$I$30,MATCH(CI415,Boundaries!$A$2:$A$30,0),0),1)-1,""))</f>
        <v/>
      </c>
      <c r="T415" s="42" t="str">
        <f aca="false">IF(OR(S415="",$E415=""),"",S415-$E415)</f>
        <v/>
      </c>
      <c r="U415" s="39"/>
      <c r="V415" s="40" t="str">
        <f aca="false">IF(OR(U415="",BV415=""),"",U415/BV415*100)</f>
        <v/>
      </c>
      <c r="W415" s="41" t="str">
        <f aca="false">IF(V415="","",IFERROR(MATCH(V415,INDEX(Boundaries!$B$2:$I$30,MATCH(CJ415,Boundaries!$A$2:$A$30,0),0),1)-1,""))</f>
        <v/>
      </c>
      <c r="X415" s="42" t="str">
        <f aca="false">IF(OR(W415="",$E415=""),"",W415-$E415)</f>
        <v/>
      </c>
      <c r="Y415" s="39"/>
      <c r="Z415" s="40" t="str">
        <f aca="false">IF(OR(Y415="",BW415=""),"",Y415/BW415*100)</f>
        <v/>
      </c>
      <c r="AA415" s="41" t="str">
        <f aca="false">IF(Z415="","",IFERROR(MATCH(Z415,INDEX(Boundaries!$B$2:$I$30,MATCH(CK415,Boundaries!$A$2:$A$30,0),0),1)-1,""))</f>
        <v/>
      </c>
      <c r="AB415" s="42" t="str">
        <f aca="false">IF(OR(AA415="",$E415=""),"",AA415-$E415)</f>
        <v/>
      </c>
      <c r="AC415" s="39"/>
      <c r="AD415" s="40" t="str">
        <f aca="false">IF(OR(AC415="",BX415=""),"",AC415/BX415*100)</f>
        <v/>
      </c>
      <c r="AE415" s="41" t="str">
        <f aca="false">IF(AD415="","",IFERROR(MATCH(AD415,INDEX(Boundaries!$B$2:$I$30,MATCH(CL415,Boundaries!$A$2:$A$30,0),0),1)-1,""))</f>
        <v/>
      </c>
      <c r="AF415" s="42" t="str">
        <f aca="false">IF(OR(AE415="",$E415=""),"",AE415-$E415)</f>
        <v/>
      </c>
      <c r="AG415" s="39"/>
      <c r="AH415" s="40" t="str">
        <f aca="false">IF(OR(AG415="",BY415=""),"",AG415/BY415*100)</f>
        <v/>
      </c>
      <c r="AI415" s="41" t="str">
        <f aca="false">IF(AH415="","",IFERROR(MATCH(AH415,INDEX(Boundaries!$B$2:$I$30,MATCH(CM415,Boundaries!$A$2:$A$30,0),0),1)-1,""))</f>
        <v/>
      </c>
      <c r="AJ415" s="42" t="str">
        <f aca="false">IF(OR(AI415="",$E415=""),"",AI415-$E415)</f>
        <v/>
      </c>
      <c r="AK415" s="39"/>
      <c r="AL415" s="40" t="str">
        <f aca="false">IF(OR(AK415="",BZ415=""),"",AK415/BZ415*100)</f>
        <v/>
      </c>
      <c r="AM415" s="41" t="str">
        <f aca="false">IF(AL415="","",IFERROR(MATCH(AL415,INDEX(Boundaries!$B$2:$I$30,MATCH(CN415,Boundaries!$A$2:$A$30,0),0),1)-1,""))</f>
        <v/>
      </c>
      <c r="AN415" s="42" t="str">
        <f aca="false">IF(OR(AM415="",$E415=""),"",AM415-$E415)</f>
        <v/>
      </c>
      <c r="AO415" s="39"/>
      <c r="AP415" s="40" t="str">
        <f aca="false">IF(OR(AO415="",CA415=""),"",AO415/CA415*100)</f>
        <v/>
      </c>
      <c r="AQ415" s="41" t="str">
        <f aca="false">IF(AP415="","",IFERROR(MATCH(AP415,INDEX(Boundaries!$B$2:$I$30,MATCH(CO415,Boundaries!$A$2:$A$30,0),0),1)-1,""))</f>
        <v/>
      </c>
      <c r="AR415" s="42" t="str">
        <f aca="false">IF(OR(AQ415="",$E415=""),"",AQ415-$E415)</f>
        <v/>
      </c>
      <c r="AS415" s="39"/>
      <c r="AT415" s="40" t="str">
        <f aca="false">IF(OR(AS415="",CB415=""),"",AS415/CB415*100)</f>
        <v/>
      </c>
      <c r="AU415" s="41" t="str">
        <f aca="false">IF(AT415="","",IFERROR(MATCH(AT415,INDEX(Boundaries!$B$2:$I$30,MATCH(CP415,Boundaries!$A$2:$A$30,0),0),1)-1,""))</f>
        <v/>
      </c>
      <c r="AV415" s="42" t="str">
        <f aca="false">IF(OR(AU415="",$E415=""),"",AU415-$E415)</f>
        <v/>
      </c>
      <c r="AW415" s="39"/>
      <c r="AX415" s="40" t="str">
        <f aca="false">IF(OR(AW415="",CC415=""),"",AW415/CC415*100)</f>
        <v/>
      </c>
      <c r="AY415" s="41" t="str">
        <f aca="false">IF(AX415="","",IFERROR(MATCH(AX415,INDEX(Boundaries!$B$2:$I$30,MATCH(CQ415,Boundaries!$A$2:$A$30,0),0),1)-1,""))</f>
        <v/>
      </c>
      <c r="AZ415" s="42" t="str">
        <f aca="false">IF(OR(AY415="",$E415=""),"",AY415-$E415)</f>
        <v/>
      </c>
      <c r="BA415" s="39"/>
      <c r="BB415" s="40" t="str">
        <f aca="false">IF(OR(BA415="",CD415=""),"",BA415/CD415*100)</f>
        <v/>
      </c>
      <c r="BC415" s="41" t="str">
        <f aca="false">IF(BB415="","",IFERROR(MATCH(BB415,INDEX(Boundaries!$B$2:$I$30,MATCH(CR415,Boundaries!$A$2:$A$30,0),0),1)-1,""))</f>
        <v/>
      </c>
      <c r="BD415" s="42" t="str">
        <f aca="false">IF(OR(BC415="",$E415=""),"",BC415-$E415)</f>
        <v/>
      </c>
      <c r="BE415" s="39"/>
      <c r="BF415" s="40" t="str">
        <f aca="false">IF(OR(BE415="",CE415=""),"",BE415/CE415*100)</f>
        <v/>
      </c>
      <c r="BG415" s="41" t="str">
        <f aca="false">IF(BF415="","",IFERROR(MATCH(BF415,INDEX(Boundaries!$B$2:$I$30,MATCH(CS415,Boundaries!$A$2:$A$30,0),0),1)-1,""))</f>
        <v/>
      </c>
      <c r="BH415" s="42" t="str">
        <f aca="false">IF(OR(BG415="",$E415=""),"",BG415-$E415)</f>
        <v/>
      </c>
      <c r="BI415" s="39"/>
      <c r="BJ415" s="40" t="str">
        <f aca="false">IF(OR(BI415="",CF415=""),"",BI415/CF415*100)</f>
        <v/>
      </c>
      <c r="BK415" s="41" t="str">
        <f aca="false">IF(BJ415="","",IFERROR(MATCH(BJ415,INDEX(Boundaries!$B$2:$I$30,MATCH(CT415,Boundaries!$A$2:$A$30,0),0),1)-1,""))</f>
        <v/>
      </c>
      <c r="BL415" s="42" t="str">
        <f aca="false">IF(OR(BK415="",$E415=""),"",BK415-$E415)</f>
        <v/>
      </c>
      <c r="BM415" s="39"/>
      <c r="BN415" s="40" t="str">
        <f aca="false">IF(OR(BM415="",CG415=""),"",BM415/CG415*100)</f>
        <v/>
      </c>
      <c r="BO415" s="41" t="str">
        <f aca="false">IF(BN415="","",IFERROR(MATCH(BN415,INDEX(Boundaries!$B$2:$I$30,MATCH(CU415,Boundaries!$A$2:$A$30,0),0),1)-1,""))</f>
        <v/>
      </c>
      <c r="BP415" s="42" t="str">
        <f aca="false">IF(OR(BO415="",$E415=""),"",BO415-$E415)</f>
        <v/>
      </c>
      <c r="BQ415" s="39"/>
      <c r="BR415" s="40" t="str">
        <f aca="false">IF(OR(BQ415="",CH415=""),"",BQ415/CH415*100)</f>
        <v/>
      </c>
      <c r="BS415" s="41" t="str">
        <f aca="false">IF(BR415="","",IFERROR(MATCH(BR415,INDEX(Boundaries!$B$2:$I$30,MATCH(CV415,Boundaries!$A$2:$A$30,0),0),1)-1,""))</f>
        <v/>
      </c>
      <c r="BT415" s="42" t="str">
        <f aca="false">IF(OR(BS415="",$E415=""),"",BS415-$E415)</f>
        <v/>
      </c>
      <c r="BU415" s="28" t="str">
        <f aca="false">IFERROR(INDEX(Assessments!$H$2:$H$600,MATCH($H415&amp;"|"&amp;$I415&amp;"|"&amp;$J415&amp;"|"&amp;1,Assessments!$A$2:$A$600,0)),"")</f>
        <v/>
      </c>
      <c r="BV415" s="28" t="str">
        <f aca="false">IFERROR(INDEX(Assessments!$H$2:$H$600,MATCH($H415&amp;"|"&amp;$I415&amp;"|"&amp;$J415&amp;"|"&amp;2,Assessments!$A$2:$A$600,0)),"")</f>
        <v/>
      </c>
      <c r="BW415" s="28" t="str">
        <f aca="false">IFERROR(INDEX(Assessments!$H$2:$H$600,MATCH($H415&amp;"|"&amp;$I415&amp;"|"&amp;$J415&amp;"|"&amp;3,Assessments!$A$2:$A$600,0)),"")</f>
        <v/>
      </c>
      <c r="BX415" s="28" t="str">
        <f aca="false">IFERROR(INDEX(Assessments!$H$2:$H$600,MATCH($H415&amp;"|"&amp;$I415&amp;"|"&amp;$J415&amp;"|"&amp;4,Assessments!$A$2:$A$600,0)),"")</f>
        <v/>
      </c>
      <c r="BY415" s="28" t="str">
        <f aca="false">IFERROR(INDEX(Assessments!$H$2:$H$600,MATCH($H415&amp;"|"&amp;$I415&amp;"|"&amp;$J415&amp;"|"&amp;5,Assessments!$A$2:$A$600,0)),"")</f>
        <v/>
      </c>
      <c r="BZ415" s="28" t="str">
        <f aca="false">IFERROR(INDEX(Assessments!$H$2:$H$600,MATCH($H415&amp;"|"&amp;$I415&amp;"|"&amp;$J415&amp;"|"&amp;6,Assessments!$A$2:$A$600,0)),"")</f>
        <v/>
      </c>
      <c r="CA415" s="28" t="str">
        <f aca="false">IFERROR(INDEX(Assessments!$H$2:$H$600,MATCH($H415&amp;"|"&amp;$I415&amp;"|"&amp;$J415&amp;"|"&amp;7,Assessments!$A$2:$A$600,0)),"")</f>
        <v/>
      </c>
      <c r="CB415" s="28" t="str">
        <f aca="false">IFERROR(INDEX(Assessments!$H$2:$H$600,MATCH($H415&amp;"|"&amp;$I415&amp;"|"&amp;$J415&amp;"|"&amp;8,Assessments!$A$2:$A$600,0)),"")</f>
        <v/>
      </c>
      <c r="CC415" s="28" t="str">
        <f aca="false">IFERROR(INDEX(Assessments!$H$2:$H$600,MATCH($H415&amp;"|"&amp;$I415&amp;"|"&amp;$J415&amp;"|"&amp;9,Assessments!$A$2:$A$600,0)),"")</f>
        <v/>
      </c>
      <c r="CD415" s="28" t="str">
        <f aca="false">IFERROR(INDEX(Assessments!$H$2:$H$600,MATCH($H415&amp;"|"&amp;$I415&amp;"|"&amp;$J415&amp;"|"&amp;10,Assessments!$A$2:$A$600,0)),"")</f>
        <v/>
      </c>
      <c r="CE415" s="28" t="str">
        <f aca="false">IFERROR(INDEX(Assessments!$H$2:$H$600,MATCH($H415&amp;"|"&amp;$I415&amp;"|"&amp;$J415&amp;"|"&amp;11,Assessments!$A$2:$A$600,0)),"")</f>
        <v/>
      </c>
      <c r="CF415" s="28" t="str">
        <f aca="false">IFERROR(INDEX(Assessments!$H$2:$H$600,MATCH($H415&amp;"|"&amp;$I415&amp;"|"&amp;$J415&amp;"|"&amp;12,Assessments!$A$2:$A$600,0)),"")</f>
        <v/>
      </c>
      <c r="CG415" s="28" t="str">
        <f aca="false">IFERROR(INDEX(Assessments!$H$2:$H$600,MATCH($H415&amp;"|"&amp;$I415&amp;"|"&amp;$J415&amp;"|"&amp;13,Assessments!$A$2:$A$600,0)),"")</f>
        <v/>
      </c>
      <c r="CH415" s="28" t="str">
        <f aca="false">IFERROR(INDEX(Assessments!$H$2:$H$600,MATCH($H415&amp;"|"&amp;$I415&amp;"|"&amp;$J415&amp;"|"&amp;14,Assessments!$A$2:$A$600,0)),"")</f>
        <v/>
      </c>
      <c r="CI415" s="28" t="str">
        <f aca="false">IFERROR(INDEX(Assessments!$I$2:$I$600,MATCH($H415&amp;"|"&amp;$I415&amp;"|"&amp;$J415&amp;"|"&amp;1,Assessments!$A$2:$A$600,0)),"")</f>
        <v/>
      </c>
      <c r="CJ415" s="28" t="str">
        <f aca="false">IFERROR(INDEX(Assessments!$I$2:$I$600,MATCH($H415&amp;"|"&amp;$I415&amp;"|"&amp;$J415&amp;"|"&amp;2,Assessments!$A$2:$A$600,0)),"")</f>
        <v/>
      </c>
      <c r="CK415" s="28" t="str">
        <f aca="false">IFERROR(INDEX(Assessments!$I$2:$I$600,MATCH($H415&amp;"|"&amp;$I415&amp;"|"&amp;$J415&amp;"|"&amp;3,Assessments!$A$2:$A$600,0)),"")</f>
        <v/>
      </c>
      <c r="CL415" s="28" t="str">
        <f aca="false">IFERROR(INDEX(Assessments!$I$2:$I$600,MATCH($H415&amp;"|"&amp;$I415&amp;"|"&amp;$J415&amp;"|"&amp;4,Assessments!$A$2:$A$600,0)),"")</f>
        <v/>
      </c>
      <c r="CM415" s="28" t="str">
        <f aca="false">IFERROR(INDEX(Assessments!$I$2:$I$600,MATCH($H415&amp;"|"&amp;$I415&amp;"|"&amp;$J415&amp;"|"&amp;5,Assessments!$A$2:$A$600,0)),"")</f>
        <v/>
      </c>
      <c r="CN415" s="28" t="str">
        <f aca="false">IFERROR(INDEX(Assessments!$I$2:$I$600,MATCH($H415&amp;"|"&amp;$I415&amp;"|"&amp;$J415&amp;"|"&amp;6,Assessments!$A$2:$A$600,0)),"")</f>
        <v/>
      </c>
      <c r="CO415" s="28" t="str">
        <f aca="false">IFERROR(INDEX(Assessments!$I$2:$I$600,MATCH($H415&amp;"|"&amp;$I415&amp;"|"&amp;$J415&amp;"|"&amp;7,Assessments!$A$2:$A$600,0)),"")</f>
        <v/>
      </c>
      <c r="CP415" s="28" t="str">
        <f aca="false">IFERROR(INDEX(Assessments!$I$2:$I$600,MATCH($H415&amp;"|"&amp;$I415&amp;"|"&amp;$J415&amp;"|"&amp;8,Assessments!$A$2:$A$600,0)),"")</f>
        <v/>
      </c>
      <c r="CQ415" s="28" t="str">
        <f aca="false">IFERROR(INDEX(Assessments!$I$2:$I$600,MATCH($H415&amp;"|"&amp;$I415&amp;"|"&amp;$J415&amp;"|"&amp;9,Assessments!$A$2:$A$600,0)),"")</f>
        <v/>
      </c>
      <c r="CR415" s="28" t="str">
        <f aca="false">IFERROR(INDEX(Assessments!$I$2:$I$600,MATCH($H415&amp;"|"&amp;$I415&amp;"|"&amp;$J415&amp;"|"&amp;10,Assessments!$A$2:$A$600,0)),"")</f>
        <v/>
      </c>
      <c r="CS415" s="28" t="str">
        <f aca="false">IFERROR(INDEX(Assessments!$I$2:$I$600,MATCH($H415&amp;"|"&amp;$I415&amp;"|"&amp;$J415&amp;"|"&amp;11,Assessments!$A$2:$A$600,0)),"")</f>
        <v/>
      </c>
      <c r="CT415" s="28" t="str">
        <f aca="false">IFERROR(INDEX(Assessments!$I$2:$I$600,MATCH($H415&amp;"|"&amp;$I415&amp;"|"&amp;$J415&amp;"|"&amp;12,Assessments!$A$2:$A$600,0)),"")</f>
        <v/>
      </c>
      <c r="CU415" s="28" t="str">
        <f aca="false">IFERROR(INDEX(Assessments!$I$2:$I$600,MATCH($H415&amp;"|"&amp;$I415&amp;"|"&amp;$J415&amp;"|"&amp;13,Assessments!$A$2:$A$600,0)),"")</f>
        <v/>
      </c>
      <c r="CV415" s="28" t="str">
        <f aca="false">IFERROR(INDEX(Assessments!$I$2:$I$600,MATCH($H415&amp;"|"&amp;$I415&amp;"|"&amp;$J415&amp;"|"&amp;14,Assessments!$A$2:$A$600,0)),"")</f>
        <v/>
      </c>
      <c r="CW415" s="28" t="n">
        <f aca="false">IFERROR(INDEX(Assessments!$J$2:$J$600,MATCH($H415&amp;"|"&amp;$I415&amp;"|"&amp;$J415&amp;"|"&amp;1,Assessments!$A$2:$A$600,0)),0)</f>
        <v>0</v>
      </c>
      <c r="CX415" s="28" t="n">
        <f aca="false">IFERROR(INDEX(Assessments!$J$2:$J$600,MATCH($H415&amp;"|"&amp;$I415&amp;"|"&amp;$J415&amp;"|"&amp;2,Assessments!$A$2:$A$600,0)),0)</f>
        <v>0</v>
      </c>
      <c r="CY415" s="28" t="n">
        <f aca="false">IFERROR(INDEX(Assessments!$J$2:$J$600,MATCH($H415&amp;"|"&amp;$I415&amp;"|"&amp;$J415&amp;"|"&amp;3,Assessments!$A$2:$A$600,0)),0)</f>
        <v>0</v>
      </c>
      <c r="CZ415" s="28" t="n">
        <f aca="false">IFERROR(INDEX(Assessments!$J$2:$J$600,MATCH($H415&amp;"|"&amp;$I415&amp;"|"&amp;$J415&amp;"|"&amp;4,Assessments!$A$2:$A$600,0)),0)</f>
        <v>0</v>
      </c>
      <c r="DA415" s="28" t="n">
        <f aca="false">IFERROR(INDEX(Assessments!$J$2:$J$600,MATCH($H415&amp;"|"&amp;$I415&amp;"|"&amp;$J415&amp;"|"&amp;5,Assessments!$A$2:$A$600,0)),0)</f>
        <v>0</v>
      </c>
      <c r="DB415" s="28" t="n">
        <f aca="false">IFERROR(INDEX(Assessments!$J$2:$J$600,MATCH($H415&amp;"|"&amp;$I415&amp;"|"&amp;$J415&amp;"|"&amp;6,Assessments!$A$2:$A$600,0)),0)</f>
        <v>0</v>
      </c>
      <c r="DC415" s="28" t="n">
        <f aca="false">IFERROR(INDEX(Assessments!$J$2:$J$600,MATCH($H415&amp;"|"&amp;$I415&amp;"|"&amp;$J415&amp;"|"&amp;7,Assessments!$A$2:$A$600,0)),0)</f>
        <v>0</v>
      </c>
      <c r="DD415" s="28" t="n">
        <f aca="false">IFERROR(INDEX(Assessments!$J$2:$J$600,MATCH($H415&amp;"|"&amp;$I415&amp;"|"&amp;$J415&amp;"|"&amp;8,Assessments!$A$2:$A$600,0)),0)</f>
        <v>0</v>
      </c>
      <c r="DE415" s="28" t="n">
        <f aca="false">IFERROR(INDEX(Assessments!$J$2:$J$600,MATCH($H415&amp;"|"&amp;$I415&amp;"|"&amp;$J415&amp;"|"&amp;9,Assessments!$A$2:$A$600,0)),0)</f>
        <v>0</v>
      </c>
      <c r="DF415" s="28" t="n">
        <f aca="false">IFERROR(INDEX(Assessments!$J$2:$J$600,MATCH($H415&amp;"|"&amp;$I415&amp;"|"&amp;$J415&amp;"|"&amp;10,Assessments!$A$2:$A$600,0)),0)</f>
        <v>0</v>
      </c>
      <c r="DG415" s="28" t="n">
        <f aca="false">IFERROR(INDEX(Assessments!$J$2:$J$600,MATCH($H415&amp;"|"&amp;$I415&amp;"|"&amp;$J415&amp;"|"&amp;11,Assessments!$A$2:$A$600,0)),0)</f>
        <v>0</v>
      </c>
      <c r="DH415" s="28" t="n">
        <f aca="false">IFERROR(INDEX(Assessments!$J$2:$J$600,MATCH($H415&amp;"|"&amp;$I415&amp;"|"&amp;$J415&amp;"|"&amp;12,Assessments!$A$2:$A$600,0)),0)</f>
        <v>0</v>
      </c>
      <c r="DI415" s="28" t="n">
        <f aca="false">IFERROR(INDEX(Assessments!$J$2:$J$600,MATCH($H415&amp;"|"&amp;$I415&amp;"|"&amp;$J415&amp;"|"&amp;13,Assessments!$A$2:$A$600,0)),0)</f>
        <v>0</v>
      </c>
      <c r="DJ415" s="28" t="n">
        <f aca="false">IFERROR(INDEX(Assessments!$J$2:$J$600,MATCH($H415&amp;"|"&amp;$I415&amp;"|"&amp;$J415&amp;"|"&amp;14,Assessments!$A$2:$A$600,0)),0)</f>
        <v>0</v>
      </c>
      <c r="DK415" s="28" t="str">
        <f aca="false">S415</f>
        <v/>
      </c>
      <c r="DL415" s="28" t="str">
        <f aca="false">W415</f>
        <v/>
      </c>
      <c r="DM415" s="28" t="str">
        <f aca="false">AA415</f>
        <v/>
      </c>
      <c r="DN415" s="28" t="str">
        <f aca="false">AE415</f>
        <v/>
      </c>
      <c r="DO415" s="28" t="str">
        <f aca="false">AI415</f>
        <v/>
      </c>
      <c r="DP415" s="28" t="str">
        <f aca="false">AM415</f>
        <v/>
      </c>
      <c r="DQ415" s="28" t="str">
        <f aca="false">AQ415</f>
        <v/>
      </c>
      <c r="DR415" s="28" t="str">
        <f aca="false">AU415</f>
        <v/>
      </c>
      <c r="DS415" s="28" t="str">
        <f aca="false">AY415</f>
        <v/>
      </c>
      <c r="DT415" s="28" t="str">
        <f aca="false">BC415</f>
        <v/>
      </c>
      <c r="DU415" s="28" t="str">
        <f aca="false">BG415</f>
        <v/>
      </c>
      <c r="DV415" s="28" t="str">
        <f aca="false">BK415</f>
        <v/>
      </c>
      <c r="DW415" s="28" t="str">
        <f aca="false">BO415</f>
        <v/>
      </c>
      <c r="DX415" s="28" t="str">
        <f aca="false">BS415</f>
        <v/>
      </c>
      <c r="DY415" s="28" t="str">
        <f aca="false">IF(ISNUMBER(S415),1,"")</f>
        <v/>
      </c>
      <c r="DZ415" s="28" t="str">
        <f aca="false">IF(ISNUMBER(W415),2,"")</f>
        <v/>
      </c>
      <c r="EA415" s="28" t="str">
        <f aca="false">IF(ISNUMBER(AA415),3,"")</f>
        <v/>
      </c>
      <c r="EB415" s="28" t="str">
        <f aca="false">IF(ISNUMBER(AE415),4,"")</f>
        <v/>
      </c>
      <c r="EC415" s="28" t="str">
        <f aca="false">IF(ISNUMBER(AI415),5,"")</f>
        <v/>
      </c>
      <c r="ED415" s="28" t="str">
        <f aca="false">IF(ISNUMBER(AM415),6,"")</f>
        <v/>
      </c>
      <c r="EE415" s="28" t="str">
        <f aca="false">IF(ISNUMBER(AQ415),7,"")</f>
        <v/>
      </c>
      <c r="EF415" s="28" t="str">
        <f aca="false">IF(ISNUMBER(AU415),8,"")</f>
        <v/>
      </c>
      <c r="EG415" s="28" t="str">
        <f aca="false">IF(ISNUMBER(AY415),9,"")</f>
        <v/>
      </c>
      <c r="EH415" s="28" t="str">
        <f aca="false">IF(ISNUMBER(BC415),10,"")</f>
        <v/>
      </c>
      <c r="EI415" s="28" t="str">
        <f aca="false">IF(ISNUMBER(BG415),11,"")</f>
        <v/>
      </c>
      <c r="EJ415" s="28" t="str">
        <f aca="false">IF(ISNUMBER(BK415),12,"")</f>
        <v/>
      </c>
      <c r="EK415" s="28" t="str">
        <f aca="false">IF(ISNUMBER(BO415),13,"")</f>
        <v/>
      </c>
      <c r="EL415" s="28" t="str">
        <f aca="false">IF(ISNUMBER(BS415),14,"")</f>
        <v/>
      </c>
      <c r="EM415" s="28" t="n">
        <f aca="false">IF(ISNUMBER(R415),R415*CW415,0)</f>
        <v>0</v>
      </c>
      <c r="EN415" s="28" t="n">
        <f aca="false">IF(ISNUMBER(V415),V415*CX415,0)</f>
        <v>0</v>
      </c>
      <c r="EO415" s="28" t="n">
        <f aca="false">IF(ISNUMBER(Z415),Z415*CY415,0)</f>
        <v>0</v>
      </c>
      <c r="EP415" s="28" t="n">
        <f aca="false">IF(ISNUMBER(AD415),AD415*CZ415,0)</f>
        <v>0</v>
      </c>
      <c r="EQ415" s="28" t="n">
        <f aca="false">IF(ISNUMBER(AH415),AH415*DA415,0)</f>
        <v>0</v>
      </c>
      <c r="ER415" s="28" t="n">
        <f aca="false">IF(ISNUMBER(AL415),AL415*DB415,0)</f>
        <v>0</v>
      </c>
      <c r="ES415" s="28" t="n">
        <f aca="false">IF(ISNUMBER(AP415),AP415*DC415,0)</f>
        <v>0</v>
      </c>
      <c r="ET415" s="28" t="n">
        <f aca="false">IF(ISNUMBER(AT415),AT415*DD415,0)</f>
        <v>0</v>
      </c>
      <c r="EU415" s="28" t="n">
        <f aca="false">IF(ISNUMBER(AX415),AX415*DE415,0)</f>
        <v>0</v>
      </c>
      <c r="EV415" s="28" t="n">
        <f aca="false">IF(ISNUMBER(BB415),BB415*DF415,0)</f>
        <v>0</v>
      </c>
      <c r="EW415" s="28" t="n">
        <f aca="false">IF(ISNUMBER(BF415),BF415*DG415,0)</f>
        <v>0</v>
      </c>
      <c r="EX415" s="28" t="n">
        <f aca="false">IF(ISNUMBER(BJ415),BJ415*DH415,0)</f>
        <v>0</v>
      </c>
      <c r="EY415" s="28" t="n">
        <f aca="false">IF(ISNUMBER(BN415),BN415*DI415,0)</f>
        <v>0</v>
      </c>
      <c r="EZ415" s="28" t="n">
        <f aca="false">IF(ISNUMBER(BR415),BR415*DJ415,0)</f>
        <v>0</v>
      </c>
      <c r="FA415" s="28" t="n">
        <f aca="false">IF(ISNUMBER(R415),CW415,0)</f>
        <v>0</v>
      </c>
      <c r="FB415" s="28" t="n">
        <f aca="false">IF(ISNUMBER(V415),CX415,0)</f>
        <v>0</v>
      </c>
      <c r="FC415" s="28" t="n">
        <f aca="false">IF(ISNUMBER(Z415),CY415,0)</f>
        <v>0</v>
      </c>
      <c r="FD415" s="28" t="n">
        <f aca="false">IF(ISNUMBER(AD415),CZ415,0)</f>
        <v>0</v>
      </c>
      <c r="FE415" s="28" t="n">
        <f aca="false">IF(ISNUMBER(AH415),DA415,0)</f>
        <v>0</v>
      </c>
      <c r="FF415" s="28" t="n">
        <f aca="false">IF(ISNUMBER(AL415),DB415,0)</f>
        <v>0</v>
      </c>
      <c r="FG415" s="28" t="n">
        <f aca="false">IF(ISNUMBER(AP415),DC415,0)</f>
        <v>0</v>
      </c>
      <c r="FH415" s="28" t="n">
        <f aca="false">IF(ISNUMBER(AT415),DD415,0)</f>
        <v>0</v>
      </c>
      <c r="FI415" s="28" t="n">
        <f aca="false">IF(ISNUMBER(AX415),DE415,0)</f>
        <v>0</v>
      </c>
      <c r="FJ415" s="28" t="n">
        <f aca="false">IF(ISNUMBER(BB415),DF415,0)</f>
        <v>0</v>
      </c>
      <c r="FK415" s="28" t="n">
        <f aca="false">IF(ISNUMBER(BF415),DG415,0)</f>
        <v>0</v>
      </c>
      <c r="FL415" s="28" t="n">
        <f aca="false">IF(ISNUMBER(BJ415),DH415,0)</f>
        <v>0</v>
      </c>
      <c r="FM415" s="28" t="n">
        <f aca="false">IF(ISNUMBER(BN415),DI415,0)</f>
        <v>0</v>
      </c>
      <c r="FN415" s="28" t="n">
        <f aca="false">IF(ISNUMBER(BR415),DJ415,0)</f>
        <v>0</v>
      </c>
      <c r="FO415" s="28" t="str">
        <f aca="false">IFERROR(INDEX(Lists!$G$2:$G$20,MATCH($I415&amp;"|"&amp;$J415,Lists!$F$2:$F$20,0)),"")</f>
        <v/>
      </c>
    </row>
    <row r="416" customFormat="false" ht="19.5" hidden="false" customHeight="true" outlineLevel="0" collapsed="false">
      <c r="A416" s="29"/>
      <c r="B416" s="29"/>
      <c r="C416" s="30"/>
      <c r="D416" s="30"/>
      <c r="E416" s="31"/>
      <c r="F416" s="30"/>
      <c r="G416" s="30"/>
      <c r="H416" s="32"/>
      <c r="I416" s="33"/>
      <c r="J416" s="32"/>
      <c r="K416" s="34" t="str">
        <f aca="false">IF(OR(M416="",$E416=""),"",M416-$E416)</f>
        <v/>
      </c>
      <c r="L416" s="35" t="str">
        <f aca="false">IF(SUM(FA416:FN416)=0,"",SUM(EM416:EZ416)/SUM(FA416:FN416))</f>
        <v/>
      </c>
      <c r="M416" s="36" t="str">
        <f aca="false">IF(OR(L416="",FO416=""),"",IFERROR(MATCH(L416,INDEX(Boundaries!$B$2:$I$30,MATCH(FO416,Boundaries!$A$2:$A$30,0),0),1)-1,""))</f>
        <v/>
      </c>
      <c r="N416" s="37" t="str">
        <f aca="false">IF(COUNT($DY416:$EL416)&lt;2,"",INDEX($DK416:$DX416,MAX($DY416:$EL416))-INDEX($DK416:$DX416,MIN($DY416:$EL416)))</f>
        <v/>
      </c>
      <c r="O416" s="37" t="str">
        <f aca="false">IF(COUNT($DY416:$EL416)&lt;2,"",INDEX($DK416:$DX416,MAX($DY416:$EL416))-INDEX($DK416:$DX416,LARGE($DY416:$EL416,2)))</f>
        <v/>
      </c>
      <c r="P416" s="38" t="str">
        <f aca="false">IF(K416="","",IF(K416&gt;=0,"On/above target",IF(AND(N416&lt;&gt;"",N416&gt;=0.5),"Improving towards target",IF(AND(O416&lt;&gt;"",O416&lt;=-0.5),"Declining","Stable below target"))))</f>
        <v/>
      </c>
      <c r="Q416" s="39"/>
      <c r="R416" s="40" t="str">
        <f aca="false">IF(OR(Q416="",BU416=""),"",Q416/BU416*100)</f>
        <v/>
      </c>
      <c r="S416" s="41" t="str">
        <f aca="false">IF(R416="","",IFERROR(MATCH(R416,INDEX(Boundaries!$B$2:$I$30,MATCH(CI416,Boundaries!$A$2:$A$30,0),0),1)-1,""))</f>
        <v/>
      </c>
      <c r="T416" s="42" t="str">
        <f aca="false">IF(OR(S416="",$E416=""),"",S416-$E416)</f>
        <v/>
      </c>
      <c r="U416" s="39"/>
      <c r="V416" s="40" t="str">
        <f aca="false">IF(OR(U416="",BV416=""),"",U416/BV416*100)</f>
        <v/>
      </c>
      <c r="W416" s="41" t="str">
        <f aca="false">IF(V416="","",IFERROR(MATCH(V416,INDEX(Boundaries!$B$2:$I$30,MATCH(CJ416,Boundaries!$A$2:$A$30,0),0),1)-1,""))</f>
        <v/>
      </c>
      <c r="X416" s="42" t="str">
        <f aca="false">IF(OR(W416="",$E416=""),"",W416-$E416)</f>
        <v/>
      </c>
      <c r="Y416" s="39"/>
      <c r="Z416" s="40" t="str">
        <f aca="false">IF(OR(Y416="",BW416=""),"",Y416/BW416*100)</f>
        <v/>
      </c>
      <c r="AA416" s="41" t="str">
        <f aca="false">IF(Z416="","",IFERROR(MATCH(Z416,INDEX(Boundaries!$B$2:$I$30,MATCH(CK416,Boundaries!$A$2:$A$30,0),0),1)-1,""))</f>
        <v/>
      </c>
      <c r="AB416" s="42" t="str">
        <f aca="false">IF(OR(AA416="",$E416=""),"",AA416-$E416)</f>
        <v/>
      </c>
      <c r="AC416" s="39"/>
      <c r="AD416" s="40" t="str">
        <f aca="false">IF(OR(AC416="",BX416=""),"",AC416/BX416*100)</f>
        <v/>
      </c>
      <c r="AE416" s="41" t="str">
        <f aca="false">IF(AD416="","",IFERROR(MATCH(AD416,INDEX(Boundaries!$B$2:$I$30,MATCH(CL416,Boundaries!$A$2:$A$30,0),0),1)-1,""))</f>
        <v/>
      </c>
      <c r="AF416" s="42" t="str">
        <f aca="false">IF(OR(AE416="",$E416=""),"",AE416-$E416)</f>
        <v/>
      </c>
      <c r="AG416" s="39"/>
      <c r="AH416" s="40" t="str">
        <f aca="false">IF(OR(AG416="",BY416=""),"",AG416/BY416*100)</f>
        <v/>
      </c>
      <c r="AI416" s="41" t="str">
        <f aca="false">IF(AH416="","",IFERROR(MATCH(AH416,INDEX(Boundaries!$B$2:$I$30,MATCH(CM416,Boundaries!$A$2:$A$30,0),0),1)-1,""))</f>
        <v/>
      </c>
      <c r="AJ416" s="42" t="str">
        <f aca="false">IF(OR(AI416="",$E416=""),"",AI416-$E416)</f>
        <v/>
      </c>
      <c r="AK416" s="39"/>
      <c r="AL416" s="40" t="str">
        <f aca="false">IF(OR(AK416="",BZ416=""),"",AK416/BZ416*100)</f>
        <v/>
      </c>
      <c r="AM416" s="41" t="str">
        <f aca="false">IF(AL416="","",IFERROR(MATCH(AL416,INDEX(Boundaries!$B$2:$I$30,MATCH(CN416,Boundaries!$A$2:$A$30,0),0),1)-1,""))</f>
        <v/>
      </c>
      <c r="AN416" s="42" t="str">
        <f aca="false">IF(OR(AM416="",$E416=""),"",AM416-$E416)</f>
        <v/>
      </c>
      <c r="AO416" s="39"/>
      <c r="AP416" s="40" t="str">
        <f aca="false">IF(OR(AO416="",CA416=""),"",AO416/CA416*100)</f>
        <v/>
      </c>
      <c r="AQ416" s="41" t="str">
        <f aca="false">IF(AP416="","",IFERROR(MATCH(AP416,INDEX(Boundaries!$B$2:$I$30,MATCH(CO416,Boundaries!$A$2:$A$30,0),0),1)-1,""))</f>
        <v/>
      </c>
      <c r="AR416" s="42" t="str">
        <f aca="false">IF(OR(AQ416="",$E416=""),"",AQ416-$E416)</f>
        <v/>
      </c>
      <c r="AS416" s="39"/>
      <c r="AT416" s="40" t="str">
        <f aca="false">IF(OR(AS416="",CB416=""),"",AS416/CB416*100)</f>
        <v/>
      </c>
      <c r="AU416" s="41" t="str">
        <f aca="false">IF(AT416="","",IFERROR(MATCH(AT416,INDEX(Boundaries!$B$2:$I$30,MATCH(CP416,Boundaries!$A$2:$A$30,0),0),1)-1,""))</f>
        <v/>
      </c>
      <c r="AV416" s="42" t="str">
        <f aca="false">IF(OR(AU416="",$E416=""),"",AU416-$E416)</f>
        <v/>
      </c>
      <c r="AW416" s="39"/>
      <c r="AX416" s="40" t="str">
        <f aca="false">IF(OR(AW416="",CC416=""),"",AW416/CC416*100)</f>
        <v/>
      </c>
      <c r="AY416" s="41" t="str">
        <f aca="false">IF(AX416="","",IFERROR(MATCH(AX416,INDEX(Boundaries!$B$2:$I$30,MATCH(CQ416,Boundaries!$A$2:$A$30,0),0),1)-1,""))</f>
        <v/>
      </c>
      <c r="AZ416" s="42" t="str">
        <f aca="false">IF(OR(AY416="",$E416=""),"",AY416-$E416)</f>
        <v/>
      </c>
      <c r="BA416" s="39"/>
      <c r="BB416" s="40" t="str">
        <f aca="false">IF(OR(BA416="",CD416=""),"",BA416/CD416*100)</f>
        <v/>
      </c>
      <c r="BC416" s="41" t="str">
        <f aca="false">IF(BB416="","",IFERROR(MATCH(BB416,INDEX(Boundaries!$B$2:$I$30,MATCH(CR416,Boundaries!$A$2:$A$30,0),0),1)-1,""))</f>
        <v/>
      </c>
      <c r="BD416" s="42" t="str">
        <f aca="false">IF(OR(BC416="",$E416=""),"",BC416-$E416)</f>
        <v/>
      </c>
      <c r="BE416" s="39"/>
      <c r="BF416" s="40" t="str">
        <f aca="false">IF(OR(BE416="",CE416=""),"",BE416/CE416*100)</f>
        <v/>
      </c>
      <c r="BG416" s="41" t="str">
        <f aca="false">IF(BF416="","",IFERROR(MATCH(BF416,INDEX(Boundaries!$B$2:$I$30,MATCH(CS416,Boundaries!$A$2:$A$30,0),0),1)-1,""))</f>
        <v/>
      </c>
      <c r="BH416" s="42" t="str">
        <f aca="false">IF(OR(BG416="",$E416=""),"",BG416-$E416)</f>
        <v/>
      </c>
      <c r="BI416" s="39"/>
      <c r="BJ416" s="40" t="str">
        <f aca="false">IF(OR(BI416="",CF416=""),"",BI416/CF416*100)</f>
        <v/>
      </c>
      <c r="BK416" s="41" t="str">
        <f aca="false">IF(BJ416="","",IFERROR(MATCH(BJ416,INDEX(Boundaries!$B$2:$I$30,MATCH(CT416,Boundaries!$A$2:$A$30,0),0),1)-1,""))</f>
        <v/>
      </c>
      <c r="BL416" s="42" t="str">
        <f aca="false">IF(OR(BK416="",$E416=""),"",BK416-$E416)</f>
        <v/>
      </c>
      <c r="BM416" s="39"/>
      <c r="BN416" s="40" t="str">
        <f aca="false">IF(OR(BM416="",CG416=""),"",BM416/CG416*100)</f>
        <v/>
      </c>
      <c r="BO416" s="41" t="str">
        <f aca="false">IF(BN416="","",IFERROR(MATCH(BN416,INDEX(Boundaries!$B$2:$I$30,MATCH(CU416,Boundaries!$A$2:$A$30,0),0),1)-1,""))</f>
        <v/>
      </c>
      <c r="BP416" s="42" t="str">
        <f aca="false">IF(OR(BO416="",$E416=""),"",BO416-$E416)</f>
        <v/>
      </c>
      <c r="BQ416" s="39"/>
      <c r="BR416" s="40" t="str">
        <f aca="false">IF(OR(BQ416="",CH416=""),"",BQ416/CH416*100)</f>
        <v/>
      </c>
      <c r="BS416" s="41" t="str">
        <f aca="false">IF(BR416="","",IFERROR(MATCH(BR416,INDEX(Boundaries!$B$2:$I$30,MATCH(CV416,Boundaries!$A$2:$A$30,0),0),1)-1,""))</f>
        <v/>
      </c>
      <c r="BT416" s="42" t="str">
        <f aca="false">IF(OR(BS416="",$E416=""),"",BS416-$E416)</f>
        <v/>
      </c>
      <c r="BU416" s="28" t="str">
        <f aca="false">IFERROR(INDEX(Assessments!$H$2:$H$600,MATCH($H416&amp;"|"&amp;$I416&amp;"|"&amp;$J416&amp;"|"&amp;1,Assessments!$A$2:$A$600,0)),"")</f>
        <v/>
      </c>
      <c r="BV416" s="28" t="str">
        <f aca="false">IFERROR(INDEX(Assessments!$H$2:$H$600,MATCH($H416&amp;"|"&amp;$I416&amp;"|"&amp;$J416&amp;"|"&amp;2,Assessments!$A$2:$A$600,0)),"")</f>
        <v/>
      </c>
      <c r="BW416" s="28" t="str">
        <f aca="false">IFERROR(INDEX(Assessments!$H$2:$H$600,MATCH($H416&amp;"|"&amp;$I416&amp;"|"&amp;$J416&amp;"|"&amp;3,Assessments!$A$2:$A$600,0)),"")</f>
        <v/>
      </c>
      <c r="BX416" s="28" t="str">
        <f aca="false">IFERROR(INDEX(Assessments!$H$2:$H$600,MATCH($H416&amp;"|"&amp;$I416&amp;"|"&amp;$J416&amp;"|"&amp;4,Assessments!$A$2:$A$600,0)),"")</f>
        <v/>
      </c>
      <c r="BY416" s="28" t="str">
        <f aca="false">IFERROR(INDEX(Assessments!$H$2:$H$600,MATCH($H416&amp;"|"&amp;$I416&amp;"|"&amp;$J416&amp;"|"&amp;5,Assessments!$A$2:$A$600,0)),"")</f>
        <v/>
      </c>
      <c r="BZ416" s="28" t="str">
        <f aca="false">IFERROR(INDEX(Assessments!$H$2:$H$600,MATCH($H416&amp;"|"&amp;$I416&amp;"|"&amp;$J416&amp;"|"&amp;6,Assessments!$A$2:$A$600,0)),"")</f>
        <v/>
      </c>
      <c r="CA416" s="28" t="str">
        <f aca="false">IFERROR(INDEX(Assessments!$H$2:$H$600,MATCH($H416&amp;"|"&amp;$I416&amp;"|"&amp;$J416&amp;"|"&amp;7,Assessments!$A$2:$A$600,0)),"")</f>
        <v/>
      </c>
      <c r="CB416" s="28" t="str">
        <f aca="false">IFERROR(INDEX(Assessments!$H$2:$H$600,MATCH($H416&amp;"|"&amp;$I416&amp;"|"&amp;$J416&amp;"|"&amp;8,Assessments!$A$2:$A$600,0)),"")</f>
        <v/>
      </c>
      <c r="CC416" s="28" t="str">
        <f aca="false">IFERROR(INDEX(Assessments!$H$2:$H$600,MATCH($H416&amp;"|"&amp;$I416&amp;"|"&amp;$J416&amp;"|"&amp;9,Assessments!$A$2:$A$600,0)),"")</f>
        <v/>
      </c>
      <c r="CD416" s="28" t="str">
        <f aca="false">IFERROR(INDEX(Assessments!$H$2:$H$600,MATCH($H416&amp;"|"&amp;$I416&amp;"|"&amp;$J416&amp;"|"&amp;10,Assessments!$A$2:$A$600,0)),"")</f>
        <v/>
      </c>
      <c r="CE416" s="28" t="str">
        <f aca="false">IFERROR(INDEX(Assessments!$H$2:$H$600,MATCH($H416&amp;"|"&amp;$I416&amp;"|"&amp;$J416&amp;"|"&amp;11,Assessments!$A$2:$A$600,0)),"")</f>
        <v/>
      </c>
      <c r="CF416" s="28" t="str">
        <f aca="false">IFERROR(INDEX(Assessments!$H$2:$H$600,MATCH($H416&amp;"|"&amp;$I416&amp;"|"&amp;$J416&amp;"|"&amp;12,Assessments!$A$2:$A$600,0)),"")</f>
        <v/>
      </c>
      <c r="CG416" s="28" t="str">
        <f aca="false">IFERROR(INDEX(Assessments!$H$2:$H$600,MATCH($H416&amp;"|"&amp;$I416&amp;"|"&amp;$J416&amp;"|"&amp;13,Assessments!$A$2:$A$600,0)),"")</f>
        <v/>
      </c>
      <c r="CH416" s="28" t="str">
        <f aca="false">IFERROR(INDEX(Assessments!$H$2:$H$600,MATCH($H416&amp;"|"&amp;$I416&amp;"|"&amp;$J416&amp;"|"&amp;14,Assessments!$A$2:$A$600,0)),"")</f>
        <v/>
      </c>
      <c r="CI416" s="28" t="str">
        <f aca="false">IFERROR(INDEX(Assessments!$I$2:$I$600,MATCH($H416&amp;"|"&amp;$I416&amp;"|"&amp;$J416&amp;"|"&amp;1,Assessments!$A$2:$A$600,0)),"")</f>
        <v/>
      </c>
      <c r="CJ416" s="28" t="str">
        <f aca="false">IFERROR(INDEX(Assessments!$I$2:$I$600,MATCH($H416&amp;"|"&amp;$I416&amp;"|"&amp;$J416&amp;"|"&amp;2,Assessments!$A$2:$A$600,0)),"")</f>
        <v/>
      </c>
      <c r="CK416" s="28" t="str">
        <f aca="false">IFERROR(INDEX(Assessments!$I$2:$I$600,MATCH($H416&amp;"|"&amp;$I416&amp;"|"&amp;$J416&amp;"|"&amp;3,Assessments!$A$2:$A$600,0)),"")</f>
        <v/>
      </c>
      <c r="CL416" s="28" t="str">
        <f aca="false">IFERROR(INDEX(Assessments!$I$2:$I$600,MATCH($H416&amp;"|"&amp;$I416&amp;"|"&amp;$J416&amp;"|"&amp;4,Assessments!$A$2:$A$600,0)),"")</f>
        <v/>
      </c>
      <c r="CM416" s="28" t="str">
        <f aca="false">IFERROR(INDEX(Assessments!$I$2:$I$600,MATCH($H416&amp;"|"&amp;$I416&amp;"|"&amp;$J416&amp;"|"&amp;5,Assessments!$A$2:$A$600,0)),"")</f>
        <v/>
      </c>
      <c r="CN416" s="28" t="str">
        <f aca="false">IFERROR(INDEX(Assessments!$I$2:$I$600,MATCH($H416&amp;"|"&amp;$I416&amp;"|"&amp;$J416&amp;"|"&amp;6,Assessments!$A$2:$A$600,0)),"")</f>
        <v/>
      </c>
      <c r="CO416" s="28" t="str">
        <f aca="false">IFERROR(INDEX(Assessments!$I$2:$I$600,MATCH($H416&amp;"|"&amp;$I416&amp;"|"&amp;$J416&amp;"|"&amp;7,Assessments!$A$2:$A$600,0)),"")</f>
        <v/>
      </c>
      <c r="CP416" s="28" t="str">
        <f aca="false">IFERROR(INDEX(Assessments!$I$2:$I$600,MATCH($H416&amp;"|"&amp;$I416&amp;"|"&amp;$J416&amp;"|"&amp;8,Assessments!$A$2:$A$600,0)),"")</f>
        <v/>
      </c>
      <c r="CQ416" s="28" t="str">
        <f aca="false">IFERROR(INDEX(Assessments!$I$2:$I$600,MATCH($H416&amp;"|"&amp;$I416&amp;"|"&amp;$J416&amp;"|"&amp;9,Assessments!$A$2:$A$600,0)),"")</f>
        <v/>
      </c>
      <c r="CR416" s="28" t="str">
        <f aca="false">IFERROR(INDEX(Assessments!$I$2:$I$600,MATCH($H416&amp;"|"&amp;$I416&amp;"|"&amp;$J416&amp;"|"&amp;10,Assessments!$A$2:$A$600,0)),"")</f>
        <v/>
      </c>
      <c r="CS416" s="28" t="str">
        <f aca="false">IFERROR(INDEX(Assessments!$I$2:$I$600,MATCH($H416&amp;"|"&amp;$I416&amp;"|"&amp;$J416&amp;"|"&amp;11,Assessments!$A$2:$A$600,0)),"")</f>
        <v/>
      </c>
      <c r="CT416" s="28" t="str">
        <f aca="false">IFERROR(INDEX(Assessments!$I$2:$I$600,MATCH($H416&amp;"|"&amp;$I416&amp;"|"&amp;$J416&amp;"|"&amp;12,Assessments!$A$2:$A$600,0)),"")</f>
        <v/>
      </c>
      <c r="CU416" s="28" t="str">
        <f aca="false">IFERROR(INDEX(Assessments!$I$2:$I$600,MATCH($H416&amp;"|"&amp;$I416&amp;"|"&amp;$J416&amp;"|"&amp;13,Assessments!$A$2:$A$600,0)),"")</f>
        <v/>
      </c>
      <c r="CV416" s="28" t="str">
        <f aca="false">IFERROR(INDEX(Assessments!$I$2:$I$600,MATCH($H416&amp;"|"&amp;$I416&amp;"|"&amp;$J416&amp;"|"&amp;14,Assessments!$A$2:$A$600,0)),"")</f>
        <v/>
      </c>
      <c r="CW416" s="28" t="n">
        <f aca="false">IFERROR(INDEX(Assessments!$J$2:$J$600,MATCH($H416&amp;"|"&amp;$I416&amp;"|"&amp;$J416&amp;"|"&amp;1,Assessments!$A$2:$A$600,0)),0)</f>
        <v>0</v>
      </c>
      <c r="CX416" s="28" t="n">
        <f aca="false">IFERROR(INDEX(Assessments!$J$2:$J$600,MATCH($H416&amp;"|"&amp;$I416&amp;"|"&amp;$J416&amp;"|"&amp;2,Assessments!$A$2:$A$600,0)),0)</f>
        <v>0</v>
      </c>
      <c r="CY416" s="28" t="n">
        <f aca="false">IFERROR(INDEX(Assessments!$J$2:$J$600,MATCH($H416&amp;"|"&amp;$I416&amp;"|"&amp;$J416&amp;"|"&amp;3,Assessments!$A$2:$A$600,0)),0)</f>
        <v>0</v>
      </c>
      <c r="CZ416" s="28" t="n">
        <f aca="false">IFERROR(INDEX(Assessments!$J$2:$J$600,MATCH($H416&amp;"|"&amp;$I416&amp;"|"&amp;$J416&amp;"|"&amp;4,Assessments!$A$2:$A$600,0)),0)</f>
        <v>0</v>
      </c>
      <c r="DA416" s="28" t="n">
        <f aca="false">IFERROR(INDEX(Assessments!$J$2:$J$600,MATCH($H416&amp;"|"&amp;$I416&amp;"|"&amp;$J416&amp;"|"&amp;5,Assessments!$A$2:$A$600,0)),0)</f>
        <v>0</v>
      </c>
      <c r="DB416" s="28" t="n">
        <f aca="false">IFERROR(INDEX(Assessments!$J$2:$J$600,MATCH($H416&amp;"|"&amp;$I416&amp;"|"&amp;$J416&amp;"|"&amp;6,Assessments!$A$2:$A$600,0)),0)</f>
        <v>0</v>
      </c>
      <c r="DC416" s="28" t="n">
        <f aca="false">IFERROR(INDEX(Assessments!$J$2:$J$600,MATCH($H416&amp;"|"&amp;$I416&amp;"|"&amp;$J416&amp;"|"&amp;7,Assessments!$A$2:$A$600,0)),0)</f>
        <v>0</v>
      </c>
      <c r="DD416" s="28" t="n">
        <f aca="false">IFERROR(INDEX(Assessments!$J$2:$J$600,MATCH($H416&amp;"|"&amp;$I416&amp;"|"&amp;$J416&amp;"|"&amp;8,Assessments!$A$2:$A$600,0)),0)</f>
        <v>0</v>
      </c>
      <c r="DE416" s="28" t="n">
        <f aca="false">IFERROR(INDEX(Assessments!$J$2:$J$600,MATCH($H416&amp;"|"&amp;$I416&amp;"|"&amp;$J416&amp;"|"&amp;9,Assessments!$A$2:$A$600,0)),0)</f>
        <v>0</v>
      </c>
      <c r="DF416" s="28" t="n">
        <f aca="false">IFERROR(INDEX(Assessments!$J$2:$J$600,MATCH($H416&amp;"|"&amp;$I416&amp;"|"&amp;$J416&amp;"|"&amp;10,Assessments!$A$2:$A$600,0)),0)</f>
        <v>0</v>
      </c>
      <c r="DG416" s="28" t="n">
        <f aca="false">IFERROR(INDEX(Assessments!$J$2:$J$600,MATCH($H416&amp;"|"&amp;$I416&amp;"|"&amp;$J416&amp;"|"&amp;11,Assessments!$A$2:$A$600,0)),0)</f>
        <v>0</v>
      </c>
      <c r="DH416" s="28" t="n">
        <f aca="false">IFERROR(INDEX(Assessments!$J$2:$J$600,MATCH($H416&amp;"|"&amp;$I416&amp;"|"&amp;$J416&amp;"|"&amp;12,Assessments!$A$2:$A$600,0)),0)</f>
        <v>0</v>
      </c>
      <c r="DI416" s="28" t="n">
        <f aca="false">IFERROR(INDEX(Assessments!$J$2:$J$600,MATCH($H416&amp;"|"&amp;$I416&amp;"|"&amp;$J416&amp;"|"&amp;13,Assessments!$A$2:$A$600,0)),0)</f>
        <v>0</v>
      </c>
      <c r="DJ416" s="28" t="n">
        <f aca="false">IFERROR(INDEX(Assessments!$J$2:$J$600,MATCH($H416&amp;"|"&amp;$I416&amp;"|"&amp;$J416&amp;"|"&amp;14,Assessments!$A$2:$A$600,0)),0)</f>
        <v>0</v>
      </c>
      <c r="DK416" s="28" t="str">
        <f aca="false">S416</f>
        <v/>
      </c>
      <c r="DL416" s="28" t="str">
        <f aca="false">W416</f>
        <v/>
      </c>
      <c r="DM416" s="28" t="str">
        <f aca="false">AA416</f>
        <v/>
      </c>
      <c r="DN416" s="28" t="str">
        <f aca="false">AE416</f>
        <v/>
      </c>
      <c r="DO416" s="28" t="str">
        <f aca="false">AI416</f>
        <v/>
      </c>
      <c r="DP416" s="28" t="str">
        <f aca="false">AM416</f>
        <v/>
      </c>
      <c r="DQ416" s="28" t="str">
        <f aca="false">AQ416</f>
        <v/>
      </c>
      <c r="DR416" s="28" t="str">
        <f aca="false">AU416</f>
        <v/>
      </c>
      <c r="DS416" s="28" t="str">
        <f aca="false">AY416</f>
        <v/>
      </c>
      <c r="DT416" s="28" t="str">
        <f aca="false">BC416</f>
        <v/>
      </c>
      <c r="DU416" s="28" t="str">
        <f aca="false">BG416</f>
        <v/>
      </c>
      <c r="DV416" s="28" t="str">
        <f aca="false">BK416</f>
        <v/>
      </c>
      <c r="DW416" s="28" t="str">
        <f aca="false">BO416</f>
        <v/>
      </c>
      <c r="DX416" s="28" t="str">
        <f aca="false">BS416</f>
        <v/>
      </c>
      <c r="DY416" s="28" t="str">
        <f aca="false">IF(ISNUMBER(S416),1,"")</f>
        <v/>
      </c>
      <c r="DZ416" s="28" t="str">
        <f aca="false">IF(ISNUMBER(W416),2,"")</f>
        <v/>
      </c>
      <c r="EA416" s="28" t="str">
        <f aca="false">IF(ISNUMBER(AA416),3,"")</f>
        <v/>
      </c>
      <c r="EB416" s="28" t="str">
        <f aca="false">IF(ISNUMBER(AE416),4,"")</f>
        <v/>
      </c>
      <c r="EC416" s="28" t="str">
        <f aca="false">IF(ISNUMBER(AI416),5,"")</f>
        <v/>
      </c>
      <c r="ED416" s="28" t="str">
        <f aca="false">IF(ISNUMBER(AM416),6,"")</f>
        <v/>
      </c>
      <c r="EE416" s="28" t="str">
        <f aca="false">IF(ISNUMBER(AQ416),7,"")</f>
        <v/>
      </c>
      <c r="EF416" s="28" t="str">
        <f aca="false">IF(ISNUMBER(AU416),8,"")</f>
        <v/>
      </c>
      <c r="EG416" s="28" t="str">
        <f aca="false">IF(ISNUMBER(AY416),9,"")</f>
        <v/>
      </c>
      <c r="EH416" s="28" t="str">
        <f aca="false">IF(ISNUMBER(BC416),10,"")</f>
        <v/>
      </c>
      <c r="EI416" s="28" t="str">
        <f aca="false">IF(ISNUMBER(BG416),11,"")</f>
        <v/>
      </c>
      <c r="EJ416" s="28" t="str">
        <f aca="false">IF(ISNUMBER(BK416),12,"")</f>
        <v/>
      </c>
      <c r="EK416" s="28" t="str">
        <f aca="false">IF(ISNUMBER(BO416),13,"")</f>
        <v/>
      </c>
      <c r="EL416" s="28" t="str">
        <f aca="false">IF(ISNUMBER(BS416),14,"")</f>
        <v/>
      </c>
      <c r="EM416" s="28" t="n">
        <f aca="false">IF(ISNUMBER(R416),R416*CW416,0)</f>
        <v>0</v>
      </c>
      <c r="EN416" s="28" t="n">
        <f aca="false">IF(ISNUMBER(V416),V416*CX416,0)</f>
        <v>0</v>
      </c>
      <c r="EO416" s="28" t="n">
        <f aca="false">IF(ISNUMBER(Z416),Z416*CY416,0)</f>
        <v>0</v>
      </c>
      <c r="EP416" s="28" t="n">
        <f aca="false">IF(ISNUMBER(AD416),AD416*CZ416,0)</f>
        <v>0</v>
      </c>
      <c r="EQ416" s="28" t="n">
        <f aca="false">IF(ISNUMBER(AH416),AH416*DA416,0)</f>
        <v>0</v>
      </c>
      <c r="ER416" s="28" t="n">
        <f aca="false">IF(ISNUMBER(AL416),AL416*DB416,0)</f>
        <v>0</v>
      </c>
      <c r="ES416" s="28" t="n">
        <f aca="false">IF(ISNUMBER(AP416),AP416*DC416,0)</f>
        <v>0</v>
      </c>
      <c r="ET416" s="28" t="n">
        <f aca="false">IF(ISNUMBER(AT416),AT416*DD416,0)</f>
        <v>0</v>
      </c>
      <c r="EU416" s="28" t="n">
        <f aca="false">IF(ISNUMBER(AX416),AX416*DE416,0)</f>
        <v>0</v>
      </c>
      <c r="EV416" s="28" t="n">
        <f aca="false">IF(ISNUMBER(BB416),BB416*DF416,0)</f>
        <v>0</v>
      </c>
      <c r="EW416" s="28" t="n">
        <f aca="false">IF(ISNUMBER(BF416),BF416*DG416,0)</f>
        <v>0</v>
      </c>
      <c r="EX416" s="28" t="n">
        <f aca="false">IF(ISNUMBER(BJ416),BJ416*DH416,0)</f>
        <v>0</v>
      </c>
      <c r="EY416" s="28" t="n">
        <f aca="false">IF(ISNUMBER(BN416),BN416*DI416,0)</f>
        <v>0</v>
      </c>
      <c r="EZ416" s="28" t="n">
        <f aca="false">IF(ISNUMBER(BR416),BR416*DJ416,0)</f>
        <v>0</v>
      </c>
      <c r="FA416" s="28" t="n">
        <f aca="false">IF(ISNUMBER(R416),CW416,0)</f>
        <v>0</v>
      </c>
      <c r="FB416" s="28" t="n">
        <f aca="false">IF(ISNUMBER(V416),CX416,0)</f>
        <v>0</v>
      </c>
      <c r="FC416" s="28" t="n">
        <f aca="false">IF(ISNUMBER(Z416),CY416,0)</f>
        <v>0</v>
      </c>
      <c r="FD416" s="28" t="n">
        <f aca="false">IF(ISNUMBER(AD416),CZ416,0)</f>
        <v>0</v>
      </c>
      <c r="FE416" s="28" t="n">
        <f aca="false">IF(ISNUMBER(AH416),DA416,0)</f>
        <v>0</v>
      </c>
      <c r="FF416" s="28" t="n">
        <f aca="false">IF(ISNUMBER(AL416),DB416,0)</f>
        <v>0</v>
      </c>
      <c r="FG416" s="28" t="n">
        <f aca="false">IF(ISNUMBER(AP416),DC416,0)</f>
        <v>0</v>
      </c>
      <c r="FH416" s="28" t="n">
        <f aca="false">IF(ISNUMBER(AT416),DD416,0)</f>
        <v>0</v>
      </c>
      <c r="FI416" s="28" t="n">
        <f aca="false">IF(ISNUMBER(AX416),DE416,0)</f>
        <v>0</v>
      </c>
      <c r="FJ416" s="28" t="n">
        <f aca="false">IF(ISNUMBER(BB416),DF416,0)</f>
        <v>0</v>
      </c>
      <c r="FK416" s="28" t="n">
        <f aca="false">IF(ISNUMBER(BF416),DG416,0)</f>
        <v>0</v>
      </c>
      <c r="FL416" s="28" t="n">
        <f aca="false">IF(ISNUMBER(BJ416),DH416,0)</f>
        <v>0</v>
      </c>
      <c r="FM416" s="28" t="n">
        <f aca="false">IF(ISNUMBER(BN416),DI416,0)</f>
        <v>0</v>
      </c>
      <c r="FN416" s="28" t="n">
        <f aca="false">IF(ISNUMBER(BR416),DJ416,0)</f>
        <v>0</v>
      </c>
      <c r="FO416" s="28" t="str">
        <f aca="false">IFERROR(INDEX(Lists!$G$2:$G$20,MATCH($I416&amp;"|"&amp;$J416,Lists!$F$2:$F$20,0)),"")</f>
        <v/>
      </c>
    </row>
    <row r="417" customFormat="false" ht="19.5" hidden="false" customHeight="true" outlineLevel="0" collapsed="false">
      <c r="A417" s="29"/>
      <c r="B417" s="29"/>
      <c r="C417" s="30"/>
      <c r="D417" s="30"/>
      <c r="E417" s="31"/>
      <c r="F417" s="30"/>
      <c r="G417" s="30"/>
      <c r="H417" s="32"/>
      <c r="I417" s="33"/>
      <c r="J417" s="32"/>
      <c r="K417" s="34" t="str">
        <f aca="false">IF(OR(M417="",$E417=""),"",M417-$E417)</f>
        <v/>
      </c>
      <c r="L417" s="35" t="str">
        <f aca="false">IF(SUM(FA417:FN417)=0,"",SUM(EM417:EZ417)/SUM(FA417:FN417))</f>
        <v/>
      </c>
      <c r="M417" s="36" t="str">
        <f aca="false">IF(OR(L417="",FO417=""),"",IFERROR(MATCH(L417,INDEX(Boundaries!$B$2:$I$30,MATCH(FO417,Boundaries!$A$2:$A$30,0),0),1)-1,""))</f>
        <v/>
      </c>
      <c r="N417" s="37" t="str">
        <f aca="false">IF(COUNT($DY417:$EL417)&lt;2,"",INDEX($DK417:$DX417,MAX($DY417:$EL417))-INDEX($DK417:$DX417,MIN($DY417:$EL417)))</f>
        <v/>
      </c>
      <c r="O417" s="37" t="str">
        <f aca="false">IF(COUNT($DY417:$EL417)&lt;2,"",INDEX($DK417:$DX417,MAX($DY417:$EL417))-INDEX($DK417:$DX417,LARGE($DY417:$EL417,2)))</f>
        <v/>
      </c>
      <c r="P417" s="38" t="str">
        <f aca="false">IF(K417="","",IF(K417&gt;=0,"On/above target",IF(AND(N417&lt;&gt;"",N417&gt;=0.5),"Improving towards target",IF(AND(O417&lt;&gt;"",O417&lt;=-0.5),"Declining","Stable below target"))))</f>
        <v/>
      </c>
      <c r="Q417" s="39"/>
      <c r="R417" s="40" t="str">
        <f aca="false">IF(OR(Q417="",BU417=""),"",Q417/BU417*100)</f>
        <v/>
      </c>
      <c r="S417" s="41" t="str">
        <f aca="false">IF(R417="","",IFERROR(MATCH(R417,INDEX(Boundaries!$B$2:$I$30,MATCH(CI417,Boundaries!$A$2:$A$30,0),0),1)-1,""))</f>
        <v/>
      </c>
      <c r="T417" s="42" t="str">
        <f aca="false">IF(OR(S417="",$E417=""),"",S417-$E417)</f>
        <v/>
      </c>
      <c r="U417" s="39"/>
      <c r="V417" s="40" t="str">
        <f aca="false">IF(OR(U417="",BV417=""),"",U417/BV417*100)</f>
        <v/>
      </c>
      <c r="W417" s="41" t="str">
        <f aca="false">IF(V417="","",IFERROR(MATCH(V417,INDEX(Boundaries!$B$2:$I$30,MATCH(CJ417,Boundaries!$A$2:$A$30,0),0),1)-1,""))</f>
        <v/>
      </c>
      <c r="X417" s="42" t="str">
        <f aca="false">IF(OR(W417="",$E417=""),"",W417-$E417)</f>
        <v/>
      </c>
      <c r="Y417" s="39"/>
      <c r="Z417" s="40" t="str">
        <f aca="false">IF(OR(Y417="",BW417=""),"",Y417/BW417*100)</f>
        <v/>
      </c>
      <c r="AA417" s="41" t="str">
        <f aca="false">IF(Z417="","",IFERROR(MATCH(Z417,INDEX(Boundaries!$B$2:$I$30,MATCH(CK417,Boundaries!$A$2:$A$30,0),0),1)-1,""))</f>
        <v/>
      </c>
      <c r="AB417" s="42" t="str">
        <f aca="false">IF(OR(AA417="",$E417=""),"",AA417-$E417)</f>
        <v/>
      </c>
      <c r="AC417" s="39"/>
      <c r="AD417" s="40" t="str">
        <f aca="false">IF(OR(AC417="",BX417=""),"",AC417/BX417*100)</f>
        <v/>
      </c>
      <c r="AE417" s="41" t="str">
        <f aca="false">IF(AD417="","",IFERROR(MATCH(AD417,INDEX(Boundaries!$B$2:$I$30,MATCH(CL417,Boundaries!$A$2:$A$30,0),0),1)-1,""))</f>
        <v/>
      </c>
      <c r="AF417" s="42" t="str">
        <f aca="false">IF(OR(AE417="",$E417=""),"",AE417-$E417)</f>
        <v/>
      </c>
      <c r="AG417" s="39"/>
      <c r="AH417" s="40" t="str">
        <f aca="false">IF(OR(AG417="",BY417=""),"",AG417/BY417*100)</f>
        <v/>
      </c>
      <c r="AI417" s="41" t="str">
        <f aca="false">IF(AH417="","",IFERROR(MATCH(AH417,INDEX(Boundaries!$B$2:$I$30,MATCH(CM417,Boundaries!$A$2:$A$30,0),0),1)-1,""))</f>
        <v/>
      </c>
      <c r="AJ417" s="42" t="str">
        <f aca="false">IF(OR(AI417="",$E417=""),"",AI417-$E417)</f>
        <v/>
      </c>
      <c r="AK417" s="39"/>
      <c r="AL417" s="40" t="str">
        <f aca="false">IF(OR(AK417="",BZ417=""),"",AK417/BZ417*100)</f>
        <v/>
      </c>
      <c r="AM417" s="41" t="str">
        <f aca="false">IF(AL417="","",IFERROR(MATCH(AL417,INDEX(Boundaries!$B$2:$I$30,MATCH(CN417,Boundaries!$A$2:$A$30,0),0),1)-1,""))</f>
        <v/>
      </c>
      <c r="AN417" s="42" t="str">
        <f aca="false">IF(OR(AM417="",$E417=""),"",AM417-$E417)</f>
        <v/>
      </c>
      <c r="AO417" s="39"/>
      <c r="AP417" s="40" t="str">
        <f aca="false">IF(OR(AO417="",CA417=""),"",AO417/CA417*100)</f>
        <v/>
      </c>
      <c r="AQ417" s="41" t="str">
        <f aca="false">IF(AP417="","",IFERROR(MATCH(AP417,INDEX(Boundaries!$B$2:$I$30,MATCH(CO417,Boundaries!$A$2:$A$30,0),0),1)-1,""))</f>
        <v/>
      </c>
      <c r="AR417" s="42" t="str">
        <f aca="false">IF(OR(AQ417="",$E417=""),"",AQ417-$E417)</f>
        <v/>
      </c>
      <c r="AS417" s="39"/>
      <c r="AT417" s="40" t="str">
        <f aca="false">IF(OR(AS417="",CB417=""),"",AS417/CB417*100)</f>
        <v/>
      </c>
      <c r="AU417" s="41" t="str">
        <f aca="false">IF(AT417="","",IFERROR(MATCH(AT417,INDEX(Boundaries!$B$2:$I$30,MATCH(CP417,Boundaries!$A$2:$A$30,0),0),1)-1,""))</f>
        <v/>
      </c>
      <c r="AV417" s="42" t="str">
        <f aca="false">IF(OR(AU417="",$E417=""),"",AU417-$E417)</f>
        <v/>
      </c>
      <c r="AW417" s="39"/>
      <c r="AX417" s="40" t="str">
        <f aca="false">IF(OR(AW417="",CC417=""),"",AW417/CC417*100)</f>
        <v/>
      </c>
      <c r="AY417" s="41" t="str">
        <f aca="false">IF(AX417="","",IFERROR(MATCH(AX417,INDEX(Boundaries!$B$2:$I$30,MATCH(CQ417,Boundaries!$A$2:$A$30,0),0),1)-1,""))</f>
        <v/>
      </c>
      <c r="AZ417" s="42" t="str">
        <f aca="false">IF(OR(AY417="",$E417=""),"",AY417-$E417)</f>
        <v/>
      </c>
      <c r="BA417" s="39"/>
      <c r="BB417" s="40" t="str">
        <f aca="false">IF(OR(BA417="",CD417=""),"",BA417/CD417*100)</f>
        <v/>
      </c>
      <c r="BC417" s="41" t="str">
        <f aca="false">IF(BB417="","",IFERROR(MATCH(BB417,INDEX(Boundaries!$B$2:$I$30,MATCH(CR417,Boundaries!$A$2:$A$30,0),0),1)-1,""))</f>
        <v/>
      </c>
      <c r="BD417" s="42" t="str">
        <f aca="false">IF(OR(BC417="",$E417=""),"",BC417-$E417)</f>
        <v/>
      </c>
      <c r="BE417" s="39"/>
      <c r="BF417" s="40" t="str">
        <f aca="false">IF(OR(BE417="",CE417=""),"",BE417/CE417*100)</f>
        <v/>
      </c>
      <c r="BG417" s="41" t="str">
        <f aca="false">IF(BF417="","",IFERROR(MATCH(BF417,INDEX(Boundaries!$B$2:$I$30,MATCH(CS417,Boundaries!$A$2:$A$30,0),0),1)-1,""))</f>
        <v/>
      </c>
      <c r="BH417" s="42" t="str">
        <f aca="false">IF(OR(BG417="",$E417=""),"",BG417-$E417)</f>
        <v/>
      </c>
      <c r="BI417" s="39"/>
      <c r="BJ417" s="40" t="str">
        <f aca="false">IF(OR(BI417="",CF417=""),"",BI417/CF417*100)</f>
        <v/>
      </c>
      <c r="BK417" s="41" t="str">
        <f aca="false">IF(BJ417="","",IFERROR(MATCH(BJ417,INDEX(Boundaries!$B$2:$I$30,MATCH(CT417,Boundaries!$A$2:$A$30,0),0),1)-1,""))</f>
        <v/>
      </c>
      <c r="BL417" s="42" t="str">
        <f aca="false">IF(OR(BK417="",$E417=""),"",BK417-$E417)</f>
        <v/>
      </c>
      <c r="BM417" s="39"/>
      <c r="BN417" s="40" t="str">
        <f aca="false">IF(OR(BM417="",CG417=""),"",BM417/CG417*100)</f>
        <v/>
      </c>
      <c r="BO417" s="41" t="str">
        <f aca="false">IF(BN417="","",IFERROR(MATCH(BN417,INDEX(Boundaries!$B$2:$I$30,MATCH(CU417,Boundaries!$A$2:$A$30,0),0),1)-1,""))</f>
        <v/>
      </c>
      <c r="BP417" s="42" t="str">
        <f aca="false">IF(OR(BO417="",$E417=""),"",BO417-$E417)</f>
        <v/>
      </c>
      <c r="BQ417" s="39"/>
      <c r="BR417" s="40" t="str">
        <f aca="false">IF(OR(BQ417="",CH417=""),"",BQ417/CH417*100)</f>
        <v/>
      </c>
      <c r="BS417" s="41" t="str">
        <f aca="false">IF(BR417="","",IFERROR(MATCH(BR417,INDEX(Boundaries!$B$2:$I$30,MATCH(CV417,Boundaries!$A$2:$A$30,0),0),1)-1,""))</f>
        <v/>
      </c>
      <c r="BT417" s="42" t="str">
        <f aca="false">IF(OR(BS417="",$E417=""),"",BS417-$E417)</f>
        <v/>
      </c>
      <c r="BU417" s="28" t="str">
        <f aca="false">IFERROR(INDEX(Assessments!$H$2:$H$600,MATCH($H417&amp;"|"&amp;$I417&amp;"|"&amp;$J417&amp;"|"&amp;1,Assessments!$A$2:$A$600,0)),"")</f>
        <v/>
      </c>
      <c r="BV417" s="28" t="str">
        <f aca="false">IFERROR(INDEX(Assessments!$H$2:$H$600,MATCH($H417&amp;"|"&amp;$I417&amp;"|"&amp;$J417&amp;"|"&amp;2,Assessments!$A$2:$A$600,0)),"")</f>
        <v/>
      </c>
      <c r="BW417" s="28" t="str">
        <f aca="false">IFERROR(INDEX(Assessments!$H$2:$H$600,MATCH($H417&amp;"|"&amp;$I417&amp;"|"&amp;$J417&amp;"|"&amp;3,Assessments!$A$2:$A$600,0)),"")</f>
        <v/>
      </c>
      <c r="BX417" s="28" t="str">
        <f aca="false">IFERROR(INDEX(Assessments!$H$2:$H$600,MATCH($H417&amp;"|"&amp;$I417&amp;"|"&amp;$J417&amp;"|"&amp;4,Assessments!$A$2:$A$600,0)),"")</f>
        <v/>
      </c>
      <c r="BY417" s="28" t="str">
        <f aca="false">IFERROR(INDEX(Assessments!$H$2:$H$600,MATCH($H417&amp;"|"&amp;$I417&amp;"|"&amp;$J417&amp;"|"&amp;5,Assessments!$A$2:$A$600,0)),"")</f>
        <v/>
      </c>
      <c r="BZ417" s="28" t="str">
        <f aca="false">IFERROR(INDEX(Assessments!$H$2:$H$600,MATCH($H417&amp;"|"&amp;$I417&amp;"|"&amp;$J417&amp;"|"&amp;6,Assessments!$A$2:$A$600,0)),"")</f>
        <v/>
      </c>
      <c r="CA417" s="28" t="str">
        <f aca="false">IFERROR(INDEX(Assessments!$H$2:$H$600,MATCH($H417&amp;"|"&amp;$I417&amp;"|"&amp;$J417&amp;"|"&amp;7,Assessments!$A$2:$A$600,0)),"")</f>
        <v/>
      </c>
      <c r="CB417" s="28" t="str">
        <f aca="false">IFERROR(INDEX(Assessments!$H$2:$H$600,MATCH($H417&amp;"|"&amp;$I417&amp;"|"&amp;$J417&amp;"|"&amp;8,Assessments!$A$2:$A$600,0)),"")</f>
        <v/>
      </c>
      <c r="CC417" s="28" t="str">
        <f aca="false">IFERROR(INDEX(Assessments!$H$2:$H$600,MATCH($H417&amp;"|"&amp;$I417&amp;"|"&amp;$J417&amp;"|"&amp;9,Assessments!$A$2:$A$600,0)),"")</f>
        <v/>
      </c>
      <c r="CD417" s="28" t="str">
        <f aca="false">IFERROR(INDEX(Assessments!$H$2:$H$600,MATCH($H417&amp;"|"&amp;$I417&amp;"|"&amp;$J417&amp;"|"&amp;10,Assessments!$A$2:$A$600,0)),"")</f>
        <v/>
      </c>
      <c r="CE417" s="28" t="str">
        <f aca="false">IFERROR(INDEX(Assessments!$H$2:$H$600,MATCH($H417&amp;"|"&amp;$I417&amp;"|"&amp;$J417&amp;"|"&amp;11,Assessments!$A$2:$A$600,0)),"")</f>
        <v/>
      </c>
      <c r="CF417" s="28" t="str">
        <f aca="false">IFERROR(INDEX(Assessments!$H$2:$H$600,MATCH($H417&amp;"|"&amp;$I417&amp;"|"&amp;$J417&amp;"|"&amp;12,Assessments!$A$2:$A$600,0)),"")</f>
        <v/>
      </c>
      <c r="CG417" s="28" t="str">
        <f aca="false">IFERROR(INDEX(Assessments!$H$2:$H$600,MATCH($H417&amp;"|"&amp;$I417&amp;"|"&amp;$J417&amp;"|"&amp;13,Assessments!$A$2:$A$600,0)),"")</f>
        <v/>
      </c>
      <c r="CH417" s="28" t="str">
        <f aca="false">IFERROR(INDEX(Assessments!$H$2:$H$600,MATCH($H417&amp;"|"&amp;$I417&amp;"|"&amp;$J417&amp;"|"&amp;14,Assessments!$A$2:$A$600,0)),"")</f>
        <v/>
      </c>
      <c r="CI417" s="28" t="str">
        <f aca="false">IFERROR(INDEX(Assessments!$I$2:$I$600,MATCH($H417&amp;"|"&amp;$I417&amp;"|"&amp;$J417&amp;"|"&amp;1,Assessments!$A$2:$A$600,0)),"")</f>
        <v/>
      </c>
      <c r="CJ417" s="28" t="str">
        <f aca="false">IFERROR(INDEX(Assessments!$I$2:$I$600,MATCH($H417&amp;"|"&amp;$I417&amp;"|"&amp;$J417&amp;"|"&amp;2,Assessments!$A$2:$A$600,0)),"")</f>
        <v/>
      </c>
      <c r="CK417" s="28" t="str">
        <f aca="false">IFERROR(INDEX(Assessments!$I$2:$I$600,MATCH($H417&amp;"|"&amp;$I417&amp;"|"&amp;$J417&amp;"|"&amp;3,Assessments!$A$2:$A$600,0)),"")</f>
        <v/>
      </c>
      <c r="CL417" s="28" t="str">
        <f aca="false">IFERROR(INDEX(Assessments!$I$2:$I$600,MATCH($H417&amp;"|"&amp;$I417&amp;"|"&amp;$J417&amp;"|"&amp;4,Assessments!$A$2:$A$600,0)),"")</f>
        <v/>
      </c>
      <c r="CM417" s="28" t="str">
        <f aca="false">IFERROR(INDEX(Assessments!$I$2:$I$600,MATCH($H417&amp;"|"&amp;$I417&amp;"|"&amp;$J417&amp;"|"&amp;5,Assessments!$A$2:$A$600,0)),"")</f>
        <v/>
      </c>
      <c r="CN417" s="28" t="str">
        <f aca="false">IFERROR(INDEX(Assessments!$I$2:$I$600,MATCH($H417&amp;"|"&amp;$I417&amp;"|"&amp;$J417&amp;"|"&amp;6,Assessments!$A$2:$A$600,0)),"")</f>
        <v/>
      </c>
      <c r="CO417" s="28" t="str">
        <f aca="false">IFERROR(INDEX(Assessments!$I$2:$I$600,MATCH($H417&amp;"|"&amp;$I417&amp;"|"&amp;$J417&amp;"|"&amp;7,Assessments!$A$2:$A$600,0)),"")</f>
        <v/>
      </c>
      <c r="CP417" s="28" t="str">
        <f aca="false">IFERROR(INDEX(Assessments!$I$2:$I$600,MATCH($H417&amp;"|"&amp;$I417&amp;"|"&amp;$J417&amp;"|"&amp;8,Assessments!$A$2:$A$600,0)),"")</f>
        <v/>
      </c>
      <c r="CQ417" s="28" t="str">
        <f aca="false">IFERROR(INDEX(Assessments!$I$2:$I$600,MATCH($H417&amp;"|"&amp;$I417&amp;"|"&amp;$J417&amp;"|"&amp;9,Assessments!$A$2:$A$600,0)),"")</f>
        <v/>
      </c>
      <c r="CR417" s="28" t="str">
        <f aca="false">IFERROR(INDEX(Assessments!$I$2:$I$600,MATCH($H417&amp;"|"&amp;$I417&amp;"|"&amp;$J417&amp;"|"&amp;10,Assessments!$A$2:$A$600,0)),"")</f>
        <v/>
      </c>
      <c r="CS417" s="28" t="str">
        <f aca="false">IFERROR(INDEX(Assessments!$I$2:$I$600,MATCH($H417&amp;"|"&amp;$I417&amp;"|"&amp;$J417&amp;"|"&amp;11,Assessments!$A$2:$A$600,0)),"")</f>
        <v/>
      </c>
      <c r="CT417" s="28" t="str">
        <f aca="false">IFERROR(INDEX(Assessments!$I$2:$I$600,MATCH($H417&amp;"|"&amp;$I417&amp;"|"&amp;$J417&amp;"|"&amp;12,Assessments!$A$2:$A$600,0)),"")</f>
        <v/>
      </c>
      <c r="CU417" s="28" t="str">
        <f aca="false">IFERROR(INDEX(Assessments!$I$2:$I$600,MATCH($H417&amp;"|"&amp;$I417&amp;"|"&amp;$J417&amp;"|"&amp;13,Assessments!$A$2:$A$600,0)),"")</f>
        <v/>
      </c>
      <c r="CV417" s="28" t="str">
        <f aca="false">IFERROR(INDEX(Assessments!$I$2:$I$600,MATCH($H417&amp;"|"&amp;$I417&amp;"|"&amp;$J417&amp;"|"&amp;14,Assessments!$A$2:$A$600,0)),"")</f>
        <v/>
      </c>
      <c r="CW417" s="28" t="n">
        <f aca="false">IFERROR(INDEX(Assessments!$J$2:$J$600,MATCH($H417&amp;"|"&amp;$I417&amp;"|"&amp;$J417&amp;"|"&amp;1,Assessments!$A$2:$A$600,0)),0)</f>
        <v>0</v>
      </c>
      <c r="CX417" s="28" t="n">
        <f aca="false">IFERROR(INDEX(Assessments!$J$2:$J$600,MATCH($H417&amp;"|"&amp;$I417&amp;"|"&amp;$J417&amp;"|"&amp;2,Assessments!$A$2:$A$600,0)),0)</f>
        <v>0</v>
      </c>
      <c r="CY417" s="28" t="n">
        <f aca="false">IFERROR(INDEX(Assessments!$J$2:$J$600,MATCH($H417&amp;"|"&amp;$I417&amp;"|"&amp;$J417&amp;"|"&amp;3,Assessments!$A$2:$A$600,0)),0)</f>
        <v>0</v>
      </c>
      <c r="CZ417" s="28" t="n">
        <f aca="false">IFERROR(INDEX(Assessments!$J$2:$J$600,MATCH($H417&amp;"|"&amp;$I417&amp;"|"&amp;$J417&amp;"|"&amp;4,Assessments!$A$2:$A$600,0)),0)</f>
        <v>0</v>
      </c>
      <c r="DA417" s="28" t="n">
        <f aca="false">IFERROR(INDEX(Assessments!$J$2:$J$600,MATCH($H417&amp;"|"&amp;$I417&amp;"|"&amp;$J417&amp;"|"&amp;5,Assessments!$A$2:$A$600,0)),0)</f>
        <v>0</v>
      </c>
      <c r="DB417" s="28" t="n">
        <f aca="false">IFERROR(INDEX(Assessments!$J$2:$J$600,MATCH($H417&amp;"|"&amp;$I417&amp;"|"&amp;$J417&amp;"|"&amp;6,Assessments!$A$2:$A$600,0)),0)</f>
        <v>0</v>
      </c>
      <c r="DC417" s="28" t="n">
        <f aca="false">IFERROR(INDEX(Assessments!$J$2:$J$600,MATCH($H417&amp;"|"&amp;$I417&amp;"|"&amp;$J417&amp;"|"&amp;7,Assessments!$A$2:$A$600,0)),0)</f>
        <v>0</v>
      </c>
      <c r="DD417" s="28" t="n">
        <f aca="false">IFERROR(INDEX(Assessments!$J$2:$J$600,MATCH($H417&amp;"|"&amp;$I417&amp;"|"&amp;$J417&amp;"|"&amp;8,Assessments!$A$2:$A$600,0)),0)</f>
        <v>0</v>
      </c>
      <c r="DE417" s="28" t="n">
        <f aca="false">IFERROR(INDEX(Assessments!$J$2:$J$600,MATCH($H417&amp;"|"&amp;$I417&amp;"|"&amp;$J417&amp;"|"&amp;9,Assessments!$A$2:$A$600,0)),0)</f>
        <v>0</v>
      </c>
      <c r="DF417" s="28" t="n">
        <f aca="false">IFERROR(INDEX(Assessments!$J$2:$J$600,MATCH($H417&amp;"|"&amp;$I417&amp;"|"&amp;$J417&amp;"|"&amp;10,Assessments!$A$2:$A$600,0)),0)</f>
        <v>0</v>
      </c>
      <c r="DG417" s="28" t="n">
        <f aca="false">IFERROR(INDEX(Assessments!$J$2:$J$600,MATCH($H417&amp;"|"&amp;$I417&amp;"|"&amp;$J417&amp;"|"&amp;11,Assessments!$A$2:$A$600,0)),0)</f>
        <v>0</v>
      </c>
      <c r="DH417" s="28" t="n">
        <f aca="false">IFERROR(INDEX(Assessments!$J$2:$J$600,MATCH($H417&amp;"|"&amp;$I417&amp;"|"&amp;$J417&amp;"|"&amp;12,Assessments!$A$2:$A$600,0)),0)</f>
        <v>0</v>
      </c>
      <c r="DI417" s="28" t="n">
        <f aca="false">IFERROR(INDEX(Assessments!$J$2:$J$600,MATCH($H417&amp;"|"&amp;$I417&amp;"|"&amp;$J417&amp;"|"&amp;13,Assessments!$A$2:$A$600,0)),0)</f>
        <v>0</v>
      </c>
      <c r="DJ417" s="28" t="n">
        <f aca="false">IFERROR(INDEX(Assessments!$J$2:$J$600,MATCH($H417&amp;"|"&amp;$I417&amp;"|"&amp;$J417&amp;"|"&amp;14,Assessments!$A$2:$A$600,0)),0)</f>
        <v>0</v>
      </c>
      <c r="DK417" s="28" t="str">
        <f aca="false">S417</f>
        <v/>
      </c>
      <c r="DL417" s="28" t="str">
        <f aca="false">W417</f>
        <v/>
      </c>
      <c r="DM417" s="28" t="str">
        <f aca="false">AA417</f>
        <v/>
      </c>
      <c r="DN417" s="28" t="str">
        <f aca="false">AE417</f>
        <v/>
      </c>
      <c r="DO417" s="28" t="str">
        <f aca="false">AI417</f>
        <v/>
      </c>
      <c r="DP417" s="28" t="str">
        <f aca="false">AM417</f>
        <v/>
      </c>
      <c r="DQ417" s="28" t="str">
        <f aca="false">AQ417</f>
        <v/>
      </c>
      <c r="DR417" s="28" t="str">
        <f aca="false">AU417</f>
        <v/>
      </c>
      <c r="DS417" s="28" t="str">
        <f aca="false">AY417</f>
        <v/>
      </c>
      <c r="DT417" s="28" t="str">
        <f aca="false">BC417</f>
        <v/>
      </c>
      <c r="DU417" s="28" t="str">
        <f aca="false">BG417</f>
        <v/>
      </c>
      <c r="DV417" s="28" t="str">
        <f aca="false">BK417</f>
        <v/>
      </c>
      <c r="DW417" s="28" t="str">
        <f aca="false">BO417</f>
        <v/>
      </c>
      <c r="DX417" s="28" t="str">
        <f aca="false">BS417</f>
        <v/>
      </c>
      <c r="DY417" s="28" t="str">
        <f aca="false">IF(ISNUMBER(S417),1,"")</f>
        <v/>
      </c>
      <c r="DZ417" s="28" t="str">
        <f aca="false">IF(ISNUMBER(W417),2,"")</f>
        <v/>
      </c>
      <c r="EA417" s="28" t="str">
        <f aca="false">IF(ISNUMBER(AA417),3,"")</f>
        <v/>
      </c>
      <c r="EB417" s="28" t="str">
        <f aca="false">IF(ISNUMBER(AE417),4,"")</f>
        <v/>
      </c>
      <c r="EC417" s="28" t="str">
        <f aca="false">IF(ISNUMBER(AI417),5,"")</f>
        <v/>
      </c>
      <c r="ED417" s="28" t="str">
        <f aca="false">IF(ISNUMBER(AM417),6,"")</f>
        <v/>
      </c>
      <c r="EE417" s="28" t="str">
        <f aca="false">IF(ISNUMBER(AQ417),7,"")</f>
        <v/>
      </c>
      <c r="EF417" s="28" t="str">
        <f aca="false">IF(ISNUMBER(AU417),8,"")</f>
        <v/>
      </c>
      <c r="EG417" s="28" t="str">
        <f aca="false">IF(ISNUMBER(AY417),9,"")</f>
        <v/>
      </c>
      <c r="EH417" s="28" t="str">
        <f aca="false">IF(ISNUMBER(BC417),10,"")</f>
        <v/>
      </c>
      <c r="EI417" s="28" t="str">
        <f aca="false">IF(ISNUMBER(BG417),11,"")</f>
        <v/>
      </c>
      <c r="EJ417" s="28" t="str">
        <f aca="false">IF(ISNUMBER(BK417),12,"")</f>
        <v/>
      </c>
      <c r="EK417" s="28" t="str">
        <f aca="false">IF(ISNUMBER(BO417),13,"")</f>
        <v/>
      </c>
      <c r="EL417" s="28" t="str">
        <f aca="false">IF(ISNUMBER(BS417),14,"")</f>
        <v/>
      </c>
      <c r="EM417" s="28" t="n">
        <f aca="false">IF(ISNUMBER(R417),R417*CW417,0)</f>
        <v>0</v>
      </c>
      <c r="EN417" s="28" t="n">
        <f aca="false">IF(ISNUMBER(V417),V417*CX417,0)</f>
        <v>0</v>
      </c>
      <c r="EO417" s="28" t="n">
        <f aca="false">IF(ISNUMBER(Z417),Z417*CY417,0)</f>
        <v>0</v>
      </c>
      <c r="EP417" s="28" t="n">
        <f aca="false">IF(ISNUMBER(AD417),AD417*CZ417,0)</f>
        <v>0</v>
      </c>
      <c r="EQ417" s="28" t="n">
        <f aca="false">IF(ISNUMBER(AH417),AH417*DA417,0)</f>
        <v>0</v>
      </c>
      <c r="ER417" s="28" t="n">
        <f aca="false">IF(ISNUMBER(AL417),AL417*DB417,0)</f>
        <v>0</v>
      </c>
      <c r="ES417" s="28" t="n">
        <f aca="false">IF(ISNUMBER(AP417),AP417*DC417,0)</f>
        <v>0</v>
      </c>
      <c r="ET417" s="28" t="n">
        <f aca="false">IF(ISNUMBER(AT417),AT417*DD417,0)</f>
        <v>0</v>
      </c>
      <c r="EU417" s="28" t="n">
        <f aca="false">IF(ISNUMBER(AX417),AX417*DE417,0)</f>
        <v>0</v>
      </c>
      <c r="EV417" s="28" t="n">
        <f aca="false">IF(ISNUMBER(BB417),BB417*DF417,0)</f>
        <v>0</v>
      </c>
      <c r="EW417" s="28" t="n">
        <f aca="false">IF(ISNUMBER(BF417),BF417*DG417,0)</f>
        <v>0</v>
      </c>
      <c r="EX417" s="28" t="n">
        <f aca="false">IF(ISNUMBER(BJ417),BJ417*DH417,0)</f>
        <v>0</v>
      </c>
      <c r="EY417" s="28" t="n">
        <f aca="false">IF(ISNUMBER(BN417),BN417*DI417,0)</f>
        <v>0</v>
      </c>
      <c r="EZ417" s="28" t="n">
        <f aca="false">IF(ISNUMBER(BR417),BR417*DJ417,0)</f>
        <v>0</v>
      </c>
      <c r="FA417" s="28" t="n">
        <f aca="false">IF(ISNUMBER(R417),CW417,0)</f>
        <v>0</v>
      </c>
      <c r="FB417" s="28" t="n">
        <f aca="false">IF(ISNUMBER(V417),CX417,0)</f>
        <v>0</v>
      </c>
      <c r="FC417" s="28" t="n">
        <f aca="false">IF(ISNUMBER(Z417),CY417,0)</f>
        <v>0</v>
      </c>
      <c r="FD417" s="28" t="n">
        <f aca="false">IF(ISNUMBER(AD417),CZ417,0)</f>
        <v>0</v>
      </c>
      <c r="FE417" s="28" t="n">
        <f aca="false">IF(ISNUMBER(AH417),DA417,0)</f>
        <v>0</v>
      </c>
      <c r="FF417" s="28" t="n">
        <f aca="false">IF(ISNUMBER(AL417),DB417,0)</f>
        <v>0</v>
      </c>
      <c r="FG417" s="28" t="n">
        <f aca="false">IF(ISNUMBER(AP417),DC417,0)</f>
        <v>0</v>
      </c>
      <c r="FH417" s="28" t="n">
        <f aca="false">IF(ISNUMBER(AT417),DD417,0)</f>
        <v>0</v>
      </c>
      <c r="FI417" s="28" t="n">
        <f aca="false">IF(ISNUMBER(AX417),DE417,0)</f>
        <v>0</v>
      </c>
      <c r="FJ417" s="28" t="n">
        <f aca="false">IF(ISNUMBER(BB417),DF417,0)</f>
        <v>0</v>
      </c>
      <c r="FK417" s="28" t="n">
        <f aca="false">IF(ISNUMBER(BF417),DG417,0)</f>
        <v>0</v>
      </c>
      <c r="FL417" s="28" t="n">
        <f aca="false">IF(ISNUMBER(BJ417),DH417,0)</f>
        <v>0</v>
      </c>
      <c r="FM417" s="28" t="n">
        <f aca="false">IF(ISNUMBER(BN417),DI417,0)</f>
        <v>0</v>
      </c>
      <c r="FN417" s="28" t="n">
        <f aca="false">IF(ISNUMBER(BR417),DJ417,0)</f>
        <v>0</v>
      </c>
      <c r="FO417" s="28" t="str">
        <f aca="false">IFERROR(INDEX(Lists!$G$2:$G$20,MATCH($I417&amp;"|"&amp;$J417,Lists!$F$2:$F$20,0)),"")</f>
        <v/>
      </c>
    </row>
    <row r="418" customFormat="false" ht="19.5" hidden="false" customHeight="true" outlineLevel="0" collapsed="false">
      <c r="A418" s="29"/>
      <c r="B418" s="29"/>
      <c r="C418" s="30"/>
      <c r="D418" s="30"/>
      <c r="E418" s="31"/>
      <c r="F418" s="30"/>
      <c r="G418" s="30"/>
      <c r="H418" s="32"/>
      <c r="I418" s="33"/>
      <c r="J418" s="32"/>
      <c r="K418" s="34" t="str">
        <f aca="false">IF(OR(M418="",$E418=""),"",M418-$E418)</f>
        <v/>
      </c>
      <c r="L418" s="35" t="str">
        <f aca="false">IF(SUM(FA418:FN418)=0,"",SUM(EM418:EZ418)/SUM(FA418:FN418))</f>
        <v/>
      </c>
      <c r="M418" s="36" t="str">
        <f aca="false">IF(OR(L418="",FO418=""),"",IFERROR(MATCH(L418,INDEX(Boundaries!$B$2:$I$30,MATCH(FO418,Boundaries!$A$2:$A$30,0),0),1)-1,""))</f>
        <v/>
      </c>
      <c r="N418" s="37" t="str">
        <f aca="false">IF(COUNT($DY418:$EL418)&lt;2,"",INDEX($DK418:$DX418,MAX($DY418:$EL418))-INDEX($DK418:$DX418,MIN($DY418:$EL418)))</f>
        <v/>
      </c>
      <c r="O418" s="37" t="str">
        <f aca="false">IF(COUNT($DY418:$EL418)&lt;2,"",INDEX($DK418:$DX418,MAX($DY418:$EL418))-INDEX($DK418:$DX418,LARGE($DY418:$EL418,2)))</f>
        <v/>
      </c>
      <c r="P418" s="38" t="str">
        <f aca="false">IF(K418="","",IF(K418&gt;=0,"On/above target",IF(AND(N418&lt;&gt;"",N418&gt;=0.5),"Improving towards target",IF(AND(O418&lt;&gt;"",O418&lt;=-0.5),"Declining","Stable below target"))))</f>
        <v/>
      </c>
      <c r="Q418" s="39"/>
      <c r="R418" s="40" t="str">
        <f aca="false">IF(OR(Q418="",BU418=""),"",Q418/BU418*100)</f>
        <v/>
      </c>
      <c r="S418" s="41" t="str">
        <f aca="false">IF(R418="","",IFERROR(MATCH(R418,INDEX(Boundaries!$B$2:$I$30,MATCH(CI418,Boundaries!$A$2:$A$30,0),0),1)-1,""))</f>
        <v/>
      </c>
      <c r="T418" s="42" t="str">
        <f aca="false">IF(OR(S418="",$E418=""),"",S418-$E418)</f>
        <v/>
      </c>
      <c r="U418" s="39"/>
      <c r="V418" s="40" t="str">
        <f aca="false">IF(OR(U418="",BV418=""),"",U418/BV418*100)</f>
        <v/>
      </c>
      <c r="W418" s="41" t="str">
        <f aca="false">IF(V418="","",IFERROR(MATCH(V418,INDEX(Boundaries!$B$2:$I$30,MATCH(CJ418,Boundaries!$A$2:$A$30,0),0),1)-1,""))</f>
        <v/>
      </c>
      <c r="X418" s="42" t="str">
        <f aca="false">IF(OR(W418="",$E418=""),"",W418-$E418)</f>
        <v/>
      </c>
      <c r="Y418" s="39"/>
      <c r="Z418" s="40" t="str">
        <f aca="false">IF(OR(Y418="",BW418=""),"",Y418/BW418*100)</f>
        <v/>
      </c>
      <c r="AA418" s="41" t="str">
        <f aca="false">IF(Z418="","",IFERROR(MATCH(Z418,INDEX(Boundaries!$B$2:$I$30,MATCH(CK418,Boundaries!$A$2:$A$30,0),0),1)-1,""))</f>
        <v/>
      </c>
      <c r="AB418" s="42" t="str">
        <f aca="false">IF(OR(AA418="",$E418=""),"",AA418-$E418)</f>
        <v/>
      </c>
      <c r="AC418" s="39"/>
      <c r="AD418" s="40" t="str">
        <f aca="false">IF(OR(AC418="",BX418=""),"",AC418/BX418*100)</f>
        <v/>
      </c>
      <c r="AE418" s="41" t="str">
        <f aca="false">IF(AD418="","",IFERROR(MATCH(AD418,INDEX(Boundaries!$B$2:$I$30,MATCH(CL418,Boundaries!$A$2:$A$30,0),0),1)-1,""))</f>
        <v/>
      </c>
      <c r="AF418" s="42" t="str">
        <f aca="false">IF(OR(AE418="",$E418=""),"",AE418-$E418)</f>
        <v/>
      </c>
      <c r="AG418" s="39"/>
      <c r="AH418" s="40" t="str">
        <f aca="false">IF(OR(AG418="",BY418=""),"",AG418/BY418*100)</f>
        <v/>
      </c>
      <c r="AI418" s="41" t="str">
        <f aca="false">IF(AH418="","",IFERROR(MATCH(AH418,INDEX(Boundaries!$B$2:$I$30,MATCH(CM418,Boundaries!$A$2:$A$30,0),0),1)-1,""))</f>
        <v/>
      </c>
      <c r="AJ418" s="42" t="str">
        <f aca="false">IF(OR(AI418="",$E418=""),"",AI418-$E418)</f>
        <v/>
      </c>
      <c r="AK418" s="39"/>
      <c r="AL418" s="40" t="str">
        <f aca="false">IF(OR(AK418="",BZ418=""),"",AK418/BZ418*100)</f>
        <v/>
      </c>
      <c r="AM418" s="41" t="str">
        <f aca="false">IF(AL418="","",IFERROR(MATCH(AL418,INDEX(Boundaries!$B$2:$I$30,MATCH(CN418,Boundaries!$A$2:$A$30,0),0),1)-1,""))</f>
        <v/>
      </c>
      <c r="AN418" s="42" t="str">
        <f aca="false">IF(OR(AM418="",$E418=""),"",AM418-$E418)</f>
        <v/>
      </c>
      <c r="AO418" s="39"/>
      <c r="AP418" s="40" t="str">
        <f aca="false">IF(OR(AO418="",CA418=""),"",AO418/CA418*100)</f>
        <v/>
      </c>
      <c r="AQ418" s="41" t="str">
        <f aca="false">IF(AP418="","",IFERROR(MATCH(AP418,INDEX(Boundaries!$B$2:$I$30,MATCH(CO418,Boundaries!$A$2:$A$30,0),0),1)-1,""))</f>
        <v/>
      </c>
      <c r="AR418" s="42" t="str">
        <f aca="false">IF(OR(AQ418="",$E418=""),"",AQ418-$E418)</f>
        <v/>
      </c>
      <c r="AS418" s="39"/>
      <c r="AT418" s="40" t="str">
        <f aca="false">IF(OR(AS418="",CB418=""),"",AS418/CB418*100)</f>
        <v/>
      </c>
      <c r="AU418" s="41" t="str">
        <f aca="false">IF(AT418="","",IFERROR(MATCH(AT418,INDEX(Boundaries!$B$2:$I$30,MATCH(CP418,Boundaries!$A$2:$A$30,0),0),1)-1,""))</f>
        <v/>
      </c>
      <c r="AV418" s="42" t="str">
        <f aca="false">IF(OR(AU418="",$E418=""),"",AU418-$E418)</f>
        <v/>
      </c>
      <c r="AW418" s="39"/>
      <c r="AX418" s="40" t="str">
        <f aca="false">IF(OR(AW418="",CC418=""),"",AW418/CC418*100)</f>
        <v/>
      </c>
      <c r="AY418" s="41" t="str">
        <f aca="false">IF(AX418="","",IFERROR(MATCH(AX418,INDEX(Boundaries!$B$2:$I$30,MATCH(CQ418,Boundaries!$A$2:$A$30,0),0),1)-1,""))</f>
        <v/>
      </c>
      <c r="AZ418" s="42" t="str">
        <f aca="false">IF(OR(AY418="",$E418=""),"",AY418-$E418)</f>
        <v/>
      </c>
      <c r="BA418" s="39"/>
      <c r="BB418" s="40" t="str">
        <f aca="false">IF(OR(BA418="",CD418=""),"",BA418/CD418*100)</f>
        <v/>
      </c>
      <c r="BC418" s="41" t="str">
        <f aca="false">IF(BB418="","",IFERROR(MATCH(BB418,INDEX(Boundaries!$B$2:$I$30,MATCH(CR418,Boundaries!$A$2:$A$30,0),0),1)-1,""))</f>
        <v/>
      </c>
      <c r="BD418" s="42" t="str">
        <f aca="false">IF(OR(BC418="",$E418=""),"",BC418-$E418)</f>
        <v/>
      </c>
      <c r="BE418" s="39"/>
      <c r="BF418" s="40" t="str">
        <f aca="false">IF(OR(BE418="",CE418=""),"",BE418/CE418*100)</f>
        <v/>
      </c>
      <c r="BG418" s="41" t="str">
        <f aca="false">IF(BF418="","",IFERROR(MATCH(BF418,INDEX(Boundaries!$B$2:$I$30,MATCH(CS418,Boundaries!$A$2:$A$30,0),0),1)-1,""))</f>
        <v/>
      </c>
      <c r="BH418" s="42" t="str">
        <f aca="false">IF(OR(BG418="",$E418=""),"",BG418-$E418)</f>
        <v/>
      </c>
      <c r="BI418" s="39"/>
      <c r="BJ418" s="40" t="str">
        <f aca="false">IF(OR(BI418="",CF418=""),"",BI418/CF418*100)</f>
        <v/>
      </c>
      <c r="BK418" s="41" t="str">
        <f aca="false">IF(BJ418="","",IFERROR(MATCH(BJ418,INDEX(Boundaries!$B$2:$I$30,MATCH(CT418,Boundaries!$A$2:$A$30,0),0),1)-1,""))</f>
        <v/>
      </c>
      <c r="BL418" s="42" t="str">
        <f aca="false">IF(OR(BK418="",$E418=""),"",BK418-$E418)</f>
        <v/>
      </c>
      <c r="BM418" s="39"/>
      <c r="BN418" s="40" t="str">
        <f aca="false">IF(OR(BM418="",CG418=""),"",BM418/CG418*100)</f>
        <v/>
      </c>
      <c r="BO418" s="41" t="str">
        <f aca="false">IF(BN418="","",IFERROR(MATCH(BN418,INDEX(Boundaries!$B$2:$I$30,MATCH(CU418,Boundaries!$A$2:$A$30,0),0),1)-1,""))</f>
        <v/>
      </c>
      <c r="BP418" s="42" t="str">
        <f aca="false">IF(OR(BO418="",$E418=""),"",BO418-$E418)</f>
        <v/>
      </c>
      <c r="BQ418" s="39"/>
      <c r="BR418" s="40" t="str">
        <f aca="false">IF(OR(BQ418="",CH418=""),"",BQ418/CH418*100)</f>
        <v/>
      </c>
      <c r="BS418" s="41" t="str">
        <f aca="false">IF(BR418="","",IFERROR(MATCH(BR418,INDEX(Boundaries!$B$2:$I$30,MATCH(CV418,Boundaries!$A$2:$A$30,0),0),1)-1,""))</f>
        <v/>
      </c>
      <c r="BT418" s="42" t="str">
        <f aca="false">IF(OR(BS418="",$E418=""),"",BS418-$E418)</f>
        <v/>
      </c>
      <c r="BU418" s="28" t="str">
        <f aca="false">IFERROR(INDEX(Assessments!$H$2:$H$600,MATCH($H418&amp;"|"&amp;$I418&amp;"|"&amp;$J418&amp;"|"&amp;1,Assessments!$A$2:$A$600,0)),"")</f>
        <v/>
      </c>
      <c r="BV418" s="28" t="str">
        <f aca="false">IFERROR(INDEX(Assessments!$H$2:$H$600,MATCH($H418&amp;"|"&amp;$I418&amp;"|"&amp;$J418&amp;"|"&amp;2,Assessments!$A$2:$A$600,0)),"")</f>
        <v/>
      </c>
      <c r="BW418" s="28" t="str">
        <f aca="false">IFERROR(INDEX(Assessments!$H$2:$H$600,MATCH($H418&amp;"|"&amp;$I418&amp;"|"&amp;$J418&amp;"|"&amp;3,Assessments!$A$2:$A$600,0)),"")</f>
        <v/>
      </c>
      <c r="BX418" s="28" t="str">
        <f aca="false">IFERROR(INDEX(Assessments!$H$2:$H$600,MATCH($H418&amp;"|"&amp;$I418&amp;"|"&amp;$J418&amp;"|"&amp;4,Assessments!$A$2:$A$600,0)),"")</f>
        <v/>
      </c>
      <c r="BY418" s="28" t="str">
        <f aca="false">IFERROR(INDEX(Assessments!$H$2:$H$600,MATCH($H418&amp;"|"&amp;$I418&amp;"|"&amp;$J418&amp;"|"&amp;5,Assessments!$A$2:$A$600,0)),"")</f>
        <v/>
      </c>
      <c r="BZ418" s="28" t="str">
        <f aca="false">IFERROR(INDEX(Assessments!$H$2:$H$600,MATCH($H418&amp;"|"&amp;$I418&amp;"|"&amp;$J418&amp;"|"&amp;6,Assessments!$A$2:$A$600,0)),"")</f>
        <v/>
      </c>
      <c r="CA418" s="28" t="str">
        <f aca="false">IFERROR(INDEX(Assessments!$H$2:$H$600,MATCH($H418&amp;"|"&amp;$I418&amp;"|"&amp;$J418&amp;"|"&amp;7,Assessments!$A$2:$A$600,0)),"")</f>
        <v/>
      </c>
      <c r="CB418" s="28" t="str">
        <f aca="false">IFERROR(INDEX(Assessments!$H$2:$H$600,MATCH($H418&amp;"|"&amp;$I418&amp;"|"&amp;$J418&amp;"|"&amp;8,Assessments!$A$2:$A$600,0)),"")</f>
        <v/>
      </c>
      <c r="CC418" s="28" t="str">
        <f aca="false">IFERROR(INDEX(Assessments!$H$2:$H$600,MATCH($H418&amp;"|"&amp;$I418&amp;"|"&amp;$J418&amp;"|"&amp;9,Assessments!$A$2:$A$600,0)),"")</f>
        <v/>
      </c>
      <c r="CD418" s="28" t="str">
        <f aca="false">IFERROR(INDEX(Assessments!$H$2:$H$600,MATCH($H418&amp;"|"&amp;$I418&amp;"|"&amp;$J418&amp;"|"&amp;10,Assessments!$A$2:$A$600,0)),"")</f>
        <v/>
      </c>
      <c r="CE418" s="28" t="str">
        <f aca="false">IFERROR(INDEX(Assessments!$H$2:$H$600,MATCH($H418&amp;"|"&amp;$I418&amp;"|"&amp;$J418&amp;"|"&amp;11,Assessments!$A$2:$A$600,0)),"")</f>
        <v/>
      </c>
      <c r="CF418" s="28" t="str">
        <f aca="false">IFERROR(INDEX(Assessments!$H$2:$H$600,MATCH($H418&amp;"|"&amp;$I418&amp;"|"&amp;$J418&amp;"|"&amp;12,Assessments!$A$2:$A$600,0)),"")</f>
        <v/>
      </c>
      <c r="CG418" s="28" t="str">
        <f aca="false">IFERROR(INDEX(Assessments!$H$2:$H$600,MATCH($H418&amp;"|"&amp;$I418&amp;"|"&amp;$J418&amp;"|"&amp;13,Assessments!$A$2:$A$600,0)),"")</f>
        <v/>
      </c>
      <c r="CH418" s="28" t="str">
        <f aca="false">IFERROR(INDEX(Assessments!$H$2:$H$600,MATCH($H418&amp;"|"&amp;$I418&amp;"|"&amp;$J418&amp;"|"&amp;14,Assessments!$A$2:$A$600,0)),"")</f>
        <v/>
      </c>
      <c r="CI418" s="28" t="str">
        <f aca="false">IFERROR(INDEX(Assessments!$I$2:$I$600,MATCH($H418&amp;"|"&amp;$I418&amp;"|"&amp;$J418&amp;"|"&amp;1,Assessments!$A$2:$A$600,0)),"")</f>
        <v/>
      </c>
      <c r="CJ418" s="28" t="str">
        <f aca="false">IFERROR(INDEX(Assessments!$I$2:$I$600,MATCH($H418&amp;"|"&amp;$I418&amp;"|"&amp;$J418&amp;"|"&amp;2,Assessments!$A$2:$A$600,0)),"")</f>
        <v/>
      </c>
      <c r="CK418" s="28" t="str">
        <f aca="false">IFERROR(INDEX(Assessments!$I$2:$I$600,MATCH($H418&amp;"|"&amp;$I418&amp;"|"&amp;$J418&amp;"|"&amp;3,Assessments!$A$2:$A$600,0)),"")</f>
        <v/>
      </c>
      <c r="CL418" s="28" t="str">
        <f aca="false">IFERROR(INDEX(Assessments!$I$2:$I$600,MATCH($H418&amp;"|"&amp;$I418&amp;"|"&amp;$J418&amp;"|"&amp;4,Assessments!$A$2:$A$600,0)),"")</f>
        <v/>
      </c>
      <c r="CM418" s="28" t="str">
        <f aca="false">IFERROR(INDEX(Assessments!$I$2:$I$600,MATCH($H418&amp;"|"&amp;$I418&amp;"|"&amp;$J418&amp;"|"&amp;5,Assessments!$A$2:$A$600,0)),"")</f>
        <v/>
      </c>
      <c r="CN418" s="28" t="str">
        <f aca="false">IFERROR(INDEX(Assessments!$I$2:$I$600,MATCH($H418&amp;"|"&amp;$I418&amp;"|"&amp;$J418&amp;"|"&amp;6,Assessments!$A$2:$A$600,0)),"")</f>
        <v/>
      </c>
      <c r="CO418" s="28" t="str">
        <f aca="false">IFERROR(INDEX(Assessments!$I$2:$I$600,MATCH($H418&amp;"|"&amp;$I418&amp;"|"&amp;$J418&amp;"|"&amp;7,Assessments!$A$2:$A$600,0)),"")</f>
        <v/>
      </c>
      <c r="CP418" s="28" t="str">
        <f aca="false">IFERROR(INDEX(Assessments!$I$2:$I$600,MATCH($H418&amp;"|"&amp;$I418&amp;"|"&amp;$J418&amp;"|"&amp;8,Assessments!$A$2:$A$600,0)),"")</f>
        <v/>
      </c>
      <c r="CQ418" s="28" t="str">
        <f aca="false">IFERROR(INDEX(Assessments!$I$2:$I$600,MATCH($H418&amp;"|"&amp;$I418&amp;"|"&amp;$J418&amp;"|"&amp;9,Assessments!$A$2:$A$600,0)),"")</f>
        <v/>
      </c>
      <c r="CR418" s="28" t="str">
        <f aca="false">IFERROR(INDEX(Assessments!$I$2:$I$600,MATCH($H418&amp;"|"&amp;$I418&amp;"|"&amp;$J418&amp;"|"&amp;10,Assessments!$A$2:$A$600,0)),"")</f>
        <v/>
      </c>
      <c r="CS418" s="28" t="str">
        <f aca="false">IFERROR(INDEX(Assessments!$I$2:$I$600,MATCH($H418&amp;"|"&amp;$I418&amp;"|"&amp;$J418&amp;"|"&amp;11,Assessments!$A$2:$A$600,0)),"")</f>
        <v/>
      </c>
      <c r="CT418" s="28" t="str">
        <f aca="false">IFERROR(INDEX(Assessments!$I$2:$I$600,MATCH($H418&amp;"|"&amp;$I418&amp;"|"&amp;$J418&amp;"|"&amp;12,Assessments!$A$2:$A$600,0)),"")</f>
        <v/>
      </c>
      <c r="CU418" s="28" t="str">
        <f aca="false">IFERROR(INDEX(Assessments!$I$2:$I$600,MATCH($H418&amp;"|"&amp;$I418&amp;"|"&amp;$J418&amp;"|"&amp;13,Assessments!$A$2:$A$600,0)),"")</f>
        <v/>
      </c>
      <c r="CV418" s="28" t="str">
        <f aca="false">IFERROR(INDEX(Assessments!$I$2:$I$600,MATCH($H418&amp;"|"&amp;$I418&amp;"|"&amp;$J418&amp;"|"&amp;14,Assessments!$A$2:$A$600,0)),"")</f>
        <v/>
      </c>
      <c r="CW418" s="28" t="n">
        <f aca="false">IFERROR(INDEX(Assessments!$J$2:$J$600,MATCH($H418&amp;"|"&amp;$I418&amp;"|"&amp;$J418&amp;"|"&amp;1,Assessments!$A$2:$A$600,0)),0)</f>
        <v>0</v>
      </c>
      <c r="CX418" s="28" t="n">
        <f aca="false">IFERROR(INDEX(Assessments!$J$2:$J$600,MATCH($H418&amp;"|"&amp;$I418&amp;"|"&amp;$J418&amp;"|"&amp;2,Assessments!$A$2:$A$600,0)),0)</f>
        <v>0</v>
      </c>
      <c r="CY418" s="28" t="n">
        <f aca="false">IFERROR(INDEX(Assessments!$J$2:$J$600,MATCH($H418&amp;"|"&amp;$I418&amp;"|"&amp;$J418&amp;"|"&amp;3,Assessments!$A$2:$A$600,0)),0)</f>
        <v>0</v>
      </c>
      <c r="CZ418" s="28" t="n">
        <f aca="false">IFERROR(INDEX(Assessments!$J$2:$J$600,MATCH($H418&amp;"|"&amp;$I418&amp;"|"&amp;$J418&amp;"|"&amp;4,Assessments!$A$2:$A$600,0)),0)</f>
        <v>0</v>
      </c>
      <c r="DA418" s="28" t="n">
        <f aca="false">IFERROR(INDEX(Assessments!$J$2:$J$600,MATCH($H418&amp;"|"&amp;$I418&amp;"|"&amp;$J418&amp;"|"&amp;5,Assessments!$A$2:$A$600,0)),0)</f>
        <v>0</v>
      </c>
      <c r="DB418" s="28" t="n">
        <f aca="false">IFERROR(INDEX(Assessments!$J$2:$J$600,MATCH($H418&amp;"|"&amp;$I418&amp;"|"&amp;$J418&amp;"|"&amp;6,Assessments!$A$2:$A$600,0)),0)</f>
        <v>0</v>
      </c>
      <c r="DC418" s="28" t="n">
        <f aca="false">IFERROR(INDEX(Assessments!$J$2:$J$600,MATCH($H418&amp;"|"&amp;$I418&amp;"|"&amp;$J418&amp;"|"&amp;7,Assessments!$A$2:$A$600,0)),0)</f>
        <v>0</v>
      </c>
      <c r="DD418" s="28" t="n">
        <f aca="false">IFERROR(INDEX(Assessments!$J$2:$J$600,MATCH($H418&amp;"|"&amp;$I418&amp;"|"&amp;$J418&amp;"|"&amp;8,Assessments!$A$2:$A$600,0)),0)</f>
        <v>0</v>
      </c>
      <c r="DE418" s="28" t="n">
        <f aca="false">IFERROR(INDEX(Assessments!$J$2:$J$600,MATCH($H418&amp;"|"&amp;$I418&amp;"|"&amp;$J418&amp;"|"&amp;9,Assessments!$A$2:$A$600,0)),0)</f>
        <v>0</v>
      </c>
      <c r="DF418" s="28" t="n">
        <f aca="false">IFERROR(INDEX(Assessments!$J$2:$J$600,MATCH($H418&amp;"|"&amp;$I418&amp;"|"&amp;$J418&amp;"|"&amp;10,Assessments!$A$2:$A$600,0)),0)</f>
        <v>0</v>
      </c>
      <c r="DG418" s="28" t="n">
        <f aca="false">IFERROR(INDEX(Assessments!$J$2:$J$600,MATCH($H418&amp;"|"&amp;$I418&amp;"|"&amp;$J418&amp;"|"&amp;11,Assessments!$A$2:$A$600,0)),0)</f>
        <v>0</v>
      </c>
      <c r="DH418" s="28" t="n">
        <f aca="false">IFERROR(INDEX(Assessments!$J$2:$J$600,MATCH($H418&amp;"|"&amp;$I418&amp;"|"&amp;$J418&amp;"|"&amp;12,Assessments!$A$2:$A$600,0)),0)</f>
        <v>0</v>
      </c>
      <c r="DI418" s="28" t="n">
        <f aca="false">IFERROR(INDEX(Assessments!$J$2:$J$600,MATCH($H418&amp;"|"&amp;$I418&amp;"|"&amp;$J418&amp;"|"&amp;13,Assessments!$A$2:$A$600,0)),0)</f>
        <v>0</v>
      </c>
      <c r="DJ418" s="28" t="n">
        <f aca="false">IFERROR(INDEX(Assessments!$J$2:$J$600,MATCH($H418&amp;"|"&amp;$I418&amp;"|"&amp;$J418&amp;"|"&amp;14,Assessments!$A$2:$A$600,0)),0)</f>
        <v>0</v>
      </c>
      <c r="DK418" s="28" t="str">
        <f aca="false">S418</f>
        <v/>
      </c>
      <c r="DL418" s="28" t="str">
        <f aca="false">W418</f>
        <v/>
      </c>
      <c r="DM418" s="28" t="str">
        <f aca="false">AA418</f>
        <v/>
      </c>
      <c r="DN418" s="28" t="str">
        <f aca="false">AE418</f>
        <v/>
      </c>
      <c r="DO418" s="28" t="str">
        <f aca="false">AI418</f>
        <v/>
      </c>
      <c r="DP418" s="28" t="str">
        <f aca="false">AM418</f>
        <v/>
      </c>
      <c r="DQ418" s="28" t="str">
        <f aca="false">AQ418</f>
        <v/>
      </c>
      <c r="DR418" s="28" t="str">
        <f aca="false">AU418</f>
        <v/>
      </c>
      <c r="DS418" s="28" t="str">
        <f aca="false">AY418</f>
        <v/>
      </c>
      <c r="DT418" s="28" t="str">
        <f aca="false">BC418</f>
        <v/>
      </c>
      <c r="DU418" s="28" t="str">
        <f aca="false">BG418</f>
        <v/>
      </c>
      <c r="DV418" s="28" t="str">
        <f aca="false">BK418</f>
        <v/>
      </c>
      <c r="DW418" s="28" t="str">
        <f aca="false">BO418</f>
        <v/>
      </c>
      <c r="DX418" s="28" t="str">
        <f aca="false">BS418</f>
        <v/>
      </c>
      <c r="DY418" s="28" t="str">
        <f aca="false">IF(ISNUMBER(S418),1,"")</f>
        <v/>
      </c>
      <c r="DZ418" s="28" t="str">
        <f aca="false">IF(ISNUMBER(W418),2,"")</f>
        <v/>
      </c>
      <c r="EA418" s="28" t="str">
        <f aca="false">IF(ISNUMBER(AA418),3,"")</f>
        <v/>
      </c>
      <c r="EB418" s="28" t="str">
        <f aca="false">IF(ISNUMBER(AE418),4,"")</f>
        <v/>
      </c>
      <c r="EC418" s="28" t="str">
        <f aca="false">IF(ISNUMBER(AI418),5,"")</f>
        <v/>
      </c>
      <c r="ED418" s="28" t="str">
        <f aca="false">IF(ISNUMBER(AM418),6,"")</f>
        <v/>
      </c>
      <c r="EE418" s="28" t="str">
        <f aca="false">IF(ISNUMBER(AQ418),7,"")</f>
        <v/>
      </c>
      <c r="EF418" s="28" t="str">
        <f aca="false">IF(ISNUMBER(AU418),8,"")</f>
        <v/>
      </c>
      <c r="EG418" s="28" t="str">
        <f aca="false">IF(ISNUMBER(AY418),9,"")</f>
        <v/>
      </c>
      <c r="EH418" s="28" t="str">
        <f aca="false">IF(ISNUMBER(BC418),10,"")</f>
        <v/>
      </c>
      <c r="EI418" s="28" t="str">
        <f aca="false">IF(ISNUMBER(BG418),11,"")</f>
        <v/>
      </c>
      <c r="EJ418" s="28" t="str">
        <f aca="false">IF(ISNUMBER(BK418),12,"")</f>
        <v/>
      </c>
      <c r="EK418" s="28" t="str">
        <f aca="false">IF(ISNUMBER(BO418),13,"")</f>
        <v/>
      </c>
      <c r="EL418" s="28" t="str">
        <f aca="false">IF(ISNUMBER(BS418),14,"")</f>
        <v/>
      </c>
      <c r="EM418" s="28" t="n">
        <f aca="false">IF(ISNUMBER(R418),R418*CW418,0)</f>
        <v>0</v>
      </c>
      <c r="EN418" s="28" t="n">
        <f aca="false">IF(ISNUMBER(V418),V418*CX418,0)</f>
        <v>0</v>
      </c>
      <c r="EO418" s="28" t="n">
        <f aca="false">IF(ISNUMBER(Z418),Z418*CY418,0)</f>
        <v>0</v>
      </c>
      <c r="EP418" s="28" t="n">
        <f aca="false">IF(ISNUMBER(AD418),AD418*CZ418,0)</f>
        <v>0</v>
      </c>
      <c r="EQ418" s="28" t="n">
        <f aca="false">IF(ISNUMBER(AH418),AH418*DA418,0)</f>
        <v>0</v>
      </c>
      <c r="ER418" s="28" t="n">
        <f aca="false">IF(ISNUMBER(AL418),AL418*DB418,0)</f>
        <v>0</v>
      </c>
      <c r="ES418" s="28" t="n">
        <f aca="false">IF(ISNUMBER(AP418),AP418*DC418,0)</f>
        <v>0</v>
      </c>
      <c r="ET418" s="28" t="n">
        <f aca="false">IF(ISNUMBER(AT418),AT418*DD418,0)</f>
        <v>0</v>
      </c>
      <c r="EU418" s="28" t="n">
        <f aca="false">IF(ISNUMBER(AX418),AX418*DE418,0)</f>
        <v>0</v>
      </c>
      <c r="EV418" s="28" t="n">
        <f aca="false">IF(ISNUMBER(BB418),BB418*DF418,0)</f>
        <v>0</v>
      </c>
      <c r="EW418" s="28" t="n">
        <f aca="false">IF(ISNUMBER(BF418),BF418*DG418,0)</f>
        <v>0</v>
      </c>
      <c r="EX418" s="28" t="n">
        <f aca="false">IF(ISNUMBER(BJ418),BJ418*DH418,0)</f>
        <v>0</v>
      </c>
      <c r="EY418" s="28" t="n">
        <f aca="false">IF(ISNUMBER(BN418),BN418*DI418,0)</f>
        <v>0</v>
      </c>
      <c r="EZ418" s="28" t="n">
        <f aca="false">IF(ISNUMBER(BR418),BR418*DJ418,0)</f>
        <v>0</v>
      </c>
      <c r="FA418" s="28" t="n">
        <f aca="false">IF(ISNUMBER(R418),CW418,0)</f>
        <v>0</v>
      </c>
      <c r="FB418" s="28" t="n">
        <f aca="false">IF(ISNUMBER(V418),CX418,0)</f>
        <v>0</v>
      </c>
      <c r="FC418" s="28" t="n">
        <f aca="false">IF(ISNUMBER(Z418),CY418,0)</f>
        <v>0</v>
      </c>
      <c r="FD418" s="28" t="n">
        <f aca="false">IF(ISNUMBER(AD418),CZ418,0)</f>
        <v>0</v>
      </c>
      <c r="FE418" s="28" t="n">
        <f aca="false">IF(ISNUMBER(AH418),DA418,0)</f>
        <v>0</v>
      </c>
      <c r="FF418" s="28" t="n">
        <f aca="false">IF(ISNUMBER(AL418),DB418,0)</f>
        <v>0</v>
      </c>
      <c r="FG418" s="28" t="n">
        <f aca="false">IF(ISNUMBER(AP418),DC418,0)</f>
        <v>0</v>
      </c>
      <c r="FH418" s="28" t="n">
        <f aca="false">IF(ISNUMBER(AT418),DD418,0)</f>
        <v>0</v>
      </c>
      <c r="FI418" s="28" t="n">
        <f aca="false">IF(ISNUMBER(AX418),DE418,0)</f>
        <v>0</v>
      </c>
      <c r="FJ418" s="28" t="n">
        <f aca="false">IF(ISNUMBER(BB418),DF418,0)</f>
        <v>0</v>
      </c>
      <c r="FK418" s="28" t="n">
        <f aca="false">IF(ISNUMBER(BF418),DG418,0)</f>
        <v>0</v>
      </c>
      <c r="FL418" s="28" t="n">
        <f aca="false">IF(ISNUMBER(BJ418),DH418,0)</f>
        <v>0</v>
      </c>
      <c r="FM418" s="28" t="n">
        <f aca="false">IF(ISNUMBER(BN418),DI418,0)</f>
        <v>0</v>
      </c>
      <c r="FN418" s="28" t="n">
        <f aca="false">IF(ISNUMBER(BR418),DJ418,0)</f>
        <v>0</v>
      </c>
      <c r="FO418" s="28" t="str">
        <f aca="false">IFERROR(INDEX(Lists!$G$2:$G$20,MATCH($I418&amp;"|"&amp;$J418,Lists!$F$2:$F$20,0)),"")</f>
        <v/>
      </c>
    </row>
    <row r="419" customFormat="false" ht="19.5" hidden="false" customHeight="true" outlineLevel="0" collapsed="false">
      <c r="A419" s="29"/>
      <c r="B419" s="29"/>
      <c r="C419" s="30"/>
      <c r="D419" s="30"/>
      <c r="E419" s="31"/>
      <c r="F419" s="30"/>
      <c r="G419" s="30"/>
      <c r="H419" s="32"/>
      <c r="I419" s="33"/>
      <c r="J419" s="32"/>
      <c r="K419" s="34" t="str">
        <f aca="false">IF(OR(M419="",$E419=""),"",M419-$E419)</f>
        <v/>
      </c>
      <c r="L419" s="35" t="str">
        <f aca="false">IF(SUM(FA419:FN419)=0,"",SUM(EM419:EZ419)/SUM(FA419:FN419))</f>
        <v/>
      </c>
      <c r="M419" s="36" t="str">
        <f aca="false">IF(OR(L419="",FO419=""),"",IFERROR(MATCH(L419,INDEX(Boundaries!$B$2:$I$30,MATCH(FO419,Boundaries!$A$2:$A$30,0),0),1)-1,""))</f>
        <v/>
      </c>
      <c r="N419" s="37" t="str">
        <f aca="false">IF(COUNT($DY419:$EL419)&lt;2,"",INDEX($DK419:$DX419,MAX($DY419:$EL419))-INDEX($DK419:$DX419,MIN($DY419:$EL419)))</f>
        <v/>
      </c>
      <c r="O419" s="37" t="str">
        <f aca="false">IF(COUNT($DY419:$EL419)&lt;2,"",INDEX($DK419:$DX419,MAX($DY419:$EL419))-INDEX($DK419:$DX419,LARGE($DY419:$EL419,2)))</f>
        <v/>
      </c>
      <c r="P419" s="38" t="str">
        <f aca="false">IF(K419="","",IF(K419&gt;=0,"On/above target",IF(AND(N419&lt;&gt;"",N419&gt;=0.5),"Improving towards target",IF(AND(O419&lt;&gt;"",O419&lt;=-0.5),"Declining","Stable below target"))))</f>
        <v/>
      </c>
      <c r="Q419" s="39"/>
      <c r="R419" s="40" t="str">
        <f aca="false">IF(OR(Q419="",BU419=""),"",Q419/BU419*100)</f>
        <v/>
      </c>
      <c r="S419" s="41" t="str">
        <f aca="false">IF(R419="","",IFERROR(MATCH(R419,INDEX(Boundaries!$B$2:$I$30,MATCH(CI419,Boundaries!$A$2:$A$30,0),0),1)-1,""))</f>
        <v/>
      </c>
      <c r="T419" s="42" t="str">
        <f aca="false">IF(OR(S419="",$E419=""),"",S419-$E419)</f>
        <v/>
      </c>
      <c r="U419" s="39"/>
      <c r="V419" s="40" t="str">
        <f aca="false">IF(OR(U419="",BV419=""),"",U419/BV419*100)</f>
        <v/>
      </c>
      <c r="W419" s="41" t="str">
        <f aca="false">IF(V419="","",IFERROR(MATCH(V419,INDEX(Boundaries!$B$2:$I$30,MATCH(CJ419,Boundaries!$A$2:$A$30,0),0),1)-1,""))</f>
        <v/>
      </c>
      <c r="X419" s="42" t="str">
        <f aca="false">IF(OR(W419="",$E419=""),"",W419-$E419)</f>
        <v/>
      </c>
      <c r="Y419" s="39"/>
      <c r="Z419" s="40" t="str">
        <f aca="false">IF(OR(Y419="",BW419=""),"",Y419/BW419*100)</f>
        <v/>
      </c>
      <c r="AA419" s="41" t="str">
        <f aca="false">IF(Z419="","",IFERROR(MATCH(Z419,INDEX(Boundaries!$B$2:$I$30,MATCH(CK419,Boundaries!$A$2:$A$30,0),0),1)-1,""))</f>
        <v/>
      </c>
      <c r="AB419" s="42" t="str">
        <f aca="false">IF(OR(AA419="",$E419=""),"",AA419-$E419)</f>
        <v/>
      </c>
      <c r="AC419" s="39"/>
      <c r="AD419" s="40" t="str">
        <f aca="false">IF(OR(AC419="",BX419=""),"",AC419/BX419*100)</f>
        <v/>
      </c>
      <c r="AE419" s="41" t="str">
        <f aca="false">IF(AD419="","",IFERROR(MATCH(AD419,INDEX(Boundaries!$B$2:$I$30,MATCH(CL419,Boundaries!$A$2:$A$30,0),0),1)-1,""))</f>
        <v/>
      </c>
      <c r="AF419" s="42" t="str">
        <f aca="false">IF(OR(AE419="",$E419=""),"",AE419-$E419)</f>
        <v/>
      </c>
      <c r="AG419" s="39"/>
      <c r="AH419" s="40" t="str">
        <f aca="false">IF(OR(AG419="",BY419=""),"",AG419/BY419*100)</f>
        <v/>
      </c>
      <c r="AI419" s="41" t="str">
        <f aca="false">IF(AH419="","",IFERROR(MATCH(AH419,INDEX(Boundaries!$B$2:$I$30,MATCH(CM419,Boundaries!$A$2:$A$30,0),0),1)-1,""))</f>
        <v/>
      </c>
      <c r="AJ419" s="42" t="str">
        <f aca="false">IF(OR(AI419="",$E419=""),"",AI419-$E419)</f>
        <v/>
      </c>
      <c r="AK419" s="39"/>
      <c r="AL419" s="40" t="str">
        <f aca="false">IF(OR(AK419="",BZ419=""),"",AK419/BZ419*100)</f>
        <v/>
      </c>
      <c r="AM419" s="41" t="str">
        <f aca="false">IF(AL419="","",IFERROR(MATCH(AL419,INDEX(Boundaries!$B$2:$I$30,MATCH(CN419,Boundaries!$A$2:$A$30,0),0),1)-1,""))</f>
        <v/>
      </c>
      <c r="AN419" s="42" t="str">
        <f aca="false">IF(OR(AM419="",$E419=""),"",AM419-$E419)</f>
        <v/>
      </c>
      <c r="AO419" s="39"/>
      <c r="AP419" s="40" t="str">
        <f aca="false">IF(OR(AO419="",CA419=""),"",AO419/CA419*100)</f>
        <v/>
      </c>
      <c r="AQ419" s="41" t="str">
        <f aca="false">IF(AP419="","",IFERROR(MATCH(AP419,INDEX(Boundaries!$B$2:$I$30,MATCH(CO419,Boundaries!$A$2:$A$30,0),0),1)-1,""))</f>
        <v/>
      </c>
      <c r="AR419" s="42" t="str">
        <f aca="false">IF(OR(AQ419="",$E419=""),"",AQ419-$E419)</f>
        <v/>
      </c>
      <c r="AS419" s="39"/>
      <c r="AT419" s="40" t="str">
        <f aca="false">IF(OR(AS419="",CB419=""),"",AS419/CB419*100)</f>
        <v/>
      </c>
      <c r="AU419" s="41" t="str">
        <f aca="false">IF(AT419="","",IFERROR(MATCH(AT419,INDEX(Boundaries!$B$2:$I$30,MATCH(CP419,Boundaries!$A$2:$A$30,0),0),1)-1,""))</f>
        <v/>
      </c>
      <c r="AV419" s="42" t="str">
        <f aca="false">IF(OR(AU419="",$E419=""),"",AU419-$E419)</f>
        <v/>
      </c>
      <c r="AW419" s="39"/>
      <c r="AX419" s="40" t="str">
        <f aca="false">IF(OR(AW419="",CC419=""),"",AW419/CC419*100)</f>
        <v/>
      </c>
      <c r="AY419" s="41" t="str">
        <f aca="false">IF(AX419="","",IFERROR(MATCH(AX419,INDEX(Boundaries!$B$2:$I$30,MATCH(CQ419,Boundaries!$A$2:$A$30,0),0),1)-1,""))</f>
        <v/>
      </c>
      <c r="AZ419" s="42" t="str">
        <f aca="false">IF(OR(AY419="",$E419=""),"",AY419-$E419)</f>
        <v/>
      </c>
      <c r="BA419" s="39"/>
      <c r="BB419" s="40" t="str">
        <f aca="false">IF(OR(BA419="",CD419=""),"",BA419/CD419*100)</f>
        <v/>
      </c>
      <c r="BC419" s="41" t="str">
        <f aca="false">IF(BB419="","",IFERROR(MATCH(BB419,INDEX(Boundaries!$B$2:$I$30,MATCH(CR419,Boundaries!$A$2:$A$30,0),0),1)-1,""))</f>
        <v/>
      </c>
      <c r="BD419" s="42" t="str">
        <f aca="false">IF(OR(BC419="",$E419=""),"",BC419-$E419)</f>
        <v/>
      </c>
      <c r="BE419" s="39"/>
      <c r="BF419" s="40" t="str">
        <f aca="false">IF(OR(BE419="",CE419=""),"",BE419/CE419*100)</f>
        <v/>
      </c>
      <c r="BG419" s="41" t="str">
        <f aca="false">IF(BF419="","",IFERROR(MATCH(BF419,INDEX(Boundaries!$B$2:$I$30,MATCH(CS419,Boundaries!$A$2:$A$30,0),0),1)-1,""))</f>
        <v/>
      </c>
      <c r="BH419" s="42" t="str">
        <f aca="false">IF(OR(BG419="",$E419=""),"",BG419-$E419)</f>
        <v/>
      </c>
      <c r="BI419" s="39"/>
      <c r="BJ419" s="40" t="str">
        <f aca="false">IF(OR(BI419="",CF419=""),"",BI419/CF419*100)</f>
        <v/>
      </c>
      <c r="BK419" s="41" t="str">
        <f aca="false">IF(BJ419="","",IFERROR(MATCH(BJ419,INDEX(Boundaries!$B$2:$I$30,MATCH(CT419,Boundaries!$A$2:$A$30,0),0),1)-1,""))</f>
        <v/>
      </c>
      <c r="BL419" s="42" t="str">
        <f aca="false">IF(OR(BK419="",$E419=""),"",BK419-$E419)</f>
        <v/>
      </c>
      <c r="BM419" s="39"/>
      <c r="BN419" s="40" t="str">
        <f aca="false">IF(OR(BM419="",CG419=""),"",BM419/CG419*100)</f>
        <v/>
      </c>
      <c r="BO419" s="41" t="str">
        <f aca="false">IF(BN419="","",IFERROR(MATCH(BN419,INDEX(Boundaries!$B$2:$I$30,MATCH(CU419,Boundaries!$A$2:$A$30,0),0),1)-1,""))</f>
        <v/>
      </c>
      <c r="BP419" s="42" t="str">
        <f aca="false">IF(OR(BO419="",$E419=""),"",BO419-$E419)</f>
        <v/>
      </c>
      <c r="BQ419" s="39"/>
      <c r="BR419" s="40" t="str">
        <f aca="false">IF(OR(BQ419="",CH419=""),"",BQ419/CH419*100)</f>
        <v/>
      </c>
      <c r="BS419" s="41" t="str">
        <f aca="false">IF(BR419="","",IFERROR(MATCH(BR419,INDEX(Boundaries!$B$2:$I$30,MATCH(CV419,Boundaries!$A$2:$A$30,0),0),1)-1,""))</f>
        <v/>
      </c>
      <c r="BT419" s="42" t="str">
        <f aca="false">IF(OR(BS419="",$E419=""),"",BS419-$E419)</f>
        <v/>
      </c>
      <c r="BU419" s="28" t="str">
        <f aca="false">IFERROR(INDEX(Assessments!$H$2:$H$600,MATCH($H419&amp;"|"&amp;$I419&amp;"|"&amp;$J419&amp;"|"&amp;1,Assessments!$A$2:$A$600,0)),"")</f>
        <v/>
      </c>
      <c r="BV419" s="28" t="str">
        <f aca="false">IFERROR(INDEX(Assessments!$H$2:$H$600,MATCH($H419&amp;"|"&amp;$I419&amp;"|"&amp;$J419&amp;"|"&amp;2,Assessments!$A$2:$A$600,0)),"")</f>
        <v/>
      </c>
      <c r="BW419" s="28" t="str">
        <f aca="false">IFERROR(INDEX(Assessments!$H$2:$H$600,MATCH($H419&amp;"|"&amp;$I419&amp;"|"&amp;$J419&amp;"|"&amp;3,Assessments!$A$2:$A$600,0)),"")</f>
        <v/>
      </c>
      <c r="BX419" s="28" t="str">
        <f aca="false">IFERROR(INDEX(Assessments!$H$2:$H$600,MATCH($H419&amp;"|"&amp;$I419&amp;"|"&amp;$J419&amp;"|"&amp;4,Assessments!$A$2:$A$600,0)),"")</f>
        <v/>
      </c>
      <c r="BY419" s="28" t="str">
        <f aca="false">IFERROR(INDEX(Assessments!$H$2:$H$600,MATCH($H419&amp;"|"&amp;$I419&amp;"|"&amp;$J419&amp;"|"&amp;5,Assessments!$A$2:$A$600,0)),"")</f>
        <v/>
      </c>
      <c r="BZ419" s="28" t="str">
        <f aca="false">IFERROR(INDEX(Assessments!$H$2:$H$600,MATCH($H419&amp;"|"&amp;$I419&amp;"|"&amp;$J419&amp;"|"&amp;6,Assessments!$A$2:$A$600,0)),"")</f>
        <v/>
      </c>
      <c r="CA419" s="28" t="str">
        <f aca="false">IFERROR(INDEX(Assessments!$H$2:$H$600,MATCH($H419&amp;"|"&amp;$I419&amp;"|"&amp;$J419&amp;"|"&amp;7,Assessments!$A$2:$A$600,0)),"")</f>
        <v/>
      </c>
      <c r="CB419" s="28" t="str">
        <f aca="false">IFERROR(INDEX(Assessments!$H$2:$H$600,MATCH($H419&amp;"|"&amp;$I419&amp;"|"&amp;$J419&amp;"|"&amp;8,Assessments!$A$2:$A$600,0)),"")</f>
        <v/>
      </c>
      <c r="CC419" s="28" t="str">
        <f aca="false">IFERROR(INDEX(Assessments!$H$2:$H$600,MATCH($H419&amp;"|"&amp;$I419&amp;"|"&amp;$J419&amp;"|"&amp;9,Assessments!$A$2:$A$600,0)),"")</f>
        <v/>
      </c>
      <c r="CD419" s="28" t="str">
        <f aca="false">IFERROR(INDEX(Assessments!$H$2:$H$600,MATCH($H419&amp;"|"&amp;$I419&amp;"|"&amp;$J419&amp;"|"&amp;10,Assessments!$A$2:$A$600,0)),"")</f>
        <v/>
      </c>
      <c r="CE419" s="28" t="str">
        <f aca="false">IFERROR(INDEX(Assessments!$H$2:$H$600,MATCH($H419&amp;"|"&amp;$I419&amp;"|"&amp;$J419&amp;"|"&amp;11,Assessments!$A$2:$A$600,0)),"")</f>
        <v/>
      </c>
      <c r="CF419" s="28" t="str">
        <f aca="false">IFERROR(INDEX(Assessments!$H$2:$H$600,MATCH($H419&amp;"|"&amp;$I419&amp;"|"&amp;$J419&amp;"|"&amp;12,Assessments!$A$2:$A$600,0)),"")</f>
        <v/>
      </c>
      <c r="CG419" s="28" t="str">
        <f aca="false">IFERROR(INDEX(Assessments!$H$2:$H$600,MATCH($H419&amp;"|"&amp;$I419&amp;"|"&amp;$J419&amp;"|"&amp;13,Assessments!$A$2:$A$600,0)),"")</f>
        <v/>
      </c>
      <c r="CH419" s="28" t="str">
        <f aca="false">IFERROR(INDEX(Assessments!$H$2:$H$600,MATCH($H419&amp;"|"&amp;$I419&amp;"|"&amp;$J419&amp;"|"&amp;14,Assessments!$A$2:$A$600,0)),"")</f>
        <v/>
      </c>
      <c r="CI419" s="28" t="str">
        <f aca="false">IFERROR(INDEX(Assessments!$I$2:$I$600,MATCH($H419&amp;"|"&amp;$I419&amp;"|"&amp;$J419&amp;"|"&amp;1,Assessments!$A$2:$A$600,0)),"")</f>
        <v/>
      </c>
      <c r="CJ419" s="28" t="str">
        <f aca="false">IFERROR(INDEX(Assessments!$I$2:$I$600,MATCH($H419&amp;"|"&amp;$I419&amp;"|"&amp;$J419&amp;"|"&amp;2,Assessments!$A$2:$A$600,0)),"")</f>
        <v/>
      </c>
      <c r="CK419" s="28" t="str">
        <f aca="false">IFERROR(INDEX(Assessments!$I$2:$I$600,MATCH($H419&amp;"|"&amp;$I419&amp;"|"&amp;$J419&amp;"|"&amp;3,Assessments!$A$2:$A$600,0)),"")</f>
        <v/>
      </c>
      <c r="CL419" s="28" t="str">
        <f aca="false">IFERROR(INDEX(Assessments!$I$2:$I$600,MATCH($H419&amp;"|"&amp;$I419&amp;"|"&amp;$J419&amp;"|"&amp;4,Assessments!$A$2:$A$600,0)),"")</f>
        <v/>
      </c>
      <c r="CM419" s="28" t="str">
        <f aca="false">IFERROR(INDEX(Assessments!$I$2:$I$600,MATCH($H419&amp;"|"&amp;$I419&amp;"|"&amp;$J419&amp;"|"&amp;5,Assessments!$A$2:$A$600,0)),"")</f>
        <v/>
      </c>
      <c r="CN419" s="28" t="str">
        <f aca="false">IFERROR(INDEX(Assessments!$I$2:$I$600,MATCH($H419&amp;"|"&amp;$I419&amp;"|"&amp;$J419&amp;"|"&amp;6,Assessments!$A$2:$A$600,0)),"")</f>
        <v/>
      </c>
      <c r="CO419" s="28" t="str">
        <f aca="false">IFERROR(INDEX(Assessments!$I$2:$I$600,MATCH($H419&amp;"|"&amp;$I419&amp;"|"&amp;$J419&amp;"|"&amp;7,Assessments!$A$2:$A$600,0)),"")</f>
        <v/>
      </c>
      <c r="CP419" s="28" t="str">
        <f aca="false">IFERROR(INDEX(Assessments!$I$2:$I$600,MATCH($H419&amp;"|"&amp;$I419&amp;"|"&amp;$J419&amp;"|"&amp;8,Assessments!$A$2:$A$600,0)),"")</f>
        <v/>
      </c>
      <c r="CQ419" s="28" t="str">
        <f aca="false">IFERROR(INDEX(Assessments!$I$2:$I$600,MATCH($H419&amp;"|"&amp;$I419&amp;"|"&amp;$J419&amp;"|"&amp;9,Assessments!$A$2:$A$600,0)),"")</f>
        <v/>
      </c>
      <c r="CR419" s="28" t="str">
        <f aca="false">IFERROR(INDEX(Assessments!$I$2:$I$600,MATCH($H419&amp;"|"&amp;$I419&amp;"|"&amp;$J419&amp;"|"&amp;10,Assessments!$A$2:$A$600,0)),"")</f>
        <v/>
      </c>
      <c r="CS419" s="28" t="str">
        <f aca="false">IFERROR(INDEX(Assessments!$I$2:$I$600,MATCH($H419&amp;"|"&amp;$I419&amp;"|"&amp;$J419&amp;"|"&amp;11,Assessments!$A$2:$A$600,0)),"")</f>
        <v/>
      </c>
      <c r="CT419" s="28" t="str">
        <f aca="false">IFERROR(INDEX(Assessments!$I$2:$I$600,MATCH($H419&amp;"|"&amp;$I419&amp;"|"&amp;$J419&amp;"|"&amp;12,Assessments!$A$2:$A$600,0)),"")</f>
        <v/>
      </c>
      <c r="CU419" s="28" t="str">
        <f aca="false">IFERROR(INDEX(Assessments!$I$2:$I$600,MATCH($H419&amp;"|"&amp;$I419&amp;"|"&amp;$J419&amp;"|"&amp;13,Assessments!$A$2:$A$600,0)),"")</f>
        <v/>
      </c>
      <c r="CV419" s="28" t="str">
        <f aca="false">IFERROR(INDEX(Assessments!$I$2:$I$600,MATCH($H419&amp;"|"&amp;$I419&amp;"|"&amp;$J419&amp;"|"&amp;14,Assessments!$A$2:$A$600,0)),"")</f>
        <v/>
      </c>
      <c r="CW419" s="28" t="n">
        <f aca="false">IFERROR(INDEX(Assessments!$J$2:$J$600,MATCH($H419&amp;"|"&amp;$I419&amp;"|"&amp;$J419&amp;"|"&amp;1,Assessments!$A$2:$A$600,0)),0)</f>
        <v>0</v>
      </c>
      <c r="CX419" s="28" t="n">
        <f aca="false">IFERROR(INDEX(Assessments!$J$2:$J$600,MATCH($H419&amp;"|"&amp;$I419&amp;"|"&amp;$J419&amp;"|"&amp;2,Assessments!$A$2:$A$600,0)),0)</f>
        <v>0</v>
      </c>
      <c r="CY419" s="28" t="n">
        <f aca="false">IFERROR(INDEX(Assessments!$J$2:$J$600,MATCH($H419&amp;"|"&amp;$I419&amp;"|"&amp;$J419&amp;"|"&amp;3,Assessments!$A$2:$A$600,0)),0)</f>
        <v>0</v>
      </c>
      <c r="CZ419" s="28" t="n">
        <f aca="false">IFERROR(INDEX(Assessments!$J$2:$J$600,MATCH($H419&amp;"|"&amp;$I419&amp;"|"&amp;$J419&amp;"|"&amp;4,Assessments!$A$2:$A$600,0)),0)</f>
        <v>0</v>
      </c>
      <c r="DA419" s="28" t="n">
        <f aca="false">IFERROR(INDEX(Assessments!$J$2:$J$600,MATCH($H419&amp;"|"&amp;$I419&amp;"|"&amp;$J419&amp;"|"&amp;5,Assessments!$A$2:$A$600,0)),0)</f>
        <v>0</v>
      </c>
      <c r="DB419" s="28" t="n">
        <f aca="false">IFERROR(INDEX(Assessments!$J$2:$J$600,MATCH($H419&amp;"|"&amp;$I419&amp;"|"&amp;$J419&amp;"|"&amp;6,Assessments!$A$2:$A$600,0)),0)</f>
        <v>0</v>
      </c>
      <c r="DC419" s="28" t="n">
        <f aca="false">IFERROR(INDEX(Assessments!$J$2:$J$600,MATCH($H419&amp;"|"&amp;$I419&amp;"|"&amp;$J419&amp;"|"&amp;7,Assessments!$A$2:$A$600,0)),0)</f>
        <v>0</v>
      </c>
      <c r="DD419" s="28" t="n">
        <f aca="false">IFERROR(INDEX(Assessments!$J$2:$J$600,MATCH($H419&amp;"|"&amp;$I419&amp;"|"&amp;$J419&amp;"|"&amp;8,Assessments!$A$2:$A$600,0)),0)</f>
        <v>0</v>
      </c>
      <c r="DE419" s="28" t="n">
        <f aca="false">IFERROR(INDEX(Assessments!$J$2:$J$600,MATCH($H419&amp;"|"&amp;$I419&amp;"|"&amp;$J419&amp;"|"&amp;9,Assessments!$A$2:$A$600,0)),0)</f>
        <v>0</v>
      </c>
      <c r="DF419" s="28" t="n">
        <f aca="false">IFERROR(INDEX(Assessments!$J$2:$J$600,MATCH($H419&amp;"|"&amp;$I419&amp;"|"&amp;$J419&amp;"|"&amp;10,Assessments!$A$2:$A$600,0)),0)</f>
        <v>0</v>
      </c>
      <c r="DG419" s="28" t="n">
        <f aca="false">IFERROR(INDEX(Assessments!$J$2:$J$600,MATCH($H419&amp;"|"&amp;$I419&amp;"|"&amp;$J419&amp;"|"&amp;11,Assessments!$A$2:$A$600,0)),0)</f>
        <v>0</v>
      </c>
      <c r="DH419" s="28" t="n">
        <f aca="false">IFERROR(INDEX(Assessments!$J$2:$J$600,MATCH($H419&amp;"|"&amp;$I419&amp;"|"&amp;$J419&amp;"|"&amp;12,Assessments!$A$2:$A$600,0)),0)</f>
        <v>0</v>
      </c>
      <c r="DI419" s="28" t="n">
        <f aca="false">IFERROR(INDEX(Assessments!$J$2:$J$600,MATCH($H419&amp;"|"&amp;$I419&amp;"|"&amp;$J419&amp;"|"&amp;13,Assessments!$A$2:$A$600,0)),0)</f>
        <v>0</v>
      </c>
      <c r="DJ419" s="28" t="n">
        <f aca="false">IFERROR(INDEX(Assessments!$J$2:$J$600,MATCH($H419&amp;"|"&amp;$I419&amp;"|"&amp;$J419&amp;"|"&amp;14,Assessments!$A$2:$A$600,0)),0)</f>
        <v>0</v>
      </c>
      <c r="DK419" s="28" t="str">
        <f aca="false">S419</f>
        <v/>
      </c>
      <c r="DL419" s="28" t="str">
        <f aca="false">W419</f>
        <v/>
      </c>
      <c r="DM419" s="28" t="str">
        <f aca="false">AA419</f>
        <v/>
      </c>
      <c r="DN419" s="28" t="str">
        <f aca="false">AE419</f>
        <v/>
      </c>
      <c r="DO419" s="28" t="str">
        <f aca="false">AI419</f>
        <v/>
      </c>
      <c r="DP419" s="28" t="str">
        <f aca="false">AM419</f>
        <v/>
      </c>
      <c r="DQ419" s="28" t="str">
        <f aca="false">AQ419</f>
        <v/>
      </c>
      <c r="DR419" s="28" t="str">
        <f aca="false">AU419</f>
        <v/>
      </c>
      <c r="DS419" s="28" t="str">
        <f aca="false">AY419</f>
        <v/>
      </c>
      <c r="DT419" s="28" t="str">
        <f aca="false">BC419</f>
        <v/>
      </c>
      <c r="DU419" s="28" t="str">
        <f aca="false">BG419</f>
        <v/>
      </c>
      <c r="DV419" s="28" t="str">
        <f aca="false">BK419</f>
        <v/>
      </c>
      <c r="DW419" s="28" t="str">
        <f aca="false">BO419</f>
        <v/>
      </c>
      <c r="DX419" s="28" t="str">
        <f aca="false">BS419</f>
        <v/>
      </c>
      <c r="DY419" s="28" t="str">
        <f aca="false">IF(ISNUMBER(S419),1,"")</f>
        <v/>
      </c>
      <c r="DZ419" s="28" t="str">
        <f aca="false">IF(ISNUMBER(W419),2,"")</f>
        <v/>
      </c>
      <c r="EA419" s="28" t="str">
        <f aca="false">IF(ISNUMBER(AA419),3,"")</f>
        <v/>
      </c>
      <c r="EB419" s="28" t="str">
        <f aca="false">IF(ISNUMBER(AE419),4,"")</f>
        <v/>
      </c>
      <c r="EC419" s="28" t="str">
        <f aca="false">IF(ISNUMBER(AI419),5,"")</f>
        <v/>
      </c>
      <c r="ED419" s="28" t="str">
        <f aca="false">IF(ISNUMBER(AM419),6,"")</f>
        <v/>
      </c>
      <c r="EE419" s="28" t="str">
        <f aca="false">IF(ISNUMBER(AQ419),7,"")</f>
        <v/>
      </c>
      <c r="EF419" s="28" t="str">
        <f aca="false">IF(ISNUMBER(AU419),8,"")</f>
        <v/>
      </c>
      <c r="EG419" s="28" t="str">
        <f aca="false">IF(ISNUMBER(AY419),9,"")</f>
        <v/>
      </c>
      <c r="EH419" s="28" t="str">
        <f aca="false">IF(ISNUMBER(BC419),10,"")</f>
        <v/>
      </c>
      <c r="EI419" s="28" t="str">
        <f aca="false">IF(ISNUMBER(BG419),11,"")</f>
        <v/>
      </c>
      <c r="EJ419" s="28" t="str">
        <f aca="false">IF(ISNUMBER(BK419),12,"")</f>
        <v/>
      </c>
      <c r="EK419" s="28" t="str">
        <f aca="false">IF(ISNUMBER(BO419),13,"")</f>
        <v/>
      </c>
      <c r="EL419" s="28" t="str">
        <f aca="false">IF(ISNUMBER(BS419),14,"")</f>
        <v/>
      </c>
      <c r="EM419" s="28" t="n">
        <f aca="false">IF(ISNUMBER(R419),R419*CW419,0)</f>
        <v>0</v>
      </c>
      <c r="EN419" s="28" t="n">
        <f aca="false">IF(ISNUMBER(V419),V419*CX419,0)</f>
        <v>0</v>
      </c>
      <c r="EO419" s="28" t="n">
        <f aca="false">IF(ISNUMBER(Z419),Z419*CY419,0)</f>
        <v>0</v>
      </c>
      <c r="EP419" s="28" t="n">
        <f aca="false">IF(ISNUMBER(AD419),AD419*CZ419,0)</f>
        <v>0</v>
      </c>
      <c r="EQ419" s="28" t="n">
        <f aca="false">IF(ISNUMBER(AH419),AH419*DA419,0)</f>
        <v>0</v>
      </c>
      <c r="ER419" s="28" t="n">
        <f aca="false">IF(ISNUMBER(AL419),AL419*DB419,0)</f>
        <v>0</v>
      </c>
      <c r="ES419" s="28" t="n">
        <f aca="false">IF(ISNUMBER(AP419),AP419*DC419,0)</f>
        <v>0</v>
      </c>
      <c r="ET419" s="28" t="n">
        <f aca="false">IF(ISNUMBER(AT419),AT419*DD419,0)</f>
        <v>0</v>
      </c>
      <c r="EU419" s="28" t="n">
        <f aca="false">IF(ISNUMBER(AX419),AX419*DE419,0)</f>
        <v>0</v>
      </c>
      <c r="EV419" s="28" t="n">
        <f aca="false">IF(ISNUMBER(BB419),BB419*DF419,0)</f>
        <v>0</v>
      </c>
      <c r="EW419" s="28" t="n">
        <f aca="false">IF(ISNUMBER(BF419),BF419*DG419,0)</f>
        <v>0</v>
      </c>
      <c r="EX419" s="28" t="n">
        <f aca="false">IF(ISNUMBER(BJ419),BJ419*DH419,0)</f>
        <v>0</v>
      </c>
      <c r="EY419" s="28" t="n">
        <f aca="false">IF(ISNUMBER(BN419),BN419*DI419,0)</f>
        <v>0</v>
      </c>
      <c r="EZ419" s="28" t="n">
        <f aca="false">IF(ISNUMBER(BR419),BR419*DJ419,0)</f>
        <v>0</v>
      </c>
      <c r="FA419" s="28" t="n">
        <f aca="false">IF(ISNUMBER(R419),CW419,0)</f>
        <v>0</v>
      </c>
      <c r="FB419" s="28" t="n">
        <f aca="false">IF(ISNUMBER(V419),CX419,0)</f>
        <v>0</v>
      </c>
      <c r="FC419" s="28" t="n">
        <f aca="false">IF(ISNUMBER(Z419),CY419,0)</f>
        <v>0</v>
      </c>
      <c r="FD419" s="28" t="n">
        <f aca="false">IF(ISNUMBER(AD419),CZ419,0)</f>
        <v>0</v>
      </c>
      <c r="FE419" s="28" t="n">
        <f aca="false">IF(ISNUMBER(AH419),DA419,0)</f>
        <v>0</v>
      </c>
      <c r="FF419" s="28" t="n">
        <f aca="false">IF(ISNUMBER(AL419),DB419,0)</f>
        <v>0</v>
      </c>
      <c r="FG419" s="28" t="n">
        <f aca="false">IF(ISNUMBER(AP419),DC419,0)</f>
        <v>0</v>
      </c>
      <c r="FH419" s="28" t="n">
        <f aca="false">IF(ISNUMBER(AT419),DD419,0)</f>
        <v>0</v>
      </c>
      <c r="FI419" s="28" t="n">
        <f aca="false">IF(ISNUMBER(AX419),DE419,0)</f>
        <v>0</v>
      </c>
      <c r="FJ419" s="28" t="n">
        <f aca="false">IF(ISNUMBER(BB419),DF419,0)</f>
        <v>0</v>
      </c>
      <c r="FK419" s="28" t="n">
        <f aca="false">IF(ISNUMBER(BF419),DG419,0)</f>
        <v>0</v>
      </c>
      <c r="FL419" s="28" t="n">
        <f aca="false">IF(ISNUMBER(BJ419),DH419,0)</f>
        <v>0</v>
      </c>
      <c r="FM419" s="28" t="n">
        <f aca="false">IF(ISNUMBER(BN419),DI419,0)</f>
        <v>0</v>
      </c>
      <c r="FN419" s="28" t="n">
        <f aca="false">IF(ISNUMBER(BR419),DJ419,0)</f>
        <v>0</v>
      </c>
      <c r="FO419" s="28" t="str">
        <f aca="false">IFERROR(INDEX(Lists!$G$2:$G$20,MATCH($I419&amp;"|"&amp;$J419,Lists!$F$2:$F$20,0)),"")</f>
        <v/>
      </c>
    </row>
    <row r="420" customFormat="false" ht="19.5" hidden="false" customHeight="true" outlineLevel="0" collapsed="false">
      <c r="A420" s="29"/>
      <c r="B420" s="29"/>
      <c r="C420" s="30"/>
      <c r="D420" s="30"/>
      <c r="E420" s="31"/>
      <c r="F420" s="30"/>
      <c r="G420" s="30"/>
      <c r="H420" s="32"/>
      <c r="I420" s="33"/>
      <c r="J420" s="32"/>
      <c r="K420" s="34" t="str">
        <f aca="false">IF(OR(M420="",$E420=""),"",M420-$E420)</f>
        <v/>
      </c>
      <c r="L420" s="35" t="str">
        <f aca="false">IF(SUM(FA420:FN420)=0,"",SUM(EM420:EZ420)/SUM(FA420:FN420))</f>
        <v/>
      </c>
      <c r="M420" s="36" t="str">
        <f aca="false">IF(OR(L420="",FO420=""),"",IFERROR(MATCH(L420,INDEX(Boundaries!$B$2:$I$30,MATCH(FO420,Boundaries!$A$2:$A$30,0),0),1)-1,""))</f>
        <v/>
      </c>
      <c r="N420" s="37" t="str">
        <f aca="false">IF(COUNT($DY420:$EL420)&lt;2,"",INDEX($DK420:$DX420,MAX($DY420:$EL420))-INDEX($DK420:$DX420,MIN($DY420:$EL420)))</f>
        <v/>
      </c>
      <c r="O420" s="37" t="str">
        <f aca="false">IF(COUNT($DY420:$EL420)&lt;2,"",INDEX($DK420:$DX420,MAX($DY420:$EL420))-INDEX($DK420:$DX420,LARGE($DY420:$EL420,2)))</f>
        <v/>
      </c>
      <c r="P420" s="38" t="str">
        <f aca="false">IF(K420="","",IF(K420&gt;=0,"On/above target",IF(AND(N420&lt;&gt;"",N420&gt;=0.5),"Improving towards target",IF(AND(O420&lt;&gt;"",O420&lt;=-0.5),"Declining","Stable below target"))))</f>
        <v/>
      </c>
      <c r="Q420" s="39"/>
      <c r="R420" s="40" t="str">
        <f aca="false">IF(OR(Q420="",BU420=""),"",Q420/BU420*100)</f>
        <v/>
      </c>
      <c r="S420" s="41" t="str">
        <f aca="false">IF(R420="","",IFERROR(MATCH(R420,INDEX(Boundaries!$B$2:$I$30,MATCH(CI420,Boundaries!$A$2:$A$30,0),0),1)-1,""))</f>
        <v/>
      </c>
      <c r="T420" s="42" t="str">
        <f aca="false">IF(OR(S420="",$E420=""),"",S420-$E420)</f>
        <v/>
      </c>
      <c r="U420" s="39"/>
      <c r="V420" s="40" t="str">
        <f aca="false">IF(OR(U420="",BV420=""),"",U420/BV420*100)</f>
        <v/>
      </c>
      <c r="W420" s="41" t="str">
        <f aca="false">IF(V420="","",IFERROR(MATCH(V420,INDEX(Boundaries!$B$2:$I$30,MATCH(CJ420,Boundaries!$A$2:$A$30,0),0),1)-1,""))</f>
        <v/>
      </c>
      <c r="X420" s="42" t="str">
        <f aca="false">IF(OR(W420="",$E420=""),"",W420-$E420)</f>
        <v/>
      </c>
      <c r="Y420" s="39"/>
      <c r="Z420" s="40" t="str">
        <f aca="false">IF(OR(Y420="",BW420=""),"",Y420/BW420*100)</f>
        <v/>
      </c>
      <c r="AA420" s="41" t="str">
        <f aca="false">IF(Z420="","",IFERROR(MATCH(Z420,INDEX(Boundaries!$B$2:$I$30,MATCH(CK420,Boundaries!$A$2:$A$30,0),0),1)-1,""))</f>
        <v/>
      </c>
      <c r="AB420" s="42" t="str">
        <f aca="false">IF(OR(AA420="",$E420=""),"",AA420-$E420)</f>
        <v/>
      </c>
      <c r="AC420" s="39"/>
      <c r="AD420" s="40" t="str">
        <f aca="false">IF(OR(AC420="",BX420=""),"",AC420/BX420*100)</f>
        <v/>
      </c>
      <c r="AE420" s="41" t="str">
        <f aca="false">IF(AD420="","",IFERROR(MATCH(AD420,INDEX(Boundaries!$B$2:$I$30,MATCH(CL420,Boundaries!$A$2:$A$30,0),0),1)-1,""))</f>
        <v/>
      </c>
      <c r="AF420" s="42" t="str">
        <f aca="false">IF(OR(AE420="",$E420=""),"",AE420-$E420)</f>
        <v/>
      </c>
      <c r="AG420" s="39"/>
      <c r="AH420" s="40" t="str">
        <f aca="false">IF(OR(AG420="",BY420=""),"",AG420/BY420*100)</f>
        <v/>
      </c>
      <c r="AI420" s="41" t="str">
        <f aca="false">IF(AH420="","",IFERROR(MATCH(AH420,INDEX(Boundaries!$B$2:$I$30,MATCH(CM420,Boundaries!$A$2:$A$30,0),0),1)-1,""))</f>
        <v/>
      </c>
      <c r="AJ420" s="42" t="str">
        <f aca="false">IF(OR(AI420="",$E420=""),"",AI420-$E420)</f>
        <v/>
      </c>
      <c r="AK420" s="39"/>
      <c r="AL420" s="40" t="str">
        <f aca="false">IF(OR(AK420="",BZ420=""),"",AK420/BZ420*100)</f>
        <v/>
      </c>
      <c r="AM420" s="41" t="str">
        <f aca="false">IF(AL420="","",IFERROR(MATCH(AL420,INDEX(Boundaries!$B$2:$I$30,MATCH(CN420,Boundaries!$A$2:$A$30,0),0),1)-1,""))</f>
        <v/>
      </c>
      <c r="AN420" s="42" t="str">
        <f aca="false">IF(OR(AM420="",$E420=""),"",AM420-$E420)</f>
        <v/>
      </c>
      <c r="AO420" s="39"/>
      <c r="AP420" s="40" t="str">
        <f aca="false">IF(OR(AO420="",CA420=""),"",AO420/CA420*100)</f>
        <v/>
      </c>
      <c r="AQ420" s="41" t="str">
        <f aca="false">IF(AP420="","",IFERROR(MATCH(AP420,INDEX(Boundaries!$B$2:$I$30,MATCH(CO420,Boundaries!$A$2:$A$30,0),0),1)-1,""))</f>
        <v/>
      </c>
      <c r="AR420" s="42" t="str">
        <f aca="false">IF(OR(AQ420="",$E420=""),"",AQ420-$E420)</f>
        <v/>
      </c>
      <c r="AS420" s="39"/>
      <c r="AT420" s="40" t="str">
        <f aca="false">IF(OR(AS420="",CB420=""),"",AS420/CB420*100)</f>
        <v/>
      </c>
      <c r="AU420" s="41" t="str">
        <f aca="false">IF(AT420="","",IFERROR(MATCH(AT420,INDEX(Boundaries!$B$2:$I$30,MATCH(CP420,Boundaries!$A$2:$A$30,0),0),1)-1,""))</f>
        <v/>
      </c>
      <c r="AV420" s="42" t="str">
        <f aca="false">IF(OR(AU420="",$E420=""),"",AU420-$E420)</f>
        <v/>
      </c>
      <c r="AW420" s="39"/>
      <c r="AX420" s="40" t="str">
        <f aca="false">IF(OR(AW420="",CC420=""),"",AW420/CC420*100)</f>
        <v/>
      </c>
      <c r="AY420" s="41" t="str">
        <f aca="false">IF(AX420="","",IFERROR(MATCH(AX420,INDEX(Boundaries!$B$2:$I$30,MATCH(CQ420,Boundaries!$A$2:$A$30,0),0),1)-1,""))</f>
        <v/>
      </c>
      <c r="AZ420" s="42" t="str">
        <f aca="false">IF(OR(AY420="",$E420=""),"",AY420-$E420)</f>
        <v/>
      </c>
      <c r="BA420" s="39"/>
      <c r="BB420" s="40" t="str">
        <f aca="false">IF(OR(BA420="",CD420=""),"",BA420/CD420*100)</f>
        <v/>
      </c>
      <c r="BC420" s="41" t="str">
        <f aca="false">IF(BB420="","",IFERROR(MATCH(BB420,INDEX(Boundaries!$B$2:$I$30,MATCH(CR420,Boundaries!$A$2:$A$30,0),0),1)-1,""))</f>
        <v/>
      </c>
      <c r="BD420" s="42" t="str">
        <f aca="false">IF(OR(BC420="",$E420=""),"",BC420-$E420)</f>
        <v/>
      </c>
      <c r="BE420" s="39"/>
      <c r="BF420" s="40" t="str">
        <f aca="false">IF(OR(BE420="",CE420=""),"",BE420/CE420*100)</f>
        <v/>
      </c>
      <c r="BG420" s="41" t="str">
        <f aca="false">IF(BF420="","",IFERROR(MATCH(BF420,INDEX(Boundaries!$B$2:$I$30,MATCH(CS420,Boundaries!$A$2:$A$30,0),0),1)-1,""))</f>
        <v/>
      </c>
      <c r="BH420" s="42" t="str">
        <f aca="false">IF(OR(BG420="",$E420=""),"",BG420-$E420)</f>
        <v/>
      </c>
      <c r="BI420" s="39"/>
      <c r="BJ420" s="40" t="str">
        <f aca="false">IF(OR(BI420="",CF420=""),"",BI420/CF420*100)</f>
        <v/>
      </c>
      <c r="BK420" s="41" t="str">
        <f aca="false">IF(BJ420="","",IFERROR(MATCH(BJ420,INDEX(Boundaries!$B$2:$I$30,MATCH(CT420,Boundaries!$A$2:$A$30,0),0),1)-1,""))</f>
        <v/>
      </c>
      <c r="BL420" s="42" t="str">
        <f aca="false">IF(OR(BK420="",$E420=""),"",BK420-$E420)</f>
        <v/>
      </c>
      <c r="BM420" s="39"/>
      <c r="BN420" s="40" t="str">
        <f aca="false">IF(OR(BM420="",CG420=""),"",BM420/CG420*100)</f>
        <v/>
      </c>
      <c r="BO420" s="41" t="str">
        <f aca="false">IF(BN420="","",IFERROR(MATCH(BN420,INDEX(Boundaries!$B$2:$I$30,MATCH(CU420,Boundaries!$A$2:$A$30,0),0),1)-1,""))</f>
        <v/>
      </c>
      <c r="BP420" s="42" t="str">
        <f aca="false">IF(OR(BO420="",$E420=""),"",BO420-$E420)</f>
        <v/>
      </c>
      <c r="BQ420" s="39"/>
      <c r="BR420" s="40" t="str">
        <f aca="false">IF(OR(BQ420="",CH420=""),"",BQ420/CH420*100)</f>
        <v/>
      </c>
      <c r="BS420" s="41" t="str">
        <f aca="false">IF(BR420="","",IFERROR(MATCH(BR420,INDEX(Boundaries!$B$2:$I$30,MATCH(CV420,Boundaries!$A$2:$A$30,0),0),1)-1,""))</f>
        <v/>
      </c>
      <c r="BT420" s="42" t="str">
        <f aca="false">IF(OR(BS420="",$E420=""),"",BS420-$E420)</f>
        <v/>
      </c>
      <c r="BU420" s="28" t="str">
        <f aca="false">IFERROR(INDEX(Assessments!$H$2:$H$600,MATCH($H420&amp;"|"&amp;$I420&amp;"|"&amp;$J420&amp;"|"&amp;1,Assessments!$A$2:$A$600,0)),"")</f>
        <v/>
      </c>
      <c r="BV420" s="28" t="str">
        <f aca="false">IFERROR(INDEX(Assessments!$H$2:$H$600,MATCH($H420&amp;"|"&amp;$I420&amp;"|"&amp;$J420&amp;"|"&amp;2,Assessments!$A$2:$A$600,0)),"")</f>
        <v/>
      </c>
      <c r="BW420" s="28" t="str">
        <f aca="false">IFERROR(INDEX(Assessments!$H$2:$H$600,MATCH($H420&amp;"|"&amp;$I420&amp;"|"&amp;$J420&amp;"|"&amp;3,Assessments!$A$2:$A$600,0)),"")</f>
        <v/>
      </c>
      <c r="BX420" s="28" t="str">
        <f aca="false">IFERROR(INDEX(Assessments!$H$2:$H$600,MATCH($H420&amp;"|"&amp;$I420&amp;"|"&amp;$J420&amp;"|"&amp;4,Assessments!$A$2:$A$600,0)),"")</f>
        <v/>
      </c>
      <c r="BY420" s="28" t="str">
        <f aca="false">IFERROR(INDEX(Assessments!$H$2:$H$600,MATCH($H420&amp;"|"&amp;$I420&amp;"|"&amp;$J420&amp;"|"&amp;5,Assessments!$A$2:$A$600,0)),"")</f>
        <v/>
      </c>
      <c r="BZ420" s="28" t="str">
        <f aca="false">IFERROR(INDEX(Assessments!$H$2:$H$600,MATCH($H420&amp;"|"&amp;$I420&amp;"|"&amp;$J420&amp;"|"&amp;6,Assessments!$A$2:$A$600,0)),"")</f>
        <v/>
      </c>
      <c r="CA420" s="28" t="str">
        <f aca="false">IFERROR(INDEX(Assessments!$H$2:$H$600,MATCH($H420&amp;"|"&amp;$I420&amp;"|"&amp;$J420&amp;"|"&amp;7,Assessments!$A$2:$A$600,0)),"")</f>
        <v/>
      </c>
      <c r="CB420" s="28" t="str">
        <f aca="false">IFERROR(INDEX(Assessments!$H$2:$H$600,MATCH($H420&amp;"|"&amp;$I420&amp;"|"&amp;$J420&amp;"|"&amp;8,Assessments!$A$2:$A$600,0)),"")</f>
        <v/>
      </c>
      <c r="CC420" s="28" t="str">
        <f aca="false">IFERROR(INDEX(Assessments!$H$2:$H$600,MATCH($H420&amp;"|"&amp;$I420&amp;"|"&amp;$J420&amp;"|"&amp;9,Assessments!$A$2:$A$600,0)),"")</f>
        <v/>
      </c>
      <c r="CD420" s="28" t="str">
        <f aca="false">IFERROR(INDEX(Assessments!$H$2:$H$600,MATCH($H420&amp;"|"&amp;$I420&amp;"|"&amp;$J420&amp;"|"&amp;10,Assessments!$A$2:$A$600,0)),"")</f>
        <v/>
      </c>
      <c r="CE420" s="28" t="str">
        <f aca="false">IFERROR(INDEX(Assessments!$H$2:$H$600,MATCH($H420&amp;"|"&amp;$I420&amp;"|"&amp;$J420&amp;"|"&amp;11,Assessments!$A$2:$A$600,0)),"")</f>
        <v/>
      </c>
      <c r="CF420" s="28" t="str">
        <f aca="false">IFERROR(INDEX(Assessments!$H$2:$H$600,MATCH($H420&amp;"|"&amp;$I420&amp;"|"&amp;$J420&amp;"|"&amp;12,Assessments!$A$2:$A$600,0)),"")</f>
        <v/>
      </c>
      <c r="CG420" s="28" t="str">
        <f aca="false">IFERROR(INDEX(Assessments!$H$2:$H$600,MATCH($H420&amp;"|"&amp;$I420&amp;"|"&amp;$J420&amp;"|"&amp;13,Assessments!$A$2:$A$600,0)),"")</f>
        <v/>
      </c>
      <c r="CH420" s="28" t="str">
        <f aca="false">IFERROR(INDEX(Assessments!$H$2:$H$600,MATCH($H420&amp;"|"&amp;$I420&amp;"|"&amp;$J420&amp;"|"&amp;14,Assessments!$A$2:$A$600,0)),"")</f>
        <v/>
      </c>
      <c r="CI420" s="28" t="str">
        <f aca="false">IFERROR(INDEX(Assessments!$I$2:$I$600,MATCH($H420&amp;"|"&amp;$I420&amp;"|"&amp;$J420&amp;"|"&amp;1,Assessments!$A$2:$A$600,0)),"")</f>
        <v/>
      </c>
      <c r="CJ420" s="28" t="str">
        <f aca="false">IFERROR(INDEX(Assessments!$I$2:$I$600,MATCH($H420&amp;"|"&amp;$I420&amp;"|"&amp;$J420&amp;"|"&amp;2,Assessments!$A$2:$A$600,0)),"")</f>
        <v/>
      </c>
      <c r="CK420" s="28" t="str">
        <f aca="false">IFERROR(INDEX(Assessments!$I$2:$I$600,MATCH($H420&amp;"|"&amp;$I420&amp;"|"&amp;$J420&amp;"|"&amp;3,Assessments!$A$2:$A$600,0)),"")</f>
        <v/>
      </c>
      <c r="CL420" s="28" t="str">
        <f aca="false">IFERROR(INDEX(Assessments!$I$2:$I$600,MATCH($H420&amp;"|"&amp;$I420&amp;"|"&amp;$J420&amp;"|"&amp;4,Assessments!$A$2:$A$600,0)),"")</f>
        <v/>
      </c>
      <c r="CM420" s="28" t="str">
        <f aca="false">IFERROR(INDEX(Assessments!$I$2:$I$600,MATCH($H420&amp;"|"&amp;$I420&amp;"|"&amp;$J420&amp;"|"&amp;5,Assessments!$A$2:$A$600,0)),"")</f>
        <v/>
      </c>
      <c r="CN420" s="28" t="str">
        <f aca="false">IFERROR(INDEX(Assessments!$I$2:$I$600,MATCH($H420&amp;"|"&amp;$I420&amp;"|"&amp;$J420&amp;"|"&amp;6,Assessments!$A$2:$A$600,0)),"")</f>
        <v/>
      </c>
      <c r="CO420" s="28" t="str">
        <f aca="false">IFERROR(INDEX(Assessments!$I$2:$I$600,MATCH($H420&amp;"|"&amp;$I420&amp;"|"&amp;$J420&amp;"|"&amp;7,Assessments!$A$2:$A$600,0)),"")</f>
        <v/>
      </c>
      <c r="CP420" s="28" t="str">
        <f aca="false">IFERROR(INDEX(Assessments!$I$2:$I$600,MATCH($H420&amp;"|"&amp;$I420&amp;"|"&amp;$J420&amp;"|"&amp;8,Assessments!$A$2:$A$600,0)),"")</f>
        <v/>
      </c>
      <c r="CQ420" s="28" t="str">
        <f aca="false">IFERROR(INDEX(Assessments!$I$2:$I$600,MATCH($H420&amp;"|"&amp;$I420&amp;"|"&amp;$J420&amp;"|"&amp;9,Assessments!$A$2:$A$600,0)),"")</f>
        <v/>
      </c>
      <c r="CR420" s="28" t="str">
        <f aca="false">IFERROR(INDEX(Assessments!$I$2:$I$600,MATCH($H420&amp;"|"&amp;$I420&amp;"|"&amp;$J420&amp;"|"&amp;10,Assessments!$A$2:$A$600,0)),"")</f>
        <v/>
      </c>
      <c r="CS420" s="28" t="str">
        <f aca="false">IFERROR(INDEX(Assessments!$I$2:$I$600,MATCH($H420&amp;"|"&amp;$I420&amp;"|"&amp;$J420&amp;"|"&amp;11,Assessments!$A$2:$A$600,0)),"")</f>
        <v/>
      </c>
      <c r="CT420" s="28" t="str">
        <f aca="false">IFERROR(INDEX(Assessments!$I$2:$I$600,MATCH($H420&amp;"|"&amp;$I420&amp;"|"&amp;$J420&amp;"|"&amp;12,Assessments!$A$2:$A$600,0)),"")</f>
        <v/>
      </c>
      <c r="CU420" s="28" t="str">
        <f aca="false">IFERROR(INDEX(Assessments!$I$2:$I$600,MATCH($H420&amp;"|"&amp;$I420&amp;"|"&amp;$J420&amp;"|"&amp;13,Assessments!$A$2:$A$600,0)),"")</f>
        <v/>
      </c>
      <c r="CV420" s="28" t="str">
        <f aca="false">IFERROR(INDEX(Assessments!$I$2:$I$600,MATCH($H420&amp;"|"&amp;$I420&amp;"|"&amp;$J420&amp;"|"&amp;14,Assessments!$A$2:$A$600,0)),"")</f>
        <v/>
      </c>
      <c r="CW420" s="28" t="n">
        <f aca="false">IFERROR(INDEX(Assessments!$J$2:$J$600,MATCH($H420&amp;"|"&amp;$I420&amp;"|"&amp;$J420&amp;"|"&amp;1,Assessments!$A$2:$A$600,0)),0)</f>
        <v>0</v>
      </c>
      <c r="CX420" s="28" t="n">
        <f aca="false">IFERROR(INDEX(Assessments!$J$2:$J$600,MATCH($H420&amp;"|"&amp;$I420&amp;"|"&amp;$J420&amp;"|"&amp;2,Assessments!$A$2:$A$600,0)),0)</f>
        <v>0</v>
      </c>
      <c r="CY420" s="28" t="n">
        <f aca="false">IFERROR(INDEX(Assessments!$J$2:$J$600,MATCH($H420&amp;"|"&amp;$I420&amp;"|"&amp;$J420&amp;"|"&amp;3,Assessments!$A$2:$A$600,0)),0)</f>
        <v>0</v>
      </c>
      <c r="CZ420" s="28" t="n">
        <f aca="false">IFERROR(INDEX(Assessments!$J$2:$J$600,MATCH($H420&amp;"|"&amp;$I420&amp;"|"&amp;$J420&amp;"|"&amp;4,Assessments!$A$2:$A$600,0)),0)</f>
        <v>0</v>
      </c>
      <c r="DA420" s="28" t="n">
        <f aca="false">IFERROR(INDEX(Assessments!$J$2:$J$600,MATCH($H420&amp;"|"&amp;$I420&amp;"|"&amp;$J420&amp;"|"&amp;5,Assessments!$A$2:$A$600,0)),0)</f>
        <v>0</v>
      </c>
      <c r="DB420" s="28" t="n">
        <f aca="false">IFERROR(INDEX(Assessments!$J$2:$J$600,MATCH($H420&amp;"|"&amp;$I420&amp;"|"&amp;$J420&amp;"|"&amp;6,Assessments!$A$2:$A$600,0)),0)</f>
        <v>0</v>
      </c>
      <c r="DC420" s="28" t="n">
        <f aca="false">IFERROR(INDEX(Assessments!$J$2:$J$600,MATCH($H420&amp;"|"&amp;$I420&amp;"|"&amp;$J420&amp;"|"&amp;7,Assessments!$A$2:$A$600,0)),0)</f>
        <v>0</v>
      </c>
      <c r="DD420" s="28" t="n">
        <f aca="false">IFERROR(INDEX(Assessments!$J$2:$J$600,MATCH($H420&amp;"|"&amp;$I420&amp;"|"&amp;$J420&amp;"|"&amp;8,Assessments!$A$2:$A$600,0)),0)</f>
        <v>0</v>
      </c>
      <c r="DE420" s="28" t="n">
        <f aca="false">IFERROR(INDEX(Assessments!$J$2:$J$600,MATCH($H420&amp;"|"&amp;$I420&amp;"|"&amp;$J420&amp;"|"&amp;9,Assessments!$A$2:$A$600,0)),0)</f>
        <v>0</v>
      </c>
      <c r="DF420" s="28" t="n">
        <f aca="false">IFERROR(INDEX(Assessments!$J$2:$J$600,MATCH($H420&amp;"|"&amp;$I420&amp;"|"&amp;$J420&amp;"|"&amp;10,Assessments!$A$2:$A$600,0)),0)</f>
        <v>0</v>
      </c>
      <c r="DG420" s="28" t="n">
        <f aca="false">IFERROR(INDEX(Assessments!$J$2:$J$600,MATCH($H420&amp;"|"&amp;$I420&amp;"|"&amp;$J420&amp;"|"&amp;11,Assessments!$A$2:$A$600,0)),0)</f>
        <v>0</v>
      </c>
      <c r="DH420" s="28" t="n">
        <f aca="false">IFERROR(INDEX(Assessments!$J$2:$J$600,MATCH($H420&amp;"|"&amp;$I420&amp;"|"&amp;$J420&amp;"|"&amp;12,Assessments!$A$2:$A$600,0)),0)</f>
        <v>0</v>
      </c>
      <c r="DI420" s="28" t="n">
        <f aca="false">IFERROR(INDEX(Assessments!$J$2:$J$600,MATCH($H420&amp;"|"&amp;$I420&amp;"|"&amp;$J420&amp;"|"&amp;13,Assessments!$A$2:$A$600,0)),0)</f>
        <v>0</v>
      </c>
      <c r="DJ420" s="28" t="n">
        <f aca="false">IFERROR(INDEX(Assessments!$J$2:$J$600,MATCH($H420&amp;"|"&amp;$I420&amp;"|"&amp;$J420&amp;"|"&amp;14,Assessments!$A$2:$A$600,0)),0)</f>
        <v>0</v>
      </c>
      <c r="DK420" s="28" t="str">
        <f aca="false">S420</f>
        <v/>
      </c>
      <c r="DL420" s="28" t="str">
        <f aca="false">W420</f>
        <v/>
      </c>
      <c r="DM420" s="28" t="str">
        <f aca="false">AA420</f>
        <v/>
      </c>
      <c r="DN420" s="28" t="str">
        <f aca="false">AE420</f>
        <v/>
      </c>
      <c r="DO420" s="28" t="str">
        <f aca="false">AI420</f>
        <v/>
      </c>
      <c r="DP420" s="28" t="str">
        <f aca="false">AM420</f>
        <v/>
      </c>
      <c r="DQ420" s="28" t="str">
        <f aca="false">AQ420</f>
        <v/>
      </c>
      <c r="DR420" s="28" t="str">
        <f aca="false">AU420</f>
        <v/>
      </c>
      <c r="DS420" s="28" t="str">
        <f aca="false">AY420</f>
        <v/>
      </c>
      <c r="DT420" s="28" t="str">
        <f aca="false">BC420</f>
        <v/>
      </c>
      <c r="DU420" s="28" t="str">
        <f aca="false">BG420</f>
        <v/>
      </c>
      <c r="DV420" s="28" t="str">
        <f aca="false">BK420</f>
        <v/>
      </c>
      <c r="DW420" s="28" t="str">
        <f aca="false">BO420</f>
        <v/>
      </c>
      <c r="DX420" s="28" t="str">
        <f aca="false">BS420</f>
        <v/>
      </c>
      <c r="DY420" s="28" t="str">
        <f aca="false">IF(ISNUMBER(S420),1,"")</f>
        <v/>
      </c>
      <c r="DZ420" s="28" t="str">
        <f aca="false">IF(ISNUMBER(W420),2,"")</f>
        <v/>
      </c>
      <c r="EA420" s="28" t="str">
        <f aca="false">IF(ISNUMBER(AA420),3,"")</f>
        <v/>
      </c>
      <c r="EB420" s="28" t="str">
        <f aca="false">IF(ISNUMBER(AE420),4,"")</f>
        <v/>
      </c>
      <c r="EC420" s="28" t="str">
        <f aca="false">IF(ISNUMBER(AI420),5,"")</f>
        <v/>
      </c>
      <c r="ED420" s="28" t="str">
        <f aca="false">IF(ISNUMBER(AM420),6,"")</f>
        <v/>
      </c>
      <c r="EE420" s="28" t="str">
        <f aca="false">IF(ISNUMBER(AQ420),7,"")</f>
        <v/>
      </c>
      <c r="EF420" s="28" t="str">
        <f aca="false">IF(ISNUMBER(AU420),8,"")</f>
        <v/>
      </c>
      <c r="EG420" s="28" t="str">
        <f aca="false">IF(ISNUMBER(AY420),9,"")</f>
        <v/>
      </c>
      <c r="EH420" s="28" t="str">
        <f aca="false">IF(ISNUMBER(BC420),10,"")</f>
        <v/>
      </c>
      <c r="EI420" s="28" t="str">
        <f aca="false">IF(ISNUMBER(BG420),11,"")</f>
        <v/>
      </c>
      <c r="EJ420" s="28" t="str">
        <f aca="false">IF(ISNUMBER(BK420),12,"")</f>
        <v/>
      </c>
      <c r="EK420" s="28" t="str">
        <f aca="false">IF(ISNUMBER(BO420),13,"")</f>
        <v/>
      </c>
      <c r="EL420" s="28" t="str">
        <f aca="false">IF(ISNUMBER(BS420),14,"")</f>
        <v/>
      </c>
      <c r="EM420" s="28" t="n">
        <f aca="false">IF(ISNUMBER(R420),R420*CW420,0)</f>
        <v>0</v>
      </c>
      <c r="EN420" s="28" t="n">
        <f aca="false">IF(ISNUMBER(V420),V420*CX420,0)</f>
        <v>0</v>
      </c>
      <c r="EO420" s="28" t="n">
        <f aca="false">IF(ISNUMBER(Z420),Z420*CY420,0)</f>
        <v>0</v>
      </c>
      <c r="EP420" s="28" t="n">
        <f aca="false">IF(ISNUMBER(AD420),AD420*CZ420,0)</f>
        <v>0</v>
      </c>
      <c r="EQ420" s="28" t="n">
        <f aca="false">IF(ISNUMBER(AH420),AH420*DA420,0)</f>
        <v>0</v>
      </c>
      <c r="ER420" s="28" t="n">
        <f aca="false">IF(ISNUMBER(AL420),AL420*DB420,0)</f>
        <v>0</v>
      </c>
      <c r="ES420" s="28" t="n">
        <f aca="false">IF(ISNUMBER(AP420),AP420*DC420,0)</f>
        <v>0</v>
      </c>
      <c r="ET420" s="28" t="n">
        <f aca="false">IF(ISNUMBER(AT420),AT420*DD420,0)</f>
        <v>0</v>
      </c>
      <c r="EU420" s="28" t="n">
        <f aca="false">IF(ISNUMBER(AX420),AX420*DE420,0)</f>
        <v>0</v>
      </c>
      <c r="EV420" s="28" t="n">
        <f aca="false">IF(ISNUMBER(BB420),BB420*DF420,0)</f>
        <v>0</v>
      </c>
      <c r="EW420" s="28" t="n">
        <f aca="false">IF(ISNUMBER(BF420),BF420*DG420,0)</f>
        <v>0</v>
      </c>
      <c r="EX420" s="28" t="n">
        <f aca="false">IF(ISNUMBER(BJ420),BJ420*DH420,0)</f>
        <v>0</v>
      </c>
      <c r="EY420" s="28" t="n">
        <f aca="false">IF(ISNUMBER(BN420),BN420*DI420,0)</f>
        <v>0</v>
      </c>
      <c r="EZ420" s="28" t="n">
        <f aca="false">IF(ISNUMBER(BR420),BR420*DJ420,0)</f>
        <v>0</v>
      </c>
      <c r="FA420" s="28" t="n">
        <f aca="false">IF(ISNUMBER(R420),CW420,0)</f>
        <v>0</v>
      </c>
      <c r="FB420" s="28" t="n">
        <f aca="false">IF(ISNUMBER(V420),CX420,0)</f>
        <v>0</v>
      </c>
      <c r="FC420" s="28" t="n">
        <f aca="false">IF(ISNUMBER(Z420),CY420,0)</f>
        <v>0</v>
      </c>
      <c r="FD420" s="28" t="n">
        <f aca="false">IF(ISNUMBER(AD420),CZ420,0)</f>
        <v>0</v>
      </c>
      <c r="FE420" s="28" t="n">
        <f aca="false">IF(ISNUMBER(AH420),DA420,0)</f>
        <v>0</v>
      </c>
      <c r="FF420" s="28" t="n">
        <f aca="false">IF(ISNUMBER(AL420),DB420,0)</f>
        <v>0</v>
      </c>
      <c r="FG420" s="28" t="n">
        <f aca="false">IF(ISNUMBER(AP420),DC420,0)</f>
        <v>0</v>
      </c>
      <c r="FH420" s="28" t="n">
        <f aca="false">IF(ISNUMBER(AT420),DD420,0)</f>
        <v>0</v>
      </c>
      <c r="FI420" s="28" t="n">
        <f aca="false">IF(ISNUMBER(AX420),DE420,0)</f>
        <v>0</v>
      </c>
      <c r="FJ420" s="28" t="n">
        <f aca="false">IF(ISNUMBER(BB420),DF420,0)</f>
        <v>0</v>
      </c>
      <c r="FK420" s="28" t="n">
        <f aca="false">IF(ISNUMBER(BF420),DG420,0)</f>
        <v>0</v>
      </c>
      <c r="FL420" s="28" t="n">
        <f aca="false">IF(ISNUMBER(BJ420),DH420,0)</f>
        <v>0</v>
      </c>
      <c r="FM420" s="28" t="n">
        <f aca="false">IF(ISNUMBER(BN420),DI420,0)</f>
        <v>0</v>
      </c>
      <c r="FN420" s="28" t="n">
        <f aca="false">IF(ISNUMBER(BR420),DJ420,0)</f>
        <v>0</v>
      </c>
      <c r="FO420" s="28" t="str">
        <f aca="false">IFERROR(INDEX(Lists!$G$2:$G$20,MATCH($I420&amp;"|"&amp;$J420,Lists!$F$2:$F$20,0)),"")</f>
        <v/>
      </c>
    </row>
    <row r="421" customFormat="false" ht="19.5" hidden="false" customHeight="true" outlineLevel="0" collapsed="false">
      <c r="A421" s="29"/>
      <c r="B421" s="29"/>
      <c r="C421" s="30"/>
      <c r="D421" s="30"/>
      <c r="E421" s="31"/>
      <c r="F421" s="30"/>
      <c r="G421" s="30"/>
      <c r="H421" s="32"/>
      <c r="I421" s="33"/>
      <c r="J421" s="32"/>
      <c r="K421" s="34" t="str">
        <f aca="false">IF(OR(M421="",$E421=""),"",M421-$E421)</f>
        <v/>
      </c>
      <c r="L421" s="35" t="str">
        <f aca="false">IF(SUM(FA421:FN421)=0,"",SUM(EM421:EZ421)/SUM(FA421:FN421))</f>
        <v/>
      </c>
      <c r="M421" s="36" t="str">
        <f aca="false">IF(OR(L421="",FO421=""),"",IFERROR(MATCH(L421,INDEX(Boundaries!$B$2:$I$30,MATCH(FO421,Boundaries!$A$2:$A$30,0),0),1)-1,""))</f>
        <v/>
      </c>
      <c r="N421" s="37" t="str">
        <f aca="false">IF(COUNT($DY421:$EL421)&lt;2,"",INDEX($DK421:$DX421,MAX($DY421:$EL421))-INDEX($DK421:$DX421,MIN($DY421:$EL421)))</f>
        <v/>
      </c>
      <c r="O421" s="37" t="str">
        <f aca="false">IF(COUNT($DY421:$EL421)&lt;2,"",INDEX($DK421:$DX421,MAX($DY421:$EL421))-INDEX($DK421:$DX421,LARGE($DY421:$EL421,2)))</f>
        <v/>
      </c>
      <c r="P421" s="38" t="str">
        <f aca="false">IF(K421="","",IF(K421&gt;=0,"On/above target",IF(AND(N421&lt;&gt;"",N421&gt;=0.5),"Improving towards target",IF(AND(O421&lt;&gt;"",O421&lt;=-0.5),"Declining","Stable below target"))))</f>
        <v/>
      </c>
      <c r="Q421" s="39"/>
      <c r="R421" s="40" t="str">
        <f aca="false">IF(OR(Q421="",BU421=""),"",Q421/BU421*100)</f>
        <v/>
      </c>
      <c r="S421" s="41" t="str">
        <f aca="false">IF(R421="","",IFERROR(MATCH(R421,INDEX(Boundaries!$B$2:$I$30,MATCH(CI421,Boundaries!$A$2:$A$30,0),0),1)-1,""))</f>
        <v/>
      </c>
      <c r="T421" s="42" t="str">
        <f aca="false">IF(OR(S421="",$E421=""),"",S421-$E421)</f>
        <v/>
      </c>
      <c r="U421" s="39"/>
      <c r="V421" s="40" t="str">
        <f aca="false">IF(OR(U421="",BV421=""),"",U421/BV421*100)</f>
        <v/>
      </c>
      <c r="W421" s="41" t="str">
        <f aca="false">IF(V421="","",IFERROR(MATCH(V421,INDEX(Boundaries!$B$2:$I$30,MATCH(CJ421,Boundaries!$A$2:$A$30,0),0),1)-1,""))</f>
        <v/>
      </c>
      <c r="X421" s="42" t="str">
        <f aca="false">IF(OR(W421="",$E421=""),"",W421-$E421)</f>
        <v/>
      </c>
      <c r="Y421" s="39"/>
      <c r="Z421" s="40" t="str">
        <f aca="false">IF(OR(Y421="",BW421=""),"",Y421/BW421*100)</f>
        <v/>
      </c>
      <c r="AA421" s="41" t="str">
        <f aca="false">IF(Z421="","",IFERROR(MATCH(Z421,INDEX(Boundaries!$B$2:$I$30,MATCH(CK421,Boundaries!$A$2:$A$30,0),0),1)-1,""))</f>
        <v/>
      </c>
      <c r="AB421" s="42" t="str">
        <f aca="false">IF(OR(AA421="",$E421=""),"",AA421-$E421)</f>
        <v/>
      </c>
      <c r="AC421" s="39"/>
      <c r="AD421" s="40" t="str">
        <f aca="false">IF(OR(AC421="",BX421=""),"",AC421/BX421*100)</f>
        <v/>
      </c>
      <c r="AE421" s="41" t="str">
        <f aca="false">IF(AD421="","",IFERROR(MATCH(AD421,INDEX(Boundaries!$B$2:$I$30,MATCH(CL421,Boundaries!$A$2:$A$30,0),0),1)-1,""))</f>
        <v/>
      </c>
      <c r="AF421" s="42" t="str">
        <f aca="false">IF(OR(AE421="",$E421=""),"",AE421-$E421)</f>
        <v/>
      </c>
      <c r="AG421" s="39"/>
      <c r="AH421" s="40" t="str">
        <f aca="false">IF(OR(AG421="",BY421=""),"",AG421/BY421*100)</f>
        <v/>
      </c>
      <c r="AI421" s="41" t="str">
        <f aca="false">IF(AH421="","",IFERROR(MATCH(AH421,INDEX(Boundaries!$B$2:$I$30,MATCH(CM421,Boundaries!$A$2:$A$30,0),0),1)-1,""))</f>
        <v/>
      </c>
      <c r="AJ421" s="42" t="str">
        <f aca="false">IF(OR(AI421="",$E421=""),"",AI421-$E421)</f>
        <v/>
      </c>
      <c r="AK421" s="39"/>
      <c r="AL421" s="40" t="str">
        <f aca="false">IF(OR(AK421="",BZ421=""),"",AK421/BZ421*100)</f>
        <v/>
      </c>
      <c r="AM421" s="41" t="str">
        <f aca="false">IF(AL421="","",IFERROR(MATCH(AL421,INDEX(Boundaries!$B$2:$I$30,MATCH(CN421,Boundaries!$A$2:$A$30,0),0),1)-1,""))</f>
        <v/>
      </c>
      <c r="AN421" s="42" t="str">
        <f aca="false">IF(OR(AM421="",$E421=""),"",AM421-$E421)</f>
        <v/>
      </c>
      <c r="AO421" s="39"/>
      <c r="AP421" s="40" t="str">
        <f aca="false">IF(OR(AO421="",CA421=""),"",AO421/CA421*100)</f>
        <v/>
      </c>
      <c r="AQ421" s="41" t="str">
        <f aca="false">IF(AP421="","",IFERROR(MATCH(AP421,INDEX(Boundaries!$B$2:$I$30,MATCH(CO421,Boundaries!$A$2:$A$30,0),0),1)-1,""))</f>
        <v/>
      </c>
      <c r="AR421" s="42" t="str">
        <f aca="false">IF(OR(AQ421="",$E421=""),"",AQ421-$E421)</f>
        <v/>
      </c>
      <c r="AS421" s="39"/>
      <c r="AT421" s="40" t="str">
        <f aca="false">IF(OR(AS421="",CB421=""),"",AS421/CB421*100)</f>
        <v/>
      </c>
      <c r="AU421" s="41" t="str">
        <f aca="false">IF(AT421="","",IFERROR(MATCH(AT421,INDEX(Boundaries!$B$2:$I$30,MATCH(CP421,Boundaries!$A$2:$A$30,0),0),1)-1,""))</f>
        <v/>
      </c>
      <c r="AV421" s="42" t="str">
        <f aca="false">IF(OR(AU421="",$E421=""),"",AU421-$E421)</f>
        <v/>
      </c>
      <c r="AW421" s="39"/>
      <c r="AX421" s="40" t="str">
        <f aca="false">IF(OR(AW421="",CC421=""),"",AW421/CC421*100)</f>
        <v/>
      </c>
      <c r="AY421" s="41" t="str">
        <f aca="false">IF(AX421="","",IFERROR(MATCH(AX421,INDEX(Boundaries!$B$2:$I$30,MATCH(CQ421,Boundaries!$A$2:$A$30,0),0),1)-1,""))</f>
        <v/>
      </c>
      <c r="AZ421" s="42" t="str">
        <f aca="false">IF(OR(AY421="",$E421=""),"",AY421-$E421)</f>
        <v/>
      </c>
      <c r="BA421" s="39"/>
      <c r="BB421" s="40" t="str">
        <f aca="false">IF(OR(BA421="",CD421=""),"",BA421/CD421*100)</f>
        <v/>
      </c>
      <c r="BC421" s="41" t="str">
        <f aca="false">IF(BB421="","",IFERROR(MATCH(BB421,INDEX(Boundaries!$B$2:$I$30,MATCH(CR421,Boundaries!$A$2:$A$30,0),0),1)-1,""))</f>
        <v/>
      </c>
      <c r="BD421" s="42" t="str">
        <f aca="false">IF(OR(BC421="",$E421=""),"",BC421-$E421)</f>
        <v/>
      </c>
      <c r="BE421" s="39"/>
      <c r="BF421" s="40" t="str">
        <f aca="false">IF(OR(BE421="",CE421=""),"",BE421/CE421*100)</f>
        <v/>
      </c>
      <c r="BG421" s="41" t="str">
        <f aca="false">IF(BF421="","",IFERROR(MATCH(BF421,INDEX(Boundaries!$B$2:$I$30,MATCH(CS421,Boundaries!$A$2:$A$30,0),0),1)-1,""))</f>
        <v/>
      </c>
      <c r="BH421" s="42" t="str">
        <f aca="false">IF(OR(BG421="",$E421=""),"",BG421-$E421)</f>
        <v/>
      </c>
      <c r="BI421" s="39"/>
      <c r="BJ421" s="40" t="str">
        <f aca="false">IF(OR(BI421="",CF421=""),"",BI421/CF421*100)</f>
        <v/>
      </c>
      <c r="BK421" s="41" t="str">
        <f aca="false">IF(BJ421="","",IFERROR(MATCH(BJ421,INDEX(Boundaries!$B$2:$I$30,MATCH(CT421,Boundaries!$A$2:$A$30,0),0),1)-1,""))</f>
        <v/>
      </c>
      <c r="BL421" s="42" t="str">
        <f aca="false">IF(OR(BK421="",$E421=""),"",BK421-$E421)</f>
        <v/>
      </c>
      <c r="BM421" s="39"/>
      <c r="BN421" s="40" t="str">
        <f aca="false">IF(OR(BM421="",CG421=""),"",BM421/CG421*100)</f>
        <v/>
      </c>
      <c r="BO421" s="41" t="str">
        <f aca="false">IF(BN421="","",IFERROR(MATCH(BN421,INDEX(Boundaries!$B$2:$I$30,MATCH(CU421,Boundaries!$A$2:$A$30,0),0),1)-1,""))</f>
        <v/>
      </c>
      <c r="BP421" s="42" t="str">
        <f aca="false">IF(OR(BO421="",$E421=""),"",BO421-$E421)</f>
        <v/>
      </c>
      <c r="BQ421" s="39"/>
      <c r="BR421" s="40" t="str">
        <f aca="false">IF(OR(BQ421="",CH421=""),"",BQ421/CH421*100)</f>
        <v/>
      </c>
      <c r="BS421" s="41" t="str">
        <f aca="false">IF(BR421="","",IFERROR(MATCH(BR421,INDEX(Boundaries!$B$2:$I$30,MATCH(CV421,Boundaries!$A$2:$A$30,0),0),1)-1,""))</f>
        <v/>
      </c>
      <c r="BT421" s="42" t="str">
        <f aca="false">IF(OR(BS421="",$E421=""),"",BS421-$E421)</f>
        <v/>
      </c>
      <c r="BU421" s="28" t="str">
        <f aca="false">IFERROR(INDEX(Assessments!$H$2:$H$600,MATCH($H421&amp;"|"&amp;$I421&amp;"|"&amp;$J421&amp;"|"&amp;1,Assessments!$A$2:$A$600,0)),"")</f>
        <v/>
      </c>
      <c r="BV421" s="28" t="str">
        <f aca="false">IFERROR(INDEX(Assessments!$H$2:$H$600,MATCH($H421&amp;"|"&amp;$I421&amp;"|"&amp;$J421&amp;"|"&amp;2,Assessments!$A$2:$A$600,0)),"")</f>
        <v/>
      </c>
      <c r="BW421" s="28" t="str">
        <f aca="false">IFERROR(INDEX(Assessments!$H$2:$H$600,MATCH($H421&amp;"|"&amp;$I421&amp;"|"&amp;$J421&amp;"|"&amp;3,Assessments!$A$2:$A$600,0)),"")</f>
        <v/>
      </c>
      <c r="BX421" s="28" t="str">
        <f aca="false">IFERROR(INDEX(Assessments!$H$2:$H$600,MATCH($H421&amp;"|"&amp;$I421&amp;"|"&amp;$J421&amp;"|"&amp;4,Assessments!$A$2:$A$600,0)),"")</f>
        <v/>
      </c>
      <c r="BY421" s="28" t="str">
        <f aca="false">IFERROR(INDEX(Assessments!$H$2:$H$600,MATCH($H421&amp;"|"&amp;$I421&amp;"|"&amp;$J421&amp;"|"&amp;5,Assessments!$A$2:$A$600,0)),"")</f>
        <v/>
      </c>
      <c r="BZ421" s="28" t="str">
        <f aca="false">IFERROR(INDEX(Assessments!$H$2:$H$600,MATCH($H421&amp;"|"&amp;$I421&amp;"|"&amp;$J421&amp;"|"&amp;6,Assessments!$A$2:$A$600,0)),"")</f>
        <v/>
      </c>
      <c r="CA421" s="28" t="str">
        <f aca="false">IFERROR(INDEX(Assessments!$H$2:$H$600,MATCH($H421&amp;"|"&amp;$I421&amp;"|"&amp;$J421&amp;"|"&amp;7,Assessments!$A$2:$A$600,0)),"")</f>
        <v/>
      </c>
      <c r="CB421" s="28" t="str">
        <f aca="false">IFERROR(INDEX(Assessments!$H$2:$H$600,MATCH($H421&amp;"|"&amp;$I421&amp;"|"&amp;$J421&amp;"|"&amp;8,Assessments!$A$2:$A$600,0)),"")</f>
        <v/>
      </c>
      <c r="CC421" s="28" t="str">
        <f aca="false">IFERROR(INDEX(Assessments!$H$2:$H$600,MATCH($H421&amp;"|"&amp;$I421&amp;"|"&amp;$J421&amp;"|"&amp;9,Assessments!$A$2:$A$600,0)),"")</f>
        <v/>
      </c>
      <c r="CD421" s="28" t="str">
        <f aca="false">IFERROR(INDEX(Assessments!$H$2:$H$600,MATCH($H421&amp;"|"&amp;$I421&amp;"|"&amp;$J421&amp;"|"&amp;10,Assessments!$A$2:$A$600,0)),"")</f>
        <v/>
      </c>
      <c r="CE421" s="28" t="str">
        <f aca="false">IFERROR(INDEX(Assessments!$H$2:$H$600,MATCH($H421&amp;"|"&amp;$I421&amp;"|"&amp;$J421&amp;"|"&amp;11,Assessments!$A$2:$A$600,0)),"")</f>
        <v/>
      </c>
      <c r="CF421" s="28" t="str">
        <f aca="false">IFERROR(INDEX(Assessments!$H$2:$H$600,MATCH($H421&amp;"|"&amp;$I421&amp;"|"&amp;$J421&amp;"|"&amp;12,Assessments!$A$2:$A$600,0)),"")</f>
        <v/>
      </c>
      <c r="CG421" s="28" t="str">
        <f aca="false">IFERROR(INDEX(Assessments!$H$2:$H$600,MATCH($H421&amp;"|"&amp;$I421&amp;"|"&amp;$J421&amp;"|"&amp;13,Assessments!$A$2:$A$600,0)),"")</f>
        <v/>
      </c>
      <c r="CH421" s="28" t="str">
        <f aca="false">IFERROR(INDEX(Assessments!$H$2:$H$600,MATCH($H421&amp;"|"&amp;$I421&amp;"|"&amp;$J421&amp;"|"&amp;14,Assessments!$A$2:$A$600,0)),"")</f>
        <v/>
      </c>
      <c r="CI421" s="28" t="str">
        <f aca="false">IFERROR(INDEX(Assessments!$I$2:$I$600,MATCH($H421&amp;"|"&amp;$I421&amp;"|"&amp;$J421&amp;"|"&amp;1,Assessments!$A$2:$A$600,0)),"")</f>
        <v/>
      </c>
      <c r="CJ421" s="28" t="str">
        <f aca="false">IFERROR(INDEX(Assessments!$I$2:$I$600,MATCH($H421&amp;"|"&amp;$I421&amp;"|"&amp;$J421&amp;"|"&amp;2,Assessments!$A$2:$A$600,0)),"")</f>
        <v/>
      </c>
      <c r="CK421" s="28" t="str">
        <f aca="false">IFERROR(INDEX(Assessments!$I$2:$I$600,MATCH($H421&amp;"|"&amp;$I421&amp;"|"&amp;$J421&amp;"|"&amp;3,Assessments!$A$2:$A$600,0)),"")</f>
        <v/>
      </c>
      <c r="CL421" s="28" t="str">
        <f aca="false">IFERROR(INDEX(Assessments!$I$2:$I$600,MATCH($H421&amp;"|"&amp;$I421&amp;"|"&amp;$J421&amp;"|"&amp;4,Assessments!$A$2:$A$600,0)),"")</f>
        <v/>
      </c>
      <c r="CM421" s="28" t="str">
        <f aca="false">IFERROR(INDEX(Assessments!$I$2:$I$600,MATCH($H421&amp;"|"&amp;$I421&amp;"|"&amp;$J421&amp;"|"&amp;5,Assessments!$A$2:$A$600,0)),"")</f>
        <v/>
      </c>
      <c r="CN421" s="28" t="str">
        <f aca="false">IFERROR(INDEX(Assessments!$I$2:$I$600,MATCH($H421&amp;"|"&amp;$I421&amp;"|"&amp;$J421&amp;"|"&amp;6,Assessments!$A$2:$A$600,0)),"")</f>
        <v/>
      </c>
      <c r="CO421" s="28" t="str">
        <f aca="false">IFERROR(INDEX(Assessments!$I$2:$I$600,MATCH($H421&amp;"|"&amp;$I421&amp;"|"&amp;$J421&amp;"|"&amp;7,Assessments!$A$2:$A$600,0)),"")</f>
        <v/>
      </c>
      <c r="CP421" s="28" t="str">
        <f aca="false">IFERROR(INDEX(Assessments!$I$2:$I$600,MATCH($H421&amp;"|"&amp;$I421&amp;"|"&amp;$J421&amp;"|"&amp;8,Assessments!$A$2:$A$600,0)),"")</f>
        <v/>
      </c>
      <c r="CQ421" s="28" t="str">
        <f aca="false">IFERROR(INDEX(Assessments!$I$2:$I$600,MATCH($H421&amp;"|"&amp;$I421&amp;"|"&amp;$J421&amp;"|"&amp;9,Assessments!$A$2:$A$600,0)),"")</f>
        <v/>
      </c>
      <c r="CR421" s="28" t="str">
        <f aca="false">IFERROR(INDEX(Assessments!$I$2:$I$600,MATCH($H421&amp;"|"&amp;$I421&amp;"|"&amp;$J421&amp;"|"&amp;10,Assessments!$A$2:$A$600,0)),"")</f>
        <v/>
      </c>
      <c r="CS421" s="28" t="str">
        <f aca="false">IFERROR(INDEX(Assessments!$I$2:$I$600,MATCH($H421&amp;"|"&amp;$I421&amp;"|"&amp;$J421&amp;"|"&amp;11,Assessments!$A$2:$A$600,0)),"")</f>
        <v/>
      </c>
      <c r="CT421" s="28" t="str">
        <f aca="false">IFERROR(INDEX(Assessments!$I$2:$I$600,MATCH($H421&amp;"|"&amp;$I421&amp;"|"&amp;$J421&amp;"|"&amp;12,Assessments!$A$2:$A$600,0)),"")</f>
        <v/>
      </c>
      <c r="CU421" s="28" t="str">
        <f aca="false">IFERROR(INDEX(Assessments!$I$2:$I$600,MATCH($H421&amp;"|"&amp;$I421&amp;"|"&amp;$J421&amp;"|"&amp;13,Assessments!$A$2:$A$600,0)),"")</f>
        <v/>
      </c>
      <c r="CV421" s="28" t="str">
        <f aca="false">IFERROR(INDEX(Assessments!$I$2:$I$600,MATCH($H421&amp;"|"&amp;$I421&amp;"|"&amp;$J421&amp;"|"&amp;14,Assessments!$A$2:$A$600,0)),"")</f>
        <v/>
      </c>
      <c r="CW421" s="28" t="n">
        <f aca="false">IFERROR(INDEX(Assessments!$J$2:$J$600,MATCH($H421&amp;"|"&amp;$I421&amp;"|"&amp;$J421&amp;"|"&amp;1,Assessments!$A$2:$A$600,0)),0)</f>
        <v>0</v>
      </c>
      <c r="CX421" s="28" t="n">
        <f aca="false">IFERROR(INDEX(Assessments!$J$2:$J$600,MATCH($H421&amp;"|"&amp;$I421&amp;"|"&amp;$J421&amp;"|"&amp;2,Assessments!$A$2:$A$600,0)),0)</f>
        <v>0</v>
      </c>
      <c r="CY421" s="28" t="n">
        <f aca="false">IFERROR(INDEX(Assessments!$J$2:$J$600,MATCH($H421&amp;"|"&amp;$I421&amp;"|"&amp;$J421&amp;"|"&amp;3,Assessments!$A$2:$A$600,0)),0)</f>
        <v>0</v>
      </c>
      <c r="CZ421" s="28" t="n">
        <f aca="false">IFERROR(INDEX(Assessments!$J$2:$J$600,MATCH($H421&amp;"|"&amp;$I421&amp;"|"&amp;$J421&amp;"|"&amp;4,Assessments!$A$2:$A$600,0)),0)</f>
        <v>0</v>
      </c>
      <c r="DA421" s="28" t="n">
        <f aca="false">IFERROR(INDEX(Assessments!$J$2:$J$600,MATCH($H421&amp;"|"&amp;$I421&amp;"|"&amp;$J421&amp;"|"&amp;5,Assessments!$A$2:$A$600,0)),0)</f>
        <v>0</v>
      </c>
      <c r="DB421" s="28" t="n">
        <f aca="false">IFERROR(INDEX(Assessments!$J$2:$J$600,MATCH($H421&amp;"|"&amp;$I421&amp;"|"&amp;$J421&amp;"|"&amp;6,Assessments!$A$2:$A$600,0)),0)</f>
        <v>0</v>
      </c>
      <c r="DC421" s="28" t="n">
        <f aca="false">IFERROR(INDEX(Assessments!$J$2:$J$600,MATCH($H421&amp;"|"&amp;$I421&amp;"|"&amp;$J421&amp;"|"&amp;7,Assessments!$A$2:$A$600,0)),0)</f>
        <v>0</v>
      </c>
      <c r="DD421" s="28" t="n">
        <f aca="false">IFERROR(INDEX(Assessments!$J$2:$J$600,MATCH($H421&amp;"|"&amp;$I421&amp;"|"&amp;$J421&amp;"|"&amp;8,Assessments!$A$2:$A$600,0)),0)</f>
        <v>0</v>
      </c>
      <c r="DE421" s="28" t="n">
        <f aca="false">IFERROR(INDEX(Assessments!$J$2:$J$600,MATCH($H421&amp;"|"&amp;$I421&amp;"|"&amp;$J421&amp;"|"&amp;9,Assessments!$A$2:$A$600,0)),0)</f>
        <v>0</v>
      </c>
      <c r="DF421" s="28" t="n">
        <f aca="false">IFERROR(INDEX(Assessments!$J$2:$J$600,MATCH($H421&amp;"|"&amp;$I421&amp;"|"&amp;$J421&amp;"|"&amp;10,Assessments!$A$2:$A$600,0)),0)</f>
        <v>0</v>
      </c>
      <c r="DG421" s="28" t="n">
        <f aca="false">IFERROR(INDEX(Assessments!$J$2:$J$600,MATCH($H421&amp;"|"&amp;$I421&amp;"|"&amp;$J421&amp;"|"&amp;11,Assessments!$A$2:$A$600,0)),0)</f>
        <v>0</v>
      </c>
      <c r="DH421" s="28" t="n">
        <f aca="false">IFERROR(INDEX(Assessments!$J$2:$J$600,MATCH($H421&amp;"|"&amp;$I421&amp;"|"&amp;$J421&amp;"|"&amp;12,Assessments!$A$2:$A$600,0)),0)</f>
        <v>0</v>
      </c>
      <c r="DI421" s="28" t="n">
        <f aca="false">IFERROR(INDEX(Assessments!$J$2:$J$600,MATCH($H421&amp;"|"&amp;$I421&amp;"|"&amp;$J421&amp;"|"&amp;13,Assessments!$A$2:$A$600,0)),0)</f>
        <v>0</v>
      </c>
      <c r="DJ421" s="28" t="n">
        <f aca="false">IFERROR(INDEX(Assessments!$J$2:$J$600,MATCH($H421&amp;"|"&amp;$I421&amp;"|"&amp;$J421&amp;"|"&amp;14,Assessments!$A$2:$A$600,0)),0)</f>
        <v>0</v>
      </c>
      <c r="DK421" s="28" t="str">
        <f aca="false">S421</f>
        <v/>
      </c>
      <c r="DL421" s="28" t="str">
        <f aca="false">W421</f>
        <v/>
      </c>
      <c r="DM421" s="28" t="str">
        <f aca="false">AA421</f>
        <v/>
      </c>
      <c r="DN421" s="28" t="str">
        <f aca="false">AE421</f>
        <v/>
      </c>
      <c r="DO421" s="28" t="str">
        <f aca="false">AI421</f>
        <v/>
      </c>
      <c r="DP421" s="28" t="str">
        <f aca="false">AM421</f>
        <v/>
      </c>
      <c r="DQ421" s="28" t="str">
        <f aca="false">AQ421</f>
        <v/>
      </c>
      <c r="DR421" s="28" t="str">
        <f aca="false">AU421</f>
        <v/>
      </c>
      <c r="DS421" s="28" t="str">
        <f aca="false">AY421</f>
        <v/>
      </c>
      <c r="DT421" s="28" t="str">
        <f aca="false">BC421</f>
        <v/>
      </c>
      <c r="DU421" s="28" t="str">
        <f aca="false">BG421</f>
        <v/>
      </c>
      <c r="DV421" s="28" t="str">
        <f aca="false">BK421</f>
        <v/>
      </c>
      <c r="DW421" s="28" t="str">
        <f aca="false">BO421</f>
        <v/>
      </c>
      <c r="DX421" s="28" t="str">
        <f aca="false">BS421</f>
        <v/>
      </c>
      <c r="DY421" s="28" t="str">
        <f aca="false">IF(ISNUMBER(S421),1,"")</f>
        <v/>
      </c>
      <c r="DZ421" s="28" t="str">
        <f aca="false">IF(ISNUMBER(W421),2,"")</f>
        <v/>
      </c>
      <c r="EA421" s="28" t="str">
        <f aca="false">IF(ISNUMBER(AA421),3,"")</f>
        <v/>
      </c>
      <c r="EB421" s="28" t="str">
        <f aca="false">IF(ISNUMBER(AE421),4,"")</f>
        <v/>
      </c>
      <c r="EC421" s="28" t="str">
        <f aca="false">IF(ISNUMBER(AI421),5,"")</f>
        <v/>
      </c>
      <c r="ED421" s="28" t="str">
        <f aca="false">IF(ISNUMBER(AM421),6,"")</f>
        <v/>
      </c>
      <c r="EE421" s="28" t="str">
        <f aca="false">IF(ISNUMBER(AQ421),7,"")</f>
        <v/>
      </c>
      <c r="EF421" s="28" t="str">
        <f aca="false">IF(ISNUMBER(AU421),8,"")</f>
        <v/>
      </c>
      <c r="EG421" s="28" t="str">
        <f aca="false">IF(ISNUMBER(AY421),9,"")</f>
        <v/>
      </c>
      <c r="EH421" s="28" t="str">
        <f aca="false">IF(ISNUMBER(BC421),10,"")</f>
        <v/>
      </c>
      <c r="EI421" s="28" t="str">
        <f aca="false">IF(ISNUMBER(BG421),11,"")</f>
        <v/>
      </c>
      <c r="EJ421" s="28" t="str">
        <f aca="false">IF(ISNUMBER(BK421),12,"")</f>
        <v/>
      </c>
      <c r="EK421" s="28" t="str">
        <f aca="false">IF(ISNUMBER(BO421),13,"")</f>
        <v/>
      </c>
      <c r="EL421" s="28" t="str">
        <f aca="false">IF(ISNUMBER(BS421),14,"")</f>
        <v/>
      </c>
      <c r="EM421" s="28" t="n">
        <f aca="false">IF(ISNUMBER(R421),R421*CW421,0)</f>
        <v>0</v>
      </c>
      <c r="EN421" s="28" t="n">
        <f aca="false">IF(ISNUMBER(V421),V421*CX421,0)</f>
        <v>0</v>
      </c>
      <c r="EO421" s="28" t="n">
        <f aca="false">IF(ISNUMBER(Z421),Z421*CY421,0)</f>
        <v>0</v>
      </c>
      <c r="EP421" s="28" t="n">
        <f aca="false">IF(ISNUMBER(AD421),AD421*CZ421,0)</f>
        <v>0</v>
      </c>
      <c r="EQ421" s="28" t="n">
        <f aca="false">IF(ISNUMBER(AH421),AH421*DA421,0)</f>
        <v>0</v>
      </c>
      <c r="ER421" s="28" t="n">
        <f aca="false">IF(ISNUMBER(AL421),AL421*DB421,0)</f>
        <v>0</v>
      </c>
      <c r="ES421" s="28" t="n">
        <f aca="false">IF(ISNUMBER(AP421),AP421*DC421,0)</f>
        <v>0</v>
      </c>
      <c r="ET421" s="28" t="n">
        <f aca="false">IF(ISNUMBER(AT421),AT421*DD421,0)</f>
        <v>0</v>
      </c>
      <c r="EU421" s="28" t="n">
        <f aca="false">IF(ISNUMBER(AX421),AX421*DE421,0)</f>
        <v>0</v>
      </c>
      <c r="EV421" s="28" t="n">
        <f aca="false">IF(ISNUMBER(BB421),BB421*DF421,0)</f>
        <v>0</v>
      </c>
      <c r="EW421" s="28" t="n">
        <f aca="false">IF(ISNUMBER(BF421),BF421*DG421,0)</f>
        <v>0</v>
      </c>
      <c r="EX421" s="28" t="n">
        <f aca="false">IF(ISNUMBER(BJ421),BJ421*DH421,0)</f>
        <v>0</v>
      </c>
      <c r="EY421" s="28" t="n">
        <f aca="false">IF(ISNUMBER(BN421),BN421*DI421,0)</f>
        <v>0</v>
      </c>
      <c r="EZ421" s="28" t="n">
        <f aca="false">IF(ISNUMBER(BR421),BR421*DJ421,0)</f>
        <v>0</v>
      </c>
      <c r="FA421" s="28" t="n">
        <f aca="false">IF(ISNUMBER(R421),CW421,0)</f>
        <v>0</v>
      </c>
      <c r="FB421" s="28" t="n">
        <f aca="false">IF(ISNUMBER(V421),CX421,0)</f>
        <v>0</v>
      </c>
      <c r="FC421" s="28" t="n">
        <f aca="false">IF(ISNUMBER(Z421),CY421,0)</f>
        <v>0</v>
      </c>
      <c r="FD421" s="28" t="n">
        <f aca="false">IF(ISNUMBER(AD421),CZ421,0)</f>
        <v>0</v>
      </c>
      <c r="FE421" s="28" t="n">
        <f aca="false">IF(ISNUMBER(AH421),DA421,0)</f>
        <v>0</v>
      </c>
      <c r="FF421" s="28" t="n">
        <f aca="false">IF(ISNUMBER(AL421),DB421,0)</f>
        <v>0</v>
      </c>
      <c r="FG421" s="28" t="n">
        <f aca="false">IF(ISNUMBER(AP421),DC421,0)</f>
        <v>0</v>
      </c>
      <c r="FH421" s="28" t="n">
        <f aca="false">IF(ISNUMBER(AT421),DD421,0)</f>
        <v>0</v>
      </c>
      <c r="FI421" s="28" t="n">
        <f aca="false">IF(ISNUMBER(AX421),DE421,0)</f>
        <v>0</v>
      </c>
      <c r="FJ421" s="28" t="n">
        <f aca="false">IF(ISNUMBER(BB421),DF421,0)</f>
        <v>0</v>
      </c>
      <c r="FK421" s="28" t="n">
        <f aca="false">IF(ISNUMBER(BF421),DG421,0)</f>
        <v>0</v>
      </c>
      <c r="FL421" s="28" t="n">
        <f aca="false">IF(ISNUMBER(BJ421),DH421,0)</f>
        <v>0</v>
      </c>
      <c r="FM421" s="28" t="n">
        <f aca="false">IF(ISNUMBER(BN421),DI421,0)</f>
        <v>0</v>
      </c>
      <c r="FN421" s="28" t="n">
        <f aca="false">IF(ISNUMBER(BR421),DJ421,0)</f>
        <v>0</v>
      </c>
      <c r="FO421" s="28" t="str">
        <f aca="false">IFERROR(INDEX(Lists!$G$2:$G$20,MATCH($I421&amp;"|"&amp;$J421,Lists!$F$2:$F$20,0)),"")</f>
        <v/>
      </c>
    </row>
    <row r="422" customFormat="false" ht="19.5" hidden="false" customHeight="true" outlineLevel="0" collapsed="false">
      <c r="A422" s="29"/>
      <c r="B422" s="29"/>
      <c r="C422" s="30"/>
      <c r="D422" s="30"/>
      <c r="E422" s="31"/>
      <c r="F422" s="30"/>
      <c r="G422" s="30"/>
      <c r="H422" s="32"/>
      <c r="I422" s="33"/>
      <c r="J422" s="32"/>
      <c r="K422" s="34" t="str">
        <f aca="false">IF(OR(M422="",$E422=""),"",M422-$E422)</f>
        <v/>
      </c>
      <c r="L422" s="35" t="str">
        <f aca="false">IF(SUM(FA422:FN422)=0,"",SUM(EM422:EZ422)/SUM(FA422:FN422))</f>
        <v/>
      </c>
      <c r="M422" s="36" t="str">
        <f aca="false">IF(OR(L422="",FO422=""),"",IFERROR(MATCH(L422,INDEX(Boundaries!$B$2:$I$30,MATCH(FO422,Boundaries!$A$2:$A$30,0),0),1)-1,""))</f>
        <v/>
      </c>
      <c r="N422" s="37" t="str">
        <f aca="false">IF(COUNT($DY422:$EL422)&lt;2,"",INDEX($DK422:$DX422,MAX($DY422:$EL422))-INDEX($DK422:$DX422,MIN($DY422:$EL422)))</f>
        <v/>
      </c>
      <c r="O422" s="37" t="str">
        <f aca="false">IF(COUNT($DY422:$EL422)&lt;2,"",INDEX($DK422:$DX422,MAX($DY422:$EL422))-INDEX($DK422:$DX422,LARGE($DY422:$EL422,2)))</f>
        <v/>
      </c>
      <c r="P422" s="38" t="str">
        <f aca="false">IF(K422="","",IF(K422&gt;=0,"On/above target",IF(AND(N422&lt;&gt;"",N422&gt;=0.5),"Improving towards target",IF(AND(O422&lt;&gt;"",O422&lt;=-0.5),"Declining","Stable below target"))))</f>
        <v/>
      </c>
      <c r="Q422" s="39"/>
      <c r="R422" s="40" t="str">
        <f aca="false">IF(OR(Q422="",BU422=""),"",Q422/BU422*100)</f>
        <v/>
      </c>
      <c r="S422" s="41" t="str">
        <f aca="false">IF(R422="","",IFERROR(MATCH(R422,INDEX(Boundaries!$B$2:$I$30,MATCH(CI422,Boundaries!$A$2:$A$30,0),0),1)-1,""))</f>
        <v/>
      </c>
      <c r="T422" s="42" t="str">
        <f aca="false">IF(OR(S422="",$E422=""),"",S422-$E422)</f>
        <v/>
      </c>
      <c r="U422" s="39"/>
      <c r="V422" s="40" t="str">
        <f aca="false">IF(OR(U422="",BV422=""),"",U422/BV422*100)</f>
        <v/>
      </c>
      <c r="W422" s="41" t="str">
        <f aca="false">IF(V422="","",IFERROR(MATCH(V422,INDEX(Boundaries!$B$2:$I$30,MATCH(CJ422,Boundaries!$A$2:$A$30,0),0),1)-1,""))</f>
        <v/>
      </c>
      <c r="X422" s="42" t="str">
        <f aca="false">IF(OR(W422="",$E422=""),"",W422-$E422)</f>
        <v/>
      </c>
      <c r="Y422" s="39"/>
      <c r="Z422" s="40" t="str">
        <f aca="false">IF(OR(Y422="",BW422=""),"",Y422/BW422*100)</f>
        <v/>
      </c>
      <c r="AA422" s="41" t="str">
        <f aca="false">IF(Z422="","",IFERROR(MATCH(Z422,INDEX(Boundaries!$B$2:$I$30,MATCH(CK422,Boundaries!$A$2:$A$30,0),0),1)-1,""))</f>
        <v/>
      </c>
      <c r="AB422" s="42" t="str">
        <f aca="false">IF(OR(AA422="",$E422=""),"",AA422-$E422)</f>
        <v/>
      </c>
      <c r="AC422" s="39"/>
      <c r="AD422" s="40" t="str">
        <f aca="false">IF(OR(AC422="",BX422=""),"",AC422/BX422*100)</f>
        <v/>
      </c>
      <c r="AE422" s="41" t="str">
        <f aca="false">IF(AD422="","",IFERROR(MATCH(AD422,INDEX(Boundaries!$B$2:$I$30,MATCH(CL422,Boundaries!$A$2:$A$30,0),0),1)-1,""))</f>
        <v/>
      </c>
      <c r="AF422" s="42" t="str">
        <f aca="false">IF(OR(AE422="",$E422=""),"",AE422-$E422)</f>
        <v/>
      </c>
      <c r="AG422" s="39"/>
      <c r="AH422" s="40" t="str">
        <f aca="false">IF(OR(AG422="",BY422=""),"",AG422/BY422*100)</f>
        <v/>
      </c>
      <c r="AI422" s="41" t="str">
        <f aca="false">IF(AH422="","",IFERROR(MATCH(AH422,INDEX(Boundaries!$B$2:$I$30,MATCH(CM422,Boundaries!$A$2:$A$30,0),0),1)-1,""))</f>
        <v/>
      </c>
      <c r="AJ422" s="42" t="str">
        <f aca="false">IF(OR(AI422="",$E422=""),"",AI422-$E422)</f>
        <v/>
      </c>
      <c r="AK422" s="39"/>
      <c r="AL422" s="40" t="str">
        <f aca="false">IF(OR(AK422="",BZ422=""),"",AK422/BZ422*100)</f>
        <v/>
      </c>
      <c r="AM422" s="41" t="str">
        <f aca="false">IF(AL422="","",IFERROR(MATCH(AL422,INDEX(Boundaries!$B$2:$I$30,MATCH(CN422,Boundaries!$A$2:$A$30,0),0),1)-1,""))</f>
        <v/>
      </c>
      <c r="AN422" s="42" t="str">
        <f aca="false">IF(OR(AM422="",$E422=""),"",AM422-$E422)</f>
        <v/>
      </c>
      <c r="AO422" s="39"/>
      <c r="AP422" s="40" t="str">
        <f aca="false">IF(OR(AO422="",CA422=""),"",AO422/CA422*100)</f>
        <v/>
      </c>
      <c r="AQ422" s="41" t="str">
        <f aca="false">IF(AP422="","",IFERROR(MATCH(AP422,INDEX(Boundaries!$B$2:$I$30,MATCH(CO422,Boundaries!$A$2:$A$30,0),0),1)-1,""))</f>
        <v/>
      </c>
      <c r="AR422" s="42" t="str">
        <f aca="false">IF(OR(AQ422="",$E422=""),"",AQ422-$E422)</f>
        <v/>
      </c>
      <c r="AS422" s="39"/>
      <c r="AT422" s="40" t="str">
        <f aca="false">IF(OR(AS422="",CB422=""),"",AS422/CB422*100)</f>
        <v/>
      </c>
      <c r="AU422" s="41" t="str">
        <f aca="false">IF(AT422="","",IFERROR(MATCH(AT422,INDEX(Boundaries!$B$2:$I$30,MATCH(CP422,Boundaries!$A$2:$A$30,0),0),1)-1,""))</f>
        <v/>
      </c>
      <c r="AV422" s="42" t="str">
        <f aca="false">IF(OR(AU422="",$E422=""),"",AU422-$E422)</f>
        <v/>
      </c>
      <c r="AW422" s="39"/>
      <c r="AX422" s="40" t="str">
        <f aca="false">IF(OR(AW422="",CC422=""),"",AW422/CC422*100)</f>
        <v/>
      </c>
      <c r="AY422" s="41" t="str">
        <f aca="false">IF(AX422="","",IFERROR(MATCH(AX422,INDEX(Boundaries!$B$2:$I$30,MATCH(CQ422,Boundaries!$A$2:$A$30,0),0),1)-1,""))</f>
        <v/>
      </c>
      <c r="AZ422" s="42" t="str">
        <f aca="false">IF(OR(AY422="",$E422=""),"",AY422-$E422)</f>
        <v/>
      </c>
      <c r="BA422" s="39"/>
      <c r="BB422" s="40" t="str">
        <f aca="false">IF(OR(BA422="",CD422=""),"",BA422/CD422*100)</f>
        <v/>
      </c>
      <c r="BC422" s="41" t="str">
        <f aca="false">IF(BB422="","",IFERROR(MATCH(BB422,INDEX(Boundaries!$B$2:$I$30,MATCH(CR422,Boundaries!$A$2:$A$30,0),0),1)-1,""))</f>
        <v/>
      </c>
      <c r="BD422" s="42" t="str">
        <f aca="false">IF(OR(BC422="",$E422=""),"",BC422-$E422)</f>
        <v/>
      </c>
      <c r="BE422" s="39"/>
      <c r="BF422" s="40" t="str">
        <f aca="false">IF(OR(BE422="",CE422=""),"",BE422/CE422*100)</f>
        <v/>
      </c>
      <c r="BG422" s="41" t="str">
        <f aca="false">IF(BF422="","",IFERROR(MATCH(BF422,INDEX(Boundaries!$B$2:$I$30,MATCH(CS422,Boundaries!$A$2:$A$30,0),0),1)-1,""))</f>
        <v/>
      </c>
      <c r="BH422" s="42" t="str">
        <f aca="false">IF(OR(BG422="",$E422=""),"",BG422-$E422)</f>
        <v/>
      </c>
      <c r="BI422" s="39"/>
      <c r="BJ422" s="40" t="str">
        <f aca="false">IF(OR(BI422="",CF422=""),"",BI422/CF422*100)</f>
        <v/>
      </c>
      <c r="BK422" s="41" t="str">
        <f aca="false">IF(BJ422="","",IFERROR(MATCH(BJ422,INDEX(Boundaries!$B$2:$I$30,MATCH(CT422,Boundaries!$A$2:$A$30,0),0),1)-1,""))</f>
        <v/>
      </c>
      <c r="BL422" s="42" t="str">
        <f aca="false">IF(OR(BK422="",$E422=""),"",BK422-$E422)</f>
        <v/>
      </c>
      <c r="BM422" s="39"/>
      <c r="BN422" s="40" t="str">
        <f aca="false">IF(OR(BM422="",CG422=""),"",BM422/CG422*100)</f>
        <v/>
      </c>
      <c r="BO422" s="41" t="str">
        <f aca="false">IF(BN422="","",IFERROR(MATCH(BN422,INDEX(Boundaries!$B$2:$I$30,MATCH(CU422,Boundaries!$A$2:$A$30,0),0),1)-1,""))</f>
        <v/>
      </c>
      <c r="BP422" s="42" t="str">
        <f aca="false">IF(OR(BO422="",$E422=""),"",BO422-$E422)</f>
        <v/>
      </c>
      <c r="BQ422" s="39"/>
      <c r="BR422" s="40" t="str">
        <f aca="false">IF(OR(BQ422="",CH422=""),"",BQ422/CH422*100)</f>
        <v/>
      </c>
      <c r="BS422" s="41" t="str">
        <f aca="false">IF(BR422="","",IFERROR(MATCH(BR422,INDEX(Boundaries!$B$2:$I$30,MATCH(CV422,Boundaries!$A$2:$A$30,0),0),1)-1,""))</f>
        <v/>
      </c>
      <c r="BT422" s="42" t="str">
        <f aca="false">IF(OR(BS422="",$E422=""),"",BS422-$E422)</f>
        <v/>
      </c>
      <c r="BU422" s="28" t="str">
        <f aca="false">IFERROR(INDEX(Assessments!$H$2:$H$600,MATCH($H422&amp;"|"&amp;$I422&amp;"|"&amp;$J422&amp;"|"&amp;1,Assessments!$A$2:$A$600,0)),"")</f>
        <v/>
      </c>
      <c r="BV422" s="28" t="str">
        <f aca="false">IFERROR(INDEX(Assessments!$H$2:$H$600,MATCH($H422&amp;"|"&amp;$I422&amp;"|"&amp;$J422&amp;"|"&amp;2,Assessments!$A$2:$A$600,0)),"")</f>
        <v/>
      </c>
      <c r="BW422" s="28" t="str">
        <f aca="false">IFERROR(INDEX(Assessments!$H$2:$H$600,MATCH($H422&amp;"|"&amp;$I422&amp;"|"&amp;$J422&amp;"|"&amp;3,Assessments!$A$2:$A$600,0)),"")</f>
        <v/>
      </c>
      <c r="BX422" s="28" t="str">
        <f aca="false">IFERROR(INDEX(Assessments!$H$2:$H$600,MATCH($H422&amp;"|"&amp;$I422&amp;"|"&amp;$J422&amp;"|"&amp;4,Assessments!$A$2:$A$600,0)),"")</f>
        <v/>
      </c>
      <c r="BY422" s="28" t="str">
        <f aca="false">IFERROR(INDEX(Assessments!$H$2:$H$600,MATCH($H422&amp;"|"&amp;$I422&amp;"|"&amp;$J422&amp;"|"&amp;5,Assessments!$A$2:$A$600,0)),"")</f>
        <v/>
      </c>
      <c r="BZ422" s="28" t="str">
        <f aca="false">IFERROR(INDEX(Assessments!$H$2:$H$600,MATCH($H422&amp;"|"&amp;$I422&amp;"|"&amp;$J422&amp;"|"&amp;6,Assessments!$A$2:$A$600,0)),"")</f>
        <v/>
      </c>
      <c r="CA422" s="28" t="str">
        <f aca="false">IFERROR(INDEX(Assessments!$H$2:$H$600,MATCH($H422&amp;"|"&amp;$I422&amp;"|"&amp;$J422&amp;"|"&amp;7,Assessments!$A$2:$A$600,0)),"")</f>
        <v/>
      </c>
      <c r="CB422" s="28" t="str">
        <f aca="false">IFERROR(INDEX(Assessments!$H$2:$H$600,MATCH($H422&amp;"|"&amp;$I422&amp;"|"&amp;$J422&amp;"|"&amp;8,Assessments!$A$2:$A$600,0)),"")</f>
        <v/>
      </c>
      <c r="CC422" s="28" t="str">
        <f aca="false">IFERROR(INDEX(Assessments!$H$2:$H$600,MATCH($H422&amp;"|"&amp;$I422&amp;"|"&amp;$J422&amp;"|"&amp;9,Assessments!$A$2:$A$600,0)),"")</f>
        <v/>
      </c>
      <c r="CD422" s="28" t="str">
        <f aca="false">IFERROR(INDEX(Assessments!$H$2:$H$600,MATCH($H422&amp;"|"&amp;$I422&amp;"|"&amp;$J422&amp;"|"&amp;10,Assessments!$A$2:$A$600,0)),"")</f>
        <v/>
      </c>
      <c r="CE422" s="28" t="str">
        <f aca="false">IFERROR(INDEX(Assessments!$H$2:$H$600,MATCH($H422&amp;"|"&amp;$I422&amp;"|"&amp;$J422&amp;"|"&amp;11,Assessments!$A$2:$A$600,0)),"")</f>
        <v/>
      </c>
      <c r="CF422" s="28" t="str">
        <f aca="false">IFERROR(INDEX(Assessments!$H$2:$H$600,MATCH($H422&amp;"|"&amp;$I422&amp;"|"&amp;$J422&amp;"|"&amp;12,Assessments!$A$2:$A$600,0)),"")</f>
        <v/>
      </c>
      <c r="CG422" s="28" t="str">
        <f aca="false">IFERROR(INDEX(Assessments!$H$2:$H$600,MATCH($H422&amp;"|"&amp;$I422&amp;"|"&amp;$J422&amp;"|"&amp;13,Assessments!$A$2:$A$600,0)),"")</f>
        <v/>
      </c>
      <c r="CH422" s="28" t="str">
        <f aca="false">IFERROR(INDEX(Assessments!$H$2:$H$600,MATCH($H422&amp;"|"&amp;$I422&amp;"|"&amp;$J422&amp;"|"&amp;14,Assessments!$A$2:$A$600,0)),"")</f>
        <v/>
      </c>
      <c r="CI422" s="28" t="str">
        <f aca="false">IFERROR(INDEX(Assessments!$I$2:$I$600,MATCH($H422&amp;"|"&amp;$I422&amp;"|"&amp;$J422&amp;"|"&amp;1,Assessments!$A$2:$A$600,0)),"")</f>
        <v/>
      </c>
      <c r="CJ422" s="28" t="str">
        <f aca="false">IFERROR(INDEX(Assessments!$I$2:$I$600,MATCH($H422&amp;"|"&amp;$I422&amp;"|"&amp;$J422&amp;"|"&amp;2,Assessments!$A$2:$A$600,0)),"")</f>
        <v/>
      </c>
      <c r="CK422" s="28" t="str">
        <f aca="false">IFERROR(INDEX(Assessments!$I$2:$I$600,MATCH($H422&amp;"|"&amp;$I422&amp;"|"&amp;$J422&amp;"|"&amp;3,Assessments!$A$2:$A$600,0)),"")</f>
        <v/>
      </c>
      <c r="CL422" s="28" t="str">
        <f aca="false">IFERROR(INDEX(Assessments!$I$2:$I$600,MATCH($H422&amp;"|"&amp;$I422&amp;"|"&amp;$J422&amp;"|"&amp;4,Assessments!$A$2:$A$600,0)),"")</f>
        <v/>
      </c>
      <c r="CM422" s="28" t="str">
        <f aca="false">IFERROR(INDEX(Assessments!$I$2:$I$600,MATCH($H422&amp;"|"&amp;$I422&amp;"|"&amp;$J422&amp;"|"&amp;5,Assessments!$A$2:$A$600,0)),"")</f>
        <v/>
      </c>
      <c r="CN422" s="28" t="str">
        <f aca="false">IFERROR(INDEX(Assessments!$I$2:$I$600,MATCH($H422&amp;"|"&amp;$I422&amp;"|"&amp;$J422&amp;"|"&amp;6,Assessments!$A$2:$A$600,0)),"")</f>
        <v/>
      </c>
      <c r="CO422" s="28" t="str">
        <f aca="false">IFERROR(INDEX(Assessments!$I$2:$I$600,MATCH($H422&amp;"|"&amp;$I422&amp;"|"&amp;$J422&amp;"|"&amp;7,Assessments!$A$2:$A$600,0)),"")</f>
        <v/>
      </c>
      <c r="CP422" s="28" t="str">
        <f aca="false">IFERROR(INDEX(Assessments!$I$2:$I$600,MATCH($H422&amp;"|"&amp;$I422&amp;"|"&amp;$J422&amp;"|"&amp;8,Assessments!$A$2:$A$600,0)),"")</f>
        <v/>
      </c>
      <c r="CQ422" s="28" t="str">
        <f aca="false">IFERROR(INDEX(Assessments!$I$2:$I$600,MATCH($H422&amp;"|"&amp;$I422&amp;"|"&amp;$J422&amp;"|"&amp;9,Assessments!$A$2:$A$600,0)),"")</f>
        <v/>
      </c>
      <c r="CR422" s="28" t="str">
        <f aca="false">IFERROR(INDEX(Assessments!$I$2:$I$600,MATCH($H422&amp;"|"&amp;$I422&amp;"|"&amp;$J422&amp;"|"&amp;10,Assessments!$A$2:$A$600,0)),"")</f>
        <v/>
      </c>
      <c r="CS422" s="28" t="str">
        <f aca="false">IFERROR(INDEX(Assessments!$I$2:$I$600,MATCH($H422&amp;"|"&amp;$I422&amp;"|"&amp;$J422&amp;"|"&amp;11,Assessments!$A$2:$A$600,0)),"")</f>
        <v/>
      </c>
      <c r="CT422" s="28" t="str">
        <f aca="false">IFERROR(INDEX(Assessments!$I$2:$I$600,MATCH($H422&amp;"|"&amp;$I422&amp;"|"&amp;$J422&amp;"|"&amp;12,Assessments!$A$2:$A$600,0)),"")</f>
        <v/>
      </c>
      <c r="CU422" s="28" t="str">
        <f aca="false">IFERROR(INDEX(Assessments!$I$2:$I$600,MATCH($H422&amp;"|"&amp;$I422&amp;"|"&amp;$J422&amp;"|"&amp;13,Assessments!$A$2:$A$600,0)),"")</f>
        <v/>
      </c>
      <c r="CV422" s="28" t="str">
        <f aca="false">IFERROR(INDEX(Assessments!$I$2:$I$600,MATCH($H422&amp;"|"&amp;$I422&amp;"|"&amp;$J422&amp;"|"&amp;14,Assessments!$A$2:$A$600,0)),"")</f>
        <v/>
      </c>
      <c r="CW422" s="28" t="n">
        <f aca="false">IFERROR(INDEX(Assessments!$J$2:$J$600,MATCH($H422&amp;"|"&amp;$I422&amp;"|"&amp;$J422&amp;"|"&amp;1,Assessments!$A$2:$A$600,0)),0)</f>
        <v>0</v>
      </c>
      <c r="CX422" s="28" t="n">
        <f aca="false">IFERROR(INDEX(Assessments!$J$2:$J$600,MATCH($H422&amp;"|"&amp;$I422&amp;"|"&amp;$J422&amp;"|"&amp;2,Assessments!$A$2:$A$600,0)),0)</f>
        <v>0</v>
      </c>
      <c r="CY422" s="28" t="n">
        <f aca="false">IFERROR(INDEX(Assessments!$J$2:$J$600,MATCH($H422&amp;"|"&amp;$I422&amp;"|"&amp;$J422&amp;"|"&amp;3,Assessments!$A$2:$A$600,0)),0)</f>
        <v>0</v>
      </c>
      <c r="CZ422" s="28" t="n">
        <f aca="false">IFERROR(INDEX(Assessments!$J$2:$J$600,MATCH($H422&amp;"|"&amp;$I422&amp;"|"&amp;$J422&amp;"|"&amp;4,Assessments!$A$2:$A$600,0)),0)</f>
        <v>0</v>
      </c>
      <c r="DA422" s="28" t="n">
        <f aca="false">IFERROR(INDEX(Assessments!$J$2:$J$600,MATCH($H422&amp;"|"&amp;$I422&amp;"|"&amp;$J422&amp;"|"&amp;5,Assessments!$A$2:$A$600,0)),0)</f>
        <v>0</v>
      </c>
      <c r="DB422" s="28" t="n">
        <f aca="false">IFERROR(INDEX(Assessments!$J$2:$J$600,MATCH($H422&amp;"|"&amp;$I422&amp;"|"&amp;$J422&amp;"|"&amp;6,Assessments!$A$2:$A$600,0)),0)</f>
        <v>0</v>
      </c>
      <c r="DC422" s="28" t="n">
        <f aca="false">IFERROR(INDEX(Assessments!$J$2:$J$600,MATCH($H422&amp;"|"&amp;$I422&amp;"|"&amp;$J422&amp;"|"&amp;7,Assessments!$A$2:$A$600,0)),0)</f>
        <v>0</v>
      </c>
      <c r="DD422" s="28" t="n">
        <f aca="false">IFERROR(INDEX(Assessments!$J$2:$J$600,MATCH($H422&amp;"|"&amp;$I422&amp;"|"&amp;$J422&amp;"|"&amp;8,Assessments!$A$2:$A$600,0)),0)</f>
        <v>0</v>
      </c>
      <c r="DE422" s="28" t="n">
        <f aca="false">IFERROR(INDEX(Assessments!$J$2:$J$600,MATCH($H422&amp;"|"&amp;$I422&amp;"|"&amp;$J422&amp;"|"&amp;9,Assessments!$A$2:$A$600,0)),0)</f>
        <v>0</v>
      </c>
      <c r="DF422" s="28" t="n">
        <f aca="false">IFERROR(INDEX(Assessments!$J$2:$J$600,MATCH($H422&amp;"|"&amp;$I422&amp;"|"&amp;$J422&amp;"|"&amp;10,Assessments!$A$2:$A$600,0)),0)</f>
        <v>0</v>
      </c>
      <c r="DG422" s="28" t="n">
        <f aca="false">IFERROR(INDEX(Assessments!$J$2:$J$600,MATCH($H422&amp;"|"&amp;$I422&amp;"|"&amp;$J422&amp;"|"&amp;11,Assessments!$A$2:$A$600,0)),0)</f>
        <v>0</v>
      </c>
      <c r="DH422" s="28" t="n">
        <f aca="false">IFERROR(INDEX(Assessments!$J$2:$J$600,MATCH($H422&amp;"|"&amp;$I422&amp;"|"&amp;$J422&amp;"|"&amp;12,Assessments!$A$2:$A$600,0)),0)</f>
        <v>0</v>
      </c>
      <c r="DI422" s="28" t="n">
        <f aca="false">IFERROR(INDEX(Assessments!$J$2:$J$600,MATCH($H422&amp;"|"&amp;$I422&amp;"|"&amp;$J422&amp;"|"&amp;13,Assessments!$A$2:$A$600,0)),0)</f>
        <v>0</v>
      </c>
      <c r="DJ422" s="28" t="n">
        <f aca="false">IFERROR(INDEX(Assessments!$J$2:$J$600,MATCH($H422&amp;"|"&amp;$I422&amp;"|"&amp;$J422&amp;"|"&amp;14,Assessments!$A$2:$A$600,0)),0)</f>
        <v>0</v>
      </c>
      <c r="DK422" s="28" t="str">
        <f aca="false">S422</f>
        <v/>
      </c>
      <c r="DL422" s="28" t="str">
        <f aca="false">W422</f>
        <v/>
      </c>
      <c r="DM422" s="28" t="str">
        <f aca="false">AA422</f>
        <v/>
      </c>
      <c r="DN422" s="28" t="str">
        <f aca="false">AE422</f>
        <v/>
      </c>
      <c r="DO422" s="28" t="str">
        <f aca="false">AI422</f>
        <v/>
      </c>
      <c r="DP422" s="28" t="str">
        <f aca="false">AM422</f>
        <v/>
      </c>
      <c r="DQ422" s="28" t="str">
        <f aca="false">AQ422</f>
        <v/>
      </c>
      <c r="DR422" s="28" t="str">
        <f aca="false">AU422</f>
        <v/>
      </c>
      <c r="DS422" s="28" t="str">
        <f aca="false">AY422</f>
        <v/>
      </c>
      <c r="DT422" s="28" t="str">
        <f aca="false">BC422</f>
        <v/>
      </c>
      <c r="DU422" s="28" t="str">
        <f aca="false">BG422</f>
        <v/>
      </c>
      <c r="DV422" s="28" t="str">
        <f aca="false">BK422</f>
        <v/>
      </c>
      <c r="DW422" s="28" t="str">
        <f aca="false">BO422</f>
        <v/>
      </c>
      <c r="DX422" s="28" t="str">
        <f aca="false">BS422</f>
        <v/>
      </c>
      <c r="DY422" s="28" t="str">
        <f aca="false">IF(ISNUMBER(S422),1,"")</f>
        <v/>
      </c>
      <c r="DZ422" s="28" t="str">
        <f aca="false">IF(ISNUMBER(W422),2,"")</f>
        <v/>
      </c>
      <c r="EA422" s="28" t="str">
        <f aca="false">IF(ISNUMBER(AA422),3,"")</f>
        <v/>
      </c>
      <c r="EB422" s="28" t="str">
        <f aca="false">IF(ISNUMBER(AE422),4,"")</f>
        <v/>
      </c>
      <c r="EC422" s="28" t="str">
        <f aca="false">IF(ISNUMBER(AI422),5,"")</f>
        <v/>
      </c>
      <c r="ED422" s="28" t="str">
        <f aca="false">IF(ISNUMBER(AM422),6,"")</f>
        <v/>
      </c>
      <c r="EE422" s="28" t="str">
        <f aca="false">IF(ISNUMBER(AQ422),7,"")</f>
        <v/>
      </c>
      <c r="EF422" s="28" t="str">
        <f aca="false">IF(ISNUMBER(AU422),8,"")</f>
        <v/>
      </c>
      <c r="EG422" s="28" t="str">
        <f aca="false">IF(ISNUMBER(AY422),9,"")</f>
        <v/>
      </c>
      <c r="EH422" s="28" t="str">
        <f aca="false">IF(ISNUMBER(BC422),10,"")</f>
        <v/>
      </c>
      <c r="EI422" s="28" t="str">
        <f aca="false">IF(ISNUMBER(BG422),11,"")</f>
        <v/>
      </c>
      <c r="EJ422" s="28" t="str">
        <f aca="false">IF(ISNUMBER(BK422),12,"")</f>
        <v/>
      </c>
      <c r="EK422" s="28" t="str">
        <f aca="false">IF(ISNUMBER(BO422),13,"")</f>
        <v/>
      </c>
      <c r="EL422" s="28" t="str">
        <f aca="false">IF(ISNUMBER(BS422),14,"")</f>
        <v/>
      </c>
      <c r="EM422" s="28" t="n">
        <f aca="false">IF(ISNUMBER(R422),R422*CW422,0)</f>
        <v>0</v>
      </c>
      <c r="EN422" s="28" t="n">
        <f aca="false">IF(ISNUMBER(V422),V422*CX422,0)</f>
        <v>0</v>
      </c>
      <c r="EO422" s="28" t="n">
        <f aca="false">IF(ISNUMBER(Z422),Z422*CY422,0)</f>
        <v>0</v>
      </c>
      <c r="EP422" s="28" t="n">
        <f aca="false">IF(ISNUMBER(AD422),AD422*CZ422,0)</f>
        <v>0</v>
      </c>
      <c r="EQ422" s="28" t="n">
        <f aca="false">IF(ISNUMBER(AH422),AH422*DA422,0)</f>
        <v>0</v>
      </c>
      <c r="ER422" s="28" t="n">
        <f aca="false">IF(ISNUMBER(AL422),AL422*DB422,0)</f>
        <v>0</v>
      </c>
      <c r="ES422" s="28" t="n">
        <f aca="false">IF(ISNUMBER(AP422),AP422*DC422,0)</f>
        <v>0</v>
      </c>
      <c r="ET422" s="28" t="n">
        <f aca="false">IF(ISNUMBER(AT422),AT422*DD422,0)</f>
        <v>0</v>
      </c>
      <c r="EU422" s="28" t="n">
        <f aca="false">IF(ISNUMBER(AX422),AX422*DE422,0)</f>
        <v>0</v>
      </c>
      <c r="EV422" s="28" t="n">
        <f aca="false">IF(ISNUMBER(BB422),BB422*DF422,0)</f>
        <v>0</v>
      </c>
      <c r="EW422" s="28" t="n">
        <f aca="false">IF(ISNUMBER(BF422),BF422*DG422,0)</f>
        <v>0</v>
      </c>
      <c r="EX422" s="28" t="n">
        <f aca="false">IF(ISNUMBER(BJ422),BJ422*DH422,0)</f>
        <v>0</v>
      </c>
      <c r="EY422" s="28" t="n">
        <f aca="false">IF(ISNUMBER(BN422),BN422*DI422,0)</f>
        <v>0</v>
      </c>
      <c r="EZ422" s="28" t="n">
        <f aca="false">IF(ISNUMBER(BR422),BR422*DJ422,0)</f>
        <v>0</v>
      </c>
      <c r="FA422" s="28" t="n">
        <f aca="false">IF(ISNUMBER(R422),CW422,0)</f>
        <v>0</v>
      </c>
      <c r="FB422" s="28" t="n">
        <f aca="false">IF(ISNUMBER(V422),CX422,0)</f>
        <v>0</v>
      </c>
      <c r="FC422" s="28" t="n">
        <f aca="false">IF(ISNUMBER(Z422),CY422,0)</f>
        <v>0</v>
      </c>
      <c r="FD422" s="28" t="n">
        <f aca="false">IF(ISNUMBER(AD422),CZ422,0)</f>
        <v>0</v>
      </c>
      <c r="FE422" s="28" t="n">
        <f aca="false">IF(ISNUMBER(AH422),DA422,0)</f>
        <v>0</v>
      </c>
      <c r="FF422" s="28" t="n">
        <f aca="false">IF(ISNUMBER(AL422),DB422,0)</f>
        <v>0</v>
      </c>
      <c r="FG422" s="28" t="n">
        <f aca="false">IF(ISNUMBER(AP422),DC422,0)</f>
        <v>0</v>
      </c>
      <c r="FH422" s="28" t="n">
        <f aca="false">IF(ISNUMBER(AT422),DD422,0)</f>
        <v>0</v>
      </c>
      <c r="FI422" s="28" t="n">
        <f aca="false">IF(ISNUMBER(AX422),DE422,0)</f>
        <v>0</v>
      </c>
      <c r="FJ422" s="28" t="n">
        <f aca="false">IF(ISNUMBER(BB422),DF422,0)</f>
        <v>0</v>
      </c>
      <c r="FK422" s="28" t="n">
        <f aca="false">IF(ISNUMBER(BF422),DG422,0)</f>
        <v>0</v>
      </c>
      <c r="FL422" s="28" t="n">
        <f aca="false">IF(ISNUMBER(BJ422),DH422,0)</f>
        <v>0</v>
      </c>
      <c r="FM422" s="28" t="n">
        <f aca="false">IF(ISNUMBER(BN422),DI422,0)</f>
        <v>0</v>
      </c>
      <c r="FN422" s="28" t="n">
        <f aca="false">IF(ISNUMBER(BR422),DJ422,0)</f>
        <v>0</v>
      </c>
      <c r="FO422" s="28" t="str">
        <f aca="false">IFERROR(INDEX(Lists!$G$2:$G$20,MATCH($I422&amp;"|"&amp;$J422,Lists!$F$2:$F$20,0)),"")</f>
        <v/>
      </c>
    </row>
    <row r="423" customFormat="false" ht="19.5" hidden="false" customHeight="true" outlineLevel="0" collapsed="false">
      <c r="A423" s="29"/>
      <c r="B423" s="29"/>
      <c r="C423" s="30"/>
      <c r="D423" s="30"/>
      <c r="E423" s="31"/>
      <c r="F423" s="30"/>
      <c r="G423" s="30"/>
      <c r="H423" s="32"/>
      <c r="I423" s="33"/>
      <c r="J423" s="32"/>
      <c r="K423" s="34" t="str">
        <f aca="false">IF(OR(M423="",$E423=""),"",M423-$E423)</f>
        <v/>
      </c>
      <c r="L423" s="35" t="str">
        <f aca="false">IF(SUM(FA423:FN423)=0,"",SUM(EM423:EZ423)/SUM(FA423:FN423))</f>
        <v/>
      </c>
      <c r="M423" s="36" t="str">
        <f aca="false">IF(OR(L423="",FO423=""),"",IFERROR(MATCH(L423,INDEX(Boundaries!$B$2:$I$30,MATCH(FO423,Boundaries!$A$2:$A$30,0),0),1)-1,""))</f>
        <v/>
      </c>
      <c r="N423" s="37" t="str">
        <f aca="false">IF(COUNT($DY423:$EL423)&lt;2,"",INDEX($DK423:$DX423,MAX($DY423:$EL423))-INDEX($DK423:$DX423,MIN($DY423:$EL423)))</f>
        <v/>
      </c>
      <c r="O423" s="37" t="str">
        <f aca="false">IF(COUNT($DY423:$EL423)&lt;2,"",INDEX($DK423:$DX423,MAX($DY423:$EL423))-INDEX($DK423:$DX423,LARGE($DY423:$EL423,2)))</f>
        <v/>
      </c>
      <c r="P423" s="38" t="str">
        <f aca="false">IF(K423="","",IF(K423&gt;=0,"On/above target",IF(AND(N423&lt;&gt;"",N423&gt;=0.5),"Improving towards target",IF(AND(O423&lt;&gt;"",O423&lt;=-0.5),"Declining","Stable below target"))))</f>
        <v/>
      </c>
      <c r="Q423" s="39"/>
      <c r="R423" s="40" t="str">
        <f aca="false">IF(OR(Q423="",BU423=""),"",Q423/BU423*100)</f>
        <v/>
      </c>
      <c r="S423" s="41" t="str">
        <f aca="false">IF(R423="","",IFERROR(MATCH(R423,INDEX(Boundaries!$B$2:$I$30,MATCH(CI423,Boundaries!$A$2:$A$30,0),0),1)-1,""))</f>
        <v/>
      </c>
      <c r="T423" s="42" t="str">
        <f aca="false">IF(OR(S423="",$E423=""),"",S423-$E423)</f>
        <v/>
      </c>
      <c r="U423" s="39"/>
      <c r="V423" s="40" t="str">
        <f aca="false">IF(OR(U423="",BV423=""),"",U423/BV423*100)</f>
        <v/>
      </c>
      <c r="W423" s="41" t="str">
        <f aca="false">IF(V423="","",IFERROR(MATCH(V423,INDEX(Boundaries!$B$2:$I$30,MATCH(CJ423,Boundaries!$A$2:$A$30,0),0),1)-1,""))</f>
        <v/>
      </c>
      <c r="X423" s="42" t="str">
        <f aca="false">IF(OR(W423="",$E423=""),"",W423-$E423)</f>
        <v/>
      </c>
      <c r="Y423" s="39"/>
      <c r="Z423" s="40" t="str">
        <f aca="false">IF(OR(Y423="",BW423=""),"",Y423/BW423*100)</f>
        <v/>
      </c>
      <c r="AA423" s="41" t="str">
        <f aca="false">IF(Z423="","",IFERROR(MATCH(Z423,INDEX(Boundaries!$B$2:$I$30,MATCH(CK423,Boundaries!$A$2:$A$30,0),0),1)-1,""))</f>
        <v/>
      </c>
      <c r="AB423" s="42" t="str">
        <f aca="false">IF(OR(AA423="",$E423=""),"",AA423-$E423)</f>
        <v/>
      </c>
      <c r="AC423" s="39"/>
      <c r="AD423" s="40" t="str">
        <f aca="false">IF(OR(AC423="",BX423=""),"",AC423/BX423*100)</f>
        <v/>
      </c>
      <c r="AE423" s="41" t="str">
        <f aca="false">IF(AD423="","",IFERROR(MATCH(AD423,INDEX(Boundaries!$B$2:$I$30,MATCH(CL423,Boundaries!$A$2:$A$30,0),0),1)-1,""))</f>
        <v/>
      </c>
      <c r="AF423" s="42" t="str">
        <f aca="false">IF(OR(AE423="",$E423=""),"",AE423-$E423)</f>
        <v/>
      </c>
      <c r="AG423" s="39"/>
      <c r="AH423" s="40" t="str">
        <f aca="false">IF(OR(AG423="",BY423=""),"",AG423/BY423*100)</f>
        <v/>
      </c>
      <c r="AI423" s="41" t="str">
        <f aca="false">IF(AH423="","",IFERROR(MATCH(AH423,INDEX(Boundaries!$B$2:$I$30,MATCH(CM423,Boundaries!$A$2:$A$30,0),0),1)-1,""))</f>
        <v/>
      </c>
      <c r="AJ423" s="42" t="str">
        <f aca="false">IF(OR(AI423="",$E423=""),"",AI423-$E423)</f>
        <v/>
      </c>
      <c r="AK423" s="39"/>
      <c r="AL423" s="40" t="str">
        <f aca="false">IF(OR(AK423="",BZ423=""),"",AK423/BZ423*100)</f>
        <v/>
      </c>
      <c r="AM423" s="41" t="str">
        <f aca="false">IF(AL423="","",IFERROR(MATCH(AL423,INDEX(Boundaries!$B$2:$I$30,MATCH(CN423,Boundaries!$A$2:$A$30,0),0),1)-1,""))</f>
        <v/>
      </c>
      <c r="AN423" s="42" t="str">
        <f aca="false">IF(OR(AM423="",$E423=""),"",AM423-$E423)</f>
        <v/>
      </c>
      <c r="AO423" s="39"/>
      <c r="AP423" s="40" t="str">
        <f aca="false">IF(OR(AO423="",CA423=""),"",AO423/CA423*100)</f>
        <v/>
      </c>
      <c r="AQ423" s="41" t="str">
        <f aca="false">IF(AP423="","",IFERROR(MATCH(AP423,INDEX(Boundaries!$B$2:$I$30,MATCH(CO423,Boundaries!$A$2:$A$30,0),0),1)-1,""))</f>
        <v/>
      </c>
      <c r="AR423" s="42" t="str">
        <f aca="false">IF(OR(AQ423="",$E423=""),"",AQ423-$E423)</f>
        <v/>
      </c>
      <c r="AS423" s="39"/>
      <c r="AT423" s="40" t="str">
        <f aca="false">IF(OR(AS423="",CB423=""),"",AS423/CB423*100)</f>
        <v/>
      </c>
      <c r="AU423" s="41" t="str">
        <f aca="false">IF(AT423="","",IFERROR(MATCH(AT423,INDEX(Boundaries!$B$2:$I$30,MATCH(CP423,Boundaries!$A$2:$A$30,0),0),1)-1,""))</f>
        <v/>
      </c>
      <c r="AV423" s="42" t="str">
        <f aca="false">IF(OR(AU423="",$E423=""),"",AU423-$E423)</f>
        <v/>
      </c>
      <c r="AW423" s="39"/>
      <c r="AX423" s="40" t="str">
        <f aca="false">IF(OR(AW423="",CC423=""),"",AW423/CC423*100)</f>
        <v/>
      </c>
      <c r="AY423" s="41" t="str">
        <f aca="false">IF(AX423="","",IFERROR(MATCH(AX423,INDEX(Boundaries!$B$2:$I$30,MATCH(CQ423,Boundaries!$A$2:$A$30,0),0),1)-1,""))</f>
        <v/>
      </c>
      <c r="AZ423" s="42" t="str">
        <f aca="false">IF(OR(AY423="",$E423=""),"",AY423-$E423)</f>
        <v/>
      </c>
      <c r="BA423" s="39"/>
      <c r="BB423" s="40" t="str">
        <f aca="false">IF(OR(BA423="",CD423=""),"",BA423/CD423*100)</f>
        <v/>
      </c>
      <c r="BC423" s="41" t="str">
        <f aca="false">IF(BB423="","",IFERROR(MATCH(BB423,INDEX(Boundaries!$B$2:$I$30,MATCH(CR423,Boundaries!$A$2:$A$30,0),0),1)-1,""))</f>
        <v/>
      </c>
      <c r="BD423" s="42" t="str">
        <f aca="false">IF(OR(BC423="",$E423=""),"",BC423-$E423)</f>
        <v/>
      </c>
      <c r="BE423" s="39"/>
      <c r="BF423" s="40" t="str">
        <f aca="false">IF(OR(BE423="",CE423=""),"",BE423/CE423*100)</f>
        <v/>
      </c>
      <c r="BG423" s="41" t="str">
        <f aca="false">IF(BF423="","",IFERROR(MATCH(BF423,INDEX(Boundaries!$B$2:$I$30,MATCH(CS423,Boundaries!$A$2:$A$30,0),0),1)-1,""))</f>
        <v/>
      </c>
      <c r="BH423" s="42" t="str">
        <f aca="false">IF(OR(BG423="",$E423=""),"",BG423-$E423)</f>
        <v/>
      </c>
      <c r="BI423" s="39"/>
      <c r="BJ423" s="40" t="str">
        <f aca="false">IF(OR(BI423="",CF423=""),"",BI423/CF423*100)</f>
        <v/>
      </c>
      <c r="BK423" s="41" t="str">
        <f aca="false">IF(BJ423="","",IFERROR(MATCH(BJ423,INDEX(Boundaries!$B$2:$I$30,MATCH(CT423,Boundaries!$A$2:$A$30,0),0),1)-1,""))</f>
        <v/>
      </c>
      <c r="BL423" s="42" t="str">
        <f aca="false">IF(OR(BK423="",$E423=""),"",BK423-$E423)</f>
        <v/>
      </c>
      <c r="BM423" s="39"/>
      <c r="BN423" s="40" t="str">
        <f aca="false">IF(OR(BM423="",CG423=""),"",BM423/CG423*100)</f>
        <v/>
      </c>
      <c r="BO423" s="41" t="str">
        <f aca="false">IF(BN423="","",IFERROR(MATCH(BN423,INDEX(Boundaries!$B$2:$I$30,MATCH(CU423,Boundaries!$A$2:$A$30,0),0),1)-1,""))</f>
        <v/>
      </c>
      <c r="BP423" s="42" t="str">
        <f aca="false">IF(OR(BO423="",$E423=""),"",BO423-$E423)</f>
        <v/>
      </c>
      <c r="BQ423" s="39"/>
      <c r="BR423" s="40" t="str">
        <f aca="false">IF(OR(BQ423="",CH423=""),"",BQ423/CH423*100)</f>
        <v/>
      </c>
      <c r="BS423" s="41" t="str">
        <f aca="false">IF(BR423="","",IFERROR(MATCH(BR423,INDEX(Boundaries!$B$2:$I$30,MATCH(CV423,Boundaries!$A$2:$A$30,0),0),1)-1,""))</f>
        <v/>
      </c>
      <c r="BT423" s="42" t="str">
        <f aca="false">IF(OR(BS423="",$E423=""),"",BS423-$E423)</f>
        <v/>
      </c>
      <c r="BU423" s="28" t="str">
        <f aca="false">IFERROR(INDEX(Assessments!$H$2:$H$600,MATCH($H423&amp;"|"&amp;$I423&amp;"|"&amp;$J423&amp;"|"&amp;1,Assessments!$A$2:$A$600,0)),"")</f>
        <v/>
      </c>
      <c r="BV423" s="28" t="str">
        <f aca="false">IFERROR(INDEX(Assessments!$H$2:$H$600,MATCH($H423&amp;"|"&amp;$I423&amp;"|"&amp;$J423&amp;"|"&amp;2,Assessments!$A$2:$A$600,0)),"")</f>
        <v/>
      </c>
      <c r="BW423" s="28" t="str">
        <f aca="false">IFERROR(INDEX(Assessments!$H$2:$H$600,MATCH($H423&amp;"|"&amp;$I423&amp;"|"&amp;$J423&amp;"|"&amp;3,Assessments!$A$2:$A$600,0)),"")</f>
        <v/>
      </c>
      <c r="BX423" s="28" t="str">
        <f aca="false">IFERROR(INDEX(Assessments!$H$2:$H$600,MATCH($H423&amp;"|"&amp;$I423&amp;"|"&amp;$J423&amp;"|"&amp;4,Assessments!$A$2:$A$600,0)),"")</f>
        <v/>
      </c>
      <c r="BY423" s="28" t="str">
        <f aca="false">IFERROR(INDEX(Assessments!$H$2:$H$600,MATCH($H423&amp;"|"&amp;$I423&amp;"|"&amp;$J423&amp;"|"&amp;5,Assessments!$A$2:$A$600,0)),"")</f>
        <v/>
      </c>
      <c r="BZ423" s="28" t="str">
        <f aca="false">IFERROR(INDEX(Assessments!$H$2:$H$600,MATCH($H423&amp;"|"&amp;$I423&amp;"|"&amp;$J423&amp;"|"&amp;6,Assessments!$A$2:$A$600,0)),"")</f>
        <v/>
      </c>
      <c r="CA423" s="28" t="str">
        <f aca="false">IFERROR(INDEX(Assessments!$H$2:$H$600,MATCH($H423&amp;"|"&amp;$I423&amp;"|"&amp;$J423&amp;"|"&amp;7,Assessments!$A$2:$A$600,0)),"")</f>
        <v/>
      </c>
      <c r="CB423" s="28" t="str">
        <f aca="false">IFERROR(INDEX(Assessments!$H$2:$H$600,MATCH($H423&amp;"|"&amp;$I423&amp;"|"&amp;$J423&amp;"|"&amp;8,Assessments!$A$2:$A$600,0)),"")</f>
        <v/>
      </c>
      <c r="CC423" s="28" t="str">
        <f aca="false">IFERROR(INDEX(Assessments!$H$2:$H$600,MATCH($H423&amp;"|"&amp;$I423&amp;"|"&amp;$J423&amp;"|"&amp;9,Assessments!$A$2:$A$600,0)),"")</f>
        <v/>
      </c>
      <c r="CD423" s="28" t="str">
        <f aca="false">IFERROR(INDEX(Assessments!$H$2:$H$600,MATCH($H423&amp;"|"&amp;$I423&amp;"|"&amp;$J423&amp;"|"&amp;10,Assessments!$A$2:$A$600,0)),"")</f>
        <v/>
      </c>
      <c r="CE423" s="28" t="str">
        <f aca="false">IFERROR(INDEX(Assessments!$H$2:$H$600,MATCH($H423&amp;"|"&amp;$I423&amp;"|"&amp;$J423&amp;"|"&amp;11,Assessments!$A$2:$A$600,0)),"")</f>
        <v/>
      </c>
      <c r="CF423" s="28" t="str">
        <f aca="false">IFERROR(INDEX(Assessments!$H$2:$H$600,MATCH($H423&amp;"|"&amp;$I423&amp;"|"&amp;$J423&amp;"|"&amp;12,Assessments!$A$2:$A$600,0)),"")</f>
        <v/>
      </c>
      <c r="CG423" s="28" t="str">
        <f aca="false">IFERROR(INDEX(Assessments!$H$2:$H$600,MATCH($H423&amp;"|"&amp;$I423&amp;"|"&amp;$J423&amp;"|"&amp;13,Assessments!$A$2:$A$600,0)),"")</f>
        <v/>
      </c>
      <c r="CH423" s="28" t="str">
        <f aca="false">IFERROR(INDEX(Assessments!$H$2:$H$600,MATCH($H423&amp;"|"&amp;$I423&amp;"|"&amp;$J423&amp;"|"&amp;14,Assessments!$A$2:$A$600,0)),"")</f>
        <v/>
      </c>
      <c r="CI423" s="28" t="str">
        <f aca="false">IFERROR(INDEX(Assessments!$I$2:$I$600,MATCH($H423&amp;"|"&amp;$I423&amp;"|"&amp;$J423&amp;"|"&amp;1,Assessments!$A$2:$A$600,0)),"")</f>
        <v/>
      </c>
      <c r="CJ423" s="28" t="str">
        <f aca="false">IFERROR(INDEX(Assessments!$I$2:$I$600,MATCH($H423&amp;"|"&amp;$I423&amp;"|"&amp;$J423&amp;"|"&amp;2,Assessments!$A$2:$A$600,0)),"")</f>
        <v/>
      </c>
      <c r="CK423" s="28" t="str">
        <f aca="false">IFERROR(INDEX(Assessments!$I$2:$I$600,MATCH($H423&amp;"|"&amp;$I423&amp;"|"&amp;$J423&amp;"|"&amp;3,Assessments!$A$2:$A$600,0)),"")</f>
        <v/>
      </c>
      <c r="CL423" s="28" t="str">
        <f aca="false">IFERROR(INDEX(Assessments!$I$2:$I$600,MATCH($H423&amp;"|"&amp;$I423&amp;"|"&amp;$J423&amp;"|"&amp;4,Assessments!$A$2:$A$600,0)),"")</f>
        <v/>
      </c>
      <c r="CM423" s="28" t="str">
        <f aca="false">IFERROR(INDEX(Assessments!$I$2:$I$600,MATCH($H423&amp;"|"&amp;$I423&amp;"|"&amp;$J423&amp;"|"&amp;5,Assessments!$A$2:$A$600,0)),"")</f>
        <v/>
      </c>
      <c r="CN423" s="28" t="str">
        <f aca="false">IFERROR(INDEX(Assessments!$I$2:$I$600,MATCH($H423&amp;"|"&amp;$I423&amp;"|"&amp;$J423&amp;"|"&amp;6,Assessments!$A$2:$A$600,0)),"")</f>
        <v/>
      </c>
      <c r="CO423" s="28" t="str">
        <f aca="false">IFERROR(INDEX(Assessments!$I$2:$I$600,MATCH($H423&amp;"|"&amp;$I423&amp;"|"&amp;$J423&amp;"|"&amp;7,Assessments!$A$2:$A$600,0)),"")</f>
        <v/>
      </c>
      <c r="CP423" s="28" t="str">
        <f aca="false">IFERROR(INDEX(Assessments!$I$2:$I$600,MATCH($H423&amp;"|"&amp;$I423&amp;"|"&amp;$J423&amp;"|"&amp;8,Assessments!$A$2:$A$600,0)),"")</f>
        <v/>
      </c>
      <c r="CQ423" s="28" t="str">
        <f aca="false">IFERROR(INDEX(Assessments!$I$2:$I$600,MATCH($H423&amp;"|"&amp;$I423&amp;"|"&amp;$J423&amp;"|"&amp;9,Assessments!$A$2:$A$600,0)),"")</f>
        <v/>
      </c>
      <c r="CR423" s="28" t="str">
        <f aca="false">IFERROR(INDEX(Assessments!$I$2:$I$600,MATCH($H423&amp;"|"&amp;$I423&amp;"|"&amp;$J423&amp;"|"&amp;10,Assessments!$A$2:$A$600,0)),"")</f>
        <v/>
      </c>
      <c r="CS423" s="28" t="str">
        <f aca="false">IFERROR(INDEX(Assessments!$I$2:$I$600,MATCH($H423&amp;"|"&amp;$I423&amp;"|"&amp;$J423&amp;"|"&amp;11,Assessments!$A$2:$A$600,0)),"")</f>
        <v/>
      </c>
      <c r="CT423" s="28" t="str">
        <f aca="false">IFERROR(INDEX(Assessments!$I$2:$I$600,MATCH($H423&amp;"|"&amp;$I423&amp;"|"&amp;$J423&amp;"|"&amp;12,Assessments!$A$2:$A$600,0)),"")</f>
        <v/>
      </c>
      <c r="CU423" s="28" t="str">
        <f aca="false">IFERROR(INDEX(Assessments!$I$2:$I$600,MATCH($H423&amp;"|"&amp;$I423&amp;"|"&amp;$J423&amp;"|"&amp;13,Assessments!$A$2:$A$600,0)),"")</f>
        <v/>
      </c>
      <c r="CV423" s="28" t="str">
        <f aca="false">IFERROR(INDEX(Assessments!$I$2:$I$600,MATCH($H423&amp;"|"&amp;$I423&amp;"|"&amp;$J423&amp;"|"&amp;14,Assessments!$A$2:$A$600,0)),"")</f>
        <v/>
      </c>
      <c r="CW423" s="28" t="n">
        <f aca="false">IFERROR(INDEX(Assessments!$J$2:$J$600,MATCH($H423&amp;"|"&amp;$I423&amp;"|"&amp;$J423&amp;"|"&amp;1,Assessments!$A$2:$A$600,0)),0)</f>
        <v>0</v>
      </c>
      <c r="CX423" s="28" t="n">
        <f aca="false">IFERROR(INDEX(Assessments!$J$2:$J$600,MATCH($H423&amp;"|"&amp;$I423&amp;"|"&amp;$J423&amp;"|"&amp;2,Assessments!$A$2:$A$600,0)),0)</f>
        <v>0</v>
      </c>
      <c r="CY423" s="28" t="n">
        <f aca="false">IFERROR(INDEX(Assessments!$J$2:$J$600,MATCH($H423&amp;"|"&amp;$I423&amp;"|"&amp;$J423&amp;"|"&amp;3,Assessments!$A$2:$A$600,0)),0)</f>
        <v>0</v>
      </c>
      <c r="CZ423" s="28" t="n">
        <f aca="false">IFERROR(INDEX(Assessments!$J$2:$J$600,MATCH($H423&amp;"|"&amp;$I423&amp;"|"&amp;$J423&amp;"|"&amp;4,Assessments!$A$2:$A$600,0)),0)</f>
        <v>0</v>
      </c>
      <c r="DA423" s="28" t="n">
        <f aca="false">IFERROR(INDEX(Assessments!$J$2:$J$600,MATCH($H423&amp;"|"&amp;$I423&amp;"|"&amp;$J423&amp;"|"&amp;5,Assessments!$A$2:$A$600,0)),0)</f>
        <v>0</v>
      </c>
      <c r="DB423" s="28" t="n">
        <f aca="false">IFERROR(INDEX(Assessments!$J$2:$J$600,MATCH($H423&amp;"|"&amp;$I423&amp;"|"&amp;$J423&amp;"|"&amp;6,Assessments!$A$2:$A$600,0)),0)</f>
        <v>0</v>
      </c>
      <c r="DC423" s="28" t="n">
        <f aca="false">IFERROR(INDEX(Assessments!$J$2:$J$600,MATCH($H423&amp;"|"&amp;$I423&amp;"|"&amp;$J423&amp;"|"&amp;7,Assessments!$A$2:$A$600,0)),0)</f>
        <v>0</v>
      </c>
      <c r="DD423" s="28" t="n">
        <f aca="false">IFERROR(INDEX(Assessments!$J$2:$J$600,MATCH($H423&amp;"|"&amp;$I423&amp;"|"&amp;$J423&amp;"|"&amp;8,Assessments!$A$2:$A$600,0)),0)</f>
        <v>0</v>
      </c>
      <c r="DE423" s="28" t="n">
        <f aca="false">IFERROR(INDEX(Assessments!$J$2:$J$600,MATCH($H423&amp;"|"&amp;$I423&amp;"|"&amp;$J423&amp;"|"&amp;9,Assessments!$A$2:$A$600,0)),0)</f>
        <v>0</v>
      </c>
      <c r="DF423" s="28" t="n">
        <f aca="false">IFERROR(INDEX(Assessments!$J$2:$J$600,MATCH($H423&amp;"|"&amp;$I423&amp;"|"&amp;$J423&amp;"|"&amp;10,Assessments!$A$2:$A$600,0)),0)</f>
        <v>0</v>
      </c>
      <c r="DG423" s="28" t="n">
        <f aca="false">IFERROR(INDEX(Assessments!$J$2:$J$600,MATCH($H423&amp;"|"&amp;$I423&amp;"|"&amp;$J423&amp;"|"&amp;11,Assessments!$A$2:$A$600,0)),0)</f>
        <v>0</v>
      </c>
      <c r="DH423" s="28" t="n">
        <f aca="false">IFERROR(INDEX(Assessments!$J$2:$J$600,MATCH($H423&amp;"|"&amp;$I423&amp;"|"&amp;$J423&amp;"|"&amp;12,Assessments!$A$2:$A$600,0)),0)</f>
        <v>0</v>
      </c>
      <c r="DI423" s="28" t="n">
        <f aca="false">IFERROR(INDEX(Assessments!$J$2:$J$600,MATCH($H423&amp;"|"&amp;$I423&amp;"|"&amp;$J423&amp;"|"&amp;13,Assessments!$A$2:$A$600,0)),0)</f>
        <v>0</v>
      </c>
      <c r="DJ423" s="28" t="n">
        <f aca="false">IFERROR(INDEX(Assessments!$J$2:$J$600,MATCH($H423&amp;"|"&amp;$I423&amp;"|"&amp;$J423&amp;"|"&amp;14,Assessments!$A$2:$A$600,0)),0)</f>
        <v>0</v>
      </c>
      <c r="DK423" s="28" t="str">
        <f aca="false">S423</f>
        <v/>
      </c>
      <c r="DL423" s="28" t="str">
        <f aca="false">W423</f>
        <v/>
      </c>
      <c r="DM423" s="28" t="str">
        <f aca="false">AA423</f>
        <v/>
      </c>
      <c r="DN423" s="28" t="str">
        <f aca="false">AE423</f>
        <v/>
      </c>
      <c r="DO423" s="28" t="str">
        <f aca="false">AI423</f>
        <v/>
      </c>
      <c r="DP423" s="28" t="str">
        <f aca="false">AM423</f>
        <v/>
      </c>
      <c r="DQ423" s="28" t="str">
        <f aca="false">AQ423</f>
        <v/>
      </c>
      <c r="DR423" s="28" t="str">
        <f aca="false">AU423</f>
        <v/>
      </c>
      <c r="DS423" s="28" t="str">
        <f aca="false">AY423</f>
        <v/>
      </c>
      <c r="DT423" s="28" t="str">
        <f aca="false">BC423</f>
        <v/>
      </c>
      <c r="DU423" s="28" t="str">
        <f aca="false">BG423</f>
        <v/>
      </c>
      <c r="DV423" s="28" t="str">
        <f aca="false">BK423</f>
        <v/>
      </c>
      <c r="DW423" s="28" t="str">
        <f aca="false">BO423</f>
        <v/>
      </c>
      <c r="DX423" s="28" t="str">
        <f aca="false">BS423</f>
        <v/>
      </c>
      <c r="DY423" s="28" t="str">
        <f aca="false">IF(ISNUMBER(S423),1,"")</f>
        <v/>
      </c>
      <c r="DZ423" s="28" t="str">
        <f aca="false">IF(ISNUMBER(W423),2,"")</f>
        <v/>
      </c>
      <c r="EA423" s="28" t="str">
        <f aca="false">IF(ISNUMBER(AA423),3,"")</f>
        <v/>
      </c>
      <c r="EB423" s="28" t="str">
        <f aca="false">IF(ISNUMBER(AE423),4,"")</f>
        <v/>
      </c>
      <c r="EC423" s="28" t="str">
        <f aca="false">IF(ISNUMBER(AI423),5,"")</f>
        <v/>
      </c>
      <c r="ED423" s="28" t="str">
        <f aca="false">IF(ISNUMBER(AM423),6,"")</f>
        <v/>
      </c>
      <c r="EE423" s="28" t="str">
        <f aca="false">IF(ISNUMBER(AQ423),7,"")</f>
        <v/>
      </c>
      <c r="EF423" s="28" t="str">
        <f aca="false">IF(ISNUMBER(AU423),8,"")</f>
        <v/>
      </c>
      <c r="EG423" s="28" t="str">
        <f aca="false">IF(ISNUMBER(AY423),9,"")</f>
        <v/>
      </c>
      <c r="EH423" s="28" t="str">
        <f aca="false">IF(ISNUMBER(BC423),10,"")</f>
        <v/>
      </c>
      <c r="EI423" s="28" t="str">
        <f aca="false">IF(ISNUMBER(BG423),11,"")</f>
        <v/>
      </c>
      <c r="EJ423" s="28" t="str">
        <f aca="false">IF(ISNUMBER(BK423),12,"")</f>
        <v/>
      </c>
      <c r="EK423" s="28" t="str">
        <f aca="false">IF(ISNUMBER(BO423),13,"")</f>
        <v/>
      </c>
      <c r="EL423" s="28" t="str">
        <f aca="false">IF(ISNUMBER(BS423),14,"")</f>
        <v/>
      </c>
      <c r="EM423" s="28" t="n">
        <f aca="false">IF(ISNUMBER(R423),R423*CW423,0)</f>
        <v>0</v>
      </c>
      <c r="EN423" s="28" t="n">
        <f aca="false">IF(ISNUMBER(V423),V423*CX423,0)</f>
        <v>0</v>
      </c>
      <c r="EO423" s="28" t="n">
        <f aca="false">IF(ISNUMBER(Z423),Z423*CY423,0)</f>
        <v>0</v>
      </c>
      <c r="EP423" s="28" t="n">
        <f aca="false">IF(ISNUMBER(AD423),AD423*CZ423,0)</f>
        <v>0</v>
      </c>
      <c r="EQ423" s="28" t="n">
        <f aca="false">IF(ISNUMBER(AH423),AH423*DA423,0)</f>
        <v>0</v>
      </c>
      <c r="ER423" s="28" t="n">
        <f aca="false">IF(ISNUMBER(AL423),AL423*DB423,0)</f>
        <v>0</v>
      </c>
      <c r="ES423" s="28" t="n">
        <f aca="false">IF(ISNUMBER(AP423),AP423*DC423,0)</f>
        <v>0</v>
      </c>
      <c r="ET423" s="28" t="n">
        <f aca="false">IF(ISNUMBER(AT423),AT423*DD423,0)</f>
        <v>0</v>
      </c>
      <c r="EU423" s="28" t="n">
        <f aca="false">IF(ISNUMBER(AX423),AX423*DE423,0)</f>
        <v>0</v>
      </c>
      <c r="EV423" s="28" t="n">
        <f aca="false">IF(ISNUMBER(BB423),BB423*DF423,0)</f>
        <v>0</v>
      </c>
      <c r="EW423" s="28" t="n">
        <f aca="false">IF(ISNUMBER(BF423),BF423*DG423,0)</f>
        <v>0</v>
      </c>
      <c r="EX423" s="28" t="n">
        <f aca="false">IF(ISNUMBER(BJ423),BJ423*DH423,0)</f>
        <v>0</v>
      </c>
      <c r="EY423" s="28" t="n">
        <f aca="false">IF(ISNUMBER(BN423),BN423*DI423,0)</f>
        <v>0</v>
      </c>
      <c r="EZ423" s="28" t="n">
        <f aca="false">IF(ISNUMBER(BR423),BR423*DJ423,0)</f>
        <v>0</v>
      </c>
      <c r="FA423" s="28" t="n">
        <f aca="false">IF(ISNUMBER(R423),CW423,0)</f>
        <v>0</v>
      </c>
      <c r="FB423" s="28" t="n">
        <f aca="false">IF(ISNUMBER(V423),CX423,0)</f>
        <v>0</v>
      </c>
      <c r="FC423" s="28" t="n">
        <f aca="false">IF(ISNUMBER(Z423),CY423,0)</f>
        <v>0</v>
      </c>
      <c r="FD423" s="28" t="n">
        <f aca="false">IF(ISNUMBER(AD423),CZ423,0)</f>
        <v>0</v>
      </c>
      <c r="FE423" s="28" t="n">
        <f aca="false">IF(ISNUMBER(AH423),DA423,0)</f>
        <v>0</v>
      </c>
      <c r="FF423" s="28" t="n">
        <f aca="false">IF(ISNUMBER(AL423),DB423,0)</f>
        <v>0</v>
      </c>
      <c r="FG423" s="28" t="n">
        <f aca="false">IF(ISNUMBER(AP423),DC423,0)</f>
        <v>0</v>
      </c>
      <c r="FH423" s="28" t="n">
        <f aca="false">IF(ISNUMBER(AT423),DD423,0)</f>
        <v>0</v>
      </c>
      <c r="FI423" s="28" t="n">
        <f aca="false">IF(ISNUMBER(AX423),DE423,0)</f>
        <v>0</v>
      </c>
      <c r="FJ423" s="28" t="n">
        <f aca="false">IF(ISNUMBER(BB423),DF423,0)</f>
        <v>0</v>
      </c>
      <c r="FK423" s="28" t="n">
        <f aca="false">IF(ISNUMBER(BF423),DG423,0)</f>
        <v>0</v>
      </c>
      <c r="FL423" s="28" t="n">
        <f aca="false">IF(ISNUMBER(BJ423),DH423,0)</f>
        <v>0</v>
      </c>
      <c r="FM423" s="28" t="n">
        <f aca="false">IF(ISNUMBER(BN423),DI423,0)</f>
        <v>0</v>
      </c>
      <c r="FN423" s="28" t="n">
        <f aca="false">IF(ISNUMBER(BR423),DJ423,0)</f>
        <v>0</v>
      </c>
      <c r="FO423" s="28" t="str">
        <f aca="false">IFERROR(INDEX(Lists!$G$2:$G$20,MATCH($I423&amp;"|"&amp;$J423,Lists!$F$2:$F$20,0)),"")</f>
        <v/>
      </c>
    </row>
    <row r="424" customFormat="false" ht="19.5" hidden="false" customHeight="true" outlineLevel="0" collapsed="false">
      <c r="A424" s="29"/>
      <c r="B424" s="29"/>
      <c r="C424" s="30"/>
      <c r="D424" s="30"/>
      <c r="E424" s="31"/>
      <c r="F424" s="30"/>
      <c r="G424" s="30"/>
      <c r="H424" s="32"/>
      <c r="I424" s="33"/>
      <c r="J424" s="32"/>
      <c r="K424" s="34" t="str">
        <f aca="false">IF(OR(M424="",$E424=""),"",M424-$E424)</f>
        <v/>
      </c>
      <c r="L424" s="35" t="str">
        <f aca="false">IF(SUM(FA424:FN424)=0,"",SUM(EM424:EZ424)/SUM(FA424:FN424))</f>
        <v/>
      </c>
      <c r="M424" s="36" t="str">
        <f aca="false">IF(OR(L424="",FO424=""),"",IFERROR(MATCH(L424,INDEX(Boundaries!$B$2:$I$30,MATCH(FO424,Boundaries!$A$2:$A$30,0),0),1)-1,""))</f>
        <v/>
      </c>
      <c r="N424" s="37" t="str">
        <f aca="false">IF(COUNT($DY424:$EL424)&lt;2,"",INDEX($DK424:$DX424,MAX($DY424:$EL424))-INDEX($DK424:$DX424,MIN($DY424:$EL424)))</f>
        <v/>
      </c>
      <c r="O424" s="37" t="str">
        <f aca="false">IF(COUNT($DY424:$EL424)&lt;2,"",INDEX($DK424:$DX424,MAX($DY424:$EL424))-INDEX($DK424:$DX424,LARGE($DY424:$EL424,2)))</f>
        <v/>
      </c>
      <c r="P424" s="38" t="str">
        <f aca="false">IF(K424="","",IF(K424&gt;=0,"On/above target",IF(AND(N424&lt;&gt;"",N424&gt;=0.5),"Improving towards target",IF(AND(O424&lt;&gt;"",O424&lt;=-0.5),"Declining","Stable below target"))))</f>
        <v/>
      </c>
      <c r="Q424" s="39"/>
      <c r="R424" s="40" t="str">
        <f aca="false">IF(OR(Q424="",BU424=""),"",Q424/BU424*100)</f>
        <v/>
      </c>
      <c r="S424" s="41" t="str">
        <f aca="false">IF(R424="","",IFERROR(MATCH(R424,INDEX(Boundaries!$B$2:$I$30,MATCH(CI424,Boundaries!$A$2:$A$30,0),0),1)-1,""))</f>
        <v/>
      </c>
      <c r="T424" s="42" t="str">
        <f aca="false">IF(OR(S424="",$E424=""),"",S424-$E424)</f>
        <v/>
      </c>
      <c r="U424" s="39"/>
      <c r="V424" s="40" t="str">
        <f aca="false">IF(OR(U424="",BV424=""),"",U424/BV424*100)</f>
        <v/>
      </c>
      <c r="W424" s="41" t="str">
        <f aca="false">IF(V424="","",IFERROR(MATCH(V424,INDEX(Boundaries!$B$2:$I$30,MATCH(CJ424,Boundaries!$A$2:$A$30,0),0),1)-1,""))</f>
        <v/>
      </c>
      <c r="X424" s="42" t="str">
        <f aca="false">IF(OR(W424="",$E424=""),"",W424-$E424)</f>
        <v/>
      </c>
      <c r="Y424" s="39"/>
      <c r="Z424" s="40" t="str">
        <f aca="false">IF(OR(Y424="",BW424=""),"",Y424/BW424*100)</f>
        <v/>
      </c>
      <c r="AA424" s="41" t="str">
        <f aca="false">IF(Z424="","",IFERROR(MATCH(Z424,INDEX(Boundaries!$B$2:$I$30,MATCH(CK424,Boundaries!$A$2:$A$30,0),0),1)-1,""))</f>
        <v/>
      </c>
      <c r="AB424" s="42" t="str">
        <f aca="false">IF(OR(AA424="",$E424=""),"",AA424-$E424)</f>
        <v/>
      </c>
      <c r="AC424" s="39"/>
      <c r="AD424" s="40" t="str">
        <f aca="false">IF(OR(AC424="",BX424=""),"",AC424/BX424*100)</f>
        <v/>
      </c>
      <c r="AE424" s="41" t="str">
        <f aca="false">IF(AD424="","",IFERROR(MATCH(AD424,INDEX(Boundaries!$B$2:$I$30,MATCH(CL424,Boundaries!$A$2:$A$30,0),0),1)-1,""))</f>
        <v/>
      </c>
      <c r="AF424" s="42" t="str">
        <f aca="false">IF(OR(AE424="",$E424=""),"",AE424-$E424)</f>
        <v/>
      </c>
      <c r="AG424" s="39"/>
      <c r="AH424" s="40" t="str">
        <f aca="false">IF(OR(AG424="",BY424=""),"",AG424/BY424*100)</f>
        <v/>
      </c>
      <c r="AI424" s="41" t="str">
        <f aca="false">IF(AH424="","",IFERROR(MATCH(AH424,INDEX(Boundaries!$B$2:$I$30,MATCH(CM424,Boundaries!$A$2:$A$30,0),0),1)-1,""))</f>
        <v/>
      </c>
      <c r="AJ424" s="42" t="str">
        <f aca="false">IF(OR(AI424="",$E424=""),"",AI424-$E424)</f>
        <v/>
      </c>
      <c r="AK424" s="39"/>
      <c r="AL424" s="40" t="str">
        <f aca="false">IF(OR(AK424="",BZ424=""),"",AK424/BZ424*100)</f>
        <v/>
      </c>
      <c r="AM424" s="41" t="str">
        <f aca="false">IF(AL424="","",IFERROR(MATCH(AL424,INDEX(Boundaries!$B$2:$I$30,MATCH(CN424,Boundaries!$A$2:$A$30,0),0),1)-1,""))</f>
        <v/>
      </c>
      <c r="AN424" s="42" t="str">
        <f aca="false">IF(OR(AM424="",$E424=""),"",AM424-$E424)</f>
        <v/>
      </c>
      <c r="AO424" s="39"/>
      <c r="AP424" s="40" t="str">
        <f aca="false">IF(OR(AO424="",CA424=""),"",AO424/CA424*100)</f>
        <v/>
      </c>
      <c r="AQ424" s="41" t="str">
        <f aca="false">IF(AP424="","",IFERROR(MATCH(AP424,INDEX(Boundaries!$B$2:$I$30,MATCH(CO424,Boundaries!$A$2:$A$30,0),0),1)-1,""))</f>
        <v/>
      </c>
      <c r="AR424" s="42" t="str">
        <f aca="false">IF(OR(AQ424="",$E424=""),"",AQ424-$E424)</f>
        <v/>
      </c>
      <c r="AS424" s="39"/>
      <c r="AT424" s="40" t="str">
        <f aca="false">IF(OR(AS424="",CB424=""),"",AS424/CB424*100)</f>
        <v/>
      </c>
      <c r="AU424" s="41" t="str">
        <f aca="false">IF(AT424="","",IFERROR(MATCH(AT424,INDEX(Boundaries!$B$2:$I$30,MATCH(CP424,Boundaries!$A$2:$A$30,0),0),1)-1,""))</f>
        <v/>
      </c>
      <c r="AV424" s="42" t="str">
        <f aca="false">IF(OR(AU424="",$E424=""),"",AU424-$E424)</f>
        <v/>
      </c>
      <c r="AW424" s="39"/>
      <c r="AX424" s="40" t="str">
        <f aca="false">IF(OR(AW424="",CC424=""),"",AW424/CC424*100)</f>
        <v/>
      </c>
      <c r="AY424" s="41" t="str">
        <f aca="false">IF(AX424="","",IFERROR(MATCH(AX424,INDEX(Boundaries!$B$2:$I$30,MATCH(CQ424,Boundaries!$A$2:$A$30,0),0),1)-1,""))</f>
        <v/>
      </c>
      <c r="AZ424" s="42" t="str">
        <f aca="false">IF(OR(AY424="",$E424=""),"",AY424-$E424)</f>
        <v/>
      </c>
      <c r="BA424" s="39"/>
      <c r="BB424" s="40" t="str">
        <f aca="false">IF(OR(BA424="",CD424=""),"",BA424/CD424*100)</f>
        <v/>
      </c>
      <c r="BC424" s="41" t="str">
        <f aca="false">IF(BB424="","",IFERROR(MATCH(BB424,INDEX(Boundaries!$B$2:$I$30,MATCH(CR424,Boundaries!$A$2:$A$30,0),0),1)-1,""))</f>
        <v/>
      </c>
      <c r="BD424" s="42" t="str">
        <f aca="false">IF(OR(BC424="",$E424=""),"",BC424-$E424)</f>
        <v/>
      </c>
      <c r="BE424" s="39"/>
      <c r="BF424" s="40" t="str">
        <f aca="false">IF(OR(BE424="",CE424=""),"",BE424/CE424*100)</f>
        <v/>
      </c>
      <c r="BG424" s="41" t="str">
        <f aca="false">IF(BF424="","",IFERROR(MATCH(BF424,INDEX(Boundaries!$B$2:$I$30,MATCH(CS424,Boundaries!$A$2:$A$30,0),0),1)-1,""))</f>
        <v/>
      </c>
      <c r="BH424" s="42" t="str">
        <f aca="false">IF(OR(BG424="",$E424=""),"",BG424-$E424)</f>
        <v/>
      </c>
      <c r="BI424" s="39"/>
      <c r="BJ424" s="40" t="str">
        <f aca="false">IF(OR(BI424="",CF424=""),"",BI424/CF424*100)</f>
        <v/>
      </c>
      <c r="BK424" s="41" t="str">
        <f aca="false">IF(BJ424="","",IFERROR(MATCH(BJ424,INDEX(Boundaries!$B$2:$I$30,MATCH(CT424,Boundaries!$A$2:$A$30,0),0),1)-1,""))</f>
        <v/>
      </c>
      <c r="BL424" s="42" t="str">
        <f aca="false">IF(OR(BK424="",$E424=""),"",BK424-$E424)</f>
        <v/>
      </c>
      <c r="BM424" s="39"/>
      <c r="BN424" s="40" t="str">
        <f aca="false">IF(OR(BM424="",CG424=""),"",BM424/CG424*100)</f>
        <v/>
      </c>
      <c r="BO424" s="41" t="str">
        <f aca="false">IF(BN424="","",IFERROR(MATCH(BN424,INDEX(Boundaries!$B$2:$I$30,MATCH(CU424,Boundaries!$A$2:$A$30,0),0),1)-1,""))</f>
        <v/>
      </c>
      <c r="BP424" s="42" t="str">
        <f aca="false">IF(OR(BO424="",$E424=""),"",BO424-$E424)</f>
        <v/>
      </c>
      <c r="BQ424" s="39"/>
      <c r="BR424" s="40" t="str">
        <f aca="false">IF(OR(BQ424="",CH424=""),"",BQ424/CH424*100)</f>
        <v/>
      </c>
      <c r="BS424" s="41" t="str">
        <f aca="false">IF(BR424="","",IFERROR(MATCH(BR424,INDEX(Boundaries!$B$2:$I$30,MATCH(CV424,Boundaries!$A$2:$A$30,0),0),1)-1,""))</f>
        <v/>
      </c>
      <c r="BT424" s="42" t="str">
        <f aca="false">IF(OR(BS424="",$E424=""),"",BS424-$E424)</f>
        <v/>
      </c>
      <c r="BU424" s="28" t="str">
        <f aca="false">IFERROR(INDEX(Assessments!$H$2:$H$600,MATCH($H424&amp;"|"&amp;$I424&amp;"|"&amp;$J424&amp;"|"&amp;1,Assessments!$A$2:$A$600,0)),"")</f>
        <v/>
      </c>
      <c r="BV424" s="28" t="str">
        <f aca="false">IFERROR(INDEX(Assessments!$H$2:$H$600,MATCH($H424&amp;"|"&amp;$I424&amp;"|"&amp;$J424&amp;"|"&amp;2,Assessments!$A$2:$A$600,0)),"")</f>
        <v/>
      </c>
      <c r="BW424" s="28" t="str">
        <f aca="false">IFERROR(INDEX(Assessments!$H$2:$H$600,MATCH($H424&amp;"|"&amp;$I424&amp;"|"&amp;$J424&amp;"|"&amp;3,Assessments!$A$2:$A$600,0)),"")</f>
        <v/>
      </c>
      <c r="BX424" s="28" t="str">
        <f aca="false">IFERROR(INDEX(Assessments!$H$2:$H$600,MATCH($H424&amp;"|"&amp;$I424&amp;"|"&amp;$J424&amp;"|"&amp;4,Assessments!$A$2:$A$600,0)),"")</f>
        <v/>
      </c>
      <c r="BY424" s="28" t="str">
        <f aca="false">IFERROR(INDEX(Assessments!$H$2:$H$600,MATCH($H424&amp;"|"&amp;$I424&amp;"|"&amp;$J424&amp;"|"&amp;5,Assessments!$A$2:$A$600,0)),"")</f>
        <v/>
      </c>
      <c r="BZ424" s="28" t="str">
        <f aca="false">IFERROR(INDEX(Assessments!$H$2:$H$600,MATCH($H424&amp;"|"&amp;$I424&amp;"|"&amp;$J424&amp;"|"&amp;6,Assessments!$A$2:$A$600,0)),"")</f>
        <v/>
      </c>
      <c r="CA424" s="28" t="str">
        <f aca="false">IFERROR(INDEX(Assessments!$H$2:$H$600,MATCH($H424&amp;"|"&amp;$I424&amp;"|"&amp;$J424&amp;"|"&amp;7,Assessments!$A$2:$A$600,0)),"")</f>
        <v/>
      </c>
      <c r="CB424" s="28" t="str">
        <f aca="false">IFERROR(INDEX(Assessments!$H$2:$H$600,MATCH($H424&amp;"|"&amp;$I424&amp;"|"&amp;$J424&amp;"|"&amp;8,Assessments!$A$2:$A$600,0)),"")</f>
        <v/>
      </c>
      <c r="CC424" s="28" t="str">
        <f aca="false">IFERROR(INDEX(Assessments!$H$2:$H$600,MATCH($H424&amp;"|"&amp;$I424&amp;"|"&amp;$J424&amp;"|"&amp;9,Assessments!$A$2:$A$600,0)),"")</f>
        <v/>
      </c>
      <c r="CD424" s="28" t="str">
        <f aca="false">IFERROR(INDEX(Assessments!$H$2:$H$600,MATCH($H424&amp;"|"&amp;$I424&amp;"|"&amp;$J424&amp;"|"&amp;10,Assessments!$A$2:$A$600,0)),"")</f>
        <v/>
      </c>
      <c r="CE424" s="28" t="str">
        <f aca="false">IFERROR(INDEX(Assessments!$H$2:$H$600,MATCH($H424&amp;"|"&amp;$I424&amp;"|"&amp;$J424&amp;"|"&amp;11,Assessments!$A$2:$A$600,0)),"")</f>
        <v/>
      </c>
      <c r="CF424" s="28" t="str">
        <f aca="false">IFERROR(INDEX(Assessments!$H$2:$H$600,MATCH($H424&amp;"|"&amp;$I424&amp;"|"&amp;$J424&amp;"|"&amp;12,Assessments!$A$2:$A$600,0)),"")</f>
        <v/>
      </c>
      <c r="CG424" s="28" t="str">
        <f aca="false">IFERROR(INDEX(Assessments!$H$2:$H$600,MATCH($H424&amp;"|"&amp;$I424&amp;"|"&amp;$J424&amp;"|"&amp;13,Assessments!$A$2:$A$600,0)),"")</f>
        <v/>
      </c>
      <c r="CH424" s="28" t="str">
        <f aca="false">IFERROR(INDEX(Assessments!$H$2:$H$600,MATCH($H424&amp;"|"&amp;$I424&amp;"|"&amp;$J424&amp;"|"&amp;14,Assessments!$A$2:$A$600,0)),"")</f>
        <v/>
      </c>
      <c r="CI424" s="28" t="str">
        <f aca="false">IFERROR(INDEX(Assessments!$I$2:$I$600,MATCH($H424&amp;"|"&amp;$I424&amp;"|"&amp;$J424&amp;"|"&amp;1,Assessments!$A$2:$A$600,0)),"")</f>
        <v/>
      </c>
      <c r="CJ424" s="28" t="str">
        <f aca="false">IFERROR(INDEX(Assessments!$I$2:$I$600,MATCH($H424&amp;"|"&amp;$I424&amp;"|"&amp;$J424&amp;"|"&amp;2,Assessments!$A$2:$A$600,0)),"")</f>
        <v/>
      </c>
      <c r="CK424" s="28" t="str">
        <f aca="false">IFERROR(INDEX(Assessments!$I$2:$I$600,MATCH($H424&amp;"|"&amp;$I424&amp;"|"&amp;$J424&amp;"|"&amp;3,Assessments!$A$2:$A$600,0)),"")</f>
        <v/>
      </c>
      <c r="CL424" s="28" t="str">
        <f aca="false">IFERROR(INDEX(Assessments!$I$2:$I$600,MATCH($H424&amp;"|"&amp;$I424&amp;"|"&amp;$J424&amp;"|"&amp;4,Assessments!$A$2:$A$600,0)),"")</f>
        <v/>
      </c>
      <c r="CM424" s="28" t="str">
        <f aca="false">IFERROR(INDEX(Assessments!$I$2:$I$600,MATCH($H424&amp;"|"&amp;$I424&amp;"|"&amp;$J424&amp;"|"&amp;5,Assessments!$A$2:$A$600,0)),"")</f>
        <v/>
      </c>
      <c r="CN424" s="28" t="str">
        <f aca="false">IFERROR(INDEX(Assessments!$I$2:$I$600,MATCH($H424&amp;"|"&amp;$I424&amp;"|"&amp;$J424&amp;"|"&amp;6,Assessments!$A$2:$A$600,0)),"")</f>
        <v/>
      </c>
      <c r="CO424" s="28" t="str">
        <f aca="false">IFERROR(INDEX(Assessments!$I$2:$I$600,MATCH($H424&amp;"|"&amp;$I424&amp;"|"&amp;$J424&amp;"|"&amp;7,Assessments!$A$2:$A$600,0)),"")</f>
        <v/>
      </c>
      <c r="CP424" s="28" t="str">
        <f aca="false">IFERROR(INDEX(Assessments!$I$2:$I$600,MATCH($H424&amp;"|"&amp;$I424&amp;"|"&amp;$J424&amp;"|"&amp;8,Assessments!$A$2:$A$600,0)),"")</f>
        <v/>
      </c>
      <c r="CQ424" s="28" t="str">
        <f aca="false">IFERROR(INDEX(Assessments!$I$2:$I$600,MATCH($H424&amp;"|"&amp;$I424&amp;"|"&amp;$J424&amp;"|"&amp;9,Assessments!$A$2:$A$600,0)),"")</f>
        <v/>
      </c>
      <c r="CR424" s="28" t="str">
        <f aca="false">IFERROR(INDEX(Assessments!$I$2:$I$600,MATCH($H424&amp;"|"&amp;$I424&amp;"|"&amp;$J424&amp;"|"&amp;10,Assessments!$A$2:$A$600,0)),"")</f>
        <v/>
      </c>
      <c r="CS424" s="28" t="str">
        <f aca="false">IFERROR(INDEX(Assessments!$I$2:$I$600,MATCH($H424&amp;"|"&amp;$I424&amp;"|"&amp;$J424&amp;"|"&amp;11,Assessments!$A$2:$A$600,0)),"")</f>
        <v/>
      </c>
      <c r="CT424" s="28" t="str">
        <f aca="false">IFERROR(INDEX(Assessments!$I$2:$I$600,MATCH($H424&amp;"|"&amp;$I424&amp;"|"&amp;$J424&amp;"|"&amp;12,Assessments!$A$2:$A$600,0)),"")</f>
        <v/>
      </c>
      <c r="CU424" s="28" t="str">
        <f aca="false">IFERROR(INDEX(Assessments!$I$2:$I$600,MATCH($H424&amp;"|"&amp;$I424&amp;"|"&amp;$J424&amp;"|"&amp;13,Assessments!$A$2:$A$600,0)),"")</f>
        <v/>
      </c>
      <c r="CV424" s="28" t="str">
        <f aca="false">IFERROR(INDEX(Assessments!$I$2:$I$600,MATCH($H424&amp;"|"&amp;$I424&amp;"|"&amp;$J424&amp;"|"&amp;14,Assessments!$A$2:$A$600,0)),"")</f>
        <v/>
      </c>
      <c r="CW424" s="28" t="n">
        <f aca="false">IFERROR(INDEX(Assessments!$J$2:$J$600,MATCH($H424&amp;"|"&amp;$I424&amp;"|"&amp;$J424&amp;"|"&amp;1,Assessments!$A$2:$A$600,0)),0)</f>
        <v>0</v>
      </c>
      <c r="CX424" s="28" t="n">
        <f aca="false">IFERROR(INDEX(Assessments!$J$2:$J$600,MATCH($H424&amp;"|"&amp;$I424&amp;"|"&amp;$J424&amp;"|"&amp;2,Assessments!$A$2:$A$600,0)),0)</f>
        <v>0</v>
      </c>
      <c r="CY424" s="28" t="n">
        <f aca="false">IFERROR(INDEX(Assessments!$J$2:$J$600,MATCH($H424&amp;"|"&amp;$I424&amp;"|"&amp;$J424&amp;"|"&amp;3,Assessments!$A$2:$A$600,0)),0)</f>
        <v>0</v>
      </c>
      <c r="CZ424" s="28" t="n">
        <f aca="false">IFERROR(INDEX(Assessments!$J$2:$J$600,MATCH($H424&amp;"|"&amp;$I424&amp;"|"&amp;$J424&amp;"|"&amp;4,Assessments!$A$2:$A$600,0)),0)</f>
        <v>0</v>
      </c>
      <c r="DA424" s="28" t="n">
        <f aca="false">IFERROR(INDEX(Assessments!$J$2:$J$600,MATCH($H424&amp;"|"&amp;$I424&amp;"|"&amp;$J424&amp;"|"&amp;5,Assessments!$A$2:$A$600,0)),0)</f>
        <v>0</v>
      </c>
      <c r="DB424" s="28" t="n">
        <f aca="false">IFERROR(INDEX(Assessments!$J$2:$J$600,MATCH($H424&amp;"|"&amp;$I424&amp;"|"&amp;$J424&amp;"|"&amp;6,Assessments!$A$2:$A$600,0)),0)</f>
        <v>0</v>
      </c>
      <c r="DC424" s="28" t="n">
        <f aca="false">IFERROR(INDEX(Assessments!$J$2:$J$600,MATCH($H424&amp;"|"&amp;$I424&amp;"|"&amp;$J424&amp;"|"&amp;7,Assessments!$A$2:$A$600,0)),0)</f>
        <v>0</v>
      </c>
      <c r="DD424" s="28" t="n">
        <f aca="false">IFERROR(INDEX(Assessments!$J$2:$J$600,MATCH($H424&amp;"|"&amp;$I424&amp;"|"&amp;$J424&amp;"|"&amp;8,Assessments!$A$2:$A$600,0)),0)</f>
        <v>0</v>
      </c>
      <c r="DE424" s="28" t="n">
        <f aca="false">IFERROR(INDEX(Assessments!$J$2:$J$600,MATCH($H424&amp;"|"&amp;$I424&amp;"|"&amp;$J424&amp;"|"&amp;9,Assessments!$A$2:$A$600,0)),0)</f>
        <v>0</v>
      </c>
      <c r="DF424" s="28" t="n">
        <f aca="false">IFERROR(INDEX(Assessments!$J$2:$J$600,MATCH($H424&amp;"|"&amp;$I424&amp;"|"&amp;$J424&amp;"|"&amp;10,Assessments!$A$2:$A$600,0)),0)</f>
        <v>0</v>
      </c>
      <c r="DG424" s="28" t="n">
        <f aca="false">IFERROR(INDEX(Assessments!$J$2:$J$600,MATCH($H424&amp;"|"&amp;$I424&amp;"|"&amp;$J424&amp;"|"&amp;11,Assessments!$A$2:$A$600,0)),0)</f>
        <v>0</v>
      </c>
      <c r="DH424" s="28" t="n">
        <f aca="false">IFERROR(INDEX(Assessments!$J$2:$J$600,MATCH($H424&amp;"|"&amp;$I424&amp;"|"&amp;$J424&amp;"|"&amp;12,Assessments!$A$2:$A$600,0)),0)</f>
        <v>0</v>
      </c>
      <c r="DI424" s="28" t="n">
        <f aca="false">IFERROR(INDEX(Assessments!$J$2:$J$600,MATCH($H424&amp;"|"&amp;$I424&amp;"|"&amp;$J424&amp;"|"&amp;13,Assessments!$A$2:$A$600,0)),0)</f>
        <v>0</v>
      </c>
      <c r="DJ424" s="28" t="n">
        <f aca="false">IFERROR(INDEX(Assessments!$J$2:$J$600,MATCH($H424&amp;"|"&amp;$I424&amp;"|"&amp;$J424&amp;"|"&amp;14,Assessments!$A$2:$A$600,0)),0)</f>
        <v>0</v>
      </c>
      <c r="DK424" s="28" t="str">
        <f aca="false">S424</f>
        <v/>
      </c>
      <c r="DL424" s="28" t="str">
        <f aca="false">W424</f>
        <v/>
      </c>
      <c r="DM424" s="28" t="str">
        <f aca="false">AA424</f>
        <v/>
      </c>
      <c r="DN424" s="28" t="str">
        <f aca="false">AE424</f>
        <v/>
      </c>
      <c r="DO424" s="28" t="str">
        <f aca="false">AI424</f>
        <v/>
      </c>
      <c r="DP424" s="28" t="str">
        <f aca="false">AM424</f>
        <v/>
      </c>
      <c r="DQ424" s="28" t="str">
        <f aca="false">AQ424</f>
        <v/>
      </c>
      <c r="DR424" s="28" t="str">
        <f aca="false">AU424</f>
        <v/>
      </c>
      <c r="DS424" s="28" t="str">
        <f aca="false">AY424</f>
        <v/>
      </c>
      <c r="DT424" s="28" t="str">
        <f aca="false">BC424</f>
        <v/>
      </c>
      <c r="DU424" s="28" t="str">
        <f aca="false">BG424</f>
        <v/>
      </c>
      <c r="DV424" s="28" t="str">
        <f aca="false">BK424</f>
        <v/>
      </c>
      <c r="DW424" s="28" t="str">
        <f aca="false">BO424</f>
        <v/>
      </c>
      <c r="DX424" s="28" t="str">
        <f aca="false">BS424</f>
        <v/>
      </c>
      <c r="DY424" s="28" t="str">
        <f aca="false">IF(ISNUMBER(S424),1,"")</f>
        <v/>
      </c>
      <c r="DZ424" s="28" t="str">
        <f aca="false">IF(ISNUMBER(W424),2,"")</f>
        <v/>
      </c>
      <c r="EA424" s="28" t="str">
        <f aca="false">IF(ISNUMBER(AA424),3,"")</f>
        <v/>
      </c>
      <c r="EB424" s="28" t="str">
        <f aca="false">IF(ISNUMBER(AE424),4,"")</f>
        <v/>
      </c>
      <c r="EC424" s="28" t="str">
        <f aca="false">IF(ISNUMBER(AI424),5,"")</f>
        <v/>
      </c>
      <c r="ED424" s="28" t="str">
        <f aca="false">IF(ISNUMBER(AM424),6,"")</f>
        <v/>
      </c>
      <c r="EE424" s="28" t="str">
        <f aca="false">IF(ISNUMBER(AQ424),7,"")</f>
        <v/>
      </c>
      <c r="EF424" s="28" t="str">
        <f aca="false">IF(ISNUMBER(AU424),8,"")</f>
        <v/>
      </c>
      <c r="EG424" s="28" t="str">
        <f aca="false">IF(ISNUMBER(AY424),9,"")</f>
        <v/>
      </c>
      <c r="EH424" s="28" t="str">
        <f aca="false">IF(ISNUMBER(BC424),10,"")</f>
        <v/>
      </c>
      <c r="EI424" s="28" t="str">
        <f aca="false">IF(ISNUMBER(BG424),11,"")</f>
        <v/>
      </c>
      <c r="EJ424" s="28" t="str">
        <f aca="false">IF(ISNUMBER(BK424),12,"")</f>
        <v/>
      </c>
      <c r="EK424" s="28" t="str">
        <f aca="false">IF(ISNUMBER(BO424),13,"")</f>
        <v/>
      </c>
      <c r="EL424" s="28" t="str">
        <f aca="false">IF(ISNUMBER(BS424),14,"")</f>
        <v/>
      </c>
      <c r="EM424" s="28" t="n">
        <f aca="false">IF(ISNUMBER(R424),R424*CW424,0)</f>
        <v>0</v>
      </c>
      <c r="EN424" s="28" t="n">
        <f aca="false">IF(ISNUMBER(V424),V424*CX424,0)</f>
        <v>0</v>
      </c>
      <c r="EO424" s="28" t="n">
        <f aca="false">IF(ISNUMBER(Z424),Z424*CY424,0)</f>
        <v>0</v>
      </c>
      <c r="EP424" s="28" t="n">
        <f aca="false">IF(ISNUMBER(AD424),AD424*CZ424,0)</f>
        <v>0</v>
      </c>
      <c r="EQ424" s="28" t="n">
        <f aca="false">IF(ISNUMBER(AH424),AH424*DA424,0)</f>
        <v>0</v>
      </c>
      <c r="ER424" s="28" t="n">
        <f aca="false">IF(ISNUMBER(AL424),AL424*DB424,0)</f>
        <v>0</v>
      </c>
      <c r="ES424" s="28" t="n">
        <f aca="false">IF(ISNUMBER(AP424),AP424*DC424,0)</f>
        <v>0</v>
      </c>
      <c r="ET424" s="28" t="n">
        <f aca="false">IF(ISNUMBER(AT424),AT424*DD424,0)</f>
        <v>0</v>
      </c>
      <c r="EU424" s="28" t="n">
        <f aca="false">IF(ISNUMBER(AX424),AX424*DE424,0)</f>
        <v>0</v>
      </c>
      <c r="EV424" s="28" t="n">
        <f aca="false">IF(ISNUMBER(BB424),BB424*DF424,0)</f>
        <v>0</v>
      </c>
      <c r="EW424" s="28" t="n">
        <f aca="false">IF(ISNUMBER(BF424),BF424*DG424,0)</f>
        <v>0</v>
      </c>
      <c r="EX424" s="28" t="n">
        <f aca="false">IF(ISNUMBER(BJ424),BJ424*DH424,0)</f>
        <v>0</v>
      </c>
      <c r="EY424" s="28" t="n">
        <f aca="false">IF(ISNUMBER(BN424),BN424*DI424,0)</f>
        <v>0</v>
      </c>
      <c r="EZ424" s="28" t="n">
        <f aca="false">IF(ISNUMBER(BR424),BR424*DJ424,0)</f>
        <v>0</v>
      </c>
      <c r="FA424" s="28" t="n">
        <f aca="false">IF(ISNUMBER(R424),CW424,0)</f>
        <v>0</v>
      </c>
      <c r="FB424" s="28" t="n">
        <f aca="false">IF(ISNUMBER(V424),CX424,0)</f>
        <v>0</v>
      </c>
      <c r="FC424" s="28" t="n">
        <f aca="false">IF(ISNUMBER(Z424),CY424,0)</f>
        <v>0</v>
      </c>
      <c r="FD424" s="28" t="n">
        <f aca="false">IF(ISNUMBER(AD424),CZ424,0)</f>
        <v>0</v>
      </c>
      <c r="FE424" s="28" t="n">
        <f aca="false">IF(ISNUMBER(AH424),DA424,0)</f>
        <v>0</v>
      </c>
      <c r="FF424" s="28" t="n">
        <f aca="false">IF(ISNUMBER(AL424),DB424,0)</f>
        <v>0</v>
      </c>
      <c r="FG424" s="28" t="n">
        <f aca="false">IF(ISNUMBER(AP424),DC424,0)</f>
        <v>0</v>
      </c>
      <c r="FH424" s="28" t="n">
        <f aca="false">IF(ISNUMBER(AT424),DD424,0)</f>
        <v>0</v>
      </c>
      <c r="FI424" s="28" t="n">
        <f aca="false">IF(ISNUMBER(AX424),DE424,0)</f>
        <v>0</v>
      </c>
      <c r="FJ424" s="28" t="n">
        <f aca="false">IF(ISNUMBER(BB424),DF424,0)</f>
        <v>0</v>
      </c>
      <c r="FK424" s="28" t="n">
        <f aca="false">IF(ISNUMBER(BF424),DG424,0)</f>
        <v>0</v>
      </c>
      <c r="FL424" s="28" t="n">
        <f aca="false">IF(ISNUMBER(BJ424),DH424,0)</f>
        <v>0</v>
      </c>
      <c r="FM424" s="28" t="n">
        <f aca="false">IF(ISNUMBER(BN424),DI424,0)</f>
        <v>0</v>
      </c>
      <c r="FN424" s="28" t="n">
        <f aca="false">IF(ISNUMBER(BR424),DJ424,0)</f>
        <v>0</v>
      </c>
      <c r="FO424" s="28" t="str">
        <f aca="false">IFERROR(INDEX(Lists!$G$2:$G$20,MATCH($I424&amp;"|"&amp;$J424,Lists!$F$2:$F$20,0)),"")</f>
        <v/>
      </c>
    </row>
    <row r="425" customFormat="false" ht="19.5" hidden="false" customHeight="true" outlineLevel="0" collapsed="false">
      <c r="A425" s="29"/>
      <c r="B425" s="29"/>
      <c r="C425" s="30"/>
      <c r="D425" s="30"/>
      <c r="E425" s="31"/>
      <c r="F425" s="30"/>
      <c r="G425" s="30"/>
      <c r="H425" s="32"/>
      <c r="I425" s="33"/>
      <c r="J425" s="32"/>
      <c r="K425" s="34" t="str">
        <f aca="false">IF(OR(M425="",$E425=""),"",M425-$E425)</f>
        <v/>
      </c>
      <c r="L425" s="35" t="str">
        <f aca="false">IF(SUM(FA425:FN425)=0,"",SUM(EM425:EZ425)/SUM(FA425:FN425))</f>
        <v/>
      </c>
      <c r="M425" s="36" t="str">
        <f aca="false">IF(OR(L425="",FO425=""),"",IFERROR(MATCH(L425,INDEX(Boundaries!$B$2:$I$30,MATCH(FO425,Boundaries!$A$2:$A$30,0),0),1)-1,""))</f>
        <v/>
      </c>
      <c r="N425" s="37" t="str">
        <f aca="false">IF(COUNT($DY425:$EL425)&lt;2,"",INDEX($DK425:$DX425,MAX($DY425:$EL425))-INDEX($DK425:$DX425,MIN($DY425:$EL425)))</f>
        <v/>
      </c>
      <c r="O425" s="37" t="str">
        <f aca="false">IF(COUNT($DY425:$EL425)&lt;2,"",INDEX($DK425:$DX425,MAX($DY425:$EL425))-INDEX($DK425:$DX425,LARGE($DY425:$EL425,2)))</f>
        <v/>
      </c>
      <c r="P425" s="38" t="str">
        <f aca="false">IF(K425="","",IF(K425&gt;=0,"On/above target",IF(AND(N425&lt;&gt;"",N425&gt;=0.5),"Improving towards target",IF(AND(O425&lt;&gt;"",O425&lt;=-0.5),"Declining","Stable below target"))))</f>
        <v/>
      </c>
      <c r="Q425" s="39"/>
      <c r="R425" s="40" t="str">
        <f aca="false">IF(OR(Q425="",BU425=""),"",Q425/BU425*100)</f>
        <v/>
      </c>
      <c r="S425" s="41" t="str">
        <f aca="false">IF(R425="","",IFERROR(MATCH(R425,INDEX(Boundaries!$B$2:$I$30,MATCH(CI425,Boundaries!$A$2:$A$30,0),0),1)-1,""))</f>
        <v/>
      </c>
      <c r="T425" s="42" t="str">
        <f aca="false">IF(OR(S425="",$E425=""),"",S425-$E425)</f>
        <v/>
      </c>
      <c r="U425" s="39"/>
      <c r="V425" s="40" t="str">
        <f aca="false">IF(OR(U425="",BV425=""),"",U425/BV425*100)</f>
        <v/>
      </c>
      <c r="W425" s="41" t="str">
        <f aca="false">IF(V425="","",IFERROR(MATCH(V425,INDEX(Boundaries!$B$2:$I$30,MATCH(CJ425,Boundaries!$A$2:$A$30,0),0),1)-1,""))</f>
        <v/>
      </c>
      <c r="X425" s="42" t="str">
        <f aca="false">IF(OR(W425="",$E425=""),"",W425-$E425)</f>
        <v/>
      </c>
      <c r="Y425" s="39"/>
      <c r="Z425" s="40" t="str">
        <f aca="false">IF(OR(Y425="",BW425=""),"",Y425/BW425*100)</f>
        <v/>
      </c>
      <c r="AA425" s="41" t="str">
        <f aca="false">IF(Z425="","",IFERROR(MATCH(Z425,INDEX(Boundaries!$B$2:$I$30,MATCH(CK425,Boundaries!$A$2:$A$30,0),0),1)-1,""))</f>
        <v/>
      </c>
      <c r="AB425" s="42" t="str">
        <f aca="false">IF(OR(AA425="",$E425=""),"",AA425-$E425)</f>
        <v/>
      </c>
      <c r="AC425" s="39"/>
      <c r="AD425" s="40" t="str">
        <f aca="false">IF(OR(AC425="",BX425=""),"",AC425/BX425*100)</f>
        <v/>
      </c>
      <c r="AE425" s="41" t="str">
        <f aca="false">IF(AD425="","",IFERROR(MATCH(AD425,INDEX(Boundaries!$B$2:$I$30,MATCH(CL425,Boundaries!$A$2:$A$30,0),0),1)-1,""))</f>
        <v/>
      </c>
      <c r="AF425" s="42" t="str">
        <f aca="false">IF(OR(AE425="",$E425=""),"",AE425-$E425)</f>
        <v/>
      </c>
      <c r="AG425" s="39"/>
      <c r="AH425" s="40" t="str">
        <f aca="false">IF(OR(AG425="",BY425=""),"",AG425/BY425*100)</f>
        <v/>
      </c>
      <c r="AI425" s="41" t="str">
        <f aca="false">IF(AH425="","",IFERROR(MATCH(AH425,INDEX(Boundaries!$B$2:$I$30,MATCH(CM425,Boundaries!$A$2:$A$30,0),0),1)-1,""))</f>
        <v/>
      </c>
      <c r="AJ425" s="42" t="str">
        <f aca="false">IF(OR(AI425="",$E425=""),"",AI425-$E425)</f>
        <v/>
      </c>
      <c r="AK425" s="39"/>
      <c r="AL425" s="40" t="str">
        <f aca="false">IF(OR(AK425="",BZ425=""),"",AK425/BZ425*100)</f>
        <v/>
      </c>
      <c r="AM425" s="41" t="str">
        <f aca="false">IF(AL425="","",IFERROR(MATCH(AL425,INDEX(Boundaries!$B$2:$I$30,MATCH(CN425,Boundaries!$A$2:$A$30,0),0),1)-1,""))</f>
        <v/>
      </c>
      <c r="AN425" s="42" t="str">
        <f aca="false">IF(OR(AM425="",$E425=""),"",AM425-$E425)</f>
        <v/>
      </c>
      <c r="AO425" s="39"/>
      <c r="AP425" s="40" t="str">
        <f aca="false">IF(OR(AO425="",CA425=""),"",AO425/CA425*100)</f>
        <v/>
      </c>
      <c r="AQ425" s="41" t="str">
        <f aca="false">IF(AP425="","",IFERROR(MATCH(AP425,INDEX(Boundaries!$B$2:$I$30,MATCH(CO425,Boundaries!$A$2:$A$30,0),0),1)-1,""))</f>
        <v/>
      </c>
      <c r="AR425" s="42" t="str">
        <f aca="false">IF(OR(AQ425="",$E425=""),"",AQ425-$E425)</f>
        <v/>
      </c>
      <c r="AS425" s="39"/>
      <c r="AT425" s="40" t="str">
        <f aca="false">IF(OR(AS425="",CB425=""),"",AS425/CB425*100)</f>
        <v/>
      </c>
      <c r="AU425" s="41" t="str">
        <f aca="false">IF(AT425="","",IFERROR(MATCH(AT425,INDEX(Boundaries!$B$2:$I$30,MATCH(CP425,Boundaries!$A$2:$A$30,0),0),1)-1,""))</f>
        <v/>
      </c>
      <c r="AV425" s="42" t="str">
        <f aca="false">IF(OR(AU425="",$E425=""),"",AU425-$E425)</f>
        <v/>
      </c>
      <c r="AW425" s="39"/>
      <c r="AX425" s="40" t="str">
        <f aca="false">IF(OR(AW425="",CC425=""),"",AW425/CC425*100)</f>
        <v/>
      </c>
      <c r="AY425" s="41" t="str">
        <f aca="false">IF(AX425="","",IFERROR(MATCH(AX425,INDEX(Boundaries!$B$2:$I$30,MATCH(CQ425,Boundaries!$A$2:$A$30,0),0),1)-1,""))</f>
        <v/>
      </c>
      <c r="AZ425" s="42" t="str">
        <f aca="false">IF(OR(AY425="",$E425=""),"",AY425-$E425)</f>
        <v/>
      </c>
      <c r="BA425" s="39"/>
      <c r="BB425" s="40" t="str">
        <f aca="false">IF(OR(BA425="",CD425=""),"",BA425/CD425*100)</f>
        <v/>
      </c>
      <c r="BC425" s="41" t="str">
        <f aca="false">IF(BB425="","",IFERROR(MATCH(BB425,INDEX(Boundaries!$B$2:$I$30,MATCH(CR425,Boundaries!$A$2:$A$30,0),0),1)-1,""))</f>
        <v/>
      </c>
      <c r="BD425" s="42" t="str">
        <f aca="false">IF(OR(BC425="",$E425=""),"",BC425-$E425)</f>
        <v/>
      </c>
      <c r="BE425" s="39"/>
      <c r="BF425" s="40" t="str">
        <f aca="false">IF(OR(BE425="",CE425=""),"",BE425/CE425*100)</f>
        <v/>
      </c>
      <c r="BG425" s="41" t="str">
        <f aca="false">IF(BF425="","",IFERROR(MATCH(BF425,INDEX(Boundaries!$B$2:$I$30,MATCH(CS425,Boundaries!$A$2:$A$30,0),0),1)-1,""))</f>
        <v/>
      </c>
      <c r="BH425" s="42" t="str">
        <f aca="false">IF(OR(BG425="",$E425=""),"",BG425-$E425)</f>
        <v/>
      </c>
      <c r="BI425" s="39"/>
      <c r="BJ425" s="40" t="str">
        <f aca="false">IF(OR(BI425="",CF425=""),"",BI425/CF425*100)</f>
        <v/>
      </c>
      <c r="BK425" s="41" t="str">
        <f aca="false">IF(BJ425="","",IFERROR(MATCH(BJ425,INDEX(Boundaries!$B$2:$I$30,MATCH(CT425,Boundaries!$A$2:$A$30,0),0),1)-1,""))</f>
        <v/>
      </c>
      <c r="BL425" s="42" t="str">
        <f aca="false">IF(OR(BK425="",$E425=""),"",BK425-$E425)</f>
        <v/>
      </c>
      <c r="BM425" s="39"/>
      <c r="BN425" s="40" t="str">
        <f aca="false">IF(OR(BM425="",CG425=""),"",BM425/CG425*100)</f>
        <v/>
      </c>
      <c r="BO425" s="41" t="str">
        <f aca="false">IF(BN425="","",IFERROR(MATCH(BN425,INDEX(Boundaries!$B$2:$I$30,MATCH(CU425,Boundaries!$A$2:$A$30,0),0),1)-1,""))</f>
        <v/>
      </c>
      <c r="BP425" s="42" t="str">
        <f aca="false">IF(OR(BO425="",$E425=""),"",BO425-$E425)</f>
        <v/>
      </c>
      <c r="BQ425" s="39"/>
      <c r="BR425" s="40" t="str">
        <f aca="false">IF(OR(BQ425="",CH425=""),"",BQ425/CH425*100)</f>
        <v/>
      </c>
      <c r="BS425" s="41" t="str">
        <f aca="false">IF(BR425="","",IFERROR(MATCH(BR425,INDEX(Boundaries!$B$2:$I$30,MATCH(CV425,Boundaries!$A$2:$A$30,0),0),1)-1,""))</f>
        <v/>
      </c>
      <c r="BT425" s="42" t="str">
        <f aca="false">IF(OR(BS425="",$E425=""),"",BS425-$E425)</f>
        <v/>
      </c>
      <c r="BU425" s="28" t="str">
        <f aca="false">IFERROR(INDEX(Assessments!$H$2:$H$600,MATCH($H425&amp;"|"&amp;$I425&amp;"|"&amp;$J425&amp;"|"&amp;1,Assessments!$A$2:$A$600,0)),"")</f>
        <v/>
      </c>
      <c r="BV425" s="28" t="str">
        <f aca="false">IFERROR(INDEX(Assessments!$H$2:$H$600,MATCH($H425&amp;"|"&amp;$I425&amp;"|"&amp;$J425&amp;"|"&amp;2,Assessments!$A$2:$A$600,0)),"")</f>
        <v/>
      </c>
      <c r="BW425" s="28" t="str">
        <f aca="false">IFERROR(INDEX(Assessments!$H$2:$H$600,MATCH($H425&amp;"|"&amp;$I425&amp;"|"&amp;$J425&amp;"|"&amp;3,Assessments!$A$2:$A$600,0)),"")</f>
        <v/>
      </c>
      <c r="BX425" s="28" t="str">
        <f aca="false">IFERROR(INDEX(Assessments!$H$2:$H$600,MATCH($H425&amp;"|"&amp;$I425&amp;"|"&amp;$J425&amp;"|"&amp;4,Assessments!$A$2:$A$600,0)),"")</f>
        <v/>
      </c>
      <c r="BY425" s="28" t="str">
        <f aca="false">IFERROR(INDEX(Assessments!$H$2:$H$600,MATCH($H425&amp;"|"&amp;$I425&amp;"|"&amp;$J425&amp;"|"&amp;5,Assessments!$A$2:$A$600,0)),"")</f>
        <v/>
      </c>
      <c r="BZ425" s="28" t="str">
        <f aca="false">IFERROR(INDEX(Assessments!$H$2:$H$600,MATCH($H425&amp;"|"&amp;$I425&amp;"|"&amp;$J425&amp;"|"&amp;6,Assessments!$A$2:$A$600,0)),"")</f>
        <v/>
      </c>
      <c r="CA425" s="28" t="str">
        <f aca="false">IFERROR(INDEX(Assessments!$H$2:$H$600,MATCH($H425&amp;"|"&amp;$I425&amp;"|"&amp;$J425&amp;"|"&amp;7,Assessments!$A$2:$A$600,0)),"")</f>
        <v/>
      </c>
      <c r="CB425" s="28" t="str">
        <f aca="false">IFERROR(INDEX(Assessments!$H$2:$H$600,MATCH($H425&amp;"|"&amp;$I425&amp;"|"&amp;$J425&amp;"|"&amp;8,Assessments!$A$2:$A$600,0)),"")</f>
        <v/>
      </c>
      <c r="CC425" s="28" t="str">
        <f aca="false">IFERROR(INDEX(Assessments!$H$2:$H$600,MATCH($H425&amp;"|"&amp;$I425&amp;"|"&amp;$J425&amp;"|"&amp;9,Assessments!$A$2:$A$600,0)),"")</f>
        <v/>
      </c>
      <c r="CD425" s="28" t="str">
        <f aca="false">IFERROR(INDEX(Assessments!$H$2:$H$600,MATCH($H425&amp;"|"&amp;$I425&amp;"|"&amp;$J425&amp;"|"&amp;10,Assessments!$A$2:$A$600,0)),"")</f>
        <v/>
      </c>
      <c r="CE425" s="28" t="str">
        <f aca="false">IFERROR(INDEX(Assessments!$H$2:$H$600,MATCH($H425&amp;"|"&amp;$I425&amp;"|"&amp;$J425&amp;"|"&amp;11,Assessments!$A$2:$A$600,0)),"")</f>
        <v/>
      </c>
      <c r="CF425" s="28" t="str">
        <f aca="false">IFERROR(INDEX(Assessments!$H$2:$H$600,MATCH($H425&amp;"|"&amp;$I425&amp;"|"&amp;$J425&amp;"|"&amp;12,Assessments!$A$2:$A$600,0)),"")</f>
        <v/>
      </c>
      <c r="CG425" s="28" t="str">
        <f aca="false">IFERROR(INDEX(Assessments!$H$2:$H$600,MATCH($H425&amp;"|"&amp;$I425&amp;"|"&amp;$J425&amp;"|"&amp;13,Assessments!$A$2:$A$600,0)),"")</f>
        <v/>
      </c>
      <c r="CH425" s="28" t="str">
        <f aca="false">IFERROR(INDEX(Assessments!$H$2:$H$600,MATCH($H425&amp;"|"&amp;$I425&amp;"|"&amp;$J425&amp;"|"&amp;14,Assessments!$A$2:$A$600,0)),"")</f>
        <v/>
      </c>
      <c r="CI425" s="28" t="str">
        <f aca="false">IFERROR(INDEX(Assessments!$I$2:$I$600,MATCH($H425&amp;"|"&amp;$I425&amp;"|"&amp;$J425&amp;"|"&amp;1,Assessments!$A$2:$A$600,0)),"")</f>
        <v/>
      </c>
      <c r="CJ425" s="28" t="str">
        <f aca="false">IFERROR(INDEX(Assessments!$I$2:$I$600,MATCH($H425&amp;"|"&amp;$I425&amp;"|"&amp;$J425&amp;"|"&amp;2,Assessments!$A$2:$A$600,0)),"")</f>
        <v/>
      </c>
      <c r="CK425" s="28" t="str">
        <f aca="false">IFERROR(INDEX(Assessments!$I$2:$I$600,MATCH($H425&amp;"|"&amp;$I425&amp;"|"&amp;$J425&amp;"|"&amp;3,Assessments!$A$2:$A$600,0)),"")</f>
        <v/>
      </c>
      <c r="CL425" s="28" t="str">
        <f aca="false">IFERROR(INDEX(Assessments!$I$2:$I$600,MATCH($H425&amp;"|"&amp;$I425&amp;"|"&amp;$J425&amp;"|"&amp;4,Assessments!$A$2:$A$600,0)),"")</f>
        <v/>
      </c>
      <c r="CM425" s="28" t="str">
        <f aca="false">IFERROR(INDEX(Assessments!$I$2:$I$600,MATCH($H425&amp;"|"&amp;$I425&amp;"|"&amp;$J425&amp;"|"&amp;5,Assessments!$A$2:$A$600,0)),"")</f>
        <v/>
      </c>
      <c r="CN425" s="28" t="str">
        <f aca="false">IFERROR(INDEX(Assessments!$I$2:$I$600,MATCH($H425&amp;"|"&amp;$I425&amp;"|"&amp;$J425&amp;"|"&amp;6,Assessments!$A$2:$A$600,0)),"")</f>
        <v/>
      </c>
      <c r="CO425" s="28" t="str">
        <f aca="false">IFERROR(INDEX(Assessments!$I$2:$I$600,MATCH($H425&amp;"|"&amp;$I425&amp;"|"&amp;$J425&amp;"|"&amp;7,Assessments!$A$2:$A$600,0)),"")</f>
        <v/>
      </c>
      <c r="CP425" s="28" t="str">
        <f aca="false">IFERROR(INDEX(Assessments!$I$2:$I$600,MATCH($H425&amp;"|"&amp;$I425&amp;"|"&amp;$J425&amp;"|"&amp;8,Assessments!$A$2:$A$600,0)),"")</f>
        <v/>
      </c>
      <c r="CQ425" s="28" t="str">
        <f aca="false">IFERROR(INDEX(Assessments!$I$2:$I$600,MATCH($H425&amp;"|"&amp;$I425&amp;"|"&amp;$J425&amp;"|"&amp;9,Assessments!$A$2:$A$600,0)),"")</f>
        <v/>
      </c>
      <c r="CR425" s="28" t="str">
        <f aca="false">IFERROR(INDEX(Assessments!$I$2:$I$600,MATCH($H425&amp;"|"&amp;$I425&amp;"|"&amp;$J425&amp;"|"&amp;10,Assessments!$A$2:$A$600,0)),"")</f>
        <v/>
      </c>
      <c r="CS425" s="28" t="str">
        <f aca="false">IFERROR(INDEX(Assessments!$I$2:$I$600,MATCH($H425&amp;"|"&amp;$I425&amp;"|"&amp;$J425&amp;"|"&amp;11,Assessments!$A$2:$A$600,0)),"")</f>
        <v/>
      </c>
      <c r="CT425" s="28" t="str">
        <f aca="false">IFERROR(INDEX(Assessments!$I$2:$I$600,MATCH($H425&amp;"|"&amp;$I425&amp;"|"&amp;$J425&amp;"|"&amp;12,Assessments!$A$2:$A$600,0)),"")</f>
        <v/>
      </c>
      <c r="CU425" s="28" t="str">
        <f aca="false">IFERROR(INDEX(Assessments!$I$2:$I$600,MATCH($H425&amp;"|"&amp;$I425&amp;"|"&amp;$J425&amp;"|"&amp;13,Assessments!$A$2:$A$600,0)),"")</f>
        <v/>
      </c>
      <c r="CV425" s="28" t="str">
        <f aca="false">IFERROR(INDEX(Assessments!$I$2:$I$600,MATCH($H425&amp;"|"&amp;$I425&amp;"|"&amp;$J425&amp;"|"&amp;14,Assessments!$A$2:$A$600,0)),"")</f>
        <v/>
      </c>
      <c r="CW425" s="28" t="n">
        <f aca="false">IFERROR(INDEX(Assessments!$J$2:$J$600,MATCH($H425&amp;"|"&amp;$I425&amp;"|"&amp;$J425&amp;"|"&amp;1,Assessments!$A$2:$A$600,0)),0)</f>
        <v>0</v>
      </c>
      <c r="CX425" s="28" t="n">
        <f aca="false">IFERROR(INDEX(Assessments!$J$2:$J$600,MATCH($H425&amp;"|"&amp;$I425&amp;"|"&amp;$J425&amp;"|"&amp;2,Assessments!$A$2:$A$600,0)),0)</f>
        <v>0</v>
      </c>
      <c r="CY425" s="28" t="n">
        <f aca="false">IFERROR(INDEX(Assessments!$J$2:$J$600,MATCH($H425&amp;"|"&amp;$I425&amp;"|"&amp;$J425&amp;"|"&amp;3,Assessments!$A$2:$A$600,0)),0)</f>
        <v>0</v>
      </c>
      <c r="CZ425" s="28" t="n">
        <f aca="false">IFERROR(INDEX(Assessments!$J$2:$J$600,MATCH($H425&amp;"|"&amp;$I425&amp;"|"&amp;$J425&amp;"|"&amp;4,Assessments!$A$2:$A$600,0)),0)</f>
        <v>0</v>
      </c>
      <c r="DA425" s="28" t="n">
        <f aca="false">IFERROR(INDEX(Assessments!$J$2:$J$600,MATCH($H425&amp;"|"&amp;$I425&amp;"|"&amp;$J425&amp;"|"&amp;5,Assessments!$A$2:$A$600,0)),0)</f>
        <v>0</v>
      </c>
      <c r="DB425" s="28" t="n">
        <f aca="false">IFERROR(INDEX(Assessments!$J$2:$J$600,MATCH($H425&amp;"|"&amp;$I425&amp;"|"&amp;$J425&amp;"|"&amp;6,Assessments!$A$2:$A$600,0)),0)</f>
        <v>0</v>
      </c>
      <c r="DC425" s="28" t="n">
        <f aca="false">IFERROR(INDEX(Assessments!$J$2:$J$600,MATCH($H425&amp;"|"&amp;$I425&amp;"|"&amp;$J425&amp;"|"&amp;7,Assessments!$A$2:$A$600,0)),0)</f>
        <v>0</v>
      </c>
      <c r="DD425" s="28" t="n">
        <f aca="false">IFERROR(INDEX(Assessments!$J$2:$J$600,MATCH($H425&amp;"|"&amp;$I425&amp;"|"&amp;$J425&amp;"|"&amp;8,Assessments!$A$2:$A$600,0)),0)</f>
        <v>0</v>
      </c>
      <c r="DE425" s="28" t="n">
        <f aca="false">IFERROR(INDEX(Assessments!$J$2:$J$600,MATCH($H425&amp;"|"&amp;$I425&amp;"|"&amp;$J425&amp;"|"&amp;9,Assessments!$A$2:$A$600,0)),0)</f>
        <v>0</v>
      </c>
      <c r="DF425" s="28" t="n">
        <f aca="false">IFERROR(INDEX(Assessments!$J$2:$J$600,MATCH($H425&amp;"|"&amp;$I425&amp;"|"&amp;$J425&amp;"|"&amp;10,Assessments!$A$2:$A$600,0)),0)</f>
        <v>0</v>
      </c>
      <c r="DG425" s="28" t="n">
        <f aca="false">IFERROR(INDEX(Assessments!$J$2:$J$600,MATCH($H425&amp;"|"&amp;$I425&amp;"|"&amp;$J425&amp;"|"&amp;11,Assessments!$A$2:$A$600,0)),0)</f>
        <v>0</v>
      </c>
      <c r="DH425" s="28" t="n">
        <f aca="false">IFERROR(INDEX(Assessments!$J$2:$J$600,MATCH($H425&amp;"|"&amp;$I425&amp;"|"&amp;$J425&amp;"|"&amp;12,Assessments!$A$2:$A$600,0)),0)</f>
        <v>0</v>
      </c>
      <c r="DI425" s="28" t="n">
        <f aca="false">IFERROR(INDEX(Assessments!$J$2:$J$600,MATCH($H425&amp;"|"&amp;$I425&amp;"|"&amp;$J425&amp;"|"&amp;13,Assessments!$A$2:$A$600,0)),0)</f>
        <v>0</v>
      </c>
      <c r="DJ425" s="28" t="n">
        <f aca="false">IFERROR(INDEX(Assessments!$J$2:$J$600,MATCH($H425&amp;"|"&amp;$I425&amp;"|"&amp;$J425&amp;"|"&amp;14,Assessments!$A$2:$A$600,0)),0)</f>
        <v>0</v>
      </c>
      <c r="DK425" s="28" t="str">
        <f aca="false">S425</f>
        <v/>
      </c>
      <c r="DL425" s="28" t="str">
        <f aca="false">W425</f>
        <v/>
      </c>
      <c r="DM425" s="28" t="str">
        <f aca="false">AA425</f>
        <v/>
      </c>
      <c r="DN425" s="28" t="str">
        <f aca="false">AE425</f>
        <v/>
      </c>
      <c r="DO425" s="28" t="str">
        <f aca="false">AI425</f>
        <v/>
      </c>
      <c r="DP425" s="28" t="str">
        <f aca="false">AM425</f>
        <v/>
      </c>
      <c r="DQ425" s="28" t="str">
        <f aca="false">AQ425</f>
        <v/>
      </c>
      <c r="DR425" s="28" t="str">
        <f aca="false">AU425</f>
        <v/>
      </c>
      <c r="DS425" s="28" t="str">
        <f aca="false">AY425</f>
        <v/>
      </c>
      <c r="DT425" s="28" t="str">
        <f aca="false">BC425</f>
        <v/>
      </c>
      <c r="DU425" s="28" t="str">
        <f aca="false">BG425</f>
        <v/>
      </c>
      <c r="DV425" s="28" t="str">
        <f aca="false">BK425</f>
        <v/>
      </c>
      <c r="DW425" s="28" t="str">
        <f aca="false">BO425</f>
        <v/>
      </c>
      <c r="DX425" s="28" t="str">
        <f aca="false">BS425</f>
        <v/>
      </c>
      <c r="DY425" s="28" t="str">
        <f aca="false">IF(ISNUMBER(S425),1,"")</f>
        <v/>
      </c>
      <c r="DZ425" s="28" t="str">
        <f aca="false">IF(ISNUMBER(W425),2,"")</f>
        <v/>
      </c>
      <c r="EA425" s="28" t="str">
        <f aca="false">IF(ISNUMBER(AA425),3,"")</f>
        <v/>
      </c>
      <c r="EB425" s="28" t="str">
        <f aca="false">IF(ISNUMBER(AE425),4,"")</f>
        <v/>
      </c>
      <c r="EC425" s="28" t="str">
        <f aca="false">IF(ISNUMBER(AI425),5,"")</f>
        <v/>
      </c>
      <c r="ED425" s="28" t="str">
        <f aca="false">IF(ISNUMBER(AM425),6,"")</f>
        <v/>
      </c>
      <c r="EE425" s="28" t="str">
        <f aca="false">IF(ISNUMBER(AQ425),7,"")</f>
        <v/>
      </c>
      <c r="EF425" s="28" t="str">
        <f aca="false">IF(ISNUMBER(AU425),8,"")</f>
        <v/>
      </c>
      <c r="EG425" s="28" t="str">
        <f aca="false">IF(ISNUMBER(AY425),9,"")</f>
        <v/>
      </c>
      <c r="EH425" s="28" t="str">
        <f aca="false">IF(ISNUMBER(BC425),10,"")</f>
        <v/>
      </c>
      <c r="EI425" s="28" t="str">
        <f aca="false">IF(ISNUMBER(BG425),11,"")</f>
        <v/>
      </c>
      <c r="EJ425" s="28" t="str">
        <f aca="false">IF(ISNUMBER(BK425),12,"")</f>
        <v/>
      </c>
      <c r="EK425" s="28" t="str">
        <f aca="false">IF(ISNUMBER(BO425),13,"")</f>
        <v/>
      </c>
      <c r="EL425" s="28" t="str">
        <f aca="false">IF(ISNUMBER(BS425),14,"")</f>
        <v/>
      </c>
      <c r="EM425" s="28" t="n">
        <f aca="false">IF(ISNUMBER(R425),R425*CW425,0)</f>
        <v>0</v>
      </c>
      <c r="EN425" s="28" t="n">
        <f aca="false">IF(ISNUMBER(V425),V425*CX425,0)</f>
        <v>0</v>
      </c>
      <c r="EO425" s="28" t="n">
        <f aca="false">IF(ISNUMBER(Z425),Z425*CY425,0)</f>
        <v>0</v>
      </c>
      <c r="EP425" s="28" t="n">
        <f aca="false">IF(ISNUMBER(AD425),AD425*CZ425,0)</f>
        <v>0</v>
      </c>
      <c r="EQ425" s="28" t="n">
        <f aca="false">IF(ISNUMBER(AH425),AH425*DA425,0)</f>
        <v>0</v>
      </c>
      <c r="ER425" s="28" t="n">
        <f aca="false">IF(ISNUMBER(AL425),AL425*DB425,0)</f>
        <v>0</v>
      </c>
      <c r="ES425" s="28" t="n">
        <f aca="false">IF(ISNUMBER(AP425),AP425*DC425,0)</f>
        <v>0</v>
      </c>
      <c r="ET425" s="28" t="n">
        <f aca="false">IF(ISNUMBER(AT425),AT425*DD425,0)</f>
        <v>0</v>
      </c>
      <c r="EU425" s="28" t="n">
        <f aca="false">IF(ISNUMBER(AX425),AX425*DE425,0)</f>
        <v>0</v>
      </c>
      <c r="EV425" s="28" t="n">
        <f aca="false">IF(ISNUMBER(BB425),BB425*DF425,0)</f>
        <v>0</v>
      </c>
      <c r="EW425" s="28" t="n">
        <f aca="false">IF(ISNUMBER(BF425),BF425*DG425,0)</f>
        <v>0</v>
      </c>
      <c r="EX425" s="28" t="n">
        <f aca="false">IF(ISNUMBER(BJ425),BJ425*DH425,0)</f>
        <v>0</v>
      </c>
      <c r="EY425" s="28" t="n">
        <f aca="false">IF(ISNUMBER(BN425),BN425*DI425,0)</f>
        <v>0</v>
      </c>
      <c r="EZ425" s="28" t="n">
        <f aca="false">IF(ISNUMBER(BR425),BR425*DJ425,0)</f>
        <v>0</v>
      </c>
      <c r="FA425" s="28" t="n">
        <f aca="false">IF(ISNUMBER(R425),CW425,0)</f>
        <v>0</v>
      </c>
      <c r="FB425" s="28" t="n">
        <f aca="false">IF(ISNUMBER(V425),CX425,0)</f>
        <v>0</v>
      </c>
      <c r="FC425" s="28" t="n">
        <f aca="false">IF(ISNUMBER(Z425),CY425,0)</f>
        <v>0</v>
      </c>
      <c r="FD425" s="28" t="n">
        <f aca="false">IF(ISNUMBER(AD425),CZ425,0)</f>
        <v>0</v>
      </c>
      <c r="FE425" s="28" t="n">
        <f aca="false">IF(ISNUMBER(AH425),DA425,0)</f>
        <v>0</v>
      </c>
      <c r="FF425" s="28" t="n">
        <f aca="false">IF(ISNUMBER(AL425),DB425,0)</f>
        <v>0</v>
      </c>
      <c r="FG425" s="28" t="n">
        <f aca="false">IF(ISNUMBER(AP425),DC425,0)</f>
        <v>0</v>
      </c>
      <c r="FH425" s="28" t="n">
        <f aca="false">IF(ISNUMBER(AT425),DD425,0)</f>
        <v>0</v>
      </c>
      <c r="FI425" s="28" t="n">
        <f aca="false">IF(ISNUMBER(AX425),DE425,0)</f>
        <v>0</v>
      </c>
      <c r="FJ425" s="28" t="n">
        <f aca="false">IF(ISNUMBER(BB425),DF425,0)</f>
        <v>0</v>
      </c>
      <c r="FK425" s="28" t="n">
        <f aca="false">IF(ISNUMBER(BF425),DG425,0)</f>
        <v>0</v>
      </c>
      <c r="FL425" s="28" t="n">
        <f aca="false">IF(ISNUMBER(BJ425),DH425,0)</f>
        <v>0</v>
      </c>
      <c r="FM425" s="28" t="n">
        <f aca="false">IF(ISNUMBER(BN425),DI425,0)</f>
        <v>0</v>
      </c>
      <c r="FN425" s="28" t="n">
        <f aca="false">IF(ISNUMBER(BR425),DJ425,0)</f>
        <v>0</v>
      </c>
      <c r="FO425" s="28" t="str">
        <f aca="false">IFERROR(INDEX(Lists!$G$2:$G$20,MATCH($I425&amp;"|"&amp;$J425,Lists!$F$2:$F$20,0)),"")</f>
        <v/>
      </c>
    </row>
    <row r="426" customFormat="false" ht="19.5" hidden="false" customHeight="true" outlineLevel="0" collapsed="false">
      <c r="A426" s="29"/>
      <c r="B426" s="29"/>
      <c r="C426" s="30"/>
      <c r="D426" s="30"/>
      <c r="E426" s="31"/>
      <c r="F426" s="30"/>
      <c r="G426" s="30"/>
      <c r="H426" s="32"/>
      <c r="I426" s="33"/>
      <c r="J426" s="32"/>
      <c r="K426" s="34" t="str">
        <f aca="false">IF(OR(M426="",$E426=""),"",M426-$E426)</f>
        <v/>
      </c>
      <c r="L426" s="35" t="str">
        <f aca="false">IF(SUM(FA426:FN426)=0,"",SUM(EM426:EZ426)/SUM(FA426:FN426))</f>
        <v/>
      </c>
      <c r="M426" s="36" t="str">
        <f aca="false">IF(OR(L426="",FO426=""),"",IFERROR(MATCH(L426,INDEX(Boundaries!$B$2:$I$30,MATCH(FO426,Boundaries!$A$2:$A$30,0),0),1)-1,""))</f>
        <v/>
      </c>
      <c r="N426" s="37" t="str">
        <f aca="false">IF(COUNT($DY426:$EL426)&lt;2,"",INDEX($DK426:$DX426,MAX($DY426:$EL426))-INDEX($DK426:$DX426,MIN($DY426:$EL426)))</f>
        <v/>
      </c>
      <c r="O426" s="37" t="str">
        <f aca="false">IF(COUNT($DY426:$EL426)&lt;2,"",INDEX($DK426:$DX426,MAX($DY426:$EL426))-INDEX($DK426:$DX426,LARGE($DY426:$EL426,2)))</f>
        <v/>
      </c>
      <c r="P426" s="38" t="str">
        <f aca="false">IF(K426="","",IF(K426&gt;=0,"On/above target",IF(AND(N426&lt;&gt;"",N426&gt;=0.5),"Improving towards target",IF(AND(O426&lt;&gt;"",O426&lt;=-0.5),"Declining","Stable below target"))))</f>
        <v/>
      </c>
      <c r="Q426" s="39"/>
      <c r="R426" s="40" t="str">
        <f aca="false">IF(OR(Q426="",BU426=""),"",Q426/BU426*100)</f>
        <v/>
      </c>
      <c r="S426" s="41" t="str">
        <f aca="false">IF(R426="","",IFERROR(MATCH(R426,INDEX(Boundaries!$B$2:$I$30,MATCH(CI426,Boundaries!$A$2:$A$30,0),0),1)-1,""))</f>
        <v/>
      </c>
      <c r="T426" s="42" t="str">
        <f aca="false">IF(OR(S426="",$E426=""),"",S426-$E426)</f>
        <v/>
      </c>
      <c r="U426" s="39"/>
      <c r="V426" s="40" t="str">
        <f aca="false">IF(OR(U426="",BV426=""),"",U426/BV426*100)</f>
        <v/>
      </c>
      <c r="W426" s="41" t="str">
        <f aca="false">IF(V426="","",IFERROR(MATCH(V426,INDEX(Boundaries!$B$2:$I$30,MATCH(CJ426,Boundaries!$A$2:$A$30,0),0),1)-1,""))</f>
        <v/>
      </c>
      <c r="X426" s="42" t="str">
        <f aca="false">IF(OR(W426="",$E426=""),"",W426-$E426)</f>
        <v/>
      </c>
      <c r="Y426" s="39"/>
      <c r="Z426" s="40" t="str">
        <f aca="false">IF(OR(Y426="",BW426=""),"",Y426/BW426*100)</f>
        <v/>
      </c>
      <c r="AA426" s="41" t="str">
        <f aca="false">IF(Z426="","",IFERROR(MATCH(Z426,INDEX(Boundaries!$B$2:$I$30,MATCH(CK426,Boundaries!$A$2:$A$30,0),0),1)-1,""))</f>
        <v/>
      </c>
      <c r="AB426" s="42" t="str">
        <f aca="false">IF(OR(AA426="",$E426=""),"",AA426-$E426)</f>
        <v/>
      </c>
      <c r="AC426" s="39"/>
      <c r="AD426" s="40" t="str">
        <f aca="false">IF(OR(AC426="",BX426=""),"",AC426/BX426*100)</f>
        <v/>
      </c>
      <c r="AE426" s="41" t="str">
        <f aca="false">IF(AD426="","",IFERROR(MATCH(AD426,INDEX(Boundaries!$B$2:$I$30,MATCH(CL426,Boundaries!$A$2:$A$30,0),0),1)-1,""))</f>
        <v/>
      </c>
      <c r="AF426" s="42" t="str">
        <f aca="false">IF(OR(AE426="",$E426=""),"",AE426-$E426)</f>
        <v/>
      </c>
      <c r="AG426" s="39"/>
      <c r="AH426" s="40" t="str">
        <f aca="false">IF(OR(AG426="",BY426=""),"",AG426/BY426*100)</f>
        <v/>
      </c>
      <c r="AI426" s="41" t="str">
        <f aca="false">IF(AH426="","",IFERROR(MATCH(AH426,INDEX(Boundaries!$B$2:$I$30,MATCH(CM426,Boundaries!$A$2:$A$30,0),0),1)-1,""))</f>
        <v/>
      </c>
      <c r="AJ426" s="42" t="str">
        <f aca="false">IF(OR(AI426="",$E426=""),"",AI426-$E426)</f>
        <v/>
      </c>
      <c r="AK426" s="39"/>
      <c r="AL426" s="40" t="str">
        <f aca="false">IF(OR(AK426="",BZ426=""),"",AK426/BZ426*100)</f>
        <v/>
      </c>
      <c r="AM426" s="41" t="str">
        <f aca="false">IF(AL426="","",IFERROR(MATCH(AL426,INDEX(Boundaries!$B$2:$I$30,MATCH(CN426,Boundaries!$A$2:$A$30,0),0),1)-1,""))</f>
        <v/>
      </c>
      <c r="AN426" s="42" t="str">
        <f aca="false">IF(OR(AM426="",$E426=""),"",AM426-$E426)</f>
        <v/>
      </c>
      <c r="AO426" s="39"/>
      <c r="AP426" s="40" t="str">
        <f aca="false">IF(OR(AO426="",CA426=""),"",AO426/CA426*100)</f>
        <v/>
      </c>
      <c r="AQ426" s="41" t="str">
        <f aca="false">IF(AP426="","",IFERROR(MATCH(AP426,INDEX(Boundaries!$B$2:$I$30,MATCH(CO426,Boundaries!$A$2:$A$30,0),0),1)-1,""))</f>
        <v/>
      </c>
      <c r="AR426" s="42" t="str">
        <f aca="false">IF(OR(AQ426="",$E426=""),"",AQ426-$E426)</f>
        <v/>
      </c>
      <c r="AS426" s="39"/>
      <c r="AT426" s="40" t="str">
        <f aca="false">IF(OR(AS426="",CB426=""),"",AS426/CB426*100)</f>
        <v/>
      </c>
      <c r="AU426" s="41" t="str">
        <f aca="false">IF(AT426="","",IFERROR(MATCH(AT426,INDEX(Boundaries!$B$2:$I$30,MATCH(CP426,Boundaries!$A$2:$A$30,0),0),1)-1,""))</f>
        <v/>
      </c>
      <c r="AV426" s="42" t="str">
        <f aca="false">IF(OR(AU426="",$E426=""),"",AU426-$E426)</f>
        <v/>
      </c>
      <c r="AW426" s="39"/>
      <c r="AX426" s="40" t="str">
        <f aca="false">IF(OR(AW426="",CC426=""),"",AW426/CC426*100)</f>
        <v/>
      </c>
      <c r="AY426" s="41" t="str">
        <f aca="false">IF(AX426="","",IFERROR(MATCH(AX426,INDEX(Boundaries!$B$2:$I$30,MATCH(CQ426,Boundaries!$A$2:$A$30,0),0),1)-1,""))</f>
        <v/>
      </c>
      <c r="AZ426" s="42" t="str">
        <f aca="false">IF(OR(AY426="",$E426=""),"",AY426-$E426)</f>
        <v/>
      </c>
      <c r="BA426" s="39"/>
      <c r="BB426" s="40" t="str">
        <f aca="false">IF(OR(BA426="",CD426=""),"",BA426/CD426*100)</f>
        <v/>
      </c>
      <c r="BC426" s="41" t="str">
        <f aca="false">IF(BB426="","",IFERROR(MATCH(BB426,INDEX(Boundaries!$B$2:$I$30,MATCH(CR426,Boundaries!$A$2:$A$30,0),0),1)-1,""))</f>
        <v/>
      </c>
      <c r="BD426" s="42" t="str">
        <f aca="false">IF(OR(BC426="",$E426=""),"",BC426-$E426)</f>
        <v/>
      </c>
      <c r="BE426" s="39"/>
      <c r="BF426" s="40" t="str">
        <f aca="false">IF(OR(BE426="",CE426=""),"",BE426/CE426*100)</f>
        <v/>
      </c>
      <c r="BG426" s="41" t="str">
        <f aca="false">IF(BF426="","",IFERROR(MATCH(BF426,INDEX(Boundaries!$B$2:$I$30,MATCH(CS426,Boundaries!$A$2:$A$30,0),0),1)-1,""))</f>
        <v/>
      </c>
      <c r="BH426" s="42" t="str">
        <f aca="false">IF(OR(BG426="",$E426=""),"",BG426-$E426)</f>
        <v/>
      </c>
      <c r="BI426" s="39"/>
      <c r="BJ426" s="40" t="str">
        <f aca="false">IF(OR(BI426="",CF426=""),"",BI426/CF426*100)</f>
        <v/>
      </c>
      <c r="BK426" s="41" t="str">
        <f aca="false">IF(BJ426="","",IFERROR(MATCH(BJ426,INDEX(Boundaries!$B$2:$I$30,MATCH(CT426,Boundaries!$A$2:$A$30,0),0),1)-1,""))</f>
        <v/>
      </c>
      <c r="BL426" s="42" t="str">
        <f aca="false">IF(OR(BK426="",$E426=""),"",BK426-$E426)</f>
        <v/>
      </c>
      <c r="BM426" s="39"/>
      <c r="BN426" s="40" t="str">
        <f aca="false">IF(OR(BM426="",CG426=""),"",BM426/CG426*100)</f>
        <v/>
      </c>
      <c r="BO426" s="41" t="str">
        <f aca="false">IF(BN426="","",IFERROR(MATCH(BN426,INDEX(Boundaries!$B$2:$I$30,MATCH(CU426,Boundaries!$A$2:$A$30,0),0),1)-1,""))</f>
        <v/>
      </c>
      <c r="BP426" s="42" t="str">
        <f aca="false">IF(OR(BO426="",$E426=""),"",BO426-$E426)</f>
        <v/>
      </c>
      <c r="BQ426" s="39"/>
      <c r="BR426" s="40" t="str">
        <f aca="false">IF(OR(BQ426="",CH426=""),"",BQ426/CH426*100)</f>
        <v/>
      </c>
      <c r="BS426" s="41" t="str">
        <f aca="false">IF(BR426="","",IFERROR(MATCH(BR426,INDEX(Boundaries!$B$2:$I$30,MATCH(CV426,Boundaries!$A$2:$A$30,0),0),1)-1,""))</f>
        <v/>
      </c>
      <c r="BT426" s="42" t="str">
        <f aca="false">IF(OR(BS426="",$E426=""),"",BS426-$E426)</f>
        <v/>
      </c>
      <c r="BU426" s="28" t="str">
        <f aca="false">IFERROR(INDEX(Assessments!$H$2:$H$600,MATCH($H426&amp;"|"&amp;$I426&amp;"|"&amp;$J426&amp;"|"&amp;1,Assessments!$A$2:$A$600,0)),"")</f>
        <v/>
      </c>
      <c r="BV426" s="28" t="str">
        <f aca="false">IFERROR(INDEX(Assessments!$H$2:$H$600,MATCH($H426&amp;"|"&amp;$I426&amp;"|"&amp;$J426&amp;"|"&amp;2,Assessments!$A$2:$A$600,0)),"")</f>
        <v/>
      </c>
      <c r="BW426" s="28" t="str">
        <f aca="false">IFERROR(INDEX(Assessments!$H$2:$H$600,MATCH($H426&amp;"|"&amp;$I426&amp;"|"&amp;$J426&amp;"|"&amp;3,Assessments!$A$2:$A$600,0)),"")</f>
        <v/>
      </c>
      <c r="BX426" s="28" t="str">
        <f aca="false">IFERROR(INDEX(Assessments!$H$2:$H$600,MATCH($H426&amp;"|"&amp;$I426&amp;"|"&amp;$J426&amp;"|"&amp;4,Assessments!$A$2:$A$600,0)),"")</f>
        <v/>
      </c>
      <c r="BY426" s="28" t="str">
        <f aca="false">IFERROR(INDEX(Assessments!$H$2:$H$600,MATCH($H426&amp;"|"&amp;$I426&amp;"|"&amp;$J426&amp;"|"&amp;5,Assessments!$A$2:$A$600,0)),"")</f>
        <v/>
      </c>
      <c r="BZ426" s="28" t="str">
        <f aca="false">IFERROR(INDEX(Assessments!$H$2:$H$600,MATCH($H426&amp;"|"&amp;$I426&amp;"|"&amp;$J426&amp;"|"&amp;6,Assessments!$A$2:$A$600,0)),"")</f>
        <v/>
      </c>
      <c r="CA426" s="28" t="str">
        <f aca="false">IFERROR(INDEX(Assessments!$H$2:$H$600,MATCH($H426&amp;"|"&amp;$I426&amp;"|"&amp;$J426&amp;"|"&amp;7,Assessments!$A$2:$A$600,0)),"")</f>
        <v/>
      </c>
      <c r="CB426" s="28" t="str">
        <f aca="false">IFERROR(INDEX(Assessments!$H$2:$H$600,MATCH($H426&amp;"|"&amp;$I426&amp;"|"&amp;$J426&amp;"|"&amp;8,Assessments!$A$2:$A$600,0)),"")</f>
        <v/>
      </c>
      <c r="CC426" s="28" t="str">
        <f aca="false">IFERROR(INDEX(Assessments!$H$2:$H$600,MATCH($H426&amp;"|"&amp;$I426&amp;"|"&amp;$J426&amp;"|"&amp;9,Assessments!$A$2:$A$600,0)),"")</f>
        <v/>
      </c>
      <c r="CD426" s="28" t="str">
        <f aca="false">IFERROR(INDEX(Assessments!$H$2:$H$600,MATCH($H426&amp;"|"&amp;$I426&amp;"|"&amp;$J426&amp;"|"&amp;10,Assessments!$A$2:$A$600,0)),"")</f>
        <v/>
      </c>
      <c r="CE426" s="28" t="str">
        <f aca="false">IFERROR(INDEX(Assessments!$H$2:$H$600,MATCH($H426&amp;"|"&amp;$I426&amp;"|"&amp;$J426&amp;"|"&amp;11,Assessments!$A$2:$A$600,0)),"")</f>
        <v/>
      </c>
      <c r="CF426" s="28" t="str">
        <f aca="false">IFERROR(INDEX(Assessments!$H$2:$H$600,MATCH($H426&amp;"|"&amp;$I426&amp;"|"&amp;$J426&amp;"|"&amp;12,Assessments!$A$2:$A$600,0)),"")</f>
        <v/>
      </c>
      <c r="CG426" s="28" t="str">
        <f aca="false">IFERROR(INDEX(Assessments!$H$2:$H$600,MATCH($H426&amp;"|"&amp;$I426&amp;"|"&amp;$J426&amp;"|"&amp;13,Assessments!$A$2:$A$600,0)),"")</f>
        <v/>
      </c>
      <c r="CH426" s="28" t="str">
        <f aca="false">IFERROR(INDEX(Assessments!$H$2:$H$600,MATCH($H426&amp;"|"&amp;$I426&amp;"|"&amp;$J426&amp;"|"&amp;14,Assessments!$A$2:$A$600,0)),"")</f>
        <v/>
      </c>
      <c r="CI426" s="28" t="str">
        <f aca="false">IFERROR(INDEX(Assessments!$I$2:$I$600,MATCH($H426&amp;"|"&amp;$I426&amp;"|"&amp;$J426&amp;"|"&amp;1,Assessments!$A$2:$A$600,0)),"")</f>
        <v/>
      </c>
      <c r="CJ426" s="28" t="str">
        <f aca="false">IFERROR(INDEX(Assessments!$I$2:$I$600,MATCH($H426&amp;"|"&amp;$I426&amp;"|"&amp;$J426&amp;"|"&amp;2,Assessments!$A$2:$A$600,0)),"")</f>
        <v/>
      </c>
      <c r="CK426" s="28" t="str">
        <f aca="false">IFERROR(INDEX(Assessments!$I$2:$I$600,MATCH($H426&amp;"|"&amp;$I426&amp;"|"&amp;$J426&amp;"|"&amp;3,Assessments!$A$2:$A$600,0)),"")</f>
        <v/>
      </c>
      <c r="CL426" s="28" t="str">
        <f aca="false">IFERROR(INDEX(Assessments!$I$2:$I$600,MATCH($H426&amp;"|"&amp;$I426&amp;"|"&amp;$J426&amp;"|"&amp;4,Assessments!$A$2:$A$600,0)),"")</f>
        <v/>
      </c>
      <c r="CM426" s="28" t="str">
        <f aca="false">IFERROR(INDEX(Assessments!$I$2:$I$600,MATCH($H426&amp;"|"&amp;$I426&amp;"|"&amp;$J426&amp;"|"&amp;5,Assessments!$A$2:$A$600,0)),"")</f>
        <v/>
      </c>
      <c r="CN426" s="28" t="str">
        <f aca="false">IFERROR(INDEX(Assessments!$I$2:$I$600,MATCH($H426&amp;"|"&amp;$I426&amp;"|"&amp;$J426&amp;"|"&amp;6,Assessments!$A$2:$A$600,0)),"")</f>
        <v/>
      </c>
      <c r="CO426" s="28" t="str">
        <f aca="false">IFERROR(INDEX(Assessments!$I$2:$I$600,MATCH($H426&amp;"|"&amp;$I426&amp;"|"&amp;$J426&amp;"|"&amp;7,Assessments!$A$2:$A$600,0)),"")</f>
        <v/>
      </c>
      <c r="CP426" s="28" t="str">
        <f aca="false">IFERROR(INDEX(Assessments!$I$2:$I$600,MATCH($H426&amp;"|"&amp;$I426&amp;"|"&amp;$J426&amp;"|"&amp;8,Assessments!$A$2:$A$600,0)),"")</f>
        <v/>
      </c>
      <c r="CQ426" s="28" t="str">
        <f aca="false">IFERROR(INDEX(Assessments!$I$2:$I$600,MATCH($H426&amp;"|"&amp;$I426&amp;"|"&amp;$J426&amp;"|"&amp;9,Assessments!$A$2:$A$600,0)),"")</f>
        <v/>
      </c>
      <c r="CR426" s="28" t="str">
        <f aca="false">IFERROR(INDEX(Assessments!$I$2:$I$600,MATCH($H426&amp;"|"&amp;$I426&amp;"|"&amp;$J426&amp;"|"&amp;10,Assessments!$A$2:$A$600,0)),"")</f>
        <v/>
      </c>
      <c r="CS426" s="28" t="str">
        <f aca="false">IFERROR(INDEX(Assessments!$I$2:$I$600,MATCH($H426&amp;"|"&amp;$I426&amp;"|"&amp;$J426&amp;"|"&amp;11,Assessments!$A$2:$A$600,0)),"")</f>
        <v/>
      </c>
      <c r="CT426" s="28" t="str">
        <f aca="false">IFERROR(INDEX(Assessments!$I$2:$I$600,MATCH($H426&amp;"|"&amp;$I426&amp;"|"&amp;$J426&amp;"|"&amp;12,Assessments!$A$2:$A$600,0)),"")</f>
        <v/>
      </c>
      <c r="CU426" s="28" t="str">
        <f aca="false">IFERROR(INDEX(Assessments!$I$2:$I$600,MATCH($H426&amp;"|"&amp;$I426&amp;"|"&amp;$J426&amp;"|"&amp;13,Assessments!$A$2:$A$600,0)),"")</f>
        <v/>
      </c>
      <c r="CV426" s="28" t="str">
        <f aca="false">IFERROR(INDEX(Assessments!$I$2:$I$600,MATCH($H426&amp;"|"&amp;$I426&amp;"|"&amp;$J426&amp;"|"&amp;14,Assessments!$A$2:$A$600,0)),"")</f>
        <v/>
      </c>
      <c r="CW426" s="28" t="n">
        <f aca="false">IFERROR(INDEX(Assessments!$J$2:$J$600,MATCH($H426&amp;"|"&amp;$I426&amp;"|"&amp;$J426&amp;"|"&amp;1,Assessments!$A$2:$A$600,0)),0)</f>
        <v>0</v>
      </c>
      <c r="CX426" s="28" t="n">
        <f aca="false">IFERROR(INDEX(Assessments!$J$2:$J$600,MATCH($H426&amp;"|"&amp;$I426&amp;"|"&amp;$J426&amp;"|"&amp;2,Assessments!$A$2:$A$600,0)),0)</f>
        <v>0</v>
      </c>
      <c r="CY426" s="28" t="n">
        <f aca="false">IFERROR(INDEX(Assessments!$J$2:$J$600,MATCH($H426&amp;"|"&amp;$I426&amp;"|"&amp;$J426&amp;"|"&amp;3,Assessments!$A$2:$A$600,0)),0)</f>
        <v>0</v>
      </c>
      <c r="CZ426" s="28" t="n">
        <f aca="false">IFERROR(INDEX(Assessments!$J$2:$J$600,MATCH($H426&amp;"|"&amp;$I426&amp;"|"&amp;$J426&amp;"|"&amp;4,Assessments!$A$2:$A$600,0)),0)</f>
        <v>0</v>
      </c>
      <c r="DA426" s="28" t="n">
        <f aca="false">IFERROR(INDEX(Assessments!$J$2:$J$600,MATCH($H426&amp;"|"&amp;$I426&amp;"|"&amp;$J426&amp;"|"&amp;5,Assessments!$A$2:$A$600,0)),0)</f>
        <v>0</v>
      </c>
      <c r="DB426" s="28" t="n">
        <f aca="false">IFERROR(INDEX(Assessments!$J$2:$J$600,MATCH($H426&amp;"|"&amp;$I426&amp;"|"&amp;$J426&amp;"|"&amp;6,Assessments!$A$2:$A$600,0)),0)</f>
        <v>0</v>
      </c>
      <c r="DC426" s="28" t="n">
        <f aca="false">IFERROR(INDEX(Assessments!$J$2:$J$600,MATCH($H426&amp;"|"&amp;$I426&amp;"|"&amp;$J426&amp;"|"&amp;7,Assessments!$A$2:$A$600,0)),0)</f>
        <v>0</v>
      </c>
      <c r="DD426" s="28" t="n">
        <f aca="false">IFERROR(INDEX(Assessments!$J$2:$J$600,MATCH($H426&amp;"|"&amp;$I426&amp;"|"&amp;$J426&amp;"|"&amp;8,Assessments!$A$2:$A$600,0)),0)</f>
        <v>0</v>
      </c>
      <c r="DE426" s="28" t="n">
        <f aca="false">IFERROR(INDEX(Assessments!$J$2:$J$600,MATCH($H426&amp;"|"&amp;$I426&amp;"|"&amp;$J426&amp;"|"&amp;9,Assessments!$A$2:$A$600,0)),0)</f>
        <v>0</v>
      </c>
      <c r="DF426" s="28" t="n">
        <f aca="false">IFERROR(INDEX(Assessments!$J$2:$J$600,MATCH($H426&amp;"|"&amp;$I426&amp;"|"&amp;$J426&amp;"|"&amp;10,Assessments!$A$2:$A$600,0)),0)</f>
        <v>0</v>
      </c>
      <c r="DG426" s="28" t="n">
        <f aca="false">IFERROR(INDEX(Assessments!$J$2:$J$600,MATCH($H426&amp;"|"&amp;$I426&amp;"|"&amp;$J426&amp;"|"&amp;11,Assessments!$A$2:$A$600,0)),0)</f>
        <v>0</v>
      </c>
      <c r="DH426" s="28" t="n">
        <f aca="false">IFERROR(INDEX(Assessments!$J$2:$J$600,MATCH($H426&amp;"|"&amp;$I426&amp;"|"&amp;$J426&amp;"|"&amp;12,Assessments!$A$2:$A$600,0)),0)</f>
        <v>0</v>
      </c>
      <c r="DI426" s="28" t="n">
        <f aca="false">IFERROR(INDEX(Assessments!$J$2:$J$600,MATCH($H426&amp;"|"&amp;$I426&amp;"|"&amp;$J426&amp;"|"&amp;13,Assessments!$A$2:$A$600,0)),0)</f>
        <v>0</v>
      </c>
      <c r="DJ426" s="28" t="n">
        <f aca="false">IFERROR(INDEX(Assessments!$J$2:$J$600,MATCH($H426&amp;"|"&amp;$I426&amp;"|"&amp;$J426&amp;"|"&amp;14,Assessments!$A$2:$A$600,0)),0)</f>
        <v>0</v>
      </c>
      <c r="DK426" s="28" t="str">
        <f aca="false">S426</f>
        <v/>
      </c>
      <c r="DL426" s="28" t="str">
        <f aca="false">W426</f>
        <v/>
      </c>
      <c r="DM426" s="28" t="str">
        <f aca="false">AA426</f>
        <v/>
      </c>
      <c r="DN426" s="28" t="str">
        <f aca="false">AE426</f>
        <v/>
      </c>
      <c r="DO426" s="28" t="str">
        <f aca="false">AI426</f>
        <v/>
      </c>
      <c r="DP426" s="28" t="str">
        <f aca="false">AM426</f>
        <v/>
      </c>
      <c r="DQ426" s="28" t="str">
        <f aca="false">AQ426</f>
        <v/>
      </c>
      <c r="DR426" s="28" t="str">
        <f aca="false">AU426</f>
        <v/>
      </c>
      <c r="DS426" s="28" t="str">
        <f aca="false">AY426</f>
        <v/>
      </c>
      <c r="DT426" s="28" t="str">
        <f aca="false">BC426</f>
        <v/>
      </c>
      <c r="DU426" s="28" t="str">
        <f aca="false">BG426</f>
        <v/>
      </c>
      <c r="DV426" s="28" t="str">
        <f aca="false">BK426</f>
        <v/>
      </c>
      <c r="DW426" s="28" t="str">
        <f aca="false">BO426</f>
        <v/>
      </c>
      <c r="DX426" s="28" t="str">
        <f aca="false">BS426</f>
        <v/>
      </c>
      <c r="DY426" s="28" t="str">
        <f aca="false">IF(ISNUMBER(S426),1,"")</f>
        <v/>
      </c>
      <c r="DZ426" s="28" t="str">
        <f aca="false">IF(ISNUMBER(W426),2,"")</f>
        <v/>
      </c>
      <c r="EA426" s="28" t="str">
        <f aca="false">IF(ISNUMBER(AA426),3,"")</f>
        <v/>
      </c>
      <c r="EB426" s="28" t="str">
        <f aca="false">IF(ISNUMBER(AE426),4,"")</f>
        <v/>
      </c>
      <c r="EC426" s="28" t="str">
        <f aca="false">IF(ISNUMBER(AI426),5,"")</f>
        <v/>
      </c>
      <c r="ED426" s="28" t="str">
        <f aca="false">IF(ISNUMBER(AM426),6,"")</f>
        <v/>
      </c>
      <c r="EE426" s="28" t="str">
        <f aca="false">IF(ISNUMBER(AQ426),7,"")</f>
        <v/>
      </c>
      <c r="EF426" s="28" t="str">
        <f aca="false">IF(ISNUMBER(AU426),8,"")</f>
        <v/>
      </c>
      <c r="EG426" s="28" t="str">
        <f aca="false">IF(ISNUMBER(AY426),9,"")</f>
        <v/>
      </c>
      <c r="EH426" s="28" t="str">
        <f aca="false">IF(ISNUMBER(BC426),10,"")</f>
        <v/>
      </c>
      <c r="EI426" s="28" t="str">
        <f aca="false">IF(ISNUMBER(BG426),11,"")</f>
        <v/>
      </c>
      <c r="EJ426" s="28" t="str">
        <f aca="false">IF(ISNUMBER(BK426),12,"")</f>
        <v/>
      </c>
      <c r="EK426" s="28" t="str">
        <f aca="false">IF(ISNUMBER(BO426),13,"")</f>
        <v/>
      </c>
      <c r="EL426" s="28" t="str">
        <f aca="false">IF(ISNUMBER(BS426),14,"")</f>
        <v/>
      </c>
      <c r="EM426" s="28" t="n">
        <f aca="false">IF(ISNUMBER(R426),R426*CW426,0)</f>
        <v>0</v>
      </c>
      <c r="EN426" s="28" t="n">
        <f aca="false">IF(ISNUMBER(V426),V426*CX426,0)</f>
        <v>0</v>
      </c>
      <c r="EO426" s="28" t="n">
        <f aca="false">IF(ISNUMBER(Z426),Z426*CY426,0)</f>
        <v>0</v>
      </c>
      <c r="EP426" s="28" t="n">
        <f aca="false">IF(ISNUMBER(AD426),AD426*CZ426,0)</f>
        <v>0</v>
      </c>
      <c r="EQ426" s="28" t="n">
        <f aca="false">IF(ISNUMBER(AH426),AH426*DA426,0)</f>
        <v>0</v>
      </c>
      <c r="ER426" s="28" t="n">
        <f aca="false">IF(ISNUMBER(AL426),AL426*DB426,0)</f>
        <v>0</v>
      </c>
      <c r="ES426" s="28" t="n">
        <f aca="false">IF(ISNUMBER(AP426),AP426*DC426,0)</f>
        <v>0</v>
      </c>
      <c r="ET426" s="28" t="n">
        <f aca="false">IF(ISNUMBER(AT426),AT426*DD426,0)</f>
        <v>0</v>
      </c>
      <c r="EU426" s="28" t="n">
        <f aca="false">IF(ISNUMBER(AX426),AX426*DE426,0)</f>
        <v>0</v>
      </c>
      <c r="EV426" s="28" t="n">
        <f aca="false">IF(ISNUMBER(BB426),BB426*DF426,0)</f>
        <v>0</v>
      </c>
      <c r="EW426" s="28" t="n">
        <f aca="false">IF(ISNUMBER(BF426),BF426*DG426,0)</f>
        <v>0</v>
      </c>
      <c r="EX426" s="28" t="n">
        <f aca="false">IF(ISNUMBER(BJ426),BJ426*DH426,0)</f>
        <v>0</v>
      </c>
      <c r="EY426" s="28" t="n">
        <f aca="false">IF(ISNUMBER(BN426),BN426*DI426,0)</f>
        <v>0</v>
      </c>
      <c r="EZ426" s="28" t="n">
        <f aca="false">IF(ISNUMBER(BR426),BR426*DJ426,0)</f>
        <v>0</v>
      </c>
      <c r="FA426" s="28" t="n">
        <f aca="false">IF(ISNUMBER(R426),CW426,0)</f>
        <v>0</v>
      </c>
      <c r="FB426" s="28" t="n">
        <f aca="false">IF(ISNUMBER(V426),CX426,0)</f>
        <v>0</v>
      </c>
      <c r="FC426" s="28" t="n">
        <f aca="false">IF(ISNUMBER(Z426),CY426,0)</f>
        <v>0</v>
      </c>
      <c r="FD426" s="28" t="n">
        <f aca="false">IF(ISNUMBER(AD426),CZ426,0)</f>
        <v>0</v>
      </c>
      <c r="FE426" s="28" t="n">
        <f aca="false">IF(ISNUMBER(AH426),DA426,0)</f>
        <v>0</v>
      </c>
      <c r="FF426" s="28" t="n">
        <f aca="false">IF(ISNUMBER(AL426),DB426,0)</f>
        <v>0</v>
      </c>
      <c r="FG426" s="28" t="n">
        <f aca="false">IF(ISNUMBER(AP426),DC426,0)</f>
        <v>0</v>
      </c>
      <c r="FH426" s="28" t="n">
        <f aca="false">IF(ISNUMBER(AT426),DD426,0)</f>
        <v>0</v>
      </c>
      <c r="FI426" s="28" t="n">
        <f aca="false">IF(ISNUMBER(AX426),DE426,0)</f>
        <v>0</v>
      </c>
      <c r="FJ426" s="28" t="n">
        <f aca="false">IF(ISNUMBER(BB426),DF426,0)</f>
        <v>0</v>
      </c>
      <c r="FK426" s="28" t="n">
        <f aca="false">IF(ISNUMBER(BF426),DG426,0)</f>
        <v>0</v>
      </c>
      <c r="FL426" s="28" t="n">
        <f aca="false">IF(ISNUMBER(BJ426),DH426,0)</f>
        <v>0</v>
      </c>
      <c r="FM426" s="28" t="n">
        <f aca="false">IF(ISNUMBER(BN426),DI426,0)</f>
        <v>0</v>
      </c>
      <c r="FN426" s="28" t="n">
        <f aca="false">IF(ISNUMBER(BR426),DJ426,0)</f>
        <v>0</v>
      </c>
      <c r="FO426" s="28" t="str">
        <f aca="false">IFERROR(INDEX(Lists!$G$2:$G$20,MATCH($I426&amp;"|"&amp;$J426,Lists!$F$2:$F$20,0)),"")</f>
        <v/>
      </c>
    </row>
    <row r="427" customFormat="false" ht="19.5" hidden="false" customHeight="true" outlineLevel="0" collapsed="false">
      <c r="A427" s="29"/>
      <c r="B427" s="29"/>
      <c r="C427" s="30"/>
      <c r="D427" s="30"/>
      <c r="E427" s="31"/>
      <c r="F427" s="30"/>
      <c r="G427" s="30"/>
      <c r="H427" s="32"/>
      <c r="I427" s="33"/>
      <c r="J427" s="32"/>
      <c r="K427" s="34" t="str">
        <f aca="false">IF(OR(M427="",$E427=""),"",M427-$E427)</f>
        <v/>
      </c>
      <c r="L427" s="35" t="str">
        <f aca="false">IF(SUM(FA427:FN427)=0,"",SUM(EM427:EZ427)/SUM(FA427:FN427))</f>
        <v/>
      </c>
      <c r="M427" s="36" t="str">
        <f aca="false">IF(OR(L427="",FO427=""),"",IFERROR(MATCH(L427,INDEX(Boundaries!$B$2:$I$30,MATCH(FO427,Boundaries!$A$2:$A$30,0),0),1)-1,""))</f>
        <v/>
      </c>
      <c r="N427" s="37" t="str">
        <f aca="false">IF(COUNT($DY427:$EL427)&lt;2,"",INDEX($DK427:$DX427,MAX($DY427:$EL427))-INDEX($DK427:$DX427,MIN($DY427:$EL427)))</f>
        <v/>
      </c>
      <c r="O427" s="37" t="str">
        <f aca="false">IF(COUNT($DY427:$EL427)&lt;2,"",INDEX($DK427:$DX427,MAX($DY427:$EL427))-INDEX($DK427:$DX427,LARGE($DY427:$EL427,2)))</f>
        <v/>
      </c>
      <c r="P427" s="38" t="str">
        <f aca="false">IF(K427="","",IF(K427&gt;=0,"On/above target",IF(AND(N427&lt;&gt;"",N427&gt;=0.5),"Improving towards target",IF(AND(O427&lt;&gt;"",O427&lt;=-0.5),"Declining","Stable below target"))))</f>
        <v/>
      </c>
      <c r="Q427" s="39"/>
      <c r="R427" s="40" t="str">
        <f aca="false">IF(OR(Q427="",BU427=""),"",Q427/BU427*100)</f>
        <v/>
      </c>
      <c r="S427" s="41" t="str">
        <f aca="false">IF(R427="","",IFERROR(MATCH(R427,INDEX(Boundaries!$B$2:$I$30,MATCH(CI427,Boundaries!$A$2:$A$30,0),0),1)-1,""))</f>
        <v/>
      </c>
      <c r="T427" s="42" t="str">
        <f aca="false">IF(OR(S427="",$E427=""),"",S427-$E427)</f>
        <v/>
      </c>
      <c r="U427" s="39"/>
      <c r="V427" s="40" t="str">
        <f aca="false">IF(OR(U427="",BV427=""),"",U427/BV427*100)</f>
        <v/>
      </c>
      <c r="W427" s="41" t="str">
        <f aca="false">IF(V427="","",IFERROR(MATCH(V427,INDEX(Boundaries!$B$2:$I$30,MATCH(CJ427,Boundaries!$A$2:$A$30,0),0),1)-1,""))</f>
        <v/>
      </c>
      <c r="X427" s="42" t="str">
        <f aca="false">IF(OR(W427="",$E427=""),"",W427-$E427)</f>
        <v/>
      </c>
      <c r="Y427" s="39"/>
      <c r="Z427" s="40" t="str">
        <f aca="false">IF(OR(Y427="",BW427=""),"",Y427/BW427*100)</f>
        <v/>
      </c>
      <c r="AA427" s="41" t="str">
        <f aca="false">IF(Z427="","",IFERROR(MATCH(Z427,INDEX(Boundaries!$B$2:$I$30,MATCH(CK427,Boundaries!$A$2:$A$30,0),0),1)-1,""))</f>
        <v/>
      </c>
      <c r="AB427" s="42" t="str">
        <f aca="false">IF(OR(AA427="",$E427=""),"",AA427-$E427)</f>
        <v/>
      </c>
      <c r="AC427" s="39"/>
      <c r="AD427" s="40" t="str">
        <f aca="false">IF(OR(AC427="",BX427=""),"",AC427/BX427*100)</f>
        <v/>
      </c>
      <c r="AE427" s="41" t="str">
        <f aca="false">IF(AD427="","",IFERROR(MATCH(AD427,INDEX(Boundaries!$B$2:$I$30,MATCH(CL427,Boundaries!$A$2:$A$30,0),0),1)-1,""))</f>
        <v/>
      </c>
      <c r="AF427" s="42" t="str">
        <f aca="false">IF(OR(AE427="",$E427=""),"",AE427-$E427)</f>
        <v/>
      </c>
      <c r="AG427" s="39"/>
      <c r="AH427" s="40" t="str">
        <f aca="false">IF(OR(AG427="",BY427=""),"",AG427/BY427*100)</f>
        <v/>
      </c>
      <c r="AI427" s="41" t="str">
        <f aca="false">IF(AH427="","",IFERROR(MATCH(AH427,INDEX(Boundaries!$B$2:$I$30,MATCH(CM427,Boundaries!$A$2:$A$30,0),0),1)-1,""))</f>
        <v/>
      </c>
      <c r="AJ427" s="42" t="str">
        <f aca="false">IF(OR(AI427="",$E427=""),"",AI427-$E427)</f>
        <v/>
      </c>
      <c r="AK427" s="39"/>
      <c r="AL427" s="40" t="str">
        <f aca="false">IF(OR(AK427="",BZ427=""),"",AK427/BZ427*100)</f>
        <v/>
      </c>
      <c r="AM427" s="41" t="str">
        <f aca="false">IF(AL427="","",IFERROR(MATCH(AL427,INDEX(Boundaries!$B$2:$I$30,MATCH(CN427,Boundaries!$A$2:$A$30,0),0),1)-1,""))</f>
        <v/>
      </c>
      <c r="AN427" s="42" t="str">
        <f aca="false">IF(OR(AM427="",$E427=""),"",AM427-$E427)</f>
        <v/>
      </c>
      <c r="AO427" s="39"/>
      <c r="AP427" s="40" t="str">
        <f aca="false">IF(OR(AO427="",CA427=""),"",AO427/CA427*100)</f>
        <v/>
      </c>
      <c r="AQ427" s="41" t="str">
        <f aca="false">IF(AP427="","",IFERROR(MATCH(AP427,INDEX(Boundaries!$B$2:$I$30,MATCH(CO427,Boundaries!$A$2:$A$30,0),0),1)-1,""))</f>
        <v/>
      </c>
      <c r="AR427" s="42" t="str">
        <f aca="false">IF(OR(AQ427="",$E427=""),"",AQ427-$E427)</f>
        <v/>
      </c>
      <c r="AS427" s="39"/>
      <c r="AT427" s="40" t="str">
        <f aca="false">IF(OR(AS427="",CB427=""),"",AS427/CB427*100)</f>
        <v/>
      </c>
      <c r="AU427" s="41" t="str">
        <f aca="false">IF(AT427="","",IFERROR(MATCH(AT427,INDEX(Boundaries!$B$2:$I$30,MATCH(CP427,Boundaries!$A$2:$A$30,0),0),1)-1,""))</f>
        <v/>
      </c>
      <c r="AV427" s="42" t="str">
        <f aca="false">IF(OR(AU427="",$E427=""),"",AU427-$E427)</f>
        <v/>
      </c>
      <c r="AW427" s="39"/>
      <c r="AX427" s="40" t="str">
        <f aca="false">IF(OR(AW427="",CC427=""),"",AW427/CC427*100)</f>
        <v/>
      </c>
      <c r="AY427" s="41" t="str">
        <f aca="false">IF(AX427="","",IFERROR(MATCH(AX427,INDEX(Boundaries!$B$2:$I$30,MATCH(CQ427,Boundaries!$A$2:$A$30,0),0),1)-1,""))</f>
        <v/>
      </c>
      <c r="AZ427" s="42" t="str">
        <f aca="false">IF(OR(AY427="",$E427=""),"",AY427-$E427)</f>
        <v/>
      </c>
      <c r="BA427" s="39"/>
      <c r="BB427" s="40" t="str">
        <f aca="false">IF(OR(BA427="",CD427=""),"",BA427/CD427*100)</f>
        <v/>
      </c>
      <c r="BC427" s="41" t="str">
        <f aca="false">IF(BB427="","",IFERROR(MATCH(BB427,INDEX(Boundaries!$B$2:$I$30,MATCH(CR427,Boundaries!$A$2:$A$30,0),0),1)-1,""))</f>
        <v/>
      </c>
      <c r="BD427" s="42" t="str">
        <f aca="false">IF(OR(BC427="",$E427=""),"",BC427-$E427)</f>
        <v/>
      </c>
      <c r="BE427" s="39"/>
      <c r="BF427" s="40" t="str">
        <f aca="false">IF(OR(BE427="",CE427=""),"",BE427/CE427*100)</f>
        <v/>
      </c>
      <c r="BG427" s="41" t="str">
        <f aca="false">IF(BF427="","",IFERROR(MATCH(BF427,INDEX(Boundaries!$B$2:$I$30,MATCH(CS427,Boundaries!$A$2:$A$30,0),0),1)-1,""))</f>
        <v/>
      </c>
      <c r="BH427" s="42" t="str">
        <f aca="false">IF(OR(BG427="",$E427=""),"",BG427-$E427)</f>
        <v/>
      </c>
      <c r="BI427" s="39"/>
      <c r="BJ427" s="40" t="str">
        <f aca="false">IF(OR(BI427="",CF427=""),"",BI427/CF427*100)</f>
        <v/>
      </c>
      <c r="BK427" s="41" t="str">
        <f aca="false">IF(BJ427="","",IFERROR(MATCH(BJ427,INDEX(Boundaries!$B$2:$I$30,MATCH(CT427,Boundaries!$A$2:$A$30,0),0),1)-1,""))</f>
        <v/>
      </c>
      <c r="BL427" s="42" t="str">
        <f aca="false">IF(OR(BK427="",$E427=""),"",BK427-$E427)</f>
        <v/>
      </c>
      <c r="BM427" s="39"/>
      <c r="BN427" s="40" t="str">
        <f aca="false">IF(OR(BM427="",CG427=""),"",BM427/CG427*100)</f>
        <v/>
      </c>
      <c r="BO427" s="41" t="str">
        <f aca="false">IF(BN427="","",IFERROR(MATCH(BN427,INDEX(Boundaries!$B$2:$I$30,MATCH(CU427,Boundaries!$A$2:$A$30,0),0),1)-1,""))</f>
        <v/>
      </c>
      <c r="BP427" s="42" t="str">
        <f aca="false">IF(OR(BO427="",$E427=""),"",BO427-$E427)</f>
        <v/>
      </c>
      <c r="BQ427" s="39"/>
      <c r="BR427" s="40" t="str">
        <f aca="false">IF(OR(BQ427="",CH427=""),"",BQ427/CH427*100)</f>
        <v/>
      </c>
      <c r="BS427" s="41" t="str">
        <f aca="false">IF(BR427="","",IFERROR(MATCH(BR427,INDEX(Boundaries!$B$2:$I$30,MATCH(CV427,Boundaries!$A$2:$A$30,0),0),1)-1,""))</f>
        <v/>
      </c>
      <c r="BT427" s="42" t="str">
        <f aca="false">IF(OR(BS427="",$E427=""),"",BS427-$E427)</f>
        <v/>
      </c>
      <c r="BU427" s="28" t="str">
        <f aca="false">IFERROR(INDEX(Assessments!$H$2:$H$600,MATCH($H427&amp;"|"&amp;$I427&amp;"|"&amp;$J427&amp;"|"&amp;1,Assessments!$A$2:$A$600,0)),"")</f>
        <v/>
      </c>
      <c r="BV427" s="28" t="str">
        <f aca="false">IFERROR(INDEX(Assessments!$H$2:$H$600,MATCH($H427&amp;"|"&amp;$I427&amp;"|"&amp;$J427&amp;"|"&amp;2,Assessments!$A$2:$A$600,0)),"")</f>
        <v/>
      </c>
      <c r="BW427" s="28" t="str">
        <f aca="false">IFERROR(INDEX(Assessments!$H$2:$H$600,MATCH($H427&amp;"|"&amp;$I427&amp;"|"&amp;$J427&amp;"|"&amp;3,Assessments!$A$2:$A$600,0)),"")</f>
        <v/>
      </c>
      <c r="BX427" s="28" t="str">
        <f aca="false">IFERROR(INDEX(Assessments!$H$2:$H$600,MATCH($H427&amp;"|"&amp;$I427&amp;"|"&amp;$J427&amp;"|"&amp;4,Assessments!$A$2:$A$600,0)),"")</f>
        <v/>
      </c>
      <c r="BY427" s="28" t="str">
        <f aca="false">IFERROR(INDEX(Assessments!$H$2:$H$600,MATCH($H427&amp;"|"&amp;$I427&amp;"|"&amp;$J427&amp;"|"&amp;5,Assessments!$A$2:$A$600,0)),"")</f>
        <v/>
      </c>
      <c r="BZ427" s="28" t="str">
        <f aca="false">IFERROR(INDEX(Assessments!$H$2:$H$600,MATCH($H427&amp;"|"&amp;$I427&amp;"|"&amp;$J427&amp;"|"&amp;6,Assessments!$A$2:$A$600,0)),"")</f>
        <v/>
      </c>
      <c r="CA427" s="28" t="str">
        <f aca="false">IFERROR(INDEX(Assessments!$H$2:$H$600,MATCH($H427&amp;"|"&amp;$I427&amp;"|"&amp;$J427&amp;"|"&amp;7,Assessments!$A$2:$A$600,0)),"")</f>
        <v/>
      </c>
      <c r="CB427" s="28" t="str">
        <f aca="false">IFERROR(INDEX(Assessments!$H$2:$H$600,MATCH($H427&amp;"|"&amp;$I427&amp;"|"&amp;$J427&amp;"|"&amp;8,Assessments!$A$2:$A$600,0)),"")</f>
        <v/>
      </c>
      <c r="CC427" s="28" t="str">
        <f aca="false">IFERROR(INDEX(Assessments!$H$2:$H$600,MATCH($H427&amp;"|"&amp;$I427&amp;"|"&amp;$J427&amp;"|"&amp;9,Assessments!$A$2:$A$600,0)),"")</f>
        <v/>
      </c>
      <c r="CD427" s="28" t="str">
        <f aca="false">IFERROR(INDEX(Assessments!$H$2:$H$600,MATCH($H427&amp;"|"&amp;$I427&amp;"|"&amp;$J427&amp;"|"&amp;10,Assessments!$A$2:$A$600,0)),"")</f>
        <v/>
      </c>
      <c r="CE427" s="28" t="str">
        <f aca="false">IFERROR(INDEX(Assessments!$H$2:$H$600,MATCH($H427&amp;"|"&amp;$I427&amp;"|"&amp;$J427&amp;"|"&amp;11,Assessments!$A$2:$A$600,0)),"")</f>
        <v/>
      </c>
      <c r="CF427" s="28" t="str">
        <f aca="false">IFERROR(INDEX(Assessments!$H$2:$H$600,MATCH($H427&amp;"|"&amp;$I427&amp;"|"&amp;$J427&amp;"|"&amp;12,Assessments!$A$2:$A$600,0)),"")</f>
        <v/>
      </c>
      <c r="CG427" s="28" t="str">
        <f aca="false">IFERROR(INDEX(Assessments!$H$2:$H$600,MATCH($H427&amp;"|"&amp;$I427&amp;"|"&amp;$J427&amp;"|"&amp;13,Assessments!$A$2:$A$600,0)),"")</f>
        <v/>
      </c>
      <c r="CH427" s="28" t="str">
        <f aca="false">IFERROR(INDEX(Assessments!$H$2:$H$600,MATCH($H427&amp;"|"&amp;$I427&amp;"|"&amp;$J427&amp;"|"&amp;14,Assessments!$A$2:$A$600,0)),"")</f>
        <v/>
      </c>
      <c r="CI427" s="28" t="str">
        <f aca="false">IFERROR(INDEX(Assessments!$I$2:$I$600,MATCH($H427&amp;"|"&amp;$I427&amp;"|"&amp;$J427&amp;"|"&amp;1,Assessments!$A$2:$A$600,0)),"")</f>
        <v/>
      </c>
      <c r="CJ427" s="28" t="str">
        <f aca="false">IFERROR(INDEX(Assessments!$I$2:$I$600,MATCH($H427&amp;"|"&amp;$I427&amp;"|"&amp;$J427&amp;"|"&amp;2,Assessments!$A$2:$A$600,0)),"")</f>
        <v/>
      </c>
      <c r="CK427" s="28" t="str">
        <f aca="false">IFERROR(INDEX(Assessments!$I$2:$I$600,MATCH($H427&amp;"|"&amp;$I427&amp;"|"&amp;$J427&amp;"|"&amp;3,Assessments!$A$2:$A$600,0)),"")</f>
        <v/>
      </c>
      <c r="CL427" s="28" t="str">
        <f aca="false">IFERROR(INDEX(Assessments!$I$2:$I$600,MATCH($H427&amp;"|"&amp;$I427&amp;"|"&amp;$J427&amp;"|"&amp;4,Assessments!$A$2:$A$600,0)),"")</f>
        <v/>
      </c>
      <c r="CM427" s="28" t="str">
        <f aca="false">IFERROR(INDEX(Assessments!$I$2:$I$600,MATCH($H427&amp;"|"&amp;$I427&amp;"|"&amp;$J427&amp;"|"&amp;5,Assessments!$A$2:$A$600,0)),"")</f>
        <v/>
      </c>
      <c r="CN427" s="28" t="str">
        <f aca="false">IFERROR(INDEX(Assessments!$I$2:$I$600,MATCH($H427&amp;"|"&amp;$I427&amp;"|"&amp;$J427&amp;"|"&amp;6,Assessments!$A$2:$A$600,0)),"")</f>
        <v/>
      </c>
      <c r="CO427" s="28" t="str">
        <f aca="false">IFERROR(INDEX(Assessments!$I$2:$I$600,MATCH($H427&amp;"|"&amp;$I427&amp;"|"&amp;$J427&amp;"|"&amp;7,Assessments!$A$2:$A$600,0)),"")</f>
        <v/>
      </c>
      <c r="CP427" s="28" t="str">
        <f aca="false">IFERROR(INDEX(Assessments!$I$2:$I$600,MATCH($H427&amp;"|"&amp;$I427&amp;"|"&amp;$J427&amp;"|"&amp;8,Assessments!$A$2:$A$600,0)),"")</f>
        <v/>
      </c>
      <c r="CQ427" s="28" t="str">
        <f aca="false">IFERROR(INDEX(Assessments!$I$2:$I$600,MATCH($H427&amp;"|"&amp;$I427&amp;"|"&amp;$J427&amp;"|"&amp;9,Assessments!$A$2:$A$600,0)),"")</f>
        <v/>
      </c>
      <c r="CR427" s="28" t="str">
        <f aca="false">IFERROR(INDEX(Assessments!$I$2:$I$600,MATCH($H427&amp;"|"&amp;$I427&amp;"|"&amp;$J427&amp;"|"&amp;10,Assessments!$A$2:$A$600,0)),"")</f>
        <v/>
      </c>
      <c r="CS427" s="28" t="str">
        <f aca="false">IFERROR(INDEX(Assessments!$I$2:$I$600,MATCH($H427&amp;"|"&amp;$I427&amp;"|"&amp;$J427&amp;"|"&amp;11,Assessments!$A$2:$A$600,0)),"")</f>
        <v/>
      </c>
      <c r="CT427" s="28" t="str">
        <f aca="false">IFERROR(INDEX(Assessments!$I$2:$I$600,MATCH($H427&amp;"|"&amp;$I427&amp;"|"&amp;$J427&amp;"|"&amp;12,Assessments!$A$2:$A$600,0)),"")</f>
        <v/>
      </c>
      <c r="CU427" s="28" t="str">
        <f aca="false">IFERROR(INDEX(Assessments!$I$2:$I$600,MATCH($H427&amp;"|"&amp;$I427&amp;"|"&amp;$J427&amp;"|"&amp;13,Assessments!$A$2:$A$600,0)),"")</f>
        <v/>
      </c>
      <c r="CV427" s="28" t="str">
        <f aca="false">IFERROR(INDEX(Assessments!$I$2:$I$600,MATCH($H427&amp;"|"&amp;$I427&amp;"|"&amp;$J427&amp;"|"&amp;14,Assessments!$A$2:$A$600,0)),"")</f>
        <v/>
      </c>
      <c r="CW427" s="28" t="n">
        <f aca="false">IFERROR(INDEX(Assessments!$J$2:$J$600,MATCH($H427&amp;"|"&amp;$I427&amp;"|"&amp;$J427&amp;"|"&amp;1,Assessments!$A$2:$A$600,0)),0)</f>
        <v>0</v>
      </c>
      <c r="CX427" s="28" t="n">
        <f aca="false">IFERROR(INDEX(Assessments!$J$2:$J$600,MATCH($H427&amp;"|"&amp;$I427&amp;"|"&amp;$J427&amp;"|"&amp;2,Assessments!$A$2:$A$600,0)),0)</f>
        <v>0</v>
      </c>
      <c r="CY427" s="28" t="n">
        <f aca="false">IFERROR(INDEX(Assessments!$J$2:$J$600,MATCH($H427&amp;"|"&amp;$I427&amp;"|"&amp;$J427&amp;"|"&amp;3,Assessments!$A$2:$A$600,0)),0)</f>
        <v>0</v>
      </c>
      <c r="CZ427" s="28" t="n">
        <f aca="false">IFERROR(INDEX(Assessments!$J$2:$J$600,MATCH($H427&amp;"|"&amp;$I427&amp;"|"&amp;$J427&amp;"|"&amp;4,Assessments!$A$2:$A$600,0)),0)</f>
        <v>0</v>
      </c>
      <c r="DA427" s="28" t="n">
        <f aca="false">IFERROR(INDEX(Assessments!$J$2:$J$600,MATCH($H427&amp;"|"&amp;$I427&amp;"|"&amp;$J427&amp;"|"&amp;5,Assessments!$A$2:$A$600,0)),0)</f>
        <v>0</v>
      </c>
      <c r="DB427" s="28" t="n">
        <f aca="false">IFERROR(INDEX(Assessments!$J$2:$J$600,MATCH($H427&amp;"|"&amp;$I427&amp;"|"&amp;$J427&amp;"|"&amp;6,Assessments!$A$2:$A$600,0)),0)</f>
        <v>0</v>
      </c>
      <c r="DC427" s="28" t="n">
        <f aca="false">IFERROR(INDEX(Assessments!$J$2:$J$600,MATCH($H427&amp;"|"&amp;$I427&amp;"|"&amp;$J427&amp;"|"&amp;7,Assessments!$A$2:$A$600,0)),0)</f>
        <v>0</v>
      </c>
      <c r="DD427" s="28" t="n">
        <f aca="false">IFERROR(INDEX(Assessments!$J$2:$J$600,MATCH($H427&amp;"|"&amp;$I427&amp;"|"&amp;$J427&amp;"|"&amp;8,Assessments!$A$2:$A$600,0)),0)</f>
        <v>0</v>
      </c>
      <c r="DE427" s="28" t="n">
        <f aca="false">IFERROR(INDEX(Assessments!$J$2:$J$600,MATCH($H427&amp;"|"&amp;$I427&amp;"|"&amp;$J427&amp;"|"&amp;9,Assessments!$A$2:$A$600,0)),0)</f>
        <v>0</v>
      </c>
      <c r="DF427" s="28" t="n">
        <f aca="false">IFERROR(INDEX(Assessments!$J$2:$J$600,MATCH($H427&amp;"|"&amp;$I427&amp;"|"&amp;$J427&amp;"|"&amp;10,Assessments!$A$2:$A$600,0)),0)</f>
        <v>0</v>
      </c>
      <c r="DG427" s="28" t="n">
        <f aca="false">IFERROR(INDEX(Assessments!$J$2:$J$600,MATCH($H427&amp;"|"&amp;$I427&amp;"|"&amp;$J427&amp;"|"&amp;11,Assessments!$A$2:$A$600,0)),0)</f>
        <v>0</v>
      </c>
      <c r="DH427" s="28" t="n">
        <f aca="false">IFERROR(INDEX(Assessments!$J$2:$J$600,MATCH($H427&amp;"|"&amp;$I427&amp;"|"&amp;$J427&amp;"|"&amp;12,Assessments!$A$2:$A$600,0)),0)</f>
        <v>0</v>
      </c>
      <c r="DI427" s="28" t="n">
        <f aca="false">IFERROR(INDEX(Assessments!$J$2:$J$600,MATCH($H427&amp;"|"&amp;$I427&amp;"|"&amp;$J427&amp;"|"&amp;13,Assessments!$A$2:$A$600,0)),0)</f>
        <v>0</v>
      </c>
      <c r="DJ427" s="28" t="n">
        <f aca="false">IFERROR(INDEX(Assessments!$J$2:$J$600,MATCH($H427&amp;"|"&amp;$I427&amp;"|"&amp;$J427&amp;"|"&amp;14,Assessments!$A$2:$A$600,0)),0)</f>
        <v>0</v>
      </c>
      <c r="DK427" s="28" t="str">
        <f aca="false">S427</f>
        <v/>
      </c>
      <c r="DL427" s="28" t="str">
        <f aca="false">W427</f>
        <v/>
      </c>
      <c r="DM427" s="28" t="str">
        <f aca="false">AA427</f>
        <v/>
      </c>
      <c r="DN427" s="28" t="str">
        <f aca="false">AE427</f>
        <v/>
      </c>
      <c r="DO427" s="28" t="str">
        <f aca="false">AI427</f>
        <v/>
      </c>
      <c r="DP427" s="28" t="str">
        <f aca="false">AM427</f>
        <v/>
      </c>
      <c r="DQ427" s="28" t="str">
        <f aca="false">AQ427</f>
        <v/>
      </c>
      <c r="DR427" s="28" t="str">
        <f aca="false">AU427</f>
        <v/>
      </c>
      <c r="DS427" s="28" t="str">
        <f aca="false">AY427</f>
        <v/>
      </c>
      <c r="DT427" s="28" t="str">
        <f aca="false">BC427</f>
        <v/>
      </c>
      <c r="DU427" s="28" t="str">
        <f aca="false">BG427</f>
        <v/>
      </c>
      <c r="DV427" s="28" t="str">
        <f aca="false">BK427</f>
        <v/>
      </c>
      <c r="DW427" s="28" t="str">
        <f aca="false">BO427</f>
        <v/>
      </c>
      <c r="DX427" s="28" t="str">
        <f aca="false">BS427</f>
        <v/>
      </c>
      <c r="DY427" s="28" t="str">
        <f aca="false">IF(ISNUMBER(S427),1,"")</f>
        <v/>
      </c>
      <c r="DZ427" s="28" t="str">
        <f aca="false">IF(ISNUMBER(W427),2,"")</f>
        <v/>
      </c>
      <c r="EA427" s="28" t="str">
        <f aca="false">IF(ISNUMBER(AA427),3,"")</f>
        <v/>
      </c>
      <c r="EB427" s="28" t="str">
        <f aca="false">IF(ISNUMBER(AE427),4,"")</f>
        <v/>
      </c>
      <c r="EC427" s="28" t="str">
        <f aca="false">IF(ISNUMBER(AI427),5,"")</f>
        <v/>
      </c>
      <c r="ED427" s="28" t="str">
        <f aca="false">IF(ISNUMBER(AM427),6,"")</f>
        <v/>
      </c>
      <c r="EE427" s="28" t="str">
        <f aca="false">IF(ISNUMBER(AQ427),7,"")</f>
        <v/>
      </c>
      <c r="EF427" s="28" t="str">
        <f aca="false">IF(ISNUMBER(AU427),8,"")</f>
        <v/>
      </c>
      <c r="EG427" s="28" t="str">
        <f aca="false">IF(ISNUMBER(AY427),9,"")</f>
        <v/>
      </c>
      <c r="EH427" s="28" t="str">
        <f aca="false">IF(ISNUMBER(BC427),10,"")</f>
        <v/>
      </c>
      <c r="EI427" s="28" t="str">
        <f aca="false">IF(ISNUMBER(BG427),11,"")</f>
        <v/>
      </c>
      <c r="EJ427" s="28" t="str">
        <f aca="false">IF(ISNUMBER(BK427),12,"")</f>
        <v/>
      </c>
      <c r="EK427" s="28" t="str">
        <f aca="false">IF(ISNUMBER(BO427),13,"")</f>
        <v/>
      </c>
      <c r="EL427" s="28" t="str">
        <f aca="false">IF(ISNUMBER(BS427),14,"")</f>
        <v/>
      </c>
      <c r="EM427" s="28" t="n">
        <f aca="false">IF(ISNUMBER(R427),R427*CW427,0)</f>
        <v>0</v>
      </c>
      <c r="EN427" s="28" t="n">
        <f aca="false">IF(ISNUMBER(V427),V427*CX427,0)</f>
        <v>0</v>
      </c>
      <c r="EO427" s="28" t="n">
        <f aca="false">IF(ISNUMBER(Z427),Z427*CY427,0)</f>
        <v>0</v>
      </c>
      <c r="EP427" s="28" t="n">
        <f aca="false">IF(ISNUMBER(AD427),AD427*CZ427,0)</f>
        <v>0</v>
      </c>
      <c r="EQ427" s="28" t="n">
        <f aca="false">IF(ISNUMBER(AH427),AH427*DA427,0)</f>
        <v>0</v>
      </c>
      <c r="ER427" s="28" t="n">
        <f aca="false">IF(ISNUMBER(AL427),AL427*DB427,0)</f>
        <v>0</v>
      </c>
      <c r="ES427" s="28" t="n">
        <f aca="false">IF(ISNUMBER(AP427),AP427*DC427,0)</f>
        <v>0</v>
      </c>
      <c r="ET427" s="28" t="n">
        <f aca="false">IF(ISNUMBER(AT427),AT427*DD427,0)</f>
        <v>0</v>
      </c>
      <c r="EU427" s="28" t="n">
        <f aca="false">IF(ISNUMBER(AX427),AX427*DE427,0)</f>
        <v>0</v>
      </c>
      <c r="EV427" s="28" t="n">
        <f aca="false">IF(ISNUMBER(BB427),BB427*DF427,0)</f>
        <v>0</v>
      </c>
      <c r="EW427" s="28" t="n">
        <f aca="false">IF(ISNUMBER(BF427),BF427*DG427,0)</f>
        <v>0</v>
      </c>
      <c r="EX427" s="28" t="n">
        <f aca="false">IF(ISNUMBER(BJ427),BJ427*DH427,0)</f>
        <v>0</v>
      </c>
      <c r="EY427" s="28" t="n">
        <f aca="false">IF(ISNUMBER(BN427),BN427*DI427,0)</f>
        <v>0</v>
      </c>
      <c r="EZ427" s="28" t="n">
        <f aca="false">IF(ISNUMBER(BR427),BR427*DJ427,0)</f>
        <v>0</v>
      </c>
      <c r="FA427" s="28" t="n">
        <f aca="false">IF(ISNUMBER(R427),CW427,0)</f>
        <v>0</v>
      </c>
      <c r="FB427" s="28" t="n">
        <f aca="false">IF(ISNUMBER(V427),CX427,0)</f>
        <v>0</v>
      </c>
      <c r="FC427" s="28" t="n">
        <f aca="false">IF(ISNUMBER(Z427),CY427,0)</f>
        <v>0</v>
      </c>
      <c r="FD427" s="28" t="n">
        <f aca="false">IF(ISNUMBER(AD427),CZ427,0)</f>
        <v>0</v>
      </c>
      <c r="FE427" s="28" t="n">
        <f aca="false">IF(ISNUMBER(AH427),DA427,0)</f>
        <v>0</v>
      </c>
      <c r="FF427" s="28" t="n">
        <f aca="false">IF(ISNUMBER(AL427),DB427,0)</f>
        <v>0</v>
      </c>
      <c r="FG427" s="28" t="n">
        <f aca="false">IF(ISNUMBER(AP427),DC427,0)</f>
        <v>0</v>
      </c>
      <c r="FH427" s="28" t="n">
        <f aca="false">IF(ISNUMBER(AT427),DD427,0)</f>
        <v>0</v>
      </c>
      <c r="FI427" s="28" t="n">
        <f aca="false">IF(ISNUMBER(AX427),DE427,0)</f>
        <v>0</v>
      </c>
      <c r="FJ427" s="28" t="n">
        <f aca="false">IF(ISNUMBER(BB427),DF427,0)</f>
        <v>0</v>
      </c>
      <c r="FK427" s="28" t="n">
        <f aca="false">IF(ISNUMBER(BF427),DG427,0)</f>
        <v>0</v>
      </c>
      <c r="FL427" s="28" t="n">
        <f aca="false">IF(ISNUMBER(BJ427),DH427,0)</f>
        <v>0</v>
      </c>
      <c r="FM427" s="28" t="n">
        <f aca="false">IF(ISNUMBER(BN427),DI427,0)</f>
        <v>0</v>
      </c>
      <c r="FN427" s="28" t="n">
        <f aca="false">IF(ISNUMBER(BR427),DJ427,0)</f>
        <v>0</v>
      </c>
      <c r="FO427" s="28" t="str">
        <f aca="false">IFERROR(INDEX(Lists!$G$2:$G$20,MATCH($I427&amp;"|"&amp;$J427,Lists!$F$2:$F$20,0)),"")</f>
        <v/>
      </c>
    </row>
    <row r="428" customFormat="false" ht="19.5" hidden="false" customHeight="true" outlineLevel="0" collapsed="false">
      <c r="A428" s="29"/>
      <c r="B428" s="29"/>
      <c r="C428" s="30"/>
      <c r="D428" s="30"/>
      <c r="E428" s="31"/>
      <c r="F428" s="30"/>
      <c r="G428" s="30"/>
      <c r="H428" s="32"/>
      <c r="I428" s="33"/>
      <c r="J428" s="32"/>
      <c r="K428" s="34" t="str">
        <f aca="false">IF(OR(M428="",$E428=""),"",M428-$E428)</f>
        <v/>
      </c>
      <c r="L428" s="35" t="str">
        <f aca="false">IF(SUM(FA428:FN428)=0,"",SUM(EM428:EZ428)/SUM(FA428:FN428))</f>
        <v/>
      </c>
      <c r="M428" s="36" t="str">
        <f aca="false">IF(OR(L428="",FO428=""),"",IFERROR(MATCH(L428,INDEX(Boundaries!$B$2:$I$30,MATCH(FO428,Boundaries!$A$2:$A$30,0),0),1)-1,""))</f>
        <v/>
      </c>
      <c r="N428" s="37" t="str">
        <f aca="false">IF(COUNT($DY428:$EL428)&lt;2,"",INDEX($DK428:$DX428,MAX($DY428:$EL428))-INDEX($DK428:$DX428,MIN($DY428:$EL428)))</f>
        <v/>
      </c>
      <c r="O428" s="37" t="str">
        <f aca="false">IF(COUNT($DY428:$EL428)&lt;2,"",INDEX($DK428:$DX428,MAX($DY428:$EL428))-INDEX($DK428:$DX428,LARGE($DY428:$EL428,2)))</f>
        <v/>
      </c>
      <c r="P428" s="38" t="str">
        <f aca="false">IF(K428="","",IF(K428&gt;=0,"On/above target",IF(AND(N428&lt;&gt;"",N428&gt;=0.5),"Improving towards target",IF(AND(O428&lt;&gt;"",O428&lt;=-0.5),"Declining","Stable below target"))))</f>
        <v/>
      </c>
      <c r="Q428" s="39"/>
      <c r="R428" s="40" t="str">
        <f aca="false">IF(OR(Q428="",BU428=""),"",Q428/BU428*100)</f>
        <v/>
      </c>
      <c r="S428" s="41" t="str">
        <f aca="false">IF(R428="","",IFERROR(MATCH(R428,INDEX(Boundaries!$B$2:$I$30,MATCH(CI428,Boundaries!$A$2:$A$30,0),0),1)-1,""))</f>
        <v/>
      </c>
      <c r="T428" s="42" t="str">
        <f aca="false">IF(OR(S428="",$E428=""),"",S428-$E428)</f>
        <v/>
      </c>
      <c r="U428" s="39"/>
      <c r="V428" s="40" t="str">
        <f aca="false">IF(OR(U428="",BV428=""),"",U428/BV428*100)</f>
        <v/>
      </c>
      <c r="W428" s="41" t="str">
        <f aca="false">IF(V428="","",IFERROR(MATCH(V428,INDEX(Boundaries!$B$2:$I$30,MATCH(CJ428,Boundaries!$A$2:$A$30,0),0),1)-1,""))</f>
        <v/>
      </c>
      <c r="X428" s="42" t="str">
        <f aca="false">IF(OR(W428="",$E428=""),"",W428-$E428)</f>
        <v/>
      </c>
      <c r="Y428" s="39"/>
      <c r="Z428" s="40" t="str">
        <f aca="false">IF(OR(Y428="",BW428=""),"",Y428/BW428*100)</f>
        <v/>
      </c>
      <c r="AA428" s="41" t="str">
        <f aca="false">IF(Z428="","",IFERROR(MATCH(Z428,INDEX(Boundaries!$B$2:$I$30,MATCH(CK428,Boundaries!$A$2:$A$30,0),0),1)-1,""))</f>
        <v/>
      </c>
      <c r="AB428" s="42" t="str">
        <f aca="false">IF(OR(AA428="",$E428=""),"",AA428-$E428)</f>
        <v/>
      </c>
      <c r="AC428" s="39"/>
      <c r="AD428" s="40" t="str">
        <f aca="false">IF(OR(AC428="",BX428=""),"",AC428/BX428*100)</f>
        <v/>
      </c>
      <c r="AE428" s="41" t="str">
        <f aca="false">IF(AD428="","",IFERROR(MATCH(AD428,INDEX(Boundaries!$B$2:$I$30,MATCH(CL428,Boundaries!$A$2:$A$30,0),0),1)-1,""))</f>
        <v/>
      </c>
      <c r="AF428" s="42" t="str">
        <f aca="false">IF(OR(AE428="",$E428=""),"",AE428-$E428)</f>
        <v/>
      </c>
      <c r="AG428" s="39"/>
      <c r="AH428" s="40" t="str">
        <f aca="false">IF(OR(AG428="",BY428=""),"",AG428/BY428*100)</f>
        <v/>
      </c>
      <c r="AI428" s="41" t="str">
        <f aca="false">IF(AH428="","",IFERROR(MATCH(AH428,INDEX(Boundaries!$B$2:$I$30,MATCH(CM428,Boundaries!$A$2:$A$30,0),0),1)-1,""))</f>
        <v/>
      </c>
      <c r="AJ428" s="42" t="str">
        <f aca="false">IF(OR(AI428="",$E428=""),"",AI428-$E428)</f>
        <v/>
      </c>
      <c r="AK428" s="39"/>
      <c r="AL428" s="40" t="str">
        <f aca="false">IF(OR(AK428="",BZ428=""),"",AK428/BZ428*100)</f>
        <v/>
      </c>
      <c r="AM428" s="41" t="str">
        <f aca="false">IF(AL428="","",IFERROR(MATCH(AL428,INDEX(Boundaries!$B$2:$I$30,MATCH(CN428,Boundaries!$A$2:$A$30,0),0),1)-1,""))</f>
        <v/>
      </c>
      <c r="AN428" s="42" t="str">
        <f aca="false">IF(OR(AM428="",$E428=""),"",AM428-$E428)</f>
        <v/>
      </c>
      <c r="AO428" s="39"/>
      <c r="AP428" s="40" t="str">
        <f aca="false">IF(OR(AO428="",CA428=""),"",AO428/CA428*100)</f>
        <v/>
      </c>
      <c r="AQ428" s="41" t="str">
        <f aca="false">IF(AP428="","",IFERROR(MATCH(AP428,INDEX(Boundaries!$B$2:$I$30,MATCH(CO428,Boundaries!$A$2:$A$30,0),0),1)-1,""))</f>
        <v/>
      </c>
      <c r="AR428" s="42" t="str">
        <f aca="false">IF(OR(AQ428="",$E428=""),"",AQ428-$E428)</f>
        <v/>
      </c>
      <c r="AS428" s="39"/>
      <c r="AT428" s="40" t="str">
        <f aca="false">IF(OR(AS428="",CB428=""),"",AS428/CB428*100)</f>
        <v/>
      </c>
      <c r="AU428" s="41" t="str">
        <f aca="false">IF(AT428="","",IFERROR(MATCH(AT428,INDEX(Boundaries!$B$2:$I$30,MATCH(CP428,Boundaries!$A$2:$A$30,0),0),1)-1,""))</f>
        <v/>
      </c>
      <c r="AV428" s="42" t="str">
        <f aca="false">IF(OR(AU428="",$E428=""),"",AU428-$E428)</f>
        <v/>
      </c>
      <c r="AW428" s="39"/>
      <c r="AX428" s="40" t="str">
        <f aca="false">IF(OR(AW428="",CC428=""),"",AW428/CC428*100)</f>
        <v/>
      </c>
      <c r="AY428" s="41" t="str">
        <f aca="false">IF(AX428="","",IFERROR(MATCH(AX428,INDEX(Boundaries!$B$2:$I$30,MATCH(CQ428,Boundaries!$A$2:$A$30,0),0),1)-1,""))</f>
        <v/>
      </c>
      <c r="AZ428" s="42" t="str">
        <f aca="false">IF(OR(AY428="",$E428=""),"",AY428-$E428)</f>
        <v/>
      </c>
      <c r="BA428" s="39"/>
      <c r="BB428" s="40" t="str">
        <f aca="false">IF(OR(BA428="",CD428=""),"",BA428/CD428*100)</f>
        <v/>
      </c>
      <c r="BC428" s="41" t="str">
        <f aca="false">IF(BB428="","",IFERROR(MATCH(BB428,INDEX(Boundaries!$B$2:$I$30,MATCH(CR428,Boundaries!$A$2:$A$30,0),0),1)-1,""))</f>
        <v/>
      </c>
      <c r="BD428" s="42" t="str">
        <f aca="false">IF(OR(BC428="",$E428=""),"",BC428-$E428)</f>
        <v/>
      </c>
      <c r="BE428" s="39"/>
      <c r="BF428" s="40" t="str">
        <f aca="false">IF(OR(BE428="",CE428=""),"",BE428/CE428*100)</f>
        <v/>
      </c>
      <c r="BG428" s="41" t="str">
        <f aca="false">IF(BF428="","",IFERROR(MATCH(BF428,INDEX(Boundaries!$B$2:$I$30,MATCH(CS428,Boundaries!$A$2:$A$30,0),0),1)-1,""))</f>
        <v/>
      </c>
      <c r="BH428" s="42" t="str">
        <f aca="false">IF(OR(BG428="",$E428=""),"",BG428-$E428)</f>
        <v/>
      </c>
      <c r="BI428" s="39"/>
      <c r="BJ428" s="40" t="str">
        <f aca="false">IF(OR(BI428="",CF428=""),"",BI428/CF428*100)</f>
        <v/>
      </c>
      <c r="BK428" s="41" t="str">
        <f aca="false">IF(BJ428="","",IFERROR(MATCH(BJ428,INDEX(Boundaries!$B$2:$I$30,MATCH(CT428,Boundaries!$A$2:$A$30,0),0),1)-1,""))</f>
        <v/>
      </c>
      <c r="BL428" s="42" t="str">
        <f aca="false">IF(OR(BK428="",$E428=""),"",BK428-$E428)</f>
        <v/>
      </c>
      <c r="BM428" s="39"/>
      <c r="BN428" s="40" t="str">
        <f aca="false">IF(OR(BM428="",CG428=""),"",BM428/CG428*100)</f>
        <v/>
      </c>
      <c r="BO428" s="41" t="str">
        <f aca="false">IF(BN428="","",IFERROR(MATCH(BN428,INDEX(Boundaries!$B$2:$I$30,MATCH(CU428,Boundaries!$A$2:$A$30,0),0),1)-1,""))</f>
        <v/>
      </c>
      <c r="BP428" s="42" t="str">
        <f aca="false">IF(OR(BO428="",$E428=""),"",BO428-$E428)</f>
        <v/>
      </c>
      <c r="BQ428" s="39"/>
      <c r="BR428" s="40" t="str">
        <f aca="false">IF(OR(BQ428="",CH428=""),"",BQ428/CH428*100)</f>
        <v/>
      </c>
      <c r="BS428" s="41" t="str">
        <f aca="false">IF(BR428="","",IFERROR(MATCH(BR428,INDEX(Boundaries!$B$2:$I$30,MATCH(CV428,Boundaries!$A$2:$A$30,0),0),1)-1,""))</f>
        <v/>
      </c>
      <c r="BT428" s="42" t="str">
        <f aca="false">IF(OR(BS428="",$E428=""),"",BS428-$E428)</f>
        <v/>
      </c>
      <c r="BU428" s="28" t="str">
        <f aca="false">IFERROR(INDEX(Assessments!$H$2:$H$600,MATCH($H428&amp;"|"&amp;$I428&amp;"|"&amp;$J428&amp;"|"&amp;1,Assessments!$A$2:$A$600,0)),"")</f>
        <v/>
      </c>
      <c r="BV428" s="28" t="str">
        <f aca="false">IFERROR(INDEX(Assessments!$H$2:$H$600,MATCH($H428&amp;"|"&amp;$I428&amp;"|"&amp;$J428&amp;"|"&amp;2,Assessments!$A$2:$A$600,0)),"")</f>
        <v/>
      </c>
      <c r="BW428" s="28" t="str">
        <f aca="false">IFERROR(INDEX(Assessments!$H$2:$H$600,MATCH($H428&amp;"|"&amp;$I428&amp;"|"&amp;$J428&amp;"|"&amp;3,Assessments!$A$2:$A$600,0)),"")</f>
        <v/>
      </c>
      <c r="BX428" s="28" t="str">
        <f aca="false">IFERROR(INDEX(Assessments!$H$2:$H$600,MATCH($H428&amp;"|"&amp;$I428&amp;"|"&amp;$J428&amp;"|"&amp;4,Assessments!$A$2:$A$600,0)),"")</f>
        <v/>
      </c>
      <c r="BY428" s="28" t="str">
        <f aca="false">IFERROR(INDEX(Assessments!$H$2:$H$600,MATCH($H428&amp;"|"&amp;$I428&amp;"|"&amp;$J428&amp;"|"&amp;5,Assessments!$A$2:$A$600,0)),"")</f>
        <v/>
      </c>
      <c r="BZ428" s="28" t="str">
        <f aca="false">IFERROR(INDEX(Assessments!$H$2:$H$600,MATCH($H428&amp;"|"&amp;$I428&amp;"|"&amp;$J428&amp;"|"&amp;6,Assessments!$A$2:$A$600,0)),"")</f>
        <v/>
      </c>
      <c r="CA428" s="28" t="str">
        <f aca="false">IFERROR(INDEX(Assessments!$H$2:$H$600,MATCH($H428&amp;"|"&amp;$I428&amp;"|"&amp;$J428&amp;"|"&amp;7,Assessments!$A$2:$A$600,0)),"")</f>
        <v/>
      </c>
      <c r="CB428" s="28" t="str">
        <f aca="false">IFERROR(INDEX(Assessments!$H$2:$H$600,MATCH($H428&amp;"|"&amp;$I428&amp;"|"&amp;$J428&amp;"|"&amp;8,Assessments!$A$2:$A$600,0)),"")</f>
        <v/>
      </c>
      <c r="CC428" s="28" t="str">
        <f aca="false">IFERROR(INDEX(Assessments!$H$2:$H$600,MATCH($H428&amp;"|"&amp;$I428&amp;"|"&amp;$J428&amp;"|"&amp;9,Assessments!$A$2:$A$600,0)),"")</f>
        <v/>
      </c>
      <c r="CD428" s="28" t="str">
        <f aca="false">IFERROR(INDEX(Assessments!$H$2:$H$600,MATCH($H428&amp;"|"&amp;$I428&amp;"|"&amp;$J428&amp;"|"&amp;10,Assessments!$A$2:$A$600,0)),"")</f>
        <v/>
      </c>
      <c r="CE428" s="28" t="str">
        <f aca="false">IFERROR(INDEX(Assessments!$H$2:$H$600,MATCH($H428&amp;"|"&amp;$I428&amp;"|"&amp;$J428&amp;"|"&amp;11,Assessments!$A$2:$A$600,0)),"")</f>
        <v/>
      </c>
      <c r="CF428" s="28" t="str">
        <f aca="false">IFERROR(INDEX(Assessments!$H$2:$H$600,MATCH($H428&amp;"|"&amp;$I428&amp;"|"&amp;$J428&amp;"|"&amp;12,Assessments!$A$2:$A$600,0)),"")</f>
        <v/>
      </c>
      <c r="CG428" s="28" t="str">
        <f aca="false">IFERROR(INDEX(Assessments!$H$2:$H$600,MATCH($H428&amp;"|"&amp;$I428&amp;"|"&amp;$J428&amp;"|"&amp;13,Assessments!$A$2:$A$600,0)),"")</f>
        <v/>
      </c>
      <c r="CH428" s="28" t="str">
        <f aca="false">IFERROR(INDEX(Assessments!$H$2:$H$600,MATCH($H428&amp;"|"&amp;$I428&amp;"|"&amp;$J428&amp;"|"&amp;14,Assessments!$A$2:$A$600,0)),"")</f>
        <v/>
      </c>
      <c r="CI428" s="28" t="str">
        <f aca="false">IFERROR(INDEX(Assessments!$I$2:$I$600,MATCH($H428&amp;"|"&amp;$I428&amp;"|"&amp;$J428&amp;"|"&amp;1,Assessments!$A$2:$A$600,0)),"")</f>
        <v/>
      </c>
      <c r="CJ428" s="28" t="str">
        <f aca="false">IFERROR(INDEX(Assessments!$I$2:$I$600,MATCH($H428&amp;"|"&amp;$I428&amp;"|"&amp;$J428&amp;"|"&amp;2,Assessments!$A$2:$A$600,0)),"")</f>
        <v/>
      </c>
      <c r="CK428" s="28" t="str">
        <f aca="false">IFERROR(INDEX(Assessments!$I$2:$I$600,MATCH($H428&amp;"|"&amp;$I428&amp;"|"&amp;$J428&amp;"|"&amp;3,Assessments!$A$2:$A$600,0)),"")</f>
        <v/>
      </c>
      <c r="CL428" s="28" t="str">
        <f aca="false">IFERROR(INDEX(Assessments!$I$2:$I$600,MATCH($H428&amp;"|"&amp;$I428&amp;"|"&amp;$J428&amp;"|"&amp;4,Assessments!$A$2:$A$600,0)),"")</f>
        <v/>
      </c>
      <c r="CM428" s="28" t="str">
        <f aca="false">IFERROR(INDEX(Assessments!$I$2:$I$600,MATCH($H428&amp;"|"&amp;$I428&amp;"|"&amp;$J428&amp;"|"&amp;5,Assessments!$A$2:$A$600,0)),"")</f>
        <v/>
      </c>
      <c r="CN428" s="28" t="str">
        <f aca="false">IFERROR(INDEX(Assessments!$I$2:$I$600,MATCH($H428&amp;"|"&amp;$I428&amp;"|"&amp;$J428&amp;"|"&amp;6,Assessments!$A$2:$A$600,0)),"")</f>
        <v/>
      </c>
      <c r="CO428" s="28" t="str">
        <f aca="false">IFERROR(INDEX(Assessments!$I$2:$I$600,MATCH($H428&amp;"|"&amp;$I428&amp;"|"&amp;$J428&amp;"|"&amp;7,Assessments!$A$2:$A$600,0)),"")</f>
        <v/>
      </c>
      <c r="CP428" s="28" t="str">
        <f aca="false">IFERROR(INDEX(Assessments!$I$2:$I$600,MATCH($H428&amp;"|"&amp;$I428&amp;"|"&amp;$J428&amp;"|"&amp;8,Assessments!$A$2:$A$600,0)),"")</f>
        <v/>
      </c>
      <c r="CQ428" s="28" t="str">
        <f aca="false">IFERROR(INDEX(Assessments!$I$2:$I$600,MATCH($H428&amp;"|"&amp;$I428&amp;"|"&amp;$J428&amp;"|"&amp;9,Assessments!$A$2:$A$600,0)),"")</f>
        <v/>
      </c>
      <c r="CR428" s="28" t="str">
        <f aca="false">IFERROR(INDEX(Assessments!$I$2:$I$600,MATCH($H428&amp;"|"&amp;$I428&amp;"|"&amp;$J428&amp;"|"&amp;10,Assessments!$A$2:$A$600,0)),"")</f>
        <v/>
      </c>
      <c r="CS428" s="28" t="str">
        <f aca="false">IFERROR(INDEX(Assessments!$I$2:$I$600,MATCH($H428&amp;"|"&amp;$I428&amp;"|"&amp;$J428&amp;"|"&amp;11,Assessments!$A$2:$A$600,0)),"")</f>
        <v/>
      </c>
      <c r="CT428" s="28" t="str">
        <f aca="false">IFERROR(INDEX(Assessments!$I$2:$I$600,MATCH($H428&amp;"|"&amp;$I428&amp;"|"&amp;$J428&amp;"|"&amp;12,Assessments!$A$2:$A$600,0)),"")</f>
        <v/>
      </c>
      <c r="CU428" s="28" t="str">
        <f aca="false">IFERROR(INDEX(Assessments!$I$2:$I$600,MATCH($H428&amp;"|"&amp;$I428&amp;"|"&amp;$J428&amp;"|"&amp;13,Assessments!$A$2:$A$600,0)),"")</f>
        <v/>
      </c>
      <c r="CV428" s="28" t="str">
        <f aca="false">IFERROR(INDEX(Assessments!$I$2:$I$600,MATCH($H428&amp;"|"&amp;$I428&amp;"|"&amp;$J428&amp;"|"&amp;14,Assessments!$A$2:$A$600,0)),"")</f>
        <v/>
      </c>
      <c r="CW428" s="28" t="n">
        <f aca="false">IFERROR(INDEX(Assessments!$J$2:$J$600,MATCH($H428&amp;"|"&amp;$I428&amp;"|"&amp;$J428&amp;"|"&amp;1,Assessments!$A$2:$A$600,0)),0)</f>
        <v>0</v>
      </c>
      <c r="CX428" s="28" t="n">
        <f aca="false">IFERROR(INDEX(Assessments!$J$2:$J$600,MATCH($H428&amp;"|"&amp;$I428&amp;"|"&amp;$J428&amp;"|"&amp;2,Assessments!$A$2:$A$600,0)),0)</f>
        <v>0</v>
      </c>
      <c r="CY428" s="28" t="n">
        <f aca="false">IFERROR(INDEX(Assessments!$J$2:$J$600,MATCH($H428&amp;"|"&amp;$I428&amp;"|"&amp;$J428&amp;"|"&amp;3,Assessments!$A$2:$A$600,0)),0)</f>
        <v>0</v>
      </c>
      <c r="CZ428" s="28" t="n">
        <f aca="false">IFERROR(INDEX(Assessments!$J$2:$J$600,MATCH($H428&amp;"|"&amp;$I428&amp;"|"&amp;$J428&amp;"|"&amp;4,Assessments!$A$2:$A$600,0)),0)</f>
        <v>0</v>
      </c>
      <c r="DA428" s="28" t="n">
        <f aca="false">IFERROR(INDEX(Assessments!$J$2:$J$600,MATCH($H428&amp;"|"&amp;$I428&amp;"|"&amp;$J428&amp;"|"&amp;5,Assessments!$A$2:$A$600,0)),0)</f>
        <v>0</v>
      </c>
      <c r="DB428" s="28" t="n">
        <f aca="false">IFERROR(INDEX(Assessments!$J$2:$J$600,MATCH($H428&amp;"|"&amp;$I428&amp;"|"&amp;$J428&amp;"|"&amp;6,Assessments!$A$2:$A$600,0)),0)</f>
        <v>0</v>
      </c>
      <c r="DC428" s="28" t="n">
        <f aca="false">IFERROR(INDEX(Assessments!$J$2:$J$600,MATCH($H428&amp;"|"&amp;$I428&amp;"|"&amp;$J428&amp;"|"&amp;7,Assessments!$A$2:$A$600,0)),0)</f>
        <v>0</v>
      </c>
      <c r="DD428" s="28" t="n">
        <f aca="false">IFERROR(INDEX(Assessments!$J$2:$J$600,MATCH($H428&amp;"|"&amp;$I428&amp;"|"&amp;$J428&amp;"|"&amp;8,Assessments!$A$2:$A$600,0)),0)</f>
        <v>0</v>
      </c>
      <c r="DE428" s="28" t="n">
        <f aca="false">IFERROR(INDEX(Assessments!$J$2:$J$600,MATCH($H428&amp;"|"&amp;$I428&amp;"|"&amp;$J428&amp;"|"&amp;9,Assessments!$A$2:$A$600,0)),0)</f>
        <v>0</v>
      </c>
      <c r="DF428" s="28" t="n">
        <f aca="false">IFERROR(INDEX(Assessments!$J$2:$J$600,MATCH($H428&amp;"|"&amp;$I428&amp;"|"&amp;$J428&amp;"|"&amp;10,Assessments!$A$2:$A$600,0)),0)</f>
        <v>0</v>
      </c>
      <c r="DG428" s="28" t="n">
        <f aca="false">IFERROR(INDEX(Assessments!$J$2:$J$600,MATCH($H428&amp;"|"&amp;$I428&amp;"|"&amp;$J428&amp;"|"&amp;11,Assessments!$A$2:$A$600,0)),0)</f>
        <v>0</v>
      </c>
      <c r="DH428" s="28" t="n">
        <f aca="false">IFERROR(INDEX(Assessments!$J$2:$J$600,MATCH($H428&amp;"|"&amp;$I428&amp;"|"&amp;$J428&amp;"|"&amp;12,Assessments!$A$2:$A$600,0)),0)</f>
        <v>0</v>
      </c>
      <c r="DI428" s="28" t="n">
        <f aca="false">IFERROR(INDEX(Assessments!$J$2:$J$600,MATCH($H428&amp;"|"&amp;$I428&amp;"|"&amp;$J428&amp;"|"&amp;13,Assessments!$A$2:$A$600,0)),0)</f>
        <v>0</v>
      </c>
      <c r="DJ428" s="28" t="n">
        <f aca="false">IFERROR(INDEX(Assessments!$J$2:$J$600,MATCH($H428&amp;"|"&amp;$I428&amp;"|"&amp;$J428&amp;"|"&amp;14,Assessments!$A$2:$A$600,0)),0)</f>
        <v>0</v>
      </c>
      <c r="DK428" s="28" t="str">
        <f aca="false">S428</f>
        <v/>
      </c>
      <c r="DL428" s="28" t="str">
        <f aca="false">W428</f>
        <v/>
      </c>
      <c r="DM428" s="28" t="str">
        <f aca="false">AA428</f>
        <v/>
      </c>
      <c r="DN428" s="28" t="str">
        <f aca="false">AE428</f>
        <v/>
      </c>
      <c r="DO428" s="28" t="str">
        <f aca="false">AI428</f>
        <v/>
      </c>
      <c r="DP428" s="28" t="str">
        <f aca="false">AM428</f>
        <v/>
      </c>
      <c r="DQ428" s="28" t="str">
        <f aca="false">AQ428</f>
        <v/>
      </c>
      <c r="DR428" s="28" t="str">
        <f aca="false">AU428</f>
        <v/>
      </c>
      <c r="DS428" s="28" t="str">
        <f aca="false">AY428</f>
        <v/>
      </c>
      <c r="DT428" s="28" t="str">
        <f aca="false">BC428</f>
        <v/>
      </c>
      <c r="DU428" s="28" t="str">
        <f aca="false">BG428</f>
        <v/>
      </c>
      <c r="DV428" s="28" t="str">
        <f aca="false">BK428</f>
        <v/>
      </c>
      <c r="DW428" s="28" t="str">
        <f aca="false">BO428</f>
        <v/>
      </c>
      <c r="DX428" s="28" t="str">
        <f aca="false">BS428</f>
        <v/>
      </c>
      <c r="DY428" s="28" t="str">
        <f aca="false">IF(ISNUMBER(S428),1,"")</f>
        <v/>
      </c>
      <c r="DZ428" s="28" t="str">
        <f aca="false">IF(ISNUMBER(W428),2,"")</f>
        <v/>
      </c>
      <c r="EA428" s="28" t="str">
        <f aca="false">IF(ISNUMBER(AA428),3,"")</f>
        <v/>
      </c>
      <c r="EB428" s="28" t="str">
        <f aca="false">IF(ISNUMBER(AE428),4,"")</f>
        <v/>
      </c>
      <c r="EC428" s="28" t="str">
        <f aca="false">IF(ISNUMBER(AI428),5,"")</f>
        <v/>
      </c>
      <c r="ED428" s="28" t="str">
        <f aca="false">IF(ISNUMBER(AM428),6,"")</f>
        <v/>
      </c>
      <c r="EE428" s="28" t="str">
        <f aca="false">IF(ISNUMBER(AQ428),7,"")</f>
        <v/>
      </c>
      <c r="EF428" s="28" t="str">
        <f aca="false">IF(ISNUMBER(AU428),8,"")</f>
        <v/>
      </c>
      <c r="EG428" s="28" t="str">
        <f aca="false">IF(ISNUMBER(AY428),9,"")</f>
        <v/>
      </c>
      <c r="EH428" s="28" t="str">
        <f aca="false">IF(ISNUMBER(BC428),10,"")</f>
        <v/>
      </c>
      <c r="EI428" s="28" t="str">
        <f aca="false">IF(ISNUMBER(BG428),11,"")</f>
        <v/>
      </c>
      <c r="EJ428" s="28" t="str">
        <f aca="false">IF(ISNUMBER(BK428),12,"")</f>
        <v/>
      </c>
      <c r="EK428" s="28" t="str">
        <f aca="false">IF(ISNUMBER(BO428),13,"")</f>
        <v/>
      </c>
      <c r="EL428" s="28" t="str">
        <f aca="false">IF(ISNUMBER(BS428),14,"")</f>
        <v/>
      </c>
      <c r="EM428" s="28" t="n">
        <f aca="false">IF(ISNUMBER(R428),R428*CW428,0)</f>
        <v>0</v>
      </c>
      <c r="EN428" s="28" t="n">
        <f aca="false">IF(ISNUMBER(V428),V428*CX428,0)</f>
        <v>0</v>
      </c>
      <c r="EO428" s="28" t="n">
        <f aca="false">IF(ISNUMBER(Z428),Z428*CY428,0)</f>
        <v>0</v>
      </c>
      <c r="EP428" s="28" t="n">
        <f aca="false">IF(ISNUMBER(AD428),AD428*CZ428,0)</f>
        <v>0</v>
      </c>
      <c r="EQ428" s="28" t="n">
        <f aca="false">IF(ISNUMBER(AH428),AH428*DA428,0)</f>
        <v>0</v>
      </c>
      <c r="ER428" s="28" t="n">
        <f aca="false">IF(ISNUMBER(AL428),AL428*DB428,0)</f>
        <v>0</v>
      </c>
      <c r="ES428" s="28" t="n">
        <f aca="false">IF(ISNUMBER(AP428),AP428*DC428,0)</f>
        <v>0</v>
      </c>
      <c r="ET428" s="28" t="n">
        <f aca="false">IF(ISNUMBER(AT428),AT428*DD428,0)</f>
        <v>0</v>
      </c>
      <c r="EU428" s="28" t="n">
        <f aca="false">IF(ISNUMBER(AX428),AX428*DE428,0)</f>
        <v>0</v>
      </c>
      <c r="EV428" s="28" t="n">
        <f aca="false">IF(ISNUMBER(BB428),BB428*DF428,0)</f>
        <v>0</v>
      </c>
      <c r="EW428" s="28" t="n">
        <f aca="false">IF(ISNUMBER(BF428),BF428*DG428,0)</f>
        <v>0</v>
      </c>
      <c r="EX428" s="28" t="n">
        <f aca="false">IF(ISNUMBER(BJ428),BJ428*DH428,0)</f>
        <v>0</v>
      </c>
      <c r="EY428" s="28" t="n">
        <f aca="false">IF(ISNUMBER(BN428),BN428*DI428,0)</f>
        <v>0</v>
      </c>
      <c r="EZ428" s="28" t="n">
        <f aca="false">IF(ISNUMBER(BR428),BR428*DJ428,0)</f>
        <v>0</v>
      </c>
      <c r="FA428" s="28" t="n">
        <f aca="false">IF(ISNUMBER(R428),CW428,0)</f>
        <v>0</v>
      </c>
      <c r="FB428" s="28" t="n">
        <f aca="false">IF(ISNUMBER(V428),CX428,0)</f>
        <v>0</v>
      </c>
      <c r="FC428" s="28" t="n">
        <f aca="false">IF(ISNUMBER(Z428),CY428,0)</f>
        <v>0</v>
      </c>
      <c r="FD428" s="28" t="n">
        <f aca="false">IF(ISNUMBER(AD428),CZ428,0)</f>
        <v>0</v>
      </c>
      <c r="FE428" s="28" t="n">
        <f aca="false">IF(ISNUMBER(AH428),DA428,0)</f>
        <v>0</v>
      </c>
      <c r="FF428" s="28" t="n">
        <f aca="false">IF(ISNUMBER(AL428),DB428,0)</f>
        <v>0</v>
      </c>
      <c r="FG428" s="28" t="n">
        <f aca="false">IF(ISNUMBER(AP428),DC428,0)</f>
        <v>0</v>
      </c>
      <c r="FH428" s="28" t="n">
        <f aca="false">IF(ISNUMBER(AT428),DD428,0)</f>
        <v>0</v>
      </c>
      <c r="FI428" s="28" t="n">
        <f aca="false">IF(ISNUMBER(AX428),DE428,0)</f>
        <v>0</v>
      </c>
      <c r="FJ428" s="28" t="n">
        <f aca="false">IF(ISNUMBER(BB428),DF428,0)</f>
        <v>0</v>
      </c>
      <c r="FK428" s="28" t="n">
        <f aca="false">IF(ISNUMBER(BF428),DG428,0)</f>
        <v>0</v>
      </c>
      <c r="FL428" s="28" t="n">
        <f aca="false">IF(ISNUMBER(BJ428),DH428,0)</f>
        <v>0</v>
      </c>
      <c r="FM428" s="28" t="n">
        <f aca="false">IF(ISNUMBER(BN428),DI428,0)</f>
        <v>0</v>
      </c>
      <c r="FN428" s="28" t="n">
        <f aca="false">IF(ISNUMBER(BR428),DJ428,0)</f>
        <v>0</v>
      </c>
      <c r="FO428" s="28" t="str">
        <f aca="false">IFERROR(INDEX(Lists!$G$2:$G$20,MATCH($I428&amp;"|"&amp;$J428,Lists!$F$2:$F$20,0)),"")</f>
        <v/>
      </c>
    </row>
    <row r="429" customFormat="false" ht="19.5" hidden="false" customHeight="true" outlineLevel="0" collapsed="false">
      <c r="A429" s="29"/>
      <c r="B429" s="29"/>
      <c r="C429" s="30"/>
      <c r="D429" s="30"/>
      <c r="E429" s="31"/>
      <c r="F429" s="30"/>
      <c r="G429" s="30"/>
      <c r="H429" s="32"/>
      <c r="I429" s="33"/>
      <c r="J429" s="32"/>
      <c r="K429" s="34" t="str">
        <f aca="false">IF(OR(M429="",$E429=""),"",M429-$E429)</f>
        <v/>
      </c>
      <c r="L429" s="35" t="str">
        <f aca="false">IF(SUM(FA429:FN429)=0,"",SUM(EM429:EZ429)/SUM(FA429:FN429))</f>
        <v/>
      </c>
      <c r="M429" s="36" t="str">
        <f aca="false">IF(OR(L429="",FO429=""),"",IFERROR(MATCH(L429,INDEX(Boundaries!$B$2:$I$30,MATCH(FO429,Boundaries!$A$2:$A$30,0),0),1)-1,""))</f>
        <v/>
      </c>
      <c r="N429" s="37" t="str">
        <f aca="false">IF(COUNT($DY429:$EL429)&lt;2,"",INDEX($DK429:$DX429,MAX($DY429:$EL429))-INDEX($DK429:$DX429,MIN($DY429:$EL429)))</f>
        <v/>
      </c>
      <c r="O429" s="37" t="str">
        <f aca="false">IF(COUNT($DY429:$EL429)&lt;2,"",INDEX($DK429:$DX429,MAX($DY429:$EL429))-INDEX($DK429:$DX429,LARGE($DY429:$EL429,2)))</f>
        <v/>
      </c>
      <c r="P429" s="38" t="str">
        <f aca="false">IF(K429="","",IF(K429&gt;=0,"On/above target",IF(AND(N429&lt;&gt;"",N429&gt;=0.5),"Improving towards target",IF(AND(O429&lt;&gt;"",O429&lt;=-0.5),"Declining","Stable below target"))))</f>
        <v/>
      </c>
      <c r="Q429" s="39"/>
      <c r="R429" s="40" t="str">
        <f aca="false">IF(OR(Q429="",BU429=""),"",Q429/BU429*100)</f>
        <v/>
      </c>
      <c r="S429" s="41" t="str">
        <f aca="false">IF(R429="","",IFERROR(MATCH(R429,INDEX(Boundaries!$B$2:$I$30,MATCH(CI429,Boundaries!$A$2:$A$30,0),0),1)-1,""))</f>
        <v/>
      </c>
      <c r="T429" s="42" t="str">
        <f aca="false">IF(OR(S429="",$E429=""),"",S429-$E429)</f>
        <v/>
      </c>
      <c r="U429" s="39"/>
      <c r="V429" s="40" t="str">
        <f aca="false">IF(OR(U429="",BV429=""),"",U429/BV429*100)</f>
        <v/>
      </c>
      <c r="W429" s="41" t="str">
        <f aca="false">IF(V429="","",IFERROR(MATCH(V429,INDEX(Boundaries!$B$2:$I$30,MATCH(CJ429,Boundaries!$A$2:$A$30,0),0),1)-1,""))</f>
        <v/>
      </c>
      <c r="X429" s="42" t="str">
        <f aca="false">IF(OR(W429="",$E429=""),"",W429-$E429)</f>
        <v/>
      </c>
      <c r="Y429" s="39"/>
      <c r="Z429" s="40" t="str">
        <f aca="false">IF(OR(Y429="",BW429=""),"",Y429/BW429*100)</f>
        <v/>
      </c>
      <c r="AA429" s="41" t="str">
        <f aca="false">IF(Z429="","",IFERROR(MATCH(Z429,INDEX(Boundaries!$B$2:$I$30,MATCH(CK429,Boundaries!$A$2:$A$30,0),0),1)-1,""))</f>
        <v/>
      </c>
      <c r="AB429" s="42" t="str">
        <f aca="false">IF(OR(AA429="",$E429=""),"",AA429-$E429)</f>
        <v/>
      </c>
      <c r="AC429" s="39"/>
      <c r="AD429" s="40" t="str">
        <f aca="false">IF(OR(AC429="",BX429=""),"",AC429/BX429*100)</f>
        <v/>
      </c>
      <c r="AE429" s="41" t="str">
        <f aca="false">IF(AD429="","",IFERROR(MATCH(AD429,INDEX(Boundaries!$B$2:$I$30,MATCH(CL429,Boundaries!$A$2:$A$30,0),0),1)-1,""))</f>
        <v/>
      </c>
      <c r="AF429" s="42" t="str">
        <f aca="false">IF(OR(AE429="",$E429=""),"",AE429-$E429)</f>
        <v/>
      </c>
      <c r="AG429" s="39"/>
      <c r="AH429" s="40" t="str">
        <f aca="false">IF(OR(AG429="",BY429=""),"",AG429/BY429*100)</f>
        <v/>
      </c>
      <c r="AI429" s="41" t="str">
        <f aca="false">IF(AH429="","",IFERROR(MATCH(AH429,INDEX(Boundaries!$B$2:$I$30,MATCH(CM429,Boundaries!$A$2:$A$30,0),0),1)-1,""))</f>
        <v/>
      </c>
      <c r="AJ429" s="42" t="str">
        <f aca="false">IF(OR(AI429="",$E429=""),"",AI429-$E429)</f>
        <v/>
      </c>
      <c r="AK429" s="39"/>
      <c r="AL429" s="40" t="str">
        <f aca="false">IF(OR(AK429="",BZ429=""),"",AK429/BZ429*100)</f>
        <v/>
      </c>
      <c r="AM429" s="41" t="str">
        <f aca="false">IF(AL429="","",IFERROR(MATCH(AL429,INDEX(Boundaries!$B$2:$I$30,MATCH(CN429,Boundaries!$A$2:$A$30,0),0),1)-1,""))</f>
        <v/>
      </c>
      <c r="AN429" s="42" t="str">
        <f aca="false">IF(OR(AM429="",$E429=""),"",AM429-$E429)</f>
        <v/>
      </c>
      <c r="AO429" s="39"/>
      <c r="AP429" s="40" t="str">
        <f aca="false">IF(OR(AO429="",CA429=""),"",AO429/CA429*100)</f>
        <v/>
      </c>
      <c r="AQ429" s="41" t="str">
        <f aca="false">IF(AP429="","",IFERROR(MATCH(AP429,INDEX(Boundaries!$B$2:$I$30,MATCH(CO429,Boundaries!$A$2:$A$30,0),0),1)-1,""))</f>
        <v/>
      </c>
      <c r="AR429" s="42" t="str">
        <f aca="false">IF(OR(AQ429="",$E429=""),"",AQ429-$E429)</f>
        <v/>
      </c>
      <c r="AS429" s="39"/>
      <c r="AT429" s="40" t="str">
        <f aca="false">IF(OR(AS429="",CB429=""),"",AS429/CB429*100)</f>
        <v/>
      </c>
      <c r="AU429" s="41" t="str">
        <f aca="false">IF(AT429="","",IFERROR(MATCH(AT429,INDEX(Boundaries!$B$2:$I$30,MATCH(CP429,Boundaries!$A$2:$A$30,0),0),1)-1,""))</f>
        <v/>
      </c>
      <c r="AV429" s="42" t="str">
        <f aca="false">IF(OR(AU429="",$E429=""),"",AU429-$E429)</f>
        <v/>
      </c>
      <c r="AW429" s="39"/>
      <c r="AX429" s="40" t="str">
        <f aca="false">IF(OR(AW429="",CC429=""),"",AW429/CC429*100)</f>
        <v/>
      </c>
      <c r="AY429" s="41" t="str">
        <f aca="false">IF(AX429="","",IFERROR(MATCH(AX429,INDEX(Boundaries!$B$2:$I$30,MATCH(CQ429,Boundaries!$A$2:$A$30,0),0),1)-1,""))</f>
        <v/>
      </c>
      <c r="AZ429" s="42" t="str">
        <f aca="false">IF(OR(AY429="",$E429=""),"",AY429-$E429)</f>
        <v/>
      </c>
      <c r="BA429" s="39"/>
      <c r="BB429" s="40" t="str">
        <f aca="false">IF(OR(BA429="",CD429=""),"",BA429/CD429*100)</f>
        <v/>
      </c>
      <c r="BC429" s="41" t="str">
        <f aca="false">IF(BB429="","",IFERROR(MATCH(BB429,INDEX(Boundaries!$B$2:$I$30,MATCH(CR429,Boundaries!$A$2:$A$30,0),0),1)-1,""))</f>
        <v/>
      </c>
      <c r="BD429" s="42" t="str">
        <f aca="false">IF(OR(BC429="",$E429=""),"",BC429-$E429)</f>
        <v/>
      </c>
      <c r="BE429" s="39"/>
      <c r="BF429" s="40" t="str">
        <f aca="false">IF(OR(BE429="",CE429=""),"",BE429/CE429*100)</f>
        <v/>
      </c>
      <c r="BG429" s="41" t="str">
        <f aca="false">IF(BF429="","",IFERROR(MATCH(BF429,INDEX(Boundaries!$B$2:$I$30,MATCH(CS429,Boundaries!$A$2:$A$30,0),0),1)-1,""))</f>
        <v/>
      </c>
      <c r="BH429" s="42" t="str">
        <f aca="false">IF(OR(BG429="",$E429=""),"",BG429-$E429)</f>
        <v/>
      </c>
      <c r="BI429" s="39"/>
      <c r="BJ429" s="40" t="str">
        <f aca="false">IF(OR(BI429="",CF429=""),"",BI429/CF429*100)</f>
        <v/>
      </c>
      <c r="BK429" s="41" t="str">
        <f aca="false">IF(BJ429="","",IFERROR(MATCH(BJ429,INDEX(Boundaries!$B$2:$I$30,MATCH(CT429,Boundaries!$A$2:$A$30,0),0),1)-1,""))</f>
        <v/>
      </c>
      <c r="BL429" s="42" t="str">
        <f aca="false">IF(OR(BK429="",$E429=""),"",BK429-$E429)</f>
        <v/>
      </c>
      <c r="BM429" s="39"/>
      <c r="BN429" s="40" t="str">
        <f aca="false">IF(OR(BM429="",CG429=""),"",BM429/CG429*100)</f>
        <v/>
      </c>
      <c r="BO429" s="41" t="str">
        <f aca="false">IF(BN429="","",IFERROR(MATCH(BN429,INDEX(Boundaries!$B$2:$I$30,MATCH(CU429,Boundaries!$A$2:$A$30,0),0),1)-1,""))</f>
        <v/>
      </c>
      <c r="BP429" s="42" t="str">
        <f aca="false">IF(OR(BO429="",$E429=""),"",BO429-$E429)</f>
        <v/>
      </c>
      <c r="BQ429" s="39"/>
      <c r="BR429" s="40" t="str">
        <f aca="false">IF(OR(BQ429="",CH429=""),"",BQ429/CH429*100)</f>
        <v/>
      </c>
      <c r="BS429" s="41" t="str">
        <f aca="false">IF(BR429="","",IFERROR(MATCH(BR429,INDEX(Boundaries!$B$2:$I$30,MATCH(CV429,Boundaries!$A$2:$A$30,0),0),1)-1,""))</f>
        <v/>
      </c>
      <c r="BT429" s="42" t="str">
        <f aca="false">IF(OR(BS429="",$E429=""),"",BS429-$E429)</f>
        <v/>
      </c>
      <c r="BU429" s="28" t="str">
        <f aca="false">IFERROR(INDEX(Assessments!$H$2:$H$600,MATCH($H429&amp;"|"&amp;$I429&amp;"|"&amp;$J429&amp;"|"&amp;1,Assessments!$A$2:$A$600,0)),"")</f>
        <v/>
      </c>
      <c r="BV429" s="28" t="str">
        <f aca="false">IFERROR(INDEX(Assessments!$H$2:$H$600,MATCH($H429&amp;"|"&amp;$I429&amp;"|"&amp;$J429&amp;"|"&amp;2,Assessments!$A$2:$A$600,0)),"")</f>
        <v/>
      </c>
      <c r="BW429" s="28" t="str">
        <f aca="false">IFERROR(INDEX(Assessments!$H$2:$H$600,MATCH($H429&amp;"|"&amp;$I429&amp;"|"&amp;$J429&amp;"|"&amp;3,Assessments!$A$2:$A$600,0)),"")</f>
        <v/>
      </c>
      <c r="BX429" s="28" t="str">
        <f aca="false">IFERROR(INDEX(Assessments!$H$2:$H$600,MATCH($H429&amp;"|"&amp;$I429&amp;"|"&amp;$J429&amp;"|"&amp;4,Assessments!$A$2:$A$600,0)),"")</f>
        <v/>
      </c>
      <c r="BY429" s="28" t="str">
        <f aca="false">IFERROR(INDEX(Assessments!$H$2:$H$600,MATCH($H429&amp;"|"&amp;$I429&amp;"|"&amp;$J429&amp;"|"&amp;5,Assessments!$A$2:$A$600,0)),"")</f>
        <v/>
      </c>
      <c r="BZ429" s="28" t="str">
        <f aca="false">IFERROR(INDEX(Assessments!$H$2:$H$600,MATCH($H429&amp;"|"&amp;$I429&amp;"|"&amp;$J429&amp;"|"&amp;6,Assessments!$A$2:$A$600,0)),"")</f>
        <v/>
      </c>
      <c r="CA429" s="28" t="str">
        <f aca="false">IFERROR(INDEX(Assessments!$H$2:$H$600,MATCH($H429&amp;"|"&amp;$I429&amp;"|"&amp;$J429&amp;"|"&amp;7,Assessments!$A$2:$A$600,0)),"")</f>
        <v/>
      </c>
      <c r="CB429" s="28" t="str">
        <f aca="false">IFERROR(INDEX(Assessments!$H$2:$H$600,MATCH($H429&amp;"|"&amp;$I429&amp;"|"&amp;$J429&amp;"|"&amp;8,Assessments!$A$2:$A$600,0)),"")</f>
        <v/>
      </c>
      <c r="CC429" s="28" t="str">
        <f aca="false">IFERROR(INDEX(Assessments!$H$2:$H$600,MATCH($H429&amp;"|"&amp;$I429&amp;"|"&amp;$J429&amp;"|"&amp;9,Assessments!$A$2:$A$600,0)),"")</f>
        <v/>
      </c>
      <c r="CD429" s="28" t="str">
        <f aca="false">IFERROR(INDEX(Assessments!$H$2:$H$600,MATCH($H429&amp;"|"&amp;$I429&amp;"|"&amp;$J429&amp;"|"&amp;10,Assessments!$A$2:$A$600,0)),"")</f>
        <v/>
      </c>
      <c r="CE429" s="28" t="str">
        <f aca="false">IFERROR(INDEX(Assessments!$H$2:$H$600,MATCH($H429&amp;"|"&amp;$I429&amp;"|"&amp;$J429&amp;"|"&amp;11,Assessments!$A$2:$A$600,0)),"")</f>
        <v/>
      </c>
      <c r="CF429" s="28" t="str">
        <f aca="false">IFERROR(INDEX(Assessments!$H$2:$H$600,MATCH($H429&amp;"|"&amp;$I429&amp;"|"&amp;$J429&amp;"|"&amp;12,Assessments!$A$2:$A$600,0)),"")</f>
        <v/>
      </c>
      <c r="CG429" s="28" t="str">
        <f aca="false">IFERROR(INDEX(Assessments!$H$2:$H$600,MATCH($H429&amp;"|"&amp;$I429&amp;"|"&amp;$J429&amp;"|"&amp;13,Assessments!$A$2:$A$600,0)),"")</f>
        <v/>
      </c>
      <c r="CH429" s="28" t="str">
        <f aca="false">IFERROR(INDEX(Assessments!$H$2:$H$600,MATCH($H429&amp;"|"&amp;$I429&amp;"|"&amp;$J429&amp;"|"&amp;14,Assessments!$A$2:$A$600,0)),"")</f>
        <v/>
      </c>
      <c r="CI429" s="28" t="str">
        <f aca="false">IFERROR(INDEX(Assessments!$I$2:$I$600,MATCH($H429&amp;"|"&amp;$I429&amp;"|"&amp;$J429&amp;"|"&amp;1,Assessments!$A$2:$A$600,0)),"")</f>
        <v/>
      </c>
      <c r="CJ429" s="28" t="str">
        <f aca="false">IFERROR(INDEX(Assessments!$I$2:$I$600,MATCH($H429&amp;"|"&amp;$I429&amp;"|"&amp;$J429&amp;"|"&amp;2,Assessments!$A$2:$A$600,0)),"")</f>
        <v/>
      </c>
      <c r="CK429" s="28" t="str">
        <f aca="false">IFERROR(INDEX(Assessments!$I$2:$I$600,MATCH($H429&amp;"|"&amp;$I429&amp;"|"&amp;$J429&amp;"|"&amp;3,Assessments!$A$2:$A$600,0)),"")</f>
        <v/>
      </c>
      <c r="CL429" s="28" t="str">
        <f aca="false">IFERROR(INDEX(Assessments!$I$2:$I$600,MATCH($H429&amp;"|"&amp;$I429&amp;"|"&amp;$J429&amp;"|"&amp;4,Assessments!$A$2:$A$600,0)),"")</f>
        <v/>
      </c>
      <c r="CM429" s="28" t="str">
        <f aca="false">IFERROR(INDEX(Assessments!$I$2:$I$600,MATCH($H429&amp;"|"&amp;$I429&amp;"|"&amp;$J429&amp;"|"&amp;5,Assessments!$A$2:$A$600,0)),"")</f>
        <v/>
      </c>
      <c r="CN429" s="28" t="str">
        <f aca="false">IFERROR(INDEX(Assessments!$I$2:$I$600,MATCH($H429&amp;"|"&amp;$I429&amp;"|"&amp;$J429&amp;"|"&amp;6,Assessments!$A$2:$A$600,0)),"")</f>
        <v/>
      </c>
      <c r="CO429" s="28" t="str">
        <f aca="false">IFERROR(INDEX(Assessments!$I$2:$I$600,MATCH($H429&amp;"|"&amp;$I429&amp;"|"&amp;$J429&amp;"|"&amp;7,Assessments!$A$2:$A$600,0)),"")</f>
        <v/>
      </c>
      <c r="CP429" s="28" t="str">
        <f aca="false">IFERROR(INDEX(Assessments!$I$2:$I$600,MATCH($H429&amp;"|"&amp;$I429&amp;"|"&amp;$J429&amp;"|"&amp;8,Assessments!$A$2:$A$600,0)),"")</f>
        <v/>
      </c>
      <c r="CQ429" s="28" t="str">
        <f aca="false">IFERROR(INDEX(Assessments!$I$2:$I$600,MATCH($H429&amp;"|"&amp;$I429&amp;"|"&amp;$J429&amp;"|"&amp;9,Assessments!$A$2:$A$600,0)),"")</f>
        <v/>
      </c>
      <c r="CR429" s="28" t="str">
        <f aca="false">IFERROR(INDEX(Assessments!$I$2:$I$600,MATCH($H429&amp;"|"&amp;$I429&amp;"|"&amp;$J429&amp;"|"&amp;10,Assessments!$A$2:$A$600,0)),"")</f>
        <v/>
      </c>
      <c r="CS429" s="28" t="str">
        <f aca="false">IFERROR(INDEX(Assessments!$I$2:$I$600,MATCH($H429&amp;"|"&amp;$I429&amp;"|"&amp;$J429&amp;"|"&amp;11,Assessments!$A$2:$A$600,0)),"")</f>
        <v/>
      </c>
      <c r="CT429" s="28" t="str">
        <f aca="false">IFERROR(INDEX(Assessments!$I$2:$I$600,MATCH($H429&amp;"|"&amp;$I429&amp;"|"&amp;$J429&amp;"|"&amp;12,Assessments!$A$2:$A$600,0)),"")</f>
        <v/>
      </c>
      <c r="CU429" s="28" t="str">
        <f aca="false">IFERROR(INDEX(Assessments!$I$2:$I$600,MATCH($H429&amp;"|"&amp;$I429&amp;"|"&amp;$J429&amp;"|"&amp;13,Assessments!$A$2:$A$600,0)),"")</f>
        <v/>
      </c>
      <c r="CV429" s="28" t="str">
        <f aca="false">IFERROR(INDEX(Assessments!$I$2:$I$600,MATCH($H429&amp;"|"&amp;$I429&amp;"|"&amp;$J429&amp;"|"&amp;14,Assessments!$A$2:$A$600,0)),"")</f>
        <v/>
      </c>
      <c r="CW429" s="28" t="n">
        <f aca="false">IFERROR(INDEX(Assessments!$J$2:$J$600,MATCH($H429&amp;"|"&amp;$I429&amp;"|"&amp;$J429&amp;"|"&amp;1,Assessments!$A$2:$A$600,0)),0)</f>
        <v>0</v>
      </c>
      <c r="CX429" s="28" t="n">
        <f aca="false">IFERROR(INDEX(Assessments!$J$2:$J$600,MATCH($H429&amp;"|"&amp;$I429&amp;"|"&amp;$J429&amp;"|"&amp;2,Assessments!$A$2:$A$600,0)),0)</f>
        <v>0</v>
      </c>
      <c r="CY429" s="28" t="n">
        <f aca="false">IFERROR(INDEX(Assessments!$J$2:$J$600,MATCH($H429&amp;"|"&amp;$I429&amp;"|"&amp;$J429&amp;"|"&amp;3,Assessments!$A$2:$A$600,0)),0)</f>
        <v>0</v>
      </c>
      <c r="CZ429" s="28" t="n">
        <f aca="false">IFERROR(INDEX(Assessments!$J$2:$J$600,MATCH($H429&amp;"|"&amp;$I429&amp;"|"&amp;$J429&amp;"|"&amp;4,Assessments!$A$2:$A$600,0)),0)</f>
        <v>0</v>
      </c>
      <c r="DA429" s="28" t="n">
        <f aca="false">IFERROR(INDEX(Assessments!$J$2:$J$600,MATCH($H429&amp;"|"&amp;$I429&amp;"|"&amp;$J429&amp;"|"&amp;5,Assessments!$A$2:$A$600,0)),0)</f>
        <v>0</v>
      </c>
      <c r="DB429" s="28" t="n">
        <f aca="false">IFERROR(INDEX(Assessments!$J$2:$J$600,MATCH($H429&amp;"|"&amp;$I429&amp;"|"&amp;$J429&amp;"|"&amp;6,Assessments!$A$2:$A$600,0)),0)</f>
        <v>0</v>
      </c>
      <c r="DC429" s="28" t="n">
        <f aca="false">IFERROR(INDEX(Assessments!$J$2:$J$600,MATCH($H429&amp;"|"&amp;$I429&amp;"|"&amp;$J429&amp;"|"&amp;7,Assessments!$A$2:$A$600,0)),0)</f>
        <v>0</v>
      </c>
      <c r="DD429" s="28" t="n">
        <f aca="false">IFERROR(INDEX(Assessments!$J$2:$J$600,MATCH($H429&amp;"|"&amp;$I429&amp;"|"&amp;$J429&amp;"|"&amp;8,Assessments!$A$2:$A$600,0)),0)</f>
        <v>0</v>
      </c>
      <c r="DE429" s="28" t="n">
        <f aca="false">IFERROR(INDEX(Assessments!$J$2:$J$600,MATCH($H429&amp;"|"&amp;$I429&amp;"|"&amp;$J429&amp;"|"&amp;9,Assessments!$A$2:$A$600,0)),0)</f>
        <v>0</v>
      </c>
      <c r="DF429" s="28" t="n">
        <f aca="false">IFERROR(INDEX(Assessments!$J$2:$J$600,MATCH($H429&amp;"|"&amp;$I429&amp;"|"&amp;$J429&amp;"|"&amp;10,Assessments!$A$2:$A$600,0)),0)</f>
        <v>0</v>
      </c>
      <c r="DG429" s="28" t="n">
        <f aca="false">IFERROR(INDEX(Assessments!$J$2:$J$600,MATCH($H429&amp;"|"&amp;$I429&amp;"|"&amp;$J429&amp;"|"&amp;11,Assessments!$A$2:$A$600,0)),0)</f>
        <v>0</v>
      </c>
      <c r="DH429" s="28" t="n">
        <f aca="false">IFERROR(INDEX(Assessments!$J$2:$J$600,MATCH($H429&amp;"|"&amp;$I429&amp;"|"&amp;$J429&amp;"|"&amp;12,Assessments!$A$2:$A$600,0)),0)</f>
        <v>0</v>
      </c>
      <c r="DI429" s="28" t="n">
        <f aca="false">IFERROR(INDEX(Assessments!$J$2:$J$600,MATCH($H429&amp;"|"&amp;$I429&amp;"|"&amp;$J429&amp;"|"&amp;13,Assessments!$A$2:$A$600,0)),0)</f>
        <v>0</v>
      </c>
      <c r="DJ429" s="28" t="n">
        <f aca="false">IFERROR(INDEX(Assessments!$J$2:$J$600,MATCH($H429&amp;"|"&amp;$I429&amp;"|"&amp;$J429&amp;"|"&amp;14,Assessments!$A$2:$A$600,0)),0)</f>
        <v>0</v>
      </c>
      <c r="DK429" s="28" t="str">
        <f aca="false">S429</f>
        <v/>
      </c>
      <c r="DL429" s="28" t="str">
        <f aca="false">W429</f>
        <v/>
      </c>
      <c r="DM429" s="28" t="str">
        <f aca="false">AA429</f>
        <v/>
      </c>
      <c r="DN429" s="28" t="str">
        <f aca="false">AE429</f>
        <v/>
      </c>
      <c r="DO429" s="28" t="str">
        <f aca="false">AI429</f>
        <v/>
      </c>
      <c r="DP429" s="28" t="str">
        <f aca="false">AM429</f>
        <v/>
      </c>
      <c r="DQ429" s="28" t="str">
        <f aca="false">AQ429</f>
        <v/>
      </c>
      <c r="DR429" s="28" t="str">
        <f aca="false">AU429</f>
        <v/>
      </c>
      <c r="DS429" s="28" t="str">
        <f aca="false">AY429</f>
        <v/>
      </c>
      <c r="DT429" s="28" t="str">
        <f aca="false">BC429</f>
        <v/>
      </c>
      <c r="DU429" s="28" t="str">
        <f aca="false">BG429</f>
        <v/>
      </c>
      <c r="DV429" s="28" t="str">
        <f aca="false">BK429</f>
        <v/>
      </c>
      <c r="DW429" s="28" t="str">
        <f aca="false">BO429</f>
        <v/>
      </c>
      <c r="DX429" s="28" t="str">
        <f aca="false">BS429</f>
        <v/>
      </c>
      <c r="DY429" s="28" t="str">
        <f aca="false">IF(ISNUMBER(S429),1,"")</f>
        <v/>
      </c>
      <c r="DZ429" s="28" t="str">
        <f aca="false">IF(ISNUMBER(W429),2,"")</f>
        <v/>
      </c>
      <c r="EA429" s="28" t="str">
        <f aca="false">IF(ISNUMBER(AA429),3,"")</f>
        <v/>
      </c>
      <c r="EB429" s="28" t="str">
        <f aca="false">IF(ISNUMBER(AE429),4,"")</f>
        <v/>
      </c>
      <c r="EC429" s="28" t="str">
        <f aca="false">IF(ISNUMBER(AI429),5,"")</f>
        <v/>
      </c>
      <c r="ED429" s="28" t="str">
        <f aca="false">IF(ISNUMBER(AM429),6,"")</f>
        <v/>
      </c>
      <c r="EE429" s="28" t="str">
        <f aca="false">IF(ISNUMBER(AQ429),7,"")</f>
        <v/>
      </c>
      <c r="EF429" s="28" t="str">
        <f aca="false">IF(ISNUMBER(AU429),8,"")</f>
        <v/>
      </c>
      <c r="EG429" s="28" t="str">
        <f aca="false">IF(ISNUMBER(AY429),9,"")</f>
        <v/>
      </c>
      <c r="EH429" s="28" t="str">
        <f aca="false">IF(ISNUMBER(BC429),10,"")</f>
        <v/>
      </c>
      <c r="EI429" s="28" t="str">
        <f aca="false">IF(ISNUMBER(BG429),11,"")</f>
        <v/>
      </c>
      <c r="EJ429" s="28" t="str">
        <f aca="false">IF(ISNUMBER(BK429),12,"")</f>
        <v/>
      </c>
      <c r="EK429" s="28" t="str">
        <f aca="false">IF(ISNUMBER(BO429),13,"")</f>
        <v/>
      </c>
      <c r="EL429" s="28" t="str">
        <f aca="false">IF(ISNUMBER(BS429),14,"")</f>
        <v/>
      </c>
      <c r="EM429" s="28" t="n">
        <f aca="false">IF(ISNUMBER(R429),R429*CW429,0)</f>
        <v>0</v>
      </c>
      <c r="EN429" s="28" t="n">
        <f aca="false">IF(ISNUMBER(V429),V429*CX429,0)</f>
        <v>0</v>
      </c>
      <c r="EO429" s="28" t="n">
        <f aca="false">IF(ISNUMBER(Z429),Z429*CY429,0)</f>
        <v>0</v>
      </c>
      <c r="EP429" s="28" t="n">
        <f aca="false">IF(ISNUMBER(AD429),AD429*CZ429,0)</f>
        <v>0</v>
      </c>
      <c r="EQ429" s="28" t="n">
        <f aca="false">IF(ISNUMBER(AH429),AH429*DA429,0)</f>
        <v>0</v>
      </c>
      <c r="ER429" s="28" t="n">
        <f aca="false">IF(ISNUMBER(AL429),AL429*DB429,0)</f>
        <v>0</v>
      </c>
      <c r="ES429" s="28" t="n">
        <f aca="false">IF(ISNUMBER(AP429),AP429*DC429,0)</f>
        <v>0</v>
      </c>
      <c r="ET429" s="28" t="n">
        <f aca="false">IF(ISNUMBER(AT429),AT429*DD429,0)</f>
        <v>0</v>
      </c>
      <c r="EU429" s="28" t="n">
        <f aca="false">IF(ISNUMBER(AX429),AX429*DE429,0)</f>
        <v>0</v>
      </c>
      <c r="EV429" s="28" t="n">
        <f aca="false">IF(ISNUMBER(BB429),BB429*DF429,0)</f>
        <v>0</v>
      </c>
      <c r="EW429" s="28" t="n">
        <f aca="false">IF(ISNUMBER(BF429),BF429*DG429,0)</f>
        <v>0</v>
      </c>
      <c r="EX429" s="28" t="n">
        <f aca="false">IF(ISNUMBER(BJ429),BJ429*DH429,0)</f>
        <v>0</v>
      </c>
      <c r="EY429" s="28" t="n">
        <f aca="false">IF(ISNUMBER(BN429),BN429*DI429,0)</f>
        <v>0</v>
      </c>
      <c r="EZ429" s="28" t="n">
        <f aca="false">IF(ISNUMBER(BR429),BR429*DJ429,0)</f>
        <v>0</v>
      </c>
      <c r="FA429" s="28" t="n">
        <f aca="false">IF(ISNUMBER(R429),CW429,0)</f>
        <v>0</v>
      </c>
      <c r="FB429" s="28" t="n">
        <f aca="false">IF(ISNUMBER(V429),CX429,0)</f>
        <v>0</v>
      </c>
      <c r="FC429" s="28" t="n">
        <f aca="false">IF(ISNUMBER(Z429),CY429,0)</f>
        <v>0</v>
      </c>
      <c r="FD429" s="28" t="n">
        <f aca="false">IF(ISNUMBER(AD429),CZ429,0)</f>
        <v>0</v>
      </c>
      <c r="FE429" s="28" t="n">
        <f aca="false">IF(ISNUMBER(AH429),DA429,0)</f>
        <v>0</v>
      </c>
      <c r="FF429" s="28" t="n">
        <f aca="false">IF(ISNUMBER(AL429),DB429,0)</f>
        <v>0</v>
      </c>
      <c r="FG429" s="28" t="n">
        <f aca="false">IF(ISNUMBER(AP429),DC429,0)</f>
        <v>0</v>
      </c>
      <c r="FH429" s="28" t="n">
        <f aca="false">IF(ISNUMBER(AT429),DD429,0)</f>
        <v>0</v>
      </c>
      <c r="FI429" s="28" t="n">
        <f aca="false">IF(ISNUMBER(AX429),DE429,0)</f>
        <v>0</v>
      </c>
      <c r="FJ429" s="28" t="n">
        <f aca="false">IF(ISNUMBER(BB429),DF429,0)</f>
        <v>0</v>
      </c>
      <c r="FK429" s="28" t="n">
        <f aca="false">IF(ISNUMBER(BF429),DG429,0)</f>
        <v>0</v>
      </c>
      <c r="FL429" s="28" t="n">
        <f aca="false">IF(ISNUMBER(BJ429),DH429,0)</f>
        <v>0</v>
      </c>
      <c r="FM429" s="28" t="n">
        <f aca="false">IF(ISNUMBER(BN429),DI429,0)</f>
        <v>0</v>
      </c>
      <c r="FN429" s="28" t="n">
        <f aca="false">IF(ISNUMBER(BR429),DJ429,0)</f>
        <v>0</v>
      </c>
      <c r="FO429" s="28" t="str">
        <f aca="false">IFERROR(INDEX(Lists!$G$2:$G$20,MATCH($I429&amp;"|"&amp;$J429,Lists!$F$2:$F$20,0)),"")</f>
        <v/>
      </c>
    </row>
    <row r="430" customFormat="false" ht="19.5" hidden="false" customHeight="true" outlineLevel="0" collapsed="false">
      <c r="A430" s="29"/>
      <c r="B430" s="29"/>
      <c r="C430" s="30"/>
      <c r="D430" s="30"/>
      <c r="E430" s="31"/>
      <c r="F430" s="30"/>
      <c r="G430" s="30"/>
      <c r="H430" s="32"/>
      <c r="I430" s="33"/>
      <c r="J430" s="32"/>
      <c r="K430" s="34" t="str">
        <f aca="false">IF(OR(M430="",$E430=""),"",M430-$E430)</f>
        <v/>
      </c>
      <c r="L430" s="35" t="str">
        <f aca="false">IF(SUM(FA430:FN430)=0,"",SUM(EM430:EZ430)/SUM(FA430:FN430))</f>
        <v/>
      </c>
      <c r="M430" s="36" t="str">
        <f aca="false">IF(OR(L430="",FO430=""),"",IFERROR(MATCH(L430,INDEX(Boundaries!$B$2:$I$30,MATCH(FO430,Boundaries!$A$2:$A$30,0),0),1)-1,""))</f>
        <v/>
      </c>
      <c r="N430" s="37" t="str">
        <f aca="false">IF(COUNT($DY430:$EL430)&lt;2,"",INDEX($DK430:$DX430,MAX($DY430:$EL430))-INDEX($DK430:$DX430,MIN($DY430:$EL430)))</f>
        <v/>
      </c>
      <c r="O430" s="37" t="str">
        <f aca="false">IF(COUNT($DY430:$EL430)&lt;2,"",INDEX($DK430:$DX430,MAX($DY430:$EL430))-INDEX($DK430:$DX430,LARGE($DY430:$EL430,2)))</f>
        <v/>
      </c>
      <c r="P430" s="38" t="str">
        <f aca="false">IF(K430="","",IF(K430&gt;=0,"On/above target",IF(AND(N430&lt;&gt;"",N430&gt;=0.5),"Improving towards target",IF(AND(O430&lt;&gt;"",O430&lt;=-0.5),"Declining","Stable below target"))))</f>
        <v/>
      </c>
      <c r="Q430" s="39"/>
      <c r="R430" s="40" t="str">
        <f aca="false">IF(OR(Q430="",BU430=""),"",Q430/BU430*100)</f>
        <v/>
      </c>
      <c r="S430" s="41" t="str">
        <f aca="false">IF(R430="","",IFERROR(MATCH(R430,INDEX(Boundaries!$B$2:$I$30,MATCH(CI430,Boundaries!$A$2:$A$30,0),0),1)-1,""))</f>
        <v/>
      </c>
      <c r="T430" s="42" t="str">
        <f aca="false">IF(OR(S430="",$E430=""),"",S430-$E430)</f>
        <v/>
      </c>
      <c r="U430" s="39"/>
      <c r="V430" s="40" t="str">
        <f aca="false">IF(OR(U430="",BV430=""),"",U430/BV430*100)</f>
        <v/>
      </c>
      <c r="W430" s="41" t="str">
        <f aca="false">IF(V430="","",IFERROR(MATCH(V430,INDEX(Boundaries!$B$2:$I$30,MATCH(CJ430,Boundaries!$A$2:$A$30,0),0),1)-1,""))</f>
        <v/>
      </c>
      <c r="X430" s="42" t="str">
        <f aca="false">IF(OR(W430="",$E430=""),"",W430-$E430)</f>
        <v/>
      </c>
      <c r="Y430" s="39"/>
      <c r="Z430" s="40" t="str">
        <f aca="false">IF(OR(Y430="",BW430=""),"",Y430/BW430*100)</f>
        <v/>
      </c>
      <c r="AA430" s="41" t="str">
        <f aca="false">IF(Z430="","",IFERROR(MATCH(Z430,INDEX(Boundaries!$B$2:$I$30,MATCH(CK430,Boundaries!$A$2:$A$30,0),0),1)-1,""))</f>
        <v/>
      </c>
      <c r="AB430" s="42" t="str">
        <f aca="false">IF(OR(AA430="",$E430=""),"",AA430-$E430)</f>
        <v/>
      </c>
      <c r="AC430" s="39"/>
      <c r="AD430" s="40" t="str">
        <f aca="false">IF(OR(AC430="",BX430=""),"",AC430/BX430*100)</f>
        <v/>
      </c>
      <c r="AE430" s="41" t="str">
        <f aca="false">IF(AD430="","",IFERROR(MATCH(AD430,INDEX(Boundaries!$B$2:$I$30,MATCH(CL430,Boundaries!$A$2:$A$30,0),0),1)-1,""))</f>
        <v/>
      </c>
      <c r="AF430" s="42" t="str">
        <f aca="false">IF(OR(AE430="",$E430=""),"",AE430-$E430)</f>
        <v/>
      </c>
      <c r="AG430" s="39"/>
      <c r="AH430" s="40" t="str">
        <f aca="false">IF(OR(AG430="",BY430=""),"",AG430/BY430*100)</f>
        <v/>
      </c>
      <c r="AI430" s="41" t="str">
        <f aca="false">IF(AH430="","",IFERROR(MATCH(AH430,INDEX(Boundaries!$B$2:$I$30,MATCH(CM430,Boundaries!$A$2:$A$30,0),0),1)-1,""))</f>
        <v/>
      </c>
      <c r="AJ430" s="42" t="str">
        <f aca="false">IF(OR(AI430="",$E430=""),"",AI430-$E430)</f>
        <v/>
      </c>
      <c r="AK430" s="39"/>
      <c r="AL430" s="40" t="str">
        <f aca="false">IF(OR(AK430="",BZ430=""),"",AK430/BZ430*100)</f>
        <v/>
      </c>
      <c r="AM430" s="41" t="str">
        <f aca="false">IF(AL430="","",IFERROR(MATCH(AL430,INDEX(Boundaries!$B$2:$I$30,MATCH(CN430,Boundaries!$A$2:$A$30,0),0),1)-1,""))</f>
        <v/>
      </c>
      <c r="AN430" s="42" t="str">
        <f aca="false">IF(OR(AM430="",$E430=""),"",AM430-$E430)</f>
        <v/>
      </c>
      <c r="AO430" s="39"/>
      <c r="AP430" s="40" t="str">
        <f aca="false">IF(OR(AO430="",CA430=""),"",AO430/CA430*100)</f>
        <v/>
      </c>
      <c r="AQ430" s="41" t="str">
        <f aca="false">IF(AP430="","",IFERROR(MATCH(AP430,INDEX(Boundaries!$B$2:$I$30,MATCH(CO430,Boundaries!$A$2:$A$30,0),0),1)-1,""))</f>
        <v/>
      </c>
      <c r="AR430" s="42" t="str">
        <f aca="false">IF(OR(AQ430="",$E430=""),"",AQ430-$E430)</f>
        <v/>
      </c>
      <c r="AS430" s="39"/>
      <c r="AT430" s="40" t="str">
        <f aca="false">IF(OR(AS430="",CB430=""),"",AS430/CB430*100)</f>
        <v/>
      </c>
      <c r="AU430" s="41" t="str">
        <f aca="false">IF(AT430="","",IFERROR(MATCH(AT430,INDEX(Boundaries!$B$2:$I$30,MATCH(CP430,Boundaries!$A$2:$A$30,0),0),1)-1,""))</f>
        <v/>
      </c>
      <c r="AV430" s="42" t="str">
        <f aca="false">IF(OR(AU430="",$E430=""),"",AU430-$E430)</f>
        <v/>
      </c>
      <c r="AW430" s="39"/>
      <c r="AX430" s="40" t="str">
        <f aca="false">IF(OR(AW430="",CC430=""),"",AW430/CC430*100)</f>
        <v/>
      </c>
      <c r="AY430" s="41" t="str">
        <f aca="false">IF(AX430="","",IFERROR(MATCH(AX430,INDEX(Boundaries!$B$2:$I$30,MATCH(CQ430,Boundaries!$A$2:$A$30,0),0),1)-1,""))</f>
        <v/>
      </c>
      <c r="AZ430" s="42" t="str">
        <f aca="false">IF(OR(AY430="",$E430=""),"",AY430-$E430)</f>
        <v/>
      </c>
      <c r="BA430" s="39"/>
      <c r="BB430" s="40" t="str">
        <f aca="false">IF(OR(BA430="",CD430=""),"",BA430/CD430*100)</f>
        <v/>
      </c>
      <c r="BC430" s="41" t="str">
        <f aca="false">IF(BB430="","",IFERROR(MATCH(BB430,INDEX(Boundaries!$B$2:$I$30,MATCH(CR430,Boundaries!$A$2:$A$30,0),0),1)-1,""))</f>
        <v/>
      </c>
      <c r="BD430" s="42" t="str">
        <f aca="false">IF(OR(BC430="",$E430=""),"",BC430-$E430)</f>
        <v/>
      </c>
      <c r="BE430" s="39"/>
      <c r="BF430" s="40" t="str">
        <f aca="false">IF(OR(BE430="",CE430=""),"",BE430/CE430*100)</f>
        <v/>
      </c>
      <c r="BG430" s="41" t="str">
        <f aca="false">IF(BF430="","",IFERROR(MATCH(BF430,INDEX(Boundaries!$B$2:$I$30,MATCH(CS430,Boundaries!$A$2:$A$30,0),0),1)-1,""))</f>
        <v/>
      </c>
      <c r="BH430" s="42" t="str">
        <f aca="false">IF(OR(BG430="",$E430=""),"",BG430-$E430)</f>
        <v/>
      </c>
      <c r="BI430" s="39"/>
      <c r="BJ430" s="40" t="str">
        <f aca="false">IF(OR(BI430="",CF430=""),"",BI430/CF430*100)</f>
        <v/>
      </c>
      <c r="BK430" s="41" t="str">
        <f aca="false">IF(BJ430="","",IFERROR(MATCH(BJ430,INDEX(Boundaries!$B$2:$I$30,MATCH(CT430,Boundaries!$A$2:$A$30,0),0),1)-1,""))</f>
        <v/>
      </c>
      <c r="BL430" s="42" t="str">
        <f aca="false">IF(OR(BK430="",$E430=""),"",BK430-$E430)</f>
        <v/>
      </c>
      <c r="BM430" s="39"/>
      <c r="BN430" s="40" t="str">
        <f aca="false">IF(OR(BM430="",CG430=""),"",BM430/CG430*100)</f>
        <v/>
      </c>
      <c r="BO430" s="41" t="str">
        <f aca="false">IF(BN430="","",IFERROR(MATCH(BN430,INDEX(Boundaries!$B$2:$I$30,MATCH(CU430,Boundaries!$A$2:$A$30,0),0),1)-1,""))</f>
        <v/>
      </c>
      <c r="BP430" s="42" t="str">
        <f aca="false">IF(OR(BO430="",$E430=""),"",BO430-$E430)</f>
        <v/>
      </c>
      <c r="BQ430" s="39"/>
      <c r="BR430" s="40" t="str">
        <f aca="false">IF(OR(BQ430="",CH430=""),"",BQ430/CH430*100)</f>
        <v/>
      </c>
      <c r="BS430" s="41" t="str">
        <f aca="false">IF(BR430="","",IFERROR(MATCH(BR430,INDEX(Boundaries!$B$2:$I$30,MATCH(CV430,Boundaries!$A$2:$A$30,0),0),1)-1,""))</f>
        <v/>
      </c>
      <c r="BT430" s="42" t="str">
        <f aca="false">IF(OR(BS430="",$E430=""),"",BS430-$E430)</f>
        <v/>
      </c>
      <c r="BU430" s="28" t="str">
        <f aca="false">IFERROR(INDEX(Assessments!$H$2:$H$600,MATCH($H430&amp;"|"&amp;$I430&amp;"|"&amp;$J430&amp;"|"&amp;1,Assessments!$A$2:$A$600,0)),"")</f>
        <v/>
      </c>
      <c r="BV430" s="28" t="str">
        <f aca="false">IFERROR(INDEX(Assessments!$H$2:$H$600,MATCH($H430&amp;"|"&amp;$I430&amp;"|"&amp;$J430&amp;"|"&amp;2,Assessments!$A$2:$A$600,0)),"")</f>
        <v/>
      </c>
      <c r="BW430" s="28" t="str">
        <f aca="false">IFERROR(INDEX(Assessments!$H$2:$H$600,MATCH($H430&amp;"|"&amp;$I430&amp;"|"&amp;$J430&amp;"|"&amp;3,Assessments!$A$2:$A$600,0)),"")</f>
        <v/>
      </c>
      <c r="BX430" s="28" t="str">
        <f aca="false">IFERROR(INDEX(Assessments!$H$2:$H$600,MATCH($H430&amp;"|"&amp;$I430&amp;"|"&amp;$J430&amp;"|"&amp;4,Assessments!$A$2:$A$600,0)),"")</f>
        <v/>
      </c>
      <c r="BY430" s="28" t="str">
        <f aca="false">IFERROR(INDEX(Assessments!$H$2:$H$600,MATCH($H430&amp;"|"&amp;$I430&amp;"|"&amp;$J430&amp;"|"&amp;5,Assessments!$A$2:$A$600,0)),"")</f>
        <v/>
      </c>
      <c r="BZ430" s="28" t="str">
        <f aca="false">IFERROR(INDEX(Assessments!$H$2:$H$600,MATCH($H430&amp;"|"&amp;$I430&amp;"|"&amp;$J430&amp;"|"&amp;6,Assessments!$A$2:$A$600,0)),"")</f>
        <v/>
      </c>
      <c r="CA430" s="28" t="str">
        <f aca="false">IFERROR(INDEX(Assessments!$H$2:$H$600,MATCH($H430&amp;"|"&amp;$I430&amp;"|"&amp;$J430&amp;"|"&amp;7,Assessments!$A$2:$A$600,0)),"")</f>
        <v/>
      </c>
      <c r="CB430" s="28" t="str">
        <f aca="false">IFERROR(INDEX(Assessments!$H$2:$H$600,MATCH($H430&amp;"|"&amp;$I430&amp;"|"&amp;$J430&amp;"|"&amp;8,Assessments!$A$2:$A$600,0)),"")</f>
        <v/>
      </c>
      <c r="CC430" s="28" t="str">
        <f aca="false">IFERROR(INDEX(Assessments!$H$2:$H$600,MATCH($H430&amp;"|"&amp;$I430&amp;"|"&amp;$J430&amp;"|"&amp;9,Assessments!$A$2:$A$600,0)),"")</f>
        <v/>
      </c>
      <c r="CD430" s="28" t="str">
        <f aca="false">IFERROR(INDEX(Assessments!$H$2:$H$600,MATCH($H430&amp;"|"&amp;$I430&amp;"|"&amp;$J430&amp;"|"&amp;10,Assessments!$A$2:$A$600,0)),"")</f>
        <v/>
      </c>
      <c r="CE430" s="28" t="str">
        <f aca="false">IFERROR(INDEX(Assessments!$H$2:$H$600,MATCH($H430&amp;"|"&amp;$I430&amp;"|"&amp;$J430&amp;"|"&amp;11,Assessments!$A$2:$A$600,0)),"")</f>
        <v/>
      </c>
      <c r="CF430" s="28" t="str">
        <f aca="false">IFERROR(INDEX(Assessments!$H$2:$H$600,MATCH($H430&amp;"|"&amp;$I430&amp;"|"&amp;$J430&amp;"|"&amp;12,Assessments!$A$2:$A$600,0)),"")</f>
        <v/>
      </c>
      <c r="CG430" s="28" t="str">
        <f aca="false">IFERROR(INDEX(Assessments!$H$2:$H$600,MATCH($H430&amp;"|"&amp;$I430&amp;"|"&amp;$J430&amp;"|"&amp;13,Assessments!$A$2:$A$600,0)),"")</f>
        <v/>
      </c>
      <c r="CH430" s="28" t="str">
        <f aca="false">IFERROR(INDEX(Assessments!$H$2:$H$600,MATCH($H430&amp;"|"&amp;$I430&amp;"|"&amp;$J430&amp;"|"&amp;14,Assessments!$A$2:$A$600,0)),"")</f>
        <v/>
      </c>
      <c r="CI430" s="28" t="str">
        <f aca="false">IFERROR(INDEX(Assessments!$I$2:$I$600,MATCH($H430&amp;"|"&amp;$I430&amp;"|"&amp;$J430&amp;"|"&amp;1,Assessments!$A$2:$A$600,0)),"")</f>
        <v/>
      </c>
      <c r="CJ430" s="28" t="str">
        <f aca="false">IFERROR(INDEX(Assessments!$I$2:$I$600,MATCH($H430&amp;"|"&amp;$I430&amp;"|"&amp;$J430&amp;"|"&amp;2,Assessments!$A$2:$A$600,0)),"")</f>
        <v/>
      </c>
      <c r="CK430" s="28" t="str">
        <f aca="false">IFERROR(INDEX(Assessments!$I$2:$I$600,MATCH($H430&amp;"|"&amp;$I430&amp;"|"&amp;$J430&amp;"|"&amp;3,Assessments!$A$2:$A$600,0)),"")</f>
        <v/>
      </c>
      <c r="CL430" s="28" t="str">
        <f aca="false">IFERROR(INDEX(Assessments!$I$2:$I$600,MATCH($H430&amp;"|"&amp;$I430&amp;"|"&amp;$J430&amp;"|"&amp;4,Assessments!$A$2:$A$600,0)),"")</f>
        <v/>
      </c>
      <c r="CM430" s="28" t="str">
        <f aca="false">IFERROR(INDEX(Assessments!$I$2:$I$600,MATCH($H430&amp;"|"&amp;$I430&amp;"|"&amp;$J430&amp;"|"&amp;5,Assessments!$A$2:$A$600,0)),"")</f>
        <v/>
      </c>
      <c r="CN430" s="28" t="str">
        <f aca="false">IFERROR(INDEX(Assessments!$I$2:$I$600,MATCH($H430&amp;"|"&amp;$I430&amp;"|"&amp;$J430&amp;"|"&amp;6,Assessments!$A$2:$A$600,0)),"")</f>
        <v/>
      </c>
      <c r="CO430" s="28" t="str">
        <f aca="false">IFERROR(INDEX(Assessments!$I$2:$I$600,MATCH($H430&amp;"|"&amp;$I430&amp;"|"&amp;$J430&amp;"|"&amp;7,Assessments!$A$2:$A$600,0)),"")</f>
        <v/>
      </c>
      <c r="CP430" s="28" t="str">
        <f aca="false">IFERROR(INDEX(Assessments!$I$2:$I$600,MATCH($H430&amp;"|"&amp;$I430&amp;"|"&amp;$J430&amp;"|"&amp;8,Assessments!$A$2:$A$600,0)),"")</f>
        <v/>
      </c>
      <c r="CQ430" s="28" t="str">
        <f aca="false">IFERROR(INDEX(Assessments!$I$2:$I$600,MATCH($H430&amp;"|"&amp;$I430&amp;"|"&amp;$J430&amp;"|"&amp;9,Assessments!$A$2:$A$600,0)),"")</f>
        <v/>
      </c>
      <c r="CR430" s="28" t="str">
        <f aca="false">IFERROR(INDEX(Assessments!$I$2:$I$600,MATCH($H430&amp;"|"&amp;$I430&amp;"|"&amp;$J430&amp;"|"&amp;10,Assessments!$A$2:$A$600,0)),"")</f>
        <v/>
      </c>
      <c r="CS430" s="28" t="str">
        <f aca="false">IFERROR(INDEX(Assessments!$I$2:$I$600,MATCH($H430&amp;"|"&amp;$I430&amp;"|"&amp;$J430&amp;"|"&amp;11,Assessments!$A$2:$A$600,0)),"")</f>
        <v/>
      </c>
      <c r="CT430" s="28" t="str">
        <f aca="false">IFERROR(INDEX(Assessments!$I$2:$I$600,MATCH($H430&amp;"|"&amp;$I430&amp;"|"&amp;$J430&amp;"|"&amp;12,Assessments!$A$2:$A$600,0)),"")</f>
        <v/>
      </c>
      <c r="CU430" s="28" t="str">
        <f aca="false">IFERROR(INDEX(Assessments!$I$2:$I$600,MATCH($H430&amp;"|"&amp;$I430&amp;"|"&amp;$J430&amp;"|"&amp;13,Assessments!$A$2:$A$600,0)),"")</f>
        <v/>
      </c>
      <c r="CV430" s="28" t="str">
        <f aca="false">IFERROR(INDEX(Assessments!$I$2:$I$600,MATCH($H430&amp;"|"&amp;$I430&amp;"|"&amp;$J430&amp;"|"&amp;14,Assessments!$A$2:$A$600,0)),"")</f>
        <v/>
      </c>
      <c r="CW430" s="28" t="n">
        <f aca="false">IFERROR(INDEX(Assessments!$J$2:$J$600,MATCH($H430&amp;"|"&amp;$I430&amp;"|"&amp;$J430&amp;"|"&amp;1,Assessments!$A$2:$A$600,0)),0)</f>
        <v>0</v>
      </c>
      <c r="CX430" s="28" t="n">
        <f aca="false">IFERROR(INDEX(Assessments!$J$2:$J$600,MATCH($H430&amp;"|"&amp;$I430&amp;"|"&amp;$J430&amp;"|"&amp;2,Assessments!$A$2:$A$600,0)),0)</f>
        <v>0</v>
      </c>
      <c r="CY430" s="28" t="n">
        <f aca="false">IFERROR(INDEX(Assessments!$J$2:$J$600,MATCH($H430&amp;"|"&amp;$I430&amp;"|"&amp;$J430&amp;"|"&amp;3,Assessments!$A$2:$A$600,0)),0)</f>
        <v>0</v>
      </c>
      <c r="CZ430" s="28" t="n">
        <f aca="false">IFERROR(INDEX(Assessments!$J$2:$J$600,MATCH($H430&amp;"|"&amp;$I430&amp;"|"&amp;$J430&amp;"|"&amp;4,Assessments!$A$2:$A$600,0)),0)</f>
        <v>0</v>
      </c>
      <c r="DA430" s="28" t="n">
        <f aca="false">IFERROR(INDEX(Assessments!$J$2:$J$600,MATCH($H430&amp;"|"&amp;$I430&amp;"|"&amp;$J430&amp;"|"&amp;5,Assessments!$A$2:$A$600,0)),0)</f>
        <v>0</v>
      </c>
      <c r="DB430" s="28" t="n">
        <f aca="false">IFERROR(INDEX(Assessments!$J$2:$J$600,MATCH($H430&amp;"|"&amp;$I430&amp;"|"&amp;$J430&amp;"|"&amp;6,Assessments!$A$2:$A$600,0)),0)</f>
        <v>0</v>
      </c>
      <c r="DC430" s="28" t="n">
        <f aca="false">IFERROR(INDEX(Assessments!$J$2:$J$600,MATCH($H430&amp;"|"&amp;$I430&amp;"|"&amp;$J430&amp;"|"&amp;7,Assessments!$A$2:$A$600,0)),0)</f>
        <v>0</v>
      </c>
      <c r="DD430" s="28" t="n">
        <f aca="false">IFERROR(INDEX(Assessments!$J$2:$J$600,MATCH($H430&amp;"|"&amp;$I430&amp;"|"&amp;$J430&amp;"|"&amp;8,Assessments!$A$2:$A$600,0)),0)</f>
        <v>0</v>
      </c>
      <c r="DE430" s="28" t="n">
        <f aca="false">IFERROR(INDEX(Assessments!$J$2:$J$600,MATCH($H430&amp;"|"&amp;$I430&amp;"|"&amp;$J430&amp;"|"&amp;9,Assessments!$A$2:$A$600,0)),0)</f>
        <v>0</v>
      </c>
      <c r="DF430" s="28" t="n">
        <f aca="false">IFERROR(INDEX(Assessments!$J$2:$J$600,MATCH($H430&amp;"|"&amp;$I430&amp;"|"&amp;$J430&amp;"|"&amp;10,Assessments!$A$2:$A$600,0)),0)</f>
        <v>0</v>
      </c>
      <c r="DG430" s="28" t="n">
        <f aca="false">IFERROR(INDEX(Assessments!$J$2:$J$600,MATCH($H430&amp;"|"&amp;$I430&amp;"|"&amp;$J430&amp;"|"&amp;11,Assessments!$A$2:$A$600,0)),0)</f>
        <v>0</v>
      </c>
      <c r="DH430" s="28" t="n">
        <f aca="false">IFERROR(INDEX(Assessments!$J$2:$J$600,MATCH($H430&amp;"|"&amp;$I430&amp;"|"&amp;$J430&amp;"|"&amp;12,Assessments!$A$2:$A$600,0)),0)</f>
        <v>0</v>
      </c>
      <c r="DI430" s="28" t="n">
        <f aca="false">IFERROR(INDEX(Assessments!$J$2:$J$600,MATCH($H430&amp;"|"&amp;$I430&amp;"|"&amp;$J430&amp;"|"&amp;13,Assessments!$A$2:$A$600,0)),0)</f>
        <v>0</v>
      </c>
      <c r="DJ430" s="28" t="n">
        <f aca="false">IFERROR(INDEX(Assessments!$J$2:$J$600,MATCH($H430&amp;"|"&amp;$I430&amp;"|"&amp;$J430&amp;"|"&amp;14,Assessments!$A$2:$A$600,0)),0)</f>
        <v>0</v>
      </c>
      <c r="DK430" s="28" t="str">
        <f aca="false">S430</f>
        <v/>
      </c>
      <c r="DL430" s="28" t="str">
        <f aca="false">W430</f>
        <v/>
      </c>
      <c r="DM430" s="28" t="str">
        <f aca="false">AA430</f>
        <v/>
      </c>
      <c r="DN430" s="28" t="str">
        <f aca="false">AE430</f>
        <v/>
      </c>
      <c r="DO430" s="28" t="str">
        <f aca="false">AI430</f>
        <v/>
      </c>
      <c r="DP430" s="28" t="str">
        <f aca="false">AM430</f>
        <v/>
      </c>
      <c r="DQ430" s="28" t="str">
        <f aca="false">AQ430</f>
        <v/>
      </c>
      <c r="DR430" s="28" t="str">
        <f aca="false">AU430</f>
        <v/>
      </c>
      <c r="DS430" s="28" t="str">
        <f aca="false">AY430</f>
        <v/>
      </c>
      <c r="DT430" s="28" t="str">
        <f aca="false">BC430</f>
        <v/>
      </c>
      <c r="DU430" s="28" t="str">
        <f aca="false">BG430</f>
        <v/>
      </c>
      <c r="DV430" s="28" t="str">
        <f aca="false">BK430</f>
        <v/>
      </c>
      <c r="DW430" s="28" t="str">
        <f aca="false">BO430</f>
        <v/>
      </c>
      <c r="DX430" s="28" t="str">
        <f aca="false">BS430</f>
        <v/>
      </c>
      <c r="DY430" s="28" t="str">
        <f aca="false">IF(ISNUMBER(S430),1,"")</f>
        <v/>
      </c>
      <c r="DZ430" s="28" t="str">
        <f aca="false">IF(ISNUMBER(W430),2,"")</f>
        <v/>
      </c>
      <c r="EA430" s="28" t="str">
        <f aca="false">IF(ISNUMBER(AA430),3,"")</f>
        <v/>
      </c>
      <c r="EB430" s="28" t="str">
        <f aca="false">IF(ISNUMBER(AE430),4,"")</f>
        <v/>
      </c>
      <c r="EC430" s="28" t="str">
        <f aca="false">IF(ISNUMBER(AI430),5,"")</f>
        <v/>
      </c>
      <c r="ED430" s="28" t="str">
        <f aca="false">IF(ISNUMBER(AM430),6,"")</f>
        <v/>
      </c>
      <c r="EE430" s="28" t="str">
        <f aca="false">IF(ISNUMBER(AQ430),7,"")</f>
        <v/>
      </c>
      <c r="EF430" s="28" t="str">
        <f aca="false">IF(ISNUMBER(AU430),8,"")</f>
        <v/>
      </c>
      <c r="EG430" s="28" t="str">
        <f aca="false">IF(ISNUMBER(AY430),9,"")</f>
        <v/>
      </c>
      <c r="EH430" s="28" t="str">
        <f aca="false">IF(ISNUMBER(BC430),10,"")</f>
        <v/>
      </c>
      <c r="EI430" s="28" t="str">
        <f aca="false">IF(ISNUMBER(BG430),11,"")</f>
        <v/>
      </c>
      <c r="EJ430" s="28" t="str">
        <f aca="false">IF(ISNUMBER(BK430),12,"")</f>
        <v/>
      </c>
      <c r="EK430" s="28" t="str">
        <f aca="false">IF(ISNUMBER(BO430),13,"")</f>
        <v/>
      </c>
      <c r="EL430" s="28" t="str">
        <f aca="false">IF(ISNUMBER(BS430),14,"")</f>
        <v/>
      </c>
      <c r="EM430" s="28" t="n">
        <f aca="false">IF(ISNUMBER(R430),R430*CW430,0)</f>
        <v>0</v>
      </c>
      <c r="EN430" s="28" t="n">
        <f aca="false">IF(ISNUMBER(V430),V430*CX430,0)</f>
        <v>0</v>
      </c>
      <c r="EO430" s="28" t="n">
        <f aca="false">IF(ISNUMBER(Z430),Z430*CY430,0)</f>
        <v>0</v>
      </c>
      <c r="EP430" s="28" t="n">
        <f aca="false">IF(ISNUMBER(AD430),AD430*CZ430,0)</f>
        <v>0</v>
      </c>
      <c r="EQ430" s="28" t="n">
        <f aca="false">IF(ISNUMBER(AH430),AH430*DA430,0)</f>
        <v>0</v>
      </c>
      <c r="ER430" s="28" t="n">
        <f aca="false">IF(ISNUMBER(AL430),AL430*DB430,0)</f>
        <v>0</v>
      </c>
      <c r="ES430" s="28" t="n">
        <f aca="false">IF(ISNUMBER(AP430),AP430*DC430,0)</f>
        <v>0</v>
      </c>
      <c r="ET430" s="28" t="n">
        <f aca="false">IF(ISNUMBER(AT430),AT430*DD430,0)</f>
        <v>0</v>
      </c>
      <c r="EU430" s="28" t="n">
        <f aca="false">IF(ISNUMBER(AX430),AX430*DE430,0)</f>
        <v>0</v>
      </c>
      <c r="EV430" s="28" t="n">
        <f aca="false">IF(ISNUMBER(BB430),BB430*DF430,0)</f>
        <v>0</v>
      </c>
      <c r="EW430" s="28" t="n">
        <f aca="false">IF(ISNUMBER(BF430),BF430*DG430,0)</f>
        <v>0</v>
      </c>
      <c r="EX430" s="28" t="n">
        <f aca="false">IF(ISNUMBER(BJ430),BJ430*DH430,0)</f>
        <v>0</v>
      </c>
      <c r="EY430" s="28" t="n">
        <f aca="false">IF(ISNUMBER(BN430),BN430*DI430,0)</f>
        <v>0</v>
      </c>
      <c r="EZ430" s="28" t="n">
        <f aca="false">IF(ISNUMBER(BR430),BR430*DJ430,0)</f>
        <v>0</v>
      </c>
      <c r="FA430" s="28" t="n">
        <f aca="false">IF(ISNUMBER(R430),CW430,0)</f>
        <v>0</v>
      </c>
      <c r="FB430" s="28" t="n">
        <f aca="false">IF(ISNUMBER(V430),CX430,0)</f>
        <v>0</v>
      </c>
      <c r="FC430" s="28" t="n">
        <f aca="false">IF(ISNUMBER(Z430),CY430,0)</f>
        <v>0</v>
      </c>
      <c r="FD430" s="28" t="n">
        <f aca="false">IF(ISNUMBER(AD430),CZ430,0)</f>
        <v>0</v>
      </c>
      <c r="FE430" s="28" t="n">
        <f aca="false">IF(ISNUMBER(AH430),DA430,0)</f>
        <v>0</v>
      </c>
      <c r="FF430" s="28" t="n">
        <f aca="false">IF(ISNUMBER(AL430),DB430,0)</f>
        <v>0</v>
      </c>
      <c r="FG430" s="28" t="n">
        <f aca="false">IF(ISNUMBER(AP430),DC430,0)</f>
        <v>0</v>
      </c>
      <c r="FH430" s="28" t="n">
        <f aca="false">IF(ISNUMBER(AT430),DD430,0)</f>
        <v>0</v>
      </c>
      <c r="FI430" s="28" t="n">
        <f aca="false">IF(ISNUMBER(AX430),DE430,0)</f>
        <v>0</v>
      </c>
      <c r="FJ430" s="28" t="n">
        <f aca="false">IF(ISNUMBER(BB430),DF430,0)</f>
        <v>0</v>
      </c>
      <c r="FK430" s="28" t="n">
        <f aca="false">IF(ISNUMBER(BF430),DG430,0)</f>
        <v>0</v>
      </c>
      <c r="FL430" s="28" t="n">
        <f aca="false">IF(ISNUMBER(BJ430),DH430,0)</f>
        <v>0</v>
      </c>
      <c r="FM430" s="28" t="n">
        <f aca="false">IF(ISNUMBER(BN430),DI430,0)</f>
        <v>0</v>
      </c>
      <c r="FN430" s="28" t="n">
        <f aca="false">IF(ISNUMBER(BR430),DJ430,0)</f>
        <v>0</v>
      </c>
      <c r="FO430" s="28" t="str">
        <f aca="false">IFERROR(INDEX(Lists!$G$2:$G$20,MATCH($I430&amp;"|"&amp;$J430,Lists!$F$2:$F$20,0)),"")</f>
        <v/>
      </c>
    </row>
    <row r="431" customFormat="false" ht="19.5" hidden="false" customHeight="true" outlineLevel="0" collapsed="false">
      <c r="A431" s="29"/>
      <c r="B431" s="29"/>
      <c r="C431" s="30"/>
      <c r="D431" s="30"/>
      <c r="E431" s="31"/>
      <c r="F431" s="30"/>
      <c r="G431" s="30"/>
      <c r="H431" s="32"/>
      <c r="I431" s="33"/>
      <c r="J431" s="32"/>
      <c r="K431" s="34" t="str">
        <f aca="false">IF(OR(M431="",$E431=""),"",M431-$E431)</f>
        <v/>
      </c>
      <c r="L431" s="35" t="str">
        <f aca="false">IF(SUM(FA431:FN431)=0,"",SUM(EM431:EZ431)/SUM(FA431:FN431))</f>
        <v/>
      </c>
      <c r="M431" s="36" t="str">
        <f aca="false">IF(OR(L431="",FO431=""),"",IFERROR(MATCH(L431,INDEX(Boundaries!$B$2:$I$30,MATCH(FO431,Boundaries!$A$2:$A$30,0),0),1)-1,""))</f>
        <v/>
      </c>
      <c r="N431" s="37" t="str">
        <f aca="false">IF(COUNT($DY431:$EL431)&lt;2,"",INDEX($DK431:$DX431,MAX($DY431:$EL431))-INDEX($DK431:$DX431,MIN($DY431:$EL431)))</f>
        <v/>
      </c>
      <c r="O431" s="37" t="str">
        <f aca="false">IF(COUNT($DY431:$EL431)&lt;2,"",INDEX($DK431:$DX431,MAX($DY431:$EL431))-INDEX($DK431:$DX431,LARGE($DY431:$EL431,2)))</f>
        <v/>
      </c>
      <c r="P431" s="38" t="str">
        <f aca="false">IF(K431="","",IF(K431&gt;=0,"On/above target",IF(AND(N431&lt;&gt;"",N431&gt;=0.5),"Improving towards target",IF(AND(O431&lt;&gt;"",O431&lt;=-0.5),"Declining","Stable below target"))))</f>
        <v/>
      </c>
      <c r="Q431" s="39"/>
      <c r="R431" s="40" t="str">
        <f aca="false">IF(OR(Q431="",BU431=""),"",Q431/BU431*100)</f>
        <v/>
      </c>
      <c r="S431" s="41" t="str">
        <f aca="false">IF(R431="","",IFERROR(MATCH(R431,INDEX(Boundaries!$B$2:$I$30,MATCH(CI431,Boundaries!$A$2:$A$30,0),0),1)-1,""))</f>
        <v/>
      </c>
      <c r="T431" s="42" t="str">
        <f aca="false">IF(OR(S431="",$E431=""),"",S431-$E431)</f>
        <v/>
      </c>
      <c r="U431" s="39"/>
      <c r="V431" s="40" t="str">
        <f aca="false">IF(OR(U431="",BV431=""),"",U431/BV431*100)</f>
        <v/>
      </c>
      <c r="W431" s="41" t="str">
        <f aca="false">IF(V431="","",IFERROR(MATCH(V431,INDEX(Boundaries!$B$2:$I$30,MATCH(CJ431,Boundaries!$A$2:$A$30,0),0),1)-1,""))</f>
        <v/>
      </c>
      <c r="X431" s="42" t="str">
        <f aca="false">IF(OR(W431="",$E431=""),"",W431-$E431)</f>
        <v/>
      </c>
      <c r="Y431" s="39"/>
      <c r="Z431" s="40" t="str">
        <f aca="false">IF(OR(Y431="",BW431=""),"",Y431/BW431*100)</f>
        <v/>
      </c>
      <c r="AA431" s="41" t="str">
        <f aca="false">IF(Z431="","",IFERROR(MATCH(Z431,INDEX(Boundaries!$B$2:$I$30,MATCH(CK431,Boundaries!$A$2:$A$30,0),0),1)-1,""))</f>
        <v/>
      </c>
      <c r="AB431" s="42" t="str">
        <f aca="false">IF(OR(AA431="",$E431=""),"",AA431-$E431)</f>
        <v/>
      </c>
      <c r="AC431" s="39"/>
      <c r="AD431" s="40" t="str">
        <f aca="false">IF(OR(AC431="",BX431=""),"",AC431/BX431*100)</f>
        <v/>
      </c>
      <c r="AE431" s="41" t="str">
        <f aca="false">IF(AD431="","",IFERROR(MATCH(AD431,INDEX(Boundaries!$B$2:$I$30,MATCH(CL431,Boundaries!$A$2:$A$30,0),0),1)-1,""))</f>
        <v/>
      </c>
      <c r="AF431" s="42" t="str">
        <f aca="false">IF(OR(AE431="",$E431=""),"",AE431-$E431)</f>
        <v/>
      </c>
      <c r="AG431" s="39"/>
      <c r="AH431" s="40" t="str">
        <f aca="false">IF(OR(AG431="",BY431=""),"",AG431/BY431*100)</f>
        <v/>
      </c>
      <c r="AI431" s="41" t="str">
        <f aca="false">IF(AH431="","",IFERROR(MATCH(AH431,INDEX(Boundaries!$B$2:$I$30,MATCH(CM431,Boundaries!$A$2:$A$30,0),0),1)-1,""))</f>
        <v/>
      </c>
      <c r="AJ431" s="42" t="str">
        <f aca="false">IF(OR(AI431="",$E431=""),"",AI431-$E431)</f>
        <v/>
      </c>
      <c r="AK431" s="39"/>
      <c r="AL431" s="40" t="str">
        <f aca="false">IF(OR(AK431="",BZ431=""),"",AK431/BZ431*100)</f>
        <v/>
      </c>
      <c r="AM431" s="41" t="str">
        <f aca="false">IF(AL431="","",IFERROR(MATCH(AL431,INDEX(Boundaries!$B$2:$I$30,MATCH(CN431,Boundaries!$A$2:$A$30,0),0),1)-1,""))</f>
        <v/>
      </c>
      <c r="AN431" s="42" t="str">
        <f aca="false">IF(OR(AM431="",$E431=""),"",AM431-$E431)</f>
        <v/>
      </c>
      <c r="AO431" s="39"/>
      <c r="AP431" s="40" t="str">
        <f aca="false">IF(OR(AO431="",CA431=""),"",AO431/CA431*100)</f>
        <v/>
      </c>
      <c r="AQ431" s="41" t="str">
        <f aca="false">IF(AP431="","",IFERROR(MATCH(AP431,INDEX(Boundaries!$B$2:$I$30,MATCH(CO431,Boundaries!$A$2:$A$30,0),0),1)-1,""))</f>
        <v/>
      </c>
      <c r="AR431" s="42" t="str">
        <f aca="false">IF(OR(AQ431="",$E431=""),"",AQ431-$E431)</f>
        <v/>
      </c>
      <c r="AS431" s="39"/>
      <c r="AT431" s="40" t="str">
        <f aca="false">IF(OR(AS431="",CB431=""),"",AS431/CB431*100)</f>
        <v/>
      </c>
      <c r="AU431" s="41" t="str">
        <f aca="false">IF(AT431="","",IFERROR(MATCH(AT431,INDEX(Boundaries!$B$2:$I$30,MATCH(CP431,Boundaries!$A$2:$A$30,0),0),1)-1,""))</f>
        <v/>
      </c>
      <c r="AV431" s="42" t="str">
        <f aca="false">IF(OR(AU431="",$E431=""),"",AU431-$E431)</f>
        <v/>
      </c>
      <c r="AW431" s="39"/>
      <c r="AX431" s="40" t="str">
        <f aca="false">IF(OR(AW431="",CC431=""),"",AW431/CC431*100)</f>
        <v/>
      </c>
      <c r="AY431" s="41" t="str">
        <f aca="false">IF(AX431="","",IFERROR(MATCH(AX431,INDEX(Boundaries!$B$2:$I$30,MATCH(CQ431,Boundaries!$A$2:$A$30,0),0),1)-1,""))</f>
        <v/>
      </c>
      <c r="AZ431" s="42" t="str">
        <f aca="false">IF(OR(AY431="",$E431=""),"",AY431-$E431)</f>
        <v/>
      </c>
      <c r="BA431" s="39"/>
      <c r="BB431" s="40" t="str">
        <f aca="false">IF(OR(BA431="",CD431=""),"",BA431/CD431*100)</f>
        <v/>
      </c>
      <c r="BC431" s="41" t="str">
        <f aca="false">IF(BB431="","",IFERROR(MATCH(BB431,INDEX(Boundaries!$B$2:$I$30,MATCH(CR431,Boundaries!$A$2:$A$30,0),0),1)-1,""))</f>
        <v/>
      </c>
      <c r="BD431" s="42" t="str">
        <f aca="false">IF(OR(BC431="",$E431=""),"",BC431-$E431)</f>
        <v/>
      </c>
      <c r="BE431" s="39"/>
      <c r="BF431" s="40" t="str">
        <f aca="false">IF(OR(BE431="",CE431=""),"",BE431/CE431*100)</f>
        <v/>
      </c>
      <c r="BG431" s="41" t="str">
        <f aca="false">IF(BF431="","",IFERROR(MATCH(BF431,INDEX(Boundaries!$B$2:$I$30,MATCH(CS431,Boundaries!$A$2:$A$30,0),0),1)-1,""))</f>
        <v/>
      </c>
      <c r="BH431" s="42" t="str">
        <f aca="false">IF(OR(BG431="",$E431=""),"",BG431-$E431)</f>
        <v/>
      </c>
      <c r="BI431" s="39"/>
      <c r="BJ431" s="40" t="str">
        <f aca="false">IF(OR(BI431="",CF431=""),"",BI431/CF431*100)</f>
        <v/>
      </c>
      <c r="BK431" s="41" t="str">
        <f aca="false">IF(BJ431="","",IFERROR(MATCH(BJ431,INDEX(Boundaries!$B$2:$I$30,MATCH(CT431,Boundaries!$A$2:$A$30,0),0),1)-1,""))</f>
        <v/>
      </c>
      <c r="BL431" s="42" t="str">
        <f aca="false">IF(OR(BK431="",$E431=""),"",BK431-$E431)</f>
        <v/>
      </c>
      <c r="BM431" s="39"/>
      <c r="BN431" s="40" t="str">
        <f aca="false">IF(OR(BM431="",CG431=""),"",BM431/CG431*100)</f>
        <v/>
      </c>
      <c r="BO431" s="41" t="str">
        <f aca="false">IF(BN431="","",IFERROR(MATCH(BN431,INDEX(Boundaries!$B$2:$I$30,MATCH(CU431,Boundaries!$A$2:$A$30,0),0),1)-1,""))</f>
        <v/>
      </c>
      <c r="BP431" s="42" t="str">
        <f aca="false">IF(OR(BO431="",$E431=""),"",BO431-$E431)</f>
        <v/>
      </c>
      <c r="BQ431" s="39"/>
      <c r="BR431" s="40" t="str">
        <f aca="false">IF(OR(BQ431="",CH431=""),"",BQ431/CH431*100)</f>
        <v/>
      </c>
      <c r="BS431" s="41" t="str">
        <f aca="false">IF(BR431="","",IFERROR(MATCH(BR431,INDEX(Boundaries!$B$2:$I$30,MATCH(CV431,Boundaries!$A$2:$A$30,0),0),1)-1,""))</f>
        <v/>
      </c>
      <c r="BT431" s="42" t="str">
        <f aca="false">IF(OR(BS431="",$E431=""),"",BS431-$E431)</f>
        <v/>
      </c>
      <c r="BU431" s="28" t="str">
        <f aca="false">IFERROR(INDEX(Assessments!$H$2:$H$600,MATCH($H431&amp;"|"&amp;$I431&amp;"|"&amp;$J431&amp;"|"&amp;1,Assessments!$A$2:$A$600,0)),"")</f>
        <v/>
      </c>
      <c r="BV431" s="28" t="str">
        <f aca="false">IFERROR(INDEX(Assessments!$H$2:$H$600,MATCH($H431&amp;"|"&amp;$I431&amp;"|"&amp;$J431&amp;"|"&amp;2,Assessments!$A$2:$A$600,0)),"")</f>
        <v/>
      </c>
      <c r="BW431" s="28" t="str">
        <f aca="false">IFERROR(INDEX(Assessments!$H$2:$H$600,MATCH($H431&amp;"|"&amp;$I431&amp;"|"&amp;$J431&amp;"|"&amp;3,Assessments!$A$2:$A$600,0)),"")</f>
        <v/>
      </c>
      <c r="BX431" s="28" t="str">
        <f aca="false">IFERROR(INDEX(Assessments!$H$2:$H$600,MATCH($H431&amp;"|"&amp;$I431&amp;"|"&amp;$J431&amp;"|"&amp;4,Assessments!$A$2:$A$600,0)),"")</f>
        <v/>
      </c>
      <c r="BY431" s="28" t="str">
        <f aca="false">IFERROR(INDEX(Assessments!$H$2:$H$600,MATCH($H431&amp;"|"&amp;$I431&amp;"|"&amp;$J431&amp;"|"&amp;5,Assessments!$A$2:$A$600,0)),"")</f>
        <v/>
      </c>
      <c r="BZ431" s="28" t="str">
        <f aca="false">IFERROR(INDEX(Assessments!$H$2:$H$600,MATCH($H431&amp;"|"&amp;$I431&amp;"|"&amp;$J431&amp;"|"&amp;6,Assessments!$A$2:$A$600,0)),"")</f>
        <v/>
      </c>
      <c r="CA431" s="28" t="str">
        <f aca="false">IFERROR(INDEX(Assessments!$H$2:$H$600,MATCH($H431&amp;"|"&amp;$I431&amp;"|"&amp;$J431&amp;"|"&amp;7,Assessments!$A$2:$A$600,0)),"")</f>
        <v/>
      </c>
      <c r="CB431" s="28" t="str">
        <f aca="false">IFERROR(INDEX(Assessments!$H$2:$H$600,MATCH($H431&amp;"|"&amp;$I431&amp;"|"&amp;$J431&amp;"|"&amp;8,Assessments!$A$2:$A$600,0)),"")</f>
        <v/>
      </c>
      <c r="CC431" s="28" t="str">
        <f aca="false">IFERROR(INDEX(Assessments!$H$2:$H$600,MATCH($H431&amp;"|"&amp;$I431&amp;"|"&amp;$J431&amp;"|"&amp;9,Assessments!$A$2:$A$600,0)),"")</f>
        <v/>
      </c>
      <c r="CD431" s="28" t="str">
        <f aca="false">IFERROR(INDEX(Assessments!$H$2:$H$600,MATCH($H431&amp;"|"&amp;$I431&amp;"|"&amp;$J431&amp;"|"&amp;10,Assessments!$A$2:$A$600,0)),"")</f>
        <v/>
      </c>
      <c r="CE431" s="28" t="str">
        <f aca="false">IFERROR(INDEX(Assessments!$H$2:$H$600,MATCH($H431&amp;"|"&amp;$I431&amp;"|"&amp;$J431&amp;"|"&amp;11,Assessments!$A$2:$A$600,0)),"")</f>
        <v/>
      </c>
      <c r="CF431" s="28" t="str">
        <f aca="false">IFERROR(INDEX(Assessments!$H$2:$H$600,MATCH($H431&amp;"|"&amp;$I431&amp;"|"&amp;$J431&amp;"|"&amp;12,Assessments!$A$2:$A$600,0)),"")</f>
        <v/>
      </c>
      <c r="CG431" s="28" t="str">
        <f aca="false">IFERROR(INDEX(Assessments!$H$2:$H$600,MATCH($H431&amp;"|"&amp;$I431&amp;"|"&amp;$J431&amp;"|"&amp;13,Assessments!$A$2:$A$600,0)),"")</f>
        <v/>
      </c>
      <c r="CH431" s="28" t="str">
        <f aca="false">IFERROR(INDEX(Assessments!$H$2:$H$600,MATCH($H431&amp;"|"&amp;$I431&amp;"|"&amp;$J431&amp;"|"&amp;14,Assessments!$A$2:$A$600,0)),"")</f>
        <v/>
      </c>
      <c r="CI431" s="28" t="str">
        <f aca="false">IFERROR(INDEX(Assessments!$I$2:$I$600,MATCH($H431&amp;"|"&amp;$I431&amp;"|"&amp;$J431&amp;"|"&amp;1,Assessments!$A$2:$A$600,0)),"")</f>
        <v/>
      </c>
      <c r="CJ431" s="28" t="str">
        <f aca="false">IFERROR(INDEX(Assessments!$I$2:$I$600,MATCH($H431&amp;"|"&amp;$I431&amp;"|"&amp;$J431&amp;"|"&amp;2,Assessments!$A$2:$A$600,0)),"")</f>
        <v/>
      </c>
      <c r="CK431" s="28" t="str">
        <f aca="false">IFERROR(INDEX(Assessments!$I$2:$I$600,MATCH($H431&amp;"|"&amp;$I431&amp;"|"&amp;$J431&amp;"|"&amp;3,Assessments!$A$2:$A$600,0)),"")</f>
        <v/>
      </c>
      <c r="CL431" s="28" t="str">
        <f aca="false">IFERROR(INDEX(Assessments!$I$2:$I$600,MATCH($H431&amp;"|"&amp;$I431&amp;"|"&amp;$J431&amp;"|"&amp;4,Assessments!$A$2:$A$600,0)),"")</f>
        <v/>
      </c>
      <c r="CM431" s="28" t="str">
        <f aca="false">IFERROR(INDEX(Assessments!$I$2:$I$600,MATCH($H431&amp;"|"&amp;$I431&amp;"|"&amp;$J431&amp;"|"&amp;5,Assessments!$A$2:$A$600,0)),"")</f>
        <v/>
      </c>
      <c r="CN431" s="28" t="str">
        <f aca="false">IFERROR(INDEX(Assessments!$I$2:$I$600,MATCH($H431&amp;"|"&amp;$I431&amp;"|"&amp;$J431&amp;"|"&amp;6,Assessments!$A$2:$A$600,0)),"")</f>
        <v/>
      </c>
      <c r="CO431" s="28" t="str">
        <f aca="false">IFERROR(INDEX(Assessments!$I$2:$I$600,MATCH($H431&amp;"|"&amp;$I431&amp;"|"&amp;$J431&amp;"|"&amp;7,Assessments!$A$2:$A$600,0)),"")</f>
        <v/>
      </c>
      <c r="CP431" s="28" t="str">
        <f aca="false">IFERROR(INDEX(Assessments!$I$2:$I$600,MATCH($H431&amp;"|"&amp;$I431&amp;"|"&amp;$J431&amp;"|"&amp;8,Assessments!$A$2:$A$600,0)),"")</f>
        <v/>
      </c>
      <c r="CQ431" s="28" t="str">
        <f aca="false">IFERROR(INDEX(Assessments!$I$2:$I$600,MATCH($H431&amp;"|"&amp;$I431&amp;"|"&amp;$J431&amp;"|"&amp;9,Assessments!$A$2:$A$600,0)),"")</f>
        <v/>
      </c>
      <c r="CR431" s="28" t="str">
        <f aca="false">IFERROR(INDEX(Assessments!$I$2:$I$600,MATCH($H431&amp;"|"&amp;$I431&amp;"|"&amp;$J431&amp;"|"&amp;10,Assessments!$A$2:$A$600,0)),"")</f>
        <v/>
      </c>
      <c r="CS431" s="28" t="str">
        <f aca="false">IFERROR(INDEX(Assessments!$I$2:$I$600,MATCH($H431&amp;"|"&amp;$I431&amp;"|"&amp;$J431&amp;"|"&amp;11,Assessments!$A$2:$A$600,0)),"")</f>
        <v/>
      </c>
      <c r="CT431" s="28" t="str">
        <f aca="false">IFERROR(INDEX(Assessments!$I$2:$I$600,MATCH($H431&amp;"|"&amp;$I431&amp;"|"&amp;$J431&amp;"|"&amp;12,Assessments!$A$2:$A$600,0)),"")</f>
        <v/>
      </c>
      <c r="CU431" s="28" t="str">
        <f aca="false">IFERROR(INDEX(Assessments!$I$2:$I$600,MATCH($H431&amp;"|"&amp;$I431&amp;"|"&amp;$J431&amp;"|"&amp;13,Assessments!$A$2:$A$600,0)),"")</f>
        <v/>
      </c>
      <c r="CV431" s="28" t="str">
        <f aca="false">IFERROR(INDEX(Assessments!$I$2:$I$600,MATCH($H431&amp;"|"&amp;$I431&amp;"|"&amp;$J431&amp;"|"&amp;14,Assessments!$A$2:$A$600,0)),"")</f>
        <v/>
      </c>
      <c r="CW431" s="28" t="n">
        <f aca="false">IFERROR(INDEX(Assessments!$J$2:$J$600,MATCH($H431&amp;"|"&amp;$I431&amp;"|"&amp;$J431&amp;"|"&amp;1,Assessments!$A$2:$A$600,0)),0)</f>
        <v>0</v>
      </c>
      <c r="CX431" s="28" t="n">
        <f aca="false">IFERROR(INDEX(Assessments!$J$2:$J$600,MATCH($H431&amp;"|"&amp;$I431&amp;"|"&amp;$J431&amp;"|"&amp;2,Assessments!$A$2:$A$600,0)),0)</f>
        <v>0</v>
      </c>
      <c r="CY431" s="28" t="n">
        <f aca="false">IFERROR(INDEX(Assessments!$J$2:$J$600,MATCH($H431&amp;"|"&amp;$I431&amp;"|"&amp;$J431&amp;"|"&amp;3,Assessments!$A$2:$A$600,0)),0)</f>
        <v>0</v>
      </c>
      <c r="CZ431" s="28" t="n">
        <f aca="false">IFERROR(INDEX(Assessments!$J$2:$J$600,MATCH($H431&amp;"|"&amp;$I431&amp;"|"&amp;$J431&amp;"|"&amp;4,Assessments!$A$2:$A$600,0)),0)</f>
        <v>0</v>
      </c>
      <c r="DA431" s="28" t="n">
        <f aca="false">IFERROR(INDEX(Assessments!$J$2:$J$600,MATCH($H431&amp;"|"&amp;$I431&amp;"|"&amp;$J431&amp;"|"&amp;5,Assessments!$A$2:$A$600,0)),0)</f>
        <v>0</v>
      </c>
      <c r="DB431" s="28" t="n">
        <f aca="false">IFERROR(INDEX(Assessments!$J$2:$J$600,MATCH($H431&amp;"|"&amp;$I431&amp;"|"&amp;$J431&amp;"|"&amp;6,Assessments!$A$2:$A$600,0)),0)</f>
        <v>0</v>
      </c>
      <c r="DC431" s="28" t="n">
        <f aca="false">IFERROR(INDEX(Assessments!$J$2:$J$600,MATCH($H431&amp;"|"&amp;$I431&amp;"|"&amp;$J431&amp;"|"&amp;7,Assessments!$A$2:$A$600,0)),0)</f>
        <v>0</v>
      </c>
      <c r="DD431" s="28" t="n">
        <f aca="false">IFERROR(INDEX(Assessments!$J$2:$J$600,MATCH($H431&amp;"|"&amp;$I431&amp;"|"&amp;$J431&amp;"|"&amp;8,Assessments!$A$2:$A$600,0)),0)</f>
        <v>0</v>
      </c>
      <c r="DE431" s="28" t="n">
        <f aca="false">IFERROR(INDEX(Assessments!$J$2:$J$600,MATCH($H431&amp;"|"&amp;$I431&amp;"|"&amp;$J431&amp;"|"&amp;9,Assessments!$A$2:$A$600,0)),0)</f>
        <v>0</v>
      </c>
      <c r="DF431" s="28" t="n">
        <f aca="false">IFERROR(INDEX(Assessments!$J$2:$J$600,MATCH($H431&amp;"|"&amp;$I431&amp;"|"&amp;$J431&amp;"|"&amp;10,Assessments!$A$2:$A$600,0)),0)</f>
        <v>0</v>
      </c>
      <c r="DG431" s="28" t="n">
        <f aca="false">IFERROR(INDEX(Assessments!$J$2:$J$600,MATCH($H431&amp;"|"&amp;$I431&amp;"|"&amp;$J431&amp;"|"&amp;11,Assessments!$A$2:$A$600,0)),0)</f>
        <v>0</v>
      </c>
      <c r="DH431" s="28" t="n">
        <f aca="false">IFERROR(INDEX(Assessments!$J$2:$J$600,MATCH($H431&amp;"|"&amp;$I431&amp;"|"&amp;$J431&amp;"|"&amp;12,Assessments!$A$2:$A$600,0)),0)</f>
        <v>0</v>
      </c>
      <c r="DI431" s="28" t="n">
        <f aca="false">IFERROR(INDEX(Assessments!$J$2:$J$600,MATCH($H431&amp;"|"&amp;$I431&amp;"|"&amp;$J431&amp;"|"&amp;13,Assessments!$A$2:$A$600,0)),0)</f>
        <v>0</v>
      </c>
      <c r="DJ431" s="28" t="n">
        <f aca="false">IFERROR(INDEX(Assessments!$J$2:$J$600,MATCH($H431&amp;"|"&amp;$I431&amp;"|"&amp;$J431&amp;"|"&amp;14,Assessments!$A$2:$A$600,0)),0)</f>
        <v>0</v>
      </c>
      <c r="DK431" s="28" t="str">
        <f aca="false">S431</f>
        <v/>
      </c>
      <c r="DL431" s="28" t="str">
        <f aca="false">W431</f>
        <v/>
      </c>
      <c r="DM431" s="28" t="str">
        <f aca="false">AA431</f>
        <v/>
      </c>
      <c r="DN431" s="28" t="str">
        <f aca="false">AE431</f>
        <v/>
      </c>
      <c r="DO431" s="28" t="str">
        <f aca="false">AI431</f>
        <v/>
      </c>
      <c r="DP431" s="28" t="str">
        <f aca="false">AM431</f>
        <v/>
      </c>
      <c r="DQ431" s="28" t="str">
        <f aca="false">AQ431</f>
        <v/>
      </c>
      <c r="DR431" s="28" t="str">
        <f aca="false">AU431</f>
        <v/>
      </c>
      <c r="DS431" s="28" t="str">
        <f aca="false">AY431</f>
        <v/>
      </c>
      <c r="DT431" s="28" t="str">
        <f aca="false">BC431</f>
        <v/>
      </c>
      <c r="DU431" s="28" t="str">
        <f aca="false">BG431</f>
        <v/>
      </c>
      <c r="DV431" s="28" t="str">
        <f aca="false">BK431</f>
        <v/>
      </c>
      <c r="DW431" s="28" t="str">
        <f aca="false">BO431</f>
        <v/>
      </c>
      <c r="DX431" s="28" t="str">
        <f aca="false">BS431</f>
        <v/>
      </c>
      <c r="DY431" s="28" t="str">
        <f aca="false">IF(ISNUMBER(S431),1,"")</f>
        <v/>
      </c>
      <c r="DZ431" s="28" t="str">
        <f aca="false">IF(ISNUMBER(W431),2,"")</f>
        <v/>
      </c>
      <c r="EA431" s="28" t="str">
        <f aca="false">IF(ISNUMBER(AA431),3,"")</f>
        <v/>
      </c>
      <c r="EB431" s="28" t="str">
        <f aca="false">IF(ISNUMBER(AE431),4,"")</f>
        <v/>
      </c>
      <c r="EC431" s="28" t="str">
        <f aca="false">IF(ISNUMBER(AI431),5,"")</f>
        <v/>
      </c>
      <c r="ED431" s="28" t="str">
        <f aca="false">IF(ISNUMBER(AM431),6,"")</f>
        <v/>
      </c>
      <c r="EE431" s="28" t="str">
        <f aca="false">IF(ISNUMBER(AQ431),7,"")</f>
        <v/>
      </c>
      <c r="EF431" s="28" t="str">
        <f aca="false">IF(ISNUMBER(AU431),8,"")</f>
        <v/>
      </c>
      <c r="EG431" s="28" t="str">
        <f aca="false">IF(ISNUMBER(AY431),9,"")</f>
        <v/>
      </c>
      <c r="EH431" s="28" t="str">
        <f aca="false">IF(ISNUMBER(BC431),10,"")</f>
        <v/>
      </c>
      <c r="EI431" s="28" t="str">
        <f aca="false">IF(ISNUMBER(BG431),11,"")</f>
        <v/>
      </c>
      <c r="EJ431" s="28" t="str">
        <f aca="false">IF(ISNUMBER(BK431),12,"")</f>
        <v/>
      </c>
      <c r="EK431" s="28" t="str">
        <f aca="false">IF(ISNUMBER(BO431),13,"")</f>
        <v/>
      </c>
      <c r="EL431" s="28" t="str">
        <f aca="false">IF(ISNUMBER(BS431),14,"")</f>
        <v/>
      </c>
      <c r="EM431" s="28" t="n">
        <f aca="false">IF(ISNUMBER(R431),R431*CW431,0)</f>
        <v>0</v>
      </c>
      <c r="EN431" s="28" t="n">
        <f aca="false">IF(ISNUMBER(V431),V431*CX431,0)</f>
        <v>0</v>
      </c>
      <c r="EO431" s="28" t="n">
        <f aca="false">IF(ISNUMBER(Z431),Z431*CY431,0)</f>
        <v>0</v>
      </c>
      <c r="EP431" s="28" t="n">
        <f aca="false">IF(ISNUMBER(AD431),AD431*CZ431,0)</f>
        <v>0</v>
      </c>
      <c r="EQ431" s="28" t="n">
        <f aca="false">IF(ISNUMBER(AH431),AH431*DA431,0)</f>
        <v>0</v>
      </c>
      <c r="ER431" s="28" t="n">
        <f aca="false">IF(ISNUMBER(AL431),AL431*DB431,0)</f>
        <v>0</v>
      </c>
      <c r="ES431" s="28" t="n">
        <f aca="false">IF(ISNUMBER(AP431),AP431*DC431,0)</f>
        <v>0</v>
      </c>
      <c r="ET431" s="28" t="n">
        <f aca="false">IF(ISNUMBER(AT431),AT431*DD431,0)</f>
        <v>0</v>
      </c>
      <c r="EU431" s="28" t="n">
        <f aca="false">IF(ISNUMBER(AX431),AX431*DE431,0)</f>
        <v>0</v>
      </c>
      <c r="EV431" s="28" t="n">
        <f aca="false">IF(ISNUMBER(BB431),BB431*DF431,0)</f>
        <v>0</v>
      </c>
      <c r="EW431" s="28" t="n">
        <f aca="false">IF(ISNUMBER(BF431),BF431*DG431,0)</f>
        <v>0</v>
      </c>
      <c r="EX431" s="28" t="n">
        <f aca="false">IF(ISNUMBER(BJ431),BJ431*DH431,0)</f>
        <v>0</v>
      </c>
      <c r="EY431" s="28" t="n">
        <f aca="false">IF(ISNUMBER(BN431),BN431*DI431,0)</f>
        <v>0</v>
      </c>
      <c r="EZ431" s="28" t="n">
        <f aca="false">IF(ISNUMBER(BR431),BR431*DJ431,0)</f>
        <v>0</v>
      </c>
      <c r="FA431" s="28" t="n">
        <f aca="false">IF(ISNUMBER(R431),CW431,0)</f>
        <v>0</v>
      </c>
      <c r="FB431" s="28" t="n">
        <f aca="false">IF(ISNUMBER(V431),CX431,0)</f>
        <v>0</v>
      </c>
      <c r="FC431" s="28" t="n">
        <f aca="false">IF(ISNUMBER(Z431),CY431,0)</f>
        <v>0</v>
      </c>
      <c r="FD431" s="28" t="n">
        <f aca="false">IF(ISNUMBER(AD431),CZ431,0)</f>
        <v>0</v>
      </c>
      <c r="FE431" s="28" t="n">
        <f aca="false">IF(ISNUMBER(AH431),DA431,0)</f>
        <v>0</v>
      </c>
      <c r="FF431" s="28" t="n">
        <f aca="false">IF(ISNUMBER(AL431),DB431,0)</f>
        <v>0</v>
      </c>
      <c r="FG431" s="28" t="n">
        <f aca="false">IF(ISNUMBER(AP431),DC431,0)</f>
        <v>0</v>
      </c>
      <c r="FH431" s="28" t="n">
        <f aca="false">IF(ISNUMBER(AT431),DD431,0)</f>
        <v>0</v>
      </c>
      <c r="FI431" s="28" t="n">
        <f aca="false">IF(ISNUMBER(AX431),DE431,0)</f>
        <v>0</v>
      </c>
      <c r="FJ431" s="28" t="n">
        <f aca="false">IF(ISNUMBER(BB431),DF431,0)</f>
        <v>0</v>
      </c>
      <c r="FK431" s="28" t="n">
        <f aca="false">IF(ISNUMBER(BF431),DG431,0)</f>
        <v>0</v>
      </c>
      <c r="FL431" s="28" t="n">
        <f aca="false">IF(ISNUMBER(BJ431),DH431,0)</f>
        <v>0</v>
      </c>
      <c r="FM431" s="28" t="n">
        <f aca="false">IF(ISNUMBER(BN431),DI431,0)</f>
        <v>0</v>
      </c>
      <c r="FN431" s="28" t="n">
        <f aca="false">IF(ISNUMBER(BR431),DJ431,0)</f>
        <v>0</v>
      </c>
      <c r="FO431" s="28" t="str">
        <f aca="false">IFERROR(INDEX(Lists!$G$2:$G$20,MATCH($I431&amp;"|"&amp;$J431,Lists!$F$2:$F$20,0)),"")</f>
        <v/>
      </c>
    </row>
    <row r="432" customFormat="false" ht="19.5" hidden="false" customHeight="true" outlineLevel="0" collapsed="false">
      <c r="A432" s="29"/>
      <c r="B432" s="29"/>
      <c r="C432" s="30"/>
      <c r="D432" s="30"/>
      <c r="E432" s="31"/>
      <c r="F432" s="30"/>
      <c r="G432" s="30"/>
      <c r="H432" s="32"/>
      <c r="I432" s="33"/>
      <c r="J432" s="32"/>
      <c r="K432" s="34" t="str">
        <f aca="false">IF(OR(M432="",$E432=""),"",M432-$E432)</f>
        <v/>
      </c>
      <c r="L432" s="35" t="str">
        <f aca="false">IF(SUM(FA432:FN432)=0,"",SUM(EM432:EZ432)/SUM(FA432:FN432))</f>
        <v/>
      </c>
      <c r="M432" s="36" t="str">
        <f aca="false">IF(OR(L432="",FO432=""),"",IFERROR(MATCH(L432,INDEX(Boundaries!$B$2:$I$30,MATCH(FO432,Boundaries!$A$2:$A$30,0),0),1)-1,""))</f>
        <v/>
      </c>
      <c r="N432" s="37" t="str">
        <f aca="false">IF(COUNT($DY432:$EL432)&lt;2,"",INDEX($DK432:$DX432,MAX($DY432:$EL432))-INDEX($DK432:$DX432,MIN($DY432:$EL432)))</f>
        <v/>
      </c>
      <c r="O432" s="37" t="str">
        <f aca="false">IF(COUNT($DY432:$EL432)&lt;2,"",INDEX($DK432:$DX432,MAX($DY432:$EL432))-INDEX($DK432:$DX432,LARGE($DY432:$EL432,2)))</f>
        <v/>
      </c>
      <c r="P432" s="38" t="str">
        <f aca="false">IF(K432="","",IF(K432&gt;=0,"On/above target",IF(AND(N432&lt;&gt;"",N432&gt;=0.5),"Improving towards target",IF(AND(O432&lt;&gt;"",O432&lt;=-0.5),"Declining","Stable below target"))))</f>
        <v/>
      </c>
      <c r="Q432" s="39"/>
      <c r="R432" s="40" t="str">
        <f aca="false">IF(OR(Q432="",BU432=""),"",Q432/BU432*100)</f>
        <v/>
      </c>
      <c r="S432" s="41" t="str">
        <f aca="false">IF(R432="","",IFERROR(MATCH(R432,INDEX(Boundaries!$B$2:$I$30,MATCH(CI432,Boundaries!$A$2:$A$30,0),0),1)-1,""))</f>
        <v/>
      </c>
      <c r="T432" s="42" t="str">
        <f aca="false">IF(OR(S432="",$E432=""),"",S432-$E432)</f>
        <v/>
      </c>
      <c r="U432" s="39"/>
      <c r="V432" s="40" t="str">
        <f aca="false">IF(OR(U432="",BV432=""),"",U432/BV432*100)</f>
        <v/>
      </c>
      <c r="W432" s="41" t="str">
        <f aca="false">IF(V432="","",IFERROR(MATCH(V432,INDEX(Boundaries!$B$2:$I$30,MATCH(CJ432,Boundaries!$A$2:$A$30,0),0),1)-1,""))</f>
        <v/>
      </c>
      <c r="X432" s="42" t="str">
        <f aca="false">IF(OR(W432="",$E432=""),"",W432-$E432)</f>
        <v/>
      </c>
      <c r="Y432" s="39"/>
      <c r="Z432" s="40" t="str">
        <f aca="false">IF(OR(Y432="",BW432=""),"",Y432/BW432*100)</f>
        <v/>
      </c>
      <c r="AA432" s="41" t="str">
        <f aca="false">IF(Z432="","",IFERROR(MATCH(Z432,INDEX(Boundaries!$B$2:$I$30,MATCH(CK432,Boundaries!$A$2:$A$30,0),0),1)-1,""))</f>
        <v/>
      </c>
      <c r="AB432" s="42" t="str">
        <f aca="false">IF(OR(AA432="",$E432=""),"",AA432-$E432)</f>
        <v/>
      </c>
      <c r="AC432" s="39"/>
      <c r="AD432" s="40" t="str">
        <f aca="false">IF(OR(AC432="",BX432=""),"",AC432/BX432*100)</f>
        <v/>
      </c>
      <c r="AE432" s="41" t="str">
        <f aca="false">IF(AD432="","",IFERROR(MATCH(AD432,INDEX(Boundaries!$B$2:$I$30,MATCH(CL432,Boundaries!$A$2:$A$30,0),0),1)-1,""))</f>
        <v/>
      </c>
      <c r="AF432" s="42" t="str">
        <f aca="false">IF(OR(AE432="",$E432=""),"",AE432-$E432)</f>
        <v/>
      </c>
      <c r="AG432" s="39"/>
      <c r="AH432" s="40" t="str">
        <f aca="false">IF(OR(AG432="",BY432=""),"",AG432/BY432*100)</f>
        <v/>
      </c>
      <c r="AI432" s="41" t="str">
        <f aca="false">IF(AH432="","",IFERROR(MATCH(AH432,INDEX(Boundaries!$B$2:$I$30,MATCH(CM432,Boundaries!$A$2:$A$30,0),0),1)-1,""))</f>
        <v/>
      </c>
      <c r="AJ432" s="42" t="str">
        <f aca="false">IF(OR(AI432="",$E432=""),"",AI432-$E432)</f>
        <v/>
      </c>
      <c r="AK432" s="39"/>
      <c r="AL432" s="40" t="str">
        <f aca="false">IF(OR(AK432="",BZ432=""),"",AK432/BZ432*100)</f>
        <v/>
      </c>
      <c r="AM432" s="41" t="str">
        <f aca="false">IF(AL432="","",IFERROR(MATCH(AL432,INDEX(Boundaries!$B$2:$I$30,MATCH(CN432,Boundaries!$A$2:$A$30,0),0),1)-1,""))</f>
        <v/>
      </c>
      <c r="AN432" s="42" t="str">
        <f aca="false">IF(OR(AM432="",$E432=""),"",AM432-$E432)</f>
        <v/>
      </c>
      <c r="AO432" s="39"/>
      <c r="AP432" s="40" t="str">
        <f aca="false">IF(OR(AO432="",CA432=""),"",AO432/CA432*100)</f>
        <v/>
      </c>
      <c r="AQ432" s="41" t="str">
        <f aca="false">IF(AP432="","",IFERROR(MATCH(AP432,INDEX(Boundaries!$B$2:$I$30,MATCH(CO432,Boundaries!$A$2:$A$30,0),0),1)-1,""))</f>
        <v/>
      </c>
      <c r="AR432" s="42" t="str">
        <f aca="false">IF(OR(AQ432="",$E432=""),"",AQ432-$E432)</f>
        <v/>
      </c>
      <c r="AS432" s="39"/>
      <c r="AT432" s="40" t="str">
        <f aca="false">IF(OR(AS432="",CB432=""),"",AS432/CB432*100)</f>
        <v/>
      </c>
      <c r="AU432" s="41" t="str">
        <f aca="false">IF(AT432="","",IFERROR(MATCH(AT432,INDEX(Boundaries!$B$2:$I$30,MATCH(CP432,Boundaries!$A$2:$A$30,0),0),1)-1,""))</f>
        <v/>
      </c>
      <c r="AV432" s="42" t="str">
        <f aca="false">IF(OR(AU432="",$E432=""),"",AU432-$E432)</f>
        <v/>
      </c>
      <c r="AW432" s="39"/>
      <c r="AX432" s="40" t="str">
        <f aca="false">IF(OR(AW432="",CC432=""),"",AW432/CC432*100)</f>
        <v/>
      </c>
      <c r="AY432" s="41" t="str">
        <f aca="false">IF(AX432="","",IFERROR(MATCH(AX432,INDEX(Boundaries!$B$2:$I$30,MATCH(CQ432,Boundaries!$A$2:$A$30,0),0),1)-1,""))</f>
        <v/>
      </c>
      <c r="AZ432" s="42" t="str">
        <f aca="false">IF(OR(AY432="",$E432=""),"",AY432-$E432)</f>
        <v/>
      </c>
      <c r="BA432" s="39"/>
      <c r="BB432" s="40" t="str">
        <f aca="false">IF(OR(BA432="",CD432=""),"",BA432/CD432*100)</f>
        <v/>
      </c>
      <c r="BC432" s="41" t="str">
        <f aca="false">IF(BB432="","",IFERROR(MATCH(BB432,INDEX(Boundaries!$B$2:$I$30,MATCH(CR432,Boundaries!$A$2:$A$30,0),0),1)-1,""))</f>
        <v/>
      </c>
      <c r="BD432" s="42" t="str">
        <f aca="false">IF(OR(BC432="",$E432=""),"",BC432-$E432)</f>
        <v/>
      </c>
      <c r="BE432" s="39"/>
      <c r="BF432" s="40" t="str">
        <f aca="false">IF(OR(BE432="",CE432=""),"",BE432/CE432*100)</f>
        <v/>
      </c>
      <c r="BG432" s="41" t="str">
        <f aca="false">IF(BF432="","",IFERROR(MATCH(BF432,INDEX(Boundaries!$B$2:$I$30,MATCH(CS432,Boundaries!$A$2:$A$30,0),0),1)-1,""))</f>
        <v/>
      </c>
      <c r="BH432" s="42" t="str">
        <f aca="false">IF(OR(BG432="",$E432=""),"",BG432-$E432)</f>
        <v/>
      </c>
      <c r="BI432" s="39"/>
      <c r="BJ432" s="40" t="str">
        <f aca="false">IF(OR(BI432="",CF432=""),"",BI432/CF432*100)</f>
        <v/>
      </c>
      <c r="BK432" s="41" t="str">
        <f aca="false">IF(BJ432="","",IFERROR(MATCH(BJ432,INDEX(Boundaries!$B$2:$I$30,MATCH(CT432,Boundaries!$A$2:$A$30,0),0),1)-1,""))</f>
        <v/>
      </c>
      <c r="BL432" s="42" t="str">
        <f aca="false">IF(OR(BK432="",$E432=""),"",BK432-$E432)</f>
        <v/>
      </c>
      <c r="BM432" s="39"/>
      <c r="BN432" s="40" t="str">
        <f aca="false">IF(OR(BM432="",CG432=""),"",BM432/CG432*100)</f>
        <v/>
      </c>
      <c r="BO432" s="41" t="str">
        <f aca="false">IF(BN432="","",IFERROR(MATCH(BN432,INDEX(Boundaries!$B$2:$I$30,MATCH(CU432,Boundaries!$A$2:$A$30,0),0),1)-1,""))</f>
        <v/>
      </c>
      <c r="BP432" s="42" t="str">
        <f aca="false">IF(OR(BO432="",$E432=""),"",BO432-$E432)</f>
        <v/>
      </c>
      <c r="BQ432" s="39"/>
      <c r="BR432" s="40" t="str">
        <f aca="false">IF(OR(BQ432="",CH432=""),"",BQ432/CH432*100)</f>
        <v/>
      </c>
      <c r="BS432" s="41" t="str">
        <f aca="false">IF(BR432="","",IFERROR(MATCH(BR432,INDEX(Boundaries!$B$2:$I$30,MATCH(CV432,Boundaries!$A$2:$A$30,0),0),1)-1,""))</f>
        <v/>
      </c>
      <c r="BT432" s="42" t="str">
        <f aca="false">IF(OR(BS432="",$E432=""),"",BS432-$E432)</f>
        <v/>
      </c>
      <c r="BU432" s="28" t="str">
        <f aca="false">IFERROR(INDEX(Assessments!$H$2:$H$600,MATCH($H432&amp;"|"&amp;$I432&amp;"|"&amp;$J432&amp;"|"&amp;1,Assessments!$A$2:$A$600,0)),"")</f>
        <v/>
      </c>
      <c r="BV432" s="28" t="str">
        <f aca="false">IFERROR(INDEX(Assessments!$H$2:$H$600,MATCH($H432&amp;"|"&amp;$I432&amp;"|"&amp;$J432&amp;"|"&amp;2,Assessments!$A$2:$A$600,0)),"")</f>
        <v/>
      </c>
      <c r="BW432" s="28" t="str">
        <f aca="false">IFERROR(INDEX(Assessments!$H$2:$H$600,MATCH($H432&amp;"|"&amp;$I432&amp;"|"&amp;$J432&amp;"|"&amp;3,Assessments!$A$2:$A$600,0)),"")</f>
        <v/>
      </c>
      <c r="BX432" s="28" t="str">
        <f aca="false">IFERROR(INDEX(Assessments!$H$2:$H$600,MATCH($H432&amp;"|"&amp;$I432&amp;"|"&amp;$J432&amp;"|"&amp;4,Assessments!$A$2:$A$600,0)),"")</f>
        <v/>
      </c>
      <c r="BY432" s="28" t="str">
        <f aca="false">IFERROR(INDEX(Assessments!$H$2:$H$600,MATCH($H432&amp;"|"&amp;$I432&amp;"|"&amp;$J432&amp;"|"&amp;5,Assessments!$A$2:$A$600,0)),"")</f>
        <v/>
      </c>
      <c r="BZ432" s="28" t="str">
        <f aca="false">IFERROR(INDEX(Assessments!$H$2:$H$600,MATCH($H432&amp;"|"&amp;$I432&amp;"|"&amp;$J432&amp;"|"&amp;6,Assessments!$A$2:$A$600,0)),"")</f>
        <v/>
      </c>
      <c r="CA432" s="28" t="str">
        <f aca="false">IFERROR(INDEX(Assessments!$H$2:$H$600,MATCH($H432&amp;"|"&amp;$I432&amp;"|"&amp;$J432&amp;"|"&amp;7,Assessments!$A$2:$A$600,0)),"")</f>
        <v/>
      </c>
      <c r="CB432" s="28" t="str">
        <f aca="false">IFERROR(INDEX(Assessments!$H$2:$H$600,MATCH($H432&amp;"|"&amp;$I432&amp;"|"&amp;$J432&amp;"|"&amp;8,Assessments!$A$2:$A$600,0)),"")</f>
        <v/>
      </c>
      <c r="CC432" s="28" t="str">
        <f aca="false">IFERROR(INDEX(Assessments!$H$2:$H$600,MATCH($H432&amp;"|"&amp;$I432&amp;"|"&amp;$J432&amp;"|"&amp;9,Assessments!$A$2:$A$600,0)),"")</f>
        <v/>
      </c>
      <c r="CD432" s="28" t="str">
        <f aca="false">IFERROR(INDEX(Assessments!$H$2:$H$600,MATCH($H432&amp;"|"&amp;$I432&amp;"|"&amp;$J432&amp;"|"&amp;10,Assessments!$A$2:$A$600,0)),"")</f>
        <v/>
      </c>
      <c r="CE432" s="28" t="str">
        <f aca="false">IFERROR(INDEX(Assessments!$H$2:$H$600,MATCH($H432&amp;"|"&amp;$I432&amp;"|"&amp;$J432&amp;"|"&amp;11,Assessments!$A$2:$A$600,0)),"")</f>
        <v/>
      </c>
      <c r="CF432" s="28" t="str">
        <f aca="false">IFERROR(INDEX(Assessments!$H$2:$H$600,MATCH($H432&amp;"|"&amp;$I432&amp;"|"&amp;$J432&amp;"|"&amp;12,Assessments!$A$2:$A$600,0)),"")</f>
        <v/>
      </c>
      <c r="CG432" s="28" t="str">
        <f aca="false">IFERROR(INDEX(Assessments!$H$2:$H$600,MATCH($H432&amp;"|"&amp;$I432&amp;"|"&amp;$J432&amp;"|"&amp;13,Assessments!$A$2:$A$600,0)),"")</f>
        <v/>
      </c>
      <c r="CH432" s="28" t="str">
        <f aca="false">IFERROR(INDEX(Assessments!$H$2:$H$600,MATCH($H432&amp;"|"&amp;$I432&amp;"|"&amp;$J432&amp;"|"&amp;14,Assessments!$A$2:$A$600,0)),"")</f>
        <v/>
      </c>
      <c r="CI432" s="28" t="str">
        <f aca="false">IFERROR(INDEX(Assessments!$I$2:$I$600,MATCH($H432&amp;"|"&amp;$I432&amp;"|"&amp;$J432&amp;"|"&amp;1,Assessments!$A$2:$A$600,0)),"")</f>
        <v/>
      </c>
      <c r="CJ432" s="28" t="str">
        <f aca="false">IFERROR(INDEX(Assessments!$I$2:$I$600,MATCH($H432&amp;"|"&amp;$I432&amp;"|"&amp;$J432&amp;"|"&amp;2,Assessments!$A$2:$A$600,0)),"")</f>
        <v/>
      </c>
      <c r="CK432" s="28" t="str">
        <f aca="false">IFERROR(INDEX(Assessments!$I$2:$I$600,MATCH($H432&amp;"|"&amp;$I432&amp;"|"&amp;$J432&amp;"|"&amp;3,Assessments!$A$2:$A$600,0)),"")</f>
        <v/>
      </c>
      <c r="CL432" s="28" t="str">
        <f aca="false">IFERROR(INDEX(Assessments!$I$2:$I$600,MATCH($H432&amp;"|"&amp;$I432&amp;"|"&amp;$J432&amp;"|"&amp;4,Assessments!$A$2:$A$600,0)),"")</f>
        <v/>
      </c>
      <c r="CM432" s="28" t="str">
        <f aca="false">IFERROR(INDEX(Assessments!$I$2:$I$600,MATCH($H432&amp;"|"&amp;$I432&amp;"|"&amp;$J432&amp;"|"&amp;5,Assessments!$A$2:$A$600,0)),"")</f>
        <v/>
      </c>
      <c r="CN432" s="28" t="str">
        <f aca="false">IFERROR(INDEX(Assessments!$I$2:$I$600,MATCH($H432&amp;"|"&amp;$I432&amp;"|"&amp;$J432&amp;"|"&amp;6,Assessments!$A$2:$A$600,0)),"")</f>
        <v/>
      </c>
      <c r="CO432" s="28" t="str">
        <f aca="false">IFERROR(INDEX(Assessments!$I$2:$I$600,MATCH($H432&amp;"|"&amp;$I432&amp;"|"&amp;$J432&amp;"|"&amp;7,Assessments!$A$2:$A$600,0)),"")</f>
        <v/>
      </c>
      <c r="CP432" s="28" t="str">
        <f aca="false">IFERROR(INDEX(Assessments!$I$2:$I$600,MATCH($H432&amp;"|"&amp;$I432&amp;"|"&amp;$J432&amp;"|"&amp;8,Assessments!$A$2:$A$600,0)),"")</f>
        <v/>
      </c>
      <c r="CQ432" s="28" t="str">
        <f aca="false">IFERROR(INDEX(Assessments!$I$2:$I$600,MATCH($H432&amp;"|"&amp;$I432&amp;"|"&amp;$J432&amp;"|"&amp;9,Assessments!$A$2:$A$600,0)),"")</f>
        <v/>
      </c>
      <c r="CR432" s="28" t="str">
        <f aca="false">IFERROR(INDEX(Assessments!$I$2:$I$600,MATCH($H432&amp;"|"&amp;$I432&amp;"|"&amp;$J432&amp;"|"&amp;10,Assessments!$A$2:$A$600,0)),"")</f>
        <v/>
      </c>
      <c r="CS432" s="28" t="str">
        <f aca="false">IFERROR(INDEX(Assessments!$I$2:$I$600,MATCH($H432&amp;"|"&amp;$I432&amp;"|"&amp;$J432&amp;"|"&amp;11,Assessments!$A$2:$A$600,0)),"")</f>
        <v/>
      </c>
      <c r="CT432" s="28" t="str">
        <f aca="false">IFERROR(INDEX(Assessments!$I$2:$I$600,MATCH($H432&amp;"|"&amp;$I432&amp;"|"&amp;$J432&amp;"|"&amp;12,Assessments!$A$2:$A$600,0)),"")</f>
        <v/>
      </c>
      <c r="CU432" s="28" t="str">
        <f aca="false">IFERROR(INDEX(Assessments!$I$2:$I$600,MATCH($H432&amp;"|"&amp;$I432&amp;"|"&amp;$J432&amp;"|"&amp;13,Assessments!$A$2:$A$600,0)),"")</f>
        <v/>
      </c>
      <c r="CV432" s="28" t="str">
        <f aca="false">IFERROR(INDEX(Assessments!$I$2:$I$600,MATCH($H432&amp;"|"&amp;$I432&amp;"|"&amp;$J432&amp;"|"&amp;14,Assessments!$A$2:$A$600,0)),"")</f>
        <v/>
      </c>
      <c r="CW432" s="28" t="n">
        <f aca="false">IFERROR(INDEX(Assessments!$J$2:$J$600,MATCH($H432&amp;"|"&amp;$I432&amp;"|"&amp;$J432&amp;"|"&amp;1,Assessments!$A$2:$A$600,0)),0)</f>
        <v>0</v>
      </c>
      <c r="CX432" s="28" t="n">
        <f aca="false">IFERROR(INDEX(Assessments!$J$2:$J$600,MATCH($H432&amp;"|"&amp;$I432&amp;"|"&amp;$J432&amp;"|"&amp;2,Assessments!$A$2:$A$600,0)),0)</f>
        <v>0</v>
      </c>
      <c r="CY432" s="28" t="n">
        <f aca="false">IFERROR(INDEX(Assessments!$J$2:$J$600,MATCH($H432&amp;"|"&amp;$I432&amp;"|"&amp;$J432&amp;"|"&amp;3,Assessments!$A$2:$A$600,0)),0)</f>
        <v>0</v>
      </c>
      <c r="CZ432" s="28" t="n">
        <f aca="false">IFERROR(INDEX(Assessments!$J$2:$J$600,MATCH($H432&amp;"|"&amp;$I432&amp;"|"&amp;$J432&amp;"|"&amp;4,Assessments!$A$2:$A$600,0)),0)</f>
        <v>0</v>
      </c>
      <c r="DA432" s="28" t="n">
        <f aca="false">IFERROR(INDEX(Assessments!$J$2:$J$600,MATCH($H432&amp;"|"&amp;$I432&amp;"|"&amp;$J432&amp;"|"&amp;5,Assessments!$A$2:$A$600,0)),0)</f>
        <v>0</v>
      </c>
      <c r="DB432" s="28" t="n">
        <f aca="false">IFERROR(INDEX(Assessments!$J$2:$J$600,MATCH($H432&amp;"|"&amp;$I432&amp;"|"&amp;$J432&amp;"|"&amp;6,Assessments!$A$2:$A$600,0)),0)</f>
        <v>0</v>
      </c>
      <c r="DC432" s="28" t="n">
        <f aca="false">IFERROR(INDEX(Assessments!$J$2:$J$600,MATCH($H432&amp;"|"&amp;$I432&amp;"|"&amp;$J432&amp;"|"&amp;7,Assessments!$A$2:$A$600,0)),0)</f>
        <v>0</v>
      </c>
      <c r="DD432" s="28" t="n">
        <f aca="false">IFERROR(INDEX(Assessments!$J$2:$J$600,MATCH($H432&amp;"|"&amp;$I432&amp;"|"&amp;$J432&amp;"|"&amp;8,Assessments!$A$2:$A$600,0)),0)</f>
        <v>0</v>
      </c>
      <c r="DE432" s="28" t="n">
        <f aca="false">IFERROR(INDEX(Assessments!$J$2:$J$600,MATCH($H432&amp;"|"&amp;$I432&amp;"|"&amp;$J432&amp;"|"&amp;9,Assessments!$A$2:$A$600,0)),0)</f>
        <v>0</v>
      </c>
      <c r="DF432" s="28" t="n">
        <f aca="false">IFERROR(INDEX(Assessments!$J$2:$J$600,MATCH($H432&amp;"|"&amp;$I432&amp;"|"&amp;$J432&amp;"|"&amp;10,Assessments!$A$2:$A$600,0)),0)</f>
        <v>0</v>
      </c>
      <c r="DG432" s="28" t="n">
        <f aca="false">IFERROR(INDEX(Assessments!$J$2:$J$600,MATCH($H432&amp;"|"&amp;$I432&amp;"|"&amp;$J432&amp;"|"&amp;11,Assessments!$A$2:$A$600,0)),0)</f>
        <v>0</v>
      </c>
      <c r="DH432" s="28" t="n">
        <f aca="false">IFERROR(INDEX(Assessments!$J$2:$J$600,MATCH($H432&amp;"|"&amp;$I432&amp;"|"&amp;$J432&amp;"|"&amp;12,Assessments!$A$2:$A$600,0)),0)</f>
        <v>0</v>
      </c>
      <c r="DI432" s="28" t="n">
        <f aca="false">IFERROR(INDEX(Assessments!$J$2:$J$600,MATCH($H432&amp;"|"&amp;$I432&amp;"|"&amp;$J432&amp;"|"&amp;13,Assessments!$A$2:$A$600,0)),0)</f>
        <v>0</v>
      </c>
      <c r="DJ432" s="28" t="n">
        <f aca="false">IFERROR(INDEX(Assessments!$J$2:$J$600,MATCH($H432&amp;"|"&amp;$I432&amp;"|"&amp;$J432&amp;"|"&amp;14,Assessments!$A$2:$A$600,0)),0)</f>
        <v>0</v>
      </c>
      <c r="DK432" s="28" t="str">
        <f aca="false">S432</f>
        <v/>
      </c>
      <c r="DL432" s="28" t="str">
        <f aca="false">W432</f>
        <v/>
      </c>
      <c r="DM432" s="28" t="str">
        <f aca="false">AA432</f>
        <v/>
      </c>
      <c r="DN432" s="28" t="str">
        <f aca="false">AE432</f>
        <v/>
      </c>
      <c r="DO432" s="28" t="str">
        <f aca="false">AI432</f>
        <v/>
      </c>
      <c r="DP432" s="28" t="str">
        <f aca="false">AM432</f>
        <v/>
      </c>
      <c r="DQ432" s="28" t="str">
        <f aca="false">AQ432</f>
        <v/>
      </c>
      <c r="DR432" s="28" t="str">
        <f aca="false">AU432</f>
        <v/>
      </c>
      <c r="DS432" s="28" t="str">
        <f aca="false">AY432</f>
        <v/>
      </c>
      <c r="DT432" s="28" t="str">
        <f aca="false">BC432</f>
        <v/>
      </c>
      <c r="DU432" s="28" t="str">
        <f aca="false">BG432</f>
        <v/>
      </c>
      <c r="DV432" s="28" t="str">
        <f aca="false">BK432</f>
        <v/>
      </c>
      <c r="DW432" s="28" t="str">
        <f aca="false">BO432</f>
        <v/>
      </c>
      <c r="DX432" s="28" t="str">
        <f aca="false">BS432</f>
        <v/>
      </c>
      <c r="DY432" s="28" t="str">
        <f aca="false">IF(ISNUMBER(S432),1,"")</f>
        <v/>
      </c>
      <c r="DZ432" s="28" t="str">
        <f aca="false">IF(ISNUMBER(W432),2,"")</f>
        <v/>
      </c>
      <c r="EA432" s="28" t="str">
        <f aca="false">IF(ISNUMBER(AA432),3,"")</f>
        <v/>
      </c>
      <c r="EB432" s="28" t="str">
        <f aca="false">IF(ISNUMBER(AE432),4,"")</f>
        <v/>
      </c>
      <c r="EC432" s="28" t="str">
        <f aca="false">IF(ISNUMBER(AI432),5,"")</f>
        <v/>
      </c>
      <c r="ED432" s="28" t="str">
        <f aca="false">IF(ISNUMBER(AM432),6,"")</f>
        <v/>
      </c>
      <c r="EE432" s="28" t="str">
        <f aca="false">IF(ISNUMBER(AQ432),7,"")</f>
        <v/>
      </c>
      <c r="EF432" s="28" t="str">
        <f aca="false">IF(ISNUMBER(AU432),8,"")</f>
        <v/>
      </c>
      <c r="EG432" s="28" t="str">
        <f aca="false">IF(ISNUMBER(AY432),9,"")</f>
        <v/>
      </c>
      <c r="EH432" s="28" t="str">
        <f aca="false">IF(ISNUMBER(BC432),10,"")</f>
        <v/>
      </c>
      <c r="EI432" s="28" t="str">
        <f aca="false">IF(ISNUMBER(BG432),11,"")</f>
        <v/>
      </c>
      <c r="EJ432" s="28" t="str">
        <f aca="false">IF(ISNUMBER(BK432),12,"")</f>
        <v/>
      </c>
      <c r="EK432" s="28" t="str">
        <f aca="false">IF(ISNUMBER(BO432),13,"")</f>
        <v/>
      </c>
      <c r="EL432" s="28" t="str">
        <f aca="false">IF(ISNUMBER(BS432),14,"")</f>
        <v/>
      </c>
      <c r="EM432" s="28" t="n">
        <f aca="false">IF(ISNUMBER(R432),R432*CW432,0)</f>
        <v>0</v>
      </c>
      <c r="EN432" s="28" t="n">
        <f aca="false">IF(ISNUMBER(V432),V432*CX432,0)</f>
        <v>0</v>
      </c>
      <c r="EO432" s="28" t="n">
        <f aca="false">IF(ISNUMBER(Z432),Z432*CY432,0)</f>
        <v>0</v>
      </c>
      <c r="EP432" s="28" t="n">
        <f aca="false">IF(ISNUMBER(AD432),AD432*CZ432,0)</f>
        <v>0</v>
      </c>
      <c r="EQ432" s="28" t="n">
        <f aca="false">IF(ISNUMBER(AH432),AH432*DA432,0)</f>
        <v>0</v>
      </c>
      <c r="ER432" s="28" t="n">
        <f aca="false">IF(ISNUMBER(AL432),AL432*DB432,0)</f>
        <v>0</v>
      </c>
      <c r="ES432" s="28" t="n">
        <f aca="false">IF(ISNUMBER(AP432),AP432*DC432,0)</f>
        <v>0</v>
      </c>
      <c r="ET432" s="28" t="n">
        <f aca="false">IF(ISNUMBER(AT432),AT432*DD432,0)</f>
        <v>0</v>
      </c>
      <c r="EU432" s="28" t="n">
        <f aca="false">IF(ISNUMBER(AX432),AX432*DE432,0)</f>
        <v>0</v>
      </c>
      <c r="EV432" s="28" t="n">
        <f aca="false">IF(ISNUMBER(BB432),BB432*DF432,0)</f>
        <v>0</v>
      </c>
      <c r="EW432" s="28" t="n">
        <f aca="false">IF(ISNUMBER(BF432),BF432*DG432,0)</f>
        <v>0</v>
      </c>
      <c r="EX432" s="28" t="n">
        <f aca="false">IF(ISNUMBER(BJ432),BJ432*DH432,0)</f>
        <v>0</v>
      </c>
      <c r="EY432" s="28" t="n">
        <f aca="false">IF(ISNUMBER(BN432),BN432*DI432,0)</f>
        <v>0</v>
      </c>
      <c r="EZ432" s="28" t="n">
        <f aca="false">IF(ISNUMBER(BR432),BR432*DJ432,0)</f>
        <v>0</v>
      </c>
      <c r="FA432" s="28" t="n">
        <f aca="false">IF(ISNUMBER(R432),CW432,0)</f>
        <v>0</v>
      </c>
      <c r="FB432" s="28" t="n">
        <f aca="false">IF(ISNUMBER(V432),CX432,0)</f>
        <v>0</v>
      </c>
      <c r="FC432" s="28" t="n">
        <f aca="false">IF(ISNUMBER(Z432),CY432,0)</f>
        <v>0</v>
      </c>
      <c r="FD432" s="28" t="n">
        <f aca="false">IF(ISNUMBER(AD432),CZ432,0)</f>
        <v>0</v>
      </c>
      <c r="FE432" s="28" t="n">
        <f aca="false">IF(ISNUMBER(AH432),DA432,0)</f>
        <v>0</v>
      </c>
      <c r="FF432" s="28" t="n">
        <f aca="false">IF(ISNUMBER(AL432),DB432,0)</f>
        <v>0</v>
      </c>
      <c r="FG432" s="28" t="n">
        <f aca="false">IF(ISNUMBER(AP432),DC432,0)</f>
        <v>0</v>
      </c>
      <c r="FH432" s="28" t="n">
        <f aca="false">IF(ISNUMBER(AT432),DD432,0)</f>
        <v>0</v>
      </c>
      <c r="FI432" s="28" t="n">
        <f aca="false">IF(ISNUMBER(AX432),DE432,0)</f>
        <v>0</v>
      </c>
      <c r="FJ432" s="28" t="n">
        <f aca="false">IF(ISNUMBER(BB432),DF432,0)</f>
        <v>0</v>
      </c>
      <c r="FK432" s="28" t="n">
        <f aca="false">IF(ISNUMBER(BF432),DG432,0)</f>
        <v>0</v>
      </c>
      <c r="FL432" s="28" t="n">
        <f aca="false">IF(ISNUMBER(BJ432),DH432,0)</f>
        <v>0</v>
      </c>
      <c r="FM432" s="28" t="n">
        <f aca="false">IF(ISNUMBER(BN432),DI432,0)</f>
        <v>0</v>
      </c>
      <c r="FN432" s="28" t="n">
        <f aca="false">IF(ISNUMBER(BR432),DJ432,0)</f>
        <v>0</v>
      </c>
      <c r="FO432" s="28" t="str">
        <f aca="false">IFERROR(INDEX(Lists!$G$2:$G$20,MATCH($I432&amp;"|"&amp;$J432,Lists!$F$2:$F$20,0)),"")</f>
        <v/>
      </c>
    </row>
    <row r="433" customFormat="false" ht="19.5" hidden="false" customHeight="true" outlineLevel="0" collapsed="false">
      <c r="A433" s="29"/>
      <c r="B433" s="29"/>
      <c r="C433" s="30"/>
      <c r="D433" s="30"/>
      <c r="E433" s="31"/>
      <c r="F433" s="30"/>
      <c r="G433" s="30"/>
      <c r="H433" s="32"/>
      <c r="I433" s="33"/>
      <c r="J433" s="32"/>
      <c r="K433" s="34" t="str">
        <f aca="false">IF(OR(M433="",$E433=""),"",M433-$E433)</f>
        <v/>
      </c>
      <c r="L433" s="35" t="str">
        <f aca="false">IF(SUM(FA433:FN433)=0,"",SUM(EM433:EZ433)/SUM(FA433:FN433))</f>
        <v/>
      </c>
      <c r="M433" s="36" t="str">
        <f aca="false">IF(OR(L433="",FO433=""),"",IFERROR(MATCH(L433,INDEX(Boundaries!$B$2:$I$30,MATCH(FO433,Boundaries!$A$2:$A$30,0),0),1)-1,""))</f>
        <v/>
      </c>
      <c r="N433" s="37" t="str">
        <f aca="false">IF(COUNT($DY433:$EL433)&lt;2,"",INDEX($DK433:$DX433,MAX($DY433:$EL433))-INDEX($DK433:$DX433,MIN($DY433:$EL433)))</f>
        <v/>
      </c>
      <c r="O433" s="37" t="str">
        <f aca="false">IF(COUNT($DY433:$EL433)&lt;2,"",INDEX($DK433:$DX433,MAX($DY433:$EL433))-INDEX($DK433:$DX433,LARGE($DY433:$EL433,2)))</f>
        <v/>
      </c>
      <c r="P433" s="38" t="str">
        <f aca="false">IF(K433="","",IF(K433&gt;=0,"On/above target",IF(AND(N433&lt;&gt;"",N433&gt;=0.5),"Improving towards target",IF(AND(O433&lt;&gt;"",O433&lt;=-0.5),"Declining","Stable below target"))))</f>
        <v/>
      </c>
      <c r="Q433" s="39"/>
      <c r="R433" s="40" t="str">
        <f aca="false">IF(OR(Q433="",BU433=""),"",Q433/BU433*100)</f>
        <v/>
      </c>
      <c r="S433" s="41" t="str">
        <f aca="false">IF(R433="","",IFERROR(MATCH(R433,INDEX(Boundaries!$B$2:$I$30,MATCH(CI433,Boundaries!$A$2:$A$30,0),0),1)-1,""))</f>
        <v/>
      </c>
      <c r="T433" s="42" t="str">
        <f aca="false">IF(OR(S433="",$E433=""),"",S433-$E433)</f>
        <v/>
      </c>
      <c r="U433" s="39"/>
      <c r="V433" s="40" t="str">
        <f aca="false">IF(OR(U433="",BV433=""),"",U433/BV433*100)</f>
        <v/>
      </c>
      <c r="W433" s="41" t="str">
        <f aca="false">IF(V433="","",IFERROR(MATCH(V433,INDEX(Boundaries!$B$2:$I$30,MATCH(CJ433,Boundaries!$A$2:$A$30,0),0),1)-1,""))</f>
        <v/>
      </c>
      <c r="X433" s="42" t="str">
        <f aca="false">IF(OR(W433="",$E433=""),"",W433-$E433)</f>
        <v/>
      </c>
      <c r="Y433" s="39"/>
      <c r="Z433" s="40" t="str">
        <f aca="false">IF(OR(Y433="",BW433=""),"",Y433/BW433*100)</f>
        <v/>
      </c>
      <c r="AA433" s="41" t="str">
        <f aca="false">IF(Z433="","",IFERROR(MATCH(Z433,INDEX(Boundaries!$B$2:$I$30,MATCH(CK433,Boundaries!$A$2:$A$30,0),0),1)-1,""))</f>
        <v/>
      </c>
      <c r="AB433" s="42" t="str">
        <f aca="false">IF(OR(AA433="",$E433=""),"",AA433-$E433)</f>
        <v/>
      </c>
      <c r="AC433" s="39"/>
      <c r="AD433" s="40" t="str">
        <f aca="false">IF(OR(AC433="",BX433=""),"",AC433/BX433*100)</f>
        <v/>
      </c>
      <c r="AE433" s="41" t="str">
        <f aca="false">IF(AD433="","",IFERROR(MATCH(AD433,INDEX(Boundaries!$B$2:$I$30,MATCH(CL433,Boundaries!$A$2:$A$30,0),0),1)-1,""))</f>
        <v/>
      </c>
      <c r="AF433" s="42" t="str">
        <f aca="false">IF(OR(AE433="",$E433=""),"",AE433-$E433)</f>
        <v/>
      </c>
      <c r="AG433" s="39"/>
      <c r="AH433" s="40" t="str">
        <f aca="false">IF(OR(AG433="",BY433=""),"",AG433/BY433*100)</f>
        <v/>
      </c>
      <c r="AI433" s="41" t="str">
        <f aca="false">IF(AH433="","",IFERROR(MATCH(AH433,INDEX(Boundaries!$B$2:$I$30,MATCH(CM433,Boundaries!$A$2:$A$30,0),0),1)-1,""))</f>
        <v/>
      </c>
      <c r="AJ433" s="42" t="str">
        <f aca="false">IF(OR(AI433="",$E433=""),"",AI433-$E433)</f>
        <v/>
      </c>
      <c r="AK433" s="39"/>
      <c r="AL433" s="40" t="str">
        <f aca="false">IF(OR(AK433="",BZ433=""),"",AK433/BZ433*100)</f>
        <v/>
      </c>
      <c r="AM433" s="41" t="str">
        <f aca="false">IF(AL433="","",IFERROR(MATCH(AL433,INDEX(Boundaries!$B$2:$I$30,MATCH(CN433,Boundaries!$A$2:$A$30,0),0),1)-1,""))</f>
        <v/>
      </c>
      <c r="AN433" s="42" t="str">
        <f aca="false">IF(OR(AM433="",$E433=""),"",AM433-$E433)</f>
        <v/>
      </c>
      <c r="AO433" s="39"/>
      <c r="AP433" s="40" t="str">
        <f aca="false">IF(OR(AO433="",CA433=""),"",AO433/CA433*100)</f>
        <v/>
      </c>
      <c r="AQ433" s="41" t="str">
        <f aca="false">IF(AP433="","",IFERROR(MATCH(AP433,INDEX(Boundaries!$B$2:$I$30,MATCH(CO433,Boundaries!$A$2:$A$30,0),0),1)-1,""))</f>
        <v/>
      </c>
      <c r="AR433" s="42" t="str">
        <f aca="false">IF(OR(AQ433="",$E433=""),"",AQ433-$E433)</f>
        <v/>
      </c>
      <c r="AS433" s="39"/>
      <c r="AT433" s="40" t="str">
        <f aca="false">IF(OR(AS433="",CB433=""),"",AS433/CB433*100)</f>
        <v/>
      </c>
      <c r="AU433" s="41" t="str">
        <f aca="false">IF(AT433="","",IFERROR(MATCH(AT433,INDEX(Boundaries!$B$2:$I$30,MATCH(CP433,Boundaries!$A$2:$A$30,0),0),1)-1,""))</f>
        <v/>
      </c>
      <c r="AV433" s="42" t="str">
        <f aca="false">IF(OR(AU433="",$E433=""),"",AU433-$E433)</f>
        <v/>
      </c>
      <c r="AW433" s="39"/>
      <c r="AX433" s="40" t="str">
        <f aca="false">IF(OR(AW433="",CC433=""),"",AW433/CC433*100)</f>
        <v/>
      </c>
      <c r="AY433" s="41" t="str">
        <f aca="false">IF(AX433="","",IFERROR(MATCH(AX433,INDEX(Boundaries!$B$2:$I$30,MATCH(CQ433,Boundaries!$A$2:$A$30,0),0),1)-1,""))</f>
        <v/>
      </c>
      <c r="AZ433" s="42" t="str">
        <f aca="false">IF(OR(AY433="",$E433=""),"",AY433-$E433)</f>
        <v/>
      </c>
      <c r="BA433" s="39"/>
      <c r="BB433" s="40" t="str">
        <f aca="false">IF(OR(BA433="",CD433=""),"",BA433/CD433*100)</f>
        <v/>
      </c>
      <c r="BC433" s="41" t="str">
        <f aca="false">IF(BB433="","",IFERROR(MATCH(BB433,INDEX(Boundaries!$B$2:$I$30,MATCH(CR433,Boundaries!$A$2:$A$30,0),0),1)-1,""))</f>
        <v/>
      </c>
      <c r="BD433" s="42" t="str">
        <f aca="false">IF(OR(BC433="",$E433=""),"",BC433-$E433)</f>
        <v/>
      </c>
      <c r="BE433" s="39"/>
      <c r="BF433" s="40" t="str">
        <f aca="false">IF(OR(BE433="",CE433=""),"",BE433/CE433*100)</f>
        <v/>
      </c>
      <c r="BG433" s="41" t="str">
        <f aca="false">IF(BF433="","",IFERROR(MATCH(BF433,INDEX(Boundaries!$B$2:$I$30,MATCH(CS433,Boundaries!$A$2:$A$30,0),0),1)-1,""))</f>
        <v/>
      </c>
      <c r="BH433" s="42" t="str">
        <f aca="false">IF(OR(BG433="",$E433=""),"",BG433-$E433)</f>
        <v/>
      </c>
      <c r="BI433" s="39"/>
      <c r="BJ433" s="40" t="str">
        <f aca="false">IF(OR(BI433="",CF433=""),"",BI433/CF433*100)</f>
        <v/>
      </c>
      <c r="BK433" s="41" t="str">
        <f aca="false">IF(BJ433="","",IFERROR(MATCH(BJ433,INDEX(Boundaries!$B$2:$I$30,MATCH(CT433,Boundaries!$A$2:$A$30,0),0),1)-1,""))</f>
        <v/>
      </c>
      <c r="BL433" s="42" t="str">
        <f aca="false">IF(OR(BK433="",$E433=""),"",BK433-$E433)</f>
        <v/>
      </c>
      <c r="BM433" s="39"/>
      <c r="BN433" s="40" t="str">
        <f aca="false">IF(OR(BM433="",CG433=""),"",BM433/CG433*100)</f>
        <v/>
      </c>
      <c r="BO433" s="41" t="str">
        <f aca="false">IF(BN433="","",IFERROR(MATCH(BN433,INDEX(Boundaries!$B$2:$I$30,MATCH(CU433,Boundaries!$A$2:$A$30,0),0),1)-1,""))</f>
        <v/>
      </c>
      <c r="BP433" s="42" t="str">
        <f aca="false">IF(OR(BO433="",$E433=""),"",BO433-$E433)</f>
        <v/>
      </c>
      <c r="BQ433" s="39"/>
      <c r="BR433" s="40" t="str">
        <f aca="false">IF(OR(BQ433="",CH433=""),"",BQ433/CH433*100)</f>
        <v/>
      </c>
      <c r="BS433" s="41" t="str">
        <f aca="false">IF(BR433="","",IFERROR(MATCH(BR433,INDEX(Boundaries!$B$2:$I$30,MATCH(CV433,Boundaries!$A$2:$A$30,0),0),1)-1,""))</f>
        <v/>
      </c>
      <c r="BT433" s="42" t="str">
        <f aca="false">IF(OR(BS433="",$E433=""),"",BS433-$E433)</f>
        <v/>
      </c>
      <c r="BU433" s="28" t="str">
        <f aca="false">IFERROR(INDEX(Assessments!$H$2:$H$600,MATCH($H433&amp;"|"&amp;$I433&amp;"|"&amp;$J433&amp;"|"&amp;1,Assessments!$A$2:$A$600,0)),"")</f>
        <v/>
      </c>
      <c r="BV433" s="28" t="str">
        <f aca="false">IFERROR(INDEX(Assessments!$H$2:$H$600,MATCH($H433&amp;"|"&amp;$I433&amp;"|"&amp;$J433&amp;"|"&amp;2,Assessments!$A$2:$A$600,0)),"")</f>
        <v/>
      </c>
      <c r="BW433" s="28" t="str">
        <f aca="false">IFERROR(INDEX(Assessments!$H$2:$H$600,MATCH($H433&amp;"|"&amp;$I433&amp;"|"&amp;$J433&amp;"|"&amp;3,Assessments!$A$2:$A$600,0)),"")</f>
        <v/>
      </c>
      <c r="BX433" s="28" t="str">
        <f aca="false">IFERROR(INDEX(Assessments!$H$2:$H$600,MATCH($H433&amp;"|"&amp;$I433&amp;"|"&amp;$J433&amp;"|"&amp;4,Assessments!$A$2:$A$600,0)),"")</f>
        <v/>
      </c>
      <c r="BY433" s="28" t="str">
        <f aca="false">IFERROR(INDEX(Assessments!$H$2:$H$600,MATCH($H433&amp;"|"&amp;$I433&amp;"|"&amp;$J433&amp;"|"&amp;5,Assessments!$A$2:$A$600,0)),"")</f>
        <v/>
      </c>
      <c r="BZ433" s="28" t="str">
        <f aca="false">IFERROR(INDEX(Assessments!$H$2:$H$600,MATCH($H433&amp;"|"&amp;$I433&amp;"|"&amp;$J433&amp;"|"&amp;6,Assessments!$A$2:$A$600,0)),"")</f>
        <v/>
      </c>
      <c r="CA433" s="28" t="str">
        <f aca="false">IFERROR(INDEX(Assessments!$H$2:$H$600,MATCH($H433&amp;"|"&amp;$I433&amp;"|"&amp;$J433&amp;"|"&amp;7,Assessments!$A$2:$A$600,0)),"")</f>
        <v/>
      </c>
      <c r="CB433" s="28" t="str">
        <f aca="false">IFERROR(INDEX(Assessments!$H$2:$H$600,MATCH($H433&amp;"|"&amp;$I433&amp;"|"&amp;$J433&amp;"|"&amp;8,Assessments!$A$2:$A$600,0)),"")</f>
        <v/>
      </c>
      <c r="CC433" s="28" t="str">
        <f aca="false">IFERROR(INDEX(Assessments!$H$2:$H$600,MATCH($H433&amp;"|"&amp;$I433&amp;"|"&amp;$J433&amp;"|"&amp;9,Assessments!$A$2:$A$600,0)),"")</f>
        <v/>
      </c>
      <c r="CD433" s="28" t="str">
        <f aca="false">IFERROR(INDEX(Assessments!$H$2:$H$600,MATCH($H433&amp;"|"&amp;$I433&amp;"|"&amp;$J433&amp;"|"&amp;10,Assessments!$A$2:$A$600,0)),"")</f>
        <v/>
      </c>
      <c r="CE433" s="28" t="str">
        <f aca="false">IFERROR(INDEX(Assessments!$H$2:$H$600,MATCH($H433&amp;"|"&amp;$I433&amp;"|"&amp;$J433&amp;"|"&amp;11,Assessments!$A$2:$A$600,0)),"")</f>
        <v/>
      </c>
      <c r="CF433" s="28" t="str">
        <f aca="false">IFERROR(INDEX(Assessments!$H$2:$H$600,MATCH($H433&amp;"|"&amp;$I433&amp;"|"&amp;$J433&amp;"|"&amp;12,Assessments!$A$2:$A$600,0)),"")</f>
        <v/>
      </c>
      <c r="CG433" s="28" t="str">
        <f aca="false">IFERROR(INDEX(Assessments!$H$2:$H$600,MATCH($H433&amp;"|"&amp;$I433&amp;"|"&amp;$J433&amp;"|"&amp;13,Assessments!$A$2:$A$600,0)),"")</f>
        <v/>
      </c>
      <c r="CH433" s="28" t="str">
        <f aca="false">IFERROR(INDEX(Assessments!$H$2:$H$600,MATCH($H433&amp;"|"&amp;$I433&amp;"|"&amp;$J433&amp;"|"&amp;14,Assessments!$A$2:$A$600,0)),"")</f>
        <v/>
      </c>
      <c r="CI433" s="28" t="str">
        <f aca="false">IFERROR(INDEX(Assessments!$I$2:$I$600,MATCH($H433&amp;"|"&amp;$I433&amp;"|"&amp;$J433&amp;"|"&amp;1,Assessments!$A$2:$A$600,0)),"")</f>
        <v/>
      </c>
      <c r="CJ433" s="28" t="str">
        <f aca="false">IFERROR(INDEX(Assessments!$I$2:$I$600,MATCH($H433&amp;"|"&amp;$I433&amp;"|"&amp;$J433&amp;"|"&amp;2,Assessments!$A$2:$A$600,0)),"")</f>
        <v/>
      </c>
      <c r="CK433" s="28" t="str">
        <f aca="false">IFERROR(INDEX(Assessments!$I$2:$I$600,MATCH($H433&amp;"|"&amp;$I433&amp;"|"&amp;$J433&amp;"|"&amp;3,Assessments!$A$2:$A$600,0)),"")</f>
        <v/>
      </c>
      <c r="CL433" s="28" t="str">
        <f aca="false">IFERROR(INDEX(Assessments!$I$2:$I$600,MATCH($H433&amp;"|"&amp;$I433&amp;"|"&amp;$J433&amp;"|"&amp;4,Assessments!$A$2:$A$600,0)),"")</f>
        <v/>
      </c>
      <c r="CM433" s="28" t="str">
        <f aca="false">IFERROR(INDEX(Assessments!$I$2:$I$600,MATCH($H433&amp;"|"&amp;$I433&amp;"|"&amp;$J433&amp;"|"&amp;5,Assessments!$A$2:$A$600,0)),"")</f>
        <v/>
      </c>
      <c r="CN433" s="28" t="str">
        <f aca="false">IFERROR(INDEX(Assessments!$I$2:$I$600,MATCH($H433&amp;"|"&amp;$I433&amp;"|"&amp;$J433&amp;"|"&amp;6,Assessments!$A$2:$A$600,0)),"")</f>
        <v/>
      </c>
      <c r="CO433" s="28" t="str">
        <f aca="false">IFERROR(INDEX(Assessments!$I$2:$I$600,MATCH($H433&amp;"|"&amp;$I433&amp;"|"&amp;$J433&amp;"|"&amp;7,Assessments!$A$2:$A$600,0)),"")</f>
        <v/>
      </c>
      <c r="CP433" s="28" t="str">
        <f aca="false">IFERROR(INDEX(Assessments!$I$2:$I$600,MATCH($H433&amp;"|"&amp;$I433&amp;"|"&amp;$J433&amp;"|"&amp;8,Assessments!$A$2:$A$600,0)),"")</f>
        <v/>
      </c>
      <c r="CQ433" s="28" t="str">
        <f aca="false">IFERROR(INDEX(Assessments!$I$2:$I$600,MATCH($H433&amp;"|"&amp;$I433&amp;"|"&amp;$J433&amp;"|"&amp;9,Assessments!$A$2:$A$600,0)),"")</f>
        <v/>
      </c>
      <c r="CR433" s="28" t="str">
        <f aca="false">IFERROR(INDEX(Assessments!$I$2:$I$600,MATCH($H433&amp;"|"&amp;$I433&amp;"|"&amp;$J433&amp;"|"&amp;10,Assessments!$A$2:$A$600,0)),"")</f>
        <v/>
      </c>
      <c r="CS433" s="28" t="str">
        <f aca="false">IFERROR(INDEX(Assessments!$I$2:$I$600,MATCH($H433&amp;"|"&amp;$I433&amp;"|"&amp;$J433&amp;"|"&amp;11,Assessments!$A$2:$A$600,0)),"")</f>
        <v/>
      </c>
      <c r="CT433" s="28" t="str">
        <f aca="false">IFERROR(INDEX(Assessments!$I$2:$I$600,MATCH($H433&amp;"|"&amp;$I433&amp;"|"&amp;$J433&amp;"|"&amp;12,Assessments!$A$2:$A$600,0)),"")</f>
        <v/>
      </c>
      <c r="CU433" s="28" t="str">
        <f aca="false">IFERROR(INDEX(Assessments!$I$2:$I$600,MATCH($H433&amp;"|"&amp;$I433&amp;"|"&amp;$J433&amp;"|"&amp;13,Assessments!$A$2:$A$600,0)),"")</f>
        <v/>
      </c>
      <c r="CV433" s="28" t="str">
        <f aca="false">IFERROR(INDEX(Assessments!$I$2:$I$600,MATCH($H433&amp;"|"&amp;$I433&amp;"|"&amp;$J433&amp;"|"&amp;14,Assessments!$A$2:$A$600,0)),"")</f>
        <v/>
      </c>
      <c r="CW433" s="28" t="n">
        <f aca="false">IFERROR(INDEX(Assessments!$J$2:$J$600,MATCH($H433&amp;"|"&amp;$I433&amp;"|"&amp;$J433&amp;"|"&amp;1,Assessments!$A$2:$A$600,0)),0)</f>
        <v>0</v>
      </c>
      <c r="CX433" s="28" t="n">
        <f aca="false">IFERROR(INDEX(Assessments!$J$2:$J$600,MATCH($H433&amp;"|"&amp;$I433&amp;"|"&amp;$J433&amp;"|"&amp;2,Assessments!$A$2:$A$600,0)),0)</f>
        <v>0</v>
      </c>
      <c r="CY433" s="28" t="n">
        <f aca="false">IFERROR(INDEX(Assessments!$J$2:$J$600,MATCH($H433&amp;"|"&amp;$I433&amp;"|"&amp;$J433&amp;"|"&amp;3,Assessments!$A$2:$A$600,0)),0)</f>
        <v>0</v>
      </c>
      <c r="CZ433" s="28" t="n">
        <f aca="false">IFERROR(INDEX(Assessments!$J$2:$J$600,MATCH($H433&amp;"|"&amp;$I433&amp;"|"&amp;$J433&amp;"|"&amp;4,Assessments!$A$2:$A$600,0)),0)</f>
        <v>0</v>
      </c>
      <c r="DA433" s="28" t="n">
        <f aca="false">IFERROR(INDEX(Assessments!$J$2:$J$600,MATCH($H433&amp;"|"&amp;$I433&amp;"|"&amp;$J433&amp;"|"&amp;5,Assessments!$A$2:$A$600,0)),0)</f>
        <v>0</v>
      </c>
      <c r="DB433" s="28" t="n">
        <f aca="false">IFERROR(INDEX(Assessments!$J$2:$J$600,MATCH($H433&amp;"|"&amp;$I433&amp;"|"&amp;$J433&amp;"|"&amp;6,Assessments!$A$2:$A$600,0)),0)</f>
        <v>0</v>
      </c>
      <c r="DC433" s="28" t="n">
        <f aca="false">IFERROR(INDEX(Assessments!$J$2:$J$600,MATCH($H433&amp;"|"&amp;$I433&amp;"|"&amp;$J433&amp;"|"&amp;7,Assessments!$A$2:$A$600,0)),0)</f>
        <v>0</v>
      </c>
      <c r="DD433" s="28" t="n">
        <f aca="false">IFERROR(INDEX(Assessments!$J$2:$J$600,MATCH($H433&amp;"|"&amp;$I433&amp;"|"&amp;$J433&amp;"|"&amp;8,Assessments!$A$2:$A$600,0)),0)</f>
        <v>0</v>
      </c>
      <c r="DE433" s="28" t="n">
        <f aca="false">IFERROR(INDEX(Assessments!$J$2:$J$600,MATCH($H433&amp;"|"&amp;$I433&amp;"|"&amp;$J433&amp;"|"&amp;9,Assessments!$A$2:$A$600,0)),0)</f>
        <v>0</v>
      </c>
      <c r="DF433" s="28" t="n">
        <f aca="false">IFERROR(INDEX(Assessments!$J$2:$J$600,MATCH($H433&amp;"|"&amp;$I433&amp;"|"&amp;$J433&amp;"|"&amp;10,Assessments!$A$2:$A$600,0)),0)</f>
        <v>0</v>
      </c>
      <c r="DG433" s="28" t="n">
        <f aca="false">IFERROR(INDEX(Assessments!$J$2:$J$600,MATCH($H433&amp;"|"&amp;$I433&amp;"|"&amp;$J433&amp;"|"&amp;11,Assessments!$A$2:$A$600,0)),0)</f>
        <v>0</v>
      </c>
      <c r="DH433" s="28" t="n">
        <f aca="false">IFERROR(INDEX(Assessments!$J$2:$J$600,MATCH($H433&amp;"|"&amp;$I433&amp;"|"&amp;$J433&amp;"|"&amp;12,Assessments!$A$2:$A$600,0)),0)</f>
        <v>0</v>
      </c>
      <c r="DI433" s="28" t="n">
        <f aca="false">IFERROR(INDEX(Assessments!$J$2:$J$600,MATCH($H433&amp;"|"&amp;$I433&amp;"|"&amp;$J433&amp;"|"&amp;13,Assessments!$A$2:$A$600,0)),0)</f>
        <v>0</v>
      </c>
      <c r="DJ433" s="28" t="n">
        <f aca="false">IFERROR(INDEX(Assessments!$J$2:$J$600,MATCH($H433&amp;"|"&amp;$I433&amp;"|"&amp;$J433&amp;"|"&amp;14,Assessments!$A$2:$A$600,0)),0)</f>
        <v>0</v>
      </c>
      <c r="DK433" s="28" t="str">
        <f aca="false">S433</f>
        <v/>
      </c>
      <c r="DL433" s="28" t="str">
        <f aca="false">W433</f>
        <v/>
      </c>
      <c r="DM433" s="28" t="str">
        <f aca="false">AA433</f>
        <v/>
      </c>
      <c r="DN433" s="28" t="str">
        <f aca="false">AE433</f>
        <v/>
      </c>
      <c r="DO433" s="28" t="str">
        <f aca="false">AI433</f>
        <v/>
      </c>
      <c r="DP433" s="28" t="str">
        <f aca="false">AM433</f>
        <v/>
      </c>
      <c r="DQ433" s="28" t="str">
        <f aca="false">AQ433</f>
        <v/>
      </c>
      <c r="DR433" s="28" t="str">
        <f aca="false">AU433</f>
        <v/>
      </c>
      <c r="DS433" s="28" t="str">
        <f aca="false">AY433</f>
        <v/>
      </c>
      <c r="DT433" s="28" t="str">
        <f aca="false">BC433</f>
        <v/>
      </c>
      <c r="DU433" s="28" t="str">
        <f aca="false">BG433</f>
        <v/>
      </c>
      <c r="DV433" s="28" t="str">
        <f aca="false">BK433</f>
        <v/>
      </c>
      <c r="DW433" s="28" t="str">
        <f aca="false">BO433</f>
        <v/>
      </c>
      <c r="DX433" s="28" t="str">
        <f aca="false">BS433</f>
        <v/>
      </c>
      <c r="DY433" s="28" t="str">
        <f aca="false">IF(ISNUMBER(S433),1,"")</f>
        <v/>
      </c>
      <c r="DZ433" s="28" t="str">
        <f aca="false">IF(ISNUMBER(W433),2,"")</f>
        <v/>
      </c>
      <c r="EA433" s="28" t="str">
        <f aca="false">IF(ISNUMBER(AA433),3,"")</f>
        <v/>
      </c>
      <c r="EB433" s="28" t="str">
        <f aca="false">IF(ISNUMBER(AE433),4,"")</f>
        <v/>
      </c>
      <c r="EC433" s="28" t="str">
        <f aca="false">IF(ISNUMBER(AI433),5,"")</f>
        <v/>
      </c>
      <c r="ED433" s="28" t="str">
        <f aca="false">IF(ISNUMBER(AM433),6,"")</f>
        <v/>
      </c>
      <c r="EE433" s="28" t="str">
        <f aca="false">IF(ISNUMBER(AQ433),7,"")</f>
        <v/>
      </c>
      <c r="EF433" s="28" t="str">
        <f aca="false">IF(ISNUMBER(AU433),8,"")</f>
        <v/>
      </c>
      <c r="EG433" s="28" t="str">
        <f aca="false">IF(ISNUMBER(AY433),9,"")</f>
        <v/>
      </c>
      <c r="EH433" s="28" t="str">
        <f aca="false">IF(ISNUMBER(BC433),10,"")</f>
        <v/>
      </c>
      <c r="EI433" s="28" t="str">
        <f aca="false">IF(ISNUMBER(BG433),11,"")</f>
        <v/>
      </c>
      <c r="EJ433" s="28" t="str">
        <f aca="false">IF(ISNUMBER(BK433),12,"")</f>
        <v/>
      </c>
      <c r="EK433" s="28" t="str">
        <f aca="false">IF(ISNUMBER(BO433),13,"")</f>
        <v/>
      </c>
      <c r="EL433" s="28" t="str">
        <f aca="false">IF(ISNUMBER(BS433),14,"")</f>
        <v/>
      </c>
      <c r="EM433" s="28" t="n">
        <f aca="false">IF(ISNUMBER(R433),R433*CW433,0)</f>
        <v>0</v>
      </c>
      <c r="EN433" s="28" t="n">
        <f aca="false">IF(ISNUMBER(V433),V433*CX433,0)</f>
        <v>0</v>
      </c>
      <c r="EO433" s="28" t="n">
        <f aca="false">IF(ISNUMBER(Z433),Z433*CY433,0)</f>
        <v>0</v>
      </c>
      <c r="EP433" s="28" t="n">
        <f aca="false">IF(ISNUMBER(AD433),AD433*CZ433,0)</f>
        <v>0</v>
      </c>
      <c r="EQ433" s="28" t="n">
        <f aca="false">IF(ISNUMBER(AH433),AH433*DA433,0)</f>
        <v>0</v>
      </c>
      <c r="ER433" s="28" t="n">
        <f aca="false">IF(ISNUMBER(AL433),AL433*DB433,0)</f>
        <v>0</v>
      </c>
      <c r="ES433" s="28" t="n">
        <f aca="false">IF(ISNUMBER(AP433),AP433*DC433,0)</f>
        <v>0</v>
      </c>
      <c r="ET433" s="28" t="n">
        <f aca="false">IF(ISNUMBER(AT433),AT433*DD433,0)</f>
        <v>0</v>
      </c>
      <c r="EU433" s="28" t="n">
        <f aca="false">IF(ISNUMBER(AX433),AX433*DE433,0)</f>
        <v>0</v>
      </c>
      <c r="EV433" s="28" t="n">
        <f aca="false">IF(ISNUMBER(BB433),BB433*DF433,0)</f>
        <v>0</v>
      </c>
      <c r="EW433" s="28" t="n">
        <f aca="false">IF(ISNUMBER(BF433),BF433*DG433,0)</f>
        <v>0</v>
      </c>
      <c r="EX433" s="28" t="n">
        <f aca="false">IF(ISNUMBER(BJ433),BJ433*DH433,0)</f>
        <v>0</v>
      </c>
      <c r="EY433" s="28" t="n">
        <f aca="false">IF(ISNUMBER(BN433),BN433*DI433,0)</f>
        <v>0</v>
      </c>
      <c r="EZ433" s="28" t="n">
        <f aca="false">IF(ISNUMBER(BR433),BR433*DJ433,0)</f>
        <v>0</v>
      </c>
      <c r="FA433" s="28" t="n">
        <f aca="false">IF(ISNUMBER(R433),CW433,0)</f>
        <v>0</v>
      </c>
      <c r="FB433" s="28" t="n">
        <f aca="false">IF(ISNUMBER(V433),CX433,0)</f>
        <v>0</v>
      </c>
      <c r="FC433" s="28" t="n">
        <f aca="false">IF(ISNUMBER(Z433),CY433,0)</f>
        <v>0</v>
      </c>
      <c r="FD433" s="28" t="n">
        <f aca="false">IF(ISNUMBER(AD433),CZ433,0)</f>
        <v>0</v>
      </c>
      <c r="FE433" s="28" t="n">
        <f aca="false">IF(ISNUMBER(AH433),DA433,0)</f>
        <v>0</v>
      </c>
      <c r="FF433" s="28" t="n">
        <f aca="false">IF(ISNUMBER(AL433),DB433,0)</f>
        <v>0</v>
      </c>
      <c r="FG433" s="28" t="n">
        <f aca="false">IF(ISNUMBER(AP433),DC433,0)</f>
        <v>0</v>
      </c>
      <c r="FH433" s="28" t="n">
        <f aca="false">IF(ISNUMBER(AT433),DD433,0)</f>
        <v>0</v>
      </c>
      <c r="FI433" s="28" t="n">
        <f aca="false">IF(ISNUMBER(AX433),DE433,0)</f>
        <v>0</v>
      </c>
      <c r="FJ433" s="28" t="n">
        <f aca="false">IF(ISNUMBER(BB433),DF433,0)</f>
        <v>0</v>
      </c>
      <c r="FK433" s="28" t="n">
        <f aca="false">IF(ISNUMBER(BF433),DG433,0)</f>
        <v>0</v>
      </c>
      <c r="FL433" s="28" t="n">
        <f aca="false">IF(ISNUMBER(BJ433),DH433,0)</f>
        <v>0</v>
      </c>
      <c r="FM433" s="28" t="n">
        <f aca="false">IF(ISNUMBER(BN433),DI433,0)</f>
        <v>0</v>
      </c>
      <c r="FN433" s="28" t="n">
        <f aca="false">IF(ISNUMBER(BR433),DJ433,0)</f>
        <v>0</v>
      </c>
      <c r="FO433" s="28" t="str">
        <f aca="false">IFERROR(INDEX(Lists!$G$2:$G$20,MATCH($I433&amp;"|"&amp;$J433,Lists!$F$2:$F$20,0)),"")</f>
        <v/>
      </c>
    </row>
    <row r="434" customFormat="false" ht="19.5" hidden="false" customHeight="true" outlineLevel="0" collapsed="false">
      <c r="A434" s="29"/>
      <c r="B434" s="29"/>
      <c r="C434" s="30"/>
      <c r="D434" s="30"/>
      <c r="E434" s="31"/>
      <c r="F434" s="30"/>
      <c r="G434" s="30"/>
      <c r="H434" s="32"/>
      <c r="I434" s="33"/>
      <c r="J434" s="32"/>
      <c r="K434" s="34" t="str">
        <f aca="false">IF(OR(M434="",$E434=""),"",M434-$E434)</f>
        <v/>
      </c>
      <c r="L434" s="35" t="str">
        <f aca="false">IF(SUM(FA434:FN434)=0,"",SUM(EM434:EZ434)/SUM(FA434:FN434))</f>
        <v/>
      </c>
      <c r="M434" s="36" t="str">
        <f aca="false">IF(OR(L434="",FO434=""),"",IFERROR(MATCH(L434,INDEX(Boundaries!$B$2:$I$30,MATCH(FO434,Boundaries!$A$2:$A$30,0),0),1)-1,""))</f>
        <v/>
      </c>
      <c r="N434" s="37" t="str">
        <f aca="false">IF(COUNT($DY434:$EL434)&lt;2,"",INDEX($DK434:$DX434,MAX($DY434:$EL434))-INDEX($DK434:$DX434,MIN($DY434:$EL434)))</f>
        <v/>
      </c>
      <c r="O434" s="37" t="str">
        <f aca="false">IF(COUNT($DY434:$EL434)&lt;2,"",INDEX($DK434:$DX434,MAX($DY434:$EL434))-INDEX($DK434:$DX434,LARGE($DY434:$EL434,2)))</f>
        <v/>
      </c>
      <c r="P434" s="38" t="str">
        <f aca="false">IF(K434="","",IF(K434&gt;=0,"On/above target",IF(AND(N434&lt;&gt;"",N434&gt;=0.5),"Improving towards target",IF(AND(O434&lt;&gt;"",O434&lt;=-0.5),"Declining","Stable below target"))))</f>
        <v/>
      </c>
      <c r="Q434" s="39"/>
      <c r="R434" s="40" t="str">
        <f aca="false">IF(OR(Q434="",BU434=""),"",Q434/BU434*100)</f>
        <v/>
      </c>
      <c r="S434" s="41" t="str">
        <f aca="false">IF(R434="","",IFERROR(MATCH(R434,INDEX(Boundaries!$B$2:$I$30,MATCH(CI434,Boundaries!$A$2:$A$30,0),0),1)-1,""))</f>
        <v/>
      </c>
      <c r="T434" s="42" t="str">
        <f aca="false">IF(OR(S434="",$E434=""),"",S434-$E434)</f>
        <v/>
      </c>
      <c r="U434" s="39"/>
      <c r="V434" s="40" t="str">
        <f aca="false">IF(OR(U434="",BV434=""),"",U434/BV434*100)</f>
        <v/>
      </c>
      <c r="W434" s="41" t="str">
        <f aca="false">IF(V434="","",IFERROR(MATCH(V434,INDEX(Boundaries!$B$2:$I$30,MATCH(CJ434,Boundaries!$A$2:$A$30,0),0),1)-1,""))</f>
        <v/>
      </c>
      <c r="X434" s="42" t="str">
        <f aca="false">IF(OR(W434="",$E434=""),"",W434-$E434)</f>
        <v/>
      </c>
      <c r="Y434" s="39"/>
      <c r="Z434" s="40" t="str">
        <f aca="false">IF(OR(Y434="",BW434=""),"",Y434/BW434*100)</f>
        <v/>
      </c>
      <c r="AA434" s="41" t="str">
        <f aca="false">IF(Z434="","",IFERROR(MATCH(Z434,INDEX(Boundaries!$B$2:$I$30,MATCH(CK434,Boundaries!$A$2:$A$30,0),0),1)-1,""))</f>
        <v/>
      </c>
      <c r="AB434" s="42" t="str">
        <f aca="false">IF(OR(AA434="",$E434=""),"",AA434-$E434)</f>
        <v/>
      </c>
      <c r="AC434" s="39"/>
      <c r="AD434" s="40" t="str">
        <f aca="false">IF(OR(AC434="",BX434=""),"",AC434/BX434*100)</f>
        <v/>
      </c>
      <c r="AE434" s="41" t="str">
        <f aca="false">IF(AD434="","",IFERROR(MATCH(AD434,INDEX(Boundaries!$B$2:$I$30,MATCH(CL434,Boundaries!$A$2:$A$30,0),0),1)-1,""))</f>
        <v/>
      </c>
      <c r="AF434" s="42" t="str">
        <f aca="false">IF(OR(AE434="",$E434=""),"",AE434-$E434)</f>
        <v/>
      </c>
      <c r="AG434" s="39"/>
      <c r="AH434" s="40" t="str">
        <f aca="false">IF(OR(AG434="",BY434=""),"",AG434/BY434*100)</f>
        <v/>
      </c>
      <c r="AI434" s="41" t="str">
        <f aca="false">IF(AH434="","",IFERROR(MATCH(AH434,INDEX(Boundaries!$B$2:$I$30,MATCH(CM434,Boundaries!$A$2:$A$30,0),0),1)-1,""))</f>
        <v/>
      </c>
      <c r="AJ434" s="42" t="str">
        <f aca="false">IF(OR(AI434="",$E434=""),"",AI434-$E434)</f>
        <v/>
      </c>
      <c r="AK434" s="39"/>
      <c r="AL434" s="40" t="str">
        <f aca="false">IF(OR(AK434="",BZ434=""),"",AK434/BZ434*100)</f>
        <v/>
      </c>
      <c r="AM434" s="41" t="str">
        <f aca="false">IF(AL434="","",IFERROR(MATCH(AL434,INDEX(Boundaries!$B$2:$I$30,MATCH(CN434,Boundaries!$A$2:$A$30,0),0),1)-1,""))</f>
        <v/>
      </c>
      <c r="AN434" s="42" t="str">
        <f aca="false">IF(OR(AM434="",$E434=""),"",AM434-$E434)</f>
        <v/>
      </c>
      <c r="AO434" s="39"/>
      <c r="AP434" s="40" t="str">
        <f aca="false">IF(OR(AO434="",CA434=""),"",AO434/CA434*100)</f>
        <v/>
      </c>
      <c r="AQ434" s="41" t="str">
        <f aca="false">IF(AP434="","",IFERROR(MATCH(AP434,INDEX(Boundaries!$B$2:$I$30,MATCH(CO434,Boundaries!$A$2:$A$30,0),0),1)-1,""))</f>
        <v/>
      </c>
      <c r="AR434" s="42" t="str">
        <f aca="false">IF(OR(AQ434="",$E434=""),"",AQ434-$E434)</f>
        <v/>
      </c>
      <c r="AS434" s="39"/>
      <c r="AT434" s="40" t="str">
        <f aca="false">IF(OR(AS434="",CB434=""),"",AS434/CB434*100)</f>
        <v/>
      </c>
      <c r="AU434" s="41" t="str">
        <f aca="false">IF(AT434="","",IFERROR(MATCH(AT434,INDEX(Boundaries!$B$2:$I$30,MATCH(CP434,Boundaries!$A$2:$A$30,0),0),1)-1,""))</f>
        <v/>
      </c>
      <c r="AV434" s="42" t="str">
        <f aca="false">IF(OR(AU434="",$E434=""),"",AU434-$E434)</f>
        <v/>
      </c>
      <c r="AW434" s="39"/>
      <c r="AX434" s="40" t="str">
        <f aca="false">IF(OR(AW434="",CC434=""),"",AW434/CC434*100)</f>
        <v/>
      </c>
      <c r="AY434" s="41" t="str">
        <f aca="false">IF(AX434="","",IFERROR(MATCH(AX434,INDEX(Boundaries!$B$2:$I$30,MATCH(CQ434,Boundaries!$A$2:$A$30,0),0),1)-1,""))</f>
        <v/>
      </c>
      <c r="AZ434" s="42" t="str">
        <f aca="false">IF(OR(AY434="",$E434=""),"",AY434-$E434)</f>
        <v/>
      </c>
      <c r="BA434" s="39"/>
      <c r="BB434" s="40" t="str">
        <f aca="false">IF(OR(BA434="",CD434=""),"",BA434/CD434*100)</f>
        <v/>
      </c>
      <c r="BC434" s="41" t="str">
        <f aca="false">IF(BB434="","",IFERROR(MATCH(BB434,INDEX(Boundaries!$B$2:$I$30,MATCH(CR434,Boundaries!$A$2:$A$30,0),0),1)-1,""))</f>
        <v/>
      </c>
      <c r="BD434" s="42" t="str">
        <f aca="false">IF(OR(BC434="",$E434=""),"",BC434-$E434)</f>
        <v/>
      </c>
      <c r="BE434" s="39"/>
      <c r="BF434" s="40" t="str">
        <f aca="false">IF(OR(BE434="",CE434=""),"",BE434/CE434*100)</f>
        <v/>
      </c>
      <c r="BG434" s="41" t="str">
        <f aca="false">IF(BF434="","",IFERROR(MATCH(BF434,INDEX(Boundaries!$B$2:$I$30,MATCH(CS434,Boundaries!$A$2:$A$30,0),0),1)-1,""))</f>
        <v/>
      </c>
      <c r="BH434" s="42" t="str">
        <f aca="false">IF(OR(BG434="",$E434=""),"",BG434-$E434)</f>
        <v/>
      </c>
      <c r="BI434" s="39"/>
      <c r="BJ434" s="40" t="str">
        <f aca="false">IF(OR(BI434="",CF434=""),"",BI434/CF434*100)</f>
        <v/>
      </c>
      <c r="BK434" s="41" t="str">
        <f aca="false">IF(BJ434="","",IFERROR(MATCH(BJ434,INDEX(Boundaries!$B$2:$I$30,MATCH(CT434,Boundaries!$A$2:$A$30,0),0),1)-1,""))</f>
        <v/>
      </c>
      <c r="BL434" s="42" t="str">
        <f aca="false">IF(OR(BK434="",$E434=""),"",BK434-$E434)</f>
        <v/>
      </c>
      <c r="BM434" s="39"/>
      <c r="BN434" s="40" t="str">
        <f aca="false">IF(OR(BM434="",CG434=""),"",BM434/CG434*100)</f>
        <v/>
      </c>
      <c r="BO434" s="41" t="str">
        <f aca="false">IF(BN434="","",IFERROR(MATCH(BN434,INDEX(Boundaries!$B$2:$I$30,MATCH(CU434,Boundaries!$A$2:$A$30,0),0),1)-1,""))</f>
        <v/>
      </c>
      <c r="BP434" s="42" t="str">
        <f aca="false">IF(OR(BO434="",$E434=""),"",BO434-$E434)</f>
        <v/>
      </c>
      <c r="BQ434" s="39"/>
      <c r="BR434" s="40" t="str">
        <f aca="false">IF(OR(BQ434="",CH434=""),"",BQ434/CH434*100)</f>
        <v/>
      </c>
      <c r="BS434" s="41" t="str">
        <f aca="false">IF(BR434="","",IFERROR(MATCH(BR434,INDEX(Boundaries!$B$2:$I$30,MATCH(CV434,Boundaries!$A$2:$A$30,0),0),1)-1,""))</f>
        <v/>
      </c>
      <c r="BT434" s="42" t="str">
        <f aca="false">IF(OR(BS434="",$E434=""),"",BS434-$E434)</f>
        <v/>
      </c>
      <c r="BU434" s="28" t="str">
        <f aca="false">IFERROR(INDEX(Assessments!$H$2:$H$600,MATCH($H434&amp;"|"&amp;$I434&amp;"|"&amp;$J434&amp;"|"&amp;1,Assessments!$A$2:$A$600,0)),"")</f>
        <v/>
      </c>
      <c r="BV434" s="28" t="str">
        <f aca="false">IFERROR(INDEX(Assessments!$H$2:$H$600,MATCH($H434&amp;"|"&amp;$I434&amp;"|"&amp;$J434&amp;"|"&amp;2,Assessments!$A$2:$A$600,0)),"")</f>
        <v/>
      </c>
      <c r="BW434" s="28" t="str">
        <f aca="false">IFERROR(INDEX(Assessments!$H$2:$H$600,MATCH($H434&amp;"|"&amp;$I434&amp;"|"&amp;$J434&amp;"|"&amp;3,Assessments!$A$2:$A$600,0)),"")</f>
        <v/>
      </c>
      <c r="BX434" s="28" t="str">
        <f aca="false">IFERROR(INDEX(Assessments!$H$2:$H$600,MATCH($H434&amp;"|"&amp;$I434&amp;"|"&amp;$J434&amp;"|"&amp;4,Assessments!$A$2:$A$600,0)),"")</f>
        <v/>
      </c>
      <c r="BY434" s="28" t="str">
        <f aca="false">IFERROR(INDEX(Assessments!$H$2:$H$600,MATCH($H434&amp;"|"&amp;$I434&amp;"|"&amp;$J434&amp;"|"&amp;5,Assessments!$A$2:$A$600,0)),"")</f>
        <v/>
      </c>
      <c r="BZ434" s="28" t="str">
        <f aca="false">IFERROR(INDEX(Assessments!$H$2:$H$600,MATCH($H434&amp;"|"&amp;$I434&amp;"|"&amp;$J434&amp;"|"&amp;6,Assessments!$A$2:$A$600,0)),"")</f>
        <v/>
      </c>
      <c r="CA434" s="28" t="str">
        <f aca="false">IFERROR(INDEX(Assessments!$H$2:$H$600,MATCH($H434&amp;"|"&amp;$I434&amp;"|"&amp;$J434&amp;"|"&amp;7,Assessments!$A$2:$A$600,0)),"")</f>
        <v/>
      </c>
      <c r="CB434" s="28" t="str">
        <f aca="false">IFERROR(INDEX(Assessments!$H$2:$H$600,MATCH($H434&amp;"|"&amp;$I434&amp;"|"&amp;$J434&amp;"|"&amp;8,Assessments!$A$2:$A$600,0)),"")</f>
        <v/>
      </c>
      <c r="CC434" s="28" t="str">
        <f aca="false">IFERROR(INDEX(Assessments!$H$2:$H$600,MATCH($H434&amp;"|"&amp;$I434&amp;"|"&amp;$J434&amp;"|"&amp;9,Assessments!$A$2:$A$600,0)),"")</f>
        <v/>
      </c>
      <c r="CD434" s="28" t="str">
        <f aca="false">IFERROR(INDEX(Assessments!$H$2:$H$600,MATCH($H434&amp;"|"&amp;$I434&amp;"|"&amp;$J434&amp;"|"&amp;10,Assessments!$A$2:$A$600,0)),"")</f>
        <v/>
      </c>
      <c r="CE434" s="28" t="str">
        <f aca="false">IFERROR(INDEX(Assessments!$H$2:$H$600,MATCH($H434&amp;"|"&amp;$I434&amp;"|"&amp;$J434&amp;"|"&amp;11,Assessments!$A$2:$A$600,0)),"")</f>
        <v/>
      </c>
      <c r="CF434" s="28" t="str">
        <f aca="false">IFERROR(INDEX(Assessments!$H$2:$H$600,MATCH($H434&amp;"|"&amp;$I434&amp;"|"&amp;$J434&amp;"|"&amp;12,Assessments!$A$2:$A$600,0)),"")</f>
        <v/>
      </c>
      <c r="CG434" s="28" t="str">
        <f aca="false">IFERROR(INDEX(Assessments!$H$2:$H$600,MATCH($H434&amp;"|"&amp;$I434&amp;"|"&amp;$J434&amp;"|"&amp;13,Assessments!$A$2:$A$600,0)),"")</f>
        <v/>
      </c>
      <c r="CH434" s="28" t="str">
        <f aca="false">IFERROR(INDEX(Assessments!$H$2:$H$600,MATCH($H434&amp;"|"&amp;$I434&amp;"|"&amp;$J434&amp;"|"&amp;14,Assessments!$A$2:$A$600,0)),"")</f>
        <v/>
      </c>
      <c r="CI434" s="28" t="str">
        <f aca="false">IFERROR(INDEX(Assessments!$I$2:$I$600,MATCH($H434&amp;"|"&amp;$I434&amp;"|"&amp;$J434&amp;"|"&amp;1,Assessments!$A$2:$A$600,0)),"")</f>
        <v/>
      </c>
      <c r="CJ434" s="28" t="str">
        <f aca="false">IFERROR(INDEX(Assessments!$I$2:$I$600,MATCH($H434&amp;"|"&amp;$I434&amp;"|"&amp;$J434&amp;"|"&amp;2,Assessments!$A$2:$A$600,0)),"")</f>
        <v/>
      </c>
      <c r="CK434" s="28" t="str">
        <f aca="false">IFERROR(INDEX(Assessments!$I$2:$I$600,MATCH($H434&amp;"|"&amp;$I434&amp;"|"&amp;$J434&amp;"|"&amp;3,Assessments!$A$2:$A$600,0)),"")</f>
        <v/>
      </c>
      <c r="CL434" s="28" t="str">
        <f aca="false">IFERROR(INDEX(Assessments!$I$2:$I$600,MATCH($H434&amp;"|"&amp;$I434&amp;"|"&amp;$J434&amp;"|"&amp;4,Assessments!$A$2:$A$600,0)),"")</f>
        <v/>
      </c>
      <c r="CM434" s="28" t="str">
        <f aca="false">IFERROR(INDEX(Assessments!$I$2:$I$600,MATCH($H434&amp;"|"&amp;$I434&amp;"|"&amp;$J434&amp;"|"&amp;5,Assessments!$A$2:$A$600,0)),"")</f>
        <v/>
      </c>
      <c r="CN434" s="28" t="str">
        <f aca="false">IFERROR(INDEX(Assessments!$I$2:$I$600,MATCH($H434&amp;"|"&amp;$I434&amp;"|"&amp;$J434&amp;"|"&amp;6,Assessments!$A$2:$A$600,0)),"")</f>
        <v/>
      </c>
      <c r="CO434" s="28" t="str">
        <f aca="false">IFERROR(INDEX(Assessments!$I$2:$I$600,MATCH($H434&amp;"|"&amp;$I434&amp;"|"&amp;$J434&amp;"|"&amp;7,Assessments!$A$2:$A$600,0)),"")</f>
        <v/>
      </c>
      <c r="CP434" s="28" t="str">
        <f aca="false">IFERROR(INDEX(Assessments!$I$2:$I$600,MATCH($H434&amp;"|"&amp;$I434&amp;"|"&amp;$J434&amp;"|"&amp;8,Assessments!$A$2:$A$600,0)),"")</f>
        <v/>
      </c>
      <c r="CQ434" s="28" t="str">
        <f aca="false">IFERROR(INDEX(Assessments!$I$2:$I$600,MATCH($H434&amp;"|"&amp;$I434&amp;"|"&amp;$J434&amp;"|"&amp;9,Assessments!$A$2:$A$600,0)),"")</f>
        <v/>
      </c>
      <c r="CR434" s="28" t="str">
        <f aca="false">IFERROR(INDEX(Assessments!$I$2:$I$600,MATCH($H434&amp;"|"&amp;$I434&amp;"|"&amp;$J434&amp;"|"&amp;10,Assessments!$A$2:$A$600,0)),"")</f>
        <v/>
      </c>
      <c r="CS434" s="28" t="str">
        <f aca="false">IFERROR(INDEX(Assessments!$I$2:$I$600,MATCH($H434&amp;"|"&amp;$I434&amp;"|"&amp;$J434&amp;"|"&amp;11,Assessments!$A$2:$A$600,0)),"")</f>
        <v/>
      </c>
      <c r="CT434" s="28" t="str">
        <f aca="false">IFERROR(INDEX(Assessments!$I$2:$I$600,MATCH($H434&amp;"|"&amp;$I434&amp;"|"&amp;$J434&amp;"|"&amp;12,Assessments!$A$2:$A$600,0)),"")</f>
        <v/>
      </c>
      <c r="CU434" s="28" t="str">
        <f aca="false">IFERROR(INDEX(Assessments!$I$2:$I$600,MATCH($H434&amp;"|"&amp;$I434&amp;"|"&amp;$J434&amp;"|"&amp;13,Assessments!$A$2:$A$600,0)),"")</f>
        <v/>
      </c>
      <c r="CV434" s="28" t="str">
        <f aca="false">IFERROR(INDEX(Assessments!$I$2:$I$600,MATCH($H434&amp;"|"&amp;$I434&amp;"|"&amp;$J434&amp;"|"&amp;14,Assessments!$A$2:$A$600,0)),"")</f>
        <v/>
      </c>
      <c r="CW434" s="28" t="n">
        <f aca="false">IFERROR(INDEX(Assessments!$J$2:$J$600,MATCH($H434&amp;"|"&amp;$I434&amp;"|"&amp;$J434&amp;"|"&amp;1,Assessments!$A$2:$A$600,0)),0)</f>
        <v>0</v>
      </c>
      <c r="CX434" s="28" t="n">
        <f aca="false">IFERROR(INDEX(Assessments!$J$2:$J$600,MATCH($H434&amp;"|"&amp;$I434&amp;"|"&amp;$J434&amp;"|"&amp;2,Assessments!$A$2:$A$600,0)),0)</f>
        <v>0</v>
      </c>
      <c r="CY434" s="28" t="n">
        <f aca="false">IFERROR(INDEX(Assessments!$J$2:$J$600,MATCH($H434&amp;"|"&amp;$I434&amp;"|"&amp;$J434&amp;"|"&amp;3,Assessments!$A$2:$A$600,0)),0)</f>
        <v>0</v>
      </c>
      <c r="CZ434" s="28" t="n">
        <f aca="false">IFERROR(INDEX(Assessments!$J$2:$J$600,MATCH($H434&amp;"|"&amp;$I434&amp;"|"&amp;$J434&amp;"|"&amp;4,Assessments!$A$2:$A$600,0)),0)</f>
        <v>0</v>
      </c>
      <c r="DA434" s="28" t="n">
        <f aca="false">IFERROR(INDEX(Assessments!$J$2:$J$600,MATCH($H434&amp;"|"&amp;$I434&amp;"|"&amp;$J434&amp;"|"&amp;5,Assessments!$A$2:$A$600,0)),0)</f>
        <v>0</v>
      </c>
      <c r="DB434" s="28" t="n">
        <f aca="false">IFERROR(INDEX(Assessments!$J$2:$J$600,MATCH($H434&amp;"|"&amp;$I434&amp;"|"&amp;$J434&amp;"|"&amp;6,Assessments!$A$2:$A$600,0)),0)</f>
        <v>0</v>
      </c>
      <c r="DC434" s="28" t="n">
        <f aca="false">IFERROR(INDEX(Assessments!$J$2:$J$600,MATCH($H434&amp;"|"&amp;$I434&amp;"|"&amp;$J434&amp;"|"&amp;7,Assessments!$A$2:$A$600,0)),0)</f>
        <v>0</v>
      </c>
      <c r="DD434" s="28" t="n">
        <f aca="false">IFERROR(INDEX(Assessments!$J$2:$J$600,MATCH($H434&amp;"|"&amp;$I434&amp;"|"&amp;$J434&amp;"|"&amp;8,Assessments!$A$2:$A$600,0)),0)</f>
        <v>0</v>
      </c>
      <c r="DE434" s="28" t="n">
        <f aca="false">IFERROR(INDEX(Assessments!$J$2:$J$600,MATCH($H434&amp;"|"&amp;$I434&amp;"|"&amp;$J434&amp;"|"&amp;9,Assessments!$A$2:$A$600,0)),0)</f>
        <v>0</v>
      </c>
      <c r="DF434" s="28" t="n">
        <f aca="false">IFERROR(INDEX(Assessments!$J$2:$J$600,MATCH($H434&amp;"|"&amp;$I434&amp;"|"&amp;$J434&amp;"|"&amp;10,Assessments!$A$2:$A$600,0)),0)</f>
        <v>0</v>
      </c>
      <c r="DG434" s="28" t="n">
        <f aca="false">IFERROR(INDEX(Assessments!$J$2:$J$600,MATCH($H434&amp;"|"&amp;$I434&amp;"|"&amp;$J434&amp;"|"&amp;11,Assessments!$A$2:$A$600,0)),0)</f>
        <v>0</v>
      </c>
      <c r="DH434" s="28" t="n">
        <f aca="false">IFERROR(INDEX(Assessments!$J$2:$J$600,MATCH($H434&amp;"|"&amp;$I434&amp;"|"&amp;$J434&amp;"|"&amp;12,Assessments!$A$2:$A$600,0)),0)</f>
        <v>0</v>
      </c>
      <c r="DI434" s="28" t="n">
        <f aca="false">IFERROR(INDEX(Assessments!$J$2:$J$600,MATCH($H434&amp;"|"&amp;$I434&amp;"|"&amp;$J434&amp;"|"&amp;13,Assessments!$A$2:$A$600,0)),0)</f>
        <v>0</v>
      </c>
      <c r="DJ434" s="28" t="n">
        <f aca="false">IFERROR(INDEX(Assessments!$J$2:$J$600,MATCH($H434&amp;"|"&amp;$I434&amp;"|"&amp;$J434&amp;"|"&amp;14,Assessments!$A$2:$A$600,0)),0)</f>
        <v>0</v>
      </c>
      <c r="DK434" s="28" t="str">
        <f aca="false">S434</f>
        <v/>
      </c>
      <c r="DL434" s="28" t="str">
        <f aca="false">W434</f>
        <v/>
      </c>
      <c r="DM434" s="28" t="str">
        <f aca="false">AA434</f>
        <v/>
      </c>
      <c r="DN434" s="28" t="str">
        <f aca="false">AE434</f>
        <v/>
      </c>
      <c r="DO434" s="28" t="str">
        <f aca="false">AI434</f>
        <v/>
      </c>
      <c r="DP434" s="28" t="str">
        <f aca="false">AM434</f>
        <v/>
      </c>
      <c r="DQ434" s="28" t="str">
        <f aca="false">AQ434</f>
        <v/>
      </c>
      <c r="DR434" s="28" t="str">
        <f aca="false">AU434</f>
        <v/>
      </c>
      <c r="DS434" s="28" t="str">
        <f aca="false">AY434</f>
        <v/>
      </c>
      <c r="DT434" s="28" t="str">
        <f aca="false">BC434</f>
        <v/>
      </c>
      <c r="DU434" s="28" t="str">
        <f aca="false">BG434</f>
        <v/>
      </c>
      <c r="DV434" s="28" t="str">
        <f aca="false">BK434</f>
        <v/>
      </c>
      <c r="DW434" s="28" t="str">
        <f aca="false">BO434</f>
        <v/>
      </c>
      <c r="DX434" s="28" t="str">
        <f aca="false">BS434</f>
        <v/>
      </c>
      <c r="DY434" s="28" t="str">
        <f aca="false">IF(ISNUMBER(S434),1,"")</f>
        <v/>
      </c>
      <c r="DZ434" s="28" t="str">
        <f aca="false">IF(ISNUMBER(W434),2,"")</f>
        <v/>
      </c>
      <c r="EA434" s="28" t="str">
        <f aca="false">IF(ISNUMBER(AA434),3,"")</f>
        <v/>
      </c>
      <c r="EB434" s="28" t="str">
        <f aca="false">IF(ISNUMBER(AE434),4,"")</f>
        <v/>
      </c>
      <c r="EC434" s="28" t="str">
        <f aca="false">IF(ISNUMBER(AI434),5,"")</f>
        <v/>
      </c>
      <c r="ED434" s="28" t="str">
        <f aca="false">IF(ISNUMBER(AM434),6,"")</f>
        <v/>
      </c>
      <c r="EE434" s="28" t="str">
        <f aca="false">IF(ISNUMBER(AQ434),7,"")</f>
        <v/>
      </c>
      <c r="EF434" s="28" t="str">
        <f aca="false">IF(ISNUMBER(AU434),8,"")</f>
        <v/>
      </c>
      <c r="EG434" s="28" t="str">
        <f aca="false">IF(ISNUMBER(AY434),9,"")</f>
        <v/>
      </c>
      <c r="EH434" s="28" t="str">
        <f aca="false">IF(ISNUMBER(BC434),10,"")</f>
        <v/>
      </c>
      <c r="EI434" s="28" t="str">
        <f aca="false">IF(ISNUMBER(BG434),11,"")</f>
        <v/>
      </c>
      <c r="EJ434" s="28" t="str">
        <f aca="false">IF(ISNUMBER(BK434),12,"")</f>
        <v/>
      </c>
      <c r="EK434" s="28" t="str">
        <f aca="false">IF(ISNUMBER(BO434),13,"")</f>
        <v/>
      </c>
      <c r="EL434" s="28" t="str">
        <f aca="false">IF(ISNUMBER(BS434),14,"")</f>
        <v/>
      </c>
      <c r="EM434" s="28" t="n">
        <f aca="false">IF(ISNUMBER(R434),R434*CW434,0)</f>
        <v>0</v>
      </c>
      <c r="EN434" s="28" t="n">
        <f aca="false">IF(ISNUMBER(V434),V434*CX434,0)</f>
        <v>0</v>
      </c>
      <c r="EO434" s="28" t="n">
        <f aca="false">IF(ISNUMBER(Z434),Z434*CY434,0)</f>
        <v>0</v>
      </c>
      <c r="EP434" s="28" t="n">
        <f aca="false">IF(ISNUMBER(AD434),AD434*CZ434,0)</f>
        <v>0</v>
      </c>
      <c r="EQ434" s="28" t="n">
        <f aca="false">IF(ISNUMBER(AH434),AH434*DA434,0)</f>
        <v>0</v>
      </c>
      <c r="ER434" s="28" t="n">
        <f aca="false">IF(ISNUMBER(AL434),AL434*DB434,0)</f>
        <v>0</v>
      </c>
      <c r="ES434" s="28" t="n">
        <f aca="false">IF(ISNUMBER(AP434),AP434*DC434,0)</f>
        <v>0</v>
      </c>
      <c r="ET434" s="28" t="n">
        <f aca="false">IF(ISNUMBER(AT434),AT434*DD434,0)</f>
        <v>0</v>
      </c>
      <c r="EU434" s="28" t="n">
        <f aca="false">IF(ISNUMBER(AX434),AX434*DE434,0)</f>
        <v>0</v>
      </c>
      <c r="EV434" s="28" t="n">
        <f aca="false">IF(ISNUMBER(BB434),BB434*DF434,0)</f>
        <v>0</v>
      </c>
      <c r="EW434" s="28" t="n">
        <f aca="false">IF(ISNUMBER(BF434),BF434*DG434,0)</f>
        <v>0</v>
      </c>
      <c r="EX434" s="28" t="n">
        <f aca="false">IF(ISNUMBER(BJ434),BJ434*DH434,0)</f>
        <v>0</v>
      </c>
      <c r="EY434" s="28" t="n">
        <f aca="false">IF(ISNUMBER(BN434),BN434*DI434,0)</f>
        <v>0</v>
      </c>
      <c r="EZ434" s="28" t="n">
        <f aca="false">IF(ISNUMBER(BR434),BR434*DJ434,0)</f>
        <v>0</v>
      </c>
      <c r="FA434" s="28" t="n">
        <f aca="false">IF(ISNUMBER(R434),CW434,0)</f>
        <v>0</v>
      </c>
      <c r="FB434" s="28" t="n">
        <f aca="false">IF(ISNUMBER(V434),CX434,0)</f>
        <v>0</v>
      </c>
      <c r="FC434" s="28" t="n">
        <f aca="false">IF(ISNUMBER(Z434),CY434,0)</f>
        <v>0</v>
      </c>
      <c r="FD434" s="28" t="n">
        <f aca="false">IF(ISNUMBER(AD434),CZ434,0)</f>
        <v>0</v>
      </c>
      <c r="FE434" s="28" t="n">
        <f aca="false">IF(ISNUMBER(AH434),DA434,0)</f>
        <v>0</v>
      </c>
      <c r="FF434" s="28" t="n">
        <f aca="false">IF(ISNUMBER(AL434),DB434,0)</f>
        <v>0</v>
      </c>
      <c r="FG434" s="28" t="n">
        <f aca="false">IF(ISNUMBER(AP434),DC434,0)</f>
        <v>0</v>
      </c>
      <c r="FH434" s="28" t="n">
        <f aca="false">IF(ISNUMBER(AT434),DD434,0)</f>
        <v>0</v>
      </c>
      <c r="FI434" s="28" t="n">
        <f aca="false">IF(ISNUMBER(AX434),DE434,0)</f>
        <v>0</v>
      </c>
      <c r="FJ434" s="28" t="n">
        <f aca="false">IF(ISNUMBER(BB434),DF434,0)</f>
        <v>0</v>
      </c>
      <c r="FK434" s="28" t="n">
        <f aca="false">IF(ISNUMBER(BF434),DG434,0)</f>
        <v>0</v>
      </c>
      <c r="FL434" s="28" t="n">
        <f aca="false">IF(ISNUMBER(BJ434),DH434,0)</f>
        <v>0</v>
      </c>
      <c r="FM434" s="28" t="n">
        <f aca="false">IF(ISNUMBER(BN434),DI434,0)</f>
        <v>0</v>
      </c>
      <c r="FN434" s="28" t="n">
        <f aca="false">IF(ISNUMBER(BR434),DJ434,0)</f>
        <v>0</v>
      </c>
      <c r="FO434" s="28" t="str">
        <f aca="false">IFERROR(INDEX(Lists!$G$2:$G$20,MATCH($I434&amp;"|"&amp;$J434,Lists!$F$2:$F$20,0)),"")</f>
        <v/>
      </c>
    </row>
    <row r="435" customFormat="false" ht="19.5" hidden="false" customHeight="true" outlineLevel="0" collapsed="false">
      <c r="A435" s="29"/>
      <c r="B435" s="29"/>
      <c r="C435" s="30"/>
      <c r="D435" s="30"/>
      <c r="E435" s="31"/>
      <c r="F435" s="30"/>
      <c r="G435" s="30"/>
      <c r="H435" s="32"/>
      <c r="I435" s="33"/>
      <c r="J435" s="32"/>
      <c r="K435" s="34" t="str">
        <f aca="false">IF(OR(M435="",$E435=""),"",M435-$E435)</f>
        <v/>
      </c>
      <c r="L435" s="35" t="str">
        <f aca="false">IF(SUM(FA435:FN435)=0,"",SUM(EM435:EZ435)/SUM(FA435:FN435))</f>
        <v/>
      </c>
      <c r="M435" s="36" t="str">
        <f aca="false">IF(OR(L435="",FO435=""),"",IFERROR(MATCH(L435,INDEX(Boundaries!$B$2:$I$30,MATCH(FO435,Boundaries!$A$2:$A$30,0),0),1)-1,""))</f>
        <v/>
      </c>
      <c r="N435" s="37" t="str">
        <f aca="false">IF(COUNT($DY435:$EL435)&lt;2,"",INDEX($DK435:$DX435,MAX($DY435:$EL435))-INDEX($DK435:$DX435,MIN($DY435:$EL435)))</f>
        <v/>
      </c>
      <c r="O435" s="37" t="str">
        <f aca="false">IF(COUNT($DY435:$EL435)&lt;2,"",INDEX($DK435:$DX435,MAX($DY435:$EL435))-INDEX($DK435:$DX435,LARGE($DY435:$EL435,2)))</f>
        <v/>
      </c>
      <c r="P435" s="38" t="str">
        <f aca="false">IF(K435="","",IF(K435&gt;=0,"On/above target",IF(AND(N435&lt;&gt;"",N435&gt;=0.5),"Improving towards target",IF(AND(O435&lt;&gt;"",O435&lt;=-0.5),"Declining","Stable below target"))))</f>
        <v/>
      </c>
      <c r="Q435" s="39"/>
      <c r="R435" s="40" t="str">
        <f aca="false">IF(OR(Q435="",BU435=""),"",Q435/BU435*100)</f>
        <v/>
      </c>
      <c r="S435" s="41" t="str">
        <f aca="false">IF(R435="","",IFERROR(MATCH(R435,INDEX(Boundaries!$B$2:$I$30,MATCH(CI435,Boundaries!$A$2:$A$30,0),0),1)-1,""))</f>
        <v/>
      </c>
      <c r="T435" s="42" t="str">
        <f aca="false">IF(OR(S435="",$E435=""),"",S435-$E435)</f>
        <v/>
      </c>
      <c r="U435" s="39"/>
      <c r="V435" s="40" t="str">
        <f aca="false">IF(OR(U435="",BV435=""),"",U435/BV435*100)</f>
        <v/>
      </c>
      <c r="W435" s="41" t="str">
        <f aca="false">IF(V435="","",IFERROR(MATCH(V435,INDEX(Boundaries!$B$2:$I$30,MATCH(CJ435,Boundaries!$A$2:$A$30,0),0),1)-1,""))</f>
        <v/>
      </c>
      <c r="X435" s="42" t="str">
        <f aca="false">IF(OR(W435="",$E435=""),"",W435-$E435)</f>
        <v/>
      </c>
      <c r="Y435" s="39"/>
      <c r="Z435" s="40" t="str">
        <f aca="false">IF(OR(Y435="",BW435=""),"",Y435/BW435*100)</f>
        <v/>
      </c>
      <c r="AA435" s="41" t="str">
        <f aca="false">IF(Z435="","",IFERROR(MATCH(Z435,INDEX(Boundaries!$B$2:$I$30,MATCH(CK435,Boundaries!$A$2:$A$30,0),0),1)-1,""))</f>
        <v/>
      </c>
      <c r="AB435" s="42" t="str">
        <f aca="false">IF(OR(AA435="",$E435=""),"",AA435-$E435)</f>
        <v/>
      </c>
      <c r="AC435" s="39"/>
      <c r="AD435" s="40" t="str">
        <f aca="false">IF(OR(AC435="",BX435=""),"",AC435/BX435*100)</f>
        <v/>
      </c>
      <c r="AE435" s="41" t="str">
        <f aca="false">IF(AD435="","",IFERROR(MATCH(AD435,INDEX(Boundaries!$B$2:$I$30,MATCH(CL435,Boundaries!$A$2:$A$30,0),0),1)-1,""))</f>
        <v/>
      </c>
      <c r="AF435" s="42" t="str">
        <f aca="false">IF(OR(AE435="",$E435=""),"",AE435-$E435)</f>
        <v/>
      </c>
      <c r="AG435" s="39"/>
      <c r="AH435" s="40" t="str">
        <f aca="false">IF(OR(AG435="",BY435=""),"",AG435/BY435*100)</f>
        <v/>
      </c>
      <c r="AI435" s="41" t="str">
        <f aca="false">IF(AH435="","",IFERROR(MATCH(AH435,INDEX(Boundaries!$B$2:$I$30,MATCH(CM435,Boundaries!$A$2:$A$30,0),0),1)-1,""))</f>
        <v/>
      </c>
      <c r="AJ435" s="42" t="str">
        <f aca="false">IF(OR(AI435="",$E435=""),"",AI435-$E435)</f>
        <v/>
      </c>
      <c r="AK435" s="39"/>
      <c r="AL435" s="40" t="str">
        <f aca="false">IF(OR(AK435="",BZ435=""),"",AK435/BZ435*100)</f>
        <v/>
      </c>
      <c r="AM435" s="41" t="str">
        <f aca="false">IF(AL435="","",IFERROR(MATCH(AL435,INDEX(Boundaries!$B$2:$I$30,MATCH(CN435,Boundaries!$A$2:$A$30,0),0),1)-1,""))</f>
        <v/>
      </c>
      <c r="AN435" s="42" t="str">
        <f aca="false">IF(OR(AM435="",$E435=""),"",AM435-$E435)</f>
        <v/>
      </c>
      <c r="AO435" s="39"/>
      <c r="AP435" s="40" t="str">
        <f aca="false">IF(OR(AO435="",CA435=""),"",AO435/CA435*100)</f>
        <v/>
      </c>
      <c r="AQ435" s="41" t="str">
        <f aca="false">IF(AP435="","",IFERROR(MATCH(AP435,INDEX(Boundaries!$B$2:$I$30,MATCH(CO435,Boundaries!$A$2:$A$30,0),0),1)-1,""))</f>
        <v/>
      </c>
      <c r="AR435" s="42" t="str">
        <f aca="false">IF(OR(AQ435="",$E435=""),"",AQ435-$E435)</f>
        <v/>
      </c>
      <c r="AS435" s="39"/>
      <c r="AT435" s="40" t="str">
        <f aca="false">IF(OR(AS435="",CB435=""),"",AS435/CB435*100)</f>
        <v/>
      </c>
      <c r="AU435" s="41" t="str">
        <f aca="false">IF(AT435="","",IFERROR(MATCH(AT435,INDEX(Boundaries!$B$2:$I$30,MATCH(CP435,Boundaries!$A$2:$A$30,0),0),1)-1,""))</f>
        <v/>
      </c>
      <c r="AV435" s="42" t="str">
        <f aca="false">IF(OR(AU435="",$E435=""),"",AU435-$E435)</f>
        <v/>
      </c>
      <c r="AW435" s="39"/>
      <c r="AX435" s="40" t="str">
        <f aca="false">IF(OR(AW435="",CC435=""),"",AW435/CC435*100)</f>
        <v/>
      </c>
      <c r="AY435" s="41" t="str">
        <f aca="false">IF(AX435="","",IFERROR(MATCH(AX435,INDEX(Boundaries!$B$2:$I$30,MATCH(CQ435,Boundaries!$A$2:$A$30,0),0),1)-1,""))</f>
        <v/>
      </c>
      <c r="AZ435" s="42" t="str">
        <f aca="false">IF(OR(AY435="",$E435=""),"",AY435-$E435)</f>
        <v/>
      </c>
      <c r="BA435" s="39"/>
      <c r="BB435" s="40" t="str">
        <f aca="false">IF(OR(BA435="",CD435=""),"",BA435/CD435*100)</f>
        <v/>
      </c>
      <c r="BC435" s="41" t="str">
        <f aca="false">IF(BB435="","",IFERROR(MATCH(BB435,INDEX(Boundaries!$B$2:$I$30,MATCH(CR435,Boundaries!$A$2:$A$30,0),0),1)-1,""))</f>
        <v/>
      </c>
      <c r="BD435" s="42" t="str">
        <f aca="false">IF(OR(BC435="",$E435=""),"",BC435-$E435)</f>
        <v/>
      </c>
      <c r="BE435" s="39"/>
      <c r="BF435" s="40" t="str">
        <f aca="false">IF(OR(BE435="",CE435=""),"",BE435/CE435*100)</f>
        <v/>
      </c>
      <c r="BG435" s="41" t="str">
        <f aca="false">IF(BF435="","",IFERROR(MATCH(BF435,INDEX(Boundaries!$B$2:$I$30,MATCH(CS435,Boundaries!$A$2:$A$30,0),0),1)-1,""))</f>
        <v/>
      </c>
      <c r="BH435" s="42" t="str">
        <f aca="false">IF(OR(BG435="",$E435=""),"",BG435-$E435)</f>
        <v/>
      </c>
      <c r="BI435" s="39"/>
      <c r="BJ435" s="40" t="str">
        <f aca="false">IF(OR(BI435="",CF435=""),"",BI435/CF435*100)</f>
        <v/>
      </c>
      <c r="BK435" s="41" t="str">
        <f aca="false">IF(BJ435="","",IFERROR(MATCH(BJ435,INDEX(Boundaries!$B$2:$I$30,MATCH(CT435,Boundaries!$A$2:$A$30,0),0),1)-1,""))</f>
        <v/>
      </c>
      <c r="BL435" s="42" t="str">
        <f aca="false">IF(OR(BK435="",$E435=""),"",BK435-$E435)</f>
        <v/>
      </c>
      <c r="BM435" s="39"/>
      <c r="BN435" s="40" t="str">
        <f aca="false">IF(OR(BM435="",CG435=""),"",BM435/CG435*100)</f>
        <v/>
      </c>
      <c r="BO435" s="41" t="str">
        <f aca="false">IF(BN435="","",IFERROR(MATCH(BN435,INDEX(Boundaries!$B$2:$I$30,MATCH(CU435,Boundaries!$A$2:$A$30,0),0),1)-1,""))</f>
        <v/>
      </c>
      <c r="BP435" s="42" t="str">
        <f aca="false">IF(OR(BO435="",$E435=""),"",BO435-$E435)</f>
        <v/>
      </c>
      <c r="BQ435" s="39"/>
      <c r="BR435" s="40" t="str">
        <f aca="false">IF(OR(BQ435="",CH435=""),"",BQ435/CH435*100)</f>
        <v/>
      </c>
      <c r="BS435" s="41" t="str">
        <f aca="false">IF(BR435="","",IFERROR(MATCH(BR435,INDEX(Boundaries!$B$2:$I$30,MATCH(CV435,Boundaries!$A$2:$A$30,0),0),1)-1,""))</f>
        <v/>
      </c>
      <c r="BT435" s="42" t="str">
        <f aca="false">IF(OR(BS435="",$E435=""),"",BS435-$E435)</f>
        <v/>
      </c>
      <c r="BU435" s="28" t="str">
        <f aca="false">IFERROR(INDEX(Assessments!$H$2:$H$600,MATCH($H435&amp;"|"&amp;$I435&amp;"|"&amp;$J435&amp;"|"&amp;1,Assessments!$A$2:$A$600,0)),"")</f>
        <v/>
      </c>
      <c r="BV435" s="28" t="str">
        <f aca="false">IFERROR(INDEX(Assessments!$H$2:$H$600,MATCH($H435&amp;"|"&amp;$I435&amp;"|"&amp;$J435&amp;"|"&amp;2,Assessments!$A$2:$A$600,0)),"")</f>
        <v/>
      </c>
      <c r="BW435" s="28" t="str">
        <f aca="false">IFERROR(INDEX(Assessments!$H$2:$H$600,MATCH($H435&amp;"|"&amp;$I435&amp;"|"&amp;$J435&amp;"|"&amp;3,Assessments!$A$2:$A$600,0)),"")</f>
        <v/>
      </c>
      <c r="BX435" s="28" t="str">
        <f aca="false">IFERROR(INDEX(Assessments!$H$2:$H$600,MATCH($H435&amp;"|"&amp;$I435&amp;"|"&amp;$J435&amp;"|"&amp;4,Assessments!$A$2:$A$600,0)),"")</f>
        <v/>
      </c>
      <c r="BY435" s="28" t="str">
        <f aca="false">IFERROR(INDEX(Assessments!$H$2:$H$600,MATCH($H435&amp;"|"&amp;$I435&amp;"|"&amp;$J435&amp;"|"&amp;5,Assessments!$A$2:$A$600,0)),"")</f>
        <v/>
      </c>
      <c r="BZ435" s="28" t="str">
        <f aca="false">IFERROR(INDEX(Assessments!$H$2:$H$600,MATCH($H435&amp;"|"&amp;$I435&amp;"|"&amp;$J435&amp;"|"&amp;6,Assessments!$A$2:$A$600,0)),"")</f>
        <v/>
      </c>
      <c r="CA435" s="28" t="str">
        <f aca="false">IFERROR(INDEX(Assessments!$H$2:$H$600,MATCH($H435&amp;"|"&amp;$I435&amp;"|"&amp;$J435&amp;"|"&amp;7,Assessments!$A$2:$A$600,0)),"")</f>
        <v/>
      </c>
      <c r="CB435" s="28" t="str">
        <f aca="false">IFERROR(INDEX(Assessments!$H$2:$H$600,MATCH($H435&amp;"|"&amp;$I435&amp;"|"&amp;$J435&amp;"|"&amp;8,Assessments!$A$2:$A$600,0)),"")</f>
        <v/>
      </c>
      <c r="CC435" s="28" t="str">
        <f aca="false">IFERROR(INDEX(Assessments!$H$2:$H$600,MATCH($H435&amp;"|"&amp;$I435&amp;"|"&amp;$J435&amp;"|"&amp;9,Assessments!$A$2:$A$600,0)),"")</f>
        <v/>
      </c>
      <c r="CD435" s="28" t="str">
        <f aca="false">IFERROR(INDEX(Assessments!$H$2:$H$600,MATCH($H435&amp;"|"&amp;$I435&amp;"|"&amp;$J435&amp;"|"&amp;10,Assessments!$A$2:$A$600,0)),"")</f>
        <v/>
      </c>
      <c r="CE435" s="28" t="str">
        <f aca="false">IFERROR(INDEX(Assessments!$H$2:$H$600,MATCH($H435&amp;"|"&amp;$I435&amp;"|"&amp;$J435&amp;"|"&amp;11,Assessments!$A$2:$A$600,0)),"")</f>
        <v/>
      </c>
      <c r="CF435" s="28" t="str">
        <f aca="false">IFERROR(INDEX(Assessments!$H$2:$H$600,MATCH($H435&amp;"|"&amp;$I435&amp;"|"&amp;$J435&amp;"|"&amp;12,Assessments!$A$2:$A$600,0)),"")</f>
        <v/>
      </c>
      <c r="CG435" s="28" t="str">
        <f aca="false">IFERROR(INDEX(Assessments!$H$2:$H$600,MATCH($H435&amp;"|"&amp;$I435&amp;"|"&amp;$J435&amp;"|"&amp;13,Assessments!$A$2:$A$600,0)),"")</f>
        <v/>
      </c>
      <c r="CH435" s="28" t="str">
        <f aca="false">IFERROR(INDEX(Assessments!$H$2:$H$600,MATCH($H435&amp;"|"&amp;$I435&amp;"|"&amp;$J435&amp;"|"&amp;14,Assessments!$A$2:$A$600,0)),"")</f>
        <v/>
      </c>
      <c r="CI435" s="28" t="str">
        <f aca="false">IFERROR(INDEX(Assessments!$I$2:$I$600,MATCH($H435&amp;"|"&amp;$I435&amp;"|"&amp;$J435&amp;"|"&amp;1,Assessments!$A$2:$A$600,0)),"")</f>
        <v/>
      </c>
      <c r="CJ435" s="28" t="str">
        <f aca="false">IFERROR(INDEX(Assessments!$I$2:$I$600,MATCH($H435&amp;"|"&amp;$I435&amp;"|"&amp;$J435&amp;"|"&amp;2,Assessments!$A$2:$A$600,0)),"")</f>
        <v/>
      </c>
      <c r="CK435" s="28" t="str">
        <f aca="false">IFERROR(INDEX(Assessments!$I$2:$I$600,MATCH($H435&amp;"|"&amp;$I435&amp;"|"&amp;$J435&amp;"|"&amp;3,Assessments!$A$2:$A$600,0)),"")</f>
        <v/>
      </c>
      <c r="CL435" s="28" t="str">
        <f aca="false">IFERROR(INDEX(Assessments!$I$2:$I$600,MATCH($H435&amp;"|"&amp;$I435&amp;"|"&amp;$J435&amp;"|"&amp;4,Assessments!$A$2:$A$600,0)),"")</f>
        <v/>
      </c>
      <c r="CM435" s="28" t="str">
        <f aca="false">IFERROR(INDEX(Assessments!$I$2:$I$600,MATCH($H435&amp;"|"&amp;$I435&amp;"|"&amp;$J435&amp;"|"&amp;5,Assessments!$A$2:$A$600,0)),"")</f>
        <v/>
      </c>
      <c r="CN435" s="28" t="str">
        <f aca="false">IFERROR(INDEX(Assessments!$I$2:$I$600,MATCH($H435&amp;"|"&amp;$I435&amp;"|"&amp;$J435&amp;"|"&amp;6,Assessments!$A$2:$A$600,0)),"")</f>
        <v/>
      </c>
      <c r="CO435" s="28" t="str">
        <f aca="false">IFERROR(INDEX(Assessments!$I$2:$I$600,MATCH($H435&amp;"|"&amp;$I435&amp;"|"&amp;$J435&amp;"|"&amp;7,Assessments!$A$2:$A$600,0)),"")</f>
        <v/>
      </c>
      <c r="CP435" s="28" t="str">
        <f aca="false">IFERROR(INDEX(Assessments!$I$2:$I$600,MATCH($H435&amp;"|"&amp;$I435&amp;"|"&amp;$J435&amp;"|"&amp;8,Assessments!$A$2:$A$600,0)),"")</f>
        <v/>
      </c>
      <c r="CQ435" s="28" t="str">
        <f aca="false">IFERROR(INDEX(Assessments!$I$2:$I$600,MATCH($H435&amp;"|"&amp;$I435&amp;"|"&amp;$J435&amp;"|"&amp;9,Assessments!$A$2:$A$600,0)),"")</f>
        <v/>
      </c>
      <c r="CR435" s="28" t="str">
        <f aca="false">IFERROR(INDEX(Assessments!$I$2:$I$600,MATCH($H435&amp;"|"&amp;$I435&amp;"|"&amp;$J435&amp;"|"&amp;10,Assessments!$A$2:$A$600,0)),"")</f>
        <v/>
      </c>
      <c r="CS435" s="28" t="str">
        <f aca="false">IFERROR(INDEX(Assessments!$I$2:$I$600,MATCH($H435&amp;"|"&amp;$I435&amp;"|"&amp;$J435&amp;"|"&amp;11,Assessments!$A$2:$A$600,0)),"")</f>
        <v/>
      </c>
      <c r="CT435" s="28" t="str">
        <f aca="false">IFERROR(INDEX(Assessments!$I$2:$I$600,MATCH($H435&amp;"|"&amp;$I435&amp;"|"&amp;$J435&amp;"|"&amp;12,Assessments!$A$2:$A$600,0)),"")</f>
        <v/>
      </c>
      <c r="CU435" s="28" t="str">
        <f aca="false">IFERROR(INDEX(Assessments!$I$2:$I$600,MATCH($H435&amp;"|"&amp;$I435&amp;"|"&amp;$J435&amp;"|"&amp;13,Assessments!$A$2:$A$600,0)),"")</f>
        <v/>
      </c>
      <c r="CV435" s="28" t="str">
        <f aca="false">IFERROR(INDEX(Assessments!$I$2:$I$600,MATCH($H435&amp;"|"&amp;$I435&amp;"|"&amp;$J435&amp;"|"&amp;14,Assessments!$A$2:$A$600,0)),"")</f>
        <v/>
      </c>
      <c r="CW435" s="28" t="n">
        <f aca="false">IFERROR(INDEX(Assessments!$J$2:$J$600,MATCH($H435&amp;"|"&amp;$I435&amp;"|"&amp;$J435&amp;"|"&amp;1,Assessments!$A$2:$A$600,0)),0)</f>
        <v>0</v>
      </c>
      <c r="CX435" s="28" t="n">
        <f aca="false">IFERROR(INDEX(Assessments!$J$2:$J$600,MATCH($H435&amp;"|"&amp;$I435&amp;"|"&amp;$J435&amp;"|"&amp;2,Assessments!$A$2:$A$600,0)),0)</f>
        <v>0</v>
      </c>
      <c r="CY435" s="28" t="n">
        <f aca="false">IFERROR(INDEX(Assessments!$J$2:$J$600,MATCH($H435&amp;"|"&amp;$I435&amp;"|"&amp;$J435&amp;"|"&amp;3,Assessments!$A$2:$A$600,0)),0)</f>
        <v>0</v>
      </c>
      <c r="CZ435" s="28" t="n">
        <f aca="false">IFERROR(INDEX(Assessments!$J$2:$J$600,MATCH($H435&amp;"|"&amp;$I435&amp;"|"&amp;$J435&amp;"|"&amp;4,Assessments!$A$2:$A$600,0)),0)</f>
        <v>0</v>
      </c>
      <c r="DA435" s="28" t="n">
        <f aca="false">IFERROR(INDEX(Assessments!$J$2:$J$600,MATCH($H435&amp;"|"&amp;$I435&amp;"|"&amp;$J435&amp;"|"&amp;5,Assessments!$A$2:$A$600,0)),0)</f>
        <v>0</v>
      </c>
      <c r="DB435" s="28" t="n">
        <f aca="false">IFERROR(INDEX(Assessments!$J$2:$J$600,MATCH($H435&amp;"|"&amp;$I435&amp;"|"&amp;$J435&amp;"|"&amp;6,Assessments!$A$2:$A$600,0)),0)</f>
        <v>0</v>
      </c>
      <c r="DC435" s="28" t="n">
        <f aca="false">IFERROR(INDEX(Assessments!$J$2:$J$600,MATCH($H435&amp;"|"&amp;$I435&amp;"|"&amp;$J435&amp;"|"&amp;7,Assessments!$A$2:$A$600,0)),0)</f>
        <v>0</v>
      </c>
      <c r="DD435" s="28" t="n">
        <f aca="false">IFERROR(INDEX(Assessments!$J$2:$J$600,MATCH($H435&amp;"|"&amp;$I435&amp;"|"&amp;$J435&amp;"|"&amp;8,Assessments!$A$2:$A$600,0)),0)</f>
        <v>0</v>
      </c>
      <c r="DE435" s="28" t="n">
        <f aca="false">IFERROR(INDEX(Assessments!$J$2:$J$600,MATCH($H435&amp;"|"&amp;$I435&amp;"|"&amp;$J435&amp;"|"&amp;9,Assessments!$A$2:$A$600,0)),0)</f>
        <v>0</v>
      </c>
      <c r="DF435" s="28" t="n">
        <f aca="false">IFERROR(INDEX(Assessments!$J$2:$J$600,MATCH($H435&amp;"|"&amp;$I435&amp;"|"&amp;$J435&amp;"|"&amp;10,Assessments!$A$2:$A$600,0)),0)</f>
        <v>0</v>
      </c>
      <c r="DG435" s="28" t="n">
        <f aca="false">IFERROR(INDEX(Assessments!$J$2:$J$600,MATCH($H435&amp;"|"&amp;$I435&amp;"|"&amp;$J435&amp;"|"&amp;11,Assessments!$A$2:$A$600,0)),0)</f>
        <v>0</v>
      </c>
      <c r="DH435" s="28" t="n">
        <f aca="false">IFERROR(INDEX(Assessments!$J$2:$J$600,MATCH($H435&amp;"|"&amp;$I435&amp;"|"&amp;$J435&amp;"|"&amp;12,Assessments!$A$2:$A$600,0)),0)</f>
        <v>0</v>
      </c>
      <c r="DI435" s="28" t="n">
        <f aca="false">IFERROR(INDEX(Assessments!$J$2:$J$600,MATCH($H435&amp;"|"&amp;$I435&amp;"|"&amp;$J435&amp;"|"&amp;13,Assessments!$A$2:$A$600,0)),0)</f>
        <v>0</v>
      </c>
      <c r="DJ435" s="28" t="n">
        <f aca="false">IFERROR(INDEX(Assessments!$J$2:$J$600,MATCH($H435&amp;"|"&amp;$I435&amp;"|"&amp;$J435&amp;"|"&amp;14,Assessments!$A$2:$A$600,0)),0)</f>
        <v>0</v>
      </c>
      <c r="DK435" s="28" t="str">
        <f aca="false">S435</f>
        <v/>
      </c>
      <c r="DL435" s="28" t="str">
        <f aca="false">W435</f>
        <v/>
      </c>
      <c r="DM435" s="28" t="str">
        <f aca="false">AA435</f>
        <v/>
      </c>
      <c r="DN435" s="28" t="str">
        <f aca="false">AE435</f>
        <v/>
      </c>
      <c r="DO435" s="28" t="str">
        <f aca="false">AI435</f>
        <v/>
      </c>
      <c r="DP435" s="28" t="str">
        <f aca="false">AM435</f>
        <v/>
      </c>
      <c r="DQ435" s="28" t="str">
        <f aca="false">AQ435</f>
        <v/>
      </c>
      <c r="DR435" s="28" t="str">
        <f aca="false">AU435</f>
        <v/>
      </c>
      <c r="DS435" s="28" t="str">
        <f aca="false">AY435</f>
        <v/>
      </c>
      <c r="DT435" s="28" t="str">
        <f aca="false">BC435</f>
        <v/>
      </c>
      <c r="DU435" s="28" t="str">
        <f aca="false">BG435</f>
        <v/>
      </c>
      <c r="DV435" s="28" t="str">
        <f aca="false">BK435</f>
        <v/>
      </c>
      <c r="DW435" s="28" t="str">
        <f aca="false">BO435</f>
        <v/>
      </c>
      <c r="DX435" s="28" t="str">
        <f aca="false">BS435</f>
        <v/>
      </c>
      <c r="DY435" s="28" t="str">
        <f aca="false">IF(ISNUMBER(S435),1,"")</f>
        <v/>
      </c>
      <c r="DZ435" s="28" t="str">
        <f aca="false">IF(ISNUMBER(W435),2,"")</f>
        <v/>
      </c>
      <c r="EA435" s="28" t="str">
        <f aca="false">IF(ISNUMBER(AA435),3,"")</f>
        <v/>
      </c>
      <c r="EB435" s="28" t="str">
        <f aca="false">IF(ISNUMBER(AE435),4,"")</f>
        <v/>
      </c>
      <c r="EC435" s="28" t="str">
        <f aca="false">IF(ISNUMBER(AI435),5,"")</f>
        <v/>
      </c>
      <c r="ED435" s="28" t="str">
        <f aca="false">IF(ISNUMBER(AM435),6,"")</f>
        <v/>
      </c>
      <c r="EE435" s="28" t="str">
        <f aca="false">IF(ISNUMBER(AQ435),7,"")</f>
        <v/>
      </c>
      <c r="EF435" s="28" t="str">
        <f aca="false">IF(ISNUMBER(AU435),8,"")</f>
        <v/>
      </c>
      <c r="EG435" s="28" t="str">
        <f aca="false">IF(ISNUMBER(AY435),9,"")</f>
        <v/>
      </c>
      <c r="EH435" s="28" t="str">
        <f aca="false">IF(ISNUMBER(BC435),10,"")</f>
        <v/>
      </c>
      <c r="EI435" s="28" t="str">
        <f aca="false">IF(ISNUMBER(BG435),11,"")</f>
        <v/>
      </c>
      <c r="EJ435" s="28" t="str">
        <f aca="false">IF(ISNUMBER(BK435),12,"")</f>
        <v/>
      </c>
      <c r="EK435" s="28" t="str">
        <f aca="false">IF(ISNUMBER(BO435),13,"")</f>
        <v/>
      </c>
      <c r="EL435" s="28" t="str">
        <f aca="false">IF(ISNUMBER(BS435),14,"")</f>
        <v/>
      </c>
      <c r="EM435" s="28" t="n">
        <f aca="false">IF(ISNUMBER(R435),R435*CW435,0)</f>
        <v>0</v>
      </c>
      <c r="EN435" s="28" t="n">
        <f aca="false">IF(ISNUMBER(V435),V435*CX435,0)</f>
        <v>0</v>
      </c>
      <c r="EO435" s="28" t="n">
        <f aca="false">IF(ISNUMBER(Z435),Z435*CY435,0)</f>
        <v>0</v>
      </c>
      <c r="EP435" s="28" t="n">
        <f aca="false">IF(ISNUMBER(AD435),AD435*CZ435,0)</f>
        <v>0</v>
      </c>
      <c r="EQ435" s="28" t="n">
        <f aca="false">IF(ISNUMBER(AH435),AH435*DA435,0)</f>
        <v>0</v>
      </c>
      <c r="ER435" s="28" t="n">
        <f aca="false">IF(ISNUMBER(AL435),AL435*DB435,0)</f>
        <v>0</v>
      </c>
      <c r="ES435" s="28" t="n">
        <f aca="false">IF(ISNUMBER(AP435),AP435*DC435,0)</f>
        <v>0</v>
      </c>
      <c r="ET435" s="28" t="n">
        <f aca="false">IF(ISNUMBER(AT435),AT435*DD435,0)</f>
        <v>0</v>
      </c>
      <c r="EU435" s="28" t="n">
        <f aca="false">IF(ISNUMBER(AX435),AX435*DE435,0)</f>
        <v>0</v>
      </c>
      <c r="EV435" s="28" t="n">
        <f aca="false">IF(ISNUMBER(BB435),BB435*DF435,0)</f>
        <v>0</v>
      </c>
      <c r="EW435" s="28" t="n">
        <f aca="false">IF(ISNUMBER(BF435),BF435*DG435,0)</f>
        <v>0</v>
      </c>
      <c r="EX435" s="28" t="n">
        <f aca="false">IF(ISNUMBER(BJ435),BJ435*DH435,0)</f>
        <v>0</v>
      </c>
      <c r="EY435" s="28" t="n">
        <f aca="false">IF(ISNUMBER(BN435),BN435*DI435,0)</f>
        <v>0</v>
      </c>
      <c r="EZ435" s="28" t="n">
        <f aca="false">IF(ISNUMBER(BR435),BR435*DJ435,0)</f>
        <v>0</v>
      </c>
      <c r="FA435" s="28" t="n">
        <f aca="false">IF(ISNUMBER(R435),CW435,0)</f>
        <v>0</v>
      </c>
      <c r="FB435" s="28" t="n">
        <f aca="false">IF(ISNUMBER(V435),CX435,0)</f>
        <v>0</v>
      </c>
      <c r="FC435" s="28" t="n">
        <f aca="false">IF(ISNUMBER(Z435),CY435,0)</f>
        <v>0</v>
      </c>
      <c r="FD435" s="28" t="n">
        <f aca="false">IF(ISNUMBER(AD435),CZ435,0)</f>
        <v>0</v>
      </c>
      <c r="FE435" s="28" t="n">
        <f aca="false">IF(ISNUMBER(AH435),DA435,0)</f>
        <v>0</v>
      </c>
      <c r="FF435" s="28" t="n">
        <f aca="false">IF(ISNUMBER(AL435),DB435,0)</f>
        <v>0</v>
      </c>
      <c r="FG435" s="28" t="n">
        <f aca="false">IF(ISNUMBER(AP435),DC435,0)</f>
        <v>0</v>
      </c>
      <c r="FH435" s="28" t="n">
        <f aca="false">IF(ISNUMBER(AT435),DD435,0)</f>
        <v>0</v>
      </c>
      <c r="FI435" s="28" t="n">
        <f aca="false">IF(ISNUMBER(AX435),DE435,0)</f>
        <v>0</v>
      </c>
      <c r="FJ435" s="28" t="n">
        <f aca="false">IF(ISNUMBER(BB435),DF435,0)</f>
        <v>0</v>
      </c>
      <c r="FK435" s="28" t="n">
        <f aca="false">IF(ISNUMBER(BF435),DG435,0)</f>
        <v>0</v>
      </c>
      <c r="FL435" s="28" t="n">
        <f aca="false">IF(ISNUMBER(BJ435),DH435,0)</f>
        <v>0</v>
      </c>
      <c r="FM435" s="28" t="n">
        <f aca="false">IF(ISNUMBER(BN435),DI435,0)</f>
        <v>0</v>
      </c>
      <c r="FN435" s="28" t="n">
        <f aca="false">IF(ISNUMBER(BR435),DJ435,0)</f>
        <v>0</v>
      </c>
      <c r="FO435" s="28" t="str">
        <f aca="false">IFERROR(INDEX(Lists!$G$2:$G$20,MATCH($I435&amp;"|"&amp;$J435,Lists!$F$2:$F$20,0)),"")</f>
        <v/>
      </c>
    </row>
    <row r="436" customFormat="false" ht="19.5" hidden="false" customHeight="true" outlineLevel="0" collapsed="false">
      <c r="A436" s="29"/>
      <c r="B436" s="29"/>
      <c r="C436" s="30"/>
      <c r="D436" s="30"/>
      <c r="E436" s="31"/>
      <c r="F436" s="30"/>
      <c r="G436" s="30"/>
      <c r="H436" s="32"/>
      <c r="I436" s="33"/>
      <c r="J436" s="32"/>
      <c r="K436" s="34" t="str">
        <f aca="false">IF(OR(M436="",$E436=""),"",M436-$E436)</f>
        <v/>
      </c>
      <c r="L436" s="35" t="str">
        <f aca="false">IF(SUM(FA436:FN436)=0,"",SUM(EM436:EZ436)/SUM(FA436:FN436))</f>
        <v/>
      </c>
      <c r="M436" s="36" t="str">
        <f aca="false">IF(OR(L436="",FO436=""),"",IFERROR(MATCH(L436,INDEX(Boundaries!$B$2:$I$30,MATCH(FO436,Boundaries!$A$2:$A$30,0),0),1)-1,""))</f>
        <v/>
      </c>
      <c r="N436" s="37" t="str">
        <f aca="false">IF(COUNT($DY436:$EL436)&lt;2,"",INDEX($DK436:$DX436,MAX($DY436:$EL436))-INDEX($DK436:$DX436,MIN($DY436:$EL436)))</f>
        <v/>
      </c>
      <c r="O436" s="37" t="str">
        <f aca="false">IF(COUNT($DY436:$EL436)&lt;2,"",INDEX($DK436:$DX436,MAX($DY436:$EL436))-INDEX($DK436:$DX436,LARGE($DY436:$EL436,2)))</f>
        <v/>
      </c>
      <c r="P436" s="38" t="str">
        <f aca="false">IF(K436="","",IF(K436&gt;=0,"On/above target",IF(AND(N436&lt;&gt;"",N436&gt;=0.5),"Improving towards target",IF(AND(O436&lt;&gt;"",O436&lt;=-0.5),"Declining","Stable below target"))))</f>
        <v/>
      </c>
      <c r="Q436" s="39"/>
      <c r="R436" s="40" t="str">
        <f aca="false">IF(OR(Q436="",BU436=""),"",Q436/BU436*100)</f>
        <v/>
      </c>
      <c r="S436" s="41" t="str">
        <f aca="false">IF(R436="","",IFERROR(MATCH(R436,INDEX(Boundaries!$B$2:$I$30,MATCH(CI436,Boundaries!$A$2:$A$30,0),0),1)-1,""))</f>
        <v/>
      </c>
      <c r="T436" s="42" t="str">
        <f aca="false">IF(OR(S436="",$E436=""),"",S436-$E436)</f>
        <v/>
      </c>
      <c r="U436" s="39"/>
      <c r="V436" s="40" t="str">
        <f aca="false">IF(OR(U436="",BV436=""),"",U436/BV436*100)</f>
        <v/>
      </c>
      <c r="W436" s="41" t="str">
        <f aca="false">IF(V436="","",IFERROR(MATCH(V436,INDEX(Boundaries!$B$2:$I$30,MATCH(CJ436,Boundaries!$A$2:$A$30,0),0),1)-1,""))</f>
        <v/>
      </c>
      <c r="X436" s="42" t="str">
        <f aca="false">IF(OR(W436="",$E436=""),"",W436-$E436)</f>
        <v/>
      </c>
      <c r="Y436" s="39"/>
      <c r="Z436" s="40" t="str">
        <f aca="false">IF(OR(Y436="",BW436=""),"",Y436/BW436*100)</f>
        <v/>
      </c>
      <c r="AA436" s="41" t="str">
        <f aca="false">IF(Z436="","",IFERROR(MATCH(Z436,INDEX(Boundaries!$B$2:$I$30,MATCH(CK436,Boundaries!$A$2:$A$30,0),0),1)-1,""))</f>
        <v/>
      </c>
      <c r="AB436" s="42" t="str">
        <f aca="false">IF(OR(AA436="",$E436=""),"",AA436-$E436)</f>
        <v/>
      </c>
      <c r="AC436" s="39"/>
      <c r="AD436" s="40" t="str">
        <f aca="false">IF(OR(AC436="",BX436=""),"",AC436/BX436*100)</f>
        <v/>
      </c>
      <c r="AE436" s="41" t="str">
        <f aca="false">IF(AD436="","",IFERROR(MATCH(AD436,INDEX(Boundaries!$B$2:$I$30,MATCH(CL436,Boundaries!$A$2:$A$30,0),0),1)-1,""))</f>
        <v/>
      </c>
      <c r="AF436" s="42" t="str">
        <f aca="false">IF(OR(AE436="",$E436=""),"",AE436-$E436)</f>
        <v/>
      </c>
      <c r="AG436" s="39"/>
      <c r="AH436" s="40" t="str">
        <f aca="false">IF(OR(AG436="",BY436=""),"",AG436/BY436*100)</f>
        <v/>
      </c>
      <c r="AI436" s="41" t="str">
        <f aca="false">IF(AH436="","",IFERROR(MATCH(AH436,INDEX(Boundaries!$B$2:$I$30,MATCH(CM436,Boundaries!$A$2:$A$30,0),0),1)-1,""))</f>
        <v/>
      </c>
      <c r="AJ436" s="42" t="str">
        <f aca="false">IF(OR(AI436="",$E436=""),"",AI436-$E436)</f>
        <v/>
      </c>
      <c r="AK436" s="39"/>
      <c r="AL436" s="40" t="str">
        <f aca="false">IF(OR(AK436="",BZ436=""),"",AK436/BZ436*100)</f>
        <v/>
      </c>
      <c r="AM436" s="41" t="str">
        <f aca="false">IF(AL436="","",IFERROR(MATCH(AL436,INDEX(Boundaries!$B$2:$I$30,MATCH(CN436,Boundaries!$A$2:$A$30,0),0),1)-1,""))</f>
        <v/>
      </c>
      <c r="AN436" s="42" t="str">
        <f aca="false">IF(OR(AM436="",$E436=""),"",AM436-$E436)</f>
        <v/>
      </c>
      <c r="AO436" s="39"/>
      <c r="AP436" s="40" t="str">
        <f aca="false">IF(OR(AO436="",CA436=""),"",AO436/CA436*100)</f>
        <v/>
      </c>
      <c r="AQ436" s="41" t="str">
        <f aca="false">IF(AP436="","",IFERROR(MATCH(AP436,INDEX(Boundaries!$B$2:$I$30,MATCH(CO436,Boundaries!$A$2:$A$30,0),0),1)-1,""))</f>
        <v/>
      </c>
      <c r="AR436" s="42" t="str">
        <f aca="false">IF(OR(AQ436="",$E436=""),"",AQ436-$E436)</f>
        <v/>
      </c>
      <c r="AS436" s="39"/>
      <c r="AT436" s="40" t="str">
        <f aca="false">IF(OR(AS436="",CB436=""),"",AS436/CB436*100)</f>
        <v/>
      </c>
      <c r="AU436" s="41" t="str">
        <f aca="false">IF(AT436="","",IFERROR(MATCH(AT436,INDEX(Boundaries!$B$2:$I$30,MATCH(CP436,Boundaries!$A$2:$A$30,0),0),1)-1,""))</f>
        <v/>
      </c>
      <c r="AV436" s="42" t="str">
        <f aca="false">IF(OR(AU436="",$E436=""),"",AU436-$E436)</f>
        <v/>
      </c>
      <c r="AW436" s="39"/>
      <c r="AX436" s="40" t="str">
        <f aca="false">IF(OR(AW436="",CC436=""),"",AW436/CC436*100)</f>
        <v/>
      </c>
      <c r="AY436" s="41" t="str">
        <f aca="false">IF(AX436="","",IFERROR(MATCH(AX436,INDEX(Boundaries!$B$2:$I$30,MATCH(CQ436,Boundaries!$A$2:$A$30,0),0),1)-1,""))</f>
        <v/>
      </c>
      <c r="AZ436" s="42" t="str">
        <f aca="false">IF(OR(AY436="",$E436=""),"",AY436-$E436)</f>
        <v/>
      </c>
      <c r="BA436" s="39"/>
      <c r="BB436" s="40" t="str">
        <f aca="false">IF(OR(BA436="",CD436=""),"",BA436/CD436*100)</f>
        <v/>
      </c>
      <c r="BC436" s="41" t="str">
        <f aca="false">IF(BB436="","",IFERROR(MATCH(BB436,INDEX(Boundaries!$B$2:$I$30,MATCH(CR436,Boundaries!$A$2:$A$30,0),0),1)-1,""))</f>
        <v/>
      </c>
      <c r="BD436" s="42" t="str">
        <f aca="false">IF(OR(BC436="",$E436=""),"",BC436-$E436)</f>
        <v/>
      </c>
      <c r="BE436" s="39"/>
      <c r="BF436" s="40" t="str">
        <f aca="false">IF(OR(BE436="",CE436=""),"",BE436/CE436*100)</f>
        <v/>
      </c>
      <c r="BG436" s="41" t="str">
        <f aca="false">IF(BF436="","",IFERROR(MATCH(BF436,INDEX(Boundaries!$B$2:$I$30,MATCH(CS436,Boundaries!$A$2:$A$30,0),0),1)-1,""))</f>
        <v/>
      </c>
      <c r="BH436" s="42" t="str">
        <f aca="false">IF(OR(BG436="",$E436=""),"",BG436-$E436)</f>
        <v/>
      </c>
      <c r="BI436" s="39"/>
      <c r="BJ436" s="40" t="str">
        <f aca="false">IF(OR(BI436="",CF436=""),"",BI436/CF436*100)</f>
        <v/>
      </c>
      <c r="BK436" s="41" t="str">
        <f aca="false">IF(BJ436="","",IFERROR(MATCH(BJ436,INDEX(Boundaries!$B$2:$I$30,MATCH(CT436,Boundaries!$A$2:$A$30,0),0),1)-1,""))</f>
        <v/>
      </c>
      <c r="BL436" s="42" t="str">
        <f aca="false">IF(OR(BK436="",$E436=""),"",BK436-$E436)</f>
        <v/>
      </c>
      <c r="BM436" s="39"/>
      <c r="BN436" s="40" t="str">
        <f aca="false">IF(OR(BM436="",CG436=""),"",BM436/CG436*100)</f>
        <v/>
      </c>
      <c r="BO436" s="41" t="str">
        <f aca="false">IF(BN436="","",IFERROR(MATCH(BN436,INDEX(Boundaries!$B$2:$I$30,MATCH(CU436,Boundaries!$A$2:$A$30,0),0),1)-1,""))</f>
        <v/>
      </c>
      <c r="BP436" s="42" t="str">
        <f aca="false">IF(OR(BO436="",$E436=""),"",BO436-$E436)</f>
        <v/>
      </c>
      <c r="BQ436" s="39"/>
      <c r="BR436" s="40" t="str">
        <f aca="false">IF(OR(BQ436="",CH436=""),"",BQ436/CH436*100)</f>
        <v/>
      </c>
      <c r="BS436" s="41" t="str">
        <f aca="false">IF(BR436="","",IFERROR(MATCH(BR436,INDEX(Boundaries!$B$2:$I$30,MATCH(CV436,Boundaries!$A$2:$A$30,0),0),1)-1,""))</f>
        <v/>
      </c>
      <c r="BT436" s="42" t="str">
        <f aca="false">IF(OR(BS436="",$E436=""),"",BS436-$E436)</f>
        <v/>
      </c>
      <c r="BU436" s="28" t="str">
        <f aca="false">IFERROR(INDEX(Assessments!$H$2:$H$600,MATCH($H436&amp;"|"&amp;$I436&amp;"|"&amp;$J436&amp;"|"&amp;1,Assessments!$A$2:$A$600,0)),"")</f>
        <v/>
      </c>
      <c r="BV436" s="28" t="str">
        <f aca="false">IFERROR(INDEX(Assessments!$H$2:$H$600,MATCH($H436&amp;"|"&amp;$I436&amp;"|"&amp;$J436&amp;"|"&amp;2,Assessments!$A$2:$A$600,0)),"")</f>
        <v/>
      </c>
      <c r="BW436" s="28" t="str">
        <f aca="false">IFERROR(INDEX(Assessments!$H$2:$H$600,MATCH($H436&amp;"|"&amp;$I436&amp;"|"&amp;$J436&amp;"|"&amp;3,Assessments!$A$2:$A$600,0)),"")</f>
        <v/>
      </c>
      <c r="BX436" s="28" t="str">
        <f aca="false">IFERROR(INDEX(Assessments!$H$2:$H$600,MATCH($H436&amp;"|"&amp;$I436&amp;"|"&amp;$J436&amp;"|"&amp;4,Assessments!$A$2:$A$600,0)),"")</f>
        <v/>
      </c>
      <c r="BY436" s="28" t="str">
        <f aca="false">IFERROR(INDEX(Assessments!$H$2:$H$600,MATCH($H436&amp;"|"&amp;$I436&amp;"|"&amp;$J436&amp;"|"&amp;5,Assessments!$A$2:$A$600,0)),"")</f>
        <v/>
      </c>
      <c r="BZ436" s="28" t="str">
        <f aca="false">IFERROR(INDEX(Assessments!$H$2:$H$600,MATCH($H436&amp;"|"&amp;$I436&amp;"|"&amp;$J436&amp;"|"&amp;6,Assessments!$A$2:$A$600,0)),"")</f>
        <v/>
      </c>
      <c r="CA436" s="28" t="str">
        <f aca="false">IFERROR(INDEX(Assessments!$H$2:$H$600,MATCH($H436&amp;"|"&amp;$I436&amp;"|"&amp;$J436&amp;"|"&amp;7,Assessments!$A$2:$A$600,0)),"")</f>
        <v/>
      </c>
      <c r="CB436" s="28" t="str">
        <f aca="false">IFERROR(INDEX(Assessments!$H$2:$H$600,MATCH($H436&amp;"|"&amp;$I436&amp;"|"&amp;$J436&amp;"|"&amp;8,Assessments!$A$2:$A$600,0)),"")</f>
        <v/>
      </c>
      <c r="CC436" s="28" t="str">
        <f aca="false">IFERROR(INDEX(Assessments!$H$2:$H$600,MATCH($H436&amp;"|"&amp;$I436&amp;"|"&amp;$J436&amp;"|"&amp;9,Assessments!$A$2:$A$600,0)),"")</f>
        <v/>
      </c>
      <c r="CD436" s="28" t="str">
        <f aca="false">IFERROR(INDEX(Assessments!$H$2:$H$600,MATCH($H436&amp;"|"&amp;$I436&amp;"|"&amp;$J436&amp;"|"&amp;10,Assessments!$A$2:$A$600,0)),"")</f>
        <v/>
      </c>
      <c r="CE436" s="28" t="str">
        <f aca="false">IFERROR(INDEX(Assessments!$H$2:$H$600,MATCH($H436&amp;"|"&amp;$I436&amp;"|"&amp;$J436&amp;"|"&amp;11,Assessments!$A$2:$A$600,0)),"")</f>
        <v/>
      </c>
      <c r="CF436" s="28" t="str">
        <f aca="false">IFERROR(INDEX(Assessments!$H$2:$H$600,MATCH($H436&amp;"|"&amp;$I436&amp;"|"&amp;$J436&amp;"|"&amp;12,Assessments!$A$2:$A$600,0)),"")</f>
        <v/>
      </c>
      <c r="CG436" s="28" t="str">
        <f aca="false">IFERROR(INDEX(Assessments!$H$2:$H$600,MATCH($H436&amp;"|"&amp;$I436&amp;"|"&amp;$J436&amp;"|"&amp;13,Assessments!$A$2:$A$600,0)),"")</f>
        <v/>
      </c>
      <c r="CH436" s="28" t="str">
        <f aca="false">IFERROR(INDEX(Assessments!$H$2:$H$600,MATCH($H436&amp;"|"&amp;$I436&amp;"|"&amp;$J436&amp;"|"&amp;14,Assessments!$A$2:$A$600,0)),"")</f>
        <v/>
      </c>
      <c r="CI436" s="28" t="str">
        <f aca="false">IFERROR(INDEX(Assessments!$I$2:$I$600,MATCH($H436&amp;"|"&amp;$I436&amp;"|"&amp;$J436&amp;"|"&amp;1,Assessments!$A$2:$A$600,0)),"")</f>
        <v/>
      </c>
      <c r="CJ436" s="28" t="str">
        <f aca="false">IFERROR(INDEX(Assessments!$I$2:$I$600,MATCH($H436&amp;"|"&amp;$I436&amp;"|"&amp;$J436&amp;"|"&amp;2,Assessments!$A$2:$A$600,0)),"")</f>
        <v/>
      </c>
      <c r="CK436" s="28" t="str">
        <f aca="false">IFERROR(INDEX(Assessments!$I$2:$I$600,MATCH($H436&amp;"|"&amp;$I436&amp;"|"&amp;$J436&amp;"|"&amp;3,Assessments!$A$2:$A$600,0)),"")</f>
        <v/>
      </c>
      <c r="CL436" s="28" t="str">
        <f aca="false">IFERROR(INDEX(Assessments!$I$2:$I$600,MATCH($H436&amp;"|"&amp;$I436&amp;"|"&amp;$J436&amp;"|"&amp;4,Assessments!$A$2:$A$600,0)),"")</f>
        <v/>
      </c>
      <c r="CM436" s="28" t="str">
        <f aca="false">IFERROR(INDEX(Assessments!$I$2:$I$600,MATCH($H436&amp;"|"&amp;$I436&amp;"|"&amp;$J436&amp;"|"&amp;5,Assessments!$A$2:$A$600,0)),"")</f>
        <v/>
      </c>
      <c r="CN436" s="28" t="str">
        <f aca="false">IFERROR(INDEX(Assessments!$I$2:$I$600,MATCH($H436&amp;"|"&amp;$I436&amp;"|"&amp;$J436&amp;"|"&amp;6,Assessments!$A$2:$A$600,0)),"")</f>
        <v/>
      </c>
      <c r="CO436" s="28" t="str">
        <f aca="false">IFERROR(INDEX(Assessments!$I$2:$I$600,MATCH($H436&amp;"|"&amp;$I436&amp;"|"&amp;$J436&amp;"|"&amp;7,Assessments!$A$2:$A$600,0)),"")</f>
        <v/>
      </c>
      <c r="CP436" s="28" t="str">
        <f aca="false">IFERROR(INDEX(Assessments!$I$2:$I$600,MATCH($H436&amp;"|"&amp;$I436&amp;"|"&amp;$J436&amp;"|"&amp;8,Assessments!$A$2:$A$600,0)),"")</f>
        <v/>
      </c>
      <c r="CQ436" s="28" t="str">
        <f aca="false">IFERROR(INDEX(Assessments!$I$2:$I$600,MATCH($H436&amp;"|"&amp;$I436&amp;"|"&amp;$J436&amp;"|"&amp;9,Assessments!$A$2:$A$600,0)),"")</f>
        <v/>
      </c>
      <c r="CR436" s="28" t="str">
        <f aca="false">IFERROR(INDEX(Assessments!$I$2:$I$600,MATCH($H436&amp;"|"&amp;$I436&amp;"|"&amp;$J436&amp;"|"&amp;10,Assessments!$A$2:$A$600,0)),"")</f>
        <v/>
      </c>
      <c r="CS436" s="28" t="str">
        <f aca="false">IFERROR(INDEX(Assessments!$I$2:$I$600,MATCH($H436&amp;"|"&amp;$I436&amp;"|"&amp;$J436&amp;"|"&amp;11,Assessments!$A$2:$A$600,0)),"")</f>
        <v/>
      </c>
      <c r="CT436" s="28" t="str">
        <f aca="false">IFERROR(INDEX(Assessments!$I$2:$I$600,MATCH($H436&amp;"|"&amp;$I436&amp;"|"&amp;$J436&amp;"|"&amp;12,Assessments!$A$2:$A$600,0)),"")</f>
        <v/>
      </c>
      <c r="CU436" s="28" t="str">
        <f aca="false">IFERROR(INDEX(Assessments!$I$2:$I$600,MATCH($H436&amp;"|"&amp;$I436&amp;"|"&amp;$J436&amp;"|"&amp;13,Assessments!$A$2:$A$600,0)),"")</f>
        <v/>
      </c>
      <c r="CV436" s="28" t="str">
        <f aca="false">IFERROR(INDEX(Assessments!$I$2:$I$600,MATCH($H436&amp;"|"&amp;$I436&amp;"|"&amp;$J436&amp;"|"&amp;14,Assessments!$A$2:$A$600,0)),"")</f>
        <v/>
      </c>
      <c r="CW436" s="28" t="n">
        <f aca="false">IFERROR(INDEX(Assessments!$J$2:$J$600,MATCH($H436&amp;"|"&amp;$I436&amp;"|"&amp;$J436&amp;"|"&amp;1,Assessments!$A$2:$A$600,0)),0)</f>
        <v>0</v>
      </c>
      <c r="CX436" s="28" t="n">
        <f aca="false">IFERROR(INDEX(Assessments!$J$2:$J$600,MATCH($H436&amp;"|"&amp;$I436&amp;"|"&amp;$J436&amp;"|"&amp;2,Assessments!$A$2:$A$600,0)),0)</f>
        <v>0</v>
      </c>
      <c r="CY436" s="28" t="n">
        <f aca="false">IFERROR(INDEX(Assessments!$J$2:$J$600,MATCH($H436&amp;"|"&amp;$I436&amp;"|"&amp;$J436&amp;"|"&amp;3,Assessments!$A$2:$A$600,0)),0)</f>
        <v>0</v>
      </c>
      <c r="CZ436" s="28" t="n">
        <f aca="false">IFERROR(INDEX(Assessments!$J$2:$J$600,MATCH($H436&amp;"|"&amp;$I436&amp;"|"&amp;$J436&amp;"|"&amp;4,Assessments!$A$2:$A$600,0)),0)</f>
        <v>0</v>
      </c>
      <c r="DA436" s="28" t="n">
        <f aca="false">IFERROR(INDEX(Assessments!$J$2:$J$600,MATCH($H436&amp;"|"&amp;$I436&amp;"|"&amp;$J436&amp;"|"&amp;5,Assessments!$A$2:$A$600,0)),0)</f>
        <v>0</v>
      </c>
      <c r="DB436" s="28" t="n">
        <f aca="false">IFERROR(INDEX(Assessments!$J$2:$J$600,MATCH($H436&amp;"|"&amp;$I436&amp;"|"&amp;$J436&amp;"|"&amp;6,Assessments!$A$2:$A$600,0)),0)</f>
        <v>0</v>
      </c>
      <c r="DC436" s="28" t="n">
        <f aca="false">IFERROR(INDEX(Assessments!$J$2:$J$600,MATCH($H436&amp;"|"&amp;$I436&amp;"|"&amp;$J436&amp;"|"&amp;7,Assessments!$A$2:$A$600,0)),0)</f>
        <v>0</v>
      </c>
      <c r="DD436" s="28" t="n">
        <f aca="false">IFERROR(INDEX(Assessments!$J$2:$J$600,MATCH($H436&amp;"|"&amp;$I436&amp;"|"&amp;$J436&amp;"|"&amp;8,Assessments!$A$2:$A$600,0)),0)</f>
        <v>0</v>
      </c>
      <c r="DE436" s="28" t="n">
        <f aca="false">IFERROR(INDEX(Assessments!$J$2:$J$600,MATCH($H436&amp;"|"&amp;$I436&amp;"|"&amp;$J436&amp;"|"&amp;9,Assessments!$A$2:$A$600,0)),0)</f>
        <v>0</v>
      </c>
      <c r="DF436" s="28" t="n">
        <f aca="false">IFERROR(INDEX(Assessments!$J$2:$J$600,MATCH($H436&amp;"|"&amp;$I436&amp;"|"&amp;$J436&amp;"|"&amp;10,Assessments!$A$2:$A$600,0)),0)</f>
        <v>0</v>
      </c>
      <c r="DG436" s="28" t="n">
        <f aca="false">IFERROR(INDEX(Assessments!$J$2:$J$600,MATCH($H436&amp;"|"&amp;$I436&amp;"|"&amp;$J436&amp;"|"&amp;11,Assessments!$A$2:$A$600,0)),0)</f>
        <v>0</v>
      </c>
      <c r="DH436" s="28" t="n">
        <f aca="false">IFERROR(INDEX(Assessments!$J$2:$J$600,MATCH($H436&amp;"|"&amp;$I436&amp;"|"&amp;$J436&amp;"|"&amp;12,Assessments!$A$2:$A$600,0)),0)</f>
        <v>0</v>
      </c>
      <c r="DI436" s="28" t="n">
        <f aca="false">IFERROR(INDEX(Assessments!$J$2:$J$600,MATCH($H436&amp;"|"&amp;$I436&amp;"|"&amp;$J436&amp;"|"&amp;13,Assessments!$A$2:$A$600,0)),0)</f>
        <v>0</v>
      </c>
      <c r="DJ436" s="28" t="n">
        <f aca="false">IFERROR(INDEX(Assessments!$J$2:$J$600,MATCH($H436&amp;"|"&amp;$I436&amp;"|"&amp;$J436&amp;"|"&amp;14,Assessments!$A$2:$A$600,0)),0)</f>
        <v>0</v>
      </c>
      <c r="DK436" s="28" t="str">
        <f aca="false">S436</f>
        <v/>
      </c>
      <c r="DL436" s="28" t="str">
        <f aca="false">W436</f>
        <v/>
      </c>
      <c r="DM436" s="28" t="str">
        <f aca="false">AA436</f>
        <v/>
      </c>
      <c r="DN436" s="28" t="str">
        <f aca="false">AE436</f>
        <v/>
      </c>
      <c r="DO436" s="28" t="str">
        <f aca="false">AI436</f>
        <v/>
      </c>
      <c r="DP436" s="28" t="str">
        <f aca="false">AM436</f>
        <v/>
      </c>
      <c r="DQ436" s="28" t="str">
        <f aca="false">AQ436</f>
        <v/>
      </c>
      <c r="DR436" s="28" t="str">
        <f aca="false">AU436</f>
        <v/>
      </c>
      <c r="DS436" s="28" t="str">
        <f aca="false">AY436</f>
        <v/>
      </c>
      <c r="DT436" s="28" t="str">
        <f aca="false">BC436</f>
        <v/>
      </c>
      <c r="DU436" s="28" t="str">
        <f aca="false">BG436</f>
        <v/>
      </c>
      <c r="DV436" s="28" t="str">
        <f aca="false">BK436</f>
        <v/>
      </c>
      <c r="DW436" s="28" t="str">
        <f aca="false">BO436</f>
        <v/>
      </c>
      <c r="DX436" s="28" t="str">
        <f aca="false">BS436</f>
        <v/>
      </c>
      <c r="DY436" s="28" t="str">
        <f aca="false">IF(ISNUMBER(S436),1,"")</f>
        <v/>
      </c>
      <c r="DZ436" s="28" t="str">
        <f aca="false">IF(ISNUMBER(W436),2,"")</f>
        <v/>
      </c>
      <c r="EA436" s="28" t="str">
        <f aca="false">IF(ISNUMBER(AA436),3,"")</f>
        <v/>
      </c>
      <c r="EB436" s="28" t="str">
        <f aca="false">IF(ISNUMBER(AE436),4,"")</f>
        <v/>
      </c>
      <c r="EC436" s="28" t="str">
        <f aca="false">IF(ISNUMBER(AI436),5,"")</f>
        <v/>
      </c>
      <c r="ED436" s="28" t="str">
        <f aca="false">IF(ISNUMBER(AM436),6,"")</f>
        <v/>
      </c>
      <c r="EE436" s="28" t="str">
        <f aca="false">IF(ISNUMBER(AQ436),7,"")</f>
        <v/>
      </c>
      <c r="EF436" s="28" t="str">
        <f aca="false">IF(ISNUMBER(AU436),8,"")</f>
        <v/>
      </c>
      <c r="EG436" s="28" t="str">
        <f aca="false">IF(ISNUMBER(AY436),9,"")</f>
        <v/>
      </c>
      <c r="EH436" s="28" t="str">
        <f aca="false">IF(ISNUMBER(BC436),10,"")</f>
        <v/>
      </c>
      <c r="EI436" s="28" t="str">
        <f aca="false">IF(ISNUMBER(BG436),11,"")</f>
        <v/>
      </c>
      <c r="EJ436" s="28" t="str">
        <f aca="false">IF(ISNUMBER(BK436),12,"")</f>
        <v/>
      </c>
      <c r="EK436" s="28" t="str">
        <f aca="false">IF(ISNUMBER(BO436),13,"")</f>
        <v/>
      </c>
      <c r="EL436" s="28" t="str">
        <f aca="false">IF(ISNUMBER(BS436),14,"")</f>
        <v/>
      </c>
      <c r="EM436" s="28" t="n">
        <f aca="false">IF(ISNUMBER(R436),R436*CW436,0)</f>
        <v>0</v>
      </c>
      <c r="EN436" s="28" t="n">
        <f aca="false">IF(ISNUMBER(V436),V436*CX436,0)</f>
        <v>0</v>
      </c>
      <c r="EO436" s="28" t="n">
        <f aca="false">IF(ISNUMBER(Z436),Z436*CY436,0)</f>
        <v>0</v>
      </c>
      <c r="EP436" s="28" t="n">
        <f aca="false">IF(ISNUMBER(AD436),AD436*CZ436,0)</f>
        <v>0</v>
      </c>
      <c r="EQ436" s="28" t="n">
        <f aca="false">IF(ISNUMBER(AH436),AH436*DA436,0)</f>
        <v>0</v>
      </c>
      <c r="ER436" s="28" t="n">
        <f aca="false">IF(ISNUMBER(AL436),AL436*DB436,0)</f>
        <v>0</v>
      </c>
      <c r="ES436" s="28" t="n">
        <f aca="false">IF(ISNUMBER(AP436),AP436*DC436,0)</f>
        <v>0</v>
      </c>
      <c r="ET436" s="28" t="n">
        <f aca="false">IF(ISNUMBER(AT436),AT436*DD436,0)</f>
        <v>0</v>
      </c>
      <c r="EU436" s="28" t="n">
        <f aca="false">IF(ISNUMBER(AX436),AX436*DE436,0)</f>
        <v>0</v>
      </c>
      <c r="EV436" s="28" t="n">
        <f aca="false">IF(ISNUMBER(BB436),BB436*DF436,0)</f>
        <v>0</v>
      </c>
      <c r="EW436" s="28" t="n">
        <f aca="false">IF(ISNUMBER(BF436),BF436*DG436,0)</f>
        <v>0</v>
      </c>
      <c r="EX436" s="28" t="n">
        <f aca="false">IF(ISNUMBER(BJ436),BJ436*DH436,0)</f>
        <v>0</v>
      </c>
      <c r="EY436" s="28" t="n">
        <f aca="false">IF(ISNUMBER(BN436),BN436*DI436,0)</f>
        <v>0</v>
      </c>
      <c r="EZ436" s="28" t="n">
        <f aca="false">IF(ISNUMBER(BR436),BR436*DJ436,0)</f>
        <v>0</v>
      </c>
      <c r="FA436" s="28" t="n">
        <f aca="false">IF(ISNUMBER(R436),CW436,0)</f>
        <v>0</v>
      </c>
      <c r="FB436" s="28" t="n">
        <f aca="false">IF(ISNUMBER(V436),CX436,0)</f>
        <v>0</v>
      </c>
      <c r="FC436" s="28" t="n">
        <f aca="false">IF(ISNUMBER(Z436),CY436,0)</f>
        <v>0</v>
      </c>
      <c r="FD436" s="28" t="n">
        <f aca="false">IF(ISNUMBER(AD436),CZ436,0)</f>
        <v>0</v>
      </c>
      <c r="FE436" s="28" t="n">
        <f aca="false">IF(ISNUMBER(AH436),DA436,0)</f>
        <v>0</v>
      </c>
      <c r="FF436" s="28" t="n">
        <f aca="false">IF(ISNUMBER(AL436),DB436,0)</f>
        <v>0</v>
      </c>
      <c r="FG436" s="28" t="n">
        <f aca="false">IF(ISNUMBER(AP436),DC436,0)</f>
        <v>0</v>
      </c>
      <c r="FH436" s="28" t="n">
        <f aca="false">IF(ISNUMBER(AT436),DD436,0)</f>
        <v>0</v>
      </c>
      <c r="FI436" s="28" t="n">
        <f aca="false">IF(ISNUMBER(AX436),DE436,0)</f>
        <v>0</v>
      </c>
      <c r="FJ436" s="28" t="n">
        <f aca="false">IF(ISNUMBER(BB436),DF436,0)</f>
        <v>0</v>
      </c>
      <c r="FK436" s="28" t="n">
        <f aca="false">IF(ISNUMBER(BF436),DG436,0)</f>
        <v>0</v>
      </c>
      <c r="FL436" s="28" t="n">
        <f aca="false">IF(ISNUMBER(BJ436),DH436,0)</f>
        <v>0</v>
      </c>
      <c r="FM436" s="28" t="n">
        <f aca="false">IF(ISNUMBER(BN436),DI436,0)</f>
        <v>0</v>
      </c>
      <c r="FN436" s="28" t="n">
        <f aca="false">IF(ISNUMBER(BR436),DJ436,0)</f>
        <v>0</v>
      </c>
      <c r="FO436" s="28" t="str">
        <f aca="false">IFERROR(INDEX(Lists!$G$2:$G$20,MATCH($I436&amp;"|"&amp;$J436,Lists!$F$2:$F$20,0)),"")</f>
        <v/>
      </c>
    </row>
    <row r="437" customFormat="false" ht="19.5" hidden="false" customHeight="true" outlineLevel="0" collapsed="false">
      <c r="A437" s="29"/>
      <c r="B437" s="29"/>
      <c r="C437" s="30"/>
      <c r="D437" s="30"/>
      <c r="E437" s="31"/>
      <c r="F437" s="30"/>
      <c r="G437" s="30"/>
      <c r="H437" s="32"/>
      <c r="I437" s="33"/>
      <c r="J437" s="32"/>
      <c r="K437" s="34" t="str">
        <f aca="false">IF(OR(M437="",$E437=""),"",M437-$E437)</f>
        <v/>
      </c>
      <c r="L437" s="35" t="str">
        <f aca="false">IF(SUM(FA437:FN437)=0,"",SUM(EM437:EZ437)/SUM(FA437:FN437))</f>
        <v/>
      </c>
      <c r="M437" s="36" t="str">
        <f aca="false">IF(OR(L437="",FO437=""),"",IFERROR(MATCH(L437,INDEX(Boundaries!$B$2:$I$30,MATCH(FO437,Boundaries!$A$2:$A$30,0),0),1)-1,""))</f>
        <v/>
      </c>
      <c r="N437" s="37" t="str">
        <f aca="false">IF(COUNT($DY437:$EL437)&lt;2,"",INDEX($DK437:$DX437,MAX($DY437:$EL437))-INDEX($DK437:$DX437,MIN($DY437:$EL437)))</f>
        <v/>
      </c>
      <c r="O437" s="37" t="str">
        <f aca="false">IF(COUNT($DY437:$EL437)&lt;2,"",INDEX($DK437:$DX437,MAX($DY437:$EL437))-INDEX($DK437:$DX437,LARGE($DY437:$EL437,2)))</f>
        <v/>
      </c>
      <c r="P437" s="38" t="str">
        <f aca="false">IF(K437="","",IF(K437&gt;=0,"On/above target",IF(AND(N437&lt;&gt;"",N437&gt;=0.5),"Improving towards target",IF(AND(O437&lt;&gt;"",O437&lt;=-0.5),"Declining","Stable below target"))))</f>
        <v/>
      </c>
      <c r="Q437" s="39"/>
      <c r="R437" s="40" t="str">
        <f aca="false">IF(OR(Q437="",BU437=""),"",Q437/BU437*100)</f>
        <v/>
      </c>
      <c r="S437" s="41" t="str">
        <f aca="false">IF(R437="","",IFERROR(MATCH(R437,INDEX(Boundaries!$B$2:$I$30,MATCH(CI437,Boundaries!$A$2:$A$30,0),0),1)-1,""))</f>
        <v/>
      </c>
      <c r="T437" s="42" t="str">
        <f aca="false">IF(OR(S437="",$E437=""),"",S437-$E437)</f>
        <v/>
      </c>
      <c r="U437" s="39"/>
      <c r="V437" s="40" t="str">
        <f aca="false">IF(OR(U437="",BV437=""),"",U437/BV437*100)</f>
        <v/>
      </c>
      <c r="W437" s="41" t="str">
        <f aca="false">IF(V437="","",IFERROR(MATCH(V437,INDEX(Boundaries!$B$2:$I$30,MATCH(CJ437,Boundaries!$A$2:$A$30,0),0),1)-1,""))</f>
        <v/>
      </c>
      <c r="X437" s="42" t="str">
        <f aca="false">IF(OR(W437="",$E437=""),"",W437-$E437)</f>
        <v/>
      </c>
      <c r="Y437" s="39"/>
      <c r="Z437" s="40" t="str">
        <f aca="false">IF(OR(Y437="",BW437=""),"",Y437/BW437*100)</f>
        <v/>
      </c>
      <c r="AA437" s="41" t="str">
        <f aca="false">IF(Z437="","",IFERROR(MATCH(Z437,INDEX(Boundaries!$B$2:$I$30,MATCH(CK437,Boundaries!$A$2:$A$30,0),0),1)-1,""))</f>
        <v/>
      </c>
      <c r="AB437" s="42" t="str">
        <f aca="false">IF(OR(AA437="",$E437=""),"",AA437-$E437)</f>
        <v/>
      </c>
      <c r="AC437" s="39"/>
      <c r="AD437" s="40" t="str">
        <f aca="false">IF(OR(AC437="",BX437=""),"",AC437/BX437*100)</f>
        <v/>
      </c>
      <c r="AE437" s="41" t="str">
        <f aca="false">IF(AD437="","",IFERROR(MATCH(AD437,INDEX(Boundaries!$B$2:$I$30,MATCH(CL437,Boundaries!$A$2:$A$30,0),0),1)-1,""))</f>
        <v/>
      </c>
      <c r="AF437" s="42" t="str">
        <f aca="false">IF(OR(AE437="",$E437=""),"",AE437-$E437)</f>
        <v/>
      </c>
      <c r="AG437" s="39"/>
      <c r="AH437" s="40" t="str">
        <f aca="false">IF(OR(AG437="",BY437=""),"",AG437/BY437*100)</f>
        <v/>
      </c>
      <c r="AI437" s="41" t="str">
        <f aca="false">IF(AH437="","",IFERROR(MATCH(AH437,INDEX(Boundaries!$B$2:$I$30,MATCH(CM437,Boundaries!$A$2:$A$30,0),0),1)-1,""))</f>
        <v/>
      </c>
      <c r="AJ437" s="42" t="str">
        <f aca="false">IF(OR(AI437="",$E437=""),"",AI437-$E437)</f>
        <v/>
      </c>
      <c r="AK437" s="39"/>
      <c r="AL437" s="40" t="str">
        <f aca="false">IF(OR(AK437="",BZ437=""),"",AK437/BZ437*100)</f>
        <v/>
      </c>
      <c r="AM437" s="41" t="str">
        <f aca="false">IF(AL437="","",IFERROR(MATCH(AL437,INDEX(Boundaries!$B$2:$I$30,MATCH(CN437,Boundaries!$A$2:$A$30,0),0),1)-1,""))</f>
        <v/>
      </c>
      <c r="AN437" s="42" t="str">
        <f aca="false">IF(OR(AM437="",$E437=""),"",AM437-$E437)</f>
        <v/>
      </c>
      <c r="AO437" s="39"/>
      <c r="AP437" s="40" t="str">
        <f aca="false">IF(OR(AO437="",CA437=""),"",AO437/CA437*100)</f>
        <v/>
      </c>
      <c r="AQ437" s="41" t="str">
        <f aca="false">IF(AP437="","",IFERROR(MATCH(AP437,INDEX(Boundaries!$B$2:$I$30,MATCH(CO437,Boundaries!$A$2:$A$30,0),0),1)-1,""))</f>
        <v/>
      </c>
      <c r="AR437" s="42" t="str">
        <f aca="false">IF(OR(AQ437="",$E437=""),"",AQ437-$E437)</f>
        <v/>
      </c>
      <c r="AS437" s="39"/>
      <c r="AT437" s="40" t="str">
        <f aca="false">IF(OR(AS437="",CB437=""),"",AS437/CB437*100)</f>
        <v/>
      </c>
      <c r="AU437" s="41" t="str">
        <f aca="false">IF(AT437="","",IFERROR(MATCH(AT437,INDEX(Boundaries!$B$2:$I$30,MATCH(CP437,Boundaries!$A$2:$A$30,0),0),1)-1,""))</f>
        <v/>
      </c>
      <c r="AV437" s="42" t="str">
        <f aca="false">IF(OR(AU437="",$E437=""),"",AU437-$E437)</f>
        <v/>
      </c>
      <c r="AW437" s="39"/>
      <c r="AX437" s="40" t="str">
        <f aca="false">IF(OR(AW437="",CC437=""),"",AW437/CC437*100)</f>
        <v/>
      </c>
      <c r="AY437" s="41" t="str">
        <f aca="false">IF(AX437="","",IFERROR(MATCH(AX437,INDEX(Boundaries!$B$2:$I$30,MATCH(CQ437,Boundaries!$A$2:$A$30,0),0),1)-1,""))</f>
        <v/>
      </c>
      <c r="AZ437" s="42" t="str">
        <f aca="false">IF(OR(AY437="",$E437=""),"",AY437-$E437)</f>
        <v/>
      </c>
      <c r="BA437" s="39"/>
      <c r="BB437" s="40" t="str">
        <f aca="false">IF(OR(BA437="",CD437=""),"",BA437/CD437*100)</f>
        <v/>
      </c>
      <c r="BC437" s="41" t="str">
        <f aca="false">IF(BB437="","",IFERROR(MATCH(BB437,INDEX(Boundaries!$B$2:$I$30,MATCH(CR437,Boundaries!$A$2:$A$30,0),0),1)-1,""))</f>
        <v/>
      </c>
      <c r="BD437" s="42" t="str">
        <f aca="false">IF(OR(BC437="",$E437=""),"",BC437-$E437)</f>
        <v/>
      </c>
      <c r="BE437" s="39"/>
      <c r="BF437" s="40" t="str">
        <f aca="false">IF(OR(BE437="",CE437=""),"",BE437/CE437*100)</f>
        <v/>
      </c>
      <c r="BG437" s="41" t="str">
        <f aca="false">IF(BF437="","",IFERROR(MATCH(BF437,INDEX(Boundaries!$B$2:$I$30,MATCH(CS437,Boundaries!$A$2:$A$30,0),0),1)-1,""))</f>
        <v/>
      </c>
      <c r="BH437" s="42" t="str">
        <f aca="false">IF(OR(BG437="",$E437=""),"",BG437-$E437)</f>
        <v/>
      </c>
      <c r="BI437" s="39"/>
      <c r="BJ437" s="40" t="str">
        <f aca="false">IF(OR(BI437="",CF437=""),"",BI437/CF437*100)</f>
        <v/>
      </c>
      <c r="BK437" s="41" t="str">
        <f aca="false">IF(BJ437="","",IFERROR(MATCH(BJ437,INDEX(Boundaries!$B$2:$I$30,MATCH(CT437,Boundaries!$A$2:$A$30,0),0),1)-1,""))</f>
        <v/>
      </c>
      <c r="BL437" s="42" t="str">
        <f aca="false">IF(OR(BK437="",$E437=""),"",BK437-$E437)</f>
        <v/>
      </c>
      <c r="BM437" s="39"/>
      <c r="BN437" s="40" t="str">
        <f aca="false">IF(OR(BM437="",CG437=""),"",BM437/CG437*100)</f>
        <v/>
      </c>
      <c r="BO437" s="41" t="str">
        <f aca="false">IF(BN437="","",IFERROR(MATCH(BN437,INDEX(Boundaries!$B$2:$I$30,MATCH(CU437,Boundaries!$A$2:$A$30,0),0),1)-1,""))</f>
        <v/>
      </c>
      <c r="BP437" s="42" t="str">
        <f aca="false">IF(OR(BO437="",$E437=""),"",BO437-$E437)</f>
        <v/>
      </c>
      <c r="BQ437" s="39"/>
      <c r="BR437" s="40" t="str">
        <f aca="false">IF(OR(BQ437="",CH437=""),"",BQ437/CH437*100)</f>
        <v/>
      </c>
      <c r="BS437" s="41" t="str">
        <f aca="false">IF(BR437="","",IFERROR(MATCH(BR437,INDEX(Boundaries!$B$2:$I$30,MATCH(CV437,Boundaries!$A$2:$A$30,0),0),1)-1,""))</f>
        <v/>
      </c>
      <c r="BT437" s="42" t="str">
        <f aca="false">IF(OR(BS437="",$E437=""),"",BS437-$E437)</f>
        <v/>
      </c>
      <c r="BU437" s="28" t="str">
        <f aca="false">IFERROR(INDEX(Assessments!$H$2:$H$600,MATCH($H437&amp;"|"&amp;$I437&amp;"|"&amp;$J437&amp;"|"&amp;1,Assessments!$A$2:$A$600,0)),"")</f>
        <v/>
      </c>
      <c r="BV437" s="28" t="str">
        <f aca="false">IFERROR(INDEX(Assessments!$H$2:$H$600,MATCH($H437&amp;"|"&amp;$I437&amp;"|"&amp;$J437&amp;"|"&amp;2,Assessments!$A$2:$A$600,0)),"")</f>
        <v/>
      </c>
      <c r="BW437" s="28" t="str">
        <f aca="false">IFERROR(INDEX(Assessments!$H$2:$H$600,MATCH($H437&amp;"|"&amp;$I437&amp;"|"&amp;$J437&amp;"|"&amp;3,Assessments!$A$2:$A$600,0)),"")</f>
        <v/>
      </c>
      <c r="BX437" s="28" t="str">
        <f aca="false">IFERROR(INDEX(Assessments!$H$2:$H$600,MATCH($H437&amp;"|"&amp;$I437&amp;"|"&amp;$J437&amp;"|"&amp;4,Assessments!$A$2:$A$600,0)),"")</f>
        <v/>
      </c>
      <c r="BY437" s="28" t="str">
        <f aca="false">IFERROR(INDEX(Assessments!$H$2:$H$600,MATCH($H437&amp;"|"&amp;$I437&amp;"|"&amp;$J437&amp;"|"&amp;5,Assessments!$A$2:$A$600,0)),"")</f>
        <v/>
      </c>
      <c r="BZ437" s="28" t="str">
        <f aca="false">IFERROR(INDEX(Assessments!$H$2:$H$600,MATCH($H437&amp;"|"&amp;$I437&amp;"|"&amp;$J437&amp;"|"&amp;6,Assessments!$A$2:$A$600,0)),"")</f>
        <v/>
      </c>
      <c r="CA437" s="28" t="str">
        <f aca="false">IFERROR(INDEX(Assessments!$H$2:$H$600,MATCH($H437&amp;"|"&amp;$I437&amp;"|"&amp;$J437&amp;"|"&amp;7,Assessments!$A$2:$A$600,0)),"")</f>
        <v/>
      </c>
      <c r="CB437" s="28" t="str">
        <f aca="false">IFERROR(INDEX(Assessments!$H$2:$H$600,MATCH($H437&amp;"|"&amp;$I437&amp;"|"&amp;$J437&amp;"|"&amp;8,Assessments!$A$2:$A$600,0)),"")</f>
        <v/>
      </c>
      <c r="CC437" s="28" t="str">
        <f aca="false">IFERROR(INDEX(Assessments!$H$2:$H$600,MATCH($H437&amp;"|"&amp;$I437&amp;"|"&amp;$J437&amp;"|"&amp;9,Assessments!$A$2:$A$600,0)),"")</f>
        <v/>
      </c>
      <c r="CD437" s="28" t="str">
        <f aca="false">IFERROR(INDEX(Assessments!$H$2:$H$600,MATCH($H437&amp;"|"&amp;$I437&amp;"|"&amp;$J437&amp;"|"&amp;10,Assessments!$A$2:$A$600,0)),"")</f>
        <v/>
      </c>
      <c r="CE437" s="28" t="str">
        <f aca="false">IFERROR(INDEX(Assessments!$H$2:$H$600,MATCH($H437&amp;"|"&amp;$I437&amp;"|"&amp;$J437&amp;"|"&amp;11,Assessments!$A$2:$A$600,0)),"")</f>
        <v/>
      </c>
      <c r="CF437" s="28" t="str">
        <f aca="false">IFERROR(INDEX(Assessments!$H$2:$H$600,MATCH($H437&amp;"|"&amp;$I437&amp;"|"&amp;$J437&amp;"|"&amp;12,Assessments!$A$2:$A$600,0)),"")</f>
        <v/>
      </c>
      <c r="CG437" s="28" t="str">
        <f aca="false">IFERROR(INDEX(Assessments!$H$2:$H$600,MATCH($H437&amp;"|"&amp;$I437&amp;"|"&amp;$J437&amp;"|"&amp;13,Assessments!$A$2:$A$600,0)),"")</f>
        <v/>
      </c>
      <c r="CH437" s="28" t="str">
        <f aca="false">IFERROR(INDEX(Assessments!$H$2:$H$600,MATCH($H437&amp;"|"&amp;$I437&amp;"|"&amp;$J437&amp;"|"&amp;14,Assessments!$A$2:$A$600,0)),"")</f>
        <v/>
      </c>
      <c r="CI437" s="28" t="str">
        <f aca="false">IFERROR(INDEX(Assessments!$I$2:$I$600,MATCH($H437&amp;"|"&amp;$I437&amp;"|"&amp;$J437&amp;"|"&amp;1,Assessments!$A$2:$A$600,0)),"")</f>
        <v/>
      </c>
      <c r="CJ437" s="28" t="str">
        <f aca="false">IFERROR(INDEX(Assessments!$I$2:$I$600,MATCH($H437&amp;"|"&amp;$I437&amp;"|"&amp;$J437&amp;"|"&amp;2,Assessments!$A$2:$A$600,0)),"")</f>
        <v/>
      </c>
      <c r="CK437" s="28" t="str">
        <f aca="false">IFERROR(INDEX(Assessments!$I$2:$I$600,MATCH($H437&amp;"|"&amp;$I437&amp;"|"&amp;$J437&amp;"|"&amp;3,Assessments!$A$2:$A$600,0)),"")</f>
        <v/>
      </c>
      <c r="CL437" s="28" t="str">
        <f aca="false">IFERROR(INDEX(Assessments!$I$2:$I$600,MATCH($H437&amp;"|"&amp;$I437&amp;"|"&amp;$J437&amp;"|"&amp;4,Assessments!$A$2:$A$600,0)),"")</f>
        <v/>
      </c>
      <c r="CM437" s="28" t="str">
        <f aca="false">IFERROR(INDEX(Assessments!$I$2:$I$600,MATCH($H437&amp;"|"&amp;$I437&amp;"|"&amp;$J437&amp;"|"&amp;5,Assessments!$A$2:$A$600,0)),"")</f>
        <v/>
      </c>
      <c r="CN437" s="28" t="str">
        <f aca="false">IFERROR(INDEX(Assessments!$I$2:$I$600,MATCH($H437&amp;"|"&amp;$I437&amp;"|"&amp;$J437&amp;"|"&amp;6,Assessments!$A$2:$A$600,0)),"")</f>
        <v/>
      </c>
      <c r="CO437" s="28" t="str">
        <f aca="false">IFERROR(INDEX(Assessments!$I$2:$I$600,MATCH($H437&amp;"|"&amp;$I437&amp;"|"&amp;$J437&amp;"|"&amp;7,Assessments!$A$2:$A$600,0)),"")</f>
        <v/>
      </c>
      <c r="CP437" s="28" t="str">
        <f aca="false">IFERROR(INDEX(Assessments!$I$2:$I$600,MATCH($H437&amp;"|"&amp;$I437&amp;"|"&amp;$J437&amp;"|"&amp;8,Assessments!$A$2:$A$600,0)),"")</f>
        <v/>
      </c>
      <c r="CQ437" s="28" t="str">
        <f aca="false">IFERROR(INDEX(Assessments!$I$2:$I$600,MATCH($H437&amp;"|"&amp;$I437&amp;"|"&amp;$J437&amp;"|"&amp;9,Assessments!$A$2:$A$600,0)),"")</f>
        <v/>
      </c>
      <c r="CR437" s="28" t="str">
        <f aca="false">IFERROR(INDEX(Assessments!$I$2:$I$600,MATCH($H437&amp;"|"&amp;$I437&amp;"|"&amp;$J437&amp;"|"&amp;10,Assessments!$A$2:$A$600,0)),"")</f>
        <v/>
      </c>
      <c r="CS437" s="28" t="str">
        <f aca="false">IFERROR(INDEX(Assessments!$I$2:$I$600,MATCH($H437&amp;"|"&amp;$I437&amp;"|"&amp;$J437&amp;"|"&amp;11,Assessments!$A$2:$A$600,0)),"")</f>
        <v/>
      </c>
      <c r="CT437" s="28" t="str">
        <f aca="false">IFERROR(INDEX(Assessments!$I$2:$I$600,MATCH($H437&amp;"|"&amp;$I437&amp;"|"&amp;$J437&amp;"|"&amp;12,Assessments!$A$2:$A$600,0)),"")</f>
        <v/>
      </c>
      <c r="CU437" s="28" t="str">
        <f aca="false">IFERROR(INDEX(Assessments!$I$2:$I$600,MATCH($H437&amp;"|"&amp;$I437&amp;"|"&amp;$J437&amp;"|"&amp;13,Assessments!$A$2:$A$600,0)),"")</f>
        <v/>
      </c>
      <c r="CV437" s="28" t="str">
        <f aca="false">IFERROR(INDEX(Assessments!$I$2:$I$600,MATCH($H437&amp;"|"&amp;$I437&amp;"|"&amp;$J437&amp;"|"&amp;14,Assessments!$A$2:$A$600,0)),"")</f>
        <v/>
      </c>
      <c r="CW437" s="28" t="n">
        <f aca="false">IFERROR(INDEX(Assessments!$J$2:$J$600,MATCH($H437&amp;"|"&amp;$I437&amp;"|"&amp;$J437&amp;"|"&amp;1,Assessments!$A$2:$A$600,0)),0)</f>
        <v>0</v>
      </c>
      <c r="CX437" s="28" t="n">
        <f aca="false">IFERROR(INDEX(Assessments!$J$2:$J$600,MATCH($H437&amp;"|"&amp;$I437&amp;"|"&amp;$J437&amp;"|"&amp;2,Assessments!$A$2:$A$600,0)),0)</f>
        <v>0</v>
      </c>
      <c r="CY437" s="28" t="n">
        <f aca="false">IFERROR(INDEX(Assessments!$J$2:$J$600,MATCH($H437&amp;"|"&amp;$I437&amp;"|"&amp;$J437&amp;"|"&amp;3,Assessments!$A$2:$A$600,0)),0)</f>
        <v>0</v>
      </c>
      <c r="CZ437" s="28" t="n">
        <f aca="false">IFERROR(INDEX(Assessments!$J$2:$J$600,MATCH($H437&amp;"|"&amp;$I437&amp;"|"&amp;$J437&amp;"|"&amp;4,Assessments!$A$2:$A$600,0)),0)</f>
        <v>0</v>
      </c>
      <c r="DA437" s="28" t="n">
        <f aca="false">IFERROR(INDEX(Assessments!$J$2:$J$600,MATCH($H437&amp;"|"&amp;$I437&amp;"|"&amp;$J437&amp;"|"&amp;5,Assessments!$A$2:$A$600,0)),0)</f>
        <v>0</v>
      </c>
      <c r="DB437" s="28" t="n">
        <f aca="false">IFERROR(INDEX(Assessments!$J$2:$J$600,MATCH($H437&amp;"|"&amp;$I437&amp;"|"&amp;$J437&amp;"|"&amp;6,Assessments!$A$2:$A$600,0)),0)</f>
        <v>0</v>
      </c>
      <c r="DC437" s="28" t="n">
        <f aca="false">IFERROR(INDEX(Assessments!$J$2:$J$600,MATCH($H437&amp;"|"&amp;$I437&amp;"|"&amp;$J437&amp;"|"&amp;7,Assessments!$A$2:$A$600,0)),0)</f>
        <v>0</v>
      </c>
      <c r="DD437" s="28" t="n">
        <f aca="false">IFERROR(INDEX(Assessments!$J$2:$J$600,MATCH($H437&amp;"|"&amp;$I437&amp;"|"&amp;$J437&amp;"|"&amp;8,Assessments!$A$2:$A$600,0)),0)</f>
        <v>0</v>
      </c>
      <c r="DE437" s="28" t="n">
        <f aca="false">IFERROR(INDEX(Assessments!$J$2:$J$600,MATCH($H437&amp;"|"&amp;$I437&amp;"|"&amp;$J437&amp;"|"&amp;9,Assessments!$A$2:$A$600,0)),0)</f>
        <v>0</v>
      </c>
      <c r="DF437" s="28" t="n">
        <f aca="false">IFERROR(INDEX(Assessments!$J$2:$J$600,MATCH($H437&amp;"|"&amp;$I437&amp;"|"&amp;$J437&amp;"|"&amp;10,Assessments!$A$2:$A$600,0)),0)</f>
        <v>0</v>
      </c>
      <c r="DG437" s="28" t="n">
        <f aca="false">IFERROR(INDEX(Assessments!$J$2:$J$600,MATCH($H437&amp;"|"&amp;$I437&amp;"|"&amp;$J437&amp;"|"&amp;11,Assessments!$A$2:$A$600,0)),0)</f>
        <v>0</v>
      </c>
      <c r="DH437" s="28" t="n">
        <f aca="false">IFERROR(INDEX(Assessments!$J$2:$J$600,MATCH($H437&amp;"|"&amp;$I437&amp;"|"&amp;$J437&amp;"|"&amp;12,Assessments!$A$2:$A$600,0)),0)</f>
        <v>0</v>
      </c>
      <c r="DI437" s="28" t="n">
        <f aca="false">IFERROR(INDEX(Assessments!$J$2:$J$600,MATCH($H437&amp;"|"&amp;$I437&amp;"|"&amp;$J437&amp;"|"&amp;13,Assessments!$A$2:$A$600,0)),0)</f>
        <v>0</v>
      </c>
      <c r="DJ437" s="28" t="n">
        <f aca="false">IFERROR(INDEX(Assessments!$J$2:$J$600,MATCH($H437&amp;"|"&amp;$I437&amp;"|"&amp;$J437&amp;"|"&amp;14,Assessments!$A$2:$A$600,0)),0)</f>
        <v>0</v>
      </c>
      <c r="DK437" s="28" t="str">
        <f aca="false">S437</f>
        <v/>
      </c>
      <c r="DL437" s="28" t="str">
        <f aca="false">W437</f>
        <v/>
      </c>
      <c r="DM437" s="28" t="str">
        <f aca="false">AA437</f>
        <v/>
      </c>
      <c r="DN437" s="28" t="str">
        <f aca="false">AE437</f>
        <v/>
      </c>
      <c r="DO437" s="28" t="str">
        <f aca="false">AI437</f>
        <v/>
      </c>
      <c r="DP437" s="28" t="str">
        <f aca="false">AM437</f>
        <v/>
      </c>
      <c r="DQ437" s="28" t="str">
        <f aca="false">AQ437</f>
        <v/>
      </c>
      <c r="DR437" s="28" t="str">
        <f aca="false">AU437</f>
        <v/>
      </c>
      <c r="DS437" s="28" t="str">
        <f aca="false">AY437</f>
        <v/>
      </c>
      <c r="DT437" s="28" t="str">
        <f aca="false">BC437</f>
        <v/>
      </c>
      <c r="DU437" s="28" t="str">
        <f aca="false">BG437</f>
        <v/>
      </c>
      <c r="DV437" s="28" t="str">
        <f aca="false">BK437</f>
        <v/>
      </c>
      <c r="DW437" s="28" t="str">
        <f aca="false">BO437</f>
        <v/>
      </c>
      <c r="DX437" s="28" t="str">
        <f aca="false">BS437</f>
        <v/>
      </c>
      <c r="DY437" s="28" t="str">
        <f aca="false">IF(ISNUMBER(S437),1,"")</f>
        <v/>
      </c>
      <c r="DZ437" s="28" t="str">
        <f aca="false">IF(ISNUMBER(W437),2,"")</f>
        <v/>
      </c>
      <c r="EA437" s="28" t="str">
        <f aca="false">IF(ISNUMBER(AA437),3,"")</f>
        <v/>
      </c>
      <c r="EB437" s="28" t="str">
        <f aca="false">IF(ISNUMBER(AE437),4,"")</f>
        <v/>
      </c>
      <c r="EC437" s="28" t="str">
        <f aca="false">IF(ISNUMBER(AI437),5,"")</f>
        <v/>
      </c>
      <c r="ED437" s="28" t="str">
        <f aca="false">IF(ISNUMBER(AM437),6,"")</f>
        <v/>
      </c>
      <c r="EE437" s="28" t="str">
        <f aca="false">IF(ISNUMBER(AQ437),7,"")</f>
        <v/>
      </c>
      <c r="EF437" s="28" t="str">
        <f aca="false">IF(ISNUMBER(AU437),8,"")</f>
        <v/>
      </c>
      <c r="EG437" s="28" t="str">
        <f aca="false">IF(ISNUMBER(AY437),9,"")</f>
        <v/>
      </c>
      <c r="EH437" s="28" t="str">
        <f aca="false">IF(ISNUMBER(BC437),10,"")</f>
        <v/>
      </c>
      <c r="EI437" s="28" t="str">
        <f aca="false">IF(ISNUMBER(BG437),11,"")</f>
        <v/>
      </c>
      <c r="EJ437" s="28" t="str">
        <f aca="false">IF(ISNUMBER(BK437),12,"")</f>
        <v/>
      </c>
      <c r="EK437" s="28" t="str">
        <f aca="false">IF(ISNUMBER(BO437),13,"")</f>
        <v/>
      </c>
      <c r="EL437" s="28" t="str">
        <f aca="false">IF(ISNUMBER(BS437),14,"")</f>
        <v/>
      </c>
      <c r="EM437" s="28" t="n">
        <f aca="false">IF(ISNUMBER(R437),R437*CW437,0)</f>
        <v>0</v>
      </c>
      <c r="EN437" s="28" t="n">
        <f aca="false">IF(ISNUMBER(V437),V437*CX437,0)</f>
        <v>0</v>
      </c>
      <c r="EO437" s="28" t="n">
        <f aca="false">IF(ISNUMBER(Z437),Z437*CY437,0)</f>
        <v>0</v>
      </c>
      <c r="EP437" s="28" t="n">
        <f aca="false">IF(ISNUMBER(AD437),AD437*CZ437,0)</f>
        <v>0</v>
      </c>
      <c r="EQ437" s="28" t="n">
        <f aca="false">IF(ISNUMBER(AH437),AH437*DA437,0)</f>
        <v>0</v>
      </c>
      <c r="ER437" s="28" t="n">
        <f aca="false">IF(ISNUMBER(AL437),AL437*DB437,0)</f>
        <v>0</v>
      </c>
      <c r="ES437" s="28" t="n">
        <f aca="false">IF(ISNUMBER(AP437),AP437*DC437,0)</f>
        <v>0</v>
      </c>
      <c r="ET437" s="28" t="n">
        <f aca="false">IF(ISNUMBER(AT437),AT437*DD437,0)</f>
        <v>0</v>
      </c>
      <c r="EU437" s="28" t="n">
        <f aca="false">IF(ISNUMBER(AX437),AX437*DE437,0)</f>
        <v>0</v>
      </c>
      <c r="EV437" s="28" t="n">
        <f aca="false">IF(ISNUMBER(BB437),BB437*DF437,0)</f>
        <v>0</v>
      </c>
      <c r="EW437" s="28" t="n">
        <f aca="false">IF(ISNUMBER(BF437),BF437*DG437,0)</f>
        <v>0</v>
      </c>
      <c r="EX437" s="28" t="n">
        <f aca="false">IF(ISNUMBER(BJ437),BJ437*DH437,0)</f>
        <v>0</v>
      </c>
      <c r="EY437" s="28" t="n">
        <f aca="false">IF(ISNUMBER(BN437),BN437*DI437,0)</f>
        <v>0</v>
      </c>
      <c r="EZ437" s="28" t="n">
        <f aca="false">IF(ISNUMBER(BR437),BR437*DJ437,0)</f>
        <v>0</v>
      </c>
      <c r="FA437" s="28" t="n">
        <f aca="false">IF(ISNUMBER(R437),CW437,0)</f>
        <v>0</v>
      </c>
      <c r="FB437" s="28" t="n">
        <f aca="false">IF(ISNUMBER(V437),CX437,0)</f>
        <v>0</v>
      </c>
      <c r="FC437" s="28" t="n">
        <f aca="false">IF(ISNUMBER(Z437),CY437,0)</f>
        <v>0</v>
      </c>
      <c r="FD437" s="28" t="n">
        <f aca="false">IF(ISNUMBER(AD437),CZ437,0)</f>
        <v>0</v>
      </c>
      <c r="FE437" s="28" t="n">
        <f aca="false">IF(ISNUMBER(AH437),DA437,0)</f>
        <v>0</v>
      </c>
      <c r="FF437" s="28" t="n">
        <f aca="false">IF(ISNUMBER(AL437),DB437,0)</f>
        <v>0</v>
      </c>
      <c r="FG437" s="28" t="n">
        <f aca="false">IF(ISNUMBER(AP437),DC437,0)</f>
        <v>0</v>
      </c>
      <c r="FH437" s="28" t="n">
        <f aca="false">IF(ISNUMBER(AT437),DD437,0)</f>
        <v>0</v>
      </c>
      <c r="FI437" s="28" t="n">
        <f aca="false">IF(ISNUMBER(AX437),DE437,0)</f>
        <v>0</v>
      </c>
      <c r="FJ437" s="28" t="n">
        <f aca="false">IF(ISNUMBER(BB437),DF437,0)</f>
        <v>0</v>
      </c>
      <c r="FK437" s="28" t="n">
        <f aca="false">IF(ISNUMBER(BF437),DG437,0)</f>
        <v>0</v>
      </c>
      <c r="FL437" s="28" t="n">
        <f aca="false">IF(ISNUMBER(BJ437),DH437,0)</f>
        <v>0</v>
      </c>
      <c r="FM437" s="28" t="n">
        <f aca="false">IF(ISNUMBER(BN437),DI437,0)</f>
        <v>0</v>
      </c>
      <c r="FN437" s="28" t="n">
        <f aca="false">IF(ISNUMBER(BR437),DJ437,0)</f>
        <v>0</v>
      </c>
      <c r="FO437" s="28" t="str">
        <f aca="false">IFERROR(INDEX(Lists!$G$2:$G$20,MATCH($I437&amp;"|"&amp;$J437,Lists!$F$2:$F$20,0)),"")</f>
        <v/>
      </c>
    </row>
    <row r="438" customFormat="false" ht="19.5" hidden="false" customHeight="true" outlineLevel="0" collapsed="false">
      <c r="A438" s="29"/>
      <c r="B438" s="29"/>
      <c r="C438" s="30"/>
      <c r="D438" s="30"/>
      <c r="E438" s="31"/>
      <c r="F438" s="30"/>
      <c r="G438" s="30"/>
      <c r="H438" s="32"/>
      <c r="I438" s="33"/>
      <c r="J438" s="32"/>
      <c r="K438" s="34" t="str">
        <f aca="false">IF(OR(M438="",$E438=""),"",M438-$E438)</f>
        <v/>
      </c>
      <c r="L438" s="35" t="str">
        <f aca="false">IF(SUM(FA438:FN438)=0,"",SUM(EM438:EZ438)/SUM(FA438:FN438))</f>
        <v/>
      </c>
      <c r="M438" s="36" t="str">
        <f aca="false">IF(OR(L438="",FO438=""),"",IFERROR(MATCH(L438,INDEX(Boundaries!$B$2:$I$30,MATCH(FO438,Boundaries!$A$2:$A$30,0),0),1)-1,""))</f>
        <v/>
      </c>
      <c r="N438" s="37" t="str">
        <f aca="false">IF(COUNT($DY438:$EL438)&lt;2,"",INDEX($DK438:$DX438,MAX($DY438:$EL438))-INDEX($DK438:$DX438,MIN($DY438:$EL438)))</f>
        <v/>
      </c>
      <c r="O438" s="37" t="str">
        <f aca="false">IF(COUNT($DY438:$EL438)&lt;2,"",INDEX($DK438:$DX438,MAX($DY438:$EL438))-INDEX($DK438:$DX438,LARGE($DY438:$EL438,2)))</f>
        <v/>
      </c>
      <c r="P438" s="38" t="str">
        <f aca="false">IF(K438="","",IF(K438&gt;=0,"On/above target",IF(AND(N438&lt;&gt;"",N438&gt;=0.5),"Improving towards target",IF(AND(O438&lt;&gt;"",O438&lt;=-0.5),"Declining","Stable below target"))))</f>
        <v/>
      </c>
      <c r="Q438" s="39"/>
      <c r="R438" s="40" t="str">
        <f aca="false">IF(OR(Q438="",BU438=""),"",Q438/BU438*100)</f>
        <v/>
      </c>
      <c r="S438" s="41" t="str">
        <f aca="false">IF(R438="","",IFERROR(MATCH(R438,INDEX(Boundaries!$B$2:$I$30,MATCH(CI438,Boundaries!$A$2:$A$30,0),0),1)-1,""))</f>
        <v/>
      </c>
      <c r="T438" s="42" t="str">
        <f aca="false">IF(OR(S438="",$E438=""),"",S438-$E438)</f>
        <v/>
      </c>
      <c r="U438" s="39"/>
      <c r="V438" s="40" t="str">
        <f aca="false">IF(OR(U438="",BV438=""),"",U438/BV438*100)</f>
        <v/>
      </c>
      <c r="W438" s="41" t="str">
        <f aca="false">IF(V438="","",IFERROR(MATCH(V438,INDEX(Boundaries!$B$2:$I$30,MATCH(CJ438,Boundaries!$A$2:$A$30,0),0),1)-1,""))</f>
        <v/>
      </c>
      <c r="X438" s="42" t="str">
        <f aca="false">IF(OR(W438="",$E438=""),"",W438-$E438)</f>
        <v/>
      </c>
      <c r="Y438" s="39"/>
      <c r="Z438" s="40" t="str">
        <f aca="false">IF(OR(Y438="",BW438=""),"",Y438/BW438*100)</f>
        <v/>
      </c>
      <c r="AA438" s="41" t="str">
        <f aca="false">IF(Z438="","",IFERROR(MATCH(Z438,INDEX(Boundaries!$B$2:$I$30,MATCH(CK438,Boundaries!$A$2:$A$30,0),0),1)-1,""))</f>
        <v/>
      </c>
      <c r="AB438" s="42" t="str">
        <f aca="false">IF(OR(AA438="",$E438=""),"",AA438-$E438)</f>
        <v/>
      </c>
      <c r="AC438" s="39"/>
      <c r="AD438" s="40" t="str">
        <f aca="false">IF(OR(AC438="",BX438=""),"",AC438/BX438*100)</f>
        <v/>
      </c>
      <c r="AE438" s="41" t="str">
        <f aca="false">IF(AD438="","",IFERROR(MATCH(AD438,INDEX(Boundaries!$B$2:$I$30,MATCH(CL438,Boundaries!$A$2:$A$30,0),0),1)-1,""))</f>
        <v/>
      </c>
      <c r="AF438" s="42" t="str">
        <f aca="false">IF(OR(AE438="",$E438=""),"",AE438-$E438)</f>
        <v/>
      </c>
      <c r="AG438" s="39"/>
      <c r="AH438" s="40" t="str">
        <f aca="false">IF(OR(AG438="",BY438=""),"",AG438/BY438*100)</f>
        <v/>
      </c>
      <c r="AI438" s="41" t="str">
        <f aca="false">IF(AH438="","",IFERROR(MATCH(AH438,INDEX(Boundaries!$B$2:$I$30,MATCH(CM438,Boundaries!$A$2:$A$30,0),0),1)-1,""))</f>
        <v/>
      </c>
      <c r="AJ438" s="42" t="str">
        <f aca="false">IF(OR(AI438="",$E438=""),"",AI438-$E438)</f>
        <v/>
      </c>
      <c r="AK438" s="39"/>
      <c r="AL438" s="40" t="str">
        <f aca="false">IF(OR(AK438="",BZ438=""),"",AK438/BZ438*100)</f>
        <v/>
      </c>
      <c r="AM438" s="41" t="str">
        <f aca="false">IF(AL438="","",IFERROR(MATCH(AL438,INDEX(Boundaries!$B$2:$I$30,MATCH(CN438,Boundaries!$A$2:$A$30,0),0),1)-1,""))</f>
        <v/>
      </c>
      <c r="AN438" s="42" t="str">
        <f aca="false">IF(OR(AM438="",$E438=""),"",AM438-$E438)</f>
        <v/>
      </c>
      <c r="AO438" s="39"/>
      <c r="AP438" s="40" t="str">
        <f aca="false">IF(OR(AO438="",CA438=""),"",AO438/CA438*100)</f>
        <v/>
      </c>
      <c r="AQ438" s="41" t="str">
        <f aca="false">IF(AP438="","",IFERROR(MATCH(AP438,INDEX(Boundaries!$B$2:$I$30,MATCH(CO438,Boundaries!$A$2:$A$30,0),0),1)-1,""))</f>
        <v/>
      </c>
      <c r="AR438" s="42" t="str">
        <f aca="false">IF(OR(AQ438="",$E438=""),"",AQ438-$E438)</f>
        <v/>
      </c>
      <c r="AS438" s="39"/>
      <c r="AT438" s="40" t="str">
        <f aca="false">IF(OR(AS438="",CB438=""),"",AS438/CB438*100)</f>
        <v/>
      </c>
      <c r="AU438" s="41" t="str">
        <f aca="false">IF(AT438="","",IFERROR(MATCH(AT438,INDEX(Boundaries!$B$2:$I$30,MATCH(CP438,Boundaries!$A$2:$A$30,0),0),1)-1,""))</f>
        <v/>
      </c>
      <c r="AV438" s="42" t="str">
        <f aca="false">IF(OR(AU438="",$E438=""),"",AU438-$E438)</f>
        <v/>
      </c>
      <c r="AW438" s="39"/>
      <c r="AX438" s="40" t="str">
        <f aca="false">IF(OR(AW438="",CC438=""),"",AW438/CC438*100)</f>
        <v/>
      </c>
      <c r="AY438" s="41" t="str">
        <f aca="false">IF(AX438="","",IFERROR(MATCH(AX438,INDEX(Boundaries!$B$2:$I$30,MATCH(CQ438,Boundaries!$A$2:$A$30,0),0),1)-1,""))</f>
        <v/>
      </c>
      <c r="AZ438" s="42" t="str">
        <f aca="false">IF(OR(AY438="",$E438=""),"",AY438-$E438)</f>
        <v/>
      </c>
      <c r="BA438" s="39"/>
      <c r="BB438" s="40" t="str">
        <f aca="false">IF(OR(BA438="",CD438=""),"",BA438/CD438*100)</f>
        <v/>
      </c>
      <c r="BC438" s="41" t="str">
        <f aca="false">IF(BB438="","",IFERROR(MATCH(BB438,INDEX(Boundaries!$B$2:$I$30,MATCH(CR438,Boundaries!$A$2:$A$30,0),0),1)-1,""))</f>
        <v/>
      </c>
      <c r="BD438" s="42" t="str">
        <f aca="false">IF(OR(BC438="",$E438=""),"",BC438-$E438)</f>
        <v/>
      </c>
      <c r="BE438" s="39"/>
      <c r="BF438" s="40" t="str">
        <f aca="false">IF(OR(BE438="",CE438=""),"",BE438/CE438*100)</f>
        <v/>
      </c>
      <c r="BG438" s="41" t="str">
        <f aca="false">IF(BF438="","",IFERROR(MATCH(BF438,INDEX(Boundaries!$B$2:$I$30,MATCH(CS438,Boundaries!$A$2:$A$30,0),0),1)-1,""))</f>
        <v/>
      </c>
      <c r="BH438" s="42" t="str">
        <f aca="false">IF(OR(BG438="",$E438=""),"",BG438-$E438)</f>
        <v/>
      </c>
      <c r="BI438" s="39"/>
      <c r="BJ438" s="40" t="str">
        <f aca="false">IF(OR(BI438="",CF438=""),"",BI438/CF438*100)</f>
        <v/>
      </c>
      <c r="BK438" s="41" t="str">
        <f aca="false">IF(BJ438="","",IFERROR(MATCH(BJ438,INDEX(Boundaries!$B$2:$I$30,MATCH(CT438,Boundaries!$A$2:$A$30,0),0),1)-1,""))</f>
        <v/>
      </c>
      <c r="BL438" s="42" t="str">
        <f aca="false">IF(OR(BK438="",$E438=""),"",BK438-$E438)</f>
        <v/>
      </c>
      <c r="BM438" s="39"/>
      <c r="BN438" s="40" t="str">
        <f aca="false">IF(OR(BM438="",CG438=""),"",BM438/CG438*100)</f>
        <v/>
      </c>
      <c r="BO438" s="41" t="str">
        <f aca="false">IF(BN438="","",IFERROR(MATCH(BN438,INDEX(Boundaries!$B$2:$I$30,MATCH(CU438,Boundaries!$A$2:$A$30,0),0),1)-1,""))</f>
        <v/>
      </c>
      <c r="BP438" s="42" t="str">
        <f aca="false">IF(OR(BO438="",$E438=""),"",BO438-$E438)</f>
        <v/>
      </c>
      <c r="BQ438" s="39"/>
      <c r="BR438" s="40" t="str">
        <f aca="false">IF(OR(BQ438="",CH438=""),"",BQ438/CH438*100)</f>
        <v/>
      </c>
      <c r="BS438" s="41" t="str">
        <f aca="false">IF(BR438="","",IFERROR(MATCH(BR438,INDEX(Boundaries!$B$2:$I$30,MATCH(CV438,Boundaries!$A$2:$A$30,0),0),1)-1,""))</f>
        <v/>
      </c>
      <c r="BT438" s="42" t="str">
        <f aca="false">IF(OR(BS438="",$E438=""),"",BS438-$E438)</f>
        <v/>
      </c>
      <c r="BU438" s="28" t="str">
        <f aca="false">IFERROR(INDEX(Assessments!$H$2:$H$600,MATCH($H438&amp;"|"&amp;$I438&amp;"|"&amp;$J438&amp;"|"&amp;1,Assessments!$A$2:$A$600,0)),"")</f>
        <v/>
      </c>
      <c r="BV438" s="28" t="str">
        <f aca="false">IFERROR(INDEX(Assessments!$H$2:$H$600,MATCH($H438&amp;"|"&amp;$I438&amp;"|"&amp;$J438&amp;"|"&amp;2,Assessments!$A$2:$A$600,0)),"")</f>
        <v/>
      </c>
      <c r="BW438" s="28" t="str">
        <f aca="false">IFERROR(INDEX(Assessments!$H$2:$H$600,MATCH($H438&amp;"|"&amp;$I438&amp;"|"&amp;$J438&amp;"|"&amp;3,Assessments!$A$2:$A$600,0)),"")</f>
        <v/>
      </c>
      <c r="BX438" s="28" t="str">
        <f aca="false">IFERROR(INDEX(Assessments!$H$2:$H$600,MATCH($H438&amp;"|"&amp;$I438&amp;"|"&amp;$J438&amp;"|"&amp;4,Assessments!$A$2:$A$600,0)),"")</f>
        <v/>
      </c>
      <c r="BY438" s="28" t="str">
        <f aca="false">IFERROR(INDEX(Assessments!$H$2:$H$600,MATCH($H438&amp;"|"&amp;$I438&amp;"|"&amp;$J438&amp;"|"&amp;5,Assessments!$A$2:$A$600,0)),"")</f>
        <v/>
      </c>
      <c r="BZ438" s="28" t="str">
        <f aca="false">IFERROR(INDEX(Assessments!$H$2:$H$600,MATCH($H438&amp;"|"&amp;$I438&amp;"|"&amp;$J438&amp;"|"&amp;6,Assessments!$A$2:$A$600,0)),"")</f>
        <v/>
      </c>
      <c r="CA438" s="28" t="str">
        <f aca="false">IFERROR(INDEX(Assessments!$H$2:$H$600,MATCH($H438&amp;"|"&amp;$I438&amp;"|"&amp;$J438&amp;"|"&amp;7,Assessments!$A$2:$A$600,0)),"")</f>
        <v/>
      </c>
      <c r="CB438" s="28" t="str">
        <f aca="false">IFERROR(INDEX(Assessments!$H$2:$H$600,MATCH($H438&amp;"|"&amp;$I438&amp;"|"&amp;$J438&amp;"|"&amp;8,Assessments!$A$2:$A$600,0)),"")</f>
        <v/>
      </c>
      <c r="CC438" s="28" t="str">
        <f aca="false">IFERROR(INDEX(Assessments!$H$2:$H$600,MATCH($H438&amp;"|"&amp;$I438&amp;"|"&amp;$J438&amp;"|"&amp;9,Assessments!$A$2:$A$600,0)),"")</f>
        <v/>
      </c>
      <c r="CD438" s="28" t="str">
        <f aca="false">IFERROR(INDEX(Assessments!$H$2:$H$600,MATCH($H438&amp;"|"&amp;$I438&amp;"|"&amp;$J438&amp;"|"&amp;10,Assessments!$A$2:$A$600,0)),"")</f>
        <v/>
      </c>
      <c r="CE438" s="28" t="str">
        <f aca="false">IFERROR(INDEX(Assessments!$H$2:$H$600,MATCH($H438&amp;"|"&amp;$I438&amp;"|"&amp;$J438&amp;"|"&amp;11,Assessments!$A$2:$A$600,0)),"")</f>
        <v/>
      </c>
      <c r="CF438" s="28" t="str">
        <f aca="false">IFERROR(INDEX(Assessments!$H$2:$H$600,MATCH($H438&amp;"|"&amp;$I438&amp;"|"&amp;$J438&amp;"|"&amp;12,Assessments!$A$2:$A$600,0)),"")</f>
        <v/>
      </c>
      <c r="CG438" s="28" t="str">
        <f aca="false">IFERROR(INDEX(Assessments!$H$2:$H$600,MATCH($H438&amp;"|"&amp;$I438&amp;"|"&amp;$J438&amp;"|"&amp;13,Assessments!$A$2:$A$600,0)),"")</f>
        <v/>
      </c>
      <c r="CH438" s="28" t="str">
        <f aca="false">IFERROR(INDEX(Assessments!$H$2:$H$600,MATCH($H438&amp;"|"&amp;$I438&amp;"|"&amp;$J438&amp;"|"&amp;14,Assessments!$A$2:$A$600,0)),"")</f>
        <v/>
      </c>
      <c r="CI438" s="28" t="str">
        <f aca="false">IFERROR(INDEX(Assessments!$I$2:$I$600,MATCH($H438&amp;"|"&amp;$I438&amp;"|"&amp;$J438&amp;"|"&amp;1,Assessments!$A$2:$A$600,0)),"")</f>
        <v/>
      </c>
      <c r="CJ438" s="28" t="str">
        <f aca="false">IFERROR(INDEX(Assessments!$I$2:$I$600,MATCH($H438&amp;"|"&amp;$I438&amp;"|"&amp;$J438&amp;"|"&amp;2,Assessments!$A$2:$A$600,0)),"")</f>
        <v/>
      </c>
      <c r="CK438" s="28" t="str">
        <f aca="false">IFERROR(INDEX(Assessments!$I$2:$I$600,MATCH($H438&amp;"|"&amp;$I438&amp;"|"&amp;$J438&amp;"|"&amp;3,Assessments!$A$2:$A$600,0)),"")</f>
        <v/>
      </c>
      <c r="CL438" s="28" t="str">
        <f aca="false">IFERROR(INDEX(Assessments!$I$2:$I$600,MATCH($H438&amp;"|"&amp;$I438&amp;"|"&amp;$J438&amp;"|"&amp;4,Assessments!$A$2:$A$600,0)),"")</f>
        <v/>
      </c>
      <c r="CM438" s="28" t="str">
        <f aca="false">IFERROR(INDEX(Assessments!$I$2:$I$600,MATCH($H438&amp;"|"&amp;$I438&amp;"|"&amp;$J438&amp;"|"&amp;5,Assessments!$A$2:$A$600,0)),"")</f>
        <v/>
      </c>
      <c r="CN438" s="28" t="str">
        <f aca="false">IFERROR(INDEX(Assessments!$I$2:$I$600,MATCH($H438&amp;"|"&amp;$I438&amp;"|"&amp;$J438&amp;"|"&amp;6,Assessments!$A$2:$A$600,0)),"")</f>
        <v/>
      </c>
      <c r="CO438" s="28" t="str">
        <f aca="false">IFERROR(INDEX(Assessments!$I$2:$I$600,MATCH($H438&amp;"|"&amp;$I438&amp;"|"&amp;$J438&amp;"|"&amp;7,Assessments!$A$2:$A$600,0)),"")</f>
        <v/>
      </c>
      <c r="CP438" s="28" t="str">
        <f aca="false">IFERROR(INDEX(Assessments!$I$2:$I$600,MATCH($H438&amp;"|"&amp;$I438&amp;"|"&amp;$J438&amp;"|"&amp;8,Assessments!$A$2:$A$600,0)),"")</f>
        <v/>
      </c>
      <c r="CQ438" s="28" t="str">
        <f aca="false">IFERROR(INDEX(Assessments!$I$2:$I$600,MATCH($H438&amp;"|"&amp;$I438&amp;"|"&amp;$J438&amp;"|"&amp;9,Assessments!$A$2:$A$600,0)),"")</f>
        <v/>
      </c>
      <c r="CR438" s="28" t="str">
        <f aca="false">IFERROR(INDEX(Assessments!$I$2:$I$600,MATCH($H438&amp;"|"&amp;$I438&amp;"|"&amp;$J438&amp;"|"&amp;10,Assessments!$A$2:$A$600,0)),"")</f>
        <v/>
      </c>
      <c r="CS438" s="28" t="str">
        <f aca="false">IFERROR(INDEX(Assessments!$I$2:$I$600,MATCH($H438&amp;"|"&amp;$I438&amp;"|"&amp;$J438&amp;"|"&amp;11,Assessments!$A$2:$A$600,0)),"")</f>
        <v/>
      </c>
      <c r="CT438" s="28" t="str">
        <f aca="false">IFERROR(INDEX(Assessments!$I$2:$I$600,MATCH($H438&amp;"|"&amp;$I438&amp;"|"&amp;$J438&amp;"|"&amp;12,Assessments!$A$2:$A$600,0)),"")</f>
        <v/>
      </c>
      <c r="CU438" s="28" t="str">
        <f aca="false">IFERROR(INDEX(Assessments!$I$2:$I$600,MATCH($H438&amp;"|"&amp;$I438&amp;"|"&amp;$J438&amp;"|"&amp;13,Assessments!$A$2:$A$600,0)),"")</f>
        <v/>
      </c>
      <c r="CV438" s="28" t="str">
        <f aca="false">IFERROR(INDEX(Assessments!$I$2:$I$600,MATCH($H438&amp;"|"&amp;$I438&amp;"|"&amp;$J438&amp;"|"&amp;14,Assessments!$A$2:$A$600,0)),"")</f>
        <v/>
      </c>
      <c r="CW438" s="28" t="n">
        <f aca="false">IFERROR(INDEX(Assessments!$J$2:$J$600,MATCH($H438&amp;"|"&amp;$I438&amp;"|"&amp;$J438&amp;"|"&amp;1,Assessments!$A$2:$A$600,0)),0)</f>
        <v>0</v>
      </c>
      <c r="CX438" s="28" t="n">
        <f aca="false">IFERROR(INDEX(Assessments!$J$2:$J$600,MATCH($H438&amp;"|"&amp;$I438&amp;"|"&amp;$J438&amp;"|"&amp;2,Assessments!$A$2:$A$600,0)),0)</f>
        <v>0</v>
      </c>
      <c r="CY438" s="28" t="n">
        <f aca="false">IFERROR(INDEX(Assessments!$J$2:$J$600,MATCH($H438&amp;"|"&amp;$I438&amp;"|"&amp;$J438&amp;"|"&amp;3,Assessments!$A$2:$A$600,0)),0)</f>
        <v>0</v>
      </c>
      <c r="CZ438" s="28" t="n">
        <f aca="false">IFERROR(INDEX(Assessments!$J$2:$J$600,MATCH($H438&amp;"|"&amp;$I438&amp;"|"&amp;$J438&amp;"|"&amp;4,Assessments!$A$2:$A$600,0)),0)</f>
        <v>0</v>
      </c>
      <c r="DA438" s="28" t="n">
        <f aca="false">IFERROR(INDEX(Assessments!$J$2:$J$600,MATCH($H438&amp;"|"&amp;$I438&amp;"|"&amp;$J438&amp;"|"&amp;5,Assessments!$A$2:$A$600,0)),0)</f>
        <v>0</v>
      </c>
      <c r="DB438" s="28" t="n">
        <f aca="false">IFERROR(INDEX(Assessments!$J$2:$J$600,MATCH($H438&amp;"|"&amp;$I438&amp;"|"&amp;$J438&amp;"|"&amp;6,Assessments!$A$2:$A$600,0)),0)</f>
        <v>0</v>
      </c>
      <c r="DC438" s="28" t="n">
        <f aca="false">IFERROR(INDEX(Assessments!$J$2:$J$600,MATCH($H438&amp;"|"&amp;$I438&amp;"|"&amp;$J438&amp;"|"&amp;7,Assessments!$A$2:$A$600,0)),0)</f>
        <v>0</v>
      </c>
      <c r="DD438" s="28" t="n">
        <f aca="false">IFERROR(INDEX(Assessments!$J$2:$J$600,MATCH($H438&amp;"|"&amp;$I438&amp;"|"&amp;$J438&amp;"|"&amp;8,Assessments!$A$2:$A$600,0)),0)</f>
        <v>0</v>
      </c>
      <c r="DE438" s="28" t="n">
        <f aca="false">IFERROR(INDEX(Assessments!$J$2:$J$600,MATCH($H438&amp;"|"&amp;$I438&amp;"|"&amp;$J438&amp;"|"&amp;9,Assessments!$A$2:$A$600,0)),0)</f>
        <v>0</v>
      </c>
      <c r="DF438" s="28" t="n">
        <f aca="false">IFERROR(INDEX(Assessments!$J$2:$J$600,MATCH($H438&amp;"|"&amp;$I438&amp;"|"&amp;$J438&amp;"|"&amp;10,Assessments!$A$2:$A$600,0)),0)</f>
        <v>0</v>
      </c>
      <c r="DG438" s="28" t="n">
        <f aca="false">IFERROR(INDEX(Assessments!$J$2:$J$600,MATCH($H438&amp;"|"&amp;$I438&amp;"|"&amp;$J438&amp;"|"&amp;11,Assessments!$A$2:$A$600,0)),0)</f>
        <v>0</v>
      </c>
      <c r="DH438" s="28" t="n">
        <f aca="false">IFERROR(INDEX(Assessments!$J$2:$J$600,MATCH($H438&amp;"|"&amp;$I438&amp;"|"&amp;$J438&amp;"|"&amp;12,Assessments!$A$2:$A$600,0)),0)</f>
        <v>0</v>
      </c>
      <c r="DI438" s="28" t="n">
        <f aca="false">IFERROR(INDEX(Assessments!$J$2:$J$600,MATCH($H438&amp;"|"&amp;$I438&amp;"|"&amp;$J438&amp;"|"&amp;13,Assessments!$A$2:$A$600,0)),0)</f>
        <v>0</v>
      </c>
      <c r="DJ438" s="28" t="n">
        <f aca="false">IFERROR(INDEX(Assessments!$J$2:$J$600,MATCH($H438&amp;"|"&amp;$I438&amp;"|"&amp;$J438&amp;"|"&amp;14,Assessments!$A$2:$A$600,0)),0)</f>
        <v>0</v>
      </c>
      <c r="DK438" s="28" t="str">
        <f aca="false">S438</f>
        <v/>
      </c>
      <c r="DL438" s="28" t="str">
        <f aca="false">W438</f>
        <v/>
      </c>
      <c r="DM438" s="28" t="str">
        <f aca="false">AA438</f>
        <v/>
      </c>
      <c r="DN438" s="28" t="str">
        <f aca="false">AE438</f>
        <v/>
      </c>
      <c r="DO438" s="28" t="str">
        <f aca="false">AI438</f>
        <v/>
      </c>
      <c r="DP438" s="28" t="str">
        <f aca="false">AM438</f>
        <v/>
      </c>
      <c r="DQ438" s="28" t="str">
        <f aca="false">AQ438</f>
        <v/>
      </c>
      <c r="DR438" s="28" t="str">
        <f aca="false">AU438</f>
        <v/>
      </c>
      <c r="DS438" s="28" t="str">
        <f aca="false">AY438</f>
        <v/>
      </c>
      <c r="DT438" s="28" t="str">
        <f aca="false">BC438</f>
        <v/>
      </c>
      <c r="DU438" s="28" t="str">
        <f aca="false">BG438</f>
        <v/>
      </c>
      <c r="DV438" s="28" t="str">
        <f aca="false">BK438</f>
        <v/>
      </c>
      <c r="DW438" s="28" t="str">
        <f aca="false">BO438</f>
        <v/>
      </c>
      <c r="DX438" s="28" t="str">
        <f aca="false">BS438</f>
        <v/>
      </c>
      <c r="DY438" s="28" t="str">
        <f aca="false">IF(ISNUMBER(S438),1,"")</f>
        <v/>
      </c>
      <c r="DZ438" s="28" t="str">
        <f aca="false">IF(ISNUMBER(W438),2,"")</f>
        <v/>
      </c>
      <c r="EA438" s="28" t="str">
        <f aca="false">IF(ISNUMBER(AA438),3,"")</f>
        <v/>
      </c>
      <c r="EB438" s="28" t="str">
        <f aca="false">IF(ISNUMBER(AE438),4,"")</f>
        <v/>
      </c>
      <c r="EC438" s="28" t="str">
        <f aca="false">IF(ISNUMBER(AI438),5,"")</f>
        <v/>
      </c>
      <c r="ED438" s="28" t="str">
        <f aca="false">IF(ISNUMBER(AM438),6,"")</f>
        <v/>
      </c>
      <c r="EE438" s="28" t="str">
        <f aca="false">IF(ISNUMBER(AQ438),7,"")</f>
        <v/>
      </c>
      <c r="EF438" s="28" t="str">
        <f aca="false">IF(ISNUMBER(AU438),8,"")</f>
        <v/>
      </c>
      <c r="EG438" s="28" t="str">
        <f aca="false">IF(ISNUMBER(AY438),9,"")</f>
        <v/>
      </c>
      <c r="EH438" s="28" t="str">
        <f aca="false">IF(ISNUMBER(BC438),10,"")</f>
        <v/>
      </c>
      <c r="EI438" s="28" t="str">
        <f aca="false">IF(ISNUMBER(BG438),11,"")</f>
        <v/>
      </c>
      <c r="EJ438" s="28" t="str">
        <f aca="false">IF(ISNUMBER(BK438),12,"")</f>
        <v/>
      </c>
      <c r="EK438" s="28" t="str">
        <f aca="false">IF(ISNUMBER(BO438),13,"")</f>
        <v/>
      </c>
      <c r="EL438" s="28" t="str">
        <f aca="false">IF(ISNUMBER(BS438),14,"")</f>
        <v/>
      </c>
      <c r="EM438" s="28" t="n">
        <f aca="false">IF(ISNUMBER(R438),R438*CW438,0)</f>
        <v>0</v>
      </c>
      <c r="EN438" s="28" t="n">
        <f aca="false">IF(ISNUMBER(V438),V438*CX438,0)</f>
        <v>0</v>
      </c>
      <c r="EO438" s="28" t="n">
        <f aca="false">IF(ISNUMBER(Z438),Z438*CY438,0)</f>
        <v>0</v>
      </c>
      <c r="EP438" s="28" t="n">
        <f aca="false">IF(ISNUMBER(AD438),AD438*CZ438,0)</f>
        <v>0</v>
      </c>
      <c r="EQ438" s="28" t="n">
        <f aca="false">IF(ISNUMBER(AH438),AH438*DA438,0)</f>
        <v>0</v>
      </c>
      <c r="ER438" s="28" t="n">
        <f aca="false">IF(ISNUMBER(AL438),AL438*DB438,0)</f>
        <v>0</v>
      </c>
      <c r="ES438" s="28" t="n">
        <f aca="false">IF(ISNUMBER(AP438),AP438*DC438,0)</f>
        <v>0</v>
      </c>
      <c r="ET438" s="28" t="n">
        <f aca="false">IF(ISNUMBER(AT438),AT438*DD438,0)</f>
        <v>0</v>
      </c>
      <c r="EU438" s="28" t="n">
        <f aca="false">IF(ISNUMBER(AX438),AX438*DE438,0)</f>
        <v>0</v>
      </c>
      <c r="EV438" s="28" t="n">
        <f aca="false">IF(ISNUMBER(BB438),BB438*DF438,0)</f>
        <v>0</v>
      </c>
      <c r="EW438" s="28" t="n">
        <f aca="false">IF(ISNUMBER(BF438),BF438*DG438,0)</f>
        <v>0</v>
      </c>
      <c r="EX438" s="28" t="n">
        <f aca="false">IF(ISNUMBER(BJ438),BJ438*DH438,0)</f>
        <v>0</v>
      </c>
      <c r="EY438" s="28" t="n">
        <f aca="false">IF(ISNUMBER(BN438),BN438*DI438,0)</f>
        <v>0</v>
      </c>
      <c r="EZ438" s="28" t="n">
        <f aca="false">IF(ISNUMBER(BR438),BR438*DJ438,0)</f>
        <v>0</v>
      </c>
      <c r="FA438" s="28" t="n">
        <f aca="false">IF(ISNUMBER(R438),CW438,0)</f>
        <v>0</v>
      </c>
      <c r="FB438" s="28" t="n">
        <f aca="false">IF(ISNUMBER(V438),CX438,0)</f>
        <v>0</v>
      </c>
      <c r="FC438" s="28" t="n">
        <f aca="false">IF(ISNUMBER(Z438),CY438,0)</f>
        <v>0</v>
      </c>
      <c r="FD438" s="28" t="n">
        <f aca="false">IF(ISNUMBER(AD438),CZ438,0)</f>
        <v>0</v>
      </c>
      <c r="FE438" s="28" t="n">
        <f aca="false">IF(ISNUMBER(AH438),DA438,0)</f>
        <v>0</v>
      </c>
      <c r="FF438" s="28" t="n">
        <f aca="false">IF(ISNUMBER(AL438),DB438,0)</f>
        <v>0</v>
      </c>
      <c r="FG438" s="28" t="n">
        <f aca="false">IF(ISNUMBER(AP438),DC438,0)</f>
        <v>0</v>
      </c>
      <c r="FH438" s="28" t="n">
        <f aca="false">IF(ISNUMBER(AT438),DD438,0)</f>
        <v>0</v>
      </c>
      <c r="FI438" s="28" t="n">
        <f aca="false">IF(ISNUMBER(AX438),DE438,0)</f>
        <v>0</v>
      </c>
      <c r="FJ438" s="28" t="n">
        <f aca="false">IF(ISNUMBER(BB438),DF438,0)</f>
        <v>0</v>
      </c>
      <c r="FK438" s="28" t="n">
        <f aca="false">IF(ISNUMBER(BF438),DG438,0)</f>
        <v>0</v>
      </c>
      <c r="FL438" s="28" t="n">
        <f aca="false">IF(ISNUMBER(BJ438),DH438,0)</f>
        <v>0</v>
      </c>
      <c r="FM438" s="28" t="n">
        <f aca="false">IF(ISNUMBER(BN438),DI438,0)</f>
        <v>0</v>
      </c>
      <c r="FN438" s="28" t="n">
        <f aca="false">IF(ISNUMBER(BR438),DJ438,0)</f>
        <v>0</v>
      </c>
      <c r="FO438" s="28" t="str">
        <f aca="false">IFERROR(INDEX(Lists!$G$2:$G$20,MATCH($I438&amp;"|"&amp;$J438,Lists!$F$2:$F$20,0)),"")</f>
        <v/>
      </c>
    </row>
    <row r="439" customFormat="false" ht="19.5" hidden="false" customHeight="true" outlineLevel="0" collapsed="false">
      <c r="A439" s="29"/>
      <c r="B439" s="29"/>
      <c r="C439" s="30"/>
      <c r="D439" s="30"/>
      <c r="E439" s="31"/>
      <c r="F439" s="30"/>
      <c r="G439" s="30"/>
      <c r="H439" s="32"/>
      <c r="I439" s="33"/>
      <c r="J439" s="32"/>
      <c r="K439" s="34" t="str">
        <f aca="false">IF(OR(M439="",$E439=""),"",M439-$E439)</f>
        <v/>
      </c>
      <c r="L439" s="35" t="str">
        <f aca="false">IF(SUM(FA439:FN439)=0,"",SUM(EM439:EZ439)/SUM(FA439:FN439))</f>
        <v/>
      </c>
      <c r="M439" s="36" t="str">
        <f aca="false">IF(OR(L439="",FO439=""),"",IFERROR(MATCH(L439,INDEX(Boundaries!$B$2:$I$30,MATCH(FO439,Boundaries!$A$2:$A$30,0),0),1)-1,""))</f>
        <v/>
      </c>
      <c r="N439" s="37" t="str">
        <f aca="false">IF(COUNT($DY439:$EL439)&lt;2,"",INDEX($DK439:$DX439,MAX($DY439:$EL439))-INDEX($DK439:$DX439,MIN($DY439:$EL439)))</f>
        <v/>
      </c>
      <c r="O439" s="37" t="str">
        <f aca="false">IF(COUNT($DY439:$EL439)&lt;2,"",INDEX($DK439:$DX439,MAX($DY439:$EL439))-INDEX($DK439:$DX439,LARGE($DY439:$EL439,2)))</f>
        <v/>
      </c>
      <c r="P439" s="38" t="str">
        <f aca="false">IF(K439="","",IF(K439&gt;=0,"On/above target",IF(AND(N439&lt;&gt;"",N439&gt;=0.5),"Improving towards target",IF(AND(O439&lt;&gt;"",O439&lt;=-0.5),"Declining","Stable below target"))))</f>
        <v/>
      </c>
      <c r="Q439" s="39"/>
      <c r="R439" s="40" t="str">
        <f aca="false">IF(OR(Q439="",BU439=""),"",Q439/BU439*100)</f>
        <v/>
      </c>
      <c r="S439" s="41" t="str">
        <f aca="false">IF(R439="","",IFERROR(MATCH(R439,INDEX(Boundaries!$B$2:$I$30,MATCH(CI439,Boundaries!$A$2:$A$30,0),0),1)-1,""))</f>
        <v/>
      </c>
      <c r="T439" s="42" t="str">
        <f aca="false">IF(OR(S439="",$E439=""),"",S439-$E439)</f>
        <v/>
      </c>
      <c r="U439" s="39"/>
      <c r="V439" s="40" t="str">
        <f aca="false">IF(OR(U439="",BV439=""),"",U439/BV439*100)</f>
        <v/>
      </c>
      <c r="W439" s="41" t="str">
        <f aca="false">IF(V439="","",IFERROR(MATCH(V439,INDEX(Boundaries!$B$2:$I$30,MATCH(CJ439,Boundaries!$A$2:$A$30,0),0),1)-1,""))</f>
        <v/>
      </c>
      <c r="X439" s="42" t="str">
        <f aca="false">IF(OR(W439="",$E439=""),"",W439-$E439)</f>
        <v/>
      </c>
      <c r="Y439" s="39"/>
      <c r="Z439" s="40" t="str">
        <f aca="false">IF(OR(Y439="",BW439=""),"",Y439/BW439*100)</f>
        <v/>
      </c>
      <c r="AA439" s="41" t="str">
        <f aca="false">IF(Z439="","",IFERROR(MATCH(Z439,INDEX(Boundaries!$B$2:$I$30,MATCH(CK439,Boundaries!$A$2:$A$30,0),0),1)-1,""))</f>
        <v/>
      </c>
      <c r="AB439" s="42" t="str">
        <f aca="false">IF(OR(AA439="",$E439=""),"",AA439-$E439)</f>
        <v/>
      </c>
      <c r="AC439" s="39"/>
      <c r="AD439" s="40" t="str">
        <f aca="false">IF(OR(AC439="",BX439=""),"",AC439/BX439*100)</f>
        <v/>
      </c>
      <c r="AE439" s="41" t="str">
        <f aca="false">IF(AD439="","",IFERROR(MATCH(AD439,INDEX(Boundaries!$B$2:$I$30,MATCH(CL439,Boundaries!$A$2:$A$30,0),0),1)-1,""))</f>
        <v/>
      </c>
      <c r="AF439" s="42" t="str">
        <f aca="false">IF(OR(AE439="",$E439=""),"",AE439-$E439)</f>
        <v/>
      </c>
      <c r="AG439" s="39"/>
      <c r="AH439" s="40" t="str">
        <f aca="false">IF(OR(AG439="",BY439=""),"",AG439/BY439*100)</f>
        <v/>
      </c>
      <c r="AI439" s="41" t="str">
        <f aca="false">IF(AH439="","",IFERROR(MATCH(AH439,INDEX(Boundaries!$B$2:$I$30,MATCH(CM439,Boundaries!$A$2:$A$30,0),0),1)-1,""))</f>
        <v/>
      </c>
      <c r="AJ439" s="42" t="str">
        <f aca="false">IF(OR(AI439="",$E439=""),"",AI439-$E439)</f>
        <v/>
      </c>
      <c r="AK439" s="39"/>
      <c r="AL439" s="40" t="str">
        <f aca="false">IF(OR(AK439="",BZ439=""),"",AK439/BZ439*100)</f>
        <v/>
      </c>
      <c r="AM439" s="41" t="str">
        <f aca="false">IF(AL439="","",IFERROR(MATCH(AL439,INDEX(Boundaries!$B$2:$I$30,MATCH(CN439,Boundaries!$A$2:$A$30,0),0),1)-1,""))</f>
        <v/>
      </c>
      <c r="AN439" s="42" t="str">
        <f aca="false">IF(OR(AM439="",$E439=""),"",AM439-$E439)</f>
        <v/>
      </c>
      <c r="AO439" s="39"/>
      <c r="AP439" s="40" t="str">
        <f aca="false">IF(OR(AO439="",CA439=""),"",AO439/CA439*100)</f>
        <v/>
      </c>
      <c r="AQ439" s="41" t="str">
        <f aca="false">IF(AP439="","",IFERROR(MATCH(AP439,INDEX(Boundaries!$B$2:$I$30,MATCH(CO439,Boundaries!$A$2:$A$30,0),0),1)-1,""))</f>
        <v/>
      </c>
      <c r="AR439" s="42" t="str">
        <f aca="false">IF(OR(AQ439="",$E439=""),"",AQ439-$E439)</f>
        <v/>
      </c>
      <c r="AS439" s="39"/>
      <c r="AT439" s="40" t="str">
        <f aca="false">IF(OR(AS439="",CB439=""),"",AS439/CB439*100)</f>
        <v/>
      </c>
      <c r="AU439" s="41" t="str">
        <f aca="false">IF(AT439="","",IFERROR(MATCH(AT439,INDEX(Boundaries!$B$2:$I$30,MATCH(CP439,Boundaries!$A$2:$A$30,0),0),1)-1,""))</f>
        <v/>
      </c>
      <c r="AV439" s="42" t="str">
        <f aca="false">IF(OR(AU439="",$E439=""),"",AU439-$E439)</f>
        <v/>
      </c>
      <c r="AW439" s="39"/>
      <c r="AX439" s="40" t="str">
        <f aca="false">IF(OR(AW439="",CC439=""),"",AW439/CC439*100)</f>
        <v/>
      </c>
      <c r="AY439" s="41" t="str">
        <f aca="false">IF(AX439="","",IFERROR(MATCH(AX439,INDEX(Boundaries!$B$2:$I$30,MATCH(CQ439,Boundaries!$A$2:$A$30,0),0),1)-1,""))</f>
        <v/>
      </c>
      <c r="AZ439" s="42" t="str">
        <f aca="false">IF(OR(AY439="",$E439=""),"",AY439-$E439)</f>
        <v/>
      </c>
      <c r="BA439" s="39"/>
      <c r="BB439" s="40" t="str">
        <f aca="false">IF(OR(BA439="",CD439=""),"",BA439/CD439*100)</f>
        <v/>
      </c>
      <c r="BC439" s="41" t="str">
        <f aca="false">IF(BB439="","",IFERROR(MATCH(BB439,INDEX(Boundaries!$B$2:$I$30,MATCH(CR439,Boundaries!$A$2:$A$30,0),0),1)-1,""))</f>
        <v/>
      </c>
      <c r="BD439" s="42" t="str">
        <f aca="false">IF(OR(BC439="",$E439=""),"",BC439-$E439)</f>
        <v/>
      </c>
      <c r="BE439" s="39"/>
      <c r="BF439" s="40" t="str">
        <f aca="false">IF(OR(BE439="",CE439=""),"",BE439/CE439*100)</f>
        <v/>
      </c>
      <c r="BG439" s="41" t="str">
        <f aca="false">IF(BF439="","",IFERROR(MATCH(BF439,INDEX(Boundaries!$B$2:$I$30,MATCH(CS439,Boundaries!$A$2:$A$30,0),0),1)-1,""))</f>
        <v/>
      </c>
      <c r="BH439" s="42" t="str">
        <f aca="false">IF(OR(BG439="",$E439=""),"",BG439-$E439)</f>
        <v/>
      </c>
      <c r="BI439" s="39"/>
      <c r="BJ439" s="40" t="str">
        <f aca="false">IF(OR(BI439="",CF439=""),"",BI439/CF439*100)</f>
        <v/>
      </c>
      <c r="BK439" s="41" t="str">
        <f aca="false">IF(BJ439="","",IFERROR(MATCH(BJ439,INDEX(Boundaries!$B$2:$I$30,MATCH(CT439,Boundaries!$A$2:$A$30,0),0),1)-1,""))</f>
        <v/>
      </c>
      <c r="BL439" s="42" t="str">
        <f aca="false">IF(OR(BK439="",$E439=""),"",BK439-$E439)</f>
        <v/>
      </c>
      <c r="BM439" s="39"/>
      <c r="BN439" s="40" t="str">
        <f aca="false">IF(OR(BM439="",CG439=""),"",BM439/CG439*100)</f>
        <v/>
      </c>
      <c r="BO439" s="41" t="str">
        <f aca="false">IF(BN439="","",IFERROR(MATCH(BN439,INDEX(Boundaries!$B$2:$I$30,MATCH(CU439,Boundaries!$A$2:$A$30,0),0),1)-1,""))</f>
        <v/>
      </c>
      <c r="BP439" s="42" t="str">
        <f aca="false">IF(OR(BO439="",$E439=""),"",BO439-$E439)</f>
        <v/>
      </c>
      <c r="BQ439" s="39"/>
      <c r="BR439" s="40" t="str">
        <f aca="false">IF(OR(BQ439="",CH439=""),"",BQ439/CH439*100)</f>
        <v/>
      </c>
      <c r="BS439" s="41" t="str">
        <f aca="false">IF(BR439="","",IFERROR(MATCH(BR439,INDEX(Boundaries!$B$2:$I$30,MATCH(CV439,Boundaries!$A$2:$A$30,0),0),1)-1,""))</f>
        <v/>
      </c>
      <c r="BT439" s="42" t="str">
        <f aca="false">IF(OR(BS439="",$E439=""),"",BS439-$E439)</f>
        <v/>
      </c>
      <c r="BU439" s="28" t="str">
        <f aca="false">IFERROR(INDEX(Assessments!$H$2:$H$600,MATCH($H439&amp;"|"&amp;$I439&amp;"|"&amp;$J439&amp;"|"&amp;1,Assessments!$A$2:$A$600,0)),"")</f>
        <v/>
      </c>
      <c r="BV439" s="28" t="str">
        <f aca="false">IFERROR(INDEX(Assessments!$H$2:$H$600,MATCH($H439&amp;"|"&amp;$I439&amp;"|"&amp;$J439&amp;"|"&amp;2,Assessments!$A$2:$A$600,0)),"")</f>
        <v/>
      </c>
      <c r="BW439" s="28" t="str">
        <f aca="false">IFERROR(INDEX(Assessments!$H$2:$H$600,MATCH($H439&amp;"|"&amp;$I439&amp;"|"&amp;$J439&amp;"|"&amp;3,Assessments!$A$2:$A$600,0)),"")</f>
        <v/>
      </c>
      <c r="BX439" s="28" t="str">
        <f aca="false">IFERROR(INDEX(Assessments!$H$2:$H$600,MATCH($H439&amp;"|"&amp;$I439&amp;"|"&amp;$J439&amp;"|"&amp;4,Assessments!$A$2:$A$600,0)),"")</f>
        <v/>
      </c>
      <c r="BY439" s="28" t="str">
        <f aca="false">IFERROR(INDEX(Assessments!$H$2:$H$600,MATCH($H439&amp;"|"&amp;$I439&amp;"|"&amp;$J439&amp;"|"&amp;5,Assessments!$A$2:$A$600,0)),"")</f>
        <v/>
      </c>
      <c r="BZ439" s="28" t="str">
        <f aca="false">IFERROR(INDEX(Assessments!$H$2:$H$600,MATCH($H439&amp;"|"&amp;$I439&amp;"|"&amp;$J439&amp;"|"&amp;6,Assessments!$A$2:$A$600,0)),"")</f>
        <v/>
      </c>
      <c r="CA439" s="28" t="str">
        <f aca="false">IFERROR(INDEX(Assessments!$H$2:$H$600,MATCH($H439&amp;"|"&amp;$I439&amp;"|"&amp;$J439&amp;"|"&amp;7,Assessments!$A$2:$A$600,0)),"")</f>
        <v/>
      </c>
      <c r="CB439" s="28" t="str">
        <f aca="false">IFERROR(INDEX(Assessments!$H$2:$H$600,MATCH($H439&amp;"|"&amp;$I439&amp;"|"&amp;$J439&amp;"|"&amp;8,Assessments!$A$2:$A$600,0)),"")</f>
        <v/>
      </c>
      <c r="CC439" s="28" t="str">
        <f aca="false">IFERROR(INDEX(Assessments!$H$2:$H$600,MATCH($H439&amp;"|"&amp;$I439&amp;"|"&amp;$J439&amp;"|"&amp;9,Assessments!$A$2:$A$600,0)),"")</f>
        <v/>
      </c>
      <c r="CD439" s="28" t="str">
        <f aca="false">IFERROR(INDEX(Assessments!$H$2:$H$600,MATCH($H439&amp;"|"&amp;$I439&amp;"|"&amp;$J439&amp;"|"&amp;10,Assessments!$A$2:$A$600,0)),"")</f>
        <v/>
      </c>
      <c r="CE439" s="28" t="str">
        <f aca="false">IFERROR(INDEX(Assessments!$H$2:$H$600,MATCH($H439&amp;"|"&amp;$I439&amp;"|"&amp;$J439&amp;"|"&amp;11,Assessments!$A$2:$A$600,0)),"")</f>
        <v/>
      </c>
      <c r="CF439" s="28" t="str">
        <f aca="false">IFERROR(INDEX(Assessments!$H$2:$H$600,MATCH($H439&amp;"|"&amp;$I439&amp;"|"&amp;$J439&amp;"|"&amp;12,Assessments!$A$2:$A$600,0)),"")</f>
        <v/>
      </c>
      <c r="CG439" s="28" t="str">
        <f aca="false">IFERROR(INDEX(Assessments!$H$2:$H$600,MATCH($H439&amp;"|"&amp;$I439&amp;"|"&amp;$J439&amp;"|"&amp;13,Assessments!$A$2:$A$600,0)),"")</f>
        <v/>
      </c>
      <c r="CH439" s="28" t="str">
        <f aca="false">IFERROR(INDEX(Assessments!$H$2:$H$600,MATCH($H439&amp;"|"&amp;$I439&amp;"|"&amp;$J439&amp;"|"&amp;14,Assessments!$A$2:$A$600,0)),"")</f>
        <v/>
      </c>
      <c r="CI439" s="28" t="str">
        <f aca="false">IFERROR(INDEX(Assessments!$I$2:$I$600,MATCH($H439&amp;"|"&amp;$I439&amp;"|"&amp;$J439&amp;"|"&amp;1,Assessments!$A$2:$A$600,0)),"")</f>
        <v/>
      </c>
      <c r="CJ439" s="28" t="str">
        <f aca="false">IFERROR(INDEX(Assessments!$I$2:$I$600,MATCH($H439&amp;"|"&amp;$I439&amp;"|"&amp;$J439&amp;"|"&amp;2,Assessments!$A$2:$A$600,0)),"")</f>
        <v/>
      </c>
      <c r="CK439" s="28" t="str">
        <f aca="false">IFERROR(INDEX(Assessments!$I$2:$I$600,MATCH($H439&amp;"|"&amp;$I439&amp;"|"&amp;$J439&amp;"|"&amp;3,Assessments!$A$2:$A$600,0)),"")</f>
        <v/>
      </c>
      <c r="CL439" s="28" t="str">
        <f aca="false">IFERROR(INDEX(Assessments!$I$2:$I$600,MATCH($H439&amp;"|"&amp;$I439&amp;"|"&amp;$J439&amp;"|"&amp;4,Assessments!$A$2:$A$600,0)),"")</f>
        <v/>
      </c>
      <c r="CM439" s="28" t="str">
        <f aca="false">IFERROR(INDEX(Assessments!$I$2:$I$600,MATCH($H439&amp;"|"&amp;$I439&amp;"|"&amp;$J439&amp;"|"&amp;5,Assessments!$A$2:$A$600,0)),"")</f>
        <v/>
      </c>
      <c r="CN439" s="28" t="str">
        <f aca="false">IFERROR(INDEX(Assessments!$I$2:$I$600,MATCH($H439&amp;"|"&amp;$I439&amp;"|"&amp;$J439&amp;"|"&amp;6,Assessments!$A$2:$A$600,0)),"")</f>
        <v/>
      </c>
      <c r="CO439" s="28" t="str">
        <f aca="false">IFERROR(INDEX(Assessments!$I$2:$I$600,MATCH($H439&amp;"|"&amp;$I439&amp;"|"&amp;$J439&amp;"|"&amp;7,Assessments!$A$2:$A$600,0)),"")</f>
        <v/>
      </c>
      <c r="CP439" s="28" t="str">
        <f aca="false">IFERROR(INDEX(Assessments!$I$2:$I$600,MATCH($H439&amp;"|"&amp;$I439&amp;"|"&amp;$J439&amp;"|"&amp;8,Assessments!$A$2:$A$600,0)),"")</f>
        <v/>
      </c>
      <c r="CQ439" s="28" t="str">
        <f aca="false">IFERROR(INDEX(Assessments!$I$2:$I$600,MATCH($H439&amp;"|"&amp;$I439&amp;"|"&amp;$J439&amp;"|"&amp;9,Assessments!$A$2:$A$600,0)),"")</f>
        <v/>
      </c>
      <c r="CR439" s="28" t="str">
        <f aca="false">IFERROR(INDEX(Assessments!$I$2:$I$600,MATCH($H439&amp;"|"&amp;$I439&amp;"|"&amp;$J439&amp;"|"&amp;10,Assessments!$A$2:$A$600,0)),"")</f>
        <v/>
      </c>
      <c r="CS439" s="28" t="str">
        <f aca="false">IFERROR(INDEX(Assessments!$I$2:$I$600,MATCH($H439&amp;"|"&amp;$I439&amp;"|"&amp;$J439&amp;"|"&amp;11,Assessments!$A$2:$A$600,0)),"")</f>
        <v/>
      </c>
      <c r="CT439" s="28" t="str">
        <f aca="false">IFERROR(INDEX(Assessments!$I$2:$I$600,MATCH($H439&amp;"|"&amp;$I439&amp;"|"&amp;$J439&amp;"|"&amp;12,Assessments!$A$2:$A$600,0)),"")</f>
        <v/>
      </c>
      <c r="CU439" s="28" t="str">
        <f aca="false">IFERROR(INDEX(Assessments!$I$2:$I$600,MATCH($H439&amp;"|"&amp;$I439&amp;"|"&amp;$J439&amp;"|"&amp;13,Assessments!$A$2:$A$600,0)),"")</f>
        <v/>
      </c>
      <c r="CV439" s="28" t="str">
        <f aca="false">IFERROR(INDEX(Assessments!$I$2:$I$600,MATCH($H439&amp;"|"&amp;$I439&amp;"|"&amp;$J439&amp;"|"&amp;14,Assessments!$A$2:$A$600,0)),"")</f>
        <v/>
      </c>
      <c r="CW439" s="28" t="n">
        <f aca="false">IFERROR(INDEX(Assessments!$J$2:$J$600,MATCH($H439&amp;"|"&amp;$I439&amp;"|"&amp;$J439&amp;"|"&amp;1,Assessments!$A$2:$A$600,0)),0)</f>
        <v>0</v>
      </c>
      <c r="CX439" s="28" t="n">
        <f aca="false">IFERROR(INDEX(Assessments!$J$2:$J$600,MATCH($H439&amp;"|"&amp;$I439&amp;"|"&amp;$J439&amp;"|"&amp;2,Assessments!$A$2:$A$600,0)),0)</f>
        <v>0</v>
      </c>
      <c r="CY439" s="28" t="n">
        <f aca="false">IFERROR(INDEX(Assessments!$J$2:$J$600,MATCH($H439&amp;"|"&amp;$I439&amp;"|"&amp;$J439&amp;"|"&amp;3,Assessments!$A$2:$A$600,0)),0)</f>
        <v>0</v>
      </c>
      <c r="CZ439" s="28" t="n">
        <f aca="false">IFERROR(INDEX(Assessments!$J$2:$J$600,MATCH($H439&amp;"|"&amp;$I439&amp;"|"&amp;$J439&amp;"|"&amp;4,Assessments!$A$2:$A$600,0)),0)</f>
        <v>0</v>
      </c>
      <c r="DA439" s="28" t="n">
        <f aca="false">IFERROR(INDEX(Assessments!$J$2:$J$600,MATCH($H439&amp;"|"&amp;$I439&amp;"|"&amp;$J439&amp;"|"&amp;5,Assessments!$A$2:$A$600,0)),0)</f>
        <v>0</v>
      </c>
      <c r="DB439" s="28" t="n">
        <f aca="false">IFERROR(INDEX(Assessments!$J$2:$J$600,MATCH($H439&amp;"|"&amp;$I439&amp;"|"&amp;$J439&amp;"|"&amp;6,Assessments!$A$2:$A$600,0)),0)</f>
        <v>0</v>
      </c>
      <c r="DC439" s="28" t="n">
        <f aca="false">IFERROR(INDEX(Assessments!$J$2:$J$600,MATCH($H439&amp;"|"&amp;$I439&amp;"|"&amp;$J439&amp;"|"&amp;7,Assessments!$A$2:$A$600,0)),0)</f>
        <v>0</v>
      </c>
      <c r="DD439" s="28" t="n">
        <f aca="false">IFERROR(INDEX(Assessments!$J$2:$J$600,MATCH($H439&amp;"|"&amp;$I439&amp;"|"&amp;$J439&amp;"|"&amp;8,Assessments!$A$2:$A$600,0)),0)</f>
        <v>0</v>
      </c>
      <c r="DE439" s="28" t="n">
        <f aca="false">IFERROR(INDEX(Assessments!$J$2:$J$600,MATCH($H439&amp;"|"&amp;$I439&amp;"|"&amp;$J439&amp;"|"&amp;9,Assessments!$A$2:$A$600,0)),0)</f>
        <v>0</v>
      </c>
      <c r="DF439" s="28" t="n">
        <f aca="false">IFERROR(INDEX(Assessments!$J$2:$J$600,MATCH($H439&amp;"|"&amp;$I439&amp;"|"&amp;$J439&amp;"|"&amp;10,Assessments!$A$2:$A$600,0)),0)</f>
        <v>0</v>
      </c>
      <c r="DG439" s="28" t="n">
        <f aca="false">IFERROR(INDEX(Assessments!$J$2:$J$600,MATCH($H439&amp;"|"&amp;$I439&amp;"|"&amp;$J439&amp;"|"&amp;11,Assessments!$A$2:$A$600,0)),0)</f>
        <v>0</v>
      </c>
      <c r="DH439" s="28" t="n">
        <f aca="false">IFERROR(INDEX(Assessments!$J$2:$J$600,MATCH($H439&amp;"|"&amp;$I439&amp;"|"&amp;$J439&amp;"|"&amp;12,Assessments!$A$2:$A$600,0)),0)</f>
        <v>0</v>
      </c>
      <c r="DI439" s="28" t="n">
        <f aca="false">IFERROR(INDEX(Assessments!$J$2:$J$600,MATCH($H439&amp;"|"&amp;$I439&amp;"|"&amp;$J439&amp;"|"&amp;13,Assessments!$A$2:$A$600,0)),0)</f>
        <v>0</v>
      </c>
      <c r="DJ439" s="28" t="n">
        <f aca="false">IFERROR(INDEX(Assessments!$J$2:$J$600,MATCH($H439&amp;"|"&amp;$I439&amp;"|"&amp;$J439&amp;"|"&amp;14,Assessments!$A$2:$A$600,0)),0)</f>
        <v>0</v>
      </c>
      <c r="DK439" s="28" t="str">
        <f aca="false">S439</f>
        <v/>
      </c>
      <c r="DL439" s="28" t="str">
        <f aca="false">W439</f>
        <v/>
      </c>
      <c r="DM439" s="28" t="str">
        <f aca="false">AA439</f>
        <v/>
      </c>
      <c r="DN439" s="28" t="str">
        <f aca="false">AE439</f>
        <v/>
      </c>
      <c r="DO439" s="28" t="str">
        <f aca="false">AI439</f>
        <v/>
      </c>
      <c r="DP439" s="28" t="str">
        <f aca="false">AM439</f>
        <v/>
      </c>
      <c r="DQ439" s="28" t="str">
        <f aca="false">AQ439</f>
        <v/>
      </c>
      <c r="DR439" s="28" t="str">
        <f aca="false">AU439</f>
        <v/>
      </c>
      <c r="DS439" s="28" t="str">
        <f aca="false">AY439</f>
        <v/>
      </c>
      <c r="DT439" s="28" t="str">
        <f aca="false">BC439</f>
        <v/>
      </c>
      <c r="DU439" s="28" t="str">
        <f aca="false">BG439</f>
        <v/>
      </c>
      <c r="DV439" s="28" t="str">
        <f aca="false">BK439</f>
        <v/>
      </c>
      <c r="DW439" s="28" t="str">
        <f aca="false">BO439</f>
        <v/>
      </c>
      <c r="DX439" s="28" t="str">
        <f aca="false">BS439</f>
        <v/>
      </c>
      <c r="DY439" s="28" t="str">
        <f aca="false">IF(ISNUMBER(S439),1,"")</f>
        <v/>
      </c>
      <c r="DZ439" s="28" t="str">
        <f aca="false">IF(ISNUMBER(W439),2,"")</f>
        <v/>
      </c>
      <c r="EA439" s="28" t="str">
        <f aca="false">IF(ISNUMBER(AA439),3,"")</f>
        <v/>
      </c>
      <c r="EB439" s="28" t="str">
        <f aca="false">IF(ISNUMBER(AE439),4,"")</f>
        <v/>
      </c>
      <c r="EC439" s="28" t="str">
        <f aca="false">IF(ISNUMBER(AI439),5,"")</f>
        <v/>
      </c>
      <c r="ED439" s="28" t="str">
        <f aca="false">IF(ISNUMBER(AM439),6,"")</f>
        <v/>
      </c>
      <c r="EE439" s="28" t="str">
        <f aca="false">IF(ISNUMBER(AQ439),7,"")</f>
        <v/>
      </c>
      <c r="EF439" s="28" t="str">
        <f aca="false">IF(ISNUMBER(AU439),8,"")</f>
        <v/>
      </c>
      <c r="EG439" s="28" t="str">
        <f aca="false">IF(ISNUMBER(AY439),9,"")</f>
        <v/>
      </c>
      <c r="EH439" s="28" t="str">
        <f aca="false">IF(ISNUMBER(BC439),10,"")</f>
        <v/>
      </c>
      <c r="EI439" s="28" t="str">
        <f aca="false">IF(ISNUMBER(BG439),11,"")</f>
        <v/>
      </c>
      <c r="EJ439" s="28" t="str">
        <f aca="false">IF(ISNUMBER(BK439),12,"")</f>
        <v/>
      </c>
      <c r="EK439" s="28" t="str">
        <f aca="false">IF(ISNUMBER(BO439),13,"")</f>
        <v/>
      </c>
      <c r="EL439" s="28" t="str">
        <f aca="false">IF(ISNUMBER(BS439),14,"")</f>
        <v/>
      </c>
      <c r="EM439" s="28" t="n">
        <f aca="false">IF(ISNUMBER(R439),R439*CW439,0)</f>
        <v>0</v>
      </c>
      <c r="EN439" s="28" t="n">
        <f aca="false">IF(ISNUMBER(V439),V439*CX439,0)</f>
        <v>0</v>
      </c>
      <c r="EO439" s="28" t="n">
        <f aca="false">IF(ISNUMBER(Z439),Z439*CY439,0)</f>
        <v>0</v>
      </c>
      <c r="EP439" s="28" t="n">
        <f aca="false">IF(ISNUMBER(AD439),AD439*CZ439,0)</f>
        <v>0</v>
      </c>
      <c r="EQ439" s="28" t="n">
        <f aca="false">IF(ISNUMBER(AH439),AH439*DA439,0)</f>
        <v>0</v>
      </c>
      <c r="ER439" s="28" t="n">
        <f aca="false">IF(ISNUMBER(AL439),AL439*DB439,0)</f>
        <v>0</v>
      </c>
      <c r="ES439" s="28" t="n">
        <f aca="false">IF(ISNUMBER(AP439),AP439*DC439,0)</f>
        <v>0</v>
      </c>
      <c r="ET439" s="28" t="n">
        <f aca="false">IF(ISNUMBER(AT439),AT439*DD439,0)</f>
        <v>0</v>
      </c>
      <c r="EU439" s="28" t="n">
        <f aca="false">IF(ISNUMBER(AX439),AX439*DE439,0)</f>
        <v>0</v>
      </c>
      <c r="EV439" s="28" t="n">
        <f aca="false">IF(ISNUMBER(BB439),BB439*DF439,0)</f>
        <v>0</v>
      </c>
      <c r="EW439" s="28" t="n">
        <f aca="false">IF(ISNUMBER(BF439),BF439*DG439,0)</f>
        <v>0</v>
      </c>
      <c r="EX439" s="28" t="n">
        <f aca="false">IF(ISNUMBER(BJ439),BJ439*DH439,0)</f>
        <v>0</v>
      </c>
      <c r="EY439" s="28" t="n">
        <f aca="false">IF(ISNUMBER(BN439),BN439*DI439,0)</f>
        <v>0</v>
      </c>
      <c r="EZ439" s="28" t="n">
        <f aca="false">IF(ISNUMBER(BR439),BR439*DJ439,0)</f>
        <v>0</v>
      </c>
      <c r="FA439" s="28" t="n">
        <f aca="false">IF(ISNUMBER(R439),CW439,0)</f>
        <v>0</v>
      </c>
      <c r="FB439" s="28" t="n">
        <f aca="false">IF(ISNUMBER(V439),CX439,0)</f>
        <v>0</v>
      </c>
      <c r="FC439" s="28" t="n">
        <f aca="false">IF(ISNUMBER(Z439),CY439,0)</f>
        <v>0</v>
      </c>
      <c r="FD439" s="28" t="n">
        <f aca="false">IF(ISNUMBER(AD439),CZ439,0)</f>
        <v>0</v>
      </c>
      <c r="FE439" s="28" t="n">
        <f aca="false">IF(ISNUMBER(AH439),DA439,0)</f>
        <v>0</v>
      </c>
      <c r="FF439" s="28" t="n">
        <f aca="false">IF(ISNUMBER(AL439),DB439,0)</f>
        <v>0</v>
      </c>
      <c r="FG439" s="28" t="n">
        <f aca="false">IF(ISNUMBER(AP439),DC439,0)</f>
        <v>0</v>
      </c>
      <c r="FH439" s="28" t="n">
        <f aca="false">IF(ISNUMBER(AT439),DD439,0)</f>
        <v>0</v>
      </c>
      <c r="FI439" s="28" t="n">
        <f aca="false">IF(ISNUMBER(AX439),DE439,0)</f>
        <v>0</v>
      </c>
      <c r="FJ439" s="28" t="n">
        <f aca="false">IF(ISNUMBER(BB439),DF439,0)</f>
        <v>0</v>
      </c>
      <c r="FK439" s="28" t="n">
        <f aca="false">IF(ISNUMBER(BF439),DG439,0)</f>
        <v>0</v>
      </c>
      <c r="FL439" s="28" t="n">
        <f aca="false">IF(ISNUMBER(BJ439),DH439,0)</f>
        <v>0</v>
      </c>
      <c r="FM439" s="28" t="n">
        <f aca="false">IF(ISNUMBER(BN439),DI439,0)</f>
        <v>0</v>
      </c>
      <c r="FN439" s="28" t="n">
        <f aca="false">IF(ISNUMBER(BR439),DJ439,0)</f>
        <v>0</v>
      </c>
      <c r="FO439" s="28" t="str">
        <f aca="false">IFERROR(INDEX(Lists!$G$2:$G$20,MATCH($I439&amp;"|"&amp;$J439,Lists!$F$2:$F$20,0)),"")</f>
        <v/>
      </c>
    </row>
    <row r="440" customFormat="false" ht="19.5" hidden="false" customHeight="true" outlineLevel="0" collapsed="false">
      <c r="A440" s="29"/>
      <c r="B440" s="29"/>
      <c r="C440" s="30"/>
      <c r="D440" s="30"/>
      <c r="E440" s="31"/>
      <c r="F440" s="30"/>
      <c r="G440" s="30"/>
      <c r="H440" s="32"/>
      <c r="I440" s="33"/>
      <c r="J440" s="32"/>
      <c r="K440" s="34" t="str">
        <f aca="false">IF(OR(M440="",$E440=""),"",M440-$E440)</f>
        <v/>
      </c>
      <c r="L440" s="35" t="str">
        <f aca="false">IF(SUM(FA440:FN440)=0,"",SUM(EM440:EZ440)/SUM(FA440:FN440))</f>
        <v/>
      </c>
      <c r="M440" s="36" t="str">
        <f aca="false">IF(OR(L440="",FO440=""),"",IFERROR(MATCH(L440,INDEX(Boundaries!$B$2:$I$30,MATCH(FO440,Boundaries!$A$2:$A$30,0),0),1)-1,""))</f>
        <v/>
      </c>
      <c r="N440" s="37" t="str">
        <f aca="false">IF(COUNT($DY440:$EL440)&lt;2,"",INDEX($DK440:$DX440,MAX($DY440:$EL440))-INDEX($DK440:$DX440,MIN($DY440:$EL440)))</f>
        <v/>
      </c>
      <c r="O440" s="37" t="str">
        <f aca="false">IF(COUNT($DY440:$EL440)&lt;2,"",INDEX($DK440:$DX440,MAX($DY440:$EL440))-INDEX($DK440:$DX440,LARGE($DY440:$EL440,2)))</f>
        <v/>
      </c>
      <c r="P440" s="38" t="str">
        <f aca="false">IF(K440="","",IF(K440&gt;=0,"On/above target",IF(AND(N440&lt;&gt;"",N440&gt;=0.5),"Improving towards target",IF(AND(O440&lt;&gt;"",O440&lt;=-0.5),"Declining","Stable below target"))))</f>
        <v/>
      </c>
      <c r="Q440" s="39"/>
      <c r="R440" s="40" t="str">
        <f aca="false">IF(OR(Q440="",BU440=""),"",Q440/BU440*100)</f>
        <v/>
      </c>
      <c r="S440" s="41" t="str">
        <f aca="false">IF(R440="","",IFERROR(MATCH(R440,INDEX(Boundaries!$B$2:$I$30,MATCH(CI440,Boundaries!$A$2:$A$30,0),0),1)-1,""))</f>
        <v/>
      </c>
      <c r="T440" s="42" t="str">
        <f aca="false">IF(OR(S440="",$E440=""),"",S440-$E440)</f>
        <v/>
      </c>
      <c r="U440" s="39"/>
      <c r="V440" s="40" t="str">
        <f aca="false">IF(OR(U440="",BV440=""),"",U440/BV440*100)</f>
        <v/>
      </c>
      <c r="W440" s="41" t="str">
        <f aca="false">IF(V440="","",IFERROR(MATCH(V440,INDEX(Boundaries!$B$2:$I$30,MATCH(CJ440,Boundaries!$A$2:$A$30,0),0),1)-1,""))</f>
        <v/>
      </c>
      <c r="X440" s="42" t="str">
        <f aca="false">IF(OR(W440="",$E440=""),"",W440-$E440)</f>
        <v/>
      </c>
      <c r="Y440" s="39"/>
      <c r="Z440" s="40" t="str">
        <f aca="false">IF(OR(Y440="",BW440=""),"",Y440/BW440*100)</f>
        <v/>
      </c>
      <c r="AA440" s="41" t="str">
        <f aca="false">IF(Z440="","",IFERROR(MATCH(Z440,INDEX(Boundaries!$B$2:$I$30,MATCH(CK440,Boundaries!$A$2:$A$30,0),0),1)-1,""))</f>
        <v/>
      </c>
      <c r="AB440" s="42" t="str">
        <f aca="false">IF(OR(AA440="",$E440=""),"",AA440-$E440)</f>
        <v/>
      </c>
      <c r="AC440" s="39"/>
      <c r="AD440" s="40" t="str">
        <f aca="false">IF(OR(AC440="",BX440=""),"",AC440/BX440*100)</f>
        <v/>
      </c>
      <c r="AE440" s="41" t="str">
        <f aca="false">IF(AD440="","",IFERROR(MATCH(AD440,INDEX(Boundaries!$B$2:$I$30,MATCH(CL440,Boundaries!$A$2:$A$30,0),0),1)-1,""))</f>
        <v/>
      </c>
      <c r="AF440" s="42" t="str">
        <f aca="false">IF(OR(AE440="",$E440=""),"",AE440-$E440)</f>
        <v/>
      </c>
      <c r="AG440" s="39"/>
      <c r="AH440" s="40" t="str">
        <f aca="false">IF(OR(AG440="",BY440=""),"",AG440/BY440*100)</f>
        <v/>
      </c>
      <c r="AI440" s="41" t="str">
        <f aca="false">IF(AH440="","",IFERROR(MATCH(AH440,INDEX(Boundaries!$B$2:$I$30,MATCH(CM440,Boundaries!$A$2:$A$30,0),0),1)-1,""))</f>
        <v/>
      </c>
      <c r="AJ440" s="42" t="str">
        <f aca="false">IF(OR(AI440="",$E440=""),"",AI440-$E440)</f>
        <v/>
      </c>
      <c r="AK440" s="39"/>
      <c r="AL440" s="40" t="str">
        <f aca="false">IF(OR(AK440="",BZ440=""),"",AK440/BZ440*100)</f>
        <v/>
      </c>
      <c r="AM440" s="41" t="str">
        <f aca="false">IF(AL440="","",IFERROR(MATCH(AL440,INDEX(Boundaries!$B$2:$I$30,MATCH(CN440,Boundaries!$A$2:$A$30,0),0),1)-1,""))</f>
        <v/>
      </c>
      <c r="AN440" s="42" t="str">
        <f aca="false">IF(OR(AM440="",$E440=""),"",AM440-$E440)</f>
        <v/>
      </c>
      <c r="AO440" s="39"/>
      <c r="AP440" s="40" t="str">
        <f aca="false">IF(OR(AO440="",CA440=""),"",AO440/CA440*100)</f>
        <v/>
      </c>
      <c r="AQ440" s="41" t="str">
        <f aca="false">IF(AP440="","",IFERROR(MATCH(AP440,INDEX(Boundaries!$B$2:$I$30,MATCH(CO440,Boundaries!$A$2:$A$30,0),0),1)-1,""))</f>
        <v/>
      </c>
      <c r="AR440" s="42" t="str">
        <f aca="false">IF(OR(AQ440="",$E440=""),"",AQ440-$E440)</f>
        <v/>
      </c>
      <c r="AS440" s="39"/>
      <c r="AT440" s="40" t="str">
        <f aca="false">IF(OR(AS440="",CB440=""),"",AS440/CB440*100)</f>
        <v/>
      </c>
      <c r="AU440" s="41" t="str">
        <f aca="false">IF(AT440="","",IFERROR(MATCH(AT440,INDEX(Boundaries!$B$2:$I$30,MATCH(CP440,Boundaries!$A$2:$A$30,0),0),1)-1,""))</f>
        <v/>
      </c>
      <c r="AV440" s="42" t="str">
        <f aca="false">IF(OR(AU440="",$E440=""),"",AU440-$E440)</f>
        <v/>
      </c>
      <c r="AW440" s="39"/>
      <c r="AX440" s="40" t="str">
        <f aca="false">IF(OR(AW440="",CC440=""),"",AW440/CC440*100)</f>
        <v/>
      </c>
      <c r="AY440" s="41" t="str">
        <f aca="false">IF(AX440="","",IFERROR(MATCH(AX440,INDEX(Boundaries!$B$2:$I$30,MATCH(CQ440,Boundaries!$A$2:$A$30,0),0),1)-1,""))</f>
        <v/>
      </c>
      <c r="AZ440" s="42" t="str">
        <f aca="false">IF(OR(AY440="",$E440=""),"",AY440-$E440)</f>
        <v/>
      </c>
      <c r="BA440" s="39"/>
      <c r="BB440" s="40" t="str">
        <f aca="false">IF(OR(BA440="",CD440=""),"",BA440/CD440*100)</f>
        <v/>
      </c>
      <c r="BC440" s="41" t="str">
        <f aca="false">IF(BB440="","",IFERROR(MATCH(BB440,INDEX(Boundaries!$B$2:$I$30,MATCH(CR440,Boundaries!$A$2:$A$30,0),0),1)-1,""))</f>
        <v/>
      </c>
      <c r="BD440" s="42" t="str">
        <f aca="false">IF(OR(BC440="",$E440=""),"",BC440-$E440)</f>
        <v/>
      </c>
      <c r="BE440" s="39"/>
      <c r="BF440" s="40" t="str">
        <f aca="false">IF(OR(BE440="",CE440=""),"",BE440/CE440*100)</f>
        <v/>
      </c>
      <c r="BG440" s="41" t="str">
        <f aca="false">IF(BF440="","",IFERROR(MATCH(BF440,INDEX(Boundaries!$B$2:$I$30,MATCH(CS440,Boundaries!$A$2:$A$30,0),0),1)-1,""))</f>
        <v/>
      </c>
      <c r="BH440" s="42" t="str">
        <f aca="false">IF(OR(BG440="",$E440=""),"",BG440-$E440)</f>
        <v/>
      </c>
      <c r="BI440" s="39"/>
      <c r="BJ440" s="40" t="str">
        <f aca="false">IF(OR(BI440="",CF440=""),"",BI440/CF440*100)</f>
        <v/>
      </c>
      <c r="BK440" s="41" t="str">
        <f aca="false">IF(BJ440="","",IFERROR(MATCH(BJ440,INDEX(Boundaries!$B$2:$I$30,MATCH(CT440,Boundaries!$A$2:$A$30,0),0),1)-1,""))</f>
        <v/>
      </c>
      <c r="BL440" s="42" t="str">
        <f aca="false">IF(OR(BK440="",$E440=""),"",BK440-$E440)</f>
        <v/>
      </c>
      <c r="BM440" s="39"/>
      <c r="BN440" s="40" t="str">
        <f aca="false">IF(OR(BM440="",CG440=""),"",BM440/CG440*100)</f>
        <v/>
      </c>
      <c r="BO440" s="41" t="str">
        <f aca="false">IF(BN440="","",IFERROR(MATCH(BN440,INDEX(Boundaries!$B$2:$I$30,MATCH(CU440,Boundaries!$A$2:$A$30,0),0),1)-1,""))</f>
        <v/>
      </c>
      <c r="BP440" s="42" t="str">
        <f aca="false">IF(OR(BO440="",$E440=""),"",BO440-$E440)</f>
        <v/>
      </c>
      <c r="BQ440" s="39"/>
      <c r="BR440" s="40" t="str">
        <f aca="false">IF(OR(BQ440="",CH440=""),"",BQ440/CH440*100)</f>
        <v/>
      </c>
      <c r="BS440" s="41" t="str">
        <f aca="false">IF(BR440="","",IFERROR(MATCH(BR440,INDEX(Boundaries!$B$2:$I$30,MATCH(CV440,Boundaries!$A$2:$A$30,0),0),1)-1,""))</f>
        <v/>
      </c>
      <c r="BT440" s="42" t="str">
        <f aca="false">IF(OR(BS440="",$E440=""),"",BS440-$E440)</f>
        <v/>
      </c>
      <c r="BU440" s="28" t="str">
        <f aca="false">IFERROR(INDEX(Assessments!$H$2:$H$600,MATCH($H440&amp;"|"&amp;$I440&amp;"|"&amp;$J440&amp;"|"&amp;1,Assessments!$A$2:$A$600,0)),"")</f>
        <v/>
      </c>
      <c r="BV440" s="28" t="str">
        <f aca="false">IFERROR(INDEX(Assessments!$H$2:$H$600,MATCH($H440&amp;"|"&amp;$I440&amp;"|"&amp;$J440&amp;"|"&amp;2,Assessments!$A$2:$A$600,0)),"")</f>
        <v/>
      </c>
      <c r="BW440" s="28" t="str">
        <f aca="false">IFERROR(INDEX(Assessments!$H$2:$H$600,MATCH($H440&amp;"|"&amp;$I440&amp;"|"&amp;$J440&amp;"|"&amp;3,Assessments!$A$2:$A$600,0)),"")</f>
        <v/>
      </c>
      <c r="BX440" s="28" t="str">
        <f aca="false">IFERROR(INDEX(Assessments!$H$2:$H$600,MATCH($H440&amp;"|"&amp;$I440&amp;"|"&amp;$J440&amp;"|"&amp;4,Assessments!$A$2:$A$600,0)),"")</f>
        <v/>
      </c>
      <c r="BY440" s="28" t="str">
        <f aca="false">IFERROR(INDEX(Assessments!$H$2:$H$600,MATCH($H440&amp;"|"&amp;$I440&amp;"|"&amp;$J440&amp;"|"&amp;5,Assessments!$A$2:$A$600,0)),"")</f>
        <v/>
      </c>
      <c r="BZ440" s="28" t="str">
        <f aca="false">IFERROR(INDEX(Assessments!$H$2:$H$600,MATCH($H440&amp;"|"&amp;$I440&amp;"|"&amp;$J440&amp;"|"&amp;6,Assessments!$A$2:$A$600,0)),"")</f>
        <v/>
      </c>
      <c r="CA440" s="28" t="str">
        <f aca="false">IFERROR(INDEX(Assessments!$H$2:$H$600,MATCH($H440&amp;"|"&amp;$I440&amp;"|"&amp;$J440&amp;"|"&amp;7,Assessments!$A$2:$A$600,0)),"")</f>
        <v/>
      </c>
      <c r="CB440" s="28" t="str">
        <f aca="false">IFERROR(INDEX(Assessments!$H$2:$H$600,MATCH($H440&amp;"|"&amp;$I440&amp;"|"&amp;$J440&amp;"|"&amp;8,Assessments!$A$2:$A$600,0)),"")</f>
        <v/>
      </c>
      <c r="CC440" s="28" t="str">
        <f aca="false">IFERROR(INDEX(Assessments!$H$2:$H$600,MATCH($H440&amp;"|"&amp;$I440&amp;"|"&amp;$J440&amp;"|"&amp;9,Assessments!$A$2:$A$600,0)),"")</f>
        <v/>
      </c>
      <c r="CD440" s="28" t="str">
        <f aca="false">IFERROR(INDEX(Assessments!$H$2:$H$600,MATCH($H440&amp;"|"&amp;$I440&amp;"|"&amp;$J440&amp;"|"&amp;10,Assessments!$A$2:$A$600,0)),"")</f>
        <v/>
      </c>
      <c r="CE440" s="28" t="str">
        <f aca="false">IFERROR(INDEX(Assessments!$H$2:$H$600,MATCH($H440&amp;"|"&amp;$I440&amp;"|"&amp;$J440&amp;"|"&amp;11,Assessments!$A$2:$A$600,0)),"")</f>
        <v/>
      </c>
      <c r="CF440" s="28" t="str">
        <f aca="false">IFERROR(INDEX(Assessments!$H$2:$H$600,MATCH($H440&amp;"|"&amp;$I440&amp;"|"&amp;$J440&amp;"|"&amp;12,Assessments!$A$2:$A$600,0)),"")</f>
        <v/>
      </c>
      <c r="CG440" s="28" t="str">
        <f aca="false">IFERROR(INDEX(Assessments!$H$2:$H$600,MATCH($H440&amp;"|"&amp;$I440&amp;"|"&amp;$J440&amp;"|"&amp;13,Assessments!$A$2:$A$600,0)),"")</f>
        <v/>
      </c>
      <c r="CH440" s="28" t="str">
        <f aca="false">IFERROR(INDEX(Assessments!$H$2:$H$600,MATCH($H440&amp;"|"&amp;$I440&amp;"|"&amp;$J440&amp;"|"&amp;14,Assessments!$A$2:$A$600,0)),"")</f>
        <v/>
      </c>
      <c r="CI440" s="28" t="str">
        <f aca="false">IFERROR(INDEX(Assessments!$I$2:$I$600,MATCH($H440&amp;"|"&amp;$I440&amp;"|"&amp;$J440&amp;"|"&amp;1,Assessments!$A$2:$A$600,0)),"")</f>
        <v/>
      </c>
      <c r="CJ440" s="28" t="str">
        <f aca="false">IFERROR(INDEX(Assessments!$I$2:$I$600,MATCH($H440&amp;"|"&amp;$I440&amp;"|"&amp;$J440&amp;"|"&amp;2,Assessments!$A$2:$A$600,0)),"")</f>
        <v/>
      </c>
      <c r="CK440" s="28" t="str">
        <f aca="false">IFERROR(INDEX(Assessments!$I$2:$I$600,MATCH($H440&amp;"|"&amp;$I440&amp;"|"&amp;$J440&amp;"|"&amp;3,Assessments!$A$2:$A$600,0)),"")</f>
        <v/>
      </c>
      <c r="CL440" s="28" t="str">
        <f aca="false">IFERROR(INDEX(Assessments!$I$2:$I$600,MATCH($H440&amp;"|"&amp;$I440&amp;"|"&amp;$J440&amp;"|"&amp;4,Assessments!$A$2:$A$600,0)),"")</f>
        <v/>
      </c>
      <c r="CM440" s="28" t="str">
        <f aca="false">IFERROR(INDEX(Assessments!$I$2:$I$600,MATCH($H440&amp;"|"&amp;$I440&amp;"|"&amp;$J440&amp;"|"&amp;5,Assessments!$A$2:$A$600,0)),"")</f>
        <v/>
      </c>
      <c r="CN440" s="28" t="str">
        <f aca="false">IFERROR(INDEX(Assessments!$I$2:$I$600,MATCH($H440&amp;"|"&amp;$I440&amp;"|"&amp;$J440&amp;"|"&amp;6,Assessments!$A$2:$A$600,0)),"")</f>
        <v/>
      </c>
      <c r="CO440" s="28" t="str">
        <f aca="false">IFERROR(INDEX(Assessments!$I$2:$I$600,MATCH($H440&amp;"|"&amp;$I440&amp;"|"&amp;$J440&amp;"|"&amp;7,Assessments!$A$2:$A$600,0)),"")</f>
        <v/>
      </c>
      <c r="CP440" s="28" t="str">
        <f aca="false">IFERROR(INDEX(Assessments!$I$2:$I$600,MATCH($H440&amp;"|"&amp;$I440&amp;"|"&amp;$J440&amp;"|"&amp;8,Assessments!$A$2:$A$600,0)),"")</f>
        <v/>
      </c>
      <c r="CQ440" s="28" t="str">
        <f aca="false">IFERROR(INDEX(Assessments!$I$2:$I$600,MATCH($H440&amp;"|"&amp;$I440&amp;"|"&amp;$J440&amp;"|"&amp;9,Assessments!$A$2:$A$600,0)),"")</f>
        <v/>
      </c>
      <c r="CR440" s="28" t="str">
        <f aca="false">IFERROR(INDEX(Assessments!$I$2:$I$600,MATCH($H440&amp;"|"&amp;$I440&amp;"|"&amp;$J440&amp;"|"&amp;10,Assessments!$A$2:$A$600,0)),"")</f>
        <v/>
      </c>
      <c r="CS440" s="28" t="str">
        <f aca="false">IFERROR(INDEX(Assessments!$I$2:$I$600,MATCH($H440&amp;"|"&amp;$I440&amp;"|"&amp;$J440&amp;"|"&amp;11,Assessments!$A$2:$A$600,0)),"")</f>
        <v/>
      </c>
      <c r="CT440" s="28" t="str">
        <f aca="false">IFERROR(INDEX(Assessments!$I$2:$I$600,MATCH($H440&amp;"|"&amp;$I440&amp;"|"&amp;$J440&amp;"|"&amp;12,Assessments!$A$2:$A$600,0)),"")</f>
        <v/>
      </c>
      <c r="CU440" s="28" t="str">
        <f aca="false">IFERROR(INDEX(Assessments!$I$2:$I$600,MATCH($H440&amp;"|"&amp;$I440&amp;"|"&amp;$J440&amp;"|"&amp;13,Assessments!$A$2:$A$600,0)),"")</f>
        <v/>
      </c>
      <c r="CV440" s="28" t="str">
        <f aca="false">IFERROR(INDEX(Assessments!$I$2:$I$600,MATCH($H440&amp;"|"&amp;$I440&amp;"|"&amp;$J440&amp;"|"&amp;14,Assessments!$A$2:$A$600,0)),"")</f>
        <v/>
      </c>
      <c r="CW440" s="28" t="n">
        <f aca="false">IFERROR(INDEX(Assessments!$J$2:$J$600,MATCH($H440&amp;"|"&amp;$I440&amp;"|"&amp;$J440&amp;"|"&amp;1,Assessments!$A$2:$A$600,0)),0)</f>
        <v>0</v>
      </c>
      <c r="CX440" s="28" t="n">
        <f aca="false">IFERROR(INDEX(Assessments!$J$2:$J$600,MATCH($H440&amp;"|"&amp;$I440&amp;"|"&amp;$J440&amp;"|"&amp;2,Assessments!$A$2:$A$600,0)),0)</f>
        <v>0</v>
      </c>
      <c r="CY440" s="28" t="n">
        <f aca="false">IFERROR(INDEX(Assessments!$J$2:$J$600,MATCH($H440&amp;"|"&amp;$I440&amp;"|"&amp;$J440&amp;"|"&amp;3,Assessments!$A$2:$A$600,0)),0)</f>
        <v>0</v>
      </c>
      <c r="CZ440" s="28" t="n">
        <f aca="false">IFERROR(INDEX(Assessments!$J$2:$J$600,MATCH($H440&amp;"|"&amp;$I440&amp;"|"&amp;$J440&amp;"|"&amp;4,Assessments!$A$2:$A$600,0)),0)</f>
        <v>0</v>
      </c>
      <c r="DA440" s="28" t="n">
        <f aca="false">IFERROR(INDEX(Assessments!$J$2:$J$600,MATCH($H440&amp;"|"&amp;$I440&amp;"|"&amp;$J440&amp;"|"&amp;5,Assessments!$A$2:$A$600,0)),0)</f>
        <v>0</v>
      </c>
      <c r="DB440" s="28" t="n">
        <f aca="false">IFERROR(INDEX(Assessments!$J$2:$J$600,MATCH($H440&amp;"|"&amp;$I440&amp;"|"&amp;$J440&amp;"|"&amp;6,Assessments!$A$2:$A$600,0)),0)</f>
        <v>0</v>
      </c>
      <c r="DC440" s="28" t="n">
        <f aca="false">IFERROR(INDEX(Assessments!$J$2:$J$600,MATCH($H440&amp;"|"&amp;$I440&amp;"|"&amp;$J440&amp;"|"&amp;7,Assessments!$A$2:$A$600,0)),0)</f>
        <v>0</v>
      </c>
      <c r="DD440" s="28" t="n">
        <f aca="false">IFERROR(INDEX(Assessments!$J$2:$J$600,MATCH($H440&amp;"|"&amp;$I440&amp;"|"&amp;$J440&amp;"|"&amp;8,Assessments!$A$2:$A$600,0)),0)</f>
        <v>0</v>
      </c>
      <c r="DE440" s="28" t="n">
        <f aca="false">IFERROR(INDEX(Assessments!$J$2:$J$600,MATCH($H440&amp;"|"&amp;$I440&amp;"|"&amp;$J440&amp;"|"&amp;9,Assessments!$A$2:$A$600,0)),0)</f>
        <v>0</v>
      </c>
      <c r="DF440" s="28" t="n">
        <f aca="false">IFERROR(INDEX(Assessments!$J$2:$J$600,MATCH($H440&amp;"|"&amp;$I440&amp;"|"&amp;$J440&amp;"|"&amp;10,Assessments!$A$2:$A$600,0)),0)</f>
        <v>0</v>
      </c>
      <c r="DG440" s="28" t="n">
        <f aca="false">IFERROR(INDEX(Assessments!$J$2:$J$600,MATCH($H440&amp;"|"&amp;$I440&amp;"|"&amp;$J440&amp;"|"&amp;11,Assessments!$A$2:$A$600,0)),0)</f>
        <v>0</v>
      </c>
      <c r="DH440" s="28" t="n">
        <f aca="false">IFERROR(INDEX(Assessments!$J$2:$J$600,MATCH($H440&amp;"|"&amp;$I440&amp;"|"&amp;$J440&amp;"|"&amp;12,Assessments!$A$2:$A$600,0)),0)</f>
        <v>0</v>
      </c>
      <c r="DI440" s="28" t="n">
        <f aca="false">IFERROR(INDEX(Assessments!$J$2:$J$600,MATCH($H440&amp;"|"&amp;$I440&amp;"|"&amp;$J440&amp;"|"&amp;13,Assessments!$A$2:$A$600,0)),0)</f>
        <v>0</v>
      </c>
      <c r="DJ440" s="28" t="n">
        <f aca="false">IFERROR(INDEX(Assessments!$J$2:$J$600,MATCH($H440&amp;"|"&amp;$I440&amp;"|"&amp;$J440&amp;"|"&amp;14,Assessments!$A$2:$A$600,0)),0)</f>
        <v>0</v>
      </c>
      <c r="DK440" s="28" t="str">
        <f aca="false">S440</f>
        <v/>
      </c>
      <c r="DL440" s="28" t="str">
        <f aca="false">W440</f>
        <v/>
      </c>
      <c r="DM440" s="28" t="str">
        <f aca="false">AA440</f>
        <v/>
      </c>
      <c r="DN440" s="28" t="str">
        <f aca="false">AE440</f>
        <v/>
      </c>
      <c r="DO440" s="28" t="str">
        <f aca="false">AI440</f>
        <v/>
      </c>
      <c r="DP440" s="28" t="str">
        <f aca="false">AM440</f>
        <v/>
      </c>
      <c r="DQ440" s="28" t="str">
        <f aca="false">AQ440</f>
        <v/>
      </c>
      <c r="DR440" s="28" t="str">
        <f aca="false">AU440</f>
        <v/>
      </c>
      <c r="DS440" s="28" t="str">
        <f aca="false">AY440</f>
        <v/>
      </c>
      <c r="DT440" s="28" t="str">
        <f aca="false">BC440</f>
        <v/>
      </c>
      <c r="DU440" s="28" t="str">
        <f aca="false">BG440</f>
        <v/>
      </c>
      <c r="DV440" s="28" t="str">
        <f aca="false">BK440</f>
        <v/>
      </c>
      <c r="DW440" s="28" t="str">
        <f aca="false">BO440</f>
        <v/>
      </c>
      <c r="DX440" s="28" t="str">
        <f aca="false">BS440</f>
        <v/>
      </c>
      <c r="DY440" s="28" t="str">
        <f aca="false">IF(ISNUMBER(S440),1,"")</f>
        <v/>
      </c>
      <c r="DZ440" s="28" t="str">
        <f aca="false">IF(ISNUMBER(W440),2,"")</f>
        <v/>
      </c>
      <c r="EA440" s="28" t="str">
        <f aca="false">IF(ISNUMBER(AA440),3,"")</f>
        <v/>
      </c>
      <c r="EB440" s="28" t="str">
        <f aca="false">IF(ISNUMBER(AE440),4,"")</f>
        <v/>
      </c>
      <c r="EC440" s="28" t="str">
        <f aca="false">IF(ISNUMBER(AI440),5,"")</f>
        <v/>
      </c>
      <c r="ED440" s="28" t="str">
        <f aca="false">IF(ISNUMBER(AM440),6,"")</f>
        <v/>
      </c>
      <c r="EE440" s="28" t="str">
        <f aca="false">IF(ISNUMBER(AQ440),7,"")</f>
        <v/>
      </c>
      <c r="EF440" s="28" t="str">
        <f aca="false">IF(ISNUMBER(AU440),8,"")</f>
        <v/>
      </c>
      <c r="EG440" s="28" t="str">
        <f aca="false">IF(ISNUMBER(AY440),9,"")</f>
        <v/>
      </c>
      <c r="EH440" s="28" t="str">
        <f aca="false">IF(ISNUMBER(BC440),10,"")</f>
        <v/>
      </c>
      <c r="EI440" s="28" t="str">
        <f aca="false">IF(ISNUMBER(BG440),11,"")</f>
        <v/>
      </c>
      <c r="EJ440" s="28" t="str">
        <f aca="false">IF(ISNUMBER(BK440),12,"")</f>
        <v/>
      </c>
      <c r="EK440" s="28" t="str">
        <f aca="false">IF(ISNUMBER(BO440),13,"")</f>
        <v/>
      </c>
      <c r="EL440" s="28" t="str">
        <f aca="false">IF(ISNUMBER(BS440),14,"")</f>
        <v/>
      </c>
      <c r="EM440" s="28" t="n">
        <f aca="false">IF(ISNUMBER(R440),R440*CW440,0)</f>
        <v>0</v>
      </c>
      <c r="EN440" s="28" t="n">
        <f aca="false">IF(ISNUMBER(V440),V440*CX440,0)</f>
        <v>0</v>
      </c>
      <c r="EO440" s="28" t="n">
        <f aca="false">IF(ISNUMBER(Z440),Z440*CY440,0)</f>
        <v>0</v>
      </c>
      <c r="EP440" s="28" t="n">
        <f aca="false">IF(ISNUMBER(AD440),AD440*CZ440,0)</f>
        <v>0</v>
      </c>
      <c r="EQ440" s="28" t="n">
        <f aca="false">IF(ISNUMBER(AH440),AH440*DA440,0)</f>
        <v>0</v>
      </c>
      <c r="ER440" s="28" t="n">
        <f aca="false">IF(ISNUMBER(AL440),AL440*DB440,0)</f>
        <v>0</v>
      </c>
      <c r="ES440" s="28" t="n">
        <f aca="false">IF(ISNUMBER(AP440),AP440*DC440,0)</f>
        <v>0</v>
      </c>
      <c r="ET440" s="28" t="n">
        <f aca="false">IF(ISNUMBER(AT440),AT440*DD440,0)</f>
        <v>0</v>
      </c>
      <c r="EU440" s="28" t="n">
        <f aca="false">IF(ISNUMBER(AX440),AX440*DE440,0)</f>
        <v>0</v>
      </c>
      <c r="EV440" s="28" t="n">
        <f aca="false">IF(ISNUMBER(BB440),BB440*DF440,0)</f>
        <v>0</v>
      </c>
      <c r="EW440" s="28" t="n">
        <f aca="false">IF(ISNUMBER(BF440),BF440*DG440,0)</f>
        <v>0</v>
      </c>
      <c r="EX440" s="28" t="n">
        <f aca="false">IF(ISNUMBER(BJ440),BJ440*DH440,0)</f>
        <v>0</v>
      </c>
      <c r="EY440" s="28" t="n">
        <f aca="false">IF(ISNUMBER(BN440),BN440*DI440,0)</f>
        <v>0</v>
      </c>
      <c r="EZ440" s="28" t="n">
        <f aca="false">IF(ISNUMBER(BR440),BR440*DJ440,0)</f>
        <v>0</v>
      </c>
      <c r="FA440" s="28" t="n">
        <f aca="false">IF(ISNUMBER(R440),CW440,0)</f>
        <v>0</v>
      </c>
      <c r="FB440" s="28" t="n">
        <f aca="false">IF(ISNUMBER(V440),CX440,0)</f>
        <v>0</v>
      </c>
      <c r="FC440" s="28" t="n">
        <f aca="false">IF(ISNUMBER(Z440),CY440,0)</f>
        <v>0</v>
      </c>
      <c r="FD440" s="28" t="n">
        <f aca="false">IF(ISNUMBER(AD440),CZ440,0)</f>
        <v>0</v>
      </c>
      <c r="FE440" s="28" t="n">
        <f aca="false">IF(ISNUMBER(AH440),DA440,0)</f>
        <v>0</v>
      </c>
      <c r="FF440" s="28" t="n">
        <f aca="false">IF(ISNUMBER(AL440),DB440,0)</f>
        <v>0</v>
      </c>
      <c r="FG440" s="28" t="n">
        <f aca="false">IF(ISNUMBER(AP440),DC440,0)</f>
        <v>0</v>
      </c>
      <c r="FH440" s="28" t="n">
        <f aca="false">IF(ISNUMBER(AT440),DD440,0)</f>
        <v>0</v>
      </c>
      <c r="FI440" s="28" t="n">
        <f aca="false">IF(ISNUMBER(AX440),DE440,0)</f>
        <v>0</v>
      </c>
      <c r="FJ440" s="28" t="n">
        <f aca="false">IF(ISNUMBER(BB440),DF440,0)</f>
        <v>0</v>
      </c>
      <c r="FK440" s="28" t="n">
        <f aca="false">IF(ISNUMBER(BF440),DG440,0)</f>
        <v>0</v>
      </c>
      <c r="FL440" s="28" t="n">
        <f aca="false">IF(ISNUMBER(BJ440),DH440,0)</f>
        <v>0</v>
      </c>
      <c r="FM440" s="28" t="n">
        <f aca="false">IF(ISNUMBER(BN440),DI440,0)</f>
        <v>0</v>
      </c>
      <c r="FN440" s="28" t="n">
        <f aca="false">IF(ISNUMBER(BR440),DJ440,0)</f>
        <v>0</v>
      </c>
      <c r="FO440" s="28" t="str">
        <f aca="false">IFERROR(INDEX(Lists!$G$2:$G$20,MATCH($I440&amp;"|"&amp;$J440,Lists!$F$2:$F$20,0)),"")</f>
        <v/>
      </c>
    </row>
    <row r="441" customFormat="false" ht="19.5" hidden="false" customHeight="true" outlineLevel="0" collapsed="false">
      <c r="A441" s="29"/>
      <c r="B441" s="29"/>
      <c r="C441" s="30"/>
      <c r="D441" s="30"/>
      <c r="E441" s="31"/>
      <c r="F441" s="30"/>
      <c r="G441" s="30"/>
      <c r="H441" s="32"/>
      <c r="I441" s="33"/>
      <c r="J441" s="32"/>
      <c r="K441" s="34" t="str">
        <f aca="false">IF(OR(M441="",$E441=""),"",M441-$E441)</f>
        <v/>
      </c>
      <c r="L441" s="35" t="str">
        <f aca="false">IF(SUM(FA441:FN441)=0,"",SUM(EM441:EZ441)/SUM(FA441:FN441))</f>
        <v/>
      </c>
      <c r="M441" s="36" t="str">
        <f aca="false">IF(OR(L441="",FO441=""),"",IFERROR(MATCH(L441,INDEX(Boundaries!$B$2:$I$30,MATCH(FO441,Boundaries!$A$2:$A$30,0),0),1)-1,""))</f>
        <v/>
      </c>
      <c r="N441" s="37" t="str">
        <f aca="false">IF(COUNT($DY441:$EL441)&lt;2,"",INDEX($DK441:$DX441,MAX($DY441:$EL441))-INDEX($DK441:$DX441,MIN($DY441:$EL441)))</f>
        <v/>
      </c>
      <c r="O441" s="37" t="str">
        <f aca="false">IF(COUNT($DY441:$EL441)&lt;2,"",INDEX($DK441:$DX441,MAX($DY441:$EL441))-INDEX($DK441:$DX441,LARGE($DY441:$EL441,2)))</f>
        <v/>
      </c>
      <c r="P441" s="38" t="str">
        <f aca="false">IF(K441="","",IF(K441&gt;=0,"On/above target",IF(AND(N441&lt;&gt;"",N441&gt;=0.5),"Improving towards target",IF(AND(O441&lt;&gt;"",O441&lt;=-0.5),"Declining","Stable below target"))))</f>
        <v/>
      </c>
      <c r="Q441" s="39"/>
      <c r="R441" s="40" t="str">
        <f aca="false">IF(OR(Q441="",BU441=""),"",Q441/BU441*100)</f>
        <v/>
      </c>
      <c r="S441" s="41" t="str">
        <f aca="false">IF(R441="","",IFERROR(MATCH(R441,INDEX(Boundaries!$B$2:$I$30,MATCH(CI441,Boundaries!$A$2:$A$30,0),0),1)-1,""))</f>
        <v/>
      </c>
      <c r="T441" s="42" t="str">
        <f aca="false">IF(OR(S441="",$E441=""),"",S441-$E441)</f>
        <v/>
      </c>
      <c r="U441" s="39"/>
      <c r="V441" s="40" t="str">
        <f aca="false">IF(OR(U441="",BV441=""),"",U441/BV441*100)</f>
        <v/>
      </c>
      <c r="W441" s="41" t="str">
        <f aca="false">IF(V441="","",IFERROR(MATCH(V441,INDEX(Boundaries!$B$2:$I$30,MATCH(CJ441,Boundaries!$A$2:$A$30,0),0),1)-1,""))</f>
        <v/>
      </c>
      <c r="X441" s="42" t="str">
        <f aca="false">IF(OR(W441="",$E441=""),"",W441-$E441)</f>
        <v/>
      </c>
      <c r="Y441" s="39"/>
      <c r="Z441" s="40" t="str">
        <f aca="false">IF(OR(Y441="",BW441=""),"",Y441/BW441*100)</f>
        <v/>
      </c>
      <c r="AA441" s="41" t="str">
        <f aca="false">IF(Z441="","",IFERROR(MATCH(Z441,INDEX(Boundaries!$B$2:$I$30,MATCH(CK441,Boundaries!$A$2:$A$30,0),0),1)-1,""))</f>
        <v/>
      </c>
      <c r="AB441" s="42" t="str">
        <f aca="false">IF(OR(AA441="",$E441=""),"",AA441-$E441)</f>
        <v/>
      </c>
      <c r="AC441" s="39"/>
      <c r="AD441" s="40" t="str">
        <f aca="false">IF(OR(AC441="",BX441=""),"",AC441/BX441*100)</f>
        <v/>
      </c>
      <c r="AE441" s="41" t="str">
        <f aca="false">IF(AD441="","",IFERROR(MATCH(AD441,INDEX(Boundaries!$B$2:$I$30,MATCH(CL441,Boundaries!$A$2:$A$30,0),0),1)-1,""))</f>
        <v/>
      </c>
      <c r="AF441" s="42" t="str">
        <f aca="false">IF(OR(AE441="",$E441=""),"",AE441-$E441)</f>
        <v/>
      </c>
      <c r="AG441" s="39"/>
      <c r="AH441" s="40" t="str">
        <f aca="false">IF(OR(AG441="",BY441=""),"",AG441/BY441*100)</f>
        <v/>
      </c>
      <c r="AI441" s="41" t="str">
        <f aca="false">IF(AH441="","",IFERROR(MATCH(AH441,INDEX(Boundaries!$B$2:$I$30,MATCH(CM441,Boundaries!$A$2:$A$30,0),0),1)-1,""))</f>
        <v/>
      </c>
      <c r="AJ441" s="42" t="str">
        <f aca="false">IF(OR(AI441="",$E441=""),"",AI441-$E441)</f>
        <v/>
      </c>
      <c r="AK441" s="39"/>
      <c r="AL441" s="40" t="str">
        <f aca="false">IF(OR(AK441="",BZ441=""),"",AK441/BZ441*100)</f>
        <v/>
      </c>
      <c r="AM441" s="41" t="str">
        <f aca="false">IF(AL441="","",IFERROR(MATCH(AL441,INDEX(Boundaries!$B$2:$I$30,MATCH(CN441,Boundaries!$A$2:$A$30,0),0),1)-1,""))</f>
        <v/>
      </c>
      <c r="AN441" s="42" t="str">
        <f aca="false">IF(OR(AM441="",$E441=""),"",AM441-$E441)</f>
        <v/>
      </c>
      <c r="AO441" s="39"/>
      <c r="AP441" s="40" t="str">
        <f aca="false">IF(OR(AO441="",CA441=""),"",AO441/CA441*100)</f>
        <v/>
      </c>
      <c r="AQ441" s="41" t="str">
        <f aca="false">IF(AP441="","",IFERROR(MATCH(AP441,INDEX(Boundaries!$B$2:$I$30,MATCH(CO441,Boundaries!$A$2:$A$30,0),0),1)-1,""))</f>
        <v/>
      </c>
      <c r="AR441" s="42" t="str">
        <f aca="false">IF(OR(AQ441="",$E441=""),"",AQ441-$E441)</f>
        <v/>
      </c>
      <c r="AS441" s="39"/>
      <c r="AT441" s="40" t="str">
        <f aca="false">IF(OR(AS441="",CB441=""),"",AS441/CB441*100)</f>
        <v/>
      </c>
      <c r="AU441" s="41" t="str">
        <f aca="false">IF(AT441="","",IFERROR(MATCH(AT441,INDEX(Boundaries!$B$2:$I$30,MATCH(CP441,Boundaries!$A$2:$A$30,0),0),1)-1,""))</f>
        <v/>
      </c>
      <c r="AV441" s="42" t="str">
        <f aca="false">IF(OR(AU441="",$E441=""),"",AU441-$E441)</f>
        <v/>
      </c>
      <c r="AW441" s="39"/>
      <c r="AX441" s="40" t="str">
        <f aca="false">IF(OR(AW441="",CC441=""),"",AW441/CC441*100)</f>
        <v/>
      </c>
      <c r="AY441" s="41" t="str">
        <f aca="false">IF(AX441="","",IFERROR(MATCH(AX441,INDEX(Boundaries!$B$2:$I$30,MATCH(CQ441,Boundaries!$A$2:$A$30,0),0),1)-1,""))</f>
        <v/>
      </c>
      <c r="AZ441" s="42" t="str">
        <f aca="false">IF(OR(AY441="",$E441=""),"",AY441-$E441)</f>
        <v/>
      </c>
      <c r="BA441" s="39"/>
      <c r="BB441" s="40" t="str">
        <f aca="false">IF(OR(BA441="",CD441=""),"",BA441/CD441*100)</f>
        <v/>
      </c>
      <c r="BC441" s="41" t="str">
        <f aca="false">IF(BB441="","",IFERROR(MATCH(BB441,INDEX(Boundaries!$B$2:$I$30,MATCH(CR441,Boundaries!$A$2:$A$30,0),0),1)-1,""))</f>
        <v/>
      </c>
      <c r="BD441" s="42" t="str">
        <f aca="false">IF(OR(BC441="",$E441=""),"",BC441-$E441)</f>
        <v/>
      </c>
      <c r="BE441" s="39"/>
      <c r="BF441" s="40" t="str">
        <f aca="false">IF(OR(BE441="",CE441=""),"",BE441/CE441*100)</f>
        <v/>
      </c>
      <c r="BG441" s="41" t="str">
        <f aca="false">IF(BF441="","",IFERROR(MATCH(BF441,INDEX(Boundaries!$B$2:$I$30,MATCH(CS441,Boundaries!$A$2:$A$30,0),0),1)-1,""))</f>
        <v/>
      </c>
      <c r="BH441" s="42" t="str">
        <f aca="false">IF(OR(BG441="",$E441=""),"",BG441-$E441)</f>
        <v/>
      </c>
      <c r="BI441" s="39"/>
      <c r="BJ441" s="40" t="str">
        <f aca="false">IF(OR(BI441="",CF441=""),"",BI441/CF441*100)</f>
        <v/>
      </c>
      <c r="BK441" s="41" t="str">
        <f aca="false">IF(BJ441="","",IFERROR(MATCH(BJ441,INDEX(Boundaries!$B$2:$I$30,MATCH(CT441,Boundaries!$A$2:$A$30,0),0),1)-1,""))</f>
        <v/>
      </c>
      <c r="BL441" s="42" t="str">
        <f aca="false">IF(OR(BK441="",$E441=""),"",BK441-$E441)</f>
        <v/>
      </c>
      <c r="BM441" s="39"/>
      <c r="BN441" s="40" t="str">
        <f aca="false">IF(OR(BM441="",CG441=""),"",BM441/CG441*100)</f>
        <v/>
      </c>
      <c r="BO441" s="41" t="str">
        <f aca="false">IF(BN441="","",IFERROR(MATCH(BN441,INDEX(Boundaries!$B$2:$I$30,MATCH(CU441,Boundaries!$A$2:$A$30,0),0),1)-1,""))</f>
        <v/>
      </c>
      <c r="BP441" s="42" t="str">
        <f aca="false">IF(OR(BO441="",$E441=""),"",BO441-$E441)</f>
        <v/>
      </c>
      <c r="BQ441" s="39"/>
      <c r="BR441" s="40" t="str">
        <f aca="false">IF(OR(BQ441="",CH441=""),"",BQ441/CH441*100)</f>
        <v/>
      </c>
      <c r="BS441" s="41" t="str">
        <f aca="false">IF(BR441="","",IFERROR(MATCH(BR441,INDEX(Boundaries!$B$2:$I$30,MATCH(CV441,Boundaries!$A$2:$A$30,0),0),1)-1,""))</f>
        <v/>
      </c>
      <c r="BT441" s="42" t="str">
        <f aca="false">IF(OR(BS441="",$E441=""),"",BS441-$E441)</f>
        <v/>
      </c>
      <c r="BU441" s="28" t="str">
        <f aca="false">IFERROR(INDEX(Assessments!$H$2:$H$600,MATCH($H441&amp;"|"&amp;$I441&amp;"|"&amp;$J441&amp;"|"&amp;1,Assessments!$A$2:$A$600,0)),"")</f>
        <v/>
      </c>
      <c r="BV441" s="28" t="str">
        <f aca="false">IFERROR(INDEX(Assessments!$H$2:$H$600,MATCH($H441&amp;"|"&amp;$I441&amp;"|"&amp;$J441&amp;"|"&amp;2,Assessments!$A$2:$A$600,0)),"")</f>
        <v/>
      </c>
      <c r="BW441" s="28" t="str">
        <f aca="false">IFERROR(INDEX(Assessments!$H$2:$H$600,MATCH($H441&amp;"|"&amp;$I441&amp;"|"&amp;$J441&amp;"|"&amp;3,Assessments!$A$2:$A$600,0)),"")</f>
        <v/>
      </c>
      <c r="BX441" s="28" t="str">
        <f aca="false">IFERROR(INDEX(Assessments!$H$2:$H$600,MATCH($H441&amp;"|"&amp;$I441&amp;"|"&amp;$J441&amp;"|"&amp;4,Assessments!$A$2:$A$600,0)),"")</f>
        <v/>
      </c>
      <c r="BY441" s="28" t="str">
        <f aca="false">IFERROR(INDEX(Assessments!$H$2:$H$600,MATCH($H441&amp;"|"&amp;$I441&amp;"|"&amp;$J441&amp;"|"&amp;5,Assessments!$A$2:$A$600,0)),"")</f>
        <v/>
      </c>
      <c r="BZ441" s="28" t="str">
        <f aca="false">IFERROR(INDEX(Assessments!$H$2:$H$600,MATCH($H441&amp;"|"&amp;$I441&amp;"|"&amp;$J441&amp;"|"&amp;6,Assessments!$A$2:$A$600,0)),"")</f>
        <v/>
      </c>
      <c r="CA441" s="28" t="str">
        <f aca="false">IFERROR(INDEX(Assessments!$H$2:$H$600,MATCH($H441&amp;"|"&amp;$I441&amp;"|"&amp;$J441&amp;"|"&amp;7,Assessments!$A$2:$A$600,0)),"")</f>
        <v/>
      </c>
      <c r="CB441" s="28" t="str">
        <f aca="false">IFERROR(INDEX(Assessments!$H$2:$H$600,MATCH($H441&amp;"|"&amp;$I441&amp;"|"&amp;$J441&amp;"|"&amp;8,Assessments!$A$2:$A$600,0)),"")</f>
        <v/>
      </c>
      <c r="CC441" s="28" t="str">
        <f aca="false">IFERROR(INDEX(Assessments!$H$2:$H$600,MATCH($H441&amp;"|"&amp;$I441&amp;"|"&amp;$J441&amp;"|"&amp;9,Assessments!$A$2:$A$600,0)),"")</f>
        <v/>
      </c>
      <c r="CD441" s="28" t="str">
        <f aca="false">IFERROR(INDEX(Assessments!$H$2:$H$600,MATCH($H441&amp;"|"&amp;$I441&amp;"|"&amp;$J441&amp;"|"&amp;10,Assessments!$A$2:$A$600,0)),"")</f>
        <v/>
      </c>
      <c r="CE441" s="28" t="str">
        <f aca="false">IFERROR(INDEX(Assessments!$H$2:$H$600,MATCH($H441&amp;"|"&amp;$I441&amp;"|"&amp;$J441&amp;"|"&amp;11,Assessments!$A$2:$A$600,0)),"")</f>
        <v/>
      </c>
      <c r="CF441" s="28" t="str">
        <f aca="false">IFERROR(INDEX(Assessments!$H$2:$H$600,MATCH($H441&amp;"|"&amp;$I441&amp;"|"&amp;$J441&amp;"|"&amp;12,Assessments!$A$2:$A$600,0)),"")</f>
        <v/>
      </c>
      <c r="CG441" s="28" t="str">
        <f aca="false">IFERROR(INDEX(Assessments!$H$2:$H$600,MATCH($H441&amp;"|"&amp;$I441&amp;"|"&amp;$J441&amp;"|"&amp;13,Assessments!$A$2:$A$600,0)),"")</f>
        <v/>
      </c>
      <c r="CH441" s="28" t="str">
        <f aca="false">IFERROR(INDEX(Assessments!$H$2:$H$600,MATCH($H441&amp;"|"&amp;$I441&amp;"|"&amp;$J441&amp;"|"&amp;14,Assessments!$A$2:$A$600,0)),"")</f>
        <v/>
      </c>
      <c r="CI441" s="28" t="str">
        <f aca="false">IFERROR(INDEX(Assessments!$I$2:$I$600,MATCH($H441&amp;"|"&amp;$I441&amp;"|"&amp;$J441&amp;"|"&amp;1,Assessments!$A$2:$A$600,0)),"")</f>
        <v/>
      </c>
      <c r="CJ441" s="28" t="str">
        <f aca="false">IFERROR(INDEX(Assessments!$I$2:$I$600,MATCH($H441&amp;"|"&amp;$I441&amp;"|"&amp;$J441&amp;"|"&amp;2,Assessments!$A$2:$A$600,0)),"")</f>
        <v/>
      </c>
      <c r="CK441" s="28" t="str">
        <f aca="false">IFERROR(INDEX(Assessments!$I$2:$I$600,MATCH($H441&amp;"|"&amp;$I441&amp;"|"&amp;$J441&amp;"|"&amp;3,Assessments!$A$2:$A$600,0)),"")</f>
        <v/>
      </c>
      <c r="CL441" s="28" t="str">
        <f aca="false">IFERROR(INDEX(Assessments!$I$2:$I$600,MATCH($H441&amp;"|"&amp;$I441&amp;"|"&amp;$J441&amp;"|"&amp;4,Assessments!$A$2:$A$600,0)),"")</f>
        <v/>
      </c>
      <c r="CM441" s="28" t="str">
        <f aca="false">IFERROR(INDEX(Assessments!$I$2:$I$600,MATCH($H441&amp;"|"&amp;$I441&amp;"|"&amp;$J441&amp;"|"&amp;5,Assessments!$A$2:$A$600,0)),"")</f>
        <v/>
      </c>
      <c r="CN441" s="28" t="str">
        <f aca="false">IFERROR(INDEX(Assessments!$I$2:$I$600,MATCH($H441&amp;"|"&amp;$I441&amp;"|"&amp;$J441&amp;"|"&amp;6,Assessments!$A$2:$A$600,0)),"")</f>
        <v/>
      </c>
      <c r="CO441" s="28" t="str">
        <f aca="false">IFERROR(INDEX(Assessments!$I$2:$I$600,MATCH($H441&amp;"|"&amp;$I441&amp;"|"&amp;$J441&amp;"|"&amp;7,Assessments!$A$2:$A$600,0)),"")</f>
        <v/>
      </c>
      <c r="CP441" s="28" t="str">
        <f aca="false">IFERROR(INDEX(Assessments!$I$2:$I$600,MATCH($H441&amp;"|"&amp;$I441&amp;"|"&amp;$J441&amp;"|"&amp;8,Assessments!$A$2:$A$600,0)),"")</f>
        <v/>
      </c>
      <c r="CQ441" s="28" t="str">
        <f aca="false">IFERROR(INDEX(Assessments!$I$2:$I$600,MATCH($H441&amp;"|"&amp;$I441&amp;"|"&amp;$J441&amp;"|"&amp;9,Assessments!$A$2:$A$600,0)),"")</f>
        <v/>
      </c>
      <c r="CR441" s="28" t="str">
        <f aca="false">IFERROR(INDEX(Assessments!$I$2:$I$600,MATCH($H441&amp;"|"&amp;$I441&amp;"|"&amp;$J441&amp;"|"&amp;10,Assessments!$A$2:$A$600,0)),"")</f>
        <v/>
      </c>
      <c r="CS441" s="28" t="str">
        <f aca="false">IFERROR(INDEX(Assessments!$I$2:$I$600,MATCH($H441&amp;"|"&amp;$I441&amp;"|"&amp;$J441&amp;"|"&amp;11,Assessments!$A$2:$A$600,0)),"")</f>
        <v/>
      </c>
      <c r="CT441" s="28" t="str">
        <f aca="false">IFERROR(INDEX(Assessments!$I$2:$I$600,MATCH($H441&amp;"|"&amp;$I441&amp;"|"&amp;$J441&amp;"|"&amp;12,Assessments!$A$2:$A$600,0)),"")</f>
        <v/>
      </c>
      <c r="CU441" s="28" t="str">
        <f aca="false">IFERROR(INDEX(Assessments!$I$2:$I$600,MATCH($H441&amp;"|"&amp;$I441&amp;"|"&amp;$J441&amp;"|"&amp;13,Assessments!$A$2:$A$600,0)),"")</f>
        <v/>
      </c>
      <c r="CV441" s="28" t="str">
        <f aca="false">IFERROR(INDEX(Assessments!$I$2:$I$600,MATCH($H441&amp;"|"&amp;$I441&amp;"|"&amp;$J441&amp;"|"&amp;14,Assessments!$A$2:$A$600,0)),"")</f>
        <v/>
      </c>
      <c r="CW441" s="28" t="n">
        <f aca="false">IFERROR(INDEX(Assessments!$J$2:$J$600,MATCH($H441&amp;"|"&amp;$I441&amp;"|"&amp;$J441&amp;"|"&amp;1,Assessments!$A$2:$A$600,0)),0)</f>
        <v>0</v>
      </c>
      <c r="CX441" s="28" t="n">
        <f aca="false">IFERROR(INDEX(Assessments!$J$2:$J$600,MATCH($H441&amp;"|"&amp;$I441&amp;"|"&amp;$J441&amp;"|"&amp;2,Assessments!$A$2:$A$600,0)),0)</f>
        <v>0</v>
      </c>
      <c r="CY441" s="28" t="n">
        <f aca="false">IFERROR(INDEX(Assessments!$J$2:$J$600,MATCH($H441&amp;"|"&amp;$I441&amp;"|"&amp;$J441&amp;"|"&amp;3,Assessments!$A$2:$A$600,0)),0)</f>
        <v>0</v>
      </c>
      <c r="CZ441" s="28" t="n">
        <f aca="false">IFERROR(INDEX(Assessments!$J$2:$J$600,MATCH($H441&amp;"|"&amp;$I441&amp;"|"&amp;$J441&amp;"|"&amp;4,Assessments!$A$2:$A$600,0)),0)</f>
        <v>0</v>
      </c>
      <c r="DA441" s="28" t="n">
        <f aca="false">IFERROR(INDEX(Assessments!$J$2:$J$600,MATCH($H441&amp;"|"&amp;$I441&amp;"|"&amp;$J441&amp;"|"&amp;5,Assessments!$A$2:$A$600,0)),0)</f>
        <v>0</v>
      </c>
      <c r="DB441" s="28" t="n">
        <f aca="false">IFERROR(INDEX(Assessments!$J$2:$J$600,MATCH($H441&amp;"|"&amp;$I441&amp;"|"&amp;$J441&amp;"|"&amp;6,Assessments!$A$2:$A$600,0)),0)</f>
        <v>0</v>
      </c>
      <c r="DC441" s="28" t="n">
        <f aca="false">IFERROR(INDEX(Assessments!$J$2:$J$600,MATCH($H441&amp;"|"&amp;$I441&amp;"|"&amp;$J441&amp;"|"&amp;7,Assessments!$A$2:$A$600,0)),0)</f>
        <v>0</v>
      </c>
      <c r="DD441" s="28" t="n">
        <f aca="false">IFERROR(INDEX(Assessments!$J$2:$J$600,MATCH($H441&amp;"|"&amp;$I441&amp;"|"&amp;$J441&amp;"|"&amp;8,Assessments!$A$2:$A$600,0)),0)</f>
        <v>0</v>
      </c>
      <c r="DE441" s="28" t="n">
        <f aca="false">IFERROR(INDEX(Assessments!$J$2:$J$600,MATCH($H441&amp;"|"&amp;$I441&amp;"|"&amp;$J441&amp;"|"&amp;9,Assessments!$A$2:$A$600,0)),0)</f>
        <v>0</v>
      </c>
      <c r="DF441" s="28" t="n">
        <f aca="false">IFERROR(INDEX(Assessments!$J$2:$J$600,MATCH($H441&amp;"|"&amp;$I441&amp;"|"&amp;$J441&amp;"|"&amp;10,Assessments!$A$2:$A$600,0)),0)</f>
        <v>0</v>
      </c>
      <c r="DG441" s="28" t="n">
        <f aca="false">IFERROR(INDEX(Assessments!$J$2:$J$600,MATCH($H441&amp;"|"&amp;$I441&amp;"|"&amp;$J441&amp;"|"&amp;11,Assessments!$A$2:$A$600,0)),0)</f>
        <v>0</v>
      </c>
      <c r="DH441" s="28" t="n">
        <f aca="false">IFERROR(INDEX(Assessments!$J$2:$J$600,MATCH($H441&amp;"|"&amp;$I441&amp;"|"&amp;$J441&amp;"|"&amp;12,Assessments!$A$2:$A$600,0)),0)</f>
        <v>0</v>
      </c>
      <c r="DI441" s="28" t="n">
        <f aca="false">IFERROR(INDEX(Assessments!$J$2:$J$600,MATCH($H441&amp;"|"&amp;$I441&amp;"|"&amp;$J441&amp;"|"&amp;13,Assessments!$A$2:$A$600,0)),0)</f>
        <v>0</v>
      </c>
      <c r="DJ441" s="28" t="n">
        <f aca="false">IFERROR(INDEX(Assessments!$J$2:$J$600,MATCH($H441&amp;"|"&amp;$I441&amp;"|"&amp;$J441&amp;"|"&amp;14,Assessments!$A$2:$A$600,0)),0)</f>
        <v>0</v>
      </c>
      <c r="DK441" s="28" t="str">
        <f aca="false">S441</f>
        <v/>
      </c>
      <c r="DL441" s="28" t="str">
        <f aca="false">W441</f>
        <v/>
      </c>
      <c r="DM441" s="28" t="str">
        <f aca="false">AA441</f>
        <v/>
      </c>
      <c r="DN441" s="28" t="str">
        <f aca="false">AE441</f>
        <v/>
      </c>
      <c r="DO441" s="28" t="str">
        <f aca="false">AI441</f>
        <v/>
      </c>
      <c r="DP441" s="28" t="str">
        <f aca="false">AM441</f>
        <v/>
      </c>
      <c r="DQ441" s="28" t="str">
        <f aca="false">AQ441</f>
        <v/>
      </c>
      <c r="DR441" s="28" t="str">
        <f aca="false">AU441</f>
        <v/>
      </c>
      <c r="DS441" s="28" t="str">
        <f aca="false">AY441</f>
        <v/>
      </c>
      <c r="DT441" s="28" t="str">
        <f aca="false">BC441</f>
        <v/>
      </c>
      <c r="DU441" s="28" t="str">
        <f aca="false">BG441</f>
        <v/>
      </c>
      <c r="DV441" s="28" t="str">
        <f aca="false">BK441</f>
        <v/>
      </c>
      <c r="DW441" s="28" t="str">
        <f aca="false">BO441</f>
        <v/>
      </c>
      <c r="DX441" s="28" t="str">
        <f aca="false">BS441</f>
        <v/>
      </c>
      <c r="DY441" s="28" t="str">
        <f aca="false">IF(ISNUMBER(S441),1,"")</f>
        <v/>
      </c>
      <c r="DZ441" s="28" t="str">
        <f aca="false">IF(ISNUMBER(W441),2,"")</f>
        <v/>
      </c>
      <c r="EA441" s="28" t="str">
        <f aca="false">IF(ISNUMBER(AA441),3,"")</f>
        <v/>
      </c>
      <c r="EB441" s="28" t="str">
        <f aca="false">IF(ISNUMBER(AE441),4,"")</f>
        <v/>
      </c>
      <c r="EC441" s="28" t="str">
        <f aca="false">IF(ISNUMBER(AI441),5,"")</f>
        <v/>
      </c>
      <c r="ED441" s="28" t="str">
        <f aca="false">IF(ISNUMBER(AM441),6,"")</f>
        <v/>
      </c>
      <c r="EE441" s="28" t="str">
        <f aca="false">IF(ISNUMBER(AQ441),7,"")</f>
        <v/>
      </c>
      <c r="EF441" s="28" t="str">
        <f aca="false">IF(ISNUMBER(AU441),8,"")</f>
        <v/>
      </c>
      <c r="EG441" s="28" t="str">
        <f aca="false">IF(ISNUMBER(AY441),9,"")</f>
        <v/>
      </c>
      <c r="EH441" s="28" t="str">
        <f aca="false">IF(ISNUMBER(BC441),10,"")</f>
        <v/>
      </c>
      <c r="EI441" s="28" t="str">
        <f aca="false">IF(ISNUMBER(BG441),11,"")</f>
        <v/>
      </c>
      <c r="EJ441" s="28" t="str">
        <f aca="false">IF(ISNUMBER(BK441),12,"")</f>
        <v/>
      </c>
      <c r="EK441" s="28" t="str">
        <f aca="false">IF(ISNUMBER(BO441),13,"")</f>
        <v/>
      </c>
      <c r="EL441" s="28" t="str">
        <f aca="false">IF(ISNUMBER(BS441),14,"")</f>
        <v/>
      </c>
      <c r="EM441" s="28" t="n">
        <f aca="false">IF(ISNUMBER(R441),R441*CW441,0)</f>
        <v>0</v>
      </c>
      <c r="EN441" s="28" t="n">
        <f aca="false">IF(ISNUMBER(V441),V441*CX441,0)</f>
        <v>0</v>
      </c>
      <c r="EO441" s="28" t="n">
        <f aca="false">IF(ISNUMBER(Z441),Z441*CY441,0)</f>
        <v>0</v>
      </c>
      <c r="EP441" s="28" t="n">
        <f aca="false">IF(ISNUMBER(AD441),AD441*CZ441,0)</f>
        <v>0</v>
      </c>
      <c r="EQ441" s="28" t="n">
        <f aca="false">IF(ISNUMBER(AH441),AH441*DA441,0)</f>
        <v>0</v>
      </c>
      <c r="ER441" s="28" t="n">
        <f aca="false">IF(ISNUMBER(AL441),AL441*DB441,0)</f>
        <v>0</v>
      </c>
      <c r="ES441" s="28" t="n">
        <f aca="false">IF(ISNUMBER(AP441),AP441*DC441,0)</f>
        <v>0</v>
      </c>
      <c r="ET441" s="28" t="n">
        <f aca="false">IF(ISNUMBER(AT441),AT441*DD441,0)</f>
        <v>0</v>
      </c>
      <c r="EU441" s="28" t="n">
        <f aca="false">IF(ISNUMBER(AX441),AX441*DE441,0)</f>
        <v>0</v>
      </c>
      <c r="EV441" s="28" t="n">
        <f aca="false">IF(ISNUMBER(BB441),BB441*DF441,0)</f>
        <v>0</v>
      </c>
      <c r="EW441" s="28" t="n">
        <f aca="false">IF(ISNUMBER(BF441),BF441*DG441,0)</f>
        <v>0</v>
      </c>
      <c r="EX441" s="28" t="n">
        <f aca="false">IF(ISNUMBER(BJ441),BJ441*DH441,0)</f>
        <v>0</v>
      </c>
      <c r="EY441" s="28" t="n">
        <f aca="false">IF(ISNUMBER(BN441),BN441*DI441,0)</f>
        <v>0</v>
      </c>
      <c r="EZ441" s="28" t="n">
        <f aca="false">IF(ISNUMBER(BR441),BR441*DJ441,0)</f>
        <v>0</v>
      </c>
      <c r="FA441" s="28" t="n">
        <f aca="false">IF(ISNUMBER(R441),CW441,0)</f>
        <v>0</v>
      </c>
      <c r="FB441" s="28" t="n">
        <f aca="false">IF(ISNUMBER(V441),CX441,0)</f>
        <v>0</v>
      </c>
      <c r="FC441" s="28" t="n">
        <f aca="false">IF(ISNUMBER(Z441),CY441,0)</f>
        <v>0</v>
      </c>
      <c r="FD441" s="28" t="n">
        <f aca="false">IF(ISNUMBER(AD441),CZ441,0)</f>
        <v>0</v>
      </c>
      <c r="FE441" s="28" t="n">
        <f aca="false">IF(ISNUMBER(AH441),DA441,0)</f>
        <v>0</v>
      </c>
      <c r="FF441" s="28" t="n">
        <f aca="false">IF(ISNUMBER(AL441),DB441,0)</f>
        <v>0</v>
      </c>
      <c r="FG441" s="28" t="n">
        <f aca="false">IF(ISNUMBER(AP441),DC441,0)</f>
        <v>0</v>
      </c>
      <c r="FH441" s="28" t="n">
        <f aca="false">IF(ISNUMBER(AT441),DD441,0)</f>
        <v>0</v>
      </c>
      <c r="FI441" s="28" t="n">
        <f aca="false">IF(ISNUMBER(AX441),DE441,0)</f>
        <v>0</v>
      </c>
      <c r="FJ441" s="28" t="n">
        <f aca="false">IF(ISNUMBER(BB441),DF441,0)</f>
        <v>0</v>
      </c>
      <c r="FK441" s="28" t="n">
        <f aca="false">IF(ISNUMBER(BF441),DG441,0)</f>
        <v>0</v>
      </c>
      <c r="FL441" s="28" t="n">
        <f aca="false">IF(ISNUMBER(BJ441),DH441,0)</f>
        <v>0</v>
      </c>
      <c r="FM441" s="28" t="n">
        <f aca="false">IF(ISNUMBER(BN441),DI441,0)</f>
        <v>0</v>
      </c>
      <c r="FN441" s="28" t="n">
        <f aca="false">IF(ISNUMBER(BR441),DJ441,0)</f>
        <v>0</v>
      </c>
      <c r="FO441" s="28" t="str">
        <f aca="false">IFERROR(INDEX(Lists!$G$2:$G$20,MATCH($I441&amp;"|"&amp;$J441,Lists!$F$2:$F$20,0)),"")</f>
        <v/>
      </c>
    </row>
    <row r="442" customFormat="false" ht="19.5" hidden="false" customHeight="true" outlineLevel="0" collapsed="false">
      <c r="A442" s="29"/>
      <c r="B442" s="29"/>
      <c r="C442" s="30"/>
      <c r="D442" s="30"/>
      <c r="E442" s="31"/>
      <c r="F442" s="30"/>
      <c r="G442" s="30"/>
      <c r="H442" s="32"/>
      <c r="I442" s="33"/>
      <c r="J442" s="32"/>
      <c r="K442" s="34" t="str">
        <f aca="false">IF(OR(M442="",$E442=""),"",M442-$E442)</f>
        <v/>
      </c>
      <c r="L442" s="35" t="str">
        <f aca="false">IF(SUM(FA442:FN442)=0,"",SUM(EM442:EZ442)/SUM(FA442:FN442))</f>
        <v/>
      </c>
      <c r="M442" s="36" t="str">
        <f aca="false">IF(OR(L442="",FO442=""),"",IFERROR(MATCH(L442,INDEX(Boundaries!$B$2:$I$30,MATCH(FO442,Boundaries!$A$2:$A$30,0),0),1)-1,""))</f>
        <v/>
      </c>
      <c r="N442" s="37" t="str">
        <f aca="false">IF(COUNT($DY442:$EL442)&lt;2,"",INDEX($DK442:$DX442,MAX($DY442:$EL442))-INDEX($DK442:$DX442,MIN($DY442:$EL442)))</f>
        <v/>
      </c>
      <c r="O442" s="37" t="str">
        <f aca="false">IF(COUNT($DY442:$EL442)&lt;2,"",INDEX($DK442:$DX442,MAX($DY442:$EL442))-INDEX($DK442:$DX442,LARGE($DY442:$EL442,2)))</f>
        <v/>
      </c>
      <c r="P442" s="38" t="str">
        <f aca="false">IF(K442="","",IF(K442&gt;=0,"On/above target",IF(AND(N442&lt;&gt;"",N442&gt;=0.5),"Improving towards target",IF(AND(O442&lt;&gt;"",O442&lt;=-0.5),"Declining","Stable below target"))))</f>
        <v/>
      </c>
      <c r="Q442" s="39"/>
      <c r="R442" s="40" t="str">
        <f aca="false">IF(OR(Q442="",BU442=""),"",Q442/BU442*100)</f>
        <v/>
      </c>
      <c r="S442" s="41" t="str">
        <f aca="false">IF(R442="","",IFERROR(MATCH(R442,INDEX(Boundaries!$B$2:$I$30,MATCH(CI442,Boundaries!$A$2:$A$30,0),0),1)-1,""))</f>
        <v/>
      </c>
      <c r="T442" s="42" t="str">
        <f aca="false">IF(OR(S442="",$E442=""),"",S442-$E442)</f>
        <v/>
      </c>
      <c r="U442" s="39"/>
      <c r="V442" s="40" t="str">
        <f aca="false">IF(OR(U442="",BV442=""),"",U442/BV442*100)</f>
        <v/>
      </c>
      <c r="W442" s="41" t="str">
        <f aca="false">IF(V442="","",IFERROR(MATCH(V442,INDEX(Boundaries!$B$2:$I$30,MATCH(CJ442,Boundaries!$A$2:$A$30,0),0),1)-1,""))</f>
        <v/>
      </c>
      <c r="X442" s="42" t="str">
        <f aca="false">IF(OR(W442="",$E442=""),"",W442-$E442)</f>
        <v/>
      </c>
      <c r="Y442" s="39"/>
      <c r="Z442" s="40" t="str">
        <f aca="false">IF(OR(Y442="",BW442=""),"",Y442/BW442*100)</f>
        <v/>
      </c>
      <c r="AA442" s="41" t="str">
        <f aca="false">IF(Z442="","",IFERROR(MATCH(Z442,INDEX(Boundaries!$B$2:$I$30,MATCH(CK442,Boundaries!$A$2:$A$30,0),0),1)-1,""))</f>
        <v/>
      </c>
      <c r="AB442" s="42" t="str">
        <f aca="false">IF(OR(AA442="",$E442=""),"",AA442-$E442)</f>
        <v/>
      </c>
      <c r="AC442" s="39"/>
      <c r="AD442" s="40" t="str">
        <f aca="false">IF(OR(AC442="",BX442=""),"",AC442/BX442*100)</f>
        <v/>
      </c>
      <c r="AE442" s="41" t="str">
        <f aca="false">IF(AD442="","",IFERROR(MATCH(AD442,INDEX(Boundaries!$B$2:$I$30,MATCH(CL442,Boundaries!$A$2:$A$30,0),0),1)-1,""))</f>
        <v/>
      </c>
      <c r="AF442" s="42" t="str">
        <f aca="false">IF(OR(AE442="",$E442=""),"",AE442-$E442)</f>
        <v/>
      </c>
      <c r="AG442" s="39"/>
      <c r="AH442" s="40" t="str">
        <f aca="false">IF(OR(AG442="",BY442=""),"",AG442/BY442*100)</f>
        <v/>
      </c>
      <c r="AI442" s="41" t="str">
        <f aca="false">IF(AH442="","",IFERROR(MATCH(AH442,INDEX(Boundaries!$B$2:$I$30,MATCH(CM442,Boundaries!$A$2:$A$30,0),0),1)-1,""))</f>
        <v/>
      </c>
      <c r="AJ442" s="42" t="str">
        <f aca="false">IF(OR(AI442="",$E442=""),"",AI442-$E442)</f>
        <v/>
      </c>
      <c r="AK442" s="39"/>
      <c r="AL442" s="40" t="str">
        <f aca="false">IF(OR(AK442="",BZ442=""),"",AK442/BZ442*100)</f>
        <v/>
      </c>
      <c r="AM442" s="41" t="str">
        <f aca="false">IF(AL442="","",IFERROR(MATCH(AL442,INDEX(Boundaries!$B$2:$I$30,MATCH(CN442,Boundaries!$A$2:$A$30,0),0),1)-1,""))</f>
        <v/>
      </c>
      <c r="AN442" s="42" t="str">
        <f aca="false">IF(OR(AM442="",$E442=""),"",AM442-$E442)</f>
        <v/>
      </c>
      <c r="AO442" s="39"/>
      <c r="AP442" s="40" t="str">
        <f aca="false">IF(OR(AO442="",CA442=""),"",AO442/CA442*100)</f>
        <v/>
      </c>
      <c r="AQ442" s="41" t="str">
        <f aca="false">IF(AP442="","",IFERROR(MATCH(AP442,INDEX(Boundaries!$B$2:$I$30,MATCH(CO442,Boundaries!$A$2:$A$30,0),0),1)-1,""))</f>
        <v/>
      </c>
      <c r="AR442" s="42" t="str">
        <f aca="false">IF(OR(AQ442="",$E442=""),"",AQ442-$E442)</f>
        <v/>
      </c>
      <c r="AS442" s="39"/>
      <c r="AT442" s="40" t="str">
        <f aca="false">IF(OR(AS442="",CB442=""),"",AS442/CB442*100)</f>
        <v/>
      </c>
      <c r="AU442" s="41" t="str">
        <f aca="false">IF(AT442="","",IFERROR(MATCH(AT442,INDEX(Boundaries!$B$2:$I$30,MATCH(CP442,Boundaries!$A$2:$A$30,0),0),1)-1,""))</f>
        <v/>
      </c>
      <c r="AV442" s="42" t="str">
        <f aca="false">IF(OR(AU442="",$E442=""),"",AU442-$E442)</f>
        <v/>
      </c>
      <c r="AW442" s="39"/>
      <c r="AX442" s="40" t="str">
        <f aca="false">IF(OR(AW442="",CC442=""),"",AW442/CC442*100)</f>
        <v/>
      </c>
      <c r="AY442" s="41" t="str">
        <f aca="false">IF(AX442="","",IFERROR(MATCH(AX442,INDEX(Boundaries!$B$2:$I$30,MATCH(CQ442,Boundaries!$A$2:$A$30,0),0),1)-1,""))</f>
        <v/>
      </c>
      <c r="AZ442" s="42" t="str">
        <f aca="false">IF(OR(AY442="",$E442=""),"",AY442-$E442)</f>
        <v/>
      </c>
      <c r="BA442" s="39"/>
      <c r="BB442" s="40" t="str">
        <f aca="false">IF(OR(BA442="",CD442=""),"",BA442/CD442*100)</f>
        <v/>
      </c>
      <c r="BC442" s="41" t="str">
        <f aca="false">IF(BB442="","",IFERROR(MATCH(BB442,INDEX(Boundaries!$B$2:$I$30,MATCH(CR442,Boundaries!$A$2:$A$30,0),0),1)-1,""))</f>
        <v/>
      </c>
      <c r="BD442" s="42" t="str">
        <f aca="false">IF(OR(BC442="",$E442=""),"",BC442-$E442)</f>
        <v/>
      </c>
      <c r="BE442" s="39"/>
      <c r="BF442" s="40" t="str">
        <f aca="false">IF(OR(BE442="",CE442=""),"",BE442/CE442*100)</f>
        <v/>
      </c>
      <c r="BG442" s="41" t="str">
        <f aca="false">IF(BF442="","",IFERROR(MATCH(BF442,INDEX(Boundaries!$B$2:$I$30,MATCH(CS442,Boundaries!$A$2:$A$30,0),0),1)-1,""))</f>
        <v/>
      </c>
      <c r="BH442" s="42" t="str">
        <f aca="false">IF(OR(BG442="",$E442=""),"",BG442-$E442)</f>
        <v/>
      </c>
      <c r="BI442" s="39"/>
      <c r="BJ442" s="40" t="str">
        <f aca="false">IF(OR(BI442="",CF442=""),"",BI442/CF442*100)</f>
        <v/>
      </c>
      <c r="BK442" s="41" t="str">
        <f aca="false">IF(BJ442="","",IFERROR(MATCH(BJ442,INDEX(Boundaries!$B$2:$I$30,MATCH(CT442,Boundaries!$A$2:$A$30,0),0),1)-1,""))</f>
        <v/>
      </c>
      <c r="BL442" s="42" t="str">
        <f aca="false">IF(OR(BK442="",$E442=""),"",BK442-$E442)</f>
        <v/>
      </c>
      <c r="BM442" s="39"/>
      <c r="BN442" s="40" t="str">
        <f aca="false">IF(OR(BM442="",CG442=""),"",BM442/CG442*100)</f>
        <v/>
      </c>
      <c r="BO442" s="41" t="str">
        <f aca="false">IF(BN442="","",IFERROR(MATCH(BN442,INDEX(Boundaries!$B$2:$I$30,MATCH(CU442,Boundaries!$A$2:$A$30,0),0),1)-1,""))</f>
        <v/>
      </c>
      <c r="BP442" s="42" t="str">
        <f aca="false">IF(OR(BO442="",$E442=""),"",BO442-$E442)</f>
        <v/>
      </c>
      <c r="BQ442" s="39"/>
      <c r="BR442" s="40" t="str">
        <f aca="false">IF(OR(BQ442="",CH442=""),"",BQ442/CH442*100)</f>
        <v/>
      </c>
      <c r="BS442" s="41" t="str">
        <f aca="false">IF(BR442="","",IFERROR(MATCH(BR442,INDEX(Boundaries!$B$2:$I$30,MATCH(CV442,Boundaries!$A$2:$A$30,0),0),1)-1,""))</f>
        <v/>
      </c>
      <c r="BT442" s="42" t="str">
        <f aca="false">IF(OR(BS442="",$E442=""),"",BS442-$E442)</f>
        <v/>
      </c>
      <c r="BU442" s="28" t="str">
        <f aca="false">IFERROR(INDEX(Assessments!$H$2:$H$600,MATCH($H442&amp;"|"&amp;$I442&amp;"|"&amp;$J442&amp;"|"&amp;1,Assessments!$A$2:$A$600,0)),"")</f>
        <v/>
      </c>
      <c r="BV442" s="28" t="str">
        <f aca="false">IFERROR(INDEX(Assessments!$H$2:$H$600,MATCH($H442&amp;"|"&amp;$I442&amp;"|"&amp;$J442&amp;"|"&amp;2,Assessments!$A$2:$A$600,0)),"")</f>
        <v/>
      </c>
      <c r="BW442" s="28" t="str">
        <f aca="false">IFERROR(INDEX(Assessments!$H$2:$H$600,MATCH($H442&amp;"|"&amp;$I442&amp;"|"&amp;$J442&amp;"|"&amp;3,Assessments!$A$2:$A$600,0)),"")</f>
        <v/>
      </c>
      <c r="BX442" s="28" t="str">
        <f aca="false">IFERROR(INDEX(Assessments!$H$2:$H$600,MATCH($H442&amp;"|"&amp;$I442&amp;"|"&amp;$J442&amp;"|"&amp;4,Assessments!$A$2:$A$600,0)),"")</f>
        <v/>
      </c>
      <c r="BY442" s="28" t="str">
        <f aca="false">IFERROR(INDEX(Assessments!$H$2:$H$600,MATCH($H442&amp;"|"&amp;$I442&amp;"|"&amp;$J442&amp;"|"&amp;5,Assessments!$A$2:$A$600,0)),"")</f>
        <v/>
      </c>
      <c r="BZ442" s="28" t="str">
        <f aca="false">IFERROR(INDEX(Assessments!$H$2:$H$600,MATCH($H442&amp;"|"&amp;$I442&amp;"|"&amp;$J442&amp;"|"&amp;6,Assessments!$A$2:$A$600,0)),"")</f>
        <v/>
      </c>
      <c r="CA442" s="28" t="str">
        <f aca="false">IFERROR(INDEX(Assessments!$H$2:$H$600,MATCH($H442&amp;"|"&amp;$I442&amp;"|"&amp;$J442&amp;"|"&amp;7,Assessments!$A$2:$A$600,0)),"")</f>
        <v/>
      </c>
      <c r="CB442" s="28" t="str">
        <f aca="false">IFERROR(INDEX(Assessments!$H$2:$H$600,MATCH($H442&amp;"|"&amp;$I442&amp;"|"&amp;$J442&amp;"|"&amp;8,Assessments!$A$2:$A$600,0)),"")</f>
        <v/>
      </c>
      <c r="CC442" s="28" t="str">
        <f aca="false">IFERROR(INDEX(Assessments!$H$2:$H$600,MATCH($H442&amp;"|"&amp;$I442&amp;"|"&amp;$J442&amp;"|"&amp;9,Assessments!$A$2:$A$600,0)),"")</f>
        <v/>
      </c>
      <c r="CD442" s="28" t="str">
        <f aca="false">IFERROR(INDEX(Assessments!$H$2:$H$600,MATCH($H442&amp;"|"&amp;$I442&amp;"|"&amp;$J442&amp;"|"&amp;10,Assessments!$A$2:$A$600,0)),"")</f>
        <v/>
      </c>
      <c r="CE442" s="28" t="str">
        <f aca="false">IFERROR(INDEX(Assessments!$H$2:$H$600,MATCH($H442&amp;"|"&amp;$I442&amp;"|"&amp;$J442&amp;"|"&amp;11,Assessments!$A$2:$A$600,0)),"")</f>
        <v/>
      </c>
      <c r="CF442" s="28" t="str">
        <f aca="false">IFERROR(INDEX(Assessments!$H$2:$H$600,MATCH($H442&amp;"|"&amp;$I442&amp;"|"&amp;$J442&amp;"|"&amp;12,Assessments!$A$2:$A$600,0)),"")</f>
        <v/>
      </c>
      <c r="CG442" s="28" t="str">
        <f aca="false">IFERROR(INDEX(Assessments!$H$2:$H$600,MATCH($H442&amp;"|"&amp;$I442&amp;"|"&amp;$J442&amp;"|"&amp;13,Assessments!$A$2:$A$600,0)),"")</f>
        <v/>
      </c>
      <c r="CH442" s="28" t="str">
        <f aca="false">IFERROR(INDEX(Assessments!$H$2:$H$600,MATCH($H442&amp;"|"&amp;$I442&amp;"|"&amp;$J442&amp;"|"&amp;14,Assessments!$A$2:$A$600,0)),"")</f>
        <v/>
      </c>
      <c r="CI442" s="28" t="str">
        <f aca="false">IFERROR(INDEX(Assessments!$I$2:$I$600,MATCH($H442&amp;"|"&amp;$I442&amp;"|"&amp;$J442&amp;"|"&amp;1,Assessments!$A$2:$A$600,0)),"")</f>
        <v/>
      </c>
      <c r="CJ442" s="28" t="str">
        <f aca="false">IFERROR(INDEX(Assessments!$I$2:$I$600,MATCH($H442&amp;"|"&amp;$I442&amp;"|"&amp;$J442&amp;"|"&amp;2,Assessments!$A$2:$A$600,0)),"")</f>
        <v/>
      </c>
      <c r="CK442" s="28" t="str">
        <f aca="false">IFERROR(INDEX(Assessments!$I$2:$I$600,MATCH($H442&amp;"|"&amp;$I442&amp;"|"&amp;$J442&amp;"|"&amp;3,Assessments!$A$2:$A$600,0)),"")</f>
        <v/>
      </c>
      <c r="CL442" s="28" t="str">
        <f aca="false">IFERROR(INDEX(Assessments!$I$2:$I$600,MATCH($H442&amp;"|"&amp;$I442&amp;"|"&amp;$J442&amp;"|"&amp;4,Assessments!$A$2:$A$600,0)),"")</f>
        <v/>
      </c>
      <c r="CM442" s="28" t="str">
        <f aca="false">IFERROR(INDEX(Assessments!$I$2:$I$600,MATCH($H442&amp;"|"&amp;$I442&amp;"|"&amp;$J442&amp;"|"&amp;5,Assessments!$A$2:$A$600,0)),"")</f>
        <v/>
      </c>
      <c r="CN442" s="28" t="str">
        <f aca="false">IFERROR(INDEX(Assessments!$I$2:$I$600,MATCH($H442&amp;"|"&amp;$I442&amp;"|"&amp;$J442&amp;"|"&amp;6,Assessments!$A$2:$A$600,0)),"")</f>
        <v/>
      </c>
      <c r="CO442" s="28" t="str">
        <f aca="false">IFERROR(INDEX(Assessments!$I$2:$I$600,MATCH($H442&amp;"|"&amp;$I442&amp;"|"&amp;$J442&amp;"|"&amp;7,Assessments!$A$2:$A$600,0)),"")</f>
        <v/>
      </c>
      <c r="CP442" s="28" t="str">
        <f aca="false">IFERROR(INDEX(Assessments!$I$2:$I$600,MATCH($H442&amp;"|"&amp;$I442&amp;"|"&amp;$J442&amp;"|"&amp;8,Assessments!$A$2:$A$600,0)),"")</f>
        <v/>
      </c>
      <c r="CQ442" s="28" t="str">
        <f aca="false">IFERROR(INDEX(Assessments!$I$2:$I$600,MATCH($H442&amp;"|"&amp;$I442&amp;"|"&amp;$J442&amp;"|"&amp;9,Assessments!$A$2:$A$600,0)),"")</f>
        <v/>
      </c>
      <c r="CR442" s="28" t="str">
        <f aca="false">IFERROR(INDEX(Assessments!$I$2:$I$600,MATCH($H442&amp;"|"&amp;$I442&amp;"|"&amp;$J442&amp;"|"&amp;10,Assessments!$A$2:$A$600,0)),"")</f>
        <v/>
      </c>
      <c r="CS442" s="28" t="str">
        <f aca="false">IFERROR(INDEX(Assessments!$I$2:$I$600,MATCH($H442&amp;"|"&amp;$I442&amp;"|"&amp;$J442&amp;"|"&amp;11,Assessments!$A$2:$A$600,0)),"")</f>
        <v/>
      </c>
      <c r="CT442" s="28" t="str">
        <f aca="false">IFERROR(INDEX(Assessments!$I$2:$I$600,MATCH($H442&amp;"|"&amp;$I442&amp;"|"&amp;$J442&amp;"|"&amp;12,Assessments!$A$2:$A$600,0)),"")</f>
        <v/>
      </c>
      <c r="CU442" s="28" t="str">
        <f aca="false">IFERROR(INDEX(Assessments!$I$2:$I$600,MATCH($H442&amp;"|"&amp;$I442&amp;"|"&amp;$J442&amp;"|"&amp;13,Assessments!$A$2:$A$600,0)),"")</f>
        <v/>
      </c>
      <c r="CV442" s="28" t="str">
        <f aca="false">IFERROR(INDEX(Assessments!$I$2:$I$600,MATCH($H442&amp;"|"&amp;$I442&amp;"|"&amp;$J442&amp;"|"&amp;14,Assessments!$A$2:$A$600,0)),"")</f>
        <v/>
      </c>
      <c r="CW442" s="28" t="n">
        <f aca="false">IFERROR(INDEX(Assessments!$J$2:$J$600,MATCH($H442&amp;"|"&amp;$I442&amp;"|"&amp;$J442&amp;"|"&amp;1,Assessments!$A$2:$A$600,0)),0)</f>
        <v>0</v>
      </c>
      <c r="CX442" s="28" t="n">
        <f aca="false">IFERROR(INDEX(Assessments!$J$2:$J$600,MATCH($H442&amp;"|"&amp;$I442&amp;"|"&amp;$J442&amp;"|"&amp;2,Assessments!$A$2:$A$600,0)),0)</f>
        <v>0</v>
      </c>
      <c r="CY442" s="28" t="n">
        <f aca="false">IFERROR(INDEX(Assessments!$J$2:$J$600,MATCH($H442&amp;"|"&amp;$I442&amp;"|"&amp;$J442&amp;"|"&amp;3,Assessments!$A$2:$A$600,0)),0)</f>
        <v>0</v>
      </c>
      <c r="CZ442" s="28" t="n">
        <f aca="false">IFERROR(INDEX(Assessments!$J$2:$J$600,MATCH($H442&amp;"|"&amp;$I442&amp;"|"&amp;$J442&amp;"|"&amp;4,Assessments!$A$2:$A$600,0)),0)</f>
        <v>0</v>
      </c>
      <c r="DA442" s="28" t="n">
        <f aca="false">IFERROR(INDEX(Assessments!$J$2:$J$600,MATCH($H442&amp;"|"&amp;$I442&amp;"|"&amp;$J442&amp;"|"&amp;5,Assessments!$A$2:$A$600,0)),0)</f>
        <v>0</v>
      </c>
      <c r="DB442" s="28" t="n">
        <f aca="false">IFERROR(INDEX(Assessments!$J$2:$J$600,MATCH($H442&amp;"|"&amp;$I442&amp;"|"&amp;$J442&amp;"|"&amp;6,Assessments!$A$2:$A$600,0)),0)</f>
        <v>0</v>
      </c>
      <c r="DC442" s="28" t="n">
        <f aca="false">IFERROR(INDEX(Assessments!$J$2:$J$600,MATCH($H442&amp;"|"&amp;$I442&amp;"|"&amp;$J442&amp;"|"&amp;7,Assessments!$A$2:$A$600,0)),0)</f>
        <v>0</v>
      </c>
      <c r="DD442" s="28" t="n">
        <f aca="false">IFERROR(INDEX(Assessments!$J$2:$J$600,MATCH($H442&amp;"|"&amp;$I442&amp;"|"&amp;$J442&amp;"|"&amp;8,Assessments!$A$2:$A$600,0)),0)</f>
        <v>0</v>
      </c>
      <c r="DE442" s="28" t="n">
        <f aca="false">IFERROR(INDEX(Assessments!$J$2:$J$600,MATCH($H442&amp;"|"&amp;$I442&amp;"|"&amp;$J442&amp;"|"&amp;9,Assessments!$A$2:$A$600,0)),0)</f>
        <v>0</v>
      </c>
      <c r="DF442" s="28" t="n">
        <f aca="false">IFERROR(INDEX(Assessments!$J$2:$J$600,MATCH($H442&amp;"|"&amp;$I442&amp;"|"&amp;$J442&amp;"|"&amp;10,Assessments!$A$2:$A$600,0)),0)</f>
        <v>0</v>
      </c>
      <c r="DG442" s="28" t="n">
        <f aca="false">IFERROR(INDEX(Assessments!$J$2:$J$600,MATCH($H442&amp;"|"&amp;$I442&amp;"|"&amp;$J442&amp;"|"&amp;11,Assessments!$A$2:$A$600,0)),0)</f>
        <v>0</v>
      </c>
      <c r="DH442" s="28" t="n">
        <f aca="false">IFERROR(INDEX(Assessments!$J$2:$J$600,MATCH($H442&amp;"|"&amp;$I442&amp;"|"&amp;$J442&amp;"|"&amp;12,Assessments!$A$2:$A$600,0)),0)</f>
        <v>0</v>
      </c>
      <c r="DI442" s="28" t="n">
        <f aca="false">IFERROR(INDEX(Assessments!$J$2:$J$600,MATCH($H442&amp;"|"&amp;$I442&amp;"|"&amp;$J442&amp;"|"&amp;13,Assessments!$A$2:$A$600,0)),0)</f>
        <v>0</v>
      </c>
      <c r="DJ442" s="28" t="n">
        <f aca="false">IFERROR(INDEX(Assessments!$J$2:$J$600,MATCH($H442&amp;"|"&amp;$I442&amp;"|"&amp;$J442&amp;"|"&amp;14,Assessments!$A$2:$A$600,0)),0)</f>
        <v>0</v>
      </c>
      <c r="DK442" s="28" t="str">
        <f aca="false">S442</f>
        <v/>
      </c>
      <c r="DL442" s="28" t="str">
        <f aca="false">W442</f>
        <v/>
      </c>
      <c r="DM442" s="28" t="str">
        <f aca="false">AA442</f>
        <v/>
      </c>
      <c r="DN442" s="28" t="str">
        <f aca="false">AE442</f>
        <v/>
      </c>
      <c r="DO442" s="28" t="str">
        <f aca="false">AI442</f>
        <v/>
      </c>
      <c r="DP442" s="28" t="str">
        <f aca="false">AM442</f>
        <v/>
      </c>
      <c r="DQ442" s="28" t="str">
        <f aca="false">AQ442</f>
        <v/>
      </c>
      <c r="DR442" s="28" t="str">
        <f aca="false">AU442</f>
        <v/>
      </c>
      <c r="DS442" s="28" t="str">
        <f aca="false">AY442</f>
        <v/>
      </c>
      <c r="DT442" s="28" t="str">
        <f aca="false">BC442</f>
        <v/>
      </c>
      <c r="DU442" s="28" t="str">
        <f aca="false">BG442</f>
        <v/>
      </c>
      <c r="DV442" s="28" t="str">
        <f aca="false">BK442</f>
        <v/>
      </c>
      <c r="DW442" s="28" t="str">
        <f aca="false">BO442</f>
        <v/>
      </c>
      <c r="DX442" s="28" t="str">
        <f aca="false">BS442</f>
        <v/>
      </c>
      <c r="DY442" s="28" t="str">
        <f aca="false">IF(ISNUMBER(S442),1,"")</f>
        <v/>
      </c>
      <c r="DZ442" s="28" t="str">
        <f aca="false">IF(ISNUMBER(W442),2,"")</f>
        <v/>
      </c>
      <c r="EA442" s="28" t="str">
        <f aca="false">IF(ISNUMBER(AA442),3,"")</f>
        <v/>
      </c>
      <c r="EB442" s="28" t="str">
        <f aca="false">IF(ISNUMBER(AE442),4,"")</f>
        <v/>
      </c>
      <c r="EC442" s="28" t="str">
        <f aca="false">IF(ISNUMBER(AI442),5,"")</f>
        <v/>
      </c>
      <c r="ED442" s="28" t="str">
        <f aca="false">IF(ISNUMBER(AM442),6,"")</f>
        <v/>
      </c>
      <c r="EE442" s="28" t="str">
        <f aca="false">IF(ISNUMBER(AQ442),7,"")</f>
        <v/>
      </c>
      <c r="EF442" s="28" t="str">
        <f aca="false">IF(ISNUMBER(AU442),8,"")</f>
        <v/>
      </c>
      <c r="EG442" s="28" t="str">
        <f aca="false">IF(ISNUMBER(AY442),9,"")</f>
        <v/>
      </c>
      <c r="EH442" s="28" t="str">
        <f aca="false">IF(ISNUMBER(BC442),10,"")</f>
        <v/>
      </c>
      <c r="EI442" s="28" t="str">
        <f aca="false">IF(ISNUMBER(BG442),11,"")</f>
        <v/>
      </c>
      <c r="EJ442" s="28" t="str">
        <f aca="false">IF(ISNUMBER(BK442),12,"")</f>
        <v/>
      </c>
      <c r="EK442" s="28" t="str">
        <f aca="false">IF(ISNUMBER(BO442),13,"")</f>
        <v/>
      </c>
      <c r="EL442" s="28" t="str">
        <f aca="false">IF(ISNUMBER(BS442),14,"")</f>
        <v/>
      </c>
      <c r="EM442" s="28" t="n">
        <f aca="false">IF(ISNUMBER(R442),R442*CW442,0)</f>
        <v>0</v>
      </c>
      <c r="EN442" s="28" t="n">
        <f aca="false">IF(ISNUMBER(V442),V442*CX442,0)</f>
        <v>0</v>
      </c>
      <c r="EO442" s="28" t="n">
        <f aca="false">IF(ISNUMBER(Z442),Z442*CY442,0)</f>
        <v>0</v>
      </c>
      <c r="EP442" s="28" t="n">
        <f aca="false">IF(ISNUMBER(AD442),AD442*CZ442,0)</f>
        <v>0</v>
      </c>
      <c r="EQ442" s="28" t="n">
        <f aca="false">IF(ISNUMBER(AH442),AH442*DA442,0)</f>
        <v>0</v>
      </c>
      <c r="ER442" s="28" t="n">
        <f aca="false">IF(ISNUMBER(AL442),AL442*DB442,0)</f>
        <v>0</v>
      </c>
      <c r="ES442" s="28" t="n">
        <f aca="false">IF(ISNUMBER(AP442),AP442*DC442,0)</f>
        <v>0</v>
      </c>
      <c r="ET442" s="28" t="n">
        <f aca="false">IF(ISNUMBER(AT442),AT442*DD442,0)</f>
        <v>0</v>
      </c>
      <c r="EU442" s="28" t="n">
        <f aca="false">IF(ISNUMBER(AX442),AX442*DE442,0)</f>
        <v>0</v>
      </c>
      <c r="EV442" s="28" t="n">
        <f aca="false">IF(ISNUMBER(BB442),BB442*DF442,0)</f>
        <v>0</v>
      </c>
      <c r="EW442" s="28" t="n">
        <f aca="false">IF(ISNUMBER(BF442),BF442*DG442,0)</f>
        <v>0</v>
      </c>
      <c r="EX442" s="28" t="n">
        <f aca="false">IF(ISNUMBER(BJ442),BJ442*DH442,0)</f>
        <v>0</v>
      </c>
      <c r="EY442" s="28" t="n">
        <f aca="false">IF(ISNUMBER(BN442),BN442*DI442,0)</f>
        <v>0</v>
      </c>
      <c r="EZ442" s="28" t="n">
        <f aca="false">IF(ISNUMBER(BR442),BR442*DJ442,0)</f>
        <v>0</v>
      </c>
      <c r="FA442" s="28" t="n">
        <f aca="false">IF(ISNUMBER(R442),CW442,0)</f>
        <v>0</v>
      </c>
      <c r="FB442" s="28" t="n">
        <f aca="false">IF(ISNUMBER(V442),CX442,0)</f>
        <v>0</v>
      </c>
      <c r="FC442" s="28" t="n">
        <f aca="false">IF(ISNUMBER(Z442),CY442,0)</f>
        <v>0</v>
      </c>
      <c r="FD442" s="28" t="n">
        <f aca="false">IF(ISNUMBER(AD442),CZ442,0)</f>
        <v>0</v>
      </c>
      <c r="FE442" s="28" t="n">
        <f aca="false">IF(ISNUMBER(AH442),DA442,0)</f>
        <v>0</v>
      </c>
      <c r="FF442" s="28" t="n">
        <f aca="false">IF(ISNUMBER(AL442),DB442,0)</f>
        <v>0</v>
      </c>
      <c r="FG442" s="28" t="n">
        <f aca="false">IF(ISNUMBER(AP442),DC442,0)</f>
        <v>0</v>
      </c>
      <c r="FH442" s="28" t="n">
        <f aca="false">IF(ISNUMBER(AT442),DD442,0)</f>
        <v>0</v>
      </c>
      <c r="FI442" s="28" t="n">
        <f aca="false">IF(ISNUMBER(AX442),DE442,0)</f>
        <v>0</v>
      </c>
      <c r="FJ442" s="28" t="n">
        <f aca="false">IF(ISNUMBER(BB442),DF442,0)</f>
        <v>0</v>
      </c>
      <c r="FK442" s="28" t="n">
        <f aca="false">IF(ISNUMBER(BF442),DG442,0)</f>
        <v>0</v>
      </c>
      <c r="FL442" s="28" t="n">
        <f aca="false">IF(ISNUMBER(BJ442),DH442,0)</f>
        <v>0</v>
      </c>
      <c r="FM442" s="28" t="n">
        <f aca="false">IF(ISNUMBER(BN442),DI442,0)</f>
        <v>0</v>
      </c>
      <c r="FN442" s="28" t="n">
        <f aca="false">IF(ISNUMBER(BR442),DJ442,0)</f>
        <v>0</v>
      </c>
      <c r="FO442" s="28" t="str">
        <f aca="false">IFERROR(INDEX(Lists!$G$2:$G$20,MATCH($I442&amp;"|"&amp;$J442,Lists!$F$2:$F$20,0)),"")</f>
        <v/>
      </c>
    </row>
    <row r="443" customFormat="false" ht="19.5" hidden="false" customHeight="true" outlineLevel="0" collapsed="false">
      <c r="A443" s="29"/>
      <c r="B443" s="29"/>
      <c r="C443" s="30"/>
      <c r="D443" s="30"/>
      <c r="E443" s="31"/>
      <c r="F443" s="30"/>
      <c r="G443" s="30"/>
      <c r="H443" s="32"/>
      <c r="I443" s="33"/>
      <c r="J443" s="32"/>
      <c r="K443" s="34" t="str">
        <f aca="false">IF(OR(M443="",$E443=""),"",M443-$E443)</f>
        <v/>
      </c>
      <c r="L443" s="35" t="str">
        <f aca="false">IF(SUM(FA443:FN443)=0,"",SUM(EM443:EZ443)/SUM(FA443:FN443))</f>
        <v/>
      </c>
      <c r="M443" s="36" t="str">
        <f aca="false">IF(OR(L443="",FO443=""),"",IFERROR(MATCH(L443,INDEX(Boundaries!$B$2:$I$30,MATCH(FO443,Boundaries!$A$2:$A$30,0),0),1)-1,""))</f>
        <v/>
      </c>
      <c r="N443" s="37" t="str">
        <f aca="false">IF(COUNT($DY443:$EL443)&lt;2,"",INDEX($DK443:$DX443,MAX($DY443:$EL443))-INDEX($DK443:$DX443,MIN($DY443:$EL443)))</f>
        <v/>
      </c>
      <c r="O443" s="37" t="str">
        <f aca="false">IF(COUNT($DY443:$EL443)&lt;2,"",INDEX($DK443:$DX443,MAX($DY443:$EL443))-INDEX($DK443:$DX443,LARGE($DY443:$EL443,2)))</f>
        <v/>
      </c>
      <c r="P443" s="38" t="str">
        <f aca="false">IF(K443="","",IF(K443&gt;=0,"On/above target",IF(AND(N443&lt;&gt;"",N443&gt;=0.5),"Improving towards target",IF(AND(O443&lt;&gt;"",O443&lt;=-0.5),"Declining","Stable below target"))))</f>
        <v/>
      </c>
      <c r="Q443" s="39"/>
      <c r="R443" s="40" t="str">
        <f aca="false">IF(OR(Q443="",BU443=""),"",Q443/BU443*100)</f>
        <v/>
      </c>
      <c r="S443" s="41" t="str">
        <f aca="false">IF(R443="","",IFERROR(MATCH(R443,INDEX(Boundaries!$B$2:$I$30,MATCH(CI443,Boundaries!$A$2:$A$30,0),0),1)-1,""))</f>
        <v/>
      </c>
      <c r="T443" s="42" t="str">
        <f aca="false">IF(OR(S443="",$E443=""),"",S443-$E443)</f>
        <v/>
      </c>
      <c r="U443" s="39"/>
      <c r="V443" s="40" t="str">
        <f aca="false">IF(OR(U443="",BV443=""),"",U443/BV443*100)</f>
        <v/>
      </c>
      <c r="W443" s="41" t="str">
        <f aca="false">IF(V443="","",IFERROR(MATCH(V443,INDEX(Boundaries!$B$2:$I$30,MATCH(CJ443,Boundaries!$A$2:$A$30,0),0),1)-1,""))</f>
        <v/>
      </c>
      <c r="X443" s="42" t="str">
        <f aca="false">IF(OR(W443="",$E443=""),"",W443-$E443)</f>
        <v/>
      </c>
      <c r="Y443" s="39"/>
      <c r="Z443" s="40" t="str">
        <f aca="false">IF(OR(Y443="",BW443=""),"",Y443/BW443*100)</f>
        <v/>
      </c>
      <c r="AA443" s="41" t="str">
        <f aca="false">IF(Z443="","",IFERROR(MATCH(Z443,INDEX(Boundaries!$B$2:$I$30,MATCH(CK443,Boundaries!$A$2:$A$30,0),0),1)-1,""))</f>
        <v/>
      </c>
      <c r="AB443" s="42" t="str">
        <f aca="false">IF(OR(AA443="",$E443=""),"",AA443-$E443)</f>
        <v/>
      </c>
      <c r="AC443" s="39"/>
      <c r="AD443" s="40" t="str">
        <f aca="false">IF(OR(AC443="",BX443=""),"",AC443/BX443*100)</f>
        <v/>
      </c>
      <c r="AE443" s="41" t="str">
        <f aca="false">IF(AD443="","",IFERROR(MATCH(AD443,INDEX(Boundaries!$B$2:$I$30,MATCH(CL443,Boundaries!$A$2:$A$30,0),0),1)-1,""))</f>
        <v/>
      </c>
      <c r="AF443" s="42" t="str">
        <f aca="false">IF(OR(AE443="",$E443=""),"",AE443-$E443)</f>
        <v/>
      </c>
      <c r="AG443" s="39"/>
      <c r="AH443" s="40" t="str">
        <f aca="false">IF(OR(AG443="",BY443=""),"",AG443/BY443*100)</f>
        <v/>
      </c>
      <c r="AI443" s="41" t="str">
        <f aca="false">IF(AH443="","",IFERROR(MATCH(AH443,INDEX(Boundaries!$B$2:$I$30,MATCH(CM443,Boundaries!$A$2:$A$30,0),0),1)-1,""))</f>
        <v/>
      </c>
      <c r="AJ443" s="42" t="str">
        <f aca="false">IF(OR(AI443="",$E443=""),"",AI443-$E443)</f>
        <v/>
      </c>
      <c r="AK443" s="39"/>
      <c r="AL443" s="40" t="str">
        <f aca="false">IF(OR(AK443="",BZ443=""),"",AK443/BZ443*100)</f>
        <v/>
      </c>
      <c r="AM443" s="41" t="str">
        <f aca="false">IF(AL443="","",IFERROR(MATCH(AL443,INDEX(Boundaries!$B$2:$I$30,MATCH(CN443,Boundaries!$A$2:$A$30,0),0),1)-1,""))</f>
        <v/>
      </c>
      <c r="AN443" s="42" t="str">
        <f aca="false">IF(OR(AM443="",$E443=""),"",AM443-$E443)</f>
        <v/>
      </c>
      <c r="AO443" s="39"/>
      <c r="AP443" s="40" t="str">
        <f aca="false">IF(OR(AO443="",CA443=""),"",AO443/CA443*100)</f>
        <v/>
      </c>
      <c r="AQ443" s="41" t="str">
        <f aca="false">IF(AP443="","",IFERROR(MATCH(AP443,INDEX(Boundaries!$B$2:$I$30,MATCH(CO443,Boundaries!$A$2:$A$30,0),0),1)-1,""))</f>
        <v/>
      </c>
      <c r="AR443" s="42" t="str">
        <f aca="false">IF(OR(AQ443="",$E443=""),"",AQ443-$E443)</f>
        <v/>
      </c>
      <c r="AS443" s="39"/>
      <c r="AT443" s="40" t="str">
        <f aca="false">IF(OR(AS443="",CB443=""),"",AS443/CB443*100)</f>
        <v/>
      </c>
      <c r="AU443" s="41" t="str">
        <f aca="false">IF(AT443="","",IFERROR(MATCH(AT443,INDEX(Boundaries!$B$2:$I$30,MATCH(CP443,Boundaries!$A$2:$A$30,0),0),1)-1,""))</f>
        <v/>
      </c>
      <c r="AV443" s="42" t="str">
        <f aca="false">IF(OR(AU443="",$E443=""),"",AU443-$E443)</f>
        <v/>
      </c>
      <c r="AW443" s="39"/>
      <c r="AX443" s="40" t="str">
        <f aca="false">IF(OR(AW443="",CC443=""),"",AW443/CC443*100)</f>
        <v/>
      </c>
      <c r="AY443" s="41" t="str">
        <f aca="false">IF(AX443="","",IFERROR(MATCH(AX443,INDEX(Boundaries!$B$2:$I$30,MATCH(CQ443,Boundaries!$A$2:$A$30,0),0),1)-1,""))</f>
        <v/>
      </c>
      <c r="AZ443" s="42" t="str">
        <f aca="false">IF(OR(AY443="",$E443=""),"",AY443-$E443)</f>
        <v/>
      </c>
      <c r="BA443" s="39"/>
      <c r="BB443" s="40" t="str">
        <f aca="false">IF(OR(BA443="",CD443=""),"",BA443/CD443*100)</f>
        <v/>
      </c>
      <c r="BC443" s="41" t="str">
        <f aca="false">IF(BB443="","",IFERROR(MATCH(BB443,INDEX(Boundaries!$B$2:$I$30,MATCH(CR443,Boundaries!$A$2:$A$30,0),0),1)-1,""))</f>
        <v/>
      </c>
      <c r="BD443" s="42" t="str">
        <f aca="false">IF(OR(BC443="",$E443=""),"",BC443-$E443)</f>
        <v/>
      </c>
      <c r="BE443" s="39"/>
      <c r="BF443" s="40" t="str">
        <f aca="false">IF(OR(BE443="",CE443=""),"",BE443/CE443*100)</f>
        <v/>
      </c>
      <c r="BG443" s="41" t="str">
        <f aca="false">IF(BF443="","",IFERROR(MATCH(BF443,INDEX(Boundaries!$B$2:$I$30,MATCH(CS443,Boundaries!$A$2:$A$30,0),0),1)-1,""))</f>
        <v/>
      </c>
      <c r="BH443" s="42" t="str">
        <f aca="false">IF(OR(BG443="",$E443=""),"",BG443-$E443)</f>
        <v/>
      </c>
      <c r="BI443" s="39"/>
      <c r="BJ443" s="40" t="str">
        <f aca="false">IF(OR(BI443="",CF443=""),"",BI443/CF443*100)</f>
        <v/>
      </c>
      <c r="BK443" s="41" t="str">
        <f aca="false">IF(BJ443="","",IFERROR(MATCH(BJ443,INDEX(Boundaries!$B$2:$I$30,MATCH(CT443,Boundaries!$A$2:$A$30,0),0),1)-1,""))</f>
        <v/>
      </c>
      <c r="BL443" s="42" t="str">
        <f aca="false">IF(OR(BK443="",$E443=""),"",BK443-$E443)</f>
        <v/>
      </c>
      <c r="BM443" s="39"/>
      <c r="BN443" s="40" t="str">
        <f aca="false">IF(OR(BM443="",CG443=""),"",BM443/CG443*100)</f>
        <v/>
      </c>
      <c r="BO443" s="41" t="str">
        <f aca="false">IF(BN443="","",IFERROR(MATCH(BN443,INDEX(Boundaries!$B$2:$I$30,MATCH(CU443,Boundaries!$A$2:$A$30,0),0),1)-1,""))</f>
        <v/>
      </c>
      <c r="BP443" s="42" t="str">
        <f aca="false">IF(OR(BO443="",$E443=""),"",BO443-$E443)</f>
        <v/>
      </c>
      <c r="BQ443" s="39"/>
      <c r="BR443" s="40" t="str">
        <f aca="false">IF(OR(BQ443="",CH443=""),"",BQ443/CH443*100)</f>
        <v/>
      </c>
      <c r="BS443" s="41" t="str">
        <f aca="false">IF(BR443="","",IFERROR(MATCH(BR443,INDEX(Boundaries!$B$2:$I$30,MATCH(CV443,Boundaries!$A$2:$A$30,0),0),1)-1,""))</f>
        <v/>
      </c>
      <c r="BT443" s="42" t="str">
        <f aca="false">IF(OR(BS443="",$E443=""),"",BS443-$E443)</f>
        <v/>
      </c>
      <c r="BU443" s="28" t="str">
        <f aca="false">IFERROR(INDEX(Assessments!$H$2:$H$600,MATCH($H443&amp;"|"&amp;$I443&amp;"|"&amp;$J443&amp;"|"&amp;1,Assessments!$A$2:$A$600,0)),"")</f>
        <v/>
      </c>
      <c r="BV443" s="28" t="str">
        <f aca="false">IFERROR(INDEX(Assessments!$H$2:$H$600,MATCH($H443&amp;"|"&amp;$I443&amp;"|"&amp;$J443&amp;"|"&amp;2,Assessments!$A$2:$A$600,0)),"")</f>
        <v/>
      </c>
      <c r="BW443" s="28" t="str">
        <f aca="false">IFERROR(INDEX(Assessments!$H$2:$H$600,MATCH($H443&amp;"|"&amp;$I443&amp;"|"&amp;$J443&amp;"|"&amp;3,Assessments!$A$2:$A$600,0)),"")</f>
        <v/>
      </c>
      <c r="BX443" s="28" t="str">
        <f aca="false">IFERROR(INDEX(Assessments!$H$2:$H$600,MATCH($H443&amp;"|"&amp;$I443&amp;"|"&amp;$J443&amp;"|"&amp;4,Assessments!$A$2:$A$600,0)),"")</f>
        <v/>
      </c>
      <c r="BY443" s="28" t="str">
        <f aca="false">IFERROR(INDEX(Assessments!$H$2:$H$600,MATCH($H443&amp;"|"&amp;$I443&amp;"|"&amp;$J443&amp;"|"&amp;5,Assessments!$A$2:$A$600,0)),"")</f>
        <v/>
      </c>
      <c r="BZ443" s="28" t="str">
        <f aca="false">IFERROR(INDEX(Assessments!$H$2:$H$600,MATCH($H443&amp;"|"&amp;$I443&amp;"|"&amp;$J443&amp;"|"&amp;6,Assessments!$A$2:$A$600,0)),"")</f>
        <v/>
      </c>
      <c r="CA443" s="28" t="str">
        <f aca="false">IFERROR(INDEX(Assessments!$H$2:$H$600,MATCH($H443&amp;"|"&amp;$I443&amp;"|"&amp;$J443&amp;"|"&amp;7,Assessments!$A$2:$A$600,0)),"")</f>
        <v/>
      </c>
      <c r="CB443" s="28" t="str">
        <f aca="false">IFERROR(INDEX(Assessments!$H$2:$H$600,MATCH($H443&amp;"|"&amp;$I443&amp;"|"&amp;$J443&amp;"|"&amp;8,Assessments!$A$2:$A$600,0)),"")</f>
        <v/>
      </c>
      <c r="CC443" s="28" t="str">
        <f aca="false">IFERROR(INDEX(Assessments!$H$2:$H$600,MATCH($H443&amp;"|"&amp;$I443&amp;"|"&amp;$J443&amp;"|"&amp;9,Assessments!$A$2:$A$600,0)),"")</f>
        <v/>
      </c>
      <c r="CD443" s="28" t="str">
        <f aca="false">IFERROR(INDEX(Assessments!$H$2:$H$600,MATCH($H443&amp;"|"&amp;$I443&amp;"|"&amp;$J443&amp;"|"&amp;10,Assessments!$A$2:$A$600,0)),"")</f>
        <v/>
      </c>
      <c r="CE443" s="28" t="str">
        <f aca="false">IFERROR(INDEX(Assessments!$H$2:$H$600,MATCH($H443&amp;"|"&amp;$I443&amp;"|"&amp;$J443&amp;"|"&amp;11,Assessments!$A$2:$A$600,0)),"")</f>
        <v/>
      </c>
      <c r="CF443" s="28" t="str">
        <f aca="false">IFERROR(INDEX(Assessments!$H$2:$H$600,MATCH($H443&amp;"|"&amp;$I443&amp;"|"&amp;$J443&amp;"|"&amp;12,Assessments!$A$2:$A$600,0)),"")</f>
        <v/>
      </c>
      <c r="CG443" s="28" t="str">
        <f aca="false">IFERROR(INDEX(Assessments!$H$2:$H$600,MATCH($H443&amp;"|"&amp;$I443&amp;"|"&amp;$J443&amp;"|"&amp;13,Assessments!$A$2:$A$600,0)),"")</f>
        <v/>
      </c>
      <c r="CH443" s="28" t="str">
        <f aca="false">IFERROR(INDEX(Assessments!$H$2:$H$600,MATCH($H443&amp;"|"&amp;$I443&amp;"|"&amp;$J443&amp;"|"&amp;14,Assessments!$A$2:$A$600,0)),"")</f>
        <v/>
      </c>
      <c r="CI443" s="28" t="str">
        <f aca="false">IFERROR(INDEX(Assessments!$I$2:$I$600,MATCH($H443&amp;"|"&amp;$I443&amp;"|"&amp;$J443&amp;"|"&amp;1,Assessments!$A$2:$A$600,0)),"")</f>
        <v/>
      </c>
      <c r="CJ443" s="28" t="str">
        <f aca="false">IFERROR(INDEX(Assessments!$I$2:$I$600,MATCH($H443&amp;"|"&amp;$I443&amp;"|"&amp;$J443&amp;"|"&amp;2,Assessments!$A$2:$A$600,0)),"")</f>
        <v/>
      </c>
      <c r="CK443" s="28" t="str">
        <f aca="false">IFERROR(INDEX(Assessments!$I$2:$I$600,MATCH($H443&amp;"|"&amp;$I443&amp;"|"&amp;$J443&amp;"|"&amp;3,Assessments!$A$2:$A$600,0)),"")</f>
        <v/>
      </c>
      <c r="CL443" s="28" t="str">
        <f aca="false">IFERROR(INDEX(Assessments!$I$2:$I$600,MATCH($H443&amp;"|"&amp;$I443&amp;"|"&amp;$J443&amp;"|"&amp;4,Assessments!$A$2:$A$600,0)),"")</f>
        <v/>
      </c>
      <c r="CM443" s="28" t="str">
        <f aca="false">IFERROR(INDEX(Assessments!$I$2:$I$600,MATCH($H443&amp;"|"&amp;$I443&amp;"|"&amp;$J443&amp;"|"&amp;5,Assessments!$A$2:$A$600,0)),"")</f>
        <v/>
      </c>
      <c r="CN443" s="28" t="str">
        <f aca="false">IFERROR(INDEX(Assessments!$I$2:$I$600,MATCH($H443&amp;"|"&amp;$I443&amp;"|"&amp;$J443&amp;"|"&amp;6,Assessments!$A$2:$A$600,0)),"")</f>
        <v/>
      </c>
      <c r="CO443" s="28" t="str">
        <f aca="false">IFERROR(INDEX(Assessments!$I$2:$I$600,MATCH($H443&amp;"|"&amp;$I443&amp;"|"&amp;$J443&amp;"|"&amp;7,Assessments!$A$2:$A$600,0)),"")</f>
        <v/>
      </c>
      <c r="CP443" s="28" t="str">
        <f aca="false">IFERROR(INDEX(Assessments!$I$2:$I$600,MATCH($H443&amp;"|"&amp;$I443&amp;"|"&amp;$J443&amp;"|"&amp;8,Assessments!$A$2:$A$600,0)),"")</f>
        <v/>
      </c>
      <c r="CQ443" s="28" t="str">
        <f aca="false">IFERROR(INDEX(Assessments!$I$2:$I$600,MATCH($H443&amp;"|"&amp;$I443&amp;"|"&amp;$J443&amp;"|"&amp;9,Assessments!$A$2:$A$600,0)),"")</f>
        <v/>
      </c>
      <c r="CR443" s="28" t="str">
        <f aca="false">IFERROR(INDEX(Assessments!$I$2:$I$600,MATCH($H443&amp;"|"&amp;$I443&amp;"|"&amp;$J443&amp;"|"&amp;10,Assessments!$A$2:$A$600,0)),"")</f>
        <v/>
      </c>
      <c r="CS443" s="28" t="str">
        <f aca="false">IFERROR(INDEX(Assessments!$I$2:$I$600,MATCH($H443&amp;"|"&amp;$I443&amp;"|"&amp;$J443&amp;"|"&amp;11,Assessments!$A$2:$A$600,0)),"")</f>
        <v/>
      </c>
      <c r="CT443" s="28" t="str">
        <f aca="false">IFERROR(INDEX(Assessments!$I$2:$I$600,MATCH($H443&amp;"|"&amp;$I443&amp;"|"&amp;$J443&amp;"|"&amp;12,Assessments!$A$2:$A$600,0)),"")</f>
        <v/>
      </c>
      <c r="CU443" s="28" t="str">
        <f aca="false">IFERROR(INDEX(Assessments!$I$2:$I$600,MATCH($H443&amp;"|"&amp;$I443&amp;"|"&amp;$J443&amp;"|"&amp;13,Assessments!$A$2:$A$600,0)),"")</f>
        <v/>
      </c>
      <c r="CV443" s="28" t="str">
        <f aca="false">IFERROR(INDEX(Assessments!$I$2:$I$600,MATCH($H443&amp;"|"&amp;$I443&amp;"|"&amp;$J443&amp;"|"&amp;14,Assessments!$A$2:$A$600,0)),"")</f>
        <v/>
      </c>
      <c r="CW443" s="28" t="n">
        <f aca="false">IFERROR(INDEX(Assessments!$J$2:$J$600,MATCH($H443&amp;"|"&amp;$I443&amp;"|"&amp;$J443&amp;"|"&amp;1,Assessments!$A$2:$A$600,0)),0)</f>
        <v>0</v>
      </c>
      <c r="CX443" s="28" t="n">
        <f aca="false">IFERROR(INDEX(Assessments!$J$2:$J$600,MATCH($H443&amp;"|"&amp;$I443&amp;"|"&amp;$J443&amp;"|"&amp;2,Assessments!$A$2:$A$600,0)),0)</f>
        <v>0</v>
      </c>
      <c r="CY443" s="28" t="n">
        <f aca="false">IFERROR(INDEX(Assessments!$J$2:$J$600,MATCH($H443&amp;"|"&amp;$I443&amp;"|"&amp;$J443&amp;"|"&amp;3,Assessments!$A$2:$A$600,0)),0)</f>
        <v>0</v>
      </c>
      <c r="CZ443" s="28" t="n">
        <f aca="false">IFERROR(INDEX(Assessments!$J$2:$J$600,MATCH($H443&amp;"|"&amp;$I443&amp;"|"&amp;$J443&amp;"|"&amp;4,Assessments!$A$2:$A$600,0)),0)</f>
        <v>0</v>
      </c>
      <c r="DA443" s="28" t="n">
        <f aca="false">IFERROR(INDEX(Assessments!$J$2:$J$600,MATCH($H443&amp;"|"&amp;$I443&amp;"|"&amp;$J443&amp;"|"&amp;5,Assessments!$A$2:$A$600,0)),0)</f>
        <v>0</v>
      </c>
      <c r="DB443" s="28" t="n">
        <f aca="false">IFERROR(INDEX(Assessments!$J$2:$J$600,MATCH($H443&amp;"|"&amp;$I443&amp;"|"&amp;$J443&amp;"|"&amp;6,Assessments!$A$2:$A$600,0)),0)</f>
        <v>0</v>
      </c>
      <c r="DC443" s="28" t="n">
        <f aca="false">IFERROR(INDEX(Assessments!$J$2:$J$600,MATCH($H443&amp;"|"&amp;$I443&amp;"|"&amp;$J443&amp;"|"&amp;7,Assessments!$A$2:$A$600,0)),0)</f>
        <v>0</v>
      </c>
      <c r="DD443" s="28" t="n">
        <f aca="false">IFERROR(INDEX(Assessments!$J$2:$J$600,MATCH($H443&amp;"|"&amp;$I443&amp;"|"&amp;$J443&amp;"|"&amp;8,Assessments!$A$2:$A$600,0)),0)</f>
        <v>0</v>
      </c>
      <c r="DE443" s="28" t="n">
        <f aca="false">IFERROR(INDEX(Assessments!$J$2:$J$600,MATCH($H443&amp;"|"&amp;$I443&amp;"|"&amp;$J443&amp;"|"&amp;9,Assessments!$A$2:$A$600,0)),0)</f>
        <v>0</v>
      </c>
      <c r="DF443" s="28" t="n">
        <f aca="false">IFERROR(INDEX(Assessments!$J$2:$J$600,MATCH($H443&amp;"|"&amp;$I443&amp;"|"&amp;$J443&amp;"|"&amp;10,Assessments!$A$2:$A$600,0)),0)</f>
        <v>0</v>
      </c>
      <c r="DG443" s="28" t="n">
        <f aca="false">IFERROR(INDEX(Assessments!$J$2:$J$600,MATCH($H443&amp;"|"&amp;$I443&amp;"|"&amp;$J443&amp;"|"&amp;11,Assessments!$A$2:$A$600,0)),0)</f>
        <v>0</v>
      </c>
      <c r="DH443" s="28" t="n">
        <f aca="false">IFERROR(INDEX(Assessments!$J$2:$J$600,MATCH($H443&amp;"|"&amp;$I443&amp;"|"&amp;$J443&amp;"|"&amp;12,Assessments!$A$2:$A$600,0)),0)</f>
        <v>0</v>
      </c>
      <c r="DI443" s="28" t="n">
        <f aca="false">IFERROR(INDEX(Assessments!$J$2:$J$600,MATCH($H443&amp;"|"&amp;$I443&amp;"|"&amp;$J443&amp;"|"&amp;13,Assessments!$A$2:$A$600,0)),0)</f>
        <v>0</v>
      </c>
      <c r="DJ443" s="28" t="n">
        <f aca="false">IFERROR(INDEX(Assessments!$J$2:$J$600,MATCH($H443&amp;"|"&amp;$I443&amp;"|"&amp;$J443&amp;"|"&amp;14,Assessments!$A$2:$A$600,0)),0)</f>
        <v>0</v>
      </c>
      <c r="DK443" s="28" t="str">
        <f aca="false">S443</f>
        <v/>
      </c>
      <c r="DL443" s="28" t="str">
        <f aca="false">W443</f>
        <v/>
      </c>
      <c r="DM443" s="28" t="str">
        <f aca="false">AA443</f>
        <v/>
      </c>
      <c r="DN443" s="28" t="str">
        <f aca="false">AE443</f>
        <v/>
      </c>
      <c r="DO443" s="28" t="str">
        <f aca="false">AI443</f>
        <v/>
      </c>
      <c r="DP443" s="28" t="str">
        <f aca="false">AM443</f>
        <v/>
      </c>
      <c r="DQ443" s="28" t="str">
        <f aca="false">AQ443</f>
        <v/>
      </c>
      <c r="DR443" s="28" t="str">
        <f aca="false">AU443</f>
        <v/>
      </c>
      <c r="DS443" s="28" t="str">
        <f aca="false">AY443</f>
        <v/>
      </c>
      <c r="DT443" s="28" t="str">
        <f aca="false">BC443</f>
        <v/>
      </c>
      <c r="DU443" s="28" t="str">
        <f aca="false">BG443</f>
        <v/>
      </c>
      <c r="DV443" s="28" t="str">
        <f aca="false">BK443</f>
        <v/>
      </c>
      <c r="DW443" s="28" t="str">
        <f aca="false">BO443</f>
        <v/>
      </c>
      <c r="DX443" s="28" t="str">
        <f aca="false">BS443</f>
        <v/>
      </c>
      <c r="DY443" s="28" t="str">
        <f aca="false">IF(ISNUMBER(S443),1,"")</f>
        <v/>
      </c>
      <c r="DZ443" s="28" t="str">
        <f aca="false">IF(ISNUMBER(W443),2,"")</f>
        <v/>
      </c>
      <c r="EA443" s="28" t="str">
        <f aca="false">IF(ISNUMBER(AA443),3,"")</f>
        <v/>
      </c>
      <c r="EB443" s="28" t="str">
        <f aca="false">IF(ISNUMBER(AE443),4,"")</f>
        <v/>
      </c>
      <c r="EC443" s="28" t="str">
        <f aca="false">IF(ISNUMBER(AI443),5,"")</f>
        <v/>
      </c>
      <c r="ED443" s="28" t="str">
        <f aca="false">IF(ISNUMBER(AM443),6,"")</f>
        <v/>
      </c>
      <c r="EE443" s="28" t="str">
        <f aca="false">IF(ISNUMBER(AQ443),7,"")</f>
        <v/>
      </c>
      <c r="EF443" s="28" t="str">
        <f aca="false">IF(ISNUMBER(AU443),8,"")</f>
        <v/>
      </c>
      <c r="EG443" s="28" t="str">
        <f aca="false">IF(ISNUMBER(AY443),9,"")</f>
        <v/>
      </c>
      <c r="EH443" s="28" t="str">
        <f aca="false">IF(ISNUMBER(BC443),10,"")</f>
        <v/>
      </c>
      <c r="EI443" s="28" t="str">
        <f aca="false">IF(ISNUMBER(BG443),11,"")</f>
        <v/>
      </c>
      <c r="EJ443" s="28" t="str">
        <f aca="false">IF(ISNUMBER(BK443),12,"")</f>
        <v/>
      </c>
      <c r="EK443" s="28" t="str">
        <f aca="false">IF(ISNUMBER(BO443),13,"")</f>
        <v/>
      </c>
      <c r="EL443" s="28" t="str">
        <f aca="false">IF(ISNUMBER(BS443),14,"")</f>
        <v/>
      </c>
      <c r="EM443" s="28" t="n">
        <f aca="false">IF(ISNUMBER(R443),R443*CW443,0)</f>
        <v>0</v>
      </c>
      <c r="EN443" s="28" t="n">
        <f aca="false">IF(ISNUMBER(V443),V443*CX443,0)</f>
        <v>0</v>
      </c>
      <c r="EO443" s="28" t="n">
        <f aca="false">IF(ISNUMBER(Z443),Z443*CY443,0)</f>
        <v>0</v>
      </c>
      <c r="EP443" s="28" t="n">
        <f aca="false">IF(ISNUMBER(AD443),AD443*CZ443,0)</f>
        <v>0</v>
      </c>
      <c r="EQ443" s="28" t="n">
        <f aca="false">IF(ISNUMBER(AH443),AH443*DA443,0)</f>
        <v>0</v>
      </c>
      <c r="ER443" s="28" t="n">
        <f aca="false">IF(ISNUMBER(AL443),AL443*DB443,0)</f>
        <v>0</v>
      </c>
      <c r="ES443" s="28" t="n">
        <f aca="false">IF(ISNUMBER(AP443),AP443*DC443,0)</f>
        <v>0</v>
      </c>
      <c r="ET443" s="28" t="n">
        <f aca="false">IF(ISNUMBER(AT443),AT443*DD443,0)</f>
        <v>0</v>
      </c>
      <c r="EU443" s="28" t="n">
        <f aca="false">IF(ISNUMBER(AX443),AX443*DE443,0)</f>
        <v>0</v>
      </c>
      <c r="EV443" s="28" t="n">
        <f aca="false">IF(ISNUMBER(BB443),BB443*DF443,0)</f>
        <v>0</v>
      </c>
      <c r="EW443" s="28" t="n">
        <f aca="false">IF(ISNUMBER(BF443),BF443*DG443,0)</f>
        <v>0</v>
      </c>
      <c r="EX443" s="28" t="n">
        <f aca="false">IF(ISNUMBER(BJ443),BJ443*DH443,0)</f>
        <v>0</v>
      </c>
      <c r="EY443" s="28" t="n">
        <f aca="false">IF(ISNUMBER(BN443),BN443*DI443,0)</f>
        <v>0</v>
      </c>
      <c r="EZ443" s="28" t="n">
        <f aca="false">IF(ISNUMBER(BR443),BR443*DJ443,0)</f>
        <v>0</v>
      </c>
      <c r="FA443" s="28" t="n">
        <f aca="false">IF(ISNUMBER(R443),CW443,0)</f>
        <v>0</v>
      </c>
      <c r="FB443" s="28" t="n">
        <f aca="false">IF(ISNUMBER(V443),CX443,0)</f>
        <v>0</v>
      </c>
      <c r="FC443" s="28" t="n">
        <f aca="false">IF(ISNUMBER(Z443),CY443,0)</f>
        <v>0</v>
      </c>
      <c r="FD443" s="28" t="n">
        <f aca="false">IF(ISNUMBER(AD443),CZ443,0)</f>
        <v>0</v>
      </c>
      <c r="FE443" s="28" t="n">
        <f aca="false">IF(ISNUMBER(AH443),DA443,0)</f>
        <v>0</v>
      </c>
      <c r="FF443" s="28" t="n">
        <f aca="false">IF(ISNUMBER(AL443),DB443,0)</f>
        <v>0</v>
      </c>
      <c r="FG443" s="28" t="n">
        <f aca="false">IF(ISNUMBER(AP443),DC443,0)</f>
        <v>0</v>
      </c>
      <c r="FH443" s="28" t="n">
        <f aca="false">IF(ISNUMBER(AT443),DD443,0)</f>
        <v>0</v>
      </c>
      <c r="FI443" s="28" t="n">
        <f aca="false">IF(ISNUMBER(AX443),DE443,0)</f>
        <v>0</v>
      </c>
      <c r="FJ443" s="28" t="n">
        <f aca="false">IF(ISNUMBER(BB443),DF443,0)</f>
        <v>0</v>
      </c>
      <c r="FK443" s="28" t="n">
        <f aca="false">IF(ISNUMBER(BF443),DG443,0)</f>
        <v>0</v>
      </c>
      <c r="FL443" s="28" t="n">
        <f aca="false">IF(ISNUMBER(BJ443),DH443,0)</f>
        <v>0</v>
      </c>
      <c r="FM443" s="28" t="n">
        <f aca="false">IF(ISNUMBER(BN443),DI443,0)</f>
        <v>0</v>
      </c>
      <c r="FN443" s="28" t="n">
        <f aca="false">IF(ISNUMBER(BR443),DJ443,0)</f>
        <v>0</v>
      </c>
      <c r="FO443" s="28" t="str">
        <f aca="false">IFERROR(INDEX(Lists!$G$2:$G$20,MATCH($I443&amp;"|"&amp;$J443,Lists!$F$2:$F$20,0)),"")</f>
        <v/>
      </c>
    </row>
    <row r="444" customFormat="false" ht="19.5" hidden="false" customHeight="true" outlineLevel="0" collapsed="false">
      <c r="A444" s="29"/>
      <c r="B444" s="29"/>
      <c r="C444" s="30"/>
      <c r="D444" s="30"/>
      <c r="E444" s="31"/>
      <c r="F444" s="30"/>
      <c r="G444" s="30"/>
      <c r="H444" s="32"/>
      <c r="I444" s="33"/>
      <c r="J444" s="32"/>
      <c r="K444" s="34" t="str">
        <f aca="false">IF(OR(M444="",$E444=""),"",M444-$E444)</f>
        <v/>
      </c>
      <c r="L444" s="35" t="str">
        <f aca="false">IF(SUM(FA444:FN444)=0,"",SUM(EM444:EZ444)/SUM(FA444:FN444))</f>
        <v/>
      </c>
      <c r="M444" s="36" t="str">
        <f aca="false">IF(OR(L444="",FO444=""),"",IFERROR(MATCH(L444,INDEX(Boundaries!$B$2:$I$30,MATCH(FO444,Boundaries!$A$2:$A$30,0),0),1)-1,""))</f>
        <v/>
      </c>
      <c r="N444" s="37" t="str">
        <f aca="false">IF(COUNT($DY444:$EL444)&lt;2,"",INDEX($DK444:$DX444,MAX($DY444:$EL444))-INDEX($DK444:$DX444,MIN($DY444:$EL444)))</f>
        <v/>
      </c>
      <c r="O444" s="37" t="str">
        <f aca="false">IF(COUNT($DY444:$EL444)&lt;2,"",INDEX($DK444:$DX444,MAX($DY444:$EL444))-INDEX($DK444:$DX444,LARGE($DY444:$EL444,2)))</f>
        <v/>
      </c>
      <c r="P444" s="38" t="str">
        <f aca="false">IF(K444="","",IF(K444&gt;=0,"On/above target",IF(AND(N444&lt;&gt;"",N444&gt;=0.5),"Improving towards target",IF(AND(O444&lt;&gt;"",O444&lt;=-0.5),"Declining","Stable below target"))))</f>
        <v/>
      </c>
      <c r="Q444" s="39"/>
      <c r="R444" s="40" t="str">
        <f aca="false">IF(OR(Q444="",BU444=""),"",Q444/BU444*100)</f>
        <v/>
      </c>
      <c r="S444" s="41" t="str">
        <f aca="false">IF(R444="","",IFERROR(MATCH(R444,INDEX(Boundaries!$B$2:$I$30,MATCH(CI444,Boundaries!$A$2:$A$30,0),0),1)-1,""))</f>
        <v/>
      </c>
      <c r="T444" s="42" t="str">
        <f aca="false">IF(OR(S444="",$E444=""),"",S444-$E444)</f>
        <v/>
      </c>
      <c r="U444" s="39"/>
      <c r="V444" s="40" t="str">
        <f aca="false">IF(OR(U444="",BV444=""),"",U444/BV444*100)</f>
        <v/>
      </c>
      <c r="W444" s="41" t="str">
        <f aca="false">IF(V444="","",IFERROR(MATCH(V444,INDEX(Boundaries!$B$2:$I$30,MATCH(CJ444,Boundaries!$A$2:$A$30,0),0),1)-1,""))</f>
        <v/>
      </c>
      <c r="X444" s="42" t="str">
        <f aca="false">IF(OR(W444="",$E444=""),"",W444-$E444)</f>
        <v/>
      </c>
      <c r="Y444" s="39"/>
      <c r="Z444" s="40" t="str">
        <f aca="false">IF(OR(Y444="",BW444=""),"",Y444/BW444*100)</f>
        <v/>
      </c>
      <c r="AA444" s="41" t="str">
        <f aca="false">IF(Z444="","",IFERROR(MATCH(Z444,INDEX(Boundaries!$B$2:$I$30,MATCH(CK444,Boundaries!$A$2:$A$30,0),0),1)-1,""))</f>
        <v/>
      </c>
      <c r="AB444" s="42" t="str">
        <f aca="false">IF(OR(AA444="",$E444=""),"",AA444-$E444)</f>
        <v/>
      </c>
      <c r="AC444" s="39"/>
      <c r="AD444" s="40" t="str">
        <f aca="false">IF(OR(AC444="",BX444=""),"",AC444/BX444*100)</f>
        <v/>
      </c>
      <c r="AE444" s="41" t="str">
        <f aca="false">IF(AD444="","",IFERROR(MATCH(AD444,INDEX(Boundaries!$B$2:$I$30,MATCH(CL444,Boundaries!$A$2:$A$30,0),0),1)-1,""))</f>
        <v/>
      </c>
      <c r="AF444" s="42" t="str">
        <f aca="false">IF(OR(AE444="",$E444=""),"",AE444-$E444)</f>
        <v/>
      </c>
      <c r="AG444" s="39"/>
      <c r="AH444" s="40" t="str">
        <f aca="false">IF(OR(AG444="",BY444=""),"",AG444/BY444*100)</f>
        <v/>
      </c>
      <c r="AI444" s="41" t="str">
        <f aca="false">IF(AH444="","",IFERROR(MATCH(AH444,INDEX(Boundaries!$B$2:$I$30,MATCH(CM444,Boundaries!$A$2:$A$30,0),0),1)-1,""))</f>
        <v/>
      </c>
      <c r="AJ444" s="42" t="str">
        <f aca="false">IF(OR(AI444="",$E444=""),"",AI444-$E444)</f>
        <v/>
      </c>
      <c r="AK444" s="39"/>
      <c r="AL444" s="40" t="str">
        <f aca="false">IF(OR(AK444="",BZ444=""),"",AK444/BZ444*100)</f>
        <v/>
      </c>
      <c r="AM444" s="41" t="str">
        <f aca="false">IF(AL444="","",IFERROR(MATCH(AL444,INDEX(Boundaries!$B$2:$I$30,MATCH(CN444,Boundaries!$A$2:$A$30,0),0),1)-1,""))</f>
        <v/>
      </c>
      <c r="AN444" s="42" t="str">
        <f aca="false">IF(OR(AM444="",$E444=""),"",AM444-$E444)</f>
        <v/>
      </c>
      <c r="AO444" s="39"/>
      <c r="AP444" s="40" t="str">
        <f aca="false">IF(OR(AO444="",CA444=""),"",AO444/CA444*100)</f>
        <v/>
      </c>
      <c r="AQ444" s="41" t="str">
        <f aca="false">IF(AP444="","",IFERROR(MATCH(AP444,INDEX(Boundaries!$B$2:$I$30,MATCH(CO444,Boundaries!$A$2:$A$30,0),0),1)-1,""))</f>
        <v/>
      </c>
      <c r="AR444" s="42" t="str">
        <f aca="false">IF(OR(AQ444="",$E444=""),"",AQ444-$E444)</f>
        <v/>
      </c>
      <c r="AS444" s="39"/>
      <c r="AT444" s="40" t="str">
        <f aca="false">IF(OR(AS444="",CB444=""),"",AS444/CB444*100)</f>
        <v/>
      </c>
      <c r="AU444" s="41" t="str">
        <f aca="false">IF(AT444="","",IFERROR(MATCH(AT444,INDEX(Boundaries!$B$2:$I$30,MATCH(CP444,Boundaries!$A$2:$A$30,0),0),1)-1,""))</f>
        <v/>
      </c>
      <c r="AV444" s="42" t="str">
        <f aca="false">IF(OR(AU444="",$E444=""),"",AU444-$E444)</f>
        <v/>
      </c>
      <c r="AW444" s="39"/>
      <c r="AX444" s="40" t="str">
        <f aca="false">IF(OR(AW444="",CC444=""),"",AW444/CC444*100)</f>
        <v/>
      </c>
      <c r="AY444" s="41" t="str">
        <f aca="false">IF(AX444="","",IFERROR(MATCH(AX444,INDEX(Boundaries!$B$2:$I$30,MATCH(CQ444,Boundaries!$A$2:$A$30,0),0),1)-1,""))</f>
        <v/>
      </c>
      <c r="AZ444" s="42" t="str">
        <f aca="false">IF(OR(AY444="",$E444=""),"",AY444-$E444)</f>
        <v/>
      </c>
      <c r="BA444" s="39"/>
      <c r="BB444" s="40" t="str">
        <f aca="false">IF(OR(BA444="",CD444=""),"",BA444/CD444*100)</f>
        <v/>
      </c>
      <c r="BC444" s="41" t="str">
        <f aca="false">IF(BB444="","",IFERROR(MATCH(BB444,INDEX(Boundaries!$B$2:$I$30,MATCH(CR444,Boundaries!$A$2:$A$30,0),0),1)-1,""))</f>
        <v/>
      </c>
      <c r="BD444" s="42" t="str">
        <f aca="false">IF(OR(BC444="",$E444=""),"",BC444-$E444)</f>
        <v/>
      </c>
      <c r="BE444" s="39"/>
      <c r="BF444" s="40" t="str">
        <f aca="false">IF(OR(BE444="",CE444=""),"",BE444/CE444*100)</f>
        <v/>
      </c>
      <c r="BG444" s="41" t="str">
        <f aca="false">IF(BF444="","",IFERROR(MATCH(BF444,INDEX(Boundaries!$B$2:$I$30,MATCH(CS444,Boundaries!$A$2:$A$30,0),0),1)-1,""))</f>
        <v/>
      </c>
      <c r="BH444" s="42" t="str">
        <f aca="false">IF(OR(BG444="",$E444=""),"",BG444-$E444)</f>
        <v/>
      </c>
      <c r="BI444" s="39"/>
      <c r="BJ444" s="40" t="str">
        <f aca="false">IF(OR(BI444="",CF444=""),"",BI444/CF444*100)</f>
        <v/>
      </c>
      <c r="BK444" s="41" t="str">
        <f aca="false">IF(BJ444="","",IFERROR(MATCH(BJ444,INDEX(Boundaries!$B$2:$I$30,MATCH(CT444,Boundaries!$A$2:$A$30,0),0),1)-1,""))</f>
        <v/>
      </c>
      <c r="BL444" s="42" t="str">
        <f aca="false">IF(OR(BK444="",$E444=""),"",BK444-$E444)</f>
        <v/>
      </c>
      <c r="BM444" s="39"/>
      <c r="BN444" s="40" t="str">
        <f aca="false">IF(OR(BM444="",CG444=""),"",BM444/CG444*100)</f>
        <v/>
      </c>
      <c r="BO444" s="41" t="str">
        <f aca="false">IF(BN444="","",IFERROR(MATCH(BN444,INDEX(Boundaries!$B$2:$I$30,MATCH(CU444,Boundaries!$A$2:$A$30,0),0),1)-1,""))</f>
        <v/>
      </c>
      <c r="BP444" s="42" t="str">
        <f aca="false">IF(OR(BO444="",$E444=""),"",BO444-$E444)</f>
        <v/>
      </c>
      <c r="BQ444" s="39"/>
      <c r="BR444" s="40" t="str">
        <f aca="false">IF(OR(BQ444="",CH444=""),"",BQ444/CH444*100)</f>
        <v/>
      </c>
      <c r="BS444" s="41" t="str">
        <f aca="false">IF(BR444="","",IFERROR(MATCH(BR444,INDEX(Boundaries!$B$2:$I$30,MATCH(CV444,Boundaries!$A$2:$A$30,0),0),1)-1,""))</f>
        <v/>
      </c>
      <c r="BT444" s="42" t="str">
        <f aca="false">IF(OR(BS444="",$E444=""),"",BS444-$E444)</f>
        <v/>
      </c>
      <c r="BU444" s="28" t="str">
        <f aca="false">IFERROR(INDEX(Assessments!$H$2:$H$600,MATCH($H444&amp;"|"&amp;$I444&amp;"|"&amp;$J444&amp;"|"&amp;1,Assessments!$A$2:$A$600,0)),"")</f>
        <v/>
      </c>
      <c r="BV444" s="28" t="str">
        <f aca="false">IFERROR(INDEX(Assessments!$H$2:$H$600,MATCH($H444&amp;"|"&amp;$I444&amp;"|"&amp;$J444&amp;"|"&amp;2,Assessments!$A$2:$A$600,0)),"")</f>
        <v/>
      </c>
      <c r="BW444" s="28" t="str">
        <f aca="false">IFERROR(INDEX(Assessments!$H$2:$H$600,MATCH($H444&amp;"|"&amp;$I444&amp;"|"&amp;$J444&amp;"|"&amp;3,Assessments!$A$2:$A$600,0)),"")</f>
        <v/>
      </c>
      <c r="BX444" s="28" t="str">
        <f aca="false">IFERROR(INDEX(Assessments!$H$2:$H$600,MATCH($H444&amp;"|"&amp;$I444&amp;"|"&amp;$J444&amp;"|"&amp;4,Assessments!$A$2:$A$600,0)),"")</f>
        <v/>
      </c>
      <c r="BY444" s="28" t="str">
        <f aca="false">IFERROR(INDEX(Assessments!$H$2:$H$600,MATCH($H444&amp;"|"&amp;$I444&amp;"|"&amp;$J444&amp;"|"&amp;5,Assessments!$A$2:$A$600,0)),"")</f>
        <v/>
      </c>
      <c r="BZ444" s="28" t="str">
        <f aca="false">IFERROR(INDEX(Assessments!$H$2:$H$600,MATCH($H444&amp;"|"&amp;$I444&amp;"|"&amp;$J444&amp;"|"&amp;6,Assessments!$A$2:$A$600,0)),"")</f>
        <v/>
      </c>
      <c r="CA444" s="28" t="str">
        <f aca="false">IFERROR(INDEX(Assessments!$H$2:$H$600,MATCH($H444&amp;"|"&amp;$I444&amp;"|"&amp;$J444&amp;"|"&amp;7,Assessments!$A$2:$A$600,0)),"")</f>
        <v/>
      </c>
      <c r="CB444" s="28" t="str">
        <f aca="false">IFERROR(INDEX(Assessments!$H$2:$H$600,MATCH($H444&amp;"|"&amp;$I444&amp;"|"&amp;$J444&amp;"|"&amp;8,Assessments!$A$2:$A$600,0)),"")</f>
        <v/>
      </c>
      <c r="CC444" s="28" t="str">
        <f aca="false">IFERROR(INDEX(Assessments!$H$2:$H$600,MATCH($H444&amp;"|"&amp;$I444&amp;"|"&amp;$J444&amp;"|"&amp;9,Assessments!$A$2:$A$600,0)),"")</f>
        <v/>
      </c>
      <c r="CD444" s="28" t="str">
        <f aca="false">IFERROR(INDEX(Assessments!$H$2:$H$600,MATCH($H444&amp;"|"&amp;$I444&amp;"|"&amp;$J444&amp;"|"&amp;10,Assessments!$A$2:$A$600,0)),"")</f>
        <v/>
      </c>
      <c r="CE444" s="28" t="str">
        <f aca="false">IFERROR(INDEX(Assessments!$H$2:$H$600,MATCH($H444&amp;"|"&amp;$I444&amp;"|"&amp;$J444&amp;"|"&amp;11,Assessments!$A$2:$A$600,0)),"")</f>
        <v/>
      </c>
      <c r="CF444" s="28" t="str">
        <f aca="false">IFERROR(INDEX(Assessments!$H$2:$H$600,MATCH($H444&amp;"|"&amp;$I444&amp;"|"&amp;$J444&amp;"|"&amp;12,Assessments!$A$2:$A$600,0)),"")</f>
        <v/>
      </c>
      <c r="CG444" s="28" t="str">
        <f aca="false">IFERROR(INDEX(Assessments!$H$2:$H$600,MATCH($H444&amp;"|"&amp;$I444&amp;"|"&amp;$J444&amp;"|"&amp;13,Assessments!$A$2:$A$600,0)),"")</f>
        <v/>
      </c>
      <c r="CH444" s="28" t="str">
        <f aca="false">IFERROR(INDEX(Assessments!$H$2:$H$600,MATCH($H444&amp;"|"&amp;$I444&amp;"|"&amp;$J444&amp;"|"&amp;14,Assessments!$A$2:$A$600,0)),"")</f>
        <v/>
      </c>
      <c r="CI444" s="28" t="str">
        <f aca="false">IFERROR(INDEX(Assessments!$I$2:$I$600,MATCH($H444&amp;"|"&amp;$I444&amp;"|"&amp;$J444&amp;"|"&amp;1,Assessments!$A$2:$A$600,0)),"")</f>
        <v/>
      </c>
      <c r="CJ444" s="28" t="str">
        <f aca="false">IFERROR(INDEX(Assessments!$I$2:$I$600,MATCH($H444&amp;"|"&amp;$I444&amp;"|"&amp;$J444&amp;"|"&amp;2,Assessments!$A$2:$A$600,0)),"")</f>
        <v/>
      </c>
      <c r="CK444" s="28" t="str">
        <f aca="false">IFERROR(INDEX(Assessments!$I$2:$I$600,MATCH($H444&amp;"|"&amp;$I444&amp;"|"&amp;$J444&amp;"|"&amp;3,Assessments!$A$2:$A$600,0)),"")</f>
        <v/>
      </c>
      <c r="CL444" s="28" t="str">
        <f aca="false">IFERROR(INDEX(Assessments!$I$2:$I$600,MATCH($H444&amp;"|"&amp;$I444&amp;"|"&amp;$J444&amp;"|"&amp;4,Assessments!$A$2:$A$600,0)),"")</f>
        <v/>
      </c>
      <c r="CM444" s="28" t="str">
        <f aca="false">IFERROR(INDEX(Assessments!$I$2:$I$600,MATCH($H444&amp;"|"&amp;$I444&amp;"|"&amp;$J444&amp;"|"&amp;5,Assessments!$A$2:$A$600,0)),"")</f>
        <v/>
      </c>
      <c r="CN444" s="28" t="str">
        <f aca="false">IFERROR(INDEX(Assessments!$I$2:$I$600,MATCH($H444&amp;"|"&amp;$I444&amp;"|"&amp;$J444&amp;"|"&amp;6,Assessments!$A$2:$A$600,0)),"")</f>
        <v/>
      </c>
      <c r="CO444" s="28" t="str">
        <f aca="false">IFERROR(INDEX(Assessments!$I$2:$I$600,MATCH($H444&amp;"|"&amp;$I444&amp;"|"&amp;$J444&amp;"|"&amp;7,Assessments!$A$2:$A$600,0)),"")</f>
        <v/>
      </c>
      <c r="CP444" s="28" t="str">
        <f aca="false">IFERROR(INDEX(Assessments!$I$2:$I$600,MATCH($H444&amp;"|"&amp;$I444&amp;"|"&amp;$J444&amp;"|"&amp;8,Assessments!$A$2:$A$600,0)),"")</f>
        <v/>
      </c>
      <c r="CQ444" s="28" t="str">
        <f aca="false">IFERROR(INDEX(Assessments!$I$2:$I$600,MATCH($H444&amp;"|"&amp;$I444&amp;"|"&amp;$J444&amp;"|"&amp;9,Assessments!$A$2:$A$600,0)),"")</f>
        <v/>
      </c>
      <c r="CR444" s="28" t="str">
        <f aca="false">IFERROR(INDEX(Assessments!$I$2:$I$600,MATCH($H444&amp;"|"&amp;$I444&amp;"|"&amp;$J444&amp;"|"&amp;10,Assessments!$A$2:$A$600,0)),"")</f>
        <v/>
      </c>
      <c r="CS444" s="28" t="str">
        <f aca="false">IFERROR(INDEX(Assessments!$I$2:$I$600,MATCH($H444&amp;"|"&amp;$I444&amp;"|"&amp;$J444&amp;"|"&amp;11,Assessments!$A$2:$A$600,0)),"")</f>
        <v/>
      </c>
      <c r="CT444" s="28" t="str">
        <f aca="false">IFERROR(INDEX(Assessments!$I$2:$I$600,MATCH($H444&amp;"|"&amp;$I444&amp;"|"&amp;$J444&amp;"|"&amp;12,Assessments!$A$2:$A$600,0)),"")</f>
        <v/>
      </c>
      <c r="CU444" s="28" t="str">
        <f aca="false">IFERROR(INDEX(Assessments!$I$2:$I$600,MATCH($H444&amp;"|"&amp;$I444&amp;"|"&amp;$J444&amp;"|"&amp;13,Assessments!$A$2:$A$600,0)),"")</f>
        <v/>
      </c>
      <c r="CV444" s="28" t="str">
        <f aca="false">IFERROR(INDEX(Assessments!$I$2:$I$600,MATCH($H444&amp;"|"&amp;$I444&amp;"|"&amp;$J444&amp;"|"&amp;14,Assessments!$A$2:$A$600,0)),"")</f>
        <v/>
      </c>
      <c r="CW444" s="28" t="n">
        <f aca="false">IFERROR(INDEX(Assessments!$J$2:$J$600,MATCH($H444&amp;"|"&amp;$I444&amp;"|"&amp;$J444&amp;"|"&amp;1,Assessments!$A$2:$A$600,0)),0)</f>
        <v>0</v>
      </c>
      <c r="CX444" s="28" t="n">
        <f aca="false">IFERROR(INDEX(Assessments!$J$2:$J$600,MATCH($H444&amp;"|"&amp;$I444&amp;"|"&amp;$J444&amp;"|"&amp;2,Assessments!$A$2:$A$600,0)),0)</f>
        <v>0</v>
      </c>
      <c r="CY444" s="28" t="n">
        <f aca="false">IFERROR(INDEX(Assessments!$J$2:$J$600,MATCH($H444&amp;"|"&amp;$I444&amp;"|"&amp;$J444&amp;"|"&amp;3,Assessments!$A$2:$A$600,0)),0)</f>
        <v>0</v>
      </c>
      <c r="CZ444" s="28" t="n">
        <f aca="false">IFERROR(INDEX(Assessments!$J$2:$J$600,MATCH($H444&amp;"|"&amp;$I444&amp;"|"&amp;$J444&amp;"|"&amp;4,Assessments!$A$2:$A$600,0)),0)</f>
        <v>0</v>
      </c>
      <c r="DA444" s="28" t="n">
        <f aca="false">IFERROR(INDEX(Assessments!$J$2:$J$600,MATCH($H444&amp;"|"&amp;$I444&amp;"|"&amp;$J444&amp;"|"&amp;5,Assessments!$A$2:$A$600,0)),0)</f>
        <v>0</v>
      </c>
      <c r="DB444" s="28" t="n">
        <f aca="false">IFERROR(INDEX(Assessments!$J$2:$J$600,MATCH($H444&amp;"|"&amp;$I444&amp;"|"&amp;$J444&amp;"|"&amp;6,Assessments!$A$2:$A$600,0)),0)</f>
        <v>0</v>
      </c>
      <c r="DC444" s="28" t="n">
        <f aca="false">IFERROR(INDEX(Assessments!$J$2:$J$600,MATCH($H444&amp;"|"&amp;$I444&amp;"|"&amp;$J444&amp;"|"&amp;7,Assessments!$A$2:$A$600,0)),0)</f>
        <v>0</v>
      </c>
      <c r="DD444" s="28" t="n">
        <f aca="false">IFERROR(INDEX(Assessments!$J$2:$J$600,MATCH($H444&amp;"|"&amp;$I444&amp;"|"&amp;$J444&amp;"|"&amp;8,Assessments!$A$2:$A$600,0)),0)</f>
        <v>0</v>
      </c>
      <c r="DE444" s="28" t="n">
        <f aca="false">IFERROR(INDEX(Assessments!$J$2:$J$600,MATCH($H444&amp;"|"&amp;$I444&amp;"|"&amp;$J444&amp;"|"&amp;9,Assessments!$A$2:$A$600,0)),0)</f>
        <v>0</v>
      </c>
      <c r="DF444" s="28" t="n">
        <f aca="false">IFERROR(INDEX(Assessments!$J$2:$J$600,MATCH($H444&amp;"|"&amp;$I444&amp;"|"&amp;$J444&amp;"|"&amp;10,Assessments!$A$2:$A$600,0)),0)</f>
        <v>0</v>
      </c>
      <c r="DG444" s="28" t="n">
        <f aca="false">IFERROR(INDEX(Assessments!$J$2:$J$600,MATCH($H444&amp;"|"&amp;$I444&amp;"|"&amp;$J444&amp;"|"&amp;11,Assessments!$A$2:$A$600,0)),0)</f>
        <v>0</v>
      </c>
      <c r="DH444" s="28" t="n">
        <f aca="false">IFERROR(INDEX(Assessments!$J$2:$J$600,MATCH($H444&amp;"|"&amp;$I444&amp;"|"&amp;$J444&amp;"|"&amp;12,Assessments!$A$2:$A$600,0)),0)</f>
        <v>0</v>
      </c>
      <c r="DI444" s="28" t="n">
        <f aca="false">IFERROR(INDEX(Assessments!$J$2:$J$600,MATCH($H444&amp;"|"&amp;$I444&amp;"|"&amp;$J444&amp;"|"&amp;13,Assessments!$A$2:$A$600,0)),0)</f>
        <v>0</v>
      </c>
      <c r="DJ444" s="28" t="n">
        <f aca="false">IFERROR(INDEX(Assessments!$J$2:$J$600,MATCH($H444&amp;"|"&amp;$I444&amp;"|"&amp;$J444&amp;"|"&amp;14,Assessments!$A$2:$A$600,0)),0)</f>
        <v>0</v>
      </c>
      <c r="DK444" s="28" t="str">
        <f aca="false">S444</f>
        <v/>
      </c>
      <c r="DL444" s="28" t="str">
        <f aca="false">W444</f>
        <v/>
      </c>
      <c r="DM444" s="28" t="str">
        <f aca="false">AA444</f>
        <v/>
      </c>
      <c r="DN444" s="28" t="str">
        <f aca="false">AE444</f>
        <v/>
      </c>
      <c r="DO444" s="28" t="str">
        <f aca="false">AI444</f>
        <v/>
      </c>
      <c r="DP444" s="28" t="str">
        <f aca="false">AM444</f>
        <v/>
      </c>
      <c r="DQ444" s="28" t="str">
        <f aca="false">AQ444</f>
        <v/>
      </c>
      <c r="DR444" s="28" t="str">
        <f aca="false">AU444</f>
        <v/>
      </c>
      <c r="DS444" s="28" t="str">
        <f aca="false">AY444</f>
        <v/>
      </c>
      <c r="DT444" s="28" t="str">
        <f aca="false">BC444</f>
        <v/>
      </c>
      <c r="DU444" s="28" t="str">
        <f aca="false">BG444</f>
        <v/>
      </c>
      <c r="DV444" s="28" t="str">
        <f aca="false">BK444</f>
        <v/>
      </c>
      <c r="DW444" s="28" t="str">
        <f aca="false">BO444</f>
        <v/>
      </c>
      <c r="DX444" s="28" t="str">
        <f aca="false">BS444</f>
        <v/>
      </c>
      <c r="DY444" s="28" t="str">
        <f aca="false">IF(ISNUMBER(S444),1,"")</f>
        <v/>
      </c>
      <c r="DZ444" s="28" t="str">
        <f aca="false">IF(ISNUMBER(W444),2,"")</f>
        <v/>
      </c>
      <c r="EA444" s="28" t="str">
        <f aca="false">IF(ISNUMBER(AA444),3,"")</f>
        <v/>
      </c>
      <c r="EB444" s="28" t="str">
        <f aca="false">IF(ISNUMBER(AE444),4,"")</f>
        <v/>
      </c>
      <c r="EC444" s="28" t="str">
        <f aca="false">IF(ISNUMBER(AI444),5,"")</f>
        <v/>
      </c>
      <c r="ED444" s="28" t="str">
        <f aca="false">IF(ISNUMBER(AM444),6,"")</f>
        <v/>
      </c>
      <c r="EE444" s="28" t="str">
        <f aca="false">IF(ISNUMBER(AQ444),7,"")</f>
        <v/>
      </c>
      <c r="EF444" s="28" t="str">
        <f aca="false">IF(ISNUMBER(AU444),8,"")</f>
        <v/>
      </c>
      <c r="EG444" s="28" t="str">
        <f aca="false">IF(ISNUMBER(AY444),9,"")</f>
        <v/>
      </c>
      <c r="EH444" s="28" t="str">
        <f aca="false">IF(ISNUMBER(BC444),10,"")</f>
        <v/>
      </c>
      <c r="EI444" s="28" t="str">
        <f aca="false">IF(ISNUMBER(BG444),11,"")</f>
        <v/>
      </c>
      <c r="EJ444" s="28" t="str">
        <f aca="false">IF(ISNUMBER(BK444),12,"")</f>
        <v/>
      </c>
      <c r="EK444" s="28" t="str">
        <f aca="false">IF(ISNUMBER(BO444),13,"")</f>
        <v/>
      </c>
      <c r="EL444" s="28" t="str">
        <f aca="false">IF(ISNUMBER(BS444),14,"")</f>
        <v/>
      </c>
      <c r="EM444" s="28" t="n">
        <f aca="false">IF(ISNUMBER(R444),R444*CW444,0)</f>
        <v>0</v>
      </c>
      <c r="EN444" s="28" t="n">
        <f aca="false">IF(ISNUMBER(V444),V444*CX444,0)</f>
        <v>0</v>
      </c>
      <c r="EO444" s="28" t="n">
        <f aca="false">IF(ISNUMBER(Z444),Z444*CY444,0)</f>
        <v>0</v>
      </c>
      <c r="EP444" s="28" t="n">
        <f aca="false">IF(ISNUMBER(AD444),AD444*CZ444,0)</f>
        <v>0</v>
      </c>
      <c r="EQ444" s="28" t="n">
        <f aca="false">IF(ISNUMBER(AH444),AH444*DA444,0)</f>
        <v>0</v>
      </c>
      <c r="ER444" s="28" t="n">
        <f aca="false">IF(ISNUMBER(AL444),AL444*DB444,0)</f>
        <v>0</v>
      </c>
      <c r="ES444" s="28" t="n">
        <f aca="false">IF(ISNUMBER(AP444),AP444*DC444,0)</f>
        <v>0</v>
      </c>
      <c r="ET444" s="28" t="n">
        <f aca="false">IF(ISNUMBER(AT444),AT444*DD444,0)</f>
        <v>0</v>
      </c>
      <c r="EU444" s="28" t="n">
        <f aca="false">IF(ISNUMBER(AX444),AX444*DE444,0)</f>
        <v>0</v>
      </c>
      <c r="EV444" s="28" t="n">
        <f aca="false">IF(ISNUMBER(BB444),BB444*DF444,0)</f>
        <v>0</v>
      </c>
      <c r="EW444" s="28" t="n">
        <f aca="false">IF(ISNUMBER(BF444),BF444*DG444,0)</f>
        <v>0</v>
      </c>
      <c r="EX444" s="28" t="n">
        <f aca="false">IF(ISNUMBER(BJ444),BJ444*DH444,0)</f>
        <v>0</v>
      </c>
      <c r="EY444" s="28" t="n">
        <f aca="false">IF(ISNUMBER(BN444),BN444*DI444,0)</f>
        <v>0</v>
      </c>
      <c r="EZ444" s="28" t="n">
        <f aca="false">IF(ISNUMBER(BR444),BR444*DJ444,0)</f>
        <v>0</v>
      </c>
      <c r="FA444" s="28" t="n">
        <f aca="false">IF(ISNUMBER(R444),CW444,0)</f>
        <v>0</v>
      </c>
      <c r="FB444" s="28" t="n">
        <f aca="false">IF(ISNUMBER(V444),CX444,0)</f>
        <v>0</v>
      </c>
      <c r="FC444" s="28" t="n">
        <f aca="false">IF(ISNUMBER(Z444),CY444,0)</f>
        <v>0</v>
      </c>
      <c r="FD444" s="28" t="n">
        <f aca="false">IF(ISNUMBER(AD444),CZ444,0)</f>
        <v>0</v>
      </c>
      <c r="FE444" s="28" t="n">
        <f aca="false">IF(ISNUMBER(AH444),DA444,0)</f>
        <v>0</v>
      </c>
      <c r="FF444" s="28" t="n">
        <f aca="false">IF(ISNUMBER(AL444),DB444,0)</f>
        <v>0</v>
      </c>
      <c r="FG444" s="28" t="n">
        <f aca="false">IF(ISNUMBER(AP444),DC444,0)</f>
        <v>0</v>
      </c>
      <c r="FH444" s="28" t="n">
        <f aca="false">IF(ISNUMBER(AT444),DD444,0)</f>
        <v>0</v>
      </c>
      <c r="FI444" s="28" t="n">
        <f aca="false">IF(ISNUMBER(AX444),DE444,0)</f>
        <v>0</v>
      </c>
      <c r="FJ444" s="28" t="n">
        <f aca="false">IF(ISNUMBER(BB444),DF444,0)</f>
        <v>0</v>
      </c>
      <c r="FK444" s="28" t="n">
        <f aca="false">IF(ISNUMBER(BF444),DG444,0)</f>
        <v>0</v>
      </c>
      <c r="FL444" s="28" t="n">
        <f aca="false">IF(ISNUMBER(BJ444),DH444,0)</f>
        <v>0</v>
      </c>
      <c r="FM444" s="28" t="n">
        <f aca="false">IF(ISNUMBER(BN444),DI444,0)</f>
        <v>0</v>
      </c>
      <c r="FN444" s="28" t="n">
        <f aca="false">IF(ISNUMBER(BR444),DJ444,0)</f>
        <v>0</v>
      </c>
      <c r="FO444" s="28" t="str">
        <f aca="false">IFERROR(INDEX(Lists!$G$2:$G$20,MATCH($I444&amp;"|"&amp;$J444,Lists!$F$2:$F$20,0)),"")</f>
        <v/>
      </c>
    </row>
    <row r="445" customFormat="false" ht="19.5" hidden="false" customHeight="true" outlineLevel="0" collapsed="false">
      <c r="A445" s="29"/>
      <c r="B445" s="29"/>
      <c r="C445" s="30"/>
      <c r="D445" s="30"/>
      <c r="E445" s="31"/>
      <c r="F445" s="30"/>
      <c r="G445" s="30"/>
      <c r="H445" s="32"/>
      <c r="I445" s="33"/>
      <c r="J445" s="32"/>
      <c r="K445" s="34" t="str">
        <f aca="false">IF(OR(M445="",$E445=""),"",M445-$E445)</f>
        <v/>
      </c>
      <c r="L445" s="35" t="str">
        <f aca="false">IF(SUM(FA445:FN445)=0,"",SUM(EM445:EZ445)/SUM(FA445:FN445))</f>
        <v/>
      </c>
      <c r="M445" s="36" t="str">
        <f aca="false">IF(OR(L445="",FO445=""),"",IFERROR(MATCH(L445,INDEX(Boundaries!$B$2:$I$30,MATCH(FO445,Boundaries!$A$2:$A$30,0),0),1)-1,""))</f>
        <v/>
      </c>
      <c r="N445" s="37" t="str">
        <f aca="false">IF(COUNT($DY445:$EL445)&lt;2,"",INDEX($DK445:$DX445,MAX($DY445:$EL445))-INDEX($DK445:$DX445,MIN($DY445:$EL445)))</f>
        <v/>
      </c>
      <c r="O445" s="37" t="str">
        <f aca="false">IF(COUNT($DY445:$EL445)&lt;2,"",INDEX($DK445:$DX445,MAX($DY445:$EL445))-INDEX($DK445:$DX445,LARGE($DY445:$EL445,2)))</f>
        <v/>
      </c>
      <c r="P445" s="38" t="str">
        <f aca="false">IF(K445="","",IF(K445&gt;=0,"On/above target",IF(AND(N445&lt;&gt;"",N445&gt;=0.5),"Improving towards target",IF(AND(O445&lt;&gt;"",O445&lt;=-0.5),"Declining","Stable below target"))))</f>
        <v/>
      </c>
      <c r="Q445" s="39"/>
      <c r="R445" s="40" t="str">
        <f aca="false">IF(OR(Q445="",BU445=""),"",Q445/BU445*100)</f>
        <v/>
      </c>
      <c r="S445" s="41" t="str">
        <f aca="false">IF(R445="","",IFERROR(MATCH(R445,INDEX(Boundaries!$B$2:$I$30,MATCH(CI445,Boundaries!$A$2:$A$30,0),0),1)-1,""))</f>
        <v/>
      </c>
      <c r="T445" s="42" t="str">
        <f aca="false">IF(OR(S445="",$E445=""),"",S445-$E445)</f>
        <v/>
      </c>
      <c r="U445" s="39"/>
      <c r="V445" s="40" t="str">
        <f aca="false">IF(OR(U445="",BV445=""),"",U445/BV445*100)</f>
        <v/>
      </c>
      <c r="W445" s="41" t="str">
        <f aca="false">IF(V445="","",IFERROR(MATCH(V445,INDEX(Boundaries!$B$2:$I$30,MATCH(CJ445,Boundaries!$A$2:$A$30,0),0),1)-1,""))</f>
        <v/>
      </c>
      <c r="X445" s="42" t="str">
        <f aca="false">IF(OR(W445="",$E445=""),"",W445-$E445)</f>
        <v/>
      </c>
      <c r="Y445" s="39"/>
      <c r="Z445" s="40" t="str">
        <f aca="false">IF(OR(Y445="",BW445=""),"",Y445/BW445*100)</f>
        <v/>
      </c>
      <c r="AA445" s="41" t="str">
        <f aca="false">IF(Z445="","",IFERROR(MATCH(Z445,INDEX(Boundaries!$B$2:$I$30,MATCH(CK445,Boundaries!$A$2:$A$30,0),0),1)-1,""))</f>
        <v/>
      </c>
      <c r="AB445" s="42" t="str">
        <f aca="false">IF(OR(AA445="",$E445=""),"",AA445-$E445)</f>
        <v/>
      </c>
      <c r="AC445" s="39"/>
      <c r="AD445" s="40" t="str">
        <f aca="false">IF(OR(AC445="",BX445=""),"",AC445/BX445*100)</f>
        <v/>
      </c>
      <c r="AE445" s="41" t="str">
        <f aca="false">IF(AD445="","",IFERROR(MATCH(AD445,INDEX(Boundaries!$B$2:$I$30,MATCH(CL445,Boundaries!$A$2:$A$30,0),0),1)-1,""))</f>
        <v/>
      </c>
      <c r="AF445" s="42" t="str">
        <f aca="false">IF(OR(AE445="",$E445=""),"",AE445-$E445)</f>
        <v/>
      </c>
      <c r="AG445" s="39"/>
      <c r="AH445" s="40" t="str">
        <f aca="false">IF(OR(AG445="",BY445=""),"",AG445/BY445*100)</f>
        <v/>
      </c>
      <c r="AI445" s="41" t="str">
        <f aca="false">IF(AH445="","",IFERROR(MATCH(AH445,INDEX(Boundaries!$B$2:$I$30,MATCH(CM445,Boundaries!$A$2:$A$30,0),0),1)-1,""))</f>
        <v/>
      </c>
      <c r="AJ445" s="42" t="str">
        <f aca="false">IF(OR(AI445="",$E445=""),"",AI445-$E445)</f>
        <v/>
      </c>
      <c r="AK445" s="39"/>
      <c r="AL445" s="40" t="str">
        <f aca="false">IF(OR(AK445="",BZ445=""),"",AK445/BZ445*100)</f>
        <v/>
      </c>
      <c r="AM445" s="41" t="str">
        <f aca="false">IF(AL445="","",IFERROR(MATCH(AL445,INDEX(Boundaries!$B$2:$I$30,MATCH(CN445,Boundaries!$A$2:$A$30,0),0),1)-1,""))</f>
        <v/>
      </c>
      <c r="AN445" s="42" t="str">
        <f aca="false">IF(OR(AM445="",$E445=""),"",AM445-$E445)</f>
        <v/>
      </c>
      <c r="AO445" s="39"/>
      <c r="AP445" s="40" t="str">
        <f aca="false">IF(OR(AO445="",CA445=""),"",AO445/CA445*100)</f>
        <v/>
      </c>
      <c r="AQ445" s="41" t="str">
        <f aca="false">IF(AP445="","",IFERROR(MATCH(AP445,INDEX(Boundaries!$B$2:$I$30,MATCH(CO445,Boundaries!$A$2:$A$30,0),0),1)-1,""))</f>
        <v/>
      </c>
      <c r="AR445" s="42" t="str">
        <f aca="false">IF(OR(AQ445="",$E445=""),"",AQ445-$E445)</f>
        <v/>
      </c>
      <c r="AS445" s="39"/>
      <c r="AT445" s="40" t="str">
        <f aca="false">IF(OR(AS445="",CB445=""),"",AS445/CB445*100)</f>
        <v/>
      </c>
      <c r="AU445" s="41" t="str">
        <f aca="false">IF(AT445="","",IFERROR(MATCH(AT445,INDEX(Boundaries!$B$2:$I$30,MATCH(CP445,Boundaries!$A$2:$A$30,0),0),1)-1,""))</f>
        <v/>
      </c>
      <c r="AV445" s="42" t="str">
        <f aca="false">IF(OR(AU445="",$E445=""),"",AU445-$E445)</f>
        <v/>
      </c>
      <c r="AW445" s="39"/>
      <c r="AX445" s="40" t="str">
        <f aca="false">IF(OR(AW445="",CC445=""),"",AW445/CC445*100)</f>
        <v/>
      </c>
      <c r="AY445" s="41" t="str">
        <f aca="false">IF(AX445="","",IFERROR(MATCH(AX445,INDEX(Boundaries!$B$2:$I$30,MATCH(CQ445,Boundaries!$A$2:$A$30,0),0),1)-1,""))</f>
        <v/>
      </c>
      <c r="AZ445" s="42" t="str">
        <f aca="false">IF(OR(AY445="",$E445=""),"",AY445-$E445)</f>
        <v/>
      </c>
      <c r="BA445" s="39"/>
      <c r="BB445" s="40" t="str">
        <f aca="false">IF(OR(BA445="",CD445=""),"",BA445/CD445*100)</f>
        <v/>
      </c>
      <c r="BC445" s="41" t="str">
        <f aca="false">IF(BB445="","",IFERROR(MATCH(BB445,INDEX(Boundaries!$B$2:$I$30,MATCH(CR445,Boundaries!$A$2:$A$30,0),0),1)-1,""))</f>
        <v/>
      </c>
      <c r="BD445" s="42" t="str">
        <f aca="false">IF(OR(BC445="",$E445=""),"",BC445-$E445)</f>
        <v/>
      </c>
      <c r="BE445" s="39"/>
      <c r="BF445" s="40" t="str">
        <f aca="false">IF(OR(BE445="",CE445=""),"",BE445/CE445*100)</f>
        <v/>
      </c>
      <c r="BG445" s="41" t="str">
        <f aca="false">IF(BF445="","",IFERROR(MATCH(BF445,INDEX(Boundaries!$B$2:$I$30,MATCH(CS445,Boundaries!$A$2:$A$30,0),0),1)-1,""))</f>
        <v/>
      </c>
      <c r="BH445" s="42" t="str">
        <f aca="false">IF(OR(BG445="",$E445=""),"",BG445-$E445)</f>
        <v/>
      </c>
      <c r="BI445" s="39"/>
      <c r="BJ445" s="40" t="str">
        <f aca="false">IF(OR(BI445="",CF445=""),"",BI445/CF445*100)</f>
        <v/>
      </c>
      <c r="BK445" s="41" t="str">
        <f aca="false">IF(BJ445="","",IFERROR(MATCH(BJ445,INDEX(Boundaries!$B$2:$I$30,MATCH(CT445,Boundaries!$A$2:$A$30,0),0),1)-1,""))</f>
        <v/>
      </c>
      <c r="BL445" s="42" t="str">
        <f aca="false">IF(OR(BK445="",$E445=""),"",BK445-$E445)</f>
        <v/>
      </c>
      <c r="BM445" s="39"/>
      <c r="BN445" s="40" t="str">
        <f aca="false">IF(OR(BM445="",CG445=""),"",BM445/CG445*100)</f>
        <v/>
      </c>
      <c r="BO445" s="41" t="str">
        <f aca="false">IF(BN445="","",IFERROR(MATCH(BN445,INDEX(Boundaries!$B$2:$I$30,MATCH(CU445,Boundaries!$A$2:$A$30,0),0),1)-1,""))</f>
        <v/>
      </c>
      <c r="BP445" s="42" t="str">
        <f aca="false">IF(OR(BO445="",$E445=""),"",BO445-$E445)</f>
        <v/>
      </c>
      <c r="BQ445" s="39"/>
      <c r="BR445" s="40" t="str">
        <f aca="false">IF(OR(BQ445="",CH445=""),"",BQ445/CH445*100)</f>
        <v/>
      </c>
      <c r="BS445" s="41" t="str">
        <f aca="false">IF(BR445="","",IFERROR(MATCH(BR445,INDEX(Boundaries!$B$2:$I$30,MATCH(CV445,Boundaries!$A$2:$A$30,0),0),1)-1,""))</f>
        <v/>
      </c>
      <c r="BT445" s="42" t="str">
        <f aca="false">IF(OR(BS445="",$E445=""),"",BS445-$E445)</f>
        <v/>
      </c>
      <c r="BU445" s="28" t="str">
        <f aca="false">IFERROR(INDEX(Assessments!$H$2:$H$600,MATCH($H445&amp;"|"&amp;$I445&amp;"|"&amp;$J445&amp;"|"&amp;1,Assessments!$A$2:$A$600,0)),"")</f>
        <v/>
      </c>
      <c r="BV445" s="28" t="str">
        <f aca="false">IFERROR(INDEX(Assessments!$H$2:$H$600,MATCH($H445&amp;"|"&amp;$I445&amp;"|"&amp;$J445&amp;"|"&amp;2,Assessments!$A$2:$A$600,0)),"")</f>
        <v/>
      </c>
      <c r="BW445" s="28" t="str">
        <f aca="false">IFERROR(INDEX(Assessments!$H$2:$H$600,MATCH($H445&amp;"|"&amp;$I445&amp;"|"&amp;$J445&amp;"|"&amp;3,Assessments!$A$2:$A$600,0)),"")</f>
        <v/>
      </c>
      <c r="BX445" s="28" t="str">
        <f aca="false">IFERROR(INDEX(Assessments!$H$2:$H$600,MATCH($H445&amp;"|"&amp;$I445&amp;"|"&amp;$J445&amp;"|"&amp;4,Assessments!$A$2:$A$600,0)),"")</f>
        <v/>
      </c>
      <c r="BY445" s="28" t="str">
        <f aca="false">IFERROR(INDEX(Assessments!$H$2:$H$600,MATCH($H445&amp;"|"&amp;$I445&amp;"|"&amp;$J445&amp;"|"&amp;5,Assessments!$A$2:$A$600,0)),"")</f>
        <v/>
      </c>
      <c r="BZ445" s="28" t="str">
        <f aca="false">IFERROR(INDEX(Assessments!$H$2:$H$600,MATCH($H445&amp;"|"&amp;$I445&amp;"|"&amp;$J445&amp;"|"&amp;6,Assessments!$A$2:$A$600,0)),"")</f>
        <v/>
      </c>
      <c r="CA445" s="28" t="str">
        <f aca="false">IFERROR(INDEX(Assessments!$H$2:$H$600,MATCH($H445&amp;"|"&amp;$I445&amp;"|"&amp;$J445&amp;"|"&amp;7,Assessments!$A$2:$A$600,0)),"")</f>
        <v/>
      </c>
      <c r="CB445" s="28" t="str">
        <f aca="false">IFERROR(INDEX(Assessments!$H$2:$H$600,MATCH($H445&amp;"|"&amp;$I445&amp;"|"&amp;$J445&amp;"|"&amp;8,Assessments!$A$2:$A$600,0)),"")</f>
        <v/>
      </c>
      <c r="CC445" s="28" t="str">
        <f aca="false">IFERROR(INDEX(Assessments!$H$2:$H$600,MATCH($H445&amp;"|"&amp;$I445&amp;"|"&amp;$J445&amp;"|"&amp;9,Assessments!$A$2:$A$600,0)),"")</f>
        <v/>
      </c>
      <c r="CD445" s="28" t="str">
        <f aca="false">IFERROR(INDEX(Assessments!$H$2:$H$600,MATCH($H445&amp;"|"&amp;$I445&amp;"|"&amp;$J445&amp;"|"&amp;10,Assessments!$A$2:$A$600,0)),"")</f>
        <v/>
      </c>
      <c r="CE445" s="28" t="str">
        <f aca="false">IFERROR(INDEX(Assessments!$H$2:$H$600,MATCH($H445&amp;"|"&amp;$I445&amp;"|"&amp;$J445&amp;"|"&amp;11,Assessments!$A$2:$A$600,0)),"")</f>
        <v/>
      </c>
      <c r="CF445" s="28" t="str">
        <f aca="false">IFERROR(INDEX(Assessments!$H$2:$H$600,MATCH($H445&amp;"|"&amp;$I445&amp;"|"&amp;$J445&amp;"|"&amp;12,Assessments!$A$2:$A$600,0)),"")</f>
        <v/>
      </c>
      <c r="CG445" s="28" t="str">
        <f aca="false">IFERROR(INDEX(Assessments!$H$2:$H$600,MATCH($H445&amp;"|"&amp;$I445&amp;"|"&amp;$J445&amp;"|"&amp;13,Assessments!$A$2:$A$600,0)),"")</f>
        <v/>
      </c>
      <c r="CH445" s="28" t="str">
        <f aca="false">IFERROR(INDEX(Assessments!$H$2:$H$600,MATCH($H445&amp;"|"&amp;$I445&amp;"|"&amp;$J445&amp;"|"&amp;14,Assessments!$A$2:$A$600,0)),"")</f>
        <v/>
      </c>
      <c r="CI445" s="28" t="str">
        <f aca="false">IFERROR(INDEX(Assessments!$I$2:$I$600,MATCH($H445&amp;"|"&amp;$I445&amp;"|"&amp;$J445&amp;"|"&amp;1,Assessments!$A$2:$A$600,0)),"")</f>
        <v/>
      </c>
      <c r="CJ445" s="28" t="str">
        <f aca="false">IFERROR(INDEX(Assessments!$I$2:$I$600,MATCH($H445&amp;"|"&amp;$I445&amp;"|"&amp;$J445&amp;"|"&amp;2,Assessments!$A$2:$A$600,0)),"")</f>
        <v/>
      </c>
      <c r="CK445" s="28" t="str">
        <f aca="false">IFERROR(INDEX(Assessments!$I$2:$I$600,MATCH($H445&amp;"|"&amp;$I445&amp;"|"&amp;$J445&amp;"|"&amp;3,Assessments!$A$2:$A$600,0)),"")</f>
        <v/>
      </c>
      <c r="CL445" s="28" t="str">
        <f aca="false">IFERROR(INDEX(Assessments!$I$2:$I$600,MATCH($H445&amp;"|"&amp;$I445&amp;"|"&amp;$J445&amp;"|"&amp;4,Assessments!$A$2:$A$600,0)),"")</f>
        <v/>
      </c>
      <c r="CM445" s="28" t="str">
        <f aca="false">IFERROR(INDEX(Assessments!$I$2:$I$600,MATCH($H445&amp;"|"&amp;$I445&amp;"|"&amp;$J445&amp;"|"&amp;5,Assessments!$A$2:$A$600,0)),"")</f>
        <v/>
      </c>
      <c r="CN445" s="28" t="str">
        <f aca="false">IFERROR(INDEX(Assessments!$I$2:$I$600,MATCH($H445&amp;"|"&amp;$I445&amp;"|"&amp;$J445&amp;"|"&amp;6,Assessments!$A$2:$A$600,0)),"")</f>
        <v/>
      </c>
      <c r="CO445" s="28" t="str">
        <f aca="false">IFERROR(INDEX(Assessments!$I$2:$I$600,MATCH($H445&amp;"|"&amp;$I445&amp;"|"&amp;$J445&amp;"|"&amp;7,Assessments!$A$2:$A$600,0)),"")</f>
        <v/>
      </c>
      <c r="CP445" s="28" t="str">
        <f aca="false">IFERROR(INDEX(Assessments!$I$2:$I$600,MATCH($H445&amp;"|"&amp;$I445&amp;"|"&amp;$J445&amp;"|"&amp;8,Assessments!$A$2:$A$600,0)),"")</f>
        <v/>
      </c>
      <c r="CQ445" s="28" t="str">
        <f aca="false">IFERROR(INDEX(Assessments!$I$2:$I$600,MATCH($H445&amp;"|"&amp;$I445&amp;"|"&amp;$J445&amp;"|"&amp;9,Assessments!$A$2:$A$600,0)),"")</f>
        <v/>
      </c>
      <c r="CR445" s="28" t="str">
        <f aca="false">IFERROR(INDEX(Assessments!$I$2:$I$600,MATCH($H445&amp;"|"&amp;$I445&amp;"|"&amp;$J445&amp;"|"&amp;10,Assessments!$A$2:$A$600,0)),"")</f>
        <v/>
      </c>
      <c r="CS445" s="28" t="str">
        <f aca="false">IFERROR(INDEX(Assessments!$I$2:$I$600,MATCH($H445&amp;"|"&amp;$I445&amp;"|"&amp;$J445&amp;"|"&amp;11,Assessments!$A$2:$A$600,0)),"")</f>
        <v/>
      </c>
      <c r="CT445" s="28" t="str">
        <f aca="false">IFERROR(INDEX(Assessments!$I$2:$I$600,MATCH($H445&amp;"|"&amp;$I445&amp;"|"&amp;$J445&amp;"|"&amp;12,Assessments!$A$2:$A$600,0)),"")</f>
        <v/>
      </c>
      <c r="CU445" s="28" t="str">
        <f aca="false">IFERROR(INDEX(Assessments!$I$2:$I$600,MATCH($H445&amp;"|"&amp;$I445&amp;"|"&amp;$J445&amp;"|"&amp;13,Assessments!$A$2:$A$600,0)),"")</f>
        <v/>
      </c>
      <c r="CV445" s="28" t="str">
        <f aca="false">IFERROR(INDEX(Assessments!$I$2:$I$600,MATCH($H445&amp;"|"&amp;$I445&amp;"|"&amp;$J445&amp;"|"&amp;14,Assessments!$A$2:$A$600,0)),"")</f>
        <v/>
      </c>
      <c r="CW445" s="28" t="n">
        <f aca="false">IFERROR(INDEX(Assessments!$J$2:$J$600,MATCH($H445&amp;"|"&amp;$I445&amp;"|"&amp;$J445&amp;"|"&amp;1,Assessments!$A$2:$A$600,0)),0)</f>
        <v>0</v>
      </c>
      <c r="CX445" s="28" t="n">
        <f aca="false">IFERROR(INDEX(Assessments!$J$2:$J$600,MATCH($H445&amp;"|"&amp;$I445&amp;"|"&amp;$J445&amp;"|"&amp;2,Assessments!$A$2:$A$600,0)),0)</f>
        <v>0</v>
      </c>
      <c r="CY445" s="28" t="n">
        <f aca="false">IFERROR(INDEX(Assessments!$J$2:$J$600,MATCH($H445&amp;"|"&amp;$I445&amp;"|"&amp;$J445&amp;"|"&amp;3,Assessments!$A$2:$A$600,0)),0)</f>
        <v>0</v>
      </c>
      <c r="CZ445" s="28" t="n">
        <f aca="false">IFERROR(INDEX(Assessments!$J$2:$J$600,MATCH($H445&amp;"|"&amp;$I445&amp;"|"&amp;$J445&amp;"|"&amp;4,Assessments!$A$2:$A$600,0)),0)</f>
        <v>0</v>
      </c>
      <c r="DA445" s="28" t="n">
        <f aca="false">IFERROR(INDEX(Assessments!$J$2:$J$600,MATCH($H445&amp;"|"&amp;$I445&amp;"|"&amp;$J445&amp;"|"&amp;5,Assessments!$A$2:$A$600,0)),0)</f>
        <v>0</v>
      </c>
      <c r="DB445" s="28" t="n">
        <f aca="false">IFERROR(INDEX(Assessments!$J$2:$J$600,MATCH($H445&amp;"|"&amp;$I445&amp;"|"&amp;$J445&amp;"|"&amp;6,Assessments!$A$2:$A$600,0)),0)</f>
        <v>0</v>
      </c>
      <c r="DC445" s="28" t="n">
        <f aca="false">IFERROR(INDEX(Assessments!$J$2:$J$600,MATCH($H445&amp;"|"&amp;$I445&amp;"|"&amp;$J445&amp;"|"&amp;7,Assessments!$A$2:$A$600,0)),0)</f>
        <v>0</v>
      </c>
      <c r="DD445" s="28" t="n">
        <f aca="false">IFERROR(INDEX(Assessments!$J$2:$J$600,MATCH($H445&amp;"|"&amp;$I445&amp;"|"&amp;$J445&amp;"|"&amp;8,Assessments!$A$2:$A$600,0)),0)</f>
        <v>0</v>
      </c>
      <c r="DE445" s="28" t="n">
        <f aca="false">IFERROR(INDEX(Assessments!$J$2:$J$600,MATCH($H445&amp;"|"&amp;$I445&amp;"|"&amp;$J445&amp;"|"&amp;9,Assessments!$A$2:$A$600,0)),0)</f>
        <v>0</v>
      </c>
      <c r="DF445" s="28" t="n">
        <f aca="false">IFERROR(INDEX(Assessments!$J$2:$J$600,MATCH($H445&amp;"|"&amp;$I445&amp;"|"&amp;$J445&amp;"|"&amp;10,Assessments!$A$2:$A$600,0)),0)</f>
        <v>0</v>
      </c>
      <c r="DG445" s="28" t="n">
        <f aca="false">IFERROR(INDEX(Assessments!$J$2:$J$600,MATCH($H445&amp;"|"&amp;$I445&amp;"|"&amp;$J445&amp;"|"&amp;11,Assessments!$A$2:$A$600,0)),0)</f>
        <v>0</v>
      </c>
      <c r="DH445" s="28" t="n">
        <f aca="false">IFERROR(INDEX(Assessments!$J$2:$J$600,MATCH($H445&amp;"|"&amp;$I445&amp;"|"&amp;$J445&amp;"|"&amp;12,Assessments!$A$2:$A$600,0)),0)</f>
        <v>0</v>
      </c>
      <c r="DI445" s="28" t="n">
        <f aca="false">IFERROR(INDEX(Assessments!$J$2:$J$600,MATCH($H445&amp;"|"&amp;$I445&amp;"|"&amp;$J445&amp;"|"&amp;13,Assessments!$A$2:$A$600,0)),0)</f>
        <v>0</v>
      </c>
      <c r="DJ445" s="28" t="n">
        <f aca="false">IFERROR(INDEX(Assessments!$J$2:$J$600,MATCH($H445&amp;"|"&amp;$I445&amp;"|"&amp;$J445&amp;"|"&amp;14,Assessments!$A$2:$A$600,0)),0)</f>
        <v>0</v>
      </c>
      <c r="DK445" s="28" t="str">
        <f aca="false">S445</f>
        <v/>
      </c>
      <c r="DL445" s="28" t="str">
        <f aca="false">W445</f>
        <v/>
      </c>
      <c r="DM445" s="28" t="str">
        <f aca="false">AA445</f>
        <v/>
      </c>
      <c r="DN445" s="28" t="str">
        <f aca="false">AE445</f>
        <v/>
      </c>
      <c r="DO445" s="28" t="str">
        <f aca="false">AI445</f>
        <v/>
      </c>
      <c r="DP445" s="28" t="str">
        <f aca="false">AM445</f>
        <v/>
      </c>
      <c r="DQ445" s="28" t="str">
        <f aca="false">AQ445</f>
        <v/>
      </c>
      <c r="DR445" s="28" t="str">
        <f aca="false">AU445</f>
        <v/>
      </c>
      <c r="DS445" s="28" t="str">
        <f aca="false">AY445</f>
        <v/>
      </c>
      <c r="DT445" s="28" t="str">
        <f aca="false">BC445</f>
        <v/>
      </c>
      <c r="DU445" s="28" t="str">
        <f aca="false">BG445</f>
        <v/>
      </c>
      <c r="DV445" s="28" t="str">
        <f aca="false">BK445</f>
        <v/>
      </c>
      <c r="DW445" s="28" t="str">
        <f aca="false">BO445</f>
        <v/>
      </c>
      <c r="DX445" s="28" t="str">
        <f aca="false">BS445</f>
        <v/>
      </c>
      <c r="DY445" s="28" t="str">
        <f aca="false">IF(ISNUMBER(S445),1,"")</f>
        <v/>
      </c>
      <c r="DZ445" s="28" t="str">
        <f aca="false">IF(ISNUMBER(W445),2,"")</f>
        <v/>
      </c>
      <c r="EA445" s="28" t="str">
        <f aca="false">IF(ISNUMBER(AA445),3,"")</f>
        <v/>
      </c>
      <c r="EB445" s="28" t="str">
        <f aca="false">IF(ISNUMBER(AE445),4,"")</f>
        <v/>
      </c>
      <c r="EC445" s="28" t="str">
        <f aca="false">IF(ISNUMBER(AI445),5,"")</f>
        <v/>
      </c>
      <c r="ED445" s="28" t="str">
        <f aca="false">IF(ISNUMBER(AM445),6,"")</f>
        <v/>
      </c>
      <c r="EE445" s="28" t="str">
        <f aca="false">IF(ISNUMBER(AQ445),7,"")</f>
        <v/>
      </c>
      <c r="EF445" s="28" t="str">
        <f aca="false">IF(ISNUMBER(AU445),8,"")</f>
        <v/>
      </c>
      <c r="EG445" s="28" t="str">
        <f aca="false">IF(ISNUMBER(AY445),9,"")</f>
        <v/>
      </c>
      <c r="EH445" s="28" t="str">
        <f aca="false">IF(ISNUMBER(BC445),10,"")</f>
        <v/>
      </c>
      <c r="EI445" s="28" t="str">
        <f aca="false">IF(ISNUMBER(BG445),11,"")</f>
        <v/>
      </c>
      <c r="EJ445" s="28" t="str">
        <f aca="false">IF(ISNUMBER(BK445),12,"")</f>
        <v/>
      </c>
      <c r="EK445" s="28" t="str">
        <f aca="false">IF(ISNUMBER(BO445),13,"")</f>
        <v/>
      </c>
      <c r="EL445" s="28" t="str">
        <f aca="false">IF(ISNUMBER(BS445),14,"")</f>
        <v/>
      </c>
      <c r="EM445" s="28" t="n">
        <f aca="false">IF(ISNUMBER(R445),R445*CW445,0)</f>
        <v>0</v>
      </c>
      <c r="EN445" s="28" t="n">
        <f aca="false">IF(ISNUMBER(V445),V445*CX445,0)</f>
        <v>0</v>
      </c>
      <c r="EO445" s="28" t="n">
        <f aca="false">IF(ISNUMBER(Z445),Z445*CY445,0)</f>
        <v>0</v>
      </c>
      <c r="EP445" s="28" t="n">
        <f aca="false">IF(ISNUMBER(AD445),AD445*CZ445,0)</f>
        <v>0</v>
      </c>
      <c r="EQ445" s="28" t="n">
        <f aca="false">IF(ISNUMBER(AH445),AH445*DA445,0)</f>
        <v>0</v>
      </c>
      <c r="ER445" s="28" t="n">
        <f aca="false">IF(ISNUMBER(AL445),AL445*DB445,0)</f>
        <v>0</v>
      </c>
      <c r="ES445" s="28" t="n">
        <f aca="false">IF(ISNUMBER(AP445),AP445*DC445,0)</f>
        <v>0</v>
      </c>
      <c r="ET445" s="28" t="n">
        <f aca="false">IF(ISNUMBER(AT445),AT445*DD445,0)</f>
        <v>0</v>
      </c>
      <c r="EU445" s="28" t="n">
        <f aca="false">IF(ISNUMBER(AX445),AX445*DE445,0)</f>
        <v>0</v>
      </c>
      <c r="EV445" s="28" t="n">
        <f aca="false">IF(ISNUMBER(BB445),BB445*DF445,0)</f>
        <v>0</v>
      </c>
      <c r="EW445" s="28" t="n">
        <f aca="false">IF(ISNUMBER(BF445),BF445*DG445,0)</f>
        <v>0</v>
      </c>
      <c r="EX445" s="28" t="n">
        <f aca="false">IF(ISNUMBER(BJ445),BJ445*DH445,0)</f>
        <v>0</v>
      </c>
      <c r="EY445" s="28" t="n">
        <f aca="false">IF(ISNUMBER(BN445),BN445*DI445,0)</f>
        <v>0</v>
      </c>
      <c r="EZ445" s="28" t="n">
        <f aca="false">IF(ISNUMBER(BR445),BR445*DJ445,0)</f>
        <v>0</v>
      </c>
      <c r="FA445" s="28" t="n">
        <f aca="false">IF(ISNUMBER(R445),CW445,0)</f>
        <v>0</v>
      </c>
      <c r="FB445" s="28" t="n">
        <f aca="false">IF(ISNUMBER(V445),CX445,0)</f>
        <v>0</v>
      </c>
      <c r="FC445" s="28" t="n">
        <f aca="false">IF(ISNUMBER(Z445),CY445,0)</f>
        <v>0</v>
      </c>
      <c r="FD445" s="28" t="n">
        <f aca="false">IF(ISNUMBER(AD445),CZ445,0)</f>
        <v>0</v>
      </c>
      <c r="FE445" s="28" t="n">
        <f aca="false">IF(ISNUMBER(AH445),DA445,0)</f>
        <v>0</v>
      </c>
      <c r="FF445" s="28" t="n">
        <f aca="false">IF(ISNUMBER(AL445),DB445,0)</f>
        <v>0</v>
      </c>
      <c r="FG445" s="28" t="n">
        <f aca="false">IF(ISNUMBER(AP445),DC445,0)</f>
        <v>0</v>
      </c>
      <c r="FH445" s="28" t="n">
        <f aca="false">IF(ISNUMBER(AT445),DD445,0)</f>
        <v>0</v>
      </c>
      <c r="FI445" s="28" t="n">
        <f aca="false">IF(ISNUMBER(AX445),DE445,0)</f>
        <v>0</v>
      </c>
      <c r="FJ445" s="28" t="n">
        <f aca="false">IF(ISNUMBER(BB445),DF445,0)</f>
        <v>0</v>
      </c>
      <c r="FK445" s="28" t="n">
        <f aca="false">IF(ISNUMBER(BF445),DG445,0)</f>
        <v>0</v>
      </c>
      <c r="FL445" s="28" t="n">
        <f aca="false">IF(ISNUMBER(BJ445),DH445,0)</f>
        <v>0</v>
      </c>
      <c r="FM445" s="28" t="n">
        <f aca="false">IF(ISNUMBER(BN445),DI445,0)</f>
        <v>0</v>
      </c>
      <c r="FN445" s="28" t="n">
        <f aca="false">IF(ISNUMBER(BR445),DJ445,0)</f>
        <v>0</v>
      </c>
      <c r="FO445" s="28" t="str">
        <f aca="false">IFERROR(INDEX(Lists!$G$2:$G$20,MATCH($I445&amp;"|"&amp;$J445,Lists!$F$2:$F$20,0)),"")</f>
        <v/>
      </c>
    </row>
    <row r="446" customFormat="false" ht="19.5" hidden="false" customHeight="true" outlineLevel="0" collapsed="false">
      <c r="A446" s="29"/>
      <c r="B446" s="29"/>
      <c r="C446" s="30"/>
      <c r="D446" s="30"/>
      <c r="E446" s="31"/>
      <c r="F446" s="30"/>
      <c r="G446" s="30"/>
      <c r="H446" s="32"/>
      <c r="I446" s="33"/>
      <c r="J446" s="32"/>
      <c r="K446" s="34" t="str">
        <f aca="false">IF(OR(M446="",$E446=""),"",M446-$E446)</f>
        <v/>
      </c>
      <c r="L446" s="35" t="str">
        <f aca="false">IF(SUM(FA446:FN446)=0,"",SUM(EM446:EZ446)/SUM(FA446:FN446))</f>
        <v/>
      </c>
      <c r="M446" s="36" t="str">
        <f aca="false">IF(OR(L446="",FO446=""),"",IFERROR(MATCH(L446,INDEX(Boundaries!$B$2:$I$30,MATCH(FO446,Boundaries!$A$2:$A$30,0),0),1)-1,""))</f>
        <v/>
      </c>
      <c r="N446" s="37" t="str">
        <f aca="false">IF(COUNT($DY446:$EL446)&lt;2,"",INDEX($DK446:$DX446,MAX($DY446:$EL446))-INDEX($DK446:$DX446,MIN($DY446:$EL446)))</f>
        <v/>
      </c>
      <c r="O446" s="37" t="str">
        <f aca="false">IF(COUNT($DY446:$EL446)&lt;2,"",INDEX($DK446:$DX446,MAX($DY446:$EL446))-INDEX($DK446:$DX446,LARGE($DY446:$EL446,2)))</f>
        <v/>
      </c>
      <c r="P446" s="38" t="str">
        <f aca="false">IF(K446="","",IF(K446&gt;=0,"On/above target",IF(AND(N446&lt;&gt;"",N446&gt;=0.5),"Improving towards target",IF(AND(O446&lt;&gt;"",O446&lt;=-0.5),"Declining","Stable below target"))))</f>
        <v/>
      </c>
      <c r="Q446" s="39"/>
      <c r="R446" s="40" t="str">
        <f aca="false">IF(OR(Q446="",BU446=""),"",Q446/BU446*100)</f>
        <v/>
      </c>
      <c r="S446" s="41" t="str">
        <f aca="false">IF(R446="","",IFERROR(MATCH(R446,INDEX(Boundaries!$B$2:$I$30,MATCH(CI446,Boundaries!$A$2:$A$30,0),0),1)-1,""))</f>
        <v/>
      </c>
      <c r="T446" s="42" t="str">
        <f aca="false">IF(OR(S446="",$E446=""),"",S446-$E446)</f>
        <v/>
      </c>
      <c r="U446" s="39"/>
      <c r="V446" s="40" t="str">
        <f aca="false">IF(OR(U446="",BV446=""),"",U446/BV446*100)</f>
        <v/>
      </c>
      <c r="W446" s="41" t="str">
        <f aca="false">IF(V446="","",IFERROR(MATCH(V446,INDEX(Boundaries!$B$2:$I$30,MATCH(CJ446,Boundaries!$A$2:$A$30,0),0),1)-1,""))</f>
        <v/>
      </c>
      <c r="X446" s="42" t="str">
        <f aca="false">IF(OR(W446="",$E446=""),"",W446-$E446)</f>
        <v/>
      </c>
      <c r="Y446" s="39"/>
      <c r="Z446" s="40" t="str">
        <f aca="false">IF(OR(Y446="",BW446=""),"",Y446/BW446*100)</f>
        <v/>
      </c>
      <c r="AA446" s="41" t="str">
        <f aca="false">IF(Z446="","",IFERROR(MATCH(Z446,INDEX(Boundaries!$B$2:$I$30,MATCH(CK446,Boundaries!$A$2:$A$30,0),0),1)-1,""))</f>
        <v/>
      </c>
      <c r="AB446" s="42" t="str">
        <f aca="false">IF(OR(AA446="",$E446=""),"",AA446-$E446)</f>
        <v/>
      </c>
      <c r="AC446" s="39"/>
      <c r="AD446" s="40" t="str">
        <f aca="false">IF(OR(AC446="",BX446=""),"",AC446/BX446*100)</f>
        <v/>
      </c>
      <c r="AE446" s="41" t="str">
        <f aca="false">IF(AD446="","",IFERROR(MATCH(AD446,INDEX(Boundaries!$B$2:$I$30,MATCH(CL446,Boundaries!$A$2:$A$30,0),0),1)-1,""))</f>
        <v/>
      </c>
      <c r="AF446" s="42" t="str">
        <f aca="false">IF(OR(AE446="",$E446=""),"",AE446-$E446)</f>
        <v/>
      </c>
      <c r="AG446" s="39"/>
      <c r="AH446" s="40" t="str">
        <f aca="false">IF(OR(AG446="",BY446=""),"",AG446/BY446*100)</f>
        <v/>
      </c>
      <c r="AI446" s="41" t="str">
        <f aca="false">IF(AH446="","",IFERROR(MATCH(AH446,INDEX(Boundaries!$B$2:$I$30,MATCH(CM446,Boundaries!$A$2:$A$30,0),0),1)-1,""))</f>
        <v/>
      </c>
      <c r="AJ446" s="42" t="str">
        <f aca="false">IF(OR(AI446="",$E446=""),"",AI446-$E446)</f>
        <v/>
      </c>
      <c r="AK446" s="39"/>
      <c r="AL446" s="40" t="str">
        <f aca="false">IF(OR(AK446="",BZ446=""),"",AK446/BZ446*100)</f>
        <v/>
      </c>
      <c r="AM446" s="41" t="str">
        <f aca="false">IF(AL446="","",IFERROR(MATCH(AL446,INDEX(Boundaries!$B$2:$I$30,MATCH(CN446,Boundaries!$A$2:$A$30,0),0),1)-1,""))</f>
        <v/>
      </c>
      <c r="AN446" s="42" t="str">
        <f aca="false">IF(OR(AM446="",$E446=""),"",AM446-$E446)</f>
        <v/>
      </c>
      <c r="AO446" s="39"/>
      <c r="AP446" s="40" t="str">
        <f aca="false">IF(OR(AO446="",CA446=""),"",AO446/CA446*100)</f>
        <v/>
      </c>
      <c r="AQ446" s="41" t="str">
        <f aca="false">IF(AP446="","",IFERROR(MATCH(AP446,INDEX(Boundaries!$B$2:$I$30,MATCH(CO446,Boundaries!$A$2:$A$30,0),0),1)-1,""))</f>
        <v/>
      </c>
      <c r="AR446" s="42" t="str">
        <f aca="false">IF(OR(AQ446="",$E446=""),"",AQ446-$E446)</f>
        <v/>
      </c>
      <c r="AS446" s="39"/>
      <c r="AT446" s="40" t="str">
        <f aca="false">IF(OR(AS446="",CB446=""),"",AS446/CB446*100)</f>
        <v/>
      </c>
      <c r="AU446" s="41" t="str">
        <f aca="false">IF(AT446="","",IFERROR(MATCH(AT446,INDEX(Boundaries!$B$2:$I$30,MATCH(CP446,Boundaries!$A$2:$A$30,0),0),1)-1,""))</f>
        <v/>
      </c>
      <c r="AV446" s="42" t="str">
        <f aca="false">IF(OR(AU446="",$E446=""),"",AU446-$E446)</f>
        <v/>
      </c>
      <c r="AW446" s="39"/>
      <c r="AX446" s="40" t="str">
        <f aca="false">IF(OR(AW446="",CC446=""),"",AW446/CC446*100)</f>
        <v/>
      </c>
      <c r="AY446" s="41" t="str">
        <f aca="false">IF(AX446="","",IFERROR(MATCH(AX446,INDEX(Boundaries!$B$2:$I$30,MATCH(CQ446,Boundaries!$A$2:$A$30,0),0),1)-1,""))</f>
        <v/>
      </c>
      <c r="AZ446" s="42" t="str">
        <f aca="false">IF(OR(AY446="",$E446=""),"",AY446-$E446)</f>
        <v/>
      </c>
      <c r="BA446" s="39"/>
      <c r="BB446" s="40" t="str">
        <f aca="false">IF(OR(BA446="",CD446=""),"",BA446/CD446*100)</f>
        <v/>
      </c>
      <c r="BC446" s="41" t="str">
        <f aca="false">IF(BB446="","",IFERROR(MATCH(BB446,INDEX(Boundaries!$B$2:$I$30,MATCH(CR446,Boundaries!$A$2:$A$30,0),0),1)-1,""))</f>
        <v/>
      </c>
      <c r="BD446" s="42" t="str">
        <f aca="false">IF(OR(BC446="",$E446=""),"",BC446-$E446)</f>
        <v/>
      </c>
      <c r="BE446" s="39"/>
      <c r="BF446" s="40" t="str">
        <f aca="false">IF(OR(BE446="",CE446=""),"",BE446/CE446*100)</f>
        <v/>
      </c>
      <c r="BG446" s="41" t="str">
        <f aca="false">IF(BF446="","",IFERROR(MATCH(BF446,INDEX(Boundaries!$B$2:$I$30,MATCH(CS446,Boundaries!$A$2:$A$30,0),0),1)-1,""))</f>
        <v/>
      </c>
      <c r="BH446" s="42" t="str">
        <f aca="false">IF(OR(BG446="",$E446=""),"",BG446-$E446)</f>
        <v/>
      </c>
      <c r="BI446" s="39"/>
      <c r="BJ446" s="40" t="str">
        <f aca="false">IF(OR(BI446="",CF446=""),"",BI446/CF446*100)</f>
        <v/>
      </c>
      <c r="BK446" s="41" t="str">
        <f aca="false">IF(BJ446="","",IFERROR(MATCH(BJ446,INDEX(Boundaries!$B$2:$I$30,MATCH(CT446,Boundaries!$A$2:$A$30,0),0),1)-1,""))</f>
        <v/>
      </c>
      <c r="BL446" s="42" t="str">
        <f aca="false">IF(OR(BK446="",$E446=""),"",BK446-$E446)</f>
        <v/>
      </c>
      <c r="BM446" s="39"/>
      <c r="BN446" s="40" t="str">
        <f aca="false">IF(OR(BM446="",CG446=""),"",BM446/CG446*100)</f>
        <v/>
      </c>
      <c r="BO446" s="41" t="str">
        <f aca="false">IF(BN446="","",IFERROR(MATCH(BN446,INDEX(Boundaries!$B$2:$I$30,MATCH(CU446,Boundaries!$A$2:$A$30,0),0),1)-1,""))</f>
        <v/>
      </c>
      <c r="BP446" s="42" t="str">
        <f aca="false">IF(OR(BO446="",$E446=""),"",BO446-$E446)</f>
        <v/>
      </c>
      <c r="BQ446" s="39"/>
      <c r="BR446" s="40" t="str">
        <f aca="false">IF(OR(BQ446="",CH446=""),"",BQ446/CH446*100)</f>
        <v/>
      </c>
      <c r="BS446" s="41" t="str">
        <f aca="false">IF(BR446="","",IFERROR(MATCH(BR446,INDEX(Boundaries!$B$2:$I$30,MATCH(CV446,Boundaries!$A$2:$A$30,0),0),1)-1,""))</f>
        <v/>
      </c>
      <c r="BT446" s="42" t="str">
        <f aca="false">IF(OR(BS446="",$E446=""),"",BS446-$E446)</f>
        <v/>
      </c>
      <c r="BU446" s="28" t="str">
        <f aca="false">IFERROR(INDEX(Assessments!$H$2:$H$600,MATCH($H446&amp;"|"&amp;$I446&amp;"|"&amp;$J446&amp;"|"&amp;1,Assessments!$A$2:$A$600,0)),"")</f>
        <v/>
      </c>
      <c r="BV446" s="28" t="str">
        <f aca="false">IFERROR(INDEX(Assessments!$H$2:$H$600,MATCH($H446&amp;"|"&amp;$I446&amp;"|"&amp;$J446&amp;"|"&amp;2,Assessments!$A$2:$A$600,0)),"")</f>
        <v/>
      </c>
      <c r="BW446" s="28" t="str">
        <f aca="false">IFERROR(INDEX(Assessments!$H$2:$H$600,MATCH($H446&amp;"|"&amp;$I446&amp;"|"&amp;$J446&amp;"|"&amp;3,Assessments!$A$2:$A$600,0)),"")</f>
        <v/>
      </c>
      <c r="BX446" s="28" t="str">
        <f aca="false">IFERROR(INDEX(Assessments!$H$2:$H$600,MATCH($H446&amp;"|"&amp;$I446&amp;"|"&amp;$J446&amp;"|"&amp;4,Assessments!$A$2:$A$600,0)),"")</f>
        <v/>
      </c>
      <c r="BY446" s="28" t="str">
        <f aca="false">IFERROR(INDEX(Assessments!$H$2:$H$600,MATCH($H446&amp;"|"&amp;$I446&amp;"|"&amp;$J446&amp;"|"&amp;5,Assessments!$A$2:$A$600,0)),"")</f>
        <v/>
      </c>
      <c r="BZ446" s="28" t="str">
        <f aca="false">IFERROR(INDEX(Assessments!$H$2:$H$600,MATCH($H446&amp;"|"&amp;$I446&amp;"|"&amp;$J446&amp;"|"&amp;6,Assessments!$A$2:$A$600,0)),"")</f>
        <v/>
      </c>
      <c r="CA446" s="28" t="str">
        <f aca="false">IFERROR(INDEX(Assessments!$H$2:$H$600,MATCH($H446&amp;"|"&amp;$I446&amp;"|"&amp;$J446&amp;"|"&amp;7,Assessments!$A$2:$A$600,0)),"")</f>
        <v/>
      </c>
      <c r="CB446" s="28" t="str">
        <f aca="false">IFERROR(INDEX(Assessments!$H$2:$H$600,MATCH($H446&amp;"|"&amp;$I446&amp;"|"&amp;$J446&amp;"|"&amp;8,Assessments!$A$2:$A$600,0)),"")</f>
        <v/>
      </c>
      <c r="CC446" s="28" t="str">
        <f aca="false">IFERROR(INDEX(Assessments!$H$2:$H$600,MATCH($H446&amp;"|"&amp;$I446&amp;"|"&amp;$J446&amp;"|"&amp;9,Assessments!$A$2:$A$600,0)),"")</f>
        <v/>
      </c>
      <c r="CD446" s="28" t="str">
        <f aca="false">IFERROR(INDEX(Assessments!$H$2:$H$600,MATCH($H446&amp;"|"&amp;$I446&amp;"|"&amp;$J446&amp;"|"&amp;10,Assessments!$A$2:$A$600,0)),"")</f>
        <v/>
      </c>
      <c r="CE446" s="28" t="str">
        <f aca="false">IFERROR(INDEX(Assessments!$H$2:$H$600,MATCH($H446&amp;"|"&amp;$I446&amp;"|"&amp;$J446&amp;"|"&amp;11,Assessments!$A$2:$A$600,0)),"")</f>
        <v/>
      </c>
      <c r="CF446" s="28" t="str">
        <f aca="false">IFERROR(INDEX(Assessments!$H$2:$H$600,MATCH($H446&amp;"|"&amp;$I446&amp;"|"&amp;$J446&amp;"|"&amp;12,Assessments!$A$2:$A$600,0)),"")</f>
        <v/>
      </c>
      <c r="CG446" s="28" t="str">
        <f aca="false">IFERROR(INDEX(Assessments!$H$2:$H$600,MATCH($H446&amp;"|"&amp;$I446&amp;"|"&amp;$J446&amp;"|"&amp;13,Assessments!$A$2:$A$600,0)),"")</f>
        <v/>
      </c>
      <c r="CH446" s="28" t="str">
        <f aca="false">IFERROR(INDEX(Assessments!$H$2:$H$600,MATCH($H446&amp;"|"&amp;$I446&amp;"|"&amp;$J446&amp;"|"&amp;14,Assessments!$A$2:$A$600,0)),"")</f>
        <v/>
      </c>
      <c r="CI446" s="28" t="str">
        <f aca="false">IFERROR(INDEX(Assessments!$I$2:$I$600,MATCH($H446&amp;"|"&amp;$I446&amp;"|"&amp;$J446&amp;"|"&amp;1,Assessments!$A$2:$A$600,0)),"")</f>
        <v/>
      </c>
      <c r="CJ446" s="28" t="str">
        <f aca="false">IFERROR(INDEX(Assessments!$I$2:$I$600,MATCH($H446&amp;"|"&amp;$I446&amp;"|"&amp;$J446&amp;"|"&amp;2,Assessments!$A$2:$A$600,0)),"")</f>
        <v/>
      </c>
      <c r="CK446" s="28" t="str">
        <f aca="false">IFERROR(INDEX(Assessments!$I$2:$I$600,MATCH($H446&amp;"|"&amp;$I446&amp;"|"&amp;$J446&amp;"|"&amp;3,Assessments!$A$2:$A$600,0)),"")</f>
        <v/>
      </c>
      <c r="CL446" s="28" t="str">
        <f aca="false">IFERROR(INDEX(Assessments!$I$2:$I$600,MATCH($H446&amp;"|"&amp;$I446&amp;"|"&amp;$J446&amp;"|"&amp;4,Assessments!$A$2:$A$600,0)),"")</f>
        <v/>
      </c>
      <c r="CM446" s="28" t="str">
        <f aca="false">IFERROR(INDEX(Assessments!$I$2:$I$600,MATCH($H446&amp;"|"&amp;$I446&amp;"|"&amp;$J446&amp;"|"&amp;5,Assessments!$A$2:$A$600,0)),"")</f>
        <v/>
      </c>
      <c r="CN446" s="28" t="str">
        <f aca="false">IFERROR(INDEX(Assessments!$I$2:$I$600,MATCH($H446&amp;"|"&amp;$I446&amp;"|"&amp;$J446&amp;"|"&amp;6,Assessments!$A$2:$A$600,0)),"")</f>
        <v/>
      </c>
      <c r="CO446" s="28" t="str">
        <f aca="false">IFERROR(INDEX(Assessments!$I$2:$I$600,MATCH($H446&amp;"|"&amp;$I446&amp;"|"&amp;$J446&amp;"|"&amp;7,Assessments!$A$2:$A$600,0)),"")</f>
        <v/>
      </c>
      <c r="CP446" s="28" t="str">
        <f aca="false">IFERROR(INDEX(Assessments!$I$2:$I$600,MATCH($H446&amp;"|"&amp;$I446&amp;"|"&amp;$J446&amp;"|"&amp;8,Assessments!$A$2:$A$600,0)),"")</f>
        <v/>
      </c>
      <c r="CQ446" s="28" t="str">
        <f aca="false">IFERROR(INDEX(Assessments!$I$2:$I$600,MATCH($H446&amp;"|"&amp;$I446&amp;"|"&amp;$J446&amp;"|"&amp;9,Assessments!$A$2:$A$600,0)),"")</f>
        <v/>
      </c>
      <c r="CR446" s="28" t="str">
        <f aca="false">IFERROR(INDEX(Assessments!$I$2:$I$600,MATCH($H446&amp;"|"&amp;$I446&amp;"|"&amp;$J446&amp;"|"&amp;10,Assessments!$A$2:$A$600,0)),"")</f>
        <v/>
      </c>
      <c r="CS446" s="28" t="str">
        <f aca="false">IFERROR(INDEX(Assessments!$I$2:$I$600,MATCH($H446&amp;"|"&amp;$I446&amp;"|"&amp;$J446&amp;"|"&amp;11,Assessments!$A$2:$A$600,0)),"")</f>
        <v/>
      </c>
      <c r="CT446" s="28" t="str">
        <f aca="false">IFERROR(INDEX(Assessments!$I$2:$I$600,MATCH($H446&amp;"|"&amp;$I446&amp;"|"&amp;$J446&amp;"|"&amp;12,Assessments!$A$2:$A$600,0)),"")</f>
        <v/>
      </c>
      <c r="CU446" s="28" t="str">
        <f aca="false">IFERROR(INDEX(Assessments!$I$2:$I$600,MATCH($H446&amp;"|"&amp;$I446&amp;"|"&amp;$J446&amp;"|"&amp;13,Assessments!$A$2:$A$600,0)),"")</f>
        <v/>
      </c>
      <c r="CV446" s="28" t="str">
        <f aca="false">IFERROR(INDEX(Assessments!$I$2:$I$600,MATCH($H446&amp;"|"&amp;$I446&amp;"|"&amp;$J446&amp;"|"&amp;14,Assessments!$A$2:$A$600,0)),"")</f>
        <v/>
      </c>
      <c r="CW446" s="28" t="n">
        <f aca="false">IFERROR(INDEX(Assessments!$J$2:$J$600,MATCH($H446&amp;"|"&amp;$I446&amp;"|"&amp;$J446&amp;"|"&amp;1,Assessments!$A$2:$A$600,0)),0)</f>
        <v>0</v>
      </c>
      <c r="CX446" s="28" t="n">
        <f aca="false">IFERROR(INDEX(Assessments!$J$2:$J$600,MATCH($H446&amp;"|"&amp;$I446&amp;"|"&amp;$J446&amp;"|"&amp;2,Assessments!$A$2:$A$600,0)),0)</f>
        <v>0</v>
      </c>
      <c r="CY446" s="28" t="n">
        <f aca="false">IFERROR(INDEX(Assessments!$J$2:$J$600,MATCH($H446&amp;"|"&amp;$I446&amp;"|"&amp;$J446&amp;"|"&amp;3,Assessments!$A$2:$A$600,0)),0)</f>
        <v>0</v>
      </c>
      <c r="CZ446" s="28" t="n">
        <f aca="false">IFERROR(INDEX(Assessments!$J$2:$J$600,MATCH($H446&amp;"|"&amp;$I446&amp;"|"&amp;$J446&amp;"|"&amp;4,Assessments!$A$2:$A$600,0)),0)</f>
        <v>0</v>
      </c>
      <c r="DA446" s="28" t="n">
        <f aca="false">IFERROR(INDEX(Assessments!$J$2:$J$600,MATCH($H446&amp;"|"&amp;$I446&amp;"|"&amp;$J446&amp;"|"&amp;5,Assessments!$A$2:$A$600,0)),0)</f>
        <v>0</v>
      </c>
      <c r="DB446" s="28" t="n">
        <f aca="false">IFERROR(INDEX(Assessments!$J$2:$J$600,MATCH($H446&amp;"|"&amp;$I446&amp;"|"&amp;$J446&amp;"|"&amp;6,Assessments!$A$2:$A$600,0)),0)</f>
        <v>0</v>
      </c>
      <c r="DC446" s="28" t="n">
        <f aca="false">IFERROR(INDEX(Assessments!$J$2:$J$600,MATCH($H446&amp;"|"&amp;$I446&amp;"|"&amp;$J446&amp;"|"&amp;7,Assessments!$A$2:$A$600,0)),0)</f>
        <v>0</v>
      </c>
      <c r="DD446" s="28" t="n">
        <f aca="false">IFERROR(INDEX(Assessments!$J$2:$J$600,MATCH($H446&amp;"|"&amp;$I446&amp;"|"&amp;$J446&amp;"|"&amp;8,Assessments!$A$2:$A$600,0)),0)</f>
        <v>0</v>
      </c>
      <c r="DE446" s="28" t="n">
        <f aca="false">IFERROR(INDEX(Assessments!$J$2:$J$600,MATCH($H446&amp;"|"&amp;$I446&amp;"|"&amp;$J446&amp;"|"&amp;9,Assessments!$A$2:$A$600,0)),0)</f>
        <v>0</v>
      </c>
      <c r="DF446" s="28" t="n">
        <f aca="false">IFERROR(INDEX(Assessments!$J$2:$J$600,MATCH($H446&amp;"|"&amp;$I446&amp;"|"&amp;$J446&amp;"|"&amp;10,Assessments!$A$2:$A$600,0)),0)</f>
        <v>0</v>
      </c>
      <c r="DG446" s="28" t="n">
        <f aca="false">IFERROR(INDEX(Assessments!$J$2:$J$600,MATCH($H446&amp;"|"&amp;$I446&amp;"|"&amp;$J446&amp;"|"&amp;11,Assessments!$A$2:$A$600,0)),0)</f>
        <v>0</v>
      </c>
      <c r="DH446" s="28" t="n">
        <f aca="false">IFERROR(INDEX(Assessments!$J$2:$J$600,MATCH($H446&amp;"|"&amp;$I446&amp;"|"&amp;$J446&amp;"|"&amp;12,Assessments!$A$2:$A$600,0)),0)</f>
        <v>0</v>
      </c>
      <c r="DI446" s="28" t="n">
        <f aca="false">IFERROR(INDEX(Assessments!$J$2:$J$600,MATCH($H446&amp;"|"&amp;$I446&amp;"|"&amp;$J446&amp;"|"&amp;13,Assessments!$A$2:$A$600,0)),0)</f>
        <v>0</v>
      </c>
      <c r="DJ446" s="28" t="n">
        <f aca="false">IFERROR(INDEX(Assessments!$J$2:$J$600,MATCH($H446&amp;"|"&amp;$I446&amp;"|"&amp;$J446&amp;"|"&amp;14,Assessments!$A$2:$A$600,0)),0)</f>
        <v>0</v>
      </c>
      <c r="DK446" s="28" t="str">
        <f aca="false">S446</f>
        <v/>
      </c>
      <c r="DL446" s="28" t="str">
        <f aca="false">W446</f>
        <v/>
      </c>
      <c r="DM446" s="28" t="str">
        <f aca="false">AA446</f>
        <v/>
      </c>
      <c r="DN446" s="28" t="str">
        <f aca="false">AE446</f>
        <v/>
      </c>
      <c r="DO446" s="28" t="str">
        <f aca="false">AI446</f>
        <v/>
      </c>
      <c r="DP446" s="28" t="str">
        <f aca="false">AM446</f>
        <v/>
      </c>
      <c r="DQ446" s="28" t="str">
        <f aca="false">AQ446</f>
        <v/>
      </c>
      <c r="DR446" s="28" t="str">
        <f aca="false">AU446</f>
        <v/>
      </c>
      <c r="DS446" s="28" t="str">
        <f aca="false">AY446</f>
        <v/>
      </c>
      <c r="DT446" s="28" t="str">
        <f aca="false">BC446</f>
        <v/>
      </c>
      <c r="DU446" s="28" t="str">
        <f aca="false">BG446</f>
        <v/>
      </c>
      <c r="DV446" s="28" t="str">
        <f aca="false">BK446</f>
        <v/>
      </c>
      <c r="DW446" s="28" t="str">
        <f aca="false">BO446</f>
        <v/>
      </c>
      <c r="DX446" s="28" t="str">
        <f aca="false">BS446</f>
        <v/>
      </c>
      <c r="DY446" s="28" t="str">
        <f aca="false">IF(ISNUMBER(S446),1,"")</f>
        <v/>
      </c>
      <c r="DZ446" s="28" t="str">
        <f aca="false">IF(ISNUMBER(W446),2,"")</f>
        <v/>
      </c>
      <c r="EA446" s="28" t="str">
        <f aca="false">IF(ISNUMBER(AA446),3,"")</f>
        <v/>
      </c>
      <c r="EB446" s="28" t="str">
        <f aca="false">IF(ISNUMBER(AE446),4,"")</f>
        <v/>
      </c>
      <c r="EC446" s="28" t="str">
        <f aca="false">IF(ISNUMBER(AI446),5,"")</f>
        <v/>
      </c>
      <c r="ED446" s="28" t="str">
        <f aca="false">IF(ISNUMBER(AM446),6,"")</f>
        <v/>
      </c>
      <c r="EE446" s="28" t="str">
        <f aca="false">IF(ISNUMBER(AQ446),7,"")</f>
        <v/>
      </c>
      <c r="EF446" s="28" t="str">
        <f aca="false">IF(ISNUMBER(AU446),8,"")</f>
        <v/>
      </c>
      <c r="EG446" s="28" t="str">
        <f aca="false">IF(ISNUMBER(AY446),9,"")</f>
        <v/>
      </c>
      <c r="EH446" s="28" t="str">
        <f aca="false">IF(ISNUMBER(BC446),10,"")</f>
        <v/>
      </c>
      <c r="EI446" s="28" t="str">
        <f aca="false">IF(ISNUMBER(BG446),11,"")</f>
        <v/>
      </c>
      <c r="EJ446" s="28" t="str">
        <f aca="false">IF(ISNUMBER(BK446),12,"")</f>
        <v/>
      </c>
      <c r="EK446" s="28" t="str">
        <f aca="false">IF(ISNUMBER(BO446),13,"")</f>
        <v/>
      </c>
      <c r="EL446" s="28" t="str">
        <f aca="false">IF(ISNUMBER(BS446),14,"")</f>
        <v/>
      </c>
      <c r="EM446" s="28" t="n">
        <f aca="false">IF(ISNUMBER(R446),R446*CW446,0)</f>
        <v>0</v>
      </c>
      <c r="EN446" s="28" t="n">
        <f aca="false">IF(ISNUMBER(V446),V446*CX446,0)</f>
        <v>0</v>
      </c>
      <c r="EO446" s="28" t="n">
        <f aca="false">IF(ISNUMBER(Z446),Z446*CY446,0)</f>
        <v>0</v>
      </c>
      <c r="EP446" s="28" t="n">
        <f aca="false">IF(ISNUMBER(AD446),AD446*CZ446,0)</f>
        <v>0</v>
      </c>
      <c r="EQ446" s="28" t="n">
        <f aca="false">IF(ISNUMBER(AH446),AH446*DA446,0)</f>
        <v>0</v>
      </c>
      <c r="ER446" s="28" t="n">
        <f aca="false">IF(ISNUMBER(AL446),AL446*DB446,0)</f>
        <v>0</v>
      </c>
      <c r="ES446" s="28" t="n">
        <f aca="false">IF(ISNUMBER(AP446),AP446*DC446,0)</f>
        <v>0</v>
      </c>
      <c r="ET446" s="28" t="n">
        <f aca="false">IF(ISNUMBER(AT446),AT446*DD446,0)</f>
        <v>0</v>
      </c>
      <c r="EU446" s="28" t="n">
        <f aca="false">IF(ISNUMBER(AX446),AX446*DE446,0)</f>
        <v>0</v>
      </c>
      <c r="EV446" s="28" t="n">
        <f aca="false">IF(ISNUMBER(BB446),BB446*DF446,0)</f>
        <v>0</v>
      </c>
      <c r="EW446" s="28" t="n">
        <f aca="false">IF(ISNUMBER(BF446),BF446*DG446,0)</f>
        <v>0</v>
      </c>
      <c r="EX446" s="28" t="n">
        <f aca="false">IF(ISNUMBER(BJ446),BJ446*DH446,0)</f>
        <v>0</v>
      </c>
      <c r="EY446" s="28" t="n">
        <f aca="false">IF(ISNUMBER(BN446),BN446*DI446,0)</f>
        <v>0</v>
      </c>
      <c r="EZ446" s="28" t="n">
        <f aca="false">IF(ISNUMBER(BR446),BR446*DJ446,0)</f>
        <v>0</v>
      </c>
      <c r="FA446" s="28" t="n">
        <f aca="false">IF(ISNUMBER(R446),CW446,0)</f>
        <v>0</v>
      </c>
      <c r="FB446" s="28" t="n">
        <f aca="false">IF(ISNUMBER(V446),CX446,0)</f>
        <v>0</v>
      </c>
      <c r="FC446" s="28" t="n">
        <f aca="false">IF(ISNUMBER(Z446),CY446,0)</f>
        <v>0</v>
      </c>
      <c r="FD446" s="28" t="n">
        <f aca="false">IF(ISNUMBER(AD446),CZ446,0)</f>
        <v>0</v>
      </c>
      <c r="FE446" s="28" t="n">
        <f aca="false">IF(ISNUMBER(AH446),DA446,0)</f>
        <v>0</v>
      </c>
      <c r="FF446" s="28" t="n">
        <f aca="false">IF(ISNUMBER(AL446),DB446,0)</f>
        <v>0</v>
      </c>
      <c r="FG446" s="28" t="n">
        <f aca="false">IF(ISNUMBER(AP446),DC446,0)</f>
        <v>0</v>
      </c>
      <c r="FH446" s="28" t="n">
        <f aca="false">IF(ISNUMBER(AT446),DD446,0)</f>
        <v>0</v>
      </c>
      <c r="FI446" s="28" t="n">
        <f aca="false">IF(ISNUMBER(AX446),DE446,0)</f>
        <v>0</v>
      </c>
      <c r="FJ446" s="28" t="n">
        <f aca="false">IF(ISNUMBER(BB446),DF446,0)</f>
        <v>0</v>
      </c>
      <c r="FK446" s="28" t="n">
        <f aca="false">IF(ISNUMBER(BF446),DG446,0)</f>
        <v>0</v>
      </c>
      <c r="FL446" s="28" t="n">
        <f aca="false">IF(ISNUMBER(BJ446),DH446,0)</f>
        <v>0</v>
      </c>
      <c r="FM446" s="28" t="n">
        <f aca="false">IF(ISNUMBER(BN446),DI446,0)</f>
        <v>0</v>
      </c>
      <c r="FN446" s="28" t="n">
        <f aca="false">IF(ISNUMBER(BR446),DJ446,0)</f>
        <v>0</v>
      </c>
      <c r="FO446" s="28" t="str">
        <f aca="false">IFERROR(INDEX(Lists!$G$2:$G$20,MATCH($I446&amp;"|"&amp;$J446,Lists!$F$2:$F$20,0)),"")</f>
        <v/>
      </c>
    </row>
    <row r="447" customFormat="false" ht="19.5" hidden="false" customHeight="true" outlineLevel="0" collapsed="false">
      <c r="A447" s="29"/>
      <c r="B447" s="29"/>
      <c r="C447" s="30"/>
      <c r="D447" s="30"/>
      <c r="E447" s="31"/>
      <c r="F447" s="30"/>
      <c r="G447" s="30"/>
      <c r="H447" s="32"/>
      <c r="I447" s="33"/>
      <c r="J447" s="32"/>
      <c r="K447" s="34" t="str">
        <f aca="false">IF(OR(M447="",$E447=""),"",M447-$E447)</f>
        <v/>
      </c>
      <c r="L447" s="35" t="str">
        <f aca="false">IF(SUM(FA447:FN447)=0,"",SUM(EM447:EZ447)/SUM(FA447:FN447))</f>
        <v/>
      </c>
      <c r="M447" s="36" t="str">
        <f aca="false">IF(OR(L447="",FO447=""),"",IFERROR(MATCH(L447,INDEX(Boundaries!$B$2:$I$30,MATCH(FO447,Boundaries!$A$2:$A$30,0),0),1)-1,""))</f>
        <v/>
      </c>
      <c r="N447" s="37" t="str">
        <f aca="false">IF(COUNT($DY447:$EL447)&lt;2,"",INDEX($DK447:$DX447,MAX($DY447:$EL447))-INDEX($DK447:$DX447,MIN($DY447:$EL447)))</f>
        <v/>
      </c>
      <c r="O447" s="37" t="str">
        <f aca="false">IF(COUNT($DY447:$EL447)&lt;2,"",INDEX($DK447:$DX447,MAX($DY447:$EL447))-INDEX($DK447:$DX447,LARGE($DY447:$EL447,2)))</f>
        <v/>
      </c>
      <c r="P447" s="38" t="str">
        <f aca="false">IF(K447="","",IF(K447&gt;=0,"On/above target",IF(AND(N447&lt;&gt;"",N447&gt;=0.5),"Improving towards target",IF(AND(O447&lt;&gt;"",O447&lt;=-0.5),"Declining","Stable below target"))))</f>
        <v/>
      </c>
      <c r="Q447" s="39"/>
      <c r="R447" s="40" t="str">
        <f aca="false">IF(OR(Q447="",BU447=""),"",Q447/BU447*100)</f>
        <v/>
      </c>
      <c r="S447" s="41" t="str">
        <f aca="false">IF(R447="","",IFERROR(MATCH(R447,INDEX(Boundaries!$B$2:$I$30,MATCH(CI447,Boundaries!$A$2:$A$30,0),0),1)-1,""))</f>
        <v/>
      </c>
      <c r="T447" s="42" t="str">
        <f aca="false">IF(OR(S447="",$E447=""),"",S447-$E447)</f>
        <v/>
      </c>
      <c r="U447" s="39"/>
      <c r="V447" s="40" t="str">
        <f aca="false">IF(OR(U447="",BV447=""),"",U447/BV447*100)</f>
        <v/>
      </c>
      <c r="W447" s="41" t="str">
        <f aca="false">IF(V447="","",IFERROR(MATCH(V447,INDEX(Boundaries!$B$2:$I$30,MATCH(CJ447,Boundaries!$A$2:$A$30,0),0),1)-1,""))</f>
        <v/>
      </c>
      <c r="X447" s="42" t="str">
        <f aca="false">IF(OR(W447="",$E447=""),"",W447-$E447)</f>
        <v/>
      </c>
      <c r="Y447" s="39"/>
      <c r="Z447" s="40" t="str">
        <f aca="false">IF(OR(Y447="",BW447=""),"",Y447/BW447*100)</f>
        <v/>
      </c>
      <c r="AA447" s="41" t="str">
        <f aca="false">IF(Z447="","",IFERROR(MATCH(Z447,INDEX(Boundaries!$B$2:$I$30,MATCH(CK447,Boundaries!$A$2:$A$30,0),0),1)-1,""))</f>
        <v/>
      </c>
      <c r="AB447" s="42" t="str">
        <f aca="false">IF(OR(AA447="",$E447=""),"",AA447-$E447)</f>
        <v/>
      </c>
      <c r="AC447" s="39"/>
      <c r="AD447" s="40" t="str">
        <f aca="false">IF(OR(AC447="",BX447=""),"",AC447/BX447*100)</f>
        <v/>
      </c>
      <c r="AE447" s="41" t="str">
        <f aca="false">IF(AD447="","",IFERROR(MATCH(AD447,INDEX(Boundaries!$B$2:$I$30,MATCH(CL447,Boundaries!$A$2:$A$30,0),0),1)-1,""))</f>
        <v/>
      </c>
      <c r="AF447" s="42" t="str">
        <f aca="false">IF(OR(AE447="",$E447=""),"",AE447-$E447)</f>
        <v/>
      </c>
      <c r="AG447" s="39"/>
      <c r="AH447" s="40" t="str">
        <f aca="false">IF(OR(AG447="",BY447=""),"",AG447/BY447*100)</f>
        <v/>
      </c>
      <c r="AI447" s="41" t="str">
        <f aca="false">IF(AH447="","",IFERROR(MATCH(AH447,INDEX(Boundaries!$B$2:$I$30,MATCH(CM447,Boundaries!$A$2:$A$30,0),0),1)-1,""))</f>
        <v/>
      </c>
      <c r="AJ447" s="42" t="str">
        <f aca="false">IF(OR(AI447="",$E447=""),"",AI447-$E447)</f>
        <v/>
      </c>
      <c r="AK447" s="39"/>
      <c r="AL447" s="40" t="str">
        <f aca="false">IF(OR(AK447="",BZ447=""),"",AK447/BZ447*100)</f>
        <v/>
      </c>
      <c r="AM447" s="41" t="str">
        <f aca="false">IF(AL447="","",IFERROR(MATCH(AL447,INDEX(Boundaries!$B$2:$I$30,MATCH(CN447,Boundaries!$A$2:$A$30,0),0),1)-1,""))</f>
        <v/>
      </c>
      <c r="AN447" s="42" t="str">
        <f aca="false">IF(OR(AM447="",$E447=""),"",AM447-$E447)</f>
        <v/>
      </c>
      <c r="AO447" s="39"/>
      <c r="AP447" s="40" t="str">
        <f aca="false">IF(OR(AO447="",CA447=""),"",AO447/CA447*100)</f>
        <v/>
      </c>
      <c r="AQ447" s="41" t="str">
        <f aca="false">IF(AP447="","",IFERROR(MATCH(AP447,INDEX(Boundaries!$B$2:$I$30,MATCH(CO447,Boundaries!$A$2:$A$30,0),0),1)-1,""))</f>
        <v/>
      </c>
      <c r="AR447" s="42" t="str">
        <f aca="false">IF(OR(AQ447="",$E447=""),"",AQ447-$E447)</f>
        <v/>
      </c>
      <c r="AS447" s="39"/>
      <c r="AT447" s="40" t="str">
        <f aca="false">IF(OR(AS447="",CB447=""),"",AS447/CB447*100)</f>
        <v/>
      </c>
      <c r="AU447" s="41" t="str">
        <f aca="false">IF(AT447="","",IFERROR(MATCH(AT447,INDEX(Boundaries!$B$2:$I$30,MATCH(CP447,Boundaries!$A$2:$A$30,0),0),1)-1,""))</f>
        <v/>
      </c>
      <c r="AV447" s="42" t="str">
        <f aca="false">IF(OR(AU447="",$E447=""),"",AU447-$E447)</f>
        <v/>
      </c>
      <c r="AW447" s="39"/>
      <c r="AX447" s="40" t="str">
        <f aca="false">IF(OR(AW447="",CC447=""),"",AW447/CC447*100)</f>
        <v/>
      </c>
      <c r="AY447" s="41" t="str">
        <f aca="false">IF(AX447="","",IFERROR(MATCH(AX447,INDEX(Boundaries!$B$2:$I$30,MATCH(CQ447,Boundaries!$A$2:$A$30,0),0),1)-1,""))</f>
        <v/>
      </c>
      <c r="AZ447" s="42" t="str">
        <f aca="false">IF(OR(AY447="",$E447=""),"",AY447-$E447)</f>
        <v/>
      </c>
      <c r="BA447" s="39"/>
      <c r="BB447" s="40" t="str">
        <f aca="false">IF(OR(BA447="",CD447=""),"",BA447/CD447*100)</f>
        <v/>
      </c>
      <c r="BC447" s="41" t="str">
        <f aca="false">IF(BB447="","",IFERROR(MATCH(BB447,INDEX(Boundaries!$B$2:$I$30,MATCH(CR447,Boundaries!$A$2:$A$30,0),0),1)-1,""))</f>
        <v/>
      </c>
      <c r="BD447" s="42" t="str">
        <f aca="false">IF(OR(BC447="",$E447=""),"",BC447-$E447)</f>
        <v/>
      </c>
      <c r="BE447" s="39"/>
      <c r="BF447" s="40" t="str">
        <f aca="false">IF(OR(BE447="",CE447=""),"",BE447/CE447*100)</f>
        <v/>
      </c>
      <c r="BG447" s="41" t="str">
        <f aca="false">IF(BF447="","",IFERROR(MATCH(BF447,INDEX(Boundaries!$B$2:$I$30,MATCH(CS447,Boundaries!$A$2:$A$30,0),0),1)-1,""))</f>
        <v/>
      </c>
      <c r="BH447" s="42" t="str">
        <f aca="false">IF(OR(BG447="",$E447=""),"",BG447-$E447)</f>
        <v/>
      </c>
      <c r="BI447" s="39"/>
      <c r="BJ447" s="40" t="str">
        <f aca="false">IF(OR(BI447="",CF447=""),"",BI447/CF447*100)</f>
        <v/>
      </c>
      <c r="BK447" s="41" t="str">
        <f aca="false">IF(BJ447="","",IFERROR(MATCH(BJ447,INDEX(Boundaries!$B$2:$I$30,MATCH(CT447,Boundaries!$A$2:$A$30,0),0),1)-1,""))</f>
        <v/>
      </c>
      <c r="BL447" s="42" t="str">
        <f aca="false">IF(OR(BK447="",$E447=""),"",BK447-$E447)</f>
        <v/>
      </c>
      <c r="BM447" s="39"/>
      <c r="BN447" s="40" t="str">
        <f aca="false">IF(OR(BM447="",CG447=""),"",BM447/CG447*100)</f>
        <v/>
      </c>
      <c r="BO447" s="41" t="str">
        <f aca="false">IF(BN447="","",IFERROR(MATCH(BN447,INDEX(Boundaries!$B$2:$I$30,MATCH(CU447,Boundaries!$A$2:$A$30,0),0),1)-1,""))</f>
        <v/>
      </c>
      <c r="BP447" s="42" t="str">
        <f aca="false">IF(OR(BO447="",$E447=""),"",BO447-$E447)</f>
        <v/>
      </c>
      <c r="BQ447" s="39"/>
      <c r="BR447" s="40" t="str">
        <f aca="false">IF(OR(BQ447="",CH447=""),"",BQ447/CH447*100)</f>
        <v/>
      </c>
      <c r="BS447" s="41" t="str">
        <f aca="false">IF(BR447="","",IFERROR(MATCH(BR447,INDEX(Boundaries!$B$2:$I$30,MATCH(CV447,Boundaries!$A$2:$A$30,0),0),1)-1,""))</f>
        <v/>
      </c>
      <c r="BT447" s="42" t="str">
        <f aca="false">IF(OR(BS447="",$E447=""),"",BS447-$E447)</f>
        <v/>
      </c>
      <c r="BU447" s="28" t="str">
        <f aca="false">IFERROR(INDEX(Assessments!$H$2:$H$600,MATCH($H447&amp;"|"&amp;$I447&amp;"|"&amp;$J447&amp;"|"&amp;1,Assessments!$A$2:$A$600,0)),"")</f>
        <v/>
      </c>
      <c r="BV447" s="28" t="str">
        <f aca="false">IFERROR(INDEX(Assessments!$H$2:$H$600,MATCH($H447&amp;"|"&amp;$I447&amp;"|"&amp;$J447&amp;"|"&amp;2,Assessments!$A$2:$A$600,0)),"")</f>
        <v/>
      </c>
      <c r="BW447" s="28" t="str">
        <f aca="false">IFERROR(INDEX(Assessments!$H$2:$H$600,MATCH($H447&amp;"|"&amp;$I447&amp;"|"&amp;$J447&amp;"|"&amp;3,Assessments!$A$2:$A$600,0)),"")</f>
        <v/>
      </c>
      <c r="BX447" s="28" t="str">
        <f aca="false">IFERROR(INDEX(Assessments!$H$2:$H$600,MATCH($H447&amp;"|"&amp;$I447&amp;"|"&amp;$J447&amp;"|"&amp;4,Assessments!$A$2:$A$600,0)),"")</f>
        <v/>
      </c>
      <c r="BY447" s="28" t="str">
        <f aca="false">IFERROR(INDEX(Assessments!$H$2:$H$600,MATCH($H447&amp;"|"&amp;$I447&amp;"|"&amp;$J447&amp;"|"&amp;5,Assessments!$A$2:$A$600,0)),"")</f>
        <v/>
      </c>
      <c r="BZ447" s="28" t="str">
        <f aca="false">IFERROR(INDEX(Assessments!$H$2:$H$600,MATCH($H447&amp;"|"&amp;$I447&amp;"|"&amp;$J447&amp;"|"&amp;6,Assessments!$A$2:$A$600,0)),"")</f>
        <v/>
      </c>
      <c r="CA447" s="28" t="str">
        <f aca="false">IFERROR(INDEX(Assessments!$H$2:$H$600,MATCH($H447&amp;"|"&amp;$I447&amp;"|"&amp;$J447&amp;"|"&amp;7,Assessments!$A$2:$A$600,0)),"")</f>
        <v/>
      </c>
      <c r="CB447" s="28" t="str">
        <f aca="false">IFERROR(INDEX(Assessments!$H$2:$H$600,MATCH($H447&amp;"|"&amp;$I447&amp;"|"&amp;$J447&amp;"|"&amp;8,Assessments!$A$2:$A$600,0)),"")</f>
        <v/>
      </c>
      <c r="CC447" s="28" t="str">
        <f aca="false">IFERROR(INDEX(Assessments!$H$2:$H$600,MATCH($H447&amp;"|"&amp;$I447&amp;"|"&amp;$J447&amp;"|"&amp;9,Assessments!$A$2:$A$600,0)),"")</f>
        <v/>
      </c>
      <c r="CD447" s="28" t="str">
        <f aca="false">IFERROR(INDEX(Assessments!$H$2:$H$600,MATCH($H447&amp;"|"&amp;$I447&amp;"|"&amp;$J447&amp;"|"&amp;10,Assessments!$A$2:$A$600,0)),"")</f>
        <v/>
      </c>
      <c r="CE447" s="28" t="str">
        <f aca="false">IFERROR(INDEX(Assessments!$H$2:$H$600,MATCH($H447&amp;"|"&amp;$I447&amp;"|"&amp;$J447&amp;"|"&amp;11,Assessments!$A$2:$A$600,0)),"")</f>
        <v/>
      </c>
      <c r="CF447" s="28" t="str">
        <f aca="false">IFERROR(INDEX(Assessments!$H$2:$H$600,MATCH($H447&amp;"|"&amp;$I447&amp;"|"&amp;$J447&amp;"|"&amp;12,Assessments!$A$2:$A$600,0)),"")</f>
        <v/>
      </c>
      <c r="CG447" s="28" t="str">
        <f aca="false">IFERROR(INDEX(Assessments!$H$2:$H$600,MATCH($H447&amp;"|"&amp;$I447&amp;"|"&amp;$J447&amp;"|"&amp;13,Assessments!$A$2:$A$600,0)),"")</f>
        <v/>
      </c>
      <c r="CH447" s="28" t="str">
        <f aca="false">IFERROR(INDEX(Assessments!$H$2:$H$600,MATCH($H447&amp;"|"&amp;$I447&amp;"|"&amp;$J447&amp;"|"&amp;14,Assessments!$A$2:$A$600,0)),"")</f>
        <v/>
      </c>
      <c r="CI447" s="28" t="str">
        <f aca="false">IFERROR(INDEX(Assessments!$I$2:$I$600,MATCH($H447&amp;"|"&amp;$I447&amp;"|"&amp;$J447&amp;"|"&amp;1,Assessments!$A$2:$A$600,0)),"")</f>
        <v/>
      </c>
      <c r="CJ447" s="28" t="str">
        <f aca="false">IFERROR(INDEX(Assessments!$I$2:$I$600,MATCH($H447&amp;"|"&amp;$I447&amp;"|"&amp;$J447&amp;"|"&amp;2,Assessments!$A$2:$A$600,0)),"")</f>
        <v/>
      </c>
      <c r="CK447" s="28" t="str">
        <f aca="false">IFERROR(INDEX(Assessments!$I$2:$I$600,MATCH($H447&amp;"|"&amp;$I447&amp;"|"&amp;$J447&amp;"|"&amp;3,Assessments!$A$2:$A$600,0)),"")</f>
        <v/>
      </c>
      <c r="CL447" s="28" t="str">
        <f aca="false">IFERROR(INDEX(Assessments!$I$2:$I$600,MATCH($H447&amp;"|"&amp;$I447&amp;"|"&amp;$J447&amp;"|"&amp;4,Assessments!$A$2:$A$600,0)),"")</f>
        <v/>
      </c>
      <c r="CM447" s="28" t="str">
        <f aca="false">IFERROR(INDEX(Assessments!$I$2:$I$600,MATCH($H447&amp;"|"&amp;$I447&amp;"|"&amp;$J447&amp;"|"&amp;5,Assessments!$A$2:$A$600,0)),"")</f>
        <v/>
      </c>
      <c r="CN447" s="28" t="str">
        <f aca="false">IFERROR(INDEX(Assessments!$I$2:$I$600,MATCH($H447&amp;"|"&amp;$I447&amp;"|"&amp;$J447&amp;"|"&amp;6,Assessments!$A$2:$A$600,0)),"")</f>
        <v/>
      </c>
      <c r="CO447" s="28" t="str">
        <f aca="false">IFERROR(INDEX(Assessments!$I$2:$I$600,MATCH($H447&amp;"|"&amp;$I447&amp;"|"&amp;$J447&amp;"|"&amp;7,Assessments!$A$2:$A$600,0)),"")</f>
        <v/>
      </c>
      <c r="CP447" s="28" t="str">
        <f aca="false">IFERROR(INDEX(Assessments!$I$2:$I$600,MATCH($H447&amp;"|"&amp;$I447&amp;"|"&amp;$J447&amp;"|"&amp;8,Assessments!$A$2:$A$600,0)),"")</f>
        <v/>
      </c>
      <c r="CQ447" s="28" t="str">
        <f aca="false">IFERROR(INDEX(Assessments!$I$2:$I$600,MATCH($H447&amp;"|"&amp;$I447&amp;"|"&amp;$J447&amp;"|"&amp;9,Assessments!$A$2:$A$600,0)),"")</f>
        <v/>
      </c>
      <c r="CR447" s="28" t="str">
        <f aca="false">IFERROR(INDEX(Assessments!$I$2:$I$600,MATCH($H447&amp;"|"&amp;$I447&amp;"|"&amp;$J447&amp;"|"&amp;10,Assessments!$A$2:$A$600,0)),"")</f>
        <v/>
      </c>
      <c r="CS447" s="28" t="str">
        <f aca="false">IFERROR(INDEX(Assessments!$I$2:$I$600,MATCH($H447&amp;"|"&amp;$I447&amp;"|"&amp;$J447&amp;"|"&amp;11,Assessments!$A$2:$A$600,0)),"")</f>
        <v/>
      </c>
      <c r="CT447" s="28" t="str">
        <f aca="false">IFERROR(INDEX(Assessments!$I$2:$I$600,MATCH($H447&amp;"|"&amp;$I447&amp;"|"&amp;$J447&amp;"|"&amp;12,Assessments!$A$2:$A$600,0)),"")</f>
        <v/>
      </c>
      <c r="CU447" s="28" t="str">
        <f aca="false">IFERROR(INDEX(Assessments!$I$2:$I$600,MATCH($H447&amp;"|"&amp;$I447&amp;"|"&amp;$J447&amp;"|"&amp;13,Assessments!$A$2:$A$600,0)),"")</f>
        <v/>
      </c>
      <c r="CV447" s="28" t="str">
        <f aca="false">IFERROR(INDEX(Assessments!$I$2:$I$600,MATCH($H447&amp;"|"&amp;$I447&amp;"|"&amp;$J447&amp;"|"&amp;14,Assessments!$A$2:$A$600,0)),"")</f>
        <v/>
      </c>
      <c r="CW447" s="28" t="n">
        <f aca="false">IFERROR(INDEX(Assessments!$J$2:$J$600,MATCH($H447&amp;"|"&amp;$I447&amp;"|"&amp;$J447&amp;"|"&amp;1,Assessments!$A$2:$A$600,0)),0)</f>
        <v>0</v>
      </c>
      <c r="CX447" s="28" t="n">
        <f aca="false">IFERROR(INDEX(Assessments!$J$2:$J$600,MATCH($H447&amp;"|"&amp;$I447&amp;"|"&amp;$J447&amp;"|"&amp;2,Assessments!$A$2:$A$600,0)),0)</f>
        <v>0</v>
      </c>
      <c r="CY447" s="28" t="n">
        <f aca="false">IFERROR(INDEX(Assessments!$J$2:$J$600,MATCH($H447&amp;"|"&amp;$I447&amp;"|"&amp;$J447&amp;"|"&amp;3,Assessments!$A$2:$A$600,0)),0)</f>
        <v>0</v>
      </c>
      <c r="CZ447" s="28" t="n">
        <f aca="false">IFERROR(INDEX(Assessments!$J$2:$J$600,MATCH($H447&amp;"|"&amp;$I447&amp;"|"&amp;$J447&amp;"|"&amp;4,Assessments!$A$2:$A$600,0)),0)</f>
        <v>0</v>
      </c>
      <c r="DA447" s="28" t="n">
        <f aca="false">IFERROR(INDEX(Assessments!$J$2:$J$600,MATCH($H447&amp;"|"&amp;$I447&amp;"|"&amp;$J447&amp;"|"&amp;5,Assessments!$A$2:$A$600,0)),0)</f>
        <v>0</v>
      </c>
      <c r="DB447" s="28" t="n">
        <f aca="false">IFERROR(INDEX(Assessments!$J$2:$J$600,MATCH($H447&amp;"|"&amp;$I447&amp;"|"&amp;$J447&amp;"|"&amp;6,Assessments!$A$2:$A$600,0)),0)</f>
        <v>0</v>
      </c>
      <c r="DC447" s="28" t="n">
        <f aca="false">IFERROR(INDEX(Assessments!$J$2:$J$600,MATCH($H447&amp;"|"&amp;$I447&amp;"|"&amp;$J447&amp;"|"&amp;7,Assessments!$A$2:$A$600,0)),0)</f>
        <v>0</v>
      </c>
      <c r="DD447" s="28" t="n">
        <f aca="false">IFERROR(INDEX(Assessments!$J$2:$J$600,MATCH($H447&amp;"|"&amp;$I447&amp;"|"&amp;$J447&amp;"|"&amp;8,Assessments!$A$2:$A$600,0)),0)</f>
        <v>0</v>
      </c>
      <c r="DE447" s="28" t="n">
        <f aca="false">IFERROR(INDEX(Assessments!$J$2:$J$600,MATCH($H447&amp;"|"&amp;$I447&amp;"|"&amp;$J447&amp;"|"&amp;9,Assessments!$A$2:$A$600,0)),0)</f>
        <v>0</v>
      </c>
      <c r="DF447" s="28" t="n">
        <f aca="false">IFERROR(INDEX(Assessments!$J$2:$J$600,MATCH($H447&amp;"|"&amp;$I447&amp;"|"&amp;$J447&amp;"|"&amp;10,Assessments!$A$2:$A$600,0)),0)</f>
        <v>0</v>
      </c>
      <c r="DG447" s="28" t="n">
        <f aca="false">IFERROR(INDEX(Assessments!$J$2:$J$600,MATCH($H447&amp;"|"&amp;$I447&amp;"|"&amp;$J447&amp;"|"&amp;11,Assessments!$A$2:$A$600,0)),0)</f>
        <v>0</v>
      </c>
      <c r="DH447" s="28" t="n">
        <f aca="false">IFERROR(INDEX(Assessments!$J$2:$J$600,MATCH($H447&amp;"|"&amp;$I447&amp;"|"&amp;$J447&amp;"|"&amp;12,Assessments!$A$2:$A$600,0)),0)</f>
        <v>0</v>
      </c>
      <c r="DI447" s="28" t="n">
        <f aca="false">IFERROR(INDEX(Assessments!$J$2:$J$600,MATCH($H447&amp;"|"&amp;$I447&amp;"|"&amp;$J447&amp;"|"&amp;13,Assessments!$A$2:$A$600,0)),0)</f>
        <v>0</v>
      </c>
      <c r="DJ447" s="28" t="n">
        <f aca="false">IFERROR(INDEX(Assessments!$J$2:$J$600,MATCH($H447&amp;"|"&amp;$I447&amp;"|"&amp;$J447&amp;"|"&amp;14,Assessments!$A$2:$A$600,0)),0)</f>
        <v>0</v>
      </c>
      <c r="DK447" s="28" t="str">
        <f aca="false">S447</f>
        <v/>
      </c>
      <c r="DL447" s="28" t="str">
        <f aca="false">W447</f>
        <v/>
      </c>
      <c r="DM447" s="28" t="str">
        <f aca="false">AA447</f>
        <v/>
      </c>
      <c r="DN447" s="28" t="str">
        <f aca="false">AE447</f>
        <v/>
      </c>
      <c r="DO447" s="28" t="str">
        <f aca="false">AI447</f>
        <v/>
      </c>
      <c r="DP447" s="28" t="str">
        <f aca="false">AM447</f>
        <v/>
      </c>
      <c r="DQ447" s="28" t="str">
        <f aca="false">AQ447</f>
        <v/>
      </c>
      <c r="DR447" s="28" t="str">
        <f aca="false">AU447</f>
        <v/>
      </c>
      <c r="DS447" s="28" t="str">
        <f aca="false">AY447</f>
        <v/>
      </c>
      <c r="DT447" s="28" t="str">
        <f aca="false">BC447</f>
        <v/>
      </c>
      <c r="DU447" s="28" t="str">
        <f aca="false">BG447</f>
        <v/>
      </c>
      <c r="DV447" s="28" t="str">
        <f aca="false">BK447</f>
        <v/>
      </c>
      <c r="DW447" s="28" t="str">
        <f aca="false">BO447</f>
        <v/>
      </c>
      <c r="DX447" s="28" t="str">
        <f aca="false">BS447</f>
        <v/>
      </c>
      <c r="DY447" s="28" t="str">
        <f aca="false">IF(ISNUMBER(S447),1,"")</f>
        <v/>
      </c>
      <c r="DZ447" s="28" t="str">
        <f aca="false">IF(ISNUMBER(W447),2,"")</f>
        <v/>
      </c>
      <c r="EA447" s="28" t="str">
        <f aca="false">IF(ISNUMBER(AA447),3,"")</f>
        <v/>
      </c>
      <c r="EB447" s="28" t="str">
        <f aca="false">IF(ISNUMBER(AE447),4,"")</f>
        <v/>
      </c>
      <c r="EC447" s="28" t="str">
        <f aca="false">IF(ISNUMBER(AI447),5,"")</f>
        <v/>
      </c>
      <c r="ED447" s="28" t="str">
        <f aca="false">IF(ISNUMBER(AM447),6,"")</f>
        <v/>
      </c>
      <c r="EE447" s="28" t="str">
        <f aca="false">IF(ISNUMBER(AQ447),7,"")</f>
        <v/>
      </c>
      <c r="EF447" s="28" t="str">
        <f aca="false">IF(ISNUMBER(AU447),8,"")</f>
        <v/>
      </c>
      <c r="EG447" s="28" t="str">
        <f aca="false">IF(ISNUMBER(AY447),9,"")</f>
        <v/>
      </c>
      <c r="EH447" s="28" t="str">
        <f aca="false">IF(ISNUMBER(BC447),10,"")</f>
        <v/>
      </c>
      <c r="EI447" s="28" t="str">
        <f aca="false">IF(ISNUMBER(BG447),11,"")</f>
        <v/>
      </c>
      <c r="EJ447" s="28" t="str">
        <f aca="false">IF(ISNUMBER(BK447),12,"")</f>
        <v/>
      </c>
      <c r="EK447" s="28" t="str">
        <f aca="false">IF(ISNUMBER(BO447),13,"")</f>
        <v/>
      </c>
      <c r="EL447" s="28" t="str">
        <f aca="false">IF(ISNUMBER(BS447),14,"")</f>
        <v/>
      </c>
      <c r="EM447" s="28" t="n">
        <f aca="false">IF(ISNUMBER(R447),R447*CW447,0)</f>
        <v>0</v>
      </c>
      <c r="EN447" s="28" t="n">
        <f aca="false">IF(ISNUMBER(V447),V447*CX447,0)</f>
        <v>0</v>
      </c>
      <c r="EO447" s="28" t="n">
        <f aca="false">IF(ISNUMBER(Z447),Z447*CY447,0)</f>
        <v>0</v>
      </c>
      <c r="EP447" s="28" t="n">
        <f aca="false">IF(ISNUMBER(AD447),AD447*CZ447,0)</f>
        <v>0</v>
      </c>
      <c r="EQ447" s="28" t="n">
        <f aca="false">IF(ISNUMBER(AH447),AH447*DA447,0)</f>
        <v>0</v>
      </c>
      <c r="ER447" s="28" t="n">
        <f aca="false">IF(ISNUMBER(AL447),AL447*DB447,0)</f>
        <v>0</v>
      </c>
      <c r="ES447" s="28" t="n">
        <f aca="false">IF(ISNUMBER(AP447),AP447*DC447,0)</f>
        <v>0</v>
      </c>
      <c r="ET447" s="28" t="n">
        <f aca="false">IF(ISNUMBER(AT447),AT447*DD447,0)</f>
        <v>0</v>
      </c>
      <c r="EU447" s="28" t="n">
        <f aca="false">IF(ISNUMBER(AX447),AX447*DE447,0)</f>
        <v>0</v>
      </c>
      <c r="EV447" s="28" t="n">
        <f aca="false">IF(ISNUMBER(BB447),BB447*DF447,0)</f>
        <v>0</v>
      </c>
      <c r="EW447" s="28" t="n">
        <f aca="false">IF(ISNUMBER(BF447),BF447*DG447,0)</f>
        <v>0</v>
      </c>
      <c r="EX447" s="28" t="n">
        <f aca="false">IF(ISNUMBER(BJ447),BJ447*DH447,0)</f>
        <v>0</v>
      </c>
      <c r="EY447" s="28" t="n">
        <f aca="false">IF(ISNUMBER(BN447),BN447*DI447,0)</f>
        <v>0</v>
      </c>
      <c r="EZ447" s="28" t="n">
        <f aca="false">IF(ISNUMBER(BR447),BR447*DJ447,0)</f>
        <v>0</v>
      </c>
      <c r="FA447" s="28" t="n">
        <f aca="false">IF(ISNUMBER(R447),CW447,0)</f>
        <v>0</v>
      </c>
      <c r="FB447" s="28" t="n">
        <f aca="false">IF(ISNUMBER(V447),CX447,0)</f>
        <v>0</v>
      </c>
      <c r="FC447" s="28" t="n">
        <f aca="false">IF(ISNUMBER(Z447),CY447,0)</f>
        <v>0</v>
      </c>
      <c r="FD447" s="28" t="n">
        <f aca="false">IF(ISNUMBER(AD447),CZ447,0)</f>
        <v>0</v>
      </c>
      <c r="FE447" s="28" t="n">
        <f aca="false">IF(ISNUMBER(AH447),DA447,0)</f>
        <v>0</v>
      </c>
      <c r="FF447" s="28" t="n">
        <f aca="false">IF(ISNUMBER(AL447),DB447,0)</f>
        <v>0</v>
      </c>
      <c r="FG447" s="28" t="n">
        <f aca="false">IF(ISNUMBER(AP447),DC447,0)</f>
        <v>0</v>
      </c>
      <c r="FH447" s="28" t="n">
        <f aca="false">IF(ISNUMBER(AT447),DD447,0)</f>
        <v>0</v>
      </c>
      <c r="FI447" s="28" t="n">
        <f aca="false">IF(ISNUMBER(AX447),DE447,0)</f>
        <v>0</v>
      </c>
      <c r="FJ447" s="28" t="n">
        <f aca="false">IF(ISNUMBER(BB447),DF447,0)</f>
        <v>0</v>
      </c>
      <c r="FK447" s="28" t="n">
        <f aca="false">IF(ISNUMBER(BF447),DG447,0)</f>
        <v>0</v>
      </c>
      <c r="FL447" s="28" t="n">
        <f aca="false">IF(ISNUMBER(BJ447),DH447,0)</f>
        <v>0</v>
      </c>
      <c r="FM447" s="28" t="n">
        <f aca="false">IF(ISNUMBER(BN447),DI447,0)</f>
        <v>0</v>
      </c>
      <c r="FN447" s="28" t="n">
        <f aca="false">IF(ISNUMBER(BR447),DJ447,0)</f>
        <v>0</v>
      </c>
      <c r="FO447" s="28" t="str">
        <f aca="false">IFERROR(INDEX(Lists!$G$2:$G$20,MATCH($I447&amp;"|"&amp;$J447,Lists!$F$2:$F$20,0)),"")</f>
        <v/>
      </c>
    </row>
    <row r="448" customFormat="false" ht="19.5" hidden="false" customHeight="true" outlineLevel="0" collapsed="false">
      <c r="A448" s="29"/>
      <c r="B448" s="29"/>
      <c r="C448" s="30"/>
      <c r="D448" s="30"/>
      <c r="E448" s="31"/>
      <c r="F448" s="30"/>
      <c r="G448" s="30"/>
      <c r="H448" s="32"/>
      <c r="I448" s="33"/>
      <c r="J448" s="32"/>
      <c r="K448" s="34" t="str">
        <f aca="false">IF(OR(M448="",$E448=""),"",M448-$E448)</f>
        <v/>
      </c>
      <c r="L448" s="35" t="str">
        <f aca="false">IF(SUM(FA448:FN448)=0,"",SUM(EM448:EZ448)/SUM(FA448:FN448))</f>
        <v/>
      </c>
      <c r="M448" s="36" t="str">
        <f aca="false">IF(OR(L448="",FO448=""),"",IFERROR(MATCH(L448,INDEX(Boundaries!$B$2:$I$30,MATCH(FO448,Boundaries!$A$2:$A$30,0),0),1)-1,""))</f>
        <v/>
      </c>
      <c r="N448" s="37" t="str">
        <f aca="false">IF(COUNT($DY448:$EL448)&lt;2,"",INDEX($DK448:$DX448,MAX($DY448:$EL448))-INDEX($DK448:$DX448,MIN($DY448:$EL448)))</f>
        <v/>
      </c>
      <c r="O448" s="37" t="str">
        <f aca="false">IF(COUNT($DY448:$EL448)&lt;2,"",INDEX($DK448:$DX448,MAX($DY448:$EL448))-INDEX($DK448:$DX448,LARGE($DY448:$EL448,2)))</f>
        <v/>
      </c>
      <c r="P448" s="38" t="str">
        <f aca="false">IF(K448="","",IF(K448&gt;=0,"On/above target",IF(AND(N448&lt;&gt;"",N448&gt;=0.5),"Improving towards target",IF(AND(O448&lt;&gt;"",O448&lt;=-0.5),"Declining","Stable below target"))))</f>
        <v/>
      </c>
      <c r="Q448" s="39"/>
      <c r="R448" s="40" t="str">
        <f aca="false">IF(OR(Q448="",BU448=""),"",Q448/BU448*100)</f>
        <v/>
      </c>
      <c r="S448" s="41" t="str">
        <f aca="false">IF(R448="","",IFERROR(MATCH(R448,INDEX(Boundaries!$B$2:$I$30,MATCH(CI448,Boundaries!$A$2:$A$30,0),0),1)-1,""))</f>
        <v/>
      </c>
      <c r="T448" s="42" t="str">
        <f aca="false">IF(OR(S448="",$E448=""),"",S448-$E448)</f>
        <v/>
      </c>
      <c r="U448" s="39"/>
      <c r="V448" s="40" t="str">
        <f aca="false">IF(OR(U448="",BV448=""),"",U448/BV448*100)</f>
        <v/>
      </c>
      <c r="W448" s="41" t="str">
        <f aca="false">IF(V448="","",IFERROR(MATCH(V448,INDEX(Boundaries!$B$2:$I$30,MATCH(CJ448,Boundaries!$A$2:$A$30,0),0),1)-1,""))</f>
        <v/>
      </c>
      <c r="X448" s="42" t="str">
        <f aca="false">IF(OR(W448="",$E448=""),"",W448-$E448)</f>
        <v/>
      </c>
      <c r="Y448" s="39"/>
      <c r="Z448" s="40" t="str">
        <f aca="false">IF(OR(Y448="",BW448=""),"",Y448/BW448*100)</f>
        <v/>
      </c>
      <c r="AA448" s="41" t="str">
        <f aca="false">IF(Z448="","",IFERROR(MATCH(Z448,INDEX(Boundaries!$B$2:$I$30,MATCH(CK448,Boundaries!$A$2:$A$30,0),0),1)-1,""))</f>
        <v/>
      </c>
      <c r="AB448" s="42" t="str">
        <f aca="false">IF(OR(AA448="",$E448=""),"",AA448-$E448)</f>
        <v/>
      </c>
      <c r="AC448" s="39"/>
      <c r="AD448" s="40" t="str">
        <f aca="false">IF(OR(AC448="",BX448=""),"",AC448/BX448*100)</f>
        <v/>
      </c>
      <c r="AE448" s="41" t="str">
        <f aca="false">IF(AD448="","",IFERROR(MATCH(AD448,INDEX(Boundaries!$B$2:$I$30,MATCH(CL448,Boundaries!$A$2:$A$30,0),0),1)-1,""))</f>
        <v/>
      </c>
      <c r="AF448" s="42" t="str">
        <f aca="false">IF(OR(AE448="",$E448=""),"",AE448-$E448)</f>
        <v/>
      </c>
      <c r="AG448" s="39"/>
      <c r="AH448" s="40" t="str">
        <f aca="false">IF(OR(AG448="",BY448=""),"",AG448/BY448*100)</f>
        <v/>
      </c>
      <c r="AI448" s="41" t="str">
        <f aca="false">IF(AH448="","",IFERROR(MATCH(AH448,INDEX(Boundaries!$B$2:$I$30,MATCH(CM448,Boundaries!$A$2:$A$30,0),0),1)-1,""))</f>
        <v/>
      </c>
      <c r="AJ448" s="42" t="str">
        <f aca="false">IF(OR(AI448="",$E448=""),"",AI448-$E448)</f>
        <v/>
      </c>
      <c r="AK448" s="39"/>
      <c r="AL448" s="40" t="str">
        <f aca="false">IF(OR(AK448="",BZ448=""),"",AK448/BZ448*100)</f>
        <v/>
      </c>
      <c r="AM448" s="41" t="str">
        <f aca="false">IF(AL448="","",IFERROR(MATCH(AL448,INDEX(Boundaries!$B$2:$I$30,MATCH(CN448,Boundaries!$A$2:$A$30,0),0),1)-1,""))</f>
        <v/>
      </c>
      <c r="AN448" s="42" t="str">
        <f aca="false">IF(OR(AM448="",$E448=""),"",AM448-$E448)</f>
        <v/>
      </c>
      <c r="AO448" s="39"/>
      <c r="AP448" s="40" t="str">
        <f aca="false">IF(OR(AO448="",CA448=""),"",AO448/CA448*100)</f>
        <v/>
      </c>
      <c r="AQ448" s="41" t="str">
        <f aca="false">IF(AP448="","",IFERROR(MATCH(AP448,INDEX(Boundaries!$B$2:$I$30,MATCH(CO448,Boundaries!$A$2:$A$30,0),0),1)-1,""))</f>
        <v/>
      </c>
      <c r="AR448" s="42" t="str">
        <f aca="false">IF(OR(AQ448="",$E448=""),"",AQ448-$E448)</f>
        <v/>
      </c>
      <c r="AS448" s="39"/>
      <c r="AT448" s="40" t="str">
        <f aca="false">IF(OR(AS448="",CB448=""),"",AS448/CB448*100)</f>
        <v/>
      </c>
      <c r="AU448" s="41" t="str">
        <f aca="false">IF(AT448="","",IFERROR(MATCH(AT448,INDEX(Boundaries!$B$2:$I$30,MATCH(CP448,Boundaries!$A$2:$A$30,0),0),1)-1,""))</f>
        <v/>
      </c>
      <c r="AV448" s="42" t="str">
        <f aca="false">IF(OR(AU448="",$E448=""),"",AU448-$E448)</f>
        <v/>
      </c>
      <c r="AW448" s="39"/>
      <c r="AX448" s="40" t="str">
        <f aca="false">IF(OR(AW448="",CC448=""),"",AW448/CC448*100)</f>
        <v/>
      </c>
      <c r="AY448" s="41" t="str">
        <f aca="false">IF(AX448="","",IFERROR(MATCH(AX448,INDEX(Boundaries!$B$2:$I$30,MATCH(CQ448,Boundaries!$A$2:$A$30,0),0),1)-1,""))</f>
        <v/>
      </c>
      <c r="AZ448" s="42" t="str">
        <f aca="false">IF(OR(AY448="",$E448=""),"",AY448-$E448)</f>
        <v/>
      </c>
      <c r="BA448" s="39"/>
      <c r="BB448" s="40" t="str">
        <f aca="false">IF(OR(BA448="",CD448=""),"",BA448/CD448*100)</f>
        <v/>
      </c>
      <c r="BC448" s="41" t="str">
        <f aca="false">IF(BB448="","",IFERROR(MATCH(BB448,INDEX(Boundaries!$B$2:$I$30,MATCH(CR448,Boundaries!$A$2:$A$30,0),0),1)-1,""))</f>
        <v/>
      </c>
      <c r="BD448" s="42" t="str">
        <f aca="false">IF(OR(BC448="",$E448=""),"",BC448-$E448)</f>
        <v/>
      </c>
      <c r="BE448" s="39"/>
      <c r="BF448" s="40" t="str">
        <f aca="false">IF(OR(BE448="",CE448=""),"",BE448/CE448*100)</f>
        <v/>
      </c>
      <c r="BG448" s="41" t="str">
        <f aca="false">IF(BF448="","",IFERROR(MATCH(BF448,INDEX(Boundaries!$B$2:$I$30,MATCH(CS448,Boundaries!$A$2:$A$30,0),0),1)-1,""))</f>
        <v/>
      </c>
      <c r="BH448" s="42" t="str">
        <f aca="false">IF(OR(BG448="",$E448=""),"",BG448-$E448)</f>
        <v/>
      </c>
      <c r="BI448" s="39"/>
      <c r="BJ448" s="40" t="str">
        <f aca="false">IF(OR(BI448="",CF448=""),"",BI448/CF448*100)</f>
        <v/>
      </c>
      <c r="BK448" s="41" t="str">
        <f aca="false">IF(BJ448="","",IFERROR(MATCH(BJ448,INDEX(Boundaries!$B$2:$I$30,MATCH(CT448,Boundaries!$A$2:$A$30,0),0),1)-1,""))</f>
        <v/>
      </c>
      <c r="BL448" s="42" t="str">
        <f aca="false">IF(OR(BK448="",$E448=""),"",BK448-$E448)</f>
        <v/>
      </c>
      <c r="BM448" s="39"/>
      <c r="BN448" s="40" t="str">
        <f aca="false">IF(OR(BM448="",CG448=""),"",BM448/CG448*100)</f>
        <v/>
      </c>
      <c r="BO448" s="41" t="str">
        <f aca="false">IF(BN448="","",IFERROR(MATCH(BN448,INDEX(Boundaries!$B$2:$I$30,MATCH(CU448,Boundaries!$A$2:$A$30,0),0),1)-1,""))</f>
        <v/>
      </c>
      <c r="BP448" s="42" t="str">
        <f aca="false">IF(OR(BO448="",$E448=""),"",BO448-$E448)</f>
        <v/>
      </c>
      <c r="BQ448" s="39"/>
      <c r="BR448" s="40" t="str">
        <f aca="false">IF(OR(BQ448="",CH448=""),"",BQ448/CH448*100)</f>
        <v/>
      </c>
      <c r="BS448" s="41" t="str">
        <f aca="false">IF(BR448="","",IFERROR(MATCH(BR448,INDEX(Boundaries!$B$2:$I$30,MATCH(CV448,Boundaries!$A$2:$A$30,0),0),1)-1,""))</f>
        <v/>
      </c>
      <c r="BT448" s="42" t="str">
        <f aca="false">IF(OR(BS448="",$E448=""),"",BS448-$E448)</f>
        <v/>
      </c>
      <c r="BU448" s="28" t="str">
        <f aca="false">IFERROR(INDEX(Assessments!$H$2:$H$600,MATCH($H448&amp;"|"&amp;$I448&amp;"|"&amp;$J448&amp;"|"&amp;1,Assessments!$A$2:$A$600,0)),"")</f>
        <v/>
      </c>
      <c r="BV448" s="28" t="str">
        <f aca="false">IFERROR(INDEX(Assessments!$H$2:$H$600,MATCH($H448&amp;"|"&amp;$I448&amp;"|"&amp;$J448&amp;"|"&amp;2,Assessments!$A$2:$A$600,0)),"")</f>
        <v/>
      </c>
      <c r="BW448" s="28" t="str">
        <f aca="false">IFERROR(INDEX(Assessments!$H$2:$H$600,MATCH($H448&amp;"|"&amp;$I448&amp;"|"&amp;$J448&amp;"|"&amp;3,Assessments!$A$2:$A$600,0)),"")</f>
        <v/>
      </c>
      <c r="BX448" s="28" t="str">
        <f aca="false">IFERROR(INDEX(Assessments!$H$2:$H$600,MATCH($H448&amp;"|"&amp;$I448&amp;"|"&amp;$J448&amp;"|"&amp;4,Assessments!$A$2:$A$600,0)),"")</f>
        <v/>
      </c>
      <c r="BY448" s="28" t="str">
        <f aca="false">IFERROR(INDEX(Assessments!$H$2:$H$600,MATCH($H448&amp;"|"&amp;$I448&amp;"|"&amp;$J448&amp;"|"&amp;5,Assessments!$A$2:$A$600,0)),"")</f>
        <v/>
      </c>
      <c r="BZ448" s="28" t="str">
        <f aca="false">IFERROR(INDEX(Assessments!$H$2:$H$600,MATCH($H448&amp;"|"&amp;$I448&amp;"|"&amp;$J448&amp;"|"&amp;6,Assessments!$A$2:$A$600,0)),"")</f>
        <v/>
      </c>
      <c r="CA448" s="28" t="str">
        <f aca="false">IFERROR(INDEX(Assessments!$H$2:$H$600,MATCH($H448&amp;"|"&amp;$I448&amp;"|"&amp;$J448&amp;"|"&amp;7,Assessments!$A$2:$A$600,0)),"")</f>
        <v/>
      </c>
      <c r="CB448" s="28" t="str">
        <f aca="false">IFERROR(INDEX(Assessments!$H$2:$H$600,MATCH($H448&amp;"|"&amp;$I448&amp;"|"&amp;$J448&amp;"|"&amp;8,Assessments!$A$2:$A$600,0)),"")</f>
        <v/>
      </c>
      <c r="CC448" s="28" t="str">
        <f aca="false">IFERROR(INDEX(Assessments!$H$2:$H$600,MATCH($H448&amp;"|"&amp;$I448&amp;"|"&amp;$J448&amp;"|"&amp;9,Assessments!$A$2:$A$600,0)),"")</f>
        <v/>
      </c>
      <c r="CD448" s="28" t="str">
        <f aca="false">IFERROR(INDEX(Assessments!$H$2:$H$600,MATCH($H448&amp;"|"&amp;$I448&amp;"|"&amp;$J448&amp;"|"&amp;10,Assessments!$A$2:$A$600,0)),"")</f>
        <v/>
      </c>
      <c r="CE448" s="28" t="str">
        <f aca="false">IFERROR(INDEX(Assessments!$H$2:$H$600,MATCH($H448&amp;"|"&amp;$I448&amp;"|"&amp;$J448&amp;"|"&amp;11,Assessments!$A$2:$A$600,0)),"")</f>
        <v/>
      </c>
      <c r="CF448" s="28" t="str">
        <f aca="false">IFERROR(INDEX(Assessments!$H$2:$H$600,MATCH($H448&amp;"|"&amp;$I448&amp;"|"&amp;$J448&amp;"|"&amp;12,Assessments!$A$2:$A$600,0)),"")</f>
        <v/>
      </c>
      <c r="CG448" s="28" t="str">
        <f aca="false">IFERROR(INDEX(Assessments!$H$2:$H$600,MATCH($H448&amp;"|"&amp;$I448&amp;"|"&amp;$J448&amp;"|"&amp;13,Assessments!$A$2:$A$600,0)),"")</f>
        <v/>
      </c>
      <c r="CH448" s="28" t="str">
        <f aca="false">IFERROR(INDEX(Assessments!$H$2:$H$600,MATCH($H448&amp;"|"&amp;$I448&amp;"|"&amp;$J448&amp;"|"&amp;14,Assessments!$A$2:$A$600,0)),"")</f>
        <v/>
      </c>
      <c r="CI448" s="28" t="str">
        <f aca="false">IFERROR(INDEX(Assessments!$I$2:$I$600,MATCH($H448&amp;"|"&amp;$I448&amp;"|"&amp;$J448&amp;"|"&amp;1,Assessments!$A$2:$A$600,0)),"")</f>
        <v/>
      </c>
      <c r="CJ448" s="28" t="str">
        <f aca="false">IFERROR(INDEX(Assessments!$I$2:$I$600,MATCH($H448&amp;"|"&amp;$I448&amp;"|"&amp;$J448&amp;"|"&amp;2,Assessments!$A$2:$A$600,0)),"")</f>
        <v/>
      </c>
      <c r="CK448" s="28" t="str">
        <f aca="false">IFERROR(INDEX(Assessments!$I$2:$I$600,MATCH($H448&amp;"|"&amp;$I448&amp;"|"&amp;$J448&amp;"|"&amp;3,Assessments!$A$2:$A$600,0)),"")</f>
        <v/>
      </c>
      <c r="CL448" s="28" t="str">
        <f aca="false">IFERROR(INDEX(Assessments!$I$2:$I$600,MATCH($H448&amp;"|"&amp;$I448&amp;"|"&amp;$J448&amp;"|"&amp;4,Assessments!$A$2:$A$600,0)),"")</f>
        <v/>
      </c>
      <c r="CM448" s="28" t="str">
        <f aca="false">IFERROR(INDEX(Assessments!$I$2:$I$600,MATCH($H448&amp;"|"&amp;$I448&amp;"|"&amp;$J448&amp;"|"&amp;5,Assessments!$A$2:$A$600,0)),"")</f>
        <v/>
      </c>
      <c r="CN448" s="28" t="str">
        <f aca="false">IFERROR(INDEX(Assessments!$I$2:$I$600,MATCH($H448&amp;"|"&amp;$I448&amp;"|"&amp;$J448&amp;"|"&amp;6,Assessments!$A$2:$A$600,0)),"")</f>
        <v/>
      </c>
      <c r="CO448" s="28" t="str">
        <f aca="false">IFERROR(INDEX(Assessments!$I$2:$I$600,MATCH($H448&amp;"|"&amp;$I448&amp;"|"&amp;$J448&amp;"|"&amp;7,Assessments!$A$2:$A$600,0)),"")</f>
        <v/>
      </c>
      <c r="CP448" s="28" t="str">
        <f aca="false">IFERROR(INDEX(Assessments!$I$2:$I$600,MATCH($H448&amp;"|"&amp;$I448&amp;"|"&amp;$J448&amp;"|"&amp;8,Assessments!$A$2:$A$600,0)),"")</f>
        <v/>
      </c>
      <c r="CQ448" s="28" t="str">
        <f aca="false">IFERROR(INDEX(Assessments!$I$2:$I$600,MATCH($H448&amp;"|"&amp;$I448&amp;"|"&amp;$J448&amp;"|"&amp;9,Assessments!$A$2:$A$600,0)),"")</f>
        <v/>
      </c>
      <c r="CR448" s="28" t="str">
        <f aca="false">IFERROR(INDEX(Assessments!$I$2:$I$600,MATCH($H448&amp;"|"&amp;$I448&amp;"|"&amp;$J448&amp;"|"&amp;10,Assessments!$A$2:$A$600,0)),"")</f>
        <v/>
      </c>
      <c r="CS448" s="28" t="str">
        <f aca="false">IFERROR(INDEX(Assessments!$I$2:$I$600,MATCH($H448&amp;"|"&amp;$I448&amp;"|"&amp;$J448&amp;"|"&amp;11,Assessments!$A$2:$A$600,0)),"")</f>
        <v/>
      </c>
      <c r="CT448" s="28" t="str">
        <f aca="false">IFERROR(INDEX(Assessments!$I$2:$I$600,MATCH($H448&amp;"|"&amp;$I448&amp;"|"&amp;$J448&amp;"|"&amp;12,Assessments!$A$2:$A$600,0)),"")</f>
        <v/>
      </c>
      <c r="CU448" s="28" t="str">
        <f aca="false">IFERROR(INDEX(Assessments!$I$2:$I$600,MATCH($H448&amp;"|"&amp;$I448&amp;"|"&amp;$J448&amp;"|"&amp;13,Assessments!$A$2:$A$600,0)),"")</f>
        <v/>
      </c>
      <c r="CV448" s="28" t="str">
        <f aca="false">IFERROR(INDEX(Assessments!$I$2:$I$600,MATCH($H448&amp;"|"&amp;$I448&amp;"|"&amp;$J448&amp;"|"&amp;14,Assessments!$A$2:$A$600,0)),"")</f>
        <v/>
      </c>
      <c r="CW448" s="28" t="n">
        <f aca="false">IFERROR(INDEX(Assessments!$J$2:$J$600,MATCH($H448&amp;"|"&amp;$I448&amp;"|"&amp;$J448&amp;"|"&amp;1,Assessments!$A$2:$A$600,0)),0)</f>
        <v>0</v>
      </c>
      <c r="CX448" s="28" t="n">
        <f aca="false">IFERROR(INDEX(Assessments!$J$2:$J$600,MATCH($H448&amp;"|"&amp;$I448&amp;"|"&amp;$J448&amp;"|"&amp;2,Assessments!$A$2:$A$600,0)),0)</f>
        <v>0</v>
      </c>
      <c r="CY448" s="28" t="n">
        <f aca="false">IFERROR(INDEX(Assessments!$J$2:$J$600,MATCH($H448&amp;"|"&amp;$I448&amp;"|"&amp;$J448&amp;"|"&amp;3,Assessments!$A$2:$A$600,0)),0)</f>
        <v>0</v>
      </c>
      <c r="CZ448" s="28" t="n">
        <f aca="false">IFERROR(INDEX(Assessments!$J$2:$J$600,MATCH($H448&amp;"|"&amp;$I448&amp;"|"&amp;$J448&amp;"|"&amp;4,Assessments!$A$2:$A$600,0)),0)</f>
        <v>0</v>
      </c>
      <c r="DA448" s="28" t="n">
        <f aca="false">IFERROR(INDEX(Assessments!$J$2:$J$600,MATCH($H448&amp;"|"&amp;$I448&amp;"|"&amp;$J448&amp;"|"&amp;5,Assessments!$A$2:$A$600,0)),0)</f>
        <v>0</v>
      </c>
      <c r="DB448" s="28" t="n">
        <f aca="false">IFERROR(INDEX(Assessments!$J$2:$J$600,MATCH($H448&amp;"|"&amp;$I448&amp;"|"&amp;$J448&amp;"|"&amp;6,Assessments!$A$2:$A$600,0)),0)</f>
        <v>0</v>
      </c>
      <c r="DC448" s="28" t="n">
        <f aca="false">IFERROR(INDEX(Assessments!$J$2:$J$600,MATCH($H448&amp;"|"&amp;$I448&amp;"|"&amp;$J448&amp;"|"&amp;7,Assessments!$A$2:$A$600,0)),0)</f>
        <v>0</v>
      </c>
      <c r="DD448" s="28" t="n">
        <f aca="false">IFERROR(INDEX(Assessments!$J$2:$J$600,MATCH($H448&amp;"|"&amp;$I448&amp;"|"&amp;$J448&amp;"|"&amp;8,Assessments!$A$2:$A$600,0)),0)</f>
        <v>0</v>
      </c>
      <c r="DE448" s="28" t="n">
        <f aca="false">IFERROR(INDEX(Assessments!$J$2:$J$600,MATCH($H448&amp;"|"&amp;$I448&amp;"|"&amp;$J448&amp;"|"&amp;9,Assessments!$A$2:$A$600,0)),0)</f>
        <v>0</v>
      </c>
      <c r="DF448" s="28" t="n">
        <f aca="false">IFERROR(INDEX(Assessments!$J$2:$J$600,MATCH($H448&amp;"|"&amp;$I448&amp;"|"&amp;$J448&amp;"|"&amp;10,Assessments!$A$2:$A$600,0)),0)</f>
        <v>0</v>
      </c>
      <c r="DG448" s="28" t="n">
        <f aca="false">IFERROR(INDEX(Assessments!$J$2:$J$600,MATCH($H448&amp;"|"&amp;$I448&amp;"|"&amp;$J448&amp;"|"&amp;11,Assessments!$A$2:$A$600,0)),0)</f>
        <v>0</v>
      </c>
      <c r="DH448" s="28" t="n">
        <f aca="false">IFERROR(INDEX(Assessments!$J$2:$J$600,MATCH($H448&amp;"|"&amp;$I448&amp;"|"&amp;$J448&amp;"|"&amp;12,Assessments!$A$2:$A$600,0)),0)</f>
        <v>0</v>
      </c>
      <c r="DI448" s="28" t="n">
        <f aca="false">IFERROR(INDEX(Assessments!$J$2:$J$600,MATCH($H448&amp;"|"&amp;$I448&amp;"|"&amp;$J448&amp;"|"&amp;13,Assessments!$A$2:$A$600,0)),0)</f>
        <v>0</v>
      </c>
      <c r="DJ448" s="28" t="n">
        <f aca="false">IFERROR(INDEX(Assessments!$J$2:$J$600,MATCH($H448&amp;"|"&amp;$I448&amp;"|"&amp;$J448&amp;"|"&amp;14,Assessments!$A$2:$A$600,0)),0)</f>
        <v>0</v>
      </c>
      <c r="DK448" s="28" t="str">
        <f aca="false">S448</f>
        <v/>
      </c>
      <c r="DL448" s="28" t="str">
        <f aca="false">W448</f>
        <v/>
      </c>
      <c r="DM448" s="28" t="str">
        <f aca="false">AA448</f>
        <v/>
      </c>
      <c r="DN448" s="28" t="str">
        <f aca="false">AE448</f>
        <v/>
      </c>
      <c r="DO448" s="28" t="str">
        <f aca="false">AI448</f>
        <v/>
      </c>
      <c r="DP448" s="28" t="str">
        <f aca="false">AM448</f>
        <v/>
      </c>
      <c r="DQ448" s="28" t="str">
        <f aca="false">AQ448</f>
        <v/>
      </c>
      <c r="DR448" s="28" t="str">
        <f aca="false">AU448</f>
        <v/>
      </c>
      <c r="DS448" s="28" t="str">
        <f aca="false">AY448</f>
        <v/>
      </c>
      <c r="DT448" s="28" t="str">
        <f aca="false">BC448</f>
        <v/>
      </c>
      <c r="DU448" s="28" t="str">
        <f aca="false">BG448</f>
        <v/>
      </c>
      <c r="DV448" s="28" t="str">
        <f aca="false">BK448</f>
        <v/>
      </c>
      <c r="DW448" s="28" t="str">
        <f aca="false">BO448</f>
        <v/>
      </c>
      <c r="DX448" s="28" t="str">
        <f aca="false">BS448</f>
        <v/>
      </c>
      <c r="DY448" s="28" t="str">
        <f aca="false">IF(ISNUMBER(S448),1,"")</f>
        <v/>
      </c>
      <c r="DZ448" s="28" t="str">
        <f aca="false">IF(ISNUMBER(W448),2,"")</f>
        <v/>
      </c>
      <c r="EA448" s="28" t="str">
        <f aca="false">IF(ISNUMBER(AA448),3,"")</f>
        <v/>
      </c>
      <c r="EB448" s="28" t="str">
        <f aca="false">IF(ISNUMBER(AE448),4,"")</f>
        <v/>
      </c>
      <c r="EC448" s="28" t="str">
        <f aca="false">IF(ISNUMBER(AI448),5,"")</f>
        <v/>
      </c>
      <c r="ED448" s="28" t="str">
        <f aca="false">IF(ISNUMBER(AM448),6,"")</f>
        <v/>
      </c>
      <c r="EE448" s="28" t="str">
        <f aca="false">IF(ISNUMBER(AQ448),7,"")</f>
        <v/>
      </c>
      <c r="EF448" s="28" t="str">
        <f aca="false">IF(ISNUMBER(AU448),8,"")</f>
        <v/>
      </c>
      <c r="EG448" s="28" t="str">
        <f aca="false">IF(ISNUMBER(AY448),9,"")</f>
        <v/>
      </c>
      <c r="EH448" s="28" t="str">
        <f aca="false">IF(ISNUMBER(BC448),10,"")</f>
        <v/>
      </c>
      <c r="EI448" s="28" t="str">
        <f aca="false">IF(ISNUMBER(BG448),11,"")</f>
        <v/>
      </c>
      <c r="EJ448" s="28" t="str">
        <f aca="false">IF(ISNUMBER(BK448),12,"")</f>
        <v/>
      </c>
      <c r="EK448" s="28" t="str">
        <f aca="false">IF(ISNUMBER(BO448),13,"")</f>
        <v/>
      </c>
      <c r="EL448" s="28" t="str">
        <f aca="false">IF(ISNUMBER(BS448),14,"")</f>
        <v/>
      </c>
      <c r="EM448" s="28" t="n">
        <f aca="false">IF(ISNUMBER(R448),R448*CW448,0)</f>
        <v>0</v>
      </c>
      <c r="EN448" s="28" t="n">
        <f aca="false">IF(ISNUMBER(V448),V448*CX448,0)</f>
        <v>0</v>
      </c>
      <c r="EO448" s="28" t="n">
        <f aca="false">IF(ISNUMBER(Z448),Z448*CY448,0)</f>
        <v>0</v>
      </c>
      <c r="EP448" s="28" t="n">
        <f aca="false">IF(ISNUMBER(AD448),AD448*CZ448,0)</f>
        <v>0</v>
      </c>
      <c r="EQ448" s="28" t="n">
        <f aca="false">IF(ISNUMBER(AH448),AH448*DA448,0)</f>
        <v>0</v>
      </c>
      <c r="ER448" s="28" t="n">
        <f aca="false">IF(ISNUMBER(AL448),AL448*DB448,0)</f>
        <v>0</v>
      </c>
      <c r="ES448" s="28" t="n">
        <f aca="false">IF(ISNUMBER(AP448),AP448*DC448,0)</f>
        <v>0</v>
      </c>
      <c r="ET448" s="28" t="n">
        <f aca="false">IF(ISNUMBER(AT448),AT448*DD448,0)</f>
        <v>0</v>
      </c>
      <c r="EU448" s="28" t="n">
        <f aca="false">IF(ISNUMBER(AX448),AX448*DE448,0)</f>
        <v>0</v>
      </c>
      <c r="EV448" s="28" t="n">
        <f aca="false">IF(ISNUMBER(BB448),BB448*DF448,0)</f>
        <v>0</v>
      </c>
      <c r="EW448" s="28" t="n">
        <f aca="false">IF(ISNUMBER(BF448),BF448*DG448,0)</f>
        <v>0</v>
      </c>
      <c r="EX448" s="28" t="n">
        <f aca="false">IF(ISNUMBER(BJ448),BJ448*DH448,0)</f>
        <v>0</v>
      </c>
      <c r="EY448" s="28" t="n">
        <f aca="false">IF(ISNUMBER(BN448),BN448*DI448,0)</f>
        <v>0</v>
      </c>
      <c r="EZ448" s="28" t="n">
        <f aca="false">IF(ISNUMBER(BR448),BR448*DJ448,0)</f>
        <v>0</v>
      </c>
      <c r="FA448" s="28" t="n">
        <f aca="false">IF(ISNUMBER(R448),CW448,0)</f>
        <v>0</v>
      </c>
      <c r="FB448" s="28" t="n">
        <f aca="false">IF(ISNUMBER(V448),CX448,0)</f>
        <v>0</v>
      </c>
      <c r="FC448" s="28" t="n">
        <f aca="false">IF(ISNUMBER(Z448),CY448,0)</f>
        <v>0</v>
      </c>
      <c r="FD448" s="28" t="n">
        <f aca="false">IF(ISNUMBER(AD448),CZ448,0)</f>
        <v>0</v>
      </c>
      <c r="FE448" s="28" t="n">
        <f aca="false">IF(ISNUMBER(AH448),DA448,0)</f>
        <v>0</v>
      </c>
      <c r="FF448" s="28" t="n">
        <f aca="false">IF(ISNUMBER(AL448),DB448,0)</f>
        <v>0</v>
      </c>
      <c r="FG448" s="28" t="n">
        <f aca="false">IF(ISNUMBER(AP448),DC448,0)</f>
        <v>0</v>
      </c>
      <c r="FH448" s="28" t="n">
        <f aca="false">IF(ISNUMBER(AT448),DD448,0)</f>
        <v>0</v>
      </c>
      <c r="FI448" s="28" t="n">
        <f aca="false">IF(ISNUMBER(AX448),DE448,0)</f>
        <v>0</v>
      </c>
      <c r="FJ448" s="28" t="n">
        <f aca="false">IF(ISNUMBER(BB448),DF448,0)</f>
        <v>0</v>
      </c>
      <c r="FK448" s="28" t="n">
        <f aca="false">IF(ISNUMBER(BF448),DG448,0)</f>
        <v>0</v>
      </c>
      <c r="FL448" s="28" t="n">
        <f aca="false">IF(ISNUMBER(BJ448),DH448,0)</f>
        <v>0</v>
      </c>
      <c r="FM448" s="28" t="n">
        <f aca="false">IF(ISNUMBER(BN448),DI448,0)</f>
        <v>0</v>
      </c>
      <c r="FN448" s="28" t="n">
        <f aca="false">IF(ISNUMBER(BR448),DJ448,0)</f>
        <v>0</v>
      </c>
      <c r="FO448" s="28" t="str">
        <f aca="false">IFERROR(INDEX(Lists!$G$2:$G$20,MATCH($I448&amp;"|"&amp;$J448,Lists!$F$2:$F$20,0)),"")</f>
        <v/>
      </c>
    </row>
    <row r="449" customFormat="false" ht="19.5" hidden="false" customHeight="true" outlineLevel="0" collapsed="false">
      <c r="A449" s="29"/>
      <c r="B449" s="29"/>
      <c r="C449" s="30"/>
      <c r="D449" s="30"/>
      <c r="E449" s="31"/>
      <c r="F449" s="30"/>
      <c r="G449" s="30"/>
      <c r="H449" s="32"/>
      <c r="I449" s="33"/>
      <c r="J449" s="32"/>
      <c r="K449" s="34" t="str">
        <f aca="false">IF(OR(M449="",$E449=""),"",M449-$E449)</f>
        <v/>
      </c>
      <c r="L449" s="35" t="str">
        <f aca="false">IF(SUM(FA449:FN449)=0,"",SUM(EM449:EZ449)/SUM(FA449:FN449))</f>
        <v/>
      </c>
      <c r="M449" s="36" t="str">
        <f aca="false">IF(OR(L449="",FO449=""),"",IFERROR(MATCH(L449,INDEX(Boundaries!$B$2:$I$30,MATCH(FO449,Boundaries!$A$2:$A$30,0),0),1)-1,""))</f>
        <v/>
      </c>
      <c r="N449" s="37" t="str">
        <f aca="false">IF(COUNT($DY449:$EL449)&lt;2,"",INDEX($DK449:$DX449,MAX($DY449:$EL449))-INDEX($DK449:$DX449,MIN($DY449:$EL449)))</f>
        <v/>
      </c>
      <c r="O449" s="37" t="str">
        <f aca="false">IF(COUNT($DY449:$EL449)&lt;2,"",INDEX($DK449:$DX449,MAX($DY449:$EL449))-INDEX($DK449:$DX449,LARGE($DY449:$EL449,2)))</f>
        <v/>
      </c>
      <c r="P449" s="38" t="str">
        <f aca="false">IF(K449="","",IF(K449&gt;=0,"On/above target",IF(AND(N449&lt;&gt;"",N449&gt;=0.5),"Improving towards target",IF(AND(O449&lt;&gt;"",O449&lt;=-0.5),"Declining","Stable below target"))))</f>
        <v/>
      </c>
      <c r="Q449" s="39"/>
      <c r="R449" s="40" t="str">
        <f aca="false">IF(OR(Q449="",BU449=""),"",Q449/BU449*100)</f>
        <v/>
      </c>
      <c r="S449" s="41" t="str">
        <f aca="false">IF(R449="","",IFERROR(MATCH(R449,INDEX(Boundaries!$B$2:$I$30,MATCH(CI449,Boundaries!$A$2:$A$30,0),0),1)-1,""))</f>
        <v/>
      </c>
      <c r="T449" s="42" t="str">
        <f aca="false">IF(OR(S449="",$E449=""),"",S449-$E449)</f>
        <v/>
      </c>
      <c r="U449" s="39"/>
      <c r="V449" s="40" t="str">
        <f aca="false">IF(OR(U449="",BV449=""),"",U449/BV449*100)</f>
        <v/>
      </c>
      <c r="W449" s="41" t="str">
        <f aca="false">IF(V449="","",IFERROR(MATCH(V449,INDEX(Boundaries!$B$2:$I$30,MATCH(CJ449,Boundaries!$A$2:$A$30,0),0),1)-1,""))</f>
        <v/>
      </c>
      <c r="X449" s="42" t="str">
        <f aca="false">IF(OR(W449="",$E449=""),"",W449-$E449)</f>
        <v/>
      </c>
      <c r="Y449" s="39"/>
      <c r="Z449" s="40" t="str">
        <f aca="false">IF(OR(Y449="",BW449=""),"",Y449/BW449*100)</f>
        <v/>
      </c>
      <c r="AA449" s="41" t="str">
        <f aca="false">IF(Z449="","",IFERROR(MATCH(Z449,INDEX(Boundaries!$B$2:$I$30,MATCH(CK449,Boundaries!$A$2:$A$30,0),0),1)-1,""))</f>
        <v/>
      </c>
      <c r="AB449" s="42" t="str">
        <f aca="false">IF(OR(AA449="",$E449=""),"",AA449-$E449)</f>
        <v/>
      </c>
      <c r="AC449" s="39"/>
      <c r="AD449" s="40" t="str">
        <f aca="false">IF(OR(AC449="",BX449=""),"",AC449/BX449*100)</f>
        <v/>
      </c>
      <c r="AE449" s="41" t="str">
        <f aca="false">IF(AD449="","",IFERROR(MATCH(AD449,INDEX(Boundaries!$B$2:$I$30,MATCH(CL449,Boundaries!$A$2:$A$30,0),0),1)-1,""))</f>
        <v/>
      </c>
      <c r="AF449" s="42" t="str">
        <f aca="false">IF(OR(AE449="",$E449=""),"",AE449-$E449)</f>
        <v/>
      </c>
      <c r="AG449" s="39"/>
      <c r="AH449" s="40" t="str">
        <f aca="false">IF(OR(AG449="",BY449=""),"",AG449/BY449*100)</f>
        <v/>
      </c>
      <c r="AI449" s="41" t="str">
        <f aca="false">IF(AH449="","",IFERROR(MATCH(AH449,INDEX(Boundaries!$B$2:$I$30,MATCH(CM449,Boundaries!$A$2:$A$30,0),0),1)-1,""))</f>
        <v/>
      </c>
      <c r="AJ449" s="42" t="str">
        <f aca="false">IF(OR(AI449="",$E449=""),"",AI449-$E449)</f>
        <v/>
      </c>
      <c r="AK449" s="39"/>
      <c r="AL449" s="40" t="str">
        <f aca="false">IF(OR(AK449="",BZ449=""),"",AK449/BZ449*100)</f>
        <v/>
      </c>
      <c r="AM449" s="41" t="str">
        <f aca="false">IF(AL449="","",IFERROR(MATCH(AL449,INDEX(Boundaries!$B$2:$I$30,MATCH(CN449,Boundaries!$A$2:$A$30,0),0),1)-1,""))</f>
        <v/>
      </c>
      <c r="AN449" s="42" t="str">
        <f aca="false">IF(OR(AM449="",$E449=""),"",AM449-$E449)</f>
        <v/>
      </c>
      <c r="AO449" s="39"/>
      <c r="AP449" s="40" t="str">
        <f aca="false">IF(OR(AO449="",CA449=""),"",AO449/CA449*100)</f>
        <v/>
      </c>
      <c r="AQ449" s="41" t="str">
        <f aca="false">IF(AP449="","",IFERROR(MATCH(AP449,INDEX(Boundaries!$B$2:$I$30,MATCH(CO449,Boundaries!$A$2:$A$30,0),0),1)-1,""))</f>
        <v/>
      </c>
      <c r="AR449" s="42" t="str">
        <f aca="false">IF(OR(AQ449="",$E449=""),"",AQ449-$E449)</f>
        <v/>
      </c>
      <c r="AS449" s="39"/>
      <c r="AT449" s="40" t="str">
        <f aca="false">IF(OR(AS449="",CB449=""),"",AS449/CB449*100)</f>
        <v/>
      </c>
      <c r="AU449" s="41" t="str">
        <f aca="false">IF(AT449="","",IFERROR(MATCH(AT449,INDEX(Boundaries!$B$2:$I$30,MATCH(CP449,Boundaries!$A$2:$A$30,0),0),1)-1,""))</f>
        <v/>
      </c>
      <c r="AV449" s="42" t="str">
        <f aca="false">IF(OR(AU449="",$E449=""),"",AU449-$E449)</f>
        <v/>
      </c>
      <c r="AW449" s="39"/>
      <c r="AX449" s="40" t="str">
        <f aca="false">IF(OR(AW449="",CC449=""),"",AW449/CC449*100)</f>
        <v/>
      </c>
      <c r="AY449" s="41" t="str">
        <f aca="false">IF(AX449="","",IFERROR(MATCH(AX449,INDEX(Boundaries!$B$2:$I$30,MATCH(CQ449,Boundaries!$A$2:$A$30,0),0),1)-1,""))</f>
        <v/>
      </c>
      <c r="AZ449" s="42" t="str">
        <f aca="false">IF(OR(AY449="",$E449=""),"",AY449-$E449)</f>
        <v/>
      </c>
      <c r="BA449" s="39"/>
      <c r="BB449" s="40" t="str">
        <f aca="false">IF(OR(BA449="",CD449=""),"",BA449/CD449*100)</f>
        <v/>
      </c>
      <c r="BC449" s="41" t="str">
        <f aca="false">IF(BB449="","",IFERROR(MATCH(BB449,INDEX(Boundaries!$B$2:$I$30,MATCH(CR449,Boundaries!$A$2:$A$30,0),0),1)-1,""))</f>
        <v/>
      </c>
      <c r="BD449" s="42" t="str">
        <f aca="false">IF(OR(BC449="",$E449=""),"",BC449-$E449)</f>
        <v/>
      </c>
      <c r="BE449" s="39"/>
      <c r="BF449" s="40" t="str">
        <f aca="false">IF(OR(BE449="",CE449=""),"",BE449/CE449*100)</f>
        <v/>
      </c>
      <c r="BG449" s="41" t="str">
        <f aca="false">IF(BF449="","",IFERROR(MATCH(BF449,INDEX(Boundaries!$B$2:$I$30,MATCH(CS449,Boundaries!$A$2:$A$30,0),0),1)-1,""))</f>
        <v/>
      </c>
      <c r="BH449" s="42" t="str">
        <f aca="false">IF(OR(BG449="",$E449=""),"",BG449-$E449)</f>
        <v/>
      </c>
      <c r="BI449" s="39"/>
      <c r="BJ449" s="40" t="str">
        <f aca="false">IF(OR(BI449="",CF449=""),"",BI449/CF449*100)</f>
        <v/>
      </c>
      <c r="BK449" s="41" t="str">
        <f aca="false">IF(BJ449="","",IFERROR(MATCH(BJ449,INDEX(Boundaries!$B$2:$I$30,MATCH(CT449,Boundaries!$A$2:$A$30,0),0),1)-1,""))</f>
        <v/>
      </c>
      <c r="BL449" s="42" t="str">
        <f aca="false">IF(OR(BK449="",$E449=""),"",BK449-$E449)</f>
        <v/>
      </c>
      <c r="BM449" s="39"/>
      <c r="BN449" s="40" t="str">
        <f aca="false">IF(OR(BM449="",CG449=""),"",BM449/CG449*100)</f>
        <v/>
      </c>
      <c r="BO449" s="41" t="str">
        <f aca="false">IF(BN449="","",IFERROR(MATCH(BN449,INDEX(Boundaries!$B$2:$I$30,MATCH(CU449,Boundaries!$A$2:$A$30,0),0),1)-1,""))</f>
        <v/>
      </c>
      <c r="BP449" s="42" t="str">
        <f aca="false">IF(OR(BO449="",$E449=""),"",BO449-$E449)</f>
        <v/>
      </c>
      <c r="BQ449" s="39"/>
      <c r="BR449" s="40" t="str">
        <f aca="false">IF(OR(BQ449="",CH449=""),"",BQ449/CH449*100)</f>
        <v/>
      </c>
      <c r="BS449" s="41" t="str">
        <f aca="false">IF(BR449="","",IFERROR(MATCH(BR449,INDEX(Boundaries!$B$2:$I$30,MATCH(CV449,Boundaries!$A$2:$A$30,0),0),1)-1,""))</f>
        <v/>
      </c>
      <c r="BT449" s="42" t="str">
        <f aca="false">IF(OR(BS449="",$E449=""),"",BS449-$E449)</f>
        <v/>
      </c>
      <c r="BU449" s="28" t="str">
        <f aca="false">IFERROR(INDEX(Assessments!$H$2:$H$600,MATCH($H449&amp;"|"&amp;$I449&amp;"|"&amp;$J449&amp;"|"&amp;1,Assessments!$A$2:$A$600,0)),"")</f>
        <v/>
      </c>
      <c r="BV449" s="28" t="str">
        <f aca="false">IFERROR(INDEX(Assessments!$H$2:$H$600,MATCH($H449&amp;"|"&amp;$I449&amp;"|"&amp;$J449&amp;"|"&amp;2,Assessments!$A$2:$A$600,0)),"")</f>
        <v/>
      </c>
      <c r="BW449" s="28" t="str">
        <f aca="false">IFERROR(INDEX(Assessments!$H$2:$H$600,MATCH($H449&amp;"|"&amp;$I449&amp;"|"&amp;$J449&amp;"|"&amp;3,Assessments!$A$2:$A$600,0)),"")</f>
        <v/>
      </c>
      <c r="BX449" s="28" t="str">
        <f aca="false">IFERROR(INDEX(Assessments!$H$2:$H$600,MATCH($H449&amp;"|"&amp;$I449&amp;"|"&amp;$J449&amp;"|"&amp;4,Assessments!$A$2:$A$600,0)),"")</f>
        <v/>
      </c>
      <c r="BY449" s="28" t="str">
        <f aca="false">IFERROR(INDEX(Assessments!$H$2:$H$600,MATCH($H449&amp;"|"&amp;$I449&amp;"|"&amp;$J449&amp;"|"&amp;5,Assessments!$A$2:$A$600,0)),"")</f>
        <v/>
      </c>
      <c r="BZ449" s="28" t="str">
        <f aca="false">IFERROR(INDEX(Assessments!$H$2:$H$600,MATCH($H449&amp;"|"&amp;$I449&amp;"|"&amp;$J449&amp;"|"&amp;6,Assessments!$A$2:$A$600,0)),"")</f>
        <v/>
      </c>
      <c r="CA449" s="28" t="str">
        <f aca="false">IFERROR(INDEX(Assessments!$H$2:$H$600,MATCH($H449&amp;"|"&amp;$I449&amp;"|"&amp;$J449&amp;"|"&amp;7,Assessments!$A$2:$A$600,0)),"")</f>
        <v/>
      </c>
      <c r="CB449" s="28" t="str">
        <f aca="false">IFERROR(INDEX(Assessments!$H$2:$H$600,MATCH($H449&amp;"|"&amp;$I449&amp;"|"&amp;$J449&amp;"|"&amp;8,Assessments!$A$2:$A$600,0)),"")</f>
        <v/>
      </c>
      <c r="CC449" s="28" t="str">
        <f aca="false">IFERROR(INDEX(Assessments!$H$2:$H$600,MATCH($H449&amp;"|"&amp;$I449&amp;"|"&amp;$J449&amp;"|"&amp;9,Assessments!$A$2:$A$600,0)),"")</f>
        <v/>
      </c>
      <c r="CD449" s="28" t="str">
        <f aca="false">IFERROR(INDEX(Assessments!$H$2:$H$600,MATCH($H449&amp;"|"&amp;$I449&amp;"|"&amp;$J449&amp;"|"&amp;10,Assessments!$A$2:$A$600,0)),"")</f>
        <v/>
      </c>
      <c r="CE449" s="28" t="str">
        <f aca="false">IFERROR(INDEX(Assessments!$H$2:$H$600,MATCH($H449&amp;"|"&amp;$I449&amp;"|"&amp;$J449&amp;"|"&amp;11,Assessments!$A$2:$A$600,0)),"")</f>
        <v/>
      </c>
      <c r="CF449" s="28" t="str">
        <f aca="false">IFERROR(INDEX(Assessments!$H$2:$H$600,MATCH($H449&amp;"|"&amp;$I449&amp;"|"&amp;$J449&amp;"|"&amp;12,Assessments!$A$2:$A$600,0)),"")</f>
        <v/>
      </c>
      <c r="CG449" s="28" t="str">
        <f aca="false">IFERROR(INDEX(Assessments!$H$2:$H$600,MATCH($H449&amp;"|"&amp;$I449&amp;"|"&amp;$J449&amp;"|"&amp;13,Assessments!$A$2:$A$600,0)),"")</f>
        <v/>
      </c>
      <c r="CH449" s="28" t="str">
        <f aca="false">IFERROR(INDEX(Assessments!$H$2:$H$600,MATCH($H449&amp;"|"&amp;$I449&amp;"|"&amp;$J449&amp;"|"&amp;14,Assessments!$A$2:$A$600,0)),"")</f>
        <v/>
      </c>
      <c r="CI449" s="28" t="str">
        <f aca="false">IFERROR(INDEX(Assessments!$I$2:$I$600,MATCH($H449&amp;"|"&amp;$I449&amp;"|"&amp;$J449&amp;"|"&amp;1,Assessments!$A$2:$A$600,0)),"")</f>
        <v/>
      </c>
      <c r="CJ449" s="28" t="str">
        <f aca="false">IFERROR(INDEX(Assessments!$I$2:$I$600,MATCH($H449&amp;"|"&amp;$I449&amp;"|"&amp;$J449&amp;"|"&amp;2,Assessments!$A$2:$A$600,0)),"")</f>
        <v/>
      </c>
      <c r="CK449" s="28" t="str">
        <f aca="false">IFERROR(INDEX(Assessments!$I$2:$I$600,MATCH($H449&amp;"|"&amp;$I449&amp;"|"&amp;$J449&amp;"|"&amp;3,Assessments!$A$2:$A$600,0)),"")</f>
        <v/>
      </c>
      <c r="CL449" s="28" t="str">
        <f aca="false">IFERROR(INDEX(Assessments!$I$2:$I$600,MATCH($H449&amp;"|"&amp;$I449&amp;"|"&amp;$J449&amp;"|"&amp;4,Assessments!$A$2:$A$600,0)),"")</f>
        <v/>
      </c>
      <c r="CM449" s="28" t="str">
        <f aca="false">IFERROR(INDEX(Assessments!$I$2:$I$600,MATCH($H449&amp;"|"&amp;$I449&amp;"|"&amp;$J449&amp;"|"&amp;5,Assessments!$A$2:$A$600,0)),"")</f>
        <v/>
      </c>
      <c r="CN449" s="28" t="str">
        <f aca="false">IFERROR(INDEX(Assessments!$I$2:$I$600,MATCH($H449&amp;"|"&amp;$I449&amp;"|"&amp;$J449&amp;"|"&amp;6,Assessments!$A$2:$A$600,0)),"")</f>
        <v/>
      </c>
      <c r="CO449" s="28" t="str">
        <f aca="false">IFERROR(INDEX(Assessments!$I$2:$I$600,MATCH($H449&amp;"|"&amp;$I449&amp;"|"&amp;$J449&amp;"|"&amp;7,Assessments!$A$2:$A$600,0)),"")</f>
        <v/>
      </c>
      <c r="CP449" s="28" t="str">
        <f aca="false">IFERROR(INDEX(Assessments!$I$2:$I$600,MATCH($H449&amp;"|"&amp;$I449&amp;"|"&amp;$J449&amp;"|"&amp;8,Assessments!$A$2:$A$600,0)),"")</f>
        <v/>
      </c>
      <c r="CQ449" s="28" t="str">
        <f aca="false">IFERROR(INDEX(Assessments!$I$2:$I$600,MATCH($H449&amp;"|"&amp;$I449&amp;"|"&amp;$J449&amp;"|"&amp;9,Assessments!$A$2:$A$600,0)),"")</f>
        <v/>
      </c>
      <c r="CR449" s="28" t="str">
        <f aca="false">IFERROR(INDEX(Assessments!$I$2:$I$600,MATCH($H449&amp;"|"&amp;$I449&amp;"|"&amp;$J449&amp;"|"&amp;10,Assessments!$A$2:$A$600,0)),"")</f>
        <v/>
      </c>
      <c r="CS449" s="28" t="str">
        <f aca="false">IFERROR(INDEX(Assessments!$I$2:$I$600,MATCH($H449&amp;"|"&amp;$I449&amp;"|"&amp;$J449&amp;"|"&amp;11,Assessments!$A$2:$A$600,0)),"")</f>
        <v/>
      </c>
      <c r="CT449" s="28" t="str">
        <f aca="false">IFERROR(INDEX(Assessments!$I$2:$I$600,MATCH($H449&amp;"|"&amp;$I449&amp;"|"&amp;$J449&amp;"|"&amp;12,Assessments!$A$2:$A$600,0)),"")</f>
        <v/>
      </c>
      <c r="CU449" s="28" t="str">
        <f aca="false">IFERROR(INDEX(Assessments!$I$2:$I$600,MATCH($H449&amp;"|"&amp;$I449&amp;"|"&amp;$J449&amp;"|"&amp;13,Assessments!$A$2:$A$600,0)),"")</f>
        <v/>
      </c>
      <c r="CV449" s="28" t="str">
        <f aca="false">IFERROR(INDEX(Assessments!$I$2:$I$600,MATCH($H449&amp;"|"&amp;$I449&amp;"|"&amp;$J449&amp;"|"&amp;14,Assessments!$A$2:$A$600,0)),"")</f>
        <v/>
      </c>
      <c r="CW449" s="28" t="n">
        <f aca="false">IFERROR(INDEX(Assessments!$J$2:$J$600,MATCH($H449&amp;"|"&amp;$I449&amp;"|"&amp;$J449&amp;"|"&amp;1,Assessments!$A$2:$A$600,0)),0)</f>
        <v>0</v>
      </c>
      <c r="CX449" s="28" t="n">
        <f aca="false">IFERROR(INDEX(Assessments!$J$2:$J$600,MATCH($H449&amp;"|"&amp;$I449&amp;"|"&amp;$J449&amp;"|"&amp;2,Assessments!$A$2:$A$600,0)),0)</f>
        <v>0</v>
      </c>
      <c r="CY449" s="28" t="n">
        <f aca="false">IFERROR(INDEX(Assessments!$J$2:$J$600,MATCH($H449&amp;"|"&amp;$I449&amp;"|"&amp;$J449&amp;"|"&amp;3,Assessments!$A$2:$A$600,0)),0)</f>
        <v>0</v>
      </c>
      <c r="CZ449" s="28" t="n">
        <f aca="false">IFERROR(INDEX(Assessments!$J$2:$J$600,MATCH($H449&amp;"|"&amp;$I449&amp;"|"&amp;$J449&amp;"|"&amp;4,Assessments!$A$2:$A$600,0)),0)</f>
        <v>0</v>
      </c>
      <c r="DA449" s="28" t="n">
        <f aca="false">IFERROR(INDEX(Assessments!$J$2:$J$600,MATCH($H449&amp;"|"&amp;$I449&amp;"|"&amp;$J449&amp;"|"&amp;5,Assessments!$A$2:$A$600,0)),0)</f>
        <v>0</v>
      </c>
      <c r="DB449" s="28" t="n">
        <f aca="false">IFERROR(INDEX(Assessments!$J$2:$J$600,MATCH($H449&amp;"|"&amp;$I449&amp;"|"&amp;$J449&amp;"|"&amp;6,Assessments!$A$2:$A$600,0)),0)</f>
        <v>0</v>
      </c>
      <c r="DC449" s="28" t="n">
        <f aca="false">IFERROR(INDEX(Assessments!$J$2:$J$600,MATCH($H449&amp;"|"&amp;$I449&amp;"|"&amp;$J449&amp;"|"&amp;7,Assessments!$A$2:$A$600,0)),0)</f>
        <v>0</v>
      </c>
      <c r="DD449" s="28" t="n">
        <f aca="false">IFERROR(INDEX(Assessments!$J$2:$J$600,MATCH($H449&amp;"|"&amp;$I449&amp;"|"&amp;$J449&amp;"|"&amp;8,Assessments!$A$2:$A$600,0)),0)</f>
        <v>0</v>
      </c>
      <c r="DE449" s="28" t="n">
        <f aca="false">IFERROR(INDEX(Assessments!$J$2:$J$600,MATCH($H449&amp;"|"&amp;$I449&amp;"|"&amp;$J449&amp;"|"&amp;9,Assessments!$A$2:$A$600,0)),0)</f>
        <v>0</v>
      </c>
      <c r="DF449" s="28" t="n">
        <f aca="false">IFERROR(INDEX(Assessments!$J$2:$J$600,MATCH($H449&amp;"|"&amp;$I449&amp;"|"&amp;$J449&amp;"|"&amp;10,Assessments!$A$2:$A$600,0)),0)</f>
        <v>0</v>
      </c>
      <c r="DG449" s="28" t="n">
        <f aca="false">IFERROR(INDEX(Assessments!$J$2:$J$600,MATCH($H449&amp;"|"&amp;$I449&amp;"|"&amp;$J449&amp;"|"&amp;11,Assessments!$A$2:$A$600,0)),0)</f>
        <v>0</v>
      </c>
      <c r="DH449" s="28" t="n">
        <f aca="false">IFERROR(INDEX(Assessments!$J$2:$J$600,MATCH($H449&amp;"|"&amp;$I449&amp;"|"&amp;$J449&amp;"|"&amp;12,Assessments!$A$2:$A$600,0)),0)</f>
        <v>0</v>
      </c>
      <c r="DI449" s="28" t="n">
        <f aca="false">IFERROR(INDEX(Assessments!$J$2:$J$600,MATCH($H449&amp;"|"&amp;$I449&amp;"|"&amp;$J449&amp;"|"&amp;13,Assessments!$A$2:$A$600,0)),0)</f>
        <v>0</v>
      </c>
      <c r="DJ449" s="28" t="n">
        <f aca="false">IFERROR(INDEX(Assessments!$J$2:$J$600,MATCH($H449&amp;"|"&amp;$I449&amp;"|"&amp;$J449&amp;"|"&amp;14,Assessments!$A$2:$A$600,0)),0)</f>
        <v>0</v>
      </c>
      <c r="DK449" s="28" t="str">
        <f aca="false">S449</f>
        <v/>
      </c>
      <c r="DL449" s="28" t="str">
        <f aca="false">W449</f>
        <v/>
      </c>
      <c r="DM449" s="28" t="str">
        <f aca="false">AA449</f>
        <v/>
      </c>
      <c r="DN449" s="28" t="str">
        <f aca="false">AE449</f>
        <v/>
      </c>
      <c r="DO449" s="28" t="str">
        <f aca="false">AI449</f>
        <v/>
      </c>
      <c r="DP449" s="28" t="str">
        <f aca="false">AM449</f>
        <v/>
      </c>
      <c r="DQ449" s="28" t="str">
        <f aca="false">AQ449</f>
        <v/>
      </c>
      <c r="DR449" s="28" t="str">
        <f aca="false">AU449</f>
        <v/>
      </c>
      <c r="DS449" s="28" t="str">
        <f aca="false">AY449</f>
        <v/>
      </c>
      <c r="DT449" s="28" t="str">
        <f aca="false">BC449</f>
        <v/>
      </c>
      <c r="DU449" s="28" t="str">
        <f aca="false">BG449</f>
        <v/>
      </c>
      <c r="DV449" s="28" t="str">
        <f aca="false">BK449</f>
        <v/>
      </c>
      <c r="DW449" s="28" t="str">
        <f aca="false">BO449</f>
        <v/>
      </c>
      <c r="DX449" s="28" t="str">
        <f aca="false">BS449</f>
        <v/>
      </c>
      <c r="DY449" s="28" t="str">
        <f aca="false">IF(ISNUMBER(S449),1,"")</f>
        <v/>
      </c>
      <c r="DZ449" s="28" t="str">
        <f aca="false">IF(ISNUMBER(W449),2,"")</f>
        <v/>
      </c>
      <c r="EA449" s="28" t="str">
        <f aca="false">IF(ISNUMBER(AA449),3,"")</f>
        <v/>
      </c>
      <c r="EB449" s="28" t="str">
        <f aca="false">IF(ISNUMBER(AE449),4,"")</f>
        <v/>
      </c>
      <c r="EC449" s="28" t="str">
        <f aca="false">IF(ISNUMBER(AI449),5,"")</f>
        <v/>
      </c>
      <c r="ED449" s="28" t="str">
        <f aca="false">IF(ISNUMBER(AM449),6,"")</f>
        <v/>
      </c>
      <c r="EE449" s="28" t="str">
        <f aca="false">IF(ISNUMBER(AQ449),7,"")</f>
        <v/>
      </c>
      <c r="EF449" s="28" t="str">
        <f aca="false">IF(ISNUMBER(AU449),8,"")</f>
        <v/>
      </c>
      <c r="EG449" s="28" t="str">
        <f aca="false">IF(ISNUMBER(AY449),9,"")</f>
        <v/>
      </c>
      <c r="EH449" s="28" t="str">
        <f aca="false">IF(ISNUMBER(BC449),10,"")</f>
        <v/>
      </c>
      <c r="EI449" s="28" t="str">
        <f aca="false">IF(ISNUMBER(BG449),11,"")</f>
        <v/>
      </c>
      <c r="EJ449" s="28" t="str">
        <f aca="false">IF(ISNUMBER(BK449),12,"")</f>
        <v/>
      </c>
      <c r="EK449" s="28" t="str">
        <f aca="false">IF(ISNUMBER(BO449),13,"")</f>
        <v/>
      </c>
      <c r="EL449" s="28" t="str">
        <f aca="false">IF(ISNUMBER(BS449),14,"")</f>
        <v/>
      </c>
      <c r="EM449" s="28" t="n">
        <f aca="false">IF(ISNUMBER(R449),R449*CW449,0)</f>
        <v>0</v>
      </c>
      <c r="EN449" s="28" t="n">
        <f aca="false">IF(ISNUMBER(V449),V449*CX449,0)</f>
        <v>0</v>
      </c>
      <c r="EO449" s="28" t="n">
        <f aca="false">IF(ISNUMBER(Z449),Z449*CY449,0)</f>
        <v>0</v>
      </c>
      <c r="EP449" s="28" t="n">
        <f aca="false">IF(ISNUMBER(AD449),AD449*CZ449,0)</f>
        <v>0</v>
      </c>
      <c r="EQ449" s="28" t="n">
        <f aca="false">IF(ISNUMBER(AH449),AH449*DA449,0)</f>
        <v>0</v>
      </c>
      <c r="ER449" s="28" t="n">
        <f aca="false">IF(ISNUMBER(AL449),AL449*DB449,0)</f>
        <v>0</v>
      </c>
      <c r="ES449" s="28" t="n">
        <f aca="false">IF(ISNUMBER(AP449),AP449*DC449,0)</f>
        <v>0</v>
      </c>
      <c r="ET449" s="28" t="n">
        <f aca="false">IF(ISNUMBER(AT449),AT449*DD449,0)</f>
        <v>0</v>
      </c>
      <c r="EU449" s="28" t="n">
        <f aca="false">IF(ISNUMBER(AX449),AX449*DE449,0)</f>
        <v>0</v>
      </c>
      <c r="EV449" s="28" t="n">
        <f aca="false">IF(ISNUMBER(BB449),BB449*DF449,0)</f>
        <v>0</v>
      </c>
      <c r="EW449" s="28" t="n">
        <f aca="false">IF(ISNUMBER(BF449),BF449*DG449,0)</f>
        <v>0</v>
      </c>
      <c r="EX449" s="28" t="n">
        <f aca="false">IF(ISNUMBER(BJ449),BJ449*DH449,0)</f>
        <v>0</v>
      </c>
      <c r="EY449" s="28" t="n">
        <f aca="false">IF(ISNUMBER(BN449),BN449*DI449,0)</f>
        <v>0</v>
      </c>
      <c r="EZ449" s="28" t="n">
        <f aca="false">IF(ISNUMBER(BR449),BR449*DJ449,0)</f>
        <v>0</v>
      </c>
      <c r="FA449" s="28" t="n">
        <f aca="false">IF(ISNUMBER(R449),CW449,0)</f>
        <v>0</v>
      </c>
      <c r="FB449" s="28" t="n">
        <f aca="false">IF(ISNUMBER(V449),CX449,0)</f>
        <v>0</v>
      </c>
      <c r="FC449" s="28" t="n">
        <f aca="false">IF(ISNUMBER(Z449),CY449,0)</f>
        <v>0</v>
      </c>
      <c r="FD449" s="28" t="n">
        <f aca="false">IF(ISNUMBER(AD449),CZ449,0)</f>
        <v>0</v>
      </c>
      <c r="FE449" s="28" t="n">
        <f aca="false">IF(ISNUMBER(AH449),DA449,0)</f>
        <v>0</v>
      </c>
      <c r="FF449" s="28" t="n">
        <f aca="false">IF(ISNUMBER(AL449),DB449,0)</f>
        <v>0</v>
      </c>
      <c r="FG449" s="28" t="n">
        <f aca="false">IF(ISNUMBER(AP449),DC449,0)</f>
        <v>0</v>
      </c>
      <c r="FH449" s="28" t="n">
        <f aca="false">IF(ISNUMBER(AT449),DD449,0)</f>
        <v>0</v>
      </c>
      <c r="FI449" s="28" t="n">
        <f aca="false">IF(ISNUMBER(AX449),DE449,0)</f>
        <v>0</v>
      </c>
      <c r="FJ449" s="28" t="n">
        <f aca="false">IF(ISNUMBER(BB449),DF449,0)</f>
        <v>0</v>
      </c>
      <c r="FK449" s="28" t="n">
        <f aca="false">IF(ISNUMBER(BF449),DG449,0)</f>
        <v>0</v>
      </c>
      <c r="FL449" s="28" t="n">
        <f aca="false">IF(ISNUMBER(BJ449),DH449,0)</f>
        <v>0</v>
      </c>
      <c r="FM449" s="28" t="n">
        <f aca="false">IF(ISNUMBER(BN449),DI449,0)</f>
        <v>0</v>
      </c>
      <c r="FN449" s="28" t="n">
        <f aca="false">IF(ISNUMBER(BR449),DJ449,0)</f>
        <v>0</v>
      </c>
      <c r="FO449" s="28" t="str">
        <f aca="false">IFERROR(INDEX(Lists!$G$2:$G$20,MATCH($I449&amp;"|"&amp;$J449,Lists!$F$2:$F$20,0)),"")</f>
        <v/>
      </c>
    </row>
    <row r="450" customFormat="false" ht="19.5" hidden="false" customHeight="true" outlineLevel="0" collapsed="false">
      <c r="A450" s="29"/>
      <c r="B450" s="29"/>
      <c r="C450" s="30"/>
      <c r="D450" s="30"/>
      <c r="E450" s="31"/>
      <c r="F450" s="30"/>
      <c r="G450" s="30"/>
      <c r="H450" s="32"/>
      <c r="I450" s="33"/>
      <c r="J450" s="32"/>
      <c r="K450" s="34" t="str">
        <f aca="false">IF(OR(M450="",$E450=""),"",M450-$E450)</f>
        <v/>
      </c>
      <c r="L450" s="35" t="str">
        <f aca="false">IF(SUM(FA450:FN450)=0,"",SUM(EM450:EZ450)/SUM(FA450:FN450))</f>
        <v/>
      </c>
      <c r="M450" s="36" t="str">
        <f aca="false">IF(OR(L450="",FO450=""),"",IFERROR(MATCH(L450,INDEX(Boundaries!$B$2:$I$30,MATCH(FO450,Boundaries!$A$2:$A$30,0),0),1)-1,""))</f>
        <v/>
      </c>
      <c r="N450" s="37" t="str">
        <f aca="false">IF(COUNT($DY450:$EL450)&lt;2,"",INDEX($DK450:$DX450,MAX($DY450:$EL450))-INDEX($DK450:$DX450,MIN($DY450:$EL450)))</f>
        <v/>
      </c>
      <c r="O450" s="37" t="str">
        <f aca="false">IF(COUNT($DY450:$EL450)&lt;2,"",INDEX($DK450:$DX450,MAX($DY450:$EL450))-INDEX($DK450:$DX450,LARGE($DY450:$EL450,2)))</f>
        <v/>
      </c>
      <c r="P450" s="38" t="str">
        <f aca="false">IF(K450="","",IF(K450&gt;=0,"On/above target",IF(AND(N450&lt;&gt;"",N450&gt;=0.5),"Improving towards target",IF(AND(O450&lt;&gt;"",O450&lt;=-0.5),"Declining","Stable below target"))))</f>
        <v/>
      </c>
      <c r="Q450" s="39"/>
      <c r="R450" s="40" t="str">
        <f aca="false">IF(OR(Q450="",BU450=""),"",Q450/BU450*100)</f>
        <v/>
      </c>
      <c r="S450" s="41" t="str">
        <f aca="false">IF(R450="","",IFERROR(MATCH(R450,INDEX(Boundaries!$B$2:$I$30,MATCH(CI450,Boundaries!$A$2:$A$30,0),0),1)-1,""))</f>
        <v/>
      </c>
      <c r="T450" s="42" t="str">
        <f aca="false">IF(OR(S450="",$E450=""),"",S450-$E450)</f>
        <v/>
      </c>
      <c r="U450" s="39"/>
      <c r="V450" s="40" t="str">
        <f aca="false">IF(OR(U450="",BV450=""),"",U450/BV450*100)</f>
        <v/>
      </c>
      <c r="W450" s="41" t="str">
        <f aca="false">IF(V450="","",IFERROR(MATCH(V450,INDEX(Boundaries!$B$2:$I$30,MATCH(CJ450,Boundaries!$A$2:$A$30,0),0),1)-1,""))</f>
        <v/>
      </c>
      <c r="X450" s="42" t="str">
        <f aca="false">IF(OR(W450="",$E450=""),"",W450-$E450)</f>
        <v/>
      </c>
      <c r="Y450" s="39"/>
      <c r="Z450" s="40" t="str">
        <f aca="false">IF(OR(Y450="",BW450=""),"",Y450/BW450*100)</f>
        <v/>
      </c>
      <c r="AA450" s="41" t="str">
        <f aca="false">IF(Z450="","",IFERROR(MATCH(Z450,INDEX(Boundaries!$B$2:$I$30,MATCH(CK450,Boundaries!$A$2:$A$30,0),0),1)-1,""))</f>
        <v/>
      </c>
      <c r="AB450" s="42" t="str">
        <f aca="false">IF(OR(AA450="",$E450=""),"",AA450-$E450)</f>
        <v/>
      </c>
      <c r="AC450" s="39"/>
      <c r="AD450" s="40" t="str">
        <f aca="false">IF(OR(AC450="",BX450=""),"",AC450/BX450*100)</f>
        <v/>
      </c>
      <c r="AE450" s="41" t="str">
        <f aca="false">IF(AD450="","",IFERROR(MATCH(AD450,INDEX(Boundaries!$B$2:$I$30,MATCH(CL450,Boundaries!$A$2:$A$30,0),0),1)-1,""))</f>
        <v/>
      </c>
      <c r="AF450" s="42" t="str">
        <f aca="false">IF(OR(AE450="",$E450=""),"",AE450-$E450)</f>
        <v/>
      </c>
      <c r="AG450" s="39"/>
      <c r="AH450" s="40" t="str">
        <f aca="false">IF(OR(AG450="",BY450=""),"",AG450/BY450*100)</f>
        <v/>
      </c>
      <c r="AI450" s="41" t="str">
        <f aca="false">IF(AH450="","",IFERROR(MATCH(AH450,INDEX(Boundaries!$B$2:$I$30,MATCH(CM450,Boundaries!$A$2:$A$30,0),0),1)-1,""))</f>
        <v/>
      </c>
      <c r="AJ450" s="42" t="str">
        <f aca="false">IF(OR(AI450="",$E450=""),"",AI450-$E450)</f>
        <v/>
      </c>
      <c r="AK450" s="39"/>
      <c r="AL450" s="40" t="str">
        <f aca="false">IF(OR(AK450="",BZ450=""),"",AK450/BZ450*100)</f>
        <v/>
      </c>
      <c r="AM450" s="41" t="str">
        <f aca="false">IF(AL450="","",IFERROR(MATCH(AL450,INDEX(Boundaries!$B$2:$I$30,MATCH(CN450,Boundaries!$A$2:$A$30,0),0),1)-1,""))</f>
        <v/>
      </c>
      <c r="AN450" s="42" t="str">
        <f aca="false">IF(OR(AM450="",$E450=""),"",AM450-$E450)</f>
        <v/>
      </c>
      <c r="AO450" s="39"/>
      <c r="AP450" s="40" t="str">
        <f aca="false">IF(OR(AO450="",CA450=""),"",AO450/CA450*100)</f>
        <v/>
      </c>
      <c r="AQ450" s="41" t="str">
        <f aca="false">IF(AP450="","",IFERROR(MATCH(AP450,INDEX(Boundaries!$B$2:$I$30,MATCH(CO450,Boundaries!$A$2:$A$30,0),0),1)-1,""))</f>
        <v/>
      </c>
      <c r="AR450" s="42" t="str">
        <f aca="false">IF(OR(AQ450="",$E450=""),"",AQ450-$E450)</f>
        <v/>
      </c>
      <c r="AS450" s="39"/>
      <c r="AT450" s="40" t="str">
        <f aca="false">IF(OR(AS450="",CB450=""),"",AS450/CB450*100)</f>
        <v/>
      </c>
      <c r="AU450" s="41" t="str">
        <f aca="false">IF(AT450="","",IFERROR(MATCH(AT450,INDEX(Boundaries!$B$2:$I$30,MATCH(CP450,Boundaries!$A$2:$A$30,0),0),1)-1,""))</f>
        <v/>
      </c>
      <c r="AV450" s="42" t="str">
        <f aca="false">IF(OR(AU450="",$E450=""),"",AU450-$E450)</f>
        <v/>
      </c>
      <c r="AW450" s="39"/>
      <c r="AX450" s="40" t="str">
        <f aca="false">IF(OR(AW450="",CC450=""),"",AW450/CC450*100)</f>
        <v/>
      </c>
      <c r="AY450" s="41" t="str">
        <f aca="false">IF(AX450="","",IFERROR(MATCH(AX450,INDEX(Boundaries!$B$2:$I$30,MATCH(CQ450,Boundaries!$A$2:$A$30,0),0),1)-1,""))</f>
        <v/>
      </c>
      <c r="AZ450" s="42" t="str">
        <f aca="false">IF(OR(AY450="",$E450=""),"",AY450-$E450)</f>
        <v/>
      </c>
      <c r="BA450" s="39"/>
      <c r="BB450" s="40" t="str">
        <f aca="false">IF(OR(BA450="",CD450=""),"",BA450/CD450*100)</f>
        <v/>
      </c>
      <c r="BC450" s="41" t="str">
        <f aca="false">IF(BB450="","",IFERROR(MATCH(BB450,INDEX(Boundaries!$B$2:$I$30,MATCH(CR450,Boundaries!$A$2:$A$30,0),0),1)-1,""))</f>
        <v/>
      </c>
      <c r="BD450" s="42" t="str">
        <f aca="false">IF(OR(BC450="",$E450=""),"",BC450-$E450)</f>
        <v/>
      </c>
      <c r="BE450" s="39"/>
      <c r="BF450" s="40" t="str">
        <f aca="false">IF(OR(BE450="",CE450=""),"",BE450/CE450*100)</f>
        <v/>
      </c>
      <c r="BG450" s="41" t="str">
        <f aca="false">IF(BF450="","",IFERROR(MATCH(BF450,INDEX(Boundaries!$B$2:$I$30,MATCH(CS450,Boundaries!$A$2:$A$30,0),0),1)-1,""))</f>
        <v/>
      </c>
      <c r="BH450" s="42" t="str">
        <f aca="false">IF(OR(BG450="",$E450=""),"",BG450-$E450)</f>
        <v/>
      </c>
      <c r="BI450" s="39"/>
      <c r="BJ450" s="40" t="str">
        <f aca="false">IF(OR(BI450="",CF450=""),"",BI450/CF450*100)</f>
        <v/>
      </c>
      <c r="BK450" s="41" t="str">
        <f aca="false">IF(BJ450="","",IFERROR(MATCH(BJ450,INDEX(Boundaries!$B$2:$I$30,MATCH(CT450,Boundaries!$A$2:$A$30,0),0),1)-1,""))</f>
        <v/>
      </c>
      <c r="BL450" s="42" t="str">
        <f aca="false">IF(OR(BK450="",$E450=""),"",BK450-$E450)</f>
        <v/>
      </c>
      <c r="BM450" s="39"/>
      <c r="BN450" s="40" t="str">
        <f aca="false">IF(OR(BM450="",CG450=""),"",BM450/CG450*100)</f>
        <v/>
      </c>
      <c r="BO450" s="41" t="str">
        <f aca="false">IF(BN450="","",IFERROR(MATCH(BN450,INDEX(Boundaries!$B$2:$I$30,MATCH(CU450,Boundaries!$A$2:$A$30,0),0),1)-1,""))</f>
        <v/>
      </c>
      <c r="BP450" s="42" t="str">
        <f aca="false">IF(OR(BO450="",$E450=""),"",BO450-$E450)</f>
        <v/>
      </c>
      <c r="BQ450" s="39"/>
      <c r="BR450" s="40" t="str">
        <f aca="false">IF(OR(BQ450="",CH450=""),"",BQ450/CH450*100)</f>
        <v/>
      </c>
      <c r="BS450" s="41" t="str">
        <f aca="false">IF(BR450="","",IFERROR(MATCH(BR450,INDEX(Boundaries!$B$2:$I$30,MATCH(CV450,Boundaries!$A$2:$A$30,0),0),1)-1,""))</f>
        <v/>
      </c>
      <c r="BT450" s="42" t="str">
        <f aca="false">IF(OR(BS450="",$E450=""),"",BS450-$E450)</f>
        <v/>
      </c>
      <c r="BU450" s="28" t="str">
        <f aca="false">IFERROR(INDEX(Assessments!$H$2:$H$600,MATCH($H450&amp;"|"&amp;$I450&amp;"|"&amp;$J450&amp;"|"&amp;1,Assessments!$A$2:$A$600,0)),"")</f>
        <v/>
      </c>
      <c r="BV450" s="28" t="str">
        <f aca="false">IFERROR(INDEX(Assessments!$H$2:$H$600,MATCH($H450&amp;"|"&amp;$I450&amp;"|"&amp;$J450&amp;"|"&amp;2,Assessments!$A$2:$A$600,0)),"")</f>
        <v/>
      </c>
      <c r="BW450" s="28" t="str">
        <f aca="false">IFERROR(INDEX(Assessments!$H$2:$H$600,MATCH($H450&amp;"|"&amp;$I450&amp;"|"&amp;$J450&amp;"|"&amp;3,Assessments!$A$2:$A$600,0)),"")</f>
        <v/>
      </c>
      <c r="BX450" s="28" t="str">
        <f aca="false">IFERROR(INDEX(Assessments!$H$2:$H$600,MATCH($H450&amp;"|"&amp;$I450&amp;"|"&amp;$J450&amp;"|"&amp;4,Assessments!$A$2:$A$600,0)),"")</f>
        <v/>
      </c>
      <c r="BY450" s="28" t="str">
        <f aca="false">IFERROR(INDEX(Assessments!$H$2:$H$600,MATCH($H450&amp;"|"&amp;$I450&amp;"|"&amp;$J450&amp;"|"&amp;5,Assessments!$A$2:$A$600,0)),"")</f>
        <v/>
      </c>
      <c r="BZ450" s="28" t="str">
        <f aca="false">IFERROR(INDEX(Assessments!$H$2:$H$600,MATCH($H450&amp;"|"&amp;$I450&amp;"|"&amp;$J450&amp;"|"&amp;6,Assessments!$A$2:$A$600,0)),"")</f>
        <v/>
      </c>
      <c r="CA450" s="28" t="str">
        <f aca="false">IFERROR(INDEX(Assessments!$H$2:$H$600,MATCH($H450&amp;"|"&amp;$I450&amp;"|"&amp;$J450&amp;"|"&amp;7,Assessments!$A$2:$A$600,0)),"")</f>
        <v/>
      </c>
      <c r="CB450" s="28" t="str">
        <f aca="false">IFERROR(INDEX(Assessments!$H$2:$H$600,MATCH($H450&amp;"|"&amp;$I450&amp;"|"&amp;$J450&amp;"|"&amp;8,Assessments!$A$2:$A$600,0)),"")</f>
        <v/>
      </c>
      <c r="CC450" s="28" t="str">
        <f aca="false">IFERROR(INDEX(Assessments!$H$2:$H$600,MATCH($H450&amp;"|"&amp;$I450&amp;"|"&amp;$J450&amp;"|"&amp;9,Assessments!$A$2:$A$600,0)),"")</f>
        <v/>
      </c>
      <c r="CD450" s="28" t="str">
        <f aca="false">IFERROR(INDEX(Assessments!$H$2:$H$600,MATCH($H450&amp;"|"&amp;$I450&amp;"|"&amp;$J450&amp;"|"&amp;10,Assessments!$A$2:$A$600,0)),"")</f>
        <v/>
      </c>
      <c r="CE450" s="28" t="str">
        <f aca="false">IFERROR(INDEX(Assessments!$H$2:$H$600,MATCH($H450&amp;"|"&amp;$I450&amp;"|"&amp;$J450&amp;"|"&amp;11,Assessments!$A$2:$A$600,0)),"")</f>
        <v/>
      </c>
      <c r="CF450" s="28" t="str">
        <f aca="false">IFERROR(INDEX(Assessments!$H$2:$H$600,MATCH($H450&amp;"|"&amp;$I450&amp;"|"&amp;$J450&amp;"|"&amp;12,Assessments!$A$2:$A$600,0)),"")</f>
        <v/>
      </c>
      <c r="CG450" s="28" t="str">
        <f aca="false">IFERROR(INDEX(Assessments!$H$2:$H$600,MATCH($H450&amp;"|"&amp;$I450&amp;"|"&amp;$J450&amp;"|"&amp;13,Assessments!$A$2:$A$600,0)),"")</f>
        <v/>
      </c>
      <c r="CH450" s="28" t="str">
        <f aca="false">IFERROR(INDEX(Assessments!$H$2:$H$600,MATCH($H450&amp;"|"&amp;$I450&amp;"|"&amp;$J450&amp;"|"&amp;14,Assessments!$A$2:$A$600,0)),"")</f>
        <v/>
      </c>
      <c r="CI450" s="28" t="str">
        <f aca="false">IFERROR(INDEX(Assessments!$I$2:$I$600,MATCH($H450&amp;"|"&amp;$I450&amp;"|"&amp;$J450&amp;"|"&amp;1,Assessments!$A$2:$A$600,0)),"")</f>
        <v/>
      </c>
      <c r="CJ450" s="28" t="str">
        <f aca="false">IFERROR(INDEX(Assessments!$I$2:$I$600,MATCH($H450&amp;"|"&amp;$I450&amp;"|"&amp;$J450&amp;"|"&amp;2,Assessments!$A$2:$A$600,0)),"")</f>
        <v/>
      </c>
      <c r="CK450" s="28" t="str">
        <f aca="false">IFERROR(INDEX(Assessments!$I$2:$I$600,MATCH($H450&amp;"|"&amp;$I450&amp;"|"&amp;$J450&amp;"|"&amp;3,Assessments!$A$2:$A$600,0)),"")</f>
        <v/>
      </c>
      <c r="CL450" s="28" t="str">
        <f aca="false">IFERROR(INDEX(Assessments!$I$2:$I$600,MATCH($H450&amp;"|"&amp;$I450&amp;"|"&amp;$J450&amp;"|"&amp;4,Assessments!$A$2:$A$600,0)),"")</f>
        <v/>
      </c>
      <c r="CM450" s="28" t="str">
        <f aca="false">IFERROR(INDEX(Assessments!$I$2:$I$600,MATCH($H450&amp;"|"&amp;$I450&amp;"|"&amp;$J450&amp;"|"&amp;5,Assessments!$A$2:$A$600,0)),"")</f>
        <v/>
      </c>
      <c r="CN450" s="28" t="str">
        <f aca="false">IFERROR(INDEX(Assessments!$I$2:$I$600,MATCH($H450&amp;"|"&amp;$I450&amp;"|"&amp;$J450&amp;"|"&amp;6,Assessments!$A$2:$A$600,0)),"")</f>
        <v/>
      </c>
      <c r="CO450" s="28" t="str">
        <f aca="false">IFERROR(INDEX(Assessments!$I$2:$I$600,MATCH($H450&amp;"|"&amp;$I450&amp;"|"&amp;$J450&amp;"|"&amp;7,Assessments!$A$2:$A$600,0)),"")</f>
        <v/>
      </c>
      <c r="CP450" s="28" t="str">
        <f aca="false">IFERROR(INDEX(Assessments!$I$2:$I$600,MATCH($H450&amp;"|"&amp;$I450&amp;"|"&amp;$J450&amp;"|"&amp;8,Assessments!$A$2:$A$600,0)),"")</f>
        <v/>
      </c>
      <c r="CQ450" s="28" t="str">
        <f aca="false">IFERROR(INDEX(Assessments!$I$2:$I$600,MATCH($H450&amp;"|"&amp;$I450&amp;"|"&amp;$J450&amp;"|"&amp;9,Assessments!$A$2:$A$600,0)),"")</f>
        <v/>
      </c>
      <c r="CR450" s="28" t="str">
        <f aca="false">IFERROR(INDEX(Assessments!$I$2:$I$600,MATCH($H450&amp;"|"&amp;$I450&amp;"|"&amp;$J450&amp;"|"&amp;10,Assessments!$A$2:$A$600,0)),"")</f>
        <v/>
      </c>
      <c r="CS450" s="28" t="str">
        <f aca="false">IFERROR(INDEX(Assessments!$I$2:$I$600,MATCH($H450&amp;"|"&amp;$I450&amp;"|"&amp;$J450&amp;"|"&amp;11,Assessments!$A$2:$A$600,0)),"")</f>
        <v/>
      </c>
      <c r="CT450" s="28" t="str">
        <f aca="false">IFERROR(INDEX(Assessments!$I$2:$I$600,MATCH($H450&amp;"|"&amp;$I450&amp;"|"&amp;$J450&amp;"|"&amp;12,Assessments!$A$2:$A$600,0)),"")</f>
        <v/>
      </c>
      <c r="CU450" s="28" t="str">
        <f aca="false">IFERROR(INDEX(Assessments!$I$2:$I$600,MATCH($H450&amp;"|"&amp;$I450&amp;"|"&amp;$J450&amp;"|"&amp;13,Assessments!$A$2:$A$600,0)),"")</f>
        <v/>
      </c>
      <c r="CV450" s="28" t="str">
        <f aca="false">IFERROR(INDEX(Assessments!$I$2:$I$600,MATCH($H450&amp;"|"&amp;$I450&amp;"|"&amp;$J450&amp;"|"&amp;14,Assessments!$A$2:$A$600,0)),"")</f>
        <v/>
      </c>
      <c r="CW450" s="28" t="n">
        <f aca="false">IFERROR(INDEX(Assessments!$J$2:$J$600,MATCH($H450&amp;"|"&amp;$I450&amp;"|"&amp;$J450&amp;"|"&amp;1,Assessments!$A$2:$A$600,0)),0)</f>
        <v>0</v>
      </c>
      <c r="CX450" s="28" t="n">
        <f aca="false">IFERROR(INDEX(Assessments!$J$2:$J$600,MATCH($H450&amp;"|"&amp;$I450&amp;"|"&amp;$J450&amp;"|"&amp;2,Assessments!$A$2:$A$600,0)),0)</f>
        <v>0</v>
      </c>
      <c r="CY450" s="28" t="n">
        <f aca="false">IFERROR(INDEX(Assessments!$J$2:$J$600,MATCH($H450&amp;"|"&amp;$I450&amp;"|"&amp;$J450&amp;"|"&amp;3,Assessments!$A$2:$A$600,0)),0)</f>
        <v>0</v>
      </c>
      <c r="CZ450" s="28" t="n">
        <f aca="false">IFERROR(INDEX(Assessments!$J$2:$J$600,MATCH($H450&amp;"|"&amp;$I450&amp;"|"&amp;$J450&amp;"|"&amp;4,Assessments!$A$2:$A$600,0)),0)</f>
        <v>0</v>
      </c>
      <c r="DA450" s="28" t="n">
        <f aca="false">IFERROR(INDEX(Assessments!$J$2:$J$600,MATCH($H450&amp;"|"&amp;$I450&amp;"|"&amp;$J450&amp;"|"&amp;5,Assessments!$A$2:$A$600,0)),0)</f>
        <v>0</v>
      </c>
      <c r="DB450" s="28" t="n">
        <f aca="false">IFERROR(INDEX(Assessments!$J$2:$J$600,MATCH($H450&amp;"|"&amp;$I450&amp;"|"&amp;$J450&amp;"|"&amp;6,Assessments!$A$2:$A$600,0)),0)</f>
        <v>0</v>
      </c>
      <c r="DC450" s="28" t="n">
        <f aca="false">IFERROR(INDEX(Assessments!$J$2:$J$600,MATCH($H450&amp;"|"&amp;$I450&amp;"|"&amp;$J450&amp;"|"&amp;7,Assessments!$A$2:$A$600,0)),0)</f>
        <v>0</v>
      </c>
      <c r="DD450" s="28" t="n">
        <f aca="false">IFERROR(INDEX(Assessments!$J$2:$J$600,MATCH($H450&amp;"|"&amp;$I450&amp;"|"&amp;$J450&amp;"|"&amp;8,Assessments!$A$2:$A$600,0)),0)</f>
        <v>0</v>
      </c>
      <c r="DE450" s="28" t="n">
        <f aca="false">IFERROR(INDEX(Assessments!$J$2:$J$600,MATCH($H450&amp;"|"&amp;$I450&amp;"|"&amp;$J450&amp;"|"&amp;9,Assessments!$A$2:$A$600,0)),0)</f>
        <v>0</v>
      </c>
      <c r="DF450" s="28" t="n">
        <f aca="false">IFERROR(INDEX(Assessments!$J$2:$J$600,MATCH($H450&amp;"|"&amp;$I450&amp;"|"&amp;$J450&amp;"|"&amp;10,Assessments!$A$2:$A$600,0)),0)</f>
        <v>0</v>
      </c>
      <c r="DG450" s="28" t="n">
        <f aca="false">IFERROR(INDEX(Assessments!$J$2:$J$600,MATCH($H450&amp;"|"&amp;$I450&amp;"|"&amp;$J450&amp;"|"&amp;11,Assessments!$A$2:$A$600,0)),0)</f>
        <v>0</v>
      </c>
      <c r="DH450" s="28" t="n">
        <f aca="false">IFERROR(INDEX(Assessments!$J$2:$J$600,MATCH($H450&amp;"|"&amp;$I450&amp;"|"&amp;$J450&amp;"|"&amp;12,Assessments!$A$2:$A$600,0)),0)</f>
        <v>0</v>
      </c>
      <c r="DI450" s="28" t="n">
        <f aca="false">IFERROR(INDEX(Assessments!$J$2:$J$600,MATCH($H450&amp;"|"&amp;$I450&amp;"|"&amp;$J450&amp;"|"&amp;13,Assessments!$A$2:$A$600,0)),0)</f>
        <v>0</v>
      </c>
      <c r="DJ450" s="28" t="n">
        <f aca="false">IFERROR(INDEX(Assessments!$J$2:$J$600,MATCH($H450&amp;"|"&amp;$I450&amp;"|"&amp;$J450&amp;"|"&amp;14,Assessments!$A$2:$A$600,0)),0)</f>
        <v>0</v>
      </c>
      <c r="DK450" s="28" t="str">
        <f aca="false">S450</f>
        <v/>
      </c>
      <c r="DL450" s="28" t="str">
        <f aca="false">W450</f>
        <v/>
      </c>
      <c r="DM450" s="28" t="str">
        <f aca="false">AA450</f>
        <v/>
      </c>
      <c r="DN450" s="28" t="str">
        <f aca="false">AE450</f>
        <v/>
      </c>
      <c r="DO450" s="28" t="str">
        <f aca="false">AI450</f>
        <v/>
      </c>
      <c r="DP450" s="28" t="str">
        <f aca="false">AM450</f>
        <v/>
      </c>
      <c r="DQ450" s="28" t="str">
        <f aca="false">AQ450</f>
        <v/>
      </c>
      <c r="DR450" s="28" t="str">
        <f aca="false">AU450</f>
        <v/>
      </c>
      <c r="DS450" s="28" t="str">
        <f aca="false">AY450</f>
        <v/>
      </c>
      <c r="DT450" s="28" t="str">
        <f aca="false">BC450</f>
        <v/>
      </c>
      <c r="DU450" s="28" t="str">
        <f aca="false">BG450</f>
        <v/>
      </c>
      <c r="DV450" s="28" t="str">
        <f aca="false">BK450</f>
        <v/>
      </c>
      <c r="DW450" s="28" t="str">
        <f aca="false">BO450</f>
        <v/>
      </c>
      <c r="DX450" s="28" t="str">
        <f aca="false">BS450</f>
        <v/>
      </c>
      <c r="DY450" s="28" t="str">
        <f aca="false">IF(ISNUMBER(S450),1,"")</f>
        <v/>
      </c>
      <c r="DZ450" s="28" t="str">
        <f aca="false">IF(ISNUMBER(W450),2,"")</f>
        <v/>
      </c>
      <c r="EA450" s="28" t="str">
        <f aca="false">IF(ISNUMBER(AA450),3,"")</f>
        <v/>
      </c>
      <c r="EB450" s="28" t="str">
        <f aca="false">IF(ISNUMBER(AE450),4,"")</f>
        <v/>
      </c>
      <c r="EC450" s="28" t="str">
        <f aca="false">IF(ISNUMBER(AI450),5,"")</f>
        <v/>
      </c>
      <c r="ED450" s="28" t="str">
        <f aca="false">IF(ISNUMBER(AM450),6,"")</f>
        <v/>
      </c>
      <c r="EE450" s="28" t="str">
        <f aca="false">IF(ISNUMBER(AQ450),7,"")</f>
        <v/>
      </c>
      <c r="EF450" s="28" t="str">
        <f aca="false">IF(ISNUMBER(AU450),8,"")</f>
        <v/>
      </c>
      <c r="EG450" s="28" t="str">
        <f aca="false">IF(ISNUMBER(AY450),9,"")</f>
        <v/>
      </c>
      <c r="EH450" s="28" t="str">
        <f aca="false">IF(ISNUMBER(BC450),10,"")</f>
        <v/>
      </c>
      <c r="EI450" s="28" t="str">
        <f aca="false">IF(ISNUMBER(BG450),11,"")</f>
        <v/>
      </c>
      <c r="EJ450" s="28" t="str">
        <f aca="false">IF(ISNUMBER(BK450),12,"")</f>
        <v/>
      </c>
      <c r="EK450" s="28" t="str">
        <f aca="false">IF(ISNUMBER(BO450),13,"")</f>
        <v/>
      </c>
      <c r="EL450" s="28" t="str">
        <f aca="false">IF(ISNUMBER(BS450),14,"")</f>
        <v/>
      </c>
      <c r="EM450" s="28" t="n">
        <f aca="false">IF(ISNUMBER(R450),R450*CW450,0)</f>
        <v>0</v>
      </c>
      <c r="EN450" s="28" t="n">
        <f aca="false">IF(ISNUMBER(V450),V450*CX450,0)</f>
        <v>0</v>
      </c>
      <c r="EO450" s="28" t="n">
        <f aca="false">IF(ISNUMBER(Z450),Z450*CY450,0)</f>
        <v>0</v>
      </c>
      <c r="EP450" s="28" t="n">
        <f aca="false">IF(ISNUMBER(AD450),AD450*CZ450,0)</f>
        <v>0</v>
      </c>
      <c r="EQ450" s="28" t="n">
        <f aca="false">IF(ISNUMBER(AH450),AH450*DA450,0)</f>
        <v>0</v>
      </c>
      <c r="ER450" s="28" t="n">
        <f aca="false">IF(ISNUMBER(AL450),AL450*DB450,0)</f>
        <v>0</v>
      </c>
      <c r="ES450" s="28" t="n">
        <f aca="false">IF(ISNUMBER(AP450),AP450*DC450,0)</f>
        <v>0</v>
      </c>
      <c r="ET450" s="28" t="n">
        <f aca="false">IF(ISNUMBER(AT450),AT450*DD450,0)</f>
        <v>0</v>
      </c>
      <c r="EU450" s="28" t="n">
        <f aca="false">IF(ISNUMBER(AX450),AX450*DE450,0)</f>
        <v>0</v>
      </c>
      <c r="EV450" s="28" t="n">
        <f aca="false">IF(ISNUMBER(BB450),BB450*DF450,0)</f>
        <v>0</v>
      </c>
      <c r="EW450" s="28" t="n">
        <f aca="false">IF(ISNUMBER(BF450),BF450*DG450,0)</f>
        <v>0</v>
      </c>
      <c r="EX450" s="28" t="n">
        <f aca="false">IF(ISNUMBER(BJ450),BJ450*DH450,0)</f>
        <v>0</v>
      </c>
      <c r="EY450" s="28" t="n">
        <f aca="false">IF(ISNUMBER(BN450),BN450*DI450,0)</f>
        <v>0</v>
      </c>
      <c r="EZ450" s="28" t="n">
        <f aca="false">IF(ISNUMBER(BR450),BR450*DJ450,0)</f>
        <v>0</v>
      </c>
      <c r="FA450" s="28" t="n">
        <f aca="false">IF(ISNUMBER(R450),CW450,0)</f>
        <v>0</v>
      </c>
      <c r="FB450" s="28" t="n">
        <f aca="false">IF(ISNUMBER(V450),CX450,0)</f>
        <v>0</v>
      </c>
      <c r="FC450" s="28" t="n">
        <f aca="false">IF(ISNUMBER(Z450),CY450,0)</f>
        <v>0</v>
      </c>
      <c r="FD450" s="28" t="n">
        <f aca="false">IF(ISNUMBER(AD450),CZ450,0)</f>
        <v>0</v>
      </c>
      <c r="FE450" s="28" t="n">
        <f aca="false">IF(ISNUMBER(AH450),DA450,0)</f>
        <v>0</v>
      </c>
      <c r="FF450" s="28" t="n">
        <f aca="false">IF(ISNUMBER(AL450),DB450,0)</f>
        <v>0</v>
      </c>
      <c r="FG450" s="28" t="n">
        <f aca="false">IF(ISNUMBER(AP450),DC450,0)</f>
        <v>0</v>
      </c>
      <c r="FH450" s="28" t="n">
        <f aca="false">IF(ISNUMBER(AT450),DD450,0)</f>
        <v>0</v>
      </c>
      <c r="FI450" s="28" t="n">
        <f aca="false">IF(ISNUMBER(AX450),DE450,0)</f>
        <v>0</v>
      </c>
      <c r="FJ450" s="28" t="n">
        <f aca="false">IF(ISNUMBER(BB450),DF450,0)</f>
        <v>0</v>
      </c>
      <c r="FK450" s="28" t="n">
        <f aca="false">IF(ISNUMBER(BF450),DG450,0)</f>
        <v>0</v>
      </c>
      <c r="FL450" s="28" t="n">
        <f aca="false">IF(ISNUMBER(BJ450),DH450,0)</f>
        <v>0</v>
      </c>
      <c r="FM450" s="28" t="n">
        <f aca="false">IF(ISNUMBER(BN450),DI450,0)</f>
        <v>0</v>
      </c>
      <c r="FN450" s="28" t="n">
        <f aca="false">IF(ISNUMBER(BR450),DJ450,0)</f>
        <v>0</v>
      </c>
      <c r="FO450" s="28" t="str">
        <f aca="false">IFERROR(INDEX(Lists!$G$2:$G$20,MATCH($I450&amp;"|"&amp;$J450,Lists!$F$2:$F$20,0)),"")</f>
        <v/>
      </c>
    </row>
    <row r="451" customFormat="false" ht="19.5" hidden="false" customHeight="true" outlineLevel="0" collapsed="false">
      <c r="A451" s="29"/>
      <c r="B451" s="29"/>
      <c r="C451" s="30"/>
      <c r="D451" s="30"/>
      <c r="E451" s="31"/>
      <c r="F451" s="30"/>
      <c r="G451" s="30"/>
      <c r="H451" s="32"/>
      <c r="I451" s="33"/>
      <c r="J451" s="32"/>
      <c r="K451" s="34" t="str">
        <f aca="false">IF(OR(M451="",$E451=""),"",M451-$E451)</f>
        <v/>
      </c>
      <c r="L451" s="35" t="str">
        <f aca="false">IF(SUM(FA451:FN451)=0,"",SUM(EM451:EZ451)/SUM(FA451:FN451))</f>
        <v/>
      </c>
      <c r="M451" s="36" t="str">
        <f aca="false">IF(OR(L451="",FO451=""),"",IFERROR(MATCH(L451,INDEX(Boundaries!$B$2:$I$30,MATCH(FO451,Boundaries!$A$2:$A$30,0),0),1)-1,""))</f>
        <v/>
      </c>
      <c r="N451" s="37" t="str">
        <f aca="false">IF(COUNT($DY451:$EL451)&lt;2,"",INDEX($DK451:$DX451,MAX($DY451:$EL451))-INDEX($DK451:$DX451,MIN($DY451:$EL451)))</f>
        <v/>
      </c>
      <c r="O451" s="37" t="str">
        <f aca="false">IF(COUNT($DY451:$EL451)&lt;2,"",INDEX($DK451:$DX451,MAX($DY451:$EL451))-INDEX($DK451:$DX451,LARGE($DY451:$EL451,2)))</f>
        <v/>
      </c>
      <c r="P451" s="38" t="str">
        <f aca="false">IF(K451="","",IF(K451&gt;=0,"On/above target",IF(AND(N451&lt;&gt;"",N451&gt;=0.5),"Improving towards target",IF(AND(O451&lt;&gt;"",O451&lt;=-0.5),"Declining","Stable below target"))))</f>
        <v/>
      </c>
      <c r="Q451" s="39"/>
      <c r="R451" s="40" t="str">
        <f aca="false">IF(OR(Q451="",BU451=""),"",Q451/BU451*100)</f>
        <v/>
      </c>
      <c r="S451" s="41" t="str">
        <f aca="false">IF(R451="","",IFERROR(MATCH(R451,INDEX(Boundaries!$B$2:$I$30,MATCH(CI451,Boundaries!$A$2:$A$30,0),0),1)-1,""))</f>
        <v/>
      </c>
      <c r="T451" s="42" t="str">
        <f aca="false">IF(OR(S451="",$E451=""),"",S451-$E451)</f>
        <v/>
      </c>
      <c r="U451" s="39"/>
      <c r="V451" s="40" t="str">
        <f aca="false">IF(OR(U451="",BV451=""),"",U451/BV451*100)</f>
        <v/>
      </c>
      <c r="W451" s="41" t="str">
        <f aca="false">IF(V451="","",IFERROR(MATCH(V451,INDEX(Boundaries!$B$2:$I$30,MATCH(CJ451,Boundaries!$A$2:$A$30,0),0),1)-1,""))</f>
        <v/>
      </c>
      <c r="X451" s="42" t="str">
        <f aca="false">IF(OR(W451="",$E451=""),"",W451-$E451)</f>
        <v/>
      </c>
      <c r="Y451" s="39"/>
      <c r="Z451" s="40" t="str">
        <f aca="false">IF(OR(Y451="",BW451=""),"",Y451/BW451*100)</f>
        <v/>
      </c>
      <c r="AA451" s="41" t="str">
        <f aca="false">IF(Z451="","",IFERROR(MATCH(Z451,INDEX(Boundaries!$B$2:$I$30,MATCH(CK451,Boundaries!$A$2:$A$30,0),0),1)-1,""))</f>
        <v/>
      </c>
      <c r="AB451" s="42" t="str">
        <f aca="false">IF(OR(AA451="",$E451=""),"",AA451-$E451)</f>
        <v/>
      </c>
      <c r="AC451" s="39"/>
      <c r="AD451" s="40" t="str">
        <f aca="false">IF(OR(AC451="",BX451=""),"",AC451/BX451*100)</f>
        <v/>
      </c>
      <c r="AE451" s="41" t="str">
        <f aca="false">IF(AD451="","",IFERROR(MATCH(AD451,INDEX(Boundaries!$B$2:$I$30,MATCH(CL451,Boundaries!$A$2:$A$30,0),0),1)-1,""))</f>
        <v/>
      </c>
      <c r="AF451" s="42" t="str">
        <f aca="false">IF(OR(AE451="",$E451=""),"",AE451-$E451)</f>
        <v/>
      </c>
      <c r="AG451" s="39"/>
      <c r="AH451" s="40" t="str">
        <f aca="false">IF(OR(AG451="",BY451=""),"",AG451/BY451*100)</f>
        <v/>
      </c>
      <c r="AI451" s="41" t="str">
        <f aca="false">IF(AH451="","",IFERROR(MATCH(AH451,INDEX(Boundaries!$B$2:$I$30,MATCH(CM451,Boundaries!$A$2:$A$30,0),0),1)-1,""))</f>
        <v/>
      </c>
      <c r="AJ451" s="42" t="str">
        <f aca="false">IF(OR(AI451="",$E451=""),"",AI451-$E451)</f>
        <v/>
      </c>
      <c r="AK451" s="39"/>
      <c r="AL451" s="40" t="str">
        <f aca="false">IF(OR(AK451="",BZ451=""),"",AK451/BZ451*100)</f>
        <v/>
      </c>
      <c r="AM451" s="41" t="str">
        <f aca="false">IF(AL451="","",IFERROR(MATCH(AL451,INDEX(Boundaries!$B$2:$I$30,MATCH(CN451,Boundaries!$A$2:$A$30,0),0),1)-1,""))</f>
        <v/>
      </c>
      <c r="AN451" s="42" t="str">
        <f aca="false">IF(OR(AM451="",$E451=""),"",AM451-$E451)</f>
        <v/>
      </c>
      <c r="AO451" s="39"/>
      <c r="AP451" s="40" t="str">
        <f aca="false">IF(OR(AO451="",CA451=""),"",AO451/CA451*100)</f>
        <v/>
      </c>
      <c r="AQ451" s="41" t="str">
        <f aca="false">IF(AP451="","",IFERROR(MATCH(AP451,INDEX(Boundaries!$B$2:$I$30,MATCH(CO451,Boundaries!$A$2:$A$30,0),0),1)-1,""))</f>
        <v/>
      </c>
      <c r="AR451" s="42" t="str">
        <f aca="false">IF(OR(AQ451="",$E451=""),"",AQ451-$E451)</f>
        <v/>
      </c>
      <c r="AS451" s="39"/>
      <c r="AT451" s="40" t="str">
        <f aca="false">IF(OR(AS451="",CB451=""),"",AS451/CB451*100)</f>
        <v/>
      </c>
      <c r="AU451" s="41" t="str">
        <f aca="false">IF(AT451="","",IFERROR(MATCH(AT451,INDEX(Boundaries!$B$2:$I$30,MATCH(CP451,Boundaries!$A$2:$A$30,0),0),1)-1,""))</f>
        <v/>
      </c>
      <c r="AV451" s="42" t="str">
        <f aca="false">IF(OR(AU451="",$E451=""),"",AU451-$E451)</f>
        <v/>
      </c>
      <c r="AW451" s="39"/>
      <c r="AX451" s="40" t="str">
        <f aca="false">IF(OR(AW451="",CC451=""),"",AW451/CC451*100)</f>
        <v/>
      </c>
      <c r="AY451" s="41" t="str">
        <f aca="false">IF(AX451="","",IFERROR(MATCH(AX451,INDEX(Boundaries!$B$2:$I$30,MATCH(CQ451,Boundaries!$A$2:$A$30,0),0),1)-1,""))</f>
        <v/>
      </c>
      <c r="AZ451" s="42" t="str">
        <f aca="false">IF(OR(AY451="",$E451=""),"",AY451-$E451)</f>
        <v/>
      </c>
      <c r="BA451" s="39"/>
      <c r="BB451" s="40" t="str">
        <f aca="false">IF(OR(BA451="",CD451=""),"",BA451/CD451*100)</f>
        <v/>
      </c>
      <c r="BC451" s="41" t="str">
        <f aca="false">IF(BB451="","",IFERROR(MATCH(BB451,INDEX(Boundaries!$B$2:$I$30,MATCH(CR451,Boundaries!$A$2:$A$30,0),0),1)-1,""))</f>
        <v/>
      </c>
      <c r="BD451" s="42" t="str">
        <f aca="false">IF(OR(BC451="",$E451=""),"",BC451-$E451)</f>
        <v/>
      </c>
      <c r="BE451" s="39"/>
      <c r="BF451" s="40" t="str">
        <f aca="false">IF(OR(BE451="",CE451=""),"",BE451/CE451*100)</f>
        <v/>
      </c>
      <c r="BG451" s="41" t="str">
        <f aca="false">IF(BF451="","",IFERROR(MATCH(BF451,INDEX(Boundaries!$B$2:$I$30,MATCH(CS451,Boundaries!$A$2:$A$30,0),0),1)-1,""))</f>
        <v/>
      </c>
      <c r="BH451" s="42" t="str">
        <f aca="false">IF(OR(BG451="",$E451=""),"",BG451-$E451)</f>
        <v/>
      </c>
      <c r="BI451" s="39"/>
      <c r="BJ451" s="40" t="str">
        <f aca="false">IF(OR(BI451="",CF451=""),"",BI451/CF451*100)</f>
        <v/>
      </c>
      <c r="BK451" s="41" t="str">
        <f aca="false">IF(BJ451="","",IFERROR(MATCH(BJ451,INDEX(Boundaries!$B$2:$I$30,MATCH(CT451,Boundaries!$A$2:$A$30,0),0),1)-1,""))</f>
        <v/>
      </c>
      <c r="BL451" s="42" t="str">
        <f aca="false">IF(OR(BK451="",$E451=""),"",BK451-$E451)</f>
        <v/>
      </c>
      <c r="BM451" s="39"/>
      <c r="BN451" s="40" t="str">
        <f aca="false">IF(OR(BM451="",CG451=""),"",BM451/CG451*100)</f>
        <v/>
      </c>
      <c r="BO451" s="41" t="str">
        <f aca="false">IF(BN451="","",IFERROR(MATCH(BN451,INDEX(Boundaries!$B$2:$I$30,MATCH(CU451,Boundaries!$A$2:$A$30,0),0),1)-1,""))</f>
        <v/>
      </c>
      <c r="BP451" s="42" t="str">
        <f aca="false">IF(OR(BO451="",$E451=""),"",BO451-$E451)</f>
        <v/>
      </c>
      <c r="BQ451" s="39"/>
      <c r="BR451" s="40" t="str">
        <f aca="false">IF(OR(BQ451="",CH451=""),"",BQ451/CH451*100)</f>
        <v/>
      </c>
      <c r="BS451" s="41" t="str">
        <f aca="false">IF(BR451="","",IFERROR(MATCH(BR451,INDEX(Boundaries!$B$2:$I$30,MATCH(CV451,Boundaries!$A$2:$A$30,0),0),1)-1,""))</f>
        <v/>
      </c>
      <c r="BT451" s="42" t="str">
        <f aca="false">IF(OR(BS451="",$E451=""),"",BS451-$E451)</f>
        <v/>
      </c>
      <c r="BU451" s="28" t="str">
        <f aca="false">IFERROR(INDEX(Assessments!$H$2:$H$600,MATCH($H451&amp;"|"&amp;$I451&amp;"|"&amp;$J451&amp;"|"&amp;1,Assessments!$A$2:$A$600,0)),"")</f>
        <v/>
      </c>
      <c r="BV451" s="28" t="str">
        <f aca="false">IFERROR(INDEX(Assessments!$H$2:$H$600,MATCH($H451&amp;"|"&amp;$I451&amp;"|"&amp;$J451&amp;"|"&amp;2,Assessments!$A$2:$A$600,0)),"")</f>
        <v/>
      </c>
      <c r="BW451" s="28" t="str">
        <f aca="false">IFERROR(INDEX(Assessments!$H$2:$H$600,MATCH($H451&amp;"|"&amp;$I451&amp;"|"&amp;$J451&amp;"|"&amp;3,Assessments!$A$2:$A$600,0)),"")</f>
        <v/>
      </c>
      <c r="BX451" s="28" t="str">
        <f aca="false">IFERROR(INDEX(Assessments!$H$2:$H$600,MATCH($H451&amp;"|"&amp;$I451&amp;"|"&amp;$J451&amp;"|"&amp;4,Assessments!$A$2:$A$600,0)),"")</f>
        <v/>
      </c>
      <c r="BY451" s="28" t="str">
        <f aca="false">IFERROR(INDEX(Assessments!$H$2:$H$600,MATCH($H451&amp;"|"&amp;$I451&amp;"|"&amp;$J451&amp;"|"&amp;5,Assessments!$A$2:$A$600,0)),"")</f>
        <v/>
      </c>
      <c r="BZ451" s="28" t="str">
        <f aca="false">IFERROR(INDEX(Assessments!$H$2:$H$600,MATCH($H451&amp;"|"&amp;$I451&amp;"|"&amp;$J451&amp;"|"&amp;6,Assessments!$A$2:$A$600,0)),"")</f>
        <v/>
      </c>
      <c r="CA451" s="28" t="str">
        <f aca="false">IFERROR(INDEX(Assessments!$H$2:$H$600,MATCH($H451&amp;"|"&amp;$I451&amp;"|"&amp;$J451&amp;"|"&amp;7,Assessments!$A$2:$A$600,0)),"")</f>
        <v/>
      </c>
      <c r="CB451" s="28" t="str">
        <f aca="false">IFERROR(INDEX(Assessments!$H$2:$H$600,MATCH($H451&amp;"|"&amp;$I451&amp;"|"&amp;$J451&amp;"|"&amp;8,Assessments!$A$2:$A$600,0)),"")</f>
        <v/>
      </c>
      <c r="CC451" s="28" t="str">
        <f aca="false">IFERROR(INDEX(Assessments!$H$2:$H$600,MATCH($H451&amp;"|"&amp;$I451&amp;"|"&amp;$J451&amp;"|"&amp;9,Assessments!$A$2:$A$600,0)),"")</f>
        <v/>
      </c>
      <c r="CD451" s="28" t="str">
        <f aca="false">IFERROR(INDEX(Assessments!$H$2:$H$600,MATCH($H451&amp;"|"&amp;$I451&amp;"|"&amp;$J451&amp;"|"&amp;10,Assessments!$A$2:$A$600,0)),"")</f>
        <v/>
      </c>
      <c r="CE451" s="28" t="str">
        <f aca="false">IFERROR(INDEX(Assessments!$H$2:$H$600,MATCH($H451&amp;"|"&amp;$I451&amp;"|"&amp;$J451&amp;"|"&amp;11,Assessments!$A$2:$A$600,0)),"")</f>
        <v/>
      </c>
      <c r="CF451" s="28" t="str">
        <f aca="false">IFERROR(INDEX(Assessments!$H$2:$H$600,MATCH($H451&amp;"|"&amp;$I451&amp;"|"&amp;$J451&amp;"|"&amp;12,Assessments!$A$2:$A$600,0)),"")</f>
        <v/>
      </c>
      <c r="CG451" s="28" t="str">
        <f aca="false">IFERROR(INDEX(Assessments!$H$2:$H$600,MATCH($H451&amp;"|"&amp;$I451&amp;"|"&amp;$J451&amp;"|"&amp;13,Assessments!$A$2:$A$600,0)),"")</f>
        <v/>
      </c>
      <c r="CH451" s="28" t="str">
        <f aca="false">IFERROR(INDEX(Assessments!$H$2:$H$600,MATCH($H451&amp;"|"&amp;$I451&amp;"|"&amp;$J451&amp;"|"&amp;14,Assessments!$A$2:$A$600,0)),"")</f>
        <v/>
      </c>
      <c r="CI451" s="28" t="str">
        <f aca="false">IFERROR(INDEX(Assessments!$I$2:$I$600,MATCH($H451&amp;"|"&amp;$I451&amp;"|"&amp;$J451&amp;"|"&amp;1,Assessments!$A$2:$A$600,0)),"")</f>
        <v/>
      </c>
      <c r="CJ451" s="28" t="str">
        <f aca="false">IFERROR(INDEX(Assessments!$I$2:$I$600,MATCH($H451&amp;"|"&amp;$I451&amp;"|"&amp;$J451&amp;"|"&amp;2,Assessments!$A$2:$A$600,0)),"")</f>
        <v/>
      </c>
      <c r="CK451" s="28" t="str">
        <f aca="false">IFERROR(INDEX(Assessments!$I$2:$I$600,MATCH($H451&amp;"|"&amp;$I451&amp;"|"&amp;$J451&amp;"|"&amp;3,Assessments!$A$2:$A$600,0)),"")</f>
        <v/>
      </c>
      <c r="CL451" s="28" t="str">
        <f aca="false">IFERROR(INDEX(Assessments!$I$2:$I$600,MATCH($H451&amp;"|"&amp;$I451&amp;"|"&amp;$J451&amp;"|"&amp;4,Assessments!$A$2:$A$600,0)),"")</f>
        <v/>
      </c>
      <c r="CM451" s="28" t="str">
        <f aca="false">IFERROR(INDEX(Assessments!$I$2:$I$600,MATCH($H451&amp;"|"&amp;$I451&amp;"|"&amp;$J451&amp;"|"&amp;5,Assessments!$A$2:$A$600,0)),"")</f>
        <v/>
      </c>
      <c r="CN451" s="28" t="str">
        <f aca="false">IFERROR(INDEX(Assessments!$I$2:$I$600,MATCH($H451&amp;"|"&amp;$I451&amp;"|"&amp;$J451&amp;"|"&amp;6,Assessments!$A$2:$A$600,0)),"")</f>
        <v/>
      </c>
      <c r="CO451" s="28" t="str">
        <f aca="false">IFERROR(INDEX(Assessments!$I$2:$I$600,MATCH($H451&amp;"|"&amp;$I451&amp;"|"&amp;$J451&amp;"|"&amp;7,Assessments!$A$2:$A$600,0)),"")</f>
        <v/>
      </c>
      <c r="CP451" s="28" t="str">
        <f aca="false">IFERROR(INDEX(Assessments!$I$2:$I$600,MATCH($H451&amp;"|"&amp;$I451&amp;"|"&amp;$J451&amp;"|"&amp;8,Assessments!$A$2:$A$600,0)),"")</f>
        <v/>
      </c>
      <c r="CQ451" s="28" t="str">
        <f aca="false">IFERROR(INDEX(Assessments!$I$2:$I$600,MATCH($H451&amp;"|"&amp;$I451&amp;"|"&amp;$J451&amp;"|"&amp;9,Assessments!$A$2:$A$600,0)),"")</f>
        <v/>
      </c>
      <c r="CR451" s="28" t="str">
        <f aca="false">IFERROR(INDEX(Assessments!$I$2:$I$600,MATCH($H451&amp;"|"&amp;$I451&amp;"|"&amp;$J451&amp;"|"&amp;10,Assessments!$A$2:$A$600,0)),"")</f>
        <v/>
      </c>
      <c r="CS451" s="28" t="str">
        <f aca="false">IFERROR(INDEX(Assessments!$I$2:$I$600,MATCH($H451&amp;"|"&amp;$I451&amp;"|"&amp;$J451&amp;"|"&amp;11,Assessments!$A$2:$A$600,0)),"")</f>
        <v/>
      </c>
      <c r="CT451" s="28" t="str">
        <f aca="false">IFERROR(INDEX(Assessments!$I$2:$I$600,MATCH($H451&amp;"|"&amp;$I451&amp;"|"&amp;$J451&amp;"|"&amp;12,Assessments!$A$2:$A$600,0)),"")</f>
        <v/>
      </c>
      <c r="CU451" s="28" t="str">
        <f aca="false">IFERROR(INDEX(Assessments!$I$2:$I$600,MATCH($H451&amp;"|"&amp;$I451&amp;"|"&amp;$J451&amp;"|"&amp;13,Assessments!$A$2:$A$600,0)),"")</f>
        <v/>
      </c>
      <c r="CV451" s="28" t="str">
        <f aca="false">IFERROR(INDEX(Assessments!$I$2:$I$600,MATCH($H451&amp;"|"&amp;$I451&amp;"|"&amp;$J451&amp;"|"&amp;14,Assessments!$A$2:$A$600,0)),"")</f>
        <v/>
      </c>
      <c r="CW451" s="28" t="n">
        <f aca="false">IFERROR(INDEX(Assessments!$J$2:$J$600,MATCH($H451&amp;"|"&amp;$I451&amp;"|"&amp;$J451&amp;"|"&amp;1,Assessments!$A$2:$A$600,0)),0)</f>
        <v>0</v>
      </c>
      <c r="CX451" s="28" t="n">
        <f aca="false">IFERROR(INDEX(Assessments!$J$2:$J$600,MATCH($H451&amp;"|"&amp;$I451&amp;"|"&amp;$J451&amp;"|"&amp;2,Assessments!$A$2:$A$600,0)),0)</f>
        <v>0</v>
      </c>
      <c r="CY451" s="28" t="n">
        <f aca="false">IFERROR(INDEX(Assessments!$J$2:$J$600,MATCH($H451&amp;"|"&amp;$I451&amp;"|"&amp;$J451&amp;"|"&amp;3,Assessments!$A$2:$A$600,0)),0)</f>
        <v>0</v>
      </c>
      <c r="CZ451" s="28" t="n">
        <f aca="false">IFERROR(INDEX(Assessments!$J$2:$J$600,MATCH($H451&amp;"|"&amp;$I451&amp;"|"&amp;$J451&amp;"|"&amp;4,Assessments!$A$2:$A$600,0)),0)</f>
        <v>0</v>
      </c>
      <c r="DA451" s="28" t="n">
        <f aca="false">IFERROR(INDEX(Assessments!$J$2:$J$600,MATCH($H451&amp;"|"&amp;$I451&amp;"|"&amp;$J451&amp;"|"&amp;5,Assessments!$A$2:$A$600,0)),0)</f>
        <v>0</v>
      </c>
      <c r="DB451" s="28" t="n">
        <f aca="false">IFERROR(INDEX(Assessments!$J$2:$J$600,MATCH($H451&amp;"|"&amp;$I451&amp;"|"&amp;$J451&amp;"|"&amp;6,Assessments!$A$2:$A$600,0)),0)</f>
        <v>0</v>
      </c>
      <c r="DC451" s="28" t="n">
        <f aca="false">IFERROR(INDEX(Assessments!$J$2:$J$600,MATCH($H451&amp;"|"&amp;$I451&amp;"|"&amp;$J451&amp;"|"&amp;7,Assessments!$A$2:$A$600,0)),0)</f>
        <v>0</v>
      </c>
      <c r="DD451" s="28" t="n">
        <f aca="false">IFERROR(INDEX(Assessments!$J$2:$J$600,MATCH($H451&amp;"|"&amp;$I451&amp;"|"&amp;$J451&amp;"|"&amp;8,Assessments!$A$2:$A$600,0)),0)</f>
        <v>0</v>
      </c>
      <c r="DE451" s="28" t="n">
        <f aca="false">IFERROR(INDEX(Assessments!$J$2:$J$600,MATCH($H451&amp;"|"&amp;$I451&amp;"|"&amp;$J451&amp;"|"&amp;9,Assessments!$A$2:$A$600,0)),0)</f>
        <v>0</v>
      </c>
      <c r="DF451" s="28" t="n">
        <f aca="false">IFERROR(INDEX(Assessments!$J$2:$J$600,MATCH($H451&amp;"|"&amp;$I451&amp;"|"&amp;$J451&amp;"|"&amp;10,Assessments!$A$2:$A$600,0)),0)</f>
        <v>0</v>
      </c>
      <c r="DG451" s="28" t="n">
        <f aca="false">IFERROR(INDEX(Assessments!$J$2:$J$600,MATCH($H451&amp;"|"&amp;$I451&amp;"|"&amp;$J451&amp;"|"&amp;11,Assessments!$A$2:$A$600,0)),0)</f>
        <v>0</v>
      </c>
      <c r="DH451" s="28" t="n">
        <f aca="false">IFERROR(INDEX(Assessments!$J$2:$J$600,MATCH($H451&amp;"|"&amp;$I451&amp;"|"&amp;$J451&amp;"|"&amp;12,Assessments!$A$2:$A$600,0)),0)</f>
        <v>0</v>
      </c>
      <c r="DI451" s="28" t="n">
        <f aca="false">IFERROR(INDEX(Assessments!$J$2:$J$600,MATCH($H451&amp;"|"&amp;$I451&amp;"|"&amp;$J451&amp;"|"&amp;13,Assessments!$A$2:$A$600,0)),0)</f>
        <v>0</v>
      </c>
      <c r="DJ451" s="28" t="n">
        <f aca="false">IFERROR(INDEX(Assessments!$J$2:$J$600,MATCH($H451&amp;"|"&amp;$I451&amp;"|"&amp;$J451&amp;"|"&amp;14,Assessments!$A$2:$A$600,0)),0)</f>
        <v>0</v>
      </c>
      <c r="DK451" s="28" t="str">
        <f aca="false">S451</f>
        <v/>
      </c>
      <c r="DL451" s="28" t="str">
        <f aca="false">W451</f>
        <v/>
      </c>
      <c r="DM451" s="28" t="str">
        <f aca="false">AA451</f>
        <v/>
      </c>
      <c r="DN451" s="28" t="str">
        <f aca="false">AE451</f>
        <v/>
      </c>
      <c r="DO451" s="28" t="str">
        <f aca="false">AI451</f>
        <v/>
      </c>
      <c r="DP451" s="28" t="str">
        <f aca="false">AM451</f>
        <v/>
      </c>
      <c r="DQ451" s="28" t="str">
        <f aca="false">AQ451</f>
        <v/>
      </c>
      <c r="DR451" s="28" t="str">
        <f aca="false">AU451</f>
        <v/>
      </c>
      <c r="DS451" s="28" t="str">
        <f aca="false">AY451</f>
        <v/>
      </c>
      <c r="DT451" s="28" t="str">
        <f aca="false">BC451</f>
        <v/>
      </c>
      <c r="DU451" s="28" t="str">
        <f aca="false">BG451</f>
        <v/>
      </c>
      <c r="DV451" s="28" t="str">
        <f aca="false">BK451</f>
        <v/>
      </c>
      <c r="DW451" s="28" t="str">
        <f aca="false">BO451</f>
        <v/>
      </c>
      <c r="DX451" s="28" t="str">
        <f aca="false">BS451</f>
        <v/>
      </c>
      <c r="DY451" s="28" t="str">
        <f aca="false">IF(ISNUMBER(S451),1,"")</f>
        <v/>
      </c>
      <c r="DZ451" s="28" t="str">
        <f aca="false">IF(ISNUMBER(W451),2,"")</f>
        <v/>
      </c>
      <c r="EA451" s="28" t="str">
        <f aca="false">IF(ISNUMBER(AA451),3,"")</f>
        <v/>
      </c>
      <c r="EB451" s="28" t="str">
        <f aca="false">IF(ISNUMBER(AE451),4,"")</f>
        <v/>
      </c>
      <c r="EC451" s="28" t="str">
        <f aca="false">IF(ISNUMBER(AI451),5,"")</f>
        <v/>
      </c>
      <c r="ED451" s="28" t="str">
        <f aca="false">IF(ISNUMBER(AM451),6,"")</f>
        <v/>
      </c>
      <c r="EE451" s="28" t="str">
        <f aca="false">IF(ISNUMBER(AQ451),7,"")</f>
        <v/>
      </c>
      <c r="EF451" s="28" t="str">
        <f aca="false">IF(ISNUMBER(AU451),8,"")</f>
        <v/>
      </c>
      <c r="EG451" s="28" t="str">
        <f aca="false">IF(ISNUMBER(AY451),9,"")</f>
        <v/>
      </c>
      <c r="EH451" s="28" t="str">
        <f aca="false">IF(ISNUMBER(BC451),10,"")</f>
        <v/>
      </c>
      <c r="EI451" s="28" t="str">
        <f aca="false">IF(ISNUMBER(BG451),11,"")</f>
        <v/>
      </c>
      <c r="EJ451" s="28" t="str">
        <f aca="false">IF(ISNUMBER(BK451),12,"")</f>
        <v/>
      </c>
      <c r="EK451" s="28" t="str">
        <f aca="false">IF(ISNUMBER(BO451),13,"")</f>
        <v/>
      </c>
      <c r="EL451" s="28" t="str">
        <f aca="false">IF(ISNUMBER(BS451),14,"")</f>
        <v/>
      </c>
      <c r="EM451" s="28" t="n">
        <f aca="false">IF(ISNUMBER(R451),R451*CW451,0)</f>
        <v>0</v>
      </c>
      <c r="EN451" s="28" t="n">
        <f aca="false">IF(ISNUMBER(V451),V451*CX451,0)</f>
        <v>0</v>
      </c>
      <c r="EO451" s="28" t="n">
        <f aca="false">IF(ISNUMBER(Z451),Z451*CY451,0)</f>
        <v>0</v>
      </c>
      <c r="EP451" s="28" t="n">
        <f aca="false">IF(ISNUMBER(AD451),AD451*CZ451,0)</f>
        <v>0</v>
      </c>
      <c r="EQ451" s="28" t="n">
        <f aca="false">IF(ISNUMBER(AH451),AH451*DA451,0)</f>
        <v>0</v>
      </c>
      <c r="ER451" s="28" t="n">
        <f aca="false">IF(ISNUMBER(AL451),AL451*DB451,0)</f>
        <v>0</v>
      </c>
      <c r="ES451" s="28" t="n">
        <f aca="false">IF(ISNUMBER(AP451),AP451*DC451,0)</f>
        <v>0</v>
      </c>
      <c r="ET451" s="28" t="n">
        <f aca="false">IF(ISNUMBER(AT451),AT451*DD451,0)</f>
        <v>0</v>
      </c>
      <c r="EU451" s="28" t="n">
        <f aca="false">IF(ISNUMBER(AX451),AX451*DE451,0)</f>
        <v>0</v>
      </c>
      <c r="EV451" s="28" t="n">
        <f aca="false">IF(ISNUMBER(BB451),BB451*DF451,0)</f>
        <v>0</v>
      </c>
      <c r="EW451" s="28" t="n">
        <f aca="false">IF(ISNUMBER(BF451),BF451*DG451,0)</f>
        <v>0</v>
      </c>
      <c r="EX451" s="28" t="n">
        <f aca="false">IF(ISNUMBER(BJ451),BJ451*DH451,0)</f>
        <v>0</v>
      </c>
      <c r="EY451" s="28" t="n">
        <f aca="false">IF(ISNUMBER(BN451),BN451*DI451,0)</f>
        <v>0</v>
      </c>
      <c r="EZ451" s="28" t="n">
        <f aca="false">IF(ISNUMBER(BR451),BR451*DJ451,0)</f>
        <v>0</v>
      </c>
      <c r="FA451" s="28" t="n">
        <f aca="false">IF(ISNUMBER(R451),CW451,0)</f>
        <v>0</v>
      </c>
      <c r="FB451" s="28" t="n">
        <f aca="false">IF(ISNUMBER(V451),CX451,0)</f>
        <v>0</v>
      </c>
      <c r="FC451" s="28" t="n">
        <f aca="false">IF(ISNUMBER(Z451),CY451,0)</f>
        <v>0</v>
      </c>
      <c r="FD451" s="28" t="n">
        <f aca="false">IF(ISNUMBER(AD451),CZ451,0)</f>
        <v>0</v>
      </c>
      <c r="FE451" s="28" t="n">
        <f aca="false">IF(ISNUMBER(AH451),DA451,0)</f>
        <v>0</v>
      </c>
      <c r="FF451" s="28" t="n">
        <f aca="false">IF(ISNUMBER(AL451),DB451,0)</f>
        <v>0</v>
      </c>
      <c r="FG451" s="28" t="n">
        <f aca="false">IF(ISNUMBER(AP451),DC451,0)</f>
        <v>0</v>
      </c>
      <c r="FH451" s="28" t="n">
        <f aca="false">IF(ISNUMBER(AT451),DD451,0)</f>
        <v>0</v>
      </c>
      <c r="FI451" s="28" t="n">
        <f aca="false">IF(ISNUMBER(AX451),DE451,0)</f>
        <v>0</v>
      </c>
      <c r="FJ451" s="28" t="n">
        <f aca="false">IF(ISNUMBER(BB451),DF451,0)</f>
        <v>0</v>
      </c>
      <c r="FK451" s="28" t="n">
        <f aca="false">IF(ISNUMBER(BF451),DG451,0)</f>
        <v>0</v>
      </c>
      <c r="FL451" s="28" t="n">
        <f aca="false">IF(ISNUMBER(BJ451),DH451,0)</f>
        <v>0</v>
      </c>
      <c r="FM451" s="28" t="n">
        <f aca="false">IF(ISNUMBER(BN451),DI451,0)</f>
        <v>0</v>
      </c>
      <c r="FN451" s="28" t="n">
        <f aca="false">IF(ISNUMBER(BR451),DJ451,0)</f>
        <v>0</v>
      </c>
      <c r="FO451" s="28" t="str">
        <f aca="false">IFERROR(INDEX(Lists!$G$2:$G$20,MATCH($I451&amp;"|"&amp;$J451,Lists!$F$2:$F$20,0)),"")</f>
        <v/>
      </c>
    </row>
    <row r="452" customFormat="false" ht="19.5" hidden="false" customHeight="true" outlineLevel="0" collapsed="false">
      <c r="A452" s="29"/>
      <c r="B452" s="29"/>
      <c r="C452" s="30"/>
      <c r="D452" s="30"/>
      <c r="E452" s="31"/>
      <c r="F452" s="30"/>
      <c r="G452" s="30"/>
      <c r="H452" s="32"/>
      <c r="I452" s="33"/>
      <c r="J452" s="32"/>
      <c r="K452" s="34" t="str">
        <f aca="false">IF(OR(M452="",$E452=""),"",M452-$E452)</f>
        <v/>
      </c>
      <c r="L452" s="35" t="str">
        <f aca="false">IF(SUM(FA452:FN452)=0,"",SUM(EM452:EZ452)/SUM(FA452:FN452))</f>
        <v/>
      </c>
      <c r="M452" s="36" t="str">
        <f aca="false">IF(OR(L452="",FO452=""),"",IFERROR(MATCH(L452,INDEX(Boundaries!$B$2:$I$30,MATCH(FO452,Boundaries!$A$2:$A$30,0),0),1)-1,""))</f>
        <v/>
      </c>
      <c r="N452" s="37" t="str">
        <f aca="false">IF(COUNT($DY452:$EL452)&lt;2,"",INDEX($DK452:$DX452,MAX($DY452:$EL452))-INDEX($DK452:$DX452,MIN($DY452:$EL452)))</f>
        <v/>
      </c>
      <c r="O452" s="37" t="str">
        <f aca="false">IF(COUNT($DY452:$EL452)&lt;2,"",INDEX($DK452:$DX452,MAX($DY452:$EL452))-INDEX($DK452:$DX452,LARGE($DY452:$EL452,2)))</f>
        <v/>
      </c>
      <c r="P452" s="38" t="str">
        <f aca="false">IF(K452="","",IF(K452&gt;=0,"On/above target",IF(AND(N452&lt;&gt;"",N452&gt;=0.5),"Improving towards target",IF(AND(O452&lt;&gt;"",O452&lt;=-0.5),"Declining","Stable below target"))))</f>
        <v/>
      </c>
      <c r="Q452" s="39"/>
      <c r="R452" s="40" t="str">
        <f aca="false">IF(OR(Q452="",BU452=""),"",Q452/BU452*100)</f>
        <v/>
      </c>
      <c r="S452" s="41" t="str">
        <f aca="false">IF(R452="","",IFERROR(MATCH(R452,INDEX(Boundaries!$B$2:$I$30,MATCH(CI452,Boundaries!$A$2:$A$30,0),0),1)-1,""))</f>
        <v/>
      </c>
      <c r="T452" s="42" t="str">
        <f aca="false">IF(OR(S452="",$E452=""),"",S452-$E452)</f>
        <v/>
      </c>
      <c r="U452" s="39"/>
      <c r="V452" s="40" t="str">
        <f aca="false">IF(OR(U452="",BV452=""),"",U452/BV452*100)</f>
        <v/>
      </c>
      <c r="W452" s="41" t="str">
        <f aca="false">IF(V452="","",IFERROR(MATCH(V452,INDEX(Boundaries!$B$2:$I$30,MATCH(CJ452,Boundaries!$A$2:$A$30,0),0),1)-1,""))</f>
        <v/>
      </c>
      <c r="X452" s="42" t="str">
        <f aca="false">IF(OR(W452="",$E452=""),"",W452-$E452)</f>
        <v/>
      </c>
      <c r="Y452" s="39"/>
      <c r="Z452" s="40" t="str">
        <f aca="false">IF(OR(Y452="",BW452=""),"",Y452/BW452*100)</f>
        <v/>
      </c>
      <c r="AA452" s="41" t="str">
        <f aca="false">IF(Z452="","",IFERROR(MATCH(Z452,INDEX(Boundaries!$B$2:$I$30,MATCH(CK452,Boundaries!$A$2:$A$30,0),0),1)-1,""))</f>
        <v/>
      </c>
      <c r="AB452" s="42" t="str">
        <f aca="false">IF(OR(AA452="",$E452=""),"",AA452-$E452)</f>
        <v/>
      </c>
      <c r="AC452" s="39"/>
      <c r="AD452" s="40" t="str">
        <f aca="false">IF(OR(AC452="",BX452=""),"",AC452/BX452*100)</f>
        <v/>
      </c>
      <c r="AE452" s="41" t="str">
        <f aca="false">IF(AD452="","",IFERROR(MATCH(AD452,INDEX(Boundaries!$B$2:$I$30,MATCH(CL452,Boundaries!$A$2:$A$30,0),0),1)-1,""))</f>
        <v/>
      </c>
      <c r="AF452" s="42" t="str">
        <f aca="false">IF(OR(AE452="",$E452=""),"",AE452-$E452)</f>
        <v/>
      </c>
      <c r="AG452" s="39"/>
      <c r="AH452" s="40" t="str">
        <f aca="false">IF(OR(AG452="",BY452=""),"",AG452/BY452*100)</f>
        <v/>
      </c>
      <c r="AI452" s="41" t="str">
        <f aca="false">IF(AH452="","",IFERROR(MATCH(AH452,INDEX(Boundaries!$B$2:$I$30,MATCH(CM452,Boundaries!$A$2:$A$30,0),0),1)-1,""))</f>
        <v/>
      </c>
      <c r="AJ452" s="42" t="str">
        <f aca="false">IF(OR(AI452="",$E452=""),"",AI452-$E452)</f>
        <v/>
      </c>
      <c r="AK452" s="39"/>
      <c r="AL452" s="40" t="str">
        <f aca="false">IF(OR(AK452="",BZ452=""),"",AK452/BZ452*100)</f>
        <v/>
      </c>
      <c r="AM452" s="41" t="str">
        <f aca="false">IF(AL452="","",IFERROR(MATCH(AL452,INDEX(Boundaries!$B$2:$I$30,MATCH(CN452,Boundaries!$A$2:$A$30,0),0),1)-1,""))</f>
        <v/>
      </c>
      <c r="AN452" s="42" t="str">
        <f aca="false">IF(OR(AM452="",$E452=""),"",AM452-$E452)</f>
        <v/>
      </c>
      <c r="AO452" s="39"/>
      <c r="AP452" s="40" t="str">
        <f aca="false">IF(OR(AO452="",CA452=""),"",AO452/CA452*100)</f>
        <v/>
      </c>
      <c r="AQ452" s="41" t="str">
        <f aca="false">IF(AP452="","",IFERROR(MATCH(AP452,INDEX(Boundaries!$B$2:$I$30,MATCH(CO452,Boundaries!$A$2:$A$30,0),0),1)-1,""))</f>
        <v/>
      </c>
      <c r="AR452" s="42" t="str">
        <f aca="false">IF(OR(AQ452="",$E452=""),"",AQ452-$E452)</f>
        <v/>
      </c>
      <c r="AS452" s="39"/>
      <c r="AT452" s="40" t="str">
        <f aca="false">IF(OR(AS452="",CB452=""),"",AS452/CB452*100)</f>
        <v/>
      </c>
      <c r="AU452" s="41" t="str">
        <f aca="false">IF(AT452="","",IFERROR(MATCH(AT452,INDEX(Boundaries!$B$2:$I$30,MATCH(CP452,Boundaries!$A$2:$A$30,0),0),1)-1,""))</f>
        <v/>
      </c>
      <c r="AV452" s="42" t="str">
        <f aca="false">IF(OR(AU452="",$E452=""),"",AU452-$E452)</f>
        <v/>
      </c>
      <c r="AW452" s="39"/>
      <c r="AX452" s="40" t="str">
        <f aca="false">IF(OR(AW452="",CC452=""),"",AW452/CC452*100)</f>
        <v/>
      </c>
      <c r="AY452" s="41" t="str">
        <f aca="false">IF(AX452="","",IFERROR(MATCH(AX452,INDEX(Boundaries!$B$2:$I$30,MATCH(CQ452,Boundaries!$A$2:$A$30,0),0),1)-1,""))</f>
        <v/>
      </c>
      <c r="AZ452" s="42" t="str">
        <f aca="false">IF(OR(AY452="",$E452=""),"",AY452-$E452)</f>
        <v/>
      </c>
      <c r="BA452" s="39"/>
      <c r="BB452" s="40" t="str">
        <f aca="false">IF(OR(BA452="",CD452=""),"",BA452/CD452*100)</f>
        <v/>
      </c>
      <c r="BC452" s="41" t="str">
        <f aca="false">IF(BB452="","",IFERROR(MATCH(BB452,INDEX(Boundaries!$B$2:$I$30,MATCH(CR452,Boundaries!$A$2:$A$30,0),0),1)-1,""))</f>
        <v/>
      </c>
      <c r="BD452" s="42" t="str">
        <f aca="false">IF(OR(BC452="",$E452=""),"",BC452-$E452)</f>
        <v/>
      </c>
      <c r="BE452" s="39"/>
      <c r="BF452" s="40" t="str">
        <f aca="false">IF(OR(BE452="",CE452=""),"",BE452/CE452*100)</f>
        <v/>
      </c>
      <c r="BG452" s="41" t="str">
        <f aca="false">IF(BF452="","",IFERROR(MATCH(BF452,INDEX(Boundaries!$B$2:$I$30,MATCH(CS452,Boundaries!$A$2:$A$30,0),0),1)-1,""))</f>
        <v/>
      </c>
      <c r="BH452" s="42" t="str">
        <f aca="false">IF(OR(BG452="",$E452=""),"",BG452-$E452)</f>
        <v/>
      </c>
      <c r="BI452" s="39"/>
      <c r="BJ452" s="40" t="str">
        <f aca="false">IF(OR(BI452="",CF452=""),"",BI452/CF452*100)</f>
        <v/>
      </c>
      <c r="BK452" s="41" t="str">
        <f aca="false">IF(BJ452="","",IFERROR(MATCH(BJ452,INDEX(Boundaries!$B$2:$I$30,MATCH(CT452,Boundaries!$A$2:$A$30,0),0),1)-1,""))</f>
        <v/>
      </c>
      <c r="BL452" s="42" t="str">
        <f aca="false">IF(OR(BK452="",$E452=""),"",BK452-$E452)</f>
        <v/>
      </c>
      <c r="BM452" s="39"/>
      <c r="BN452" s="40" t="str">
        <f aca="false">IF(OR(BM452="",CG452=""),"",BM452/CG452*100)</f>
        <v/>
      </c>
      <c r="BO452" s="41" t="str">
        <f aca="false">IF(BN452="","",IFERROR(MATCH(BN452,INDEX(Boundaries!$B$2:$I$30,MATCH(CU452,Boundaries!$A$2:$A$30,0),0),1)-1,""))</f>
        <v/>
      </c>
      <c r="BP452" s="42" t="str">
        <f aca="false">IF(OR(BO452="",$E452=""),"",BO452-$E452)</f>
        <v/>
      </c>
      <c r="BQ452" s="39"/>
      <c r="BR452" s="40" t="str">
        <f aca="false">IF(OR(BQ452="",CH452=""),"",BQ452/CH452*100)</f>
        <v/>
      </c>
      <c r="BS452" s="41" t="str">
        <f aca="false">IF(BR452="","",IFERROR(MATCH(BR452,INDEX(Boundaries!$B$2:$I$30,MATCH(CV452,Boundaries!$A$2:$A$30,0),0),1)-1,""))</f>
        <v/>
      </c>
      <c r="BT452" s="42" t="str">
        <f aca="false">IF(OR(BS452="",$E452=""),"",BS452-$E452)</f>
        <v/>
      </c>
      <c r="BU452" s="28" t="str">
        <f aca="false">IFERROR(INDEX(Assessments!$H$2:$H$600,MATCH($H452&amp;"|"&amp;$I452&amp;"|"&amp;$J452&amp;"|"&amp;1,Assessments!$A$2:$A$600,0)),"")</f>
        <v/>
      </c>
      <c r="BV452" s="28" t="str">
        <f aca="false">IFERROR(INDEX(Assessments!$H$2:$H$600,MATCH($H452&amp;"|"&amp;$I452&amp;"|"&amp;$J452&amp;"|"&amp;2,Assessments!$A$2:$A$600,0)),"")</f>
        <v/>
      </c>
      <c r="BW452" s="28" t="str">
        <f aca="false">IFERROR(INDEX(Assessments!$H$2:$H$600,MATCH($H452&amp;"|"&amp;$I452&amp;"|"&amp;$J452&amp;"|"&amp;3,Assessments!$A$2:$A$600,0)),"")</f>
        <v/>
      </c>
      <c r="BX452" s="28" t="str">
        <f aca="false">IFERROR(INDEX(Assessments!$H$2:$H$600,MATCH($H452&amp;"|"&amp;$I452&amp;"|"&amp;$J452&amp;"|"&amp;4,Assessments!$A$2:$A$600,0)),"")</f>
        <v/>
      </c>
      <c r="BY452" s="28" t="str">
        <f aca="false">IFERROR(INDEX(Assessments!$H$2:$H$600,MATCH($H452&amp;"|"&amp;$I452&amp;"|"&amp;$J452&amp;"|"&amp;5,Assessments!$A$2:$A$600,0)),"")</f>
        <v/>
      </c>
      <c r="BZ452" s="28" t="str">
        <f aca="false">IFERROR(INDEX(Assessments!$H$2:$H$600,MATCH($H452&amp;"|"&amp;$I452&amp;"|"&amp;$J452&amp;"|"&amp;6,Assessments!$A$2:$A$600,0)),"")</f>
        <v/>
      </c>
      <c r="CA452" s="28" t="str">
        <f aca="false">IFERROR(INDEX(Assessments!$H$2:$H$600,MATCH($H452&amp;"|"&amp;$I452&amp;"|"&amp;$J452&amp;"|"&amp;7,Assessments!$A$2:$A$600,0)),"")</f>
        <v/>
      </c>
      <c r="CB452" s="28" t="str">
        <f aca="false">IFERROR(INDEX(Assessments!$H$2:$H$600,MATCH($H452&amp;"|"&amp;$I452&amp;"|"&amp;$J452&amp;"|"&amp;8,Assessments!$A$2:$A$600,0)),"")</f>
        <v/>
      </c>
      <c r="CC452" s="28" t="str">
        <f aca="false">IFERROR(INDEX(Assessments!$H$2:$H$600,MATCH($H452&amp;"|"&amp;$I452&amp;"|"&amp;$J452&amp;"|"&amp;9,Assessments!$A$2:$A$600,0)),"")</f>
        <v/>
      </c>
      <c r="CD452" s="28" t="str">
        <f aca="false">IFERROR(INDEX(Assessments!$H$2:$H$600,MATCH($H452&amp;"|"&amp;$I452&amp;"|"&amp;$J452&amp;"|"&amp;10,Assessments!$A$2:$A$600,0)),"")</f>
        <v/>
      </c>
      <c r="CE452" s="28" t="str">
        <f aca="false">IFERROR(INDEX(Assessments!$H$2:$H$600,MATCH($H452&amp;"|"&amp;$I452&amp;"|"&amp;$J452&amp;"|"&amp;11,Assessments!$A$2:$A$600,0)),"")</f>
        <v/>
      </c>
      <c r="CF452" s="28" t="str">
        <f aca="false">IFERROR(INDEX(Assessments!$H$2:$H$600,MATCH($H452&amp;"|"&amp;$I452&amp;"|"&amp;$J452&amp;"|"&amp;12,Assessments!$A$2:$A$600,0)),"")</f>
        <v/>
      </c>
      <c r="CG452" s="28" t="str">
        <f aca="false">IFERROR(INDEX(Assessments!$H$2:$H$600,MATCH($H452&amp;"|"&amp;$I452&amp;"|"&amp;$J452&amp;"|"&amp;13,Assessments!$A$2:$A$600,0)),"")</f>
        <v/>
      </c>
      <c r="CH452" s="28" t="str">
        <f aca="false">IFERROR(INDEX(Assessments!$H$2:$H$600,MATCH($H452&amp;"|"&amp;$I452&amp;"|"&amp;$J452&amp;"|"&amp;14,Assessments!$A$2:$A$600,0)),"")</f>
        <v/>
      </c>
      <c r="CI452" s="28" t="str">
        <f aca="false">IFERROR(INDEX(Assessments!$I$2:$I$600,MATCH($H452&amp;"|"&amp;$I452&amp;"|"&amp;$J452&amp;"|"&amp;1,Assessments!$A$2:$A$600,0)),"")</f>
        <v/>
      </c>
      <c r="CJ452" s="28" t="str">
        <f aca="false">IFERROR(INDEX(Assessments!$I$2:$I$600,MATCH($H452&amp;"|"&amp;$I452&amp;"|"&amp;$J452&amp;"|"&amp;2,Assessments!$A$2:$A$600,0)),"")</f>
        <v/>
      </c>
      <c r="CK452" s="28" t="str">
        <f aca="false">IFERROR(INDEX(Assessments!$I$2:$I$600,MATCH($H452&amp;"|"&amp;$I452&amp;"|"&amp;$J452&amp;"|"&amp;3,Assessments!$A$2:$A$600,0)),"")</f>
        <v/>
      </c>
      <c r="CL452" s="28" t="str">
        <f aca="false">IFERROR(INDEX(Assessments!$I$2:$I$600,MATCH($H452&amp;"|"&amp;$I452&amp;"|"&amp;$J452&amp;"|"&amp;4,Assessments!$A$2:$A$600,0)),"")</f>
        <v/>
      </c>
      <c r="CM452" s="28" t="str">
        <f aca="false">IFERROR(INDEX(Assessments!$I$2:$I$600,MATCH($H452&amp;"|"&amp;$I452&amp;"|"&amp;$J452&amp;"|"&amp;5,Assessments!$A$2:$A$600,0)),"")</f>
        <v/>
      </c>
      <c r="CN452" s="28" t="str">
        <f aca="false">IFERROR(INDEX(Assessments!$I$2:$I$600,MATCH($H452&amp;"|"&amp;$I452&amp;"|"&amp;$J452&amp;"|"&amp;6,Assessments!$A$2:$A$600,0)),"")</f>
        <v/>
      </c>
      <c r="CO452" s="28" t="str">
        <f aca="false">IFERROR(INDEX(Assessments!$I$2:$I$600,MATCH($H452&amp;"|"&amp;$I452&amp;"|"&amp;$J452&amp;"|"&amp;7,Assessments!$A$2:$A$600,0)),"")</f>
        <v/>
      </c>
      <c r="CP452" s="28" t="str">
        <f aca="false">IFERROR(INDEX(Assessments!$I$2:$I$600,MATCH($H452&amp;"|"&amp;$I452&amp;"|"&amp;$J452&amp;"|"&amp;8,Assessments!$A$2:$A$600,0)),"")</f>
        <v/>
      </c>
      <c r="CQ452" s="28" t="str">
        <f aca="false">IFERROR(INDEX(Assessments!$I$2:$I$600,MATCH($H452&amp;"|"&amp;$I452&amp;"|"&amp;$J452&amp;"|"&amp;9,Assessments!$A$2:$A$600,0)),"")</f>
        <v/>
      </c>
      <c r="CR452" s="28" t="str">
        <f aca="false">IFERROR(INDEX(Assessments!$I$2:$I$600,MATCH($H452&amp;"|"&amp;$I452&amp;"|"&amp;$J452&amp;"|"&amp;10,Assessments!$A$2:$A$600,0)),"")</f>
        <v/>
      </c>
      <c r="CS452" s="28" t="str">
        <f aca="false">IFERROR(INDEX(Assessments!$I$2:$I$600,MATCH($H452&amp;"|"&amp;$I452&amp;"|"&amp;$J452&amp;"|"&amp;11,Assessments!$A$2:$A$600,0)),"")</f>
        <v/>
      </c>
      <c r="CT452" s="28" t="str">
        <f aca="false">IFERROR(INDEX(Assessments!$I$2:$I$600,MATCH($H452&amp;"|"&amp;$I452&amp;"|"&amp;$J452&amp;"|"&amp;12,Assessments!$A$2:$A$600,0)),"")</f>
        <v/>
      </c>
      <c r="CU452" s="28" t="str">
        <f aca="false">IFERROR(INDEX(Assessments!$I$2:$I$600,MATCH($H452&amp;"|"&amp;$I452&amp;"|"&amp;$J452&amp;"|"&amp;13,Assessments!$A$2:$A$600,0)),"")</f>
        <v/>
      </c>
      <c r="CV452" s="28" t="str">
        <f aca="false">IFERROR(INDEX(Assessments!$I$2:$I$600,MATCH($H452&amp;"|"&amp;$I452&amp;"|"&amp;$J452&amp;"|"&amp;14,Assessments!$A$2:$A$600,0)),"")</f>
        <v/>
      </c>
      <c r="CW452" s="28" t="n">
        <f aca="false">IFERROR(INDEX(Assessments!$J$2:$J$600,MATCH($H452&amp;"|"&amp;$I452&amp;"|"&amp;$J452&amp;"|"&amp;1,Assessments!$A$2:$A$600,0)),0)</f>
        <v>0</v>
      </c>
      <c r="CX452" s="28" t="n">
        <f aca="false">IFERROR(INDEX(Assessments!$J$2:$J$600,MATCH($H452&amp;"|"&amp;$I452&amp;"|"&amp;$J452&amp;"|"&amp;2,Assessments!$A$2:$A$600,0)),0)</f>
        <v>0</v>
      </c>
      <c r="CY452" s="28" t="n">
        <f aca="false">IFERROR(INDEX(Assessments!$J$2:$J$600,MATCH($H452&amp;"|"&amp;$I452&amp;"|"&amp;$J452&amp;"|"&amp;3,Assessments!$A$2:$A$600,0)),0)</f>
        <v>0</v>
      </c>
      <c r="CZ452" s="28" t="n">
        <f aca="false">IFERROR(INDEX(Assessments!$J$2:$J$600,MATCH($H452&amp;"|"&amp;$I452&amp;"|"&amp;$J452&amp;"|"&amp;4,Assessments!$A$2:$A$600,0)),0)</f>
        <v>0</v>
      </c>
      <c r="DA452" s="28" t="n">
        <f aca="false">IFERROR(INDEX(Assessments!$J$2:$J$600,MATCH($H452&amp;"|"&amp;$I452&amp;"|"&amp;$J452&amp;"|"&amp;5,Assessments!$A$2:$A$600,0)),0)</f>
        <v>0</v>
      </c>
      <c r="DB452" s="28" t="n">
        <f aca="false">IFERROR(INDEX(Assessments!$J$2:$J$600,MATCH($H452&amp;"|"&amp;$I452&amp;"|"&amp;$J452&amp;"|"&amp;6,Assessments!$A$2:$A$600,0)),0)</f>
        <v>0</v>
      </c>
      <c r="DC452" s="28" t="n">
        <f aca="false">IFERROR(INDEX(Assessments!$J$2:$J$600,MATCH($H452&amp;"|"&amp;$I452&amp;"|"&amp;$J452&amp;"|"&amp;7,Assessments!$A$2:$A$600,0)),0)</f>
        <v>0</v>
      </c>
      <c r="DD452" s="28" t="n">
        <f aca="false">IFERROR(INDEX(Assessments!$J$2:$J$600,MATCH($H452&amp;"|"&amp;$I452&amp;"|"&amp;$J452&amp;"|"&amp;8,Assessments!$A$2:$A$600,0)),0)</f>
        <v>0</v>
      </c>
      <c r="DE452" s="28" t="n">
        <f aca="false">IFERROR(INDEX(Assessments!$J$2:$J$600,MATCH($H452&amp;"|"&amp;$I452&amp;"|"&amp;$J452&amp;"|"&amp;9,Assessments!$A$2:$A$600,0)),0)</f>
        <v>0</v>
      </c>
      <c r="DF452" s="28" t="n">
        <f aca="false">IFERROR(INDEX(Assessments!$J$2:$J$600,MATCH($H452&amp;"|"&amp;$I452&amp;"|"&amp;$J452&amp;"|"&amp;10,Assessments!$A$2:$A$600,0)),0)</f>
        <v>0</v>
      </c>
      <c r="DG452" s="28" t="n">
        <f aca="false">IFERROR(INDEX(Assessments!$J$2:$J$600,MATCH($H452&amp;"|"&amp;$I452&amp;"|"&amp;$J452&amp;"|"&amp;11,Assessments!$A$2:$A$600,0)),0)</f>
        <v>0</v>
      </c>
      <c r="DH452" s="28" t="n">
        <f aca="false">IFERROR(INDEX(Assessments!$J$2:$J$600,MATCH($H452&amp;"|"&amp;$I452&amp;"|"&amp;$J452&amp;"|"&amp;12,Assessments!$A$2:$A$600,0)),0)</f>
        <v>0</v>
      </c>
      <c r="DI452" s="28" t="n">
        <f aca="false">IFERROR(INDEX(Assessments!$J$2:$J$600,MATCH($H452&amp;"|"&amp;$I452&amp;"|"&amp;$J452&amp;"|"&amp;13,Assessments!$A$2:$A$600,0)),0)</f>
        <v>0</v>
      </c>
      <c r="DJ452" s="28" t="n">
        <f aca="false">IFERROR(INDEX(Assessments!$J$2:$J$600,MATCH($H452&amp;"|"&amp;$I452&amp;"|"&amp;$J452&amp;"|"&amp;14,Assessments!$A$2:$A$600,0)),0)</f>
        <v>0</v>
      </c>
      <c r="DK452" s="28" t="str">
        <f aca="false">S452</f>
        <v/>
      </c>
      <c r="DL452" s="28" t="str">
        <f aca="false">W452</f>
        <v/>
      </c>
      <c r="DM452" s="28" t="str">
        <f aca="false">AA452</f>
        <v/>
      </c>
      <c r="DN452" s="28" t="str">
        <f aca="false">AE452</f>
        <v/>
      </c>
      <c r="DO452" s="28" t="str">
        <f aca="false">AI452</f>
        <v/>
      </c>
      <c r="DP452" s="28" t="str">
        <f aca="false">AM452</f>
        <v/>
      </c>
      <c r="DQ452" s="28" t="str">
        <f aca="false">AQ452</f>
        <v/>
      </c>
      <c r="DR452" s="28" t="str">
        <f aca="false">AU452</f>
        <v/>
      </c>
      <c r="DS452" s="28" t="str">
        <f aca="false">AY452</f>
        <v/>
      </c>
      <c r="DT452" s="28" t="str">
        <f aca="false">BC452</f>
        <v/>
      </c>
      <c r="DU452" s="28" t="str">
        <f aca="false">BG452</f>
        <v/>
      </c>
      <c r="DV452" s="28" t="str">
        <f aca="false">BK452</f>
        <v/>
      </c>
      <c r="DW452" s="28" t="str">
        <f aca="false">BO452</f>
        <v/>
      </c>
      <c r="DX452" s="28" t="str">
        <f aca="false">BS452</f>
        <v/>
      </c>
      <c r="DY452" s="28" t="str">
        <f aca="false">IF(ISNUMBER(S452),1,"")</f>
        <v/>
      </c>
      <c r="DZ452" s="28" t="str">
        <f aca="false">IF(ISNUMBER(W452),2,"")</f>
        <v/>
      </c>
      <c r="EA452" s="28" t="str">
        <f aca="false">IF(ISNUMBER(AA452),3,"")</f>
        <v/>
      </c>
      <c r="EB452" s="28" t="str">
        <f aca="false">IF(ISNUMBER(AE452),4,"")</f>
        <v/>
      </c>
      <c r="EC452" s="28" t="str">
        <f aca="false">IF(ISNUMBER(AI452),5,"")</f>
        <v/>
      </c>
      <c r="ED452" s="28" t="str">
        <f aca="false">IF(ISNUMBER(AM452),6,"")</f>
        <v/>
      </c>
      <c r="EE452" s="28" t="str">
        <f aca="false">IF(ISNUMBER(AQ452),7,"")</f>
        <v/>
      </c>
      <c r="EF452" s="28" t="str">
        <f aca="false">IF(ISNUMBER(AU452),8,"")</f>
        <v/>
      </c>
      <c r="EG452" s="28" t="str">
        <f aca="false">IF(ISNUMBER(AY452),9,"")</f>
        <v/>
      </c>
      <c r="EH452" s="28" t="str">
        <f aca="false">IF(ISNUMBER(BC452),10,"")</f>
        <v/>
      </c>
      <c r="EI452" s="28" t="str">
        <f aca="false">IF(ISNUMBER(BG452),11,"")</f>
        <v/>
      </c>
      <c r="EJ452" s="28" t="str">
        <f aca="false">IF(ISNUMBER(BK452),12,"")</f>
        <v/>
      </c>
      <c r="EK452" s="28" t="str">
        <f aca="false">IF(ISNUMBER(BO452),13,"")</f>
        <v/>
      </c>
      <c r="EL452" s="28" t="str">
        <f aca="false">IF(ISNUMBER(BS452),14,"")</f>
        <v/>
      </c>
      <c r="EM452" s="28" t="n">
        <f aca="false">IF(ISNUMBER(R452),R452*CW452,0)</f>
        <v>0</v>
      </c>
      <c r="EN452" s="28" t="n">
        <f aca="false">IF(ISNUMBER(V452),V452*CX452,0)</f>
        <v>0</v>
      </c>
      <c r="EO452" s="28" t="n">
        <f aca="false">IF(ISNUMBER(Z452),Z452*CY452,0)</f>
        <v>0</v>
      </c>
      <c r="EP452" s="28" t="n">
        <f aca="false">IF(ISNUMBER(AD452),AD452*CZ452,0)</f>
        <v>0</v>
      </c>
      <c r="EQ452" s="28" t="n">
        <f aca="false">IF(ISNUMBER(AH452),AH452*DA452,0)</f>
        <v>0</v>
      </c>
      <c r="ER452" s="28" t="n">
        <f aca="false">IF(ISNUMBER(AL452),AL452*DB452,0)</f>
        <v>0</v>
      </c>
      <c r="ES452" s="28" t="n">
        <f aca="false">IF(ISNUMBER(AP452),AP452*DC452,0)</f>
        <v>0</v>
      </c>
      <c r="ET452" s="28" t="n">
        <f aca="false">IF(ISNUMBER(AT452),AT452*DD452,0)</f>
        <v>0</v>
      </c>
      <c r="EU452" s="28" t="n">
        <f aca="false">IF(ISNUMBER(AX452),AX452*DE452,0)</f>
        <v>0</v>
      </c>
      <c r="EV452" s="28" t="n">
        <f aca="false">IF(ISNUMBER(BB452),BB452*DF452,0)</f>
        <v>0</v>
      </c>
      <c r="EW452" s="28" t="n">
        <f aca="false">IF(ISNUMBER(BF452),BF452*DG452,0)</f>
        <v>0</v>
      </c>
      <c r="EX452" s="28" t="n">
        <f aca="false">IF(ISNUMBER(BJ452),BJ452*DH452,0)</f>
        <v>0</v>
      </c>
      <c r="EY452" s="28" t="n">
        <f aca="false">IF(ISNUMBER(BN452),BN452*DI452,0)</f>
        <v>0</v>
      </c>
      <c r="EZ452" s="28" t="n">
        <f aca="false">IF(ISNUMBER(BR452),BR452*DJ452,0)</f>
        <v>0</v>
      </c>
      <c r="FA452" s="28" t="n">
        <f aca="false">IF(ISNUMBER(R452),CW452,0)</f>
        <v>0</v>
      </c>
      <c r="FB452" s="28" t="n">
        <f aca="false">IF(ISNUMBER(V452),CX452,0)</f>
        <v>0</v>
      </c>
      <c r="FC452" s="28" t="n">
        <f aca="false">IF(ISNUMBER(Z452),CY452,0)</f>
        <v>0</v>
      </c>
      <c r="FD452" s="28" t="n">
        <f aca="false">IF(ISNUMBER(AD452),CZ452,0)</f>
        <v>0</v>
      </c>
      <c r="FE452" s="28" t="n">
        <f aca="false">IF(ISNUMBER(AH452),DA452,0)</f>
        <v>0</v>
      </c>
      <c r="FF452" s="28" t="n">
        <f aca="false">IF(ISNUMBER(AL452),DB452,0)</f>
        <v>0</v>
      </c>
      <c r="FG452" s="28" t="n">
        <f aca="false">IF(ISNUMBER(AP452),DC452,0)</f>
        <v>0</v>
      </c>
      <c r="FH452" s="28" t="n">
        <f aca="false">IF(ISNUMBER(AT452),DD452,0)</f>
        <v>0</v>
      </c>
      <c r="FI452" s="28" t="n">
        <f aca="false">IF(ISNUMBER(AX452),DE452,0)</f>
        <v>0</v>
      </c>
      <c r="FJ452" s="28" t="n">
        <f aca="false">IF(ISNUMBER(BB452),DF452,0)</f>
        <v>0</v>
      </c>
      <c r="FK452" s="28" t="n">
        <f aca="false">IF(ISNUMBER(BF452),DG452,0)</f>
        <v>0</v>
      </c>
      <c r="FL452" s="28" t="n">
        <f aca="false">IF(ISNUMBER(BJ452),DH452,0)</f>
        <v>0</v>
      </c>
      <c r="FM452" s="28" t="n">
        <f aca="false">IF(ISNUMBER(BN452),DI452,0)</f>
        <v>0</v>
      </c>
      <c r="FN452" s="28" t="n">
        <f aca="false">IF(ISNUMBER(BR452),DJ452,0)</f>
        <v>0</v>
      </c>
      <c r="FO452" s="28" t="str">
        <f aca="false">IFERROR(INDEX(Lists!$G$2:$G$20,MATCH($I452&amp;"|"&amp;$J452,Lists!$F$2:$F$20,0)),"")</f>
        <v/>
      </c>
    </row>
    <row r="453" customFormat="false" ht="19.5" hidden="false" customHeight="true" outlineLevel="0" collapsed="false">
      <c r="A453" s="29"/>
      <c r="B453" s="29"/>
      <c r="C453" s="30"/>
      <c r="D453" s="30"/>
      <c r="E453" s="31"/>
      <c r="F453" s="30"/>
      <c r="G453" s="30"/>
      <c r="H453" s="32"/>
      <c r="I453" s="33"/>
      <c r="J453" s="32"/>
      <c r="K453" s="34" t="str">
        <f aca="false">IF(OR(M453="",$E453=""),"",M453-$E453)</f>
        <v/>
      </c>
      <c r="L453" s="35" t="str">
        <f aca="false">IF(SUM(FA453:FN453)=0,"",SUM(EM453:EZ453)/SUM(FA453:FN453))</f>
        <v/>
      </c>
      <c r="M453" s="36" t="str">
        <f aca="false">IF(OR(L453="",FO453=""),"",IFERROR(MATCH(L453,INDEX(Boundaries!$B$2:$I$30,MATCH(FO453,Boundaries!$A$2:$A$30,0),0),1)-1,""))</f>
        <v/>
      </c>
      <c r="N453" s="37" t="str">
        <f aca="false">IF(COUNT($DY453:$EL453)&lt;2,"",INDEX($DK453:$DX453,MAX($DY453:$EL453))-INDEX($DK453:$DX453,MIN($DY453:$EL453)))</f>
        <v/>
      </c>
      <c r="O453" s="37" t="str">
        <f aca="false">IF(COUNT($DY453:$EL453)&lt;2,"",INDEX($DK453:$DX453,MAX($DY453:$EL453))-INDEX($DK453:$DX453,LARGE($DY453:$EL453,2)))</f>
        <v/>
      </c>
      <c r="P453" s="38" t="str">
        <f aca="false">IF(K453="","",IF(K453&gt;=0,"On/above target",IF(AND(N453&lt;&gt;"",N453&gt;=0.5),"Improving towards target",IF(AND(O453&lt;&gt;"",O453&lt;=-0.5),"Declining","Stable below target"))))</f>
        <v/>
      </c>
      <c r="Q453" s="39"/>
      <c r="R453" s="40" t="str">
        <f aca="false">IF(OR(Q453="",BU453=""),"",Q453/BU453*100)</f>
        <v/>
      </c>
      <c r="S453" s="41" t="str">
        <f aca="false">IF(R453="","",IFERROR(MATCH(R453,INDEX(Boundaries!$B$2:$I$30,MATCH(CI453,Boundaries!$A$2:$A$30,0),0),1)-1,""))</f>
        <v/>
      </c>
      <c r="T453" s="42" t="str">
        <f aca="false">IF(OR(S453="",$E453=""),"",S453-$E453)</f>
        <v/>
      </c>
      <c r="U453" s="39"/>
      <c r="V453" s="40" t="str">
        <f aca="false">IF(OR(U453="",BV453=""),"",U453/BV453*100)</f>
        <v/>
      </c>
      <c r="W453" s="41" t="str">
        <f aca="false">IF(V453="","",IFERROR(MATCH(V453,INDEX(Boundaries!$B$2:$I$30,MATCH(CJ453,Boundaries!$A$2:$A$30,0),0),1)-1,""))</f>
        <v/>
      </c>
      <c r="X453" s="42" t="str">
        <f aca="false">IF(OR(W453="",$E453=""),"",W453-$E453)</f>
        <v/>
      </c>
      <c r="Y453" s="39"/>
      <c r="Z453" s="40" t="str">
        <f aca="false">IF(OR(Y453="",BW453=""),"",Y453/BW453*100)</f>
        <v/>
      </c>
      <c r="AA453" s="41" t="str">
        <f aca="false">IF(Z453="","",IFERROR(MATCH(Z453,INDEX(Boundaries!$B$2:$I$30,MATCH(CK453,Boundaries!$A$2:$A$30,0),0),1)-1,""))</f>
        <v/>
      </c>
      <c r="AB453" s="42" t="str">
        <f aca="false">IF(OR(AA453="",$E453=""),"",AA453-$E453)</f>
        <v/>
      </c>
      <c r="AC453" s="39"/>
      <c r="AD453" s="40" t="str">
        <f aca="false">IF(OR(AC453="",BX453=""),"",AC453/BX453*100)</f>
        <v/>
      </c>
      <c r="AE453" s="41" t="str">
        <f aca="false">IF(AD453="","",IFERROR(MATCH(AD453,INDEX(Boundaries!$B$2:$I$30,MATCH(CL453,Boundaries!$A$2:$A$30,0),0),1)-1,""))</f>
        <v/>
      </c>
      <c r="AF453" s="42" t="str">
        <f aca="false">IF(OR(AE453="",$E453=""),"",AE453-$E453)</f>
        <v/>
      </c>
      <c r="AG453" s="39"/>
      <c r="AH453" s="40" t="str">
        <f aca="false">IF(OR(AG453="",BY453=""),"",AG453/BY453*100)</f>
        <v/>
      </c>
      <c r="AI453" s="41" t="str">
        <f aca="false">IF(AH453="","",IFERROR(MATCH(AH453,INDEX(Boundaries!$B$2:$I$30,MATCH(CM453,Boundaries!$A$2:$A$30,0),0),1)-1,""))</f>
        <v/>
      </c>
      <c r="AJ453" s="42" t="str">
        <f aca="false">IF(OR(AI453="",$E453=""),"",AI453-$E453)</f>
        <v/>
      </c>
      <c r="AK453" s="39"/>
      <c r="AL453" s="40" t="str">
        <f aca="false">IF(OR(AK453="",BZ453=""),"",AK453/BZ453*100)</f>
        <v/>
      </c>
      <c r="AM453" s="41" t="str">
        <f aca="false">IF(AL453="","",IFERROR(MATCH(AL453,INDEX(Boundaries!$B$2:$I$30,MATCH(CN453,Boundaries!$A$2:$A$30,0),0),1)-1,""))</f>
        <v/>
      </c>
      <c r="AN453" s="42" t="str">
        <f aca="false">IF(OR(AM453="",$E453=""),"",AM453-$E453)</f>
        <v/>
      </c>
      <c r="AO453" s="39"/>
      <c r="AP453" s="40" t="str">
        <f aca="false">IF(OR(AO453="",CA453=""),"",AO453/CA453*100)</f>
        <v/>
      </c>
      <c r="AQ453" s="41" t="str">
        <f aca="false">IF(AP453="","",IFERROR(MATCH(AP453,INDEX(Boundaries!$B$2:$I$30,MATCH(CO453,Boundaries!$A$2:$A$30,0),0),1)-1,""))</f>
        <v/>
      </c>
      <c r="AR453" s="42" t="str">
        <f aca="false">IF(OR(AQ453="",$E453=""),"",AQ453-$E453)</f>
        <v/>
      </c>
      <c r="AS453" s="39"/>
      <c r="AT453" s="40" t="str">
        <f aca="false">IF(OR(AS453="",CB453=""),"",AS453/CB453*100)</f>
        <v/>
      </c>
      <c r="AU453" s="41" t="str">
        <f aca="false">IF(AT453="","",IFERROR(MATCH(AT453,INDEX(Boundaries!$B$2:$I$30,MATCH(CP453,Boundaries!$A$2:$A$30,0),0),1)-1,""))</f>
        <v/>
      </c>
      <c r="AV453" s="42" t="str">
        <f aca="false">IF(OR(AU453="",$E453=""),"",AU453-$E453)</f>
        <v/>
      </c>
      <c r="AW453" s="39"/>
      <c r="AX453" s="40" t="str">
        <f aca="false">IF(OR(AW453="",CC453=""),"",AW453/CC453*100)</f>
        <v/>
      </c>
      <c r="AY453" s="41" t="str">
        <f aca="false">IF(AX453="","",IFERROR(MATCH(AX453,INDEX(Boundaries!$B$2:$I$30,MATCH(CQ453,Boundaries!$A$2:$A$30,0),0),1)-1,""))</f>
        <v/>
      </c>
      <c r="AZ453" s="42" t="str">
        <f aca="false">IF(OR(AY453="",$E453=""),"",AY453-$E453)</f>
        <v/>
      </c>
      <c r="BA453" s="39"/>
      <c r="BB453" s="40" t="str">
        <f aca="false">IF(OR(BA453="",CD453=""),"",BA453/CD453*100)</f>
        <v/>
      </c>
      <c r="BC453" s="41" t="str">
        <f aca="false">IF(BB453="","",IFERROR(MATCH(BB453,INDEX(Boundaries!$B$2:$I$30,MATCH(CR453,Boundaries!$A$2:$A$30,0),0),1)-1,""))</f>
        <v/>
      </c>
      <c r="BD453" s="42" t="str">
        <f aca="false">IF(OR(BC453="",$E453=""),"",BC453-$E453)</f>
        <v/>
      </c>
      <c r="BE453" s="39"/>
      <c r="BF453" s="40" t="str">
        <f aca="false">IF(OR(BE453="",CE453=""),"",BE453/CE453*100)</f>
        <v/>
      </c>
      <c r="BG453" s="41" t="str">
        <f aca="false">IF(BF453="","",IFERROR(MATCH(BF453,INDEX(Boundaries!$B$2:$I$30,MATCH(CS453,Boundaries!$A$2:$A$30,0),0),1)-1,""))</f>
        <v/>
      </c>
      <c r="BH453" s="42" t="str">
        <f aca="false">IF(OR(BG453="",$E453=""),"",BG453-$E453)</f>
        <v/>
      </c>
      <c r="BI453" s="39"/>
      <c r="BJ453" s="40" t="str">
        <f aca="false">IF(OR(BI453="",CF453=""),"",BI453/CF453*100)</f>
        <v/>
      </c>
      <c r="BK453" s="41" t="str">
        <f aca="false">IF(BJ453="","",IFERROR(MATCH(BJ453,INDEX(Boundaries!$B$2:$I$30,MATCH(CT453,Boundaries!$A$2:$A$30,0),0),1)-1,""))</f>
        <v/>
      </c>
      <c r="BL453" s="42" t="str">
        <f aca="false">IF(OR(BK453="",$E453=""),"",BK453-$E453)</f>
        <v/>
      </c>
      <c r="BM453" s="39"/>
      <c r="BN453" s="40" t="str">
        <f aca="false">IF(OR(BM453="",CG453=""),"",BM453/CG453*100)</f>
        <v/>
      </c>
      <c r="BO453" s="41" t="str">
        <f aca="false">IF(BN453="","",IFERROR(MATCH(BN453,INDEX(Boundaries!$B$2:$I$30,MATCH(CU453,Boundaries!$A$2:$A$30,0),0),1)-1,""))</f>
        <v/>
      </c>
      <c r="BP453" s="42" t="str">
        <f aca="false">IF(OR(BO453="",$E453=""),"",BO453-$E453)</f>
        <v/>
      </c>
      <c r="BQ453" s="39"/>
      <c r="BR453" s="40" t="str">
        <f aca="false">IF(OR(BQ453="",CH453=""),"",BQ453/CH453*100)</f>
        <v/>
      </c>
      <c r="BS453" s="41" t="str">
        <f aca="false">IF(BR453="","",IFERROR(MATCH(BR453,INDEX(Boundaries!$B$2:$I$30,MATCH(CV453,Boundaries!$A$2:$A$30,0),0),1)-1,""))</f>
        <v/>
      </c>
      <c r="BT453" s="42" t="str">
        <f aca="false">IF(OR(BS453="",$E453=""),"",BS453-$E453)</f>
        <v/>
      </c>
      <c r="BU453" s="28" t="str">
        <f aca="false">IFERROR(INDEX(Assessments!$H$2:$H$600,MATCH($H453&amp;"|"&amp;$I453&amp;"|"&amp;$J453&amp;"|"&amp;1,Assessments!$A$2:$A$600,0)),"")</f>
        <v/>
      </c>
      <c r="BV453" s="28" t="str">
        <f aca="false">IFERROR(INDEX(Assessments!$H$2:$H$600,MATCH($H453&amp;"|"&amp;$I453&amp;"|"&amp;$J453&amp;"|"&amp;2,Assessments!$A$2:$A$600,0)),"")</f>
        <v/>
      </c>
      <c r="BW453" s="28" t="str">
        <f aca="false">IFERROR(INDEX(Assessments!$H$2:$H$600,MATCH($H453&amp;"|"&amp;$I453&amp;"|"&amp;$J453&amp;"|"&amp;3,Assessments!$A$2:$A$600,0)),"")</f>
        <v/>
      </c>
      <c r="BX453" s="28" t="str">
        <f aca="false">IFERROR(INDEX(Assessments!$H$2:$H$600,MATCH($H453&amp;"|"&amp;$I453&amp;"|"&amp;$J453&amp;"|"&amp;4,Assessments!$A$2:$A$600,0)),"")</f>
        <v/>
      </c>
      <c r="BY453" s="28" t="str">
        <f aca="false">IFERROR(INDEX(Assessments!$H$2:$H$600,MATCH($H453&amp;"|"&amp;$I453&amp;"|"&amp;$J453&amp;"|"&amp;5,Assessments!$A$2:$A$600,0)),"")</f>
        <v/>
      </c>
      <c r="BZ453" s="28" t="str">
        <f aca="false">IFERROR(INDEX(Assessments!$H$2:$H$600,MATCH($H453&amp;"|"&amp;$I453&amp;"|"&amp;$J453&amp;"|"&amp;6,Assessments!$A$2:$A$600,0)),"")</f>
        <v/>
      </c>
      <c r="CA453" s="28" t="str">
        <f aca="false">IFERROR(INDEX(Assessments!$H$2:$H$600,MATCH($H453&amp;"|"&amp;$I453&amp;"|"&amp;$J453&amp;"|"&amp;7,Assessments!$A$2:$A$600,0)),"")</f>
        <v/>
      </c>
      <c r="CB453" s="28" t="str">
        <f aca="false">IFERROR(INDEX(Assessments!$H$2:$H$600,MATCH($H453&amp;"|"&amp;$I453&amp;"|"&amp;$J453&amp;"|"&amp;8,Assessments!$A$2:$A$600,0)),"")</f>
        <v/>
      </c>
      <c r="CC453" s="28" t="str">
        <f aca="false">IFERROR(INDEX(Assessments!$H$2:$H$600,MATCH($H453&amp;"|"&amp;$I453&amp;"|"&amp;$J453&amp;"|"&amp;9,Assessments!$A$2:$A$600,0)),"")</f>
        <v/>
      </c>
      <c r="CD453" s="28" t="str">
        <f aca="false">IFERROR(INDEX(Assessments!$H$2:$H$600,MATCH($H453&amp;"|"&amp;$I453&amp;"|"&amp;$J453&amp;"|"&amp;10,Assessments!$A$2:$A$600,0)),"")</f>
        <v/>
      </c>
      <c r="CE453" s="28" t="str">
        <f aca="false">IFERROR(INDEX(Assessments!$H$2:$H$600,MATCH($H453&amp;"|"&amp;$I453&amp;"|"&amp;$J453&amp;"|"&amp;11,Assessments!$A$2:$A$600,0)),"")</f>
        <v/>
      </c>
      <c r="CF453" s="28" t="str">
        <f aca="false">IFERROR(INDEX(Assessments!$H$2:$H$600,MATCH($H453&amp;"|"&amp;$I453&amp;"|"&amp;$J453&amp;"|"&amp;12,Assessments!$A$2:$A$600,0)),"")</f>
        <v/>
      </c>
      <c r="CG453" s="28" t="str">
        <f aca="false">IFERROR(INDEX(Assessments!$H$2:$H$600,MATCH($H453&amp;"|"&amp;$I453&amp;"|"&amp;$J453&amp;"|"&amp;13,Assessments!$A$2:$A$600,0)),"")</f>
        <v/>
      </c>
      <c r="CH453" s="28" t="str">
        <f aca="false">IFERROR(INDEX(Assessments!$H$2:$H$600,MATCH($H453&amp;"|"&amp;$I453&amp;"|"&amp;$J453&amp;"|"&amp;14,Assessments!$A$2:$A$600,0)),"")</f>
        <v/>
      </c>
      <c r="CI453" s="28" t="str">
        <f aca="false">IFERROR(INDEX(Assessments!$I$2:$I$600,MATCH($H453&amp;"|"&amp;$I453&amp;"|"&amp;$J453&amp;"|"&amp;1,Assessments!$A$2:$A$600,0)),"")</f>
        <v/>
      </c>
      <c r="CJ453" s="28" t="str">
        <f aca="false">IFERROR(INDEX(Assessments!$I$2:$I$600,MATCH($H453&amp;"|"&amp;$I453&amp;"|"&amp;$J453&amp;"|"&amp;2,Assessments!$A$2:$A$600,0)),"")</f>
        <v/>
      </c>
      <c r="CK453" s="28" t="str">
        <f aca="false">IFERROR(INDEX(Assessments!$I$2:$I$600,MATCH($H453&amp;"|"&amp;$I453&amp;"|"&amp;$J453&amp;"|"&amp;3,Assessments!$A$2:$A$600,0)),"")</f>
        <v/>
      </c>
      <c r="CL453" s="28" t="str">
        <f aca="false">IFERROR(INDEX(Assessments!$I$2:$I$600,MATCH($H453&amp;"|"&amp;$I453&amp;"|"&amp;$J453&amp;"|"&amp;4,Assessments!$A$2:$A$600,0)),"")</f>
        <v/>
      </c>
      <c r="CM453" s="28" t="str">
        <f aca="false">IFERROR(INDEX(Assessments!$I$2:$I$600,MATCH($H453&amp;"|"&amp;$I453&amp;"|"&amp;$J453&amp;"|"&amp;5,Assessments!$A$2:$A$600,0)),"")</f>
        <v/>
      </c>
      <c r="CN453" s="28" t="str">
        <f aca="false">IFERROR(INDEX(Assessments!$I$2:$I$600,MATCH($H453&amp;"|"&amp;$I453&amp;"|"&amp;$J453&amp;"|"&amp;6,Assessments!$A$2:$A$600,0)),"")</f>
        <v/>
      </c>
      <c r="CO453" s="28" t="str">
        <f aca="false">IFERROR(INDEX(Assessments!$I$2:$I$600,MATCH($H453&amp;"|"&amp;$I453&amp;"|"&amp;$J453&amp;"|"&amp;7,Assessments!$A$2:$A$600,0)),"")</f>
        <v/>
      </c>
      <c r="CP453" s="28" t="str">
        <f aca="false">IFERROR(INDEX(Assessments!$I$2:$I$600,MATCH($H453&amp;"|"&amp;$I453&amp;"|"&amp;$J453&amp;"|"&amp;8,Assessments!$A$2:$A$600,0)),"")</f>
        <v/>
      </c>
      <c r="CQ453" s="28" t="str">
        <f aca="false">IFERROR(INDEX(Assessments!$I$2:$I$600,MATCH($H453&amp;"|"&amp;$I453&amp;"|"&amp;$J453&amp;"|"&amp;9,Assessments!$A$2:$A$600,0)),"")</f>
        <v/>
      </c>
      <c r="CR453" s="28" t="str">
        <f aca="false">IFERROR(INDEX(Assessments!$I$2:$I$600,MATCH($H453&amp;"|"&amp;$I453&amp;"|"&amp;$J453&amp;"|"&amp;10,Assessments!$A$2:$A$600,0)),"")</f>
        <v/>
      </c>
      <c r="CS453" s="28" t="str">
        <f aca="false">IFERROR(INDEX(Assessments!$I$2:$I$600,MATCH($H453&amp;"|"&amp;$I453&amp;"|"&amp;$J453&amp;"|"&amp;11,Assessments!$A$2:$A$600,0)),"")</f>
        <v/>
      </c>
      <c r="CT453" s="28" t="str">
        <f aca="false">IFERROR(INDEX(Assessments!$I$2:$I$600,MATCH($H453&amp;"|"&amp;$I453&amp;"|"&amp;$J453&amp;"|"&amp;12,Assessments!$A$2:$A$600,0)),"")</f>
        <v/>
      </c>
      <c r="CU453" s="28" t="str">
        <f aca="false">IFERROR(INDEX(Assessments!$I$2:$I$600,MATCH($H453&amp;"|"&amp;$I453&amp;"|"&amp;$J453&amp;"|"&amp;13,Assessments!$A$2:$A$600,0)),"")</f>
        <v/>
      </c>
      <c r="CV453" s="28" t="str">
        <f aca="false">IFERROR(INDEX(Assessments!$I$2:$I$600,MATCH($H453&amp;"|"&amp;$I453&amp;"|"&amp;$J453&amp;"|"&amp;14,Assessments!$A$2:$A$600,0)),"")</f>
        <v/>
      </c>
      <c r="CW453" s="28" t="n">
        <f aca="false">IFERROR(INDEX(Assessments!$J$2:$J$600,MATCH($H453&amp;"|"&amp;$I453&amp;"|"&amp;$J453&amp;"|"&amp;1,Assessments!$A$2:$A$600,0)),0)</f>
        <v>0</v>
      </c>
      <c r="CX453" s="28" t="n">
        <f aca="false">IFERROR(INDEX(Assessments!$J$2:$J$600,MATCH($H453&amp;"|"&amp;$I453&amp;"|"&amp;$J453&amp;"|"&amp;2,Assessments!$A$2:$A$600,0)),0)</f>
        <v>0</v>
      </c>
      <c r="CY453" s="28" t="n">
        <f aca="false">IFERROR(INDEX(Assessments!$J$2:$J$600,MATCH($H453&amp;"|"&amp;$I453&amp;"|"&amp;$J453&amp;"|"&amp;3,Assessments!$A$2:$A$600,0)),0)</f>
        <v>0</v>
      </c>
      <c r="CZ453" s="28" t="n">
        <f aca="false">IFERROR(INDEX(Assessments!$J$2:$J$600,MATCH($H453&amp;"|"&amp;$I453&amp;"|"&amp;$J453&amp;"|"&amp;4,Assessments!$A$2:$A$600,0)),0)</f>
        <v>0</v>
      </c>
      <c r="DA453" s="28" t="n">
        <f aca="false">IFERROR(INDEX(Assessments!$J$2:$J$600,MATCH($H453&amp;"|"&amp;$I453&amp;"|"&amp;$J453&amp;"|"&amp;5,Assessments!$A$2:$A$600,0)),0)</f>
        <v>0</v>
      </c>
      <c r="DB453" s="28" t="n">
        <f aca="false">IFERROR(INDEX(Assessments!$J$2:$J$600,MATCH($H453&amp;"|"&amp;$I453&amp;"|"&amp;$J453&amp;"|"&amp;6,Assessments!$A$2:$A$600,0)),0)</f>
        <v>0</v>
      </c>
      <c r="DC453" s="28" t="n">
        <f aca="false">IFERROR(INDEX(Assessments!$J$2:$J$600,MATCH($H453&amp;"|"&amp;$I453&amp;"|"&amp;$J453&amp;"|"&amp;7,Assessments!$A$2:$A$600,0)),0)</f>
        <v>0</v>
      </c>
      <c r="DD453" s="28" t="n">
        <f aca="false">IFERROR(INDEX(Assessments!$J$2:$J$600,MATCH($H453&amp;"|"&amp;$I453&amp;"|"&amp;$J453&amp;"|"&amp;8,Assessments!$A$2:$A$600,0)),0)</f>
        <v>0</v>
      </c>
      <c r="DE453" s="28" t="n">
        <f aca="false">IFERROR(INDEX(Assessments!$J$2:$J$600,MATCH($H453&amp;"|"&amp;$I453&amp;"|"&amp;$J453&amp;"|"&amp;9,Assessments!$A$2:$A$600,0)),0)</f>
        <v>0</v>
      </c>
      <c r="DF453" s="28" t="n">
        <f aca="false">IFERROR(INDEX(Assessments!$J$2:$J$600,MATCH($H453&amp;"|"&amp;$I453&amp;"|"&amp;$J453&amp;"|"&amp;10,Assessments!$A$2:$A$600,0)),0)</f>
        <v>0</v>
      </c>
      <c r="DG453" s="28" t="n">
        <f aca="false">IFERROR(INDEX(Assessments!$J$2:$J$600,MATCH($H453&amp;"|"&amp;$I453&amp;"|"&amp;$J453&amp;"|"&amp;11,Assessments!$A$2:$A$600,0)),0)</f>
        <v>0</v>
      </c>
      <c r="DH453" s="28" t="n">
        <f aca="false">IFERROR(INDEX(Assessments!$J$2:$J$600,MATCH($H453&amp;"|"&amp;$I453&amp;"|"&amp;$J453&amp;"|"&amp;12,Assessments!$A$2:$A$600,0)),0)</f>
        <v>0</v>
      </c>
      <c r="DI453" s="28" t="n">
        <f aca="false">IFERROR(INDEX(Assessments!$J$2:$J$600,MATCH($H453&amp;"|"&amp;$I453&amp;"|"&amp;$J453&amp;"|"&amp;13,Assessments!$A$2:$A$600,0)),0)</f>
        <v>0</v>
      </c>
      <c r="DJ453" s="28" t="n">
        <f aca="false">IFERROR(INDEX(Assessments!$J$2:$J$600,MATCH($H453&amp;"|"&amp;$I453&amp;"|"&amp;$J453&amp;"|"&amp;14,Assessments!$A$2:$A$600,0)),0)</f>
        <v>0</v>
      </c>
      <c r="DK453" s="28" t="str">
        <f aca="false">S453</f>
        <v/>
      </c>
      <c r="DL453" s="28" t="str">
        <f aca="false">W453</f>
        <v/>
      </c>
      <c r="DM453" s="28" t="str">
        <f aca="false">AA453</f>
        <v/>
      </c>
      <c r="DN453" s="28" t="str">
        <f aca="false">AE453</f>
        <v/>
      </c>
      <c r="DO453" s="28" t="str">
        <f aca="false">AI453</f>
        <v/>
      </c>
      <c r="DP453" s="28" t="str">
        <f aca="false">AM453</f>
        <v/>
      </c>
      <c r="DQ453" s="28" t="str">
        <f aca="false">AQ453</f>
        <v/>
      </c>
      <c r="DR453" s="28" t="str">
        <f aca="false">AU453</f>
        <v/>
      </c>
      <c r="DS453" s="28" t="str">
        <f aca="false">AY453</f>
        <v/>
      </c>
      <c r="DT453" s="28" t="str">
        <f aca="false">BC453</f>
        <v/>
      </c>
      <c r="DU453" s="28" t="str">
        <f aca="false">BG453</f>
        <v/>
      </c>
      <c r="DV453" s="28" t="str">
        <f aca="false">BK453</f>
        <v/>
      </c>
      <c r="DW453" s="28" t="str">
        <f aca="false">BO453</f>
        <v/>
      </c>
      <c r="DX453" s="28" t="str">
        <f aca="false">BS453</f>
        <v/>
      </c>
      <c r="DY453" s="28" t="str">
        <f aca="false">IF(ISNUMBER(S453),1,"")</f>
        <v/>
      </c>
      <c r="DZ453" s="28" t="str">
        <f aca="false">IF(ISNUMBER(W453),2,"")</f>
        <v/>
      </c>
      <c r="EA453" s="28" t="str">
        <f aca="false">IF(ISNUMBER(AA453),3,"")</f>
        <v/>
      </c>
      <c r="EB453" s="28" t="str">
        <f aca="false">IF(ISNUMBER(AE453),4,"")</f>
        <v/>
      </c>
      <c r="EC453" s="28" t="str">
        <f aca="false">IF(ISNUMBER(AI453),5,"")</f>
        <v/>
      </c>
      <c r="ED453" s="28" t="str">
        <f aca="false">IF(ISNUMBER(AM453),6,"")</f>
        <v/>
      </c>
      <c r="EE453" s="28" t="str">
        <f aca="false">IF(ISNUMBER(AQ453),7,"")</f>
        <v/>
      </c>
      <c r="EF453" s="28" t="str">
        <f aca="false">IF(ISNUMBER(AU453),8,"")</f>
        <v/>
      </c>
      <c r="EG453" s="28" t="str">
        <f aca="false">IF(ISNUMBER(AY453),9,"")</f>
        <v/>
      </c>
      <c r="EH453" s="28" t="str">
        <f aca="false">IF(ISNUMBER(BC453),10,"")</f>
        <v/>
      </c>
      <c r="EI453" s="28" t="str">
        <f aca="false">IF(ISNUMBER(BG453),11,"")</f>
        <v/>
      </c>
      <c r="EJ453" s="28" t="str">
        <f aca="false">IF(ISNUMBER(BK453),12,"")</f>
        <v/>
      </c>
      <c r="EK453" s="28" t="str">
        <f aca="false">IF(ISNUMBER(BO453),13,"")</f>
        <v/>
      </c>
      <c r="EL453" s="28" t="str">
        <f aca="false">IF(ISNUMBER(BS453),14,"")</f>
        <v/>
      </c>
      <c r="EM453" s="28" t="n">
        <f aca="false">IF(ISNUMBER(R453),R453*CW453,0)</f>
        <v>0</v>
      </c>
      <c r="EN453" s="28" t="n">
        <f aca="false">IF(ISNUMBER(V453),V453*CX453,0)</f>
        <v>0</v>
      </c>
      <c r="EO453" s="28" t="n">
        <f aca="false">IF(ISNUMBER(Z453),Z453*CY453,0)</f>
        <v>0</v>
      </c>
      <c r="EP453" s="28" t="n">
        <f aca="false">IF(ISNUMBER(AD453),AD453*CZ453,0)</f>
        <v>0</v>
      </c>
      <c r="EQ453" s="28" t="n">
        <f aca="false">IF(ISNUMBER(AH453),AH453*DA453,0)</f>
        <v>0</v>
      </c>
      <c r="ER453" s="28" t="n">
        <f aca="false">IF(ISNUMBER(AL453),AL453*DB453,0)</f>
        <v>0</v>
      </c>
      <c r="ES453" s="28" t="n">
        <f aca="false">IF(ISNUMBER(AP453),AP453*DC453,0)</f>
        <v>0</v>
      </c>
      <c r="ET453" s="28" t="n">
        <f aca="false">IF(ISNUMBER(AT453),AT453*DD453,0)</f>
        <v>0</v>
      </c>
      <c r="EU453" s="28" t="n">
        <f aca="false">IF(ISNUMBER(AX453),AX453*DE453,0)</f>
        <v>0</v>
      </c>
      <c r="EV453" s="28" t="n">
        <f aca="false">IF(ISNUMBER(BB453),BB453*DF453,0)</f>
        <v>0</v>
      </c>
      <c r="EW453" s="28" t="n">
        <f aca="false">IF(ISNUMBER(BF453),BF453*DG453,0)</f>
        <v>0</v>
      </c>
      <c r="EX453" s="28" t="n">
        <f aca="false">IF(ISNUMBER(BJ453),BJ453*DH453,0)</f>
        <v>0</v>
      </c>
      <c r="EY453" s="28" t="n">
        <f aca="false">IF(ISNUMBER(BN453),BN453*DI453,0)</f>
        <v>0</v>
      </c>
      <c r="EZ453" s="28" t="n">
        <f aca="false">IF(ISNUMBER(BR453),BR453*DJ453,0)</f>
        <v>0</v>
      </c>
      <c r="FA453" s="28" t="n">
        <f aca="false">IF(ISNUMBER(R453),CW453,0)</f>
        <v>0</v>
      </c>
      <c r="FB453" s="28" t="n">
        <f aca="false">IF(ISNUMBER(V453),CX453,0)</f>
        <v>0</v>
      </c>
      <c r="FC453" s="28" t="n">
        <f aca="false">IF(ISNUMBER(Z453),CY453,0)</f>
        <v>0</v>
      </c>
      <c r="FD453" s="28" t="n">
        <f aca="false">IF(ISNUMBER(AD453),CZ453,0)</f>
        <v>0</v>
      </c>
      <c r="FE453" s="28" t="n">
        <f aca="false">IF(ISNUMBER(AH453),DA453,0)</f>
        <v>0</v>
      </c>
      <c r="FF453" s="28" t="n">
        <f aca="false">IF(ISNUMBER(AL453),DB453,0)</f>
        <v>0</v>
      </c>
      <c r="FG453" s="28" t="n">
        <f aca="false">IF(ISNUMBER(AP453),DC453,0)</f>
        <v>0</v>
      </c>
      <c r="FH453" s="28" t="n">
        <f aca="false">IF(ISNUMBER(AT453),DD453,0)</f>
        <v>0</v>
      </c>
      <c r="FI453" s="28" t="n">
        <f aca="false">IF(ISNUMBER(AX453),DE453,0)</f>
        <v>0</v>
      </c>
      <c r="FJ453" s="28" t="n">
        <f aca="false">IF(ISNUMBER(BB453),DF453,0)</f>
        <v>0</v>
      </c>
      <c r="FK453" s="28" t="n">
        <f aca="false">IF(ISNUMBER(BF453),DG453,0)</f>
        <v>0</v>
      </c>
      <c r="FL453" s="28" t="n">
        <f aca="false">IF(ISNUMBER(BJ453),DH453,0)</f>
        <v>0</v>
      </c>
      <c r="FM453" s="28" t="n">
        <f aca="false">IF(ISNUMBER(BN453),DI453,0)</f>
        <v>0</v>
      </c>
      <c r="FN453" s="28" t="n">
        <f aca="false">IF(ISNUMBER(BR453),DJ453,0)</f>
        <v>0</v>
      </c>
      <c r="FO453" s="28" t="str">
        <f aca="false">IFERROR(INDEX(Lists!$G$2:$G$20,MATCH($I453&amp;"|"&amp;$J453,Lists!$F$2:$F$20,0)),"")</f>
        <v/>
      </c>
    </row>
    <row r="454" customFormat="false" ht="19.5" hidden="false" customHeight="true" outlineLevel="0" collapsed="false">
      <c r="A454" s="29"/>
      <c r="B454" s="29"/>
      <c r="C454" s="30"/>
      <c r="D454" s="30"/>
      <c r="E454" s="31"/>
      <c r="F454" s="30"/>
      <c r="G454" s="30"/>
      <c r="H454" s="32"/>
      <c r="I454" s="33"/>
      <c r="J454" s="32"/>
      <c r="K454" s="34" t="str">
        <f aca="false">IF(OR(M454="",$E454=""),"",M454-$E454)</f>
        <v/>
      </c>
      <c r="L454" s="35" t="str">
        <f aca="false">IF(SUM(FA454:FN454)=0,"",SUM(EM454:EZ454)/SUM(FA454:FN454))</f>
        <v/>
      </c>
      <c r="M454" s="36" t="str">
        <f aca="false">IF(OR(L454="",FO454=""),"",IFERROR(MATCH(L454,INDEX(Boundaries!$B$2:$I$30,MATCH(FO454,Boundaries!$A$2:$A$30,0),0),1)-1,""))</f>
        <v/>
      </c>
      <c r="N454" s="37" t="str">
        <f aca="false">IF(COUNT($DY454:$EL454)&lt;2,"",INDEX($DK454:$DX454,MAX($DY454:$EL454))-INDEX($DK454:$DX454,MIN($DY454:$EL454)))</f>
        <v/>
      </c>
      <c r="O454" s="37" t="str">
        <f aca="false">IF(COUNT($DY454:$EL454)&lt;2,"",INDEX($DK454:$DX454,MAX($DY454:$EL454))-INDEX($DK454:$DX454,LARGE($DY454:$EL454,2)))</f>
        <v/>
      </c>
      <c r="P454" s="38" t="str">
        <f aca="false">IF(K454="","",IF(K454&gt;=0,"On/above target",IF(AND(N454&lt;&gt;"",N454&gt;=0.5),"Improving towards target",IF(AND(O454&lt;&gt;"",O454&lt;=-0.5),"Declining","Stable below target"))))</f>
        <v/>
      </c>
      <c r="Q454" s="39"/>
      <c r="R454" s="40" t="str">
        <f aca="false">IF(OR(Q454="",BU454=""),"",Q454/BU454*100)</f>
        <v/>
      </c>
      <c r="S454" s="41" t="str">
        <f aca="false">IF(R454="","",IFERROR(MATCH(R454,INDEX(Boundaries!$B$2:$I$30,MATCH(CI454,Boundaries!$A$2:$A$30,0),0),1)-1,""))</f>
        <v/>
      </c>
      <c r="T454" s="42" t="str">
        <f aca="false">IF(OR(S454="",$E454=""),"",S454-$E454)</f>
        <v/>
      </c>
      <c r="U454" s="39"/>
      <c r="V454" s="40" t="str">
        <f aca="false">IF(OR(U454="",BV454=""),"",U454/BV454*100)</f>
        <v/>
      </c>
      <c r="W454" s="41" t="str">
        <f aca="false">IF(V454="","",IFERROR(MATCH(V454,INDEX(Boundaries!$B$2:$I$30,MATCH(CJ454,Boundaries!$A$2:$A$30,0),0),1)-1,""))</f>
        <v/>
      </c>
      <c r="X454" s="42" t="str">
        <f aca="false">IF(OR(W454="",$E454=""),"",W454-$E454)</f>
        <v/>
      </c>
      <c r="Y454" s="39"/>
      <c r="Z454" s="40" t="str">
        <f aca="false">IF(OR(Y454="",BW454=""),"",Y454/BW454*100)</f>
        <v/>
      </c>
      <c r="AA454" s="41" t="str">
        <f aca="false">IF(Z454="","",IFERROR(MATCH(Z454,INDEX(Boundaries!$B$2:$I$30,MATCH(CK454,Boundaries!$A$2:$A$30,0),0),1)-1,""))</f>
        <v/>
      </c>
      <c r="AB454" s="42" t="str">
        <f aca="false">IF(OR(AA454="",$E454=""),"",AA454-$E454)</f>
        <v/>
      </c>
      <c r="AC454" s="39"/>
      <c r="AD454" s="40" t="str">
        <f aca="false">IF(OR(AC454="",BX454=""),"",AC454/BX454*100)</f>
        <v/>
      </c>
      <c r="AE454" s="41" t="str">
        <f aca="false">IF(AD454="","",IFERROR(MATCH(AD454,INDEX(Boundaries!$B$2:$I$30,MATCH(CL454,Boundaries!$A$2:$A$30,0),0),1)-1,""))</f>
        <v/>
      </c>
      <c r="AF454" s="42" t="str">
        <f aca="false">IF(OR(AE454="",$E454=""),"",AE454-$E454)</f>
        <v/>
      </c>
      <c r="AG454" s="39"/>
      <c r="AH454" s="40" t="str">
        <f aca="false">IF(OR(AG454="",BY454=""),"",AG454/BY454*100)</f>
        <v/>
      </c>
      <c r="AI454" s="41" t="str">
        <f aca="false">IF(AH454="","",IFERROR(MATCH(AH454,INDEX(Boundaries!$B$2:$I$30,MATCH(CM454,Boundaries!$A$2:$A$30,0),0),1)-1,""))</f>
        <v/>
      </c>
      <c r="AJ454" s="42" t="str">
        <f aca="false">IF(OR(AI454="",$E454=""),"",AI454-$E454)</f>
        <v/>
      </c>
      <c r="AK454" s="39"/>
      <c r="AL454" s="40" t="str">
        <f aca="false">IF(OR(AK454="",BZ454=""),"",AK454/BZ454*100)</f>
        <v/>
      </c>
      <c r="AM454" s="41" t="str">
        <f aca="false">IF(AL454="","",IFERROR(MATCH(AL454,INDEX(Boundaries!$B$2:$I$30,MATCH(CN454,Boundaries!$A$2:$A$30,0),0),1)-1,""))</f>
        <v/>
      </c>
      <c r="AN454" s="42" t="str">
        <f aca="false">IF(OR(AM454="",$E454=""),"",AM454-$E454)</f>
        <v/>
      </c>
      <c r="AO454" s="39"/>
      <c r="AP454" s="40" t="str">
        <f aca="false">IF(OR(AO454="",CA454=""),"",AO454/CA454*100)</f>
        <v/>
      </c>
      <c r="AQ454" s="41" t="str">
        <f aca="false">IF(AP454="","",IFERROR(MATCH(AP454,INDEX(Boundaries!$B$2:$I$30,MATCH(CO454,Boundaries!$A$2:$A$30,0),0),1)-1,""))</f>
        <v/>
      </c>
      <c r="AR454" s="42" t="str">
        <f aca="false">IF(OR(AQ454="",$E454=""),"",AQ454-$E454)</f>
        <v/>
      </c>
      <c r="AS454" s="39"/>
      <c r="AT454" s="40" t="str">
        <f aca="false">IF(OR(AS454="",CB454=""),"",AS454/CB454*100)</f>
        <v/>
      </c>
      <c r="AU454" s="41" t="str">
        <f aca="false">IF(AT454="","",IFERROR(MATCH(AT454,INDEX(Boundaries!$B$2:$I$30,MATCH(CP454,Boundaries!$A$2:$A$30,0),0),1)-1,""))</f>
        <v/>
      </c>
      <c r="AV454" s="42" t="str">
        <f aca="false">IF(OR(AU454="",$E454=""),"",AU454-$E454)</f>
        <v/>
      </c>
      <c r="AW454" s="39"/>
      <c r="AX454" s="40" t="str">
        <f aca="false">IF(OR(AW454="",CC454=""),"",AW454/CC454*100)</f>
        <v/>
      </c>
      <c r="AY454" s="41" t="str">
        <f aca="false">IF(AX454="","",IFERROR(MATCH(AX454,INDEX(Boundaries!$B$2:$I$30,MATCH(CQ454,Boundaries!$A$2:$A$30,0),0),1)-1,""))</f>
        <v/>
      </c>
      <c r="AZ454" s="42" t="str">
        <f aca="false">IF(OR(AY454="",$E454=""),"",AY454-$E454)</f>
        <v/>
      </c>
      <c r="BA454" s="39"/>
      <c r="BB454" s="40" t="str">
        <f aca="false">IF(OR(BA454="",CD454=""),"",BA454/CD454*100)</f>
        <v/>
      </c>
      <c r="BC454" s="41" t="str">
        <f aca="false">IF(BB454="","",IFERROR(MATCH(BB454,INDEX(Boundaries!$B$2:$I$30,MATCH(CR454,Boundaries!$A$2:$A$30,0),0),1)-1,""))</f>
        <v/>
      </c>
      <c r="BD454" s="42" t="str">
        <f aca="false">IF(OR(BC454="",$E454=""),"",BC454-$E454)</f>
        <v/>
      </c>
      <c r="BE454" s="39"/>
      <c r="BF454" s="40" t="str">
        <f aca="false">IF(OR(BE454="",CE454=""),"",BE454/CE454*100)</f>
        <v/>
      </c>
      <c r="BG454" s="41" t="str">
        <f aca="false">IF(BF454="","",IFERROR(MATCH(BF454,INDEX(Boundaries!$B$2:$I$30,MATCH(CS454,Boundaries!$A$2:$A$30,0),0),1)-1,""))</f>
        <v/>
      </c>
      <c r="BH454" s="42" t="str">
        <f aca="false">IF(OR(BG454="",$E454=""),"",BG454-$E454)</f>
        <v/>
      </c>
      <c r="BI454" s="39"/>
      <c r="BJ454" s="40" t="str">
        <f aca="false">IF(OR(BI454="",CF454=""),"",BI454/CF454*100)</f>
        <v/>
      </c>
      <c r="BK454" s="41" t="str">
        <f aca="false">IF(BJ454="","",IFERROR(MATCH(BJ454,INDEX(Boundaries!$B$2:$I$30,MATCH(CT454,Boundaries!$A$2:$A$30,0),0),1)-1,""))</f>
        <v/>
      </c>
      <c r="BL454" s="42" t="str">
        <f aca="false">IF(OR(BK454="",$E454=""),"",BK454-$E454)</f>
        <v/>
      </c>
      <c r="BM454" s="39"/>
      <c r="BN454" s="40" t="str">
        <f aca="false">IF(OR(BM454="",CG454=""),"",BM454/CG454*100)</f>
        <v/>
      </c>
      <c r="BO454" s="41" t="str">
        <f aca="false">IF(BN454="","",IFERROR(MATCH(BN454,INDEX(Boundaries!$B$2:$I$30,MATCH(CU454,Boundaries!$A$2:$A$30,0),0),1)-1,""))</f>
        <v/>
      </c>
      <c r="BP454" s="42" t="str">
        <f aca="false">IF(OR(BO454="",$E454=""),"",BO454-$E454)</f>
        <v/>
      </c>
      <c r="BQ454" s="39"/>
      <c r="BR454" s="40" t="str">
        <f aca="false">IF(OR(BQ454="",CH454=""),"",BQ454/CH454*100)</f>
        <v/>
      </c>
      <c r="BS454" s="41" t="str">
        <f aca="false">IF(BR454="","",IFERROR(MATCH(BR454,INDEX(Boundaries!$B$2:$I$30,MATCH(CV454,Boundaries!$A$2:$A$30,0),0),1)-1,""))</f>
        <v/>
      </c>
      <c r="BT454" s="42" t="str">
        <f aca="false">IF(OR(BS454="",$E454=""),"",BS454-$E454)</f>
        <v/>
      </c>
      <c r="BU454" s="28" t="str">
        <f aca="false">IFERROR(INDEX(Assessments!$H$2:$H$600,MATCH($H454&amp;"|"&amp;$I454&amp;"|"&amp;$J454&amp;"|"&amp;1,Assessments!$A$2:$A$600,0)),"")</f>
        <v/>
      </c>
      <c r="BV454" s="28" t="str">
        <f aca="false">IFERROR(INDEX(Assessments!$H$2:$H$600,MATCH($H454&amp;"|"&amp;$I454&amp;"|"&amp;$J454&amp;"|"&amp;2,Assessments!$A$2:$A$600,0)),"")</f>
        <v/>
      </c>
      <c r="BW454" s="28" t="str">
        <f aca="false">IFERROR(INDEX(Assessments!$H$2:$H$600,MATCH($H454&amp;"|"&amp;$I454&amp;"|"&amp;$J454&amp;"|"&amp;3,Assessments!$A$2:$A$600,0)),"")</f>
        <v/>
      </c>
      <c r="BX454" s="28" t="str">
        <f aca="false">IFERROR(INDEX(Assessments!$H$2:$H$600,MATCH($H454&amp;"|"&amp;$I454&amp;"|"&amp;$J454&amp;"|"&amp;4,Assessments!$A$2:$A$600,0)),"")</f>
        <v/>
      </c>
      <c r="BY454" s="28" t="str">
        <f aca="false">IFERROR(INDEX(Assessments!$H$2:$H$600,MATCH($H454&amp;"|"&amp;$I454&amp;"|"&amp;$J454&amp;"|"&amp;5,Assessments!$A$2:$A$600,0)),"")</f>
        <v/>
      </c>
      <c r="BZ454" s="28" t="str">
        <f aca="false">IFERROR(INDEX(Assessments!$H$2:$H$600,MATCH($H454&amp;"|"&amp;$I454&amp;"|"&amp;$J454&amp;"|"&amp;6,Assessments!$A$2:$A$600,0)),"")</f>
        <v/>
      </c>
      <c r="CA454" s="28" t="str">
        <f aca="false">IFERROR(INDEX(Assessments!$H$2:$H$600,MATCH($H454&amp;"|"&amp;$I454&amp;"|"&amp;$J454&amp;"|"&amp;7,Assessments!$A$2:$A$600,0)),"")</f>
        <v/>
      </c>
      <c r="CB454" s="28" t="str">
        <f aca="false">IFERROR(INDEX(Assessments!$H$2:$H$600,MATCH($H454&amp;"|"&amp;$I454&amp;"|"&amp;$J454&amp;"|"&amp;8,Assessments!$A$2:$A$600,0)),"")</f>
        <v/>
      </c>
      <c r="CC454" s="28" t="str">
        <f aca="false">IFERROR(INDEX(Assessments!$H$2:$H$600,MATCH($H454&amp;"|"&amp;$I454&amp;"|"&amp;$J454&amp;"|"&amp;9,Assessments!$A$2:$A$600,0)),"")</f>
        <v/>
      </c>
      <c r="CD454" s="28" t="str">
        <f aca="false">IFERROR(INDEX(Assessments!$H$2:$H$600,MATCH($H454&amp;"|"&amp;$I454&amp;"|"&amp;$J454&amp;"|"&amp;10,Assessments!$A$2:$A$600,0)),"")</f>
        <v/>
      </c>
      <c r="CE454" s="28" t="str">
        <f aca="false">IFERROR(INDEX(Assessments!$H$2:$H$600,MATCH($H454&amp;"|"&amp;$I454&amp;"|"&amp;$J454&amp;"|"&amp;11,Assessments!$A$2:$A$600,0)),"")</f>
        <v/>
      </c>
      <c r="CF454" s="28" t="str">
        <f aca="false">IFERROR(INDEX(Assessments!$H$2:$H$600,MATCH($H454&amp;"|"&amp;$I454&amp;"|"&amp;$J454&amp;"|"&amp;12,Assessments!$A$2:$A$600,0)),"")</f>
        <v/>
      </c>
      <c r="CG454" s="28" t="str">
        <f aca="false">IFERROR(INDEX(Assessments!$H$2:$H$600,MATCH($H454&amp;"|"&amp;$I454&amp;"|"&amp;$J454&amp;"|"&amp;13,Assessments!$A$2:$A$600,0)),"")</f>
        <v/>
      </c>
      <c r="CH454" s="28" t="str">
        <f aca="false">IFERROR(INDEX(Assessments!$H$2:$H$600,MATCH($H454&amp;"|"&amp;$I454&amp;"|"&amp;$J454&amp;"|"&amp;14,Assessments!$A$2:$A$600,0)),"")</f>
        <v/>
      </c>
      <c r="CI454" s="28" t="str">
        <f aca="false">IFERROR(INDEX(Assessments!$I$2:$I$600,MATCH($H454&amp;"|"&amp;$I454&amp;"|"&amp;$J454&amp;"|"&amp;1,Assessments!$A$2:$A$600,0)),"")</f>
        <v/>
      </c>
      <c r="CJ454" s="28" t="str">
        <f aca="false">IFERROR(INDEX(Assessments!$I$2:$I$600,MATCH($H454&amp;"|"&amp;$I454&amp;"|"&amp;$J454&amp;"|"&amp;2,Assessments!$A$2:$A$600,0)),"")</f>
        <v/>
      </c>
      <c r="CK454" s="28" t="str">
        <f aca="false">IFERROR(INDEX(Assessments!$I$2:$I$600,MATCH($H454&amp;"|"&amp;$I454&amp;"|"&amp;$J454&amp;"|"&amp;3,Assessments!$A$2:$A$600,0)),"")</f>
        <v/>
      </c>
      <c r="CL454" s="28" t="str">
        <f aca="false">IFERROR(INDEX(Assessments!$I$2:$I$600,MATCH($H454&amp;"|"&amp;$I454&amp;"|"&amp;$J454&amp;"|"&amp;4,Assessments!$A$2:$A$600,0)),"")</f>
        <v/>
      </c>
      <c r="CM454" s="28" t="str">
        <f aca="false">IFERROR(INDEX(Assessments!$I$2:$I$600,MATCH($H454&amp;"|"&amp;$I454&amp;"|"&amp;$J454&amp;"|"&amp;5,Assessments!$A$2:$A$600,0)),"")</f>
        <v/>
      </c>
      <c r="CN454" s="28" t="str">
        <f aca="false">IFERROR(INDEX(Assessments!$I$2:$I$600,MATCH($H454&amp;"|"&amp;$I454&amp;"|"&amp;$J454&amp;"|"&amp;6,Assessments!$A$2:$A$600,0)),"")</f>
        <v/>
      </c>
      <c r="CO454" s="28" t="str">
        <f aca="false">IFERROR(INDEX(Assessments!$I$2:$I$600,MATCH($H454&amp;"|"&amp;$I454&amp;"|"&amp;$J454&amp;"|"&amp;7,Assessments!$A$2:$A$600,0)),"")</f>
        <v/>
      </c>
      <c r="CP454" s="28" t="str">
        <f aca="false">IFERROR(INDEX(Assessments!$I$2:$I$600,MATCH($H454&amp;"|"&amp;$I454&amp;"|"&amp;$J454&amp;"|"&amp;8,Assessments!$A$2:$A$600,0)),"")</f>
        <v/>
      </c>
      <c r="CQ454" s="28" t="str">
        <f aca="false">IFERROR(INDEX(Assessments!$I$2:$I$600,MATCH($H454&amp;"|"&amp;$I454&amp;"|"&amp;$J454&amp;"|"&amp;9,Assessments!$A$2:$A$600,0)),"")</f>
        <v/>
      </c>
      <c r="CR454" s="28" t="str">
        <f aca="false">IFERROR(INDEX(Assessments!$I$2:$I$600,MATCH($H454&amp;"|"&amp;$I454&amp;"|"&amp;$J454&amp;"|"&amp;10,Assessments!$A$2:$A$600,0)),"")</f>
        <v/>
      </c>
      <c r="CS454" s="28" t="str">
        <f aca="false">IFERROR(INDEX(Assessments!$I$2:$I$600,MATCH($H454&amp;"|"&amp;$I454&amp;"|"&amp;$J454&amp;"|"&amp;11,Assessments!$A$2:$A$600,0)),"")</f>
        <v/>
      </c>
      <c r="CT454" s="28" t="str">
        <f aca="false">IFERROR(INDEX(Assessments!$I$2:$I$600,MATCH($H454&amp;"|"&amp;$I454&amp;"|"&amp;$J454&amp;"|"&amp;12,Assessments!$A$2:$A$600,0)),"")</f>
        <v/>
      </c>
      <c r="CU454" s="28" t="str">
        <f aca="false">IFERROR(INDEX(Assessments!$I$2:$I$600,MATCH($H454&amp;"|"&amp;$I454&amp;"|"&amp;$J454&amp;"|"&amp;13,Assessments!$A$2:$A$600,0)),"")</f>
        <v/>
      </c>
      <c r="CV454" s="28" t="str">
        <f aca="false">IFERROR(INDEX(Assessments!$I$2:$I$600,MATCH($H454&amp;"|"&amp;$I454&amp;"|"&amp;$J454&amp;"|"&amp;14,Assessments!$A$2:$A$600,0)),"")</f>
        <v/>
      </c>
      <c r="CW454" s="28" t="n">
        <f aca="false">IFERROR(INDEX(Assessments!$J$2:$J$600,MATCH($H454&amp;"|"&amp;$I454&amp;"|"&amp;$J454&amp;"|"&amp;1,Assessments!$A$2:$A$600,0)),0)</f>
        <v>0</v>
      </c>
      <c r="CX454" s="28" t="n">
        <f aca="false">IFERROR(INDEX(Assessments!$J$2:$J$600,MATCH($H454&amp;"|"&amp;$I454&amp;"|"&amp;$J454&amp;"|"&amp;2,Assessments!$A$2:$A$600,0)),0)</f>
        <v>0</v>
      </c>
      <c r="CY454" s="28" t="n">
        <f aca="false">IFERROR(INDEX(Assessments!$J$2:$J$600,MATCH($H454&amp;"|"&amp;$I454&amp;"|"&amp;$J454&amp;"|"&amp;3,Assessments!$A$2:$A$600,0)),0)</f>
        <v>0</v>
      </c>
      <c r="CZ454" s="28" t="n">
        <f aca="false">IFERROR(INDEX(Assessments!$J$2:$J$600,MATCH($H454&amp;"|"&amp;$I454&amp;"|"&amp;$J454&amp;"|"&amp;4,Assessments!$A$2:$A$600,0)),0)</f>
        <v>0</v>
      </c>
      <c r="DA454" s="28" t="n">
        <f aca="false">IFERROR(INDEX(Assessments!$J$2:$J$600,MATCH($H454&amp;"|"&amp;$I454&amp;"|"&amp;$J454&amp;"|"&amp;5,Assessments!$A$2:$A$600,0)),0)</f>
        <v>0</v>
      </c>
      <c r="DB454" s="28" t="n">
        <f aca="false">IFERROR(INDEX(Assessments!$J$2:$J$600,MATCH($H454&amp;"|"&amp;$I454&amp;"|"&amp;$J454&amp;"|"&amp;6,Assessments!$A$2:$A$600,0)),0)</f>
        <v>0</v>
      </c>
      <c r="DC454" s="28" t="n">
        <f aca="false">IFERROR(INDEX(Assessments!$J$2:$J$600,MATCH($H454&amp;"|"&amp;$I454&amp;"|"&amp;$J454&amp;"|"&amp;7,Assessments!$A$2:$A$600,0)),0)</f>
        <v>0</v>
      </c>
      <c r="DD454" s="28" t="n">
        <f aca="false">IFERROR(INDEX(Assessments!$J$2:$J$600,MATCH($H454&amp;"|"&amp;$I454&amp;"|"&amp;$J454&amp;"|"&amp;8,Assessments!$A$2:$A$600,0)),0)</f>
        <v>0</v>
      </c>
      <c r="DE454" s="28" t="n">
        <f aca="false">IFERROR(INDEX(Assessments!$J$2:$J$600,MATCH($H454&amp;"|"&amp;$I454&amp;"|"&amp;$J454&amp;"|"&amp;9,Assessments!$A$2:$A$600,0)),0)</f>
        <v>0</v>
      </c>
      <c r="DF454" s="28" t="n">
        <f aca="false">IFERROR(INDEX(Assessments!$J$2:$J$600,MATCH($H454&amp;"|"&amp;$I454&amp;"|"&amp;$J454&amp;"|"&amp;10,Assessments!$A$2:$A$600,0)),0)</f>
        <v>0</v>
      </c>
      <c r="DG454" s="28" t="n">
        <f aca="false">IFERROR(INDEX(Assessments!$J$2:$J$600,MATCH($H454&amp;"|"&amp;$I454&amp;"|"&amp;$J454&amp;"|"&amp;11,Assessments!$A$2:$A$600,0)),0)</f>
        <v>0</v>
      </c>
      <c r="DH454" s="28" t="n">
        <f aca="false">IFERROR(INDEX(Assessments!$J$2:$J$600,MATCH($H454&amp;"|"&amp;$I454&amp;"|"&amp;$J454&amp;"|"&amp;12,Assessments!$A$2:$A$600,0)),0)</f>
        <v>0</v>
      </c>
      <c r="DI454" s="28" t="n">
        <f aca="false">IFERROR(INDEX(Assessments!$J$2:$J$600,MATCH($H454&amp;"|"&amp;$I454&amp;"|"&amp;$J454&amp;"|"&amp;13,Assessments!$A$2:$A$600,0)),0)</f>
        <v>0</v>
      </c>
      <c r="DJ454" s="28" t="n">
        <f aca="false">IFERROR(INDEX(Assessments!$J$2:$J$600,MATCH($H454&amp;"|"&amp;$I454&amp;"|"&amp;$J454&amp;"|"&amp;14,Assessments!$A$2:$A$600,0)),0)</f>
        <v>0</v>
      </c>
      <c r="DK454" s="28" t="str">
        <f aca="false">S454</f>
        <v/>
      </c>
      <c r="DL454" s="28" t="str">
        <f aca="false">W454</f>
        <v/>
      </c>
      <c r="DM454" s="28" t="str">
        <f aca="false">AA454</f>
        <v/>
      </c>
      <c r="DN454" s="28" t="str">
        <f aca="false">AE454</f>
        <v/>
      </c>
      <c r="DO454" s="28" t="str">
        <f aca="false">AI454</f>
        <v/>
      </c>
      <c r="DP454" s="28" t="str">
        <f aca="false">AM454</f>
        <v/>
      </c>
      <c r="DQ454" s="28" t="str">
        <f aca="false">AQ454</f>
        <v/>
      </c>
      <c r="DR454" s="28" t="str">
        <f aca="false">AU454</f>
        <v/>
      </c>
      <c r="DS454" s="28" t="str">
        <f aca="false">AY454</f>
        <v/>
      </c>
      <c r="DT454" s="28" t="str">
        <f aca="false">BC454</f>
        <v/>
      </c>
      <c r="DU454" s="28" t="str">
        <f aca="false">BG454</f>
        <v/>
      </c>
      <c r="DV454" s="28" t="str">
        <f aca="false">BK454</f>
        <v/>
      </c>
      <c r="DW454" s="28" t="str">
        <f aca="false">BO454</f>
        <v/>
      </c>
      <c r="DX454" s="28" t="str">
        <f aca="false">BS454</f>
        <v/>
      </c>
      <c r="DY454" s="28" t="str">
        <f aca="false">IF(ISNUMBER(S454),1,"")</f>
        <v/>
      </c>
      <c r="DZ454" s="28" t="str">
        <f aca="false">IF(ISNUMBER(W454),2,"")</f>
        <v/>
      </c>
      <c r="EA454" s="28" t="str">
        <f aca="false">IF(ISNUMBER(AA454),3,"")</f>
        <v/>
      </c>
      <c r="EB454" s="28" t="str">
        <f aca="false">IF(ISNUMBER(AE454),4,"")</f>
        <v/>
      </c>
      <c r="EC454" s="28" t="str">
        <f aca="false">IF(ISNUMBER(AI454),5,"")</f>
        <v/>
      </c>
      <c r="ED454" s="28" t="str">
        <f aca="false">IF(ISNUMBER(AM454),6,"")</f>
        <v/>
      </c>
      <c r="EE454" s="28" t="str">
        <f aca="false">IF(ISNUMBER(AQ454),7,"")</f>
        <v/>
      </c>
      <c r="EF454" s="28" t="str">
        <f aca="false">IF(ISNUMBER(AU454),8,"")</f>
        <v/>
      </c>
      <c r="EG454" s="28" t="str">
        <f aca="false">IF(ISNUMBER(AY454),9,"")</f>
        <v/>
      </c>
      <c r="EH454" s="28" t="str">
        <f aca="false">IF(ISNUMBER(BC454),10,"")</f>
        <v/>
      </c>
      <c r="EI454" s="28" t="str">
        <f aca="false">IF(ISNUMBER(BG454),11,"")</f>
        <v/>
      </c>
      <c r="EJ454" s="28" t="str">
        <f aca="false">IF(ISNUMBER(BK454),12,"")</f>
        <v/>
      </c>
      <c r="EK454" s="28" t="str">
        <f aca="false">IF(ISNUMBER(BO454),13,"")</f>
        <v/>
      </c>
      <c r="EL454" s="28" t="str">
        <f aca="false">IF(ISNUMBER(BS454),14,"")</f>
        <v/>
      </c>
      <c r="EM454" s="28" t="n">
        <f aca="false">IF(ISNUMBER(R454),R454*CW454,0)</f>
        <v>0</v>
      </c>
      <c r="EN454" s="28" t="n">
        <f aca="false">IF(ISNUMBER(V454),V454*CX454,0)</f>
        <v>0</v>
      </c>
      <c r="EO454" s="28" t="n">
        <f aca="false">IF(ISNUMBER(Z454),Z454*CY454,0)</f>
        <v>0</v>
      </c>
      <c r="EP454" s="28" t="n">
        <f aca="false">IF(ISNUMBER(AD454),AD454*CZ454,0)</f>
        <v>0</v>
      </c>
      <c r="EQ454" s="28" t="n">
        <f aca="false">IF(ISNUMBER(AH454),AH454*DA454,0)</f>
        <v>0</v>
      </c>
      <c r="ER454" s="28" t="n">
        <f aca="false">IF(ISNUMBER(AL454),AL454*DB454,0)</f>
        <v>0</v>
      </c>
      <c r="ES454" s="28" t="n">
        <f aca="false">IF(ISNUMBER(AP454),AP454*DC454,0)</f>
        <v>0</v>
      </c>
      <c r="ET454" s="28" t="n">
        <f aca="false">IF(ISNUMBER(AT454),AT454*DD454,0)</f>
        <v>0</v>
      </c>
      <c r="EU454" s="28" t="n">
        <f aca="false">IF(ISNUMBER(AX454),AX454*DE454,0)</f>
        <v>0</v>
      </c>
      <c r="EV454" s="28" t="n">
        <f aca="false">IF(ISNUMBER(BB454),BB454*DF454,0)</f>
        <v>0</v>
      </c>
      <c r="EW454" s="28" t="n">
        <f aca="false">IF(ISNUMBER(BF454),BF454*DG454,0)</f>
        <v>0</v>
      </c>
      <c r="EX454" s="28" t="n">
        <f aca="false">IF(ISNUMBER(BJ454),BJ454*DH454,0)</f>
        <v>0</v>
      </c>
      <c r="EY454" s="28" t="n">
        <f aca="false">IF(ISNUMBER(BN454),BN454*DI454,0)</f>
        <v>0</v>
      </c>
      <c r="EZ454" s="28" t="n">
        <f aca="false">IF(ISNUMBER(BR454),BR454*DJ454,0)</f>
        <v>0</v>
      </c>
      <c r="FA454" s="28" t="n">
        <f aca="false">IF(ISNUMBER(R454),CW454,0)</f>
        <v>0</v>
      </c>
      <c r="FB454" s="28" t="n">
        <f aca="false">IF(ISNUMBER(V454),CX454,0)</f>
        <v>0</v>
      </c>
      <c r="FC454" s="28" t="n">
        <f aca="false">IF(ISNUMBER(Z454),CY454,0)</f>
        <v>0</v>
      </c>
      <c r="FD454" s="28" t="n">
        <f aca="false">IF(ISNUMBER(AD454),CZ454,0)</f>
        <v>0</v>
      </c>
      <c r="FE454" s="28" t="n">
        <f aca="false">IF(ISNUMBER(AH454),DA454,0)</f>
        <v>0</v>
      </c>
      <c r="FF454" s="28" t="n">
        <f aca="false">IF(ISNUMBER(AL454),DB454,0)</f>
        <v>0</v>
      </c>
      <c r="FG454" s="28" t="n">
        <f aca="false">IF(ISNUMBER(AP454),DC454,0)</f>
        <v>0</v>
      </c>
      <c r="FH454" s="28" t="n">
        <f aca="false">IF(ISNUMBER(AT454),DD454,0)</f>
        <v>0</v>
      </c>
      <c r="FI454" s="28" t="n">
        <f aca="false">IF(ISNUMBER(AX454),DE454,0)</f>
        <v>0</v>
      </c>
      <c r="FJ454" s="28" t="n">
        <f aca="false">IF(ISNUMBER(BB454),DF454,0)</f>
        <v>0</v>
      </c>
      <c r="FK454" s="28" t="n">
        <f aca="false">IF(ISNUMBER(BF454),DG454,0)</f>
        <v>0</v>
      </c>
      <c r="FL454" s="28" t="n">
        <f aca="false">IF(ISNUMBER(BJ454),DH454,0)</f>
        <v>0</v>
      </c>
      <c r="FM454" s="28" t="n">
        <f aca="false">IF(ISNUMBER(BN454),DI454,0)</f>
        <v>0</v>
      </c>
      <c r="FN454" s="28" t="n">
        <f aca="false">IF(ISNUMBER(BR454),DJ454,0)</f>
        <v>0</v>
      </c>
      <c r="FO454" s="28" t="str">
        <f aca="false">IFERROR(INDEX(Lists!$G$2:$G$20,MATCH($I454&amp;"|"&amp;$J454,Lists!$F$2:$F$20,0)),"")</f>
        <v/>
      </c>
    </row>
    <row r="455" customFormat="false" ht="19.5" hidden="false" customHeight="true" outlineLevel="0" collapsed="false">
      <c r="A455" s="29"/>
      <c r="B455" s="29"/>
      <c r="C455" s="30"/>
      <c r="D455" s="30"/>
      <c r="E455" s="31"/>
      <c r="F455" s="30"/>
      <c r="G455" s="30"/>
      <c r="H455" s="32"/>
      <c r="I455" s="33"/>
      <c r="J455" s="32"/>
      <c r="K455" s="34" t="str">
        <f aca="false">IF(OR(M455="",$E455=""),"",M455-$E455)</f>
        <v/>
      </c>
      <c r="L455" s="35" t="str">
        <f aca="false">IF(SUM(FA455:FN455)=0,"",SUM(EM455:EZ455)/SUM(FA455:FN455))</f>
        <v/>
      </c>
      <c r="M455" s="36" t="str">
        <f aca="false">IF(OR(L455="",FO455=""),"",IFERROR(MATCH(L455,INDEX(Boundaries!$B$2:$I$30,MATCH(FO455,Boundaries!$A$2:$A$30,0),0),1)-1,""))</f>
        <v/>
      </c>
      <c r="N455" s="37" t="str">
        <f aca="false">IF(COUNT($DY455:$EL455)&lt;2,"",INDEX($DK455:$DX455,MAX($DY455:$EL455))-INDEX($DK455:$DX455,MIN($DY455:$EL455)))</f>
        <v/>
      </c>
      <c r="O455" s="37" t="str">
        <f aca="false">IF(COUNT($DY455:$EL455)&lt;2,"",INDEX($DK455:$DX455,MAX($DY455:$EL455))-INDEX($DK455:$DX455,LARGE($DY455:$EL455,2)))</f>
        <v/>
      </c>
      <c r="P455" s="38" t="str">
        <f aca="false">IF(K455="","",IF(K455&gt;=0,"On/above target",IF(AND(N455&lt;&gt;"",N455&gt;=0.5),"Improving towards target",IF(AND(O455&lt;&gt;"",O455&lt;=-0.5),"Declining","Stable below target"))))</f>
        <v/>
      </c>
      <c r="Q455" s="39"/>
      <c r="R455" s="40" t="str">
        <f aca="false">IF(OR(Q455="",BU455=""),"",Q455/BU455*100)</f>
        <v/>
      </c>
      <c r="S455" s="41" t="str">
        <f aca="false">IF(R455="","",IFERROR(MATCH(R455,INDEX(Boundaries!$B$2:$I$30,MATCH(CI455,Boundaries!$A$2:$A$30,0),0),1)-1,""))</f>
        <v/>
      </c>
      <c r="T455" s="42" t="str">
        <f aca="false">IF(OR(S455="",$E455=""),"",S455-$E455)</f>
        <v/>
      </c>
      <c r="U455" s="39"/>
      <c r="V455" s="40" t="str">
        <f aca="false">IF(OR(U455="",BV455=""),"",U455/BV455*100)</f>
        <v/>
      </c>
      <c r="W455" s="41" t="str">
        <f aca="false">IF(V455="","",IFERROR(MATCH(V455,INDEX(Boundaries!$B$2:$I$30,MATCH(CJ455,Boundaries!$A$2:$A$30,0),0),1)-1,""))</f>
        <v/>
      </c>
      <c r="X455" s="42" t="str">
        <f aca="false">IF(OR(W455="",$E455=""),"",W455-$E455)</f>
        <v/>
      </c>
      <c r="Y455" s="39"/>
      <c r="Z455" s="40" t="str">
        <f aca="false">IF(OR(Y455="",BW455=""),"",Y455/BW455*100)</f>
        <v/>
      </c>
      <c r="AA455" s="41" t="str">
        <f aca="false">IF(Z455="","",IFERROR(MATCH(Z455,INDEX(Boundaries!$B$2:$I$30,MATCH(CK455,Boundaries!$A$2:$A$30,0),0),1)-1,""))</f>
        <v/>
      </c>
      <c r="AB455" s="42" t="str">
        <f aca="false">IF(OR(AA455="",$E455=""),"",AA455-$E455)</f>
        <v/>
      </c>
      <c r="AC455" s="39"/>
      <c r="AD455" s="40" t="str">
        <f aca="false">IF(OR(AC455="",BX455=""),"",AC455/BX455*100)</f>
        <v/>
      </c>
      <c r="AE455" s="41" t="str">
        <f aca="false">IF(AD455="","",IFERROR(MATCH(AD455,INDEX(Boundaries!$B$2:$I$30,MATCH(CL455,Boundaries!$A$2:$A$30,0),0),1)-1,""))</f>
        <v/>
      </c>
      <c r="AF455" s="42" t="str">
        <f aca="false">IF(OR(AE455="",$E455=""),"",AE455-$E455)</f>
        <v/>
      </c>
      <c r="AG455" s="39"/>
      <c r="AH455" s="40" t="str">
        <f aca="false">IF(OR(AG455="",BY455=""),"",AG455/BY455*100)</f>
        <v/>
      </c>
      <c r="AI455" s="41" t="str">
        <f aca="false">IF(AH455="","",IFERROR(MATCH(AH455,INDEX(Boundaries!$B$2:$I$30,MATCH(CM455,Boundaries!$A$2:$A$30,0),0),1)-1,""))</f>
        <v/>
      </c>
      <c r="AJ455" s="42" t="str">
        <f aca="false">IF(OR(AI455="",$E455=""),"",AI455-$E455)</f>
        <v/>
      </c>
      <c r="AK455" s="39"/>
      <c r="AL455" s="40" t="str">
        <f aca="false">IF(OR(AK455="",BZ455=""),"",AK455/BZ455*100)</f>
        <v/>
      </c>
      <c r="AM455" s="41" t="str">
        <f aca="false">IF(AL455="","",IFERROR(MATCH(AL455,INDEX(Boundaries!$B$2:$I$30,MATCH(CN455,Boundaries!$A$2:$A$30,0),0),1)-1,""))</f>
        <v/>
      </c>
      <c r="AN455" s="42" t="str">
        <f aca="false">IF(OR(AM455="",$E455=""),"",AM455-$E455)</f>
        <v/>
      </c>
      <c r="AO455" s="39"/>
      <c r="AP455" s="40" t="str">
        <f aca="false">IF(OR(AO455="",CA455=""),"",AO455/CA455*100)</f>
        <v/>
      </c>
      <c r="AQ455" s="41" t="str">
        <f aca="false">IF(AP455="","",IFERROR(MATCH(AP455,INDEX(Boundaries!$B$2:$I$30,MATCH(CO455,Boundaries!$A$2:$A$30,0),0),1)-1,""))</f>
        <v/>
      </c>
      <c r="AR455" s="42" t="str">
        <f aca="false">IF(OR(AQ455="",$E455=""),"",AQ455-$E455)</f>
        <v/>
      </c>
      <c r="AS455" s="39"/>
      <c r="AT455" s="40" t="str">
        <f aca="false">IF(OR(AS455="",CB455=""),"",AS455/CB455*100)</f>
        <v/>
      </c>
      <c r="AU455" s="41" t="str">
        <f aca="false">IF(AT455="","",IFERROR(MATCH(AT455,INDEX(Boundaries!$B$2:$I$30,MATCH(CP455,Boundaries!$A$2:$A$30,0),0),1)-1,""))</f>
        <v/>
      </c>
      <c r="AV455" s="42" t="str">
        <f aca="false">IF(OR(AU455="",$E455=""),"",AU455-$E455)</f>
        <v/>
      </c>
      <c r="AW455" s="39"/>
      <c r="AX455" s="40" t="str">
        <f aca="false">IF(OR(AW455="",CC455=""),"",AW455/CC455*100)</f>
        <v/>
      </c>
      <c r="AY455" s="41" t="str">
        <f aca="false">IF(AX455="","",IFERROR(MATCH(AX455,INDEX(Boundaries!$B$2:$I$30,MATCH(CQ455,Boundaries!$A$2:$A$30,0),0),1)-1,""))</f>
        <v/>
      </c>
      <c r="AZ455" s="42" t="str">
        <f aca="false">IF(OR(AY455="",$E455=""),"",AY455-$E455)</f>
        <v/>
      </c>
      <c r="BA455" s="39"/>
      <c r="BB455" s="40" t="str">
        <f aca="false">IF(OR(BA455="",CD455=""),"",BA455/CD455*100)</f>
        <v/>
      </c>
      <c r="BC455" s="41" t="str">
        <f aca="false">IF(BB455="","",IFERROR(MATCH(BB455,INDEX(Boundaries!$B$2:$I$30,MATCH(CR455,Boundaries!$A$2:$A$30,0),0),1)-1,""))</f>
        <v/>
      </c>
      <c r="BD455" s="42" t="str">
        <f aca="false">IF(OR(BC455="",$E455=""),"",BC455-$E455)</f>
        <v/>
      </c>
      <c r="BE455" s="39"/>
      <c r="BF455" s="40" t="str">
        <f aca="false">IF(OR(BE455="",CE455=""),"",BE455/CE455*100)</f>
        <v/>
      </c>
      <c r="BG455" s="41" t="str">
        <f aca="false">IF(BF455="","",IFERROR(MATCH(BF455,INDEX(Boundaries!$B$2:$I$30,MATCH(CS455,Boundaries!$A$2:$A$30,0),0),1)-1,""))</f>
        <v/>
      </c>
      <c r="BH455" s="42" t="str">
        <f aca="false">IF(OR(BG455="",$E455=""),"",BG455-$E455)</f>
        <v/>
      </c>
      <c r="BI455" s="39"/>
      <c r="BJ455" s="40" t="str">
        <f aca="false">IF(OR(BI455="",CF455=""),"",BI455/CF455*100)</f>
        <v/>
      </c>
      <c r="BK455" s="41" t="str">
        <f aca="false">IF(BJ455="","",IFERROR(MATCH(BJ455,INDEX(Boundaries!$B$2:$I$30,MATCH(CT455,Boundaries!$A$2:$A$30,0),0),1)-1,""))</f>
        <v/>
      </c>
      <c r="BL455" s="42" t="str">
        <f aca="false">IF(OR(BK455="",$E455=""),"",BK455-$E455)</f>
        <v/>
      </c>
      <c r="BM455" s="39"/>
      <c r="BN455" s="40" t="str">
        <f aca="false">IF(OR(BM455="",CG455=""),"",BM455/CG455*100)</f>
        <v/>
      </c>
      <c r="BO455" s="41" t="str">
        <f aca="false">IF(BN455="","",IFERROR(MATCH(BN455,INDEX(Boundaries!$B$2:$I$30,MATCH(CU455,Boundaries!$A$2:$A$30,0),0),1)-1,""))</f>
        <v/>
      </c>
      <c r="BP455" s="42" t="str">
        <f aca="false">IF(OR(BO455="",$E455=""),"",BO455-$E455)</f>
        <v/>
      </c>
      <c r="BQ455" s="39"/>
      <c r="BR455" s="40" t="str">
        <f aca="false">IF(OR(BQ455="",CH455=""),"",BQ455/CH455*100)</f>
        <v/>
      </c>
      <c r="BS455" s="41" t="str">
        <f aca="false">IF(BR455="","",IFERROR(MATCH(BR455,INDEX(Boundaries!$B$2:$I$30,MATCH(CV455,Boundaries!$A$2:$A$30,0),0),1)-1,""))</f>
        <v/>
      </c>
      <c r="BT455" s="42" t="str">
        <f aca="false">IF(OR(BS455="",$E455=""),"",BS455-$E455)</f>
        <v/>
      </c>
      <c r="BU455" s="28" t="str">
        <f aca="false">IFERROR(INDEX(Assessments!$H$2:$H$600,MATCH($H455&amp;"|"&amp;$I455&amp;"|"&amp;$J455&amp;"|"&amp;1,Assessments!$A$2:$A$600,0)),"")</f>
        <v/>
      </c>
      <c r="BV455" s="28" t="str">
        <f aca="false">IFERROR(INDEX(Assessments!$H$2:$H$600,MATCH($H455&amp;"|"&amp;$I455&amp;"|"&amp;$J455&amp;"|"&amp;2,Assessments!$A$2:$A$600,0)),"")</f>
        <v/>
      </c>
      <c r="BW455" s="28" t="str">
        <f aca="false">IFERROR(INDEX(Assessments!$H$2:$H$600,MATCH($H455&amp;"|"&amp;$I455&amp;"|"&amp;$J455&amp;"|"&amp;3,Assessments!$A$2:$A$600,0)),"")</f>
        <v/>
      </c>
      <c r="BX455" s="28" t="str">
        <f aca="false">IFERROR(INDEX(Assessments!$H$2:$H$600,MATCH($H455&amp;"|"&amp;$I455&amp;"|"&amp;$J455&amp;"|"&amp;4,Assessments!$A$2:$A$600,0)),"")</f>
        <v/>
      </c>
      <c r="BY455" s="28" t="str">
        <f aca="false">IFERROR(INDEX(Assessments!$H$2:$H$600,MATCH($H455&amp;"|"&amp;$I455&amp;"|"&amp;$J455&amp;"|"&amp;5,Assessments!$A$2:$A$600,0)),"")</f>
        <v/>
      </c>
      <c r="BZ455" s="28" t="str">
        <f aca="false">IFERROR(INDEX(Assessments!$H$2:$H$600,MATCH($H455&amp;"|"&amp;$I455&amp;"|"&amp;$J455&amp;"|"&amp;6,Assessments!$A$2:$A$600,0)),"")</f>
        <v/>
      </c>
      <c r="CA455" s="28" t="str">
        <f aca="false">IFERROR(INDEX(Assessments!$H$2:$H$600,MATCH($H455&amp;"|"&amp;$I455&amp;"|"&amp;$J455&amp;"|"&amp;7,Assessments!$A$2:$A$600,0)),"")</f>
        <v/>
      </c>
      <c r="CB455" s="28" t="str">
        <f aca="false">IFERROR(INDEX(Assessments!$H$2:$H$600,MATCH($H455&amp;"|"&amp;$I455&amp;"|"&amp;$J455&amp;"|"&amp;8,Assessments!$A$2:$A$600,0)),"")</f>
        <v/>
      </c>
      <c r="CC455" s="28" t="str">
        <f aca="false">IFERROR(INDEX(Assessments!$H$2:$H$600,MATCH($H455&amp;"|"&amp;$I455&amp;"|"&amp;$J455&amp;"|"&amp;9,Assessments!$A$2:$A$600,0)),"")</f>
        <v/>
      </c>
      <c r="CD455" s="28" t="str">
        <f aca="false">IFERROR(INDEX(Assessments!$H$2:$H$600,MATCH($H455&amp;"|"&amp;$I455&amp;"|"&amp;$J455&amp;"|"&amp;10,Assessments!$A$2:$A$600,0)),"")</f>
        <v/>
      </c>
      <c r="CE455" s="28" t="str">
        <f aca="false">IFERROR(INDEX(Assessments!$H$2:$H$600,MATCH($H455&amp;"|"&amp;$I455&amp;"|"&amp;$J455&amp;"|"&amp;11,Assessments!$A$2:$A$600,0)),"")</f>
        <v/>
      </c>
      <c r="CF455" s="28" t="str">
        <f aca="false">IFERROR(INDEX(Assessments!$H$2:$H$600,MATCH($H455&amp;"|"&amp;$I455&amp;"|"&amp;$J455&amp;"|"&amp;12,Assessments!$A$2:$A$600,0)),"")</f>
        <v/>
      </c>
      <c r="CG455" s="28" t="str">
        <f aca="false">IFERROR(INDEX(Assessments!$H$2:$H$600,MATCH($H455&amp;"|"&amp;$I455&amp;"|"&amp;$J455&amp;"|"&amp;13,Assessments!$A$2:$A$600,0)),"")</f>
        <v/>
      </c>
      <c r="CH455" s="28" t="str">
        <f aca="false">IFERROR(INDEX(Assessments!$H$2:$H$600,MATCH($H455&amp;"|"&amp;$I455&amp;"|"&amp;$J455&amp;"|"&amp;14,Assessments!$A$2:$A$600,0)),"")</f>
        <v/>
      </c>
      <c r="CI455" s="28" t="str">
        <f aca="false">IFERROR(INDEX(Assessments!$I$2:$I$600,MATCH($H455&amp;"|"&amp;$I455&amp;"|"&amp;$J455&amp;"|"&amp;1,Assessments!$A$2:$A$600,0)),"")</f>
        <v/>
      </c>
      <c r="CJ455" s="28" t="str">
        <f aca="false">IFERROR(INDEX(Assessments!$I$2:$I$600,MATCH($H455&amp;"|"&amp;$I455&amp;"|"&amp;$J455&amp;"|"&amp;2,Assessments!$A$2:$A$600,0)),"")</f>
        <v/>
      </c>
      <c r="CK455" s="28" t="str">
        <f aca="false">IFERROR(INDEX(Assessments!$I$2:$I$600,MATCH($H455&amp;"|"&amp;$I455&amp;"|"&amp;$J455&amp;"|"&amp;3,Assessments!$A$2:$A$600,0)),"")</f>
        <v/>
      </c>
      <c r="CL455" s="28" t="str">
        <f aca="false">IFERROR(INDEX(Assessments!$I$2:$I$600,MATCH($H455&amp;"|"&amp;$I455&amp;"|"&amp;$J455&amp;"|"&amp;4,Assessments!$A$2:$A$600,0)),"")</f>
        <v/>
      </c>
      <c r="CM455" s="28" t="str">
        <f aca="false">IFERROR(INDEX(Assessments!$I$2:$I$600,MATCH($H455&amp;"|"&amp;$I455&amp;"|"&amp;$J455&amp;"|"&amp;5,Assessments!$A$2:$A$600,0)),"")</f>
        <v/>
      </c>
      <c r="CN455" s="28" t="str">
        <f aca="false">IFERROR(INDEX(Assessments!$I$2:$I$600,MATCH($H455&amp;"|"&amp;$I455&amp;"|"&amp;$J455&amp;"|"&amp;6,Assessments!$A$2:$A$600,0)),"")</f>
        <v/>
      </c>
      <c r="CO455" s="28" t="str">
        <f aca="false">IFERROR(INDEX(Assessments!$I$2:$I$600,MATCH($H455&amp;"|"&amp;$I455&amp;"|"&amp;$J455&amp;"|"&amp;7,Assessments!$A$2:$A$600,0)),"")</f>
        <v/>
      </c>
      <c r="CP455" s="28" t="str">
        <f aca="false">IFERROR(INDEX(Assessments!$I$2:$I$600,MATCH($H455&amp;"|"&amp;$I455&amp;"|"&amp;$J455&amp;"|"&amp;8,Assessments!$A$2:$A$600,0)),"")</f>
        <v/>
      </c>
      <c r="CQ455" s="28" t="str">
        <f aca="false">IFERROR(INDEX(Assessments!$I$2:$I$600,MATCH($H455&amp;"|"&amp;$I455&amp;"|"&amp;$J455&amp;"|"&amp;9,Assessments!$A$2:$A$600,0)),"")</f>
        <v/>
      </c>
      <c r="CR455" s="28" t="str">
        <f aca="false">IFERROR(INDEX(Assessments!$I$2:$I$600,MATCH($H455&amp;"|"&amp;$I455&amp;"|"&amp;$J455&amp;"|"&amp;10,Assessments!$A$2:$A$600,0)),"")</f>
        <v/>
      </c>
      <c r="CS455" s="28" t="str">
        <f aca="false">IFERROR(INDEX(Assessments!$I$2:$I$600,MATCH($H455&amp;"|"&amp;$I455&amp;"|"&amp;$J455&amp;"|"&amp;11,Assessments!$A$2:$A$600,0)),"")</f>
        <v/>
      </c>
      <c r="CT455" s="28" t="str">
        <f aca="false">IFERROR(INDEX(Assessments!$I$2:$I$600,MATCH($H455&amp;"|"&amp;$I455&amp;"|"&amp;$J455&amp;"|"&amp;12,Assessments!$A$2:$A$600,0)),"")</f>
        <v/>
      </c>
      <c r="CU455" s="28" t="str">
        <f aca="false">IFERROR(INDEX(Assessments!$I$2:$I$600,MATCH($H455&amp;"|"&amp;$I455&amp;"|"&amp;$J455&amp;"|"&amp;13,Assessments!$A$2:$A$600,0)),"")</f>
        <v/>
      </c>
      <c r="CV455" s="28" t="str">
        <f aca="false">IFERROR(INDEX(Assessments!$I$2:$I$600,MATCH($H455&amp;"|"&amp;$I455&amp;"|"&amp;$J455&amp;"|"&amp;14,Assessments!$A$2:$A$600,0)),"")</f>
        <v/>
      </c>
      <c r="CW455" s="28" t="n">
        <f aca="false">IFERROR(INDEX(Assessments!$J$2:$J$600,MATCH($H455&amp;"|"&amp;$I455&amp;"|"&amp;$J455&amp;"|"&amp;1,Assessments!$A$2:$A$600,0)),0)</f>
        <v>0</v>
      </c>
      <c r="CX455" s="28" t="n">
        <f aca="false">IFERROR(INDEX(Assessments!$J$2:$J$600,MATCH($H455&amp;"|"&amp;$I455&amp;"|"&amp;$J455&amp;"|"&amp;2,Assessments!$A$2:$A$600,0)),0)</f>
        <v>0</v>
      </c>
      <c r="CY455" s="28" t="n">
        <f aca="false">IFERROR(INDEX(Assessments!$J$2:$J$600,MATCH($H455&amp;"|"&amp;$I455&amp;"|"&amp;$J455&amp;"|"&amp;3,Assessments!$A$2:$A$600,0)),0)</f>
        <v>0</v>
      </c>
      <c r="CZ455" s="28" t="n">
        <f aca="false">IFERROR(INDEX(Assessments!$J$2:$J$600,MATCH($H455&amp;"|"&amp;$I455&amp;"|"&amp;$J455&amp;"|"&amp;4,Assessments!$A$2:$A$600,0)),0)</f>
        <v>0</v>
      </c>
      <c r="DA455" s="28" t="n">
        <f aca="false">IFERROR(INDEX(Assessments!$J$2:$J$600,MATCH($H455&amp;"|"&amp;$I455&amp;"|"&amp;$J455&amp;"|"&amp;5,Assessments!$A$2:$A$600,0)),0)</f>
        <v>0</v>
      </c>
      <c r="DB455" s="28" t="n">
        <f aca="false">IFERROR(INDEX(Assessments!$J$2:$J$600,MATCH($H455&amp;"|"&amp;$I455&amp;"|"&amp;$J455&amp;"|"&amp;6,Assessments!$A$2:$A$600,0)),0)</f>
        <v>0</v>
      </c>
      <c r="DC455" s="28" t="n">
        <f aca="false">IFERROR(INDEX(Assessments!$J$2:$J$600,MATCH($H455&amp;"|"&amp;$I455&amp;"|"&amp;$J455&amp;"|"&amp;7,Assessments!$A$2:$A$600,0)),0)</f>
        <v>0</v>
      </c>
      <c r="DD455" s="28" t="n">
        <f aca="false">IFERROR(INDEX(Assessments!$J$2:$J$600,MATCH($H455&amp;"|"&amp;$I455&amp;"|"&amp;$J455&amp;"|"&amp;8,Assessments!$A$2:$A$600,0)),0)</f>
        <v>0</v>
      </c>
      <c r="DE455" s="28" t="n">
        <f aca="false">IFERROR(INDEX(Assessments!$J$2:$J$600,MATCH($H455&amp;"|"&amp;$I455&amp;"|"&amp;$J455&amp;"|"&amp;9,Assessments!$A$2:$A$600,0)),0)</f>
        <v>0</v>
      </c>
      <c r="DF455" s="28" t="n">
        <f aca="false">IFERROR(INDEX(Assessments!$J$2:$J$600,MATCH($H455&amp;"|"&amp;$I455&amp;"|"&amp;$J455&amp;"|"&amp;10,Assessments!$A$2:$A$600,0)),0)</f>
        <v>0</v>
      </c>
      <c r="DG455" s="28" t="n">
        <f aca="false">IFERROR(INDEX(Assessments!$J$2:$J$600,MATCH($H455&amp;"|"&amp;$I455&amp;"|"&amp;$J455&amp;"|"&amp;11,Assessments!$A$2:$A$600,0)),0)</f>
        <v>0</v>
      </c>
      <c r="DH455" s="28" t="n">
        <f aca="false">IFERROR(INDEX(Assessments!$J$2:$J$600,MATCH($H455&amp;"|"&amp;$I455&amp;"|"&amp;$J455&amp;"|"&amp;12,Assessments!$A$2:$A$600,0)),0)</f>
        <v>0</v>
      </c>
      <c r="DI455" s="28" t="n">
        <f aca="false">IFERROR(INDEX(Assessments!$J$2:$J$600,MATCH($H455&amp;"|"&amp;$I455&amp;"|"&amp;$J455&amp;"|"&amp;13,Assessments!$A$2:$A$600,0)),0)</f>
        <v>0</v>
      </c>
      <c r="DJ455" s="28" t="n">
        <f aca="false">IFERROR(INDEX(Assessments!$J$2:$J$600,MATCH($H455&amp;"|"&amp;$I455&amp;"|"&amp;$J455&amp;"|"&amp;14,Assessments!$A$2:$A$600,0)),0)</f>
        <v>0</v>
      </c>
      <c r="DK455" s="28" t="str">
        <f aca="false">S455</f>
        <v/>
      </c>
      <c r="DL455" s="28" t="str">
        <f aca="false">W455</f>
        <v/>
      </c>
      <c r="DM455" s="28" t="str">
        <f aca="false">AA455</f>
        <v/>
      </c>
      <c r="DN455" s="28" t="str">
        <f aca="false">AE455</f>
        <v/>
      </c>
      <c r="DO455" s="28" t="str">
        <f aca="false">AI455</f>
        <v/>
      </c>
      <c r="DP455" s="28" t="str">
        <f aca="false">AM455</f>
        <v/>
      </c>
      <c r="DQ455" s="28" t="str">
        <f aca="false">AQ455</f>
        <v/>
      </c>
      <c r="DR455" s="28" t="str">
        <f aca="false">AU455</f>
        <v/>
      </c>
      <c r="DS455" s="28" t="str">
        <f aca="false">AY455</f>
        <v/>
      </c>
      <c r="DT455" s="28" t="str">
        <f aca="false">BC455</f>
        <v/>
      </c>
      <c r="DU455" s="28" t="str">
        <f aca="false">BG455</f>
        <v/>
      </c>
      <c r="DV455" s="28" t="str">
        <f aca="false">BK455</f>
        <v/>
      </c>
      <c r="DW455" s="28" t="str">
        <f aca="false">BO455</f>
        <v/>
      </c>
      <c r="DX455" s="28" t="str">
        <f aca="false">BS455</f>
        <v/>
      </c>
      <c r="DY455" s="28" t="str">
        <f aca="false">IF(ISNUMBER(S455),1,"")</f>
        <v/>
      </c>
      <c r="DZ455" s="28" t="str">
        <f aca="false">IF(ISNUMBER(W455),2,"")</f>
        <v/>
      </c>
      <c r="EA455" s="28" t="str">
        <f aca="false">IF(ISNUMBER(AA455),3,"")</f>
        <v/>
      </c>
      <c r="EB455" s="28" t="str">
        <f aca="false">IF(ISNUMBER(AE455),4,"")</f>
        <v/>
      </c>
      <c r="EC455" s="28" t="str">
        <f aca="false">IF(ISNUMBER(AI455),5,"")</f>
        <v/>
      </c>
      <c r="ED455" s="28" t="str">
        <f aca="false">IF(ISNUMBER(AM455),6,"")</f>
        <v/>
      </c>
      <c r="EE455" s="28" t="str">
        <f aca="false">IF(ISNUMBER(AQ455),7,"")</f>
        <v/>
      </c>
      <c r="EF455" s="28" t="str">
        <f aca="false">IF(ISNUMBER(AU455),8,"")</f>
        <v/>
      </c>
      <c r="EG455" s="28" t="str">
        <f aca="false">IF(ISNUMBER(AY455),9,"")</f>
        <v/>
      </c>
      <c r="EH455" s="28" t="str">
        <f aca="false">IF(ISNUMBER(BC455),10,"")</f>
        <v/>
      </c>
      <c r="EI455" s="28" t="str">
        <f aca="false">IF(ISNUMBER(BG455),11,"")</f>
        <v/>
      </c>
      <c r="EJ455" s="28" t="str">
        <f aca="false">IF(ISNUMBER(BK455),12,"")</f>
        <v/>
      </c>
      <c r="EK455" s="28" t="str">
        <f aca="false">IF(ISNUMBER(BO455),13,"")</f>
        <v/>
      </c>
      <c r="EL455" s="28" t="str">
        <f aca="false">IF(ISNUMBER(BS455),14,"")</f>
        <v/>
      </c>
      <c r="EM455" s="28" t="n">
        <f aca="false">IF(ISNUMBER(R455),R455*CW455,0)</f>
        <v>0</v>
      </c>
      <c r="EN455" s="28" t="n">
        <f aca="false">IF(ISNUMBER(V455),V455*CX455,0)</f>
        <v>0</v>
      </c>
      <c r="EO455" s="28" t="n">
        <f aca="false">IF(ISNUMBER(Z455),Z455*CY455,0)</f>
        <v>0</v>
      </c>
      <c r="EP455" s="28" t="n">
        <f aca="false">IF(ISNUMBER(AD455),AD455*CZ455,0)</f>
        <v>0</v>
      </c>
      <c r="EQ455" s="28" t="n">
        <f aca="false">IF(ISNUMBER(AH455),AH455*DA455,0)</f>
        <v>0</v>
      </c>
      <c r="ER455" s="28" t="n">
        <f aca="false">IF(ISNUMBER(AL455),AL455*DB455,0)</f>
        <v>0</v>
      </c>
      <c r="ES455" s="28" t="n">
        <f aca="false">IF(ISNUMBER(AP455),AP455*DC455,0)</f>
        <v>0</v>
      </c>
      <c r="ET455" s="28" t="n">
        <f aca="false">IF(ISNUMBER(AT455),AT455*DD455,0)</f>
        <v>0</v>
      </c>
      <c r="EU455" s="28" t="n">
        <f aca="false">IF(ISNUMBER(AX455),AX455*DE455,0)</f>
        <v>0</v>
      </c>
      <c r="EV455" s="28" t="n">
        <f aca="false">IF(ISNUMBER(BB455),BB455*DF455,0)</f>
        <v>0</v>
      </c>
      <c r="EW455" s="28" t="n">
        <f aca="false">IF(ISNUMBER(BF455),BF455*DG455,0)</f>
        <v>0</v>
      </c>
      <c r="EX455" s="28" t="n">
        <f aca="false">IF(ISNUMBER(BJ455),BJ455*DH455,0)</f>
        <v>0</v>
      </c>
      <c r="EY455" s="28" t="n">
        <f aca="false">IF(ISNUMBER(BN455),BN455*DI455,0)</f>
        <v>0</v>
      </c>
      <c r="EZ455" s="28" t="n">
        <f aca="false">IF(ISNUMBER(BR455),BR455*DJ455,0)</f>
        <v>0</v>
      </c>
      <c r="FA455" s="28" t="n">
        <f aca="false">IF(ISNUMBER(R455),CW455,0)</f>
        <v>0</v>
      </c>
      <c r="FB455" s="28" t="n">
        <f aca="false">IF(ISNUMBER(V455),CX455,0)</f>
        <v>0</v>
      </c>
      <c r="FC455" s="28" t="n">
        <f aca="false">IF(ISNUMBER(Z455),CY455,0)</f>
        <v>0</v>
      </c>
      <c r="FD455" s="28" t="n">
        <f aca="false">IF(ISNUMBER(AD455),CZ455,0)</f>
        <v>0</v>
      </c>
      <c r="FE455" s="28" t="n">
        <f aca="false">IF(ISNUMBER(AH455),DA455,0)</f>
        <v>0</v>
      </c>
      <c r="FF455" s="28" t="n">
        <f aca="false">IF(ISNUMBER(AL455),DB455,0)</f>
        <v>0</v>
      </c>
      <c r="FG455" s="28" t="n">
        <f aca="false">IF(ISNUMBER(AP455),DC455,0)</f>
        <v>0</v>
      </c>
      <c r="FH455" s="28" t="n">
        <f aca="false">IF(ISNUMBER(AT455),DD455,0)</f>
        <v>0</v>
      </c>
      <c r="FI455" s="28" t="n">
        <f aca="false">IF(ISNUMBER(AX455),DE455,0)</f>
        <v>0</v>
      </c>
      <c r="FJ455" s="28" t="n">
        <f aca="false">IF(ISNUMBER(BB455),DF455,0)</f>
        <v>0</v>
      </c>
      <c r="FK455" s="28" t="n">
        <f aca="false">IF(ISNUMBER(BF455),DG455,0)</f>
        <v>0</v>
      </c>
      <c r="FL455" s="28" t="n">
        <f aca="false">IF(ISNUMBER(BJ455),DH455,0)</f>
        <v>0</v>
      </c>
      <c r="FM455" s="28" t="n">
        <f aca="false">IF(ISNUMBER(BN455),DI455,0)</f>
        <v>0</v>
      </c>
      <c r="FN455" s="28" t="n">
        <f aca="false">IF(ISNUMBER(BR455),DJ455,0)</f>
        <v>0</v>
      </c>
      <c r="FO455" s="28" t="str">
        <f aca="false">IFERROR(INDEX(Lists!$G$2:$G$20,MATCH($I455&amp;"|"&amp;$J455,Lists!$F$2:$F$20,0)),"")</f>
        <v/>
      </c>
    </row>
    <row r="456" customFormat="false" ht="19.5" hidden="false" customHeight="true" outlineLevel="0" collapsed="false">
      <c r="A456" s="29"/>
      <c r="B456" s="29"/>
      <c r="C456" s="30"/>
      <c r="D456" s="30"/>
      <c r="E456" s="31"/>
      <c r="F456" s="30"/>
      <c r="G456" s="30"/>
      <c r="H456" s="32"/>
      <c r="I456" s="33"/>
      <c r="J456" s="32"/>
      <c r="K456" s="34" t="str">
        <f aca="false">IF(OR(M456="",$E456=""),"",M456-$E456)</f>
        <v/>
      </c>
      <c r="L456" s="35" t="str">
        <f aca="false">IF(SUM(FA456:FN456)=0,"",SUM(EM456:EZ456)/SUM(FA456:FN456))</f>
        <v/>
      </c>
      <c r="M456" s="36" t="str">
        <f aca="false">IF(OR(L456="",FO456=""),"",IFERROR(MATCH(L456,INDEX(Boundaries!$B$2:$I$30,MATCH(FO456,Boundaries!$A$2:$A$30,0),0),1)-1,""))</f>
        <v/>
      </c>
      <c r="N456" s="37" t="str">
        <f aca="false">IF(COUNT($DY456:$EL456)&lt;2,"",INDEX($DK456:$DX456,MAX($DY456:$EL456))-INDEX($DK456:$DX456,MIN($DY456:$EL456)))</f>
        <v/>
      </c>
      <c r="O456" s="37" t="str">
        <f aca="false">IF(COUNT($DY456:$EL456)&lt;2,"",INDEX($DK456:$DX456,MAX($DY456:$EL456))-INDEX($DK456:$DX456,LARGE($DY456:$EL456,2)))</f>
        <v/>
      </c>
      <c r="P456" s="38" t="str">
        <f aca="false">IF(K456="","",IF(K456&gt;=0,"On/above target",IF(AND(N456&lt;&gt;"",N456&gt;=0.5),"Improving towards target",IF(AND(O456&lt;&gt;"",O456&lt;=-0.5),"Declining","Stable below target"))))</f>
        <v/>
      </c>
      <c r="Q456" s="39"/>
      <c r="R456" s="40" t="str">
        <f aca="false">IF(OR(Q456="",BU456=""),"",Q456/BU456*100)</f>
        <v/>
      </c>
      <c r="S456" s="41" t="str">
        <f aca="false">IF(R456="","",IFERROR(MATCH(R456,INDEX(Boundaries!$B$2:$I$30,MATCH(CI456,Boundaries!$A$2:$A$30,0),0),1)-1,""))</f>
        <v/>
      </c>
      <c r="T456" s="42" t="str">
        <f aca="false">IF(OR(S456="",$E456=""),"",S456-$E456)</f>
        <v/>
      </c>
      <c r="U456" s="39"/>
      <c r="V456" s="40" t="str">
        <f aca="false">IF(OR(U456="",BV456=""),"",U456/BV456*100)</f>
        <v/>
      </c>
      <c r="W456" s="41" t="str">
        <f aca="false">IF(V456="","",IFERROR(MATCH(V456,INDEX(Boundaries!$B$2:$I$30,MATCH(CJ456,Boundaries!$A$2:$A$30,0),0),1)-1,""))</f>
        <v/>
      </c>
      <c r="X456" s="42" t="str">
        <f aca="false">IF(OR(W456="",$E456=""),"",W456-$E456)</f>
        <v/>
      </c>
      <c r="Y456" s="39"/>
      <c r="Z456" s="40" t="str">
        <f aca="false">IF(OR(Y456="",BW456=""),"",Y456/BW456*100)</f>
        <v/>
      </c>
      <c r="AA456" s="41" t="str">
        <f aca="false">IF(Z456="","",IFERROR(MATCH(Z456,INDEX(Boundaries!$B$2:$I$30,MATCH(CK456,Boundaries!$A$2:$A$30,0),0),1)-1,""))</f>
        <v/>
      </c>
      <c r="AB456" s="42" t="str">
        <f aca="false">IF(OR(AA456="",$E456=""),"",AA456-$E456)</f>
        <v/>
      </c>
      <c r="AC456" s="39"/>
      <c r="AD456" s="40" t="str">
        <f aca="false">IF(OR(AC456="",BX456=""),"",AC456/BX456*100)</f>
        <v/>
      </c>
      <c r="AE456" s="41" t="str">
        <f aca="false">IF(AD456="","",IFERROR(MATCH(AD456,INDEX(Boundaries!$B$2:$I$30,MATCH(CL456,Boundaries!$A$2:$A$30,0),0),1)-1,""))</f>
        <v/>
      </c>
      <c r="AF456" s="42" t="str">
        <f aca="false">IF(OR(AE456="",$E456=""),"",AE456-$E456)</f>
        <v/>
      </c>
      <c r="AG456" s="39"/>
      <c r="AH456" s="40" t="str">
        <f aca="false">IF(OR(AG456="",BY456=""),"",AG456/BY456*100)</f>
        <v/>
      </c>
      <c r="AI456" s="41" t="str">
        <f aca="false">IF(AH456="","",IFERROR(MATCH(AH456,INDEX(Boundaries!$B$2:$I$30,MATCH(CM456,Boundaries!$A$2:$A$30,0),0),1)-1,""))</f>
        <v/>
      </c>
      <c r="AJ456" s="42" t="str">
        <f aca="false">IF(OR(AI456="",$E456=""),"",AI456-$E456)</f>
        <v/>
      </c>
      <c r="AK456" s="39"/>
      <c r="AL456" s="40" t="str">
        <f aca="false">IF(OR(AK456="",BZ456=""),"",AK456/BZ456*100)</f>
        <v/>
      </c>
      <c r="AM456" s="41" t="str">
        <f aca="false">IF(AL456="","",IFERROR(MATCH(AL456,INDEX(Boundaries!$B$2:$I$30,MATCH(CN456,Boundaries!$A$2:$A$30,0),0),1)-1,""))</f>
        <v/>
      </c>
      <c r="AN456" s="42" t="str">
        <f aca="false">IF(OR(AM456="",$E456=""),"",AM456-$E456)</f>
        <v/>
      </c>
      <c r="AO456" s="39"/>
      <c r="AP456" s="40" t="str">
        <f aca="false">IF(OR(AO456="",CA456=""),"",AO456/CA456*100)</f>
        <v/>
      </c>
      <c r="AQ456" s="41" t="str">
        <f aca="false">IF(AP456="","",IFERROR(MATCH(AP456,INDEX(Boundaries!$B$2:$I$30,MATCH(CO456,Boundaries!$A$2:$A$30,0),0),1)-1,""))</f>
        <v/>
      </c>
      <c r="AR456" s="42" t="str">
        <f aca="false">IF(OR(AQ456="",$E456=""),"",AQ456-$E456)</f>
        <v/>
      </c>
      <c r="AS456" s="39"/>
      <c r="AT456" s="40" t="str">
        <f aca="false">IF(OR(AS456="",CB456=""),"",AS456/CB456*100)</f>
        <v/>
      </c>
      <c r="AU456" s="41" t="str">
        <f aca="false">IF(AT456="","",IFERROR(MATCH(AT456,INDEX(Boundaries!$B$2:$I$30,MATCH(CP456,Boundaries!$A$2:$A$30,0),0),1)-1,""))</f>
        <v/>
      </c>
      <c r="AV456" s="42" t="str">
        <f aca="false">IF(OR(AU456="",$E456=""),"",AU456-$E456)</f>
        <v/>
      </c>
      <c r="AW456" s="39"/>
      <c r="AX456" s="40" t="str">
        <f aca="false">IF(OR(AW456="",CC456=""),"",AW456/CC456*100)</f>
        <v/>
      </c>
      <c r="AY456" s="41" t="str">
        <f aca="false">IF(AX456="","",IFERROR(MATCH(AX456,INDEX(Boundaries!$B$2:$I$30,MATCH(CQ456,Boundaries!$A$2:$A$30,0),0),1)-1,""))</f>
        <v/>
      </c>
      <c r="AZ456" s="42" t="str">
        <f aca="false">IF(OR(AY456="",$E456=""),"",AY456-$E456)</f>
        <v/>
      </c>
      <c r="BA456" s="39"/>
      <c r="BB456" s="40" t="str">
        <f aca="false">IF(OR(BA456="",CD456=""),"",BA456/CD456*100)</f>
        <v/>
      </c>
      <c r="BC456" s="41" t="str">
        <f aca="false">IF(BB456="","",IFERROR(MATCH(BB456,INDEX(Boundaries!$B$2:$I$30,MATCH(CR456,Boundaries!$A$2:$A$30,0),0),1)-1,""))</f>
        <v/>
      </c>
      <c r="BD456" s="42" t="str">
        <f aca="false">IF(OR(BC456="",$E456=""),"",BC456-$E456)</f>
        <v/>
      </c>
      <c r="BE456" s="39"/>
      <c r="BF456" s="40" t="str">
        <f aca="false">IF(OR(BE456="",CE456=""),"",BE456/CE456*100)</f>
        <v/>
      </c>
      <c r="BG456" s="41" t="str">
        <f aca="false">IF(BF456="","",IFERROR(MATCH(BF456,INDEX(Boundaries!$B$2:$I$30,MATCH(CS456,Boundaries!$A$2:$A$30,0),0),1)-1,""))</f>
        <v/>
      </c>
      <c r="BH456" s="42" t="str">
        <f aca="false">IF(OR(BG456="",$E456=""),"",BG456-$E456)</f>
        <v/>
      </c>
      <c r="BI456" s="39"/>
      <c r="BJ456" s="40" t="str">
        <f aca="false">IF(OR(BI456="",CF456=""),"",BI456/CF456*100)</f>
        <v/>
      </c>
      <c r="BK456" s="41" t="str">
        <f aca="false">IF(BJ456="","",IFERROR(MATCH(BJ456,INDEX(Boundaries!$B$2:$I$30,MATCH(CT456,Boundaries!$A$2:$A$30,0),0),1)-1,""))</f>
        <v/>
      </c>
      <c r="BL456" s="42" t="str">
        <f aca="false">IF(OR(BK456="",$E456=""),"",BK456-$E456)</f>
        <v/>
      </c>
      <c r="BM456" s="39"/>
      <c r="BN456" s="40" t="str">
        <f aca="false">IF(OR(BM456="",CG456=""),"",BM456/CG456*100)</f>
        <v/>
      </c>
      <c r="BO456" s="41" t="str">
        <f aca="false">IF(BN456="","",IFERROR(MATCH(BN456,INDEX(Boundaries!$B$2:$I$30,MATCH(CU456,Boundaries!$A$2:$A$30,0),0),1)-1,""))</f>
        <v/>
      </c>
      <c r="BP456" s="42" t="str">
        <f aca="false">IF(OR(BO456="",$E456=""),"",BO456-$E456)</f>
        <v/>
      </c>
      <c r="BQ456" s="39"/>
      <c r="BR456" s="40" t="str">
        <f aca="false">IF(OR(BQ456="",CH456=""),"",BQ456/CH456*100)</f>
        <v/>
      </c>
      <c r="BS456" s="41" t="str">
        <f aca="false">IF(BR456="","",IFERROR(MATCH(BR456,INDEX(Boundaries!$B$2:$I$30,MATCH(CV456,Boundaries!$A$2:$A$30,0),0),1)-1,""))</f>
        <v/>
      </c>
      <c r="BT456" s="42" t="str">
        <f aca="false">IF(OR(BS456="",$E456=""),"",BS456-$E456)</f>
        <v/>
      </c>
      <c r="BU456" s="28" t="str">
        <f aca="false">IFERROR(INDEX(Assessments!$H$2:$H$600,MATCH($H456&amp;"|"&amp;$I456&amp;"|"&amp;$J456&amp;"|"&amp;1,Assessments!$A$2:$A$600,0)),"")</f>
        <v/>
      </c>
      <c r="BV456" s="28" t="str">
        <f aca="false">IFERROR(INDEX(Assessments!$H$2:$H$600,MATCH($H456&amp;"|"&amp;$I456&amp;"|"&amp;$J456&amp;"|"&amp;2,Assessments!$A$2:$A$600,0)),"")</f>
        <v/>
      </c>
      <c r="BW456" s="28" t="str">
        <f aca="false">IFERROR(INDEX(Assessments!$H$2:$H$600,MATCH($H456&amp;"|"&amp;$I456&amp;"|"&amp;$J456&amp;"|"&amp;3,Assessments!$A$2:$A$600,0)),"")</f>
        <v/>
      </c>
      <c r="BX456" s="28" t="str">
        <f aca="false">IFERROR(INDEX(Assessments!$H$2:$H$600,MATCH($H456&amp;"|"&amp;$I456&amp;"|"&amp;$J456&amp;"|"&amp;4,Assessments!$A$2:$A$600,0)),"")</f>
        <v/>
      </c>
      <c r="BY456" s="28" t="str">
        <f aca="false">IFERROR(INDEX(Assessments!$H$2:$H$600,MATCH($H456&amp;"|"&amp;$I456&amp;"|"&amp;$J456&amp;"|"&amp;5,Assessments!$A$2:$A$600,0)),"")</f>
        <v/>
      </c>
      <c r="BZ456" s="28" t="str">
        <f aca="false">IFERROR(INDEX(Assessments!$H$2:$H$600,MATCH($H456&amp;"|"&amp;$I456&amp;"|"&amp;$J456&amp;"|"&amp;6,Assessments!$A$2:$A$600,0)),"")</f>
        <v/>
      </c>
      <c r="CA456" s="28" t="str">
        <f aca="false">IFERROR(INDEX(Assessments!$H$2:$H$600,MATCH($H456&amp;"|"&amp;$I456&amp;"|"&amp;$J456&amp;"|"&amp;7,Assessments!$A$2:$A$600,0)),"")</f>
        <v/>
      </c>
      <c r="CB456" s="28" t="str">
        <f aca="false">IFERROR(INDEX(Assessments!$H$2:$H$600,MATCH($H456&amp;"|"&amp;$I456&amp;"|"&amp;$J456&amp;"|"&amp;8,Assessments!$A$2:$A$600,0)),"")</f>
        <v/>
      </c>
      <c r="CC456" s="28" t="str">
        <f aca="false">IFERROR(INDEX(Assessments!$H$2:$H$600,MATCH($H456&amp;"|"&amp;$I456&amp;"|"&amp;$J456&amp;"|"&amp;9,Assessments!$A$2:$A$600,0)),"")</f>
        <v/>
      </c>
      <c r="CD456" s="28" t="str">
        <f aca="false">IFERROR(INDEX(Assessments!$H$2:$H$600,MATCH($H456&amp;"|"&amp;$I456&amp;"|"&amp;$J456&amp;"|"&amp;10,Assessments!$A$2:$A$600,0)),"")</f>
        <v/>
      </c>
      <c r="CE456" s="28" t="str">
        <f aca="false">IFERROR(INDEX(Assessments!$H$2:$H$600,MATCH($H456&amp;"|"&amp;$I456&amp;"|"&amp;$J456&amp;"|"&amp;11,Assessments!$A$2:$A$600,0)),"")</f>
        <v/>
      </c>
      <c r="CF456" s="28" t="str">
        <f aca="false">IFERROR(INDEX(Assessments!$H$2:$H$600,MATCH($H456&amp;"|"&amp;$I456&amp;"|"&amp;$J456&amp;"|"&amp;12,Assessments!$A$2:$A$600,0)),"")</f>
        <v/>
      </c>
      <c r="CG456" s="28" t="str">
        <f aca="false">IFERROR(INDEX(Assessments!$H$2:$H$600,MATCH($H456&amp;"|"&amp;$I456&amp;"|"&amp;$J456&amp;"|"&amp;13,Assessments!$A$2:$A$600,0)),"")</f>
        <v/>
      </c>
      <c r="CH456" s="28" t="str">
        <f aca="false">IFERROR(INDEX(Assessments!$H$2:$H$600,MATCH($H456&amp;"|"&amp;$I456&amp;"|"&amp;$J456&amp;"|"&amp;14,Assessments!$A$2:$A$600,0)),"")</f>
        <v/>
      </c>
      <c r="CI456" s="28" t="str">
        <f aca="false">IFERROR(INDEX(Assessments!$I$2:$I$600,MATCH($H456&amp;"|"&amp;$I456&amp;"|"&amp;$J456&amp;"|"&amp;1,Assessments!$A$2:$A$600,0)),"")</f>
        <v/>
      </c>
      <c r="CJ456" s="28" t="str">
        <f aca="false">IFERROR(INDEX(Assessments!$I$2:$I$600,MATCH($H456&amp;"|"&amp;$I456&amp;"|"&amp;$J456&amp;"|"&amp;2,Assessments!$A$2:$A$600,0)),"")</f>
        <v/>
      </c>
      <c r="CK456" s="28" t="str">
        <f aca="false">IFERROR(INDEX(Assessments!$I$2:$I$600,MATCH($H456&amp;"|"&amp;$I456&amp;"|"&amp;$J456&amp;"|"&amp;3,Assessments!$A$2:$A$600,0)),"")</f>
        <v/>
      </c>
      <c r="CL456" s="28" t="str">
        <f aca="false">IFERROR(INDEX(Assessments!$I$2:$I$600,MATCH($H456&amp;"|"&amp;$I456&amp;"|"&amp;$J456&amp;"|"&amp;4,Assessments!$A$2:$A$600,0)),"")</f>
        <v/>
      </c>
      <c r="CM456" s="28" t="str">
        <f aca="false">IFERROR(INDEX(Assessments!$I$2:$I$600,MATCH($H456&amp;"|"&amp;$I456&amp;"|"&amp;$J456&amp;"|"&amp;5,Assessments!$A$2:$A$600,0)),"")</f>
        <v/>
      </c>
      <c r="CN456" s="28" t="str">
        <f aca="false">IFERROR(INDEX(Assessments!$I$2:$I$600,MATCH($H456&amp;"|"&amp;$I456&amp;"|"&amp;$J456&amp;"|"&amp;6,Assessments!$A$2:$A$600,0)),"")</f>
        <v/>
      </c>
      <c r="CO456" s="28" t="str">
        <f aca="false">IFERROR(INDEX(Assessments!$I$2:$I$600,MATCH($H456&amp;"|"&amp;$I456&amp;"|"&amp;$J456&amp;"|"&amp;7,Assessments!$A$2:$A$600,0)),"")</f>
        <v/>
      </c>
      <c r="CP456" s="28" t="str">
        <f aca="false">IFERROR(INDEX(Assessments!$I$2:$I$600,MATCH($H456&amp;"|"&amp;$I456&amp;"|"&amp;$J456&amp;"|"&amp;8,Assessments!$A$2:$A$600,0)),"")</f>
        <v/>
      </c>
      <c r="CQ456" s="28" t="str">
        <f aca="false">IFERROR(INDEX(Assessments!$I$2:$I$600,MATCH($H456&amp;"|"&amp;$I456&amp;"|"&amp;$J456&amp;"|"&amp;9,Assessments!$A$2:$A$600,0)),"")</f>
        <v/>
      </c>
      <c r="CR456" s="28" t="str">
        <f aca="false">IFERROR(INDEX(Assessments!$I$2:$I$600,MATCH($H456&amp;"|"&amp;$I456&amp;"|"&amp;$J456&amp;"|"&amp;10,Assessments!$A$2:$A$600,0)),"")</f>
        <v/>
      </c>
      <c r="CS456" s="28" t="str">
        <f aca="false">IFERROR(INDEX(Assessments!$I$2:$I$600,MATCH($H456&amp;"|"&amp;$I456&amp;"|"&amp;$J456&amp;"|"&amp;11,Assessments!$A$2:$A$600,0)),"")</f>
        <v/>
      </c>
      <c r="CT456" s="28" t="str">
        <f aca="false">IFERROR(INDEX(Assessments!$I$2:$I$600,MATCH($H456&amp;"|"&amp;$I456&amp;"|"&amp;$J456&amp;"|"&amp;12,Assessments!$A$2:$A$600,0)),"")</f>
        <v/>
      </c>
      <c r="CU456" s="28" t="str">
        <f aca="false">IFERROR(INDEX(Assessments!$I$2:$I$600,MATCH($H456&amp;"|"&amp;$I456&amp;"|"&amp;$J456&amp;"|"&amp;13,Assessments!$A$2:$A$600,0)),"")</f>
        <v/>
      </c>
      <c r="CV456" s="28" t="str">
        <f aca="false">IFERROR(INDEX(Assessments!$I$2:$I$600,MATCH($H456&amp;"|"&amp;$I456&amp;"|"&amp;$J456&amp;"|"&amp;14,Assessments!$A$2:$A$600,0)),"")</f>
        <v/>
      </c>
      <c r="CW456" s="28" t="n">
        <f aca="false">IFERROR(INDEX(Assessments!$J$2:$J$600,MATCH($H456&amp;"|"&amp;$I456&amp;"|"&amp;$J456&amp;"|"&amp;1,Assessments!$A$2:$A$600,0)),0)</f>
        <v>0</v>
      </c>
      <c r="CX456" s="28" t="n">
        <f aca="false">IFERROR(INDEX(Assessments!$J$2:$J$600,MATCH($H456&amp;"|"&amp;$I456&amp;"|"&amp;$J456&amp;"|"&amp;2,Assessments!$A$2:$A$600,0)),0)</f>
        <v>0</v>
      </c>
      <c r="CY456" s="28" t="n">
        <f aca="false">IFERROR(INDEX(Assessments!$J$2:$J$600,MATCH($H456&amp;"|"&amp;$I456&amp;"|"&amp;$J456&amp;"|"&amp;3,Assessments!$A$2:$A$600,0)),0)</f>
        <v>0</v>
      </c>
      <c r="CZ456" s="28" t="n">
        <f aca="false">IFERROR(INDEX(Assessments!$J$2:$J$600,MATCH($H456&amp;"|"&amp;$I456&amp;"|"&amp;$J456&amp;"|"&amp;4,Assessments!$A$2:$A$600,0)),0)</f>
        <v>0</v>
      </c>
      <c r="DA456" s="28" t="n">
        <f aca="false">IFERROR(INDEX(Assessments!$J$2:$J$600,MATCH($H456&amp;"|"&amp;$I456&amp;"|"&amp;$J456&amp;"|"&amp;5,Assessments!$A$2:$A$600,0)),0)</f>
        <v>0</v>
      </c>
      <c r="DB456" s="28" t="n">
        <f aca="false">IFERROR(INDEX(Assessments!$J$2:$J$600,MATCH($H456&amp;"|"&amp;$I456&amp;"|"&amp;$J456&amp;"|"&amp;6,Assessments!$A$2:$A$600,0)),0)</f>
        <v>0</v>
      </c>
      <c r="DC456" s="28" t="n">
        <f aca="false">IFERROR(INDEX(Assessments!$J$2:$J$600,MATCH($H456&amp;"|"&amp;$I456&amp;"|"&amp;$J456&amp;"|"&amp;7,Assessments!$A$2:$A$600,0)),0)</f>
        <v>0</v>
      </c>
      <c r="DD456" s="28" t="n">
        <f aca="false">IFERROR(INDEX(Assessments!$J$2:$J$600,MATCH($H456&amp;"|"&amp;$I456&amp;"|"&amp;$J456&amp;"|"&amp;8,Assessments!$A$2:$A$600,0)),0)</f>
        <v>0</v>
      </c>
      <c r="DE456" s="28" t="n">
        <f aca="false">IFERROR(INDEX(Assessments!$J$2:$J$600,MATCH($H456&amp;"|"&amp;$I456&amp;"|"&amp;$J456&amp;"|"&amp;9,Assessments!$A$2:$A$600,0)),0)</f>
        <v>0</v>
      </c>
      <c r="DF456" s="28" t="n">
        <f aca="false">IFERROR(INDEX(Assessments!$J$2:$J$600,MATCH($H456&amp;"|"&amp;$I456&amp;"|"&amp;$J456&amp;"|"&amp;10,Assessments!$A$2:$A$600,0)),0)</f>
        <v>0</v>
      </c>
      <c r="DG456" s="28" t="n">
        <f aca="false">IFERROR(INDEX(Assessments!$J$2:$J$600,MATCH($H456&amp;"|"&amp;$I456&amp;"|"&amp;$J456&amp;"|"&amp;11,Assessments!$A$2:$A$600,0)),0)</f>
        <v>0</v>
      </c>
      <c r="DH456" s="28" t="n">
        <f aca="false">IFERROR(INDEX(Assessments!$J$2:$J$600,MATCH($H456&amp;"|"&amp;$I456&amp;"|"&amp;$J456&amp;"|"&amp;12,Assessments!$A$2:$A$600,0)),0)</f>
        <v>0</v>
      </c>
      <c r="DI456" s="28" t="n">
        <f aca="false">IFERROR(INDEX(Assessments!$J$2:$J$600,MATCH($H456&amp;"|"&amp;$I456&amp;"|"&amp;$J456&amp;"|"&amp;13,Assessments!$A$2:$A$600,0)),0)</f>
        <v>0</v>
      </c>
      <c r="DJ456" s="28" t="n">
        <f aca="false">IFERROR(INDEX(Assessments!$J$2:$J$600,MATCH($H456&amp;"|"&amp;$I456&amp;"|"&amp;$J456&amp;"|"&amp;14,Assessments!$A$2:$A$600,0)),0)</f>
        <v>0</v>
      </c>
      <c r="DK456" s="28" t="str">
        <f aca="false">S456</f>
        <v/>
      </c>
      <c r="DL456" s="28" t="str">
        <f aca="false">W456</f>
        <v/>
      </c>
      <c r="DM456" s="28" t="str">
        <f aca="false">AA456</f>
        <v/>
      </c>
      <c r="DN456" s="28" t="str">
        <f aca="false">AE456</f>
        <v/>
      </c>
      <c r="DO456" s="28" t="str">
        <f aca="false">AI456</f>
        <v/>
      </c>
      <c r="DP456" s="28" t="str">
        <f aca="false">AM456</f>
        <v/>
      </c>
      <c r="DQ456" s="28" t="str">
        <f aca="false">AQ456</f>
        <v/>
      </c>
      <c r="DR456" s="28" t="str">
        <f aca="false">AU456</f>
        <v/>
      </c>
      <c r="DS456" s="28" t="str">
        <f aca="false">AY456</f>
        <v/>
      </c>
      <c r="DT456" s="28" t="str">
        <f aca="false">BC456</f>
        <v/>
      </c>
      <c r="DU456" s="28" t="str">
        <f aca="false">BG456</f>
        <v/>
      </c>
      <c r="DV456" s="28" t="str">
        <f aca="false">BK456</f>
        <v/>
      </c>
      <c r="DW456" s="28" t="str">
        <f aca="false">BO456</f>
        <v/>
      </c>
      <c r="DX456" s="28" t="str">
        <f aca="false">BS456</f>
        <v/>
      </c>
      <c r="DY456" s="28" t="str">
        <f aca="false">IF(ISNUMBER(S456),1,"")</f>
        <v/>
      </c>
      <c r="DZ456" s="28" t="str">
        <f aca="false">IF(ISNUMBER(W456),2,"")</f>
        <v/>
      </c>
      <c r="EA456" s="28" t="str">
        <f aca="false">IF(ISNUMBER(AA456),3,"")</f>
        <v/>
      </c>
      <c r="EB456" s="28" t="str">
        <f aca="false">IF(ISNUMBER(AE456),4,"")</f>
        <v/>
      </c>
      <c r="EC456" s="28" t="str">
        <f aca="false">IF(ISNUMBER(AI456),5,"")</f>
        <v/>
      </c>
      <c r="ED456" s="28" t="str">
        <f aca="false">IF(ISNUMBER(AM456),6,"")</f>
        <v/>
      </c>
      <c r="EE456" s="28" t="str">
        <f aca="false">IF(ISNUMBER(AQ456),7,"")</f>
        <v/>
      </c>
      <c r="EF456" s="28" t="str">
        <f aca="false">IF(ISNUMBER(AU456),8,"")</f>
        <v/>
      </c>
      <c r="EG456" s="28" t="str">
        <f aca="false">IF(ISNUMBER(AY456),9,"")</f>
        <v/>
      </c>
      <c r="EH456" s="28" t="str">
        <f aca="false">IF(ISNUMBER(BC456),10,"")</f>
        <v/>
      </c>
      <c r="EI456" s="28" t="str">
        <f aca="false">IF(ISNUMBER(BG456),11,"")</f>
        <v/>
      </c>
      <c r="EJ456" s="28" t="str">
        <f aca="false">IF(ISNUMBER(BK456),12,"")</f>
        <v/>
      </c>
      <c r="EK456" s="28" t="str">
        <f aca="false">IF(ISNUMBER(BO456),13,"")</f>
        <v/>
      </c>
      <c r="EL456" s="28" t="str">
        <f aca="false">IF(ISNUMBER(BS456),14,"")</f>
        <v/>
      </c>
      <c r="EM456" s="28" t="n">
        <f aca="false">IF(ISNUMBER(R456),R456*CW456,0)</f>
        <v>0</v>
      </c>
      <c r="EN456" s="28" t="n">
        <f aca="false">IF(ISNUMBER(V456),V456*CX456,0)</f>
        <v>0</v>
      </c>
      <c r="EO456" s="28" t="n">
        <f aca="false">IF(ISNUMBER(Z456),Z456*CY456,0)</f>
        <v>0</v>
      </c>
      <c r="EP456" s="28" t="n">
        <f aca="false">IF(ISNUMBER(AD456),AD456*CZ456,0)</f>
        <v>0</v>
      </c>
      <c r="EQ456" s="28" t="n">
        <f aca="false">IF(ISNUMBER(AH456),AH456*DA456,0)</f>
        <v>0</v>
      </c>
      <c r="ER456" s="28" t="n">
        <f aca="false">IF(ISNUMBER(AL456),AL456*DB456,0)</f>
        <v>0</v>
      </c>
      <c r="ES456" s="28" t="n">
        <f aca="false">IF(ISNUMBER(AP456),AP456*DC456,0)</f>
        <v>0</v>
      </c>
      <c r="ET456" s="28" t="n">
        <f aca="false">IF(ISNUMBER(AT456),AT456*DD456,0)</f>
        <v>0</v>
      </c>
      <c r="EU456" s="28" t="n">
        <f aca="false">IF(ISNUMBER(AX456),AX456*DE456,0)</f>
        <v>0</v>
      </c>
      <c r="EV456" s="28" t="n">
        <f aca="false">IF(ISNUMBER(BB456),BB456*DF456,0)</f>
        <v>0</v>
      </c>
      <c r="EW456" s="28" t="n">
        <f aca="false">IF(ISNUMBER(BF456),BF456*DG456,0)</f>
        <v>0</v>
      </c>
      <c r="EX456" s="28" t="n">
        <f aca="false">IF(ISNUMBER(BJ456),BJ456*DH456,0)</f>
        <v>0</v>
      </c>
      <c r="EY456" s="28" t="n">
        <f aca="false">IF(ISNUMBER(BN456),BN456*DI456,0)</f>
        <v>0</v>
      </c>
      <c r="EZ456" s="28" t="n">
        <f aca="false">IF(ISNUMBER(BR456),BR456*DJ456,0)</f>
        <v>0</v>
      </c>
      <c r="FA456" s="28" t="n">
        <f aca="false">IF(ISNUMBER(R456),CW456,0)</f>
        <v>0</v>
      </c>
      <c r="FB456" s="28" t="n">
        <f aca="false">IF(ISNUMBER(V456),CX456,0)</f>
        <v>0</v>
      </c>
      <c r="FC456" s="28" t="n">
        <f aca="false">IF(ISNUMBER(Z456),CY456,0)</f>
        <v>0</v>
      </c>
      <c r="FD456" s="28" t="n">
        <f aca="false">IF(ISNUMBER(AD456),CZ456,0)</f>
        <v>0</v>
      </c>
      <c r="FE456" s="28" t="n">
        <f aca="false">IF(ISNUMBER(AH456),DA456,0)</f>
        <v>0</v>
      </c>
      <c r="FF456" s="28" t="n">
        <f aca="false">IF(ISNUMBER(AL456),DB456,0)</f>
        <v>0</v>
      </c>
      <c r="FG456" s="28" t="n">
        <f aca="false">IF(ISNUMBER(AP456),DC456,0)</f>
        <v>0</v>
      </c>
      <c r="FH456" s="28" t="n">
        <f aca="false">IF(ISNUMBER(AT456),DD456,0)</f>
        <v>0</v>
      </c>
      <c r="FI456" s="28" t="n">
        <f aca="false">IF(ISNUMBER(AX456),DE456,0)</f>
        <v>0</v>
      </c>
      <c r="FJ456" s="28" t="n">
        <f aca="false">IF(ISNUMBER(BB456),DF456,0)</f>
        <v>0</v>
      </c>
      <c r="FK456" s="28" t="n">
        <f aca="false">IF(ISNUMBER(BF456),DG456,0)</f>
        <v>0</v>
      </c>
      <c r="FL456" s="28" t="n">
        <f aca="false">IF(ISNUMBER(BJ456),DH456,0)</f>
        <v>0</v>
      </c>
      <c r="FM456" s="28" t="n">
        <f aca="false">IF(ISNUMBER(BN456),DI456,0)</f>
        <v>0</v>
      </c>
      <c r="FN456" s="28" t="n">
        <f aca="false">IF(ISNUMBER(BR456),DJ456,0)</f>
        <v>0</v>
      </c>
      <c r="FO456" s="28" t="str">
        <f aca="false">IFERROR(INDEX(Lists!$G$2:$G$20,MATCH($I456&amp;"|"&amp;$J456,Lists!$F$2:$F$20,0)),"")</f>
        <v/>
      </c>
    </row>
    <row r="457" customFormat="false" ht="19.5" hidden="false" customHeight="true" outlineLevel="0" collapsed="false">
      <c r="A457" s="29"/>
      <c r="B457" s="29"/>
      <c r="C457" s="30"/>
      <c r="D457" s="30"/>
      <c r="E457" s="31"/>
      <c r="F457" s="30"/>
      <c r="G457" s="30"/>
      <c r="H457" s="32"/>
      <c r="I457" s="33"/>
      <c r="J457" s="32"/>
      <c r="K457" s="34" t="str">
        <f aca="false">IF(OR(M457="",$E457=""),"",M457-$E457)</f>
        <v/>
      </c>
      <c r="L457" s="35" t="str">
        <f aca="false">IF(SUM(FA457:FN457)=0,"",SUM(EM457:EZ457)/SUM(FA457:FN457))</f>
        <v/>
      </c>
      <c r="M457" s="36" t="str">
        <f aca="false">IF(OR(L457="",FO457=""),"",IFERROR(MATCH(L457,INDEX(Boundaries!$B$2:$I$30,MATCH(FO457,Boundaries!$A$2:$A$30,0),0),1)-1,""))</f>
        <v/>
      </c>
      <c r="N457" s="37" t="str">
        <f aca="false">IF(COUNT($DY457:$EL457)&lt;2,"",INDEX($DK457:$DX457,MAX($DY457:$EL457))-INDEX($DK457:$DX457,MIN($DY457:$EL457)))</f>
        <v/>
      </c>
      <c r="O457" s="37" t="str">
        <f aca="false">IF(COUNT($DY457:$EL457)&lt;2,"",INDEX($DK457:$DX457,MAX($DY457:$EL457))-INDEX($DK457:$DX457,LARGE($DY457:$EL457,2)))</f>
        <v/>
      </c>
      <c r="P457" s="38" t="str">
        <f aca="false">IF(K457="","",IF(K457&gt;=0,"On/above target",IF(AND(N457&lt;&gt;"",N457&gt;=0.5),"Improving towards target",IF(AND(O457&lt;&gt;"",O457&lt;=-0.5),"Declining","Stable below target"))))</f>
        <v/>
      </c>
      <c r="Q457" s="39"/>
      <c r="R457" s="40" t="str">
        <f aca="false">IF(OR(Q457="",BU457=""),"",Q457/BU457*100)</f>
        <v/>
      </c>
      <c r="S457" s="41" t="str">
        <f aca="false">IF(R457="","",IFERROR(MATCH(R457,INDEX(Boundaries!$B$2:$I$30,MATCH(CI457,Boundaries!$A$2:$A$30,0),0),1)-1,""))</f>
        <v/>
      </c>
      <c r="T457" s="42" t="str">
        <f aca="false">IF(OR(S457="",$E457=""),"",S457-$E457)</f>
        <v/>
      </c>
      <c r="U457" s="39"/>
      <c r="V457" s="40" t="str">
        <f aca="false">IF(OR(U457="",BV457=""),"",U457/BV457*100)</f>
        <v/>
      </c>
      <c r="W457" s="41" t="str">
        <f aca="false">IF(V457="","",IFERROR(MATCH(V457,INDEX(Boundaries!$B$2:$I$30,MATCH(CJ457,Boundaries!$A$2:$A$30,0),0),1)-1,""))</f>
        <v/>
      </c>
      <c r="X457" s="42" t="str">
        <f aca="false">IF(OR(W457="",$E457=""),"",W457-$E457)</f>
        <v/>
      </c>
      <c r="Y457" s="39"/>
      <c r="Z457" s="40" t="str">
        <f aca="false">IF(OR(Y457="",BW457=""),"",Y457/BW457*100)</f>
        <v/>
      </c>
      <c r="AA457" s="41" t="str">
        <f aca="false">IF(Z457="","",IFERROR(MATCH(Z457,INDEX(Boundaries!$B$2:$I$30,MATCH(CK457,Boundaries!$A$2:$A$30,0),0),1)-1,""))</f>
        <v/>
      </c>
      <c r="AB457" s="42" t="str">
        <f aca="false">IF(OR(AA457="",$E457=""),"",AA457-$E457)</f>
        <v/>
      </c>
      <c r="AC457" s="39"/>
      <c r="AD457" s="40" t="str">
        <f aca="false">IF(OR(AC457="",BX457=""),"",AC457/BX457*100)</f>
        <v/>
      </c>
      <c r="AE457" s="41" t="str">
        <f aca="false">IF(AD457="","",IFERROR(MATCH(AD457,INDEX(Boundaries!$B$2:$I$30,MATCH(CL457,Boundaries!$A$2:$A$30,0),0),1)-1,""))</f>
        <v/>
      </c>
      <c r="AF457" s="42" t="str">
        <f aca="false">IF(OR(AE457="",$E457=""),"",AE457-$E457)</f>
        <v/>
      </c>
      <c r="AG457" s="39"/>
      <c r="AH457" s="40" t="str">
        <f aca="false">IF(OR(AG457="",BY457=""),"",AG457/BY457*100)</f>
        <v/>
      </c>
      <c r="AI457" s="41" t="str">
        <f aca="false">IF(AH457="","",IFERROR(MATCH(AH457,INDEX(Boundaries!$B$2:$I$30,MATCH(CM457,Boundaries!$A$2:$A$30,0),0),1)-1,""))</f>
        <v/>
      </c>
      <c r="AJ457" s="42" t="str">
        <f aca="false">IF(OR(AI457="",$E457=""),"",AI457-$E457)</f>
        <v/>
      </c>
      <c r="AK457" s="39"/>
      <c r="AL457" s="40" t="str">
        <f aca="false">IF(OR(AK457="",BZ457=""),"",AK457/BZ457*100)</f>
        <v/>
      </c>
      <c r="AM457" s="41" t="str">
        <f aca="false">IF(AL457="","",IFERROR(MATCH(AL457,INDEX(Boundaries!$B$2:$I$30,MATCH(CN457,Boundaries!$A$2:$A$30,0),0),1)-1,""))</f>
        <v/>
      </c>
      <c r="AN457" s="42" t="str">
        <f aca="false">IF(OR(AM457="",$E457=""),"",AM457-$E457)</f>
        <v/>
      </c>
      <c r="AO457" s="39"/>
      <c r="AP457" s="40" t="str">
        <f aca="false">IF(OR(AO457="",CA457=""),"",AO457/CA457*100)</f>
        <v/>
      </c>
      <c r="AQ457" s="41" t="str">
        <f aca="false">IF(AP457="","",IFERROR(MATCH(AP457,INDEX(Boundaries!$B$2:$I$30,MATCH(CO457,Boundaries!$A$2:$A$30,0),0),1)-1,""))</f>
        <v/>
      </c>
      <c r="AR457" s="42" t="str">
        <f aca="false">IF(OR(AQ457="",$E457=""),"",AQ457-$E457)</f>
        <v/>
      </c>
      <c r="AS457" s="39"/>
      <c r="AT457" s="40" t="str">
        <f aca="false">IF(OR(AS457="",CB457=""),"",AS457/CB457*100)</f>
        <v/>
      </c>
      <c r="AU457" s="41" t="str">
        <f aca="false">IF(AT457="","",IFERROR(MATCH(AT457,INDEX(Boundaries!$B$2:$I$30,MATCH(CP457,Boundaries!$A$2:$A$30,0),0),1)-1,""))</f>
        <v/>
      </c>
      <c r="AV457" s="42" t="str">
        <f aca="false">IF(OR(AU457="",$E457=""),"",AU457-$E457)</f>
        <v/>
      </c>
      <c r="AW457" s="39"/>
      <c r="AX457" s="40" t="str">
        <f aca="false">IF(OR(AW457="",CC457=""),"",AW457/CC457*100)</f>
        <v/>
      </c>
      <c r="AY457" s="41" t="str">
        <f aca="false">IF(AX457="","",IFERROR(MATCH(AX457,INDEX(Boundaries!$B$2:$I$30,MATCH(CQ457,Boundaries!$A$2:$A$30,0),0),1)-1,""))</f>
        <v/>
      </c>
      <c r="AZ457" s="42" t="str">
        <f aca="false">IF(OR(AY457="",$E457=""),"",AY457-$E457)</f>
        <v/>
      </c>
      <c r="BA457" s="39"/>
      <c r="BB457" s="40" t="str">
        <f aca="false">IF(OR(BA457="",CD457=""),"",BA457/CD457*100)</f>
        <v/>
      </c>
      <c r="BC457" s="41" t="str">
        <f aca="false">IF(BB457="","",IFERROR(MATCH(BB457,INDEX(Boundaries!$B$2:$I$30,MATCH(CR457,Boundaries!$A$2:$A$30,0),0),1)-1,""))</f>
        <v/>
      </c>
      <c r="BD457" s="42" t="str">
        <f aca="false">IF(OR(BC457="",$E457=""),"",BC457-$E457)</f>
        <v/>
      </c>
      <c r="BE457" s="39"/>
      <c r="BF457" s="40" t="str">
        <f aca="false">IF(OR(BE457="",CE457=""),"",BE457/CE457*100)</f>
        <v/>
      </c>
      <c r="BG457" s="41" t="str">
        <f aca="false">IF(BF457="","",IFERROR(MATCH(BF457,INDEX(Boundaries!$B$2:$I$30,MATCH(CS457,Boundaries!$A$2:$A$30,0),0),1)-1,""))</f>
        <v/>
      </c>
      <c r="BH457" s="42" t="str">
        <f aca="false">IF(OR(BG457="",$E457=""),"",BG457-$E457)</f>
        <v/>
      </c>
      <c r="BI457" s="39"/>
      <c r="BJ457" s="40" t="str">
        <f aca="false">IF(OR(BI457="",CF457=""),"",BI457/CF457*100)</f>
        <v/>
      </c>
      <c r="BK457" s="41" t="str">
        <f aca="false">IF(BJ457="","",IFERROR(MATCH(BJ457,INDEX(Boundaries!$B$2:$I$30,MATCH(CT457,Boundaries!$A$2:$A$30,0),0),1)-1,""))</f>
        <v/>
      </c>
      <c r="BL457" s="42" t="str">
        <f aca="false">IF(OR(BK457="",$E457=""),"",BK457-$E457)</f>
        <v/>
      </c>
      <c r="BM457" s="39"/>
      <c r="BN457" s="40" t="str">
        <f aca="false">IF(OR(BM457="",CG457=""),"",BM457/CG457*100)</f>
        <v/>
      </c>
      <c r="BO457" s="41" t="str">
        <f aca="false">IF(BN457="","",IFERROR(MATCH(BN457,INDEX(Boundaries!$B$2:$I$30,MATCH(CU457,Boundaries!$A$2:$A$30,0),0),1)-1,""))</f>
        <v/>
      </c>
      <c r="BP457" s="42" t="str">
        <f aca="false">IF(OR(BO457="",$E457=""),"",BO457-$E457)</f>
        <v/>
      </c>
      <c r="BQ457" s="39"/>
      <c r="BR457" s="40" t="str">
        <f aca="false">IF(OR(BQ457="",CH457=""),"",BQ457/CH457*100)</f>
        <v/>
      </c>
      <c r="BS457" s="41" t="str">
        <f aca="false">IF(BR457="","",IFERROR(MATCH(BR457,INDEX(Boundaries!$B$2:$I$30,MATCH(CV457,Boundaries!$A$2:$A$30,0),0),1)-1,""))</f>
        <v/>
      </c>
      <c r="BT457" s="42" t="str">
        <f aca="false">IF(OR(BS457="",$E457=""),"",BS457-$E457)</f>
        <v/>
      </c>
      <c r="BU457" s="28" t="str">
        <f aca="false">IFERROR(INDEX(Assessments!$H$2:$H$600,MATCH($H457&amp;"|"&amp;$I457&amp;"|"&amp;$J457&amp;"|"&amp;1,Assessments!$A$2:$A$600,0)),"")</f>
        <v/>
      </c>
      <c r="BV457" s="28" t="str">
        <f aca="false">IFERROR(INDEX(Assessments!$H$2:$H$600,MATCH($H457&amp;"|"&amp;$I457&amp;"|"&amp;$J457&amp;"|"&amp;2,Assessments!$A$2:$A$600,0)),"")</f>
        <v/>
      </c>
      <c r="BW457" s="28" t="str">
        <f aca="false">IFERROR(INDEX(Assessments!$H$2:$H$600,MATCH($H457&amp;"|"&amp;$I457&amp;"|"&amp;$J457&amp;"|"&amp;3,Assessments!$A$2:$A$600,0)),"")</f>
        <v/>
      </c>
      <c r="BX457" s="28" t="str">
        <f aca="false">IFERROR(INDEX(Assessments!$H$2:$H$600,MATCH($H457&amp;"|"&amp;$I457&amp;"|"&amp;$J457&amp;"|"&amp;4,Assessments!$A$2:$A$600,0)),"")</f>
        <v/>
      </c>
      <c r="BY457" s="28" t="str">
        <f aca="false">IFERROR(INDEX(Assessments!$H$2:$H$600,MATCH($H457&amp;"|"&amp;$I457&amp;"|"&amp;$J457&amp;"|"&amp;5,Assessments!$A$2:$A$600,0)),"")</f>
        <v/>
      </c>
      <c r="BZ457" s="28" t="str">
        <f aca="false">IFERROR(INDEX(Assessments!$H$2:$H$600,MATCH($H457&amp;"|"&amp;$I457&amp;"|"&amp;$J457&amp;"|"&amp;6,Assessments!$A$2:$A$600,0)),"")</f>
        <v/>
      </c>
      <c r="CA457" s="28" t="str">
        <f aca="false">IFERROR(INDEX(Assessments!$H$2:$H$600,MATCH($H457&amp;"|"&amp;$I457&amp;"|"&amp;$J457&amp;"|"&amp;7,Assessments!$A$2:$A$600,0)),"")</f>
        <v/>
      </c>
      <c r="CB457" s="28" t="str">
        <f aca="false">IFERROR(INDEX(Assessments!$H$2:$H$600,MATCH($H457&amp;"|"&amp;$I457&amp;"|"&amp;$J457&amp;"|"&amp;8,Assessments!$A$2:$A$600,0)),"")</f>
        <v/>
      </c>
      <c r="CC457" s="28" t="str">
        <f aca="false">IFERROR(INDEX(Assessments!$H$2:$H$600,MATCH($H457&amp;"|"&amp;$I457&amp;"|"&amp;$J457&amp;"|"&amp;9,Assessments!$A$2:$A$600,0)),"")</f>
        <v/>
      </c>
      <c r="CD457" s="28" t="str">
        <f aca="false">IFERROR(INDEX(Assessments!$H$2:$H$600,MATCH($H457&amp;"|"&amp;$I457&amp;"|"&amp;$J457&amp;"|"&amp;10,Assessments!$A$2:$A$600,0)),"")</f>
        <v/>
      </c>
      <c r="CE457" s="28" t="str">
        <f aca="false">IFERROR(INDEX(Assessments!$H$2:$H$600,MATCH($H457&amp;"|"&amp;$I457&amp;"|"&amp;$J457&amp;"|"&amp;11,Assessments!$A$2:$A$600,0)),"")</f>
        <v/>
      </c>
      <c r="CF457" s="28" t="str">
        <f aca="false">IFERROR(INDEX(Assessments!$H$2:$H$600,MATCH($H457&amp;"|"&amp;$I457&amp;"|"&amp;$J457&amp;"|"&amp;12,Assessments!$A$2:$A$600,0)),"")</f>
        <v/>
      </c>
      <c r="CG457" s="28" t="str">
        <f aca="false">IFERROR(INDEX(Assessments!$H$2:$H$600,MATCH($H457&amp;"|"&amp;$I457&amp;"|"&amp;$J457&amp;"|"&amp;13,Assessments!$A$2:$A$600,0)),"")</f>
        <v/>
      </c>
      <c r="CH457" s="28" t="str">
        <f aca="false">IFERROR(INDEX(Assessments!$H$2:$H$600,MATCH($H457&amp;"|"&amp;$I457&amp;"|"&amp;$J457&amp;"|"&amp;14,Assessments!$A$2:$A$600,0)),"")</f>
        <v/>
      </c>
      <c r="CI457" s="28" t="str">
        <f aca="false">IFERROR(INDEX(Assessments!$I$2:$I$600,MATCH($H457&amp;"|"&amp;$I457&amp;"|"&amp;$J457&amp;"|"&amp;1,Assessments!$A$2:$A$600,0)),"")</f>
        <v/>
      </c>
      <c r="CJ457" s="28" t="str">
        <f aca="false">IFERROR(INDEX(Assessments!$I$2:$I$600,MATCH($H457&amp;"|"&amp;$I457&amp;"|"&amp;$J457&amp;"|"&amp;2,Assessments!$A$2:$A$600,0)),"")</f>
        <v/>
      </c>
      <c r="CK457" s="28" t="str">
        <f aca="false">IFERROR(INDEX(Assessments!$I$2:$I$600,MATCH($H457&amp;"|"&amp;$I457&amp;"|"&amp;$J457&amp;"|"&amp;3,Assessments!$A$2:$A$600,0)),"")</f>
        <v/>
      </c>
      <c r="CL457" s="28" t="str">
        <f aca="false">IFERROR(INDEX(Assessments!$I$2:$I$600,MATCH($H457&amp;"|"&amp;$I457&amp;"|"&amp;$J457&amp;"|"&amp;4,Assessments!$A$2:$A$600,0)),"")</f>
        <v/>
      </c>
      <c r="CM457" s="28" t="str">
        <f aca="false">IFERROR(INDEX(Assessments!$I$2:$I$600,MATCH($H457&amp;"|"&amp;$I457&amp;"|"&amp;$J457&amp;"|"&amp;5,Assessments!$A$2:$A$600,0)),"")</f>
        <v/>
      </c>
      <c r="CN457" s="28" t="str">
        <f aca="false">IFERROR(INDEX(Assessments!$I$2:$I$600,MATCH($H457&amp;"|"&amp;$I457&amp;"|"&amp;$J457&amp;"|"&amp;6,Assessments!$A$2:$A$600,0)),"")</f>
        <v/>
      </c>
      <c r="CO457" s="28" t="str">
        <f aca="false">IFERROR(INDEX(Assessments!$I$2:$I$600,MATCH($H457&amp;"|"&amp;$I457&amp;"|"&amp;$J457&amp;"|"&amp;7,Assessments!$A$2:$A$600,0)),"")</f>
        <v/>
      </c>
      <c r="CP457" s="28" t="str">
        <f aca="false">IFERROR(INDEX(Assessments!$I$2:$I$600,MATCH($H457&amp;"|"&amp;$I457&amp;"|"&amp;$J457&amp;"|"&amp;8,Assessments!$A$2:$A$600,0)),"")</f>
        <v/>
      </c>
      <c r="CQ457" s="28" t="str">
        <f aca="false">IFERROR(INDEX(Assessments!$I$2:$I$600,MATCH($H457&amp;"|"&amp;$I457&amp;"|"&amp;$J457&amp;"|"&amp;9,Assessments!$A$2:$A$600,0)),"")</f>
        <v/>
      </c>
      <c r="CR457" s="28" t="str">
        <f aca="false">IFERROR(INDEX(Assessments!$I$2:$I$600,MATCH($H457&amp;"|"&amp;$I457&amp;"|"&amp;$J457&amp;"|"&amp;10,Assessments!$A$2:$A$600,0)),"")</f>
        <v/>
      </c>
      <c r="CS457" s="28" t="str">
        <f aca="false">IFERROR(INDEX(Assessments!$I$2:$I$600,MATCH($H457&amp;"|"&amp;$I457&amp;"|"&amp;$J457&amp;"|"&amp;11,Assessments!$A$2:$A$600,0)),"")</f>
        <v/>
      </c>
      <c r="CT457" s="28" t="str">
        <f aca="false">IFERROR(INDEX(Assessments!$I$2:$I$600,MATCH($H457&amp;"|"&amp;$I457&amp;"|"&amp;$J457&amp;"|"&amp;12,Assessments!$A$2:$A$600,0)),"")</f>
        <v/>
      </c>
      <c r="CU457" s="28" t="str">
        <f aca="false">IFERROR(INDEX(Assessments!$I$2:$I$600,MATCH($H457&amp;"|"&amp;$I457&amp;"|"&amp;$J457&amp;"|"&amp;13,Assessments!$A$2:$A$600,0)),"")</f>
        <v/>
      </c>
      <c r="CV457" s="28" t="str">
        <f aca="false">IFERROR(INDEX(Assessments!$I$2:$I$600,MATCH($H457&amp;"|"&amp;$I457&amp;"|"&amp;$J457&amp;"|"&amp;14,Assessments!$A$2:$A$600,0)),"")</f>
        <v/>
      </c>
      <c r="CW457" s="28" t="n">
        <f aca="false">IFERROR(INDEX(Assessments!$J$2:$J$600,MATCH($H457&amp;"|"&amp;$I457&amp;"|"&amp;$J457&amp;"|"&amp;1,Assessments!$A$2:$A$600,0)),0)</f>
        <v>0</v>
      </c>
      <c r="CX457" s="28" t="n">
        <f aca="false">IFERROR(INDEX(Assessments!$J$2:$J$600,MATCH($H457&amp;"|"&amp;$I457&amp;"|"&amp;$J457&amp;"|"&amp;2,Assessments!$A$2:$A$600,0)),0)</f>
        <v>0</v>
      </c>
      <c r="CY457" s="28" t="n">
        <f aca="false">IFERROR(INDEX(Assessments!$J$2:$J$600,MATCH($H457&amp;"|"&amp;$I457&amp;"|"&amp;$J457&amp;"|"&amp;3,Assessments!$A$2:$A$600,0)),0)</f>
        <v>0</v>
      </c>
      <c r="CZ457" s="28" t="n">
        <f aca="false">IFERROR(INDEX(Assessments!$J$2:$J$600,MATCH($H457&amp;"|"&amp;$I457&amp;"|"&amp;$J457&amp;"|"&amp;4,Assessments!$A$2:$A$600,0)),0)</f>
        <v>0</v>
      </c>
      <c r="DA457" s="28" t="n">
        <f aca="false">IFERROR(INDEX(Assessments!$J$2:$J$600,MATCH($H457&amp;"|"&amp;$I457&amp;"|"&amp;$J457&amp;"|"&amp;5,Assessments!$A$2:$A$600,0)),0)</f>
        <v>0</v>
      </c>
      <c r="DB457" s="28" t="n">
        <f aca="false">IFERROR(INDEX(Assessments!$J$2:$J$600,MATCH($H457&amp;"|"&amp;$I457&amp;"|"&amp;$J457&amp;"|"&amp;6,Assessments!$A$2:$A$600,0)),0)</f>
        <v>0</v>
      </c>
      <c r="DC457" s="28" t="n">
        <f aca="false">IFERROR(INDEX(Assessments!$J$2:$J$600,MATCH($H457&amp;"|"&amp;$I457&amp;"|"&amp;$J457&amp;"|"&amp;7,Assessments!$A$2:$A$600,0)),0)</f>
        <v>0</v>
      </c>
      <c r="DD457" s="28" t="n">
        <f aca="false">IFERROR(INDEX(Assessments!$J$2:$J$600,MATCH($H457&amp;"|"&amp;$I457&amp;"|"&amp;$J457&amp;"|"&amp;8,Assessments!$A$2:$A$600,0)),0)</f>
        <v>0</v>
      </c>
      <c r="DE457" s="28" t="n">
        <f aca="false">IFERROR(INDEX(Assessments!$J$2:$J$600,MATCH($H457&amp;"|"&amp;$I457&amp;"|"&amp;$J457&amp;"|"&amp;9,Assessments!$A$2:$A$600,0)),0)</f>
        <v>0</v>
      </c>
      <c r="DF457" s="28" t="n">
        <f aca="false">IFERROR(INDEX(Assessments!$J$2:$J$600,MATCH($H457&amp;"|"&amp;$I457&amp;"|"&amp;$J457&amp;"|"&amp;10,Assessments!$A$2:$A$600,0)),0)</f>
        <v>0</v>
      </c>
      <c r="DG457" s="28" t="n">
        <f aca="false">IFERROR(INDEX(Assessments!$J$2:$J$600,MATCH($H457&amp;"|"&amp;$I457&amp;"|"&amp;$J457&amp;"|"&amp;11,Assessments!$A$2:$A$600,0)),0)</f>
        <v>0</v>
      </c>
      <c r="DH457" s="28" t="n">
        <f aca="false">IFERROR(INDEX(Assessments!$J$2:$J$600,MATCH($H457&amp;"|"&amp;$I457&amp;"|"&amp;$J457&amp;"|"&amp;12,Assessments!$A$2:$A$600,0)),0)</f>
        <v>0</v>
      </c>
      <c r="DI457" s="28" t="n">
        <f aca="false">IFERROR(INDEX(Assessments!$J$2:$J$600,MATCH($H457&amp;"|"&amp;$I457&amp;"|"&amp;$J457&amp;"|"&amp;13,Assessments!$A$2:$A$600,0)),0)</f>
        <v>0</v>
      </c>
      <c r="DJ457" s="28" t="n">
        <f aca="false">IFERROR(INDEX(Assessments!$J$2:$J$600,MATCH($H457&amp;"|"&amp;$I457&amp;"|"&amp;$J457&amp;"|"&amp;14,Assessments!$A$2:$A$600,0)),0)</f>
        <v>0</v>
      </c>
      <c r="DK457" s="28" t="str">
        <f aca="false">S457</f>
        <v/>
      </c>
      <c r="DL457" s="28" t="str">
        <f aca="false">W457</f>
        <v/>
      </c>
      <c r="DM457" s="28" t="str">
        <f aca="false">AA457</f>
        <v/>
      </c>
      <c r="DN457" s="28" t="str">
        <f aca="false">AE457</f>
        <v/>
      </c>
      <c r="DO457" s="28" t="str">
        <f aca="false">AI457</f>
        <v/>
      </c>
      <c r="DP457" s="28" t="str">
        <f aca="false">AM457</f>
        <v/>
      </c>
      <c r="DQ457" s="28" t="str">
        <f aca="false">AQ457</f>
        <v/>
      </c>
      <c r="DR457" s="28" t="str">
        <f aca="false">AU457</f>
        <v/>
      </c>
      <c r="DS457" s="28" t="str">
        <f aca="false">AY457</f>
        <v/>
      </c>
      <c r="DT457" s="28" t="str">
        <f aca="false">BC457</f>
        <v/>
      </c>
      <c r="DU457" s="28" t="str">
        <f aca="false">BG457</f>
        <v/>
      </c>
      <c r="DV457" s="28" t="str">
        <f aca="false">BK457</f>
        <v/>
      </c>
      <c r="DW457" s="28" t="str">
        <f aca="false">BO457</f>
        <v/>
      </c>
      <c r="DX457" s="28" t="str">
        <f aca="false">BS457</f>
        <v/>
      </c>
      <c r="DY457" s="28" t="str">
        <f aca="false">IF(ISNUMBER(S457),1,"")</f>
        <v/>
      </c>
      <c r="DZ457" s="28" t="str">
        <f aca="false">IF(ISNUMBER(W457),2,"")</f>
        <v/>
      </c>
      <c r="EA457" s="28" t="str">
        <f aca="false">IF(ISNUMBER(AA457),3,"")</f>
        <v/>
      </c>
      <c r="EB457" s="28" t="str">
        <f aca="false">IF(ISNUMBER(AE457),4,"")</f>
        <v/>
      </c>
      <c r="EC457" s="28" t="str">
        <f aca="false">IF(ISNUMBER(AI457),5,"")</f>
        <v/>
      </c>
      <c r="ED457" s="28" t="str">
        <f aca="false">IF(ISNUMBER(AM457),6,"")</f>
        <v/>
      </c>
      <c r="EE457" s="28" t="str">
        <f aca="false">IF(ISNUMBER(AQ457),7,"")</f>
        <v/>
      </c>
      <c r="EF457" s="28" t="str">
        <f aca="false">IF(ISNUMBER(AU457),8,"")</f>
        <v/>
      </c>
      <c r="EG457" s="28" t="str">
        <f aca="false">IF(ISNUMBER(AY457),9,"")</f>
        <v/>
      </c>
      <c r="EH457" s="28" t="str">
        <f aca="false">IF(ISNUMBER(BC457),10,"")</f>
        <v/>
      </c>
      <c r="EI457" s="28" t="str">
        <f aca="false">IF(ISNUMBER(BG457),11,"")</f>
        <v/>
      </c>
      <c r="EJ457" s="28" t="str">
        <f aca="false">IF(ISNUMBER(BK457),12,"")</f>
        <v/>
      </c>
      <c r="EK457" s="28" t="str">
        <f aca="false">IF(ISNUMBER(BO457),13,"")</f>
        <v/>
      </c>
      <c r="EL457" s="28" t="str">
        <f aca="false">IF(ISNUMBER(BS457),14,"")</f>
        <v/>
      </c>
      <c r="EM457" s="28" t="n">
        <f aca="false">IF(ISNUMBER(R457),R457*CW457,0)</f>
        <v>0</v>
      </c>
      <c r="EN457" s="28" t="n">
        <f aca="false">IF(ISNUMBER(V457),V457*CX457,0)</f>
        <v>0</v>
      </c>
      <c r="EO457" s="28" t="n">
        <f aca="false">IF(ISNUMBER(Z457),Z457*CY457,0)</f>
        <v>0</v>
      </c>
      <c r="EP457" s="28" t="n">
        <f aca="false">IF(ISNUMBER(AD457),AD457*CZ457,0)</f>
        <v>0</v>
      </c>
      <c r="EQ457" s="28" t="n">
        <f aca="false">IF(ISNUMBER(AH457),AH457*DA457,0)</f>
        <v>0</v>
      </c>
      <c r="ER457" s="28" t="n">
        <f aca="false">IF(ISNUMBER(AL457),AL457*DB457,0)</f>
        <v>0</v>
      </c>
      <c r="ES457" s="28" t="n">
        <f aca="false">IF(ISNUMBER(AP457),AP457*DC457,0)</f>
        <v>0</v>
      </c>
      <c r="ET457" s="28" t="n">
        <f aca="false">IF(ISNUMBER(AT457),AT457*DD457,0)</f>
        <v>0</v>
      </c>
      <c r="EU457" s="28" t="n">
        <f aca="false">IF(ISNUMBER(AX457),AX457*DE457,0)</f>
        <v>0</v>
      </c>
      <c r="EV457" s="28" t="n">
        <f aca="false">IF(ISNUMBER(BB457),BB457*DF457,0)</f>
        <v>0</v>
      </c>
      <c r="EW457" s="28" t="n">
        <f aca="false">IF(ISNUMBER(BF457),BF457*DG457,0)</f>
        <v>0</v>
      </c>
      <c r="EX457" s="28" t="n">
        <f aca="false">IF(ISNUMBER(BJ457),BJ457*DH457,0)</f>
        <v>0</v>
      </c>
      <c r="EY457" s="28" t="n">
        <f aca="false">IF(ISNUMBER(BN457),BN457*DI457,0)</f>
        <v>0</v>
      </c>
      <c r="EZ457" s="28" t="n">
        <f aca="false">IF(ISNUMBER(BR457),BR457*DJ457,0)</f>
        <v>0</v>
      </c>
      <c r="FA457" s="28" t="n">
        <f aca="false">IF(ISNUMBER(R457),CW457,0)</f>
        <v>0</v>
      </c>
      <c r="FB457" s="28" t="n">
        <f aca="false">IF(ISNUMBER(V457),CX457,0)</f>
        <v>0</v>
      </c>
      <c r="FC457" s="28" t="n">
        <f aca="false">IF(ISNUMBER(Z457),CY457,0)</f>
        <v>0</v>
      </c>
      <c r="FD457" s="28" t="n">
        <f aca="false">IF(ISNUMBER(AD457),CZ457,0)</f>
        <v>0</v>
      </c>
      <c r="FE457" s="28" t="n">
        <f aca="false">IF(ISNUMBER(AH457),DA457,0)</f>
        <v>0</v>
      </c>
      <c r="FF457" s="28" t="n">
        <f aca="false">IF(ISNUMBER(AL457),DB457,0)</f>
        <v>0</v>
      </c>
      <c r="FG457" s="28" t="n">
        <f aca="false">IF(ISNUMBER(AP457),DC457,0)</f>
        <v>0</v>
      </c>
      <c r="FH457" s="28" t="n">
        <f aca="false">IF(ISNUMBER(AT457),DD457,0)</f>
        <v>0</v>
      </c>
      <c r="FI457" s="28" t="n">
        <f aca="false">IF(ISNUMBER(AX457),DE457,0)</f>
        <v>0</v>
      </c>
      <c r="FJ457" s="28" t="n">
        <f aca="false">IF(ISNUMBER(BB457),DF457,0)</f>
        <v>0</v>
      </c>
      <c r="FK457" s="28" t="n">
        <f aca="false">IF(ISNUMBER(BF457),DG457,0)</f>
        <v>0</v>
      </c>
      <c r="FL457" s="28" t="n">
        <f aca="false">IF(ISNUMBER(BJ457),DH457,0)</f>
        <v>0</v>
      </c>
      <c r="FM457" s="28" t="n">
        <f aca="false">IF(ISNUMBER(BN457),DI457,0)</f>
        <v>0</v>
      </c>
      <c r="FN457" s="28" t="n">
        <f aca="false">IF(ISNUMBER(BR457),DJ457,0)</f>
        <v>0</v>
      </c>
      <c r="FO457" s="28" t="str">
        <f aca="false">IFERROR(INDEX(Lists!$G$2:$G$20,MATCH($I457&amp;"|"&amp;$J457,Lists!$F$2:$F$20,0)),"")</f>
        <v/>
      </c>
    </row>
    <row r="458" customFormat="false" ht="19.5" hidden="false" customHeight="true" outlineLevel="0" collapsed="false">
      <c r="A458" s="29"/>
      <c r="B458" s="29"/>
      <c r="C458" s="30"/>
      <c r="D458" s="30"/>
      <c r="E458" s="31"/>
      <c r="F458" s="30"/>
      <c r="G458" s="30"/>
      <c r="H458" s="32"/>
      <c r="I458" s="33"/>
      <c r="J458" s="32"/>
      <c r="K458" s="34" t="str">
        <f aca="false">IF(OR(M458="",$E458=""),"",M458-$E458)</f>
        <v/>
      </c>
      <c r="L458" s="35" t="str">
        <f aca="false">IF(SUM(FA458:FN458)=0,"",SUM(EM458:EZ458)/SUM(FA458:FN458))</f>
        <v/>
      </c>
      <c r="M458" s="36" t="str">
        <f aca="false">IF(OR(L458="",FO458=""),"",IFERROR(MATCH(L458,INDEX(Boundaries!$B$2:$I$30,MATCH(FO458,Boundaries!$A$2:$A$30,0),0),1)-1,""))</f>
        <v/>
      </c>
      <c r="N458" s="37" t="str">
        <f aca="false">IF(COUNT($DY458:$EL458)&lt;2,"",INDEX($DK458:$DX458,MAX($DY458:$EL458))-INDEX($DK458:$DX458,MIN($DY458:$EL458)))</f>
        <v/>
      </c>
      <c r="O458" s="37" t="str">
        <f aca="false">IF(COUNT($DY458:$EL458)&lt;2,"",INDEX($DK458:$DX458,MAX($DY458:$EL458))-INDEX($DK458:$DX458,LARGE($DY458:$EL458,2)))</f>
        <v/>
      </c>
      <c r="P458" s="38" t="str">
        <f aca="false">IF(K458="","",IF(K458&gt;=0,"On/above target",IF(AND(N458&lt;&gt;"",N458&gt;=0.5),"Improving towards target",IF(AND(O458&lt;&gt;"",O458&lt;=-0.5),"Declining","Stable below target"))))</f>
        <v/>
      </c>
      <c r="Q458" s="39"/>
      <c r="R458" s="40" t="str">
        <f aca="false">IF(OR(Q458="",BU458=""),"",Q458/BU458*100)</f>
        <v/>
      </c>
      <c r="S458" s="41" t="str">
        <f aca="false">IF(R458="","",IFERROR(MATCH(R458,INDEX(Boundaries!$B$2:$I$30,MATCH(CI458,Boundaries!$A$2:$A$30,0),0),1)-1,""))</f>
        <v/>
      </c>
      <c r="T458" s="42" t="str">
        <f aca="false">IF(OR(S458="",$E458=""),"",S458-$E458)</f>
        <v/>
      </c>
      <c r="U458" s="39"/>
      <c r="V458" s="40" t="str">
        <f aca="false">IF(OR(U458="",BV458=""),"",U458/BV458*100)</f>
        <v/>
      </c>
      <c r="W458" s="41" t="str">
        <f aca="false">IF(V458="","",IFERROR(MATCH(V458,INDEX(Boundaries!$B$2:$I$30,MATCH(CJ458,Boundaries!$A$2:$A$30,0),0),1)-1,""))</f>
        <v/>
      </c>
      <c r="X458" s="42" t="str">
        <f aca="false">IF(OR(W458="",$E458=""),"",W458-$E458)</f>
        <v/>
      </c>
      <c r="Y458" s="39"/>
      <c r="Z458" s="40" t="str">
        <f aca="false">IF(OR(Y458="",BW458=""),"",Y458/BW458*100)</f>
        <v/>
      </c>
      <c r="AA458" s="41" t="str">
        <f aca="false">IF(Z458="","",IFERROR(MATCH(Z458,INDEX(Boundaries!$B$2:$I$30,MATCH(CK458,Boundaries!$A$2:$A$30,0),0),1)-1,""))</f>
        <v/>
      </c>
      <c r="AB458" s="42" t="str">
        <f aca="false">IF(OR(AA458="",$E458=""),"",AA458-$E458)</f>
        <v/>
      </c>
      <c r="AC458" s="39"/>
      <c r="AD458" s="40" t="str">
        <f aca="false">IF(OR(AC458="",BX458=""),"",AC458/BX458*100)</f>
        <v/>
      </c>
      <c r="AE458" s="41" t="str">
        <f aca="false">IF(AD458="","",IFERROR(MATCH(AD458,INDEX(Boundaries!$B$2:$I$30,MATCH(CL458,Boundaries!$A$2:$A$30,0),0),1)-1,""))</f>
        <v/>
      </c>
      <c r="AF458" s="42" t="str">
        <f aca="false">IF(OR(AE458="",$E458=""),"",AE458-$E458)</f>
        <v/>
      </c>
      <c r="AG458" s="39"/>
      <c r="AH458" s="40" t="str">
        <f aca="false">IF(OR(AG458="",BY458=""),"",AG458/BY458*100)</f>
        <v/>
      </c>
      <c r="AI458" s="41" t="str">
        <f aca="false">IF(AH458="","",IFERROR(MATCH(AH458,INDEX(Boundaries!$B$2:$I$30,MATCH(CM458,Boundaries!$A$2:$A$30,0),0),1)-1,""))</f>
        <v/>
      </c>
      <c r="AJ458" s="42" t="str">
        <f aca="false">IF(OR(AI458="",$E458=""),"",AI458-$E458)</f>
        <v/>
      </c>
      <c r="AK458" s="39"/>
      <c r="AL458" s="40" t="str">
        <f aca="false">IF(OR(AK458="",BZ458=""),"",AK458/BZ458*100)</f>
        <v/>
      </c>
      <c r="AM458" s="41" t="str">
        <f aca="false">IF(AL458="","",IFERROR(MATCH(AL458,INDEX(Boundaries!$B$2:$I$30,MATCH(CN458,Boundaries!$A$2:$A$30,0),0),1)-1,""))</f>
        <v/>
      </c>
      <c r="AN458" s="42" t="str">
        <f aca="false">IF(OR(AM458="",$E458=""),"",AM458-$E458)</f>
        <v/>
      </c>
      <c r="AO458" s="39"/>
      <c r="AP458" s="40" t="str">
        <f aca="false">IF(OR(AO458="",CA458=""),"",AO458/CA458*100)</f>
        <v/>
      </c>
      <c r="AQ458" s="41" t="str">
        <f aca="false">IF(AP458="","",IFERROR(MATCH(AP458,INDEX(Boundaries!$B$2:$I$30,MATCH(CO458,Boundaries!$A$2:$A$30,0),0),1)-1,""))</f>
        <v/>
      </c>
      <c r="AR458" s="42" t="str">
        <f aca="false">IF(OR(AQ458="",$E458=""),"",AQ458-$E458)</f>
        <v/>
      </c>
      <c r="AS458" s="39"/>
      <c r="AT458" s="40" t="str">
        <f aca="false">IF(OR(AS458="",CB458=""),"",AS458/CB458*100)</f>
        <v/>
      </c>
      <c r="AU458" s="41" t="str">
        <f aca="false">IF(AT458="","",IFERROR(MATCH(AT458,INDEX(Boundaries!$B$2:$I$30,MATCH(CP458,Boundaries!$A$2:$A$30,0),0),1)-1,""))</f>
        <v/>
      </c>
      <c r="AV458" s="42" t="str">
        <f aca="false">IF(OR(AU458="",$E458=""),"",AU458-$E458)</f>
        <v/>
      </c>
      <c r="AW458" s="39"/>
      <c r="AX458" s="40" t="str">
        <f aca="false">IF(OR(AW458="",CC458=""),"",AW458/CC458*100)</f>
        <v/>
      </c>
      <c r="AY458" s="41" t="str">
        <f aca="false">IF(AX458="","",IFERROR(MATCH(AX458,INDEX(Boundaries!$B$2:$I$30,MATCH(CQ458,Boundaries!$A$2:$A$30,0),0),1)-1,""))</f>
        <v/>
      </c>
      <c r="AZ458" s="42" t="str">
        <f aca="false">IF(OR(AY458="",$E458=""),"",AY458-$E458)</f>
        <v/>
      </c>
      <c r="BA458" s="39"/>
      <c r="BB458" s="40" t="str">
        <f aca="false">IF(OR(BA458="",CD458=""),"",BA458/CD458*100)</f>
        <v/>
      </c>
      <c r="BC458" s="41" t="str">
        <f aca="false">IF(BB458="","",IFERROR(MATCH(BB458,INDEX(Boundaries!$B$2:$I$30,MATCH(CR458,Boundaries!$A$2:$A$30,0),0),1)-1,""))</f>
        <v/>
      </c>
      <c r="BD458" s="42" t="str">
        <f aca="false">IF(OR(BC458="",$E458=""),"",BC458-$E458)</f>
        <v/>
      </c>
      <c r="BE458" s="39"/>
      <c r="BF458" s="40" t="str">
        <f aca="false">IF(OR(BE458="",CE458=""),"",BE458/CE458*100)</f>
        <v/>
      </c>
      <c r="BG458" s="41" t="str">
        <f aca="false">IF(BF458="","",IFERROR(MATCH(BF458,INDEX(Boundaries!$B$2:$I$30,MATCH(CS458,Boundaries!$A$2:$A$30,0),0),1)-1,""))</f>
        <v/>
      </c>
      <c r="BH458" s="42" t="str">
        <f aca="false">IF(OR(BG458="",$E458=""),"",BG458-$E458)</f>
        <v/>
      </c>
      <c r="BI458" s="39"/>
      <c r="BJ458" s="40" t="str">
        <f aca="false">IF(OR(BI458="",CF458=""),"",BI458/CF458*100)</f>
        <v/>
      </c>
      <c r="BK458" s="41" t="str">
        <f aca="false">IF(BJ458="","",IFERROR(MATCH(BJ458,INDEX(Boundaries!$B$2:$I$30,MATCH(CT458,Boundaries!$A$2:$A$30,0),0),1)-1,""))</f>
        <v/>
      </c>
      <c r="BL458" s="42" t="str">
        <f aca="false">IF(OR(BK458="",$E458=""),"",BK458-$E458)</f>
        <v/>
      </c>
      <c r="BM458" s="39"/>
      <c r="BN458" s="40" t="str">
        <f aca="false">IF(OR(BM458="",CG458=""),"",BM458/CG458*100)</f>
        <v/>
      </c>
      <c r="BO458" s="41" t="str">
        <f aca="false">IF(BN458="","",IFERROR(MATCH(BN458,INDEX(Boundaries!$B$2:$I$30,MATCH(CU458,Boundaries!$A$2:$A$30,0),0),1)-1,""))</f>
        <v/>
      </c>
      <c r="BP458" s="42" t="str">
        <f aca="false">IF(OR(BO458="",$E458=""),"",BO458-$E458)</f>
        <v/>
      </c>
      <c r="BQ458" s="39"/>
      <c r="BR458" s="40" t="str">
        <f aca="false">IF(OR(BQ458="",CH458=""),"",BQ458/CH458*100)</f>
        <v/>
      </c>
      <c r="BS458" s="41" t="str">
        <f aca="false">IF(BR458="","",IFERROR(MATCH(BR458,INDEX(Boundaries!$B$2:$I$30,MATCH(CV458,Boundaries!$A$2:$A$30,0),0),1)-1,""))</f>
        <v/>
      </c>
      <c r="BT458" s="42" t="str">
        <f aca="false">IF(OR(BS458="",$E458=""),"",BS458-$E458)</f>
        <v/>
      </c>
      <c r="BU458" s="28" t="str">
        <f aca="false">IFERROR(INDEX(Assessments!$H$2:$H$600,MATCH($H458&amp;"|"&amp;$I458&amp;"|"&amp;$J458&amp;"|"&amp;1,Assessments!$A$2:$A$600,0)),"")</f>
        <v/>
      </c>
      <c r="BV458" s="28" t="str">
        <f aca="false">IFERROR(INDEX(Assessments!$H$2:$H$600,MATCH($H458&amp;"|"&amp;$I458&amp;"|"&amp;$J458&amp;"|"&amp;2,Assessments!$A$2:$A$600,0)),"")</f>
        <v/>
      </c>
      <c r="BW458" s="28" t="str">
        <f aca="false">IFERROR(INDEX(Assessments!$H$2:$H$600,MATCH($H458&amp;"|"&amp;$I458&amp;"|"&amp;$J458&amp;"|"&amp;3,Assessments!$A$2:$A$600,0)),"")</f>
        <v/>
      </c>
      <c r="BX458" s="28" t="str">
        <f aca="false">IFERROR(INDEX(Assessments!$H$2:$H$600,MATCH($H458&amp;"|"&amp;$I458&amp;"|"&amp;$J458&amp;"|"&amp;4,Assessments!$A$2:$A$600,0)),"")</f>
        <v/>
      </c>
      <c r="BY458" s="28" t="str">
        <f aca="false">IFERROR(INDEX(Assessments!$H$2:$H$600,MATCH($H458&amp;"|"&amp;$I458&amp;"|"&amp;$J458&amp;"|"&amp;5,Assessments!$A$2:$A$600,0)),"")</f>
        <v/>
      </c>
      <c r="BZ458" s="28" t="str">
        <f aca="false">IFERROR(INDEX(Assessments!$H$2:$H$600,MATCH($H458&amp;"|"&amp;$I458&amp;"|"&amp;$J458&amp;"|"&amp;6,Assessments!$A$2:$A$600,0)),"")</f>
        <v/>
      </c>
      <c r="CA458" s="28" t="str">
        <f aca="false">IFERROR(INDEX(Assessments!$H$2:$H$600,MATCH($H458&amp;"|"&amp;$I458&amp;"|"&amp;$J458&amp;"|"&amp;7,Assessments!$A$2:$A$600,0)),"")</f>
        <v/>
      </c>
      <c r="CB458" s="28" t="str">
        <f aca="false">IFERROR(INDEX(Assessments!$H$2:$H$600,MATCH($H458&amp;"|"&amp;$I458&amp;"|"&amp;$J458&amp;"|"&amp;8,Assessments!$A$2:$A$600,0)),"")</f>
        <v/>
      </c>
      <c r="CC458" s="28" t="str">
        <f aca="false">IFERROR(INDEX(Assessments!$H$2:$H$600,MATCH($H458&amp;"|"&amp;$I458&amp;"|"&amp;$J458&amp;"|"&amp;9,Assessments!$A$2:$A$600,0)),"")</f>
        <v/>
      </c>
      <c r="CD458" s="28" t="str">
        <f aca="false">IFERROR(INDEX(Assessments!$H$2:$H$600,MATCH($H458&amp;"|"&amp;$I458&amp;"|"&amp;$J458&amp;"|"&amp;10,Assessments!$A$2:$A$600,0)),"")</f>
        <v/>
      </c>
      <c r="CE458" s="28" t="str">
        <f aca="false">IFERROR(INDEX(Assessments!$H$2:$H$600,MATCH($H458&amp;"|"&amp;$I458&amp;"|"&amp;$J458&amp;"|"&amp;11,Assessments!$A$2:$A$600,0)),"")</f>
        <v/>
      </c>
      <c r="CF458" s="28" t="str">
        <f aca="false">IFERROR(INDEX(Assessments!$H$2:$H$600,MATCH($H458&amp;"|"&amp;$I458&amp;"|"&amp;$J458&amp;"|"&amp;12,Assessments!$A$2:$A$600,0)),"")</f>
        <v/>
      </c>
      <c r="CG458" s="28" t="str">
        <f aca="false">IFERROR(INDEX(Assessments!$H$2:$H$600,MATCH($H458&amp;"|"&amp;$I458&amp;"|"&amp;$J458&amp;"|"&amp;13,Assessments!$A$2:$A$600,0)),"")</f>
        <v/>
      </c>
      <c r="CH458" s="28" t="str">
        <f aca="false">IFERROR(INDEX(Assessments!$H$2:$H$600,MATCH($H458&amp;"|"&amp;$I458&amp;"|"&amp;$J458&amp;"|"&amp;14,Assessments!$A$2:$A$600,0)),"")</f>
        <v/>
      </c>
      <c r="CI458" s="28" t="str">
        <f aca="false">IFERROR(INDEX(Assessments!$I$2:$I$600,MATCH($H458&amp;"|"&amp;$I458&amp;"|"&amp;$J458&amp;"|"&amp;1,Assessments!$A$2:$A$600,0)),"")</f>
        <v/>
      </c>
      <c r="CJ458" s="28" t="str">
        <f aca="false">IFERROR(INDEX(Assessments!$I$2:$I$600,MATCH($H458&amp;"|"&amp;$I458&amp;"|"&amp;$J458&amp;"|"&amp;2,Assessments!$A$2:$A$600,0)),"")</f>
        <v/>
      </c>
      <c r="CK458" s="28" t="str">
        <f aca="false">IFERROR(INDEX(Assessments!$I$2:$I$600,MATCH($H458&amp;"|"&amp;$I458&amp;"|"&amp;$J458&amp;"|"&amp;3,Assessments!$A$2:$A$600,0)),"")</f>
        <v/>
      </c>
      <c r="CL458" s="28" t="str">
        <f aca="false">IFERROR(INDEX(Assessments!$I$2:$I$600,MATCH($H458&amp;"|"&amp;$I458&amp;"|"&amp;$J458&amp;"|"&amp;4,Assessments!$A$2:$A$600,0)),"")</f>
        <v/>
      </c>
      <c r="CM458" s="28" t="str">
        <f aca="false">IFERROR(INDEX(Assessments!$I$2:$I$600,MATCH($H458&amp;"|"&amp;$I458&amp;"|"&amp;$J458&amp;"|"&amp;5,Assessments!$A$2:$A$600,0)),"")</f>
        <v/>
      </c>
      <c r="CN458" s="28" t="str">
        <f aca="false">IFERROR(INDEX(Assessments!$I$2:$I$600,MATCH($H458&amp;"|"&amp;$I458&amp;"|"&amp;$J458&amp;"|"&amp;6,Assessments!$A$2:$A$600,0)),"")</f>
        <v/>
      </c>
      <c r="CO458" s="28" t="str">
        <f aca="false">IFERROR(INDEX(Assessments!$I$2:$I$600,MATCH($H458&amp;"|"&amp;$I458&amp;"|"&amp;$J458&amp;"|"&amp;7,Assessments!$A$2:$A$600,0)),"")</f>
        <v/>
      </c>
      <c r="CP458" s="28" t="str">
        <f aca="false">IFERROR(INDEX(Assessments!$I$2:$I$600,MATCH($H458&amp;"|"&amp;$I458&amp;"|"&amp;$J458&amp;"|"&amp;8,Assessments!$A$2:$A$600,0)),"")</f>
        <v/>
      </c>
      <c r="CQ458" s="28" t="str">
        <f aca="false">IFERROR(INDEX(Assessments!$I$2:$I$600,MATCH($H458&amp;"|"&amp;$I458&amp;"|"&amp;$J458&amp;"|"&amp;9,Assessments!$A$2:$A$600,0)),"")</f>
        <v/>
      </c>
      <c r="CR458" s="28" t="str">
        <f aca="false">IFERROR(INDEX(Assessments!$I$2:$I$600,MATCH($H458&amp;"|"&amp;$I458&amp;"|"&amp;$J458&amp;"|"&amp;10,Assessments!$A$2:$A$600,0)),"")</f>
        <v/>
      </c>
      <c r="CS458" s="28" t="str">
        <f aca="false">IFERROR(INDEX(Assessments!$I$2:$I$600,MATCH($H458&amp;"|"&amp;$I458&amp;"|"&amp;$J458&amp;"|"&amp;11,Assessments!$A$2:$A$600,0)),"")</f>
        <v/>
      </c>
      <c r="CT458" s="28" t="str">
        <f aca="false">IFERROR(INDEX(Assessments!$I$2:$I$600,MATCH($H458&amp;"|"&amp;$I458&amp;"|"&amp;$J458&amp;"|"&amp;12,Assessments!$A$2:$A$600,0)),"")</f>
        <v/>
      </c>
      <c r="CU458" s="28" t="str">
        <f aca="false">IFERROR(INDEX(Assessments!$I$2:$I$600,MATCH($H458&amp;"|"&amp;$I458&amp;"|"&amp;$J458&amp;"|"&amp;13,Assessments!$A$2:$A$600,0)),"")</f>
        <v/>
      </c>
      <c r="CV458" s="28" t="str">
        <f aca="false">IFERROR(INDEX(Assessments!$I$2:$I$600,MATCH($H458&amp;"|"&amp;$I458&amp;"|"&amp;$J458&amp;"|"&amp;14,Assessments!$A$2:$A$600,0)),"")</f>
        <v/>
      </c>
      <c r="CW458" s="28" t="n">
        <f aca="false">IFERROR(INDEX(Assessments!$J$2:$J$600,MATCH($H458&amp;"|"&amp;$I458&amp;"|"&amp;$J458&amp;"|"&amp;1,Assessments!$A$2:$A$600,0)),0)</f>
        <v>0</v>
      </c>
      <c r="CX458" s="28" t="n">
        <f aca="false">IFERROR(INDEX(Assessments!$J$2:$J$600,MATCH($H458&amp;"|"&amp;$I458&amp;"|"&amp;$J458&amp;"|"&amp;2,Assessments!$A$2:$A$600,0)),0)</f>
        <v>0</v>
      </c>
      <c r="CY458" s="28" t="n">
        <f aca="false">IFERROR(INDEX(Assessments!$J$2:$J$600,MATCH($H458&amp;"|"&amp;$I458&amp;"|"&amp;$J458&amp;"|"&amp;3,Assessments!$A$2:$A$600,0)),0)</f>
        <v>0</v>
      </c>
      <c r="CZ458" s="28" t="n">
        <f aca="false">IFERROR(INDEX(Assessments!$J$2:$J$600,MATCH($H458&amp;"|"&amp;$I458&amp;"|"&amp;$J458&amp;"|"&amp;4,Assessments!$A$2:$A$600,0)),0)</f>
        <v>0</v>
      </c>
      <c r="DA458" s="28" t="n">
        <f aca="false">IFERROR(INDEX(Assessments!$J$2:$J$600,MATCH($H458&amp;"|"&amp;$I458&amp;"|"&amp;$J458&amp;"|"&amp;5,Assessments!$A$2:$A$600,0)),0)</f>
        <v>0</v>
      </c>
      <c r="DB458" s="28" t="n">
        <f aca="false">IFERROR(INDEX(Assessments!$J$2:$J$600,MATCH($H458&amp;"|"&amp;$I458&amp;"|"&amp;$J458&amp;"|"&amp;6,Assessments!$A$2:$A$600,0)),0)</f>
        <v>0</v>
      </c>
      <c r="DC458" s="28" t="n">
        <f aca="false">IFERROR(INDEX(Assessments!$J$2:$J$600,MATCH($H458&amp;"|"&amp;$I458&amp;"|"&amp;$J458&amp;"|"&amp;7,Assessments!$A$2:$A$600,0)),0)</f>
        <v>0</v>
      </c>
      <c r="DD458" s="28" t="n">
        <f aca="false">IFERROR(INDEX(Assessments!$J$2:$J$600,MATCH($H458&amp;"|"&amp;$I458&amp;"|"&amp;$J458&amp;"|"&amp;8,Assessments!$A$2:$A$600,0)),0)</f>
        <v>0</v>
      </c>
      <c r="DE458" s="28" t="n">
        <f aca="false">IFERROR(INDEX(Assessments!$J$2:$J$600,MATCH($H458&amp;"|"&amp;$I458&amp;"|"&amp;$J458&amp;"|"&amp;9,Assessments!$A$2:$A$600,0)),0)</f>
        <v>0</v>
      </c>
      <c r="DF458" s="28" t="n">
        <f aca="false">IFERROR(INDEX(Assessments!$J$2:$J$600,MATCH($H458&amp;"|"&amp;$I458&amp;"|"&amp;$J458&amp;"|"&amp;10,Assessments!$A$2:$A$600,0)),0)</f>
        <v>0</v>
      </c>
      <c r="DG458" s="28" t="n">
        <f aca="false">IFERROR(INDEX(Assessments!$J$2:$J$600,MATCH($H458&amp;"|"&amp;$I458&amp;"|"&amp;$J458&amp;"|"&amp;11,Assessments!$A$2:$A$600,0)),0)</f>
        <v>0</v>
      </c>
      <c r="DH458" s="28" t="n">
        <f aca="false">IFERROR(INDEX(Assessments!$J$2:$J$600,MATCH($H458&amp;"|"&amp;$I458&amp;"|"&amp;$J458&amp;"|"&amp;12,Assessments!$A$2:$A$600,0)),0)</f>
        <v>0</v>
      </c>
      <c r="DI458" s="28" t="n">
        <f aca="false">IFERROR(INDEX(Assessments!$J$2:$J$600,MATCH($H458&amp;"|"&amp;$I458&amp;"|"&amp;$J458&amp;"|"&amp;13,Assessments!$A$2:$A$600,0)),0)</f>
        <v>0</v>
      </c>
      <c r="DJ458" s="28" t="n">
        <f aca="false">IFERROR(INDEX(Assessments!$J$2:$J$600,MATCH($H458&amp;"|"&amp;$I458&amp;"|"&amp;$J458&amp;"|"&amp;14,Assessments!$A$2:$A$600,0)),0)</f>
        <v>0</v>
      </c>
      <c r="DK458" s="28" t="str">
        <f aca="false">S458</f>
        <v/>
      </c>
      <c r="DL458" s="28" t="str">
        <f aca="false">W458</f>
        <v/>
      </c>
      <c r="DM458" s="28" t="str">
        <f aca="false">AA458</f>
        <v/>
      </c>
      <c r="DN458" s="28" t="str">
        <f aca="false">AE458</f>
        <v/>
      </c>
      <c r="DO458" s="28" t="str">
        <f aca="false">AI458</f>
        <v/>
      </c>
      <c r="DP458" s="28" t="str">
        <f aca="false">AM458</f>
        <v/>
      </c>
      <c r="DQ458" s="28" t="str">
        <f aca="false">AQ458</f>
        <v/>
      </c>
      <c r="DR458" s="28" t="str">
        <f aca="false">AU458</f>
        <v/>
      </c>
      <c r="DS458" s="28" t="str">
        <f aca="false">AY458</f>
        <v/>
      </c>
      <c r="DT458" s="28" t="str">
        <f aca="false">BC458</f>
        <v/>
      </c>
      <c r="DU458" s="28" t="str">
        <f aca="false">BG458</f>
        <v/>
      </c>
      <c r="DV458" s="28" t="str">
        <f aca="false">BK458</f>
        <v/>
      </c>
      <c r="DW458" s="28" t="str">
        <f aca="false">BO458</f>
        <v/>
      </c>
      <c r="DX458" s="28" t="str">
        <f aca="false">BS458</f>
        <v/>
      </c>
      <c r="DY458" s="28" t="str">
        <f aca="false">IF(ISNUMBER(S458),1,"")</f>
        <v/>
      </c>
      <c r="DZ458" s="28" t="str">
        <f aca="false">IF(ISNUMBER(W458),2,"")</f>
        <v/>
      </c>
      <c r="EA458" s="28" t="str">
        <f aca="false">IF(ISNUMBER(AA458),3,"")</f>
        <v/>
      </c>
      <c r="EB458" s="28" t="str">
        <f aca="false">IF(ISNUMBER(AE458),4,"")</f>
        <v/>
      </c>
      <c r="EC458" s="28" t="str">
        <f aca="false">IF(ISNUMBER(AI458),5,"")</f>
        <v/>
      </c>
      <c r="ED458" s="28" t="str">
        <f aca="false">IF(ISNUMBER(AM458),6,"")</f>
        <v/>
      </c>
      <c r="EE458" s="28" t="str">
        <f aca="false">IF(ISNUMBER(AQ458),7,"")</f>
        <v/>
      </c>
      <c r="EF458" s="28" t="str">
        <f aca="false">IF(ISNUMBER(AU458),8,"")</f>
        <v/>
      </c>
      <c r="EG458" s="28" t="str">
        <f aca="false">IF(ISNUMBER(AY458),9,"")</f>
        <v/>
      </c>
      <c r="EH458" s="28" t="str">
        <f aca="false">IF(ISNUMBER(BC458),10,"")</f>
        <v/>
      </c>
      <c r="EI458" s="28" t="str">
        <f aca="false">IF(ISNUMBER(BG458),11,"")</f>
        <v/>
      </c>
      <c r="EJ458" s="28" t="str">
        <f aca="false">IF(ISNUMBER(BK458),12,"")</f>
        <v/>
      </c>
      <c r="EK458" s="28" t="str">
        <f aca="false">IF(ISNUMBER(BO458),13,"")</f>
        <v/>
      </c>
      <c r="EL458" s="28" t="str">
        <f aca="false">IF(ISNUMBER(BS458),14,"")</f>
        <v/>
      </c>
      <c r="EM458" s="28" t="n">
        <f aca="false">IF(ISNUMBER(R458),R458*CW458,0)</f>
        <v>0</v>
      </c>
      <c r="EN458" s="28" t="n">
        <f aca="false">IF(ISNUMBER(V458),V458*CX458,0)</f>
        <v>0</v>
      </c>
      <c r="EO458" s="28" t="n">
        <f aca="false">IF(ISNUMBER(Z458),Z458*CY458,0)</f>
        <v>0</v>
      </c>
      <c r="EP458" s="28" t="n">
        <f aca="false">IF(ISNUMBER(AD458),AD458*CZ458,0)</f>
        <v>0</v>
      </c>
      <c r="EQ458" s="28" t="n">
        <f aca="false">IF(ISNUMBER(AH458),AH458*DA458,0)</f>
        <v>0</v>
      </c>
      <c r="ER458" s="28" t="n">
        <f aca="false">IF(ISNUMBER(AL458),AL458*DB458,0)</f>
        <v>0</v>
      </c>
      <c r="ES458" s="28" t="n">
        <f aca="false">IF(ISNUMBER(AP458),AP458*DC458,0)</f>
        <v>0</v>
      </c>
      <c r="ET458" s="28" t="n">
        <f aca="false">IF(ISNUMBER(AT458),AT458*DD458,0)</f>
        <v>0</v>
      </c>
      <c r="EU458" s="28" t="n">
        <f aca="false">IF(ISNUMBER(AX458),AX458*DE458,0)</f>
        <v>0</v>
      </c>
      <c r="EV458" s="28" t="n">
        <f aca="false">IF(ISNUMBER(BB458),BB458*DF458,0)</f>
        <v>0</v>
      </c>
      <c r="EW458" s="28" t="n">
        <f aca="false">IF(ISNUMBER(BF458),BF458*DG458,0)</f>
        <v>0</v>
      </c>
      <c r="EX458" s="28" t="n">
        <f aca="false">IF(ISNUMBER(BJ458),BJ458*DH458,0)</f>
        <v>0</v>
      </c>
      <c r="EY458" s="28" t="n">
        <f aca="false">IF(ISNUMBER(BN458),BN458*DI458,0)</f>
        <v>0</v>
      </c>
      <c r="EZ458" s="28" t="n">
        <f aca="false">IF(ISNUMBER(BR458),BR458*DJ458,0)</f>
        <v>0</v>
      </c>
      <c r="FA458" s="28" t="n">
        <f aca="false">IF(ISNUMBER(R458),CW458,0)</f>
        <v>0</v>
      </c>
      <c r="FB458" s="28" t="n">
        <f aca="false">IF(ISNUMBER(V458),CX458,0)</f>
        <v>0</v>
      </c>
      <c r="FC458" s="28" t="n">
        <f aca="false">IF(ISNUMBER(Z458),CY458,0)</f>
        <v>0</v>
      </c>
      <c r="FD458" s="28" t="n">
        <f aca="false">IF(ISNUMBER(AD458),CZ458,0)</f>
        <v>0</v>
      </c>
      <c r="FE458" s="28" t="n">
        <f aca="false">IF(ISNUMBER(AH458),DA458,0)</f>
        <v>0</v>
      </c>
      <c r="FF458" s="28" t="n">
        <f aca="false">IF(ISNUMBER(AL458),DB458,0)</f>
        <v>0</v>
      </c>
      <c r="FG458" s="28" t="n">
        <f aca="false">IF(ISNUMBER(AP458),DC458,0)</f>
        <v>0</v>
      </c>
      <c r="FH458" s="28" t="n">
        <f aca="false">IF(ISNUMBER(AT458),DD458,0)</f>
        <v>0</v>
      </c>
      <c r="FI458" s="28" t="n">
        <f aca="false">IF(ISNUMBER(AX458),DE458,0)</f>
        <v>0</v>
      </c>
      <c r="FJ458" s="28" t="n">
        <f aca="false">IF(ISNUMBER(BB458),DF458,0)</f>
        <v>0</v>
      </c>
      <c r="FK458" s="28" t="n">
        <f aca="false">IF(ISNUMBER(BF458),DG458,0)</f>
        <v>0</v>
      </c>
      <c r="FL458" s="28" t="n">
        <f aca="false">IF(ISNUMBER(BJ458),DH458,0)</f>
        <v>0</v>
      </c>
      <c r="FM458" s="28" t="n">
        <f aca="false">IF(ISNUMBER(BN458),DI458,0)</f>
        <v>0</v>
      </c>
      <c r="FN458" s="28" t="n">
        <f aca="false">IF(ISNUMBER(BR458),DJ458,0)</f>
        <v>0</v>
      </c>
      <c r="FO458" s="28" t="str">
        <f aca="false">IFERROR(INDEX(Lists!$G$2:$G$20,MATCH($I458&amp;"|"&amp;$J458,Lists!$F$2:$F$20,0)),"")</f>
        <v/>
      </c>
    </row>
    <row r="459" customFormat="false" ht="19.5" hidden="false" customHeight="true" outlineLevel="0" collapsed="false">
      <c r="A459" s="29"/>
      <c r="B459" s="29"/>
      <c r="C459" s="30"/>
      <c r="D459" s="30"/>
      <c r="E459" s="31"/>
      <c r="F459" s="30"/>
      <c r="G459" s="30"/>
      <c r="H459" s="32"/>
      <c r="I459" s="33"/>
      <c r="J459" s="32"/>
      <c r="K459" s="34" t="str">
        <f aca="false">IF(OR(M459="",$E459=""),"",M459-$E459)</f>
        <v/>
      </c>
      <c r="L459" s="35" t="str">
        <f aca="false">IF(SUM(FA459:FN459)=0,"",SUM(EM459:EZ459)/SUM(FA459:FN459))</f>
        <v/>
      </c>
      <c r="M459" s="36" t="str">
        <f aca="false">IF(OR(L459="",FO459=""),"",IFERROR(MATCH(L459,INDEX(Boundaries!$B$2:$I$30,MATCH(FO459,Boundaries!$A$2:$A$30,0),0),1)-1,""))</f>
        <v/>
      </c>
      <c r="N459" s="37" t="str">
        <f aca="false">IF(COUNT($DY459:$EL459)&lt;2,"",INDEX($DK459:$DX459,MAX($DY459:$EL459))-INDEX($DK459:$DX459,MIN($DY459:$EL459)))</f>
        <v/>
      </c>
      <c r="O459" s="37" t="str">
        <f aca="false">IF(COUNT($DY459:$EL459)&lt;2,"",INDEX($DK459:$DX459,MAX($DY459:$EL459))-INDEX($DK459:$DX459,LARGE($DY459:$EL459,2)))</f>
        <v/>
      </c>
      <c r="P459" s="38" t="str">
        <f aca="false">IF(K459="","",IF(K459&gt;=0,"On/above target",IF(AND(N459&lt;&gt;"",N459&gt;=0.5),"Improving towards target",IF(AND(O459&lt;&gt;"",O459&lt;=-0.5),"Declining","Stable below target"))))</f>
        <v/>
      </c>
      <c r="Q459" s="39"/>
      <c r="R459" s="40" t="str">
        <f aca="false">IF(OR(Q459="",BU459=""),"",Q459/BU459*100)</f>
        <v/>
      </c>
      <c r="S459" s="41" t="str">
        <f aca="false">IF(R459="","",IFERROR(MATCH(R459,INDEX(Boundaries!$B$2:$I$30,MATCH(CI459,Boundaries!$A$2:$A$30,0),0),1)-1,""))</f>
        <v/>
      </c>
      <c r="T459" s="42" t="str">
        <f aca="false">IF(OR(S459="",$E459=""),"",S459-$E459)</f>
        <v/>
      </c>
      <c r="U459" s="39"/>
      <c r="V459" s="40" t="str">
        <f aca="false">IF(OR(U459="",BV459=""),"",U459/BV459*100)</f>
        <v/>
      </c>
      <c r="W459" s="41" t="str">
        <f aca="false">IF(V459="","",IFERROR(MATCH(V459,INDEX(Boundaries!$B$2:$I$30,MATCH(CJ459,Boundaries!$A$2:$A$30,0),0),1)-1,""))</f>
        <v/>
      </c>
      <c r="X459" s="42" t="str">
        <f aca="false">IF(OR(W459="",$E459=""),"",W459-$E459)</f>
        <v/>
      </c>
      <c r="Y459" s="39"/>
      <c r="Z459" s="40" t="str">
        <f aca="false">IF(OR(Y459="",BW459=""),"",Y459/BW459*100)</f>
        <v/>
      </c>
      <c r="AA459" s="41" t="str">
        <f aca="false">IF(Z459="","",IFERROR(MATCH(Z459,INDEX(Boundaries!$B$2:$I$30,MATCH(CK459,Boundaries!$A$2:$A$30,0),0),1)-1,""))</f>
        <v/>
      </c>
      <c r="AB459" s="42" t="str">
        <f aca="false">IF(OR(AA459="",$E459=""),"",AA459-$E459)</f>
        <v/>
      </c>
      <c r="AC459" s="39"/>
      <c r="AD459" s="40" t="str">
        <f aca="false">IF(OR(AC459="",BX459=""),"",AC459/BX459*100)</f>
        <v/>
      </c>
      <c r="AE459" s="41" t="str">
        <f aca="false">IF(AD459="","",IFERROR(MATCH(AD459,INDEX(Boundaries!$B$2:$I$30,MATCH(CL459,Boundaries!$A$2:$A$30,0),0),1)-1,""))</f>
        <v/>
      </c>
      <c r="AF459" s="42" t="str">
        <f aca="false">IF(OR(AE459="",$E459=""),"",AE459-$E459)</f>
        <v/>
      </c>
      <c r="AG459" s="39"/>
      <c r="AH459" s="40" t="str">
        <f aca="false">IF(OR(AG459="",BY459=""),"",AG459/BY459*100)</f>
        <v/>
      </c>
      <c r="AI459" s="41" t="str">
        <f aca="false">IF(AH459="","",IFERROR(MATCH(AH459,INDEX(Boundaries!$B$2:$I$30,MATCH(CM459,Boundaries!$A$2:$A$30,0),0),1)-1,""))</f>
        <v/>
      </c>
      <c r="AJ459" s="42" t="str">
        <f aca="false">IF(OR(AI459="",$E459=""),"",AI459-$E459)</f>
        <v/>
      </c>
      <c r="AK459" s="39"/>
      <c r="AL459" s="40" t="str">
        <f aca="false">IF(OR(AK459="",BZ459=""),"",AK459/BZ459*100)</f>
        <v/>
      </c>
      <c r="AM459" s="41" t="str">
        <f aca="false">IF(AL459="","",IFERROR(MATCH(AL459,INDEX(Boundaries!$B$2:$I$30,MATCH(CN459,Boundaries!$A$2:$A$30,0),0),1)-1,""))</f>
        <v/>
      </c>
      <c r="AN459" s="42" t="str">
        <f aca="false">IF(OR(AM459="",$E459=""),"",AM459-$E459)</f>
        <v/>
      </c>
      <c r="AO459" s="39"/>
      <c r="AP459" s="40" t="str">
        <f aca="false">IF(OR(AO459="",CA459=""),"",AO459/CA459*100)</f>
        <v/>
      </c>
      <c r="AQ459" s="41" t="str">
        <f aca="false">IF(AP459="","",IFERROR(MATCH(AP459,INDEX(Boundaries!$B$2:$I$30,MATCH(CO459,Boundaries!$A$2:$A$30,0),0),1)-1,""))</f>
        <v/>
      </c>
      <c r="AR459" s="42" t="str">
        <f aca="false">IF(OR(AQ459="",$E459=""),"",AQ459-$E459)</f>
        <v/>
      </c>
      <c r="AS459" s="39"/>
      <c r="AT459" s="40" t="str">
        <f aca="false">IF(OR(AS459="",CB459=""),"",AS459/CB459*100)</f>
        <v/>
      </c>
      <c r="AU459" s="41" t="str">
        <f aca="false">IF(AT459="","",IFERROR(MATCH(AT459,INDEX(Boundaries!$B$2:$I$30,MATCH(CP459,Boundaries!$A$2:$A$30,0),0),1)-1,""))</f>
        <v/>
      </c>
      <c r="AV459" s="42" t="str">
        <f aca="false">IF(OR(AU459="",$E459=""),"",AU459-$E459)</f>
        <v/>
      </c>
      <c r="AW459" s="39"/>
      <c r="AX459" s="40" t="str">
        <f aca="false">IF(OR(AW459="",CC459=""),"",AW459/CC459*100)</f>
        <v/>
      </c>
      <c r="AY459" s="41" t="str">
        <f aca="false">IF(AX459="","",IFERROR(MATCH(AX459,INDEX(Boundaries!$B$2:$I$30,MATCH(CQ459,Boundaries!$A$2:$A$30,0),0),1)-1,""))</f>
        <v/>
      </c>
      <c r="AZ459" s="42" t="str">
        <f aca="false">IF(OR(AY459="",$E459=""),"",AY459-$E459)</f>
        <v/>
      </c>
      <c r="BA459" s="39"/>
      <c r="BB459" s="40" t="str">
        <f aca="false">IF(OR(BA459="",CD459=""),"",BA459/CD459*100)</f>
        <v/>
      </c>
      <c r="BC459" s="41" t="str">
        <f aca="false">IF(BB459="","",IFERROR(MATCH(BB459,INDEX(Boundaries!$B$2:$I$30,MATCH(CR459,Boundaries!$A$2:$A$30,0),0),1)-1,""))</f>
        <v/>
      </c>
      <c r="BD459" s="42" t="str">
        <f aca="false">IF(OR(BC459="",$E459=""),"",BC459-$E459)</f>
        <v/>
      </c>
      <c r="BE459" s="39"/>
      <c r="BF459" s="40" t="str">
        <f aca="false">IF(OR(BE459="",CE459=""),"",BE459/CE459*100)</f>
        <v/>
      </c>
      <c r="BG459" s="41" t="str">
        <f aca="false">IF(BF459="","",IFERROR(MATCH(BF459,INDEX(Boundaries!$B$2:$I$30,MATCH(CS459,Boundaries!$A$2:$A$30,0),0),1)-1,""))</f>
        <v/>
      </c>
      <c r="BH459" s="42" t="str">
        <f aca="false">IF(OR(BG459="",$E459=""),"",BG459-$E459)</f>
        <v/>
      </c>
      <c r="BI459" s="39"/>
      <c r="BJ459" s="40" t="str">
        <f aca="false">IF(OR(BI459="",CF459=""),"",BI459/CF459*100)</f>
        <v/>
      </c>
      <c r="BK459" s="41" t="str">
        <f aca="false">IF(BJ459="","",IFERROR(MATCH(BJ459,INDEX(Boundaries!$B$2:$I$30,MATCH(CT459,Boundaries!$A$2:$A$30,0),0),1)-1,""))</f>
        <v/>
      </c>
      <c r="BL459" s="42" t="str">
        <f aca="false">IF(OR(BK459="",$E459=""),"",BK459-$E459)</f>
        <v/>
      </c>
      <c r="BM459" s="39"/>
      <c r="BN459" s="40" t="str">
        <f aca="false">IF(OR(BM459="",CG459=""),"",BM459/CG459*100)</f>
        <v/>
      </c>
      <c r="BO459" s="41" t="str">
        <f aca="false">IF(BN459="","",IFERROR(MATCH(BN459,INDEX(Boundaries!$B$2:$I$30,MATCH(CU459,Boundaries!$A$2:$A$30,0),0),1)-1,""))</f>
        <v/>
      </c>
      <c r="BP459" s="42" t="str">
        <f aca="false">IF(OR(BO459="",$E459=""),"",BO459-$E459)</f>
        <v/>
      </c>
      <c r="BQ459" s="39"/>
      <c r="BR459" s="40" t="str">
        <f aca="false">IF(OR(BQ459="",CH459=""),"",BQ459/CH459*100)</f>
        <v/>
      </c>
      <c r="BS459" s="41" t="str">
        <f aca="false">IF(BR459="","",IFERROR(MATCH(BR459,INDEX(Boundaries!$B$2:$I$30,MATCH(CV459,Boundaries!$A$2:$A$30,0),0),1)-1,""))</f>
        <v/>
      </c>
      <c r="BT459" s="42" t="str">
        <f aca="false">IF(OR(BS459="",$E459=""),"",BS459-$E459)</f>
        <v/>
      </c>
      <c r="BU459" s="28" t="str">
        <f aca="false">IFERROR(INDEX(Assessments!$H$2:$H$600,MATCH($H459&amp;"|"&amp;$I459&amp;"|"&amp;$J459&amp;"|"&amp;1,Assessments!$A$2:$A$600,0)),"")</f>
        <v/>
      </c>
      <c r="BV459" s="28" t="str">
        <f aca="false">IFERROR(INDEX(Assessments!$H$2:$H$600,MATCH($H459&amp;"|"&amp;$I459&amp;"|"&amp;$J459&amp;"|"&amp;2,Assessments!$A$2:$A$600,0)),"")</f>
        <v/>
      </c>
      <c r="BW459" s="28" t="str">
        <f aca="false">IFERROR(INDEX(Assessments!$H$2:$H$600,MATCH($H459&amp;"|"&amp;$I459&amp;"|"&amp;$J459&amp;"|"&amp;3,Assessments!$A$2:$A$600,0)),"")</f>
        <v/>
      </c>
      <c r="BX459" s="28" t="str">
        <f aca="false">IFERROR(INDEX(Assessments!$H$2:$H$600,MATCH($H459&amp;"|"&amp;$I459&amp;"|"&amp;$J459&amp;"|"&amp;4,Assessments!$A$2:$A$600,0)),"")</f>
        <v/>
      </c>
      <c r="BY459" s="28" t="str">
        <f aca="false">IFERROR(INDEX(Assessments!$H$2:$H$600,MATCH($H459&amp;"|"&amp;$I459&amp;"|"&amp;$J459&amp;"|"&amp;5,Assessments!$A$2:$A$600,0)),"")</f>
        <v/>
      </c>
      <c r="BZ459" s="28" t="str">
        <f aca="false">IFERROR(INDEX(Assessments!$H$2:$H$600,MATCH($H459&amp;"|"&amp;$I459&amp;"|"&amp;$J459&amp;"|"&amp;6,Assessments!$A$2:$A$600,0)),"")</f>
        <v/>
      </c>
      <c r="CA459" s="28" t="str">
        <f aca="false">IFERROR(INDEX(Assessments!$H$2:$H$600,MATCH($H459&amp;"|"&amp;$I459&amp;"|"&amp;$J459&amp;"|"&amp;7,Assessments!$A$2:$A$600,0)),"")</f>
        <v/>
      </c>
      <c r="CB459" s="28" t="str">
        <f aca="false">IFERROR(INDEX(Assessments!$H$2:$H$600,MATCH($H459&amp;"|"&amp;$I459&amp;"|"&amp;$J459&amp;"|"&amp;8,Assessments!$A$2:$A$600,0)),"")</f>
        <v/>
      </c>
      <c r="CC459" s="28" t="str">
        <f aca="false">IFERROR(INDEX(Assessments!$H$2:$H$600,MATCH($H459&amp;"|"&amp;$I459&amp;"|"&amp;$J459&amp;"|"&amp;9,Assessments!$A$2:$A$600,0)),"")</f>
        <v/>
      </c>
      <c r="CD459" s="28" t="str">
        <f aca="false">IFERROR(INDEX(Assessments!$H$2:$H$600,MATCH($H459&amp;"|"&amp;$I459&amp;"|"&amp;$J459&amp;"|"&amp;10,Assessments!$A$2:$A$600,0)),"")</f>
        <v/>
      </c>
      <c r="CE459" s="28" t="str">
        <f aca="false">IFERROR(INDEX(Assessments!$H$2:$H$600,MATCH($H459&amp;"|"&amp;$I459&amp;"|"&amp;$J459&amp;"|"&amp;11,Assessments!$A$2:$A$600,0)),"")</f>
        <v/>
      </c>
      <c r="CF459" s="28" t="str">
        <f aca="false">IFERROR(INDEX(Assessments!$H$2:$H$600,MATCH($H459&amp;"|"&amp;$I459&amp;"|"&amp;$J459&amp;"|"&amp;12,Assessments!$A$2:$A$600,0)),"")</f>
        <v/>
      </c>
      <c r="CG459" s="28" t="str">
        <f aca="false">IFERROR(INDEX(Assessments!$H$2:$H$600,MATCH($H459&amp;"|"&amp;$I459&amp;"|"&amp;$J459&amp;"|"&amp;13,Assessments!$A$2:$A$600,0)),"")</f>
        <v/>
      </c>
      <c r="CH459" s="28" t="str">
        <f aca="false">IFERROR(INDEX(Assessments!$H$2:$H$600,MATCH($H459&amp;"|"&amp;$I459&amp;"|"&amp;$J459&amp;"|"&amp;14,Assessments!$A$2:$A$600,0)),"")</f>
        <v/>
      </c>
      <c r="CI459" s="28" t="str">
        <f aca="false">IFERROR(INDEX(Assessments!$I$2:$I$600,MATCH($H459&amp;"|"&amp;$I459&amp;"|"&amp;$J459&amp;"|"&amp;1,Assessments!$A$2:$A$600,0)),"")</f>
        <v/>
      </c>
      <c r="CJ459" s="28" t="str">
        <f aca="false">IFERROR(INDEX(Assessments!$I$2:$I$600,MATCH($H459&amp;"|"&amp;$I459&amp;"|"&amp;$J459&amp;"|"&amp;2,Assessments!$A$2:$A$600,0)),"")</f>
        <v/>
      </c>
      <c r="CK459" s="28" t="str">
        <f aca="false">IFERROR(INDEX(Assessments!$I$2:$I$600,MATCH($H459&amp;"|"&amp;$I459&amp;"|"&amp;$J459&amp;"|"&amp;3,Assessments!$A$2:$A$600,0)),"")</f>
        <v/>
      </c>
      <c r="CL459" s="28" t="str">
        <f aca="false">IFERROR(INDEX(Assessments!$I$2:$I$600,MATCH($H459&amp;"|"&amp;$I459&amp;"|"&amp;$J459&amp;"|"&amp;4,Assessments!$A$2:$A$600,0)),"")</f>
        <v/>
      </c>
      <c r="CM459" s="28" t="str">
        <f aca="false">IFERROR(INDEX(Assessments!$I$2:$I$600,MATCH($H459&amp;"|"&amp;$I459&amp;"|"&amp;$J459&amp;"|"&amp;5,Assessments!$A$2:$A$600,0)),"")</f>
        <v/>
      </c>
      <c r="CN459" s="28" t="str">
        <f aca="false">IFERROR(INDEX(Assessments!$I$2:$I$600,MATCH($H459&amp;"|"&amp;$I459&amp;"|"&amp;$J459&amp;"|"&amp;6,Assessments!$A$2:$A$600,0)),"")</f>
        <v/>
      </c>
      <c r="CO459" s="28" t="str">
        <f aca="false">IFERROR(INDEX(Assessments!$I$2:$I$600,MATCH($H459&amp;"|"&amp;$I459&amp;"|"&amp;$J459&amp;"|"&amp;7,Assessments!$A$2:$A$600,0)),"")</f>
        <v/>
      </c>
      <c r="CP459" s="28" t="str">
        <f aca="false">IFERROR(INDEX(Assessments!$I$2:$I$600,MATCH($H459&amp;"|"&amp;$I459&amp;"|"&amp;$J459&amp;"|"&amp;8,Assessments!$A$2:$A$600,0)),"")</f>
        <v/>
      </c>
      <c r="CQ459" s="28" t="str">
        <f aca="false">IFERROR(INDEX(Assessments!$I$2:$I$600,MATCH($H459&amp;"|"&amp;$I459&amp;"|"&amp;$J459&amp;"|"&amp;9,Assessments!$A$2:$A$600,0)),"")</f>
        <v/>
      </c>
      <c r="CR459" s="28" t="str">
        <f aca="false">IFERROR(INDEX(Assessments!$I$2:$I$600,MATCH($H459&amp;"|"&amp;$I459&amp;"|"&amp;$J459&amp;"|"&amp;10,Assessments!$A$2:$A$600,0)),"")</f>
        <v/>
      </c>
      <c r="CS459" s="28" t="str">
        <f aca="false">IFERROR(INDEX(Assessments!$I$2:$I$600,MATCH($H459&amp;"|"&amp;$I459&amp;"|"&amp;$J459&amp;"|"&amp;11,Assessments!$A$2:$A$600,0)),"")</f>
        <v/>
      </c>
      <c r="CT459" s="28" t="str">
        <f aca="false">IFERROR(INDEX(Assessments!$I$2:$I$600,MATCH($H459&amp;"|"&amp;$I459&amp;"|"&amp;$J459&amp;"|"&amp;12,Assessments!$A$2:$A$600,0)),"")</f>
        <v/>
      </c>
      <c r="CU459" s="28" t="str">
        <f aca="false">IFERROR(INDEX(Assessments!$I$2:$I$600,MATCH($H459&amp;"|"&amp;$I459&amp;"|"&amp;$J459&amp;"|"&amp;13,Assessments!$A$2:$A$600,0)),"")</f>
        <v/>
      </c>
      <c r="CV459" s="28" t="str">
        <f aca="false">IFERROR(INDEX(Assessments!$I$2:$I$600,MATCH($H459&amp;"|"&amp;$I459&amp;"|"&amp;$J459&amp;"|"&amp;14,Assessments!$A$2:$A$600,0)),"")</f>
        <v/>
      </c>
      <c r="CW459" s="28" t="n">
        <f aca="false">IFERROR(INDEX(Assessments!$J$2:$J$600,MATCH($H459&amp;"|"&amp;$I459&amp;"|"&amp;$J459&amp;"|"&amp;1,Assessments!$A$2:$A$600,0)),0)</f>
        <v>0</v>
      </c>
      <c r="CX459" s="28" t="n">
        <f aca="false">IFERROR(INDEX(Assessments!$J$2:$J$600,MATCH($H459&amp;"|"&amp;$I459&amp;"|"&amp;$J459&amp;"|"&amp;2,Assessments!$A$2:$A$600,0)),0)</f>
        <v>0</v>
      </c>
      <c r="CY459" s="28" t="n">
        <f aca="false">IFERROR(INDEX(Assessments!$J$2:$J$600,MATCH($H459&amp;"|"&amp;$I459&amp;"|"&amp;$J459&amp;"|"&amp;3,Assessments!$A$2:$A$600,0)),0)</f>
        <v>0</v>
      </c>
      <c r="CZ459" s="28" t="n">
        <f aca="false">IFERROR(INDEX(Assessments!$J$2:$J$600,MATCH($H459&amp;"|"&amp;$I459&amp;"|"&amp;$J459&amp;"|"&amp;4,Assessments!$A$2:$A$600,0)),0)</f>
        <v>0</v>
      </c>
      <c r="DA459" s="28" t="n">
        <f aca="false">IFERROR(INDEX(Assessments!$J$2:$J$600,MATCH($H459&amp;"|"&amp;$I459&amp;"|"&amp;$J459&amp;"|"&amp;5,Assessments!$A$2:$A$600,0)),0)</f>
        <v>0</v>
      </c>
      <c r="DB459" s="28" t="n">
        <f aca="false">IFERROR(INDEX(Assessments!$J$2:$J$600,MATCH($H459&amp;"|"&amp;$I459&amp;"|"&amp;$J459&amp;"|"&amp;6,Assessments!$A$2:$A$600,0)),0)</f>
        <v>0</v>
      </c>
      <c r="DC459" s="28" t="n">
        <f aca="false">IFERROR(INDEX(Assessments!$J$2:$J$600,MATCH($H459&amp;"|"&amp;$I459&amp;"|"&amp;$J459&amp;"|"&amp;7,Assessments!$A$2:$A$600,0)),0)</f>
        <v>0</v>
      </c>
      <c r="DD459" s="28" t="n">
        <f aca="false">IFERROR(INDEX(Assessments!$J$2:$J$600,MATCH($H459&amp;"|"&amp;$I459&amp;"|"&amp;$J459&amp;"|"&amp;8,Assessments!$A$2:$A$600,0)),0)</f>
        <v>0</v>
      </c>
      <c r="DE459" s="28" t="n">
        <f aca="false">IFERROR(INDEX(Assessments!$J$2:$J$600,MATCH($H459&amp;"|"&amp;$I459&amp;"|"&amp;$J459&amp;"|"&amp;9,Assessments!$A$2:$A$600,0)),0)</f>
        <v>0</v>
      </c>
      <c r="DF459" s="28" t="n">
        <f aca="false">IFERROR(INDEX(Assessments!$J$2:$J$600,MATCH($H459&amp;"|"&amp;$I459&amp;"|"&amp;$J459&amp;"|"&amp;10,Assessments!$A$2:$A$600,0)),0)</f>
        <v>0</v>
      </c>
      <c r="DG459" s="28" t="n">
        <f aca="false">IFERROR(INDEX(Assessments!$J$2:$J$600,MATCH($H459&amp;"|"&amp;$I459&amp;"|"&amp;$J459&amp;"|"&amp;11,Assessments!$A$2:$A$600,0)),0)</f>
        <v>0</v>
      </c>
      <c r="DH459" s="28" t="n">
        <f aca="false">IFERROR(INDEX(Assessments!$J$2:$J$600,MATCH($H459&amp;"|"&amp;$I459&amp;"|"&amp;$J459&amp;"|"&amp;12,Assessments!$A$2:$A$600,0)),0)</f>
        <v>0</v>
      </c>
      <c r="DI459" s="28" t="n">
        <f aca="false">IFERROR(INDEX(Assessments!$J$2:$J$600,MATCH($H459&amp;"|"&amp;$I459&amp;"|"&amp;$J459&amp;"|"&amp;13,Assessments!$A$2:$A$600,0)),0)</f>
        <v>0</v>
      </c>
      <c r="DJ459" s="28" t="n">
        <f aca="false">IFERROR(INDEX(Assessments!$J$2:$J$600,MATCH($H459&amp;"|"&amp;$I459&amp;"|"&amp;$J459&amp;"|"&amp;14,Assessments!$A$2:$A$600,0)),0)</f>
        <v>0</v>
      </c>
      <c r="DK459" s="28" t="str">
        <f aca="false">S459</f>
        <v/>
      </c>
      <c r="DL459" s="28" t="str">
        <f aca="false">W459</f>
        <v/>
      </c>
      <c r="DM459" s="28" t="str">
        <f aca="false">AA459</f>
        <v/>
      </c>
      <c r="DN459" s="28" t="str">
        <f aca="false">AE459</f>
        <v/>
      </c>
      <c r="DO459" s="28" t="str">
        <f aca="false">AI459</f>
        <v/>
      </c>
      <c r="DP459" s="28" t="str">
        <f aca="false">AM459</f>
        <v/>
      </c>
      <c r="DQ459" s="28" t="str">
        <f aca="false">AQ459</f>
        <v/>
      </c>
      <c r="DR459" s="28" t="str">
        <f aca="false">AU459</f>
        <v/>
      </c>
      <c r="DS459" s="28" t="str">
        <f aca="false">AY459</f>
        <v/>
      </c>
      <c r="DT459" s="28" t="str">
        <f aca="false">BC459</f>
        <v/>
      </c>
      <c r="DU459" s="28" t="str">
        <f aca="false">BG459</f>
        <v/>
      </c>
      <c r="DV459" s="28" t="str">
        <f aca="false">BK459</f>
        <v/>
      </c>
      <c r="DW459" s="28" t="str">
        <f aca="false">BO459</f>
        <v/>
      </c>
      <c r="DX459" s="28" t="str">
        <f aca="false">BS459</f>
        <v/>
      </c>
      <c r="DY459" s="28" t="str">
        <f aca="false">IF(ISNUMBER(S459),1,"")</f>
        <v/>
      </c>
      <c r="DZ459" s="28" t="str">
        <f aca="false">IF(ISNUMBER(W459),2,"")</f>
        <v/>
      </c>
      <c r="EA459" s="28" t="str">
        <f aca="false">IF(ISNUMBER(AA459),3,"")</f>
        <v/>
      </c>
      <c r="EB459" s="28" t="str">
        <f aca="false">IF(ISNUMBER(AE459),4,"")</f>
        <v/>
      </c>
      <c r="EC459" s="28" t="str">
        <f aca="false">IF(ISNUMBER(AI459),5,"")</f>
        <v/>
      </c>
      <c r="ED459" s="28" t="str">
        <f aca="false">IF(ISNUMBER(AM459),6,"")</f>
        <v/>
      </c>
      <c r="EE459" s="28" t="str">
        <f aca="false">IF(ISNUMBER(AQ459),7,"")</f>
        <v/>
      </c>
      <c r="EF459" s="28" t="str">
        <f aca="false">IF(ISNUMBER(AU459),8,"")</f>
        <v/>
      </c>
      <c r="EG459" s="28" t="str">
        <f aca="false">IF(ISNUMBER(AY459),9,"")</f>
        <v/>
      </c>
      <c r="EH459" s="28" t="str">
        <f aca="false">IF(ISNUMBER(BC459),10,"")</f>
        <v/>
      </c>
      <c r="EI459" s="28" t="str">
        <f aca="false">IF(ISNUMBER(BG459),11,"")</f>
        <v/>
      </c>
      <c r="EJ459" s="28" t="str">
        <f aca="false">IF(ISNUMBER(BK459),12,"")</f>
        <v/>
      </c>
      <c r="EK459" s="28" t="str">
        <f aca="false">IF(ISNUMBER(BO459),13,"")</f>
        <v/>
      </c>
      <c r="EL459" s="28" t="str">
        <f aca="false">IF(ISNUMBER(BS459),14,"")</f>
        <v/>
      </c>
      <c r="EM459" s="28" t="n">
        <f aca="false">IF(ISNUMBER(R459),R459*CW459,0)</f>
        <v>0</v>
      </c>
      <c r="EN459" s="28" t="n">
        <f aca="false">IF(ISNUMBER(V459),V459*CX459,0)</f>
        <v>0</v>
      </c>
      <c r="EO459" s="28" t="n">
        <f aca="false">IF(ISNUMBER(Z459),Z459*CY459,0)</f>
        <v>0</v>
      </c>
      <c r="EP459" s="28" t="n">
        <f aca="false">IF(ISNUMBER(AD459),AD459*CZ459,0)</f>
        <v>0</v>
      </c>
      <c r="EQ459" s="28" t="n">
        <f aca="false">IF(ISNUMBER(AH459),AH459*DA459,0)</f>
        <v>0</v>
      </c>
      <c r="ER459" s="28" t="n">
        <f aca="false">IF(ISNUMBER(AL459),AL459*DB459,0)</f>
        <v>0</v>
      </c>
      <c r="ES459" s="28" t="n">
        <f aca="false">IF(ISNUMBER(AP459),AP459*DC459,0)</f>
        <v>0</v>
      </c>
      <c r="ET459" s="28" t="n">
        <f aca="false">IF(ISNUMBER(AT459),AT459*DD459,0)</f>
        <v>0</v>
      </c>
      <c r="EU459" s="28" t="n">
        <f aca="false">IF(ISNUMBER(AX459),AX459*DE459,0)</f>
        <v>0</v>
      </c>
      <c r="EV459" s="28" t="n">
        <f aca="false">IF(ISNUMBER(BB459),BB459*DF459,0)</f>
        <v>0</v>
      </c>
      <c r="EW459" s="28" t="n">
        <f aca="false">IF(ISNUMBER(BF459),BF459*DG459,0)</f>
        <v>0</v>
      </c>
      <c r="EX459" s="28" t="n">
        <f aca="false">IF(ISNUMBER(BJ459),BJ459*DH459,0)</f>
        <v>0</v>
      </c>
      <c r="EY459" s="28" t="n">
        <f aca="false">IF(ISNUMBER(BN459),BN459*DI459,0)</f>
        <v>0</v>
      </c>
      <c r="EZ459" s="28" t="n">
        <f aca="false">IF(ISNUMBER(BR459),BR459*DJ459,0)</f>
        <v>0</v>
      </c>
      <c r="FA459" s="28" t="n">
        <f aca="false">IF(ISNUMBER(R459),CW459,0)</f>
        <v>0</v>
      </c>
      <c r="FB459" s="28" t="n">
        <f aca="false">IF(ISNUMBER(V459),CX459,0)</f>
        <v>0</v>
      </c>
      <c r="FC459" s="28" t="n">
        <f aca="false">IF(ISNUMBER(Z459),CY459,0)</f>
        <v>0</v>
      </c>
      <c r="FD459" s="28" t="n">
        <f aca="false">IF(ISNUMBER(AD459),CZ459,0)</f>
        <v>0</v>
      </c>
      <c r="FE459" s="28" t="n">
        <f aca="false">IF(ISNUMBER(AH459),DA459,0)</f>
        <v>0</v>
      </c>
      <c r="FF459" s="28" t="n">
        <f aca="false">IF(ISNUMBER(AL459),DB459,0)</f>
        <v>0</v>
      </c>
      <c r="FG459" s="28" t="n">
        <f aca="false">IF(ISNUMBER(AP459),DC459,0)</f>
        <v>0</v>
      </c>
      <c r="FH459" s="28" t="n">
        <f aca="false">IF(ISNUMBER(AT459),DD459,0)</f>
        <v>0</v>
      </c>
      <c r="FI459" s="28" t="n">
        <f aca="false">IF(ISNUMBER(AX459),DE459,0)</f>
        <v>0</v>
      </c>
      <c r="FJ459" s="28" t="n">
        <f aca="false">IF(ISNUMBER(BB459),DF459,0)</f>
        <v>0</v>
      </c>
      <c r="FK459" s="28" t="n">
        <f aca="false">IF(ISNUMBER(BF459),DG459,0)</f>
        <v>0</v>
      </c>
      <c r="FL459" s="28" t="n">
        <f aca="false">IF(ISNUMBER(BJ459),DH459,0)</f>
        <v>0</v>
      </c>
      <c r="FM459" s="28" t="n">
        <f aca="false">IF(ISNUMBER(BN459),DI459,0)</f>
        <v>0</v>
      </c>
      <c r="FN459" s="28" t="n">
        <f aca="false">IF(ISNUMBER(BR459),DJ459,0)</f>
        <v>0</v>
      </c>
      <c r="FO459" s="28" t="str">
        <f aca="false">IFERROR(INDEX(Lists!$G$2:$G$20,MATCH($I459&amp;"|"&amp;$J459,Lists!$F$2:$F$20,0)),"")</f>
        <v/>
      </c>
    </row>
    <row r="460" customFormat="false" ht="19.5" hidden="false" customHeight="true" outlineLevel="0" collapsed="false">
      <c r="A460" s="29"/>
      <c r="B460" s="29"/>
      <c r="C460" s="30"/>
      <c r="D460" s="30"/>
      <c r="E460" s="31"/>
      <c r="F460" s="30"/>
      <c r="G460" s="30"/>
      <c r="H460" s="32"/>
      <c r="I460" s="33"/>
      <c r="J460" s="32"/>
      <c r="K460" s="34" t="str">
        <f aca="false">IF(OR(M460="",$E460=""),"",M460-$E460)</f>
        <v/>
      </c>
      <c r="L460" s="35" t="str">
        <f aca="false">IF(SUM(FA460:FN460)=0,"",SUM(EM460:EZ460)/SUM(FA460:FN460))</f>
        <v/>
      </c>
      <c r="M460" s="36" t="str">
        <f aca="false">IF(OR(L460="",FO460=""),"",IFERROR(MATCH(L460,INDEX(Boundaries!$B$2:$I$30,MATCH(FO460,Boundaries!$A$2:$A$30,0),0),1)-1,""))</f>
        <v/>
      </c>
      <c r="N460" s="37" t="str">
        <f aca="false">IF(COUNT($DY460:$EL460)&lt;2,"",INDEX($DK460:$DX460,MAX($DY460:$EL460))-INDEX($DK460:$DX460,MIN($DY460:$EL460)))</f>
        <v/>
      </c>
      <c r="O460" s="37" t="str">
        <f aca="false">IF(COUNT($DY460:$EL460)&lt;2,"",INDEX($DK460:$DX460,MAX($DY460:$EL460))-INDEX($DK460:$DX460,LARGE($DY460:$EL460,2)))</f>
        <v/>
      </c>
      <c r="P460" s="38" t="str">
        <f aca="false">IF(K460="","",IF(K460&gt;=0,"On/above target",IF(AND(N460&lt;&gt;"",N460&gt;=0.5),"Improving towards target",IF(AND(O460&lt;&gt;"",O460&lt;=-0.5),"Declining","Stable below target"))))</f>
        <v/>
      </c>
      <c r="Q460" s="39"/>
      <c r="R460" s="40" t="str">
        <f aca="false">IF(OR(Q460="",BU460=""),"",Q460/BU460*100)</f>
        <v/>
      </c>
      <c r="S460" s="41" t="str">
        <f aca="false">IF(R460="","",IFERROR(MATCH(R460,INDEX(Boundaries!$B$2:$I$30,MATCH(CI460,Boundaries!$A$2:$A$30,0),0),1)-1,""))</f>
        <v/>
      </c>
      <c r="T460" s="42" t="str">
        <f aca="false">IF(OR(S460="",$E460=""),"",S460-$E460)</f>
        <v/>
      </c>
      <c r="U460" s="39"/>
      <c r="V460" s="40" t="str">
        <f aca="false">IF(OR(U460="",BV460=""),"",U460/BV460*100)</f>
        <v/>
      </c>
      <c r="W460" s="41" t="str">
        <f aca="false">IF(V460="","",IFERROR(MATCH(V460,INDEX(Boundaries!$B$2:$I$30,MATCH(CJ460,Boundaries!$A$2:$A$30,0),0),1)-1,""))</f>
        <v/>
      </c>
      <c r="X460" s="42" t="str">
        <f aca="false">IF(OR(W460="",$E460=""),"",W460-$E460)</f>
        <v/>
      </c>
      <c r="Y460" s="39"/>
      <c r="Z460" s="40" t="str">
        <f aca="false">IF(OR(Y460="",BW460=""),"",Y460/BW460*100)</f>
        <v/>
      </c>
      <c r="AA460" s="41" t="str">
        <f aca="false">IF(Z460="","",IFERROR(MATCH(Z460,INDEX(Boundaries!$B$2:$I$30,MATCH(CK460,Boundaries!$A$2:$A$30,0),0),1)-1,""))</f>
        <v/>
      </c>
      <c r="AB460" s="42" t="str">
        <f aca="false">IF(OR(AA460="",$E460=""),"",AA460-$E460)</f>
        <v/>
      </c>
      <c r="AC460" s="39"/>
      <c r="AD460" s="40" t="str">
        <f aca="false">IF(OR(AC460="",BX460=""),"",AC460/BX460*100)</f>
        <v/>
      </c>
      <c r="AE460" s="41" t="str">
        <f aca="false">IF(AD460="","",IFERROR(MATCH(AD460,INDEX(Boundaries!$B$2:$I$30,MATCH(CL460,Boundaries!$A$2:$A$30,0),0),1)-1,""))</f>
        <v/>
      </c>
      <c r="AF460" s="42" t="str">
        <f aca="false">IF(OR(AE460="",$E460=""),"",AE460-$E460)</f>
        <v/>
      </c>
      <c r="AG460" s="39"/>
      <c r="AH460" s="40" t="str">
        <f aca="false">IF(OR(AG460="",BY460=""),"",AG460/BY460*100)</f>
        <v/>
      </c>
      <c r="AI460" s="41" t="str">
        <f aca="false">IF(AH460="","",IFERROR(MATCH(AH460,INDEX(Boundaries!$B$2:$I$30,MATCH(CM460,Boundaries!$A$2:$A$30,0),0),1)-1,""))</f>
        <v/>
      </c>
      <c r="AJ460" s="42" t="str">
        <f aca="false">IF(OR(AI460="",$E460=""),"",AI460-$E460)</f>
        <v/>
      </c>
      <c r="AK460" s="39"/>
      <c r="AL460" s="40" t="str">
        <f aca="false">IF(OR(AK460="",BZ460=""),"",AK460/BZ460*100)</f>
        <v/>
      </c>
      <c r="AM460" s="41" t="str">
        <f aca="false">IF(AL460="","",IFERROR(MATCH(AL460,INDEX(Boundaries!$B$2:$I$30,MATCH(CN460,Boundaries!$A$2:$A$30,0),0),1)-1,""))</f>
        <v/>
      </c>
      <c r="AN460" s="42" t="str">
        <f aca="false">IF(OR(AM460="",$E460=""),"",AM460-$E460)</f>
        <v/>
      </c>
      <c r="AO460" s="39"/>
      <c r="AP460" s="40" t="str">
        <f aca="false">IF(OR(AO460="",CA460=""),"",AO460/CA460*100)</f>
        <v/>
      </c>
      <c r="AQ460" s="41" t="str">
        <f aca="false">IF(AP460="","",IFERROR(MATCH(AP460,INDEX(Boundaries!$B$2:$I$30,MATCH(CO460,Boundaries!$A$2:$A$30,0),0),1)-1,""))</f>
        <v/>
      </c>
      <c r="AR460" s="42" t="str">
        <f aca="false">IF(OR(AQ460="",$E460=""),"",AQ460-$E460)</f>
        <v/>
      </c>
      <c r="AS460" s="39"/>
      <c r="AT460" s="40" t="str">
        <f aca="false">IF(OR(AS460="",CB460=""),"",AS460/CB460*100)</f>
        <v/>
      </c>
      <c r="AU460" s="41" t="str">
        <f aca="false">IF(AT460="","",IFERROR(MATCH(AT460,INDEX(Boundaries!$B$2:$I$30,MATCH(CP460,Boundaries!$A$2:$A$30,0),0),1)-1,""))</f>
        <v/>
      </c>
      <c r="AV460" s="42" t="str">
        <f aca="false">IF(OR(AU460="",$E460=""),"",AU460-$E460)</f>
        <v/>
      </c>
      <c r="AW460" s="39"/>
      <c r="AX460" s="40" t="str">
        <f aca="false">IF(OR(AW460="",CC460=""),"",AW460/CC460*100)</f>
        <v/>
      </c>
      <c r="AY460" s="41" t="str">
        <f aca="false">IF(AX460="","",IFERROR(MATCH(AX460,INDEX(Boundaries!$B$2:$I$30,MATCH(CQ460,Boundaries!$A$2:$A$30,0),0),1)-1,""))</f>
        <v/>
      </c>
      <c r="AZ460" s="42" t="str">
        <f aca="false">IF(OR(AY460="",$E460=""),"",AY460-$E460)</f>
        <v/>
      </c>
      <c r="BA460" s="39"/>
      <c r="BB460" s="40" t="str">
        <f aca="false">IF(OR(BA460="",CD460=""),"",BA460/CD460*100)</f>
        <v/>
      </c>
      <c r="BC460" s="41" t="str">
        <f aca="false">IF(BB460="","",IFERROR(MATCH(BB460,INDEX(Boundaries!$B$2:$I$30,MATCH(CR460,Boundaries!$A$2:$A$30,0),0),1)-1,""))</f>
        <v/>
      </c>
      <c r="BD460" s="42" t="str">
        <f aca="false">IF(OR(BC460="",$E460=""),"",BC460-$E460)</f>
        <v/>
      </c>
      <c r="BE460" s="39"/>
      <c r="BF460" s="40" t="str">
        <f aca="false">IF(OR(BE460="",CE460=""),"",BE460/CE460*100)</f>
        <v/>
      </c>
      <c r="BG460" s="41" t="str">
        <f aca="false">IF(BF460="","",IFERROR(MATCH(BF460,INDEX(Boundaries!$B$2:$I$30,MATCH(CS460,Boundaries!$A$2:$A$30,0),0),1)-1,""))</f>
        <v/>
      </c>
      <c r="BH460" s="42" t="str">
        <f aca="false">IF(OR(BG460="",$E460=""),"",BG460-$E460)</f>
        <v/>
      </c>
      <c r="BI460" s="39"/>
      <c r="BJ460" s="40" t="str">
        <f aca="false">IF(OR(BI460="",CF460=""),"",BI460/CF460*100)</f>
        <v/>
      </c>
      <c r="BK460" s="41" t="str">
        <f aca="false">IF(BJ460="","",IFERROR(MATCH(BJ460,INDEX(Boundaries!$B$2:$I$30,MATCH(CT460,Boundaries!$A$2:$A$30,0),0),1)-1,""))</f>
        <v/>
      </c>
      <c r="BL460" s="42" t="str">
        <f aca="false">IF(OR(BK460="",$E460=""),"",BK460-$E460)</f>
        <v/>
      </c>
      <c r="BM460" s="39"/>
      <c r="BN460" s="40" t="str">
        <f aca="false">IF(OR(BM460="",CG460=""),"",BM460/CG460*100)</f>
        <v/>
      </c>
      <c r="BO460" s="41" t="str">
        <f aca="false">IF(BN460="","",IFERROR(MATCH(BN460,INDEX(Boundaries!$B$2:$I$30,MATCH(CU460,Boundaries!$A$2:$A$30,0),0),1)-1,""))</f>
        <v/>
      </c>
      <c r="BP460" s="42" t="str">
        <f aca="false">IF(OR(BO460="",$E460=""),"",BO460-$E460)</f>
        <v/>
      </c>
      <c r="BQ460" s="39"/>
      <c r="BR460" s="40" t="str">
        <f aca="false">IF(OR(BQ460="",CH460=""),"",BQ460/CH460*100)</f>
        <v/>
      </c>
      <c r="BS460" s="41" t="str">
        <f aca="false">IF(BR460="","",IFERROR(MATCH(BR460,INDEX(Boundaries!$B$2:$I$30,MATCH(CV460,Boundaries!$A$2:$A$30,0),0),1)-1,""))</f>
        <v/>
      </c>
      <c r="BT460" s="42" t="str">
        <f aca="false">IF(OR(BS460="",$E460=""),"",BS460-$E460)</f>
        <v/>
      </c>
      <c r="BU460" s="28" t="str">
        <f aca="false">IFERROR(INDEX(Assessments!$H$2:$H$600,MATCH($H460&amp;"|"&amp;$I460&amp;"|"&amp;$J460&amp;"|"&amp;1,Assessments!$A$2:$A$600,0)),"")</f>
        <v/>
      </c>
      <c r="BV460" s="28" t="str">
        <f aca="false">IFERROR(INDEX(Assessments!$H$2:$H$600,MATCH($H460&amp;"|"&amp;$I460&amp;"|"&amp;$J460&amp;"|"&amp;2,Assessments!$A$2:$A$600,0)),"")</f>
        <v/>
      </c>
      <c r="BW460" s="28" t="str">
        <f aca="false">IFERROR(INDEX(Assessments!$H$2:$H$600,MATCH($H460&amp;"|"&amp;$I460&amp;"|"&amp;$J460&amp;"|"&amp;3,Assessments!$A$2:$A$600,0)),"")</f>
        <v/>
      </c>
      <c r="BX460" s="28" t="str">
        <f aca="false">IFERROR(INDEX(Assessments!$H$2:$H$600,MATCH($H460&amp;"|"&amp;$I460&amp;"|"&amp;$J460&amp;"|"&amp;4,Assessments!$A$2:$A$600,0)),"")</f>
        <v/>
      </c>
      <c r="BY460" s="28" t="str">
        <f aca="false">IFERROR(INDEX(Assessments!$H$2:$H$600,MATCH($H460&amp;"|"&amp;$I460&amp;"|"&amp;$J460&amp;"|"&amp;5,Assessments!$A$2:$A$600,0)),"")</f>
        <v/>
      </c>
      <c r="BZ460" s="28" t="str">
        <f aca="false">IFERROR(INDEX(Assessments!$H$2:$H$600,MATCH($H460&amp;"|"&amp;$I460&amp;"|"&amp;$J460&amp;"|"&amp;6,Assessments!$A$2:$A$600,0)),"")</f>
        <v/>
      </c>
      <c r="CA460" s="28" t="str">
        <f aca="false">IFERROR(INDEX(Assessments!$H$2:$H$600,MATCH($H460&amp;"|"&amp;$I460&amp;"|"&amp;$J460&amp;"|"&amp;7,Assessments!$A$2:$A$600,0)),"")</f>
        <v/>
      </c>
      <c r="CB460" s="28" t="str">
        <f aca="false">IFERROR(INDEX(Assessments!$H$2:$H$600,MATCH($H460&amp;"|"&amp;$I460&amp;"|"&amp;$J460&amp;"|"&amp;8,Assessments!$A$2:$A$600,0)),"")</f>
        <v/>
      </c>
      <c r="CC460" s="28" t="str">
        <f aca="false">IFERROR(INDEX(Assessments!$H$2:$H$600,MATCH($H460&amp;"|"&amp;$I460&amp;"|"&amp;$J460&amp;"|"&amp;9,Assessments!$A$2:$A$600,0)),"")</f>
        <v/>
      </c>
      <c r="CD460" s="28" t="str">
        <f aca="false">IFERROR(INDEX(Assessments!$H$2:$H$600,MATCH($H460&amp;"|"&amp;$I460&amp;"|"&amp;$J460&amp;"|"&amp;10,Assessments!$A$2:$A$600,0)),"")</f>
        <v/>
      </c>
      <c r="CE460" s="28" t="str">
        <f aca="false">IFERROR(INDEX(Assessments!$H$2:$H$600,MATCH($H460&amp;"|"&amp;$I460&amp;"|"&amp;$J460&amp;"|"&amp;11,Assessments!$A$2:$A$600,0)),"")</f>
        <v/>
      </c>
      <c r="CF460" s="28" t="str">
        <f aca="false">IFERROR(INDEX(Assessments!$H$2:$H$600,MATCH($H460&amp;"|"&amp;$I460&amp;"|"&amp;$J460&amp;"|"&amp;12,Assessments!$A$2:$A$600,0)),"")</f>
        <v/>
      </c>
      <c r="CG460" s="28" t="str">
        <f aca="false">IFERROR(INDEX(Assessments!$H$2:$H$600,MATCH($H460&amp;"|"&amp;$I460&amp;"|"&amp;$J460&amp;"|"&amp;13,Assessments!$A$2:$A$600,0)),"")</f>
        <v/>
      </c>
      <c r="CH460" s="28" t="str">
        <f aca="false">IFERROR(INDEX(Assessments!$H$2:$H$600,MATCH($H460&amp;"|"&amp;$I460&amp;"|"&amp;$J460&amp;"|"&amp;14,Assessments!$A$2:$A$600,0)),"")</f>
        <v/>
      </c>
      <c r="CI460" s="28" t="str">
        <f aca="false">IFERROR(INDEX(Assessments!$I$2:$I$600,MATCH($H460&amp;"|"&amp;$I460&amp;"|"&amp;$J460&amp;"|"&amp;1,Assessments!$A$2:$A$600,0)),"")</f>
        <v/>
      </c>
      <c r="CJ460" s="28" t="str">
        <f aca="false">IFERROR(INDEX(Assessments!$I$2:$I$600,MATCH($H460&amp;"|"&amp;$I460&amp;"|"&amp;$J460&amp;"|"&amp;2,Assessments!$A$2:$A$600,0)),"")</f>
        <v/>
      </c>
      <c r="CK460" s="28" t="str">
        <f aca="false">IFERROR(INDEX(Assessments!$I$2:$I$600,MATCH($H460&amp;"|"&amp;$I460&amp;"|"&amp;$J460&amp;"|"&amp;3,Assessments!$A$2:$A$600,0)),"")</f>
        <v/>
      </c>
      <c r="CL460" s="28" t="str">
        <f aca="false">IFERROR(INDEX(Assessments!$I$2:$I$600,MATCH($H460&amp;"|"&amp;$I460&amp;"|"&amp;$J460&amp;"|"&amp;4,Assessments!$A$2:$A$600,0)),"")</f>
        <v/>
      </c>
      <c r="CM460" s="28" t="str">
        <f aca="false">IFERROR(INDEX(Assessments!$I$2:$I$600,MATCH($H460&amp;"|"&amp;$I460&amp;"|"&amp;$J460&amp;"|"&amp;5,Assessments!$A$2:$A$600,0)),"")</f>
        <v/>
      </c>
      <c r="CN460" s="28" t="str">
        <f aca="false">IFERROR(INDEX(Assessments!$I$2:$I$600,MATCH($H460&amp;"|"&amp;$I460&amp;"|"&amp;$J460&amp;"|"&amp;6,Assessments!$A$2:$A$600,0)),"")</f>
        <v/>
      </c>
      <c r="CO460" s="28" t="str">
        <f aca="false">IFERROR(INDEX(Assessments!$I$2:$I$600,MATCH($H460&amp;"|"&amp;$I460&amp;"|"&amp;$J460&amp;"|"&amp;7,Assessments!$A$2:$A$600,0)),"")</f>
        <v/>
      </c>
      <c r="CP460" s="28" t="str">
        <f aca="false">IFERROR(INDEX(Assessments!$I$2:$I$600,MATCH($H460&amp;"|"&amp;$I460&amp;"|"&amp;$J460&amp;"|"&amp;8,Assessments!$A$2:$A$600,0)),"")</f>
        <v/>
      </c>
      <c r="CQ460" s="28" t="str">
        <f aca="false">IFERROR(INDEX(Assessments!$I$2:$I$600,MATCH($H460&amp;"|"&amp;$I460&amp;"|"&amp;$J460&amp;"|"&amp;9,Assessments!$A$2:$A$600,0)),"")</f>
        <v/>
      </c>
      <c r="CR460" s="28" t="str">
        <f aca="false">IFERROR(INDEX(Assessments!$I$2:$I$600,MATCH($H460&amp;"|"&amp;$I460&amp;"|"&amp;$J460&amp;"|"&amp;10,Assessments!$A$2:$A$600,0)),"")</f>
        <v/>
      </c>
      <c r="CS460" s="28" t="str">
        <f aca="false">IFERROR(INDEX(Assessments!$I$2:$I$600,MATCH($H460&amp;"|"&amp;$I460&amp;"|"&amp;$J460&amp;"|"&amp;11,Assessments!$A$2:$A$600,0)),"")</f>
        <v/>
      </c>
      <c r="CT460" s="28" t="str">
        <f aca="false">IFERROR(INDEX(Assessments!$I$2:$I$600,MATCH($H460&amp;"|"&amp;$I460&amp;"|"&amp;$J460&amp;"|"&amp;12,Assessments!$A$2:$A$600,0)),"")</f>
        <v/>
      </c>
      <c r="CU460" s="28" t="str">
        <f aca="false">IFERROR(INDEX(Assessments!$I$2:$I$600,MATCH($H460&amp;"|"&amp;$I460&amp;"|"&amp;$J460&amp;"|"&amp;13,Assessments!$A$2:$A$600,0)),"")</f>
        <v/>
      </c>
      <c r="CV460" s="28" t="str">
        <f aca="false">IFERROR(INDEX(Assessments!$I$2:$I$600,MATCH($H460&amp;"|"&amp;$I460&amp;"|"&amp;$J460&amp;"|"&amp;14,Assessments!$A$2:$A$600,0)),"")</f>
        <v/>
      </c>
      <c r="CW460" s="28" t="n">
        <f aca="false">IFERROR(INDEX(Assessments!$J$2:$J$600,MATCH($H460&amp;"|"&amp;$I460&amp;"|"&amp;$J460&amp;"|"&amp;1,Assessments!$A$2:$A$600,0)),0)</f>
        <v>0</v>
      </c>
      <c r="CX460" s="28" t="n">
        <f aca="false">IFERROR(INDEX(Assessments!$J$2:$J$600,MATCH($H460&amp;"|"&amp;$I460&amp;"|"&amp;$J460&amp;"|"&amp;2,Assessments!$A$2:$A$600,0)),0)</f>
        <v>0</v>
      </c>
      <c r="CY460" s="28" t="n">
        <f aca="false">IFERROR(INDEX(Assessments!$J$2:$J$600,MATCH($H460&amp;"|"&amp;$I460&amp;"|"&amp;$J460&amp;"|"&amp;3,Assessments!$A$2:$A$600,0)),0)</f>
        <v>0</v>
      </c>
      <c r="CZ460" s="28" t="n">
        <f aca="false">IFERROR(INDEX(Assessments!$J$2:$J$600,MATCH($H460&amp;"|"&amp;$I460&amp;"|"&amp;$J460&amp;"|"&amp;4,Assessments!$A$2:$A$600,0)),0)</f>
        <v>0</v>
      </c>
      <c r="DA460" s="28" t="n">
        <f aca="false">IFERROR(INDEX(Assessments!$J$2:$J$600,MATCH($H460&amp;"|"&amp;$I460&amp;"|"&amp;$J460&amp;"|"&amp;5,Assessments!$A$2:$A$600,0)),0)</f>
        <v>0</v>
      </c>
      <c r="DB460" s="28" t="n">
        <f aca="false">IFERROR(INDEX(Assessments!$J$2:$J$600,MATCH($H460&amp;"|"&amp;$I460&amp;"|"&amp;$J460&amp;"|"&amp;6,Assessments!$A$2:$A$600,0)),0)</f>
        <v>0</v>
      </c>
      <c r="DC460" s="28" t="n">
        <f aca="false">IFERROR(INDEX(Assessments!$J$2:$J$600,MATCH($H460&amp;"|"&amp;$I460&amp;"|"&amp;$J460&amp;"|"&amp;7,Assessments!$A$2:$A$600,0)),0)</f>
        <v>0</v>
      </c>
      <c r="DD460" s="28" t="n">
        <f aca="false">IFERROR(INDEX(Assessments!$J$2:$J$600,MATCH($H460&amp;"|"&amp;$I460&amp;"|"&amp;$J460&amp;"|"&amp;8,Assessments!$A$2:$A$600,0)),0)</f>
        <v>0</v>
      </c>
      <c r="DE460" s="28" t="n">
        <f aca="false">IFERROR(INDEX(Assessments!$J$2:$J$600,MATCH($H460&amp;"|"&amp;$I460&amp;"|"&amp;$J460&amp;"|"&amp;9,Assessments!$A$2:$A$600,0)),0)</f>
        <v>0</v>
      </c>
      <c r="DF460" s="28" t="n">
        <f aca="false">IFERROR(INDEX(Assessments!$J$2:$J$600,MATCH($H460&amp;"|"&amp;$I460&amp;"|"&amp;$J460&amp;"|"&amp;10,Assessments!$A$2:$A$600,0)),0)</f>
        <v>0</v>
      </c>
      <c r="DG460" s="28" t="n">
        <f aca="false">IFERROR(INDEX(Assessments!$J$2:$J$600,MATCH($H460&amp;"|"&amp;$I460&amp;"|"&amp;$J460&amp;"|"&amp;11,Assessments!$A$2:$A$600,0)),0)</f>
        <v>0</v>
      </c>
      <c r="DH460" s="28" t="n">
        <f aca="false">IFERROR(INDEX(Assessments!$J$2:$J$600,MATCH($H460&amp;"|"&amp;$I460&amp;"|"&amp;$J460&amp;"|"&amp;12,Assessments!$A$2:$A$600,0)),0)</f>
        <v>0</v>
      </c>
      <c r="DI460" s="28" t="n">
        <f aca="false">IFERROR(INDEX(Assessments!$J$2:$J$600,MATCH($H460&amp;"|"&amp;$I460&amp;"|"&amp;$J460&amp;"|"&amp;13,Assessments!$A$2:$A$600,0)),0)</f>
        <v>0</v>
      </c>
      <c r="DJ460" s="28" t="n">
        <f aca="false">IFERROR(INDEX(Assessments!$J$2:$J$600,MATCH($H460&amp;"|"&amp;$I460&amp;"|"&amp;$J460&amp;"|"&amp;14,Assessments!$A$2:$A$600,0)),0)</f>
        <v>0</v>
      </c>
      <c r="DK460" s="28" t="str">
        <f aca="false">S460</f>
        <v/>
      </c>
      <c r="DL460" s="28" t="str">
        <f aca="false">W460</f>
        <v/>
      </c>
      <c r="DM460" s="28" t="str">
        <f aca="false">AA460</f>
        <v/>
      </c>
      <c r="DN460" s="28" t="str">
        <f aca="false">AE460</f>
        <v/>
      </c>
      <c r="DO460" s="28" t="str">
        <f aca="false">AI460</f>
        <v/>
      </c>
      <c r="DP460" s="28" t="str">
        <f aca="false">AM460</f>
        <v/>
      </c>
      <c r="DQ460" s="28" t="str">
        <f aca="false">AQ460</f>
        <v/>
      </c>
      <c r="DR460" s="28" t="str">
        <f aca="false">AU460</f>
        <v/>
      </c>
      <c r="DS460" s="28" t="str">
        <f aca="false">AY460</f>
        <v/>
      </c>
      <c r="DT460" s="28" t="str">
        <f aca="false">BC460</f>
        <v/>
      </c>
      <c r="DU460" s="28" t="str">
        <f aca="false">BG460</f>
        <v/>
      </c>
      <c r="DV460" s="28" t="str">
        <f aca="false">BK460</f>
        <v/>
      </c>
      <c r="DW460" s="28" t="str">
        <f aca="false">BO460</f>
        <v/>
      </c>
      <c r="DX460" s="28" t="str">
        <f aca="false">BS460</f>
        <v/>
      </c>
      <c r="DY460" s="28" t="str">
        <f aca="false">IF(ISNUMBER(S460),1,"")</f>
        <v/>
      </c>
      <c r="DZ460" s="28" t="str">
        <f aca="false">IF(ISNUMBER(W460),2,"")</f>
        <v/>
      </c>
      <c r="EA460" s="28" t="str">
        <f aca="false">IF(ISNUMBER(AA460),3,"")</f>
        <v/>
      </c>
      <c r="EB460" s="28" t="str">
        <f aca="false">IF(ISNUMBER(AE460),4,"")</f>
        <v/>
      </c>
      <c r="EC460" s="28" t="str">
        <f aca="false">IF(ISNUMBER(AI460),5,"")</f>
        <v/>
      </c>
      <c r="ED460" s="28" t="str">
        <f aca="false">IF(ISNUMBER(AM460),6,"")</f>
        <v/>
      </c>
      <c r="EE460" s="28" t="str">
        <f aca="false">IF(ISNUMBER(AQ460),7,"")</f>
        <v/>
      </c>
      <c r="EF460" s="28" t="str">
        <f aca="false">IF(ISNUMBER(AU460),8,"")</f>
        <v/>
      </c>
      <c r="EG460" s="28" t="str">
        <f aca="false">IF(ISNUMBER(AY460),9,"")</f>
        <v/>
      </c>
      <c r="EH460" s="28" t="str">
        <f aca="false">IF(ISNUMBER(BC460),10,"")</f>
        <v/>
      </c>
      <c r="EI460" s="28" t="str">
        <f aca="false">IF(ISNUMBER(BG460),11,"")</f>
        <v/>
      </c>
      <c r="EJ460" s="28" t="str">
        <f aca="false">IF(ISNUMBER(BK460),12,"")</f>
        <v/>
      </c>
      <c r="EK460" s="28" t="str">
        <f aca="false">IF(ISNUMBER(BO460),13,"")</f>
        <v/>
      </c>
      <c r="EL460" s="28" t="str">
        <f aca="false">IF(ISNUMBER(BS460),14,"")</f>
        <v/>
      </c>
      <c r="EM460" s="28" t="n">
        <f aca="false">IF(ISNUMBER(R460),R460*CW460,0)</f>
        <v>0</v>
      </c>
      <c r="EN460" s="28" t="n">
        <f aca="false">IF(ISNUMBER(V460),V460*CX460,0)</f>
        <v>0</v>
      </c>
      <c r="EO460" s="28" t="n">
        <f aca="false">IF(ISNUMBER(Z460),Z460*CY460,0)</f>
        <v>0</v>
      </c>
      <c r="EP460" s="28" t="n">
        <f aca="false">IF(ISNUMBER(AD460),AD460*CZ460,0)</f>
        <v>0</v>
      </c>
      <c r="EQ460" s="28" t="n">
        <f aca="false">IF(ISNUMBER(AH460),AH460*DA460,0)</f>
        <v>0</v>
      </c>
      <c r="ER460" s="28" t="n">
        <f aca="false">IF(ISNUMBER(AL460),AL460*DB460,0)</f>
        <v>0</v>
      </c>
      <c r="ES460" s="28" t="n">
        <f aca="false">IF(ISNUMBER(AP460),AP460*DC460,0)</f>
        <v>0</v>
      </c>
      <c r="ET460" s="28" t="n">
        <f aca="false">IF(ISNUMBER(AT460),AT460*DD460,0)</f>
        <v>0</v>
      </c>
      <c r="EU460" s="28" t="n">
        <f aca="false">IF(ISNUMBER(AX460),AX460*DE460,0)</f>
        <v>0</v>
      </c>
      <c r="EV460" s="28" t="n">
        <f aca="false">IF(ISNUMBER(BB460),BB460*DF460,0)</f>
        <v>0</v>
      </c>
      <c r="EW460" s="28" t="n">
        <f aca="false">IF(ISNUMBER(BF460),BF460*DG460,0)</f>
        <v>0</v>
      </c>
      <c r="EX460" s="28" t="n">
        <f aca="false">IF(ISNUMBER(BJ460),BJ460*DH460,0)</f>
        <v>0</v>
      </c>
      <c r="EY460" s="28" t="n">
        <f aca="false">IF(ISNUMBER(BN460),BN460*DI460,0)</f>
        <v>0</v>
      </c>
      <c r="EZ460" s="28" t="n">
        <f aca="false">IF(ISNUMBER(BR460),BR460*DJ460,0)</f>
        <v>0</v>
      </c>
      <c r="FA460" s="28" t="n">
        <f aca="false">IF(ISNUMBER(R460),CW460,0)</f>
        <v>0</v>
      </c>
      <c r="FB460" s="28" t="n">
        <f aca="false">IF(ISNUMBER(V460),CX460,0)</f>
        <v>0</v>
      </c>
      <c r="FC460" s="28" t="n">
        <f aca="false">IF(ISNUMBER(Z460),CY460,0)</f>
        <v>0</v>
      </c>
      <c r="FD460" s="28" t="n">
        <f aca="false">IF(ISNUMBER(AD460),CZ460,0)</f>
        <v>0</v>
      </c>
      <c r="FE460" s="28" t="n">
        <f aca="false">IF(ISNUMBER(AH460),DA460,0)</f>
        <v>0</v>
      </c>
      <c r="FF460" s="28" t="n">
        <f aca="false">IF(ISNUMBER(AL460),DB460,0)</f>
        <v>0</v>
      </c>
      <c r="FG460" s="28" t="n">
        <f aca="false">IF(ISNUMBER(AP460),DC460,0)</f>
        <v>0</v>
      </c>
      <c r="FH460" s="28" t="n">
        <f aca="false">IF(ISNUMBER(AT460),DD460,0)</f>
        <v>0</v>
      </c>
      <c r="FI460" s="28" t="n">
        <f aca="false">IF(ISNUMBER(AX460),DE460,0)</f>
        <v>0</v>
      </c>
      <c r="FJ460" s="28" t="n">
        <f aca="false">IF(ISNUMBER(BB460),DF460,0)</f>
        <v>0</v>
      </c>
      <c r="FK460" s="28" t="n">
        <f aca="false">IF(ISNUMBER(BF460),DG460,0)</f>
        <v>0</v>
      </c>
      <c r="FL460" s="28" t="n">
        <f aca="false">IF(ISNUMBER(BJ460),DH460,0)</f>
        <v>0</v>
      </c>
      <c r="FM460" s="28" t="n">
        <f aca="false">IF(ISNUMBER(BN460),DI460,0)</f>
        <v>0</v>
      </c>
      <c r="FN460" s="28" t="n">
        <f aca="false">IF(ISNUMBER(BR460),DJ460,0)</f>
        <v>0</v>
      </c>
      <c r="FO460" s="28" t="str">
        <f aca="false">IFERROR(INDEX(Lists!$G$2:$G$20,MATCH($I460&amp;"|"&amp;$J460,Lists!$F$2:$F$20,0)),"")</f>
        <v/>
      </c>
    </row>
    <row r="461" customFormat="false" ht="19.5" hidden="false" customHeight="true" outlineLevel="0" collapsed="false">
      <c r="A461" s="29"/>
      <c r="B461" s="29"/>
      <c r="C461" s="30"/>
      <c r="D461" s="30"/>
      <c r="E461" s="31"/>
      <c r="F461" s="30"/>
      <c r="G461" s="30"/>
      <c r="H461" s="32"/>
      <c r="I461" s="33"/>
      <c r="J461" s="32"/>
      <c r="K461" s="34" t="str">
        <f aca="false">IF(OR(M461="",$E461=""),"",M461-$E461)</f>
        <v/>
      </c>
      <c r="L461" s="35" t="str">
        <f aca="false">IF(SUM(FA461:FN461)=0,"",SUM(EM461:EZ461)/SUM(FA461:FN461))</f>
        <v/>
      </c>
      <c r="M461" s="36" t="str">
        <f aca="false">IF(OR(L461="",FO461=""),"",IFERROR(MATCH(L461,INDEX(Boundaries!$B$2:$I$30,MATCH(FO461,Boundaries!$A$2:$A$30,0),0),1)-1,""))</f>
        <v/>
      </c>
      <c r="N461" s="37" t="str">
        <f aca="false">IF(COUNT($DY461:$EL461)&lt;2,"",INDEX($DK461:$DX461,MAX($DY461:$EL461))-INDEX($DK461:$DX461,MIN($DY461:$EL461)))</f>
        <v/>
      </c>
      <c r="O461" s="37" t="str">
        <f aca="false">IF(COUNT($DY461:$EL461)&lt;2,"",INDEX($DK461:$DX461,MAX($DY461:$EL461))-INDEX($DK461:$DX461,LARGE($DY461:$EL461,2)))</f>
        <v/>
      </c>
      <c r="P461" s="38" t="str">
        <f aca="false">IF(K461="","",IF(K461&gt;=0,"On/above target",IF(AND(N461&lt;&gt;"",N461&gt;=0.5),"Improving towards target",IF(AND(O461&lt;&gt;"",O461&lt;=-0.5),"Declining","Stable below target"))))</f>
        <v/>
      </c>
      <c r="Q461" s="39"/>
      <c r="R461" s="40" t="str">
        <f aca="false">IF(OR(Q461="",BU461=""),"",Q461/BU461*100)</f>
        <v/>
      </c>
      <c r="S461" s="41" t="str">
        <f aca="false">IF(R461="","",IFERROR(MATCH(R461,INDEX(Boundaries!$B$2:$I$30,MATCH(CI461,Boundaries!$A$2:$A$30,0),0),1)-1,""))</f>
        <v/>
      </c>
      <c r="T461" s="42" t="str">
        <f aca="false">IF(OR(S461="",$E461=""),"",S461-$E461)</f>
        <v/>
      </c>
      <c r="U461" s="39"/>
      <c r="V461" s="40" t="str">
        <f aca="false">IF(OR(U461="",BV461=""),"",U461/BV461*100)</f>
        <v/>
      </c>
      <c r="W461" s="41" t="str">
        <f aca="false">IF(V461="","",IFERROR(MATCH(V461,INDEX(Boundaries!$B$2:$I$30,MATCH(CJ461,Boundaries!$A$2:$A$30,0),0),1)-1,""))</f>
        <v/>
      </c>
      <c r="X461" s="42" t="str">
        <f aca="false">IF(OR(W461="",$E461=""),"",W461-$E461)</f>
        <v/>
      </c>
      <c r="Y461" s="39"/>
      <c r="Z461" s="40" t="str">
        <f aca="false">IF(OR(Y461="",BW461=""),"",Y461/BW461*100)</f>
        <v/>
      </c>
      <c r="AA461" s="41" t="str">
        <f aca="false">IF(Z461="","",IFERROR(MATCH(Z461,INDEX(Boundaries!$B$2:$I$30,MATCH(CK461,Boundaries!$A$2:$A$30,0),0),1)-1,""))</f>
        <v/>
      </c>
      <c r="AB461" s="42" t="str">
        <f aca="false">IF(OR(AA461="",$E461=""),"",AA461-$E461)</f>
        <v/>
      </c>
      <c r="AC461" s="39"/>
      <c r="AD461" s="40" t="str">
        <f aca="false">IF(OR(AC461="",BX461=""),"",AC461/BX461*100)</f>
        <v/>
      </c>
      <c r="AE461" s="41" t="str">
        <f aca="false">IF(AD461="","",IFERROR(MATCH(AD461,INDEX(Boundaries!$B$2:$I$30,MATCH(CL461,Boundaries!$A$2:$A$30,0),0),1)-1,""))</f>
        <v/>
      </c>
      <c r="AF461" s="42" t="str">
        <f aca="false">IF(OR(AE461="",$E461=""),"",AE461-$E461)</f>
        <v/>
      </c>
      <c r="AG461" s="39"/>
      <c r="AH461" s="40" t="str">
        <f aca="false">IF(OR(AG461="",BY461=""),"",AG461/BY461*100)</f>
        <v/>
      </c>
      <c r="AI461" s="41" t="str">
        <f aca="false">IF(AH461="","",IFERROR(MATCH(AH461,INDEX(Boundaries!$B$2:$I$30,MATCH(CM461,Boundaries!$A$2:$A$30,0),0),1)-1,""))</f>
        <v/>
      </c>
      <c r="AJ461" s="42" t="str">
        <f aca="false">IF(OR(AI461="",$E461=""),"",AI461-$E461)</f>
        <v/>
      </c>
      <c r="AK461" s="39"/>
      <c r="AL461" s="40" t="str">
        <f aca="false">IF(OR(AK461="",BZ461=""),"",AK461/BZ461*100)</f>
        <v/>
      </c>
      <c r="AM461" s="41" t="str">
        <f aca="false">IF(AL461="","",IFERROR(MATCH(AL461,INDEX(Boundaries!$B$2:$I$30,MATCH(CN461,Boundaries!$A$2:$A$30,0),0),1)-1,""))</f>
        <v/>
      </c>
      <c r="AN461" s="42" t="str">
        <f aca="false">IF(OR(AM461="",$E461=""),"",AM461-$E461)</f>
        <v/>
      </c>
      <c r="AO461" s="39"/>
      <c r="AP461" s="40" t="str">
        <f aca="false">IF(OR(AO461="",CA461=""),"",AO461/CA461*100)</f>
        <v/>
      </c>
      <c r="AQ461" s="41" t="str">
        <f aca="false">IF(AP461="","",IFERROR(MATCH(AP461,INDEX(Boundaries!$B$2:$I$30,MATCH(CO461,Boundaries!$A$2:$A$30,0),0),1)-1,""))</f>
        <v/>
      </c>
      <c r="AR461" s="42" t="str">
        <f aca="false">IF(OR(AQ461="",$E461=""),"",AQ461-$E461)</f>
        <v/>
      </c>
      <c r="AS461" s="39"/>
      <c r="AT461" s="40" t="str">
        <f aca="false">IF(OR(AS461="",CB461=""),"",AS461/CB461*100)</f>
        <v/>
      </c>
      <c r="AU461" s="41" t="str">
        <f aca="false">IF(AT461="","",IFERROR(MATCH(AT461,INDEX(Boundaries!$B$2:$I$30,MATCH(CP461,Boundaries!$A$2:$A$30,0),0),1)-1,""))</f>
        <v/>
      </c>
      <c r="AV461" s="42" t="str">
        <f aca="false">IF(OR(AU461="",$E461=""),"",AU461-$E461)</f>
        <v/>
      </c>
      <c r="AW461" s="39"/>
      <c r="AX461" s="40" t="str">
        <f aca="false">IF(OR(AW461="",CC461=""),"",AW461/CC461*100)</f>
        <v/>
      </c>
      <c r="AY461" s="41" t="str">
        <f aca="false">IF(AX461="","",IFERROR(MATCH(AX461,INDEX(Boundaries!$B$2:$I$30,MATCH(CQ461,Boundaries!$A$2:$A$30,0),0),1)-1,""))</f>
        <v/>
      </c>
      <c r="AZ461" s="42" t="str">
        <f aca="false">IF(OR(AY461="",$E461=""),"",AY461-$E461)</f>
        <v/>
      </c>
      <c r="BA461" s="39"/>
      <c r="BB461" s="40" t="str">
        <f aca="false">IF(OR(BA461="",CD461=""),"",BA461/CD461*100)</f>
        <v/>
      </c>
      <c r="BC461" s="41" t="str">
        <f aca="false">IF(BB461="","",IFERROR(MATCH(BB461,INDEX(Boundaries!$B$2:$I$30,MATCH(CR461,Boundaries!$A$2:$A$30,0),0),1)-1,""))</f>
        <v/>
      </c>
      <c r="BD461" s="42" t="str">
        <f aca="false">IF(OR(BC461="",$E461=""),"",BC461-$E461)</f>
        <v/>
      </c>
      <c r="BE461" s="39"/>
      <c r="BF461" s="40" t="str">
        <f aca="false">IF(OR(BE461="",CE461=""),"",BE461/CE461*100)</f>
        <v/>
      </c>
      <c r="BG461" s="41" t="str">
        <f aca="false">IF(BF461="","",IFERROR(MATCH(BF461,INDEX(Boundaries!$B$2:$I$30,MATCH(CS461,Boundaries!$A$2:$A$30,0),0),1)-1,""))</f>
        <v/>
      </c>
      <c r="BH461" s="42" t="str">
        <f aca="false">IF(OR(BG461="",$E461=""),"",BG461-$E461)</f>
        <v/>
      </c>
      <c r="BI461" s="39"/>
      <c r="BJ461" s="40" t="str">
        <f aca="false">IF(OR(BI461="",CF461=""),"",BI461/CF461*100)</f>
        <v/>
      </c>
      <c r="BK461" s="41" t="str">
        <f aca="false">IF(BJ461="","",IFERROR(MATCH(BJ461,INDEX(Boundaries!$B$2:$I$30,MATCH(CT461,Boundaries!$A$2:$A$30,0),0),1)-1,""))</f>
        <v/>
      </c>
      <c r="BL461" s="42" t="str">
        <f aca="false">IF(OR(BK461="",$E461=""),"",BK461-$E461)</f>
        <v/>
      </c>
      <c r="BM461" s="39"/>
      <c r="BN461" s="40" t="str">
        <f aca="false">IF(OR(BM461="",CG461=""),"",BM461/CG461*100)</f>
        <v/>
      </c>
      <c r="BO461" s="41" t="str">
        <f aca="false">IF(BN461="","",IFERROR(MATCH(BN461,INDEX(Boundaries!$B$2:$I$30,MATCH(CU461,Boundaries!$A$2:$A$30,0),0),1)-1,""))</f>
        <v/>
      </c>
      <c r="BP461" s="42" t="str">
        <f aca="false">IF(OR(BO461="",$E461=""),"",BO461-$E461)</f>
        <v/>
      </c>
      <c r="BQ461" s="39"/>
      <c r="BR461" s="40" t="str">
        <f aca="false">IF(OR(BQ461="",CH461=""),"",BQ461/CH461*100)</f>
        <v/>
      </c>
      <c r="BS461" s="41" t="str">
        <f aca="false">IF(BR461="","",IFERROR(MATCH(BR461,INDEX(Boundaries!$B$2:$I$30,MATCH(CV461,Boundaries!$A$2:$A$30,0),0),1)-1,""))</f>
        <v/>
      </c>
      <c r="BT461" s="42" t="str">
        <f aca="false">IF(OR(BS461="",$E461=""),"",BS461-$E461)</f>
        <v/>
      </c>
      <c r="BU461" s="28" t="str">
        <f aca="false">IFERROR(INDEX(Assessments!$H$2:$H$600,MATCH($H461&amp;"|"&amp;$I461&amp;"|"&amp;$J461&amp;"|"&amp;1,Assessments!$A$2:$A$600,0)),"")</f>
        <v/>
      </c>
      <c r="BV461" s="28" t="str">
        <f aca="false">IFERROR(INDEX(Assessments!$H$2:$H$600,MATCH($H461&amp;"|"&amp;$I461&amp;"|"&amp;$J461&amp;"|"&amp;2,Assessments!$A$2:$A$600,0)),"")</f>
        <v/>
      </c>
      <c r="BW461" s="28" t="str">
        <f aca="false">IFERROR(INDEX(Assessments!$H$2:$H$600,MATCH($H461&amp;"|"&amp;$I461&amp;"|"&amp;$J461&amp;"|"&amp;3,Assessments!$A$2:$A$600,0)),"")</f>
        <v/>
      </c>
      <c r="BX461" s="28" t="str">
        <f aca="false">IFERROR(INDEX(Assessments!$H$2:$H$600,MATCH($H461&amp;"|"&amp;$I461&amp;"|"&amp;$J461&amp;"|"&amp;4,Assessments!$A$2:$A$600,0)),"")</f>
        <v/>
      </c>
      <c r="BY461" s="28" t="str">
        <f aca="false">IFERROR(INDEX(Assessments!$H$2:$H$600,MATCH($H461&amp;"|"&amp;$I461&amp;"|"&amp;$J461&amp;"|"&amp;5,Assessments!$A$2:$A$600,0)),"")</f>
        <v/>
      </c>
      <c r="BZ461" s="28" t="str">
        <f aca="false">IFERROR(INDEX(Assessments!$H$2:$H$600,MATCH($H461&amp;"|"&amp;$I461&amp;"|"&amp;$J461&amp;"|"&amp;6,Assessments!$A$2:$A$600,0)),"")</f>
        <v/>
      </c>
      <c r="CA461" s="28" t="str">
        <f aca="false">IFERROR(INDEX(Assessments!$H$2:$H$600,MATCH($H461&amp;"|"&amp;$I461&amp;"|"&amp;$J461&amp;"|"&amp;7,Assessments!$A$2:$A$600,0)),"")</f>
        <v/>
      </c>
      <c r="CB461" s="28" t="str">
        <f aca="false">IFERROR(INDEX(Assessments!$H$2:$H$600,MATCH($H461&amp;"|"&amp;$I461&amp;"|"&amp;$J461&amp;"|"&amp;8,Assessments!$A$2:$A$600,0)),"")</f>
        <v/>
      </c>
      <c r="CC461" s="28" t="str">
        <f aca="false">IFERROR(INDEX(Assessments!$H$2:$H$600,MATCH($H461&amp;"|"&amp;$I461&amp;"|"&amp;$J461&amp;"|"&amp;9,Assessments!$A$2:$A$600,0)),"")</f>
        <v/>
      </c>
      <c r="CD461" s="28" t="str">
        <f aca="false">IFERROR(INDEX(Assessments!$H$2:$H$600,MATCH($H461&amp;"|"&amp;$I461&amp;"|"&amp;$J461&amp;"|"&amp;10,Assessments!$A$2:$A$600,0)),"")</f>
        <v/>
      </c>
      <c r="CE461" s="28" t="str">
        <f aca="false">IFERROR(INDEX(Assessments!$H$2:$H$600,MATCH($H461&amp;"|"&amp;$I461&amp;"|"&amp;$J461&amp;"|"&amp;11,Assessments!$A$2:$A$600,0)),"")</f>
        <v/>
      </c>
      <c r="CF461" s="28" t="str">
        <f aca="false">IFERROR(INDEX(Assessments!$H$2:$H$600,MATCH($H461&amp;"|"&amp;$I461&amp;"|"&amp;$J461&amp;"|"&amp;12,Assessments!$A$2:$A$600,0)),"")</f>
        <v/>
      </c>
      <c r="CG461" s="28" t="str">
        <f aca="false">IFERROR(INDEX(Assessments!$H$2:$H$600,MATCH($H461&amp;"|"&amp;$I461&amp;"|"&amp;$J461&amp;"|"&amp;13,Assessments!$A$2:$A$600,0)),"")</f>
        <v/>
      </c>
      <c r="CH461" s="28" t="str">
        <f aca="false">IFERROR(INDEX(Assessments!$H$2:$H$600,MATCH($H461&amp;"|"&amp;$I461&amp;"|"&amp;$J461&amp;"|"&amp;14,Assessments!$A$2:$A$600,0)),"")</f>
        <v/>
      </c>
      <c r="CI461" s="28" t="str">
        <f aca="false">IFERROR(INDEX(Assessments!$I$2:$I$600,MATCH($H461&amp;"|"&amp;$I461&amp;"|"&amp;$J461&amp;"|"&amp;1,Assessments!$A$2:$A$600,0)),"")</f>
        <v/>
      </c>
      <c r="CJ461" s="28" t="str">
        <f aca="false">IFERROR(INDEX(Assessments!$I$2:$I$600,MATCH($H461&amp;"|"&amp;$I461&amp;"|"&amp;$J461&amp;"|"&amp;2,Assessments!$A$2:$A$600,0)),"")</f>
        <v/>
      </c>
      <c r="CK461" s="28" t="str">
        <f aca="false">IFERROR(INDEX(Assessments!$I$2:$I$600,MATCH($H461&amp;"|"&amp;$I461&amp;"|"&amp;$J461&amp;"|"&amp;3,Assessments!$A$2:$A$600,0)),"")</f>
        <v/>
      </c>
      <c r="CL461" s="28" t="str">
        <f aca="false">IFERROR(INDEX(Assessments!$I$2:$I$600,MATCH($H461&amp;"|"&amp;$I461&amp;"|"&amp;$J461&amp;"|"&amp;4,Assessments!$A$2:$A$600,0)),"")</f>
        <v/>
      </c>
      <c r="CM461" s="28" t="str">
        <f aca="false">IFERROR(INDEX(Assessments!$I$2:$I$600,MATCH($H461&amp;"|"&amp;$I461&amp;"|"&amp;$J461&amp;"|"&amp;5,Assessments!$A$2:$A$600,0)),"")</f>
        <v/>
      </c>
      <c r="CN461" s="28" t="str">
        <f aca="false">IFERROR(INDEX(Assessments!$I$2:$I$600,MATCH($H461&amp;"|"&amp;$I461&amp;"|"&amp;$J461&amp;"|"&amp;6,Assessments!$A$2:$A$600,0)),"")</f>
        <v/>
      </c>
      <c r="CO461" s="28" t="str">
        <f aca="false">IFERROR(INDEX(Assessments!$I$2:$I$600,MATCH($H461&amp;"|"&amp;$I461&amp;"|"&amp;$J461&amp;"|"&amp;7,Assessments!$A$2:$A$600,0)),"")</f>
        <v/>
      </c>
      <c r="CP461" s="28" t="str">
        <f aca="false">IFERROR(INDEX(Assessments!$I$2:$I$600,MATCH($H461&amp;"|"&amp;$I461&amp;"|"&amp;$J461&amp;"|"&amp;8,Assessments!$A$2:$A$600,0)),"")</f>
        <v/>
      </c>
      <c r="CQ461" s="28" t="str">
        <f aca="false">IFERROR(INDEX(Assessments!$I$2:$I$600,MATCH($H461&amp;"|"&amp;$I461&amp;"|"&amp;$J461&amp;"|"&amp;9,Assessments!$A$2:$A$600,0)),"")</f>
        <v/>
      </c>
      <c r="CR461" s="28" t="str">
        <f aca="false">IFERROR(INDEX(Assessments!$I$2:$I$600,MATCH($H461&amp;"|"&amp;$I461&amp;"|"&amp;$J461&amp;"|"&amp;10,Assessments!$A$2:$A$600,0)),"")</f>
        <v/>
      </c>
      <c r="CS461" s="28" t="str">
        <f aca="false">IFERROR(INDEX(Assessments!$I$2:$I$600,MATCH($H461&amp;"|"&amp;$I461&amp;"|"&amp;$J461&amp;"|"&amp;11,Assessments!$A$2:$A$600,0)),"")</f>
        <v/>
      </c>
      <c r="CT461" s="28" t="str">
        <f aca="false">IFERROR(INDEX(Assessments!$I$2:$I$600,MATCH($H461&amp;"|"&amp;$I461&amp;"|"&amp;$J461&amp;"|"&amp;12,Assessments!$A$2:$A$600,0)),"")</f>
        <v/>
      </c>
      <c r="CU461" s="28" t="str">
        <f aca="false">IFERROR(INDEX(Assessments!$I$2:$I$600,MATCH($H461&amp;"|"&amp;$I461&amp;"|"&amp;$J461&amp;"|"&amp;13,Assessments!$A$2:$A$600,0)),"")</f>
        <v/>
      </c>
      <c r="CV461" s="28" t="str">
        <f aca="false">IFERROR(INDEX(Assessments!$I$2:$I$600,MATCH($H461&amp;"|"&amp;$I461&amp;"|"&amp;$J461&amp;"|"&amp;14,Assessments!$A$2:$A$600,0)),"")</f>
        <v/>
      </c>
      <c r="CW461" s="28" t="n">
        <f aca="false">IFERROR(INDEX(Assessments!$J$2:$J$600,MATCH($H461&amp;"|"&amp;$I461&amp;"|"&amp;$J461&amp;"|"&amp;1,Assessments!$A$2:$A$600,0)),0)</f>
        <v>0</v>
      </c>
      <c r="CX461" s="28" t="n">
        <f aca="false">IFERROR(INDEX(Assessments!$J$2:$J$600,MATCH($H461&amp;"|"&amp;$I461&amp;"|"&amp;$J461&amp;"|"&amp;2,Assessments!$A$2:$A$600,0)),0)</f>
        <v>0</v>
      </c>
      <c r="CY461" s="28" t="n">
        <f aca="false">IFERROR(INDEX(Assessments!$J$2:$J$600,MATCH($H461&amp;"|"&amp;$I461&amp;"|"&amp;$J461&amp;"|"&amp;3,Assessments!$A$2:$A$600,0)),0)</f>
        <v>0</v>
      </c>
      <c r="CZ461" s="28" t="n">
        <f aca="false">IFERROR(INDEX(Assessments!$J$2:$J$600,MATCH($H461&amp;"|"&amp;$I461&amp;"|"&amp;$J461&amp;"|"&amp;4,Assessments!$A$2:$A$600,0)),0)</f>
        <v>0</v>
      </c>
      <c r="DA461" s="28" t="n">
        <f aca="false">IFERROR(INDEX(Assessments!$J$2:$J$600,MATCH($H461&amp;"|"&amp;$I461&amp;"|"&amp;$J461&amp;"|"&amp;5,Assessments!$A$2:$A$600,0)),0)</f>
        <v>0</v>
      </c>
      <c r="DB461" s="28" t="n">
        <f aca="false">IFERROR(INDEX(Assessments!$J$2:$J$600,MATCH($H461&amp;"|"&amp;$I461&amp;"|"&amp;$J461&amp;"|"&amp;6,Assessments!$A$2:$A$600,0)),0)</f>
        <v>0</v>
      </c>
      <c r="DC461" s="28" t="n">
        <f aca="false">IFERROR(INDEX(Assessments!$J$2:$J$600,MATCH($H461&amp;"|"&amp;$I461&amp;"|"&amp;$J461&amp;"|"&amp;7,Assessments!$A$2:$A$600,0)),0)</f>
        <v>0</v>
      </c>
      <c r="DD461" s="28" t="n">
        <f aca="false">IFERROR(INDEX(Assessments!$J$2:$J$600,MATCH($H461&amp;"|"&amp;$I461&amp;"|"&amp;$J461&amp;"|"&amp;8,Assessments!$A$2:$A$600,0)),0)</f>
        <v>0</v>
      </c>
      <c r="DE461" s="28" t="n">
        <f aca="false">IFERROR(INDEX(Assessments!$J$2:$J$600,MATCH($H461&amp;"|"&amp;$I461&amp;"|"&amp;$J461&amp;"|"&amp;9,Assessments!$A$2:$A$600,0)),0)</f>
        <v>0</v>
      </c>
      <c r="DF461" s="28" t="n">
        <f aca="false">IFERROR(INDEX(Assessments!$J$2:$J$600,MATCH($H461&amp;"|"&amp;$I461&amp;"|"&amp;$J461&amp;"|"&amp;10,Assessments!$A$2:$A$600,0)),0)</f>
        <v>0</v>
      </c>
      <c r="DG461" s="28" t="n">
        <f aca="false">IFERROR(INDEX(Assessments!$J$2:$J$600,MATCH($H461&amp;"|"&amp;$I461&amp;"|"&amp;$J461&amp;"|"&amp;11,Assessments!$A$2:$A$600,0)),0)</f>
        <v>0</v>
      </c>
      <c r="DH461" s="28" t="n">
        <f aca="false">IFERROR(INDEX(Assessments!$J$2:$J$600,MATCH($H461&amp;"|"&amp;$I461&amp;"|"&amp;$J461&amp;"|"&amp;12,Assessments!$A$2:$A$600,0)),0)</f>
        <v>0</v>
      </c>
      <c r="DI461" s="28" t="n">
        <f aca="false">IFERROR(INDEX(Assessments!$J$2:$J$600,MATCH($H461&amp;"|"&amp;$I461&amp;"|"&amp;$J461&amp;"|"&amp;13,Assessments!$A$2:$A$600,0)),0)</f>
        <v>0</v>
      </c>
      <c r="DJ461" s="28" t="n">
        <f aca="false">IFERROR(INDEX(Assessments!$J$2:$J$600,MATCH($H461&amp;"|"&amp;$I461&amp;"|"&amp;$J461&amp;"|"&amp;14,Assessments!$A$2:$A$600,0)),0)</f>
        <v>0</v>
      </c>
      <c r="DK461" s="28" t="str">
        <f aca="false">S461</f>
        <v/>
      </c>
      <c r="DL461" s="28" t="str">
        <f aca="false">W461</f>
        <v/>
      </c>
      <c r="DM461" s="28" t="str">
        <f aca="false">AA461</f>
        <v/>
      </c>
      <c r="DN461" s="28" t="str">
        <f aca="false">AE461</f>
        <v/>
      </c>
      <c r="DO461" s="28" t="str">
        <f aca="false">AI461</f>
        <v/>
      </c>
      <c r="DP461" s="28" t="str">
        <f aca="false">AM461</f>
        <v/>
      </c>
      <c r="DQ461" s="28" t="str">
        <f aca="false">AQ461</f>
        <v/>
      </c>
      <c r="DR461" s="28" t="str">
        <f aca="false">AU461</f>
        <v/>
      </c>
      <c r="DS461" s="28" t="str">
        <f aca="false">AY461</f>
        <v/>
      </c>
      <c r="DT461" s="28" t="str">
        <f aca="false">BC461</f>
        <v/>
      </c>
      <c r="DU461" s="28" t="str">
        <f aca="false">BG461</f>
        <v/>
      </c>
      <c r="DV461" s="28" t="str">
        <f aca="false">BK461</f>
        <v/>
      </c>
      <c r="DW461" s="28" t="str">
        <f aca="false">BO461</f>
        <v/>
      </c>
      <c r="DX461" s="28" t="str">
        <f aca="false">BS461</f>
        <v/>
      </c>
      <c r="DY461" s="28" t="str">
        <f aca="false">IF(ISNUMBER(S461),1,"")</f>
        <v/>
      </c>
      <c r="DZ461" s="28" t="str">
        <f aca="false">IF(ISNUMBER(W461),2,"")</f>
        <v/>
      </c>
      <c r="EA461" s="28" t="str">
        <f aca="false">IF(ISNUMBER(AA461),3,"")</f>
        <v/>
      </c>
      <c r="EB461" s="28" t="str">
        <f aca="false">IF(ISNUMBER(AE461),4,"")</f>
        <v/>
      </c>
      <c r="EC461" s="28" t="str">
        <f aca="false">IF(ISNUMBER(AI461),5,"")</f>
        <v/>
      </c>
      <c r="ED461" s="28" t="str">
        <f aca="false">IF(ISNUMBER(AM461),6,"")</f>
        <v/>
      </c>
      <c r="EE461" s="28" t="str">
        <f aca="false">IF(ISNUMBER(AQ461),7,"")</f>
        <v/>
      </c>
      <c r="EF461" s="28" t="str">
        <f aca="false">IF(ISNUMBER(AU461),8,"")</f>
        <v/>
      </c>
      <c r="EG461" s="28" t="str">
        <f aca="false">IF(ISNUMBER(AY461),9,"")</f>
        <v/>
      </c>
      <c r="EH461" s="28" t="str">
        <f aca="false">IF(ISNUMBER(BC461),10,"")</f>
        <v/>
      </c>
      <c r="EI461" s="28" t="str">
        <f aca="false">IF(ISNUMBER(BG461),11,"")</f>
        <v/>
      </c>
      <c r="EJ461" s="28" t="str">
        <f aca="false">IF(ISNUMBER(BK461),12,"")</f>
        <v/>
      </c>
      <c r="EK461" s="28" t="str">
        <f aca="false">IF(ISNUMBER(BO461),13,"")</f>
        <v/>
      </c>
      <c r="EL461" s="28" t="str">
        <f aca="false">IF(ISNUMBER(BS461),14,"")</f>
        <v/>
      </c>
      <c r="EM461" s="28" t="n">
        <f aca="false">IF(ISNUMBER(R461),R461*CW461,0)</f>
        <v>0</v>
      </c>
      <c r="EN461" s="28" t="n">
        <f aca="false">IF(ISNUMBER(V461),V461*CX461,0)</f>
        <v>0</v>
      </c>
      <c r="EO461" s="28" t="n">
        <f aca="false">IF(ISNUMBER(Z461),Z461*CY461,0)</f>
        <v>0</v>
      </c>
      <c r="EP461" s="28" t="n">
        <f aca="false">IF(ISNUMBER(AD461),AD461*CZ461,0)</f>
        <v>0</v>
      </c>
      <c r="EQ461" s="28" t="n">
        <f aca="false">IF(ISNUMBER(AH461),AH461*DA461,0)</f>
        <v>0</v>
      </c>
      <c r="ER461" s="28" t="n">
        <f aca="false">IF(ISNUMBER(AL461),AL461*DB461,0)</f>
        <v>0</v>
      </c>
      <c r="ES461" s="28" t="n">
        <f aca="false">IF(ISNUMBER(AP461),AP461*DC461,0)</f>
        <v>0</v>
      </c>
      <c r="ET461" s="28" t="n">
        <f aca="false">IF(ISNUMBER(AT461),AT461*DD461,0)</f>
        <v>0</v>
      </c>
      <c r="EU461" s="28" t="n">
        <f aca="false">IF(ISNUMBER(AX461),AX461*DE461,0)</f>
        <v>0</v>
      </c>
      <c r="EV461" s="28" t="n">
        <f aca="false">IF(ISNUMBER(BB461),BB461*DF461,0)</f>
        <v>0</v>
      </c>
      <c r="EW461" s="28" t="n">
        <f aca="false">IF(ISNUMBER(BF461),BF461*DG461,0)</f>
        <v>0</v>
      </c>
      <c r="EX461" s="28" t="n">
        <f aca="false">IF(ISNUMBER(BJ461),BJ461*DH461,0)</f>
        <v>0</v>
      </c>
      <c r="EY461" s="28" t="n">
        <f aca="false">IF(ISNUMBER(BN461),BN461*DI461,0)</f>
        <v>0</v>
      </c>
      <c r="EZ461" s="28" t="n">
        <f aca="false">IF(ISNUMBER(BR461),BR461*DJ461,0)</f>
        <v>0</v>
      </c>
      <c r="FA461" s="28" t="n">
        <f aca="false">IF(ISNUMBER(R461),CW461,0)</f>
        <v>0</v>
      </c>
      <c r="FB461" s="28" t="n">
        <f aca="false">IF(ISNUMBER(V461),CX461,0)</f>
        <v>0</v>
      </c>
      <c r="FC461" s="28" t="n">
        <f aca="false">IF(ISNUMBER(Z461),CY461,0)</f>
        <v>0</v>
      </c>
      <c r="FD461" s="28" t="n">
        <f aca="false">IF(ISNUMBER(AD461),CZ461,0)</f>
        <v>0</v>
      </c>
      <c r="FE461" s="28" t="n">
        <f aca="false">IF(ISNUMBER(AH461),DA461,0)</f>
        <v>0</v>
      </c>
      <c r="FF461" s="28" t="n">
        <f aca="false">IF(ISNUMBER(AL461),DB461,0)</f>
        <v>0</v>
      </c>
      <c r="FG461" s="28" t="n">
        <f aca="false">IF(ISNUMBER(AP461),DC461,0)</f>
        <v>0</v>
      </c>
      <c r="FH461" s="28" t="n">
        <f aca="false">IF(ISNUMBER(AT461),DD461,0)</f>
        <v>0</v>
      </c>
      <c r="FI461" s="28" t="n">
        <f aca="false">IF(ISNUMBER(AX461),DE461,0)</f>
        <v>0</v>
      </c>
      <c r="FJ461" s="28" t="n">
        <f aca="false">IF(ISNUMBER(BB461),DF461,0)</f>
        <v>0</v>
      </c>
      <c r="FK461" s="28" t="n">
        <f aca="false">IF(ISNUMBER(BF461),DG461,0)</f>
        <v>0</v>
      </c>
      <c r="FL461" s="28" t="n">
        <f aca="false">IF(ISNUMBER(BJ461),DH461,0)</f>
        <v>0</v>
      </c>
      <c r="FM461" s="28" t="n">
        <f aca="false">IF(ISNUMBER(BN461),DI461,0)</f>
        <v>0</v>
      </c>
      <c r="FN461" s="28" t="n">
        <f aca="false">IF(ISNUMBER(BR461),DJ461,0)</f>
        <v>0</v>
      </c>
      <c r="FO461" s="28" t="str">
        <f aca="false">IFERROR(INDEX(Lists!$G$2:$G$20,MATCH($I461&amp;"|"&amp;$J461,Lists!$F$2:$F$20,0)),"")</f>
        <v/>
      </c>
    </row>
    <row r="462" customFormat="false" ht="19.5" hidden="false" customHeight="true" outlineLevel="0" collapsed="false">
      <c r="A462" s="29"/>
      <c r="B462" s="29"/>
      <c r="C462" s="30"/>
      <c r="D462" s="30"/>
      <c r="E462" s="31"/>
      <c r="F462" s="30"/>
      <c r="G462" s="30"/>
      <c r="H462" s="32"/>
      <c r="I462" s="33"/>
      <c r="J462" s="32"/>
      <c r="K462" s="34" t="str">
        <f aca="false">IF(OR(M462="",$E462=""),"",M462-$E462)</f>
        <v/>
      </c>
      <c r="L462" s="35" t="str">
        <f aca="false">IF(SUM(FA462:FN462)=0,"",SUM(EM462:EZ462)/SUM(FA462:FN462))</f>
        <v/>
      </c>
      <c r="M462" s="36" t="str">
        <f aca="false">IF(OR(L462="",FO462=""),"",IFERROR(MATCH(L462,INDEX(Boundaries!$B$2:$I$30,MATCH(FO462,Boundaries!$A$2:$A$30,0),0),1)-1,""))</f>
        <v/>
      </c>
      <c r="N462" s="37" t="str">
        <f aca="false">IF(COUNT($DY462:$EL462)&lt;2,"",INDEX($DK462:$DX462,MAX($DY462:$EL462))-INDEX($DK462:$DX462,MIN($DY462:$EL462)))</f>
        <v/>
      </c>
      <c r="O462" s="37" t="str">
        <f aca="false">IF(COUNT($DY462:$EL462)&lt;2,"",INDEX($DK462:$DX462,MAX($DY462:$EL462))-INDEX($DK462:$DX462,LARGE($DY462:$EL462,2)))</f>
        <v/>
      </c>
      <c r="P462" s="38" t="str">
        <f aca="false">IF(K462="","",IF(K462&gt;=0,"On/above target",IF(AND(N462&lt;&gt;"",N462&gt;=0.5),"Improving towards target",IF(AND(O462&lt;&gt;"",O462&lt;=-0.5),"Declining","Stable below target"))))</f>
        <v/>
      </c>
      <c r="Q462" s="39"/>
      <c r="R462" s="40" t="str">
        <f aca="false">IF(OR(Q462="",BU462=""),"",Q462/BU462*100)</f>
        <v/>
      </c>
      <c r="S462" s="41" t="str">
        <f aca="false">IF(R462="","",IFERROR(MATCH(R462,INDEX(Boundaries!$B$2:$I$30,MATCH(CI462,Boundaries!$A$2:$A$30,0),0),1)-1,""))</f>
        <v/>
      </c>
      <c r="T462" s="42" t="str">
        <f aca="false">IF(OR(S462="",$E462=""),"",S462-$E462)</f>
        <v/>
      </c>
      <c r="U462" s="39"/>
      <c r="V462" s="40" t="str">
        <f aca="false">IF(OR(U462="",BV462=""),"",U462/BV462*100)</f>
        <v/>
      </c>
      <c r="W462" s="41" t="str">
        <f aca="false">IF(V462="","",IFERROR(MATCH(V462,INDEX(Boundaries!$B$2:$I$30,MATCH(CJ462,Boundaries!$A$2:$A$30,0),0),1)-1,""))</f>
        <v/>
      </c>
      <c r="X462" s="42" t="str">
        <f aca="false">IF(OR(W462="",$E462=""),"",W462-$E462)</f>
        <v/>
      </c>
      <c r="Y462" s="39"/>
      <c r="Z462" s="40" t="str">
        <f aca="false">IF(OR(Y462="",BW462=""),"",Y462/BW462*100)</f>
        <v/>
      </c>
      <c r="AA462" s="41" t="str">
        <f aca="false">IF(Z462="","",IFERROR(MATCH(Z462,INDEX(Boundaries!$B$2:$I$30,MATCH(CK462,Boundaries!$A$2:$A$30,0),0),1)-1,""))</f>
        <v/>
      </c>
      <c r="AB462" s="42" t="str">
        <f aca="false">IF(OR(AA462="",$E462=""),"",AA462-$E462)</f>
        <v/>
      </c>
      <c r="AC462" s="39"/>
      <c r="AD462" s="40" t="str">
        <f aca="false">IF(OR(AC462="",BX462=""),"",AC462/BX462*100)</f>
        <v/>
      </c>
      <c r="AE462" s="41" t="str">
        <f aca="false">IF(AD462="","",IFERROR(MATCH(AD462,INDEX(Boundaries!$B$2:$I$30,MATCH(CL462,Boundaries!$A$2:$A$30,0),0),1)-1,""))</f>
        <v/>
      </c>
      <c r="AF462" s="42" t="str">
        <f aca="false">IF(OR(AE462="",$E462=""),"",AE462-$E462)</f>
        <v/>
      </c>
      <c r="AG462" s="39"/>
      <c r="AH462" s="40" t="str">
        <f aca="false">IF(OR(AG462="",BY462=""),"",AG462/BY462*100)</f>
        <v/>
      </c>
      <c r="AI462" s="41" t="str">
        <f aca="false">IF(AH462="","",IFERROR(MATCH(AH462,INDEX(Boundaries!$B$2:$I$30,MATCH(CM462,Boundaries!$A$2:$A$30,0),0),1)-1,""))</f>
        <v/>
      </c>
      <c r="AJ462" s="42" t="str">
        <f aca="false">IF(OR(AI462="",$E462=""),"",AI462-$E462)</f>
        <v/>
      </c>
      <c r="AK462" s="39"/>
      <c r="AL462" s="40" t="str">
        <f aca="false">IF(OR(AK462="",BZ462=""),"",AK462/BZ462*100)</f>
        <v/>
      </c>
      <c r="AM462" s="41" t="str">
        <f aca="false">IF(AL462="","",IFERROR(MATCH(AL462,INDEX(Boundaries!$B$2:$I$30,MATCH(CN462,Boundaries!$A$2:$A$30,0),0),1)-1,""))</f>
        <v/>
      </c>
      <c r="AN462" s="42" t="str">
        <f aca="false">IF(OR(AM462="",$E462=""),"",AM462-$E462)</f>
        <v/>
      </c>
      <c r="AO462" s="39"/>
      <c r="AP462" s="40" t="str">
        <f aca="false">IF(OR(AO462="",CA462=""),"",AO462/CA462*100)</f>
        <v/>
      </c>
      <c r="AQ462" s="41" t="str">
        <f aca="false">IF(AP462="","",IFERROR(MATCH(AP462,INDEX(Boundaries!$B$2:$I$30,MATCH(CO462,Boundaries!$A$2:$A$30,0),0),1)-1,""))</f>
        <v/>
      </c>
      <c r="AR462" s="42" t="str">
        <f aca="false">IF(OR(AQ462="",$E462=""),"",AQ462-$E462)</f>
        <v/>
      </c>
      <c r="AS462" s="39"/>
      <c r="AT462" s="40" t="str">
        <f aca="false">IF(OR(AS462="",CB462=""),"",AS462/CB462*100)</f>
        <v/>
      </c>
      <c r="AU462" s="41" t="str">
        <f aca="false">IF(AT462="","",IFERROR(MATCH(AT462,INDEX(Boundaries!$B$2:$I$30,MATCH(CP462,Boundaries!$A$2:$A$30,0),0),1)-1,""))</f>
        <v/>
      </c>
      <c r="AV462" s="42" t="str">
        <f aca="false">IF(OR(AU462="",$E462=""),"",AU462-$E462)</f>
        <v/>
      </c>
      <c r="AW462" s="39"/>
      <c r="AX462" s="40" t="str">
        <f aca="false">IF(OR(AW462="",CC462=""),"",AW462/CC462*100)</f>
        <v/>
      </c>
      <c r="AY462" s="41" t="str">
        <f aca="false">IF(AX462="","",IFERROR(MATCH(AX462,INDEX(Boundaries!$B$2:$I$30,MATCH(CQ462,Boundaries!$A$2:$A$30,0),0),1)-1,""))</f>
        <v/>
      </c>
      <c r="AZ462" s="42" t="str">
        <f aca="false">IF(OR(AY462="",$E462=""),"",AY462-$E462)</f>
        <v/>
      </c>
      <c r="BA462" s="39"/>
      <c r="BB462" s="40" t="str">
        <f aca="false">IF(OR(BA462="",CD462=""),"",BA462/CD462*100)</f>
        <v/>
      </c>
      <c r="BC462" s="41" t="str">
        <f aca="false">IF(BB462="","",IFERROR(MATCH(BB462,INDEX(Boundaries!$B$2:$I$30,MATCH(CR462,Boundaries!$A$2:$A$30,0),0),1)-1,""))</f>
        <v/>
      </c>
      <c r="BD462" s="42" t="str">
        <f aca="false">IF(OR(BC462="",$E462=""),"",BC462-$E462)</f>
        <v/>
      </c>
      <c r="BE462" s="39"/>
      <c r="BF462" s="40" t="str">
        <f aca="false">IF(OR(BE462="",CE462=""),"",BE462/CE462*100)</f>
        <v/>
      </c>
      <c r="BG462" s="41" t="str">
        <f aca="false">IF(BF462="","",IFERROR(MATCH(BF462,INDEX(Boundaries!$B$2:$I$30,MATCH(CS462,Boundaries!$A$2:$A$30,0),0),1)-1,""))</f>
        <v/>
      </c>
      <c r="BH462" s="42" t="str">
        <f aca="false">IF(OR(BG462="",$E462=""),"",BG462-$E462)</f>
        <v/>
      </c>
      <c r="BI462" s="39"/>
      <c r="BJ462" s="40" t="str">
        <f aca="false">IF(OR(BI462="",CF462=""),"",BI462/CF462*100)</f>
        <v/>
      </c>
      <c r="BK462" s="41" t="str">
        <f aca="false">IF(BJ462="","",IFERROR(MATCH(BJ462,INDEX(Boundaries!$B$2:$I$30,MATCH(CT462,Boundaries!$A$2:$A$30,0),0),1)-1,""))</f>
        <v/>
      </c>
      <c r="BL462" s="42" t="str">
        <f aca="false">IF(OR(BK462="",$E462=""),"",BK462-$E462)</f>
        <v/>
      </c>
      <c r="BM462" s="39"/>
      <c r="BN462" s="40" t="str">
        <f aca="false">IF(OR(BM462="",CG462=""),"",BM462/CG462*100)</f>
        <v/>
      </c>
      <c r="BO462" s="41" t="str">
        <f aca="false">IF(BN462="","",IFERROR(MATCH(BN462,INDEX(Boundaries!$B$2:$I$30,MATCH(CU462,Boundaries!$A$2:$A$30,0),0),1)-1,""))</f>
        <v/>
      </c>
      <c r="BP462" s="42" t="str">
        <f aca="false">IF(OR(BO462="",$E462=""),"",BO462-$E462)</f>
        <v/>
      </c>
      <c r="BQ462" s="39"/>
      <c r="BR462" s="40" t="str">
        <f aca="false">IF(OR(BQ462="",CH462=""),"",BQ462/CH462*100)</f>
        <v/>
      </c>
      <c r="BS462" s="41" t="str">
        <f aca="false">IF(BR462="","",IFERROR(MATCH(BR462,INDEX(Boundaries!$B$2:$I$30,MATCH(CV462,Boundaries!$A$2:$A$30,0),0),1)-1,""))</f>
        <v/>
      </c>
      <c r="BT462" s="42" t="str">
        <f aca="false">IF(OR(BS462="",$E462=""),"",BS462-$E462)</f>
        <v/>
      </c>
      <c r="BU462" s="28" t="str">
        <f aca="false">IFERROR(INDEX(Assessments!$H$2:$H$600,MATCH($H462&amp;"|"&amp;$I462&amp;"|"&amp;$J462&amp;"|"&amp;1,Assessments!$A$2:$A$600,0)),"")</f>
        <v/>
      </c>
      <c r="BV462" s="28" t="str">
        <f aca="false">IFERROR(INDEX(Assessments!$H$2:$H$600,MATCH($H462&amp;"|"&amp;$I462&amp;"|"&amp;$J462&amp;"|"&amp;2,Assessments!$A$2:$A$600,0)),"")</f>
        <v/>
      </c>
      <c r="BW462" s="28" t="str">
        <f aca="false">IFERROR(INDEX(Assessments!$H$2:$H$600,MATCH($H462&amp;"|"&amp;$I462&amp;"|"&amp;$J462&amp;"|"&amp;3,Assessments!$A$2:$A$600,0)),"")</f>
        <v/>
      </c>
      <c r="BX462" s="28" t="str">
        <f aca="false">IFERROR(INDEX(Assessments!$H$2:$H$600,MATCH($H462&amp;"|"&amp;$I462&amp;"|"&amp;$J462&amp;"|"&amp;4,Assessments!$A$2:$A$600,0)),"")</f>
        <v/>
      </c>
      <c r="BY462" s="28" t="str">
        <f aca="false">IFERROR(INDEX(Assessments!$H$2:$H$600,MATCH($H462&amp;"|"&amp;$I462&amp;"|"&amp;$J462&amp;"|"&amp;5,Assessments!$A$2:$A$600,0)),"")</f>
        <v/>
      </c>
      <c r="BZ462" s="28" t="str">
        <f aca="false">IFERROR(INDEX(Assessments!$H$2:$H$600,MATCH($H462&amp;"|"&amp;$I462&amp;"|"&amp;$J462&amp;"|"&amp;6,Assessments!$A$2:$A$600,0)),"")</f>
        <v/>
      </c>
      <c r="CA462" s="28" t="str">
        <f aca="false">IFERROR(INDEX(Assessments!$H$2:$H$600,MATCH($H462&amp;"|"&amp;$I462&amp;"|"&amp;$J462&amp;"|"&amp;7,Assessments!$A$2:$A$600,0)),"")</f>
        <v/>
      </c>
      <c r="CB462" s="28" t="str">
        <f aca="false">IFERROR(INDEX(Assessments!$H$2:$H$600,MATCH($H462&amp;"|"&amp;$I462&amp;"|"&amp;$J462&amp;"|"&amp;8,Assessments!$A$2:$A$600,0)),"")</f>
        <v/>
      </c>
      <c r="CC462" s="28" t="str">
        <f aca="false">IFERROR(INDEX(Assessments!$H$2:$H$600,MATCH($H462&amp;"|"&amp;$I462&amp;"|"&amp;$J462&amp;"|"&amp;9,Assessments!$A$2:$A$600,0)),"")</f>
        <v/>
      </c>
      <c r="CD462" s="28" t="str">
        <f aca="false">IFERROR(INDEX(Assessments!$H$2:$H$600,MATCH($H462&amp;"|"&amp;$I462&amp;"|"&amp;$J462&amp;"|"&amp;10,Assessments!$A$2:$A$600,0)),"")</f>
        <v/>
      </c>
      <c r="CE462" s="28" t="str">
        <f aca="false">IFERROR(INDEX(Assessments!$H$2:$H$600,MATCH($H462&amp;"|"&amp;$I462&amp;"|"&amp;$J462&amp;"|"&amp;11,Assessments!$A$2:$A$600,0)),"")</f>
        <v/>
      </c>
      <c r="CF462" s="28" t="str">
        <f aca="false">IFERROR(INDEX(Assessments!$H$2:$H$600,MATCH($H462&amp;"|"&amp;$I462&amp;"|"&amp;$J462&amp;"|"&amp;12,Assessments!$A$2:$A$600,0)),"")</f>
        <v/>
      </c>
      <c r="CG462" s="28" t="str">
        <f aca="false">IFERROR(INDEX(Assessments!$H$2:$H$600,MATCH($H462&amp;"|"&amp;$I462&amp;"|"&amp;$J462&amp;"|"&amp;13,Assessments!$A$2:$A$600,0)),"")</f>
        <v/>
      </c>
      <c r="CH462" s="28" t="str">
        <f aca="false">IFERROR(INDEX(Assessments!$H$2:$H$600,MATCH($H462&amp;"|"&amp;$I462&amp;"|"&amp;$J462&amp;"|"&amp;14,Assessments!$A$2:$A$600,0)),"")</f>
        <v/>
      </c>
      <c r="CI462" s="28" t="str">
        <f aca="false">IFERROR(INDEX(Assessments!$I$2:$I$600,MATCH($H462&amp;"|"&amp;$I462&amp;"|"&amp;$J462&amp;"|"&amp;1,Assessments!$A$2:$A$600,0)),"")</f>
        <v/>
      </c>
      <c r="CJ462" s="28" t="str">
        <f aca="false">IFERROR(INDEX(Assessments!$I$2:$I$600,MATCH($H462&amp;"|"&amp;$I462&amp;"|"&amp;$J462&amp;"|"&amp;2,Assessments!$A$2:$A$600,0)),"")</f>
        <v/>
      </c>
      <c r="CK462" s="28" t="str">
        <f aca="false">IFERROR(INDEX(Assessments!$I$2:$I$600,MATCH($H462&amp;"|"&amp;$I462&amp;"|"&amp;$J462&amp;"|"&amp;3,Assessments!$A$2:$A$600,0)),"")</f>
        <v/>
      </c>
      <c r="CL462" s="28" t="str">
        <f aca="false">IFERROR(INDEX(Assessments!$I$2:$I$600,MATCH($H462&amp;"|"&amp;$I462&amp;"|"&amp;$J462&amp;"|"&amp;4,Assessments!$A$2:$A$600,0)),"")</f>
        <v/>
      </c>
      <c r="CM462" s="28" t="str">
        <f aca="false">IFERROR(INDEX(Assessments!$I$2:$I$600,MATCH($H462&amp;"|"&amp;$I462&amp;"|"&amp;$J462&amp;"|"&amp;5,Assessments!$A$2:$A$600,0)),"")</f>
        <v/>
      </c>
      <c r="CN462" s="28" t="str">
        <f aca="false">IFERROR(INDEX(Assessments!$I$2:$I$600,MATCH($H462&amp;"|"&amp;$I462&amp;"|"&amp;$J462&amp;"|"&amp;6,Assessments!$A$2:$A$600,0)),"")</f>
        <v/>
      </c>
      <c r="CO462" s="28" t="str">
        <f aca="false">IFERROR(INDEX(Assessments!$I$2:$I$600,MATCH($H462&amp;"|"&amp;$I462&amp;"|"&amp;$J462&amp;"|"&amp;7,Assessments!$A$2:$A$600,0)),"")</f>
        <v/>
      </c>
      <c r="CP462" s="28" t="str">
        <f aca="false">IFERROR(INDEX(Assessments!$I$2:$I$600,MATCH($H462&amp;"|"&amp;$I462&amp;"|"&amp;$J462&amp;"|"&amp;8,Assessments!$A$2:$A$600,0)),"")</f>
        <v/>
      </c>
      <c r="CQ462" s="28" t="str">
        <f aca="false">IFERROR(INDEX(Assessments!$I$2:$I$600,MATCH($H462&amp;"|"&amp;$I462&amp;"|"&amp;$J462&amp;"|"&amp;9,Assessments!$A$2:$A$600,0)),"")</f>
        <v/>
      </c>
      <c r="CR462" s="28" t="str">
        <f aca="false">IFERROR(INDEX(Assessments!$I$2:$I$600,MATCH($H462&amp;"|"&amp;$I462&amp;"|"&amp;$J462&amp;"|"&amp;10,Assessments!$A$2:$A$600,0)),"")</f>
        <v/>
      </c>
      <c r="CS462" s="28" t="str">
        <f aca="false">IFERROR(INDEX(Assessments!$I$2:$I$600,MATCH($H462&amp;"|"&amp;$I462&amp;"|"&amp;$J462&amp;"|"&amp;11,Assessments!$A$2:$A$600,0)),"")</f>
        <v/>
      </c>
      <c r="CT462" s="28" t="str">
        <f aca="false">IFERROR(INDEX(Assessments!$I$2:$I$600,MATCH($H462&amp;"|"&amp;$I462&amp;"|"&amp;$J462&amp;"|"&amp;12,Assessments!$A$2:$A$600,0)),"")</f>
        <v/>
      </c>
      <c r="CU462" s="28" t="str">
        <f aca="false">IFERROR(INDEX(Assessments!$I$2:$I$600,MATCH($H462&amp;"|"&amp;$I462&amp;"|"&amp;$J462&amp;"|"&amp;13,Assessments!$A$2:$A$600,0)),"")</f>
        <v/>
      </c>
      <c r="CV462" s="28" t="str">
        <f aca="false">IFERROR(INDEX(Assessments!$I$2:$I$600,MATCH($H462&amp;"|"&amp;$I462&amp;"|"&amp;$J462&amp;"|"&amp;14,Assessments!$A$2:$A$600,0)),"")</f>
        <v/>
      </c>
      <c r="CW462" s="28" t="n">
        <f aca="false">IFERROR(INDEX(Assessments!$J$2:$J$600,MATCH($H462&amp;"|"&amp;$I462&amp;"|"&amp;$J462&amp;"|"&amp;1,Assessments!$A$2:$A$600,0)),0)</f>
        <v>0</v>
      </c>
      <c r="CX462" s="28" t="n">
        <f aca="false">IFERROR(INDEX(Assessments!$J$2:$J$600,MATCH($H462&amp;"|"&amp;$I462&amp;"|"&amp;$J462&amp;"|"&amp;2,Assessments!$A$2:$A$600,0)),0)</f>
        <v>0</v>
      </c>
      <c r="CY462" s="28" t="n">
        <f aca="false">IFERROR(INDEX(Assessments!$J$2:$J$600,MATCH($H462&amp;"|"&amp;$I462&amp;"|"&amp;$J462&amp;"|"&amp;3,Assessments!$A$2:$A$600,0)),0)</f>
        <v>0</v>
      </c>
      <c r="CZ462" s="28" t="n">
        <f aca="false">IFERROR(INDEX(Assessments!$J$2:$J$600,MATCH($H462&amp;"|"&amp;$I462&amp;"|"&amp;$J462&amp;"|"&amp;4,Assessments!$A$2:$A$600,0)),0)</f>
        <v>0</v>
      </c>
      <c r="DA462" s="28" t="n">
        <f aca="false">IFERROR(INDEX(Assessments!$J$2:$J$600,MATCH($H462&amp;"|"&amp;$I462&amp;"|"&amp;$J462&amp;"|"&amp;5,Assessments!$A$2:$A$600,0)),0)</f>
        <v>0</v>
      </c>
      <c r="DB462" s="28" t="n">
        <f aca="false">IFERROR(INDEX(Assessments!$J$2:$J$600,MATCH($H462&amp;"|"&amp;$I462&amp;"|"&amp;$J462&amp;"|"&amp;6,Assessments!$A$2:$A$600,0)),0)</f>
        <v>0</v>
      </c>
      <c r="DC462" s="28" t="n">
        <f aca="false">IFERROR(INDEX(Assessments!$J$2:$J$600,MATCH($H462&amp;"|"&amp;$I462&amp;"|"&amp;$J462&amp;"|"&amp;7,Assessments!$A$2:$A$600,0)),0)</f>
        <v>0</v>
      </c>
      <c r="DD462" s="28" t="n">
        <f aca="false">IFERROR(INDEX(Assessments!$J$2:$J$600,MATCH($H462&amp;"|"&amp;$I462&amp;"|"&amp;$J462&amp;"|"&amp;8,Assessments!$A$2:$A$600,0)),0)</f>
        <v>0</v>
      </c>
      <c r="DE462" s="28" t="n">
        <f aca="false">IFERROR(INDEX(Assessments!$J$2:$J$600,MATCH($H462&amp;"|"&amp;$I462&amp;"|"&amp;$J462&amp;"|"&amp;9,Assessments!$A$2:$A$600,0)),0)</f>
        <v>0</v>
      </c>
      <c r="DF462" s="28" t="n">
        <f aca="false">IFERROR(INDEX(Assessments!$J$2:$J$600,MATCH($H462&amp;"|"&amp;$I462&amp;"|"&amp;$J462&amp;"|"&amp;10,Assessments!$A$2:$A$600,0)),0)</f>
        <v>0</v>
      </c>
      <c r="DG462" s="28" t="n">
        <f aca="false">IFERROR(INDEX(Assessments!$J$2:$J$600,MATCH($H462&amp;"|"&amp;$I462&amp;"|"&amp;$J462&amp;"|"&amp;11,Assessments!$A$2:$A$600,0)),0)</f>
        <v>0</v>
      </c>
      <c r="DH462" s="28" t="n">
        <f aca="false">IFERROR(INDEX(Assessments!$J$2:$J$600,MATCH($H462&amp;"|"&amp;$I462&amp;"|"&amp;$J462&amp;"|"&amp;12,Assessments!$A$2:$A$600,0)),0)</f>
        <v>0</v>
      </c>
      <c r="DI462" s="28" t="n">
        <f aca="false">IFERROR(INDEX(Assessments!$J$2:$J$600,MATCH($H462&amp;"|"&amp;$I462&amp;"|"&amp;$J462&amp;"|"&amp;13,Assessments!$A$2:$A$600,0)),0)</f>
        <v>0</v>
      </c>
      <c r="DJ462" s="28" t="n">
        <f aca="false">IFERROR(INDEX(Assessments!$J$2:$J$600,MATCH($H462&amp;"|"&amp;$I462&amp;"|"&amp;$J462&amp;"|"&amp;14,Assessments!$A$2:$A$600,0)),0)</f>
        <v>0</v>
      </c>
      <c r="DK462" s="28" t="str">
        <f aca="false">S462</f>
        <v/>
      </c>
      <c r="DL462" s="28" t="str">
        <f aca="false">W462</f>
        <v/>
      </c>
      <c r="DM462" s="28" t="str">
        <f aca="false">AA462</f>
        <v/>
      </c>
      <c r="DN462" s="28" t="str">
        <f aca="false">AE462</f>
        <v/>
      </c>
      <c r="DO462" s="28" t="str">
        <f aca="false">AI462</f>
        <v/>
      </c>
      <c r="DP462" s="28" t="str">
        <f aca="false">AM462</f>
        <v/>
      </c>
      <c r="DQ462" s="28" t="str">
        <f aca="false">AQ462</f>
        <v/>
      </c>
      <c r="DR462" s="28" t="str">
        <f aca="false">AU462</f>
        <v/>
      </c>
      <c r="DS462" s="28" t="str">
        <f aca="false">AY462</f>
        <v/>
      </c>
      <c r="DT462" s="28" t="str">
        <f aca="false">BC462</f>
        <v/>
      </c>
      <c r="DU462" s="28" t="str">
        <f aca="false">BG462</f>
        <v/>
      </c>
      <c r="DV462" s="28" t="str">
        <f aca="false">BK462</f>
        <v/>
      </c>
      <c r="DW462" s="28" t="str">
        <f aca="false">BO462</f>
        <v/>
      </c>
      <c r="DX462" s="28" t="str">
        <f aca="false">BS462</f>
        <v/>
      </c>
      <c r="DY462" s="28" t="str">
        <f aca="false">IF(ISNUMBER(S462),1,"")</f>
        <v/>
      </c>
      <c r="DZ462" s="28" t="str">
        <f aca="false">IF(ISNUMBER(W462),2,"")</f>
        <v/>
      </c>
      <c r="EA462" s="28" t="str">
        <f aca="false">IF(ISNUMBER(AA462),3,"")</f>
        <v/>
      </c>
      <c r="EB462" s="28" t="str">
        <f aca="false">IF(ISNUMBER(AE462),4,"")</f>
        <v/>
      </c>
      <c r="EC462" s="28" t="str">
        <f aca="false">IF(ISNUMBER(AI462),5,"")</f>
        <v/>
      </c>
      <c r="ED462" s="28" t="str">
        <f aca="false">IF(ISNUMBER(AM462),6,"")</f>
        <v/>
      </c>
      <c r="EE462" s="28" t="str">
        <f aca="false">IF(ISNUMBER(AQ462),7,"")</f>
        <v/>
      </c>
      <c r="EF462" s="28" t="str">
        <f aca="false">IF(ISNUMBER(AU462),8,"")</f>
        <v/>
      </c>
      <c r="EG462" s="28" t="str">
        <f aca="false">IF(ISNUMBER(AY462),9,"")</f>
        <v/>
      </c>
      <c r="EH462" s="28" t="str">
        <f aca="false">IF(ISNUMBER(BC462),10,"")</f>
        <v/>
      </c>
      <c r="EI462" s="28" t="str">
        <f aca="false">IF(ISNUMBER(BG462),11,"")</f>
        <v/>
      </c>
      <c r="EJ462" s="28" t="str">
        <f aca="false">IF(ISNUMBER(BK462),12,"")</f>
        <v/>
      </c>
      <c r="EK462" s="28" t="str">
        <f aca="false">IF(ISNUMBER(BO462),13,"")</f>
        <v/>
      </c>
      <c r="EL462" s="28" t="str">
        <f aca="false">IF(ISNUMBER(BS462),14,"")</f>
        <v/>
      </c>
      <c r="EM462" s="28" t="n">
        <f aca="false">IF(ISNUMBER(R462),R462*CW462,0)</f>
        <v>0</v>
      </c>
      <c r="EN462" s="28" t="n">
        <f aca="false">IF(ISNUMBER(V462),V462*CX462,0)</f>
        <v>0</v>
      </c>
      <c r="EO462" s="28" t="n">
        <f aca="false">IF(ISNUMBER(Z462),Z462*CY462,0)</f>
        <v>0</v>
      </c>
      <c r="EP462" s="28" t="n">
        <f aca="false">IF(ISNUMBER(AD462),AD462*CZ462,0)</f>
        <v>0</v>
      </c>
      <c r="EQ462" s="28" t="n">
        <f aca="false">IF(ISNUMBER(AH462),AH462*DA462,0)</f>
        <v>0</v>
      </c>
      <c r="ER462" s="28" t="n">
        <f aca="false">IF(ISNUMBER(AL462),AL462*DB462,0)</f>
        <v>0</v>
      </c>
      <c r="ES462" s="28" t="n">
        <f aca="false">IF(ISNUMBER(AP462),AP462*DC462,0)</f>
        <v>0</v>
      </c>
      <c r="ET462" s="28" t="n">
        <f aca="false">IF(ISNUMBER(AT462),AT462*DD462,0)</f>
        <v>0</v>
      </c>
      <c r="EU462" s="28" t="n">
        <f aca="false">IF(ISNUMBER(AX462),AX462*DE462,0)</f>
        <v>0</v>
      </c>
      <c r="EV462" s="28" t="n">
        <f aca="false">IF(ISNUMBER(BB462),BB462*DF462,0)</f>
        <v>0</v>
      </c>
      <c r="EW462" s="28" t="n">
        <f aca="false">IF(ISNUMBER(BF462),BF462*DG462,0)</f>
        <v>0</v>
      </c>
      <c r="EX462" s="28" t="n">
        <f aca="false">IF(ISNUMBER(BJ462),BJ462*DH462,0)</f>
        <v>0</v>
      </c>
      <c r="EY462" s="28" t="n">
        <f aca="false">IF(ISNUMBER(BN462),BN462*DI462,0)</f>
        <v>0</v>
      </c>
      <c r="EZ462" s="28" t="n">
        <f aca="false">IF(ISNUMBER(BR462),BR462*DJ462,0)</f>
        <v>0</v>
      </c>
      <c r="FA462" s="28" t="n">
        <f aca="false">IF(ISNUMBER(R462),CW462,0)</f>
        <v>0</v>
      </c>
      <c r="FB462" s="28" t="n">
        <f aca="false">IF(ISNUMBER(V462),CX462,0)</f>
        <v>0</v>
      </c>
      <c r="FC462" s="28" t="n">
        <f aca="false">IF(ISNUMBER(Z462),CY462,0)</f>
        <v>0</v>
      </c>
      <c r="FD462" s="28" t="n">
        <f aca="false">IF(ISNUMBER(AD462),CZ462,0)</f>
        <v>0</v>
      </c>
      <c r="FE462" s="28" t="n">
        <f aca="false">IF(ISNUMBER(AH462),DA462,0)</f>
        <v>0</v>
      </c>
      <c r="FF462" s="28" t="n">
        <f aca="false">IF(ISNUMBER(AL462),DB462,0)</f>
        <v>0</v>
      </c>
      <c r="FG462" s="28" t="n">
        <f aca="false">IF(ISNUMBER(AP462),DC462,0)</f>
        <v>0</v>
      </c>
      <c r="FH462" s="28" t="n">
        <f aca="false">IF(ISNUMBER(AT462),DD462,0)</f>
        <v>0</v>
      </c>
      <c r="FI462" s="28" t="n">
        <f aca="false">IF(ISNUMBER(AX462),DE462,0)</f>
        <v>0</v>
      </c>
      <c r="FJ462" s="28" t="n">
        <f aca="false">IF(ISNUMBER(BB462),DF462,0)</f>
        <v>0</v>
      </c>
      <c r="FK462" s="28" t="n">
        <f aca="false">IF(ISNUMBER(BF462),DG462,0)</f>
        <v>0</v>
      </c>
      <c r="FL462" s="28" t="n">
        <f aca="false">IF(ISNUMBER(BJ462),DH462,0)</f>
        <v>0</v>
      </c>
      <c r="FM462" s="28" t="n">
        <f aca="false">IF(ISNUMBER(BN462),DI462,0)</f>
        <v>0</v>
      </c>
      <c r="FN462" s="28" t="n">
        <f aca="false">IF(ISNUMBER(BR462),DJ462,0)</f>
        <v>0</v>
      </c>
      <c r="FO462" s="28" t="str">
        <f aca="false">IFERROR(INDEX(Lists!$G$2:$G$20,MATCH($I462&amp;"|"&amp;$J462,Lists!$F$2:$F$20,0)),"")</f>
        <v/>
      </c>
    </row>
    <row r="463" customFormat="false" ht="19.5" hidden="false" customHeight="true" outlineLevel="0" collapsed="false">
      <c r="A463" s="29"/>
      <c r="B463" s="29"/>
      <c r="C463" s="30"/>
      <c r="D463" s="30"/>
      <c r="E463" s="31"/>
      <c r="F463" s="30"/>
      <c r="G463" s="30"/>
      <c r="H463" s="32"/>
      <c r="I463" s="33"/>
      <c r="J463" s="32"/>
      <c r="K463" s="34" t="str">
        <f aca="false">IF(OR(M463="",$E463=""),"",M463-$E463)</f>
        <v/>
      </c>
      <c r="L463" s="35" t="str">
        <f aca="false">IF(SUM(FA463:FN463)=0,"",SUM(EM463:EZ463)/SUM(FA463:FN463))</f>
        <v/>
      </c>
      <c r="M463" s="36" t="str">
        <f aca="false">IF(OR(L463="",FO463=""),"",IFERROR(MATCH(L463,INDEX(Boundaries!$B$2:$I$30,MATCH(FO463,Boundaries!$A$2:$A$30,0),0),1)-1,""))</f>
        <v/>
      </c>
      <c r="N463" s="37" t="str">
        <f aca="false">IF(COUNT($DY463:$EL463)&lt;2,"",INDEX($DK463:$DX463,MAX($DY463:$EL463))-INDEX($DK463:$DX463,MIN($DY463:$EL463)))</f>
        <v/>
      </c>
      <c r="O463" s="37" t="str">
        <f aca="false">IF(COUNT($DY463:$EL463)&lt;2,"",INDEX($DK463:$DX463,MAX($DY463:$EL463))-INDEX($DK463:$DX463,LARGE($DY463:$EL463,2)))</f>
        <v/>
      </c>
      <c r="P463" s="38" t="str">
        <f aca="false">IF(K463="","",IF(K463&gt;=0,"On/above target",IF(AND(N463&lt;&gt;"",N463&gt;=0.5),"Improving towards target",IF(AND(O463&lt;&gt;"",O463&lt;=-0.5),"Declining","Stable below target"))))</f>
        <v/>
      </c>
      <c r="Q463" s="39"/>
      <c r="R463" s="40" t="str">
        <f aca="false">IF(OR(Q463="",BU463=""),"",Q463/BU463*100)</f>
        <v/>
      </c>
      <c r="S463" s="41" t="str">
        <f aca="false">IF(R463="","",IFERROR(MATCH(R463,INDEX(Boundaries!$B$2:$I$30,MATCH(CI463,Boundaries!$A$2:$A$30,0),0),1)-1,""))</f>
        <v/>
      </c>
      <c r="T463" s="42" t="str">
        <f aca="false">IF(OR(S463="",$E463=""),"",S463-$E463)</f>
        <v/>
      </c>
      <c r="U463" s="39"/>
      <c r="V463" s="40" t="str">
        <f aca="false">IF(OR(U463="",BV463=""),"",U463/BV463*100)</f>
        <v/>
      </c>
      <c r="W463" s="41" t="str">
        <f aca="false">IF(V463="","",IFERROR(MATCH(V463,INDEX(Boundaries!$B$2:$I$30,MATCH(CJ463,Boundaries!$A$2:$A$30,0),0),1)-1,""))</f>
        <v/>
      </c>
      <c r="X463" s="42" t="str">
        <f aca="false">IF(OR(W463="",$E463=""),"",W463-$E463)</f>
        <v/>
      </c>
      <c r="Y463" s="39"/>
      <c r="Z463" s="40" t="str">
        <f aca="false">IF(OR(Y463="",BW463=""),"",Y463/BW463*100)</f>
        <v/>
      </c>
      <c r="AA463" s="41" t="str">
        <f aca="false">IF(Z463="","",IFERROR(MATCH(Z463,INDEX(Boundaries!$B$2:$I$30,MATCH(CK463,Boundaries!$A$2:$A$30,0),0),1)-1,""))</f>
        <v/>
      </c>
      <c r="AB463" s="42" t="str">
        <f aca="false">IF(OR(AA463="",$E463=""),"",AA463-$E463)</f>
        <v/>
      </c>
      <c r="AC463" s="39"/>
      <c r="AD463" s="40" t="str">
        <f aca="false">IF(OR(AC463="",BX463=""),"",AC463/BX463*100)</f>
        <v/>
      </c>
      <c r="AE463" s="41" t="str">
        <f aca="false">IF(AD463="","",IFERROR(MATCH(AD463,INDEX(Boundaries!$B$2:$I$30,MATCH(CL463,Boundaries!$A$2:$A$30,0),0),1)-1,""))</f>
        <v/>
      </c>
      <c r="AF463" s="42" t="str">
        <f aca="false">IF(OR(AE463="",$E463=""),"",AE463-$E463)</f>
        <v/>
      </c>
      <c r="AG463" s="39"/>
      <c r="AH463" s="40" t="str">
        <f aca="false">IF(OR(AG463="",BY463=""),"",AG463/BY463*100)</f>
        <v/>
      </c>
      <c r="AI463" s="41" t="str">
        <f aca="false">IF(AH463="","",IFERROR(MATCH(AH463,INDEX(Boundaries!$B$2:$I$30,MATCH(CM463,Boundaries!$A$2:$A$30,0),0),1)-1,""))</f>
        <v/>
      </c>
      <c r="AJ463" s="42" t="str">
        <f aca="false">IF(OR(AI463="",$E463=""),"",AI463-$E463)</f>
        <v/>
      </c>
      <c r="AK463" s="39"/>
      <c r="AL463" s="40" t="str">
        <f aca="false">IF(OR(AK463="",BZ463=""),"",AK463/BZ463*100)</f>
        <v/>
      </c>
      <c r="AM463" s="41" t="str">
        <f aca="false">IF(AL463="","",IFERROR(MATCH(AL463,INDEX(Boundaries!$B$2:$I$30,MATCH(CN463,Boundaries!$A$2:$A$30,0),0),1)-1,""))</f>
        <v/>
      </c>
      <c r="AN463" s="42" t="str">
        <f aca="false">IF(OR(AM463="",$E463=""),"",AM463-$E463)</f>
        <v/>
      </c>
      <c r="AO463" s="39"/>
      <c r="AP463" s="40" t="str">
        <f aca="false">IF(OR(AO463="",CA463=""),"",AO463/CA463*100)</f>
        <v/>
      </c>
      <c r="AQ463" s="41" t="str">
        <f aca="false">IF(AP463="","",IFERROR(MATCH(AP463,INDEX(Boundaries!$B$2:$I$30,MATCH(CO463,Boundaries!$A$2:$A$30,0),0),1)-1,""))</f>
        <v/>
      </c>
      <c r="AR463" s="42" t="str">
        <f aca="false">IF(OR(AQ463="",$E463=""),"",AQ463-$E463)</f>
        <v/>
      </c>
      <c r="AS463" s="39"/>
      <c r="AT463" s="40" t="str">
        <f aca="false">IF(OR(AS463="",CB463=""),"",AS463/CB463*100)</f>
        <v/>
      </c>
      <c r="AU463" s="41" t="str">
        <f aca="false">IF(AT463="","",IFERROR(MATCH(AT463,INDEX(Boundaries!$B$2:$I$30,MATCH(CP463,Boundaries!$A$2:$A$30,0),0),1)-1,""))</f>
        <v/>
      </c>
      <c r="AV463" s="42" t="str">
        <f aca="false">IF(OR(AU463="",$E463=""),"",AU463-$E463)</f>
        <v/>
      </c>
      <c r="AW463" s="39"/>
      <c r="AX463" s="40" t="str">
        <f aca="false">IF(OR(AW463="",CC463=""),"",AW463/CC463*100)</f>
        <v/>
      </c>
      <c r="AY463" s="41" t="str">
        <f aca="false">IF(AX463="","",IFERROR(MATCH(AX463,INDEX(Boundaries!$B$2:$I$30,MATCH(CQ463,Boundaries!$A$2:$A$30,0),0),1)-1,""))</f>
        <v/>
      </c>
      <c r="AZ463" s="42" t="str">
        <f aca="false">IF(OR(AY463="",$E463=""),"",AY463-$E463)</f>
        <v/>
      </c>
      <c r="BA463" s="39"/>
      <c r="BB463" s="40" t="str">
        <f aca="false">IF(OR(BA463="",CD463=""),"",BA463/CD463*100)</f>
        <v/>
      </c>
      <c r="BC463" s="41" t="str">
        <f aca="false">IF(BB463="","",IFERROR(MATCH(BB463,INDEX(Boundaries!$B$2:$I$30,MATCH(CR463,Boundaries!$A$2:$A$30,0),0),1)-1,""))</f>
        <v/>
      </c>
      <c r="BD463" s="42" t="str">
        <f aca="false">IF(OR(BC463="",$E463=""),"",BC463-$E463)</f>
        <v/>
      </c>
      <c r="BE463" s="39"/>
      <c r="BF463" s="40" t="str">
        <f aca="false">IF(OR(BE463="",CE463=""),"",BE463/CE463*100)</f>
        <v/>
      </c>
      <c r="BG463" s="41" t="str">
        <f aca="false">IF(BF463="","",IFERROR(MATCH(BF463,INDEX(Boundaries!$B$2:$I$30,MATCH(CS463,Boundaries!$A$2:$A$30,0),0),1)-1,""))</f>
        <v/>
      </c>
      <c r="BH463" s="42" t="str">
        <f aca="false">IF(OR(BG463="",$E463=""),"",BG463-$E463)</f>
        <v/>
      </c>
      <c r="BI463" s="39"/>
      <c r="BJ463" s="40" t="str">
        <f aca="false">IF(OR(BI463="",CF463=""),"",BI463/CF463*100)</f>
        <v/>
      </c>
      <c r="BK463" s="41" t="str">
        <f aca="false">IF(BJ463="","",IFERROR(MATCH(BJ463,INDEX(Boundaries!$B$2:$I$30,MATCH(CT463,Boundaries!$A$2:$A$30,0),0),1)-1,""))</f>
        <v/>
      </c>
      <c r="BL463" s="42" t="str">
        <f aca="false">IF(OR(BK463="",$E463=""),"",BK463-$E463)</f>
        <v/>
      </c>
      <c r="BM463" s="39"/>
      <c r="BN463" s="40" t="str">
        <f aca="false">IF(OR(BM463="",CG463=""),"",BM463/CG463*100)</f>
        <v/>
      </c>
      <c r="BO463" s="41" t="str">
        <f aca="false">IF(BN463="","",IFERROR(MATCH(BN463,INDEX(Boundaries!$B$2:$I$30,MATCH(CU463,Boundaries!$A$2:$A$30,0),0),1)-1,""))</f>
        <v/>
      </c>
      <c r="BP463" s="42" t="str">
        <f aca="false">IF(OR(BO463="",$E463=""),"",BO463-$E463)</f>
        <v/>
      </c>
      <c r="BQ463" s="39"/>
      <c r="BR463" s="40" t="str">
        <f aca="false">IF(OR(BQ463="",CH463=""),"",BQ463/CH463*100)</f>
        <v/>
      </c>
      <c r="BS463" s="41" t="str">
        <f aca="false">IF(BR463="","",IFERROR(MATCH(BR463,INDEX(Boundaries!$B$2:$I$30,MATCH(CV463,Boundaries!$A$2:$A$30,0),0),1)-1,""))</f>
        <v/>
      </c>
      <c r="BT463" s="42" t="str">
        <f aca="false">IF(OR(BS463="",$E463=""),"",BS463-$E463)</f>
        <v/>
      </c>
      <c r="BU463" s="28" t="str">
        <f aca="false">IFERROR(INDEX(Assessments!$H$2:$H$600,MATCH($H463&amp;"|"&amp;$I463&amp;"|"&amp;$J463&amp;"|"&amp;1,Assessments!$A$2:$A$600,0)),"")</f>
        <v/>
      </c>
      <c r="BV463" s="28" t="str">
        <f aca="false">IFERROR(INDEX(Assessments!$H$2:$H$600,MATCH($H463&amp;"|"&amp;$I463&amp;"|"&amp;$J463&amp;"|"&amp;2,Assessments!$A$2:$A$600,0)),"")</f>
        <v/>
      </c>
      <c r="BW463" s="28" t="str">
        <f aca="false">IFERROR(INDEX(Assessments!$H$2:$H$600,MATCH($H463&amp;"|"&amp;$I463&amp;"|"&amp;$J463&amp;"|"&amp;3,Assessments!$A$2:$A$600,0)),"")</f>
        <v/>
      </c>
      <c r="BX463" s="28" t="str">
        <f aca="false">IFERROR(INDEX(Assessments!$H$2:$H$600,MATCH($H463&amp;"|"&amp;$I463&amp;"|"&amp;$J463&amp;"|"&amp;4,Assessments!$A$2:$A$600,0)),"")</f>
        <v/>
      </c>
      <c r="BY463" s="28" t="str">
        <f aca="false">IFERROR(INDEX(Assessments!$H$2:$H$600,MATCH($H463&amp;"|"&amp;$I463&amp;"|"&amp;$J463&amp;"|"&amp;5,Assessments!$A$2:$A$600,0)),"")</f>
        <v/>
      </c>
      <c r="BZ463" s="28" t="str">
        <f aca="false">IFERROR(INDEX(Assessments!$H$2:$H$600,MATCH($H463&amp;"|"&amp;$I463&amp;"|"&amp;$J463&amp;"|"&amp;6,Assessments!$A$2:$A$600,0)),"")</f>
        <v/>
      </c>
      <c r="CA463" s="28" t="str">
        <f aca="false">IFERROR(INDEX(Assessments!$H$2:$H$600,MATCH($H463&amp;"|"&amp;$I463&amp;"|"&amp;$J463&amp;"|"&amp;7,Assessments!$A$2:$A$600,0)),"")</f>
        <v/>
      </c>
      <c r="CB463" s="28" t="str">
        <f aca="false">IFERROR(INDEX(Assessments!$H$2:$H$600,MATCH($H463&amp;"|"&amp;$I463&amp;"|"&amp;$J463&amp;"|"&amp;8,Assessments!$A$2:$A$600,0)),"")</f>
        <v/>
      </c>
      <c r="CC463" s="28" t="str">
        <f aca="false">IFERROR(INDEX(Assessments!$H$2:$H$600,MATCH($H463&amp;"|"&amp;$I463&amp;"|"&amp;$J463&amp;"|"&amp;9,Assessments!$A$2:$A$600,0)),"")</f>
        <v/>
      </c>
      <c r="CD463" s="28" t="str">
        <f aca="false">IFERROR(INDEX(Assessments!$H$2:$H$600,MATCH($H463&amp;"|"&amp;$I463&amp;"|"&amp;$J463&amp;"|"&amp;10,Assessments!$A$2:$A$600,0)),"")</f>
        <v/>
      </c>
      <c r="CE463" s="28" t="str">
        <f aca="false">IFERROR(INDEX(Assessments!$H$2:$H$600,MATCH($H463&amp;"|"&amp;$I463&amp;"|"&amp;$J463&amp;"|"&amp;11,Assessments!$A$2:$A$600,0)),"")</f>
        <v/>
      </c>
      <c r="CF463" s="28" t="str">
        <f aca="false">IFERROR(INDEX(Assessments!$H$2:$H$600,MATCH($H463&amp;"|"&amp;$I463&amp;"|"&amp;$J463&amp;"|"&amp;12,Assessments!$A$2:$A$600,0)),"")</f>
        <v/>
      </c>
      <c r="CG463" s="28" t="str">
        <f aca="false">IFERROR(INDEX(Assessments!$H$2:$H$600,MATCH($H463&amp;"|"&amp;$I463&amp;"|"&amp;$J463&amp;"|"&amp;13,Assessments!$A$2:$A$600,0)),"")</f>
        <v/>
      </c>
      <c r="CH463" s="28" t="str">
        <f aca="false">IFERROR(INDEX(Assessments!$H$2:$H$600,MATCH($H463&amp;"|"&amp;$I463&amp;"|"&amp;$J463&amp;"|"&amp;14,Assessments!$A$2:$A$600,0)),"")</f>
        <v/>
      </c>
      <c r="CI463" s="28" t="str">
        <f aca="false">IFERROR(INDEX(Assessments!$I$2:$I$600,MATCH($H463&amp;"|"&amp;$I463&amp;"|"&amp;$J463&amp;"|"&amp;1,Assessments!$A$2:$A$600,0)),"")</f>
        <v/>
      </c>
      <c r="CJ463" s="28" t="str">
        <f aca="false">IFERROR(INDEX(Assessments!$I$2:$I$600,MATCH($H463&amp;"|"&amp;$I463&amp;"|"&amp;$J463&amp;"|"&amp;2,Assessments!$A$2:$A$600,0)),"")</f>
        <v/>
      </c>
      <c r="CK463" s="28" t="str">
        <f aca="false">IFERROR(INDEX(Assessments!$I$2:$I$600,MATCH($H463&amp;"|"&amp;$I463&amp;"|"&amp;$J463&amp;"|"&amp;3,Assessments!$A$2:$A$600,0)),"")</f>
        <v/>
      </c>
      <c r="CL463" s="28" t="str">
        <f aca="false">IFERROR(INDEX(Assessments!$I$2:$I$600,MATCH($H463&amp;"|"&amp;$I463&amp;"|"&amp;$J463&amp;"|"&amp;4,Assessments!$A$2:$A$600,0)),"")</f>
        <v/>
      </c>
      <c r="CM463" s="28" t="str">
        <f aca="false">IFERROR(INDEX(Assessments!$I$2:$I$600,MATCH($H463&amp;"|"&amp;$I463&amp;"|"&amp;$J463&amp;"|"&amp;5,Assessments!$A$2:$A$600,0)),"")</f>
        <v/>
      </c>
      <c r="CN463" s="28" t="str">
        <f aca="false">IFERROR(INDEX(Assessments!$I$2:$I$600,MATCH($H463&amp;"|"&amp;$I463&amp;"|"&amp;$J463&amp;"|"&amp;6,Assessments!$A$2:$A$600,0)),"")</f>
        <v/>
      </c>
      <c r="CO463" s="28" t="str">
        <f aca="false">IFERROR(INDEX(Assessments!$I$2:$I$600,MATCH($H463&amp;"|"&amp;$I463&amp;"|"&amp;$J463&amp;"|"&amp;7,Assessments!$A$2:$A$600,0)),"")</f>
        <v/>
      </c>
      <c r="CP463" s="28" t="str">
        <f aca="false">IFERROR(INDEX(Assessments!$I$2:$I$600,MATCH($H463&amp;"|"&amp;$I463&amp;"|"&amp;$J463&amp;"|"&amp;8,Assessments!$A$2:$A$600,0)),"")</f>
        <v/>
      </c>
      <c r="CQ463" s="28" t="str">
        <f aca="false">IFERROR(INDEX(Assessments!$I$2:$I$600,MATCH($H463&amp;"|"&amp;$I463&amp;"|"&amp;$J463&amp;"|"&amp;9,Assessments!$A$2:$A$600,0)),"")</f>
        <v/>
      </c>
      <c r="CR463" s="28" t="str">
        <f aca="false">IFERROR(INDEX(Assessments!$I$2:$I$600,MATCH($H463&amp;"|"&amp;$I463&amp;"|"&amp;$J463&amp;"|"&amp;10,Assessments!$A$2:$A$600,0)),"")</f>
        <v/>
      </c>
      <c r="CS463" s="28" t="str">
        <f aca="false">IFERROR(INDEX(Assessments!$I$2:$I$600,MATCH($H463&amp;"|"&amp;$I463&amp;"|"&amp;$J463&amp;"|"&amp;11,Assessments!$A$2:$A$600,0)),"")</f>
        <v/>
      </c>
      <c r="CT463" s="28" t="str">
        <f aca="false">IFERROR(INDEX(Assessments!$I$2:$I$600,MATCH($H463&amp;"|"&amp;$I463&amp;"|"&amp;$J463&amp;"|"&amp;12,Assessments!$A$2:$A$600,0)),"")</f>
        <v/>
      </c>
      <c r="CU463" s="28" t="str">
        <f aca="false">IFERROR(INDEX(Assessments!$I$2:$I$600,MATCH($H463&amp;"|"&amp;$I463&amp;"|"&amp;$J463&amp;"|"&amp;13,Assessments!$A$2:$A$600,0)),"")</f>
        <v/>
      </c>
      <c r="CV463" s="28" t="str">
        <f aca="false">IFERROR(INDEX(Assessments!$I$2:$I$600,MATCH($H463&amp;"|"&amp;$I463&amp;"|"&amp;$J463&amp;"|"&amp;14,Assessments!$A$2:$A$600,0)),"")</f>
        <v/>
      </c>
      <c r="CW463" s="28" t="n">
        <f aca="false">IFERROR(INDEX(Assessments!$J$2:$J$600,MATCH($H463&amp;"|"&amp;$I463&amp;"|"&amp;$J463&amp;"|"&amp;1,Assessments!$A$2:$A$600,0)),0)</f>
        <v>0</v>
      </c>
      <c r="CX463" s="28" t="n">
        <f aca="false">IFERROR(INDEX(Assessments!$J$2:$J$600,MATCH($H463&amp;"|"&amp;$I463&amp;"|"&amp;$J463&amp;"|"&amp;2,Assessments!$A$2:$A$600,0)),0)</f>
        <v>0</v>
      </c>
      <c r="CY463" s="28" t="n">
        <f aca="false">IFERROR(INDEX(Assessments!$J$2:$J$600,MATCH($H463&amp;"|"&amp;$I463&amp;"|"&amp;$J463&amp;"|"&amp;3,Assessments!$A$2:$A$600,0)),0)</f>
        <v>0</v>
      </c>
      <c r="CZ463" s="28" t="n">
        <f aca="false">IFERROR(INDEX(Assessments!$J$2:$J$600,MATCH($H463&amp;"|"&amp;$I463&amp;"|"&amp;$J463&amp;"|"&amp;4,Assessments!$A$2:$A$600,0)),0)</f>
        <v>0</v>
      </c>
      <c r="DA463" s="28" t="n">
        <f aca="false">IFERROR(INDEX(Assessments!$J$2:$J$600,MATCH($H463&amp;"|"&amp;$I463&amp;"|"&amp;$J463&amp;"|"&amp;5,Assessments!$A$2:$A$600,0)),0)</f>
        <v>0</v>
      </c>
      <c r="DB463" s="28" t="n">
        <f aca="false">IFERROR(INDEX(Assessments!$J$2:$J$600,MATCH($H463&amp;"|"&amp;$I463&amp;"|"&amp;$J463&amp;"|"&amp;6,Assessments!$A$2:$A$600,0)),0)</f>
        <v>0</v>
      </c>
      <c r="DC463" s="28" t="n">
        <f aca="false">IFERROR(INDEX(Assessments!$J$2:$J$600,MATCH($H463&amp;"|"&amp;$I463&amp;"|"&amp;$J463&amp;"|"&amp;7,Assessments!$A$2:$A$600,0)),0)</f>
        <v>0</v>
      </c>
      <c r="DD463" s="28" t="n">
        <f aca="false">IFERROR(INDEX(Assessments!$J$2:$J$600,MATCH($H463&amp;"|"&amp;$I463&amp;"|"&amp;$J463&amp;"|"&amp;8,Assessments!$A$2:$A$600,0)),0)</f>
        <v>0</v>
      </c>
      <c r="DE463" s="28" t="n">
        <f aca="false">IFERROR(INDEX(Assessments!$J$2:$J$600,MATCH($H463&amp;"|"&amp;$I463&amp;"|"&amp;$J463&amp;"|"&amp;9,Assessments!$A$2:$A$600,0)),0)</f>
        <v>0</v>
      </c>
      <c r="DF463" s="28" t="n">
        <f aca="false">IFERROR(INDEX(Assessments!$J$2:$J$600,MATCH($H463&amp;"|"&amp;$I463&amp;"|"&amp;$J463&amp;"|"&amp;10,Assessments!$A$2:$A$600,0)),0)</f>
        <v>0</v>
      </c>
      <c r="DG463" s="28" t="n">
        <f aca="false">IFERROR(INDEX(Assessments!$J$2:$J$600,MATCH($H463&amp;"|"&amp;$I463&amp;"|"&amp;$J463&amp;"|"&amp;11,Assessments!$A$2:$A$600,0)),0)</f>
        <v>0</v>
      </c>
      <c r="DH463" s="28" t="n">
        <f aca="false">IFERROR(INDEX(Assessments!$J$2:$J$600,MATCH($H463&amp;"|"&amp;$I463&amp;"|"&amp;$J463&amp;"|"&amp;12,Assessments!$A$2:$A$600,0)),0)</f>
        <v>0</v>
      </c>
      <c r="DI463" s="28" t="n">
        <f aca="false">IFERROR(INDEX(Assessments!$J$2:$J$600,MATCH($H463&amp;"|"&amp;$I463&amp;"|"&amp;$J463&amp;"|"&amp;13,Assessments!$A$2:$A$600,0)),0)</f>
        <v>0</v>
      </c>
      <c r="DJ463" s="28" t="n">
        <f aca="false">IFERROR(INDEX(Assessments!$J$2:$J$600,MATCH($H463&amp;"|"&amp;$I463&amp;"|"&amp;$J463&amp;"|"&amp;14,Assessments!$A$2:$A$600,0)),0)</f>
        <v>0</v>
      </c>
      <c r="DK463" s="28" t="str">
        <f aca="false">S463</f>
        <v/>
      </c>
      <c r="DL463" s="28" t="str">
        <f aca="false">W463</f>
        <v/>
      </c>
      <c r="DM463" s="28" t="str">
        <f aca="false">AA463</f>
        <v/>
      </c>
      <c r="DN463" s="28" t="str">
        <f aca="false">AE463</f>
        <v/>
      </c>
      <c r="DO463" s="28" t="str">
        <f aca="false">AI463</f>
        <v/>
      </c>
      <c r="DP463" s="28" t="str">
        <f aca="false">AM463</f>
        <v/>
      </c>
      <c r="DQ463" s="28" t="str">
        <f aca="false">AQ463</f>
        <v/>
      </c>
      <c r="DR463" s="28" t="str">
        <f aca="false">AU463</f>
        <v/>
      </c>
      <c r="DS463" s="28" t="str">
        <f aca="false">AY463</f>
        <v/>
      </c>
      <c r="DT463" s="28" t="str">
        <f aca="false">BC463</f>
        <v/>
      </c>
      <c r="DU463" s="28" t="str">
        <f aca="false">BG463</f>
        <v/>
      </c>
      <c r="DV463" s="28" t="str">
        <f aca="false">BK463</f>
        <v/>
      </c>
      <c r="DW463" s="28" t="str">
        <f aca="false">BO463</f>
        <v/>
      </c>
      <c r="DX463" s="28" t="str">
        <f aca="false">BS463</f>
        <v/>
      </c>
      <c r="DY463" s="28" t="str">
        <f aca="false">IF(ISNUMBER(S463),1,"")</f>
        <v/>
      </c>
      <c r="DZ463" s="28" t="str">
        <f aca="false">IF(ISNUMBER(W463),2,"")</f>
        <v/>
      </c>
      <c r="EA463" s="28" t="str">
        <f aca="false">IF(ISNUMBER(AA463),3,"")</f>
        <v/>
      </c>
      <c r="EB463" s="28" t="str">
        <f aca="false">IF(ISNUMBER(AE463),4,"")</f>
        <v/>
      </c>
      <c r="EC463" s="28" t="str">
        <f aca="false">IF(ISNUMBER(AI463),5,"")</f>
        <v/>
      </c>
      <c r="ED463" s="28" t="str">
        <f aca="false">IF(ISNUMBER(AM463),6,"")</f>
        <v/>
      </c>
      <c r="EE463" s="28" t="str">
        <f aca="false">IF(ISNUMBER(AQ463),7,"")</f>
        <v/>
      </c>
      <c r="EF463" s="28" t="str">
        <f aca="false">IF(ISNUMBER(AU463),8,"")</f>
        <v/>
      </c>
      <c r="EG463" s="28" t="str">
        <f aca="false">IF(ISNUMBER(AY463),9,"")</f>
        <v/>
      </c>
      <c r="EH463" s="28" t="str">
        <f aca="false">IF(ISNUMBER(BC463),10,"")</f>
        <v/>
      </c>
      <c r="EI463" s="28" t="str">
        <f aca="false">IF(ISNUMBER(BG463),11,"")</f>
        <v/>
      </c>
      <c r="EJ463" s="28" t="str">
        <f aca="false">IF(ISNUMBER(BK463),12,"")</f>
        <v/>
      </c>
      <c r="EK463" s="28" t="str">
        <f aca="false">IF(ISNUMBER(BO463),13,"")</f>
        <v/>
      </c>
      <c r="EL463" s="28" t="str">
        <f aca="false">IF(ISNUMBER(BS463),14,"")</f>
        <v/>
      </c>
      <c r="EM463" s="28" t="n">
        <f aca="false">IF(ISNUMBER(R463),R463*CW463,0)</f>
        <v>0</v>
      </c>
      <c r="EN463" s="28" t="n">
        <f aca="false">IF(ISNUMBER(V463),V463*CX463,0)</f>
        <v>0</v>
      </c>
      <c r="EO463" s="28" t="n">
        <f aca="false">IF(ISNUMBER(Z463),Z463*CY463,0)</f>
        <v>0</v>
      </c>
      <c r="EP463" s="28" t="n">
        <f aca="false">IF(ISNUMBER(AD463),AD463*CZ463,0)</f>
        <v>0</v>
      </c>
      <c r="EQ463" s="28" t="n">
        <f aca="false">IF(ISNUMBER(AH463),AH463*DA463,0)</f>
        <v>0</v>
      </c>
      <c r="ER463" s="28" t="n">
        <f aca="false">IF(ISNUMBER(AL463),AL463*DB463,0)</f>
        <v>0</v>
      </c>
      <c r="ES463" s="28" t="n">
        <f aca="false">IF(ISNUMBER(AP463),AP463*DC463,0)</f>
        <v>0</v>
      </c>
      <c r="ET463" s="28" t="n">
        <f aca="false">IF(ISNUMBER(AT463),AT463*DD463,0)</f>
        <v>0</v>
      </c>
      <c r="EU463" s="28" t="n">
        <f aca="false">IF(ISNUMBER(AX463),AX463*DE463,0)</f>
        <v>0</v>
      </c>
      <c r="EV463" s="28" t="n">
        <f aca="false">IF(ISNUMBER(BB463),BB463*DF463,0)</f>
        <v>0</v>
      </c>
      <c r="EW463" s="28" t="n">
        <f aca="false">IF(ISNUMBER(BF463),BF463*DG463,0)</f>
        <v>0</v>
      </c>
      <c r="EX463" s="28" t="n">
        <f aca="false">IF(ISNUMBER(BJ463),BJ463*DH463,0)</f>
        <v>0</v>
      </c>
      <c r="EY463" s="28" t="n">
        <f aca="false">IF(ISNUMBER(BN463),BN463*DI463,0)</f>
        <v>0</v>
      </c>
      <c r="EZ463" s="28" t="n">
        <f aca="false">IF(ISNUMBER(BR463),BR463*DJ463,0)</f>
        <v>0</v>
      </c>
      <c r="FA463" s="28" t="n">
        <f aca="false">IF(ISNUMBER(R463),CW463,0)</f>
        <v>0</v>
      </c>
      <c r="FB463" s="28" t="n">
        <f aca="false">IF(ISNUMBER(V463),CX463,0)</f>
        <v>0</v>
      </c>
      <c r="FC463" s="28" t="n">
        <f aca="false">IF(ISNUMBER(Z463),CY463,0)</f>
        <v>0</v>
      </c>
      <c r="FD463" s="28" t="n">
        <f aca="false">IF(ISNUMBER(AD463),CZ463,0)</f>
        <v>0</v>
      </c>
      <c r="FE463" s="28" t="n">
        <f aca="false">IF(ISNUMBER(AH463),DA463,0)</f>
        <v>0</v>
      </c>
      <c r="FF463" s="28" t="n">
        <f aca="false">IF(ISNUMBER(AL463),DB463,0)</f>
        <v>0</v>
      </c>
      <c r="FG463" s="28" t="n">
        <f aca="false">IF(ISNUMBER(AP463),DC463,0)</f>
        <v>0</v>
      </c>
      <c r="FH463" s="28" t="n">
        <f aca="false">IF(ISNUMBER(AT463),DD463,0)</f>
        <v>0</v>
      </c>
      <c r="FI463" s="28" t="n">
        <f aca="false">IF(ISNUMBER(AX463),DE463,0)</f>
        <v>0</v>
      </c>
      <c r="FJ463" s="28" t="n">
        <f aca="false">IF(ISNUMBER(BB463),DF463,0)</f>
        <v>0</v>
      </c>
      <c r="FK463" s="28" t="n">
        <f aca="false">IF(ISNUMBER(BF463),DG463,0)</f>
        <v>0</v>
      </c>
      <c r="FL463" s="28" t="n">
        <f aca="false">IF(ISNUMBER(BJ463),DH463,0)</f>
        <v>0</v>
      </c>
      <c r="FM463" s="28" t="n">
        <f aca="false">IF(ISNUMBER(BN463),DI463,0)</f>
        <v>0</v>
      </c>
      <c r="FN463" s="28" t="n">
        <f aca="false">IF(ISNUMBER(BR463),DJ463,0)</f>
        <v>0</v>
      </c>
      <c r="FO463" s="28" t="str">
        <f aca="false">IFERROR(INDEX(Lists!$G$2:$G$20,MATCH($I463&amp;"|"&amp;$J463,Lists!$F$2:$F$20,0)),"")</f>
        <v/>
      </c>
    </row>
    <row r="464" customFormat="false" ht="19.5" hidden="false" customHeight="true" outlineLevel="0" collapsed="false">
      <c r="A464" s="29"/>
      <c r="B464" s="29"/>
      <c r="C464" s="30"/>
      <c r="D464" s="30"/>
      <c r="E464" s="31"/>
      <c r="F464" s="30"/>
      <c r="G464" s="30"/>
      <c r="H464" s="32"/>
      <c r="I464" s="33"/>
      <c r="J464" s="32"/>
      <c r="K464" s="34" t="str">
        <f aca="false">IF(OR(M464="",$E464=""),"",M464-$E464)</f>
        <v/>
      </c>
      <c r="L464" s="35" t="str">
        <f aca="false">IF(SUM(FA464:FN464)=0,"",SUM(EM464:EZ464)/SUM(FA464:FN464))</f>
        <v/>
      </c>
      <c r="M464" s="36" t="str">
        <f aca="false">IF(OR(L464="",FO464=""),"",IFERROR(MATCH(L464,INDEX(Boundaries!$B$2:$I$30,MATCH(FO464,Boundaries!$A$2:$A$30,0),0),1)-1,""))</f>
        <v/>
      </c>
      <c r="N464" s="37" t="str">
        <f aca="false">IF(COUNT($DY464:$EL464)&lt;2,"",INDEX($DK464:$DX464,MAX($DY464:$EL464))-INDEX($DK464:$DX464,MIN($DY464:$EL464)))</f>
        <v/>
      </c>
      <c r="O464" s="37" t="str">
        <f aca="false">IF(COUNT($DY464:$EL464)&lt;2,"",INDEX($DK464:$DX464,MAX($DY464:$EL464))-INDEX($DK464:$DX464,LARGE($DY464:$EL464,2)))</f>
        <v/>
      </c>
      <c r="P464" s="38" t="str">
        <f aca="false">IF(K464="","",IF(K464&gt;=0,"On/above target",IF(AND(N464&lt;&gt;"",N464&gt;=0.5),"Improving towards target",IF(AND(O464&lt;&gt;"",O464&lt;=-0.5),"Declining","Stable below target"))))</f>
        <v/>
      </c>
      <c r="Q464" s="39"/>
      <c r="R464" s="40" t="str">
        <f aca="false">IF(OR(Q464="",BU464=""),"",Q464/BU464*100)</f>
        <v/>
      </c>
      <c r="S464" s="41" t="str">
        <f aca="false">IF(R464="","",IFERROR(MATCH(R464,INDEX(Boundaries!$B$2:$I$30,MATCH(CI464,Boundaries!$A$2:$A$30,0),0),1)-1,""))</f>
        <v/>
      </c>
      <c r="T464" s="42" t="str">
        <f aca="false">IF(OR(S464="",$E464=""),"",S464-$E464)</f>
        <v/>
      </c>
      <c r="U464" s="39"/>
      <c r="V464" s="40" t="str">
        <f aca="false">IF(OR(U464="",BV464=""),"",U464/BV464*100)</f>
        <v/>
      </c>
      <c r="W464" s="41" t="str">
        <f aca="false">IF(V464="","",IFERROR(MATCH(V464,INDEX(Boundaries!$B$2:$I$30,MATCH(CJ464,Boundaries!$A$2:$A$30,0),0),1)-1,""))</f>
        <v/>
      </c>
      <c r="X464" s="42" t="str">
        <f aca="false">IF(OR(W464="",$E464=""),"",W464-$E464)</f>
        <v/>
      </c>
      <c r="Y464" s="39"/>
      <c r="Z464" s="40" t="str">
        <f aca="false">IF(OR(Y464="",BW464=""),"",Y464/BW464*100)</f>
        <v/>
      </c>
      <c r="AA464" s="41" t="str">
        <f aca="false">IF(Z464="","",IFERROR(MATCH(Z464,INDEX(Boundaries!$B$2:$I$30,MATCH(CK464,Boundaries!$A$2:$A$30,0),0),1)-1,""))</f>
        <v/>
      </c>
      <c r="AB464" s="42" t="str">
        <f aca="false">IF(OR(AA464="",$E464=""),"",AA464-$E464)</f>
        <v/>
      </c>
      <c r="AC464" s="39"/>
      <c r="AD464" s="40" t="str">
        <f aca="false">IF(OR(AC464="",BX464=""),"",AC464/BX464*100)</f>
        <v/>
      </c>
      <c r="AE464" s="41" t="str">
        <f aca="false">IF(AD464="","",IFERROR(MATCH(AD464,INDEX(Boundaries!$B$2:$I$30,MATCH(CL464,Boundaries!$A$2:$A$30,0),0),1)-1,""))</f>
        <v/>
      </c>
      <c r="AF464" s="42" t="str">
        <f aca="false">IF(OR(AE464="",$E464=""),"",AE464-$E464)</f>
        <v/>
      </c>
      <c r="AG464" s="39"/>
      <c r="AH464" s="40" t="str">
        <f aca="false">IF(OR(AG464="",BY464=""),"",AG464/BY464*100)</f>
        <v/>
      </c>
      <c r="AI464" s="41" t="str">
        <f aca="false">IF(AH464="","",IFERROR(MATCH(AH464,INDEX(Boundaries!$B$2:$I$30,MATCH(CM464,Boundaries!$A$2:$A$30,0),0),1)-1,""))</f>
        <v/>
      </c>
      <c r="AJ464" s="42" t="str">
        <f aca="false">IF(OR(AI464="",$E464=""),"",AI464-$E464)</f>
        <v/>
      </c>
      <c r="AK464" s="39"/>
      <c r="AL464" s="40" t="str">
        <f aca="false">IF(OR(AK464="",BZ464=""),"",AK464/BZ464*100)</f>
        <v/>
      </c>
      <c r="AM464" s="41" t="str">
        <f aca="false">IF(AL464="","",IFERROR(MATCH(AL464,INDEX(Boundaries!$B$2:$I$30,MATCH(CN464,Boundaries!$A$2:$A$30,0),0),1)-1,""))</f>
        <v/>
      </c>
      <c r="AN464" s="42" t="str">
        <f aca="false">IF(OR(AM464="",$E464=""),"",AM464-$E464)</f>
        <v/>
      </c>
      <c r="AO464" s="39"/>
      <c r="AP464" s="40" t="str">
        <f aca="false">IF(OR(AO464="",CA464=""),"",AO464/CA464*100)</f>
        <v/>
      </c>
      <c r="AQ464" s="41" t="str">
        <f aca="false">IF(AP464="","",IFERROR(MATCH(AP464,INDEX(Boundaries!$B$2:$I$30,MATCH(CO464,Boundaries!$A$2:$A$30,0),0),1)-1,""))</f>
        <v/>
      </c>
      <c r="AR464" s="42" t="str">
        <f aca="false">IF(OR(AQ464="",$E464=""),"",AQ464-$E464)</f>
        <v/>
      </c>
      <c r="AS464" s="39"/>
      <c r="AT464" s="40" t="str">
        <f aca="false">IF(OR(AS464="",CB464=""),"",AS464/CB464*100)</f>
        <v/>
      </c>
      <c r="AU464" s="41" t="str">
        <f aca="false">IF(AT464="","",IFERROR(MATCH(AT464,INDEX(Boundaries!$B$2:$I$30,MATCH(CP464,Boundaries!$A$2:$A$30,0),0),1)-1,""))</f>
        <v/>
      </c>
      <c r="AV464" s="42" t="str">
        <f aca="false">IF(OR(AU464="",$E464=""),"",AU464-$E464)</f>
        <v/>
      </c>
      <c r="AW464" s="39"/>
      <c r="AX464" s="40" t="str">
        <f aca="false">IF(OR(AW464="",CC464=""),"",AW464/CC464*100)</f>
        <v/>
      </c>
      <c r="AY464" s="41" t="str">
        <f aca="false">IF(AX464="","",IFERROR(MATCH(AX464,INDEX(Boundaries!$B$2:$I$30,MATCH(CQ464,Boundaries!$A$2:$A$30,0),0),1)-1,""))</f>
        <v/>
      </c>
      <c r="AZ464" s="42" t="str">
        <f aca="false">IF(OR(AY464="",$E464=""),"",AY464-$E464)</f>
        <v/>
      </c>
      <c r="BA464" s="39"/>
      <c r="BB464" s="40" t="str">
        <f aca="false">IF(OR(BA464="",CD464=""),"",BA464/CD464*100)</f>
        <v/>
      </c>
      <c r="BC464" s="41" t="str">
        <f aca="false">IF(BB464="","",IFERROR(MATCH(BB464,INDEX(Boundaries!$B$2:$I$30,MATCH(CR464,Boundaries!$A$2:$A$30,0),0),1)-1,""))</f>
        <v/>
      </c>
      <c r="BD464" s="42" t="str">
        <f aca="false">IF(OR(BC464="",$E464=""),"",BC464-$E464)</f>
        <v/>
      </c>
      <c r="BE464" s="39"/>
      <c r="BF464" s="40" t="str">
        <f aca="false">IF(OR(BE464="",CE464=""),"",BE464/CE464*100)</f>
        <v/>
      </c>
      <c r="BG464" s="41" t="str">
        <f aca="false">IF(BF464="","",IFERROR(MATCH(BF464,INDEX(Boundaries!$B$2:$I$30,MATCH(CS464,Boundaries!$A$2:$A$30,0),0),1)-1,""))</f>
        <v/>
      </c>
      <c r="BH464" s="42" t="str">
        <f aca="false">IF(OR(BG464="",$E464=""),"",BG464-$E464)</f>
        <v/>
      </c>
      <c r="BI464" s="39"/>
      <c r="BJ464" s="40" t="str">
        <f aca="false">IF(OR(BI464="",CF464=""),"",BI464/CF464*100)</f>
        <v/>
      </c>
      <c r="BK464" s="41" t="str">
        <f aca="false">IF(BJ464="","",IFERROR(MATCH(BJ464,INDEX(Boundaries!$B$2:$I$30,MATCH(CT464,Boundaries!$A$2:$A$30,0),0),1)-1,""))</f>
        <v/>
      </c>
      <c r="BL464" s="42" t="str">
        <f aca="false">IF(OR(BK464="",$E464=""),"",BK464-$E464)</f>
        <v/>
      </c>
      <c r="BM464" s="39"/>
      <c r="BN464" s="40" t="str">
        <f aca="false">IF(OR(BM464="",CG464=""),"",BM464/CG464*100)</f>
        <v/>
      </c>
      <c r="BO464" s="41" t="str">
        <f aca="false">IF(BN464="","",IFERROR(MATCH(BN464,INDEX(Boundaries!$B$2:$I$30,MATCH(CU464,Boundaries!$A$2:$A$30,0),0),1)-1,""))</f>
        <v/>
      </c>
      <c r="BP464" s="42" t="str">
        <f aca="false">IF(OR(BO464="",$E464=""),"",BO464-$E464)</f>
        <v/>
      </c>
      <c r="BQ464" s="39"/>
      <c r="BR464" s="40" t="str">
        <f aca="false">IF(OR(BQ464="",CH464=""),"",BQ464/CH464*100)</f>
        <v/>
      </c>
      <c r="BS464" s="41" t="str">
        <f aca="false">IF(BR464="","",IFERROR(MATCH(BR464,INDEX(Boundaries!$B$2:$I$30,MATCH(CV464,Boundaries!$A$2:$A$30,0),0),1)-1,""))</f>
        <v/>
      </c>
      <c r="BT464" s="42" t="str">
        <f aca="false">IF(OR(BS464="",$E464=""),"",BS464-$E464)</f>
        <v/>
      </c>
      <c r="BU464" s="28" t="str">
        <f aca="false">IFERROR(INDEX(Assessments!$H$2:$H$600,MATCH($H464&amp;"|"&amp;$I464&amp;"|"&amp;$J464&amp;"|"&amp;1,Assessments!$A$2:$A$600,0)),"")</f>
        <v/>
      </c>
      <c r="BV464" s="28" t="str">
        <f aca="false">IFERROR(INDEX(Assessments!$H$2:$H$600,MATCH($H464&amp;"|"&amp;$I464&amp;"|"&amp;$J464&amp;"|"&amp;2,Assessments!$A$2:$A$600,0)),"")</f>
        <v/>
      </c>
      <c r="BW464" s="28" t="str">
        <f aca="false">IFERROR(INDEX(Assessments!$H$2:$H$600,MATCH($H464&amp;"|"&amp;$I464&amp;"|"&amp;$J464&amp;"|"&amp;3,Assessments!$A$2:$A$600,0)),"")</f>
        <v/>
      </c>
      <c r="BX464" s="28" t="str">
        <f aca="false">IFERROR(INDEX(Assessments!$H$2:$H$600,MATCH($H464&amp;"|"&amp;$I464&amp;"|"&amp;$J464&amp;"|"&amp;4,Assessments!$A$2:$A$600,0)),"")</f>
        <v/>
      </c>
      <c r="BY464" s="28" t="str">
        <f aca="false">IFERROR(INDEX(Assessments!$H$2:$H$600,MATCH($H464&amp;"|"&amp;$I464&amp;"|"&amp;$J464&amp;"|"&amp;5,Assessments!$A$2:$A$600,0)),"")</f>
        <v/>
      </c>
      <c r="BZ464" s="28" t="str">
        <f aca="false">IFERROR(INDEX(Assessments!$H$2:$H$600,MATCH($H464&amp;"|"&amp;$I464&amp;"|"&amp;$J464&amp;"|"&amp;6,Assessments!$A$2:$A$600,0)),"")</f>
        <v/>
      </c>
      <c r="CA464" s="28" t="str">
        <f aca="false">IFERROR(INDEX(Assessments!$H$2:$H$600,MATCH($H464&amp;"|"&amp;$I464&amp;"|"&amp;$J464&amp;"|"&amp;7,Assessments!$A$2:$A$600,0)),"")</f>
        <v/>
      </c>
      <c r="CB464" s="28" t="str">
        <f aca="false">IFERROR(INDEX(Assessments!$H$2:$H$600,MATCH($H464&amp;"|"&amp;$I464&amp;"|"&amp;$J464&amp;"|"&amp;8,Assessments!$A$2:$A$600,0)),"")</f>
        <v/>
      </c>
      <c r="CC464" s="28" t="str">
        <f aca="false">IFERROR(INDEX(Assessments!$H$2:$H$600,MATCH($H464&amp;"|"&amp;$I464&amp;"|"&amp;$J464&amp;"|"&amp;9,Assessments!$A$2:$A$600,0)),"")</f>
        <v/>
      </c>
      <c r="CD464" s="28" t="str">
        <f aca="false">IFERROR(INDEX(Assessments!$H$2:$H$600,MATCH($H464&amp;"|"&amp;$I464&amp;"|"&amp;$J464&amp;"|"&amp;10,Assessments!$A$2:$A$600,0)),"")</f>
        <v/>
      </c>
      <c r="CE464" s="28" t="str">
        <f aca="false">IFERROR(INDEX(Assessments!$H$2:$H$600,MATCH($H464&amp;"|"&amp;$I464&amp;"|"&amp;$J464&amp;"|"&amp;11,Assessments!$A$2:$A$600,0)),"")</f>
        <v/>
      </c>
      <c r="CF464" s="28" t="str">
        <f aca="false">IFERROR(INDEX(Assessments!$H$2:$H$600,MATCH($H464&amp;"|"&amp;$I464&amp;"|"&amp;$J464&amp;"|"&amp;12,Assessments!$A$2:$A$600,0)),"")</f>
        <v/>
      </c>
      <c r="CG464" s="28" t="str">
        <f aca="false">IFERROR(INDEX(Assessments!$H$2:$H$600,MATCH($H464&amp;"|"&amp;$I464&amp;"|"&amp;$J464&amp;"|"&amp;13,Assessments!$A$2:$A$600,0)),"")</f>
        <v/>
      </c>
      <c r="CH464" s="28" t="str">
        <f aca="false">IFERROR(INDEX(Assessments!$H$2:$H$600,MATCH($H464&amp;"|"&amp;$I464&amp;"|"&amp;$J464&amp;"|"&amp;14,Assessments!$A$2:$A$600,0)),"")</f>
        <v/>
      </c>
      <c r="CI464" s="28" t="str">
        <f aca="false">IFERROR(INDEX(Assessments!$I$2:$I$600,MATCH($H464&amp;"|"&amp;$I464&amp;"|"&amp;$J464&amp;"|"&amp;1,Assessments!$A$2:$A$600,0)),"")</f>
        <v/>
      </c>
      <c r="CJ464" s="28" t="str">
        <f aca="false">IFERROR(INDEX(Assessments!$I$2:$I$600,MATCH($H464&amp;"|"&amp;$I464&amp;"|"&amp;$J464&amp;"|"&amp;2,Assessments!$A$2:$A$600,0)),"")</f>
        <v/>
      </c>
      <c r="CK464" s="28" t="str">
        <f aca="false">IFERROR(INDEX(Assessments!$I$2:$I$600,MATCH($H464&amp;"|"&amp;$I464&amp;"|"&amp;$J464&amp;"|"&amp;3,Assessments!$A$2:$A$600,0)),"")</f>
        <v/>
      </c>
      <c r="CL464" s="28" t="str">
        <f aca="false">IFERROR(INDEX(Assessments!$I$2:$I$600,MATCH($H464&amp;"|"&amp;$I464&amp;"|"&amp;$J464&amp;"|"&amp;4,Assessments!$A$2:$A$600,0)),"")</f>
        <v/>
      </c>
      <c r="CM464" s="28" t="str">
        <f aca="false">IFERROR(INDEX(Assessments!$I$2:$I$600,MATCH($H464&amp;"|"&amp;$I464&amp;"|"&amp;$J464&amp;"|"&amp;5,Assessments!$A$2:$A$600,0)),"")</f>
        <v/>
      </c>
      <c r="CN464" s="28" t="str">
        <f aca="false">IFERROR(INDEX(Assessments!$I$2:$I$600,MATCH($H464&amp;"|"&amp;$I464&amp;"|"&amp;$J464&amp;"|"&amp;6,Assessments!$A$2:$A$600,0)),"")</f>
        <v/>
      </c>
      <c r="CO464" s="28" t="str">
        <f aca="false">IFERROR(INDEX(Assessments!$I$2:$I$600,MATCH($H464&amp;"|"&amp;$I464&amp;"|"&amp;$J464&amp;"|"&amp;7,Assessments!$A$2:$A$600,0)),"")</f>
        <v/>
      </c>
      <c r="CP464" s="28" t="str">
        <f aca="false">IFERROR(INDEX(Assessments!$I$2:$I$600,MATCH($H464&amp;"|"&amp;$I464&amp;"|"&amp;$J464&amp;"|"&amp;8,Assessments!$A$2:$A$600,0)),"")</f>
        <v/>
      </c>
      <c r="CQ464" s="28" t="str">
        <f aca="false">IFERROR(INDEX(Assessments!$I$2:$I$600,MATCH($H464&amp;"|"&amp;$I464&amp;"|"&amp;$J464&amp;"|"&amp;9,Assessments!$A$2:$A$600,0)),"")</f>
        <v/>
      </c>
      <c r="CR464" s="28" t="str">
        <f aca="false">IFERROR(INDEX(Assessments!$I$2:$I$600,MATCH($H464&amp;"|"&amp;$I464&amp;"|"&amp;$J464&amp;"|"&amp;10,Assessments!$A$2:$A$600,0)),"")</f>
        <v/>
      </c>
      <c r="CS464" s="28" t="str">
        <f aca="false">IFERROR(INDEX(Assessments!$I$2:$I$600,MATCH($H464&amp;"|"&amp;$I464&amp;"|"&amp;$J464&amp;"|"&amp;11,Assessments!$A$2:$A$600,0)),"")</f>
        <v/>
      </c>
      <c r="CT464" s="28" t="str">
        <f aca="false">IFERROR(INDEX(Assessments!$I$2:$I$600,MATCH($H464&amp;"|"&amp;$I464&amp;"|"&amp;$J464&amp;"|"&amp;12,Assessments!$A$2:$A$600,0)),"")</f>
        <v/>
      </c>
      <c r="CU464" s="28" t="str">
        <f aca="false">IFERROR(INDEX(Assessments!$I$2:$I$600,MATCH($H464&amp;"|"&amp;$I464&amp;"|"&amp;$J464&amp;"|"&amp;13,Assessments!$A$2:$A$600,0)),"")</f>
        <v/>
      </c>
      <c r="CV464" s="28" t="str">
        <f aca="false">IFERROR(INDEX(Assessments!$I$2:$I$600,MATCH($H464&amp;"|"&amp;$I464&amp;"|"&amp;$J464&amp;"|"&amp;14,Assessments!$A$2:$A$600,0)),"")</f>
        <v/>
      </c>
      <c r="CW464" s="28" t="n">
        <f aca="false">IFERROR(INDEX(Assessments!$J$2:$J$600,MATCH($H464&amp;"|"&amp;$I464&amp;"|"&amp;$J464&amp;"|"&amp;1,Assessments!$A$2:$A$600,0)),0)</f>
        <v>0</v>
      </c>
      <c r="CX464" s="28" t="n">
        <f aca="false">IFERROR(INDEX(Assessments!$J$2:$J$600,MATCH($H464&amp;"|"&amp;$I464&amp;"|"&amp;$J464&amp;"|"&amp;2,Assessments!$A$2:$A$600,0)),0)</f>
        <v>0</v>
      </c>
      <c r="CY464" s="28" t="n">
        <f aca="false">IFERROR(INDEX(Assessments!$J$2:$J$600,MATCH($H464&amp;"|"&amp;$I464&amp;"|"&amp;$J464&amp;"|"&amp;3,Assessments!$A$2:$A$600,0)),0)</f>
        <v>0</v>
      </c>
      <c r="CZ464" s="28" t="n">
        <f aca="false">IFERROR(INDEX(Assessments!$J$2:$J$600,MATCH($H464&amp;"|"&amp;$I464&amp;"|"&amp;$J464&amp;"|"&amp;4,Assessments!$A$2:$A$600,0)),0)</f>
        <v>0</v>
      </c>
      <c r="DA464" s="28" t="n">
        <f aca="false">IFERROR(INDEX(Assessments!$J$2:$J$600,MATCH($H464&amp;"|"&amp;$I464&amp;"|"&amp;$J464&amp;"|"&amp;5,Assessments!$A$2:$A$600,0)),0)</f>
        <v>0</v>
      </c>
      <c r="DB464" s="28" t="n">
        <f aca="false">IFERROR(INDEX(Assessments!$J$2:$J$600,MATCH($H464&amp;"|"&amp;$I464&amp;"|"&amp;$J464&amp;"|"&amp;6,Assessments!$A$2:$A$600,0)),0)</f>
        <v>0</v>
      </c>
      <c r="DC464" s="28" t="n">
        <f aca="false">IFERROR(INDEX(Assessments!$J$2:$J$600,MATCH($H464&amp;"|"&amp;$I464&amp;"|"&amp;$J464&amp;"|"&amp;7,Assessments!$A$2:$A$600,0)),0)</f>
        <v>0</v>
      </c>
      <c r="DD464" s="28" t="n">
        <f aca="false">IFERROR(INDEX(Assessments!$J$2:$J$600,MATCH($H464&amp;"|"&amp;$I464&amp;"|"&amp;$J464&amp;"|"&amp;8,Assessments!$A$2:$A$600,0)),0)</f>
        <v>0</v>
      </c>
      <c r="DE464" s="28" t="n">
        <f aca="false">IFERROR(INDEX(Assessments!$J$2:$J$600,MATCH($H464&amp;"|"&amp;$I464&amp;"|"&amp;$J464&amp;"|"&amp;9,Assessments!$A$2:$A$600,0)),0)</f>
        <v>0</v>
      </c>
      <c r="DF464" s="28" t="n">
        <f aca="false">IFERROR(INDEX(Assessments!$J$2:$J$600,MATCH($H464&amp;"|"&amp;$I464&amp;"|"&amp;$J464&amp;"|"&amp;10,Assessments!$A$2:$A$600,0)),0)</f>
        <v>0</v>
      </c>
      <c r="DG464" s="28" t="n">
        <f aca="false">IFERROR(INDEX(Assessments!$J$2:$J$600,MATCH($H464&amp;"|"&amp;$I464&amp;"|"&amp;$J464&amp;"|"&amp;11,Assessments!$A$2:$A$600,0)),0)</f>
        <v>0</v>
      </c>
      <c r="DH464" s="28" t="n">
        <f aca="false">IFERROR(INDEX(Assessments!$J$2:$J$600,MATCH($H464&amp;"|"&amp;$I464&amp;"|"&amp;$J464&amp;"|"&amp;12,Assessments!$A$2:$A$600,0)),0)</f>
        <v>0</v>
      </c>
      <c r="DI464" s="28" t="n">
        <f aca="false">IFERROR(INDEX(Assessments!$J$2:$J$600,MATCH($H464&amp;"|"&amp;$I464&amp;"|"&amp;$J464&amp;"|"&amp;13,Assessments!$A$2:$A$600,0)),0)</f>
        <v>0</v>
      </c>
      <c r="DJ464" s="28" t="n">
        <f aca="false">IFERROR(INDEX(Assessments!$J$2:$J$600,MATCH($H464&amp;"|"&amp;$I464&amp;"|"&amp;$J464&amp;"|"&amp;14,Assessments!$A$2:$A$600,0)),0)</f>
        <v>0</v>
      </c>
      <c r="DK464" s="28" t="str">
        <f aca="false">S464</f>
        <v/>
      </c>
      <c r="DL464" s="28" t="str">
        <f aca="false">W464</f>
        <v/>
      </c>
      <c r="DM464" s="28" t="str">
        <f aca="false">AA464</f>
        <v/>
      </c>
      <c r="DN464" s="28" t="str">
        <f aca="false">AE464</f>
        <v/>
      </c>
      <c r="DO464" s="28" t="str">
        <f aca="false">AI464</f>
        <v/>
      </c>
      <c r="DP464" s="28" t="str">
        <f aca="false">AM464</f>
        <v/>
      </c>
      <c r="DQ464" s="28" t="str">
        <f aca="false">AQ464</f>
        <v/>
      </c>
      <c r="DR464" s="28" t="str">
        <f aca="false">AU464</f>
        <v/>
      </c>
      <c r="DS464" s="28" t="str">
        <f aca="false">AY464</f>
        <v/>
      </c>
      <c r="DT464" s="28" t="str">
        <f aca="false">BC464</f>
        <v/>
      </c>
      <c r="DU464" s="28" t="str">
        <f aca="false">BG464</f>
        <v/>
      </c>
      <c r="DV464" s="28" t="str">
        <f aca="false">BK464</f>
        <v/>
      </c>
      <c r="DW464" s="28" t="str">
        <f aca="false">BO464</f>
        <v/>
      </c>
      <c r="DX464" s="28" t="str">
        <f aca="false">BS464</f>
        <v/>
      </c>
      <c r="DY464" s="28" t="str">
        <f aca="false">IF(ISNUMBER(S464),1,"")</f>
        <v/>
      </c>
      <c r="DZ464" s="28" t="str">
        <f aca="false">IF(ISNUMBER(W464),2,"")</f>
        <v/>
      </c>
      <c r="EA464" s="28" t="str">
        <f aca="false">IF(ISNUMBER(AA464),3,"")</f>
        <v/>
      </c>
      <c r="EB464" s="28" t="str">
        <f aca="false">IF(ISNUMBER(AE464),4,"")</f>
        <v/>
      </c>
      <c r="EC464" s="28" t="str">
        <f aca="false">IF(ISNUMBER(AI464),5,"")</f>
        <v/>
      </c>
      <c r="ED464" s="28" t="str">
        <f aca="false">IF(ISNUMBER(AM464),6,"")</f>
        <v/>
      </c>
      <c r="EE464" s="28" t="str">
        <f aca="false">IF(ISNUMBER(AQ464),7,"")</f>
        <v/>
      </c>
      <c r="EF464" s="28" t="str">
        <f aca="false">IF(ISNUMBER(AU464),8,"")</f>
        <v/>
      </c>
      <c r="EG464" s="28" t="str">
        <f aca="false">IF(ISNUMBER(AY464),9,"")</f>
        <v/>
      </c>
      <c r="EH464" s="28" t="str">
        <f aca="false">IF(ISNUMBER(BC464),10,"")</f>
        <v/>
      </c>
      <c r="EI464" s="28" t="str">
        <f aca="false">IF(ISNUMBER(BG464),11,"")</f>
        <v/>
      </c>
      <c r="EJ464" s="28" t="str">
        <f aca="false">IF(ISNUMBER(BK464),12,"")</f>
        <v/>
      </c>
      <c r="EK464" s="28" t="str">
        <f aca="false">IF(ISNUMBER(BO464),13,"")</f>
        <v/>
      </c>
      <c r="EL464" s="28" t="str">
        <f aca="false">IF(ISNUMBER(BS464),14,"")</f>
        <v/>
      </c>
      <c r="EM464" s="28" t="n">
        <f aca="false">IF(ISNUMBER(R464),R464*CW464,0)</f>
        <v>0</v>
      </c>
      <c r="EN464" s="28" t="n">
        <f aca="false">IF(ISNUMBER(V464),V464*CX464,0)</f>
        <v>0</v>
      </c>
      <c r="EO464" s="28" t="n">
        <f aca="false">IF(ISNUMBER(Z464),Z464*CY464,0)</f>
        <v>0</v>
      </c>
      <c r="EP464" s="28" t="n">
        <f aca="false">IF(ISNUMBER(AD464),AD464*CZ464,0)</f>
        <v>0</v>
      </c>
      <c r="EQ464" s="28" t="n">
        <f aca="false">IF(ISNUMBER(AH464),AH464*DA464,0)</f>
        <v>0</v>
      </c>
      <c r="ER464" s="28" t="n">
        <f aca="false">IF(ISNUMBER(AL464),AL464*DB464,0)</f>
        <v>0</v>
      </c>
      <c r="ES464" s="28" t="n">
        <f aca="false">IF(ISNUMBER(AP464),AP464*DC464,0)</f>
        <v>0</v>
      </c>
      <c r="ET464" s="28" t="n">
        <f aca="false">IF(ISNUMBER(AT464),AT464*DD464,0)</f>
        <v>0</v>
      </c>
      <c r="EU464" s="28" t="n">
        <f aca="false">IF(ISNUMBER(AX464),AX464*DE464,0)</f>
        <v>0</v>
      </c>
      <c r="EV464" s="28" t="n">
        <f aca="false">IF(ISNUMBER(BB464),BB464*DF464,0)</f>
        <v>0</v>
      </c>
      <c r="EW464" s="28" t="n">
        <f aca="false">IF(ISNUMBER(BF464),BF464*DG464,0)</f>
        <v>0</v>
      </c>
      <c r="EX464" s="28" t="n">
        <f aca="false">IF(ISNUMBER(BJ464),BJ464*DH464,0)</f>
        <v>0</v>
      </c>
      <c r="EY464" s="28" t="n">
        <f aca="false">IF(ISNUMBER(BN464),BN464*DI464,0)</f>
        <v>0</v>
      </c>
      <c r="EZ464" s="28" t="n">
        <f aca="false">IF(ISNUMBER(BR464),BR464*DJ464,0)</f>
        <v>0</v>
      </c>
      <c r="FA464" s="28" t="n">
        <f aca="false">IF(ISNUMBER(R464),CW464,0)</f>
        <v>0</v>
      </c>
      <c r="FB464" s="28" t="n">
        <f aca="false">IF(ISNUMBER(V464),CX464,0)</f>
        <v>0</v>
      </c>
      <c r="FC464" s="28" t="n">
        <f aca="false">IF(ISNUMBER(Z464),CY464,0)</f>
        <v>0</v>
      </c>
      <c r="FD464" s="28" t="n">
        <f aca="false">IF(ISNUMBER(AD464),CZ464,0)</f>
        <v>0</v>
      </c>
      <c r="FE464" s="28" t="n">
        <f aca="false">IF(ISNUMBER(AH464),DA464,0)</f>
        <v>0</v>
      </c>
      <c r="FF464" s="28" t="n">
        <f aca="false">IF(ISNUMBER(AL464),DB464,0)</f>
        <v>0</v>
      </c>
      <c r="FG464" s="28" t="n">
        <f aca="false">IF(ISNUMBER(AP464),DC464,0)</f>
        <v>0</v>
      </c>
      <c r="FH464" s="28" t="n">
        <f aca="false">IF(ISNUMBER(AT464),DD464,0)</f>
        <v>0</v>
      </c>
      <c r="FI464" s="28" t="n">
        <f aca="false">IF(ISNUMBER(AX464),DE464,0)</f>
        <v>0</v>
      </c>
      <c r="FJ464" s="28" t="n">
        <f aca="false">IF(ISNUMBER(BB464),DF464,0)</f>
        <v>0</v>
      </c>
      <c r="FK464" s="28" t="n">
        <f aca="false">IF(ISNUMBER(BF464),DG464,0)</f>
        <v>0</v>
      </c>
      <c r="FL464" s="28" t="n">
        <f aca="false">IF(ISNUMBER(BJ464),DH464,0)</f>
        <v>0</v>
      </c>
      <c r="FM464" s="28" t="n">
        <f aca="false">IF(ISNUMBER(BN464),DI464,0)</f>
        <v>0</v>
      </c>
      <c r="FN464" s="28" t="n">
        <f aca="false">IF(ISNUMBER(BR464),DJ464,0)</f>
        <v>0</v>
      </c>
      <c r="FO464" s="28" t="str">
        <f aca="false">IFERROR(INDEX(Lists!$G$2:$G$20,MATCH($I464&amp;"|"&amp;$J464,Lists!$F$2:$F$20,0)),"")</f>
        <v/>
      </c>
    </row>
    <row r="465" customFormat="false" ht="19.5" hidden="false" customHeight="true" outlineLevel="0" collapsed="false">
      <c r="A465" s="29"/>
      <c r="B465" s="29"/>
      <c r="C465" s="30"/>
      <c r="D465" s="30"/>
      <c r="E465" s="31"/>
      <c r="F465" s="30"/>
      <c r="G465" s="30"/>
      <c r="H465" s="32"/>
      <c r="I465" s="33"/>
      <c r="J465" s="32"/>
      <c r="K465" s="34" t="str">
        <f aca="false">IF(OR(M465="",$E465=""),"",M465-$E465)</f>
        <v/>
      </c>
      <c r="L465" s="35" t="str">
        <f aca="false">IF(SUM(FA465:FN465)=0,"",SUM(EM465:EZ465)/SUM(FA465:FN465))</f>
        <v/>
      </c>
      <c r="M465" s="36" t="str">
        <f aca="false">IF(OR(L465="",FO465=""),"",IFERROR(MATCH(L465,INDEX(Boundaries!$B$2:$I$30,MATCH(FO465,Boundaries!$A$2:$A$30,0),0),1)-1,""))</f>
        <v/>
      </c>
      <c r="N465" s="37" t="str">
        <f aca="false">IF(COUNT($DY465:$EL465)&lt;2,"",INDEX($DK465:$DX465,MAX($DY465:$EL465))-INDEX($DK465:$DX465,MIN($DY465:$EL465)))</f>
        <v/>
      </c>
      <c r="O465" s="37" t="str">
        <f aca="false">IF(COUNT($DY465:$EL465)&lt;2,"",INDEX($DK465:$DX465,MAX($DY465:$EL465))-INDEX($DK465:$DX465,LARGE($DY465:$EL465,2)))</f>
        <v/>
      </c>
      <c r="P465" s="38" t="str">
        <f aca="false">IF(K465="","",IF(K465&gt;=0,"On/above target",IF(AND(N465&lt;&gt;"",N465&gt;=0.5),"Improving towards target",IF(AND(O465&lt;&gt;"",O465&lt;=-0.5),"Declining","Stable below target"))))</f>
        <v/>
      </c>
      <c r="Q465" s="39"/>
      <c r="R465" s="40" t="str">
        <f aca="false">IF(OR(Q465="",BU465=""),"",Q465/BU465*100)</f>
        <v/>
      </c>
      <c r="S465" s="41" t="str">
        <f aca="false">IF(R465="","",IFERROR(MATCH(R465,INDEX(Boundaries!$B$2:$I$30,MATCH(CI465,Boundaries!$A$2:$A$30,0),0),1)-1,""))</f>
        <v/>
      </c>
      <c r="T465" s="42" t="str">
        <f aca="false">IF(OR(S465="",$E465=""),"",S465-$E465)</f>
        <v/>
      </c>
      <c r="U465" s="39"/>
      <c r="V465" s="40" t="str">
        <f aca="false">IF(OR(U465="",BV465=""),"",U465/BV465*100)</f>
        <v/>
      </c>
      <c r="W465" s="41" t="str">
        <f aca="false">IF(V465="","",IFERROR(MATCH(V465,INDEX(Boundaries!$B$2:$I$30,MATCH(CJ465,Boundaries!$A$2:$A$30,0),0),1)-1,""))</f>
        <v/>
      </c>
      <c r="X465" s="42" t="str">
        <f aca="false">IF(OR(W465="",$E465=""),"",W465-$E465)</f>
        <v/>
      </c>
      <c r="Y465" s="39"/>
      <c r="Z465" s="40" t="str">
        <f aca="false">IF(OR(Y465="",BW465=""),"",Y465/BW465*100)</f>
        <v/>
      </c>
      <c r="AA465" s="41" t="str">
        <f aca="false">IF(Z465="","",IFERROR(MATCH(Z465,INDEX(Boundaries!$B$2:$I$30,MATCH(CK465,Boundaries!$A$2:$A$30,0),0),1)-1,""))</f>
        <v/>
      </c>
      <c r="AB465" s="42" t="str">
        <f aca="false">IF(OR(AA465="",$E465=""),"",AA465-$E465)</f>
        <v/>
      </c>
      <c r="AC465" s="39"/>
      <c r="AD465" s="40" t="str">
        <f aca="false">IF(OR(AC465="",BX465=""),"",AC465/BX465*100)</f>
        <v/>
      </c>
      <c r="AE465" s="41" t="str">
        <f aca="false">IF(AD465="","",IFERROR(MATCH(AD465,INDEX(Boundaries!$B$2:$I$30,MATCH(CL465,Boundaries!$A$2:$A$30,0),0),1)-1,""))</f>
        <v/>
      </c>
      <c r="AF465" s="42" t="str">
        <f aca="false">IF(OR(AE465="",$E465=""),"",AE465-$E465)</f>
        <v/>
      </c>
      <c r="AG465" s="39"/>
      <c r="AH465" s="40" t="str">
        <f aca="false">IF(OR(AG465="",BY465=""),"",AG465/BY465*100)</f>
        <v/>
      </c>
      <c r="AI465" s="41" t="str">
        <f aca="false">IF(AH465="","",IFERROR(MATCH(AH465,INDEX(Boundaries!$B$2:$I$30,MATCH(CM465,Boundaries!$A$2:$A$30,0),0),1)-1,""))</f>
        <v/>
      </c>
      <c r="AJ465" s="42" t="str">
        <f aca="false">IF(OR(AI465="",$E465=""),"",AI465-$E465)</f>
        <v/>
      </c>
      <c r="AK465" s="39"/>
      <c r="AL465" s="40" t="str">
        <f aca="false">IF(OR(AK465="",BZ465=""),"",AK465/BZ465*100)</f>
        <v/>
      </c>
      <c r="AM465" s="41" t="str">
        <f aca="false">IF(AL465="","",IFERROR(MATCH(AL465,INDEX(Boundaries!$B$2:$I$30,MATCH(CN465,Boundaries!$A$2:$A$30,0),0),1)-1,""))</f>
        <v/>
      </c>
      <c r="AN465" s="42" t="str">
        <f aca="false">IF(OR(AM465="",$E465=""),"",AM465-$E465)</f>
        <v/>
      </c>
      <c r="AO465" s="39"/>
      <c r="AP465" s="40" t="str">
        <f aca="false">IF(OR(AO465="",CA465=""),"",AO465/CA465*100)</f>
        <v/>
      </c>
      <c r="AQ465" s="41" t="str">
        <f aca="false">IF(AP465="","",IFERROR(MATCH(AP465,INDEX(Boundaries!$B$2:$I$30,MATCH(CO465,Boundaries!$A$2:$A$30,0),0),1)-1,""))</f>
        <v/>
      </c>
      <c r="AR465" s="42" t="str">
        <f aca="false">IF(OR(AQ465="",$E465=""),"",AQ465-$E465)</f>
        <v/>
      </c>
      <c r="AS465" s="39"/>
      <c r="AT465" s="40" t="str">
        <f aca="false">IF(OR(AS465="",CB465=""),"",AS465/CB465*100)</f>
        <v/>
      </c>
      <c r="AU465" s="41" t="str">
        <f aca="false">IF(AT465="","",IFERROR(MATCH(AT465,INDEX(Boundaries!$B$2:$I$30,MATCH(CP465,Boundaries!$A$2:$A$30,0),0),1)-1,""))</f>
        <v/>
      </c>
      <c r="AV465" s="42" t="str">
        <f aca="false">IF(OR(AU465="",$E465=""),"",AU465-$E465)</f>
        <v/>
      </c>
      <c r="AW465" s="39"/>
      <c r="AX465" s="40" t="str">
        <f aca="false">IF(OR(AW465="",CC465=""),"",AW465/CC465*100)</f>
        <v/>
      </c>
      <c r="AY465" s="41" t="str">
        <f aca="false">IF(AX465="","",IFERROR(MATCH(AX465,INDEX(Boundaries!$B$2:$I$30,MATCH(CQ465,Boundaries!$A$2:$A$30,0),0),1)-1,""))</f>
        <v/>
      </c>
      <c r="AZ465" s="42" t="str">
        <f aca="false">IF(OR(AY465="",$E465=""),"",AY465-$E465)</f>
        <v/>
      </c>
      <c r="BA465" s="39"/>
      <c r="BB465" s="40" t="str">
        <f aca="false">IF(OR(BA465="",CD465=""),"",BA465/CD465*100)</f>
        <v/>
      </c>
      <c r="BC465" s="41" t="str">
        <f aca="false">IF(BB465="","",IFERROR(MATCH(BB465,INDEX(Boundaries!$B$2:$I$30,MATCH(CR465,Boundaries!$A$2:$A$30,0),0),1)-1,""))</f>
        <v/>
      </c>
      <c r="BD465" s="42" t="str">
        <f aca="false">IF(OR(BC465="",$E465=""),"",BC465-$E465)</f>
        <v/>
      </c>
      <c r="BE465" s="39"/>
      <c r="BF465" s="40" t="str">
        <f aca="false">IF(OR(BE465="",CE465=""),"",BE465/CE465*100)</f>
        <v/>
      </c>
      <c r="BG465" s="41" t="str">
        <f aca="false">IF(BF465="","",IFERROR(MATCH(BF465,INDEX(Boundaries!$B$2:$I$30,MATCH(CS465,Boundaries!$A$2:$A$30,0),0),1)-1,""))</f>
        <v/>
      </c>
      <c r="BH465" s="42" t="str">
        <f aca="false">IF(OR(BG465="",$E465=""),"",BG465-$E465)</f>
        <v/>
      </c>
      <c r="BI465" s="39"/>
      <c r="BJ465" s="40" t="str">
        <f aca="false">IF(OR(BI465="",CF465=""),"",BI465/CF465*100)</f>
        <v/>
      </c>
      <c r="BK465" s="41" t="str">
        <f aca="false">IF(BJ465="","",IFERROR(MATCH(BJ465,INDEX(Boundaries!$B$2:$I$30,MATCH(CT465,Boundaries!$A$2:$A$30,0),0),1)-1,""))</f>
        <v/>
      </c>
      <c r="BL465" s="42" t="str">
        <f aca="false">IF(OR(BK465="",$E465=""),"",BK465-$E465)</f>
        <v/>
      </c>
      <c r="BM465" s="39"/>
      <c r="BN465" s="40" t="str">
        <f aca="false">IF(OR(BM465="",CG465=""),"",BM465/CG465*100)</f>
        <v/>
      </c>
      <c r="BO465" s="41" t="str">
        <f aca="false">IF(BN465="","",IFERROR(MATCH(BN465,INDEX(Boundaries!$B$2:$I$30,MATCH(CU465,Boundaries!$A$2:$A$30,0),0),1)-1,""))</f>
        <v/>
      </c>
      <c r="BP465" s="42" t="str">
        <f aca="false">IF(OR(BO465="",$E465=""),"",BO465-$E465)</f>
        <v/>
      </c>
      <c r="BQ465" s="39"/>
      <c r="BR465" s="40" t="str">
        <f aca="false">IF(OR(BQ465="",CH465=""),"",BQ465/CH465*100)</f>
        <v/>
      </c>
      <c r="BS465" s="41" t="str">
        <f aca="false">IF(BR465="","",IFERROR(MATCH(BR465,INDEX(Boundaries!$B$2:$I$30,MATCH(CV465,Boundaries!$A$2:$A$30,0),0),1)-1,""))</f>
        <v/>
      </c>
      <c r="BT465" s="42" t="str">
        <f aca="false">IF(OR(BS465="",$E465=""),"",BS465-$E465)</f>
        <v/>
      </c>
      <c r="BU465" s="28" t="str">
        <f aca="false">IFERROR(INDEX(Assessments!$H$2:$H$600,MATCH($H465&amp;"|"&amp;$I465&amp;"|"&amp;$J465&amp;"|"&amp;1,Assessments!$A$2:$A$600,0)),"")</f>
        <v/>
      </c>
      <c r="BV465" s="28" t="str">
        <f aca="false">IFERROR(INDEX(Assessments!$H$2:$H$600,MATCH($H465&amp;"|"&amp;$I465&amp;"|"&amp;$J465&amp;"|"&amp;2,Assessments!$A$2:$A$600,0)),"")</f>
        <v/>
      </c>
      <c r="BW465" s="28" t="str">
        <f aca="false">IFERROR(INDEX(Assessments!$H$2:$H$600,MATCH($H465&amp;"|"&amp;$I465&amp;"|"&amp;$J465&amp;"|"&amp;3,Assessments!$A$2:$A$600,0)),"")</f>
        <v/>
      </c>
      <c r="BX465" s="28" t="str">
        <f aca="false">IFERROR(INDEX(Assessments!$H$2:$H$600,MATCH($H465&amp;"|"&amp;$I465&amp;"|"&amp;$J465&amp;"|"&amp;4,Assessments!$A$2:$A$600,0)),"")</f>
        <v/>
      </c>
      <c r="BY465" s="28" t="str">
        <f aca="false">IFERROR(INDEX(Assessments!$H$2:$H$600,MATCH($H465&amp;"|"&amp;$I465&amp;"|"&amp;$J465&amp;"|"&amp;5,Assessments!$A$2:$A$600,0)),"")</f>
        <v/>
      </c>
      <c r="BZ465" s="28" t="str">
        <f aca="false">IFERROR(INDEX(Assessments!$H$2:$H$600,MATCH($H465&amp;"|"&amp;$I465&amp;"|"&amp;$J465&amp;"|"&amp;6,Assessments!$A$2:$A$600,0)),"")</f>
        <v/>
      </c>
      <c r="CA465" s="28" t="str">
        <f aca="false">IFERROR(INDEX(Assessments!$H$2:$H$600,MATCH($H465&amp;"|"&amp;$I465&amp;"|"&amp;$J465&amp;"|"&amp;7,Assessments!$A$2:$A$600,0)),"")</f>
        <v/>
      </c>
      <c r="CB465" s="28" t="str">
        <f aca="false">IFERROR(INDEX(Assessments!$H$2:$H$600,MATCH($H465&amp;"|"&amp;$I465&amp;"|"&amp;$J465&amp;"|"&amp;8,Assessments!$A$2:$A$600,0)),"")</f>
        <v/>
      </c>
      <c r="CC465" s="28" t="str">
        <f aca="false">IFERROR(INDEX(Assessments!$H$2:$H$600,MATCH($H465&amp;"|"&amp;$I465&amp;"|"&amp;$J465&amp;"|"&amp;9,Assessments!$A$2:$A$600,0)),"")</f>
        <v/>
      </c>
      <c r="CD465" s="28" t="str">
        <f aca="false">IFERROR(INDEX(Assessments!$H$2:$H$600,MATCH($H465&amp;"|"&amp;$I465&amp;"|"&amp;$J465&amp;"|"&amp;10,Assessments!$A$2:$A$600,0)),"")</f>
        <v/>
      </c>
      <c r="CE465" s="28" t="str">
        <f aca="false">IFERROR(INDEX(Assessments!$H$2:$H$600,MATCH($H465&amp;"|"&amp;$I465&amp;"|"&amp;$J465&amp;"|"&amp;11,Assessments!$A$2:$A$600,0)),"")</f>
        <v/>
      </c>
      <c r="CF465" s="28" t="str">
        <f aca="false">IFERROR(INDEX(Assessments!$H$2:$H$600,MATCH($H465&amp;"|"&amp;$I465&amp;"|"&amp;$J465&amp;"|"&amp;12,Assessments!$A$2:$A$600,0)),"")</f>
        <v/>
      </c>
      <c r="CG465" s="28" t="str">
        <f aca="false">IFERROR(INDEX(Assessments!$H$2:$H$600,MATCH($H465&amp;"|"&amp;$I465&amp;"|"&amp;$J465&amp;"|"&amp;13,Assessments!$A$2:$A$600,0)),"")</f>
        <v/>
      </c>
      <c r="CH465" s="28" t="str">
        <f aca="false">IFERROR(INDEX(Assessments!$H$2:$H$600,MATCH($H465&amp;"|"&amp;$I465&amp;"|"&amp;$J465&amp;"|"&amp;14,Assessments!$A$2:$A$600,0)),"")</f>
        <v/>
      </c>
      <c r="CI465" s="28" t="str">
        <f aca="false">IFERROR(INDEX(Assessments!$I$2:$I$600,MATCH($H465&amp;"|"&amp;$I465&amp;"|"&amp;$J465&amp;"|"&amp;1,Assessments!$A$2:$A$600,0)),"")</f>
        <v/>
      </c>
      <c r="CJ465" s="28" t="str">
        <f aca="false">IFERROR(INDEX(Assessments!$I$2:$I$600,MATCH($H465&amp;"|"&amp;$I465&amp;"|"&amp;$J465&amp;"|"&amp;2,Assessments!$A$2:$A$600,0)),"")</f>
        <v/>
      </c>
      <c r="CK465" s="28" t="str">
        <f aca="false">IFERROR(INDEX(Assessments!$I$2:$I$600,MATCH($H465&amp;"|"&amp;$I465&amp;"|"&amp;$J465&amp;"|"&amp;3,Assessments!$A$2:$A$600,0)),"")</f>
        <v/>
      </c>
      <c r="CL465" s="28" t="str">
        <f aca="false">IFERROR(INDEX(Assessments!$I$2:$I$600,MATCH($H465&amp;"|"&amp;$I465&amp;"|"&amp;$J465&amp;"|"&amp;4,Assessments!$A$2:$A$600,0)),"")</f>
        <v/>
      </c>
      <c r="CM465" s="28" t="str">
        <f aca="false">IFERROR(INDEX(Assessments!$I$2:$I$600,MATCH($H465&amp;"|"&amp;$I465&amp;"|"&amp;$J465&amp;"|"&amp;5,Assessments!$A$2:$A$600,0)),"")</f>
        <v/>
      </c>
      <c r="CN465" s="28" t="str">
        <f aca="false">IFERROR(INDEX(Assessments!$I$2:$I$600,MATCH($H465&amp;"|"&amp;$I465&amp;"|"&amp;$J465&amp;"|"&amp;6,Assessments!$A$2:$A$600,0)),"")</f>
        <v/>
      </c>
      <c r="CO465" s="28" t="str">
        <f aca="false">IFERROR(INDEX(Assessments!$I$2:$I$600,MATCH($H465&amp;"|"&amp;$I465&amp;"|"&amp;$J465&amp;"|"&amp;7,Assessments!$A$2:$A$600,0)),"")</f>
        <v/>
      </c>
      <c r="CP465" s="28" t="str">
        <f aca="false">IFERROR(INDEX(Assessments!$I$2:$I$600,MATCH($H465&amp;"|"&amp;$I465&amp;"|"&amp;$J465&amp;"|"&amp;8,Assessments!$A$2:$A$600,0)),"")</f>
        <v/>
      </c>
      <c r="CQ465" s="28" t="str">
        <f aca="false">IFERROR(INDEX(Assessments!$I$2:$I$600,MATCH($H465&amp;"|"&amp;$I465&amp;"|"&amp;$J465&amp;"|"&amp;9,Assessments!$A$2:$A$600,0)),"")</f>
        <v/>
      </c>
      <c r="CR465" s="28" t="str">
        <f aca="false">IFERROR(INDEX(Assessments!$I$2:$I$600,MATCH($H465&amp;"|"&amp;$I465&amp;"|"&amp;$J465&amp;"|"&amp;10,Assessments!$A$2:$A$600,0)),"")</f>
        <v/>
      </c>
      <c r="CS465" s="28" t="str">
        <f aca="false">IFERROR(INDEX(Assessments!$I$2:$I$600,MATCH($H465&amp;"|"&amp;$I465&amp;"|"&amp;$J465&amp;"|"&amp;11,Assessments!$A$2:$A$600,0)),"")</f>
        <v/>
      </c>
      <c r="CT465" s="28" t="str">
        <f aca="false">IFERROR(INDEX(Assessments!$I$2:$I$600,MATCH($H465&amp;"|"&amp;$I465&amp;"|"&amp;$J465&amp;"|"&amp;12,Assessments!$A$2:$A$600,0)),"")</f>
        <v/>
      </c>
      <c r="CU465" s="28" t="str">
        <f aca="false">IFERROR(INDEX(Assessments!$I$2:$I$600,MATCH($H465&amp;"|"&amp;$I465&amp;"|"&amp;$J465&amp;"|"&amp;13,Assessments!$A$2:$A$600,0)),"")</f>
        <v/>
      </c>
      <c r="CV465" s="28" t="str">
        <f aca="false">IFERROR(INDEX(Assessments!$I$2:$I$600,MATCH($H465&amp;"|"&amp;$I465&amp;"|"&amp;$J465&amp;"|"&amp;14,Assessments!$A$2:$A$600,0)),"")</f>
        <v/>
      </c>
      <c r="CW465" s="28" t="n">
        <f aca="false">IFERROR(INDEX(Assessments!$J$2:$J$600,MATCH($H465&amp;"|"&amp;$I465&amp;"|"&amp;$J465&amp;"|"&amp;1,Assessments!$A$2:$A$600,0)),0)</f>
        <v>0</v>
      </c>
      <c r="CX465" s="28" t="n">
        <f aca="false">IFERROR(INDEX(Assessments!$J$2:$J$600,MATCH($H465&amp;"|"&amp;$I465&amp;"|"&amp;$J465&amp;"|"&amp;2,Assessments!$A$2:$A$600,0)),0)</f>
        <v>0</v>
      </c>
      <c r="CY465" s="28" t="n">
        <f aca="false">IFERROR(INDEX(Assessments!$J$2:$J$600,MATCH($H465&amp;"|"&amp;$I465&amp;"|"&amp;$J465&amp;"|"&amp;3,Assessments!$A$2:$A$600,0)),0)</f>
        <v>0</v>
      </c>
      <c r="CZ465" s="28" t="n">
        <f aca="false">IFERROR(INDEX(Assessments!$J$2:$J$600,MATCH($H465&amp;"|"&amp;$I465&amp;"|"&amp;$J465&amp;"|"&amp;4,Assessments!$A$2:$A$600,0)),0)</f>
        <v>0</v>
      </c>
      <c r="DA465" s="28" t="n">
        <f aca="false">IFERROR(INDEX(Assessments!$J$2:$J$600,MATCH($H465&amp;"|"&amp;$I465&amp;"|"&amp;$J465&amp;"|"&amp;5,Assessments!$A$2:$A$600,0)),0)</f>
        <v>0</v>
      </c>
      <c r="DB465" s="28" t="n">
        <f aca="false">IFERROR(INDEX(Assessments!$J$2:$J$600,MATCH($H465&amp;"|"&amp;$I465&amp;"|"&amp;$J465&amp;"|"&amp;6,Assessments!$A$2:$A$600,0)),0)</f>
        <v>0</v>
      </c>
      <c r="DC465" s="28" t="n">
        <f aca="false">IFERROR(INDEX(Assessments!$J$2:$J$600,MATCH($H465&amp;"|"&amp;$I465&amp;"|"&amp;$J465&amp;"|"&amp;7,Assessments!$A$2:$A$600,0)),0)</f>
        <v>0</v>
      </c>
      <c r="DD465" s="28" t="n">
        <f aca="false">IFERROR(INDEX(Assessments!$J$2:$J$600,MATCH($H465&amp;"|"&amp;$I465&amp;"|"&amp;$J465&amp;"|"&amp;8,Assessments!$A$2:$A$600,0)),0)</f>
        <v>0</v>
      </c>
      <c r="DE465" s="28" t="n">
        <f aca="false">IFERROR(INDEX(Assessments!$J$2:$J$600,MATCH($H465&amp;"|"&amp;$I465&amp;"|"&amp;$J465&amp;"|"&amp;9,Assessments!$A$2:$A$600,0)),0)</f>
        <v>0</v>
      </c>
      <c r="DF465" s="28" t="n">
        <f aca="false">IFERROR(INDEX(Assessments!$J$2:$J$600,MATCH($H465&amp;"|"&amp;$I465&amp;"|"&amp;$J465&amp;"|"&amp;10,Assessments!$A$2:$A$600,0)),0)</f>
        <v>0</v>
      </c>
      <c r="DG465" s="28" t="n">
        <f aca="false">IFERROR(INDEX(Assessments!$J$2:$J$600,MATCH($H465&amp;"|"&amp;$I465&amp;"|"&amp;$J465&amp;"|"&amp;11,Assessments!$A$2:$A$600,0)),0)</f>
        <v>0</v>
      </c>
      <c r="DH465" s="28" t="n">
        <f aca="false">IFERROR(INDEX(Assessments!$J$2:$J$600,MATCH($H465&amp;"|"&amp;$I465&amp;"|"&amp;$J465&amp;"|"&amp;12,Assessments!$A$2:$A$600,0)),0)</f>
        <v>0</v>
      </c>
      <c r="DI465" s="28" t="n">
        <f aca="false">IFERROR(INDEX(Assessments!$J$2:$J$600,MATCH($H465&amp;"|"&amp;$I465&amp;"|"&amp;$J465&amp;"|"&amp;13,Assessments!$A$2:$A$600,0)),0)</f>
        <v>0</v>
      </c>
      <c r="DJ465" s="28" t="n">
        <f aca="false">IFERROR(INDEX(Assessments!$J$2:$J$600,MATCH($H465&amp;"|"&amp;$I465&amp;"|"&amp;$J465&amp;"|"&amp;14,Assessments!$A$2:$A$600,0)),0)</f>
        <v>0</v>
      </c>
      <c r="DK465" s="28" t="str">
        <f aca="false">S465</f>
        <v/>
      </c>
      <c r="DL465" s="28" t="str">
        <f aca="false">W465</f>
        <v/>
      </c>
      <c r="DM465" s="28" t="str">
        <f aca="false">AA465</f>
        <v/>
      </c>
      <c r="DN465" s="28" t="str">
        <f aca="false">AE465</f>
        <v/>
      </c>
      <c r="DO465" s="28" t="str">
        <f aca="false">AI465</f>
        <v/>
      </c>
      <c r="DP465" s="28" t="str">
        <f aca="false">AM465</f>
        <v/>
      </c>
      <c r="DQ465" s="28" t="str">
        <f aca="false">AQ465</f>
        <v/>
      </c>
      <c r="DR465" s="28" t="str">
        <f aca="false">AU465</f>
        <v/>
      </c>
      <c r="DS465" s="28" t="str">
        <f aca="false">AY465</f>
        <v/>
      </c>
      <c r="DT465" s="28" t="str">
        <f aca="false">BC465</f>
        <v/>
      </c>
      <c r="DU465" s="28" t="str">
        <f aca="false">BG465</f>
        <v/>
      </c>
      <c r="DV465" s="28" t="str">
        <f aca="false">BK465</f>
        <v/>
      </c>
      <c r="DW465" s="28" t="str">
        <f aca="false">BO465</f>
        <v/>
      </c>
      <c r="DX465" s="28" t="str">
        <f aca="false">BS465</f>
        <v/>
      </c>
      <c r="DY465" s="28" t="str">
        <f aca="false">IF(ISNUMBER(S465),1,"")</f>
        <v/>
      </c>
      <c r="DZ465" s="28" t="str">
        <f aca="false">IF(ISNUMBER(W465),2,"")</f>
        <v/>
      </c>
      <c r="EA465" s="28" t="str">
        <f aca="false">IF(ISNUMBER(AA465),3,"")</f>
        <v/>
      </c>
      <c r="EB465" s="28" t="str">
        <f aca="false">IF(ISNUMBER(AE465),4,"")</f>
        <v/>
      </c>
      <c r="EC465" s="28" t="str">
        <f aca="false">IF(ISNUMBER(AI465),5,"")</f>
        <v/>
      </c>
      <c r="ED465" s="28" t="str">
        <f aca="false">IF(ISNUMBER(AM465),6,"")</f>
        <v/>
      </c>
      <c r="EE465" s="28" t="str">
        <f aca="false">IF(ISNUMBER(AQ465),7,"")</f>
        <v/>
      </c>
      <c r="EF465" s="28" t="str">
        <f aca="false">IF(ISNUMBER(AU465),8,"")</f>
        <v/>
      </c>
      <c r="EG465" s="28" t="str">
        <f aca="false">IF(ISNUMBER(AY465),9,"")</f>
        <v/>
      </c>
      <c r="EH465" s="28" t="str">
        <f aca="false">IF(ISNUMBER(BC465),10,"")</f>
        <v/>
      </c>
      <c r="EI465" s="28" t="str">
        <f aca="false">IF(ISNUMBER(BG465),11,"")</f>
        <v/>
      </c>
      <c r="EJ465" s="28" t="str">
        <f aca="false">IF(ISNUMBER(BK465),12,"")</f>
        <v/>
      </c>
      <c r="EK465" s="28" t="str">
        <f aca="false">IF(ISNUMBER(BO465),13,"")</f>
        <v/>
      </c>
      <c r="EL465" s="28" t="str">
        <f aca="false">IF(ISNUMBER(BS465),14,"")</f>
        <v/>
      </c>
      <c r="EM465" s="28" t="n">
        <f aca="false">IF(ISNUMBER(R465),R465*CW465,0)</f>
        <v>0</v>
      </c>
      <c r="EN465" s="28" t="n">
        <f aca="false">IF(ISNUMBER(V465),V465*CX465,0)</f>
        <v>0</v>
      </c>
      <c r="EO465" s="28" t="n">
        <f aca="false">IF(ISNUMBER(Z465),Z465*CY465,0)</f>
        <v>0</v>
      </c>
      <c r="EP465" s="28" t="n">
        <f aca="false">IF(ISNUMBER(AD465),AD465*CZ465,0)</f>
        <v>0</v>
      </c>
      <c r="EQ465" s="28" t="n">
        <f aca="false">IF(ISNUMBER(AH465),AH465*DA465,0)</f>
        <v>0</v>
      </c>
      <c r="ER465" s="28" t="n">
        <f aca="false">IF(ISNUMBER(AL465),AL465*DB465,0)</f>
        <v>0</v>
      </c>
      <c r="ES465" s="28" t="n">
        <f aca="false">IF(ISNUMBER(AP465),AP465*DC465,0)</f>
        <v>0</v>
      </c>
      <c r="ET465" s="28" t="n">
        <f aca="false">IF(ISNUMBER(AT465),AT465*DD465,0)</f>
        <v>0</v>
      </c>
      <c r="EU465" s="28" t="n">
        <f aca="false">IF(ISNUMBER(AX465),AX465*DE465,0)</f>
        <v>0</v>
      </c>
      <c r="EV465" s="28" t="n">
        <f aca="false">IF(ISNUMBER(BB465),BB465*DF465,0)</f>
        <v>0</v>
      </c>
      <c r="EW465" s="28" t="n">
        <f aca="false">IF(ISNUMBER(BF465),BF465*DG465,0)</f>
        <v>0</v>
      </c>
      <c r="EX465" s="28" t="n">
        <f aca="false">IF(ISNUMBER(BJ465),BJ465*DH465,0)</f>
        <v>0</v>
      </c>
      <c r="EY465" s="28" t="n">
        <f aca="false">IF(ISNUMBER(BN465),BN465*DI465,0)</f>
        <v>0</v>
      </c>
      <c r="EZ465" s="28" t="n">
        <f aca="false">IF(ISNUMBER(BR465),BR465*DJ465,0)</f>
        <v>0</v>
      </c>
      <c r="FA465" s="28" t="n">
        <f aca="false">IF(ISNUMBER(R465),CW465,0)</f>
        <v>0</v>
      </c>
      <c r="FB465" s="28" t="n">
        <f aca="false">IF(ISNUMBER(V465),CX465,0)</f>
        <v>0</v>
      </c>
      <c r="FC465" s="28" t="n">
        <f aca="false">IF(ISNUMBER(Z465),CY465,0)</f>
        <v>0</v>
      </c>
      <c r="FD465" s="28" t="n">
        <f aca="false">IF(ISNUMBER(AD465),CZ465,0)</f>
        <v>0</v>
      </c>
      <c r="FE465" s="28" t="n">
        <f aca="false">IF(ISNUMBER(AH465),DA465,0)</f>
        <v>0</v>
      </c>
      <c r="FF465" s="28" t="n">
        <f aca="false">IF(ISNUMBER(AL465),DB465,0)</f>
        <v>0</v>
      </c>
      <c r="FG465" s="28" t="n">
        <f aca="false">IF(ISNUMBER(AP465),DC465,0)</f>
        <v>0</v>
      </c>
      <c r="FH465" s="28" t="n">
        <f aca="false">IF(ISNUMBER(AT465),DD465,0)</f>
        <v>0</v>
      </c>
      <c r="FI465" s="28" t="n">
        <f aca="false">IF(ISNUMBER(AX465),DE465,0)</f>
        <v>0</v>
      </c>
      <c r="FJ465" s="28" t="n">
        <f aca="false">IF(ISNUMBER(BB465),DF465,0)</f>
        <v>0</v>
      </c>
      <c r="FK465" s="28" t="n">
        <f aca="false">IF(ISNUMBER(BF465),DG465,0)</f>
        <v>0</v>
      </c>
      <c r="FL465" s="28" t="n">
        <f aca="false">IF(ISNUMBER(BJ465),DH465,0)</f>
        <v>0</v>
      </c>
      <c r="FM465" s="28" t="n">
        <f aca="false">IF(ISNUMBER(BN465),DI465,0)</f>
        <v>0</v>
      </c>
      <c r="FN465" s="28" t="n">
        <f aca="false">IF(ISNUMBER(BR465),DJ465,0)</f>
        <v>0</v>
      </c>
      <c r="FO465" s="28" t="str">
        <f aca="false">IFERROR(INDEX(Lists!$G$2:$G$20,MATCH($I465&amp;"|"&amp;$J465,Lists!$F$2:$F$20,0)),"")</f>
        <v/>
      </c>
    </row>
    <row r="466" customFormat="false" ht="19.5" hidden="false" customHeight="true" outlineLevel="0" collapsed="false">
      <c r="A466" s="29"/>
      <c r="B466" s="29"/>
      <c r="C466" s="30"/>
      <c r="D466" s="30"/>
      <c r="E466" s="31"/>
      <c r="F466" s="30"/>
      <c r="G466" s="30"/>
      <c r="H466" s="32"/>
      <c r="I466" s="33"/>
      <c r="J466" s="32"/>
      <c r="K466" s="34" t="str">
        <f aca="false">IF(OR(M466="",$E466=""),"",M466-$E466)</f>
        <v/>
      </c>
      <c r="L466" s="35" t="str">
        <f aca="false">IF(SUM(FA466:FN466)=0,"",SUM(EM466:EZ466)/SUM(FA466:FN466))</f>
        <v/>
      </c>
      <c r="M466" s="36" t="str">
        <f aca="false">IF(OR(L466="",FO466=""),"",IFERROR(MATCH(L466,INDEX(Boundaries!$B$2:$I$30,MATCH(FO466,Boundaries!$A$2:$A$30,0),0),1)-1,""))</f>
        <v/>
      </c>
      <c r="N466" s="37" t="str">
        <f aca="false">IF(COUNT($DY466:$EL466)&lt;2,"",INDEX($DK466:$DX466,MAX($DY466:$EL466))-INDEX($DK466:$DX466,MIN($DY466:$EL466)))</f>
        <v/>
      </c>
      <c r="O466" s="37" t="str">
        <f aca="false">IF(COUNT($DY466:$EL466)&lt;2,"",INDEX($DK466:$DX466,MAX($DY466:$EL466))-INDEX($DK466:$DX466,LARGE($DY466:$EL466,2)))</f>
        <v/>
      </c>
      <c r="P466" s="38" t="str">
        <f aca="false">IF(K466="","",IF(K466&gt;=0,"On/above target",IF(AND(N466&lt;&gt;"",N466&gt;=0.5),"Improving towards target",IF(AND(O466&lt;&gt;"",O466&lt;=-0.5),"Declining","Stable below target"))))</f>
        <v/>
      </c>
      <c r="Q466" s="39"/>
      <c r="R466" s="40" t="str">
        <f aca="false">IF(OR(Q466="",BU466=""),"",Q466/BU466*100)</f>
        <v/>
      </c>
      <c r="S466" s="41" t="str">
        <f aca="false">IF(R466="","",IFERROR(MATCH(R466,INDEX(Boundaries!$B$2:$I$30,MATCH(CI466,Boundaries!$A$2:$A$30,0),0),1)-1,""))</f>
        <v/>
      </c>
      <c r="T466" s="42" t="str">
        <f aca="false">IF(OR(S466="",$E466=""),"",S466-$E466)</f>
        <v/>
      </c>
      <c r="U466" s="39"/>
      <c r="V466" s="40" t="str">
        <f aca="false">IF(OR(U466="",BV466=""),"",U466/BV466*100)</f>
        <v/>
      </c>
      <c r="W466" s="41" t="str">
        <f aca="false">IF(V466="","",IFERROR(MATCH(V466,INDEX(Boundaries!$B$2:$I$30,MATCH(CJ466,Boundaries!$A$2:$A$30,0),0),1)-1,""))</f>
        <v/>
      </c>
      <c r="X466" s="42" t="str">
        <f aca="false">IF(OR(W466="",$E466=""),"",W466-$E466)</f>
        <v/>
      </c>
      <c r="Y466" s="39"/>
      <c r="Z466" s="40" t="str">
        <f aca="false">IF(OR(Y466="",BW466=""),"",Y466/BW466*100)</f>
        <v/>
      </c>
      <c r="AA466" s="41" t="str">
        <f aca="false">IF(Z466="","",IFERROR(MATCH(Z466,INDEX(Boundaries!$B$2:$I$30,MATCH(CK466,Boundaries!$A$2:$A$30,0),0),1)-1,""))</f>
        <v/>
      </c>
      <c r="AB466" s="42" t="str">
        <f aca="false">IF(OR(AA466="",$E466=""),"",AA466-$E466)</f>
        <v/>
      </c>
      <c r="AC466" s="39"/>
      <c r="AD466" s="40" t="str">
        <f aca="false">IF(OR(AC466="",BX466=""),"",AC466/BX466*100)</f>
        <v/>
      </c>
      <c r="AE466" s="41" t="str">
        <f aca="false">IF(AD466="","",IFERROR(MATCH(AD466,INDEX(Boundaries!$B$2:$I$30,MATCH(CL466,Boundaries!$A$2:$A$30,0),0),1)-1,""))</f>
        <v/>
      </c>
      <c r="AF466" s="42" t="str">
        <f aca="false">IF(OR(AE466="",$E466=""),"",AE466-$E466)</f>
        <v/>
      </c>
      <c r="AG466" s="39"/>
      <c r="AH466" s="40" t="str">
        <f aca="false">IF(OR(AG466="",BY466=""),"",AG466/BY466*100)</f>
        <v/>
      </c>
      <c r="AI466" s="41" t="str">
        <f aca="false">IF(AH466="","",IFERROR(MATCH(AH466,INDEX(Boundaries!$B$2:$I$30,MATCH(CM466,Boundaries!$A$2:$A$30,0),0),1)-1,""))</f>
        <v/>
      </c>
      <c r="AJ466" s="42" t="str">
        <f aca="false">IF(OR(AI466="",$E466=""),"",AI466-$E466)</f>
        <v/>
      </c>
      <c r="AK466" s="39"/>
      <c r="AL466" s="40" t="str">
        <f aca="false">IF(OR(AK466="",BZ466=""),"",AK466/BZ466*100)</f>
        <v/>
      </c>
      <c r="AM466" s="41" t="str">
        <f aca="false">IF(AL466="","",IFERROR(MATCH(AL466,INDEX(Boundaries!$B$2:$I$30,MATCH(CN466,Boundaries!$A$2:$A$30,0),0),1)-1,""))</f>
        <v/>
      </c>
      <c r="AN466" s="42" t="str">
        <f aca="false">IF(OR(AM466="",$E466=""),"",AM466-$E466)</f>
        <v/>
      </c>
      <c r="AO466" s="39"/>
      <c r="AP466" s="40" t="str">
        <f aca="false">IF(OR(AO466="",CA466=""),"",AO466/CA466*100)</f>
        <v/>
      </c>
      <c r="AQ466" s="41" t="str">
        <f aca="false">IF(AP466="","",IFERROR(MATCH(AP466,INDEX(Boundaries!$B$2:$I$30,MATCH(CO466,Boundaries!$A$2:$A$30,0),0),1)-1,""))</f>
        <v/>
      </c>
      <c r="AR466" s="42" t="str">
        <f aca="false">IF(OR(AQ466="",$E466=""),"",AQ466-$E466)</f>
        <v/>
      </c>
      <c r="AS466" s="39"/>
      <c r="AT466" s="40" t="str">
        <f aca="false">IF(OR(AS466="",CB466=""),"",AS466/CB466*100)</f>
        <v/>
      </c>
      <c r="AU466" s="41" t="str">
        <f aca="false">IF(AT466="","",IFERROR(MATCH(AT466,INDEX(Boundaries!$B$2:$I$30,MATCH(CP466,Boundaries!$A$2:$A$30,0),0),1)-1,""))</f>
        <v/>
      </c>
      <c r="AV466" s="42" t="str">
        <f aca="false">IF(OR(AU466="",$E466=""),"",AU466-$E466)</f>
        <v/>
      </c>
      <c r="AW466" s="39"/>
      <c r="AX466" s="40" t="str">
        <f aca="false">IF(OR(AW466="",CC466=""),"",AW466/CC466*100)</f>
        <v/>
      </c>
      <c r="AY466" s="41" t="str">
        <f aca="false">IF(AX466="","",IFERROR(MATCH(AX466,INDEX(Boundaries!$B$2:$I$30,MATCH(CQ466,Boundaries!$A$2:$A$30,0),0),1)-1,""))</f>
        <v/>
      </c>
      <c r="AZ466" s="42" t="str">
        <f aca="false">IF(OR(AY466="",$E466=""),"",AY466-$E466)</f>
        <v/>
      </c>
      <c r="BA466" s="39"/>
      <c r="BB466" s="40" t="str">
        <f aca="false">IF(OR(BA466="",CD466=""),"",BA466/CD466*100)</f>
        <v/>
      </c>
      <c r="BC466" s="41" t="str">
        <f aca="false">IF(BB466="","",IFERROR(MATCH(BB466,INDEX(Boundaries!$B$2:$I$30,MATCH(CR466,Boundaries!$A$2:$A$30,0),0),1)-1,""))</f>
        <v/>
      </c>
      <c r="BD466" s="42" t="str">
        <f aca="false">IF(OR(BC466="",$E466=""),"",BC466-$E466)</f>
        <v/>
      </c>
      <c r="BE466" s="39"/>
      <c r="BF466" s="40" t="str">
        <f aca="false">IF(OR(BE466="",CE466=""),"",BE466/CE466*100)</f>
        <v/>
      </c>
      <c r="BG466" s="41" t="str">
        <f aca="false">IF(BF466="","",IFERROR(MATCH(BF466,INDEX(Boundaries!$B$2:$I$30,MATCH(CS466,Boundaries!$A$2:$A$30,0),0),1)-1,""))</f>
        <v/>
      </c>
      <c r="BH466" s="42" t="str">
        <f aca="false">IF(OR(BG466="",$E466=""),"",BG466-$E466)</f>
        <v/>
      </c>
      <c r="BI466" s="39"/>
      <c r="BJ466" s="40" t="str">
        <f aca="false">IF(OR(BI466="",CF466=""),"",BI466/CF466*100)</f>
        <v/>
      </c>
      <c r="BK466" s="41" t="str">
        <f aca="false">IF(BJ466="","",IFERROR(MATCH(BJ466,INDEX(Boundaries!$B$2:$I$30,MATCH(CT466,Boundaries!$A$2:$A$30,0),0),1)-1,""))</f>
        <v/>
      </c>
      <c r="BL466" s="42" t="str">
        <f aca="false">IF(OR(BK466="",$E466=""),"",BK466-$E466)</f>
        <v/>
      </c>
      <c r="BM466" s="39"/>
      <c r="BN466" s="40" t="str">
        <f aca="false">IF(OR(BM466="",CG466=""),"",BM466/CG466*100)</f>
        <v/>
      </c>
      <c r="BO466" s="41" t="str">
        <f aca="false">IF(BN466="","",IFERROR(MATCH(BN466,INDEX(Boundaries!$B$2:$I$30,MATCH(CU466,Boundaries!$A$2:$A$30,0),0),1)-1,""))</f>
        <v/>
      </c>
      <c r="BP466" s="42" t="str">
        <f aca="false">IF(OR(BO466="",$E466=""),"",BO466-$E466)</f>
        <v/>
      </c>
      <c r="BQ466" s="39"/>
      <c r="BR466" s="40" t="str">
        <f aca="false">IF(OR(BQ466="",CH466=""),"",BQ466/CH466*100)</f>
        <v/>
      </c>
      <c r="BS466" s="41" t="str">
        <f aca="false">IF(BR466="","",IFERROR(MATCH(BR466,INDEX(Boundaries!$B$2:$I$30,MATCH(CV466,Boundaries!$A$2:$A$30,0),0),1)-1,""))</f>
        <v/>
      </c>
      <c r="BT466" s="42" t="str">
        <f aca="false">IF(OR(BS466="",$E466=""),"",BS466-$E466)</f>
        <v/>
      </c>
      <c r="BU466" s="28" t="str">
        <f aca="false">IFERROR(INDEX(Assessments!$H$2:$H$600,MATCH($H466&amp;"|"&amp;$I466&amp;"|"&amp;$J466&amp;"|"&amp;1,Assessments!$A$2:$A$600,0)),"")</f>
        <v/>
      </c>
      <c r="BV466" s="28" t="str">
        <f aca="false">IFERROR(INDEX(Assessments!$H$2:$H$600,MATCH($H466&amp;"|"&amp;$I466&amp;"|"&amp;$J466&amp;"|"&amp;2,Assessments!$A$2:$A$600,0)),"")</f>
        <v/>
      </c>
      <c r="BW466" s="28" t="str">
        <f aca="false">IFERROR(INDEX(Assessments!$H$2:$H$600,MATCH($H466&amp;"|"&amp;$I466&amp;"|"&amp;$J466&amp;"|"&amp;3,Assessments!$A$2:$A$600,0)),"")</f>
        <v/>
      </c>
      <c r="BX466" s="28" t="str">
        <f aca="false">IFERROR(INDEX(Assessments!$H$2:$H$600,MATCH($H466&amp;"|"&amp;$I466&amp;"|"&amp;$J466&amp;"|"&amp;4,Assessments!$A$2:$A$600,0)),"")</f>
        <v/>
      </c>
      <c r="BY466" s="28" t="str">
        <f aca="false">IFERROR(INDEX(Assessments!$H$2:$H$600,MATCH($H466&amp;"|"&amp;$I466&amp;"|"&amp;$J466&amp;"|"&amp;5,Assessments!$A$2:$A$600,0)),"")</f>
        <v/>
      </c>
      <c r="BZ466" s="28" t="str">
        <f aca="false">IFERROR(INDEX(Assessments!$H$2:$H$600,MATCH($H466&amp;"|"&amp;$I466&amp;"|"&amp;$J466&amp;"|"&amp;6,Assessments!$A$2:$A$600,0)),"")</f>
        <v/>
      </c>
      <c r="CA466" s="28" t="str">
        <f aca="false">IFERROR(INDEX(Assessments!$H$2:$H$600,MATCH($H466&amp;"|"&amp;$I466&amp;"|"&amp;$J466&amp;"|"&amp;7,Assessments!$A$2:$A$600,0)),"")</f>
        <v/>
      </c>
      <c r="CB466" s="28" t="str">
        <f aca="false">IFERROR(INDEX(Assessments!$H$2:$H$600,MATCH($H466&amp;"|"&amp;$I466&amp;"|"&amp;$J466&amp;"|"&amp;8,Assessments!$A$2:$A$600,0)),"")</f>
        <v/>
      </c>
      <c r="CC466" s="28" t="str">
        <f aca="false">IFERROR(INDEX(Assessments!$H$2:$H$600,MATCH($H466&amp;"|"&amp;$I466&amp;"|"&amp;$J466&amp;"|"&amp;9,Assessments!$A$2:$A$600,0)),"")</f>
        <v/>
      </c>
      <c r="CD466" s="28" t="str">
        <f aca="false">IFERROR(INDEX(Assessments!$H$2:$H$600,MATCH($H466&amp;"|"&amp;$I466&amp;"|"&amp;$J466&amp;"|"&amp;10,Assessments!$A$2:$A$600,0)),"")</f>
        <v/>
      </c>
      <c r="CE466" s="28" t="str">
        <f aca="false">IFERROR(INDEX(Assessments!$H$2:$H$600,MATCH($H466&amp;"|"&amp;$I466&amp;"|"&amp;$J466&amp;"|"&amp;11,Assessments!$A$2:$A$600,0)),"")</f>
        <v/>
      </c>
      <c r="CF466" s="28" t="str">
        <f aca="false">IFERROR(INDEX(Assessments!$H$2:$H$600,MATCH($H466&amp;"|"&amp;$I466&amp;"|"&amp;$J466&amp;"|"&amp;12,Assessments!$A$2:$A$600,0)),"")</f>
        <v/>
      </c>
      <c r="CG466" s="28" t="str">
        <f aca="false">IFERROR(INDEX(Assessments!$H$2:$H$600,MATCH($H466&amp;"|"&amp;$I466&amp;"|"&amp;$J466&amp;"|"&amp;13,Assessments!$A$2:$A$600,0)),"")</f>
        <v/>
      </c>
      <c r="CH466" s="28" t="str">
        <f aca="false">IFERROR(INDEX(Assessments!$H$2:$H$600,MATCH($H466&amp;"|"&amp;$I466&amp;"|"&amp;$J466&amp;"|"&amp;14,Assessments!$A$2:$A$600,0)),"")</f>
        <v/>
      </c>
      <c r="CI466" s="28" t="str">
        <f aca="false">IFERROR(INDEX(Assessments!$I$2:$I$600,MATCH($H466&amp;"|"&amp;$I466&amp;"|"&amp;$J466&amp;"|"&amp;1,Assessments!$A$2:$A$600,0)),"")</f>
        <v/>
      </c>
      <c r="CJ466" s="28" t="str">
        <f aca="false">IFERROR(INDEX(Assessments!$I$2:$I$600,MATCH($H466&amp;"|"&amp;$I466&amp;"|"&amp;$J466&amp;"|"&amp;2,Assessments!$A$2:$A$600,0)),"")</f>
        <v/>
      </c>
      <c r="CK466" s="28" t="str">
        <f aca="false">IFERROR(INDEX(Assessments!$I$2:$I$600,MATCH($H466&amp;"|"&amp;$I466&amp;"|"&amp;$J466&amp;"|"&amp;3,Assessments!$A$2:$A$600,0)),"")</f>
        <v/>
      </c>
      <c r="CL466" s="28" t="str">
        <f aca="false">IFERROR(INDEX(Assessments!$I$2:$I$600,MATCH($H466&amp;"|"&amp;$I466&amp;"|"&amp;$J466&amp;"|"&amp;4,Assessments!$A$2:$A$600,0)),"")</f>
        <v/>
      </c>
      <c r="CM466" s="28" t="str">
        <f aca="false">IFERROR(INDEX(Assessments!$I$2:$I$600,MATCH($H466&amp;"|"&amp;$I466&amp;"|"&amp;$J466&amp;"|"&amp;5,Assessments!$A$2:$A$600,0)),"")</f>
        <v/>
      </c>
      <c r="CN466" s="28" t="str">
        <f aca="false">IFERROR(INDEX(Assessments!$I$2:$I$600,MATCH($H466&amp;"|"&amp;$I466&amp;"|"&amp;$J466&amp;"|"&amp;6,Assessments!$A$2:$A$600,0)),"")</f>
        <v/>
      </c>
      <c r="CO466" s="28" t="str">
        <f aca="false">IFERROR(INDEX(Assessments!$I$2:$I$600,MATCH($H466&amp;"|"&amp;$I466&amp;"|"&amp;$J466&amp;"|"&amp;7,Assessments!$A$2:$A$600,0)),"")</f>
        <v/>
      </c>
      <c r="CP466" s="28" t="str">
        <f aca="false">IFERROR(INDEX(Assessments!$I$2:$I$600,MATCH($H466&amp;"|"&amp;$I466&amp;"|"&amp;$J466&amp;"|"&amp;8,Assessments!$A$2:$A$600,0)),"")</f>
        <v/>
      </c>
      <c r="CQ466" s="28" t="str">
        <f aca="false">IFERROR(INDEX(Assessments!$I$2:$I$600,MATCH($H466&amp;"|"&amp;$I466&amp;"|"&amp;$J466&amp;"|"&amp;9,Assessments!$A$2:$A$600,0)),"")</f>
        <v/>
      </c>
      <c r="CR466" s="28" t="str">
        <f aca="false">IFERROR(INDEX(Assessments!$I$2:$I$600,MATCH($H466&amp;"|"&amp;$I466&amp;"|"&amp;$J466&amp;"|"&amp;10,Assessments!$A$2:$A$600,0)),"")</f>
        <v/>
      </c>
      <c r="CS466" s="28" t="str">
        <f aca="false">IFERROR(INDEX(Assessments!$I$2:$I$600,MATCH($H466&amp;"|"&amp;$I466&amp;"|"&amp;$J466&amp;"|"&amp;11,Assessments!$A$2:$A$600,0)),"")</f>
        <v/>
      </c>
      <c r="CT466" s="28" t="str">
        <f aca="false">IFERROR(INDEX(Assessments!$I$2:$I$600,MATCH($H466&amp;"|"&amp;$I466&amp;"|"&amp;$J466&amp;"|"&amp;12,Assessments!$A$2:$A$600,0)),"")</f>
        <v/>
      </c>
      <c r="CU466" s="28" t="str">
        <f aca="false">IFERROR(INDEX(Assessments!$I$2:$I$600,MATCH($H466&amp;"|"&amp;$I466&amp;"|"&amp;$J466&amp;"|"&amp;13,Assessments!$A$2:$A$600,0)),"")</f>
        <v/>
      </c>
      <c r="CV466" s="28" t="str">
        <f aca="false">IFERROR(INDEX(Assessments!$I$2:$I$600,MATCH($H466&amp;"|"&amp;$I466&amp;"|"&amp;$J466&amp;"|"&amp;14,Assessments!$A$2:$A$600,0)),"")</f>
        <v/>
      </c>
      <c r="CW466" s="28" t="n">
        <f aca="false">IFERROR(INDEX(Assessments!$J$2:$J$600,MATCH($H466&amp;"|"&amp;$I466&amp;"|"&amp;$J466&amp;"|"&amp;1,Assessments!$A$2:$A$600,0)),0)</f>
        <v>0</v>
      </c>
      <c r="CX466" s="28" t="n">
        <f aca="false">IFERROR(INDEX(Assessments!$J$2:$J$600,MATCH($H466&amp;"|"&amp;$I466&amp;"|"&amp;$J466&amp;"|"&amp;2,Assessments!$A$2:$A$600,0)),0)</f>
        <v>0</v>
      </c>
      <c r="CY466" s="28" t="n">
        <f aca="false">IFERROR(INDEX(Assessments!$J$2:$J$600,MATCH($H466&amp;"|"&amp;$I466&amp;"|"&amp;$J466&amp;"|"&amp;3,Assessments!$A$2:$A$600,0)),0)</f>
        <v>0</v>
      </c>
      <c r="CZ466" s="28" t="n">
        <f aca="false">IFERROR(INDEX(Assessments!$J$2:$J$600,MATCH($H466&amp;"|"&amp;$I466&amp;"|"&amp;$J466&amp;"|"&amp;4,Assessments!$A$2:$A$600,0)),0)</f>
        <v>0</v>
      </c>
      <c r="DA466" s="28" t="n">
        <f aca="false">IFERROR(INDEX(Assessments!$J$2:$J$600,MATCH($H466&amp;"|"&amp;$I466&amp;"|"&amp;$J466&amp;"|"&amp;5,Assessments!$A$2:$A$600,0)),0)</f>
        <v>0</v>
      </c>
      <c r="DB466" s="28" t="n">
        <f aca="false">IFERROR(INDEX(Assessments!$J$2:$J$600,MATCH($H466&amp;"|"&amp;$I466&amp;"|"&amp;$J466&amp;"|"&amp;6,Assessments!$A$2:$A$600,0)),0)</f>
        <v>0</v>
      </c>
      <c r="DC466" s="28" t="n">
        <f aca="false">IFERROR(INDEX(Assessments!$J$2:$J$600,MATCH($H466&amp;"|"&amp;$I466&amp;"|"&amp;$J466&amp;"|"&amp;7,Assessments!$A$2:$A$600,0)),0)</f>
        <v>0</v>
      </c>
      <c r="DD466" s="28" t="n">
        <f aca="false">IFERROR(INDEX(Assessments!$J$2:$J$600,MATCH($H466&amp;"|"&amp;$I466&amp;"|"&amp;$J466&amp;"|"&amp;8,Assessments!$A$2:$A$600,0)),0)</f>
        <v>0</v>
      </c>
      <c r="DE466" s="28" t="n">
        <f aca="false">IFERROR(INDEX(Assessments!$J$2:$J$600,MATCH($H466&amp;"|"&amp;$I466&amp;"|"&amp;$J466&amp;"|"&amp;9,Assessments!$A$2:$A$600,0)),0)</f>
        <v>0</v>
      </c>
      <c r="DF466" s="28" t="n">
        <f aca="false">IFERROR(INDEX(Assessments!$J$2:$J$600,MATCH($H466&amp;"|"&amp;$I466&amp;"|"&amp;$J466&amp;"|"&amp;10,Assessments!$A$2:$A$600,0)),0)</f>
        <v>0</v>
      </c>
      <c r="DG466" s="28" t="n">
        <f aca="false">IFERROR(INDEX(Assessments!$J$2:$J$600,MATCH($H466&amp;"|"&amp;$I466&amp;"|"&amp;$J466&amp;"|"&amp;11,Assessments!$A$2:$A$600,0)),0)</f>
        <v>0</v>
      </c>
      <c r="DH466" s="28" t="n">
        <f aca="false">IFERROR(INDEX(Assessments!$J$2:$J$600,MATCH($H466&amp;"|"&amp;$I466&amp;"|"&amp;$J466&amp;"|"&amp;12,Assessments!$A$2:$A$600,0)),0)</f>
        <v>0</v>
      </c>
      <c r="DI466" s="28" t="n">
        <f aca="false">IFERROR(INDEX(Assessments!$J$2:$J$600,MATCH($H466&amp;"|"&amp;$I466&amp;"|"&amp;$J466&amp;"|"&amp;13,Assessments!$A$2:$A$600,0)),0)</f>
        <v>0</v>
      </c>
      <c r="DJ466" s="28" t="n">
        <f aca="false">IFERROR(INDEX(Assessments!$J$2:$J$600,MATCH($H466&amp;"|"&amp;$I466&amp;"|"&amp;$J466&amp;"|"&amp;14,Assessments!$A$2:$A$600,0)),0)</f>
        <v>0</v>
      </c>
      <c r="DK466" s="28" t="str">
        <f aca="false">S466</f>
        <v/>
      </c>
      <c r="DL466" s="28" t="str">
        <f aca="false">W466</f>
        <v/>
      </c>
      <c r="DM466" s="28" t="str">
        <f aca="false">AA466</f>
        <v/>
      </c>
      <c r="DN466" s="28" t="str">
        <f aca="false">AE466</f>
        <v/>
      </c>
      <c r="DO466" s="28" t="str">
        <f aca="false">AI466</f>
        <v/>
      </c>
      <c r="DP466" s="28" t="str">
        <f aca="false">AM466</f>
        <v/>
      </c>
      <c r="DQ466" s="28" t="str">
        <f aca="false">AQ466</f>
        <v/>
      </c>
      <c r="DR466" s="28" t="str">
        <f aca="false">AU466</f>
        <v/>
      </c>
      <c r="DS466" s="28" t="str">
        <f aca="false">AY466</f>
        <v/>
      </c>
      <c r="DT466" s="28" t="str">
        <f aca="false">BC466</f>
        <v/>
      </c>
      <c r="DU466" s="28" t="str">
        <f aca="false">BG466</f>
        <v/>
      </c>
      <c r="DV466" s="28" t="str">
        <f aca="false">BK466</f>
        <v/>
      </c>
      <c r="DW466" s="28" t="str">
        <f aca="false">BO466</f>
        <v/>
      </c>
      <c r="DX466" s="28" t="str">
        <f aca="false">BS466</f>
        <v/>
      </c>
      <c r="DY466" s="28" t="str">
        <f aca="false">IF(ISNUMBER(S466),1,"")</f>
        <v/>
      </c>
      <c r="DZ466" s="28" t="str">
        <f aca="false">IF(ISNUMBER(W466),2,"")</f>
        <v/>
      </c>
      <c r="EA466" s="28" t="str">
        <f aca="false">IF(ISNUMBER(AA466),3,"")</f>
        <v/>
      </c>
      <c r="EB466" s="28" t="str">
        <f aca="false">IF(ISNUMBER(AE466),4,"")</f>
        <v/>
      </c>
      <c r="EC466" s="28" t="str">
        <f aca="false">IF(ISNUMBER(AI466),5,"")</f>
        <v/>
      </c>
      <c r="ED466" s="28" t="str">
        <f aca="false">IF(ISNUMBER(AM466),6,"")</f>
        <v/>
      </c>
      <c r="EE466" s="28" t="str">
        <f aca="false">IF(ISNUMBER(AQ466),7,"")</f>
        <v/>
      </c>
      <c r="EF466" s="28" t="str">
        <f aca="false">IF(ISNUMBER(AU466),8,"")</f>
        <v/>
      </c>
      <c r="EG466" s="28" t="str">
        <f aca="false">IF(ISNUMBER(AY466),9,"")</f>
        <v/>
      </c>
      <c r="EH466" s="28" t="str">
        <f aca="false">IF(ISNUMBER(BC466),10,"")</f>
        <v/>
      </c>
      <c r="EI466" s="28" t="str">
        <f aca="false">IF(ISNUMBER(BG466),11,"")</f>
        <v/>
      </c>
      <c r="EJ466" s="28" t="str">
        <f aca="false">IF(ISNUMBER(BK466),12,"")</f>
        <v/>
      </c>
      <c r="EK466" s="28" t="str">
        <f aca="false">IF(ISNUMBER(BO466),13,"")</f>
        <v/>
      </c>
      <c r="EL466" s="28" t="str">
        <f aca="false">IF(ISNUMBER(BS466),14,"")</f>
        <v/>
      </c>
      <c r="EM466" s="28" t="n">
        <f aca="false">IF(ISNUMBER(R466),R466*CW466,0)</f>
        <v>0</v>
      </c>
      <c r="EN466" s="28" t="n">
        <f aca="false">IF(ISNUMBER(V466),V466*CX466,0)</f>
        <v>0</v>
      </c>
      <c r="EO466" s="28" t="n">
        <f aca="false">IF(ISNUMBER(Z466),Z466*CY466,0)</f>
        <v>0</v>
      </c>
      <c r="EP466" s="28" t="n">
        <f aca="false">IF(ISNUMBER(AD466),AD466*CZ466,0)</f>
        <v>0</v>
      </c>
      <c r="EQ466" s="28" t="n">
        <f aca="false">IF(ISNUMBER(AH466),AH466*DA466,0)</f>
        <v>0</v>
      </c>
      <c r="ER466" s="28" t="n">
        <f aca="false">IF(ISNUMBER(AL466),AL466*DB466,0)</f>
        <v>0</v>
      </c>
      <c r="ES466" s="28" t="n">
        <f aca="false">IF(ISNUMBER(AP466),AP466*DC466,0)</f>
        <v>0</v>
      </c>
      <c r="ET466" s="28" t="n">
        <f aca="false">IF(ISNUMBER(AT466),AT466*DD466,0)</f>
        <v>0</v>
      </c>
      <c r="EU466" s="28" t="n">
        <f aca="false">IF(ISNUMBER(AX466),AX466*DE466,0)</f>
        <v>0</v>
      </c>
      <c r="EV466" s="28" t="n">
        <f aca="false">IF(ISNUMBER(BB466),BB466*DF466,0)</f>
        <v>0</v>
      </c>
      <c r="EW466" s="28" t="n">
        <f aca="false">IF(ISNUMBER(BF466),BF466*DG466,0)</f>
        <v>0</v>
      </c>
      <c r="EX466" s="28" t="n">
        <f aca="false">IF(ISNUMBER(BJ466),BJ466*DH466,0)</f>
        <v>0</v>
      </c>
      <c r="EY466" s="28" t="n">
        <f aca="false">IF(ISNUMBER(BN466),BN466*DI466,0)</f>
        <v>0</v>
      </c>
      <c r="EZ466" s="28" t="n">
        <f aca="false">IF(ISNUMBER(BR466),BR466*DJ466,0)</f>
        <v>0</v>
      </c>
      <c r="FA466" s="28" t="n">
        <f aca="false">IF(ISNUMBER(R466),CW466,0)</f>
        <v>0</v>
      </c>
      <c r="FB466" s="28" t="n">
        <f aca="false">IF(ISNUMBER(V466),CX466,0)</f>
        <v>0</v>
      </c>
      <c r="FC466" s="28" t="n">
        <f aca="false">IF(ISNUMBER(Z466),CY466,0)</f>
        <v>0</v>
      </c>
      <c r="FD466" s="28" t="n">
        <f aca="false">IF(ISNUMBER(AD466),CZ466,0)</f>
        <v>0</v>
      </c>
      <c r="FE466" s="28" t="n">
        <f aca="false">IF(ISNUMBER(AH466),DA466,0)</f>
        <v>0</v>
      </c>
      <c r="FF466" s="28" t="n">
        <f aca="false">IF(ISNUMBER(AL466),DB466,0)</f>
        <v>0</v>
      </c>
      <c r="FG466" s="28" t="n">
        <f aca="false">IF(ISNUMBER(AP466),DC466,0)</f>
        <v>0</v>
      </c>
      <c r="FH466" s="28" t="n">
        <f aca="false">IF(ISNUMBER(AT466),DD466,0)</f>
        <v>0</v>
      </c>
      <c r="FI466" s="28" t="n">
        <f aca="false">IF(ISNUMBER(AX466),DE466,0)</f>
        <v>0</v>
      </c>
      <c r="FJ466" s="28" t="n">
        <f aca="false">IF(ISNUMBER(BB466),DF466,0)</f>
        <v>0</v>
      </c>
      <c r="FK466" s="28" t="n">
        <f aca="false">IF(ISNUMBER(BF466),DG466,0)</f>
        <v>0</v>
      </c>
      <c r="FL466" s="28" t="n">
        <f aca="false">IF(ISNUMBER(BJ466),DH466,0)</f>
        <v>0</v>
      </c>
      <c r="FM466" s="28" t="n">
        <f aca="false">IF(ISNUMBER(BN466),DI466,0)</f>
        <v>0</v>
      </c>
      <c r="FN466" s="28" t="n">
        <f aca="false">IF(ISNUMBER(BR466),DJ466,0)</f>
        <v>0</v>
      </c>
      <c r="FO466" s="28" t="str">
        <f aca="false">IFERROR(INDEX(Lists!$G$2:$G$20,MATCH($I466&amp;"|"&amp;$J466,Lists!$F$2:$F$20,0)),"")</f>
        <v/>
      </c>
    </row>
    <row r="467" customFormat="false" ht="19.5" hidden="false" customHeight="true" outlineLevel="0" collapsed="false">
      <c r="A467" s="29"/>
      <c r="B467" s="29"/>
      <c r="C467" s="30"/>
      <c r="D467" s="30"/>
      <c r="E467" s="31"/>
      <c r="F467" s="30"/>
      <c r="G467" s="30"/>
      <c r="H467" s="32"/>
      <c r="I467" s="33"/>
      <c r="J467" s="32"/>
      <c r="K467" s="34" t="str">
        <f aca="false">IF(OR(M467="",$E467=""),"",M467-$E467)</f>
        <v/>
      </c>
      <c r="L467" s="35" t="str">
        <f aca="false">IF(SUM(FA467:FN467)=0,"",SUM(EM467:EZ467)/SUM(FA467:FN467))</f>
        <v/>
      </c>
      <c r="M467" s="36" t="str">
        <f aca="false">IF(OR(L467="",FO467=""),"",IFERROR(MATCH(L467,INDEX(Boundaries!$B$2:$I$30,MATCH(FO467,Boundaries!$A$2:$A$30,0),0),1)-1,""))</f>
        <v/>
      </c>
      <c r="N467" s="37" t="str">
        <f aca="false">IF(COUNT($DY467:$EL467)&lt;2,"",INDEX($DK467:$DX467,MAX($DY467:$EL467))-INDEX($DK467:$DX467,MIN($DY467:$EL467)))</f>
        <v/>
      </c>
      <c r="O467" s="37" t="str">
        <f aca="false">IF(COUNT($DY467:$EL467)&lt;2,"",INDEX($DK467:$DX467,MAX($DY467:$EL467))-INDEX($DK467:$DX467,LARGE($DY467:$EL467,2)))</f>
        <v/>
      </c>
      <c r="P467" s="38" t="str">
        <f aca="false">IF(K467="","",IF(K467&gt;=0,"On/above target",IF(AND(N467&lt;&gt;"",N467&gt;=0.5),"Improving towards target",IF(AND(O467&lt;&gt;"",O467&lt;=-0.5),"Declining","Stable below target"))))</f>
        <v/>
      </c>
      <c r="Q467" s="39"/>
      <c r="R467" s="40" t="str">
        <f aca="false">IF(OR(Q467="",BU467=""),"",Q467/BU467*100)</f>
        <v/>
      </c>
      <c r="S467" s="41" t="str">
        <f aca="false">IF(R467="","",IFERROR(MATCH(R467,INDEX(Boundaries!$B$2:$I$30,MATCH(CI467,Boundaries!$A$2:$A$30,0),0),1)-1,""))</f>
        <v/>
      </c>
      <c r="T467" s="42" t="str">
        <f aca="false">IF(OR(S467="",$E467=""),"",S467-$E467)</f>
        <v/>
      </c>
      <c r="U467" s="39"/>
      <c r="V467" s="40" t="str">
        <f aca="false">IF(OR(U467="",BV467=""),"",U467/BV467*100)</f>
        <v/>
      </c>
      <c r="W467" s="41" t="str">
        <f aca="false">IF(V467="","",IFERROR(MATCH(V467,INDEX(Boundaries!$B$2:$I$30,MATCH(CJ467,Boundaries!$A$2:$A$30,0),0),1)-1,""))</f>
        <v/>
      </c>
      <c r="X467" s="42" t="str">
        <f aca="false">IF(OR(W467="",$E467=""),"",W467-$E467)</f>
        <v/>
      </c>
      <c r="Y467" s="39"/>
      <c r="Z467" s="40" t="str">
        <f aca="false">IF(OR(Y467="",BW467=""),"",Y467/BW467*100)</f>
        <v/>
      </c>
      <c r="AA467" s="41" t="str">
        <f aca="false">IF(Z467="","",IFERROR(MATCH(Z467,INDEX(Boundaries!$B$2:$I$30,MATCH(CK467,Boundaries!$A$2:$A$30,0),0),1)-1,""))</f>
        <v/>
      </c>
      <c r="AB467" s="42" t="str">
        <f aca="false">IF(OR(AA467="",$E467=""),"",AA467-$E467)</f>
        <v/>
      </c>
      <c r="AC467" s="39"/>
      <c r="AD467" s="40" t="str">
        <f aca="false">IF(OR(AC467="",BX467=""),"",AC467/BX467*100)</f>
        <v/>
      </c>
      <c r="AE467" s="41" t="str">
        <f aca="false">IF(AD467="","",IFERROR(MATCH(AD467,INDEX(Boundaries!$B$2:$I$30,MATCH(CL467,Boundaries!$A$2:$A$30,0),0),1)-1,""))</f>
        <v/>
      </c>
      <c r="AF467" s="42" t="str">
        <f aca="false">IF(OR(AE467="",$E467=""),"",AE467-$E467)</f>
        <v/>
      </c>
      <c r="AG467" s="39"/>
      <c r="AH467" s="40" t="str">
        <f aca="false">IF(OR(AG467="",BY467=""),"",AG467/BY467*100)</f>
        <v/>
      </c>
      <c r="AI467" s="41" t="str">
        <f aca="false">IF(AH467="","",IFERROR(MATCH(AH467,INDEX(Boundaries!$B$2:$I$30,MATCH(CM467,Boundaries!$A$2:$A$30,0),0),1)-1,""))</f>
        <v/>
      </c>
      <c r="AJ467" s="42" t="str">
        <f aca="false">IF(OR(AI467="",$E467=""),"",AI467-$E467)</f>
        <v/>
      </c>
      <c r="AK467" s="39"/>
      <c r="AL467" s="40" t="str">
        <f aca="false">IF(OR(AK467="",BZ467=""),"",AK467/BZ467*100)</f>
        <v/>
      </c>
      <c r="AM467" s="41" t="str">
        <f aca="false">IF(AL467="","",IFERROR(MATCH(AL467,INDEX(Boundaries!$B$2:$I$30,MATCH(CN467,Boundaries!$A$2:$A$30,0),0),1)-1,""))</f>
        <v/>
      </c>
      <c r="AN467" s="42" t="str">
        <f aca="false">IF(OR(AM467="",$E467=""),"",AM467-$E467)</f>
        <v/>
      </c>
      <c r="AO467" s="39"/>
      <c r="AP467" s="40" t="str">
        <f aca="false">IF(OR(AO467="",CA467=""),"",AO467/CA467*100)</f>
        <v/>
      </c>
      <c r="AQ467" s="41" t="str">
        <f aca="false">IF(AP467="","",IFERROR(MATCH(AP467,INDEX(Boundaries!$B$2:$I$30,MATCH(CO467,Boundaries!$A$2:$A$30,0),0),1)-1,""))</f>
        <v/>
      </c>
      <c r="AR467" s="42" t="str">
        <f aca="false">IF(OR(AQ467="",$E467=""),"",AQ467-$E467)</f>
        <v/>
      </c>
      <c r="AS467" s="39"/>
      <c r="AT467" s="40" t="str">
        <f aca="false">IF(OR(AS467="",CB467=""),"",AS467/CB467*100)</f>
        <v/>
      </c>
      <c r="AU467" s="41" t="str">
        <f aca="false">IF(AT467="","",IFERROR(MATCH(AT467,INDEX(Boundaries!$B$2:$I$30,MATCH(CP467,Boundaries!$A$2:$A$30,0),0),1)-1,""))</f>
        <v/>
      </c>
      <c r="AV467" s="42" t="str">
        <f aca="false">IF(OR(AU467="",$E467=""),"",AU467-$E467)</f>
        <v/>
      </c>
      <c r="AW467" s="39"/>
      <c r="AX467" s="40" t="str">
        <f aca="false">IF(OR(AW467="",CC467=""),"",AW467/CC467*100)</f>
        <v/>
      </c>
      <c r="AY467" s="41" t="str">
        <f aca="false">IF(AX467="","",IFERROR(MATCH(AX467,INDEX(Boundaries!$B$2:$I$30,MATCH(CQ467,Boundaries!$A$2:$A$30,0),0),1)-1,""))</f>
        <v/>
      </c>
      <c r="AZ467" s="42" t="str">
        <f aca="false">IF(OR(AY467="",$E467=""),"",AY467-$E467)</f>
        <v/>
      </c>
      <c r="BA467" s="39"/>
      <c r="BB467" s="40" t="str">
        <f aca="false">IF(OR(BA467="",CD467=""),"",BA467/CD467*100)</f>
        <v/>
      </c>
      <c r="BC467" s="41" t="str">
        <f aca="false">IF(BB467="","",IFERROR(MATCH(BB467,INDEX(Boundaries!$B$2:$I$30,MATCH(CR467,Boundaries!$A$2:$A$30,0),0),1)-1,""))</f>
        <v/>
      </c>
      <c r="BD467" s="42" t="str">
        <f aca="false">IF(OR(BC467="",$E467=""),"",BC467-$E467)</f>
        <v/>
      </c>
      <c r="BE467" s="39"/>
      <c r="BF467" s="40" t="str">
        <f aca="false">IF(OR(BE467="",CE467=""),"",BE467/CE467*100)</f>
        <v/>
      </c>
      <c r="BG467" s="41" t="str">
        <f aca="false">IF(BF467="","",IFERROR(MATCH(BF467,INDEX(Boundaries!$B$2:$I$30,MATCH(CS467,Boundaries!$A$2:$A$30,0),0),1)-1,""))</f>
        <v/>
      </c>
      <c r="BH467" s="42" t="str">
        <f aca="false">IF(OR(BG467="",$E467=""),"",BG467-$E467)</f>
        <v/>
      </c>
      <c r="BI467" s="39"/>
      <c r="BJ467" s="40" t="str">
        <f aca="false">IF(OR(BI467="",CF467=""),"",BI467/CF467*100)</f>
        <v/>
      </c>
      <c r="BK467" s="41" t="str">
        <f aca="false">IF(BJ467="","",IFERROR(MATCH(BJ467,INDEX(Boundaries!$B$2:$I$30,MATCH(CT467,Boundaries!$A$2:$A$30,0),0),1)-1,""))</f>
        <v/>
      </c>
      <c r="BL467" s="42" t="str">
        <f aca="false">IF(OR(BK467="",$E467=""),"",BK467-$E467)</f>
        <v/>
      </c>
      <c r="BM467" s="39"/>
      <c r="BN467" s="40" t="str">
        <f aca="false">IF(OR(BM467="",CG467=""),"",BM467/CG467*100)</f>
        <v/>
      </c>
      <c r="BO467" s="41" t="str">
        <f aca="false">IF(BN467="","",IFERROR(MATCH(BN467,INDEX(Boundaries!$B$2:$I$30,MATCH(CU467,Boundaries!$A$2:$A$30,0),0),1)-1,""))</f>
        <v/>
      </c>
      <c r="BP467" s="42" t="str">
        <f aca="false">IF(OR(BO467="",$E467=""),"",BO467-$E467)</f>
        <v/>
      </c>
      <c r="BQ467" s="39"/>
      <c r="BR467" s="40" t="str">
        <f aca="false">IF(OR(BQ467="",CH467=""),"",BQ467/CH467*100)</f>
        <v/>
      </c>
      <c r="BS467" s="41" t="str">
        <f aca="false">IF(BR467="","",IFERROR(MATCH(BR467,INDEX(Boundaries!$B$2:$I$30,MATCH(CV467,Boundaries!$A$2:$A$30,0),0),1)-1,""))</f>
        <v/>
      </c>
      <c r="BT467" s="42" t="str">
        <f aca="false">IF(OR(BS467="",$E467=""),"",BS467-$E467)</f>
        <v/>
      </c>
      <c r="BU467" s="28" t="str">
        <f aca="false">IFERROR(INDEX(Assessments!$H$2:$H$600,MATCH($H467&amp;"|"&amp;$I467&amp;"|"&amp;$J467&amp;"|"&amp;1,Assessments!$A$2:$A$600,0)),"")</f>
        <v/>
      </c>
      <c r="BV467" s="28" t="str">
        <f aca="false">IFERROR(INDEX(Assessments!$H$2:$H$600,MATCH($H467&amp;"|"&amp;$I467&amp;"|"&amp;$J467&amp;"|"&amp;2,Assessments!$A$2:$A$600,0)),"")</f>
        <v/>
      </c>
      <c r="BW467" s="28" t="str">
        <f aca="false">IFERROR(INDEX(Assessments!$H$2:$H$600,MATCH($H467&amp;"|"&amp;$I467&amp;"|"&amp;$J467&amp;"|"&amp;3,Assessments!$A$2:$A$600,0)),"")</f>
        <v/>
      </c>
      <c r="BX467" s="28" t="str">
        <f aca="false">IFERROR(INDEX(Assessments!$H$2:$H$600,MATCH($H467&amp;"|"&amp;$I467&amp;"|"&amp;$J467&amp;"|"&amp;4,Assessments!$A$2:$A$600,0)),"")</f>
        <v/>
      </c>
      <c r="BY467" s="28" t="str">
        <f aca="false">IFERROR(INDEX(Assessments!$H$2:$H$600,MATCH($H467&amp;"|"&amp;$I467&amp;"|"&amp;$J467&amp;"|"&amp;5,Assessments!$A$2:$A$600,0)),"")</f>
        <v/>
      </c>
      <c r="BZ467" s="28" t="str">
        <f aca="false">IFERROR(INDEX(Assessments!$H$2:$H$600,MATCH($H467&amp;"|"&amp;$I467&amp;"|"&amp;$J467&amp;"|"&amp;6,Assessments!$A$2:$A$600,0)),"")</f>
        <v/>
      </c>
      <c r="CA467" s="28" t="str">
        <f aca="false">IFERROR(INDEX(Assessments!$H$2:$H$600,MATCH($H467&amp;"|"&amp;$I467&amp;"|"&amp;$J467&amp;"|"&amp;7,Assessments!$A$2:$A$600,0)),"")</f>
        <v/>
      </c>
      <c r="CB467" s="28" t="str">
        <f aca="false">IFERROR(INDEX(Assessments!$H$2:$H$600,MATCH($H467&amp;"|"&amp;$I467&amp;"|"&amp;$J467&amp;"|"&amp;8,Assessments!$A$2:$A$600,0)),"")</f>
        <v/>
      </c>
      <c r="CC467" s="28" t="str">
        <f aca="false">IFERROR(INDEX(Assessments!$H$2:$H$600,MATCH($H467&amp;"|"&amp;$I467&amp;"|"&amp;$J467&amp;"|"&amp;9,Assessments!$A$2:$A$600,0)),"")</f>
        <v/>
      </c>
      <c r="CD467" s="28" t="str">
        <f aca="false">IFERROR(INDEX(Assessments!$H$2:$H$600,MATCH($H467&amp;"|"&amp;$I467&amp;"|"&amp;$J467&amp;"|"&amp;10,Assessments!$A$2:$A$600,0)),"")</f>
        <v/>
      </c>
      <c r="CE467" s="28" t="str">
        <f aca="false">IFERROR(INDEX(Assessments!$H$2:$H$600,MATCH($H467&amp;"|"&amp;$I467&amp;"|"&amp;$J467&amp;"|"&amp;11,Assessments!$A$2:$A$600,0)),"")</f>
        <v/>
      </c>
      <c r="CF467" s="28" t="str">
        <f aca="false">IFERROR(INDEX(Assessments!$H$2:$H$600,MATCH($H467&amp;"|"&amp;$I467&amp;"|"&amp;$J467&amp;"|"&amp;12,Assessments!$A$2:$A$600,0)),"")</f>
        <v/>
      </c>
      <c r="CG467" s="28" t="str">
        <f aca="false">IFERROR(INDEX(Assessments!$H$2:$H$600,MATCH($H467&amp;"|"&amp;$I467&amp;"|"&amp;$J467&amp;"|"&amp;13,Assessments!$A$2:$A$600,0)),"")</f>
        <v/>
      </c>
      <c r="CH467" s="28" t="str">
        <f aca="false">IFERROR(INDEX(Assessments!$H$2:$H$600,MATCH($H467&amp;"|"&amp;$I467&amp;"|"&amp;$J467&amp;"|"&amp;14,Assessments!$A$2:$A$600,0)),"")</f>
        <v/>
      </c>
      <c r="CI467" s="28" t="str">
        <f aca="false">IFERROR(INDEX(Assessments!$I$2:$I$600,MATCH($H467&amp;"|"&amp;$I467&amp;"|"&amp;$J467&amp;"|"&amp;1,Assessments!$A$2:$A$600,0)),"")</f>
        <v/>
      </c>
      <c r="CJ467" s="28" t="str">
        <f aca="false">IFERROR(INDEX(Assessments!$I$2:$I$600,MATCH($H467&amp;"|"&amp;$I467&amp;"|"&amp;$J467&amp;"|"&amp;2,Assessments!$A$2:$A$600,0)),"")</f>
        <v/>
      </c>
      <c r="CK467" s="28" t="str">
        <f aca="false">IFERROR(INDEX(Assessments!$I$2:$I$600,MATCH($H467&amp;"|"&amp;$I467&amp;"|"&amp;$J467&amp;"|"&amp;3,Assessments!$A$2:$A$600,0)),"")</f>
        <v/>
      </c>
      <c r="CL467" s="28" t="str">
        <f aca="false">IFERROR(INDEX(Assessments!$I$2:$I$600,MATCH($H467&amp;"|"&amp;$I467&amp;"|"&amp;$J467&amp;"|"&amp;4,Assessments!$A$2:$A$600,0)),"")</f>
        <v/>
      </c>
      <c r="CM467" s="28" t="str">
        <f aca="false">IFERROR(INDEX(Assessments!$I$2:$I$600,MATCH($H467&amp;"|"&amp;$I467&amp;"|"&amp;$J467&amp;"|"&amp;5,Assessments!$A$2:$A$600,0)),"")</f>
        <v/>
      </c>
      <c r="CN467" s="28" t="str">
        <f aca="false">IFERROR(INDEX(Assessments!$I$2:$I$600,MATCH($H467&amp;"|"&amp;$I467&amp;"|"&amp;$J467&amp;"|"&amp;6,Assessments!$A$2:$A$600,0)),"")</f>
        <v/>
      </c>
      <c r="CO467" s="28" t="str">
        <f aca="false">IFERROR(INDEX(Assessments!$I$2:$I$600,MATCH($H467&amp;"|"&amp;$I467&amp;"|"&amp;$J467&amp;"|"&amp;7,Assessments!$A$2:$A$600,0)),"")</f>
        <v/>
      </c>
      <c r="CP467" s="28" t="str">
        <f aca="false">IFERROR(INDEX(Assessments!$I$2:$I$600,MATCH($H467&amp;"|"&amp;$I467&amp;"|"&amp;$J467&amp;"|"&amp;8,Assessments!$A$2:$A$600,0)),"")</f>
        <v/>
      </c>
      <c r="CQ467" s="28" t="str">
        <f aca="false">IFERROR(INDEX(Assessments!$I$2:$I$600,MATCH($H467&amp;"|"&amp;$I467&amp;"|"&amp;$J467&amp;"|"&amp;9,Assessments!$A$2:$A$600,0)),"")</f>
        <v/>
      </c>
      <c r="CR467" s="28" t="str">
        <f aca="false">IFERROR(INDEX(Assessments!$I$2:$I$600,MATCH($H467&amp;"|"&amp;$I467&amp;"|"&amp;$J467&amp;"|"&amp;10,Assessments!$A$2:$A$600,0)),"")</f>
        <v/>
      </c>
      <c r="CS467" s="28" t="str">
        <f aca="false">IFERROR(INDEX(Assessments!$I$2:$I$600,MATCH($H467&amp;"|"&amp;$I467&amp;"|"&amp;$J467&amp;"|"&amp;11,Assessments!$A$2:$A$600,0)),"")</f>
        <v/>
      </c>
      <c r="CT467" s="28" t="str">
        <f aca="false">IFERROR(INDEX(Assessments!$I$2:$I$600,MATCH($H467&amp;"|"&amp;$I467&amp;"|"&amp;$J467&amp;"|"&amp;12,Assessments!$A$2:$A$600,0)),"")</f>
        <v/>
      </c>
      <c r="CU467" s="28" t="str">
        <f aca="false">IFERROR(INDEX(Assessments!$I$2:$I$600,MATCH($H467&amp;"|"&amp;$I467&amp;"|"&amp;$J467&amp;"|"&amp;13,Assessments!$A$2:$A$600,0)),"")</f>
        <v/>
      </c>
      <c r="CV467" s="28" t="str">
        <f aca="false">IFERROR(INDEX(Assessments!$I$2:$I$600,MATCH($H467&amp;"|"&amp;$I467&amp;"|"&amp;$J467&amp;"|"&amp;14,Assessments!$A$2:$A$600,0)),"")</f>
        <v/>
      </c>
      <c r="CW467" s="28" t="n">
        <f aca="false">IFERROR(INDEX(Assessments!$J$2:$J$600,MATCH($H467&amp;"|"&amp;$I467&amp;"|"&amp;$J467&amp;"|"&amp;1,Assessments!$A$2:$A$600,0)),0)</f>
        <v>0</v>
      </c>
      <c r="CX467" s="28" t="n">
        <f aca="false">IFERROR(INDEX(Assessments!$J$2:$J$600,MATCH($H467&amp;"|"&amp;$I467&amp;"|"&amp;$J467&amp;"|"&amp;2,Assessments!$A$2:$A$600,0)),0)</f>
        <v>0</v>
      </c>
      <c r="CY467" s="28" t="n">
        <f aca="false">IFERROR(INDEX(Assessments!$J$2:$J$600,MATCH($H467&amp;"|"&amp;$I467&amp;"|"&amp;$J467&amp;"|"&amp;3,Assessments!$A$2:$A$600,0)),0)</f>
        <v>0</v>
      </c>
      <c r="CZ467" s="28" t="n">
        <f aca="false">IFERROR(INDEX(Assessments!$J$2:$J$600,MATCH($H467&amp;"|"&amp;$I467&amp;"|"&amp;$J467&amp;"|"&amp;4,Assessments!$A$2:$A$600,0)),0)</f>
        <v>0</v>
      </c>
      <c r="DA467" s="28" t="n">
        <f aca="false">IFERROR(INDEX(Assessments!$J$2:$J$600,MATCH($H467&amp;"|"&amp;$I467&amp;"|"&amp;$J467&amp;"|"&amp;5,Assessments!$A$2:$A$600,0)),0)</f>
        <v>0</v>
      </c>
      <c r="DB467" s="28" t="n">
        <f aca="false">IFERROR(INDEX(Assessments!$J$2:$J$600,MATCH($H467&amp;"|"&amp;$I467&amp;"|"&amp;$J467&amp;"|"&amp;6,Assessments!$A$2:$A$600,0)),0)</f>
        <v>0</v>
      </c>
      <c r="DC467" s="28" t="n">
        <f aca="false">IFERROR(INDEX(Assessments!$J$2:$J$600,MATCH($H467&amp;"|"&amp;$I467&amp;"|"&amp;$J467&amp;"|"&amp;7,Assessments!$A$2:$A$600,0)),0)</f>
        <v>0</v>
      </c>
      <c r="DD467" s="28" t="n">
        <f aca="false">IFERROR(INDEX(Assessments!$J$2:$J$600,MATCH($H467&amp;"|"&amp;$I467&amp;"|"&amp;$J467&amp;"|"&amp;8,Assessments!$A$2:$A$600,0)),0)</f>
        <v>0</v>
      </c>
      <c r="DE467" s="28" t="n">
        <f aca="false">IFERROR(INDEX(Assessments!$J$2:$J$600,MATCH($H467&amp;"|"&amp;$I467&amp;"|"&amp;$J467&amp;"|"&amp;9,Assessments!$A$2:$A$600,0)),0)</f>
        <v>0</v>
      </c>
      <c r="DF467" s="28" t="n">
        <f aca="false">IFERROR(INDEX(Assessments!$J$2:$J$600,MATCH($H467&amp;"|"&amp;$I467&amp;"|"&amp;$J467&amp;"|"&amp;10,Assessments!$A$2:$A$600,0)),0)</f>
        <v>0</v>
      </c>
      <c r="DG467" s="28" t="n">
        <f aca="false">IFERROR(INDEX(Assessments!$J$2:$J$600,MATCH($H467&amp;"|"&amp;$I467&amp;"|"&amp;$J467&amp;"|"&amp;11,Assessments!$A$2:$A$600,0)),0)</f>
        <v>0</v>
      </c>
      <c r="DH467" s="28" t="n">
        <f aca="false">IFERROR(INDEX(Assessments!$J$2:$J$600,MATCH($H467&amp;"|"&amp;$I467&amp;"|"&amp;$J467&amp;"|"&amp;12,Assessments!$A$2:$A$600,0)),0)</f>
        <v>0</v>
      </c>
      <c r="DI467" s="28" t="n">
        <f aca="false">IFERROR(INDEX(Assessments!$J$2:$J$600,MATCH($H467&amp;"|"&amp;$I467&amp;"|"&amp;$J467&amp;"|"&amp;13,Assessments!$A$2:$A$600,0)),0)</f>
        <v>0</v>
      </c>
      <c r="DJ467" s="28" t="n">
        <f aca="false">IFERROR(INDEX(Assessments!$J$2:$J$600,MATCH($H467&amp;"|"&amp;$I467&amp;"|"&amp;$J467&amp;"|"&amp;14,Assessments!$A$2:$A$600,0)),0)</f>
        <v>0</v>
      </c>
      <c r="DK467" s="28" t="str">
        <f aca="false">S467</f>
        <v/>
      </c>
      <c r="DL467" s="28" t="str">
        <f aca="false">W467</f>
        <v/>
      </c>
      <c r="DM467" s="28" t="str">
        <f aca="false">AA467</f>
        <v/>
      </c>
      <c r="DN467" s="28" t="str">
        <f aca="false">AE467</f>
        <v/>
      </c>
      <c r="DO467" s="28" t="str">
        <f aca="false">AI467</f>
        <v/>
      </c>
      <c r="DP467" s="28" t="str">
        <f aca="false">AM467</f>
        <v/>
      </c>
      <c r="DQ467" s="28" t="str">
        <f aca="false">AQ467</f>
        <v/>
      </c>
      <c r="DR467" s="28" t="str">
        <f aca="false">AU467</f>
        <v/>
      </c>
      <c r="DS467" s="28" t="str">
        <f aca="false">AY467</f>
        <v/>
      </c>
      <c r="DT467" s="28" t="str">
        <f aca="false">BC467</f>
        <v/>
      </c>
      <c r="DU467" s="28" t="str">
        <f aca="false">BG467</f>
        <v/>
      </c>
      <c r="DV467" s="28" t="str">
        <f aca="false">BK467</f>
        <v/>
      </c>
      <c r="DW467" s="28" t="str">
        <f aca="false">BO467</f>
        <v/>
      </c>
      <c r="DX467" s="28" t="str">
        <f aca="false">BS467</f>
        <v/>
      </c>
      <c r="DY467" s="28" t="str">
        <f aca="false">IF(ISNUMBER(S467),1,"")</f>
        <v/>
      </c>
      <c r="DZ467" s="28" t="str">
        <f aca="false">IF(ISNUMBER(W467),2,"")</f>
        <v/>
      </c>
      <c r="EA467" s="28" t="str">
        <f aca="false">IF(ISNUMBER(AA467),3,"")</f>
        <v/>
      </c>
      <c r="EB467" s="28" t="str">
        <f aca="false">IF(ISNUMBER(AE467),4,"")</f>
        <v/>
      </c>
      <c r="EC467" s="28" t="str">
        <f aca="false">IF(ISNUMBER(AI467),5,"")</f>
        <v/>
      </c>
      <c r="ED467" s="28" t="str">
        <f aca="false">IF(ISNUMBER(AM467),6,"")</f>
        <v/>
      </c>
      <c r="EE467" s="28" t="str">
        <f aca="false">IF(ISNUMBER(AQ467),7,"")</f>
        <v/>
      </c>
      <c r="EF467" s="28" t="str">
        <f aca="false">IF(ISNUMBER(AU467),8,"")</f>
        <v/>
      </c>
      <c r="EG467" s="28" t="str">
        <f aca="false">IF(ISNUMBER(AY467),9,"")</f>
        <v/>
      </c>
      <c r="EH467" s="28" t="str">
        <f aca="false">IF(ISNUMBER(BC467),10,"")</f>
        <v/>
      </c>
      <c r="EI467" s="28" t="str">
        <f aca="false">IF(ISNUMBER(BG467),11,"")</f>
        <v/>
      </c>
      <c r="EJ467" s="28" t="str">
        <f aca="false">IF(ISNUMBER(BK467),12,"")</f>
        <v/>
      </c>
      <c r="EK467" s="28" t="str">
        <f aca="false">IF(ISNUMBER(BO467),13,"")</f>
        <v/>
      </c>
      <c r="EL467" s="28" t="str">
        <f aca="false">IF(ISNUMBER(BS467),14,"")</f>
        <v/>
      </c>
      <c r="EM467" s="28" t="n">
        <f aca="false">IF(ISNUMBER(R467),R467*CW467,0)</f>
        <v>0</v>
      </c>
      <c r="EN467" s="28" t="n">
        <f aca="false">IF(ISNUMBER(V467),V467*CX467,0)</f>
        <v>0</v>
      </c>
      <c r="EO467" s="28" t="n">
        <f aca="false">IF(ISNUMBER(Z467),Z467*CY467,0)</f>
        <v>0</v>
      </c>
      <c r="EP467" s="28" t="n">
        <f aca="false">IF(ISNUMBER(AD467),AD467*CZ467,0)</f>
        <v>0</v>
      </c>
      <c r="EQ467" s="28" t="n">
        <f aca="false">IF(ISNUMBER(AH467),AH467*DA467,0)</f>
        <v>0</v>
      </c>
      <c r="ER467" s="28" t="n">
        <f aca="false">IF(ISNUMBER(AL467),AL467*DB467,0)</f>
        <v>0</v>
      </c>
      <c r="ES467" s="28" t="n">
        <f aca="false">IF(ISNUMBER(AP467),AP467*DC467,0)</f>
        <v>0</v>
      </c>
      <c r="ET467" s="28" t="n">
        <f aca="false">IF(ISNUMBER(AT467),AT467*DD467,0)</f>
        <v>0</v>
      </c>
      <c r="EU467" s="28" t="n">
        <f aca="false">IF(ISNUMBER(AX467),AX467*DE467,0)</f>
        <v>0</v>
      </c>
      <c r="EV467" s="28" t="n">
        <f aca="false">IF(ISNUMBER(BB467),BB467*DF467,0)</f>
        <v>0</v>
      </c>
      <c r="EW467" s="28" t="n">
        <f aca="false">IF(ISNUMBER(BF467),BF467*DG467,0)</f>
        <v>0</v>
      </c>
      <c r="EX467" s="28" t="n">
        <f aca="false">IF(ISNUMBER(BJ467),BJ467*DH467,0)</f>
        <v>0</v>
      </c>
      <c r="EY467" s="28" t="n">
        <f aca="false">IF(ISNUMBER(BN467),BN467*DI467,0)</f>
        <v>0</v>
      </c>
      <c r="EZ467" s="28" t="n">
        <f aca="false">IF(ISNUMBER(BR467),BR467*DJ467,0)</f>
        <v>0</v>
      </c>
      <c r="FA467" s="28" t="n">
        <f aca="false">IF(ISNUMBER(R467),CW467,0)</f>
        <v>0</v>
      </c>
      <c r="FB467" s="28" t="n">
        <f aca="false">IF(ISNUMBER(V467),CX467,0)</f>
        <v>0</v>
      </c>
      <c r="FC467" s="28" t="n">
        <f aca="false">IF(ISNUMBER(Z467),CY467,0)</f>
        <v>0</v>
      </c>
      <c r="FD467" s="28" t="n">
        <f aca="false">IF(ISNUMBER(AD467),CZ467,0)</f>
        <v>0</v>
      </c>
      <c r="FE467" s="28" t="n">
        <f aca="false">IF(ISNUMBER(AH467),DA467,0)</f>
        <v>0</v>
      </c>
      <c r="FF467" s="28" t="n">
        <f aca="false">IF(ISNUMBER(AL467),DB467,0)</f>
        <v>0</v>
      </c>
      <c r="FG467" s="28" t="n">
        <f aca="false">IF(ISNUMBER(AP467),DC467,0)</f>
        <v>0</v>
      </c>
      <c r="FH467" s="28" t="n">
        <f aca="false">IF(ISNUMBER(AT467),DD467,0)</f>
        <v>0</v>
      </c>
      <c r="FI467" s="28" t="n">
        <f aca="false">IF(ISNUMBER(AX467),DE467,0)</f>
        <v>0</v>
      </c>
      <c r="FJ467" s="28" t="n">
        <f aca="false">IF(ISNUMBER(BB467),DF467,0)</f>
        <v>0</v>
      </c>
      <c r="FK467" s="28" t="n">
        <f aca="false">IF(ISNUMBER(BF467),DG467,0)</f>
        <v>0</v>
      </c>
      <c r="FL467" s="28" t="n">
        <f aca="false">IF(ISNUMBER(BJ467),DH467,0)</f>
        <v>0</v>
      </c>
      <c r="FM467" s="28" t="n">
        <f aca="false">IF(ISNUMBER(BN467),DI467,0)</f>
        <v>0</v>
      </c>
      <c r="FN467" s="28" t="n">
        <f aca="false">IF(ISNUMBER(BR467),DJ467,0)</f>
        <v>0</v>
      </c>
      <c r="FO467" s="28" t="str">
        <f aca="false">IFERROR(INDEX(Lists!$G$2:$G$20,MATCH($I467&amp;"|"&amp;$J467,Lists!$F$2:$F$20,0)),"")</f>
        <v/>
      </c>
    </row>
    <row r="468" customFormat="false" ht="19.5" hidden="false" customHeight="true" outlineLevel="0" collapsed="false">
      <c r="A468" s="29"/>
      <c r="B468" s="29"/>
      <c r="C468" s="30"/>
      <c r="D468" s="30"/>
      <c r="E468" s="31"/>
      <c r="F468" s="30"/>
      <c r="G468" s="30"/>
      <c r="H468" s="32"/>
      <c r="I468" s="33"/>
      <c r="J468" s="32"/>
      <c r="K468" s="34" t="str">
        <f aca="false">IF(OR(M468="",$E468=""),"",M468-$E468)</f>
        <v/>
      </c>
      <c r="L468" s="35" t="str">
        <f aca="false">IF(SUM(FA468:FN468)=0,"",SUM(EM468:EZ468)/SUM(FA468:FN468))</f>
        <v/>
      </c>
      <c r="M468" s="36" t="str">
        <f aca="false">IF(OR(L468="",FO468=""),"",IFERROR(MATCH(L468,INDEX(Boundaries!$B$2:$I$30,MATCH(FO468,Boundaries!$A$2:$A$30,0),0),1)-1,""))</f>
        <v/>
      </c>
      <c r="N468" s="37" t="str">
        <f aca="false">IF(COUNT($DY468:$EL468)&lt;2,"",INDEX($DK468:$DX468,MAX($DY468:$EL468))-INDEX($DK468:$DX468,MIN($DY468:$EL468)))</f>
        <v/>
      </c>
      <c r="O468" s="37" t="str">
        <f aca="false">IF(COUNT($DY468:$EL468)&lt;2,"",INDEX($DK468:$DX468,MAX($DY468:$EL468))-INDEX($DK468:$DX468,LARGE($DY468:$EL468,2)))</f>
        <v/>
      </c>
      <c r="P468" s="38" t="str">
        <f aca="false">IF(K468="","",IF(K468&gt;=0,"On/above target",IF(AND(N468&lt;&gt;"",N468&gt;=0.5),"Improving towards target",IF(AND(O468&lt;&gt;"",O468&lt;=-0.5),"Declining","Stable below target"))))</f>
        <v/>
      </c>
      <c r="Q468" s="39"/>
      <c r="R468" s="40" t="str">
        <f aca="false">IF(OR(Q468="",BU468=""),"",Q468/BU468*100)</f>
        <v/>
      </c>
      <c r="S468" s="41" t="str">
        <f aca="false">IF(R468="","",IFERROR(MATCH(R468,INDEX(Boundaries!$B$2:$I$30,MATCH(CI468,Boundaries!$A$2:$A$30,0),0),1)-1,""))</f>
        <v/>
      </c>
      <c r="T468" s="42" t="str">
        <f aca="false">IF(OR(S468="",$E468=""),"",S468-$E468)</f>
        <v/>
      </c>
      <c r="U468" s="39"/>
      <c r="V468" s="40" t="str">
        <f aca="false">IF(OR(U468="",BV468=""),"",U468/BV468*100)</f>
        <v/>
      </c>
      <c r="W468" s="41" t="str">
        <f aca="false">IF(V468="","",IFERROR(MATCH(V468,INDEX(Boundaries!$B$2:$I$30,MATCH(CJ468,Boundaries!$A$2:$A$30,0),0),1)-1,""))</f>
        <v/>
      </c>
      <c r="X468" s="42" t="str">
        <f aca="false">IF(OR(W468="",$E468=""),"",W468-$E468)</f>
        <v/>
      </c>
      <c r="Y468" s="39"/>
      <c r="Z468" s="40" t="str">
        <f aca="false">IF(OR(Y468="",BW468=""),"",Y468/BW468*100)</f>
        <v/>
      </c>
      <c r="AA468" s="41" t="str">
        <f aca="false">IF(Z468="","",IFERROR(MATCH(Z468,INDEX(Boundaries!$B$2:$I$30,MATCH(CK468,Boundaries!$A$2:$A$30,0),0),1)-1,""))</f>
        <v/>
      </c>
      <c r="AB468" s="42" t="str">
        <f aca="false">IF(OR(AA468="",$E468=""),"",AA468-$E468)</f>
        <v/>
      </c>
      <c r="AC468" s="39"/>
      <c r="AD468" s="40" t="str">
        <f aca="false">IF(OR(AC468="",BX468=""),"",AC468/BX468*100)</f>
        <v/>
      </c>
      <c r="AE468" s="41" t="str">
        <f aca="false">IF(AD468="","",IFERROR(MATCH(AD468,INDEX(Boundaries!$B$2:$I$30,MATCH(CL468,Boundaries!$A$2:$A$30,0),0),1)-1,""))</f>
        <v/>
      </c>
      <c r="AF468" s="42" t="str">
        <f aca="false">IF(OR(AE468="",$E468=""),"",AE468-$E468)</f>
        <v/>
      </c>
      <c r="AG468" s="39"/>
      <c r="AH468" s="40" t="str">
        <f aca="false">IF(OR(AG468="",BY468=""),"",AG468/BY468*100)</f>
        <v/>
      </c>
      <c r="AI468" s="41" t="str">
        <f aca="false">IF(AH468="","",IFERROR(MATCH(AH468,INDEX(Boundaries!$B$2:$I$30,MATCH(CM468,Boundaries!$A$2:$A$30,0),0),1)-1,""))</f>
        <v/>
      </c>
      <c r="AJ468" s="42" t="str">
        <f aca="false">IF(OR(AI468="",$E468=""),"",AI468-$E468)</f>
        <v/>
      </c>
      <c r="AK468" s="39"/>
      <c r="AL468" s="40" t="str">
        <f aca="false">IF(OR(AK468="",BZ468=""),"",AK468/BZ468*100)</f>
        <v/>
      </c>
      <c r="AM468" s="41" t="str">
        <f aca="false">IF(AL468="","",IFERROR(MATCH(AL468,INDEX(Boundaries!$B$2:$I$30,MATCH(CN468,Boundaries!$A$2:$A$30,0),0),1)-1,""))</f>
        <v/>
      </c>
      <c r="AN468" s="42" t="str">
        <f aca="false">IF(OR(AM468="",$E468=""),"",AM468-$E468)</f>
        <v/>
      </c>
      <c r="AO468" s="39"/>
      <c r="AP468" s="40" t="str">
        <f aca="false">IF(OR(AO468="",CA468=""),"",AO468/CA468*100)</f>
        <v/>
      </c>
      <c r="AQ468" s="41" t="str">
        <f aca="false">IF(AP468="","",IFERROR(MATCH(AP468,INDEX(Boundaries!$B$2:$I$30,MATCH(CO468,Boundaries!$A$2:$A$30,0),0),1)-1,""))</f>
        <v/>
      </c>
      <c r="AR468" s="42" t="str">
        <f aca="false">IF(OR(AQ468="",$E468=""),"",AQ468-$E468)</f>
        <v/>
      </c>
      <c r="AS468" s="39"/>
      <c r="AT468" s="40" t="str">
        <f aca="false">IF(OR(AS468="",CB468=""),"",AS468/CB468*100)</f>
        <v/>
      </c>
      <c r="AU468" s="41" t="str">
        <f aca="false">IF(AT468="","",IFERROR(MATCH(AT468,INDEX(Boundaries!$B$2:$I$30,MATCH(CP468,Boundaries!$A$2:$A$30,0),0),1)-1,""))</f>
        <v/>
      </c>
      <c r="AV468" s="42" t="str">
        <f aca="false">IF(OR(AU468="",$E468=""),"",AU468-$E468)</f>
        <v/>
      </c>
      <c r="AW468" s="39"/>
      <c r="AX468" s="40" t="str">
        <f aca="false">IF(OR(AW468="",CC468=""),"",AW468/CC468*100)</f>
        <v/>
      </c>
      <c r="AY468" s="41" t="str">
        <f aca="false">IF(AX468="","",IFERROR(MATCH(AX468,INDEX(Boundaries!$B$2:$I$30,MATCH(CQ468,Boundaries!$A$2:$A$30,0),0),1)-1,""))</f>
        <v/>
      </c>
      <c r="AZ468" s="42" t="str">
        <f aca="false">IF(OR(AY468="",$E468=""),"",AY468-$E468)</f>
        <v/>
      </c>
      <c r="BA468" s="39"/>
      <c r="BB468" s="40" t="str">
        <f aca="false">IF(OR(BA468="",CD468=""),"",BA468/CD468*100)</f>
        <v/>
      </c>
      <c r="BC468" s="41" t="str">
        <f aca="false">IF(BB468="","",IFERROR(MATCH(BB468,INDEX(Boundaries!$B$2:$I$30,MATCH(CR468,Boundaries!$A$2:$A$30,0),0),1)-1,""))</f>
        <v/>
      </c>
      <c r="BD468" s="42" t="str">
        <f aca="false">IF(OR(BC468="",$E468=""),"",BC468-$E468)</f>
        <v/>
      </c>
      <c r="BE468" s="39"/>
      <c r="BF468" s="40" t="str">
        <f aca="false">IF(OR(BE468="",CE468=""),"",BE468/CE468*100)</f>
        <v/>
      </c>
      <c r="BG468" s="41" t="str">
        <f aca="false">IF(BF468="","",IFERROR(MATCH(BF468,INDEX(Boundaries!$B$2:$I$30,MATCH(CS468,Boundaries!$A$2:$A$30,0),0),1)-1,""))</f>
        <v/>
      </c>
      <c r="BH468" s="42" t="str">
        <f aca="false">IF(OR(BG468="",$E468=""),"",BG468-$E468)</f>
        <v/>
      </c>
      <c r="BI468" s="39"/>
      <c r="BJ468" s="40" t="str">
        <f aca="false">IF(OR(BI468="",CF468=""),"",BI468/CF468*100)</f>
        <v/>
      </c>
      <c r="BK468" s="41" t="str">
        <f aca="false">IF(BJ468="","",IFERROR(MATCH(BJ468,INDEX(Boundaries!$B$2:$I$30,MATCH(CT468,Boundaries!$A$2:$A$30,0),0),1)-1,""))</f>
        <v/>
      </c>
      <c r="BL468" s="42" t="str">
        <f aca="false">IF(OR(BK468="",$E468=""),"",BK468-$E468)</f>
        <v/>
      </c>
      <c r="BM468" s="39"/>
      <c r="BN468" s="40" t="str">
        <f aca="false">IF(OR(BM468="",CG468=""),"",BM468/CG468*100)</f>
        <v/>
      </c>
      <c r="BO468" s="41" t="str">
        <f aca="false">IF(BN468="","",IFERROR(MATCH(BN468,INDEX(Boundaries!$B$2:$I$30,MATCH(CU468,Boundaries!$A$2:$A$30,0),0),1)-1,""))</f>
        <v/>
      </c>
      <c r="BP468" s="42" t="str">
        <f aca="false">IF(OR(BO468="",$E468=""),"",BO468-$E468)</f>
        <v/>
      </c>
      <c r="BQ468" s="39"/>
      <c r="BR468" s="40" t="str">
        <f aca="false">IF(OR(BQ468="",CH468=""),"",BQ468/CH468*100)</f>
        <v/>
      </c>
      <c r="BS468" s="41" t="str">
        <f aca="false">IF(BR468="","",IFERROR(MATCH(BR468,INDEX(Boundaries!$B$2:$I$30,MATCH(CV468,Boundaries!$A$2:$A$30,0),0),1)-1,""))</f>
        <v/>
      </c>
      <c r="BT468" s="42" t="str">
        <f aca="false">IF(OR(BS468="",$E468=""),"",BS468-$E468)</f>
        <v/>
      </c>
      <c r="BU468" s="28" t="str">
        <f aca="false">IFERROR(INDEX(Assessments!$H$2:$H$600,MATCH($H468&amp;"|"&amp;$I468&amp;"|"&amp;$J468&amp;"|"&amp;1,Assessments!$A$2:$A$600,0)),"")</f>
        <v/>
      </c>
      <c r="BV468" s="28" t="str">
        <f aca="false">IFERROR(INDEX(Assessments!$H$2:$H$600,MATCH($H468&amp;"|"&amp;$I468&amp;"|"&amp;$J468&amp;"|"&amp;2,Assessments!$A$2:$A$600,0)),"")</f>
        <v/>
      </c>
      <c r="BW468" s="28" t="str">
        <f aca="false">IFERROR(INDEX(Assessments!$H$2:$H$600,MATCH($H468&amp;"|"&amp;$I468&amp;"|"&amp;$J468&amp;"|"&amp;3,Assessments!$A$2:$A$600,0)),"")</f>
        <v/>
      </c>
      <c r="BX468" s="28" t="str">
        <f aca="false">IFERROR(INDEX(Assessments!$H$2:$H$600,MATCH($H468&amp;"|"&amp;$I468&amp;"|"&amp;$J468&amp;"|"&amp;4,Assessments!$A$2:$A$600,0)),"")</f>
        <v/>
      </c>
      <c r="BY468" s="28" t="str">
        <f aca="false">IFERROR(INDEX(Assessments!$H$2:$H$600,MATCH($H468&amp;"|"&amp;$I468&amp;"|"&amp;$J468&amp;"|"&amp;5,Assessments!$A$2:$A$600,0)),"")</f>
        <v/>
      </c>
      <c r="BZ468" s="28" t="str">
        <f aca="false">IFERROR(INDEX(Assessments!$H$2:$H$600,MATCH($H468&amp;"|"&amp;$I468&amp;"|"&amp;$J468&amp;"|"&amp;6,Assessments!$A$2:$A$600,0)),"")</f>
        <v/>
      </c>
      <c r="CA468" s="28" t="str">
        <f aca="false">IFERROR(INDEX(Assessments!$H$2:$H$600,MATCH($H468&amp;"|"&amp;$I468&amp;"|"&amp;$J468&amp;"|"&amp;7,Assessments!$A$2:$A$600,0)),"")</f>
        <v/>
      </c>
      <c r="CB468" s="28" t="str">
        <f aca="false">IFERROR(INDEX(Assessments!$H$2:$H$600,MATCH($H468&amp;"|"&amp;$I468&amp;"|"&amp;$J468&amp;"|"&amp;8,Assessments!$A$2:$A$600,0)),"")</f>
        <v/>
      </c>
      <c r="CC468" s="28" t="str">
        <f aca="false">IFERROR(INDEX(Assessments!$H$2:$H$600,MATCH($H468&amp;"|"&amp;$I468&amp;"|"&amp;$J468&amp;"|"&amp;9,Assessments!$A$2:$A$600,0)),"")</f>
        <v/>
      </c>
      <c r="CD468" s="28" t="str">
        <f aca="false">IFERROR(INDEX(Assessments!$H$2:$H$600,MATCH($H468&amp;"|"&amp;$I468&amp;"|"&amp;$J468&amp;"|"&amp;10,Assessments!$A$2:$A$600,0)),"")</f>
        <v/>
      </c>
      <c r="CE468" s="28" t="str">
        <f aca="false">IFERROR(INDEX(Assessments!$H$2:$H$600,MATCH($H468&amp;"|"&amp;$I468&amp;"|"&amp;$J468&amp;"|"&amp;11,Assessments!$A$2:$A$600,0)),"")</f>
        <v/>
      </c>
      <c r="CF468" s="28" t="str">
        <f aca="false">IFERROR(INDEX(Assessments!$H$2:$H$600,MATCH($H468&amp;"|"&amp;$I468&amp;"|"&amp;$J468&amp;"|"&amp;12,Assessments!$A$2:$A$600,0)),"")</f>
        <v/>
      </c>
      <c r="CG468" s="28" t="str">
        <f aca="false">IFERROR(INDEX(Assessments!$H$2:$H$600,MATCH($H468&amp;"|"&amp;$I468&amp;"|"&amp;$J468&amp;"|"&amp;13,Assessments!$A$2:$A$600,0)),"")</f>
        <v/>
      </c>
      <c r="CH468" s="28" t="str">
        <f aca="false">IFERROR(INDEX(Assessments!$H$2:$H$600,MATCH($H468&amp;"|"&amp;$I468&amp;"|"&amp;$J468&amp;"|"&amp;14,Assessments!$A$2:$A$600,0)),"")</f>
        <v/>
      </c>
      <c r="CI468" s="28" t="str">
        <f aca="false">IFERROR(INDEX(Assessments!$I$2:$I$600,MATCH($H468&amp;"|"&amp;$I468&amp;"|"&amp;$J468&amp;"|"&amp;1,Assessments!$A$2:$A$600,0)),"")</f>
        <v/>
      </c>
      <c r="CJ468" s="28" t="str">
        <f aca="false">IFERROR(INDEX(Assessments!$I$2:$I$600,MATCH($H468&amp;"|"&amp;$I468&amp;"|"&amp;$J468&amp;"|"&amp;2,Assessments!$A$2:$A$600,0)),"")</f>
        <v/>
      </c>
      <c r="CK468" s="28" t="str">
        <f aca="false">IFERROR(INDEX(Assessments!$I$2:$I$600,MATCH($H468&amp;"|"&amp;$I468&amp;"|"&amp;$J468&amp;"|"&amp;3,Assessments!$A$2:$A$600,0)),"")</f>
        <v/>
      </c>
      <c r="CL468" s="28" t="str">
        <f aca="false">IFERROR(INDEX(Assessments!$I$2:$I$600,MATCH($H468&amp;"|"&amp;$I468&amp;"|"&amp;$J468&amp;"|"&amp;4,Assessments!$A$2:$A$600,0)),"")</f>
        <v/>
      </c>
      <c r="CM468" s="28" t="str">
        <f aca="false">IFERROR(INDEX(Assessments!$I$2:$I$600,MATCH($H468&amp;"|"&amp;$I468&amp;"|"&amp;$J468&amp;"|"&amp;5,Assessments!$A$2:$A$600,0)),"")</f>
        <v/>
      </c>
      <c r="CN468" s="28" t="str">
        <f aca="false">IFERROR(INDEX(Assessments!$I$2:$I$600,MATCH($H468&amp;"|"&amp;$I468&amp;"|"&amp;$J468&amp;"|"&amp;6,Assessments!$A$2:$A$600,0)),"")</f>
        <v/>
      </c>
      <c r="CO468" s="28" t="str">
        <f aca="false">IFERROR(INDEX(Assessments!$I$2:$I$600,MATCH($H468&amp;"|"&amp;$I468&amp;"|"&amp;$J468&amp;"|"&amp;7,Assessments!$A$2:$A$600,0)),"")</f>
        <v/>
      </c>
      <c r="CP468" s="28" t="str">
        <f aca="false">IFERROR(INDEX(Assessments!$I$2:$I$600,MATCH($H468&amp;"|"&amp;$I468&amp;"|"&amp;$J468&amp;"|"&amp;8,Assessments!$A$2:$A$600,0)),"")</f>
        <v/>
      </c>
      <c r="CQ468" s="28" t="str">
        <f aca="false">IFERROR(INDEX(Assessments!$I$2:$I$600,MATCH($H468&amp;"|"&amp;$I468&amp;"|"&amp;$J468&amp;"|"&amp;9,Assessments!$A$2:$A$600,0)),"")</f>
        <v/>
      </c>
      <c r="CR468" s="28" t="str">
        <f aca="false">IFERROR(INDEX(Assessments!$I$2:$I$600,MATCH($H468&amp;"|"&amp;$I468&amp;"|"&amp;$J468&amp;"|"&amp;10,Assessments!$A$2:$A$600,0)),"")</f>
        <v/>
      </c>
      <c r="CS468" s="28" t="str">
        <f aca="false">IFERROR(INDEX(Assessments!$I$2:$I$600,MATCH($H468&amp;"|"&amp;$I468&amp;"|"&amp;$J468&amp;"|"&amp;11,Assessments!$A$2:$A$600,0)),"")</f>
        <v/>
      </c>
      <c r="CT468" s="28" t="str">
        <f aca="false">IFERROR(INDEX(Assessments!$I$2:$I$600,MATCH($H468&amp;"|"&amp;$I468&amp;"|"&amp;$J468&amp;"|"&amp;12,Assessments!$A$2:$A$600,0)),"")</f>
        <v/>
      </c>
      <c r="CU468" s="28" t="str">
        <f aca="false">IFERROR(INDEX(Assessments!$I$2:$I$600,MATCH($H468&amp;"|"&amp;$I468&amp;"|"&amp;$J468&amp;"|"&amp;13,Assessments!$A$2:$A$600,0)),"")</f>
        <v/>
      </c>
      <c r="CV468" s="28" t="str">
        <f aca="false">IFERROR(INDEX(Assessments!$I$2:$I$600,MATCH($H468&amp;"|"&amp;$I468&amp;"|"&amp;$J468&amp;"|"&amp;14,Assessments!$A$2:$A$600,0)),"")</f>
        <v/>
      </c>
      <c r="CW468" s="28" t="n">
        <f aca="false">IFERROR(INDEX(Assessments!$J$2:$J$600,MATCH($H468&amp;"|"&amp;$I468&amp;"|"&amp;$J468&amp;"|"&amp;1,Assessments!$A$2:$A$600,0)),0)</f>
        <v>0</v>
      </c>
      <c r="CX468" s="28" t="n">
        <f aca="false">IFERROR(INDEX(Assessments!$J$2:$J$600,MATCH($H468&amp;"|"&amp;$I468&amp;"|"&amp;$J468&amp;"|"&amp;2,Assessments!$A$2:$A$600,0)),0)</f>
        <v>0</v>
      </c>
      <c r="CY468" s="28" t="n">
        <f aca="false">IFERROR(INDEX(Assessments!$J$2:$J$600,MATCH($H468&amp;"|"&amp;$I468&amp;"|"&amp;$J468&amp;"|"&amp;3,Assessments!$A$2:$A$600,0)),0)</f>
        <v>0</v>
      </c>
      <c r="CZ468" s="28" t="n">
        <f aca="false">IFERROR(INDEX(Assessments!$J$2:$J$600,MATCH($H468&amp;"|"&amp;$I468&amp;"|"&amp;$J468&amp;"|"&amp;4,Assessments!$A$2:$A$600,0)),0)</f>
        <v>0</v>
      </c>
      <c r="DA468" s="28" t="n">
        <f aca="false">IFERROR(INDEX(Assessments!$J$2:$J$600,MATCH($H468&amp;"|"&amp;$I468&amp;"|"&amp;$J468&amp;"|"&amp;5,Assessments!$A$2:$A$600,0)),0)</f>
        <v>0</v>
      </c>
      <c r="DB468" s="28" t="n">
        <f aca="false">IFERROR(INDEX(Assessments!$J$2:$J$600,MATCH($H468&amp;"|"&amp;$I468&amp;"|"&amp;$J468&amp;"|"&amp;6,Assessments!$A$2:$A$600,0)),0)</f>
        <v>0</v>
      </c>
      <c r="DC468" s="28" t="n">
        <f aca="false">IFERROR(INDEX(Assessments!$J$2:$J$600,MATCH($H468&amp;"|"&amp;$I468&amp;"|"&amp;$J468&amp;"|"&amp;7,Assessments!$A$2:$A$600,0)),0)</f>
        <v>0</v>
      </c>
      <c r="DD468" s="28" t="n">
        <f aca="false">IFERROR(INDEX(Assessments!$J$2:$J$600,MATCH($H468&amp;"|"&amp;$I468&amp;"|"&amp;$J468&amp;"|"&amp;8,Assessments!$A$2:$A$600,0)),0)</f>
        <v>0</v>
      </c>
      <c r="DE468" s="28" t="n">
        <f aca="false">IFERROR(INDEX(Assessments!$J$2:$J$600,MATCH($H468&amp;"|"&amp;$I468&amp;"|"&amp;$J468&amp;"|"&amp;9,Assessments!$A$2:$A$600,0)),0)</f>
        <v>0</v>
      </c>
      <c r="DF468" s="28" t="n">
        <f aca="false">IFERROR(INDEX(Assessments!$J$2:$J$600,MATCH($H468&amp;"|"&amp;$I468&amp;"|"&amp;$J468&amp;"|"&amp;10,Assessments!$A$2:$A$600,0)),0)</f>
        <v>0</v>
      </c>
      <c r="DG468" s="28" t="n">
        <f aca="false">IFERROR(INDEX(Assessments!$J$2:$J$600,MATCH($H468&amp;"|"&amp;$I468&amp;"|"&amp;$J468&amp;"|"&amp;11,Assessments!$A$2:$A$600,0)),0)</f>
        <v>0</v>
      </c>
      <c r="DH468" s="28" t="n">
        <f aca="false">IFERROR(INDEX(Assessments!$J$2:$J$600,MATCH($H468&amp;"|"&amp;$I468&amp;"|"&amp;$J468&amp;"|"&amp;12,Assessments!$A$2:$A$600,0)),0)</f>
        <v>0</v>
      </c>
      <c r="DI468" s="28" t="n">
        <f aca="false">IFERROR(INDEX(Assessments!$J$2:$J$600,MATCH($H468&amp;"|"&amp;$I468&amp;"|"&amp;$J468&amp;"|"&amp;13,Assessments!$A$2:$A$600,0)),0)</f>
        <v>0</v>
      </c>
      <c r="DJ468" s="28" t="n">
        <f aca="false">IFERROR(INDEX(Assessments!$J$2:$J$600,MATCH($H468&amp;"|"&amp;$I468&amp;"|"&amp;$J468&amp;"|"&amp;14,Assessments!$A$2:$A$600,0)),0)</f>
        <v>0</v>
      </c>
      <c r="DK468" s="28" t="str">
        <f aca="false">S468</f>
        <v/>
      </c>
      <c r="DL468" s="28" t="str">
        <f aca="false">W468</f>
        <v/>
      </c>
      <c r="DM468" s="28" t="str">
        <f aca="false">AA468</f>
        <v/>
      </c>
      <c r="DN468" s="28" t="str">
        <f aca="false">AE468</f>
        <v/>
      </c>
      <c r="DO468" s="28" t="str">
        <f aca="false">AI468</f>
        <v/>
      </c>
      <c r="DP468" s="28" t="str">
        <f aca="false">AM468</f>
        <v/>
      </c>
      <c r="DQ468" s="28" t="str">
        <f aca="false">AQ468</f>
        <v/>
      </c>
      <c r="DR468" s="28" t="str">
        <f aca="false">AU468</f>
        <v/>
      </c>
      <c r="DS468" s="28" t="str">
        <f aca="false">AY468</f>
        <v/>
      </c>
      <c r="DT468" s="28" t="str">
        <f aca="false">BC468</f>
        <v/>
      </c>
      <c r="DU468" s="28" t="str">
        <f aca="false">BG468</f>
        <v/>
      </c>
      <c r="DV468" s="28" t="str">
        <f aca="false">BK468</f>
        <v/>
      </c>
      <c r="DW468" s="28" t="str">
        <f aca="false">BO468</f>
        <v/>
      </c>
      <c r="DX468" s="28" t="str">
        <f aca="false">BS468</f>
        <v/>
      </c>
      <c r="DY468" s="28" t="str">
        <f aca="false">IF(ISNUMBER(S468),1,"")</f>
        <v/>
      </c>
      <c r="DZ468" s="28" t="str">
        <f aca="false">IF(ISNUMBER(W468),2,"")</f>
        <v/>
      </c>
      <c r="EA468" s="28" t="str">
        <f aca="false">IF(ISNUMBER(AA468),3,"")</f>
        <v/>
      </c>
      <c r="EB468" s="28" t="str">
        <f aca="false">IF(ISNUMBER(AE468),4,"")</f>
        <v/>
      </c>
      <c r="EC468" s="28" t="str">
        <f aca="false">IF(ISNUMBER(AI468),5,"")</f>
        <v/>
      </c>
      <c r="ED468" s="28" t="str">
        <f aca="false">IF(ISNUMBER(AM468),6,"")</f>
        <v/>
      </c>
      <c r="EE468" s="28" t="str">
        <f aca="false">IF(ISNUMBER(AQ468),7,"")</f>
        <v/>
      </c>
      <c r="EF468" s="28" t="str">
        <f aca="false">IF(ISNUMBER(AU468),8,"")</f>
        <v/>
      </c>
      <c r="EG468" s="28" t="str">
        <f aca="false">IF(ISNUMBER(AY468),9,"")</f>
        <v/>
      </c>
      <c r="EH468" s="28" t="str">
        <f aca="false">IF(ISNUMBER(BC468),10,"")</f>
        <v/>
      </c>
      <c r="EI468" s="28" t="str">
        <f aca="false">IF(ISNUMBER(BG468),11,"")</f>
        <v/>
      </c>
      <c r="EJ468" s="28" t="str">
        <f aca="false">IF(ISNUMBER(BK468),12,"")</f>
        <v/>
      </c>
      <c r="EK468" s="28" t="str">
        <f aca="false">IF(ISNUMBER(BO468),13,"")</f>
        <v/>
      </c>
      <c r="EL468" s="28" t="str">
        <f aca="false">IF(ISNUMBER(BS468),14,"")</f>
        <v/>
      </c>
      <c r="EM468" s="28" t="n">
        <f aca="false">IF(ISNUMBER(R468),R468*CW468,0)</f>
        <v>0</v>
      </c>
      <c r="EN468" s="28" t="n">
        <f aca="false">IF(ISNUMBER(V468),V468*CX468,0)</f>
        <v>0</v>
      </c>
      <c r="EO468" s="28" t="n">
        <f aca="false">IF(ISNUMBER(Z468),Z468*CY468,0)</f>
        <v>0</v>
      </c>
      <c r="EP468" s="28" t="n">
        <f aca="false">IF(ISNUMBER(AD468),AD468*CZ468,0)</f>
        <v>0</v>
      </c>
      <c r="EQ468" s="28" t="n">
        <f aca="false">IF(ISNUMBER(AH468),AH468*DA468,0)</f>
        <v>0</v>
      </c>
      <c r="ER468" s="28" t="n">
        <f aca="false">IF(ISNUMBER(AL468),AL468*DB468,0)</f>
        <v>0</v>
      </c>
      <c r="ES468" s="28" t="n">
        <f aca="false">IF(ISNUMBER(AP468),AP468*DC468,0)</f>
        <v>0</v>
      </c>
      <c r="ET468" s="28" t="n">
        <f aca="false">IF(ISNUMBER(AT468),AT468*DD468,0)</f>
        <v>0</v>
      </c>
      <c r="EU468" s="28" t="n">
        <f aca="false">IF(ISNUMBER(AX468),AX468*DE468,0)</f>
        <v>0</v>
      </c>
      <c r="EV468" s="28" t="n">
        <f aca="false">IF(ISNUMBER(BB468),BB468*DF468,0)</f>
        <v>0</v>
      </c>
      <c r="EW468" s="28" t="n">
        <f aca="false">IF(ISNUMBER(BF468),BF468*DG468,0)</f>
        <v>0</v>
      </c>
      <c r="EX468" s="28" t="n">
        <f aca="false">IF(ISNUMBER(BJ468),BJ468*DH468,0)</f>
        <v>0</v>
      </c>
      <c r="EY468" s="28" t="n">
        <f aca="false">IF(ISNUMBER(BN468),BN468*DI468,0)</f>
        <v>0</v>
      </c>
      <c r="EZ468" s="28" t="n">
        <f aca="false">IF(ISNUMBER(BR468),BR468*DJ468,0)</f>
        <v>0</v>
      </c>
      <c r="FA468" s="28" t="n">
        <f aca="false">IF(ISNUMBER(R468),CW468,0)</f>
        <v>0</v>
      </c>
      <c r="FB468" s="28" t="n">
        <f aca="false">IF(ISNUMBER(V468),CX468,0)</f>
        <v>0</v>
      </c>
      <c r="FC468" s="28" t="n">
        <f aca="false">IF(ISNUMBER(Z468),CY468,0)</f>
        <v>0</v>
      </c>
      <c r="FD468" s="28" t="n">
        <f aca="false">IF(ISNUMBER(AD468),CZ468,0)</f>
        <v>0</v>
      </c>
      <c r="FE468" s="28" t="n">
        <f aca="false">IF(ISNUMBER(AH468),DA468,0)</f>
        <v>0</v>
      </c>
      <c r="FF468" s="28" t="n">
        <f aca="false">IF(ISNUMBER(AL468),DB468,0)</f>
        <v>0</v>
      </c>
      <c r="FG468" s="28" t="n">
        <f aca="false">IF(ISNUMBER(AP468),DC468,0)</f>
        <v>0</v>
      </c>
      <c r="FH468" s="28" t="n">
        <f aca="false">IF(ISNUMBER(AT468),DD468,0)</f>
        <v>0</v>
      </c>
      <c r="FI468" s="28" t="n">
        <f aca="false">IF(ISNUMBER(AX468),DE468,0)</f>
        <v>0</v>
      </c>
      <c r="FJ468" s="28" t="n">
        <f aca="false">IF(ISNUMBER(BB468),DF468,0)</f>
        <v>0</v>
      </c>
      <c r="FK468" s="28" t="n">
        <f aca="false">IF(ISNUMBER(BF468),DG468,0)</f>
        <v>0</v>
      </c>
      <c r="FL468" s="28" t="n">
        <f aca="false">IF(ISNUMBER(BJ468),DH468,0)</f>
        <v>0</v>
      </c>
      <c r="FM468" s="28" t="n">
        <f aca="false">IF(ISNUMBER(BN468),DI468,0)</f>
        <v>0</v>
      </c>
      <c r="FN468" s="28" t="n">
        <f aca="false">IF(ISNUMBER(BR468),DJ468,0)</f>
        <v>0</v>
      </c>
      <c r="FO468" s="28" t="str">
        <f aca="false">IFERROR(INDEX(Lists!$G$2:$G$20,MATCH($I468&amp;"|"&amp;$J468,Lists!$F$2:$F$20,0)),"")</f>
        <v/>
      </c>
    </row>
    <row r="469" customFormat="false" ht="19.5" hidden="false" customHeight="true" outlineLevel="0" collapsed="false">
      <c r="A469" s="29"/>
      <c r="B469" s="29"/>
      <c r="C469" s="30"/>
      <c r="D469" s="30"/>
      <c r="E469" s="31"/>
      <c r="F469" s="30"/>
      <c r="G469" s="30"/>
      <c r="H469" s="32"/>
      <c r="I469" s="33"/>
      <c r="J469" s="32"/>
      <c r="K469" s="34" t="str">
        <f aca="false">IF(OR(M469="",$E469=""),"",M469-$E469)</f>
        <v/>
      </c>
      <c r="L469" s="35" t="str">
        <f aca="false">IF(SUM(FA469:FN469)=0,"",SUM(EM469:EZ469)/SUM(FA469:FN469))</f>
        <v/>
      </c>
      <c r="M469" s="36" t="str">
        <f aca="false">IF(OR(L469="",FO469=""),"",IFERROR(MATCH(L469,INDEX(Boundaries!$B$2:$I$30,MATCH(FO469,Boundaries!$A$2:$A$30,0),0),1)-1,""))</f>
        <v/>
      </c>
      <c r="N469" s="37" t="str">
        <f aca="false">IF(COUNT($DY469:$EL469)&lt;2,"",INDEX($DK469:$DX469,MAX($DY469:$EL469))-INDEX($DK469:$DX469,MIN($DY469:$EL469)))</f>
        <v/>
      </c>
      <c r="O469" s="37" t="str">
        <f aca="false">IF(COUNT($DY469:$EL469)&lt;2,"",INDEX($DK469:$DX469,MAX($DY469:$EL469))-INDEX($DK469:$DX469,LARGE($DY469:$EL469,2)))</f>
        <v/>
      </c>
      <c r="P469" s="38" t="str">
        <f aca="false">IF(K469="","",IF(K469&gt;=0,"On/above target",IF(AND(N469&lt;&gt;"",N469&gt;=0.5),"Improving towards target",IF(AND(O469&lt;&gt;"",O469&lt;=-0.5),"Declining","Stable below target"))))</f>
        <v/>
      </c>
      <c r="Q469" s="39"/>
      <c r="R469" s="40" t="str">
        <f aca="false">IF(OR(Q469="",BU469=""),"",Q469/BU469*100)</f>
        <v/>
      </c>
      <c r="S469" s="41" t="str">
        <f aca="false">IF(R469="","",IFERROR(MATCH(R469,INDEX(Boundaries!$B$2:$I$30,MATCH(CI469,Boundaries!$A$2:$A$30,0),0),1)-1,""))</f>
        <v/>
      </c>
      <c r="T469" s="42" t="str">
        <f aca="false">IF(OR(S469="",$E469=""),"",S469-$E469)</f>
        <v/>
      </c>
      <c r="U469" s="39"/>
      <c r="V469" s="40" t="str">
        <f aca="false">IF(OR(U469="",BV469=""),"",U469/BV469*100)</f>
        <v/>
      </c>
      <c r="W469" s="41" t="str">
        <f aca="false">IF(V469="","",IFERROR(MATCH(V469,INDEX(Boundaries!$B$2:$I$30,MATCH(CJ469,Boundaries!$A$2:$A$30,0),0),1)-1,""))</f>
        <v/>
      </c>
      <c r="X469" s="42" t="str">
        <f aca="false">IF(OR(W469="",$E469=""),"",W469-$E469)</f>
        <v/>
      </c>
      <c r="Y469" s="39"/>
      <c r="Z469" s="40" t="str">
        <f aca="false">IF(OR(Y469="",BW469=""),"",Y469/BW469*100)</f>
        <v/>
      </c>
      <c r="AA469" s="41" t="str">
        <f aca="false">IF(Z469="","",IFERROR(MATCH(Z469,INDEX(Boundaries!$B$2:$I$30,MATCH(CK469,Boundaries!$A$2:$A$30,0),0),1)-1,""))</f>
        <v/>
      </c>
      <c r="AB469" s="42" t="str">
        <f aca="false">IF(OR(AA469="",$E469=""),"",AA469-$E469)</f>
        <v/>
      </c>
      <c r="AC469" s="39"/>
      <c r="AD469" s="40" t="str">
        <f aca="false">IF(OR(AC469="",BX469=""),"",AC469/BX469*100)</f>
        <v/>
      </c>
      <c r="AE469" s="41" t="str">
        <f aca="false">IF(AD469="","",IFERROR(MATCH(AD469,INDEX(Boundaries!$B$2:$I$30,MATCH(CL469,Boundaries!$A$2:$A$30,0),0),1)-1,""))</f>
        <v/>
      </c>
      <c r="AF469" s="42" t="str">
        <f aca="false">IF(OR(AE469="",$E469=""),"",AE469-$E469)</f>
        <v/>
      </c>
      <c r="AG469" s="39"/>
      <c r="AH469" s="40" t="str">
        <f aca="false">IF(OR(AG469="",BY469=""),"",AG469/BY469*100)</f>
        <v/>
      </c>
      <c r="AI469" s="41" t="str">
        <f aca="false">IF(AH469="","",IFERROR(MATCH(AH469,INDEX(Boundaries!$B$2:$I$30,MATCH(CM469,Boundaries!$A$2:$A$30,0),0),1)-1,""))</f>
        <v/>
      </c>
      <c r="AJ469" s="42" t="str">
        <f aca="false">IF(OR(AI469="",$E469=""),"",AI469-$E469)</f>
        <v/>
      </c>
      <c r="AK469" s="39"/>
      <c r="AL469" s="40" t="str">
        <f aca="false">IF(OR(AK469="",BZ469=""),"",AK469/BZ469*100)</f>
        <v/>
      </c>
      <c r="AM469" s="41" t="str">
        <f aca="false">IF(AL469="","",IFERROR(MATCH(AL469,INDEX(Boundaries!$B$2:$I$30,MATCH(CN469,Boundaries!$A$2:$A$30,0),0),1)-1,""))</f>
        <v/>
      </c>
      <c r="AN469" s="42" t="str">
        <f aca="false">IF(OR(AM469="",$E469=""),"",AM469-$E469)</f>
        <v/>
      </c>
      <c r="AO469" s="39"/>
      <c r="AP469" s="40" t="str">
        <f aca="false">IF(OR(AO469="",CA469=""),"",AO469/CA469*100)</f>
        <v/>
      </c>
      <c r="AQ469" s="41" t="str">
        <f aca="false">IF(AP469="","",IFERROR(MATCH(AP469,INDEX(Boundaries!$B$2:$I$30,MATCH(CO469,Boundaries!$A$2:$A$30,0),0),1)-1,""))</f>
        <v/>
      </c>
      <c r="AR469" s="42" t="str">
        <f aca="false">IF(OR(AQ469="",$E469=""),"",AQ469-$E469)</f>
        <v/>
      </c>
      <c r="AS469" s="39"/>
      <c r="AT469" s="40" t="str">
        <f aca="false">IF(OR(AS469="",CB469=""),"",AS469/CB469*100)</f>
        <v/>
      </c>
      <c r="AU469" s="41" t="str">
        <f aca="false">IF(AT469="","",IFERROR(MATCH(AT469,INDEX(Boundaries!$B$2:$I$30,MATCH(CP469,Boundaries!$A$2:$A$30,0),0),1)-1,""))</f>
        <v/>
      </c>
      <c r="AV469" s="42" t="str">
        <f aca="false">IF(OR(AU469="",$E469=""),"",AU469-$E469)</f>
        <v/>
      </c>
      <c r="AW469" s="39"/>
      <c r="AX469" s="40" t="str">
        <f aca="false">IF(OR(AW469="",CC469=""),"",AW469/CC469*100)</f>
        <v/>
      </c>
      <c r="AY469" s="41" t="str">
        <f aca="false">IF(AX469="","",IFERROR(MATCH(AX469,INDEX(Boundaries!$B$2:$I$30,MATCH(CQ469,Boundaries!$A$2:$A$30,0),0),1)-1,""))</f>
        <v/>
      </c>
      <c r="AZ469" s="42" t="str">
        <f aca="false">IF(OR(AY469="",$E469=""),"",AY469-$E469)</f>
        <v/>
      </c>
      <c r="BA469" s="39"/>
      <c r="BB469" s="40" t="str">
        <f aca="false">IF(OR(BA469="",CD469=""),"",BA469/CD469*100)</f>
        <v/>
      </c>
      <c r="BC469" s="41" t="str">
        <f aca="false">IF(BB469="","",IFERROR(MATCH(BB469,INDEX(Boundaries!$B$2:$I$30,MATCH(CR469,Boundaries!$A$2:$A$30,0),0),1)-1,""))</f>
        <v/>
      </c>
      <c r="BD469" s="42" t="str">
        <f aca="false">IF(OR(BC469="",$E469=""),"",BC469-$E469)</f>
        <v/>
      </c>
      <c r="BE469" s="39"/>
      <c r="BF469" s="40" t="str">
        <f aca="false">IF(OR(BE469="",CE469=""),"",BE469/CE469*100)</f>
        <v/>
      </c>
      <c r="BG469" s="41" t="str">
        <f aca="false">IF(BF469="","",IFERROR(MATCH(BF469,INDEX(Boundaries!$B$2:$I$30,MATCH(CS469,Boundaries!$A$2:$A$30,0),0),1)-1,""))</f>
        <v/>
      </c>
      <c r="BH469" s="42" t="str">
        <f aca="false">IF(OR(BG469="",$E469=""),"",BG469-$E469)</f>
        <v/>
      </c>
      <c r="BI469" s="39"/>
      <c r="BJ469" s="40" t="str">
        <f aca="false">IF(OR(BI469="",CF469=""),"",BI469/CF469*100)</f>
        <v/>
      </c>
      <c r="BK469" s="41" t="str">
        <f aca="false">IF(BJ469="","",IFERROR(MATCH(BJ469,INDEX(Boundaries!$B$2:$I$30,MATCH(CT469,Boundaries!$A$2:$A$30,0),0),1)-1,""))</f>
        <v/>
      </c>
      <c r="BL469" s="42" t="str">
        <f aca="false">IF(OR(BK469="",$E469=""),"",BK469-$E469)</f>
        <v/>
      </c>
      <c r="BM469" s="39"/>
      <c r="BN469" s="40" t="str">
        <f aca="false">IF(OR(BM469="",CG469=""),"",BM469/CG469*100)</f>
        <v/>
      </c>
      <c r="BO469" s="41" t="str">
        <f aca="false">IF(BN469="","",IFERROR(MATCH(BN469,INDEX(Boundaries!$B$2:$I$30,MATCH(CU469,Boundaries!$A$2:$A$30,0),0),1)-1,""))</f>
        <v/>
      </c>
      <c r="BP469" s="42" t="str">
        <f aca="false">IF(OR(BO469="",$E469=""),"",BO469-$E469)</f>
        <v/>
      </c>
      <c r="BQ469" s="39"/>
      <c r="BR469" s="40" t="str">
        <f aca="false">IF(OR(BQ469="",CH469=""),"",BQ469/CH469*100)</f>
        <v/>
      </c>
      <c r="BS469" s="41" t="str">
        <f aca="false">IF(BR469="","",IFERROR(MATCH(BR469,INDEX(Boundaries!$B$2:$I$30,MATCH(CV469,Boundaries!$A$2:$A$30,0),0),1)-1,""))</f>
        <v/>
      </c>
      <c r="BT469" s="42" t="str">
        <f aca="false">IF(OR(BS469="",$E469=""),"",BS469-$E469)</f>
        <v/>
      </c>
      <c r="BU469" s="28" t="str">
        <f aca="false">IFERROR(INDEX(Assessments!$H$2:$H$600,MATCH($H469&amp;"|"&amp;$I469&amp;"|"&amp;$J469&amp;"|"&amp;1,Assessments!$A$2:$A$600,0)),"")</f>
        <v/>
      </c>
      <c r="BV469" s="28" t="str">
        <f aca="false">IFERROR(INDEX(Assessments!$H$2:$H$600,MATCH($H469&amp;"|"&amp;$I469&amp;"|"&amp;$J469&amp;"|"&amp;2,Assessments!$A$2:$A$600,0)),"")</f>
        <v/>
      </c>
      <c r="BW469" s="28" t="str">
        <f aca="false">IFERROR(INDEX(Assessments!$H$2:$H$600,MATCH($H469&amp;"|"&amp;$I469&amp;"|"&amp;$J469&amp;"|"&amp;3,Assessments!$A$2:$A$600,0)),"")</f>
        <v/>
      </c>
      <c r="BX469" s="28" t="str">
        <f aca="false">IFERROR(INDEX(Assessments!$H$2:$H$600,MATCH($H469&amp;"|"&amp;$I469&amp;"|"&amp;$J469&amp;"|"&amp;4,Assessments!$A$2:$A$600,0)),"")</f>
        <v/>
      </c>
      <c r="BY469" s="28" t="str">
        <f aca="false">IFERROR(INDEX(Assessments!$H$2:$H$600,MATCH($H469&amp;"|"&amp;$I469&amp;"|"&amp;$J469&amp;"|"&amp;5,Assessments!$A$2:$A$600,0)),"")</f>
        <v/>
      </c>
      <c r="BZ469" s="28" t="str">
        <f aca="false">IFERROR(INDEX(Assessments!$H$2:$H$600,MATCH($H469&amp;"|"&amp;$I469&amp;"|"&amp;$J469&amp;"|"&amp;6,Assessments!$A$2:$A$600,0)),"")</f>
        <v/>
      </c>
      <c r="CA469" s="28" t="str">
        <f aca="false">IFERROR(INDEX(Assessments!$H$2:$H$600,MATCH($H469&amp;"|"&amp;$I469&amp;"|"&amp;$J469&amp;"|"&amp;7,Assessments!$A$2:$A$600,0)),"")</f>
        <v/>
      </c>
      <c r="CB469" s="28" t="str">
        <f aca="false">IFERROR(INDEX(Assessments!$H$2:$H$600,MATCH($H469&amp;"|"&amp;$I469&amp;"|"&amp;$J469&amp;"|"&amp;8,Assessments!$A$2:$A$600,0)),"")</f>
        <v/>
      </c>
      <c r="CC469" s="28" t="str">
        <f aca="false">IFERROR(INDEX(Assessments!$H$2:$H$600,MATCH($H469&amp;"|"&amp;$I469&amp;"|"&amp;$J469&amp;"|"&amp;9,Assessments!$A$2:$A$600,0)),"")</f>
        <v/>
      </c>
      <c r="CD469" s="28" t="str">
        <f aca="false">IFERROR(INDEX(Assessments!$H$2:$H$600,MATCH($H469&amp;"|"&amp;$I469&amp;"|"&amp;$J469&amp;"|"&amp;10,Assessments!$A$2:$A$600,0)),"")</f>
        <v/>
      </c>
      <c r="CE469" s="28" t="str">
        <f aca="false">IFERROR(INDEX(Assessments!$H$2:$H$600,MATCH($H469&amp;"|"&amp;$I469&amp;"|"&amp;$J469&amp;"|"&amp;11,Assessments!$A$2:$A$600,0)),"")</f>
        <v/>
      </c>
      <c r="CF469" s="28" t="str">
        <f aca="false">IFERROR(INDEX(Assessments!$H$2:$H$600,MATCH($H469&amp;"|"&amp;$I469&amp;"|"&amp;$J469&amp;"|"&amp;12,Assessments!$A$2:$A$600,0)),"")</f>
        <v/>
      </c>
      <c r="CG469" s="28" t="str">
        <f aca="false">IFERROR(INDEX(Assessments!$H$2:$H$600,MATCH($H469&amp;"|"&amp;$I469&amp;"|"&amp;$J469&amp;"|"&amp;13,Assessments!$A$2:$A$600,0)),"")</f>
        <v/>
      </c>
      <c r="CH469" s="28" t="str">
        <f aca="false">IFERROR(INDEX(Assessments!$H$2:$H$600,MATCH($H469&amp;"|"&amp;$I469&amp;"|"&amp;$J469&amp;"|"&amp;14,Assessments!$A$2:$A$600,0)),"")</f>
        <v/>
      </c>
      <c r="CI469" s="28" t="str">
        <f aca="false">IFERROR(INDEX(Assessments!$I$2:$I$600,MATCH($H469&amp;"|"&amp;$I469&amp;"|"&amp;$J469&amp;"|"&amp;1,Assessments!$A$2:$A$600,0)),"")</f>
        <v/>
      </c>
      <c r="CJ469" s="28" t="str">
        <f aca="false">IFERROR(INDEX(Assessments!$I$2:$I$600,MATCH($H469&amp;"|"&amp;$I469&amp;"|"&amp;$J469&amp;"|"&amp;2,Assessments!$A$2:$A$600,0)),"")</f>
        <v/>
      </c>
      <c r="CK469" s="28" t="str">
        <f aca="false">IFERROR(INDEX(Assessments!$I$2:$I$600,MATCH($H469&amp;"|"&amp;$I469&amp;"|"&amp;$J469&amp;"|"&amp;3,Assessments!$A$2:$A$600,0)),"")</f>
        <v/>
      </c>
      <c r="CL469" s="28" t="str">
        <f aca="false">IFERROR(INDEX(Assessments!$I$2:$I$600,MATCH($H469&amp;"|"&amp;$I469&amp;"|"&amp;$J469&amp;"|"&amp;4,Assessments!$A$2:$A$600,0)),"")</f>
        <v/>
      </c>
      <c r="CM469" s="28" t="str">
        <f aca="false">IFERROR(INDEX(Assessments!$I$2:$I$600,MATCH($H469&amp;"|"&amp;$I469&amp;"|"&amp;$J469&amp;"|"&amp;5,Assessments!$A$2:$A$600,0)),"")</f>
        <v/>
      </c>
      <c r="CN469" s="28" t="str">
        <f aca="false">IFERROR(INDEX(Assessments!$I$2:$I$600,MATCH($H469&amp;"|"&amp;$I469&amp;"|"&amp;$J469&amp;"|"&amp;6,Assessments!$A$2:$A$600,0)),"")</f>
        <v/>
      </c>
      <c r="CO469" s="28" t="str">
        <f aca="false">IFERROR(INDEX(Assessments!$I$2:$I$600,MATCH($H469&amp;"|"&amp;$I469&amp;"|"&amp;$J469&amp;"|"&amp;7,Assessments!$A$2:$A$600,0)),"")</f>
        <v/>
      </c>
      <c r="CP469" s="28" t="str">
        <f aca="false">IFERROR(INDEX(Assessments!$I$2:$I$600,MATCH($H469&amp;"|"&amp;$I469&amp;"|"&amp;$J469&amp;"|"&amp;8,Assessments!$A$2:$A$600,0)),"")</f>
        <v/>
      </c>
      <c r="CQ469" s="28" t="str">
        <f aca="false">IFERROR(INDEX(Assessments!$I$2:$I$600,MATCH($H469&amp;"|"&amp;$I469&amp;"|"&amp;$J469&amp;"|"&amp;9,Assessments!$A$2:$A$600,0)),"")</f>
        <v/>
      </c>
      <c r="CR469" s="28" t="str">
        <f aca="false">IFERROR(INDEX(Assessments!$I$2:$I$600,MATCH($H469&amp;"|"&amp;$I469&amp;"|"&amp;$J469&amp;"|"&amp;10,Assessments!$A$2:$A$600,0)),"")</f>
        <v/>
      </c>
      <c r="CS469" s="28" t="str">
        <f aca="false">IFERROR(INDEX(Assessments!$I$2:$I$600,MATCH($H469&amp;"|"&amp;$I469&amp;"|"&amp;$J469&amp;"|"&amp;11,Assessments!$A$2:$A$600,0)),"")</f>
        <v/>
      </c>
      <c r="CT469" s="28" t="str">
        <f aca="false">IFERROR(INDEX(Assessments!$I$2:$I$600,MATCH($H469&amp;"|"&amp;$I469&amp;"|"&amp;$J469&amp;"|"&amp;12,Assessments!$A$2:$A$600,0)),"")</f>
        <v/>
      </c>
      <c r="CU469" s="28" t="str">
        <f aca="false">IFERROR(INDEX(Assessments!$I$2:$I$600,MATCH($H469&amp;"|"&amp;$I469&amp;"|"&amp;$J469&amp;"|"&amp;13,Assessments!$A$2:$A$600,0)),"")</f>
        <v/>
      </c>
      <c r="CV469" s="28" t="str">
        <f aca="false">IFERROR(INDEX(Assessments!$I$2:$I$600,MATCH($H469&amp;"|"&amp;$I469&amp;"|"&amp;$J469&amp;"|"&amp;14,Assessments!$A$2:$A$600,0)),"")</f>
        <v/>
      </c>
      <c r="CW469" s="28" t="n">
        <f aca="false">IFERROR(INDEX(Assessments!$J$2:$J$600,MATCH($H469&amp;"|"&amp;$I469&amp;"|"&amp;$J469&amp;"|"&amp;1,Assessments!$A$2:$A$600,0)),0)</f>
        <v>0</v>
      </c>
      <c r="CX469" s="28" t="n">
        <f aca="false">IFERROR(INDEX(Assessments!$J$2:$J$600,MATCH($H469&amp;"|"&amp;$I469&amp;"|"&amp;$J469&amp;"|"&amp;2,Assessments!$A$2:$A$600,0)),0)</f>
        <v>0</v>
      </c>
      <c r="CY469" s="28" t="n">
        <f aca="false">IFERROR(INDEX(Assessments!$J$2:$J$600,MATCH($H469&amp;"|"&amp;$I469&amp;"|"&amp;$J469&amp;"|"&amp;3,Assessments!$A$2:$A$600,0)),0)</f>
        <v>0</v>
      </c>
      <c r="CZ469" s="28" t="n">
        <f aca="false">IFERROR(INDEX(Assessments!$J$2:$J$600,MATCH($H469&amp;"|"&amp;$I469&amp;"|"&amp;$J469&amp;"|"&amp;4,Assessments!$A$2:$A$600,0)),0)</f>
        <v>0</v>
      </c>
      <c r="DA469" s="28" t="n">
        <f aca="false">IFERROR(INDEX(Assessments!$J$2:$J$600,MATCH($H469&amp;"|"&amp;$I469&amp;"|"&amp;$J469&amp;"|"&amp;5,Assessments!$A$2:$A$600,0)),0)</f>
        <v>0</v>
      </c>
      <c r="DB469" s="28" t="n">
        <f aca="false">IFERROR(INDEX(Assessments!$J$2:$J$600,MATCH($H469&amp;"|"&amp;$I469&amp;"|"&amp;$J469&amp;"|"&amp;6,Assessments!$A$2:$A$600,0)),0)</f>
        <v>0</v>
      </c>
      <c r="DC469" s="28" t="n">
        <f aca="false">IFERROR(INDEX(Assessments!$J$2:$J$600,MATCH($H469&amp;"|"&amp;$I469&amp;"|"&amp;$J469&amp;"|"&amp;7,Assessments!$A$2:$A$600,0)),0)</f>
        <v>0</v>
      </c>
      <c r="DD469" s="28" t="n">
        <f aca="false">IFERROR(INDEX(Assessments!$J$2:$J$600,MATCH($H469&amp;"|"&amp;$I469&amp;"|"&amp;$J469&amp;"|"&amp;8,Assessments!$A$2:$A$600,0)),0)</f>
        <v>0</v>
      </c>
      <c r="DE469" s="28" t="n">
        <f aca="false">IFERROR(INDEX(Assessments!$J$2:$J$600,MATCH($H469&amp;"|"&amp;$I469&amp;"|"&amp;$J469&amp;"|"&amp;9,Assessments!$A$2:$A$600,0)),0)</f>
        <v>0</v>
      </c>
      <c r="DF469" s="28" t="n">
        <f aca="false">IFERROR(INDEX(Assessments!$J$2:$J$600,MATCH($H469&amp;"|"&amp;$I469&amp;"|"&amp;$J469&amp;"|"&amp;10,Assessments!$A$2:$A$600,0)),0)</f>
        <v>0</v>
      </c>
      <c r="DG469" s="28" t="n">
        <f aca="false">IFERROR(INDEX(Assessments!$J$2:$J$600,MATCH($H469&amp;"|"&amp;$I469&amp;"|"&amp;$J469&amp;"|"&amp;11,Assessments!$A$2:$A$600,0)),0)</f>
        <v>0</v>
      </c>
      <c r="DH469" s="28" t="n">
        <f aca="false">IFERROR(INDEX(Assessments!$J$2:$J$600,MATCH($H469&amp;"|"&amp;$I469&amp;"|"&amp;$J469&amp;"|"&amp;12,Assessments!$A$2:$A$600,0)),0)</f>
        <v>0</v>
      </c>
      <c r="DI469" s="28" t="n">
        <f aca="false">IFERROR(INDEX(Assessments!$J$2:$J$600,MATCH($H469&amp;"|"&amp;$I469&amp;"|"&amp;$J469&amp;"|"&amp;13,Assessments!$A$2:$A$600,0)),0)</f>
        <v>0</v>
      </c>
      <c r="DJ469" s="28" t="n">
        <f aca="false">IFERROR(INDEX(Assessments!$J$2:$J$600,MATCH($H469&amp;"|"&amp;$I469&amp;"|"&amp;$J469&amp;"|"&amp;14,Assessments!$A$2:$A$600,0)),0)</f>
        <v>0</v>
      </c>
      <c r="DK469" s="28" t="str">
        <f aca="false">S469</f>
        <v/>
      </c>
      <c r="DL469" s="28" t="str">
        <f aca="false">W469</f>
        <v/>
      </c>
      <c r="DM469" s="28" t="str">
        <f aca="false">AA469</f>
        <v/>
      </c>
      <c r="DN469" s="28" t="str">
        <f aca="false">AE469</f>
        <v/>
      </c>
      <c r="DO469" s="28" t="str">
        <f aca="false">AI469</f>
        <v/>
      </c>
      <c r="DP469" s="28" t="str">
        <f aca="false">AM469</f>
        <v/>
      </c>
      <c r="DQ469" s="28" t="str">
        <f aca="false">AQ469</f>
        <v/>
      </c>
      <c r="DR469" s="28" t="str">
        <f aca="false">AU469</f>
        <v/>
      </c>
      <c r="DS469" s="28" t="str">
        <f aca="false">AY469</f>
        <v/>
      </c>
      <c r="DT469" s="28" t="str">
        <f aca="false">BC469</f>
        <v/>
      </c>
      <c r="DU469" s="28" t="str">
        <f aca="false">BG469</f>
        <v/>
      </c>
      <c r="DV469" s="28" t="str">
        <f aca="false">BK469</f>
        <v/>
      </c>
      <c r="DW469" s="28" t="str">
        <f aca="false">BO469</f>
        <v/>
      </c>
      <c r="DX469" s="28" t="str">
        <f aca="false">BS469</f>
        <v/>
      </c>
      <c r="DY469" s="28" t="str">
        <f aca="false">IF(ISNUMBER(S469),1,"")</f>
        <v/>
      </c>
      <c r="DZ469" s="28" t="str">
        <f aca="false">IF(ISNUMBER(W469),2,"")</f>
        <v/>
      </c>
      <c r="EA469" s="28" t="str">
        <f aca="false">IF(ISNUMBER(AA469),3,"")</f>
        <v/>
      </c>
      <c r="EB469" s="28" t="str">
        <f aca="false">IF(ISNUMBER(AE469),4,"")</f>
        <v/>
      </c>
      <c r="EC469" s="28" t="str">
        <f aca="false">IF(ISNUMBER(AI469),5,"")</f>
        <v/>
      </c>
      <c r="ED469" s="28" t="str">
        <f aca="false">IF(ISNUMBER(AM469),6,"")</f>
        <v/>
      </c>
      <c r="EE469" s="28" t="str">
        <f aca="false">IF(ISNUMBER(AQ469),7,"")</f>
        <v/>
      </c>
      <c r="EF469" s="28" t="str">
        <f aca="false">IF(ISNUMBER(AU469),8,"")</f>
        <v/>
      </c>
      <c r="EG469" s="28" t="str">
        <f aca="false">IF(ISNUMBER(AY469),9,"")</f>
        <v/>
      </c>
      <c r="EH469" s="28" t="str">
        <f aca="false">IF(ISNUMBER(BC469),10,"")</f>
        <v/>
      </c>
      <c r="EI469" s="28" t="str">
        <f aca="false">IF(ISNUMBER(BG469),11,"")</f>
        <v/>
      </c>
      <c r="EJ469" s="28" t="str">
        <f aca="false">IF(ISNUMBER(BK469),12,"")</f>
        <v/>
      </c>
      <c r="EK469" s="28" t="str">
        <f aca="false">IF(ISNUMBER(BO469),13,"")</f>
        <v/>
      </c>
      <c r="EL469" s="28" t="str">
        <f aca="false">IF(ISNUMBER(BS469),14,"")</f>
        <v/>
      </c>
      <c r="EM469" s="28" t="n">
        <f aca="false">IF(ISNUMBER(R469),R469*CW469,0)</f>
        <v>0</v>
      </c>
      <c r="EN469" s="28" t="n">
        <f aca="false">IF(ISNUMBER(V469),V469*CX469,0)</f>
        <v>0</v>
      </c>
      <c r="EO469" s="28" t="n">
        <f aca="false">IF(ISNUMBER(Z469),Z469*CY469,0)</f>
        <v>0</v>
      </c>
      <c r="EP469" s="28" t="n">
        <f aca="false">IF(ISNUMBER(AD469),AD469*CZ469,0)</f>
        <v>0</v>
      </c>
      <c r="EQ469" s="28" t="n">
        <f aca="false">IF(ISNUMBER(AH469),AH469*DA469,0)</f>
        <v>0</v>
      </c>
      <c r="ER469" s="28" t="n">
        <f aca="false">IF(ISNUMBER(AL469),AL469*DB469,0)</f>
        <v>0</v>
      </c>
      <c r="ES469" s="28" t="n">
        <f aca="false">IF(ISNUMBER(AP469),AP469*DC469,0)</f>
        <v>0</v>
      </c>
      <c r="ET469" s="28" t="n">
        <f aca="false">IF(ISNUMBER(AT469),AT469*DD469,0)</f>
        <v>0</v>
      </c>
      <c r="EU469" s="28" t="n">
        <f aca="false">IF(ISNUMBER(AX469),AX469*DE469,0)</f>
        <v>0</v>
      </c>
      <c r="EV469" s="28" t="n">
        <f aca="false">IF(ISNUMBER(BB469),BB469*DF469,0)</f>
        <v>0</v>
      </c>
      <c r="EW469" s="28" t="n">
        <f aca="false">IF(ISNUMBER(BF469),BF469*DG469,0)</f>
        <v>0</v>
      </c>
      <c r="EX469" s="28" t="n">
        <f aca="false">IF(ISNUMBER(BJ469),BJ469*DH469,0)</f>
        <v>0</v>
      </c>
      <c r="EY469" s="28" t="n">
        <f aca="false">IF(ISNUMBER(BN469),BN469*DI469,0)</f>
        <v>0</v>
      </c>
      <c r="EZ469" s="28" t="n">
        <f aca="false">IF(ISNUMBER(BR469),BR469*DJ469,0)</f>
        <v>0</v>
      </c>
      <c r="FA469" s="28" t="n">
        <f aca="false">IF(ISNUMBER(R469),CW469,0)</f>
        <v>0</v>
      </c>
      <c r="FB469" s="28" t="n">
        <f aca="false">IF(ISNUMBER(V469),CX469,0)</f>
        <v>0</v>
      </c>
      <c r="FC469" s="28" t="n">
        <f aca="false">IF(ISNUMBER(Z469),CY469,0)</f>
        <v>0</v>
      </c>
      <c r="FD469" s="28" t="n">
        <f aca="false">IF(ISNUMBER(AD469),CZ469,0)</f>
        <v>0</v>
      </c>
      <c r="FE469" s="28" t="n">
        <f aca="false">IF(ISNUMBER(AH469),DA469,0)</f>
        <v>0</v>
      </c>
      <c r="FF469" s="28" t="n">
        <f aca="false">IF(ISNUMBER(AL469),DB469,0)</f>
        <v>0</v>
      </c>
      <c r="FG469" s="28" t="n">
        <f aca="false">IF(ISNUMBER(AP469),DC469,0)</f>
        <v>0</v>
      </c>
      <c r="FH469" s="28" t="n">
        <f aca="false">IF(ISNUMBER(AT469),DD469,0)</f>
        <v>0</v>
      </c>
      <c r="FI469" s="28" t="n">
        <f aca="false">IF(ISNUMBER(AX469),DE469,0)</f>
        <v>0</v>
      </c>
      <c r="FJ469" s="28" t="n">
        <f aca="false">IF(ISNUMBER(BB469),DF469,0)</f>
        <v>0</v>
      </c>
      <c r="FK469" s="28" t="n">
        <f aca="false">IF(ISNUMBER(BF469),DG469,0)</f>
        <v>0</v>
      </c>
      <c r="FL469" s="28" t="n">
        <f aca="false">IF(ISNUMBER(BJ469),DH469,0)</f>
        <v>0</v>
      </c>
      <c r="FM469" s="28" t="n">
        <f aca="false">IF(ISNUMBER(BN469),DI469,0)</f>
        <v>0</v>
      </c>
      <c r="FN469" s="28" t="n">
        <f aca="false">IF(ISNUMBER(BR469),DJ469,0)</f>
        <v>0</v>
      </c>
      <c r="FO469" s="28" t="str">
        <f aca="false">IFERROR(INDEX(Lists!$G$2:$G$20,MATCH($I469&amp;"|"&amp;$J469,Lists!$F$2:$F$20,0)),"")</f>
        <v/>
      </c>
    </row>
    <row r="470" customFormat="false" ht="19.5" hidden="false" customHeight="true" outlineLevel="0" collapsed="false">
      <c r="A470" s="29"/>
      <c r="B470" s="29"/>
      <c r="C470" s="30"/>
      <c r="D470" s="30"/>
      <c r="E470" s="31"/>
      <c r="F470" s="30"/>
      <c r="G470" s="30"/>
      <c r="H470" s="32"/>
      <c r="I470" s="33"/>
      <c r="J470" s="32"/>
      <c r="K470" s="34" t="str">
        <f aca="false">IF(OR(M470="",$E470=""),"",M470-$E470)</f>
        <v/>
      </c>
      <c r="L470" s="35" t="str">
        <f aca="false">IF(SUM(FA470:FN470)=0,"",SUM(EM470:EZ470)/SUM(FA470:FN470))</f>
        <v/>
      </c>
      <c r="M470" s="36" t="str">
        <f aca="false">IF(OR(L470="",FO470=""),"",IFERROR(MATCH(L470,INDEX(Boundaries!$B$2:$I$30,MATCH(FO470,Boundaries!$A$2:$A$30,0),0),1)-1,""))</f>
        <v/>
      </c>
      <c r="N470" s="37" t="str">
        <f aca="false">IF(COUNT($DY470:$EL470)&lt;2,"",INDEX($DK470:$DX470,MAX($DY470:$EL470))-INDEX($DK470:$DX470,MIN($DY470:$EL470)))</f>
        <v/>
      </c>
      <c r="O470" s="37" t="str">
        <f aca="false">IF(COUNT($DY470:$EL470)&lt;2,"",INDEX($DK470:$DX470,MAX($DY470:$EL470))-INDEX($DK470:$DX470,LARGE($DY470:$EL470,2)))</f>
        <v/>
      </c>
      <c r="P470" s="38" t="str">
        <f aca="false">IF(K470="","",IF(K470&gt;=0,"On/above target",IF(AND(N470&lt;&gt;"",N470&gt;=0.5),"Improving towards target",IF(AND(O470&lt;&gt;"",O470&lt;=-0.5),"Declining","Stable below target"))))</f>
        <v/>
      </c>
      <c r="Q470" s="39"/>
      <c r="R470" s="40" t="str">
        <f aca="false">IF(OR(Q470="",BU470=""),"",Q470/BU470*100)</f>
        <v/>
      </c>
      <c r="S470" s="41" t="str">
        <f aca="false">IF(R470="","",IFERROR(MATCH(R470,INDEX(Boundaries!$B$2:$I$30,MATCH(CI470,Boundaries!$A$2:$A$30,0),0),1)-1,""))</f>
        <v/>
      </c>
      <c r="T470" s="42" t="str">
        <f aca="false">IF(OR(S470="",$E470=""),"",S470-$E470)</f>
        <v/>
      </c>
      <c r="U470" s="39"/>
      <c r="V470" s="40" t="str">
        <f aca="false">IF(OR(U470="",BV470=""),"",U470/BV470*100)</f>
        <v/>
      </c>
      <c r="W470" s="41" t="str">
        <f aca="false">IF(V470="","",IFERROR(MATCH(V470,INDEX(Boundaries!$B$2:$I$30,MATCH(CJ470,Boundaries!$A$2:$A$30,0),0),1)-1,""))</f>
        <v/>
      </c>
      <c r="X470" s="42" t="str">
        <f aca="false">IF(OR(W470="",$E470=""),"",W470-$E470)</f>
        <v/>
      </c>
      <c r="Y470" s="39"/>
      <c r="Z470" s="40" t="str">
        <f aca="false">IF(OR(Y470="",BW470=""),"",Y470/BW470*100)</f>
        <v/>
      </c>
      <c r="AA470" s="41" t="str">
        <f aca="false">IF(Z470="","",IFERROR(MATCH(Z470,INDEX(Boundaries!$B$2:$I$30,MATCH(CK470,Boundaries!$A$2:$A$30,0),0),1)-1,""))</f>
        <v/>
      </c>
      <c r="AB470" s="42" t="str">
        <f aca="false">IF(OR(AA470="",$E470=""),"",AA470-$E470)</f>
        <v/>
      </c>
      <c r="AC470" s="39"/>
      <c r="AD470" s="40" t="str">
        <f aca="false">IF(OR(AC470="",BX470=""),"",AC470/BX470*100)</f>
        <v/>
      </c>
      <c r="AE470" s="41" t="str">
        <f aca="false">IF(AD470="","",IFERROR(MATCH(AD470,INDEX(Boundaries!$B$2:$I$30,MATCH(CL470,Boundaries!$A$2:$A$30,0),0),1)-1,""))</f>
        <v/>
      </c>
      <c r="AF470" s="42" t="str">
        <f aca="false">IF(OR(AE470="",$E470=""),"",AE470-$E470)</f>
        <v/>
      </c>
      <c r="AG470" s="39"/>
      <c r="AH470" s="40" t="str">
        <f aca="false">IF(OR(AG470="",BY470=""),"",AG470/BY470*100)</f>
        <v/>
      </c>
      <c r="AI470" s="41" t="str">
        <f aca="false">IF(AH470="","",IFERROR(MATCH(AH470,INDEX(Boundaries!$B$2:$I$30,MATCH(CM470,Boundaries!$A$2:$A$30,0),0),1)-1,""))</f>
        <v/>
      </c>
      <c r="AJ470" s="42" t="str">
        <f aca="false">IF(OR(AI470="",$E470=""),"",AI470-$E470)</f>
        <v/>
      </c>
      <c r="AK470" s="39"/>
      <c r="AL470" s="40" t="str">
        <f aca="false">IF(OR(AK470="",BZ470=""),"",AK470/BZ470*100)</f>
        <v/>
      </c>
      <c r="AM470" s="41" t="str">
        <f aca="false">IF(AL470="","",IFERROR(MATCH(AL470,INDEX(Boundaries!$B$2:$I$30,MATCH(CN470,Boundaries!$A$2:$A$30,0),0),1)-1,""))</f>
        <v/>
      </c>
      <c r="AN470" s="42" t="str">
        <f aca="false">IF(OR(AM470="",$E470=""),"",AM470-$E470)</f>
        <v/>
      </c>
      <c r="AO470" s="39"/>
      <c r="AP470" s="40" t="str">
        <f aca="false">IF(OR(AO470="",CA470=""),"",AO470/CA470*100)</f>
        <v/>
      </c>
      <c r="AQ470" s="41" t="str">
        <f aca="false">IF(AP470="","",IFERROR(MATCH(AP470,INDEX(Boundaries!$B$2:$I$30,MATCH(CO470,Boundaries!$A$2:$A$30,0),0),1)-1,""))</f>
        <v/>
      </c>
      <c r="AR470" s="42" t="str">
        <f aca="false">IF(OR(AQ470="",$E470=""),"",AQ470-$E470)</f>
        <v/>
      </c>
      <c r="AS470" s="39"/>
      <c r="AT470" s="40" t="str">
        <f aca="false">IF(OR(AS470="",CB470=""),"",AS470/CB470*100)</f>
        <v/>
      </c>
      <c r="AU470" s="41" t="str">
        <f aca="false">IF(AT470="","",IFERROR(MATCH(AT470,INDEX(Boundaries!$B$2:$I$30,MATCH(CP470,Boundaries!$A$2:$A$30,0),0),1)-1,""))</f>
        <v/>
      </c>
      <c r="AV470" s="42" t="str">
        <f aca="false">IF(OR(AU470="",$E470=""),"",AU470-$E470)</f>
        <v/>
      </c>
      <c r="AW470" s="39"/>
      <c r="AX470" s="40" t="str">
        <f aca="false">IF(OR(AW470="",CC470=""),"",AW470/CC470*100)</f>
        <v/>
      </c>
      <c r="AY470" s="41" t="str">
        <f aca="false">IF(AX470="","",IFERROR(MATCH(AX470,INDEX(Boundaries!$B$2:$I$30,MATCH(CQ470,Boundaries!$A$2:$A$30,0),0),1)-1,""))</f>
        <v/>
      </c>
      <c r="AZ470" s="42" t="str">
        <f aca="false">IF(OR(AY470="",$E470=""),"",AY470-$E470)</f>
        <v/>
      </c>
      <c r="BA470" s="39"/>
      <c r="BB470" s="40" t="str">
        <f aca="false">IF(OR(BA470="",CD470=""),"",BA470/CD470*100)</f>
        <v/>
      </c>
      <c r="BC470" s="41" t="str">
        <f aca="false">IF(BB470="","",IFERROR(MATCH(BB470,INDEX(Boundaries!$B$2:$I$30,MATCH(CR470,Boundaries!$A$2:$A$30,0),0),1)-1,""))</f>
        <v/>
      </c>
      <c r="BD470" s="42" t="str">
        <f aca="false">IF(OR(BC470="",$E470=""),"",BC470-$E470)</f>
        <v/>
      </c>
      <c r="BE470" s="39"/>
      <c r="BF470" s="40" t="str">
        <f aca="false">IF(OR(BE470="",CE470=""),"",BE470/CE470*100)</f>
        <v/>
      </c>
      <c r="BG470" s="41" t="str">
        <f aca="false">IF(BF470="","",IFERROR(MATCH(BF470,INDEX(Boundaries!$B$2:$I$30,MATCH(CS470,Boundaries!$A$2:$A$30,0),0),1)-1,""))</f>
        <v/>
      </c>
      <c r="BH470" s="42" t="str">
        <f aca="false">IF(OR(BG470="",$E470=""),"",BG470-$E470)</f>
        <v/>
      </c>
      <c r="BI470" s="39"/>
      <c r="BJ470" s="40" t="str">
        <f aca="false">IF(OR(BI470="",CF470=""),"",BI470/CF470*100)</f>
        <v/>
      </c>
      <c r="BK470" s="41" t="str">
        <f aca="false">IF(BJ470="","",IFERROR(MATCH(BJ470,INDEX(Boundaries!$B$2:$I$30,MATCH(CT470,Boundaries!$A$2:$A$30,0),0),1)-1,""))</f>
        <v/>
      </c>
      <c r="BL470" s="42" t="str">
        <f aca="false">IF(OR(BK470="",$E470=""),"",BK470-$E470)</f>
        <v/>
      </c>
      <c r="BM470" s="39"/>
      <c r="BN470" s="40" t="str">
        <f aca="false">IF(OR(BM470="",CG470=""),"",BM470/CG470*100)</f>
        <v/>
      </c>
      <c r="BO470" s="41" t="str">
        <f aca="false">IF(BN470="","",IFERROR(MATCH(BN470,INDEX(Boundaries!$B$2:$I$30,MATCH(CU470,Boundaries!$A$2:$A$30,0),0),1)-1,""))</f>
        <v/>
      </c>
      <c r="BP470" s="42" t="str">
        <f aca="false">IF(OR(BO470="",$E470=""),"",BO470-$E470)</f>
        <v/>
      </c>
      <c r="BQ470" s="39"/>
      <c r="BR470" s="40" t="str">
        <f aca="false">IF(OR(BQ470="",CH470=""),"",BQ470/CH470*100)</f>
        <v/>
      </c>
      <c r="BS470" s="41" t="str">
        <f aca="false">IF(BR470="","",IFERROR(MATCH(BR470,INDEX(Boundaries!$B$2:$I$30,MATCH(CV470,Boundaries!$A$2:$A$30,0),0),1)-1,""))</f>
        <v/>
      </c>
      <c r="BT470" s="42" t="str">
        <f aca="false">IF(OR(BS470="",$E470=""),"",BS470-$E470)</f>
        <v/>
      </c>
      <c r="BU470" s="28" t="str">
        <f aca="false">IFERROR(INDEX(Assessments!$H$2:$H$600,MATCH($H470&amp;"|"&amp;$I470&amp;"|"&amp;$J470&amp;"|"&amp;1,Assessments!$A$2:$A$600,0)),"")</f>
        <v/>
      </c>
      <c r="BV470" s="28" t="str">
        <f aca="false">IFERROR(INDEX(Assessments!$H$2:$H$600,MATCH($H470&amp;"|"&amp;$I470&amp;"|"&amp;$J470&amp;"|"&amp;2,Assessments!$A$2:$A$600,0)),"")</f>
        <v/>
      </c>
      <c r="BW470" s="28" t="str">
        <f aca="false">IFERROR(INDEX(Assessments!$H$2:$H$600,MATCH($H470&amp;"|"&amp;$I470&amp;"|"&amp;$J470&amp;"|"&amp;3,Assessments!$A$2:$A$600,0)),"")</f>
        <v/>
      </c>
      <c r="BX470" s="28" t="str">
        <f aca="false">IFERROR(INDEX(Assessments!$H$2:$H$600,MATCH($H470&amp;"|"&amp;$I470&amp;"|"&amp;$J470&amp;"|"&amp;4,Assessments!$A$2:$A$600,0)),"")</f>
        <v/>
      </c>
      <c r="BY470" s="28" t="str">
        <f aca="false">IFERROR(INDEX(Assessments!$H$2:$H$600,MATCH($H470&amp;"|"&amp;$I470&amp;"|"&amp;$J470&amp;"|"&amp;5,Assessments!$A$2:$A$600,0)),"")</f>
        <v/>
      </c>
      <c r="BZ470" s="28" t="str">
        <f aca="false">IFERROR(INDEX(Assessments!$H$2:$H$600,MATCH($H470&amp;"|"&amp;$I470&amp;"|"&amp;$J470&amp;"|"&amp;6,Assessments!$A$2:$A$600,0)),"")</f>
        <v/>
      </c>
      <c r="CA470" s="28" t="str">
        <f aca="false">IFERROR(INDEX(Assessments!$H$2:$H$600,MATCH($H470&amp;"|"&amp;$I470&amp;"|"&amp;$J470&amp;"|"&amp;7,Assessments!$A$2:$A$600,0)),"")</f>
        <v/>
      </c>
      <c r="CB470" s="28" t="str">
        <f aca="false">IFERROR(INDEX(Assessments!$H$2:$H$600,MATCH($H470&amp;"|"&amp;$I470&amp;"|"&amp;$J470&amp;"|"&amp;8,Assessments!$A$2:$A$600,0)),"")</f>
        <v/>
      </c>
      <c r="CC470" s="28" t="str">
        <f aca="false">IFERROR(INDEX(Assessments!$H$2:$H$600,MATCH($H470&amp;"|"&amp;$I470&amp;"|"&amp;$J470&amp;"|"&amp;9,Assessments!$A$2:$A$600,0)),"")</f>
        <v/>
      </c>
      <c r="CD470" s="28" t="str">
        <f aca="false">IFERROR(INDEX(Assessments!$H$2:$H$600,MATCH($H470&amp;"|"&amp;$I470&amp;"|"&amp;$J470&amp;"|"&amp;10,Assessments!$A$2:$A$600,0)),"")</f>
        <v/>
      </c>
      <c r="CE470" s="28" t="str">
        <f aca="false">IFERROR(INDEX(Assessments!$H$2:$H$600,MATCH($H470&amp;"|"&amp;$I470&amp;"|"&amp;$J470&amp;"|"&amp;11,Assessments!$A$2:$A$600,0)),"")</f>
        <v/>
      </c>
      <c r="CF470" s="28" t="str">
        <f aca="false">IFERROR(INDEX(Assessments!$H$2:$H$600,MATCH($H470&amp;"|"&amp;$I470&amp;"|"&amp;$J470&amp;"|"&amp;12,Assessments!$A$2:$A$600,0)),"")</f>
        <v/>
      </c>
      <c r="CG470" s="28" t="str">
        <f aca="false">IFERROR(INDEX(Assessments!$H$2:$H$600,MATCH($H470&amp;"|"&amp;$I470&amp;"|"&amp;$J470&amp;"|"&amp;13,Assessments!$A$2:$A$600,0)),"")</f>
        <v/>
      </c>
      <c r="CH470" s="28" t="str">
        <f aca="false">IFERROR(INDEX(Assessments!$H$2:$H$600,MATCH($H470&amp;"|"&amp;$I470&amp;"|"&amp;$J470&amp;"|"&amp;14,Assessments!$A$2:$A$600,0)),"")</f>
        <v/>
      </c>
      <c r="CI470" s="28" t="str">
        <f aca="false">IFERROR(INDEX(Assessments!$I$2:$I$600,MATCH($H470&amp;"|"&amp;$I470&amp;"|"&amp;$J470&amp;"|"&amp;1,Assessments!$A$2:$A$600,0)),"")</f>
        <v/>
      </c>
      <c r="CJ470" s="28" t="str">
        <f aca="false">IFERROR(INDEX(Assessments!$I$2:$I$600,MATCH($H470&amp;"|"&amp;$I470&amp;"|"&amp;$J470&amp;"|"&amp;2,Assessments!$A$2:$A$600,0)),"")</f>
        <v/>
      </c>
      <c r="CK470" s="28" t="str">
        <f aca="false">IFERROR(INDEX(Assessments!$I$2:$I$600,MATCH($H470&amp;"|"&amp;$I470&amp;"|"&amp;$J470&amp;"|"&amp;3,Assessments!$A$2:$A$600,0)),"")</f>
        <v/>
      </c>
      <c r="CL470" s="28" t="str">
        <f aca="false">IFERROR(INDEX(Assessments!$I$2:$I$600,MATCH($H470&amp;"|"&amp;$I470&amp;"|"&amp;$J470&amp;"|"&amp;4,Assessments!$A$2:$A$600,0)),"")</f>
        <v/>
      </c>
      <c r="CM470" s="28" t="str">
        <f aca="false">IFERROR(INDEX(Assessments!$I$2:$I$600,MATCH($H470&amp;"|"&amp;$I470&amp;"|"&amp;$J470&amp;"|"&amp;5,Assessments!$A$2:$A$600,0)),"")</f>
        <v/>
      </c>
      <c r="CN470" s="28" t="str">
        <f aca="false">IFERROR(INDEX(Assessments!$I$2:$I$600,MATCH($H470&amp;"|"&amp;$I470&amp;"|"&amp;$J470&amp;"|"&amp;6,Assessments!$A$2:$A$600,0)),"")</f>
        <v/>
      </c>
      <c r="CO470" s="28" t="str">
        <f aca="false">IFERROR(INDEX(Assessments!$I$2:$I$600,MATCH($H470&amp;"|"&amp;$I470&amp;"|"&amp;$J470&amp;"|"&amp;7,Assessments!$A$2:$A$600,0)),"")</f>
        <v/>
      </c>
      <c r="CP470" s="28" t="str">
        <f aca="false">IFERROR(INDEX(Assessments!$I$2:$I$600,MATCH($H470&amp;"|"&amp;$I470&amp;"|"&amp;$J470&amp;"|"&amp;8,Assessments!$A$2:$A$600,0)),"")</f>
        <v/>
      </c>
      <c r="CQ470" s="28" t="str">
        <f aca="false">IFERROR(INDEX(Assessments!$I$2:$I$600,MATCH($H470&amp;"|"&amp;$I470&amp;"|"&amp;$J470&amp;"|"&amp;9,Assessments!$A$2:$A$600,0)),"")</f>
        <v/>
      </c>
      <c r="CR470" s="28" t="str">
        <f aca="false">IFERROR(INDEX(Assessments!$I$2:$I$600,MATCH($H470&amp;"|"&amp;$I470&amp;"|"&amp;$J470&amp;"|"&amp;10,Assessments!$A$2:$A$600,0)),"")</f>
        <v/>
      </c>
      <c r="CS470" s="28" t="str">
        <f aca="false">IFERROR(INDEX(Assessments!$I$2:$I$600,MATCH($H470&amp;"|"&amp;$I470&amp;"|"&amp;$J470&amp;"|"&amp;11,Assessments!$A$2:$A$600,0)),"")</f>
        <v/>
      </c>
      <c r="CT470" s="28" t="str">
        <f aca="false">IFERROR(INDEX(Assessments!$I$2:$I$600,MATCH($H470&amp;"|"&amp;$I470&amp;"|"&amp;$J470&amp;"|"&amp;12,Assessments!$A$2:$A$600,0)),"")</f>
        <v/>
      </c>
      <c r="CU470" s="28" t="str">
        <f aca="false">IFERROR(INDEX(Assessments!$I$2:$I$600,MATCH($H470&amp;"|"&amp;$I470&amp;"|"&amp;$J470&amp;"|"&amp;13,Assessments!$A$2:$A$600,0)),"")</f>
        <v/>
      </c>
      <c r="CV470" s="28" t="str">
        <f aca="false">IFERROR(INDEX(Assessments!$I$2:$I$600,MATCH($H470&amp;"|"&amp;$I470&amp;"|"&amp;$J470&amp;"|"&amp;14,Assessments!$A$2:$A$600,0)),"")</f>
        <v/>
      </c>
      <c r="CW470" s="28" t="n">
        <f aca="false">IFERROR(INDEX(Assessments!$J$2:$J$600,MATCH($H470&amp;"|"&amp;$I470&amp;"|"&amp;$J470&amp;"|"&amp;1,Assessments!$A$2:$A$600,0)),0)</f>
        <v>0</v>
      </c>
      <c r="CX470" s="28" t="n">
        <f aca="false">IFERROR(INDEX(Assessments!$J$2:$J$600,MATCH($H470&amp;"|"&amp;$I470&amp;"|"&amp;$J470&amp;"|"&amp;2,Assessments!$A$2:$A$600,0)),0)</f>
        <v>0</v>
      </c>
      <c r="CY470" s="28" t="n">
        <f aca="false">IFERROR(INDEX(Assessments!$J$2:$J$600,MATCH($H470&amp;"|"&amp;$I470&amp;"|"&amp;$J470&amp;"|"&amp;3,Assessments!$A$2:$A$600,0)),0)</f>
        <v>0</v>
      </c>
      <c r="CZ470" s="28" t="n">
        <f aca="false">IFERROR(INDEX(Assessments!$J$2:$J$600,MATCH($H470&amp;"|"&amp;$I470&amp;"|"&amp;$J470&amp;"|"&amp;4,Assessments!$A$2:$A$600,0)),0)</f>
        <v>0</v>
      </c>
      <c r="DA470" s="28" t="n">
        <f aca="false">IFERROR(INDEX(Assessments!$J$2:$J$600,MATCH($H470&amp;"|"&amp;$I470&amp;"|"&amp;$J470&amp;"|"&amp;5,Assessments!$A$2:$A$600,0)),0)</f>
        <v>0</v>
      </c>
      <c r="DB470" s="28" t="n">
        <f aca="false">IFERROR(INDEX(Assessments!$J$2:$J$600,MATCH($H470&amp;"|"&amp;$I470&amp;"|"&amp;$J470&amp;"|"&amp;6,Assessments!$A$2:$A$600,0)),0)</f>
        <v>0</v>
      </c>
      <c r="DC470" s="28" t="n">
        <f aca="false">IFERROR(INDEX(Assessments!$J$2:$J$600,MATCH($H470&amp;"|"&amp;$I470&amp;"|"&amp;$J470&amp;"|"&amp;7,Assessments!$A$2:$A$600,0)),0)</f>
        <v>0</v>
      </c>
      <c r="DD470" s="28" t="n">
        <f aca="false">IFERROR(INDEX(Assessments!$J$2:$J$600,MATCH($H470&amp;"|"&amp;$I470&amp;"|"&amp;$J470&amp;"|"&amp;8,Assessments!$A$2:$A$600,0)),0)</f>
        <v>0</v>
      </c>
      <c r="DE470" s="28" t="n">
        <f aca="false">IFERROR(INDEX(Assessments!$J$2:$J$600,MATCH($H470&amp;"|"&amp;$I470&amp;"|"&amp;$J470&amp;"|"&amp;9,Assessments!$A$2:$A$600,0)),0)</f>
        <v>0</v>
      </c>
      <c r="DF470" s="28" t="n">
        <f aca="false">IFERROR(INDEX(Assessments!$J$2:$J$600,MATCH($H470&amp;"|"&amp;$I470&amp;"|"&amp;$J470&amp;"|"&amp;10,Assessments!$A$2:$A$600,0)),0)</f>
        <v>0</v>
      </c>
      <c r="DG470" s="28" t="n">
        <f aca="false">IFERROR(INDEX(Assessments!$J$2:$J$600,MATCH($H470&amp;"|"&amp;$I470&amp;"|"&amp;$J470&amp;"|"&amp;11,Assessments!$A$2:$A$600,0)),0)</f>
        <v>0</v>
      </c>
      <c r="DH470" s="28" t="n">
        <f aca="false">IFERROR(INDEX(Assessments!$J$2:$J$600,MATCH($H470&amp;"|"&amp;$I470&amp;"|"&amp;$J470&amp;"|"&amp;12,Assessments!$A$2:$A$600,0)),0)</f>
        <v>0</v>
      </c>
      <c r="DI470" s="28" t="n">
        <f aca="false">IFERROR(INDEX(Assessments!$J$2:$J$600,MATCH($H470&amp;"|"&amp;$I470&amp;"|"&amp;$J470&amp;"|"&amp;13,Assessments!$A$2:$A$600,0)),0)</f>
        <v>0</v>
      </c>
      <c r="DJ470" s="28" t="n">
        <f aca="false">IFERROR(INDEX(Assessments!$J$2:$J$600,MATCH($H470&amp;"|"&amp;$I470&amp;"|"&amp;$J470&amp;"|"&amp;14,Assessments!$A$2:$A$600,0)),0)</f>
        <v>0</v>
      </c>
      <c r="DK470" s="28" t="str">
        <f aca="false">S470</f>
        <v/>
      </c>
      <c r="DL470" s="28" t="str">
        <f aca="false">W470</f>
        <v/>
      </c>
      <c r="DM470" s="28" t="str">
        <f aca="false">AA470</f>
        <v/>
      </c>
      <c r="DN470" s="28" t="str">
        <f aca="false">AE470</f>
        <v/>
      </c>
      <c r="DO470" s="28" t="str">
        <f aca="false">AI470</f>
        <v/>
      </c>
      <c r="DP470" s="28" t="str">
        <f aca="false">AM470</f>
        <v/>
      </c>
      <c r="DQ470" s="28" t="str">
        <f aca="false">AQ470</f>
        <v/>
      </c>
      <c r="DR470" s="28" t="str">
        <f aca="false">AU470</f>
        <v/>
      </c>
      <c r="DS470" s="28" t="str">
        <f aca="false">AY470</f>
        <v/>
      </c>
      <c r="DT470" s="28" t="str">
        <f aca="false">BC470</f>
        <v/>
      </c>
      <c r="DU470" s="28" t="str">
        <f aca="false">BG470</f>
        <v/>
      </c>
      <c r="DV470" s="28" t="str">
        <f aca="false">BK470</f>
        <v/>
      </c>
      <c r="DW470" s="28" t="str">
        <f aca="false">BO470</f>
        <v/>
      </c>
      <c r="DX470" s="28" t="str">
        <f aca="false">BS470</f>
        <v/>
      </c>
      <c r="DY470" s="28" t="str">
        <f aca="false">IF(ISNUMBER(S470),1,"")</f>
        <v/>
      </c>
      <c r="DZ470" s="28" t="str">
        <f aca="false">IF(ISNUMBER(W470),2,"")</f>
        <v/>
      </c>
      <c r="EA470" s="28" t="str">
        <f aca="false">IF(ISNUMBER(AA470),3,"")</f>
        <v/>
      </c>
      <c r="EB470" s="28" t="str">
        <f aca="false">IF(ISNUMBER(AE470),4,"")</f>
        <v/>
      </c>
      <c r="EC470" s="28" t="str">
        <f aca="false">IF(ISNUMBER(AI470),5,"")</f>
        <v/>
      </c>
      <c r="ED470" s="28" t="str">
        <f aca="false">IF(ISNUMBER(AM470),6,"")</f>
        <v/>
      </c>
      <c r="EE470" s="28" t="str">
        <f aca="false">IF(ISNUMBER(AQ470),7,"")</f>
        <v/>
      </c>
      <c r="EF470" s="28" t="str">
        <f aca="false">IF(ISNUMBER(AU470),8,"")</f>
        <v/>
      </c>
      <c r="EG470" s="28" t="str">
        <f aca="false">IF(ISNUMBER(AY470),9,"")</f>
        <v/>
      </c>
      <c r="EH470" s="28" t="str">
        <f aca="false">IF(ISNUMBER(BC470),10,"")</f>
        <v/>
      </c>
      <c r="EI470" s="28" t="str">
        <f aca="false">IF(ISNUMBER(BG470),11,"")</f>
        <v/>
      </c>
      <c r="EJ470" s="28" t="str">
        <f aca="false">IF(ISNUMBER(BK470),12,"")</f>
        <v/>
      </c>
      <c r="EK470" s="28" t="str">
        <f aca="false">IF(ISNUMBER(BO470),13,"")</f>
        <v/>
      </c>
      <c r="EL470" s="28" t="str">
        <f aca="false">IF(ISNUMBER(BS470),14,"")</f>
        <v/>
      </c>
      <c r="EM470" s="28" t="n">
        <f aca="false">IF(ISNUMBER(R470),R470*CW470,0)</f>
        <v>0</v>
      </c>
      <c r="EN470" s="28" t="n">
        <f aca="false">IF(ISNUMBER(V470),V470*CX470,0)</f>
        <v>0</v>
      </c>
      <c r="EO470" s="28" t="n">
        <f aca="false">IF(ISNUMBER(Z470),Z470*CY470,0)</f>
        <v>0</v>
      </c>
      <c r="EP470" s="28" t="n">
        <f aca="false">IF(ISNUMBER(AD470),AD470*CZ470,0)</f>
        <v>0</v>
      </c>
      <c r="EQ470" s="28" t="n">
        <f aca="false">IF(ISNUMBER(AH470),AH470*DA470,0)</f>
        <v>0</v>
      </c>
      <c r="ER470" s="28" t="n">
        <f aca="false">IF(ISNUMBER(AL470),AL470*DB470,0)</f>
        <v>0</v>
      </c>
      <c r="ES470" s="28" t="n">
        <f aca="false">IF(ISNUMBER(AP470),AP470*DC470,0)</f>
        <v>0</v>
      </c>
      <c r="ET470" s="28" t="n">
        <f aca="false">IF(ISNUMBER(AT470),AT470*DD470,0)</f>
        <v>0</v>
      </c>
      <c r="EU470" s="28" t="n">
        <f aca="false">IF(ISNUMBER(AX470),AX470*DE470,0)</f>
        <v>0</v>
      </c>
      <c r="EV470" s="28" t="n">
        <f aca="false">IF(ISNUMBER(BB470),BB470*DF470,0)</f>
        <v>0</v>
      </c>
      <c r="EW470" s="28" t="n">
        <f aca="false">IF(ISNUMBER(BF470),BF470*DG470,0)</f>
        <v>0</v>
      </c>
      <c r="EX470" s="28" t="n">
        <f aca="false">IF(ISNUMBER(BJ470),BJ470*DH470,0)</f>
        <v>0</v>
      </c>
      <c r="EY470" s="28" t="n">
        <f aca="false">IF(ISNUMBER(BN470),BN470*DI470,0)</f>
        <v>0</v>
      </c>
      <c r="EZ470" s="28" t="n">
        <f aca="false">IF(ISNUMBER(BR470),BR470*DJ470,0)</f>
        <v>0</v>
      </c>
      <c r="FA470" s="28" t="n">
        <f aca="false">IF(ISNUMBER(R470),CW470,0)</f>
        <v>0</v>
      </c>
      <c r="FB470" s="28" t="n">
        <f aca="false">IF(ISNUMBER(V470),CX470,0)</f>
        <v>0</v>
      </c>
      <c r="FC470" s="28" t="n">
        <f aca="false">IF(ISNUMBER(Z470),CY470,0)</f>
        <v>0</v>
      </c>
      <c r="FD470" s="28" t="n">
        <f aca="false">IF(ISNUMBER(AD470),CZ470,0)</f>
        <v>0</v>
      </c>
      <c r="FE470" s="28" t="n">
        <f aca="false">IF(ISNUMBER(AH470),DA470,0)</f>
        <v>0</v>
      </c>
      <c r="FF470" s="28" t="n">
        <f aca="false">IF(ISNUMBER(AL470),DB470,0)</f>
        <v>0</v>
      </c>
      <c r="FG470" s="28" t="n">
        <f aca="false">IF(ISNUMBER(AP470),DC470,0)</f>
        <v>0</v>
      </c>
      <c r="FH470" s="28" t="n">
        <f aca="false">IF(ISNUMBER(AT470),DD470,0)</f>
        <v>0</v>
      </c>
      <c r="FI470" s="28" t="n">
        <f aca="false">IF(ISNUMBER(AX470),DE470,0)</f>
        <v>0</v>
      </c>
      <c r="FJ470" s="28" t="n">
        <f aca="false">IF(ISNUMBER(BB470),DF470,0)</f>
        <v>0</v>
      </c>
      <c r="FK470" s="28" t="n">
        <f aca="false">IF(ISNUMBER(BF470),DG470,0)</f>
        <v>0</v>
      </c>
      <c r="FL470" s="28" t="n">
        <f aca="false">IF(ISNUMBER(BJ470),DH470,0)</f>
        <v>0</v>
      </c>
      <c r="FM470" s="28" t="n">
        <f aca="false">IF(ISNUMBER(BN470),DI470,0)</f>
        <v>0</v>
      </c>
      <c r="FN470" s="28" t="n">
        <f aca="false">IF(ISNUMBER(BR470),DJ470,0)</f>
        <v>0</v>
      </c>
      <c r="FO470" s="28" t="str">
        <f aca="false">IFERROR(INDEX(Lists!$G$2:$G$20,MATCH($I470&amp;"|"&amp;$J470,Lists!$F$2:$F$20,0)),"")</f>
        <v/>
      </c>
    </row>
    <row r="471" customFormat="false" ht="19.5" hidden="false" customHeight="true" outlineLevel="0" collapsed="false">
      <c r="A471" s="29"/>
      <c r="B471" s="29"/>
      <c r="C471" s="30"/>
      <c r="D471" s="30"/>
      <c r="E471" s="31"/>
      <c r="F471" s="30"/>
      <c r="G471" s="30"/>
      <c r="H471" s="32"/>
      <c r="I471" s="33"/>
      <c r="J471" s="32"/>
      <c r="K471" s="34" t="str">
        <f aca="false">IF(OR(M471="",$E471=""),"",M471-$E471)</f>
        <v/>
      </c>
      <c r="L471" s="35" t="str">
        <f aca="false">IF(SUM(FA471:FN471)=0,"",SUM(EM471:EZ471)/SUM(FA471:FN471))</f>
        <v/>
      </c>
      <c r="M471" s="36" t="str">
        <f aca="false">IF(OR(L471="",FO471=""),"",IFERROR(MATCH(L471,INDEX(Boundaries!$B$2:$I$30,MATCH(FO471,Boundaries!$A$2:$A$30,0),0),1)-1,""))</f>
        <v/>
      </c>
      <c r="N471" s="37" t="str">
        <f aca="false">IF(COUNT($DY471:$EL471)&lt;2,"",INDEX($DK471:$DX471,MAX($DY471:$EL471))-INDEX($DK471:$DX471,MIN($DY471:$EL471)))</f>
        <v/>
      </c>
      <c r="O471" s="37" t="str">
        <f aca="false">IF(COUNT($DY471:$EL471)&lt;2,"",INDEX($DK471:$DX471,MAX($DY471:$EL471))-INDEX($DK471:$DX471,LARGE($DY471:$EL471,2)))</f>
        <v/>
      </c>
      <c r="P471" s="38" t="str">
        <f aca="false">IF(K471="","",IF(K471&gt;=0,"On/above target",IF(AND(N471&lt;&gt;"",N471&gt;=0.5),"Improving towards target",IF(AND(O471&lt;&gt;"",O471&lt;=-0.5),"Declining","Stable below target"))))</f>
        <v/>
      </c>
      <c r="Q471" s="39"/>
      <c r="R471" s="40" t="str">
        <f aca="false">IF(OR(Q471="",BU471=""),"",Q471/BU471*100)</f>
        <v/>
      </c>
      <c r="S471" s="41" t="str">
        <f aca="false">IF(R471="","",IFERROR(MATCH(R471,INDEX(Boundaries!$B$2:$I$30,MATCH(CI471,Boundaries!$A$2:$A$30,0),0),1)-1,""))</f>
        <v/>
      </c>
      <c r="T471" s="42" t="str">
        <f aca="false">IF(OR(S471="",$E471=""),"",S471-$E471)</f>
        <v/>
      </c>
      <c r="U471" s="39"/>
      <c r="V471" s="40" t="str">
        <f aca="false">IF(OR(U471="",BV471=""),"",U471/BV471*100)</f>
        <v/>
      </c>
      <c r="W471" s="41" t="str">
        <f aca="false">IF(V471="","",IFERROR(MATCH(V471,INDEX(Boundaries!$B$2:$I$30,MATCH(CJ471,Boundaries!$A$2:$A$30,0),0),1)-1,""))</f>
        <v/>
      </c>
      <c r="X471" s="42" t="str">
        <f aca="false">IF(OR(W471="",$E471=""),"",W471-$E471)</f>
        <v/>
      </c>
      <c r="Y471" s="39"/>
      <c r="Z471" s="40" t="str">
        <f aca="false">IF(OR(Y471="",BW471=""),"",Y471/BW471*100)</f>
        <v/>
      </c>
      <c r="AA471" s="41" t="str">
        <f aca="false">IF(Z471="","",IFERROR(MATCH(Z471,INDEX(Boundaries!$B$2:$I$30,MATCH(CK471,Boundaries!$A$2:$A$30,0),0),1)-1,""))</f>
        <v/>
      </c>
      <c r="AB471" s="42" t="str">
        <f aca="false">IF(OR(AA471="",$E471=""),"",AA471-$E471)</f>
        <v/>
      </c>
      <c r="AC471" s="39"/>
      <c r="AD471" s="40" t="str">
        <f aca="false">IF(OR(AC471="",BX471=""),"",AC471/BX471*100)</f>
        <v/>
      </c>
      <c r="AE471" s="41" t="str">
        <f aca="false">IF(AD471="","",IFERROR(MATCH(AD471,INDEX(Boundaries!$B$2:$I$30,MATCH(CL471,Boundaries!$A$2:$A$30,0),0),1)-1,""))</f>
        <v/>
      </c>
      <c r="AF471" s="42" t="str">
        <f aca="false">IF(OR(AE471="",$E471=""),"",AE471-$E471)</f>
        <v/>
      </c>
      <c r="AG471" s="39"/>
      <c r="AH471" s="40" t="str">
        <f aca="false">IF(OR(AG471="",BY471=""),"",AG471/BY471*100)</f>
        <v/>
      </c>
      <c r="AI471" s="41" t="str">
        <f aca="false">IF(AH471="","",IFERROR(MATCH(AH471,INDEX(Boundaries!$B$2:$I$30,MATCH(CM471,Boundaries!$A$2:$A$30,0),0),1)-1,""))</f>
        <v/>
      </c>
      <c r="AJ471" s="42" t="str">
        <f aca="false">IF(OR(AI471="",$E471=""),"",AI471-$E471)</f>
        <v/>
      </c>
      <c r="AK471" s="39"/>
      <c r="AL471" s="40" t="str">
        <f aca="false">IF(OR(AK471="",BZ471=""),"",AK471/BZ471*100)</f>
        <v/>
      </c>
      <c r="AM471" s="41" t="str">
        <f aca="false">IF(AL471="","",IFERROR(MATCH(AL471,INDEX(Boundaries!$B$2:$I$30,MATCH(CN471,Boundaries!$A$2:$A$30,0),0),1)-1,""))</f>
        <v/>
      </c>
      <c r="AN471" s="42" t="str">
        <f aca="false">IF(OR(AM471="",$E471=""),"",AM471-$E471)</f>
        <v/>
      </c>
      <c r="AO471" s="39"/>
      <c r="AP471" s="40" t="str">
        <f aca="false">IF(OR(AO471="",CA471=""),"",AO471/CA471*100)</f>
        <v/>
      </c>
      <c r="AQ471" s="41" t="str">
        <f aca="false">IF(AP471="","",IFERROR(MATCH(AP471,INDEX(Boundaries!$B$2:$I$30,MATCH(CO471,Boundaries!$A$2:$A$30,0),0),1)-1,""))</f>
        <v/>
      </c>
      <c r="AR471" s="42" t="str">
        <f aca="false">IF(OR(AQ471="",$E471=""),"",AQ471-$E471)</f>
        <v/>
      </c>
      <c r="AS471" s="39"/>
      <c r="AT471" s="40" t="str">
        <f aca="false">IF(OR(AS471="",CB471=""),"",AS471/CB471*100)</f>
        <v/>
      </c>
      <c r="AU471" s="41" t="str">
        <f aca="false">IF(AT471="","",IFERROR(MATCH(AT471,INDEX(Boundaries!$B$2:$I$30,MATCH(CP471,Boundaries!$A$2:$A$30,0),0),1)-1,""))</f>
        <v/>
      </c>
      <c r="AV471" s="42" t="str">
        <f aca="false">IF(OR(AU471="",$E471=""),"",AU471-$E471)</f>
        <v/>
      </c>
      <c r="AW471" s="39"/>
      <c r="AX471" s="40" t="str">
        <f aca="false">IF(OR(AW471="",CC471=""),"",AW471/CC471*100)</f>
        <v/>
      </c>
      <c r="AY471" s="41" t="str">
        <f aca="false">IF(AX471="","",IFERROR(MATCH(AX471,INDEX(Boundaries!$B$2:$I$30,MATCH(CQ471,Boundaries!$A$2:$A$30,0),0),1)-1,""))</f>
        <v/>
      </c>
      <c r="AZ471" s="42" t="str">
        <f aca="false">IF(OR(AY471="",$E471=""),"",AY471-$E471)</f>
        <v/>
      </c>
      <c r="BA471" s="39"/>
      <c r="BB471" s="40" t="str">
        <f aca="false">IF(OR(BA471="",CD471=""),"",BA471/CD471*100)</f>
        <v/>
      </c>
      <c r="BC471" s="41" t="str">
        <f aca="false">IF(BB471="","",IFERROR(MATCH(BB471,INDEX(Boundaries!$B$2:$I$30,MATCH(CR471,Boundaries!$A$2:$A$30,0),0),1)-1,""))</f>
        <v/>
      </c>
      <c r="BD471" s="42" t="str">
        <f aca="false">IF(OR(BC471="",$E471=""),"",BC471-$E471)</f>
        <v/>
      </c>
      <c r="BE471" s="39"/>
      <c r="BF471" s="40" t="str">
        <f aca="false">IF(OR(BE471="",CE471=""),"",BE471/CE471*100)</f>
        <v/>
      </c>
      <c r="BG471" s="41" t="str">
        <f aca="false">IF(BF471="","",IFERROR(MATCH(BF471,INDEX(Boundaries!$B$2:$I$30,MATCH(CS471,Boundaries!$A$2:$A$30,0),0),1)-1,""))</f>
        <v/>
      </c>
      <c r="BH471" s="42" t="str">
        <f aca="false">IF(OR(BG471="",$E471=""),"",BG471-$E471)</f>
        <v/>
      </c>
      <c r="BI471" s="39"/>
      <c r="BJ471" s="40" t="str">
        <f aca="false">IF(OR(BI471="",CF471=""),"",BI471/CF471*100)</f>
        <v/>
      </c>
      <c r="BK471" s="41" t="str">
        <f aca="false">IF(BJ471="","",IFERROR(MATCH(BJ471,INDEX(Boundaries!$B$2:$I$30,MATCH(CT471,Boundaries!$A$2:$A$30,0),0),1)-1,""))</f>
        <v/>
      </c>
      <c r="BL471" s="42" t="str">
        <f aca="false">IF(OR(BK471="",$E471=""),"",BK471-$E471)</f>
        <v/>
      </c>
      <c r="BM471" s="39"/>
      <c r="BN471" s="40" t="str">
        <f aca="false">IF(OR(BM471="",CG471=""),"",BM471/CG471*100)</f>
        <v/>
      </c>
      <c r="BO471" s="41" t="str">
        <f aca="false">IF(BN471="","",IFERROR(MATCH(BN471,INDEX(Boundaries!$B$2:$I$30,MATCH(CU471,Boundaries!$A$2:$A$30,0),0),1)-1,""))</f>
        <v/>
      </c>
      <c r="BP471" s="42" t="str">
        <f aca="false">IF(OR(BO471="",$E471=""),"",BO471-$E471)</f>
        <v/>
      </c>
      <c r="BQ471" s="39"/>
      <c r="BR471" s="40" t="str">
        <f aca="false">IF(OR(BQ471="",CH471=""),"",BQ471/CH471*100)</f>
        <v/>
      </c>
      <c r="BS471" s="41" t="str">
        <f aca="false">IF(BR471="","",IFERROR(MATCH(BR471,INDEX(Boundaries!$B$2:$I$30,MATCH(CV471,Boundaries!$A$2:$A$30,0),0),1)-1,""))</f>
        <v/>
      </c>
      <c r="BT471" s="42" t="str">
        <f aca="false">IF(OR(BS471="",$E471=""),"",BS471-$E471)</f>
        <v/>
      </c>
      <c r="BU471" s="28" t="str">
        <f aca="false">IFERROR(INDEX(Assessments!$H$2:$H$600,MATCH($H471&amp;"|"&amp;$I471&amp;"|"&amp;$J471&amp;"|"&amp;1,Assessments!$A$2:$A$600,0)),"")</f>
        <v/>
      </c>
      <c r="BV471" s="28" t="str">
        <f aca="false">IFERROR(INDEX(Assessments!$H$2:$H$600,MATCH($H471&amp;"|"&amp;$I471&amp;"|"&amp;$J471&amp;"|"&amp;2,Assessments!$A$2:$A$600,0)),"")</f>
        <v/>
      </c>
      <c r="BW471" s="28" t="str">
        <f aca="false">IFERROR(INDEX(Assessments!$H$2:$H$600,MATCH($H471&amp;"|"&amp;$I471&amp;"|"&amp;$J471&amp;"|"&amp;3,Assessments!$A$2:$A$600,0)),"")</f>
        <v/>
      </c>
      <c r="BX471" s="28" t="str">
        <f aca="false">IFERROR(INDEX(Assessments!$H$2:$H$600,MATCH($H471&amp;"|"&amp;$I471&amp;"|"&amp;$J471&amp;"|"&amp;4,Assessments!$A$2:$A$600,0)),"")</f>
        <v/>
      </c>
      <c r="BY471" s="28" t="str">
        <f aca="false">IFERROR(INDEX(Assessments!$H$2:$H$600,MATCH($H471&amp;"|"&amp;$I471&amp;"|"&amp;$J471&amp;"|"&amp;5,Assessments!$A$2:$A$600,0)),"")</f>
        <v/>
      </c>
      <c r="BZ471" s="28" t="str">
        <f aca="false">IFERROR(INDEX(Assessments!$H$2:$H$600,MATCH($H471&amp;"|"&amp;$I471&amp;"|"&amp;$J471&amp;"|"&amp;6,Assessments!$A$2:$A$600,0)),"")</f>
        <v/>
      </c>
      <c r="CA471" s="28" t="str">
        <f aca="false">IFERROR(INDEX(Assessments!$H$2:$H$600,MATCH($H471&amp;"|"&amp;$I471&amp;"|"&amp;$J471&amp;"|"&amp;7,Assessments!$A$2:$A$600,0)),"")</f>
        <v/>
      </c>
      <c r="CB471" s="28" t="str">
        <f aca="false">IFERROR(INDEX(Assessments!$H$2:$H$600,MATCH($H471&amp;"|"&amp;$I471&amp;"|"&amp;$J471&amp;"|"&amp;8,Assessments!$A$2:$A$600,0)),"")</f>
        <v/>
      </c>
      <c r="CC471" s="28" t="str">
        <f aca="false">IFERROR(INDEX(Assessments!$H$2:$H$600,MATCH($H471&amp;"|"&amp;$I471&amp;"|"&amp;$J471&amp;"|"&amp;9,Assessments!$A$2:$A$600,0)),"")</f>
        <v/>
      </c>
      <c r="CD471" s="28" t="str">
        <f aca="false">IFERROR(INDEX(Assessments!$H$2:$H$600,MATCH($H471&amp;"|"&amp;$I471&amp;"|"&amp;$J471&amp;"|"&amp;10,Assessments!$A$2:$A$600,0)),"")</f>
        <v/>
      </c>
      <c r="CE471" s="28" t="str">
        <f aca="false">IFERROR(INDEX(Assessments!$H$2:$H$600,MATCH($H471&amp;"|"&amp;$I471&amp;"|"&amp;$J471&amp;"|"&amp;11,Assessments!$A$2:$A$600,0)),"")</f>
        <v/>
      </c>
      <c r="CF471" s="28" t="str">
        <f aca="false">IFERROR(INDEX(Assessments!$H$2:$H$600,MATCH($H471&amp;"|"&amp;$I471&amp;"|"&amp;$J471&amp;"|"&amp;12,Assessments!$A$2:$A$600,0)),"")</f>
        <v/>
      </c>
      <c r="CG471" s="28" t="str">
        <f aca="false">IFERROR(INDEX(Assessments!$H$2:$H$600,MATCH($H471&amp;"|"&amp;$I471&amp;"|"&amp;$J471&amp;"|"&amp;13,Assessments!$A$2:$A$600,0)),"")</f>
        <v/>
      </c>
      <c r="CH471" s="28" t="str">
        <f aca="false">IFERROR(INDEX(Assessments!$H$2:$H$600,MATCH($H471&amp;"|"&amp;$I471&amp;"|"&amp;$J471&amp;"|"&amp;14,Assessments!$A$2:$A$600,0)),"")</f>
        <v/>
      </c>
      <c r="CI471" s="28" t="str">
        <f aca="false">IFERROR(INDEX(Assessments!$I$2:$I$600,MATCH($H471&amp;"|"&amp;$I471&amp;"|"&amp;$J471&amp;"|"&amp;1,Assessments!$A$2:$A$600,0)),"")</f>
        <v/>
      </c>
      <c r="CJ471" s="28" t="str">
        <f aca="false">IFERROR(INDEX(Assessments!$I$2:$I$600,MATCH($H471&amp;"|"&amp;$I471&amp;"|"&amp;$J471&amp;"|"&amp;2,Assessments!$A$2:$A$600,0)),"")</f>
        <v/>
      </c>
      <c r="CK471" s="28" t="str">
        <f aca="false">IFERROR(INDEX(Assessments!$I$2:$I$600,MATCH($H471&amp;"|"&amp;$I471&amp;"|"&amp;$J471&amp;"|"&amp;3,Assessments!$A$2:$A$600,0)),"")</f>
        <v/>
      </c>
      <c r="CL471" s="28" t="str">
        <f aca="false">IFERROR(INDEX(Assessments!$I$2:$I$600,MATCH($H471&amp;"|"&amp;$I471&amp;"|"&amp;$J471&amp;"|"&amp;4,Assessments!$A$2:$A$600,0)),"")</f>
        <v/>
      </c>
      <c r="CM471" s="28" t="str">
        <f aca="false">IFERROR(INDEX(Assessments!$I$2:$I$600,MATCH($H471&amp;"|"&amp;$I471&amp;"|"&amp;$J471&amp;"|"&amp;5,Assessments!$A$2:$A$600,0)),"")</f>
        <v/>
      </c>
      <c r="CN471" s="28" t="str">
        <f aca="false">IFERROR(INDEX(Assessments!$I$2:$I$600,MATCH($H471&amp;"|"&amp;$I471&amp;"|"&amp;$J471&amp;"|"&amp;6,Assessments!$A$2:$A$600,0)),"")</f>
        <v/>
      </c>
      <c r="CO471" s="28" t="str">
        <f aca="false">IFERROR(INDEX(Assessments!$I$2:$I$600,MATCH($H471&amp;"|"&amp;$I471&amp;"|"&amp;$J471&amp;"|"&amp;7,Assessments!$A$2:$A$600,0)),"")</f>
        <v/>
      </c>
      <c r="CP471" s="28" t="str">
        <f aca="false">IFERROR(INDEX(Assessments!$I$2:$I$600,MATCH($H471&amp;"|"&amp;$I471&amp;"|"&amp;$J471&amp;"|"&amp;8,Assessments!$A$2:$A$600,0)),"")</f>
        <v/>
      </c>
      <c r="CQ471" s="28" t="str">
        <f aca="false">IFERROR(INDEX(Assessments!$I$2:$I$600,MATCH($H471&amp;"|"&amp;$I471&amp;"|"&amp;$J471&amp;"|"&amp;9,Assessments!$A$2:$A$600,0)),"")</f>
        <v/>
      </c>
      <c r="CR471" s="28" t="str">
        <f aca="false">IFERROR(INDEX(Assessments!$I$2:$I$600,MATCH($H471&amp;"|"&amp;$I471&amp;"|"&amp;$J471&amp;"|"&amp;10,Assessments!$A$2:$A$600,0)),"")</f>
        <v/>
      </c>
      <c r="CS471" s="28" t="str">
        <f aca="false">IFERROR(INDEX(Assessments!$I$2:$I$600,MATCH($H471&amp;"|"&amp;$I471&amp;"|"&amp;$J471&amp;"|"&amp;11,Assessments!$A$2:$A$600,0)),"")</f>
        <v/>
      </c>
      <c r="CT471" s="28" t="str">
        <f aca="false">IFERROR(INDEX(Assessments!$I$2:$I$600,MATCH($H471&amp;"|"&amp;$I471&amp;"|"&amp;$J471&amp;"|"&amp;12,Assessments!$A$2:$A$600,0)),"")</f>
        <v/>
      </c>
      <c r="CU471" s="28" t="str">
        <f aca="false">IFERROR(INDEX(Assessments!$I$2:$I$600,MATCH($H471&amp;"|"&amp;$I471&amp;"|"&amp;$J471&amp;"|"&amp;13,Assessments!$A$2:$A$600,0)),"")</f>
        <v/>
      </c>
      <c r="CV471" s="28" t="str">
        <f aca="false">IFERROR(INDEX(Assessments!$I$2:$I$600,MATCH($H471&amp;"|"&amp;$I471&amp;"|"&amp;$J471&amp;"|"&amp;14,Assessments!$A$2:$A$600,0)),"")</f>
        <v/>
      </c>
      <c r="CW471" s="28" t="n">
        <f aca="false">IFERROR(INDEX(Assessments!$J$2:$J$600,MATCH($H471&amp;"|"&amp;$I471&amp;"|"&amp;$J471&amp;"|"&amp;1,Assessments!$A$2:$A$600,0)),0)</f>
        <v>0</v>
      </c>
      <c r="CX471" s="28" t="n">
        <f aca="false">IFERROR(INDEX(Assessments!$J$2:$J$600,MATCH($H471&amp;"|"&amp;$I471&amp;"|"&amp;$J471&amp;"|"&amp;2,Assessments!$A$2:$A$600,0)),0)</f>
        <v>0</v>
      </c>
      <c r="CY471" s="28" t="n">
        <f aca="false">IFERROR(INDEX(Assessments!$J$2:$J$600,MATCH($H471&amp;"|"&amp;$I471&amp;"|"&amp;$J471&amp;"|"&amp;3,Assessments!$A$2:$A$600,0)),0)</f>
        <v>0</v>
      </c>
      <c r="CZ471" s="28" t="n">
        <f aca="false">IFERROR(INDEX(Assessments!$J$2:$J$600,MATCH($H471&amp;"|"&amp;$I471&amp;"|"&amp;$J471&amp;"|"&amp;4,Assessments!$A$2:$A$600,0)),0)</f>
        <v>0</v>
      </c>
      <c r="DA471" s="28" t="n">
        <f aca="false">IFERROR(INDEX(Assessments!$J$2:$J$600,MATCH($H471&amp;"|"&amp;$I471&amp;"|"&amp;$J471&amp;"|"&amp;5,Assessments!$A$2:$A$600,0)),0)</f>
        <v>0</v>
      </c>
      <c r="DB471" s="28" t="n">
        <f aca="false">IFERROR(INDEX(Assessments!$J$2:$J$600,MATCH($H471&amp;"|"&amp;$I471&amp;"|"&amp;$J471&amp;"|"&amp;6,Assessments!$A$2:$A$600,0)),0)</f>
        <v>0</v>
      </c>
      <c r="DC471" s="28" t="n">
        <f aca="false">IFERROR(INDEX(Assessments!$J$2:$J$600,MATCH($H471&amp;"|"&amp;$I471&amp;"|"&amp;$J471&amp;"|"&amp;7,Assessments!$A$2:$A$600,0)),0)</f>
        <v>0</v>
      </c>
      <c r="DD471" s="28" t="n">
        <f aca="false">IFERROR(INDEX(Assessments!$J$2:$J$600,MATCH($H471&amp;"|"&amp;$I471&amp;"|"&amp;$J471&amp;"|"&amp;8,Assessments!$A$2:$A$600,0)),0)</f>
        <v>0</v>
      </c>
      <c r="DE471" s="28" t="n">
        <f aca="false">IFERROR(INDEX(Assessments!$J$2:$J$600,MATCH($H471&amp;"|"&amp;$I471&amp;"|"&amp;$J471&amp;"|"&amp;9,Assessments!$A$2:$A$600,0)),0)</f>
        <v>0</v>
      </c>
      <c r="DF471" s="28" t="n">
        <f aca="false">IFERROR(INDEX(Assessments!$J$2:$J$600,MATCH($H471&amp;"|"&amp;$I471&amp;"|"&amp;$J471&amp;"|"&amp;10,Assessments!$A$2:$A$600,0)),0)</f>
        <v>0</v>
      </c>
      <c r="DG471" s="28" t="n">
        <f aca="false">IFERROR(INDEX(Assessments!$J$2:$J$600,MATCH($H471&amp;"|"&amp;$I471&amp;"|"&amp;$J471&amp;"|"&amp;11,Assessments!$A$2:$A$600,0)),0)</f>
        <v>0</v>
      </c>
      <c r="DH471" s="28" t="n">
        <f aca="false">IFERROR(INDEX(Assessments!$J$2:$J$600,MATCH($H471&amp;"|"&amp;$I471&amp;"|"&amp;$J471&amp;"|"&amp;12,Assessments!$A$2:$A$600,0)),0)</f>
        <v>0</v>
      </c>
      <c r="DI471" s="28" t="n">
        <f aca="false">IFERROR(INDEX(Assessments!$J$2:$J$600,MATCH($H471&amp;"|"&amp;$I471&amp;"|"&amp;$J471&amp;"|"&amp;13,Assessments!$A$2:$A$600,0)),0)</f>
        <v>0</v>
      </c>
      <c r="DJ471" s="28" t="n">
        <f aca="false">IFERROR(INDEX(Assessments!$J$2:$J$600,MATCH($H471&amp;"|"&amp;$I471&amp;"|"&amp;$J471&amp;"|"&amp;14,Assessments!$A$2:$A$600,0)),0)</f>
        <v>0</v>
      </c>
      <c r="DK471" s="28" t="str">
        <f aca="false">S471</f>
        <v/>
      </c>
      <c r="DL471" s="28" t="str">
        <f aca="false">W471</f>
        <v/>
      </c>
      <c r="DM471" s="28" t="str">
        <f aca="false">AA471</f>
        <v/>
      </c>
      <c r="DN471" s="28" t="str">
        <f aca="false">AE471</f>
        <v/>
      </c>
      <c r="DO471" s="28" t="str">
        <f aca="false">AI471</f>
        <v/>
      </c>
      <c r="DP471" s="28" t="str">
        <f aca="false">AM471</f>
        <v/>
      </c>
      <c r="DQ471" s="28" t="str">
        <f aca="false">AQ471</f>
        <v/>
      </c>
      <c r="DR471" s="28" t="str">
        <f aca="false">AU471</f>
        <v/>
      </c>
      <c r="DS471" s="28" t="str">
        <f aca="false">AY471</f>
        <v/>
      </c>
      <c r="DT471" s="28" t="str">
        <f aca="false">BC471</f>
        <v/>
      </c>
      <c r="DU471" s="28" t="str">
        <f aca="false">BG471</f>
        <v/>
      </c>
      <c r="DV471" s="28" t="str">
        <f aca="false">BK471</f>
        <v/>
      </c>
      <c r="DW471" s="28" t="str">
        <f aca="false">BO471</f>
        <v/>
      </c>
      <c r="DX471" s="28" t="str">
        <f aca="false">BS471</f>
        <v/>
      </c>
      <c r="DY471" s="28" t="str">
        <f aca="false">IF(ISNUMBER(S471),1,"")</f>
        <v/>
      </c>
      <c r="DZ471" s="28" t="str">
        <f aca="false">IF(ISNUMBER(W471),2,"")</f>
        <v/>
      </c>
      <c r="EA471" s="28" t="str">
        <f aca="false">IF(ISNUMBER(AA471),3,"")</f>
        <v/>
      </c>
      <c r="EB471" s="28" t="str">
        <f aca="false">IF(ISNUMBER(AE471),4,"")</f>
        <v/>
      </c>
      <c r="EC471" s="28" t="str">
        <f aca="false">IF(ISNUMBER(AI471),5,"")</f>
        <v/>
      </c>
      <c r="ED471" s="28" t="str">
        <f aca="false">IF(ISNUMBER(AM471),6,"")</f>
        <v/>
      </c>
      <c r="EE471" s="28" t="str">
        <f aca="false">IF(ISNUMBER(AQ471),7,"")</f>
        <v/>
      </c>
      <c r="EF471" s="28" t="str">
        <f aca="false">IF(ISNUMBER(AU471),8,"")</f>
        <v/>
      </c>
      <c r="EG471" s="28" t="str">
        <f aca="false">IF(ISNUMBER(AY471),9,"")</f>
        <v/>
      </c>
      <c r="EH471" s="28" t="str">
        <f aca="false">IF(ISNUMBER(BC471),10,"")</f>
        <v/>
      </c>
      <c r="EI471" s="28" t="str">
        <f aca="false">IF(ISNUMBER(BG471),11,"")</f>
        <v/>
      </c>
      <c r="EJ471" s="28" t="str">
        <f aca="false">IF(ISNUMBER(BK471),12,"")</f>
        <v/>
      </c>
      <c r="EK471" s="28" t="str">
        <f aca="false">IF(ISNUMBER(BO471),13,"")</f>
        <v/>
      </c>
      <c r="EL471" s="28" t="str">
        <f aca="false">IF(ISNUMBER(BS471),14,"")</f>
        <v/>
      </c>
      <c r="EM471" s="28" t="n">
        <f aca="false">IF(ISNUMBER(R471),R471*CW471,0)</f>
        <v>0</v>
      </c>
      <c r="EN471" s="28" t="n">
        <f aca="false">IF(ISNUMBER(V471),V471*CX471,0)</f>
        <v>0</v>
      </c>
      <c r="EO471" s="28" t="n">
        <f aca="false">IF(ISNUMBER(Z471),Z471*CY471,0)</f>
        <v>0</v>
      </c>
      <c r="EP471" s="28" t="n">
        <f aca="false">IF(ISNUMBER(AD471),AD471*CZ471,0)</f>
        <v>0</v>
      </c>
      <c r="EQ471" s="28" t="n">
        <f aca="false">IF(ISNUMBER(AH471),AH471*DA471,0)</f>
        <v>0</v>
      </c>
      <c r="ER471" s="28" t="n">
        <f aca="false">IF(ISNUMBER(AL471),AL471*DB471,0)</f>
        <v>0</v>
      </c>
      <c r="ES471" s="28" t="n">
        <f aca="false">IF(ISNUMBER(AP471),AP471*DC471,0)</f>
        <v>0</v>
      </c>
      <c r="ET471" s="28" t="n">
        <f aca="false">IF(ISNUMBER(AT471),AT471*DD471,0)</f>
        <v>0</v>
      </c>
      <c r="EU471" s="28" t="n">
        <f aca="false">IF(ISNUMBER(AX471),AX471*DE471,0)</f>
        <v>0</v>
      </c>
      <c r="EV471" s="28" t="n">
        <f aca="false">IF(ISNUMBER(BB471),BB471*DF471,0)</f>
        <v>0</v>
      </c>
      <c r="EW471" s="28" t="n">
        <f aca="false">IF(ISNUMBER(BF471),BF471*DG471,0)</f>
        <v>0</v>
      </c>
      <c r="EX471" s="28" t="n">
        <f aca="false">IF(ISNUMBER(BJ471),BJ471*DH471,0)</f>
        <v>0</v>
      </c>
      <c r="EY471" s="28" t="n">
        <f aca="false">IF(ISNUMBER(BN471),BN471*DI471,0)</f>
        <v>0</v>
      </c>
      <c r="EZ471" s="28" t="n">
        <f aca="false">IF(ISNUMBER(BR471),BR471*DJ471,0)</f>
        <v>0</v>
      </c>
      <c r="FA471" s="28" t="n">
        <f aca="false">IF(ISNUMBER(R471),CW471,0)</f>
        <v>0</v>
      </c>
      <c r="FB471" s="28" t="n">
        <f aca="false">IF(ISNUMBER(V471),CX471,0)</f>
        <v>0</v>
      </c>
      <c r="FC471" s="28" t="n">
        <f aca="false">IF(ISNUMBER(Z471),CY471,0)</f>
        <v>0</v>
      </c>
      <c r="FD471" s="28" t="n">
        <f aca="false">IF(ISNUMBER(AD471),CZ471,0)</f>
        <v>0</v>
      </c>
      <c r="FE471" s="28" t="n">
        <f aca="false">IF(ISNUMBER(AH471),DA471,0)</f>
        <v>0</v>
      </c>
      <c r="FF471" s="28" t="n">
        <f aca="false">IF(ISNUMBER(AL471),DB471,0)</f>
        <v>0</v>
      </c>
      <c r="FG471" s="28" t="n">
        <f aca="false">IF(ISNUMBER(AP471),DC471,0)</f>
        <v>0</v>
      </c>
      <c r="FH471" s="28" t="n">
        <f aca="false">IF(ISNUMBER(AT471),DD471,0)</f>
        <v>0</v>
      </c>
      <c r="FI471" s="28" t="n">
        <f aca="false">IF(ISNUMBER(AX471),DE471,0)</f>
        <v>0</v>
      </c>
      <c r="FJ471" s="28" t="n">
        <f aca="false">IF(ISNUMBER(BB471),DF471,0)</f>
        <v>0</v>
      </c>
      <c r="FK471" s="28" t="n">
        <f aca="false">IF(ISNUMBER(BF471),DG471,0)</f>
        <v>0</v>
      </c>
      <c r="FL471" s="28" t="n">
        <f aca="false">IF(ISNUMBER(BJ471),DH471,0)</f>
        <v>0</v>
      </c>
      <c r="FM471" s="28" t="n">
        <f aca="false">IF(ISNUMBER(BN471),DI471,0)</f>
        <v>0</v>
      </c>
      <c r="FN471" s="28" t="n">
        <f aca="false">IF(ISNUMBER(BR471),DJ471,0)</f>
        <v>0</v>
      </c>
      <c r="FO471" s="28" t="str">
        <f aca="false">IFERROR(INDEX(Lists!$G$2:$G$20,MATCH($I471&amp;"|"&amp;$J471,Lists!$F$2:$F$20,0)),"")</f>
        <v/>
      </c>
    </row>
    <row r="472" customFormat="false" ht="19.5" hidden="false" customHeight="true" outlineLevel="0" collapsed="false">
      <c r="A472" s="29"/>
      <c r="B472" s="29"/>
      <c r="C472" s="30"/>
      <c r="D472" s="30"/>
      <c r="E472" s="31"/>
      <c r="F472" s="30"/>
      <c r="G472" s="30"/>
      <c r="H472" s="32"/>
      <c r="I472" s="33"/>
      <c r="J472" s="32"/>
      <c r="K472" s="34" t="str">
        <f aca="false">IF(OR(M472="",$E472=""),"",M472-$E472)</f>
        <v/>
      </c>
      <c r="L472" s="35" t="str">
        <f aca="false">IF(SUM(FA472:FN472)=0,"",SUM(EM472:EZ472)/SUM(FA472:FN472))</f>
        <v/>
      </c>
      <c r="M472" s="36" t="str">
        <f aca="false">IF(OR(L472="",FO472=""),"",IFERROR(MATCH(L472,INDEX(Boundaries!$B$2:$I$30,MATCH(FO472,Boundaries!$A$2:$A$30,0),0),1)-1,""))</f>
        <v/>
      </c>
      <c r="N472" s="37" t="str">
        <f aca="false">IF(COUNT($DY472:$EL472)&lt;2,"",INDEX($DK472:$DX472,MAX($DY472:$EL472))-INDEX($DK472:$DX472,MIN($DY472:$EL472)))</f>
        <v/>
      </c>
      <c r="O472" s="37" t="str">
        <f aca="false">IF(COUNT($DY472:$EL472)&lt;2,"",INDEX($DK472:$DX472,MAX($DY472:$EL472))-INDEX($DK472:$DX472,LARGE($DY472:$EL472,2)))</f>
        <v/>
      </c>
      <c r="P472" s="38" t="str">
        <f aca="false">IF(K472="","",IF(K472&gt;=0,"On/above target",IF(AND(N472&lt;&gt;"",N472&gt;=0.5),"Improving towards target",IF(AND(O472&lt;&gt;"",O472&lt;=-0.5),"Declining","Stable below target"))))</f>
        <v/>
      </c>
      <c r="Q472" s="39"/>
      <c r="R472" s="40" t="str">
        <f aca="false">IF(OR(Q472="",BU472=""),"",Q472/BU472*100)</f>
        <v/>
      </c>
      <c r="S472" s="41" t="str">
        <f aca="false">IF(R472="","",IFERROR(MATCH(R472,INDEX(Boundaries!$B$2:$I$30,MATCH(CI472,Boundaries!$A$2:$A$30,0),0),1)-1,""))</f>
        <v/>
      </c>
      <c r="T472" s="42" t="str">
        <f aca="false">IF(OR(S472="",$E472=""),"",S472-$E472)</f>
        <v/>
      </c>
      <c r="U472" s="39"/>
      <c r="V472" s="40" t="str">
        <f aca="false">IF(OR(U472="",BV472=""),"",U472/BV472*100)</f>
        <v/>
      </c>
      <c r="W472" s="41" t="str">
        <f aca="false">IF(V472="","",IFERROR(MATCH(V472,INDEX(Boundaries!$B$2:$I$30,MATCH(CJ472,Boundaries!$A$2:$A$30,0),0),1)-1,""))</f>
        <v/>
      </c>
      <c r="X472" s="42" t="str">
        <f aca="false">IF(OR(W472="",$E472=""),"",W472-$E472)</f>
        <v/>
      </c>
      <c r="Y472" s="39"/>
      <c r="Z472" s="40" t="str">
        <f aca="false">IF(OR(Y472="",BW472=""),"",Y472/BW472*100)</f>
        <v/>
      </c>
      <c r="AA472" s="41" t="str">
        <f aca="false">IF(Z472="","",IFERROR(MATCH(Z472,INDEX(Boundaries!$B$2:$I$30,MATCH(CK472,Boundaries!$A$2:$A$30,0),0),1)-1,""))</f>
        <v/>
      </c>
      <c r="AB472" s="42" t="str">
        <f aca="false">IF(OR(AA472="",$E472=""),"",AA472-$E472)</f>
        <v/>
      </c>
      <c r="AC472" s="39"/>
      <c r="AD472" s="40" t="str">
        <f aca="false">IF(OR(AC472="",BX472=""),"",AC472/BX472*100)</f>
        <v/>
      </c>
      <c r="AE472" s="41" t="str">
        <f aca="false">IF(AD472="","",IFERROR(MATCH(AD472,INDEX(Boundaries!$B$2:$I$30,MATCH(CL472,Boundaries!$A$2:$A$30,0),0),1)-1,""))</f>
        <v/>
      </c>
      <c r="AF472" s="42" t="str">
        <f aca="false">IF(OR(AE472="",$E472=""),"",AE472-$E472)</f>
        <v/>
      </c>
      <c r="AG472" s="39"/>
      <c r="AH472" s="40" t="str">
        <f aca="false">IF(OR(AG472="",BY472=""),"",AG472/BY472*100)</f>
        <v/>
      </c>
      <c r="AI472" s="41" t="str">
        <f aca="false">IF(AH472="","",IFERROR(MATCH(AH472,INDEX(Boundaries!$B$2:$I$30,MATCH(CM472,Boundaries!$A$2:$A$30,0),0),1)-1,""))</f>
        <v/>
      </c>
      <c r="AJ472" s="42" t="str">
        <f aca="false">IF(OR(AI472="",$E472=""),"",AI472-$E472)</f>
        <v/>
      </c>
      <c r="AK472" s="39"/>
      <c r="AL472" s="40" t="str">
        <f aca="false">IF(OR(AK472="",BZ472=""),"",AK472/BZ472*100)</f>
        <v/>
      </c>
      <c r="AM472" s="41" t="str">
        <f aca="false">IF(AL472="","",IFERROR(MATCH(AL472,INDEX(Boundaries!$B$2:$I$30,MATCH(CN472,Boundaries!$A$2:$A$30,0),0),1)-1,""))</f>
        <v/>
      </c>
      <c r="AN472" s="42" t="str">
        <f aca="false">IF(OR(AM472="",$E472=""),"",AM472-$E472)</f>
        <v/>
      </c>
      <c r="AO472" s="39"/>
      <c r="AP472" s="40" t="str">
        <f aca="false">IF(OR(AO472="",CA472=""),"",AO472/CA472*100)</f>
        <v/>
      </c>
      <c r="AQ472" s="41" t="str">
        <f aca="false">IF(AP472="","",IFERROR(MATCH(AP472,INDEX(Boundaries!$B$2:$I$30,MATCH(CO472,Boundaries!$A$2:$A$30,0),0),1)-1,""))</f>
        <v/>
      </c>
      <c r="AR472" s="42" t="str">
        <f aca="false">IF(OR(AQ472="",$E472=""),"",AQ472-$E472)</f>
        <v/>
      </c>
      <c r="AS472" s="39"/>
      <c r="AT472" s="40" t="str">
        <f aca="false">IF(OR(AS472="",CB472=""),"",AS472/CB472*100)</f>
        <v/>
      </c>
      <c r="AU472" s="41" t="str">
        <f aca="false">IF(AT472="","",IFERROR(MATCH(AT472,INDEX(Boundaries!$B$2:$I$30,MATCH(CP472,Boundaries!$A$2:$A$30,0),0),1)-1,""))</f>
        <v/>
      </c>
      <c r="AV472" s="42" t="str">
        <f aca="false">IF(OR(AU472="",$E472=""),"",AU472-$E472)</f>
        <v/>
      </c>
      <c r="AW472" s="39"/>
      <c r="AX472" s="40" t="str">
        <f aca="false">IF(OR(AW472="",CC472=""),"",AW472/CC472*100)</f>
        <v/>
      </c>
      <c r="AY472" s="41" t="str">
        <f aca="false">IF(AX472="","",IFERROR(MATCH(AX472,INDEX(Boundaries!$B$2:$I$30,MATCH(CQ472,Boundaries!$A$2:$A$30,0),0),1)-1,""))</f>
        <v/>
      </c>
      <c r="AZ472" s="42" t="str">
        <f aca="false">IF(OR(AY472="",$E472=""),"",AY472-$E472)</f>
        <v/>
      </c>
      <c r="BA472" s="39"/>
      <c r="BB472" s="40" t="str">
        <f aca="false">IF(OR(BA472="",CD472=""),"",BA472/CD472*100)</f>
        <v/>
      </c>
      <c r="BC472" s="41" t="str">
        <f aca="false">IF(BB472="","",IFERROR(MATCH(BB472,INDEX(Boundaries!$B$2:$I$30,MATCH(CR472,Boundaries!$A$2:$A$30,0),0),1)-1,""))</f>
        <v/>
      </c>
      <c r="BD472" s="42" t="str">
        <f aca="false">IF(OR(BC472="",$E472=""),"",BC472-$E472)</f>
        <v/>
      </c>
      <c r="BE472" s="39"/>
      <c r="BF472" s="40" t="str">
        <f aca="false">IF(OR(BE472="",CE472=""),"",BE472/CE472*100)</f>
        <v/>
      </c>
      <c r="BG472" s="41" t="str">
        <f aca="false">IF(BF472="","",IFERROR(MATCH(BF472,INDEX(Boundaries!$B$2:$I$30,MATCH(CS472,Boundaries!$A$2:$A$30,0),0),1)-1,""))</f>
        <v/>
      </c>
      <c r="BH472" s="42" t="str">
        <f aca="false">IF(OR(BG472="",$E472=""),"",BG472-$E472)</f>
        <v/>
      </c>
      <c r="BI472" s="39"/>
      <c r="BJ472" s="40" t="str">
        <f aca="false">IF(OR(BI472="",CF472=""),"",BI472/CF472*100)</f>
        <v/>
      </c>
      <c r="BK472" s="41" t="str">
        <f aca="false">IF(BJ472="","",IFERROR(MATCH(BJ472,INDEX(Boundaries!$B$2:$I$30,MATCH(CT472,Boundaries!$A$2:$A$30,0),0),1)-1,""))</f>
        <v/>
      </c>
      <c r="BL472" s="42" t="str">
        <f aca="false">IF(OR(BK472="",$E472=""),"",BK472-$E472)</f>
        <v/>
      </c>
      <c r="BM472" s="39"/>
      <c r="BN472" s="40" t="str">
        <f aca="false">IF(OR(BM472="",CG472=""),"",BM472/CG472*100)</f>
        <v/>
      </c>
      <c r="BO472" s="41" t="str">
        <f aca="false">IF(BN472="","",IFERROR(MATCH(BN472,INDEX(Boundaries!$B$2:$I$30,MATCH(CU472,Boundaries!$A$2:$A$30,0),0),1)-1,""))</f>
        <v/>
      </c>
      <c r="BP472" s="42" t="str">
        <f aca="false">IF(OR(BO472="",$E472=""),"",BO472-$E472)</f>
        <v/>
      </c>
      <c r="BQ472" s="39"/>
      <c r="BR472" s="40" t="str">
        <f aca="false">IF(OR(BQ472="",CH472=""),"",BQ472/CH472*100)</f>
        <v/>
      </c>
      <c r="BS472" s="41" t="str">
        <f aca="false">IF(BR472="","",IFERROR(MATCH(BR472,INDEX(Boundaries!$B$2:$I$30,MATCH(CV472,Boundaries!$A$2:$A$30,0),0),1)-1,""))</f>
        <v/>
      </c>
      <c r="BT472" s="42" t="str">
        <f aca="false">IF(OR(BS472="",$E472=""),"",BS472-$E472)</f>
        <v/>
      </c>
      <c r="BU472" s="28" t="str">
        <f aca="false">IFERROR(INDEX(Assessments!$H$2:$H$600,MATCH($H472&amp;"|"&amp;$I472&amp;"|"&amp;$J472&amp;"|"&amp;1,Assessments!$A$2:$A$600,0)),"")</f>
        <v/>
      </c>
      <c r="BV472" s="28" t="str">
        <f aca="false">IFERROR(INDEX(Assessments!$H$2:$H$600,MATCH($H472&amp;"|"&amp;$I472&amp;"|"&amp;$J472&amp;"|"&amp;2,Assessments!$A$2:$A$600,0)),"")</f>
        <v/>
      </c>
      <c r="BW472" s="28" t="str">
        <f aca="false">IFERROR(INDEX(Assessments!$H$2:$H$600,MATCH($H472&amp;"|"&amp;$I472&amp;"|"&amp;$J472&amp;"|"&amp;3,Assessments!$A$2:$A$600,0)),"")</f>
        <v/>
      </c>
      <c r="BX472" s="28" t="str">
        <f aca="false">IFERROR(INDEX(Assessments!$H$2:$H$600,MATCH($H472&amp;"|"&amp;$I472&amp;"|"&amp;$J472&amp;"|"&amp;4,Assessments!$A$2:$A$600,0)),"")</f>
        <v/>
      </c>
      <c r="BY472" s="28" t="str">
        <f aca="false">IFERROR(INDEX(Assessments!$H$2:$H$600,MATCH($H472&amp;"|"&amp;$I472&amp;"|"&amp;$J472&amp;"|"&amp;5,Assessments!$A$2:$A$600,0)),"")</f>
        <v/>
      </c>
      <c r="BZ472" s="28" t="str">
        <f aca="false">IFERROR(INDEX(Assessments!$H$2:$H$600,MATCH($H472&amp;"|"&amp;$I472&amp;"|"&amp;$J472&amp;"|"&amp;6,Assessments!$A$2:$A$600,0)),"")</f>
        <v/>
      </c>
      <c r="CA472" s="28" t="str">
        <f aca="false">IFERROR(INDEX(Assessments!$H$2:$H$600,MATCH($H472&amp;"|"&amp;$I472&amp;"|"&amp;$J472&amp;"|"&amp;7,Assessments!$A$2:$A$600,0)),"")</f>
        <v/>
      </c>
      <c r="CB472" s="28" t="str">
        <f aca="false">IFERROR(INDEX(Assessments!$H$2:$H$600,MATCH($H472&amp;"|"&amp;$I472&amp;"|"&amp;$J472&amp;"|"&amp;8,Assessments!$A$2:$A$600,0)),"")</f>
        <v/>
      </c>
      <c r="CC472" s="28" t="str">
        <f aca="false">IFERROR(INDEX(Assessments!$H$2:$H$600,MATCH($H472&amp;"|"&amp;$I472&amp;"|"&amp;$J472&amp;"|"&amp;9,Assessments!$A$2:$A$600,0)),"")</f>
        <v/>
      </c>
      <c r="CD472" s="28" t="str">
        <f aca="false">IFERROR(INDEX(Assessments!$H$2:$H$600,MATCH($H472&amp;"|"&amp;$I472&amp;"|"&amp;$J472&amp;"|"&amp;10,Assessments!$A$2:$A$600,0)),"")</f>
        <v/>
      </c>
      <c r="CE472" s="28" t="str">
        <f aca="false">IFERROR(INDEX(Assessments!$H$2:$H$600,MATCH($H472&amp;"|"&amp;$I472&amp;"|"&amp;$J472&amp;"|"&amp;11,Assessments!$A$2:$A$600,0)),"")</f>
        <v/>
      </c>
      <c r="CF472" s="28" t="str">
        <f aca="false">IFERROR(INDEX(Assessments!$H$2:$H$600,MATCH($H472&amp;"|"&amp;$I472&amp;"|"&amp;$J472&amp;"|"&amp;12,Assessments!$A$2:$A$600,0)),"")</f>
        <v/>
      </c>
      <c r="CG472" s="28" t="str">
        <f aca="false">IFERROR(INDEX(Assessments!$H$2:$H$600,MATCH($H472&amp;"|"&amp;$I472&amp;"|"&amp;$J472&amp;"|"&amp;13,Assessments!$A$2:$A$600,0)),"")</f>
        <v/>
      </c>
      <c r="CH472" s="28" t="str">
        <f aca="false">IFERROR(INDEX(Assessments!$H$2:$H$600,MATCH($H472&amp;"|"&amp;$I472&amp;"|"&amp;$J472&amp;"|"&amp;14,Assessments!$A$2:$A$600,0)),"")</f>
        <v/>
      </c>
      <c r="CI472" s="28" t="str">
        <f aca="false">IFERROR(INDEX(Assessments!$I$2:$I$600,MATCH($H472&amp;"|"&amp;$I472&amp;"|"&amp;$J472&amp;"|"&amp;1,Assessments!$A$2:$A$600,0)),"")</f>
        <v/>
      </c>
      <c r="CJ472" s="28" t="str">
        <f aca="false">IFERROR(INDEX(Assessments!$I$2:$I$600,MATCH($H472&amp;"|"&amp;$I472&amp;"|"&amp;$J472&amp;"|"&amp;2,Assessments!$A$2:$A$600,0)),"")</f>
        <v/>
      </c>
      <c r="CK472" s="28" t="str">
        <f aca="false">IFERROR(INDEX(Assessments!$I$2:$I$600,MATCH($H472&amp;"|"&amp;$I472&amp;"|"&amp;$J472&amp;"|"&amp;3,Assessments!$A$2:$A$600,0)),"")</f>
        <v/>
      </c>
      <c r="CL472" s="28" t="str">
        <f aca="false">IFERROR(INDEX(Assessments!$I$2:$I$600,MATCH($H472&amp;"|"&amp;$I472&amp;"|"&amp;$J472&amp;"|"&amp;4,Assessments!$A$2:$A$600,0)),"")</f>
        <v/>
      </c>
      <c r="CM472" s="28" t="str">
        <f aca="false">IFERROR(INDEX(Assessments!$I$2:$I$600,MATCH($H472&amp;"|"&amp;$I472&amp;"|"&amp;$J472&amp;"|"&amp;5,Assessments!$A$2:$A$600,0)),"")</f>
        <v/>
      </c>
      <c r="CN472" s="28" t="str">
        <f aca="false">IFERROR(INDEX(Assessments!$I$2:$I$600,MATCH($H472&amp;"|"&amp;$I472&amp;"|"&amp;$J472&amp;"|"&amp;6,Assessments!$A$2:$A$600,0)),"")</f>
        <v/>
      </c>
      <c r="CO472" s="28" t="str">
        <f aca="false">IFERROR(INDEX(Assessments!$I$2:$I$600,MATCH($H472&amp;"|"&amp;$I472&amp;"|"&amp;$J472&amp;"|"&amp;7,Assessments!$A$2:$A$600,0)),"")</f>
        <v/>
      </c>
      <c r="CP472" s="28" t="str">
        <f aca="false">IFERROR(INDEX(Assessments!$I$2:$I$600,MATCH($H472&amp;"|"&amp;$I472&amp;"|"&amp;$J472&amp;"|"&amp;8,Assessments!$A$2:$A$600,0)),"")</f>
        <v/>
      </c>
      <c r="CQ472" s="28" t="str">
        <f aca="false">IFERROR(INDEX(Assessments!$I$2:$I$600,MATCH($H472&amp;"|"&amp;$I472&amp;"|"&amp;$J472&amp;"|"&amp;9,Assessments!$A$2:$A$600,0)),"")</f>
        <v/>
      </c>
      <c r="CR472" s="28" t="str">
        <f aca="false">IFERROR(INDEX(Assessments!$I$2:$I$600,MATCH($H472&amp;"|"&amp;$I472&amp;"|"&amp;$J472&amp;"|"&amp;10,Assessments!$A$2:$A$600,0)),"")</f>
        <v/>
      </c>
      <c r="CS472" s="28" t="str">
        <f aca="false">IFERROR(INDEX(Assessments!$I$2:$I$600,MATCH($H472&amp;"|"&amp;$I472&amp;"|"&amp;$J472&amp;"|"&amp;11,Assessments!$A$2:$A$600,0)),"")</f>
        <v/>
      </c>
      <c r="CT472" s="28" t="str">
        <f aca="false">IFERROR(INDEX(Assessments!$I$2:$I$600,MATCH($H472&amp;"|"&amp;$I472&amp;"|"&amp;$J472&amp;"|"&amp;12,Assessments!$A$2:$A$600,0)),"")</f>
        <v/>
      </c>
      <c r="CU472" s="28" t="str">
        <f aca="false">IFERROR(INDEX(Assessments!$I$2:$I$600,MATCH($H472&amp;"|"&amp;$I472&amp;"|"&amp;$J472&amp;"|"&amp;13,Assessments!$A$2:$A$600,0)),"")</f>
        <v/>
      </c>
      <c r="CV472" s="28" t="str">
        <f aca="false">IFERROR(INDEX(Assessments!$I$2:$I$600,MATCH($H472&amp;"|"&amp;$I472&amp;"|"&amp;$J472&amp;"|"&amp;14,Assessments!$A$2:$A$600,0)),"")</f>
        <v/>
      </c>
      <c r="CW472" s="28" t="n">
        <f aca="false">IFERROR(INDEX(Assessments!$J$2:$J$600,MATCH($H472&amp;"|"&amp;$I472&amp;"|"&amp;$J472&amp;"|"&amp;1,Assessments!$A$2:$A$600,0)),0)</f>
        <v>0</v>
      </c>
      <c r="CX472" s="28" t="n">
        <f aca="false">IFERROR(INDEX(Assessments!$J$2:$J$600,MATCH($H472&amp;"|"&amp;$I472&amp;"|"&amp;$J472&amp;"|"&amp;2,Assessments!$A$2:$A$600,0)),0)</f>
        <v>0</v>
      </c>
      <c r="CY472" s="28" t="n">
        <f aca="false">IFERROR(INDEX(Assessments!$J$2:$J$600,MATCH($H472&amp;"|"&amp;$I472&amp;"|"&amp;$J472&amp;"|"&amp;3,Assessments!$A$2:$A$600,0)),0)</f>
        <v>0</v>
      </c>
      <c r="CZ472" s="28" t="n">
        <f aca="false">IFERROR(INDEX(Assessments!$J$2:$J$600,MATCH($H472&amp;"|"&amp;$I472&amp;"|"&amp;$J472&amp;"|"&amp;4,Assessments!$A$2:$A$600,0)),0)</f>
        <v>0</v>
      </c>
      <c r="DA472" s="28" t="n">
        <f aca="false">IFERROR(INDEX(Assessments!$J$2:$J$600,MATCH($H472&amp;"|"&amp;$I472&amp;"|"&amp;$J472&amp;"|"&amp;5,Assessments!$A$2:$A$600,0)),0)</f>
        <v>0</v>
      </c>
      <c r="DB472" s="28" t="n">
        <f aca="false">IFERROR(INDEX(Assessments!$J$2:$J$600,MATCH($H472&amp;"|"&amp;$I472&amp;"|"&amp;$J472&amp;"|"&amp;6,Assessments!$A$2:$A$600,0)),0)</f>
        <v>0</v>
      </c>
      <c r="DC472" s="28" t="n">
        <f aca="false">IFERROR(INDEX(Assessments!$J$2:$J$600,MATCH($H472&amp;"|"&amp;$I472&amp;"|"&amp;$J472&amp;"|"&amp;7,Assessments!$A$2:$A$600,0)),0)</f>
        <v>0</v>
      </c>
      <c r="DD472" s="28" t="n">
        <f aca="false">IFERROR(INDEX(Assessments!$J$2:$J$600,MATCH($H472&amp;"|"&amp;$I472&amp;"|"&amp;$J472&amp;"|"&amp;8,Assessments!$A$2:$A$600,0)),0)</f>
        <v>0</v>
      </c>
      <c r="DE472" s="28" t="n">
        <f aca="false">IFERROR(INDEX(Assessments!$J$2:$J$600,MATCH($H472&amp;"|"&amp;$I472&amp;"|"&amp;$J472&amp;"|"&amp;9,Assessments!$A$2:$A$600,0)),0)</f>
        <v>0</v>
      </c>
      <c r="DF472" s="28" t="n">
        <f aca="false">IFERROR(INDEX(Assessments!$J$2:$J$600,MATCH($H472&amp;"|"&amp;$I472&amp;"|"&amp;$J472&amp;"|"&amp;10,Assessments!$A$2:$A$600,0)),0)</f>
        <v>0</v>
      </c>
      <c r="DG472" s="28" t="n">
        <f aca="false">IFERROR(INDEX(Assessments!$J$2:$J$600,MATCH($H472&amp;"|"&amp;$I472&amp;"|"&amp;$J472&amp;"|"&amp;11,Assessments!$A$2:$A$600,0)),0)</f>
        <v>0</v>
      </c>
      <c r="DH472" s="28" t="n">
        <f aca="false">IFERROR(INDEX(Assessments!$J$2:$J$600,MATCH($H472&amp;"|"&amp;$I472&amp;"|"&amp;$J472&amp;"|"&amp;12,Assessments!$A$2:$A$600,0)),0)</f>
        <v>0</v>
      </c>
      <c r="DI472" s="28" t="n">
        <f aca="false">IFERROR(INDEX(Assessments!$J$2:$J$600,MATCH($H472&amp;"|"&amp;$I472&amp;"|"&amp;$J472&amp;"|"&amp;13,Assessments!$A$2:$A$600,0)),0)</f>
        <v>0</v>
      </c>
      <c r="DJ472" s="28" t="n">
        <f aca="false">IFERROR(INDEX(Assessments!$J$2:$J$600,MATCH($H472&amp;"|"&amp;$I472&amp;"|"&amp;$J472&amp;"|"&amp;14,Assessments!$A$2:$A$600,0)),0)</f>
        <v>0</v>
      </c>
      <c r="DK472" s="28" t="str">
        <f aca="false">S472</f>
        <v/>
      </c>
      <c r="DL472" s="28" t="str">
        <f aca="false">W472</f>
        <v/>
      </c>
      <c r="DM472" s="28" t="str">
        <f aca="false">AA472</f>
        <v/>
      </c>
      <c r="DN472" s="28" t="str">
        <f aca="false">AE472</f>
        <v/>
      </c>
      <c r="DO472" s="28" t="str">
        <f aca="false">AI472</f>
        <v/>
      </c>
      <c r="DP472" s="28" t="str">
        <f aca="false">AM472</f>
        <v/>
      </c>
      <c r="DQ472" s="28" t="str">
        <f aca="false">AQ472</f>
        <v/>
      </c>
      <c r="DR472" s="28" t="str">
        <f aca="false">AU472</f>
        <v/>
      </c>
      <c r="DS472" s="28" t="str">
        <f aca="false">AY472</f>
        <v/>
      </c>
      <c r="DT472" s="28" t="str">
        <f aca="false">BC472</f>
        <v/>
      </c>
      <c r="DU472" s="28" t="str">
        <f aca="false">BG472</f>
        <v/>
      </c>
      <c r="DV472" s="28" t="str">
        <f aca="false">BK472</f>
        <v/>
      </c>
      <c r="DW472" s="28" t="str">
        <f aca="false">BO472</f>
        <v/>
      </c>
      <c r="DX472" s="28" t="str">
        <f aca="false">BS472</f>
        <v/>
      </c>
      <c r="DY472" s="28" t="str">
        <f aca="false">IF(ISNUMBER(S472),1,"")</f>
        <v/>
      </c>
      <c r="DZ472" s="28" t="str">
        <f aca="false">IF(ISNUMBER(W472),2,"")</f>
        <v/>
      </c>
      <c r="EA472" s="28" t="str">
        <f aca="false">IF(ISNUMBER(AA472),3,"")</f>
        <v/>
      </c>
      <c r="EB472" s="28" t="str">
        <f aca="false">IF(ISNUMBER(AE472),4,"")</f>
        <v/>
      </c>
      <c r="EC472" s="28" t="str">
        <f aca="false">IF(ISNUMBER(AI472),5,"")</f>
        <v/>
      </c>
      <c r="ED472" s="28" t="str">
        <f aca="false">IF(ISNUMBER(AM472),6,"")</f>
        <v/>
      </c>
      <c r="EE472" s="28" t="str">
        <f aca="false">IF(ISNUMBER(AQ472),7,"")</f>
        <v/>
      </c>
      <c r="EF472" s="28" t="str">
        <f aca="false">IF(ISNUMBER(AU472),8,"")</f>
        <v/>
      </c>
      <c r="EG472" s="28" t="str">
        <f aca="false">IF(ISNUMBER(AY472),9,"")</f>
        <v/>
      </c>
      <c r="EH472" s="28" t="str">
        <f aca="false">IF(ISNUMBER(BC472),10,"")</f>
        <v/>
      </c>
      <c r="EI472" s="28" t="str">
        <f aca="false">IF(ISNUMBER(BG472),11,"")</f>
        <v/>
      </c>
      <c r="EJ472" s="28" t="str">
        <f aca="false">IF(ISNUMBER(BK472),12,"")</f>
        <v/>
      </c>
      <c r="EK472" s="28" t="str">
        <f aca="false">IF(ISNUMBER(BO472),13,"")</f>
        <v/>
      </c>
      <c r="EL472" s="28" t="str">
        <f aca="false">IF(ISNUMBER(BS472),14,"")</f>
        <v/>
      </c>
      <c r="EM472" s="28" t="n">
        <f aca="false">IF(ISNUMBER(R472),R472*CW472,0)</f>
        <v>0</v>
      </c>
      <c r="EN472" s="28" t="n">
        <f aca="false">IF(ISNUMBER(V472),V472*CX472,0)</f>
        <v>0</v>
      </c>
      <c r="EO472" s="28" t="n">
        <f aca="false">IF(ISNUMBER(Z472),Z472*CY472,0)</f>
        <v>0</v>
      </c>
      <c r="EP472" s="28" t="n">
        <f aca="false">IF(ISNUMBER(AD472),AD472*CZ472,0)</f>
        <v>0</v>
      </c>
      <c r="EQ472" s="28" t="n">
        <f aca="false">IF(ISNUMBER(AH472),AH472*DA472,0)</f>
        <v>0</v>
      </c>
      <c r="ER472" s="28" t="n">
        <f aca="false">IF(ISNUMBER(AL472),AL472*DB472,0)</f>
        <v>0</v>
      </c>
      <c r="ES472" s="28" t="n">
        <f aca="false">IF(ISNUMBER(AP472),AP472*DC472,0)</f>
        <v>0</v>
      </c>
      <c r="ET472" s="28" t="n">
        <f aca="false">IF(ISNUMBER(AT472),AT472*DD472,0)</f>
        <v>0</v>
      </c>
      <c r="EU472" s="28" t="n">
        <f aca="false">IF(ISNUMBER(AX472),AX472*DE472,0)</f>
        <v>0</v>
      </c>
      <c r="EV472" s="28" t="n">
        <f aca="false">IF(ISNUMBER(BB472),BB472*DF472,0)</f>
        <v>0</v>
      </c>
      <c r="EW472" s="28" t="n">
        <f aca="false">IF(ISNUMBER(BF472),BF472*DG472,0)</f>
        <v>0</v>
      </c>
      <c r="EX472" s="28" t="n">
        <f aca="false">IF(ISNUMBER(BJ472),BJ472*DH472,0)</f>
        <v>0</v>
      </c>
      <c r="EY472" s="28" t="n">
        <f aca="false">IF(ISNUMBER(BN472),BN472*DI472,0)</f>
        <v>0</v>
      </c>
      <c r="EZ472" s="28" t="n">
        <f aca="false">IF(ISNUMBER(BR472),BR472*DJ472,0)</f>
        <v>0</v>
      </c>
      <c r="FA472" s="28" t="n">
        <f aca="false">IF(ISNUMBER(R472),CW472,0)</f>
        <v>0</v>
      </c>
      <c r="FB472" s="28" t="n">
        <f aca="false">IF(ISNUMBER(V472),CX472,0)</f>
        <v>0</v>
      </c>
      <c r="FC472" s="28" t="n">
        <f aca="false">IF(ISNUMBER(Z472),CY472,0)</f>
        <v>0</v>
      </c>
      <c r="FD472" s="28" t="n">
        <f aca="false">IF(ISNUMBER(AD472),CZ472,0)</f>
        <v>0</v>
      </c>
      <c r="FE472" s="28" t="n">
        <f aca="false">IF(ISNUMBER(AH472),DA472,0)</f>
        <v>0</v>
      </c>
      <c r="FF472" s="28" t="n">
        <f aca="false">IF(ISNUMBER(AL472),DB472,0)</f>
        <v>0</v>
      </c>
      <c r="FG472" s="28" t="n">
        <f aca="false">IF(ISNUMBER(AP472),DC472,0)</f>
        <v>0</v>
      </c>
      <c r="FH472" s="28" t="n">
        <f aca="false">IF(ISNUMBER(AT472),DD472,0)</f>
        <v>0</v>
      </c>
      <c r="FI472" s="28" t="n">
        <f aca="false">IF(ISNUMBER(AX472),DE472,0)</f>
        <v>0</v>
      </c>
      <c r="FJ472" s="28" t="n">
        <f aca="false">IF(ISNUMBER(BB472),DF472,0)</f>
        <v>0</v>
      </c>
      <c r="FK472" s="28" t="n">
        <f aca="false">IF(ISNUMBER(BF472),DG472,0)</f>
        <v>0</v>
      </c>
      <c r="FL472" s="28" t="n">
        <f aca="false">IF(ISNUMBER(BJ472),DH472,0)</f>
        <v>0</v>
      </c>
      <c r="FM472" s="28" t="n">
        <f aca="false">IF(ISNUMBER(BN472),DI472,0)</f>
        <v>0</v>
      </c>
      <c r="FN472" s="28" t="n">
        <f aca="false">IF(ISNUMBER(BR472),DJ472,0)</f>
        <v>0</v>
      </c>
      <c r="FO472" s="28" t="str">
        <f aca="false">IFERROR(INDEX(Lists!$G$2:$G$20,MATCH($I472&amp;"|"&amp;$J472,Lists!$F$2:$F$20,0)),"")</f>
        <v/>
      </c>
    </row>
    <row r="473" customFormat="false" ht="19.5" hidden="false" customHeight="true" outlineLevel="0" collapsed="false">
      <c r="A473" s="29"/>
      <c r="B473" s="29"/>
      <c r="C473" s="30"/>
      <c r="D473" s="30"/>
      <c r="E473" s="31"/>
      <c r="F473" s="30"/>
      <c r="G473" s="30"/>
      <c r="H473" s="32"/>
      <c r="I473" s="33"/>
      <c r="J473" s="32"/>
      <c r="K473" s="34" t="str">
        <f aca="false">IF(OR(M473="",$E473=""),"",M473-$E473)</f>
        <v/>
      </c>
      <c r="L473" s="35" t="str">
        <f aca="false">IF(SUM(FA473:FN473)=0,"",SUM(EM473:EZ473)/SUM(FA473:FN473))</f>
        <v/>
      </c>
      <c r="M473" s="36" t="str">
        <f aca="false">IF(OR(L473="",FO473=""),"",IFERROR(MATCH(L473,INDEX(Boundaries!$B$2:$I$30,MATCH(FO473,Boundaries!$A$2:$A$30,0),0),1)-1,""))</f>
        <v/>
      </c>
      <c r="N473" s="37" t="str">
        <f aca="false">IF(COUNT($DY473:$EL473)&lt;2,"",INDEX($DK473:$DX473,MAX($DY473:$EL473))-INDEX($DK473:$DX473,MIN($DY473:$EL473)))</f>
        <v/>
      </c>
      <c r="O473" s="37" t="str">
        <f aca="false">IF(COUNT($DY473:$EL473)&lt;2,"",INDEX($DK473:$DX473,MAX($DY473:$EL473))-INDEX($DK473:$DX473,LARGE($DY473:$EL473,2)))</f>
        <v/>
      </c>
      <c r="P473" s="38" t="str">
        <f aca="false">IF(K473="","",IF(K473&gt;=0,"On/above target",IF(AND(N473&lt;&gt;"",N473&gt;=0.5),"Improving towards target",IF(AND(O473&lt;&gt;"",O473&lt;=-0.5),"Declining","Stable below target"))))</f>
        <v/>
      </c>
      <c r="Q473" s="39"/>
      <c r="R473" s="40" t="str">
        <f aca="false">IF(OR(Q473="",BU473=""),"",Q473/BU473*100)</f>
        <v/>
      </c>
      <c r="S473" s="41" t="str">
        <f aca="false">IF(R473="","",IFERROR(MATCH(R473,INDEX(Boundaries!$B$2:$I$30,MATCH(CI473,Boundaries!$A$2:$A$30,0),0),1)-1,""))</f>
        <v/>
      </c>
      <c r="T473" s="42" t="str">
        <f aca="false">IF(OR(S473="",$E473=""),"",S473-$E473)</f>
        <v/>
      </c>
      <c r="U473" s="39"/>
      <c r="V473" s="40" t="str">
        <f aca="false">IF(OR(U473="",BV473=""),"",U473/BV473*100)</f>
        <v/>
      </c>
      <c r="W473" s="41" t="str">
        <f aca="false">IF(V473="","",IFERROR(MATCH(V473,INDEX(Boundaries!$B$2:$I$30,MATCH(CJ473,Boundaries!$A$2:$A$30,0),0),1)-1,""))</f>
        <v/>
      </c>
      <c r="X473" s="42" t="str">
        <f aca="false">IF(OR(W473="",$E473=""),"",W473-$E473)</f>
        <v/>
      </c>
      <c r="Y473" s="39"/>
      <c r="Z473" s="40" t="str">
        <f aca="false">IF(OR(Y473="",BW473=""),"",Y473/BW473*100)</f>
        <v/>
      </c>
      <c r="AA473" s="41" t="str">
        <f aca="false">IF(Z473="","",IFERROR(MATCH(Z473,INDEX(Boundaries!$B$2:$I$30,MATCH(CK473,Boundaries!$A$2:$A$30,0),0),1)-1,""))</f>
        <v/>
      </c>
      <c r="AB473" s="42" t="str">
        <f aca="false">IF(OR(AA473="",$E473=""),"",AA473-$E473)</f>
        <v/>
      </c>
      <c r="AC473" s="39"/>
      <c r="AD473" s="40" t="str">
        <f aca="false">IF(OR(AC473="",BX473=""),"",AC473/BX473*100)</f>
        <v/>
      </c>
      <c r="AE473" s="41" t="str">
        <f aca="false">IF(AD473="","",IFERROR(MATCH(AD473,INDEX(Boundaries!$B$2:$I$30,MATCH(CL473,Boundaries!$A$2:$A$30,0),0),1)-1,""))</f>
        <v/>
      </c>
      <c r="AF473" s="42" t="str">
        <f aca="false">IF(OR(AE473="",$E473=""),"",AE473-$E473)</f>
        <v/>
      </c>
      <c r="AG473" s="39"/>
      <c r="AH473" s="40" t="str">
        <f aca="false">IF(OR(AG473="",BY473=""),"",AG473/BY473*100)</f>
        <v/>
      </c>
      <c r="AI473" s="41" t="str">
        <f aca="false">IF(AH473="","",IFERROR(MATCH(AH473,INDEX(Boundaries!$B$2:$I$30,MATCH(CM473,Boundaries!$A$2:$A$30,0),0),1)-1,""))</f>
        <v/>
      </c>
      <c r="AJ473" s="42" t="str">
        <f aca="false">IF(OR(AI473="",$E473=""),"",AI473-$E473)</f>
        <v/>
      </c>
      <c r="AK473" s="39"/>
      <c r="AL473" s="40" t="str">
        <f aca="false">IF(OR(AK473="",BZ473=""),"",AK473/BZ473*100)</f>
        <v/>
      </c>
      <c r="AM473" s="41" t="str">
        <f aca="false">IF(AL473="","",IFERROR(MATCH(AL473,INDEX(Boundaries!$B$2:$I$30,MATCH(CN473,Boundaries!$A$2:$A$30,0),0),1)-1,""))</f>
        <v/>
      </c>
      <c r="AN473" s="42" t="str">
        <f aca="false">IF(OR(AM473="",$E473=""),"",AM473-$E473)</f>
        <v/>
      </c>
      <c r="AO473" s="39"/>
      <c r="AP473" s="40" t="str">
        <f aca="false">IF(OR(AO473="",CA473=""),"",AO473/CA473*100)</f>
        <v/>
      </c>
      <c r="AQ473" s="41" t="str">
        <f aca="false">IF(AP473="","",IFERROR(MATCH(AP473,INDEX(Boundaries!$B$2:$I$30,MATCH(CO473,Boundaries!$A$2:$A$30,0),0),1)-1,""))</f>
        <v/>
      </c>
      <c r="AR473" s="42" t="str">
        <f aca="false">IF(OR(AQ473="",$E473=""),"",AQ473-$E473)</f>
        <v/>
      </c>
      <c r="AS473" s="39"/>
      <c r="AT473" s="40" t="str">
        <f aca="false">IF(OR(AS473="",CB473=""),"",AS473/CB473*100)</f>
        <v/>
      </c>
      <c r="AU473" s="41" t="str">
        <f aca="false">IF(AT473="","",IFERROR(MATCH(AT473,INDEX(Boundaries!$B$2:$I$30,MATCH(CP473,Boundaries!$A$2:$A$30,0),0),1)-1,""))</f>
        <v/>
      </c>
      <c r="AV473" s="42" t="str">
        <f aca="false">IF(OR(AU473="",$E473=""),"",AU473-$E473)</f>
        <v/>
      </c>
      <c r="AW473" s="39"/>
      <c r="AX473" s="40" t="str">
        <f aca="false">IF(OR(AW473="",CC473=""),"",AW473/CC473*100)</f>
        <v/>
      </c>
      <c r="AY473" s="41" t="str">
        <f aca="false">IF(AX473="","",IFERROR(MATCH(AX473,INDEX(Boundaries!$B$2:$I$30,MATCH(CQ473,Boundaries!$A$2:$A$30,0),0),1)-1,""))</f>
        <v/>
      </c>
      <c r="AZ473" s="42" t="str">
        <f aca="false">IF(OR(AY473="",$E473=""),"",AY473-$E473)</f>
        <v/>
      </c>
      <c r="BA473" s="39"/>
      <c r="BB473" s="40" t="str">
        <f aca="false">IF(OR(BA473="",CD473=""),"",BA473/CD473*100)</f>
        <v/>
      </c>
      <c r="BC473" s="41" t="str">
        <f aca="false">IF(BB473="","",IFERROR(MATCH(BB473,INDEX(Boundaries!$B$2:$I$30,MATCH(CR473,Boundaries!$A$2:$A$30,0),0),1)-1,""))</f>
        <v/>
      </c>
      <c r="BD473" s="42" t="str">
        <f aca="false">IF(OR(BC473="",$E473=""),"",BC473-$E473)</f>
        <v/>
      </c>
      <c r="BE473" s="39"/>
      <c r="BF473" s="40" t="str">
        <f aca="false">IF(OR(BE473="",CE473=""),"",BE473/CE473*100)</f>
        <v/>
      </c>
      <c r="BG473" s="41" t="str">
        <f aca="false">IF(BF473="","",IFERROR(MATCH(BF473,INDEX(Boundaries!$B$2:$I$30,MATCH(CS473,Boundaries!$A$2:$A$30,0),0),1)-1,""))</f>
        <v/>
      </c>
      <c r="BH473" s="42" t="str">
        <f aca="false">IF(OR(BG473="",$E473=""),"",BG473-$E473)</f>
        <v/>
      </c>
      <c r="BI473" s="39"/>
      <c r="BJ473" s="40" t="str">
        <f aca="false">IF(OR(BI473="",CF473=""),"",BI473/CF473*100)</f>
        <v/>
      </c>
      <c r="BK473" s="41" t="str">
        <f aca="false">IF(BJ473="","",IFERROR(MATCH(BJ473,INDEX(Boundaries!$B$2:$I$30,MATCH(CT473,Boundaries!$A$2:$A$30,0),0),1)-1,""))</f>
        <v/>
      </c>
      <c r="BL473" s="42" t="str">
        <f aca="false">IF(OR(BK473="",$E473=""),"",BK473-$E473)</f>
        <v/>
      </c>
      <c r="BM473" s="39"/>
      <c r="BN473" s="40" t="str">
        <f aca="false">IF(OR(BM473="",CG473=""),"",BM473/CG473*100)</f>
        <v/>
      </c>
      <c r="BO473" s="41" t="str">
        <f aca="false">IF(BN473="","",IFERROR(MATCH(BN473,INDEX(Boundaries!$B$2:$I$30,MATCH(CU473,Boundaries!$A$2:$A$30,0),0),1)-1,""))</f>
        <v/>
      </c>
      <c r="BP473" s="42" t="str">
        <f aca="false">IF(OR(BO473="",$E473=""),"",BO473-$E473)</f>
        <v/>
      </c>
      <c r="BQ473" s="39"/>
      <c r="BR473" s="40" t="str">
        <f aca="false">IF(OR(BQ473="",CH473=""),"",BQ473/CH473*100)</f>
        <v/>
      </c>
      <c r="BS473" s="41" t="str">
        <f aca="false">IF(BR473="","",IFERROR(MATCH(BR473,INDEX(Boundaries!$B$2:$I$30,MATCH(CV473,Boundaries!$A$2:$A$30,0),0),1)-1,""))</f>
        <v/>
      </c>
      <c r="BT473" s="42" t="str">
        <f aca="false">IF(OR(BS473="",$E473=""),"",BS473-$E473)</f>
        <v/>
      </c>
      <c r="BU473" s="28" t="str">
        <f aca="false">IFERROR(INDEX(Assessments!$H$2:$H$600,MATCH($H473&amp;"|"&amp;$I473&amp;"|"&amp;$J473&amp;"|"&amp;1,Assessments!$A$2:$A$600,0)),"")</f>
        <v/>
      </c>
      <c r="BV473" s="28" t="str">
        <f aca="false">IFERROR(INDEX(Assessments!$H$2:$H$600,MATCH($H473&amp;"|"&amp;$I473&amp;"|"&amp;$J473&amp;"|"&amp;2,Assessments!$A$2:$A$600,0)),"")</f>
        <v/>
      </c>
      <c r="BW473" s="28" t="str">
        <f aca="false">IFERROR(INDEX(Assessments!$H$2:$H$600,MATCH($H473&amp;"|"&amp;$I473&amp;"|"&amp;$J473&amp;"|"&amp;3,Assessments!$A$2:$A$600,0)),"")</f>
        <v/>
      </c>
      <c r="BX473" s="28" t="str">
        <f aca="false">IFERROR(INDEX(Assessments!$H$2:$H$600,MATCH($H473&amp;"|"&amp;$I473&amp;"|"&amp;$J473&amp;"|"&amp;4,Assessments!$A$2:$A$600,0)),"")</f>
        <v/>
      </c>
      <c r="BY473" s="28" t="str">
        <f aca="false">IFERROR(INDEX(Assessments!$H$2:$H$600,MATCH($H473&amp;"|"&amp;$I473&amp;"|"&amp;$J473&amp;"|"&amp;5,Assessments!$A$2:$A$600,0)),"")</f>
        <v/>
      </c>
      <c r="BZ473" s="28" t="str">
        <f aca="false">IFERROR(INDEX(Assessments!$H$2:$H$600,MATCH($H473&amp;"|"&amp;$I473&amp;"|"&amp;$J473&amp;"|"&amp;6,Assessments!$A$2:$A$600,0)),"")</f>
        <v/>
      </c>
      <c r="CA473" s="28" t="str">
        <f aca="false">IFERROR(INDEX(Assessments!$H$2:$H$600,MATCH($H473&amp;"|"&amp;$I473&amp;"|"&amp;$J473&amp;"|"&amp;7,Assessments!$A$2:$A$600,0)),"")</f>
        <v/>
      </c>
      <c r="CB473" s="28" t="str">
        <f aca="false">IFERROR(INDEX(Assessments!$H$2:$H$600,MATCH($H473&amp;"|"&amp;$I473&amp;"|"&amp;$J473&amp;"|"&amp;8,Assessments!$A$2:$A$600,0)),"")</f>
        <v/>
      </c>
      <c r="CC473" s="28" t="str">
        <f aca="false">IFERROR(INDEX(Assessments!$H$2:$H$600,MATCH($H473&amp;"|"&amp;$I473&amp;"|"&amp;$J473&amp;"|"&amp;9,Assessments!$A$2:$A$600,0)),"")</f>
        <v/>
      </c>
      <c r="CD473" s="28" t="str">
        <f aca="false">IFERROR(INDEX(Assessments!$H$2:$H$600,MATCH($H473&amp;"|"&amp;$I473&amp;"|"&amp;$J473&amp;"|"&amp;10,Assessments!$A$2:$A$600,0)),"")</f>
        <v/>
      </c>
      <c r="CE473" s="28" t="str">
        <f aca="false">IFERROR(INDEX(Assessments!$H$2:$H$600,MATCH($H473&amp;"|"&amp;$I473&amp;"|"&amp;$J473&amp;"|"&amp;11,Assessments!$A$2:$A$600,0)),"")</f>
        <v/>
      </c>
      <c r="CF473" s="28" t="str">
        <f aca="false">IFERROR(INDEX(Assessments!$H$2:$H$600,MATCH($H473&amp;"|"&amp;$I473&amp;"|"&amp;$J473&amp;"|"&amp;12,Assessments!$A$2:$A$600,0)),"")</f>
        <v/>
      </c>
      <c r="CG473" s="28" t="str">
        <f aca="false">IFERROR(INDEX(Assessments!$H$2:$H$600,MATCH($H473&amp;"|"&amp;$I473&amp;"|"&amp;$J473&amp;"|"&amp;13,Assessments!$A$2:$A$600,0)),"")</f>
        <v/>
      </c>
      <c r="CH473" s="28" t="str">
        <f aca="false">IFERROR(INDEX(Assessments!$H$2:$H$600,MATCH($H473&amp;"|"&amp;$I473&amp;"|"&amp;$J473&amp;"|"&amp;14,Assessments!$A$2:$A$600,0)),"")</f>
        <v/>
      </c>
      <c r="CI473" s="28" t="str">
        <f aca="false">IFERROR(INDEX(Assessments!$I$2:$I$600,MATCH($H473&amp;"|"&amp;$I473&amp;"|"&amp;$J473&amp;"|"&amp;1,Assessments!$A$2:$A$600,0)),"")</f>
        <v/>
      </c>
      <c r="CJ473" s="28" t="str">
        <f aca="false">IFERROR(INDEX(Assessments!$I$2:$I$600,MATCH($H473&amp;"|"&amp;$I473&amp;"|"&amp;$J473&amp;"|"&amp;2,Assessments!$A$2:$A$600,0)),"")</f>
        <v/>
      </c>
      <c r="CK473" s="28" t="str">
        <f aca="false">IFERROR(INDEX(Assessments!$I$2:$I$600,MATCH($H473&amp;"|"&amp;$I473&amp;"|"&amp;$J473&amp;"|"&amp;3,Assessments!$A$2:$A$600,0)),"")</f>
        <v/>
      </c>
      <c r="CL473" s="28" t="str">
        <f aca="false">IFERROR(INDEX(Assessments!$I$2:$I$600,MATCH($H473&amp;"|"&amp;$I473&amp;"|"&amp;$J473&amp;"|"&amp;4,Assessments!$A$2:$A$600,0)),"")</f>
        <v/>
      </c>
      <c r="CM473" s="28" t="str">
        <f aca="false">IFERROR(INDEX(Assessments!$I$2:$I$600,MATCH($H473&amp;"|"&amp;$I473&amp;"|"&amp;$J473&amp;"|"&amp;5,Assessments!$A$2:$A$600,0)),"")</f>
        <v/>
      </c>
      <c r="CN473" s="28" t="str">
        <f aca="false">IFERROR(INDEX(Assessments!$I$2:$I$600,MATCH($H473&amp;"|"&amp;$I473&amp;"|"&amp;$J473&amp;"|"&amp;6,Assessments!$A$2:$A$600,0)),"")</f>
        <v/>
      </c>
      <c r="CO473" s="28" t="str">
        <f aca="false">IFERROR(INDEX(Assessments!$I$2:$I$600,MATCH($H473&amp;"|"&amp;$I473&amp;"|"&amp;$J473&amp;"|"&amp;7,Assessments!$A$2:$A$600,0)),"")</f>
        <v/>
      </c>
      <c r="CP473" s="28" t="str">
        <f aca="false">IFERROR(INDEX(Assessments!$I$2:$I$600,MATCH($H473&amp;"|"&amp;$I473&amp;"|"&amp;$J473&amp;"|"&amp;8,Assessments!$A$2:$A$600,0)),"")</f>
        <v/>
      </c>
      <c r="CQ473" s="28" t="str">
        <f aca="false">IFERROR(INDEX(Assessments!$I$2:$I$600,MATCH($H473&amp;"|"&amp;$I473&amp;"|"&amp;$J473&amp;"|"&amp;9,Assessments!$A$2:$A$600,0)),"")</f>
        <v/>
      </c>
      <c r="CR473" s="28" t="str">
        <f aca="false">IFERROR(INDEX(Assessments!$I$2:$I$600,MATCH($H473&amp;"|"&amp;$I473&amp;"|"&amp;$J473&amp;"|"&amp;10,Assessments!$A$2:$A$600,0)),"")</f>
        <v/>
      </c>
      <c r="CS473" s="28" t="str">
        <f aca="false">IFERROR(INDEX(Assessments!$I$2:$I$600,MATCH($H473&amp;"|"&amp;$I473&amp;"|"&amp;$J473&amp;"|"&amp;11,Assessments!$A$2:$A$600,0)),"")</f>
        <v/>
      </c>
      <c r="CT473" s="28" t="str">
        <f aca="false">IFERROR(INDEX(Assessments!$I$2:$I$600,MATCH($H473&amp;"|"&amp;$I473&amp;"|"&amp;$J473&amp;"|"&amp;12,Assessments!$A$2:$A$600,0)),"")</f>
        <v/>
      </c>
      <c r="CU473" s="28" t="str">
        <f aca="false">IFERROR(INDEX(Assessments!$I$2:$I$600,MATCH($H473&amp;"|"&amp;$I473&amp;"|"&amp;$J473&amp;"|"&amp;13,Assessments!$A$2:$A$600,0)),"")</f>
        <v/>
      </c>
      <c r="CV473" s="28" t="str">
        <f aca="false">IFERROR(INDEX(Assessments!$I$2:$I$600,MATCH($H473&amp;"|"&amp;$I473&amp;"|"&amp;$J473&amp;"|"&amp;14,Assessments!$A$2:$A$600,0)),"")</f>
        <v/>
      </c>
      <c r="CW473" s="28" t="n">
        <f aca="false">IFERROR(INDEX(Assessments!$J$2:$J$600,MATCH($H473&amp;"|"&amp;$I473&amp;"|"&amp;$J473&amp;"|"&amp;1,Assessments!$A$2:$A$600,0)),0)</f>
        <v>0</v>
      </c>
      <c r="CX473" s="28" t="n">
        <f aca="false">IFERROR(INDEX(Assessments!$J$2:$J$600,MATCH($H473&amp;"|"&amp;$I473&amp;"|"&amp;$J473&amp;"|"&amp;2,Assessments!$A$2:$A$600,0)),0)</f>
        <v>0</v>
      </c>
      <c r="CY473" s="28" t="n">
        <f aca="false">IFERROR(INDEX(Assessments!$J$2:$J$600,MATCH($H473&amp;"|"&amp;$I473&amp;"|"&amp;$J473&amp;"|"&amp;3,Assessments!$A$2:$A$600,0)),0)</f>
        <v>0</v>
      </c>
      <c r="CZ473" s="28" t="n">
        <f aca="false">IFERROR(INDEX(Assessments!$J$2:$J$600,MATCH($H473&amp;"|"&amp;$I473&amp;"|"&amp;$J473&amp;"|"&amp;4,Assessments!$A$2:$A$600,0)),0)</f>
        <v>0</v>
      </c>
      <c r="DA473" s="28" t="n">
        <f aca="false">IFERROR(INDEX(Assessments!$J$2:$J$600,MATCH($H473&amp;"|"&amp;$I473&amp;"|"&amp;$J473&amp;"|"&amp;5,Assessments!$A$2:$A$600,0)),0)</f>
        <v>0</v>
      </c>
      <c r="DB473" s="28" t="n">
        <f aca="false">IFERROR(INDEX(Assessments!$J$2:$J$600,MATCH($H473&amp;"|"&amp;$I473&amp;"|"&amp;$J473&amp;"|"&amp;6,Assessments!$A$2:$A$600,0)),0)</f>
        <v>0</v>
      </c>
      <c r="DC473" s="28" t="n">
        <f aca="false">IFERROR(INDEX(Assessments!$J$2:$J$600,MATCH($H473&amp;"|"&amp;$I473&amp;"|"&amp;$J473&amp;"|"&amp;7,Assessments!$A$2:$A$600,0)),0)</f>
        <v>0</v>
      </c>
      <c r="DD473" s="28" t="n">
        <f aca="false">IFERROR(INDEX(Assessments!$J$2:$J$600,MATCH($H473&amp;"|"&amp;$I473&amp;"|"&amp;$J473&amp;"|"&amp;8,Assessments!$A$2:$A$600,0)),0)</f>
        <v>0</v>
      </c>
      <c r="DE473" s="28" t="n">
        <f aca="false">IFERROR(INDEX(Assessments!$J$2:$J$600,MATCH($H473&amp;"|"&amp;$I473&amp;"|"&amp;$J473&amp;"|"&amp;9,Assessments!$A$2:$A$600,0)),0)</f>
        <v>0</v>
      </c>
      <c r="DF473" s="28" t="n">
        <f aca="false">IFERROR(INDEX(Assessments!$J$2:$J$600,MATCH($H473&amp;"|"&amp;$I473&amp;"|"&amp;$J473&amp;"|"&amp;10,Assessments!$A$2:$A$600,0)),0)</f>
        <v>0</v>
      </c>
      <c r="DG473" s="28" t="n">
        <f aca="false">IFERROR(INDEX(Assessments!$J$2:$J$600,MATCH($H473&amp;"|"&amp;$I473&amp;"|"&amp;$J473&amp;"|"&amp;11,Assessments!$A$2:$A$600,0)),0)</f>
        <v>0</v>
      </c>
      <c r="DH473" s="28" t="n">
        <f aca="false">IFERROR(INDEX(Assessments!$J$2:$J$600,MATCH($H473&amp;"|"&amp;$I473&amp;"|"&amp;$J473&amp;"|"&amp;12,Assessments!$A$2:$A$600,0)),0)</f>
        <v>0</v>
      </c>
      <c r="DI473" s="28" t="n">
        <f aca="false">IFERROR(INDEX(Assessments!$J$2:$J$600,MATCH($H473&amp;"|"&amp;$I473&amp;"|"&amp;$J473&amp;"|"&amp;13,Assessments!$A$2:$A$600,0)),0)</f>
        <v>0</v>
      </c>
      <c r="DJ473" s="28" t="n">
        <f aca="false">IFERROR(INDEX(Assessments!$J$2:$J$600,MATCH($H473&amp;"|"&amp;$I473&amp;"|"&amp;$J473&amp;"|"&amp;14,Assessments!$A$2:$A$600,0)),0)</f>
        <v>0</v>
      </c>
      <c r="DK473" s="28" t="str">
        <f aca="false">S473</f>
        <v/>
      </c>
      <c r="DL473" s="28" t="str">
        <f aca="false">W473</f>
        <v/>
      </c>
      <c r="DM473" s="28" t="str">
        <f aca="false">AA473</f>
        <v/>
      </c>
      <c r="DN473" s="28" t="str">
        <f aca="false">AE473</f>
        <v/>
      </c>
      <c r="DO473" s="28" t="str">
        <f aca="false">AI473</f>
        <v/>
      </c>
      <c r="DP473" s="28" t="str">
        <f aca="false">AM473</f>
        <v/>
      </c>
      <c r="DQ473" s="28" t="str">
        <f aca="false">AQ473</f>
        <v/>
      </c>
      <c r="DR473" s="28" t="str">
        <f aca="false">AU473</f>
        <v/>
      </c>
      <c r="DS473" s="28" t="str">
        <f aca="false">AY473</f>
        <v/>
      </c>
      <c r="DT473" s="28" t="str">
        <f aca="false">BC473</f>
        <v/>
      </c>
      <c r="DU473" s="28" t="str">
        <f aca="false">BG473</f>
        <v/>
      </c>
      <c r="DV473" s="28" t="str">
        <f aca="false">BK473</f>
        <v/>
      </c>
      <c r="DW473" s="28" t="str">
        <f aca="false">BO473</f>
        <v/>
      </c>
      <c r="DX473" s="28" t="str">
        <f aca="false">BS473</f>
        <v/>
      </c>
      <c r="DY473" s="28" t="str">
        <f aca="false">IF(ISNUMBER(S473),1,"")</f>
        <v/>
      </c>
      <c r="DZ473" s="28" t="str">
        <f aca="false">IF(ISNUMBER(W473),2,"")</f>
        <v/>
      </c>
      <c r="EA473" s="28" t="str">
        <f aca="false">IF(ISNUMBER(AA473),3,"")</f>
        <v/>
      </c>
      <c r="EB473" s="28" t="str">
        <f aca="false">IF(ISNUMBER(AE473),4,"")</f>
        <v/>
      </c>
      <c r="EC473" s="28" t="str">
        <f aca="false">IF(ISNUMBER(AI473),5,"")</f>
        <v/>
      </c>
      <c r="ED473" s="28" t="str">
        <f aca="false">IF(ISNUMBER(AM473),6,"")</f>
        <v/>
      </c>
      <c r="EE473" s="28" t="str">
        <f aca="false">IF(ISNUMBER(AQ473),7,"")</f>
        <v/>
      </c>
      <c r="EF473" s="28" t="str">
        <f aca="false">IF(ISNUMBER(AU473),8,"")</f>
        <v/>
      </c>
      <c r="EG473" s="28" t="str">
        <f aca="false">IF(ISNUMBER(AY473),9,"")</f>
        <v/>
      </c>
      <c r="EH473" s="28" t="str">
        <f aca="false">IF(ISNUMBER(BC473),10,"")</f>
        <v/>
      </c>
      <c r="EI473" s="28" t="str">
        <f aca="false">IF(ISNUMBER(BG473),11,"")</f>
        <v/>
      </c>
      <c r="EJ473" s="28" t="str">
        <f aca="false">IF(ISNUMBER(BK473),12,"")</f>
        <v/>
      </c>
      <c r="EK473" s="28" t="str">
        <f aca="false">IF(ISNUMBER(BO473),13,"")</f>
        <v/>
      </c>
      <c r="EL473" s="28" t="str">
        <f aca="false">IF(ISNUMBER(BS473),14,"")</f>
        <v/>
      </c>
      <c r="EM473" s="28" t="n">
        <f aca="false">IF(ISNUMBER(R473),R473*CW473,0)</f>
        <v>0</v>
      </c>
      <c r="EN473" s="28" t="n">
        <f aca="false">IF(ISNUMBER(V473),V473*CX473,0)</f>
        <v>0</v>
      </c>
      <c r="EO473" s="28" t="n">
        <f aca="false">IF(ISNUMBER(Z473),Z473*CY473,0)</f>
        <v>0</v>
      </c>
      <c r="EP473" s="28" t="n">
        <f aca="false">IF(ISNUMBER(AD473),AD473*CZ473,0)</f>
        <v>0</v>
      </c>
      <c r="EQ473" s="28" t="n">
        <f aca="false">IF(ISNUMBER(AH473),AH473*DA473,0)</f>
        <v>0</v>
      </c>
      <c r="ER473" s="28" t="n">
        <f aca="false">IF(ISNUMBER(AL473),AL473*DB473,0)</f>
        <v>0</v>
      </c>
      <c r="ES473" s="28" t="n">
        <f aca="false">IF(ISNUMBER(AP473),AP473*DC473,0)</f>
        <v>0</v>
      </c>
      <c r="ET473" s="28" t="n">
        <f aca="false">IF(ISNUMBER(AT473),AT473*DD473,0)</f>
        <v>0</v>
      </c>
      <c r="EU473" s="28" t="n">
        <f aca="false">IF(ISNUMBER(AX473),AX473*DE473,0)</f>
        <v>0</v>
      </c>
      <c r="EV473" s="28" t="n">
        <f aca="false">IF(ISNUMBER(BB473),BB473*DF473,0)</f>
        <v>0</v>
      </c>
      <c r="EW473" s="28" t="n">
        <f aca="false">IF(ISNUMBER(BF473),BF473*DG473,0)</f>
        <v>0</v>
      </c>
      <c r="EX473" s="28" t="n">
        <f aca="false">IF(ISNUMBER(BJ473),BJ473*DH473,0)</f>
        <v>0</v>
      </c>
      <c r="EY473" s="28" t="n">
        <f aca="false">IF(ISNUMBER(BN473),BN473*DI473,0)</f>
        <v>0</v>
      </c>
      <c r="EZ473" s="28" t="n">
        <f aca="false">IF(ISNUMBER(BR473),BR473*DJ473,0)</f>
        <v>0</v>
      </c>
      <c r="FA473" s="28" t="n">
        <f aca="false">IF(ISNUMBER(R473),CW473,0)</f>
        <v>0</v>
      </c>
      <c r="FB473" s="28" t="n">
        <f aca="false">IF(ISNUMBER(V473),CX473,0)</f>
        <v>0</v>
      </c>
      <c r="FC473" s="28" t="n">
        <f aca="false">IF(ISNUMBER(Z473),CY473,0)</f>
        <v>0</v>
      </c>
      <c r="FD473" s="28" t="n">
        <f aca="false">IF(ISNUMBER(AD473),CZ473,0)</f>
        <v>0</v>
      </c>
      <c r="FE473" s="28" t="n">
        <f aca="false">IF(ISNUMBER(AH473),DA473,0)</f>
        <v>0</v>
      </c>
      <c r="FF473" s="28" t="n">
        <f aca="false">IF(ISNUMBER(AL473),DB473,0)</f>
        <v>0</v>
      </c>
      <c r="FG473" s="28" t="n">
        <f aca="false">IF(ISNUMBER(AP473),DC473,0)</f>
        <v>0</v>
      </c>
      <c r="FH473" s="28" t="n">
        <f aca="false">IF(ISNUMBER(AT473),DD473,0)</f>
        <v>0</v>
      </c>
      <c r="FI473" s="28" t="n">
        <f aca="false">IF(ISNUMBER(AX473),DE473,0)</f>
        <v>0</v>
      </c>
      <c r="FJ473" s="28" t="n">
        <f aca="false">IF(ISNUMBER(BB473),DF473,0)</f>
        <v>0</v>
      </c>
      <c r="FK473" s="28" t="n">
        <f aca="false">IF(ISNUMBER(BF473),DG473,0)</f>
        <v>0</v>
      </c>
      <c r="FL473" s="28" t="n">
        <f aca="false">IF(ISNUMBER(BJ473),DH473,0)</f>
        <v>0</v>
      </c>
      <c r="FM473" s="28" t="n">
        <f aca="false">IF(ISNUMBER(BN473),DI473,0)</f>
        <v>0</v>
      </c>
      <c r="FN473" s="28" t="n">
        <f aca="false">IF(ISNUMBER(BR473),DJ473,0)</f>
        <v>0</v>
      </c>
      <c r="FO473" s="28" t="str">
        <f aca="false">IFERROR(INDEX(Lists!$G$2:$G$20,MATCH($I473&amp;"|"&amp;$J473,Lists!$F$2:$F$20,0)),"")</f>
        <v/>
      </c>
    </row>
    <row r="474" customFormat="false" ht="19.5" hidden="false" customHeight="true" outlineLevel="0" collapsed="false">
      <c r="A474" s="29"/>
      <c r="B474" s="29"/>
      <c r="C474" s="30"/>
      <c r="D474" s="30"/>
      <c r="E474" s="31"/>
      <c r="F474" s="30"/>
      <c r="G474" s="30"/>
      <c r="H474" s="32"/>
      <c r="I474" s="33"/>
      <c r="J474" s="32"/>
      <c r="K474" s="34" t="str">
        <f aca="false">IF(OR(M474="",$E474=""),"",M474-$E474)</f>
        <v/>
      </c>
      <c r="L474" s="35" t="str">
        <f aca="false">IF(SUM(FA474:FN474)=0,"",SUM(EM474:EZ474)/SUM(FA474:FN474))</f>
        <v/>
      </c>
      <c r="M474" s="36" t="str">
        <f aca="false">IF(OR(L474="",FO474=""),"",IFERROR(MATCH(L474,INDEX(Boundaries!$B$2:$I$30,MATCH(FO474,Boundaries!$A$2:$A$30,0),0),1)-1,""))</f>
        <v/>
      </c>
      <c r="N474" s="37" t="str">
        <f aca="false">IF(COUNT($DY474:$EL474)&lt;2,"",INDEX($DK474:$DX474,MAX($DY474:$EL474))-INDEX($DK474:$DX474,MIN($DY474:$EL474)))</f>
        <v/>
      </c>
      <c r="O474" s="37" t="str">
        <f aca="false">IF(COUNT($DY474:$EL474)&lt;2,"",INDEX($DK474:$DX474,MAX($DY474:$EL474))-INDEX($DK474:$DX474,LARGE($DY474:$EL474,2)))</f>
        <v/>
      </c>
      <c r="P474" s="38" t="str">
        <f aca="false">IF(K474="","",IF(K474&gt;=0,"On/above target",IF(AND(N474&lt;&gt;"",N474&gt;=0.5),"Improving towards target",IF(AND(O474&lt;&gt;"",O474&lt;=-0.5),"Declining","Stable below target"))))</f>
        <v/>
      </c>
      <c r="Q474" s="39"/>
      <c r="R474" s="40" t="str">
        <f aca="false">IF(OR(Q474="",BU474=""),"",Q474/BU474*100)</f>
        <v/>
      </c>
      <c r="S474" s="41" t="str">
        <f aca="false">IF(R474="","",IFERROR(MATCH(R474,INDEX(Boundaries!$B$2:$I$30,MATCH(CI474,Boundaries!$A$2:$A$30,0),0),1)-1,""))</f>
        <v/>
      </c>
      <c r="T474" s="42" t="str">
        <f aca="false">IF(OR(S474="",$E474=""),"",S474-$E474)</f>
        <v/>
      </c>
      <c r="U474" s="39"/>
      <c r="V474" s="40" t="str">
        <f aca="false">IF(OR(U474="",BV474=""),"",U474/BV474*100)</f>
        <v/>
      </c>
      <c r="W474" s="41" t="str">
        <f aca="false">IF(V474="","",IFERROR(MATCH(V474,INDEX(Boundaries!$B$2:$I$30,MATCH(CJ474,Boundaries!$A$2:$A$30,0),0),1)-1,""))</f>
        <v/>
      </c>
      <c r="X474" s="42" t="str">
        <f aca="false">IF(OR(W474="",$E474=""),"",W474-$E474)</f>
        <v/>
      </c>
      <c r="Y474" s="39"/>
      <c r="Z474" s="40" t="str">
        <f aca="false">IF(OR(Y474="",BW474=""),"",Y474/BW474*100)</f>
        <v/>
      </c>
      <c r="AA474" s="41" t="str">
        <f aca="false">IF(Z474="","",IFERROR(MATCH(Z474,INDEX(Boundaries!$B$2:$I$30,MATCH(CK474,Boundaries!$A$2:$A$30,0),0),1)-1,""))</f>
        <v/>
      </c>
      <c r="AB474" s="42" t="str">
        <f aca="false">IF(OR(AA474="",$E474=""),"",AA474-$E474)</f>
        <v/>
      </c>
      <c r="AC474" s="39"/>
      <c r="AD474" s="40" t="str">
        <f aca="false">IF(OR(AC474="",BX474=""),"",AC474/BX474*100)</f>
        <v/>
      </c>
      <c r="AE474" s="41" t="str">
        <f aca="false">IF(AD474="","",IFERROR(MATCH(AD474,INDEX(Boundaries!$B$2:$I$30,MATCH(CL474,Boundaries!$A$2:$A$30,0),0),1)-1,""))</f>
        <v/>
      </c>
      <c r="AF474" s="42" t="str">
        <f aca="false">IF(OR(AE474="",$E474=""),"",AE474-$E474)</f>
        <v/>
      </c>
      <c r="AG474" s="39"/>
      <c r="AH474" s="40" t="str">
        <f aca="false">IF(OR(AG474="",BY474=""),"",AG474/BY474*100)</f>
        <v/>
      </c>
      <c r="AI474" s="41" t="str">
        <f aca="false">IF(AH474="","",IFERROR(MATCH(AH474,INDEX(Boundaries!$B$2:$I$30,MATCH(CM474,Boundaries!$A$2:$A$30,0),0),1)-1,""))</f>
        <v/>
      </c>
      <c r="AJ474" s="42" t="str">
        <f aca="false">IF(OR(AI474="",$E474=""),"",AI474-$E474)</f>
        <v/>
      </c>
      <c r="AK474" s="39"/>
      <c r="AL474" s="40" t="str">
        <f aca="false">IF(OR(AK474="",BZ474=""),"",AK474/BZ474*100)</f>
        <v/>
      </c>
      <c r="AM474" s="41" t="str">
        <f aca="false">IF(AL474="","",IFERROR(MATCH(AL474,INDEX(Boundaries!$B$2:$I$30,MATCH(CN474,Boundaries!$A$2:$A$30,0),0),1)-1,""))</f>
        <v/>
      </c>
      <c r="AN474" s="42" t="str">
        <f aca="false">IF(OR(AM474="",$E474=""),"",AM474-$E474)</f>
        <v/>
      </c>
      <c r="AO474" s="39"/>
      <c r="AP474" s="40" t="str">
        <f aca="false">IF(OR(AO474="",CA474=""),"",AO474/CA474*100)</f>
        <v/>
      </c>
      <c r="AQ474" s="41" t="str">
        <f aca="false">IF(AP474="","",IFERROR(MATCH(AP474,INDEX(Boundaries!$B$2:$I$30,MATCH(CO474,Boundaries!$A$2:$A$30,0),0),1)-1,""))</f>
        <v/>
      </c>
      <c r="AR474" s="42" t="str">
        <f aca="false">IF(OR(AQ474="",$E474=""),"",AQ474-$E474)</f>
        <v/>
      </c>
      <c r="AS474" s="39"/>
      <c r="AT474" s="40" t="str">
        <f aca="false">IF(OR(AS474="",CB474=""),"",AS474/CB474*100)</f>
        <v/>
      </c>
      <c r="AU474" s="41" t="str">
        <f aca="false">IF(AT474="","",IFERROR(MATCH(AT474,INDEX(Boundaries!$B$2:$I$30,MATCH(CP474,Boundaries!$A$2:$A$30,0),0),1)-1,""))</f>
        <v/>
      </c>
      <c r="AV474" s="42" t="str">
        <f aca="false">IF(OR(AU474="",$E474=""),"",AU474-$E474)</f>
        <v/>
      </c>
      <c r="AW474" s="39"/>
      <c r="AX474" s="40" t="str">
        <f aca="false">IF(OR(AW474="",CC474=""),"",AW474/CC474*100)</f>
        <v/>
      </c>
      <c r="AY474" s="41" t="str">
        <f aca="false">IF(AX474="","",IFERROR(MATCH(AX474,INDEX(Boundaries!$B$2:$I$30,MATCH(CQ474,Boundaries!$A$2:$A$30,0),0),1)-1,""))</f>
        <v/>
      </c>
      <c r="AZ474" s="42" t="str">
        <f aca="false">IF(OR(AY474="",$E474=""),"",AY474-$E474)</f>
        <v/>
      </c>
      <c r="BA474" s="39"/>
      <c r="BB474" s="40" t="str">
        <f aca="false">IF(OR(BA474="",CD474=""),"",BA474/CD474*100)</f>
        <v/>
      </c>
      <c r="BC474" s="41" t="str">
        <f aca="false">IF(BB474="","",IFERROR(MATCH(BB474,INDEX(Boundaries!$B$2:$I$30,MATCH(CR474,Boundaries!$A$2:$A$30,0),0),1)-1,""))</f>
        <v/>
      </c>
      <c r="BD474" s="42" t="str">
        <f aca="false">IF(OR(BC474="",$E474=""),"",BC474-$E474)</f>
        <v/>
      </c>
      <c r="BE474" s="39"/>
      <c r="BF474" s="40" t="str">
        <f aca="false">IF(OR(BE474="",CE474=""),"",BE474/CE474*100)</f>
        <v/>
      </c>
      <c r="BG474" s="41" t="str">
        <f aca="false">IF(BF474="","",IFERROR(MATCH(BF474,INDEX(Boundaries!$B$2:$I$30,MATCH(CS474,Boundaries!$A$2:$A$30,0),0),1)-1,""))</f>
        <v/>
      </c>
      <c r="BH474" s="42" t="str">
        <f aca="false">IF(OR(BG474="",$E474=""),"",BG474-$E474)</f>
        <v/>
      </c>
      <c r="BI474" s="39"/>
      <c r="BJ474" s="40" t="str">
        <f aca="false">IF(OR(BI474="",CF474=""),"",BI474/CF474*100)</f>
        <v/>
      </c>
      <c r="BK474" s="41" t="str">
        <f aca="false">IF(BJ474="","",IFERROR(MATCH(BJ474,INDEX(Boundaries!$B$2:$I$30,MATCH(CT474,Boundaries!$A$2:$A$30,0),0),1)-1,""))</f>
        <v/>
      </c>
      <c r="BL474" s="42" t="str">
        <f aca="false">IF(OR(BK474="",$E474=""),"",BK474-$E474)</f>
        <v/>
      </c>
      <c r="BM474" s="39"/>
      <c r="BN474" s="40" t="str">
        <f aca="false">IF(OR(BM474="",CG474=""),"",BM474/CG474*100)</f>
        <v/>
      </c>
      <c r="BO474" s="41" t="str">
        <f aca="false">IF(BN474="","",IFERROR(MATCH(BN474,INDEX(Boundaries!$B$2:$I$30,MATCH(CU474,Boundaries!$A$2:$A$30,0),0),1)-1,""))</f>
        <v/>
      </c>
      <c r="BP474" s="42" t="str">
        <f aca="false">IF(OR(BO474="",$E474=""),"",BO474-$E474)</f>
        <v/>
      </c>
      <c r="BQ474" s="39"/>
      <c r="BR474" s="40" t="str">
        <f aca="false">IF(OR(BQ474="",CH474=""),"",BQ474/CH474*100)</f>
        <v/>
      </c>
      <c r="BS474" s="41" t="str">
        <f aca="false">IF(BR474="","",IFERROR(MATCH(BR474,INDEX(Boundaries!$B$2:$I$30,MATCH(CV474,Boundaries!$A$2:$A$30,0),0),1)-1,""))</f>
        <v/>
      </c>
      <c r="BT474" s="42" t="str">
        <f aca="false">IF(OR(BS474="",$E474=""),"",BS474-$E474)</f>
        <v/>
      </c>
      <c r="BU474" s="28" t="str">
        <f aca="false">IFERROR(INDEX(Assessments!$H$2:$H$600,MATCH($H474&amp;"|"&amp;$I474&amp;"|"&amp;$J474&amp;"|"&amp;1,Assessments!$A$2:$A$600,0)),"")</f>
        <v/>
      </c>
      <c r="BV474" s="28" t="str">
        <f aca="false">IFERROR(INDEX(Assessments!$H$2:$H$600,MATCH($H474&amp;"|"&amp;$I474&amp;"|"&amp;$J474&amp;"|"&amp;2,Assessments!$A$2:$A$600,0)),"")</f>
        <v/>
      </c>
      <c r="BW474" s="28" t="str">
        <f aca="false">IFERROR(INDEX(Assessments!$H$2:$H$600,MATCH($H474&amp;"|"&amp;$I474&amp;"|"&amp;$J474&amp;"|"&amp;3,Assessments!$A$2:$A$600,0)),"")</f>
        <v/>
      </c>
      <c r="BX474" s="28" t="str">
        <f aca="false">IFERROR(INDEX(Assessments!$H$2:$H$600,MATCH($H474&amp;"|"&amp;$I474&amp;"|"&amp;$J474&amp;"|"&amp;4,Assessments!$A$2:$A$600,0)),"")</f>
        <v/>
      </c>
      <c r="BY474" s="28" t="str">
        <f aca="false">IFERROR(INDEX(Assessments!$H$2:$H$600,MATCH($H474&amp;"|"&amp;$I474&amp;"|"&amp;$J474&amp;"|"&amp;5,Assessments!$A$2:$A$600,0)),"")</f>
        <v/>
      </c>
      <c r="BZ474" s="28" t="str">
        <f aca="false">IFERROR(INDEX(Assessments!$H$2:$H$600,MATCH($H474&amp;"|"&amp;$I474&amp;"|"&amp;$J474&amp;"|"&amp;6,Assessments!$A$2:$A$600,0)),"")</f>
        <v/>
      </c>
      <c r="CA474" s="28" t="str">
        <f aca="false">IFERROR(INDEX(Assessments!$H$2:$H$600,MATCH($H474&amp;"|"&amp;$I474&amp;"|"&amp;$J474&amp;"|"&amp;7,Assessments!$A$2:$A$600,0)),"")</f>
        <v/>
      </c>
      <c r="CB474" s="28" t="str">
        <f aca="false">IFERROR(INDEX(Assessments!$H$2:$H$600,MATCH($H474&amp;"|"&amp;$I474&amp;"|"&amp;$J474&amp;"|"&amp;8,Assessments!$A$2:$A$600,0)),"")</f>
        <v/>
      </c>
      <c r="CC474" s="28" t="str">
        <f aca="false">IFERROR(INDEX(Assessments!$H$2:$H$600,MATCH($H474&amp;"|"&amp;$I474&amp;"|"&amp;$J474&amp;"|"&amp;9,Assessments!$A$2:$A$600,0)),"")</f>
        <v/>
      </c>
      <c r="CD474" s="28" t="str">
        <f aca="false">IFERROR(INDEX(Assessments!$H$2:$H$600,MATCH($H474&amp;"|"&amp;$I474&amp;"|"&amp;$J474&amp;"|"&amp;10,Assessments!$A$2:$A$600,0)),"")</f>
        <v/>
      </c>
      <c r="CE474" s="28" t="str">
        <f aca="false">IFERROR(INDEX(Assessments!$H$2:$H$600,MATCH($H474&amp;"|"&amp;$I474&amp;"|"&amp;$J474&amp;"|"&amp;11,Assessments!$A$2:$A$600,0)),"")</f>
        <v/>
      </c>
      <c r="CF474" s="28" t="str">
        <f aca="false">IFERROR(INDEX(Assessments!$H$2:$H$600,MATCH($H474&amp;"|"&amp;$I474&amp;"|"&amp;$J474&amp;"|"&amp;12,Assessments!$A$2:$A$600,0)),"")</f>
        <v/>
      </c>
      <c r="CG474" s="28" t="str">
        <f aca="false">IFERROR(INDEX(Assessments!$H$2:$H$600,MATCH($H474&amp;"|"&amp;$I474&amp;"|"&amp;$J474&amp;"|"&amp;13,Assessments!$A$2:$A$600,0)),"")</f>
        <v/>
      </c>
      <c r="CH474" s="28" t="str">
        <f aca="false">IFERROR(INDEX(Assessments!$H$2:$H$600,MATCH($H474&amp;"|"&amp;$I474&amp;"|"&amp;$J474&amp;"|"&amp;14,Assessments!$A$2:$A$600,0)),"")</f>
        <v/>
      </c>
      <c r="CI474" s="28" t="str">
        <f aca="false">IFERROR(INDEX(Assessments!$I$2:$I$600,MATCH($H474&amp;"|"&amp;$I474&amp;"|"&amp;$J474&amp;"|"&amp;1,Assessments!$A$2:$A$600,0)),"")</f>
        <v/>
      </c>
      <c r="CJ474" s="28" t="str">
        <f aca="false">IFERROR(INDEX(Assessments!$I$2:$I$600,MATCH($H474&amp;"|"&amp;$I474&amp;"|"&amp;$J474&amp;"|"&amp;2,Assessments!$A$2:$A$600,0)),"")</f>
        <v/>
      </c>
      <c r="CK474" s="28" t="str">
        <f aca="false">IFERROR(INDEX(Assessments!$I$2:$I$600,MATCH($H474&amp;"|"&amp;$I474&amp;"|"&amp;$J474&amp;"|"&amp;3,Assessments!$A$2:$A$600,0)),"")</f>
        <v/>
      </c>
      <c r="CL474" s="28" t="str">
        <f aca="false">IFERROR(INDEX(Assessments!$I$2:$I$600,MATCH($H474&amp;"|"&amp;$I474&amp;"|"&amp;$J474&amp;"|"&amp;4,Assessments!$A$2:$A$600,0)),"")</f>
        <v/>
      </c>
      <c r="CM474" s="28" t="str">
        <f aca="false">IFERROR(INDEX(Assessments!$I$2:$I$600,MATCH($H474&amp;"|"&amp;$I474&amp;"|"&amp;$J474&amp;"|"&amp;5,Assessments!$A$2:$A$600,0)),"")</f>
        <v/>
      </c>
      <c r="CN474" s="28" t="str">
        <f aca="false">IFERROR(INDEX(Assessments!$I$2:$I$600,MATCH($H474&amp;"|"&amp;$I474&amp;"|"&amp;$J474&amp;"|"&amp;6,Assessments!$A$2:$A$600,0)),"")</f>
        <v/>
      </c>
      <c r="CO474" s="28" t="str">
        <f aca="false">IFERROR(INDEX(Assessments!$I$2:$I$600,MATCH($H474&amp;"|"&amp;$I474&amp;"|"&amp;$J474&amp;"|"&amp;7,Assessments!$A$2:$A$600,0)),"")</f>
        <v/>
      </c>
      <c r="CP474" s="28" t="str">
        <f aca="false">IFERROR(INDEX(Assessments!$I$2:$I$600,MATCH($H474&amp;"|"&amp;$I474&amp;"|"&amp;$J474&amp;"|"&amp;8,Assessments!$A$2:$A$600,0)),"")</f>
        <v/>
      </c>
      <c r="CQ474" s="28" t="str">
        <f aca="false">IFERROR(INDEX(Assessments!$I$2:$I$600,MATCH($H474&amp;"|"&amp;$I474&amp;"|"&amp;$J474&amp;"|"&amp;9,Assessments!$A$2:$A$600,0)),"")</f>
        <v/>
      </c>
      <c r="CR474" s="28" t="str">
        <f aca="false">IFERROR(INDEX(Assessments!$I$2:$I$600,MATCH($H474&amp;"|"&amp;$I474&amp;"|"&amp;$J474&amp;"|"&amp;10,Assessments!$A$2:$A$600,0)),"")</f>
        <v/>
      </c>
      <c r="CS474" s="28" t="str">
        <f aca="false">IFERROR(INDEX(Assessments!$I$2:$I$600,MATCH($H474&amp;"|"&amp;$I474&amp;"|"&amp;$J474&amp;"|"&amp;11,Assessments!$A$2:$A$600,0)),"")</f>
        <v/>
      </c>
      <c r="CT474" s="28" t="str">
        <f aca="false">IFERROR(INDEX(Assessments!$I$2:$I$600,MATCH($H474&amp;"|"&amp;$I474&amp;"|"&amp;$J474&amp;"|"&amp;12,Assessments!$A$2:$A$600,0)),"")</f>
        <v/>
      </c>
      <c r="CU474" s="28" t="str">
        <f aca="false">IFERROR(INDEX(Assessments!$I$2:$I$600,MATCH($H474&amp;"|"&amp;$I474&amp;"|"&amp;$J474&amp;"|"&amp;13,Assessments!$A$2:$A$600,0)),"")</f>
        <v/>
      </c>
      <c r="CV474" s="28" t="str">
        <f aca="false">IFERROR(INDEX(Assessments!$I$2:$I$600,MATCH($H474&amp;"|"&amp;$I474&amp;"|"&amp;$J474&amp;"|"&amp;14,Assessments!$A$2:$A$600,0)),"")</f>
        <v/>
      </c>
      <c r="CW474" s="28" t="n">
        <f aca="false">IFERROR(INDEX(Assessments!$J$2:$J$600,MATCH($H474&amp;"|"&amp;$I474&amp;"|"&amp;$J474&amp;"|"&amp;1,Assessments!$A$2:$A$600,0)),0)</f>
        <v>0</v>
      </c>
      <c r="CX474" s="28" t="n">
        <f aca="false">IFERROR(INDEX(Assessments!$J$2:$J$600,MATCH($H474&amp;"|"&amp;$I474&amp;"|"&amp;$J474&amp;"|"&amp;2,Assessments!$A$2:$A$600,0)),0)</f>
        <v>0</v>
      </c>
      <c r="CY474" s="28" t="n">
        <f aca="false">IFERROR(INDEX(Assessments!$J$2:$J$600,MATCH($H474&amp;"|"&amp;$I474&amp;"|"&amp;$J474&amp;"|"&amp;3,Assessments!$A$2:$A$600,0)),0)</f>
        <v>0</v>
      </c>
      <c r="CZ474" s="28" t="n">
        <f aca="false">IFERROR(INDEX(Assessments!$J$2:$J$600,MATCH($H474&amp;"|"&amp;$I474&amp;"|"&amp;$J474&amp;"|"&amp;4,Assessments!$A$2:$A$600,0)),0)</f>
        <v>0</v>
      </c>
      <c r="DA474" s="28" t="n">
        <f aca="false">IFERROR(INDEX(Assessments!$J$2:$J$600,MATCH($H474&amp;"|"&amp;$I474&amp;"|"&amp;$J474&amp;"|"&amp;5,Assessments!$A$2:$A$600,0)),0)</f>
        <v>0</v>
      </c>
      <c r="DB474" s="28" t="n">
        <f aca="false">IFERROR(INDEX(Assessments!$J$2:$J$600,MATCH($H474&amp;"|"&amp;$I474&amp;"|"&amp;$J474&amp;"|"&amp;6,Assessments!$A$2:$A$600,0)),0)</f>
        <v>0</v>
      </c>
      <c r="DC474" s="28" t="n">
        <f aca="false">IFERROR(INDEX(Assessments!$J$2:$J$600,MATCH($H474&amp;"|"&amp;$I474&amp;"|"&amp;$J474&amp;"|"&amp;7,Assessments!$A$2:$A$600,0)),0)</f>
        <v>0</v>
      </c>
      <c r="DD474" s="28" t="n">
        <f aca="false">IFERROR(INDEX(Assessments!$J$2:$J$600,MATCH($H474&amp;"|"&amp;$I474&amp;"|"&amp;$J474&amp;"|"&amp;8,Assessments!$A$2:$A$600,0)),0)</f>
        <v>0</v>
      </c>
      <c r="DE474" s="28" t="n">
        <f aca="false">IFERROR(INDEX(Assessments!$J$2:$J$600,MATCH($H474&amp;"|"&amp;$I474&amp;"|"&amp;$J474&amp;"|"&amp;9,Assessments!$A$2:$A$600,0)),0)</f>
        <v>0</v>
      </c>
      <c r="DF474" s="28" t="n">
        <f aca="false">IFERROR(INDEX(Assessments!$J$2:$J$600,MATCH($H474&amp;"|"&amp;$I474&amp;"|"&amp;$J474&amp;"|"&amp;10,Assessments!$A$2:$A$600,0)),0)</f>
        <v>0</v>
      </c>
      <c r="DG474" s="28" t="n">
        <f aca="false">IFERROR(INDEX(Assessments!$J$2:$J$600,MATCH($H474&amp;"|"&amp;$I474&amp;"|"&amp;$J474&amp;"|"&amp;11,Assessments!$A$2:$A$600,0)),0)</f>
        <v>0</v>
      </c>
      <c r="DH474" s="28" t="n">
        <f aca="false">IFERROR(INDEX(Assessments!$J$2:$J$600,MATCH($H474&amp;"|"&amp;$I474&amp;"|"&amp;$J474&amp;"|"&amp;12,Assessments!$A$2:$A$600,0)),0)</f>
        <v>0</v>
      </c>
      <c r="DI474" s="28" t="n">
        <f aca="false">IFERROR(INDEX(Assessments!$J$2:$J$600,MATCH($H474&amp;"|"&amp;$I474&amp;"|"&amp;$J474&amp;"|"&amp;13,Assessments!$A$2:$A$600,0)),0)</f>
        <v>0</v>
      </c>
      <c r="DJ474" s="28" t="n">
        <f aca="false">IFERROR(INDEX(Assessments!$J$2:$J$600,MATCH($H474&amp;"|"&amp;$I474&amp;"|"&amp;$J474&amp;"|"&amp;14,Assessments!$A$2:$A$600,0)),0)</f>
        <v>0</v>
      </c>
      <c r="DK474" s="28" t="str">
        <f aca="false">S474</f>
        <v/>
      </c>
      <c r="DL474" s="28" t="str">
        <f aca="false">W474</f>
        <v/>
      </c>
      <c r="DM474" s="28" t="str">
        <f aca="false">AA474</f>
        <v/>
      </c>
      <c r="DN474" s="28" t="str">
        <f aca="false">AE474</f>
        <v/>
      </c>
      <c r="DO474" s="28" t="str">
        <f aca="false">AI474</f>
        <v/>
      </c>
      <c r="DP474" s="28" t="str">
        <f aca="false">AM474</f>
        <v/>
      </c>
      <c r="DQ474" s="28" t="str">
        <f aca="false">AQ474</f>
        <v/>
      </c>
      <c r="DR474" s="28" t="str">
        <f aca="false">AU474</f>
        <v/>
      </c>
      <c r="DS474" s="28" t="str">
        <f aca="false">AY474</f>
        <v/>
      </c>
      <c r="DT474" s="28" t="str">
        <f aca="false">BC474</f>
        <v/>
      </c>
      <c r="DU474" s="28" t="str">
        <f aca="false">BG474</f>
        <v/>
      </c>
      <c r="DV474" s="28" t="str">
        <f aca="false">BK474</f>
        <v/>
      </c>
      <c r="DW474" s="28" t="str">
        <f aca="false">BO474</f>
        <v/>
      </c>
      <c r="DX474" s="28" t="str">
        <f aca="false">BS474</f>
        <v/>
      </c>
      <c r="DY474" s="28" t="str">
        <f aca="false">IF(ISNUMBER(S474),1,"")</f>
        <v/>
      </c>
      <c r="DZ474" s="28" t="str">
        <f aca="false">IF(ISNUMBER(W474),2,"")</f>
        <v/>
      </c>
      <c r="EA474" s="28" t="str">
        <f aca="false">IF(ISNUMBER(AA474),3,"")</f>
        <v/>
      </c>
      <c r="EB474" s="28" t="str">
        <f aca="false">IF(ISNUMBER(AE474),4,"")</f>
        <v/>
      </c>
      <c r="EC474" s="28" t="str">
        <f aca="false">IF(ISNUMBER(AI474),5,"")</f>
        <v/>
      </c>
      <c r="ED474" s="28" t="str">
        <f aca="false">IF(ISNUMBER(AM474),6,"")</f>
        <v/>
      </c>
      <c r="EE474" s="28" t="str">
        <f aca="false">IF(ISNUMBER(AQ474),7,"")</f>
        <v/>
      </c>
      <c r="EF474" s="28" t="str">
        <f aca="false">IF(ISNUMBER(AU474),8,"")</f>
        <v/>
      </c>
      <c r="EG474" s="28" t="str">
        <f aca="false">IF(ISNUMBER(AY474),9,"")</f>
        <v/>
      </c>
      <c r="EH474" s="28" t="str">
        <f aca="false">IF(ISNUMBER(BC474),10,"")</f>
        <v/>
      </c>
      <c r="EI474" s="28" t="str">
        <f aca="false">IF(ISNUMBER(BG474),11,"")</f>
        <v/>
      </c>
      <c r="EJ474" s="28" t="str">
        <f aca="false">IF(ISNUMBER(BK474),12,"")</f>
        <v/>
      </c>
      <c r="EK474" s="28" t="str">
        <f aca="false">IF(ISNUMBER(BO474),13,"")</f>
        <v/>
      </c>
      <c r="EL474" s="28" t="str">
        <f aca="false">IF(ISNUMBER(BS474),14,"")</f>
        <v/>
      </c>
      <c r="EM474" s="28" t="n">
        <f aca="false">IF(ISNUMBER(R474),R474*CW474,0)</f>
        <v>0</v>
      </c>
      <c r="EN474" s="28" t="n">
        <f aca="false">IF(ISNUMBER(V474),V474*CX474,0)</f>
        <v>0</v>
      </c>
      <c r="EO474" s="28" t="n">
        <f aca="false">IF(ISNUMBER(Z474),Z474*CY474,0)</f>
        <v>0</v>
      </c>
      <c r="EP474" s="28" t="n">
        <f aca="false">IF(ISNUMBER(AD474),AD474*CZ474,0)</f>
        <v>0</v>
      </c>
      <c r="EQ474" s="28" t="n">
        <f aca="false">IF(ISNUMBER(AH474),AH474*DA474,0)</f>
        <v>0</v>
      </c>
      <c r="ER474" s="28" t="n">
        <f aca="false">IF(ISNUMBER(AL474),AL474*DB474,0)</f>
        <v>0</v>
      </c>
      <c r="ES474" s="28" t="n">
        <f aca="false">IF(ISNUMBER(AP474),AP474*DC474,0)</f>
        <v>0</v>
      </c>
      <c r="ET474" s="28" t="n">
        <f aca="false">IF(ISNUMBER(AT474),AT474*DD474,0)</f>
        <v>0</v>
      </c>
      <c r="EU474" s="28" t="n">
        <f aca="false">IF(ISNUMBER(AX474),AX474*DE474,0)</f>
        <v>0</v>
      </c>
      <c r="EV474" s="28" t="n">
        <f aca="false">IF(ISNUMBER(BB474),BB474*DF474,0)</f>
        <v>0</v>
      </c>
      <c r="EW474" s="28" t="n">
        <f aca="false">IF(ISNUMBER(BF474),BF474*DG474,0)</f>
        <v>0</v>
      </c>
      <c r="EX474" s="28" t="n">
        <f aca="false">IF(ISNUMBER(BJ474),BJ474*DH474,0)</f>
        <v>0</v>
      </c>
      <c r="EY474" s="28" t="n">
        <f aca="false">IF(ISNUMBER(BN474),BN474*DI474,0)</f>
        <v>0</v>
      </c>
      <c r="EZ474" s="28" t="n">
        <f aca="false">IF(ISNUMBER(BR474),BR474*DJ474,0)</f>
        <v>0</v>
      </c>
      <c r="FA474" s="28" t="n">
        <f aca="false">IF(ISNUMBER(R474),CW474,0)</f>
        <v>0</v>
      </c>
      <c r="FB474" s="28" t="n">
        <f aca="false">IF(ISNUMBER(V474),CX474,0)</f>
        <v>0</v>
      </c>
      <c r="FC474" s="28" t="n">
        <f aca="false">IF(ISNUMBER(Z474),CY474,0)</f>
        <v>0</v>
      </c>
      <c r="FD474" s="28" t="n">
        <f aca="false">IF(ISNUMBER(AD474),CZ474,0)</f>
        <v>0</v>
      </c>
      <c r="FE474" s="28" t="n">
        <f aca="false">IF(ISNUMBER(AH474),DA474,0)</f>
        <v>0</v>
      </c>
      <c r="FF474" s="28" t="n">
        <f aca="false">IF(ISNUMBER(AL474),DB474,0)</f>
        <v>0</v>
      </c>
      <c r="FG474" s="28" t="n">
        <f aca="false">IF(ISNUMBER(AP474),DC474,0)</f>
        <v>0</v>
      </c>
      <c r="FH474" s="28" t="n">
        <f aca="false">IF(ISNUMBER(AT474),DD474,0)</f>
        <v>0</v>
      </c>
      <c r="FI474" s="28" t="n">
        <f aca="false">IF(ISNUMBER(AX474),DE474,0)</f>
        <v>0</v>
      </c>
      <c r="FJ474" s="28" t="n">
        <f aca="false">IF(ISNUMBER(BB474),DF474,0)</f>
        <v>0</v>
      </c>
      <c r="FK474" s="28" t="n">
        <f aca="false">IF(ISNUMBER(BF474),DG474,0)</f>
        <v>0</v>
      </c>
      <c r="FL474" s="28" t="n">
        <f aca="false">IF(ISNUMBER(BJ474),DH474,0)</f>
        <v>0</v>
      </c>
      <c r="FM474" s="28" t="n">
        <f aca="false">IF(ISNUMBER(BN474),DI474,0)</f>
        <v>0</v>
      </c>
      <c r="FN474" s="28" t="n">
        <f aca="false">IF(ISNUMBER(BR474),DJ474,0)</f>
        <v>0</v>
      </c>
      <c r="FO474" s="28" t="str">
        <f aca="false">IFERROR(INDEX(Lists!$G$2:$G$20,MATCH($I474&amp;"|"&amp;$J474,Lists!$F$2:$F$20,0)),"")</f>
        <v/>
      </c>
    </row>
    <row r="475" customFormat="false" ht="19.5" hidden="false" customHeight="true" outlineLevel="0" collapsed="false">
      <c r="A475" s="29"/>
      <c r="B475" s="29"/>
      <c r="C475" s="30"/>
      <c r="D475" s="30"/>
      <c r="E475" s="31"/>
      <c r="F475" s="30"/>
      <c r="G475" s="30"/>
      <c r="H475" s="32"/>
      <c r="I475" s="33"/>
      <c r="J475" s="32"/>
      <c r="K475" s="34" t="str">
        <f aca="false">IF(OR(M475="",$E475=""),"",M475-$E475)</f>
        <v/>
      </c>
      <c r="L475" s="35" t="str">
        <f aca="false">IF(SUM(FA475:FN475)=0,"",SUM(EM475:EZ475)/SUM(FA475:FN475))</f>
        <v/>
      </c>
      <c r="M475" s="36" t="str">
        <f aca="false">IF(OR(L475="",FO475=""),"",IFERROR(MATCH(L475,INDEX(Boundaries!$B$2:$I$30,MATCH(FO475,Boundaries!$A$2:$A$30,0),0),1)-1,""))</f>
        <v/>
      </c>
      <c r="N475" s="37" t="str">
        <f aca="false">IF(COUNT($DY475:$EL475)&lt;2,"",INDEX($DK475:$DX475,MAX($DY475:$EL475))-INDEX($DK475:$DX475,MIN($DY475:$EL475)))</f>
        <v/>
      </c>
      <c r="O475" s="37" t="str">
        <f aca="false">IF(COUNT($DY475:$EL475)&lt;2,"",INDEX($DK475:$DX475,MAX($DY475:$EL475))-INDEX($DK475:$DX475,LARGE($DY475:$EL475,2)))</f>
        <v/>
      </c>
      <c r="P475" s="38" t="str">
        <f aca="false">IF(K475="","",IF(K475&gt;=0,"On/above target",IF(AND(N475&lt;&gt;"",N475&gt;=0.5),"Improving towards target",IF(AND(O475&lt;&gt;"",O475&lt;=-0.5),"Declining","Stable below target"))))</f>
        <v/>
      </c>
      <c r="Q475" s="39"/>
      <c r="R475" s="40" t="str">
        <f aca="false">IF(OR(Q475="",BU475=""),"",Q475/BU475*100)</f>
        <v/>
      </c>
      <c r="S475" s="41" t="str">
        <f aca="false">IF(R475="","",IFERROR(MATCH(R475,INDEX(Boundaries!$B$2:$I$30,MATCH(CI475,Boundaries!$A$2:$A$30,0),0),1)-1,""))</f>
        <v/>
      </c>
      <c r="T475" s="42" t="str">
        <f aca="false">IF(OR(S475="",$E475=""),"",S475-$E475)</f>
        <v/>
      </c>
      <c r="U475" s="39"/>
      <c r="V475" s="40" t="str">
        <f aca="false">IF(OR(U475="",BV475=""),"",U475/BV475*100)</f>
        <v/>
      </c>
      <c r="W475" s="41" t="str">
        <f aca="false">IF(V475="","",IFERROR(MATCH(V475,INDEX(Boundaries!$B$2:$I$30,MATCH(CJ475,Boundaries!$A$2:$A$30,0),0),1)-1,""))</f>
        <v/>
      </c>
      <c r="X475" s="42" t="str">
        <f aca="false">IF(OR(W475="",$E475=""),"",W475-$E475)</f>
        <v/>
      </c>
      <c r="Y475" s="39"/>
      <c r="Z475" s="40" t="str">
        <f aca="false">IF(OR(Y475="",BW475=""),"",Y475/BW475*100)</f>
        <v/>
      </c>
      <c r="AA475" s="41" t="str">
        <f aca="false">IF(Z475="","",IFERROR(MATCH(Z475,INDEX(Boundaries!$B$2:$I$30,MATCH(CK475,Boundaries!$A$2:$A$30,0),0),1)-1,""))</f>
        <v/>
      </c>
      <c r="AB475" s="42" t="str">
        <f aca="false">IF(OR(AA475="",$E475=""),"",AA475-$E475)</f>
        <v/>
      </c>
      <c r="AC475" s="39"/>
      <c r="AD475" s="40" t="str">
        <f aca="false">IF(OR(AC475="",BX475=""),"",AC475/BX475*100)</f>
        <v/>
      </c>
      <c r="AE475" s="41" t="str">
        <f aca="false">IF(AD475="","",IFERROR(MATCH(AD475,INDEX(Boundaries!$B$2:$I$30,MATCH(CL475,Boundaries!$A$2:$A$30,0),0),1)-1,""))</f>
        <v/>
      </c>
      <c r="AF475" s="42" t="str">
        <f aca="false">IF(OR(AE475="",$E475=""),"",AE475-$E475)</f>
        <v/>
      </c>
      <c r="AG475" s="39"/>
      <c r="AH475" s="40" t="str">
        <f aca="false">IF(OR(AG475="",BY475=""),"",AG475/BY475*100)</f>
        <v/>
      </c>
      <c r="AI475" s="41" t="str">
        <f aca="false">IF(AH475="","",IFERROR(MATCH(AH475,INDEX(Boundaries!$B$2:$I$30,MATCH(CM475,Boundaries!$A$2:$A$30,0),0),1)-1,""))</f>
        <v/>
      </c>
      <c r="AJ475" s="42" t="str">
        <f aca="false">IF(OR(AI475="",$E475=""),"",AI475-$E475)</f>
        <v/>
      </c>
      <c r="AK475" s="39"/>
      <c r="AL475" s="40" t="str">
        <f aca="false">IF(OR(AK475="",BZ475=""),"",AK475/BZ475*100)</f>
        <v/>
      </c>
      <c r="AM475" s="41" t="str">
        <f aca="false">IF(AL475="","",IFERROR(MATCH(AL475,INDEX(Boundaries!$B$2:$I$30,MATCH(CN475,Boundaries!$A$2:$A$30,0),0),1)-1,""))</f>
        <v/>
      </c>
      <c r="AN475" s="42" t="str">
        <f aca="false">IF(OR(AM475="",$E475=""),"",AM475-$E475)</f>
        <v/>
      </c>
      <c r="AO475" s="39"/>
      <c r="AP475" s="40" t="str">
        <f aca="false">IF(OR(AO475="",CA475=""),"",AO475/CA475*100)</f>
        <v/>
      </c>
      <c r="AQ475" s="41" t="str">
        <f aca="false">IF(AP475="","",IFERROR(MATCH(AP475,INDEX(Boundaries!$B$2:$I$30,MATCH(CO475,Boundaries!$A$2:$A$30,0),0),1)-1,""))</f>
        <v/>
      </c>
      <c r="AR475" s="42" t="str">
        <f aca="false">IF(OR(AQ475="",$E475=""),"",AQ475-$E475)</f>
        <v/>
      </c>
      <c r="AS475" s="39"/>
      <c r="AT475" s="40" t="str">
        <f aca="false">IF(OR(AS475="",CB475=""),"",AS475/CB475*100)</f>
        <v/>
      </c>
      <c r="AU475" s="41" t="str">
        <f aca="false">IF(AT475="","",IFERROR(MATCH(AT475,INDEX(Boundaries!$B$2:$I$30,MATCH(CP475,Boundaries!$A$2:$A$30,0),0),1)-1,""))</f>
        <v/>
      </c>
      <c r="AV475" s="42" t="str">
        <f aca="false">IF(OR(AU475="",$E475=""),"",AU475-$E475)</f>
        <v/>
      </c>
      <c r="AW475" s="39"/>
      <c r="AX475" s="40" t="str">
        <f aca="false">IF(OR(AW475="",CC475=""),"",AW475/CC475*100)</f>
        <v/>
      </c>
      <c r="AY475" s="41" t="str">
        <f aca="false">IF(AX475="","",IFERROR(MATCH(AX475,INDEX(Boundaries!$B$2:$I$30,MATCH(CQ475,Boundaries!$A$2:$A$30,0),0),1)-1,""))</f>
        <v/>
      </c>
      <c r="AZ475" s="42" t="str">
        <f aca="false">IF(OR(AY475="",$E475=""),"",AY475-$E475)</f>
        <v/>
      </c>
      <c r="BA475" s="39"/>
      <c r="BB475" s="40" t="str">
        <f aca="false">IF(OR(BA475="",CD475=""),"",BA475/CD475*100)</f>
        <v/>
      </c>
      <c r="BC475" s="41" t="str">
        <f aca="false">IF(BB475="","",IFERROR(MATCH(BB475,INDEX(Boundaries!$B$2:$I$30,MATCH(CR475,Boundaries!$A$2:$A$30,0),0),1)-1,""))</f>
        <v/>
      </c>
      <c r="BD475" s="42" t="str">
        <f aca="false">IF(OR(BC475="",$E475=""),"",BC475-$E475)</f>
        <v/>
      </c>
      <c r="BE475" s="39"/>
      <c r="BF475" s="40" t="str">
        <f aca="false">IF(OR(BE475="",CE475=""),"",BE475/CE475*100)</f>
        <v/>
      </c>
      <c r="BG475" s="41" t="str">
        <f aca="false">IF(BF475="","",IFERROR(MATCH(BF475,INDEX(Boundaries!$B$2:$I$30,MATCH(CS475,Boundaries!$A$2:$A$30,0),0),1)-1,""))</f>
        <v/>
      </c>
      <c r="BH475" s="42" t="str">
        <f aca="false">IF(OR(BG475="",$E475=""),"",BG475-$E475)</f>
        <v/>
      </c>
      <c r="BI475" s="39"/>
      <c r="BJ475" s="40" t="str">
        <f aca="false">IF(OR(BI475="",CF475=""),"",BI475/CF475*100)</f>
        <v/>
      </c>
      <c r="BK475" s="41" t="str">
        <f aca="false">IF(BJ475="","",IFERROR(MATCH(BJ475,INDEX(Boundaries!$B$2:$I$30,MATCH(CT475,Boundaries!$A$2:$A$30,0),0),1)-1,""))</f>
        <v/>
      </c>
      <c r="BL475" s="42" t="str">
        <f aca="false">IF(OR(BK475="",$E475=""),"",BK475-$E475)</f>
        <v/>
      </c>
      <c r="BM475" s="39"/>
      <c r="BN475" s="40" t="str">
        <f aca="false">IF(OR(BM475="",CG475=""),"",BM475/CG475*100)</f>
        <v/>
      </c>
      <c r="BO475" s="41" t="str">
        <f aca="false">IF(BN475="","",IFERROR(MATCH(BN475,INDEX(Boundaries!$B$2:$I$30,MATCH(CU475,Boundaries!$A$2:$A$30,0),0),1)-1,""))</f>
        <v/>
      </c>
      <c r="BP475" s="42" t="str">
        <f aca="false">IF(OR(BO475="",$E475=""),"",BO475-$E475)</f>
        <v/>
      </c>
      <c r="BQ475" s="39"/>
      <c r="BR475" s="40" t="str">
        <f aca="false">IF(OR(BQ475="",CH475=""),"",BQ475/CH475*100)</f>
        <v/>
      </c>
      <c r="BS475" s="41" t="str">
        <f aca="false">IF(BR475="","",IFERROR(MATCH(BR475,INDEX(Boundaries!$B$2:$I$30,MATCH(CV475,Boundaries!$A$2:$A$30,0),0),1)-1,""))</f>
        <v/>
      </c>
      <c r="BT475" s="42" t="str">
        <f aca="false">IF(OR(BS475="",$E475=""),"",BS475-$E475)</f>
        <v/>
      </c>
      <c r="BU475" s="28" t="str">
        <f aca="false">IFERROR(INDEX(Assessments!$H$2:$H$600,MATCH($H475&amp;"|"&amp;$I475&amp;"|"&amp;$J475&amp;"|"&amp;1,Assessments!$A$2:$A$600,0)),"")</f>
        <v/>
      </c>
      <c r="BV475" s="28" t="str">
        <f aca="false">IFERROR(INDEX(Assessments!$H$2:$H$600,MATCH($H475&amp;"|"&amp;$I475&amp;"|"&amp;$J475&amp;"|"&amp;2,Assessments!$A$2:$A$600,0)),"")</f>
        <v/>
      </c>
      <c r="BW475" s="28" t="str">
        <f aca="false">IFERROR(INDEX(Assessments!$H$2:$H$600,MATCH($H475&amp;"|"&amp;$I475&amp;"|"&amp;$J475&amp;"|"&amp;3,Assessments!$A$2:$A$600,0)),"")</f>
        <v/>
      </c>
      <c r="BX475" s="28" t="str">
        <f aca="false">IFERROR(INDEX(Assessments!$H$2:$H$600,MATCH($H475&amp;"|"&amp;$I475&amp;"|"&amp;$J475&amp;"|"&amp;4,Assessments!$A$2:$A$600,0)),"")</f>
        <v/>
      </c>
      <c r="BY475" s="28" t="str">
        <f aca="false">IFERROR(INDEX(Assessments!$H$2:$H$600,MATCH($H475&amp;"|"&amp;$I475&amp;"|"&amp;$J475&amp;"|"&amp;5,Assessments!$A$2:$A$600,0)),"")</f>
        <v/>
      </c>
      <c r="BZ475" s="28" t="str">
        <f aca="false">IFERROR(INDEX(Assessments!$H$2:$H$600,MATCH($H475&amp;"|"&amp;$I475&amp;"|"&amp;$J475&amp;"|"&amp;6,Assessments!$A$2:$A$600,0)),"")</f>
        <v/>
      </c>
      <c r="CA475" s="28" t="str">
        <f aca="false">IFERROR(INDEX(Assessments!$H$2:$H$600,MATCH($H475&amp;"|"&amp;$I475&amp;"|"&amp;$J475&amp;"|"&amp;7,Assessments!$A$2:$A$600,0)),"")</f>
        <v/>
      </c>
      <c r="CB475" s="28" t="str">
        <f aca="false">IFERROR(INDEX(Assessments!$H$2:$H$600,MATCH($H475&amp;"|"&amp;$I475&amp;"|"&amp;$J475&amp;"|"&amp;8,Assessments!$A$2:$A$600,0)),"")</f>
        <v/>
      </c>
      <c r="CC475" s="28" t="str">
        <f aca="false">IFERROR(INDEX(Assessments!$H$2:$H$600,MATCH($H475&amp;"|"&amp;$I475&amp;"|"&amp;$J475&amp;"|"&amp;9,Assessments!$A$2:$A$600,0)),"")</f>
        <v/>
      </c>
      <c r="CD475" s="28" t="str">
        <f aca="false">IFERROR(INDEX(Assessments!$H$2:$H$600,MATCH($H475&amp;"|"&amp;$I475&amp;"|"&amp;$J475&amp;"|"&amp;10,Assessments!$A$2:$A$600,0)),"")</f>
        <v/>
      </c>
      <c r="CE475" s="28" t="str">
        <f aca="false">IFERROR(INDEX(Assessments!$H$2:$H$600,MATCH($H475&amp;"|"&amp;$I475&amp;"|"&amp;$J475&amp;"|"&amp;11,Assessments!$A$2:$A$600,0)),"")</f>
        <v/>
      </c>
      <c r="CF475" s="28" t="str">
        <f aca="false">IFERROR(INDEX(Assessments!$H$2:$H$600,MATCH($H475&amp;"|"&amp;$I475&amp;"|"&amp;$J475&amp;"|"&amp;12,Assessments!$A$2:$A$600,0)),"")</f>
        <v/>
      </c>
      <c r="CG475" s="28" t="str">
        <f aca="false">IFERROR(INDEX(Assessments!$H$2:$H$600,MATCH($H475&amp;"|"&amp;$I475&amp;"|"&amp;$J475&amp;"|"&amp;13,Assessments!$A$2:$A$600,0)),"")</f>
        <v/>
      </c>
      <c r="CH475" s="28" t="str">
        <f aca="false">IFERROR(INDEX(Assessments!$H$2:$H$600,MATCH($H475&amp;"|"&amp;$I475&amp;"|"&amp;$J475&amp;"|"&amp;14,Assessments!$A$2:$A$600,0)),"")</f>
        <v/>
      </c>
      <c r="CI475" s="28" t="str">
        <f aca="false">IFERROR(INDEX(Assessments!$I$2:$I$600,MATCH($H475&amp;"|"&amp;$I475&amp;"|"&amp;$J475&amp;"|"&amp;1,Assessments!$A$2:$A$600,0)),"")</f>
        <v/>
      </c>
      <c r="CJ475" s="28" t="str">
        <f aca="false">IFERROR(INDEX(Assessments!$I$2:$I$600,MATCH($H475&amp;"|"&amp;$I475&amp;"|"&amp;$J475&amp;"|"&amp;2,Assessments!$A$2:$A$600,0)),"")</f>
        <v/>
      </c>
      <c r="CK475" s="28" t="str">
        <f aca="false">IFERROR(INDEX(Assessments!$I$2:$I$600,MATCH($H475&amp;"|"&amp;$I475&amp;"|"&amp;$J475&amp;"|"&amp;3,Assessments!$A$2:$A$600,0)),"")</f>
        <v/>
      </c>
      <c r="CL475" s="28" t="str">
        <f aca="false">IFERROR(INDEX(Assessments!$I$2:$I$600,MATCH($H475&amp;"|"&amp;$I475&amp;"|"&amp;$J475&amp;"|"&amp;4,Assessments!$A$2:$A$600,0)),"")</f>
        <v/>
      </c>
      <c r="CM475" s="28" t="str">
        <f aca="false">IFERROR(INDEX(Assessments!$I$2:$I$600,MATCH($H475&amp;"|"&amp;$I475&amp;"|"&amp;$J475&amp;"|"&amp;5,Assessments!$A$2:$A$600,0)),"")</f>
        <v/>
      </c>
      <c r="CN475" s="28" t="str">
        <f aca="false">IFERROR(INDEX(Assessments!$I$2:$I$600,MATCH($H475&amp;"|"&amp;$I475&amp;"|"&amp;$J475&amp;"|"&amp;6,Assessments!$A$2:$A$600,0)),"")</f>
        <v/>
      </c>
      <c r="CO475" s="28" t="str">
        <f aca="false">IFERROR(INDEX(Assessments!$I$2:$I$600,MATCH($H475&amp;"|"&amp;$I475&amp;"|"&amp;$J475&amp;"|"&amp;7,Assessments!$A$2:$A$600,0)),"")</f>
        <v/>
      </c>
      <c r="CP475" s="28" t="str">
        <f aca="false">IFERROR(INDEX(Assessments!$I$2:$I$600,MATCH($H475&amp;"|"&amp;$I475&amp;"|"&amp;$J475&amp;"|"&amp;8,Assessments!$A$2:$A$600,0)),"")</f>
        <v/>
      </c>
      <c r="CQ475" s="28" t="str">
        <f aca="false">IFERROR(INDEX(Assessments!$I$2:$I$600,MATCH($H475&amp;"|"&amp;$I475&amp;"|"&amp;$J475&amp;"|"&amp;9,Assessments!$A$2:$A$600,0)),"")</f>
        <v/>
      </c>
      <c r="CR475" s="28" t="str">
        <f aca="false">IFERROR(INDEX(Assessments!$I$2:$I$600,MATCH($H475&amp;"|"&amp;$I475&amp;"|"&amp;$J475&amp;"|"&amp;10,Assessments!$A$2:$A$600,0)),"")</f>
        <v/>
      </c>
      <c r="CS475" s="28" t="str">
        <f aca="false">IFERROR(INDEX(Assessments!$I$2:$I$600,MATCH($H475&amp;"|"&amp;$I475&amp;"|"&amp;$J475&amp;"|"&amp;11,Assessments!$A$2:$A$600,0)),"")</f>
        <v/>
      </c>
      <c r="CT475" s="28" t="str">
        <f aca="false">IFERROR(INDEX(Assessments!$I$2:$I$600,MATCH($H475&amp;"|"&amp;$I475&amp;"|"&amp;$J475&amp;"|"&amp;12,Assessments!$A$2:$A$600,0)),"")</f>
        <v/>
      </c>
      <c r="CU475" s="28" t="str">
        <f aca="false">IFERROR(INDEX(Assessments!$I$2:$I$600,MATCH($H475&amp;"|"&amp;$I475&amp;"|"&amp;$J475&amp;"|"&amp;13,Assessments!$A$2:$A$600,0)),"")</f>
        <v/>
      </c>
      <c r="CV475" s="28" t="str">
        <f aca="false">IFERROR(INDEX(Assessments!$I$2:$I$600,MATCH($H475&amp;"|"&amp;$I475&amp;"|"&amp;$J475&amp;"|"&amp;14,Assessments!$A$2:$A$600,0)),"")</f>
        <v/>
      </c>
      <c r="CW475" s="28" t="n">
        <f aca="false">IFERROR(INDEX(Assessments!$J$2:$J$600,MATCH($H475&amp;"|"&amp;$I475&amp;"|"&amp;$J475&amp;"|"&amp;1,Assessments!$A$2:$A$600,0)),0)</f>
        <v>0</v>
      </c>
      <c r="CX475" s="28" t="n">
        <f aca="false">IFERROR(INDEX(Assessments!$J$2:$J$600,MATCH($H475&amp;"|"&amp;$I475&amp;"|"&amp;$J475&amp;"|"&amp;2,Assessments!$A$2:$A$600,0)),0)</f>
        <v>0</v>
      </c>
      <c r="CY475" s="28" t="n">
        <f aca="false">IFERROR(INDEX(Assessments!$J$2:$J$600,MATCH($H475&amp;"|"&amp;$I475&amp;"|"&amp;$J475&amp;"|"&amp;3,Assessments!$A$2:$A$600,0)),0)</f>
        <v>0</v>
      </c>
      <c r="CZ475" s="28" t="n">
        <f aca="false">IFERROR(INDEX(Assessments!$J$2:$J$600,MATCH($H475&amp;"|"&amp;$I475&amp;"|"&amp;$J475&amp;"|"&amp;4,Assessments!$A$2:$A$600,0)),0)</f>
        <v>0</v>
      </c>
      <c r="DA475" s="28" t="n">
        <f aca="false">IFERROR(INDEX(Assessments!$J$2:$J$600,MATCH($H475&amp;"|"&amp;$I475&amp;"|"&amp;$J475&amp;"|"&amp;5,Assessments!$A$2:$A$600,0)),0)</f>
        <v>0</v>
      </c>
      <c r="DB475" s="28" t="n">
        <f aca="false">IFERROR(INDEX(Assessments!$J$2:$J$600,MATCH($H475&amp;"|"&amp;$I475&amp;"|"&amp;$J475&amp;"|"&amp;6,Assessments!$A$2:$A$600,0)),0)</f>
        <v>0</v>
      </c>
      <c r="DC475" s="28" t="n">
        <f aca="false">IFERROR(INDEX(Assessments!$J$2:$J$600,MATCH($H475&amp;"|"&amp;$I475&amp;"|"&amp;$J475&amp;"|"&amp;7,Assessments!$A$2:$A$600,0)),0)</f>
        <v>0</v>
      </c>
      <c r="DD475" s="28" t="n">
        <f aca="false">IFERROR(INDEX(Assessments!$J$2:$J$600,MATCH($H475&amp;"|"&amp;$I475&amp;"|"&amp;$J475&amp;"|"&amp;8,Assessments!$A$2:$A$600,0)),0)</f>
        <v>0</v>
      </c>
      <c r="DE475" s="28" t="n">
        <f aca="false">IFERROR(INDEX(Assessments!$J$2:$J$600,MATCH($H475&amp;"|"&amp;$I475&amp;"|"&amp;$J475&amp;"|"&amp;9,Assessments!$A$2:$A$600,0)),0)</f>
        <v>0</v>
      </c>
      <c r="DF475" s="28" t="n">
        <f aca="false">IFERROR(INDEX(Assessments!$J$2:$J$600,MATCH($H475&amp;"|"&amp;$I475&amp;"|"&amp;$J475&amp;"|"&amp;10,Assessments!$A$2:$A$600,0)),0)</f>
        <v>0</v>
      </c>
      <c r="DG475" s="28" t="n">
        <f aca="false">IFERROR(INDEX(Assessments!$J$2:$J$600,MATCH($H475&amp;"|"&amp;$I475&amp;"|"&amp;$J475&amp;"|"&amp;11,Assessments!$A$2:$A$600,0)),0)</f>
        <v>0</v>
      </c>
      <c r="DH475" s="28" t="n">
        <f aca="false">IFERROR(INDEX(Assessments!$J$2:$J$600,MATCH($H475&amp;"|"&amp;$I475&amp;"|"&amp;$J475&amp;"|"&amp;12,Assessments!$A$2:$A$600,0)),0)</f>
        <v>0</v>
      </c>
      <c r="DI475" s="28" t="n">
        <f aca="false">IFERROR(INDEX(Assessments!$J$2:$J$600,MATCH($H475&amp;"|"&amp;$I475&amp;"|"&amp;$J475&amp;"|"&amp;13,Assessments!$A$2:$A$600,0)),0)</f>
        <v>0</v>
      </c>
      <c r="DJ475" s="28" t="n">
        <f aca="false">IFERROR(INDEX(Assessments!$J$2:$J$600,MATCH($H475&amp;"|"&amp;$I475&amp;"|"&amp;$J475&amp;"|"&amp;14,Assessments!$A$2:$A$600,0)),0)</f>
        <v>0</v>
      </c>
      <c r="DK475" s="28" t="str">
        <f aca="false">S475</f>
        <v/>
      </c>
      <c r="DL475" s="28" t="str">
        <f aca="false">W475</f>
        <v/>
      </c>
      <c r="DM475" s="28" t="str">
        <f aca="false">AA475</f>
        <v/>
      </c>
      <c r="DN475" s="28" t="str">
        <f aca="false">AE475</f>
        <v/>
      </c>
      <c r="DO475" s="28" t="str">
        <f aca="false">AI475</f>
        <v/>
      </c>
      <c r="DP475" s="28" t="str">
        <f aca="false">AM475</f>
        <v/>
      </c>
      <c r="DQ475" s="28" t="str">
        <f aca="false">AQ475</f>
        <v/>
      </c>
      <c r="DR475" s="28" t="str">
        <f aca="false">AU475</f>
        <v/>
      </c>
      <c r="DS475" s="28" t="str">
        <f aca="false">AY475</f>
        <v/>
      </c>
      <c r="DT475" s="28" t="str">
        <f aca="false">BC475</f>
        <v/>
      </c>
      <c r="DU475" s="28" t="str">
        <f aca="false">BG475</f>
        <v/>
      </c>
      <c r="DV475" s="28" t="str">
        <f aca="false">BK475</f>
        <v/>
      </c>
      <c r="DW475" s="28" t="str">
        <f aca="false">BO475</f>
        <v/>
      </c>
      <c r="DX475" s="28" t="str">
        <f aca="false">BS475</f>
        <v/>
      </c>
      <c r="DY475" s="28" t="str">
        <f aca="false">IF(ISNUMBER(S475),1,"")</f>
        <v/>
      </c>
      <c r="DZ475" s="28" t="str">
        <f aca="false">IF(ISNUMBER(W475),2,"")</f>
        <v/>
      </c>
      <c r="EA475" s="28" t="str">
        <f aca="false">IF(ISNUMBER(AA475),3,"")</f>
        <v/>
      </c>
      <c r="EB475" s="28" t="str">
        <f aca="false">IF(ISNUMBER(AE475),4,"")</f>
        <v/>
      </c>
      <c r="EC475" s="28" t="str">
        <f aca="false">IF(ISNUMBER(AI475),5,"")</f>
        <v/>
      </c>
      <c r="ED475" s="28" t="str">
        <f aca="false">IF(ISNUMBER(AM475),6,"")</f>
        <v/>
      </c>
      <c r="EE475" s="28" t="str">
        <f aca="false">IF(ISNUMBER(AQ475),7,"")</f>
        <v/>
      </c>
      <c r="EF475" s="28" t="str">
        <f aca="false">IF(ISNUMBER(AU475),8,"")</f>
        <v/>
      </c>
      <c r="EG475" s="28" t="str">
        <f aca="false">IF(ISNUMBER(AY475),9,"")</f>
        <v/>
      </c>
      <c r="EH475" s="28" t="str">
        <f aca="false">IF(ISNUMBER(BC475),10,"")</f>
        <v/>
      </c>
      <c r="EI475" s="28" t="str">
        <f aca="false">IF(ISNUMBER(BG475),11,"")</f>
        <v/>
      </c>
      <c r="EJ475" s="28" t="str">
        <f aca="false">IF(ISNUMBER(BK475),12,"")</f>
        <v/>
      </c>
      <c r="EK475" s="28" t="str">
        <f aca="false">IF(ISNUMBER(BO475),13,"")</f>
        <v/>
      </c>
      <c r="EL475" s="28" t="str">
        <f aca="false">IF(ISNUMBER(BS475),14,"")</f>
        <v/>
      </c>
      <c r="EM475" s="28" t="n">
        <f aca="false">IF(ISNUMBER(R475),R475*CW475,0)</f>
        <v>0</v>
      </c>
      <c r="EN475" s="28" t="n">
        <f aca="false">IF(ISNUMBER(V475),V475*CX475,0)</f>
        <v>0</v>
      </c>
      <c r="EO475" s="28" t="n">
        <f aca="false">IF(ISNUMBER(Z475),Z475*CY475,0)</f>
        <v>0</v>
      </c>
      <c r="EP475" s="28" t="n">
        <f aca="false">IF(ISNUMBER(AD475),AD475*CZ475,0)</f>
        <v>0</v>
      </c>
      <c r="EQ475" s="28" t="n">
        <f aca="false">IF(ISNUMBER(AH475),AH475*DA475,0)</f>
        <v>0</v>
      </c>
      <c r="ER475" s="28" t="n">
        <f aca="false">IF(ISNUMBER(AL475),AL475*DB475,0)</f>
        <v>0</v>
      </c>
      <c r="ES475" s="28" t="n">
        <f aca="false">IF(ISNUMBER(AP475),AP475*DC475,0)</f>
        <v>0</v>
      </c>
      <c r="ET475" s="28" t="n">
        <f aca="false">IF(ISNUMBER(AT475),AT475*DD475,0)</f>
        <v>0</v>
      </c>
      <c r="EU475" s="28" t="n">
        <f aca="false">IF(ISNUMBER(AX475),AX475*DE475,0)</f>
        <v>0</v>
      </c>
      <c r="EV475" s="28" t="n">
        <f aca="false">IF(ISNUMBER(BB475),BB475*DF475,0)</f>
        <v>0</v>
      </c>
      <c r="EW475" s="28" t="n">
        <f aca="false">IF(ISNUMBER(BF475),BF475*DG475,0)</f>
        <v>0</v>
      </c>
      <c r="EX475" s="28" t="n">
        <f aca="false">IF(ISNUMBER(BJ475),BJ475*DH475,0)</f>
        <v>0</v>
      </c>
      <c r="EY475" s="28" t="n">
        <f aca="false">IF(ISNUMBER(BN475),BN475*DI475,0)</f>
        <v>0</v>
      </c>
      <c r="EZ475" s="28" t="n">
        <f aca="false">IF(ISNUMBER(BR475),BR475*DJ475,0)</f>
        <v>0</v>
      </c>
      <c r="FA475" s="28" t="n">
        <f aca="false">IF(ISNUMBER(R475),CW475,0)</f>
        <v>0</v>
      </c>
      <c r="FB475" s="28" t="n">
        <f aca="false">IF(ISNUMBER(V475),CX475,0)</f>
        <v>0</v>
      </c>
      <c r="FC475" s="28" t="n">
        <f aca="false">IF(ISNUMBER(Z475),CY475,0)</f>
        <v>0</v>
      </c>
      <c r="FD475" s="28" t="n">
        <f aca="false">IF(ISNUMBER(AD475),CZ475,0)</f>
        <v>0</v>
      </c>
      <c r="FE475" s="28" t="n">
        <f aca="false">IF(ISNUMBER(AH475),DA475,0)</f>
        <v>0</v>
      </c>
      <c r="FF475" s="28" t="n">
        <f aca="false">IF(ISNUMBER(AL475),DB475,0)</f>
        <v>0</v>
      </c>
      <c r="FG475" s="28" t="n">
        <f aca="false">IF(ISNUMBER(AP475),DC475,0)</f>
        <v>0</v>
      </c>
      <c r="FH475" s="28" t="n">
        <f aca="false">IF(ISNUMBER(AT475),DD475,0)</f>
        <v>0</v>
      </c>
      <c r="FI475" s="28" t="n">
        <f aca="false">IF(ISNUMBER(AX475),DE475,0)</f>
        <v>0</v>
      </c>
      <c r="FJ475" s="28" t="n">
        <f aca="false">IF(ISNUMBER(BB475),DF475,0)</f>
        <v>0</v>
      </c>
      <c r="FK475" s="28" t="n">
        <f aca="false">IF(ISNUMBER(BF475),DG475,0)</f>
        <v>0</v>
      </c>
      <c r="FL475" s="28" t="n">
        <f aca="false">IF(ISNUMBER(BJ475),DH475,0)</f>
        <v>0</v>
      </c>
      <c r="FM475" s="28" t="n">
        <f aca="false">IF(ISNUMBER(BN475),DI475,0)</f>
        <v>0</v>
      </c>
      <c r="FN475" s="28" t="n">
        <f aca="false">IF(ISNUMBER(BR475),DJ475,0)</f>
        <v>0</v>
      </c>
      <c r="FO475" s="28" t="str">
        <f aca="false">IFERROR(INDEX(Lists!$G$2:$G$20,MATCH($I475&amp;"|"&amp;$J475,Lists!$F$2:$F$20,0)),"")</f>
        <v/>
      </c>
    </row>
    <row r="476" customFormat="false" ht="19.5" hidden="false" customHeight="true" outlineLevel="0" collapsed="false">
      <c r="A476" s="29"/>
      <c r="B476" s="29"/>
      <c r="C476" s="30"/>
      <c r="D476" s="30"/>
      <c r="E476" s="31"/>
      <c r="F476" s="30"/>
      <c r="G476" s="30"/>
      <c r="H476" s="32"/>
      <c r="I476" s="33"/>
      <c r="J476" s="32"/>
      <c r="K476" s="34" t="str">
        <f aca="false">IF(OR(M476="",$E476=""),"",M476-$E476)</f>
        <v/>
      </c>
      <c r="L476" s="35" t="str">
        <f aca="false">IF(SUM(FA476:FN476)=0,"",SUM(EM476:EZ476)/SUM(FA476:FN476))</f>
        <v/>
      </c>
      <c r="M476" s="36" t="str">
        <f aca="false">IF(OR(L476="",FO476=""),"",IFERROR(MATCH(L476,INDEX(Boundaries!$B$2:$I$30,MATCH(FO476,Boundaries!$A$2:$A$30,0),0),1)-1,""))</f>
        <v/>
      </c>
      <c r="N476" s="37" t="str">
        <f aca="false">IF(COUNT($DY476:$EL476)&lt;2,"",INDEX($DK476:$DX476,MAX($DY476:$EL476))-INDEX($DK476:$DX476,MIN($DY476:$EL476)))</f>
        <v/>
      </c>
      <c r="O476" s="37" t="str">
        <f aca="false">IF(COUNT($DY476:$EL476)&lt;2,"",INDEX($DK476:$DX476,MAX($DY476:$EL476))-INDEX($DK476:$DX476,LARGE($DY476:$EL476,2)))</f>
        <v/>
      </c>
      <c r="P476" s="38" t="str">
        <f aca="false">IF(K476="","",IF(K476&gt;=0,"On/above target",IF(AND(N476&lt;&gt;"",N476&gt;=0.5),"Improving towards target",IF(AND(O476&lt;&gt;"",O476&lt;=-0.5),"Declining","Stable below target"))))</f>
        <v/>
      </c>
      <c r="Q476" s="39"/>
      <c r="R476" s="40" t="str">
        <f aca="false">IF(OR(Q476="",BU476=""),"",Q476/BU476*100)</f>
        <v/>
      </c>
      <c r="S476" s="41" t="str">
        <f aca="false">IF(R476="","",IFERROR(MATCH(R476,INDEX(Boundaries!$B$2:$I$30,MATCH(CI476,Boundaries!$A$2:$A$30,0),0),1)-1,""))</f>
        <v/>
      </c>
      <c r="T476" s="42" t="str">
        <f aca="false">IF(OR(S476="",$E476=""),"",S476-$E476)</f>
        <v/>
      </c>
      <c r="U476" s="39"/>
      <c r="V476" s="40" t="str">
        <f aca="false">IF(OR(U476="",BV476=""),"",U476/BV476*100)</f>
        <v/>
      </c>
      <c r="W476" s="41" t="str">
        <f aca="false">IF(V476="","",IFERROR(MATCH(V476,INDEX(Boundaries!$B$2:$I$30,MATCH(CJ476,Boundaries!$A$2:$A$30,0),0),1)-1,""))</f>
        <v/>
      </c>
      <c r="X476" s="42" t="str">
        <f aca="false">IF(OR(W476="",$E476=""),"",W476-$E476)</f>
        <v/>
      </c>
      <c r="Y476" s="39"/>
      <c r="Z476" s="40" t="str">
        <f aca="false">IF(OR(Y476="",BW476=""),"",Y476/BW476*100)</f>
        <v/>
      </c>
      <c r="AA476" s="41" t="str">
        <f aca="false">IF(Z476="","",IFERROR(MATCH(Z476,INDEX(Boundaries!$B$2:$I$30,MATCH(CK476,Boundaries!$A$2:$A$30,0),0),1)-1,""))</f>
        <v/>
      </c>
      <c r="AB476" s="42" t="str">
        <f aca="false">IF(OR(AA476="",$E476=""),"",AA476-$E476)</f>
        <v/>
      </c>
      <c r="AC476" s="39"/>
      <c r="AD476" s="40" t="str">
        <f aca="false">IF(OR(AC476="",BX476=""),"",AC476/BX476*100)</f>
        <v/>
      </c>
      <c r="AE476" s="41" t="str">
        <f aca="false">IF(AD476="","",IFERROR(MATCH(AD476,INDEX(Boundaries!$B$2:$I$30,MATCH(CL476,Boundaries!$A$2:$A$30,0),0),1)-1,""))</f>
        <v/>
      </c>
      <c r="AF476" s="42" t="str">
        <f aca="false">IF(OR(AE476="",$E476=""),"",AE476-$E476)</f>
        <v/>
      </c>
      <c r="AG476" s="39"/>
      <c r="AH476" s="40" t="str">
        <f aca="false">IF(OR(AG476="",BY476=""),"",AG476/BY476*100)</f>
        <v/>
      </c>
      <c r="AI476" s="41" t="str">
        <f aca="false">IF(AH476="","",IFERROR(MATCH(AH476,INDEX(Boundaries!$B$2:$I$30,MATCH(CM476,Boundaries!$A$2:$A$30,0),0),1)-1,""))</f>
        <v/>
      </c>
      <c r="AJ476" s="42" t="str">
        <f aca="false">IF(OR(AI476="",$E476=""),"",AI476-$E476)</f>
        <v/>
      </c>
      <c r="AK476" s="39"/>
      <c r="AL476" s="40" t="str">
        <f aca="false">IF(OR(AK476="",BZ476=""),"",AK476/BZ476*100)</f>
        <v/>
      </c>
      <c r="AM476" s="41" t="str">
        <f aca="false">IF(AL476="","",IFERROR(MATCH(AL476,INDEX(Boundaries!$B$2:$I$30,MATCH(CN476,Boundaries!$A$2:$A$30,0),0),1)-1,""))</f>
        <v/>
      </c>
      <c r="AN476" s="42" t="str">
        <f aca="false">IF(OR(AM476="",$E476=""),"",AM476-$E476)</f>
        <v/>
      </c>
      <c r="AO476" s="39"/>
      <c r="AP476" s="40" t="str">
        <f aca="false">IF(OR(AO476="",CA476=""),"",AO476/CA476*100)</f>
        <v/>
      </c>
      <c r="AQ476" s="41" t="str">
        <f aca="false">IF(AP476="","",IFERROR(MATCH(AP476,INDEX(Boundaries!$B$2:$I$30,MATCH(CO476,Boundaries!$A$2:$A$30,0),0),1)-1,""))</f>
        <v/>
      </c>
      <c r="AR476" s="42" t="str">
        <f aca="false">IF(OR(AQ476="",$E476=""),"",AQ476-$E476)</f>
        <v/>
      </c>
      <c r="AS476" s="39"/>
      <c r="AT476" s="40" t="str">
        <f aca="false">IF(OR(AS476="",CB476=""),"",AS476/CB476*100)</f>
        <v/>
      </c>
      <c r="AU476" s="41" t="str">
        <f aca="false">IF(AT476="","",IFERROR(MATCH(AT476,INDEX(Boundaries!$B$2:$I$30,MATCH(CP476,Boundaries!$A$2:$A$30,0),0),1)-1,""))</f>
        <v/>
      </c>
      <c r="AV476" s="42" t="str">
        <f aca="false">IF(OR(AU476="",$E476=""),"",AU476-$E476)</f>
        <v/>
      </c>
      <c r="AW476" s="39"/>
      <c r="AX476" s="40" t="str">
        <f aca="false">IF(OR(AW476="",CC476=""),"",AW476/CC476*100)</f>
        <v/>
      </c>
      <c r="AY476" s="41" t="str">
        <f aca="false">IF(AX476="","",IFERROR(MATCH(AX476,INDEX(Boundaries!$B$2:$I$30,MATCH(CQ476,Boundaries!$A$2:$A$30,0),0),1)-1,""))</f>
        <v/>
      </c>
      <c r="AZ476" s="42" t="str">
        <f aca="false">IF(OR(AY476="",$E476=""),"",AY476-$E476)</f>
        <v/>
      </c>
      <c r="BA476" s="39"/>
      <c r="BB476" s="40" t="str">
        <f aca="false">IF(OR(BA476="",CD476=""),"",BA476/CD476*100)</f>
        <v/>
      </c>
      <c r="BC476" s="41" t="str">
        <f aca="false">IF(BB476="","",IFERROR(MATCH(BB476,INDEX(Boundaries!$B$2:$I$30,MATCH(CR476,Boundaries!$A$2:$A$30,0),0),1)-1,""))</f>
        <v/>
      </c>
      <c r="BD476" s="42" t="str">
        <f aca="false">IF(OR(BC476="",$E476=""),"",BC476-$E476)</f>
        <v/>
      </c>
      <c r="BE476" s="39"/>
      <c r="BF476" s="40" t="str">
        <f aca="false">IF(OR(BE476="",CE476=""),"",BE476/CE476*100)</f>
        <v/>
      </c>
      <c r="BG476" s="41" t="str">
        <f aca="false">IF(BF476="","",IFERROR(MATCH(BF476,INDEX(Boundaries!$B$2:$I$30,MATCH(CS476,Boundaries!$A$2:$A$30,0),0),1)-1,""))</f>
        <v/>
      </c>
      <c r="BH476" s="42" t="str">
        <f aca="false">IF(OR(BG476="",$E476=""),"",BG476-$E476)</f>
        <v/>
      </c>
      <c r="BI476" s="39"/>
      <c r="BJ476" s="40" t="str">
        <f aca="false">IF(OR(BI476="",CF476=""),"",BI476/CF476*100)</f>
        <v/>
      </c>
      <c r="BK476" s="41" t="str">
        <f aca="false">IF(BJ476="","",IFERROR(MATCH(BJ476,INDEX(Boundaries!$B$2:$I$30,MATCH(CT476,Boundaries!$A$2:$A$30,0),0),1)-1,""))</f>
        <v/>
      </c>
      <c r="BL476" s="42" t="str">
        <f aca="false">IF(OR(BK476="",$E476=""),"",BK476-$E476)</f>
        <v/>
      </c>
      <c r="BM476" s="39"/>
      <c r="BN476" s="40" t="str">
        <f aca="false">IF(OR(BM476="",CG476=""),"",BM476/CG476*100)</f>
        <v/>
      </c>
      <c r="BO476" s="41" t="str">
        <f aca="false">IF(BN476="","",IFERROR(MATCH(BN476,INDEX(Boundaries!$B$2:$I$30,MATCH(CU476,Boundaries!$A$2:$A$30,0),0),1)-1,""))</f>
        <v/>
      </c>
      <c r="BP476" s="42" t="str">
        <f aca="false">IF(OR(BO476="",$E476=""),"",BO476-$E476)</f>
        <v/>
      </c>
      <c r="BQ476" s="39"/>
      <c r="BR476" s="40" t="str">
        <f aca="false">IF(OR(BQ476="",CH476=""),"",BQ476/CH476*100)</f>
        <v/>
      </c>
      <c r="BS476" s="41" t="str">
        <f aca="false">IF(BR476="","",IFERROR(MATCH(BR476,INDEX(Boundaries!$B$2:$I$30,MATCH(CV476,Boundaries!$A$2:$A$30,0),0),1)-1,""))</f>
        <v/>
      </c>
      <c r="BT476" s="42" t="str">
        <f aca="false">IF(OR(BS476="",$E476=""),"",BS476-$E476)</f>
        <v/>
      </c>
      <c r="BU476" s="28" t="str">
        <f aca="false">IFERROR(INDEX(Assessments!$H$2:$H$600,MATCH($H476&amp;"|"&amp;$I476&amp;"|"&amp;$J476&amp;"|"&amp;1,Assessments!$A$2:$A$600,0)),"")</f>
        <v/>
      </c>
      <c r="BV476" s="28" t="str">
        <f aca="false">IFERROR(INDEX(Assessments!$H$2:$H$600,MATCH($H476&amp;"|"&amp;$I476&amp;"|"&amp;$J476&amp;"|"&amp;2,Assessments!$A$2:$A$600,0)),"")</f>
        <v/>
      </c>
      <c r="BW476" s="28" t="str">
        <f aca="false">IFERROR(INDEX(Assessments!$H$2:$H$600,MATCH($H476&amp;"|"&amp;$I476&amp;"|"&amp;$J476&amp;"|"&amp;3,Assessments!$A$2:$A$600,0)),"")</f>
        <v/>
      </c>
      <c r="BX476" s="28" t="str">
        <f aca="false">IFERROR(INDEX(Assessments!$H$2:$H$600,MATCH($H476&amp;"|"&amp;$I476&amp;"|"&amp;$J476&amp;"|"&amp;4,Assessments!$A$2:$A$600,0)),"")</f>
        <v/>
      </c>
      <c r="BY476" s="28" t="str">
        <f aca="false">IFERROR(INDEX(Assessments!$H$2:$H$600,MATCH($H476&amp;"|"&amp;$I476&amp;"|"&amp;$J476&amp;"|"&amp;5,Assessments!$A$2:$A$600,0)),"")</f>
        <v/>
      </c>
      <c r="BZ476" s="28" t="str">
        <f aca="false">IFERROR(INDEX(Assessments!$H$2:$H$600,MATCH($H476&amp;"|"&amp;$I476&amp;"|"&amp;$J476&amp;"|"&amp;6,Assessments!$A$2:$A$600,0)),"")</f>
        <v/>
      </c>
      <c r="CA476" s="28" t="str">
        <f aca="false">IFERROR(INDEX(Assessments!$H$2:$H$600,MATCH($H476&amp;"|"&amp;$I476&amp;"|"&amp;$J476&amp;"|"&amp;7,Assessments!$A$2:$A$600,0)),"")</f>
        <v/>
      </c>
      <c r="CB476" s="28" t="str">
        <f aca="false">IFERROR(INDEX(Assessments!$H$2:$H$600,MATCH($H476&amp;"|"&amp;$I476&amp;"|"&amp;$J476&amp;"|"&amp;8,Assessments!$A$2:$A$600,0)),"")</f>
        <v/>
      </c>
      <c r="CC476" s="28" t="str">
        <f aca="false">IFERROR(INDEX(Assessments!$H$2:$H$600,MATCH($H476&amp;"|"&amp;$I476&amp;"|"&amp;$J476&amp;"|"&amp;9,Assessments!$A$2:$A$600,0)),"")</f>
        <v/>
      </c>
      <c r="CD476" s="28" t="str">
        <f aca="false">IFERROR(INDEX(Assessments!$H$2:$H$600,MATCH($H476&amp;"|"&amp;$I476&amp;"|"&amp;$J476&amp;"|"&amp;10,Assessments!$A$2:$A$600,0)),"")</f>
        <v/>
      </c>
      <c r="CE476" s="28" t="str">
        <f aca="false">IFERROR(INDEX(Assessments!$H$2:$H$600,MATCH($H476&amp;"|"&amp;$I476&amp;"|"&amp;$J476&amp;"|"&amp;11,Assessments!$A$2:$A$600,0)),"")</f>
        <v/>
      </c>
      <c r="CF476" s="28" t="str">
        <f aca="false">IFERROR(INDEX(Assessments!$H$2:$H$600,MATCH($H476&amp;"|"&amp;$I476&amp;"|"&amp;$J476&amp;"|"&amp;12,Assessments!$A$2:$A$600,0)),"")</f>
        <v/>
      </c>
      <c r="CG476" s="28" t="str">
        <f aca="false">IFERROR(INDEX(Assessments!$H$2:$H$600,MATCH($H476&amp;"|"&amp;$I476&amp;"|"&amp;$J476&amp;"|"&amp;13,Assessments!$A$2:$A$600,0)),"")</f>
        <v/>
      </c>
      <c r="CH476" s="28" t="str">
        <f aca="false">IFERROR(INDEX(Assessments!$H$2:$H$600,MATCH($H476&amp;"|"&amp;$I476&amp;"|"&amp;$J476&amp;"|"&amp;14,Assessments!$A$2:$A$600,0)),"")</f>
        <v/>
      </c>
      <c r="CI476" s="28" t="str">
        <f aca="false">IFERROR(INDEX(Assessments!$I$2:$I$600,MATCH($H476&amp;"|"&amp;$I476&amp;"|"&amp;$J476&amp;"|"&amp;1,Assessments!$A$2:$A$600,0)),"")</f>
        <v/>
      </c>
      <c r="CJ476" s="28" t="str">
        <f aca="false">IFERROR(INDEX(Assessments!$I$2:$I$600,MATCH($H476&amp;"|"&amp;$I476&amp;"|"&amp;$J476&amp;"|"&amp;2,Assessments!$A$2:$A$600,0)),"")</f>
        <v/>
      </c>
      <c r="CK476" s="28" t="str">
        <f aca="false">IFERROR(INDEX(Assessments!$I$2:$I$600,MATCH($H476&amp;"|"&amp;$I476&amp;"|"&amp;$J476&amp;"|"&amp;3,Assessments!$A$2:$A$600,0)),"")</f>
        <v/>
      </c>
      <c r="CL476" s="28" t="str">
        <f aca="false">IFERROR(INDEX(Assessments!$I$2:$I$600,MATCH($H476&amp;"|"&amp;$I476&amp;"|"&amp;$J476&amp;"|"&amp;4,Assessments!$A$2:$A$600,0)),"")</f>
        <v/>
      </c>
      <c r="CM476" s="28" t="str">
        <f aca="false">IFERROR(INDEX(Assessments!$I$2:$I$600,MATCH($H476&amp;"|"&amp;$I476&amp;"|"&amp;$J476&amp;"|"&amp;5,Assessments!$A$2:$A$600,0)),"")</f>
        <v/>
      </c>
      <c r="CN476" s="28" t="str">
        <f aca="false">IFERROR(INDEX(Assessments!$I$2:$I$600,MATCH($H476&amp;"|"&amp;$I476&amp;"|"&amp;$J476&amp;"|"&amp;6,Assessments!$A$2:$A$600,0)),"")</f>
        <v/>
      </c>
      <c r="CO476" s="28" t="str">
        <f aca="false">IFERROR(INDEX(Assessments!$I$2:$I$600,MATCH($H476&amp;"|"&amp;$I476&amp;"|"&amp;$J476&amp;"|"&amp;7,Assessments!$A$2:$A$600,0)),"")</f>
        <v/>
      </c>
      <c r="CP476" s="28" t="str">
        <f aca="false">IFERROR(INDEX(Assessments!$I$2:$I$600,MATCH($H476&amp;"|"&amp;$I476&amp;"|"&amp;$J476&amp;"|"&amp;8,Assessments!$A$2:$A$600,0)),"")</f>
        <v/>
      </c>
      <c r="CQ476" s="28" t="str">
        <f aca="false">IFERROR(INDEX(Assessments!$I$2:$I$600,MATCH($H476&amp;"|"&amp;$I476&amp;"|"&amp;$J476&amp;"|"&amp;9,Assessments!$A$2:$A$600,0)),"")</f>
        <v/>
      </c>
      <c r="CR476" s="28" t="str">
        <f aca="false">IFERROR(INDEX(Assessments!$I$2:$I$600,MATCH($H476&amp;"|"&amp;$I476&amp;"|"&amp;$J476&amp;"|"&amp;10,Assessments!$A$2:$A$600,0)),"")</f>
        <v/>
      </c>
      <c r="CS476" s="28" t="str">
        <f aca="false">IFERROR(INDEX(Assessments!$I$2:$I$600,MATCH($H476&amp;"|"&amp;$I476&amp;"|"&amp;$J476&amp;"|"&amp;11,Assessments!$A$2:$A$600,0)),"")</f>
        <v/>
      </c>
      <c r="CT476" s="28" t="str">
        <f aca="false">IFERROR(INDEX(Assessments!$I$2:$I$600,MATCH($H476&amp;"|"&amp;$I476&amp;"|"&amp;$J476&amp;"|"&amp;12,Assessments!$A$2:$A$600,0)),"")</f>
        <v/>
      </c>
      <c r="CU476" s="28" t="str">
        <f aca="false">IFERROR(INDEX(Assessments!$I$2:$I$600,MATCH($H476&amp;"|"&amp;$I476&amp;"|"&amp;$J476&amp;"|"&amp;13,Assessments!$A$2:$A$600,0)),"")</f>
        <v/>
      </c>
      <c r="CV476" s="28" t="str">
        <f aca="false">IFERROR(INDEX(Assessments!$I$2:$I$600,MATCH($H476&amp;"|"&amp;$I476&amp;"|"&amp;$J476&amp;"|"&amp;14,Assessments!$A$2:$A$600,0)),"")</f>
        <v/>
      </c>
      <c r="CW476" s="28" t="n">
        <f aca="false">IFERROR(INDEX(Assessments!$J$2:$J$600,MATCH($H476&amp;"|"&amp;$I476&amp;"|"&amp;$J476&amp;"|"&amp;1,Assessments!$A$2:$A$600,0)),0)</f>
        <v>0</v>
      </c>
      <c r="CX476" s="28" t="n">
        <f aca="false">IFERROR(INDEX(Assessments!$J$2:$J$600,MATCH($H476&amp;"|"&amp;$I476&amp;"|"&amp;$J476&amp;"|"&amp;2,Assessments!$A$2:$A$600,0)),0)</f>
        <v>0</v>
      </c>
      <c r="CY476" s="28" t="n">
        <f aca="false">IFERROR(INDEX(Assessments!$J$2:$J$600,MATCH($H476&amp;"|"&amp;$I476&amp;"|"&amp;$J476&amp;"|"&amp;3,Assessments!$A$2:$A$600,0)),0)</f>
        <v>0</v>
      </c>
      <c r="CZ476" s="28" t="n">
        <f aca="false">IFERROR(INDEX(Assessments!$J$2:$J$600,MATCH($H476&amp;"|"&amp;$I476&amp;"|"&amp;$J476&amp;"|"&amp;4,Assessments!$A$2:$A$600,0)),0)</f>
        <v>0</v>
      </c>
      <c r="DA476" s="28" t="n">
        <f aca="false">IFERROR(INDEX(Assessments!$J$2:$J$600,MATCH($H476&amp;"|"&amp;$I476&amp;"|"&amp;$J476&amp;"|"&amp;5,Assessments!$A$2:$A$600,0)),0)</f>
        <v>0</v>
      </c>
      <c r="DB476" s="28" t="n">
        <f aca="false">IFERROR(INDEX(Assessments!$J$2:$J$600,MATCH($H476&amp;"|"&amp;$I476&amp;"|"&amp;$J476&amp;"|"&amp;6,Assessments!$A$2:$A$600,0)),0)</f>
        <v>0</v>
      </c>
      <c r="DC476" s="28" t="n">
        <f aca="false">IFERROR(INDEX(Assessments!$J$2:$J$600,MATCH($H476&amp;"|"&amp;$I476&amp;"|"&amp;$J476&amp;"|"&amp;7,Assessments!$A$2:$A$600,0)),0)</f>
        <v>0</v>
      </c>
      <c r="DD476" s="28" t="n">
        <f aca="false">IFERROR(INDEX(Assessments!$J$2:$J$600,MATCH($H476&amp;"|"&amp;$I476&amp;"|"&amp;$J476&amp;"|"&amp;8,Assessments!$A$2:$A$600,0)),0)</f>
        <v>0</v>
      </c>
      <c r="DE476" s="28" t="n">
        <f aca="false">IFERROR(INDEX(Assessments!$J$2:$J$600,MATCH($H476&amp;"|"&amp;$I476&amp;"|"&amp;$J476&amp;"|"&amp;9,Assessments!$A$2:$A$600,0)),0)</f>
        <v>0</v>
      </c>
      <c r="DF476" s="28" t="n">
        <f aca="false">IFERROR(INDEX(Assessments!$J$2:$J$600,MATCH($H476&amp;"|"&amp;$I476&amp;"|"&amp;$J476&amp;"|"&amp;10,Assessments!$A$2:$A$600,0)),0)</f>
        <v>0</v>
      </c>
      <c r="DG476" s="28" t="n">
        <f aca="false">IFERROR(INDEX(Assessments!$J$2:$J$600,MATCH($H476&amp;"|"&amp;$I476&amp;"|"&amp;$J476&amp;"|"&amp;11,Assessments!$A$2:$A$600,0)),0)</f>
        <v>0</v>
      </c>
      <c r="DH476" s="28" t="n">
        <f aca="false">IFERROR(INDEX(Assessments!$J$2:$J$600,MATCH($H476&amp;"|"&amp;$I476&amp;"|"&amp;$J476&amp;"|"&amp;12,Assessments!$A$2:$A$600,0)),0)</f>
        <v>0</v>
      </c>
      <c r="DI476" s="28" t="n">
        <f aca="false">IFERROR(INDEX(Assessments!$J$2:$J$600,MATCH($H476&amp;"|"&amp;$I476&amp;"|"&amp;$J476&amp;"|"&amp;13,Assessments!$A$2:$A$600,0)),0)</f>
        <v>0</v>
      </c>
      <c r="DJ476" s="28" t="n">
        <f aca="false">IFERROR(INDEX(Assessments!$J$2:$J$600,MATCH($H476&amp;"|"&amp;$I476&amp;"|"&amp;$J476&amp;"|"&amp;14,Assessments!$A$2:$A$600,0)),0)</f>
        <v>0</v>
      </c>
      <c r="DK476" s="28" t="str">
        <f aca="false">S476</f>
        <v/>
      </c>
      <c r="DL476" s="28" t="str">
        <f aca="false">W476</f>
        <v/>
      </c>
      <c r="DM476" s="28" t="str">
        <f aca="false">AA476</f>
        <v/>
      </c>
      <c r="DN476" s="28" t="str">
        <f aca="false">AE476</f>
        <v/>
      </c>
      <c r="DO476" s="28" t="str">
        <f aca="false">AI476</f>
        <v/>
      </c>
      <c r="DP476" s="28" t="str">
        <f aca="false">AM476</f>
        <v/>
      </c>
      <c r="DQ476" s="28" t="str">
        <f aca="false">AQ476</f>
        <v/>
      </c>
      <c r="DR476" s="28" t="str">
        <f aca="false">AU476</f>
        <v/>
      </c>
      <c r="DS476" s="28" t="str">
        <f aca="false">AY476</f>
        <v/>
      </c>
      <c r="DT476" s="28" t="str">
        <f aca="false">BC476</f>
        <v/>
      </c>
      <c r="DU476" s="28" t="str">
        <f aca="false">BG476</f>
        <v/>
      </c>
      <c r="DV476" s="28" t="str">
        <f aca="false">BK476</f>
        <v/>
      </c>
      <c r="DW476" s="28" t="str">
        <f aca="false">BO476</f>
        <v/>
      </c>
      <c r="DX476" s="28" t="str">
        <f aca="false">BS476</f>
        <v/>
      </c>
      <c r="DY476" s="28" t="str">
        <f aca="false">IF(ISNUMBER(S476),1,"")</f>
        <v/>
      </c>
      <c r="DZ476" s="28" t="str">
        <f aca="false">IF(ISNUMBER(W476),2,"")</f>
        <v/>
      </c>
      <c r="EA476" s="28" t="str">
        <f aca="false">IF(ISNUMBER(AA476),3,"")</f>
        <v/>
      </c>
      <c r="EB476" s="28" t="str">
        <f aca="false">IF(ISNUMBER(AE476),4,"")</f>
        <v/>
      </c>
      <c r="EC476" s="28" t="str">
        <f aca="false">IF(ISNUMBER(AI476),5,"")</f>
        <v/>
      </c>
      <c r="ED476" s="28" t="str">
        <f aca="false">IF(ISNUMBER(AM476),6,"")</f>
        <v/>
      </c>
      <c r="EE476" s="28" t="str">
        <f aca="false">IF(ISNUMBER(AQ476),7,"")</f>
        <v/>
      </c>
      <c r="EF476" s="28" t="str">
        <f aca="false">IF(ISNUMBER(AU476),8,"")</f>
        <v/>
      </c>
      <c r="EG476" s="28" t="str">
        <f aca="false">IF(ISNUMBER(AY476),9,"")</f>
        <v/>
      </c>
      <c r="EH476" s="28" t="str">
        <f aca="false">IF(ISNUMBER(BC476),10,"")</f>
        <v/>
      </c>
      <c r="EI476" s="28" t="str">
        <f aca="false">IF(ISNUMBER(BG476),11,"")</f>
        <v/>
      </c>
      <c r="EJ476" s="28" t="str">
        <f aca="false">IF(ISNUMBER(BK476),12,"")</f>
        <v/>
      </c>
      <c r="EK476" s="28" t="str">
        <f aca="false">IF(ISNUMBER(BO476),13,"")</f>
        <v/>
      </c>
      <c r="EL476" s="28" t="str">
        <f aca="false">IF(ISNUMBER(BS476),14,"")</f>
        <v/>
      </c>
      <c r="EM476" s="28" t="n">
        <f aca="false">IF(ISNUMBER(R476),R476*CW476,0)</f>
        <v>0</v>
      </c>
      <c r="EN476" s="28" t="n">
        <f aca="false">IF(ISNUMBER(V476),V476*CX476,0)</f>
        <v>0</v>
      </c>
      <c r="EO476" s="28" t="n">
        <f aca="false">IF(ISNUMBER(Z476),Z476*CY476,0)</f>
        <v>0</v>
      </c>
      <c r="EP476" s="28" t="n">
        <f aca="false">IF(ISNUMBER(AD476),AD476*CZ476,0)</f>
        <v>0</v>
      </c>
      <c r="EQ476" s="28" t="n">
        <f aca="false">IF(ISNUMBER(AH476),AH476*DA476,0)</f>
        <v>0</v>
      </c>
      <c r="ER476" s="28" t="n">
        <f aca="false">IF(ISNUMBER(AL476),AL476*DB476,0)</f>
        <v>0</v>
      </c>
      <c r="ES476" s="28" t="n">
        <f aca="false">IF(ISNUMBER(AP476),AP476*DC476,0)</f>
        <v>0</v>
      </c>
      <c r="ET476" s="28" t="n">
        <f aca="false">IF(ISNUMBER(AT476),AT476*DD476,0)</f>
        <v>0</v>
      </c>
      <c r="EU476" s="28" t="n">
        <f aca="false">IF(ISNUMBER(AX476),AX476*DE476,0)</f>
        <v>0</v>
      </c>
      <c r="EV476" s="28" t="n">
        <f aca="false">IF(ISNUMBER(BB476),BB476*DF476,0)</f>
        <v>0</v>
      </c>
      <c r="EW476" s="28" t="n">
        <f aca="false">IF(ISNUMBER(BF476),BF476*DG476,0)</f>
        <v>0</v>
      </c>
      <c r="EX476" s="28" t="n">
        <f aca="false">IF(ISNUMBER(BJ476),BJ476*DH476,0)</f>
        <v>0</v>
      </c>
      <c r="EY476" s="28" t="n">
        <f aca="false">IF(ISNUMBER(BN476),BN476*DI476,0)</f>
        <v>0</v>
      </c>
      <c r="EZ476" s="28" t="n">
        <f aca="false">IF(ISNUMBER(BR476),BR476*DJ476,0)</f>
        <v>0</v>
      </c>
      <c r="FA476" s="28" t="n">
        <f aca="false">IF(ISNUMBER(R476),CW476,0)</f>
        <v>0</v>
      </c>
      <c r="FB476" s="28" t="n">
        <f aca="false">IF(ISNUMBER(V476),CX476,0)</f>
        <v>0</v>
      </c>
      <c r="FC476" s="28" t="n">
        <f aca="false">IF(ISNUMBER(Z476),CY476,0)</f>
        <v>0</v>
      </c>
      <c r="FD476" s="28" t="n">
        <f aca="false">IF(ISNUMBER(AD476),CZ476,0)</f>
        <v>0</v>
      </c>
      <c r="FE476" s="28" t="n">
        <f aca="false">IF(ISNUMBER(AH476),DA476,0)</f>
        <v>0</v>
      </c>
      <c r="FF476" s="28" t="n">
        <f aca="false">IF(ISNUMBER(AL476),DB476,0)</f>
        <v>0</v>
      </c>
      <c r="FG476" s="28" t="n">
        <f aca="false">IF(ISNUMBER(AP476),DC476,0)</f>
        <v>0</v>
      </c>
      <c r="FH476" s="28" t="n">
        <f aca="false">IF(ISNUMBER(AT476),DD476,0)</f>
        <v>0</v>
      </c>
      <c r="FI476" s="28" t="n">
        <f aca="false">IF(ISNUMBER(AX476),DE476,0)</f>
        <v>0</v>
      </c>
      <c r="FJ476" s="28" t="n">
        <f aca="false">IF(ISNUMBER(BB476),DF476,0)</f>
        <v>0</v>
      </c>
      <c r="FK476" s="28" t="n">
        <f aca="false">IF(ISNUMBER(BF476),DG476,0)</f>
        <v>0</v>
      </c>
      <c r="FL476" s="28" t="n">
        <f aca="false">IF(ISNUMBER(BJ476),DH476,0)</f>
        <v>0</v>
      </c>
      <c r="FM476" s="28" t="n">
        <f aca="false">IF(ISNUMBER(BN476),DI476,0)</f>
        <v>0</v>
      </c>
      <c r="FN476" s="28" t="n">
        <f aca="false">IF(ISNUMBER(BR476),DJ476,0)</f>
        <v>0</v>
      </c>
      <c r="FO476" s="28" t="str">
        <f aca="false">IFERROR(INDEX(Lists!$G$2:$G$20,MATCH($I476&amp;"|"&amp;$J476,Lists!$F$2:$F$20,0)),"")</f>
        <v/>
      </c>
    </row>
    <row r="477" customFormat="false" ht="19.5" hidden="false" customHeight="true" outlineLevel="0" collapsed="false">
      <c r="A477" s="29"/>
      <c r="B477" s="29"/>
      <c r="C477" s="30"/>
      <c r="D477" s="30"/>
      <c r="E477" s="31"/>
      <c r="F477" s="30"/>
      <c r="G477" s="30"/>
      <c r="H477" s="32"/>
      <c r="I477" s="33"/>
      <c r="J477" s="32"/>
      <c r="K477" s="34" t="str">
        <f aca="false">IF(OR(M477="",$E477=""),"",M477-$E477)</f>
        <v/>
      </c>
      <c r="L477" s="35" t="str">
        <f aca="false">IF(SUM(FA477:FN477)=0,"",SUM(EM477:EZ477)/SUM(FA477:FN477))</f>
        <v/>
      </c>
      <c r="M477" s="36" t="str">
        <f aca="false">IF(OR(L477="",FO477=""),"",IFERROR(MATCH(L477,INDEX(Boundaries!$B$2:$I$30,MATCH(FO477,Boundaries!$A$2:$A$30,0),0),1)-1,""))</f>
        <v/>
      </c>
      <c r="N477" s="37" t="str">
        <f aca="false">IF(COUNT($DY477:$EL477)&lt;2,"",INDEX($DK477:$DX477,MAX($DY477:$EL477))-INDEX($DK477:$DX477,MIN($DY477:$EL477)))</f>
        <v/>
      </c>
      <c r="O477" s="37" t="str">
        <f aca="false">IF(COUNT($DY477:$EL477)&lt;2,"",INDEX($DK477:$DX477,MAX($DY477:$EL477))-INDEX($DK477:$DX477,LARGE($DY477:$EL477,2)))</f>
        <v/>
      </c>
      <c r="P477" s="38" t="str">
        <f aca="false">IF(K477="","",IF(K477&gt;=0,"On/above target",IF(AND(N477&lt;&gt;"",N477&gt;=0.5),"Improving towards target",IF(AND(O477&lt;&gt;"",O477&lt;=-0.5),"Declining","Stable below target"))))</f>
        <v/>
      </c>
      <c r="Q477" s="39"/>
      <c r="R477" s="40" t="str">
        <f aca="false">IF(OR(Q477="",BU477=""),"",Q477/BU477*100)</f>
        <v/>
      </c>
      <c r="S477" s="41" t="str">
        <f aca="false">IF(R477="","",IFERROR(MATCH(R477,INDEX(Boundaries!$B$2:$I$30,MATCH(CI477,Boundaries!$A$2:$A$30,0),0),1)-1,""))</f>
        <v/>
      </c>
      <c r="T477" s="42" t="str">
        <f aca="false">IF(OR(S477="",$E477=""),"",S477-$E477)</f>
        <v/>
      </c>
      <c r="U477" s="39"/>
      <c r="V477" s="40" t="str">
        <f aca="false">IF(OR(U477="",BV477=""),"",U477/BV477*100)</f>
        <v/>
      </c>
      <c r="W477" s="41" t="str">
        <f aca="false">IF(V477="","",IFERROR(MATCH(V477,INDEX(Boundaries!$B$2:$I$30,MATCH(CJ477,Boundaries!$A$2:$A$30,0),0),1)-1,""))</f>
        <v/>
      </c>
      <c r="X477" s="42" t="str">
        <f aca="false">IF(OR(W477="",$E477=""),"",W477-$E477)</f>
        <v/>
      </c>
      <c r="Y477" s="39"/>
      <c r="Z477" s="40" t="str">
        <f aca="false">IF(OR(Y477="",BW477=""),"",Y477/BW477*100)</f>
        <v/>
      </c>
      <c r="AA477" s="41" t="str">
        <f aca="false">IF(Z477="","",IFERROR(MATCH(Z477,INDEX(Boundaries!$B$2:$I$30,MATCH(CK477,Boundaries!$A$2:$A$30,0),0),1)-1,""))</f>
        <v/>
      </c>
      <c r="AB477" s="42" t="str">
        <f aca="false">IF(OR(AA477="",$E477=""),"",AA477-$E477)</f>
        <v/>
      </c>
      <c r="AC477" s="39"/>
      <c r="AD477" s="40" t="str">
        <f aca="false">IF(OR(AC477="",BX477=""),"",AC477/BX477*100)</f>
        <v/>
      </c>
      <c r="AE477" s="41" t="str">
        <f aca="false">IF(AD477="","",IFERROR(MATCH(AD477,INDEX(Boundaries!$B$2:$I$30,MATCH(CL477,Boundaries!$A$2:$A$30,0),0),1)-1,""))</f>
        <v/>
      </c>
      <c r="AF477" s="42" t="str">
        <f aca="false">IF(OR(AE477="",$E477=""),"",AE477-$E477)</f>
        <v/>
      </c>
      <c r="AG477" s="39"/>
      <c r="AH477" s="40" t="str">
        <f aca="false">IF(OR(AG477="",BY477=""),"",AG477/BY477*100)</f>
        <v/>
      </c>
      <c r="AI477" s="41" t="str">
        <f aca="false">IF(AH477="","",IFERROR(MATCH(AH477,INDEX(Boundaries!$B$2:$I$30,MATCH(CM477,Boundaries!$A$2:$A$30,0),0),1)-1,""))</f>
        <v/>
      </c>
      <c r="AJ477" s="42" t="str">
        <f aca="false">IF(OR(AI477="",$E477=""),"",AI477-$E477)</f>
        <v/>
      </c>
      <c r="AK477" s="39"/>
      <c r="AL477" s="40" t="str">
        <f aca="false">IF(OR(AK477="",BZ477=""),"",AK477/BZ477*100)</f>
        <v/>
      </c>
      <c r="AM477" s="41" t="str">
        <f aca="false">IF(AL477="","",IFERROR(MATCH(AL477,INDEX(Boundaries!$B$2:$I$30,MATCH(CN477,Boundaries!$A$2:$A$30,0),0),1)-1,""))</f>
        <v/>
      </c>
      <c r="AN477" s="42" t="str">
        <f aca="false">IF(OR(AM477="",$E477=""),"",AM477-$E477)</f>
        <v/>
      </c>
      <c r="AO477" s="39"/>
      <c r="AP477" s="40" t="str">
        <f aca="false">IF(OR(AO477="",CA477=""),"",AO477/CA477*100)</f>
        <v/>
      </c>
      <c r="AQ477" s="41" t="str">
        <f aca="false">IF(AP477="","",IFERROR(MATCH(AP477,INDEX(Boundaries!$B$2:$I$30,MATCH(CO477,Boundaries!$A$2:$A$30,0),0),1)-1,""))</f>
        <v/>
      </c>
      <c r="AR477" s="42" t="str">
        <f aca="false">IF(OR(AQ477="",$E477=""),"",AQ477-$E477)</f>
        <v/>
      </c>
      <c r="AS477" s="39"/>
      <c r="AT477" s="40" t="str">
        <f aca="false">IF(OR(AS477="",CB477=""),"",AS477/CB477*100)</f>
        <v/>
      </c>
      <c r="AU477" s="41" t="str">
        <f aca="false">IF(AT477="","",IFERROR(MATCH(AT477,INDEX(Boundaries!$B$2:$I$30,MATCH(CP477,Boundaries!$A$2:$A$30,0),0),1)-1,""))</f>
        <v/>
      </c>
      <c r="AV477" s="42" t="str">
        <f aca="false">IF(OR(AU477="",$E477=""),"",AU477-$E477)</f>
        <v/>
      </c>
      <c r="AW477" s="39"/>
      <c r="AX477" s="40" t="str">
        <f aca="false">IF(OR(AW477="",CC477=""),"",AW477/CC477*100)</f>
        <v/>
      </c>
      <c r="AY477" s="41" t="str">
        <f aca="false">IF(AX477="","",IFERROR(MATCH(AX477,INDEX(Boundaries!$B$2:$I$30,MATCH(CQ477,Boundaries!$A$2:$A$30,0),0),1)-1,""))</f>
        <v/>
      </c>
      <c r="AZ477" s="42" t="str">
        <f aca="false">IF(OR(AY477="",$E477=""),"",AY477-$E477)</f>
        <v/>
      </c>
      <c r="BA477" s="39"/>
      <c r="BB477" s="40" t="str">
        <f aca="false">IF(OR(BA477="",CD477=""),"",BA477/CD477*100)</f>
        <v/>
      </c>
      <c r="BC477" s="41" t="str">
        <f aca="false">IF(BB477="","",IFERROR(MATCH(BB477,INDEX(Boundaries!$B$2:$I$30,MATCH(CR477,Boundaries!$A$2:$A$30,0),0),1)-1,""))</f>
        <v/>
      </c>
      <c r="BD477" s="42" t="str">
        <f aca="false">IF(OR(BC477="",$E477=""),"",BC477-$E477)</f>
        <v/>
      </c>
      <c r="BE477" s="39"/>
      <c r="BF477" s="40" t="str">
        <f aca="false">IF(OR(BE477="",CE477=""),"",BE477/CE477*100)</f>
        <v/>
      </c>
      <c r="BG477" s="41" t="str">
        <f aca="false">IF(BF477="","",IFERROR(MATCH(BF477,INDEX(Boundaries!$B$2:$I$30,MATCH(CS477,Boundaries!$A$2:$A$30,0),0),1)-1,""))</f>
        <v/>
      </c>
      <c r="BH477" s="42" t="str">
        <f aca="false">IF(OR(BG477="",$E477=""),"",BG477-$E477)</f>
        <v/>
      </c>
      <c r="BI477" s="39"/>
      <c r="BJ477" s="40" t="str">
        <f aca="false">IF(OR(BI477="",CF477=""),"",BI477/CF477*100)</f>
        <v/>
      </c>
      <c r="BK477" s="41" t="str">
        <f aca="false">IF(BJ477="","",IFERROR(MATCH(BJ477,INDEX(Boundaries!$B$2:$I$30,MATCH(CT477,Boundaries!$A$2:$A$30,0),0),1)-1,""))</f>
        <v/>
      </c>
      <c r="BL477" s="42" t="str">
        <f aca="false">IF(OR(BK477="",$E477=""),"",BK477-$E477)</f>
        <v/>
      </c>
      <c r="BM477" s="39"/>
      <c r="BN477" s="40" t="str">
        <f aca="false">IF(OR(BM477="",CG477=""),"",BM477/CG477*100)</f>
        <v/>
      </c>
      <c r="BO477" s="41" t="str">
        <f aca="false">IF(BN477="","",IFERROR(MATCH(BN477,INDEX(Boundaries!$B$2:$I$30,MATCH(CU477,Boundaries!$A$2:$A$30,0),0),1)-1,""))</f>
        <v/>
      </c>
      <c r="BP477" s="42" t="str">
        <f aca="false">IF(OR(BO477="",$E477=""),"",BO477-$E477)</f>
        <v/>
      </c>
      <c r="BQ477" s="39"/>
      <c r="BR477" s="40" t="str">
        <f aca="false">IF(OR(BQ477="",CH477=""),"",BQ477/CH477*100)</f>
        <v/>
      </c>
      <c r="BS477" s="41" t="str">
        <f aca="false">IF(BR477="","",IFERROR(MATCH(BR477,INDEX(Boundaries!$B$2:$I$30,MATCH(CV477,Boundaries!$A$2:$A$30,0),0),1)-1,""))</f>
        <v/>
      </c>
      <c r="BT477" s="42" t="str">
        <f aca="false">IF(OR(BS477="",$E477=""),"",BS477-$E477)</f>
        <v/>
      </c>
      <c r="BU477" s="28" t="str">
        <f aca="false">IFERROR(INDEX(Assessments!$H$2:$H$600,MATCH($H477&amp;"|"&amp;$I477&amp;"|"&amp;$J477&amp;"|"&amp;1,Assessments!$A$2:$A$600,0)),"")</f>
        <v/>
      </c>
      <c r="BV477" s="28" t="str">
        <f aca="false">IFERROR(INDEX(Assessments!$H$2:$H$600,MATCH($H477&amp;"|"&amp;$I477&amp;"|"&amp;$J477&amp;"|"&amp;2,Assessments!$A$2:$A$600,0)),"")</f>
        <v/>
      </c>
      <c r="BW477" s="28" t="str">
        <f aca="false">IFERROR(INDEX(Assessments!$H$2:$H$600,MATCH($H477&amp;"|"&amp;$I477&amp;"|"&amp;$J477&amp;"|"&amp;3,Assessments!$A$2:$A$600,0)),"")</f>
        <v/>
      </c>
      <c r="BX477" s="28" t="str">
        <f aca="false">IFERROR(INDEX(Assessments!$H$2:$H$600,MATCH($H477&amp;"|"&amp;$I477&amp;"|"&amp;$J477&amp;"|"&amp;4,Assessments!$A$2:$A$600,0)),"")</f>
        <v/>
      </c>
      <c r="BY477" s="28" t="str">
        <f aca="false">IFERROR(INDEX(Assessments!$H$2:$H$600,MATCH($H477&amp;"|"&amp;$I477&amp;"|"&amp;$J477&amp;"|"&amp;5,Assessments!$A$2:$A$600,0)),"")</f>
        <v/>
      </c>
      <c r="BZ477" s="28" t="str">
        <f aca="false">IFERROR(INDEX(Assessments!$H$2:$H$600,MATCH($H477&amp;"|"&amp;$I477&amp;"|"&amp;$J477&amp;"|"&amp;6,Assessments!$A$2:$A$600,0)),"")</f>
        <v/>
      </c>
      <c r="CA477" s="28" t="str">
        <f aca="false">IFERROR(INDEX(Assessments!$H$2:$H$600,MATCH($H477&amp;"|"&amp;$I477&amp;"|"&amp;$J477&amp;"|"&amp;7,Assessments!$A$2:$A$600,0)),"")</f>
        <v/>
      </c>
      <c r="CB477" s="28" t="str">
        <f aca="false">IFERROR(INDEX(Assessments!$H$2:$H$600,MATCH($H477&amp;"|"&amp;$I477&amp;"|"&amp;$J477&amp;"|"&amp;8,Assessments!$A$2:$A$600,0)),"")</f>
        <v/>
      </c>
      <c r="CC477" s="28" t="str">
        <f aca="false">IFERROR(INDEX(Assessments!$H$2:$H$600,MATCH($H477&amp;"|"&amp;$I477&amp;"|"&amp;$J477&amp;"|"&amp;9,Assessments!$A$2:$A$600,0)),"")</f>
        <v/>
      </c>
      <c r="CD477" s="28" t="str">
        <f aca="false">IFERROR(INDEX(Assessments!$H$2:$H$600,MATCH($H477&amp;"|"&amp;$I477&amp;"|"&amp;$J477&amp;"|"&amp;10,Assessments!$A$2:$A$600,0)),"")</f>
        <v/>
      </c>
      <c r="CE477" s="28" t="str">
        <f aca="false">IFERROR(INDEX(Assessments!$H$2:$H$600,MATCH($H477&amp;"|"&amp;$I477&amp;"|"&amp;$J477&amp;"|"&amp;11,Assessments!$A$2:$A$600,0)),"")</f>
        <v/>
      </c>
      <c r="CF477" s="28" t="str">
        <f aca="false">IFERROR(INDEX(Assessments!$H$2:$H$600,MATCH($H477&amp;"|"&amp;$I477&amp;"|"&amp;$J477&amp;"|"&amp;12,Assessments!$A$2:$A$600,0)),"")</f>
        <v/>
      </c>
      <c r="CG477" s="28" t="str">
        <f aca="false">IFERROR(INDEX(Assessments!$H$2:$H$600,MATCH($H477&amp;"|"&amp;$I477&amp;"|"&amp;$J477&amp;"|"&amp;13,Assessments!$A$2:$A$600,0)),"")</f>
        <v/>
      </c>
      <c r="CH477" s="28" t="str">
        <f aca="false">IFERROR(INDEX(Assessments!$H$2:$H$600,MATCH($H477&amp;"|"&amp;$I477&amp;"|"&amp;$J477&amp;"|"&amp;14,Assessments!$A$2:$A$600,0)),"")</f>
        <v/>
      </c>
      <c r="CI477" s="28" t="str">
        <f aca="false">IFERROR(INDEX(Assessments!$I$2:$I$600,MATCH($H477&amp;"|"&amp;$I477&amp;"|"&amp;$J477&amp;"|"&amp;1,Assessments!$A$2:$A$600,0)),"")</f>
        <v/>
      </c>
      <c r="CJ477" s="28" t="str">
        <f aca="false">IFERROR(INDEX(Assessments!$I$2:$I$600,MATCH($H477&amp;"|"&amp;$I477&amp;"|"&amp;$J477&amp;"|"&amp;2,Assessments!$A$2:$A$600,0)),"")</f>
        <v/>
      </c>
      <c r="CK477" s="28" t="str">
        <f aca="false">IFERROR(INDEX(Assessments!$I$2:$I$600,MATCH($H477&amp;"|"&amp;$I477&amp;"|"&amp;$J477&amp;"|"&amp;3,Assessments!$A$2:$A$600,0)),"")</f>
        <v/>
      </c>
      <c r="CL477" s="28" t="str">
        <f aca="false">IFERROR(INDEX(Assessments!$I$2:$I$600,MATCH($H477&amp;"|"&amp;$I477&amp;"|"&amp;$J477&amp;"|"&amp;4,Assessments!$A$2:$A$600,0)),"")</f>
        <v/>
      </c>
      <c r="CM477" s="28" t="str">
        <f aca="false">IFERROR(INDEX(Assessments!$I$2:$I$600,MATCH($H477&amp;"|"&amp;$I477&amp;"|"&amp;$J477&amp;"|"&amp;5,Assessments!$A$2:$A$600,0)),"")</f>
        <v/>
      </c>
      <c r="CN477" s="28" t="str">
        <f aca="false">IFERROR(INDEX(Assessments!$I$2:$I$600,MATCH($H477&amp;"|"&amp;$I477&amp;"|"&amp;$J477&amp;"|"&amp;6,Assessments!$A$2:$A$600,0)),"")</f>
        <v/>
      </c>
      <c r="CO477" s="28" t="str">
        <f aca="false">IFERROR(INDEX(Assessments!$I$2:$I$600,MATCH($H477&amp;"|"&amp;$I477&amp;"|"&amp;$J477&amp;"|"&amp;7,Assessments!$A$2:$A$600,0)),"")</f>
        <v/>
      </c>
      <c r="CP477" s="28" t="str">
        <f aca="false">IFERROR(INDEX(Assessments!$I$2:$I$600,MATCH($H477&amp;"|"&amp;$I477&amp;"|"&amp;$J477&amp;"|"&amp;8,Assessments!$A$2:$A$600,0)),"")</f>
        <v/>
      </c>
      <c r="CQ477" s="28" t="str">
        <f aca="false">IFERROR(INDEX(Assessments!$I$2:$I$600,MATCH($H477&amp;"|"&amp;$I477&amp;"|"&amp;$J477&amp;"|"&amp;9,Assessments!$A$2:$A$600,0)),"")</f>
        <v/>
      </c>
      <c r="CR477" s="28" t="str">
        <f aca="false">IFERROR(INDEX(Assessments!$I$2:$I$600,MATCH($H477&amp;"|"&amp;$I477&amp;"|"&amp;$J477&amp;"|"&amp;10,Assessments!$A$2:$A$600,0)),"")</f>
        <v/>
      </c>
      <c r="CS477" s="28" t="str">
        <f aca="false">IFERROR(INDEX(Assessments!$I$2:$I$600,MATCH($H477&amp;"|"&amp;$I477&amp;"|"&amp;$J477&amp;"|"&amp;11,Assessments!$A$2:$A$600,0)),"")</f>
        <v/>
      </c>
      <c r="CT477" s="28" t="str">
        <f aca="false">IFERROR(INDEX(Assessments!$I$2:$I$600,MATCH($H477&amp;"|"&amp;$I477&amp;"|"&amp;$J477&amp;"|"&amp;12,Assessments!$A$2:$A$600,0)),"")</f>
        <v/>
      </c>
      <c r="CU477" s="28" t="str">
        <f aca="false">IFERROR(INDEX(Assessments!$I$2:$I$600,MATCH($H477&amp;"|"&amp;$I477&amp;"|"&amp;$J477&amp;"|"&amp;13,Assessments!$A$2:$A$600,0)),"")</f>
        <v/>
      </c>
      <c r="CV477" s="28" t="str">
        <f aca="false">IFERROR(INDEX(Assessments!$I$2:$I$600,MATCH($H477&amp;"|"&amp;$I477&amp;"|"&amp;$J477&amp;"|"&amp;14,Assessments!$A$2:$A$600,0)),"")</f>
        <v/>
      </c>
      <c r="CW477" s="28" t="n">
        <f aca="false">IFERROR(INDEX(Assessments!$J$2:$J$600,MATCH($H477&amp;"|"&amp;$I477&amp;"|"&amp;$J477&amp;"|"&amp;1,Assessments!$A$2:$A$600,0)),0)</f>
        <v>0</v>
      </c>
      <c r="CX477" s="28" t="n">
        <f aca="false">IFERROR(INDEX(Assessments!$J$2:$J$600,MATCH($H477&amp;"|"&amp;$I477&amp;"|"&amp;$J477&amp;"|"&amp;2,Assessments!$A$2:$A$600,0)),0)</f>
        <v>0</v>
      </c>
      <c r="CY477" s="28" t="n">
        <f aca="false">IFERROR(INDEX(Assessments!$J$2:$J$600,MATCH($H477&amp;"|"&amp;$I477&amp;"|"&amp;$J477&amp;"|"&amp;3,Assessments!$A$2:$A$600,0)),0)</f>
        <v>0</v>
      </c>
      <c r="CZ477" s="28" t="n">
        <f aca="false">IFERROR(INDEX(Assessments!$J$2:$J$600,MATCH($H477&amp;"|"&amp;$I477&amp;"|"&amp;$J477&amp;"|"&amp;4,Assessments!$A$2:$A$600,0)),0)</f>
        <v>0</v>
      </c>
      <c r="DA477" s="28" t="n">
        <f aca="false">IFERROR(INDEX(Assessments!$J$2:$J$600,MATCH($H477&amp;"|"&amp;$I477&amp;"|"&amp;$J477&amp;"|"&amp;5,Assessments!$A$2:$A$600,0)),0)</f>
        <v>0</v>
      </c>
      <c r="DB477" s="28" t="n">
        <f aca="false">IFERROR(INDEX(Assessments!$J$2:$J$600,MATCH($H477&amp;"|"&amp;$I477&amp;"|"&amp;$J477&amp;"|"&amp;6,Assessments!$A$2:$A$600,0)),0)</f>
        <v>0</v>
      </c>
      <c r="DC477" s="28" t="n">
        <f aca="false">IFERROR(INDEX(Assessments!$J$2:$J$600,MATCH($H477&amp;"|"&amp;$I477&amp;"|"&amp;$J477&amp;"|"&amp;7,Assessments!$A$2:$A$600,0)),0)</f>
        <v>0</v>
      </c>
      <c r="DD477" s="28" t="n">
        <f aca="false">IFERROR(INDEX(Assessments!$J$2:$J$600,MATCH($H477&amp;"|"&amp;$I477&amp;"|"&amp;$J477&amp;"|"&amp;8,Assessments!$A$2:$A$600,0)),0)</f>
        <v>0</v>
      </c>
      <c r="DE477" s="28" t="n">
        <f aca="false">IFERROR(INDEX(Assessments!$J$2:$J$600,MATCH($H477&amp;"|"&amp;$I477&amp;"|"&amp;$J477&amp;"|"&amp;9,Assessments!$A$2:$A$600,0)),0)</f>
        <v>0</v>
      </c>
      <c r="DF477" s="28" t="n">
        <f aca="false">IFERROR(INDEX(Assessments!$J$2:$J$600,MATCH($H477&amp;"|"&amp;$I477&amp;"|"&amp;$J477&amp;"|"&amp;10,Assessments!$A$2:$A$600,0)),0)</f>
        <v>0</v>
      </c>
      <c r="DG477" s="28" t="n">
        <f aca="false">IFERROR(INDEX(Assessments!$J$2:$J$600,MATCH($H477&amp;"|"&amp;$I477&amp;"|"&amp;$J477&amp;"|"&amp;11,Assessments!$A$2:$A$600,0)),0)</f>
        <v>0</v>
      </c>
      <c r="DH477" s="28" t="n">
        <f aca="false">IFERROR(INDEX(Assessments!$J$2:$J$600,MATCH($H477&amp;"|"&amp;$I477&amp;"|"&amp;$J477&amp;"|"&amp;12,Assessments!$A$2:$A$600,0)),0)</f>
        <v>0</v>
      </c>
      <c r="DI477" s="28" t="n">
        <f aca="false">IFERROR(INDEX(Assessments!$J$2:$J$600,MATCH($H477&amp;"|"&amp;$I477&amp;"|"&amp;$J477&amp;"|"&amp;13,Assessments!$A$2:$A$600,0)),0)</f>
        <v>0</v>
      </c>
      <c r="DJ477" s="28" t="n">
        <f aca="false">IFERROR(INDEX(Assessments!$J$2:$J$600,MATCH($H477&amp;"|"&amp;$I477&amp;"|"&amp;$J477&amp;"|"&amp;14,Assessments!$A$2:$A$600,0)),0)</f>
        <v>0</v>
      </c>
      <c r="DK477" s="28" t="str">
        <f aca="false">S477</f>
        <v/>
      </c>
      <c r="DL477" s="28" t="str">
        <f aca="false">W477</f>
        <v/>
      </c>
      <c r="DM477" s="28" t="str">
        <f aca="false">AA477</f>
        <v/>
      </c>
      <c r="DN477" s="28" t="str">
        <f aca="false">AE477</f>
        <v/>
      </c>
      <c r="DO477" s="28" t="str">
        <f aca="false">AI477</f>
        <v/>
      </c>
      <c r="DP477" s="28" t="str">
        <f aca="false">AM477</f>
        <v/>
      </c>
      <c r="DQ477" s="28" t="str">
        <f aca="false">AQ477</f>
        <v/>
      </c>
      <c r="DR477" s="28" t="str">
        <f aca="false">AU477</f>
        <v/>
      </c>
      <c r="DS477" s="28" t="str">
        <f aca="false">AY477</f>
        <v/>
      </c>
      <c r="DT477" s="28" t="str">
        <f aca="false">BC477</f>
        <v/>
      </c>
      <c r="DU477" s="28" t="str">
        <f aca="false">BG477</f>
        <v/>
      </c>
      <c r="DV477" s="28" t="str">
        <f aca="false">BK477</f>
        <v/>
      </c>
      <c r="DW477" s="28" t="str">
        <f aca="false">BO477</f>
        <v/>
      </c>
      <c r="DX477" s="28" t="str">
        <f aca="false">BS477</f>
        <v/>
      </c>
      <c r="DY477" s="28" t="str">
        <f aca="false">IF(ISNUMBER(S477),1,"")</f>
        <v/>
      </c>
      <c r="DZ477" s="28" t="str">
        <f aca="false">IF(ISNUMBER(W477),2,"")</f>
        <v/>
      </c>
      <c r="EA477" s="28" t="str">
        <f aca="false">IF(ISNUMBER(AA477),3,"")</f>
        <v/>
      </c>
      <c r="EB477" s="28" t="str">
        <f aca="false">IF(ISNUMBER(AE477),4,"")</f>
        <v/>
      </c>
      <c r="EC477" s="28" t="str">
        <f aca="false">IF(ISNUMBER(AI477),5,"")</f>
        <v/>
      </c>
      <c r="ED477" s="28" t="str">
        <f aca="false">IF(ISNUMBER(AM477),6,"")</f>
        <v/>
      </c>
      <c r="EE477" s="28" t="str">
        <f aca="false">IF(ISNUMBER(AQ477),7,"")</f>
        <v/>
      </c>
      <c r="EF477" s="28" t="str">
        <f aca="false">IF(ISNUMBER(AU477),8,"")</f>
        <v/>
      </c>
      <c r="EG477" s="28" t="str">
        <f aca="false">IF(ISNUMBER(AY477),9,"")</f>
        <v/>
      </c>
      <c r="EH477" s="28" t="str">
        <f aca="false">IF(ISNUMBER(BC477),10,"")</f>
        <v/>
      </c>
      <c r="EI477" s="28" t="str">
        <f aca="false">IF(ISNUMBER(BG477),11,"")</f>
        <v/>
      </c>
      <c r="EJ477" s="28" t="str">
        <f aca="false">IF(ISNUMBER(BK477),12,"")</f>
        <v/>
      </c>
      <c r="EK477" s="28" t="str">
        <f aca="false">IF(ISNUMBER(BO477),13,"")</f>
        <v/>
      </c>
      <c r="EL477" s="28" t="str">
        <f aca="false">IF(ISNUMBER(BS477),14,"")</f>
        <v/>
      </c>
      <c r="EM477" s="28" t="n">
        <f aca="false">IF(ISNUMBER(R477),R477*CW477,0)</f>
        <v>0</v>
      </c>
      <c r="EN477" s="28" t="n">
        <f aca="false">IF(ISNUMBER(V477),V477*CX477,0)</f>
        <v>0</v>
      </c>
      <c r="EO477" s="28" t="n">
        <f aca="false">IF(ISNUMBER(Z477),Z477*CY477,0)</f>
        <v>0</v>
      </c>
      <c r="EP477" s="28" t="n">
        <f aca="false">IF(ISNUMBER(AD477),AD477*CZ477,0)</f>
        <v>0</v>
      </c>
      <c r="EQ477" s="28" t="n">
        <f aca="false">IF(ISNUMBER(AH477),AH477*DA477,0)</f>
        <v>0</v>
      </c>
      <c r="ER477" s="28" t="n">
        <f aca="false">IF(ISNUMBER(AL477),AL477*DB477,0)</f>
        <v>0</v>
      </c>
      <c r="ES477" s="28" t="n">
        <f aca="false">IF(ISNUMBER(AP477),AP477*DC477,0)</f>
        <v>0</v>
      </c>
      <c r="ET477" s="28" t="n">
        <f aca="false">IF(ISNUMBER(AT477),AT477*DD477,0)</f>
        <v>0</v>
      </c>
      <c r="EU477" s="28" t="n">
        <f aca="false">IF(ISNUMBER(AX477),AX477*DE477,0)</f>
        <v>0</v>
      </c>
      <c r="EV477" s="28" t="n">
        <f aca="false">IF(ISNUMBER(BB477),BB477*DF477,0)</f>
        <v>0</v>
      </c>
      <c r="EW477" s="28" t="n">
        <f aca="false">IF(ISNUMBER(BF477),BF477*DG477,0)</f>
        <v>0</v>
      </c>
      <c r="EX477" s="28" t="n">
        <f aca="false">IF(ISNUMBER(BJ477),BJ477*DH477,0)</f>
        <v>0</v>
      </c>
      <c r="EY477" s="28" t="n">
        <f aca="false">IF(ISNUMBER(BN477),BN477*DI477,0)</f>
        <v>0</v>
      </c>
      <c r="EZ477" s="28" t="n">
        <f aca="false">IF(ISNUMBER(BR477),BR477*DJ477,0)</f>
        <v>0</v>
      </c>
      <c r="FA477" s="28" t="n">
        <f aca="false">IF(ISNUMBER(R477),CW477,0)</f>
        <v>0</v>
      </c>
      <c r="FB477" s="28" t="n">
        <f aca="false">IF(ISNUMBER(V477),CX477,0)</f>
        <v>0</v>
      </c>
      <c r="FC477" s="28" t="n">
        <f aca="false">IF(ISNUMBER(Z477),CY477,0)</f>
        <v>0</v>
      </c>
      <c r="FD477" s="28" t="n">
        <f aca="false">IF(ISNUMBER(AD477),CZ477,0)</f>
        <v>0</v>
      </c>
      <c r="FE477" s="28" t="n">
        <f aca="false">IF(ISNUMBER(AH477),DA477,0)</f>
        <v>0</v>
      </c>
      <c r="FF477" s="28" t="n">
        <f aca="false">IF(ISNUMBER(AL477),DB477,0)</f>
        <v>0</v>
      </c>
      <c r="FG477" s="28" t="n">
        <f aca="false">IF(ISNUMBER(AP477),DC477,0)</f>
        <v>0</v>
      </c>
      <c r="FH477" s="28" t="n">
        <f aca="false">IF(ISNUMBER(AT477),DD477,0)</f>
        <v>0</v>
      </c>
      <c r="FI477" s="28" t="n">
        <f aca="false">IF(ISNUMBER(AX477),DE477,0)</f>
        <v>0</v>
      </c>
      <c r="FJ477" s="28" t="n">
        <f aca="false">IF(ISNUMBER(BB477),DF477,0)</f>
        <v>0</v>
      </c>
      <c r="FK477" s="28" t="n">
        <f aca="false">IF(ISNUMBER(BF477),DG477,0)</f>
        <v>0</v>
      </c>
      <c r="FL477" s="28" t="n">
        <f aca="false">IF(ISNUMBER(BJ477),DH477,0)</f>
        <v>0</v>
      </c>
      <c r="FM477" s="28" t="n">
        <f aca="false">IF(ISNUMBER(BN477),DI477,0)</f>
        <v>0</v>
      </c>
      <c r="FN477" s="28" t="n">
        <f aca="false">IF(ISNUMBER(BR477),DJ477,0)</f>
        <v>0</v>
      </c>
      <c r="FO477" s="28" t="str">
        <f aca="false">IFERROR(INDEX(Lists!$G$2:$G$20,MATCH($I477&amp;"|"&amp;$J477,Lists!$F$2:$F$20,0)),"")</f>
        <v/>
      </c>
    </row>
    <row r="478" customFormat="false" ht="19.5" hidden="false" customHeight="true" outlineLevel="0" collapsed="false">
      <c r="A478" s="29"/>
      <c r="B478" s="29"/>
      <c r="C478" s="30"/>
      <c r="D478" s="30"/>
      <c r="E478" s="31"/>
      <c r="F478" s="30"/>
      <c r="G478" s="30"/>
      <c r="H478" s="32"/>
      <c r="I478" s="33"/>
      <c r="J478" s="32"/>
      <c r="K478" s="34" t="str">
        <f aca="false">IF(OR(M478="",$E478=""),"",M478-$E478)</f>
        <v/>
      </c>
      <c r="L478" s="35" t="str">
        <f aca="false">IF(SUM(FA478:FN478)=0,"",SUM(EM478:EZ478)/SUM(FA478:FN478))</f>
        <v/>
      </c>
      <c r="M478" s="36" t="str">
        <f aca="false">IF(OR(L478="",FO478=""),"",IFERROR(MATCH(L478,INDEX(Boundaries!$B$2:$I$30,MATCH(FO478,Boundaries!$A$2:$A$30,0),0),1)-1,""))</f>
        <v/>
      </c>
      <c r="N478" s="37" t="str">
        <f aca="false">IF(COUNT($DY478:$EL478)&lt;2,"",INDEX($DK478:$DX478,MAX($DY478:$EL478))-INDEX($DK478:$DX478,MIN($DY478:$EL478)))</f>
        <v/>
      </c>
      <c r="O478" s="37" t="str">
        <f aca="false">IF(COUNT($DY478:$EL478)&lt;2,"",INDEX($DK478:$DX478,MAX($DY478:$EL478))-INDEX($DK478:$DX478,LARGE($DY478:$EL478,2)))</f>
        <v/>
      </c>
      <c r="P478" s="38" t="str">
        <f aca="false">IF(K478="","",IF(K478&gt;=0,"On/above target",IF(AND(N478&lt;&gt;"",N478&gt;=0.5),"Improving towards target",IF(AND(O478&lt;&gt;"",O478&lt;=-0.5),"Declining","Stable below target"))))</f>
        <v/>
      </c>
      <c r="Q478" s="39"/>
      <c r="R478" s="40" t="str">
        <f aca="false">IF(OR(Q478="",BU478=""),"",Q478/BU478*100)</f>
        <v/>
      </c>
      <c r="S478" s="41" t="str">
        <f aca="false">IF(R478="","",IFERROR(MATCH(R478,INDEX(Boundaries!$B$2:$I$30,MATCH(CI478,Boundaries!$A$2:$A$30,0),0),1)-1,""))</f>
        <v/>
      </c>
      <c r="T478" s="42" t="str">
        <f aca="false">IF(OR(S478="",$E478=""),"",S478-$E478)</f>
        <v/>
      </c>
      <c r="U478" s="39"/>
      <c r="V478" s="40" t="str">
        <f aca="false">IF(OR(U478="",BV478=""),"",U478/BV478*100)</f>
        <v/>
      </c>
      <c r="W478" s="41" t="str">
        <f aca="false">IF(V478="","",IFERROR(MATCH(V478,INDEX(Boundaries!$B$2:$I$30,MATCH(CJ478,Boundaries!$A$2:$A$30,0),0),1)-1,""))</f>
        <v/>
      </c>
      <c r="X478" s="42" t="str">
        <f aca="false">IF(OR(W478="",$E478=""),"",W478-$E478)</f>
        <v/>
      </c>
      <c r="Y478" s="39"/>
      <c r="Z478" s="40" t="str">
        <f aca="false">IF(OR(Y478="",BW478=""),"",Y478/BW478*100)</f>
        <v/>
      </c>
      <c r="AA478" s="41" t="str">
        <f aca="false">IF(Z478="","",IFERROR(MATCH(Z478,INDEX(Boundaries!$B$2:$I$30,MATCH(CK478,Boundaries!$A$2:$A$30,0),0),1)-1,""))</f>
        <v/>
      </c>
      <c r="AB478" s="42" t="str">
        <f aca="false">IF(OR(AA478="",$E478=""),"",AA478-$E478)</f>
        <v/>
      </c>
      <c r="AC478" s="39"/>
      <c r="AD478" s="40" t="str">
        <f aca="false">IF(OR(AC478="",BX478=""),"",AC478/BX478*100)</f>
        <v/>
      </c>
      <c r="AE478" s="41" t="str">
        <f aca="false">IF(AD478="","",IFERROR(MATCH(AD478,INDEX(Boundaries!$B$2:$I$30,MATCH(CL478,Boundaries!$A$2:$A$30,0),0),1)-1,""))</f>
        <v/>
      </c>
      <c r="AF478" s="42" t="str">
        <f aca="false">IF(OR(AE478="",$E478=""),"",AE478-$E478)</f>
        <v/>
      </c>
      <c r="AG478" s="39"/>
      <c r="AH478" s="40" t="str">
        <f aca="false">IF(OR(AG478="",BY478=""),"",AG478/BY478*100)</f>
        <v/>
      </c>
      <c r="AI478" s="41" t="str">
        <f aca="false">IF(AH478="","",IFERROR(MATCH(AH478,INDEX(Boundaries!$B$2:$I$30,MATCH(CM478,Boundaries!$A$2:$A$30,0),0),1)-1,""))</f>
        <v/>
      </c>
      <c r="AJ478" s="42" t="str">
        <f aca="false">IF(OR(AI478="",$E478=""),"",AI478-$E478)</f>
        <v/>
      </c>
      <c r="AK478" s="39"/>
      <c r="AL478" s="40" t="str">
        <f aca="false">IF(OR(AK478="",BZ478=""),"",AK478/BZ478*100)</f>
        <v/>
      </c>
      <c r="AM478" s="41" t="str">
        <f aca="false">IF(AL478="","",IFERROR(MATCH(AL478,INDEX(Boundaries!$B$2:$I$30,MATCH(CN478,Boundaries!$A$2:$A$30,0),0),1)-1,""))</f>
        <v/>
      </c>
      <c r="AN478" s="42" t="str">
        <f aca="false">IF(OR(AM478="",$E478=""),"",AM478-$E478)</f>
        <v/>
      </c>
      <c r="AO478" s="39"/>
      <c r="AP478" s="40" t="str">
        <f aca="false">IF(OR(AO478="",CA478=""),"",AO478/CA478*100)</f>
        <v/>
      </c>
      <c r="AQ478" s="41" t="str">
        <f aca="false">IF(AP478="","",IFERROR(MATCH(AP478,INDEX(Boundaries!$B$2:$I$30,MATCH(CO478,Boundaries!$A$2:$A$30,0),0),1)-1,""))</f>
        <v/>
      </c>
      <c r="AR478" s="42" t="str">
        <f aca="false">IF(OR(AQ478="",$E478=""),"",AQ478-$E478)</f>
        <v/>
      </c>
      <c r="AS478" s="39"/>
      <c r="AT478" s="40" t="str">
        <f aca="false">IF(OR(AS478="",CB478=""),"",AS478/CB478*100)</f>
        <v/>
      </c>
      <c r="AU478" s="41" t="str">
        <f aca="false">IF(AT478="","",IFERROR(MATCH(AT478,INDEX(Boundaries!$B$2:$I$30,MATCH(CP478,Boundaries!$A$2:$A$30,0),0),1)-1,""))</f>
        <v/>
      </c>
      <c r="AV478" s="42" t="str">
        <f aca="false">IF(OR(AU478="",$E478=""),"",AU478-$E478)</f>
        <v/>
      </c>
      <c r="AW478" s="39"/>
      <c r="AX478" s="40" t="str">
        <f aca="false">IF(OR(AW478="",CC478=""),"",AW478/CC478*100)</f>
        <v/>
      </c>
      <c r="AY478" s="41" t="str">
        <f aca="false">IF(AX478="","",IFERROR(MATCH(AX478,INDEX(Boundaries!$B$2:$I$30,MATCH(CQ478,Boundaries!$A$2:$A$30,0),0),1)-1,""))</f>
        <v/>
      </c>
      <c r="AZ478" s="42" t="str">
        <f aca="false">IF(OR(AY478="",$E478=""),"",AY478-$E478)</f>
        <v/>
      </c>
      <c r="BA478" s="39"/>
      <c r="BB478" s="40" t="str">
        <f aca="false">IF(OR(BA478="",CD478=""),"",BA478/CD478*100)</f>
        <v/>
      </c>
      <c r="BC478" s="41" t="str">
        <f aca="false">IF(BB478="","",IFERROR(MATCH(BB478,INDEX(Boundaries!$B$2:$I$30,MATCH(CR478,Boundaries!$A$2:$A$30,0),0),1)-1,""))</f>
        <v/>
      </c>
      <c r="BD478" s="42" t="str">
        <f aca="false">IF(OR(BC478="",$E478=""),"",BC478-$E478)</f>
        <v/>
      </c>
      <c r="BE478" s="39"/>
      <c r="BF478" s="40" t="str">
        <f aca="false">IF(OR(BE478="",CE478=""),"",BE478/CE478*100)</f>
        <v/>
      </c>
      <c r="BG478" s="41" t="str">
        <f aca="false">IF(BF478="","",IFERROR(MATCH(BF478,INDEX(Boundaries!$B$2:$I$30,MATCH(CS478,Boundaries!$A$2:$A$30,0),0),1)-1,""))</f>
        <v/>
      </c>
      <c r="BH478" s="42" t="str">
        <f aca="false">IF(OR(BG478="",$E478=""),"",BG478-$E478)</f>
        <v/>
      </c>
      <c r="BI478" s="39"/>
      <c r="BJ478" s="40" t="str">
        <f aca="false">IF(OR(BI478="",CF478=""),"",BI478/CF478*100)</f>
        <v/>
      </c>
      <c r="BK478" s="41" t="str">
        <f aca="false">IF(BJ478="","",IFERROR(MATCH(BJ478,INDEX(Boundaries!$B$2:$I$30,MATCH(CT478,Boundaries!$A$2:$A$30,0),0),1)-1,""))</f>
        <v/>
      </c>
      <c r="BL478" s="42" t="str">
        <f aca="false">IF(OR(BK478="",$E478=""),"",BK478-$E478)</f>
        <v/>
      </c>
      <c r="BM478" s="39"/>
      <c r="BN478" s="40" t="str">
        <f aca="false">IF(OR(BM478="",CG478=""),"",BM478/CG478*100)</f>
        <v/>
      </c>
      <c r="BO478" s="41" t="str">
        <f aca="false">IF(BN478="","",IFERROR(MATCH(BN478,INDEX(Boundaries!$B$2:$I$30,MATCH(CU478,Boundaries!$A$2:$A$30,0),0),1)-1,""))</f>
        <v/>
      </c>
      <c r="BP478" s="42" t="str">
        <f aca="false">IF(OR(BO478="",$E478=""),"",BO478-$E478)</f>
        <v/>
      </c>
      <c r="BQ478" s="39"/>
      <c r="BR478" s="40" t="str">
        <f aca="false">IF(OR(BQ478="",CH478=""),"",BQ478/CH478*100)</f>
        <v/>
      </c>
      <c r="BS478" s="41" t="str">
        <f aca="false">IF(BR478="","",IFERROR(MATCH(BR478,INDEX(Boundaries!$B$2:$I$30,MATCH(CV478,Boundaries!$A$2:$A$30,0),0),1)-1,""))</f>
        <v/>
      </c>
      <c r="BT478" s="42" t="str">
        <f aca="false">IF(OR(BS478="",$E478=""),"",BS478-$E478)</f>
        <v/>
      </c>
      <c r="BU478" s="28" t="str">
        <f aca="false">IFERROR(INDEX(Assessments!$H$2:$H$600,MATCH($H478&amp;"|"&amp;$I478&amp;"|"&amp;$J478&amp;"|"&amp;1,Assessments!$A$2:$A$600,0)),"")</f>
        <v/>
      </c>
      <c r="BV478" s="28" t="str">
        <f aca="false">IFERROR(INDEX(Assessments!$H$2:$H$600,MATCH($H478&amp;"|"&amp;$I478&amp;"|"&amp;$J478&amp;"|"&amp;2,Assessments!$A$2:$A$600,0)),"")</f>
        <v/>
      </c>
      <c r="BW478" s="28" t="str">
        <f aca="false">IFERROR(INDEX(Assessments!$H$2:$H$600,MATCH($H478&amp;"|"&amp;$I478&amp;"|"&amp;$J478&amp;"|"&amp;3,Assessments!$A$2:$A$600,0)),"")</f>
        <v/>
      </c>
      <c r="BX478" s="28" t="str">
        <f aca="false">IFERROR(INDEX(Assessments!$H$2:$H$600,MATCH($H478&amp;"|"&amp;$I478&amp;"|"&amp;$J478&amp;"|"&amp;4,Assessments!$A$2:$A$600,0)),"")</f>
        <v/>
      </c>
      <c r="BY478" s="28" t="str">
        <f aca="false">IFERROR(INDEX(Assessments!$H$2:$H$600,MATCH($H478&amp;"|"&amp;$I478&amp;"|"&amp;$J478&amp;"|"&amp;5,Assessments!$A$2:$A$600,0)),"")</f>
        <v/>
      </c>
      <c r="BZ478" s="28" t="str">
        <f aca="false">IFERROR(INDEX(Assessments!$H$2:$H$600,MATCH($H478&amp;"|"&amp;$I478&amp;"|"&amp;$J478&amp;"|"&amp;6,Assessments!$A$2:$A$600,0)),"")</f>
        <v/>
      </c>
      <c r="CA478" s="28" t="str">
        <f aca="false">IFERROR(INDEX(Assessments!$H$2:$H$600,MATCH($H478&amp;"|"&amp;$I478&amp;"|"&amp;$J478&amp;"|"&amp;7,Assessments!$A$2:$A$600,0)),"")</f>
        <v/>
      </c>
      <c r="CB478" s="28" t="str">
        <f aca="false">IFERROR(INDEX(Assessments!$H$2:$H$600,MATCH($H478&amp;"|"&amp;$I478&amp;"|"&amp;$J478&amp;"|"&amp;8,Assessments!$A$2:$A$600,0)),"")</f>
        <v/>
      </c>
      <c r="CC478" s="28" t="str">
        <f aca="false">IFERROR(INDEX(Assessments!$H$2:$H$600,MATCH($H478&amp;"|"&amp;$I478&amp;"|"&amp;$J478&amp;"|"&amp;9,Assessments!$A$2:$A$600,0)),"")</f>
        <v/>
      </c>
      <c r="CD478" s="28" t="str">
        <f aca="false">IFERROR(INDEX(Assessments!$H$2:$H$600,MATCH($H478&amp;"|"&amp;$I478&amp;"|"&amp;$J478&amp;"|"&amp;10,Assessments!$A$2:$A$600,0)),"")</f>
        <v/>
      </c>
      <c r="CE478" s="28" t="str">
        <f aca="false">IFERROR(INDEX(Assessments!$H$2:$H$600,MATCH($H478&amp;"|"&amp;$I478&amp;"|"&amp;$J478&amp;"|"&amp;11,Assessments!$A$2:$A$600,0)),"")</f>
        <v/>
      </c>
      <c r="CF478" s="28" t="str">
        <f aca="false">IFERROR(INDEX(Assessments!$H$2:$H$600,MATCH($H478&amp;"|"&amp;$I478&amp;"|"&amp;$J478&amp;"|"&amp;12,Assessments!$A$2:$A$600,0)),"")</f>
        <v/>
      </c>
      <c r="CG478" s="28" t="str">
        <f aca="false">IFERROR(INDEX(Assessments!$H$2:$H$600,MATCH($H478&amp;"|"&amp;$I478&amp;"|"&amp;$J478&amp;"|"&amp;13,Assessments!$A$2:$A$600,0)),"")</f>
        <v/>
      </c>
      <c r="CH478" s="28" t="str">
        <f aca="false">IFERROR(INDEX(Assessments!$H$2:$H$600,MATCH($H478&amp;"|"&amp;$I478&amp;"|"&amp;$J478&amp;"|"&amp;14,Assessments!$A$2:$A$600,0)),"")</f>
        <v/>
      </c>
      <c r="CI478" s="28" t="str">
        <f aca="false">IFERROR(INDEX(Assessments!$I$2:$I$600,MATCH($H478&amp;"|"&amp;$I478&amp;"|"&amp;$J478&amp;"|"&amp;1,Assessments!$A$2:$A$600,0)),"")</f>
        <v/>
      </c>
      <c r="CJ478" s="28" t="str">
        <f aca="false">IFERROR(INDEX(Assessments!$I$2:$I$600,MATCH($H478&amp;"|"&amp;$I478&amp;"|"&amp;$J478&amp;"|"&amp;2,Assessments!$A$2:$A$600,0)),"")</f>
        <v/>
      </c>
      <c r="CK478" s="28" t="str">
        <f aca="false">IFERROR(INDEX(Assessments!$I$2:$I$600,MATCH($H478&amp;"|"&amp;$I478&amp;"|"&amp;$J478&amp;"|"&amp;3,Assessments!$A$2:$A$600,0)),"")</f>
        <v/>
      </c>
      <c r="CL478" s="28" t="str">
        <f aca="false">IFERROR(INDEX(Assessments!$I$2:$I$600,MATCH($H478&amp;"|"&amp;$I478&amp;"|"&amp;$J478&amp;"|"&amp;4,Assessments!$A$2:$A$600,0)),"")</f>
        <v/>
      </c>
      <c r="CM478" s="28" t="str">
        <f aca="false">IFERROR(INDEX(Assessments!$I$2:$I$600,MATCH($H478&amp;"|"&amp;$I478&amp;"|"&amp;$J478&amp;"|"&amp;5,Assessments!$A$2:$A$600,0)),"")</f>
        <v/>
      </c>
      <c r="CN478" s="28" t="str">
        <f aca="false">IFERROR(INDEX(Assessments!$I$2:$I$600,MATCH($H478&amp;"|"&amp;$I478&amp;"|"&amp;$J478&amp;"|"&amp;6,Assessments!$A$2:$A$600,0)),"")</f>
        <v/>
      </c>
      <c r="CO478" s="28" t="str">
        <f aca="false">IFERROR(INDEX(Assessments!$I$2:$I$600,MATCH($H478&amp;"|"&amp;$I478&amp;"|"&amp;$J478&amp;"|"&amp;7,Assessments!$A$2:$A$600,0)),"")</f>
        <v/>
      </c>
      <c r="CP478" s="28" t="str">
        <f aca="false">IFERROR(INDEX(Assessments!$I$2:$I$600,MATCH($H478&amp;"|"&amp;$I478&amp;"|"&amp;$J478&amp;"|"&amp;8,Assessments!$A$2:$A$600,0)),"")</f>
        <v/>
      </c>
      <c r="CQ478" s="28" t="str">
        <f aca="false">IFERROR(INDEX(Assessments!$I$2:$I$600,MATCH($H478&amp;"|"&amp;$I478&amp;"|"&amp;$J478&amp;"|"&amp;9,Assessments!$A$2:$A$600,0)),"")</f>
        <v/>
      </c>
      <c r="CR478" s="28" t="str">
        <f aca="false">IFERROR(INDEX(Assessments!$I$2:$I$600,MATCH($H478&amp;"|"&amp;$I478&amp;"|"&amp;$J478&amp;"|"&amp;10,Assessments!$A$2:$A$600,0)),"")</f>
        <v/>
      </c>
      <c r="CS478" s="28" t="str">
        <f aca="false">IFERROR(INDEX(Assessments!$I$2:$I$600,MATCH($H478&amp;"|"&amp;$I478&amp;"|"&amp;$J478&amp;"|"&amp;11,Assessments!$A$2:$A$600,0)),"")</f>
        <v/>
      </c>
      <c r="CT478" s="28" t="str">
        <f aca="false">IFERROR(INDEX(Assessments!$I$2:$I$600,MATCH($H478&amp;"|"&amp;$I478&amp;"|"&amp;$J478&amp;"|"&amp;12,Assessments!$A$2:$A$600,0)),"")</f>
        <v/>
      </c>
      <c r="CU478" s="28" t="str">
        <f aca="false">IFERROR(INDEX(Assessments!$I$2:$I$600,MATCH($H478&amp;"|"&amp;$I478&amp;"|"&amp;$J478&amp;"|"&amp;13,Assessments!$A$2:$A$600,0)),"")</f>
        <v/>
      </c>
      <c r="CV478" s="28" t="str">
        <f aca="false">IFERROR(INDEX(Assessments!$I$2:$I$600,MATCH($H478&amp;"|"&amp;$I478&amp;"|"&amp;$J478&amp;"|"&amp;14,Assessments!$A$2:$A$600,0)),"")</f>
        <v/>
      </c>
      <c r="CW478" s="28" t="n">
        <f aca="false">IFERROR(INDEX(Assessments!$J$2:$J$600,MATCH($H478&amp;"|"&amp;$I478&amp;"|"&amp;$J478&amp;"|"&amp;1,Assessments!$A$2:$A$600,0)),0)</f>
        <v>0</v>
      </c>
      <c r="CX478" s="28" t="n">
        <f aca="false">IFERROR(INDEX(Assessments!$J$2:$J$600,MATCH($H478&amp;"|"&amp;$I478&amp;"|"&amp;$J478&amp;"|"&amp;2,Assessments!$A$2:$A$600,0)),0)</f>
        <v>0</v>
      </c>
      <c r="CY478" s="28" t="n">
        <f aca="false">IFERROR(INDEX(Assessments!$J$2:$J$600,MATCH($H478&amp;"|"&amp;$I478&amp;"|"&amp;$J478&amp;"|"&amp;3,Assessments!$A$2:$A$600,0)),0)</f>
        <v>0</v>
      </c>
      <c r="CZ478" s="28" t="n">
        <f aca="false">IFERROR(INDEX(Assessments!$J$2:$J$600,MATCH($H478&amp;"|"&amp;$I478&amp;"|"&amp;$J478&amp;"|"&amp;4,Assessments!$A$2:$A$600,0)),0)</f>
        <v>0</v>
      </c>
      <c r="DA478" s="28" t="n">
        <f aca="false">IFERROR(INDEX(Assessments!$J$2:$J$600,MATCH($H478&amp;"|"&amp;$I478&amp;"|"&amp;$J478&amp;"|"&amp;5,Assessments!$A$2:$A$600,0)),0)</f>
        <v>0</v>
      </c>
      <c r="DB478" s="28" t="n">
        <f aca="false">IFERROR(INDEX(Assessments!$J$2:$J$600,MATCH($H478&amp;"|"&amp;$I478&amp;"|"&amp;$J478&amp;"|"&amp;6,Assessments!$A$2:$A$600,0)),0)</f>
        <v>0</v>
      </c>
      <c r="DC478" s="28" t="n">
        <f aca="false">IFERROR(INDEX(Assessments!$J$2:$J$600,MATCH($H478&amp;"|"&amp;$I478&amp;"|"&amp;$J478&amp;"|"&amp;7,Assessments!$A$2:$A$600,0)),0)</f>
        <v>0</v>
      </c>
      <c r="DD478" s="28" t="n">
        <f aca="false">IFERROR(INDEX(Assessments!$J$2:$J$600,MATCH($H478&amp;"|"&amp;$I478&amp;"|"&amp;$J478&amp;"|"&amp;8,Assessments!$A$2:$A$600,0)),0)</f>
        <v>0</v>
      </c>
      <c r="DE478" s="28" t="n">
        <f aca="false">IFERROR(INDEX(Assessments!$J$2:$J$600,MATCH($H478&amp;"|"&amp;$I478&amp;"|"&amp;$J478&amp;"|"&amp;9,Assessments!$A$2:$A$600,0)),0)</f>
        <v>0</v>
      </c>
      <c r="DF478" s="28" t="n">
        <f aca="false">IFERROR(INDEX(Assessments!$J$2:$J$600,MATCH($H478&amp;"|"&amp;$I478&amp;"|"&amp;$J478&amp;"|"&amp;10,Assessments!$A$2:$A$600,0)),0)</f>
        <v>0</v>
      </c>
      <c r="DG478" s="28" t="n">
        <f aca="false">IFERROR(INDEX(Assessments!$J$2:$J$600,MATCH($H478&amp;"|"&amp;$I478&amp;"|"&amp;$J478&amp;"|"&amp;11,Assessments!$A$2:$A$600,0)),0)</f>
        <v>0</v>
      </c>
      <c r="DH478" s="28" t="n">
        <f aca="false">IFERROR(INDEX(Assessments!$J$2:$J$600,MATCH($H478&amp;"|"&amp;$I478&amp;"|"&amp;$J478&amp;"|"&amp;12,Assessments!$A$2:$A$600,0)),0)</f>
        <v>0</v>
      </c>
      <c r="DI478" s="28" t="n">
        <f aca="false">IFERROR(INDEX(Assessments!$J$2:$J$600,MATCH($H478&amp;"|"&amp;$I478&amp;"|"&amp;$J478&amp;"|"&amp;13,Assessments!$A$2:$A$600,0)),0)</f>
        <v>0</v>
      </c>
      <c r="DJ478" s="28" t="n">
        <f aca="false">IFERROR(INDEX(Assessments!$J$2:$J$600,MATCH($H478&amp;"|"&amp;$I478&amp;"|"&amp;$J478&amp;"|"&amp;14,Assessments!$A$2:$A$600,0)),0)</f>
        <v>0</v>
      </c>
      <c r="DK478" s="28" t="str">
        <f aca="false">S478</f>
        <v/>
      </c>
      <c r="DL478" s="28" t="str">
        <f aca="false">W478</f>
        <v/>
      </c>
      <c r="DM478" s="28" t="str">
        <f aca="false">AA478</f>
        <v/>
      </c>
      <c r="DN478" s="28" t="str">
        <f aca="false">AE478</f>
        <v/>
      </c>
      <c r="DO478" s="28" t="str">
        <f aca="false">AI478</f>
        <v/>
      </c>
      <c r="DP478" s="28" t="str">
        <f aca="false">AM478</f>
        <v/>
      </c>
      <c r="DQ478" s="28" t="str">
        <f aca="false">AQ478</f>
        <v/>
      </c>
      <c r="DR478" s="28" t="str">
        <f aca="false">AU478</f>
        <v/>
      </c>
      <c r="DS478" s="28" t="str">
        <f aca="false">AY478</f>
        <v/>
      </c>
      <c r="DT478" s="28" t="str">
        <f aca="false">BC478</f>
        <v/>
      </c>
      <c r="DU478" s="28" t="str">
        <f aca="false">BG478</f>
        <v/>
      </c>
      <c r="DV478" s="28" t="str">
        <f aca="false">BK478</f>
        <v/>
      </c>
      <c r="DW478" s="28" t="str">
        <f aca="false">BO478</f>
        <v/>
      </c>
      <c r="DX478" s="28" t="str">
        <f aca="false">BS478</f>
        <v/>
      </c>
      <c r="DY478" s="28" t="str">
        <f aca="false">IF(ISNUMBER(S478),1,"")</f>
        <v/>
      </c>
      <c r="DZ478" s="28" t="str">
        <f aca="false">IF(ISNUMBER(W478),2,"")</f>
        <v/>
      </c>
      <c r="EA478" s="28" t="str">
        <f aca="false">IF(ISNUMBER(AA478),3,"")</f>
        <v/>
      </c>
      <c r="EB478" s="28" t="str">
        <f aca="false">IF(ISNUMBER(AE478),4,"")</f>
        <v/>
      </c>
      <c r="EC478" s="28" t="str">
        <f aca="false">IF(ISNUMBER(AI478),5,"")</f>
        <v/>
      </c>
      <c r="ED478" s="28" t="str">
        <f aca="false">IF(ISNUMBER(AM478),6,"")</f>
        <v/>
      </c>
      <c r="EE478" s="28" t="str">
        <f aca="false">IF(ISNUMBER(AQ478),7,"")</f>
        <v/>
      </c>
      <c r="EF478" s="28" t="str">
        <f aca="false">IF(ISNUMBER(AU478),8,"")</f>
        <v/>
      </c>
      <c r="EG478" s="28" t="str">
        <f aca="false">IF(ISNUMBER(AY478),9,"")</f>
        <v/>
      </c>
      <c r="EH478" s="28" t="str">
        <f aca="false">IF(ISNUMBER(BC478),10,"")</f>
        <v/>
      </c>
      <c r="EI478" s="28" t="str">
        <f aca="false">IF(ISNUMBER(BG478),11,"")</f>
        <v/>
      </c>
      <c r="EJ478" s="28" t="str">
        <f aca="false">IF(ISNUMBER(BK478),12,"")</f>
        <v/>
      </c>
      <c r="EK478" s="28" t="str">
        <f aca="false">IF(ISNUMBER(BO478),13,"")</f>
        <v/>
      </c>
      <c r="EL478" s="28" t="str">
        <f aca="false">IF(ISNUMBER(BS478),14,"")</f>
        <v/>
      </c>
      <c r="EM478" s="28" t="n">
        <f aca="false">IF(ISNUMBER(R478),R478*CW478,0)</f>
        <v>0</v>
      </c>
      <c r="EN478" s="28" t="n">
        <f aca="false">IF(ISNUMBER(V478),V478*CX478,0)</f>
        <v>0</v>
      </c>
      <c r="EO478" s="28" t="n">
        <f aca="false">IF(ISNUMBER(Z478),Z478*CY478,0)</f>
        <v>0</v>
      </c>
      <c r="EP478" s="28" t="n">
        <f aca="false">IF(ISNUMBER(AD478),AD478*CZ478,0)</f>
        <v>0</v>
      </c>
      <c r="EQ478" s="28" t="n">
        <f aca="false">IF(ISNUMBER(AH478),AH478*DA478,0)</f>
        <v>0</v>
      </c>
      <c r="ER478" s="28" t="n">
        <f aca="false">IF(ISNUMBER(AL478),AL478*DB478,0)</f>
        <v>0</v>
      </c>
      <c r="ES478" s="28" t="n">
        <f aca="false">IF(ISNUMBER(AP478),AP478*DC478,0)</f>
        <v>0</v>
      </c>
      <c r="ET478" s="28" t="n">
        <f aca="false">IF(ISNUMBER(AT478),AT478*DD478,0)</f>
        <v>0</v>
      </c>
      <c r="EU478" s="28" t="n">
        <f aca="false">IF(ISNUMBER(AX478),AX478*DE478,0)</f>
        <v>0</v>
      </c>
      <c r="EV478" s="28" t="n">
        <f aca="false">IF(ISNUMBER(BB478),BB478*DF478,0)</f>
        <v>0</v>
      </c>
      <c r="EW478" s="28" t="n">
        <f aca="false">IF(ISNUMBER(BF478),BF478*DG478,0)</f>
        <v>0</v>
      </c>
      <c r="EX478" s="28" t="n">
        <f aca="false">IF(ISNUMBER(BJ478),BJ478*DH478,0)</f>
        <v>0</v>
      </c>
      <c r="EY478" s="28" t="n">
        <f aca="false">IF(ISNUMBER(BN478),BN478*DI478,0)</f>
        <v>0</v>
      </c>
      <c r="EZ478" s="28" t="n">
        <f aca="false">IF(ISNUMBER(BR478),BR478*DJ478,0)</f>
        <v>0</v>
      </c>
      <c r="FA478" s="28" t="n">
        <f aca="false">IF(ISNUMBER(R478),CW478,0)</f>
        <v>0</v>
      </c>
      <c r="FB478" s="28" t="n">
        <f aca="false">IF(ISNUMBER(V478),CX478,0)</f>
        <v>0</v>
      </c>
      <c r="FC478" s="28" t="n">
        <f aca="false">IF(ISNUMBER(Z478),CY478,0)</f>
        <v>0</v>
      </c>
      <c r="FD478" s="28" t="n">
        <f aca="false">IF(ISNUMBER(AD478),CZ478,0)</f>
        <v>0</v>
      </c>
      <c r="FE478" s="28" t="n">
        <f aca="false">IF(ISNUMBER(AH478),DA478,0)</f>
        <v>0</v>
      </c>
      <c r="FF478" s="28" t="n">
        <f aca="false">IF(ISNUMBER(AL478),DB478,0)</f>
        <v>0</v>
      </c>
      <c r="FG478" s="28" t="n">
        <f aca="false">IF(ISNUMBER(AP478),DC478,0)</f>
        <v>0</v>
      </c>
      <c r="FH478" s="28" t="n">
        <f aca="false">IF(ISNUMBER(AT478),DD478,0)</f>
        <v>0</v>
      </c>
      <c r="FI478" s="28" t="n">
        <f aca="false">IF(ISNUMBER(AX478),DE478,0)</f>
        <v>0</v>
      </c>
      <c r="FJ478" s="28" t="n">
        <f aca="false">IF(ISNUMBER(BB478),DF478,0)</f>
        <v>0</v>
      </c>
      <c r="FK478" s="28" t="n">
        <f aca="false">IF(ISNUMBER(BF478),DG478,0)</f>
        <v>0</v>
      </c>
      <c r="FL478" s="28" t="n">
        <f aca="false">IF(ISNUMBER(BJ478),DH478,0)</f>
        <v>0</v>
      </c>
      <c r="FM478" s="28" t="n">
        <f aca="false">IF(ISNUMBER(BN478),DI478,0)</f>
        <v>0</v>
      </c>
      <c r="FN478" s="28" t="n">
        <f aca="false">IF(ISNUMBER(BR478),DJ478,0)</f>
        <v>0</v>
      </c>
      <c r="FO478" s="28" t="str">
        <f aca="false">IFERROR(INDEX(Lists!$G$2:$G$20,MATCH($I478&amp;"|"&amp;$J478,Lists!$F$2:$F$20,0)),"")</f>
        <v/>
      </c>
    </row>
    <row r="479" customFormat="false" ht="19.5" hidden="false" customHeight="true" outlineLevel="0" collapsed="false">
      <c r="A479" s="29"/>
      <c r="B479" s="29"/>
      <c r="C479" s="30"/>
      <c r="D479" s="30"/>
      <c r="E479" s="31"/>
      <c r="F479" s="30"/>
      <c r="G479" s="30"/>
      <c r="H479" s="32"/>
      <c r="I479" s="33"/>
      <c r="J479" s="32"/>
      <c r="K479" s="34" t="str">
        <f aca="false">IF(OR(M479="",$E479=""),"",M479-$E479)</f>
        <v/>
      </c>
      <c r="L479" s="35" t="str">
        <f aca="false">IF(SUM(FA479:FN479)=0,"",SUM(EM479:EZ479)/SUM(FA479:FN479))</f>
        <v/>
      </c>
      <c r="M479" s="36" t="str">
        <f aca="false">IF(OR(L479="",FO479=""),"",IFERROR(MATCH(L479,INDEX(Boundaries!$B$2:$I$30,MATCH(FO479,Boundaries!$A$2:$A$30,0),0),1)-1,""))</f>
        <v/>
      </c>
      <c r="N479" s="37" t="str">
        <f aca="false">IF(COUNT($DY479:$EL479)&lt;2,"",INDEX($DK479:$DX479,MAX($DY479:$EL479))-INDEX($DK479:$DX479,MIN($DY479:$EL479)))</f>
        <v/>
      </c>
      <c r="O479" s="37" t="str">
        <f aca="false">IF(COUNT($DY479:$EL479)&lt;2,"",INDEX($DK479:$DX479,MAX($DY479:$EL479))-INDEX($DK479:$DX479,LARGE($DY479:$EL479,2)))</f>
        <v/>
      </c>
      <c r="P479" s="38" t="str">
        <f aca="false">IF(K479="","",IF(K479&gt;=0,"On/above target",IF(AND(N479&lt;&gt;"",N479&gt;=0.5),"Improving towards target",IF(AND(O479&lt;&gt;"",O479&lt;=-0.5),"Declining","Stable below target"))))</f>
        <v/>
      </c>
      <c r="Q479" s="39"/>
      <c r="R479" s="40" t="str">
        <f aca="false">IF(OR(Q479="",BU479=""),"",Q479/BU479*100)</f>
        <v/>
      </c>
      <c r="S479" s="41" t="str">
        <f aca="false">IF(R479="","",IFERROR(MATCH(R479,INDEX(Boundaries!$B$2:$I$30,MATCH(CI479,Boundaries!$A$2:$A$30,0),0),1)-1,""))</f>
        <v/>
      </c>
      <c r="T479" s="42" t="str">
        <f aca="false">IF(OR(S479="",$E479=""),"",S479-$E479)</f>
        <v/>
      </c>
      <c r="U479" s="39"/>
      <c r="V479" s="40" t="str">
        <f aca="false">IF(OR(U479="",BV479=""),"",U479/BV479*100)</f>
        <v/>
      </c>
      <c r="W479" s="41" t="str">
        <f aca="false">IF(V479="","",IFERROR(MATCH(V479,INDEX(Boundaries!$B$2:$I$30,MATCH(CJ479,Boundaries!$A$2:$A$30,0),0),1)-1,""))</f>
        <v/>
      </c>
      <c r="X479" s="42" t="str">
        <f aca="false">IF(OR(W479="",$E479=""),"",W479-$E479)</f>
        <v/>
      </c>
      <c r="Y479" s="39"/>
      <c r="Z479" s="40" t="str">
        <f aca="false">IF(OR(Y479="",BW479=""),"",Y479/BW479*100)</f>
        <v/>
      </c>
      <c r="AA479" s="41" t="str">
        <f aca="false">IF(Z479="","",IFERROR(MATCH(Z479,INDEX(Boundaries!$B$2:$I$30,MATCH(CK479,Boundaries!$A$2:$A$30,0),0),1)-1,""))</f>
        <v/>
      </c>
      <c r="AB479" s="42" t="str">
        <f aca="false">IF(OR(AA479="",$E479=""),"",AA479-$E479)</f>
        <v/>
      </c>
      <c r="AC479" s="39"/>
      <c r="AD479" s="40" t="str">
        <f aca="false">IF(OR(AC479="",BX479=""),"",AC479/BX479*100)</f>
        <v/>
      </c>
      <c r="AE479" s="41" t="str">
        <f aca="false">IF(AD479="","",IFERROR(MATCH(AD479,INDEX(Boundaries!$B$2:$I$30,MATCH(CL479,Boundaries!$A$2:$A$30,0),0),1)-1,""))</f>
        <v/>
      </c>
      <c r="AF479" s="42" t="str">
        <f aca="false">IF(OR(AE479="",$E479=""),"",AE479-$E479)</f>
        <v/>
      </c>
      <c r="AG479" s="39"/>
      <c r="AH479" s="40" t="str">
        <f aca="false">IF(OR(AG479="",BY479=""),"",AG479/BY479*100)</f>
        <v/>
      </c>
      <c r="AI479" s="41" t="str">
        <f aca="false">IF(AH479="","",IFERROR(MATCH(AH479,INDEX(Boundaries!$B$2:$I$30,MATCH(CM479,Boundaries!$A$2:$A$30,0),0),1)-1,""))</f>
        <v/>
      </c>
      <c r="AJ479" s="42" t="str">
        <f aca="false">IF(OR(AI479="",$E479=""),"",AI479-$E479)</f>
        <v/>
      </c>
      <c r="AK479" s="39"/>
      <c r="AL479" s="40" t="str">
        <f aca="false">IF(OR(AK479="",BZ479=""),"",AK479/BZ479*100)</f>
        <v/>
      </c>
      <c r="AM479" s="41" t="str">
        <f aca="false">IF(AL479="","",IFERROR(MATCH(AL479,INDEX(Boundaries!$B$2:$I$30,MATCH(CN479,Boundaries!$A$2:$A$30,0),0),1)-1,""))</f>
        <v/>
      </c>
      <c r="AN479" s="42" t="str">
        <f aca="false">IF(OR(AM479="",$E479=""),"",AM479-$E479)</f>
        <v/>
      </c>
      <c r="AO479" s="39"/>
      <c r="AP479" s="40" t="str">
        <f aca="false">IF(OR(AO479="",CA479=""),"",AO479/CA479*100)</f>
        <v/>
      </c>
      <c r="AQ479" s="41" t="str">
        <f aca="false">IF(AP479="","",IFERROR(MATCH(AP479,INDEX(Boundaries!$B$2:$I$30,MATCH(CO479,Boundaries!$A$2:$A$30,0),0),1)-1,""))</f>
        <v/>
      </c>
      <c r="AR479" s="42" t="str">
        <f aca="false">IF(OR(AQ479="",$E479=""),"",AQ479-$E479)</f>
        <v/>
      </c>
      <c r="AS479" s="39"/>
      <c r="AT479" s="40" t="str">
        <f aca="false">IF(OR(AS479="",CB479=""),"",AS479/CB479*100)</f>
        <v/>
      </c>
      <c r="AU479" s="41" t="str">
        <f aca="false">IF(AT479="","",IFERROR(MATCH(AT479,INDEX(Boundaries!$B$2:$I$30,MATCH(CP479,Boundaries!$A$2:$A$30,0),0),1)-1,""))</f>
        <v/>
      </c>
      <c r="AV479" s="42" t="str">
        <f aca="false">IF(OR(AU479="",$E479=""),"",AU479-$E479)</f>
        <v/>
      </c>
      <c r="AW479" s="39"/>
      <c r="AX479" s="40" t="str">
        <f aca="false">IF(OR(AW479="",CC479=""),"",AW479/CC479*100)</f>
        <v/>
      </c>
      <c r="AY479" s="41" t="str">
        <f aca="false">IF(AX479="","",IFERROR(MATCH(AX479,INDEX(Boundaries!$B$2:$I$30,MATCH(CQ479,Boundaries!$A$2:$A$30,0),0),1)-1,""))</f>
        <v/>
      </c>
      <c r="AZ479" s="42" t="str">
        <f aca="false">IF(OR(AY479="",$E479=""),"",AY479-$E479)</f>
        <v/>
      </c>
      <c r="BA479" s="39"/>
      <c r="BB479" s="40" t="str">
        <f aca="false">IF(OR(BA479="",CD479=""),"",BA479/CD479*100)</f>
        <v/>
      </c>
      <c r="BC479" s="41" t="str">
        <f aca="false">IF(BB479="","",IFERROR(MATCH(BB479,INDEX(Boundaries!$B$2:$I$30,MATCH(CR479,Boundaries!$A$2:$A$30,0),0),1)-1,""))</f>
        <v/>
      </c>
      <c r="BD479" s="42" t="str">
        <f aca="false">IF(OR(BC479="",$E479=""),"",BC479-$E479)</f>
        <v/>
      </c>
      <c r="BE479" s="39"/>
      <c r="BF479" s="40" t="str">
        <f aca="false">IF(OR(BE479="",CE479=""),"",BE479/CE479*100)</f>
        <v/>
      </c>
      <c r="BG479" s="41" t="str">
        <f aca="false">IF(BF479="","",IFERROR(MATCH(BF479,INDEX(Boundaries!$B$2:$I$30,MATCH(CS479,Boundaries!$A$2:$A$30,0),0),1)-1,""))</f>
        <v/>
      </c>
      <c r="BH479" s="42" t="str">
        <f aca="false">IF(OR(BG479="",$E479=""),"",BG479-$E479)</f>
        <v/>
      </c>
      <c r="BI479" s="39"/>
      <c r="BJ479" s="40" t="str">
        <f aca="false">IF(OR(BI479="",CF479=""),"",BI479/CF479*100)</f>
        <v/>
      </c>
      <c r="BK479" s="41" t="str">
        <f aca="false">IF(BJ479="","",IFERROR(MATCH(BJ479,INDEX(Boundaries!$B$2:$I$30,MATCH(CT479,Boundaries!$A$2:$A$30,0),0),1)-1,""))</f>
        <v/>
      </c>
      <c r="BL479" s="42" t="str">
        <f aca="false">IF(OR(BK479="",$E479=""),"",BK479-$E479)</f>
        <v/>
      </c>
      <c r="BM479" s="39"/>
      <c r="BN479" s="40" t="str">
        <f aca="false">IF(OR(BM479="",CG479=""),"",BM479/CG479*100)</f>
        <v/>
      </c>
      <c r="BO479" s="41" t="str">
        <f aca="false">IF(BN479="","",IFERROR(MATCH(BN479,INDEX(Boundaries!$B$2:$I$30,MATCH(CU479,Boundaries!$A$2:$A$30,0),0),1)-1,""))</f>
        <v/>
      </c>
      <c r="BP479" s="42" t="str">
        <f aca="false">IF(OR(BO479="",$E479=""),"",BO479-$E479)</f>
        <v/>
      </c>
      <c r="BQ479" s="39"/>
      <c r="BR479" s="40" t="str">
        <f aca="false">IF(OR(BQ479="",CH479=""),"",BQ479/CH479*100)</f>
        <v/>
      </c>
      <c r="BS479" s="41" t="str">
        <f aca="false">IF(BR479="","",IFERROR(MATCH(BR479,INDEX(Boundaries!$B$2:$I$30,MATCH(CV479,Boundaries!$A$2:$A$30,0),0),1)-1,""))</f>
        <v/>
      </c>
      <c r="BT479" s="42" t="str">
        <f aca="false">IF(OR(BS479="",$E479=""),"",BS479-$E479)</f>
        <v/>
      </c>
      <c r="BU479" s="28" t="str">
        <f aca="false">IFERROR(INDEX(Assessments!$H$2:$H$600,MATCH($H479&amp;"|"&amp;$I479&amp;"|"&amp;$J479&amp;"|"&amp;1,Assessments!$A$2:$A$600,0)),"")</f>
        <v/>
      </c>
      <c r="BV479" s="28" t="str">
        <f aca="false">IFERROR(INDEX(Assessments!$H$2:$H$600,MATCH($H479&amp;"|"&amp;$I479&amp;"|"&amp;$J479&amp;"|"&amp;2,Assessments!$A$2:$A$600,0)),"")</f>
        <v/>
      </c>
      <c r="BW479" s="28" t="str">
        <f aca="false">IFERROR(INDEX(Assessments!$H$2:$H$600,MATCH($H479&amp;"|"&amp;$I479&amp;"|"&amp;$J479&amp;"|"&amp;3,Assessments!$A$2:$A$600,0)),"")</f>
        <v/>
      </c>
      <c r="BX479" s="28" t="str">
        <f aca="false">IFERROR(INDEX(Assessments!$H$2:$H$600,MATCH($H479&amp;"|"&amp;$I479&amp;"|"&amp;$J479&amp;"|"&amp;4,Assessments!$A$2:$A$600,0)),"")</f>
        <v/>
      </c>
      <c r="BY479" s="28" t="str">
        <f aca="false">IFERROR(INDEX(Assessments!$H$2:$H$600,MATCH($H479&amp;"|"&amp;$I479&amp;"|"&amp;$J479&amp;"|"&amp;5,Assessments!$A$2:$A$600,0)),"")</f>
        <v/>
      </c>
      <c r="BZ479" s="28" t="str">
        <f aca="false">IFERROR(INDEX(Assessments!$H$2:$H$600,MATCH($H479&amp;"|"&amp;$I479&amp;"|"&amp;$J479&amp;"|"&amp;6,Assessments!$A$2:$A$600,0)),"")</f>
        <v/>
      </c>
      <c r="CA479" s="28" t="str">
        <f aca="false">IFERROR(INDEX(Assessments!$H$2:$H$600,MATCH($H479&amp;"|"&amp;$I479&amp;"|"&amp;$J479&amp;"|"&amp;7,Assessments!$A$2:$A$600,0)),"")</f>
        <v/>
      </c>
      <c r="CB479" s="28" t="str">
        <f aca="false">IFERROR(INDEX(Assessments!$H$2:$H$600,MATCH($H479&amp;"|"&amp;$I479&amp;"|"&amp;$J479&amp;"|"&amp;8,Assessments!$A$2:$A$600,0)),"")</f>
        <v/>
      </c>
      <c r="CC479" s="28" t="str">
        <f aca="false">IFERROR(INDEX(Assessments!$H$2:$H$600,MATCH($H479&amp;"|"&amp;$I479&amp;"|"&amp;$J479&amp;"|"&amp;9,Assessments!$A$2:$A$600,0)),"")</f>
        <v/>
      </c>
      <c r="CD479" s="28" t="str">
        <f aca="false">IFERROR(INDEX(Assessments!$H$2:$H$600,MATCH($H479&amp;"|"&amp;$I479&amp;"|"&amp;$J479&amp;"|"&amp;10,Assessments!$A$2:$A$600,0)),"")</f>
        <v/>
      </c>
      <c r="CE479" s="28" t="str">
        <f aca="false">IFERROR(INDEX(Assessments!$H$2:$H$600,MATCH($H479&amp;"|"&amp;$I479&amp;"|"&amp;$J479&amp;"|"&amp;11,Assessments!$A$2:$A$600,0)),"")</f>
        <v/>
      </c>
      <c r="CF479" s="28" t="str">
        <f aca="false">IFERROR(INDEX(Assessments!$H$2:$H$600,MATCH($H479&amp;"|"&amp;$I479&amp;"|"&amp;$J479&amp;"|"&amp;12,Assessments!$A$2:$A$600,0)),"")</f>
        <v/>
      </c>
      <c r="CG479" s="28" t="str">
        <f aca="false">IFERROR(INDEX(Assessments!$H$2:$H$600,MATCH($H479&amp;"|"&amp;$I479&amp;"|"&amp;$J479&amp;"|"&amp;13,Assessments!$A$2:$A$600,0)),"")</f>
        <v/>
      </c>
      <c r="CH479" s="28" t="str">
        <f aca="false">IFERROR(INDEX(Assessments!$H$2:$H$600,MATCH($H479&amp;"|"&amp;$I479&amp;"|"&amp;$J479&amp;"|"&amp;14,Assessments!$A$2:$A$600,0)),"")</f>
        <v/>
      </c>
      <c r="CI479" s="28" t="str">
        <f aca="false">IFERROR(INDEX(Assessments!$I$2:$I$600,MATCH($H479&amp;"|"&amp;$I479&amp;"|"&amp;$J479&amp;"|"&amp;1,Assessments!$A$2:$A$600,0)),"")</f>
        <v/>
      </c>
      <c r="CJ479" s="28" t="str">
        <f aca="false">IFERROR(INDEX(Assessments!$I$2:$I$600,MATCH($H479&amp;"|"&amp;$I479&amp;"|"&amp;$J479&amp;"|"&amp;2,Assessments!$A$2:$A$600,0)),"")</f>
        <v/>
      </c>
      <c r="CK479" s="28" t="str">
        <f aca="false">IFERROR(INDEX(Assessments!$I$2:$I$600,MATCH($H479&amp;"|"&amp;$I479&amp;"|"&amp;$J479&amp;"|"&amp;3,Assessments!$A$2:$A$600,0)),"")</f>
        <v/>
      </c>
      <c r="CL479" s="28" t="str">
        <f aca="false">IFERROR(INDEX(Assessments!$I$2:$I$600,MATCH($H479&amp;"|"&amp;$I479&amp;"|"&amp;$J479&amp;"|"&amp;4,Assessments!$A$2:$A$600,0)),"")</f>
        <v/>
      </c>
      <c r="CM479" s="28" t="str">
        <f aca="false">IFERROR(INDEX(Assessments!$I$2:$I$600,MATCH($H479&amp;"|"&amp;$I479&amp;"|"&amp;$J479&amp;"|"&amp;5,Assessments!$A$2:$A$600,0)),"")</f>
        <v/>
      </c>
      <c r="CN479" s="28" t="str">
        <f aca="false">IFERROR(INDEX(Assessments!$I$2:$I$600,MATCH($H479&amp;"|"&amp;$I479&amp;"|"&amp;$J479&amp;"|"&amp;6,Assessments!$A$2:$A$600,0)),"")</f>
        <v/>
      </c>
      <c r="CO479" s="28" t="str">
        <f aca="false">IFERROR(INDEX(Assessments!$I$2:$I$600,MATCH($H479&amp;"|"&amp;$I479&amp;"|"&amp;$J479&amp;"|"&amp;7,Assessments!$A$2:$A$600,0)),"")</f>
        <v/>
      </c>
      <c r="CP479" s="28" t="str">
        <f aca="false">IFERROR(INDEX(Assessments!$I$2:$I$600,MATCH($H479&amp;"|"&amp;$I479&amp;"|"&amp;$J479&amp;"|"&amp;8,Assessments!$A$2:$A$600,0)),"")</f>
        <v/>
      </c>
      <c r="CQ479" s="28" t="str">
        <f aca="false">IFERROR(INDEX(Assessments!$I$2:$I$600,MATCH($H479&amp;"|"&amp;$I479&amp;"|"&amp;$J479&amp;"|"&amp;9,Assessments!$A$2:$A$600,0)),"")</f>
        <v/>
      </c>
      <c r="CR479" s="28" t="str">
        <f aca="false">IFERROR(INDEX(Assessments!$I$2:$I$600,MATCH($H479&amp;"|"&amp;$I479&amp;"|"&amp;$J479&amp;"|"&amp;10,Assessments!$A$2:$A$600,0)),"")</f>
        <v/>
      </c>
      <c r="CS479" s="28" t="str">
        <f aca="false">IFERROR(INDEX(Assessments!$I$2:$I$600,MATCH($H479&amp;"|"&amp;$I479&amp;"|"&amp;$J479&amp;"|"&amp;11,Assessments!$A$2:$A$600,0)),"")</f>
        <v/>
      </c>
      <c r="CT479" s="28" t="str">
        <f aca="false">IFERROR(INDEX(Assessments!$I$2:$I$600,MATCH($H479&amp;"|"&amp;$I479&amp;"|"&amp;$J479&amp;"|"&amp;12,Assessments!$A$2:$A$600,0)),"")</f>
        <v/>
      </c>
      <c r="CU479" s="28" t="str">
        <f aca="false">IFERROR(INDEX(Assessments!$I$2:$I$600,MATCH($H479&amp;"|"&amp;$I479&amp;"|"&amp;$J479&amp;"|"&amp;13,Assessments!$A$2:$A$600,0)),"")</f>
        <v/>
      </c>
      <c r="CV479" s="28" t="str">
        <f aca="false">IFERROR(INDEX(Assessments!$I$2:$I$600,MATCH($H479&amp;"|"&amp;$I479&amp;"|"&amp;$J479&amp;"|"&amp;14,Assessments!$A$2:$A$600,0)),"")</f>
        <v/>
      </c>
      <c r="CW479" s="28" t="n">
        <f aca="false">IFERROR(INDEX(Assessments!$J$2:$J$600,MATCH($H479&amp;"|"&amp;$I479&amp;"|"&amp;$J479&amp;"|"&amp;1,Assessments!$A$2:$A$600,0)),0)</f>
        <v>0</v>
      </c>
      <c r="CX479" s="28" t="n">
        <f aca="false">IFERROR(INDEX(Assessments!$J$2:$J$600,MATCH($H479&amp;"|"&amp;$I479&amp;"|"&amp;$J479&amp;"|"&amp;2,Assessments!$A$2:$A$600,0)),0)</f>
        <v>0</v>
      </c>
      <c r="CY479" s="28" t="n">
        <f aca="false">IFERROR(INDEX(Assessments!$J$2:$J$600,MATCH($H479&amp;"|"&amp;$I479&amp;"|"&amp;$J479&amp;"|"&amp;3,Assessments!$A$2:$A$600,0)),0)</f>
        <v>0</v>
      </c>
      <c r="CZ479" s="28" t="n">
        <f aca="false">IFERROR(INDEX(Assessments!$J$2:$J$600,MATCH($H479&amp;"|"&amp;$I479&amp;"|"&amp;$J479&amp;"|"&amp;4,Assessments!$A$2:$A$600,0)),0)</f>
        <v>0</v>
      </c>
      <c r="DA479" s="28" t="n">
        <f aca="false">IFERROR(INDEX(Assessments!$J$2:$J$600,MATCH($H479&amp;"|"&amp;$I479&amp;"|"&amp;$J479&amp;"|"&amp;5,Assessments!$A$2:$A$600,0)),0)</f>
        <v>0</v>
      </c>
      <c r="DB479" s="28" t="n">
        <f aca="false">IFERROR(INDEX(Assessments!$J$2:$J$600,MATCH($H479&amp;"|"&amp;$I479&amp;"|"&amp;$J479&amp;"|"&amp;6,Assessments!$A$2:$A$600,0)),0)</f>
        <v>0</v>
      </c>
      <c r="DC479" s="28" t="n">
        <f aca="false">IFERROR(INDEX(Assessments!$J$2:$J$600,MATCH($H479&amp;"|"&amp;$I479&amp;"|"&amp;$J479&amp;"|"&amp;7,Assessments!$A$2:$A$600,0)),0)</f>
        <v>0</v>
      </c>
      <c r="DD479" s="28" t="n">
        <f aca="false">IFERROR(INDEX(Assessments!$J$2:$J$600,MATCH($H479&amp;"|"&amp;$I479&amp;"|"&amp;$J479&amp;"|"&amp;8,Assessments!$A$2:$A$600,0)),0)</f>
        <v>0</v>
      </c>
      <c r="DE479" s="28" t="n">
        <f aca="false">IFERROR(INDEX(Assessments!$J$2:$J$600,MATCH($H479&amp;"|"&amp;$I479&amp;"|"&amp;$J479&amp;"|"&amp;9,Assessments!$A$2:$A$600,0)),0)</f>
        <v>0</v>
      </c>
      <c r="DF479" s="28" t="n">
        <f aca="false">IFERROR(INDEX(Assessments!$J$2:$J$600,MATCH($H479&amp;"|"&amp;$I479&amp;"|"&amp;$J479&amp;"|"&amp;10,Assessments!$A$2:$A$600,0)),0)</f>
        <v>0</v>
      </c>
      <c r="DG479" s="28" t="n">
        <f aca="false">IFERROR(INDEX(Assessments!$J$2:$J$600,MATCH($H479&amp;"|"&amp;$I479&amp;"|"&amp;$J479&amp;"|"&amp;11,Assessments!$A$2:$A$600,0)),0)</f>
        <v>0</v>
      </c>
      <c r="DH479" s="28" t="n">
        <f aca="false">IFERROR(INDEX(Assessments!$J$2:$J$600,MATCH($H479&amp;"|"&amp;$I479&amp;"|"&amp;$J479&amp;"|"&amp;12,Assessments!$A$2:$A$600,0)),0)</f>
        <v>0</v>
      </c>
      <c r="DI479" s="28" t="n">
        <f aca="false">IFERROR(INDEX(Assessments!$J$2:$J$600,MATCH($H479&amp;"|"&amp;$I479&amp;"|"&amp;$J479&amp;"|"&amp;13,Assessments!$A$2:$A$600,0)),0)</f>
        <v>0</v>
      </c>
      <c r="DJ479" s="28" t="n">
        <f aca="false">IFERROR(INDEX(Assessments!$J$2:$J$600,MATCH($H479&amp;"|"&amp;$I479&amp;"|"&amp;$J479&amp;"|"&amp;14,Assessments!$A$2:$A$600,0)),0)</f>
        <v>0</v>
      </c>
      <c r="DK479" s="28" t="str">
        <f aca="false">S479</f>
        <v/>
      </c>
      <c r="DL479" s="28" t="str">
        <f aca="false">W479</f>
        <v/>
      </c>
      <c r="DM479" s="28" t="str">
        <f aca="false">AA479</f>
        <v/>
      </c>
      <c r="DN479" s="28" t="str">
        <f aca="false">AE479</f>
        <v/>
      </c>
      <c r="DO479" s="28" t="str">
        <f aca="false">AI479</f>
        <v/>
      </c>
      <c r="DP479" s="28" t="str">
        <f aca="false">AM479</f>
        <v/>
      </c>
      <c r="DQ479" s="28" t="str">
        <f aca="false">AQ479</f>
        <v/>
      </c>
      <c r="DR479" s="28" t="str">
        <f aca="false">AU479</f>
        <v/>
      </c>
      <c r="DS479" s="28" t="str">
        <f aca="false">AY479</f>
        <v/>
      </c>
      <c r="DT479" s="28" t="str">
        <f aca="false">BC479</f>
        <v/>
      </c>
      <c r="DU479" s="28" t="str">
        <f aca="false">BG479</f>
        <v/>
      </c>
      <c r="DV479" s="28" t="str">
        <f aca="false">BK479</f>
        <v/>
      </c>
      <c r="DW479" s="28" t="str">
        <f aca="false">BO479</f>
        <v/>
      </c>
      <c r="DX479" s="28" t="str">
        <f aca="false">BS479</f>
        <v/>
      </c>
      <c r="DY479" s="28" t="str">
        <f aca="false">IF(ISNUMBER(S479),1,"")</f>
        <v/>
      </c>
      <c r="DZ479" s="28" t="str">
        <f aca="false">IF(ISNUMBER(W479),2,"")</f>
        <v/>
      </c>
      <c r="EA479" s="28" t="str">
        <f aca="false">IF(ISNUMBER(AA479),3,"")</f>
        <v/>
      </c>
      <c r="EB479" s="28" t="str">
        <f aca="false">IF(ISNUMBER(AE479),4,"")</f>
        <v/>
      </c>
      <c r="EC479" s="28" t="str">
        <f aca="false">IF(ISNUMBER(AI479),5,"")</f>
        <v/>
      </c>
      <c r="ED479" s="28" t="str">
        <f aca="false">IF(ISNUMBER(AM479),6,"")</f>
        <v/>
      </c>
      <c r="EE479" s="28" t="str">
        <f aca="false">IF(ISNUMBER(AQ479),7,"")</f>
        <v/>
      </c>
      <c r="EF479" s="28" t="str">
        <f aca="false">IF(ISNUMBER(AU479),8,"")</f>
        <v/>
      </c>
      <c r="EG479" s="28" t="str">
        <f aca="false">IF(ISNUMBER(AY479),9,"")</f>
        <v/>
      </c>
      <c r="EH479" s="28" t="str">
        <f aca="false">IF(ISNUMBER(BC479),10,"")</f>
        <v/>
      </c>
      <c r="EI479" s="28" t="str">
        <f aca="false">IF(ISNUMBER(BG479),11,"")</f>
        <v/>
      </c>
      <c r="EJ479" s="28" t="str">
        <f aca="false">IF(ISNUMBER(BK479),12,"")</f>
        <v/>
      </c>
      <c r="EK479" s="28" t="str">
        <f aca="false">IF(ISNUMBER(BO479),13,"")</f>
        <v/>
      </c>
      <c r="EL479" s="28" t="str">
        <f aca="false">IF(ISNUMBER(BS479),14,"")</f>
        <v/>
      </c>
      <c r="EM479" s="28" t="n">
        <f aca="false">IF(ISNUMBER(R479),R479*CW479,0)</f>
        <v>0</v>
      </c>
      <c r="EN479" s="28" t="n">
        <f aca="false">IF(ISNUMBER(V479),V479*CX479,0)</f>
        <v>0</v>
      </c>
      <c r="EO479" s="28" t="n">
        <f aca="false">IF(ISNUMBER(Z479),Z479*CY479,0)</f>
        <v>0</v>
      </c>
      <c r="EP479" s="28" t="n">
        <f aca="false">IF(ISNUMBER(AD479),AD479*CZ479,0)</f>
        <v>0</v>
      </c>
      <c r="EQ479" s="28" t="n">
        <f aca="false">IF(ISNUMBER(AH479),AH479*DA479,0)</f>
        <v>0</v>
      </c>
      <c r="ER479" s="28" t="n">
        <f aca="false">IF(ISNUMBER(AL479),AL479*DB479,0)</f>
        <v>0</v>
      </c>
      <c r="ES479" s="28" t="n">
        <f aca="false">IF(ISNUMBER(AP479),AP479*DC479,0)</f>
        <v>0</v>
      </c>
      <c r="ET479" s="28" t="n">
        <f aca="false">IF(ISNUMBER(AT479),AT479*DD479,0)</f>
        <v>0</v>
      </c>
      <c r="EU479" s="28" t="n">
        <f aca="false">IF(ISNUMBER(AX479),AX479*DE479,0)</f>
        <v>0</v>
      </c>
      <c r="EV479" s="28" t="n">
        <f aca="false">IF(ISNUMBER(BB479),BB479*DF479,0)</f>
        <v>0</v>
      </c>
      <c r="EW479" s="28" t="n">
        <f aca="false">IF(ISNUMBER(BF479),BF479*DG479,0)</f>
        <v>0</v>
      </c>
      <c r="EX479" s="28" t="n">
        <f aca="false">IF(ISNUMBER(BJ479),BJ479*DH479,0)</f>
        <v>0</v>
      </c>
      <c r="EY479" s="28" t="n">
        <f aca="false">IF(ISNUMBER(BN479),BN479*DI479,0)</f>
        <v>0</v>
      </c>
      <c r="EZ479" s="28" t="n">
        <f aca="false">IF(ISNUMBER(BR479),BR479*DJ479,0)</f>
        <v>0</v>
      </c>
      <c r="FA479" s="28" t="n">
        <f aca="false">IF(ISNUMBER(R479),CW479,0)</f>
        <v>0</v>
      </c>
      <c r="FB479" s="28" t="n">
        <f aca="false">IF(ISNUMBER(V479),CX479,0)</f>
        <v>0</v>
      </c>
      <c r="FC479" s="28" t="n">
        <f aca="false">IF(ISNUMBER(Z479),CY479,0)</f>
        <v>0</v>
      </c>
      <c r="FD479" s="28" t="n">
        <f aca="false">IF(ISNUMBER(AD479),CZ479,0)</f>
        <v>0</v>
      </c>
      <c r="FE479" s="28" t="n">
        <f aca="false">IF(ISNUMBER(AH479),DA479,0)</f>
        <v>0</v>
      </c>
      <c r="FF479" s="28" t="n">
        <f aca="false">IF(ISNUMBER(AL479),DB479,0)</f>
        <v>0</v>
      </c>
      <c r="FG479" s="28" t="n">
        <f aca="false">IF(ISNUMBER(AP479),DC479,0)</f>
        <v>0</v>
      </c>
      <c r="FH479" s="28" t="n">
        <f aca="false">IF(ISNUMBER(AT479),DD479,0)</f>
        <v>0</v>
      </c>
      <c r="FI479" s="28" t="n">
        <f aca="false">IF(ISNUMBER(AX479),DE479,0)</f>
        <v>0</v>
      </c>
      <c r="FJ479" s="28" t="n">
        <f aca="false">IF(ISNUMBER(BB479),DF479,0)</f>
        <v>0</v>
      </c>
      <c r="FK479" s="28" t="n">
        <f aca="false">IF(ISNUMBER(BF479),DG479,0)</f>
        <v>0</v>
      </c>
      <c r="FL479" s="28" t="n">
        <f aca="false">IF(ISNUMBER(BJ479),DH479,0)</f>
        <v>0</v>
      </c>
      <c r="FM479" s="28" t="n">
        <f aca="false">IF(ISNUMBER(BN479),DI479,0)</f>
        <v>0</v>
      </c>
      <c r="FN479" s="28" t="n">
        <f aca="false">IF(ISNUMBER(BR479),DJ479,0)</f>
        <v>0</v>
      </c>
      <c r="FO479" s="28" t="str">
        <f aca="false">IFERROR(INDEX(Lists!$G$2:$G$20,MATCH($I479&amp;"|"&amp;$J479,Lists!$F$2:$F$20,0)),"")</f>
        <v/>
      </c>
    </row>
    <row r="480" customFormat="false" ht="19.5" hidden="false" customHeight="true" outlineLevel="0" collapsed="false">
      <c r="A480" s="29"/>
      <c r="B480" s="29"/>
      <c r="C480" s="30"/>
      <c r="D480" s="30"/>
      <c r="E480" s="31"/>
      <c r="F480" s="30"/>
      <c r="G480" s="30"/>
      <c r="H480" s="32"/>
      <c r="I480" s="33"/>
      <c r="J480" s="32"/>
      <c r="K480" s="34" t="str">
        <f aca="false">IF(OR(M480="",$E480=""),"",M480-$E480)</f>
        <v/>
      </c>
      <c r="L480" s="35" t="str">
        <f aca="false">IF(SUM(FA480:FN480)=0,"",SUM(EM480:EZ480)/SUM(FA480:FN480))</f>
        <v/>
      </c>
      <c r="M480" s="36" t="str">
        <f aca="false">IF(OR(L480="",FO480=""),"",IFERROR(MATCH(L480,INDEX(Boundaries!$B$2:$I$30,MATCH(FO480,Boundaries!$A$2:$A$30,0),0),1)-1,""))</f>
        <v/>
      </c>
      <c r="N480" s="37" t="str">
        <f aca="false">IF(COUNT($DY480:$EL480)&lt;2,"",INDEX($DK480:$DX480,MAX($DY480:$EL480))-INDEX($DK480:$DX480,MIN($DY480:$EL480)))</f>
        <v/>
      </c>
      <c r="O480" s="37" t="str">
        <f aca="false">IF(COUNT($DY480:$EL480)&lt;2,"",INDEX($DK480:$DX480,MAX($DY480:$EL480))-INDEX($DK480:$DX480,LARGE($DY480:$EL480,2)))</f>
        <v/>
      </c>
      <c r="P480" s="38" t="str">
        <f aca="false">IF(K480="","",IF(K480&gt;=0,"On/above target",IF(AND(N480&lt;&gt;"",N480&gt;=0.5),"Improving towards target",IF(AND(O480&lt;&gt;"",O480&lt;=-0.5),"Declining","Stable below target"))))</f>
        <v/>
      </c>
      <c r="Q480" s="39"/>
      <c r="R480" s="40" t="str">
        <f aca="false">IF(OR(Q480="",BU480=""),"",Q480/BU480*100)</f>
        <v/>
      </c>
      <c r="S480" s="41" t="str">
        <f aca="false">IF(R480="","",IFERROR(MATCH(R480,INDEX(Boundaries!$B$2:$I$30,MATCH(CI480,Boundaries!$A$2:$A$30,0),0),1)-1,""))</f>
        <v/>
      </c>
      <c r="T480" s="42" t="str">
        <f aca="false">IF(OR(S480="",$E480=""),"",S480-$E480)</f>
        <v/>
      </c>
      <c r="U480" s="39"/>
      <c r="V480" s="40" t="str">
        <f aca="false">IF(OR(U480="",BV480=""),"",U480/BV480*100)</f>
        <v/>
      </c>
      <c r="W480" s="41" t="str">
        <f aca="false">IF(V480="","",IFERROR(MATCH(V480,INDEX(Boundaries!$B$2:$I$30,MATCH(CJ480,Boundaries!$A$2:$A$30,0),0),1)-1,""))</f>
        <v/>
      </c>
      <c r="X480" s="42" t="str">
        <f aca="false">IF(OR(W480="",$E480=""),"",W480-$E480)</f>
        <v/>
      </c>
      <c r="Y480" s="39"/>
      <c r="Z480" s="40" t="str">
        <f aca="false">IF(OR(Y480="",BW480=""),"",Y480/BW480*100)</f>
        <v/>
      </c>
      <c r="AA480" s="41" t="str">
        <f aca="false">IF(Z480="","",IFERROR(MATCH(Z480,INDEX(Boundaries!$B$2:$I$30,MATCH(CK480,Boundaries!$A$2:$A$30,0),0),1)-1,""))</f>
        <v/>
      </c>
      <c r="AB480" s="42" t="str">
        <f aca="false">IF(OR(AA480="",$E480=""),"",AA480-$E480)</f>
        <v/>
      </c>
      <c r="AC480" s="39"/>
      <c r="AD480" s="40" t="str">
        <f aca="false">IF(OR(AC480="",BX480=""),"",AC480/BX480*100)</f>
        <v/>
      </c>
      <c r="AE480" s="41" t="str">
        <f aca="false">IF(AD480="","",IFERROR(MATCH(AD480,INDEX(Boundaries!$B$2:$I$30,MATCH(CL480,Boundaries!$A$2:$A$30,0),0),1)-1,""))</f>
        <v/>
      </c>
      <c r="AF480" s="42" t="str">
        <f aca="false">IF(OR(AE480="",$E480=""),"",AE480-$E480)</f>
        <v/>
      </c>
      <c r="AG480" s="39"/>
      <c r="AH480" s="40" t="str">
        <f aca="false">IF(OR(AG480="",BY480=""),"",AG480/BY480*100)</f>
        <v/>
      </c>
      <c r="AI480" s="41" t="str">
        <f aca="false">IF(AH480="","",IFERROR(MATCH(AH480,INDEX(Boundaries!$B$2:$I$30,MATCH(CM480,Boundaries!$A$2:$A$30,0),0),1)-1,""))</f>
        <v/>
      </c>
      <c r="AJ480" s="42" t="str">
        <f aca="false">IF(OR(AI480="",$E480=""),"",AI480-$E480)</f>
        <v/>
      </c>
      <c r="AK480" s="39"/>
      <c r="AL480" s="40" t="str">
        <f aca="false">IF(OR(AK480="",BZ480=""),"",AK480/BZ480*100)</f>
        <v/>
      </c>
      <c r="AM480" s="41" t="str">
        <f aca="false">IF(AL480="","",IFERROR(MATCH(AL480,INDEX(Boundaries!$B$2:$I$30,MATCH(CN480,Boundaries!$A$2:$A$30,0),0),1)-1,""))</f>
        <v/>
      </c>
      <c r="AN480" s="42" t="str">
        <f aca="false">IF(OR(AM480="",$E480=""),"",AM480-$E480)</f>
        <v/>
      </c>
      <c r="AO480" s="39"/>
      <c r="AP480" s="40" t="str">
        <f aca="false">IF(OR(AO480="",CA480=""),"",AO480/CA480*100)</f>
        <v/>
      </c>
      <c r="AQ480" s="41" t="str">
        <f aca="false">IF(AP480="","",IFERROR(MATCH(AP480,INDEX(Boundaries!$B$2:$I$30,MATCH(CO480,Boundaries!$A$2:$A$30,0),0),1)-1,""))</f>
        <v/>
      </c>
      <c r="AR480" s="42" t="str">
        <f aca="false">IF(OR(AQ480="",$E480=""),"",AQ480-$E480)</f>
        <v/>
      </c>
      <c r="AS480" s="39"/>
      <c r="AT480" s="40" t="str">
        <f aca="false">IF(OR(AS480="",CB480=""),"",AS480/CB480*100)</f>
        <v/>
      </c>
      <c r="AU480" s="41" t="str">
        <f aca="false">IF(AT480="","",IFERROR(MATCH(AT480,INDEX(Boundaries!$B$2:$I$30,MATCH(CP480,Boundaries!$A$2:$A$30,0),0),1)-1,""))</f>
        <v/>
      </c>
      <c r="AV480" s="42" t="str">
        <f aca="false">IF(OR(AU480="",$E480=""),"",AU480-$E480)</f>
        <v/>
      </c>
      <c r="AW480" s="39"/>
      <c r="AX480" s="40" t="str">
        <f aca="false">IF(OR(AW480="",CC480=""),"",AW480/CC480*100)</f>
        <v/>
      </c>
      <c r="AY480" s="41" t="str">
        <f aca="false">IF(AX480="","",IFERROR(MATCH(AX480,INDEX(Boundaries!$B$2:$I$30,MATCH(CQ480,Boundaries!$A$2:$A$30,0),0),1)-1,""))</f>
        <v/>
      </c>
      <c r="AZ480" s="42" t="str">
        <f aca="false">IF(OR(AY480="",$E480=""),"",AY480-$E480)</f>
        <v/>
      </c>
      <c r="BA480" s="39"/>
      <c r="BB480" s="40" t="str">
        <f aca="false">IF(OR(BA480="",CD480=""),"",BA480/CD480*100)</f>
        <v/>
      </c>
      <c r="BC480" s="41" t="str">
        <f aca="false">IF(BB480="","",IFERROR(MATCH(BB480,INDEX(Boundaries!$B$2:$I$30,MATCH(CR480,Boundaries!$A$2:$A$30,0),0),1)-1,""))</f>
        <v/>
      </c>
      <c r="BD480" s="42" t="str">
        <f aca="false">IF(OR(BC480="",$E480=""),"",BC480-$E480)</f>
        <v/>
      </c>
      <c r="BE480" s="39"/>
      <c r="BF480" s="40" t="str">
        <f aca="false">IF(OR(BE480="",CE480=""),"",BE480/CE480*100)</f>
        <v/>
      </c>
      <c r="BG480" s="41" t="str">
        <f aca="false">IF(BF480="","",IFERROR(MATCH(BF480,INDEX(Boundaries!$B$2:$I$30,MATCH(CS480,Boundaries!$A$2:$A$30,0),0),1)-1,""))</f>
        <v/>
      </c>
      <c r="BH480" s="42" t="str">
        <f aca="false">IF(OR(BG480="",$E480=""),"",BG480-$E480)</f>
        <v/>
      </c>
      <c r="BI480" s="39"/>
      <c r="BJ480" s="40" t="str">
        <f aca="false">IF(OR(BI480="",CF480=""),"",BI480/CF480*100)</f>
        <v/>
      </c>
      <c r="BK480" s="41" t="str">
        <f aca="false">IF(BJ480="","",IFERROR(MATCH(BJ480,INDEX(Boundaries!$B$2:$I$30,MATCH(CT480,Boundaries!$A$2:$A$30,0),0),1)-1,""))</f>
        <v/>
      </c>
      <c r="BL480" s="42" t="str">
        <f aca="false">IF(OR(BK480="",$E480=""),"",BK480-$E480)</f>
        <v/>
      </c>
      <c r="BM480" s="39"/>
      <c r="BN480" s="40" t="str">
        <f aca="false">IF(OR(BM480="",CG480=""),"",BM480/CG480*100)</f>
        <v/>
      </c>
      <c r="BO480" s="41" t="str">
        <f aca="false">IF(BN480="","",IFERROR(MATCH(BN480,INDEX(Boundaries!$B$2:$I$30,MATCH(CU480,Boundaries!$A$2:$A$30,0),0),1)-1,""))</f>
        <v/>
      </c>
      <c r="BP480" s="42" t="str">
        <f aca="false">IF(OR(BO480="",$E480=""),"",BO480-$E480)</f>
        <v/>
      </c>
      <c r="BQ480" s="39"/>
      <c r="BR480" s="40" t="str">
        <f aca="false">IF(OR(BQ480="",CH480=""),"",BQ480/CH480*100)</f>
        <v/>
      </c>
      <c r="BS480" s="41" t="str">
        <f aca="false">IF(BR480="","",IFERROR(MATCH(BR480,INDEX(Boundaries!$B$2:$I$30,MATCH(CV480,Boundaries!$A$2:$A$30,0),0),1)-1,""))</f>
        <v/>
      </c>
      <c r="BT480" s="42" t="str">
        <f aca="false">IF(OR(BS480="",$E480=""),"",BS480-$E480)</f>
        <v/>
      </c>
      <c r="BU480" s="28" t="str">
        <f aca="false">IFERROR(INDEX(Assessments!$H$2:$H$600,MATCH($H480&amp;"|"&amp;$I480&amp;"|"&amp;$J480&amp;"|"&amp;1,Assessments!$A$2:$A$600,0)),"")</f>
        <v/>
      </c>
      <c r="BV480" s="28" t="str">
        <f aca="false">IFERROR(INDEX(Assessments!$H$2:$H$600,MATCH($H480&amp;"|"&amp;$I480&amp;"|"&amp;$J480&amp;"|"&amp;2,Assessments!$A$2:$A$600,0)),"")</f>
        <v/>
      </c>
      <c r="BW480" s="28" t="str">
        <f aca="false">IFERROR(INDEX(Assessments!$H$2:$H$600,MATCH($H480&amp;"|"&amp;$I480&amp;"|"&amp;$J480&amp;"|"&amp;3,Assessments!$A$2:$A$600,0)),"")</f>
        <v/>
      </c>
      <c r="BX480" s="28" t="str">
        <f aca="false">IFERROR(INDEX(Assessments!$H$2:$H$600,MATCH($H480&amp;"|"&amp;$I480&amp;"|"&amp;$J480&amp;"|"&amp;4,Assessments!$A$2:$A$600,0)),"")</f>
        <v/>
      </c>
      <c r="BY480" s="28" t="str">
        <f aca="false">IFERROR(INDEX(Assessments!$H$2:$H$600,MATCH($H480&amp;"|"&amp;$I480&amp;"|"&amp;$J480&amp;"|"&amp;5,Assessments!$A$2:$A$600,0)),"")</f>
        <v/>
      </c>
      <c r="BZ480" s="28" t="str">
        <f aca="false">IFERROR(INDEX(Assessments!$H$2:$H$600,MATCH($H480&amp;"|"&amp;$I480&amp;"|"&amp;$J480&amp;"|"&amp;6,Assessments!$A$2:$A$600,0)),"")</f>
        <v/>
      </c>
      <c r="CA480" s="28" t="str">
        <f aca="false">IFERROR(INDEX(Assessments!$H$2:$H$600,MATCH($H480&amp;"|"&amp;$I480&amp;"|"&amp;$J480&amp;"|"&amp;7,Assessments!$A$2:$A$600,0)),"")</f>
        <v/>
      </c>
      <c r="CB480" s="28" t="str">
        <f aca="false">IFERROR(INDEX(Assessments!$H$2:$H$600,MATCH($H480&amp;"|"&amp;$I480&amp;"|"&amp;$J480&amp;"|"&amp;8,Assessments!$A$2:$A$600,0)),"")</f>
        <v/>
      </c>
      <c r="CC480" s="28" t="str">
        <f aca="false">IFERROR(INDEX(Assessments!$H$2:$H$600,MATCH($H480&amp;"|"&amp;$I480&amp;"|"&amp;$J480&amp;"|"&amp;9,Assessments!$A$2:$A$600,0)),"")</f>
        <v/>
      </c>
      <c r="CD480" s="28" t="str">
        <f aca="false">IFERROR(INDEX(Assessments!$H$2:$H$600,MATCH($H480&amp;"|"&amp;$I480&amp;"|"&amp;$J480&amp;"|"&amp;10,Assessments!$A$2:$A$600,0)),"")</f>
        <v/>
      </c>
      <c r="CE480" s="28" t="str">
        <f aca="false">IFERROR(INDEX(Assessments!$H$2:$H$600,MATCH($H480&amp;"|"&amp;$I480&amp;"|"&amp;$J480&amp;"|"&amp;11,Assessments!$A$2:$A$600,0)),"")</f>
        <v/>
      </c>
      <c r="CF480" s="28" t="str">
        <f aca="false">IFERROR(INDEX(Assessments!$H$2:$H$600,MATCH($H480&amp;"|"&amp;$I480&amp;"|"&amp;$J480&amp;"|"&amp;12,Assessments!$A$2:$A$600,0)),"")</f>
        <v/>
      </c>
      <c r="CG480" s="28" t="str">
        <f aca="false">IFERROR(INDEX(Assessments!$H$2:$H$600,MATCH($H480&amp;"|"&amp;$I480&amp;"|"&amp;$J480&amp;"|"&amp;13,Assessments!$A$2:$A$600,0)),"")</f>
        <v/>
      </c>
      <c r="CH480" s="28" t="str">
        <f aca="false">IFERROR(INDEX(Assessments!$H$2:$H$600,MATCH($H480&amp;"|"&amp;$I480&amp;"|"&amp;$J480&amp;"|"&amp;14,Assessments!$A$2:$A$600,0)),"")</f>
        <v/>
      </c>
      <c r="CI480" s="28" t="str">
        <f aca="false">IFERROR(INDEX(Assessments!$I$2:$I$600,MATCH($H480&amp;"|"&amp;$I480&amp;"|"&amp;$J480&amp;"|"&amp;1,Assessments!$A$2:$A$600,0)),"")</f>
        <v/>
      </c>
      <c r="CJ480" s="28" t="str">
        <f aca="false">IFERROR(INDEX(Assessments!$I$2:$I$600,MATCH($H480&amp;"|"&amp;$I480&amp;"|"&amp;$J480&amp;"|"&amp;2,Assessments!$A$2:$A$600,0)),"")</f>
        <v/>
      </c>
      <c r="CK480" s="28" t="str">
        <f aca="false">IFERROR(INDEX(Assessments!$I$2:$I$600,MATCH($H480&amp;"|"&amp;$I480&amp;"|"&amp;$J480&amp;"|"&amp;3,Assessments!$A$2:$A$600,0)),"")</f>
        <v/>
      </c>
      <c r="CL480" s="28" t="str">
        <f aca="false">IFERROR(INDEX(Assessments!$I$2:$I$600,MATCH($H480&amp;"|"&amp;$I480&amp;"|"&amp;$J480&amp;"|"&amp;4,Assessments!$A$2:$A$600,0)),"")</f>
        <v/>
      </c>
      <c r="CM480" s="28" t="str">
        <f aca="false">IFERROR(INDEX(Assessments!$I$2:$I$600,MATCH($H480&amp;"|"&amp;$I480&amp;"|"&amp;$J480&amp;"|"&amp;5,Assessments!$A$2:$A$600,0)),"")</f>
        <v/>
      </c>
      <c r="CN480" s="28" t="str">
        <f aca="false">IFERROR(INDEX(Assessments!$I$2:$I$600,MATCH($H480&amp;"|"&amp;$I480&amp;"|"&amp;$J480&amp;"|"&amp;6,Assessments!$A$2:$A$600,0)),"")</f>
        <v/>
      </c>
      <c r="CO480" s="28" t="str">
        <f aca="false">IFERROR(INDEX(Assessments!$I$2:$I$600,MATCH($H480&amp;"|"&amp;$I480&amp;"|"&amp;$J480&amp;"|"&amp;7,Assessments!$A$2:$A$600,0)),"")</f>
        <v/>
      </c>
      <c r="CP480" s="28" t="str">
        <f aca="false">IFERROR(INDEX(Assessments!$I$2:$I$600,MATCH($H480&amp;"|"&amp;$I480&amp;"|"&amp;$J480&amp;"|"&amp;8,Assessments!$A$2:$A$600,0)),"")</f>
        <v/>
      </c>
      <c r="CQ480" s="28" t="str">
        <f aca="false">IFERROR(INDEX(Assessments!$I$2:$I$600,MATCH($H480&amp;"|"&amp;$I480&amp;"|"&amp;$J480&amp;"|"&amp;9,Assessments!$A$2:$A$600,0)),"")</f>
        <v/>
      </c>
      <c r="CR480" s="28" t="str">
        <f aca="false">IFERROR(INDEX(Assessments!$I$2:$I$600,MATCH($H480&amp;"|"&amp;$I480&amp;"|"&amp;$J480&amp;"|"&amp;10,Assessments!$A$2:$A$600,0)),"")</f>
        <v/>
      </c>
      <c r="CS480" s="28" t="str">
        <f aca="false">IFERROR(INDEX(Assessments!$I$2:$I$600,MATCH($H480&amp;"|"&amp;$I480&amp;"|"&amp;$J480&amp;"|"&amp;11,Assessments!$A$2:$A$600,0)),"")</f>
        <v/>
      </c>
      <c r="CT480" s="28" t="str">
        <f aca="false">IFERROR(INDEX(Assessments!$I$2:$I$600,MATCH($H480&amp;"|"&amp;$I480&amp;"|"&amp;$J480&amp;"|"&amp;12,Assessments!$A$2:$A$600,0)),"")</f>
        <v/>
      </c>
      <c r="CU480" s="28" t="str">
        <f aca="false">IFERROR(INDEX(Assessments!$I$2:$I$600,MATCH($H480&amp;"|"&amp;$I480&amp;"|"&amp;$J480&amp;"|"&amp;13,Assessments!$A$2:$A$600,0)),"")</f>
        <v/>
      </c>
      <c r="CV480" s="28" t="str">
        <f aca="false">IFERROR(INDEX(Assessments!$I$2:$I$600,MATCH($H480&amp;"|"&amp;$I480&amp;"|"&amp;$J480&amp;"|"&amp;14,Assessments!$A$2:$A$600,0)),"")</f>
        <v/>
      </c>
      <c r="CW480" s="28" t="n">
        <f aca="false">IFERROR(INDEX(Assessments!$J$2:$J$600,MATCH($H480&amp;"|"&amp;$I480&amp;"|"&amp;$J480&amp;"|"&amp;1,Assessments!$A$2:$A$600,0)),0)</f>
        <v>0</v>
      </c>
      <c r="CX480" s="28" t="n">
        <f aca="false">IFERROR(INDEX(Assessments!$J$2:$J$600,MATCH($H480&amp;"|"&amp;$I480&amp;"|"&amp;$J480&amp;"|"&amp;2,Assessments!$A$2:$A$600,0)),0)</f>
        <v>0</v>
      </c>
      <c r="CY480" s="28" t="n">
        <f aca="false">IFERROR(INDEX(Assessments!$J$2:$J$600,MATCH($H480&amp;"|"&amp;$I480&amp;"|"&amp;$J480&amp;"|"&amp;3,Assessments!$A$2:$A$600,0)),0)</f>
        <v>0</v>
      </c>
      <c r="CZ480" s="28" t="n">
        <f aca="false">IFERROR(INDEX(Assessments!$J$2:$J$600,MATCH($H480&amp;"|"&amp;$I480&amp;"|"&amp;$J480&amp;"|"&amp;4,Assessments!$A$2:$A$600,0)),0)</f>
        <v>0</v>
      </c>
      <c r="DA480" s="28" t="n">
        <f aca="false">IFERROR(INDEX(Assessments!$J$2:$J$600,MATCH($H480&amp;"|"&amp;$I480&amp;"|"&amp;$J480&amp;"|"&amp;5,Assessments!$A$2:$A$600,0)),0)</f>
        <v>0</v>
      </c>
      <c r="DB480" s="28" t="n">
        <f aca="false">IFERROR(INDEX(Assessments!$J$2:$J$600,MATCH($H480&amp;"|"&amp;$I480&amp;"|"&amp;$J480&amp;"|"&amp;6,Assessments!$A$2:$A$600,0)),0)</f>
        <v>0</v>
      </c>
      <c r="DC480" s="28" t="n">
        <f aca="false">IFERROR(INDEX(Assessments!$J$2:$J$600,MATCH($H480&amp;"|"&amp;$I480&amp;"|"&amp;$J480&amp;"|"&amp;7,Assessments!$A$2:$A$600,0)),0)</f>
        <v>0</v>
      </c>
      <c r="DD480" s="28" t="n">
        <f aca="false">IFERROR(INDEX(Assessments!$J$2:$J$600,MATCH($H480&amp;"|"&amp;$I480&amp;"|"&amp;$J480&amp;"|"&amp;8,Assessments!$A$2:$A$600,0)),0)</f>
        <v>0</v>
      </c>
      <c r="DE480" s="28" t="n">
        <f aca="false">IFERROR(INDEX(Assessments!$J$2:$J$600,MATCH($H480&amp;"|"&amp;$I480&amp;"|"&amp;$J480&amp;"|"&amp;9,Assessments!$A$2:$A$600,0)),0)</f>
        <v>0</v>
      </c>
      <c r="DF480" s="28" t="n">
        <f aca="false">IFERROR(INDEX(Assessments!$J$2:$J$600,MATCH($H480&amp;"|"&amp;$I480&amp;"|"&amp;$J480&amp;"|"&amp;10,Assessments!$A$2:$A$600,0)),0)</f>
        <v>0</v>
      </c>
      <c r="DG480" s="28" t="n">
        <f aca="false">IFERROR(INDEX(Assessments!$J$2:$J$600,MATCH($H480&amp;"|"&amp;$I480&amp;"|"&amp;$J480&amp;"|"&amp;11,Assessments!$A$2:$A$600,0)),0)</f>
        <v>0</v>
      </c>
      <c r="DH480" s="28" t="n">
        <f aca="false">IFERROR(INDEX(Assessments!$J$2:$J$600,MATCH($H480&amp;"|"&amp;$I480&amp;"|"&amp;$J480&amp;"|"&amp;12,Assessments!$A$2:$A$600,0)),0)</f>
        <v>0</v>
      </c>
      <c r="DI480" s="28" t="n">
        <f aca="false">IFERROR(INDEX(Assessments!$J$2:$J$600,MATCH($H480&amp;"|"&amp;$I480&amp;"|"&amp;$J480&amp;"|"&amp;13,Assessments!$A$2:$A$600,0)),0)</f>
        <v>0</v>
      </c>
      <c r="DJ480" s="28" t="n">
        <f aca="false">IFERROR(INDEX(Assessments!$J$2:$J$600,MATCH($H480&amp;"|"&amp;$I480&amp;"|"&amp;$J480&amp;"|"&amp;14,Assessments!$A$2:$A$600,0)),0)</f>
        <v>0</v>
      </c>
      <c r="DK480" s="28" t="str">
        <f aca="false">S480</f>
        <v/>
      </c>
      <c r="DL480" s="28" t="str">
        <f aca="false">W480</f>
        <v/>
      </c>
      <c r="DM480" s="28" t="str">
        <f aca="false">AA480</f>
        <v/>
      </c>
      <c r="DN480" s="28" t="str">
        <f aca="false">AE480</f>
        <v/>
      </c>
      <c r="DO480" s="28" t="str">
        <f aca="false">AI480</f>
        <v/>
      </c>
      <c r="DP480" s="28" t="str">
        <f aca="false">AM480</f>
        <v/>
      </c>
      <c r="DQ480" s="28" t="str">
        <f aca="false">AQ480</f>
        <v/>
      </c>
      <c r="DR480" s="28" t="str">
        <f aca="false">AU480</f>
        <v/>
      </c>
      <c r="DS480" s="28" t="str">
        <f aca="false">AY480</f>
        <v/>
      </c>
      <c r="DT480" s="28" t="str">
        <f aca="false">BC480</f>
        <v/>
      </c>
      <c r="DU480" s="28" t="str">
        <f aca="false">BG480</f>
        <v/>
      </c>
      <c r="DV480" s="28" t="str">
        <f aca="false">BK480</f>
        <v/>
      </c>
      <c r="DW480" s="28" t="str">
        <f aca="false">BO480</f>
        <v/>
      </c>
      <c r="DX480" s="28" t="str">
        <f aca="false">BS480</f>
        <v/>
      </c>
      <c r="DY480" s="28" t="str">
        <f aca="false">IF(ISNUMBER(S480),1,"")</f>
        <v/>
      </c>
      <c r="DZ480" s="28" t="str">
        <f aca="false">IF(ISNUMBER(W480),2,"")</f>
        <v/>
      </c>
      <c r="EA480" s="28" t="str">
        <f aca="false">IF(ISNUMBER(AA480),3,"")</f>
        <v/>
      </c>
      <c r="EB480" s="28" t="str">
        <f aca="false">IF(ISNUMBER(AE480),4,"")</f>
        <v/>
      </c>
      <c r="EC480" s="28" t="str">
        <f aca="false">IF(ISNUMBER(AI480),5,"")</f>
        <v/>
      </c>
      <c r="ED480" s="28" t="str">
        <f aca="false">IF(ISNUMBER(AM480),6,"")</f>
        <v/>
      </c>
      <c r="EE480" s="28" t="str">
        <f aca="false">IF(ISNUMBER(AQ480),7,"")</f>
        <v/>
      </c>
      <c r="EF480" s="28" t="str">
        <f aca="false">IF(ISNUMBER(AU480),8,"")</f>
        <v/>
      </c>
      <c r="EG480" s="28" t="str">
        <f aca="false">IF(ISNUMBER(AY480),9,"")</f>
        <v/>
      </c>
      <c r="EH480" s="28" t="str">
        <f aca="false">IF(ISNUMBER(BC480),10,"")</f>
        <v/>
      </c>
      <c r="EI480" s="28" t="str">
        <f aca="false">IF(ISNUMBER(BG480),11,"")</f>
        <v/>
      </c>
      <c r="EJ480" s="28" t="str">
        <f aca="false">IF(ISNUMBER(BK480),12,"")</f>
        <v/>
      </c>
      <c r="EK480" s="28" t="str">
        <f aca="false">IF(ISNUMBER(BO480),13,"")</f>
        <v/>
      </c>
      <c r="EL480" s="28" t="str">
        <f aca="false">IF(ISNUMBER(BS480),14,"")</f>
        <v/>
      </c>
      <c r="EM480" s="28" t="n">
        <f aca="false">IF(ISNUMBER(R480),R480*CW480,0)</f>
        <v>0</v>
      </c>
      <c r="EN480" s="28" t="n">
        <f aca="false">IF(ISNUMBER(V480),V480*CX480,0)</f>
        <v>0</v>
      </c>
      <c r="EO480" s="28" t="n">
        <f aca="false">IF(ISNUMBER(Z480),Z480*CY480,0)</f>
        <v>0</v>
      </c>
      <c r="EP480" s="28" t="n">
        <f aca="false">IF(ISNUMBER(AD480),AD480*CZ480,0)</f>
        <v>0</v>
      </c>
      <c r="EQ480" s="28" t="n">
        <f aca="false">IF(ISNUMBER(AH480),AH480*DA480,0)</f>
        <v>0</v>
      </c>
      <c r="ER480" s="28" t="n">
        <f aca="false">IF(ISNUMBER(AL480),AL480*DB480,0)</f>
        <v>0</v>
      </c>
      <c r="ES480" s="28" t="n">
        <f aca="false">IF(ISNUMBER(AP480),AP480*DC480,0)</f>
        <v>0</v>
      </c>
      <c r="ET480" s="28" t="n">
        <f aca="false">IF(ISNUMBER(AT480),AT480*DD480,0)</f>
        <v>0</v>
      </c>
      <c r="EU480" s="28" t="n">
        <f aca="false">IF(ISNUMBER(AX480),AX480*DE480,0)</f>
        <v>0</v>
      </c>
      <c r="EV480" s="28" t="n">
        <f aca="false">IF(ISNUMBER(BB480),BB480*DF480,0)</f>
        <v>0</v>
      </c>
      <c r="EW480" s="28" t="n">
        <f aca="false">IF(ISNUMBER(BF480),BF480*DG480,0)</f>
        <v>0</v>
      </c>
      <c r="EX480" s="28" t="n">
        <f aca="false">IF(ISNUMBER(BJ480),BJ480*DH480,0)</f>
        <v>0</v>
      </c>
      <c r="EY480" s="28" t="n">
        <f aca="false">IF(ISNUMBER(BN480),BN480*DI480,0)</f>
        <v>0</v>
      </c>
      <c r="EZ480" s="28" t="n">
        <f aca="false">IF(ISNUMBER(BR480),BR480*DJ480,0)</f>
        <v>0</v>
      </c>
      <c r="FA480" s="28" t="n">
        <f aca="false">IF(ISNUMBER(R480),CW480,0)</f>
        <v>0</v>
      </c>
      <c r="FB480" s="28" t="n">
        <f aca="false">IF(ISNUMBER(V480),CX480,0)</f>
        <v>0</v>
      </c>
      <c r="FC480" s="28" t="n">
        <f aca="false">IF(ISNUMBER(Z480),CY480,0)</f>
        <v>0</v>
      </c>
      <c r="FD480" s="28" t="n">
        <f aca="false">IF(ISNUMBER(AD480),CZ480,0)</f>
        <v>0</v>
      </c>
      <c r="FE480" s="28" t="n">
        <f aca="false">IF(ISNUMBER(AH480),DA480,0)</f>
        <v>0</v>
      </c>
      <c r="FF480" s="28" t="n">
        <f aca="false">IF(ISNUMBER(AL480),DB480,0)</f>
        <v>0</v>
      </c>
      <c r="FG480" s="28" t="n">
        <f aca="false">IF(ISNUMBER(AP480),DC480,0)</f>
        <v>0</v>
      </c>
      <c r="FH480" s="28" t="n">
        <f aca="false">IF(ISNUMBER(AT480),DD480,0)</f>
        <v>0</v>
      </c>
      <c r="FI480" s="28" t="n">
        <f aca="false">IF(ISNUMBER(AX480),DE480,0)</f>
        <v>0</v>
      </c>
      <c r="FJ480" s="28" t="n">
        <f aca="false">IF(ISNUMBER(BB480),DF480,0)</f>
        <v>0</v>
      </c>
      <c r="FK480" s="28" t="n">
        <f aca="false">IF(ISNUMBER(BF480),DG480,0)</f>
        <v>0</v>
      </c>
      <c r="FL480" s="28" t="n">
        <f aca="false">IF(ISNUMBER(BJ480),DH480,0)</f>
        <v>0</v>
      </c>
      <c r="FM480" s="28" t="n">
        <f aca="false">IF(ISNUMBER(BN480),DI480,0)</f>
        <v>0</v>
      </c>
      <c r="FN480" s="28" t="n">
        <f aca="false">IF(ISNUMBER(BR480),DJ480,0)</f>
        <v>0</v>
      </c>
      <c r="FO480" s="28" t="str">
        <f aca="false">IFERROR(INDEX(Lists!$G$2:$G$20,MATCH($I480&amp;"|"&amp;$J480,Lists!$F$2:$F$20,0)),"")</f>
        <v/>
      </c>
    </row>
    <row r="481" customFormat="false" ht="19.5" hidden="false" customHeight="true" outlineLevel="0" collapsed="false">
      <c r="A481" s="29"/>
      <c r="B481" s="29"/>
      <c r="C481" s="30"/>
      <c r="D481" s="30"/>
      <c r="E481" s="31"/>
      <c r="F481" s="30"/>
      <c r="G481" s="30"/>
      <c r="H481" s="32"/>
      <c r="I481" s="33"/>
      <c r="J481" s="32"/>
      <c r="K481" s="34" t="str">
        <f aca="false">IF(OR(M481="",$E481=""),"",M481-$E481)</f>
        <v/>
      </c>
      <c r="L481" s="35" t="str">
        <f aca="false">IF(SUM(FA481:FN481)=0,"",SUM(EM481:EZ481)/SUM(FA481:FN481))</f>
        <v/>
      </c>
      <c r="M481" s="36" t="str">
        <f aca="false">IF(OR(L481="",FO481=""),"",IFERROR(MATCH(L481,INDEX(Boundaries!$B$2:$I$30,MATCH(FO481,Boundaries!$A$2:$A$30,0),0),1)-1,""))</f>
        <v/>
      </c>
      <c r="N481" s="37" t="str">
        <f aca="false">IF(COUNT($DY481:$EL481)&lt;2,"",INDEX($DK481:$DX481,MAX($DY481:$EL481))-INDEX($DK481:$DX481,MIN($DY481:$EL481)))</f>
        <v/>
      </c>
      <c r="O481" s="37" t="str">
        <f aca="false">IF(COUNT($DY481:$EL481)&lt;2,"",INDEX($DK481:$DX481,MAX($DY481:$EL481))-INDEX($DK481:$DX481,LARGE($DY481:$EL481,2)))</f>
        <v/>
      </c>
      <c r="P481" s="38" t="str">
        <f aca="false">IF(K481="","",IF(K481&gt;=0,"On/above target",IF(AND(N481&lt;&gt;"",N481&gt;=0.5),"Improving towards target",IF(AND(O481&lt;&gt;"",O481&lt;=-0.5),"Declining","Stable below target"))))</f>
        <v/>
      </c>
      <c r="Q481" s="39"/>
      <c r="R481" s="40" t="str">
        <f aca="false">IF(OR(Q481="",BU481=""),"",Q481/BU481*100)</f>
        <v/>
      </c>
      <c r="S481" s="41" t="str">
        <f aca="false">IF(R481="","",IFERROR(MATCH(R481,INDEX(Boundaries!$B$2:$I$30,MATCH(CI481,Boundaries!$A$2:$A$30,0),0),1)-1,""))</f>
        <v/>
      </c>
      <c r="T481" s="42" t="str">
        <f aca="false">IF(OR(S481="",$E481=""),"",S481-$E481)</f>
        <v/>
      </c>
      <c r="U481" s="39"/>
      <c r="V481" s="40" t="str">
        <f aca="false">IF(OR(U481="",BV481=""),"",U481/BV481*100)</f>
        <v/>
      </c>
      <c r="W481" s="41" t="str">
        <f aca="false">IF(V481="","",IFERROR(MATCH(V481,INDEX(Boundaries!$B$2:$I$30,MATCH(CJ481,Boundaries!$A$2:$A$30,0),0),1)-1,""))</f>
        <v/>
      </c>
      <c r="X481" s="42" t="str">
        <f aca="false">IF(OR(W481="",$E481=""),"",W481-$E481)</f>
        <v/>
      </c>
      <c r="Y481" s="39"/>
      <c r="Z481" s="40" t="str">
        <f aca="false">IF(OR(Y481="",BW481=""),"",Y481/BW481*100)</f>
        <v/>
      </c>
      <c r="AA481" s="41" t="str">
        <f aca="false">IF(Z481="","",IFERROR(MATCH(Z481,INDEX(Boundaries!$B$2:$I$30,MATCH(CK481,Boundaries!$A$2:$A$30,0),0),1)-1,""))</f>
        <v/>
      </c>
      <c r="AB481" s="42" t="str">
        <f aca="false">IF(OR(AA481="",$E481=""),"",AA481-$E481)</f>
        <v/>
      </c>
      <c r="AC481" s="39"/>
      <c r="AD481" s="40" t="str">
        <f aca="false">IF(OR(AC481="",BX481=""),"",AC481/BX481*100)</f>
        <v/>
      </c>
      <c r="AE481" s="41" t="str">
        <f aca="false">IF(AD481="","",IFERROR(MATCH(AD481,INDEX(Boundaries!$B$2:$I$30,MATCH(CL481,Boundaries!$A$2:$A$30,0),0),1)-1,""))</f>
        <v/>
      </c>
      <c r="AF481" s="42" t="str">
        <f aca="false">IF(OR(AE481="",$E481=""),"",AE481-$E481)</f>
        <v/>
      </c>
      <c r="AG481" s="39"/>
      <c r="AH481" s="40" t="str">
        <f aca="false">IF(OR(AG481="",BY481=""),"",AG481/BY481*100)</f>
        <v/>
      </c>
      <c r="AI481" s="41" t="str">
        <f aca="false">IF(AH481="","",IFERROR(MATCH(AH481,INDEX(Boundaries!$B$2:$I$30,MATCH(CM481,Boundaries!$A$2:$A$30,0),0),1)-1,""))</f>
        <v/>
      </c>
      <c r="AJ481" s="42" t="str">
        <f aca="false">IF(OR(AI481="",$E481=""),"",AI481-$E481)</f>
        <v/>
      </c>
      <c r="AK481" s="39"/>
      <c r="AL481" s="40" t="str">
        <f aca="false">IF(OR(AK481="",BZ481=""),"",AK481/BZ481*100)</f>
        <v/>
      </c>
      <c r="AM481" s="41" t="str">
        <f aca="false">IF(AL481="","",IFERROR(MATCH(AL481,INDEX(Boundaries!$B$2:$I$30,MATCH(CN481,Boundaries!$A$2:$A$30,0),0),1)-1,""))</f>
        <v/>
      </c>
      <c r="AN481" s="42" t="str">
        <f aca="false">IF(OR(AM481="",$E481=""),"",AM481-$E481)</f>
        <v/>
      </c>
      <c r="AO481" s="39"/>
      <c r="AP481" s="40" t="str">
        <f aca="false">IF(OR(AO481="",CA481=""),"",AO481/CA481*100)</f>
        <v/>
      </c>
      <c r="AQ481" s="41" t="str">
        <f aca="false">IF(AP481="","",IFERROR(MATCH(AP481,INDEX(Boundaries!$B$2:$I$30,MATCH(CO481,Boundaries!$A$2:$A$30,0),0),1)-1,""))</f>
        <v/>
      </c>
      <c r="AR481" s="42" t="str">
        <f aca="false">IF(OR(AQ481="",$E481=""),"",AQ481-$E481)</f>
        <v/>
      </c>
      <c r="AS481" s="39"/>
      <c r="AT481" s="40" t="str">
        <f aca="false">IF(OR(AS481="",CB481=""),"",AS481/CB481*100)</f>
        <v/>
      </c>
      <c r="AU481" s="41" t="str">
        <f aca="false">IF(AT481="","",IFERROR(MATCH(AT481,INDEX(Boundaries!$B$2:$I$30,MATCH(CP481,Boundaries!$A$2:$A$30,0),0),1)-1,""))</f>
        <v/>
      </c>
      <c r="AV481" s="42" t="str">
        <f aca="false">IF(OR(AU481="",$E481=""),"",AU481-$E481)</f>
        <v/>
      </c>
      <c r="AW481" s="39"/>
      <c r="AX481" s="40" t="str">
        <f aca="false">IF(OR(AW481="",CC481=""),"",AW481/CC481*100)</f>
        <v/>
      </c>
      <c r="AY481" s="41" t="str">
        <f aca="false">IF(AX481="","",IFERROR(MATCH(AX481,INDEX(Boundaries!$B$2:$I$30,MATCH(CQ481,Boundaries!$A$2:$A$30,0),0),1)-1,""))</f>
        <v/>
      </c>
      <c r="AZ481" s="42" t="str">
        <f aca="false">IF(OR(AY481="",$E481=""),"",AY481-$E481)</f>
        <v/>
      </c>
      <c r="BA481" s="39"/>
      <c r="BB481" s="40" t="str">
        <f aca="false">IF(OR(BA481="",CD481=""),"",BA481/CD481*100)</f>
        <v/>
      </c>
      <c r="BC481" s="41" t="str">
        <f aca="false">IF(BB481="","",IFERROR(MATCH(BB481,INDEX(Boundaries!$B$2:$I$30,MATCH(CR481,Boundaries!$A$2:$A$30,0),0),1)-1,""))</f>
        <v/>
      </c>
      <c r="BD481" s="42" t="str">
        <f aca="false">IF(OR(BC481="",$E481=""),"",BC481-$E481)</f>
        <v/>
      </c>
      <c r="BE481" s="39"/>
      <c r="BF481" s="40" t="str">
        <f aca="false">IF(OR(BE481="",CE481=""),"",BE481/CE481*100)</f>
        <v/>
      </c>
      <c r="BG481" s="41" t="str">
        <f aca="false">IF(BF481="","",IFERROR(MATCH(BF481,INDEX(Boundaries!$B$2:$I$30,MATCH(CS481,Boundaries!$A$2:$A$30,0),0),1)-1,""))</f>
        <v/>
      </c>
      <c r="BH481" s="42" t="str">
        <f aca="false">IF(OR(BG481="",$E481=""),"",BG481-$E481)</f>
        <v/>
      </c>
      <c r="BI481" s="39"/>
      <c r="BJ481" s="40" t="str">
        <f aca="false">IF(OR(BI481="",CF481=""),"",BI481/CF481*100)</f>
        <v/>
      </c>
      <c r="BK481" s="41" t="str">
        <f aca="false">IF(BJ481="","",IFERROR(MATCH(BJ481,INDEX(Boundaries!$B$2:$I$30,MATCH(CT481,Boundaries!$A$2:$A$30,0),0),1)-1,""))</f>
        <v/>
      </c>
      <c r="BL481" s="42" t="str">
        <f aca="false">IF(OR(BK481="",$E481=""),"",BK481-$E481)</f>
        <v/>
      </c>
      <c r="BM481" s="39"/>
      <c r="BN481" s="40" t="str">
        <f aca="false">IF(OR(BM481="",CG481=""),"",BM481/CG481*100)</f>
        <v/>
      </c>
      <c r="BO481" s="41" t="str">
        <f aca="false">IF(BN481="","",IFERROR(MATCH(BN481,INDEX(Boundaries!$B$2:$I$30,MATCH(CU481,Boundaries!$A$2:$A$30,0),0),1)-1,""))</f>
        <v/>
      </c>
      <c r="BP481" s="42" t="str">
        <f aca="false">IF(OR(BO481="",$E481=""),"",BO481-$E481)</f>
        <v/>
      </c>
      <c r="BQ481" s="39"/>
      <c r="BR481" s="40" t="str">
        <f aca="false">IF(OR(BQ481="",CH481=""),"",BQ481/CH481*100)</f>
        <v/>
      </c>
      <c r="BS481" s="41" t="str">
        <f aca="false">IF(BR481="","",IFERROR(MATCH(BR481,INDEX(Boundaries!$B$2:$I$30,MATCH(CV481,Boundaries!$A$2:$A$30,0),0),1)-1,""))</f>
        <v/>
      </c>
      <c r="BT481" s="42" t="str">
        <f aca="false">IF(OR(BS481="",$E481=""),"",BS481-$E481)</f>
        <v/>
      </c>
      <c r="BU481" s="28" t="str">
        <f aca="false">IFERROR(INDEX(Assessments!$H$2:$H$600,MATCH($H481&amp;"|"&amp;$I481&amp;"|"&amp;$J481&amp;"|"&amp;1,Assessments!$A$2:$A$600,0)),"")</f>
        <v/>
      </c>
      <c r="BV481" s="28" t="str">
        <f aca="false">IFERROR(INDEX(Assessments!$H$2:$H$600,MATCH($H481&amp;"|"&amp;$I481&amp;"|"&amp;$J481&amp;"|"&amp;2,Assessments!$A$2:$A$600,0)),"")</f>
        <v/>
      </c>
      <c r="BW481" s="28" t="str">
        <f aca="false">IFERROR(INDEX(Assessments!$H$2:$H$600,MATCH($H481&amp;"|"&amp;$I481&amp;"|"&amp;$J481&amp;"|"&amp;3,Assessments!$A$2:$A$600,0)),"")</f>
        <v/>
      </c>
      <c r="BX481" s="28" t="str">
        <f aca="false">IFERROR(INDEX(Assessments!$H$2:$H$600,MATCH($H481&amp;"|"&amp;$I481&amp;"|"&amp;$J481&amp;"|"&amp;4,Assessments!$A$2:$A$600,0)),"")</f>
        <v/>
      </c>
      <c r="BY481" s="28" t="str">
        <f aca="false">IFERROR(INDEX(Assessments!$H$2:$H$600,MATCH($H481&amp;"|"&amp;$I481&amp;"|"&amp;$J481&amp;"|"&amp;5,Assessments!$A$2:$A$600,0)),"")</f>
        <v/>
      </c>
      <c r="BZ481" s="28" t="str">
        <f aca="false">IFERROR(INDEX(Assessments!$H$2:$H$600,MATCH($H481&amp;"|"&amp;$I481&amp;"|"&amp;$J481&amp;"|"&amp;6,Assessments!$A$2:$A$600,0)),"")</f>
        <v/>
      </c>
      <c r="CA481" s="28" t="str">
        <f aca="false">IFERROR(INDEX(Assessments!$H$2:$H$600,MATCH($H481&amp;"|"&amp;$I481&amp;"|"&amp;$J481&amp;"|"&amp;7,Assessments!$A$2:$A$600,0)),"")</f>
        <v/>
      </c>
      <c r="CB481" s="28" t="str">
        <f aca="false">IFERROR(INDEX(Assessments!$H$2:$H$600,MATCH($H481&amp;"|"&amp;$I481&amp;"|"&amp;$J481&amp;"|"&amp;8,Assessments!$A$2:$A$600,0)),"")</f>
        <v/>
      </c>
      <c r="CC481" s="28" t="str">
        <f aca="false">IFERROR(INDEX(Assessments!$H$2:$H$600,MATCH($H481&amp;"|"&amp;$I481&amp;"|"&amp;$J481&amp;"|"&amp;9,Assessments!$A$2:$A$600,0)),"")</f>
        <v/>
      </c>
      <c r="CD481" s="28" t="str">
        <f aca="false">IFERROR(INDEX(Assessments!$H$2:$H$600,MATCH($H481&amp;"|"&amp;$I481&amp;"|"&amp;$J481&amp;"|"&amp;10,Assessments!$A$2:$A$600,0)),"")</f>
        <v/>
      </c>
      <c r="CE481" s="28" t="str">
        <f aca="false">IFERROR(INDEX(Assessments!$H$2:$H$600,MATCH($H481&amp;"|"&amp;$I481&amp;"|"&amp;$J481&amp;"|"&amp;11,Assessments!$A$2:$A$600,0)),"")</f>
        <v/>
      </c>
      <c r="CF481" s="28" t="str">
        <f aca="false">IFERROR(INDEX(Assessments!$H$2:$H$600,MATCH($H481&amp;"|"&amp;$I481&amp;"|"&amp;$J481&amp;"|"&amp;12,Assessments!$A$2:$A$600,0)),"")</f>
        <v/>
      </c>
      <c r="CG481" s="28" t="str">
        <f aca="false">IFERROR(INDEX(Assessments!$H$2:$H$600,MATCH($H481&amp;"|"&amp;$I481&amp;"|"&amp;$J481&amp;"|"&amp;13,Assessments!$A$2:$A$600,0)),"")</f>
        <v/>
      </c>
      <c r="CH481" s="28" t="str">
        <f aca="false">IFERROR(INDEX(Assessments!$H$2:$H$600,MATCH($H481&amp;"|"&amp;$I481&amp;"|"&amp;$J481&amp;"|"&amp;14,Assessments!$A$2:$A$600,0)),"")</f>
        <v/>
      </c>
      <c r="CI481" s="28" t="str">
        <f aca="false">IFERROR(INDEX(Assessments!$I$2:$I$600,MATCH($H481&amp;"|"&amp;$I481&amp;"|"&amp;$J481&amp;"|"&amp;1,Assessments!$A$2:$A$600,0)),"")</f>
        <v/>
      </c>
      <c r="CJ481" s="28" t="str">
        <f aca="false">IFERROR(INDEX(Assessments!$I$2:$I$600,MATCH($H481&amp;"|"&amp;$I481&amp;"|"&amp;$J481&amp;"|"&amp;2,Assessments!$A$2:$A$600,0)),"")</f>
        <v/>
      </c>
      <c r="CK481" s="28" t="str">
        <f aca="false">IFERROR(INDEX(Assessments!$I$2:$I$600,MATCH($H481&amp;"|"&amp;$I481&amp;"|"&amp;$J481&amp;"|"&amp;3,Assessments!$A$2:$A$600,0)),"")</f>
        <v/>
      </c>
      <c r="CL481" s="28" t="str">
        <f aca="false">IFERROR(INDEX(Assessments!$I$2:$I$600,MATCH($H481&amp;"|"&amp;$I481&amp;"|"&amp;$J481&amp;"|"&amp;4,Assessments!$A$2:$A$600,0)),"")</f>
        <v/>
      </c>
      <c r="CM481" s="28" t="str">
        <f aca="false">IFERROR(INDEX(Assessments!$I$2:$I$600,MATCH($H481&amp;"|"&amp;$I481&amp;"|"&amp;$J481&amp;"|"&amp;5,Assessments!$A$2:$A$600,0)),"")</f>
        <v/>
      </c>
      <c r="CN481" s="28" t="str">
        <f aca="false">IFERROR(INDEX(Assessments!$I$2:$I$600,MATCH($H481&amp;"|"&amp;$I481&amp;"|"&amp;$J481&amp;"|"&amp;6,Assessments!$A$2:$A$600,0)),"")</f>
        <v/>
      </c>
      <c r="CO481" s="28" t="str">
        <f aca="false">IFERROR(INDEX(Assessments!$I$2:$I$600,MATCH($H481&amp;"|"&amp;$I481&amp;"|"&amp;$J481&amp;"|"&amp;7,Assessments!$A$2:$A$600,0)),"")</f>
        <v/>
      </c>
      <c r="CP481" s="28" t="str">
        <f aca="false">IFERROR(INDEX(Assessments!$I$2:$I$600,MATCH($H481&amp;"|"&amp;$I481&amp;"|"&amp;$J481&amp;"|"&amp;8,Assessments!$A$2:$A$600,0)),"")</f>
        <v/>
      </c>
      <c r="CQ481" s="28" t="str">
        <f aca="false">IFERROR(INDEX(Assessments!$I$2:$I$600,MATCH($H481&amp;"|"&amp;$I481&amp;"|"&amp;$J481&amp;"|"&amp;9,Assessments!$A$2:$A$600,0)),"")</f>
        <v/>
      </c>
      <c r="CR481" s="28" t="str">
        <f aca="false">IFERROR(INDEX(Assessments!$I$2:$I$600,MATCH($H481&amp;"|"&amp;$I481&amp;"|"&amp;$J481&amp;"|"&amp;10,Assessments!$A$2:$A$600,0)),"")</f>
        <v/>
      </c>
      <c r="CS481" s="28" t="str">
        <f aca="false">IFERROR(INDEX(Assessments!$I$2:$I$600,MATCH($H481&amp;"|"&amp;$I481&amp;"|"&amp;$J481&amp;"|"&amp;11,Assessments!$A$2:$A$600,0)),"")</f>
        <v/>
      </c>
      <c r="CT481" s="28" t="str">
        <f aca="false">IFERROR(INDEX(Assessments!$I$2:$I$600,MATCH($H481&amp;"|"&amp;$I481&amp;"|"&amp;$J481&amp;"|"&amp;12,Assessments!$A$2:$A$600,0)),"")</f>
        <v/>
      </c>
      <c r="CU481" s="28" t="str">
        <f aca="false">IFERROR(INDEX(Assessments!$I$2:$I$600,MATCH($H481&amp;"|"&amp;$I481&amp;"|"&amp;$J481&amp;"|"&amp;13,Assessments!$A$2:$A$600,0)),"")</f>
        <v/>
      </c>
      <c r="CV481" s="28" t="str">
        <f aca="false">IFERROR(INDEX(Assessments!$I$2:$I$600,MATCH($H481&amp;"|"&amp;$I481&amp;"|"&amp;$J481&amp;"|"&amp;14,Assessments!$A$2:$A$600,0)),"")</f>
        <v/>
      </c>
      <c r="CW481" s="28" t="n">
        <f aca="false">IFERROR(INDEX(Assessments!$J$2:$J$600,MATCH($H481&amp;"|"&amp;$I481&amp;"|"&amp;$J481&amp;"|"&amp;1,Assessments!$A$2:$A$600,0)),0)</f>
        <v>0</v>
      </c>
      <c r="CX481" s="28" t="n">
        <f aca="false">IFERROR(INDEX(Assessments!$J$2:$J$600,MATCH($H481&amp;"|"&amp;$I481&amp;"|"&amp;$J481&amp;"|"&amp;2,Assessments!$A$2:$A$600,0)),0)</f>
        <v>0</v>
      </c>
      <c r="CY481" s="28" t="n">
        <f aca="false">IFERROR(INDEX(Assessments!$J$2:$J$600,MATCH($H481&amp;"|"&amp;$I481&amp;"|"&amp;$J481&amp;"|"&amp;3,Assessments!$A$2:$A$600,0)),0)</f>
        <v>0</v>
      </c>
      <c r="CZ481" s="28" t="n">
        <f aca="false">IFERROR(INDEX(Assessments!$J$2:$J$600,MATCH($H481&amp;"|"&amp;$I481&amp;"|"&amp;$J481&amp;"|"&amp;4,Assessments!$A$2:$A$600,0)),0)</f>
        <v>0</v>
      </c>
      <c r="DA481" s="28" t="n">
        <f aca="false">IFERROR(INDEX(Assessments!$J$2:$J$600,MATCH($H481&amp;"|"&amp;$I481&amp;"|"&amp;$J481&amp;"|"&amp;5,Assessments!$A$2:$A$600,0)),0)</f>
        <v>0</v>
      </c>
      <c r="DB481" s="28" t="n">
        <f aca="false">IFERROR(INDEX(Assessments!$J$2:$J$600,MATCH($H481&amp;"|"&amp;$I481&amp;"|"&amp;$J481&amp;"|"&amp;6,Assessments!$A$2:$A$600,0)),0)</f>
        <v>0</v>
      </c>
      <c r="DC481" s="28" t="n">
        <f aca="false">IFERROR(INDEX(Assessments!$J$2:$J$600,MATCH($H481&amp;"|"&amp;$I481&amp;"|"&amp;$J481&amp;"|"&amp;7,Assessments!$A$2:$A$600,0)),0)</f>
        <v>0</v>
      </c>
      <c r="DD481" s="28" t="n">
        <f aca="false">IFERROR(INDEX(Assessments!$J$2:$J$600,MATCH($H481&amp;"|"&amp;$I481&amp;"|"&amp;$J481&amp;"|"&amp;8,Assessments!$A$2:$A$600,0)),0)</f>
        <v>0</v>
      </c>
      <c r="DE481" s="28" t="n">
        <f aca="false">IFERROR(INDEX(Assessments!$J$2:$J$600,MATCH($H481&amp;"|"&amp;$I481&amp;"|"&amp;$J481&amp;"|"&amp;9,Assessments!$A$2:$A$600,0)),0)</f>
        <v>0</v>
      </c>
      <c r="DF481" s="28" t="n">
        <f aca="false">IFERROR(INDEX(Assessments!$J$2:$J$600,MATCH($H481&amp;"|"&amp;$I481&amp;"|"&amp;$J481&amp;"|"&amp;10,Assessments!$A$2:$A$600,0)),0)</f>
        <v>0</v>
      </c>
      <c r="DG481" s="28" t="n">
        <f aca="false">IFERROR(INDEX(Assessments!$J$2:$J$600,MATCH($H481&amp;"|"&amp;$I481&amp;"|"&amp;$J481&amp;"|"&amp;11,Assessments!$A$2:$A$600,0)),0)</f>
        <v>0</v>
      </c>
      <c r="DH481" s="28" t="n">
        <f aca="false">IFERROR(INDEX(Assessments!$J$2:$J$600,MATCH($H481&amp;"|"&amp;$I481&amp;"|"&amp;$J481&amp;"|"&amp;12,Assessments!$A$2:$A$600,0)),0)</f>
        <v>0</v>
      </c>
      <c r="DI481" s="28" t="n">
        <f aca="false">IFERROR(INDEX(Assessments!$J$2:$J$600,MATCH($H481&amp;"|"&amp;$I481&amp;"|"&amp;$J481&amp;"|"&amp;13,Assessments!$A$2:$A$600,0)),0)</f>
        <v>0</v>
      </c>
      <c r="DJ481" s="28" t="n">
        <f aca="false">IFERROR(INDEX(Assessments!$J$2:$J$600,MATCH($H481&amp;"|"&amp;$I481&amp;"|"&amp;$J481&amp;"|"&amp;14,Assessments!$A$2:$A$600,0)),0)</f>
        <v>0</v>
      </c>
      <c r="DK481" s="28" t="str">
        <f aca="false">S481</f>
        <v/>
      </c>
      <c r="DL481" s="28" t="str">
        <f aca="false">W481</f>
        <v/>
      </c>
      <c r="DM481" s="28" t="str">
        <f aca="false">AA481</f>
        <v/>
      </c>
      <c r="DN481" s="28" t="str">
        <f aca="false">AE481</f>
        <v/>
      </c>
      <c r="DO481" s="28" t="str">
        <f aca="false">AI481</f>
        <v/>
      </c>
      <c r="DP481" s="28" t="str">
        <f aca="false">AM481</f>
        <v/>
      </c>
      <c r="DQ481" s="28" t="str">
        <f aca="false">AQ481</f>
        <v/>
      </c>
      <c r="DR481" s="28" t="str">
        <f aca="false">AU481</f>
        <v/>
      </c>
      <c r="DS481" s="28" t="str">
        <f aca="false">AY481</f>
        <v/>
      </c>
      <c r="DT481" s="28" t="str">
        <f aca="false">BC481</f>
        <v/>
      </c>
      <c r="DU481" s="28" t="str">
        <f aca="false">BG481</f>
        <v/>
      </c>
      <c r="DV481" s="28" t="str">
        <f aca="false">BK481</f>
        <v/>
      </c>
      <c r="DW481" s="28" t="str">
        <f aca="false">BO481</f>
        <v/>
      </c>
      <c r="DX481" s="28" t="str">
        <f aca="false">BS481</f>
        <v/>
      </c>
      <c r="DY481" s="28" t="str">
        <f aca="false">IF(ISNUMBER(S481),1,"")</f>
        <v/>
      </c>
      <c r="DZ481" s="28" t="str">
        <f aca="false">IF(ISNUMBER(W481),2,"")</f>
        <v/>
      </c>
      <c r="EA481" s="28" t="str">
        <f aca="false">IF(ISNUMBER(AA481),3,"")</f>
        <v/>
      </c>
      <c r="EB481" s="28" t="str">
        <f aca="false">IF(ISNUMBER(AE481),4,"")</f>
        <v/>
      </c>
      <c r="EC481" s="28" t="str">
        <f aca="false">IF(ISNUMBER(AI481),5,"")</f>
        <v/>
      </c>
      <c r="ED481" s="28" t="str">
        <f aca="false">IF(ISNUMBER(AM481),6,"")</f>
        <v/>
      </c>
      <c r="EE481" s="28" t="str">
        <f aca="false">IF(ISNUMBER(AQ481),7,"")</f>
        <v/>
      </c>
      <c r="EF481" s="28" t="str">
        <f aca="false">IF(ISNUMBER(AU481),8,"")</f>
        <v/>
      </c>
      <c r="EG481" s="28" t="str">
        <f aca="false">IF(ISNUMBER(AY481),9,"")</f>
        <v/>
      </c>
      <c r="EH481" s="28" t="str">
        <f aca="false">IF(ISNUMBER(BC481),10,"")</f>
        <v/>
      </c>
      <c r="EI481" s="28" t="str">
        <f aca="false">IF(ISNUMBER(BG481),11,"")</f>
        <v/>
      </c>
      <c r="EJ481" s="28" t="str">
        <f aca="false">IF(ISNUMBER(BK481),12,"")</f>
        <v/>
      </c>
      <c r="EK481" s="28" t="str">
        <f aca="false">IF(ISNUMBER(BO481),13,"")</f>
        <v/>
      </c>
      <c r="EL481" s="28" t="str">
        <f aca="false">IF(ISNUMBER(BS481),14,"")</f>
        <v/>
      </c>
      <c r="EM481" s="28" t="n">
        <f aca="false">IF(ISNUMBER(R481),R481*CW481,0)</f>
        <v>0</v>
      </c>
      <c r="EN481" s="28" t="n">
        <f aca="false">IF(ISNUMBER(V481),V481*CX481,0)</f>
        <v>0</v>
      </c>
      <c r="EO481" s="28" t="n">
        <f aca="false">IF(ISNUMBER(Z481),Z481*CY481,0)</f>
        <v>0</v>
      </c>
      <c r="EP481" s="28" t="n">
        <f aca="false">IF(ISNUMBER(AD481),AD481*CZ481,0)</f>
        <v>0</v>
      </c>
      <c r="EQ481" s="28" t="n">
        <f aca="false">IF(ISNUMBER(AH481),AH481*DA481,0)</f>
        <v>0</v>
      </c>
      <c r="ER481" s="28" t="n">
        <f aca="false">IF(ISNUMBER(AL481),AL481*DB481,0)</f>
        <v>0</v>
      </c>
      <c r="ES481" s="28" t="n">
        <f aca="false">IF(ISNUMBER(AP481),AP481*DC481,0)</f>
        <v>0</v>
      </c>
      <c r="ET481" s="28" t="n">
        <f aca="false">IF(ISNUMBER(AT481),AT481*DD481,0)</f>
        <v>0</v>
      </c>
      <c r="EU481" s="28" t="n">
        <f aca="false">IF(ISNUMBER(AX481),AX481*DE481,0)</f>
        <v>0</v>
      </c>
      <c r="EV481" s="28" t="n">
        <f aca="false">IF(ISNUMBER(BB481),BB481*DF481,0)</f>
        <v>0</v>
      </c>
      <c r="EW481" s="28" t="n">
        <f aca="false">IF(ISNUMBER(BF481),BF481*DG481,0)</f>
        <v>0</v>
      </c>
      <c r="EX481" s="28" t="n">
        <f aca="false">IF(ISNUMBER(BJ481),BJ481*DH481,0)</f>
        <v>0</v>
      </c>
      <c r="EY481" s="28" t="n">
        <f aca="false">IF(ISNUMBER(BN481),BN481*DI481,0)</f>
        <v>0</v>
      </c>
      <c r="EZ481" s="28" t="n">
        <f aca="false">IF(ISNUMBER(BR481),BR481*DJ481,0)</f>
        <v>0</v>
      </c>
      <c r="FA481" s="28" t="n">
        <f aca="false">IF(ISNUMBER(R481),CW481,0)</f>
        <v>0</v>
      </c>
      <c r="FB481" s="28" t="n">
        <f aca="false">IF(ISNUMBER(V481),CX481,0)</f>
        <v>0</v>
      </c>
      <c r="FC481" s="28" t="n">
        <f aca="false">IF(ISNUMBER(Z481),CY481,0)</f>
        <v>0</v>
      </c>
      <c r="FD481" s="28" t="n">
        <f aca="false">IF(ISNUMBER(AD481),CZ481,0)</f>
        <v>0</v>
      </c>
      <c r="FE481" s="28" t="n">
        <f aca="false">IF(ISNUMBER(AH481),DA481,0)</f>
        <v>0</v>
      </c>
      <c r="FF481" s="28" t="n">
        <f aca="false">IF(ISNUMBER(AL481),DB481,0)</f>
        <v>0</v>
      </c>
      <c r="FG481" s="28" t="n">
        <f aca="false">IF(ISNUMBER(AP481),DC481,0)</f>
        <v>0</v>
      </c>
      <c r="FH481" s="28" t="n">
        <f aca="false">IF(ISNUMBER(AT481),DD481,0)</f>
        <v>0</v>
      </c>
      <c r="FI481" s="28" t="n">
        <f aca="false">IF(ISNUMBER(AX481),DE481,0)</f>
        <v>0</v>
      </c>
      <c r="FJ481" s="28" t="n">
        <f aca="false">IF(ISNUMBER(BB481),DF481,0)</f>
        <v>0</v>
      </c>
      <c r="FK481" s="28" t="n">
        <f aca="false">IF(ISNUMBER(BF481),DG481,0)</f>
        <v>0</v>
      </c>
      <c r="FL481" s="28" t="n">
        <f aca="false">IF(ISNUMBER(BJ481),DH481,0)</f>
        <v>0</v>
      </c>
      <c r="FM481" s="28" t="n">
        <f aca="false">IF(ISNUMBER(BN481),DI481,0)</f>
        <v>0</v>
      </c>
      <c r="FN481" s="28" t="n">
        <f aca="false">IF(ISNUMBER(BR481),DJ481,0)</f>
        <v>0</v>
      </c>
      <c r="FO481" s="28" t="str">
        <f aca="false">IFERROR(INDEX(Lists!$G$2:$G$20,MATCH($I481&amp;"|"&amp;$J481,Lists!$F$2:$F$20,0)),"")</f>
        <v/>
      </c>
    </row>
    <row r="482" customFormat="false" ht="19.5" hidden="false" customHeight="true" outlineLevel="0" collapsed="false">
      <c r="A482" s="29"/>
      <c r="B482" s="29"/>
      <c r="C482" s="30"/>
      <c r="D482" s="30"/>
      <c r="E482" s="31"/>
      <c r="F482" s="30"/>
      <c r="G482" s="30"/>
      <c r="H482" s="32"/>
      <c r="I482" s="33"/>
      <c r="J482" s="32"/>
      <c r="K482" s="34" t="str">
        <f aca="false">IF(OR(M482="",$E482=""),"",M482-$E482)</f>
        <v/>
      </c>
      <c r="L482" s="35" t="str">
        <f aca="false">IF(SUM(FA482:FN482)=0,"",SUM(EM482:EZ482)/SUM(FA482:FN482))</f>
        <v/>
      </c>
      <c r="M482" s="36" t="str">
        <f aca="false">IF(OR(L482="",FO482=""),"",IFERROR(MATCH(L482,INDEX(Boundaries!$B$2:$I$30,MATCH(FO482,Boundaries!$A$2:$A$30,0),0),1)-1,""))</f>
        <v/>
      </c>
      <c r="N482" s="37" t="str">
        <f aca="false">IF(COUNT($DY482:$EL482)&lt;2,"",INDEX($DK482:$DX482,MAX($DY482:$EL482))-INDEX($DK482:$DX482,MIN($DY482:$EL482)))</f>
        <v/>
      </c>
      <c r="O482" s="37" t="str">
        <f aca="false">IF(COUNT($DY482:$EL482)&lt;2,"",INDEX($DK482:$DX482,MAX($DY482:$EL482))-INDEX($DK482:$DX482,LARGE($DY482:$EL482,2)))</f>
        <v/>
      </c>
      <c r="P482" s="38" t="str">
        <f aca="false">IF(K482="","",IF(K482&gt;=0,"On/above target",IF(AND(N482&lt;&gt;"",N482&gt;=0.5),"Improving towards target",IF(AND(O482&lt;&gt;"",O482&lt;=-0.5),"Declining","Stable below target"))))</f>
        <v/>
      </c>
      <c r="Q482" s="39"/>
      <c r="R482" s="40" t="str">
        <f aca="false">IF(OR(Q482="",BU482=""),"",Q482/BU482*100)</f>
        <v/>
      </c>
      <c r="S482" s="41" t="str">
        <f aca="false">IF(R482="","",IFERROR(MATCH(R482,INDEX(Boundaries!$B$2:$I$30,MATCH(CI482,Boundaries!$A$2:$A$30,0),0),1)-1,""))</f>
        <v/>
      </c>
      <c r="T482" s="42" t="str">
        <f aca="false">IF(OR(S482="",$E482=""),"",S482-$E482)</f>
        <v/>
      </c>
      <c r="U482" s="39"/>
      <c r="V482" s="40" t="str">
        <f aca="false">IF(OR(U482="",BV482=""),"",U482/BV482*100)</f>
        <v/>
      </c>
      <c r="W482" s="41" t="str">
        <f aca="false">IF(V482="","",IFERROR(MATCH(V482,INDEX(Boundaries!$B$2:$I$30,MATCH(CJ482,Boundaries!$A$2:$A$30,0),0),1)-1,""))</f>
        <v/>
      </c>
      <c r="X482" s="42" t="str">
        <f aca="false">IF(OR(W482="",$E482=""),"",W482-$E482)</f>
        <v/>
      </c>
      <c r="Y482" s="39"/>
      <c r="Z482" s="40" t="str">
        <f aca="false">IF(OR(Y482="",BW482=""),"",Y482/BW482*100)</f>
        <v/>
      </c>
      <c r="AA482" s="41" t="str">
        <f aca="false">IF(Z482="","",IFERROR(MATCH(Z482,INDEX(Boundaries!$B$2:$I$30,MATCH(CK482,Boundaries!$A$2:$A$30,0),0),1)-1,""))</f>
        <v/>
      </c>
      <c r="AB482" s="42" t="str">
        <f aca="false">IF(OR(AA482="",$E482=""),"",AA482-$E482)</f>
        <v/>
      </c>
      <c r="AC482" s="39"/>
      <c r="AD482" s="40" t="str">
        <f aca="false">IF(OR(AC482="",BX482=""),"",AC482/BX482*100)</f>
        <v/>
      </c>
      <c r="AE482" s="41" t="str">
        <f aca="false">IF(AD482="","",IFERROR(MATCH(AD482,INDEX(Boundaries!$B$2:$I$30,MATCH(CL482,Boundaries!$A$2:$A$30,0),0),1)-1,""))</f>
        <v/>
      </c>
      <c r="AF482" s="42" t="str">
        <f aca="false">IF(OR(AE482="",$E482=""),"",AE482-$E482)</f>
        <v/>
      </c>
      <c r="AG482" s="39"/>
      <c r="AH482" s="40" t="str">
        <f aca="false">IF(OR(AG482="",BY482=""),"",AG482/BY482*100)</f>
        <v/>
      </c>
      <c r="AI482" s="41" t="str">
        <f aca="false">IF(AH482="","",IFERROR(MATCH(AH482,INDEX(Boundaries!$B$2:$I$30,MATCH(CM482,Boundaries!$A$2:$A$30,0),0),1)-1,""))</f>
        <v/>
      </c>
      <c r="AJ482" s="42" t="str">
        <f aca="false">IF(OR(AI482="",$E482=""),"",AI482-$E482)</f>
        <v/>
      </c>
      <c r="AK482" s="39"/>
      <c r="AL482" s="40" t="str">
        <f aca="false">IF(OR(AK482="",BZ482=""),"",AK482/BZ482*100)</f>
        <v/>
      </c>
      <c r="AM482" s="41" t="str">
        <f aca="false">IF(AL482="","",IFERROR(MATCH(AL482,INDEX(Boundaries!$B$2:$I$30,MATCH(CN482,Boundaries!$A$2:$A$30,0),0),1)-1,""))</f>
        <v/>
      </c>
      <c r="AN482" s="42" t="str">
        <f aca="false">IF(OR(AM482="",$E482=""),"",AM482-$E482)</f>
        <v/>
      </c>
      <c r="AO482" s="39"/>
      <c r="AP482" s="40" t="str">
        <f aca="false">IF(OR(AO482="",CA482=""),"",AO482/CA482*100)</f>
        <v/>
      </c>
      <c r="AQ482" s="41" t="str">
        <f aca="false">IF(AP482="","",IFERROR(MATCH(AP482,INDEX(Boundaries!$B$2:$I$30,MATCH(CO482,Boundaries!$A$2:$A$30,0),0),1)-1,""))</f>
        <v/>
      </c>
      <c r="AR482" s="42" t="str">
        <f aca="false">IF(OR(AQ482="",$E482=""),"",AQ482-$E482)</f>
        <v/>
      </c>
      <c r="AS482" s="39"/>
      <c r="AT482" s="40" t="str">
        <f aca="false">IF(OR(AS482="",CB482=""),"",AS482/CB482*100)</f>
        <v/>
      </c>
      <c r="AU482" s="41" t="str">
        <f aca="false">IF(AT482="","",IFERROR(MATCH(AT482,INDEX(Boundaries!$B$2:$I$30,MATCH(CP482,Boundaries!$A$2:$A$30,0),0),1)-1,""))</f>
        <v/>
      </c>
      <c r="AV482" s="42" t="str">
        <f aca="false">IF(OR(AU482="",$E482=""),"",AU482-$E482)</f>
        <v/>
      </c>
      <c r="AW482" s="39"/>
      <c r="AX482" s="40" t="str">
        <f aca="false">IF(OR(AW482="",CC482=""),"",AW482/CC482*100)</f>
        <v/>
      </c>
      <c r="AY482" s="41" t="str">
        <f aca="false">IF(AX482="","",IFERROR(MATCH(AX482,INDEX(Boundaries!$B$2:$I$30,MATCH(CQ482,Boundaries!$A$2:$A$30,0),0),1)-1,""))</f>
        <v/>
      </c>
      <c r="AZ482" s="42" t="str">
        <f aca="false">IF(OR(AY482="",$E482=""),"",AY482-$E482)</f>
        <v/>
      </c>
      <c r="BA482" s="39"/>
      <c r="BB482" s="40" t="str">
        <f aca="false">IF(OR(BA482="",CD482=""),"",BA482/CD482*100)</f>
        <v/>
      </c>
      <c r="BC482" s="41" t="str">
        <f aca="false">IF(BB482="","",IFERROR(MATCH(BB482,INDEX(Boundaries!$B$2:$I$30,MATCH(CR482,Boundaries!$A$2:$A$30,0),0),1)-1,""))</f>
        <v/>
      </c>
      <c r="BD482" s="42" t="str">
        <f aca="false">IF(OR(BC482="",$E482=""),"",BC482-$E482)</f>
        <v/>
      </c>
      <c r="BE482" s="39"/>
      <c r="BF482" s="40" t="str">
        <f aca="false">IF(OR(BE482="",CE482=""),"",BE482/CE482*100)</f>
        <v/>
      </c>
      <c r="BG482" s="41" t="str">
        <f aca="false">IF(BF482="","",IFERROR(MATCH(BF482,INDEX(Boundaries!$B$2:$I$30,MATCH(CS482,Boundaries!$A$2:$A$30,0),0),1)-1,""))</f>
        <v/>
      </c>
      <c r="BH482" s="42" t="str">
        <f aca="false">IF(OR(BG482="",$E482=""),"",BG482-$E482)</f>
        <v/>
      </c>
      <c r="BI482" s="39"/>
      <c r="BJ482" s="40" t="str">
        <f aca="false">IF(OR(BI482="",CF482=""),"",BI482/CF482*100)</f>
        <v/>
      </c>
      <c r="BK482" s="41" t="str">
        <f aca="false">IF(BJ482="","",IFERROR(MATCH(BJ482,INDEX(Boundaries!$B$2:$I$30,MATCH(CT482,Boundaries!$A$2:$A$30,0),0),1)-1,""))</f>
        <v/>
      </c>
      <c r="BL482" s="42" t="str">
        <f aca="false">IF(OR(BK482="",$E482=""),"",BK482-$E482)</f>
        <v/>
      </c>
      <c r="BM482" s="39"/>
      <c r="BN482" s="40" t="str">
        <f aca="false">IF(OR(BM482="",CG482=""),"",BM482/CG482*100)</f>
        <v/>
      </c>
      <c r="BO482" s="41" t="str">
        <f aca="false">IF(BN482="","",IFERROR(MATCH(BN482,INDEX(Boundaries!$B$2:$I$30,MATCH(CU482,Boundaries!$A$2:$A$30,0),0),1)-1,""))</f>
        <v/>
      </c>
      <c r="BP482" s="42" t="str">
        <f aca="false">IF(OR(BO482="",$E482=""),"",BO482-$E482)</f>
        <v/>
      </c>
      <c r="BQ482" s="39"/>
      <c r="BR482" s="40" t="str">
        <f aca="false">IF(OR(BQ482="",CH482=""),"",BQ482/CH482*100)</f>
        <v/>
      </c>
      <c r="BS482" s="41" t="str">
        <f aca="false">IF(BR482="","",IFERROR(MATCH(BR482,INDEX(Boundaries!$B$2:$I$30,MATCH(CV482,Boundaries!$A$2:$A$30,0),0),1)-1,""))</f>
        <v/>
      </c>
      <c r="BT482" s="42" t="str">
        <f aca="false">IF(OR(BS482="",$E482=""),"",BS482-$E482)</f>
        <v/>
      </c>
      <c r="BU482" s="28" t="str">
        <f aca="false">IFERROR(INDEX(Assessments!$H$2:$H$600,MATCH($H482&amp;"|"&amp;$I482&amp;"|"&amp;$J482&amp;"|"&amp;1,Assessments!$A$2:$A$600,0)),"")</f>
        <v/>
      </c>
      <c r="BV482" s="28" t="str">
        <f aca="false">IFERROR(INDEX(Assessments!$H$2:$H$600,MATCH($H482&amp;"|"&amp;$I482&amp;"|"&amp;$J482&amp;"|"&amp;2,Assessments!$A$2:$A$600,0)),"")</f>
        <v/>
      </c>
      <c r="BW482" s="28" t="str">
        <f aca="false">IFERROR(INDEX(Assessments!$H$2:$H$600,MATCH($H482&amp;"|"&amp;$I482&amp;"|"&amp;$J482&amp;"|"&amp;3,Assessments!$A$2:$A$600,0)),"")</f>
        <v/>
      </c>
      <c r="BX482" s="28" t="str">
        <f aca="false">IFERROR(INDEX(Assessments!$H$2:$H$600,MATCH($H482&amp;"|"&amp;$I482&amp;"|"&amp;$J482&amp;"|"&amp;4,Assessments!$A$2:$A$600,0)),"")</f>
        <v/>
      </c>
      <c r="BY482" s="28" t="str">
        <f aca="false">IFERROR(INDEX(Assessments!$H$2:$H$600,MATCH($H482&amp;"|"&amp;$I482&amp;"|"&amp;$J482&amp;"|"&amp;5,Assessments!$A$2:$A$600,0)),"")</f>
        <v/>
      </c>
      <c r="BZ482" s="28" t="str">
        <f aca="false">IFERROR(INDEX(Assessments!$H$2:$H$600,MATCH($H482&amp;"|"&amp;$I482&amp;"|"&amp;$J482&amp;"|"&amp;6,Assessments!$A$2:$A$600,0)),"")</f>
        <v/>
      </c>
      <c r="CA482" s="28" t="str">
        <f aca="false">IFERROR(INDEX(Assessments!$H$2:$H$600,MATCH($H482&amp;"|"&amp;$I482&amp;"|"&amp;$J482&amp;"|"&amp;7,Assessments!$A$2:$A$600,0)),"")</f>
        <v/>
      </c>
      <c r="CB482" s="28" t="str">
        <f aca="false">IFERROR(INDEX(Assessments!$H$2:$H$600,MATCH($H482&amp;"|"&amp;$I482&amp;"|"&amp;$J482&amp;"|"&amp;8,Assessments!$A$2:$A$600,0)),"")</f>
        <v/>
      </c>
      <c r="CC482" s="28" t="str">
        <f aca="false">IFERROR(INDEX(Assessments!$H$2:$H$600,MATCH($H482&amp;"|"&amp;$I482&amp;"|"&amp;$J482&amp;"|"&amp;9,Assessments!$A$2:$A$600,0)),"")</f>
        <v/>
      </c>
      <c r="CD482" s="28" t="str">
        <f aca="false">IFERROR(INDEX(Assessments!$H$2:$H$600,MATCH($H482&amp;"|"&amp;$I482&amp;"|"&amp;$J482&amp;"|"&amp;10,Assessments!$A$2:$A$600,0)),"")</f>
        <v/>
      </c>
      <c r="CE482" s="28" t="str">
        <f aca="false">IFERROR(INDEX(Assessments!$H$2:$H$600,MATCH($H482&amp;"|"&amp;$I482&amp;"|"&amp;$J482&amp;"|"&amp;11,Assessments!$A$2:$A$600,0)),"")</f>
        <v/>
      </c>
      <c r="CF482" s="28" t="str">
        <f aca="false">IFERROR(INDEX(Assessments!$H$2:$H$600,MATCH($H482&amp;"|"&amp;$I482&amp;"|"&amp;$J482&amp;"|"&amp;12,Assessments!$A$2:$A$600,0)),"")</f>
        <v/>
      </c>
      <c r="CG482" s="28" t="str">
        <f aca="false">IFERROR(INDEX(Assessments!$H$2:$H$600,MATCH($H482&amp;"|"&amp;$I482&amp;"|"&amp;$J482&amp;"|"&amp;13,Assessments!$A$2:$A$600,0)),"")</f>
        <v/>
      </c>
      <c r="CH482" s="28" t="str">
        <f aca="false">IFERROR(INDEX(Assessments!$H$2:$H$600,MATCH($H482&amp;"|"&amp;$I482&amp;"|"&amp;$J482&amp;"|"&amp;14,Assessments!$A$2:$A$600,0)),"")</f>
        <v/>
      </c>
      <c r="CI482" s="28" t="str">
        <f aca="false">IFERROR(INDEX(Assessments!$I$2:$I$600,MATCH($H482&amp;"|"&amp;$I482&amp;"|"&amp;$J482&amp;"|"&amp;1,Assessments!$A$2:$A$600,0)),"")</f>
        <v/>
      </c>
      <c r="CJ482" s="28" t="str">
        <f aca="false">IFERROR(INDEX(Assessments!$I$2:$I$600,MATCH($H482&amp;"|"&amp;$I482&amp;"|"&amp;$J482&amp;"|"&amp;2,Assessments!$A$2:$A$600,0)),"")</f>
        <v/>
      </c>
      <c r="CK482" s="28" t="str">
        <f aca="false">IFERROR(INDEX(Assessments!$I$2:$I$600,MATCH($H482&amp;"|"&amp;$I482&amp;"|"&amp;$J482&amp;"|"&amp;3,Assessments!$A$2:$A$600,0)),"")</f>
        <v/>
      </c>
      <c r="CL482" s="28" t="str">
        <f aca="false">IFERROR(INDEX(Assessments!$I$2:$I$600,MATCH($H482&amp;"|"&amp;$I482&amp;"|"&amp;$J482&amp;"|"&amp;4,Assessments!$A$2:$A$600,0)),"")</f>
        <v/>
      </c>
      <c r="CM482" s="28" t="str">
        <f aca="false">IFERROR(INDEX(Assessments!$I$2:$I$600,MATCH($H482&amp;"|"&amp;$I482&amp;"|"&amp;$J482&amp;"|"&amp;5,Assessments!$A$2:$A$600,0)),"")</f>
        <v/>
      </c>
      <c r="CN482" s="28" t="str">
        <f aca="false">IFERROR(INDEX(Assessments!$I$2:$I$600,MATCH($H482&amp;"|"&amp;$I482&amp;"|"&amp;$J482&amp;"|"&amp;6,Assessments!$A$2:$A$600,0)),"")</f>
        <v/>
      </c>
      <c r="CO482" s="28" t="str">
        <f aca="false">IFERROR(INDEX(Assessments!$I$2:$I$600,MATCH($H482&amp;"|"&amp;$I482&amp;"|"&amp;$J482&amp;"|"&amp;7,Assessments!$A$2:$A$600,0)),"")</f>
        <v/>
      </c>
      <c r="CP482" s="28" t="str">
        <f aca="false">IFERROR(INDEX(Assessments!$I$2:$I$600,MATCH($H482&amp;"|"&amp;$I482&amp;"|"&amp;$J482&amp;"|"&amp;8,Assessments!$A$2:$A$600,0)),"")</f>
        <v/>
      </c>
      <c r="CQ482" s="28" t="str">
        <f aca="false">IFERROR(INDEX(Assessments!$I$2:$I$600,MATCH($H482&amp;"|"&amp;$I482&amp;"|"&amp;$J482&amp;"|"&amp;9,Assessments!$A$2:$A$600,0)),"")</f>
        <v/>
      </c>
      <c r="CR482" s="28" t="str">
        <f aca="false">IFERROR(INDEX(Assessments!$I$2:$I$600,MATCH($H482&amp;"|"&amp;$I482&amp;"|"&amp;$J482&amp;"|"&amp;10,Assessments!$A$2:$A$600,0)),"")</f>
        <v/>
      </c>
      <c r="CS482" s="28" t="str">
        <f aca="false">IFERROR(INDEX(Assessments!$I$2:$I$600,MATCH($H482&amp;"|"&amp;$I482&amp;"|"&amp;$J482&amp;"|"&amp;11,Assessments!$A$2:$A$600,0)),"")</f>
        <v/>
      </c>
      <c r="CT482" s="28" t="str">
        <f aca="false">IFERROR(INDEX(Assessments!$I$2:$I$600,MATCH($H482&amp;"|"&amp;$I482&amp;"|"&amp;$J482&amp;"|"&amp;12,Assessments!$A$2:$A$600,0)),"")</f>
        <v/>
      </c>
      <c r="CU482" s="28" t="str">
        <f aca="false">IFERROR(INDEX(Assessments!$I$2:$I$600,MATCH($H482&amp;"|"&amp;$I482&amp;"|"&amp;$J482&amp;"|"&amp;13,Assessments!$A$2:$A$600,0)),"")</f>
        <v/>
      </c>
      <c r="CV482" s="28" t="str">
        <f aca="false">IFERROR(INDEX(Assessments!$I$2:$I$600,MATCH($H482&amp;"|"&amp;$I482&amp;"|"&amp;$J482&amp;"|"&amp;14,Assessments!$A$2:$A$600,0)),"")</f>
        <v/>
      </c>
      <c r="CW482" s="28" t="n">
        <f aca="false">IFERROR(INDEX(Assessments!$J$2:$J$600,MATCH($H482&amp;"|"&amp;$I482&amp;"|"&amp;$J482&amp;"|"&amp;1,Assessments!$A$2:$A$600,0)),0)</f>
        <v>0</v>
      </c>
      <c r="CX482" s="28" t="n">
        <f aca="false">IFERROR(INDEX(Assessments!$J$2:$J$600,MATCH($H482&amp;"|"&amp;$I482&amp;"|"&amp;$J482&amp;"|"&amp;2,Assessments!$A$2:$A$600,0)),0)</f>
        <v>0</v>
      </c>
      <c r="CY482" s="28" t="n">
        <f aca="false">IFERROR(INDEX(Assessments!$J$2:$J$600,MATCH($H482&amp;"|"&amp;$I482&amp;"|"&amp;$J482&amp;"|"&amp;3,Assessments!$A$2:$A$600,0)),0)</f>
        <v>0</v>
      </c>
      <c r="CZ482" s="28" t="n">
        <f aca="false">IFERROR(INDEX(Assessments!$J$2:$J$600,MATCH($H482&amp;"|"&amp;$I482&amp;"|"&amp;$J482&amp;"|"&amp;4,Assessments!$A$2:$A$600,0)),0)</f>
        <v>0</v>
      </c>
      <c r="DA482" s="28" t="n">
        <f aca="false">IFERROR(INDEX(Assessments!$J$2:$J$600,MATCH($H482&amp;"|"&amp;$I482&amp;"|"&amp;$J482&amp;"|"&amp;5,Assessments!$A$2:$A$600,0)),0)</f>
        <v>0</v>
      </c>
      <c r="DB482" s="28" t="n">
        <f aca="false">IFERROR(INDEX(Assessments!$J$2:$J$600,MATCH($H482&amp;"|"&amp;$I482&amp;"|"&amp;$J482&amp;"|"&amp;6,Assessments!$A$2:$A$600,0)),0)</f>
        <v>0</v>
      </c>
      <c r="DC482" s="28" t="n">
        <f aca="false">IFERROR(INDEX(Assessments!$J$2:$J$600,MATCH($H482&amp;"|"&amp;$I482&amp;"|"&amp;$J482&amp;"|"&amp;7,Assessments!$A$2:$A$600,0)),0)</f>
        <v>0</v>
      </c>
      <c r="DD482" s="28" t="n">
        <f aca="false">IFERROR(INDEX(Assessments!$J$2:$J$600,MATCH($H482&amp;"|"&amp;$I482&amp;"|"&amp;$J482&amp;"|"&amp;8,Assessments!$A$2:$A$600,0)),0)</f>
        <v>0</v>
      </c>
      <c r="DE482" s="28" t="n">
        <f aca="false">IFERROR(INDEX(Assessments!$J$2:$J$600,MATCH($H482&amp;"|"&amp;$I482&amp;"|"&amp;$J482&amp;"|"&amp;9,Assessments!$A$2:$A$600,0)),0)</f>
        <v>0</v>
      </c>
      <c r="DF482" s="28" t="n">
        <f aca="false">IFERROR(INDEX(Assessments!$J$2:$J$600,MATCH($H482&amp;"|"&amp;$I482&amp;"|"&amp;$J482&amp;"|"&amp;10,Assessments!$A$2:$A$600,0)),0)</f>
        <v>0</v>
      </c>
      <c r="DG482" s="28" t="n">
        <f aca="false">IFERROR(INDEX(Assessments!$J$2:$J$600,MATCH($H482&amp;"|"&amp;$I482&amp;"|"&amp;$J482&amp;"|"&amp;11,Assessments!$A$2:$A$600,0)),0)</f>
        <v>0</v>
      </c>
      <c r="DH482" s="28" t="n">
        <f aca="false">IFERROR(INDEX(Assessments!$J$2:$J$600,MATCH($H482&amp;"|"&amp;$I482&amp;"|"&amp;$J482&amp;"|"&amp;12,Assessments!$A$2:$A$600,0)),0)</f>
        <v>0</v>
      </c>
      <c r="DI482" s="28" t="n">
        <f aca="false">IFERROR(INDEX(Assessments!$J$2:$J$600,MATCH($H482&amp;"|"&amp;$I482&amp;"|"&amp;$J482&amp;"|"&amp;13,Assessments!$A$2:$A$600,0)),0)</f>
        <v>0</v>
      </c>
      <c r="DJ482" s="28" t="n">
        <f aca="false">IFERROR(INDEX(Assessments!$J$2:$J$600,MATCH($H482&amp;"|"&amp;$I482&amp;"|"&amp;$J482&amp;"|"&amp;14,Assessments!$A$2:$A$600,0)),0)</f>
        <v>0</v>
      </c>
      <c r="DK482" s="28" t="str">
        <f aca="false">S482</f>
        <v/>
      </c>
      <c r="DL482" s="28" t="str">
        <f aca="false">W482</f>
        <v/>
      </c>
      <c r="DM482" s="28" t="str">
        <f aca="false">AA482</f>
        <v/>
      </c>
      <c r="DN482" s="28" t="str">
        <f aca="false">AE482</f>
        <v/>
      </c>
      <c r="DO482" s="28" t="str">
        <f aca="false">AI482</f>
        <v/>
      </c>
      <c r="DP482" s="28" t="str">
        <f aca="false">AM482</f>
        <v/>
      </c>
      <c r="DQ482" s="28" t="str">
        <f aca="false">AQ482</f>
        <v/>
      </c>
      <c r="DR482" s="28" t="str">
        <f aca="false">AU482</f>
        <v/>
      </c>
      <c r="DS482" s="28" t="str">
        <f aca="false">AY482</f>
        <v/>
      </c>
      <c r="DT482" s="28" t="str">
        <f aca="false">BC482</f>
        <v/>
      </c>
      <c r="DU482" s="28" t="str">
        <f aca="false">BG482</f>
        <v/>
      </c>
      <c r="DV482" s="28" t="str">
        <f aca="false">BK482</f>
        <v/>
      </c>
      <c r="DW482" s="28" t="str">
        <f aca="false">BO482</f>
        <v/>
      </c>
      <c r="DX482" s="28" t="str">
        <f aca="false">BS482</f>
        <v/>
      </c>
      <c r="DY482" s="28" t="str">
        <f aca="false">IF(ISNUMBER(S482),1,"")</f>
        <v/>
      </c>
      <c r="DZ482" s="28" t="str">
        <f aca="false">IF(ISNUMBER(W482),2,"")</f>
        <v/>
      </c>
      <c r="EA482" s="28" t="str">
        <f aca="false">IF(ISNUMBER(AA482),3,"")</f>
        <v/>
      </c>
      <c r="EB482" s="28" t="str">
        <f aca="false">IF(ISNUMBER(AE482),4,"")</f>
        <v/>
      </c>
      <c r="EC482" s="28" t="str">
        <f aca="false">IF(ISNUMBER(AI482),5,"")</f>
        <v/>
      </c>
      <c r="ED482" s="28" t="str">
        <f aca="false">IF(ISNUMBER(AM482),6,"")</f>
        <v/>
      </c>
      <c r="EE482" s="28" t="str">
        <f aca="false">IF(ISNUMBER(AQ482),7,"")</f>
        <v/>
      </c>
      <c r="EF482" s="28" t="str">
        <f aca="false">IF(ISNUMBER(AU482),8,"")</f>
        <v/>
      </c>
      <c r="EG482" s="28" t="str">
        <f aca="false">IF(ISNUMBER(AY482),9,"")</f>
        <v/>
      </c>
      <c r="EH482" s="28" t="str">
        <f aca="false">IF(ISNUMBER(BC482),10,"")</f>
        <v/>
      </c>
      <c r="EI482" s="28" t="str">
        <f aca="false">IF(ISNUMBER(BG482),11,"")</f>
        <v/>
      </c>
      <c r="EJ482" s="28" t="str">
        <f aca="false">IF(ISNUMBER(BK482),12,"")</f>
        <v/>
      </c>
      <c r="EK482" s="28" t="str">
        <f aca="false">IF(ISNUMBER(BO482),13,"")</f>
        <v/>
      </c>
      <c r="EL482" s="28" t="str">
        <f aca="false">IF(ISNUMBER(BS482),14,"")</f>
        <v/>
      </c>
      <c r="EM482" s="28" t="n">
        <f aca="false">IF(ISNUMBER(R482),R482*CW482,0)</f>
        <v>0</v>
      </c>
      <c r="EN482" s="28" t="n">
        <f aca="false">IF(ISNUMBER(V482),V482*CX482,0)</f>
        <v>0</v>
      </c>
      <c r="EO482" s="28" t="n">
        <f aca="false">IF(ISNUMBER(Z482),Z482*CY482,0)</f>
        <v>0</v>
      </c>
      <c r="EP482" s="28" t="n">
        <f aca="false">IF(ISNUMBER(AD482),AD482*CZ482,0)</f>
        <v>0</v>
      </c>
      <c r="EQ482" s="28" t="n">
        <f aca="false">IF(ISNUMBER(AH482),AH482*DA482,0)</f>
        <v>0</v>
      </c>
      <c r="ER482" s="28" t="n">
        <f aca="false">IF(ISNUMBER(AL482),AL482*DB482,0)</f>
        <v>0</v>
      </c>
      <c r="ES482" s="28" t="n">
        <f aca="false">IF(ISNUMBER(AP482),AP482*DC482,0)</f>
        <v>0</v>
      </c>
      <c r="ET482" s="28" t="n">
        <f aca="false">IF(ISNUMBER(AT482),AT482*DD482,0)</f>
        <v>0</v>
      </c>
      <c r="EU482" s="28" t="n">
        <f aca="false">IF(ISNUMBER(AX482),AX482*DE482,0)</f>
        <v>0</v>
      </c>
      <c r="EV482" s="28" t="n">
        <f aca="false">IF(ISNUMBER(BB482),BB482*DF482,0)</f>
        <v>0</v>
      </c>
      <c r="EW482" s="28" t="n">
        <f aca="false">IF(ISNUMBER(BF482),BF482*DG482,0)</f>
        <v>0</v>
      </c>
      <c r="EX482" s="28" t="n">
        <f aca="false">IF(ISNUMBER(BJ482),BJ482*DH482,0)</f>
        <v>0</v>
      </c>
      <c r="EY482" s="28" t="n">
        <f aca="false">IF(ISNUMBER(BN482),BN482*DI482,0)</f>
        <v>0</v>
      </c>
      <c r="EZ482" s="28" t="n">
        <f aca="false">IF(ISNUMBER(BR482),BR482*DJ482,0)</f>
        <v>0</v>
      </c>
      <c r="FA482" s="28" t="n">
        <f aca="false">IF(ISNUMBER(R482),CW482,0)</f>
        <v>0</v>
      </c>
      <c r="FB482" s="28" t="n">
        <f aca="false">IF(ISNUMBER(V482),CX482,0)</f>
        <v>0</v>
      </c>
      <c r="FC482" s="28" t="n">
        <f aca="false">IF(ISNUMBER(Z482),CY482,0)</f>
        <v>0</v>
      </c>
      <c r="FD482" s="28" t="n">
        <f aca="false">IF(ISNUMBER(AD482),CZ482,0)</f>
        <v>0</v>
      </c>
      <c r="FE482" s="28" t="n">
        <f aca="false">IF(ISNUMBER(AH482),DA482,0)</f>
        <v>0</v>
      </c>
      <c r="FF482" s="28" t="n">
        <f aca="false">IF(ISNUMBER(AL482),DB482,0)</f>
        <v>0</v>
      </c>
      <c r="FG482" s="28" t="n">
        <f aca="false">IF(ISNUMBER(AP482),DC482,0)</f>
        <v>0</v>
      </c>
      <c r="FH482" s="28" t="n">
        <f aca="false">IF(ISNUMBER(AT482),DD482,0)</f>
        <v>0</v>
      </c>
      <c r="FI482" s="28" t="n">
        <f aca="false">IF(ISNUMBER(AX482),DE482,0)</f>
        <v>0</v>
      </c>
      <c r="FJ482" s="28" t="n">
        <f aca="false">IF(ISNUMBER(BB482),DF482,0)</f>
        <v>0</v>
      </c>
      <c r="FK482" s="28" t="n">
        <f aca="false">IF(ISNUMBER(BF482),DG482,0)</f>
        <v>0</v>
      </c>
      <c r="FL482" s="28" t="n">
        <f aca="false">IF(ISNUMBER(BJ482),DH482,0)</f>
        <v>0</v>
      </c>
      <c r="FM482" s="28" t="n">
        <f aca="false">IF(ISNUMBER(BN482),DI482,0)</f>
        <v>0</v>
      </c>
      <c r="FN482" s="28" t="n">
        <f aca="false">IF(ISNUMBER(BR482),DJ482,0)</f>
        <v>0</v>
      </c>
      <c r="FO482" s="28" t="str">
        <f aca="false">IFERROR(INDEX(Lists!$G$2:$G$20,MATCH($I482&amp;"|"&amp;$J482,Lists!$F$2:$F$20,0)),"")</f>
        <v/>
      </c>
    </row>
    <row r="483" customFormat="false" ht="19.5" hidden="false" customHeight="true" outlineLevel="0" collapsed="false">
      <c r="A483" s="29"/>
      <c r="B483" s="29"/>
      <c r="C483" s="30"/>
      <c r="D483" s="30"/>
      <c r="E483" s="31"/>
      <c r="F483" s="30"/>
      <c r="G483" s="30"/>
      <c r="H483" s="32"/>
      <c r="I483" s="33"/>
      <c r="J483" s="32"/>
      <c r="K483" s="34" t="str">
        <f aca="false">IF(OR(M483="",$E483=""),"",M483-$E483)</f>
        <v/>
      </c>
      <c r="L483" s="35" t="str">
        <f aca="false">IF(SUM(FA483:FN483)=0,"",SUM(EM483:EZ483)/SUM(FA483:FN483))</f>
        <v/>
      </c>
      <c r="M483" s="36" t="str">
        <f aca="false">IF(OR(L483="",FO483=""),"",IFERROR(MATCH(L483,INDEX(Boundaries!$B$2:$I$30,MATCH(FO483,Boundaries!$A$2:$A$30,0),0),1)-1,""))</f>
        <v/>
      </c>
      <c r="N483" s="37" t="str">
        <f aca="false">IF(COUNT($DY483:$EL483)&lt;2,"",INDEX($DK483:$DX483,MAX($DY483:$EL483))-INDEX($DK483:$DX483,MIN($DY483:$EL483)))</f>
        <v/>
      </c>
      <c r="O483" s="37" t="str">
        <f aca="false">IF(COUNT($DY483:$EL483)&lt;2,"",INDEX($DK483:$DX483,MAX($DY483:$EL483))-INDEX($DK483:$DX483,LARGE($DY483:$EL483,2)))</f>
        <v/>
      </c>
      <c r="P483" s="38" t="str">
        <f aca="false">IF(K483="","",IF(K483&gt;=0,"On/above target",IF(AND(N483&lt;&gt;"",N483&gt;=0.5),"Improving towards target",IF(AND(O483&lt;&gt;"",O483&lt;=-0.5),"Declining","Stable below target"))))</f>
        <v/>
      </c>
      <c r="Q483" s="39"/>
      <c r="R483" s="40" t="str">
        <f aca="false">IF(OR(Q483="",BU483=""),"",Q483/BU483*100)</f>
        <v/>
      </c>
      <c r="S483" s="41" t="str">
        <f aca="false">IF(R483="","",IFERROR(MATCH(R483,INDEX(Boundaries!$B$2:$I$30,MATCH(CI483,Boundaries!$A$2:$A$30,0),0),1)-1,""))</f>
        <v/>
      </c>
      <c r="T483" s="42" t="str">
        <f aca="false">IF(OR(S483="",$E483=""),"",S483-$E483)</f>
        <v/>
      </c>
      <c r="U483" s="39"/>
      <c r="V483" s="40" t="str">
        <f aca="false">IF(OR(U483="",BV483=""),"",U483/BV483*100)</f>
        <v/>
      </c>
      <c r="W483" s="41" t="str">
        <f aca="false">IF(V483="","",IFERROR(MATCH(V483,INDEX(Boundaries!$B$2:$I$30,MATCH(CJ483,Boundaries!$A$2:$A$30,0),0),1)-1,""))</f>
        <v/>
      </c>
      <c r="X483" s="42" t="str">
        <f aca="false">IF(OR(W483="",$E483=""),"",W483-$E483)</f>
        <v/>
      </c>
      <c r="Y483" s="39"/>
      <c r="Z483" s="40" t="str">
        <f aca="false">IF(OR(Y483="",BW483=""),"",Y483/BW483*100)</f>
        <v/>
      </c>
      <c r="AA483" s="41" t="str">
        <f aca="false">IF(Z483="","",IFERROR(MATCH(Z483,INDEX(Boundaries!$B$2:$I$30,MATCH(CK483,Boundaries!$A$2:$A$30,0),0),1)-1,""))</f>
        <v/>
      </c>
      <c r="AB483" s="42" t="str">
        <f aca="false">IF(OR(AA483="",$E483=""),"",AA483-$E483)</f>
        <v/>
      </c>
      <c r="AC483" s="39"/>
      <c r="AD483" s="40" t="str">
        <f aca="false">IF(OR(AC483="",BX483=""),"",AC483/BX483*100)</f>
        <v/>
      </c>
      <c r="AE483" s="41" t="str">
        <f aca="false">IF(AD483="","",IFERROR(MATCH(AD483,INDEX(Boundaries!$B$2:$I$30,MATCH(CL483,Boundaries!$A$2:$A$30,0),0),1)-1,""))</f>
        <v/>
      </c>
      <c r="AF483" s="42" t="str">
        <f aca="false">IF(OR(AE483="",$E483=""),"",AE483-$E483)</f>
        <v/>
      </c>
      <c r="AG483" s="39"/>
      <c r="AH483" s="40" t="str">
        <f aca="false">IF(OR(AG483="",BY483=""),"",AG483/BY483*100)</f>
        <v/>
      </c>
      <c r="AI483" s="41" t="str">
        <f aca="false">IF(AH483="","",IFERROR(MATCH(AH483,INDEX(Boundaries!$B$2:$I$30,MATCH(CM483,Boundaries!$A$2:$A$30,0),0),1)-1,""))</f>
        <v/>
      </c>
      <c r="AJ483" s="42" t="str">
        <f aca="false">IF(OR(AI483="",$E483=""),"",AI483-$E483)</f>
        <v/>
      </c>
      <c r="AK483" s="39"/>
      <c r="AL483" s="40" t="str">
        <f aca="false">IF(OR(AK483="",BZ483=""),"",AK483/BZ483*100)</f>
        <v/>
      </c>
      <c r="AM483" s="41" t="str">
        <f aca="false">IF(AL483="","",IFERROR(MATCH(AL483,INDEX(Boundaries!$B$2:$I$30,MATCH(CN483,Boundaries!$A$2:$A$30,0),0),1)-1,""))</f>
        <v/>
      </c>
      <c r="AN483" s="42" t="str">
        <f aca="false">IF(OR(AM483="",$E483=""),"",AM483-$E483)</f>
        <v/>
      </c>
      <c r="AO483" s="39"/>
      <c r="AP483" s="40" t="str">
        <f aca="false">IF(OR(AO483="",CA483=""),"",AO483/CA483*100)</f>
        <v/>
      </c>
      <c r="AQ483" s="41" t="str">
        <f aca="false">IF(AP483="","",IFERROR(MATCH(AP483,INDEX(Boundaries!$B$2:$I$30,MATCH(CO483,Boundaries!$A$2:$A$30,0),0),1)-1,""))</f>
        <v/>
      </c>
      <c r="AR483" s="42" t="str">
        <f aca="false">IF(OR(AQ483="",$E483=""),"",AQ483-$E483)</f>
        <v/>
      </c>
      <c r="AS483" s="39"/>
      <c r="AT483" s="40" t="str">
        <f aca="false">IF(OR(AS483="",CB483=""),"",AS483/CB483*100)</f>
        <v/>
      </c>
      <c r="AU483" s="41" t="str">
        <f aca="false">IF(AT483="","",IFERROR(MATCH(AT483,INDEX(Boundaries!$B$2:$I$30,MATCH(CP483,Boundaries!$A$2:$A$30,0),0),1)-1,""))</f>
        <v/>
      </c>
      <c r="AV483" s="42" t="str">
        <f aca="false">IF(OR(AU483="",$E483=""),"",AU483-$E483)</f>
        <v/>
      </c>
      <c r="AW483" s="39"/>
      <c r="AX483" s="40" t="str">
        <f aca="false">IF(OR(AW483="",CC483=""),"",AW483/CC483*100)</f>
        <v/>
      </c>
      <c r="AY483" s="41" t="str">
        <f aca="false">IF(AX483="","",IFERROR(MATCH(AX483,INDEX(Boundaries!$B$2:$I$30,MATCH(CQ483,Boundaries!$A$2:$A$30,0),0),1)-1,""))</f>
        <v/>
      </c>
      <c r="AZ483" s="42" t="str">
        <f aca="false">IF(OR(AY483="",$E483=""),"",AY483-$E483)</f>
        <v/>
      </c>
      <c r="BA483" s="39"/>
      <c r="BB483" s="40" t="str">
        <f aca="false">IF(OR(BA483="",CD483=""),"",BA483/CD483*100)</f>
        <v/>
      </c>
      <c r="BC483" s="41" t="str">
        <f aca="false">IF(BB483="","",IFERROR(MATCH(BB483,INDEX(Boundaries!$B$2:$I$30,MATCH(CR483,Boundaries!$A$2:$A$30,0),0),1)-1,""))</f>
        <v/>
      </c>
      <c r="BD483" s="42" t="str">
        <f aca="false">IF(OR(BC483="",$E483=""),"",BC483-$E483)</f>
        <v/>
      </c>
      <c r="BE483" s="39"/>
      <c r="BF483" s="40" t="str">
        <f aca="false">IF(OR(BE483="",CE483=""),"",BE483/CE483*100)</f>
        <v/>
      </c>
      <c r="BG483" s="41" t="str">
        <f aca="false">IF(BF483="","",IFERROR(MATCH(BF483,INDEX(Boundaries!$B$2:$I$30,MATCH(CS483,Boundaries!$A$2:$A$30,0),0),1)-1,""))</f>
        <v/>
      </c>
      <c r="BH483" s="42" t="str">
        <f aca="false">IF(OR(BG483="",$E483=""),"",BG483-$E483)</f>
        <v/>
      </c>
      <c r="BI483" s="39"/>
      <c r="BJ483" s="40" t="str">
        <f aca="false">IF(OR(BI483="",CF483=""),"",BI483/CF483*100)</f>
        <v/>
      </c>
      <c r="BK483" s="41" t="str">
        <f aca="false">IF(BJ483="","",IFERROR(MATCH(BJ483,INDEX(Boundaries!$B$2:$I$30,MATCH(CT483,Boundaries!$A$2:$A$30,0),0),1)-1,""))</f>
        <v/>
      </c>
      <c r="BL483" s="42" t="str">
        <f aca="false">IF(OR(BK483="",$E483=""),"",BK483-$E483)</f>
        <v/>
      </c>
      <c r="BM483" s="39"/>
      <c r="BN483" s="40" t="str">
        <f aca="false">IF(OR(BM483="",CG483=""),"",BM483/CG483*100)</f>
        <v/>
      </c>
      <c r="BO483" s="41" t="str">
        <f aca="false">IF(BN483="","",IFERROR(MATCH(BN483,INDEX(Boundaries!$B$2:$I$30,MATCH(CU483,Boundaries!$A$2:$A$30,0),0),1)-1,""))</f>
        <v/>
      </c>
      <c r="BP483" s="42" t="str">
        <f aca="false">IF(OR(BO483="",$E483=""),"",BO483-$E483)</f>
        <v/>
      </c>
      <c r="BQ483" s="39"/>
      <c r="BR483" s="40" t="str">
        <f aca="false">IF(OR(BQ483="",CH483=""),"",BQ483/CH483*100)</f>
        <v/>
      </c>
      <c r="BS483" s="41" t="str">
        <f aca="false">IF(BR483="","",IFERROR(MATCH(BR483,INDEX(Boundaries!$B$2:$I$30,MATCH(CV483,Boundaries!$A$2:$A$30,0),0),1)-1,""))</f>
        <v/>
      </c>
      <c r="BT483" s="42" t="str">
        <f aca="false">IF(OR(BS483="",$E483=""),"",BS483-$E483)</f>
        <v/>
      </c>
      <c r="BU483" s="28" t="str">
        <f aca="false">IFERROR(INDEX(Assessments!$H$2:$H$600,MATCH($H483&amp;"|"&amp;$I483&amp;"|"&amp;$J483&amp;"|"&amp;1,Assessments!$A$2:$A$600,0)),"")</f>
        <v/>
      </c>
      <c r="BV483" s="28" t="str">
        <f aca="false">IFERROR(INDEX(Assessments!$H$2:$H$600,MATCH($H483&amp;"|"&amp;$I483&amp;"|"&amp;$J483&amp;"|"&amp;2,Assessments!$A$2:$A$600,0)),"")</f>
        <v/>
      </c>
      <c r="BW483" s="28" t="str">
        <f aca="false">IFERROR(INDEX(Assessments!$H$2:$H$600,MATCH($H483&amp;"|"&amp;$I483&amp;"|"&amp;$J483&amp;"|"&amp;3,Assessments!$A$2:$A$600,0)),"")</f>
        <v/>
      </c>
      <c r="BX483" s="28" t="str">
        <f aca="false">IFERROR(INDEX(Assessments!$H$2:$H$600,MATCH($H483&amp;"|"&amp;$I483&amp;"|"&amp;$J483&amp;"|"&amp;4,Assessments!$A$2:$A$600,0)),"")</f>
        <v/>
      </c>
      <c r="BY483" s="28" t="str">
        <f aca="false">IFERROR(INDEX(Assessments!$H$2:$H$600,MATCH($H483&amp;"|"&amp;$I483&amp;"|"&amp;$J483&amp;"|"&amp;5,Assessments!$A$2:$A$600,0)),"")</f>
        <v/>
      </c>
      <c r="BZ483" s="28" t="str">
        <f aca="false">IFERROR(INDEX(Assessments!$H$2:$H$600,MATCH($H483&amp;"|"&amp;$I483&amp;"|"&amp;$J483&amp;"|"&amp;6,Assessments!$A$2:$A$600,0)),"")</f>
        <v/>
      </c>
      <c r="CA483" s="28" t="str">
        <f aca="false">IFERROR(INDEX(Assessments!$H$2:$H$600,MATCH($H483&amp;"|"&amp;$I483&amp;"|"&amp;$J483&amp;"|"&amp;7,Assessments!$A$2:$A$600,0)),"")</f>
        <v/>
      </c>
      <c r="CB483" s="28" t="str">
        <f aca="false">IFERROR(INDEX(Assessments!$H$2:$H$600,MATCH($H483&amp;"|"&amp;$I483&amp;"|"&amp;$J483&amp;"|"&amp;8,Assessments!$A$2:$A$600,0)),"")</f>
        <v/>
      </c>
      <c r="CC483" s="28" t="str">
        <f aca="false">IFERROR(INDEX(Assessments!$H$2:$H$600,MATCH($H483&amp;"|"&amp;$I483&amp;"|"&amp;$J483&amp;"|"&amp;9,Assessments!$A$2:$A$600,0)),"")</f>
        <v/>
      </c>
      <c r="CD483" s="28" t="str">
        <f aca="false">IFERROR(INDEX(Assessments!$H$2:$H$600,MATCH($H483&amp;"|"&amp;$I483&amp;"|"&amp;$J483&amp;"|"&amp;10,Assessments!$A$2:$A$600,0)),"")</f>
        <v/>
      </c>
      <c r="CE483" s="28" t="str">
        <f aca="false">IFERROR(INDEX(Assessments!$H$2:$H$600,MATCH($H483&amp;"|"&amp;$I483&amp;"|"&amp;$J483&amp;"|"&amp;11,Assessments!$A$2:$A$600,0)),"")</f>
        <v/>
      </c>
      <c r="CF483" s="28" t="str">
        <f aca="false">IFERROR(INDEX(Assessments!$H$2:$H$600,MATCH($H483&amp;"|"&amp;$I483&amp;"|"&amp;$J483&amp;"|"&amp;12,Assessments!$A$2:$A$600,0)),"")</f>
        <v/>
      </c>
      <c r="CG483" s="28" t="str">
        <f aca="false">IFERROR(INDEX(Assessments!$H$2:$H$600,MATCH($H483&amp;"|"&amp;$I483&amp;"|"&amp;$J483&amp;"|"&amp;13,Assessments!$A$2:$A$600,0)),"")</f>
        <v/>
      </c>
      <c r="CH483" s="28" t="str">
        <f aca="false">IFERROR(INDEX(Assessments!$H$2:$H$600,MATCH($H483&amp;"|"&amp;$I483&amp;"|"&amp;$J483&amp;"|"&amp;14,Assessments!$A$2:$A$600,0)),"")</f>
        <v/>
      </c>
      <c r="CI483" s="28" t="str">
        <f aca="false">IFERROR(INDEX(Assessments!$I$2:$I$600,MATCH($H483&amp;"|"&amp;$I483&amp;"|"&amp;$J483&amp;"|"&amp;1,Assessments!$A$2:$A$600,0)),"")</f>
        <v/>
      </c>
      <c r="CJ483" s="28" t="str">
        <f aca="false">IFERROR(INDEX(Assessments!$I$2:$I$600,MATCH($H483&amp;"|"&amp;$I483&amp;"|"&amp;$J483&amp;"|"&amp;2,Assessments!$A$2:$A$600,0)),"")</f>
        <v/>
      </c>
      <c r="CK483" s="28" t="str">
        <f aca="false">IFERROR(INDEX(Assessments!$I$2:$I$600,MATCH($H483&amp;"|"&amp;$I483&amp;"|"&amp;$J483&amp;"|"&amp;3,Assessments!$A$2:$A$600,0)),"")</f>
        <v/>
      </c>
      <c r="CL483" s="28" t="str">
        <f aca="false">IFERROR(INDEX(Assessments!$I$2:$I$600,MATCH($H483&amp;"|"&amp;$I483&amp;"|"&amp;$J483&amp;"|"&amp;4,Assessments!$A$2:$A$600,0)),"")</f>
        <v/>
      </c>
      <c r="CM483" s="28" t="str">
        <f aca="false">IFERROR(INDEX(Assessments!$I$2:$I$600,MATCH($H483&amp;"|"&amp;$I483&amp;"|"&amp;$J483&amp;"|"&amp;5,Assessments!$A$2:$A$600,0)),"")</f>
        <v/>
      </c>
      <c r="CN483" s="28" t="str">
        <f aca="false">IFERROR(INDEX(Assessments!$I$2:$I$600,MATCH($H483&amp;"|"&amp;$I483&amp;"|"&amp;$J483&amp;"|"&amp;6,Assessments!$A$2:$A$600,0)),"")</f>
        <v/>
      </c>
      <c r="CO483" s="28" t="str">
        <f aca="false">IFERROR(INDEX(Assessments!$I$2:$I$600,MATCH($H483&amp;"|"&amp;$I483&amp;"|"&amp;$J483&amp;"|"&amp;7,Assessments!$A$2:$A$600,0)),"")</f>
        <v/>
      </c>
      <c r="CP483" s="28" t="str">
        <f aca="false">IFERROR(INDEX(Assessments!$I$2:$I$600,MATCH($H483&amp;"|"&amp;$I483&amp;"|"&amp;$J483&amp;"|"&amp;8,Assessments!$A$2:$A$600,0)),"")</f>
        <v/>
      </c>
      <c r="CQ483" s="28" t="str">
        <f aca="false">IFERROR(INDEX(Assessments!$I$2:$I$600,MATCH($H483&amp;"|"&amp;$I483&amp;"|"&amp;$J483&amp;"|"&amp;9,Assessments!$A$2:$A$600,0)),"")</f>
        <v/>
      </c>
      <c r="CR483" s="28" t="str">
        <f aca="false">IFERROR(INDEX(Assessments!$I$2:$I$600,MATCH($H483&amp;"|"&amp;$I483&amp;"|"&amp;$J483&amp;"|"&amp;10,Assessments!$A$2:$A$600,0)),"")</f>
        <v/>
      </c>
      <c r="CS483" s="28" t="str">
        <f aca="false">IFERROR(INDEX(Assessments!$I$2:$I$600,MATCH($H483&amp;"|"&amp;$I483&amp;"|"&amp;$J483&amp;"|"&amp;11,Assessments!$A$2:$A$600,0)),"")</f>
        <v/>
      </c>
      <c r="CT483" s="28" t="str">
        <f aca="false">IFERROR(INDEX(Assessments!$I$2:$I$600,MATCH($H483&amp;"|"&amp;$I483&amp;"|"&amp;$J483&amp;"|"&amp;12,Assessments!$A$2:$A$600,0)),"")</f>
        <v/>
      </c>
      <c r="CU483" s="28" t="str">
        <f aca="false">IFERROR(INDEX(Assessments!$I$2:$I$600,MATCH($H483&amp;"|"&amp;$I483&amp;"|"&amp;$J483&amp;"|"&amp;13,Assessments!$A$2:$A$600,0)),"")</f>
        <v/>
      </c>
      <c r="CV483" s="28" t="str">
        <f aca="false">IFERROR(INDEX(Assessments!$I$2:$I$600,MATCH($H483&amp;"|"&amp;$I483&amp;"|"&amp;$J483&amp;"|"&amp;14,Assessments!$A$2:$A$600,0)),"")</f>
        <v/>
      </c>
      <c r="CW483" s="28" t="n">
        <f aca="false">IFERROR(INDEX(Assessments!$J$2:$J$600,MATCH($H483&amp;"|"&amp;$I483&amp;"|"&amp;$J483&amp;"|"&amp;1,Assessments!$A$2:$A$600,0)),0)</f>
        <v>0</v>
      </c>
      <c r="CX483" s="28" t="n">
        <f aca="false">IFERROR(INDEX(Assessments!$J$2:$J$600,MATCH($H483&amp;"|"&amp;$I483&amp;"|"&amp;$J483&amp;"|"&amp;2,Assessments!$A$2:$A$600,0)),0)</f>
        <v>0</v>
      </c>
      <c r="CY483" s="28" t="n">
        <f aca="false">IFERROR(INDEX(Assessments!$J$2:$J$600,MATCH($H483&amp;"|"&amp;$I483&amp;"|"&amp;$J483&amp;"|"&amp;3,Assessments!$A$2:$A$600,0)),0)</f>
        <v>0</v>
      </c>
      <c r="CZ483" s="28" t="n">
        <f aca="false">IFERROR(INDEX(Assessments!$J$2:$J$600,MATCH($H483&amp;"|"&amp;$I483&amp;"|"&amp;$J483&amp;"|"&amp;4,Assessments!$A$2:$A$600,0)),0)</f>
        <v>0</v>
      </c>
      <c r="DA483" s="28" t="n">
        <f aca="false">IFERROR(INDEX(Assessments!$J$2:$J$600,MATCH($H483&amp;"|"&amp;$I483&amp;"|"&amp;$J483&amp;"|"&amp;5,Assessments!$A$2:$A$600,0)),0)</f>
        <v>0</v>
      </c>
      <c r="DB483" s="28" t="n">
        <f aca="false">IFERROR(INDEX(Assessments!$J$2:$J$600,MATCH($H483&amp;"|"&amp;$I483&amp;"|"&amp;$J483&amp;"|"&amp;6,Assessments!$A$2:$A$600,0)),0)</f>
        <v>0</v>
      </c>
      <c r="DC483" s="28" t="n">
        <f aca="false">IFERROR(INDEX(Assessments!$J$2:$J$600,MATCH($H483&amp;"|"&amp;$I483&amp;"|"&amp;$J483&amp;"|"&amp;7,Assessments!$A$2:$A$600,0)),0)</f>
        <v>0</v>
      </c>
      <c r="DD483" s="28" t="n">
        <f aca="false">IFERROR(INDEX(Assessments!$J$2:$J$600,MATCH($H483&amp;"|"&amp;$I483&amp;"|"&amp;$J483&amp;"|"&amp;8,Assessments!$A$2:$A$600,0)),0)</f>
        <v>0</v>
      </c>
      <c r="DE483" s="28" t="n">
        <f aca="false">IFERROR(INDEX(Assessments!$J$2:$J$600,MATCH($H483&amp;"|"&amp;$I483&amp;"|"&amp;$J483&amp;"|"&amp;9,Assessments!$A$2:$A$600,0)),0)</f>
        <v>0</v>
      </c>
      <c r="DF483" s="28" t="n">
        <f aca="false">IFERROR(INDEX(Assessments!$J$2:$J$600,MATCH($H483&amp;"|"&amp;$I483&amp;"|"&amp;$J483&amp;"|"&amp;10,Assessments!$A$2:$A$600,0)),0)</f>
        <v>0</v>
      </c>
      <c r="DG483" s="28" t="n">
        <f aca="false">IFERROR(INDEX(Assessments!$J$2:$J$600,MATCH($H483&amp;"|"&amp;$I483&amp;"|"&amp;$J483&amp;"|"&amp;11,Assessments!$A$2:$A$600,0)),0)</f>
        <v>0</v>
      </c>
      <c r="DH483" s="28" t="n">
        <f aca="false">IFERROR(INDEX(Assessments!$J$2:$J$600,MATCH($H483&amp;"|"&amp;$I483&amp;"|"&amp;$J483&amp;"|"&amp;12,Assessments!$A$2:$A$600,0)),0)</f>
        <v>0</v>
      </c>
      <c r="DI483" s="28" t="n">
        <f aca="false">IFERROR(INDEX(Assessments!$J$2:$J$600,MATCH($H483&amp;"|"&amp;$I483&amp;"|"&amp;$J483&amp;"|"&amp;13,Assessments!$A$2:$A$600,0)),0)</f>
        <v>0</v>
      </c>
      <c r="DJ483" s="28" t="n">
        <f aca="false">IFERROR(INDEX(Assessments!$J$2:$J$600,MATCH($H483&amp;"|"&amp;$I483&amp;"|"&amp;$J483&amp;"|"&amp;14,Assessments!$A$2:$A$600,0)),0)</f>
        <v>0</v>
      </c>
      <c r="DK483" s="28" t="str">
        <f aca="false">S483</f>
        <v/>
      </c>
      <c r="DL483" s="28" t="str">
        <f aca="false">W483</f>
        <v/>
      </c>
      <c r="DM483" s="28" t="str">
        <f aca="false">AA483</f>
        <v/>
      </c>
      <c r="DN483" s="28" t="str">
        <f aca="false">AE483</f>
        <v/>
      </c>
      <c r="DO483" s="28" t="str">
        <f aca="false">AI483</f>
        <v/>
      </c>
      <c r="DP483" s="28" t="str">
        <f aca="false">AM483</f>
        <v/>
      </c>
      <c r="DQ483" s="28" t="str">
        <f aca="false">AQ483</f>
        <v/>
      </c>
      <c r="DR483" s="28" t="str">
        <f aca="false">AU483</f>
        <v/>
      </c>
      <c r="DS483" s="28" t="str">
        <f aca="false">AY483</f>
        <v/>
      </c>
      <c r="DT483" s="28" t="str">
        <f aca="false">BC483</f>
        <v/>
      </c>
      <c r="DU483" s="28" t="str">
        <f aca="false">BG483</f>
        <v/>
      </c>
      <c r="DV483" s="28" t="str">
        <f aca="false">BK483</f>
        <v/>
      </c>
      <c r="DW483" s="28" t="str">
        <f aca="false">BO483</f>
        <v/>
      </c>
      <c r="DX483" s="28" t="str">
        <f aca="false">BS483</f>
        <v/>
      </c>
      <c r="DY483" s="28" t="str">
        <f aca="false">IF(ISNUMBER(S483),1,"")</f>
        <v/>
      </c>
      <c r="DZ483" s="28" t="str">
        <f aca="false">IF(ISNUMBER(W483),2,"")</f>
        <v/>
      </c>
      <c r="EA483" s="28" t="str">
        <f aca="false">IF(ISNUMBER(AA483),3,"")</f>
        <v/>
      </c>
      <c r="EB483" s="28" t="str">
        <f aca="false">IF(ISNUMBER(AE483),4,"")</f>
        <v/>
      </c>
      <c r="EC483" s="28" t="str">
        <f aca="false">IF(ISNUMBER(AI483),5,"")</f>
        <v/>
      </c>
      <c r="ED483" s="28" t="str">
        <f aca="false">IF(ISNUMBER(AM483),6,"")</f>
        <v/>
      </c>
      <c r="EE483" s="28" t="str">
        <f aca="false">IF(ISNUMBER(AQ483),7,"")</f>
        <v/>
      </c>
      <c r="EF483" s="28" t="str">
        <f aca="false">IF(ISNUMBER(AU483),8,"")</f>
        <v/>
      </c>
      <c r="EG483" s="28" t="str">
        <f aca="false">IF(ISNUMBER(AY483),9,"")</f>
        <v/>
      </c>
      <c r="EH483" s="28" t="str">
        <f aca="false">IF(ISNUMBER(BC483),10,"")</f>
        <v/>
      </c>
      <c r="EI483" s="28" t="str">
        <f aca="false">IF(ISNUMBER(BG483),11,"")</f>
        <v/>
      </c>
      <c r="EJ483" s="28" t="str">
        <f aca="false">IF(ISNUMBER(BK483),12,"")</f>
        <v/>
      </c>
      <c r="EK483" s="28" t="str">
        <f aca="false">IF(ISNUMBER(BO483),13,"")</f>
        <v/>
      </c>
      <c r="EL483" s="28" t="str">
        <f aca="false">IF(ISNUMBER(BS483),14,"")</f>
        <v/>
      </c>
      <c r="EM483" s="28" t="n">
        <f aca="false">IF(ISNUMBER(R483),R483*CW483,0)</f>
        <v>0</v>
      </c>
      <c r="EN483" s="28" t="n">
        <f aca="false">IF(ISNUMBER(V483),V483*CX483,0)</f>
        <v>0</v>
      </c>
      <c r="EO483" s="28" t="n">
        <f aca="false">IF(ISNUMBER(Z483),Z483*CY483,0)</f>
        <v>0</v>
      </c>
      <c r="EP483" s="28" t="n">
        <f aca="false">IF(ISNUMBER(AD483),AD483*CZ483,0)</f>
        <v>0</v>
      </c>
      <c r="EQ483" s="28" t="n">
        <f aca="false">IF(ISNUMBER(AH483),AH483*DA483,0)</f>
        <v>0</v>
      </c>
      <c r="ER483" s="28" t="n">
        <f aca="false">IF(ISNUMBER(AL483),AL483*DB483,0)</f>
        <v>0</v>
      </c>
      <c r="ES483" s="28" t="n">
        <f aca="false">IF(ISNUMBER(AP483),AP483*DC483,0)</f>
        <v>0</v>
      </c>
      <c r="ET483" s="28" t="n">
        <f aca="false">IF(ISNUMBER(AT483),AT483*DD483,0)</f>
        <v>0</v>
      </c>
      <c r="EU483" s="28" t="n">
        <f aca="false">IF(ISNUMBER(AX483),AX483*DE483,0)</f>
        <v>0</v>
      </c>
      <c r="EV483" s="28" t="n">
        <f aca="false">IF(ISNUMBER(BB483),BB483*DF483,0)</f>
        <v>0</v>
      </c>
      <c r="EW483" s="28" t="n">
        <f aca="false">IF(ISNUMBER(BF483),BF483*DG483,0)</f>
        <v>0</v>
      </c>
      <c r="EX483" s="28" t="n">
        <f aca="false">IF(ISNUMBER(BJ483),BJ483*DH483,0)</f>
        <v>0</v>
      </c>
      <c r="EY483" s="28" t="n">
        <f aca="false">IF(ISNUMBER(BN483),BN483*DI483,0)</f>
        <v>0</v>
      </c>
      <c r="EZ483" s="28" t="n">
        <f aca="false">IF(ISNUMBER(BR483),BR483*DJ483,0)</f>
        <v>0</v>
      </c>
      <c r="FA483" s="28" t="n">
        <f aca="false">IF(ISNUMBER(R483),CW483,0)</f>
        <v>0</v>
      </c>
      <c r="FB483" s="28" t="n">
        <f aca="false">IF(ISNUMBER(V483),CX483,0)</f>
        <v>0</v>
      </c>
      <c r="FC483" s="28" t="n">
        <f aca="false">IF(ISNUMBER(Z483),CY483,0)</f>
        <v>0</v>
      </c>
      <c r="FD483" s="28" t="n">
        <f aca="false">IF(ISNUMBER(AD483),CZ483,0)</f>
        <v>0</v>
      </c>
      <c r="FE483" s="28" t="n">
        <f aca="false">IF(ISNUMBER(AH483),DA483,0)</f>
        <v>0</v>
      </c>
      <c r="FF483" s="28" t="n">
        <f aca="false">IF(ISNUMBER(AL483),DB483,0)</f>
        <v>0</v>
      </c>
      <c r="FG483" s="28" t="n">
        <f aca="false">IF(ISNUMBER(AP483),DC483,0)</f>
        <v>0</v>
      </c>
      <c r="FH483" s="28" t="n">
        <f aca="false">IF(ISNUMBER(AT483),DD483,0)</f>
        <v>0</v>
      </c>
      <c r="FI483" s="28" t="n">
        <f aca="false">IF(ISNUMBER(AX483),DE483,0)</f>
        <v>0</v>
      </c>
      <c r="FJ483" s="28" t="n">
        <f aca="false">IF(ISNUMBER(BB483),DF483,0)</f>
        <v>0</v>
      </c>
      <c r="FK483" s="28" t="n">
        <f aca="false">IF(ISNUMBER(BF483),DG483,0)</f>
        <v>0</v>
      </c>
      <c r="FL483" s="28" t="n">
        <f aca="false">IF(ISNUMBER(BJ483),DH483,0)</f>
        <v>0</v>
      </c>
      <c r="FM483" s="28" t="n">
        <f aca="false">IF(ISNUMBER(BN483),DI483,0)</f>
        <v>0</v>
      </c>
      <c r="FN483" s="28" t="n">
        <f aca="false">IF(ISNUMBER(BR483),DJ483,0)</f>
        <v>0</v>
      </c>
      <c r="FO483" s="28" t="str">
        <f aca="false">IFERROR(INDEX(Lists!$G$2:$G$20,MATCH($I483&amp;"|"&amp;$J483,Lists!$F$2:$F$20,0)),"")</f>
        <v/>
      </c>
    </row>
    <row r="484" customFormat="false" ht="19.5" hidden="false" customHeight="true" outlineLevel="0" collapsed="false">
      <c r="A484" s="29"/>
      <c r="B484" s="29"/>
      <c r="C484" s="30"/>
      <c r="D484" s="30"/>
      <c r="E484" s="31"/>
      <c r="F484" s="30"/>
      <c r="G484" s="30"/>
      <c r="H484" s="32"/>
      <c r="I484" s="33"/>
      <c r="J484" s="32"/>
      <c r="K484" s="34" t="str">
        <f aca="false">IF(OR(M484="",$E484=""),"",M484-$E484)</f>
        <v/>
      </c>
      <c r="L484" s="35" t="str">
        <f aca="false">IF(SUM(FA484:FN484)=0,"",SUM(EM484:EZ484)/SUM(FA484:FN484))</f>
        <v/>
      </c>
      <c r="M484" s="36" t="str">
        <f aca="false">IF(OR(L484="",FO484=""),"",IFERROR(MATCH(L484,INDEX(Boundaries!$B$2:$I$30,MATCH(FO484,Boundaries!$A$2:$A$30,0),0),1)-1,""))</f>
        <v/>
      </c>
      <c r="N484" s="37" t="str">
        <f aca="false">IF(COUNT($DY484:$EL484)&lt;2,"",INDEX($DK484:$DX484,MAX($DY484:$EL484))-INDEX($DK484:$DX484,MIN($DY484:$EL484)))</f>
        <v/>
      </c>
      <c r="O484" s="37" t="str">
        <f aca="false">IF(COUNT($DY484:$EL484)&lt;2,"",INDEX($DK484:$DX484,MAX($DY484:$EL484))-INDEX($DK484:$DX484,LARGE($DY484:$EL484,2)))</f>
        <v/>
      </c>
      <c r="P484" s="38" t="str">
        <f aca="false">IF(K484="","",IF(K484&gt;=0,"On/above target",IF(AND(N484&lt;&gt;"",N484&gt;=0.5),"Improving towards target",IF(AND(O484&lt;&gt;"",O484&lt;=-0.5),"Declining","Stable below target"))))</f>
        <v/>
      </c>
      <c r="Q484" s="39"/>
      <c r="R484" s="40" t="str">
        <f aca="false">IF(OR(Q484="",BU484=""),"",Q484/BU484*100)</f>
        <v/>
      </c>
      <c r="S484" s="41" t="str">
        <f aca="false">IF(R484="","",IFERROR(MATCH(R484,INDEX(Boundaries!$B$2:$I$30,MATCH(CI484,Boundaries!$A$2:$A$30,0),0),1)-1,""))</f>
        <v/>
      </c>
      <c r="T484" s="42" t="str">
        <f aca="false">IF(OR(S484="",$E484=""),"",S484-$E484)</f>
        <v/>
      </c>
      <c r="U484" s="39"/>
      <c r="V484" s="40" t="str">
        <f aca="false">IF(OR(U484="",BV484=""),"",U484/BV484*100)</f>
        <v/>
      </c>
      <c r="W484" s="41" t="str">
        <f aca="false">IF(V484="","",IFERROR(MATCH(V484,INDEX(Boundaries!$B$2:$I$30,MATCH(CJ484,Boundaries!$A$2:$A$30,0),0),1)-1,""))</f>
        <v/>
      </c>
      <c r="X484" s="42" t="str">
        <f aca="false">IF(OR(W484="",$E484=""),"",W484-$E484)</f>
        <v/>
      </c>
      <c r="Y484" s="39"/>
      <c r="Z484" s="40" t="str">
        <f aca="false">IF(OR(Y484="",BW484=""),"",Y484/BW484*100)</f>
        <v/>
      </c>
      <c r="AA484" s="41" t="str">
        <f aca="false">IF(Z484="","",IFERROR(MATCH(Z484,INDEX(Boundaries!$B$2:$I$30,MATCH(CK484,Boundaries!$A$2:$A$30,0),0),1)-1,""))</f>
        <v/>
      </c>
      <c r="AB484" s="42" t="str">
        <f aca="false">IF(OR(AA484="",$E484=""),"",AA484-$E484)</f>
        <v/>
      </c>
      <c r="AC484" s="39"/>
      <c r="AD484" s="40" t="str">
        <f aca="false">IF(OR(AC484="",BX484=""),"",AC484/BX484*100)</f>
        <v/>
      </c>
      <c r="AE484" s="41" t="str">
        <f aca="false">IF(AD484="","",IFERROR(MATCH(AD484,INDEX(Boundaries!$B$2:$I$30,MATCH(CL484,Boundaries!$A$2:$A$30,0),0),1)-1,""))</f>
        <v/>
      </c>
      <c r="AF484" s="42" t="str">
        <f aca="false">IF(OR(AE484="",$E484=""),"",AE484-$E484)</f>
        <v/>
      </c>
      <c r="AG484" s="39"/>
      <c r="AH484" s="40" t="str">
        <f aca="false">IF(OR(AG484="",BY484=""),"",AG484/BY484*100)</f>
        <v/>
      </c>
      <c r="AI484" s="41" t="str">
        <f aca="false">IF(AH484="","",IFERROR(MATCH(AH484,INDEX(Boundaries!$B$2:$I$30,MATCH(CM484,Boundaries!$A$2:$A$30,0),0),1)-1,""))</f>
        <v/>
      </c>
      <c r="AJ484" s="42" t="str">
        <f aca="false">IF(OR(AI484="",$E484=""),"",AI484-$E484)</f>
        <v/>
      </c>
      <c r="AK484" s="39"/>
      <c r="AL484" s="40" t="str">
        <f aca="false">IF(OR(AK484="",BZ484=""),"",AK484/BZ484*100)</f>
        <v/>
      </c>
      <c r="AM484" s="41" t="str">
        <f aca="false">IF(AL484="","",IFERROR(MATCH(AL484,INDEX(Boundaries!$B$2:$I$30,MATCH(CN484,Boundaries!$A$2:$A$30,0),0),1)-1,""))</f>
        <v/>
      </c>
      <c r="AN484" s="42" t="str">
        <f aca="false">IF(OR(AM484="",$E484=""),"",AM484-$E484)</f>
        <v/>
      </c>
      <c r="AO484" s="39"/>
      <c r="AP484" s="40" t="str">
        <f aca="false">IF(OR(AO484="",CA484=""),"",AO484/CA484*100)</f>
        <v/>
      </c>
      <c r="AQ484" s="41" t="str">
        <f aca="false">IF(AP484="","",IFERROR(MATCH(AP484,INDEX(Boundaries!$B$2:$I$30,MATCH(CO484,Boundaries!$A$2:$A$30,0),0),1)-1,""))</f>
        <v/>
      </c>
      <c r="AR484" s="42" t="str">
        <f aca="false">IF(OR(AQ484="",$E484=""),"",AQ484-$E484)</f>
        <v/>
      </c>
      <c r="AS484" s="39"/>
      <c r="AT484" s="40" t="str">
        <f aca="false">IF(OR(AS484="",CB484=""),"",AS484/CB484*100)</f>
        <v/>
      </c>
      <c r="AU484" s="41" t="str">
        <f aca="false">IF(AT484="","",IFERROR(MATCH(AT484,INDEX(Boundaries!$B$2:$I$30,MATCH(CP484,Boundaries!$A$2:$A$30,0),0),1)-1,""))</f>
        <v/>
      </c>
      <c r="AV484" s="42" t="str">
        <f aca="false">IF(OR(AU484="",$E484=""),"",AU484-$E484)</f>
        <v/>
      </c>
      <c r="AW484" s="39"/>
      <c r="AX484" s="40" t="str">
        <f aca="false">IF(OR(AW484="",CC484=""),"",AW484/CC484*100)</f>
        <v/>
      </c>
      <c r="AY484" s="41" t="str">
        <f aca="false">IF(AX484="","",IFERROR(MATCH(AX484,INDEX(Boundaries!$B$2:$I$30,MATCH(CQ484,Boundaries!$A$2:$A$30,0),0),1)-1,""))</f>
        <v/>
      </c>
      <c r="AZ484" s="42" t="str">
        <f aca="false">IF(OR(AY484="",$E484=""),"",AY484-$E484)</f>
        <v/>
      </c>
      <c r="BA484" s="39"/>
      <c r="BB484" s="40" t="str">
        <f aca="false">IF(OR(BA484="",CD484=""),"",BA484/CD484*100)</f>
        <v/>
      </c>
      <c r="BC484" s="41" t="str">
        <f aca="false">IF(BB484="","",IFERROR(MATCH(BB484,INDEX(Boundaries!$B$2:$I$30,MATCH(CR484,Boundaries!$A$2:$A$30,0),0),1)-1,""))</f>
        <v/>
      </c>
      <c r="BD484" s="42" t="str">
        <f aca="false">IF(OR(BC484="",$E484=""),"",BC484-$E484)</f>
        <v/>
      </c>
      <c r="BE484" s="39"/>
      <c r="BF484" s="40" t="str">
        <f aca="false">IF(OR(BE484="",CE484=""),"",BE484/CE484*100)</f>
        <v/>
      </c>
      <c r="BG484" s="41" t="str">
        <f aca="false">IF(BF484="","",IFERROR(MATCH(BF484,INDEX(Boundaries!$B$2:$I$30,MATCH(CS484,Boundaries!$A$2:$A$30,0),0),1)-1,""))</f>
        <v/>
      </c>
      <c r="BH484" s="42" t="str">
        <f aca="false">IF(OR(BG484="",$E484=""),"",BG484-$E484)</f>
        <v/>
      </c>
      <c r="BI484" s="39"/>
      <c r="BJ484" s="40" t="str">
        <f aca="false">IF(OR(BI484="",CF484=""),"",BI484/CF484*100)</f>
        <v/>
      </c>
      <c r="BK484" s="41" t="str">
        <f aca="false">IF(BJ484="","",IFERROR(MATCH(BJ484,INDEX(Boundaries!$B$2:$I$30,MATCH(CT484,Boundaries!$A$2:$A$30,0),0),1)-1,""))</f>
        <v/>
      </c>
      <c r="BL484" s="42" t="str">
        <f aca="false">IF(OR(BK484="",$E484=""),"",BK484-$E484)</f>
        <v/>
      </c>
      <c r="BM484" s="39"/>
      <c r="BN484" s="40" t="str">
        <f aca="false">IF(OR(BM484="",CG484=""),"",BM484/CG484*100)</f>
        <v/>
      </c>
      <c r="BO484" s="41" t="str">
        <f aca="false">IF(BN484="","",IFERROR(MATCH(BN484,INDEX(Boundaries!$B$2:$I$30,MATCH(CU484,Boundaries!$A$2:$A$30,0),0),1)-1,""))</f>
        <v/>
      </c>
      <c r="BP484" s="42" t="str">
        <f aca="false">IF(OR(BO484="",$E484=""),"",BO484-$E484)</f>
        <v/>
      </c>
      <c r="BQ484" s="39"/>
      <c r="BR484" s="40" t="str">
        <f aca="false">IF(OR(BQ484="",CH484=""),"",BQ484/CH484*100)</f>
        <v/>
      </c>
      <c r="BS484" s="41" t="str">
        <f aca="false">IF(BR484="","",IFERROR(MATCH(BR484,INDEX(Boundaries!$B$2:$I$30,MATCH(CV484,Boundaries!$A$2:$A$30,0),0),1)-1,""))</f>
        <v/>
      </c>
      <c r="BT484" s="42" t="str">
        <f aca="false">IF(OR(BS484="",$E484=""),"",BS484-$E484)</f>
        <v/>
      </c>
      <c r="BU484" s="28" t="str">
        <f aca="false">IFERROR(INDEX(Assessments!$H$2:$H$600,MATCH($H484&amp;"|"&amp;$I484&amp;"|"&amp;$J484&amp;"|"&amp;1,Assessments!$A$2:$A$600,0)),"")</f>
        <v/>
      </c>
      <c r="BV484" s="28" t="str">
        <f aca="false">IFERROR(INDEX(Assessments!$H$2:$H$600,MATCH($H484&amp;"|"&amp;$I484&amp;"|"&amp;$J484&amp;"|"&amp;2,Assessments!$A$2:$A$600,0)),"")</f>
        <v/>
      </c>
      <c r="BW484" s="28" t="str">
        <f aca="false">IFERROR(INDEX(Assessments!$H$2:$H$600,MATCH($H484&amp;"|"&amp;$I484&amp;"|"&amp;$J484&amp;"|"&amp;3,Assessments!$A$2:$A$600,0)),"")</f>
        <v/>
      </c>
      <c r="BX484" s="28" t="str">
        <f aca="false">IFERROR(INDEX(Assessments!$H$2:$H$600,MATCH($H484&amp;"|"&amp;$I484&amp;"|"&amp;$J484&amp;"|"&amp;4,Assessments!$A$2:$A$600,0)),"")</f>
        <v/>
      </c>
      <c r="BY484" s="28" t="str">
        <f aca="false">IFERROR(INDEX(Assessments!$H$2:$H$600,MATCH($H484&amp;"|"&amp;$I484&amp;"|"&amp;$J484&amp;"|"&amp;5,Assessments!$A$2:$A$600,0)),"")</f>
        <v/>
      </c>
      <c r="BZ484" s="28" t="str">
        <f aca="false">IFERROR(INDEX(Assessments!$H$2:$H$600,MATCH($H484&amp;"|"&amp;$I484&amp;"|"&amp;$J484&amp;"|"&amp;6,Assessments!$A$2:$A$600,0)),"")</f>
        <v/>
      </c>
      <c r="CA484" s="28" t="str">
        <f aca="false">IFERROR(INDEX(Assessments!$H$2:$H$600,MATCH($H484&amp;"|"&amp;$I484&amp;"|"&amp;$J484&amp;"|"&amp;7,Assessments!$A$2:$A$600,0)),"")</f>
        <v/>
      </c>
      <c r="CB484" s="28" t="str">
        <f aca="false">IFERROR(INDEX(Assessments!$H$2:$H$600,MATCH($H484&amp;"|"&amp;$I484&amp;"|"&amp;$J484&amp;"|"&amp;8,Assessments!$A$2:$A$600,0)),"")</f>
        <v/>
      </c>
      <c r="CC484" s="28" t="str">
        <f aca="false">IFERROR(INDEX(Assessments!$H$2:$H$600,MATCH($H484&amp;"|"&amp;$I484&amp;"|"&amp;$J484&amp;"|"&amp;9,Assessments!$A$2:$A$600,0)),"")</f>
        <v/>
      </c>
      <c r="CD484" s="28" t="str">
        <f aca="false">IFERROR(INDEX(Assessments!$H$2:$H$600,MATCH($H484&amp;"|"&amp;$I484&amp;"|"&amp;$J484&amp;"|"&amp;10,Assessments!$A$2:$A$600,0)),"")</f>
        <v/>
      </c>
      <c r="CE484" s="28" t="str">
        <f aca="false">IFERROR(INDEX(Assessments!$H$2:$H$600,MATCH($H484&amp;"|"&amp;$I484&amp;"|"&amp;$J484&amp;"|"&amp;11,Assessments!$A$2:$A$600,0)),"")</f>
        <v/>
      </c>
      <c r="CF484" s="28" t="str">
        <f aca="false">IFERROR(INDEX(Assessments!$H$2:$H$600,MATCH($H484&amp;"|"&amp;$I484&amp;"|"&amp;$J484&amp;"|"&amp;12,Assessments!$A$2:$A$600,0)),"")</f>
        <v/>
      </c>
      <c r="CG484" s="28" t="str">
        <f aca="false">IFERROR(INDEX(Assessments!$H$2:$H$600,MATCH($H484&amp;"|"&amp;$I484&amp;"|"&amp;$J484&amp;"|"&amp;13,Assessments!$A$2:$A$600,0)),"")</f>
        <v/>
      </c>
      <c r="CH484" s="28" t="str">
        <f aca="false">IFERROR(INDEX(Assessments!$H$2:$H$600,MATCH($H484&amp;"|"&amp;$I484&amp;"|"&amp;$J484&amp;"|"&amp;14,Assessments!$A$2:$A$600,0)),"")</f>
        <v/>
      </c>
      <c r="CI484" s="28" t="str">
        <f aca="false">IFERROR(INDEX(Assessments!$I$2:$I$600,MATCH($H484&amp;"|"&amp;$I484&amp;"|"&amp;$J484&amp;"|"&amp;1,Assessments!$A$2:$A$600,0)),"")</f>
        <v/>
      </c>
      <c r="CJ484" s="28" t="str">
        <f aca="false">IFERROR(INDEX(Assessments!$I$2:$I$600,MATCH($H484&amp;"|"&amp;$I484&amp;"|"&amp;$J484&amp;"|"&amp;2,Assessments!$A$2:$A$600,0)),"")</f>
        <v/>
      </c>
      <c r="CK484" s="28" t="str">
        <f aca="false">IFERROR(INDEX(Assessments!$I$2:$I$600,MATCH($H484&amp;"|"&amp;$I484&amp;"|"&amp;$J484&amp;"|"&amp;3,Assessments!$A$2:$A$600,0)),"")</f>
        <v/>
      </c>
      <c r="CL484" s="28" t="str">
        <f aca="false">IFERROR(INDEX(Assessments!$I$2:$I$600,MATCH($H484&amp;"|"&amp;$I484&amp;"|"&amp;$J484&amp;"|"&amp;4,Assessments!$A$2:$A$600,0)),"")</f>
        <v/>
      </c>
      <c r="CM484" s="28" t="str">
        <f aca="false">IFERROR(INDEX(Assessments!$I$2:$I$600,MATCH($H484&amp;"|"&amp;$I484&amp;"|"&amp;$J484&amp;"|"&amp;5,Assessments!$A$2:$A$600,0)),"")</f>
        <v/>
      </c>
      <c r="CN484" s="28" t="str">
        <f aca="false">IFERROR(INDEX(Assessments!$I$2:$I$600,MATCH($H484&amp;"|"&amp;$I484&amp;"|"&amp;$J484&amp;"|"&amp;6,Assessments!$A$2:$A$600,0)),"")</f>
        <v/>
      </c>
      <c r="CO484" s="28" t="str">
        <f aca="false">IFERROR(INDEX(Assessments!$I$2:$I$600,MATCH($H484&amp;"|"&amp;$I484&amp;"|"&amp;$J484&amp;"|"&amp;7,Assessments!$A$2:$A$600,0)),"")</f>
        <v/>
      </c>
      <c r="CP484" s="28" t="str">
        <f aca="false">IFERROR(INDEX(Assessments!$I$2:$I$600,MATCH($H484&amp;"|"&amp;$I484&amp;"|"&amp;$J484&amp;"|"&amp;8,Assessments!$A$2:$A$600,0)),"")</f>
        <v/>
      </c>
      <c r="CQ484" s="28" t="str">
        <f aca="false">IFERROR(INDEX(Assessments!$I$2:$I$600,MATCH($H484&amp;"|"&amp;$I484&amp;"|"&amp;$J484&amp;"|"&amp;9,Assessments!$A$2:$A$600,0)),"")</f>
        <v/>
      </c>
      <c r="CR484" s="28" t="str">
        <f aca="false">IFERROR(INDEX(Assessments!$I$2:$I$600,MATCH($H484&amp;"|"&amp;$I484&amp;"|"&amp;$J484&amp;"|"&amp;10,Assessments!$A$2:$A$600,0)),"")</f>
        <v/>
      </c>
      <c r="CS484" s="28" t="str">
        <f aca="false">IFERROR(INDEX(Assessments!$I$2:$I$600,MATCH($H484&amp;"|"&amp;$I484&amp;"|"&amp;$J484&amp;"|"&amp;11,Assessments!$A$2:$A$600,0)),"")</f>
        <v/>
      </c>
      <c r="CT484" s="28" t="str">
        <f aca="false">IFERROR(INDEX(Assessments!$I$2:$I$600,MATCH($H484&amp;"|"&amp;$I484&amp;"|"&amp;$J484&amp;"|"&amp;12,Assessments!$A$2:$A$600,0)),"")</f>
        <v/>
      </c>
      <c r="CU484" s="28" t="str">
        <f aca="false">IFERROR(INDEX(Assessments!$I$2:$I$600,MATCH($H484&amp;"|"&amp;$I484&amp;"|"&amp;$J484&amp;"|"&amp;13,Assessments!$A$2:$A$600,0)),"")</f>
        <v/>
      </c>
      <c r="CV484" s="28" t="str">
        <f aca="false">IFERROR(INDEX(Assessments!$I$2:$I$600,MATCH($H484&amp;"|"&amp;$I484&amp;"|"&amp;$J484&amp;"|"&amp;14,Assessments!$A$2:$A$600,0)),"")</f>
        <v/>
      </c>
      <c r="CW484" s="28" t="n">
        <f aca="false">IFERROR(INDEX(Assessments!$J$2:$J$600,MATCH($H484&amp;"|"&amp;$I484&amp;"|"&amp;$J484&amp;"|"&amp;1,Assessments!$A$2:$A$600,0)),0)</f>
        <v>0</v>
      </c>
      <c r="CX484" s="28" t="n">
        <f aca="false">IFERROR(INDEX(Assessments!$J$2:$J$600,MATCH($H484&amp;"|"&amp;$I484&amp;"|"&amp;$J484&amp;"|"&amp;2,Assessments!$A$2:$A$600,0)),0)</f>
        <v>0</v>
      </c>
      <c r="CY484" s="28" t="n">
        <f aca="false">IFERROR(INDEX(Assessments!$J$2:$J$600,MATCH($H484&amp;"|"&amp;$I484&amp;"|"&amp;$J484&amp;"|"&amp;3,Assessments!$A$2:$A$600,0)),0)</f>
        <v>0</v>
      </c>
      <c r="CZ484" s="28" t="n">
        <f aca="false">IFERROR(INDEX(Assessments!$J$2:$J$600,MATCH($H484&amp;"|"&amp;$I484&amp;"|"&amp;$J484&amp;"|"&amp;4,Assessments!$A$2:$A$600,0)),0)</f>
        <v>0</v>
      </c>
      <c r="DA484" s="28" t="n">
        <f aca="false">IFERROR(INDEX(Assessments!$J$2:$J$600,MATCH($H484&amp;"|"&amp;$I484&amp;"|"&amp;$J484&amp;"|"&amp;5,Assessments!$A$2:$A$600,0)),0)</f>
        <v>0</v>
      </c>
      <c r="DB484" s="28" t="n">
        <f aca="false">IFERROR(INDEX(Assessments!$J$2:$J$600,MATCH($H484&amp;"|"&amp;$I484&amp;"|"&amp;$J484&amp;"|"&amp;6,Assessments!$A$2:$A$600,0)),0)</f>
        <v>0</v>
      </c>
      <c r="DC484" s="28" t="n">
        <f aca="false">IFERROR(INDEX(Assessments!$J$2:$J$600,MATCH($H484&amp;"|"&amp;$I484&amp;"|"&amp;$J484&amp;"|"&amp;7,Assessments!$A$2:$A$600,0)),0)</f>
        <v>0</v>
      </c>
      <c r="DD484" s="28" t="n">
        <f aca="false">IFERROR(INDEX(Assessments!$J$2:$J$600,MATCH($H484&amp;"|"&amp;$I484&amp;"|"&amp;$J484&amp;"|"&amp;8,Assessments!$A$2:$A$600,0)),0)</f>
        <v>0</v>
      </c>
      <c r="DE484" s="28" t="n">
        <f aca="false">IFERROR(INDEX(Assessments!$J$2:$J$600,MATCH($H484&amp;"|"&amp;$I484&amp;"|"&amp;$J484&amp;"|"&amp;9,Assessments!$A$2:$A$600,0)),0)</f>
        <v>0</v>
      </c>
      <c r="DF484" s="28" t="n">
        <f aca="false">IFERROR(INDEX(Assessments!$J$2:$J$600,MATCH($H484&amp;"|"&amp;$I484&amp;"|"&amp;$J484&amp;"|"&amp;10,Assessments!$A$2:$A$600,0)),0)</f>
        <v>0</v>
      </c>
      <c r="DG484" s="28" t="n">
        <f aca="false">IFERROR(INDEX(Assessments!$J$2:$J$600,MATCH($H484&amp;"|"&amp;$I484&amp;"|"&amp;$J484&amp;"|"&amp;11,Assessments!$A$2:$A$600,0)),0)</f>
        <v>0</v>
      </c>
      <c r="DH484" s="28" t="n">
        <f aca="false">IFERROR(INDEX(Assessments!$J$2:$J$600,MATCH($H484&amp;"|"&amp;$I484&amp;"|"&amp;$J484&amp;"|"&amp;12,Assessments!$A$2:$A$600,0)),0)</f>
        <v>0</v>
      </c>
      <c r="DI484" s="28" t="n">
        <f aca="false">IFERROR(INDEX(Assessments!$J$2:$J$600,MATCH($H484&amp;"|"&amp;$I484&amp;"|"&amp;$J484&amp;"|"&amp;13,Assessments!$A$2:$A$600,0)),0)</f>
        <v>0</v>
      </c>
      <c r="DJ484" s="28" t="n">
        <f aca="false">IFERROR(INDEX(Assessments!$J$2:$J$600,MATCH($H484&amp;"|"&amp;$I484&amp;"|"&amp;$J484&amp;"|"&amp;14,Assessments!$A$2:$A$600,0)),0)</f>
        <v>0</v>
      </c>
      <c r="DK484" s="28" t="str">
        <f aca="false">S484</f>
        <v/>
      </c>
      <c r="DL484" s="28" t="str">
        <f aca="false">W484</f>
        <v/>
      </c>
      <c r="DM484" s="28" t="str">
        <f aca="false">AA484</f>
        <v/>
      </c>
      <c r="DN484" s="28" t="str">
        <f aca="false">AE484</f>
        <v/>
      </c>
      <c r="DO484" s="28" t="str">
        <f aca="false">AI484</f>
        <v/>
      </c>
      <c r="DP484" s="28" t="str">
        <f aca="false">AM484</f>
        <v/>
      </c>
      <c r="DQ484" s="28" t="str">
        <f aca="false">AQ484</f>
        <v/>
      </c>
      <c r="DR484" s="28" t="str">
        <f aca="false">AU484</f>
        <v/>
      </c>
      <c r="DS484" s="28" t="str">
        <f aca="false">AY484</f>
        <v/>
      </c>
      <c r="DT484" s="28" t="str">
        <f aca="false">BC484</f>
        <v/>
      </c>
      <c r="DU484" s="28" t="str">
        <f aca="false">BG484</f>
        <v/>
      </c>
      <c r="DV484" s="28" t="str">
        <f aca="false">BK484</f>
        <v/>
      </c>
      <c r="DW484" s="28" t="str">
        <f aca="false">BO484</f>
        <v/>
      </c>
      <c r="DX484" s="28" t="str">
        <f aca="false">BS484</f>
        <v/>
      </c>
      <c r="DY484" s="28" t="str">
        <f aca="false">IF(ISNUMBER(S484),1,"")</f>
        <v/>
      </c>
      <c r="DZ484" s="28" t="str">
        <f aca="false">IF(ISNUMBER(W484),2,"")</f>
        <v/>
      </c>
      <c r="EA484" s="28" t="str">
        <f aca="false">IF(ISNUMBER(AA484),3,"")</f>
        <v/>
      </c>
      <c r="EB484" s="28" t="str">
        <f aca="false">IF(ISNUMBER(AE484),4,"")</f>
        <v/>
      </c>
      <c r="EC484" s="28" t="str">
        <f aca="false">IF(ISNUMBER(AI484),5,"")</f>
        <v/>
      </c>
      <c r="ED484" s="28" t="str">
        <f aca="false">IF(ISNUMBER(AM484),6,"")</f>
        <v/>
      </c>
      <c r="EE484" s="28" t="str">
        <f aca="false">IF(ISNUMBER(AQ484),7,"")</f>
        <v/>
      </c>
      <c r="EF484" s="28" t="str">
        <f aca="false">IF(ISNUMBER(AU484),8,"")</f>
        <v/>
      </c>
      <c r="EG484" s="28" t="str">
        <f aca="false">IF(ISNUMBER(AY484),9,"")</f>
        <v/>
      </c>
      <c r="EH484" s="28" t="str">
        <f aca="false">IF(ISNUMBER(BC484),10,"")</f>
        <v/>
      </c>
      <c r="EI484" s="28" t="str">
        <f aca="false">IF(ISNUMBER(BG484),11,"")</f>
        <v/>
      </c>
      <c r="EJ484" s="28" t="str">
        <f aca="false">IF(ISNUMBER(BK484),12,"")</f>
        <v/>
      </c>
      <c r="EK484" s="28" t="str">
        <f aca="false">IF(ISNUMBER(BO484),13,"")</f>
        <v/>
      </c>
      <c r="EL484" s="28" t="str">
        <f aca="false">IF(ISNUMBER(BS484),14,"")</f>
        <v/>
      </c>
      <c r="EM484" s="28" t="n">
        <f aca="false">IF(ISNUMBER(R484),R484*CW484,0)</f>
        <v>0</v>
      </c>
      <c r="EN484" s="28" t="n">
        <f aca="false">IF(ISNUMBER(V484),V484*CX484,0)</f>
        <v>0</v>
      </c>
      <c r="EO484" s="28" t="n">
        <f aca="false">IF(ISNUMBER(Z484),Z484*CY484,0)</f>
        <v>0</v>
      </c>
      <c r="EP484" s="28" t="n">
        <f aca="false">IF(ISNUMBER(AD484),AD484*CZ484,0)</f>
        <v>0</v>
      </c>
      <c r="EQ484" s="28" t="n">
        <f aca="false">IF(ISNUMBER(AH484),AH484*DA484,0)</f>
        <v>0</v>
      </c>
      <c r="ER484" s="28" t="n">
        <f aca="false">IF(ISNUMBER(AL484),AL484*DB484,0)</f>
        <v>0</v>
      </c>
      <c r="ES484" s="28" t="n">
        <f aca="false">IF(ISNUMBER(AP484),AP484*DC484,0)</f>
        <v>0</v>
      </c>
      <c r="ET484" s="28" t="n">
        <f aca="false">IF(ISNUMBER(AT484),AT484*DD484,0)</f>
        <v>0</v>
      </c>
      <c r="EU484" s="28" t="n">
        <f aca="false">IF(ISNUMBER(AX484),AX484*DE484,0)</f>
        <v>0</v>
      </c>
      <c r="EV484" s="28" t="n">
        <f aca="false">IF(ISNUMBER(BB484),BB484*DF484,0)</f>
        <v>0</v>
      </c>
      <c r="EW484" s="28" t="n">
        <f aca="false">IF(ISNUMBER(BF484),BF484*DG484,0)</f>
        <v>0</v>
      </c>
      <c r="EX484" s="28" t="n">
        <f aca="false">IF(ISNUMBER(BJ484),BJ484*DH484,0)</f>
        <v>0</v>
      </c>
      <c r="EY484" s="28" t="n">
        <f aca="false">IF(ISNUMBER(BN484),BN484*DI484,0)</f>
        <v>0</v>
      </c>
      <c r="EZ484" s="28" t="n">
        <f aca="false">IF(ISNUMBER(BR484),BR484*DJ484,0)</f>
        <v>0</v>
      </c>
      <c r="FA484" s="28" t="n">
        <f aca="false">IF(ISNUMBER(R484),CW484,0)</f>
        <v>0</v>
      </c>
      <c r="FB484" s="28" t="n">
        <f aca="false">IF(ISNUMBER(V484),CX484,0)</f>
        <v>0</v>
      </c>
      <c r="FC484" s="28" t="n">
        <f aca="false">IF(ISNUMBER(Z484),CY484,0)</f>
        <v>0</v>
      </c>
      <c r="FD484" s="28" t="n">
        <f aca="false">IF(ISNUMBER(AD484),CZ484,0)</f>
        <v>0</v>
      </c>
      <c r="FE484" s="28" t="n">
        <f aca="false">IF(ISNUMBER(AH484),DA484,0)</f>
        <v>0</v>
      </c>
      <c r="FF484" s="28" t="n">
        <f aca="false">IF(ISNUMBER(AL484),DB484,0)</f>
        <v>0</v>
      </c>
      <c r="FG484" s="28" t="n">
        <f aca="false">IF(ISNUMBER(AP484),DC484,0)</f>
        <v>0</v>
      </c>
      <c r="FH484" s="28" t="n">
        <f aca="false">IF(ISNUMBER(AT484),DD484,0)</f>
        <v>0</v>
      </c>
      <c r="FI484" s="28" t="n">
        <f aca="false">IF(ISNUMBER(AX484),DE484,0)</f>
        <v>0</v>
      </c>
      <c r="FJ484" s="28" t="n">
        <f aca="false">IF(ISNUMBER(BB484),DF484,0)</f>
        <v>0</v>
      </c>
      <c r="FK484" s="28" t="n">
        <f aca="false">IF(ISNUMBER(BF484),DG484,0)</f>
        <v>0</v>
      </c>
      <c r="FL484" s="28" t="n">
        <f aca="false">IF(ISNUMBER(BJ484),DH484,0)</f>
        <v>0</v>
      </c>
      <c r="FM484" s="28" t="n">
        <f aca="false">IF(ISNUMBER(BN484),DI484,0)</f>
        <v>0</v>
      </c>
      <c r="FN484" s="28" t="n">
        <f aca="false">IF(ISNUMBER(BR484),DJ484,0)</f>
        <v>0</v>
      </c>
      <c r="FO484" s="28" t="str">
        <f aca="false">IFERROR(INDEX(Lists!$G$2:$G$20,MATCH($I484&amp;"|"&amp;$J484,Lists!$F$2:$F$20,0)),"")</f>
        <v/>
      </c>
    </row>
    <row r="485" customFormat="false" ht="19.5" hidden="false" customHeight="true" outlineLevel="0" collapsed="false">
      <c r="A485" s="29"/>
      <c r="B485" s="29"/>
      <c r="C485" s="30"/>
      <c r="D485" s="30"/>
      <c r="E485" s="31"/>
      <c r="F485" s="30"/>
      <c r="G485" s="30"/>
      <c r="H485" s="32"/>
      <c r="I485" s="33"/>
      <c r="J485" s="32"/>
      <c r="K485" s="34" t="str">
        <f aca="false">IF(OR(M485="",$E485=""),"",M485-$E485)</f>
        <v/>
      </c>
      <c r="L485" s="35" t="str">
        <f aca="false">IF(SUM(FA485:FN485)=0,"",SUM(EM485:EZ485)/SUM(FA485:FN485))</f>
        <v/>
      </c>
      <c r="M485" s="36" t="str">
        <f aca="false">IF(OR(L485="",FO485=""),"",IFERROR(MATCH(L485,INDEX(Boundaries!$B$2:$I$30,MATCH(FO485,Boundaries!$A$2:$A$30,0),0),1)-1,""))</f>
        <v/>
      </c>
      <c r="N485" s="37" t="str">
        <f aca="false">IF(COUNT($DY485:$EL485)&lt;2,"",INDEX($DK485:$DX485,MAX($DY485:$EL485))-INDEX($DK485:$DX485,MIN($DY485:$EL485)))</f>
        <v/>
      </c>
      <c r="O485" s="37" t="str">
        <f aca="false">IF(COUNT($DY485:$EL485)&lt;2,"",INDEX($DK485:$DX485,MAX($DY485:$EL485))-INDEX($DK485:$DX485,LARGE($DY485:$EL485,2)))</f>
        <v/>
      </c>
      <c r="P485" s="38" t="str">
        <f aca="false">IF(K485="","",IF(K485&gt;=0,"On/above target",IF(AND(N485&lt;&gt;"",N485&gt;=0.5),"Improving towards target",IF(AND(O485&lt;&gt;"",O485&lt;=-0.5),"Declining","Stable below target"))))</f>
        <v/>
      </c>
      <c r="Q485" s="39"/>
      <c r="R485" s="40" t="str">
        <f aca="false">IF(OR(Q485="",BU485=""),"",Q485/BU485*100)</f>
        <v/>
      </c>
      <c r="S485" s="41" t="str">
        <f aca="false">IF(R485="","",IFERROR(MATCH(R485,INDEX(Boundaries!$B$2:$I$30,MATCH(CI485,Boundaries!$A$2:$A$30,0),0),1)-1,""))</f>
        <v/>
      </c>
      <c r="T485" s="42" t="str">
        <f aca="false">IF(OR(S485="",$E485=""),"",S485-$E485)</f>
        <v/>
      </c>
      <c r="U485" s="39"/>
      <c r="V485" s="40" t="str">
        <f aca="false">IF(OR(U485="",BV485=""),"",U485/BV485*100)</f>
        <v/>
      </c>
      <c r="W485" s="41" t="str">
        <f aca="false">IF(V485="","",IFERROR(MATCH(V485,INDEX(Boundaries!$B$2:$I$30,MATCH(CJ485,Boundaries!$A$2:$A$30,0),0),1)-1,""))</f>
        <v/>
      </c>
      <c r="X485" s="42" t="str">
        <f aca="false">IF(OR(W485="",$E485=""),"",W485-$E485)</f>
        <v/>
      </c>
      <c r="Y485" s="39"/>
      <c r="Z485" s="40" t="str">
        <f aca="false">IF(OR(Y485="",BW485=""),"",Y485/BW485*100)</f>
        <v/>
      </c>
      <c r="AA485" s="41" t="str">
        <f aca="false">IF(Z485="","",IFERROR(MATCH(Z485,INDEX(Boundaries!$B$2:$I$30,MATCH(CK485,Boundaries!$A$2:$A$30,0),0),1)-1,""))</f>
        <v/>
      </c>
      <c r="AB485" s="42" t="str">
        <f aca="false">IF(OR(AA485="",$E485=""),"",AA485-$E485)</f>
        <v/>
      </c>
      <c r="AC485" s="39"/>
      <c r="AD485" s="40" t="str">
        <f aca="false">IF(OR(AC485="",BX485=""),"",AC485/BX485*100)</f>
        <v/>
      </c>
      <c r="AE485" s="41" t="str">
        <f aca="false">IF(AD485="","",IFERROR(MATCH(AD485,INDEX(Boundaries!$B$2:$I$30,MATCH(CL485,Boundaries!$A$2:$A$30,0),0),1)-1,""))</f>
        <v/>
      </c>
      <c r="AF485" s="42" t="str">
        <f aca="false">IF(OR(AE485="",$E485=""),"",AE485-$E485)</f>
        <v/>
      </c>
      <c r="AG485" s="39"/>
      <c r="AH485" s="40" t="str">
        <f aca="false">IF(OR(AG485="",BY485=""),"",AG485/BY485*100)</f>
        <v/>
      </c>
      <c r="AI485" s="41" t="str">
        <f aca="false">IF(AH485="","",IFERROR(MATCH(AH485,INDEX(Boundaries!$B$2:$I$30,MATCH(CM485,Boundaries!$A$2:$A$30,0),0),1)-1,""))</f>
        <v/>
      </c>
      <c r="AJ485" s="42" t="str">
        <f aca="false">IF(OR(AI485="",$E485=""),"",AI485-$E485)</f>
        <v/>
      </c>
      <c r="AK485" s="39"/>
      <c r="AL485" s="40" t="str">
        <f aca="false">IF(OR(AK485="",BZ485=""),"",AK485/BZ485*100)</f>
        <v/>
      </c>
      <c r="AM485" s="41" t="str">
        <f aca="false">IF(AL485="","",IFERROR(MATCH(AL485,INDEX(Boundaries!$B$2:$I$30,MATCH(CN485,Boundaries!$A$2:$A$30,0),0),1)-1,""))</f>
        <v/>
      </c>
      <c r="AN485" s="42" t="str">
        <f aca="false">IF(OR(AM485="",$E485=""),"",AM485-$E485)</f>
        <v/>
      </c>
      <c r="AO485" s="39"/>
      <c r="AP485" s="40" t="str">
        <f aca="false">IF(OR(AO485="",CA485=""),"",AO485/CA485*100)</f>
        <v/>
      </c>
      <c r="AQ485" s="41" t="str">
        <f aca="false">IF(AP485="","",IFERROR(MATCH(AP485,INDEX(Boundaries!$B$2:$I$30,MATCH(CO485,Boundaries!$A$2:$A$30,0),0),1)-1,""))</f>
        <v/>
      </c>
      <c r="AR485" s="42" t="str">
        <f aca="false">IF(OR(AQ485="",$E485=""),"",AQ485-$E485)</f>
        <v/>
      </c>
      <c r="AS485" s="39"/>
      <c r="AT485" s="40" t="str">
        <f aca="false">IF(OR(AS485="",CB485=""),"",AS485/CB485*100)</f>
        <v/>
      </c>
      <c r="AU485" s="41" t="str">
        <f aca="false">IF(AT485="","",IFERROR(MATCH(AT485,INDEX(Boundaries!$B$2:$I$30,MATCH(CP485,Boundaries!$A$2:$A$30,0),0),1)-1,""))</f>
        <v/>
      </c>
      <c r="AV485" s="42" t="str">
        <f aca="false">IF(OR(AU485="",$E485=""),"",AU485-$E485)</f>
        <v/>
      </c>
      <c r="AW485" s="39"/>
      <c r="AX485" s="40" t="str">
        <f aca="false">IF(OR(AW485="",CC485=""),"",AW485/CC485*100)</f>
        <v/>
      </c>
      <c r="AY485" s="41" t="str">
        <f aca="false">IF(AX485="","",IFERROR(MATCH(AX485,INDEX(Boundaries!$B$2:$I$30,MATCH(CQ485,Boundaries!$A$2:$A$30,0),0),1)-1,""))</f>
        <v/>
      </c>
      <c r="AZ485" s="42" t="str">
        <f aca="false">IF(OR(AY485="",$E485=""),"",AY485-$E485)</f>
        <v/>
      </c>
      <c r="BA485" s="39"/>
      <c r="BB485" s="40" t="str">
        <f aca="false">IF(OR(BA485="",CD485=""),"",BA485/CD485*100)</f>
        <v/>
      </c>
      <c r="BC485" s="41" t="str">
        <f aca="false">IF(BB485="","",IFERROR(MATCH(BB485,INDEX(Boundaries!$B$2:$I$30,MATCH(CR485,Boundaries!$A$2:$A$30,0),0),1)-1,""))</f>
        <v/>
      </c>
      <c r="BD485" s="42" t="str">
        <f aca="false">IF(OR(BC485="",$E485=""),"",BC485-$E485)</f>
        <v/>
      </c>
      <c r="BE485" s="39"/>
      <c r="BF485" s="40" t="str">
        <f aca="false">IF(OR(BE485="",CE485=""),"",BE485/CE485*100)</f>
        <v/>
      </c>
      <c r="BG485" s="41" t="str">
        <f aca="false">IF(BF485="","",IFERROR(MATCH(BF485,INDEX(Boundaries!$B$2:$I$30,MATCH(CS485,Boundaries!$A$2:$A$30,0),0),1)-1,""))</f>
        <v/>
      </c>
      <c r="BH485" s="42" t="str">
        <f aca="false">IF(OR(BG485="",$E485=""),"",BG485-$E485)</f>
        <v/>
      </c>
      <c r="BI485" s="39"/>
      <c r="BJ485" s="40" t="str">
        <f aca="false">IF(OR(BI485="",CF485=""),"",BI485/CF485*100)</f>
        <v/>
      </c>
      <c r="BK485" s="41" t="str">
        <f aca="false">IF(BJ485="","",IFERROR(MATCH(BJ485,INDEX(Boundaries!$B$2:$I$30,MATCH(CT485,Boundaries!$A$2:$A$30,0),0),1)-1,""))</f>
        <v/>
      </c>
      <c r="BL485" s="42" t="str">
        <f aca="false">IF(OR(BK485="",$E485=""),"",BK485-$E485)</f>
        <v/>
      </c>
      <c r="BM485" s="39"/>
      <c r="BN485" s="40" t="str">
        <f aca="false">IF(OR(BM485="",CG485=""),"",BM485/CG485*100)</f>
        <v/>
      </c>
      <c r="BO485" s="41" t="str">
        <f aca="false">IF(BN485="","",IFERROR(MATCH(BN485,INDEX(Boundaries!$B$2:$I$30,MATCH(CU485,Boundaries!$A$2:$A$30,0),0),1)-1,""))</f>
        <v/>
      </c>
      <c r="BP485" s="42" t="str">
        <f aca="false">IF(OR(BO485="",$E485=""),"",BO485-$E485)</f>
        <v/>
      </c>
      <c r="BQ485" s="39"/>
      <c r="BR485" s="40" t="str">
        <f aca="false">IF(OR(BQ485="",CH485=""),"",BQ485/CH485*100)</f>
        <v/>
      </c>
      <c r="BS485" s="41" t="str">
        <f aca="false">IF(BR485="","",IFERROR(MATCH(BR485,INDEX(Boundaries!$B$2:$I$30,MATCH(CV485,Boundaries!$A$2:$A$30,0),0),1)-1,""))</f>
        <v/>
      </c>
      <c r="BT485" s="42" t="str">
        <f aca="false">IF(OR(BS485="",$E485=""),"",BS485-$E485)</f>
        <v/>
      </c>
      <c r="BU485" s="28" t="str">
        <f aca="false">IFERROR(INDEX(Assessments!$H$2:$H$600,MATCH($H485&amp;"|"&amp;$I485&amp;"|"&amp;$J485&amp;"|"&amp;1,Assessments!$A$2:$A$600,0)),"")</f>
        <v/>
      </c>
      <c r="BV485" s="28" t="str">
        <f aca="false">IFERROR(INDEX(Assessments!$H$2:$H$600,MATCH($H485&amp;"|"&amp;$I485&amp;"|"&amp;$J485&amp;"|"&amp;2,Assessments!$A$2:$A$600,0)),"")</f>
        <v/>
      </c>
      <c r="BW485" s="28" t="str">
        <f aca="false">IFERROR(INDEX(Assessments!$H$2:$H$600,MATCH($H485&amp;"|"&amp;$I485&amp;"|"&amp;$J485&amp;"|"&amp;3,Assessments!$A$2:$A$600,0)),"")</f>
        <v/>
      </c>
      <c r="BX485" s="28" t="str">
        <f aca="false">IFERROR(INDEX(Assessments!$H$2:$H$600,MATCH($H485&amp;"|"&amp;$I485&amp;"|"&amp;$J485&amp;"|"&amp;4,Assessments!$A$2:$A$600,0)),"")</f>
        <v/>
      </c>
      <c r="BY485" s="28" t="str">
        <f aca="false">IFERROR(INDEX(Assessments!$H$2:$H$600,MATCH($H485&amp;"|"&amp;$I485&amp;"|"&amp;$J485&amp;"|"&amp;5,Assessments!$A$2:$A$600,0)),"")</f>
        <v/>
      </c>
      <c r="BZ485" s="28" t="str">
        <f aca="false">IFERROR(INDEX(Assessments!$H$2:$H$600,MATCH($H485&amp;"|"&amp;$I485&amp;"|"&amp;$J485&amp;"|"&amp;6,Assessments!$A$2:$A$600,0)),"")</f>
        <v/>
      </c>
      <c r="CA485" s="28" t="str">
        <f aca="false">IFERROR(INDEX(Assessments!$H$2:$H$600,MATCH($H485&amp;"|"&amp;$I485&amp;"|"&amp;$J485&amp;"|"&amp;7,Assessments!$A$2:$A$600,0)),"")</f>
        <v/>
      </c>
      <c r="CB485" s="28" t="str">
        <f aca="false">IFERROR(INDEX(Assessments!$H$2:$H$600,MATCH($H485&amp;"|"&amp;$I485&amp;"|"&amp;$J485&amp;"|"&amp;8,Assessments!$A$2:$A$600,0)),"")</f>
        <v/>
      </c>
      <c r="CC485" s="28" t="str">
        <f aca="false">IFERROR(INDEX(Assessments!$H$2:$H$600,MATCH($H485&amp;"|"&amp;$I485&amp;"|"&amp;$J485&amp;"|"&amp;9,Assessments!$A$2:$A$600,0)),"")</f>
        <v/>
      </c>
      <c r="CD485" s="28" t="str">
        <f aca="false">IFERROR(INDEX(Assessments!$H$2:$H$600,MATCH($H485&amp;"|"&amp;$I485&amp;"|"&amp;$J485&amp;"|"&amp;10,Assessments!$A$2:$A$600,0)),"")</f>
        <v/>
      </c>
      <c r="CE485" s="28" t="str">
        <f aca="false">IFERROR(INDEX(Assessments!$H$2:$H$600,MATCH($H485&amp;"|"&amp;$I485&amp;"|"&amp;$J485&amp;"|"&amp;11,Assessments!$A$2:$A$600,0)),"")</f>
        <v/>
      </c>
      <c r="CF485" s="28" t="str">
        <f aca="false">IFERROR(INDEX(Assessments!$H$2:$H$600,MATCH($H485&amp;"|"&amp;$I485&amp;"|"&amp;$J485&amp;"|"&amp;12,Assessments!$A$2:$A$600,0)),"")</f>
        <v/>
      </c>
      <c r="CG485" s="28" t="str">
        <f aca="false">IFERROR(INDEX(Assessments!$H$2:$H$600,MATCH($H485&amp;"|"&amp;$I485&amp;"|"&amp;$J485&amp;"|"&amp;13,Assessments!$A$2:$A$600,0)),"")</f>
        <v/>
      </c>
      <c r="CH485" s="28" t="str">
        <f aca="false">IFERROR(INDEX(Assessments!$H$2:$H$600,MATCH($H485&amp;"|"&amp;$I485&amp;"|"&amp;$J485&amp;"|"&amp;14,Assessments!$A$2:$A$600,0)),"")</f>
        <v/>
      </c>
      <c r="CI485" s="28" t="str">
        <f aca="false">IFERROR(INDEX(Assessments!$I$2:$I$600,MATCH($H485&amp;"|"&amp;$I485&amp;"|"&amp;$J485&amp;"|"&amp;1,Assessments!$A$2:$A$600,0)),"")</f>
        <v/>
      </c>
      <c r="CJ485" s="28" t="str">
        <f aca="false">IFERROR(INDEX(Assessments!$I$2:$I$600,MATCH($H485&amp;"|"&amp;$I485&amp;"|"&amp;$J485&amp;"|"&amp;2,Assessments!$A$2:$A$600,0)),"")</f>
        <v/>
      </c>
      <c r="CK485" s="28" t="str">
        <f aca="false">IFERROR(INDEX(Assessments!$I$2:$I$600,MATCH($H485&amp;"|"&amp;$I485&amp;"|"&amp;$J485&amp;"|"&amp;3,Assessments!$A$2:$A$600,0)),"")</f>
        <v/>
      </c>
      <c r="CL485" s="28" t="str">
        <f aca="false">IFERROR(INDEX(Assessments!$I$2:$I$600,MATCH($H485&amp;"|"&amp;$I485&amp;"|"&amp;$J485&amp;"|"&amp;4,Assessments!$A$2:$A$600,0)),"")</f>
        <v/>
      </c>
      <c r="CM485" s="28" t="str">
        <f aca="false">IFERROR(INDEX(Assessments!$I$2:$I$600,MATCH($H485&amp;"|"&amp;$I485&amp;"|"&amp;$J485&amp;"|"&amp;5,Assessments!$A$2:$A$600,0)),"")</f>
        <v/>
      </c>
      <c r="CN485" s="28" t="str">
        <f aca="false">IFERROR(INDEX(Assessments!$I$2:$I$600,MATCH($H485&amp;"|"&amp;$I485&amp;"|"&amp;$J485&amp;"|"&amp;6,Assessments!$A$2:$A$600,0)),"")</f>
        <v/>
      </c>
      <c r="CO485" s="28" t="str">
        <f aca="false">IFERROR(INDEX(Assessments!$I$2:$I$600,MATCH($H485&amp;"|"&amp;$I485&amp;"|"&amp;$J485&amp;"|"&amp;7,Assessments!$A$2:$A$600,0)),"")</f>
        <v/>
      </c>
      <c r="CP485" s="28" t="str">
        <f aca="false">IFERROR(INDEX(Assessments!$I$2:$I$600,MATCH($H485&amp;"|"&amp;$I485&amp;"|"&amp;$J485&amp;"|"&amp;8,Assessments!$A$2:$A$600,0)),"")</f>
        <v/>
      </c>
      <c r="CQ485" s="28" t="str">
        <f aca="false">IFERROR(INDEX(Assessments!$I$2:$I$600,MATCH($H485&amp;"|"&amp;$I485&amp;"|"&amp;$J485&amp;"|"&amp;9,Assessments!$A$2:$A$600,0)),"")</f>
        <v/>
      </c>
      <c r="CR485" s="28" t="str">
        <f aca="false">IFERROR(INDEX(Assessments!$I$2:$I$600,MATCH($H485&amp;"|"&amp;$I485&amp;"|"&amp;$J485&amp;"|"&amp;10,Assessments!$A$2:$A$600,0)),"")</f>
        <v/>
      </c>
      <c r="CS485" s="28" t="str">
        <f aca="false">IFERROR(INDEX(Assessments!$I$2:$I$600,MATCH($H485&amp;"|"&amp;$I485&amp;"|"&amp;$J485&amp;"|"&amp;11,Assessments!$A$2:$A$600,0)),"")</f>
        <v/>
      </c>
      <c r="CT485" s="28" t="str">
        <f aca="false">IFERROR(INDEX(Assessments!$I$2:$I$600,MATCH($H485&amp;"|"&amp;$I485&amp;"|"&amp;$J485&amp;"|"&amp;12,Assessments!$A$2:$A$600,0)),"")</f>
        <v/>
      </c>
      <c r="CU485" s="28" t="str">
        <f aca="false">IFERROR(INDEX(Assessments!$I$2:$I$600,MATCH($H485&amp;"|"&amp;$I485&amp;"|"&amp;$J485&amp;"|"&amp;13,Assessments!$A$2:$A$600,0)),"")</f>
        <v/>
      </c>
      <c r="CV485" s="28" t="str">
        <f aca="false">IFERROR(INDEX(Assessments!$I$2:$I$600,MATCH($H485&amp;"|"&amp;$I485&amp;"|"&amp;$J485&amp;"|"&amp;14,Assessments!$A$2:$A$600,0)),"")</f>
        <v/>
      </c>
      <c r="CW485" s="28" t="n">
        <f aca="false">IFERROR(INDEX(Assessments!$J$2:$J$600,MATCH($H485&amp;"|"&amp;$I485&amp;"|"&amp;$J485&amp;"|"&amp;1,Assessments!$A$2:$A$600,0)),0)</f>
        <v>0</v>
      </c>
      <c r="CX485" s="28" t="n">
        <f aca="false">IFERROR(INDEX(Assessments!$J$2:$J$600,MATCH($H485&amp;"|"&amp;$I485&amp;"|"&amp;$J485&amp;"|"&amp;2,Assessments!$A$2:$A$600,0)),0)</f>
        <v>0</v>
      </c>
      <c r="CY485" s="28" t="n">
        <f aca="false">IFERROR(INDEX(Assessments!$J$2:$J$600,MATCH($H485&amp;"|"&amp;$I485&amp;"|"&amp;$J485&amp;"|"&amp;3,Assessments!$A$2:$A$600,0)),0)</f>
        <v>0</v>
      </c>
      <c r="CZ485" s="28" t="n">
        <f aca="false">IFERROR(INDEX(Assessments!$J$2:$J$600,MATCH($H485&amp;"|"&amp;$I485&amp;"|"&amp;$J485&amp;"|"&amp;4,Assessments!$A$2:$A$600,0)),0)</f>
        <v>0</v>
      </c>
      <c r="DA485" s="28" t="n">
        <f aca="false">IFERROR(INDEX(Assessments!$J$2:$J$600,MATCH($H485&amp;"|"&amp;$I485&amp;"|"&amp;$J485&amp;"|"&amp;5,Assessments!$A$2:$A$600,0)),0)</f>
        <v>0</v>
      </c>
      <c r="DB485" s="28" t="n">
        <f aca="false">IFERROR(INDEX(Assessments!$J$2:$J$600,MATCH($H485&amp;"|"&amp;$I485&amp;"|"&amp;$J485&amp;"|"&amp;6,Assessments!$A$2:$A$600,0)),0)</f>
        <v>0</v>
      </c>
      <c r="DC485" s="28" t="n">
        <f aca="false">IFERROR(INDEX(Assessments!$J$2:$J$600,MATCH($H485&amp;"|"&amp;$I485&amp;"|"&amp;$J485&amp;"|"&amp;7,Assessments!$A$2:$A$600,0)),0)</f>
        <v>0</v>
      </c>
      <c r="DD485" s="28" t="n">
        <f aca="false">IFERROR(INDEX(Assessments!$J$2:$J$600,MATCH($H485&amp;"|"&amp;$I485&amp;"|"&amp;$J485&amp;"|"&amp;8,Assessments!$A$2:$A$600,0)),0)</f>
        <v>0</v>
      </c>
      <c r="DE485" s="28" t="n">
        <f aca="false">IFERROR(INDEX(Assessments!$J$2:$J$600,MATCH($H485&amp;"|"&amp;$I485&amp;"|"&amp;$J485&amp;"|"&amp;9,Assessments!$A$2:$A$600,0)),0)</f>
        <v>0</v>
      </c>
      <c r="DF485" s="28" t="n">
        <f aca="false">IFERROR(INDEX(Assessments!$J$2:$J$600,MATCH($H485&amp;"|"&amp;$I485&amp;"|"&amp;$J485&amp;"|"&amp;10,Assessments!$A$2:$A$600,0)),0)</f>
        <v>0</v>
      </c>
      <c r="DG485" s="28" t="n">
        <f aca="false">IFERROR(INDEX(Assessments!$J$2:$J$600,MATCH($H485&amp;"|"&amp;$I485&amp;"|"&amp;$J485&amp;"|"&amp;11,Assessments!$A$2:$A$600,0)),0)</f>
        <v>0</v>
      </c>
      <c r="DH485" s="28" t="n">
        <f aca="false">IFERROR(INDEX(Assessments!$J$2:$J$600,MATCH($H485&amp;"|"&amp;$I485&amp;"|"&amp;$J485&amp;"|"&amp;12,Assessments!$A$2:$A$600,0)),0)</f>
        <v>0</v>
      </c>
      <c r="DI485" s="28" t="n">
        <f aca="false">IFERROR(INDEX(Assessments!$J$2:$J$600,MATCH($H485&amp;"|"&amp;$I485&amp;"|"&amp;$J485&amp;"|"&amp;13,Assessments!$A$2:$A$600,0)),0)</f>
        <v>0</v>
      </c>
      <c r="DJ485" s="28" t="n">
        <f aca="false">IFERROR(INDEX(Assessments!$J$2:$J$600,MATCH($H485&amp;"|"&amp;$I485&amp;"|"&amp;$J485&amp;"|"&amp;14,Assessments!$A$2:$A$600,0)),0)</f>
        <v>0</v>
      </c>
      <c r="DK485" s="28" t="str">
        <f aca="false">S485</f>
        <v/>
      </c>
      <c r="DL485" s="28" t="str">
        <f aca="false">W485</f>
        <v/>
      </c>
      <c r="DM485" s="28" t="str">
        <f aca="false">AA485</f>
        <v/>
      </c>
      <c r="DN485" s="28" t="str">
        <f aca="false">AE485</f>
        <v/>
      </c>
      <c r="DO485" s="28" t="str">
        <f aca="false">AI485</f>
        <v/>
      </c>
      <c r="DP485" s="28" t="str">
        <f aca="false">AM485</f>
        <v/>
      </c>
      <c r="DQ485" s="28" t="str">
        <f aca="false">AQ485</f>
        <v/>
      </c>
      <c r="DR485" s="28" t="str">
        <f aca="false">AU485</f>
        <v/>
      </c>
      <c r="DS485" s="28" t="str">
        <f aca="false">AY485</f>
        <v/>
      </c>
      <c r="DT485" s="28" t="str">
        <f aca="false">BC485</f>
        <v/>
      </c>
      <c r="DU485" s="28" t="str">
        <f aca="false">BG485</f>
        <v/>
      </c>
      <c r="DV485" s="28" t="str">
        <f aca="false">BK485</f>
        <v/>
      </c>
      <c r="DW485" s="28" t="str">
        <f aca="false">BO485</f>
        <v/>
      </c>
      <c r="DX485" s="28" t="str">
        <f aca="false">BS485</f>
        <v/>
      </c>
      <c r="DY485" s="28" t="str">
        <f aca="false">IF(ISNUMBER(S485),1,"")</f>
        <v/>
      </c>
      <c r="DZ485" s="28" t="str">
        <f aca="false">IF(ISNUMBER(W485),2,"")</f>
        <v/>
      </c>
      <c r="EA485" s="28" t="str">
        <f aca="false">IF(ISNUMBER(AA485),3,"")</f>
        <v/>
      </c>
      <c r="EB485" s="28" t="str">
        <f aca="false">IF(ISNUMBER(AE485),4,"")</f>
        <v/>
      </c>
      <c r="EC485" s="28" t="str">
        <f aca="false">IF(ISNUMBER(AI485),5,"")</f>
        <v/>
      </c>
      <c r="ED485" s="28" t="str">
        <f aca="false">IF(ISNUMBER(AM485),6,"")</f>
        <v/>
      </c>
      <c r="EE485" s="28" t="str">
        <f aca="false">IF(ISNUMBER(AQ485),7,"")</f>
        <v/>
      </c>
      <c r="EF485" s="28" t="str">
        <f aca="false">IF(ISNUMBER(AU485),8,"")</f>
        <v/>
      </c>
      <c r="EG485" s="28" t="str">
        <f aca="false">IF(ISNUMBER(AY485),9,"")</f>
        <v/>
      </c>
      <c r="EH485" s="28" t="str">
        <f aca="false">IF(ISNUMBER(BC485),10,"")</f>
        <v/>
      </c>
      <c r="EI485" s="28" t="str">
        <f aca="false">IF(ISNUMBER(BG485),11,"")</f>
        <v/>
      </c>
      <c r="EJ485" s="28" t="str">
        <f aca="false">IF(ISNUMBER(BK485),12,"")</f>
        <v/>
      </c>
      <c r="EK485" s="28" t="str">
        <f aca="false">IF(ISNUMBER(BO485),13,"")</f>
        <v/>
      </c>
      <c r="EL485" s="28" t="str">
        <f aca="false">IF(ISNUMBER(BS485),14,"")</f>
        <v/>
      </c>
      <c r="EM485" s="28" t="n">
        <f aca="false">IF(ISNUMBER(R485),R485*CW485,0)</f>
        <v>0</v>
      </c>
      <c r="EN485" s="28" t="n">
        <f aca="false">IF(ISNUMBER(V485),V485*CX485,0)</f>
        <v>0</v>
      </c>
      <c r="EO485" s="28" t="n">
        <f aca="false">IF(ISNUMBER(Z485),Z485*CY485,0)</f>
        <v>0</v>
      </c>
      <c r="EP485" s="28" t="n">
        <f aca="false">IF(ISNUMBER(AD485),AD485*CZ485,0)</f>
        <v>0</v>
      </c>
      <c r="EQ485" s="28" t="n">
        <f aca="false">IF(ISNUMBER(AH485),AH485*DA485,0)</f>
        <v>0</v>
      </c>
      <c r="ER485" s="28" t="n">
        <f aca="false">IF(ISNUMBER(AL485),AL485*DB485,0)</f>
        <v>0</v>
      </c>
      <c r="ES485" s="28" t="n">
        <f aca="false">IF(ISNUMBER(AP485),AP485*DC485,0)</f>
        <v>0</v>
      </c>
      <c r="ET485" s="28" t="n">
        <f aca="false">IF(ISNUMBER(AT485),AT485*DD485,0)</f>
        <v>0</v>
      </c>
      <c r="EU485" s="28" t="n">
        <f aca="false">IF(ISNUMBER(AX485),AX485*DE485,0)</f>
        <v>0</v>
      </c>
      <c r="EV485" s="28" t="n">
        <f aca="false">IF(ISNUMBER(BB485),BB485*DF485,0)</f>
        <v>0</v>
      </c>
      <c r="EW485" s="28" t="n">
        <f aca="false">IF(ISNUMBER(BF485),BF485*DG485,0)</f>
        <v>0</v>
      </c>
      <c r="EX485" s="28" t="n">
        <f aca="false">IF(ISNUMBER(BJ485),BJ485*DH485,0)</f>
        <v>0</v>
      </c>
      <c r="EY485" s="28" t="n">
        <f aca="false">IF(ISNUMBER(BN485),BN485*DI485,0)</f>
        <v>0</v>
      </c>
      <c r="EZ485" s="28" t="n">
        <f aca="false">IF(ISNUMBER(BR485),BR485*DJ485,0)</f>
        <v>0</v>
      </c>
      <c r="FA485" s="28" t="n">
        <f aca="false">IF(ISNUMBER(R485),CW485,0)</f>
        <v>0</v>
      </c>
      <c r="FB485" s="28" t="n">
        <f aca="false">IF(ISNUMBER(V485),CX485,0)</f>
        <v>0</v>
      </c>
      <c r="FC485" s="28" t="n">
        <f aca="false">IF(ISNUMBER(Z485),CY485,0)</f>
        <v>0</v>
      </c>
      <c r="FD485" s="28" t="n">
        <f aca="false">IF(ISNUMBER(AD485),CZ485,0)</f>
        <v>0</v>
      </c>
      <c r="FE485" s="28" t="n">
        <f aca="false">IF(ISNUMBER(AH485),DA485,0)</f>
        <v>0</v>
      </c>
      <c r="FF485" s="28" t="n">
        <f aca="false">IF(ISNUMBER(AL485),DB485,0)</f>
        <v>0</v>
      </c>
      <c r="FG485" s="28" t="n">
        <f aca="false">IF(ISNUMBER(AP485),DC485,0)</f>
        <v>0</v>
      </c>
      <c r="FH485" s="28" t="n">
        <f aca="false">IF(ISNUMBER(AT485),DD485,0)</f>
        <v>0</v>
      </c>
      <c r="FI485" s="28" t="n">
        <f aca="false">IF(ISNUMBER(AX485),DE485,0)</f>
        <v>0</v>
      </c>
      <c r="FJ485" s="28" t="n">
        <f aca="false">IF(ISNUMBER(BB485),DF485,0)</f>
        <v>0</v>
      </c>
      <c r="FK485" s="28" t="n">
        <f aca="false">IF(ISNUMBER(BF485),DG485,0)</f>
        <v>0</v>
      </c>
      <c r="FL485" s="28" t="n">
        <f aca="false">IF(ISNUMBER(BJ485),DH485,0)</f>
        <v>0</v>
      </c>
      <c r="FM485" s="28" t="n">
        <f aca="false">IF(ISNUMBER(BN485),DI485,0)</f>
        <v>0</v>
      </c>
      <c r="FN485" s="28" t="n">
        <f aca="false">IF(ISNUMBER(BR485),DJ485,0)</f>
        <v>0</v>
      </c>
      <c r="FO485" s="28" t="str">
        <f aca="false">IFERROR(INDEX(Lists!$G$2:$G$20,MATCH($I485&amp;"|"&amp;$J485,Lists!$F$2:$F$20,0)),"")</f>
        <v/>
      </c>
    </row>
    <row r="486" customFormat="false" ht="19.5" hidden="false" customHeight="true" outlineLevel="0" collapsed="false">
      <c r="A486" s="29"/>
      <c r="B486" s="29"/>
      <c r="C486" s="30"/>
      <c r="D486" s="30"/>
      <c r="E486" s="31"/>
      <c r="F486" s="30"/>
      <c r="G486" s="30"/>
      <c r="H486" s="32"/>
      <c r="I486" s="33"/>
      <c r="J486" s="32"/>
      <c r="K486" s="34" t="str">
        <f aca="false">IF(OR(M486="",$E486=""),"",M486-$E486)</f>
        <v/>
      </c>
      <c r="L486" s="35" t="str">
        <f aca="false">IF(SUM(FA486:FN486)=0,"",SUM(EM486:EZ486)/SUM(FA486:FN486))</f>
        <v/>
      </c>
      <c r="M486" s="36" t="str">
        <f aca="false">IF(OR(L486="",FO486=""),"",IFERROR(MATCH(L486,INDEX(Boundaries!$B$2:$I$30,MATCH(FO486,Boundaries!$A$2:$A$30,0),0),1)-1,""))</f>
        <v/>
      </c>
      <c r="N486" s="37" t="str">
        <f aca="false">IF(COUNT($DY486:$EL486)&lt;2,"",INDEX($DK486:$DX486,MAX($DY486:$EL486))-INDEX($DK486:$DX486,MIN($DY486:$EL486)))</f>
        <v/>
      </c>
      <c r="O486" s="37" t="str">
        <f aca="false">IF(COUNT($DY486:$EL486)&lt;2,"",INDEX($DK486:$DX486,MAX($DY486:$EL486))-INDEX($DK486:$DX486,LARGE($DY486:$EL486,2)))</f>
        <v/>
      </c>
      <c r="P486" s="38" t="str">
        <f aca="false">IF(K486="","",IF(K486&gt;=0,"On/above target",IF(AND(N486&lt;&gt;"",N486&gt;=0.5),"Improving towards target",IF(AND(O486&lt;&gt;"",O486&lt;=-0.5),"Declining","Stable below target"))))</f>
        <v/>
      </c>
      <c r="Q486" s="39"/>
      <c r="R486" s="40" t="str">
        <f aca="false">IF(OR(Q486="",BU486=""),"",Q486/BU486*100)</f>
        <v/>
      </c>
      <c r="S486" s="41" t="str">
        <f aca="false">IF(R486="","",IFERROR(MATCH(R486,INDEX(Boundaries!$B$2:$I$30,MATCH(CI486,Boundaries!$A$2:$A$30,0),0),1)-1,""))</f>
        <v/>
      </c>
      <c r="T486" s="42" t="str">
        <f aca="false">IF(OR(S486="",$E486=""),"",S486-$E486)</f>
        <v/>
      </c>
      <c r="U486" s="39"/>
      <c r="V486" s="40" t="str">
        <f aca="false">IF(OR(U486="",BV486=""),"",U486/BV486*100)</f>
        <v/>
      </c>
      <c r="W486" s="41" t="str">
        <f aca="false">IF(V486="","",IFERROR(MATCH(V486,INDEX(Boundaries!$B$2:$I$30,MATCH(CJ486,Boundaries!$A$2:$A$30,0),0),1)-1,""))</f>
        <v/>
      </c>
      <c r="X486" s="42" t="str">
        <f aca="false">IF(OR(W486="",$E486=""),"",W486-$E486)</f>
        <v/>
      </c>
      <c r="Y486" s="39"/>
      <c r="Z486" s="40" t="str">
        <f aca="false">IF(OR(Y486="",BW486=""),"",Y486/BW486*100)</f>
        <v/>
      </c>
      <c r="AA486" s="41" t="str">
        <f aca="false">IF(Z486="","",IFERROR(MATCH(Z486,INDEX(Boundaries!$B$2:$I$30,MATCH(CK486,Boundaries!$A$2:$A$30,0),0),1)-1,""))</f>
        <v/>
      </c>
      <c r="AB486" s="42" t="str">
        <f aca="false">IF(OR(AA486="",$E486=""),"",AA486-$E486)</f>
        <v/>
      </c>
      <c r="AC486" s="39"/>
      <c r="AD486" s="40" t="str">
        <f aca="false">IF(OR(AC486="",BX486=""),"",AC486/BX486*100)</f>
        <v/>
      </c>
      <c r="AE486" s="41" t="str">
        <f aca="false">IF(AD486="","",IFERROR(MATCH(AD486,INDEX(Boundaries!$B$2:$I$30,MATCH(CL486,Boundaries!$A$2:$A$30,0),0),1)-1,""))</f>
        <v/>
      </c>
      <c r="AF486" s="42" t="str">
        <f aca="false">IF(OR(AE486="",$E486=""),"",AE486-$E486)</f>
        <v/>
      </c>
      <c r="AG486" s="39"/>
      <c r="AH486" s="40" t="str">
        <f aca="false">IF(OR(AG486="",BY486=""),"",AG486/BY486*100)</f>
        <v/>
      </c>
      <c r="AI486" s="41" t="str">
        <f aca="false">IF(AH486="","",IFERROR(MATCH(AH486,INDEX(Boundaries!$B$2:$I$30,MATCH(CM486,Boundaries!$A$2:$A$30,0),0),1)-1,""))</f>
        <v/>
      </c>
      <c r="AJ486" s="42" t="str">
        <f aca="false">IF(OR(AI486="",$E486=""),"",AI486-$E486)</f>
        <v/>
      </c>
      <c r="AK486" s="39"/>
      <c r="AL486" s="40" t="str">
        <f aca="false">IF(OR(AK486="",BZ486=""),"",AK486/BZ486*100)</f>
        <v/>
      </c>
      <c r="AM486" s="41" t="str">
        <f aca="false">IF(AL486="","",IFERROR(MATCH(AL486,INDEX(Boundaries!$B$2:$I$30,MATCH(CN486,Boundaries!$A$2:$A$30,0),0),1)-1,""))</f>
        <v/>
      </c>
      <c r="AN486" s="42" t="str">
        <f aca="false">IF(OR(AM486="",$E486=""),"",AM486-$E486)</f>
        <v/>
      </c>
      <c r="AO486" s="39"/>
      <c r="AP486" s="40" t="str">
        <f aca="false">IF(OR(AO486="",CA486=""),"",AO486/CA486*100)</f>
        <v/>
      </c>
      <c r="AQ486" s="41" t="str">
        <f aca="false">IF(AP486="","",IFERROR(MATCH(AP486,INDEX(Boundaries!$B$2:$I$30,MATCH(CO486,Boundaries!$A$2:$A$30,0),0),1)-1,""))</f>
        <v/>
      </c>
      <c r="AR486" s="42" t="str">
        <f aca="false">IF(OR(AQ486="",$E486=""),"",AQ486-$E486)</f>
        <v/>
      </c>
      <c r="AS486" s="39"/>
      <c r="AT486" s="40" t="str">
        <f aca="false">IF(OR(AS486="",CB486=""),"",AS486/CB486*100)</f>
        <v/>
      </c>
      <c r="AU486" s="41" t="str">
        <f aca="false">IF(AT486="","",IFERROR(MATCH(AT486,INDEX(Boundaries!$B$2:$I$30,MATCH(CP486,Boundaries!$A$2:$A$30,0),0),1)-1,""))</f>
        <v/>
      </c>
      <c r="AV486" s="42" t="str">
        <f aca="false">IF(OR(AU486="",$E486=""),"",AU486-$E486)</f>
        <v/>
      </c>
      <c r="AW486" s="39"/>
      <c r="AX486" s="40" t="str">
        <f aca="false">IF(OR(AW486="",CC486=""),"",AW486/CC486*100)</f>
        <v/>
      </c>
      <c r="AY486" s="41" t="str">
        <f aca="false">IF(AX486="","",IFERROR(MATCH(AX486,INDEX(Boundaries!$B$2:$I$30,MATCH(CQ486,Boundaries!$A$2:$A$30,0),0),1)-1,""))</f>
        <v/>
      </c>
      <c r="AZ486" s="42" t="str">
        <f aca="false">IF(OR(AY486="",$E486=""),"",AY486-$E486)</f>
        <v/>
      </c>
      <c r="BA486" s="39"/>
      <c r="BB486" s="40" t="str">
        <f aca="false">IF(OR(BA486="",CD486=""),"",BA486/CD486*100)</f>
        <v/>
      </c>
      <c r="BC486" s="41" t="str">
        <f aca="false">IF(BB486="","",IFERROR(MATCH(BB486,INDEX(Boundaries!$B$2:$I$30,MATCH(CR486,Boundaries!$A$2:$A$30,0),0),1)-1,""))</f>
        <v/>
      </c>
      <c r="BD486" s="42" t="str">
        <f aca="false">IF(OR(BC486="",$E486=""),"",BC486-$E486)</f>
        <v/>
      </c>
      <c r="BE486" s="39"/>
      <c r="BF486" s="40" t="str">
        <f aca="false">IF(OR(BE486="",CE486=""),"",BE486/CE486*100)</f>
        <v/>
      </c>
      <c r="BG486" s="41" t="str">
        <f aca="false">IF(BF486="","",IFERROR(MATCH(BF486,INDEX(Boundaries!$B$2:$I$30,MATCH(CS486,Boundaries!$A$2:$A$30,0),0),1)-1,""))</f>
        <v/>
      </c>
      <c r="BH486" s="42" t="str">
        <f aca="false">IF(OR(BG486="",$E486=""),"",BG486-$E486)</f>
        <v/>
      </c>
      <c r="BI486" s="39"/>
      <c r="BJ486" s="40" t="str">
        <f aca="false">IF(OR(BI486="",CF486=""),"",BI486/CF486*100)</f>
        <v/>
      </c>
      <c r="BK486" s="41" t="str">
        <f aca="false">IF(BJ486="","",IFERROR(MATCH(BJ486,INDEX(Boundaries!$B$2:$I$30,MATCH(CT486,Boundaries!$A$2:$A$30,0),0),1)-1,""))</f>
        <v/>
      </c>
      <c r="BL486" s="42" t="str">
        <f aca="false">IF(OR(BK486="",$E486=""),"",BK486-$E486)</f>
        <v/>
      </c>
      <c r="BM486" s="39"/>
      <c r="BN486" s="40" t="str">
        <f aca="false">IF(OR(BM486="",CG486=""),"",BM486/CG486*100)</f>
        <v/>
      </c>
      <c r="BO486" s="41" t="str">
        <f aca="false">IF(BN486="","",IFERROR(MATCH(BN486,INDEX(Boundaries!$B$2:$I$30,MATCH(CU486,Boundaries!$A$2:$A$30,0),0),1)-1,""))</f>
        <v/>
      </c>
      <c r="BP486" s="42" t="str">
        <f aca="false">IF(OR(BO486="",$E486=""),"",BO486-$E486)</f>
        <v/>
      </c>
      <c r="BQ486" s="39"/>
      <c r="BR486" s="40" t="str">
        <f aca="false">IF(OR(BQ486="",CH486=""),"",BQ486/CH486*100)</f>
        <v/>
      </c>
      <c r="BS486" s="41" t="str">
        <f aca="false">IF(BR486="","",IFERROR(MATCH(BR486,INDEX(Boundaries!$B$2:$I$30,MATCH(CV486,Boundaries!$A$2:$A$30,0),0),1)-1,""))</f>
        <v/>
      </c>
      <c r="BT486" s="42" t="str">
        <f aca="false">IF(OR(BS486="",$E486=""),"",BS486-$E486)</f>
        <v/>
      </c>
      <c r="BU486" s="28" t="str">
        <f aca="false">IFERROR(INDEX(Assessments!$H$2:$H$600,MATCH($H486&amp;"|"&amp;$I486&amp;"|"&amp;$J486&amp;"|"&amp;1,Assessments!$A$2:$A$600,0)),"")</f>
        <v/>
      </c>
      <c r="BV486" s="28" t="str">
        <f aca="false">IFERROR(INDEX(Assessments!$H$2:$H$600,MATCH($H486&amp;"|"&amp;$I486&amp;"|"&amp;$J486&amp;"|"&amp;2,Assessments!$A$2:$A$600,0)),"")</f>
        <v/>
      </c>
      <c r="BW486" s="28" t="str">
        <f aca="false">IFERROR(INDEX(Assessments!$H$2:$H$600,MATCH($H486&amp;"|"&amp;$I486&amp;"|"&amp;$J486&amp;"|"&amp;3,Assessments!$A$2:$A$600,0)),"")</f>
        <v/>
      </c>
      <c r="BX486" s="28" t="str">
        <f aca="false">IFERROR(INDEX(Assessments!$H$2:$H$600,MATCH($H486&amp;"|"&amp;$I486&amp;"|"&amp;$J486&amp;"|"&amp;4,Assessments!$A$2:$A$600,0)),"")</f>
        <v/>
      </c>
      <c r="BY486" s="28" t="str">
        <f aca="false">IFERROR(INDEX(Assessments!$H$2:$H$600,MATCH($H486&amp;"|"&amp;$I486&amp;"|"&amp;$J486&amp;"|"&amp;5,Assessments!$A$2:$A$600,0)),"")</f>
        <v/>
      </c>
      <c r="BZ486" s="28" t="str">
        <f aca="false">IFERROR(INDEX(Assessments!$H$2:$H$600,MATCH($H486&amp;"|"&amp;$I486&amp;"|"&amp;$J486&amp;"|"&amp;6,Assessments!$A$2:$A$600,0)),"")</f>
        <v/>
      </c>
      <c r="CA486" s="28" t="str">
        <f aca="false">IFERROR(INDEX(Assessments!$H$2:$H$600,MATCH($H486&amp;"|"&amp;$I486&amp;"|"&amp;$J486&amp;"|"&amp;7,Assessments!$A$2:$A$600,0)),"")</f>
        <v/>
      </c>
      <c r="CB486" s="28" t="str">
        <f aca="false">IFERROR(INDEX(Assessments!$H$2:$H$600,MATCH($H486&amp;"|"&amp;$I486&amp;"|"&amp;$J486&amp;"|"&amp;8,Assessments!$A$2:$A$600,0)),"")</f>
        <v/>
      </c>
      <c r="CC486" s="28" t="str">
        <f aca="false">IFERROR(INDEX(Assessments!$H$2:$H$600,MATCH($H486&amp;"|"&amp;$I486&amp;"|"&amp;$J486&amp;"|"&amp;9,Assessments!$A$2:$A$600,0)),"")</f>
        <v/>
      </c>
      <c r="CD486" s="28" t="str">
        <f aca="false">IFERROR(INDEX(Assessments!$H$2:$H$600,MATCH($H486&amp;"|"&amp;$I486&amp;"|"&amp;$J486&amp;"|"&amp;10,Assessments!$A$2:$A$600,0)),"")</f>
        <v/>
      </c>
      <c r="CE486" s="28" t="str">
        <f aca="false">IFERROR(INDEX(Assessments!$H$2:$H$600,MATCH($H486&amp;"|"&amp;$I486&amp;"|"&amp;$J486&amp;"|"&amp;11,Assessments!$A$2:$A$600,0)),"")</f>
        <v/>
      </c>
      <c r="CF486" s="28" t="str">
        <f aca="false">IFERROR(INDEX(Assessments!$H$2:$H$600,MATCH($H486&amp;"|"&amp;$I486&amp;"|"&amp;$J486&amp;"|"&amp;12,Assessments!$A$2:$A$600,0)),"")</f>
        <v/>
      </c>
      <c r="CG486" s="28" t="str">
        <f aca="false">IFERROR(INDEX(Assessments!$H$2:$H$600,MATCH($H486&amp;"|"&amp;$I486&amp;"|"&amp;$J486&amp;"|"&amp;13,Assessments!$A$2:$A$600,0)),"")</f>
        <v/>
      </c>
      <c r="CH486" s="28" t="str">
        <f aca="false">IFERROR(INDEX(Assessments!$H$2:$H$600,MATCH($H486&amp;"|"&amp;$I486&amp;"|"&amp;$J486&amp;"|"&amp;14,Assessments!$A$2:$A$600,0)),"")</f>
        <v/>
      </c>
      <c r="CI486" s="28" t="str">
        <f aca="false">IFERROR(INDEX(Assessments!$I$2:$I$600,MATCH($H486&amp;"|"&amp;$I486&amp;"|"&amp;$J486&amp;"|"&amp;1,Assessments!$A$2:$A$600,0)),"")</f>
        <v/>
      </c>
      <c r="CJ486" s="28" t="str">
        <f aca="false">IFERROR(INDEX(Assessments!$I$2:$I$600,MATCH($H486&amp;"|"&amp;$I486&amp;"|"&amp;$J486&amp;"|"&amp;2,Assessments!$A$2:$A$600,0)),"")</f>
        <v/>
      </c>
      <c r="CK486" s="28" t="str">
        <f aca="false">IFERROR(INDEX(Assessments!$I$2:$I$600,MATCH($H486&amp;"|"&amp;$I486&amp;"|"&amp;$J486&amp;"|"&amp;3,Assessments!$A$2:$A$600,0)),"")</f>
        <v/>
      </c>
      <c r="CL486" s="28" t="str">
        <f aca="false">IFERROR(INDEX(Assessments!$I$2:$I$600,MATCH($H486&amp;"|"&amp;$I486&amp;"|"&amp;$J486&amp;"|"&amp;4,Assessments!$A$2:$A$600,0)),"")</f>
        <v/>
      </c>
      <c r="CM486" s="28" t="str">
        <f aca="false">IFERROR(INDEX(Assessments!$I$2:$I$600,MATCH($H486&amp;"|"&amp;$I486&amp;"|"&amp;$J486&amp;"|"&amp;5,Assessments!$A$2:$A$600,0)),"")</f>
        <v/>
      </c>
      <c r="CN486" s="28" t="str">
        <f aca="false">IFERROR(INDEX(Assessments!$I$2:$I$600,MATCH($H486&amp;"|"&amp;$I486&amp;"|"&amp;$J486&amp;"|"&amp;6,Assessments!$A$2:$A$600,0)),"")</f>
        <v/>
      </c>
      <c r="CO486" s="28" t="str">
        <f aca="false">IFERROR(INDEX(Assessments!$I$2:$I$600,MATCH($H486&amp;"|"&amp;$I486&amp;"|"&amp;$J486&amp;"|"&amp;7,Assessments!$A$2:$A$600,0)),"")</f>
        <v/>
      </c>
      <c r="CP486" s="28" t="str">
        <f aca="false">IFERROR(INDEX(Assessments!$I$2:$I$600,MATCH($H486&amp;"|"&amp;$I486&amp;"|"&amp;$J486&amp;"|"&amp;8,Assessments!$A$2:$A$600,0)),"")</f>
        <v/>
      </c>
      <c r="CQ486" s="28" t="str">
        <f aca="false">IFERROR(INDEX(Assessments!$I$2:$I$600,MATCH($H486&amp;"|"&amp;$I486&amp;"|"&amp;$J486&amp;"|"&amp;9,Assessments!$A$2:$A$600,0)),"")</f>
        <v/>
      </c>
      <c r="CR486" s="28" t="str">
        <f aca="false">IFERROR(INDEX(Assessments!$I$2:$I$600,MATCH($H486&amp;"|"&amp;$I486&amp;"|"&amp;$J486&amp;"|"&amp;10,Assessments!$A$2:$A$600,0)),"")</f>
        <v/>
      </c>
      <c r="CS486" s="28" t="str">
        <f aca="false">IFERROR(INDEX(Assessments!$I$2:$I$600,MATCH($H486&amp;"|"&amp;$I486&amp;"|"&amp;$J486&amp;"|"&amp;11,Assessments!$A$2:$A$600,0)),"")</f>
        <v/>
      </c>
      <c r="CT486" s="28" t="str">
        <f aca="false">IFERROR(INDEX(Assessments!$I$2:$I$600,MATCH($H486&amp;"|"&amp;$I486&amp;"|"&amp;$J486&amp;"|"&amp;12,Assessments!$A$2:$A$600,0)),"")</f>
        <v/>
      </c>
      <c r="CU486" s="28" t="str">
        <f aca="false">IFERROR(INDEX(Assessments!$I$2:$I$600,MATCH($H486&amp;"|"&amp;$I486&amp;"|"&amp;$J486&amp;"|"&amp;13,Assessments!$A$2:$A$600,0)),"")</f>
        <v/>
      </c>
      <c r="CV486" s="28" t="str">
        <f aca="false">IFERROR(INDEX(Assessments!$I$2:$I$600,MATCH($H486&amp;"|"&amp;$I486&amp;"|"&amp;$J486&amp;"|"&amp;14,Assessments!$A$2:$A$600,0)),"")</f>
        <v/>
      </c>
      <c r="CW486" s="28" t="n">
        <f aca="false">IFERROR(INDEX(Assessments!$J$2:$J$600,MATCH($H486&amp;"|"&amp;$I486&amp;"|"&amp;$J486&amp;"|"&amp;1,Assessments!$A$2:$A$600,0)),0)</f>
        <v>0</v>
      </c>
      <c r="CX486" s="28" t="n">
        <f aca="false">IFERROR(INDEX(Assessments!$J$2:$J$600,MATCH($H486&amp;"|"&amp;$I486&amp;"|"&amp;$J486&amp;"|"&amp;2,Assessments!$A$2:$A$600,0)),0)</f>
        <v>0</v>
      </c>
      <c r="CY486" s="28" t="n">
        <f aca="false">IFERROR(INDEX(Assessments!$J$2:$J$600,MATCH($H486&amp;"|"&amp;$I486&amp;"|"&amp;$J486&amp;"|"&amp;3,Assessments!$A$2:$A$600,0)),0)</f>
        <v>0</v>
      </c>
      <c r="CZ486" s="28" t="n">
        <f aca="false">IFERROR(INDEX(Assessments!$J$2:$J$600,MATCH($H486&amp;"|"&amp;$I486&amp;"|"&amp;$J486&amp;"|"&amp;4,Assessments!$A$2:$A$600,0)),0)</f>
        <v>0</v>
      </c>
      <c r="DA486" s="28" t="n">
        <f aca="false">IFERROR(INDEX(Assessments!$J$2:$J$600,MATCH($H486&amp;"|"&amp;$I486&amp;"|"&amp;$J486&amp;"|"&amp;5,Assessments!$A$2:$A$600,0)),0)</f>
        <v>0</v>
      </c>
      <c r="DB486" s="28" t="n">
        <f aca="false">IFERROR(INDEX(Assessments!$J$2:$J$600,MATCH($H486&amp;"|"&amp;$I486&amp;"|"&amp;$J486&amp;"|"&amp;6,Assessments!$A$2:$A$600,0)),0)</f>
        <v>0</v>
      </c>
      <c r="DC486" s="28" t="n">
        <f aca="false">IFERROR(INDEX(Assessments!$J$2:$J$600,MATCH($H486&amp;"|"&amp;$I486&amp;"|"&amp;$J486&amp;"|"&amp;7,Assessments!$A$2:$A$600,0)),0)</f>
        <v>0</v>
      </c>
      <c r="DD486" s="28" t="n">
        <f aca="false">IFERROR(INDEX(Assessments!$J$2:$J$600,MATCH($H486&amp;"|"&amp;$I486&amp;"|"&amp;$J486&amp;"|"&amp;8,Assessments!$A$2:$A$600,0)),0)</f>
        <v>0</v>
      </c>
      <c r="DE486" s="28" t="n">
        <f aca="false">IFERROR(INDEX(Assessments!$J$2:$J$600,MATCH($H486&amp;"|"&amp;$I486&amp;"|"&amp;$J486&amp;"|"&amp;9,Assessments!$A$2:$A$600,0)),0)</f>
        <v>0</v>
      </c>
      <c r="DF486" s="28" t="n">
        <f aca="false">IFERROR(INDEX(Assessments!$J$2:$J$600,MATCH($H486&amp;"|"&amp;$I486&amp;"|"&amp;$J486&amp;"|"&amp;10,Assessments!$A$2:$A$600,0)),0)</f>
        <v>0</v>
      </c>
      <c r="DG486" s="28" t="n">
        <f aca="false">IFERROR(INDEX(Assessments!$J$2:$J$600,MATCH($H486&amp;"|"&amp;$I486&amp;"|"&amp;$J486&amp;"|"&amp;11,Assessments!$A$2:$A$600,0)),0)</f>
        <v>0</v>
      </c>
      <c r="DH486" s="28" t="n">
        <f aca="false">IFERROR(INDEX(Assessments!$J$2:$J$600,MATCH($H486&amp;"|"&amp;$I486&amp;"|"&amp;$J486&amp;"|"&amp;12,Assessments!$A$2:$A$600,0)),0)</f>
        <v>0</v>
      </c>
      <c r="DI486" s="28" t="n">
        <f aca="false">IFERROR(INDEX(Assessments!$J$2:$J$600,MATCH($H486&amp;"|"&amp;$I486&amp;"|"&amp;$J486&amp;"|"&amp;13,Assessments!$A$2:$A$600,0)),0)</f>
        <v>0</v>
      </c>
      <c r="DJ486" s="28" t="n">
        <f aca="false">IFERROR(INDEX(Assessments!$J$2:$J$600,MATCH($H486&amp;"|"&amp;$I486&amp;"|"&amp;$J486&amp;"|"&amp;14,Assessments!$A$2:$A$600,0)),0)</f>
        <v>0</v>
      </c>
      <c r="DK486" s="28" t="str">
        <f aca="false">S486</f>
        <v/>
      </c>
      <c r="DL486" s="28" t="str">
        <f aca="false">W486</f>
        <v/>
      </c>
      <c r="DM486" s="28" t="str">
        <f aca="false">AA486</f>
        <v/>
      </c>
      <c r="DN486" s="28" t="str">
        <f aca="false">AE486</f>
        <v/>
      </c>
      <c r="DO486" s="28" t="str">
        <f aca="false">AI486</f>
        <v/>
      </c>
      <c r="DP486" s="28" t="str">
        <f aca="false">AM486</f>
        <v/>
      </c>
      <c r="DQ486" s="28" t="str">
        <f aca="false">AQ486</f>
        <v/>
      </c>
      <c r="DR486" s="28" t="str">
        <f aca="false">AU486</f>
        <v/>
      </c>
      <c r="DS486" s="28" t="str">
        <f aca="false">AY486</f>
        <v/>
      </c>
      <c r="DT486" s="28" t="str">
        <f aca="false">BC486</f>
        <v/>
      </c>
      <c r="DU486" s="28" t="str">
        <f aca="false">BG486</f>
        <v/>
      </c>
      <c r="DV486" s="28" t="str">
        <f aca="false">BK486</f>
        <v/>
      </c>
      <c r="DW486" s="28" t="str">
        <f aca="false">BO486</f>
        <v/>
      </c>
      <c r="DX486" s="28" t="str">
        <f aca="false">BS486</f>
        <v/>
      </c>
      <c r="DY486" s="28" t="str">
        <f aca="false">IF(ISNUMBER(S486),1,"")</f>
        <v/>
      </c>
      <c r="DZ486" s="28" t="str">
        <f aca="false">IF(ISNUMBER(W486),2,"")</f>
        <v/>
      </c>
      <c r="EA486" s="28" t="str">
        <f aca="false">IF(ISNUMBER(AA486),3,"")</f>
        <v/>
      </c>
      <c r="EB486" s="28" t="str">
        <f aca="false">IF(ISNUMBER(AE486),4,"")</f>
        <v/>
      </c>
      <c r="EC486" s="28" t="str">
        <f aca="false">IF(ISNUMBER(AI486),5,"")</f>
        <v/>
      </c>
      <c r="ED486" s="28" t="str">
        <f aca="false">IF(ISNUMBER(AM486),6,"")</f>
        <v/>
      </c>
      <c r="EE486" s="28" t="str">
        <f aca="false">IF(ISNUMBER(AQ486),7,"")</f>
        <v/>
      </c>
      <c r="EF486" s="28" t="str">
        <f aca="false">IF(ISNUMBER(AU486),8,"")</f>
        <v/>
      </c>
      <c r="EG486" s="28" t="str">
        <f aca="false">IF(ISNUMBER(AY486),9,"")</f>
        <v/>
      </c>
      <c r="EH486" s="28" t="str">
        <f aca="false">IF(ISNUMBER(BC486),10,"")</f>
        <v/>
      </c>
      <c r="EI486" s="28" t="str">
        <f aca="false">IF(ISNUMBER(BG486),11,"")</f>
        <v/>
      </c>
      <c r="EJ486" s="28" t="str">
        <f aca="false">IF(ISNUMBER(BK486),12,"")</f>
        <v/>
      </c>
      <c r="EK486" s="28" t="str">
        <f aca="false">IF(ISNUMBER(BO486),13,"")</f>
        <v/>
      </c>
      <c r="EL486" s="28" t="str">
        <f aca="false">IF(ISNUMBER(BS486),14,"")</f>
        <v/>
      </c>
      <c r="EM486" s="28" t="n">
        <f aca="false">IF(ISNUMBER(R486),R486*CW486,0)</f>
        <v>0</v>
      </c>
      <c r="EN486" s="28" t="n">
        <f aca="false">IF(ISNUMBER(V486),V486*CX486,0)</f>
        <v>0</v>
      </c>
      <c r="EO486" s="28" t="n">
        <f aca="false">IF(ISNUMBER(Z486),Z486*CY486,0)</f>
        <v>0</v>
      </c>
      <c r="EP486" s="28" t="n">
        <f aca="false">IF(ISNUMBER(AD486),AD486*CZ486,0)</f>
        <v>0</v>
      </c>
      <c r="EQ486" s="28" t="n">
        <f aca="false">IF(ISNUMBER(AH486),AH486*DA486,0)</f>
        <v>0</v>
      </c>
      <c r="ER486" s="28" t="n">
        <f aca="false">IF(ISNUMBER(AL486),AL486*DB486,0)</f>
        <v>0</v>
      </c>
      <c r="ES486" s="28" t="n">
        <f aca="false">IF(ISNUMBER(AP486),AP486*DC486,0)</f>
        <v>0</v>
      </c>
      <c r="ET486" s="28" t="n">
        <f aca="false">IF(ISNUMBER(AT486),AT486*DD486,0)</f>
        <v>0</v>
      </c>
      <c r="EU486" s="28" t="n">
        <f aca="false">IF(ISNUMBER(AX486),AX486*DE486,0)</f>
        <v>0</v>
      </c>
      <c r="EV486" s="28" t="n">
        <f aca="false">IF(ISNUMBER(BB486),BB486*DF486,0)</f>
        <v>0</v>
      </c>
      <c r="EW486" s="28" t="n">
        <f aca="false">IF(ISNUMBER(BF486),BF486*DG486,0)</f>
        <v>0</v>
      </c>
      <c r="EX486" s="28" t="n">
        <f aca="false">IF(ISNUMBER(BJ486),BJ486*DH486,0)</f>
        <v>0</v>
      </c>
      <c r="EY486" s="28" t="n">
        <f aca="false">IF(ISNUMBER(BN486),BN486*DI486,0)</f>
        <v>0</v>
      </c>
      <c r="EZ486" s="28" t="n">
        <f aca="false">IF(ISNUMBER(BR486),BR486*DJ486,0)</f>
        <v>0</v>
      </c>
      <c r="FA486" s="28" t="n">
        <f aca="false">IF(ISNUMBER(R486),CW486,0)</f>
        <v>0</v>
      </c>
      <c r="FB486" s="28" t="n">
        <f aca="false">IF(ISNUMBER(V486),CX486,0)</f>
        <v>0</v>
      </c>
      <c r="FC486" s="28" t="n">
        <f aca="false">IF(ISNUMBER(Z486),CY486,0)</f>
        <v>0</v>
      </c>
      <c r="FD486" s="28" t="n">
        <f aca="false">IF(ISNUMBER(AD486),CZ486,0)</f>
        <v>0</v>
      </c>
      <c r="FE486" s="28" t="n">
        <f aca="false">IF(ISNUMBER(AH486),DA486,0)</f>
        <v>0</v>
      </c>
      <c r="FF486" s="28" t="n">
        <f aca="false">IF(ISNUMBER(AL486),DB486,0)</f>
        <v>0</v>
      </c>
      <c r="FG486" s="28" t="n">
        <f aca="false">IF(ISNUMBER(AP486),DC486,0)</f>
        <v>0</v>
      </c>
      <c r="FH486" s="28" t="n">
        <f aca="false">IF(ISNUMBER(AT486),DD486,0)</f>
        <v>0</v>
      </c>
      <c r="FI486" s="28" t="n">
        <f aca="false">IF(ISNUMBER(AX486),DE486,0)</f>
        <v>0</v>
      </c>
      <c r="FJ486" s="28" t="n">
        <f aca="false">IF(ISNUMBER(BB486),DF486,0)</f>
        <v>0</v>
      </c>
      <c r="FK486" s="28" t="n">
        <f aca="false">IF(ISNUMBER(BF486),DG486,0)</f>
        <v>0</v>
      </c>
      <c r="FL486" s="28" t="n">
        <f aca="false">IF(ISNUMBER(BJ486),DH486,0)</f>
        <v>0</v>
      </c>
      <c r="FM486" s="28" t="n">
        <f aca="false">IF(ISNUMBER(BN486),DI486,0)</f>
        <v>0</v>
      </c>
      <c r="FN486" s="28" t="n">
        <f aca="false">IF(ISNUMBER(BR486),DJ486,0)</f>
        <v>0</v>
      </c>
      <c r="FO486" s="28" t="str">
        <f aca="false">IFERROR(INDEX(Lists!$G$2:$G$20,MATCH($I486&amp;"|"&amp;$J486,Lists!$F$2:$F$20,0)),"")</f>
        <v/>
      </c>
    </row>
    <row r="487" customFormat="false" ht="19.5" hidden="false" customHeight="true" outlineLevel="0" collapsed="false">
      <c r="A487" s="29"/>
      <c r="B487" s="29"/>
      <c r="C487" s="30"/>
      <c r="D487" s="30"/>
      <c r="E487" s="31"/>
      <c r="F487" s="30"/>
      <c r="G487" s="30"/>
      <c r="H487" s="32"/>
      <c r="I487" s="33"/>
      <c r="J487" s="32"/>
      <c r="K487" s="34" t="str">
        <f aca="false">IF(OR(M487="",$E487=""),"",M487-$E487)</f>
        <v/>
      </c>
      <c r="L487" s="35" t="str">
        <f aca="false">IF(SUM(FA487:FN487)=0,"",SUM(EM487:EZ487)/SUM(FA487:FN487))</f>
        <v/>
      </c>
      <c r="M487" s="36" t="str">
        <f aca="false">IF(OR(L487="",FO487=""),"",IFERROR(MATCH(L487,INDEX(Boundaries!$B$2:$I$30,MATCH(FO487,Boundaries!$A$2:$A$30,0),0),1)-1,""))</f>
        <v/>
      </c>
      <c r="N487" s="37" t="str">
        <f aca="false">IF(COUNT($DY487:$EL487)&lt;2,"",INDEX($DK487:$DX487,MAX($DY487:$EL487))-INDEX($DK487:$DX487,MIN($DY487:$EL487)))</f>
        <v/>
      </c>
      <c r="O487" s="37" t="str">
        <f aca="false">IF(COUNT($DY487:$EL487)&lt;2,"",INDEX($DK487:$DX487,MAX($DY487:$EL487))-INDEX($DK487:$DX487,LARGE($DY487:$EL487,2)))</f>
        <v/>
      </c>
      <c r="P487" s="38" t="str">
        <f aca="false">IF(K487="","",IF(K487&gt;=0,"On/above target",IF(AND(N487&lt;&gt;"",N487&gt;=0.5),"Improving towards target",IF(AND(O487&lt;&gt;"",O487&lt;=-0.5),"Declining","Stable below target"))))</f>
        <v/>
      </c>
      <c r="Q487" s="39"/>
      <c r="R487" s="40" t="str">
        <f aca="false">IF(OR(Q487="",BU487=""),"",Q487/BU487*100)</f>
        <v/>
      </c>
      <c r="S487" s="41" t="str">
        <f aca="false">IF(R487="","",IFERROR(MATCH(R487,INDEX(Boundaries!$B$2:$I$30,MATCH(CI487,Boundaries!$A$2:$A$30,0),0),1)-1,""))</f>
        <v/>
      </c>
      <c r="T487" s="42" t="str">
        <f aca="false">IF(OR(S487="",$E487=""),"",S487-$E487)</f>
        <v/>
      </c>
      <c r="U487" s="39"/>
      <c r="V487" s="40" t="str">
        <f aca="false">IF(OR(U487="",BV487=""),"",U487/BV487*100)</f>
        <v/>
      </c>
      <c r="W487" s="41" t="str">
        <f aca="false">IF(V487="","",IFERROR(MATCH(V487,INDEX(Boundaries!$B$2:$I$30,MATCH(CJ487,Boundaries!$A$2:$A$30,0),0),1)-1,""))</f>
        <v/>
      </c>
      <c r="X487" s="42" t="str">
        <f aca="false">IF(OR(W487="",$E487=""),"",W487-$E487)</f>
        <v/>
      </c>
      <c r="Y487" s="39"/>
      <c r="Z487" s="40" t="str">
        <f aca="false">IF(OR(Y487="",BW487=""),"",Y487/BW487*100)</f>
        <v/>
      </c>
      <c r="AA487" s="41" t="str">
        <f aca="false">IF(Z487="","",IFERROR(MATCH(Z487,INDEX(Boundaries!$B$2:$I$30,MATCH(CK487,Boundaries!$A$2:$A$30,0),0),1)-1,""))</f>
        <v/>
      </c>
      <c r="AB487" s="42" t="str">
        <f aca="false">IF(OR(AA487="",$E487=""),"",AA487-$E487)</f>
        <v/>
      </c>
      <c r="AC487" s="39"/>
      <c r="AD487" s="40" t="str">
        <f aca="false">IF(OR(AC487="",BX487=""),"",AC487/BX487*100)</f>
        <v/>
      </c>
      <c r="AE487" s="41" t="str">
        <f aca="false">IF(AD487="","",IFERROR(MATCH(AD487,INDEX(Boundaries!$B$2:$I$30,MATCH(CL487,Boundaries!$A$2:$A$30,0),0),1)-1,""))</f>
        <v/>
      </c>
      <c r="AF487" s="42" t="str">
        <f aca="false">IF(OR(AE487="",$E487=""),"",AE487-$E487)</f>
        <v/>
      </c>
      <c r="AG487" s="39"/>
      <c r="AH487" s="40" t="str">
        <f aca="false">IF(OR(AG487="",BY487=""),"",AG487/BY487*100)</f>
        <v/>
      </c>
      <c r="AI487" s="41" t="str">
        <f aca="false">IF(AH487="","",IFERROR(MATCH(AH487,INDEX(Boundaries!$B$2:$I$30,MATCH(CM487,Boundaries!$A$2:$A$30,0),0),1)-1,""))</f>
        <v/>
      </c>
      <c r="AJ487" s="42" t="str">
        <f aca="false">IF(OR(AI487="",$E487=""),"",AI487-$E487)</f>
        <v/>
      </c>
      <c r="AK487" s="39"/>
      <c r="AL487" s="40" t="str">
        <f aca="false">IF(OR(AK487="",BZ487=""),"",AK487/BZ487*100)</f>
        <v/>
      </c>
      <c r="AM487" s="41" t="str">
        <f aca="false">IF(AL487="","",IFERROR(MATCH(AL487,INDEX(Boundaries!$B$2:$I$30,MATCH(CN487,Boundaries!$A$2:$A$30,0),0),1)-1,""))</f>
        <v/>
      </c>
      <c r="AN487" s="42" t="str">
        <f aca="false">IF(OR(AM487="",$E487=""),"",AM487-$E487)</f>
        <v/>
      </c>
      <c r="AO487" s="39"/>
      <c r="AP487" s="40" t="str">
        <f aca="false">IF(OR(AO487="",CA487=""),"",AO487/CA487*100)</f>
        <v/>
      </c>
      <c r="AQ487" s="41" t="str">
        <f aca="false">IF(AP487="","",IFERROR(MATCH(AP487,INDEX(Boundaries!$B$2:$I$30,MATCH(CO487,Boundaries!$A$2:$A$30,0),0),1)-1,""))</f>
        <v/>
      </c>
      <c r="AR487" s="42" t="str">
        <f aca="false">IF(OR(AQ487="",$E487=""),"",AQ487-$E487)</f>
        <v/>
      </c>
      <c r="AS487" s="39"/>
      <c r="AT487" s="40" t="str">
        <f aca="false">IF(OR(AS487="",CB487=""),"",AS487/CB487*100)</f>
        <v/>
      </c>
      <c r="AU487" s="41" t="str">
        <f aca="false">IF(AT487="","",IFERROR(MATCH(AT487,INDEX(Boundaries!$B$2:$I$30,MATCH(CP487,Boundaries!$A$2:$A$30,0),0),1)-1,""))</f>
        <v/>
      </c>
      <c r="AV487" s="42" t="str">
        <f aca="false">IF(OR(AU487="",$E487=""),"",AU487-$E487)</f>
        <v/>
      </c>
      <c r="AW487" s="39"/>
      <c r="AX487" s="40" t="str">
        <f aca="false">IF(OR(AW487="",CC487=""),"",AW487/CC487*100)</f>
        <v/>
      </c>
      <c r="AY487" s="41" t="str">
        <f aca="false">IF(AX487="","",IFERROR(MATCH(AX487,INDEX(Boundaries!$B$2:$I$30,MATCH(CQ487,Boundaries!$A$2:$A$30,0),0),1)-1,""))</f>
        <v/>
      </c>
      <c r="AZ487" s="42" t="str">
        <f aca="false">IF(OR(AY487="",$E487=""),"",AY487-$E487)</f>
        <v/>
      </c>
      <c r="BA487" s="39"/>
      <c r="BB487" s="40" t="str">
        <f aca="false">IF(OR(BA487="",CD487=""),"",BA487/CD487*100)</f>
        <v/>
      </c>
      <c r="BC487" s="41" t="str">
        <f aca="false">IF(BB487="","",IFERROR(MATCH(BB487,INDEX(Boundaries!$B$2:$I$30,MATCH(CR487,Boundaries!$A$2:$A$30,0),0),1)-1,""))</f>
        <v/>
      </c>
      <c r="BD487" s="42" t="str">
        <f aca="false">IF(OR(BC487="",$E487=""),"",BC487-$E487)</f>
        <v/>
      </c>
      <c r="BE487" s="39"/>
      <c r="BF487" s="40" t="str">
        <f aca="false">IF(OR(BE487="",CE487=""),"",BE487/CE487*100)</f>
        <v/>
      </c>
      <c r="BG487" s="41" t="str">
        <f aca="false">IF(BF487="","",IFERROR(MATCH(BF487,INDEX(Boundaries!$B$2:$I$30,MATCH(CS487,Boundaries!$A$2:$A$30,0),0),1)-1,""))</f>
        <v/>
      </c>
      <c r="BH487" s="42" t="str">
        <f aca="false">IF(OR(BG487="",$E487=""),"",BG487-$E487)</f>
        <v/>
      </c>
      <c r="BI487" s="39"/>
      <c r="BJ487" s="40" t="str">
        <f aca="false">IF(OR(BI487="",CF487=""),"",BI487/CF487*100)</f>
        <v/>
      </c>
      <c r="BK487" s="41" t="str">
        <f aca="false">IF(BJ487="","",IFERROR(MATCH(BJ487,INDEX(Boundaries!$B$2:$I$30,MATCH(CT487,Boundaries!$A$2:$A$30,0),0),1)-1,""))</f>
        <v/>
      </c>
      <c r="BL487" s="42" t="str">
        <f aca="false">IF(OR(BK487="",$E487=""),"",BK487-$E487)</f>
        <v/>
      </c>
      <c r="BM487" s="39"/>
      <c r="BN487" s="40" t="str">
        <f aca="false">IF(OR(BM487="",CG487=""),"",BM487/CG487*100)</f>
        <v/>
      </c>
      <c r="BO487" s="41" t="str">
        <f aca="false">IF(BN487="","",IFERROR(MATCH(BN487,INDEX(Boundaries!$B$2:$I$30,MATCH(CU487,Boundaries!$A$2:$A$30,0),0),1)-1,""))</f>
        <v/>
      </c>
      <c r="BP487" s="42" t="str">
        <f aca="false">IF(OR(BO487="",$E487=""),"",BO487-$E487)</f>
        <v/>
      </c>
      <c r="BQ487" s="39"/>
      <c r="BR487" s="40" t="str">
        <f aca="false">IF(OR(BQ487="",CH487=""),"",BQ487/CH487*100)</f>
        <v/>
      </c>
      <c r="BS487" s="41" t="str">
        <f aca="false">IF(BR487="","",IFERROR(MATCH(BR487,INDEX(Boundaries!$B$2:$I$30,MATCH(CV487,Boundaries!$A$2:$A$30,0),0),1)-1,""))</f>
        <v/>
      </c>
      <c r="BT487" s="42" t="str">
        <f aca="false">IF(OR(BS487="",$E487=""),"",BS487-$E487)</f>
        <v/>
      </c>
      <c r="BU487" s="28" t="str">
        <f aca="false">IFERROR(INDEX(Assessments!$H$2:$H$600,MATCH($H487&amp;"|"&amp;$I487&amp;"|"&amp;$J487&amp;"|"&amp;1,Assessments!$A$2:$A$600,0)),"")</f>
        <v/>
      </c>
      <c r="BV487" s="28" t="str">
        <f aca="false">IFERROR(INDEX(Assessments!$H$2:$H$600,MATCH($H487&amp;"|"&amp;$I487&amp;"|"&amp;$J487&amp;"|"&amp;2,Assessments!$A$2:$A$600,0)),"")</f>
        <v/>
      </c>
      <c r="BW487" s="28" t="str">
        <f aca="false">IFERROR(INDEX(Assessments!$H$2:$H$600,MATCH($H487&amp;"|"&amp;$I487&amp;"|"&amp;$J487&amp;"|"&amp;3,Assessments!$A$2:$A$600,0)),"")</f>
        <v/>
      </c>
      <c r="BX487" s="28" t="str">
        <f aca="false">IFERROR(INDEX(Assessments!$H$2:$H$600,MATCH($H487&amp;"|"&amp;$I487&amp;"|"&amp;$J487&amp;"|"&amp;4,Assessments!$A$2:$A$600,0)),"")</f>
        <v/>
      </c>
      <c r="BY487" s="28" t="str">
        <f aca="false">IFERROR(INDEX(Assessments!$H$2:$H$600,MATCH($H487&amp;"|"&amp;$I487&amp;"|"&amp;$J487&amp;"|"&amp;5,Assessments!$A$2:$A$600,0)),"")</f>
        <v/>
      </c>
      <c r="BZ487" s="28" t="str">
        <f aca="false">IFERROR(INDEX(Assessments!$H$2:$H$600,MATCH($H487&amp;"|"&amp;$I487&amp;"|"&amp;$J487&amp;"|"&amp;6,Assessments!$A$2:$A$600,0)),"")</f>
        <v/>
      </c>
      <c r="CA487" s="28" t="str">
        <f aca="false">IFERROR(INDEX(Assessments!$H$2:$H$600,MATCH($H487&amp;"|"&amp;$I487&amp;"|"&amp;$J487&amp;"|"&amp;7,Assessments!$A$2:$A$600,0)),"")</f>
        <v/>
      </c>
      <c r="CB487" s="28" t="str">
        <f aca="false">IFERROR(INDEX(Assessments!$H$2:$H$600,MATCH($H487&amp;"|"&amp;$I487&amp;"|"&amp;$J487&amp;"|"&amp;8,Assessments!$A$2:$A$600,0)),"")</f>
        <v/>
      </c>
      <c r="CC487" s="28" t="str">
        <f aca="false">IFERROR(INDEX(Assessments!$H$2:$H$600,MATCH($H487&amp;"|"&amp;$I487&amp;"|"&amp;$J487&amp;"|"&amp;9,Assessments!$A$2:$A$600,0)),"")</f>
        <v/>
      </c>
      <c r="CD487" s="28" t="str">
        <f aca="false">IFERROR(INDEX(Assessments!$H$2:$H$600,MATCH($H487&amp;"|"&amp;$I487&amp;"|"&amp;$J487&amp;"|"&amp;10,Assessments!$A$2:$A$600,0)),"")</f>
        <v/>
      </c>
      <c r="CE487" s="28" t="str">
        <f aca="false">IFERROR(INDEX(Assessments!$H$2:$H$600,MATCH($H487&amp;"|"&amp;$I487&amp;"|"&amp;$J487&amp;"|"&amp;11,Assessments!$A$2:$A$600,0)),"")</f>
        <v/>
      </c>
      <c r="CF487" s="28" t="str">
        <f aca="false">IFERROR(INDEX(Assessments!$H$2:$H$600,MATCH($H487&amp;"|"&amp;$I487&amp;"|"&amp;$J487&amp;"|"&amp;12,Assessments!$A$2:$A$600,0)),"")</f>
        <v/>
      </c>
      <c r="CG487" s="28" t="str">
        <f aca="false">IFERROR(INDEX(Assessments!$H$2:$H$600,MATCH($H487&amp;"|"&amp;$I487&amp;"|"&amp;$J487&amp;"|"&amp;13,Assessments!$A$2:$A$600,0)),"")</f>
        <v/>
      </c>
      <c r="CH487" s="28" t="str">
        <f aca="false">IFERROR(INDEX(Assessments!$H$2:$H$600,MATCH($H487&amp;"|"&amp;$I487&amp;"|"&amp;$J487&amp;"|"&amp;14,Assessments!$A$2:$A$600,0)),"")</f>
        <v/>
      </c>
      <c r="CI487" s="28" t="str">
        <f aca="false">IFERROR(INDEX(Assessments!$I$2:$I$600,MATCH($H487&amp;"|"&amp;$I487&amp;"|"&amp;$J487&amp;"|"&amp;1,Assessments!$A$2:$A$600,0)),"")</f>
        <v/>
      </c>
      <c r="CJ487" s="28" t="str">
        <f aca="false">IFERROR(INDEX(Assessments!$I$2:$I$600,MATCH($H487&amp;"|"&amp;$I487&amp;"|"&amp;$J487&amp;"|"&amp;2,Assessments!$A$2:$A$600,0)),"")</f>
        <v/>
      </c>
      <c r="CK487" s="28" t="str">
        <f aca="false">IFERROR(INDEX(Assessments!$I$2:$I$600,MATCH($H487&amp;"|"&amp;$I487&amp;"|"&amp;$J487&amp;"|"&amp;3,Assessments!$A$2:$A$600,0)),"")</f>
        <v/>
      </c>
      <c r="CL487" s="28" t="str">
        <f aca="false">IFERROR(INDEX(Assessments!$I$2:$I$600,MATCH($H487&amp;"|"&amp;$I487&amp;"|"&amp;$J487&amp;"|"&amp;4,Assessments!$A$2:$A$600,0)),"")</f>
        <v/>
      </c>
      <c r="CM487" s="28" t="str">
        <f aca="false">IFERROR(INDEX(Assessments!$I$2:$I$600,MATCH($H487&amp;"|"&amp;$I487&amp;"|"&amp;$J487&amp;"|"&amp;5,Assessments!$A$2:$A$600,0)),"")</f>
        <v/>
      </c>
      <c r="CN487" s="28" t="str">
        <f aca="false">IFERROR(INDEX(Assessments!$I$2:$I$600,MATCH($H487&amp;"|"&amp;$I487&amp;"|"&amp;$J487&amp;"|"&amp;6,Assessments!$A$2:$A$600,0)),"")</f>
        <v/>
      </c>
      <c r="CO487" s="28" t="str">
        <f aca="false">IFERROR(INDEX(Assessments!$I$2:$I$600,MATCH($H487&amp;"|"&amp;$I487&amp;"|"&amp;$J487&amp;"|"&amp;7,Assessments!$A$2:$A$600,0)),"")</f>
        <v/>
      </c>
      <c r="CP487" s="28" t="str">
        <f aca="false">IFERROR(INDEX(Assessments!$I$2:$I$600,MATCH($H487&amp;"|"&amp;$I487&amp;"|"&amp;$J487&amp;"|"&amp;8,Assessments!$A$2:$A$600,0)),"")</f>
        <v/>
      </c>
      <c r="CQ487" s="28" t="str">
        <f aca="false">IFERROR(INDEX(Assessments!$I$2:$I$600,MATCH($H487&amp;"|"&amp;$I487&amp;"|"&amp;$J487&amp;"|"&amp;9,Assessments!$A$2:$A$600,0)),"")</f>
        <v/>
      </c>
      <c r="CR487" s="28" t="str">
        <f aca="false">IFERROR(INDEX(Assessments!$I$2:$I$600,MATCH($H487&amp;"|"&amp;$I487&amp;"|"&amp;$J487&amp;"|"&amp;10,Assessments!$A$2:$A$600,0)),"")</f>
        <v/>
      </c>
      <c r="CS487" s="28" t="str">
        <f aca="false">IFERROR(INDEX(Assessments!$I$2:$I$600,MATCH($H487&amp;"|"&amp;$I487&amp;"|"&amp;$J487&amp;"|"&amp;11,Assessments!$A$2:$A$600,0)),"")</f>
        <v/>
      </c>
      <c r="CT487" s="28" t="str">
        <f aca="false">IFERROR(INDEX(Assessments!$I$2:$I$600,MATCH($H487&amp;"|"&amp;$I487&amp;"|"&amp;$J487&amp;"|"&amp;12,Assessments!$A$2:$A$600,0)),"")</f>
        <v/>
      </c>
      <c r="CU487" s="28" t="str">
        <f aca="false">IFERROR(INDEX(Assessments!$I$2:$I$600,MATCH($H487&amp;"|"&amp;$I487&amp;"|"&amp;$J487&amp;"|"&amp;13,Assessments!$A$2:$A$600,0)),"")</f>
        <v/>
      </c>
      <c r="CV487" s="28" t="str">
        <f aca="false">IFERROR(INDEX(Assessments!$I$2:$I$600,MATCH($H487&amp;"|"&amp;$I487&amp;"|"&amp;$J487&amp;"|"&amp;14,Assessments!$A$2:$A$600,0)),"")</f>
        <v/>
      </c>
      <c r="CW487" s="28" t="n">
        <f aca="false">IFERROR(INDEX(Assessments!$J$2:$J$600,MATCH($H487&amp;"|"&amp;$I487&amp;"|"&amp;$J487&amp;"|"&amp;1,Assessments!$A$2:$A$600,0)),0)</f>
        <v>0</v>
      </c>
      <c r="CX487" s="28" t="n">
        <f aca="false">IFERROR(INDEX(Assessments!$J$2:$J$600,MATCH($H487&amp;"|"&amp;$I487&amp;"|"&amp;$J487&amp;"|"&amp;2,Assessments!$A$2:$A$600,0)),0)</f>
        <v>0</v>
      </c>
      <c r="CY487" s="28" t="n">
        <f aca="false">IFERROR(INDEX(Assessments!$J$2:$J$600,MATCH($H487&amp;"|"&amp;$I487&amp;"|"&amp;$J487&amp;"|"&amp;3,Assessments!$A$2:$A$600,0)),0)</f>
        <v>0</v>
      </c>
      <c r="CZ487" s="28" t="n">
        <f aca="false">IFERROR(INDEX(Assessments!$J$2:$J$600,MATCH($H487&amp;"|"&amp;$I487&amp;"|"&amp;$J487&amp;"|"&amp;4,Assessments!$A$2:$A$600,0)),0)</f>
        <v>0</v>
      </c>
      <c r="DA487" s="28" t="n">
        <f aca="false">IFERROR(INDEX(Assessments!$J$2:$J$600,MATCH($H487&amp;"|"&amp;$I487&amp;"|"&amp;$J487&amp;"|"&amp;5,Assessments!$A$2:$A$600,0)),0)</f>
        <v>0</v>
      </c>
      <c r="DB487" s="28" t="n">
        <f aca="false">IFERROR(INDEX(Assessments!$J$2:$J$600,MATCH($H487&amp;"|"&amp;$I487&amp;"|"&amp;$J487&amp;"|"&amp;6,Assessments!$A$2:$A$600,0)),0)</f>
        <v>0</v>
      </c>
      <c r="DC487" s="28" t="n">
        <f aca="false">IFERROR(INDEX(Assessments!$J$2:$J$600,MATCH($H487&amp;"|"&amp;$I487&amp;"|"&amp;$J487&amp;"|"&amp;7,Assessments!$A$2:$A$600,0)),0)</f>
        <v>0</v>
      </c>
      <c r="DD487" s="28" t="n">
        <f aca="false">IFERROR(INDEX(Assessments!$J$2:$J$600,MATCH($H487&amp;"|"&amp;$I487&amp;"|"&amp;$J487&amp;"|"&amp;8,Assessments!$A$2:$A$600,0)),0)</f>
        <v>0</v>
      </c>
      <c r="DE487" s="28" t="n">
        <f aca="false">IFERROR(INDEX(Assessments!$J$2:$J$600,MATCH($H487&amp;"|"&amp;$I487&amp;"|"&amp;$J487&amp;"|"&amp;9,Assessments!$A$2:$A$600,0)),0)</f>
        <v>0</v>
      </c>
      <c r="DF487" s="28" t="n">
        <f aca="false">IFERROR(INDEX(Assessments!$J$2:$J$600,MATCH($H487&amp;"|"&amp;$I487&amp;"|"&amp;$J487&amp;"|"&amp;10,Assessments!$A$2:$A$600,0)),0)</f>
        <v>0</v>
      </c>
      <c r="DG487" s="28" t="n">
        <f aca="false">IFERROR(INDEX(Assessments!$J$2:$J$600,MATCH($H487&amp;"|"&amp;$I487&amp;"|"&amp;$J487&amp;"|"&amp;11,Assessments!$A$2:$A$600,0)),0)</f>
        <v>0</v>
      </c>
      <c r="DH487" s="28" t="n">
        <f aca="false">IFERROR(INDEX(Assessments!$J$2:$J$600,MATCH($H487&amp;"|"&amp;$I487&amp;"|"&amp;$J487&amp;"|"&amp;12,Assessments!$A$2:$A$600,0)),0)</f>
        <v>0</v>
      </c>
      <c r="DI487" s="28" t="n">
        <f aca="false">IFERROR(INDEX(Assessments!$J$2:$J$600,MATCH($H487&amp;"|"&amp;$I487&amp;"|"&amp;$J487&amp;"|"&amp;13,Assessments!$A$2:$A$600,0)),0)</f>
        <v>0</v>
      </c>
      <c r="DJ487" s="28" t="n">
        <f aca="false">IFERROR(INDEX(Assessments!$J$2:$J$600,MATCH($H487&amp;"|"&amp;$I487&amp;"|"&amp;$J487&amp;"|"&amp;14,Assessments!$A$2:$A$600,0)),0)</f>
        <v>0</v>
      </c>
      <c r="DK487" s="28" t="str">
        <f aca="false">S487</f>
        <v/>
      </c>
      <c r="DL487" s="28" t="str">
        <f aca="false">W487</f>
        <v/>
      </c>
      <c r="DM487" s="28" t="str">
        <f aca="false">AA487</f>
        <v/>
      </c>
      <c r="DN487" s="28" t="str">
        <f aca="false">AE487</f>
        <v/>
      </c>
      <c r="DO487" s="28" t="str">
        <f aca="false">AI487</f>
        <v/>
      </c>
      <c r="DP487" s="28" t="str">
        <f aca="false">AM487</f>
        <v/>
      </c>
      <c r="DQ487" s="28" t="str">
        <f aca="false">AQ487</f>
        <v/>
      </c>
      <c r="DR487" s="28" t="str">
        <f aca="false">AU487</f>
        <v/>
      </c>
      <c r="DS487" s="28" t="str">
        <f aca="false">AY487</f>
        <v/>
      </c>
      <c r="DT487" s="28" t="str">
        <f aca="false">BC487</f>
        <v/>
      </c>
      <c r="DU487" s="28" t="str">
        <f aca="false">BG487</f>
        <v/>
      </c>
      <c r="DV487" s="28" t="str">
        <f aca="false">BK487</f>
        <v/>
      </c>
      <c r="DW487" s="28" t="str">
        <f aca="false">BO487</f>
        <v/>
      </c>
      <c r="DX487" s="28" t="str">
        <f aca="false">BS487</f>
        <v/>
      </c>
      <c r="DY487" s="28" t="str">
        <f aca="false">IF(ISNUMBER(S487),1,"")</f>
        <v/>
      </c>
      <c r="DZ487" s="28" t="str">
        <f aca="false">IF(ISNUMBER(W487),2,"")</f>
        <v/>
      </c>
      <c r="EA487" s="28" t="str">
        <f aca="false">IF(ISNUMBER(AA487),3,"")</f>
        <v/>
      </c>
      <c r="EB487" s="28" t="str">
        <f aca="false">IF(ISNUMBER(AE487),4,"")</f>
        <v/>
      </c>
      <c r="EC487" s="28" t="str">
        <f aca="false">IF(ISNUMBER(AI487),5,"")</f>
        <v/>
      </c>
      <c r="ED487" s="28" t="str">
        <f aca="false">IF(ISNUMBER(AM487),6,"")</f>
        <v/>
      </c>
      <c r="EE487" s="28" t="str">
        <f aca="false">IF(ISNUMBER(AQ487),7,"")</f>
        <v/>
      </c>
      <c r="EF487" s="28" t="str">
        <f aca="false">IF(ISNUMBER(AU487),8,"")</f>
        <v/>
      </c>
      <c r="EG487" s="28" t="str">
        <f aca="false">IF(ISNUMBER(AY487),9,"")</f>
        <v/>
      </c>
      <c r="EH487" s="28" t="str">
        <f aca="false">IF(ISNUMBER(BC487),10,"")</f>
        <v/>
      </c>
      <c r="EI487" s="28" t="str">
        <f aca="false">IF(ISNUMBER(BG487),11,"")</f>
        <v/>
      </c>
      <c r="EJ487" s="28" t="str">
        <f aca="false">IF(ISNUMBER(BK487),12,"")</f>
        <v/>
      </c>
      <c r="EK487" s="28" t="str">
        <f aca="false">IF(ISNUMBER(BO487),13,"")</f>
        <v/>
      </c>
      <c r="EL487" s="28" t="str">
        <f aca="false">IF(ISNUMBER(BS487),14,"")</f>
        <v/>
      </c>
      <c r="EM487" s="28" t="n">
        <f aca="false">IF(ISNUMBER(R487),R487*CW487,0)</f>
        <v>0</v>
      </c>
      <c r="EN487" s="28" t="n">
        <f aca="false">IF(ISNUMBER(V487),V487*CX487,0)</f>
        <v>0</v>
      </c>
      <c r="EO487" s="28" t="n">
        <f aca="false">IF(ISNUMBER(Z487),Z487*CY487,0)</f>
        <v>0</v>
      </c>
      <c r="EP487" s="28" t="n">
        <f aca="false">IF(ISNUMBER(AD487),AD487*CZ487,0)</f>
        <v>0</v>
      </c>
      <c r="EQ487" s="28" t="n">
        <f aca="false">IF(ISNUMBER(AH487),AH487*DA487,0)</f>
        <v>0</v>
      </c>
      <c r="ER487" s="28" t="n">
        <f aca="false">IF(ISNUMBER(AL487),AL487*DB487,0)</f>
        <v>0</v>
      </c>
      <c r="ES487" s="28" t="n">
        <f aca="false">IF(ISNUMBER(AP487),AP487*DC487,0)</f>
        <v>0</v>
      </c>
      <c r="ET487" s="28" t="n">
        <f aca="false">IF(ISNUMBER(AT487),AT487*DD487,0)</f>
        <v>0</v>
      </c>
      <c r="EU487" s="28" t="n">
        <f aca="false">IF(ISNUMBER(AX487),AX487*DE487,0)</f>
        <v>0</v>
      </c>
      <c r="EV487" s="28" t="n">
        <f aca="false">IF(ISNUMBER(BB487),BB487*DF487,0)</f>
        <v>0</v>
      </c>
      <c r="EW487" s="28" t="n">
        <f aca="false">IF(ISNUMBER(BF487),BF487*DG487,0)</f>
        <v>0</v>
      </c>
      <c r="EX487" s="28" t="n">
        <f aca="false">IF(ISNUMBER(BJ487),BJ487*DH487,0)</f>
        <v>0</v>
      </c>
      <c r="EY487" s="28" t="n">
        <f aca="false">IF(ISNUMBER(BN487),BN487*DI487,0)</f>
        <v>0</v>
      </c>
      <c r="EZ487" s="28" t="n">
        <f aca="false">IF(ISNUMBER(BR487),BR487*DJ487,0)</f>
        <v>0</v>
      </c>
      <c r="FA487" s="28" t="n">
        <f aca="false">IF(ISNUMBER(R487),CW487,0)</f>
        <v>0</v>
      </c>
      <c r="FB487" s="28" t="n">
        <f aca="false">IF(ISNUMBER(V487),CX487,0)</f>
        <v>0</v>
      </c>
      <c r="FC487" s="28" t="n">
        <f aca="false">IF(ISNUMBER(Z487),CY487,0)</f>
        <v>0</v>
      </c>
      <c r="FD487" s="28" t="n">
        <f aca="false">IF(ISNUMBER(AD487),CZ487,0)</f>
        <v>0</v>
      </c>
      <c r="FE487" s="28" t="n">
        <f aca="false">IF(ISNUMBER(AH487),DA487,0)</f>
        <v>0</v>
      </c>
      <c r="FF487" s="28" t="n">
        <f aca="false">IF(ISNUMBER(AL487),DB487,0)</f>
        <v>0</v>
      </c>
      <c r="FG487" s="28" t="n">
        <f aca="false">IF(ISNUMBER(AP487),DC487,0)</f>
        <v>0</v>
      </c>
      <c r="FH487" s="28" t="n">
        <f aca="false">IF(ISNUMBER(AT487),DD487,0)</f>
        <v>0</v>
      </c>
      <c r="FI487" s="28" t="n">
        <f aca="false">IF(ISNUMBER(AX487),DE487,0)</f>
        <v>0</v>
      </c>
      <c r="FJ487" s="28" t="n">
        <f aca="false">IF(ISNUMBER(BB487),DF487,0)</f>
        <v>0</v>
      </c>
      <c r="FK487" s="28" t="n">
        <f aca="false">IF(ISNUMBER(BF487),DG487,0)</f>
        <v>0</v>
      </c>
      <c r="FL487" s="28" t="n">
        <f aca="false">IF(ISNUMBER(BJ487),DH487,0)</f>
        <v>0</v>
      </c>
      <c r="FM487" s="28" t="n">
        <f aca="false">IF(ISNUMBER(BN487),DI487,0)</f>
        <v>0</v>
      </c>
      <c r="FN487" s="28" t="n">
        <f aca="false">IF(ISNUMBER(BR487),DJ487,0)</f>
        <v>0</v>
      </c>
      <c r="FO487" s="28" t="str">
        <f aca="false">IFERROR(INDEX(Lists!$G$2:$G$20,MATCH($I487&amp;"|"&amp;$J487,Lists!$F$2:$F$20,0)),"")</f>
        <v/>
      </c>
    </row>
    <row r="488" customFormat="false" ht="19.5" hidden="false" customHeight="true" outlineLevel="0" collapsed="false">
      <c r="A488" s="29"/>
      <c r="B488" s="29"/>
      <c r="C488" s="30"/>
      <c r="D488" s="30"/>
      <c r="E488" s="31"/>
      <c r="F488" s="30"/>
      <c r="G488" s="30"/>
      <c r="H488" s="32"/>
      <c r="I488" s="33"/>
      <c r="J488" s="32"/>
      <c r="K488" s="34" t="str">
        <f aca="false">IF(OR(M488="",$E488=""),"",M488-$E488)</f>
        <v/>
      </c>
      <c r="L488" s="35" t="str">
        <f aca="false">IF(SUM(FA488:FN488)=0,"",SUM(EM488:EZ488)/SUM(FA488:FN488))</f>
        <v/>
      </c>
      <c r="M488" s="36" t="str">
        <f aca="false">IF(OR(L488="",FO488=""),"",IFERROR(MATCH(L488,INDEX(Boundaries!$B$2:$I$30,MATCH(FO488,Boundaries!$A$2:$A$30,0),0),1)-1,""))</f>
        <v/>
      </c>
      <c r="N488" s="37" t="str">
        <f aca="false">IF(COUNT($DY488:$EL488)&lt;2,"",INDEX($DK488:$DX488,MAX($DY488:$EL488))-INDEX($DK488:$DX488,MIN($DY488:$EL488)))</f>
        <v/>
      </c>
      <c r="O488" s="37" t="str">
        <f aca="false">IF(COUNT($DY488:$EL488)&lt;2,"",INDEX($DK488:$DX488,MAX($DY488:$EL488))-INDEX($DK488:$DX488,LARGE($DY488:$EL488,2)))</f>
        <v/>
      </c>
      <c r="P488" s="38" t="str">
        <f aca="false">IF(K488="","",IF(K488&gt;=0,"On/above target",IF(AND(N488&lt;&gt;"",N488&gt;=0.5),"Improving towards target",IF(AND(O488&lt;&gt;"",O488&lt;=-0.5),"Declining","Stable below target"))))</f>
        <v/>
      </c>
      <c r="Q488" s="39"/>
      <c r="R488" s="40" t="str">
        <f aca="false">IF(OR(Q488="",BU488=""),"",Q488/BU488*100)</f>
        <v/>
      </c>
      <c r="S488" s="41" t="str">
        <f aca="false">IF(R488="","",IFERROR(MATCH(R488,INDEX(Boundaries!$B$2:$I$30,MATCH(CI488,Boundaries!$A$2:$A$30,0),0),1)-1,""))</f>
        <v/>
      </c>
      <c r="T488" s="42" t="str">
        <f aca="false">IF(OR(S488="",$E488=""),"",S488-$E488)</f>
        <v/>
      </c>
      <c r="U488" s="39"/>
      <c r="V488" s="40" t="str">
        <f aca="false">IF(OR(U488="",BV488=""),"",U488/BV488*100)</f>
        <v/>
      </c>
      <c r="W488" s="41" t="str">
        <f aca="false">IF(V488="","",IFERROR(MATCH(V488,INDEX(Boundaries!$B$2:$I$30,MATCH(CJ488,Boundaries!$A$2:$A$30,0),0),1)-1,""))</f>
        <v/>
      </c>
      <c r="X488" s="42" t="str">
        <f aca="false">IF(OR(W488="",$E488=""),"",W488-$E488)</f>
        <v/>
      </c>
      <c r="Y488" s="39"/>
      <c r="Z488" s="40" t="str">
        <f aca="false">IF(OR(Y488="",BW488=""),"",Y488/BW488*100)</f>
        <v/>
      </c>
      <c r="AA488" s="41" t="str">
        <f aca="false">IF(Z488="","",IFERROR(MATCH(Z488,INDEX(Boundaries!$B$2:$I$30,MATCH(CK488,Boundaries!$A$2:$A$30,0),0),1)-1,""))</f>
        <v/>
      </c>
      <c r="AB488" s="42" t="str">
        <f aca="false">IF(OR(AA488="",$E488=""),"",AA488-$E488)</f>
        <v/>
      </c>
      <c r="AC488" s="39"/>
      <c r="AD488" s="40" t="str">
        <f aca="false">IF(OR(AC488="",BX488=""),"",AC488/BX488*100)</f>
        <v/>
      </c>
      <c r="AE488" s="41" t="str">
        <f aca="false">IF(AD488="","",IFERROR(MATCH(AD488,INDEX(Boundaries!$B$2:$I$30,MATCH(CL488,Boundaries!$A$2:$A$30,0),0),1)-1,""))</f>
        <v/>
      </c>
      <c r="AF488" s="42" t="str">
        <f aca="false">IF(OR(AE488="",$E488=""),"",AE488-$E488)</f>
        <v/>
      </c>
      <c r="AG488" s="39"/>
      <c r="AH488" s="40" t="str">
        <f aca="false">IF(OR(AG488="",BY488=""),"",AG488/BY488*100)</f>
        <v/>
      </c>
      <c r="AI488" s="41" t="str">
        <f aca="false">IF(AH488="","",IFERROR(MATCH(AH488,INDEX(Boundaries!$B$2:$I$30,MATCH(CM488,Boundaries!$A$2:$A$30,0),0),1)-1,""))</f>
        <v/>
      </c>
      <c r="AJ488" s="42" t="str">
        <f aca="false">IF(OR(AI488="",$E488=""),"",AI488-$E488)</f>
        <v/>
      </c>
      <c r="AK488" s="39"/>
      <c r="AL488" s="40" t="str">
        <f aca="false">IF(OR(AK488="",BZ488=""),"",AK488/BZ488*100)</f>
        <v/>
      </c>
      <c r="AM488" s="41" t="str">
        <f aca="false">IF(AL488="","",IFERROR(MATCH(AL488,INDEX(Boundaries!$B$2:$I$30,MATCH(CN488,Boundaries!$A$2:$A$30,0),0),1)-1,""))</f>
        <v/>
      </c>
      <c r="AN488" s="42" t="str">
        <f aca="false">IF(OR(AM488="",$E488=""),"",AM488-$E488)</f>
        <v/>
      </c>
      <c r="AO488" s="39"/>
      <c r="AP488" s="40" t="str">
        <f aca="false">IF(OR(AO488="",CA488=""),"",AO488/CA488*100)</f>
        <v/>
      </c>
      <c r="AQ488" s="41" t="str">
        <f aca="false">IF(AP488="","",IFERROR(MATCH(AP488,INDEX(Boundaries!$B$2:$I$30,MATCH(CO488,Boundaries!$A$2:$A$30,0),0),1)-1,""))</f>
        <v/>
      </c>
      <c r="AR488" s="42" t="str">
        <f aca="false">IF(OR(AQ488="",$E488=""),"",AQ488-$E488)</f>
        <v/>
      </c>
      <c r="AS488" s="39"/>
      <c r="AT488" s="40" t="str">
        <f aca="false">IF(OR(AS488="",CB488=""),"",AS488/CB488*100)</f>
        <v/>
      </c>
      <c r="AU488" s="41" t="str">
        <f aca="false">IF(AT488="","",IFERROR(MATCH(AT488,INDEX(Boundaries!$B$2:$I$30,MATCH(CP488,Boundaries!$A$2:$A$30,0),0),1)-1,""))</f>
        <v/>
      </c>
      <c r="AV488" s="42" t="str">
        <f aca="false">IF(OR(AU488="",$E488=""),"",AU488-$E488)</f>
        <v/>
      </c>
      <c r="AW488" s="39"/>
      <c r="AX488" s="40" t="str">
        <f aca="false">IF(OR(AW488="",CC488=""),"",AW488/CC488*100)</f>
        <v/>
      </c>
      <c r="AY488" s="41" t="str">
        <f aca="false">IF(AX488="","",IFERROR(MATCH(AX488,INDEX(Boundaries!$B$2:$I$30,MATCH(CQ488,Boundaries!$A$2:$A$30,0),0),1)-1,""))</f>
        <v/>
      </c>
      <c r="AZ488" s="42" t="str">
        <f aca="false">IF(OR(AY488="",$E488=""),"",AY488-$E488)</f>
        <v/>
      </c>
      <c r="BA488" s="39"/>
      <c r="BB488" s="40" t="str">
        <f aca="false">IF(OR(BA488="",CD488=""),"",BA488/CD488*100)</f>
        <v/>
      </c>
      <c r="BC488" s="41" t="str">
        <f aca="false">IF(BB488="","",IFERROR(MATCH(BB488,INDEX(Boundaries!$B$2:$I$30,MATCH(CR488,Boundaries!$A$2:$A$30,0),0),1)-1,""))</f>
        <v/>
      </c>
      <c r="BD488" s="42" t="str">
        <f aca="false">IF(OR(BC488="",$E488=""),"",BC488-$E488)</f>
        <v/>
      </c>
      <c r="BE488" s="39"/>
      <c r="BF488" s="40" t="str">
        <f aca="false">IF(OR(BE488="",CE488=""),"",BE488/CE488*100)</f>
        <v/>
      </c>
      <c r="BG488" s="41" t="str">
        <f aca="false">IF(BF488="","",IFERROR(MATCH(BF488,INDEX(Boundaries!$B$2:$I$30,MATCH(CS488,Boundaries!$A$2:$A$30,0),0),1)-1,""))</f>
        <v/>
      </c>
      <c r="BH488" s="42" t="str">
        <f aca="false">IF(OR(BG488="",$E488=""),"",BG488-$E488)</f>
        <v/>
      </c>
      <c r="BI488" s="39"/>
      <c r="BJ488" s="40" t="str">
        <f aca="false">IF(OR(BI488="",CF488=""),"",BI488/CF488*100)</f>
        <v/>
      </c>
      <c r="BK488" s="41" t="str">
        <f aca="false">IF(BJ488="","",IFERROR(MATCH(BJ488,INDEX(Boundaries!$B$2:$I$30,MATCH(CT488,Boundaries!$A$2:$A$30,0),0),1)-1,""))</f>
        <v/>
      </c>
      <c r="BL488" s="42" t="str">
        <f aca="false">IF(OR(BK488="",$E488=""),"",BK488-$E488)</f>
        <v/>
      </c>
      <c r="BM488" s="39"/>
      <c r="BN488" s="40" t="str">
        <f aca="false">IF(OR(BM488="",CG488=""),"",BM488/CG488*100)</f>
        <v/>
      </c>
      <c r="BO488" s="41" t="str">
        <f aca="false">IF(BN488="","",IFERROR(MATCH(BN488,INDEX(Boundaries!$B$2:$I$30,MATCH(CU488,Boundaries!$A$2:$A$30,0),0),1)-1,""))</f>
        <v/>
      </c>
      <c r="BP488" s="42" t="str">
        <f aca="false">IF(OR(BO488="",$E488=""),"",BO488-$E488)</f>
        <v/>
      </c>
      <c r="BQ488" s="39"/>
      <c r="BR488" s="40" t="str">
        <f aca="false">IF(OR(BQ488="",CH488=""),"",BQ488/CH488*100)</f>
        <v/>
      </c>
      <c r="BS488" s="41" t="str">
        <f aca="false">IF(BR488="","",IFERROR(MATCH(BR488,INDEX(Boundaries!$B$2:$I$30,MATCH(CV488,Boundaries!$A$2:$A$30,0),0),1)-1,""))</f>
        <v/>
      </c>
      <c r="BT488" s="42" t="str">
        <f aca="false">IF(OR(BS488="",$E488=""),"",BS488-$E488)</f>
        <v/>
      </c>
      <c r="BU488" s="28" t="str">
        <f aca="false">IFERROR(INDEX(Assessments!$H$2:$H$600,MATCH($H488&amp;"|"&amp;$I488&amp;"|"&amp;$J488&amp;"|"&amp;1,Assessments!$A$2:$A$600,0)),"")</f>
        <v/>
      </c>
      <c r="BV488" s="28" t="str">
        <f aca="false">IFERROR(INDEX(Assessments!$H$2:$H$600,MATCH($H488&amp;"|"&amp;$I488&amp;"|"&amp;$J488&amp;"|"&amp;2,Assessments!$A$2:$A$600,0)),"")</f>
        <v/>
      </c>
      <c r="BW488" s="28" t="str">
        <f aca="false">IFERROR(INDEX(Assessments!$H$2:$H$600,MATCH($H488&amp;"|"&amp;$I488&amp;"|"&amp;$J488&amp;"|"&amp;3,Assessments!$A$2:$A$600,0)),"")</f>
        <v/>
      </c>
      <c r="BX488" s="28" t="str">
        <f aca="false">IFERROR(INDEX(Assessments!$H$2:$H$600,MATCH($H488&amp;"|"&amp;$I488&amp;"|"&amp;$J488&amp;"|"&amp;4,Assessments!$A$2:$A$600,0)),"")</f>
        <v/>
      </c>
      <c r="BY488" s="28" t="str">
        <f aca="false">IFERROR(INDEX(Assessments!$H$2:$H$600,MATCH($H488&amp;"|"&amp;$I488&amp;"|"&amp;$J488&amp;"|"&amp;5,Assessments!$A$2:$A$600,0)),"")</f>
        <v/>
      </c>
      <c r="BZ488" s="28" t="str">
        <f aca="false">IFERROR(INDEX(Assessments!$H$2:$H$600,MATCH($H488&amp;"|"&amp;$I488&amp;"|"&amp;$J488&amp;"|"&amp;6,Assessments!$A$2:$A$600,0)),"")</f>
        <v/>
      </c>
      <c r="CA488" s="28" t="str">
        <f aca="false">IFERROR(INDEX(Assessments!$H$2:$H$600,MATCH($H488&amp;"|"&amp;$I488&amp;"|"&amp;$J488&amp;"|"&amp;7,Assessments!$A$2:$A$600,0)),"")</f>
        <v/>
      </c>
      <c r="CB488" s="28" t="str">
        <f aca="false">IFERROR(INDEX(Assessments!$H$2:$H$600,MATCH($H488&amp;"|"&amp;$I488&amp;"|"&amp;$J488&amp;"|"&amp;8,Assessments!$A$2:$A$600,0)),"")</f>
        <v/>
      </c>
      <c r="CC488" s="28" t="str">
        <f aca="false">IFERROR(INDEX(Assessments!$H$2:$H$600,MATCH($H488&amp;"|"&amp;$I488&amp;"|"&amp;$J488&amp;"|"&amp;9,Assessments!$A$2:$A$600,0)),"")</f>
        <v/>
      </c>
      <c r="CD488" s="28" t="str">
        <f aca="false">IFERROR(INDEX(Assessments!$H$2:$H$600,MATCH($H488&amp;"|"&amp;$I488&amp;"|"&amp;$J488&amp;"|"&amp;10,Assessments!$A$2:$A$600,0)),"")</f>
        <v/>
      </c>
      <c r="CE488" s="28" t="str">
        <f aca="false">IFERROR(INDEX(Assessments!$H$2:$H$600,MATCH($H488&amp;"|"&amp;$I488&amp;"|"&amp;$J488&amp;"|"&amp;11,Assessments!$A$2:$A$600,0)),"")</f>
        <v/>
      </c>
      <c r="CF488" s="28" t="str">
        <f aca="false">IFERROR(INDEX(Assessments!$H$2:$H$600,MATCH($H488&amp;"|"&amp;$I488&amp;"|"&amp;$J488&amp;"|"&amp;12,Assessments!$A$2:$A$600,0)),"")</f>
        <v/>
      </c>
      <c r="CG488" s="28" t="str">
        <f aca="false">IFERROR(INDEX(Assessments!$H$2:$H$600,MATCH($H488&amp;"|"&amp;$I488&amp;"|"&amp;$J488&amp;"|"&amp;13,Assessments!$A$2:$A$600,0)),"")</f>
        <v/>
      </c>
      <c r="CH488" s="28" t="str">
        <f aca="false">IFERROR(INDEX(Assessments!$H$2:$H$600,MATCH($H488&amp;"|"&amp;$I488&amp;"|"&amp;$J488&amp;"|"&amp;14,Assessments!$A$2:$A$600,0)),"")</f>
        <v/>
      </c>
      <c r="CI488" s="28" t="str">
        <f aca="false">IFERROR(INDEX(Assessments!$I$2:$I$600,MATCH($H488&amp;"|"&amp;$I488&amp;"|"&amp;$J488&amp;"|"&amp;1,Assessments!$A$2:$A$600,0)),"")</f>
        <v/>
      </c>
      <c r="CJ488" s="28" t="str">
        <f aca="false">IFERROR(INDEX(Assessments!$I$2:$I$600,MATCH($H488&amp;"|"&amp;$I488&amp;"|"&amp;$J488&amp;"|"&amp;2,Assessments!$A$2:$A$600,0)),"")</f>
        <v/>
      </c>
      <c r="CK488" s="28" t="str">
        <f aca="false">IFERROR(INDEX(Assessments!$I$2:$I$600,MATCH($H488&amp;"|"&amp;$I488&amp;"|"&amp;$J488&amp;"|"&amp;3,Assessments!$A$2:$A$600,0)),"")</f>
        <v/>
      </c>
      <c r="CL488" s="28" t="str">
        <f aca="false">IFERROR(INDEX(Assessments!$I$2:$I$600,MATCH($H488&amp;"|"&amp;$I488&amp;"|"&amp;$J488&amp;"|"&amp;4,Assessments!$A$2:$A$600,0)),"")</f>
        <v/>
      </c>
      <c r="CM488" s="28" t="str">
        <f aca="false">IFERROR(INDEX(Assessments!$I$2:$I$600,MATCH($H488&amp;"|"&amp;$I488&amp;"|"&amp;$J488&amp;"|"&amp;5,Assessments!$A$2:$A$600,0)),"")</f>
        <v/>
      </c>
      <c r="CN488" s="28" t="str">
        <f aca="false">IFERROR(INDEX(Assessments!$I$2:$I$600,MATCH($H488&amp;"|"&amp;$I488&amp;"|"&amp;$J488&amp;"|"&amp;6,Assessments!$A$2:$A$600,0)),"")</f>
        <v/>
      </c>
      <c r="CO488" s="28" t="str">
        <f aca="false">IFERROR(INDEX(Assessments!$I$2:$I$600,MATCH($H488&amp;"|"&amp;$I488&amp;"|"&amp;$J488&amp;"|"&amp;7,Assessments!$A$2:$A$600,0)),"")</f>
        <v/>
      </c>
      <c r="CP488" s="28" t="str">
        <f aca="false">IFERROR(INDEX(Assessments!$I$2:$I$600,MATCH($H488&amp;"|"&amp;$I488&amp;"|"&amp;$J488&amp;"|"&amp;8,Assessments!$A$2:$A$600,0)),"")</f>
        <v/>
      </c>
      <c r="CQ488" s="28" t="str">
        <f aca="false">IFERROR(INDEX(Assessments!$I$2:$I$600,MATCH($H488&amp;"|"&amp;$I488&amp;"|"&amp;$J488&amp;"|"&amp;9,Assessments!$A$2:$A$600,0)),"")</f>
        <v/>
      </c>
      <c r="CR488" s="28" t="str">
        <f aca="false">IFERROR(INDEX(Assessments!$I$2:$I$600,MATCH($H488&amp;"|"&amp;$I488&amp;"|"&amp;$J488&amp;"|"&amp;10,Assessments!$A$2:$A$600,0)),"")</f>
        <v/>
      </c>
      <c r="CS488" s="28" t="str">
        <f aca="false">IFERROR(INDEX(Assessments!$I$2:$I$600,MATCH($H488&amp;"|"&amp;$I488&amp;"|"&amp;$J488&amp;"|"&amp;11,Assessments!$A$2:$A$600,0)),"")</f>
        <v/>
      </c>
      <c r="CT488" s="28" t="str">
        <f aca="false">IFERROR(INDEX(Assessments!$I$2:$I$600,MATCH($H488&amp;"|"&amp;$I488&amp;"|"&amp;$J488&amp;"|"&amp;12,Assessments!$A$2:$A$600,0)),"")</f>
        <v/>
      </c>
      <c r="CU488" s="28" t="str">
        <f aca="false">IFERROR(INDEX(Assessments!$I$2:$I$600,MATCH($H488&amp;"|"&amp;$I488&amp;"|"&amp;$J488&amp;"|"&amp;13,Assessments!$A$2:$A$600,0)),"")</f>
        <v/>
      </c>
      <c r="CV488" s="28" t="str">
        <f aca="false">IFERROR(INDEX(Assessments!$I$2:$I$600,MATCH($H488&amp;"|"&amp;$I488&amp;"|"&amp;$J488&amp;"|"&amp;14,Assessments!$A$2:$A$600,0)),"")</f>
        <v/>
      </c>
      <c r="CW488" s="28" t="n">
        <f aca="false">IFERROR(INDEX(Assessments!$J$2:$J$600,MATCH($H488&amp;"|"&amp;$I488&amp;"|"&amp;$J488&amp;"|"&amp;1,Assessments!$A$2:$A$600,0)),0)</f>
        <v>0</v>
      </c>
      <c r="CX488" s="28" t="n">
        <f aca="false">IFERROR(INDEX(Assessments!$J$2:$J$600,MATCH($H488&amp;"|"&amp;$I488&amp;"|"&amp;$J488&amp;"|"&amp;2,Assessments!$A$2:$A$600,0)),0)</f>
        <v>0</v>
      </c>
      <c r="CY488" s="28" t="n">
        <f aca="false">IFERROR(INDEX(Assessments!$J$2:$J$600,MATCH($H488&amp;"|"&amp;$I488&amp;"|"&amp;$J488&amp;"|"&amp;3,Assessments!$A$2:$A$600,0)),0)</f>
        <v>0</v>
      </c>
      <c r="CZ488" s="28" t="n">
        <f aca="false">IFERROR(INDEX(Assessments!$J$2:$J$600,MATCH($H488&amp;"|"&amp;$I488&amp;"|"&amp;$J488&amp;"|"&amp;4,Assessments!$A$2:$A$600,0)),0)</f>
        <v>0</v>
      </c>
      <c r="DA488" s="28" t="n">
        <f aca="false">IFERROR(INDEX(Assessments!$J$2:$J$600,MATCH($H488&amp;"|"&amp;$I488&amp;"|"&amp;$J488&amp;"|"&amp;5,Assessments!$A$2:$A$600,0)),0)</f>
        <v>0</v>
      </c>
      <c r="DB488" s="28" t="n">
        <f aca="false">IFERROR(INDEX(Assessments!$J$2:$J$600,MATCH($H488&amp;"|"&amp;$I488&amp;"|"&amp;$J488&amp;"|"&amp;6,Assessments!$A$2:$A$600,0)),0)</f>
        <v>0</v>
      </c>
      <c r="DC488" s="28" t="n">
        <f aca="false">IFERROR(INDEX(Assessments!$J$2:$J$600,MATCH($H488&amp;"|"&amp;$I488&amp;"|"&amp;$J488&amp;"|"&amp;7,Assessments!$A$2:$A$600,0)),0)</f>
        <v>0</v>
      </c>
      <c r="DD488" s="28" t="n">
        <f aca="false">IFERROR(INDEX(Assessments!$J$2:$J$600,MATCH($H488&amp;"|"&amp;$I488&amp;"|"&amp;$J488&amp;"|"&amp;8,Assessments!$A$2:$A$600,0)),0)</f>
        <v>0</v>
      </c>
      <c r="DE488" s="28" t="n">
        <f aca="false">IFERROR(INDEX(Assessments!$J$2:$J$600,MATCH($H488&amp;"|"&amp;$I488&amp;"|"&amp;$J488&amp;"|"&amp;9,Assessments!$A$2:$A$600,0)),0)</f>
        <v>0</v>
      </c>
      <c r="DF488" s="28" t="n">
        <f aca="false">IFERROR(INDEX(Assessments!$J$2:$J$600,MATCH($H488&amp;"|"&amp;$I488&amp;"|"&amp;$J488&amp;"|"&amp;10,Assessments!$A$2:$A$600,0)),0)</f>
        <v>0</v>
      </c>
      <c r="DG488" s="28" t="n">
        <f aca="false">IFERROR(INDEX(Assessments!$J$2:$J$600,MATCH($H488&amp;"|"&amp;$I488&amp;"|"&amp;$J488&amp;"|"&amp;11,Assessments!$A$2:$A$600,0)),0)</f>
        <v>0</v>
      </c>
      <c r="DH488" s="28" t="n">
        <f aca="false">IFERROR(INDEX(Assessments!$J$2:$J$600,MATCH($H488&amp;"|"&amp;$I488&amp;"|"&amp;$J488&amp;"|"&amp;12,Assessments!$A$2:$A$600,0)),0)</f>
        <v>0</v>
      </c>
      <c r="DI488" s="28" t="n">
        <f aca="false">IFERROR(INDEX(Assessments!$J$2:$J$600,MATCH($H488&amp;"|"&amp;$I488&amp;"|"&amp;$J488&amp;"|"&amp;13,Assessments!$A$2:$A$600,0)),0)</f>
        <v>0</v>
      </c>
      <c r="DJ488" s="28" t="n">
        <f aca="false">IFERROR(INDEX(Assessments!$J$2:$J$600,MATCH($H488&amp;"|"&amp;$I488&amp;"|"&amp;$J488&amp;"|"&amp;14,Assessments!$A$2:$A$600,0)),0)</f>
        <v>0</v>
      </c>
      <c r="DK488" s="28" t="str">
        <f aca="false">S488</f>
        <v/>
      </c>
      <c r="DL488" s="28" t="str">
        <f aca="false">W488</f>
        <v/>
      </c>
      <c r="DM488" s="28" t="str">
        <f aca="false">AA488</f>
        <v/>
      </c>
      <c r="DN488" s="28" t="str">
        <f aca="false">AE488</f>
        <v/>
      </c>
      <c r="DO488" s="28" t="str">
        <f aca="false">AI488</f>
        <v/>
      </c>
      <c r="DP488" s="28" t="str">
        <f aca="false">AM488</f>
        <v/>
      </c>
      <c r="DQ488" s="28" t="str">
        <f aca="false">AQ488</f>
        <v/>
      </c>
      <c r="DR488" s="28" t="str">
        <f aca="false">AU488</f>
        <v/>
      </c>
      <c r="DS488" s="28" t="str">
        <f aca="false">AY488</f>
        <v/>
      </c>
      <c r="DT488" s="28" t="str">
        <f aca="false">BC488</f>
        <v/>
      </c>
      <c r="DU488" s="28" t="str">
        <f aca="false">BG488</f>
        <v/>
      </c>
      <c r="DV488" s="28" t="str">
        <f aca="false">BK488</f>
        <v/>
      </c>
      <c r="DW488" s="28" t="str">
        <f aca="false">BO488</f>
        <v/>
      </c>
      <c r="DX488" s="28" t="str">
        <f aca="false">BS488</f>
        <v/>
      </c>
      <c r="DY488" s="28" t="str">
        <f aca="false">IF(ISNUMBER(S488),1,"")</f>
        <v/>
      </c>
      <c r="DZ488" s="28" t="str">
        <f aca="false">IF(ISNUMBER(W488),2,"")</f>
        <v/>
      </c>
      <c r="EA488" s="28" t="str">
        <f aca="false">IF(ISNUMBER(AA488),3,"")</f>
        <v/>
      </c>
      <c r="EB488" s="28" t="str">
        <f aca="false">IF(ISNUMBER(AE488),4,"")</f>
        <v/>
      </c>
      <c r="EC488" s="28" t="str">
        <f aca="false">IF(ISNUMBER(AI488),5,"")</f>
        <v/>
      </c>
      <c r="ED488" s="28" t="str">
        <f aca="false">IF(ISNUMBER(AM488),6,"")</f>
        <v/>
      </c>
      <c r="EE488" s="28" t="str">
        <f aca="false">IF(ISNUMBER(AQ488),7,"")</f>
        <v/>
      </c>
      <c r="EF488" s="28" t="str">
        <f aca="false">IF(ISNUMBER(AU488),8,"")</f>
        <v/>
      </c>
      <c r="EG488" s="28" t="str">
        <f aca="false">IF(ISNUMBER(AY488),9,"")</f>
        <v/>
      </c>
      <c r="EH488" s="28" t="str">
        <f aca="false">IF(ISNUMBER(BC488),10,"")</f>
        <v/>
      </c>
      <c r="EI488" s="28" t="str">
        <f aca="false">IF(ISNUMBER(BG488),11,"")</f>
        <v/>
      </c>
      <c r="EJ488" s="28" t="str">
        <f aca="false">IF(ISNUMBER(BK488),12,"")</f>
        <v/>
      </c>
      <c r="EK488" s="28" t="str">
        <f aca="false">IF(ISNUMBER(BO488),13,"")</f>
        <v/>
      </c>
      <c r="EL488" s="28" t="str">
        <f aca="false">IF(ISNUMBER(BS488),14,"")</f>
        <v/>
      </c>
      <c r="EM488" s="28" t="n">
        <f aca="false">IF(ISNUMBER(R488),R488*CW488,0)</f>
        <v>0</v>
      </c>
      <c r="EN488" s="28" t="n">
        <f aca="false">IF(ISNUMBER(V488),V488*CX488,0)</f>
        <v>0</v>
      </c>
      <c r="EO488" s="28" t="n">
        <f aca="false">IF(ISNUMBER(Z488),Z488*CY488,0)</f>
        <v>0</v>
      </c>
      <c r="EP488" s="28" t="n">
        <f aca="false">IF(ISNUMBER(AD488),AD488*CZ488,0)</f>
        <v>0</v>
      </c>
      <c r="EQ488" s="28" t="n">
        <f aca="false">IF(ISNUMBER(AH488),AH488*DA488,0)</f>
        <v>0</v>
      </c>
      <c r="ER488" s="28" t="n">
        <f aca="false">IF(ISNUMBER(AL488),AL488*DB488,0)</f>
        <v>0</v>
      </c>
      <c r="ES488" s="28" t="n">
        <f aca="false">IF(ISNUMBER(AP488),AP488*DC488,0)</f>
        <v>0</v>
      </c>
      <c r="ET488" s="28" t="n">
        <f aca="false">IF(ISNUMBER(AT488),AT488*DD488,0)</f>
        <v>0</v>
      </c>
      <c r="EU488" s="28" t="n">
        <f aca="false">IF(ISNUMBER(AX488),AX488*DE488,0)</f>
        <v>0</v>
      </c>
      <c r="EV488" s="28" t="n">
        <f aca="false">IF(ISNUMBER(BB488),BB488*DF488,0)</f>
        <v>0</v>
      </c>
      <c r="EW488" s="28" t="n">
        <f aca="false">IF(ISNUMBER(BF488),BF488*DG488,0)</f>
        <v>0</v>
      </c>
      <c r="EX488" s="28" t="n">
        <f aca="false">IF(ISNUMBER(BJ488),BJ488*DH488,0)</f>
        <v>0</v>
      </c>
      <c r="EY488" s="28" t="n">
        <f aca="false">IF(ISNUMBER(BN488),BN488*DI488,0)</f>
        <v>0</v>
      </c>
      <c r="EZ488" s="28" t="n">
        <f aca="false">IF(ISNUMBER(BR488),BR488*DJ488,0)</f>
        <v>0</v>
      </c>
      <c r="FA488" s="28" t="n">
        <f aca="false">IF(ISNUMBER(R488),CW488,0)</f>
        <v>0</v>
      </c>
      <c r="FB488" s="28" t="n">
        <f aca="false">IF(ISNUMBER(V488),CX488,0)</f>
        <v>0</v>
      </c>
      <c r="FC488" s="28" t="n">
        <f aca="false">IF(ISNUMBER(Z488),CY488,0)</f>
        <v>0</v>
      </c>
      <c r="FD488" s="28" t="n">
        <f aca="false">IF(ISNUMBER(AD488),CZ488,0)</f>
        <v>0</v>
      </c>
      <c r="FE488" s="28" t="n">
        <f aca="false">IF(ISNUMBER(AH488),DA488,0)</f>
        <v>0</v>
      </c>
      <c r="FF488" s="28" t="n">
        <f aca="false">IF(ISNUMBER(AL488),DB488,0)</f>
        <v>0</v>
      </c>
      <c r="FG488" s="28" t="n">
        <f aca="false">IF(ISNUMBER(AP488),DC488,0)</f>
        <v>0</v>
      </c>
      <c r="FH488" s="28" t="n">
        <f aca="false">IF(ISNUMBER(AT488),DD488,0)</f>
        <v>0</v>
      </c>
      <c r="FI488" s="28" t="n">
        <f aca="false">IF(ISNUMBER(AX488),DE488,0)</f>
        <v>0</v>
      </c>
      <c r="FJ488" s="28" t="n">
        <f aca="false">IF(ISNUMBER(BB488),DF488,0)</f>
        <v>0</v>
      </c>
      <c r="FK488" s="28" t="n">
        <f aca="false">IF(ISNUMBER(BF488),DG488,0)</f>
        <v>0</v>
      </c>
      <c r="FL488" s="28" t="n">
        <f aca="false">IF(ISNUMBER(BJ488),DH488,0)</f>
        <v>0</v>
      </c>
      <c r="FM488" s="28" t="n">
        <f aca="false">IF(ISNUMBER(BN488),DI488,0)</f>
        <v>0</v>
      </c>
      <c r="FN488" s="28" t="n">
        <f aca="false">IF(ISNUMBER(BR488),DJ488,0)</f>
        <v>0</v>
      </c>
      <c r="FO488" s="28" t="str">
        <f aca="false">IFERROR(INDEX(Lists!$G$2:$G$20,MATCH($I488&amp;"|"&amp;$J488,Lists!$F$2:$F$20,0)),"")</f>
        <v/>
      </c>
    </row>
    <row r="489" customFormat="false" ht="19.5" hidden="false" customHeight="true" outlineLevel="0" collapsed="false">
      <c r="A489" s="29"/>
      <c r="B489" s="29"/>
      <c r="C489" s="30"/>
      <c r="D489" s="30"/>
      <c r="E489" s="31"/>
      <c r="F489" s="30"/>
      <c r="G489" s="30"/>
      <c r="H489" s="32"/>
      <c r="I489" s="33"/>
      <c r="J489" s="32"/>
      <c r="K489" s="34" t="str">
        <f aca="false">IF(OR(M489="",$E489=""),"",M489-$E489)</f>
        <v/>
      </c>
      <c r="L489" s="35" t="str">
        <f aca="false">IF(SUM(FA489:FN489)=0,"",SUM(EM489:EZ489)/SUM(FA489:FN489))</f>
        <v/>
      </c>
      <c r="M489" s="36" t="str">
        <f aca="false">IF(OR(L489="",FO489=""),"",IFERROR(MATCH(L489,INDEX(Boundaries!$B$2:$I$30,MATCH(FO489,Boundaries!$A$2:$A$30,0),0),1)-1,""))</f>
        <v/>
      </c>
      <c r="N489" s="37" t="str">
        <f aca="false">IF(COUNT($DY489:$EL489)&lt;2,"",INDEX($DK489:$DX489,MAX($DY489:$EL489))-INDEX($DK489:$DX489,MIN($DY489:$EL489)))</f>
        <v/>
      </c>
      <c r="O489" s="37" t="str">
        <f aca="false">IF(COUNT($DY489:$EL489)&lt;2,"",INDEX($DK489:$DX489,MAX($DY489:$EL489))-INDEX($DK489:$DX489,LARGE($DY489:$EL489,2)))</f>
        <v/>
      </c>
      <c r="P489" s="38" t="str">
        <f aca="false">IF(K489="","",IF(K489&gt;=0,"On/above target",IF(AND(N489&lt;&gt;"",N489&gt;=0.5),"Improving towards target",IF(AND(O489&lt;&gt;"",O489&lt;=-0.5),"Declining","Stable below target"))))</f>
        <v/>
      </c>
      <c r="Q489" s="39"/>
      <c r="R489" s="40" t="str">
        <f aca="false">IF(OR(Q489="",BU489=""),"",Q489/BU489*100)</f>
        <v/>
      </c>
      <c r="S489" s="41" t="str">
        <f aca="false">IF(R489="","",IFERROR(MATCH(R489,INDEX(Boundaries!$B$2:$I$30,MATCH(CI489,Boundaries!$A$2:$A$30,0),0),1)-1,""))</f>
        <v/>
      </c>
      <c r="T489" s="42" t="str">
        <f aca="false">IF(OR(S489="",$E489=""),"",S489-$E489)</f>
        <v/>
      </c>
      <c r="U489" s="39"/>
      <c r="V489" s="40" t="str">
        <f aca="false">IF(OR(U489="",BV489=""),"",U489/BV489*100)</f>
        <v/>
      </c>
      <c r="W489" s="41" t="str">
        <f aca="false">IF(V489="","",IFERROR(MATCH(V489,INDEX(Boundaries!$B$2:$I$30,MATCH(CJ489,Boundaries!$A$2:$A$30,0),0),1)-1,""))</f>
        <v/>
      </c>
      <c r="X489" s="42" t="str">
        <f aca="false">IF(OR(W489="",$E489=""),"",W489-$E489)</f>
        <v/>
      </c>
      <c r="Y489" s="39"/>
      <c r="Z489" s="40" t="str">
        <f aca="false">IF(OR(Y489="",BW489=""),"",Y489/BW489*100)</f>
        <v/>
      </c>
      <c r="AA489" s="41" t="str">
        <f aca="false">IF(Z489="","",IFERROR(MATCH(Z489,INDEX(Boundaries!$B$2:$I$30,MATCH(CK489,Boundaries!$A$2:$A$30,0),0),1)-1,""))</f>
        <v/>
      </c>
      <c r="AB489" s="42" t="str">
        <f aca="false">IF(OR(AA489="",$E489=""),"",AA489-$E489)</f>
        <v/>
      </c>
      <c r="AC489" s="39"/>
      <c r="AD489" s="40" t="str">
        <f aca="false">IF(OR(AC489="",BX489=""),"",AC489/BX489*100)</f>
        <v/>
      </c>
      <c r="AE489" s="41" t="str">
        <f aca="false">IF(AD489="","",IFERROR(MATCH(AD489,INDEX(Boundaries!$B$2:$I$30,MATCH(CL489,Boundaries!$A$2:$A$30,0),0),1)-1,""))</f>
        <v/>
      </c>
      <c r="AF489" s="42" t="str">
        <f aca="false">IF(OR(AE489="",$E489=""),"",AE489-$E489)</f>
        <v/>
      </c>
      <c r="AG489" s="39"/>
      <c r="AH489" s="40" t="str">
        <f aca="false">IF(OR(AG489="",BY489=""),"",AG489/BY489*100)</f>
        <v/>
      </c>
      <c r="AI489" s="41" t="str">
        <f aca="false">IF(AH489="","",IFERROR(MATCH(AH489,INDEX(Boundaries!$B$2:$I$30,MATCH(CM489,Boundaries!$A$2:$A$30,0),0),1)-1,""))</f>
        <v/>
      </c>
      <c r="AJ489" s="42" t="str">
        <f aca="false">IF(OR(AI489="",$E489=""),"",AI489-$E489)</f>
        <v/>
      </c>
      <c r="AK489" s="39"/>
      <c r="AL489" s="40" t="str">
        <f aca="false">IF(OR(AK489="",BZ489=""),"",AK489/BZ489*100)</f>
        <v/>
      </c>
      <c r="AM489" s="41" t="str">
        <f aca="false">IF(AL489="","",IFERROR(MATCH(AL489,INDEX(Boundaries!$B$2:$I$30,MATCH(CN489,Boundaries!$A$2:$A$30,0),0),1)-1,""))</f>
        <v/>
      </c>
      <c r="AN489" s="42" t="str">
        <f aca="false">IF(OR(AM489="",$E489=""),"",AM489-$E489)</f>
        <v/>
      </c>
      <c r="AO489" s="39"/>
      <c r="AP489" s="40" t="str">
        <f aca="false">IF(OR(AO489="",CA489=""),"",AO489/CA489*100)</f>
        <v/>
      </c>
      <c r="AQ489" s="41" t="str">
        <f aca="false">IF(AP489="","",IFERROR(MATCH(AP489,INDEX(Boundaries!$B$2:$I$30,MATCH(CO489,Boundaries!$A$2:$A$30,0),0),1)-1,""))</f>
        <v/>
      </c>
      <c r="AR489" s="42" t="str">
        <f aca="false">IF(OR(AQ489="",$E489=""),"",AQ489-$E489)</f>
        <v/>
      </c>
      <c r="AS489" s="39"/>
      <c r="AT489" s="40" t="str">
        <f aca="false">IF(OR(AS489="",CB489=""),"",AS489/CB489*100)</f>
        <v/>
      </c>
      <c r="AU489" s="41" t="str">
        <f aca="false">IF(AT489="","",IFERROR(MATCH(AT489,INDEX(Boundaries!$B$2:$I$30,MATCH(CP489,Boundaries!$A$2:$A$30,0),0),1)-1,""))</f>
        <v/>
      </c>
      <c r="AV489" s="42" t="str">
        <f aca="false">IF(OR(AU489="",$E489=""),"",AU489-$E489)</f>
        <v/>
      </c>
      <c r="AW489" s="39"/>
      <c r="AX489" s="40" t="str">
        <f aca="false">IF(OR(AW489="",CC489=""),"",AW489/CC489*100)</f>
        <v/>
      </c>
      <c r="AY489" s="41" t="str">
        <f aca="false">IF(AX489="","",IFERROR(MATCH(AX489,INDEX(Boundaries!$B$2:$I$30,MATCH(CQ489,Boundaries!$A$2:$A$30,0),0),1)-1,""))</f>
        <v/>
      </c>
      <c r="AZ489" s="42" t="str">
        <f aca="false">IF(OR(AY489="",$E489=""),"",AY489-$E489)</f>
        <v/>
      </c>
      <c r="BA489" s="39"/>
      <c r="BB489" s="40" t="str">
        <f aca="false">IF(OR(BA489="",CD489=""),"",BA489/CD489*100)</f>
        <v/>
      </c>
      <c r="BC489" s="41" t="str">
        <f aca="false">IF(BB489="","",IFERROR(MATCH(BB489,INDEX(Boundaries!$B$2:$I$30,MATCH(CR489,Boundaries!$A$2:$A$30,0),0),1)-1,""))</f>
        <v/>
      </c>
      <c r="BD489" s="42" t="str">
        <f aca="false">IF(OR(BC489="",$E489=""),"",BC489-$E489)</f>
        <v/>
      </c>
      <c r="BE489" s="39"/>
      <c r="BF489" s="40" t="str">
        <f aca="false">IF(OR(BE489="",CE489=""),"",BE489/CE489*100)</f>
        <v/>
      </c>
      <c r="BG489" s="41" t="str">
        <f aca="false">IF(BF489="","",IFERROR(MATCH(BF489,INDEX(Boundaries!$B$2:$I$30,MATCH(CS489,Boundaries!$A$2:$A$30,0),0),1)-1,""))</f>
        <v/>
      </c>
      <c r="BH489" s="42" t="str">
        <f aca="false">IF(OR(BG489="",$E489=""),"",BG489-$E489)</f>
        <v/>
      </c>
      <c r="BI489" s="39"/>
      <c r="BJ489" s="40" t="str">
        <f aca="false">IF(OR(BI489="",CF489=""),"",BI489/CF489*100)</f>
        <v/>
      </c>
      <c r="BK489" s="41" t="str">
        <f aca="false">IF(BJ489="","",IFERROR(MATCH(BJ489,INDEX(Boundaries!$B$2:$I$30,MATCH(CT489,Boundaries!$A$2:$A$30,0),0),1)-1,""))</f>
        <v/>
      </c>
      <c r="BL489" s="42" t="str">
        <f aca="false">IF(OR(BK489="",$E489=""),"",BK489-$E489)</f>
        <v/>
      </c>
      <c r="BM489" s="39"/>
      <c r="BN489" s="40" t="str">
        <f aca="false">IF(OR(BM489="",CG489=""),"",BM489/CG489*100)</f>
        <v/>
      </c>
      <c r="BO489" s="41" t="str">
        <f aca="false">IF(BN489="","",IFERROR(MATCH(BN489,INDEX(Boundaries!$B$2:$I$30,MATCH(CU489,Boundaries!$A$2:$A$30,0),0),1)-1,""))</f>
        <v/>
      </c>
      <c r="BP489" s="42" t="str">
        <f aca="false">IF(OR(BO489="",$E489=""),"",BO489-$E489)</f>
        <v/>
      </c>
      <c r="BQ489" s="39"/>
      <c r="BR489" s="40" t="str">
        <f aca="false">IF(OR(BQ489="",CH489=""),"",BQ489/CH489*100)</f>
        <v/>
      </c>
      <c r="BS489" s="41" t="str">
        <f aca="false">IF(BR489="","",IFERROR(MATCH(BR489,INDEX(Boundaries!$B$2:$I$30,MATCH(CV489,Boundaries!$A$2:$A$30,0),0),1)-1,""))</f>
        <v/>
      </c>
      <c r="BT489" s="42" t="str">
        <f aca="false">IF(OR(BS489="",$E489=""),"",BS489-$E489)</f>
        <v/>
      </c>
      <c r="BU489" s="28" t="str">
        <f aca="false">IFERROR(INDEX(Assessments!$H$2:$H$600,MATCH($H489&amp;"|"&amp;$I489&amp;"|"&amp;$J489&amp;"|"&amp;1,Assessments!$A$2:$A$600,0)),"")</f>
        <v/>
      </c>
      <c r="BV489" s="28" t="str">
        <f aca="false">IFERROR(INDEX(Assessments!$H$2:$H$600,MATCH($H489&amp;"|"&amp;$I489&amp;"|"&amp;$J489&amp;"|"&amp;2,Assessments!$A$2:$A$600,0)),"")</f>
        <v/>
      </c>
      <c r="BW489" s="28" t="str">
        <f aca="false">IFERROR(INDEX(Assessments!$H$2:$H$600,MATCH($H489&amp;"|"&amp;$I489&amp;"|"&amp;$J489&amp;"|"&amp;3,Assessments!$A$2:$A$600,0)),"")</f>
        <v/>
      </c>
      <c r="BX489" s="28" t="str">
        <f aca="false">IFERROR(INDEX(Assessments!$H$2:$H$600,MATCH($H489&amp;"|"&amp;$I489&amp;"|"&amp;$J489&amp;"|"&amp;4,Assessments!$A$2:$A$600,0)),"")</f>
        <v/>
      </c>
      <c r="BY489" s="28" t="str">
        <f aca="false">IFERROR(INDEX(Assessments!$H$2:$H$600,MATCH($H489&amp;"|"&amp;$I489&amp;"|"&amp;$J489&amp;"|"&amp;5,Assessments!$A$2:$A$600,0)),"")</f>
        <v/>
      </c>
      <c r="BZ489" s="28" t="str">
        <f aca="false">IFERROR(INDEX(Assessments!$H$2:$H$600,MATCH($H489&amp;"|"&amp;$I489&amp;"|"&amp;$J489&amp;"|"&amp;6,Assessments!$A$2:$A$600,0)),"")</f>
        <v/>
      </c>
      <c r="CA489" s="28" t="str">
        <f aca="false">IFERROR(INDEX(Assessments!$H$2:$H$600,MATCH($H489&amp;"|"&amp;$I489&amp;"|"&amp;$J489&amp;"|"&amp;7,Assessments!$A$2:$A$600,0)),"")</f>
        <v/>
      </c>
      <c r="CB489" s="28" t="str">
        <f aca="false">IFERROR(INDEX(Assessments!$H$2:$H$600,MATCH($H489&amp;"|"&amp;$I489&amp;"|"&amp;$J489&amp;"|"&amp;8,Assessments!$A$2:$A$600,0)),"")</f>
        <v/>
      </c>
      <c r="CC489" s="28" t="str">
        <f aca="false">IFERROR(INDEX(Assessments!$H$2:$H$600,MATCH($H489&amp;"|"&amp;$I489&amp;"|"&amp;$J489&amp;"|"&amp;9,Assessments!$A$2:$A$600,0)),"")</f>
        <v/>
      </c>
      <c r="CD489" s="28" t="str">
        <f aca="false">IFERROR(INDEX(Assessments!$H$2:$H$600,MATCH($H489&amp;"|"&amp;$I489&amp;"|"&amp;$J489&amp;"|"&amp;10,Assessments!$A$2:$A$600,0)),"")</f>
        <v/>
      </c>
      <c r="CE489" s="28" t="str">
        <f aca="false">IFERROR(INDEX(Assessments!$H$2:$H$600,MATCH($H489&amp;"|"&amp;$I489&amp;"|"&amp;$J489&amp;"|"&amp;11,Assessments!$A$2:$A$600,0)),"")</f>
        <v/>
      </c>
      <c r="CF489" s="28" t="str">
        <f aca="false">IFERROR(INDEX(Assessments!$H$2:$H$600,MATCH($H489&amp;"|"&amp;$I489&amp;"|"&amp;$J489&amp;"|"&amp;12,Assessments!$A$2:$A$600,0)),"")</f>
        <v/>
      </c>
      <c r="CG489" s="28" t="str">
        <f aca="false">IFERROR(INDEX(Assessments!$H$2:$H$600,MATCH($H489&amp;"|"&amp;$I489&amp;"|"&amp;$J489&amp;"|"&amp;13,Assessments!$A$2:$A$600,0)),"")</f>
        <v/>
      </c>
      <c r="CH489" s="28" t="str">
        <f aca="false">IFERROR(INDEX(Assessments!$H$2:$H$600,MATCH($H489&amp;"|"&amp;$I489&amp;"|"&amp;$J489&amp;"|"&amp;14,Assessments!$A$2:$A$600,0)),"")</f>
        <v/>
      </c>
      <c r="CI489" s="28" t="str">
        <f aca="false">IFERROR(INDEX(Assessments!$I$2:$I$600,MATCH($H489&amp;"|"&amp;$I489&amp;"|"&amp;$J489&amp;"|"&amp;1,Assessments!$A$2:$A$600,0)),"")</f>
        <v/>
      </c>
      <c r="CJ489" s="28" t="str">
        <f aca="false">IFERROR(INDEX(Assessments!$I$2:$I$600,MATCH($H489&amp;"|"&amp;$I489&amp;"|"&amp;$J489&amp;"|"&amp;2,Assessments!$A$2:$A$600,0)),"")</f>
        <v/>
      </c>
      <c r="CK489" s="28" t="str">
        <f aca="false">IFERROR(INDEX(Assessments!$I$2:$I$600,MATCH($H489&amp;"|"&amp;$I489&amp;"|"&amp;$J489&amp;"|"&amp;3,Assessments!$A$2:$A$600,0)),"")</f>
        <v/>
      </c>
      <c r="CL489" s="28" t="str">
        <f aca="false">IFERROR(INDEX(Assessments!$I$2:$I$600,MATCH($H489&amp;"|"&amp;$I489&amp;"|"&amp;$J489&amp;"|"&amp;4,Assessments!$A$2:$A$600,0)),"")</f>
        <v/>
      </c>
      <c r="CM489" s="28" t="str">
        <f aca="false">IFERROR(INDEX(Assessments!$I$2:$I$600,MATCH($H489&amp;"|"&amp;$I489&amp;"|"&amp;$J489&amp;"|"&amp;5,Assessments!$A$2:$A$600,0)),"")</f>
        <v/>
      </c>
      <c r="CN489" s="28" t="str">
        <f aca="false">IFERROR(INDEX(Assessments!$I$2:$I$600,MATCH($H489&amp;"|"&amp;$I489&amp;"|"&amp;$J489&amp;"|"&amp;6,Assessments!$A$2:$A$600,0)),"")</f>
        <v/>
      </c>
      <c r="CO489" s="28" t="str">
        <f aca="false">IFERROR(INDEX(Assessments!$I$2:$I$600,MATCH($H489&amp;"|"&amp;$I489&amp;"|"&amp;$J489&amp;"|"&amp;7,Assessments!$A$2:$A$600,0)),"")</f>
        <v/>
      </c>
      <c r="CP489" s="28" t="str">
        <f aca="false">IFERROR(INDEX(Assessments!$I$2:$I$600,MATCH($H489&amp;"|"&amp;$I489&amp;"|"&amp;$J489&amp;"|"&amp;8,Assessments!$A$2:$A$600,0)),"")</f>
        <v/>
      </c>
      <c r="CQ489" s="28" t="str">
        <f aca="false">IFERROR(INDEX(Assessments!$I$2:$I$600,MATCH($H489&amp;"|"&amp;$I489&amp;"|"&amp;$J489&amp;"|"&amp;9,Assessments!$A$2:$A$600,0)),"")</f>
        <v/>
      </c>
      <c r="CR489" s="28" t="str">
        <f aca="false">IFERROR(INDEX(Assessments!$I$2:$I$600,MATCH($H489&amp;"|"&amp;$I489&amp;"|"&amp;$J489&amp;"|"&amp;10,Assessments!$A$2:$A$600,0)),"")</f>
        <v/>
      </c>
      <c r="CS489" s="28" t="str">
        <f aca="false">IFERROR(INDEX(Assessments!$I$2:$I$600,MATCH($H489&amp;"|"&amp;$I489&amp;"|"&amp;$J489&amp;"|"&amp;11,Assessments!$A$2:$A$600,0)),"")</f>
        <v/>
      </c>
      <c r="CT489" s="28" t="str">
        <f aca="false">IFERROR(INDEX(Assessments!$I$2:$I$600,MATCH($H489&amp;"|"&amp;$I489&amp;"|"&amp;$J489&amp;"|"&amp;12,Assessments!$A$2:$A$600,0)),"")</f>
        <v/>
      </c>
      <c r="CU489" s="28" t="str">
        <f aca="false">IFERROR(INDEX(Assessments!$I$2:$I$600,MATCH($H489&amp;"|"&amp;$I489&amp;"|"&amp;$J489&amp;"|"&amp;13,Assessments!$A$2:$A$600,0)),"")</f>
        <v/>
      </c>
      <c r="CV489" s="28" t="str">
        <f aca="false">IFERROR(INDEX(Assessments!$I$2:$I$600,MATCH($H489&amp;"|"&amp;$I489&amp;"|"&amp;$J489&amp;"|"&amp;14,Assessments!$A$2:$A$600,0)),"")</f>
        <v/>
      </c>
      <c r="CW489" s="28" t="n">
        <f aca="false">IFERROR(INDEX(Assessments!$J$2:$J$600,MATCH($H489&amp;"|"&amp;$I489&amp;"|"&amp;$J489&amp;"|"&amp;1,Assessments!$A$2:$A$600,0)),0)</f>
        <v>0</v>
      </c>
      <c r="CX489" s="28" t="n">
        <f aca="false">IFERROR(INDEX(Assessments!$J$2:$J$600,MATCH($H489&amp;"|"&amp;$I489&amp;"|"&amp;$J489&amp;"|"&amp;2,Assessments!$A$2:$A$600,0)),0)</f>
        <v>0</v>
      </c>
      <c r="CY489" s="28" t="n">
        <f aca="false">IFERROR(INDEX(Assessments!$J$2:$J$600,MATCH($H489&amp;"|"&amp;$I489&amp;"|"&amp;$J489&amp;"|"&amp;3,Assessments!$A$2:$A$600,0)),0)</f>
        <v>0</v>
      </c>
      <c r="CZ489" s="28" t="n">
        <f aca="false">IFERROR(INDEX(Assessments!$J$2:$J$600,MATCH($H489&amp;"|"&amp;$I489&amp;"|"&amp;$J489&amp;"|"&amp;4,Assessments!$A$2:$A$600,0)),0)</f>
        <v>0</v>
      </c>
      <c r="DA489" s="28" t="n">
        <f aca="false">IFERROR(INDEX(Assessments!$J$2:$J$600,MATCH($H489&amp;"|"&amp;$I489&amp;"|"&amp;$J489&amp;"|"&amp;5,Assessments!$A$2:$A$600,0)),0)</f>
        <v>0</v>
      </c>
      <c r="DB489" s="28" t="n">
        <f aca="false">IFERROR(INDEX(Assessments!$J$2:$J$600,MATCH($H489&amp;"|"&amp;$I489&amp;"|"&amp;$J489&amp;"|"&amp;6,Assessments!$A$2:$A$600,0)),0)</f>
        <v>0</v>
      </c>
      <c r="DC489" s="28" t="n">
        <f aca="false">IFERROR(INDEX(Assessments!$J$2:$J$600,MATCH($H489&amp;"|"&amp;$I489&amp;"|"&amp;$J489&amp;"|"&amp;7,Assessments!$A$2:$A$600,0)),0)</f>
        <v>0</v>
      </c>
      <c r="DD489" s="28" t="n">
        <f aca="false">IFERROR(INDEX(Assessments!$J$2:$J$600,MATCH($H489&amp;"|"&amp;$I489&amp;"|"&amp;$J489&amp;"|"&amp;8,Assessments!$A$2:$A$600,0)),0)</f>
        <v>0</v>
      </c>
      <c r="DE489" s="28" t="n">
        <f aca="false">IFERROR(INDEX(Assessments!$J$2:$J$600,MATCH($H489&amp;"|"&amp;$I489&amp;"|"&amp;$J489&amp;"|"&amp;9,Assessments!$A$2:$A$600,0)),0)</f>
        <v>0</v>
      </c>
      <c r="DF489" s="28" t="n">
        <f aca="false">IFERROR(INDEX(Assessments!$J$2:$J$600,MATCH($H489&amp;"|"&amp;$I489&amp;"|"&amp;$J489&amp;"|"&amp;10,Assessments!$A$2:$A$600,0)),0)</f>
        <v>0</v>
      </c>
      <c r="DG489" s="28" t="n">
        <f aca="false">IFERROR(INDEX(Assessments!$J$2:$J$600,MATCH($H489&amp;"|"&amp;$I489&amp;"|"&amp;$J489&amp;"|"&amp;11,Assessments!$A$2:$A$600,0)),0)</f>
        <v>0</v>
      </c>
      <c r="DH489" s="28" t="n">
        <f aca="false">IFERROR(INDEX(Assessments!$J$2:$J$600,MATCH($H489&amp;"|"&amp;$I489&amp;"|"&amp;$J489&amp;"|"&amp;12,Assessments!$A$2:$A$600,0)),0)</f>
        <v>0</v>
      </c>
      <c r="DI489" s="28" t="n">
        <f aca="false">IFERROR(INDEX(Assessments!$J$2:$J$600,MATCH($H489&amp;"|"&amp;$I489&amp;"|"&amp;$J489&amp;"|"&amp;13,Assessments!$A$2:$A$600,0)),0)</f>
        <v>0</v>
      </c>
      <c r="DJ489" s="28" t="n">
        <f aca="false">IFERROR(INDEX(Assessments!$J$2:$J$600,MATCH($H489&amp;"|"&amp;$I489&amp;"|"&amp;$J489&amp;"|"&amp;14,Assessments!$A$2:$A$600,0)),0)</f>
        <v>0</v>
      </c>
      <c r="DK489" s="28" t="str">
        <f aca="false">S489</f>
        <v/>
      </c>
      <c r="DL489" s="28" t="str">
        <f aca="false">W489</f>
        <v/>
      </c>
      <c r="DM489" s="28" t="str">
        <f aca="false">AA489</f>
        <v/>
      </c>
      <c r="DN489" s="28" t="str">
        <f aca="false">AE489</f>
        <v/>
      </c>
      <c r="DO489" s="28" t="str">
        <f aca="false">AI489</f>
        <v/>
      </c>
      <c r="DP489" s="28" t="str">
        <f aca="false">AM489</f>
        <v/>
      </c>
      <c r="DQ489" s="28" t="str">
        <f aca="false">AQ489</f>
        <v/>
      </c>
      <c r="DR489" s="28" t="str">
        <f aca="false">AU489</f>
        <v/>
      </c>
      <c r="DS489" s="28" t="str">
        <f aca="false">AY489</f>
        <v/>
      </c>
      <c r="DT489" s="28" t="str">
        <f aca="false">BC489</f>
        <v/>
      </c>
      <c r="DU489" s="28" t="str">
        <f aca="false">BG489</f>
        <v/>
      </c>
      <c r="DV489" s="28" t="str">
        <f aca="false">BK489</f>
        <v/>
      </c>
      <c r="DW489" s="28" t="str">
        <f aca="false">BO489</f>
        <v/>
      </c>
      <c r="DX489" s="28" t="str">
        <f aca="false">BS489</f>
        <v/>
      </c>
      <c r="DY489" s="28" t="str">
        <f aca="false">IF(ISNUMBER(S489),1,"")</f>
        <v/>
      </c>
      <c r="DZ489" s="28" t="str">
        <f aca="false">IF(ISNUMBER(W489),2,"")</f>
        <v/>
      </c>
      <c r="EA489" s="28" t="str">
        <f aca="false">IF(ISNUMBER(AA489),3,"")</f>
        <v/>
      </c>
      <c r="EB489" s="28" t="str">
        <f aca="false">IF(ISNUMBER(AE489),4,"")</f>
        <v/>
      </c>
      <c r="EC489" s="28" t="str">
        <f aca="false">IF(ISNUMBER(AI489),5,"")</f>
        <v/>
      </c>
      <c r="ED489" s="28" t="str">
        <f aca="false">IF(ISNUMBER(AM489),6,"")</f>
        <v/>
      </c>
      <c r="EE489" s="28" t="str">
        <f aca="false">IF(ISNUMBER(AQ489),7,"")</f>
        <v/>
      </c>
      <c r="EF489" s="28" t="str">
        <f aca="false">IF(ISNUMBER(AU489),8,"")</f>
        <v/>
      </c>
      <c r="EG489" s="28" t="str">
        <f aca="false">IF(ISNUMBER(AY489),9,"")</f>
        <v/>
      </c>
      <c r="EH489" s="28" t="str">
        <f aca="false">IF(ISNUMBER(BC489),10,"")</f>
        <v/>
      </c>
      <c r="EI489" s="28" t="str">
        <f aca="false">IF(ISNUMBER(BG489),11,"")</f>
        <v/>
      </c>
      <c r="EJ489" s="28" t="str">
        <f aca="false">IF(ISNUMBER(BK489),12,"")</f>
        <v/>
      </c>
      <c r="EK489" s="28" t="str">
        <f aca="false">IF(ISNUMBER(BO489),13,"")</f>
        <v/>
      </c>
      <c r="EL489" s="28" t="str">
        <f aca="false">IF(ISNUMBER(BS489),14,"")</f>
        <v/>
      </c>
      <c r="EM489" s="28" t="n">
        <f aca="false">IF(ISNUMBER(R489),R489*CW489,0)</f>
        <v>0</v>
      </c>
      <c r="EN489" s="28" t="n">
        <f aca="false">IF(ISNUMBER(V489),V489*CX489,0)</f>
        <v>0</v>
      </c>
      <c r="EO489" s="28" t="n">
        <f aca="false">IF(ISNUMBER(Z489),Z489*CY489,0)</f>
        <v>0</v>
      </c>
      <c r="EP489" s="28" t="n">
        <f aca="false">IF(ISNUMBER(AD489),AD489*CZ489,0)</f>
        <v>0</v>
      </c>
      <c r="EQ489" s="28" t="n">
        <f aca="false">IF(ISNUMBER(AH489),AH489*DA489,0)</f>
        <v>0</v>
      </c>
      <c r="ER489" s="28" t="n">
        <f aca="false">IF(ISNUMBER(AL489),AL489*DB489,0)</f>
        <v>0</v>
      </c>
      <c r="ES489" s="28" t="n">
        <f aca="false">IF(ISNUMBER(AP489),AP489*DC489,0)</f>
        <v>0</v>
      </c>
      <c r="ET489" s="28" t="n">
        <f aca="false">IF(ISNUMBER(AT489),AT489*DD489,0)</f>
        <v>0</v>
      </c>
      <c r="EU489" s="28" t="n">
        <f aca="false">IF(ISNUMBER(AX489),AX489*DE489,0)</f>
        <v>0</v>
      </c>
      <c r="EV489" s="28" t="n">
        <f aca="false">IF(ISNUMBER(BB489),BB489*DF489,0)</f>
        <v>0</v>
      </c>
      <c r="EW489" s="28" t="n">
        <f aca="false">IF(ISNUMBER(BF489),BF489*DG489,0)</f>
        <v>0</v>
      </c>
      <c r="EX489" s="28" t="n">
        <f aca="false">IF(ISNUMBER(BJ489),BJ489*DH489,0)</f>
        <v>0</v>
      </c>
      <c r="EY489" s="28" t="n">
        <f aca="false">IF(ISNUMBER(BN489),BN489*DI489,0)</f>
        <v>0</v>
      </c>
      <c r="EZ489" s="28" t="n">
        <f aca="false">IF(ISNUMBER(BR489),BR489*DJ489,0)</f>
        <v>0</v>
      </c>
      <c r="FA489" s="28" t="n">
        <f aca="false">IF(ISNUMBER(R489),CW489,0)</f>
        <v>0</v>
      </c>
      <c r="FB489" s="28" t="n">
        <f aca="false">IF(ISNUMBER(V489),CX489,0)</f>
        <v>0</v>
      </c>
      <c r="FC489" s="28" t="n">
        <f aca="false">IF(ISNUMBER(Z489),CY489,0)</f>
        <v>0</v>
      </c>
      <c r="FD489" s="28" t="n">
        <f aca="false">IF(ISNUMBER(AD489),CZ489,0)</f>
        <v>0</v>
      </c>
      <c r="FE489" s="28" t="n">
        <f aca="false">IF(ISNUMBER(AH489),DA489,0)</f>
        <v>0</v>
      </c>
      <c r="FF489" s="28" t="n">
        <f aca="false">IF(ISNUMBER(AL489),DB489,0)</f>
        <v>0</v>
      </c>
      <c r="FG489" s="28" t="n">
        <f aca="false">IF(ISNUMBER(AP489),DC489,0)</f>
        <v>0</v>
      </c>
      <c r="FH489" s="28" t="n">
        <f aca="false">IF(ISNUMBER(AT489),DD489,0)</f>
        <v>0</v>
      </c>
      <c r="FI489" s="28" t="n">
        <f aca="false">IF(ISNUMBER(AX489),DE489,0)</f>
        <v>0</v>
      </c>
      <c r="FJ489" s="28" t="n">
        <f aca="false">IF(ISNUMBER(BB489),DF489,0)</f>
        <v>0</v>
      </c>
      <c r="FK489" s="28" t="n">
        <f aca="false">IF(ISNUMBER(BF489),DG489,0)</f>
        <v>0</v>
      </c>
      <c r="FL489" s="28" t="n">
        <f aca="false">IF(ISNUMBER(BJ489),DH489,0)</f>
        <v>0</v>
      </c>
      <c r="FM489" s="28" t="n">
        <f aca="false">IF(ISNUMBER(BN489),DI489,0)</f>
        <v>0</v>
      </c>
      <c r="FN489" s="28" t="n">
        <f aca="false">IF(ISNUMBER(BR489),DJ489,0)</f>
        <v>0</v>
      </c>
      <c r="FO489" s="28" t="str">
        <f aca="false">IFERROR(INDEX(Lists!$G$2:$G$20,MATCH($I489&amp;"|"&amp;$J489,Lists!$F$2:$F$20,0)),"")</f>
        <v/>
      </c>
    </row>
    <row r="490" customFormat="false" ht="19.5" hidden="false" customHeight="true" outlineLevel="0" collapsed="false">
      <c r="A490" s="29"/>
      <c r="B490" s="29"/>
      <c r="C490" s="30"/>
      <c r="D490" s="30"/>
      <c r="E490" s="31"/>
      <c r="F490" s="30"/>
      <c r="G490" s="30"/>
      <c r="H490" s="32"/>
      <c r="I490" s="33"/>
      <c r="J490" s="32"/>
      <c r="K490" s="34" t="str">
        <f aca="false">IF(OR(M490="",$E490=""),"",M490-$E490)</f>
        <v/>
      </c>
      <c r="L490" s="35" t="str">
        <f aca="false">IF(SUM(FA490:FN490)=0,"",SUM(EM490:EZ490)/SUM(FA490:FN490))</f>
        <v/>
      </c>
      <c r="M490" s="36" t="str">
        <f aca="false">IF(OR(L490="",FO490=""),"",IFERROR(MATCH(L490,INDEX(Boundaries!$B$2:$I$30,MATCH(FO490,Boundaries!$A$2:$A$30,0),0),1)-1,""))</f>
        <v/>
      </c>
      <c r="N490" s="37" t="str">
        <f aca="false">IF(COUNT($DY490:$EL490)&lt;2,"",INDEX($DK490:$DX490,MAX($DY490:$EL490))-INDEX($DK490:$DX490,MIN($DY490:$EL490)))</f>
        <v/>
      </c>
      <c r="O490" s="37" t="str">
        <f aca="false">IF(COUNT($DY490:$EL490)&lt;2,"",INDEX($DK490:$DX490,MAX($DY490:$EL490))-INDEX($DK490:$DX490,LARGE($DY490:$EL490,2)))</f>
        <v/>
      </c>
      <c r="P490" s="38" t="str">
        <f aca="false">IF(K490="","",IF(K490&gt;=0,"On/above target",IF(AND(N490&lt;&gt;"",N490&gt;=0.5),"Improving towards target",IF(AND(O490&lt;&gt;"",O490&lt;=-0.5),"Declining","Stable below target"))))</f>
        <v/>
      </c>
      <c r="Q490" s="39"/>
      <c r="R490" s="40" t="str">
        <f aca="false">IF(OR(Q490="",BU490=""),"",Q490/BU490*100)</f>
        <v/>
      </c>
      <c r="S490" s="41" t="str">
        <f aca="false">IF(R490="","",IFERROR(MATCH(R490,INDEX(Boundaries!$B$2:$I$30,MATCH(CI490,Boundaries!$A$2:$A$30,0),0),1)-1,""))</f>
        <v/>
      </c>
      <c r="T490" s="42" t="str">
        <f aca="false">IF(OR(S490="",$E490=""),"",S490-$E490)</f>
        <v/>
      </c>
      <c r="U490" s="39"/>
      <c r="V490" s="40" t="str">
        <f aca="false">IF(OR(U490="",BV490=""),"",U490/BV490*100)</f>
        <v/>
      </c>
      <c r="W490" s="41" t="str">
        <f aca="false">IF(V490="","",IFERROR(MATCH(V490,INDEX(Boundaries!$B$2:$I$30,MATCH(CJ490,Boundaries!$A$2:$A$30,0),0),1)-1,""))</f>
        <v/>
      </c>
      <c r="X490" s="42" t="str">
        <f aca="false">IF(OR(W490="",$E490=""),"",W490-$E490)</f>
        <v/>
      </c>
      <c r="Y490" s="39"/>
      <c r="Z490" s="40" t="str">
        <f aca="false">IF(OR(Y490="",BW490=""),"",Y490/BW490*100)</f>
        <v/>
      </c>
      <c r="AA490" s="41" t="str">
        <f aca="false">IF(Z490="","",IFERROR(MATCH(Z490,INDEX(Boundaries!$B$2:$I$30,MATCH(CK490,Boundaries!$A$2:$A$30,0),0),1)-1,""))</f>
        <v/>
      </c>
      <c r="AB490" s="42" t="str">
        <f aca="false">IF(OR(AA490="",$E490=""),"",AA490-$E490)</f>
        <v/>
      </c>
      <c r="AC490" s="39"/>
      <c r="AD490" s="40" t="str">
        <f aca="false">IF(OR(AC490="",BX490=""),"",AC490/BX490*100)</f>
        <v/>
      </c>
      <c r="AE490" s="41" t="str">
        <f aca="false">IF(AD490="","",IFERROR(MATCH(AD490,INDEX(Boundaries!$B$2:$I$30,MATCH(CL490,Boundaries!$A$2:$A$30,0),0),1)-1,""))</f>
        <v/>
      </c>
      <c r="AF490" s="42" t="str">
        <f aca="false">IF(OR(AE490="",$E490=""),"",AE490-$E490)</f>
        <v/>
      </c>
      <c r="AG490" s="39"/>
      <c r="AH490" s="40" t="str">
        <f aca="false">IF(OR(AG490="",BY490=""),"",AG490/BY490*100)</f>
        <v/>
      </c>
      <c r="AI490" s="41" t="str">
        <f aca="false">IF(AH490="","",IFERROR(MATCH(AH490,INDEX(Boundaries!$B$2:$I$30,MATCH(CM490,Boundaries!$A$2:$A$30,0),0),1)-1,""))</f>
        <v/>
      </c>
      <c r="AJ490" s="42" t="str">
        <f aca="false">IF(OR(AI490="",$E490=""),"",AI490-$E490)</f>
        <v/>
      </c>
      <c r="AK490" s="39"/>
      <c r="AL490" s="40" t="str">
        <f aca="false">IF(OR(AK490="",BZ490=""),"",AK490/BZ490*100)</f>
        <v/>
      </c>
      <c r="AM490" s="41" t="str">
        <f aca="false">IF(AL490="","",IFERROR(MATCH(AL490,INDEX(Boundaries!$B$2:$I$30,MATCH(CN490,Boundaries!$A$2:$A$30,0),0),1)-1,""))</f>
        <v/>
      </c>
      <c r="AN490" s="42" t="str">
        <f aca="false">IF(OR(AM490="",$E490=""),"",AM490-$E490)</f>
        <v/>
      </c>
      <c r="AO490" s="39"/>
      <c r="AP490" s="40" t="str">
        <f aca="false">IF(OR(AO490="",CA490=""),"",AO490/CA490*100)</f>
        <v/>
      </c>
      <c r="AQ490" s="41" t="str">
        <f aca="false">IF(AP490="","",IFERROR(MATCH(AP490,INDEX(Boundaries!$B$2:$I$30,MATCH(CO490,Boundaries!$A$2:$A$30,0),0),1)-1,""))</f>
        <v/>
      </c>
      <c r="AR490" s="42" t="str">
        <f aca="false">IF(OR(AQ490="",$E490=""),"",AQ490-$E490)</f>
        <v/>
      </c>
      <c r="AS490" s="39"/>
      <c r="AT490" s="40" t="str">
        <f aca="false">IF(OR(AS490="",CB490=""),"",AS490/CB490*100)</f>
        <v/>
      </c>
      <c r="AU490" s="41" t="str">
        <f aca="false">IF(AT490="","",IFERROR(MATCH(AT490,INDEX(Boundaries!$B$2:$I$30,MATCH(CP490,Boundaries!$A$2:$A$30,0),0),1)-1,""))</f>
        <v/>
      </c>
      <c r="AV490" s="42" t="str">
        <f aca="false">IF(OR(AU490="",$E490=""),"",AU490-$E490)</f>
        <v/>
      </c>
      <c r="AW490" s="39"/>
      <c r="AX490" s="40" t="str">
        <f aca="false">IF(OR(AW490="",CC490=""),"",AW490/CC490*100)</f>
        <v/>
      </c>
      <c r="AY490" s="41" t="str">
        <f aca="false">IF(AX490="","",IFERROR(MATCH(AX490,INDEX(Boundaries!$B$2:$I$30,MATCH(CQ490,Boundaries!$A$2:$A$30,0),0),1)-1,""))</f>
        <v/>
      </c>
      <c r="AZ490" s="42" t="str">
        <f aca="false">IF(OR(AY490="",$E490=""),"",AY490-$E490)</f>
        <v/>
      </c>
      <c r="BA490" s="39"/>
      <c r="BB490" s="40" t="str">
        <f aca="false">IF(OR(BA490="",CD490=""),"",BA490/CD490*100)</f>
        <v/>
      </c>
      <c r="BC490" s="41" t="str">
        <f aca="false">IF(BB490="","",IFERROR(MATCH(BB490,INDEX(Boundaries!$B$2:$I$30,MATCH(CR490,Boundaries!$A$2:$A$30,0),0),1)-1,""))</f>
        <v/>
      </c>
      <c r="BD490" s="42" t="str">
        <f aca="false">IF(OR(BC490="",$E490=""),"",BC490-$E490)</f>
        <v/>
      </c>
      <c r="BE490" s="39"/>
      <c r="BF490" s="40" t="str">
        <f aca="false">IF(OR(BE490="",CE490=""),"",BE490/CE490*100)</f>
        <v/>
      </c>
      <c r="BG490" s="41" t="str">
        <f aca="false">IF(BF490="","",IFERROR(MATCH(BF490,INDEX(Boundaries!$B$2:$I$30,MATCH(CS490,Boundaries!$A$2:$A$30,0),0),1)-1,""))</f>
        <v/>
      </c>
      <c r="BH490" s="42" t="str">
        <f aca="false">IF(OR(BG490="",$E490=""),"",BG490-$E490)</f>
        <v/>
      </c>
      <c r="BI490" s="39"/>
      <c r="BJ490" s="40" t="str">
        <f aca="false">IF(OR(BI490="",CF490=""),"",BI490/CF490*100)</f>
        <v/>
      </c>
      <c r="BK490" s="41" t="str">
        <f aca="false">IF(BJ490="","",IFERROR(MATCH(BJ490,INDEX(Boundaries!$B$2:$I$30,MATCH(CT490,Boundaries!$A$2:$A$30,0),0),1)-1,""))</f>
        <v/>
      </c>
      <c r="BL490" s="42" t="str">
        <f aca="false">IF(OR(BK490="",$E490=""),"",BK490-$E490)</f>
        <v/>
      </c>
      <c r="BM490" s="39"/>
      <c r="BN490" s="40" t="str">
        <f aca="false">IF(OR(BM490="",CG490=""),"",BM490/CG490*100)</f>
        <v/>
      </c>
      <c r="BO490" s="41" t="str">
        <f aca="false">IF(BN490="","",IFERROR(MATCH(BN490,INDEX(Boundaries!$B$2:$I$30,MATCH(CU490,Boundaries!$A$2:$A$30,0),0),1)-1,""))</f>
        <v/>
      </c>
      <c r="BP490" s="42" t="str">
        <f aca="false">IF(OR(BO490="",$E490=""),"",BO490-$E490)</f>
        <v/>
      </c>
      <c r="BQ490" s="39"/>
      <c r="BR490" s="40" t="str">
        <f aca="false">IF(OR(BQ490="",CH490=""),"",BQ490/CH490*100)</f>
        <v/>
      </c>
      <c r="BS490" s="41" t="str">
        <f aca="false">IF(BR490="","",IFERROR(MATCH(BR490,INDEX(Boundaries!$B$2:$I$30,MATCH(CV490,Boundaries!$A$2:$A$30,0),0),1)-1,""))</f>
        <v/>
      </c>
      <c r="BT490" s="42" t="str">
        <f aca="false">IF(OR(BS490="",$E490=""),"",BS490-$E490)</f>
        <v/>
      </c>
      <c r="BU490" s="28" t="str">
        <f aca="false">IFERROR(INDEX(Assessments!$H$2:$H$600,MATCH($H490&amp;"|"&amp;$I490&amp;"|"&amp;$J490&amp;"|"&amp;1,Assessments!$A$2:$A$600,0)),"")</f>
        <v/>
      </c>
      <c r="BV490" s="28" t="str">
        <f aca="false">IFERROR(INDEX(Assessments!$H$2:$H$600,MATCH($H490&amp;"|"&amp;$I490&amp;"|"&amp;$J490&amp;"|"&amp;2,Assessments!$A$2:$A$600,0)),"")</f>
        <v/>
      </c>
      <c r="BW490" s="28" t="str">
        <f aca="false">IFERROR(INDEX(Assessments!$H$2:$H$600,MATCH($H490&amp;"|"&amp;$I490&amp;"|"&amp;$J490&amp;"|"&amp;3,Assessments!$A$2:$A$600,0)),"")</f>
        <v/>
      </c>
      <c r="BX490" s="28" t="str">
        <f aca="false">IFERROR(INDEX(Assessments!$H$2:$H$600,MATCH($H490&amp;"|"&amp;$I490&amp;"|"&amp;$J490&amp;"|"&amp;4,Assessments!$A$2:$A$600,0)),"")</f>
        <v/>
      </c>
      <c r="BY490" s="28" t="str">
        <f aca="false">IFERROR(INDEX(Assessments!$H$2:$H$600,MATCH($H490&amp;"|"&amp;$I490&amp;"|"&amp;$J490&amp;"|"&amp;5,Assessments!$A$2:$A$600,0)),"")</f>
        <v/>
      </c>
      <c r="BZ490" s="28" t="str">
        <f aca="false">IFERROR(INDEX(Assessments!$H$2:$H$600,MATCH($H490&amp;"|"&amp;$I490&amp;"|"&amp;$J490&amp;"|"&amp;6,Assessments!$A$2:$A$600,0)),"")</f>
        <v/>
      </c>
      <c r="CA490" s="28" t="str">
        <f aca="false">IFERROR(INDEX(Assessments!$H$2:$H$600,MATCH($H490&amp;"|"&amp;$I490&amp;"|"&amp;$J490&amp;"|"&amp;7,Assessments!$A$2:$A$600,0)),"")</f>
        <v/>
      </c>
      <c r="CB490" s="28" t="str">
        <f aca="false">IFERROR(INDEX(Assessments!$H$2:$H$600,MATCH($H490&amp;"|"&amp;$I490&amp;"|"&amp;$J490&amp;"|"&amp;8,Assessments!$A$2:$A$600,0)),"")</f>
        <v/>
      </c>
      <c r="CC490" s="28" t="str">
        <f aca="false">IFERROR(INDEX(Assessments!$H$2:$H$600,MATCH($H490&amp;"|"&amp;$I490&amp;"|"&amp;$J490&amp;"|"&amp;9,Assessments!$A$2:$A$600,0)),"")</f>
        <v/>
      </c>
      <c r="CD490" s="28" t="str">
        <f aca="false">IFERROR(INDEX(Assessments!$H$2:$H$600,MATCH($H490&amp;"|"&amp;$I490&amp;"|"&amp;$J490&amp;"|"&amp;10,Assessments!$A$2:$A$600,0)),"")</f>
        <v/>
      </c>
      <c r="CE490" s="28" t="str">
        <f aca="false">IFERROR(INDEX(Assessments!$H$2:$H$600,MATCH($H490&amp;"|"&amp;$I490&amp;"|"&amp;$J490&amp;"|"&amp;11,Assessments!$A$2:$A$600,0)),"")</f>
        <v/>
      </c>
      <c r="CF490" s="28" t="str">
        <f aca="false">IFERROR(INDEX(Assessments!$H$2:$H$600,MATCH($H490&amp;"|"&amp;$I490&amp;"|"&amp;$J490&amp;"|"&amp;12,Assessments!$A$2:$A$600,0)),"")</f>
        <v/>
      </c>
      <c r="CG490" s="28" t="str">
        <f aca="false">IFERROR(INDEX(Assessments!$H$2:$H$600,MATCH($H490&amp;"|"&amp;$I490&amp;"|"&amp;$J490&amp;"|"&amp;13,Assessments!$A$2:$A$600,0)),"")</f>
        <v/>
      </c>
      <c r="CH490" s="28" t="str">
        <f aca="false">IFERROR(INDEX(Assessments!$H$2:$H$600,MATCH($H490&amp;"|"&amp;$I490&amp;"|"&amp;$J490&amp;"|"&amp;14,Assessments!$A$2:$A$600,0)),"")</f>
        <v/>
      </c>
      <c r="CI490" s="28" t="str">
        <f aca="false">IFERROR(INDEX(Assessments!$I$2:$I$600,MATCH($H490&amp;"|"&amp;$I490&amp;"|"&amp;$J490&amp;"|"&amp;1,Assessments!$A$2:$A$600,0)),"")</f>
        <v/>
      </c>
      <c r="CJ490" s="28" t="str">
        <f aca="false">IFERROR(INDEX(Assessments!$I$2:$I$600,MATCH($H490&amp;"|"&amp;$I490&amp;"|"&amp;$J490&amp;"|"&amp;2,Assessments!$A$2:$A$600,0)),"")</f>
        <v/>
      </c>
      <c r="CK490" s="28" t="str">
        <f aca="false">IFERROR(INDEX(Assessments!$I$2:$I$600,MATCH($H490&amp;"|"&amp;$I490&amp;"|"&amp;$J490&amp;"|"&amp;3,Assessments!$A$2:$A$600,0)),"")</f>
        <v/>
      </c>
      <c r="CL490" s="28" t="str">
        <f aca="false">IFERROR(INDEX(Assessments!$I$2:$I$600,MATCH($H490&amp;"|"&amp;$I490&amp;"|"&amp;$J490&amp;"|"&amp;4,Assessments!$A$2:$A$600,0)),"")</f>
        <v/>
      </c>
      <c r="CM490" s="28" t="str">
        <f aca="false">IFERROR(INDEX(Assessments!$I$2:$I$600,MATCH($H490&amp;"|"&amp;$I490&amp;"|"&amp;$J490&amp;"|"&amp;5,Assessments!$A$2:$A$600,0)),"")</f>
        <v/>
      </c>
      <c r="CN490" s="28" t="str">
        <f aca="false">IFERROR(INDEX(Assessments!$I$2:$I$600,MATCH($H490&amp;"|"&amp;$I490&amp;"|"&amp;$J490&amp;"|"&amp;6,Assessments!$A$2:$A$600,0)),"")</f>
        <v/>
      </c>
      <c r="CO490" s="28" t="str">
        <f aca="false">IFERROR(INDEX(Assessments!$I$2:$I$600,MATCH($H490&amp;"|"&amp;$I490&amp;"|"&amp;$J490&amp;"|"&amp;7,Assessments!$A$2:$A$600,0)),"")</f>
        <v/>
      </c>
      <c r="CP490" s="28" t="str">
        <f aca="false">IFERROR(INDEX(Assessments!$I$2:$I$600,MATCH($H490&amp;"|"&amp;$I490&amp;"|"&amp;$J490&amp;"|"&amp;8,Assessments!$A$2:$A$600,0)),"")</f>
        <v/>
      </c>
      <c r="CQ490" s="28" t="str">
        <f aca="false">IFERROR(INDEX(Assessments!$I$2:$I$600,MATCH($H490&amp;"|"&amp;$I490&amp;"|"&amp;$J490&amp;"|"&amp;9,Assessments!$A$2:$A$600,0)),"")</f>
        <v/>
      </c>
      <c r="CR490" s="28" t="str">
        <f aca="false">IFERROR(INDEX(Assessments!$I$2:$I$600,MATCH($H490&amp;"|"&amp;$I490&amp;"|"&amp;$J490&amp;"|"&amp;10,Assessments!$A$2:$A$600,0)),"")</f>
        <v/>
      </c>
      <c r="CS490" s="28" t="str">
        <f aca="false">IFERROR(INDEX(Assessments!$I$2:$I$600,MATCH($H490&amp;"|"&amp;$I490&amp;"|"&amp;$J490&amp;"|"&amp;11,Assessments!$A$2:$A$600,0)),"")</f>
        <v/>
      </c>
      <c r="CT490" s="28" t="str">
        <f aca="false">IFERROR(INDEX(Assessments!$I$2:$I$600,MATCH($H490&amp;"|"&amp;$I490&amp;"|"&amp;$J490&amp;"|"&amp;12,Assessments!$A$2:$A$600,0)),"")</f>
        <v/>
      </c>
      <c r="CU490" s="28" t="str">
        <f aca="false">IFERROR(INDEX(Assessments!$I$2:$I$600,MATCH($H490&amp;"|"&amp;$I490&amp;"|"&amp;$J490&amp;"|"&amp;13,Assessments!$A$2:$A$600,0)),"")</f>
        <v/>
      </c>
      <c r="CV490" s="28" t="str">
        <f aca="false">IFERROR(INDEX(Assessments!$I$2:$I$600,MATCH($H490&amp;"|"&amp;$I490&amp;"|"&amp;$J490&amp;"|"&amp;14,Assessments!$A$2:$A$600,0)),"")</f>
        <v/>
      </c>
      <c r="CW490" s="28" t="n">
        <f aca="false">IFERROR(INDEX(Assessments!$J$2:$J$600,MATCH($H490&amp;"|"&amp;$I490&amp;"|"&amp;$J490&amp;"|"&amp;1,Assessments!$A$2:$A$600,0)),0)</f>
        <v>0</v>
      </c>
      <c r="CX490" s="28" t="n">
        <f aca="false">IFERROR(INDEX(Assessments!$J$2:$J$600,MATCH($H490&amp;"|"&amp;$I490&amp;"|"&amp;$J490&amp;"|"&amp;2,Assessments!$A$2:$A$600,0)),0)</f>
        <v>0</v>
      </c>
      <c r="CY490" s="28" t="n">
        <f aca="false">IFERROR(INDEX(Assessments!$J$2:$J$600,MATCH($H490&amp;"|"&amp;$I490&amp;"|"&amp;$J490&amp;"|"&amp;3,Assessments!$A$2:$A$600,0)),0)</f>
        <v>0</v>
      </c>
      <c r="CZ490" s="28" t="n">
        <f aca="false">IFERROR(INDEX(Assessments!$J$2:$J$600,MATCH($H490&amp;"|"&amp;$I490&amp;"|"&amp;$J490&amp;"|"&amp;4,Assessments!$A$2:$A$600,0)),0)</f>
        <v>0</v>
      </c>
      <c r="DA490" s="28" t="n">
        <f aca="false">IFERROR(INDEX(Assessments!$J$2:$J$600,MATCH($H490&amp;"|"&amp;$I490&amp;"|"&amp;$J490&amp;"|"&amp;5,Assessments!$A$2:$A$600,0)),0)</f>
        <v>0</v>
      </c>
      <c r="DB490" s="28" t="n">
        <f aca="false">IFERROR(INDEX(Assessments!$J$2:$J$600,MATCH($H490&amp;"|"&amp;$I490&amp;"|"&amp;$J490&amp;"|"&amp;6,Assessments!$A$2:$A$600,0)),0)</f>
        <v>0</v>
      </c>
      <c r="DC490" s="28" t="n">
        <f aca="false">IFERROR(INDEX(Assessments!$J$2:$J$600,MATCH($H490&amp;"|"&amp;$I490&amp;"|"&amp;$J490&amp;"|"&amp;7,Assessments!$A$2:$A$600,0)),0)</f>
        <v>0</v>
      </c>
      <c r="DD490" s="28" t="n">
        <f aca="false">IFERROR(INDEX(Assessments!$J$2:$J$600,MATCH($H490&amp;"|"&amp;$I490&amp;"|"&amp;$J490&amp;"|"&amp;8,Assessments!$A$2:$A$600,0)),0)</f>
        <v>0</v>
      </c>
      <c r="DE490" s="28" t="n">
        <f aca="false">IFERROR(INDEX(Assessments!$J$2:$J$600,MATCH($H490&amp;"|"&amp;$I490&amp;"|"&amp;$J490&amp;"|"&amp;9,Assessments!$A$2:$A$600,0)),0)</f>
        <v>0</v>
      </c>
      <c r="DF490" s="28" t="n">
        <f aca="false">IFERROR(INDEX(Assessments!$J$2:$J$600,MATCH($H490&amp;"|"&amp;$I490&amp;"|"&amp;$J490&amp;"|"&amp;10,Assessments!$A$2:$A$600,0)),0)</f>
        <v>0</v>
      </c>
      <c r="DG490" s="28" t="n">
        <f aca="false">IFERROR(INDEX(Assessments!$J$2:$J$600,MATCH($H490&amp;"|"&amp;$I490&amp;"|"&amp;$J490&amp;"|"&amp;11,Assessments!$A$2:$A$600,0)),0)</f>
        <v>0</v>
      </c>
      <c r="DH490" s="28" t="n">
        <f aca="false">IFERROR(INDEX(Assessments!$J$2:$J$600,MATCH($H490&amp;"|"&amp;$I490&amp;"|"&amp;$J490&amp;"|"&amp;12,Assessments!$A$2:$A$600,0)),0)</f>
        <v>0</v>
      </c>
      <c r="DI490" s="28" t="n">
        <f aca="false">IFERROR(INDEX(Assessments!$J$2:$J$600,MATCH($H490&amp;"|"&amp;$I490&amp;"|"&amp;$J490&amp;"|"&amp;13,Assessments!$A$2:$A$600,0)),0)</f>
        <v>0</v>
      </c>
      <c r="DJ490" s="28" t="n">
        <f aca="false">IFERROR(INDEX(Assessments!$J$2:$J$600,MATCH($H490&amp;"|"&amp;$I490&amp;"|"&amp;$J490&amp;"|"&amp;14,Assessments!$A$2:$A$600,0)),0)</f>
        <v>0</v>
      </c>
      <c r="DK490" s="28" t="str">
        <f aca="false">S490</f>
        <v/>
      </c>
      <c r="DL490" s="28" t="str">
        <f aca="false">W490</f>
        <v/>
      </c>
      <c r="DM490" s="28" t="str">
        <f aca="false">AA490</f>
        <v/>
      </c>
      <c r="DN490" s="28" t="str">
        <f aca="false">AE490</f>
        <v/>
      </c>
      <c r="DO490" s="28" t="str">
        <f aca="false">AI490</f>
        <v/>
      </c>
      <c r="DP490" s="28" t="str">
        <f aca="false">AM490</f>
        <v/>
      </c>
      <c r="DQ490" s="28" t="str">
        <f aca="false">AQ490</f>
        <v/>
      </c>
      <c r="DR490" s="28" t="str">
        <f aca="false">AU490</f>
        <v/>
      </c>
      <c r="DS490" s="28" t="str">
        <f aca="false">AY490</f>
        <v/>
      </c>
      <c r="DT490" s="28" t="str">
        <f aca="false">BC490</f>
        <v/>
      </c>
      <c r="DU490" s="28" t="str">
        <f aca="false">BG490</f>
        <v/>
      </c>
      <c r="DV490" s="28" t="str">
        <f aca="false">BK490</f>
        <v/>
      </c>
      <c r="DW490" s="28" t="str">
        <f aca="false">BO490</f>
        <v/>
      </c>
      <c r="DX490" s="28" t="str">
        <f aca="false">BS490</f>
        <v/>
      </c>
      <c r="DY490" s="28" t="str">
        <f aca="false">IF(ISNUMBER(S490),1,"")</f>
        <v/>
      </c>
      <c r="DZ490" s="28" t="str">
        <f aca="false">IF(ISNUMBER(W490),2,"")</f>
        <v/>
      </c>
      <c r="EA490" s="28" t="str">
        <f aca="false">IF(ISNUMBER(AA490),3,"")</f>
        <v/>
      </c>
      <c r="EB490" s="28" t="str">
        <f aca="false">IF(ISNUMBER(AE490),4,"")</f>
        <v/>
      </c>
      <c r="EC490" s="28" t="str">
        <f aca="false">IF(ISNUMBER(AI490),5,"")</f>
        <v/>
      </c>
      <c r="ED490" s="28" t="str">
        <f aca="false">IF(ISNUMBER(AM490),6,"")</f>
        <v/>
      </c>
      <c r="EE490" s="28" t="str">
        <f aca="false">IF(ISNUMBER(AQ490),7,"")</f>
        <v/>
      </c>
      <c r="EF490" s="28" t="str">
        <f aca="false">IF(ISNUMBER(AU490),8,"")</f>
        <v/>
      </c>
      <c r="EG490" s="28" t="str">
        <f aca="false">IF(ISNUMBER(AY490),9,"")</f>
        <v/>
      </c>
      <c r="EH490" s="28" t="str">
        <f aca="false">IF(ISNUMBER(BC490),10,"")</f>
        <v/>
      </c>
      <c r="EI490" s="28" t="str">
        <f aca="false">IF(ISNUMBER(BG490),11,"")</f>
        <v/>
      </c>
      <c r="EJ490" s="28" t="str">
        <f aca="false">IF(ISNUMBER(BK490),12,"")</f>
        <v/>
      </c>
      <c r="EK490" s="28" t="str">
        <f aca="false">IF(ISNUMBER(BO490),13,"")</f>
        <v/>
      </c>
      <c r="EL490" s="28" t="str">
        <f aca="false">IF(ISNUMBER(BS490),14,"")</f>
        <v/>
      </c>
      <c r="EM490" s="28" t="n">
        <f aca="false">IF(ISNUMBER(R490),R490*CW490,0)</f>
        <v>0</v>
      </c>
      <c r="EN490" s="28" t="n">
        <f aca="false">IF(ISNUMBER(V490),V490*CX490,0)</f>
        <v>0</v>
      </c>
      <c r="EO490" s="28" t="n">
        <f aca="false">IF(ISNUMBER(Z490),Z490*CY490,0)</f>
        <v>0</v>
      </c>
      <c r="EP490" s="28" t="n">
        <f aca="false">IF(ISNUMBER(AD490),AD490*CZ490,0)</f>
        <v>0</v>
      </c>
      <c r="EQ490" s="28" t="n">
        <f aca="false">IF(ISNUMBER(AH490),AH490*DA490,0)</f>
        <v>0</v>
      </c>
      <c r="ER490" s="28" t="n">
        <f aca="false">IF(ISNUMBER(AL490),AL490*DB490,0)</f>
        <v>0</v>
      </c>
      <c r="ES490" s="28" t="n">
        <f aca="false">IF(ISNUMBER(AP490),AP490*DC490,0)</f>
        <v>0</v>
      </c>
      <c r="ET490" s="28" t="n">
        <f aca="false">IF(ISNUMBER(AT490),AT490*DD490,0)</f>
        <v>0</v>
      </c>
      <c r="EU490" s="28" t="n">
        <f aca="false">IF(ISNUMBER(AX490),AX490*DE490,0)</f>
        <v>0</v>
      </c>
      <c r="EV490" s="28" t="n">
        <f aca="false">IF(ISNUMBER(BB490),BB490*DF490,0)</f>
        <v>0</v>
      </c>
      <c r="EW490" s="28" t="n">
        <f aca="false">IF(ISNUMBER(BF490),BF490*DG490,0)</f>
        <v>0</v>
      </c>
      <c r="EX490" s="28" t="n">
        <f aca="false">IF(ISNUMBER(BJ490),BJ490*DH490,0)</f>
        <v>0</v>
      </c>
      <c r="EY490" s="28" t="n">
        <f aca="false">IF(ISNUMBER(BN490),BN490*DI490,0)</f>
        <v>0</v>
      </c>
      <c r="EZ490" s="28" t="n">
        <f aca="false">IF(ISNUMBER(BR490),BR490*DJ490,0)</f>
        <v>0</v>
      </c>
      <c r="FA490" s="28" t="n">
        <f aca="false">IF(ISNUMBER(R490),CW490,0)</f>
        <v>0</v>
      </c>
      <c r="FB490" s="28" t="n">
        <f aca="false">IF(ISNUMBER(V490),CX490,0)</f>
        <v>0</v>
      </c>
      <c r="FC490" s="28" t="n">
        <f aca="false">IF(ISNUMBER(Z490),CY490,0)</f>
        <v>0</v>
      </c>
      <c r="FD490" s="28" t="n">
        <f aca="false">IF(ISNUMBER(AD490),CZ490,0)</f>
        <v>0</v>
      </c>
      <c r="FE490" s="28" t="n">
        <f aca="false">IF(ISNUMBER(AH490),DA490,0)</f>
        <v>0</v>
      </c>
      <c r="FF490" s="28" t="n">
        <f aca="false">IF(ISNUMBER(AL490),DB490,0)</f>
        <v>0</v>
      </c>
      <c r="FG490" s="28" t="n">
        <f aca="false">IF(ISNUMBER(AP490),DC490,0)</f>
        <v>0</v>
      </c>
      <c r="FH490" s="28" t="n">
        <f aca="false">IF(ISNUMBER(AT490),DD490,0)</f>
        <v>0</v>
      </c>
      <c r="FI490" s="28" t="n">
        <f aca="false">IF(ISNUMBER(AX490),DE490,0)</f>
        <v>0</v>
      </c>
      <c r="FJ490" s="28" t="n">
        <f aca="false">IF(ISNUMBER(BB490),DF490,0)</f>
        <v>0</v>
      </c>
      <c r="FK490" s="28" t="n">
        <f aca="false">IF(ISNUMBER(BF490),DG490,0)</f>
        <v>0</v>
      </c>
      <c r="FL490" s="28" t="n">
        <f aca="false">IF(ISNUMBER(BJ490),DH490,0)</f>
        <v>0</v>
      </c>
      <c r="FM490" s="28" t="n">
        <f aca="false">IF(ISNUMBER(BN490),DI490,0)</f>
        <v>0</v>
      </c>
      <c r="FN490" s="28" t="n">
        <f aca="false">IF(ISNUMBER(BR490),DJ490,0)</f>
        <v>0</v>
      </c>
      <c r="FO490" s="28" t="str">
        <f aca="false">IFERROR(INDEX(Lists!$G$2:$G$20,MATCH($I490&amp;"|"&amp;$J490,Lists!$F$2:$F$20,0)),"")</f>
        <v/>
      </c>
    </row>
    <row r="491" customFormat="false" ht="19.5" hidden="false" customHeight="true" outlineLevel="0" collapsed="false">
      <c r="A491" s="29"/>
      <c r="B491" s="29"/>
      <c r="C491" s="30"/>
      <c r="D491" s="30"/>
      <c r="E491" s="31"/>
      <c r="F491" s="30"/>
      <c r="G491" s="30"/>
      <c r="H491" s="32"/>
      <c r="I491" s="33"/>
      <c r="J491" s="32"/>
      <c r="K491" s="34" t="str">
        <f aca="false">IF(OR(M491="",$E491=""),"",M491-$E491)</f>
        <v/>
      </c>
      <c r="L491" s="35" t="str">
        <f aca="false">IF(SUM(FA491:FN491)=0,"",SUM(EM491:EZ491)/SUM(FA491:FN491))</f>
        <v/>
      </c>
      <c r="M491" s="36" t="str">
        <f aca="false">IF(OR(L491="",FO491=""),"",IFERROR(MATCH(L491,INDEX(Boundaries!$B$2:$I$30,MATCH(FO491,Boundaries!$A$2:$A$30,0),0),1)-1,""))</f>
        <v/>
      </c>
      <c r="N491" s="37" t="str">
        <f aca="false">IF(COUNT($DY491:$EL491)&lt;2,"",INDEX($DK491:$DX491,MAX($DY491:$EL491))-INDEX($DK491:$DX491,MIN($DY491:$EL491)))</f>
        <v/>
      </c>
      <c r="O491" s="37" t="str">
        <f aca="false">IF(COUNT($DY491:$EL491)&lt;2,"",INDEX($DK491:$DX491,MAX($DY491:$EL491))-INDEX($DK491:$DX491,LARGE($DY491:$EL491,2)))</f>
        <v/>
      </c>
      <c r="P491" s="38" t="str">
        <f aca="false">IF(K491="","",IF(K491&gt;=0,"On/above target",IF(AND(N491&lt;&gt;"",N491&gt;=0.5),"Improving towards target",IF(AND(O491&lt;&gt;"",O491&lt;=-0.5),"Declining","Stable below target"))))</f>
        <v/>
      </c>
      <c r="Q491" s="39"/>
      <c r="R491" s="40" t="str">
        <f aca="false">IF(OR(Q491="",BU491=""),"",Q491/BU491*100)</f>
        <v/>
      </c>
      <c r="S491" s="41" t="str">
        <f aca="false">IF(R491="","",IFERROR(MATCH(R491,INDEX(Boundaries!$B$2:$I$30,MATCH(CI491,Boundaries!$A$2:$A$30,0),0),1)-1,""))</f>
        <v/>
      </c>
      <c r="T491" s="42" t="str">
        <f aca="false">IF(OR(S491="",$E491=""),"",S491-$E491)</f>
        <v/>
      </c>
      <c r="U491" s="39"/>
      <c r="V491" s="40" t="str">
        <f aca="false">IF(OR(U491="",BV491=""),"",U491/BV491*100)</f>
        <v/>
      </c>
      <c r="W491" s="41" t="str">
        <f aca="false">IF(V491="","",IFERROR(MATCH(V491,INDEX(Boundaries!$B$2:$I$30,MATCH(CJ491,Boundaries!$A$2:$A$30,0),0),1)-1,""))</f>
        <v/>
      </c>
      <c r="X491" s="42" t="str">
        <f aca="false">IF(OR(W491="",$E491=""),"",W491-$E491)</f>
        <v/>
      </c>
      <c r="Y491" s="39"/>
      <c r="Z491" s="40" t="str">
        <f aca="false">IF(OR(Y491="",BW491=""),"",Y491/BW491*100)</f>
        <v/>
      </c>
      <c r="AA491" s="41" t="str">
        <f aca="false">IF(Z491="","",IFERROR(MATCH(Z491,INDEX(Boundaries!$B$2:$I$30,MATCH(CK491,Boundaries!$A$2:$A$30,0),0),1)-1,""))</f>
        <v/>
      </c>
      <c r="AB491" s="42" t="str">
        <f aca="false">IF(OR(AA491="",$E491=""),"",AA491-$E491)</f>
        <v/>
      </c>
      <c r="AC491" s="39"/>
      <c r="AD491" s="40" t="str">
        <f aca="false">IF(OR(AC491="",BX491=""),"",AC491/BX491*100)</f>
        <v/>
      </c>
      <c r="AE491" s="41" t="str">
        <f aca="false">IF(AD491="","",IFERROR(MATCH(AD491,INDEX(Boundaries!$B$2:$I$30,MATCH(CL491,Boundaries!$A$2:$A$30,0),0),1)-1,""))</f>
        <v/>
      </c>
      <c r="AF491" s="42" t="str">
        <f aca="false">IF(OR(AE491="",$E491=""),"",AE491-$E491)</f>
        <v/>
      </c>
      <c r="AG491" s="39"/>
      <c r="AH491" s="40" t="str">
        <f aca="false">IF(OR(AG491="",BY491=""),"",AG491/BY491*100)</f>
        <v/>
      </c>
      <c r="AI491" s="41" t="str">
        <f aca="false">IF(AH491="","",IFERROR(MATCH(AH491,INDEX(Boundaries!$B$2:$I$30,MATCH(CM491,Boundaries!$A$2:$A$30,0),0),1)-1,""))</f>
        <v/>
      </c>
      <c r="AJ491" s="42" t="str">
        <f aca="false">IF(OR(AI491="",$E491=""),"",AI491-$E491)</f>
        <v/>
      </c>
      <c r="AK491" s="39"/>
      <c r="AL491" s="40" t="str">
        <f aca="false">IF(OR(AK491="",BZ491=""),"",AK491/BZ491*100)</f>
        <v/>
      </c>
      <c r="AM491" s="41" t="str">
        <f aca="false">IF(AL491="","",IFERROR(MATCH(AL491,INDEX(Boundaries!$B$2:$I$30,MATCH(CN491,Boundaries!$A$2:$A$30,0),0),1)-1,""))</f>
        <v/>
      </c>
      <c r="AN491" s="42" t="str">
        <f aca="false">IF(OR(AM491="",$E491=""),"",AM491-$E491)</f>
        <v/>
      </c>
      <c r="AO491" s="39"/>
      <c r="AP491" s="40" t="str">
        <f aca="false">IF(OR(AO491="",CA491=""),"",AO491/CA491*100)</f>
        <v/>
      </c>
      <c r="AQ491" s="41" t="str">
        <f aca="false">IF(AP491="","",IFERROR(MATCH(AP491,INDEX(Boundaries!$B$2:$I$30,MATCH(CO491,Boundaries!$A$2:$A$30,0),0),1)-1,""))</f>
        <v/>
      </c>
      <c r="AR491" s="42" t="str">
        <f aca="false">IF(OR(AQ491="",$E491=""),"",AQ491-$E491)</f>
        <v/>
      </c>
      <c r="AS491" s="39"/>
      <c r="AT491" s="40" t="str">
        <f aca="false">IF(OR(AS491="",CB491=""),"",AS491/CB491*100)</f>
        <v/>
      </c>
      <c r="AU491" s="41" t="str">
        <f aca="false">IF(AT491="","",IFERROR(MATCH(AT491,INDEX(Boundaries!$B$2:$I$30,MATCH(CP491,Boundaries!$A$2:$A$30,0),0),1)-1,""))</f>
        <v/>
      </c>
      <c r="AV491" s="42" t="str">
        <f aca="false">IF(OR(AU491="",$E491=""),"",AU491-$E491)</f>
        <v/>
      </c>
      <c r="AW491" s="39"/>
      <c r="AX491" s="40" t="str">
        <f aca="false">IF(OR(AW491="",CC491=""),"",AW491/CC491*100)</f>
        <v/>
      </c>
      <c r="AY491" s="41" t="str">
        <f aca="false">IF(AX491="","",IFERROR(MATCH(AX491,INDEX(Boundaries!$B$2:$I$30,MATCH(CQ491,Boundaries!$A$2:$A$30,0),0),1)-1,""))</f>
        <v/>
      </c>
      <c r="AZ491" s="42" t="str">
        <f aca="false">IF(OR(AY491="",$E491=""),"",AY491-$E491)</f>
        <v/>
      </c>
      <c r="BA491" s="39"/>
      <c r="BB491" s="40" t="str">
        <f aca="false">IF(OR(BA491="",CD491=""),"",BA491/CD491*100)</f>
        <v/>
      </c>
      <c r="BC491" s="41" t="str">
        <f aca="false">IF(BB491="","",IFERROR(MATCH(BB491,INDEX(Boundaries!$B$2:$I$30,MATCH(CR491,Boundaries!$A$2:$A$30,0),0),1)-1,""))</f>
        <v/>
      </c>
      <c r="BD491" s="42" t="str">
        <f aca="false">IF(OR(BC491="",$E491=""),"",BC491-$E491)</f>
        <v/>
      </c>
      <c r="BE491" s="39"/>
      <c r="BF491" s="40" t="str">
        <f aca="false">IF(OR(BE491="",CE491=""),"",BE491/CE491*100)</f>
        <v/>
      </c>
      <c r="BG491" s="41" t="str">
        <f aca="false">IF(BF491="","",IFERROR(MATCH(BF491,INDEX(Boundaries!$B$2:$I$30,MATCH(CS491,Boundaries!$A$2:$A$30,0),0),1)-1,""))</f>
        <v/>
      </c>
      <c r="BH491" s="42" t="str">
        <f aca="false">IF(OR(BG491="",$E491=""),"",BG491-$E491)</f>
        <v/>
      </c>
      <c r="BI491" s="39"/>
      <c r="BJ491" s="40" t="str">
        <f aca="false">IF(OR(BI491="",CF491=""),"",BI491/CF491*100)</f>
        <v/>
      </c>
      <c r="BK491" s="41" t="str">
        <f aca="false">IF(BJ491="","",IFERROR(MATCH(BJ491,INDEX(Boundaries!$B$2:$I$30,MATCH(CT491,Boundaries!$A$2:$A$30,0),0),1)-1,""))</f>
        <v/>
      </c>
      <c r="BL491" s="42" t="str">
        <f aca="false">IF(OR(BK491="",$E491=""),"",BK491-$E491)</f>
        <v/>
      </c>
      <c r="BM491" s="39"/>
      <c r="BN491" s="40" t="str">
        <f aca="false">IF(OR(BM491="",CG491=""),"",BM491/CG491*100)</f>
        <v/>
      </c>
      <c r="BO491" s="41" t="str">
        <f aca="false">IF(BN491="","",IFERROR(MATCH(BN491,INDEX(Boundaries!$B$2:$I$30,MATCH(CU491,Boundaries!$A$2:$A$30,0),0),1)-1,""))</f>
        <v/>
      </c>
      <c r="BP491" s="42" t="str">
        <f aca="false">IF(OR(BO491="",$E491=""),"",BO491-$E491)</f>
        <v/>
      </c>
      <c r="BQ491" s="39"/>
      <c r="BR491" s="40" t="str">
        <f aca="false">IF(OR(BQ491="",CH491=""),"",BQ491/CH491*100)</f>
        <v/>
      </c>
      <c r="BS491" s="41" t="str">
        <f aca="false">IF(BR491="","",IFERROR(MATCH(BR491,INDEX(Boundaries!$B$2:$I$30,MATCH(CV491,Boundaries!$A$2:$A$30,0),0),1)-1,""))</f>
        <v/>
      </c>
      <c r="BT491" s="42" t="str">
        <f aca="false">IF(OR(BS491="",$E491=""),"",BS491-$E491)</f>
        <v/>
      </c>
      <c r="BU491" s="28" t="str">
        <f aca="false">IFERROR(INDEX(Assessments!$H$2:$H$600,MATCH($H491&amp;"|"&amp;$I491&amp;"|"&amp;$J491&amp;"|"&amp;1,Assessments!$A$2:$A$600,0)),"")</f>
        <v/>
      </c>
      <c r="BV491" s="28" t="str">
        <f aca="false">IFERROR(INDEX(Assessments!$H$2:$H$600,MATCH($H491&amp;"|"&amp;$I491&amp;"|"&amp;$J491&amp;"|"&amp;2,Assessments!$A$2:$A$600,0)),"")</f>
        <v/>
      </c>
      <c r="BW491" s="28" t="str">
        <f aca="false">IFERROR(INDEX(Assessments!$H$2:$H$600,MATCH($H491&amp;"|"&amp;$I491&amp;"|"&amp;$J491&amp;"|"&amp;3,Assessments!$A$2:$A$600,0)),"")</f>
        <v/>
      </c>
      <c r="BX491" s="28" t="str">
        <f aca="false">IFERROR(INDEX(Assessments!$H$2:$H$600,MATCH($H491&amp;"|"&amp;$I491&amp;"|"&amp;$J491&amp;"|"&amp;4,Assessments!$A$2:$A$600,0)),"")</f>
        <v/>
      </c>
      <c r="BY491" s="28" t="str">
        <f aca="false">IFERROR(INDEX(Assessments!$H$2:$H$600,MATCH($H491&amp;"|"&amp;$I491&amp;"|"&amp;$J491&amp;"|"&amp;5,Assessments!$A$2:$A$600,0)),"")</f>
        <v/>
      </c>
      <c r="BZ491" s="28" t="str">
        <f aca="false">IFERROR(INDEX(Assessments!$H$2:$H$600,MATCH($H491&amp;"|"&amp;$I491&amp;"|"&amp;$J491&amp;"|"&amp;6,Assessments!$A$2:$A$600,0)),"")</f>
        <v/>
      </c>
      <c r="CA491" s="28" t="str">
        <f aca="false">IFERROR(INDEX(Assessments!$H$2:$H$600,MATCH($H491&amp;"|"&amp;$I491&amp;"|"&amp;$J491&amp;"|"&amp;7,Assessments!$A$2:$A$600,0)),"")</f>
        <v/>
      </c>
      <c r="CB491" s="28" t="str">
        <f aca="false">IFERROR(INDEX(Assessments!$H$2:$H$600,MATCH($H491&amp;"|"&amp;$I491&amp;"|"&amp;$J491&amp;"|"&amp;8,Assessments!$A$2:$A$600,0)),"")</f>
        <v/>
      </c>
      <c r="CC491" s="28" t="str">
        <f aca="false">IFERROR(INDEX(Assessments!$H$2:$H$600,MATCH($H491&amp;"|"&amp;$I491&amp;"|"&amp;$J491&amp;"|"&amp;9,Assessments!$A$2:$A$600,0)),"")</f>
        <v/>
      </c>
      <c r="CD491" s="28" t="str">
        <f aca="false">IFERROR(INDEX(Assessments!$H$2:$H$600,MATCH($H491&amp;"|"&amp;$I491&amp;"|"&amp;$J491&amp;"|"&amp;10,Assessments!$A$2:$A$600,0)),"")</f>
        <v/>
      </c>
      <c r="CE491" s="28" t="str">
        <f aca="false">IFERROR(INDEX(Assessments!$H$2:$H$600,MATCH($H491&amp;"|"&amp;$I491&amp;"|"&amp;$J491&amp;"|"&amp;11,Assessments!$A$2:$A$600,0)),"")</f>
        <v/>
      </c>
      <c r="CF491" s="28" t="str">
        <f aca="false">IFERROR(INDEX(Assessments!$H$2:$H$600,MATCH($H491&amp;"|"&amp;$I491&amp;"|"&amp;$J491&amp;"|"&amp;12,Assessments!$A$2:$A$600,0)),"")</f>
        <v/>
      </c>
      <c r="CG491" s="28" t="str">
        <f aca="false">IFERROR(INDEX(Assessments!$H$2:$H$600,MATCH($H491&amp;"|"&amp;$I491&amp;"|"&amp;$J491&amp;"|"&amp;13,Assessments!$A$2:$A$600,0)),"")</f>
        <v/>
      </c>
      <c r="CH491" s="28" t="str">
        <f aca="false">IFERROR(INDEX(Assessments!$H$2:$H$600,MATCH($H491&amp;"|"&amp;$I491&amp;"|"&amp;$J491&amp;"|"&amp;14,Assessments!$A$2:$A$600,0)),"")</f>
        <v/>
      </c>
      <c r="CI491" s="28" t="str">
        <f aca="false">IFERROR(INDEX(Assessments!$I$2:$I$600,MATCH($H491&amp;"|"&amp;$I491&amp;"|"&amp;$J491&amp;"|"&amp;1,Assessments!$A$2:$A$600,0)),"")</f>
        <v/>
      </c>
      <c r="CJ491" s="28" t="str">
        <f aca="false">IFERROR(INDEX(Assessments!$I$2:$I$600,MATCH($H491&amp;"|"&amp;$I491&amp;"|"&amp;$J491&amp;"|"&amp;2,Assessments!$A$2:$A$600,0)),"")</f>
        <v/>
      </c>
      <c r="CK491" s="28" t="str">
        <f aca="false">IFERROR(INDEX(Assessments!$I$2:$I$600,MATCH($H491&amp;"|"&amp;$I491&amp;"|"&amp;$J491&amp;"|"&amp;3,Assessments!$A$2:$A$600,0)),"")</f>
        <v/>
      </c>
      <c r="CL491" s="28" t="str">
        <f aca="false">IFERROR(INDEX(Assessments!$I$2:$I$600,MATCH($H491&amp;"|"&amp;$I491&amp;"|"&amp;$J491&amp;"|"&amp;4,Assessments!$A$2:$A$600,0)),"")</f>
        <v/>
      </c>
      <c r="CM491" s="28" t="str">
        <f aca="false">IFERROR(INDEX(Assessments!$I$2:$I$600,MATCH($H491&amp;"|"&amp;$I491&amp;"|"&amp;$J491&amp;"|"&amp;5,Assessments!$A$2:$A$600,0)),"")</f>
        <v/>
      </c>
      <c r="CN491" s="28" t="str">
        <f aca="false">IFERROR(INDEX(Assessments!$I$2:$I$600,MATCH($H491&amp;"|"&amp;$I491&amp;"|"&amp;$J491&amp;"|"&amp;6,Assessments!$A$2:$A$600,0)),"")</f>
        <v/>
      </c>
      <c r="CO491" s="28" t="str">
        <f aca="false">IFERROR(INDEX(Assessments!$I$2:$I$600,MATCH($H491&amp;"|"&amp;$I491&amp;"|"&amp;$J491&amp;"|"&amp;7,Assessments!$A$2:$A$600,0)),"")</f>
        <v/>
      </c>
      <c r="CP491" s="28" t="str">
        <f aca="false">IFERROR(INDEX(Assessments!$I$2:$I$600,MATCH($H491&amp;"|"&amp;$I491&amp;"|"&amp;$J491&amp;"|"&amp;8,Assessments!$A$2:$A$600,0)),"")</f>
        <v/>
      </c>
      <c r="CQ491" s="28" t="str">
        <f aca="false">IFERROR(INDEX(Assessments!$I$2:$I$600,MATCH($H491&amp;"|"&amp;$I491&amp;"|"&amp;$J491&amp;"|"&amp;9,Assessments!$A$2:$A$600,0)),"")</f>
        <v/>
      </c>
      <c r="CR491" s="28" t="str">
        <f aca="false">IFERROR(INDEX(Assessments!$I$2:$I$600,MATCH($H491&amp;"|"&amp;$I491&amp;"|"&amp;$J491&amp;"|"&amp;10,Assessments!$A$2:$A$600,0)),"")</f>
        <v/>
      </c>
      <c r="CS491" s="28" t="str">
        <f aca="false">IFERROR(INDEX(Assessments!$I$2:$I$600,MATCH($H491&amp;"|"&amp;$I491&amp;"|"&amp;$J491&amp;"|"&amp;11,Assessments!$A$2:$A$600,0)),"")</f>
        <v/>
      </c>
      <c r="CT491" s="28" t="str">
        <f aca="false">IFERROR(INDEX(Assessments!$I$2:$I$600,MATCH($H491&amp;"|"&amp;$I491&amp;"|"&amp;$J491&amp;"|"&amp;12,Assessments!$A$2:$A$600,0)),"")</f>
        <v/>
      </c>
      <c r="CU491" s="28" t="str">
        <f aca="false">IFERROR(INDEX(Assessments!$I$2:$I$600,MATCH($H491&amp;"|"&amp;$I491&amp;"|"&amp;$J491&amp;"|"&amp;13,Assessments!$A$2:$A$600,0)),"")</f>
        <v/>
      </c>
      <c r="CV491" s="28" t="str">
        <f aca="false">IFERROR(INDEX(Assessments!$I$2:$I$600,MATCH($H491&amp;"|"&amp;$I491&amp;"|"&amp;$J491&amp;"|"&amp;14,Assessments!$A$2:$A$600,0)),"")</f>
        <v/>
      </c>
      <c r="CW491" s="28" t="n">
        <f aca="false">IFERROR(INDEX(Assessments!$J$2:$J$600,MATCH($H491&amp;"|"&amp;$I491&amp;"|"&amp;$J491&amp;"|"&amp;1,Assessments!$A$2:$A$600,0)),0)</f>
        <v>0</v>
      </c>
      <c r="CX491" s="28" t="n">
        <f aca="false">IFERROR(INDEX(Assessments!$J$2:$J$600,MATCH($H491&amp;"|"&amp;$I491&amp;"|"&amp;$J491&amp;"|"&amp;2,Assessments!$A$2:$A$600,0)),0)</f>
        <v>0</v>
      </c>
      <c r="CY491" s="28" t="n">
        <f aca="false">IFERROR(INDEX(Assessments!$J$2:$J$600,MATCH($H491&amp;"|"&amp;$I491&amp;"|"&amp;$J491&amp;"|"&amp;3,Assessments!$A$2:$A$600,0)),0)</f>
        <v>0</v>
      </c>
      <c r="CZ491" s="28" t="n">
        <f aca="false">IFERROR(INDEX(Assessments!$J$2:$J$600,MATCH($H491&amp;"|"&amp;$I491&amp;"|"&amp;$J491&amp;"|"&amp;4,Assessments!$A$2:$A$600,0)),0)</f>
        <v>0</v>
      </c>
      <c r="DA491" s="28" t="n">
        <f aca="false">IFERROR(INDEX(Assessments!$J$2:$J$600,MATCH($H491&amp;"|"&amp;$I491&amp;"|"&amp;$J491&amp;"|"&amp;5,Assessments!$A$2:$A$600,0)),0)</f>
        <v>0</v>
      </c>
      <c r="DB491" s="28" t="n">
        <f aca="false">IFERROR(INDEX(Assessments!$J$2:$J$600,MATCH($H491&amp;"|"&amp;$I491&amp;"|"&amp;$J491&amp;"|"&amp;6,Assessments!$A$2:$A$600,0)),0)</f>
        <v>0</v>
      </c>
      <c r="DC491" s="28" t="n">
        <f aca="false">IFERROR(INDEX(Assessments!$J$2:$J$600,MATCH($H491&amp;"|"&amp;$I491&amp;"|"&amp;$J491&amp;"|"&amp;7,Assessments!$A$2:$A$600,0)),0)</f>
        <v>0</v>
      </c>
      <c r="DD491" s="28" t="n">
        <f aca="false">IFERROR(INDEX(Assessments!$J$2:$J$600,MATCH($H491&amp;"|"&amp;$I491&amp;"|"&amp;$J491&amp;"|"&amp;8,Assessments!$A$2:$A$600,0)),0)</f>
        <v>0</v>
      </c>
      <c r="DE491" s="28" t="n">
        <f aca="false">IFERROR(INDEX(Assessments!$J$2:$J$600,MATCH($H491&amp;"|"&amp;$I491&amp;"|"&amp;$J491&amp;"|"&amp;9,Assessments!$A$2:$A$600,0)),0)</f>
        <v>0</v>
      </c>
      <c r="DF491" s="28" t="n">
        <f aca="false">IFERROR(INDEX(Assessments!$J$2:$J$600,MATCH($H491&amp;"|"&amp;$I491&amp;"|"&amp;$J491&amp;"|"&amp;10,Assessments!$A$2:$A$600,0)),0)</f>
        <v>0</v>
      </c>
      <c r="DG491" s="28" t="n">
        <f aca="false">IFERROR(INDEX(Assessments!$J$2:$J$600,MATCH($H491&amp;"|"&amp;$I491&amp;"|"&amp;$J491&amp;"|"&amp;11,Assessments!$A$2:$A$600,0)),0)</f>
        <v>0</v>
      </c>
      <c r="DH491" s="28" t="n">
        <f aca="false">IFERROR(INDEX(Assessments!$J$2:$J$600,MATCH($H491&amp;"|"&amp;$I491&amp;"|"&amp;$J491&amp;"|"&amp;12,Assessments!$A$2:$A$600,0)),0)</f>
        <v>0</v>
      </c>
      <c r="DI491" s="28" t="n">
        <f aca="false">IFERROR(INDEX(Assessments!$J$2:$J$600,MATCH($H491&amp;"|"&amp;$I491&amp;"|"&amp;$J491&amp;"|"&amp;13,Assessments!$A$2:$A$600,0)),0)</f>
        <v>0</v>
      </c>
      <c r="DJ491" s="28" t="n">
        <f aca="false">IFERROR(INDEX(Assessments!$J$2:$J$600,MATCH($H491&amp;"|"&amp;$I491&amp;"|"&amp;$J491&amp;"|"&amp;14,Assessments!$A$2:$A$600,0)),0)</f>
        <v>0</v>
      </c>
      <c r="DK491" s="28" t="str">
        <f aca="false">S491</f>
        <v/>
      </c>
      <c r="DL491" s="28" t="str">
        <f aca="false">W491</f>
        <v/>
      </c>
      <c r="DM491" s="28" t="str">
        <f aca="false">AA491</f>
        <v/>
      </c>
      <c r="DN491" s="28" t="str">
        <f aca="false">AE491</f>
        <v/>
      </c>
      <c r="DO491" s="28" t="str">
        <f aca="false">AI491</f>
        <v/>
      </c>
      <c r="DP491" s="28" t="str">
        <f aca="false">AM491</f>
        <v/>
      </c>
      <c r="DQ491" s="28" t="str">
        <f aca="false">AQ491</f>
        <v/>
      </c>
      <c r="DR491" s="28" t="str">
        <f aca="false">AU491</f>
        <v/>
      </c>
      <c r="DS491" s="28" t="str">
        <f aca="false">AY491</f>
        <v/>
      </c>
      <c r="DT491" s="28" t="str">
        <f aca="false">BC491</f>
        <v/>
      </c>
      <c r="DU491" s="28" t="str">
        <f aca="false">BG491</f>
        <v/>
      </c>
      <c r="DV491" s="28" t="str">
        <f aca="false">BK491</f>
        <v/>
      </c>
      <c r="DW491" s="28" t="str">
        <f aca="false">BO491</f>
        <v/>
      </c>
      <c r="DX491" s="28" t="str">
        <f aca="false">BS491</f>
        <v/>
      </c>
      <c r="DY491" s="28" t="str">
        <f aca="false">IF(ISNUMBER(S491),1,"")</f>
        <v/>
      </c>
      <c r="DZ491" s="28" t="str">
        <f aca="false">IF(ISNUMBER(W491),2,"")</f>
        <v/>
      </c>
      <c r="EA491" s="28" t="str">
        <f aca="false">IF(ISNUMBER(AA491),3,"")</f>
        <v/>
      </c>
      <c r="EB491" s="28" t="str">
        <f aca="false">IF(ISNUMBER(AE491),4,"")</f>
        <v/>
      </c>
      <c r="EC491" s="28" t="str">
        <f aca="false">IF(ISNUMBER(AI491),5,"")</f>
        <v/>
      </c>
      <c r="ED491" s="28" t="str">
        <f aca="false">IF(ISNUMBER(AM491),6,"")</f>
        <v/>
      </c>
      <c r="EE491" s="28" t="str">
        <f aca="false">IF(ISNUMBER(AQ491),7,"")</f>
        <v/>
      </c>
      <c r="EF491" s="28" t="str">
        <f aca="false">IF(ISNUMBER(AU491),8,"")</f>
        <v/>
      </c>
      <c r="EG491" s="28" t="str">
        <f aca="false">IF(ISNUMBER(AY491),9,"")</f>
        <v/>
      </c>
      <c r="EH491" s="28" t="str">
        <f aca="false">IF(ISNUMBER(BC491),10,"")</f>
        <v/>
      </c>
      <c r="EI491" s="28" t="str">
        <f aca="false">IF(ISNUMBER(BG491),11,"")</f>
        <v/>
      </c>
      <c r="EJ491" s="28" t="str">
        <f aca="false">IF(ISNUMBER(BK491),12,"")</f>
        <v/>
      </c>
      <c r="EK491" s="28" t="str">
        <f aca="false">IF(ISNUMBER(BO491),13,"")</f>
        <v/>
      </c>
      <c r="EL491" s="28" t="str">
        <f aca="false">IF(ISNUMBER(BS491),14,"")</f>
        <v/>
      </c>
      <c r="EM491" s="28" t="n">
        <f aca="false">IF(ISNUMBER(R491),R491*CW491,0)</f>
        <v>0</v>
      </c>
      <c r="EN491" s="28" t="n">
        <f aca="false">IF(ISNUMBER(V491),V491*CX491,0)</f>
        <v>0</v>
      </c>
      <c r="EO491" s="28" t="n">
        <f aca="false">IF(ISNUMBER(Z491),Z491*CY491,0)</f>
        <v>0</v>
      </c>
      <c r="EP491" s="28" t="n">
        <f aca="false">IF(ISNUMBER(AD491),AD491*CZ491,0)</f>
        <v>0</v>
      </c>
      <c r="EQ491" s="28" t="n">
        <f aca="false">IF(ISNUMBER(AH491),AH491*DA491,0)</f>
        <v>0</v>
      </c>
      <c r="ER491" s="28" t="n">
        <f aca="false">IF(ISNUMBER(AL491),AL491*DB491,0)</f>
        <v>0</v>
      </c>
      <c r="ES491" s="28" t="n">
        <f aca="false">IF(ISNUMBER(AP491),AP491*DC491,0)</f>
        <v>0</v>
      </c>
      <c r="ET491" s="28" t="n">
        <f aca="false">IF(ISNUMBER(AT491),AT491*DD491,0)</f>
        <v>0</v>
      </c>
      <c r="EU491" s="28" t="n">
        <f aca="false">IF(ISNUMBER(AX491),AX491*DE491,0)</f>
        <v>0</v>
      </c>
      <c r="EV491" s="28" t="n">
        <f aca="false">IF(ISNUMBER(BB491),BB491*DF491,0)</f>
        <v>0</v>
      </c>
      <c r="EW491" s="28" t="n">
        <f aca="false">IF(ISNUMBER(BF491),BF491*DG491,0)</f>
        <v>0</v>
      </c>
      <c r="EX491" s="28" t="n">
        <f aca="false">IF(ISNUMBER(BJ491),BJ491*DH491,0)</f>
        <v>0</v>
      </c>
      <c r="EY491" s="28" t="n">
        <f aca="false">IF(ISNUMBER(BN491),BN491*DI491,0)</f>
        <v>0</v>
      </c>
      <c r="EZ491" s="28" t="n">
        <f aca="false">IF(ISNUMBER(BR491),BR491*DJ491,0)</f>
        <v>0</v>
      </c>
      <c r="FA491" s="28" t="n">
        <f aca="false">IF(ISNUMBER(R491),CW491,0)</f>
        <v>0</v>
      </c>
      <c r="FB491" s="28" t="n">
        <f aca="false">IF(ISNUMBER(V491),CX491,0)</f>
        <v>0</v>
      </c>
      <c r="FC491" s="28" t="n">
        <f aca="false">IF(ISNUMBER(Z491),CY491,0)</f>
        <v>0</v>
      </c>
      <c r="FD491" s="28" t="n">
        <f aca="false">IF(ISNUMBER(AD491),CZ491,0)</f>
        <v>0</v>
      </c>
      <c r="FE491" s="28" t="n">
        <f aca="false">IF(ISNUMBER(AH491),DA491,0)</f>
        <v>0</v>
      </c>
      <c r="FF491" s="28" t="n">
        <f aca="false">IF(ISNUMBER(AL491),DB491,0)</f>
        <v>0</v>
      </c>
      <c r="FG491" s="28" t="n">
        <f aca="false">IF(ISNUMBER(AP491),DC491,0)</f>
        <v>0</v>
      </c>
      <c r="FH491" s="28" t="n">
        <f aca="false">IF(ISNUMBER(AT491),DD491,0)</f>
        <v>0</v>
      </c>
      <c r="FI491" s="28" t="n">
        <f aca="false">IF(ISNUMBER(AX491),DE491,0)</f>
        <v>0</v>
      </c>
      <c r="FJ491" s="28" t="n">
        <f aca="false">IF(ISNUMBER(BB491),DF491,0)</f>
        <v>0</v>
      </c>
      <c r="FK491" s="28" t="n">
        <f aca="false">IF(ISNUMBER(BF491),DG491,0)</f>
        <v>0</v>
      </c>
      <c r="FL491" s="28" t="n">
        <f aca="false">IF(ISNUMBER(BJ491),DH491,0)</f>
        <v>0</v>
      </c>
      <c r="FM491" s="28" t="n">
        <f aca="false">IF(ISNUMBER(BN491),DI491,0)</f>
        <v>0</v>
      </c>
      <c r="FN491" s="28" t="n">
        <f aca="false">IF(ISNUMBER(BR491),DJ491,0)</f>
        <v>0</v>
      </c>
      <c r="FO491" s="28" t="str">
        <f aca="false">IFERROR(INDEX(Lists!$G$2:$G$20,MATCH($I491&amp;"|"&amp;$J491,Lists!$F$2:$F$20,0)),"")</f>
        <v/>
      </c>
    </row>
    <row r="492" customFormat="false" ht="19.5" hidden="false" customHeight="true" outlineLevel="0" collapsed="false">
      <c r="A492" s="29"/>
      <c r="B492" s="29"/>
      <c r="C492" s="30"/>
      <c r="D492" s="30"/>
      <c r="E492" s="31"/>
      <c r="F492" s="30"/>
      <c r="G492" s="30"/>
      <c r="H492" s="32"/>
      <c r="I492" s="33"/>
      <c r="J492" s="32"/>
      <c r="K492" s="34" t="str">
        <f aca="false">IF(OR(M492="",$E492=""),"",M492-$E492)</f>
        <v/>
      </c>
      <c r="L492" s="35" t="str">
        <f aca="false">IF(SUM(FA492:FN492)=0,"",SUM(EM492:EZ492)/SUM(FA492:FN492))</f>
        <v/>
      </c>
      <c r="M492" s="36" t="str">
        <f aca="false">IF(OR(L492="",FO492=""),"",IFERROR(MATCH(L492,INDEX(Boundaries!$B$2:$I$30,MATCH(FO492,Boundaries!$A$2:$A$30,0),0),1)-1,""))</f>
        <v/>
      </c>
      <c r="N492" s="37" t="str">
        <f aca="false">IF(COUNT($DY492:$EL492)&lt;2,"",INDEX($DK492:$DX492,MAX($DY492:$EL492))-INDEX($DK492:$DX492,MIN($DY492:$EL492)))</f>
        <v/>
      </c>
      <c r="O492" s="37" t="str">
        <f aca="false">IF(COUNT($DY492:$EL492)&lt;2,"",INDEX($DK492:$DX492,MAX($DY492:$EL492))-INDEX($DK492:$DX492,LARGE($DY492:$EL492,2)))</f>
        <v/>
      </c>
      <c r="P492" s="38" t="str">
        <f aca="false">IF(K492="","",IF(K492&gt;=0,"On/above target",IF(AND(N492&lt;&gt;"",N492&gt;=0.5),"Improving towards target",IF(AND(O492&lt;&gt;"",O492&lt;=-0.5),"Declining","Stable below target"))))</f>
        <v/>
      </c>
      <c r="Q492" s="39"/>
      <c r="R492" s="40" t="str">
        <f aca="false">IF(OR(Q492="",BU492=""),"",Q492/BU492*100)</f>
        <v/>
      </c>
      <c r="S492" s="41" t="str">
        <f aca="false">IF(R492="","",IFERROR(MATCH(R492,INDEX(Boundaries!$B$2:$I$30,MATCH(CI492,Boundaries!$A$2:$A$30,0),0),1)-1,""))</f>
        <v/>
      </c>
      <c r="T492" s="42" t="str">
        <f aca="false">IF(OR(S492="",$E492=""),"",S492-$E492)</f>
        <v/>
      </c>
      <c r="U492" s="39"/>
      <c r="V492" s="40" t="str">
        <f aca="false">IF(OR(U492="",BV492=""),"",U492/BV492*100)</f>
        <v/>
      </c>
      <c r="W492" s="41" t="str">
        <f aca="false">IF(V492="","",IFERROR(MATCH(V492,INDEX(Boundaries!$B$2:$I$30,MATCH(CJ492,Boundaries!$A$2:$A$30,0),0),1)-1,""))</f>
        <v/>
      </c>
      <c r="X492" s="42" t="str">
        <f aca="false">IF(OR(W492="",$E492=""),"",W492-$E492)</f>
        <v/>
      </c>
      <c r="Y492" s="39"/>
      <c r="Z492" s="40" t="str">
        <f aca="false">IF(OR(Y492="",BW492=""),"",Y492/BW492*100)</f>
        <v/>
      </c>
      <c r="AA492" s="41" t="str">
        <f aca="false">IF(Z492="","",IFERROR(MATCH(Z492,INDEX(Boundaries!$B$2:$I$30,MATCH(CK492,Boundaries!$A$2:$A$30,0),0),1)-1,""))</f>
        <v/>
      </c>
      <c r="AB492" s="42" t="str">
        <f aca="false">IF(OR(AA492="",$E492=""),"",AA492-$E492)</f>
        <v/>
      </c>
      <c r="AC492" s="39"/>
      <c r="AD492" s="40" t="str">
        <f aca="false">IF(OR(AC492="",BX492=""),"",AC492/BX492*100)</f>
        <v/>
      </c>
      <c r="AE492" s="41" t="str">
        <f aca="false">IF(AD492="","",IFERROR(MATCH(AD492,INDEX(Boundaries!$B$2:$I$30,MATCH(CL492,Boundaries!$A$2:$A$30,0),0),1)-1,""))</f>
        <v/>
      </c>
      <c r="AF492" s="42" t="str">
        <f aca="false">IF(OR(AE492="",$E492=""),"",AE492-$E492)</f>
        <v/>
      </c>
      <c r="AG492" s="39"/>
      <c r="AH492" s="40" t="str">
        <f aca="false">IF(OR(AG492="",BY492=""),"",AG492/BY492*100)</f>
        <v/>
      </c>
      <c r="AI492" s="41" t="str">
        <f aca="false">IF(AH492="","",IFERROR(MATCH(AH492,INDEX(Boundaries!$B$2:$I$30,MATCH(CM492,Boundaries!$A$2:$A$30,0),0),1)-1,""))</f>
        <v/>
      </c>
      <c r="AJ492" s="42" t="str">
        <f aca="false">IF(OR(AI492="",$E492=""),"",AI492-$E492)</f>
        <v/>
      </c>
      <c r="AK492" s="39"/>
      <c r="AL492" s="40" t="str">
        <f aca="false">IF(OR(AK492="",BZ492=""),"",AK492/BZ492*100)</f>
        <v/>
      </c>
      <c r="AM492" s="41" t="str">
        <f aca="false">IF(AL492="","",IFERROR(MATCH(AL492,INDEX(Boundaries!$B$2:$I$30,MATCH(CN492,Boundaries!$A$2:$A$30,0),0),1)-1,""))</f>
        <v/>
      </c>
      <c r="AN492" s="42" t="str">
        <f aca="false">IF(OR(AM492="",$E492=""),"",AM492-$E492)</f>
        <v/>
      </c>
      <c r="AO492" s="39"/>
      <c r="AP492" s="40" t="str">
        <f aca="false">IF(OR(AO492="",CA492=""),"",AO492/CA492*100)</f>
        <v/>
      </c>
      <c r="AQ492" s="41" t="str">
        <f aca="false">IF(AP492="","",IFERROR(MATCH(AP492,INDEX(Boundaries!$B$2:$I$30,MATCH(CO492,Boundaries!$A$2:$A$30,0),0),1)-1,""))</f>
        <v/>
      </c>
      <c r="AR492" s="42" t="str">
        <f aca="false">IF(OR(AQ492="",$E492=""),"",AQ492-$E492)</f>
        <v/>
      </c>
      <c r="AS492" s="39"/>
      <c r="AT492" s="40" t="str">
        <f aca="false">IF(OR(AS492="",CB492=""),"",AS492/CB492*100)</f>
        <v/>
      </c>
      <c r="AU492" s="41" t="str">
        <f aca="false">IF(AT492="","",IFERROR(MATCH(AT492,INDEX(Boundaries!$B$2:$I$30,MATCH(CP492,Boundaries!$A$2:$A$30,0),0),1)-1,""))</f>
        <v/>
      </c>
      <c r="AV492" s="42" t="str">
        <f aca="false">IF(OR(AU492="",$E492=""),"",AU492-$E492)</f>
        <v/>
      </c>
      <c r="AW492" s="39"/>
      <c r="AX492" s="40" t="str">
        <f aca="false">IF(OR(AW492="",CC492=""),"",AW492/CC492*100)</f>
        <v/>
      </c>
      <c r="AY492" s="41" t="str">
        <f aca="false">IF(AX492="","",IFERROR(MATCH(AX492,INDEX(Boundaries!$B$2:$I$30,MATCH(CQ492,Boundaries!$A$2:$A$30,0),0),1)-1,""))</f>
        <v/>
      </c>
      <c r="AZ492" s="42" t="str">
        <f aca="false">IF(OR(AY492="",$E492=""),"",AY492-$E492)</f>
        <v/>
      </c>
      <c r="BA492" s="39"/>
      <c r="BB492" s="40" t="str">
        <f aca="false">IF(OR(BA492="",CD492=""),"",BA492/CD492*100)</f>
        <v/>
      </c>
      <c r="BC492" s="41" t="str">
        <f aca="false">IF(BB492="","",IFERROR(MATCH(BB492,INDEX(Boundaries!$B$2:$I$30,MATCH(CR492,Boundaries!$A$2:$A$30,0),0),1)-1,""))</f>
        <v/>
      </c>
      <c r="BD492" s="42" t="str">
        <f aca="false">IF(OR(BC492="",$E492=""),"",BC492-$E492)</f>
        <v/>
      </c>
      <c r="BE492" s="39"/>
      <c r="BF492" s="40" t="str">
        <f aca="false">IF(OR(BE492="",CE492=""),"",BE492/CE492*100)</f>
        <v/>
      </c>
      <c r="BG492" s="41" t="str">
        <f aca="false">IF(BF492="","",IFERROR(MATCH(BF492,INDEX(Boundaries!$B$2:$I$30,MATCH(CS492,Boundaries!$A$2:$A$30,0),0),1)-1,""))</f>
        <v/>
      </c>
      <c r="BH492" s="42" t="str">
        <f aca="false">IF(OR(BG492="",$E492=""),"",BG492-$E492)</f>
        <v/>
      </c>
      <c r="BI492" s="39"/>
      <c r="BJ492" s="40" t="str">
        <f aca="false">IF(OR(BI492="",CF492=""),"",BI492/CF492*100)</f>
        <v/>
      </c>
      <c r="BK492" s="41" t="str">
        <f aca="false">IF(BJ492="","",IFERROR(MATCH(BJ492,INDEX(Boundaries!$B$2:$I$30,MATCH(CT492,Boundaries!$A$2:$A$30,0),0),1)-1,""))</f>
        <v/>
      </c>
      <c r="BL492" s="42" t="str">
        <f aca="false">IF(OR(BK492="",$E492=""),"",BK492-$E492)</f>
        <v/>
      </c>
      <c r="BM492" s="39"/>
      <c r="BN492" s="40" t="str">
        <f aca="false">IF(OR(BM492="",CG492=""),"",BM492/CG492*100)</f>
        <v/>
      </c>
      <c r="BO492" s="41" t="str">
        <f aca="false">IF(BN492="","",IFERROR(MATCH(BN492,INDEX(Boundaries!$B$2:$I$30,MATCH(CU492,Boundaries!$A$2:$A$30,0),0),1)-1,""))</f>
        <v/>
      </c>
      <c r="BP492" s="42" t="str">
        <f aca="false">IF(OR(BO492="",$E492=""),"",BO492-$E492)</f>
        <v/>
      </c>
      <c r="BQ492" s="39"/>
      <c r="BR492" s="40" t="str">
        <f aca="false">IF(OR(BQ492="",CH492=""),"",BQ492/CH492*100)</f>
        <v/>
      </c>
      <c r="BS492" s="41" t="str">
        <f aca="false">IF(BR492="","",IFERROR(MATCH(BR492,INDEX(Boundaries!$B$2:$I$30,MATCH(CV492,Boundaries!$A$2:$A$30,0),0),1)-1,""))</f>
        <v/>
      </c>
      <c r="BT492" s="42" t="str">
        <f aca="false">IF(OR(BS492="",$E492=""),"",BS492-$E492)</f>
        <v/>
      </c>
      <c r="BU492" s="28" t="str">
        <f aca="false">IFERROR(INDEX(Assessments!$H$2:$H$600,MATCH($H492&amp;"|"&amp;$I492&amp;"|"&amp;$J492&amp;"|"&amp;1,Assessments!$A$2:$A$600,0)),"")</f>
        <v/>
      </c>
      <c r="BV492" s="28" t="str">
        <f aca="false">IFERROR(INDEX(Assessments!$H$2:$H$600,MATCH($H492&amp;"|"&amp;$I492&amp;"|"&amp;$J492&amp;"|"&amp;2,Assessments!$A$2:$A$600,0)),"")</f>
        <v/>
      </c>
      <c r="BW492" s="28" t="str">
        <f aca="false">IFERROR(INDEX(Assessments!$H$2:$H$600,MATCH($H492&amp;"|"&amp;$I492&amp;"|"&amp;$J492&amp;"|"&amp;3,Assessments!$A$2:$A$600,0)),"")</f>
        <v/>
      </c>
      <c r="BX492" s="28" t="str">
        <f aca="false">IFERROR(INDEX(Assessments!$H$2:$H$600,MATCH($H492&amp;"|"&amp;$I492&amp;"|"&amp;$J492&amp;"|"&amp;4,Assessments!$A$2:$A$600,0)),"")</f>
        <v/>
      </c>
      <c r="BY492" s="28" t="str">
        <f aca="false">IFERROR(INDEX(Assessments!$H$2:$H$600,MATCH($H492&amp;"|"&amp;$I492&amp;"|"&amp;$J492&amp;"|"&amp;5,Assessments!$A$2:$A$600,0)),"")</f>
        <v/>
      </c>
      <c r="BZ492" s="28" t="str">
        <f aca="false">IFERROR(INDEX(Assessments!$H$2:$H$600,MATCH($H492&amp;"|"&amp;$I492&amp;"|"&amp;$J492&amp;"|"&amp;6,Assessments!$A$2:$A$600,0)),"")</f>
        <v/>
      </c>
      <c r="CA492" s="28" t="str">
        <f aca="false">IFERROR(INDEX(Assessments!$H$2:$H$600,MATCH($H492&amp;"|"&amp;$I492&amp;"|"&amp;$J492&amp;"|"&amp;7,Assessments!$A$2:$A$600,0)),"")</f>
        <v/>
      </c>
      <c r="CB492" s="28" t="str">
        <f aca="false">IFERROR(INDEX(Assessments!$H$2:$H$600,MATCH($H492&amp;"|"&amp;$I492&amp;"|"&amp;$J492&amp;"|"&amp;8,Assessments!$A$2:$A$600,0)),"")</f>
        <v/>
      </c>
      <c r="CC492" s="28" t="str">
        <f aca="false">IFERROR(INDEX(Assessments!$H$2:$H$600,MATCH($H492&amp;"|"&amp;$I492&amp;"|"&amp;$J492&amp;"|"&amp;9,Assessments!$A$2:$A$600,0)),"")</f>
        <v/>
      </c>
      <c r="CD492" s="28" t="str">
        <f aca="false">IFERROR(INDEX(Assessments!$H$2:$H$600,MATCH($H492&amp;"|"&amp;$I492&amp;"|"&amp;$J492&amp;"|"&amp;10,Assessments!$A$2:$A$600,0)),"")</f>
        <v/>
      </c>
      <c r="CE492" s="28" t="str">
        <f aca="false">IFERROR(INDEX(Assessments!$H$2:$H$600,MATCH($H492&amp;"|"&amp;$I492&amp;"|"&amp;$J492&amp;"|"&amp;11,Assessments!$A$2:$A$600,0)),"")</f>
        <v/>
      </c>
      <c r="CF492" s="28" t="str">
        <f aca="false">IFERROR(INDEX(Assessments!$H$2:$H$600,MATCH($H492&amp;"|"&amp;$I492&amp;"|"&amp;$J492&amp;"|"&amp;12,Assessments!$A$2:$A$600,0)),"")</f>
        <v/>
      </c>
      <c r="CG492" s="28" t="str">
        <f aca="false">IFERROR(INDEX(Assessments!$H$2:$H$600,MATCH($H492&amp;"|"&amp;$I492&amp;"|"&amp;$J492&amp;"|"&amp;13,Assessments!$A$2:$A$600,0)),"")</f>
        <v/>
      </c>
      <c r="CH492" s="28" t="str">
        <f aca="false">IFERROR(INDEX(Assessments!$H$2:$H$600,MATCH($H492&amp;"|"&amp;$I492&amp;"|"&amp;$J492&amp;"|"&amp;14,Assessments!$A$2:$A$600,0)),"")</f>
        <v/>
      </c>
      <c r="CI492" s="28" t="str">
        <f aca="false">IFERROR(INDEX(Assessments!$I$2:$I$600,MATCH($H492&amp;"|"&amp;$I492&amp;"|"&amp;$J492&amp;"|"&amp;1,Assessments!$A$2:$A$600,0)),"")</f>
        <v/>
      </c>
      <c r="CJ492" s="28" t="str">
        <f aca="false">IFERROR(INDEX(Assessments!$I$2:$I$600,MATCH($H492&amp;"|"&amp;$I492&amp;"|"&amp;$J492&amp;"|"&amp;2,Assessments!$A$2:$A$600,0)),"")</f>
        <v/>
      </c>
      <c r="CK492" s="28" t="str">
        <f aca="false">IFERROR(INDEX(Assessments!$I$2:$I$600,MATCH($H492&amp;"|"&amp;$I492&amp;"|"&amp;$J492&amp;"|"&amp;3,Assessments!$A$2:$A$600,0)),"")</f>
        <v/>
      </c>
      <c r="CL492" s="28" t="str">
        <f aca="false">IFERROR(INDEX(Assessments!$I$2:$I$600,MATCH($H492&amp;"|"&amp;$I492&amp;"|"&amp;$J492&amp;"|"&amp;4,Assessments!$A$2:$A$600,0)),"")</f>
        <v/>
      </c>
      <c r="CM492" s="28" t="str">
        <f aca="false">IFERROR(INDEX(Assessments!$I$2:$I$600,MATCH($H492&amp;"|"&amp;$I492&amp;"|"&amp;$J492&amp;"|"&amp;5,Assessments!$A$2:$A$600,0)),"")</f>
        <v/>
      </c>
      <c r="CN492" s="28" t="str">
        <f aca="false">IFERROR(INDEX(Assessments!$I$2:$I$600,MATCH($H492&amp;"|"&amp;$I492&amp;"|"&amp;$J492&amp;"|"&amp;6,Assessments!$A$2:$A$600,0)),"")</f>
        <v/>
      </c>
      <c r="CO492" s="28" t="str">
        <f aca="false">IFERROR(INDEX(Assessments!$I$2:$I$600,MATCH($H492&amp;"|"&amp;$I492&amp;"|"&amp;$J492&amp;"|"&amp;7,Assessments!$A$2:$A$600,0)),"")</f>
        <v/>
      </c>
      <c r="CP492" s="28" t="str">
        <f aca="false">IFERROR(INDEX(Assessments!$I$2:$I$600,MATCH($H492&amp;"|"&amp;$I492&amp;"|"&amp;$J492&amp;"|"&amp;8,Assessments!$A$2:$A$600,0)),"")</f>
        <v/>
      </c>
      <c r="CQ492" s="28" t="str">
        <f aca="false">IFERROR(INDEX(Assessments!$I$2:$I$600,MATCH($H492&amp;"|"&amp;$I492&amp;"|"&amp;$J492&amp;"|"&amp;9,Assessments!$A$2:$A$600,0)),"")</f>
        <v/>
      </c>
      <c r="CR492" s="28" t="str">
        <f aca="false">IFERROR(INDEX(Assessments!$I$2:$I$600,MATCH($H492&amp;"|"&amp;$I492&amp;"|"&amp;$J492&amp;"|"&amp;10,Assessments!$A$2:$A$600,0)),"")</f>
        <v/>
      </c>
      <c r="CS492" s="28" t="str">
        <f aca="false">IFERROR(INDEX(Assessments!$I$2:$I$600,MATCH($H492&amp;"|"&amp;$I492&amp;"|"&amp;$J492&amp;"|"&amp;11,Assessments!$A$2:$A$600,0)),"")</f>
        <v/>
      </c>
      <c r="CT492" s="28" t="str">
        <f aca="false">IFERROR(INDEX(Assessments!$I$2:$I$600,MATCH($H492&amp;"|"&amp;$I492&amp;"|"&amp;$J492&amp;"|"&amp;12,Assessments!$A$2:$A$600,0)),"")</f>
        <v/>
      </c>
      <c r="CU492" s="28" t="str">
        <f aca="false">IFERROR(INDEX(Assessments!$I$2:$I$600,MATCH($H492&amp;"|"&amp;$I492&amp;"|"&amp;$J492&amp;"|"&amp;13,Assessments!$A$2:$A$600,0)),"")</f>
        <v/>
      </c>
      <c r="CV492" s="28" t="str">
        <f aca="false">IFERROR(INDEX(Assessments!$I$2:$I$600,MATCH($H492&amp;"|"&amp;$I492&amp;"|"&amp;$J492&amp;"|"&amp;14,Assessments!$A$2:$A$600,0)),"")</f>
        <v/>
      </c>
      <c r="CW492" s="28" t="n">
        <f aca="false">IFERROR(INDEX(Assessments!$J$2:$J$600,MATCH($H492&amp;"|"&amp;$I492&amp;"|"&amp;$J492&amp;"|"&amp;1,Assessments!$A$2:$A$600,0)),0)</f>
        <v>0</v>
      </c>
      <c r="CX492" s="28" t="n">
        <f aca="false">IFERROR(INDEX(Assessments!$J$2:$J$600,MATCH($H492&amp;"|"&amp;$I492&amp;"|"&amp;$J492&amp;"|"&amp;2,Assessments!$A$2:$A$600,0)),0)</f>
        <v>0</v>
      </c>
      <c r="CY492" s="28" t="n">
        <f aca="false">IFERROR(INDEX(Assessments!$J$2:$J$600,MATCH($H492&amp;"|"&amp;$I492&amp;"|"&amp;$J492&amp;"|"&amp;3,Assessments!$A$2:$A$600,0)),0)</f>
        <v>0</v>
      </c>
      <c r="CZ492" s="28" t="n">
        <f aca="false">IFERROR(INDEX(Assessments!$J$2:$J$600,MATCH($H492&amp;"|"&amp;$I492&amp;"|"&amp;$J492&amp;"|"&amp;4,Assessments!$A$2:$A$600,0)),0)</f>
        <v>0</v>
      </c>
      <c r="DA492" s="28" t="n">
        <f aca="false">IFERROR(INDEX(Assessments!$J$2:$J$600,MATCH($H492&amp;"|"&amp;$I492&amp;"|"&amp;$J492&amp;"|"&amp;5,Assessments!$A$2:$A$600,0)),0)</f>
        <v>0</v>
      </c>
      <c r="DB492" s="28" t="n">
        <f aca="false">IFERROR(INDEX(Assessments!$J$2:$J$600,MATCH($H492&amp;"|"&amp;$I492&amp;"|"&amp;$J492&amp;"|"&amp;6,Assessments!$A$2:$A$600,0)),0)</f>
        <v>0</v>
      </c>
      <c r="DC492" s="28" t="n">
        <f aca="false">IFERROR(INDEX(Assessments!$J$2:$J$600,MATCH($H492&amp;"|"&amp;$I492&amp;"|"&amp;$J492&amp;"|"&amp;7,Assessments!$A$2:$A$600,0)),0)</f>
        <v>0</v>
      </c>
      <c r="DD492" s="28" t="n">
        <f aca="false">IFERROR(INDEX(Assessments!$J$2:$J$600,MATCH($H492&amp;"|"&amp;$I492&amp;"|"&amp;$J492&amp;"|"&amp;8,Assessments!$A$2:$A$600,0)),0)</f>
        <v>0</v>
      </c>
      <c r="DE492" s="28" t="n">
        <f aca="false">IFERROR(INDEX(Assessments!$J$2:$J$600,MATCH($H492&amp;"|"&amp;$I492&amp;"|"&amp;$J492&amp;"|"&amp;9,Assessments!$A$2:$A$600,0)),0)</f>
        <v>0</v>
      </c>
      <c r="DF492" s="28" t="n">
        <f aca="false">IFERROR(INDEX(Assessments!$J$2:$J$600,MATCH($H492&amp;"|"&amp;$I492&amp;"|"&amp;$J492&amp;"|"&amp;10,Assessments!$A$2:$A$600,0)),0)</f>
        <v>0</v>
      </c>
      <c r="DG492" s="28" t="n">
        <f aca="false">IFERROR(INDEX(Assessments!$J$2:$J$600,MATCH($H492&amp;"|"&amp;$I492&amp;"|"&amp;$J492&amp;"|"&amp;11,Assessments!$A$2:$A$600,0)),0)</f>
        <v>0</v>
      </c>
      <c r="DH492" s="28" t="n">
        <f aca="false">IFERROR(INDEX(Assessments!$J$2:$J$600,MATCH($H492&amp;"|"&amp;$I492&amp;"|"&amp;$J492&amp;"|"&amp;12,Assessments!$A$2:$A$600,0)),0)</f>
        <v>0</v>
      </c>
      <c r="DI492" s="28" t="n">
        <f aca="false">IFERROR(INDEX(Assessments!$J$2:$J$600,MATCH($H492&amp;"|"&amp;$I492&amp;"|"&amp;$J492&amp;"|"&amp;13,Assessments!$A$2:$A$600,0)),0)</f>
        <v>0</v>
      </c>
      <c r="DJ492" s="28" t="n">
        <f aca="false">IFERROR(INDEX(Assessments!$J$2:$J$600,MATCH($H492&amp;"|"&amp;$I492&amp;"|"&amp;$J492&amp;"|"&amp;14,Assessments!$A$2:$A$600,0)),0)</f>
        <v>0</v>
      </c>
      <c r="DK492" s="28" t="str">
        <f aca="false">S492</f>
        <v/>
      </c>
      <c r="DL492" s="28" t="str">
        <f aca="false">W492</f>
        <v/>
      </c>
      <c r="DM492" s="28" t="str">
        <f aca="false">AA492</f>
        <v/>
      </c>
      <c r="DN492" s="28" t="str">
        <f aca="false">AE492</f>
        <v/>
      </c>
      <c r="DO492" s="28" t="str">
        <f aca="false">AI492</f>
        <v/>
      </c>
      <c r="DP492" s="28" t="str">
        <f aca="false">AM492</f>
        <v/>
      </c>
      <c r="DQ492" s="28" t="str">
        <f aca="false">AQ492</f>
        <v/>
      </c>
      <c r="DR492" s="28" t="str">
        <f aca="false">AU492</f>
        <v/>
      </c>
      <c r="DS492" s="28" t="str">
        <f aca="false">AY492</f>
        <v/>
      </c>
      <c r="DT492" s="28" t="str">
        <f aca="false">BC492</f>
        <v/>
      </c>
      <c r="DU492" s="28" t="str">
        <f aca="false">BG492</f>
        <v/>
      </c>
      <c r="DV492" s="28" t="str">
        <f aca="false">BK492</f>
        <v/>
      </c>
      <c r="DW492" s="28" t="str">
        <f aca="false">BO492</f>
        <v/>
      </c>
      <c r="DX492" s="28" t="str">
        <f aca="false">BS492</f>
        <v/>
      </c>
      <c r="DY492" s="28" t="str">
        <f aca="false">IF(ISNUMBER(S492),1,"")</f>
        <v/>
      </c>
      <c r="DZ492" s="28" t="str">
        <f aca="false">IF(ISNUMBER(W492),2,"")</f>
        <v/>
      </c>
      <c r="EA492" s="28" t="str">
        <f aca="false">IF(ISNUMBER(AA492),3,"")</f>
        <v/>
      </c>
      <c r="EB492" s="28" t="str">
        <f aca="false">IF(ISNUMBER(AE492),4,"")</f>
        <v/>
      </c>
      <c r="EC492" s="28" t="str">
        <f aca="false">IF(ISNUMBER(AI492),5,"")</f>
        <v/>
      </c>
      <c r="ED492" s="28" t="str">
        <f aca="false">IF(ISNUMBER(AM492),6,"")</f>
        <v/>
      </c>
      <c r="EE492" s="28" t="str">
        <f aca="false">IF(ISNUMBER(AQ492),7,"")</f>
        <v/>
      </c>
      <c r="EF492" s="28" t="str">
        <f aca="false">IF(ISNUMBER(AU492),8,"")</f>
        <v/>
      </c>
      <c r="EG492" s="28" t="str">
        <f aca="false">IF(ISNUMBER(AY492),9,"")</f>
        <v/>
      </c>
      <c r="EH492" s="28" t="str">
        <f aca="false">IF(ISNUMBER(BC492),10,"")</f>
        <v/>
      </c>
      <c r="EI492" s="28" t="str">
        <f aca="false">IF(ISNUMBER(BG492),11,"")</f>
        <v/>
      </c>
      <c r="EJ492" s="28" t="str">
        <f aca="false">IF(ISNUMBER(BK492),12,"")</f>
        <v/>
      </c>
      <c r="EK492" s="28" t="str">
        <f aca="false">IF(ISNUMBER(BO492),13,"")</f>
        <v/>
      </c>
      <c r="EL492" s="28" t="str">
        <f aca="false">IF(ISNUMBER(BS492),14,"")</f>
        <v/>
      </c>
      <c r="EM492" s="28" t="n">
        <f aca="false">IF(ISNUMBER(R492),R492*CW492,0)</f>
        <v>0</v>
      </c>
      <c r="EN492" s="28" t="n">
        <f aca="false">IF(ISNUMBER(V492),V492*CX492,0)</f>
        <v>0</v>
      </c>
      <c r="EO492" s="28" t="n">
        <f aca="false">IF(ISNUMBER(Z492),Z492*CY492,0)</f>
        <v>0</v>
      </c>
      <c r="EP492" s="28" t="n">
        <f aca="false">IF(ISNUMBER(AD492),AD492*CZ492,0)</f>
        <v>0</v>
      </c>
      <c r="EQ492" s="28" t="n">
        <f aca="false">IF(ISNUMBER(AH492),AH492*DA492,0)</f>
        <v>0</v>
      </c>
      <c r="ER492" s="28" t="n">
        <f aca="false">IF(ISNUMBER(AL492),AL492*DB492,0)</f>
        <v>0</v>
      </c>
      <c r="ES492" s="28" t="n">
        <f aca="false">IF(ISNUMBER(AP492),AP492*DC492,0)</f>
        <v>0</v>
      </c>
      <c r="ET492" s="28" t="n">
        <f aca="false">IF(ISNUMBER(AT492),AT492*DD492,0)</f>
        <v>0</v>
      </c>
      <c r="EU492" s="28" t="n">
        <f aca="false">IF(ISNUMBER(AX492),AX492*DE492,0)</f>
        <v>0</v>
      </c>
      <c r="EV492" s="28" t="n">
        <f aca="false">IF(ISNUMBER(BB492),BB492*DF492,0)</f>
        <v>0</v>
      </c>
      <c r="EW492" s="28" t="n">
        <f aca="false">IF(ISNUMBER(BF492),BF492*DG492,0)</f>
        <v>0</v>
      </c>
      <c r="EX492" s="28" t="n">
        <f aca="false">IF(ISNUMBER(BJ492),BJ492*DH492,0)</f>
        <v>0</v>
      </c>
      <c r="EY492" s="28" t="n">
        <f aca="false">IF(ISNUMBER(BN492),BN492*DI492,0)</f>
        <v>0</v>
      </c>
      <c r="EZ492" s="28" t="n">
        <f aca="false">IF(ISNUMBER(BR492),BR492*DJ492,0)</f>
        <v>0</v>
      </c>
      <c r="FA492" s="28" t="n">
        <f aca="false">IF(ISNUMBER(R492),CW492,0)</f>
        <v>0</v>
      </c>
      <c r="FB492" s="28" t="n">
        <f aca="false">IF(ISNUMBER(V492),CX492,0)</f>
        <v>0</v>
      </c>
      <c r="FC492" s="28" t="n">
        <f aca="false">IF(ISNUMBER(Z492),CY492,0)</f>
        <v>0</v>
      </c>
      <c r="FD492" s="28" t="n">
        <f aca="false">IF(ISNUMBER(AD492),CZ492,0)</f>
        <v>0</v>
      </c>
      <c r="FE492" s="28" t="n">
        <f aca="false">IF(ISNUMBER(AH492),DA492,0)</f>
        <v>0</v>
      </c>
      <c r="FF492" s="28" t="n">
        <f aca="false">IF(ISNUMBER(AL492),DB492,0)</f>
        <v>0</v>
      </c>
      <c r="FG492" s="28" t="n">
        <f aca="false">IF(ISNUMBER(AP492),DC492,0)</f>
        <v>0</v>
      </c>
      <c r="FH492" s="28" t="n">
        <f aca="false">IF(ISNUMBER(AT492),DD492,0)</f>
        <v>0</v>
      </c>
      <c r="FI492" s="28" t="n">
        <f aca="false">IF(ISNUMBER(AX492),DE492,0)</f>
        <v>0</v>
      </c>
      <c r="FJ492" s="28" t="n">
        <f aca="false">IF(ISNUMBER(BB492),DF492,0)</f>
        <v>0</v>
      </c>
      <c r="FK492" s="28" t="n">
        <f aca="false">IF(ISNUMBER(BF492),DG492,0)</f>
        <v>0</v>
      </c>
      <c r="FL492" s="28" t="n">
        <f aca="false">IF(ISNUMBER(BJ492),DH492,0)</f>
        <v>0</v>
      </c>
      <c r="FM492" s="28" t="n">
        <f aca="false">IF(ISNUMBER(BN492),DI492,0)</f>
        <v>0</v>
      </c>
      <c r="FN492" s="28" t="n">
        <f aca="false">IF(ISNUMBER(BR492),DJ492,0)</f>
        <v>0</v>
      </c>
      <c r="FO492" s="28" t="str">
        <f aca="false">IFERROR(INDEX(Lists!$G$2:$G$20,MATCH($I492&amp;"|"&amp;$J492,Lists!$F$2:$F$20,0)),"")</f>
        <v/>
      </c>
    </row>
    <row r="493" customFormat="false" ht="19.5" hidden="false" customHeight="true" outlineLevel="0" collapsed="false">
      <c r="A493" s="29"/>
      <c r="B493" s="29"/>
      <c r="C493" s="30"/>
      <c r="D493" s="30"/>
      <c r="E493" s="31"/>
      <c r="F493" s="30"/>
      <c r="G493" s="30"/>
      <c r="H493" s="32"/>
      <c r="I493" s="33"/>
      <c r="J493" s="32"/>
      <c r="K493" s="34" t="str">
        <f aca="false">IF(OR(M493="",$E493=""),"",M493-$E493)</f>
        <v/>
      </c>
      <c r="L493" s="35" t="str">
        <f aca="false">IF(SUM(FA493:FN493)=0,"",SUM(EM493:EZ493)/SUM(FA493:FN493))</f>
        <v/>
      </c>
      <c r="M493" s="36" t="str">
        <f aca="false">IF(OR(L493="",FO493=""),"",IFERROR(MATCH(L493,INDEX(Boundaries!$B$2:$I$30,MATCH(FO493,Boundaries!$A$2:$A$30,0),0),1)-1,""))</f>
        <v/>
      </c>
      <c r="N493" s="37" t="str">
        <f aca="false">IF(COUNT($DY493:$EL493)&lt;2,"",INDEX($DK493:$DX493,MAX($DY493:$EL493))-INDEX($DK493:$DX493,MIN($DY493:$EL493)))</f>
        <v/>
      </c>
      <c r="O493" s="37" t="str">
        <f aca="false">IF(COUNT($DY493:$EL493)&lt;2,"",INDEX($DK493:$DX493,MAX($DY493:$EL493))-INDEX($DK493:$DX493,LARGE($DY493:$EL493,2)))</f>
        <v/>
      </c>
      <c r="P493" s="38" t="str">
        <f aca="false">IF(K493="","",IF(K493&gt;=0,"On/above target",IF(AND(N493&lt;&gt;"",N493&gt;=0.5),"Improving towards target",IF(AND(O493&lt;&gt;"",O493&lt;=-0.5),"Declining","Stable below target"))))</f>
        <v/>
      </c>
      <c r="Q493" s="39"/>
      <c r="R493" s="40" t="str">
        <f aca="false">IF(OR(Q493="",BU493=""),"",Q493/BU493*100)</f>
        <v/>
      </c>
      <c r="S493" s="41" t="str">
        <f aca="false">IF(R493="","",IFERROR(MATCH(R493,INDEX(Boundaries!$B$2:$I$30,MATCH(CI493,Boundaries!$A$2:$A$30,0),0),1)-1,""))</f>
        <v/>
      </c>
      <c r="T493" s="42" t="str">
        <f aca="false">IF(OR(S493="",$E493=""),"",S493-$E493)</f>
        <v/>
      </c>
      <c r="U493" s="39"/>
      <c r="V493" s="40" t="str">
        <f aca="false">IF(OR(U493="",BV493=""),"",U493/BV493*100)</f>
        <v/>
      </c>
      <c r="W493" s="41" t="str">
        <f aca="false">IF(V493="","",IFERROR(MATCH(V493,INDEX(Boundaries!$B$2:$I$30,MATCH(CJ493,Boundaries!$A$2:$A$30,0),0),1)-1,""))</f>
        <v/>
      </c>
      <c r="X493" s="42" t="str">
        <f aca="false">IF(OR(W493="",$E493=""),"",W493-$E493)</f>
        <v/>
      </c>
      <c r="Y493" s="39"/>
      <c r="Z493" s="40" t="str">
        <f aca="false">IF(OR(Y493="",BW493=""),"",Y493/BW493*100)</f>
        <v/>
      </c>
      <c r="AA493" s="41" t="str">
        <f aca="false">IF(Z493="","",IFERROR(MATCH(Z493,INDEX(Boundaries!$B$2:$I$30,MATCH(CK493,Boundaries!$A$2:$A$30,0),0),1)-1,""))</f>
        <v/>
      </c>
      <c r="AB493" s="42" t="str">
        <f aca="false">IF(OR(AA493="",$E493=""),"",AA493-$E493)</f>
        <v/>
      </c>
      <c r="AC493" s="39"/>
      <c r="AD493" s="40" t="str">
        <f aca="false">IF(OR(AC493="",BX493=""),"",AC493/BX493*100)</f>
        <v/>
      </c>
      <c r="AE493" s="41" t="str">
        <f aca="false">IF(AD493="","",IFERROR(MATCH(AD493,INDEX(Boundaries!$B$2:$I$30,MATCH(CL493,Boundaries!$A$2:$A$30,0),0),1)-1,""))</f>
        <v/>
      </c>
      <c r="AF493" s="42" t="str">
        <f aca="false">IF(OR(AE493="",$E493=""),"",AE493-$E493)</f>
        <v/>
      </c>
      <c r="AG493" s="39"/>
      <c r="AH493" s="40" t="str">
        <f aca="false">IF(OR(AG493="",BY493=""),"",AG493/BY493*100)</f>
        <v/>
      </c>
      <c r="AI493" s="41" t="str">
        <f aca="false">IF(AH493="","",IFERROR(MATCH(AH493,INDEX(Boundaries!$B$2:$I$30,MATCH(CM493,Boundaries!$A$2:$A$30,0),0),1)-1,""))</f>
        <v/>
      </c>
      <c r="AJ493" s="42" t="str">
        <f aca="false">IF(OR(AI493="",$E493=""),"",AI493-$E493)</f>
        <v/>
      </c>
      <c r="AK493" s="39"/>
      <c r="AL493" s="40" t="str">
        <f aca="false">IF(OR(AK493="",BZ493=""),"",AK493/BZ493*100)</f>
        <v/>
      </c>
      <c r="AM493" s="41" t="str">
        <f aca="false">IF(AL493="","",IFERROR(MATCH(AL493,INDEX(Boundaries!$B$2:$I$30,MATCH(CN493,Boundaries!$A$2:$A$30,0),0),1)-1,""))</f>
        <v/>
      </c>
      <c r="AN493" s="42" t="str">
        <f aca="false">IF(OR(AM493="",$E493=""),"",AM493-$E493)</f>
        <v/>
      </c>
      <c r="AO493" s="39"/>
      <c r="AP493" s="40" t="str">
        <f aca="false">IF(OR(AO493="",CA493=""),"",AO493/CA493*100)</f>
        <v/>
      </c>
      <c r="AQ493" s="41" t="str">
        <f aca="false">IF(AP493="","",IFERROR(MATCH(AP493,INDEX(Boundaries!$B$2:$I$30,MATCH(CO493,Boundaries!$A$2:$A$30,0),0),1)-1,""))</f>
        <v/>
      </c>
      <c r="AR493" s="42" t="str">
        <f aca="false">IF(OR(AQ493="",$E493=""),"",AQ493-$E493)</f>
        <v/>
      </c>
      <c r="AS493" s="39"/>
      <c r="AT493" s="40" t="str">
        <f aca="false">IF(OR(AS493="",CB493=""),"",AS493/CB493*100)</f>
        <v/>
      </c>
      <c r="AU493" s="41" t="str">
        <f aca="false">IF(AT493="","",IFERROR(MATCH(AT493,INDEX(Boundaries!$B$2:$I$30,MATCH(CP493,Boundaries!$A$2:$A$30,0),0),1)-1,""))</f>
        <v/>
      </c>
      <c r="AV493" s="42" t="str">
        <f aca="false">IF(OR(AU493="",$E493=""),"",AU493-$E493)</f>
        <v/>
      </c>
      <c r="AW493" s="39"/>
      <c r="AX493" s="40" t="str">
        <f aca="false">IF(OR(AW493="",CC493=""),"",AW493/CC493*100)</f>
        <v/>
      </c>
      <c r="AY493" s="41" t="str">
        <f aca="false">IF(AX493="","",IFERROR(MATCH(AX493,INDEX(Boundaries!$B$2:$I$30,MATCH(CQ493,Boundaries!$A$2:$A$30,0),0),1)-1,""))</f>
        <v/>
      </c>
      <c r="AZ493" s="42" t="str">
        <f aca="false">IF(OR(AY493="",$E493=""),"",AY493-$E493)</f>
        <v/>
      </c>
      <c r="BA493" s="39"/>
      <c r="BB493" s="40" t="str">
        <f aca="false">IF(OR(BA493="",CD493=""),"",BA493/CD493*100)</f>
        <v/>
      </c>
      <c r="BC493" s="41" t="str">
        <f aca="false">IF(BB493="","",IFERROR(MATCH(BB493,INDEX(Boundaries!$B$2:$I$30,MATCH(CR493,Boundaries!$A$2:$A$30,0),0),1)-1,""))</f>
        <v/>
      </c>
      <c r="BD493" s="42" t="str">
        <f aca="false">IF(OR(BC493="",$E493=""),"",BC493-$E493)</f>
        <v/>
      </c>
      <c r="BE493" s="39"/>
      <c r="BF493" s="40" t="str">
        <f aca="false">IF(OR(BE493="",CE493=""),"",BE493/CE493*100)</f>
        <v/>
      </c>
      <c r="BG493" s="41" t="str">
        <f aca="false">IF(BF493="","",IFERROR(MATCH(BF493,INDEX(Boundaries!$B$2:$I$30,MATCH(CS493,Boundaries!$A$2:$A$30,0),0),1)-1,""))</f>
        <v/>
      </c>
      <c r="BH493" s="42" t="str">
        <f aca="false">IF(OR(BG493="",$E493=""),"",BG493-$E493)</f>
        <v/>
      </c>
      <c r="BI493" s="39"/>
      <c r="BJ493" s="40" t="str">
        <f aca="false">IF(OR(BI493="",CF493=""),"",BI493/CF493*100)</f>
        <v/>
      </c>
      <c r="BK493" s="41" t="str">
        <f aca="false">IF(BJ493="","",IFERROR(MATCH(BJ493,INDEX(Boundaries!$B$2:$I$30,MATCH(CT493,Boundaries!$A$2:$A$30,0),0),1)-1,""))</f>
        <v/>
      </c>
      <c r="BL493" s="42" t="str">
        <f aca="false">IF(OR(BK493="",$E493=""),"",BK493-$E493)</f>
        <v/>
      </c>
      <c r="BM493" s="39"/>
      <c r="BN493" s="40" t="str">
        <f aca="false">IF(OR(BM493="",CG493=""),"",BM493/CG493*100)</f>
        <v/>
      </c>
      <c r="BO493" s="41" t="str">
        <f aca="false">IF(BN493="","",IFERROR(MATCH(BN493,INDEX(Boundaries!$B$2:$I$30,MATCH(CU493,Boundaries!$A$2:$A$30,0),0),1)-1,""))</f>
        <v/>
      </c>
      <c r="BP493" s="42" t="str">
        <f aca="false">IF(OR(BO493="",$E493=""),"",BO493-$E493)</f>
        <v/>
      </c>
      <c r="BQ493" s="39"/>
      <c r="BR493" s="40" t="str">
        <f aca="false">IF(OR(BQ493="",CH493=""),"",BQ493/CH493*100)</f>
        <v/>
      </c>
      <c r="BS493" s="41" t="str">
        <f aca="false">IF(BR493="","",IFERROR(MATCH(BR493,INDEX(Boundaries!$B$2:$I$30,MATCH(CV493,Boundaries!$A$2:$A$30,0),0),1)-1,""))</f>
        <v/>
      </c>
      <c r="BT493" s="42" t="str">
        <f aca="false">IF(OR(BS493="",$E493=""),"",BS493-$E493)</f>
        <v/>
      </c>
      <c r="BU493" s="28" t="str">
        <f aca="false">IFERROR(INDEX(Assessments!$H$2:$H$600,MATCH($H493&amp;"|"&amp;$I493&amp;"|"&amp;$J493&amp;"|"&amp;1,Assessments!$A$2:$A$600,0)),"")</f>
        <v/>
      </c>
      <c r="BV493" s="28" t="str">
        <f aca="false">IFERROR(INDEX(Assessments!$H$2:$H$600,MATCH($H493&amp;"|"&amp;$I493&amp;"|"&amp;$J493&amp;"|"&amp;2,Assessments!$A$2:$A$600,0)),"")</f>
        <v/>
      </c>
      <c r="BW493" s="28" t="str">
        <f aca="false">IFERROR(INDEX(Assessments!$H$2:$H$600,MATCH($H493&amp;"|"&amp;$I493&amp;"|"&amp;$J493&amp;"|"&amp;3,Assessments!$A$2:$A$600,0)),"")</f>
        <v/>
      </c>
      <c r="BX493" s="28" t="str">
        <f aca="false">IFERROR(INDEX(Assessments!$H$2:$H$600,MATCH($H493&amp;"|"&amp;$I493&amp;"|"&amp;$J493&amp;"|"&amp;4,Assessments!$A$2:$A$600,0)),"")</f>
        <v/>
      </c>
      <c r="BY493" s="28" t="str">
        <f aca="false">IFERROR(INDEX(Assessments!$H$2:$H$600,MATCH($H493&amp;"|"&amp;$I493&amp;"|"&amp;$J493&amp;"|"&amp;5,Assessments!$A$2:$A$600,0)),"")</f>
        <v/>
      </c>
      <c r="BZ493" s="28" t="str">
        <f aca="false">IFERROR(INDEX(Assessments!$H$2:$H$600,MATCH($H493&amp;"|"&amp;$I493&amp;"|"&amp;$J493&amp;"|"&amp;6,Assessments!$A$2:$A$600,0)),"")</f>
        <v/>
      </c>
      <c r="CA493" s="28" t="str">
        <f aca="false">IFERROR(INDEX(Assessments!$H$2:$H$600,MATCH($H493&amp;"|"&amp;$I493&amp;"|"&amp;$J493&amp;"|"&amp;7,Assessments!$A$2:$A$600,0)),"")</f>
        <v/>
      </c>
      <c r="CB493" s="28" t="str">
        <f aca="false">IFERROR(INDEX(Assessments!$H$2:$H$600,MATCH($H493&amp;"|"&amp;$I493&amp;"|"&amp;$J493&amp;"|"&amp;8,Assessments!$A$2:$A$600,0)),"")</f>
        <v/>
      </c>
      <c r="CC493" s="28" t="str">
        <f aca="false">IFERROR(INDEX(Assessments!$H$2:$H$600,MATCH($H493&amp;"|"&amp;$I493&amp;"|"&amp;$J493&amp;"|"&amp;9,Assessments!$A$2:$A$600,0)),"")</f>
        <v/>
      </c>
      <c r="CD493" s="28" t="str">
        <f aca="false">IFERROR(INDEX(Assessments!$H$2:$H$600,MATCH($H493&amp;"|"&amp;$I493&amp;"|"&amp;$J493&amp;"|"&amp;10,Assessments!$A$2:$A$600,0)),"")</f>
        <v/>
      </c>
      <c r="CE493" s="28" t="str">
        <f aca="false">IFERROR(INDEX(Assessments!$H$2:$H$600,MATCH($H493&amp;"|"&amp;$I493&amp;"|"&amp;$J493&amp;"|"&amp;11,Assessments!$A$2:$A$600,0)),"")</f>
        <v/>
      </c>
      <c r="CF493" s="28" t="str">
        <f aca="false">IFERROR(INDEX(Assessments!$H$2:$H$600,MATCH($H493&amp;"|"&amp;$I493&amp;"|"&amp;$J493&amp;"|"&amp;12,Assessments!$A$2:$A$600,0)),"")</f>
        <v/>
      </c>
      <c r="CG493" s="28" t="str">
        <f aca="false">IFERROR(INDEX(Assessments!$H$2:$H$600,MATCH($H493&amp;"|"&amp;$I493&amp;"|"&amp;$J493&amp;"|"&amp;13,Assessments!$A$2:$A$600,0)),"")</f>
        <v/>
      </c>
      <c r="CH493" s="28" t="str">
        <f aca="false">IFERROR(INDEX(Assessments!$H$2:$H$600,MATCH($H493&amp;"|"&amp;$I493&amp;"|"&amp;$J493&amp;"|"&amp;14,Assessments!$A$2:$A$600,0)),"")</f>
        <v/>
      </c>
      <c r="CI493" s="28" t="str">
        <f aca="false">IFERROR(INDEX(Assessments!$I$2:$I$600,MATCH($H493&amp;"|"&amp;$I493&amp;"|"&amp;$J493&amp;"|"&amp;1,Assessments!$A$2:$A$600,0)),"")</f>
        <v/>
      </c>
      <c r="CJ493" s="28" t="str">
        <f aca="false">IFERROR(INDEX(Assessments!$I$2:$I$600,MATCH($H493&amp;"|"&amp;$I493&amp;"|"&amp;$J493&amp;"|"&amp;2,Assessments!$A$2:$A$600,0)),"")</f>
        <v/>
      </c>
      <c r="CK493" s="28" t="str">
        <f aca="false">IFERROR(INDEX(Assessments!$I$2:$I$600,MATCH($H493&amp;"|"&amp;$I493&amp;"|"&amp;$J493&amp;"|"&amp;3,Assessments!$A$2:$A$600,0)),"")</f>
        <v/>
      </c>
      <c r="CL493" s="28" t="str">
        <f aca="false">IFERROR(INDEX(Assessments!$I$2:$I$600,MATCH($H493&amp;"|"&amp;$I493&amp;"|"&amp;$J493&amp;"|"&amp;4,Assessments!$A$2:$A$600,0)),"")</f>
        <v/>
      </c>
      <c r="CM493" s="28" t="str">
        <f aca="false">IFERROR(INDEX(Assessments!$I$2:$I$600,MATCH($H493&amp;"|"&amp;$I493&amp;"|"&amp;$J493&amp;"|"&amp;5,Assessments!$A$2:$A$600,0)),"")</f>
        <v/>
      </c>
      <c r="CN493" s="28" t="str">
        <f aca="false">IFERROR(INDEX(Assessments!$I$2:$I$600,MATCH($H493&amp;"|"&amp;$I493&amp;"|"&amp;$J493&amp;"|"&amp;6,Assessments!$A$2:$A$600,0)),"")</f>
        <v/>
      </c>
      <c r="CO493" s="28" t="str">
        <f aca="false">IFERROR(INDEX(Assessments!$I$2:$I$600,MATCH($H493&amp;"|"&amp;$I493&amp;"|"&amp;$J493&amp;"|"&amp;7,Assessments!$A$2:$A$600,0)),"")</f>
        <v/>
      </c>
      <c r="CP493" s="28" t="str">
        <f aca="false">IFERROR(INDEX(Assessments!$I$2:$I$600,MATCH($H493&amp;"|"&amp;$I493&amp;"|"&amp;$J493&amp;"|"&amp;8,Assessments!$A$2:$A$600,0)),"")</f>
        <v/>
      </c>
      <c r="CQ493" s="28" t="str">
        <f aca="false">IFERROR(INDEX(Assessments!$I$2:$I$600,MATCH($H493&amp;"|"&amp;$I493&amp;"|"&amp;$J493&amp;"|"&amp;9,Assessments!$A$2:$A$600,0)),"")</f>
        <v/>
      </c>
      <c r="CR493" s="28" t="str">
        <f aca="false">IFERROR(INDEX(Assessments!$I$2:$I$600,MATCH($H493&amp;"|"&amp;$I493&amp;"|"&amp;$J493&amp;"|"&amp;10,Assessments!$A$2:$A$600,0)),"")</f>
        <v/>
      </c>
      <c r="CS493" s="28" t="str">
        <f aca="false">IFERROR(INDEX(Assessments!$I$2:$I$600,MATCH($H493&amp;"|"&amp;$I493&amp;"|"&amp;$J493&amp;"|"&amp;11,Assessments!$A$2:$A$600,0)),"")</f>
        <v/>
      </c>
      <c r="CT493" s="28" t="str">
        <f aca="false">IFERROR(INDEX(Assessments!$I$2:$I$600,MATCH($H493&amp;"|"&amp;$I493&amp;"|"&amp;$J493&amp;"|"&amp;12,Assessments!$A$2:$A$600,0)),"")</f>
        <v/>
      </c>
      <c r="CU493" s="28" t="str">
        <f aca="false">IFERROR(INDEX(Assessments!$I$2:$I$600,MATCH($H493&amp;"|"&amp;$I493&amp;"|"&amp;$J493&amp;"|"&amp;13,Assessments!$A$2:$A$600,0)),"")</f>
        <v/>
      </c>
      <c r="CV493" s="28" t="str">
        <f aca="false">IFERROR(INDEX(Assessments!$I$2:$I$600,MATCH($H493&amp;"|"&amp;$I493&amp;"|"&amp;$J493&amp;"|"&amp;14,Assessments!$A$2:$A$600,0)),"")</f>
        <v/>
      </c>
      <c r="CW493" s="28" t="n">
        <f aca="false">IFERROR(INDEX(Assessments!$J$2:$J$600,MATCH($H493&amp;"|"&amp;$I493&amp;"|"&amp;$J493&amp;"|"&amp;1,Assessments!$A$2:$A$600,0)),0)</f>
        <v>0</v>
      </c>
      <c r="CX493" s="28" t="n">
        <f aca="false">IFERROR(INDEX(Assessments!$J$2:$J$600,MATCH($H493&amp;"|"&amp;$I493&amp;"|"&amp;$J493&amp;"|"&amp;2,Assessments!$A$2:$A$600,0)),0)</f>
        <v>0</v>
      </c>
      <c r="CY493" s="28" t="n">
        <f aca="false">IFERROR(INDEX(Assessments!$J$2:$J$600,MATCH($H493&amp;"|"&amp;$I493&amp;"|"&amp;$J493&amp;"|"&amp;3,Assessments!$A$2:$A$600,0)),0)</f>
        <v>0</v>
      </c>
      <c r="CZ493" s="28" t="n">
        <f aca="false">IFERROR(INDEX(Assessments!$J$2:$J$600,MATCH($H493&amp;"|"&amp;$I493&amp;"|"&amp;$J493&amp;"|"&amp;4,Assessments!$A$2:$A$600,0)),0)</f>
        <v>0</v>
      </c>
      <c r="DA493" s="28" t="n">
        <f aca="false">IFERROR(INDEX(Assessments!$J$2:$J$600,MATCH($H493&amp;"|"&amp;$I493&amp;"|"&amp;$J493&amp;"|"&amp;5,Assessments!$A$2:$A$600,0)),0)</f>
        <v>0</v>
      </c>
      <c r="DB493" s="28" t="n">
        <f aca="false">IFERROR(INDEX(Assessments!$J$2:$J$600,MATCH($H493&amp;"|"&amp;$I493&amp;"|"&amp;$J493&amp;"|"&amp;6,Assessments!$A$2:$A$600,0)),0)</f>
        <v>0</v>
      </c>
      <c r="DC493" s="28" t="n">
        <f aca="false">IFERROR(INDEX(Assessments!$J$2:$J$600,MATCH($H493&amp;"|"&amp;$I493&amp;"|"&amp;$J493&amp;"|"&amp;7,Assessments!$A$2:$A$600,0)),0)</f>
        <v>0</v>
      </c>
      <c r="DD493" s="28" t="n">
        <f aca="false">IFERROR(INDEX(Assessments!$J$2:$J$600,MATCH($H493&amp;"|"&amp;$I493&amp;"|"&amp;$J493&amp;"|"&amp;8,Assessments!$A$2:$A$600,0)),0)</f>
        <v>0</v>
      </c>
      <c r="DE493" s="28" t="n">
        <f aca="false">IFERROR(INDEX(Assessments!$J$2:$J$600,MATCH($H493&amp;"|"&amp;$I493&amp;"|"&amp;$J493&amp;"|"&amp;9,Assessments!$A$2:$A$600,0)),0)</f>
        <v>0</v>
      </c>
      <c r="DF493" s="28" t="n">
        <f aca="false">IFERROR(INDEX(Assessments!$J$2:$J$600,MATCH($H493&amp;"|"&amp;$I493&amp;"|"&amp;$J493&amp;"|"&amp;10,Assessments!$A$2:$A$600,0)),0)</f>
        <v>0</v>
      </c>
      <c r="DG493" s="28" t="n">
        <f aca="false">IFERROR(INDEX(Assessments!$J$2:$J$600,MATCH($H493&amp;"|"&amp;$I493&amp;"|"&amp;$J493&amp;"|"&amp;11,Assessments!$A$2:$A$600,0)),0)</f>
        <v>0</v>
      </c>
      <c r="DH493" s="28" t="n">
        <f aca="false">IFERROR(INDEX(Assessments!$J$2:$J$600,MATCH($H493&amp;"|"&amp;$I493&amp;"|"&amp;$J493&amp;"|"&amp;12,Assessments!$A$2:$A$600,0)),0)</f>
        <v>0</v>
      </c>
      <c r="DI493" s="28" t="n">
        <f aca="false">IFERROR(INDEX(Assessments!$J$2:$J$600,MATCH($H493&amp;"|"&amp;$I493&amp;"|"&amp;$J493&amp;"|"&amp;13,Assessments!$A$2:$A$600,0)),0)</f>
        <v>0</v>
      </c>
      <c r="DJ493" s="28" t="n">
        <f aca="false">IFERROR(INDEX(Assessments!$J$2:$J$600,MATCH($H493&amp;"|"&amp;$I493&amp;"|"&amp;$J493&amp;"|"&amp;14,Assessments!$A$2:$A$600,0)),0)</f>
        <v>0</v>
      </c>
      <c r="DK493" s="28" t="str">
        <f aca="false">S493</f>
        <v/>
      </c>
      <c r="DL493" s="28" t="str">
        <f aca="false">W493</f>
        <v/>
      </c>
      <c r="DM493" s="28" t="str">
        <f aca="false">AA493</f>
        <v/>
      </c>
      <c r="DN493" s="28" t="str">
        <f aca="false">AE493</f>
        <v/>
      </c>
      <c r="DO493" s="28" t="str">
        <f aca="false">AI493</f>
        <v/>
      </c>
      <c r="DP493" s="28" t="str">
        <f aca="false">AM493</f>
        <v/>
      </c>
      <c r="DQ493" s="28" t="str">
        <f aca="false">AQ493</f>
        <v/>
      </c>
      <c r="DR493" s="28" t="str">
        <f aca="false">AU493</f>
        <v/>
      </c>
      <c r="DS493" s="28" t="str">
        <f aca="false">AY493</f>
        <v/>
      </c>
      <c r="DT493" s="28" t="str">
        <f aca="false">BC493</f>
        <v/>
      </c>
      <c r="DU493" s="28" t="str">
        <f aca="false">BG493</f>
        <v/>
      </c>
      <c r="DV493" s="28" t="str">
        <f aca="false">BK493</f>
        <v/>
      </c>
      <c r="DW493" s="28" t="str">
        <f aca="false">BO493</f>
        <v/>
      </c>
      <c r="DX493" s="28" t="str">
        <f aca="false">BS493</f>
        <v/>
      </c>
      <c r="DY493" s="28" t="str">
        <f aca="false">IF(ISNUMBER(S493),1,"")</f>
        <v/>
      </c>
      <c r="DZ493" s="28" t="str">
        <f aca="false">IF(ISNUMBER(W493),2,"")</f>
        <v/>
      </c>
      <c r="EA493" s="28" t="str">
        <f aca="false">IF(ISNUMBER(AA493),3,"")</f>
        <v/>
      </c>
      <c r="EB493" s="28" t="str">
        <f aca="false">IF(ISNUMBER(AE493),4,"")</f>
        <v/>
      </c>
      <c r="EC493" s="28" t="str">
        <f aca="false">IF(ISNUMBER(AI493),5,"")</f>
        <v/>
      </c>
      <c r="ED493" s="28" t="str">
        <f aca="false">IF(ISNUMBER(AM493),6,"")</f>
        <v/>
      </c>
      <c r="EE493" s="28" t="str">
        <f aca="false">IF(ISNUMBER(AQ493),7,"")</f>
        <v/>
      </c>
      <c r="EF493" s="28" t="str">
        <f aca="false">IF(ISNUMBER(AU493),8,"")</f>
        <v/>
      </c>
      <c r="EG493" s="28" t="str">
        <f aca="false">IF(ISNUMBER(AY493),9,"")</f>
        <v/>
      </c>
      <c r="EH493" s="28" t="str">
        <f aca="false">IF(ISNUMBER(BC493),10,"")</f>
        <v/>
      </c>
      <c r="EI493" s="28" t="str">
        <f aca="false">IF(ISNUMBER(BG493),11,"")</f>
        <v/>
      </c>
      <c r="EJ493" s="28" t="str">
        <f aca="false">IF(ISNUMBER(BK493),12,"")</f>
        <v/>
      </c>
      <c r="EK493" s="28" t="str">
        <f aca="false">IF(ISNUMBER(BO493),13,"")</f>
        <v/>
      </c>
      <c r="EL493" s="28" t="str">
        <f aca="false">IF(ISNUMBER(BS493),14,"")</f>
        <v/>
      </c>
      <c r="EM493" s="28" t="n">
        <f aca="false">IF(ISNUMBER(R493),R493*CW493,0)</f>
        <v>0</v>
      </c>
      <c r="EN493" s="28" t="n">
        <f aca="false">IF(ISNUMBER(V493),V493*CX493,0)</f>
        <v>0</v>
      </c>
      <c r="EO493" s="28" t="n">
        <f aca="false">IF(ISNUMBER(Z493),Z493*CY493,0)</f>
        <v>0</v>
      </c>
      <c r="EP493" s="28" t="n">
        <f aca="false">IF(ISNUMBER(AD493),AD493*CZ493,0)</f>
        <v>0</v>
      </c>
      <c r="EQ493" s="28" t="n">
        <f aca="false">IF(ISNUMBER(AH493),AH493*DA493,0)</f>
        <v>0</v>
      </c>
      <c r="ER493" s="28" t="n">
        <f aca="false">IF(ISNUMBER(AL493),AL493*DB493,0)</f>
        <v>0</v>
      </c>
      <c r="ES493" s="28" t="n">
        <f aca="false">IF(ISNUMBER(AP493),AP493*DC493,0)</f>
        <v>0</v>
      </c>
      <c r="ET493" s="28" t="n">
        <f aca="false">IF(ISNUMBER(AT493),AT493*DD493,0)</f>
        <v>0</v>
      </c>
      <c r="EU493" s="28" t="n">
        <f aca="false">IF(ISNUMBER(AX493),AX493*DE493,0)</f>
        <v>0</v>
      </c>
      <c r="EV493" s="28" t="n">
        <f aca="false">IF(ISNUMBER(BB493),BB493*DF493,0)</f>
        <v>0</v>
      </c>
      <c r="EW493" s="28" t="n">
        <f aca="false">IF(ISNUMBER(BF493),BF493*DG493,0)</f>
        <v>0</v>
      </c>
      <c r="EX493" s="28" t="n">
        <f aca="false">IF(ISNUMBER(BJ493),BJ493*DH493,0)</f>
        <v>0</v>
      </c>
      <c r="EY493" s="28" t="n">
        <f aca="false">IF(ISNUMBER(BN493),BN493*DI493,0)</f>
        <v>0</v>
      </c>
      <c r="EZ493" s="28" t="n">
        <f aca="false">IF(ISNUMBER(BR493),BR493*DJ493,0)</f>
        <v>0</v>
      </c>
      <c r="FA493" s="28" t="n">
        <f aca="false">IF(ISNUMBER(R493),CW493,0)</f>
        <v>0</v>
      </c>
      <c r="FB493" s="28" t="n">
        <f aca="false">IF(ISNUMBER(V493),CX493,0)</f>
        <v>0</v>
      </c>
      <c r="FC493" s="28" t="n">
        <f aca="false">IF(ISNUMBER(Z493),CY493,0)</f>
        <v>0</v>
      </c>
      <c r="FD493" s="28" t="n">
        <f aca="false">IF(ISNUMBER(AD493),CZ493,0)</f>
        <v>0</v>
      </c>
      <c r="FE493" s="28" t="n">
        <f aca="false">IF(ISNUMBER(AH493),DA493,0)</f>
        <v>0</v>
      </c>
      <c r="FF493" s="28" t="n">
        <f aca="false">IF(ISNUMBER(AL493),DB493,0)</f>
        <v>0</v>
      </c>
      <c r="FG493" s="28" t="n">
        <f aca="false">IF(ISNUMBER(AP493),DC493,0)</f>
        <v>0</v>
      </c>
      <c r="FH493" s="28" t="n">
        <f aca="false">IF(ISNUMBER(AT493),DD493,0)</f>
        <v>0</v>
      </c>
      <c r="FI493" s="28" t="n">
        <f aca="false">IF(ISNUMBER(AX493),DE493,0)</f>
        <v>0</v>
      </c>
      <c r="FJ493" s="28" t="n">
        <f aca="false">IF(ISNUMBER(BB493),DF493,0)</f>
        <v>0</v>
      </c>
      <c r="FK493" s="28" t="n">
        <f aca="false">IF(ISNUMBER(BF493),DG493,0)</f>
        <v>0</v>
      </c>
      <c r="FL493" s="28" t="n">
        <f aca="false">IF(ISNUMBER(BJ493),DH493,0)</f>
        <v>0</v>
      </c>
      <c r="FM493" s="28" t="n">
        <f aca="false">IF(ISNUMBER(BN493),DI493,0)</f>
        <v>0</v>
      </c>
      <c r="FN493" s="28" t="n">
        <f aca="false">IF(ISNUMBER(BR493),DJ493,0)</f>
        <v>0</v>
      </c>
      <c r="FO493" s="28" t="str">
        <f aca="false">IFERROR(INDEX(Lists!$G$2:$G$20,MATCH($I493&amp;"|"&amp;$J493,Lists!$F$2:$F$20,0)),"")</f>
        <v/>
      </c>
    </row>
    <row r="494" customFormat="false" ht="19.5" hidden="false" customHeight="true" outlineLevel="0" collapsed="false">
      <c r="A494" s="29"/>
      <c r="B494" s="29"/>
      <c r="C494" s="30"/>
      <c r="D494" s="30"/>
      <c r="E494" s="31"/>
      <c r="F494" s="30"/>
      <c r="G494" s="30"/>
      <c r="H494" s="32"/>
      <c r="I494" s="33"/>
      <c r="J494" s="32"/>
      <c r="K494" s="34" t="str">
        <f aca="false">IF(OR(M494="",$E494=""),"",M494-$E494)</f>
        <v/>
      </c>
      <c r="L494" s="35" t="str">
        <f aca="false">IF(SUM(FA494:FN494)=0,"",SUM(EM494:EZ494)/SUM(FA494:FN494))</f>
        <v/>
      </c>
      <c r="M494" s="36" t="str">
        <f aca="false">IF(OR(L494="",FO494=""),"",IFERROR(MATCH(L494,INDEX(Boundaries!$B$2:$I$30,MATCH(FO494,Boundaries!$A$2:$A$30,0),0),1)-1,""))</f>
        <v/>
      </c>
      <c r="N494" s="37" t="str">
        <f aca="false">IF(COUNT($DY494:$EL494)&lt;2,"",INDEX($DK494:$DX494,MAX($DY494:$EL494))-INDEX($DK494:$DX494,MIN($DY494:$EL494)))</f>
        <v/>
      </c>
      <c r="O494" s="37" t="str">
        <f aca="false">IF(COUNT($DY494:$EL494)&lt;2,"",INDEX($DK494:$DX494,MAX($DY494:$EL494))-INDEX($DK494:$DX494,LARGE($DY494:$EL494,2)))</f>
        <v/>
      </c>
      <c r="P494" s="38" t="str">
        <f aca="false">IF(K494="","",IF(K494&gt;=0,"On/above target",IF(AND(N494&lt;&gt;"",N494&gt;=0.5),"Improving towards target",IF(AND(O494&lt;&gt;"",O494&lt;=-0.5),"Declining","Stable below target"))))</f>
        <v/>
      </c>
      <c r="Q494" s="39"/>
      <c r="R494" s="40" t="str">
        <f aca="false">IF(OR(Q494="",BU494=""),"",Q494/BU494*100)</f>
        <v/>
      </c>
      <c r="S494" s="41" t="str">
        <f aca="false">IF(R494="","",IFERROR(MATCH(R494,INDEX(Boundaries!$B$2:$I$30,MATCH(CI494,Boundaries!$A$2:$A$30,0),0),1)-1,""))</f>
        <v/>
      </c>
      <c r="T494" s="42" t="str">
        <f aca="false">IF(OR(S494="",$E494=""),"",S494-$E494)</f>
        <v/>
      </c>
      <c r="U494" s="39"/>
      <c r="V494" s="40" t="str">
        <f aca="false">IF(OR(U494="",BV494=""),"",U494/BV494*100)</f>
        <v/>
      </c>
      <c r="W494" s="41" t="str">
        <f aca="false">IF(V494="","",IFERROR(MATCH(V494,INDEX(Boundaries!$B$2:$I$30,MATCH(CJ494,Boundaries!$A$2:$A$30,0),0),1)-1,""))</f>
        <v/>
      </c>
      <c r="X494" s="42" t="str">
        <f aca="false">IF(OR(W494="",$E494=""),"",W494-$E494)</f>
        <v/>
      </c>
      <c r="Y494" s="39"/>
      <c r="Z494" s="40" t="str">
        <f aca="false">IF(OR(Y494="",BW494=""),"",Y494/BW494*100)</f>
        <v/>
      </c>
      <c r="AA494" s="41" t="str">
        <f aca="false">IF(Z494="","",IFERROR(MATCH(Z494,INDEX(Boundaries!$B$2:$I$30,MATCH(CK494,Boundaries!$A$2:$A$30,0),0),1)-1,""))</f>
        <v/>
      </c>
      <c r="AB494" s="42" t="str">
        <f aca="false">IF(OR(AA494="",$E494=""),"",AA494-$E494)</f>
        <v/>
      </c>
      <c r="AC494" s="39"/>
      <c r="AD494" s="40" t="str">
        <f aca="false">IF(OR(AC494="",BX494=""),"",AC494/BX494*100)</f>
        <v/>
      </c>
      <c r="AE494" s="41" t="str">
        <f aca="false">IF(AD494="","",IFERROR(MATCH(AD494,INDEX(Boundaries!$B$2:$I$30,MATCH(CL494,Boundaries!$A$2:$A$30,0),0),1)-1,""))</f>
        <v/>
      </c>
      <c r="AF494" s="42" t="str">
        <f aca="false">IF(OR(AE494="",$E494=""),"",AE494-$E494)</f>
        <v/>
      </c>
      <c r="AG494" s="39"/>
      <c r="AH494" s="40" t="str">
        <f aca="false">IF(OR(AG494="",BY494=""),"",AG494/BY494*100)</f>
        <v/>
      </c>
      <c r="AI494" s="41" t="str">
        <f aca="false">IF(AH494="","",IFERROR(MATCH(AH494,INDEX(Boundaries!$B$2:$I$30,MATCH(CM494,Boundaries!$A$2:$A$30,0),0),1)-1,""))</f>
        <v/>
      </c>
      <c r="AJ494" s="42" t="str">
        <f aca="false">IF(OR(AI494="",$E494=""),"",AI494-$E494)</f>
        <v/>
      </c>
      <c r="AK494" s="39"/>
      <c r="AL494" s="40" t="str">
        <f aca="false">IF(OR(AK494="",BZ494=""),"",AK494/BZ494*100)</f>
        <v/>
      </c>
      <c r="AM494" s="41" t="str">
        <f aca="false">IF(AL494="","",IFERROR(MATCH(AL494,INDEX(Boundaries!$B$2:$I$30,MATCH(CN494,Boundaries!$A$2:$A$30,0),0),1)-1,""))</f>
        <v/>
      </c>
      <c r="AN494" s="42" t="str">
        <f aca="false">IF(OR(AM494="",$E494=""),"",AM494-$E494)</f>
        <v/>
      </c>
      <c r="AO494" s="39"/>
      <c r="AP494" s="40" t="str">
        <f aca="false">IF(OR(AO494="",CA494=""),"",AO494/CA494*100)</f>
        <v/>
      </c>
      <c r="AQ494" s="41" t="str">
        <f aca="false">IF(AP494="","",IFERROR(MATCH(AP494,INDEX(Boundaries!$B$2:$I$30,MATCH(CO494,Boundaries!$A$2:$A$30,0),0),1)-1,""))</f>
        <v/>
      </c>
      <c r="AR494" s="42" t="str">
        <f aca="false">IF(OR(AQ494="",$E494=""),"",AQ494-$E494)</f>
        <v/>
      </c>
      <c r="AS494" s="39"/>
      <c r="AT494" s="40" t="str">
        <f aca="false">IF(OR(AS494="",CB494=""),"",AS494/CB494*100)</f>
        <v/>
      </c>
      <c r="AU494" s="41" t="str">
        <f aca="false">IF(AT494="","",IFERROR(MATCH(AT494,INDEX(Boundaries!$B$2:$I$30,MATCH(CP494,Boundaries!$A$2:$A$30,0),0),1)-1,""))</f>
        <v/>
      </c>
      <c r="AV494" s="42" t="str">
        <f aca="false">IF(OR(AU494="",$E494=""),"",AU494-$E494)</f>
        <v/>
      </c>
      <c r="AW494" s="39"/>
      <c r="AX494" s="40" t="str">
        <f aca="false">IF(OR(AW494="",CC494=""),"",AW494/CC494*100)</f>
        <v/>
      </c>
      <c r="AY494" s="41" t="str">
        <f aca="false">IF(AX494="","",IFERROR(MATCH(AX494,INDEX(Boundaries!$B$2:$I$30,MATCH(CQ494,Boundaries!$A$2:$A$30,0),0),1)-1,""))</f>
        <v/>
      </c>
      <c r="AZ494" s="42" t="str">
        <f aca="false">IF(OR(AY494="",$E494=""),"",AY494-$E494)</f>
        <v/>
      </c>
      <c r="BA494" s="39"/>
      <c r="BB494" s="40" t="str">
        <f aca="false">IF(OR(BA494="",CD494=""),"",BA494/CD494*100)</f>
        <v/>
      </c>
      <c r="BC494" s="41" t="str">
        <f aca="false">IF(BB494="","",IFERROR(MATCH(BB494,INDEX(Boundaries!$B$2:$I$30,MATCH(CR494,Boundaries!$A$2:$A$30,0),0),1)-1,""))</f>
        <v/>
      </c>
      <c r="BD494" s="42" t="str">
        <f aca="false">IF(OR(BC494="",$E494=""),"",BC494-$E494)</f>
        <v/>
      </c>
      <c r="BE494" s="39"/>
      <c r="BF494" s="40" t="str">
        <f aca="false">IF(OR(BE494="",CE494=""),"",BE494/CE494*100)</f>
        <v/>
      </c>
      <c r="BG494" s="41" t="str">
        <f aca="false">IF(BF494="","",IFERROR(MATCH(BF494,INDEX(Boundaries!$B$2:$I$30,MATCH(CS494,Boundaries!$A$2:$A$30,0),0),1)-1,""))</f>
        <v/>
      </c>
      <c r="BH494" s="42" t="str">
        <f aca="false">IF(OR(BG494="",$E494=""),"",BG494-$E494)</f>
        <v/>
      </c>
      <c r="BI494" s="39"/>
      <c r="BJ494" s="40" t="str">
        <f aca="false">IF(OR(BI494="",CF494=""),"",BI494/CF494*100)</f>
        <v/>
      </c>
      <c r="BK494" s="41" t="str">
        <f aca="false">IF(BJ494="","",IFERROR(MATCH(BJ494,INDEX(Boundaries!$B$2:$I$30,MATCH(CT494,Boundaries!$A$2:$A$30,0),0),1)-1,""))</f>
        <v/>
      </c>
      <c r="BL494" s="42" t="str">
        <f aca="false">IF(OR(BK494="",$E494=""),"",BK494-$E494)</f>
        <v/>
      </c>
      <c r="BM494" s="39"/>
      <c r="BN494" s="40" t="str">
        <f aca="false">IF(OR(BM494="",CG494=""),"",BM494/CG494*100)</f>
        <v/>
      </c>
      <c r="BO494" s="41" t="str">
        <f aca="false">IF(BN494="","",IFERROR(MATCH(BN494,INDEX(Boundaries!$B$2:$I$30,MATCH(CU494,Boundaries!$A$2:$A$30,0),0),1)-1,""))</f>
        <v/>
      </c>
      <c r="BP494" s="42" t="str">
        <f aca="false">IF(OR(BO494="",$E494=""),"",BO494-$E494)</f>
        <v/>
      </c>
      <c r="BQ494" s="39"/>
      <c r="BR494" s="40" t="str">
        <f aca="false">IF(OR(BQ494="",CH494=""),"",BQ494/CH494*100)</f>
        <v/>
      </c>
      <c r="BS494" s="41" t="str">
        <f aca="false">IF(BR494="","",IFERROR(MATCH(BR494,INDEX(Boundaries!$B$2:$I$30,MATCH(CV494,Boundaries!$A$2:$A$30,0),0),1)-1,""))</f>
        <v/>
      </c>
      <c r="BT494" s="42" t="str">
        <f aca="false">IF(OR(BS494="",$E494=""),"",BS494-$E494)</f>
        <v/>
      </c>
      <c r="BU494" s="28" t="str">
        <f aca="false">IFERROR(INDEX(Assessments!$H$2:$H$600,MATCH($H494&amp;"|"&amp;$I494&amp;"|"&amp;$J494&amp;"|"&amp;1,Assessments!$A$2:$A$600,0)),"")</f>
        <v/>
      </c>
      <c r="BV494" s="28" t="str">
        <f aca="false">IFERROR(INDEX(Assessments!$H$2:$H$600,MATCH($H494&amp;"|"&amp;$I494&amp;"|"&amp;$J494&amp;"|"&amp;2,Assessments!$A$2:$A$600,0)),"")</f>
        <v/>
      </c>
      <c r="BW494" s="28" t="str">
        <f aca="false">IFERROR(INDEX(Assessments!$H$2:$H$600,MATCH($H494&amp;"|"&amp;$I494&amp;"|"&amp;$J494&amp;"|"&amp;3,Assessments!$A$2:$A$600,0)),"")</f>
        <v/>
      </c>
      <c r="BX494" s="28" t="str">
        <f aca="false">IFERROR(INDEX(Assessments!$H$2:$H$600,MATCH($H494&amp;"|"&amp;$I494&amp;"|"&amp;$J494&amp;"|"&amp;4,Assessments!$A$2:$A$600,0)),"")</f>
        <v/>
      </c>
      <c r="BY494" s="28" t="str">
        <f aca="false">IFERROR(INDEX(Assessments!$H$2:$H$600,MATCH($H494&amp;"|"&amp;$I494&amp;"|"&amp;$J494&amp;"|"&amp;5,Assessments!$A$2:$A$600,0)),"")</f>
        <v/>
      </c>
      <c r="BZ494" s="28" t="str">
        <f aca="false">IFERROR(INDEX(Assessments!$H$2:$H$600,MATCH($H494&amp;"|"&amp;$I494&amp;"|"&amp;$J494&amp;"|"&amp;6,Assessments!$A$2:$A$600,0)),"")</f>
        <v/>
      </c>
      <c r="CA494" s="28" t="str">
        <f aca="false">IFERROR(INDEX(Assessments!$H$2:$H$600,MATCH($H494&amp;"|"&amp;$I494&amp;"|"&amp;$J494&amp;"|"&amp;7,Assessments!$A$2:$A$600,0)),"")</f>
        <v/>
      </c>
      <c r="CB494" s="28" t="str">
        <f aca="false">IFERROR(INDEX(Assessments!$H$2:$H$600,MATCH($H494&amp;"|"&amp;$I494&amp;"|"&amp;$J494&amp;"|"&amp;8,Assessments!$A$2:$A$600,0)),"")</f>
        <v/>
      </c>
      <c r="CC494" s="28" t="str">
        <f aca="false">IFERROR(INDEX(Assessments!$H$2:$H$600,MATCH($H494&amp;"|"&amp;$I494&amp;"|"&amp;$J494&amp;"|"&amp;9,Assessments!$A$2:$A$600,0)),"")</f>
        <v/>
      </c>
      <c r="CD494" s="28" t="str">
        <f aca="false">IFERROR(INDEX(Assessments!$H$2:$H$600,MATCH($H494&amp;"|"&amp;$I494&amp;"|"&amp;$J494&amp;"|"&amp;10,Assessments!$A$2:$A$600,0)),"")</f>
        <v/>
      </c>
      <c r="CE494" s="28" t="str">
        <f aca="false">IFERROR(INDEX(Assessments!$H$2:$H$600,MATCH($H494&amp;"|"&amp;$I494&amp;"|"&amp;$J494&amp;"|"&amp;11,Assessments!$A$2:$A$600,0)),"")</f>
        <v/>
      </c>
      <c r="CF494" s="28" t="str">
        <f aca="false">IFERROR(INDEX(Assessments!$H$2:$H$600,MATCH($H494&amp;"|"&amp;$I494&amp;"|"&amp;$J494&amp;"|"&amp;12,Assessments!$A$2:$A$600,0)),"")</f>
        <v/>
      </c>
      <c r="CG494" s="28" t="str">
        <f aca="false">IFERROR(INDEX(Assessments!$H$2:$H$600,MATCH($H494&amp;"|"&amp;$I494&amp;"|"&amp;$J494&amp;"|"&amp;13,Assessments!$A$2:$A$600,0)),"")</f>
        <v/>
      </c>
      <c r="CH494" s="28" t="str">
        <f aca="false">IFERROR(INDEX(Assessments!$H$2:$H$600,MATCH($H494&amp;"|"&amp;$I494&amp;"|"&amp;$J494&amp;"|"&amp;14,Assessments!$A$2:$A$600,0)),"")</f>
        <v/>
      </c>
      <c r="CI494" s="28" t="str">
        <f aca="false">IFERROR(INDEX(Assessments!$I$2:$I$600,MATCH($H494&amp;"|"&amp;$I494&amp;"|"&amp;$J494&amp;"|"&amp;1,Assessments!$A$2:$A$600,0)),"")</f>
        <v/>
      </c>
      <c r="CJ494" s="28" t="str">
        <f aca="false">IFERROR(INDEX(Assessments!$I$2:$I$600,MATCH($H494&amp;"|"&amp;$I494&amp;"|"&amp;$J494&amp;"|"&amp;2,Assessments!$A$2:$A$600,0)),"")</f>
        <v/>
      </c>
      <c r="CK494" s="28" t="str">
        <f aca="false">IFERROR(INDEX(Assessments!$I$2:$I$600,MATCH($H494&amp;"|"&amp;$I494&amp;"|"&amp;$J494&amp;"|"&amp;3,Assessments!$A$2:$A$600,0)),"")</f>
        <v/>
      </c>
      <c r="CL494" s="28" t="str">
        <f aca="false">IFERROR(INDEX(Assessments!$I$2:$I$600,MATCH($H494&amp;"|"&amp;$I494&amp;"|"&amp;$J494&amp;"|"&amp;4,Assessments!$A$2:$A$600,0)),"")</f>
        <v/>
      </c>
      <c r="CM494" s="28" t="str">
        <f aca="false">IFERROR(INDEX(Assessments!$I$2:$I$600,MATCH($H494&amp;"|"&amp;$I494&amp;"|"&amp;$J494&amp;"|"&amp;5,Assessments!$A$2:$A$600,0)),"")</f>
        <v/>
      </c>
      <c r="CN494" s="28" t="str">
        <f aca="false">IFERROR(INDEX(Assessments!$I$2:$I$600,MATCH($H494&amp;"|"&amp;$I494&amp;"|"&amp;$J494&amp;"|"&amp;6,Assessments!$A$2:$A$600,0)),"")</f>
        <v/>
      </c>
      <c r="CO494" s="28" t="str">
        <f aca="false">IFERROR(INDEX(Assessments!$I$2:$I$600,MATCH($H494&amp;"|"&amp;$I494&amp;"|"&amp;$J494&amp;"|"&amp;7,Assessments!$A$2:$A$600,0)),"")</f>
        <v/>
      </c>
      <c r="CP494" s="28" t="str">
        <f aca="false">IFERROR(INDEX(Assessments!$I$2:$I$600,MATCH($H494&amp;"|"&amp;$I494&amp;"|"&amp;$J494&amp;"|"&amp;8,Assessments!$A$2:$A$600,0)),"")</f>
        <v/>
      </c>
      <c r="CQ494" s="28" t="str">
        <f aca="false">IFERROR(INDEX(Assessments!$I$2:$I$600,MATCH($H494&amp;"|"&amp;$I494&amp;"|"&amp;$J494&amp;"|"&amp;9,Assessments!$A$2:$A$600,0)),"")</f>
        <v/>
      </c>
      <c r="CR494" s="28" t="str">
        <f aca="false">IFERROR(INDEX(Assessments!$I$2:$I$600,MATCH($H494&amp;"|"&amp;$I494&amp;"|"&amp;$J494&amp;"|"&amp;10,Assessments!$A$2:$A$600,0)),"")</f>
        <v/>
      </c>
      <c r="CS494" s="28" t="str">
        <f aca="false">IFERROR(INDEX(Assessments!$I$2:$I$600,MATCH($H494&amp;"|"&amp;$I494&amp;"|"&amp;$J494&amp;"|"&amp;11,Assessments!$A$2:$A$600,0)),"")</f>
        <v/>
      </c>
      <c r="CT494" s="28" t="str">
        <f aca="false">IFERROR(INDEX(Assessments!$I$2:$I$600,MATCH($H494&amp;"|"&amp;$I494&amp;"|"&amp;$J494&amp;"|"&amp;12,Assessments!$A$2:$A$600,0)),"")</f>
        <v/>
      </c>
      <c r="CU494" s="28" t="str">
        <f aca="false">IFERROR(INDEX(Assessments!$I$2:$I$600,MATCH($H494&amp;"|"&amp;$I494&amp;"|"&amp;$J494&amp;"|"&amp;13,Assessments!$A$2:$A$600,0)),"")</f>
        <v/>
      </c>
      <c r="CV494" s="28" t="str">
        <f aca="false">IFERROR(INDEX(Assessments!$I$2:$I$600,MATCH($H494&amp;"|"&amp;$I494&amp;"|"&amp;$J494&amp;"|"&amp;14,Assessments!$A$2:$A$600,0)),"")</f>
        <v/>
      </c>
      <c r="CW494" s="28" t="n">
        <f aca="false">IFERROR(INDEX(Assessments!$J$2:$J$600,MATCH($H494&amp;"|"&amp;$I494&amp;"|"&amp;$J494&amp;"|"&amp;1,Assessments!$A$2:$A$600,0)),0)</f>
        <v>0</v>
      </c>
      <c r="CX494" s="28" t="n">
        <f aca="false">IFERROR(INDEX(Assessments!$J$2:$J$600,MATCH($H494&amp;"|"&amp;$I494&amp;"|"&amp;$J494&amp;"|"&amp;2,Assessments!$A$2:$A$600,0)),0)</f>
        <v>0</v>
      </c>
      <c r="CY494" s="28" t="n">
        <f aca="false">IFERROR(INDEX(Assessments!$J$2:$J$600,MATCH($H494&amp;"|"&amp;$I494&amp;"|"&amp;$J494&amp;"|"&amp;3,Assessments!$A$2:$A$600,0)),0)</f>
        <v>0</v>
      </c>
      <c r="CZ494" s="28" t="n">
        <f aca="false">IFERROR(INDEX(Assessments!$J$2:$J$600,MATCH($H494&amp;"|"&amp;$I494&amp;"|"&amp;$J494&amp;"|"&amp;4,Assessments!$A$2:$A$600,0)),0)</f>
        <v>0</v>
      </c>
      <c r="DA494" s="28" t="n">
        <f aca="false">IFERROR(INDEX(Assessments!$J$2:$J$600,MATCH($H494&amp;"|"&amp;$I494&amp;"|"&amp;$J494&amp;"|"&amp;5,Assessments!$A$2:$A$600,0)),0)</f>
        <v>0</v>
      </c>
      <c r="DB494" s="28" t="n">
        <f aca="false">IFERROR(INDEX(Assessments!$J$2:$J$600,MATCH($H494&amp;"|"&amp;$I494&amp;"|"&amp;$J494&amp;"|"&amp;6,Assessments!$A$2:$A$600,0)),0)</f>
        <v>0</v>
      </c>
      <c r="DC494" s="28" t="n">
        <f aca="false">IFERROR(INDEX(Assessments!$J$2:$J$600,MATCH($H494&amp;"|"&amp;$I494&amp;"|"&amp;$J494&amp;"|"&amp;7,Assessments!$A$2:$A$600,0)),0)</f>
        <v>0</v>
      </c>
      <c r="DD494" s="28" t="n">
        <f aca="false">IFERROR(INDEX(Assessments!$J$2:$J$600,MATCH($H494&amp;"|"&amp;$I494&amp;"|"&amp;$J494&amp;"|"&amp;8,Assessments!$A$2:$A$600,0)),0)</f>
        <v>0</v>
      </c>
      <c r="DE494" s="28" t="n">
        <f aca="false">IFERROR(INDEX(Assessments!$J$2:$J$600,MATCH($H494&amp;"|"&amp;$I494&amp;"|"&amp;$J494&amp;"|"&amp;9,Assessments!$A$2:$A$600,0)),0)</f>
        <v>0</v>
      </c>
      <c r="DF494" s="28" t="n">
        <f aca="false">IFERROR(INDEX(Assessments!$J$2:$J$600,MATCH($H494&amp;"|"&amp;$I494&amp;"|"&amp;$J494&amp;"|"&amp;10,Assessments!$A$2:$A$600,0)),0)</f>
        <v>0</v>
      </c>
      <c r="DG494" s="28" t="n">
        <f aca="false">IFERROR(INDEX(Assessments!$J$2:$J$600,MATCH($H494&amp;"|"&amp;$I494&amp;"|"&amp;$J494&amp;"|"&amp;11,Assessments!$A$2:$A$600,0)),0)</f>
        <v>0</v>
      </c>
      <c r="DH494" s="28" t="n">
        <f aca="false">IFERROR(INDEX(Assessments!$J$2:$J$600,MATCH($H494&amp;"|"&amp;$I494&amp;"|"&amp;$J494&amp;"|"&amp;12,Assessments!$A$2:$A$600,0)),0)</f>
        <v>0</v>
      </c>
      <c r="DI494" s="28" t="n">
        <f aca="false">IFERROR(INDEX(Assessments!$J$2:$J$600,MATCH($H494&amp;"|"&amp;$I494&amp;"|"&amp;$J494&amp;"|"&amp;13,Assessments!$A$2:$A$600,0)),0)</f>
        <v>0</v>
      </c>
      <c r="DJ494" s="28" t="n">
        <f aca="false">IFERROR(INDEX(Assessments!$J$2:$J$600,MATCH($H494&amp;"|"&amp;$I494&amp;"|"&amp;$J494&amp;"|"&amp;14,Assessments!$A$2:$A$600,0)),0)</f>
        <v>0</v>
      </c>
      <c r="DK494" s="28" t="str">
        <f aca="false">S494</f>
        <v/>
      </c>
      <c r="DL494" s="28" t="str">
        <f aca="false">W494</f>
        <v/>
      </c>
      <c r="DM494" s="28" t="str">
        <f aca="false">AA494</f>
        <v/>
      </c>
      <c r="DN494" s="28" t="str">
        <f aca="false">AE494</f>
        <v/>
      </c>
      <c r="DO494" s="28" t="str">
        <f aca="false">AI494</f>
        <v/>
      </c>
      <c r="DP494" s="28" t="str">
        <f aca="false">AM494</f>
        <v/>
      </c>
      <c r="DQ494" s="28" t="str">
        <f aca="false">AQ494</f>
        <v/>
      </c>
      <c r="DR494" s="28" t="str">
        <f aca="false">AU494</f>
        <v/>
      </c>
      <c r="DS494" s="28" t="str">
        <f aca="false">AY494</f>
        <v/>
      </c>
      <c r="DT494" s="28" t="str">
        <f aca="false">BC494</f>
        <v/>
      </c>
      <c r="DU494" s="28" t="str">
        <f aca="false">BG494</f>
        <v/>
      </c>
      <c r="DV494" s="28" t="str">
        <f aca="false">BK494</f>
        <v/>
      </c>
      <c r="DW494" s="28" t="str">
        <f aca="false">BO494</f>
        <v/>
      </c>
      <c r="DX494" s="28" t="str">
        <f aca="false">BS494</f>
        <v/>
      </c>
      <c r="DY494" s="28" t="str">
        <f aca="false">IF(ISNUMBER(S494),1,"")</f>
        <v/>
      </c>
      <c r="DZ494" s="28" t="str">
        <f aca="false">IF(ISNUMBER(W494),2,"")</f>
        <v/>
      </c>
      <c r="EA494" s="28" t="str">
        <f aca="false">IF(ISNUMBER(AA494),3,"")</f>
        <v/>
      </c>
      <c r="EB494" s="28" t="str">
        <f aca="false">IF(ISNUMBER(AE494),4,"")</f>
        <v/>
      </c>
      <c r="EC494" s="28" t="str">
        <f aca="false">IF(ISNUMBER(AI494),5,"")</f>
        <v/>
      </c>
      <c r="ED494" s="28" t="str">
        <f aca="false">IF(ISNUMBER(AM494),6,"")</f>
        <v/>
      </c>
      <c r="EE494" s="28" t="str">
        <f aca="false">IF(ISNUMBER(AQ494),7,"")</f>
        <v/>
      </c>
      <c r="EF494" s="28" t="str">
        <f aca="false">IF(ISNUMBER(AU494),8,"")</f>
        <v/>
      </c>
      <c r="EG494" s="28" t="str">
        <f aca="false">IF(ISNUMBER(AY494),9,"")</f>
        <v/>
      </c>
      <c r="EH494" s="28" t="str">
        <f aca="false">IF(ISNUMBER(BC494),10,"")</f>
        <v/>
      </c>
      <c r="EI494" s="28" t="str">
        <f aca="false">IF(ISNUMBER(BG494),11,"")</f>
        <v/>
      </c>
      <c r="EJ494" s="28" t="str">
        <f aca="false">IF(ISNUMBER(BK494),12,"")</f>
        <v/>
      </c>
      <c r="EK494" s="28" t="str">
        <f aca="false">IF(ISNUMBER(BO494),13,"")</f>
        <v/>
      </c>
      <c r="EL494" s="28" t="str">
        <f aca="false">IF(ISNUMBER(BS494),14,"")</f>
        <v/>
      </c>
      <c r="EM494" s="28" t="n">
        <f aca="false">IF(ISNUMBER(R494),R494*CW494,0)</f>
        <v>0</v>
      </c>
      <c r="EN494" s="28" t="n">
        <f aca="false">IF(ISNUMBER(V494),V494*CX494,0)</f>
        <v>0</v>
      </c>
      <c r="EO494" s="28" t="n">
        <f aca="false">IF(ISNUMBER(Z494),Z494*CY494,0)</f>
        <v>0</v>
      </c>
      <c r="EP494" s="28" t="n">
        <f aca="false">IF(ISNUMBER(AD494),AD494*CZ494,0)</f>
        <v>0</v>
      </c>
      <c r="EQ494" s="28" t="n">
        <f aca="false">IF(ISNUMBER(AH494),AH494*DA494,0)</f>
        <v>0</v>
      </c>
      <c r="ER494" s="28" t="n">
        <f aca="false">IF(ISNUMBER(AL494),AL494*DB494,0)</f>
        <v>0</v>
      </c>
      <c r="ES494" s="28" t="n">
        <f aca="false">IF(ISNUMBER(AP494),AP494*DC494,0)</f>
        <v>0</v>
      </c>
      <c r="ET494" s="28" t="n">
        <f aca="false">IF(ISNUMBER(AT494),AT494*DD494,0)</f>
        <v>0</v>
      </c>
      <c r="EU494" s="28" t="n">
        <f aca="false">IF(ISNUMBER(AX494),AX494*DE494,0)</f>
        <v>0</v>
      </c>
      <c r="EV494" s="28" t="n">
        <f aca="false">IF(ISNUMBER(BB494),BB494*DF494,0)</f>
        <v>0</v>
      </c>
      <c r="EW494" s="28" t="n">
        <f aca="false">IF(ISNUMBER(BF494),BF494*DG494,0)</f>
        <v>0</v>
      </c>
      <c r="EX494" s="28" t="n">
        <f aca="false">IF(ISNUMBER(BJ494),BJ494*DH494,0)</f>
        <v>0</v>
      </c>
      <c r="EY494" s="28" t="n">
        <f aca="false">IF(ISNUMBER(BN494),BN494*DI494,0)</f>
        <v>0</v>
      </c>
      <c r="EZ494" s="28" t="n">
        <f aca="false">IF(ISNUMBER(BR494),BR494*DJ494,0)</f>
        <v>0</v>
      </c>
      <c r="FA494" s="28" t="n">
        <f aca="false">IF(ISNUMBER(R494),CW494,0)</f>
        <v>0</v>
      </c>
      <c r="FB494" s="28" t="n">
        <f aca="false">IF(ISNUMBER(V494),CX494,0)</f>
        <v>0</v>
      </c>
      <c r="FC494" s="28" t="n">
        <f aca="false">IF(ISNUMBER(Z494),CY494,0)</f>
        <v>0</v>
      </c>
      <c r="FD494" s="28" t="n">
        <f aca="false">IF(ISNUMBER(AD494),CZ494,0)</f>
        <v>0</v>
      </c>
      <c r="FE494" s="28" t="n">
        <f aca="false">IF(ISNUMBER(AH494),DA494,0)</f>
        <v>0</v>
      </c>
      <c r="FF494" s="28" t="n">
        <f aca="false">IF(ISNUMBER(AL494),DB494,0)</f>
        <v>0</v>
      </c>
      <c r="FG494" s="28" t="n">
        <f aca="false">IF(ISNUMBER(AP494),DC494,0)</f>
        <v>0</v>
      </c>
      <c r="FH494" s="28" t="n">
        <f aca="false">IF(ISNUMBER(AT494),DD494,0)</f>
        <v>0</v>
      </c>
      <c r="FI494" s="28" t="n">
        <f aca="false">IF(ISNUMBER(AX494),DE494,0)</f>
        <v>0</v>
      </c>
      <c r="FJ494" s="28" t="n">
        <f aca="false">IF(ISNUMBER(BB494),DF494,0)</f>
        <v>0</v>
      </c>
      <c r="FK494" s="28" t="n">
        <f aca="false">IF(ISNUMBER(BF494),DG494,0)</f>
        <v>0</v>
      </c>
      <c r="FL494" s="28" t="n">
        <f aca="false">IF(ISNUMBER(BJ494),DH494,0)</f>
        <v>0</v>
      </c>
      <c r="FM494" s="28" t="n">
        <f aca="false">IF(ISNUMBER(BN494),DI494,0)</f>
        <v>0</v>
      </c>
      <c r="FN494" s="28" t="n">
        <f aca="false">IF(ISNUMBER(BR494),DJ494,0)</f>
        <v>0</v>
      </c>
      <c r="FO494" s="28" t="str">
        <f aca="false">IFERROR(INDEX(Lists!$G$2:$G$20,MATCH($I494&amp;"|"&amp;$J494,Lists!$F$2:$F$20,0)),"")</f>
        <v/>
      </c>
    </row>
    <row r="495" customFormat="false" ht="19.5" hidden="false" customHeight="true" outlineLevel="0" collapsed="false">
      <c r="A495" s="29"/>
      <c r="B495" s="29"/>
      <c r="C495" s="30"/>
      <c r="D495" s="30"/>
      <c r="E495" s="31"/>
      <c r="F495" s="30"/>
      <c r="G495" s="30"/>
      <c r="H495" s="32"/>
      <c r="I495" s="33"/>
      <c r="J495" s="32"/>
      <c r="K495" s="34" t="str">
        <f aca="false">IF(OR(M495="",$E495=""),"",M495-$E495)</f>
        <v/>
      </c>
      <c r="L495" s="35" t="str">
        <f aca="false">IF(SUM(FA495:FN495)=0,"",SUM(EM495:EZ495)/SUM(FA495:FN495))</f>
        <v/>
      </c>
      <c r="M495" s="36" t="str">
        <f aca="false">IF(OR(L495="",FO495=""),"",IFERROR(MATCH(L495,INDEX(Boundaries!$B$2:$I$30,MATCH(FO495,Boundaries!$A$2:$A$30,0),0),1)-1,""))</f>
        <v/>
      </c>
      <c r="N495" s="37" t="str">
        <f aca="false">IF(COUNT($DY495:$EL495)&lt;2,"",INDEX($DK495:$DX495,MAX($DY495:$EL495))-INDEX($DK495:$DX495,MIN($DY495:$EL495)))</f>
        <v/>
      </c>
      <c r="O495" s="37" t="str">
        <f aca="false">IF(COUNT($DY495:$EL495)&lt;2,"",INDEX($DK495:$DX495,MAX($DY495:$EL495))-INDEX($DK495:$DX495,LARGE($DY495:$EL495,2)))</f>
        <v/>
      </c>
      <c r="P495" s="38" t="str">
        <f aca="false">IF(K495="","",IF(K495&gt;=0,"On/above target",IF(AND(N495&lt;&gt;"",N495&gt;=0.5),"Improving towards target",IF(AND(O495&lt;&gt;"",O495&lt;=-0.5),"Declining","Stable below target"))))</f>
        <v/>
      </c>
      <c r="Q495" s="39"/>
      <c r="R495" s="40" t="str">
        <f aca="false">IF(OR(Q495="",BU495=""),"",Q495/BU495*100)</f>
        <v/>
      </c>
      <c r="S495" s="41" t="str">
        <f aca="false">IF(R495="","",IFERROR(MATCH(R495,INDEX(Boundaries!$B$2:$I$30,MATCH(CI495,Boundaries!$A$2:$A$30,0),0),1)-1,""))</f>
        <v/>
      </c>
      <c r="T495" s="42" t="str">
        <f aca="false">IF(OR(S495="",$E495=""),"",S495-$E495)</f>
        <v/>
      </c>
      <c r="U495" s="39"/>
      <c r="V495" s="40" t="str">
        <f aca="false">IF(OR(U495="",BV495=""),"",U495/BV495*100)</f>
        <v/>
      </c>
      <c r="W495" s="41" t="str">
        <f aca="false">IF(V495="","",IFERROR(MATCH(V495,INDEX(Boundaries!$B$2:$I$30,MATCH(CJ495,Boundaries!$A$2:$A$30,0),0),1)-1,""))</f>
        <v/>
      </c>
      <c r="X495" s="42" t="str">
        <f aca="false">IF(OR(W495="",$E495=""),"",W495-$E495)</f>
        <v/>
      </c>
      <c r="Y495" s="39"/>
      <c r="Z495" s="40" t="str">
        <f aca="false">IF(OR(Y495="",BW495=""),"",Y495/BW495*100)</f>
        <v/>
      </c>
      <c r="AA495" s="41" t="str">
        <f aca="false">IF(Z495="","",IFERROR(MATCH(Z495,INDEX(Boundaries!$B$2:$I$30,MATCH(CK495,Boundaries!$A$2:$A$30,0),0),1)-1,""))</f>
        <v/>
      </c>
      <c r="AB495" s="42" t="str">
        <f aca="false">IF(OR(AA495="",$E495=""),"",AA495-$E495)</f>
        <v/>
      </c>
      <c r="AC495" s="39"/>
      <c r="AD495" s="40" t="str">
        <f aca="false">IF(OR(AC495="",BX495=""),"",AC495/BX495*100)</f>
        <v/>
      </c>
      <c r="AE495" s="41" t="str">
        <f aca="false">IF(AD495="","",IFERROR(MATCH(AD495,INDEX(Boundaries!$B$2:$I$30,MATCH(CL495,Boundaries!$A$2:$A$30,0),0),1)-1,""))</f>
        <v/>
      </c>
      <c r="AF495" s="42" t="str">
        <f aca="false">IF(OR(AE495="",$E495=""),"",AE495-$E495)</f>
        <v/>
      </c>
      <c r="AG495" s="39"/>
      <c r="AH495" s="40" t="str">
        <f aca="false">IF(OR(AG495="",BY495=""),"",AG495/BY495*100)</f>
        <v/>
      </c>
      <c r="AI495" s="41" t="str">
        <f aca="false">IF(AH495="","",IFERROR(MATCH(AH495,INDEX(Boundaries!$B$2:$I$30,MATCH(CM495,Boundaries!$A$2:$A$30,0),0),1)-1,""))</f>
        <v/>
      </c>
      <c r="AJ495" s="42" t="str">
        <f aca="false">IF(OR(AI495="",$E495=""),"",AI495-$E495)</f>
        <v/>
      </c>
      <c r="AK495" s="39"/>
      <c r="AL495" s="40" t="str">
        <f aca="false">IF(OR(AK495="",BZ495=""),"",AK495/BZ495*100)</f>
        <v/>
      </c>
      <c r="AM495" s="41" t="str">
        <f aca="false">IF(AL495="","",IFERROR(MATCH(AL495,INDEX(Boundaries!$B$2:$I$30,MATCH(CN495,Boundaries!$A$2:$A$30,0),0),1)-1,""))</f>
        <v/>
      </c>
      <c r="AN495" s="42" t="str">
        <f aca="false">IF(OR(AM495="",$E495=""),"",AM495-$E495)</f>
        <v/>
      </c>
      <c r="AO495" s="39"/>
      <c r="AP495" s="40" t="str">
        <f aca="false">IF(OR(AO495="",CA495=""),"",AO495/CA495*100)</f>
        <v/>
      </c>
      <c r="AQ495" s="41" t="str">
        <f aca="false">IF(AP495="","",IFERROR(MATCH(AP495,INDEX(Boundaries!$B$2:$I$30,MATCH(CO495,Boundaries!$A$2:$A$30,0),0),1)-1,""))</f>
        <v/>
      </c>
      <c r="AR495" s="42" t="str">
        <f aca="false">IF(OR(AQ495="",$E495=""),"",AQ495-$E495)</f>
        <v/>
      </c>
      <c r="AS495" s="39"/>
      <c r="AT495" s="40" t="str">
        <f aca="false">IF(OR(AS495="",CB495=""),"",AS495/CB495*100)</f>
        <v/>
      </c>
      <c r="AU495" s="41" t="str">
        <f aca="false">IF(AT495="","",IFERROR(MATCH(AT495,INDEX(Boundaries!$B$2:$I$30,MATCH(CP495,Boundaries!$A$2:$A$30,0),0),1)-1,""))</f>
        <v/>
      </c>
      <c r="AV495" s="42" t="str">
        <f aca="false">IF(OR(AU495="",$E495=""),"",AU495-$E495)</f>
        <v/>
      </c>
      <c r="AW495" s="39"/>
      <c r="AX495" s="40" t="str">
        <f aca="false">IF(OR(AW495="",CC495=""),"",AW495/CC495*100)</f>
        <v/>
      </c>
      <c r="AY495" s="41" t="str">
        <f aca="false">IF(AX495="","",IFERROR(MATCH(AX495,INDEX(Boundaries!$B$2:$I$30,MATCH(CQ495,Boundaries!$A$2:$A$30,0),0),1)-1,""))</f>
        <v/>
      </c>
      <c r="AZ495" s="42" t="str">
        <f aca="false">IF(OR(AY495="",$E495=""),"",AY495-$E495)</f>
        <v/>
      </c>
      <c r="BA495" s="39"/>
      <c r="BB495" s="40" t="str">
        <f aca="false">IF(OR(BA495="",CD495=""),"",BA495/CD495*100)</f>
        <v/>
      </c>
      <c r="BC495" s="41" t="str">
        <f aca="false">IF(BB495="","",IFERROR(MATCH(BB495,INDEX(Boundaries!$B$2:$I$30,MATCH(CR495,Boundaries!$A$2:$A$30,0),0),1)-1,""))</f>
        <v/>
      </c>
      <c r="BD495" s="42" t="str">
        <f aca="false">IF(OR(BC495="",$E495=""),"",BC495-$E495)</f>
        <v/>
      </c>
      <c r="BE495" s="39"/>
      <c r="BF495" s="40" t="str">
        <f aca="false">IF(OR(BE495="",CE495=""),"",BE495/CE495*100)</f>
        <v/>
      </c>
      <c r="BG495" s="41" t="str">
        <f aca="false">IF(BF495="","",IFERROR(MATCH(BF495,INDEX(Boundaries!$B$2:$I$30,MATCH(CS495,Boundaries!$A$2:$A$30,0),0),1)-1,""))</f>
        <v/>
      </c>
      <c r="BH495" s="42" t="str">
        <f aca="false">IF(OR(BG495="",$E495=""),"",BG495-$E495)</f>
        <v/>
      </c>
      <c r="BI495" s="39"/>
      <c r="BJ495" s="40" t="str">
        <f aca="false">IF(OR(BI495="",CF495=""),"",BI495/CF495*100)</f>
        <v/>
      </c>
      <c r="BK495" s="41" t="str">
        <f aca="false">IF(BJ495="","",IFERROR(MATCH(BJ495,INDEX(Boundaries!$B$2:$I$30,MATCH(CT495,Boundaries!$A$2:$A$30,0),0),1)-1,""))</f>
        <v/>
      </c>
      <c r="BL495" s="42" t="str">
        <f aca="false">IF(OR(BK495="",$E495=""),"",BK495-$E495)</f>
        <v/>
      </c>
      <c r="BM495" s="39"/>
      <c r="BN495" s="40" t="str">
        <f aca="false">IF(OR(BM495="",CG495=""),"",BM495/CG495*100)</f>
        <v/>
      </c>
      <c r="BO495" s="41" t="str">
        <f aca="false">IF(BN495="","",IFERROR(MATCH(BN495,INDEX(Boundaries!$B$2:$I$30,MATCH(CU495,Boundaries!$A$2:$A$30,0),0),1)-1,""))</f>
        <v/>
      </c>
      <c r="BP495" s="42" t="str">
        <f aca="false">IF(OR(BO495="",$E495=""),"",BO495-$E495)</f>
        <v/>
      </c>
      <c r="BQ495" s="39"/>
      <c r="BR495" s="40" t="str">
        <f aca="false">IF(OR(BQ495="",CH495=""),"",BQ495/CH495*100)</f>
        <v/>
      </c>
      <c r="BS495" s="41" t="str">
        <f aca="false">IF(BR495="","",IFERROR(MATCH(BR495,INDEX(Boundaries!$B$2:$I$30,MATCH(CV495,Boundaries!$A$2:$A$30,0),0),1)-1,""))</f>
        <v/>
      </c>
      <c r="BT495" s="42" t="str">
        <f aca="false">IF(OR(BS495="",$E495=""),"",BS495-$E495)</f>
        <v/>
      </c>
      <c r="BU495" s="28" t="str">
        <f aca="false">IFERROR(INDEX(Assessments!$H$2:$H$600,MATCH($H495&amp;"|"&amp;$I495&amp;"|"&amp;$J495&amp;"|"&amp;1,Assessments!$A$2:$A$600,0)),"")</f>
        <v/>
      </c>
      <c r="BV495" s="28" t="str">
        <f aca="false">IFERROR(INDEX(Assessments!$H$2:$H$600,MATCH($H495&amp;"|"&amp;$I495&amp;"|"&amp;$J495&amp;"|"&amp;2,Assessments!$A$2:$A$600,0)),"")</f>
        <v/>
      </c>
      <c r="BW495" s="28" t="str">
        <f aca="false">IFERROR(INDEX(Assessments!$H$2:$H$600,MATCH($H495&amp;"|"&amp;$I495&amp;"|"&amp;$J495&amp;"|"&amp;3,Assessments!$A$2:$A$600,0)),"")</f>
        <v/>
      </c>
      <c r="BX495" s="28" t="str">
        <f aca="false">IFERROR(INDEX(Assessments!$H$2:$H$600,MATCH($H495&amp;"|"&amp;$I495&amp;"|"&amp;$J495&amp;"|"&amp;4,Assessments!$A$2:$A$600,0)),"")</f>
        <v/>
      </c>
      <c r="BY495" s="28" t="str">
        <f aca="false">IFERROR(INDEX(Assessments!$H$2:$H$600,MATCH($H495&amp;"|"&amp;$I495&amp;"|"&amp;$J495&amp;"|"&amp;5,Assessments!$A$2:$A$600,0)),"")</f>
        <v/>
      </c>
      <c r="BZ495" s="28" t="str">
        <f aca="false">IFERROR(INDEX(Assessments!$H$2:$H$600,MATCH($H495&amp;"|"&amp;$I495&amp;"|"&amp;$J495&amp;"|"&amp;6,Assessments!$A$2:$A$600,0)),"")</f>
        <v/>
      </c>
      <c r="CA495" s="28" t="str">
        <f aca="false">IFERROR(INDEX(Assessments!$H$2:$H$600,MATCH($H495&amp;"|"&amp;$I495&amp;"|"&amp;$J495&amp;"|"&amp;7,Assessments!$A$2:$A$600,0)),"")</f>
        <v/>
      </c>
      <c r="CB495" s="28" t="str">
        <f aca="false">IFERROR(INDEX(Assessments!$H$2:$H$600,MATCH($H495&amp;"|"&amp;$I495&amp;"|"&amp;$J495&amp;"|"&amp;8,Assessments!$A$2:$A$600,0)),"")</f>
        <v/>
      </c>
      <c r="CC495" s="28" t="str">
        <f aca="false">IFERROR(INDEX(Assessments!$H$2:$H$600,MATCH($H495&amp;"|"&amp;$I495&amp;"|"&amp;$J495&amp;"|"&amp;9,Assessments!$A$2:$A$600,0)),"")</f>
        <v/>
      </c>
      <c r="CD495" s="28" t="str">
        <f aca="false">IFERROR(INDEX(Assessments!$H$2:$H$600,MATCH($H495&amp;"|"&amp;$I495&amp;"|"&amp;$J495&amp;"|"&amp;10,Assessments!$A$2:$A$600,0)),"")</f>
        <v/>
      </c>
      <c r="CE495" s="28" t="str">
        <f aca="false">IFERROR(INDEX(Assessments!$H$2:$H$600,MATCH($H495&amp;"|"&amp;$I495&amp;"|"&amp;$J495&amp;"|"&amp;11,Assessments!$A$2:$A$600,0)),"")</f>
        <v/>
      </c>
      <c r="CF495" s="28" t="str">
        <f aca="false">IFERROR(INDEX(Assessments!$H$2:$H$600,MATCH($H495&amp;"|"&amp;$I495&amp;"|"&amp;$J495&amp;"|"&amp;12,Assessments!$A$2:$A$600,0)),"")</f>
        <v/>
      </c>
      <c r="CG495" s="28" t="str">
        <f aca="false">IFERROR(INDEX(Assessments!$H$2:$H$600,MATCH($H495&amp;"|"&amp;$I495&amp;"|"&amp;$J495&amp;"|"&amp;13,Assessments!$A$2:$A$600,0)),"")</f>
        <v/>
      </c>
      <c r="CH495" s="28" t="str">
        <f aca="false">IFERROR(INDEX(Assessments!$H$2:$H$600,MATCH($H495&amp;"|"&amp;$I495&amp;"|"&amp;$J495&amp;"|"&amp;14,Assessments!$A$2:$A$600,0)),"")</f>
        <v/>
      </c>
      <c r="CI495" s="28" t="str">
        <f aca="false">IFERROR(INDEX(Assessments!$I$2:$I$600,MATCH($H495&amp;"|"&amp;$I495&amp;"|"&amp;$J495&amp;"|"&amp;1,Assessments!$A$2:$A$600,0)),"")</f>
        <v/>
      </c>
      <c r="CJ495" s="28" t="str">
        <f aca="false">IFERROR(INDEX(Assessments!$I$2:$I$600,MATCH($H495&amp;"|"&amp;$I495&amp;"|"&amp;$J495&amp;"|"&amp;2,Assessments!$A$2:$A$600,0)),"")</f>
        <v/>
      </c>
      <c r="CK495" s="28" t="str">
        <f aca="false">IFERROR(INDEX(Assessments!$I$2:$I$600,MATCH($H495&amp;"|"&amp;$I495&amp;"|"&amp;$J495&amp;"|"&amp;3,Assessments!$A$2:$A$600,0)),"")</f>
        <v/>
      </c>
      <c r="CL495" s="28" t="str">
        <f aca="false">IFERROR(INDEX(Assessments!$I$2:$I$600,MATCH($H495&amp;"|"&amp;$I495&amp;"|"&amp;$J495&amp;"|"&amp;4,Assessments!$A$2:$A$600,0)),"")</f>
        <v/>
      </c>
      <c r="CM495" s="28" t="str">
        <f aca="false">IFERROR(INDEX(Assessments!$I$2:$I$600,MATCH($H495&amp;"|"&amp;$I495&amp;"|"&amp;$J495&amp;"|"&amp;5,Assessments!$A$2:$A$600,0)),"")</f>
        <v/>
      </c>
      <c r="CN495" s="28" t="str">
        <f aca="false">IFERROR(INDEX(Assessments!$I$2:$I$600,MATCH($H495&amp;"|"&amp;$I495&amp;"|"&amp;$J495&amp;"|"&amp;6,Assessments!$A$2:$A$600,0)),"")</f>
        <v/>
      </c>
      <c r="CO495" s="28" t="str">
        <f aca="false">IFERROR(INDEX(Assessments!$I$2:$I$600,MATCH($H495&amp;"|"&amp;$I495&amp;"|"&amp;$J495&amp;"|"&amp;7,Assessments!$A$2:$A$600,0)),"")</f>
        <v/>
      </c>
      <c r="CP495" s="28" t="str">
        <f aca="false">IFERROR(INDEX(Assessments!$I$2:$I$600,MATCH($H495&amp;"|"&amp;$I495&amp;"|"&amp;$J495&amp;"|"&amp;8,Assessments!$A$2:$A$600,0)),"")</f>
        <v/>
      </c>
      <c r="CQ495" s="28" t="str">
        <f aca="false">IFERROR(INDEX(Assessments!$I$2:$I$600,MATCH($H495&amp;"|"&amp;$I495&amp;"|"&amp;$J495&amp;"|"&amp;9,Assessments!$A$2:$A$600,0)),"")</f>
        <v/>
      </c>
      <c r="CR495" s="28" t="str">
        <f aca="false">IFERROR(INDEX(Assessments!$I$2:$I$600,MATCH($H495&amp;"|"&amp;$I495&amp;"|"&amp;$J495&amp;"|"&amp;10,Assessments!$A$2:$A$600,0)),"")</f>
        <v/>
      </c>
      <c r="CS495" s="28" t="str">
        <f aca="false">IFERROR(INDEX(Assessments!$I$2:$I$600,MATCH($H495&amp;"|"&amp;$I495&amp;"|"&amp;$J495&amp;"|"&amp;11,Assessments!$A$2:$A$600,0)),"")</f>
        <v/>
      </c>
      <c r="CT495" s="28" t="str">
        <f aca="false">IFERROR(INDEX(Assessments!$I$2:$I$600,MATCH($H495&amp;"|"&amp;$I495&amp;"|"&amp;$J495&amp;"|"&amp;12,Assessments!$A$2:$A$600,0)),"")</f>
        <v/>
      </c>
      <c r="CU495" s="28" t="str">
        <f aca="false">IFERROR(INDEX(Assessments!$I$2:$I$600,MATCH($H495&amp;"|"&amp;$I495&amp;"|"&amp;$J495&amp;"|"&amp;13,Assessments!$A$2:$A$600,0)),"")</f>
        <v/>
      </c>
      <c r="CV495" s="28" t="str">
        <f aca="false">IFERROR(INDEX(Assessments!$I$2:$I$600,MATCH($H495&amp;"|"&amp;$I495&amp;"|"&amp;$J495&amp;"|"&amp;14,Assessments!$A$2:$A$600,0)),"")</f>
        <v/>
      </c>
      <c r="CW495" s="28" t="n">
        <f aca="false">IFERROR(INDEX(Assessments!$J$2:$J$600,MATCH($H495&amp;"|"&amp;$I495&amp;"|"&amp;$J495&amp;"|"&amp;1,Assessments!$A$2:$A$600,0)),0)</f>
        <v>0</v>
      </c>
      <c r="CX495" s="28" t="n">
        <f aca="false">IFERROR(INDEX(Assessments!$J$2:$J$600,MATCH($H495&amp;"|"&amp;$I495&amp;"|"&amp;$J495&amp;"|"&amp;2,Assessments!$A$2:$A$600,0)),0)</f>
        <v>0</v>
      </c>
      <c r="CY495" s="28" t="n">
        <f aca="false">IFERROR(INDEX(Assessments!$J$2:$J$600,MATCH($H495&amp;"|"&amp;$I495&amp;"|"&amp;$J495&amp;"|"&amp;3,Assessments!$A$2:$A$600,0)),0)</f>
        <v>0</v>
      </c>
      <c r="CZ495" s="28" t="n">
        <f aca="false">IFERROR(INDEX(Assessments!$J$2:$J$600,MATCH($H495&amp;"|"&amp;$I495&amp;"|"&amp;$J495&amp;"|"&amp;4,Assessments!$A$2:$A$600,0)),0)</f>
        <v>0</v>
      </c>
      <c r="DA495" s="28" t="n">
        <f aca="false">IFERROR(INDEX(Assessments!$J$2:$J$600,MATCH($H495&amp;"|"&amp;$I495&amp;"|"&amp;$J495&amp;"|"&amp;5,Assessments!$A$2:$A$600,0)),0)</f>
        <v>0</v>
      </c>
      <c r="DB495" s="28" t="n">
        <f aca="false">IFERROR(INDEX(Assessments!$J$2:$J$600,MATCH($H495&amp;"|"&amp;$I495&amp;"|"&amp;$J495&amp;"|"&amp;6,Assessments!$A$2:$A$600,0)),0)</f>
        <v>0</v>
      </c>
      <c r="DC495" s="28" t="n">
        <f aca="false">IFERROR(INDEX(Assessments!$J$2:$J$600,MATCH($H495&amp;"|"&amp;$I495&amp;"|"&amp;$J495&amp;"|"&amp;7,Assessments!$A$2:$A$600,0)),0)</f>
        <v>0</v>
      </c>
      <c r="DD495" s="28" t="n">
        <f aca="false">IFERROR(INDEX(Assessments!$J$2:$J$600,MATCH($H495&amp;"|"&amp;$I495&amp;"|"&amp;$J495&amp;"|"&amp;8,Assessments!$A$2:$A$600,0)),0)</f>
        <v>0</v>
      </c>
      <c r="DE495" s="28" t="n">
        <f aca="false">IFERROR(INDEX(Assessments!$J$2:$J$600,MATCH($H495&amp;"|"&amp;$I495&amp;"|"&amp;$J495&amp;"|"&amp;9,Assessments!$A$2:$A$600,0)),0)</f>
        <v>0</v>
      </c>
      <c r="DF495" s="28" t="n">
        <f aca="false">IFERROR(INDEX(Assessments!$J$2:$J$600,MATCH($H495&amp;"|"&amp;$I495&amp;"|"&amp;$J495&amp;"|"&amp;10,Assessments!$A$2:$A$600,0)),0)</f>
        <v>0</v>
      </c>
      <c r="DG495" s="28" t="n">
        <f aca="false">IFERROR(INDEX(Assessments!$J$2:$J$600,MATCH($H495&amp;"|"&amp;$I495&amp;"|"&amp;$J495&amp;"|"&amp;11,Assessments!$A$2:$A$600,0)),0)</f>
        <v>0</v>
      </c>
      <c r="DH495" s="28" t="n">
        <f aca="false">IFERROR(INDEX(Assessments!$J$2:$J$600,MATCH($H495&amp;"|"&amp;$I495&amp;"|"&amp;$J495&amp;"|"&amp;12,Assessments!$A$2:$A$600,0)),0)</f>
        <v>0</v>
      </c>
      <c r="DI495" s="28" t="n">
        <f aca="false">IFERROR(INDEX(Assessments!$J$2:$J$600,MATCH($H495&amp;"|"&amp;$I495&amp;"|"&amp;$J495&amp;"|"&amp;13,Assessments!$A$2:$A$600,0)),0)</f>
        <v>0</v>
      </c>
      <c r="DJ495" s="28" t="n">
        <f aca="false">IFERROR(INDEX(Assessments!$J$2:$J$600,MATCH($H495&amp;"|"&amp;$I495&amp;"|"&amp;$J495&amp;"|"&amp;14,Assessments!$A$2:$A$600,0)),0)</f>
        <v>0</v>
      </c>
      <c r="DK495" s="28" t="str">
        <f aca="false">S495</f>
        <v/>
      </c>
      <c r="DL495" s="28" t="str">
        <f aca="false">W495</f>
        <v/>
      </c>
      <c r="DM495" s="28" t="str">
        <f aca="false">AA495</f>
        <v/>
      </c>
      <c r="DN495" s="28" t="str">
        <f aca="false">AE495</f>
        <v/>
      </c>
      <c r="DO495" s="28" t="str">
        <f aca="false">AI495</f>
        <v/>
      </c>
      <c r="DP495" s="28" t="str">
        <f aca="false">AM495</f>
        <v/>
      </c>
      <c r="DQ495" s="28" t="str">
        <f aca="false">AQ495</f>
        <v/>
      </c>
      <c r="DR495" s="28" t="str">
        <f aca="false">AU495</f>
        <v/>
      </c>
      <c r="DS495" s="28" t="str">
        <f aca="false">AY495</f>
        <v/>
      </c>
      <c r="DT495" s="28" t="str">
        <f aca="false">BC495</f>
        <v/>
      </c>
      <c r="DU495" s="28" t="str">
        <f aca="false">BG495</f>
        <v/>
      </c>
      <c r="DV495" s="28" t="str">
        <f aca="false">BK495</f>
        <v/>
      </c>
      <c r="DW495" s="28" t="str">
        <f aca="false">BO495</f>
        <v/>
      </c>
      <c r="DX495" s="28" t="str">
        <f aca="false">BS495</f>
        <v/>
      </c>
      <c r="DY495" s="28" t="str">
        <f aca="false">IF(ISNUMBER(S495),1,"")</f>
        <v/>
      </c>
      <c r="DZ495" s="28" t="str">
        <f aca="false">IF(ISNUMBER(W495),2,"")</f>
        <v/>
      </c>
      <c r="EA495" s="28" t="str">
        <f aca="false">IF(ISNUMBER(AA495),3,"")</f>
        <v/>
      </c>
      <c r="EB495" s="28" t="str">
        <f aca="false">IF(ISNUMBER(AE495),4,"")</f>
        <v/>
      </c>
      <c r="EC495" s="28" t="str">
        <f aca="false">IF(ISNUMBER(AI495),5,"")</f>
        <v/>
      </c>
      <c r="ED495" s="28" t="str">
        <f aca="false">IF(ISNUMBER(AM495),6,"")</f>
        <v/>
      </c>
      <c r="EE495" s="28" t="str">
        <f aca="false">IF(ISNUMBER(AQ495),7,"")</f>
        <v/>
      </c>
      <c r="EF495" s="28" t="str">
        <f aca="false">IF(ISNUMBER(AU495),8,"")</f>
        <v/>
      </c>
      <c r="EG495" s="28" t="str">
        <f aca="false">IF(ISNUMBER(AY495),9,"")</f>
        <v/>
      </c>
      <c r="EH495" s="28" t="str">
        <f aca="false">IF(ISNUMBER(BC495),10,"")</f>
        <v/>
      </c>
      <c r="EI495" s="28" t="str">
        <f aca="false">IF(ISNUMBER(BG495),11,"")</f>
        <v/>
      </c>
      <c r="EJ495" s="28" t="str">
        <f aca="false">IF(ISNUMBER(BK495),12,"")</f>
        <v/>
      </c>
      <c r="EK495" s="28" t="str">
        <f aca="false">IF(ISNUMBER(BO495),13,"")</f>
        <v/>
      </c>
      <c r="EL495" s="28" t="str">
        <f aca="false">IF(ISNUMBER(BS495),14,"")</f>
        <v/>
      </c>
      <c r="EM495" s="28" t="n">
        <f aca="false">IF(ISNUMBER(R495),R495*CW495,0)</f>
        <v>0</v>
      </c>
      <c r="EN495" s="28" t="n">
        <f aca="false">IF(ISNUMBER(V495),V495*CX495,0)</f>
        <v>0</v>
      </c>
      <c r="EO495" s="28" t="n">
        <f aca="false">IF(ISNUMBER(Z495),Z495*CY495,0)</f>
        <v>0</v>
      </c>
      <c r="EP495" s="28" t="n">
        <f aca="false">IF(ISNUMBER(AD495),AD495*CZ495,0)</f>
        <v>0</v>
      </c>
      <c r="EQ495" s="28" t="n">
        <f aca="false">IF(ISNUMBER(AH495),AH495*DA495,0)</f>
        <v>0</v>
      </c>
      <c r="ER495" s="28" t="n">
        <f aca="false">IF(ISNUMBER(AL495),AL495*DB495,0)</f>
        <v>0</v>
      </c>
      <c r="ES495" s="28" t="n">
        <f aca="false">IF(ISNUMBER(AP495),AP495*DC495,0)</f>
        <v>0</v>
      </c>
      <c r="ET495" s="28" t="n">
        <f aca="false">IF(ISNUMBER(AT495),AT495*DD495,0)</f>
        <v>0</v>
      </c>
      <c r="EU495" s="28" t="n">
        <f aca="false">IF(ISNUMBER(AX495),AX495*DE495,0)</f>
        <v>0</v>
      </c>
      <c r="EV495" s="28" t="n">
        <f aca="false">IF(ISNUMBER(BB495),BB495*DF495,0)</f>
        <v>0</v>
      </c>
      <c r="EW495" s="28" t="n">
        <f aca="false">IF(ISNUMBER(BF495),BF495*DG495,0)</f>
        <v>0</v>
      </c>
      <c r="EX495" s="28" t="n">
        <f aca="false">IF(ISNUMBER(BJ495),BJ495*DH495,0)</f>
        <v>0</v>
      </c>
      <c r="EY495" s="28" t="n">
        <f aca="false">IF(ISNUMBER(BN495),BN495*DI495,0)</f>
        <v>0</v>
      </c>
      <c r="EZ495" s="28" t="n">
        <f aca="false">IF(ISNUMBER(BR495),BR495*DJ495,0)</f>
        <v>0</v>
      </c>
      <c r="FA495" s="28" t="n">
        <f aca="false">IF(ISNUMBER(R495),CW495,0)</f>
        <v>0</v>
      </c>
      <c r="FB495" s="28" t="n">
        <f aca="false">IF(ISNUMBER(V495),CX495,0)</f>
        <v>0</v>
      </c>
      <c r="FC495" s="28" t="n">
        <f aca="false">IF(ISNUMBER(Z495),CY495,0)</f>
        <v>0</v>
      </c>
      <c r="FD495" s="28" t="n">
        <f aca="false">IF(ISNUMBER(AD495),CZ495,0)</f>
        <v>0</v>
      </c>
      <c r="FE495" s="28" t="n">
        <f aca="false">IF(ISNUMBER(AH495),DA495,0)</f>
        <v>0</v>
      </c>
      <c r="FF495" s="28" t="n">
        <f aca="false">IF(ISNUMBER(AL495),DB495,0)</f>
        <v>0</v>
      </c>
      <c r="FG495" s="28" t="n">
        <f aca="false">IF(ISNUMBER(AP495),DC495,0)</f>
        <v>0</v>
      </c>
      <c r="FH495" s="28" t="n">
        <f aca="false">IF(ISNUMBER(AT495),DD495,0)</f>
        <v>0</v>
      </c>
      <c r="FI495" s="28" t="n">
        <f aca="false">IF(ISNUMBER(AX495),DE495,0)</f>
        <v>0</v>
      </c>
      <c r="FJ495" s="28" t="n">
        <f aca="false">IF(ISNUMBER(BB495),DF495,0)</f>
        <v>0</v>
      </c>
      <c r="FK495" s="28" t="n">
        <f aca="false">IF(ISNUMBER(BF495),DG495,0)</f>
        <v>0</v>
      </c>
      <c r="FL495" s="28" t="n">
        <f aca="false">IF(ISNUMBER(BJ495),DH495,0)</f>
        <v>0</v>
      </c>
      <c r="FM495" s="28" t="n">
        <f aca="false">IF(ISNUMBER(BN495),DI495,0)</f>
        <v>0</v>
      </c>
      <c r="FN495" s="28" t="n">
        <f aca="false">IF(ISNUMBER(BR495),DJ495,0)</f>
        <v>0</v>
      </c>
      <c r="FO495" s="28" t="str">
        <f aca="false">IFERROR(INDEX(Lists!$G$2:$G$20,MATCH($I495&amp;"|"&amp;$J495,Lists!$F$2:$F$20,0)),"")</f>
        <v/>
      </c>
    </row>
    <row r="496" customFormat="false" ht="19.5" hidden="false" customHeight="true" outlineLevel="0" collapsed="false">
      <c r="A496" s="29"/>
      <c r="B496" s="29"/>
      <c r="C496" s="30"/>
      <c r="D496" s="30"/>
      <c r="E496" s="31"/>
      <c r="F496" s="30"/>
      <c r="G496" s="30"/>
      <c r="H496" s="32"/>
      <c r="I496" s="33"/>
      <c r="J496" s="32"/>
      <c r="K496" s="34" t="str">
        <f aca="false">IF(OR(M496="",$E496=""),"",M496-$E496)</f>
        <v/>
      </c>
      <c r="L496" s="35" t="str">
        <f aca="false">IF(SUM(FA496:FN496)=0,"",SUM(EM496:EZ496)/SUM(FA496:FN496))</f>
        <v/>
      </c>
      <c r="M496" s="36" t="str">
        <f aca="false">IF(OR(L496="",FO496=""),"",IFERROR(MATCH(L496,INDEX(Boundaries!$B$2:$I$30,MATCH(FO496,Boundaries!$A$2:$A$30,0),0),1)-1,""))</f>
        <v/>
      </c>
      <c r="N496" s="37" t="str">
        <f aca="false">IF(COUNT($DY496:$EL496)&lt;2,"",INDEX($DK496:$DX496,MAX($DY496:$EL496))-INDEX($DK496:$DX496,MIN($DY496:$EL496)))</f>
        <v/>
      </c>
      <c r="O496" s="37" t="str">
        <f aca="false">IF(COUNT($DY496:$EL496)&lt;2,"",INDEX($DK496:$DX496,MAX($DY496:$EL496))-INDEX($DK496:$DX496,LARGE($DY496:$EL496,2)))</f>
        <v/>
      </c>
      <c r="P496" s="38" t="str">
        <f aca="false">IF(K496="","",IF(K496&gt;=0,"On/above target",IF(AND(N496&lt;&gt;"",N496&gt;=0.5),"Improving towards target",IF(AND(O496&lt;&gt;"",O496&lt;=-0.5),"Declining","Stable below target"))))</f>
        <v/>
      </c>
      <c r="Q496" s="39"/>
      <c r="R496" s="40" t="str">
        <f aca="false">IF(OR(Q496="",BU496=""),"",Q496/BU496*100)</f>
        <v/>
      </c>
      <c r="S496" s="41" t="str">
        <f aca="false">IF(R496="","",IFERROR(MATCH(R496,INDEX(Boundaries!$B$2:$I$30,MATCH(CI496,Boundaries!$A$2:$A$30,0),0),1)-1,""))</f>
        <v/>
      </c>
      <c r="T496" s="42" t="str">
        <f aca="false">IF(OR(S496="",$E496=""),"",S496-$E496)</f>
        <v/>
      </c>
      <c r="U496" s="39"/>
      <c r="V496" s="40" t="str">
        <f aca="false">IF(OR(U496="",BV496=""),"",U496/BV496*100)</f>
        <v/>
      </c>
      <c r="W496" s="41" t="str">
        <f aca="false">IF(V496="","",IFERROR(MATCH(V496,INDEX(Boundaries!$B$2:$I$30,MATCH(CJ496,Boundaries!$A$2:$A$30,0),0),1)-1,""))</f>
        <v/>
      </c>
      <c r="X496" s="42" t="str">
        <f aca="false">IF(OR(W496="",$E496=""),"",W496-$E496)</f>
        <v/>
      </c>
      <c r="Y496" s="39"/>
      <c r="Z496" s="40" t="str">
        <f aca="false">IF(OR(Y496="",BW496=""),"",Y496/BW496*100)</f>
        <v/>
      </c>
      <c r="AA496" s="41" t="str">
        <f aca="false">IF(Z496="","",IFERROR(MATCH(Z496,INDEX(Boundaries!$B$2:$I$30,MATCH(CK496,Boundaries!$A$2:$A$30,0),0),1)-1,""))</f>
        <v/>
      </c>
      <c r="AB496" s="42" t="str">
        <f aca="false">IF(OR(AA496="",$E496=""),"",AA496-$E496)</f>
        <v/>
      </c>
      <c r="AC496" s="39"/>
      <c r="AD496" s="40" t="str">
        <f aca="false">IF(OR(AC496="",BX496=""),"",AC496/BX496*100)</f>
        <v/>
      </c>
      <c r="AE496" s="41" t="str">
        <f aca="false">IF(AD496="","",IFERROR(MATCH(AD496,INDEX(Boundaries!$B$2:$I$30,MATCH(CL496,Boundaries!$A$2:$A$30,0),0),1)-1,""))</f>
        <v/>
      </c>
      <c r="AF496" s="42" t="str">
        <f aca="false">IF(OR(AE496="",$E496=""),"",AE496-$E496)</f>
        <v/>
      </c>
      <c r="AG496" s="39"/>
      <c r="AH496" s="40" t="str">
        <f aca="false">IF(OR(AG496="",BY496=""),"",AG496/BY496*100)</f>
        <v/>
      </c>
      <c r="AI496" s="41" t="str">
        <f aca="false">IF(AH496="","",IFERROR(MATCH(AH496,INDEX(Boundaries!$B$2:$I$30,MATCH(CM496,Boundaries!$A$2:$A$30,0),0),1)-1,""))</f>
        <v/>
      </c>
      <c r="AJ496" s="42" t="str">
        <f aca="false">IF(OR(AI496="",$E496=""),"",AI496-$E496)</f>
        <v/>
      </c>
      <c r="AK496" s="39"/>
      <c r="AL496" s="40" t="str">
        <f aca="false">IF(OR(AK496="",BZ496=""),"",AK496/BZ496*100)</f>
        <v/>
      </c>
      <c r="AM496" s="41" t="str">
        <f aca="false">IF(AL496="","",IFERROR(MATCH(AL496,INDEX(Boundaries!$B$2:$I$30,MATCH(CN496,Boundaries!$A$2:$A$30,0),0),1)-1,""))</f>
        <v/>
      </c>
      <c r="AN496" s="42" t="str">
        <f aca="false">IF(OR(AM496="",$E496=""),"",AM496-$E496)</f>
        <v/>
      </c>
      <c r="AO496" s="39"/>
      <c r="AP496" s="40" t="str">
        <f aca="false">IF(OR(AO496="",CA496=""),"",AO496/CA496*100)</f>
        <v/>
      </c>
      <c r="AQ496" s="41" t="str">
        <f aca="false">IF(AP496="","",IFERROR(MATCH(AP496,INDEX(Boundaries!$B$2:$I$30,MATCH(CO496,Boundaries!$A$2:$A$30,0),0),1)-1,""))</f>
        <v/>
      </c>
      <c r="AR496" s="42" t="str">
        <f aca="false">IF(OR(AQ496="",$E496=""),"",AQ496-$E496)</f>
        <v/>
      </c>
      <c r="AS496" s="39"/>
      <c r="AT496" s="40" t="str">
        <f aca="false">IF(OR(AS496="",CB496=""),"",AS496/CB496*100)</f>
        <v/>
      </c>
      <c r="AU496" s="41" t="str">
        <f aca="false">IF(AT496="","",IFERROR(MATCH(AT496,INDEX(Boundaries!$B$2:$I$30,MATCH(CP496,Boundaries!$A$2:$A$30,0),0),1)-1,""))</f>
        <v/>
      </c>
      <c r="AV496" s="42" t="str">
        <f aca="false">IF(OR(AU496="",$E496=""),"",AU496-$E496)</f>
        <v/>
      </c>
      <c r="AW496" s="39"/>
      <c r="AX496" s="40" t="str">
        <f aca="false">IF(OR(AW496="",CC496=""),"",AW496/CC496*100)</f>
        <v/>
      </c>
      <c r="AY496" s="41" t="str">
        <f aca="false">IF(AX496="","",IFERROR(MATCH(AX496,INDEX(Boundaries!$B$2:$I$30,MATCH(CQ496,Boundaries!$A$2:$A$30,0),0),1)-1,""))</f>
        <v/>
      </c>
      <c r="AZ496" s="42" t="str">
        <f aca="false">IF(OR(AY496="",$E496=""),"",AY496-$E496)</f>
        <v/>
      </c>
      <c r="BA496" s="39"/>
      <c r="BB496" s="40" t="str">
        <f aca="false">IF(OR(BA496="",CD496=""),"",BA496/CD496*100)</f>
        <v/>
      </c>
      <c r="BC496" s="41" t="str">
        <f aca="false">IF(BB496="","",IFERROR(MATCH(BB496,INDEX(Boundaries!$B$2:$I$30,MATCH(CR496,Boundaries!$A$2:$A$30,0),0),1)-1,""))</f>
        <v/>
      </c>
      <c r="BD496" s="42" t="str">
        <f aca="false">IF(OR(BC496="",$E496=""),"",BC496-$E496)</f>
        <v/>
      </c>
      <c r="BE496" s="39"/>
      <c r="BF496" s="40" t="str">
        <f aca="false">IF(OR(BE496="",CE496=""),"",BE496/CE496*100)</f>
        <v/>
      </c>
      <c r="BG496" s="41" t="str">
        <f aca="false">IF(BF496="","",IFERROR(MATCH(BF496,INDEX(Boundaries!$B$2:$I$30,MATCH(CS496,Boundaries!$A$2:$A$30,0),0),1)-1,""))</f>
        <v/>
      </c>
      <c r="BH496" s="42" t="str">
        <f aca="false">IF(OR(BG496="",$E496=""),"",BG496-$E496)</f>
        <v/>
      </c>
      <c r="BI496" s="39"/>
      <c r="BJ496" s="40" t="str">
        <f aca="false">IF(OR(BI496="",CF496=""),"",BI496/CF496*100)</f>
        <v/>
      </c>
      <c r="BK496" s="41" t="str">
        <f aca="false">IF(BJ496="","",IFERROR(MATCH(BJ496,INDEX(Boundaries!$B$2:$I$30,MATCH(CT496,Boundaries!$A$2:$A$30,0),0),1)-1,""))</f>
        <v/>
      </c>
      <c r="BL496" s="42" t="str">
        <f aca="false">IF(OR(BK496="",$E496=""),"",BK496-$E496)</f>
        <v/>
      </c>
      <c r="BM496" s="39"/>
      <c r="BN496" s="40" t="str">
        <f aca="false">IF(OR(BM496="",CG496=""),"",BM496/CG496*100)</f>
        <v/>
      </c>
      <c r="BO496" s="41" t="str">
        <f aca="false">IF(BN496="","",IFERROR(MATCH(BN496,INDEX(Boundaries!$B$2:$I$30,MATCH(CU496,Boundaries!$A$2:$A$30,0),0),1)-1,""))</f>
        <v/>
      </c>
      <c r="BP496" s="42" t="str">
        <f aca="false">IF(OR(BO496="",$E496=""),"",BO496-$E496)</f>
        <v/>
      </c>
      <c r="BQ496" s="39"/>
      <c r="BR496" s="40" t="str">
        <f aca="false">IF(OR(BQ496="",CH496=""),"",BQ496/CH496*100)</f>
        <v/>
      </c>
      <c r="BS496" s="41" t="str">
        <f aca="false">IF(BR496="","",IFERROR(MATCH(BR496,INDEX(Boundaries!$B$2:$I$30,MATCH(CV496,Boundaries!$A$2:$A$30,0),0),1)-1,""))</f>
        <v/>
      </c>
      <c r="BT496" s="42" t="str">
        <f aca="false">IF(OR(BS496="",$E496=""),"",BS496-$E496)</f>
        <v/>
      </c>
      <c r="BU496" s="28" t="str">
        <f aca="false">IFERROR(INDEX(Assessments!$H$2:$H$600,MATCH($H496&amp;"|"&amp;$I496&amp;"|"&amp;$J496&amp;"|"&amp;1,Assessments!$A$2:$A$600,0)),"")</f>
        <v/>
      </c>
      <c r="BV496" s="28" t="str">
        <f aca="false">IFERROR(INDEX(Assessments!$H$2:$H$600,MATCH($H496&amp;"|"&amp;$I496&amp;"|"&amp;$J496&amp;"|"&amp;2,Assessments!$A$2:$A$600,0)),"")</f>
        <v/>
      </c>
      <c r="BW496" s="28" t="str">
        <f aca="false">IFERROR(INDEX(Assessments!$H$2:$H$600,MATCH($H496&amp;"|"&amp;$I496&amp;"|"&amp;$J496&amp;"|"&amp;3,Assessments!$A$2:$A$600,0)),"")</f>
        <v/>
      </c>
      <c r="BX496" s="28" t="str">
        <f aca="false">IFERROR(INDEX(Assessments!$H$2:$H$600,MATCH($H496&amp;"|"&amp;$I496&amp;"|"&amp;$J496&amp;"|"&amp;4,Assessments!$A$2:$A$600,0)),"")</f>
        <v/>
      </c>
      <c r="BY496" s="28" t="str">
        <f aca="false">IFERROR(INDEX(Assessments!$H$2:$H$600,MATCH($H496&amp;"|"&amp;$I496&amp;"|"&amp;$J496&amp;"|"&amp;5,Assessments!$A$2:$A$600,0)),"")</f>
        <v/>
      </c>
      <c r="BZ496" s="28" t="str">
        <f aca="false">IFERROR(INDEX(Assessments!$H$2:$H$600,MATCH($H496&amp;"|"&amp;$I496&amp;"|"&amp;$J496&amp;"|"&amp;6,Assessments!$A$2:$A$600,0)),"")</f>
        <v/>
      </c>
      <c r="CA496" s="28" t="str">
        <f aca="false">IFERROR(INDEX(Assessments!$H$2:$H$600,MATCH($H496&amp;"|"&amp;$I496&amp;"|"&amp;$J496&amp;"|"&amp;7,Assessments!$A$2:$A$600,0)),"")</f>
        <v/>
      </c>
      <c r="CB496" s="28" t="str">
        <f aca="false">IFERROR(INDEX(Assessments!$H$2:$H$600,MATCH($H496&amp;"|"&amp;$I496&amp;"|"&amp;$J496&amp;"|"&amp;8,Assessments!$A$2:$A$600,0)),"")</f>
        <v/>
      </c>
      <c r="CC496" s="28" t="str">
        <f aca="false">IFERROR(INDEX(Assessments!$H$2:$H$600,MATCH($H496&amp;"|"&amp;$I496&amp;"|"&amp;$J496&amp;"|"&amp;9,Assessments!$A$2:$A$600,0)),"")</f>
        <v/>
      </c>
      <c r="CD496" s="28" t="str">
        <f aca="false">IFERROR(INDEX(Assessments!$H$2:$H$600,MATCH($H496&amp;"|"&amp;$I496&amp;"|"&amp;$J496&amp;"|"&amp;10,Assessments!$A$2:$A$600,0)),"")</f>
        <v/>
      </c>
      <c r="CE496" s="28" t="str">
        <f aca="false">IFERROR(INDEX(Assessments!$H$2:$H$600,MATCH($H496&amp;"|"&amp;$I496&amp;"|"&amp;$J496&amp;"|"&amp;11,Assessments!$A$2:$A$600,0)),"")</f>
        <v/>
      </c>
      <c r="CF496" s="28" t="str">
        <f aca="false">IFERROR(INDEX(Assessments!$H$2:$H$600,MATCH($H496&amp;"|"&amp;$I496&amp;"|"&amp;$J496&amp;"|"&amp;12,Assessments!$A$2:$A$600,0)),"")</f>
        <v/>
      </c>
      <c r="CG496" s="28" t="str">
        <f aca="false">IFERROR(INDEX(Assessments!$H$2:$H$600,MATCH($H496&amp;"|"&amp;$I496&amp;"|"&amp;$J496&amp;"|"&amp;13,Assessments!$A$2:$A$600,0)),"")</f>
        <v/>
      </c>
      <c r="CH496" s="28" t="str">
        <f aca="false">IFERROR(INDEX(Assessments!$H$2:$H$600,MATCH($H496&amp;"|"&amp;$I496&amp;"|"&amp;$J496&amp;"|"&amp;14,Assessments!$A$2:$A$600,0)),"")</f>
        <v/>
      </c>
      <c r="CI496" s="28" t="str">
        <f aca="false">IFERROR(INDEX(Assessments!$I$2:$I$600,MATCH($H496&amp;"|"&amp;$I496&amp;"|"&amp;$J496&amp;"|"&amp;1,Assessments!$A$2:$A$600,0)),"")</f>
        <v/>
      </c>
      <c r="CJ496" s="28" t="str">
        <f aca="false">IFERROR(INDEX(Assessments!$I$2:$I$600,MATCH($H496&amp;"|"&amp;$I496&amp;"|"&amp;$J496&amp;"|"&amp;2,Assessments!$A$2:$A$600,0)),"")</f>
        <v/>
      </c>
      <c r="CK496" s="28" t="str">
        <f aca="false">IFERROR(INDEX(Assessments!$I$2:$I$600,MATCH($H496&amp;"|"&amp;$I496&amp;"|"&amp;$J496&amp;"|"&amp;3,Assessments!$A$2:$A$600,0)),"")</f>
        <v/>
      </c>
      <c r="CL496" s="28" t="str">
        <f aca="false">IFERROR(INDEX(Assessments!$I$2:$I$600,MATCH($H496&amp;"|"&amp;$I496&amp;"|"&amp;$J496&amp;"|"&amp;4,Assessments!$A$2:$A$600,0)),"")</f>
        <v/>
      </c>
      <c r="CM496" s="28" t="str">
        <f aca="false">IFERROR(INDEX(Assessments!$I$2:$I$600,MATCH($H496&amp;"|"&amp;$I496&amp;"|"&amp;$J496&amp;"|"&amp;5,Assessments!$A$2:$A$600,0)),"")</f>
        <v/>
      </c>
      <c r="CN496" s="28" t="str">
        <f aca="false">IFERROR(INDEX(Assessments!$I$2:$I$600,MATCH($H496&amp;"|"&amp;$I496&amp;"|"&amp;$J496&amp;"|"&amp;6,Assessments!$A$2:$A$600,0)),"")</f>
        <v/>
      </c>
      <c r="CO496" s="28" t="str">
        <f aca="false">IFERROR(INDEX(Assessments!$I$2:$I$600,MATCH($H496&amp;"|"&amp;$I496&amp;"|"&amp;$J496&amp;"|"&amp;7,Assessments!$A$2:$A$600,0)),"")</f>
        <v/>
      </c>
      <c r="CP496" s="28" t="str">
        <f aca="false">IFERROR(INDEX(Assessments!$I$2:$I$600,MATCH($H496&amp;"|"&amp;$I496&amp;"|"&amp;$J496&amp;"|"&amp;8,Assessments!$A$2:$A$600,0)),"")</f>
        <v/>
      </c>
      <c r="CQ496" s="28" t="str">
        <f aca="false">IFERROR(INDEX(Assessments!$I$2:$I$600,MATCH($H496&amp;"|"&amp;$I496&amp;"|"&amp;$J496&amp;"|"&amp;9,Assessments!$A$2:$A$600,0)),"")</f>
        <v/>
      </c>
      <c r="CR496" s="28" t="str">
        <f aca="false">IFERROR(INDEX(Assessments!$I$2:$I$600,MATCH($H496&amp;"|"&amp;$I496&amp;"|"&amp;$J496&amp;"|"&amp;10,Assessments!$A$2:$A$600,0)),"")</f>
        <v/>
      </c>
      <c r="CS496" s="28" t="str">
        <f aca="false">IFERROR(INDEX(Assessments!$I$2:$I$600,MATCH($H496&amp;"|"&amp;$I496&amp;"|"&amp;$J496&amp;"|"&amp;11,Assessments!$A$2:$A$600,0)),"")</f>
        <v/>
      </c>
      <c r="CT496" s="28" t="str">
        <f aca="false">IFERROR(INDEX(Assessments!$I$2:$I$600,MATCH($H496&amp;"|"&amp;$I496&amp;"|"&amp;$J496&amp;"|"&amp;12,Assessments!$A$2:$A$600,0)),"")</f>
        <v/>
      </c>
      <c r="CU496" s="28" t="str">
        <f aca="false">IFERROR(INDEX(Assessments!$I$2:$I$600,MATCH($H496&amp;"|"&amp;$I496&amp;"|"&amp;$J496&amp;"|"&amp;13,Assessments!$A$2:$A$600,0)),"")</f>
        <v/>
      </c>
      <c r="CV496" s="28" t="str">
        <f aca="false">IFERROR(INDEX(Assessments!$I$2:$I$600,MATCH($H496&amp;"|"&amp;$I496&amp;"|"&amp;$J496&amp;"|"&amp;14,Assessments!$A$2:$A$600,0)),"")</f>
        <v/>
      </c>
      <c r="CW496" s="28" t="n">
        <f aca="false">IFERROR(INDEX(Assessments!$J$2:$J$600,MATCH($H496&amp;"|"&amp;$I496&amp;"|"&amp;$J496&amp;"|"&amp;1,Assessments!$A$2:$A$600,0)),0)</f>
        <v>0</v>
      </c>
      <c r="CX496" s="28" t="n">
        <f aca="false">IFERROR(INDEX(Assessments!$J$2:$J$600,MATCH($H496&amp;"|"&amp;$I496&amp;"|"&amp;$J496&amp;"|"&amp;2,Assessments!$A$2:$A$600,0)),0)</f>
        <v>0</v>
      </c>
      <c r="CY496" s="28" t="n">
        <f aca="false">IFERROR(INDEX(Assessments!$J$2:$J$600,MATCH($H496&amp;"|"&amp;$I496&amp;"|"&amp;$J496&amp;"|"&amp;3,Assessments!$A$2:$A$600,0)),0)</f>
        <v>0</v>
      </c>
      <c r="CZ496" s="28" t="n">
        <f aca="false">IFERROR(INDEX(Assessments!$J$2:$J$600,MATCH($H496&amp;"|"&amp;$I496&amp;"|"&amp;$J496&amp;"|"&amp;4,Assessments!$A$2:$A$600,0)),0)</f>
        <v>0</v>
      </c>
      <c r="DA496" s="28" t="n">
        <f aca="false">IFERROR(INDEX(Assessments!$J$2:$J$600,MATCH($H496&amp;"|"&amp;$I496&amp;"|"&amp;$J496&amp;"|"&amp;5,Assessments!$A$2:$A$600,0)),0)</f>
        <v>0</v>
      </c>
      <c r="DB496" s="28" t="n">
        <f aca="false">IFERROR(INDEX(Assessments!$J$2:$J$600,MATCH($H496&amp;"|"&amp;$I496&amp;"|"&amp;$J496&amp;"|"&amp;6,Assessments!$A$2:$A$600,0)),0)</f>
        <v>0</v>
      </c>
      <c r="DC496" s="28" t="n">
        <f aca="false">IFERROR(INDEX(Assessments!$J$2:$J$600,MATCH($H496&amp;"|"&amp;$I496&amp;"|"&amp;$J496&amp;"|"&amp;7,Assessments!$A$2:$A$600,0)),0)</f>
        <v>0</v>
      </c>
      <c r="DD496" s="28" t="n">
        <f aca="false">IFERROR(INDEX(Assessments!$J$2:$J$600,MATCH($H496&amp;"|"&amp;$I496&amp;"|"&amp;$J496&amp;"|"&amp;8,Assessments!$A$2:$A$600,0)),0)</f>
        <v>0</v>
      </c>
      <c r="DE496" s="28" t="n">
        <f aca="false">IFERROR(INDEX(Assessments!$J$2:$J$600,MATCH($H496&amp;"|"&amp;$I496&amp;"|"&amp;$J496&amp;"|"&amp;9,Assessments!$A$2:$A$600,0)),0)</f>
        <v>0</v>
      </c>
      <c r="DF496" s="28" t="n">
        <f aca="false">IFERROR(INDEX(Assessments!$J$2:$J$600,MATCH($H496&amp;"|"&amp;$I496&amp;"|"&amp;$J496&amp;"|"&amp;10,Assessments!$A$2:$A$600,0)),0)</f>
        <v>0</v>
      </c>
      <c r="DG496" s="28" t="n">
        <f aca="false">IFERROR(INDEX(Assessments!$J$2:$J$600,MATCH($H496&amp;"|"&amp;$I496&amp;"|"&amp;$J496&amp;"|"&amp;11,Assessments!$A$2:$A$600,0)),0)</f>
        <v>0</v>
      </c>
      <c r="DH496" s="28" t="n">
        <f aca="false">IFERROR(INDEX(Assessments!$J$2:$J$600,MATCH($H496&amp;"|"&amp;$I496&amp;"|"&amp;$J496&amp;"|"&amp;12,Assessments!$A$2:$A$600,0)),0)</f>
        <v>0</v>
      </c>
      <c r="DI496" s="28" t="n">
        <f aca="false">IFERROR(INDEX(Assessments!$J$2:$J$600,MATCH($H496&amp;"|"&amp;$I496&amp;"|"&amp;$J496&amp;"|"&amp;13,Assessments!$A$2:$A$600,0)),0)</f>
        <v>0</v>
      </c>
      <c r="DJ496" s="28" t="n">
        <f aca="false">IFERROR(INDEX(Assessments!$J$2:$J$600,MATCH($H496&amp;"|"&amp;$I496&amp;"|"&amp;$J496&amp;"|"&amp;14,Assessments!$A$2:$A$600,0)),0)</f>
        <v>0</v>
      </c>
      <c r="DK496" s="28" t="str">
        <f aca="false">S496</f>
        <v/>
      </c>
      <c r="DL496" s="28" t="str">
        <f aca="false">W496</f>
        <v/>
      </c>
      <c r="DM496" s="28" t="str">
        <f aca="false">AA496</f>
        <v/>
      </c>
      <c r="DN496" s="28" t="str">
        <f aca="false">AE496</f>
        <v/>
      </c>
      <c r="DO496" s="28" t="str">
        <f aca="false">AI496</f>
        <v/>
      </c>
      <c r="DP496" s="28" t="str">
        <f aca="false">AM496</f>
        <v/>
      </c>
      <c r="DQ496" s="28" t="str">
        <f aca="false">AQ496</f>
        <v/>
      </c>
      <c r="DR496" s="28" t="str">
        <f aca="false">AU496</f>
        <v/>
      </c>
      <c r="DS496" s="28" t="str">
        <f aca="false">AY496</f>
        <v/>
      </c>
      <c r="DT496" s="28" t="str">
        <f aca="false">BC496</f>
        <v/>
      </c>
      <c r="DU496" s="28" t="str">
        <f aca="false">BG496</f>
        <v/>
      </c>
      <c r="DV496" s="28" t="str">
        <f aca="false">BK496</f>
        <v/>
      </c>
      <c r="DW496" s="28" t="str">
        <f aca="false">BO496</f>
        <v/>
      </c>
      <c r="DX496" s="28" t="str">
        <f aca="false">BS496</f>
        <v/>
      </c>
      <c r="DY496" s="28" t="str">
        <f aca="false">IF(ISNUMBER(S496),1,"")</f>
        <v/>
      </c>
      <c r="DZ496" s="28" t="str">
        <f aca="false">IF(ISNUMBER(W496),2,"")</f>
        <v/>
      </c>
      <c r="EA496" s="28" t="str">
        <f aca="false">IF(ISNUMBER(AA496),3,"")</f>
        <v/>
      </c>
      <c r="EB496" s="28" t="str">
        <f aca="false">IF(ISNUMBER(AE496),4,"")</f>
        <v/>
      </c>
      <c r="EC496" s="28" t="str">
        <f aca="false">IF(ISNUMBER(AI496),5,"")</f>
        <v/>
      </c>
      <c r="ED496" s="28" t="str">
        <f aca="false">IF(ISNUMBER(AM496),6,"")</f>
        <v/>
      </c>
      <c r="EE496" s="28" t="str">
        <f aca="false">IF(ISNUMBER(AQ496),7,"")</f>
        <v/>
      </c>
      <c r="EF496" s="28" t="str">
        <f aca="false">IF(ISNUMBER(AU496),8,"")</f>
        <v/>
      </c>
      <c r="EG496" s="28" t="str">
        <f aca="false">IF(ISNUMBER(AY496),9,"")</f>
        <v/>
      </c>
      <c r="EH496" s="28" t="str">
        <f aca="false">IF(ISNUMBER(BC496),10,"")</f>
        <v/>
      </c>
      <c r="EI496" s="28" t="str">
        <f aca="false">IF(ISNUMBER(BG496),11,"")</f>
        <v/>
      </c>
      <c r="EJ496" s="28" t="str">
        <f aca="false">IF(ISNUMBER(BK496),12,"")</f>
        <v/>
      </c>
      <c r="EK496" s="28" t="str">
        <f aca="false">IF(ISNUMBER(BO496),13,"")</f>
        <v/>
      </c>
      <c r="EL496" s="28" t="str">
        <f aca="false">IF(ISNUMBER(BS496),14,"")</f>
        <v/>
      </c>
      <c r="EM496" s="28" t="n">
        <f aca="false">IF(ISNUMBER(R496),R496*CW496,0)</f>
        <v>0</v>
      </c>
      <c r="EN496" s="28" t="n">
        <f aca="false">IF(ISNUMBER(V496),V496*CX496,0)</f>
        <v>0</v>
      </c>
      <c r="EO496" s="28" t="n">
        <f aca="false">IF(ISNUMBER(Z496),Z496*CY496,0)</f>
        <v>0</v>
      </c>
      <c r="EP496" s="28" t="n">
        <f aca="false">IF(ISNUMBER(AD496),AD496*CZ496,0)</f>
        <v>0</v>
      </c>
      <c r="EQ496" s="28" t="n">
        <f aca="false">IF(ISNUMBER(AH496),AH496*DA496,0)</f>
        <v>0</v>
      </c>
      <c r="ER496" s="28" t="n">
        <f aca="false">IF(ISNUMBER(AL496),AL496*DB496,0)</f>
        <v>0</v>
      </c>
      <c r="ES496" s="28" t="n">
        <f aca="false">IF(ISNUMBER(AP496),AP496*DC496,0)</f>
        <v>0</v>
      </c>
      <c r="ET496" s="28" t="n">
        <f aca="false">IF(ISNUMBER(AT496),AT496*DD496,0)</f>
        <v>0</v>
      </c>
      <c r="EU496" s="28" t="n">
        <f aca="false">IF(ISNUMBER(AX496),AX496*DE496,0)</f>
        <v>0</v>
      </c>
      <c r="EV496" s="28" t="n">
        <f aca="false">IF(ISNUMBER(BB496),BB496*DF496,0)</f>
        <v>0</v>
      </c>
      <c r="EW496" s="28" t="n">
        <f aca="false">IF(ISNUMBER(BF496),BF496*DG496,0)</f>
        <v>0</v>
      </c>
      <c r="EX496" s="28" t="n">
        <f aca="false">IF(ISNUMBER(BJ496),BJ496*DH496,0)</f>
        <v>0</v>
      </c>
      <c r="EY496" s="28" t="n">
        <f aca="false">IF(ISNUMBER(BN496),BN496*DI496,0)</f>
        <v>0</v>
      </c>
      <c r="EZ496" s="28" t="n">
        <f aca="false">IF(ISNUMBER(BR496),BR496*DJ496,0)</f>
        <v>0</v>
      </c>
      <c r="FA496" s="28" t="n">
        <f aca="false">IF(ISNUMBER(R496),CW496,0)</f>
        <v>0</v>
      </c>
      <c r="FB496" s="28" t="n">
        <f aca="false">IF(ISNUMBER(V496),CX496,0)</f>
        <v>0</v>
      </c>
      <c r="FC496" s="28" t="n">
        <f aca="false">IF(ISNUMBER(Z496),CY496,0)</f>
        <v>0</v>
      </c>
      <c r="FD496" s="28" t="n">
        <f aca="false">IF(ISNUMBER(AD496),CZ496,0)</f>
        <v>0</v>
      </c>
      <c r="FE496" s="28" t="n">
        <f aca="false">IF(ISNUMBER(AH496),DA496,0)</f>
        <v>0</v>
      </c>
      <c r="FF496" s="28" t="n">
        <f aca="false">IF(ISNUMBER(AL496),DB496,0)</f>
        <v>0</v>
      </c>
      <c r="FG496" s="28" t="n">
        <f aca="false">IF(ISNUMBER(AP496),DC496,0)</f>
        <v>0</v>
      </c>
      <c r="FH496" s="28" t="n">
        <f aca="false">IF(ISNUMBER(AT496),DD496,0)</f>
        <v>0</v>
      </c>
      <c r="FI496" s="28" t="n">
        <f aca="false">IF(ISNUMBER(AX496),DE496,0)</f>
        <v>0</v>
      </c>
      <c r="FJ496" s="28" t="n">
        <f aca="false">IF(ISNUMBER(BB496),DF496,0)</f>
        <v>0</v>
      </c>
      <c r="FK496" s="28" t="n">
        <f aca="false">IF(ISNUMBER(BF496),DG496,0)</f>
        <v>0</v>
      </c>
      <c r="FL496" s="28" t="n">
        <f aca="false">IF(ISNUMBER(BJ496),DH496,0)</f>
        <v>0</v>
      </c>
      <c r="FM496" s="28" t="n">
        <f aca="false">IF(ISNUMBER(BN496),DI496,0)</f>
        <v>0</v>
      </c>
      <c r="FN496" s="28" t="n">
        <f aca="false">IF(ISNUMBER(BR496),DJ496,0)</f>
        <v>0</v>
      </c>
      <c r="FO496" s="28" t="str">
        <f aca="false">IFERROR(INDEX(Lists!$G$2:$G$20,MATCH($I496&amp;"|"&amp;$J496,Lists!$F$2:$F$20,0)),"")</f>
        <v/>
      </c>
    </row>
    <row r="497" customFormat="false" ht="19.5" hidden="false" customHeight="true" outlineLevel="0" collapsed="false">
      <c r="A497" s="29"/>
      <c r="B497" s="29"/>
      <c r="C497" s="30"/>
      <c r="D497" s="30"/>
      <c r="E497" s="31"/>
      <c r="F497" s="30"/>
      <c r="G497" s="30"/>
      <c r="H497" s="32"/>
      <c r="I497" s="33"/>
      <c r="J497" s="32"/>
      <c r="K497" s="34" t="str">
        <f aca="false">IF(OR(M497="",$E497=""),"",M497-$E497)</f>
        <v/>
      </c>
      <c r="L497" s="35" t="str">
        <f aca="false">IF(SUM(FA497:FN497)=0,"",SUM(EM497:EZ497)/SUM(FA497:FN497))</f>
        <v/>
      </c>
      <c r="M497" s="36" t="str">
        <f aca="false">IF(OR(L497="",FO497=""),"",IFERROR(MATCH(L497,INDEX(Boundaries!$B$2:$I$30,MATCH(FO497,Boundaries!$A$2:$A$30,0),0),1)-1,""))</f>
        <v/>
      </c>
      <c r="N497" s="37" t="str">
        <f aca="false">IF(COUNT($DY497:$EL497)&lt;2,"",INDEX($DK497:$DX497,MAX($DY497:$EL497))-INDEX($DK497:$DX497,MIN($DY497:$EL497)))</f>
        <v/>
      </c>
      <c r="O497" s="37" t="str">
        <f aca="false">IF(COUNT($DY497:$EL497)&lt;2,"",INDEX($DK497:$DX497,MAX($DY497:$EL497))-INDEX($DK497:$DX497,LARGE($DY497:$EL497,2)))</f>
        <v/>
      </c>
      <c r="P497" s="38" t="str">
        <f aca="false">IF(K497="","",IF(K497&gt;=0,"On/above target",IF(AND(N497&lt;&gt;"",N497&gt;=0.5),"Improving towards target",IF(AND(O497&lt;&gt;"",O497&lt;=-0.5),"Declining","Stable below target"))))</f>
        <v/>
      </c>
      <c r="Q497" s="39"/>
      <c r="R497" s="40" t="str">
        <f aca="false">IF(OR(Q497="",BU497=""),"",Q497/BU497*100)</f>
        <v/>
      </c>
      <c r="S497" s="41" t="str">
        <f aca="false">IF(R497="","",IFERROR(MATCH(R497,INDEX(Boundaries!$B$2:$I$30,MATCH(CI497,Boundaries!$A$2:$A$30,0),0),1)-1,""))</f>
        <v/>
      </c>
      <c r="T497" s="42" t="str">
        <f aca="false">IF(OR(S497="",$E497=""),"",S497-$E497)</f>
        <v/>
      </c>
      <c r="U497" s="39"/>
      <c r="V497" s="40" t="str">
        <f aca="false">IF(OR(U497="",BV497=""),"",U497/BV497*100)</f>
        <v/>
      </c>
      <c r="W497" s="41" t="str">
        <f aca="false">IF(V497="","",IFERROR(MATCH(V497,INDEX(Boundaries!$B$2:$I$30,MATCH(CJ497,Boundaries!$A$2:$A$30,0),0),1)-1,""))</f>
        <v/>
      </c>
      <c r="X497" s="42" t="str">
        <f aca="false">IF(OR(W497="",$E497=""),"",W497-$E497)</f>
        <v/>
      </c>
      <c r="Y497" s="39"/>
      <c r="Z497" s="40" t="str">
        <f aca="false">IF(OR(Y497="",BW497=""),"",Y497/BW497*100)</f>
        <v/>
      </c>
      <c r="AA497" s="41" t="str">
        <f aca="false">IF(Z497="","",IFERROR(MATCH(Z497,INDEX(Boundaries!$B$2:$I$30,MATCH(CK497,Boundaries!$A$2:$A$30,0),0),1)-1,""))</f>
        <v/>
      </c>
      <c r="AB497" s="42" t="str">
        <f aca="false">IF(OR(AA497="",$E497=""),"",AA497-$E497)</f>
        <v/>
      </c>
      <c r="AC497" s="39"/>
      <c r="AD497" s="40" t="str">
        <f aca="false">IF(OR(AC497="",BX497=""),"",AC497/BX497*100)</f>
        <v/>
      </c>
      <c r="AE497" s="41" t="str">
        <f aca="false">IF(AD497="","",IFERROR(MATCH(AD497,INDEX(Boundaries!$B$2:$I$30,MATCH(CL497,Boundaries!$A$2:$A$30,0),0),1)-1,""))</f>
        <v/>
      </c>
      <c r="AF497" s="42" t="str">
        <f aca="false">IF(OR(AE497="",$E497=""),"",AE497-$E497)</f>
        <v/>
      </c>
      <c r="AG497" s="39"/>
      <c r="AH497" s="40" t="str">
        <f aca="false">IF(OR(AG497="",BY497=""),"",AG497/BY497*100)</f>
        <v/>
      </c>
      <c r="AI497" s="41" t="str">
        <f aca="false">IF(AH497="","",IFERROR(MATCH(AH497,INDEX(Boundaries!$B$2:$I$30,MATCH(CM497,Boundaries!$A$2:$A$30,0),0),1)-1,""))</f>
        <v/>
      </c>
      <c r="AJ497" s="42" t="str">
        <f aca="false">IF(OR(AI497="",$E497=""),"",AI497-$E497)</f>
        <v/>
      </c>
      <c r="AK497" s="39"/>
      <c r="AL497" s="40" t="str">
        <f aca="false">IF(OR(AK497="",BZ497=""),"",AK497/BZ497*100)</f>
        <v/>
      </c>
      <c r="AM497" s="41" t="str">
        <f aca="false">IF(AL497="","",IFERROR(MATCH(AL497,INDEX(Boundaries!$B$2:$I$30,MATCH(CN497,Boundaries!$A$2:$A$30,0),0),1)-1,""))</f>
        <v/>
      </c>
      <c r="AN497" s="42" t="str">
        <f aca="false">IF(OR(AM497="",$E497=""),"",AM497-$E497)</f>
        <v/>
      </c>
      <c r="AO497" s="39"/>
      <c r="AP497" s="40" t="str">
        <f aca="false">IF(OR(AO497="",CA497=""),"",AO497/CA497*100)</f>
        <v/>
      </c>
      <c r="AQ497" s="41" t="str">
        <f aca="false">IF(AP497="","",IFERROR(MATCH(AP497,INDEX(Boundaries!$B$2:$I$30,MATCH(CO497,Boundaries!$A$2:$A$30,0),0),1)-1,""))</f>
        <v/>
      </c>
      <c r="AR497" s="42" t="str">
        <f aca="false">IF(OR(AQ497="",$E497=""),"",AQ497-$E497)</f>
        <v/>
      </c>
      <c r="AS497" s="39"/>
      <c r="AT497" s="40" t="str">
        <f aca="false">IF(OR(AS497="",CB497=""),"",AS497/CB497*100)</f>
        <v/>
      </c>
      <c r="AU497" s="41" t="str">
        <f aca="false">IF(AT497="","",IFERROR(MATCH(AT497,INDEX(Boundaries!$B$2:$I$30,MATCH(CP497,Boundaries!$A$2:$A$30,0),0),1)-1,""))</f>
        <v/>
      </c>
      <c r="AV497" s="42" t="str">
        <f aca="false">IF(OR(AU497="",$E497=""),"",AU497-$E497)</f>
        <v/>
      </c>
      <c r="AW497" s="39"/>
      <c r="AX497" s="40" t="str">
        <f aca="false">IF(OR(AW497="",CC497=""),"",AW497/CC497*100)</f>
        <v/>
      </c>
      <c r="AY497" s="41" t="str">
        <f aca="false">IF(AX497="","",IFERROR(MATCH(AX497,INDEX(Boundaries!$B$2:$I$30,MATCH(CQ497,Boundaries!$A$2:$A$30,0),0),1)-1,""))</f>
        <v/>
      </c>
      <c r="AZ497" s="42" t="str">
        <f aca="false">IF(OR(AY497="",$E497=""),"",AY497-$E497)</f>
        <v/>
      </c>
      <c r="BA497" s="39"/>
      <c r="BB497" s="40" t="str">
        <f aca="false">IF(OR(BA497="",CD497=""),"",BA497/CD497*100)</f>
        <v/>
      </c>
      <c r="BC497" s="41" t="str">
        <f aca="false">IF(BB497="","",IFERROR(MATCH(BB497,INDEX(Boundaries!$B$2:$I$30,MATCH(CR497,Boundaries!$A$2:$A$30,0),0),1)-1,""))</f>
        <v/>
      </c>
      <c r="BD497" s="42" t="str">
        <f aca="false">IF(OR(BC497="",$E497=""),"",BC497-$E497)</f>
        <v/>
      </c>
      <c r="BE497" s="39"/>
      <c r="BF497" s="40" t="str">
        <f aca="false">IF(OR(BE497="",CE497=""),"",BE497/CE497*100)</f>
        <v/>
      </c>
      <c r="BG497" s="41" t="str">
        <f aca="false">IF(BF497="","",IFERROR(MATCH(BF497,INDEX(Boundaries!$B$2:$I$30,MATCH(CS497,Boundaries!$A$2:$A$30,0),0),1)-1,""))</f>
        <v/>
      </c>
      <c r="BH497" s="42" t="str">
        <f aca="false">IF(OR(BG497="",$E497=""),"",BG497-$E497)</f>
        <v/>
      </c>
      <c r="BI497" s="39"/>
      <c r="BJ497" s="40" t="str">
        <f aca="false">IF(OR(BI497="",CF497=""),"",BI497/CF497*100)</f>
        <v/>
      </c>
      <c r="BK497" s="41" t="str">
        <f aca="false">IF(BJ497="","",IFERROR(MATCH(BJ497,INDEX(Boundaries!$B$2:$I$30,MATCH(CT497,Boundaries!$A$2:$A$30,0),0),1)-1,""))</f>
        <v/>
      </c>
      <c r="BL497" s="42" t="str">
        <f aca="false">IF(OR(BK497="",$E497=""),"",BK497-$E497)</f>
        <v/>
      </c>
      <c r="BM497" s="39"/>
      <c r="BN497" s="40" t="str">
        <f aca="false">IF(OR(BM497="",CG497=""),"",BM497/CG497*100)</f>
        <v/>
      </c>
      <c r="BO497" s="41" t="str">
        <f aca="false">IF(BN497="","",IFERROR(MATCH(BN497,INDEX(Boundaries!$B$2:$I$30,MATCH(CU497,Boundaries!$A$2:$A$30,0),0),1)-1,""))</f>
        <v/>
      </c>
      <c r="BP497" s="42" t="str">
        <f aca="false">IF(OR(BO497="",$E497=""),"",BO497-$E497)</f>
        <v/>
      </c>
      <c r="BQ497" s="39"/>
      <c r="BR497" s="40" t="str">
        <f aca="false">IF(OR(BQ497="",CH497=""),"",BQ497/CH497*100)</f>
        <v/>
      </c>
      <c r="BS497" s="41" t="str">
        <f aca="false">IF(BR497="","",IFERROR(MATCH(BR497,INDEX(Boundaries!$B$2:$I$30,MATCH(CV497,Boundaries!$A$2:$A$30,0),0),1)-1,""))</f>
        <v/>
      </c>
      <c r="BT497" s="42" t="str">
        <f aca="false">IF(OR(BS497="",$E497=""),"",BS497-$E497)</f>
        <v/>
      </c>
      <c r="BU497" s="28" t="str">
        <f aca="false">IFERROR(INDEX(Assessments!$H$2:$H$600,MATCH($H497&amp;"|"&amp;$I497&amp;"|"&amp;$J497&amp;"|"&amp;1,Assessments!$A$2:$A$600,0)),"")</f>
        <v/>
      </c>
      <c r="BV497" s="28" t="str">
        <f aca="false">IFERROR(INDEX(Assessments!$H$2:$H$600,MATCH($H497&amp;"|"&amp;$I497&amp;"|"&amp;$J497&amp;"|"&amp;2,Assessments!$A$2:$A$600,0)),"")</f>
        <v/>
      </c>
      <c r="BW497" s="28" t="str">
        <f aca="false">IFERROR(INDEX(Assessments!$H$2:$H$600,MATCH($H497&amp;"|"&amp;$I497&amp;"|"&amp;$J497&amp;"|"&amp;3,Assessments!$A$2:$A$600,0)),"")</f>
        <v/>
      </c>
      <c r="BX497" s="28" t="str">
        <f aca="false">IFERROR(INDEX(Assessments!$H$2:$H$600,MATCH($H497&amp;"|"&amp;$I497&amp;"|"&amp;$J497&amp;"|"&amp;4,Assessments!$A$2:$A$600,0)),"")</f>
        <v/>
      </c>
      <c r="BY497" s="28" t="str">
        <f aca="false">IFERROR(INDEX(Assessments!$H$2:$H$600,MATCH($H497&amp;"|"&amp;$I497&amp;"|"&amp;$J497&amp;"|"&amp;5,Assessments!$A$2:$A$600,0)),"")</f>
        <v/>
      </c>
      <c r="BZ497" s="28" t="str">
        <f aca="false">IFERROR(INDEX(Assessments!$H$2:$H$600,MATCH($H497&amp;"|"&amp;$I497&amp;"|"&amp;$J497&amp;"|"&amp;6,Assessments!$A$2:$A$600,0)),"")</f>
        <v/>
      </c>
      <c r="CA497" s="28" t="str">
        <f aca="false">IFERROR(INDEX(Assessments!$H$2:$H$600,MATCH($H497&amp;"|"&amp;$I497&amp;"|"&amp;$J497&amp;"|"&amp;7,Assessments!$A$2:$A$600,0)),"")</f>
        <v/>
      </c>
      <c r="CB497" s="28" t="str">
        <f aca="false">IFERROR(INDEX(Assessments!$H$2:$H$600,MATCH($H497&amp;"|"&amp;$I497&amp;"|"&amp;$J497&amp;"|"&amp;8,Assessments!$A$2:$A$600,0)),"")</f>
        <v/>
      </c>
      <c r="CC497" s="28" t="str">
        <f aca="false">IFERROR(INDEX(Assessments!$H$2:$H$600,MATCH($H497&amp;"|"&amp;$I497&amp;"|"&amp;$J497&amp;"|"&amp;9,Assessments!$A$2:$A$600,0)),"")</f>
        <v/>
      </c>
      <c r="CD497" s="28" t="str">
        <f aca="false">IFERROR(INDEX(Assessments!$H$2:$H$600,MATCH($H497&amp;"|"&amp;$I497&amp;"|"&amp;$J497&amp;"|"&amp;10,Assessments!$A$2:$A$600,0)),"")</f>
        <v/>
      </c>
      <c r="CE497" s="28" t="str">
        <f aca="false">IFERROR(INDEX(Assessments!$H$2:$H$600,MATCH($H497&amp;"|"&amp;$I497&amp;"|"&amp;$J497&amp;"|"&amp;11,Assessments!$A$2:$A$600,0)),"")</f>
        <v/>
      </c>
      <c r="CF497" s="28" t="str">
        <f aca="false">IFERROR(INDEX(Assessments!$H$2:$H$600,MATCH($H497&amp;"|"&amp;$I497&amp;"|"&amp;$J497&amp;"|"&amp;12,Assessments!$A$2:$A$600,0)),"")</f>
        <v/>
      </c>
      <c r="CG497" s="28" t="str">
        <f aca="false">IFERROR(INDEX(Assessments!$H$2:$H$600,MATCH($H497&amp;"|"&amp;$I497&amp;"|"&amp;$J497&amp;"|"&amp;13,Assessments!$A$2:$A$600,0)),"")</f>
        <v/>
      </c>
      <c r="CH497" s="28" t="str">
        <f aca="false">IFERROR(INDEX(Assessments!$H$2:$H$600,MATCH($H497&amp;"|"&amp;$I497&amp;"|"&amp;$J497&amp;"|"&amp;14,Assessments!$A$2:$A$600,0)),"")</f>
        <v/>
      </c>
      <c r="CI497" s="28" t="str">
        <f aca="false">IFERROR(INDEX(Assessments!$I$2:$I$600,MATCH($H497&amp;"|"&amp;$I497&amp;"|"&amp;$J497&amp;"|"&amp;1,Assessments!$A$2:$A$600,0)),"")</f>
        <v/>
      </c>
      <c r="CJ497" s="28" t="str">
        <f aca="false">IFERROR(INDEX(Assessments!$I$2:$I$600,MATCH($H497&amp;"|"&amp;$I497&amp;"|"&amp;$J497&amp;"|"&amp;2,Assessments!$A$2:$A$600,0)),"")</f>
        <v/>
      </c>
      <c r="CK497" s="28" t="str">
        <f aca="false">IFERROR(INDEX(Assessments!$I$2:$I$600,MATCH($H497&amp;"|"&amp;$I497&amp;"|"&amp;$J497&amp;"|"&amp;3,Assessments!$A$2:$A$600,0)),"")</f>
        <v/>
      </c>
      <c r="CL497" s="28" t="str">
        <f aca="false">IFERROR(INDEX(Assessments!$I$2:$I$600,MATCH($H497&amp;"|"&amp;$I497&amp;"|"&amp;$J497&amp;"|"&amp;4,Assessments!$A$2:$A$600,0)),"")</f>
        <v/>
      </c>
      <c r="CM497" s="28" t="str">
        <f aca="false">IFERROR(INDEX(Assessments!$I$2:$I$600,MATCH($H497&amp;"|"&amp;$I497&amp;"|"&amp;$J497&amp;"|"&amp;5,Assessments!$A$2:$A$600,0)),"")</f>
        <v/>
      </c>
      <c r="CN497" s="28" t="str">
        <f aca="false">IFERROR(INDEX(Assessments!$I$2:$I$600,MATCH($H497&amp;"|"&amp;$I497&amp;"|"&amp;$J497&amp;"|"&amp;6,Assessments!$A$2:$A$600,0)),"")</f>
        <v/>
      </c>
      <c r="CO497" s="28" t="str">
        <f aca="false">IFERROR(INDEX(Assessments!$I$2:$I$600,MATCH($H497&amp;"|"&amp;$I497&amp;"|"&amp;$J497&amp;"|"&amp;7,Assessments!$A$2:$A$600,0)),"")</f>
        <v/>
      </c>
      <c r="CP497" s="28" t="str">
        <f aca="false">IFERROR(INDEX(Assessments!$I$2:$I$600,MATCH($H497&amp;"|"&amp;$I497&amp;"|"&amp;$J497&amp;"|"&amp;8,Assessments!$A$2:$A$600,0)),"")</f>
        <v/>
      </c>
      <c r="CQ497" s="28" t="str">
        <f aca="false">IFERROR(INDEX(Assessments!$I$2:$I$600,MATCH($H497&amp;"|"&amp;$I497&amp;"|"&amp;$J497&amp;"|"&amp;9,Assessments!$A$2:$A$600,0)),"")</f>
        <v/>
      </c>
      <c r="CR497" s="28" t="str">
        <f aca="false">IFERROR(INDEX(Assessments!$I$2:$I$600,MATCH($H497&amp;"|"&amp;$I497&amp;"|"&amp;$J497&amp;"|"&amp;10,Assessments!$A$2:$A$600,0)),"")</f>
        <v/>
      </c>
      <c r="CS497" s="28" t="str">
        <f aca="false">IFERROR(INDEX(Assessments!$I$2:$I$600,MATCH($H497&amp;"|"&amp;$I497&amp;"|"&amp;$J497&amp;"|"&amp;11,Assessments!$A$2:$A$600,0)),"")</f>
        <v/>
      </c>
      <c r="CT497" s="28" t="str">
        <f aca="false">IFERROR(INDEX(Assessments!$I$2:$I$600,MATCH($H497&amp;"|"&amp;$I497&amp;"|"&amp;$J497&amp;"|"&amp;12,Assessments!$A$2:$A$600,0)),"")</f>
        <v/>
      </c>
      <c r="CU497" s="28" t="str">
        <f aca="false">IFERROR(INDEX(Assessments!$I$2:$I$600,MATCH($H497&amp;"|"&amp;$I497&amp;"|"&amp;$J497&amp;"|"&amp;13,Assessments!$A$2:$A$600,0)),"")</f>
        <v/>
      </c>
      <c r="CV497" s="28" t="str">
        <f aca="false">IFERROR(INDEX(Assessments!$I$2:$I$600,MATCH($H497&amp;"|"&amp;$I497&amp;"|"&amp;$J497&amp;"|"&amp;14,Assessments!$A$2:$A$600,0)),"")</f>
        <v/>
      </c>
      <c r="CW497" s="28" t="n">
        <f aca="false">IFERROR(INDEX(Assessments!$J$2:$J$600,MATCH($H497&amp;"|"&amp;$I497&amp;"|"&amp;$J497&amp;"|"&amp;1,Assessments!$A$2:$A$600,0)),0)</f>
        <v>0</v>
      </c>
      <c r="CX497" s="28" t="n">
        <f aca="false">IFERROR(INDEX(Assessments!$J$2:$J$600,MATCH($H497&amp;"|"&amp;$I497&amp;"|"&amp;$J497&amp;"|"&amp;2,Assessments!$A$2:$A$600,0)),0)</f>
        <v>0</v>
      </c>
      <c r="CY497" s="28" t="n">
        <f aca="false">IFERROR(INDEX(Assessments!$J$2:$J$600,MATCH($H497&amp;"|"&amp;$I497&amp;"|"&amp;$J497&amp;"|"&amp;3,Assessments!$A$2:$A$600,0)),0)</f>
        <v>0</v>
      </c>
      <c r="CZ497" s="28" t="n">
        <f aca="false">IFERROR(INDEX(Assessments!$J$2:$J$600,MATCH($H497&amp;"|"&amp;$I497&amp;"|"&amp;$J497&amp;"|"&amp;4,Assessments!$A$2:$A$600,0)),0)</f>
        <v>0</v>
      </c>
      <c r="DA497" s="28" t="n">
        <f aca="false">IFERROR(INDEX(Assessments!$J$2:$J$600,MATCH($H497&amp;"|"&amp;$I497&amp;"|"&amp;$J497&amp;"|"&amp;5,Assessments!$A$2:$A$600,0)),0)</f>
        <v>0</v>
      </c>
      <c r="DB497" s="28" t="n">
        <f aca="false">IFERROR(INDEX(Assessments!$J$2:$J$600,MATCH($H497&amp;"|"&amp;$I497&amp;"|"&amp;$J497&amp;"|"&amp;6,Assessments!$A$2:$A$600,0)),0)</f>
        <v>0</v>
      </c>
      <c r="DC497" s="28" t="n">
        <f aca="false">IFERROR(INDEX(Assessments!$J$2:$J$600,MATCH($H497&amp;"|"&amp;$I497&amp;"|"&amp;$J497&amp;"|"&amp;7,Assessments!$A$2:$A$600,0)),0)</f>
        <v>0</v>
      </c>
      <c r="DD497" s="28" t="n">
        <f aca="false">IFERROR(INDEX(Assessments!$J$2:$J$600,MATCH($H497&amp;"|"&amp;$I497&amp;"|"&amp;$J497&amp;"|"&amp;8,Assessments!$A$2:$A$600,0)),0)</f>
        <v>0</v>
      </c>
      <c r="DE497" s="28" t="n">
        <f aca="false">IFERROR(INDEX(Assessments!$J$2:$J$600,MATCH($H497&amp;"|"&amp;$I497&amp;"|"&amp;$J497&amp;"|"&amp;9,Assessments!$A$2:$A$600,0)),0)</f>
        <v>0</v>
      </c>
      <c r="DF497" s="28" t="n">
        <f aca="false">IFERROR(INDEX(Assessments!$J$2:$J$600,MATCH($H497&amp;"|"&amp;$I497&amp;"|"&amp;$J497&amp;"|"&amp;10,Assessments!$A$2:$A$600,0)),0)</f>
        <v>0</v>
      </c>
      <c r="DG497" s="28" t="n">
        <f aca="false">IFERROR(INDEX(Assessments!$J$2:$J$600,MATCH($H497&amp;"|"&amp;$I497&amp;"|"&amp;$J497&amp;"|"&amp;11,Assessments!$A$2:$A$600,0)),0)</f>
        <v>0</v>
      </c>
      <c r="DH497" s="28" t="n">
        <f aca="false">IFERROR(INDEX(Assessments!$J$2:$J$600,MATCH($H497&amp;"|"&amp;$I497&amp;"|"&amp;$J497&amp;"|"&amp;12,Assessments!$A$2:$A$600,0)),0)</f>
        <v>0</v>
      </c>
      <c r="DI497" s="28" t="n">
        <f aca="false">IFERROR(INDEX(Assessments!$J$2:$J$600,MATCH($H497&amp;"|"&amp;$I497&amp;"|"&amp;$J497&amp;"|"&amp;13,Assessments!$A$2:$A$600,0)),0)</f>
        <v>0</v>
      </c>
      <c r="DJ497" s="28" t="n">
        <f aca="false">IFERROR(INDEX(Assessments!$J$2:$J$600,MATCH($H497&amp;"|"&amp;$I497&amp;"|"&amp;$J497&amp;"|"&amp;14,Assessments!$A$2:$A$600,0)),0)</f>
        <v>0</v>
      </c>
      <c r="DK497" s="28" t="str">
        <f aca="false">S497</f>
        <v/>
      </c>
      <c r="DL497" s="28" t="str">
        <f aca="false">W497</f>
        <v/>
      </c>
      <c r="DM497" s="28" t="str">
        <f aca="false">AA497</f>
        <v/>
      </c>
      <c r="DN497" s="28" t="str">
        <f aca="false">AE497</f>
        <v/>
      </c>
      <c r="DO497" s="28" t="str">
        <f aca="false">AI497</f>
        <v/>
      </c>
      <c r="DP497" s="28" t="str">
        <f aca="false">AM497</f>
        <v/>
      </c>
      <c r="DQ497" s="28" t="str">
        <f aca="false">AQ497</f>
        <v/>
      </c>
      <c r="DR497" s="28" t="str">
        <f aca="false">AU497</f>
        <v/>
      </c>
      <c r="DS497" s="28" t="str">
        <f aca="false">AY497</f>
        <v/>
      </c>
      <c r="DT497" s="28" t="str">
        <f aca="false">BC497</f>
        <v/>
      </c>
      <c r="DU497" s="28" t="str">
        <f aca="false">BG497</f>
        <v/>
      </c>
      <c r="DV497" s="28" t="str">
        <f aca="false">BK497</f>
        <v/>
      </c>
      <c r="DW497" s="28" t="str">
        <f aca="false">BO497</f>
        <v/>
      </c>
      <c r="DX497" s="28" t="str">
        <f aca="false">BS497</f>
        <v/>
      </c>
      <c r="DY497" s="28" t="str">
        <f aca="false">IF(ISNUMBER(S497),1,"")</f>
        <v/>
      </c>
      <c r="DZ497" s="28" t="str">
        <f aca="false">IF(ISNUMBER(W497),2,"")</f>
        <v/>
      </c>
      <c r="EA497" s="28" t="str">
        <f aca="false">IF(ISNUMBER(AA497),3,"")</f>
        <v/>
      </c>
      <c r="EB497" s="28" t="str">
        <f aca="false">IF(ISNUMBER(AE497),4,"")</f>
        <v/>
      </c>
      <c r="EC497" s="28" t="str">
        <f aca="false">IF(ISNUMBER(AI497),5,"")</f>
        <v/>
      </c>
      <c r="ED497" s="28" t="str">
        <f aca="false">IF(ISNUMBER(AM497),6,"")</f>
        <v/>
      </c>
      <c r="EE497" s="28" t="str">
        <f aca="false">IF(ISNUMBER(AQ497),7,"")</f>
        <v/>
      </c>
      <c r="EF497" s="28" t="str">
        <f aca="false">IF(ISNUMBER(AU497),8,"")</f>
        <v/>
      </c>
      <c r="EG497" s="28" t="str">
        <f aca="false">IF(ISNUMBER(AY497),9,"")</f>
        <v/>
      </c>
      <c r="EH497" s="28" t="str">
        <f aca="false">IF(ISNUMBER(BC497),10,"")</f>
        <v/>
      </c>
      <c r="EI497" s="28" t="str">
        <f aca="false">IF(ISNUMBER(BG497),11,"")</f>
        <v/>
      </c>
      <c r="EJ497" s="28" t="str">
        <f aca="false">IF(ISNUMBER(BK497),12,"")</f>
        <v/>
      </c>
      <c r="EK497" s="28" t="str">
        <f aca="false">IF(ISNUMBER(BO497),13,"")</f>
        <v/>
      </c>
      <c r="EL497" s="28" t="str">
        <f aca="false">IF(ISNUMBER(BS497),14,"")</f>
        <v/>
      </c>
      <c r="EM497" s="28" t="n">
        <f aca="false">IF(ISNUMBER(R497),R497*CW497,0)</f>
        <v>0</v>
      </c>
      <c r="EN497" s="28" t="n">
        <f aca="false">IF(ISNUMBER(V497),V497*CX497,0)</f>
        <v>0</v>
      </c>
      <c r="EO497" s="28" t="n">
        <f aca="false">IF(ISNUMBER(Z497),Z497*CY497,0)</f>
        <v>0</v>
      </c>
      <c r="EP497" s="28" t="n">
        <f aca="false">IF(ISNUMBER(AD497),AD497*CZ497,0)</f>
        <v>0</v>
      </c>
      <c r="EQ497" s="28" t="n">
        <f aca="false">IF(ISNUMBER(AH497),AH497*DA497,0)</f>
        <v>0</v>
      </c>
      <c r="ER497" s="28" t="n">
        <f aca="false">IF(ISNUMBER(AL497),AL497*DB497,0)</f>
        <v>0</v>
      </c>
      <c r="ES497" s="28" t="n">
        <f aca="false">IF(ISNUMBER(AP497),AP497*DC497,0)</f>
        <v>0</v>
      </c>
      <c r="ET497" s="28" t="n">
        <f aca="false">IF(ISNUMBER(AT497),AT497*DD497,0)</f>
        <v>0</v>
      </c>
      <c r="EU497" s="28" t="n">
        <f aca="false">IF(ISNUMBER(AX497),AX497*DE497,0)</f>
        <v>0</v>
      </c>
      <c r="EV497" s="28" t="n">
        <f aca="false">IF(ISNUMBER(BB497),BB497*DF497,0)</f>
        <v>0</v>
      </c>
      <c r="EW497" s="28" t="n">
        <f aca="false">IF(ISNUMBER(BF497),BF497*DG497,0)</f>
        <v>0</v>
      </c>
      <c r="EX497" s="28" t="n">
        <f aca="false">IF(ISNUMBER(BJ497),BJ497*DH497,0)</f>
        <v>0</v>
      </c>
      <c r="EY497" s="28" t="n">
        <f aca="false">IF(ISNUMBER(BN497),BN497*DI497,0)</f>
        <v>0</v>
      </c>
      <c r="EZ497" s="28" t="n">
        <f aca="false">IF(ISNUMBER(BR497),BR497*DJ497,0)</f>
        <v>0</v>
      </c>
      <c r="FA497" s="28" t="n">
        <f aca="false">IF(ISNUMBER(R497),CW497,0)</f>
        <v>0</v>
      </c>
      <c r="FB497" s="28" t="n">
        <f aca="false">IF(ISNUMBER(V497),CX497,0)</f>
        <v>0</v>
      </c>
      <c r="FC497" s="28" t="n">
        <f aca="false">IF(ISNUMBER(Z497),CY497,0)</f>
        <v>0</v>
      </c>
      <c r="FD497" s="28" t="n">
        <f aca="false">IF(ISNUMBER(AD497),CZ497,0)</f>
        <v>0</v>
      </c>
      <c r="FE497" s="28" t="n">
        <f aca="false">IF(ISNUMBER(AH497),DA497,0)</f>
        <v>0</v>
      </c>
      <c r="FF497" s="28" t="n">
        <f aca="false">IF(ISNUMBER(AL497),DB497,0)</f>
        <v>0</v>
      </c>
      <c r="FG497" s="28" t="n">
        <f aca="false">IF(ISNUMBER(AP497),DC497,0)</f>
        <v>0</v>
      </c>
      <c r="FH497" s="28" t="n">
        <f aca="false">IF(ISNUMBER(AT497),DD497,0)</f>
        <v>0</v>
      </c>
      <c r="FI497" s="28" t="n">
        <f aca="false">IF(ISNUMBER(AX497),DE497,0)</f>
        <v>0</v>
      </c>
      <c r="FJ497" s="28" t="n">
        <f aca="false">IF(ISNUMBER(BB497),DF497,0)</f>
        <v>0</v>
      </c>
      <c r="FK497" s="28" t="n">
        <f aca="false">IF(ISNUMBER(BF497),DG497,0)</f>
        <v>0</v>
      </c>
      <c r="FL497" s="28" t="n">
        <f aca="false">IF(ISNUMBER(BJ497),DH497,0)</f>
        <v>0</v>
      </c>
      <c r="FM497" s="28" t="n">
        <f aca="false">IF(ISNUMBER(BN497),DI497,0)</f>
        <v>0</v>
      </c>
      <c r="FN497" s="28" t="n">
        <f aca="false">IF(ISNUMBER(BR497),DJ497,0)</f>
        <v>0</v>
      </c>
      <c r="FO497" s="28" t="str">
        <f aca="false">IFERROR(INDEX(Lists!$G$2:$G$20,MATCH($I497&amp;"|"&amp;$J497,Lists!$F$2:$F$20,0)),"")</f>
        <v/>
      </c>
    </row>
    <row r="498" customFormat="false" ht="19.5" hidden="false" customHeight="true" outlineLevel="0" collapsed="false">
      <c r="A498" s="29"/>
      <c r="B498" s="29"/>
      <c r="C498" s="30"/>
      <c r="D498" s="30"/>
      <c r="E498" s="31"/>
      <c r="F498" s="30"/>
      <c r="G498" s="30"/>
      <c r="H498" s="32"/>
      <c r="I498" s="33"/>
      <c r="J498" s="32"/>
      <c r="K498" s="34" t="str">
        <f aca="false">IF(OR(M498="",$E498=""),"",M498-$E498)</f>
        <v/>
      </c>
      <c r="L498" s="35" t="str">
        <f aca="false">IF(SUM(FA498:FN498)=0,"",SUM(EM498:EZ498)/SUM(FA498:FN498))</f>
        <v/>
      </c>
      <c r="M498" s="36" t="str">
        <f aca="false">IF(OR(L498="",FO498=""),"",IFERROR(MATCH(L498,INDEX(Boundaries!$B$2:$I$30,MATCH(FO498,Boundaries!$A$2:$A$30,0),0),1)-1,""))</f>
        <v/>
      </c>
      <c r="N498" s="37" t="str">
        <f aca="false">IF(COUNT($DY498:$EL498)&lt;2,"",INDEX($DK498:$DX498,MAX($DY498:$EL498))-INDEX($DK498:$DX498,MIN($DY498:$EL498)))</f>
        <v/>
      </c>
      <c r="O498" s="37" t="str">
        <f aca="false">IF(COUNT($DY498:$EL498)&lt;2,"",INDEX($DK498:$DX498,MAX($DY498:$EL498))-INDEX($DK498:$DX498,LARGE($DY498:$EL498,2)))</f>
        <v/>
      </c>
      <c r="P498" s="38" t="str">
        <f aca="false">IF(K498="","",IF(K498&gt;=0,"On/above target",IF(AND(N498&lt;&gt;"",N498&gt;=0.5),"Improving towards target",IF(AND(O498&lt;&gt;"",O498&lt;=-0.5),"Declining","Stable below target"))))</f>
        <v/>
      </c>
      <c r="Q498" s="39"/>
      <c r="R498" s="40" t="str">
        <f aca="false">IF(OR(Q498="",BU498=""),"",Q498/BU498*100)</f>
        <v/>
      </c>
      <c r="S498" s="41" t="str">
        <f aca="false">IF(R498="","",IFERROR(MATCH(R498,INDEX(Boundaries!$B$2:$I$30,MATCH(CI498,Boundaries!$A$2:$A$30,0),0),1)-1,""))</f>
        <v/>
      </c>
      <c r="T498" s="42" t="str">
        <f aca="false">IF(OR(S498="",$E498=""),"",S498-$E498)</f>
        <v/>
      </c>
      <c r="U498" s="39"/>
      <c r="V498" s="40" t="str">
        <f aca="false">IF(OR(U498="",BV498=""),"",U498/BV498*100)</f>
        <v/>
      </c>
      <c r="W498" s="41" t="str">
        <f aca="false">IF(V498="","",IFERROR(MATCH(V498,INDEX(Boundaries!$B$2:$I$30,MATCH(CJ498,Boundaries!$A$2:$A$30,0),0),1)-1,""))</f>
        <v/>
      </c>
      <c r="X498" s="42" t="str">
        <f aca="false">IF(OR(W498="",$E498=""),"",W498-$E498)</f>
        <v/>
      </c>
      <c r="Y498" s="39"/>
      <c r="Z498" s="40" t="str">
        <f aca="false">IF(OR(Y498="",BW498=""),"",Y498/BW498*100)</f>
        <v/>
      </c>
      <c r="AA498" s="41" t="str">
        <f aca="false">IF(Z498="","",IFERROR(MATCH(Z498,INDEX(Boundaries!$B$2:$I$30,MATCH(CK498,Boundaries!$A$2:$A$30,0),0),1)-1,""))</f>
        <v/>
      </c>
      <c r="AB498" s="42" t="str">
        <f aca="false">IF(OR(AA498="",$E498=""),"",AA498-$E498)</f>
        <v/>
      </c>
      <c r="AC498" s="39"/>
      <c r="AD498" s="40" t="str">
        <f aca="false">IF(OR(AC498="",BX498=""),"",AC498/BX498*100)</f>
        <v/>
      </c>
      <c r="AE498" s="41" t="str">
        <f aca="false">IF(AD498="","",IFERROR(MATCH(AD498,INDEX(Boundaries!$B$2:$I$30,MATCH(CL498,Boundaries!$A$2:$A$30,0),0),1)-1,""))</f>
        <v/>
      </c>
      <c r="AF498" s="42" t="str">
        <f aca="false">IF(OR(AE498="",$E498=""),"",AE498-$E498)</f>
        <v/>
      </c>
      <c r="AG498" s="39"/>
      <c r="AH498" s="40" t="str">
        <f aca="false">IF(OR(AG498="",BY498=""),"",AG498/BY498*100)</f>
        <v/>
      </c>
      <c r="AI498" s="41" t="str">
        <f aca="false">IF(AH498="","",IFERROR(MATCH(AH498,INDEX(Boundaries!$B$2:$I$30,MATCH(CM498,Boundaries!$A$2:$A$30,0),0),1)-1,""))</f>
        <v/>
      </c>
      <c r="AJ498" s="42" t="str">
        <f aca="false">IF(OR(AI498="",$E498=""),"",AI498-$E498)</f>
        <v/>
      </c>
      <c r="AK498" s="39"/>
      <c r="AL498" s="40" t="str">
        <f aca="false">IF(OR(AK498="",BZ498=""),"",AK498/BZ498*100)</f>
        <v/>
      </c>
      <c r="AM498" s="41" t="str">
        <f aca="false">IF(AL498="","",IFERROR(MATCH(AL498,INDEX(Boundaries!$B$2:$I$30,MATCH(CN498,Boundaries!$A$2:$A$30,0),0),1)-1,""))</f>
        <v/>
      </c>
      <c r="AN498" s="42" t="str">
        <f aca="false">IF(OR(AM498="",$E498=""),"",AM498-$E498)</f>
        <v/>
      </c>
      <c r="AO498" s="39"/>
      <c r="AP498" s="40" t="str">
        <f aca="false">IF(OR(AO498="",CA498=""),"",AO498/CA498*100)</f>
        <v/>
      </c>
      <c r="AQ498" s="41" t="str">
        <f aca="false">IF(AP498="","",IFERROR(MATCH(AP498,INDEX(Boundaries!$B$2:$I$30,MATCH(CO498,Boundaries!$A$2:$A$30,0),0),1)-1,""))</f>
        <v/>
      </c>
      <c r="AR498" s="42" t="str">
        <f aca="false">IF(OR(AQ498="",$E498=""),"",AQ498-$E498)</f>
        <v/>
      </c>
      <c r="AS498" s="39"/>
      <c r="AT498" s="40" t="str">
        <f aca="false">IF(OR(AS498="",CB498=""),"",AS498/CB498*100)</f>
        <v/>
      </c>
      <c r="AU498" s="41" t="str">
        <f aca="false">IF(AT498="","",IFERROR(MATCH(AT498,INDEX(Boundaries!$B$2:$I$30,MATCH(CP498,Boundaries!$A$2:$A$30,0),0),1)-1,""))</f>
        <v/>
      </c>
      <c r="AV498" s="42" t="str">
        <f aca="false">IF(OR(AU498="",$E498=""),"",AU498-$E498)</f>
        <v/>
      </c>
      <c r="AW498" s="39"/>
      <c r="AX498" s="40" t="str">
        <f aca="false">IF(OR(AW498="",CC498=""),"",AW498/CC498*100)</f>
        <v/>
      </c>
      <c r="AY498" s="41" t="str">
        <f aca="false">IF(AX498="","",IFERROR(MATCH(AX498,INDEX(Boundaries!$B$2:$I$30,MATCH(CQ498,Boundaries!$A$2:$A$30,0),0),1)-1,""))</f>
        <v/>
      </c>
      <c r="AZ498" s="42" t="str">
        <f aca="false">IF(OR(AY498="",$E498=""),"",AY498-$E498)</f>
        <v/>
      </c>
      <c r="BA498" s="39"/>
      <c r="BB498" s="40" t="str">
        <f aca="false">IF(OR(BA498="",CD498=""),"",BA498/CD498*100)</f>
        <v/>
      </c>
      <c r="BC498" s="41" t="str">
        <f aca="false">IF(BB498="","",IFERROR(MATCH(BB498,INDEX(Boundaries!$B$2:$I$30,MATCH(CR498,Boundaries!$A$2:$A$30,0),0),1)-1,""))</f>
        <v/>
      </c>
      <c r="BD498" s="42" t="str">
        <f aca="false">IF(OR(BC498="",$E498=""),"",BC498-$E498)</f>
        <v/>
      </c>
      <c r="BE498" s="39"/>
      <c r="BF498" s="40" t="str">
        <f aca="false">IF(OR(BE498="",CE498=""),"",BE498/CE498*100)</f>
        <v/>
      </c>
      <c r="BG498" s="41" t="str">
        <f aca="false">IF(BF498="","",IFERROR(MATCH(BF498,INDEX(Boundaries!$B$2:$I$30,MATCH(CS498,Boundaries!$A$2:$A$30,0),0),1)-1,""))</f>
        <v/>
      </c>
      <c r="BH498" s="42" t="str">
        <f aca="false">IF(OR(BG498="",$E498=""),"",BG498-$E498)</f>
        <v/>
      </c>
      <c r="BI498" s="39"/>
      <c r="BJ498" s="40" t="str">
        <f aca="false">IF(OR(BI498="",CF498=""),"",BI498/CF498*100)</f>
        <v/>
      </c>
      <c r="BK498" s="41" t="str">
        <f aca="false">IF(BJ498="","",IFERROR(MATCH(BJ498,INDEX(Boundaries!$B$2:$I$30,MATCH(CT498,Boundaries!$A$2:$A$30,0),0),1)-1,""))</f>
        <v/>
      </c>
      <c r="BL498" s="42" t="str">
        <f aca="false">IF(OR(BK498="",$E498=""),"",BK498-$E498)</f>
        <v/>
      </c>
      <c r="BM498" s="39"/>
      <c r="BN498" s="40" t="str">
        <f aca="false">IF(OR(BM498="",CG498=""),"",BM498/CG498*100)</f>
        <v/>
      </c>
      <c r="BO498" s="41" t="str">
        <f aca="false">IF(BN498="","",IFERROR(MATCH(BN498,INDEX(Boundaries!$B$2:$I$30,MATCH(CU498,Boundaries!$A$2:$A$30,0),0),1)-1,""))</f>
        <v/>
      </c>
      <c r="BP498" s="42" t="str">
        <f aca="false">IF(OR(BO498="",$E498=""),"",BO498-$E498)</f>
        <v/>
      </c>
      <c r="BQ498" s="39"/>
      <c r="BR498" s="40" t="str">
        <f aca="false">IF(OR(BQ498="",CH498=""),"",BQ498/CH498*100)</f>
        <v/>
      </c>
      <c r="BS498" s="41" t="str">
        <f aca="false">IF(BR498="","",IFERROR(MATCH(BR498,INDEX(Boundaries!$B$2:$I$30,MATCH(CV498,Boundaries!$A$2:$A$30,0),0),1)-1,""))</f>
        <v/>
      </c>
      <c r="BT498" s="42" t="str">
        <f aca="false">IF(OR(BS498="",$E498=""),"",BS498-$E498)</f>
        <v/>
      </c>
      <c r="BU498" s="28" t="str">
        <f aca="false">IFERROR(INDEX(Assessments!$H$2:$H$600,MATCH($H498&amp;"|"&amp;$I498&amp;"|"&amp;$J498&amp;"|"&amp;1,Assessments!$A$2:$A$600,0)),"")</f>
        <v/>
      </c>
      <c r="BV498" s="28" t="str">
        <f aca="false">IFERROR(INDEX(Assessments!$H$2:$H$600,MATCH($H498&amp;"|"&amp;$I498&amp;"|"&amp;$J498&amp;"|"&amp;2,Assessments!$A$2:$A$600,0)),"")</f>
        <v/>
      </c>
      <c r="BW498" s="28" t="str">
        <f aca="false">IFERROR(INDEX(Assessments!$H$2:$H$600,MATCH($H498&amp;"|"&amp;$I498&amp;"|"&amp;$J498&amp;"|"&amp;3,Assessments!$A$2:$A$600,0)),"")</f>
        <v/>
      </c>
      <c r="BX498" s="28" t="str">
        <f aca="false">IFERROR(INDEX(Assessments!$H$2:$H$600,MATCH($H498&amp;"|"&amp;$I498&amp;"|"&amp;$J498&amp;"|"&amp;4,Assessments!$A$2:$A$600,0)),"")</f>
        <v/>
      </c>
      <c r="BY498" s="28" t="str">
        <f aca="false">IFERROR(INDEX(Assessments!$H$2:$H$600,MATCH($H498&amp;"|"&amp;$I498&amp;"|"&amp;$J498&amp;"|"&amp;5,Assessments!$A$2:$A$600,0)),"")</f>
        <v/>
      </c>
      <c r="BZ498" s="28" t="str">
        <f aca="false">IFERROR(INDEX(Assessments!$H$2:$H$600,MATCH($H498&amp;"|"&amp;$I498&amp;"|"&amp;$J498&amp;"|"&amp;6,Assessments!$A$2:$A$600,0)),"")</f>
        <v/>
      </c>
      <c r="CA498" s="28" t="str">
        <f aca="false">IFERROR(INDEX(Assessments!$H$2:$H$600,MATCH($H498&amp;"|"&amp;$I498&amp;"|"&amp;$J498&amp;"|"&amp;7,Assessments!$A$2:$A$600,0)),"")</f>
        <v/>
      </c>
      <c r="CB498" s="28" t="str">
        <f aca="false">IFERROR(INDEX(Assessments!$H$2:$H$600,MATCH($H498&amp;"|"&amp;$I498&amp;"|"&amp;$J498&amp;"|"&amp;8,Assessments!$A$2:$A$600,0)),"")</f>
        <v/>
      </c>
      <c r="CC498" s="28" t="str">
        <f aca="false">IFERROR(INDEX(Assessments!$H$2:$H$600,MATCH($H498&amp;"|"&amp;$I498&amp;"|"&amp;$J498&amp;"|"&amp;9,Assessments!$A$2:$A$600,0)),"")</f>
        <v/>
      </c>
      <c r="CD498" s="28" t="str">
        <f aca="false">IFERROR(INDEX(Assessments!$H$2:$H$600,MATCH($H498&amp;"|"&amp;$I498&amp;"|"&amp;$J498&amp;"|"&amp;10,Assessments!$A$2:$A$600,0)),"")</f>
        <v/>
      </c>
      <c r="CE498" s="28" t="str">
        <f aca="false">IFERROR(INDEX(Assessments!$H$2:$H$600,MATCH($H498&amp;"|"&amp;$I498&amp;"|"&amp;$J498&amp;"|"&amp;11,Assessments!$A$2:$A$600,0)),"")</f>
        <v/>
      </c>
      <c r="CF498" s="28" t="str">
        <f aca="false">IFERROR(INDEX(Assessments!$H$2:$H$600,MATCH($H498&amp;"|"&amp;$I498&amp;"|"&amp;$J498&amp;"|"&amp;12,Assessments!$A$2:$A$600,0)),"")</f>
        <v/>
      </c>
      <c r="CG498" s="28" t="str">
        <f aca="false">IFERROR(INDEX(Assessments!$H$2:$H$600,MATCH($H498&amp;"|"&amp;$I498&amp;"|"&amp;$J498&amp;"|"&amp;13,Assessments!$A$2:$A$600,0)),"")</f>
        <v/>
      </c>
      <c r="CH498" s="28" t="str">
        <f aca="false">IFERROR(INDEX(Assessments!$H$2:$H$600,MATCH($H498&amp;"|"&amp;$I498&amp;"|"&amp;$J498&amp;"|"&amp;14,Assessments!$A$2:$A$600,0)),"")</f>
        <v/>
      </c>
      <c r="CI498" s="28" t="str">
        <f aca="false">IFERROR(INDEX(Assessments!$I$2:$I$600,MATCH($H498&amp;"|"&amp;$I498&amp;"|"&amp;$J498&amp;"|"&amp;1,Assessments!$A$2:$A$600,0)),"")</f>
        <v/>
      </c>
      <c r="CJ498" s="28" t="str">
        <f aca="false">IFERROR(INDEX(Assessments!$I$2:$I$600,MATCH($H498&amp;"|"&amp;$I498&amp;"|"&amp;$J498&amp;"|"&amp;2,Assessments!$A$2:$A$600,0)),"")</f>
        <v/>
      </c>
      <c r="CK498" s="28" t="str">
        <f aca="false">IFERROR(INDEX(Assessments!$I$2:$I$600,MATCH($H498&amp;"|"&amp;$I498&amp;"|"&amp;$J498&amp;"|"&amp;3,Assessments!$A$2:$A$600,0)),"")</f>
        <v/>
      </c>
      <c r="CL498" s="28" t="str">
        <f aca="false">IFERROR(INDEX(Assessments!$I$2:$I$600,MATCH($H498&amp;"|"&amp;$I498&amp;"|"&amp;$J498&amp;"|"&amp;4,Assessments!$A$2:$A$600,0)),"")</f>
        <v/>
      </c>
      <c r="CM498" s="28" t="str">
        <f aca="false">IFERROR(INDEX(Assessments!$I$2:$I$600,MATCH($H498&amp;"|"&amp;$I498&amp;"|"&amp;$J498&amp;"|"&amp;5,Assessments!$A$2:$A$600,0)),"")</f>
        <v/>
      </c>
      <c r="CN498" s="28" t="str">
        <f aca="false">IFERROR(INDEX(Assessments!$I$2:$I$600,MATCH($H498&amp;"|"&amp;$I498&amp;"|"&amp;$J498&amp;"|"&amp;6,Assessments!$A$2:$A$600,0)),"")</f>
        <v/>
      </c>
      <c r="CO498" s="28" t="str">
        <f aca="false">IFERROR(INDEX(Assessments!$I$2:$I$600,MATCH($H498&amp;"|"&amp;$I498&amp;"|"&amp;$J498&amp;"|"&amp;7,Assessments!$A$2:$A$600,0)),"")</f>
        <v/>
      </c>
      <c r="CP498" s="28" t="str">
        <f aca="false">IFERROR(INDEX(Assessments!$I$2:$I$600,MATCH($H498&amp;"|"&amp;$I498&amp;"|"&amp;$J498&amp;"|"&amp;8,Assessments!$A$2:$A$600,0)),"")</f>
        <v/>
      </c>
      <c r="CQ498" s="28" t="str">
        <f aca="false">IFERROR(INDEX(Assessments!$I$2:$I$600,MATCH($H498&amp;"|"&amp;$I498&amp;"|"&amp;$J498&amp;"|"&amp;9,Assessments!$A$2:$A$600,0)),"")</f>
        <v/>
      </c>
      <c r="CR498" s="28" t="str">
        <f aca="false">IFERROR(INDEX(Assessments!$I$2:$I$600,MATCH($H498&amp;"|"&amp;$I498&amp;"|"&amp;$J498&amp;"|"&amp;10,Assessments!$A$2:$A$600,0)),"")</f>
        <v/>
      </c>
      <c r="CS498" s="28" t="str">
        <f aca="false">IFERROR(INDEX(Assessments!$I$2:$I$600,MATCH($H498&amp;"|"&amp;$I498&amp;"|"&amp;$J498&amp;"|"&amp;11,Assessments!$A$2:$A$600,0)),"")</f>
        <v/>
      </c>
      <c r="CT498" s="28" t="str">
        <f aca="false">IFERROR(INDEX(Assessments!$I$2:$I$600,MATCH($H498&amp;"|"&amp;$I498&amp;"|"&amp;$J498&amp;"|"&amp;12,Assessments!$A$2:$A$600,0)),"")</f>
        <v/>
      </c>
      <c r="CU498" s="28" t="str">
        <f aca="false">IFERROR(INDEX(Assessments!$I$2:$I$600,MATCH($H498&amp;"|"&amp;$I498&amp;"|"&amp;$J498&amp;"|"&amp;13,Assessments!$A$2:$A$600,0)),"")</f>
        <v/>
      </c>
      <c r="CV498" s="28" t="str">
        <f aca="false">IFERROR(INDEX(Assessments!$I$2:$I$600,MATCH($H498&amp;"|"&amp;$I498&amp;"|"&amp;$J498&amp;"|"&amp;14,Assessments!$A$2:$A$600,0)),"")</f>
        <v/>
      </c>
      <c r="CW498" s="28" t="n">
        <f aca="false">IFERROR(INDEX(Assessments!$J$2:$J$600,MATCH($H498&amp;"|"&amp;$I498&amp;"|"&amp;$J498&amp;"|"&amp;1,Assessments!$A$2:$A$600,0)),0)</f>
        <v>0</v>
      </c>
      <c r="CX498" s="28" t="n">
        <f aca="false">IFERROR(INDEX(Assessments!$J$2:$J$600,MATCH($H498&amp;"|"&amp;$I498&amp;"|"&amp;$J498&amp;"|"&amp;2,Assessments!$A$2:$A$600,0)),0)</f>
        <v>0</v>
      </c>
      <c r="CY498" s="28" t="n">
        <f aca="false">IFERROR(INDEX(Assessments!$J$2:$J$600,MATCH($H498&amp;"|"&amp;$I498&amp;"|"&amp;$J498&amp;"|"&amp;3,Assessments!$A$2:$A$600,0)),0)</f>
        <v>0</v>
      </c>
      <c r="CZ498" s="28" t="n">
        <f aca="false">IFERROR(INDEX(Assessments!$J$2:$J$600,MATCH($H498&amp;"|"&amp;$I498&amp;"|"&amp;$J498&amp;"|"&amp;4,Assessments!$A$2:$A$600,0)),0)</f>
        <v>0</v>
      </c>
      <c r="DA498" s="28" t="n">
        <f aca="false">IFERROR(INDEX(Assessments!$J$2:$J$600,MATCH($H498&amp;"|"&amp;$I498&amp;"|"&amp;$J498&amp;"|"&amp;5,Assessments!$A$2:$A$600,0)),0)</f>
        <v>0</v>
      </c>
      <c r="DB498" s="28" t="n">
        <f aca="false">IFERROR(INDEX(Assessments!$J$2:$J$600,MATCH($H498&amp;"|"&amp;$I498&amp;"|"&amp;$J498&amp;"|"&amp;6,Assessments!$A$2:$A$600,0)),0)</f>
        <v>0</v>
      </c>
      <c r="DC498" s="28" t="n">
        <f aca="false">IFERROR(INDEX(Assessments!$J$2:$J$600,MATCH($H498&amp;"|"&amp;$I498&amp;"|"&amp;$J498&amp;"|"&amp;7,Assessments!$A$2:$A$600,0)),0)</f>
        <v>0</v>
      </c>
      <c r="DD498" s="28" t="n">
        <f aca="false">IFERROR(INDEX(Assessments!$J$2:$J$600,MATCH($H498&amp;"|"&amp;$I498&amp;"|"&amp;$J498&amp;"|"&amp;8,Assessments!$A$2:$A$600,0)),0)</f>
        <v>0</v>
      </c>
      <c r="DE498" s="28" t="n">
        <f aca="false">IFERROR(INDEX(Assessments!$J$2:$J$600,MATCH($H498&amp;"|"&amp;$I498&amp;"|"&amp;$J498&amp;"|"&amp;9,Assessments!$A$2:$A$600,0)),0)</f>
        <v>0</v>
      </c>
      <c r="DF498" s="28" t="n">
        <f aca="false">IFERROR(INDEX(Assessments!$J$2:$J$600,MATCH($H498&amp;"|"&amp;$I498&amp;"|"&amp;$J498&amp;"|"&amp;10,Assessments!$A$2:$A$600,0)),0)</f>
        <v>0</v>
      </c>
      <c r="DG498" s="28" t="n">
        <f aca="false">IFERROR(INDEX(Assessments!$J$2:$J$600,MATCH($H498&amp;"|"&amp;$I498&amp;"|"&amp;$J498&amp;"|"&amp;11,Assessments!$A$2:$A$600,0)),0)</f>
        <v>0</v>
      </c>
      <c r="DH498" s="28" t="n">
        <f aca="false">IFERROR(INDEX(Assessments!$J$2:$J$600,MATCH($H498&amp;"|"&amp;$I498&amp;"|"&amp;$J498&amp;"|"&amp;12,Assessments!$A$2:$A$600,0)),0)</f>
        <v>0</v>
      </c>
      <c r="DI498" s="28" t="n">
        <f aca="false">IFERROR(INDEX(Assessments!$J$2:$J$600,MATCH($H498&amp;"|"&amp;$I498&amp;"|"&amp;$J498&amp;"|"&amp;13,Assessments!$A$2:$A$600,0)),0)</f>
        <v>0</v>
      </c>
      <c r="DJ498" s="28" t="n">
        <f aca="false">IFERROR(INDEX(Assessments!$J$2:$J$600,MATCH($H498&amp;"|"&amp;$I498&amp;"|"&amp;$J498&amp;"|"&amp;14,Assessments!$A$2:$A$600,0)),0)</f>
        <v>0</v>
      </c>
      <c r="DK498" s="28" t="str">
        <f aca="false">S498</f>
        <v/>
      </c>
      <c r="DL498" s="28" t="str">
        <f aca="false">W498</f>
        <v/>
      </c>
      <c r="DM498" s="28" t="str">
        <f aca="false">AA498</f>
        <v/>
      </c>
      <c r="DN498" s="28" t="str">
        <f aca="false">AE498</f>
        <v/>
      </c>
      <c r="DO498" s="28" t="str">
        <f aca="false">AI498</f>
        <v/>
      </c>
      <c r="DP498" s="28" t="str">
        <f aca="false">AM498</f>
        <v/>
      </c>
      <c r="DQ498" s="28" t="str">
        <f aca="false">AQ498</f>
        <v/>
      </c>
      <c r="DR498" s="28" t="str">
        <f aca="false">AU498</f>
        <v/>
      </c>
      <c r="DS498" s="28" t="str">
        <f aca="false">AY498</f>
        <v/>
      </c>
      <c r="DT498" s="28" t="str">
        <f aca="false">BC498</f>
        <v/>
      </c>
      <c r="DU498" s="28" t="str">
        <f aca="false">BG498</f>
        <v/>
      </c>
      <c r="DV498" s="28" t="str">
        <f aca="false">BK498</f>
        <v/>
      </c>
      <c r="DW498" s="28" t="str">
        <f aca="false">BO498</f>
        <v/>
      </c>
      <c r="DX498" s="28" t="str">
        <f aca="false">BS498</f>
        <v/>
      </c>
      <c r="DY498" s="28" t="str">
        <f aca="false">IF(ISNUMBER(S498),1,"")</f>
        <v/>
      </c>
      <c r="DZ498" s="28" t="str">
        <f aca="false">IF(ISNUMBER(W498),2,"")</f>
        <v/>
      </c>
      <c r="EA498" s="28" t="str">
        <f aca="false">IF(ISNUMBER(AA498),3,"")</f>
        <v/>
      </c>
      <c r="EB498" s="28" t="str">
        <f aca="false">IF(ISNUMBER(AE498),4,"")</f>
        <v/>
      </c>
      <c r="EC498" s="28" t="str">
        <f aca="false">IF(ISNUMBER(AI498),5,"")</f>
        <v/>
      </c>
      <c r="ED498" s="28" t="str">
        <f aca="false">IF(ISNUMBER(AM498),6,"")</f>
        <v/>
      </c>
      <c r="EE498" s="28" t="str">
        <f aca="false">IF(ISNUMBER(AQ498),7,"")</f>
        <v/>
      </c>
      <c r="EF498" s="28" t="str">
        <f aca="false">IF(ISNUMBER(AU498),8,"")</f>
        <v/>
      </c>
      <c r="EG498" s="28" t="str">
        <f aca="false">IF(ISNUMBER(AY498),9,"")</f>
        <v/>
      </c>
      <c r="EH498" s="28" t="str">
        <f aca="false">IF(ISNUMBER(BC498),10,"")</f>
        <v/>
      </c>
      <c r="EI498" s="28" t="str">
        <f aca="false">IF(ISNUMBER(BG498),11,"")</f>
        <v/>
      </c>
      <c r="EJ498" s="28" t="str">
        <f aca="false">IF(ISNUMBER(BK498),12,"")</f>
        <v/>
      </c>
      <c r="EK498" s="28" t="str">
        <f aca="false">IF(ISNUMBER(BO498),13,"")</f>
        <v/>
      </c>
      <c r="EL498" s="28" t="str">
        <f aca="false">IF(ISNUMBER(BS498),14,"")</f>
        <v/>
      </c>
      <c r="EM498" s="28" t="n">
        <f aca="false">IF(ISNUMBER(R498),R498*CW498,0)</f>
        <v>0</v>
      </c>
      <c r="EN498" s="28" t="n">
        <f aca="false">IF(ISNUMBER(V498),V498*CX498,0)</f>
        <v>0</v>
      </c>
      <c r="EO498" s="28" t="n">
        <f aca="false">IF(ISNUMBER(Z498),Z498*CY498,0)</f>
        <v>0</v>
      </c>
      <c r="EP498" s="28" t="n">
        <f aca="false">IF(ISNUMBER(AD498),AD498*CZ498,0)</f>
        <v>0</v>
      </c>
      <c r="EQ498" s="28" t="n">
        <f aca="false">IF(ISNUMBER(AH498),AH498*DA498,0)</f>
        <v>0</v>
      </c>
      <c r="ER498" s="28" t="n">
        <f aca="false">IF(ISNUMBER(AL498),AL498*DB498,0)</f>
        <v>0</v>
      </c>
      <c r="ES498" s="28" t="n">
        <f aca="false">IF(ISNUMBER(AP498),AP498*DC498,0)</f>
        <v>0</v>
      </c>
      <c r="ET498" s="28" t="n">
        <f aca="false">IF(ISNUMBER(AT498),AT498*DD498,0)</f>
        <v>0</v>
      </c>
      <c r="EU498" s="28" t="n">
        <f aca="false">IF(ISNUMBER(AX498),AX498*DE498,0)</f>
        <v>0</v>
      </c>
      <c r="EV498" s="28" t="n">
        <f aca="false">IF(ISNUMBER(BB498),BB498*DF498,0)</f>
        <v>0</v>
      </c>
      <c r="EW498" s="28" t="n">
        <f aca="false">IF(ISNUMBER(BF498),BF498*DG498,0)</f>
        <v>0</v>
      </c>
      <c r="EX498" s="28" t="n">
        <f aca="false">IF(ISNUMBER(BJ498),BJ498*DH498,0)</f>
        <v>0</v>
      </c>
      <c r="EY498" s="28" t="n">
        <f aca="false">IF(ISNUMBER(BN498),BN498*DI498,0)</f>
        <v>0</v>
      </c>
      <c r="EZ498" s="28" t="n">
        <f aca="false">IF(ISNUMBER(BR498),BR498*DJ498,0)</f>
        <v>0</v>
      </c>
      <c r="FA498" s="28" t="n">
        <f aca="false">IF(ISNUMBER(R498),CW498,0)</f>
        <v>0</v>
      </c>
      <c r="FB498" s="28" t="n">
        <f aca="false">IF(ISNUMBER(V498),CX498,0)</f>
        <v>0</v>
      </c>
      <c r="FC498" s="28" t="n">
        <f aca="false">IF(ISNUMBER(Z498),CY498,0)</f>
        <v>0</v>
      </c>
      <c r="FD498" s="28" t="n">
        <f aca="false">IF(ISNUMBER(AD498),CZ498,0)</f>
        <v>0</v>
      </c>
      <c r="FE498" s="28" t="n">
        <f aca="false">IF(ISNUMBER(AH498),DA498,0)</f>
        <v>0</v>
      </c>
      <c r="FF498" s="28" t="n">
        <f aca="false">IF(ISNUMBER(AL498),DB498,0)</f>
        <v>0</v>
      </c>
      <c r="FG498" s="28" t="n">
        <f aca="false">IF(ISNUMBER(AP498),DC498,0)</f>
        <v>0</v>
      </c>
      <c r="FH498" s="28" t="n">
        <f aca="false">IF(ISNUMBER(AT498),DD498,0)</f>
        <v>0</v>
      </c>
      <c r="FI498" s="28" t="n">
        <f aca="false">IF(ISNUMBER(AX498),DE498,0)</f>
        <v>0</v>
      </c>
      <c r="FJ498" s="28" t="n">
        <f aca="false">IF(ISNUMBER(BB498),DF498,0)</f>
        <v>0</v>
      </c>
      <c r="FK498" s="28" t="n">
        <f aca="false">IF(ISNUMBER(BF498),DG498,0)</f>
        <v>0</v>
      </c>
      <c r="FL498" s="28" t="n">
        <f aca="false">IF(ISNUMBER(BJ498),DH498,0)</f>
        <v>0</v>
      </c>
      <c r="FM498" s="28" t="n">
        <f aca="false">IF(ISNUMBER(BN498),DI498,0)</f>
        <v>0</v>
      </c>
      <c r="FN498" s="28" t="n">
        <f aca="false">IF(ISNUMBER(BR498),DJ498,0)</f>
        <v>0</v>
      </c>
      <c r="FO498" s="28" t="str">
        <f aca="false">IFERROR(INDEX(Lists!$G$2:$G$20,MATCH($I498&amp;"|"&amp;$J498,Lists!$F$2:$F$20,0)),"")</f>
        <v/>
      </c>
    </row>
    <row r="499" customFormat="false" ht="19.5" hidden="false" customHeight="true" outlineLevel="0" collapsed="false">
      <c r="A499" s="29"/>
      <c r="B499" s="29"/>
      <c r="C499" s="30"/>
      <c r="D499" s="30"/>
      <c r="E499" s="31"/>
      <c r="F499" s="30"/>
      <c r="G499" s="30"/>
      <c r="H499" s="32"/>
      <c r="I499" s="33"/>
      <c r="J499" s="32"/>
      <c r="K499" s="34" t="str">
        <f aca="false">IF(OR(M499="",$E499=""),"",M499-$E499)</f>
        <v/>
      </c>
      <c r="L499" s="35" t="str">
        <f aca="false">IF(SUM(FA499:FN499)=0,"",SUM(EM499:EZ499)/SUM(FA499:FN499))</f>
        <v/>
      </c>
      <c r="M499" s="36" t="str">
        <f aca="false">IF(OR(L499="",FO499=""),"",IFERROR(MATCH(L499,INDEX(Boundaries!$B$2:$I$30,MATCH(FO499,Boundaries!$A$2:$A$30,0),0),1)-1,""))</f>
        <v/>
      </c>
      <c r="N499" s="37" t="str">
        <f aca="false">IF(COUNT($DY499:$EL499)&lt;2,"",INDEX($DK499:$DX499,MAX($DY499:$EL499))-INDEX($DK499:$DX499,MIN($DY499:$EL499)))</f>
        <v/>
      </c>
      <c r="O499" s="37" t="str">
        <f aca="false">IF(COUNT($DY499:$EL499)&lt;2,"",INDEX($DK499:$DX499,MAX($DY499:$EL499))-INDEX($DK499:$DX499,LARGE($DY499:$EL499,2)))</f>
        <v/>
      </c>
      <c r="P499" s="38" t="str">
        <f aca="false">IF(K499="","",IF(K499&gt;=0,"On/above target",IF(AND(N499&lt;&gt;"",N499&gt;=0.5),"Improving towards target",IF(AND(O499&lt;&gt;"",O499&lt;=-0.5),"Declining","Stable below target"))))</f>
        <v/>
      </c>
      <c r="Q499" s="39"/>
      <c r="R499" s="40" t="str">
        <f aca="false">IF(OR(Q499="",BU499=""),"",Q499/BU499*100)</f>
        <v/>
      </c>
      <c r="S499" s="41" t="str">
        <f aca="false">IF(R499="","",IFERROR(MATCH(R499,INDEX(Boundaries!$B$2:$I$30,MATCH(CI499,Boundaries!$A$2:$A$30,0),0),1)-1,""))</f>
        <v/>
      </c>
      <c r="T499" s="42" t="str">
        <f aca="false">IF(OR(S499="",$E499=""),"",S499-$E499)</f>
        <v/>
      </c>
      <c r="U499" s="39"/>
      <c r="V499" s="40" t="str">
        <f aca="false">IF(OR(U499="",BV499=""),"",U499/BV499*100)</f>
        <v/>
      </c>
      <c r="W499" s="41" t="str">
        <f aca="false">IF(V499="","",IFERROR(MATCH(V499,INDEX(Boundaries!$B$2:$I$30,MATCH(CJ499,Boundaries!$A$2:$A$30,0),0),1)-1,""))</f>
        <v/>
      </c>
      <c r="X499" s="42" t="str">
        <f aca="false">IF(OR(W499="",$E499=""),"",W499-$E499)</f>
        <v/>
      </c>
      <c r="Y499" s="39"/>
      <c r="Z499" s="40" t="str">
        <f aca="false">IF(OR(Y499="",BW499=""),"",Y499/BW499*100)</f>
        <v/>
      </c>
      <c r="AA499" s="41" t="str">
        <f aca="false">IF(Z499="","",IFERROR(MATCH(Z499,INDEX(Boundaries!$B$2:$I$30,MATCH(CK499,Boundaries!$A$2:$A$30,0),0),1)-1,""))</f>
        <v/>
      </c>
      <c r="AB499" s="42" t="str">
        <f aca="false">IF(OR(AA499="",$E499=""),"",AA499-$E499)</f>
        <v/>
      </c>
      <c r="AC499" s="39"/>
      <c r="AD499" s="40" t="str">
        <f aca="false">IF(OR(AC499="",BX499=""),"",AC499/BX499*100)</f>
        <v/>
      </c>
      <c r="AE499" s="41" t="str">
        <f aca="false">IF(AD499="","",IFERROR(MATCH(AD499,INDEX(Boundaries!$B$2:$I$30,MATCH(CL499,Boundaries!$A$2:$A$30,0),0),1)-1,""))</f>
        <v/>
      </c>
      <c r="AF499" s="42" t="str">
        <f aca="false">IF(OR(AE499="",$E499=""),"",AE499-$E499)</f>
        <v/>
      </c>
      <c r="AG499" s="39"/>
      <c r="AH499" s="40" t="str">
        <f aca="false">IF(OR(AG499="",BY499=""),"",AG499/BY499*100)</f>
        <v/>
      </c>
      <c r="AI499" s="41" t="str">
        <f aca="false">IF(AH499="","",IFERROR(MATCH(AH499,INDEX(Boundaries!$B$2:$I$30,MATCH(CM499,Boundaries!$A$2:$A$30,0),0),1)-1,""))</f>
        <v/>
      </c>
      <c r="AJ499" s="42" t="str">
        <f aca="false">IF(OR(AI499="",$E499=""),"",AI499-$E499)</f>
        <v/>
      </c>
      <c r="AK499" s="39"/>
      <c r="AL499" s="40" t="str">
        <f aca="false">IF(OR(AK499="",BZ499=""),"",AK499/BZ499*100)</f>
        <v/>
      </c>
      <c r="AM499" s="41" t="str">
        <f aca="false">IF(AL499="","",IFERROR(MATCH(AL499,INDEX(Boundaries!$B$2:$I$30,MATCH(CN499,Boundaries!$A$2:$A$30,0),0),1)-1,""))</f>
        <v/>
      </c>
      <c r="AN499" s="42" t="str">
        <f aca="false">IF(OR(AM499="",$E499=""),"",AM499-$E499)</f>
        <v/>
      </c>
      <c r="AO499" s="39"/>
      <c r="AP499" s="40" t="str">
        <f aca="false">IF(OR(AO499="",CA499=""),"",AO499/CA499*100)</f>
        <v/>
      </c>
      <c r="AQ499" s="41" t="str">
        <f aca="false">IF(AP499="","",IFERROR(MATCH(AP499,INDEX(Boundaries!$B$2:$I$30,MATCH(CO499,Boundaries!$A$2:$A$30,0),0),1)-1,""))</f>
        <v/>
      </c>
      <c r="AR499" s="42" t="str">
        <f aca="false">IF(OR(AQ499="",$E499=""),"",AQ499-$E499)</f>
        <v/>
      </c>
      <c r="AS499" s="39"/>
      <c r="AT499" s="40" t="str">
        <f aca="false">IF(OR(AS499="",CB499=""),"",AS499/CB499*100)</f>
        <v/>
      </c>
      <c r="AU499" s="41" t="str">
        <f aca="false">IF(AT499="","",IFERROR(MATCH(AT499,INDEX(Boundaries!$B$2:$I$30,MATCH(CP499,Boundaries!$A$2:$A$30,0),0),1)-1,""))</f>
        <v/>
      </c>
      <c r="AV499" s="42" t="str">
        <f aca="false">IF(OR(AU499="",$E499=""),"",AU499-$E499)</f>
        <v/>
      </c>
      <c r="AW499" s="39"/>
      <c r="AX499" s="40" t="str">
        <f aca="false">IF(OR(AW499="",CC499=""),"",AW499/CC499*100)</f>
        <v/>
      </c>
      <c r="AY499" s="41" t="str">
        <f aca="false">IF(AX499="","",IFERROR(MATCH(AX499,INDEX(Boundaries!$B$2:$I$30,MATCH(CQ499,Boundaries!$A$2:$A$30,0),0),1)-1,""))</f>
        <v/>
      </c>
      <c r="AZ499" s="42" t="str">
        <f aca="false">IF(OR(AY499="",$E499=""),"",AY499-$E499)</f>
        <v/>
      </c>
      <c r="BA499" s="39"/>
      <c r="BB499" s="40" t="str">
        <f aca="false">IF(OR(BA499="",CD499=""),"",BA499/CD499*100)</f>
        <v/>
      </c>
      <c r="BC499" s="41" t="str">
        <f aca="false">IF(BB499="","",IFERROR(MATCH(BB499,INDEX(Boundaries!$B$2:$I$30,MATCH(CR499,Boundaries!$A$2:$A$30,0),0),1)-1,""))</f>
        <v/>
      </c>
      <c r="BD499" s="42" t="str">
        <f aca="false">IF(OR(BC499="",$E499=""),"",BC499-$E499)</f>
        <v/>
      </c>
      <c r="BE499" s="39"/>
      <c r="BF499" s="40" t="str">
        <f aca="false">IF(OR(BE499="",CE499=""),"",BE499/CE499*100)</f>
        <v/>
      </c>
      <c r="BG499" s="41" t="str">
        <f aca="false">IF(BF499="","",IFERROR(MATCH(BF499,INDEX(Boundaries!$B$2:$I$30,MATCH(CS499,Boundaries!$A$2:$A$30,0),0),1)-1,""))</f>
        <v/>
      </c>
      <c r="BH499" s="42" t="str">
        <f aca="false">IF(OR(BG499="",$E499=""),"",BG499-$E499)</f>
        <v/>
      </c>
      <c r="BI499" s="39"/>
      <c r="BJ499" s="40" t="str">
        <f aca="false">IF(OR(BI499="",CF499=""),"",BI499/CF499*100)</f>
        <v/>
      </c>
      <c r="BK499" s="41" t="str">
        <f aca="false">IF(BJ499="","",IFERROR(MATCH(BJ499,INDEX(Boundaries!$B$2:$I$30,MATCH(CT499,Boundaries!$A$2:$A$30,0),0),1)-1,""))</f>
        <v/>
      </c>
      <c r="BL499" s="42" t="str">
        <f aca="false">IF(OR(BK499="",$E499=""),"",BK499-$E499)</f>
        <v/>
      </c>
      <c r="BM499" s="39"/>
      <c r="BN499" s="40" t="str">
        <f aca="false">IF(OR(BM499="",CG499=""),"",BM499/CG499*100)</f>
        <v/>
      </c>
      <c r="BO499" s="41" t="str">
        <f aca="false">IF(BN499="","",IFERROR(MATCH(BN499,INDEX(Boundaries!$B$2:$I$30,MATCH(CU499,Boundaries!$A$2:$A$30,0),0),1)-1,""))</f>
        <v/>
      </c>
      <c r="BP499" s="42" t="str">
        <f aca="false">IF(OR(BO499="",$E499=""),"",BO499-$E499)</f>
        <v/>
      </c>
      <c r="BQ499" s="39"/>
      <c r="BR499" s="40" t="str">
        <f aca="false">IF(OR(BQ499="",CH499=""),"",BQ499/CH499*100)</f>
        <v/>
      </c>
      <c r="BS499" s="41" t="str">
        <f aca="false">IF(BR499="","",IFERROR(MATCH(BR499,INDEX(Boundaries!$B$2:$I$30,MATCH(CV499,Boundaries!$A$2:$A$30,0),0),1)-1,""))</f>
        <v/>
      </c>
      <c r="BT499" s="42" t="str">
        <f aca="false">IF(OR(BS499="",$E499=""),"",BS499-$E499)</f>
        <v/>
      </c>
      <c r="BU499" s="28" t="str">
        <f aca="false">IFERROR(INDEX(Assessments!$H$2:$H$600,MATCH($H499&amp;"|"&amp;$I499&amp;"|"&amp;$J499&amp;"|"&amp;1,Assessments!$A$2:$A$600,0)),"")</f>
        <v/>
      </c>
      <c r="BV499" s="28" t="str">
        <f aca="false">IFERROR(INDEX(Assessments!$H$2:$H$600,MATCH($H499&amp;"|"&amp;$I499&amp;"|"&amp;$J499&amp;"|"&amp;2,Assessments!$A$2:$A$600,0)),"")</f>
        <v/>
      </c>
      <c r="BW499" s="28" t="str">
        <f aca="false">IFERROR(INDEX(Assessments!$H$2:$H$600,MATCH($H499&amp;"|"&amp;$I499&amp;"|"&amp;$J499&amp;"|"&amp;3,Assessments!$A$2:$A$600,0)),"")</f>
        <v/>
      </c>
      <c r="BX499" s="28" t="str">
        <f aca="false">IFERROR(INDEX(Assessments!$H$2:$H$600,MATCH($H499&amp;"|"&amp;$I499&amp;"|"&amp;$J499&amp;"|"&amp;4,Assessments!$A$2:$A$600,0)),"")</f>
        <v/>
      </c>
      <c r="BY499" s="28" t="str">
        <f aca="false">IFERROR(INDEX(Assessments!$H$2:$H$600,MATCH($H499&amp;"|"&amp;$I499&amp;"|"&amp;$J499&amp;"|"&amp;5,Assessments!$A$2:$A$600,0)),"")</f>
        <v/>
      </c>
      <c r="BZ499" s="28" t="str">
        <f aca="false">IFERROR(INDEX(Assessments!$H$2:$H$600,MATCH($H499&amp;"|"&amp;$I499&amp;"|"&amp;$J499&amp;"|"&amp;6,Assessments!$A$2:$A$600,0)),"")</f>
        <v/>
      </c>
      <c r="CA499" s="28" t="str">
        <f aca="false">IFERROR(INDEX(Assessments!$H$2:$H$600,MATCH($H499&amp;"|"&amp;$I499&amp;"|"&amp;$J499&amp;"|"&amp;7,Assessments!$A$2:$A$600,0)),"")</f>
        <v/>
      </c>
      <c r="CB499" s="28" t="str">
        <f aca="false">IFERROR(INDEX(Assessments!$H$2:$H$600,MATCH($H499&amp;"|"&amp;$I499&amp;"|"&amp;$J499&amp;"|"&amp;8,Assessments!$A$2:$A$600,0)),"")</f>
        <v/>
      </c>
      <c r="CC499" s="28" t="str">
        <f aca="false">IFERROR(INDEX(Assessments!$H$2:$H$600,MATCH($H499&amp;"|"&amp;$I499&amp;"|"&amp;$J499&amp;"|"&amp;9,Assessments!$A$2:$A$600,0)),"")</f>
        <v/>
      </c>
      <c r="CD499" s="28" t="str">
        <f aca="false">IFERROR(INDEX(Assessments!$H$2:$H$600,MATCH($H499&amp;"|"&amp;$I499&amp;"|"&amp;$J499&amp;"|"&amp;10,Assessments!$A$2:$A$600,0)),"")</f>
        <v/>
      </c>
      <c r="CE499" s="28" t="str">
        <f aca="false">IFERROR(INDEX(Assessments!$H$2:$H$600,MATCH($H499&amp;"|"&amp;$I499&amp;"|"&amp;$J499&amp;"|"&amp;11,Assessments!$A$2:$A$600,0)),"")</f>
        <v/>
      </c>
      <c r="CF499" s="28" t="str">
        <f aca="false">IFERROR(INDEX(Assessments!$H$2:$H$600,MATCH($H499&amp;"|"&amp;$I499&amp;"|"&amp;$J499&amp;"|"&amp;12,Assessments!$A$2:$A$600,0)),"")</f>
        <v/>
      </c>
      <c r="CG499" s="28" t="str">
        <f aca="false">IFERROR(INDEX(Assessments!$H$2:$H$600,MATCH($H499&amp;"|"&amp;$I499&amp;"|"&amp;$J499&amp;"|"&amp;13,Assessments!$A$2:$A$600,0)),"")</f>
        <v/>
      </c>
      <c r="CH499" s="28" t="str">
        <f aca="false">IFERROR(INDEX(Assessments!$H$2:$H$600,MATCH($H499&amp;"|"&amp;$I499&amp;"|"&amp;$J499&amp;"|"&amp;14,Assessments!$A$2:$A$600,0)),"")</f>
        <v/>
      </c>
      <c r="CI499" s="28" t="str">
        <f aca="false">IFERROR(INDEX(Assessments!$I$2:$I$600,MATCH($H499&amp;"|"&amp;$I499&amp;"|"&amp;$J499&amp;"|"&amp;1,Assessments!$A$2:$A$600,0)),"")</f>
        <v/>
      </c>
      <c r="CJ499" s="28" t="str">
        <f aca="false">IFERROR(INDEX(Assessments!$I$2:$I$600,MATCH($H499&amp;"|"&amp;$I499&amp;"|"&amp;$J499&amp;"|"&amp;2,Assessments!$A$2:$A$600,0)),"")</f>
        <v/>
      </c>
      <c r="CK499" s="28" t="str">
        <f aca="false">IFERROR(INDEX(Assessments!$I$2:$I$600,MATCH($H499&amp;"|"&amp;$I499&amp;"|"&amp;$J499&amp;"|"&amp;3,Assessments!$A$2:$A$600,0)),"")</f>
        <v/>
      </c>
      <c r="CL499" s="28" t="str">
        <f aca="false">IFERROR(INDEX(Assessments!$I$2:$I$600,MATCH($H499&amp;"|"&amp;$I499&amp;"|"&amp;$J499&amp;"|"&amp;4,Assessments!$A$2:$A$600,0)),"")</f>
        <v/>
      </c>
      <c r="CM499" s="28" t="str">
        <f aca="false">IFERROR(INDEX(Assessments!$I$2:$I$600,MATCH($H499&amp;"|"&amp;$I499&amp;"|"&amp;$J499&amp;"|"&amp;5,Assessments!$A$2:$A$600,0)),"")</f>
        <v/>
      </c>
      <c r="CN499" s="28" t="str">
        <f aca="false">IFERROR(INDEX(Assessments!$I$2:$I$600,MATCH($H499&amp;"|"&amp;$I499&amp;"|"&amp;$J499&amp;"|"&amp;6,Assessments!$A$2:$A$600,0)),"")</f>
        <v/>
      </c>
      <c r="CO499" s="28" t="str">
        <f aca="false">IFERROR(INDEX(Assessments!$I$2:$I$600,MATCH($H499&amp;"|"&amp;$I499&amp;"|"&amp;$J499&amp;"|"&amp;7,Assessments!$A$2:$A$600,0)),"")</f>
        <v/>
      </c>
      <c r="CP499" s="28" t="str">
        <f aca="false">IFERROR(INDEX(Assessments!$I$2:$I$600,MATCH($H499&amp;"|"&amp;$I499&amp;"|"&amp;$J499&amp;"|"&amp;8,Assessments!$A$2:$A$600,0)),"")</f>
        <v/>
      </c>
      <c r="CQ499" s="28" t="str">
        <f aca="false">IFERROR(INDEX(Assessments!$I$2:$I$600,MATCH($H499&amp;"|"&amp;$I499&amp;"|"&amp;$J499&amp;"|"&amp;9,Assessments!$A$2:$A$600,0)),"")</f>
        <v/>
      </c>
      <c r="CR499" s="28" t="str">
        <f aca="false">IFERROR(INDEX(Assessments!$I$2:$I$600,MATCH($H499&amp;"|"&amp;$I499&amp;"|"&amp;$J499&amp;"|"&amp;10,Assessments!$A$2:$A$600,0)),"")</f>
        <v/>
      </c>
      <c r="CS499" s="28" t="str">
        <f aca="false">IFERROR(INDEX(Assessments!$I$2:$I$600,MATCH($H499&amp;"|"&amp;$I499&amp;"|"&amp;$J499&amp;"|"&amp;11,Assessments!$A$2:$A$600,0)),"")</f>
        <v/>
      </c>
      <c r="CT499" s="28" t="str">
        <f aca="false">IFERROR(INDEX(Assessments!$I$2:$I$600,MATCH($H499&amp;"|"&amp;$I499&amp;"|"&amp;$J499&amp;"|"&amp;12,Assessments!$A$2:$A$600,0)),"")</f>
        <v/>
      </c>
      <c r="CU499" s="28" t="str">
        <f aca="false">IFERROR(INDEX(Assessments!$I$2:$I$600,MATCH($H499&amp;"|"&amp;$I499&amp;"|"&amp;$J499&amp;"|"&amp;13,Assessments!$A$2:$A$600,0)),"")</f>
        <v/>
      </c>
      <c r="CV499" s="28" t="str">
        <f aca="false">IFERROR(INDEX(Assessments!$I$2:$I$600,MATCH($H499&amp;"|"&amp;$I499&amp;"|"&amp;$J499&amp;"|"&amp;14,Assessments!$A$2:$A$600,0)),"")</f>
        <v/>
      </c>
      <c r="CW499" s="28" t="n">
        <f aca="false">IFERROR(INDEX(Assessments!$J$2:$J$600,MATCH($H499&amp;"|"&amp;$I499&amp;"|"&amp;$J499&amp;"|"&amp;1,Assessments!$A$2:$A$600,0)),0)</f>
        <v>0</v>
      </c>
      <c r="CX499" s="28" t="n">
        <f aca="false">IFERROR(INDEX(Assessments!$J$2:$J$600,MATCH($H499&amp;"|"&amp;$I499&amp;"|"&amp;$J499&amp;"|"&amp;2,Assessments!$A$2:$A$600,0)),0)</f>
        <v>0</v>
      </c>
      <c r="CY499" s="28" t="n">
        <f aca="false">IFERROR(INDEX(Assessments!$J$2:$J$600,MATCH($H499&amp;"|"&amp;$I499&amp;"|"&amp;$J499&amp;"|"&amp;3,Assessments!$A$2:$A$600,0)),0)</f>
        <v>0</v>
      </c>
      <c r="CZ499" s="28" t="n">
        <f aca="false">IFERROR(INDEX(Assessments!$J$2:$J$600,MATCH($H499&amp;"|"&amp;$I499&amp;"|"&amp;$J499&amp;"|"&amp;4,Assessments!$A$2:$A$600,0)),0)</f>
        <v>0</v>
      </c>
      <c r="DA499" s="28" t="n">
        <f aca="false">IFERROR(INDEX(Assessments!$J$2:$J$600,MATCH($H499&amp;"|"&amp;$I499&amp;"|"&amp;$J499&amp;"|"&amp;5,Assessments!$A$2:$A$600,0)),0)</f>
        <v>0</v>
      </c>
      <c r="DB499" s="28" t="n">
        <f aca="false">IFERROR(INDEX(Assessments!$J$2:$J$600,MATCH($H499&amp;"|"&amp;$I499&amp;"|"&amp;$J499&amp;"|"&amp;6,Assessments!$A$2:$A$600,0)),0)</f>
        <v>0</v>
      </c>
      <c r="DC499" s="28" t="n">
        <f aca="false">IFERROR(INDEX(Assessments!$J$2:$J$600,MATCH($H499&amp;"|"&amp;$I499&amp;"|"&amp;$J499&amp;"|"&amp;7,Assessments!$A$2:$A$600,0)),0)</f>
        <v>0</v>
      </c>
      <c r="DD499" s="28" t="n">
        <f aca="false">IFERROR(INDEX(Assessments!$J$2:$J$600,MATCH($H499&amp;"|"&amp;$I499&amp;"|"&amp;$J499&amp;"|"&amp;8,Assessments!$A$2:$A$600,0)),0)</f>
        <v>0</v>
      </c>
      <c r="DE499" s="28" t="n">
        <f aca="false">IFERROR(INDEX(Assessments!$J$2:$J$600,MATCH($H499&amp;"|"&amp;$I499&amp;"|"&amp;$J499&amp;"|"&amp;9,Assessments!$A$2:$A$600,0)),0)</f>
        <v>0</v>
      </c>
      <c r="DF499" s="28" t="n">
        <f aca="false">IFERROR(INDEX(Assessments!$J$2:$J$600,MATCH($H499&amp;"|"&amp;$I499&amp;"|"&amp;$J499&amp;"|"&amp;10,Assessments!$A$2:$A$600,0)),0)</f>
        <v>0</v>
      </c>
      <c r="DG499" s="28" t="n">
        <f aca="false">IFERROR(INDEX(Assessments!$J$2:$J$600,MATCH($H499&amp;"|"&amp;$I499&amp;"|"&amp;$J499&amp;"|"&amp;11,Assessments!$A$2:$A$600,0)),0)</f>
        <v>0</v>
      </c>
      <c r="DH499" s="28" t="n">
        <f aca="false">IFERROR(INDEX(Assessments!$J$2:$J$600,MATCH($H499&amp;"|"&amp;$I499&amp;"|"&amp;$J499&amp;"|"&amp;12,Assessments!$A$2:$A$600,0)),0)</f>
        <v>0</v>
      </c>
      <c r="DI499" s="28" t="n">
        <f aca="false">IFERROR(INDEX(Assessments!$J$2:$J$600,MATCH($H499&amp;"|"&amp;$I499&amp;"|"&amp;$J499&amp;"|"&amp;13,Assessments!$A$2:$A$600,0)),0)</f>
        <v>0</v>
      </c>
      <c r="DJ499" s="28" t="n">
        <f aca="false">IFERROR(INDEX(Assessments!$J$2:$J$600,MATCH($H499&amp;"|"&amp;$I499&amp;"|"&amp;$J499&amp;"|"&amp;14,Assessments!$A$2:$A$600,0)),0)</f>
        <v>0</v>
      </c>
      <c r="DK499" s="28" t="str">
        <f aca="false">S499</f>
        <v/>
      </c>
      <c r="DL499" s="28" t="str">
        <f aca="false">W499</f>
        <v/>
      </c>
      <c r="DM499" s="28" t="str">
        <f aca="false">AA499</f>
        <v/>
      </c>
      <c r="DN499" s="28" t="str">
        <f aca="false">AE499</f>
        <v/>
      </c>
      <c r="DO499" s="28" t="str">
        <f aca="false">AI499</f>
        <v/>
      </c>
      <c r="DP499" s="28" t="str">
        <f aca="false">AM499</f>
        <v/>
      </c>
      <c r="DQ499" s="28" t="str">
        <f aca="false">AQ499</f>
        <v/>
      </c>
      <c r="DR499" s="28" t="str">
        <f aca="false">AU499</f>
        <v/>
      </c>
      <c r="DS499" s="28" t="str">
        <f aca="false">AY499</f>
        <v/>
      </c>
      <c r="DT499" s="28" t="str">
        <f aca="false">BC499</f>
        <v/>
      </c>
      <c r="DU499" s="28" t="str">
        <f aca="false">BG499</f>
        <v/>
      </c>
      <c r="DV499" s="28" t="str">
        <f aca="false">BK499</f>
        <v/>
      </c>
      <c r="DW499" s="28" t="str">
        <f aca="false">BO499</f>
        <v/>
      </c>
      <c r="DX499" s="28" t="str">
        <f aca="false">BS499</f>
        <v/>
      </c>
      <c r="DY499" s="28" t="str">
        <f aca="false">IF(ISNUMBER(S499),1,"")</f>
        <v/>
      </c>
      <c r="DZ499" s="28" t="str">
        <f aca="false">IF(ISNUMBER(W499),2,"")</f>
        <v/>
      </c>
      <c r="EA499" s="28" t="str">
        <f aca="false">IF(ISNUMBER(AA499),3,"")</f>
        <v/>
      </c>
      <c r="EB499" s="28" t="str">
        <f aca="false">IF(ISNUMBER(AE499),4,"")</f>
        <v/>
      </c>
      <c r="EC499" s="28" t="str">
        <f aca="false">IF(ISNUMBER(AI499),5,"")</f>
        <v/>
      </c>
      <c r="ED499" s="28" t="str">
        <f aca="false">IF(ISNUMBER(AM499),6,"")</f>
        <v/>
      </c>
      <c r="EE499" s="28" t="str">
        <f aca="false">IF(ISNUMBER(AQ499),7,"")</f>
        <v/>
      </c>
      <c r="EF499" s="28" t="str">
        <f aca="false">IF(ISNUMBER(AU499),8,"")</f>
        <v/>
      </c>
      <c r="EG499" s="28" t="str">
        <f aca="false">IF(ISNUMBER(AY499),9,"")</f>
        <v/>
      </c>
      <c r="EH499" s="28" t="str">
        <f aca="false">IF(ISNUMBER(BC499),10,"")</f>
        <v/>
      </c>
      <c r="EI499" s="28" t="str">
        <f aca="false">IF(ISNUMBER(BG499),11,"")</f>
        <v/>
      </c>
      <c r="EJ499" s="28" t="str">
        <f aca="false">IF(ISNUMBER(BK499),12,"")</f>
        <v/>
      </c>
      <c r="EK499" s="28" t="str">
        <f aca="false">IF(ISNUMBER(BO499),13,"")</f>
        <v/>
      </c>
      <c r="EL499" s="28" t="str">
        <f aca="false">IF(ISNUMBER(BS499),14,"")</f>
        <v/>
      </c>
      <c r="EM499" s="28" t="n">
        <f aca="false">IF(ISNUMBER(R499),R499*CW499,0)</f>
        <v>0</v>
      </c>
      <c r="EN499" s="28" t="n">
        <f aca="false">IF(ISNUMBER(V499),V499*CX499,0)</f>
        <v>0</v>
      </c>
      <c r="EO499" s="28" t="n">
        <f aca="false">IF(ISNUMBER(Z499),Z499*CY499,0)</f>
        <v>0</v>
      </c>
      <c r="EP499" s="28" t="n">
        <f aca="false">IF(ISNUMBER(AD499),AD499*CZ499,0)</f>
        <v>0</v>
      </c>
      <c r="EQ499" s="28" t="n">
        <f aca="false">IF(ISNUMBER(AH499),AH499*DA499,0)</f>
        <v>0</v>
      </c>
      <c r="ER499" s="28" t="n">
        <f aca="false">IF(ISNUMBER(AL499),AL499*DB499,0)</f>
        <v>0</v>
      </c>
      <c r="ES499" s="28" t="n">
        <f aca="false">IF(ISNUMBER(AP499),AP499*DC499,0)</f>
        <v>0</v>
      </c>
      <c r="ET499" s="28" t="n">
        <f aca="false">IF(ISNUMBER(AT499),AT499*DD499,0)</f>
        <v>0</v>
      </c>
      <c r="EU499" s="28" t="n">
        <f aca="false">IF(ISNUMBER(AX499),AX499*DE499,0)</f>
        <v>0</v>
      </c>
      <c r="EV499" s="28" t="n">
        <f aca="false">IF(ISNUMBER(BB499),BB499*DF499,0)</f>
        <v>0</v>
      </c>
      <c r="EW499" s="28" t="n">
        <f aca="false">IF(ISNUMBER(BF499),BF499*DG499,0)</f>
        <v>0</v>
      </c>
      <c r="EX499" s="28" t="n">
        <f aca="false">IF(ISNUMBER(BJ499),BJ499*DH499,0)</f>
        <v>0</v>
      </c>
      <c r="EY499" s="28" t="n">
        <f aca="false">IF(ISNUMBER(BN499),BN499*DI499,0)</f>
        <v>0</v>
      </c>
      <c r="EZ499" s="28" t="n">
        <f aca="false">IF(ISNUMBER(BR499),BR499*DJ499,0)</f>
        <v>0</v>
      </c>
      <c r="FA499" s="28" t="n">
        <f aca="false">IF(ISNUMBER(R499),CW499,0)</f>
        <v>0</v>
      </c>
      <c r="FB499" s="28" t="n">
        <f aca="false">IF(ISNUMBER(V499),CX499,0)</f>
        <v>0</v>
      </c>
      <c r="FC499" s="28" t="n">
        <f aca="false">IF(ISNUMBER(Z499),CY499,0)</f>
        <v>0</v>
      </c>
      <c r="FD499" s="28" t="n">
        <f aca="false">IF(ISNUMBER(AD499),CZ499,0)</f>
        <v>0</v>
      </c>
      <c r="FE499" s="28" t="n">
        <f aca="false">IF(ISNUMBER(AH499),DA499,0)</f>
        <v>0</v>
      </c>
      <c r="FF499" s="28" t="n">
        <f aca="false">IF(ISNUMBER(AL499),DB499,0)</f>
        <v>0</v>
      </c>
      <c r="FG499" s="28" t="n">
        <f aca="false">IF(ISNUMBER(AP499),DC499,0)</f>
        <v>0</v>
      </c>
      <c r="FH499" s="28" t="n">
        <f aca="false">IF(ISNUMBER(AT499),DD499,0)</f>
        <v>0</v>
      </c>
      <c r="FI499" s="28" t="n">
        <f aca="false">IF(ISNUMBER(AX499),DE499,0)</f>
        <v>0</v>
      </c>
      <c r="FJ499" s="28" t="n">
        <f aca="false">IF(ISNUMBER(BB499),DF499,0)</f>
        <v>0</v>
      </c>
      <c r="FK499" s="28" t="n">
        <f aca="false">IF(ISNUMBER(BF499),DG499,0)</f>
        <v>0</v>
      </c>
      <c r="FL499" s="28" t="n">
        <f aca="false">IF(ISNUMBER(BJ499),DH499,0)</f>
        <v>0</v>
      </c>
      <c r="FM499" s="28" t="n">
        <f aca="false">IF(ISNUMBER(BN499),DI499,0)</f>
        <v>0</v>
      </c>
      <c r="FN499" s="28" t="n">
        <f aca="false">IF(ISNUMBER(BR499),DJ499,0)</f>
        <v>0</v>
      </c>
      <c r="FO499" s="28" t="str">
        <f aca="false">IFERROR(INDEX(Lists!$G$2:$G$20,MATCH($I499&amp;"|"&amp;$J499,Lists!$F$2:$F$20,0)),"")</f>
        <v/>
      </c>
    </row>
    <row r="500" customFormat="false" ht="19.5" hidden="false" customHeight="true" outlineLevel="0" collapsed="false">
      <c r="A500" s="29"/>
      <c r="B500" s="29"/>
      <c r="C500" s="30"/>
      <c r="D500" s="30"/>
      <c r="E500" s="31"/>
      <c r="F500" s="30"/>
      <c r="G500" s="30"/>
      <c r="H500" s="32"/>
      <c r="I500" s="33"/>
      <c r="J500" s="32"/>
      <c r="K500" s="34" t="str">
        <f aca="false">IF(OR(M500="",$E500=""),"",M500-$E500)</f>
        <v/>
      </c>
      <c r="L500" s="35" t="str">
        <f aca="false">IF(SUM(FA500:FN500)=0,"",SUM(EM500:EZ500)/SUM(FA500:FN500))</f>
        <v/>
      </c>
      <c r="M500" s="36" t="str">
        <f aca="false">IF(OR(L500="",FO500=""),"",IFERROR(MATCH(L500,INDEX(Boundaries!$B$2:$I$30,MATCH(FO500,Boundaries!$A$2:$A$30,0),0),1)-1,""))</f>
        <v/>
      </c>
      <c r="N500" s="37" t="str">
        <f aca="false">IF(COUNT($DY500:$EL500)&lt;2,"",INDEX($DK500:$DX500,MAX($DY500:$EL500))-INDEX($DK500:$DX500,MIN($DY500:$EL500)))</f>
        <v/>
      </c>
      <c r="O500" s="37" t="str">
        <f aca="false">IF(COUNT($DY500:$EL500)&lt;2,"",INDEX($DK500:$DX500,MAX($DY500:$EL500))-INDEX($DK500:$DX500,LARGE($DY500:$EL500,2)))</f>
        <v/>
      </c>
      <c r="P500" s="38" t="str">
        <f aca="false">IF(K500="","",IF(K500&gt;=0,"On/above target",IF(AND(N500&lt;&gt;"",N500&gt;=0.5),"Improving towards target",IF(AND(O500&lt;&gt;"",O500&lt;=-0.5),"Declining","Stable below target"))))</f>
        <v/>
      </c>
      <c r="Q500" s="39"/>
      <c r="R500" s="40" t="str">
        <f aca="false">IF(OR(Q500="",BU500=""),"",Q500/BU500*100)</f>
        <v/>
      </c>
      <c r="S500" s="41" t="str">
        <f aca="false">IF(R500="","",IFERROR(MATCH(R500,INDEX(Boundaries!$B$2:$I$30,MATCH(CI500,Boundaries!$A$2:$A$30,0),0),1)-1,""))</f>
        <v/>
      </c>
      <c r="T500" s="42" t="str">
        <f aca="false">IF(OR(S500="",$E500=""),"",S500-$E500)</f>
        <v/>
      </c>
      <c r="U500" s="39"/>
      <c r="V500" s="40" t="str">
        <f aca="false">IF(OR(U500="",BV500=""),"",U500/BV500*100)</f>
        <v/>
      </c>
      <c r="W500" s="41" t="str">
        <f aca="false">IF(V500="","",IFERROR(MATCH(V500,INDEX(Boundaries!$B$2:$I$30,MATCH(CJ500,Boundaries!$A$2:$A$30,0),0),1)-1,""))</f>
        <v/>
      </c>
      <c r="X500" s="42" t="str">
        <f aca="false">IF(OR(W500="",$E500=""),"",W500-$E500)</f>
        <v/>
      </c>
      <c r="Y500" s="39"/>
      <c r="Z500" s="40" t="str">
        <f aca="false">IF(OR(Y500="",BW500=""),"",Y500/BW500*100)</f>
        <v/>
      </c>
      <c r="AA500" s="41" t="str">
        <f aca="false">IF(Z500="","",IFERROR(MATCH(Z500,INDEX(Boundaries!$B$2:$I$30,MATCH(CK500,Boundaries!$A$2:$A$30,0),0),1)-1,""))</f>
        <v/>
      </c>
      <c r="AB500" s="42" t="str">
        <f aca="false">IF(OR(AA500="",$E500=""),"",AA500-$E500)</f>
        <v/>
      </c>
      <c r="AC500" s="39"/>
      <c r="AD500" s="40" t="str">
        <f aca="false">IF(OR(AC500="",BX500=""),"",AC500/BX500*100)</f>
        <v/>
      </c>
      <c r="AE500" s="41" t="str">
        <f aca="false">IF(AD500="","",IFERROR(MATCH(AD500,INDEX(Boundaries!$B$2:$I$30,MATCH(CL500,Boundaries!$A$2:$A$30,0),0),1)-1,""))</f>
        <v/>
      </c>
      <c r="AF500" s="42" t="str">
        <f aca="false">IF(OR(AE500="",$E500=""),"",AE500-$E500)</f>
        <v/>
      </c>
      <c r="AG500" s="39"/>
      <c r="AH500" s="40" t="str">
        <f aca="false">IF(OR(AG500="",BY500=""),"",AG500/BY500*100)</f>
        <v/>
      </c>
      <c r="AI500" s="41" t="str">
        <f aca="false">IF(AH500="","",IFERROR(MATCH(AH500,INDEX(Boundaries!$B$2:$I$30,MATCH(CM500,Boundaries!$A$2:$A$30,0),0),1)-1,""))</f>
        <v/>
      </c>
      <c r="AJ500" s="42" t="str">
        <f aca="false">IF(OR(AI500="",$E500=""),"",AI500-$E500)</f>
        <v/>
      </c>
      <c r="AK500" s="39"/>
      <c r="AL500" s="40" t="str">
        <f aca="false">IF(OR(AK500="",BZ500=""),"",AK500/BZ500*100)</f>
        <v/>
      </c>
      <c r="AM500" s="41" t="str">
        <f aca="false">IF(AL500="","",IFERROR(MATCH(AL500,INDEX(Boundaries!$B$2:$I$30,MATCH(CN500,Boundaries!$A$2:$A$30,0),0),1)-1,""))</f>
        <v/>
      </c>
      <c r="AN500" s="42" t="str">
        <f aca="false">IF(OR(AM500="",$E500=""),"",AM500-$E500)</f>
        <v/>
      </c>
      <c r="AO500" s="39"/>
      <c r="AP500" s="40" t="str">
        <f aca="false">IF(OR(AO500="",CA500=""),"",AO500/CA500*100)</f>
        <v/>
      </c>
      <c r="AQ500" s="41" t="str">
        <f aca="false">IF(AP500="","",IFERROR(MATCH(AP500,INDEX(Boundaries!$B$2:$I$30,MATCH(CO500,Boundaries!$A$2:$A$30,0),0),1)-1,""))</f>
        <v/>
      </c>
      <c r="AR500" s="42" t="str">
        <f aca="false">IF(OR(AQ500="",$E500=""),"",AQ500-$E500)</f>
        <v/>
      </c>
      <c r="AS500" s="39"/>
      <c r="AT500" s="40" t="str">
        <f aca="false">IF(OR(AS500="",CB500=""),"",AS500/CB500*100)</f>
        <v/>
      </c>
      <c r="AU500" s="41" t="str">
        <f aca="false">IF(AT500="","",IFERROR(MATCH(AT500,INDEX(Boundaries!$B$2:$I$30,MATCH(CP500,Boundaries!$A$2:$A$30,0),0),1)-1,""))</f>
        <v/>
      </c>
      <c r="AV500" s="42" t="str">
        <f aca="false">IF(OR(AU500="",$E500=""),"",AU500-$E500)</f>
        <v/>
      </c>
      <c r="AW500" s="39"/>
      <c r="AX500" s="40" t="str">
        <f aca="false">IF(OR(AW500="",CC500=""),"",AW500/CC500*100)</f>
        <v/>
      </c>
      <c r="AY500" s="41" t="str">
        <f aca="false">IF(AX500="","",IFERROR(MATCH(AX500,INDEX(Boundaries!$B$2:$I$30,MATCH(CQ500,Boundaries!$A$2:$A$30,0),0),1)-1,""))</f>
        <v/>
      </c>
      <c r="AZ500" s="42" t="str">
        <f aca="false">IF(OR(AY500="",$E500=""),"",AY500-$E500)</f>
        <v/>
      </c>
      <c r="BA500" s="39"/>
      <c r="BB500" s="40" t="str">
        <f aca="false">IF(OR(BA500="",CD500=""),"",BA500/CD500*100)</f>
        <v/>
      </c>
      <c r="BC500" s="41" t="str">
        <f aca="false">IF(BB500="","",IFERROR(MATCH(BB500,INDEX(Boundaries!$B$2:$I$30,MATCH(CR500,Boundaries!$A$2:$A$30,0),0),1)-1,""))</f>
        <v/>
      </c>
      <c r="BD500" s="42" t="str">
        <f aca="false">IF(OR(BC500="",$E500=""),"",BC500-$E500)</f>
        <v/>
      </c>
      <c r="BE500" s="39"/>
      <c r="BF500" s="40" t="str">
        <f aca="false">IF(OR(BE500="",CE500=""),"",BE500/CE500*100)</f>
        <v/>
      </c>
      <c r="BG500" s="41" t="str">
        <f aca="false">IF(BF500="","",IFERROR(MATCH(BF500,INDEX(Boundaries!$B$2:$I$30,MATCH(CS500,Boundaries!$A$2:$A$30,0),0),1)-1,""))</f>
        <v/>
      </c>
      <c r="BH500" s="42" t="str">
        <f aca="false">IF(OR(BG500="",$E500=""),"",BG500-$E500)</f>
        <v/>
      </c>
      <c r="BI500" s="39"/>
      <c r="BJ500" s="40" t="str">
        <f aca="false">IF(OR(BI500="",CF500=""),"",BI500/CF500*100)</f>
        <v/>
      </c>
      <c r="BK500" s="41" t="str">
        <f aca="false">IF(BJ500="","",IFERROR(MATCH(BJ500,INDEX(Boundaries!$B$2:$I$30,MATCH(CT500,Boundaries!$A$2:$A$30,0),0),1)-1,""))</f>
        <v/>
      </c>
      <c r="BL500" s="42" t="str">
        <f aca="false">IF(OR(BK500="",$E500=""),"",BK500-$E500)</f>
        <v/>
      </c>
      <c r="BM500" s="39"/>
      <c r="BN500" s="40" t="str">
        <f aca="false">IF(OR(BM500="",CG500=""),"",BM500/CG500*100)</f>
        <v/>
      </c>
      <c r="BO500" s="41" t="str">
        <f aca="false">IF(BN500="","",IFERROR(MATCH(BN500,INDEX(Boundaries!$B$2:$I$30,MATCH(CU500,Boundaries!$A$2:$A$30,0),0),1)-1,""))</f>
        <v/>
      </c>
      <c r="BP500" s="42" t="str">
        <f aca="false">IF(OR(BO500="",$E500=""),"",BO500-$E500)</f>
        <v/>
      </c>
      <c r="BQ500" s="39"/>
      <c r="BR500" s="40" t="str">
        <f aca="false">IF(OR(BQ500="",CH500=""),"",BQ500/CH500*100)</f>
        <v/>
      </c>
      <c r="BS500" s="41" t="str">
        <f aca="false">IF(BR500="","",IFERROR(MATCH(BR500,INDEX(Boundaries!$B$2:$I$30,MATCH(CV500,Boundaries!$A$2:$A$30,0),0),1)-1,""))</f>
        <v/>
      </c>
      <c r="BT500" s="42" t="str">
        <f aca="false">IF(OR(BS500="",$E500=""),"",BS500-$E500)</f>
        <v/>
      </c>
      <c r="BU500" s="28" t="str">
        <f aca="false">IFERROR(INDEX(Assessments!$H$2:$H$600,MATCH($H500&amp;"|"&amp;$I500&amp;"|"&amp;$J500&amp;"|"&amp;1,Assessments!$A$2:$A$600,0)),"")</f>
        <v/>
      </c>
      <c r="BV500" s="28" t="str">
        <f aca="false">IFERROR(INDEX(Assessments!$H$2:$H$600,MATCH($H500&amp;"|"&amp;$I500&amp;"|"&amp;$J500&amp;"|"&amp;2,Assessments!$A$2:$A$600,0)),"")</f>
        <v/>
      </c>
      <c r="BW500" s="28" t="str">
        <f aca="false">IFERROR(INDEX(Assessments!$H$2:$H$600,MATCH($H500&amp;"|"&amp;$I500&amp;"|"&amp;$J500&amp;"|"&amp;3,Assessments!$A$2:$A$600,0)),"")</f>
        <v/>
      </c>
      <c r="BX500" s="28" t="str">
        <f aca="false">IFERROR(INDEX(Assessments!$H$2:$H$600,MATCH($H500&amp;"|"&amp;$I500&amp;"|"&amp;$J500&amp;"|"&amp;4,Assessments!$A$2:$A$600,0)),"")</f>
        <v/>
      </c>
      <c r="BY500" s="28" t="str">
        <f aca="false">IFERROR(INDEX(Assessments!$H$2:$H$600,MATCH($H500&amp;"|"&amp;$I500&amp;"|"&amp;$J500&amp;"|"&amp;5,Assessments!$A$2:$A$600,0)),"")</f>
        <v/>
      </c>
      <c r="BZ500" s="28" t="str">
        <f aca="false">IFERROR(INDEX(Assessments!$H$2:$H$600,MATCH($H500&amp;"|"&amp;$I500&amp;"|"&amp;$J500&amp;"|"&amp;6,Assessments!$A$2:$A$600,0)),"")</f>
        <v/>
      </c>
      <c r="CA500" s="28" t="str">
        <f aca="false">IFERROR(INDEX(Assessments!$H$2:$H$600,MATCH($H500&amp;"|"&amp;$I500&amp;"|"&amp;$J500&amp;"|"&amp;7,Assessments!$A$2:$A$600,0)),"")</f>
        <v/>
      </c>
      <c r="CB500" s="28" t="str">
        <f aca="false">IFERROR(INDEX(Assessments!$H$2:$H$600,MATCH($H500&amp;"|"&amp;$I500&amp;"|"&amp;$J500&amp;"|"&amp;8,Assessments!$A$2:$A$600,0)),"")</f>
        <v/>
      </c>
      <c r="CC500" s="28" t="str">
        <f aca="false">IFERROR(INDEX(Assessments!$H$2:$H$600,MATCH($H500&amp;"|"&amp;$I500&amp;"|"&amp;$J500&amp;"|"&amp;9,Assessments!$A$2:$A$600,0)),"")</f>
        <v/>
      </c>
      <c r="CD500" s="28" t="str">
        <f aca="false">IFERROR(INDEX(Assessments!$H$2:$H$600,MATCH($H500&amp;"|"&amp;$I500&amp;"|"&amp;$J500&amp;"|"&amp;10,Assessments!$A$2:$A$600,0)),"")</f>
        <v/>
      </c>
      <c r="CE500" s="28" t="str">
        <f aca="false">IFERROR(INDEX(Assessments!$H$2:$H$600,MATCH($H500&amp;"|"&amp;$I500&amp;"|"&amp;$J500&amp;"|"&amp;11,Assessments!$A$2:$A$600,0)),"")</f>
        <v/>
      </c>
      <c r="CF500" s="28" t="str">
        <f aca="false">IFERROR(INDEX(Assessments!$H$2:$H$600,MATCH($H500&amp;"|"&amp;$I500&amp;"|"&amp;$J500&amp;"|"&amp;12,Assessments!$A$2:$A$600,0)),"")</f>
        <v/>
      </c>
      <c r="CG500" s="28" t="str">
        <f aca="false">IFERROR(INDEX(Assessments!$H$2:$H$600,MATCH($H500&amp;"|"&amp;$I500&amp;"|"&amp;$J500&amp;"|"&amp;13,Assessments!$A$2:$A$600,0)),"")</f>
        <v/>
      </c>
      <c r="CH500" s="28" t="str">
        <f aca="false">IFERROR(INDEX(Assessments!$H$2:$H$600,MATCH($H500&amp;"|"&amp;$I500&amp;"|"&amp;$J500&amp;"|"&amp;14,Assessments!$A$2:$A$600,0)),"")</f>
        <v/>
      </c>
      <c r="CI500" s="28" t="str">
        <f aca="false">IFERROR(INDEX(Assessments!$I$2:$I$600,MATCH($H500&amp;"|"&amp;$I500&amp;"|"&amp;$J500&amp;"|"&amp;1,Assessments!$A$2:$A$600,0)),"")</f>
        <v/>
      </c>
      <c r="CJ500" s="28" t="str">
        <f aca="false">IFERROR(INDEX(Assessments!$I$2:$I$600,MATCH($H500&amp;"|"&amp;$I500&amp;"|"&amp;$J500&amp;"|"&amp;2,Assessments!$A$2:$A$600,0)),"")</f>
        <v/>
      </c>
      <c r="CK500" s="28" t="str">
        <f aca="false">IFERROR(INDEX(Assessments!$I$2:$I$600,MATCH($H500&amp;"|"&amp;$I500&amp;"|"&amp;$J500&amp;"|"&amp;3,Assessments!$A$2:$A$600,0)),"")</f>
        <v/>
      </c>
      <c r="CL500" s="28" t="str">
        <f aca="false">IFERROR(INDEX(Assessments!$I$2:$I$600,MATCH($H500&amp;"|"&amp;$I500&amp;"|"&amp;$J500&amp;"|"&amp;4,Assessments!$A$2:$A$600,0)),"")</f>
        <v/>
      </c>
      <c r="CM500" s="28" t="str">
        <f aca="false">IFERROR(INDEX(Assessments!$I$2:$I$600,MATCH($H500&amp;"|"&amp;$I500&amp;"|"&amp;$J500&amp;"|"&amp;5,Assessments!$A$2:$A$600,0)),"")</f>
        <v/>
      </c>
      <c r="CN500" s="28" t="str">
        <f aca="false">IFERROR(INDEX(Assessments!$I$2:$I$600,MATCH($H500&amp;"|"&amp;$I500&amp;"|"&amp;$J500&amp;"|"&amp;6,Assessments!$A$2:$A$600,0)),"")</f>
        <v/>
      </c>
      <c r="CO500" s="28" t="str">
        <f aca="false">IFERROR(INDEX(Assessments!$I$2:$I$600,MATCH($H500&amp;"|"&amp;$I500&amp;"|"&amp;$J500&amp;"|"&amp;7,Assessments!$A$2:$A$600,0)),"")</f>
        <v/>
      </c>
      <c r="CP500" s="28" t="str">
        <f aca="false">IFERROR(INDEX(Assessments!$I$2:$I$600,MATCH($H500&amp;"|"&amp;$I500&amp;"|"&amp;$J500&amp;"|"&amp;8,Assessments!$A$2:$A$600,0)),"")</f>
        <v/>
      </c>
      <c r="CQ500" s="28" t="str">
        <f aca="false">IFERROR(INDEX(Assessments!$I$2:$I$600,MATCH($H500&amp;"|"&amp;$I500&amp;"|"&amp;$J500&amp;"|"&amp;9,Assessments!$A$2:$A$600,0)),"")</f>
        <v/>
      </c>
      <c r="CR500" s="28" t="str">
        <f aca="false">IFERROR(INDEX(Assessments!$I$2:$I$600,MATCH($H500&amp;"|"&amp;$I500&amp;"|"&amp;$J500&amp;"|"&amp;10,Assessments!$A$2:$A$600,0)),"")</f>
        <v/>
      </c>
      <c r="CS500" s="28" t="str">
        <f aca="false">IFERROR(INDEX(Assessments!$I$2:$I$600,MATCH($H500&amp;"|"&amp;$I500&amp;"|"&amp;$J500&amp;"|"&amp;11,Assessments!$A$2:$A$600,0)),"")</f>
        <v/>
      </c>
      <c r="CT500" s="28" t="str">
        <f aca="false">IFERROR(INDEX(Assessments!$I$2:$I$600,MATCH($H500&amp;"|"&amp;$I500&amp;"|"&amp;$J500&amp;"|"&amp;12,Assessments!$A$2:$A$600,0)),"")</f>
        <v/>
      </c>
      <c r="CU500" s="28" t="str">
        <f aca="false">IFERROR(INDEX(Assessments!$I$2:$I$600,MATCH($H500&amp;"|"&amp;$I500&amp;"|"&amp;$J500&amp;"|"&amp;13,Assessments!$A$2:$A$600,0)),"")</f>
        <v/>
      </c>
      <c r="CV500" s="28" t="str">
        <f aca="false">IFERROR(INDEX(Assessments!$I$2:$I$600,MATCH($H500&amp;"|"&amp;$I500&amp;"|"&amp;$J500&amp;"|"&amp;14,Assessments!$A$2:$A$600,0)),"")</f>
        <v/>
      </c>
      <c r="CW500" s="28" t="n">
        <f aca="false">IFERROR(INDEX(Assessments!$J$2:$J$600,MATCH($H500&amp;"|"&amp;$I500&amp;"|"&amp;$J500&amp;"|"&amp;1,Assessments!$A$2:$A$600,0)),0)</f>
        <v>0</v>
      </c>
      <c r="CX500" s="28" t="n">
        <f aca="false">IFERROR(INDEX(Assessments!$J$2:$J$600,MATCH($H500&amp;"|"&amp;$I500&amp;"|"&amp;$J500&amp;"|"&amp;2,Assessments!$A$2:$A$600,0)),0)</f>
        <v>0</v>
      </c>
      <c r="CY500" s="28" t="n">
        <f aca="false">IFERROR(INDEX(Assessments!$J$2:$J$600,MATCH($H500&amp;"|"&amp;$I500&amp;"|"&amp;$J500&amp;"|"&amp;3,Assessments!$A$2:$A$600,0)),0)</f>
        <v>0</v>
      </c>
      <c r="CZ500" s="28" t="n">
        <f aca="false">IFERROR(INDEX(Assessments!$J$2:$J$600,MATCH($H500&amp;"|"&amp;$I500&amp;"|"&amp;$J500&amp;"|"&amp;4,Assessments!$A$2:$A$600,0)),0)</f>
        <v>0</v>
      </c>
      <c r="DA500" s="28" t="n">
        <f aca="false">IFERROR(INDEX(Assessments!$J$2:$J$600,MATCH($H500&amp;"|"&amp;$I500&amp;"|"&amp;$J500&amp;"|"&amp;5,Assessments!$A$2:$A$600,0)),0)</f>
        <v>0</v>
      </c>
      <c r="DB500" s="28" t="n">
        <f aca="false">IFERROR(INDEX(Assessments!$J$2:$J$600,MATCH($H500&amp;"|"&amp;$I500&amp;"|"&amp;$J500&amp;"|"&amp;6,Assessments!$A$2:$A$600,0)),0)</f>
        <v>0</v>
      </c>
      <c r="DC500" s="28" t="n">
        <f aca="false">IFERROR(INDEX(Assessments!$J$2:$J$600,MATCH($H500&amp;"|"&amp;$I500&amp;"|"&amp;$J500&amp;"|"&amp;7,Assessments!$A$2:$A$600,0)),0)</f>
        <v>0</v>
      </c>
      <c r="DD500" s="28" t="n">
        <f aca="false">IFERROR(INDEX(Assessments!$J$2:$J$600,MATCH($H500&amp;"|"&amp;$I500&amp;"|"&amp;$J500&amp;"|"&amp;8,Assessments!$A$2:$A$600,0)),0)</f>
        <v>0</v>
      </c>
      <c r="DE500" s="28" t="n">
        <f aca="false">IFERROR(INDEX(Assessments!$J$2:$J$600,MATCH($H500&amp;"|"&amp;$I500&amp;"|"&amp;$J500&amp;"|"&amp;9,Assessments!$A$2:$A$600,0)),0)</f>
        <v>0</v>
      </c>
      <c r="DF500" s="28" t="n">
        <f aca="false">IFERROR(INDEX(Assessments!$J$2:$J$600,MATCH($H500&amp;"|"&amp;$I500&amp;"|"&amp;$J500&amp;"|"&amp;10,Assessments!$A$2:$A$600,0)),0)</f>
        <v>0</v>
      </c>
      <c r="DG500" s="28" t="n">
        <f aca="false">IFERROR(INDEX(Assessments!$J$2:$J$600,MATCH($H500&amp;"|"&amp;$I500&amp;"|"&amp;$J500&amp;"|"&amp;11,Assessments!$A$2:$A$600,0)),0)</f>
        <v>0</v>
      </c>
      <c r="DH500" s="28" t="n">
        <f aca="false">IFERROR(INDEX(Assessments!$J$2:$J$600,MATCH($H500&amp;"|"&amp;$I500&amp;"|"&amp;$J500&amp;"|"&amp;12,Assessments!$A$2:$A$600,0)),0)</f>
        <v>0</v>
      </c>
      <c r="DI500" s="28" t="n">
        <f aca="false">IFERROR(INDEX(Assessments!$J$2:$J$600,MATCH($H500&amp;"|"&amp;$I500&amp;"|"&amp;$J500&amp;"|"&amp;13,Assessments!$A$2:$A$600,0)),0)</f>
        <v>0</v>
      </c>
      <c r="DJ500" s="28" t="n">
        <f aca="false">IFERROR(INDEX(Assessments!$J$2:$J$600,MATCH($H500&amp;"|"&amp;$I500&amp;"|"&amp;$J500&amp;"|"&amp;14,Assessments!$A$2:$A$600,0)),0)</f>
        <v>0</v>
      </c>
      <c r="DK500" s="28" t="str">
        <f aca="false">S500</f>
        <v/>
      </c>
      <c r="DL500" s="28" t="str">
        <f aca="false">W500</f>
        <v/>
      </c>
      <c r="DM500" s="28" t="str">
        <f aca="false">AA500</f>
        <v/>
      </c>
      <c r="DN500" s="28" t="str">
        <f aca="false">AE500</f>
        <v/>
      </c>
      <c r="DO500" s="28" t="str">
        <f aca="false">AI500</f>
        <v/>
      </c>
      <c r="DP500" s="28" t="str">
        <f aca="false">AM500</f>
        <v/>
      </c>
      <c r="DQ500" s="28" t="str">
        <f aca="false">AQ500</f>
        <v/>
      </c>
      <c r="DR500" s="28" t="str">
        <f aca="false">AU500</f>
        <v/>
      </c>
      <c r="DS500" s="28" t="str">
        <f aca="false">AY500</f>
        <v/>
      </c>
      <c r="DT500" s="28" t="str">
        <f aca="false">BC500</f>
        <v/>
      </c>
      <c r="DU500" s="28" t="str">
        <f aca="false">BG500</f>
        <v/>
      </c>
      <c r="DV500" s="28" t="str">
        <f aca="false">BK500</f>
        <v/>
      </c>
      <c r="DW500" s="28" t="str">
        <f aca="false">BO500</f>
        <v/>
      </c>
      <c r="DX500" s="28" t="str">
        <f aca="false">BS500</f>
        <v/>
      </c>
      <c r="DY500" s="28" t="str">
        <f aca="false">IF(ISNUMBER(S500),1,"")</f>
        <v/>
      </c>
      <c r="DZ500" s="28" t="str">
        <f aca="false">IF(ISNUMBER(W500),2,"")</f>
        <v/>
      </c>
      <c r="EA500" s="28" t="str">
        <f aca="false">IF(ISNUMBER(AA500),3,"")</f>
        <v/>
      </c>
      <c r="EB500" s="28" t="str">
        <f aca="false">IF(ISNUMBER(AE500),4,"")</f>
        <v/>
      </c>
      <c r="EC500" s="28" t="str">
        <f aca="false">IF(ISNUMBER(AI500),5,"")</f>
        <v/>
      </c>
      <c r="ED500" s="28" t="str">
        <f aca="false">IF(ISNUMBER(AM500),6,"")</f>
        <v/>
      </c>
      <c r="EE500" s="28" t="str">
        <f aca="false">IF(ISNUMBER(AQ500),7,"")</f>
        <v/>
      </c>
      <c r="EF500" s="28" t="str">
        <f aca="false">IF(ISNUMBER(AU500),8,"")</f>
        <v/>
      </c>
      <c r="EG500" s="28" t="str">
        <f aca="false">IF(ISNUMBER(AY500),9,"")</f>
        <v/>
      </c>
      <c r="EH500" s="28" t="str">
        <f aca="false">IF(ISNUMBER(BC500),10,"")</f>
        <v/>
      </c>
      <c r="EI500" s="28" t="str">
        <f aca="false">IF(ISNUMBER(BG500),11,"")</f>
        <v/>
      </c>
      <c r="EJ500" s="28" t="str">
        <f aca="false">IF(ISNUMBER(BK500),12,"")</f>
        <v/>
      </c>
      <c r="EK500" s="28" t="str">
        <f aca="false">IF(ISNUMBER(BO500),13,"")</f>
        <v/>
      </c>
      <c r="EL500" s="28" t="str">
        <f aca="false">IF(ISNUMBER(BS500),14,"")</f>
        <v/>
      </c>
      <c r="EM500" s="28" t="n">
        <f aca="false">IF(ISNUMBER(R500),R500*CW500,0)</f>
        <v>0</v>
      </c>
      <c r="EN500" s="28" t="n">
        <f aca="false">IF(ISNUMBER(V500),V500*CX500,0)</f>
        <v>0</v>
      </c>
      <c r="EO500" s="28" t="n">
        <f aca="false">IF(ISNUMBER(Z500),Z500*CY500,0)</f>
        <v>0</v>
      </c>
      <c r="EP500" s="28" t="n">
        <f aca="false">IF(ISNUMBER(AD500),AD500*CZ500,0)</f>
        <v>0</v>
      </c>
      <c r="EQ500" s="28" t="n">
        <f aca="false">IF(ISNUMBER(AH500),AH500*DA500,0)</f>
        <v>0</v>
      </c>
      <c r="ER500" s="28" t="n">
        <f aca="false">IF(ISNUMBER(AL500),AL500*DB500,0)</f>
        <v>0</v>
      </c>
      <c r="ES500" s="28" t="n">
        <f aca="false">IF(ISNUMBER(AP500),AP500*DC500,0)</f>
        <v>0</v>
      </c>
      <c r="ET500" s="28" t="n">
        <f aca="false">IF(ISNUMBER(AT500),AT500*DD500,0)</f>
        <v>0</v>
      </c>
      <c r="EU500" s="28" t="n">
        <f aca="false">IF(ISNUMBER(AX500),AX500*DE500,0)</f>
        <v>0</v>
      </c>
      <c r="EV500" s="28" t="n">
        <f aca="false">IF(ISNUMBER(BB500),BB500*DF500,0)</f>
        <v>0</v>
      </c>
      <c r="EW500" s="28" t="n">
        <f aca="false">IF(ISNUMBER(BF500),BF500*DG500,0)</f>
        <v>0</v>
      </c>
      <c r="EX500" s="28" t="n">
        <f aca="false">IF(ISNUMBER(BJ500),BJ500*DH500,0)</f>
        <v>0</v>
      </c>
      <c r="EY500" s="28" t="n">
        <f aca="false">IF(ISNUMBER(BN500),BN500*DI500,0)</f>
        <v>0</v>
      </c>
      <c r="EZ500" s="28" t="n">
        <f aca="false">IF(ISNUMBER(BR500),BR500*DJ500,0)</f>
        <v>0</v>
      </c>
      <c r="FA500" s="28" t="n">
        <f aca="false">IF(ISNUMBER(R500),CW500,0)</f>
        <v>0</v>
      </c>
      <c r="FB500" s="28" t="n">
        <f aca="false">IF(ISNUMBER(V500),CX500,0)</f>
        <v>0</v>
      </c>
      <c r="FC500" s="28" t="n">
        <f aca="false">IF(ISNUMBER(Z500),CY500,0)</f>
        <v>0</v>
      </c>
      <c r="FD500" s="28" t="n">
        <f aca="false">IF(ISNUMBER(AD500),CZ500,0)</f>
        <v>0</v>
      </c>
      <c r="FE500" s="28" t="n">
        <f aca="false">IF(ISNUMBER(AH500),DA500,0)</f>
        <v>0</v>
      </c>
      <c r="FF500" s="28" t="n">
        <f aca="false">IF(ISNUMBER(AL500),DB500,0)</f>
        <v>0</v>
      </c>
      <c r="FG500" s="28" t="n">
        <f aca="false">IF(ISNUMBER(AP500),DC500,0)</f>
        <v>0</v>
      </c>
      <c r="FH500" s="28" t="n">
        <f aca="false">IF(ISNUMBER(AT500),DD500,0)</f>
        <v>0</v>
      </c>
      <c r="FI500" s="28" t="n">
        <f aca="false">IF(ISNUMBER(AX500),DE500,0)</f>
        <v>0</v>
      </c>
      <c r="FJ500" s="28" t="n">
        <f aca="false">IF(ISNUMBER(BB500),DF500,0)</f>
        <v>0</v>
      </c>
      <c r="FK500" s="28" t="n">
        <f aca="false">IF(ISNUMBER(BF500),DG500,0)</f>
        <v>0</v>
      </c>
      <c r="FL500" s="28" t="n">
        <f aca="false">IF(ISNUMBER(BJ500),DH500,0)</f>
        <v>0</v>
      </c>
      <c r="FM500" s="28" t="n">
        <f aca="false">IF(ISNUMBER(BN500),DI500,0)</f>
        <v>0</v>
      </c>
      <c r="FN500" s="28" t="n">
        <f aca="false">IF(ISNUMBER(BR500),DJ500,0)</f>
        <v>0</v>
      </c>
      <c r="FO500" s="28" t="str">
        <f aca="false">IFERROR(INDEX(Lists!$G$2:$G$20,MATCH($I500&amp;"|"&amp;$J500,Lists!$F$2:$F$20,0)),"")</f>
        <v/>
      </c>
    </row>
    <row r="501" customFormat="false" ht="19.5" hidden="false" customHeight="true" outlineLevel="0" collapsed="false">
      <c r="A501" s="29"/>
      <c r="B501" s="29"/>
      <c r="C501" s="30"/>
      <c r="D501" s="30"/>
      <c r="E501" s="31"/>
      <c r="F501" s="30"/>
      <c r="G501" s="30"/>
      <c r="H501" s="32"/>
      <c r="I501" s="33"/>
      <c r="J501" s="32"/>
      <c r="K501" s="34" t="str">
        <f aca="false">IF(OR(M501="",$E501=""),"",M501-$E501)</f>
        <v/>
      </c>
      <c r="L501" s="35" t="str">
        <f aca="false">IF(SUM(FA501:FN501)=0,"",SUM(EM501:EZ501)/SUM(FA501:FN501))</f>
        <v/>
      </c>
      <c r="M501" s="36" t="str">
        <f aca="false">IF(OR(L501="",FO501=""),"",IFERROR(MATCH(L501,INDEX(Boundaries!$B$2:$I$30,MATCH(FO501,Boundaries!$A$2:$A$30,0),0),1)-1,""))</f>
        <v/>
      </c>
      <c r="N501" s="37" t="str">
        <f aca="false">IF(COUNT($DY501:$EL501)&lt;2,"",INDEX($DK501:$DX501,MAX($DY501:$EL501))-INDEX($DK501:$DX501,MIN($DY501:$EL501)))</f>
        <v/>
      </c>
      <c r="O501" s="37" t="str">
        <f aca="false">IF(COUNT($DY501:$EL501)&lt;2,"",INDEX($DK501:$DX501,MAX($DY501:$EL501))-INDEX($DK501:$DX501,LARGE($DY501:$EL501,2)))</f>
        <v/>
      </c>
      <c r="P501" s="38" t="str">
        <f aca="false">IF(K501="","",IF(K501&gt;=0,"On/above target",IF(AND(N501&lt;&gt;"",N501&gt;=0.5),"Improving towards target",IF(AND(O501&lt;&gt;"",O501&lt;=-0.5),"Declining","Stable below target"))))</f>
        <v/>
      </c>
      <c r="Q501" s="39"/>
      <c r="R501" s="40" t="str">
        <f aca="false">IF(OR(Q501="",BU501=""),"",Q501/BU501*100)</f>
        <v/>
      </c>
      <c r="S501" s="41" t="str">
        <f aca="false">IF(R501="","",IFERROR(MATCH(R501,INDEX(Boundaries!$B$2:$I$30,MATCH(CI501,Boundaries!$A$2:$A$30,0),0),1)-1,""))</f>
        <v/>
      </c>
      <c r="T501" s="42" t="str">
        <f aca="false">IF(OR(S501="",$E501=""),"",S501-$E501)</f>
        <v/>
      </c>
      <c r="U501" s="39"/>
      <c r="V501" s="40" t="str">
        <f aca="false">IF(OR(U501="",BV501=""),"",U501/BV501*100)</f>
        <v/>
      </c>
      <c r="W501" s="41" t="str">
        <f aca="false">IF(V501="","",IFERROR(MATCH(V501,INDEX(Boundaries!$B$2:$I$30,MATCH(CJ501,Boundaries!$A$2:$A$30,0),0),1)-1,""))</f>
        <v/>
      </c>
      <c r="X501" s="42" t="str">
        <f aca="false">IF(OR(W501="",$E501=""),"",W501-$E501)</f>
        <v/>
      </c>
      <c r="Y501" s="39"/>
      <c r="Z501" s="40" t="str">
        <f aca="false">IF(OR(Y501="",BW501=""),"",Y501/BW501*100)</f>
        <v/>
      </c>
      <c r="AA501" s="41" t="str">
        <f aca="false">IF(Z501="","",IFERROR(MATCH(Z501,INDEX(Boundaries!$B$2:$I$30,MATCH(CK501,Boundaries!$A$2:$A$30,0),0),1)-1,""))</f>
        <v/>
      </c>
      <c r="AB501" s="42" t="str">
        <f aca="false">IF(OR(AA501="",$E501=""),"",AA501-$E501)</f>
        <v/>
      </c>
      <c r="AC501" s="39"/>
      <c r="AD501" s="40" t="str">
        <f aca="false">IF(OR(AC501="",BX501=""),"",AC501/BX501*100)</f>
        <v/>
      </c>
      <c r="AE501" s="41" t="str">
        <f aca="false">IF(AD501="","",IFERROR(MATCH(AD501,INDEX(Boundaries!$B$2:$I$30,MATCH(CL501,Boundaries!$A$2:$A$30,0),0),1)-1,""))</f>
        <v/>
      </c>
      <c r="AF501" s="42" t="str">
        <f aca="false">IF(OR(AE501="",$E501=""),"",AE501-$E501)</f>
        <v/>
      </c>
      <c r="AG501" s="39"/>
      <c r="AH501" s="40" t="str">
        <f aca="false">IF(OR(AG501="",BY501=""),"",AG501/BY501*100)</f>
        <v/>
      </c>
      <c r="AI501" s="41" t="str">
        <f aca="false">IF(AH501="","",IFERROR(MATCH(AH501,INDEX(Boundaries!$B$2:$I$30,MATCH(CM501,Boundaries!$A$2:$A$30,0),0),1)-1,""))</f>
        <v/>
      </c>
      <c r="AJ501" s="42" t="str">
        <f aca="false">IF(OR(AI501="",$E501=""),"",AI501-$E501)</f>
        <v/>
      </c>
      <c r="AK501" s="39"/>
      <c r="AL501" s="40" t="str">
        <f aca="false">IF(OR(AK501="",BZ501=""),"",AK501/BZ501*100)</f>
        <v/>
      </c>
      <c r="AM501" s="41" t="str">
        <f aca="false">IF(AL501="","",IFERROR(MATCH(AL501,INDEX(Boundaries!$B$2:$I$30,MATCH(CN501,Boundaries!$A$2:$A$30,0),0),1)-1,""))</f>
        <v/>
      </c>
      <c r="AN501" s="42" t="str">
        <f aca="false">IF(OR(AM501="",$E501=""),"",AM501-$E501)</f>
        <v/>
      </c>
      <c r="AO501" s="39"/>
      <c r="AP501" s="40" t="str">
        <f aca="false">IF(OR(AO501="",CA501=""),"",AO501/CA501*100)</f>
        <v/>
      </c>
      <c r="AQ501" s="41" t="str">
        <f aca="false">IF(AP501="","",IFERROR(MATCH(AP501,INDEX(Boundaries!$B$2:$I$30,MATCH(CO501,Boundaries!$A$2:$A$30,0),0),1)-1,""))</f>
        <v/>
      </c>
      <c r="AR501" s="42" t="str">
        <f aca="false">IF(OR(AQ501="",$E501=""),"",AQ501-$E501)</f>
        <v/>
      </c>
      <c r="AS501" s="39"/>
      <c r="AT501" s="40" t="str">
        <f aca="false">IF(OR(AS501="",CB501=""),"",AS501/CB501*100)</f>
        <v/>
      </c>
      <c r="AU501" s="41" t="str">
        <f aca="false">IF(AT501="","",IFERROR(MATCH(AT501,INDEX(Boundaries!$B$2:$I$30,MATCH(CP501,Boundaries!$A$2:$A$30,0),0),1)-1,""))</f>
        <v/>
      </c>
      <c r="AV501" s="42" t="str">
        <f aca="false">IF(OR(AU501="",$E501=""),"",AU501-$E501)</f>
        <v/>
      </c>
      <c r="AW501" s="39"/>
      <c r="AX501" s="40" t="str">
        <f aca="false">IF(OR(AW501="",CC501=""),"",AW501/CC501*100)</f>
        <v/>
      </c>
      <c r="AY501" s="41" t="str">
        <f aca="false">IF(AX501="","",IFERROR(MATCH(AX501,INDEX(Boundaries!$B$2:$I$30,MATCH(CQ501,Boundaries!$A$2:$A$30,0),0),1)-1,""))</f>
        <v/>
      </c>
      <c r="AZ501" s="42" t="str">
        <f aca="false">IF(OR(AY501="",$E501=""),"",AY501-$E501)</f>
        <v/>
      </c>
      <c r="BA501" s="39"/>
      <c r="BB501" s="40" t="str">
        <f aca="false">IF(OR(BA501="",CD501=""),"",BA501/CD501*100)</f>
        <v/>
      </c>
      <c r="BC501" s="41" t="str">
        <f aca="false">IF(BB501="","",IFERROR(MATCH(BB501,INDEX(Boundaries!$B$2:$I$30,MATCH(CR501,Boundaries!$A$2:$A$30,0),0),1)-1,""))</f>
        <v/>
      </c>
      <c r="BD501" s="42" t="str">
        <f aca="false">IF(OR(BC501="",$E501=""),"",BC501-$E501)</f>
        <v/>
      </c>
      <c r="BE501" s="39"/>
      <c r="BF501" s="40" t="str">
        <f aca="false">IF(OR(BE501="",CE501=""),"",BE501/CE501*100)</f>
        <v/>
      </c>
      <c r="BG501" s="41" t="str">
        <f aca="false">IF(BF501="","",IFERROR(MATCH(BF501,INDEX(Boundaries!$B$2:$I$30,MATCH(CS501,Boundaries!$A$2:$A$30,0),0),1)-1,""))</f>
        <v/>
      </c>
      <c r="BH501" s="42" t="str">
        <f aca="false">IF(OR(BG501="",$E501=""),"",BG501-$E501)</f>
        <v/>
      </c>
      <c r="BI501" s="39"/>
      <c r="BJ501" s="40" t="str">
        <f aca="false">IF(OR(BI501="",CF501=""),"",BI501/CF501*100)</f>
        <v/>
      </c>
      <c r="BK501" s="41" t="str">
        <f aca="false">IF(BJ501="","",IFERROR(MATCH(BJ501,INDEX(Boundaries!$B$2:$I$30,MATCH(CT501,Boundaries!$A$2:$A$30,0),0),1)-1,""))</f>
        <v/>
      </c>
      <c r="BL501" s="42" t="str">
        <f aca="false">IF(OR(BK501="",$E501=""),"",BK501-$E501)</f>
        <v/>
      </c>
      <c r="BM501" s="39"/>
      <c r="BN501" s="40" t="str">
        <f aca="false">IF(OR(BM501="",CG501=""),"",BM501/CG501*100)</f>
        <v/>
      </c>
      <c r="BO501" s="41" t="str">
        <f aca="false">IF(BN501="","",IFERROR(MATCH(BN501,INDEX(Boundaries!$B$2:$I$30,MATCH(CU501,Boundaries!$A$2:$A$30,0),0),1)-1,""))</f>
        <v/>
      </c>
      <c r="BP501" s="42" t="str">
        <f aca="false">IF(OR(BO501="",$E501=""),"",BO501-$E501)</f>
        <v/>
      </c>
      <c r="BQ501" s="39"/>
      <c r="BR501" s="40" t="str">
        <f aca="false">IF(OR(BQ501="",CH501=""),"",BQ501/CH501*100)</f>
        <v/>
      </c>
      <c r="BS501" s="41" t="str">
        <f aca="false">IF(BR501="","",IFERROR(MATCH(BR501,INDEX(Boundaries!$B$2:$I$30,MATCH(CV501,Boundaries!$A$2:$A$30,0),0),1)-1,""))</f>
        <v/>
      </c>
      <c r="BT501" s="42" t="str">
        <f aca="false">IF(OR(BS501="",$E501=""),"",BS501-$E501)</f>
        <v/>
      </c>
      <c r="BU501" s="28" t="str">
        <f aca="false">IFERROR(INDEX(Assessments!$H$2:$H$600,MATCH($H501&amp;"|"&amp;$I501&amp;"|"&amp;$J501&amp;"|"&amp;1,Assessments!$A$2:$A$600,0)),"")</f>
        <v/>
      </c>
      <c r="BV501" s="28" t="str">
        <f aca="false">IFERROR(INDEX(Assessments!$H$2:$H$600,MATCH($H501&amp;"|"&amp;$I501&amp;"|"&amp;$J501&amp;"|"&amp;2,Assessments!$A$2:$A$600,0)),"")</f>
        <v/>
      </c>
      <c r="BW501" s="28" t="str">
        <f aca="false">IFERROR(INDEX(Assessments!$H$2:$H$600,MATCH($H501&amp;"|"&amp;$I501&amp;"|"&amp;$J501&amp;"|"&amp;3,Assessments!$A$2:$A$600,0)),"")</f>
        <v/>
      </c>
      <c r="BX501" s="28" t="str">
        <f aca="false">IFERROR(INDEX(Assessments!$H$2:$H$600,MATCH($H501&amp;"|"&amp;$I501&amp;"|"&amp;$J501&amp;"|"&amp;4,Assessments!$A$2:$A$600,0)),"")</f>
        <v/>
      </c>
      <c r="BY501" s="28" t="str">
        <f aca="false">IFERROR(INDEX(Assessments!$H$2:$H$600,MATCH($H501&amp;"|"&amp;$I501&amp;"|"&amp;$J501&amp;"|"&amp;5,Assessments!$A$2:$A$600,0)),"")</f>
        <v/>
      </c>
      <c r="BZ501" s="28" t="str">
        <f aca="false">IFERROR(INDEX(Assessments!$H$2:$H$600,MATCH($H501&amp;"|"&amp;$I501&amp;"|"&amp;$J501&amp;"|"&amp;6,Assessments!$A$2:$A$600,0)),"")</f>
        <v/>
      </c>
      <c r="CA501" s="28" t="str">
        <f aca="false">IFERROR(INDEX(Assessments!$H$2:$H$600,MATCH($H501&amp;"|"&amp;$I501&amp;"|"&amp;$J501&amp;"|"&amp;7,Assessments!$A$2:$A$600,0)),"")</f>
        <v/>
      </c>
      <c r="CB501" s="28" t="str">
        <f aca="false">IFERROR(INDEX(Assessments!$H$2:$H$600,MATCH($H501&amp;"|"&amp;$I501&amp;"|"&amp;$J501&amp;"|"&amp;8,Assessments!$A$2:$A$600,0)),"")</f>
        <v/>
      </c>
      <c r="CC501" s="28" t="str">
        <f aca="false">IFERROR(INDEX(Assessments!$H$2:$H$600,MATCH($H501&amp;"|"&amp;$I501&amp;"|"&amp;$J501&amp;"|"&amp;9,Assessments!$A$2:$A$600,0)),"")</f>
        <v/>
      </c>
      <c r="CD501" s="28" t="str">
        <f aca="false">IFERROR(INDEX(Assessments!$H$2:$H$600,MATCH($H501&amp;"|"&amp;$I501&amp;"|"&amp;$J501&amp;"|"&amp;10,Assessments!$A$2:$A$600,0)),"")</f>
        <v/>
      </c>
      <c r="CE501" s="28" t="str">
        <f aca="false">IFERROR(INDEX(Assessments!$H$2:$H$600,MATCH($H501&amp;"|"&amp;$I501&amp;"|"&amp;$J501&amp;"|"&amp;11,Assessments!$A$2:$A$600,0)),"")</f>
        <v/>
      </c>
      <c r="CF501" s="28" t="str">
        <f aca="false">IFERROR(INDEX(Assessments!$H$2:$H$600,MATCH($H501&amp;"|"&amp;$I501&amp;"|"&amp;$J501&amp;"|"&amp;12,Assessments!$A$2:$A$600,0)),"")</f>
        <v/>
      </c>
      <c r="CG501" s="28" t="str">
        <f aca="false">IFERROR(INDEX(Assessments!$H$2:$H$600,MATCH($H501&amp;"|"&amp;$I501&amp;"|"&amp;$J501&amp;"|"&amp;13,Assessments!$A$2:$A$600,0)),"")</f>
        <v/>
      </c>
      <c r="CH501" s="28" t="str">
        <f aca="false">IFERROR(INDEX(Assessments!$H$2:$H$600,MATCH($H501&amp;"|"&amp;$I501&amp;"|"&amp;$J501&amp;"|"&amp;14,Assessments!$A$2:$A$600,0)),"")</f>
        <v/>
      </c>
      <c r="CI501" s="28" t="str">
        <f aca="false">IFERROR(INDEX(Assessments!$I$2:$I$600,MATCH($H501&amp;"|"&amp;$I501&amp;"|"&amp;$J501&amp;"|"&amp;1,Assessments!$A$2:$A$600,0)),"")</f>
        <v/>
      </c>
      <c r="CJ501" s="28" t="str">
        <f aca="false">IFERROR(INDEX(Assessments!$I$2:$I$600,MATCH($H501&amp;"|"&amp;$I501&amp;"|"&amp;$J501&amp;"|"&amp;2,Assessments!$A$2:$A$600,0)),"")</f>
        <v/>
      </c>
      <c r="CK501" s="28" t="str">
        <f aca="false">IFERROR(INDEX(Assessments!$I$2:$I$600,MATCH($H501&amp;"|"&amp;$I501&amp;"|"&amp;$J501&amp;"|"&amp;3,Assessments!$A$2:$A$600,0)),"")</f>
        <v/>
      </c>
      <c r="CL501" s="28" t="str">
        <f aca="false">IFERROR(INDEX(Assessments!$I$2:$I$600,MATCH($H501&amp;"|"&amp;$I501&amp;"|"&amp;$J501&amp;"|"&amp;4,Assessments!$A$2:$A$600,0)),"")</f>
        <v/>
      </c>
      <c r="CM501" s="28" t="str">
        <f aca="false">IFERROR(INDEX(Assessments!$I$2:$I$600,MATCH($H501&amp;"|"&amp;$I501&amp;"|"&amp;$J501&amp;"|"&amp;5,Assessments!$A$2:$A$600,0)),"")</f>
        <v/>
      </c>
      <c r="CN501" s="28" t="str">
        <f aca="false">IFERROR(INDEX(Assessments!$I$2:$I$600,MATCH($H501&amp;"|"&amp;$I501&amp;"|"&amp;$J501&amp;"|"&amp;6,Assessments!$A$2:$A$600,0)),"")</f>
        <v/>
      </c>
      <c r="CO501" s="28" t="str">
        <f aca="false">IFERROR(INDEX(Assessments!$I$2:$I$600,MATCH($H501&amp;"|"&amp;$I501&amp;"|"&amp;$J501&amp;"|"&amp;7,Assessments!$A$2:$A$600,0)),"")</f>
        <v/>
      </c>
      <c r="CP501" s="28" t="str">
        <f aca="false">IFERROR(INDEX(Assessments!$I$2:$I$600,MATCH($H501&amp;"|"&amp;$I501&amp;"|"&amp;$J501&amp;"|"&amp;8,Assessments!$A$2:$A$600,0)),"")</f>
        <v/>
      </c>
      <c r="CQ501" s="28" t="str">
        <f aca="false">IFERROR(INDEX(Assessments!$I$2:$I$600,MATCH($H501&amp;"|"&amp;$I501&amp;"|"&amp;$J501&amp;"|"&amp;9,Assessments!$A$2:$A$600,0)),"")</f>
        <v/>
      </c>
      <c r="CR501" s="28" t="str">
        <f aca="false">IFERROR(INDEX(Assessments!$I$2:$I$600,MATCH($H501&amp;"|"&amp;$I501&amp;"|"&amp;$J501&amp;"|"&amp;10,Assessments!$A$2:$A$600,0)),"")</f>
        <v/>
      </c>
      <c r="CS501" s="28" t="str">
        <f aca="false">IFERROR(INDEX(Assessments!$I$2:$I$600,MATCH($H501&amp;"|"&amp;$I501&amp;"|"&amp;$J501&amp;"|"&amp;11,Assessments!$A$2:$A$600,0)),"")</f>
        <v/>
      </c>
      <c r="CT501" s="28" t="str">
        <f aca="false">IFERROR(INDEX(Assessments!$I$2:$I$600,MATCH($H501&amp;"|"&amp;$I501&amp;"|"&amp;$J501&amp;"|"&amp;12,Assessments!$A$2:$A$600,0)),"")</f>
        <v/>
      </c>
      <c r="CU501" s="28" t="str">
        <f aca="false">IFERROR(INDEX(Assessments!$I$2:$I$600,MATCH($H501&amp;"|"&amp;$I501&amp;"|"&amp;$J501&amp;"|"&amp;13,Assessments!$A$2:$A$600,0)),"")</f>
        <v/>
      </c>
      <c r="CV501" s="28" t="str">
        <f aca="false">IFERROR(INDEX(Assessments!$I$2:$I$600,MATCH($H501&amp;"|"&amp;$I501&amp;"|"&amp;$J501&amp;"|"&amp;14,Assessments!$A$2:$A$600,0)),"")</f>
        <v/>
      </c>
      <c r="CW501" s="28" t="n">
        <f aca="false">IFERROR(INDEX(Assessments!$J$2:$J$600,MATCH($H501&amp;"|"&amp;$I501&amp;"|"&amp;$J501&amp;"|"&amp;1,Assessments!$A$2:$A$600,0)),0)</f>
        <v>0</v>
      </c>
      <c r="CX501" s="28" t="n">
        <f aca="false">IFERROR(INDEX(Assessments!$J$2:$J$600,MATCH($H501&amp;"|"&amp;$I501&amp;"|"&amp;$J501&amp;"|"&amp;2,Assessments!$A$2:$A$600,0)),0)</f>
        <v>0</v>
      </c>
      <c r="CY501" s="28" t="n">
        <f aca="false">IFERROR(INDEX(Assessments!$J$2:$J$600,MATCH($H501&amp;"|"&amp;$I501&amp;"|"&amp;$J501&amp;"|"&amp;3,Assessments!$A$2:$A$600,0)),0)</f>
        <v>0</v>
      </c>
      <c r="CZ501" s="28" t="n">
        <f aca="false">IFERROR(INDEX(Assessments!$J$2:$J$600,MATCH($H501&amp;"|"&amp;$I501&amp;"|"&amp;$J501&amp;"|"&amp;4,Assessments!$A$2:$A$600,0)),0)</f>
        <v>0</v>
      </c>
      <c r="DA501" s="28" t="n">
        <f aca="false">IFERROR(INDEX(Assessments!$J$2:$J$600,MATCH($H501&amp;"|"&amp;$I501&amp;"|"&amp;$J501&amp;"|"&amp;5,Assessments!$A$2:$A$600,0)),0)</f>
        <v>0</v>
      </c>
      <c r="DB501" s="28" t="n">
        <f aca="false">IFERROR(INDEX(Assessments!$J$2:$J$600,MATCH($H501&amp;"|"&amp;$I501&amp;"|"&amp;$J501&amp;"|"&amp;6,Assessments!$A$2:$A$600,0)),0)</f>
        <v>0</v>
      </c>
      <c r="DC501" s="28" t="n">
        <f aca="false">IFERROR(INDEX(Assessments!$J$2:$J$600,MATCH($H501&amp;"|"&amp;$I501&amp;"|"&amp;$J501&amp;"|"&amp;7,Assessments!$A$2:$A$600,0)),0)</f>
        <v>0</v>
      </c>
      <c r="DD501" s="28" t="n">
        <f aca="false">IFERROR(INDEX(Assessments!$J$2:$J$600,MATCH($H501&amp;"|"&amp;$I501&amp;"|"&amp;$J501&amp;"|"&amp;8,Assessments!$A$2:$A$600,0)),0)</f>
        <v>0</v>
      </c>
      <c r="DE501" s="28" t="n">
        <f aca="false">IFERROR(INDEX(Assessments!$J$2:$J$600,MATCH($H501&amp;"|"&amp;$I501&amp;"|"&amp;$J501&amp;"|"&amp;9,Assessments!$A$2:$A$600,0)),0)</f>
        <v>0</v>
      </c>
      <c r="DF501" s="28" t="n">
        <f aca="false">IFERROR(INDEX(Assessments!$J$2:$J$600,MATCH($H501&amp;"|"&amp;$I501&amp;"|"&amp;$J501&amp;"|"&amp;10,Assessments!$A$2:$A$600,0)),0)</f>
        <v>0</v>
      </c>
      <c r="DG501" s="28" t="n">
        <f aca="false">IFERROR(INDEX(Assessments!$J$2:$J$600,MATCH($H501&amp;"|"&amp;$I501&amp;"|"&amp;$J501&amp;"|"&amp;11,Assessments!$A$2:$A$600,0)),0)</f>
        <v>0</v>
      </c>
      <c r="DH501" s="28" t="n">
        <f aca="false">IFERROR(INDEX(Assessments!$J$2:$J$600,MATCH($H501&amp;"|"&amp;$I501&amp;"|"&amp;$J501&amp;"|"&amp;12,Assessments!$A$2:$A$600,0)),0)</f>
        <v>0</v>
      </c>
      <c r="DI501" s="28" t="n">
        <f aca="false">IFERROR(INDEX(Assessments!$J$2:$J$600,MATCH($H501&amp;"|"&amp;$I501&amp;"|"&amp;$J501&amp;"|"&amp;13,Assessments!$A$2:$A$600,0)),0)</f>
        <v>0</v>
      </c>
      <c r="DJ501" s="28" t="n">
        <f aca="false">IFERROR(INDEX(Assessments!$J$2:$J$600,MATCH($H501&amp;"|"&amp;$I501&amp;"|"&amp;$J501&amp;"|"&amp;14,Assessments!$A$2:$A$600,0)),0)</f>
        <v>0</v>
      </c>
      <c r="DK501" s="28" t="str">
        <f aca="false">S501</f>
        <v/>
      </c>
      <c r="DL501" s="28" t="str">
        <f aca="false">W501</f>
        <v/>
      </c>
      <c r="DM501" s="28" t="str">
        <f aca="false">AA501</f>
        <v/>
      </c>
      <c r="DN501" s="28" t="str">
        <f aca="false">AE501</f>
        <v/>
      </c>
      <c r="DO501" s="28" t="str">
        <f aca="false">AI501</f>
        <v/>
      </c>
      <c r="DP501" s="28" t="str">
        <f aca="false">AM501</f>
        <v/>
      </c>
      <c r="DQ501" s="28" t="str">
        <f aca="false">AQ501</f>
        <v/>
      </c>
      <c r="DR501" s="28" t="str">
        <f aca="false">AU501</f>
        <v/>
      </c>
      <c r="DS501" s="28" t="str">
        <f aca="false">AY501</f>
        <v/>
      </c>
      <c r="DT501" s="28" t="str">
        <f aca="false">BC501</f>
        <v/>
      </c>
      <c r="DU501" s="28" t="str">
        <f aca="false">BG501</f>
        <v/>
      </c>
      <c r="DV501" s="28" t="str">
        <f aca="false">BK501</f>
        <v/>
      </c>
      <c r="DW501" s="28" t="str">
        <f aca="false">BO501</f>
        <v/>
      </c>
      <c r="DX501" s="28" t="str">
        <f aca="false">BS501</f>
        <v/>
      </c>
      <c r="DY501" s="28" t="str">
        <f aca="false">IF(ISNUMBER(S501),1,"")</f>
        <v/>
      </c>
      <c r="DZ501" s="28" t="str">
        <f aca="false">IF(ISNUMBER(W501),2,"")</f>
        <v/>
      </c>
      <c r="EA501" s="28" t="str">
        <f aca="false">IF(ISNUMBER(AA501),3,"")</f>
        <v/>
      </c>
      <c r="EB501" s="28" t="str">
        <f aca="false">IF(ISNUMBER(AE501),4,"")</f>
        <v/>
      </c>
      <c r="EC501" s="28" t="str">
        <f aca="false">IF(ISNUMBER(AI501),5,"")</f>
        <v/>
      </c>
      <c r="ED501" s="28" t="str">
        <f aca="false">IF(ISNUMBER(AM501),6,"")</f>
        <v/>
      </c>
      <c r="EE501" s="28" t="str">
        <f aca="false">IF(ISNUMBER(AQ501),7,"")</f>
        <v/>
      </c>
      <c r="EF501" s="28" t="str">
        <f aca="false">IF(ISNUMBER(AU501),8,"")</f>
        <v/>
      </c>
      <c r="EG501" s="28" t="str">
        <f aca="false">IF(ISNUMBER(AY501),9,"")</f>
        <v/>
      </c>
      <c r="EH501" s="28" t="str">
        <f aca="false">IF(ISNUMBER(BC501),10,"")</f>
        <v/>
      </c>
      <c r="EI501" s="28" t="str">
        <f aca="false">IF(ISNUMBER(BG501),11,"")</f>
        <v/>
      </c>
      <c r="EJ501" s="28" t="str">
        <f aca="false">IF(ISNUMBER(BK501),12,"")</f>
        <v/>
      </c>
      <c r="EK501" s="28" t="str">
        <f aca="false">IF(ISNUMBER(BO501),13,"")</f>
        <v/>
      </c>
      <c r="EL501" s="28" t="str">
        <f aca="false">IF(ISNUMBER(BS501),14,"")</f>
        <v/>
      </c>
      <c r="EM501" s="28" t="n">
        <f aca="false">IF(ISNUMBER(R501),R501*CW501,0)</f>
        <v>0</v>
      </c>
      <c r="EN501" s="28" t="n">
        <f aca="false">IF(ISNUMBER(V501),V501*CX501,0)</f>
        <v>0</v>
      </c>
      <c r="EO501" s="28" t="n">
        <f aca="false">IF(ISNUMBER(Z501),Z501*CY501,0)</f>
        <v>0</v>
      </c>
      <c r="EP501" s="28" t="n">
        <f aca="false">IF(ISNUMBER(AD501),AD501*CZ501,0)</f>
        <v>0</v>
      </c>
      <c r="EQ501" s="28" t="n">
        <f aca="false">IF(ISNUMBER(AH501),AH501*DA501,0)</f>
        <v>0</v>
      </c>
      <c r="ER501" s="28" t="n">
        <f aca="false">IF(ISNUMBER(AL501),AL501*DB501,0)</f>
        <v>0</v>
      </c>
      <c r="ES501" s="28" t="n">
        <f aca="false">IF(ISNUMBER(AP501),AP501*DC501,0)</f>
        <v>0</v>
      </c>
      <c r="ET501" s="28" t="n">
        <f aca="false">IF(ISNUMBER(AT501),AT501*DD501,0)</f>
        <v>0</v>
      </c>
      <c r="EU501" s="28" t="n">
        <f aca="false">IF(ISNUMBER(AX501),AX501*DE501,0)</f>
        <v>0</v>
      </c>
      <c r="EV501" s="28" t="n">
        <f aca="false">IF(ISNUMBER(BB501),BB501*DF501,0)</f>
        <v>0</v>
      </c>
      <c r="EW501" s="28" t="n">
        <f aca="false">IF(ISNUMBER(BF501),BF501*DG501,0)</f>
        <v>0</v>
      </c>
      <c r="EX501" s="28" t="n">
        <f aca="false">IF(ISNUMBER(BJ501),BJ501*DH501,0)</f>
        <v>0</v>
      </c>
      <c r="EY501" s="28" t="n">
        <f aca="false">IF(ISNUMBER(BN501),BN501*DI501,0)</f>
        <v>0</v>
      </c>
      <c r="EZ501" s="28" t="n">
        <f aca="false">IF(ISNUMBER(BR501),BR501*DJ501,0)</f>
        <v>0</v>
      </c>
      <c r="FA501" s="28" t="n">
        <f aca="false">IF(ISNUMBER(R501),CW501,0)</f>
        <v>0</v>
      </c>
      <c r="FB501" s="28" t="n">
        <f aca="false">IF(ISNUMBER(V501),CX501,0)</f>
        <v>0</v>
      </c>
      <c r="FC501" s="28" t="n">
        <f aca="false">IF(ISNUMBER(Z501),CY501,0)</f>
        <v>0</v>
      </c>
      <c r="FD501" s="28" t="n">
        <f aca="false">IF(ISNUMBER(AD501),CZ501,0)</f>
        <v>0</v>
      </c>
      <c r="FE501" s="28" t="n">
        <f aca="false">IF(ISNUMBER(AH501),DA501,0)</f>
        <v>0</v>
      </c>
      <c r="FF501" s="28" t="n">
        <f aca="false">IF(ISNUMBER(AL501),DB501,0)</f>
        <v>0</v>
      </c>
      <c r="FG501" s="28" t="n">
        <f aca="false">IF(ISNUMBER(AP501),DC501,0)</f>
        <v>0</v>
      </c>
      <c r="FH501" s="28" t="n">
        <f aca="false">IF(ISNUMBER(AT501),DD501,0)</f>
        <v>0</v>
      </c>
      <c r="FI501" s="28" t="n">
        <f aca="false">IF(ISNUMBER(AX501),DE501,0)</f>
        <v>0</v>
      </c>
      <c r="FJ501" s="28" t="n">
        <f aca="false">IF(ISNUMBER(BB501),DF501,0)</f>
        <v>0</v>
      </c>
      <c r="FK501" s="28" t="n">
        <f aca="false">IF(ISNUMBER(BF501),DG501,0)</f>
        <v>0</v>
      </c>
      <c r="FL501" s="28" t="n">
        <f aca="false">IF(ISNUMBER(BJ501),DH501,0)</f>
        <v>0</v>
      </c>
      <c r="FM501" s="28" t="n">
        <f aca="false">IF(ISNUMBER(BN501),DI501,0)</f>
        <v>0</v>
      </c>
      <c r="FN501" s="28" t="n">
        <f aca="false">IF(ISNUMBER(BR501),DJ501,0)</f>
        <v>0</v>
      </c>
      <c r="FO501" s="28" t="str">
        <f aca="false">IFERROR(INDEX(Lists!$G$2:$G$20,MATCH($I501&amp;"|"&amp;$J501,Lists!$F$2:$F$20,0)),"")</f>
        <v/>
      </c>
    </row>
    <row r="502" customFormat="false" ht="19.5" hidden="false" customHeight="true" outlineLevel="0" collapsed="false">
      <c r="A502" s="29"/>
      <c r="B502" s="29"/>
      <c r="C502" s="30"/>
      <c r="D502" s="30"/>
      <c r="E502" s="31"/>
      <c r="F502" s="30"/>
      <c r="G502" s="30"/>
      <c r="H502" s="32"/>
      <c r="I502" s="33"/>
      <c r="J502" s="32"/>
      <c r="K502" s="34" t="str">
        <f aca="false">IF(OR(M502="",$E502=""),"",M502-$E502)</f>
        <v/>
      </c>
      <c r="L502" s="35" t="str">
        <f aca="false">IF(SUM(FA502:FN502)=0,"",SUM(EM502:EZ502)/SUM(FA502:FN502))</f>
        <v/>
      </c>
      <c r="M502" s="36" t="str">
        <f aca="false">IF(OR(L502="",FO502=""),"",IFERROR(MATCH(L502,INDEX(Boundaries!$B$2:$I$30,MATCH(FO502,Boundaries!$A$2:$A$30,0),0),1)-1,""))</f>
        <v/>
      </c>
      <c r="N502" s="37" t="str">
        <f aca="false">IF(COUNT($DY502:$EL502)&lt;2,"",INDEX($DK502:$DX502,MAX($DY502:$EL502))-INDEX($DK502:$DX502,MIN($DY502:$EL502)))</f>
        <v/>
      </c>
      <c r="O502" s="37" t="str">
        <f aca="false">IF(COUNT($DY502:$EL502)&lt;2,"",INDEX($DK502:$DX502,MAX($DY502:$EL502))-INDEX($DK502:$DX502,LARGE($DY502:$EL502,2)))</f>
        <v/>
      </c>
      <c r="P502" s="38" t="str">
        <f aca="false">IF(K502="","",IF(K502&gt;=0,"On/above target",IF(AND(N502&lt;&gt;"",N502&gt;=0.5),"Improving towards target",IF(AND(O502&lt;&gt;"",O502&lt;=-0.5),"Declining","Stable below target"))))</f>
        <v/>
      </c>
      <c r="Q502" s="39"/>
      <c r="R502" s="40" t="str">
        <f aca="false">IF(OR(Q502="",BU502=""),"",Q502/BU502*100)</f>
        <v/>
      </c>
      <c r="S502" s="41" t="str">
        <f aca="false">IF(R502="","",IFERROR(MATCH(R502,INDEX(Boundaries!$B$2:$I$30,MATCH(CI502,Boundaries!$A$2:$A$30,0),0),1)-1,""))</f>
        <v/>
      </c>
      <c r="T502" s="42" t="str">
        <f aca="false">IF(OR(S502="",$E502=""),"",S502-$E502)</f>
        <v/>
      </c>
      <c r="U502" s="39"/>
      <c r="V502" s="40" t="str">
        <f aca="false">IF(OR(U502="",BV502=""),"",U502/BV502*100)</f>
        <v/>
      </c>
      <c r="W502" s="41" t="str">
        <f aca="false">IF(V502="","",IFERROR(MATCH(V502,INDEX(Boundaries!$B$2:$I$30,MATCH(CJ502,Boundaries!$A$2:$A$30,0),0),1)-1,""))</f>
        <v/>
      </c>
      <c r="X502" s="42" t="str">
        <f aca="false">IF(OR(W502="",$E502=""),"",W502-$E502)</f>
        <v/>
      </c>
      <c r="Y502" s="39"/>
      <c r="Z502" s="40" t="str">
        <f aca="false">IF(OR(Y502="",BW502=""),"",Y502/BW502*100)</f>
        <v/>
      </c>
      <c r="AA502" s="41" t="str">
        <f aca="false">IF(Z502="","",IFERROR(MATCH(Z502,INDEX(Boundaries!$B$2:$I$30,MATCH(CK502,Boundaries!$A$2:$A$30,0),0),1)-1,""))</f>
        <v/>
      </c>
      <c r="AB502" s="42" t="str">
        <f aca="false">IF(OR(AA502="",$E502=""),"",AA502-$E502)</f>
        <v/>
      </c>
      <c r="AC502" s="39"/>
      <c r="AD502" s="40" t="str">
        <f aca="false">IF(OR(AC502="",BX502=""),"",AC502/BX502*100)</f>
        <v/>
      </c>
      <c r="AE502" s="41" t="str">
        <f aca="false">IF(AD502="","",IFERROR(MATCH(AD502,INDEX(Boundaries!$B$2:$I$30,MATCH(CL502,Boundaries!$A$2:$A$30,0),0),1)-1,""))</f>
        <v/>
      </c>
      <c r="AF502" s="42" t="str">
        <f aca="false">IF(OR(AE502="",$E502=""),"",AE502-$E502)</f>
        <v/>
      </c>
      <c r="AG502" s="39"/>
      <c r="AH502" s="40" t="str">
        <f aca="false">IF(OR(AG502="",BY502=""),"",AG502/BY502*100)</f>
        <v/>
      </c>
      <c r="AI502" s="41" t="str">
        <f aca="false">IF(AH502="","",IFERROR(MATCH(AH502,INDEX(Boundaries!$B$2:$I$30,MATCH(CM502,Boundaries!$A$2:$A$30,0),0),1)-1,""))</f>
        <v/>
      </c>
      <c r="AJ502" s="42" t="str">
        <f aca="false">IF(OR(AI502="",$E502=""),"",AI502-$E502)</f>
        <v/>
      </c>
      <c r="AK502" s="39"/>
      <c r="AL502" s="40" t="str">
        <f aca="false">IF(OR(AK502="",BZ502=""),"",AK502/BZ502*100)</f>
        <v/>
      </c>
      <c r="AM502" s="41" t="str">
        <f aca="false">IF(AL502="","",IFERROR(MATCH(AL502,INDEX(Boundaries!$B$2:$I$30,MATCH(CN502,Boundaries!$A$2:$A$30,0),0),1)-1,""))</f>
        <v/>
      </c>
      <c r="AN502" s="42" t="str">
        <f aca="false">IF(OR(AM502="",$E502=""),"",AM502-$E502)</f>
        <v/>
      </c>
      <c r="AO502" s="39"/>
      <c r="AP502" s="40" t="str">
        <f aca="false">IF(OR(AO502="",CA502=""),"",AO502/CA502*100)</f>
        <v/>
      </c>
      <c r="AQ502" s="41" t="str">
        <f aca="false">IF(AP502="","",IFERROR(MATCH(AP502,INDEX(Boundaries!$B$2:$I$30,MATCH(CO502,Boundaries!$A$2:$A$30,0),0),1)-1,""))</f>
        <v/>
      </c>
      <c r="AR502" s="42" t="str">
        <f aca="false">IF(OR(AQ502="",$E502=""),"",AQ502-$E502)</f>
        <v/>
      </c>
      <c r="AS502" s="39"/>
      <c r="AT502" s="40" t="str">
        <f aca="false">IF(OR(AS502="",CB502=""),"",AS502/CB502*100)</f>
        <v/>
      </c>
      <c r="AU502" s="41" t="str">
        <f aca="false">IF(AT502="","",IFERROR(MATCH(AT502,INDEX(Boundaries!$B$2:$I$30,MATCH(CP502,Boundaries!$A$2:$A$30,0),0),1)-1,""))</f>
        <v/>
      </c>
      <c r="AV502" s="42" t="str">
        <f aca="false">IF(OR(AU502="",$E502=""),"",AU502-$E502)</f>
        <v/>
      </c>
      <c r="AW502" s="39"/>
      <c r="AX502" s="40" t="str">
        <f aca="false">IF(OR(AW502="",CC502=""),"",AW502/CC502*100)</f>
        <v/>
      </c>
      <c r="AY502" s="41" t="str">
        <f aca="false">IF(AX502="","",IFERROR(MATCH(AX502,INDEX(Boundaries!$B$2:$I$30,MATCH(CQ502,Boundaries!$A$2:$A$30,0),0),1)-1,""))</f>
        <v/>
      </c>
      <c r="AZ502" s="42" t="str">
        <f aca="false">IF(OR(AY502="",$E502=""),"",AY502-$E502)</f>
        <v/>
      </c>
      <c r="BA502" s="39"/>
      <c r="BB502" s="40" t="str">
        <f aca="false">IF(OR(BA502="",CD502=""),"",BA502/CD502*100)</f>
        <v/>
      </c>
      <c r="BC502" s="41" t="str">
        <f aca="false">IF(BB502="","",IFERROR(MATCH(BB502,INDEX(Boundaries!$B$2:$I$30,MATCH(CR502,Boundaries!$A$2:$A$30,0),0),1)-1,""))</f>
        <v/>
      </c>
      <c r="BD502" s="42" t="str">
        <f aca="false">IF(OR(BC502="",$E502=""),"",BC502-$E502)</f>
        <v/>
      </c>
      <c r="BE502" s="39"/>
      <c r="BF502" s="40" t="str">
        <f aca="false">IF(OR(BE502="",CE502=""),"",BE502/CE502*100)</f>
        <v/>
      </c>
      <c r="BG502" s="41" t="str">
        <f aca="false">IF(BF502="","",IFERROR(MATCH(BF502,INDEX(Boundaries!$B$2:$I$30,MATCH(CS502,Boundaries!$A$2:$A$30,0),0),1)-1,""))</f>
        <v/>
      </c>
      <c r="BH502" s="42" t="str">
        <f aca="false">IF(OR(BG502="",$E502=""),"",BG502-$E502)</f>
        <v/>
      </c>
      <c r="BI502" s="39"/>
      <c r="BJ502" s="40" t="str">
        <f aca="false">IF(OR(BI502="",CF502=""),"",BI502/CF502*100)</f>
        <v/>
      </c>
      <c r="BK502" s="41" t="str">
        <f aca="false">IF(BJ502="","",IFERROR(MATCH(BJ502,INDEX(Boundaries!$B$2:$I$30,MATCH(CT502,Boundaries!$A$2:$A$30,0),0),1)-1,""))</f>
        <v/>
      </c>
      <c r="BL502" s="42" t="str">
        <f aca="false">IF(OR(BK502="",$E502=""),"",BK502-$E502)</f>
        <v/>
      </c>
      <c r="BM502" s="39"/>
      <c r="BN502" s="40" t="str">
        <f aca="false">IF(OR(BM502="",CG502=""),"",BM502/CG502*100)</f>
        <v/>
      </c>
      <c r="BO502" s="41" t="str">
        <f aca="false">IF(BN502="","",IFERROR(MATCH(BN502,INDEX(Boundaries!$B$2:$I$30,MATCH(CU502,Boundaries!$A$2:$A$30,0),0),1)-1,""))</f>
        <v/>
      </c>
      <c r="BP502" s="42" t="str">
        <f aca="false">IF(OR(BO502="",$E502=""),"",BO502-$E502)</f>
        <v/>
      </c>
      <c r="BQ502" s="39"/>
      <c r="BR502" s="40" t="str">
        <f aca="false">IF(OR(BQ502="",CH502=""),"",BQ502/CH502*100)</f>
        <v/>
      </c>
      <c r="BS502" s="41" t="str">
        <f aca="false">IF(BR502="","",IFERROR(MATCH(BR502,INDEX(Boundaries!$B$2:$I$30,MATCH(CV502,Boundaries!$A$2:$A$30,0),0),1)-1,""))</f>
        <v/>
      </c>
      <c r="BT502" s="42" t="str">
        <f aca="false">IF(OR(BS502="",$E502=""),"",BS502-$E502)</f>
        <v/>
      </c>
      <c r="BU502" s="28" t="str">
        <f aca="false">IFERROR(INDEX(Assessments!$H$2:$H$600,MATCH($H502&amp;"|"&amp;$I502&amp;"|"&amp;$J502&amp;"|"&amp;1,Assessments!$A$2:$A$600,0)),"")</f>
        <v/>
      </c>
      <c r="BV502" s="28" t="str">
        <f aca="false">IFERROR(INDEX(Assessments!$H$2:$H$600,MATCH($H502&amp;"|"&amp;$I502&amp;"|"&amp;$J502&amp;"|"&amp;2,Assessments!$A$2:$A$600,0)),"")</f>
        <v/>
      </c>
      <c r="BW502" s="28" t="str">
        <f aca="false">IFERROR(INDEX(Assessments!$H$2:$H$600,MATCH($H502&amp;"|"&amp;$I502&amp;"|"&amp;$J502&amp;"|"&amp;3,Assessments!$A$2:$A$600,0)),"")</f>
        <v/>
      </c>
      <c r="BX502" s="28" t="str">
        <f aca="false">IFERROR(INDEX(Assessments!$H$2:$H$600,MATCH($H502&amp;"|"&amp;$I502&amp;"|"&amp;$J502&amp;"|"&amp;4,Assessments!$A$2:$A$600,0)),"")</f>
        <v/>
      </c>
      <c r="BY502" s="28" t="str">
        <f aca="false">IFERROR(INDEX(Assessments!$H$2:$H$600,MATCH($H502&amp;"|"&amp;$I502&amp;"|"&amp;$J502&amp;"|"&amp;5,Assessments!$A$2:$A$600,0)),"")</f>
        <v/>
      </c>
      <c r="BZ502" s="28" t="str">
        <f aca="false">IFERROR(INDEX(Assessments!$H$2:$H$600,MATCH($H502&amp;"|"&amp;$I502&amp;"|"&amp;$J502&amp;"|"&amp;6,Assessments!$A$2:$A$600,0)),"")</f>
        <v/>
      </c>
      <c r="CA502" s="28" t="str">
        <f aca="false">IFERROR(INDEX(Assessments!$H$2:$H$600,MATCH($H502&amp;"|"&amp;$I502&amp;"|"&amp;$J502&amp;"|"&amp;7,Assessments!$A$2:$A$600,0)),"")</f>
        <v/>
      </c>
      <c r="CB502" s="28" t="str">
        <f aca="false">IFERROR(INDEX(Assessments!$H$2:$H$600,MATCH($H502&amp;"|"&amp;$I502&amp;"|"&amp;$J502&amp;"|"&amp;8,Assessments!$A$2:$A$600,0)),"")</f>
        <v/>
      </c>
      <c r="CC502" s="28" t="str">
        <f aca="false">IFERROR(INDEX(Assessments!$H$2:$H$600,MATCH($H502&amp;"|"&amp;$I502&amp;"|"&amp;$J502&amp;"|"&amp;9,Assessments!$A$2:$A$600,0)),"")</f>
        <v/>
      </c>
      <c r="CD502" s="28" t="str">
        <f aca="false">IFERROR(INDEX(Assessments!$H$2:$H$600,MATCH($H502&amp;"|"&amp;$I502&amp;"|"&amp;$J502&amp;"|"&amp;10,Assessments!$A$2:$A$600,0)),"")</f>
        <v/>
      </c>
      <c r="CE502" s="28" t="str">
        <f aca="false">IFERROR(INDEX(Assessments!$H$2:$H$600,MATCH($H502&amp;"|"&amp;$I502&amp;"|"&amp;$J502&amp;"|"&amp;11,Assessments!$A$2:$A$600,0)),"")</f>
        <v/>
      </c>
      <c r="CF502" s="28" t="str">
        <f aca="false">IFERROR(INDEX(Assessments!$H$2:$H$600,MATCH($H502&amp;"|"&amp;$I502&amp;"|"&amp;$J502&amp;"|"&amp;12,Assessments!$A$2:$A$600,0)),"")</f>
        <v/>
      </c>
      <c r="CG502" s="28" t="str">
        <f aca="false">IFERROR(INDEX(Assessments!$H$2:$H$600,MATCH($H502&amp;"|"&amp;$I502&amp;"|"&amp;$J502&amp;"|"&amp;13,Assessments!$A$2:$A$600,0)),"")</f>
        <v/>
      </c>
      <c r="CH502" s="28" t="str">
        <f aca="false">IFERROR(INDEX(Assessments!$H$2:$H$600,MATCH($H502&amp;"|"&amp;$I502&amp;"|"&amp;$J502&amp;"|"&amp;14,Assessments!$A$2:$A$600,0)),"")</f>
        <v/>
      </c>
      <c r="CI502" s="28" t="str">
        <f aca="false">IFERROR(INDEX(Assessments!$I$2:$I$600,MATCH($H502&amp;"|"&amp;$I502&amp;"|"&amp;$J502&amp;"|"&amp;1,Assessments!$A$2:$A$600,0)),"")</f>
        <v/>
      </c>
      <c r="CJ502" s="28" t="str">
        <f aca="false">IFERROR(INDEX(Assessments!$I$2:$I$600,MATCH($H502&amp;"|"&amp;$I502&amp;"|"&amp;$J502&amp;"|"&amp;2,Assessments!$A$2:$A$600,0)),"")</f>
        <v/>
      </c>
      <c r="CK502" s="28" t="str">
        <f aca="false">IFERROR(INDEX(Assessments!$I$2:$I$600,MATCH($H502&amp;"|"&amp;$I502&amp;"|"&amp;$J502&amp;"|"&amp;3,Assessments!$A$2:$A$600,0)),"")</f>
        <v/>
      </c>
      <c r="CL502" s="28" t="str">
        <f aca="false">IFERROR(INDEX(Assessments!$I$2:$I$600,MATCH($H502&amp;"|"&amp;$I502&amp;"|"&amp;$J502&amp;"|"&amp;4,Assessments!$A$2:$A$600,0)),"")</f>
        <v/>
      </c>
      <c r="CM502" s="28" t="str">
        <f aca="false">IFERROR(INDEX(Assessments!$I$2:$I$600,MATCH($H502&amp;"|"&amp;$I502&amp;"|"&amp;$J502&amp;"|"&amp;5,Assessments!$A$2:$A$600,0)),"")</f>
        <v/>
      </c>
      <c r="CN502" s="28" t="str">
        <f aca="false">IFERROR(INDEX(Assessments!$I$2:$I$600,MATCH($H502&amp;"|"&amp;$I502&amp;"|"&amp;$J502&amp;"|"&amp;6,Assessments!$A$2:$A$600,0)),"")</f>
        <v/>
      </c>
      <c r="CO502" s="28" t="str">
        <f aca="false">IFERROR(INDEX(Assessments!$I$2:$I$600,MATCH($H502&amp;"|"&amp;$I502&amp;"|"&amp;$J502&amp;"|"&amp;7,Assessments!$A$2:$A$600,0)),"")</f>
        <v/>
      </c>
      <c r="CP502" s="28" t="str">
        <f aca="false">IFERROR(INDEX(Assessments!$I$2:$I$600,MATCH($H502&amp;"|"&amp;$I502&amp;"|"&amp;$J502&amp;"|"&amp;8,Assessments!$A$2:$A$600,0)),"")</f>
        <v/>
      </c>
      <c r="CQ502" s="28" t="str">
        <f aca="false">IFERROR(INDEX(Assessments!$I$2:$I$600,MATCH($H502&amp;"|"&amp;$I502&amp;"|"&amp;$J502&amp;"|"&amp;9,Assessments!$A$2:$A$600,0)),"")</f>
        <v/>
      </c>
      <c r="CR502" s="28" t="str">
        <f aca="false">IFERROR(INDEX(Assessments!$I$2:$I$600,MATCH($H502&amp;"|"&amp;$I502&amp;"|"&amp;$J502&amp;"|"&amp;10,Assessments!$A$2:$A$600,0)),"")</f>
        <v/>
      </c>
      <c r="CS502" s="28" t="str">
        <f aca="false">IFERROR(INDEX(Assessments!$I$2:$I$600,MATCH($H502&amp;"|"&amp;$I502&amp;"|"&amp;$J502&amp;"|"&amp;11,Assessments!$A$2:$A$600,0)),"")</f>
        <v/>
      </c>
      <c r="CT502" s="28" t="str">
        <f aca="false">IFERROR(INDEX(Assessments!$I$2:$I$600,MATCH($H502&amp;"|"&amp;$I502&amp;"|"&amp;$J502&amp;"|"&amp;12,Assessments!$A$2:$A$600,0)),"")</f>
        <v/>
      </c>
      <c r="CU502" s="28" t="str">
        <f aca="false">IFERROR(INDEX(Assessments!$I$2:$I$600,MATCH($H502&amp;"|"&amp;$I502&amp;"|"&amp;$J502&amp;"|"&amp;13,Assessments!$A$2:$A$600,0)),"")</f>
        <v/>
      </c>
      <c r="CV502" s="28" t="str">
        <f aca="false">IFERROR(INDEX(Assessments!$I$2:$I$600,MATCH($H502&amp;"|"&amp;$I502&amp;"|"&amp;$J502&amp;"|"&amp;14,Assessments!$A$2:$A$600,0)),"")</f>
        <v/>
      </c>
      <c r="CW502" s="28" t="n">
        <f aca="false">IFERROR(INDEX(Assessments!$J$2:$J$600,MATCH($H502&amp;"|"&amp;$I502&amp;"|"&amp;$J502&amp;"|"&amp;1,Assessments!$A$2:$A$600,0)),0)</f>
        <v>0</v>
      </c>
      <c r="CX502" s="28" t="n">
        <f aca="false">IFERROR(INDEX(Assessments!$J$2:$J$600,MATCH($H502&amp;"|"&amp;$I502&amp;"|"&amp;$J502&amp;"|"&amp;2,Assessments!$A$2:$A$600,0)),0)</f>
        <v>0</v>
      </c>
      <c r="CY502" s="28" t="n">
        <f aca="false">IFERROR(INDEX(Assessments!$J$2:$J$600,MATCH($H502&amp;"|"&amp;$I502&amp;"|"&amp;$J502&amp;"|"&amp;3,Assessments!$A$2:$A$600,0)),0)</f>
        <v>0</v>
      </c>
      <c r="CZ502" s="28" t="n">
        <f aca="false">IFERROR(INDEX(Assessments!$J$2:$J$600,MATCH($H502&amp;"|"&amp;$I502&amp;"|"&amp;$J502&amp;"|"&amp;4,Assessments!$A$2:$A$600,0)),0)</f>
        <v>0</v>
      </c>
      <c r="DA502" s="28" t="n">
        <f aca="false">IFERROR(INDEX(Assessments!$J$2:$J$600,MATCH($H502&amp;"|"&amp;$I502&amp;"|"&amp;$J502&amp;"|"&amp;5,Assessments!$A$2:$A$600,0)),0)</f>
        <v>0</v>
      </c>
      <c r="DB502" s="28" t="n">
        <f aca="false">IFERROR(INDEX(Assessments!$J$2:$J$600,MATCH($H502&amp;"|"&amp;$I502&amp;"|"&amp;$J502&amp;"|"&amp;6,Assessments!$A$2:$A$600,0)),0)</f>
        <v>0</v>
      </c>
      <c r="DC502" s="28" t="n">
        <f aca="false">IFERROR(INDEX(Assessments!$J$2:$J$600,MATCH($H502&amp;"|"&amp;$I502&amp;"|"&amp;$J502&amp;"|"&amp;7,Assessments!$A$2:$A$600,0)),0)</f>
        <v>0</v>
      </c>
      <c r="DD502" s="28" t="n">
        <f aca="false">IFERROR(INDEX(Assessments!$J$2:$J$600,MATCH($H502&amp;"|"&amp;$I502&amp;"|"&amp;$J502&amp;"|"&amp;8,Assessments!$A$2:$A$600,0)),0)</f>
        <v>0</v>
      </c>
      <c r="DE502" s="28" t="n">
        <f aca="false">IFERROR(INDEX(Assessments!$J$2:$J$600,MATCH($H502&amp;"|"&amp;$I502&amp;"|"&amp;$J502&amp;"|"&amp;9,Assessments!$A$2:$A$600,0)),0)</f>
        <v>0</v>
      </c>
      <c r="DF502" s="28" t="n">
        <f aca="false">IFERROR(INDEX(Assessments!$J$2:$J$600,MATCH($H502&amp;"|"&amp;$I502&amp;"|"&amp;$J502&amp;"|"&amp;10,Assessments!$A$2:$A$600,0)),0)</f>
        <v>0</v>
      </c>
      <c r="DG502" s="28" t="n">
        <f aca="false">IFERROR(INDEX(Assessments!$J$2:$J$600,MATCH($H502&amp;"|"&amp;$I502&amp;"|"&amp;$J502&amp;"|"&amp;11,Assessments!$A$2:$A$600,0)),0)</f>
        <v>0</v>
      </c>
      <c r="DH502" s="28" t="n">
        <f aca="false">IFERROR(INDEX(Assessments!$J$2:$J$600,MATCH($H502&amp;"|"&amp;$I502&amp;"|"&amp;$J502&amp;"|"&amp;12,Assessments!$A$2:$A$600,0)),0)</f>
        <v>0</v>
      </c>
      <c r="DI502" s="28" t="n">
        <f aca="false">IFERROR(INDEX(Assessments!$J$2:$J$600,MATCH($H502&amp;"|"&amp;$I502&amp;"|"&amp;$J502&amp;"|"&amp;13,Assessments!$A$2:$A$600,0)),0)</f>
        <v>0</v>
      </c>
      <c r="DJ502" s="28" t="n">
        <f aca="false">IFERROR(INDEX(Assessments!$J$2:$J$600,MATCH($H502&amp;"|"&amp;$I502&amp;"|"&amp;$J502&amp;"|"&amp;14,Assessments!$A$2:$A$600,0)),0)</f>
        <v>0</v>
      </c>
      <c r="DK502" s="28" t="str">
        <f aca="false">S502</f>
        <v/>
      </c>
      <c r="DL502" s="28" t="str">
        <f aca="false">W502</f>
        <v/>
      </c>
      <c r="DM502" s="28" t="str">
        <f aca="false">AA502</f>
        <v/>
      </c>
      <c r="DN502" s="28" t="str">
        <f aca="false">AE502</f>
        <v/>
      </c>
      <c r="DO502" s="28" t="str">
        <f aca="false">AI502</f>
        <v/>
      </c>
      <c r="DP502" s="28" t="str">
        <f aca="false">AM502</f>
        <v/>
      </c>
      <c r="DQ502" s="28" t="str">
        <f aca="false">AQ502</f>
        <v/>
      </c>
      <c r="DR502" s="28" t="str">
        <f aca="false">AU502</f>
        <v/>
      </c>
      <c r="DS502" s="28" t="str">
        <f aca="false">AY502</f>
        <v/>
      </c>
      <c r="DT502" s="28" t="str">
        <f aca="false">BC502</f>
        <v/>
      </c>
      <c r="DU502" s="28" t="str">
        <f aca="false">BG502</f>
        <v/>
      </c>
      <c r="DV502" s="28" t="str">
        <f aca="false">BK502</f>
        <v/>
      </c>
      <c r="DW502" s="28" t="str">
        <f aca="false">BO502</f>
        <v/>
      </c>
      <c r="DX502" s="28" t="str">
        <f aca="false">BS502</f>
        <v/>
      </c>
      <c r="DY502" s="28" t="str">
        <f aca="false">IF(ISNUMBER(S502),1,"")</f>
        <v/>
      </c>
      <c r="DZ502" s="28" t="str">
        <f aca="false">IF(ISNUMBER(W502),2,"")</f>
        <v/>
      </c>
      <c r="EA502" s="28" t="str">
        <f aca="false">IF(ISNUMBER(AA502),3,"")</f>
        <v/>
      </c>
      <c r="EB502" s="28" t="str">
        <f aca="false">IF(ISNUMBER(AE502),4,"")</f>
        <v/>
      </c>
      <c r="EC502" s="28" t="str">
        <f aca="false">IF(ISNUMBER(AI502),5,"")</f>
        <v/>
      </c>
      <c r="ED502" s="28" t="str">
        <f aca="false">IF(ISNUMBER(AM502),6,"")</f>
        <v/>
      </c>
      <c r="EE502" s="28" t="str">
        <f aca="false">IF(ISNUMBER(AQ502),7,"")</f>
        <v/>
      </c>
      <c r="EF502" s="28" t="str">
        <f aca="false">IF(ISNUMBER(AU502),8,"")</f>
        <v/>
      </c>
      <c r="EG502" s="28" t="str">
        <f aca="false">IF(ISNUMBER(AY502),9,"")</f>
        <v/>
      </c>
      <c r="EH502" s="28" t="str">
        <f aca="false">IF(ISNUMBER(BC502),10,"")</f>
        <v/>
      </c>
      <c r="EI502" s="28" t="str">
        <f aca="false">IF(ISNUMBER(BG502),11,"")</f>
        <v/>
      </c>
      <c r="EJ502" s="28" t="str">
        <f aca="false">IF(ISNUMBER(BK502),12,"")</f>
        <v/>
      </c>
      <c r="EK502" s="28" t="str">
        <f aca="false">IF(ISNUMBER(BO502),13,"")</f>
        <v/>
      </c>
      <c r="EL502" s="28" t="str">
        <f aca="false">IF(ISNUMBER(BS502),14,"")</f>
        <v/>
      </c>
      <c r="EM502" s="28" t="n">
        <f aca="false">IF(ISNUMBER(R502),R502*CW502,0)</f>
        <v>0</v>
      </c>
      <c r="EN502" s="28" t="n">
        <f aca="false">IF(ISNUMBER(V502),V502*CX502,0)</f>
        <v>0</v>
      </c>
      <c r="EO502" s="28" t="n">
        <f aca="false">IF(ISNUMBER(Z502),Z502*CY502,0)</f>
        <v>0</v>
      </c>
      <c r="EP502" s="28" t="n">
        <f aca="false">IF(ISNUMBER(AD502),AD502*CZ502,0)</f>
        <v>0</v>
      </c>
      <c r="EQ502" s="28" t="n">
        <f aca="false">IF(ISNUMBER(AH502),AH502*DA502,0)</f>
        <v>0</v>
      </c>
      <c r="ER502" s="28" t="n">
        <f aca="false">IF(ISNUMBER(AL502),AL502*DB502,0)</f>
        <v>0</v>
      </c>
      <c r="ES502" s="28" t="n">
        <f aca="false">IF(ISNUMBER(AP502),AP502*DC502,0)</f>
        <v>0</v>
      </c>
      <c r="ET502" s="28" t="n">
        <f aca="false">IF(ISNUMBER(AT502),AT502*DD502,0)</f>
        <v>0</v>
      </c>
      <c r="EU502" s="28" t="n">
        <f aca="false">IF(ISNUMBER(AX502),AX502*DE502,0)</f>
        <v>0</v>
      </c>
      <c r="EV502" s="28" t="n">
        <f aca="false">IF(ISNUMBER(BB502),BB502*DF502,0)</f>
        <v>0</v>
      </c>
      <c r="EW502" s="28" t="n">
        <f aca="false">IF(ISNUMBER(BF502),BF502*DG502,0)</f>
        <v>0</v>
      </c>
      <c r="EX502" s="28" t="n">
        <f aca="false">IF(ISNUMBER(BJ502),BJ502*DH502,0)</f>
        <v>0</v>
      </c>
      <c r="EY502" s="28" t="n">
        <f aca="false">IF(ISNUMBER(BN502),BN502*DI502,0)</f>
        <v>0</v>
      </c>
      <c r="EZ502" s="28" t="n">
        <f aca="false">IF(ISNUMBER(BR502),BR502*DJ502,0)</f>
        <v>0</v>
      </c>
      <c r="FA502" s="28" t="n">
        <f aca="false">IF(ISNUMBER(R502),CW502,0)</f>
        <v>0</v>
      </c>
      <c r="FB502" s="28" t="n">
        <f aca="false">IF(ISNUMBER(V502),CX502,0)</f>
        <v>0</v>
      </c>
      <c r="FC502" s="28" t="n">
        <f aca="false">IF(ISNUMBER(Z502),CY502,0)</f>
        <v>0</v>
      </c>
      <c r="FD502" s="28" t="n">
        <f aca="false">IF(ISNUMBER(AD502),CZ502,0)</f>
        <v>0</v>
      </c>
      <c r="FE502" s="28" t="n">
        <f aca="false">IF(ISNUMBER(AH502),DA502,0)</f>
        <v>0</v>
      </c>
      <c r="FF502" s="28" t="n">
        <f aca="false">IF(ISNUMBER(AL502),DB502,0)</f>
        <v>0</v>
      </c>
      <c r="FG502" s="28" t="n">
        <f aca="false">IF(ISNUMBER(AP502),DC502,0)</f>
        <v>0</v>
      </c>
      <c r="FH502" s="28" t="n">
        <f aca="false">IF(ISNUMBER(AT502),DD502,0)</f>
        <v>0</v>
      </c>
      <c r="FI502" s="28" t="n">
        <f aca="false">IF(ISNUMBER(AX502),DE502,0)</f>
        <v>0</v>
      </c>
      <c r="FJ502" s="28" t="n">
        <f aca="false">IF(ISNUMBER(BB502),DF502,0)</f>
        <v>0</v>
      </c>
      <c r="FK502" s="28" t="n">
        <f aca="false">IF(ISNUMBER(BF502),DG502,0)</f>
        <v>0</v>
      </c>
      <c r="FL502" s="28" t="n">
        <f aca="false">IF(ISNUMBER(BJ502),DH502,0)</f>
        <v>0</v>
      </c>
      <c r="FM502" s="28" t="n">
        <f aca="false">IF(ISNUMBER(BN502),DI502,0)</f>
        <v>0</v>
      </c>
      <c r="FN502" s="28" t="n">
        <f aca="false">IF(ISNUMBER(BR502),DJ502,0)</f>
        <v>0</v>
      </c>
      <c r="FO502" s="28" t="str">
        <f aca="false">IFERROR(INDEX(Lists!$G$2:$G$20,MATCH($I502&amp;"|"&amp;$J502,Lists!$F$2:$F$20,0)),"")</f>
        <v/>
      </c>
    </row>
    <row r="503" customFormat="false" ht="19.5" hidden="false" customHeight="true" outlineLevel="0" collapsed="false">
      <c r="A503" s="29"/>
      <c r="B503" s="29"/>
      <c r="C503" s="30"/>
      <c r="D503" s="30"/>
      <c r="E503" s="31"/>
      <c r="F503" s="30"/>
      <c r="G503" s="30"/>
      <c r="H503" s="32"/>
      <c r="I503" s="33"/>
      <c r="J503" s="32"/>
      <c r="K503" s="34" t="str">
        <f aca="false">IF(OR(M503="",$E503=""),"",M503-$E503)</f>
        <v/>
      </c>
      <c r="L503" s="35" t="str">
        <f aca="false">IF(SUM(FA503:FN503)=0,"",SUM(EM503:EZ503)/SUM(FA503:FN503))</f>
        <v/>
      </c>
      <c r="M503" s="36" t="str">
        <f aca="false">IF(OR(L503="",FO503=""),"",IFERROR(MATCH(L503,INDEX(Boundaries!$B$2:$I$30,MATCH(FO503,Boundaries!$A$2:$A$30,0),0),1)-1,""))</f>
        <v/>
      </c>
      <c r="N503" s="37" t="str">
        <f aca="false">IF(COUNT($DY503:$EL503)&lt;2,"",INDEX($DK503:$DX503,MAX($DY503:$EL503))-INDEX($DK503:$DX503,MIN($DY503:$EL503)))</f>
        <v/>
      </c>
      <c r="O503" s="37" t="str">
        <f aca="false">IF(COUNT($DY503:$EL503)&lt;2,"",INDEX($DK503:$DX503,MAX($DY503:$EL503))-INDEX($DK503:$DX503,LARGE($DY503:$EL503,2)))</f>
        <v/>
      </c>
      <c r="P503" s="38" t="str">
        <f aca="false">IF(K503="","",IF(K503&gt;=0,"On/above target",IF(AND(N503&lt;&gt;"",N503&gt;=0.5),"Improving towards target",IF(AND(O503&lt;&gt;"",O503&lt;=-0.5),"Declining","Stable below target"))))</f>
        <v/>
      </c>
      <c r="Q503" s="39"/>
      <c r="R503" s="40" t="str">
        <f aca="false">IF(OR(Q503="",BU503=""),"",Q503/BU503*100)</f>
        <v/>
      </c>
      <c r="S503" s="41" t="str">
        <f aca="false">IF(R503="","",IFERROR(MATCH(R503,INDEX(Boundaries!$B$2:$I$30,MATCH(CI503,Boundaries!$A$2:$A$30,0),0),1)-1,""))</f>
        <v/>
      </c>
      <c r="T503" s="42" t="str">
        <f aca="false">IF(OR(S503="",$E503=""),"",S503-$E503)</f>
        <v/>
      </c>
      <c r="U503" s="39"/>
      <c r="V503" s="40" t="str">
        <f aca="false">IF(OR(U503="",BV503=""),"",U503/BV503*100)</f>
        <v/>
      </c>
      <c r="W503" s="41" t="str">
        <f aca="false">IF(V503="","",IFERROR(MATCH(V503,INDEX(Boundaries!$B$2:$I$30,MATCH(CJ503,Boundaries!$A$2:$A$30,0),0),1)-1,""))</f>
        <v/>
      </c>
      <c r="X503" s="42" t="str">
        <f aca="false">IF(OR(W503="",$E503=""),"",W503-$E503)</f>
        <v/>
      </c>
      <c r="Y503" s="39"/>
      <c r="Z503" s="40" t="str">
        <f aca="false">IF(OR(Y503="",BW503=""),"",Y503/BW503*100)</f>
        <v/>
      </c>
      <c r="AA503" s="41" t="str">
        <f aca="false">IF(Z503="","",IFERROR(MATCH(Z503,INDEX(Boundaries!$B$2:$I$30,MATCH(CK503,Boundaries!$A$2:$A$30,0),0),1)-1,""))</f>
        <v/>
      </c>
      <c r="AB503" s="42" t="str">
        <f aca="false">IF(OR(AA503="",$E503=""),"",AA503-$E503)</f>
        <v/>
      </c>
      <c r="AC503" s="39"/>
      <c r="AD503" s="40" t="str">
        <f aca="false">IF(OR(AC503="",BX503=""),"",AC503/BX503*100)</f>
        <v/>
      </c>
      <c r="AE503" s="41" t="str">
        <f aca="false">IF(AD503="","",IFERROR(MATCH(AD503,INDEX(Boundaries!$B$2:$I$30,MATCH(CL503,Boundaries!$A$2:$A$30,0),0),1)-1,""))</f>
        <v/>
      </c>
      <c r="AF503" s="42" t="str">
        <f aca="false">IF(OR(AE503="",$E503=""),"",AE503-$E503)</f>
        <v/>
      </c>
      <c r="AG503" s="39"/>
      <c r="AH503" s="40" t="str">
        <f aca="false">IF(OR(AG503="",BY503=""),"",AG503/BY503*100)</f>
        <v/>
      </c>
      <c r="AI503" s="41" t="str">
        <f aca="false">IF(AH503="","",IFERROR(MATCH(AH503,INDEX(Boundaries!$B$2:$I$30,MATCH(CM503,Boundaries!$A$2:$A$30,0),0),1)-1,""))</f>
        <v/>
      </c>
      <c r="AJ503" s="42" t="str">
        <f aca="false">IF(OR(AI503="",$E503=""),"",AI503-$E503)</f>
        <v/>
      </c>
      <c r="AK503" s="39"/>
      <c r="AL503" s="40" t="str">
        <f aca="false">IF(OR(AK503="",BZ503=""),"",AK503/BZ503*100)</f>
        <v/>
      </c>
      <c r="AM503" s="41" t="str">
        <f aca="false">IF(AL503="","",IFERROR(MATCH(AL503,INDEX(Boundaries!$B$2:$I$30,MATCH(CN503,Boundaries!$A$2:$A$30,0),0),1)-1,""))</f>
        <v/>
      </c>
      <c r="AN503" s="42" t="str">
        <f aca="false">IF(OR(AM503="",$E503=""),"",AM503-$E503)</f>
        <v/>
      </c>
      <c r="AO503" s="39"/>
      <c r="AP503" s="40" t="str">
        <f aca="false">IF(OR(AO503="",CA503=""),"",AO503/CA503*100)</f>
        <v/>
      </c>
      <c r="AQ503" s="41" t="str">
        <f aca="false">IF(AP503="","",IFERROR(MATCH(AP503,INDEX(Boundaries!$B$2:$I$30,MATCH(CO503,Boundaries!$A$2:$A$30,0),0),1)-1,""))</f>
        <v/>
      </c>
      <c r="AR503" s="42" t="str">
        <f aca="false">IF(OR(AQ503="",$E503=""),"",AQ503-$E503)</f>
        <v/>
      </c>
      <c r="AS503" s="39"/>
      <c r="AT503" s="40" t="str">
        <f aca="false">IF(OR(AS503="",CB503=""),"",AS503/CB503*100)</f>
        <v/>
      </c>
      <c r="AU503" s="41" t="str">
        <f aca="false">IF(AT503="","",IFERROR(MATCH(AT503,INDEX(Boundaries!$B$2:$I$30,MATCH(CP503,Boundaries!$A$2:$A$30,0),0),1)-1,""))</f>
        <v/>
      </c>
      <c r="AV503" s="42" t="str">
        <f aca="false">IF(OR(AU503="",$E503=""),"",AU503-$E503)</f>
        <v/>
      </c>
      <c r="AW503" s="39"/>
      <c r="AX503" s="40" t="str">
        <f aca="false">IF(OR(AW503="",CC503=""),"",AW503/CC503*100)</f>
        <v/>
      </c>
      <c r="AY503" s="41" t="str">
        <f aca="false">IF(AX503="","",IFERROR(MATCH(AX503,INDEX(Boundaries!$B$2:$I$30,MATCH(CQ503,Boundaries!$A$2:$A$30,0),0),1)-1,""))</f>
        <v/>
      </c>
      <c r="AZ503" s="42" t="str">
        <f aca="false">IF(OR(AY503="",$E503=""),"",AY503-$E503)</f>
        <v/>
      </c>
      <c r="BA503" s="39"/>
      <c r="BB503" s="40" t="str">
        <f aca="false">IF(OR(BA503="",CD503=""),"",BA503/CD503*100)</f>
        <v/>
      </c>
      <c r="BC503" s="41" t="str">
        <f aca="false">IF(BB503="","",IFERROR(MATCH(BB503,INDEX(Boundaries!$B$2:$I$30,MATCH(CR503,Boundaries!$A$2:$A$30,0),0),1)-1,""))</f>
        <v/>
      </c>
      <c r="BD503" s="42" t="str">
        <f aca="false">IF(OR(BC503="",$E503=""),"",BC503-$E503)</f>
        <v/>
      </c>
      <c r="BE503" s="39"/>
      <c r="BF503" s="40" t="str">
        <f aca="false">IF(OR(BE503="",CE503=""),"",BE503/CE503*100)</f>
        <v/>
      </c>
      <c r="BG503" s="41" t="str">
        <f aca="false">IF(BF503="","",IFERROR(MATCH(BF503,INDEX(Boundaries!$B$2:$I$30,MATCH(CS503,Boundaries!$A$2:$A$30,0),0),1)-1,""))</f>
        <v/>
      </c>
      <c r="BH503" s="42" t="str">
        <f aca="false">IF(OR(BG503="",$E503=""),"",BG503-$E503)</f>
        <v/>
      </c>
      <c r="BI503" s="39"/>
      <c r="BJ503" s="40" t="str">
        <f aca="false">IF(OR(BI503="",CF503=""),"",BI503/CF503*100)</f>
        <v/>
      </c>
      <c r="BK503" s="41" t="str">
        <f aca="false">IF(BJ503="","",IFERROR(MATCH(BJ503,INDEX(Boundaries!$B$2:$I$30,MATCH(CT503,Boundaries!$A$2:$A$30,0),0),1)-1,""))</f>
        <v/>
      </c>
      <c r="BL503" s="42" t="str">
        <f aca="false">IF(OR(BK503="",$E503=""),"",BK503-$E503)</f>
        <v/>
      </c>
      <c r="BM503" s="39"/>
      <c r="BN503" s="40" t="str">
        <f aca="false">IF(OR(BM503="",CG503=""),"",BM503/CG503*100)</f>
        <v/>
      </c>
      <c r="BO503" s="41" t="str">
        <f aca="false">IF(BN503="","",IFERROR(MATCH(BN503,INDEX(Boundaries!$B$2:$I$30,MATCH(CU503,Boundaries!$A$2:$A$30,0),0),1)-1,""))</f>
        <v/>
      </c>
      <c r="BP503" s="42" t="str">
        <f aca="false">IF(OR(BO503="",$E503=""),"",BO503-$E503)</f>
        <v/>
      </c>
      <c r="BQ503" s="39"/>
      <c r="BR503" s="40" t="str">
        <f aca="false">IF(OR(BQ503="",CH503=""),"",BQ503/CH503*100)</f>
        <v/>
      </c>
      <c r="BS503" s="41" t="str">
        <f aca="false">IF(BR503="","",IFERROR(MATCH(BR503,INDEX(Boundaries!$B$2:$I$30,MATCH(CV503,Boundaries!$A$2:$A$30,0),0),1)-1,""))</f>
        <v/>
      </c>
      <c r="BT503" s="42" t="str">
        <f aca="false">IF(OR(BS503="",$E503=""),"",BS503-$E503)</f>
        <v/>
      </c>
      <c r="BU503" s="28" t="str">
        <f aca="false">IFERROR(INDEX(Assessments!$H$2:$H$600,MATCH($H503&amp;"|"&amp;$I503&amp;"|"&amp;$J503&amp;"|"&amp;1,Assessments!$A$2:$A$600,0)),"")</f>
        <v/>
      </c>
      <c r="BV503" s="28" t="str">
        <f aca="false">IFERROR(INDEX(Assessments!$H$2:$H$600,MATCH($H503&amp;"|"&amp;$I503&amp;"|"&amp;$J503&amp;"|"&amp;2,Assessments!$A$2:$A$600,0)),"")</f>
        <v/>
      </c>
      <c r="BW503" s="28" t="str">
        <f aca="false">IFERROR(INDEX(Assessments!$H$2:$H$600,MATCH($H503&amp;"|"&amp;$I503&amp;"|"&amp;$J503&amp;"|"&amp;3,Assessments!$A$2:$A$600,0)),"")</f>
        <v/>
      </c>
      <c r="BX503" s="28" t="str">
        <f aca="false">IFERROR(INDEX(Assessments!$H$2:$H$600,MATCH($H503&amp;"|"&amp;$I503&amp;"|"&amp;$J503&amp;"|"&amp;4,Assessments!$A$2:$A$600,0)),"")</f>
        <v/>
      </c>
      <c r="BY503" s="28" t="str">
        <f aca="false">IFERROR(INDEX(Assessments!$H$2:$H$600,MATCH($H503&amp;"|"&amp;$I503&amp;"|"&amp;$J503&amp;"|"&amp;5,Assessments!$A$2:$A$600,0)),"")</f>
        <v/>
      </c>
      <c r="BZ503" s="28" t="str">
        <f aca="false">IFERROR(INDEX(Assessments!$H$2:$H$600,MATCH($H503&amp;"|"&amp;$I503&amp;"|"&amp;$J503&amp;"|"&amp;6,Assessments!$A$2:$A$600,0)),"")</f>
        <v/>
      </c>
      <c r="CA503" s="28" t="str">
        <f aca="false">IFERROR(INDEX(Assessments!$H$2:$H$600,MATCH($H503&amp;"|"&amp;$I503&amp;"|"&amp;$J503&amp;"|"&amp;7,Assessments!$A$2:$A$600,0)),"")</f>
        <v/>
      </c>
      <c r="CB503" s="28" t="str">
        <f aca="false">IFERROR(INDEX(Assessments!$H$2:$H$600,MATCH($H503&amp;"|"&amp;$I503&amp;"|"&amp;$J503&amp;"|"&amp;8,Assessments!$A$2:$A$600,0)),"")</f>
        <v/>
      </c>
      <c r="CC503" s="28" t="str">
        <f aca="false">IFERROR(INDEX(Assessments!$H$2:$H$600,MATCH($H503&amp;"|"&amp;$I503&amp;"|"&amp;$J503&amp;"|"&amp;9,Assessments!$A$2:$A$600,0)),"")</f>
        <v/>
      </c>
      <c r="CD503" s="28" t="str">
        <f aca="false">IFERROR(INDEX(Assessments!$H$2:$H$600,MATCH($H503&amp;"|"&amp;$I503&amp;"|"&amp;$J503&amp;"|"&amp;10,Assessments!$A$2:$A$600,0)),"")</f>
        <v/>
      </c>
      <c r="CE503" s="28" t="str">
        <f aca="false">IFERROR(INDEX(Assessments!$H$2:$H$600,MATCH($H503&amp;"|"&amp;$I503&amp;"|"&amp;$J503&amp;"|"&amp;11,Assessments!$A$2:$A$600,0)),"")</f>
        <v/>
      </c>
      <c r="CF503" s="28" t="str">
        <f aca="false">IFERROR(INDEX(Assessments!$H$2:$H$600,MATCH($H503&amp;"|"&amp;$I503&amp;"|"&amp;$J503&amp;"|"&amp;12,Assessments!$A$2:$A$600,0)),"")</f>
        <v/>
      </c>
      <c r="CG503" s="28" t="str">
        <f aca="false">IFERROR(INDEX(Assessments!$H$2:$H$600,MATCH($H503&amp;"|"&amp;$I503&amp;"|"&amp;$J503&amp;"|"&amp;13,Assessments!$A$2:$A$600,0)),"")</f>
        <v/>
      </c>
      <c r="CH503" s="28" t="str">
        <f aca="false">IFERROR(INDEX(Assessments!$H$2:$H$600,MATCH($H503&amp;"|"&amp;$I503&amp;"|"&amp;$J503&amp;"|"&amp;14,Assessments!$A$2:$A$600,0)),"")</f>
        <v/>
      </c>
      <c r="CI503" s="28" t="str">
        <f aca="false">IFERROR(INDEX(Assessments!$I$2:$I$600,MATCH($H503&amp;"|"&amp;$I503&amp;"|"&amp;$J503&amp;"|"&amp;1,Assessments!$A$2:$A$600,0)),"")</f>
        <v/>
      </c>
      <c r="CJ503" s="28" t="str">
        <f aca="false">IFERROR(INDEX(Assessments!$I$2:$I$600,MATCH($H503&amp;"|"&amp;$I503&amp;"|"&amp;$J503&amp;"|"&amp;2,Assessments!$A$2:$A$600,0)),"")</f>
        <v/>
      </c>
      <c r="CK503" s="28" t="str">
        <f aca="false">IFERROR(INDEX(Assessments!$I$2:$I$600,MATCH($H503&amp;"|"&amp;$I503&amp;"|"&amp;$J503&amp;"|"&amp;3,Assessments!$A$2:$A$600,0)),"")</f>
        <v/>
      </c>
      <c r="CL503" s="28" t="str">
        <f aca="false">IFERROR(INDEX(Assessments!$I$2:$I$600,MATCH($H503&amp;"|"&amp;$I503&amp;"|"&amp;$J503&amp;"|"&amp;4,Assessments!$A$2:$A$600,0)),"")</f>
        <v/>
      </c>
      <c r="CM503" s="28" t="str">
        <f aca="false">IFERROR(INDEX(Assessments!$I$2:$I$600,MATCH($H503&amp;"|"&amp;$I503&amp;"|"&amp;$J503&amp;"|"&amp;5,Assessments!$A$2:$A$600,0)),"")</f>
        <v/>
      </c>
      <c r="CN503" s="28" t="str">
        <f aca="false">IFERROR(INDEX(Assessments!$I$2:$I$600,MATCH($H503&amp;"|"&amp;$I503&amp;"|"&amp;$J503&amp;"|"&amp;6,Assessments!$A$2:$A$600,0)),"")</f>
        <v/>
      </c>
      <c r="CO503" s="28" t="str">
        <f aca="false">IFERROR(INDEX(Assessments!$I$2:$I$600,MATCH($H503&amp;"|"&amp;$I503&amp;"|"&amp;$J503&amp;"|"&amp;7,Assessments!$A$2:$A$600,0)),"")</f>
        <v/>
      </c>
      <c r="CP503" s="28" t="str">
        <f aca="false">IFERROR(INDEX(Assessments!$I$2:$I$600,MATCH($H503&amp;"|"&amp;$I503&amp;"|"&amp;$J503&amp;"|"&amp;8,Assessments!$A$2:$A$600,0)),"")</f>
        <v/>
      </c>
      <c r="CQ503" s="28" t="str">
        <f aca="false">IFERROR(INDEX(Assessments!$I$2:$I$600,MATCH($H503&amp;"|"&amp;$I503&amp;"|"&amp;$J503&amp;"|"&amp;9,Assessments!$A$2:$A$600,0)),"")</f>
        <v/>
      </c>
      <c r="CR503" s="28" t="str">
        <f aca="false">IFERROR(INDEX(Assessments!$I$2:$I$600,MATCH($H503&amp;"|"&amp;$I503&amp;"|"&amp;$J503&amp;"|"&amp;10,Assessments!$A$2:$A$600,0)),"")</f>
        <v/>
      </c>
      <c r="CS503" s="28" t="str">
        <f aca="false">IFERROR(INDEX(Assessments!$I$2:$I$600,MATCH($H503&amp;"|"&amp;$I503&amp;"|"&amp;$J503&amp;"|"&amp;11,Assessments!$A$2:$A$600,0)),"")</f>
        <v/>
      </c>
      <c r="CT503" s="28" t="str">
        <f aca="false">IFERROR(INDEX(Assessments!$I$2:$I$600,MATCH($H503&amp;"|"&amp;$I503&amp;"|"&amp;$J503&amp;"|"&amp;12,Assessments!$A$2:$A$600,0)),"")</f>
        <v/>
      </c>
      <c r="CU503" s="28" t="str">
        <f aca="false">IFERROR(INDEX(Assessments!$I$2:$I$600,MATCH($H503&amp;"|"&amp;$I503&amp;"|"&amp;$J503&amp;"|"&amp;13,Assessments!$A$2:$A$600,0)),"")</f>
        <v/>
      </c>
      <c r="CV503" s="28" t="str">
        <f aca="false">IFERROR(INDEX(Assessments!$I$2:$I$600,MATCH($H503&amp;"|"&amp;$I503&amp;"|"&amp;$J503&amp;"|"&amp;14,Assessments!$A$2:$A$600,0)),"")</f>
        <v/>
      </c>
      <c r="CW503" s="28" t="n">
        <f aca="false">IFERROR(INDEX(Assessments!$J$2:$J$600,MATCH($H503&amp;"|"&amp;$I503&amp;"|"&amp;$J503&amp;"|"&amp;1,Assessments!$A$2:$A$600,0)),0)</f>
        <v>0</v>
      </c>
      <c r="CX503" s="28" t="n">
        <f aca="false">IFERROR(INDEX(Assessments!$J$2:$J$600,MATCH($H503&amp;"|"&amp;$I503&amp;"|"&amp;$J503&amp;"|"&amp;2,Assessments!$A$2:$A$600,0)),0)</f>
        <v>0</v>
      </c>
      <c r="CY503" s="28" t="n">
        <f aca="false">IFERROR(INDEX(Assessments!$J$2:$J$600,MATCH($H503&amp;"|"&amp;$I503&amp;"|"&amp;$J503&amp;"|"&amp;3,Assessments!$A$2:$A$600,0)),0)</f>
        <v>0</v>
      </c>
      <c r="CZ503" s="28" t="n">
        <f aca="false">IFERROR(INDEX(Assessments!$J$2:$J$600,MATCH($H503&amp;"|"&amp;$I503&amp;"|"&amp;$J503&amp;"|"&amp;4,Assessments!$A$2:$A$600,0)),0)</f>
        <v>0</v>
      </c>
      <c r="DA503" s="28" t="n">
        <f aca="false">IFERROR(INDEX(Assessments!$J$2:$J$600,MATCH($H503&amp;"|"&amp;$I503&amp;"|"&amp;$J503&amp;"|"&amp;5,Assessments!$A$2:$A$600,0)),0)</f>
        <v>0</v>
      </c>
      <c r="DB503" s="28" t="n">
        <f aca="false">IFERROR(INDEX(Assessments!$J$2:$J$600,MATCH($H503&amp;"|"&amp;$I503&amp;"|"&amp;$J503&amp;"|"&amp;6,Assessments!$A$2:$A$600,0)),0)</f>
        <v>0</v>
      </c>
      <c r="DC503" s="28" t="n">
        <f aca="false">IFERROR(INDEX(Assessments!$J$2:$J$600,MATCH($H503&amp;"|"&amp;$I503&amp;"|"&amp;$J503&amp;"|"&amp;7,Assessments!$A$2:$A$600,0)),0)</f>
        <v>0</v>
      </c>
      <c r="DD503" s="28" t="n">
        <f aca="false">IFERROR(INDEX(Assessments!$J$2:$J$600,MATCH($H503&amp;"|"&amp;$I503&amp;"|"&amp;$J503&amp;"|"&amp;8,Assessments!$A$2:$A$600,0)),0)</f>
        <v>0</v>
      </c>
      <c r="DE503" s="28" t="n">
        <f aca="false">IFERROR(INDEX(Assessments!$J$2:$J$600,MATCH($H503&amp;"|"&amp;$I503&amp;"|"&amp;$J503&amp;"|"&amp;9,Assessments!$A$2:$A$600,0)),0)</f>
        <v>0</v>
      </c>
      <c r="DF503" s="28" t="n">
        <f aca="false">IFERROR(INDEX(Assessments!$J$2:$J$600,MATCH($H503&amp;"|"&amp;$I503&amp;"|"&amp;$J503&amp;"|"&amp;10,Assessments!$A$2:$A$600,0)),0)</f>
        <v>0</v>
      </c>
      <c r="DG503" s="28" t="n">
        <f aca="false">IFERROR(INDEX(Assessments!$J$2:$J$600,MATCH($H503&amp;"|"&amp;$I503&amp;"|"&amp;$J503&amp;"|"&amp;11,Assessments!$A$2:$A$600,0)),0)</f>
        <v>0</v>
      </c>
      <c r="DH503" s="28" t="n">
        <f aca="false">IFERROR(INDEX(Assessments!$J$2:$J$600,MATCH($H503&amp;"|"&amp;$I503&amp;"|"&amp;$J503&amp;"|"&amp;12,Assessments!$A$2:$A$600,0)),0)</f>
        <v>0</v>
      </c>
      <c r="DI503" s="28" t="n">
        <f aca="false">IFERROR(INDEX(Assessments!$J$2:$J$600,MATCH($H503&amp;"|"&amp;$I503&amp;"|"&amp;$J503&amp;"|"&amp;13,Assessments!$A$2:$A$600,0)),0)</f>
        <v>0</v>
      </c>
      <c r="DJ503" s="28" t="n">
        <f aca="false">IFERROR(INDEX(Assessments!$J$2:$J$600,MATCH($H503&amp;"|"&amp;$I503&amp;"|"&amp;$J503&amp;"|"&amp;14,Assessments!$A$2:$A$600,0)),0)</f>
        <v>0</v>
      </c>
      <c r="DK503" s="28" t="str">
        <f aca="false">S503</f>
        <v/>
      </c>
      <c r="DL503" s="28" t="str">
        <f aca="false">W503</f>
        <v/>
      </c>
      <c r="DM503" s="28" t="str">
        <f aca="false">AA503</f>
        <v/>
      </c>
      <c r="DN503" s="28" t="str">
        <f aca="false">AE503</f>
        <v/>
      </c>
      <c r="DO503" s="28" t="str">
        <f aca="false">AI503</f>
        <v/>
      </c>
      <c r="DP503" s="28" t="str">
        <f aca="false">AM503</f>
        <v/>
      </c>
      <c r="DQ503" s="28" t="str">
        <f aca="false">AQ503</f>
        <v/>
      </c>
      <c r="DR503" s="28" t="str">
        <f aca="false">AU503</f>
        <v/>
      </c>
      <c r="DS503" s="28" t="str">
        <f aca="false">AY503</f>
        <v/>
      </c>
      <c r="DT503" s="28" t="str">
        <f aca="false">BC503</f>
        <v/>
      </c>
      <c r="DU503" s="28" t="str">
        <f aca="false">BG503</f>
        <v/>
      </c>
      <c r="DV503" s="28" t="str">
        <f aca="false">BK503</f>
        <v/>
      </c>
      <c r="DW503" s="28" t="str">
        <f aca="false">BO503</f>
        <v/>
      </c>
      <c r="DX503" s="28" t="str">
        <f aca="false">BS503</f>
        <v/>
      </c>
      <c r="DY503" s="28" t="str">
        <f aca="false">IF(ISNUMBER(S503),1,"")</f>
        <v/>
      </c>
      <c r="DZ503" s="28" t="str">
        <f aca="false">IF(ISNUMBER(W503),2,"")</f>
        <v/>
      </c>
      <c r="EA503" s="28" t="str">
        <f aca="false">IF(ISNUMBER(AA503),3,"")</f>
        <v/>
      </c>
      <c r="EB503" s="28" t="str">
        <f aca="false">IF(ISNUMBER(AE503),4,"")</f>
        <v/>
      </c>
      <c r="EC503" s="28" t="str">
        <f aca="false">IF(ISNUMBER(AI503),5,"")</f>
        <v/>
      </c>
      <c r="ED503" s="28" t="str">
        <f aca="false">IF(ISNUMBER(AM503),6,"")</f>
        <v/>
      </c>
      <c r="EE503" s="28" t="str">
        <f aca="false">IF(ISNUMBER(AQ503),7,"")</f>
        <v/>
      </c>
      <c r="EF503" s="28" t="str">
        <f aca="false">IF(ISNUMBER(AU503),8,"")</f>
        <v/>
      </c>
      <c r="EG503" s="28" t="str">
        <f aca="false">IF(ISNUMBER(AY503),9,"")</f>
        <v/>
      </c>
      <c r="EH503" s="28" t="str">
        <f aca="false">IF(ISNUMBER(BC503),10,"")</f>
        <v/>
      </c>
      <c r="EI503" s="28" t="str">
        <f aca="false">IF(ISNUMBER(BG503),11,"")</f>
        <v/>
      </c>
      <c r="EJ503" s="28" t="str">
        <f aca="false">IF(ISNUMBER(BK503),12,"")</f>
        <v/>
      </c>
      <c r="EK503" s="28" t="str">
        <f aca="false">IF(ISNUMBER(BO503),13,"")</f>
        <v/>
      </c>
      <c r="EL503" s="28" t="str">
        <f aca="false">IF(ISNUMBER(BS503),14,"")</f>
        <v/>
      </c>
      <c r="EM503" s="28" t="n">
        <f aca="false">IF(ISNUMBER(R503),R503*CW503,0)</f>
        <v>0</v>
      </c>
      <c r="EN503" s="28" t="n">
        <f aca="false">IF(ISNUMBER(V503),V503*CX503,0)</f>
        <v>0</v>
      </c>
      <c r="EO503" s="28" t="n">
        <f aca="false">IF(ISNUMBER(Z503),Z503*CY503,0)</f>
        <v>0</v>
      </c>
      <c r="EP503" s="28" t="n">
        <f aca="false">IF(ISNUMBER(AD503),AD503*CZ503,0)</f>
        <v>0</v>
      </c>
      <c r="EQ503" s="28" t="n">
        <f aca="false">IF(ISNUMBER(AH503),AH503*DA503,0)</f>
        <v>0</v>
      </c>
      <c r="ER503" s="28" t="n">
        <f aca="false">IF(ISNUMBER(AL503),AL503*DB503,0)</f>
        <v>0</v>
      </c>
      <c r="ES503" s="28" t="n">
        <f aca="false">IF(ISNUMBER(AP503),AP503*DC503,0)</f>
        <v>0</v>
      </c>
      <c r="ET503" s="28" t="n">
        <f aca="false">IF(ISNUMBER(AT503),AT503*DD503,0)</f>
        <v>0</v>
      </c>
      <c r="EU503" s="28" t="n">
        <f aca="false">IF(ISNUMBER(AX503),AX503*DE503,0)</f>
        <v>0</v>
      </c>
      <c r="EV503" s="28" t="n">
        <f aca="false">IF(ISNUMBER(BB503),BB503*DF503,0)</f>
        <v>0</v>
      </c>
      <c r="EW503" s="28" t="n">
        <f aca="false">IF(ISNUMBER(BF503),BF503*DG503,0)</f>
        <v>0</v>
      </c>
      <c r="EX503" s="28" t="n">
        <f aca="false">IF(ISNUMBER(BJ503),BJ503*DH503,0)</f>
        <v>0</v>
      </c>
      <c r="EY503" s="28" t="n">
        <f aca="false">IF(ISNUMBER(BN503),BN503*DI503,0)</f>
        <v>0</v>
      </c>
      <c r="EZ503" s="28" t="n">
        <f aca="false">IF(ISNUMBER(BR503),BR503*DJ503,0)</f>
        <v>0</v>
      </c>
      <c r="FA503" s="28" t="n">
        <f aca="false">IF(ISNUMBER(R503),CW503,0)</f>
        <v>0</v>
      </c>
      <c r="FB503" s="28" t="n">
        <f aca="false">IF(ISNUMBER(V503),CX503,0)</f>
        <v>0</v>
      </c>
      <c r="FC503" s="28" t="n">
        <f aca="false">IF(ISNUMBER(Z503),CY503,0)</f>
        <v>0</v>
      </c>
      <c r="FD503" s="28" t="n">
        <f aca="false">IF(ISNUMBER(AD503),CZ503,0)</f>
        <v>0</v>
      </c>
      <c r="FE503" s="28" t="n">
        <f aca="false">IF(ISNUMBER(AH503),DA503,0)</f>
        <v>0</v>
      </c>
      <c r="FF503" s="28" t="n">
        <f aca="false">IF(ISNUMBER(AL503),DB503,0)</f>
        <v>0</v>
      </c>
      <c r="FG503" s="28" t="n">
        <f aca="false">IF(ISNUMBER(AP503),DC503,0)</f>
        <v>0</v>
      </c>
      <c r="FH503" s="28" t="n">
        <f aca="false">IF(ISNUMBER(AT503),DD503,0)</f>
        <v>0</v>
      </c>
      <c r="FI503" s="28" t="n">
        <f aca="false">IF(ISNUMBER(AX503),DE503,0)</f>
        <v>0</v>
      </c>
      <c r="FJ503" s="28" t="n">
        <f aca="false">IF(ISNUMBER(BB503),DF503,0)</f>
        <v>0</v>
      </c>
      <c r="FK503" s="28" t="n">
        <f aca="false">IF(ISNUMBER(BF503),DG503,0)</f>
        <v>0</v>
      </c>
      <c r="FL503" s="28" t="n">
        <f aca="false">IF(ISNUMBER(BJ503),DH503,0)</f>
        <v>0</v>
      </c>
      <c r="FM503" s="28" t="n">
        <f aca="false">IF(ISNUMBER(BN503),DI503,0)</f>
        <v>0</v>
      </c>
      <c r="FN503" s="28" t="n">
        <f aca="false">IF(ISNUMBER(BR503),DJ503,0)</f>
        <v>0</v>
      </c>
      <c r="FO503" s="28" t="str">
        <f aca="false">IFERROR(INDEX(Lists!$G$2:$G$20,MATCH($I503&amp;"|"&amp;$J503,Lists!$F$2:$F$20,0)),"")</f>
        <v/>
      </c>
    </row>
    <row r="504" customFormat="false" ht="19.5" hidden="false" customHeight="true" outlineLevel="0" collapsed="false">
      <c r="A504" s="29"/>
      <c r="B504" s="29"/>
      <c r="C504" s="30"/>
      <c r="D504" s="30"/>
      <c r="E504" s="31"/>
      <c r="F504" s="30"/>
      <c r="G504" s="30"/>
      <c r="H504" s="32"/>
      <c r="I504" s="33"/>
      <c r="J504" s="32"/>
      <c r="K504" s="34" t="str">
        <f aca="false">IF(OR(M504="",$E504=""),"",M504-$E504)</f>
        <v/>
      </c>
      <c r="L504" s="35" t="str">
        <f aca="false">IF(SUM(FA504:FN504)=0,"",SUM(EM504:EZ504)/SUM(FA504:FN504))</f>
        <v/>
      </c>
      <c r="M504" s="36" t="str">
        <f aca="false">IF(OR(L504="",FO504=""),"",IFERROR(MATCH(L504,INDEX(Boundaries!$B$2:$I$30,MATCH(FO504,Boundaries!$A$2:$A$30,0),0),1)-1,""))</f>
        <v/>
      </c>
      <c r="N504" s="37" t="str">
        <f aca="false">IF(COUNT($DY504:$EL504)&lt;2,"",INDEX($DK504:$DX504,MAX($DY504:$EL504))-INDEX($DK504:$DX504,MIN($DY504:$EL504)))</f>
        <v/>
      </c>
      <c r="O504" s="37" t="str">
        <f aca="false">IF(COUNT($DY504:$EL504)&lt;2,"",INDEX($DK504:$DX504,MAX($DY504:$EL504))-INDEX($DK504:$DX504,LARGE($DY504:$EL504,2)))</f>
        <v/>
      </c>
      <c r="P504" s="38" t="str">
        <f aca="false">IF(K504="","",IF(K504&gt;=0,"On/above target",IF(AND(N504&lt;&gt;"",N504&gt;=0.5),"Improving towards target",IF(AND(O504&lt;&gt;"",O504&lt;=-0.5),"Declining","Stable below target"))))</f>
        <v/>
      </c>
      <c r="Q504" s="39"/>
      <c r="R504" s="40" t="str">
        <f aca="false">IF(OR(Q504="",BU504=""),"",Q504/BU504*100)</f>
        <v/>
      </c>
      <c r="S504" s="41" t="str">
        <f aca="false">IF(R504="","",IFERROR(MATCH(R504,INDEX(Boundaries!$B$2:$I$30,MATCH(CI504,Boundaries!$A$2:$A$30,0),0),1)-1,""))</f>
        <v/>
      </c>
      <c r="T504" s="42" t="str">
        <f aca="false">IF(OR(S504="",$E504=""),"",S504-$E504)</f>
        <v/>
      </c>
      <c r="U504" s="39"/>
      <c r="V504" s="40" t="str">
        <f aca="false">IF(OR(U504="",BV504=""),"",U504/BV504*100)</f>
        <v/>
      </c>
      <c r="W504" s="41" t="str">
        <f aca="false">IF(V504="","",IFERROR(MATCH(V504,INDEX(Boundaries!$B$2:$I$30,MATCH(CJ504,Boundaries!$A$2:$A$30,0),0),1)-1,""))</f>
        <v/>
      </c>
      <c r="X504" s="42" t="str">
        <f aca="false">IF(OR(W504="",$E504=""),"",W504-$E504)</f>
        <v/>
      </c>
      <c r="Y504" s="39"/>
      <c r="Z504" s="40" t="str">
        <f aca="false">IF(OR(Y504="",BW504=""),"",Y504/BW504*100)</f>
        <v/>
      </c>
      <c r="AA504" s="41" t="str">
        <f aca="false">IF(Z504="","",IFERROR(MATCH(Z504,INDEX(Boundaries!$B$2:$I$30,MATCH(CK504,Boundaries!$A$2:$A$30,0),0),1)-1,""))</f>
        <v/>
      </c>
      <c r="AB504" s="42" t="str">
        <f aca="false">IF(OR(AA504="",$E504=""),"",AA504-$E504)</f>
        <v/>
      </c>
      <c r="AC504" s="39"/>
      <c r="AD504" s="40" t="str">
        <f aca="false">IF(OR(AC504="",BX504=""),"",AC504/BX504*100)</f>
        <v/>
      </c>
      <c r="AE504" s="41" t="str">
        <f aca="false">IF(AD504="","",IFERROR(MATCH(AD504,INDEX(Boundaries!$B$2:$I$30,MATCH(CL504,Boundaries!$A$2:$A$30,0),0),1)-1,""))</f>
        <v/>
      </c>
      <c r="AF504" s="42" t="str">
        <f aca="false">IF(OR(AE504="",$E504=""),"",AE504-$E504)</f>
        <v/>
      </c>
      <c r="AG504" s="39"/>
      <c r="AH504" s="40" t="str">
        <f aca="false">IF(OR(AG504="",BY504=""),"",AG504/BY504*100)</f>
        <v/>
      </c>
      <c r="AI504" s="41" t="str">
        <f aca="false">IF(AH504="","",IFERROR(MATCH(AH504,INDEX(Boundaries!$B$2:$I$30,MATCH(CM504,Boundaries!$A$2:$A$30,0),0),1)-1,""))</f>
        <v/>
      </c>
      <c r="AJ504" s="42" t="str">
        <f aca="false">IF(OR(AI504="",$E504=""),"",AI504-$E504)</f>
        <v/>
      </c>
      <c r="AK504" s="39"/>
      <c r="AL504" s="40" t="str">
        <f aca="false">IF(OR(AK504="",BZ504=""),"",AK504/BZ504*100)</f>
        <v/>
      </c>
      <c r="AM504" s="41" t="str">
        <f aca="false">IF(AL504="","",IFERROR(MATCH(AL504,INDEX(Boundaries!$B$2:$I$30,MATCH(CN504,Boundaries!$A$2:$A$30,0),0),1)-1,""))</f>
        <v/>
      </c>
      <c r="AN504" s="42" t="str">
        <f aca="false">IF(OR(AM504="",$E504=""),"",AM504-$E504)</f>
        <v/>
      </c>
      <c r="AO504" s="39"/>
      <c r="AP504" s="40" t="str">
        <f aca="false">IF(OR(AO504="",CA504=""),"",AO504/CA504*100)</f>
        <v/>
      </c>
      <c r="AQ504" s="41" t="str">
        <f aca="false">IF(AP504="","",IFERROR(MATCH(AP504,INDEX(Boundaries!$B$2:$I$30,MATCH(CO504,Boundaries!$A$2:$A$30,0),0),1)-1,""))</f>
        <v/>
      </c>
      <c r="AR504" s="42" t="str">
        <f aca="false">IF(OR(AQ504="",$E504=""),"",AQ504-$E504)</f>
        <v/>
      </c>
      <c r="AS504" s="39"/>
      <c r="AT504" s="40" t="str">
        <f aca="false">IF(OR(AS504="",CB504=""),"",AS504/CB504*100)</f>
        <v/>
      </c>
      <c r="AU504" s="41" t="str">
        <f aca="false">IF(AT504="","",IFERROR(MATCH(AT504,INDEX(Boundaries!$B$2:$I$30,MATCH(CP504,Boundaries!$A$2:$A$30,0),0),1)-1,""))</f>
        <v/>
      </c>
      <c r="AV504" s="42" t="str">
        <f aca="false">IF(OR(AU504="",$E504=""),"",AU504-$E504)</f>
        <v/>
      </c>
      <c r="AW504" s="39"/>
      <c r="AX504" s="40" t="str">
        <f aca="false">IF(OR(AW504="",CC504=""),"",AW504/CC504*100)</f>
        <v/>
      </c>
      <c r="AY504" s="41" t="str">
        <f aca="false">IF(AX504="","",IFERROR(MATCH(AX504,INDEX(Boundaries!$B$2:$I$30,MATCH(CQ504,Boundaries!$A$2:$A$30,0),0),1)-1,""))</f>
        <v/>
      </c>
      <c r="AZ504" s="42" t="str">
        <f aca="false">IF(OR(AY504="",$E504=""),"",AY504-$E504)</f>
        <v/>
      </c>
      <c r="BA504" s="39"/>
      <c r="BB504" s="40" t="str">
        <f aca="false">IF(OR(BA504="",CD504=""),"",BA504/CD504*100)</f>
        <v/>
      </c>
      <c r="BC504" s="41" t="str">
        <f aca="false">IF(BB504="","",IFERROR(MATCH(BB504,INDEX(Boundaries!$B$2:$I$30,MATCH(CR504,Boundaries!$A$2:$A$30,0),0),1)-1,""))</f>
        <v/>
      </c>
      <c r="BD504" s="42" t="str">
        <f aca="false">IF(OR(BC504="",$E504=""),"",BC504-$E504)</f>
        <v/>
      </c>
      <c r="BE504" s="39"/>
      <c r="BF504" s="40" t="str">
        <f aca="false">IF(OR(BE504="",CE504=""),"",BE504/CE504*100)</f>
        <v/>
      </c>
      <c r="BG504" s="41" t="str">
        <f aca="false">IF(BF504="","",IFERROR(MATCH(BF504,INDEX(Boundaries!$B$2:$I$30,MATCH(CS504,Boundaries!$A$2:$A$30,0),0),1)-1,""))</f>
        <v/>
      </c>
      <c r="BH504" s="42" t="str">
        <f aca="false">IF(OR(BG504="",$E504=""),"",BG504-$E504)</f>
        <v/>
      </c>
      <c r="BI504" s="39"/>
      <c r="BJ504" s="40" t="str">
        <f aca="false">IF(OR(BI504="",CF504=""),"",BI504/CF504*100)</f>
        <v/>
      </c>
      <c r="BK504" s="41" t="str">
        <f aca="false">IF(BJ504="","",IFERROR(MATCH(BJ504,INDEX(Boundaries!$B$2:$I$30,MATCH(CT504,Boundaries!$A$2:$A$30,0),0),1)-1,""))</f>
        <v/>
      </c>
      <c r="BL504" s="42" t="str">
        <f aca="false">IF(OR(BK504="",$E504=""),"",BK504-$E504)</f>
        <v/>
      </c>
      <c r="BM504" s="39"/>
      <c r="BN504" s="40" t="str">
        <f aca="false">IF(OR(BM504="",CG504=""),"",BM504/CG504*100)</f>
        <v/>
      </c>
      <c r="BO504" s="41" t="str">
        <f aca="false">IF(BN504="","",IFERROR(MATCH(BN504,INDEX(Boundaries!$B$2:$I$30,MATCH(CU504,Boundaries!$A$2:$A$30,0),0),1)-1,""))</f>
        <v/>
      </c>
      <c r="BP504" s="42" t="str">
        <f aca="false">IF(OR(BO504="",$E504=""),"",BO504-$E504)</f>
        <v/>
      </c>
      <c r="BQ504" s="39"/>
      <c r="BR504" s="40" t="str">
        <f aca="false">IF(OR(BQ504="",CH504=""),"",BQ504/CH504*100)</f>
        <v/>
      </c>
      <c r="BS504" s="41" t="str">
        <f aca="false">IF(BR504="","",IFERROR(MATCH(BR504,INDEX(Boundaries!$B$2:$I$30,MATCH(CV504,Boundaries!$A$2:$A$30,0),0),1)-1,""))</f>
        <v/>
      </c>
      <c r="BT504" s="42" t="str">
        <f aca="false">IF(OR(BS504="",$E504=""),"",BS504-$E504)</f>
        <v/>
      </c>
      <c r="BU504" s="28" t="str">
        <f aca="false">IFERROR(INDEX(Assessments!$H$2:$H$600,MATCH($H504&amp;"|"&amp;$I504&amp;"|"&amp;$J504&amp;"|"&amp;1,Assessments!$A$2:$A$600,0)),"")</f>
        <v/>
      </c>
      <c r="BV504" s="28" t="str">
        <f aca="false">IFERROR(INDEX(Assessments!$H$2:$H$600,MATCH($H504&amp;"|"&amp;$I504&amp;"|"&amp;$J504&amp;"|"&amp;2,Assessments!$A$2:$A$600,0)),"")</f>
        <v/>
      </c>
      <c r="BW504" s="28" t="str">
        <f aca="false">IFERROR(INDEX(Assessments!$H$2:$H$600,MATCH($H504&amp;"|"&amp;$I504&amp;"|"&amp;$J504&amp;"|"&amp;3,Assessments!$A$2:$A$600,0)),"")</f>
        <v/>
      </c>
      <c r="BX504" s="28" t="str">
        <f aca="false">IFERROR(INDEX(Assessments!$H$2:$H$600,MATCH($H504&amp;"|"&amp;$I504&amp;"|"&amp;$J504&amp;"|"&amp;4,Assessments!$A$2:$A$600,0)),"")</f>
        <v/>
      </c>
      <c r="BY504" s="28" t="str">
        <f aca="false">IFERROR(INDEX(Assessments!$H$2:$H$600,MATCH($H504&amp;"|"&amp;$I504&amp;"|"&amp;$J504&amp;"|"&amp;5,Assessments!$A$2:$A$600,0)),"")</f>
        <v/>
      </c>
      <c r="BZ504" s="28" t="str">
        <f aca="false">IFERROR(INDEX(Assessments!$H$2:$H$600,MATCH($H504&amp;"|"&amp;$I504&amp;"|"&amp;$J504&amp;"|"&amp;6,Assessments!$A$2:$A$600,0)),"")</f>
        <v/>
      </c>
      <c r="CA504" s="28" t="str">
        <f aca="false">IFERROR(INDEX(Assessments!$H$2:$H$600,MATCH($H504&amp;"|"&amp;$I504&amp;"|"&amp;$J504&amp;"|"&amp;7,Assessments!$A$2:$A$600,0)),"")</f>
        <v/>
      </c>
      <c r="CB504" s="28" t="str">
        <f aca="false">IFERROR(INDEX(Assessments!$H$2:$H$600,MATCH($H504&amp;"|"&amp;$I504&amp;"|"&amp;$J504&amp;"|"&amp;8,Assessments!$A$2:$A$600,0)),"")</f>
        <v/>
      </c>
      <c r="CC504" s="28" t="str">
        <f aca="false">IFERROR(INDEX(Assessments!$H$2:$H$600,MATCH($H504&amp;"|"&amp;$I504&amp;"|"&amp;$J504&amp;"|"&amp;9,Assessments!$A$2:$A$600,0)),"")</f>
        <v/>
      </c>
      <c r="CD504" s="28" t="str">
        <f aca="false">IFERROR(INDEX(Assessments!$H$2:$H$600,MATCH($H504&amp;"|"&amp;$I504&amp;"|"&amp;$J504&amp;"|"&amp;10,Assessments!$A$2:$A$600,0)),"")</f>
        <v/>
      </c>
      <c r="CE504" s="28" t="str">
        <f aca="false">IFERROR(INDEX(Assessments!$H$2:$H$600,MATCH($H504&amp;"|"&amp;$I504&amp;"|"&amp;$J504&amp;"|"&amp;11,Assessments!$A$2:$A$600,0)),"")</f>
        <v/>
      </c>
      <c r="CF504" s="28" t="str">
        <f aca="false">IFERROR(INDEX(Assessments!$H$2:$H$600,MATCH($H504&amp;"|"&amp;$I504&amp;"|"&amp;$J504&amp;"|"&amp;12,Assessments!$A$2:$A$600,0)),"")</f>
        <v/>
      </c>
      <c r="CG504" s="28" t="str">
        <f aca="false">IFERROR(INDEX(Assessments!$H$2:$H$600,MATCH($H504&amp;"|"&amp;$I504&amp;"|"&amp;$J504&amp;"|"&amp;13,Assessments!$A$2:$A$600,0)),"")</f>
        <v/>
      </c>
      <c r="CH504" s="28" t="str">
        <f aca="false">IFERROR(INDEX(Assessments!$H$2:$H$600,MATCH($H504&amp;"|"&amp;$I504&amp;"|"&amp;$J504&amp;"|"&amp;14,Assessments!$A$2:$A$600,0)),"")</f>
        <v/>
      </c>
      <c r="CI504" s="28" t="str">
        <f aca="false">IFERROR(INDEX(Assessments!$I$2:$I$600,MATCH($H504&amp;"|"&amp;$I504&amp;"|"&amp;$J504&amp;"|"&amp;1,Assessments!$A$2:$A$600,0)),"")</f>
        <v/>
      </c>
      <c r="CJ504" s="28" t="str">
        <f aca="false">IFERROR(INDEX(Assessments!$I$2:$I$600,MATCH($H504&amp;"|"&amp;$I504&amp;"|"&amp;$J504&amp;"|"&amp;2,Assessments!$A$2:$A$600,0)),"")</f>
        <v/>
      </c>
      <c r="CK504" s="28" t="str">
        <f aca="false">IFERROR(INDEX(Assessments!$I$2:$I$600,MATCH($H504&amp;"|"&amp;$I504&amp;"|"&amp;$J504&amp;"|"&amp;3,Assessments!$A$2:$A$600,0)),"")</f>
        <v/>
      </c>
      <c r="CL504" s="28" t="str">
        <f aca="false">IFERROR(INDEX(Assessments!$I$2:$I$600,MATCH($H504&amp;"|"&amp;$I504&amp;"|"&amp;$J504&amp;"|"&amp;4,Assessments!$A$2:$A$600,0)),"")</f>
        <v/>
      </c>
      <c r="CM504" s="28" t="str">
        <f aca="false">IFERROR(INDEX(Assessments!$I$2:$I$600,MATCH($H504&amp;"|"&amp;$I504&amp;"|"&amp;$J504&amp;"|"&amp;5,Assessments!$A$2:$A$600,0)),"")</f>
        <v/>
      </c>
      <c r="CN504" s="28" t="str">
        <f aca="false">IFERROR(INDEX(Assessments!$I$2:$I$600,MATCH($H504&amp;"|"&amp;$I504&amp;"|"&amp;$J504&amp;"|"&amp;6,Assessments!$A$2:$A$600,0)),"")</f>
        <v/>
      </c>
      <c r="CO504" s="28" t="str">
        <f aca="false">IFERROR(INDEX(Assessments!$I$2:$I$600,MATCH($H504&amp;"|"&amp;$I504&amp;"|"&amp;$J504&amp;"|"&amp;7,Assessments!$A$2:$A$600,0)),"")</f>
        <v/>
      </c>
      <c r="CP504" s="28" t="str">
        <f aca="false">IFERROR(INDEX(Assessments!$I$2:$I$600,MATCH($H504&amp;"|"&amp;$I504&amp;"|"&amp;$J504&amp;"|"&amp;8,Assessments!$A$2:$A$600,0)),"")</f>
        <v/>
      </c>
      <c r="CQ504" s="28" t="str">
        <f aca="false">IFERROR(INDEX(Assessments!$I$2:$I$600,MATCH($H504&amp;"|"&amp;$I504&amp;"|"&amp;$J504&amp;"|"&amp;9,Assessments!$A$2:$A$600,0)),"")</f>
        <v/>
      </c>
      <c r="CR504" s="28" t="str">
        <f aca="false">IFERROR(INDEX(Assessments!$I$2:$I$600,MATCH($H504&amp;"|"&amp;$I504&amp;"|"&amp;$J504&amp;"|"&amp;10,Assessments!$A$2:$A$600,0)),"")</f>
        <v/>
      </c>
      <c r="CS504" s="28" t="str">
        <f aca="false">IFERROR(INDEX(Assessments!$I$2:$I$600,MATCH($H504&amp;"|"&amp;$I504&amp;"|"&amp;$J504&amp;"|"&amp;11,Assessments!$A$2:$A$600,0)),"")</f>
        <v/>
      </c>
      <c r="CT504" s="28" t="str">
        <f aca="false">IFERROR(INDEX(Assessments!$I$2:$I$600,MATCH($H504&amp;"|"&amp;$I504&amp;"|"&amp;$J504&amp;"|"&amp;12,Assessments!$A$2:$A$600,0)),"")</f>
        <v/>
      </c>
      <c r="CU504" s="28" t="str">
        <f aca="false">IFERROR(INDEX(Assessments!$I$2:$I$600,MATCH($H504&amp;"|"&amp;$I504&amp;"|"&amp;$J504&amp;"|"&amp;13,Assessments!$A$2:$A$600,0)),"")</f>
        <v/>
      </c>
      <c r="CV504" s="28" t="str">
        <f aca="false">IFERROR(INDEX(Assessments!$I$2:$I$600,MATCH($H504&amp;"|"&amp;$I504&amp;"|"&amp;$J504&amp;"|"&amp;14,Assessments!$A$2:$A$600,0)),"")</f>
        <v/>
      </c>
      <c r="CW504" s="28" t="n">
        <f aca="false">IFERROR(INDEX(Assessments!$J$2:$J$600,MATCH($H504&amp;"|"&amp;$I504&amp;"|"&amp;$J504&amp;"|"&amp;1,Assessments!$A$2:$A$600,0)),0)</f>
        <v>0</v>
      </c>
      <c r="CX504" s="28" t="n">
        <f aca="false">IFERROR(INDEX(Assessments!$J$2:$J$600,MATCH($H504&amp;"|"&amp;$I504&amp;"|"&amp;$J504&amp;"|"&amp;2,Assessments!$A$2:$A$600,0)),0)</f>
        <v>0</v>
      </c>
      <c r="CY504" s="28" t="n">
        <f aca="false">IFERROR(INDEX(Assessments!$J$2:$J$600,MATCH($H504&amp;"|"&amp;$I504&amp;"|"&amp;$J504&amp;"|"&amp;3,Assessments!$A$2:$A$600,0)),0)</f>
        <v>0</v>
      </c>
      <c r="CZ504" s="28" t="n">
        <f aca="false">IFERROR(INDEX(Assessments!$J$2:$J$600,MATCH($H504&amp;"|"&amp;$I504&amp;"|"&amp;$J504&amp;"|"&amp;4,Assessments!$A$2:$A$600,0)),0)</f>
        <v>0</v>
      </c>
      <c r="DA504" s="28" t="n">
        <f aca="false">IFERROR(INDEX(Assessments!$J$2:$J$600,MATCH($H504&amp;"|"&amp;$I504&amp;"|"&amp;$J504&amp;"|"&amp;5,Assessments!$A$2:$A$600,0)),0)</f>
        <v>0</v>
      </c>
      <c r="DB504" s="28" t="n">
        <f aca="false">IFERROR(INDEX(Assessments!$J$2:$J$600,MATCH($H504&amp;"|"&amp;$I504&amp;"|"&amp;$J504&amp;"|"&amp;6,Assessments!$A$2:$A$600,0)),0)</f>
        <v>0</v>
      </c>
      <c r="DC504" s="28" t="n">
        <f aca="false">IFERROR(INDEX(Assessments!$J$2:$J$600,MATCH($H504&amp;"|"&amp;$I504&amp;"|"&amp;$J504&amp;"|"&amp;7,Assessments!$A$2:$A$600,0)),0)</f>
        <v>0</v>
      </c>
      <c r="DD504" s="28" t="n">
        <f aca="false">IFERROR(INDEX(Assessments!$J$2:$J$600,MATCH($H504&amp;"|"&amp;$I504&amp;"|"&amp;$J504&amp;"|"&amp;8,Assessments!$A$2:$A$600,0)),0)</f>
        <v>0</v>
      </c>
      <c r="DE504" s="28" t="n">
        <f aca="false">IFERROR(INDEX(Assessments!$J$2:$J$600,MATCH($H504&amp;"|"&amp;$I504&amp;"|"&amp;$J504&amp;"|"&amp;9,Assessments!$A$2:$A$600,0)),0)</f>
        <v>0</v>
      </c>
      <c r="DF504" s="28" t="n">
        <f aca="false">IFERROR(INDEX(Assessments!$J$2:$J$600,MATCH($H504&amp;"|"&amp;$I504&amp;"|"&amp;$J504&amp;"|"&amp;10,Assessments!$A$2:$A$600,0)),0)</f>
        <v>0</v>
      </c>
      <c r="DG504" s="28" t="n">
        <f aca="false">IFERROR(INDEX(Assessments!$J$2:$J$600,MATCH($H504&amp;"|"&amp;$I504&amp;"|"&amp;$J504&amp;"|"&amp;11,Assessments!$A$2:$A$600,0)),0)</f>
        <v>0</v>
      </c>
      <c r="DH504" s="28" t="n">
        <f aca="false">IFERROR(INDEX(Assessments!$J$2:$J$600,MATCH($H504&amp;"|"&amp;$I504&amp;"|"&amp;$J504&amp;"|"&amp;12,Assessments!$A$2:$A$600,0)),0)</f>
        <v>0</v>
      </c>
      <c r="DI504" s="28" t="n">
        <f aca="false">IFERROR(INDEX(Assessments!$J$2:$J$600,MATCH($H504&amp;"|"&amp;$I504&amp;"|"&amp;$J504&amp;"|"&amp;13,Assessments!$A$2:$A$600,0)),0)</f>
        <v>0</v>
      </c>
      <c r="DJ504" s="28" t="n">
        <f aca="false">IFERROR(INDEX(Assessments!$J$2:$J$600,MATCH($H504&amp;"|"&amp;$I504&amp;"|"&amp;$J504&amp;"|"&amp;14,Assessments!$A$2:$A$600,0)),0)</f>
        <v>0</v>
      </c>
      <c r="DK504" s="28" t="str">
        <f aca="false">S504</f>
        <v/>
      </c>
      <c r="DL504" s="28" t="str">
        <f aca="false">W504</f>
        <v/>
      </c>
      <c r="DM504" s="28" t="str">
        <f aca="false">AA504</f>
        <v/>
      </c>
      <c r="DN504" s="28" t="str">
        <f aca="false">AE504</f>
        <v/>
      </c>
      <c r="DO504" s="28" t="str">
        <f aca="false">AI504</f>
        <v/>
      </c>
      <c r="DP504" s="28" t="str">
        <f aca="false">AM504</f>
        <v/>
      </c>
      <c r="DQ504" s="28" t="str">
        <f aca="false">AQ504</f>
        <v/>
      </c>
      <c r="DR504" s="28" t="str">
        <f aca="false">AU504</f>
        <v/>
      </c>
      <c r="DS504" s="28" t="str">
        <f aca="false">AY504</f>
        <v/>
      </c>
      <c r="DT504" s="28" t="str">
        <f aca="false">BC504</f>
        <v/>
      </c>
      <c r="DU504" s="28" t="str">
        <f aca="false">BG504</f>
        <v/>
      </c>
      <c r="DV504" s="28" t="str">
        <f aca="false">BK504</f>
        <v/>
      </c>
      <c r="DW504" s="28" t="str">
        <f aca="false">BO504</f>
        <v/>
      </c>
      <c r="DX504" s="28" t="str">
        <f aca="false">BS504</f>
        <v/>
      </c>
      <c r="DY504" s="28" t="str">
        <f aca="false">IF(ISNUMBER(S504),1,"")</f>
        <v/>
      </c>
      <c r="DZ504" s="28" t="str">
        <f aca="false">IF(ISNUMBER(W504),2,"")</f>
        <v/>
      </c>
      <c r="EA504" s="28" t="str">
        <f aca="false">IF(ISNUMBER(AA504),3,"")</f>
        <v/>
      </c>
      <c r="EB504" s="28" t="str">
        <f aca="false">IF(ISNUMBER(AE504),4,"")</f>
        <v/>
      </c>
      <c r="EC504" s="28" t="str">
        <f aca="false">IF(ISNUMBER(AI504),5,"")</f>
        <v/>
      </c>
      <c r="ED504" s="28" t="str">
        <f aca="false">IF(ISNUMBER(AM504),6,"")</f>
        <v/>
      </c>
      <c r="EE504" s="28" t="str">
        <f aca="false">IF(ISNUMBER(AQ504),7,"")</f>
        <v/>
      </c>
      <c r="EF504" s="28" t="str">
        <f aca="false">IF(ISNUMBER(AU504),8,"")</f>
        <v/>
      </c>
      <c r="EG504" s="28" t="str">
        <f aca="false">IF(ISNUMBER(AY504),9,"")</f>
        <v/>
      </c>
      <c r="EH504" s="28" t="str">
        <f aca="false">IF(ISNUMBER(BC504),10,"")</f>
        <v/>
      </c>
      <c r="EI504" s="28" t="str">
        <f aca="false">IF(ISNUMBER(BG504),11,"")</f>
        <v/>
      </c>
      <c r="EJ504" s="28" t="str">
        <f aca="false">IF(ISNUMBER(BK504),12,"")</f>
        <v/>
      </c>
      <c r="EK504" s="28" t="str">
        <f aca="false">IF(ISNUMBER(BO504),13,"")</f>
        <v/>
      </c>
      <c r="EL504" s="28" t="str">
        <f aca="false">IF(ISNUMBER(BS504),14,"")</f>
        <v/>
      </c>
      <c r="EM504" s="28" t="n">
        <f aca="false">IF(ISNUMBER(R504),R504*CW504,0)</f>
        <v>0</v>
      </c>
      <c r="EN504" s="28" t="n">
        <f aca="false">IF(ISNUMBER(V504),V504*CX504,0)</f>
        <v>0</v>
      </c>
      <c r="EO504" s="28" t="n">
        <f aca="false">IF(ISNUMBER(Z504),Z504*CY504,0)</f>
        <v>0</v>
      </c>
      <c r="EP504" s="28" t="n">
        <f aca="false">IF(ISNUMBER(AD504),AD504*CZ504,0)</f>
        <v>0</v>
      </c>
      <c r="EQ504" s="28" t="n">
        <f aca="false">IF(ISNUMBER(AH504),AH504*DA504,0)</f>
        <v>0</v>
      </c>
      <c r="ER504" s="28" t="n">
        <f aca="false">IF(ISNUMBER(AL504),AL504*DB504,0)</f>
        <v>0</v>
      </c>
      <c r="ES504" s="28" t="n">
        <f aca="false">IF(ISNUMBER(AP504),AP504*DC504,0)</f>
        <v>0</v>
      </c>
      <c r="ET504" s="28" t="n">
        <f aca="false">IF(ISNUMBER(AT504),AT504*DD504,0)</f>
        <v>0</v>
      </c>
      <c r="EU504" s="28" t="n">
        <f aca="false">IF(ISNUMBER(AX504),AX504*DE504,0)</f>
        <v>0</v>
      </c>
      <c r="EV504" s="28" t="n">
        <f aca="false">IF(ISNUMBER(BB504),BB504*DF504,0)</f>
        <v>0</v>
      </c>
      <c r="EW504" s="28" t="n">
        <f aca="false">IF(ISNUMBER(BF504),BF504*DG504,0)</f>
        <v>0</v>
      </c>
      <c r="EX504" s="28" t="n">
        <f aca="false">IF(ISNUMBER(BJ504),BJ504*DH504,0)</f>
        <v>0</v>
      </c>
      <c r="EY504" s="28" t="n">
        <f aca="false">IF(ISNUMBER(BN504),BN504*DI504,0)</f>
        <v>0</v>
      </c>
      <c r="EZ504" s="28" t="n">
        <f aca="false">IF(ISNUMBER(BR504),BR504*DJ504,0)</f>
        <v>0</v>
      </c>
      <c r="FA504" s="28" t="n">
        <f aca="false">IF(ISNUMBER(R504),CW504,0)</f>
        <v>0</v>
      </c>
      <c r="FB504" s="28" t="n">
        <f aca="false">IF(ISNUMBER(V504),CX504,0)</f>
        <v>0</v>
      </c>
      <c r="FC504" s="28" t="n">
        <f aca="false">IF(ISNUMBER(Z504),CY504,0)</f>
        <v>0</v>
      </c>
      <c r="FD504" s="28" t="n">
        <f aca="false">IF(ISNUMBER(AD504),CZ504,0)</f>
        <v>0</v>
      </c>
      <c r="FE504" s="28" t="n">
        <f aca="false">IF(ISNUMBER(AH504),DA504,0)</f>
        <v>0</v>
      </c>
      <c r="FF504" s="28" t="n">
        <f aca="false">IF(ISNUMBER(AL504),DB504,0)</f>
        <v>0</v>
      </c>
      <c r="FG504" s="28" t="n">
        <f aca="false">IF(ISNUMBER(AP504),DC504,0)</f>
        <v>0</v>
      </c>
      <c r="FH504" s="28" t="n">
        <f aca="false">IF(ISNUMBER(AT504),DD504,0)</f>
        <v>0</v>
      </c>
      <c r="FI504" s="28" t="n">
        <f aca="false">IF(ISNUMBER(AX504),DE504,0)</f>
        <v>0</v>
      </c>
      <c r="FJ504" s="28" t="n">
        <f aca="false">IF(ISNUMBER(BB504),DF504,0)</f>
        <v>0</v>
      </c>
      <c r="FK504" s="28" t="n">
        <f aca="false">IF(ISNUMBER(BF504),DG504,0)</f>
        <v>0</v>
      </c>
      <c r="FL504" s="28" t="n">
        <f aca="false">IF(ISNUMBER(BJ504),DH504,0)</f>
        <v>0</v>
      </c>
      <c r="FM504" s="28" t="n">
        <f aca="false">IF(ISNUMBER(BN504),DI504,0)</f>
        <v>0</v>
      </c>
      <c r="FN504" s="28" t="n">
        <f aca="false">IF(ISNUMBER(BR504),DJ504,0)</f>
        <v>0</v>
      </c>
      <c r="FO504" s="28" t="str">
        <f aca="false">IFERROR(INDEX(Lists!$G$2:$G$20,MATCH($I504&amp;"|"&amp;$J504,Lists!$F$2:$F$20,0)),"")</f>
        <v/>
      </c>
    </row>
    <row r="505" customFormat="false" ht="19.5" hidden="false" customHeight="true" outlineLevel="0" collapsed="false">
      <c r="A505" s="29"/>
      <c r="B505" s="29"/>
      <c r="C505" s="30"/>
      <c r="D505" s="30"/>
      <c r="E505" s="31"/>
      <c r="F505" s="30"/>
      <c r="G505" s="30"/>
      <c r="H505" s="32"/>
      <c r="I505" s="33"/>
      <c r="J505" s="32"/>
      <c r="K505" s="34" t="str">
        <f aca="false">IF(OR(M505="",$E505=""),"",M505-$E505)</f>
        <v/>
      </c>
      <c r="L505" s="35" t="str">
        <f aca="false">IF(SUM(FA505:FN505)=0,"",SUM(EM505:EZ505)/SUM(FA505:FN505))</f>
        <v/>
      </c>
      <c r="M505" s="36" t="str">
        <f aca="false">IF(OR(L505="",FO505=""),"",IFERROR(MATCH(L505,INDEX(Boundaries!$B$2:$I$30,MATCH(FO505,Boundaries!$A$2:$A$30,0),0),1)-1,""))</f>
        <v/>
      </c>
      <c r="N505" s="37" t="str">
        <f aca="false">IF(COUNT($DY505:$EL505)&lt;2,"",INDEX($DK505:$DX505,MAX($DY505:$EL505))-INDEX($DK505:$DX505,MIN($DY505:$EL505)))</f>
        <v/>
      </c>
      <c r="O505" s="37" t="str">
        <f aca="false">IF(COUNT($DY505:$EL505)&lt;2,"",INDEX($DK505:$DX505,MAX($DY505:$EL505))-INDEX($DK505:$DX505,LARGE($DY505:$EL505,2)))</f>
        <v/>
      </c>
      <c r="P505" s="38" t="str">
        <f aca="false">IF(K505="","",IF(K505&gt;=0,"On/above target",IF(AND(N505&lt;&gt;"",N505&gt;=0.5),"Improving towards target",IF(AND(O505&lt;&gt;"",O505&lt;=-0.5),"Declining","Stable below target"))))</f>
        <v/>
      </c>
      <c r="Q505" s="39"/>
      <c r="R505" s="40" t="str">
        <f aca="false">IF(OR(Q505="",BU505=""),"",Q505/BU505*100)</f>
        <v/>
      </c>
      <c r="S505" s="41" t="str">
        <f aca="false">IF(R505="","",IFERROR(MATCH(R505,INDEX(Boundaries!$B$2:$I$30,MATCH(CI505,Boundaries!$A$2:$A$30,0),0),1)-1,""))</f>
        <v/>
      </c>
      <c r="T505" s="42" t="str">
        <f aca="false">IF(OR(S505="",$E505=""),"",S505-$E505)</f>
        <v/>
      </c>
      <c r="U505" s="39"/>
      <c r="V505" s="40" t="str">
        <f aca="false">IF(OR(U505="",BV505=""),"",U505/BV505*100)</f>
        <v/>
      </c>
      <c r="W505" s="41" t="str">
        <f aca="false">IF(V505="","",IFERROR(MATCH(V505,INDEX(Boundaries!$B$2:$I$30,MATCH(CJ505,Boundaries!$A$2:$A$30,0),0),1)-1,""))</f>
        <v/>
      </c>
      <c r="X505" s="42" t="str">
        <f aca="false">IF(OR(W505="",$E505=""),"",W505-$E505)</f>
        <v/>
      </c>
      <c r="Y505" s="39"/>
      <c r="Z505" s="40" t="str">
        <f aca="false">IF(OR(Y505="",BW505=""),"",Y505/BW505*100)</f>
        <v/>
      </c>
      <c r="AA505" s="41" t="str">
        <f aca="false">IF(Z505="","",IFERROR(MATCH(Z505,INDEX(Boundaries!$B$2:$I$30,MATCH(CK505,Boundaries!$A$2:$A$30,0),0),1)-1,""))</f>
        <v/>
      </c>
      <c r="AB505" s="42" t="str">
        <f aca="false">IF(OR(AA505="",$E505=""),"",AA505-$E505)</f>
        <v/>
      </c>
      <c r="AC505" s="39"/>
      <c r="AD505" s="40" t="str">
        <f aca="false">IF(OR(AC505="",BX505=""),"",AC505/BX505*100)</f>
        <v/>
      </c>
      <c r="AE505" s="41" t="str">
        <f aca="false">IF(AD505="","",IFERROR(MATCH(AD505,INDEX(Boundaries!$B$2:$I$30,MATCH(CL505,Boundaries!$A$2:$A$30,0),0),1)-1,""))</f>
        <v/>
      </c>
      <c r="AF505" s="42" t="str">
        <f aca="false">IF(OR(AE505="",$E505=""),"",AE505-$E505)</f>
        <v/>
      </c>
      <c r="AG505" s="39"/>
      <c r="AH505" s="40" t="str">
        <f aca="false">IF(OR(AG505="",BY505=""),"",AG505/BY505*100)</f>
        <v/>
      </c>
      <c r="AI505" s="41" t="str">
        <f aca="false">IF(AH505="","",IFERROR(MATCH(AH505,INDEX(Boundaries!$B$2:$I$30,MATCH(CM505,Boundaries!$A$2:$A$30,0),0),1)-1,""))</f>
        <v/>
      </c>
      <c r="AJ505" s="42" t="str">
        <f aca="false">IF(OR(AI505="",$E505=""),"",AI505-$E505)</f>
        <v/>
      </c>
      <c r="AK505" s="39"/>
      <c r="AL505" s="40" t="str">
        <f aca="false">IF(OR(AK505="",BZ505=""),"",AK505/BZ505*100)</f>
        <v/>
      </c>
      <c r="AM505" s="41" t="str">
        <f aca="false">IF(AL505="","",IFERROR(MATCH(AL505,INDEX(Boundaries!$B$2:$I$30,MATCH(CN505,Boundaries!$A$2:$A$30,0),0),1)-1,""))</f>
        <v/>
      </c>
      <c r="AN505" s="42" t="str">
        <f aca="false">IF(OR(AM505="",$E505=""),"",AM505-$E505)</f>
        <v/>
      </c>
      <c r="AO505" s="39"/>
      <c r="AP505" s="40" t="str">
        <f aca="false">IF(OR(AO505="",CA505=""),"",AO505/CA505*100)</f>
        <v/>
      </c>
      <c r="AQ505" s="41" t="str">
        <f aca="false">IF(AP505="","",IFERROR(MATCH(AP505,INDEX(Boundaries!$B$2:$I$30,MATCH(CO505,Boundaries!$A$2:$A$30,0),0),1)-1,""))</f>
        <v/>
      </c>
      <c r="AR505" s="42" t="str">
        <f aca="false">IF(OR(AQ505="",$E505=""),"",AQ505-$E505)</f>
        <v/>
      </c>
      <c r="AS505" s="39"/>
      <c r="AT505" s="40" t="str">
        <f aca="false">IF(OR(AS505="",CB505=""),"",AS505/CB505*100)</f>
        <v/>
      </c>
      <c r="AU505" s="41" t="str">
        <f aca="false">IF(AT505="","",IFERROR(MATCH(AT505,INDEX(Boundaries!$B$2:$I$30,MATCH(CP505,Boundaries!$A$2:$A$30,0),0),1)-1,""))</f>
        <v/>
      </c>
      <c r="AV505" s="42" t="str">
        <f aca="false">IF(OR(AU505="",$E505=""),"",AU505-$E505)</f>
        <v/>
      </c>
      <c r="AW505" s="39"/>
      <c r="AX505" s="40" t="str">
        <f aca="false">IF(OR(AW505="",CC505=""),"",AW505/CC505*100)</f>
        <v/>
      </c>
      <c r="AY505" s="41" t="str">
        <f aca="false">IF(AX505="","",IFERROR(MATCH(AX505,INDEX(Boundaries!$B$2:$I$30,MATCH(CQ505,Boundaries!$A$2:$A$30,0),0),1)-1,""))</f>
        <v/>
      </c>
      <c r="AZ505" s="42" t="str">
        <f aca="false">IF(OR(AY505="",$E505=""),"",AY505-$E505)</f>
        <v/>
      </c>
      <c r="BA505" s="39"/>
      <c r="BB505" s="40" t="str">
        <f aca="false">IF(OR(BA505="",CD505=""),"",BA505/CD505*100)</f>
        <v/>
      </c>
      <c r="BC505" s="41" t="str">
        <f aca="false">IF(BB505="","",IFERROR(MATCH(BB505,INDEX(Boundaries!$B$2:$I$30,MATCH(CR505,Boundaries!$A$2:$A$30,0),0),1)-1,""))</f>
        <v/>
      </c>
      <c r="BD505" s="42" t="str">
        <f aca="false">IF(OR(BC505="",$E505=""),"",BC505-$E505)</f>
        <v/>
      </c>
      <c r="BE505" s="39"/>
      <c r="BF505" s="40" t="str">
        <f aca="false">IF(OR(BE505="",CE505=""),"",BE505/CE505*100)</f>
        <v/>
      </c>
      <c r="BG505" s="41" t="str">
        <f aca="false">IF(BF505="","",IFERROR(MATCH(BF505,INDEX(Boundaries!$B$2:$I$30,MATCH(CS505,Boundaries!$A$2:$A$30,0),0),1)-1,""))</f>
        <v/>
      </c>
      <c r="BH505" s="42" t="str">
        <f aca="false">IF(OR(BG505="",$E505=""),"",BG505-$E505)</f>
        <v/>
      </c>
      <c r="BI505" s="39"/>
      <c r="BJ505" s="40" t="str">
        <f aca="false">IF(OR(BI505="",CF505=""),"",BI505/CF505*100)</f>
        <v/>
      </c>
      <c r="BK505" s="41" t="str">
        <f aca="false">IF(BJ505="","",IFERROR(MATCH(BJ505,INDEX(Boundaries!$B$2:$I$30,MATCH(CT505,Boundaries!$A$2:$A$30,0),0),1)-1,""))</f>
        <v/>
      </c>
      <c r="BL505" s="42" t="str">
        <f aca="false">IF(OR(BK505="",$E505=""),"",BK505-$E505)</f>
        <v/>
      </c>
      <c r="BM505" s="39"/>
      <c r="BN505" s="40" t="str">
        <f aca="false">IF(OR(BM505="",CG505=""),"",BM505/CG505*100)</f>
        <v/>
      </c>
      <c r="BO505" s="41" t="str">
        <f aca="false">IF(BN505="","",IFERROR(MATCH(BN505,INDEX(Boundaries!$B$2:$I$30,MATCH(CU505,Boundaries!$A$2:$A$30,0),0),1)-1,""))</f>
        <v/>
      </c>
      <c r="BP505" s="42" t="str">
        <f aca="false">IF(OR(BO505="",$E505=""),"",BO505-$E505)</f>
        <v/>
      </c>
      <c r="BQ505" s="39"/>
      <c r="BR505" s="40" t="str">
        <f aca="false">IF(OR(BQ505="",CH505=""),"",BQ505/CH505*100)</f>
        <v/>
      </c>
      <c r="BS505" s="41" t="str">
        <f aca="false">IF(BR505="","",IFERROR(MATCH(BR505,INDEX(Boundaries!$B$2:$I$30,MATCH(CV505,Boundaries!$A$2:$A$30,0),0),1)-1,""))</f>
        <v/>
      </c>
      <c r="BT505" s="42" t="str">
        <f aca="false">IF(OR(BS505="",$E505=""),"",BS505-$E505)</f>
        <v/>
      </c>
      <c r="BU505" s="28" t="str">
        <f aca="false">IFERROR(INDEX(Assessments!$H$2:$H$600,MATCH($H505&amp;"|"&amp;$I505&amp;"|"&amp;$J505&amp;"|"&amp;1,Assessments!$A$2:$A$600,0)),"")</f>
        <v/>
      </c>
      <c r="BV505" s="28" t="str">
        <f aca="false">IFERROR(INDEX(Assessments!$H$2:$H$600,MATCH($H505&amp;"|"&amp;$I505&amp;"|"&amp;$J505&amp;"|"&amp;2,Assessments!$A$2:$A$600,0)),"")</f>
        <v/>
      </c>
      <c r="BW505" s="28" t="str">
        <f aca="false">IFERROR(INDEX(Assessments!$H$2:$H$600,MATCH($H505&amp;"|"&amp;$I505&amp;"|"&amp;$J505&amp;"|"&amp;3,Assessments!$A$2:$A$600,0)),"")</f>
        <v/>
      </c>
      <c r="BX505" s="28" t="str">
        <f aca="false">IFERROR(INDEX(Assessments!$H$2:$H$600,MATCH($H505&amp;"|"&amp;$I505&amp;"|"&amp;$J505&amp;"|"&amp;4,Assessments!$A$2:$A$600,0)),"")</f>
        <v/>
      </c>
      <c r="BY505" s="28" t="str">
        <f aca="false">IFERROR(INDEX(Assessments!$H$2:$H$600,MATCH($H505&amp;"|"&amp;$I505&amp;"|"&amp;$J505&amp;"|"&amp;5,Assessments!$A$2:$A$600,0)),"")</f>
        <v/>
      </c>
      <c r="BZ505" s="28" t="str">
        <f aca="false">IFERROR(INDEX(Assessments!$H$2:$H$600,MATCH($H505&amp;"|"&amp;$I505&amp;"|"&amp;$J505&amp;"|"&amp;6,Assessments!$A$2:$A$600,0)),"")</f>
        <v/>
      </c>
      <c r="CA505" s="28" t="str">
        <f aca="false">IFERROR(INDEX(Assessments!$H$2:$H$600,MATCH($H505&amp;"|"&amp;$I505&amp;"|"&amp;$J505&amp;"|"&amp;7,Assessments!$A$2:$A$600,0)),"")</f>
        <v/>
      </c>
      <c r="CB505" s="28" t="str">
        <f aca="false">IFERROR(INDEX(Assessments!$H$2:$H$600,MATCH($H505&amp;"|"&amp;$I505&amp;"|"&amp;$J505&amp;"|"&amp;8,Assessments!$A$2:$A$600,0)),"")</f>
        <v/>
      </c>
      <c r="CC505" s="28" t="str">
        <f aca="false">IFERROR(INDEX(Assessments!$H$2:$H$600,MATCH($H505&amp;"|"&amp;$I505&amp;"|"&amp;$J505&amp;"|"&amp;9,Assessments!$A$2:$A$600,0)),"")</f>
        <v/>
      </c>
      <c r="CD505" s="28" t="str">
        <f aca="false">IFERROR(INDEX(Assessments!$H$2:$H$600,MATCH($H505&amp;"|"&amp;$I505&amp;"|"&amp;$J505&amp;"|"&amp;10,Assessments!$A$2:$A$600,0)),"")</f>
        <v/>
      </c>
      <c r="CE505" s="28" t="str">
        <f aca="false">IFERROR(INDEX(Assessments!$H$2:$H$600,MATCH($H505&amp;"|"&amp;$I505&amp;"|"&amp;$J505&amp;"|"&amp;11,Assessments!$A$2:$A$600,0)),"")</f>
        <v/>
      </c>
      <c r="CF505" s="28" t="str">
        <f aca="false">IFERROR(INDEX(Assessments!$H$2:$H$600,MATCH($H505&amp;"|"&amp;$I505&amp;"|"&amp;$J505&amp;"|"&amp;12,Assessments!$A$2:$A$600,0)),"")</f>
        <v/>
      </c>
      <c r="CG505" s="28" t="str">
        <f aca="false">IFERROR(INDEX(Assessments!$H$2:$H$600,MATCH($H505&amp;"|"&amp;$I505&amp;"|"&amp;$J505&amp;"|"&amp;13,Assessments!$A$2:$A$600,0)),"")</f>
        <v/>
      </c>
      <c r="CH505" s="28" t="str">
        <f aca="false">IFERROR(INDEX(Assessments!$H$2:$H$600,MATCH($H505&amp;"|"&amp;$I505&amp;"|"&amp;$J505&amp;"|"&amp;14,Assessments!$A$2:$A$600,0)),"")</f>
        <v/>
      </c>
      <c r="CI505" s="28" t="str">
        <f aca="false">IFERROR(INDEX(Assessments!$I$2:$I$600,MATCH($H505&amp;"|"&amp;$I505&amp;"|"&amp;$J505&amp;"|"&amp;1,Assessments!$A$2:$A$600,0)),"")</f>
        <v/>
      </c>
      <c r="CJ505" s="28" t="str">
        <f aca="false">IFERROR(INDEX(Assessments!$I$2:$I$600,MATCH($H505&amp;"|"&amp;$I505&amp;"|"&amp;$J505&amp;"|"&amp;2,Assessments!$A$2:$A$600,0)),"")</f>
        <v/>
      </c>
      <c r="CK505" s="28" t="str">
        <f aca="false">IFERROR(INDEX(Assessments!$I$2:$I$600,MATCH($H505&amp;"|"&amp;$I505&amp;"|"&amp;$J505&amp;"|"&amp;3,Assessments!$A$2:$A$600,0)),"")</f>
        <v/>
      </c>
      <c r="CL505" s="28" t="str">
        <f aca="false">IFERROR(INDEX(Assessments!$I$2:$I$600,MATCH($H505&amp;"|"&amp;$I505&amp;"|"&amp;$J505&amp;"|"&amp;4,Assessments!$A$2:$A$600,0)),"")</f>
        <v/>
      </c>
      <c r="CM505" s="28" t="str">
        <f aca="false">IFERROR(INDEX(Assessments!$I$2:$I$600,MATCH($H505&amp;"|"&amp;$I505&amp;"|"&amp;$J505&amp;"|"&amp;5,Assessments!$A$2:$A$600,0)),"")</f>
        <v/>
      </c>
      <c r="CN505" s="28" t="str">
        <f aca="false">IFERROR(INDEX(Assessments!$I$2:$I$600,MATCH($H505&amp;"|"&amp;$I505&amp;"|"&amp;$J505&amp;"|"&amp;6,Assessments!$A$2:$A$600,0)),"")</f>
        <v/>
      </c>
      <c r="CO505" s="28" t="str">
        <f aca="false">IFERROR(INDEX(Assessments!$I$2:$I$600,MATCH($H505&amp;"|"&amp;$I505&amp;"|"&amp;$J505&amp;"|"&amp;7,Assessments!$A$2:$A$600,0)),"")</f>
        <v/>
      </c>
      <c r="CP505" s="28" t="str">
        <f aca="false">IFERROR(INDEX(Assessments!$I$2:$I$600,MATCH($H505&amp;"|"&amp;$I505&amp;"|"&amp;$J505&amp;"|"&amp;8,Assessments!$A$2:$A$600,0)),"")</f>
        <v/>
      </c>
      <c r="CQ505" s="28" t="str">
        <f aca="false">IFERROR(INDEX(Assessments!$I$2:$I$600,MATCH($H505&amp;"|"&amp;$I505&amp;"|"&amp;$J505&amp;"|"&amp;9,Assessments!$A$2:$A$600,0)),"")</f>
        <v/>
      </c>
      <c r="CR505" s="28" t="str">
        <f aca="false">IFERROR(INDEX(Assessments!$I$2:$I$600,MATCH($H505&amp;"|"&amp;$I505&amp;"|"&amp;$J505&amp;"|"&amp;10,Assessments!$A$2:$A$600,0)),"")</f>
        <v/>
      </c>
      <c r="CS505" s="28" t="str">
        <f aca="false">IFERROR(INDEX(Assessments!$I$2:$I$600,MATCH($H505&amp;"|"&amp;$I505&amp;"|"&amp;$J505&amp;"|"&amp;11,Assessments!$A$2:$A$600,0)),"")</f>
        <v/>
      </c>
      <c r="CT505" s="28" t="str">
        <f aca="false">IFERROR(INDEX(Assessments!$I$2:$I$600,MATCH($H505&amp;"|"&amp;$I505&amp;"|"&amp;$J505&amp;"|"&amp;12,Assessments!$A$2:$A$600,0)),"")</f>
        <v/>
      </c>
      <c r="CU505" s="28" t="str">
        <f aca="false">IFERROR(INDEX(Assessments!$I$2:$I$600,MATCH($H505&amp;"|"&amp;$I505&amp;"|"&amp;$J505&amp;"|"&amp;13,Assessments!$A$2:$A$600,0)),"")</f>
        <v/>
      </c>
      <c r="CV505" s="28" t="str">
        <f aca="false">IFERROR(INDEX(Assessments!$I$2:$I$600,MATCH($H505&amp;"|"&amp;$I505&amp;"|"&amp;$J505&amp;"|"&amp;14,Assessments!$A$2:$A$600,0)),"")</f>
        <v/>
      </c>
      <c r="CW505" s="28" t="n">
        <f aca="false">IFERROR(INDEX(Assessments!$J$2:$J$600,MATCH($H505&amp;"|"&amp;$I505&amp;"|"&amp;$J505&amp;"|"&amp;1,Assessments!$A$2:$A$600,0)),0)</f>
        <v>0</v>
      </c>
      <c r="CX505" s="28" t="n">
        <f aca="false">IFERROR(INDEX(Assessments!$J$2:$J$600,MATCH($H505&amp;"|"&amp;$I505&amp;"|"&amp;$J505&amp;"|"&amp;2,Assessments!$A$2:$A$600,0)),0)</f>
        <v>0</v>
      </c>
      <c r="CY505" s="28" t="n">
        <f aca="false">IFERROR(INDEX(Assessments!$J$2:$J$600,MATCH($H505&amp;"|"&amp;$I505&amp;"|"&amp;$J505&amp;"|"&amp;3,Assessments!$A$2:$A$600,0)),0)</f>
        <v>0</v>
      </c>
      <c r="CZ505" s="28" t="n">
        <f aca="false">IFERROR(INDEX(Assessments!$J$2:$J$600,MATCH($H505&amp;"|"&amp;$I505&amp;"|"&amp;$J505&amp;"|"&amp;4,Assessments!$A$2:$A$600,0)),0)</f>
        <v>0</v>
      </c>
      <c r="DA505" s="28" t="n">
        <f aca="false">IFERROR(INDEX(Assessments!$J$2:$J$600,MATCH($H505&amp;"|"&amp;$I505&amp;"|"&amp;$J505&amp;"|"&amp;5,Assessments!$A$2:$A$600,0)),0)</f>
        <v>0</v>
      </c>
      <c r="DB505" s="28" t="n">
        <f aca="false">IFERROR(INDEX(Assessments!$J$2:$J$600,MATCH($H505&amp;"|"&amp;$I505&amp;"|"&amp;$J505&amp;"|"&amp;6,Assessments!$A$2:$A$600,0)),0)</f>
        <v>0</v>
      </c>
      <c r="DC505" s="28" t="n">
        <f aca="false">IFERROR(INDEX(Assessments!$J$2:$J$600,MATCH($H505&amp;"|"&amp;$I505&amp;"|"&amp;$J505&amp;"|"&amp;7,Assessments!$A$2:$A$600,0)),0)</f>
        <v>0</v>
      </c>
      <c r="DD505" s="28" t="n">
        <f aca="false">IFERROR(INDEX(Assessments!$J$2:$J$600,MATCH($H505&amp;"|"&amp;$I505&amp;"|"&amp;$J505&amp;"|"&amp;8,Assessments!$A$2:$A$600,0)),0)</f>
        <v>0</v>
      </c>
      <c r="DE505" s="28" t="n">
        <f aca="false">IFERROR(INDEX(Assessments!$J$2:$J$600,MATCH($H505&amp;"|"&amp;$I505&amp;"|"&amp;$J505&amp;"|"&amp;9,Assessments!$A$2:$A$600,0)),0)</f>
        <v>0</v>
      </c>
      <c r="DF505" s="28" t="n">
        <f aca="false">IFERROR(INDEX(Assessments!$J$2:$J$600,MATCH($H505&amp;"|"&amp;$I505&amp;"|"&amp;$J505&amp;"|"&amp;10,Assessments!$A$2:$A$600,0)),0)</f>
        <v>0</v>
      </c>
      <c r="DG505" s="28" t="n">
        <f aca="false">IFERROR(INDEX(Assessments!$J$2:$J$600,MATCH($H505&amp;"|"&amp;$I505&amp;"|"&amp;$J505&amp;"|"&amp;11,Assessments!$A$2:$A$600,0)),0)</f>
        <v>0</v>
      </c>
      <c r="DH505" s="28" t="n">
        <f aca="false">IFERROR(INDEX(Assessments!$J$2:$J$600,MATCH($H505&amp;"|"&amp;$I505&amp;"|"&amp;$J505&amp;"|"&amp;12,Assessments!$A$2:$A$600,0)),0)</f>
        <v>0</v>
      </c>
      <c r="DI505" s="28" t="n">
        <f aca="false">IFERROR(INDEX(Assessments!$J$2:$J$600,MATCH($H505&amp;"|"&amp;$I505&amp;"|"&amp;$J505&amp;"|"&amp;13,Assessments!$A$2:$A$600,0)),0)</f>
        <v>0</v>
      </c>
      <c r="DJ505" s="28" t="n">
        <f aca="false">IFERROR(INDEX(Assessments!$J$2:$J$600,MATCH($H505&amp;"|"&amp;$I505&amp;"|"&amp;$J505&amp;"|"&amp;14,Assessments!$A$2:$A$600,0)),0)</f>
        <v>0</v>
      </c>
      <c r="DK505" s="28" t="str">
        <f aca="false">S505</f>
        <v/>
      </c>
      <c r="DL505" s="28" t="str">
        <f aca="false">W505</f>
        <v/>
      </c>
      <c r="DM505" s="28" t="str">
        <f aca="false">AA505</f>
        <v/>
      </c>
      <c r="DN505" s="28" t="str">
        <f aca="false">AE505</f>
        <v/>
      </c>
      <c r="DO505" s="28" t="str">
        <f aca="false">AI505</f>
        <v/>
      </c>
      <c r="DP505" s="28" t="str">
        <f aca="false">AM505</f>
        <v/>
      </c>
      <c r="DQ505" s="28" t="str">
        <f aca="false">AQ505</f>
        <v/>
      </c>
      <c r="DR505" s="28" t="str">
        <f aca="false">AU505</f>
        <v/>
      </c>
      <c r="DS505" s="28" t="str">
        <f aca="false">AY505</f>
        <v/>
      </c>
      <c r="DT505" s="28" t="str">
        <f aca="false">BC505</f>
        <v/>
      </c>
      <c r="DU505" s="28" t="str">
        <f aca="false">BG505</f>
        <v/>
      </c>
      <c r="DV505" s="28" t="str">
        <f aca="false">BK505</f>
        <v/>
      </c>
      <c r="DW505" s="28" t="str">
        <f aca="false">BO505</f>
        <v/>
      </c>
      <c r="DX505" s="28" t="str">
        <f aca="false">BS505</f>
        <v/>
      </c>
      <c r="DY505" s="28" t="str">
        <f aca="false">IF(ISNUMBER(S505),1,"")</f>
        <v/>
      </c>
      <c r="DZ505" s="28" t="str">
        <f aca="false">IF(ISNUMBER(W505),2,"")</f>
        <v/>
      </c>
      <c r="EA505" s="28" t="str">
        <f aca="false">IF(ISNUMBER(AA505),3,"")</f>
        <v/>
      </c>
      <c r="EB505" s="28" t="str">
        <f aca="false">IF(ISNUMBER(AE505),4,"")</f>
        <v/>
      </c>
      <c r="EC505" s="28" t="str">
        <f aca="false">IF(ISNUMBER(AI505),5,"")</f>
        <v/>
      </c>
      <c r="ED505" s="28" t="str">
        <f aca="false">IF(ISNUMBER(AM505),6,"")</f>
        <v/>
      </c>
      <c r="EE505" s="28" t="str">
        <f aca="false">IF(ISNUMBER(AQ505),7,"")</f>
        <v/>
      </c>
      <c r="EF505" s="28" t="str">
        <f aca="false">IF(ISNUMBER(AU505),8,"")</f>
        <v/>
      </c>
      <c r="EG505" s="28" t="str">
        <f aca="false">IF(ISNUMBER(AY505),9,"")</f>
        <v/>
      </c>
      <c r="EH505" s="28" t="str">
        <f aca="false">IF(ISNUMBER(BC505),10,"")</f>
        <v/>
      </c>
      <c r="EI505" s="28" t="str">
        <f aca="false">IF(ISNUMBER(BG505),11,"")</f>
        <v/>
      </c>
      <c r="EJ505" s="28" t="str">
        <f aca="false">IF(ISNUMBER(BK505),12,"")</f>
        <v/>
      </c>
      <c r="EK505" s="28" t="str">
        <f aca="false">IF(ISNUMBER(BO505),13,"")</f>
        <v/>
      </c>
      <c r="EL505" s="28" t="str">
        <f aca="false">IF(ISNUMBER(BS505),14,"")</f>
        <v/>
      </c>
      <c r="EM505" s="28" t="n">
        <f aca="false">IF(ISNUMBER(R505),R505*CW505,0)</f>
        <v>0</v>
      </c>
      <c r="EN505" s="28" t="n">
        <f aca="false">IF(ISNUMBER(V505),V505*CX505,0)</f>
        <v>0</v>
      </c>
      <c r="EO505" s="28" t="n">
        <f aca="false">IF(ISNUMBER(Z505),Z505*CY505,0)</f>
        <v>0</v>
      </c>
      <c r="EP505" s="28" t="n">
        <f aca="false">IF(ISNUMBER(AD505),AD505*CZ505,0)</f>
        <v>0</v>
      </c>
      <c r="EQ505" s="28" t="n">
        <f aca="false">IF(ISNUMBER(AH505),AH505*DA505,0)</f>
        <v>0</v>
      </c>
      <c r="ER505" s="28" t="n">
        <f aca="false">IF(ISNUMBER(AL505),AL505*DB505,0)</f>
        <v>0</v>
      </c>
      <c r="ES505" s="28" t="n">
        <f aca="false">IF(ISNUMBER(AP505),AP505*DC505,0)</f>
        <v>0</v>
      </c>
      <c r="ET505" s="28" t="n">
        <f aca="false">IF(ISNUMBER(AT505),AT505*DD505,0)</f>
        <v>0</v>
      </c>
      <c r="EU505" s="28" t="n">
        <f aca="false">IF(ISNUMBER(AX505),AX505*DE505,0)</f>
        <v>0</v>
      </c>
      <c r="EV505" s="28" t="n">
        <f aca="false">IF(ISNUMBER(BB505),BB505*DF505,0)</f>
        <v>0</v>
      </c>
      <c r="EW505" s="28" t="n">
        <f aca="false">IF(ISNUMBER(BF505),BF505*DG505,0)</f>
        <v>0</v>
      </c>
      <c r="EX505" s="28" t="n">
        <f aca="false">IF(ISNUMBER(BJ505),BJ505*DH505,0)</f>
        <v>0</v>
      </c>
      <c r="EY505" s="28" t="n">
        <f aca="false">IF(ISNUMBER(BN505),BN505*DI505,0)</f>
        <v>0</v>
      </c>
      <c r="EZ505" s="28" t="n">
        <f aca="false">IF(ISNUMBER(BR505),BR505*DJ505,0)</f>
        <v>0</v>
      </c>
      <c r="FA505" s="28" t="n">
        <f aca="false">IF(ISNUMBER(R505),CW505,0)</f>
        <v>0</v>
      </c>
      <c r="FB505" s="28" t="n">
        <f aca="false">IF(ISNUMBER(V505),CX505,0)</f>
        <v>0</v>
      </c>
      <c r="FC505" s="28" t="n">
        <f aca="false">IF(ISNUMBER(Z505),CY505,0)</f>
        <v>0</v>
      </c>
      <c r="FD505" s="28" t="n">
        <f aca="false">IF(ISNUMBER(AD505),CZ505,0)</f>
        <v>0</v>
      </c>
      <c r="FE505" s="28" t="n">
        <f aca="false">IF(ISNUMBER(AH505),DA505,0)</f>
        <v>0</v>
      </c>
      <c r="FF505" s="28" t="n">
        <f aca="false">IF(ISNUMBER(AL505),DB505,0)</f>
        <v>0</v>
      </c>
      <c r="FG505" s="28" t="n">
        <f aca="false">IF(ISNUMBER(AP505),DC505,0)</f>
        <v>0</v>
      </c>
      <c r="FH505" s="28" t="n">
        <f aca="false">IF(ISNUMBER(AT505),DD505,0)</f>
        <v>0</v>
      </c>
      <c r="FI505" s="28" t="n">
        <f aca="false">IF(ISNUMBER(AX505),DE505,0)</f>
        <v>0</v>
      </c>
      <c r="FJ505" s="28" t="n">
        <f aca="false">IF(ISNUMBER(BB505),DF505,0)</f>
        <v>0</v>
      </c>
      <c r="FK505" s="28" t="n">
        <f aca="false">IF(ISNUMBER(BF505),DG505,0)</f>
        <v>0</v>
      </c>
      <c r="FL505" s="28" t="n">
        <f aca="false">IF(ISNUMBER(BJ505),DH505,0)</f>
        <v>0</v>
      </c>
      <c r="FM505" s="28" t="n">
        <f aca="false">IF(ISNUMBER(BN505),DI505,0)</f>
        <v>0</v>
      </c>
      <c r="FN505" s="28" t="n">
        <f aca="false">IF(ISNUMBER(BR505),DJ505,0)</f>
        <v>0</v>
      </c>
      <c r="FO505" s="28" t="str">
        <f aca="false">IFERROR(INDEX(Lists!$G$2:$G$20,MATCH($I505&amp;"|"&amp;$J505,Lists!$F$2:$F$20,0)),"")</f>
        <v/>
      </c>
    </row>
    <row r="506" customFormat="false" ht="19.5" hidden="false" customHeight="true" outlineLevel="0" collapsed="false">
      <c r="A506" s="29"/>
      <c r="B506" s="29"/>
      <c r="C506" s="30"/>
      <c r="D506" s="30"/>
      <c r="E506" s="31"/>
      <c r="F506" s="30"/>
      <c r="G506" s="30"/>
      <c r="H506" s="32"/>
      <c r="I506" s="33"/>
      <c r="J506" s="32"/>
      <c r="K506" s="34" t="str">
        <f aca="false">IF(OR(M506="",$E506=""),"",M506-$E506)</f>
        <v/>
      </c>
      <c r="L506" s="35" t="str">
        <f aca="false">IF(SUM(FA506:FN506)=0,"",SUM(EM506:EZ506)/SUM(FA506:FN506))</f>
        <v/>
      </c>
      <c r="M506" s="36" t="str">
        <f aca="false">IF(OR(L506="",FO506=""),"",IFERROR(MATCH(L506,INDEX(Boundaries!$B$2:$I$30,MATCH(FO506,Boundaries!$A$2:$A$30,0),0),1)-1,""))</f>
        <v/>
      </c>
      <c r="N506" s="37" t="str">
        <f aca="false">IF(COUNT($DY506:$EL506)&lt;2,"",INDEX($DK506:$DX506,MAX($DY506:$EL506))-INDEX($DK506:$DX506,MIN($DY506:$EL506)))</f>
        <v/>
      </c>
      <c r="O506" s="37" t="str">
        <f aca="false">IF(COUNT($DY506:$EL506)&lt;2,"",INDEX($DK506:$DX506,MAX($DY506:$EL506))-INDEX($DK506:$DX506,LARGE($DY506:$EL506,2)))</f>
        <v/>
      </c>
      <c r="P506" s="38" t="str">
        <f aca="false">IF(K506="","",IF(K506&gt;=0,"On/above target",IF(AND(N506&lt;&gt;"",N506&gt;=0.5),"Improving towards target",IF(AND(O506&lt;&gt;"",O506&lt;=-0.5),"Declining","Stable below target"))))</f>
        <v/>
      </c>
      <c r="Q506" s="39"/>
      <c r="R506" s="40" t="str">
        <f aca="false">IF(OR(Q506="",BU506=""),"",Q506/BU506*100)</f>
        <v/>
      </c>
      <c r="S506" s="41" t="str">
        <f aca="false">IF(R506="","",IFERROR(MATCH(R506,INDEX(Boundaries!$B$2:$I$30,MATCH(CI506,Boundaries!$A$2:$A$30,0),0),1)-1,""))</f>
        <v/>
      </c>
      <c r="T506" s="42" t="str">
        <f aca="false">IF(OR(S506="",$E506=""),"",S506-$E506)</f>
        <v/>
      </c>
      <c r="U506" s="39"/>
      <c r="V506" s="40" t="str">
        <f aca="false">IF(OR(U506="",BV506=""),"",U506/BV506*100)</f>
        <v/>
      </c>
      <c r="W506" s="41" t="str">
        <f aca="false">IF(V506="","",IFERROR(MATCH(V506,INDEX(Boundaries!$B$2:$I$30,MATCH(CJ506,Boundaries!$A$2:$A$30,0),0),1)-1,""))</f>
        <v/>
      </c>
      <c r="X506" s="42" t="str">
        <f aca="false">IF(OR(W506="",$E506=""),"",W506-$E506)</f>
        <v/>
      </c>
      <c r="Y506" s="39"/>
      <c r="Z506" s="40" t="str">
        <f aca="false">IF(OR(Y506="",BW506=""),"",Y506/BW506*100)</f>
        <v/>
      </c>
      <c r="AA506" s="41" t="str">
        <f aca="false">IF(Z506="","",IFERROR(MATCH(Z506,INDEX(Boundaries!$B$2:$I$30,MATCH(CK506,Boundaries!$A$2:$A$30,0),0),1)-1,""))</f>
        <v/>
      </c>
      <c r="AB506" s="42" t="str">
        <f aca="false">IF(OR(AA506="",$E506=""),"",AA506-$E506)</f>
        <v/>
      </c>
      <c r="AC506" s="39"/>
      <c r="AD506" s="40" t="str">
        <f aca="false">IF(OR(AC506="",BX506=""),"",AC506/BX506*100)</f>
        <v/>
      </c>
      <c r="AE506" s="41" t="str">
        <f aca="false">IF(AD506="","",IFERROR(MATCH(AD506,INDEX(Boundaries!$B$2:$I$30,MATCH(CL506,Boundaries!$A$2:$A$30,0),0),1)-1,""))</f>
        <v/>
      </c>
      <c r="AF506" s="42" t="str">
        <f aca="false">IF(OR(AE506="",$E506=""),"",AE506-$E506)</f>
        <v/>
      </c>
      <c r="AG506" s="39"/>
      <c r="AH506" s="40" t="str">
        <f aca="false">IF(OR(AG506="",BY506=""),"",AG506/BY506*100)</f>
        <v/>
      </c>
      <c r="AI506" s="41" t="str">
        <f aca="false">IF(AH506="","",IFERROR(MATCH(AH506,INDEX(Boundaries!$B$2:$I$30,MATCH(CM506,Boundaries!$A$2:$A$30,0),0),1)-1,""))</f>
        <v/>
      </c>
      <c r="AJ506" s="42" t="str">
        <f aca="false">IF(OR(AI506="",$E506=""),"",AI506-$E506)</f>
        <v/>
      </c>
      <c r="AK506" s="39"/>
      <c r="AL506" s="40" t="str">
        <f aca="false">IF(OR(AK506="",BZ506=""),"",AK506/BZ506*100)</f>
        <v/>
      </c>
      <c r="AM506" s="41" t="str">
        <f aca="false">IF(AL506="","",IFERROR(MATCH(AL506,INDEX(Boundaries!$B$2:$I$30,MATCH(CN506,Boundaries!$A$2:$A$30,0),0),1)-1,""))</f>
        <v/>
      </c>
      <c r="AN506" s="42" t="str">
        <f aca="false">IF(OR(AM506="",$E506=""),"",AM506-$E506)</f>
        <v/>
      </c>
      <c r="AO506" s="39"/>
      <c r="AP506" s="40" t="str">
        <f aca="false">IF(OR(AO506="",CA506=""),"",AO506/CA506*100)</f>
        <v/>
      </c>
      <c r="AQ506" s="41" t="str">
        <f aca="false">IF(AP506="","",IFERROR(MATCH(AP506,INDEX(Boundaries!$B$2:$I$30,MATCH(CO506,Boundaries!$A$2:$A$30,0),0),1)-1,""))</f>
        <v/>
      </c>
      <c r="AR506" s="42" t="str">
        <f aca="false">IF(OR(AQ506="",$E506=""),"",AQ506-$E506)</f>
        <v/>
      </c>
      <c r="AS506" s="39"/>
      <c r="AT506" s="40" t="str">
        <f aca="false">IF(OR(AS506="",CB506=""),"",AS506/CB506*100)</f>
        <v/>
      </c>
      <c r="AU506" s="41" t="str">
        <f aca="false">IF(AT506="","",IFERROR(MATCH(AT506,INDEX(Boundaries!$B$2:$I$30,MATCH(CP506,Boundaries!$A$2:$A$30,0),0),1)-1,""))</f>
        <v/>
      </c>
      <c r="AV506" s="42" t="str">
        <f aca="false">IF(OR(AU506="",$E506=""),"",AU506-$E506)</f>
        <v/>
      </c>
      <c r="AW506" s="39"/>
      <c r="AX506" s="40" t="str">
        <f aca="false">IF(OR(AW506="",CC506=""),"",AW506/CC506*100)</f>
        <v/>
      </c>
      <c r="AY506" s="41" t="str">
        <f aca="false">IF(AX506="","",IFERROR(MATCH(AX506,INDEX(Boundaries!$B$2:$I$30,MATCH(CQ506,Boundaries!$A$2:$A$30,0),0),1)-1,""))</f>
        <v/>
      </c>
      <c r="AZ506" s="42" t="str">
        <f aca="false">IF(OR(AY506="",$E506=""),"",AY506-$E506)</f>
        <v/>
      </c>
      <c r="BA506" s="39"/>
      <c r="BB506" s="40" t="str">
        <f aca="false">IF(OR(BA506="",CD506=""),"",BA506/CD506*100)</f>
        <v/>
      </c>
      <c r="BC506" s="41" t="str">
        <f aca="false">IF(BB506="","",IFERROR(MATCH(BB506,INDEX(Boundaries!$B$2:$I$30,MATCH(CR506,Boundaries!$A$2:$A$30,0),0),1)-1,""))</f>
        <v/>
      </c>
      <c r="BD506" s="42" t="str">
        <f aca="false">IF(OR(BC506="",$E506=""),"",BC506-$E506)</f>
        <v/>
      </c>
      <c r="BE506" s="39"/>
      <c r="BF506" s="40" t="str">
        <f aca="false">IF(OR(BE506="",CE506=""),"",BE506/CE506*100)</f>
        <v/>
      </c>
      <c r="BG506" s="41" t="str">
        <f aca="false">IF(BF506="","",IFERROR(MATCH(BF506,INDEX(Boundaries!$B$2:$I$30,MATCH(CS506,Boundaries!$A$2:$A$30,0),0),1)-1,""))</f>
        <v/>
      </c>
      <c r="BH506" s="42" t="str">
        <f aca="false">IF(OR(BG506="",$E506=""),"",BG506-$E506)</f>
        <v/>
      </c>
      <c r="BI506" s="39"/>
      <c r="BJ506" s="40" t="str">
        <f aca="false">IF(OR(BI506="",CF506=""),"",BI506/CF506*100)</f>
        <v/>
      </c>
      <c r="BK506" s="41" t="str">
        <f aca="false">IF(BJ506="","",IFERROR(MATCH(BJ506,INDEX(Boundaries!$B$2:$I$30,MATCH(CT506,Boundaries!$A$2:$A$30,0),0),1)-1,""))</f>
        <v/>
      </c>
      <c r="BL506" s="42" t="str">
        <f aca="false">IF(OR(BK506="",$E506=""),"",BK506-$E506)</f>
        <v/>
      </c>
      <c r="BM506" s="39"/>
      <c r="BN506" s="40" t="str">
        <f aca="false">IF(OR(BM506="",CG506=""),"",BM506/CG506*100)</f>
        <v/>
      </c>
      <c r="BO506" s="41" t="str">
        <f aca="false">IF(BN506="","",IFERROR(MATCH(BN506,INDEX(Boundaries!$B$2:$I$30,MATCH(CU506,Boundaries!$A$2:$A$30,0),0),1)-1,""))</f>
        <v/>
      </c>
      <c r="BP506" s="42" t="str">
        <f aca="false">IF(OR(BO506="",$E506=""),"",BO506-$E506)</f>
        <v/>
      </c>
      <c r="BQ506" s="39"/>
      <c r="BR506" s="40" t="str">
        <f aca="false">IF(OR(BQ506="",CH506=""),"",BQ506/CH506*100)</f>
        <v/>
      </c>
      <c r="BS506" s="41" t="str">
        <f aca="false">IF(BR506="","",IFERROR(MATCH(BR506,INDEX(Boundaries!$B$2:$I$30,MATCH(CV506,Boundaries!$A$2:$A$30,0),0),1)-1,""))</f>
        <v/>
      </c>
      <c r="BT506" s="42" t="str">
        <f aca="false">IF(OR(BS506="",$E506=""),"",BS506-$E506)</f>
        <v/>
      </c>
      <c r="BU506" s="28" t="str">
        <f aca="false">IFERROR(INDEX(Assessments!$H$2:$H$600,MATCH($H506&amp;"|"&amp;$I506&amp;"|"&amp;$J506&amp;"|"&amp;1,Assessments!$A$2:$A$600,0)),"")</f>
        <v/>
      </c>
      <c r="BV506" s="28" t="str">
        <f aca="false">IFERROR(INDEX(Assessments!$H$2:$H$600,MATCH($H506&amp;"|"&amp;$I506&amp;"|"&amp;$J506&amp;"|"&amp;2,Assessments!$A$2:$A$600,0)),"")</f>
        <v/>
      </c>
      <c r="BW506" s="28" t="str">
        <f aca="false">IFERROR(INDEX(Assessments!$H$2:$H$600,MATCH($H506&amp;"|"&amp;$I506&amp;"|"&amp;$J506&amp;"|"&amp;3,Assessments!$A$2:$A$600,0)),"")</f>
        <v/>
      </c>
      <c r="BX506" s="28" t="str">
        <f aca="false">IFERROR(INDEX(Assessments!$H$2:$H$600,MATCH($H506&amp;"|"&amp;$I506&amp;"|"&amp;$J506&amp;"|"&amp;4,Assessments!$A$2:$A$600,0)),"")</f>
        <v/>
      </c>
      <c r="BY506" s="28" t="str">
        <f aca="false">IFERROR(INDEX(Assessments!$H$2:$H$600,MATCH($H506&amp;"|"&amp;$I506&amp;"|"&amp;$J506&amp;"|"&amp;5,Assessments!$A$2:$A$600,0)),"")</f>
        <v/>
      </c>
      <c r="BZ506" s="28" t="str">
        <f aca="false">IFERROR(INDEX(Assessments!$H$2:$H$600,MATCH($H506&amp;"|"&amp;$I506&amp;"|"&amp;$J506&amp;"|"&amp;6,Assessments!$A$2:$A$600,0)),"")</f>
        <v/>
      </c>
      <c r="CA506" s="28" t="str">
        <f aca="false">IFERROR(INDEX(Assessments!$H$2:$H$600,MATCH($H506&amp;"|"&amp;$I506&amp;"|"&amp;$J506&amp;"|"&amp;7,Assessments!$A$2:$A$600,0)),"")</f>
        <v/>
      </c>
      <c r="CB506" s="28" t="str">
        <f aca="false">IFERROR(INDEX(Assessments!$H$2:$H$600,MATCH($H506&amp;"|"&amp;$I506&amp;"|"&amp;$J506&amp;"|"&amp;8,Assessments!$A$2:$A$600,0)),"")</f>
        <v/>
      </c>
      <c r="CC506" s="28" t="str">
        <f aca="false">IFERROR(INDEX(Assessments!$H$2:$H$600,MATCH($H506&amp;"|"&amp;$I506&amp;"|"&amp;$J506&amp;"|"&amp;9,Assessments!$A$2:$A$600,0)),"")</f>
        <v/>
      </c>
      <c r="CD506" s="28" t="str">
        <f aca="false">IFERROR(INDEX(Assessments!$H$2:$H$600,MATCH($H506&amp;"|"&amp;$I506&amp;"|"&amp;$J506&amp;"|"&amp;10,Assessments!$A$2:$A$600,0)),"")</f>
        <v/>
      </c>
      <c r="CE506" s="28" t="str">
        <f aca="false">IFERROR(INDEX(Assessments!$H$2:$H$600,MATCH($H506&amp;"|"&amp;$I506&amp;"|"&amp;$J506&amp;"|"&amp;11,Assessments!$A$2:$A$600,0)),"")</f>
        <v/>
      </c>
      <c r="CF506" s="28" t="str">
        <f aca="false">IFERROR(INDEX(Assessments!$H$2:$H$600,MATCH($H506&amp;"|"&amp;$I506&amp;"|"&amp;$J506&amp;"|"&amp;12,Assessments!$A$2:$A$600,0)),"")</f>
        <v/>
      </c>
      <c r="CG506" s="28" t="str">
        <f aca="false">IFERROR(INDEX(Assessments!$H$2:$H$600,MATCH($H506&amp;"|"&amp;$I506&amp;"|"&amp;$J506&amp;"|"&amp;13,Assessments!$A$2:$A$600,0)),"")</f>
        <v/>
      </c>
      <c r="CH506" s="28" t="str">
        <f aca="false">IFERROR(INDEX(Assessments!$H$2:$H$600,MATCH($H506&amp;"|"&amp;$I506&amp;"|"&amp;$J506&amp;"|"&amp;14,Assessments!$A$2:$A$600,0)),"")</f>
        <v/>
      </c>
      <c r="CI506" s="28" t="str">
        <f aca="false">IFERROR(INDEX(Assessments!$I$2:$I$600,MATCH($H506&amp;"|"&amp;$I506&amp;"|"&amp;$J506&amp;"|"&amp;1,Assessments!$A$2:$A$600,0)),"")</f>
        <v/>
      </c>
      <c r="CJ506" s="28" t="str">
        <f aca="false">IFERROR(INDEX(Assessments!$I$2:$I$600,MATCH($H506&amp;"|"&amp;$I506&amp;"|"&amp;$J506&amp;"|"&amp;2,Assessments!$A$2:$A$600,0)),"")</f>
        <v/>
      </c>
      <c r="CK506" s="28" t="str">
        <f aca="false">IFERROR(INDEX(Assessments!$I$2:$I$600,MATCH($H506&amp;"|"&amp;$I506&amp;"|"&amp;$J506&amp;"|"&amp;3,Assessments!$A$2:$A$600,0)),"")</f>
        <v/>
      </c>
      <c r="CL506" s="28" t="str">
        <f aca="false">IFERROR(INDEX(Assessments!$I$2:$I$600,MATCH($H506&amp;"|"&amp;$I506&amp;"|"&amp;$J506&amp;"|"&amp;4,Assessments!$A$2:$A$600,0)),"")</f>
        <v/>
      </c>
      <c r="CM506" s="28" t="str">
        <f aca="false">IFERROR(INDEX(Assessments!$I$2:$I$600,MATCH($H506&amp;"|"&amp;$I506&amp;"|"&amp;$J506&amp;"|"&amp;5,Assessments!$A$2:$A$600,0)),"")</f>
        <v/>
      </c>
      <c r="CN506" s="28" t="str">
        <f aca="false">IFERROR(INDEX(Assessments!$I$2:$I$600,MATCH($H506&amp;"|"&amp;$I506&amp;"|"&amp;$J506&amp;"|"&amp;6,Assessments!$A$2:$A$600,0)),"")</f>
        <v/>
      </c>
      <c r="CO506" s="28" t="str">
        <f aca="false">IFERROR(INDEX(Assessments!$I$2:$I$600,MATCH($H506&amp;"|"&amp;$I506&amp;"|"&amp;$J506&amp;"|"&amp;7,Assessments!$A$2:$A$600,0)),"")</f>
        <v/>
      </c>
      <c r="CP506" s="28" t="str">
        <f aca="false">IFERROR(INDEX(Assessments!$I$2:$I$600,MATCH($H506&amp;"|"&amp;$I506&amp;"|"&amp;$J506&amp;"|"&amp;8,Assessments!$A$2:$A$600,0)),"")</f>
        <v/>
      </c>
      <c r="CQ506" s="28" t="str">
        <f aca="false">IFERROR(INDEX(Assessments!$I$2:$I$600,MATCH($H506&amp;"|"&amp;$I506&amp;"|"&amp;$J506&amp;"|"&amp;9,Assessments!$A$2:$A$600,0)),"")</f>
        <v/>
      </c>
      <c r="CR506" s="28" t="str">
        <f aca="false">IFERROR(INDEX(Assessments!$I$2:$I$600,MATCH($H506&amp;"|"&amp;$I506&amp;"|"&amp;$J506&amp;"|"&amp;10,Assessments!$A$2:$A$600,0)),"")</f>
        <v/>
      </c>
      <c r="CS506" s="28" t="str">
        <f aca="false">IFERROR(INDEX(Assessments!$I$2:$I$600,MATCH($H506&amp;"|"&amp;$I506&amp;"|"&amp;$J506&amp;"|"&amp;11,Assessments!$A$2:$A$600,0)),"")</f>
        <v/>
      </c>
      <c r="CT506" s="28" t="str">
        <f aca="false">IFERROR(INDEX(Assessments!$I$2:$I$600,MATCH($H506&amp;"|"&amp;$I506&amp;"|"&amp;$J506&amp;"|"&amp;12,Assessments!$A$2:$A$600,0)),"")</f>
        <v/>
      </c>
      <c r="CU506" s="28" t="str">
        <f aca="false">IFERROR(INDEX(Assessments!$I$2:$I$600,MATCH($H506&amp;"|"&amp;$I506&amp;"|"&amp;$J506&amp;"|"&amp;13,Assessments!$A$2:$A$600,0)),"")</f>
        <v/>
      </c>
      <c r="CV506" s="28" t="str">
        <f aca="false">IFERROR(INDEX(Assessments!$I$2:$I$600,MATCH($H506&amp;"|"&amp;$I506&amp;"|"&amp;$J506&amp;"|"&amp;14,Assessments!$A$2:$A$600,0)),"")</f>
        <v/>
      </c>
      <c r="CW506" s="28" t="n">
        <f aca="false">IFERROR(INDEX(Assessments!$J$2:$J$600,MATCH($H506&amp;"|"&amp;$I506&amp;"|"&amp;$J506&amp;"|"&amp;1,Assessments!$A$2:$A$600,0)),0)</f>
        <v>0</v>
      </c>
      <c r="CX506" s="28" t="n">
        <f aca="false">IFERROR(INDEX(Assessments!$J$2:$J$600,MATCH($H506&amp;"|"&amp;$I506&amp;"|"&amp;$J506&amp;"|"&amp;2,Assessments!$A$2:$A$600,0)),0)</f>
        <v>0</v>
      </c>
      <c r="CY506" s="28" t="n">
        <f aca="false">IFERROR(INDEX(Assessments!$J$2:$J$600,MATCH($H506&amp;"|"&amp;$I506&amp;"|"&amp;$J506&amp;"|"&amp;3,Assessments!$A$2:$A$600,0)),0)</f>
        <v>0</v>
      </c>
      <c r="CZ506" s="28" t="n">
        <f aca="false">IFERROR(INDEX(Assessments!$J$2:$J$600,MATCH($H506&amp;"|"&amp;$I506&amp;"|"&amp;$J506&amp;"|"&amp;4,Assessments!$A$2:$A$600,0)),0)</f>
        <v>0</v>
      </c>
      <c r="DA506" s="28" t="n">
        <f aca="false">IFERROR(INDEX(Assessments!$J$2:$J$600,MATCH($H506&amp;"|"&amp;$I506&amp;"|"&amp;$J506&amp;"|"&amp;5,Assessments!$A$2:$A$600,0)),0)</f>
        <v>0</v>
      </c>
      <c r="DB506" s="28" t="n">
        <f aca="false">IFERROR(INDEX(Assessments!$J$2:$J$600,MATCH($H506&amp;"|"&amp;$I506&amp;"|"&amp;$J506&amp;"|"&amp;6,Assessments!$A$2:$A$600,0)),0)</f>
        <v>0</v>
      </c>
      <c r="DC506" s="28" t="n">
        <f aca="false">IFERROR(INDEX(Assessments!$J$2:$J$600,MATCH($H506&amp;"|"&amp;$I506&amp;"|"&amp;$J506&amp;"|"&amp;7,Assessments!$A$2:$A$600,0)),0)</f>
        <v>0</v>
      </c>
      <c r="DD506" s="28" t="n">
        <f aca="false">IFERROR(INDEX(Assessments!$J$2:$J$600,MATCH($H506&amp;"|"&amp;$I506&amp;"|"&amp;$J506&amp;"|"&amp;8,Assessments!$A$2:$A$600,0)),0)</f>
        <v>0</v>
      </c>
      <c r="DE506" s="28" t="n">
        <f aca="false">IFERROR(INDEX(Assessments!$J$2:$J$600,MATCH($H506&amp;"|"&amp;$I506&amp;"|"&amp;$J506&amp;"|"&amp;9,Assessments!$A$2:$A$600,0)),0)</f>
        <v>0</v>
      </c>
      <c r="DF506" s="28" t="n">
        <f aca="false">IFERROR(INDEX(Assessments!$J$2:$J$600,MATCH($H506&amp;"|"&amp;$I506&amp;"|"&amp;$J506&amp;"|"&amp;10,Assessments!$A$2:$A$600,0)),0)</f>
        <v>0</v>
      </c>
      <c r="DG506" s="28" t="n">
        <f aca="false">IFERROR(INDEX(Assessments!$J$2:$J$600,MATCH($H506&amp;"|"&amp;$I506&amp;"|"&amp;$J506&amp;"|"&amp;11,Assessments!$A$2:$A$600,0)),0)</f>
        <v>0</v>
      </c>
      <c r="DH506" s="28" t="n">
        <f aca="false">IFERROR(INDEX(Assessments!$J$2:$J$600,MATCH($H506&amp;"|"&amp;$I506&amp;"|"&amp;$J506&amp;"|"&amp;12,Assessments!$A$2:$A$600,0)),0)</f>
        <v>0</v>
      </c>
      <c r="DI506" s="28" t="n">
        <f aca="false">IFERROR(INDEX(Assessments!$J$2:$J$600,MATCH($H506&amp;"|"&amp;$I506&amp;"|"&amp;$J506&amp;"|"&amp;13,Assessments!$A$2:$A$600,0)),0)</f>
        <v>0</v>
      </c>
      <c r="DJ506" s="28" t="n">
        <f aca="false">IFERROR(INDEX(Assessments!$J$2:$J$600,MATCH($H506&amp;"|"&amp;$I506&amp;"|"&amp;$J506&amp;"|"&amp;14,Assessments!$A$2:$A$600,0)),0)</f>
        <v>0</v>
      </c>
      <c r="DK506" s="28" t="str">
        <f aca="false">S506</f>
        <v/>
      </c>
      <c r="DL506" s="28" t="str">
        <f aca="false">W506</f>
        <v/>
      </c>
      <c r="DM506" s="28" t="str">
        <f aca="false">AA506</f>
        <v/>
      </c>
      <c r="DN506" s="28" t="str">
        <f aca="false">AE506</f>
        <v/>
      </c>
      <c r="DO506" s="28" t="str">
        <f aca="false">AI506</f>
        <v/>
      </c>
      <c r="DP506" s="28" t="str">
        <f aca="false">AM506</f>
        <v/>
      </c>
      <c r="DQ506" s="28" t="str">
        <f aca="false">AQ506</f>
        <v/>
      </c>
      <c r="DR506" s="28" t="str">
        <f aca="false">AU506</f>
        <v/>
      </c>
      <c r="DS506" s="28" t="str">
        <f aca="false">AY506</f>
        <v/>
      </c>
      <c r="DT506" s="28" t="str">
        <f aca="false">BC506</f>
        <v/>
      </c>
      <c r="DU506" s="28" t="str">
        <f aca="false">BG506</f>
        <v/>
      </c>
      <c r="DV506" s="28" t="str">
        <f aca="false">BK506</f>
        <v/>
      </c>
      <c r="DW506" s="28" t="str">
        <f aca="false">BO506</f>
        <v/>
      </c>
      <c r="DX506" s="28" t="str">
        <f aca="false">BS506</f>
        <v/>
      </c>
      <c r="DY506" s="28" t="str">
        <f aca="false">IF(ISNUMBER(S506),1,"")</f>
        <v/>
      </c>
      <c r="DZ506" s="28" t="str">
        <f aca="false">IF(ISNUMBER(W506),2,"")</f>
        <v/>
      </c>
      <c r="EA506" s="28" t="str">
        <f aca="false">IF(ISNUMBER(AA506),3,"")</f>
        <v/>
      </c>
      <c r="EB506" s="28" t="str">
        <f aca="false">IF(ISNUMBER(AE506),4,"")</f>
        <v/>
      </c>
      <c r="EC506" s="28" t="str">
        <f aca="false">IF(ISNUMBER(AI506),5,"")</f>
        <v/>
      </c>
      <c r="ED506" s="28" t="str">
        <f aca="false">IF(ISNUMBER(AM506),6,"")</f>
        <v/>
      </c>
      <c r="EE506" s="28" t="str">
        <f aca="false">IF(ISNUMBER(AQ506),7,"")</f>
        <v/>
      </c>
      <c r="EF506" s="28" t="str">
        <f aca="false">IF(ISNUMBER(AU506),8,"")</f>
        <v/>
      </c>
      <c r="EG506" s="28" t="str">
        <f aca="false">IF(ISNUMBER(AY506),9,"")</f>
        <v/>
      </c>
      <c r="EH506" s="28" t="str">
        <f aca="false">IF(ISNUMBER(BC506),10,"")</f>
        <v/>
      </c>
      <c r="EI506" s="28" t="str">
        <f aca="false">IF(ISNUMBER(BG506),11,"")</f>
        <v/>
      </c>
      <c r="EJ506" s="28" t="str">
        <f aca="false">IF(ISNUMBER(BK506),12,"")</f>
        <v/>
      </c>
      <c r="EK506" s="28" t="str">
        <f aca="false">IF(ISNUMBER(BO506),13,"")</f>
        <v/>
      </c>
      <c r="EL506" s="28" t="str">
        <f aca="false">IF(ISNUMBER(BS506),14,"")</f>
        <v/>
      </c>
      <c r="EM506" s="28" t="n">
        <f aca="false">IF(ISNUMBER(R506),R506*CW506,0)</f>
        <v>0</v>
      </c>
      <c r="EN506" s="28" t="n">
        <f aca="false">IF(ISNUMBER(V506),V506*CX506,0)</f>
        <v>0</v>
      </c>
      <c r="EO506" s="28" t="n">
        <f aca="false">IF(ISNUMBER(Z506),Z506*CY506,0)</f>
        <v>0</v>
      </c>
      <c r="EP506" s="28" t="n">
        <f aca="false">IF(ISNUMBER(AD506),AD506*CZ506,0)</f>
        <v>0</v>
      </c>
      <c r="EQ506" s="28" t="n">
        <f aca="false">IF(ISNUMBER(AH506),AH506*DA506,0)</f>
        <v>0</v>
      </c>
      <c r="ER506" s="28" t="n">
        <f aca="false">IF(ISNUMBER(AL506),AL506*DB506,0)</f>
        <v>0</v>
      </c>
      <c r="ES506" s="28" t="n">
        <f aca="false">IF(ISNUMBER(AP506),AP506*DC506,0)</f>
        <v>0</v>
      </c>
      <c r="ET506" s="28" t="n">
        <f aca="false">IF(ISNUMBER(AT506),AT506*DD506,0)</f>
        <v>0</v>
      </c>
      <c r="EU506" s="28" t="n">
        <f aca="false">IF(ISNUMBER(AX506),AX506*DE506,0)</f>
        <v>0</v>
      </c>
      <c r="EV506" s="28" t="n">
        <f aca="false">IF(ISNUMBER(BB506),BB506*DF506,0)</f>
        <v>0</v>
      </c>
      <c r="EW506" s="28" t="n">
        <f aca="false">IF(ISNUMBER(BF506),BF506*DG506,0)</f>
        <v>0</v>
      </c>
      <c r="EX506" s="28" t="n">
        <f aca="false">IF(ISNUMBER(BJ506),BJ506*DH506,0)</f>
        <v>0</v>
      </c>
      <c r="EY506" s="28" t="n">
        <f aca="false">IF(ISNUMBER(BN506),BN506*DI506,0)</f>
        <v>0</v>
      </c>
      <c r="EZ506" s="28" t="n">
        <f aca="false">IF(ISNUMBER(BR506),BR506*DJ506,0)</f>
        <v>0</v>
      </c>
      <c r="FA506" s="28" t="n">
        <f aca="false">IF(ISNUMBER(R506),CW506,0)</f>
        <v>0</v>
      </c>
      <c r="FB506" s="28" t="n">
        <f aca="false">IF(ISNUMBER(V506),CX506,0)</f>
        <v>0</v>
      </c>
      <c r="FC506" s="28" t="n">
        <f aca="false">IF(ISNUMBER(Z506),CY506,0)</f>
        <v>0</v>
      </c>
      <c r="FD506" s="28" t="n">
        <f aca="false">IF(ISNUMBER(AD506),CZ506,0)</f>
        <v>0</v>
      </c>
      <c r="FE506" s="28" t="n">
        <f aca="false">IF(ISNUMBER(AH506),DA506,0)</f>
        <v>0</v>
      </c>
      <c r="FF506" s="28" t="n">
        <f aca="false">IF(ISNUMBER(AL506),DB506,0)</f>
        <v>0</v>
      </c>
      <c r="FG506" s="28" t="n">
        <f aca="false">IF(ISNUMBER(AP506),DC506,0)</f>
        <v>0</v>
      </c>
      <c r="FH506" s="28" t="n">
        <f aca="false">IF(ISNUMBER(AT506),DD506,0)</f>
        <v>0</v>
      </c>
      <c r="FI506" s="28" t="n">
        <f aca="false">IF(ISNUMBER(AX506),DE506,0)</f>
        <v>0</v>
      </c>
      <c r="FJ506" s="28" t="n">
        <f aca="false">IF(ISNUMBER(BB506),DF506,0)</f>
        <v>0</v>
      </c>
      <c r="FK506" s="28" t="n">
        <f aca="false">IF(ISNUMBER(BF506),DG506,0)</f>
        <v>0</v>
      </c>
      <c r="FL506" s="28" t="n">
        <f aca="false">IF(ISNUMBER(BJ506),DH506,0)</f>
        <v>0</v>
      </c>
      <c r="FM506" s="28" t="n">
        <f aca="false">IF(ISNUMBER(BN506),DI506,0)</f>
        <v>0</v>
      </c>
      <c r="FN506" s="28" t="n">
        <f aca="false">IF(ISNUMBER(BR506),DJ506,0)</f>
        <v>0</v>
      </c>
      <c r="FO506" s="28" t="str">
        <f aca="false">IFERROR(INDEX(Lists!$G$2:$G$20,MATCH($I506&amp;"|"&amp;$J506,Lists!$F$2:$F$20,0)),"")</f>
        <v/>
      </c>
    </row>
    <row r="507" customFormat="false" ht="19.5" hidden="false" customHeight="true" outlineLevel="0" collapsed="false">
      <c r="A507" s="29"/>
      <c r="B507" s="29"/>
      <c r="C507" s="30"/>
      <c r="D507" s="30"/>
      <c r="E507" s="31"/>
      <c r="F507" s="30"/>
      <c r="G507" s="30"/>
      <c r="H507" s="32"/>
      <c r="I507" s="33"/>
      <c r="J507" s="32"/>
      <c r="K507" s="34" t="str">
        <f aca="false">IF(OR(M507="",$E507=""),"",M507-$E507)</f>
        <v/>
      </c>
      <c r="L507" s="35" t="str">
        <f aca="false">IF(SUM(FA507:FN507)=0,"",SUM(EM507:EZ507)/SUM(FA507:FN507))</f>
        <v/>
      </c>
      <c r="M507" s="36" t="str">
        <f aca="false">IF(OR(L507="",FO507=""),"",IFERROR(MATCH(L507,INDEX(Boundaries!$B$2:$I$30,MATCH(FO507,Boundaries!$A$2:$A$30,0),0),1)-1,""))</f>
        <v/>
      </c>
      <c r="N507" s="37" t="str">
        <f aca="false">IF(COUNT($DY507:$EL507)&lt;2,"",INDEX($DK507:$DX507,MAX($DY507:$EL507))-INDEX($DK507:$DX507,MIN($DY507:$EL507)))</f>
        <v/>
      </c>
      <c r="O507" s="37" t="str">
        <f aca="false">IF(COUNT($DY507:$EL507)&lt;2,"",INDEX($DK507:$DX507,MAX($DY507:$EL507))-INDEX($DK507:$DX507,LARGE($DY507:$EL507,2)))</f>
        <v/>
      </c>
      <c r="P507" s="38" t="str">
        <f aca="false">IF(K507="","",IF(K507&gt;=0,"On/above target",IF(AND(N507&lt;&gt;"",N507&gt;=0.5),"Improving towards target",IF(AND(O507&lt;&gt;"",O507&lt;=-0.5),"Declining","Stable below target"))))</f>
        <v/>
      </c>
      <c r="Q507" s="39"/>
      <c r="R507" s="40" t="str">
        <f aca="false">IF(OR(Q507="",BU507=""),"",Q507/BU507*100)</f>
        <v/>
      </c>
      <c r="S507" s="41" t="str">
        <f aca="false">IF(R507="","",IFERROR(MATCH(R507,INDEX(Boundaries!$B$2:$I$30,MATCH(CI507,Boundaries!$A$2:$A$30,0),0),1)-1,""))</f>
        <v/>
      </c>
      <c r="T507" s="42" t="str">
        <f aca="false">IF(OR(S507="",$E507=""),"",S507-$E507)</f>
        <v/>
      </c>
      <c r="U507" s="39"/>
      <c r="V507" s="40" t="str">
        <f aca="false">IF(OR(U507="",BV507=""),"",U507/BV507*100)</f>
        <v/>
      </c>
      <c r="W507" s="41" t="str">
        <f aca="false">IF(V507="","",IFERROR(MATCH(V507,INDEX(Boundaries!$B$2:$I$30,MATCH(CJ507,Boundaries!$A$2:$A$30,0),0),1)-1,""))</f>
        <v/>
      </c>
      <c r="X507" s="42" t="str">
        <f aca="false">IF(OR(W507="",$E507=""),"",W507-$E507)</f>
        <v/>
      </c>
      <c r="Y507" s="39"/>
      <c r="Z507" s="40" t="str">
        <f aca="false">IF(OR(Y507="",BW507=""),"",Y507/BW507*100)</f>
        <v/>
      </c>
      <c r="AA507" s="41" t="str">
        <f aca="false">IF(Z507="","",IFERROR(MATCH(Z507,INDEX(Boundaries!$B$2:$I$30,MATCH(CK507,Boundaries!$A$2:$A$30,0),0),1)-1,""))</f>
        <v/>
      </c>
      <c r="AB507" s="42" t="str">
        <f aca="false">IF(OR(AA507="",$E507=""),"",AA507-$E507)</f>
        <v/>
      </c>
      <c r="AC507" s="39"/>
      <c r="AD507" s="40" t="str">
        <f aca="false">IF(OR(AC507="",BX507=""),"",AC507/BX507*100)</f>
        <v/>
      </c>
      <c r="AE507" s="41" t="str">
        <f aca="false">IF(AD507="","",IFERROR(MATCH(AD507,INDEX(Boundaries!$B$2:$I$30,MATCH(CL507,Boundaries!$A$2:$A$30,0),0),1)-1,""))</f>
        <v/>
      </c>
      <c r="AF507" s="42" t="str">
        <f aca="false">IF(OR(AE507="",$E507=""),"",AE507-$E507)</f>
        <v/>
      </c>
      <c r="AG507" s="39"/>
      <c r="AH507" s="40" t="str">
        <f aca="false">IF(OR(AG507="",BY507=""),"",AG507/BY507*100)</f>
        <v/>
      </c>
      <c r="AI507" s="41" t="str">
        <f aca="false">IF(AH507="","",IFERROR(MATCH(AH507,INDEX(Boundaries!$B$2:$I$30,MATCH(CM507,Boundaries!$A$2:$A$30,0),0),1)-1,""))</f>
        <v/>
      </c>
      <c r="AJ507" s="42" t="str">
        <f aca="false">IF(OR(AI507="",$E507=""),"",AI507-$E507)</f>
        <v/>
      </c>
      <c r="AK507" s="39"/>
      <c r="AL507" s="40" t="str">
        <f aca="false">IF(OR(AK507="",BZ507=""),"",AK507/BZ507*100)</f>
        <v/>
      </c>
      <c r="AM507" s="41" t="str">
        <f aca="false">IF(AL507="","",IFERROR(MATCH(AL507,INDEX(Boundaries!$B$2:$I$30,MATCH(CN507,Boundaries!$A$2:$A$30,0),0),1)-1,""))</f>
        <v/>
      </c>
      <c r="AN507" s="42" t="str">
        <f aca="false">IF(OR(AM507="",$E507=""),"",AM507-$E507)</f>
        <v/>
      </c>
      <c r="AO507" s="39"/>
      <c r="AP507" s="40" t="str">
        <f aca="false">IF(OR(AO507="",CA507=""),"",AO507/CA507*100)</f>
        <v/>
      </c>
      <c r="AQ507" s="41" t="str">
        <f aca="false">IF(AP507="","",IFERROR(MATCH(AP507,INDEX(Boundaries!$B$2:$I$30,MATCH(CO507,Boundaries!$A$2:$A$30,0),0),1)-1,""))</f>
        <v/>
      </c>
      <c r="AR507" s="42" t="str">
        <f aca="false">IF(OR(AQ507="",$E507=""),"",AQ507-$E507)</f>
        <v/>
      </c>
      <c r="AS507" s="39"/>
      <c r="AT507" s="40" t="str">
        <f aca="false">IF(OR(AS507="",CB507=""),"",AS507/CB507*100)</f>
        <v/>
      </c>
      <c r="AU507" s="41" t="str">
        <f aca="false">IF(AT507="","",IFERROR(MATCH(AT507,INDEX(Boundaries!$B$2:$I$30,MATCH(CP507,Boundaries!$A$2:$A$30,0),0),1)-1,""))</f>
        <v/>
      </c>
      <c r="AV507" s="42" t="str">
        <f aca="false">IF(OR(AU507="",$E507=""),"",AU507-$E507)</f>
        <v/>
      </c>
      <c r="AW507" s="39"/>
      <c r="AX507" s="40" t="str">
        <f aca="false">IF(OR(AW507="",CC507=""),"",AW507/CC507*100)</f>
        <v/>
      </c>
      <c r="AY507" s="41" t="str">
        <f aca="false">IF(AX507="","",IFERROR(MATCH(AX507,INDEX(Boundaries!$B$2:$I$30,MATCH(CQ507,Boundaries!$A$2:$A$30,0),0),1)-1,""))</f>
        <v/>
      </c>
      <c r="AZ507" s="42" t="str">
        <f aca="false">IF(OR(AY507="",$E507=""),"",AY507-$E507)</f>
        <v/>
      </c>
      <c r="BA507" s="39"/>
      <c r="BB507" s="40" t="str">
        <f aca="false">IF(OR(BA507="",CD507=""),"",BA507/CD507*100)</f>
        <v/>
      </c>
      <c r="BC507" s="41" t="str">
        <f aca="false">IF(BB507="","",IFERROR(MATCH(BB507,INDEX(Boundaries!$B$2:$I$30,MATCH(CR507,Boundaries!$A$2:$A$30,0),0),1)-1,""))</f>
        <v/>
      </c>
      <c r="BD507" s="42" t="str">
        <f aca="false">IF(OR(BC507="",$E507=""),"",BC507-$E507)</f>
        <v/>
      </c>
      <c r="BE507" s="39"/>
      <c r="BF507" s="40" t="str">
        <f aca="false">IF(OR(BE507="",CE507=""),"",BE507/CE507*100)</f>
        <v/>
      </c>
      <c r="BG507" s="41" t="str">
        <f aca="false">IF(BF507="","",IFERROR(MATCH(BF507,INDEX(Boundaries!$B$2:$I$30,MATCH(CS507,Boundaries!$A$2:$A$30,0),0),1)-1,""))</f>
        <v/>
      </c>
      <c r="BH507" s="42" t="str">
        <f aca="false">IF(OR(BG507="",$E507=""),"",BG507-$E507)</f>
        <v/>
      </c>
      <c r="BI507" s="39"/>
      <c r="BJ507" s="40" t="str">
        <f aca="false">IF(OR(BI507="",CF507=""),"",BI507/CF507*100)</f>
        <v/>
      </c>
      <c r="BK507" s="41" t="str">
        <f aca="false">IF(BJ507="","",IFERROR(MATCH(BJ507,INDEX(Boundaries!$B$2:$I$30,MATCH(CT507,Boundaries!$A$2:$A$30,0),0),1)-1,""))</f>
        <v/>
      </c>
      <c r="BL507" s="42" t="str">
        <f aca="false">IF(OR(BK507="",$E507=""),"",BK507-$E507)</f>
        <v/>
      </c>
      <c r="BM507" s="39"/>
      <c r="BN507" s="40" t="str">
        <f aca="false">IF(OR(BM507="",CG507=""),"",BM507/CG507*100)</f>
        <v/>
      </c>
      <c r="BO507" s="41" t="str">
        <f aca="false">IF(BN507="","",IFERROR(MATCH(BN507,INDEX(Boundaries!$B$2:$I$30,MATCH(CU507,Boundaries!$A$2:$A$30,0),0),1)-1,""))</f>
        <v/>
      </c>
      <c r="BP507" s="42" t="str">
        <f aca="false">IF(OR(BO507="",$E507=""),"",BO507-$E507)</f>
        <v/>
      </c>
      <c r="BQ507" s="39"/>
      <c r="BR507" s="40" t="str">
        <f aca="false">IF(OR(BQ507="",CH507=""),"",BQ507/CH507*100)</f>
        <v/>
      </c>
      <c r="BS507" s="41" t="str">
        <f aca="false">IF(BR507="","",IFERROR(MATCH(BR507,INDEX(Boundaries!$B$2:$I$30,MATCH(CV507,Boundaries!$A$2:$A$30,0),0),1)-1,""))</f>
        <v/>
      </c>
      <c r="BT507" s="42" t="str">
        <f aca="false">IF(OR(BS507="",$E507=""),"",BS507-$E507)</f>
        <v/>
      </c>
      <c r="BU507" s="28" t="str">
        <f aca="false">IFERROR(INDEX(Assessments!$H$2:$H$600,MATCH($H507&amp;"|"&amp;$I507&amp;"|"&amp;$J507&amp;"|"&amp;1,Assessments!$A$2:$A$600,0)),"")</f>
        <v/>
      </c>
      <c r="BV507" s="28" t="str">
        <f aca="false">IFERROR(INDEX(Assessments!$H$2:$H$600,MATCH($H507&amp;"|"&amp;$I507&amp;"|"&amp;$J507&amp;"|"&amp;2,Assessments!$A$2:$A$600,0)),"")</f>
        <v/>
      </c>
      <c r="BW507" s="28" t="str">
        <f aca="false">IFERROR(INDEX(Assessments!$H$2:$H$600,MATCH($H507&amp;"|"&amp;$I507&amp;"|"&amp;$J507&amp;"|"&amp;3,Assessments!$A$2:$A$600,0)),"")</f>
        <v/>
      </c>
      <c r="BX507" s="28" t="str">
        <f aca="false">IFERROR(INDEX(Assessments!$H$2:$H$600,MATCH($H507&amp;"|"&amp;$I507&amp;"|"&amp;$J507&amp;"|"&amp;4,Assessments!$A$2:$A$600,0)),"")</f>
        <v/>
      </c>
      <c r="BY507" s="28" t="str">
        <f aca="false">IFERROR(INDEX(Assessments!$H$2:$H$600,MATCH($H507&amp;"|"&amp;$I507&amp;"|"&amp;$J507&amp;"|"&amp;5,Assessments!$A$2:$A$600,0)),"")</f>
        <v/>
      </c>
      <c r="BZ507" s="28" t="str">
        <f aca="false">IFERROR(INDEX(Assessments!$H$2:$H$600,MATCH($H507&amp;"|"&amp;$I507&amp;"|"&amp;$J507&amp;"|"&amp;6,Assessments!$A$2:$A$600,0)),"")</f>
        <v/>
      </c>
      <c r="CA507" s="28" t="str">
        <f aca="false">IFERROR(INDEX(Assessments!$H$2:$H$600,MATCH($H507&amp;"|"&amp;$I507&amp;"|"&amp;$J507&amp;"|"&amp;7,Assessments!$A$2:$A$600,0)),"")</f>
        <v/>
      </c>
      <c r="CB507" s="28" t="str">
        <f aca="false">IFERROR(INDEX(Assessments!$H$2:$H$600,MATCH($H507&amp;"|"&amp;$I507&amp;"|"&amp;$J507&amp;"|"&amp;8,Assessments!$A$2:$A$600,0)),"")</f>
        <v/>
      </c>
      <c r="CC507" s="28" t="str">
        <f aca="false">IFERROR(INDEX(Assessments!$H$2:$H$600,MATCH($H507&amp;"|"&amp;$I507&amp;"|"&amp;$J507&amp;"|"&amp;9,Assessments!$A$2:$A$600,0)),"")</f>
        <v/>
      </c>
      <c r="CD507" s="28" t="str">
        <f aca="false">IFERROR(INDEX(Assessments!$H$2:$H$600,MATCH($H507&amp;"|"&amp;$I507&amp;"|"&amp;$J507&amp;"|"&amp;10,Assessments!$A$2:$A$600,0)),"")</f>
        <v/>
      </c>
      <c r="CE507" s="28" t="str">
        <f aca="false">IFERROR(INDEX(Assessments!$H$2:$H$600,MATCH($H507&amp;"|"&amp;$I507&amp;"|"&amp;$J507&amp;"|"&amp;11,Assessments!$A$2:$A$600,0)),"")</f>
        <v/>
      </c>
      <c r="CF507" s="28" t="str">
        <f aca="false">IFERROR(INDEX(Assessments!$H$2:$H$600,MATCH($H507&amp;"|"&amp;$I507&amp;"|"&amp;$J507&amp;"|"&amp;12,Assessments!$A$2:$A$600,0)),"")</f>
        <v/>
      </c>
      <c r="CG507" s="28" t="str">
        <f aca="false">IFERROR(INDEX(Assessments!$H$2:$H$600,MATCH($H507&amp;"|"&amp;$I507&amp;"|"&amp;$J507&amp;"|"&amp;13,Assessments!$A$2:$A$600,0)),"")</f>
        <v/>
      </c>
      <c r="CH507" s="28" t="str">
        <f aca="false">IFERROR(INDEX(Assessments!$H$2:$H$600,MATCH($H507&amp;"|"&amp;$I507&amp;"|"&amp;$J507&amp;"|"&amp;14,Assessments!$A$2:$A$600,0)),"")</f>
        <v/>
      </c>
      <c r="CI507" s="28" t="str">
        <f aca="false">IFERROR(INDEX(Assessments!$I$2:$I$600,MATCH($H507&amp;"|"&amp;$I507&amp;"|"&amp;$J507&amp;"|"&amp;1,Assessments!$A$2:$A$600,0)),"")</f>
        <v/>
      </c>
      <c r="CJ507" s="28" t="str">
        <f aca="false">IFERROR(INDEX(Assessments!$I$2:$I$600,MATCH($H507&amp;"|"&amp;$I507&amp;"|"&amp;$J507&amp;"|"&amp;2,Assessments!$A$2:$A$600,0)),"")</f>
        <v/>
      </c>
      <c r="CK507" s="28" t="str">
        <f aca="false">IFERROR(INDEX(Assessments!$I$2:$I$600,MATCH($H507&amp;"|"&amp;$I507&amp;"|"&amp;$J507&amp;"|"&amp;3,Assessments!$A$2:$A$600,0)),"")</f>
        <v/>
      </c>
      <c r="CL507" s="28" t="str">
        <f aca="false">IFERROR(INDEX(Assessments!$I$2:$I$600,MATCH($H507&amp;"|"&amp;$I507&amp;"|"&amp;$J507&amp;"|"&amp;4,Assessments!$A$2:$A$600,0)),"")</f>
        <v/>
      </c>
      <c r="CM507" s="28" t="str">
        <f aca="false">IFERROR(INDEX(Assessments!$I$2:$I$600,MATCH($H507&amp;"|"&amp;$I507&amp;"|"&amp;$J507&amp;"|"&amp;5,Assessments!$A$2:$A$600,0)),"")</f>
        <v/>
      </c>
      <c r="CN507" s="28" t="str">
        <f aca="false">IFERROR(INDEX(Assessments!$I$2:$I$600,MATCH($H507&amp;"|"&amp;$I507&amp;"|"&amp;$J507&amp;"|"&amp;6,Assessments!$A$2:$A$600,0)),"")</f>
        <v/>
      </c>
      <c r="CO507" s="28" t="str">
        <f aca="false">IFERROR(INDEX(Assessments!$I$2:$I$600,MATCH($H507&amp;"|"&amp;$I507&amp;"|"&amp;$J507&amp;"|"&amp;7,Assessments!$A$2:$A$600,0)),"")</f>
        <v/>
      </c>
      <c r="CP507" s="28" t="str">
        <f aca="false">IFERROR(INDEX(Assessments!$I$2:$I$600,MATCH($H507&amp;"|"&amp;$I507&amp;"|"&amp;$J507&amp;"|"&amp;8,Assessments!$A$2:$A$600,0)),"")</f>
        <v/>
      </c>
      <c r="CQ507" s="28" t="str">
        <f aca="false">IFERROR(INDEX(Assessments!$I$2:$I$600,MATCH($H507&amp;"|"&amp;$I507&amp;"|"&amp;$J507&amp;"|"&amp;9,Assessments!$A$2:$A$600,0)),"")</f>
        <v/>
      </c>
      <c r="CR507" s="28" t="str">
        <f aca="false">IFERROR(INDEX(Assessments!$I$2:$I$600,MATCH($H507&amp;"|"&amp;$I507&amp;"|"&amp;$J507&amp;"|"&amp;10,Assessments!$A$2:$A$600,0)),"")</f>
        <v/>
      </c>
      <c r="CS507" s="28" t="str">
        <f aca="false">IFERROR(INDEX(Assessments!$I$2:$I$600,MATCH($H507&amp;"|"&amp;$I507&amp;"|"&amp;$J507&amp;"|"&amp;11,Assessments!$A$2:$A$600,0)),"")</f>
        <v/>
      </c>
      <c r="CT507" s="28" t="str">
        <f aca="false">IFERROR(INDEX(Assessments!$I$2:$I$600,MATCH($H507&amp;"|"&amp;$I507&amp;"|"&amp;$J507&amp;"|"&amp;12,Assessments!$A$2:$A$600,0)),"")</f>
        <v/>
      </c>
      <c r="CU507" s="28" t="str">
        <f aca="false">IFERROR(INDEX(Assessments!$I$2:$I$600,MATCH($H507&amp;"|"&amp;$I507&amp;"|"&amp;$J507&amp;"|"&amp;13,Assessments!$A$2:$A$600,0)),"")</f>
        <v/>
      </c>
      <c r="CV507" s="28" t="str">
        <f aca="false">IFERROR(INDEX(Assessments!$I$2:$I$600,MATCH($H507&amp;"|"&amp;$I507&amp;"|"&amp;$J507&amp;"|"&amp;14,Assessments!$A$2:$A$600,0)),"")</f>
        <v/>
      </c>
      <c r="CW507" s="28" t="n">
        <f aca="false">IFERROR(INDEX(Assessments!$J$2:$J$600,MATCH($H507&amp;"|"&amp;$I507&amp;"|"&amp;$J507&amp;"|"&amp;1,Assessments!$A$2:$A$600,0)),0)</f>
        <v>0</v>
      </c>
      <c r="CX507" s="28" t="n">
        <f aca="false">IFERROR(INDEX(Assessments!$J$2:$J$600,MATCH($H507&amp;"|"&amp;$I507&amp;"|"&amp;$J507&amp;"|"&amp;2,Assessments!$A$2:$A$600,0)),0)</f>
        <v>0</v>
      </c>
      <c r="CY507" s="28" t="n">
        <f aca="false">IFERROR(INDEX(Assessments!$J$2:$J$600,MATCH($H507&amp;"|"&amp;$I507&amp;"|"&amp;$J507&amp;"|"&amp;3,Assessments!$A$2:$A$600,0)),0)</f>
        <v>0</v>
      </c>
      <c r="CZ507" s="28" t="n">
        <f aca="false">IFERROR(INDEX(Assessments!$J$2:$J$600,MATCH($H507&amp;"|"&amp;$I507&amp;"|"&amp;$J507&amp;"|"&amp;4,Assessments!$A$2:$A$600,0)),0)</f>
        <v>0</v>
      </c>
      <c r="DA507" s="28" t="n">
        <f aca="false">IFERROR(INDEX(Assessments!$J$2:$J$600,MATCH($H507&amp;"|"&amp;$I507&amp;"|"&amp;$J507&amp;"|"&amp;5,Assessments!$A$2:$A$600,0)),0)</f>
        <v>0</v>
      </c>
      <c r="DB507" s="28" t="n">
        <f aca="false">IFERROR(INDEX(Assessments!$J$2:$J$600,MATCH($H507&amp;"|"&amp;$I507&amp;"|"&amp;$J507&amp;"|"&amp;6,Assessments!$A$2:$A$600,0)),0)</f>
        <v>0</v>
      </c>
      <c r="DC507" s="28" t="n">
        <f aca="false">IFERROR(INDEX(Assessments!$J$2:$J$600,MATCH($H507&amp;"|"&amp;$I507&amp;"|"&amp;$J507&amp;"|"&amp;7,Assessments!$A$2:$A$600,0)),0)</f>
        <v>0</v>
      </c>
      <c r="DD507" s="28" t="n">
        <f aca="false">IFERROR(INDEX(Assessments!$J$2:$J$600,MATCH($H507&amp;"|"&amp;$I507&amp;"|"&amp;$J507&amp;"|"&amp;8,Assessments!$A$2:$A$600,0)),0)</f>
        <v>0</v>
      </c>
      <c r="DE507" s="28" t="n">
        <f aca="false">IFERROR(INDEX(Assessments!$J$2:$J$600,MATCH($H507&amp;"|"&amp;$I507&amp;"|"&amp;$J507&amp;"|"&amp;9,Assessments!$A$2:$A$600,0)),0)</f>
        <v>0</v>
      </c>
      <c r="DF507" s="28" t="n">
        <f aca="false">IFERROR(INDEX(Assessments!$J$2:$J$600,MATCH($H507&amp;"|"&amp;$I507&amp;"|"&amp;$J507&amp;"|"&amp;10,Assessments!$A$2:$A$600,0)),0)</f>
        <v>0</v>
      </c>
      <c r="DG507" s="28" t="n">
        <f aca="false">IFERROR(INDEX(Assessments!$J$2:$J$600,MATCH($H507&amp;"|"&amp;$I507&amp;"|"&amp;$J507&amp;"|"&amp;11,Assessments!$A$2:$A$600,0)),0)</f>
        <v>0</v>
      </c>
      <c r="DH507" s="28" t="n">
        <f aca="false">IFERROR(INDEX(Assessments!$J$2:$J$600,MATCH($H507&amp;"|"&amp;$I507&amp;"|"&amp;$J507&amp;"|"&amp;12,Assessments!$A$2:$A$600,0)),0)</f>
        <v>0</v>
      </c>
      <c r="DI507" s="28" t="n">
        <f aca="false">IFERROR(INDEX(Assessments!$J$2:$J$600,MATCH($H507&amp;"|"&amp;$I507&amp;"|"&amp;$J507&amp;"|"&amp;13,Assessments!$A$2:$A$600,0)),0)</f>
        <v>0</v>
      </c>
      <c r="DJ507" s="28" t="n">
        <f aca="false">IFERROR(INDEX(Assessments!$J$2:$J$600,MATCH($H507&amp;"|"&amp;$I507&amp;"|"&amp;$J507&amp;"|"&amp;14,Assessments!$A$2:$A$600,0)),0)</f>
        <v>0</v>
      </c>
      <c r="DK507" s="28" t="str">
        <f aca="false">S507</f>
        <v/>
      </c>
      <c r="DL507" s="28" t="str">
        <f aca="false">W507</f>
        <v/>
      </c>
      <c r="DM507" s="28" t="str">
        <f aca="false">AA507</f>
        <v/>
      </c>
      <c r="DN507" s="28" t="str">
        <f aca="false">AE507</f>
        <v/>
      </c>
      <c r="DO507" s="28" t="str">
        <f aca="false">AI507</f>
        <v/>
      </c>
      <c r="DP507" s="28" t="str">
        <f aca="false">AM507</f>
        <v/>
      </c>
      <c r="DQ507" s="28" t="str">
        <f aca="false">AQ507</f>
        <v/>
      </c>
      <c r="DR507" s="28" t="str">
        <f aca="false">AU507</f>
        <v/>
      </c>
      <c r="DS507" s="28" t="str">
        <f aca="false">AY507</f>
        <v/>
      </c>
      <c r="DT507" s="28" t="str">
        <f aca="false">BC507</f>
        <v/>
      </c>
      <c r="DU507" s="28" t="str">
        <f aca="false">BG507</f>
        <v/>
      </c>
      <c r="DV507" s="28" t="str">
        <f aca="false">BK507</f>
        <v/>
      </c>
      <c r="DW507" s="28" t="str">
        <f aca="false">BO507</f>
        <v/>
      </c>
      <c r="DX507" s="28" t="str">
        <f aca="false">BS507</f>
        <v/>
      </c>
      <c r="DY507" s="28" t="str">
        <f aca="false">IF(ISNUMBER(S507),1,"")</f>
        <v/>
      </c>
      <c r="DZ507" s="28" t="str">
        <f aca="false">IF(ISNUMBER(W507),2,"")</f>
        <v/>
      </c>
      <c r="EA507" s="28" t="str">
        <f aca="false">IF(ISNUMBER(AA507),3,"")</f>
        <v/>
      </c>
      <c r="EB507" s="28" t="str">
        <f aca="false">IF(ISNUMBER(AE507),4,"")</f>
        <v/>
      </c>
      <c r="EC507" s="28" t="str">
        <f aca="false">IF(ISNUMBER(AI507),5,"")</f>
        <v/>
      </c>
      <c r="ED507" s="28" t="str">
        <f aca="false">IF(ISNUMBER(AM507),6,"")</f>
        <v/>
      </c>
      <c r="EE507" s="28" t="str">
        <f aca="false">IF(ISNUMBER(AQ507),7,"")</f>
        <v/>
      </c>
      <c r="EF507" s="28" t="str">
        <f aca="false">IF(ISNUMBER(AU507),8,"")</f>
        <v/>
      </c>
      <c r="EG507" s="28" t="str">
        <f aca="false">IF(ISNUMBER(AY507),9,"")</f>
        <v/>
      </c>
      <c r="EH507" s="28" t="str">
        <f aca="false">IF(ISNUMBER(BC507),10,"")</f>
        <v/>
      </c>
      <c r="EI507" s="28" t="str">
        <f aca="false">IF(ISNUMBER(BG507),11,"")</f>
        <v/>
      </c>
      <c r="EJ507" s="28" t="str">
        <f aca="false">IF(ISNUMBER(BK507),12,"")</f>
        <v/>
      </c>
      <c r="EK507" s="28" t="str">
        <f aca="false">IF(ISNUMBER(BO507),13,"")</f>
        <v/>
      </c>
      <c r="EL507" s="28" t="str">
        <f aca="false">IF(ISNUMBER(BS507),14,"")</f>
        <v/>
      </c>
      <c r="EM507" s="28" t="n">
        <f aca="false">IF(ISNUMBER(R507),R507*CW507,0)</f>
        <v>0</v>
      </c>
      <c r="EN507" s="28" t="n">
        <f aca="false">IF(ISNUMBER(V507),V507*CX507,0)</f>
        <v>0</v>
      </c>
      <c r="EO507" s="28" t="n">
        <f aca="false">IF(ISNUMBER(Z507),Z507*CY507,0)</f>
        <v>0</v>
      </c>
      <c r="EP507" s="28" t="n">
        <f aca="false">IF(ISNUMBER(AD507),AD507*CZ507,0)</f>
        <v>0</v>
      </c>
      <c r="EQ507" s="28" t="n">
        <f aca="false">IF(ISNUMBER(AH507),AH507*DA507,0)</f>
        <v>0</v>
      </c>
      <c r="ER507" s="28" t="n">
        <f aca="false">IF(ISNUMBER(AL507),AL507*DB507,0)</f>
        <v>0</v>
      </c>
      <c r="ES507" s="28" t="n">
        <f aca="false">IF(ISNUMBER(AP507),AP507*DC507,0)</f>
        <v>0</v>
      </c>
      <c r="ET507" s="28" t="n">
        <f aca="false">IF(ISNUMBER(AT507),AT507*DD507,0)</f>
        <v>0</v>
      </c>
      <c r="EU507" s="28" t="n">
        <f aca="false">IF(ISNUMBER(AX507),AX507*DE507,0)</f>
        <v>0</v>
      </c>
      <c r="EV507" s="28" t="n">
        <f aca="false">IF(ISNUMBER(BB507),BB507*DF507,0)</f>
        <v>0</v>
      </c>
      <c r="EW507" s="28" t="n">
        <f aca="false">IF(ISNUMBER(BF507),BF507*DG507,0)</f>
        <v>0</v>
      </c>
      <c r="EX507" s="28" t="n">
        <f aca="false">IF(ISNUMBER(BJ507),BJ507*DH507,0)</f>
        <v>0</v>
      </c>
      <c r="EY507" s="28" t="n">
        <f aca="false">IF(ISNUMBER(BN507),BN507*DI507,0)</f>
        <v>0</v>
      </c>
      <c r="EZ507" s="28" t="n">
        <f aca="false">IF(ISNUMBER(BR507),BR507*DJ507,0)</f>
        <v>0</v>
      </c>
      <c r="FA507" s="28" t="n">
        <f aca="false">IF(ISNUMBER(R507),CW507,0)</f>
        <v>0</v>
      </c>
      <c r="FB507" s="28" t="n">
        <f aca="false">IF(ISNUMBER(V507),CX507,0)</f>
        <v>0</v>
      </c>
      <c r="FC507" s="28" t="n">
        <f aca="false">IF(ISNUMBER(Z507),CY507,0)</f>
        <v>0</v>
      </c>
      <c r="FD507" s="28" t="n">
        <f aca="false">IF(ISNUMBER(AD507),CZ507,0)</f>
        <v>0</v>
      </c>
      <c r="FE507" s="28" t="n">
        <f aca="false">IF(ISNUMBER(AH507),DA507,0)</f>
        <v>0</v>
      </c>
      <c r="FF507" s="28" t="n">
        <f aca="false">IF(ISNUMBER(AL507),DB507,0)</f>
        <v>0</v>
      </c>
      <c r="FG507" s="28" t="n">
        <f aca="false">IF(ISNUMBER(AP507),DC507,0)</f>
        <v>0</v>
      </c>
      <c r="FH507" s="28" t="n">
        <f aca="false">IF(ISNUMBER(AT507),DD507,0)</f>
        <v>0</v>
      </c>
      <c r="FI507" s="28" t="n">
        <f aca="false">IF(ISNUMBER(AX507),DE507,0)</f>
        <v>0</v>
      </c>
      <c r="FJ507" s="28" t="n">
        <f aca="false">IF(ISNUMBER(BB507),DF507,0)</f>
        <v>0</v>
      </c>
      <c r="FK507" s="28" t="n">
        <f aca="false">IF(ISNUMBER(BF507),DG507,0)</f>
        <v>0</v>
      </c>
      <c r="FL507" s="28" t="n">
        <f aca="false">IF(ISNUMBER(BJ507),DH507,0)</f>
        <v>0</v>
      </c>
      <c r="FM507" s="28" t="n">
        <f aca="false">IF(ISNUMBER(BN507),DI507,0)</f>
        <v>0</v>
      </c>
      <c r="FN507" s="28" t="n">
        <f aca="false">IF(ISNUMBER(BR507),DJ507,0)</f>
        <v>0</v>
      </c>
      <c r="FO507" s="28" t="str">
        <f aca="false">IFERROR(INDEX(Lists!$G$2:$G$20,MATCH($I507&amp;"|"&amp;$J507,Lists!$F$2:$F$20,0)),"")</f>
        <v/>
      </c>
    </row>
    <row r="508" customFormat="false" ht="19.5" hidden="false" customHeight="true" outlineLevel="0" collapsed="false">
      <c r="A508" s="29"/>
      <c r="B508" s="29"/>
      <c r="C508" s="30"/>
      <c r="D508" s="30"/>
      <c r="E508" s="31"/>
      <c r="F508" s="30"/>
      <c r="G508" s="30"/>
      <c r="H508" s="32"/>
      <c r="I508" s="33"/>
      <c r="J508" s="32"/>
      <c r="K508" s="34" t="str">
        <f aca="false">IF(OR(M508="",$E508=""),"",M508-$E508)</f>
        <v/>
      </c>
      <c r="L508" s="35" t="str">
        <f aca="false">IF(SUM(FA508:FN508)=0,"",SUM(EM508:EZ508)/SUM(FA508:FN508))</f>
        <v/>
      </c>
      <c r="M508" s="36" t="str">
        <f aca="false">IF(OR(L508="",FO508=""),"",IFERROR(MATCH(L508,INDEX(Boundaries!$B$2:$I$30,MATCH(FO508,Boundaries!$A$2:$A$30,0),0),1)-1,""))</f>
        <v/>
      </c>
      <c r="N508" s="37" t="str">
        <f aca="false">IF(COUNT($DY508:$EL508)&lt;2,"",INDEX($DK508:$DX508,MAX($DY508:$EL508))-INDEX($DK508:$DX508,MIN($DY508:$EL508)))</f>
        <v/>
      </c>
      <c r="O508" s="37" t="str">
        <f aca="false">IF(COUNT($DY508:$EL508)&lt;2,"",INDEX($DK508:$DX508,MAX($DY508:$EL508))-INDEX($DK508:$DX508,LARGE($DY508:$EL508,2)))</f>
        <v/>
      </c>
      <c r="P508" s="38" t="str">
        <f aca="false">IF(K508="","",IF(K508&gt;=0,"On/above target",IF(AND(N508&lt;&gt;"",N508&gt;=0.5),"Improving towards target",IF(AND(O508&lt;&gt;"",O508&lt;=-0.5),"Declining","Stable below target"))))</f>
        <v/>
      </c>
      <c r="Q508" s="39"/>
      <c r="R508" s="40" t="str">
        <f aca="false">IF(OR(Q508="",BU508=""),"",Q508/BU508*100)</f>
        <v/>
      </c>
      <c r="S508" s="41" t="str">
        <f aca="false">IF(R508="","",IFERROR(MATCH(R508,INDEX(Boundaries!$B$2:$I$30,MATCH(CI508,Boundaries!$A$2:$A$30,0),0),1)-1,""))</f>
        <v/>
      </c>
      <c r="T508" s="42" t="str">
        <f aca="false">IF(OR(S508="",$E508=""),"",S508-$E508)</f>
        <v/>
      </c>
      <c r="U508" s="39"/>
      <c r="V508" s="40" t="str">
        <f aca="false">IF(OR(U508="",BV508=""),"",U508/BV508*100)</f>
        <v/>
      </c>
      <c r="W508" s="41" t="str">
        <f aca="false">IF(V508="","",IFERROR(MATCH(V508,INDEX(Boundaries!$B$2:$I$30,MATCH(CJ508,Boundaries!$A$2:$A$30,0),0),1)-1,""))</f>
        <v/>
      </c>
      <c r="X508" s="42" t="str">
        <f aca="false">IF(OR(W508="",$E508=""),"",W508-$E508)</f>
        <v/>
      </c>
      <c r="Y508" s="39"/>
      <c r="Z508" s="40" t="str">
        <f aca="false">IF(OR(Y508="",BW508=""),"",Y508/BW508*100)</f>
        <v/>
      </c>
      <c r="AA508" s="41" t="str">
        <f aca="false">IF(Z508="","",IFERROR(MATCH(Z508,INDEX(Boundaries!$B$2:$I$30,MATCH(CK508,Boundaries!$A$2:$A$30,0),0),1)-1,""))</f>
        <v/>
      </c>
      <c r="AB508" s="42" t="str">
        <f aca="false">IF(OR(AA508="",$E508=""),"",AA508-$E508)</f>
        <v/>
      </c>
      <c r="AC508" s="39"/>
      <c r="AD508" s="40" t="str">
        <f aca="false">IF(OR(AC508="",BX508=""),"",AC508/BX508*100)</f>
        <v/>
      </c>
      <c r="AE508" s="41" t="str">
        <f aca="false">IF(AD508="","",IFERROR(MATCH(AD508,INDEX(Boundaries!$B$2:$I$30,MATCH(CL508,Boundaries!$A$2:$A$30,0),0),1)-1,""))</f>
        <v/>
      </c>
      <c r="AF508" s="42" t="str">
        <f aca="false">IF(OR(AE508="",$E508=""),"",AE508-$E508)</f>
        <v/>
      </c>
      <c r="AG508" s="39"/>
      <c r="AH508" s="40" t="str">
        <f aca="false">IF(OR(AG508="",BY508=""),"",AG508/BY508*100)</f>
        <v/>
      </c>
      <c r="AI508" s="41" t="str">
        <f aca="false">IF(AH508="","",IFERROR(MATCH(AH508,INDEX(Boundaries!$B$2:$I$30,MATCH(CM508,Boundaries!$A$2:$A$30,0),0),1)-1,""))</f>
        <v/>
      </c>
      <c r="AJ508" s="42" t="str">
        <f aca="false">IF(OR(AI508="",$E508=""),"",AI508-$E508)</f>
        <v/>
      </c>
      <c r="AK508" s="39"/>
      <c r="AL508" s="40" t="str">
        <f aca="false">IF(OR(AK508="",BZ508=""),"",AK508/BZ508*100)</f>
        <v/>
      </c>
      <c r="AM508" s="41" t="str">
        <f aca="false">IF(AL508="","",IFERROR(MATCH(AL508,INDEX(Boundaries!$B$2:$I$30,MATCH(CN508,Boundaries!$A$2:$A$30,0),0),1)-1,""))</f>
        <v/>
      </c>
      <c r="AN508" s="42" t="str">
        <f aca="false">IF(OR(AM508="",$E508=""),"",AM508-$E508)</f>
        <v/>
      </c>
      <c r="AO508" s="39"/>
      <c r="AP508" s="40" t="str">
        <f aca="false">IF(OR(AO508="",CA508=""),"",AO508/CA508*100)</f>
        <v/>
      </c>
      <c r="AQ508" s="41" t="str">
        <f aca="false">IF(AP508="","",IFERROR(MATCH(AP508,INDEX(Boundaries!$B$2:$I$30,MATCH(CO508,Boundaries!$A$2:$A$30,0),0),1)-1,""))</f>
        <v/>
      </c>
      <c r="AR508" s="42" t="str">
        <f aca="false">IF(OR(AQ508="",$E508=""),"",AQ508-$E508)</f>
        <v/>
      </c>
      <c r="AS508" s="39"/>
      <c r="AT508" s="40" t="str">
        <f aca="false">IF(OR(AS508="",CB508=""),"",AS508/CB508*100)</f>
        <v/>
      </c>
      <c r="AU508" s="41" t="str">
        <f aca="false">IF(AT508="","",IFERROR(MATCH(AT508,INDEX(Boundaries!$B$2:$I$30,MATCH(CP508,Boundaries!$A$2:$A$30,0),0),1)-1,""))</f>
        <v/>
      </c>
      <c r="AV508" s="42" t="str">
        <f aca="false">IF(OR(AU508="",$E508=""),"",AU508-$E508)</f>
        <v/>
      </c>
      <c r="AW508" s="39"/>
      <c r="AX508" s="40" t="str">
        <f aca="false">IF(OR(AW508="",CC508=""),"",AW508/CC508*100)</f>
        <v/>
      </c>
      <c r="AY508" s="41" t="str">
        <f aca="false">IF(AX508="","",IFERROR(MATCH(AX508,INDEX(Boundaries!$B$2:$I$30,MATCH(CQ508,Boundaries!$A$2:$A$30,0),0),1)-1,""))</f>
        <v/>
      </c>
      <c r="AZ508" s="42" t="str">
        <f aca="false">IF(OR(AY508="",$E508=""),"",AY508-$E508)</f>
        <v/>
      </c>
      <c r="BA508" s="39"/>
      <c r="BB508" s="40" t="str">
        <f aca="false">IF(OR(BA508="",CD508=""),"",BA508/CD508*100)</f>
        <v/>
      </c>
      <c r="BC508" s="41" t="str">
        <f aca="false">IF(BB508="","",IFERROR(MATCH(BB508,INDEX(Boundaries!$B$2:$I$30,MATCH(CR508,Boundaries!$A$2:$A$30,0),0),1)-1,""))</f>
        <v/>
      </c>
      <c r="BD508" s="42" t="str">
        <f aca="false">IF(OR(BC508="",$E508=""),"",BC508-$E508)</f>
        <v/>
      </c>
      <c r="BE508" s="39"/>
      <c r="BF508" s="40" t="str">
        <f aca="false">IF(OR(BE508="",CE508=""),"",BE508/CE508*100)</f>
        <v/>
      </c>
      <c r="BG508" s="41" t="str">
        <f aca="false">IF(BF508="","",IFERROR(MATCH(BF508,INDEX(Boundaries!$B$2:$I$30,MATCH(CS508,Boundaries!$A$2:$A$30,0),0),1)-1,""))</f>
        <v/>
      </c>
      <c r="BH508" s="42" t="str">
        <f aca="false">IF(OR(BG508="",$E508=""),"",BG508-$E508)</f>
        <v/>
      </c>
      <c r="BI508" s="39"/>
      <c r="BJ508" s="40" t="str">
        <f aca="false">IF(OR(BI508="",CF508=""),"",BI508/CF508*100)</f>
        <v/>
      </c>
      <c r="BK508" s="41" t="str">
        <f aca="false">IF(BJ508="","",IFERROR(MATCH(BJ508,INDEX(Boundaries!$B$2:$I$30,MATCH(CT508,Boundaries!$A$2:$A$30,0),0),1)-1,""))</f>
        <v/>
      </c>
      <c r="BL508" s="42" t="str">
        <f aca="false">IF(OR(BK508="",$E508=""),"",BK508-$E508)</f>
        <v/>
      </c>
      <c r="BM508" s="39"/>
      <c r="BN508" s="40" t="str">
        <f aca="false">IF(OR(BM508="",CG508=""),"",BM508/CG508*100)</f>
        <v/>
      </c>
      <c r="BO508" s="41" t="str">
        <f aca="false">IF(BN508="","",IFERROR(MATCH(BN508,INDEX(Boundaries!$B$2:$I$30,MATCH(CU508,Boundaries!$A$2:$A$30,0),0),1)-1,""))</f>
        <v/>
      </c>
      <c r="BP508" s="42" t="str">
        <f aca="false">IF(OR(BO508="",$E508=""),"",BO508-$E508)</f>
        <v/>
      </c>
      <c r="BQ508" s="39"/>
      <c r="BR508" s="40" t="str">
        <f aca="false">IF(OR(BQ508="",CH508=""),"",BQ508/CH508*100)</f>
        <v/>
      </c>
      <c r="BS508" s="41" t="str">
        <f aca="false">IF(BR508="","",IFERROR(MATCH(BR508,INDEX(Boundaries!$B$2:$I$30,MATCH(CV508,Boundaries!$A$2:$A$30,0),0),1)-1,""))</f>
        <v/>
      </c>
      <c r="BT508" s="42" t="str">
        <f aca="false">IF(OR(BS508="",$E508=""),"",BS508-$E508)</f>
        <v/>
      </c>
      <c r="BU508" s="28" t="str">
        <f aca="false">IFERROR(INDEX(Assessments!$H$2:$H$600,MATCH($H508&amp;"|"&amp;$I508&amp;"|"&amp;$J508&amp;"|"&amp;1,Assessments!$A$2:$A$600,0)),"")</f>
        <v/>
      </c>
      <c r="BV508" s="28" t="str">
        <f aca="false">IFERROR(INDEX(Assessments!$H$2:$H$600,MATCH($H508&amp;"|"&amp;$I508&amp;"|"&amp;$J508&amp;"|"&amp;2,Assessments!$A$2:$A$600,0)),"")</f>
        <v/>
      </c>
      <c r="BW508" s="28" t="str">
        <f aca="false">IFERROR(INDEX(Assessments!$H$2:$H$600,MATCH($H508&amp;"|"&amp;$I508&amp;"|"&amp;$J508&amp;"|"&amp;3,Assessments!$A$2:$A$600,0)),"")</f>
        <v/>
      </c>
      <c r="BX508" s="28" t="str">
        <f aca="false">IFERROR(INDEX(Assessments!$H$2:$H$600,MATCH($H508&amp;"|"&amp;$I508&amp;"|"&amp;$J508&amp;"|"&amp;4,Assessments!$A$2:$A$600,0)),"")</f>
        <v/>
      </c>
      <c r="BY508" s="28" t="str">
        <f aca="false">IFERROR(INDEX(Assessments!$H$2:$H$600,MATCH($H508&amp;"|"&amp;$I508&amp;"|"&amp;$J508&amp;"|"&amp;5,Assessments!$A$2:$A$600,0)),"")</f>
        <v/>
      </c>
      <c r="BZ508" s="28" t="str">
        <f aca="false">IFERROR(INDEX(Assessments!$H$2:$H$600,MATCH($H508&amp;"|"&amp;$I508&amp;"|"&amp;$J508&amp;"|"&amp;6,Assessments!$A$2:$A$600,0)),"")</f>
        <v/>
      </c>
      <c r="CA508" s="28" t="str">
        <f aca="false">IFERROR(INDEX(Assessments!$H$2:$H$600,MATCH($H508&amp;"|"&amp;$I508&amp;"|"&amp;$J508&amp;"|"&amp;7,Assessments!$A$2:$A$600,0)),"")</f>
        <v/>
      </c>
      <c r="CB508" s="28" t="str">
        <f aca="false">IFERROR(INDEX(Assessments!$H$2:$H$600,MATCH($H508&amp;"|"&amp;$I508&amp;"|"&amp;$J508&amp;"|"&amp;8,Assessments!$A$2:$A$600,0)),"")</f>
        <v/>
      </c>
      <c r="CC508" s="28" t="str">
        <f aca="false">IFERROR(INDEX(Assessments!$H$2:$H$600,MATCH($H508&amp;"|"&amp;$I508&amp;"|"&amp;$J508&amp;"|"&amp;9,Assessments!$A$2:$A$600,0)),"")</f>
        <v/>
      </c>
      <c r="CD508" s="28" t="str">
        <f aca="false">IFERROR(INDEX(Assessments!$H$2:$H$600,MATCH($H508&amp;"|"&amp;$I508&amp;"|"&amp;$J508&amp;"|"&amp;10,Assessments!$A$2:$A$600,0)),"")</f>
        <v/>
      </c>
      <c r="CE508" s="28" t="str">
        <f aca="false">IFERROR(INDEX(Assessments!$H$2:$H$600,MATCH($H508&amp;"|"&amp;$I508&amp;"|"&amp;$J508&amp;"|"&amp;11,Assessments!$A$2:$A$600,0)),"")</f>
        <v/>
      </c>
      <c r="CF508" s="28" t="str">
        <f aca="false">IFERROR(INDEX(Assessments!$H$2:$H$600,MATCH($H508&amp;"|"&amp;$I508&amp;"|"&amp;$J508&amp;"|"&amp;12,Assessments!$A$2:$A$600,0)),"")</f>
        <v/>
      </c>
      <c r="CG508" s="28" t="str">
        <f aca="false">IFERROR(INDEX(Assessments!$H$2:$H$600,MATCH($H508&amp;"|"&amp;$I508&amp;"|"&amp;$J508&amp;"|"&amp;13,Assessments!$A$2:$A$600,0)),"")</f>
        <v/>
      </c>
      <c r="CH508" s="28" t="str">
        <f aca="false">IFERROR(INDEX(Assessments!$H$2:$H$600,MATCH($H508&amp;"|"&amp;$I508&amp;"|"&amp;$J508&amp;"|"&amp;14,Assessments!$A$2:$A$600,0)),"")</f>
        <v/>
      </c>
      <c r="CI508" s="28" t="str">
        <f aca="false">IFERROR(INDEX(Assessments!$I$2:$I$600,MATCH($H508&amp;"|"&amp;$I508&amp;"|"&amp;$J508&amp;"|"&amp;1,Assessments!$A$2:$A$600,0)),"")</f>
        <v/>
      </c>
      <c r="CJ508" s="28" t="str">
        <f aca="false">IFERROR(INDEX(Assessments!$I$2:$I$600,MATCH($H508&amp;"|"&amp;$I508&amp;"|"&amp;$J508&amp;"|"&amp;2,Assessments!$A$2:$A$600,0)),"")</f>
        <v/>
      </c>
      <c r="CK508" s="28" t="str">
        <f aca="false">IFERROR(INDEX(Assessments!$I$2:$I$600,MATCH($H508&amp;"|"&amp;$I508&amp;"|"&amp;$J508&amp;"|"&amp;3,Assessments!$A$2:$A$600,0)),"")</f>
        <v/>
      </c>
      <c r="CL508" s="28" t="str">
        <f aca="false">IFERROR(INDEX(Assessments!$I$2:$I$600,MATCH($H508&amp;"|"&amp;$I508&amp;"|"&amp;$J508&amp;"|"&amp;4,Assessments!$A$2:$A$600,0)),"")</f>
        <v/>
      </c>
      <c r="CM508" s="28" t="str">
        <f aca="false">IFERROR(INDEX(Assessments!$I$2:$I$600,MATCH($H508&amp;"|"&amp;$I508&amp;"|"&amp;$J508&amp;"|"&amp;5,Assessments!$A$2:$A$600,0)),"")</f>
        <v/>
      </c>
      <c r="CN508" s="28" t="str">
        <f aca="false">IFERROR(INDEX(Assessments!$I$2:$I$600,MATCH($H508&amp;"|"&amp;$I508&amp;"|"&amp;$J508&amp;"|"&amp;6,Assessments!$A$2:$A$600,0)),"")</f>
        <v/>
      </c>
      <c r="CO508" s="28" t="str">
        <f aca="false">IFERROR(INDEX(Assessments!$I$2:$I$600,MATCH($H508&amp;"|"&amp;$I508&amp;"|"&amp;$J508&amp;"|"&amp;7,Assessments!$A$2:$A$600,0)),"")</f>
        <v/>
      </c>
      <c r="CP508" s="28" t="str">
        <f aca="false">IFERROR(INDEX(Assessments!$I$2:$I$600,MATCH($H508&amp;"|"&amp;$I508&amp;"|"&amp;$J508&amp;"|"&amp;8,Assessments!$A$2:$A$600,0)),"")</f>
        <v/>
      </c>
      <c r="CQ508" s="28" t="str">
        <f aca="false">IFERROR(INDEX(Assessments!$I$2:$I$600,MATCH($H508&amp;"|"&amp;$I508&amp;"|"&amp;$J508&amp;"|"&amp;9,Assessments!$A$2:$A$600,0)),"")</f>
        <v/>
      </c>
      <c r="CR508" s="28" t="str">
        <f aca="false">IFERROR(INDEX(Assessments!$I$2:$I$600,MATCH($H508&amp;"|"&amp;$I508&amp;"|"&amp;$J508&amp;"|"&amp;10,Assessments!$A$2:$A$600,0)),"")</f>
        <v/>
      </c>
      <c r="CS508" s="28" t="str">
        <f aca="false">IFERROR(INDEX(Assessments!$I$2:$I$600,MATCH($H508&amp;"|"&amp;$I508&amp;"|"&amp;$J508&amp;"|"&amp;11,Assessments!$A$2:$A$600,0)),"")</f>
        <v/>
      </c>
      <c r="CT508" s="28" t="str">
        <f aca="false">IFERROR(INDEX(Assessments!$I$2:$I$600,MATCH($H508&amp;"|"&amp;$I508&amp;"|"&amp;$J508&amp;"|"&amp;12,Assessments!$A$2:$A$600,0)),"")</f>
        <v/>
      </c>
      <c r="CU508" s="28" t="str">
        <f aca="false">IFERROR(INDEX(Assessments!$I$2:$I$600,MATCH($H508&amp;"|"&amp;$I508&amp;"|"&amp;$J508&amp;"|"&amp;13,Assessments!$A$2:$A$600,0)),"")</f>
        <v/>
      </c>
      <c r="CV508" s="28" t="str">
        <f aca="false">IFERROR(INDEX(Assessments!$I$2:$I$600,MATCH($H508&amp;"|"&amp;$I508&amp;"|"&amp;$J508&amp;"|"&amp;14,Assessments!$A$2:$A$600,0)),"")</f>
        <v/>
      </c>
      <c r="CW508" s="28" t="n">
        <f aca="false">IFERROR(INDEX(Assessments!$J$2:$J$600,MATCH($H508&amp;"|"&amp;$I508&amp;"|"&amp;$J508&amp;"|"&amp;1,Assessments!$A$2:$A$600,0)),0)</f>
        <v>0</v>
      </c>
      <c r="CX508" s="28" t="n">
        <f aca="false">IFERROR(INDEX(Assessments!$J$2:$J$600,MATCH($H508&amp;"|"&amp;$I508&amp;"|"&amp;$J508&amp;"|"&amp;2,Assessments!$A$2:$A$600,0)),0)</f>
        <v>0</v>
      </c>
      <c r="CY508" s="28" t="n">
        <f aca="false">IFERROR(INDEX(Assessments!$J$2:$J$600,MATCH($H508&amp;"|"&amp;$I508&amp;"|"&amp;$J508&amp;"|"&amp;3,Assessments!$A$2:$A$600,0)),0)</f>
        <v>0</v>
      </c>
      <c r="CZ508" s="28" t="n">
        <f aca="false">IFERROR(INDEX(Assessments!$J$2:$J$600,MATCH($H508&amp;"|"&amp;$I508&amp;"|"&amp;$J508&amp;"|"&amp;4,Assessments!$A$2:$A$600,0)),0)</f>
        <v>0</v>
      </c>
      <c r="DA508" s="28" t="n">
        <f aca="false">IFERROR(INDEX(Assessments!$J$2:$J$600,MATCH($H508&amp;"|"&amp;$I508&amp;"|"&amp;$J508&amp;"|"&amp;5,Assessments!$A$2:$A$600,0)),0)</f>
        <v>0</v>
      </c>
      <c r="DB508" s="28" t="n">
        <f aca="false">IFERROR(INDEX(Assessments!$J$2:$J$600,MATCH($H508&amp;"|"&amp;$I508&amp;"|"&amp;$J508&amp;"|"&amp;6,Assessments!$A$2:$A$600,0)),0)</f>
        <v>0</v>
      </c>
      <c r="DC508" s="28" t="n">
        <f aca="false">IFERROR(INDEX(Assessments!$J$2:$J$600,MATCH($H508&amp;"|"&amp;$I508&amp;"|"&amp;$J508&amp;"|"&amp;7,Assessments!$A$2:$A$600,0)),0)</f>
        <v>0</v>
      </c>
      <c r="DD508" s="28" t="n">
        <f aca="false">IFERROR(INDEX(Assessments!$J$2:$J$600,MATCH($H508&amp;"|"&amp;$I508&amp;"|"&amp;$J508&amp;"|"&amp;8,Assessments!$A$2:$A$600,0)),0)</f>
        <v>0</v>
      </c>
      <c r="DE508" s="28" t="n">
        <f aca="false">IFERROR(INDEX(Assessments!$J$2:$J$600,MATCH($H508&amp;"|"&amp;$I508&amp;"|"&amp;$J508&amp;"|"&amp;9,Assessments!$A$2:$A$600,0)),0)</f>
        <v>0</v>
      </c>
      <c r="DF508" s="28" t="n">
        <f aca="false">IFERROR(INDEX(Assessments!$J$2:$J$600,MATCH($H508&amp;"|"&amp;$I508&amp;"|"&amp;$J508&amp;"|"&amp;10,Assessments!$A$2:$A$600,0)),0)</f>
        <v>0</v>
      </c>
      <c r="DG508" s="28" t="n">
        <f aca="false">IFERROR(INDEX(Assessments!$J$2:$J$600,MATCH($H508&amp;"|"&amp;$I508&amp;"|"&amp;$J508&amp;"|"&amp;11,Assessments!$A$2:$A$600,0)),0)</f>
        <v>0</v>
      </c>
      <c r="DH508" s="28" t="n">
        <f aca="false">IFERROR(INDEX(Assessments!$J$2:$J$600,MATCH($H508&amp;"|"&amp;$I508&amp;"|"&amp;$J508&amp;"|"&amp;12,Assessments!$A$2:$A$600,0)),0)</f>
        <v>0</v>
      </c>
      <c r="DI508" s="28" t="n">
        <f aca="false">IFERROR(INDEX(Assessments!$J$2:$J$600,MATCH($H508&amp;"|"&amp;$I508&amp;"|"&amp;$J508&amp;"|"&amp;13,Assessments!$A$2:$A$600,0)),0)</f>
        <v>0</v>
      </c>
      <c r="DJ508" s="28" t="n">
        <f aca="false">IFERROR(INDEX(Assessments!$J$2:$J$600,MATCH($H508&amp;"|"&amp;$I508&amp;"|"&amp;$J508&amp;"|"&amp;14,Assessments!$A$2:$A$600,0)),0)</f>
        <v>0</v>
      </c>
      <c r="DK508" s="28" t="str">
        <f aca="false">S508</f>
        <v/>
      </c>
      <c r="DL508" s="28" t="str">
        <f aca="false">W508</f>
        <v/>
      </c>
      <c r="DM508" s="28" t="str">
        <f aca="false">AA508</f>
        <v/>
      </c>
      <c r="DN508" s="28" t="str">
        <f aca="false">AE508</f>
        <v/>
      </c>
      <c r="DO508" s="28" t="str">
        <f aca="false">AI508</f>
        <v/>
      </c>
      <c r="DP508" s="28" t="str">
        <f aca="false">AM508</f>
        <v/>
      </c>
      <c r="DQ508" s="28" t="str">
        <f aca="false">AQ508</f>
        <v/>
      </c>
      <c r="DR508" s="28" t="str">
        <f aca="false">AU508</f>
        <v/>
      </c>
      <c r="DS508" s="28" t="str">
        <f aca="false">AY508</f>
        <v/>
      </c>
      <c r="DT508" s="28" t="str">
        <f aca="false">BC508</f>
        <v/>
      </c>
      <c r="DU508" s="28" t="str">
        <f aca="false">BG508</f>
        <v/>
      </c>
      <c r="DV508" s="28" t="str">
        <f aca="false">BK508</f>
        <v/>
      </c>
      <c r="DW508" s="28" t="str">
        <f aca="false">BO508</f>
        <v/>
      </c>
      <c r="DX508" s="28" t="str">
        <f aca="false">BS508</f>
        <v/>
      </c>
      <c r="DY508" s="28" t="str">
        <f aca="false">IF(ISNUMBER(S508),1,"")</f>
        <v/>
      </c>
      <c r="DZ508" s="28" t="str">
        <f aca="false">IF(ISNUMBER(W508),2,"")</f>
        <v/>
      </c>
      <c r="EA508" s="28" t="str">
        <f aca="false">IF(ISNUMBER(AA508),3,"")</f>
        <v/>
      </c>
      <c r="EB508" s="28" t="str">
        <f aca="false">IF(ISNUMBER(AE508),4,"")</f>
        <v/>
      </c>
      <c r="EC508" s="28" t="str">
        <f aca="false">IF(ISNUMBER(AI508),5,"")</f>
        <v/>
      </c>
      <c r="ED508" s="28" t="str">
        <f aca="false">IF(ISNUMBER(AM508),6,"")</f>
        <v/>
      </c>
      <c r="EE508" s="28" t="str">
        <f aca="false">IF(ISNUMBER(AQ508),7,"")</f>
        <v/>
      </c>
      <c r="EF508" s="28" t="str">
        <f aca="false">IF(ISNUMBER(AU508),8,"")</f>
        <v/>
      </c>
      <c r="EG508" s="28" t="str">
        <f aca="false">IF(ISNUMBER(AY508),9,"")</f>
        <v/>
      </c>
      <c r="EH508" s="28" t="str">
        <f aca="false">IF(ISNUMBER(BC508),10,"")</f>
        <v/>
      </c>
      <c r="EI508" s="28" t="str">
        <f aca="false">IF(ISNUMBER(BG508),11,"")</f>
        <v/>
      </c>
      <c r="EJ508" s="28" t="str">
        <f aca="false">IF(ISNUMBER(BK508),12,"")</f>
        <v/>
      </c>
      <c r="EK508" s="28" t="str">
        <f aca="false">IF(ISNUMBER(BO508),13,"")</f>
        <v/>
      </c>
      <c r="EL508" s="28" t="str">
        <f aca="false">IF(ISNUMBER(BS508),14,"")</f>
        <v/>
      </c>
      <c r="EM508" s="28" t="n">
        <f aca="false">IF(ISNUMBER(R508),R508*CW508,0)</f>
        <v>0</v>
      </c>
      <c r="EN508" s="28" t="n">
        <f aca="false">IF(ISNUMBER(V508),V508*CX508,0)</f>
        <v>0</v>
      </c>
      <c r="EO508" s="28" t="n">
        <f aca="false">IF(ISNUMBER(Z508),Z508*CY508,0)</f>
        <v>0</v>
      </c>
      <c r="EP508" s="28" t="n">
        <f aca="false">IF(ISNUMBER(AD508),AD508*CZ508,0)</f>
        <v>0</v>
      </c>
      <c r="EQ508" s="28" t="n">
        <f aca="false">IF(ISNUMBER(AH508),AH508*DA508,0)</f>
        <v>0</v>
      </c>
      <c r="ER508" s="28" t="n">
        <f aca="false">IF(ISNUMBER(AL508),AL508*DB508,0)</f>
        <v>0</v>
      </c>
      <c r="ES508" s="28" t="n">
        <f aca="false">IF(ISNUMBER(AP508),AP508*DC508,0)</f>
        <v>0</v>
      </c>
      <c r="ET508" s="28" t="n">
        <f aca="false">IF(ISNUMBER(AT508),AT508*DD508,0)</f>
        <v>0</v>
      </c>
      <c r="EU508" s="28" t="n">
        <f aca="false">IF(ISNUMBER(AX508),AX508*DE508,0)</f>
        <v>0</v>
      </c>
      <c r="EV508" s="28" t="n">
        <f aca="false">IF(ISNUMBER(BB508),BB508*DF508,0)</f>
        <v>0</v>
      </c>
      <c r="EW508" s="28" t="n">
        <f aca="false">IF(ISNUMBER(BF508),BF508*DG508,0)</f>
        <v>0</v>
      </c>
      <c r="EX508" s="28" t="n">
        <f aca="false">IF(ISNUMBER(BJ508),BJ508*DH508,0)</f>
        <v>0</v>
      </c>
      <c r="EY508" s="28" t="n">
        <f aca="false">IF(ISNUMBER(BN508),BN508*DI508,0)</f>
        <v>0</v>
      </c>
      <c r="EZ508" s="28" t="n">
        <f aca="false">IF(ISNUMBER(BR508),BR508*DJ508,0)</f>
        <v>0</v>
      </c>
      <c r="FA508" s="28" t="n">
        <f aca="false">IF(ISNUMBER(R508),CW508,0)</f>
        <v>0</v>
      </c>
      <c r="FB508" s="28" t="n">
        <f aca="false">IF(ISNUMBER(V508),CX508,0)</f>
        <v>0</v>
      </c>
      <c r="FC508" s="28" t="n">
        <f aca="false">IF(ISNUMBER(Z508),CY508,0)</f>
        <v>0</v>
      </c>
      <c r="FD508" s="28" t="n">
        <f aca="false">IF(ISNUMBER(AD508),CZ508,0)</f>
        <v>0</v>
      </c>
      <c r="FE508" s="28" t="n">
        <f aca="false">IF(ISNUMBER(AH508),DA508,0)</f>
        <v>0</v>
      </c>
      <c r="FF508" s="28" t="n">
        <f aca="false">IF(ISNUMBER(AL508),DB508,0)</f>
        <v>0</v>
      </c>
      <c r="FG508" s="28" t="n">
        <f aca="false">IF(ISNUMBER(AP508),DC508,0)</f>
        <v>0</v>
      </c>
      <c r="FH508" s="28" t="n">
        <f aca="false">IF(ISNUMBER(AT508),DD508,0)</f>
        <v>0</v>
      </c>
      <c r="FI508" s="28" t="n">
        <f aca="false">IF(ISNUMBER(AX508),DE508,0)</f>
        <v>0</v>
      </c>
      <c r="FJ508" s="28" t="n">
        <f aca="false">IF(ISNUMBER(BB508),DF508,0)</f>
        <v>0</v>
      </c>
      <c r="FK508" s="28" t="n">
        <f aca="false">IF(ISNUMBER(BF508),DG508,0)</f>
        <v>0</v>
      </c>
      <c r="FL508" s="28" t="n">
        <f aca="false">IF(ISNUMBER(BJ508),DH508,0)</f>
        <v>0</v>
      </c>
      <c r="FM508" s="28" t="n">
        <f aca="false">IF(ISNUMBER(BN508),DI508,0)</f>
        <v>0</v>
      </c>
      <c r="FN508" s="28" t="n">
        <f aca="false">IF(ISNUMBER(BR508),DJ508,0)</f>
        <v>0</v>
      </c>
      <c r="FO508" s="28" t="str">
        <f aca="false">IFERROR(INDEX(Lists!$G$2:$G$20,MATCH($I508&amp;"|"&amp;$J508,Lists!$F$2:$F$20,0)),"")</f>
        <v/>
      </c>
    </row>
    <row r="509" customFormat="false" ht="19.5" hidden="false" customHeight="true" outlineLevel="0" collapsed="false">
      <c r="A509" s="29"/>
      <c r="B509" s="29"/>
      <c r="C509" s="30"/>
      <c r="D509" s="30"/>
      <c r="E509" s="31"/>
      <c r="F509" s="30"/>
      <c r="G509" s="30"/>
      <c r="H509" s="32"/>
      <c r="I509" s="33"/>
      <c r="J509" s="32"/>
      <c r="K509" s="34" t="str">
        <f aca="false">IF(OR(M509="",$E509=""),"",M509-$E509)</f>
        <v/>
      </c>
      <c r="L509" s="35" t="str">
        <f aca="false">IF(SUM(FA509:FN509)=0,"",SUM(EM509:EZ509)/SUM(FA509:FN509))</f>
        <v/>
      </c>
      <c r="M509" s="36" t="str">
        <f aca="false">IF(OR(L509="",FO509=""),"",IFERROR(MATCH(L509,INDEX(Boundaries!$B$2:$I$30,MATCH(FO509,Boundaries!$A$2:$A$30,0),0),1)-1,""))</f>
        <v/>
      </c>
      <c r="N509" s="37" t="str">
        <f aca="false">IF(COUNT($DY509:$EL509)&lt;2,"",INDEX($DK509:$DX509,MAX($DY509:$EL509))-INDEX($DK509:$DX509,MIN($DY509:$EL509)))</f>
        <v/>
      </c>
      <c r="O509" s="37" t="str">
        <f aca="false">IF(COUNT($DY509:$EL509)&lt;2,"",INDEX($DK509:$DX509,MAX($DY509:$EL509))-INDEX($DK509:$DX509,LARGE($DY509:$EL509,2)))</f>
        <v/>
      </c>
      <c r="P509" s="38" t="str">
        <f aca="false">IF(K509="","",IF(K509&gt;=0,"On/above target",IF(AND(N509&lt;&gt;"",N509&gt;=0.5),"Improving towards target",IF(AND(O509&lt;&gt;"",O509&lt;=-0.5),"Declining","Stable below target"))))</f>
        <v/>
      </c>
      <c r="Q509" s="39"/>
      <c r="R509" s="40" t="str">
        <f aca="false">IF(OR(Q509="",BU509=""),"",Q509/BU509*100)</f>
        <v/>
      </c>
      <c r="S509" s="41" t="str">
        <f aca="false">IF(R509="","",IFERROR(MATCH(R509,INDEX(Boundaries!$B$2:$I$30,MATCH(CI509,Boundaries!$A$2:$A$30,0),0),1)-1,""))</f>
        <v/>
      </c>
      <c r="T509" s="42" t="str">
        <f aca="false">IF(OR(S509="",$E509=""),"",S509-$E509)</f>
        <v/>
      </c>
      <c r="U509" s="39"/>
      <c r="V509" s="40" t="str">
        <f aca="false">IF(OR(U509="",BV509=""),"",U509/BV509*100)</f>
        <v/>
      </c>
      <c r="W509" s="41" t="str">
        <f aca="false">IF(V509="","",IFERROR(MATCH(V509,INDEX(Boundaries!$B$2:$I$30,MATCH(CJ509,Boundaries!$A$2:$A$30,0),0),1)-1,""))</f>
        <v/>
      </c>
      <c r="X509" s="42" t="str">
        <f aca="false">IF(OR(W509="",$E509=""),"",W509-$E509)</f>
        <v/>
      </c>
      <c r="Y509" s="39"/>
      <c r="Z509" s="40" t="str">
        <f aca="false">IF(OR(Y509="",BW509=""),"",Y509/BW509*100)</f>
        <v/>
      </c>
      <c r="AA509" s="41" t="str">
        <f aca="false">IF(Z509="","",IFERROR(MATCH(Z509,INDEX(Boundaries!$B$2:$I$30,MATCH(CK509,Boundaries!$A$2:$A$30,0),0),1)-1,""))</f>
        <v/>
      </c>
      <c r="AB509" s="42" t="str">
        <f aca="false">IF(OR(AA509="",$E509=""),"",AA509-$E509)</f>
        <v/>
      </c>
      <c r="AC509" s="39"/>
      <c r="AD509" s="40" t="str">
        <f aca="false">IF(OR(AC509="",BX509=""),"",AC509/BX509*100)</f>
        <v/>
      </c>
      <c r="AE509" s="41" t="str">
        <f aca="false">IF(AD509="","",IFERROR(MATCH(AD509,INDEX(Boundaries!$B$2:$I$30,MATCH(CL509,Boundaries!$A$2:$A$30,0),0),1)-1,""))</f>
        <v/>
      </c>
      <c r="AF509" s="42" t="str">
        <f aca="false">IF(OR(AE509="",$E509=""),"",AE509-$E509)</f>
        <v/>
      </c>
      <c r="AG509" s="39"/>
      <c r="AH509" s="40" t="str">
        <f aca="false">IF(OR(AG509="",BY509=""),"",AG509/BY509*100)</f>
        <v/>
      </c>
      <c r="AI509" s="41" t="str">
        <f aca="false">IF(AH509="","",IFERROR(MATCH(AH509,INDEX(Boundaries!$B$2:$I$30,MATCH(CM509,Boundaries!$A$2:$A$30,0),0),1)-1,""))</f>
        <v/>
      </c>
      <c r="AJ509" s="42" t="str">
        <f aca="false">IF(OR(AI509="",$E509=""),"",AI509-$E509)</f>
        <v/>
      </c>
      <c r="AK509" s="39"/>
      <c r="AL509" s="40" t="str">
        <f aca="false">IF(OR(AK509="",BZ509=""),"",AK509/BZ509*100)</f>
        <v/>
      </c>
      <c r="AM509" s="41" t="str">
        <f aca="false">IF(AL509="","",IFERROR(MATCH(AL509,INDEX(Boundaries!$B$2:$I$30,MATCH(CN509,Boundaries!$A$2:$A$30,0),0),1)-1,""))</f>
        <v/>
      </c>
      <c r="AN509" s="42" t="str">
        <f aca="false">IF(OR(AM509="",$E509=""),"",AM509-$E509)</f>
        <v/>
      </c>
      <c r="AO509" s="39"/>
      <c r="AP509" s="40" t="str">
        <f aca="false">IF(OR(AO509="",CA509=""),"",AO509/CA509*100)</f>
        <v/>
      </c>
      <c r="AQ509" s="41" t="str">
        <f aca="false">IF(AP509="","",IFERROR(MATCH(AP509,INDEX(Boundaries!$B$2:$I$30,MATCH(CO509,Boundaries!$A$2:$A$30,0),0),1)-1,""))</f>
        <v/>
      </c>
      <c r="AR509" s="42" t="str">
        <f aca="false">IF(OR(AQ509="",$E509=""),"",AQ509-$E509)</f>
        <v/>
      </c>
      <c r="AS509" s="39"/>
      <c r="AT509" s="40" t="str">
        <f aca="false">IF(OR(AS509="",CB509=""),"",AS509/CB509*100)</f>
        <v/>
      </c>
      <c r="AU509" s="41" t="str">
        <f aca="false">IF(AT509="","",IFERROR(MATCH(AT509,INDEX(Boundaries!$B$2:$I$30,MATCH(CP509,Boundaries!$A$2:$A$30,0),0),1)-1,""))</f>
        <v/>
      </c>
      <c r="AV509" s="42" t="str">
        <f aca="false">IF(OR(AU509="",$E509=""),"",AU509-$E509)</f>
        <v/>
      </c>
      <c r="AW509" s="39"/>
      <c r="AX509" s="40" t="str">
        <f aca="false">IF(OR(AW509="",CC509=""),"",AW509/CC509*100)</f>
        <v/>
      </c>
      <c r="AY509" s="41" t="str">
        <f aca="false">IF(AX509="","",IFERROR(MATCH(AX509,INDEX(Boundaries!$B$2:$I$30,MATCH(CQ509,Boundaries!$A$2:$A$30,0),0),1)-1,""))</f>
        <v/>
      </c>
      <c r="AZ509" s="42" t="str">
        <f aca="false">IF(OR(AY509="",$E509=""),"",AY509-$E509)</f>
        <v/>
      </c>
      <c r="BA509" s="39"/>
      <c r="BB509" s="40" t="str">
        <f aca="false">IF(OR(BA509="",CD509=""),"",BA509/CD509*100)</f>
        <v/>
      </c>
      <c r="BC509" s="41" t="str">
        <f aca="false">IF(BB509="","",IFERROR(MATCH(BB509,INDEX(Boundaries!$B$2:$I$30,MATCH(CR509,Boundaries!$A$2:$A$30,0),0),1)-1,""))</f>
        <v/>
      </c>
      <c r="BD509" s="42" t="str">
        <f aca="false">IF(OR(BC509="",$E509=""),"",BC509-$E509)</f>
        <v/>
      </c>
      <c r="BE509" s="39"/>
      <c r="BF509" s="40" t="str">
        <f aca="false">IF(OR(BE509="",CE509=""),"",BE509/CE509*100)</f>
        <v/>
      </c>
      <c r="BG509" s="41" t="str">
        <f aca="false">IF(BF509="","",IFERROR(MATCH(BF509,INDEX(Boundaries!$B$2:$I$30,MATCH(CS509,Boundaries!$A$2:$A$30,0),0),1)-1,""))</f>
        <v/>
      </c>
      <c r="BH509" s="42" t="str">
        <f aca="false">IF(OR(BG509="",$E509=""),"",BG509-$E509)</f>
        <v/>
      </c>
      <c r="BI509" s="39"/>
      <c r="BJ509" s="40" t="str">
        <f aca="false">IF(OR(BI509="",CF509=""),"",BI509/CF509*100)</f>
        <v/>
      </c>
      <c r="BK509" s="41" t="str">
        <f aca="false">IF(BJ509="","",IFERROR(MATCH(BJ509,INDEX(Boundaries!$B$2:$I$30,MATCH(CT509,Boundaries!$A$2:$A$30,0),0),1)-1,""))</f>
        <v/>
      </c>
      <c r="BL509" s="42" t="str">
        <f aca="false">IF(OR(BK509="",$E509=""),"",BK509-$E509)</f>
        <v/>
      </c>
      <c r="BM509" s="39"/>
      <c r="BN509" s="40" t="str">
        <f aca="false">IF(OR(BM509="",CG509=""),"",BM509/CG509*100)</f>
        <v/>
      </c>
      <c r="BO509" s="41" t="str">
        <f aca="false">IF(BN509="","",IFERROR(MATCH(BN509,INDEX(Boundaries!$B$2:$I$30,MATCH(CU509,Boundaries!$A$2:$A$30,0),0),1)-1,""))</f>
        <v/>
      </c>
      <c r="BP509" s="42" t="str">
        <f aca="false">IF(OR(BO509="",$E509=""),"",BO509-$E509)</f>
        <v/>
      </c>
      <c r="BQ509" s="39"/>
      <c r="BR509" s="40" t="str">
        <f aca="false">IF(OR(BQ509="",CH509=""),"",BQ509/CH509*100)</f>
        <v/>
      </c>
      <c r="BS509" s="41" t="str">
        <f aca="false">IF(BR509="","",IFERROR(MATCH(BR509,INDEX(Boundaries!$B$2:$I$30,MATCH(CV509,Boundaries!$A$2:$A$30,0),0),1)-1,""))</f>
        <v/>
      </c>
      <c r="BT509" s="42" t="str">
        <f aca="false">IF(OR(BS509="",$E509=""),"",BS509-$E509)</f>
        <v/>
      </c>
      <c r="BU509" s="28" t="str">
        <f aca="false">IFERROR(INDEX(Assessments!$H$2:$H$600,MATCH($H509&amp;"|"&amp;$I509&amp;"|"&amp;$J509&amp;"|"&amp;1,Assessments!$A$2:$A$600,0)),"")</f>
        <v/>
      </c>
      <c r="BV509" s="28" t="str">
        <f aca="false">IFERROR(INDEX(Assessments!$H$2:$H$600,MATCH($H509&amp;"|"&amp;$I509&amp;"|"&amp;$J509&amp;"|"&amp;2,Assessments!$A$2:$A$600,0)),"")</f>
        <v/>
      </c>
      <c r="BW509" s="28" t="str">
        <f aca="false">IFERROR(INDEX(Assessments!$H$2:$H$600,MATCH($H509&amp;"|"&amp;$I509&amp;"|"&amp;$J509&amp;"|"&amp;3,Assessments!$A$2:$A$600,0)),"")</f>
        <v/>
      </c>
      <c r="BX509" s="28" t="str">
        <f aca="false">IFERROR(INDEX(Assessments!$H$2:$H$600,MATCH($H509&amp;"|"&amp;$I509&amp;"|"&amp;$J509&amp;"|"&amp;4,Assessments!$A$2:$A$600,0)),"")</f>
        <v/>
      </c>
      <c r="BY509" s="28" t="str">
        <f aca="false">IFERROR(INDEX(Assessments!$H$2:$H$600,MATCH($H509&amp;"|"&amp;$I509&amp;"|"&amp;$J509&amp;"|"&amp;5,Assessments!$A$2:$A$600,0)),"")</f>
        <v/>
      </c>
      <c r="BZ509" s="28" t="str">
        <f aca="false">IFERROR(INDEX(Assessments!$H$2:$H$600,MATCH($H509&amp;"|"&amp;$I509&amp;"|"&amp;$J509&amp;"|"&amp;6,Assessments!$A$2:$A$600,0)),"")</f>
        <v/>
      </c>
      <c r="CA509" s="28" t="str">
        <f aca="false">IFERROR(INDEX(Assessments!$H$2:$H$600,MATCH($H509&amp;"|"&amp;$I509&amp;"|"&amp;$J509&amp;"|"&amp;7,Assessments!$A$2:$A$600,0)),"")</f>
        <v/>
      </c>
      <c r="CB509" s="28" t="str">
        <f aca="false">IFERROR(INDEX(Assessments!$H$2:$H$600,MATCH($H509&amp;"|"&amp;$I509&amp;"|"&amp;$J509&amp;"|"&amp;8,Assessments!$A$2:$A$600,0)),"")</f>
        <v/>
      </c>
      <c r="CC509" s="28" t="str">
        <f aca="false">IFERROR(INDEX(Assessments!$H$2:$H$600,MATCH($H509&amp;"|"&amp;$I509&amp;"|"&amp;$J509&amp;"|"&amp;9,Assessments!$A$2:$A$600,0)),"")</f>
        <v/>
      </c>
      <c r="CD509" s="28" t="str">
        <f aca="false">IFERROR(INDEX(Assessments!$H$2:$H$600,MATCH($H509&amp;"|"&amp;$I509&amp;"|"&amp;$J509&amp;"|"&amp;10,Assessments!$A$2:$A$600,0)),"")</f>
        <v/>
      </c>
      <c r="CE509" s="28" t="str">
        <f aca="false">IFERROR(INDEX(Assessments!$H$2:$H$600,MATCH($H509&amp;"|"&amp;$I509&amp;"|"&amp;$J509&amp;"|"&amp;11,Assessments!$A$2:$A$600,0)),"")</f>
        <v/>
      </c>
      <c r="CF509" s="28" t="str">
        <f aca="false">IFERROR(INDEX(Assessments!$H$2:$H$600,MATCH($H509&amp;"|"&amp;$I509&amp;"|"&amp;$J509&amp;"|"&amp;12,Assessments!$A$2:$A$600,0)),"")</f>
        <v/>
      </c>
      <c r="CG509" s="28" t="str">
        <f aca="false">IFERROR(INDEX(Assessments!$H$2:$H$600,MATCH($H509&amp;"|"&amp;$I509&amp;"|"&amp;$J509&amp;"|"&amp;13,Assessments!$A$2:$A$600,0)),"")</f>
        <v/>
      </c>
      <c r="CH509" s="28" t="str">
        <f aca="false">IFERROR(INDEX(Assessments!$H$2:$H$600,MATCH($H509&amp;"|"&amp;$I509&amp;"|"&amp;$J509&amp;"|"&amp;14,Assessments!$A$2:$A$600,0)),"")</f>
        <v/>
      </c>
      <c r="CI509" s="28" t="str">
        <f aca="false">IFERROR(INDEX(Assessments!$I$2:$I$600,MATCH($H509&amp;"|"&amp;$I509&amp;"|"&amp;$J509&amp;"|"&amp;1,Assessments!$A$2:$A$600,0)),"")</f>
        <v/>
      </c>
      <c r="CJ509" s="28" t="str">
        <f aca="false">IFERROR(INDEX(Assessments!$I$2:$I$600,MATCH($H509&amp;"|"&amp;$I509&amp;"|"&amp;$J509&amp;"|"&amp;2,Assessments!$A$2:$A$600,0)),"")</f>
        <v/>
      </c>
      <c r="CK509" s="28" t="str">
        <f aca="false">IFERROR(INDEX(Assessments!$I$2:$I$600,MATCH($H509&amp;"|"&amp;$I509&amp;"|"&amp;$J509&amp;"|"&amp;3,Assessments!$A$2:$A$600,0)),"")</f>
        <v/>
      </c>
      <c r="CL509" s="28" t="str">
        <f aca="false">IFERROR(INDEX(Assessments!$I$2:$I$600,MATCH($H509&amp;"|"&amp;$I509&amp;"|"&amp;$J509&amp;"|"&amp;4,Assessments!$A$2:$A$600,0)),"")</f>
        <v/>
      </c>
      <c r="CM509" s="28" t="str">
        <f aca="false">IFERROR(INDEX(Assessments!$I$2:$I$600,MATCH($H509&amp;"|"&amp;$I509&amp;"|"&amp;$J509&amp;"|"&amp;5,Assessments!$A$2:$A$600,0)),"")</f>
        <v/>
      </c>
      <c r="CN509" s="28" t="str">
        <f aca="false">IFERROR(INDEX(Assessments!$I$2:$I$600,MATCH($H509&amp;"|"&amp;$I509&amp;"|"&amp;$J509&amp;"|"&amp;6,Assessments!$A$2:$A$600,0)),"")</f>
        <v/>
      </c>
      <c r="CO509" s="28" t="str">
        <f aca="false">IFERROR(INDEX(Assessments!$I$2:$I$600,MATCH($H509&amp;"|"&amp;$I509&amp;"|"&amp;$J509&amp;"|"&amp;7,Assessments!$A$2:$A$600,0)),"")</f>
        <v/>
      </c>
      <c r="CP509" s="28" t="str">
        <f aca="false">IFERROR(INDEX(Assessments!$I$2:$I$600,MATCH($H509&amp;"|"&amp;$I509&amp;"|"&amp;$J509&amp;"|"&amp;8,Assessments!$A$2:$A$600,0)),"")</f>
        <v/>
      </c>
      <c r="CQ509" s="28" t="str">
        <f aca="false">IFERROR(INDEX(Assessments!$I$2:$I$600,MATCH($H509&amp;"|"&amp;$I509&amp;"|"&amp;$J509&amp;"|"&amp;9,Assessments!$A$2:$A$600,0)),"")</f>
        <v/>
      </c>
      <c r="CR509" s="28" t="str">
        <f aca="false">IFERROR(INDEX(Assessments!$I$2:$I$600,MATCH($H509&amp;"|"&amp;$I509&amp;"|"&amp;$J509&amp;"|"&amp;10,Assessments!$A$2:$A$600,0)),"")</f>
        <v/>
      </c>
      <c r="CS509" s="28" t="str">
        <f aca="false">IFERROR(INDEX(Assessments!$I$2:$I$600,MATCH($H509&amp;"|"&amp;$I509&amp;"|"&amp;$J509&amp;"|"&amp;11,Assessments!$A$2:$A$600,0)),"")</f>
        <v/>
      </c>
      <c r="CT509" s="28" t="str">
        <f aca="false">IFERROR(INDEX(Assessments!$I$2:$I$600,MATCH($H509&amp;"|"&amp;$I509&amp;"|"&amp;$J509&amp;"|"&amp;12,Assessments!$A$2:$A$600,0)),"")</f>
        <v/>
      </c>
      <c r="CU509" s="28" t="str">
        <f aca="false">IFERROR(INDEX(Assessments!$I$2:$I$600,MATCH($H509&amp;"|"&amp;$I509&amp;"|"&amp;$J509&amp;"|"&amp;13,Assessments!$A$2:$A$600,0)),"")</f>
        <v/>
      </c>
      <c r="CV509" s="28" t="str">
        <f aca="false">IFERROR(INDEX(Assessments!$I$2:$I$600,MATCH($H509&amp;"|"&amp;$I509&amp;"|"&amp;$J509&amp;"|"&amp;14,Assessments!$A$2:$A$600,0)),"")</f>
        <v/>
      </c>
      <c r="CW509" s="28" t="n">
        <f aca="false">IFERROR(INDEX(Assessments!$J$2:$J$600,MATCH($H509&amp;"|"&amp;$I509&amp;"|"&amp;$J509&amp;"|"&amp;1,Assessments!$A$2:$A$600,0)),0)</f>
        <v>0</v>
      </c>
      <c r="CX509" s="28" t="n">
        <f aca="false">IFERROR(INDEX(Assessments!$J$2:$J$600,MATCH($H509&amp;"|"&amp;$I509&amp;"|"&amp;$J509&amp;"|"&amp;2,Assessments!$A$2:$A$600,0)),0)</f>
        <v>0</v>
      </c>
      <c r="CY509" s="28" t="n">
        <f aca="false">IFERROR(INDEX(Assessments!$J$2:$J$600,MATCH($H509&amp;"|"&amp;$I509&amp;"|"&amp;$J509&amp;"|"&amp;3,Assessments!$A$2:$A$600,0)),0)</f>
        <v>0</v>
      </c>
      <c r="CZ509" s="28" t="n">
        <f aca="false">IFERROR(INDEX(Assessments!$J$2:$J$600,MATCH($H509&amp;"|"&amp;$I509&amp;"|"&amp;$J509&amp;"|"&amp;4,Assessments!$A$2:$A$600,0)),0)</f>
        <v>0</v>
      </c>
      <c r="DA509" s="28" t="n">
        <f aca="false">IFERROR(INDEX(Assessments!$J$2:$J$600,MATCH($H509&amp;"|"&amp;$I509&amp;"|"&amp;$J509&amp;"|"&amp;5,Assessments!$A$2:$A$600,0)),0)</f>
        <v>0</v>
      </c>
      <c r="DB509" s="28" t="n">
        <f aca="false">IFERROR(INDEX(Assessments!$J$2:$J$600,MATCH($H509&amp;"|"&amp;$I509&amp;"|"&amp;$J509&amp;"|"&amp;6,Assessments!$A$2:$A$600,0)),0)</f>
        <v>0</v>
      </c>
      <c r="DC509" s="28" t="n">
        <f aca="false">IFERROR(INDEX(Assessments!$J$2:$J$600,MATCH($H509&amp;"|"&amp;$I509&amp;"|"&amp;$J509&amp;"|"&amp;7,Assessments!$A$2:$A$600,0)),0)</f>
        <v>0</v>
      </c>
      <c r="DD509" s="28" t="n">
        <f aca="false">IFERROR(INDEX(Assessments!$J$2:$J$600,MATCH($H509&amp;"|"&amp;$I509&amp;"|"&amp;$J509&amp;"|"&amp;8,Assessments!$A$2:$A$600,0)),0)</f>
        <v>0</v>
      </c>
      <c r="DE509" s="28" t="n">
        <f aca="false">IFERROR(INDEX(Assessments!$J$2:$J$600,MATCH($H509&amp;"|"&amp;$I509&amp;"|"&amp;$J509&amp;"|"&amp;9,Assessments!$A$2:$A$600,0)),0)</f>
        <v>0</v>
      </c>
      <c r="DF509" s="28" t="n">
        <f aca="false">IFERROR(INDEX(Assessments!$J$2:$J$600,MATCH($H509&amp;"|"&amp;$I509&amp;"|"&amp;$J509&amp;"|"&amp;10,Assessments!$A$2:$A$600,0)),0)</f>
        <v>0</v>
      </c>
      <c r="DG509" s="28" t="n">
        <f aca="false">IFERROR(INDEX(Assessments!$J$2:$J$600,MATCH($H509&amp;"|"&amp;$I509&amp;"|"&amp;$J509&amp;"|"&amp;11,Assessments!$A$2:$A$600,0)),0)</f>
        <v>0</v>
      </c>
      <c r="DH509" s="28" t="n">
        <f aca="false">IFERROR(INDEX(Assessments!$J$2:$J$600,MATCH($H509&amp;"|"&amp;$I509&amp;"|"&amp;$J509&amp;"|"&amp;12,Assessments!$A$2:$A$600,0)),0)</f>
        <v>0</v>
      </c>
      <c r="DI509" s="28" t="n">
        <f aca="false">IFERROR(INDEX(Assessments!$J$2:$J$600,MATCH($H509&amp;"|"&amp;$I509&amp;"|"&amp;$J509&amp;"|"&amp;13,Assessments!$A$2:$A$600,0)),0)</f>
        <v>0</v>
      </c>
      <c r="DJ509" s="28" t="n">
        <f aca="false">IFERROR(INDEX(Assessments!$J$2:$J$600,MATCH($H509&amp;"|"&amp;$I509&amp;"|"&amp;$J509&amp;"|"&amp;14,Assessments!$A$2:$A$600,0)),0)</f>
        <v>0</v>
      </c>
      <c r="DK509" s="28" t="str">
        <f aca="false">S509</f>
        <v/>
      </c>
      <c r="DL509" s="28" t="str">
        <f aca="false">W509</f>
        <v/>
      </c>
      <c r="DM509" s="28" t="str">
        <f aca="false">AA509</f>
        <v/>
      </c>
      <c r="DN509" s="28" t="str">
        <f aca="false">AE509</f>
        <v/>
      </c>
      <c r="DO509" s="28" t="str">
        <f aca="false">AI509</f>
        <v/>
      </c>
      <c r="DP509" s="28" t="str">
        <f aca="false">AM509</f>
        <v/>
      </c>
      <c r="DQ509" s="28" t="str">
        <f aca="false">AQ509</f>
        <v/>
      </c>
      <c r="DR509" s="28" t="str">
        <f aca="false">AU509</f>
        <v/>
      </c>
      <c r="DS509" s="28" t="str">
        <f aca="false">AY509</f>
        <v/>
      </c>
      <c r="DT509" s="28" t="str">
        <f aca="false">BC509</f>
        <v/>
      </c>
      <c r="DU509" s="28" t="str">
        <f aca="false">BG509</f>
        <v/>
      </c>
      <c r="DV509" s="28" t="str">
        <f aca="false">BK509</f>
        <v/>
      </c>
      <c r="DW509" s="28" t="str">
        <f aca="false">BO509</f>
        <v/>
      </c>
      <c r="DX509" s="28" t="str">
        <f aca="false">BS509</f>
        <v/>
      </c>
      <c r="DY509" s="28" t="str">
        <f aca="false">IF(ISNUMBER(S509),1,"")</f>
        <v/>
      </c>
      <c r="DZ509" s="28" t="str">
        <f aca="false">IF(ISNUMBER(W509),2,"")</f>
        <v/>
      </c>
      <c r="EA509" s="28" t="str">
        <f aca="false">IF(ISNUMBER(AA509),3,"")</f>
        <v/>
      </c>
      <c r="EB509" s="28" t="str">
        <f aca="false">IF(ISNUMBER(AE509),4,"")</f>
        <v/>
      </c>
      <c r="EC509" s="28" t="str">
        <f aca="false">IF(ISNUMBER(AI509),5,"")</f>
        <v/>
      </c>
      <c r="ED509" s="28" t="str">
        <f aca="false">IF(ISNUMBER(AM509),6,"")</f>
        <v/>
      </c>
      <c r="EE509" s="28" t="str">
        <f aca="false">IF(ISNUMBER(AQ509),7,"")</f>
        <v/>
      </c>
      <c r="EF509" s="28" t="str">
        <f aca="false">IF(ISNUMBER(AU509),8,"")</f>
        <v/>
      </c>
      <c r="EG509" s="28" t="str">
        <f aca="false">IF(ISNUMBER(AY509),9,"")</f>
        <v/>
      </c>
      <c r="EH509" s="28" t="str">
        <f aca="false">IF(ISNUMBER(BC509),10,"")</f>
        <v/>
      </c>
      <c r="EI509" s="28" t="str">
        <f aca="false">IF(ISNUMBER(BG509),11,"")</f>
        <v/>
      </c>
      <c r="EJ509" s="28" t="str">
        <f aca="false">IF(ISNUMBER(BK509),12,"")</f>
        <v/>
      </c>
      <c r="EK509" s="28" t="str">
        <f aca="false">IF(ISNUMBER(BO509),13,"")</f>
        <v/>
      </c>
      <c r="EL509" s="28" t="str">
        <f aca="false">IF(ISNUMBER(BS509),14,"")</f>
        <v/>
      </c>
      <c r="EM509" s="28" t="n">
        <f aca="false">IF(ISNUMBER(R509),R509*CW509,0)</f>
        <v>0</v>
      </c>
      <c r="EN509" s="28" t="n">
        <f aca="false">IF(ISNUMBER(V509),V509*CX509,0)</f>
        <v>0</v>
      </c>
      <c r="EO509" s="28" t="n">
        <f aca="false">IF(ISNUMBER(Z509),Z509*CY509,0)</f>
        <v>0</v>
      </c>
      <c r="EP509" s="28" t="n">
        <f aca="false">IF(ISNUMBER(AD509),AD509*CZ509,0)</f>
        <v>0</v>
      </c>
      <c r="EQ509" s="28" t="n">
        <f aca="false">IF(ISNUMBER(AH509),AH509*DA509,0)</f>
        <v>0</v>
      </c>
      <c r="ER509" s="28" t="n">
        <f aca="false">IF(ISNUMBER(AL509),AL509*DB509,0)</f>
        <v>0</v>
      </c>
      <c r="ES509" s="28" t="n">
        <f aca="false">IF(ISNUMBER(AP509),AP509*DC509,0)</f>
        <v>0</v>
      </c>
      <c r="ET509" s="28" t="n">
        <f aca="false">IF(ISNUMBER(AT509),AT509*DD509,0)</f>
        <v>0</v>
      </c>
      <c r="EU509" s="28" t="n">
        <f aca="false">IF(ISNUMBER(AX509),AX509*DE509,0)</f>
        <v>0</v>
      </c>
      <c r="EV509" s="28" t="n">
        <f aca="false">IF(ISNUMBER(BB509),BB509*DF509,0)</f>
        <v>0</v>
      </c>
      <c r="EW509" s="28" t="n">
        <f aca="false">IF(ISNUMBER(BF509),BF509*DG509,0)</f>
        <v>0</v>
      </c>
      <c r="EX509" s="28" t="n">
        <f aca="false">IF(ISNUMBER(BJ509),BJ509*DH509,0)</f>
        <v>0</v>
      </c>
      <c r="EY509" s="28" t="n">
        <f aca="false">IF(ISNUMBER(BN509),BN509*DI509,0)</f>
        <v>0</v>
      </c>
      <c r="EZ509" s="28" t="n">
        <f aca="false">IF(ISNUMBER(BR509),BR509*DJ509,0)</f>
        <v>0</v>
      </c>
      <c r="FA509" s="28" t="n">
        <f aca="false">IF(ISNUMBER(R509),CW509,0)</f>
        <v>0</v>
      </c>
      <c r="FB509" s="28" t="n">
        <f aca="false">IF(ISNUMBER(V509),CX509,0)</f>
        <v>0</v>
      </c>
      <c r="FC509" s="28" t="n">
        <f aca="false">IF(ISNUMBER(Z509),CY509,0)</f>
        <v>0</v>
      </c>
      <c r="FD509" s="28" t="n">
        <f aca="false">IF(ISNUMBER(AD509),CZ509,0)</f>
        <v>0</v>
      </c>
      <c r="FE509" s="28" t="n">
        <f aca="false">IF(ISNUMBER(AH509),DA509,0)</f>
        <v>0</v>
      </c>
      <c r="FF509" s="28" t="n">
        <f aca="false">IF(ISNUMBER(AL509),DB509,0)</f>
        <v>0</v>
      </c>
      <c r="FG509" s="28" t="n">
        <f aca="false">IF(ISNUMBER(AP509),DC509,0)</f>
        <v>0</v>
      </c>
      <c r="FH509" s="28" t="n">
        <f aca="false">IF(ISNUMBER(AT509),DD509,0)</f>
        <v>0</v>
      </c>
      <c r="FI509" s="28" t="n">
        <f aca="false">IF(ISNUMBER(AX509),DE509,0)</f>
        <v>0</v>
      </c>
      <c r="FJ509" s="28" t="n">
        <f aca="false">IF(ISNUMBER(BB509),DF509,0)</f>
        <v>0</v>
      </c>
      <c r="FK509" s="28" t="n">
        <f aca="false">IF(ISNUMBER(BF509),DG509,0)</f>
        <v>0</v>
      </c>
      <c r="FL509" s="28" t="n">
        <f aca="false">IF(ISNUMBER(BJ509),DH509,0)</f>
        <v>0</v>
      </c>
      <c r="FM509" s="28" t="n">
        <f aca="false">IF(ISNUMBER(BN509),DI509,0)</f>
        <v>0</v>
      </c>
      <c r="FN509" s="28" t="n">
        <f aca="false">IF(ISNUMBER(BR509),DJ509,0)</f>
        <v>0</v>
      </c>
      <c r="FO509" s="28" t="str">
        <f aca="false">IFERROR(INDEX(Lists!$G$2:$G$20,MATCH($I509&amp;"|"&amp;$J509,Lists!$F$2:$F$20,0)),"")</f>
        <v/>
      </c>
    </row>
    <row r="510" customFormat="false" ht="19.5" hidden="false" customHeight="true" outlineLevel="0" collapsed="false">
      <c r="A510" s="29"/>
      <c r="B510" s="29"/>
      <c r="C510" s="30"/>
      <c r="D510" s="30"/>
      <c r="E510" s="31"/>
      <c r="F510" s="30"/>
      <c r="G510" s="30"/>
      <c r="H510" s="32"/>
      <c r="I510" s="33"/>
      <c r="J510" s="32"/>
      <c r="K510" s="34" t="str">
        <f aca="false">IF(OR(M510="",$E510=""),"",M510-$E510)</f>
        <v/>
      </c>
      <c r="L510" s="35" t="str">
        <f aca="false">IF(SUM(FA510:FN510)=0,"",SUM(EM510:EZ510)/SUM(FA510:FN510))</f>
        <v/>
      </c>
      <c r="M510" s="36" t="str">
        <f aca="false">IF(OR(L510="",FO510=""),"",IFERROR(MATCH(L510,INDEX(Boundaries!$B$2:$I$30,MATCH(FO510,Boundaries!$A$2:$A$30,0),0),1)-1,""))</f>
        <v/>
      </c>
      <c r="N510" s="37" t="str">
        <f aca="false">IF(COUNT($DY510:$EL510)&lt;2,"",INDEX($DK510:$DX510,MAX($DY510:$EL510))-INDEX($DK510:$DX510,MIN($DY510:$EL510)))</f>
        <v/>
      </c>
      <c r="O510" s="37" t="str">
        <f aca="false">IF(COUNT($DY510:$EL510)&lt;2,"",INDEX($DK510:$DX510,MAX($DY510:$EL510))-INDEX($DK510:$DX510,LARGE($DY510:$EL510,2)))</f>
        <v/>
      </c>
      <c r="P510" s="38" t="str">
        <f aca="false">IF(K510="","",IF(K510&gt;=0,"On/above target",IF(AND(N510&lt;&gt;"",N510&gt;=0.5),"Improving towards target",IF(AND(O510&lt;&gt;"",O510&lt;=-0.5),"Declining","Stable below target"))))</f>
        <v/>
      </c>
      <c r="Q510" s="39"/>
      <c r="R510" s="40" t="str">
        <f aca="false">IF(OR(Q510="",BU510=""),"",Q510/BU510*100)</f>
        <v/>
      </c>
      <c r="S510" s="41" t="str">
        <f aca="false">IF(R510="","",IFERROR(MATCH(R510,INDEX(Boundaries!$B$2:$I$30,MATCH(CI510,Boundaries!$A$2:$A$30,0),0),1)-1,""))</f>
        <v/>
      </c>
      <c r="T510" s="42" t="str">
        <f aca="false">IF(OR(S510="",$E510=""),"",S510-$E510)</f>
        <v/>
      </c>
      <c r="U510" s="39"/>
      <c r="V510" s="40" t="str">
        <f aca="false">IF(OR(U510="",BV510=""),"",U510/BV510*100)</f>
        <v/>
      </c>
      <c r="W510" s="41" t="str">
        <f aca="false">IF(V510="","",IFERROR(MATCH(V510,INDEX(Boundaries!$B$2:$I$30,MATCH(CJ510,Boundaries!$A$2:$A$30,0),0),1)-1,""))</f>
        <v/>
      </c>
      <c r="X510" s="42" t="str">
        <f aca="false">IF(OR(W510="",$E510=""),"",W510-$E510)</f>
        <v/>
      </c>
      <c r="Y510" s="39"/>
      <c r="Z510" s="40" t="str">
        <f aca="false">IF(OR(Y510="",BW510=""),"",Y510/BW510*100)</f>
        <v/>
      </c>
      <c r="AA510" s="41" t="str">
        <f aca="false">IF(Z510="","",IFERROR(MATCH(Z510,INDEX(Boundaries!$B$2:$I$30,MATCH(CK510,Boundaries!$A$2:$A$30,0),0),1)-1,""))</f>
        <v/>
      </c>
      <c r="AB510" s="42" t="str">
        <f aca="false">IF(OR(AA510="",$E510=""),"",AA510-$E510)</f>
        <v/>
      </c>
      <c r="AC510" s="39"/>
      <c r="AD510" s="40" t="str">
        <f aca="false">IF(OR(AC510="",BX510=""),"",AC510/BX510*100)</f>
        <v/>
      </c>
      <c r="AE510" s="41" t="str">
        <f aca="false">IF(AD510="","",IFERROR(MATCH(AD510,INDEX(Boundaries!$B$2:$I$30,MATCH(CL510,Boundaries!$A$2:$A$30,0),0),1)-1,""))</f>
        <v/>
      </c>
      <c r="AF510" s="42" t="str">
        <f aca="false">IF(OR(AE510="",$E510=""),"",AE510-$E510)</f>
        <v/>
      </c>
      <c r="AG510" s="39"/>
      <c r="AH510" s="40" t="str">
        <f aca="false">IF(OR(AG510="",BY510=""),"",AG510/BY510*100)</f>
        <v/>
      </c>
      <c r="AI510" s="41" t="str">
        <f aca="false">IF(AH510="","",IFERROR(MATCH(AH510,INDEX(Boundaries!$B$2:$I$30,MATCH(CM510,Boundaries!$A$2:$A$30,0),0),1)-1,""))</f>
        <v/>
      </c>
      <c r="AJ510" s="42" t="str">
        <f aca="false">IF(OR(AI510="",$E510=""),"",AI510-$E510)</f>
        <v/>
      </c>
      <c r="AK510" s="39"/>
      <c r="AL510" s="40" t="str">
        <f aca="false">IF(OR(AK510="",BZ510=""),"",AK510/BZ510*100)</f>
        <v/>
      </c>
      <c r="AM510" s="41" t="str">
        <f aca="false">IF(AL510="","",IFERROR(MATCH(AL510,INDEX(Boundaries!$B$2:$I$30,MATCH(CN510,Boundaries!$A$2:$A$30,0),0),1)-1,""))</f>
        <v/>
      </c>
      <c r="AN510" s="42" t="str">
        <f aca="false">IF(OR(AM510="",$E510=""),"",AM510-$E510)</f>
        <v/>
      </c>
      <c r="AO510" s="39"/>
      <c r="AP510" s="40" t="str">
        <f aca="false">IF(OR(AO510="",CA510=""),"",AO510/CA510*100)</f>
        <v/>
      </c>
      <c r="AQ510" s="41" t="str">
        <f aca="false">IF(AP510="","",IFERROR(MATCH(AP510,INDEX(Boundaries!$B$2:$I$30,MATCH(CO510,Boundaries!$A$2:$A$30,0),0),1)-1,""))</f>
        <v/>
      </c>
      <c r="AR510" s="42" t="str">
        <f aca="false">IF(OR(AQ510="",$E510=""),"",AQ510-$E510)</f>
        <v/>
      </c>
      <c r="AS510" s="39"/>
      <c r="AT510" s="40" t="str">
        <f aca="false">IF(OR(AS510="",CB510=""),"",AS510/CB510*100)</f>
        <v/>
      </c>
      <c r="AU510" s="41" t="str">
        <f aca="false">IF(AT510="","",IFERROR(MATCH(AT510,INDEX(Boundaries!$B$2:$I$30,MATCH(CP510,Boundaries!$A$2:$A$30,0),0),1)-1,""))</f>
        <v/>
      </c>
      <c r="AV510" s="42" t="str">
        <f aca="false">IF(OR(AU510="",$E510=""),"",AU510-$E510)</f>
        <v/>
      </c>
      <c r="AW510" s="39"/>
      <c r="AX510" s="40" t="str">
        <f aca="false">IF(OR(AW510="",CC510=""),"",AW510/CC510*100)</f>
        <v/>
      </c>
      <c r="AY510" s="41" t="str">
        <f aca="false">IF(AX510="","",IFERROR(MATCH(AX510,INDEX(Boundaries!$B$2:$I$30,MATCH(CQ510,Boundaries!$A$2:$A$30,0),0),1)-1,""))</f>
        <v/>
      </c>
      <c r="AZ510" s="42" t="str">
        <f aca="false">IF(OR(AY510="",$E510=""),"",AY510-$E510)</f>
        <v/>
      </c>
      <c r="BA510" s="39"/>
      <c r="BB510" s="40" t="str">
        <f aca="false">IF(OR(BA510="",CD510=""),"",BA510/CD510*100)</f>
        <v/>
      </c>
      <c r="BC510" s="41" t="str">
        <f aca="false">IF(BB510="","",IFERROR(MATCH(BB510,INDEX(Boundaries!$B$2:$I$30,MATCH(CR510,Boundaries!$A$2:$A$30,0),0),1)-1,""))</f>
        <v/>
      </c>
      <c r="BD510" s="42" t="str">
        <f aca="false">IF(OR(BC510="",$E510=""),"",BC510-$E510)</f>
        <v/>
      </c>
      <c r="BE510" s="39"/>
      <c r="BF510" s="40" t="str">
        <f aca="false">IF(OR(BE510="",CE510=""),"",BE510/CE510*100)</f>
        <v/>
      </c>
      <c r="BG510" s="41" t="str">
        <f aca="false">IF(BF510="","",IFERROR(MATCH(BF510,INDEX(Boundaries!$B$2:$I$30,MATCH(CS510,Boundaries!$A$2:$A$30,0),0),1)-1,""))</f>
        <v/>
      </c>
      <c r="BH510" s="42" t="str">
        <f aca="false">IF(OR(BG510="",$E510=""),"",BG510-$E510)</f>
        <v/>
      </c>
      <c r="BI510" s="39"/>
      <c r="BJ510" s="40" t="str">
        <f aca="false">IF(OR(BI510="",CF510=""),"",BI510/CF510*100)</f>
        <v/>
      </c>
      <c r="BK510" s="41" t="str">
        <f aca="false">IF(BJ510="","",IFERROR(MATCH(BJ510,INDEX(Boundaries!$B$2:$I$30,MATCH(CT510,Boundaries!$A$2:$A$30,0),0),1)-1,""))</f>
        <v/>
      </c>
      <c r="BL510" s="42" t="str">
        <f aca="false">IF(OR(BK510="",$E510=""),"",BK510-$E510)</f>
        <v/>
      </c>
      <c r="BM510" s="39"/>
      <c r="BN510" s="40" t="str">
        <f aca="false">IF(OR(BM510="",CG510=""),"",BM510/CG510*100)</f>
        <v/>
      </c>
      <c r="BO510" s="41" t="str">
        <f aca="false">IF(BN510="","",IFERROR(MATCH(BN510,INDEX(Boundaries!$B$2:$I$30,MATCH(CU510,Boundaries!$A$2:$A$30,0),0),1)-1,""))</f>
        <v/>
      </c>
      <c r="BP510" s="42" t="str">
        <f aca="false">IF(OR(BO510="",$E510=""),"",BO510-$E510)</f>
        <v/>
      </c>
      <c r="BQ510" s="39"/>
      <c r="BR510" s="40" t="str">
        <f aca="false">IF(OR(BQ510="",CH510=""),"",BQ510/CH510*100)</f>
        <v/>
      </c>
      <c r="BS510" s="41" t="str">
        <f aca="false">IF(BR510="","",IFERROR(MATCH(BR510,INDEX(Boundaries!$B$2:$I$30,MATCH(CV510,Boundaries!$A$2:$A$30,0),0),1)-1,""))</f>
        <v/>
      </c>
      <c r="BT510" s="42" t="str">
        <f aca="false">IF(OR(BS510="",$E510=""),"",BS510-$E510)</f>
        <v/>
      </c>
      <c r="BU510" s="28" t="str">
        <f aca="false">IFERROR(INDEX(Assessments!$H$2:$H$600,MATCH($H510&amp;"|"&amp;$I510&amp;"|"&amp;$J510&amp;"|"&amp;1,Assessments!$A$2:$A$600,0)),"")</f>
        <v/>
      </c>
      <c r="BV510" s="28" t="str">
        <f aca="false">IFERROR(INDEX(Assessments!$H$2:$H$600,MATCH($H510&amp;"|"&amp;$I510&amp;"|"&amp;$J510&amp;"|"&amp;2,Assessments!$A$2:$A$600,0)),"")</f>
        <v/>
      </c>
      <c r="BW510" s="28" t="str">
        <f aca="false">IFERROR(INDEX(Assessments!$H$2:$H$600,MATCH($H510&amp;"|"&amp;$I510&amp;"|"&amp;$J510&amp;"|"&amp;3,Assessments!$A$2:$A$600,0)),"")</f>
        <v/>
      </c>
      <c r="BX510" s="28" t="str">
        <f aca="false">IFERROR(INDEX(Assessments!$H$2:$H$600,MATCH($H510&amp;"|"&amp;$I510&amp;"|"&amp;$J510&amp;"|"&amp;4,Assessments!$A$2:$A$600,0)),"")</f>
        <v/>
      </c>
      <c r="BY510" s="28" t="str">
        <f aca="false">IFERROR(INDEX(Assessments!$H$2:$H$600,MATCH($H510&amp;"|"&amp;$I510&amp;"|"&amp;$J510&amp;"|"&amp;5,Assessments!$A$2:$A$600,0)),"")</f>
        <v/>
      </c>
      <c r="BZ510" s="28" t="str">
        <f aca="false">IFERROR(INDEX(Assessments!$H$2:$H$600,MATCH($H510&amp;"|"&amp;$I510&amp;"|"&amp;$J510&amp;"|"&amp;6,Assessments!$A$2:$A$600,0)),"")</f>
        <v/>
      </c>
      <c r="CA510" s="28" t="str">
        <f aca="false">IFERROR(INDEX(Assessments!$H$2:$H$600,MATCH($H510&amp;"|"&amp;$I510&amp;"|"&amp;$J510&amp;"|"&amp;7,Assessments!$A$2:$A$600,0)),"")</f>
        <v/>
      </c>
      <c r="CB510" s="28" t="str">
        <f aca="false">IFERROR(INDEX(Assessments!$H$2:$H$600,MATCH($H510&amp;"|"&amp;$I510&amp;"|"&amp;$J510&amp;"|"&amp;8,Assessments!$A$2:$A$600,0)),"")</f>
        <v/>
      </c>
      <c r="CC510" s="28" t="str">
        <f aca="false">IFERROR(INDEX(Assessments!$H$2:$H$600,MATCH($H510&amp;"|"&amp;$I510&amp;"|"&amp;$J510&amp;"|"&amp;9,Assessments!$A$2:$A$600,0)),"")</f>
        <v/>
      </c>
      <c r="CD510" s="28" t="str">
        <f aca="false">IFERROR(INDEX(Assessments!$H$2:$H$600,MATCH($H510&amp;"|"&amp;$I510&amp;"|"&amp;$J510&amp;"|"&amp;10,Assessments!$A$2:$A$600,0)),"")</f>
        <v/>
      </c>
      <c r="CE510" s="28" t="str">
        <f aca="false">IFERROR(INDEX(Assessments!$H$2:$H$600,MATCH($H510&amp;"|"&amp;$I510&amp;"|"&amp;$J510&amp;"|"&amp;11,Assessments!$A$2:$A$600,0)),"")</f>
        <v/>
      </c>
      <c r="CF510" s="28" t="str">
        <f aca="false">IFERROR(INDEX(Assessments!$H$2:$H$600,MATCH($H510&amp;"|"&amp;$I510&amp;"|"&amp;$J510&amp;"|"&amp;12,Assessments!$A$2:$A$600,0)),"")</f>
        <v/>
      </c>
      <c r="CG510" s="28" t="str">
        <f aca="false">IFERROR(INDEX(Assessments!$H$2:$H$600,MATCH($H510&amp;"|"&amp;$I510&amp;"|"&amp;$J510&amp;"|"&amp;13,Assessments!$A$2:$A$600,0)),"")</f>
        <v/>
      </c>
      <c r="CH510" s="28" t="str">
        <f aca="false">IFERROR(INDEX(Assessments!$H$2:$H$600,MATCH($H510&amp;"|"&amp;$I510&amp;"|"&amp;$J510&amp;"|"&amp;14,Assessments!$A$2:$A$600,0)),"")</f>
        <v/>
      </c>
      <c r="CI510" s="28" t="str">
        <f aca="false">IFERROR(INDEX(Assessments!$I$2:$I$600,MATCH($H510&amp;"|"&amp;$I510&amp;"|"&amp;$J510&amp;"|"&amp;1,Assessments!$A$2:$A$600,0)),"")</f>
        <v/>
      </c>
      <c r="CJ510" s="28" t="str">
        <f aca="false">IFERROR(INDEX(Assessments!$I$2:$I$600,MATCH($H510&amp;"|"&amp;$I510&amp;"|"&amp;$J510&amp;"|"&amp;2,Assessments!$A$2:$A$600,0)),"")</f>
        <v/>
      </c>
      <c r="CK510" s="28" t="str">
        <f aca="false">IFERROR(INDEX(Assessments!$I$2:$I$600,MATCH($H510&amp;"|"&amp;$I510&amp;"|"&amp;$J510&amp;"|"&amp;3,Assessments!$A$2:$A$600,0)),"")</f>
        <v/>
      </c>
      <c r="CL510" s="28" t="str">
        <f aca="false">IFERROR(INDEX(Assessments!$I$2:$I$600,MATCH($H510&amp;"|"&amp;$I510&amp;"|"&amp;$J510&amp;"|"&amp;4,Assessments!$A$2:$A$600,0)),"")</f>
        <v/>
      </c>
      <c r="CM510" s="28" t="str">
        <f aca="false">IFERROR(INDEX(Assessments!$I$2:$I$600,MATCH($H510&amp;"|"&amp;$I510&amp;"|"&amp;$J510&amp;"|"&amp;5,Assessments!$A$2:$A$600,0)),"")</f>
        <v/>
      </c>
      <c r="CN510" s="28" t="str">
        <f aca="false">IFERROR(INDEX(Assessments!$I$2:$I$600,MATCH($H510&amp;"|"&amp;$I510&amp;"|"&amp;$J510&amp;"|"&amp;6,Assessments!$A$2:$A$600,0)),"")</f>
        <v/>
      </c>
      <c r="CO510" s="28" t="str">
        <f aca="false">IFERROR(INDEX(Assessments!$I$2:$I$600,MATCH($H510&amp;"|"&amp;$I510&amp;"|"&amp;$J510&amp;"|"&amp;7,Assessments!$A$2:$A$600,0)),"")</f>
        <v/>
      </c>
      <c r="CP510" s="28" t="str">
        <f aca="false">IFERROR(INDEX(Assessments!$I$2:$I$600,MATCH($H510&amp;"|"&amp;$I510&amp;"|"&amp;$J510&amp;"|"&amp;8,Assessments!$A$2:$A$600,0)),"")</f>
        <v/>
      </c>
      <c r="CQ510" s="28" t="str">
        <f aca="false">IFERROR(INDEX(Assessments!$I$2:$I$600,MATCH($H510&amp;"|"&amp;$I510&amp;"|"&amp;$J510&amp;"|"&amp;9,Assessments!$A$2:$A$600,0)),"")</f>
        <v/>
      </c>
      <c r="CR510" s="28" t="str">
        <f aca="false">IFERROR(INDEX(Assessments!$I$2:$I$600,MATCH($H510&amp;"|"&amp;$I510&amp;"|"&amp;$J510&amp;"|"&amp;10,Assessments!$A$2:$A$600,0)),"")</f>
        <v/>
      </c>
      <c r="CS510" s="28" t="str">
        <f aca="false">IFERROR(INDEX(Assessments!$I$2:$I$600,MATCH($H510&amp;"|"&amp;$I510&amp;"|"&amp;$J510&amp;"|"&amp;11,Assessments!$A$2:$A$600,0)),"")</f>
        <v/>
      </c>
      <c r="CT510" s="28" t="str">
        <f aca="false">IFERROR(INDEX(Assessments!$I$2:$I$600,MATCH($H510&amp;"|"&amp;$I510&amp;"|"&amp;$J510&amp;"|"&amp;12,Assessments!$A$2:$A$600,0)),"")</f>
        <v/>
      </c>
      <c r="CU510" s="28" t="str">
        <f aca="false">IFERROR(INDEX(Assessments!$I$2:$I$600,MATCH($H510&amp;"|"&amp;$I510&amp;"|"&amp;$J510&amp;"|"&amp;13,Assessments!$A$2:$A$600,0)),"")</f>
        <v/>
      </c>
      <c r="CV510" s="28" t="str">
        <f aca="false">IFERROR(INDEX(Assessments!$I$2:$I$600,MATCH($H510&amp;"|"&amp;$I510&amp;"|"&amp;$J510&amp;"|"&amp;14,Assessments!$A$2:$A$600,0)),"")</f>
        <v/>
      </c>
      <c r="CW510" s="28" t="n">
        <f aca="false">IFERROR(INDEX(Assessments!$J$2:$J$600,MATCH($H510&amp;"|"&amp;$I510&amp;"|"&amp;$J510&amp;"|"&amp;1,Assessments!$A$2:$A$600,0)),0)</f>
        <v>0</v>
      </c>
      <c r="CX510" s="28" t="n">
        <f aca="false">IFERROR(INDEX(Assessments!$J$2:$J$600,MATCH($H510&amp;"|"&amp;$I510&amp;"|"&amp;$J510&amp;"|"&amp;2,Assessments!$A$2:$A$600,0)),0)</f>
        <v>0</v>
      </c>
      <c r="CY510" s="28" t="n">
        <f aca="false">IFERROR(INDEX(Assessments!$J$2:$J$600,MATCH($H510&amp;"|"&amp;$I510&amp;"|"&amp;$J510&amp;"|"&amp;3,Assessments!$A$2:$A$600,0)),0)</f>
        <v>0</v>
      </c>
      <c r="CZ510" s="28" t="n">
        <f aca="false">IFERROR(INDEX(Assessments!$J$2:$J$600,MATCH($H510&amp;"|"&amp;$I510&amp;"|"&amp;$J510&amp;"|"&amp;4,Assessments!$A$2:$A$600,0)),0)</f>
        <v>0</v>
      </c>
      <c r="DA510" s="28" t="n">
        <f aca="false">IFERROR(INDEX(Assessments!$J$2:$J$600,MATCH($H510&amp;"|"&amp;$I510&amp;"|"&amp;$J510&amp;"|"&amp;5,Assessments!$A$2:$A$600,0)),0)</f>
        <v>0</v>
      </c>
      <c r="DB510" s="28" t="n">
        <f aca="false">IFERROR(INDEX(Assessments!$J$2:$J$600,MATCH($H510&amp;"|"&amp;$I510&amp;"|"&amp;$J510&amp;"|"&amp;6,Assessments!$A$2:$A$600,0)),0)</f>
        <v>0</v>
      </c>
      <c r="DC510" s="28" t="n">
        <f aca="false">IFERROR(INDEX(Assessments!$J$2:$J$600,MATCH($H510&amp;"|"&amp;$I510&amp;"|"&amp;$J510&amp;"|"&amp;7,Assessments!$A$2:$A$600,0)),0)</f>
        <v>0</v>
      </c>
      <c r="DD510" s="28" t="n">
        <f aca="false">IFERROR(INDEX(Assessments!$J$2:$J$600,MATCH($H510&amp;"|"&amp;$I510&amp;"|"&amp;$J510&amp;"|"&amp;8,Assessments!$A$2:$A$600,0)),0)</f>
        <v>0</v>
      </c>
      <c r="DE510" s="28" t="n">
        <f aca="false">IFERROR(INDEX(Assessments!$J$2:$J$600,MATCH($H510&amp;"|"&amp;$I510&amp;"|"&amp;$J510&amp;"|"&amp;9,Assessments!$A$2:$A$600,0)),0)</f>
        <v>0</v>
      </c>
      <c r="DF510" s="28" t="n">
        <f aca="false">IFERROR(INDEX(Assessments!$J$2:$J$600,MATCH($H510&amp;"|"&amp;$I510&amp;"|"&amp;$J510&amp;"|"&amp;10,Assessments!$A$2:$A$600,0)),0)</f>
        <v>0</v>
      </c>
      <c r="DG510" s="28" t="n">
        <f aca="false">IFERROR(INDEX(Assessments!$J$2:$J$600,MATCH($H510&amp;"|"&amp;$I510&amp;"|"&amp;$J510&amp;"|"&amp;11,Assessments!$A$2:$A$600,0)),0)</f>
        <v>0</v>
      </c>
      <c r="DH510" s="28" t="n">
        <f aca="false">IFERROR(INDEX(Assessments!$J$2:$J$600,MATCH($H510&amp;"|"&amp;$I510&amp;"|"&amp;$J510&amp;"|"&amp;12,Assessments!$A$2:$A$600,0)),0)</f>
        <v>0</v>
      </c>
      <c r="DI510" s="28" t="n">
        <f aca="false">IFERROR(INDEX(Assessments!$J$2:$J$600,MATCH($H510&amp;"|"&amp;$I510&amp;"|"&amp;$J510&amp;"|"&amp;13,Assessments!$A$2:$A$600,0)),0)</f>
        <v>0</v>
      </c>
      <c r="DJ510" s="28" t="n">
        <f aca="false">IFERROR(INDEX(Assessments!$J$2:$J$600,MATCH($H510&amp;"|"&amp;$I510&amp;"|"&amp;$J510&amp;"|"&amp;14,Assessments!$A$2:$A$600,0)),0)</f>
        <v>0</v>
      </c>
      <c r="DK510" s="28" t="str">
        <f aca="false">S510</f>
        <v/>
      </c>
      <c r="DL510" s="28" t="str">
        <f aca="false">W510</f>
        <v/>
      </c>
      <c r="DM510" s="28" t="str">
        <f aca="false">AA510</f>
        <v/>
      </c>
      <c r="DN510" s="28" t="str">
        <f aca="false">AE510</f>
        <v/>
      </c>
      <c r="DO510" s="28" t="str">
        <f aca="false">AI510</f>
        <v/>
      </c>
      <c r="DP510" s="28" t="str">
        <f aca="false">AM510</f>
        <v/>
      </c>
      <c r="DQ510" s="28" t="str">
        <f aca="false">AQ510</f>
        <v/>
      </c>
      <c r="DR510" s="28" t="str">
        <f aca="false">AU510</f>
        <v/>
      </c>
      <c r="DS510" s="28" t="str">
        <f aca="false">AY510</f>
        <v/>
      </c>
      <c r="DT510" s="28" t="str">
        <f aca="false">BC510</f>
        <v/>
      </c>
      <c r="DU510" s="28" t="str">
        <f aca="false">BG510</f>
        <v/>
      </c>
      <c r="DV510" s="28" t="str">
        <f aca="false">BK510</f>
        <v/>
      </c>
      <c r="DW510" s="28" t="str">
        <f aca="false">BO510</f>
        <v/>
      </c>
      <c r="DX510" s="28" t="str">
        <f aca="false">BS510</f>
        <v/>
      </c>
      <c r="DY510" s="28" t="str">
        <f aca="false">IF(ISNUMBER(S510),1,"")</f>
        <v/>
      </c>
      <c r="DZ510" s="28" t="str">
        <f aca="false">IF(ISNUMBER(W510),2,"")</f>
        <v/>
      </c>
      <c r="EA510" s="28" t="str">
        <f aca="false">IF(ISNUMBER(AA510),3,"")</f>
        <v/>
      </c>
      <c r="EB510" s="28" t="str">
        <f aca="false">IF(ISNUMBER(AE510),4,"")</f>
        <v/>
      </c>
      <c r="EC510" s="28" t="str">
        <f aca="false">IF(ISNUMBER(AI510),5,"")</f>
        <v/>
      </c>
      <c r="ED510" s="28" t="str">
        <f aca="false">IF(ISNUMBER(AM510),6,"")</f>
        <v/>
      </c>
      <c r="EE510" s="28" t="str">
        <f aca="false">IF(ISNUMBER(AQ510),7,"")</f>
        <v/>
      </c>
      <c r="EF510" s="28" t="str">
        <f aca="false">IF(ISNUMBER(AU510),8,"")</f>
        <v/>
      </c>
      <c r="EG510" s="28" t="str">
        <f aca="false">IF(ISNUMBER(AY510),9,"")</f>
        <v/>
      </c>
      <c r="EH510" s="28" t="str">
        <f aca="false">IF(ISNUMBER(BC510),10,"")</f>
        <v/>
      </c>
      <c r="EI510" s="28" t="str">
        <f aca="false">IF(ISNUMBER(BG510),11,"")</f>
        <v/>
      </c>
      <c r="EJ510" s="28" t="str">
        <f aca="false">IF(ISNUMBER(BK510),12,"")</f>
        <v/>
      </c>
      <c r="EK510" s="28" t="str">
        <f aca="false">IF(ISNUMBER(BO510),13,"")</f>
        <v/>
      </c>
      <c r="EL510" s="28" t="str">
        <f aca="false">IF(ISNUMBER(BS510),14,"")</f>
        <v/>
      </c>
      <c r="EM510" s="28" t="n">
        <f aca="false">IF(ISNUMBER(R510),R510*CW510,0)</f>
        <v>0</v>
      </c>
      <c r="EN510" s="28" t="n">
        <f aca="false">IF(ISNUMBER(V510),V510*CX510,0)</f>
        <v>0</v>
      </c>
      <c r="EO510" s="28" t="n">
        <f aca="false">IF(ISNUMBER(Z510),Z510*CY510,0)</f>
        <v>0</v>
      </c>
      <c r="EP510" s="28" t="n">
        <f aca="false">IF(ISNUMBER(AD510),AD510*CZ510,0)</f>
        <v>0</v>
      </c>
      <c r="EQ510" s="28" t="n">
        <f aca="false">IF(ISNUMBER(AH510),AH510*DA510,0)</f>
        <v>0</v>
      </c>
      <c r="ER510" s="28" t="n">
        <f aca="false">IF(ISNUMBER(AL510),AL510*DB510,0)</f>
        <v>0</v>
      </c>
      <c r="ES510" s="28" t="n">
        <f aca="false">IF(ISNUMBER(AP510),AP510*DC510,0)</f>
        <v>0</v>
      </c>
      <c r="ET510" s="28" t="n">
        <f aca="false">IF(ISNUMBER(AT510),AT510*DD510,0)</f>
        <v>0</v>
      </c>
      <c r="EU510" s="28" t="n">
        <f aca="false">IF(ISNUMBER(AX510),AX510*DE510,0)</f>
        <v>0</v>
      </c>
      <c r="EV510" s="28" t="n">
        <f aca="false">IF(ISNUMBER(BB510),BB510*DF510,0)</f>
        <v>0</v>
      </c>
      <c r="EW510" s="28" t="n">
        <f aca="false">IF(ISNUMBER(BF510),BF510*DG510,0)</f>
        <v>0</v>
      </c>
      <c r="EX510" s="28" t="n">
        <f aca="false">IF(ISNUMBER(BJ510),BJ510*DH510,0)</f>
        <v>0</v>
      </c>
      <c r="EY510" s="28" t="n">
        <f aca="false">IF(ISNUMBER(BN510),BN510*DI510,0)</f>
        <v>0</v>
      </c>
      <c r="EZ510" s="28" t="n">
        <f aca="false">IF(ISNUMBER(BR510),BR510*DJ510,0)</f>
        <v>0</v>
      </c>
      <c r="FA510" s="28" t="n">
        <f aca="false">IF(ISNUMBER(R510),CW510,0)</f>
        <v>0</v>
      </c>
      <c r="FB510" s="28" t="n">
        <f aca="false">IF(ISNUMBER(V510),CX510,0)</f>
        <v>0</v>
      </c>
      <c r="FC510" s="28" t="n">
        <f aca="false">IF(ISNUMBER(Z510),CY510,0)</f>
        <v>0</v>
      </c>
      <c r="FD510" s="28" t="n">
        <f aca="false">IF(ISNUMBER(AD510),CZ510,0)</f>
        <v>0</v>
      </c>
      <c r="FE510" s="28" t="n">
        <f aca="false">IF(ISNUMBER(AH510),DA510,0)</f>
        <v>0</v>
      </c>
      <c r="FF510" s="28" t="n">
        <f aca="false">IF(ISNUMBER(AL510),DB510,0)</f>
        <v>0</v>
      </c>
      <c r="FG510" s="28" t="n">
        <f aca="false">IF(ISNUMBER(AP510),DC510,0)</f>
        <v>0</v>
      </c>
      <c r="FH510" s="28" t="n">
        <f aca="false">IF(ISNUMBER(AT510),DD510,0)</f>
        <v>0</v>
      </c>
      <c r="FI510" s="28" t="n">
        <f aca="false">IF(ISNUMBER(AX510),DE510,0)</f>
        <v>0</v>
      </c>
      <c r="FJ510" s="28" t="n">
        <f aca="false">IF(ISNUMBER(BB510),DF510,0)</f>
        <v>0</v>
      </c>
      <c r="FK510" s="28" t="n">
        <f aca="false">IF(ISNUMBER(BF510),DG510,0)</f>
        <v>0</v>
      </c>
      <c r="FL510" s="28" t="n">
        <f aca="false">IF(ISNUMBER(BJ510),DH510,0)</f>
        <v>0</v>
      </c>
      <c r="FM510" s="28" t="n">
        <f aca="false">IF(ISNUMBER(BN510),DI510,0)</f>
        <v>0</v>
      </c>
      <c r="FN510" s="28" t="n">
        <f aca="false">IF(ISNUMBER(BR510),DJ510,0)</f>
        <v>0</v>
      </c>
      <c r="FO510" s="28" t="str">
        <f aca="false">IFERROR(INDEX(Lists!$G$2:$G$20,MATCH($I510&amp;"|"&amp;$J510,Lists!$F$2:$F$20,0)),"")</f>
        <v/>
      </c>
    </row>
    <row r="511" customFormat="false" ht="19.5" hidden="false" customHeight="true" outlineLevel="0" collapsed="false">
      <c r="A511" s="29"/>
      <c r="B511" s="29"/>
      <c r="C511" s="30"/>
      <c r="D511" s="30"/>
      <c r="E511" s="31"/>
      <c r="F511" s="30"/>
      <c r="G511" s="30"/>
      <c r="H511" s="32"/>
      <c r="I511" s="33"/>
      <c r="J511" s="32"/>
      <c r="K511" s="34" t="str">
        <f aca="false">IF(OR(M511="",$E511=""),"",M511-$E511)</f>
        <v/>
      </c>
      <c r="L511" s="35" t="str">
        <f aca="false">IF(SUM(FA511:FN511)=0,"",SUM(EM511:EZ511)/SUM(FA511:FN511))</f>
        <v/>
      </c>
      <c r="M511" s="36" t="str">
        <f aca="false">IF(OR(L511="",FO511=""),"",IFERROR(MATCH(L511,INDEX(Boundaries!$B$2:$I$30,MATCH(FO511,Boundaries!$A$2:$A$30,0),0),1)-1,""))</f>
        <v/>
      </c>
      <c r="N511" s="37" t="str">
        <f aca="false">IF(COUNT($DY511:$EL511)&lt;2,"",INDEX($DK511:$DX511,MAX($DY511:$EL511))-INDEX($DK511:$DX511,MIN($DY511:$EL511)))</f>
        <v/>
      </c>
      <c r="O511" s="37" t="str">
        <f aca="false">IF(COUNT($DY511:$EL511)&lt;2,"",INDEX($DK511:$DX511,MAX($DY511:$EL511))-INDEX($DK511:$DX511,LARGE($DY511:$EL511,2)))</f>
        <v/>
      </c>
      <c r="P511" s="38" t="str">
        <f aca="false">IF(K511="","",IF(K511&gt;=0,"On/above target",IF(AND(N511&lt;&gt;"",N511&gt;=0.5),"Improving towards target",IF(AND(O511&lt;&gt;"",O511&lt;=-0.5),"Declining","Stable below target"))))</f>
        <v/>
      </c>
      <c r="Q511" s="39"/>
      <c r="R511" s="40" t="str">
        <f aca="false">IF(OR(Q511="",BU511=""),"",Q511/BU511*100)</f>
        <v/>
      </c>
      <c r="S511" s="41" t="str">
        <f aca="false">IF(R511="","",IFERROR(MATCH(R511,INDEX(Boundaries!$B$2:$I$30,MATCH(CI511,Boundaries!$A$2:$A$30,0),0),1)-1,""))</f>
        <v/>
      </c>
      <c r="T511" s="42" t="str">
        <f aca="false">IF(OR(S511="",$E511=""),"",S511-$E511)</f>
        <v/>
      </c>
      <c r="U511" s="39"/>
      <c r="V511" s="40" t="str">
        <f aca="false">IF(OR(U511="",BV511=""),"",U511/BV511*100)</f>
        <v/>
      </c>
      <c r="W511" s="41" t="str">
        <f aca="false">IF(V511="","",IFERROR(MATCH(V511,INDEX(Boundaries!$B$2:$I$30,MATCH(CJ511,Boundaries!$A$2:$A$30,0),0),1)-1,""))</f>
        <v/>
      </c>
      <c r="X511" s="42" t="str">
        <f aca="false">IF(OR(W511="",$E511=""),"",W511-$E511)</f>
        <v/>
      </c>
      <c r="Y511" s="39"/>
      <c r="Z511" s="40" t="str">
        <f aca="false">IF(OR(Y511="",BW511=""),"",Y511/BW511*100)</f>
        <v/>
      </c>
      <c r="AA511" s="41" t="str">
        <f aca="false">IF(Z511="","",IFERROR(MATCH(Z511,INDEX(Boundaries!$B$2:$I$30,MATCH(CK511,Boundaries!$A$2:$A$30,0),0),1)-1,""))</f>
        <v/>
      </c>
      <c r="AB511" s="42" t="str">
        <f aca="false">IF(OR(AA511="",$E511=""),"",AA511-$E511)</f>
        <v/>
      </c>
      <c r="AC511" s="39"/>
      <c r="AD511" s="40" t="str">
        <f aca="false">IF(OR(AC511="",BX511=""),"",AC511/BX511*100)</f>
        <v/>
      </c>
      <c r="AE511" s="41" t="str">
        <f aca="false">IF(AD511="","",IFERROR(MATCH(AD511,INDEX(Boundaries!$B$2:$I$30,MATCH(CL511,Boundaries!$A$2:$A$30,0),0),1)-1,""))</f>
        <v/>
      </c>
      <c r="AF511" s="42" t="str">
        <f aca="false">IF(OR(AE511="",$E511=""),"",AE511-$E511)</f>
        <v/>
      </c>
      <c r="AG511" s="39"/>
      <c r="AH511" s="40" t="str">
        <f aca="false">IF(OR(AG511="",BY511=""),"",AG511/BY511*100)</f>
        <v/>
      </c>
      <c r="AI511" s="41" t="str">
        <f aca="false">IF(AH511="","",IFERROR(MATCH(AH511,INDEX(Boundaries!$B$2:$I$30,MATCH(CM511,Boundaries!$A$2:$A$30,0),0),1)-1,""))</f>
        <v/>
      </c>
      <c r="AJ511" s="42" t="str">
        <f aca="false">IF(OR(AI511="",$E511=""),"",AI511-$E511)</f>
        <v/>
      </c>
      <c r="AK511" s="39"/>
      <c r="AL511" s="40" t="str">
        <f aca="false">IF(OR(AK511="",BZ511=""),"",AK511/BZ511*100)</f>
        <v/>
      </c>
      <c r="AM511" s="41" t="str">
        <f aca="false">IF(AL511="","",IFERROR(MATCH(AL511,INDEX(Boundaries!$B$2:$I$30,MATCH(CN511,Boundaries!$A$2:$A$30,0),0),1)-1,""))</f>
        <v/>
      </c>
      <c r="AN511" s="42" t="str">
        <f aca="false">IF(OR(AM511="",$E511=""),"",AM511-$E511)</f>
        <v/>
      </c>
      <c r="AO511" s="39"/>
      <c r="AP511" s="40" t="str">
        <f aca="false">IF(OR(AO511="",CA511=""),"",AO511/CA511*100)</f>
        <v/>
      </c>
      <c r="AQ511" s="41" t="str">
        <f aca="false">IF(AP511="","",IFERROR(MATCH(AP511,INDEX(Boundaries!$B$2:$I$30,MATCH(CO511,Boundaries!$A$2:$A$30,0),0),1)-1,""))</f>
        <v/>
      </c>
      <c r="AR511" s="42" t="str">
        <f aca="false">IF(OR(AQ511="",$E511=""),"",AQ511-$E511)</f>
        <v/>
      </c>
      <c r="AS511" s="39"/>
      <c r="AT511" s="40" t="str">
        <f aca="false">IF(OR(AS511="",CB511=""),"",AS511/CB511*100)</f>
        <v/>
      </c>
      <c r="AU511" s="41" t="str">
        <f aca="false">IF(AT511="","",IFERROR(MATCH(AT511,INDEX(Boundaries!$B$2:$I$30,MATCH(CP511,Boundaries!$A$2:$A$30,0),0),1)-1,""))</f>
        <v/>
      </c>
      <c r="AV511" s="42" t="str">
        <f aca="false">IF(OR(AU511="",$E511=""),"",AU511-$E511)</f>
        <v/>
      </c>
      <c r="AW511" s="39"/>
      <c r="AX511" s="40" t="str">
        <f aca="false">IF(OR(AW511="",CC511=""),"",AW511/CC511*100)</f>
        <v/>
      </c>
      <c r="AY511" s="41" t="str">
        <f aca="false">IF(AX511="","",IFERROR(MATCH(AX511,INDEX(Boundaries!$B$2:$I$30,MATCH(CQ511,Boundaries!$A$2:$A$30,0),0),1)-1,""))</f>
        <v/>
      </c>
      <c r="AZ511" s="42" t="str">
        <f aca="false">IF(OR(AY511="",$E511=""),"",AY511-$E511)</f>
        <v/>
      </c>
      <c r="BA511" s="39"/>
      <c r="BB511" s="40" t="str">
        <f aca="false">IF(OR(BA511="",CD511=""),"",BA511/CD511*100)</f>
        <v/>
      </c>
      <c r="BC511" s="41" t="str">
        <f aca="false">IF(BB511="","",IFERROR(MATCH(BB511,INDEX(Boundaries!$B$2:$I$30,MATCH(CR511,Boundaries!$A$2:$A$30,0),0),1)-1,""))</f>
        <v/>
      </c>
      <c r="BD511" s="42" t="str">
        <f aca="false">IF(OR(BC511="",$E511=""),"",BC511-$E511)</f>
        <v/>
      </c>
      <c r="BE511" s="39"/>
      <c r="BF511" s="40" t="str">
        <f aca="false">IF(OR(BE511="",CE511=""),"",BE511/CE511*100)</f>
        <v/>
      </c>
      <c r="BG511" s="41" t="str">
        <f aca="false">IF(BF511="","",IFERROR(MATCH(BF511,INDEX(Boundaries!$B$2:$I$30,MATCH(CS511,Boundaries!$A$2:$A$30,0),0),1)-1,""))</f>
        <v/>
      </c>
      <c r="BH511" s="42" t="str">
        <f aca="false">IF(OR(BG511="",$E511=""),"",BG511-$E511)</f>
        <v/>
      </c>
      <c r="BI511" s="39"/>
      <c r="BJ511" s="40" t="str">
        <f aca="false">IF(OR(BI511="",CF511=""),"",BI511/CF511*100)</f>
        <v/>
      </c>
      <c r="BK511" s="41" t="str">
        <f aca="false">IF(BJ511="","",IFERROR(MATCH(BJ511,INDEX(Boundaries!$B$2:$I$30,MATCH(CT511,Boundaries!$A$2:$A$30,0),0),1)-1,""))</f>
        <v/>
      </c>
      <c r="BL511" s="42" t="str">
        <f aca="false">IF(OR(BK511="",$E511=""),"",BK511-$E511)</f>
        <v/>
      </c>
      <c r="BM511" s="39"/>
      <c r="BN511" s="40" t="str">
        <f aca="false">IF(OR(BM511="",CG511=""),"",BM511/CG511*100)</f>
        <v/>
      </c>
      <c r="BO511" s="41" t="str">
        <f aca="false">IF(BN511="","",IFERROR(MATCH(BN511,INDEX(Boundaries!$B$2:$I$30,MATCH(CU511,Boundaries!$A$2:$A$30,0),0),1)-1,""))</f>
        <v/>
      </c>
      <c r="BP511" s="42" t="str">
        <f aca="false">IF(OR(BO511="",$E511=""),"",BO511-$E511)</f>
        <v/>
      </c>
      <c r="BQ511" s="39"/>
      <c r="BR511" s="40" t="str">
        <f aca="false">IF(OR(BQ511="",CH511=""),"",BQ511/CH511*100)</f>
        <v/>
      </c>
      <c r="BS511" s="41" t="str">
        <f aca="false">IF(BR511="","",IFERROR(MATCH(BR511,INDEX(Boundaries!$B$2:$I$30,MATCH(CV511,Boundaries!$A$2:$A$30,0),0),1)-1,""))</f>
        <v/>
      </c>
      <c r="BT511" s="42" t="str">
        <f aca="false">IF(OR(BS511="",$E511=""),"",BS511-$E511)</f>
        <v/>
      </c>
      <c r="BU511" s="28" t="str">
        <f aca="false">IFERROR(INDEX(Assessments!$H$2:$H$600,MATCH($H511&amp;"|"&amp;$I511&amp;"|"&amp;$J511&amp;"|"&amp;1,Assessments!$A$2:$A$600,0)),"")</f>
        <v/>
      </c>
      <c r="BV511" s="28" t="str">
        <f aca="false">IFERROR(INDEX(Assessments!$H$2:$H$600,MATCH($H511&amp;"|"&amp;$I511&amp;"|"&amp;$J511&amp;"|"&amp;2,Assessments!$A$2:$A$600,0)),"")</f>
        <v/>
      </c>
      <c r="BW511" s="28" t="str">
        <f aca="false">IFERROR(INDEX(Assessments!$H$2:$H$600,MATCH($H511&amp;"|"&amp;$I511&amp;"|"&amp;$J511&amp;"|"&amp;3,Assessments!$A$2:$A$600,0)),"")</f>
        <v/>
      </c>
      <c r="BX511" s="28" t="str">
        <f aca="false">IFERROR(INDEX(Assessments!$H$2:$H$600,MATCH($H511&amp;"|"&amp;$I511&amp;"|"&amp;$J511&amp;"|"&amp;4,Assessments!$A$2:$A$600,0)),"")</f>
        <v/>
      </c>
      <c r="BY511" s="28" t="str">
        <f aca="false">IFERROR(INDEX(Assessments!$H$2:$H$600,MATCH($H511&amp;"|"&amp;$I511&amp;"|"&amp;$J511&amp;"|"&amp;5,Assessments!$A$2:$A$600,0)),"")</f>
        <v/>
      </c>
      <c r="BZ511" s="28" t="str">
        <f aca="false">IFERROR(INDEX(Assessments!$H$2:$H$600,MATCH($H511&amp;"|"&amp;$I511&amp;"|"&amp;$J511&amp;"|"&amp;6,Assessments!$A$2:$A$600,0)),"")</f>
        <v/>
      </c>
      <c r="CA511" s="28" t="str">
        <f aca="false">IFERROR(INDEX(Assessments!$H$2:$H$600,MATCH($H511&amp;"|"&amp;$I511&amp;"|"&amp;$J511&amp;"|"&amp;7,Assessments!$A$2:$A$600,0)),"")</f>
        <v/>
      </c>
      <c r="CB511" s="28" t="str">
        <f aca="false">IFERROR(INDEX(Assessments!$H$2:$H$600,MATCH($H511&amp;"|"&amp;$I511&amp;"|"&amp;$J511&amp;"|"&amp;8,Assessments!$A$2:$A$600,0)),"")</f>
        <v/>
      </c>
      <c r="CC511" s="28" t="str">
        <f aca="false">IFERROR(INDEX(Assessments!$H$2:$H$600,MATCH($H511&amp;"|"&amp;$I511&amp;"|"&amp;$J511&amp;"|"&amp;9,Assessments!$A$2:$A$600,0)),"")</f>
        <v/>
      </c>
      <c r="CD511" s="28" t="str">
        <f aca="false">IFERROR(INDEX(Assessments!$H$2:$H$600,MATCH($H511&amp;"|"&amp;$I511&amp;"|"&amp;$J511&amp;"|"&amp;10,Assessments!$A$2:$A$600,0)),"")</f>
        <v/>
      </c>
      <c r="CE511" s="28" t="str">
        <f aca="false">IFERROR(INDEX(Assessments!$H$2:$H$600,MATCH($H511&amp;"|"&amp;$I511&amp;"|"&amp;$J511&amp;"|"&amp;11,Assessments!$A$2:$A$600,0)),"")</f>
        <v/>
      </c>
      <c r="CF511" s="28" t="str">
        <f aca="false">IFERROR(INDEX(Assessments!$H$2:$H$600,MATCH($H511&amp;"|"&amp;$I511&amp;"|"&amp;$J511&amp;"|"&amp;12,Assessments!$A$2:$A$600,0)),"")</f>
        <v/>
      </c>
      <c r="CG511" s="28" t="str">
        <f aca="false">IFERROR(INDEX(Assessments!$H$2:$H$600,MATCH($H511&amp;"|"&amp;$I511&amp;"|"&amp;$J511&amp;"|"&amp;13,Assessments!$A$2:$A$600,0)),"")</f>
        <v/>
      </c>
      <c r="CH511" s="28" t="str">
        <f aca="false">IFERROR(INDEX(Assessments!$H$2:$H$600,MATCH($H511&amp;"|"&amp;$I511&amp;"|"&amp;$J511&amp;"|"&amp;14,Assessments!$A$2:$A$600,0)),"")</f>
        <v/>
      </c>
      <c r="CI511" s="28" t="str">
        <f aca="false">IFERROR(INDEX(Assessments!$I$2:$I$600,MATCH($H511&amp;"|"&amp;$I511&amp;"|"&amp;$J511&amp;"|"&amp;1,Assessments!$A$2:$A$600,0)),"")</f>
        <v/>
      </c>
      <c r="CJ511" s="28" t="str">
        <f aca="false">IFERROR(INDEX(Assessments!$I$2:$I$600,MATCH($H511&amp;"|"&amp;$I511&amp;"|"&amp;$J511&amp;"|"&amp;2,Assessments!$A$2:$A$600,0)),"")</f>
        <v/>
      </c>
      <c r="CK511" s="28" t="str">
        <f aca="false">IFERROR(INDEX(Assessments!$I$2:$I$600,MATCH($H511&amp;"|"&amp;$I511&amp;"|"&amp;$J511&amp;"|"&amp;3,Assessments!$A$2:$A$600,0)),"")</f>
        <v/>
      </c>
      <c r="CL511" s="28" t="str">
        <f aca="false">IFERROR(INDEX(Assessments!$I$2:$I$600,MATCH($H511&amp;"|"&amp;$I511&amp;"|"&amp;$J511&amp;"|"&amp;4,Assessments!$A$2:$A$600,0)),"")</f>
        <v/>
      </c>
      <c r="CM511" s="28" t="str">
        <f aca="false">IFERROR(INDEX(Assessments!$I$2:$I$600,MATCH($H511&amp;"|"&amp;$I511&amp;"|"&amp;$J511&amp;"|"&amp;5,Assessments!$A$2:$A$600,0)),"")</f>
        <v/>
      </c>
      <c r="CN511" s="28" t="str">
        <f aca="false">IFERROR(INDEX(Assessments!$I$2:$I$600,MATCH($H511&amp;"|"&amp;$I511&amp;"|"&amp;$J511&amp;"|"&amp;6,Assessments!$A$2:$A$600,0)),"")</f>
        <v/>
      </c>
      <c r="CO511" s="28" t="str">
        <f aca="false">IFERROR(INDEX(Assessments!$I$2:$I$600,MATCH($H511&amp;"|"&amp;$I511&amp;"|"&amp;$J511&amp;"|"&amp;7,Assessments!$A$2:$A$600,0)),"")</f>
        <v/>
      </c>
      <c r="CP511" s="28" t="str">
        <f aca="false">IFERROR(INDEX(Assessments!$I$2:$I$600,MATCH($H511&amp;"|"&amp;$I511&amp;"|"&amp;$J511&amp;"|"&amp;8,Assessments!$A$2:$A$600,0)),"")</f>
        <v/>
      </c>
      <c r="CQ511" s="28" t="str">
        <f aca="false">IFERROR(INDEX(Assessments!$I$2:$I$600,MATCH($H511&amp;"|"&amp;$I511&amp;"|"&amp;$J511&amp;"|"&amp;9,Assessments!$A$2:$A$600,0)),"")</f>
        <v/>
      </c>
      <c r="CR511" s="28" t="str">
        <f aca="false">IFERROR(INDEX(Assessments!$I$2:$I$600,MATCH($H511&amp;"|"&amp;$I511&amp;"|"&amp;$J511&amp;"|"&amp;10,Assessments!$A$2:$A$600,0)),"")</f>
        <v/>
      </c>
      <c r="CS511" s="28" t="str">
        <f aca="false">IFERROR(INDEX(Assessments!$I$2:$I$600,MATCH($H511&amp;"|"&amp;$I511&amp;"|"&amp;$J511&amp;"|"&amp;11,Assessments!$A$2:$A$600,0)),"")</f>
        <v/>
      </c>
      <c r="CT511" s="28" t="str">
        <f aca="false">IFERROR(INDEX(Assessments!$I$2:$I$600,MATCH($H511&amp;"|"&amp;$I511&amp;"|"&amp;$J511&amp;"|"&amp;12,Assessments!$A$2:$A$600,0)),"")</f>
        <v/>
      </c>
      <c r="CU511" s="28" t="str">
        <f aca="false">IFERROR(INDEX(Assessments!$I$2:$I$600,MATCH($H511&amp;"|"&amp;$I511&amp;"|"&amp;$J511&amp;"|"&amp;13,Assessments!$A$2:$A$600,0)),"")</f>
        <v/>
      </c>
      <c r="CV511" s="28" t="str">
        <f aca="false">IFERROR(INDEX(Assessments!$I$2:$I$600,MATCH($H511&amp;"|"&amp;$I511&amp;"|"&amp;$J511&amp;"|"&amp;14,Assessments!$A$2:$A$600,0)),"")</f>
        <v/>
      </c>
      <c r="CW511" s="28" t="n">
        <f aca="false">IFERROR(INDEX(Assessments!$J$2:$J$600,MATCH($H511&amp;"|"&amp;$I511&amp;"|"&amp;$J511&amp;"|"&amp;1,Assessments!$A$2:$A$600,0)),0)</f>
        <v>0</v>
      </c>
      <c r="CX511" s="28" t="n">
        <f aca="false">IFERROR(INDEX(Assessments!$J$2:$J$600,MATCH($H511&amp;"|"&amp;$I511&amp;"|"&amp;$J511&amp;"|"&amp;2,Assessments!$A$2:$A$600,0)),0)</f>
        <v>0</v>
      </c>
      <c r="CY511" s="28" t="n">
        <f aca="false">IFERROR(INDEX(Assessments!$J$2:$J$600,MATCH($H511&amp;"|"&amp;$I511&amp;"|"&amp;$J511&amp;"|"&amp;3,Assessments!$A$2:$A$600,0)),0)</f>
        <v>0</v>
      </c>
      <c r="CZ511" s="28" t="n">
        <f aca="false">IFERROR(INDEX(Assessments!$J$2:$J$600,MATCH($H511&amp;"|"&amp;$I511&amp;"|"&amp;$J511&amp;"|"&amp;4,Assessments!$A$2:$A$600,0)),0)</f>
        <v>0</v>
      </c>
      <c r="DA511" s="28" t="n">
        <f aca="false">IFERROR(INDEX(Assessments!$J$2:$J$600,MATCH($H511&amp;"|"&amp;$I511&amp;"|"&amp;$J511&amp;"|"&amp;5,Assessments!$A$2:$A$600,0)),0)</f>
        <v>0</v>
      </c>
      <c r="DB511" s="28" t="n">
        <f aca="false">IFERROR(INDEX(Assessments!$J$2:$J$600,MATCH($H511&amp;"|"&amp;$I511&amp;"|"&amp;$J511&amp;"|"&amp;6,Assessments!$A$2:$A$600,0)),0)</f>
        <v>0</v>
      </c>
      <c r="DC511" s="28" t="n">
        <f aca="false">IFERROR(INDEX(Assessments!$J$2:$J$600,MATCH($H511&amp;"|"&amp;$I511&amp;"|"&amp;$J511&amp;"|"&amp;7,Assessments!$A$2:$A$600,0)),0)</f>
        <v>0</v>
      </c>
      <c r="DD511" s="28" t="n">
        <f aca="false">IFERROR(INDEX(Assessments!$J$2:$J$600,MATCH($H511&amp;"|"&amp;$I511&amp;"|"&amp;$J511&amp;"|"&amp;8,Assessments!$A$2:$A$600,0)),0)</f>
        <v>0</v>
      </c>
      <c r="DE511" s="28" t="n">
        <f aca="false">IFERROR(INDEX(Assessments!$J$2:$J$600,MATCH($H511&amp;"|"&amp;$I511&amp;"|"&amp;$J511&amp;"|"&amp;9,Assessments!$A$2:$A$600,0)),0)</f>
        <v>0</v>
      </c>
      <c r="DF511" s="28" t="n">
        <f aca="false">IFERROR(INDEX(Assessments!$J$2:$J$600,MATCH($H511&amp;"|"&amp;$I511&amp;"|"&amp;$J511&amp;"|"&amp;10,Assessments!$A$2:$A$600,0)),0)</f>
        <v>0</v>
      </c>
      <c r="DG511" s="28" t="n">
        <f aca="false">IFERROR(INDEX(Assessments!$J$2:$J$600,MATCH($H511&amp;"|"&amp;$I511&amp;"|"&amp;$J511&amp;"|"&amp;11,Assessments!$A$2:$A$600,0)),0)</f>
        <v>0</v>
      </c>
      <c r="DH511" s="28" t="n">
        <f aca="false">IFERROR(INDEX(Assessments!$J$2:$J$600,MATCH($H511&amp;"|"&amp;$I511&amp;"|"&amp;$J511&amp;"|"&amp;12,Assessments!$A$2:$A$600,0)),0)</f>
        <v>0</v>
      </c>
      <c r="DI511" s="28" t="n">
        <f aca="false">IFERROR(INDEX(Assessments!$J$2:$J$600,MATCH($H511&amp;"|"&amp;$I511&amp;"|"&amp;$J511&amp;"|"&amp;13,Assessments!$A$2:$A$600,0)),0)</f>
        <v>0</v>
      </c>
      <c r="DJ511" s="28" t="n">
        <f aca="false">IFERROR(INDEX(Assessments!$J$2:$J$600,MATCH($H511&amp;"|"&amp;$I511&amp;"|"&amp;$J511&amp;"|"&amp;14,Assessments!$A$2:$A$600,0)),0)</f>
        <v>0</v>
      </c>
      <c r="DK511" s="28" t="str">
        <f aca="false">S511</f>
        <v/>
      </c>
      <c r="DL511" s="28" t="str">
        <f aca="false">W511</f>
        <v/>
      </c>
      <c r="DM511" s="28" t="str">
        <f aca="false">AA511</f>
        <v/>
      </c>
      <c r="DN511" s="28" t="str">
        <f aca="false">AE511</f>
        <v/>
      </c>
      <c r="DO511" s="28" t="str">
        <f aca="false">AI511</f>
        <v/>
      </c>
      <c r="DP511" s="28" t="str">
        <f aca="false">AM511</f>
        <v/>
      </c>
      <c r="DQ511" s="28" t="str">
        <f aca="false">AQ511</f>
        <v/>
      </c>
      <c r="DR511" s="28" t="str">
        <f aca="false">AU511</f>
        <v/>
      </c>
      <c r="DS511" s="28" t="str">
        <f aca="false">AY511</f>
        <v/>
      </c>
      <c r="DT511" s="28" t="str">
        <f aca="false">BC511</f>
        <v/>
      </c>
      <c r="DU511" s="28" t="str">
        <f aca="false">BG511</f>
        <v/>
      </c>
      <c r="DV511" s="28" t="str">
        <f aca="false">BK511</f>
        <v/>
      </c>
      <c r="DW511" s="28" t="str">
        <f aca="false">BO511</f>
        <v/>
      </c>
      <c r="DX511" s="28" t="str">
        <f aca="false">BS511</f>
        <v/>
      </c>
      <c r="DY511" s="28" t="str">
        <f aca="false">IF(ISNUMBER(S511),1,"")</f>
        <v/>
      </c>
      <c r="DZ511" s="28" t="str">
        <f aca="false">IF(ISNUMBER(W511),2,"")</f>
        <v/>
      </c>
      <c r="EA511" s="28" t="str">
        <f aca="false">IF(ISNUMBER(AA511),3,"")</f>
        <v/>
      </c>
      <c r="EB511" s="28" t="str">
        <f aca="false">IF(ISNUMBER(AE511),4,"")</f>
        <v/>
      </c>
      <c r="EC511" s="28" t="str">
        <f aca="false">IF(ISNUMBER(AI511),5,"")</f>
        <v/>
      </c>
      <c r="ED511" s="28" t="str">
        <f aca="false">IF(ISNUMBER(AM511),6,"")</f>
        <v/>
      </c>
      <c r="EE511" s="28" t="str">
        <f aca="false">IF(ISNUMBER(AQ511),7,"")</f>
        <v/>
      </c>
      <c r="EF511" s="28" t="str">
        <f aca="false">IF(ISNUMBER(AU511),8,"")</f>
        <v/>
      </c>
      <c r="EG511" s="28" t="str">
        <f aca="false">IF(ISNUMBER(AY511),9,"")</f>
        <v/>
      </c>
      <c r="EH511" s="28" t="str">
        <f aca="false">IF(ISNUMBER(BC511),10,"")</f>
        <v/>
      </c>
      <c r="EI511" s="28" t="str">
        <f aca="false">IF(ISNUMBER(BG511),11,"")</f>
        <v/>
      </c>
      <c r="EJ511" s="28" t="str">
        <f aca="false">IF(ISNUMBER(BK511),12,"")</f>
        <v/>
      </c>
      <c r="EK511" s="28" t="str">
        <f aca="false">IF(ISNUMBER(BO511),13,"")</f>
        <v/>
      </c>
      <c r="EL511" s="28" t="str">
        <f aca="false">IF(ISNUMBER(BS511),14,"")</f>
        <v/>
      </c>
      <c r="EM511" s="28" t="n">
        <f aca="false">IF(ISNUMBER(R511),R511*CW511,0)</f>
        <v>0</v>
      </c>
      <c r="EN511" s="28" t="n">
        <f aca="false">IF(ISNUMBER(V511),V511*CX511,0)</f>
        <v>0</v>
      </c>
      <c r="EO511" s="28" t="n">
        <f aca="false">IF(ISNUMBER(Z511),Z511*CY511,0)</f>
        <v>0</v>
      </c>
      <c r="EP511" s="28" t="n">
        <f aca="false">IF(ISNUMBER(AD511),AD511*CZ511,0)</f>
        <v>0</v>
      </c>
      <c r="EQ511" s="28" t="n">
        <f aca="false">IF(ISNUMBER(AH511),AH511*DA511,0)</f>
        <v>0</v>
      </c>
      <c r="ER511" s="28" t="n">
        <f aca="false">IF(ISNUMBER(AL511),AL511*DB511,0)</f>
        <v>0</v>
      </c>
      <c r="ES511" s="28" t="n">
        <f aca="false">IF(ISNUMBER(AP511),AP511*DC511,0)</f>
        <v>0</v>
      </c>
      <c r="ET511" s="28" t="n">
        <f aca="false">IF(ISNUMBER(AT511),AT511*DD511,0)</f>
        <v>0</v>
      </c>
      <c r="EU511" s="28" t="n">
        <f aca="false">IF(ISNUMBER(AX511),AX511*DE511,0)</f>
        <v>0</v>
      </c>
      <c r="EV511" s="28" t="n">
        <f aca="false">IF(ISNUMBER(BB511),BB511*DF511,0)</f>
        <v>0</v>
      </c>
      <c r="EW511" s="28" t="n">
        <f aca="false">IF(ISNUMBER(BF511),BF511*DG511,0)</f>
        <v>0</v>
      </c>
      <c r="EX511" s="28" t="n">
        <f aca="false">IF(ISNUMBER(BJ511),BJ511*DH511,0)</f>
        <v>0</v>
      </c>
      <c r="EY511" s="28" t="n">
        <f aca="false">IF(ISNUMBER(BN511),BN511*DI511,0)</f>
        <v>0</v>
      </c>
      <c r="EZ511" s="28" t="n">
        <f aca="false">IF(ISNUMBER(BR511),BR511*DJ511,0)</f>
        <v>0</v>
      </c>
      <c r="FA511" s="28" t="n">
        <f aca="false">IF(ISNUMBER(R511),CW511,0)</f>
        <v>0</v>
      </c>
      <c r="FB511" s="28" t="n">
        <f aca="false">IF(ISNUMBER(V511),CX511,0)</f>
        <v>0</v>
      </c>
      <c r="FC511" s="28" t="n">
        <f aca="false">IF(ISNUMBER(Z511),CY511,0)</f>
        <v>0</v>
      </c>
      <c r="FD511" s="28" t="n">
        <f aca="false">IF(ISNUMBER(AD511),CZ511,0)</f>
        <v>0</v>
      </c>
      <c r="FE511" s="28" t="n">
        <f aca="false">IF(ISNUMBER(AH511),DA511,0)</f>
        <v>0</v>
      </c>
      <c r="FF511" s="28" t="n">
        <f aca="false">IF(ISNUMBER(AL511),DB511,0)</f>
        <v>0</v>
      </c>
      <c r="FG511" s="28" t="n">
        <f aca="false">IF(ISNUMBER(AP511),DC511,0)</f>
        <v>0</v>
      </c>
      <c r="FH511" s="28" t="n">
        <f aca="false">IF(ISNUMBER(AT511),DD511,0)</f>
        <v>0</v>
      </c>
      <c r="FI511" s="28" t="n">
        <f aca="false">IF(ISNUMBER(AX511),DE511,0)</f>
        <v>0</v>
      </c>
      <c r="FJ511" s="28" t="n">
        <f aca="false">IF(ISNUMBER(BB511),DF511,0)</f>
        <v>0</v>
      </c>
      <c r="FK511" s="28" t="n">
        <f aca="false">IF(ISNUMBER(BF511),DG511,0)</f>
        <v>0</v>
      </c>
      <c r="FL511" s="28" t="n">
        <f aca="false">IF(ISNUMBER(BJ511),DH511,0)</f>
        <v>0</v>
      </c>
      <c r="FM511" s="28" t="n">
        <f aca="false">IF(ISNUMBER(BN511),DI511,0)</f>
        <v>0</v>
      </c>
      <c r="FN511" s="28" t="n">
        <f aca="false">IF(ISNUMBER(BR511),DJ511,0)</f>
        <v>0</v>
      </c>
      <c r="FO511" s="28" t="str">
        <f aca="false">IFERROR(INDEX(Lists!$G$2:$G$20,MATCH($I511&amp;"|"&amp;$J511,Lists!$F$2:$F$20,0)),"")</f>
        <v/>
      </c>
    </row>
    <row r="512" customFormat="false" ht="19.5" hidden="false" customHeight="true" outlineLevel="0" collapsed="false">
      <c r="A512" s="29"/>
      <c r="B512" s="29"/>
      <c r="C512" s="30"/>
      <c r="D512" s="30"/>
      <c r="E512" s="31"/>
      <c r="F512" s="30"/>
      <c r="G512" s="30"/>
      <c r="H512" s="32"/>
      <c r="I512" s="33"/>
      <c r="J512" s="32"/>
      <c r="K512" s="34" t="str">
        <f aca="false">IF(OR(M512="",$E512=""),"",M512-$E512)</f>
        <v/>
      </c>
      <c r="L512" s="35" t="str">
        <f aca="false">IF(SUM(FA512:FN512)=0,"",SUM(EM512:EZ512)/SUM(FA512:FN512))</f>
        <v/>
      </c>
      <c r="M512" s="36" t="str">
        <f aca="false">IF(OR(L512="",FO512=""),"",IFERROR(MATCH(L512,INDEX(Boundaries!$B$2:$I$30,MATCH(FO512,Boundaries!$A$2:$A$30,0),0),1)-1,""))</f>
        <v/>
      </c>
      <c r="N512" s="37" t="str">
        <f aca="false">IF(COUNT($DY512:$EL512)&lt;2,"",INDEX($DK512:$DX512,MAX($DY512:$EL512))-INDEX($DK512:$DX512,MIN($DY512:$EL512)))</f>
        <v/>
      </c>
      <c r="O512" s="37" t="str">
        <f aca="false">IF(COUNT($DY512:$EL512)&lt;2,"",INDEX($DK512:$DX512,MAX($DY512:$EL512))-INDEX($DK512:$DX512,LARGE($DY512:$EL512,2)))</f>
        <v/>
      </c>
      <c r="P512" s="38" t="str">
        <f aca="false">IF(K512="","",IF(K512&gt;=0,"On/above target",IF(AND(N512&lt;&gt;"",N512&gt;=0.5),"Improving towards target",IF(AND(O512&lt;&gt;"",O512&lt;=-0.5),"Declining","Stable below target"))))</f>
        <v/>
      </c>
      <c r="Q512" s="39"/>
      <c r="R512" s="40" t="str">
        <f aca="false">IF(OR(Q512="",BU512=""),"",Q512/BU512*100)</f>
        <v/>
      </c>
      <c r="S512" s="41" t="str">
        <f aca="false">IF(R512="","",IFERROR(MATCH(R512,INDEX(Boundaries!$B$2:$I$30,MATCH(CI512,Boundaries!$A$2:$A$30,0),0),1)-1,""))</f>
        <v/>
      </c>
      <c r="T512" s="42" t="str">
        <f aca="false">IF(OR(S512="",$E512=""),"",S512-$E512)</f>
        <v/>
      </c>
      <c r="U512" s="39"/>
      <c r="V512" s="40" t="str">
        <f aca="false">IF(OR(U512="",BV512=""),"",U512/BV512*100)</f>
        <v/>
      </c>
      <c r="W512" s="41" t="str">
        <f aca="false">IF(V512="","",IFERROR(MATCH(V512,INDEX(Boundaries!$B$2:$I$30,MATCH(CJ512,Boundaries!$A$2:$A$30,0),0),1)-1,""))</f>
        <v/>
      </c>
      <c r="X512" s="42" t="str">
        <f aca="false">IF(OR(W512="",$E512=""),"",W512-$E512)</f>
        <v/>
      </c>
      <c r="Y512" s="39"/>
      <c r="Z512" s="40" t="str">
        <f aca="false">IF(OR(Y512="",BW512=""),"",Y512/BW512*100)</f>
        <v/>
      </c>
      <c r="AA512" s="41" t="str">
        <f aca="false">IF(Z512="","",IFERROR(MATCH(Z512,INDEX(Boundaries!$B$2:$I$30,MATCH(CK512,Boundaries!$A$2:$A$30,0),0),1)-1,""))</f>
        <v/>
      </c>
      <c r="AB512" s="42" t="str">
        <f aca="false">IF(OR(AA512="",$E512=""),"",AA512-$E512)</f>
        <v/>
      </c>
      <c r="AC512" s="39"/>
      <c r="AD512" s="40" t="str">
        <f aca="false">IF(OR(AC512="",BX512=""),"",AC512/BX512*100)</f>
        <v/>
      </c>
      <c r="AE512" s="41" t="str">
        <f aca="false">IF(AD512="","",IFERROR(MATCH(AD512,INDEX(Boundaries!$B$2:$I$30,MATCH(CL512,Boundaries!$A$2:$A$30,0),0),1)-1,""))</f>
        <v/>
      </c>
      <c r="AF512" s="42" t="str">
        <f aca="false">IF(OR(AE512="",$E512=""),"",AE512-$E512)</f>
        <v/>
      </c>
      <c r="AG512" s="39"/>
      <c r="AH512" s="40" t="str">
        <f aca="false">IF(OR(AG512="",BY512=""),"",AG512/BY512*100)</f>
        <v/>
      </c>
      <c r="AI512" s="41" t="str">
        <f aca="false">IF(AH512="","",IFERROR(MATCH(AH512,INDEX(Boundaries!$B$2:$I$30,MATCH(CM512,Boundaries!$A$2:$A$30,0),0),1)-1,""))</f>
        <v/>
      </c>
      <c r="AJ512" s="42" t="str">
        <f aca="false">IF(OR(AI512="",$E512=""),"",AI512-$E512)</f>
        <v/>
      </c>
      <c r="AK512" s="39"/>
      <c r="AL512" s="40" t="str">
        <f aca="false">IF(OR(AK512="",BZ512=""),"",AK512/BZ512*100)</f>
        <v/>
      </c>
      <c r="AM512" s="41" t="str">
        <f aca="false">IF(AL512="","",IFERROR(MATCH(AL512,INDEX(Boundaries!$B$2:$I$30,MATCH(CN512,Boundaries!$A$2:$A$30,0),0),1)-1,""))</f>
        <v/>
      </c>
      <c r="AN512" s="42" t="str">
        <f aca="false">IF(OR(AM512="",$E512=""),"",AM512-$E512)</f>
        <v/>
      </c>
      <c r="AO512" s="39"/>
      <c r="AP512" s="40" t="str">
        <f aca="false">IF(OR(AO512="",CA512=""),"",AO512/CA512*100)</f>
        <v/>
      </c>
      <c r="AQ512" s="41" t="str">
        <f aca="false">IF(AP512="","",IFERROR(MATCH(AP512,INDEX(Boundaries!$B$2:$I$30,MATCH(CO512,Boundaries!$A$2:$A$30,0),0),1)-1,""))</f>
        <v/>
      </c>
      <c r="AR512" s="42" t="str">
        <f aca="false">IF(OR(AQ512="",$E512=""),"",AQ512-$E512)</f>
        <v/>
      </c>
      <c r="AS512" s="39"/>
      <c r="AT512" s="40" t="str">
        <f aca="false">IF(OR(AS512="",CB512=""),"",AS512/CB512*100)</f>
        <v/>
      </c>
      <c r="AU512" s="41" t="str">
        <f aca="false">IF(AT512="","",IFERROR(MATCH(AT512,INDEX(Boundaries!$B$2:$I$30,MATCH(CP512,Boundaries!$A$2:$A$30,0),0),1)-1,""))</f>
        <v/>
      </c>
      <c r="AV512" s="42" t="str">
        <f aca="false">IF(OR(AU512="",$E512=""),"",AU512-$E512)</f>
        <v/>
      </c>
      <c r="AW512" s="39"/>
      <c r="AX512" s="40" t="str">
        <f aca="false">IF(OR(AW512="",CC512=""),"",AW512/CC512*100)</f>
        <v/>
      </c>
      <c r="AY512" s="41" t="str">
        <f aca="false">IF(AX512="","",IFERROR(MATCH(AX512,INDEX(Boundaries!$B$2:$I$30,MATCH(CQ512,Boundaries!$A$2:$A$30,0),0),1)-1,""))</f>
        <v/>
      </c>
      <c r="AZ512" s="42" t="str">
        <f aca="false">IF(OR(AY512="",$E512=""),"",AY512-$E512)</f>
        <v/>
      </c>
      <c r="BA512" s="39"/>
      <c r="BB512" s="40" t="str">
        <f aca="false">IF(OR(BA512="",CD512=""),"",BA512/CD512*100)</f>
        <v/>
      </c>
      <c r="BC512" s="41" t="str">
        <f aca="false">IF(BB512="","",IFERROR(MATCH(BB512,INDEX(Boundaries!$B$2:$I$30,MATCH(CR512,Boundaries!$A$2:$A$30,0),0),1)-1,""))</f>
        <v/>
      </c>
      <c r="BD512" s="42" t="str">
        <f aca="false">IF(OR(BC512="",$E512=""),"",BC512-$E512)</f>
        <v/>
      </c>
      <c r="BE512" s="39"/>
      <c r="BF512" s="40" t="str">
        <f aca="false">IF(OR(BE512="",CE512=""),"",BE512/CE512*100)</f>
        <v/>
      </c>
      <c r="BG512" s="41" t="str">
        <f aca="false">IF(BF512="","",IFERROR(MATCH(BF512,INDEX(Boundaries!$B$2:$I$30,MATCH(CS512,Boundaries!$A$2:$A$30,0),0),1)-1,""))</f>
        <v/>
      </c>
      <c r="BH512" s="42" t="str">
        <f aca="false">IF(OR(BG512="",$E512=""),"",BG512-$E512)</f>
        <v/>
      </c>
      <c r="BI512" s="39"/>
      <c r="BJ512" s="40" t="str">
        <f aca="false">IF(OR(BI512="",CF512=""),"",BI512/CF512*100)</f>
        <v/>
      </c>
      <c r="BK512" s="41" t="str">
        <f aca="false">IF(BJ512="","",IFERROR(MATCH(BJ512,INDEX(Boundaries!$B$2:$I$30,MATCH(CT512,Boundaries!$A$2:$A$30,0),0),1)-1,""))</f>
        <v/>
      </c>
      <c r="BL512" s="42" t="str">
        <f aca="false">IF(OR(BK512="",$E512=""),"",BK512-$E512)</f>
        <v/>
      </c>
      <c r="BM512" s="39"/>
      <c r="BN512" s="40" t="str">
        <f aca="false">IF(OR(BM512="",CG512=""),"",BM512/CG512*100)</f>
        <v/>
      </c>
      <c r="BO512" s="41" t="str">
        <f aca="false">IF(BN512="","",IFERROR(MATCH(BN512,INDEX(Boundaries!$B$2:$I$30,MATCH(CU512,Boundaries!$A$2:$A$30,0),0),1)-1,""))</f>
        <v/>
      </c>
      <c r="BP512" s="42" t="str">
        <f aca="false">IF(OR(BO512="",$E512=""),"",BO512-$E512)</f>
        <v/>
      </c>
      <c r="BQ512" s="39"/>
      <c r="BR512" s="40" t="str">
        <f aca="false">IF(OR(BQ512="",CH512=""),"",BQ512/CH512*100)</f>
        <v/>
      </c>
      <c r="BS512" s="41" t="str">
        <f aca="false">IF(BR512="","",IFERROR(MATCH(BR512,INDEX(Boundaries!$B$2:$I$30,MATCH(CV512,Boundaries!$A$2:$A$30,0),0),1)-1,""))</f>
        <v/>
      </c>
      <c r="BT512" s="42" t="str">
        <f aca="false">IF(OR(BS512="",$E512=""),"",BS512-$E512)</f>
        <v/>
      </c>
      <c r="BU512" s="28" t="str">
        <f aca="false">IFERROR(INDEX(Assessments!$H$2:$H$600,MATCH($H512&amp;"|"&amp;$I512&amp;"|"&amp;$J512&amp;"|"&amp;1,Assessments!$A$2:$A$600,0)),"")</f>
        <v/>
      </c>
      <c r="BV512" s="28" t="str">
        <f aca="false">IFERROR(INDEX(Assessments!$H$2:$H$600,MATCH($H512&amp;"|"&amp;$I512&amp;"|"&amp;$J512&amp;"|"&amp;2,Assessments!$A$2:$A$600,0)),"")</f>
        <v/>
      </c>
      <c r="BW512" s="28" t="str">
        <f aca="false">IFERROR(INDEX(Assessments!$H$2:$H$600,MATCH($H512&amp;"|"&amp;$I512&amp;"|"&amp;$J512&amp;"|"&amp;3,Assessments!$A$2:$A$600,0)),"")</f>
        <v/>
      </c>
      <c r="BX512" s="28" t="str">
        <f aca="false">IFERROR(INDEX(Assessments!$H$2:$H$600,MATCH($H512&amp;"|"&amp;$I512&amp;"|"&amp;$J512&amp;"|"&amp;4,Assessments!$A$2:$A$600,0)),"")</f>
        <v/>
      </c>
      <c r="BY512" s="28" t="str">
        <f aca="false">IFERROR(INDEX(Assessments!$H$2:$H$600,MATCH($H512&amp;"|"&amp;$I512&amp;"|"&amp;$J512&amp;"|"&amp;5,Assessments!$A$2:$A$600,0)),"")</f>
        <v/>
      </c>
      <c r="BZ512" s="28" t="str">
        <f aca="false">IFERROR(INDEX(Assessments!$H$2:$H$600,MATCH($H512&amp;"|"&amp;$I512&amp;"|"&amp;$J512&amp;"|"&amp;6,Assessments!$A$2:$A$600,0)),"")</f>
        <v/>
      </c>
      <c r="CA512" s="28" t="str">
        <f aca="false">IFERROR(INDEX(Assessments!$H$2:$H$600,MATCH($H512&amp;"|"&amp;$I512&amp;"|"&amp;$J512&amp;"|"&amp;7,Assessments!$A$2:$A$600,0)),"")</f>
        <v/>
      </c>
      <c r="CB512" s="28" t="str">
        <f aca="false">IFERROR(INDEX(Assessments!$H$2:$H$600,MATCH($H512&amp;"|"&amp;$I512&amp;"|"&amp;$J512&amp;"|"&amp;8,Assessments!$A$2:$A$600,0)),"")</f>
        <v/>
      </c>
      <c r="CC512" s="28" t="str">
        <f aca="false">IFERROR(INDEX(Assessments!$H$2:$H$600,MATCH($H512&amp;"|"&amp;$I512&amp;"|"&amp;$J512&amp;"|"&amp;9,Assessments!$A$2:$A$600,0)),"")</f>
        <v/>
      </c>
      <c r="CD512" s="28" t="str">
        <f aca="false">IFERROR(INDEX(Assessments!$H$2:$H$600,MATCH($H512&amp;"|"&amp;$I512&amp;"|"&amp;$J512&amp;"|"&amp;10,Assessments!$A$2:$A$600,0)),"")</f>
        <v/>
      </c>
      <c r="CE512" s="28" t="str">
        <f aca="false">IFERROR(INDEX(Assessments!$H$2:$H$600,MATCH($H512&amp;"|"&amp;$I512&amp;"|"&amp;$J512&amp;"|"&amp;11,Assessments!$A$2:$A$600,0)),"")</f>
        <v/>
      </c>
      <c r="CF512" s="28" t="str">
        <f aca="false">IFERROR(INDEX(Assessments!$H$2:$H$600,MATCH($H512&amp;"|"&amp;$I512&amp;"|"&amp;$J512&amp;"|"&amp;12,Assessments!$A$2:$A$600,0)),"")</f>
        <v/>
      </c>
      <c r="CG512" s="28" t="str">
        <f aca="false">IFERROR(INDEX(Assessments!$H$2:$H$600,MATCH($H512&amp;"|"&amp;$I512&amp;"|"&amp;$J512&amp;"|"&amp;13,Assessments!$A$2:$A$600,0)),"")</f>
        <v/>
      </c>
      <c r="CH512" s="28" t="str">
        <f aca="false">IFERROR(INDEX(Assessments!$H$2:$H$600,MATCH($H512&amp;"|"&amp;$I512&amp;"|"&amp;$J512&amp;"|"&amp;14,Assessments!$A$2:$A$600,0)),"")</f>
        <v/>
      </c>
      <c r="CI512" s="28" t="str">
        <f aca="false">IFERROR(INDEX(Assessments!$I$2:$I$600,MATCH($H512&amp;"|"&amp;$I512&amp;"|"&amp;$J512&amp;"|"&amp;1,Assessments!$A$2:$A$600,0)),"")</f>
        <v/>
      </c>
      <c r="CJ512" s="28" t="str">
        <f aca="false">IFERROR(INDEX(Assessments!$I$2:$I$600,MATCH($H512&amp;"|"&amp;$I512&amp;"|"&amp;$J512&amp;"|"&amp;2,Assessments!$A$2:$A$600,0)),"")</f>
        <v/>
      </c>
      <c r="CK512" s="28" t="str">
        <f aca="false">IFERROR(INDEX(Assessments!$I$2:$I$600,MATCH($H512&amp;"|"&amp;$I512&amp;"|"&amp;$J512&amp;"|"&amp;3,Assessments!$A$2:$A$600,0)),"")</f>
        <v/>
      </c>
      <c r="CL512" s="28" t="str">
        <f aca="false">IFERROR(INDEX(Assessments!$I$2:$I$600,MATCH($H512&amp;"|"&amp;$I512&amp;"|"&amp;$J512&amp;"|"&amp;4,Assessments!$A$2:$A$600,0)),"")</f>
        <v/>
      </c>
      <c r="CM512" s="28" t="str">
        <f aca="false">IFERROR(INDEX(Assessments!$I$2:$I$600,MATCH($H512&amp;"|"&amp;$I512&amp;"|"&amp;$J512&amp;"|"&amp;5,Assessments!$A$2:$A$600,0)),"")</f>
        <v/>
      </c>
      <c r="CN512" s="28" t="str">
        <f aca="false">IFERROR(INDEX(Assessments!$I$2:$I$600,MATCH($H512&amp;"|"&amp;$I512&amp;"|"&amp;$J512&amp;"|"&amp;6,Assessments!$A$2:$A$600,0)),"")</f>
        <v/>
      </c>
      <c r="CO512" s="28" t="str">
        <f aca="false">IFERROR(INDEX(Assessments!$I$2:$I$600,MATCH($H512&amp;"|"&amp;$I512&amp;"|"&amp;$J512&amp;"|"&amp;7,Assessments!$A$2:$A$600,0)),"")</f>
        <v/>
      </c>
      <c r="CP512" s="28" t="str">
        <f aca="false">IFERROR(INDEX(Assessments!$I$2:$I$600,MATCH($H512&amp;"|"&amp;$I512&amp;"|"&amp;$J512&amp;"|"&amp;8,Assessments!$A$2:$A$600,0)),"")</f>
        <v/>
      </c>
      <c r="CQ512" s="28" t="str">
        <f aca="false">IFERROR(INDEX(Assessments!$I$2:$I$600,MATCH($H512&amp;"|"&amp;$I512&amp;"|"&amp;$J512&amp;"|"&amp;9,Assessments!$A$2:$A$600,0)),"")</f>
        <v/>
      </c>
      <c r="CR512" s="28" t="str">
        <f aca="false">IFERROR(INDEX(Assessments!$I$2:$I$600,MATCH($H512&amp;"|"&amp;$I512&amp;"|"&amp;$J512&amp;"|"&amp;10,Assessments!$A$2:$A$600,0)),"")</f>
        <v/>
      </c>
      <c r="CS512" s="28" t="str">
        <f aca="false">IFERROR(INDEX(Assessments!$I$2:$I$600,MATCH($H512&amp;"|"&amp;$I512&amp;"|"&amp;$J512&amp;"|"&amp;11,Assessments!$A$2:$A$600,0)),"")</f>
        <v/>
      </c>
      <c r="CT512" s="28" t="str">
        <f aca="false">IFERROR(INDEX(Assessments!$I$2:$I$600,MATCH($H512&amp;"|"&amp;$I512&amp;"|"&amp;$J512&amp;"|"&amp;12,Assessments!$A$2:$A$600,0)),"")</f>
        <v/>
      </c>
      <c r="CU512" s="28" t="str">
        <f aca="false">IFERROR(INDEX(Assessments!$I$2:$I$600,MATCH($H512&amp;"|"&amp;$I512&amp;"|"&amp;$J512&amp;"|"&amp;13,Assessments!$A$2:$A$600,0)),"")</f>
        <v/>
      </c>
      <c r="CV512" s="28" t="str">
        <f aca="false">IFERROR(INDEX(Assessments!$I$2:$I$600,MATCH($H512&amp;"|"&amp;$I512&amp;"|"&amp;$J512&amp;"|"&amp;14,Assessments!$A$2:$A$600,0)),"")</f>
        <v/>
      </c>
      <c r="CW512" s="28" t="n">
        <f aca="false">IFERROR(INDEX(Assessments!$J$2:$J$600,MATCH($H512&amp;"|"&amp;$I512&amp;"|"&amp;$J512&amp;"|"&amp;1,Assessments!$A$2:$A$600,0)),0)</f>
        <v>0</v>
      </c>
      <c r="CX512" s="28" t="n">
        <f aca="false">IFERROR(INDEX(Assessments!$J$2:$J$600,MATCH($H512&amp;"|"&amp;$I512&amp;"|"&amp;$J512&amp;"|"&amp;2,Assessments!$A$2:$A$600,0)),0)</f>
        <v>0</v>
      </c>
      <c r="CY512" s="28" t="n">
        <f aca="false">IFERROR(INDEX(Assessments!$J$2:$J$600,MATCH($H512&amp;"|"&amp;$I512&amp;"|"&amp;$J512&amp;"|"&amp;3,Assessments!$A$2:$A$600,0)),0)</f>
        <v>0</v>
      </c>
      <c r="CZ512" s="28" t="n">
        <f aca="false">IFERROR(INDEX(Assessments!$J$2:$J$600,MATCH($H512&amp;"|"&amp;$I512&amp;"|"&amp;$J512&amp;"|"&amp;4,Assessments!$A$2:$A$600,0)),0)</f>
        <v>0</v>
      </c>
      <c r="DA512" s="28" t="n">
        <f aca="false">IFERROR(INDEX(Assessments!$J$2:$J$600,MATCH($H512&amp;"|"&amp;$I512&amp;"|"&amp;$J512&amp;"|"&amp;5,Assessments!$A$2:$A$600,0)),0)</f>
        <v>0</v>
      </c>
      <c r="DB512" s="28" t="n">
        <f aca="false">IFERROR(INDEX(Assessments!$J$2:$J$600,MATCH($H512&amp;"|"&amp;$I512&amp;"|"&amp;$J512&amp;"|"&amp;6,Assessments!$A$2:$A$600,0)),0)</f>
        <v>0</v>
      </c>
      <c r="DC512" s="28" t="n">
        <f aca="false">IFERROR(INDEX(Assessments!$J$2:$J$600,MATCH($H512&amp;"|"&amp;$I512&amp;"|"&amp;$J512&amp;"|"&amp;7,Assessments!$A$2:$A$600,0)),0)</f>
        <v>0</v>
      </c>
      <c r="DD512" s="28" t="n">
        <f aca="false">IFERROR(INDEX(Assessments!$J$2:$J$600,MATCH($H512&amp;"|"&amp;$I512&amp;"|"&amp;$J512&amp;"|"&amp;8,Assessments!$A$2:$A$600,0)),0)</f>
        <v>0</v>
      </c>
      <c r="DE512" s="28" t="n">
        <f aca="false">IFERROR(INDEX(Assessments!$J$2:$J$600,MATCH($H512&amp;"|"&amp;$I512&amp;"|"&amp;$J512&amp;"|"&amp;9,Assessments!$A$2:$A$600,0)),0)</f>
        <v>0</v>
      </c>
      <c r="DF512" s="28" t="n">
        <f aca="false">IFERROR(INDEX(Assessments!$J$2:$J$600,MATCH($H512&amp;"|"&amp;$I512&amp;"|"&amp;$J512&amp;"|"&amp;10,Assessments!$A$2:$A$600,0)),0)</f>
        <v>0</v>
      </c>
      <c r="DG512" s="28" t="n">
        <f aca="false">IFERROR(INDEX(Assessments!$J$2:$J$600,MATCH($H512&amp;"|"&amp;$I512&amp;"|"&amp;$J512&amp;"|"&amp;11,Assessments!$A$2:$A$600,0)),0)</f>
        <v>0</v>
      </c>
      <c r="DH512" s="28" t="n">
        <f aca="false">IFERROR(INDEX(Assessments!$J$2:$J$600,MATCH($H512&amp;"|"&amp;$I512&amp;"|"&amp;$J512&amp;"|"&amp;12,Assessments!$A$2:$A$600,0)),0)</f>
        <v>0</v>
      </c>
      <c r="DI512" s="28" t="n">
        <f aca="false">IFERROR(INDEX(Assessments!$J$2:$J$600,MATCH($H512&amp;"|"&amp;$I512&amp;"|"&amp;$J512&amp;"|"&amp;13,Assessments!$A$2:$A$600,0)),0)</f>
        <v>0</v>
      </c>
      <c r="DJ512" s="28" t="n">
        <f aca="false">IFERROR(INDEX(Assessments!$J$2:$J$600,MATCH($H512&amp;"|"&amp;$I512&amp;"|"&amp;$J512&amp;"|"&amp;14,Assessments!$A$2:$A$600,0)),0)</f>
        <v>0</v>
      </c>
      <c r="DK512" s="28" t="str">
        <f aca="false">S512</f>
        <v/>
      </c>
      <c r="DL512" s="28" t="str">
        <f aca="false">W512</f>
        <v/>
      </c>
      <c r="DM512" s="28" t="str">
        <f aca="false">AA512</f>
        <v/>
      </c>
      <c r="DN512" s="28" t="str">
        <f aca="false">AE512</f>
        <v/>
      </c>
      <c r="DO512" s="28" t="str">
        <f aca="false">AI512</f>
        <v/>
      </c>
      <c r="DP512" s="28" t="str">
        <f aca="false">AM512</f>
        <v/>
      </c>
      <c r="DQ512" s="28" t="str">
        <f aca="false">AQ512</f>
        <v/>
      </c>
      <c r="DR512" s="28" t="str">
        <f aca="false">AU512</f>
        <v/>
      </c>
      <c r="DS512" s="28" t="str">
        <f aca="false">AY512</f>
        <v/>
      </c>
      <c r="DT512" s="28" t="str">
        <f aca="false">BC512</f>
        <v/>
      </c>
      <c r="DU512" s="28" t="str">
        <f aca="false">BG512</f>
        <v/>
      </c>
      <c r="DV512" s="28" t="str">
        <f aca="false">BK512</f>
        <v/>
      </c>
      <c r="DW512" s="28" t="str">
        <f aca="false">BO512</f>
        <v/>
      </c>
      <c r="DX512" s="28" t="str">
        <f aca="false">BS512</f>
        <v/>
      </c>
      <c r="DY512" s="28" t="str">
        <f aca="false">IF(ISNUMBER(S512),1,"")</f>
        <v/>
      </c>
      <c r="DZ512" s="28" t="str">
        <f aca="false">IF(ISNUMBER(W512),2,"")</f>
        <v/>
      </c>
      <c r="EA512" s="28" t="str">
        <f aca="false">IF(ISNUMBER(AA512),3,"")</f>
        <v/>
      </c>
      <c r="EB512" s="28" t="str">
        <f aca="false">IF(ISNUMBER(AE512),4,"")</f>
        <v/>
      </c>
      <c r="EC512" s="28" t="str">
        <f aca="false">IF(ISNUMBER(AI512),5,"")</f>
        <v/>
      </c>
      <c r="ED512" s="28" t="str">
        <f aca="false">IF(ISNUMBER(AM512),6,"")</f>
        <v/>
      </c>
      <c r="EE512" s="28" t="str">
        <f aca="false">IF(ISNUMBER(AQ512),7,"")</f>
        <v/>
      </c>
      <c r="EF512" s="28" t="str">
        <f aca="false">IF(ISNUMBER(AU512),8,"")</f>
        <v/>
      </c>
      <c r="EG512" s="28" t="str">
        <f aca="false">IF(ISNUMBER(AY512),9,"")</f>
        <v/>
      </c>
      <c r="EH512" s="28" t="str">
        <f aca="false">IF(ISNUMBER(BC512),10,"")</f>
        <v/>
      </c>
      <c r="EI512" s="28" t="str">
        <f aca="false">IF(ISNUMBER(BG512),11,"")</f>
        <v/>
      </c>
      <c r="EJ512" s="28" t="str">
        <f aca="false">IF(ISNUMBER(BK512),12,"")</f>
        <v/>
      </c>
      <c r="EK512" s="28" t="str">
        <f aca="false">IF(ISNUMBER(BO512),13,"")</f>
        <v/>
      </c>
      <c r="EL512" s="28" t="str">
        <f aca="false">IF(ISNUMBER(BS512),14,"")</f>
        <v/>
      </c>
      <c r="EM512" s="28" t="n">
        <f aca="false">IF(ISNUMBER(R512),R512*CW512,0)</f>
        <v>0</v>
      </c>
      <c r="EN512" s="28" t="n">
        <f aca="false">IF(ISNUMBER(V512),V512*CX512,0)</f>
        <v>0</v>
      </c>
      <c r="EO512" s="28" t="n">
        <f aca="false">IF(ISNUMBER(Z512),Z512*CY512,0)</f>
        <v>0</v>
      </c>
      <c r="EP512" s="28" t="n">
        <f aca="false">IF(ISNUMBER(AD512),AD512*CZ512,0)</f>
        <v>0</v>
      </c>
      <c r="EQ512" s="28" t="n">
        <f aca="false">IF(ISNUMBER(AH512),AH512*DA512,0)</f>
        <v>0</v>
      </c>
      <c r="ER512" s="28" t="n">
        <f aca="false">IF(ISNUMBER(AL512),AL512*DB512,0)</f>
        <v>0</v>
      </c>
      <c r="ES512" s="28" t="n">
        <f aca="false">IF(ISNUMBER(AP512),AP512*DC512,0)</f>
        <v>0</v>
      </c>
      <c r="ET512" s="28" t="n">
        <f aca="false">IF(ISNUMBER(AT512),AT512*DD512,0)</f>
        <v>0</v>
      </c>
      <c r="EU512" s="28" t="n">
        <f aca="false">IF(ISNUMBER(AX512),AX512*DE512,0)</f>
        <v>0</v>
      </c>
      <c r="EV512" s="28" t="n">
        <f aca="false">IF(ISNUMBER(BB512),BB512*DF512,0)</f>
        <v>0</v>
      </c>
      <c r="EW512" s="28" t="n">
        <f aca="false">IF(ISNUMBER(BF512),BF512*DG512,0)</f>
        <v>0</v>
      </c>
      <c r="EX512" s="28" t="n">
        <f aca="false">IF(ISNUMBER(BJ512),BJ512*DH512,0)</f>
        <v>0</v>
      </c>
      <c r="EY512" s="28" t="n">
        <f aca="false">IF(ISNUMBER(BN512),BN512*DI512,0)</f>
        <v>0</v>
      </c>
      <c r="EZ512" s="28" t="n">
        <f aca="false">IF(ISNUMBER(BR512),BR512*DJ512,0)</f>
        <v>0</v>
      </c>
      <c r="FA512" s="28" t="n">
        <f aca="false">IF(ISNUMBER(R512),CW512,0)</f>
        <v>0</v>
      </c>
      <c r="FB512" s="28" t="n">
        <f aca="false">IF(ISNUMBER(V512),CX512,0)</f>
        <v>0</v>
      </c>
      <c r="FC512" s="28" t="n">
        <f aca="false">IF(ISNUMBER(Z512),CY512,0)</f>
        <v>0</v>
      </c>
      <c r="FD512" s="28" t="n">
        <f aca="false">IF(ISNUMBER(AD512),CZ512,0)</f>
        <v>0</v>
      </c>
      <c r="FE512" s="28" t="n">
        <f aca="false">IF(ISNUMBER(AH512),DA512,0)</f>
        <v>0</v>
      </c>
      <c r="FF512" s="28" t="n">
        <f aca="false">IF(ISNUMBER(AL512),DB512,0)</f>
        <v>0</v>
      </c>
      <c r="FG512" s="28" t="n">
        <f aca="false">IF(ISNUMBER(AP512),DC512,0)</f>
        <v>0</v>
      </c>
      <c r="FH512" s="28" t="n">
        <f aca="false">IF(ISNUMBER(AT512),DD512,0)</f>
        <v>0</v>
      </c>
      <c r="FI512" s="28" t="n">
        <f aca="false">IF(ISNUMBER(AX512),DE512,0)</f>
        <v>0</v>
      </c>
      <c r="FJ512" s="28" t="n">
        <f aca="false">IF(ISNUMBER(BB512),DF512,0)</f>
        <v>0</v>
      </c>
      <c r="FK512" s="28" t="n">
        <f aca="false">IF(ISNUMBER(BF512),DG512,0)</f>
        <v>0</v>
      </c>
      <c r="FL512" s="28" t="n">
        <f aca="false">IF(ISNUMBER(BJ512),DH512,0)</f>
        <v>0</v>
      </c>
      <c r="FM512" s="28" t="n">
        <f aca="false">IF(ISNUMBER(BN512),DI512,0)</f>
        <v>0</v>
      </c>
      <c r="FN512" s="28" t="n">
        <f aca="false">IF(ISNUMBER(BR512),DJ512,0)</f>
        <v>0</v>
      </c>
      <c r="FO512" s="28" t="str">
        <f aca="false">IFERROR(INDEX(Lists!$G$2:$G$20,MATCH($I512&amp;"|"&amp;$J512,Lists!$F$2:$F$20,0)),"")</f>
        <v/>
      </c>
    </row>
    <row r="513" customFormat="false" ht="19.5" hidden="false" customHeight="true" outlineLevel="0" collapsed="false">
      <c r="A513" s="29"/>
      <c r="B513" s="29"/>
      <c r="C513" s="30"/>
      <c r="D513" s="30"/>
      <c r="E513" s="31"/>
      <c r="F513" s="30"/>
      <c r="G513" s="30"/>
      <c r="H513" s="32"/>
      <c r="I513" s="33"/>
      <c r="J513" s="32"/>
      <c r="K513" s="34" t="str">
        <f aca="false">IF(OR(M513="",$E513=""),"",M513-$E513)</f>
        <v/>
      </c>
      <c r="L513" s="35" t="str">
        <f aca="false">IF(SUM(FA513:FN513)=0,"",SUM(EM513:EZ513)/SUM(FA513:FN513))</f>
        <v/>
      </c>
      <c r="M513" s="36" t="str">
        <f aca="false">IF(OR(L513="",FO513=""),"",IFERROR(MATCH(L513,INDEX(Boundaries!$B$2:$I$30,MATCH(FO513,Boundaries!$A$2:$A$30,0),0),1)-1,""))</f>
        <v/>
      </c>
      <c r="N513" s="37" t="str">
        <f aca="false">IF(COUNT($DY513:$EL513)&lt;2,"",INDEX($DK513:$DX513,MAX($DY513:$EL513))-INDEX($DK513:$DX513,MIN($DY513:$EL513)))</f>
        <v/>
      </c>
      <c r="O513" s="37" t="str">
        <f aca="false">IF(COUNT($DY513:$EL513)&lt;2,"",INDEX($DK513:$DX513,MAX($DY513:$EL513))-INDEX($DK513:$DX513,LARGE($DY513:$EL513,2)))</f>
        <v/>
      </c>
      <c r="P513" s="38" t="str">
        <f aca="false">IF(K513="","",IF(K513&gt;=0,"On/above target",IF(AND(N513&lt;&gt;"",N513&gt;=0.5),"Improving towards target",IF(AND(O513&lt;&gt;"",O513&lt;=-0.5),"Declining","Stable below target"))))</f>
        <v/>
      </c>
      <c r="Q513" s="39"/>
      <c r="R513" s="40" t="str">
        <f aca="false">IF(OR(Q513="",BU513=""),"",Q513/BU513*100)</f>
        <v/>
      </c>
      <c r="S513" s="41" t="str">
        <f aca="false">IF(R513="","",IFERROR(MATCH(R513,INDEX(Boundaries!$B$2:$I$30,MATCH(CI513,Boundaries!$A$2:$A$30,0),0),1)-1,""))</f>
        <v/>
      </c>
      <c r="T513" s="42" t="str">
        <f aca="false">IF(OR(S513="",$E513=""),"",S513-$E513)</f>
        <v/>
      </c>
      <c r="U513" s="39"/>
      <c r="V513" s="40" t="str">
        <f aca="false">IF(OR(U513="",BV513=""),"",U513/BV513*100)</f>
        <v/>
      </c>
      <c r="W513" s="41" t="str">
        <f aca="false">IF(V513="","",IFERROR(MATCH(V513,INDEX(Boundaries!$B$2:$I$30,MATCH(CJ513,Boundaries!$A$2:$A$30,0),0),1)-1,""))</f>
        <v/>
      </c>
      <c r="X513" s="42" t="str">
        <f aca="false">IF(OR(W513="",$E513=""),"",W513-$E513)</f>
        <v/>
      </c>
      <c r="Y513" s="39"/>
      <c r="Z513" s="40" t="str">
        <f aca="false">IF(OR(Y513="",BW513=""),"",Y513/BW513*100)</f>
        <v/>
      </c>
      <c r="AA513" s="41" t="str">
        <f aca="false">IF(Z513="","",IFERROR(MATCH(Z513,INDEX(Boundaries!$B$2:$I$30,MATCH(CK513,Boundaries!$A$2:$A$30,0),0),1)-1,""))</f>
        <v/>
      </c>
      <c r="AB513" s="42" t="str">
        <f aca="false">IF(OR(AA513="",$E513=""),"",AA513-$E513)</f>
        <v/>
      </c>
      <c r="AC513" s="39"/>
      <c r="AD513" s="40" t="str">
        <f aca="false">IF(OR(AC513="",BX513=""),"",AC513/BX513*100)</f>
        <v/>
      </c>
      <c r="AE513" s="41" t="str">
        <f aca="false">IF(AD513="","",IFERROR(MATCH(AD513,INDEX(Boundaries!$B$2:$I$30,MATCH(CL513,Boundaries!$A$2:$A$30,0),0),1)-1,""))</f>
        <v/>
      </c>
      <c r="AF513" s="42" t="str">
        <f aca="false">IF(OR(AE513="",$E513=""),"",AE513-$E513)</f>
        <v/>
      </c>
      <c r="AG513" s="39"/>
      <c r="AH513" s="40" t="str">
        <f aca="false">IF(OR(AG513="",BY513=""),"",AG513/BY513*100)</f>
        <v/>
      </c>
      <c r="AI513" s="41" t="str">
        <f aca="false">IF(AH513="","",IFERROR(MATCH(AH513,INDEX(Boundaries!$B$2:$I$30,MATCH(CM513,Boundaries!$A$2:$A$30,0),0),1)-1,""))</f>
        <v/>
      </c>
      <c r="AJ513" s="42" t="str">
        <f aca="false">IF(OR(AI513="",$E513=""),"",AI513-$E513)</f>
        <v/>
      </c>
      <c r="AK513" s="39"/>
      <c r="AL513" s="40" t="str">
        <f aca="false">IF(OR(AK513="",BZ513=""),"",AK513/BZ513*100)</f>
        <v/>
      </c>
      <c r="AM513" s="41" t="str">
        <f aca="false">IF(AL513="","",IFERROR(MATCH(AL513,INDEX(Boundaries!$B$2:$I$30,MATCH(CN513,Boundaries!$A$2:$A$30,0),0),1)-1,""))</f>
        <v/>
      </c>
      <c r="AN513" s="42" t="str">
        <f aca="false">IF(OR(AM513="",$E513=""),"",AM513-$E513)</f>
        <v/>
      </c>
      <c r="AO513" s="39"/>
      <c r="AP513" s="40" t="str">
        <f aca="false">IF(OR(AO513="",CA513=""),"",AO513/CA513*100)</f>
        <v/>
      </c>
      <c r="AQ513" s="41" t="str">
        <f aca="false">IF(AP513="","",IFERROR(MATCH(AP513,INDEX(Boundaries!$B$2:$I$30,MATCH(CO513,Boundaries!$A$2:$A$30,0),0),1)-1,""))</f>
        <v/>
      </c>
      <c r="AR513" s="42" t="str">
        <f aca="false">IF(OR(AQ513="",$E513=""),"",AQ513-$E513)</f>
        <v/>
      </c>
      <c r="AS513" s="39"/>
      <c r="AT513" s="40" t="str">
        <f aca="false">IF(OR(AS513="",CB513=""),"",AS513/CB513*100)</f>
        <v/>
      </c>
      <c r="AU513" s="41" t="str">
        <f aca="false">IF(AT513="","",IFERROR(MATCH(AT513,INDEX(Boundaries!$B$2:$I$30,MATCH(CP513,Boundaries!$A$2:$A$30,0),0),1)-1,""))</f>
        <v/>
      </c>
      <c r="AV513" s="42" t="str">
        <f aca="false">IF(OR(AU513="",$E513=""),"",AU513-$E513)</f>
        <v/>
      </c>
      <c r="AW513" s="39"/>
      <c r="AX513" s="40" t="str">
        <f aca="false">IF(OR(AW513="",CC513=""),"",AW513/CC513*100)</f>
        <v/>
      </c>
      <c r="AY513" s="41" t="str">
        <f aca="false">IF(AX513="","",IFERROR(MATCH(AX513,INDEX(Boundaries!$B$2:$I$30,MATCH(CQ513,Boundaries!$A$2:$A$30,0),0),1)-1,""))</f>
        <v/>
      </c>
      <c r="AZ513" s="42" t="str">
        <f aca="false">IF(OR(AY513="",$E513=""),"",AY513-$E513)</f>
        <v/>
      </c>
      <c r="BA513" s="39"/>
      <c r="BB513" s="40" t="str">
        <f aca="false">IF(OR(BA513="",CD513=""),"",BA513/CD513*100)</f>
        <v/>
      </c>
      <c r="BC513" s="41" t="str">
        <f aca="false">IF(BB513="","",IFERROR(MATCH(BB513,INDEX(Boundaries!$B$2:$I$30,MATCH(CR513,Boundaries!$A$2:$A$30,0),0),1)-1,""))</f>
        <v/>
      </c>
      <c r="BD513" s="42" t="str">
        <f aca="false">IF(OR(BC513="",$E513=""),"",BC513-$E513)</f>
        <v/>
      </c>
      <c r="BE513" s="39"/>
      <c r="BF513" s="40" t="str">
        <f aca="false">IF(OR(BE513="",CE513=""),"",BE513/CE513*100)</f>
        <v/>
      </c>
      <c r="BG513" s="41" t="str">
        <f aca="false">IF(BF513="","",IFERROR(MATCH(BF513,INDEX(Boundaries!$B$2:$I$30,MATCH(CS513,Boundaries!$A$2:$A$30,0),0),1)-1,""))</f>
        <v/>
      </c>
      <c r="BH513" s="42" t="str">
        <f aca="false">IF(OR(BG513="",$E513=""),"",BG513-$E513)</f>
        <v/>
      </c>
      <c r="BI513" s="39"/>
      <c r="BJ513" s="40" t="str">
        <f aca="false">IF(OR(BI513="",CF513=""),"",BI513/CF513*100)</f>
        <v/>
      </c>
      <c r="BK513" s="41" t="str">
        <f aca="false">IF(BJ513="","",IFERROR(MATCH(BJ513,INDEX(Boundaries!$B$2:$I$30,MATCH(CT513,Boundaries!$A$2:$A$30,0),0),1)-1,""))</f>
        <v/>
      </c>
      <c r="BL513" s="42" t="str">
        <f aca="false">IF(OR(BK513="",$E513=""),"",BK513-$E513)</f>
        <v/>
      </c>
      <c r="BM513" s="39"/>
      <c r="BN513" s="40" t="str">
        <f aca="false">IF(OR(BM513="",CG513=""),"",BM513/CG513*100)</f>
        <v/>
      </c>
      <c r="BO513" s="41" t="str">
        <f aca="false">IF(BN513="","",IFERROR(MATCH(BN513,INDEX(Boundaries!$B$2:$I$30,MATCH(CU513,Boundaries!$A$2:$A$30,0),0),1)-1,""))</f>
        <v/>
      </c>
      <c r="BP513" s="42" t="str">
        <f aca="false">IF(OR(BO513="",$E513=""),"",BO513-$E513)</f>
        <v/>
      </c>
      <c r="BQ513" s="39"/>
      <c r="BR513" s="40" t="str">
        <f aca="false">IF(OR(BQ513="",CH513=""),"",BQ513/CH513*100)</f>
        <v/>
      </c>
      <c r="BS513" s="41" t="str">
        <f aca="false">IF(BR513="","",IFERROR(MATCH(BR513,INDEX(Boundaries!$B$2:$I$30,MATCH(CV513,Boundaries!$A$2:$A$30,0),0),1)-1,""))</f>
        <v/>
      </c>
      <c r="BT513" s="42" t="str">
        <f aca="false">IF(OR(BS513="",$E513=""),"",BS513-$E513)</f>
        <v/>
      </c>
      <c r="BU513" s="28" t="str">
        <f aca="false">IFERROR(INDEX(Assessments!$H$2:$H$600,MATCH($H513&amp;"|"&amp;$I513&amp;"|"&amp;$J513&amp;"|"&amp;1,Assessments!$A$2:$A$600,0)),"")</f>
        <v/>
      </c>
      <c r="BV513" s="28" t="str">
        <f aca="false">IFERROR(INDEX(Assessments!$H$2:$H$600,MATCH($H513&amp;"|"&amp;$I513&amp;"|"&amp;$J513&amp;"|"&amp;2,Assessments!$A$2:$A$600,0)),"")</f>
        <v/>
      </c>
      <c r="BW513" s="28" t="str">
        <f aca="false">IFERROR(INDEX(Assessments!$H$2:$H$600,MATCH($H513&amp;"|"&amp;$I513&amp;"|"&amp;$J513&amp;"|"&amp;3,Assessments!$A$2:$A$600,0)),"")</f>
        <v/>
      </c>
      <c r="BX513" s="28" t="str">
        <f aca="false">IFERROR(INDEX(Assessments!$H$2:$H$600,MATCH($H513&amp;"|"&amp;$I513&amp;"|"&amp;$J513&amp;"|"&amp;4,Assessments!$A$2:$A$600,0)),"")</f>
        <v/>
      </c>
      <c r="BY513" s="28" t="str">
        <f aca="false">IFERROR(INDEX(Assessments!$H$2:$H$600,MATCH($H513&amp;"|"&amp;$I513&amp;"|"&amp;$J513&amp;"|"&amp;5,Assessments!$A$2:$A$600,0)),"")</f>
        <v/>
      </c>
      <c r="BZ513" s="28" t="str">
        <f aca="false">IFERROR(INDEX(Assessments!$H$2:$H$600,MATCH($H513&amp;"|"&amp;$I513&amp;"|"&amp;$J513&amp;"|"&amp;6,Assessments!$A$2:$A$600,0)),"")</f>
        <v/>
      </c>
      <c r="CA513" s="28" t="str">
        <f aca="false">IFERROR(INDEX(Assessments!$H$2:$H$600,MATCH($H513&amp;"|"&amp;$I513&amp;"|"&amp;$J513&amp;"|"&amp;7,Assessments!$A$2:$A$600,0)),"")</f>
        <v/>
      </c>
      <c r="CB513" s="28" t="str">
        <f aca="false">IFERROR(INDEX(Assessments!$H$2:$H$600,MATCH($H513&amp;"|"&amp;$I513&amp;"|"&amp;$J513&amp;"|"&amp;8,Assessments!$A$2:$A$600,0)),"")</f>
        <v/>
      </c>
      <c r="CC513" s="28" t="str">
        <f aca="false">IFERROR(INDEX(Assessments!$H$2:$H$600,MATCH($H513&amp;"|"&amp;$I513&amp;"|"&amp;$J513&amp;"|"&amp;9,Assessments!$A$2:$A$600,0)),"")</f>
        <v/>
      </c>
      <c r="CD513" s="28" t="str">
        <f aca="false">IFERROR(INDEX(Assessments!$H$2:$H$600,MATCH($H513&amp;"|"&amp;$I513&amp;"|"&amp;$J513&amp;"|"&amp;10,Assessments!$A$2:$A$600,0)),"")</f>
        <v/>
      </c>
      <c r="CE513" s="28" t="str">
        <f aca="false">IFERROR(INDEX(Assessments!$H$2:$H$600,MATCH($H513&amp;"|"&amp;$I513&amp;"|"&amp;$J513&amp;"|"&amp;11,Assessments!$A$2:$A$600,0)),"")</f>
        <v/>
      </c>
      <c r="CF513" s="28" t="str">
        <f aca="false">IFERROR(INDEX(Assessments!$H$2:$H$600,MATCH($H513&amp;"|"&amp;$I513&amp;"|"&amp;$J513&amp;"|"&amp;12,Assessments!$A$2:$A$600,0)),"")</f>
        <v/>
      </c>
      <c r="CG513" s="28" t="str">
        <f aca="false">IFERROR(INDEX(Assessments!$H$2:$H$600,MATCH($H513&amp;"|"&amp;$I513&amp;"|"&amp;$J513&amp;"|"&amp;13,Assessments!$A$2:$A$600,0)),"")</f>
        <v/>
      </c>
      <c r="CH513" s="28" t="str">
        <f aca="false">IFERROR(INDEX(Assessments!$H$2:$H$600,MATCH($H513&amp;"|"&amp;$I513&amp;"|"&amp;$J513&amp;"|"&amp;14,Assessments!$A$2:$A$600,0)),"")</f>
        <v/>
      </c>
      <c r="CI513" s="28" t="str">
        <f aca="false">IFERROR(INDEX(Assessments!$I$2:$I$600,MATCH($H513&amp;"|"&amp;$I513&amp;"|"&amp;$J513&amp;"|"&amp;1,Assessments!$A$2:$A$600,0)),"")</f>
        <v/>
      </c>
      <c r="CJ513" s="28" t="str">
        <f aca="false">IFERROR(INDEX(Assessments!$I$2:$I$600,MATCH($H513&amp;"|"&amp;$I513&amp;"|"&amp;$J513&amp;"|"&amp;2,Assessments!$A$2:$A$600,0)),"")</f>
        <v/>
      </c>
      <c r="CK513" s="28" t="str">
        <f aca="false">IFERROR(INDEX(Assessments!$I$2:$I$600,MATCH($H513&amp;"|"&amp;$I513&amp;"|"&amp;$J513&amp;"|"&amp;3,Assessments!$A$2:$A$600,0)),"")</f>
        <v/>
      </c>
      <c r="CL513" s="28" t="str">
        <f aca="false">IFERROR(INDEX(Assessments!$I$2:$I$600,MATCH($H513&amp;"|"&amp;$I513&amp;"|"&amp;$J513&amp;"|"&amp;4,Assessments!$A$2:$A$600,0)),"")</f>
        <v/>
      </c>
      <c r="CM513" s="28" t="str">
        <f aca="false">IFERROR(INDEX(Assessments!$I$2:$I$600,MATCH($H513&amp;"|"&amp;$I513&amp;"|"&amp;$J513&amp;"|"&amp;5,Assessments!$A$2:$A$600,0)),"")</f>
        <v/>
      </c>
      <c r="CN513" s="28" t="str">
        <f aca="false">IFERROR(INDEX(Assessments!$I$2:$I$600,MATCH($H513&amp;"|"&amp;$I513&amp;"|"&amp;$J513&amp;"|"&amp;6,Assessments!$A$2:$A$600,0)),"")</f>
        <v/>
      </c>
      <c r="CO513" s="28" t="str">
        <f aca="false">IFERROR(INDEX(Assessments!$I$2:$I$600,MATCH($H513&amp;"|"&amp;$I513&amp;"|"&amp;$J513&amp;"|"&amp;7,Assessments!$A$2:$A$600,0)),"")</f>
        <v/>
      </c>
      <c r="CP513" s="28" t="str">
        <f aca="false">IFERROR(INDEX(Assessments!$I$2:$I$600,MATCH($H513&amp;"|"&amp;$I513&amp;"|"&amp;$J513&amp;"|"&amp;8,Assessments!$A$2:$A$600,0)),"")</f>
        <v/>
      </c>
      <c r="CQ513" s="28" t="str">
        <f aca="false">IFERROR(INDEX(Assessments!$I$2:$I$600,MATCH($H513&amp;"|"&amp;$I513&amp;"|"&amp;$J513&amp;"|"&amp;9,Assessments!$A$2:$A$600,0)),"")</f>
        <v/>
      </c>
      <c r="CR513" s="28" t="str">
        <f aca="false">IFERROR(INDEX(Assessments!$I$2:$I$600,MATCH($H513&amp;"|"&amp;$I513&amp;"|"&amp;$J513&amp;"|"&amp;10,Assessments!$A$2:$A$600,0)),"")</f>
        <v/>
      </c>
      <c r="CS513" s="28" t="str">
        <f aca="false">IFERROR(INDEX(Assessments!$I$2:$I$600,MATCH($H513&amp;"|"&amp;$I513&amp;"|"&amp;$J513&amp;"|"&amp;11,Assessments!$A$2:$A$600,0)),"")</f>
        <v/>
      </c>
      <c r="CT513" s="28" t="str">
        <f aca="false">IFERROR(INDEX(Assessments!$I$2:$I$600,MATCH($H513&amp;"|"&amp;$I513&amp;"|"&amp;$J513&amp;"|"&amp;12,Assessments!$A$2:$A$600,0)),"")</f>
        <v/>
      </c>
      <c r="CU513" s="28" t="str">
        <f aca="false">IFERROR(INDEX(Assessments!$I$2:$I$600,MATCH($H513&amp;"|"&amp;$I513&amp;"|"&amp;$J513&amp;"|"&amp;13,Assessments!$A$2:$A$600,0)),"")</f>
        <v/>
      </c>
      <c r="CV513" s="28" t="str">
        <f aca="false">IFERROR(INDEX(Assessments!$I$2:$I$600,MATCH($H513&amp;"|"&amp;$I513&amp;"|"&amp;$J513&amp;"|"&amp;14,Assessments!$A$2:$A$600,0)),"")</f>
        <v/>
      </c>
      <c r="CW513" s="28" t="n">
        <f aca="false">IFERROR(INDEX(Assessments!$J$2:$J$600,MATCH($H513&amp;"|"&amp;$I513&amp;"|"&amp;$J513&amp;"|"&amp;1,Assessments!$A$2:$A$600,0)),0)</f>
        <v>0</v>
      </c>
      <c r="CX513" s="28" t="n">
        <f aca="false">IFERROR(INDEX(Assessments!$J$2:$J$600,MATCH($H513&amp;"|"&amp;$I513&amp;"|"&amp;$J513&amp;"|"&amp;2,Assessments!$A$2:$A$600,0)),0)</f>
        <v>0</v>
      </c>
      <c r="CY513" s="28" t="n">
        <f aca="false">IFERROR(INDEX(Assessments!$J$2:$J$600,MATCH($H513&amp;"|"&amp;$I513&amp;"|"&amp;$J513&amp;"|"&amp;3,Assessments!$A$2:$A$600,0)),0)</f>
        <v>0</v>
      </c>
      <c r="CZ513" s="28" t="n">
        <f aca="false">IFERROR(INDEX(Assessments!$J$2:$J$600,MATCH($H513&amp;"|"&amp;$I513&amp;"|"&amp;$J513&amp;"|"&amp;4,Assessments!$A$2:$A$600,0)),0)</f>
        <v>0</v>
      </c>
      <c r="DA513" s="28" t="n">
        <f aca="false">IFERROR(INDEX(Assessments!$J$2:$J$600,MATCH($H513&amp;"|"&amp;$I513&amp;"|"&amp;$J513&amp;"|"&amp;5,Assessments!$A$2:$A$600,0)),0)</f>
        <v>0</v>
      </c>
      <c r="DB513" s="28" t="n">
        <f aca="false">IFERROR(INDEX(Assessments!$J$2:$J$600,MATCH($H513&amp;"|"&amp;$I513&amp;"|"&amp;$J513&amp;"|"&amp;6,Assessments!$A$2:$A$600,0)),0)</f>
        <v>0</v>
      </c>
      <c r="DC513" s="28" t="n">
        <f aca="false">IFERROR(INDEX(Assessments!$J$2:$J$600,MATCH($H513&amp;"|"&amp;$I513&amp;"|"&amp;$J513&amp;"|"&amp;7,Assessments!$A$2:$A$600,0)),0)</f>
        <v>0</v>
      </c>
      <c r="DD513" s="28" t="n">
        <f aca="false">IFERROR(INDEX(Assessments!$J$2:$J$600,MATCH($H513&amp;"|"&amp;$I513&amp;"|"&amp;$J513&amp;"|"&amp;8,Assessments!$A$2:$A$600,0)),0)</f>
        <v>0</v>
      </c>
      <c r="DE513" s="28" t="n">
        <f aca="false">IFERROR(INDEX(Assessments!$J$2:$J$600,MATCH($H513&amp;"|"&amp;$I513&amp;"|"&amp;$J513&amp;"|"&amp;9,Assessments!$A$2:$A$600,0)),0)</f>
        <v>0</v>
      </c>
      <c r="DF513" s="28" t="n">
        <f aca="false">IFERROR(INDEX(Assessments!$J$2:$J$600,MATCH($H513&amp;"|"&amp;$I513&amp;"|"&amp;$J513&amp;"|"&amp;10,Assessments!$A$2:$A$600,0)),0)</f>
        <v>0</v>
      </c>
      <c r="DG513" s="28" t="n">
        <f aca="false">IFERROR(INDEX(Assessments!$J$2:$J$600,MATCH($H513&amp;"|"&amp;$I513&amp;"|"&amp;$J513&amp;"|"&amp;11,Assessments!$A$2:$A$600,0)),0)</f>
        <v>0</v>
      </c>
      <c r="DH513" s="28" t="n">
        <f aca="false">IFERROR(INDEX(Assessments!$J$2:$J$600,MATCH($H513&amp;"|"&amp;$I513&amp;"|"&amp;$J513&amp;"|"&amp;12,Assessments!$A$2:$A$600,0)),0)</f>
        <v>0</v>
      </c>
      <c r="DI513" s="28" t="n">
        <f aca="false">IFERROR(INDEX(Assessments!$J$2:$J$600,MATCH($H513&amp;"|"&amp;$I513&amp;"|"&amp;$J513&amp;"|"&amp;13,Assessments!$A$2:$A$600,0)),0)</f>
        <v>0</v>
      </c>
      <c r="DJ513" s="28" t="n">
        <f aca="false">IFERROR(INDEX(Assessments!$J$2:$J$600,MATCH($H513&amp;"|"&amp;$I513&amp;"|"&amp;$J513&amp;"|"&amp;14,Assessments!$A$2:$A$600,0)),0)</f>
        <v>0</v>
      </c>
      <c r="DK513" s="28" t="str">
        <f aca="false">S513</f>
        <v/>
      </c>
      <c r="DL513" s="28" t="str">
        <f aca="false">W513</f>
        <v/>
      </c>
      <c r="DM513" s="28" t="str">
        <f aca="false">AA513</f>
        <v/>
      </c>
      <c r="DN513" s="28" t="str">
        <f aca="false">AE513</f>
        <v/>
      </c>
      <c r="DO513" s="28" t="str">
        <f aca="false">AI513</f>
        <v/>
      </c>
      <c r="DP513" s="28" t="str">
        <f aca="false">AM513</f>
        <v/>
      </c>
      <c r="DQ513" s="28" t="str">
        <f aca="false">AQ513</f>
        <v/>
      </c>
      <c r="DR513" s="28" t="str">
        <f aca="false">AU513</f>
        <v/>
      </c>
      <c r="DS513" s="28" t="str">
        <f aca="false">AY513</f>
        <v/>
      </c>
      <c r="DT513" s="28" t="str">
        <f aca="false">BC513</f>
        <v/>
      </c>
      <c r="DU513" s="28" t="str">
        <f aca="false">BG513</f>
        <v/>
      </c>
      <c r="DV513" s="28" t="str">
        <f aca="false">BK513</f>
        <v/>
      </c>
      <c r="DW513" s="28" t="str">
        <f aca="false">BO513</f>
        <v/>
      </c>
      <c r="DX513" s="28" t="str">
        <f aca="false">BS513</f>
        <v/>
      </c>
      <c r="DY513" s="28" t="str">
        <f aca="false">IF(ISNUMBER(S513),1,"")</f>
        <v/>
      </c>
      <c r="DZ513" s="28" t="str">
        <f aca="false">IF(ISNUMBER(W513),2,"")</f>
        <v/>
      </c>
      <c r="EA513" s="28" t="str">
        <f aca="false">IF(ISNUMBER(AA513),3,"")</f>
        <v/>
      </c>
      <c r="EB513" s="28" t="str">
        <f aca="false">IF(ISNUMBER(AE513),4,"")</f>
        <v/>
      </c>
      <c r="EC513" s="28" t="str">
        <f aca="false">IF(ISNUMBER(AI513),5,"")</f>
        <v/>
      </c>
      <c r="ED513" s="28" t="str">
        <f aca="false">IF(ISNUMBER(AM513),6,"")</f>
        <v/>
      </c>
      <c r="EE513" s="28" t="str">
        <f aca="false">IF(ISNUMBER(AQ513),7,"")</f>
        <v/>
      </c>
      <c r="EF513" s="28" t="str">
        <f aca="false">IF(ISNUMBER(AU513),8,"")</f>
        <v/>
      </c>
      <c r="EG513" s="28" t="str">
        <f aca="false">IF(ISNUMBER(AY513),9,"")</f>
        <v/>
      </c>
      <c r="EH513" s="28" t="str">
        <f aca="false">IF(ISNUMBER(BC513),10,"")</f>
        <v/>
      </c>
      <c r="EI513" s="28" t="str">
        <f aca="false">IF(ISNUMBER(BG513),11,"")</f>
        <v/>
      </c>
      <c r="EJ513" s="28" t="str">
        <f aca="false">IF(ISNUMBER(BK513),12,"")</f>
        <v/>
      </c>
      <c r="EK513" s="28" t="str">
        <f aca="false">IF(ISNUMBER(BO513),13,"")</f>
        <v/>
      </c>
      <c r="EL513" s="28" t="str">
        <f aca="false">IF(ISNUMBER(BS513),14,"")</f>
        <v/>
      </c>
      <c r="EM513" s="28" t="n">
        <f aca="false">IF(ISNUMBER(R513),R513*CW513,0)</f>
        <v>0</v>
      </c>
      <c r="EN513" s="28" t="n">
        <f aca="false">IF(ISNUMBER(V513),V513*CX513,0)</f>
        <v>0</v>
      </c>
      <c r="EO513" s="28" t="n">
        <f aca="false">IF(ISNUMBER(Z513),Z513*CY513,0)</f>
        <v>0</v>
      </c>
      <c r="EP513" s="28" t="n">
        <f aca="false">IF(ISNUMBER(AD513),AD513*CZ513,0)</f>
        <v>0</v>
      </c>
      <c r="EQ513" s="28" t="n">
        <f aca="false">IF(ISNUMBER(AH513),AH513*DA513,0)</f>
        <v>0</v>
      </c>
      <c r="ER513" s="28" t="n">
        <f aca="false">IF(ISNUMBER(AL513),AL513*DB513,0)</f>
        <v>0</v>
      </c>
      <c r="ES513" s="28" t="n">
        <f aca="false">IF(ISNUMBER(AP513),AP513*DC513,0)</f>
        <v>0</v>
      </c>
      <c r="ET513" s="28" t="n">
        <f aca="false">IF(ISNUMBER(AT513),AT513*DD513,0)</f>
        <v>0</v>
      </c>
      <c r="EU513" s="28" t="n">
        <f aca="false">IF(ISNUMBER(AX513),AX513*DE513,0)</f>
        <v>0</v>
      </c>
      <c r="EV513" s="28" t="n">
        <f aca="false">IF(ISNUMBER(BB513),BB513*DF513,0)</f>
        <v>0</v>
      </c>
      <c r="EW513" s="28" t="n">
        <f aca="false">IF(ISNUMBER(BF513),BF513*DG513,0)</f>
        <v>0</v>
      </c>
      <c r="EX513" s="28" t="n">
        <f aca="false">IF(ISNUMBER(BJ513),BJ513*DH513,0)</f>
        <v>0</v>
      </c>
      <c r="EY513" s="28" t="n">
        <f aca="false">IF(ISNUMBER(BN513),BN513*DI513,0)</f>
        <v>0</v>
      </c>
      <c r="EZ513" s="28" t="n">
        <f aca="false">IF(ISNUMBER(BR513),BR513*DJ513,0)</f>
        <v>0</v>
      </c>
      <c r="FA513" s="28" t="n">
        <f aca="false">IF(ISNUMBER(R513),CW513,0)</f>
        <v>0</v>
      </c>
      <c r="FB513" s="28" t="n">
        <f aca="false">IF(ISNUMBER(V513),CX513,0)</f>
        <v>0</v>
      </c>
      <c r="FC513" s="28" t="n">
        <f aca="false">IF(ISNUMBER(Z513),CY513,0)</f>
        <v>0</v>
      </c>
      <c r="FD513" s="28" t="n">
        <f aca="false">IF(ISNUMBER(AD513),CZ513,0)</f>
        <v>0</v>
      </c>
      <c r="FE513" s="28" t="n">
        <f aca="false">IF(ISNUMBER(AH513),DA513,0)</f>
        <v>0</v>
      </c>
      <c r="FF513" s="28" t="n">
        <f aca="false">IF(ISNUMBER(AL513),DB513,0)</f>
        <v>0</v>
      </c>
      <c r="FG513" s="28" t="n">
        <f aca="false">IF(ISNUMBER(AP513),DC513,0)</f>
        <v>0</v>
      </c>
      <c r="FH513" s="28" t="n">
        <f aca="false">IF(ISNUMBER(AT513),DD513,0)</f>
        <v>0</v>
      </c>
      <c r="FI513" s="28" t="n">
        <f aca="false">IF(ISNUMBER(AX513),DE513,0)</f>
        <v>0</v>
      </c>
      <c r="FJ513" s="28" t="n">
        <f aca="false">IF(ISNUMBER(BB513),DF513,0)</f>
        <v>0</v>
      </c>
      <c r="FK513" s="28" t="n">
        <f aca="false">IF(ISNUMBER(BF513),DG513,0)</f>
        <v>0</v>
      </c>
      <c r="FL513" s="28" t="n">
        <f aca="false">IF(ISNUMBER(BJ513),DH513,0)</f>
        <v>0</v>
      </c>
      <c r="FM513" s="28" t="n">
        <f aca="false">IF(ISNUMBER(BN513),DI513,0)</f>
        <v>0</v>
      </c>
      <c r="FN513" s="28" t="n">
        <f aca="false">IF(ISNUMBER(BR513),DJ513,0)</f>
        <v>0</v>
      </c>
      <c r="FO513" s="28" t="str">
        <f aca="false">IFERROR(INDEX(Lists!$G$2:$G$20,MATCH($I513&amp;"|"&amp;$J513,Lists!$F$2:$F$20,0)),"")</f>
        <v/>
      </c>
    </row>
    <row r="514" customFormat="false" ht="19.5" hidden="false" customHeight="true" outlineLevel="0" collapsed="false">
      <c r="A514" s="29"/>
      <c r="B514" s="29"/>
      <c r="C514" s="30"/>
      <c r="D514" s="30"/>
      <c r="E514" s="31"/>
      <c r="F514" s="30"/>
      <c r="G514" s="30"/>
      <c r="H514" s="32"/>
      <c r="I514" s="33"/>
      <c r="J514" s="32"/>
      <c r="K514" s="34" t="str">
        <f aca="false">IF(OR(M514="",$E514=""),"",M514-$E514)</f>
        <v/>
      </c>
      <c r="L514" s="35" t="str">
        <f aca="false">IF(SUM(FA514:FN514)=0,"",SUM(EM514:EZ514)/SUM(FA514:FN514))</f>
        <v/>
      </c>
      <c r="M514" s="36" t="str">
        <f aca="false">IF(OR(L514="",FO514=""),"",IFERROR(MATCH(L514,INDEX(Boundaries!$B$2:$I$30,MATCH(FO514,Boundaries!$A$2:$A$30,0),0),1)-1,""))</f>
        <v/>
      </c>
      <c r="N514" s="37" t="str">
        <f aca="false">IF(COUNT($DY514:$EL514)&lt;2,"",INDEX($DK514:$DX514,MAX($DY514:$EL514))-INDEX($DK514:$DX514,MIN($DY514:$EL514)))</f>
        <v/>
      </c>
      <c r="O514" s="37" t="str">
        <f aca="false">IF(COUNT($DY514:$EL514)&lt;2,"",INDEX($DK514:$DX514,MAX($DY514:$EL514))-INDEX($DK514:$DX514,LARGE($DY514:$EL514,2)))</f>
        <v/>
      </c>
      <c r="P514" s="38" t="str">
        <f aca="false">IF(K514="","",IF(K514&gt;=0,"On/above target",IF(AND(N514&lt;&gt;"",N514&gt;=0.5),"Improving towards target",IF(AND(O514&lt;&gt;"",O514&lt;=-0.5),"Declining","Stable below target"))))</f>
        <v/>
      </c>
      <c r="Q514" s="39"/>
      <c r="R514" s="40" t="str">
        <f aca="false">IF(OR(Q514="",BU514=""),"",Q514/BU514*100)</f>
        <v/>
      </c>
      <c r="S514" s="41" t="str">
        <f aca="false">IF(R514="","",IFERROR(MATCH(R514,INDEX(Boundaries!$B$2:$I$30,MATCH(CI514,Boundaries!$A$2:$A$30,0),0),1)-1,""))</f>
        <v/>
      </c>
      <c r="T514" s="42" t="str">
        <f aca="false">IF(OR(S514="",$E514=""),"",S514-$E514)</f>
        <v/>
      </c>
      <c r="U514" s="39"/>
      <c r="V514" s="40" t="str">
        <f aca="false">IF(OR(U514="",BV514=""),"",U514/BV514*100)</f>
        <v/>
      </c>
      <c r="W514" s="41" t="str">
        <f aca="false">IF(V514="","",IFERROR(MATCH(V514,INDEX(Boundaries!$B$2:$I$30,MATCH(CJ514,Boundaries!$A$2:$A$30,0),0),1)-1,""))</f>
        <v/>
      </c>
      <c r="X514" s="42" t="str">
        <f aca="false">IF(OR(W514="",$E514=""),"",W514-$E514)</f>
        <v/>
      </c>
      <c r="Y514" s="39"/>
      <c r="Z514" s="40" t="str">
        <f aca="false">IF(OR(Y514="",BW514=""),"",Y514/BW514*100)</f>
        <v/>
      </c>
      <c r="AA514" s="41" t="str">
        <f aca="false">IF(Z514="","",IFERROR(MATCH(Z514,INDEX(Boundaries!$B$2:$I$30,MATCH(CK514,Boundaries!$A$2:$A$30,0),0),1)-1,""))</f>
        <v/>
      </c>
      <c r="AB514" s="42" t="str">
        <f aca="false">IF(OR(AA514="",$E514=""),"",AA514-$E514)</f>
        <v/>
      </c>
      <c r="AC514" s="39"/>
      <c r="AD514" s="40" t="str">
        <f aca="false">IF(OR(AC514="",BX514=""),"",AC514/BX514*100)</f>
        <v/>
      </c>
      <c r="AE514" s="41" t="str">
        <f aca="false">IF(AD514="","",IFERROR(MATCH(AD514,INDEX(Boundaries!$B$2:$I$30,MATCH(CL514,Boundaries!$A$2:$A$30,0),0),1)-1,""))</f>
        <v/>
      </c>
      <c r="AF514" s="42" t="str">
        <f aca="false">IF(OR(AE514="",$E514=""),"",AE514-$E514)</f>
        <v/>
      </c>
      <c r="AG514" s="39"/>
      <c r="AH514" s="40" t="str">
        <f aca="false">IF(OR(AG514="",BY514=""),"",AG514/BY514*100)</f>
        <v/>
      </c>
      <c r="AI514" s="41" t="str">
        <f aca="false">IF(AH514="","",IFERROR(MATCH(AH514,INDEX(Boundaries!$B$2:$I$30,MATCH(CM514,Boundaries!$A$2:$A$30,0),0),1)-1,""))</f>
        <v/>
      </c>
      <c r="AJ514" s="42" t="str">
        <f aca="false">IF(OR(AI514="",$E514=""),"",AI514-$E514)</f>
        <v/>
      </c>
      <c r="AK514" s="39"/>
      <c r="AL514" s="40" t="str">
        <f aca="false">IF(OR(AK514="",BZ514=""),"",AK514/BZ514*100)</f>
        <v/>
      </c>
      <c r="AM514" s="41" t="str">
        <f aca="false">IF(AL514="","",IFERROR(MATCH(AL514,INDEX(Boundaries!$B$2:$I$30,MATCH(CN514,Boundaries!$A$2:$A$30,0),0),1)-1,""))</f>
        <v/>
      </c>
      <c r="AN514" s="42" t="str">
        <f aca="false">IF(OR(AM514="",$E514=""),"",AM514-$E514)</f>
        <v/>
      </c>
      <c r="AO514" s="39"/>
      <c r="AP514" s="40" t="str">
        <f aca="false">IF(OR(AO514="",CA514=""),"",AO514/CA514*100)</f>
        <v/>
      </c>
      <c r="AQ514" s="41" t="str">
        <f aca="false">IF(AP514="","",IFERROR(MATCH(AP514,INDEX(Boundaries!$B$2:$I$30,MATCH(CO514,Boundaries!$A$2:$A$30,0),0),1)-1,""))</f>
        <v/>
      </c>
      <c r="AR514" s="42" t="str">
        <f aca="false">IF(OR(AQ514="",$E514=""),"",AQ514-$E514)</f>
        <v/>
      </c>
      <c r="AS514" s="39"/>
      <c r="AT514" s="40" t="str">
        <f aca="false">IF(OR(AS514="",CB514=""),"",AS514/CB514*100)</f>
        <v/>
      </c>
      <c r="AU514" s="41" t="str">
        <f aca="false">IF(AT514="","",IFERROR(MATCH(AT514,INDEX(Boundaries!$B$2:$I$30,MATCH(CP514,Boundaries!$A$2:$A$30,0),0),1)-1,""))</f>
        <v/>
      </c>
      <c r="AV514" s="42" t="str">
        <f aca="false">IF(OR(AU514="",$E514=""),"",AU514-$E514)</f>
        <v/>
      </c>
      <c r="AW514" s="39"/>
      <c r="AX514" s="40" t="str">
        <f aca="false">IF(OR(AW514="",CC514=""),"",AW514/CC514*100)</f>
        <v/>
      </c>
      <c r="AY514" s="41" t="str">
        <f aca="false">IF(AX514="","",IFERROR(MATCH(AX514,INDEX(Boundaries!$B$2:$I$30,MATCH(CQ514,Boundaries!$A$2:$A$30,0),0),1)-1,""))</f>
        <v/>
      </c>
      <c r="AZ514" s="42" t="str">
        <f aca="false">IF(OR(AY514="",$E514=""),"",AY514-$E514)</f>
        <v/>
      </c>
      <c r="BA514" s="39"/>
      <c r="BB514" s="40" t="str">
        <f aca="false">IF(OR(BA514="",CD514=""),"",BA514/CD514*100)</f>
        <v/>
      </c>
      <c r="BC514" s="41" t="str">
        <f aca="false">IF(BB514="","",IFERROR(MATCH(BB514,INDEX(Boundaries!$B$2:$I$30,MATCH(CR514,Boundaries!$A$2:$A$30,0),0),1)-1,""))</f>
        <v/>
      </c>
      <c r="BD514" s="42" t="str">
        <f aca="false">IF(OR(BC514="",$E514=""),"",BC514-$E514)</f>
        <v/>
      </c>
      <c r="BE514" s="39"/>
      <c r="BF514" s="40" t="str">
        <f aca="false">IF(OR(BE514="",CE514=""),"",BE514/CE514*100)</f>
        <v/>
      </c>
      <c r="BG514" s="41" t="str">
        <f aca="false">IF(BF514="","",IFERROR(MATCH(BF514,INDEX(Boundaries!$B$2:$I$30,MATCH(CS514,Boundaries!$A$2:$A$30,0),0),1)-1,""))</f>
        <v/>
      </c>
      <c r="BH514" s="42" t="str">
        <f aca="false">IF(OR(BG514="",$E514=""),"",BG514-$E514)</f>
        <v/>
      </c>
      <c r="BI514" s="39"/>
      <c r="BJ514" s="40" t="str">
        <f aca="false">IF(OR(BI514="",CF514=""),"",BI514/CF514*100)</f>
        <v/>
      </c>
      <c r="BK514" s="41" t="str">
        <f aca="false">IF(BJ514="","",IFERROR(MATCH(BJ514,INDEX(Boundaries!$B$2:$I$30,MATCH(CT514,Boundaries!$A$2:$A$30,0),0),1)-1,""))</f>
        <v/>
      </c>
      <c r="BL514" s="42" t="str">
        <f aca="false">IF(OR(BK514="",$E514=""),"",BK514-$E514)</f>
        <v/>
      </c>
      <c r="BM514" s="39"/>
      <c r="BN514" s="40" t="str">
        <f aca="false">IF(OR(BM514="",CG514=""),"",BM514/CG514*100)</f>
        <v/>
      </c>
      <c r="BO514" s="41" t="str">
        <f aca="false">IF(BN514="","",IFERROR(MATCH(BN514,INDEX(Boundaries!$B$2:$I$30,MATCH(CU514,Boundaries!$A$2:$A$30,0),0),1)-1,""))</f>
        <v/>
      </c>
      <c r="BP514" s="42" t="str">
        <f aca="false">IF(OR(BO514="",$E514=""),"",BO514-$E514)</f>
        <v/>
      </c>
      <c r="BQ514" s="39"/>
      <c r="BR514" s="40" t="str">
        <f aca="false">IF(OR(BQ514="",CH514=""),"",BQ514/CH514*100)</f>
        <v/>
      </c>
      <c r="BS514" s="41" t="str">
        <f aca="false">IF(BR514="","",IFERROR(MATCH(BR514,INDEX(Boundaries!$B$2:$I$30,MATCH(CV514,Boundaries!$A$2:$A$30,0),0),1)-1,""))</f>
        <v/>
      </c>
      <c r="BT514" s="42" t="str">
        <f aca="false">IF(OR(BS514="",$E514=""),"",BS514-$E514)</f>
        <v/>
      </c>
      <c r="BU514" s="28" t="str">
        <f aca="false">IFERROR(INDEX(Assessments!$H$2:$H$600,MATCH($H514&amp;"|"&amp;$I514&amp;"|"&amp;$J514&amp;"|"&amp;1,Assessments!$A$2:$A$600,0)),"")</f>
        <v/>
      </c>
      <c r="BV514" s="28" t="str">
        <f aca="false">IFERROR(INDEX(Assessments!$H$2:$H$600,MATCH($H514&amp;"|"&amp;$I514&amp;"|"&amp;$J514&amp;"|"&amp;2,Assessments!$A$2:$A$600,0)),"")</f>
        <v/>
      </c>
      <c r="BW514" s="28" t="str">
        <f aca="false">IFERROR(INDEX(Assessments!$H$2:$H$600,MATCH($H514&amp;"|"&amp;$I514&amp;"|"&amp;$J514&amp;"|"&amp;3,Assessments!$A$2:$A$600,0)),"")</f>
        <v/>
      </c>
      <c r="BX514" s="28" t="str">
        <f aca="false">IFERROR(INDEX(Assessments!$H$2:$H$600,MATCH($H514&amp;"|"&amp;$I514&amp;"|"&amp;$J514&amp;"|"&amp;4,Assessments!$A$2:$A$600,0)),"")</f>
        <v/>
      </c>
      <c r="BY514" s="28" t="str">
        <f aca="false">IFERROR(INDEX(Assessments!$H$2:$H$600,MATCH($H514&amp;"|"&amp;$I514&amp;"|"&amp;$J514&amp;"|"&amp;5,Assessments!$A$2:$A$600,0)),"")</f>
        <v/>
      </c>
      <c r="BZ514" s="28" t="str">
        <f aca="false">IFERROR(INDEX(Assessments!$H$2:$H$600,MATCH($H514&amp;"|"&amp;$I514&amp;"|"&amp;$J514&amp;"|"&amp;6,Assessments!$A$2:$A$600,0)),"")</f>
        <v/>
      </c>
      <c r="CA514" s="28" t="str">
        <f aca="false">IFERROR(INDEX(Assessments!$H$2:$H$600,MATCH($H514&amp;"|"&amp;$I514&amp;"|"&amp;$J514&amp;"|"&amp;7,Assessments!$A$2:$A$600,0)),"")</f>
        <v/>
      </c>
      <c r="CB514" s="28" t="str">
        <f aca="false">IFERROR(INDEX(Assessments!$H$2:$H$600,MATCH($H514&amp;"|"&amp;$I514&amp;"|"&amp;$J514&amp;"|"&amp;8,Assessments!$A$2:$A$600,0)),"")</f>
        <v/>
      </c>
      <c r="CC514" s="28" t="str">
        <f aca="false">IFERROR(INDEX(Assessments!$H$2:$H$600,MATCH($H514&amp;"|"&amp;$I514&amp;"|"&amp;$J514&amp;"|"&amp;9,Assessments!$A$2:$A$600,0)),"")</f>
        <v/>
      </c>
      <c r="CD514" s="28" t="str">
        <f aca="false">IFERROR(INDEX(Assessments!$H$2:$H$600,MATCH($H514&amp;"|"&amp;$I514&amp;"|"&amp;$J514&amp;"|"&amp;10,Assessments!$A$2:$A$600,0)),"")</f>
        <v/>
      </c>
      <c r="CE514" s="28" t="str">
        <f aca="false">IFERROR(INDEX(Assessments!$H$2:$H$600,MATCH($H514&amp;"|"&amp;$I514&amp;"|"&amp;$J514&amp;"|"&amp;11,Assessments!$A$2:$A$600,0)),"")</f>
        <v/>
      </c>
      <c r="CF514" s="28" t="str">
        <f aca="false">IFERROR(INDEX(Assessments!$H$2:$H$600,MATCH($H514&amp;"|"&amp;$I514&amp;"|"&amp;$J514&amp;"|"&amp;12,Assessments!$A$2:$A$600,0)),"")</f>
        <v/>
      </c>
      <c r="CG514" s="28" t="str">
        <f aca="false">IFERROR(INDEX(Assessments!$H$2:$H$600,MATCH($H514&amp;"|"&amp;$I514&amp;"|"&amp;$J514&amp;"|"&amp;13,Assessments!$A$2:$A$600,0)),"")</f>
        <v/>
      </c>
      <c r="CH514" s="28" t="str">
        <f aca="false">IFERROR(INDEX(Assessments!$H$2:$H$600,MATCH($H514&amp;"|"&amp;$I514&amp;"|"&amp;$J514&amp;"|"&amp;14,Assessments!$A$2:$A$600,0)),"")</f>
        <v/>
      </c>
      <c r="CI514" s="28" t="str">
        <f aca="false">IFERROR(INDEX(Assessments!$I$2:$I$600,MATCH($H514&amp;"|"&amp;$I514&amp;"|"&amp;$J514&amp;"|"&amp;1,Assessments!$A$2:$A$600,0)),"")</f>
        <v/>
      </c>
      <c r="CJ514" s="28" t="str">
        <f aca="false">IFERROR(INDEX(Assessments!$I$2:$I$600,MATCH($H514&amp;"|"&amp;$I514&amp;"|"&amp;$J514&amp;"|"&amp;2,Assessments!$A$2:$A$600,0)),"")</f>
        <v/>
      </c>
      <c r="CK514" s="28" t="str">
        <f aca="false">IFERROR(INDEX(Assessments!$I$2:$I$600,MATCH($H514&amp;"|"&amp;$I514&amp;"|"&amp;$J514&amp;"|"&amp;3,Assessments!$A$2:$A$600,0)),"")</f>
        <v/>
      </c>
      <c r="CL514" s="28" t="str">
        <f aca="false">IFERROR(INDEX(Assessments!$I$2:$I$600,MATCH($H514&amp;"|"&amp;$I514&amp;"|"&amp;$J514&amp;"|"&amp;4,Assessments!$A$2:$A$600,0)),"")</f>
        <v/>
      </c>
      <c r="CM514" s="28" t="str">
        <f aca="false">IFERROR(INDEX(Assessments!$I$2:$I$600,MATCH($H514&amp;"|"&amp;$I514&amp;"|"&amp;$J514&amp;"|"&amp;5,Assessments!$A$2:$A$600,0)),"")</f>
        <v/>
      </c>
      <c r="CN514" s="28" t="str">
        <f aca="false">IFERROR(INDEX(Assessments!$I$2:$I$600,MATCH($H514&amp;"|"&amp;$I514&amp;"|"&amp;$J514&amp;"|"&amp;6,Assessments!$A$2:$A$600,0)),"")</f>
        <v/>
      </c>
      <c r="CO514" s="28" t="str">
        <f aca="false">IFERROR(INDEX(Assessments!$I$2:$I$600,MATCH($H514&amp;"|"&amp;$I514&amp;"|"&amp;$J514&amp;"|"&amp;7,Assessments!$A$2:$A$600,0)),"")</f>
        <v/>
      </c>
      <c r="CP514" s="28" t="str">
        <f aca="false">IFERROR(INDEX(Assessments!$I$2:$I$600,MATCH($H514&amp;"|"&amp;$I514&amp;"|"&amp;$J514&amp;"|"&amp;8,Assessments!$A$2:$A$600,0)),"")</f>
        <v/>
      </c>
      <c r="CQ514" s="28" t="str">
        <f aca="false">IFERROR(INDEX(Assessments!$I$2:$I$600,MATCH($H514&amp;"|"&amp;$I514&amp;"|"&amp;$J514&amp;"|"&amp;9,Assessments!$A$2:$A$600,0)),"")</f>
        <v/>
      </c>
      <c r="CR514" s="28" t="str">
        <f aca="false">IFERROR(INDEX(Assessments!$I$2:$I$600,MATCH($H514&amp;"|"&amp;$I514&amp;"|"&amp;$J514&amp;"|"&amp;10,Assessments!$A$2:$A$600,0)),"")</f>
        <v/>
      </c>
      <c r="CS514" s="28" t="str">
        <f aca="false">IFERROR(INDEX(Assessments!$I$2:$I$600,MATCH($H514&amp;"|"&amp;$I514&amp;"|"&amp;$J514&amp;"|"&amp;11,Assessments!$A$2:$A$600,0)),"")</f>
        <v/>
      </c>
      <c r="CT514" s="28" t="str">
        <f aca="false">IFERROR(INDEX(Assessments!$I$2:$I$600,MATCH($H514&amp;"|"&amp;$I514&amp;"|"&amp;$J514&amp;"|"&amp;12,Assessments!$A$2:$A$600,0)),"")</f>
        <v/>
      </c>
      <c r="CU514" s="28" t="str">
        <f aca="false">IFERROR(INDEX(Assessments!$I$2:$I$600,MATCH($H514&amp;"|"&amp;$I514&amp;"|"&amp;$J514&amp;"|"&amp;13,Assessments!$A$2:$A$600,0)),"")</f>
        <v/>
      </c>
      <c r="CV514" s="28" t="str">
        <f aca="false">IFERROR(INDEX(Assessments!$I$2:$I$600,MATCH($H514&amp;"|"&amp;$I514&amp;"|"&amp;$J514&amp;"|"&amp;14,Assessments!$A$2:$A$600,0)),"")</f>
        <v/>
      </c>
      <c r="CW514" s="28" t="n">
        <f aca="false">IFERROR(INDEX(Assessments!$J$2:$J$600,MATCH($H514&amp;"|"&amp;$I514&amp;"|"&amp;$J514&amp;"|"&amp;1,Assessments!$A$2:$A$600,0)),0)</f>
        <v>0</v>
      </c>
      <c r="CX514" s="28" t="n">
        <f aca="false">IFERROR(INDEX(Assessments!$J$2:$J$600,MATCH($H514&amp;"|"&amp;$I514&amp;"|"&amp;$J514&amp;"|"&amp;2,Assessments!$A$2:$A$600,0)),0)</f>
        <v>0</v>
      </c>
      <c r="CY514" s="28" t="n">
        <f aca="false">IFERROR(INDEX(Assessments!$J$2:$J$600,MATCH($H514&amp;"|"&amp;$I514&amp;"|"&amp;$J514&amp;"|"&amp;3,Assessments!$A$2:$A$600,0)),0)</f>
        <v>0</v>
      </c>
      <c r="CZ514" s="28" t="n">
        <f aca="false">IFERROR(INDEX(Assessments!$J$2:$J$600,MATCH($H514&amp;"|"&amp;$I514&amp;"|"&amp;$J514&amp;"|"&amp;4,Assessments!$A$2:$A$600,0)),0)</f>
        <v>0</v>
      </c>
      <c r="DA514" s="28" t="n">
        <f aca="false">IFERROR(INDEX(Assessments!$J$2:$J$600,MATCH($H514&amp;"|"&amp;$I514&amp;"|"&amp;$J514&amp;"|"&amp;5,Assessments!$A$2:$A$600,0)),0)</f>
        <v>0</v>
      </c>
      <c r="DB514" s="28" t="n">
        <f aca="false">IFERROR(INDEX(Assessments!$J$2:$J$600,MATCH($H514&amp;"|"&amp;$I514&amp;"|"&amp;$J514&amp;"|"&amp;6,Assessments!$A$2:$A$600,0)),0)</f>
        <v>0</v>
      </c>
      <c r="DC514" s="28" t="n">
        <f aca="false">IFERROR(INDEX(Assessments!$J$2:$J$600,MATCH($H514&amp;"|"&amp;$I514&amp;"|"&amp;$J514&amp;"|"&amp;7,Assessments!$A$2:$A$600,0)),0)</f>
        <v>0</v>
      </c>
      <c r="DD514" s="28" t="n">
        <f aca="false">IFERROR(INDEX(Assessments!$J$2:$J$600,MATCH($H514&amp;"|"&amp;$I514&amp;"|"&amp;$J514&amp;"|"&amp;8,Assessments!$A$2:$A$600,0)),0)</f>
        <v>0</v>
      </c>
      <c r="DE514" s="28" t="n">
        <f aca="false">IFERROR(INDEX(Assessments!$J$2:$J$600,MATCH($H514&amp;"|"&amp;$I514&amp;"|"&amp;$J514&amp;"|"&amp;9,Assessments!$A$2:$A$600,0)),0)</f>
        <v>0</v>
      </c>
      <c r="DF514" s="28" t="n">
        <f aca="false">IFERROR(INDEX(Assessments!$J$2:$J$600,MATCH($H514&amp;"|"&amp;$I514&amp;"|"&amp;$J514&amp;"|"&amp;10,Assessments!$A$2:$A$600,0)),0)</f>
        <v>0</v>
      </c>
      <c r="DG514" s="28" t="n">
        <f aca="false">IFERROR(INDEX(Assessments!$J$2:$J$600,MATCH($H514&amp;"|"&amp;$I514&amp;"|"&amp;$J514&amp;"|"&amp;11,Assessments!$A$2:$A$600,0)),0)</f>
        <v>0</v>
      </c>
      <c r="DH514" s="28" t="n">
        <f aca="false">IFERROR(INDEX(Assessments!$J$2:$J$600,MATCH($H514&amp;"|"&amp;$I514&amp;"|"&amp;$J514&amp;"|"&amp;12,Assessments!$A$2:$A$600,0)),0)</f>
        <v>0</v>
      </c>
      <c r="DI514" s="28" t="n">
        <f aca="false">IFERROR(INDEX(Assessments!$J$2:$J$600,MATCH($H514&amp;"|"&amp;$I514&amp;"|"&amp;$J514&amp;"|"&amp;13,Assessments!$A$2:$A$600,0)),0)</f>
        <v>0</v>
      </c>
      <c r="DJ514" s="28" t="n">
        <f aca="false">IFERROR(INDEX(Assessments!$J$2:$J$600,MATCH($H514&amp;"|"&amp;$I514&amp;"|"&amp;$J514&amp;"|"&amp;14,Assessments!$A$2:$A$600,0)),0)</f>
        <v>0</v>
      </c>
      <c r="DK514" s="28" t="str">
        <f aca="false">S514</f>
        <v/>
      </c>
      <c r="DL514" s="28" t="str">
        <f aca="false">W514</f>
        <v/>
      </c>
      <c r="DM514" s="28" t="str">
        <f aca="false">AA514</f>
        <v/>
      </c>
      <c r="DN514" s="28" t="str">
        <f aca="false">AE514</f>
        <v/>
      </c>
      <c r="DO514" s="28" t="str">
        <f aca="false">AI514</f>
        <v/>
      </c>
      <c r="DP514" s="28" t="str">
        <f aca="false">AM514</f>
        <v/>
      </c>
      <c r="DQ514" s="28" t="str">
        <f aca="false">AQ514</f>
        <v/>
      </c>
      <c r="DR514" s="28" t="str">
        <f aca="false">AU514</f>
        <v/>
      </c>
      <c r="DS514" s="28" t="str">
        <f aca="false">AY514</f>
        <v/>
      </c>
      <c r="DT514" s="28" t="str">
        <f aca="false">BC514</f>
        <v/>
      </c>
      <c r="DU514" s="28" t="str">
        <f aca="false">BG514</f>
        <v/>
      </c>
      <c r="DV514" s="28" t="str">
        <f aca="false">BK514</f>
        <v/>
      </c>
      <c r="DW514" s="28" t="str">
        <f aca="false">BO514</f>
        <v/>
      </c>
      <c r="DX514" s="28" t="str">
        <f aca="false">BS514</f>
        <v/>
      </c>
      <c r="DY514" s="28" t="str">
        <f aca="false">IF(ISNUMBER(S514),1,"")</f>
        <v/>
      </c>
      <c r="DZ514" s="28" t="str">
        <f aca="false">IF(ISNUMBER(W514),2,"")</f>
        <v/>
      </c>
      <c r="EA514" s="28" t="str">
        <f aca="false">IF(ISNUMBER(AA514),3,"")</f>
        <v/>
      </c>
      <c r="EB514" s="28" t="str">
        <f aca="false">IF(ISNUMBER(AE514),4,"")</f>
        <v/>
      </c>
      <c r="EC514" s="28" t="str">
        <f aca="false">IF(ISNUMBER(AI514),5,"")</f>
        <v/>
      </c>
      <c r="ED514" s="28" t="str">
        <f aca="false">IF(ISNUMBER(AM514),6,"")</f>
        <v/>
      </c>
      <c r="EE514" s="28" t="str">
        <f aca="false">IF(ISNUMBER(AQ514),7,"")</f>
        <v/>
      </c>
      <c r="EF514" s="28" t="str">
        <f aca="false">IF(ISNUMBER(AU514),8,"")</f>
        <v/>
      </c>
      <c r="EG514" s="28" t="str">
        <f aca="false">IF(ISNUMBER(AY514),9,"")</f>
        <v/>
      </c>
      <c r="EH514" s="28" t="str">
        <f aca="false">IF(ISNUMBER(BC514),10,"")</f>
        <v/>
      </c>
      <c r="EI514" s="28" t="str">
        <f aca="false">IF(ISNUMBER(BG514),11,"")</f>
        <v/>
      </c>
      <c r="EJ514" s="28" t="str">
        <f aca="false">IF(ISNUMBER(BK514),12,"")</f>
        <v/>
      </c>
      <c r="EK514" s="28" t="str">
        <f aca="false">IF(ISNUMBER(BO514),13,"")</f>
        <v/>
      </c>
      <c r="EL514" s="28" t="str">
        <f aca="false">IF(ISNUMBER(BS514),14,"")</f>
        <v/>
      </c>
      <c r="EM514" s="28" t="n">
        <f aca="false">IF(ISNUMBER(R514),R514*CW514,0)</f>
        <v>0</v>
      </c>
      <c r="EN514" s="28" t="n">
        <f aca="false">IF(ISNUMBER(V514),V514*CX514,0)</f>
        <v>0</v>
      </c>
      <c r="EO514" s="28" t="n">
        <f aca="false">IF(ISNUMBER(Z514),Z514*CY514,0)</f>
        <v>0</v>
      </c>
      <c r="EP514" s="28" t="n">
        <f aca="false">IF(ISNUMBER(AD514),AD514*CZ514,0)</f>
        <v>0</v>
      </c>
      <c r="EQ514" s="28" t="n">
        <f aca="false">IF(ISNUMBER(AH514),AH514*DA514,0)</f>
        <v>0</v>
      </c>
      <c r="ER514" s="28" t="n">
        <f aca="false">IF(ISNUMBER(AL514),AL514*DB514,0)</f>
        <v>0</v>
      </c>
      <c r="ES514" s="28" t="n">
        <f aca="false">IF(ISNUMBER(AP514),AP514*DC514,0)</f>
        <v>0</v>
      </c>
      <c r="ET514" s="28" t="n">
        <f aca="false">IF(ISNUMBER(AT514),AT514*DD514,0)</f>
        <v>0</v>
      </c>
      <c r="EU514" s="28" t="n">
        <f aca="false">IF(ISNUMBER(AX514),AX514*DE514,0)</f>
        <v>0</v>
      </c>
      <c r="EV514" s="28" t="n">
        <f aca="false">IF(ISNUMBER(BB514),BB514*DF514,0)</f>
        <v>0</v>
      </c>
      <c r="EW514" s="28" t="n">
        <f aca="false">IF(ISNUMBER(BF514),BF514*DG514,0)</f>
        <v>0</v>
      </c>
      <c r="EX514" s="28" t="n">
        <f aca="false">IF(ISNUMBER(BJ514),BJ514*DH514,0)</f>
        <v>0</v>
      </c>
      <c r="EY514" s="28" t="n">
        <f aca="false">IF(ISNUMBER(BN514),BN514*DI514,0)</f>
        <v>0</v>
      </c>
      <c r="EZ514" s="28" t="n">
        <f aca="false">IF(ISNUMBER(BR514),BR514*DJ514,0)</f>
        <v>0</v>
      </c>
      <c r="FA514" s="28" t="n">
        <f aca="false">IF(ISNUMBER(R514),CW514,0)</f>
        <v>0</v>
      </c>
      <c r="FB514" s="28" t="n">
        <f aca="false">IF(ISNUMBER(V514),CX514,0)</f>
        <v>0</v>
      </c>
      <c r="FC514" s="28" t="n">
        <f aca="false">IF(ISNUMBER(Z514),CY514,0)</f>
        <v>0</v>
      </c>
      <c r="FD514" s="28" t="n">
        <f aca="false">IF(ISNUMBER(AD514),CZ514,0)</f>
        <v>0</v>
      </c>
      <c r="FE514" s="28" t="n">
        <f aca="false">IF(ISNUMBER(AH514),DA514,0)</f>
        <v>0</v>
      </c>
      <c r="FF514" s="28" t="n">
        <f aca="false">IF(ISNUMBER(AL514),DB514,0)</f>
        <v>0</v>
      </c>
      <c r="FG514" s="28" t="n">
        <f aca="false">IF(ISNUMBER(AP514),DC514,0)</f>
        <v>0</v>
      </c>
      <c r="FH514" s="28" t="n">
        <f aca="false">IF(ISNUMBER(AT514),DD514,0)</f>
        <v>0</v>
      </c>
      <c r="FI514" s="28" t="n">
        <f aca="false">IF(ISNUMBER(AX514),DE514,0)</f>
        <v>0</v>
      </c>
      <c r="FJ514" s="28" t="n">
        <f aca="false">IF(ISNUMBER(BB514),DF514,0)</f>
        <v>0</v>
      </c>
      <c r="FK514" s="28" t="n">
        <f aca="false">IF(ISNUMBER(BF514),DG514,0)</f>
        <v>0</v>
      </c>
      <c r="FL514" s="28" t="n">
        <f aca="false">IF(ISNUMBER(BJ514),DH514,0)</f>
        <v>0</v>
      </c>
      <c r="FM514" s="28" t="n">
        <f aca="false">IF(ISNUMBER(BN514),DI514,0)</f>
        <v>0</v>
      </c>
      <c r="FN514" s="28" t="n">
        <f aca="false">IF(ISNUMBER(BR514),DJ514,0)</f>
        <v>0</v>
      </c>
      <c r="FO514" s="28" t="str">
        <f aca="false">IFERROR(INDEX(Lists!$G$2:$G$20,MATCH($I514&amp;"|"&amp;$J514,Lists!$F$2:$F$20,0)),"")</f>
        <v/>
      </c>
    </row>
    <row r="515" customFormat="false" ht="19.5" hidden="false" customHeight="true" outlineLevel="0" collapsed="false">
      <c r="A515" s="29"/>
      <c r="B515" s="29"/>
      <c r="C515" s="30"/>
      <c r="D515" s="30"/>
      <c r="E515" s="31"/>
      <c r="F515" s="30"/>
      <c r="G515" s="30"/>
      <c r="H515" s="32"/>
      <c r="I515" s="33"/>
      <c r="J515" s="32"/>
      <c r="K515" s="34" t="str">
        <f aca="false">IF(OR(M515="",$E515=""),"",M515-$E515)</f>
        <v/>
      </c>
      <c r="L515" s="35" t="str">
        <f aca="false">IF(SUM(FA515:FN515)=0,"",SUM(EM515:EZ515)/SUM(FA515:FN515))</f>
        <v/>
      </c>
      <c r="M515" s="36" t="str">
        <f aca="false">IF(OR(L515="",FO515=""),"",IFERROR(MATCH(L515,INDEX(Boundaries!$B$2:$I$30,MATCH(FO515,Boundaries!$A$2:$A$30,0),0),1)-1,""))</f>
        <v/>
      </c>
      <c r="N515" s="37" t="str">
        <f aca="false">IF(COUNT($DY515:$EL515)&lt;2,"",INDEX($DK515:$DX515,MAX($DY515:$EL515))-INDEX($DK515:$DX515,MIN($DY515:$EL515)))</f>
        <v/>
      </c>
      <c r="O515" s="37" t="str">
        <f aca="false">IF(COUNT($DY515:$EL515)&lt;2,"",INDEX($DK515:$DX515,MAX($DY515:$EL515))-INDEX($DK515:$DX515,LARGE($DY515:$EL515,2)))</f>
        <v/>
      </c>
      <c r="P515" s="38" t="str">
        <f aca="false">IF(K515="","",IF(K515&gt;=0,"On/above target",IF(AND(N515&lt;&gt;"",N515&gt;=0.5),"Improving towards target",IF(AND(O515&lt;&gt;"",O515&lt;=-0.5),"Declining","Stable below target"))))</f>
        <v/>
      </c>
      <c r="Q515" s="39"/>
      <c r="R515" s="40" t="str">
        <f aca="false">IF(OR(Q515="",BU515=""),"",Q515/BU515*100)</f>
        <v/>
      </c>
      <c r="S515" s="41" t="str">
        <f aca="false">IF(R515="","",IFERROR(MATCH(R515,INDEX(Boundaries!$B$2:$I$30,MATCH(CI515,Boundaries!$A$2:$A$30,0),0),1)-1,""))</f>
        <v/>
      </c>
      <c r="T515" s="42" t="str">
        <f aca="false">IF(OR(S515="",$E515=""),"",S515-$E515)</f>
        <v/>
      </c>
      <c r="U515" s="39"/>
      <c r="V515" s="40" t="str">
        <f aca="false">IF(OR(U515="",BV515=""),"",U515/BV515*100)</f>
        <v/>
      </c>
      <c r="W515" s="41" t="str">
        <f aca="false">IF(V515="","",IFERROR(MATCH(V515,INDEX(Boundaries!$B$2:$I$30,MATCH(CJ515,Boundaries!$A$2:$A$30,0),0),1)-1,""))</f>
        <v/>
      </c>
      <c r="X515" s="42" t="str">
        <f aca="false">IF(OR(W515="",$E515=""),"",W515-$E515)</f>
        <v/>
      </c>
      <c r="Y515" s="39"/>
      <c r="Z515" s="40" t="str">
        <f aca="false">IF(OR(Y515="",BW515=""),"",Y515/BW515*100)</f>
        <v/>
      </c>
      <c r="AA515" s="41" t="str">
        <f aca="false">IF(Z515="","",IFERROR(MATCH(Z515,INDEX(Boundaries!$B$2:$I$30,MATCH(CK515,Boundaries!$A$2:$A$30,0),0),1)-1,""))</f>
        <v/>
      </c>
      <c r="AB515" s="42" t="str">
        <f aca="false">IF(OR(AA515="",$E515=""),"",AA515-$E515)</f>
        <v/>
      </c>
      <c r="AC515" s="39"/>
      <c r="AD515" s="40" t="str">
        <f aca="false">IF(OR(AC515="",BX515=""),"",AC515/BX515*100)</f>
        <v/>
      </c>
      <c r="AE515" s="41" t="str">
        <f aca="false">IF(AD515="","",IFERROR(MATCH(AD515,INDEX(Boundaries!$B$2:$I$30,MATCH(CL515,Boundaries!$A$2:$A$30,0),0),1)-1,""))</f>
        <v/>
      </c>
      <c r="AF515" s="42" t="str">
        <f aca="false">IF(OR(AE515="",$E515=""),"",AE515-$E515)</f>
        <v/>
      </c>
      <c r="AG515" s="39"/>
      <c r="AH515" s="40" t="str">
        <f aca="false">IF(OR(AG515="",BY515=""),"",AG515/BY515*100)</f>
        <v/>
      </c>
      <c r="AI515" s="41" t="str">
        <f aca="false">IF(AH515="","",IFERROR(MATCH(AH515,INDEX(Boundaries!$B$2:$I$30,MATCH(CM515,Boundaries!$A$2:$A$30,0),0),1)-1,""))</f>
        <v/>
      </c>
      <c r="AJ515" s="42" t="str">
        <f aca="false">IF(OR(AI515="",$E515=""),"",AI515-$E515)</f>
        <v/>
      </c>
      <c r="AK515" s="39"/>
      <c r="AL515" s="40" t="str">
        <f aca="false">IF(OR(AK515="",BZ515=""),"",AK515/BZ515*100)</f>
        <v/>
      </c>
      <c r="AM515" s="41" t="str">
        <f aca="false">IF(AL515="","",IFERROR(MATCH(AL515,INDEX(Boundaries!$B$2:$I$30,MATCH(CN515,Boundaries!$A$2:$A$30,0),0),1)-1,""))</f>
        <v/>
      </c>
      <c r="AN515" s="42" t="str">
        <f aca="false">IF(OR(AM515="",$E515=""),"",AM515-$E515)</f>
        <v/>
      </c>
      <c r="AO515" s="39"/>
      <c r="AP515" s="40" t="str">
        <f aca="false">IF(OR(AO515="",CA515=""),"",AO515/CA515*100)</f>
        <v/>
      </c>
      <c r="AQ515" s="41" t="str">
        <f aca="false">IF(AP515="","",IFERROR(MATCH(AP515,INDEX(Boundaries!$B$2:$I$30,MATCH(CO515,Boundaries!$A$2:$A$30,0),0),1)-1,""))</f>
        <v/>
      </c>
      <c r="AR515" s="42" t="str">
        <f aca="false">IF(OR(AQ515="",$E515=""),"",AQ515-$E515)</f>
        <v/>
      </c>
      <c r="AS515" s="39"/>
      <c r="AT515" s="40" t="str">
        <f aca="false">IF(OR(AS515="",CB515=""),"",AS515/CB515*100)</f>
        <v/>
      </c>
      <c r="AU515" s="41" t="str">
        <f aca="false">IF(AT515="","",IFERROR(MATCH(AT515,INDEX(Boundaries!$B$2:$I$30,MATCH(CP515,Boundaries!$A$2:$A$30,0),0),1)-1,""))</f>
        <v/>
      </c>
      <c r="AV515" s="42" t="str">
        <f aca="false">IF(OR(AU515="",$E515=""),"",AU515-$E515)</f>
        <v/>
      </c>
      <c r="AW515" s="39"/>
      <c r="AX515" s="40" t="str">
        <f aca="false">IF(OR(AW515="",CC515=""),"",AW515/CC515*100)</f>
        <v/>
      </c>
      <c r="AY515" s="41" t="str">
        <f aca="false">IF(AX515="","",IFERROR(MATCH(AX515,INDEX(Boundaries!$B$2:$I$30,MATCH(CQ515,Boundaries!$A$2:$A$30,0),0),1)-1,""))</f>
        <v/>
      </c>
      <c r="AZ515" s="42" t="str">
        <f aca="false">IF(OR(AY515="",$E515=""),"",AY515-$E515)</f>
        <v/>
      </c>
      <c r="BA515" s="39"/>
      <c r="BB515" s="40" t="str">
        <f aca="false">IF(OR(BA515="",CD515=""),"",BA515/CD515*100)</f>
        <v/>
      </c>
      <c r="BC515" s="41" t="str">
        <f aca="false">IF(BB515="","",IFERROR(MATCH(BB515,INDEX(Boundaries!$B$2:$I$30,MATCH(CR515,Boundaries!$A$2:$A$30,0),0),1)-1,""))</f>
        <v/>
      </c>
      <c r="BD515" s="42" t="str">
        <f aca="false">IF(OR(BC515="",$E515=""),"",BC515-$E515)</f>
        <v/>
      </c>
      <c r="BE515" s="39"/>
      <c r="BF515" s="40" t="str">
        <f aca="false">IF(OR(BE515="",CE515=""),"",BE515/CE515*100)</f>
        <v/>
      </c>
      <c r="BG515" s="41" t="str">
        <f aca="false">IF(BF515="","",IFERROR(MATCH(BF515,INDEX(Boundaries!$B$2:$I$30,MATCH(CS515,Boundaries!$A$2:$A$30,0),0),1)-1,""))</f>
        <v/>
      </c>
      <c r="BH515" s="42" t="str">
        <f aca="false">IF(OR(BG515="",$E515=""),"",BG515-$E515)</f>
        <v/>
      </c>
      <c r="BI515" s="39"/>
      <c r="BJ515" s="40" t="str">
        <f aca="false">IF(OR(BI515="",CF515=""),"",BI515/CF515*100)</f>
        <v/>
      </c>
      <c r="BK515" s="41" t="str">
        <f aca="false">IF(BJ515="","",IFERROR(MATCH(BJ515,INDEX(Boundaries!$B$2:$I$30,MATCH(CT515,Boundaries!$A$2:$A$30,0),0),1)-1,""))</f>
        <v/>
      </c>
      <c r="BL515" s="42" t="str">
        <f aca="false">IF(OR(BK515="",$E515=""),"",BK515-$E515)</f>
        <v/>
      </c>
      <c r="BM515" s="39"/>
      <c r="BN515" s="40" t="str">
        <f aca="false">IF(OR(BM515="",CG515=""),"",BM515/CG515*100)</f>
        <v/>
      </c>
      <c r="BO515" s="41" t="str">
        <f aca="false">IF(BN515="","",IFERROR(MATCH(BN515,INDEX(Boundaries!$B$2:$I$30,MATCH(CU515,Boundaries!$A$2:$A$30,0),0),1)-1,""))</f>
        <v/>
      </c>
      <c r="BP515" s="42" t="str">
        <f aca="false">IF(OR(BO515="",$E515=""),"",BO515-$E515)</f>
        <v/>
      </c>
      <c r="BQ515" s="39"/>
      <c r="BR515" s="40" t="str">
        <f aca="false">IF(OR(BQ515="",CH515=""),"",BQ515/CH515*100)</f>
        <v/>
      </c>
      <c r="BS515" s="41" t="str">
        <f aca="false">IF(BR515="","",IFERROR(MATCH(BR515,INDEX(Boundaries!$B$2:$I$30,MATCH(CV515,Boundaries!$A$2:$A$30,0),0),1)-1,""))</f>
        <v/>
      </c>
      <c r="BT515" s="42" t="str">
        <f aca="false">IF(OR(BS515="",$E515=""),"",BS515-$E515)</f>
        <v/>
      </c>
      <c r="BU515" s="28" t="str">
        <f aca="false">IFERROR(INDEX(Assessments!$H$2:$H$600,MATCH($H515&amp;"|"&amp;$I515&amp;"|"&amp;$J515&amp;"|"&amp;1,Assessments!$A$2:$A$600,0)),"")</f>
        <v/>
      </c>
      <c r="BV515" s="28" t="str">
        <f aca="false">IFERROR(INDEX(Assessments!$H$2:$H$600,MATCH($H515&amp;"|"&amp;$I515&amp;"|"&amp;$J515&amp;"|"&amp;2,Assessments!$A$2:$A$600,0)),"")</f>
        <v/>
      </c>
      <c r="BW515" s="28" t="str">
        <f aca="false">IFERROR(INDEX(Assessments!$H$2:$H$600,MATCH($H515&amp;"|"&amp;$I515&amp;"|"&amp;$J515&amp;"|"&amp;3,Assessments!$A$2:$A$600,0)),"")</f>
        <v/>
      </c>
      <c r="BX515" s="28" t="str">
        <f aca="false">IFERROR(INDEX(Assessments!$H$2:$H$600,MATCH($H515&amp;"|"&amp;$I515&amp;"|"&amp;$J515&amp;"|"&amp;4,Assessments!$A$2:$A$600,0)),"")</f>
        <v/>
      </c>
      <c r="BY515" s="28" t="str">
        <f aca="false">IFERROR(INDEX(Assessments!$H$2:$H$600,MATCH($H515&amp;"|"&amp;$I515&amp;"|"&amp;$J515&amp;"|"&amp;5,Assessments!$A$2:$A$600,0)),"")</f>
        <v/>
      </c>
      <c r="BZ515" s="28" t="str">
        <f aca="false">IFERROR(INDEX(Assessments!$H$2:$H$600,MATCH($H515&amp;"|"&amp;$I515&amp;"|"&amp;$J515&amp;"|"&amp;6,Assessments!$A$2:$A$600,0)),"")</f>
        <v/>
      </c>
      <c r="CA515" s="28" t="str">
        <f aca="false">IFERROR(INDEX(Assessments!$H$2:$H$600,MATCH($H515&amp;"|"&amp;$I515&amp;"|"&amp;$J515&amp;"|"&amp;7,Assessments!$A$2:$A$600,0)),"")</f>
        <v/>
      </c>
      <c r="CB515" s="28" t="str">
        <f aca="false">IFERROR(INDEX(Assessments!$H$2:$H$600,MATCH($H515&amp;"|"&amp;$I515&amp;"|"&amp;$J515&amp;"|"&amp;8,Assessments!$A$2:$A$600,0)),"")</f>
        <v/>
      </c>
      <c r="CC515" s="28" t="str">
        <f aca="false">IFERROR(INDEX(Assessments!$H$2:$H$600,MATCH($H515&amp;"|"&amp;$I515&amp;"|"&amp;$J515&amp;"|"&amp;9,Assessments!$A$2:$A$600,0)),"")</f>
        <v/>
      </c>
      <c r="CD515" s="28" t="str">
        <f aca="false">IFERROR(INDEX(Assessments!$H$2:$H$600,MATCH($H515&amp;"|"&amp;$I515&amp;"|"&amp;$J515&amp;"|"&amp;10,Assessments!$A$2:$A$600,0)),"")</f>
        <v/>
      </c>
      <c r="CE515" s="28" t="str">
        <f aca="false">IFERROR(INDEX(Assessments!$H$2:$H$600,MATCH($H515&amp;"|"&amp;$I515&amp;"|"&amp;$J515&amp;"|"&amp;11,Assessments!$A$2:$A$600,0)),"")</f>
        <v/>
      </c>
      <c r="CF515" s="28" t="str">
        <f aca="false">IFERROR(INDEX(Assessments!$H$2:$H$600,MATCH($H515&amp;"|"&amp;$I515&amp;"|"&amp;$J515&amp;"|"&amp;12,Assessments!$A$2:$A$600,0)),"")</f>
        <v/>
      </c>
      <c r="CG515" s="28" t="str">
        <f aca="false">IFERROR(INDEX(Assessments!$H$2:$H$600,MATCH($H515&amp;"|"&amp;$I515&amp;"|"&amp;$J515&amp;"|"&amp;13,Assessments!$A$2:$A$600,0)),"")</f>
        <v/>
      </c>
      <c r="CH515" s="28" t="str">
        <f aca="false">IFERROR(INDEX(Assessments!$H$2:$H$600,MATCH($H515&amp;"|"&amp;$I515&amp;"|"&amp;$J515&amp;"|"&amp;14,Assessments!$A$2:$A$600,0)),"")</f>
        <v/>
      </c>
      <c r="CI515" s="28" t="str">
        <f aca="false">IFERROR(INDEX(Assessments!$I$2:$I$600,MATCH($H515&amp;"|"&amp;$I515&amp;"|"&amp;$J515&amp;"|"&amp;1,Assessments!$A$2:$A$600,0)),"")</f>
        <v/>
      </c>
      <c r="CJ515" s="28" t="str">
        <f aca="false">IFERROR(INDEX(Assessments!$I$2:$I$600,MATCH($H515&amp;"|"&amp;$I515&amp;"|"&amp;$J515&amp;"|"&amp;2,Assessments!$A$2:$A$600,0)),"")</f>
        <v/>
      </c>
      <c r="CK515" s="28" t="str">
        <f aca="false">IFERROR(INDEX(Assessments!$I$2:$I$600,MATCH($H515&amp;"|"&amp;$I515&amp;"|"&amp;$J515&amp;"|"&amp;3,Assessments!$A$2:$A$600,0)),"")</f>
        <v/>
      </c>
      <c r="CL515" s="28" t="str">
        <f aca="false">IFERROR(INDEX(Assessments!$I$2:$I$600,MATCH($H515&amp;"|"&amp;$I515&amp;"|"&amp;$J515&amp;"|"&amp;4,Assessments!$A$2:$A$600,0)),"")</f>
        <v/>
      </c>
      <c r="CM515" s="28" t="str">
        <f aca="false">IFERROR(INDEX(Assessments!$I$2:$I$600,MATCH($H515&amp;"|"&amp;$I515&amp;"|"&amp;$J515&amp;"|"&amp;5,Assessments!$A$2:$A$600,0)),"")</f>
        <v/>
      </c>
      <c r="CN515" s="28" t="str">
        <f aca="false">IFERROR(INDEX(Assessments!$I$2:$I$600,MATCH($H515&amp;"|"&amp;$I515&amp;"|"&amp;$J515&amp;"|"&amp;6,Assessments!$A$2:$A$600,0)),"")</f>
        <v/>
      </c>
      <c r="CO515" s="28" t="str">
        <f aca="false">IFERROR(INDEX(Assessments!$I$2:$I$600,MATCH($H515&amp;"|"&amp;$I515&amp;"|"&amp;$J515&amp;"|"&amp;7,Assessments!$A$2:$A$600,0)),"")</f>
        <v/>
      </c>
      <c r="CP515" s="28" t="str">
        <f aca="false">IFERROR(INDEX(Assessments!$I$2:$I$600,MATCH($H515&amp;"|"&amp;$I515&amp;"|"&amp;$J515&amp;"|"&amp;8,Assessments!$A$2:$A$600,0)),"")</f>
        <v/>
      </c>
      <c r="CQ515" s="28" t="str">
        <f aca="false">IFERROR(INDEX(Assessments!$I$2:$I$600,MATCH($H515&amp;"|"&amp;$I515&amp;"|"&amp;$J515&amp;"|"&amp;9,Assessments!$A$2:$A$600,0)),"")</f>
        <v/>
      </c>
      <c r="CR515" s="28" t="str">
        <f aca="false">IFERROR(INDEX(Assessments!$I$2:$I$600,MATCH($H515&amp;"|"&amp;$I515&amp;"|"&amp;$J515&amp;"|"&amp;10,Assessments!$A$2:$A$600,0)),"")</f>
        <v/>
      </c>
      <c r="CS515" s="28" t="str">
        <f aca="false">IFERROR(INDEX(Assessments!$I$2:$I$600,MATCH($H515&amp;"|"&amp;$I515&amp;"|"&amp;$J515&amp;"|"&amp;11,Assessments!$A$2:$A$600,0)),"")</f>
        <v/>
      </c>
      <c r="CT515" s="28" t="str">
        <f aca="false">IFERROR(INDEX(Assessments!$I$2:$I$600,MATCH($H515&amp;"|"&amp;$I515&amp;"|"&amp;$J515&amp;"|"&amp;12,Assessments!$A$2:$A$600,0)),"")</f>
        <v/>
      </c>
      <c r="CU515" s="28" t="str">
        <f aca="false">IFERROR(INDEX(Assessments!$I$2:$I$600,MATCH($H515&amp;"|"&amp;$I515&amp;"|"&amp;$J515&amp;"|"&amp;13,Assessments!$A$2:$A$600,0)),"")</f>
        <v/>
      </c>
      <c r="CV515" s="28" t="str">
        <f aca="false">IFERROR(INDEX(Assessments!$I$2:$I$600,MATCH($H515&amp;"|"&amp;$I515&amp;"|"&amp;$J515&amp;"|"&amp;14,Assessments!$A$2:$A$600,0)),"")</f>
        <v/>
      </c>
      <c r="CW515" s="28" t="n">
        <f aca="false">IFERROR(INDEX(Assessments!$J$2:$J$600,MATCH($H515&amp;"|"&amp;$I515&amp;"|"&amp;$J515&amp;"|"&amp;1,Assessments!$A$2:$A$600,0)),0)</f>
        <v>0</v>
      </c>
      <c r="CX515" s="28" t="n">
        <f aca="false">IFERROR(INDEX(Assessments!$J$2:$J$600,MATCH($H515&amp;"|"&amp;$I515&amp;"|"&amp;$J515&amp;"|"&amp;2,Assessments!$A$2:$A$600,0)),0)</f>
        <v>0</v>
      </c>
      <c r="CY515" s="28" t="n">
        <f aca="false">IFERROR(INDEX(Assessments!$J$2:$J$600,MATCH($H515&amp;"|"&amp;$I515&amp;"|"&amp;$J515&amp;"|"&amp;3,Assessments!$A$2:$A$600,0)),0)</f>
        <v>0</v>
      </c>
      <c r="CZ515" s="28" t="n">
        <f aca="false">IFERROR(INDEX(Assessments!$J$2:$J$600,MATCH($H515&amp;"|"&amp;$I515&amp;"|"&amp;$J515&amp;"|"&amp;4,Assessments!$A$2:$A$600,0)),0)</f>
        <v>0</v>
      </c>
      <c r="DA515" s="28" t="n">
        <f aca="false">IFERROR(INDEX(Assessments!$J$2:$J$600,MATCH($H515&amp;"|"&amp;$I515&amp;"|"&amp;$J515&amp;"|"&amp;5,Assessments!$A$2:$A$600,0)),0)</f>
        <v>0</v>
      </c>
      <c r="DB515" s="28" t="n">
        <f aca="false">IFERROR(INDEX(Assessments!$J$2:$J$600,MATCH($H515&amp;"|"&amp;$I515&amp;"|"&amp;$J515&amp;"|"&amp;6,Assessments!$A$2:$A$600,0)),0)</f>
        <v>0</v>
      </c>
      <c r="DC515" s="28" t="n">
        <f aca="false">IFERROR(INDEX(Assessments!$J$2:$J$600,MATCH($H515&amp;"|"&amp;$I515&amp;"|"&amp;$J515&amp;"|"&amp;7,Assessments!$A$2:$A$600,0)),0)</f>
        <v>0</v>
      </c>
      <c r="DD515" s="28" t="n">
        <f aca="false">IFERROR(INDEX(Assessments!$J$2:$J$600,MATCH($H515&amp;"|"&amp;$I515&amp;"|"&amp;$J515&amp;"|"&amp;8,Assessments!$A$2:$A$600,0)),0)</f>
        <v>0</v>
      </c>
      <c r="DE515" s="28" t="n">
        <f aca="false">IFERROR(INDEX(Assessments!$J$2:$J$600,MATCH($H515&amp;"|"&amp;$I515&amp;"|"&amp;$J515&amp;"|"&amp;9,Assessments!$A$2:$A$600,0)),0)</f>
        <v>0</v>
      </c>
      <c r="DF515" s="28" t="n">
        <f aca="false">IFERROR(INDEX(Assessments!$J$2:$J$600,MATCH($H515&amp;"|"&amp;$I515&amp;"|"&amp;$J515&amp;"|"&amp;10,Assessments!$A$2:$A$600,0)),0)</f>
        <v>0</v>
      </c>
      <c r="DG515" s="28" t="n">
        <f aca="false">IFERROR(INDEX(Assessments!$J$2:$J$600,MATCH($H515&amp;"|"&amp;$I515&amp;"|"&amp;$J515&amp;"|"&amp;11,Assessments!$A$2:$A$600,0)),0)</f>
        <v>0</v>
      </c>
      <c r="DH515" s="28" t="n">
        <f aca="false">IFERROR(INDEX(Assessments!$J$2:$J$600,MATCH($H515&amp;"|"&amp;$I515&amp;"|"&amp;$J515&amp;"|"&amp;12,Assessments!$A$2:$A$600,0)),0)</f>
        <v>0</v>
      </c>
      <c r="DI515" s="28" t="n">
        <f aca="false">IFERROR(INDEX(Assessments!$J$2:$J$600,MATCH($H515&amp;"|"&amp;$I515&amp;"|"&amp;$J515&amp;"|"&amp;13,Assessments!$A$2:$A$600,0)),0)</f>
        <v>0</v>
      </c>
      <c r="DJ515" s="28" t="n">
        <f aca="false">IFERROR(INDEX(Assessments!$J$2:$J$600,MATCH($H515&amp;"|"&amp;$I515&amp;"|"&amp;$J515&amp;"|"&amp;14,Assessments!$A$2:$A$600,0)),0)</f>
        <v>0</v>
      </c>
      <c r="DK515" s="28" t="str">
        <f aca="false">S515</f>
        <v/>
      </c>
      <c r="DL515" s="28" t="str">
        <f aca="false">W515</f>
        <v/>
      </c>
      <c r="DM515" s="28" t="str">
        <f aca="false">AA515</f>
        <v/>
      </c>
      <c r="DN515" s="28" t="str">
        <f aca="false">AE515</f>
        <v/>
      </c>
      <c r="DO515" s="28" t="str">
        <f aca="false">AI515</f>
        <v/>
      </c>
      <c r="DP515" s="28" t="str">
        <f aca="false">AM515</f>
        <v/>
      </c>
      <c r="DQ515" s="28" t="str">
        <f aca="false">AQ515</f>
        <v/>
      </c>
      <c r="DR515" s="28" t="str">
        <f aca="false">AU515</f>
        <v/>
      </c>
      <c r="DS515" s="28" t="str">
        <f aca="false">AY515</f>
        <v/>
      </c>
      <c r="DT515" s="28" t="str">
        <f aca="false">BC515</f>
        <v/>
      </c>
      <c r="DU515" s="28" t="str">
        <f aca="false">BG515</f>
        <v/>
      </c>
      <c r="DV515" s="28" t="str">
        <f aca="false">BK515</f>
        <v/>
      </c>
      <c r="DW515" s="28" t="str">
        <f aca="false">BO515</f>
        <v/>
      </c>
      <c r="DX515" s="28" t="str">
        <f aca="false">BS515</f>
        <v/>
      </c>
      <c r="DY515" s="28" t="str">
        <f aca="false">IF(ISNUMBER(S515),1,"")</f>
        <v/>
      </c>
      <c r="DZ515" s="28" t="str">
        <f aca="false">IF(ISNUMBER(W515),2,"")</f>
        <v/>
      </c>
      <c r="EA515" s="28" t="str">
        <f aca="false">IF(ISNUMBER(AA515),3,"")</f>
        <v/>
      </c>
      <c r="EB515" s="28" t="str">
        <f aca="false">IF(ISNUMBER(AE515),4,"")</f>
        <v/>
      </c>
      <c r="EC515" s="28" t="str">
        <f aca="false">IF(ISNUMBER(AI515),5,"")</f>
        <v/>
      </c>
      <c r="ED515" s="28" t="str">
        <f aca="false">IF(ISNUMBER(AM515),6,"")</f>
        <v/>
      </c>
      <c r="EE515" s="28" t="str">
        <f aca="false">IF(ISNUMBER(AQ515),7,"")</f>
        <v/>
      </c>
      <c r="EF515" s="28" t="str">
        <f aca="false">IF(ISNUMBER(AU515),8,"")</f>
        <v/>
      </c>
      <c r="EG515" s="28" t="str">
        <f aca="false">IF(ISNUMBER(AY515),9,"")</f>
        <v/>
      </c>
      <c r="EH515" s="28" t="str">
        <f aca="false">IF(ISNUMBER(BC515),10,"")</f>
        <v/>
      </c>
      <c r="EI515" s="28" t="str">
        <f aca="false">IF(ISNUMBER(BG515),11,"")</f>
        <v/>
      </c>
      <c r="EJ515" s="28" t="str">
        <f aca="false">IF(ISNUMBER(BK515),12,"")</f>
        <v/>
      </c>
      <c r="EK515" s="28" t="str">
        <f aca="false">IF(ISNUMBER(BO515),13,"")</f>
        <v/>
      </c>
      <c r="EL515" s="28" t="str">
        <f aca="false">IF(ISNUMBER(BS515),14,"")</f>
        <v/>
      </c>
      <c r="EM515" s="28" t="n">
        <f aca="false">IF(ISNUMBER(R515),R515*CW515,0)</f>
        <v>0</v>
      </c>
      <c r="EN515" s="28" t="n">
        <f aca="false">IF(ISNUMBER(V515),V515*CX515,0)</f>
        <v>0</v>
      </c>
      <c r="EO515" s="28" t="n">
        <f aca="false">IF(ISNUMBER(Z515),Z515*CY515,0)</f>
        <v>0</v>
      </c>
      <c r="EP515" s="28" t="n">
        <f aca="false">IF(ISNUMBER(AD515),AD515*CZ515,0)</f>
        <v>0</v>
      </c>
      <c r="EQ515" s="28" t="n">
        <f aca="false">IF(ISNUMBER(AH515),AH515*DA515,0)</f>
        <v>0</v>
      </c>
      <c r="ER515" s="28" t="n">
        <f aca="false">IF(ISNUMBER(AL515),AL515*DB515,0)</f>
        <v>0</v>
      </c>
      <c r="ES515" s="28" t="n">
        <f aca="false">IF(ISNUMBER(AP515),AP515*DC515,0)</f>
        <v>0</v>
      </c>
      <c r="ET515" s="28" t="n">
        <f aca="false">IF(ISNUMBER(AT515),AT515*DD515,0)</f>
        <v>0</v>
      </c>
      <c r="EU515" s="28" t="n">
        <f aca="false">IF(ISNUMBER(AX515),AX515*DE515,0)</f>
        <v>0</v>
      </c>
      <c r="EV515" s="28" t="n">
        <f aca="false">IF(ISNUMBER(BB515),BB515*DF515,0)</f>
        <v>0</v>
      </c>
      <c r="EW515" s="28" t="n">
        <f aca="false">IF(ISNUMBER(BF515),BF515*DG515,0)</f>
        <v>0</v>
      </c>
      <c r="EX515" s="28" t="n">
        <f aca="false">IF(ISNUMBER(BJ515),BJ515*DH515,0)</f>
        <v>0</v>
      </c>
      <c r="EY515" s="28" t="n">
        <f aca="false">IF(ISNUMBER(BN515),BN515*DI515,0)</f>
        <v>0</v>
      </c>
      <c r="EZ515" s="28" t="n">
        <f aca="false">IF(ISNUMBER(BR515),BR515*DJ515,0)</f>
        <v>0</v>
      </c>
      <c r="FA515" s="28" t="n">
        <f aca="false">IF(ISNUMBER(R515),CW515,0)</f>
        <v>0</v>
      </c>
      <c r="FB515" s="28" t="n">
        <f aca="false">IF(ISNUMBER(V515),CX515,0)</f>
        <v>0</v>
      </c>
      <c r="FC515" s="28" t="n">
        <f aca="false">IF(ISNUMBER(Z515),CY515,0)</f>
        <v>0</v>
      </c>
      <c r="FD515" s="28" t="n">
        <f aca="false">IF(ISNUMBER(AD515),CZ515,0)</f>
        <v>0</v>
      </c>
      <c r="FE515" s="28" t="n">
        <f aca="false">IF(ISNUMBER(AH515),DA515,0)</f>
        <v>0</v>
      </c>
      <c r="FF515" s="28" t="n">
        <f aca="false">IF(ISNUMBER(AL515),DB515,0)</f>
        <v>0</v>
      </c>
      <c r="FG515" s="28" t="n">
        <f aca="false">IF(ISNUMBER(AP515),DC515,0)</f>
        <v>0</v>
      </c>
      <c r="FH515" s="28" t="n">
        <f aca="false">IF(ISNUMBER(AT515),DD515,0)</f>
        <v>0</v>
      </c>
      <c r="FI515" s="28" t="n">
        <f aca="false">IF(ISNUMBER(AX515),DE515,0)</f>
        <v>0</v>
      </c>
      <c r="FJ515" s="28" t="n">
        <f aca="false">IF(ISNUMBER(BB515),DF515,0)</f>
        <v>0</v>
      </c>
      <c r="FK515" s="28" t="n">
        <f aca="false">IF(ISNUMBER(BF515),DG515,0)</f>
        <v>0</v>
      </c>
      <c r="FL515" s="28" t="n">
        <f aca="false">IF(ISNUMBER(BJ515),DH515,0)</f>
        <v>0</v>
      </c>
      <c r="FM515" s="28" t="n">
        <f aca="false">IF(ISNUMBER(BN515),DI515,0)</f>
        <v>0</v>
      </c>
      <c r="FN515" s="28" t="n">
        <f aca="false">IF(ISNUMBER(BR515),DJ515,0)</f>
        <v>0</v>
      </c>
      <c r="FO515" s="28" t="str">
        <f aca="false">IFERROR(INDEX(Lists!$G$2:$G$20,MATCH($I515&amp;"|"&amp;$J515,Lists!$F$2:$F$20,0)),"")</f>
        <v/>
      </c>
    </row>
    <row r="516" customFormat="false" ht="19.5" hidden="false" customHeight="true" outlineLevel="0" collapsed="false">
      <c r="A516" s="29"/>
      <c r="B516" s="29"/>
      <c r="C516" s="30"/>
      <c r="D516" s="30"/>
      <c r="E516" s="31"/>
      <c r="F516" s="30"/>
      <c r="G516" s="30"/>
      <c r="H516" s="32"/>
      <c r="I516" s="33"/>
      <c r="J516" s="32"/>
      <c r="K516" s="34" t="str">
        <f aca="false">IF(OR(M516="",$E516=""),"",M516-$E516)</f>
        <v/>
      </c>
      <c r="L516" s="35" t="str">
        <f aca="false">IF(SUM(FA516:FN516)=0,"",SUM(EM516:EZ516)/SUM(FA516:FN516))</f>
        <v/>
      </c>
      <c r="M516" s="36" t="str">
        <f aca="false">IF(OR(L516="",FO516=""),"",IFERROR(MATCH(L516,INDEX(Boundaries!$B$2:$I$30,MATCH(FO516,Boundaries!$A$2:$A$30,0),0),1)-1,""))</f>
        <v/>
      </c>
      <c r="N516" s="37" t="str">
        <f aca="false">IF(COUNT($DY516:$EL516)&lt;2,"",INDEX($DK516:$DX516,MAX($DY516:$EL516))-INDEX($DK516:$DX516,MIN($DY516:$EL516)))</f>
        <v/>
      </c>
      <c r="O516" s="37" t="str">
        <f aca="false">IF(COUNT($DY516:$EL516)&lt;2,"",INDEX($DK516:$DX516,MAX($DY516:$EL516))-INDEX($DK516:$DX516,LARGE($DY516:$EL516,2)))</f>
        <v/>
      </c>
      <c r="P516" s="38" t="str">
        <f aca="false">IF(K516="","",IF(K516&gt;=0,"On/above target",IF(AND(N516&lt;&gt;"",N516&gt;=0.5),"Improving towards target",IF(AND(O516&lt;&gt;"",O516&lt;=-0.5),"Declining","Stable below target"))))</f>
        <v/>
      </c>
      <c r="Q516" s="39"/>
      <c r="R516" s="40" t="str">
        <f aca="false">IF(OR(Q516="",BU516=""),"",Q516/BU516*100)</f>
        <v/>
      </c>
      <c r="S516" s="41" t="str">
        <f aca="false">IF(R516="","",IFERROR(MATCH(R516,INDEX(Boundaries!$B$2:$I$30,MATCH(CI516,Boundaries!$A$2:$A$30,0),0),1)-1,""))</f>
        <v/>
      </c>
      <c r="T516" s="42" t="str">
        <f aca="false">IF(OR(S516="",$E516=""),"",S516-$E516)</f>
        <v/>
      </c>
      <c r="U516" s="39"/>
      <c r="V516" s="40" t="str">
        <f aca="false">IF(OR(U516="",BV516=""),"",U516/BV516*100)</f>
        <v/>
      </c>
      <c r="W516" s="41" t="str">
        <f aca="false">IF(V516="","",IFERROR(MATCH(V516,INDEX(Boundaries!$B$2:$I$30,MATCH(CJ516,Boundaries!$A$2:$A$30,0),0),1)-1,""))</f>
        <v/>
      </c>
      <c r="X516" s="42" t="str">
        <f aca="false">IF(OR(W516="",$E516=""),"",W516-$E516)</f>
        <v/>
      </c>
      <c r="Y516" s="39"/>
      <c r="Z516" s="40" t="str">
        <f aca="false">IF(OR(Y516="",BW516=""),"",Y516/BW516*100)</f>
        <v/>
      </c>
      <c r="AA516" s="41" t="str">
        <f aca="false">IF(Z516="","",IFERROR(MATCH(Z516,INDEX(Boundaries!$B$2:$I$30,MATCH(CK516,Boundaries!$A$2:$A$30,0),0),1)-1,""))</f>
        <v/>
      </c>
      <c r="AB516" s="42" t="str">
        <f aca="false">IF(OR(AA516="",$E516=""),"",AA516-$E516)</f>
        <v/>
      </c>
      <c r="AC516" s="39"/>
      <c r="AD516" s="40" t="str">
        <f aca="false">IF(OR(AC516="",BX516=""),"",AC516/BX516*100)</f>
        <v/>
      </c>
      <c r="AE516" s="41" t="str">
        <f aca="false">IF(AD516="","",IFERROR(MATCH(AD516,INDEX(Boundaries!$B$2:$I$30,MATCH(CL516,Boundaries!$A$2:$A$30,0),0),1)-1,""))</f>
        <v/>
      </c>
      <c r="AF516" s="42" t="str">
        <f aca="false">IF(OR(AE516="",$E516=""),"",AE516-$E516)</f>
        <v/>
      </c>
      <c r="AG516" s="39"/>
      <c r="AH516" s="40" t="str">
        <f aca="false">IF(OR(AG516="",BY516=""),"",AG516/BY516*100)</f>
        <v/>
      </c>
      <c r="AI516" s="41" t="str">
        <f aca="false">IF(AH516="","",IFERROR(MATCH(AH516,INDEX(Boundaries!$B$2:$I$30,MATCH(CM516,Boundaries!$A$2:$A$30,0),0),1)-1,""))</f>
        <v/>
      </c>
      <c r="AJ516" s="42" t="str">
        <f aca="false">IF(OR(AI516="",$E516=""),"",AI516-$E516)</f>
        <v/>
      </c>
      <c r="AK516" s="39"/>
      <c r="AL516" s="40" t="str">
        <f aca="false">IF(OR(AK516="",BZ516=""),"",AK516/BZ516*100)</f>
        <v/>
      </c>
      <c r="AM516" s="41" t="str">
        <f aca="false">IF(AL516="","",IFERROR(MATCH(AL516,INDEX(Boundaries!$B$2:$I$30,MATCH(CN516,Boundaries!$A$2:$A$30,0),0),1)-1,""))</f>
        <v/>
      </c>
      <c r="AN516" s="42" t="str">
        <f aca="false">IF(OR(AM516="",$E516=""),"",AM516-$E516)</f>
        <v/>
      </c>
      <c r="AO516" s="39"/>
      <c r="AP516" s="40" t="str">
        <f aca="false">IF(OR(AO516="",CA516=""),"",AO516/CA516*100)</f>
        <v/>
      </c>
      <c r="AQ516" s="41" t="str">
        <f aca="false">IF(AP516="","",IFERROR(MATCH(AP516,INDEX(Boundaries!$B$2:$I$30,MATCH(CO516,Boundaries!$A$2:$A$30,0),0),1)-1,""))</f>
        <v/>
      </c>
      <c r="AR516" s="42" t="str">
        <f aca="false">IF(OR(AQ516="",$E516=""),"",AQ516-$E516)</f>
        <v/>
      </c>
      <c r="AS516" s="39"/>
      <c r="AT516" s="40" t="str">
        <f aca="false">IF(OR(AS516="",CB516=""),"",AS516/CB516*100)</f>
        <v/>
      </c>
      <c r="AU516" s="41" t="str">
        <f aca="false">IF(AT516="","",IFERROR(MATCH(AT516,INDEX(Boundaries!$B$2:$I$30,MATCH(CP516,Boundaries!$A$2:$A$30,0),0),1)-1,""))</f>
        <v/>
      </c>
      <c r="AV516" s="42" t="str">
        <f aca="false">IF(OR(AU516="",$E516=""),"",AU516-$E516)</f>
        <v/>
      </c>
      <c r="AW516" s="39"/>
      <c r="AX516" s="40" t="str">
        <f aca="false">IF(OR(AW516="",CC516=""),"",AW516/CC516*100)</f>
        <v/>
      </c>
      <c r="AY516" s="41" t="str">
        <f aca="false">IF(AX516="","",IFERROR(MATCH(AX516,INDEX(Boundaries!$B$2:$I$30,MATCH(CQ516,Boundaries!$A$2:$A$30,0),0),1)-1,""))</f>
        <v/>
      </c>
      <c r="AZ516" s="42" t="str">
        <f aca="false">IF(OR(AY516="",$E516=""),"",AY516-$E516)</f>
        <v/>
      </c>
      <c r="BA516" s="39"/>
      <c r="BB516" s="40" t="str">
        <f aca="false">IF(OR(BA516="",CD516=""),"",BA516/CD516*100)</f>
        <v/>
      </c>
      <c r="BC516" s="41" t="str">
        <f aca="false">IF(BB516="","",IFERROR(MATCH(BB516,INDEX(Boundaries!$B$2:$I$30,MATCH(CR516,Boundaries!$A$2:$A$30,0),0),1)-1,""))</f>
        <v/>
      </c>
      <c r="BD516" s="42" t="str">
        <f aca="false">IF(OR(BC516="",$E516=""),"",BC516-$E516)</f>
        <v/>
      </c>
      <c r="BE516" s="39"/>
      <c r="BF516" s="40" t="str">
        <f aca="false">IF(OR(BE516="",CE516=""),"",BE516/CE516*100)</f>
        <v/>
      </c>
      <c r="BG516" s="41" t="str">
        <f aca="false">IF(BF516="","",IFERROR(MATCH(BF516,INDEX(Boundaries!$B$2:$I$30,MATCH(CS516,Boundaries!$A$2:$A$30,0),0),1)-1,""))</f>
        <v/>
      </c>
      <c r="BH516" s="42" t="str">
        <f aca="false">IF(OR(BG516="",$E516=""),"",BG516-$E516)</f>
        <v/>
      </c>
      <c r="BI516" s="39"/>
      <c r="BJ516" s="40" t="str">
        <f aca="false">IF(OR(BI516="",CF516=""),"",BI516/CF516*100)</f>
        <v/>
      </c>
      <c r="BK516" s="41" t="str">
        <f aca="false">IF(BJ516="","",IFERROR(MATCH(BJ516,INDEX(Boundaries!$B$2:$I$30,MATCH(CT516,Boundaries!$A$2:$A$30,0),0),1)-1,""))</f>
        <v/>
      </c>
      <c r="BL516" s="42" t="str">
        <f aca="false">IF(OR(BK516="",$E516=""),"",BK516-$E516)</f>
        <v/>
      </c>
      <c r="BM516" s="39"/>
      <c r="BN516" s="40" t="str">
        <f aca="false">IF(OR(BM516="",CG516=""),"",BM516/CG516*100)</f>
        <v/>
      </c>
      <c r="BO516" s="41" t="str">
        <f aca="false">IF(BN516="","",IFERROR(MATCH(BN516,INDEX(Boundaries!$B$2:$I$30,MATCH(CU516,Boundaries!$A$2:$A$30,0),0),1)-1,""))</f>
        <v/>
      </c>
      <c r="BP516" s="42" t="str">
        <f aca="false">IF(OR(BO516="",$E516=""),"",BO516-$E516)</f>
        <v/>
      </c>
      <c r="BQ516" s="39"/>
      <c r="BR516" s="40" t="str">
        <f aca="false">IF(OR(BQ516="",CH516=""),"",BQ516/CH516*100)</f>
        <v/>
      </c>
      <c r="BS516" s="41" t="str">
        <f aca="false">IF(BR516="","",IFERROR(MATCH(BR516,INDEX(Boundaries!$B$2:$I$30,MATCH(CV516,Boundaries!$A$2:$A$30,0),0),1)-1,""))</f>
        <v/>
      </c>
      <c r="BT516" s="42" t="str">
        <f aca="false">IF(OR(BS516="",$E516=""),"",BS516-$E516)</f>
        <v/>
      </c>
      <c r="BU516" s="28" t="str">
        <f aca="false">IFERROR(INDEX(Assessments!$H$2:$H$600,MATCH($H516&amp;"|"&amp;$I516&amp;"|"&amp;$J516&amp;"|"&amp;1,Assessments!$A$2:$A$600,0)),"")</f>
        <v/>
      </c>
      <c r="BV516" s="28" t="str">
        <f aca="false">IFERROR(INDEX(Assessments!$H$2:$H$600,MATCH($H516&amp;"|"&amp;$I516&amp;"|"&amp;$J516&amp;"|"&amp;2,Assessments!$A$2:$A$600,0)),"")</f>
        <v/>
      </c>
      <c r="BW516" s="28" t="str">
        <f aca="false">IFERROR(INDEX(Assessments!$H$2:$H$600,MATCH($H516&amp;"|"&amp;$I516&amp;"|"&amp;$J516&amp;"|"&amp;3,Assessments!$A$2:$A$600,0)),"")</f>
        <v/>
      </c>
      <c r="BX516" s="28" t="str">
        <f aca="false">IFERROR(INDEX(Assessments!$H$2:$H$600,MATCH($H516&amp;"|"&amp;$I516&amp;"|"&amp;$J516&amp;"|"&amp;4,Assessments!$A$2:$A$600,0)),"")</f>
        <v/>
      </c>
      <c r="BY516" s="28" t="str">
        <f aca="false">IFERROR(INDEX(Assessments!$H$2:$H$600,MATCH($H516&amp;"|"&amp;$I516&amp;"|"&amp;$J516&amp;"|"&amp;5,Assessments!$A$2:$A$600,0)),"")</f>
        <v/>
      </c>
      <c r="BZ516" s="28" t="str">
        <f aca="false">IFERROR(INDEX(Assessments!$H$2:$H$600,MATCH($H516&amp;"|"&amp;$I516&amp;"|"&amp;$J516&amp;"|"&amp;6,Assessments!$A$2:$A$600,0)),"")</f>
        <v/>
      </c>
      <c r="CA516" s="28" t="str">
        <f aca="false">IFERROR(INDEX(Assessments!$H$2:$H$600,MATCH($H516&amp;"|"&amp;$I516&amp;"|"&amp;$J516&amp;"|"&amp;7,Assessments!$A$2:$A$600,0)),"")</f>
        <v/>
      </c>
      <c r="CB516" s="28" t="str">
        <f aca="false">IFERROR(INDEX(Assessments!$H$2:$H$600,MATCH($H516&amp;"|"&amp;$I516&amp;"|"&amp;$J516&amp;"|"&amp;8,Assessments!$A$2:$A$600,0)),"")</f>
        <v/>
      </c>
      <c r="CC516" s="28" t="str">
        <f aca="false">IFERROR(INDEX(Assessments!$H$2:$H$600,MATCH($H516&amp;"|"&amp;$I516&amp;"|"&amp;$J516&amp;"|"&amp;9,Assessments!$A$2:$A$600,0)),"")</f>
        <v/>
      </c>
      <c r="CD516" s="28" t="str">
        <f aca="false">IFERROR(INDEX(Assessments!$H$2:$H$600,MATCH($H516&amp;"|"&amp;$I516&amp;"|"&amp;$J516&amp;"|"&amp;10,Assessments!$A$2:$A$600,0)),"")</f>
        <v/>
      </c>
      <c r="CE516" s="28" t="str">
        <f aca="false">IFERROR(INDEX(Assessments!$H$2:$H$600,MATCH($H516&amp;"|"&amp;$I516&amp;"|"&amp;$J516&amp;"|"&amp;11,Assessments!$A$2:$A$600,0)),"")</f>
        <v/>
      </c>
      <c r="CF516" s="28" t="str">
        <f aca="false">IFERROR(INDEX(Assessments!$H$2:$H$600,MATCH($H516&amp;"|"&amp;$I516&amp;"|"&amp;$J516&amp;"|"&amp;12,Assessments!$A$2:$A$600,0)),"")</f>
        <v/>
      </c>
      <c r="CG516" s="28" t="str">
        <f aca="false">IFERROR(INDEX(Assessments!$H$2:$H$600,MATCH($H516&amp;"|"&amp;$I516&amp;"|"&amp;$J516&amp;"|"&amp;13,Assessments!$A$2:$A$600,0)),"")</f>
        <v/>
      </c>
      <c r="CH516" s="28" t="str">
        <f aca="false">IFERROR(INDEX(Assessments!$H$2:$H$600,MATCH($H516&amp;"|"&amp;$I516&amp;"|"&amp;$J516&amp;"|"&amp;14,Assessments!$A$2:$A$600,0)),"")</f>
        <v/>
      </c>
      <c r="CI516" s="28" t="str">
        <f aca="false">IFERROR(INDEX(Assessments!$I$2:$I$600,MATCH($H516&amp;"|"&amp;$I516&amp;"|"&amp;$J516&amp;"|"&amp;1,Assessments!$A$2:$A$600,0)),"")</f>
        <v/>
      </c>
      <c r="CJ516" s="28" t="str">
        <f aca="false">IFERROR(INDEX(Assessments!$I$2:$I$600,MATCH($H516&amp;"|"&amp;$I516&amp;"|"&amp;$J516&amp;"|"&amp;2,Assessments!$A$2:$A$600,0)),"")</f>
        <v/>
      </c>
      <c r="CK516" s="28" t="str">
        <f aca="false">IFERROR(INDEX(Assessments!$I$2:$I$600,MATCH($H516&amp;"|"&amp;$I516&amp;"|"&amp;$J516&amp;"|"&amp;3,Assessments!$A$2:$A$600,0)),"")</f>
        <v/>
      </c>
      <c r="CL516" s="28" t="str">
        <f aca="false">IFERROR(INDEX(Assessments!$I$2:$I$600,MATCH($H516&amp;"|"&amp;$I516&amp;"|"&amp;$J516&amp;"|"&amp;4,Assessments!$A$2:$A$600,0)),"")</f>
        <v/>
      </c>
      <c r="CM516" s="28" t="str">
        <f aca="false">IFERROR(INDEX(Assessments!$I$2:$I$600,MATCH($H516&amp;"|"&amp;$I516&amp;"|"&amp;$J516&amp;"|"&amp;5,Assessments!$A$2:$A$600,0)),"")</f>
        <v/>
      </c>
      <c r="CN516" s="28" t="str">
        <f aca="false">IFERROR(INDEX(Assessments!$I$2:$I$600,MATCH($H516&amp;"|"&amp;$I516&amp;"|"&amp;$J516&amp;"|"&amp;6,Assessments!$A$2:$A$600,0)),"")</f>
        <v/>
      </c>
      <c r="CO516" s="28" t="str">
        <f aca="false">IFERROR(INDEX(Assessments!$I$2:$I$600,MATCH($H516&amp;"|"&amp;$I516&amp;"|"&amp;$J516&amp;"|"&amp;7,Assessments!$A$2:$A$600,0)),"")</f>
        <v/>
      </c>
      <c r="CP516" s="28" t="str">
        <f aca="false">IFERROR(INDEX(Assessments!$I$2:$I$600,MATCH($H516&amp;"|"&amp;$I516&amp;"|"&amp;$J516&amp;"|"&amp;8,Assessments!$A$2:$A$600,0)),"")</f>
        <v/>
      </c>
      <c r="CQ516" s="28" t="str">
        <f aca="false">IFERROR(INDEX(Assessments!$I$2:$I$600,MATCH($H516&amp;"|"&amp;$I516&amp;"|"&amp;$J516&amp;"|"&amp;9,Assessments!$A$2:$A$600,0)),"")</f>
        <v/>
      </c>
      <c r="CR516" s="28" t="str">
        <f aca="false">IFERROR(INDEX(Assessments!$I$2:$I$600,MATCH($H516&amp;"|"&amp;$I516&amp;"|"&amp;$J516&amp;"|"&amp;10,Assessments!$A$2:$A$600,0)),"")</f>
        <v/>
      </c>
      <c r="CS516" s="28" t="str">
        <f aca="false">IFERROR(INDEX(Assessments!$I$2:$I$600,MATCH($H516&amp;"|"&amp;$I516&amp;"|"&amp;$J516&amp;"|"&amp;11,Assessments!$A$2:$A$600,0)),"")</f>
        <v/>
      </c>
      <c r="CT516" s="28" t="str">
        <f aca="false">IFERROR(INDEX(Assessments!$I$2:$I$600,MATCH($H516&amp;"|"&amp;$I516&amp;"|"&amp;$J516&amp;"|"&amp;12,Assessments!$A$2:$A$600,0)),"")</f>
        <v/>
      </c>
      <c r="CU516" s="28" t="str">
        <f aca="false">IFERROR(INDEX(Assessments!$I$2:$I$600,MATCH($H516&amp;"|"&amp;$I516&amp;"|"&amp;$J516&amp;"|"&amp;13,Assessments!$A$2:$A$600,0)),"")</f>
        <v/>
      </c>
      <c r="CV516" s="28" t="str">
        <f aca="false">IFERROR(INDEX(Assessments!$I$2:$I$600,MATCH($H516&amp;"|"&amp;$I516&amp;"|"&amp;$J516&amp;"|"&amp;14,Assessments!$A$2:$A$600,0)),"")</f>
        <v/>
      </c>
      <c r="CW516" s="28" t="n">
        <f aca="false">IFERROR(INDEX(Assessments!$J$2:$J$600,MATCH($H516&amp;"|"&amp;$I516&amp;"|"&amp;$J516&amp;"|"&amp;1,Assessments!$A$2:$A$600,0)),0)</f>
        <v>0</v>
      </c>
      <c r="CX516" s="28" t="n">
        <f aca="false">IFERROR(INDEX(Assessments!$J$2:$J$600,MATCH($H516&amp;"|"&amp;$I516&amp;"|"&amp;$J516&amp;"|"&amp;2,Assessments!$A$2:$A$600,0)),0)</f>
        <v>0</v>
      </c>
      <c r="CY516" s="28" t="n">
        <f aca="false">IFERROR(INDEX(Assessments!$J$2:$J$600,MATCH($H516&amp;"|"&amp;$I516&amp;"|"&amp;$J516&amp;"|"&amp;3,Assessments!$A$2:$A$600,0)),0)</f>
        <v>0</v>
      </c>
      <c r="CZ516" s="28" t="n">
        <f aca="false">IFERROR(INDEX(Assessments!$J$2:$J$600,MATCH($H516&amp;"|"&amp;$I516&amp;"|"&amp;$J516&amp;"|"&amp;4,Assessments!$A$2:$A$600,0)),0)</f>
        <v>0</v>
      </c>
      <c r="DA516" s="28" t="n">
        <f aca="false">IFERROR(INDEX(Assessments!$J$2:$J$600,MATCH($H516&amp;"|"&amp;$I516&amp;"|"&amp;$J516&amp;"|"&amp;5,Assessments!$A$2:$A$600,0)),0)</f>
        <v>0</v>
      </c>
      <c r="DB516" s="28" t="n">
        <f aca="false">IFERROR(INDEX(Assessments!$J$2:$J$600,MATCH($H516&amp;"|"&amp;$I516&amp;"|"&amp;$J516&amp;"|"&amp;6,Assessments!$A$2:$A$600,0)),0)</f>
        <v>0</v>
      </c>
      <c r="DC516" s="28" t="n">
        <f aca="false">IFERROR(INDEX(Assessments!$J$2:$J$600,MATCH($H516&amp;"|"&amp;$I516&amp;"|"&amp;$J516&amp;"|"&amp;7,Assessments!$A$2:$A$600,0)),0)</f>
        <v>0</v>
      </c>
      <c r="DD516" s="28" t="n">
        <f aca="false">IFERROR(INDEX(Assessments!$J$2:$J$600,MATCH($H516&amp;"|"&amp;$I516&amp;"|"&amp;$J516&amp;"|"&amp;8,Assessments!$A$2:$A$600,0)),0)</f>
        <v>0</v>
      </c>
      <c r="DE516" s="28" t="n">
        <f aca="false">IFERROR(INDEX(Assessments!$J$2:$J$600,MATCH($H516&amp;"|"&amp;$I516&amp;"|"&amp;$J516&amp;"|"&amp;9,Assessments!$A$2:$A$600,0)),0)</f>
        <v>0</v>
      </c>
      <c r="DF516" s="28" t="n">
        <f aca="false">IFERROR(INDEX(Assessments!$J$2:$J$600,MATCH($H516&amp;"|"&amp;$I516&amp;"|"&amp;$J516&amp;"|"&amp;10,Assessments!$A$2:$A$600,0)),0)</f>
        <v>0</v>
      </c>
      <c r="DG516" s="28" t="n">
        <f aca="false">IFERROR(INDEX(Assessments!$J$2:$J$600,MATCH($H516&amp;"|"&amp;$I516&amp;"|"&amp;$J516&amp;"|"&amp;11,Assessments!$A$2:$A$600,0)),0)</f>
        <v>0</v>
      </c>
      <c r="DH516" s="28" t="n">
        <f aca="false">IFERROR(INDEX(Assessments!$J$2:$J$600,MATCH($H516&amp;"|"&amp;$I516&amp;"|"&amp;$J516&amp;"|"&amp;12,Assessments!$A$2:$A$600,0)),0)</f>
        <v>0</v>
      </c>
      <c r="DI516" s="28" t="n">
        <f aca="false">IFERROR(INDEX(Assessments!$J$2:$J$600,MATCH($H516&amp;"|"&amp;$I516&amp;"|"&amp;$J516&amp;"|"&amp;13,Assessments!$A$2:$A$600,0)),0)</f>
        <v>0</v>
      </c>
      <c r="DJ516" s="28" t="n">
        <f aca="false">IFERROR(INDEX(Assessments!$J$2:$J$600,MATCH($H516&amp;"|"&amp;$I516&amp;"|"&amp;$J516&amp;"|"&amp;14,Assessments!$A$2:$A$600,0)),0)</f>
        <v>0</v>
      </c>
      <c r="DK516" s="28" t="str">
        <f aca="false">S516</f>
        <v/>
      </c>
      <c r="DL516" s="28" t="str">
        <f aca="false">W516</f>
        <v/>
      </c>
      <c r="DM516" s="28" t="str">
        <f aca="false">AA516</f>
        <v/>
      </c>
      <c r="DN516" s="28" t="str">
        <f aca="false">AE516</f>
        <v/>
      </c>
      <c r="DO516" s="28" t="str">
        <f aca="false">AI516</f>
        <v/>
      </c>
      <c r="DP516" s="28" t="str">
        <f aca="false">AM516</f>
        <v/>
      </c>
      <c r="DQ516" s="28" t="str">
        <f aca="false">AQ516</f>
        <v/>
      </c>
      <c r="DR516" s="28" t="str">
        <f aca="false">AU516</f>
        <v/>
      </c>
      <c r="DS516" s="28" t="str">
        <f aca="false">AY516</f>
        <v/>
      </c>
      <c r="DT516" s="28" t="str">
        <f aca="false">BC516</f>
        <v/>
      </c>
      <c r="DU516" s="28" t="str">
        <f aca="false">BG516</f>
        <v/>
      </c>
      <c r="DV516" s="28" t="str">
        <f aca="false">BK516</f>
        <v/>
      </c>
      <c r="DW516" s="28" t="str">
        <f aca="false">BO516</f>
        <v/>
      </c>
      <c r="DX516" s="28" t="str">
        <f aca="false">BS516</f>
        <v/>
      </c>
      <c r="DY516" s="28" t="str">
        <f aca="false">IF(ISNUMBER(S516),1,"")</f>
        <v/>
      </c>
      <c r="DZ516" s="28" t="str">
        <f aca="false">IF(ISNUMBER(W516),2,"")</f>
        <v/>
      </c>
      <c r="EA516" s="28" t="str">
        <f aca="false">IF(ISNUMBER(AA516),3,"")</f>
        <v/>
      </c>
      <c r="EB516" s="28" t="str">
        <f aca="false">IF(ISNUMBER(AE516),4,"")</f>
        <v/>
      </c>
      <c r="EC516" s="28" t="str">
        <f aca="false">IF(ISNUMBER(AI516),5,"")</f>
        <v/>
      </c>
      <c r="ED516" s="28" t="str">
        <f aca="false">IF(ISNUMBER(AM516),6,"")</f>
        <v/>
      </c>
      <c r="EE516" s="28" t="str">
        <f aca="false">IF(ISNUMBER(AQ516),7,"")</f>
        <v/>
      </c>
      <c r="EF516" s="28" t="str">
        <f aca="false">IF(ISNUMBER(AU516),8,"")</f>
        <v/>
      </c>
      <c r="EG516" s="28" t="str">
        <f aca="false">IF(ISNUMBER(AY516),9,"")</f>
        <v/>
      </c>
      <c r="EH516" s="28" t="str">
        <f aca="false">IF(ISNUMBER(BC516),10,"")</f>
        <v/>
      </c>
      <c r="EI516" s="28" t="str">
        <f aca="false">IF(ISNUMBER(BG516),11,"")</f>
        <v/>
      </c>
      <c r="EJ516" s="28" t="str">
        <f aca="false">IF(ISNUMBER(BK516),12,"")</f>
        <v/>
      </c>
      <c r="EK516" s="28" t="str">
        <f aca="false">IF(ISNUMBER(BO516),13,"")</f>
        <v/>
      </c>
      <c r="EL516" s="28" t="str">
        <f aca="false">IF(ISNUMBER(BS516),14,"")</f>
        <v/>
      </c>
      <c r="EM516" s="28" t="n">
        <f aca="false">IF(ISNUMBER(R516),R516*CW516,0)</f>
        <v>0</v>
      </c>
      <c r="EN516" s="28" t="n">
        <f aca="false">IF(ISNUMBER(V516),V516*CX516,0)</f>
        <v>0</v>
      </c>
      <c r="EO516" s="28" t="n">
        <f aca="false">IF(ISNUMBER(Z516),Z516*CY516,0)</f>
        <v>0</v>
      </c>
      <c r="EP516" s="28" t="n">
        <f aca="false">IF(ISNUMBER(AD516),AD516*CZ516,0)</f>
        <v>0</v>
      </c>
      <c r="EQ516" s="28" t="n">
        <f aca="false">IF(ISNUMBER(AH516),AH516*DA516,0)</f>
        <v>0</v>
      </c>
      <c r="ER516" s="28" t="n">
        <f aca="false">IF(ISNUMBER(AL516),AL516*DB516,0)</f>
        <v>0</v>
      </c>
      <c r="ES516" s="28" t="n">
        <f aca="false">IF(ISNUMBER(AP516),AP516*DC516,0)</f>
        <v>0</v>
      </c>
      <c r="ET516" s="28" t="n">
        <f aca="false">IF(ISNUMBER(AT516),AT516*DD516,0)</f>
        <v>0</v>
      </c>
      <c r="EU516" s="28" t="n">
        <f aca="false">IF(ISNUMBER(AX516),AX516*DE516,0)</f>
        <v>0</v>
      </c>
      <c r="EV516" s="28" t="n">
        <f aca="false">IF(ISNUMBER(BB516),BB516*DF516,0)</f>
        <v>0</v>
      </c>
      <c r="EW516" s="28" t="n">
        <f aca="false">IF(ISNUMBER(BF516),BF516*DG516,0)</f>
        <v>0</v>
      </c>
      <c r="EX516" s="28" t="n">
        <f aca="false">IF(ISNUMBER(BJ516),BJ516*DH516,0)</f>
        <v>0</v>
      </c>
      <c r="EY516" s="28" t="n">
        <f aca="false">IF(ISNUMBER(BN516),BN516*DI516,0)</f>
        <v>0</v>
      </c>
      <c r="EZ516" s="28" t="n">
        <f aca="false">IF(ISNUMBER(BR516),BR516*DJ516,0)</f>
        <v>0</v>
      </c>
      <c r="FA516" s="28" t="n">
        <f aca="false">IF(ISNUMBER(R516),CW516,0)</f>
        <v>0</v>
      </c>
      <c r="FB516" s="28" t="n">
        <f aca="false">IF(ISNUMBER(V516),CX516,0)</f>
        <v>0</v>
      </c>
      <c r="FC516" s="28" t="n">
        <f aca="false">IF(ISNUMBER(Z516),CY516,0)</f>
        <v>0</v>
      </c>
      <c r="FD516" s="28" t="n">
        <f aca="false">IF(ISNUMBER(AD516),CZ516,0)</f>
        <v>0</v>
      </c>
      <c r="FE516" s="28" t="n">
        <f aca="false">IF(ISNUMBER(AH516),DA516,0)</f>
        <v>0</v>
      </c>
      <c r="FF516" s="28" t="n">
        <f aca="false">IF(ISNUMBER(AL516),DB516,0)</f>
        <v>0</v>
      </c>
      <c r="FG516" s="28" t="n">
        <f aca="false">IF(ISNUMBER(AP516),DC516,0)</f>
        <v>0</v>
      </c>
      <c r="FH516" s="28" t="n">
        <f aca="false">IF(ISNUMBER(AT516),DD516,0)</f>
        <v>0</v>
      </c>
      <c r="FI516" s="28" t="n">
        <f aca="false">IF(ISNUMBER(AX516),DE516,0)</f>
        <v>0</v>
      </c>
      <c r="FJ516" s="28" t="n">
        <f aca="false">IF(ISNUMBER(BB516),DF516,0)</f>
        <v>0</v>
      </c>
      <c r="FK516" s="28" t="n">
        <f aca="false">IF(ISNUMBER(BF516),DG516,0)</f>
        <v>0</v>
      </c>
      <c r="FL516" s="28" t="n">
        <f aca="false">IF(ISNUMBER(BJ516),DH516,0)</f>
        <v>0</v>
      </c>
      <c r="FM516" s="28" t="n">
        <f aca="false">IF(ISNUMBER(BN516),DI516,0)</f>
        <v>0</v>
      </c>
      <c r="FN516" s="28" t="n">
        <f aca="false">IF(ISNUMBER(BR516),DJ516,0)</f>
        <v>0</v>
      </c>
      <c r="FO516" s="28" t="str">
        <f aca="false">IFERROR(INDEX(Lists!$G$2:$G$20,MATCH($I516&amp;"|"&amp;$J516,Lists!$F$2:$F$20,0)),"")</f>
        <v/>
      </c>
    </row>
    <row r="517" customFormat="false" ht="19.5" hidden="false" customHeight="true" outlineLevel="0" collapsed="false">
      <c r="A517" s="29"/>
      <c r="B517" s="29"/>
      <c r="C517" s="30"/>
      <c r="D517" s="30"/>
      <c r="E517" s="31"/>
      <c r="F517" s="30"/>
      <c r="G517" s="30"/>
      <c r="H517" s="32"/>
      <c r="I517" s="33"/>
      <c r="J517" s="32"/>
      <c r="K517" s="34" t="str">
        <f aca="false">IF(OR(M517="",$E517=""),"",M517-$E517)</f>
        <v/>
      </c>
      <c r="L517" s="35" t="str">
        <f aca="false">IF(SUM(FA517:FN517)=0,"",SUM(EM517:EZ517)/SUM(FA517:FN517))</f>
        <v/>
      </c>
      <c r="M517" s="36" t="str">
        <f aca="false">IF(OR(L517="",FO517=""),"",IFERROR(MATCH(L517,INDEX(Boundaries!$B$2:$I$30,MATCH(FO517,Boundaries!$A$2:$A$30,0),0),1)-1,""))</f>
        <v/>
      </c>
      <c r="N517" s="37" t="str">
        <f aca="false">IF(COUNT($DY517:$EL517)&lt;2,"",INDEX($DK517:$DX517,MAX($DY517:$EL517))-INDEX($DK517:$DX517,MIN($DY517:$EL517)))</f>
        <v/>
      </c>
      <c r="O517" s="37" t="str">
        <f aca="false">IF(COUNT($DY517:$EL517)&lt;2,"",INDEX($DK517:$DX517,MAX($DY517:$EL517))-INDEX($DK517:$DX517,LARGE($DY517:$EL517,2)))</f>
        <v/>
      </c>
      <c r="P517" s="38" t="str">
        <f aca="false">IF(K517="","",IF(K517&gt;=0,"On/above target",IF(AND(N517&lt;&gt;"",N517&gt;=0.5),"Improving towards target",IF(AND(O517&lt;&gt;"",O517&lt;=-0.5),"Declining","Stable below target"))))</f>
        <v/>
      </c>
      <c r="Q517" s="39"/>
      <c r="R517" s="40" t="str">
        <f aca="false">IF(OR(Q517="",BU517=""),"",Q517/BU517*100)</f>
        <v/>
      </c>
      <c r="S517" s="41" t="str">
        <f aca="false">IF(R517="","",IFERROR(MATCH(R517,INDEX(Boundaries!$B$2:$I$30,MATCH(CI517,Boundaries!$A$2:$A$30,0),0),1)-1,""))</f>
        <v/>
      </c>
      <c r="T517" s="42" t="str">
        <f aca="false">IF(OR(S517="",$E517=""),"",S517-$E517)</f>
        <v/>
      </c>
      <c r="U517" s="39"/>
      <c r="V517" s="40" t="str">
        <f aca="false">IF(OR(U517="",BV517=""),"",U517/BV517*100)</f>
        <v/>
      </c>
      <c r="W517" s="41" t="str">
        <f aca="false">IF(V517="","",IFERROR(MATCH(V517,INDEX(Boundaries!$B$2:$I$30,MATCH(CJ517,Boundaries!$A$2:$A$30,0),0),1)-1,""))</f>
        <v/>
      </c>
      <c r="X517" s="42" t="str">
        <f aca="false">IF(OR(W517="",$E517=""),"",W517-$E517)</f>
        <v/>
      </c>
      <c r="Y517" s="39"/>
      <c r="Z517" s="40" t="str">
        <f aca="false">IF(OR(Y517="",BW517=""),"",Y517/BW517*100)</f>
        <v/>
      </c>
      <c r="AA517" s="41" t="str">
        <f aca="false">IF(Z517="","",IFERROR(MATCH(Z517,INDEX(Boundaries!$B$2:$I$30,MATCH(CK517,Boundaries!$A$2:$A$30,0),0),1)-1,""))</f>
        <v/>
      </c>
      <c r="AB517" s="42" t="str">
        <f aca="false">IF(OR(AA517="",$E517=""),"",AA517-$E517)</f>
        <v/>
      </c>
      <c r="AC517" s="39"/>
      <c r="AD517" s="40" t="str">
        <f aca="false">IF(OR(AC517="",BX517=""),"",AC517/BX517*100)</f>
        <v/>
      </c>
      <c r="AE517" s="41" t="str">
        <f aca="false">IF(AD517="","",IFERROR(MATCH(AD517,INDEX(Boundaries!$B$2:$I$30,MATCH(CL517,Boundaries!$A$2:$A$30,0),0),1)-1,""))</f>
        <v/>
      </c>
      <c r="AF517" s="42" t="str">
        <f aca="false">IF(OR(AE517="",$E517=""),"",AE517-$E517)</f>
        <v/>
      </c>
      <c r="AG517" s="39"/>
      <c r="AH517" s="40" t="str">
        <f aca="false">IF(OR(AG517="",BY517=""),"",AG517/BY517*100)</f>
        <v/>
      </c>
      <c r="AI517" s="41" t="str">
        <f aca="false">IF(AH517="","",IFERROR(MATCH(AH517,INDEX(Boundaries!$B$2:$I$30,MATCH(CM517,Boundaries!$A$2:$A$30,0),0),1)-1,""))</f>
        <v/>
      </c>
      <c r="AJ517" s="42" t="str">
        <f aca="false">IF(OR(AI517="",$E517=""),"",AI517-$E517)</f>
        <v/>
      </c>
      <c r="AK517" s="39"/>
      <c r="AL517" s="40" t="str">
        <f aca="false">IF(OR(AK517="",BZ517=""),"",AK517/BZ517*100)</f>
        <v/>
      </c>
      <c r="AM517" s="41" t="str">
        <f aca="false">IF(AL517="","",IFERROR(MATCH(AL517,INDEX(Boundaries!$B$2:$I$30,MATCH(CN517,Boundaries!$A$2:$A$30,0),0),1)-1,""))</f>
        <v/>
      </c>
      <c r="AN517" s="42" t="str">
        <f aca="false">IF(OR(AM517="",$E517=""),"",AM517-$E517)</f>
        <v/>
      </c>
      <c r="AO517" s="39"/>
      <c r="AP517" s="40" t="str">
        <f aca="false">IF(OR(AO517="",CA517=""),"",AO517/CA517*100)</f>
        <v/>
      </c>
      <c r="AQ517" s="41" t="str">
        <f aca="false">IF(AP517="","",IFERROR(MATCH(AP517,INDEX(Boundaries!$B$2:$I$30,MATCH(CO517,Boundaries!$A$2:$A$30,0),0),1)-1,""))</f>
        <v/>
      </c>
      <c r="AR517" s="42" t="str">
        <f aca="false">IF(OR(AQ517="",$E517=""),"",AQ517-$E517)</f>
        <v/>
      </c>
      <c r="AS517" s="39"/>
      <c r="AT517" s="40" t="str">
        <f aca="false">IF(OR(AS517="",CB517=""),"",AS517/CB517*100)</f>
        <v/>
      </c>
      <c r="AU517" s="41" t="str">
        <f aca="false">IF(AT517="","",IFERROR(MATCH(AT517,INDEX(Boundaries!$B$2:$I$30,MATCH(CP517,Boundaries!$A$2:$A$30,0),0),1)-1,""))</f>
        <v/>
      </c>
      <c r="AV517" s="42" t="str">
        <f aca="false">IF(OR(AU517="",$E517=""),"",AU517-$E517)</f>
        <v/>
      </c>
      <c r="AW517" s="39"/>
      <c r="AX517" s="40" t="str">
        <f aca="false">IF(OR(AW517="",CC517=""),"",AW517/CC517*100)</f>
        <v/>
      </c>
      <c r="AY517" s="41" t="str">
        <f aca="false">IF(AX517="","",IFERROR(MATCH(AX517,INDEX(Boundaries!$B$2:$I$30,MATCH(CQ517,Boundaries!$A$2:$A$30,0),0),1)-1,""))</f>
        <v/>
      </c>
      <c r="AZ517" s="42" t="str">
        <f aca="false">IF(OR(AY517="",$E517=""),"",AY517-$E517)</f>
        <v/>
      </c>
      <c r="BA517" s="39"/>
      <c r="BB517" s="40" t="str">
        <f aca="false">IF(OR(BA517="",CD517=""),"",BA517/CD517*100)</f>
        <v/>
      </c>
      <c r="BC517" s="41" t="str">
        <f aca="false">IF(BB517="","",IFERROR(MATCH(BB517,INDEX(Boundaries!$B$2:$I$30,MATCH(CR517,Boundaries!$A$2:$A$30,0),0),1)-1,""))</f>
        <v/>
      </c>
      <c r="BD517" s="42" t="str">
        <f aca="false">IF(OR(BC517="",$E517=""),"",BC517-$E517)</f>
        <v/>
      </c>
      <c r="BE517" s="39"/>
      <c r="BF517" s="40" t="str">
        <f aca="false">IF(OR(BE517="",CE517=""),"",BE517/CE517*100)</f>
        <v/>
      </c>
      <c r="BG517" s="41" t="str">
        <f aca="false">IF(BF517="","",IFERROR(MATCH(BF517,INDEX(Boundaries!$B$2:$I$30,MATCH(CS517,Boundaries!$A$2:$A$30,0),0),1)-1,""))</f>
        <v/>
      </c>
      <c r="BH517" s="42" t="str">
        <f aca="false">IF(OR(BG517="",$E517=""),"",BG517-$E517)</f>
        <v/>
      </c>
      <c r="BI517" s="39"/>
      <c r="BJ517" s="40" t="str">
        <f aca="false">IF(OR(BI517="",CF517=""),"",BI517/CF517*100)</f>
        <v/>
      </c>
      <c r="BK517" s="41" t="str">
        <f aca="false">IF(BJ517="","",IFERROR(MATCH(BJ517,INDEX(Boundaries!$B$2:$I$30,MATCH(CT517,Boundaries!$A$2:$A$30,0),0),1)-1,""))</f>
        <v/>
      </c>
      <c r="BL517" s="42" t="str">
        <f aca="false">IF(OR(BK517="",$E517=""),"",BK517-$E517)</f>
        <v/>
      </c>
      <c r="BM517" s="39"/>
      <c r="BN517" s="40" t="str">
        <f aca="false">IF(OR(BM517="",CG517=""),"",BM517/CG517*100)</f>
        <v/>
      </c>
      <c r="BO517" s="41" t="str">
        <f aca="false">IF(BN517="","",IFERROR(MATCH(BN517,INDEX(Boundaries!$B$2:$I$30,MATCH(CU517,Boundaries!$A$2:$A$30,0),0),1)-1,""))</f>
        <v/>
      </c>
      <c r="BP517" s="42" t="str">
        <f aca="false">IF(OR(BO517="",$E517=""),"",BO517-$E517)</f>
        <v/>
      </c>
      <c r="BQ517" s="39"/>
      <c r="BR517" s="40" t="str">
        <f aca="false">IF(OR(BQ517="",CH517=""),"",BQ517/CH517*100)</f>
        <v/>
      </c>
      <c r="BS517" s="41" t="str">
        <f aca="false">IF(BR517="","",IFERROR(MATCH(BR517,INDEX(Boundaries!$B$2:$I$30,MATCH(CV517,Boundaries!$A$2:$A$30,0),0),1)-1,""))</f>
        <v/>
      </c>
      <c r="BT517" s="42" t="str">
        <f aca="false">IF(OR(BS517="",$E517=""),"",BS517-$E517)</f>
        <v/>
      </c>
      <c r="BU517" s="28" t="str">
        <f aca="false">IFERROR(INDEX(Assessments!$H$2:$H$600,MATCH($H517&amp;"|"&amp;$I517&amp;"|"&amp;$J517&amp;"|"&amp;1,Assessments!$A$2:$A$600,0)),"")</f>
        <v/>
      </c>
      <c r="BV517" s="28" t="str">
        <f aca="false">IFERROR(INDEX(Assessments!$H$2:$H$600,MATCH($H517&amp;"|"&amp;$I517&amp;"|"&amp;$J517&amp;"|"&amp;2,Assessments!$A$2:$A$600,0)),"")</f>
        <v/>
      </c>
      <c r="BW517" s="28" t="str">
        <f aca="false">IFERROR(INDEX(Assessments!$H$2:$H$600,MATCH($H517&amp;"|"&amp;$I517&amp;"|"&amp;$J517&amp;"|"&amp;3,Assessments!$A$2:$A$600,0)),"")</f>
        <v/>
      </c>
      <c r="BX517" s="28" t="str">
        <f aca="false">IFERROR(INDEX(Assessments!$H$2:$H$600,MATCH($H517&amp;"|"&amp;$I517&amp;"|"&amp;$J517&amp;"|"&amp;4,Assessments!$A$2:$A$600,0)),"")</f>
        <v/>
      </c>
      <c r="BY517" s="28" t="str">
        <f aca="false">IFERROR(INDEX(Assessments!$H$2:$H$600,MATCH($H517&amp;"|"&amp;$I517&amp;"|"&amp;$J517&amp;"|"&amp;5,Assessments!$A$2:$A$600,0)),"")</f>
        <v/>
      </c>
      <c r="BZ517" s="28" t="str">
        <f aca="false">IFERROR(INDEX(Assessments!$H$2:$H$600,MATCH($H517&amp;"|"&amp;$I517&amp;"|"&amp;$J517&amp;"|"&amp;6,Assessments!$A$2:$A$600,0)),"")</f>
        <v/>
      </c>
      <c r="CA517" s="28" t="str">
        <f aca="false">IFERROR(INDEX(Assessments!$H$2:$H$600,MATCH($H517&amp;"|"&amp;$I517&amp;"|"&amp;$J517&amp;"|"&amp;7,Assessments!$A$2:$A$600,0)),"")</f>
        <v/>
      </c>
      <c r="CB517" s="28" t="str">
        <f aca="false">IFERROR(INDEX(Assessments!$H$2:$H$600,MATCH($H517&amp;"|"&amp;$I517&amp;"|"&amp;$J517&amp;"|"&amp;8,Assessments!$A$2:$A$600,0)),"")</f>
        <v/>
      </c>
      <c r="CC517" s="28" t="str">
        <f aca="false">IFERROR(INDEX(Assessments!$H$2:$H$600,MATCH($H517&amp;"|"&amp;$I517&amp;"|"&amp;$J517&amp;"|"&amp;9,Assessments!$A$2:$A$600,0)),"")</f>
        <v/>
      </c>
      <c r="CD517" s="28" t="str">
        <f aca="false">IFERROR(INDEX(Assessments!$H$2:$H$600,MATCH($H517&amp;"|"&amp;$I517&amp;"|"&amp;$J517&amp;"|"&amp;10,Assessments!$A$2:$A$600,0)),"")</f>
        <v/>
      </c>
      <c r="CE517" s="28" t="str">
        <f aca="false">IFERROR(INDEX(Assessments!$H$2:$H$600,MATCH($H517&amp;"|"&amp;$I517&amp;"|"&amp;$J517&amp;"|"&amp;11,Assessments!$A$2:$A$600,0)),"")</f>
        <v/>
      </c>
      <c r="CF517" s="28" t="str">
        <f aca="false">IFERROR(INDEX(Assessments!$H$2:$H$600,MATCH($H517&amp;"|"&amp;$I517&amp;"|"&amp;$J517&amp;"|"&amp;12,Assessments!$A$2:$A$600,0)),"")</f>
        <v/>
      </c>
      <c r="CG517" s="28" t="str">
        <f aca="false">IFERROR(INDEX(Assessments!$H$2:$H$600,MATCH($H517&amp;"|"&amp;$I517&amp;"|"&amp;$J517&amp;"|"&amp;13,Assessments!$A$2:$A$600,0)),"")</f>
        <v/>
      </c>
      <c r="CH517" s="28" t="str">
        <f aca="false">IFERROR(INDEX(Assessments!$H$2:$H$600,MATCH($H517&amp;"|"&amp;$I517&amp;"|"&amp;$J517&amp;"|"&amp;14,Assessments!$A$2:$A$600,0)),"")</f>
        <v/>
      </c>
      <c r="CI517" s="28" t="str">
        <f aca="false">IFERROR(INDEX(Assessments!$I$2:$I$600,MATCH($H517&amp;"|"&amp;$I517&amp;"|"&amp;$J517&amp;"|"&amp;1,Assessments!$A$2:$A$600,0)),"")</f>
        <v/>
      </c>
      <c r="CJ517" s="28" t="str">
        <f aca="false">IFERROR(INDEX(Assessments!$I$2:$I$600,MATCH($H517&amp;"|"&amp;$I517&amp;"|"&amp;$J517&amp;"|"&amp;2,Assessments!$A$2:$A$600,0)),"")</f>
        <v/>
      </c>
      <c r="CK517" s="28" t="str">
        <f aca="false">IFERROR(INDEX(Assessments!$I$2:$I$600,MATCH($H517&amp;"|"&amp;$I517&amp;"|"&amp;$J517&amp;"|"&amp;3,Assessments!$A$2:$A$600,0)),"")</f>
        <v/>
      </c>
      <c r="CL517" s="28" t="str">
        <f aca="false">IFERROR(INDEX(Assessments!$I$2:$I$600,MATCH($H517&amp;"|"&amp;$I517&amp;"|"&amp;$J517&amp;"|"&amp;4,Assessments!$A$2:$A$600,0)),"")</f>
        <v/>
      </c>
      <c r="CM517" s="28" t="str">
        <f aca="false">IFERROR(INDEX(Assessments!$I$2:$I$600,MATCH($H517&amp;"|"&amp;$I517&amp;"|"&amp;$J517&amp;"|"&amp;5,Assessments!$A$2:$A$600,0)),"")</f>
        <v/>
      </c>
      <c r="CN517" s="28" t="str">
        <f aca="false">IFERROR(INDEX(Assessments!$I$2:$I$600,MATCH($H517&amp;"|"&amp;$I517&amp;"|"&amp;$J517&amp;"|"&amp;6,Assessments!$A$2:$A$600,0)),"")</f>
        <v/>
      </c>
      <c r="CO517" s="28" t="str">
        <f aca="false">IFERROR(INDEX(Assessments!$I$2:$I$600,MATCH($H517&amp;"|"&amp;$I517&amp;"|"&amp;$J517&amp;"|"&amp;7,Assessments!$A$2:$A$600,0)),"")</f>
        <v/>
      </c>
      <c r="CP517" s="28" t="str">
        <f aca="false">IFERROR(INDEX(Assessments!$I$2:$I$600,MATCH($H517&amp;"|"&amp;$I517&amp;"|"&amp;$J517&amp;"|"&amp;8,Assessments!$A$2:$A$600,0)),"")</f>
        <v/>
      </c>
      <c r="CQ517" s="28" t="str">
        <f aca="false">IFERROR(INDEX(Assessments!$I$2:$I$600,MATCH($H517&amp;"|"&amp;$I517&amp;"|"&amp;$J517&amp;"|"&amp;9,Assessments!$A$2:$A$600,0)),"")</f>
        <v/>
      </c>
      <c r="CR517" s="28" t="str">
        <f aca="false">IFERROR(INDEX(Assessments!$I$2:$I$600,MATCH($H517&amp;"|"&amp;$I517&amp;"|"&amp;$J517&amp;"|"&amp;10,Assessments!$A$2:$A$600,0)),"")</f>
        <v/>
      </c>
      <c r="CS517" s="28" t="str">
        <f aca="false">IFERROR(INDEX(Assessments!$I$2:$I$600,MATCH($H517&amp;"|"&amp;$I517&amp;"|"&amp;$J517&amp;"|"&amp;11,Assessments!$A$2:$A$600,0)),"")</f>
        <v/>
      </c>
      <c r="CT517" s="28" t="str">
        <f aca="false">IFERROR(INDEX(Assessments!$I$2:$I$600,MATCH($H517&amp;"|"&amp;$I517&amp;"|"&amp;$J517&amp;"|"&amp;12,Assessments!$A$2:$A$600,0)),"")</f>
        <v/>
      </c>
      <c r="CU517" s="28" t="str">
        <f aca="false">IFERROR(INDEX(Assessments!$I$2:$I$600,MATCH($H517&amp;"|"&amp;$I517&amp;"|"&amp;$J517&amp;"|"&amp;13,Assessments!$A$2:$A$600,0)),"")</f>
        <v/>
      </c>
      <c r="CV517" s="28" t="str">
        <f aca="false">IFERROR(INDEX(Assessments!$I$2:$I$600,MATCH($H517&amp;"|"&amp;$I517&amp;"|"&amp;$J517&amp;"|"&amp;14,Assessments!$A$2:$A$600,0)),"")</f>
        <v/>
      </c>
      <c r="CW517" s="28" t="n">
        <f aca="false">IFERROR(INDEX(Assessments!$J$2:$J$600,MATCH($H517&amp;"|"&amp;$I517&amp;"|"&amp;$J517&amp;"|"&amp;1,Assessments!$A$2:$A$600,0)),0)</f>
        <v>0</v>
      </c>
      <c r="CX517" s="28" t="n">
        <f aca="false">IFERROR(INDEX(Assessments!$J$2:$J$600,MATCH($H517&amp;"|"&amp;$I517&amp;"|"&amp;$J517&amp;"|"&amp;2,Assessments!$A$2:$A$600,0)),0)</f>
        <v>0</v>
      </c>
      <c r="CY517" s="28" t="n">
        <f aca="false">IFERROR(INDEX(Assessments!$J$2:$J$600,MATCH($H517&amp;"|"&amp;$I517&amp;"|"&amp;$J517&amp;"|"&amp;3,Assessments!$A$2:$A$600,0)),0)</f>
        <v>0</v>
      </c>
      <c r="CZ517" s="28" t="n">
        <f aca="false">IFERROR(INDEX(Assessments!$J$2:$J$600,MATCH($H517&amp;"|"&amp;$I517&amp;"|"&amp;$J517&amp;"|"&amp;4,Assessments!$A$2:$A$600,0)),0)</f>
        <v>0</v>
      </c>
      <c r="DA517" s="28" t="n">
        <f aca="false">IFERROR(INDEX(Assessments!$J$2:$J$600,MATCH($H517&amp;"|"&amp;$I517&amp;"|"&amp;$J517&amp;"|"&amp;5,Assessments!$A$2:$A$600,0)),0)</f>
        <v>0</v>
      </c>
      <c r="DB517" s="28" t="n">
        <f aca="false">IFERROR(INDEX(Assessments!$J$2:$J$600,MATCH($H517&amp;"|"&amp;$I517&amp;"|"&amp;$J517&amp;"|"&amp;6,Assessments!$A$2:$A$600,0)),0)</f>
        <v>0</v>
      </c>
      <c r="DC517" s="28" t="n">
        <f aca="false">IFERROR(INDEX(Assessments!$J$2:$J$600,MATCH($H517&amp;"|"&amp;$I517&amp;"|"&amp;$J517&amp;"|"&amp;7,Assessments!$A$2:$A$600,0)),0)</f>
        <v>0</v>
      </c>
      <c r="DD517" s="28" t="n">
        <f aca="false">IFERROR(INDEX(Assessments!$J$2:$J$600,MATCH($H517&amp;"|"&amp;$I517&amp;"|"&amp;$J517&amp;"|"&amp;8,Assessments!$A$2:$A$600,0)),0)</f>
        <v>0</v>
      </c>
      <c r="DE517" s="28" t="n">
        <f aca="false">IFERROR(INDEX(Assessments!$J$2:$J$600,MATCH($H517&amp;"|"&amp;$I517&amp;"|"&amp;$J517&amp;"|"&amp;9,Assessments!$A$2:$A$600,0)),0)</f>
        <v>0</v>
      </c>
      <c r="DF517" s="28" t="n">
        <f aca="false">IFERROR(INDEX(Assessments!$J$2:$J$600,MATCH($H517&amp;"|"&amp;$I517&amp;"|"&amp;$J517&amp;"|"&amp;10,Assessments!$A$2:$A$600,0)),0)</f>
        <v>0</v>
      </c>
      <c r="DG517" s="28" t="n">
        <f aca="false">IFERROR(INDEX(Assessments!$J$2:$J$600,MATCH($H517&amp;"|"&amp;$I517&amp;"|"&amp;$J517&amp;"|"&amp;11,Assessments!$A$2:$A$600,0)),0)</f>
        <v>0</v>
      </c>
      <c r="DH517" s="28" t="n">
        <f aca="false">IFERROR(INDEX(Assessments!$J$2:$J$600,MATCH($H517&amp;"|"&amp;$I517&amp;"|"&amp;$J517&amp;"|"&amp;12,Assessments!$A$2:$A$600,0)),0)</f>
        <v>0</v>
      </c>
      <c r="DI517" s="28" t="n">
        <f aca="false">IFERROR(INDEX(Assessments!$J$2:$J$600,MATCH($H517&amp;"|"&amp;$I517&amp;"|"&amp;$J517&amp;"|"&amp;13,Assessments!$A$2:$A$600,0)),0)</f>
        <v>0</v>
      </c>
      <c r="DJ517" s="28" t="n">
        <f aca="false">IFERROR(INDEX(Assessments!$J$2:$J$600,MATCH($H517&amp;"|"&amp;$I517&amp;"|"&amp;$J517&amp;"|"&amp;14,Assessments!$A$2:$A$600,0)),0)</f>
        <v>0</v>
      </c>
      <c r="DK517" s="28" t="str">
        <f aca="false">S517</f>
        <v/>
      </c>
      <c r="DL517" s="28" t="str">
        <f aca="false">W517</f>
        <v/>
      </c>
      <c r="DM517" s="28" t="str">
        <f aca="false">AA517</f>
        <v/>
      </c>
      <c r="DN517" s="28" t="str">
        <f aca="false">AE517</f>
        <v/>
      </c>
      <c r="DO517" s="28" t="str">
        <f aca="false">AI517</f>
        <v/>
      </c>
      <c r="DP517" s="28" t="str">
        <f aca="false">AM517</f>
        <v/>
      </c>
      <c r="DQ517" s="28" t="str">
        <f aca="false">AQ517</f>
        <v/>
      </c>
      <c r="DR517" s="28" t="str">
        <f aca="false">AU517</f>
        <v/>
      </c>
      <c r="DS517" s="28" t="str">
        <f aca="false">AY517</f>
        <v/>
      </c>
      <c r="DT517" s="28" t="str">
        <f aca="false">BC517</f>
        <v/>
      </c>
      <c r="DU517" s="28" t="str">
        <f aca="false">BG517</f>
        <v/>
      </c>
      <c r="DV517" s="28" t="str">
        <f aca="false">BK517</f>
        <v/>
      </c>
      <c r="DW517" s="28" t="str">
        <f aca="false">BO517</f>
        <v/>
      </c>
      <c r="DX517" s="28" t="str">
        <f aca="false">BS517</f>
        <v/>
      </c>
      <c r="DY517" s="28" t="str">
        <f aca="false">IF(ISNUMBER(S517),1,"")</f>
        <v/>
      </c>
      <c r="DZ517" s="28" t="str">
        <f aca="false">IF(ISNUMBER(W517),2,"")</f>
        <v/>
      </c>
      <c r="EA517" s="28" t="str">
        <f aca="false">IF(ISNUMBER(AA517),3,"")</f>
        <v/>
      </c>
      <c r="EB517" s="28" t="str">
        <f aca="false">IF(ISNUMBER(AE517),4,"")</f>
        <v/>
      </c>
      <c r="EC517" s="28" t="str">
        <f aca="false">IF(ISNUMBER(AI517),5,"")</f>
        <v/>
      </c>
      <c r="ED517" s="28" t="str">
        <f aca="false">IF(ISNUMBER(AM517),6,"")</f>
        <v/>
      </c>
      <c r="EE517" s="28" t="str">
        <f aca="false">IF(ISNUMBER(AQ517),7,"")</f>
        <v/>
      </c>
      <c r="EF517" s="28" t="str">
        <f aca="false">IF(ISNUMBER(AU517),8,"")</f>
        <v/>
      </c>
      <c r="EG517" s="28" t="str">
        <f aca="false">IF(ISNUMBER(AY517),9,"")</f>
        <v/>
      </c>
      <c r="EH517" s="28" t="str">
        <f aca="false">IF(ISNUMBER(BC517),10,"")</f>
        <v/>
      </c>
      <c r="EI517" s="28" t="str">
        <f aca="false">IF(ISNUMBER(BG517),11,"")</f>
        <v/>
      </c>
      <c r="EJ517" s="28" t="str">
        <f aca="false">IF(ISNUMBER(BK517),12,"")</f>
        <v/>
      </c>
      <c r="EK517" s="28" t="str">
        <f aca="false">IF(ISNUMBER(BO517),13,"")</f>
        <v/>
      </c>
      <c r="EL517" s="28" t="str">
        <f aca="false">IF(ISNUMBER(BS517),14,"")</f>
        <v/>
      </c>
      <c r="EM517" s="28" t="n">
        <f aca="false">IF(ISNUMBER(R517),R517*CW517,0)</f>
        <v>0</v>
      </c>
      <c r="EN517" s="28" t="n">
        <f aca="false">IF(ISNUMBER(V517),V517*CX517,0)</f>
        <v>0</v>
      </c>
      <c r="EO517" s="28" t="n">
        <f aca="false">IF(ISNUMBER(Z517),Z517*CY517,0)</f>
        <v>0</v>
      </c>
      <c r="EP517" s="28" t="n">
        <f aca="false">IF(ISNUMBER(AD517),AD517*CZ517,0)</f>
        <v>0</v>
      </c>
      <c r="EQ517" s="28" t="n">
        <f aca="false">IF(ISNUMBER(AH517),AH517*DA517,0)</f>
        <v>0</v>
      </c>
      <c r="ER517" s="28" t="n">
        <f aca="false">IF(ISNUMBER(AL517),AL517*DB517,0)</f>
        <v>0</v>
      </c>
      <c r="ES517" s="28" t="n">
        <f aca="false">IF(ISNUMBER(AP517),AP517*DC517,0)</f>
        <v>0</v>
      </c>
      <c r="ET517" s="28" t="n">
        <f aca="false">IF(ISNUMBER(AT517),AT517*DD517,0)</f>
        <v>0</v>
      </c>
      <c r="EU517" s="28" t="n">
        <f aca="false">IF(ISNUMBER(AX517),AX517*DE517,0)</f>
        <v>0</v>
      </c>
      <c r="EV517" s="28" t="n">
        <f aca="false">IF(ISNUMBER(BB517),BB517*DF517,0)</f>
        <v>0</v>
      </c>
      <c r="EW517" s="28" t="n">
        <f aca="false">IF(ISNUMBER(BF517),BF517*DG517,0)</f>
        <v>0</v>
      </c>
      <c r="EX517" s="28" t="n">
        <f aca="false">IF(ISNUMBER(BJ517),BJ517*DH517,0)</f>
        <v>0</v>
      </c>
      <c r="EY517" s="28" t="n">
        <f aca="false">IF(ISNUMBER(BN517),BN517*DI517,0)</f>
        <v>0</v>
      </c>
      <c r="EZ517" s="28" t="n">
        <f aca="false">IF(ISNUMBER(BR517),BR517*DJ517,0)</f>
        <v>0</v>
      </c>
      <c r="FA517" s="28" t="n">
        <f aca="false">IF(ISNUMBER(R517),CW517,0)</f>
        <v>0</v>
      </c>
      <c r="FB517" s="28" t="n">
        <f aca="false">IF(ISNUMBER(V517),CX517,0)</f>
        <v>0</v>
      </c>
      <c r="FC517" s="28" t="n">
        <f aca="false">IF(ISNUMBER(Z517),CY517,0)</f>
        <v>0</v>
      </c>
      <c r="FD517" s="28" t="n">
        <f aca="false">IF(ISNUMBER(AD517),CZ517,0)</f>
        <v>0</v>
      </c>
      <c r="FE517" s="28" t="n">
        <f aca="false">IF(ISNUMBER(AH517),DA517,0)</f>
        <v>0</v>
      </c>
      <c r="FF517" s="28" t="n">
        <f aca="false">IF(ISNUMBER(AL517),DB517,0)</f>
        <v>0</v>
      </c>
      <c r="FG517" s="28" t="n">
        <f aca="false">IF(ISNUMBER(AP517),DC517,0)</f>
        <v>0</v>
      </c>
      <c r="FH517" s="28" t="n">
        <f aca="false">IF(ISNUMBER(AT517),DD517,0)</f>
        <v>0</v>
      </c>
      <c r="FI517" s="28" t="n">
        <f aca="false">IF(ISNUMBER(AX517),DE517,0)</f>
        <v>0</v>
      </c>
      <c r="FJ517" s="28" t="n">
        <f aca="false">IF(ISNUMBER(BB517),DF517,0)</f>
        <v>0</v>
      </c>
      <c r="FK517" s="28" t="n">
        <f aca="false">IF(ISNUMBER(BF517),DG517,0)</f>
        <v>0</v>
      </c>
      <c r="FL517" s="28" t="n">
        <f aca="false">IF(ISNUMBER(BJ517),DH517,0)</f>
        <v>0</v>
      </c>
      <c r="FM517" s="28" t="n">
        <f aca="false">IF(ISNUMBER(BN517),DI517,0)</f>
        <v>0</v>
      </c>
      <c r="FN517" s="28" t="n">
        <f aca="false">IF(ISNUMBER(BR517),DJ517,0)</f>
        <v>0</v>
      </c>
      <c r="FO517" s="28" t="str">
        <f aca="false">IFERROR(INDEX(Lists!$G$2:$G$20,MATCH($I517&amp;"|"&amp;$J517,Lists!$F$2:$F$20,0)),"")</f>
        <v/>
      </c>
    </row>
    <row r="518" customFormat="false" ht="19.5" hidden="false" customHeight="true" outlineLevel="0" collapsed="false">
      <c r="A518" s="29"/>
      <c r="B518" s="29"/>
      <c r="C518" s="30"/>
      <c r="D518" s="30"/>
      <c r="E518" s="31"/>
      <c r="F518" s="30"/>
      <c r="G518" s="30"/>
      <c r="H518" s="32"/>
      <c r="I518" s="33"/>
      <c r="J518" s="32"/>
      <c r="K518" s="34" t="str">
        <f aca="false">IF(OR(M518="",$E518=""),"",M518-$E518)</f>
        <v/>
      </c>
      <c r="L518" s="35" t="str">
        <f aca="false">IF(SUM(FA518:FN518)=0,"",SUM(EM518:EZ518)/SUM(FA518:FN518))</f>
        <v/>
      </c>
      <c r="M518" s="36" t="str">
        <f aca="false">IF(OR(L518="",FO518=""),"",IFERROR(MATCH(L518,INDEX(Boundaries!$B$2:$I$30,MATCH(FO518,Boundaries!$A$2:$A$30,0),0),1)-1,""))</f>
        <v/>
      </c>
      <c r="N518" s="37" t="str">
        <f aca="false">IF(COUNT($DY518:$EL518)&lt;2,"",INDEX($DK518:$DX518,MAX($DY518:$EL518))-INDEX($DK518:$DX518,MIN($DY518:$EL518)))</f>
        <v/>
      </c>
      <c r="O518" s="37" t="str">
        <f aca="false">IF(COUNT($DY518:$EL518)&lt;2,"",INDEX($DK518:$DX518,MAX($DY518:$EL518))-INDEX($DK518:$DX518,LARGE($DY518:$EL518,2)))</f>
        <v/>
      </c>
      <c r="P518" s="38" t="str">
        <f aca="false">IF(K518="","",IF(K518&gt;=0,"On/above target",IF(AND(N518&lt;&gt;"",N518&gt;=0.5),"Improving towards target",IF(AND(O518&lt;&gt;"",O518&lt;=-0.5),"Declining","Stable below target"))))</f>
        <v/>
      </c>
      <c r="Q518" s="39"/>
      <c r="R518" s="40" t="str">
        <f aca="false">IF(OR(Q518="",BU518=""),"",Q518/BU518*100)</f>
        <v/>
      </c>
      <c r="S518" s="41" t="str">
        <f aca="false">IF(R518="","",IFERROR(MATCH(R518,INDEX(Boundaries!$B$2:$I$30,MATCH(CI518,Boundaries!$A$2:$A$30,0),0),1)-1,""))</f>
        <v/>
      </c>
      <c r="T518" s="42" t="str">
        <f aca="false">IF(OR(S518="",$E518=""),"",S518-$E518)</f>
        <v/>
      </c>
      <c r="U518" s="39"/>
      <c r="V518" s="40" t="str">
        <f aca="false">IF(OR(U518="",BV518=""),"",U518/BV518*100)</f>
        <v/>
      </c>
      <c r="W518" s="41" t="str">
        <f aca="false">IF(V518="","",IFERROR(MATCH(V518,INDEX(Boundaries!$B$2:$I$30,MATCH(CJ518,Boundaries!$A$2:$A$30,0),0),1)-1,""))</f>
        <v/>
      </c>
      <c r="X518" s="42" t="str">
        <f aca="false">IF(OR(W518="",$E518=""),"",W518-$E518)</f>
        <v/>
      </c>
      <c r="Y518" s="39"/>
      <c r="Z518" s="40" t="str">
        <f aca="false">IF(OR(Y518="",BW518=""),"",Y518/BW518*100)</f>
        <v/>
      </c>
      <c r="AA518" s="41" t="str">
        <f aca="false">IF(Z518="","",IFERROR(MATCH(Z518,INDEX(Boundaries!$B$2:$I$30,MATCH(CK518,Boundaries!$A$2:$A$30,0),0),1)-1,""))</f>
        <v/>
      </c>
      <c r="AB518" s="42" t="str">
        <f aca="false">IF(OR(AA518="",$E518=""),"",AA518-$E518)</f>
        <v/>
      </c>
      <c r="AC518" s="39"/>
      <c r="AD518" s="40" t="str">
        <f aca="false">IF(OR(AC518="",BX518=""),"",AC518/BX518*100)</f>
        <v/>
      </c>
      <c r="AE518" s="41" t="str">
        <f aca="false">IF(AD518="","",IFERROR(MATCH(AD518,INDEX(Boundaries!$B$2:$I$30,MATCH(CL518,Boundaries!$A$2:$A$30,0),0),1)-1,""))</f>
        <v/>
      </c>
      <c r="AF518" s="42" t="str">
        <f aca="false">IF(OR(AE518="",$E518=""),"",AE518-$E518)</f>
        <v/>
      </c>
      <c r="AG518" s="39"/>
      <c r="AH518" s="40" t="str">
        <f aca="false">IF(OR(AG518="",BY518=""),"",AG518/BY518*100)</f>
        <v/>
      </c>
      <c r="AI518" s="41" t="str">
        <f aca="false">IF(AH518="","",IFERROR(MATCH(AH518,INDEX(Boundaries!$B$2:$I$30,MATCH(CM518,Boundaries!$A$2:$A$30,0),0),1)-1,""))</f>
        <v/>
      </c>
      <c r="AJ518" s="42" t="str">
        <f aca="false">IF(OR(AI518="",$E518=""),"",AI518-$E518)</f>
        <v/>
      </c>
      <c r="AK518" s="39"/>
      <c r="AL518" s="40" t="str">
        <f aca="false">IF(OR(AK518="",BZ518=""),"",AK518/BZ518*100)</f>
        <v/>
      </c>
      <c r="AM518" s="41" t="str">
        <f aca="false">IF(AL518="","",IFERROR(MATCH(AL518,INDEX(Boundaries!$B$2:$I$30,MATCH(CN518,Boundaries!$A$2:$A$30,0),0),1)-1,""))</f>
        <v/>
      </c>
      <c r="AN518" s="42" t="str">
        <f aca="false">IF(OR(AM518="",$E518=""),"",AM518-$E518)</f>
        <v/>
      </c>
      <c r="AO518" s="39"/>
      <c r="AP518" s="40" t="str">
        <f aca="false">IF(OR(AO518="",CA518=""),"",AO518/CA518*100)</f>
        <v/>
      </c>
      <c r="AQ518" s="41" t="str">
        <f aca="false">IF(AP518="","",IFERROR(MATCH(AP518,INDEX(Boundaries!$B$2:$I$30,MATCH(CO518,Boundaries!$A$2:$A$30,0),0),1)-1,""))</f>
        <v/>
      </c>
      <c r="AR518" s="42" t="str">
        <f aca="false">IF(OR(AQ518="",$E518=""),"",AQ518-$E518)</f>
        <v/>
      </c>
      <c r="AS518" s="39"/>
      <c r="AT518" s="40" t="str">
        <f aca="false">IF(OR(AS518="",CB518=""),"",AS518/CB518*100)</f>
        <v/>
      </c>
      <c r="AU518" s="41" t="str">
        <f aca="false">IF(AT518="","",IFERROR(MATCH(AT518,INDEX(Boundaries!$B$2:$I$30,MATCH(CP518,Boundaries!$A$2:$A$30,0),0),1)-1,""))</f>
        <v/>
      </c>
      <c r="AV518" s="42" t="str">
        <f aca="false">IF(OR(AU518="",$E518=""),"",AU518-$E518)</f>
        <v/>
      </c>
      <c r="AW518" s="39"/>
      <c r="AX518" s="40" t="str">
        <f aca="false">IF(OR(AW518="",CC518=""),"",AW518/CC518*100)</f>
        <v/>
      </c>
      <c r="AY518" s="41" t="str">
        <f aca="false">IF(AX518="","",IFERROR(MATCH(AX518,INDEX(Boundaries!$B$2:$I$30,MATCH(CQ518,Boundaries!$A$2:$A$30,0),0),1)-1,""))</f>
        <v/>
      </c>
      <c r="AZ518" s="42" t="str">
        <f aca="false">IF(OR(AY518="",$E518=""),"",AY518-$E518)</f>
        <v/>
      </c>
      <c r="BA518" s="39"/>
      <c r="BB518" s="40" t="str">
        <f aca="false">IF(OR(BA518="",CD518=""),"",BA518/CD518*100)</f>
        <v/>
      </c>
      <c r="BC518" s="41" t="str">
        <f aca="false">IF(BB518="","",IFERROR(MATCH(BB518,INDEX(Boundaries!$B$2:$I$30,MATCH(CR518,Boundaries!$A$2:$A$30,0),0),1)-1,""))</f>
        <v/>
      </c>
      <c r="BD518" s="42" t="str">
        <f aca="false">IF(OR(BC518="",$E518=""),"",BC518-$E518)</f>
        <v/>
      </c>
      <c r="BE518" s="39"/>
      <c r="BF518" s="40" t="str">
        <f aca="false">IF(OR(BE518="",CE518=""),"",BE518/CE518*100)</f>
        <v/>
      </c>
      <c r="BG518" s="41" t="str">
        <f aca="false">IF(BF518="","",IFERROR(MATCH(BF518,INDEX(Boundaries!$B$2:$I$30,MATCH(CS518,Boundaries!$A$2:$A$30,0),0),1)-1,""))</f>
        <v/>
      </c>
      <c r="BH518" s="42" t="str">
        <f aca="false">IF(OR(BG518="",$E518=""),"",BG518-$E518)</f>
        <v/>
      </c>
      <c r="BI518" s="39"/>
      <c r="BJ518" s="40" t="str">
        <f aca="false">IF(OR(BI518="",CF518=""),"",BI518/CF518*100)</f>
        <v/>
      </c>
      <c r="BK518" s="41" t="str">
        <f aca="false">IF(BJ518="","",IFERROR(MATCH(BJ518,INDEX(Boundaries!$B$2:$I$30,MATCH(CT518,Boundaries!$A$2:$A$30,0),0),1)-1,""))</f>
        <v/>
      </c>
      <c r="BL518" s="42" t="str">
        <f aca="false">IF(OR(BK518="",$E518=""),"",BK518-$E518)</f>
        <v/>
      </c>
      <c r="BM518" s="39"/>
      <c r="BN518" s="40" t="str">
        <f aca="false">IF(OR(BM518="",CG518=""),"",BM518/CG518*100)</f>
        <v/>
      </c>
      <c r="BO518" s="41" t="str">
        <f aca="false">IF(BN518="","",IFERROR(MATCH(BN518,INDEX(Boundaries!$B$2:$I$30,MATCH(CU518,Boundaries!$A$2:$A$30,0),0),1)-1,""))</f>
        <v/>
      </c>
      <c r="BP518" s="42" t="str">
        <f aca="false">IF(OR(BO518="",$E518=""),"",BO518-$E518)</f>
        <v/>
      </c>
      <c r="BQ518" s="39"/>
      <c r="BR518" s="40" t="str">
        <f aca="false">IF(OR(BQ518="",CH518=""),"",BQ518/CH518*100)</f>
        <v/>
      </c>
      <c r="BS518" s="41" t="str">
        <f aca="false">IF(BR518="","",IFERROR(MATCH(BR518,INDEX(Boundaries!$B$2:$I$30,MATCH(CV518,Boundaries!$A$2:$A$30,0),0),1)-1,""))</f>
        <v/>
      </c>
      <c r="BT518" s="42" t="str">
        <f aca="false">IF(OR(BS518="",$E518=""),"",BS518-$E518)</f>
        <v/>
      </c>
      <c r="BU518" s="28" t="str">
        <f aca="false">IFERROR(INDEX(Assessments!$H$2:$H$600,MATCH($H518&amp;"|"&amp;$I518&amp;"|"&amp;$J518&amp;"|"&amp;1,Assessments!$A$2:$A$600,0)),"")</f>
        <v/>
      </c>
      <c r="BV518" s="28" t="str">
        <f aca="false">IFERROR(INDEX(Assessments!$H$2:$H$600,MATCH($H518&amp;"|"&amp;$I518&amp;"|"&amp;$J518&amp;"|"&amp;2,Assessments!$A$2:$A$600,0)),"")</f>
        <v/>
      </c>
      <c r="BW518" s="28" t="str">
        <f aca="false">IFERROR(INDEX(Assessments!$H$2:$H$600,MATCH($H518&amp;"|"&amp;$I518&amp;"|"&amp;$J518&amp;"|"&amp;3,Assessments!$A$2:$A$600,0)),"")</f>
        <v/>
      </c>
      <c r="BX518" s="28" t="str">
        <f aca="false">IFERROR(INDEX(Assessments!$H$2:$H$600,MATCH($H518&amp;"|"&amp;$I518&amp;"|"&amp;$J518&amp;"|"&amp;4,Assessments!$A$2:$A$600,0)),"")</f>
        <v/>
      </c>
      <c r="BY518" s="28" t="str">
        <f aca="false">IFERROR(INDEX(Assessments!$H$2:$H$600,MATCH($H518&amp;"|"&amp;$I518&amp;"|"&amp;$J518&amp;"|"&amp;5,Assessments!$A$2:$A$600,0)),"")</f>
        <v/>
      </c>
      <c r="BZ518" s="28" t="str">
        <f aca="false">IFERROR(INDEX(Assessments!$H$2:$H$600,MATCH($H518&amp;"|"&amp;$I518&amp;"|"&amp;$J518&amp;"|"&amp;6,Assessments!$A$2:$A$600,0)),"")</f>
        <v/>
      </c>
      <c r="CA518" s="28" t="str">
        <f aca="false">IFERROR(INDEX(Assessments!$H$2:$H$600,MATCH($H518&amp;"|"&amp;$I518&amp;"|"&amp;$J518&amp;"|"&amp;7,Assessments!$A$2:$A$600,0)),"")</f>
        <v/>
      </c>
      <c r="CB518" s="28" t="str">
        <f aca="false">IFERROR(INDEX(Assessments!$H$2:$H$600,MATCH($H518&amp;"|"&amp;$I518&amp;"|"&amp;$J518&amp;"|"&amp;8,Assessments!$A$2:$A$600,0)),"")</f>
        <v/>
      </c>
      <c r="CC518" s="28" t="str">
        <f aca="false">IFERROR(INDEX(Assessments!$H$2:$H$600,MATCH($H518&amp;"|"&amp;$I518&amp;"|"&amp;$J518&amp;"|"&amp;9,Assessments!$A$2:$A$600,0)),"")</f>
        <v/>
      </c>
      <c r="CD518" s="28" t="str">
        <f aca="false">IFERROR(INDEX(Assessments!$H$2:$H$600,MATCH($H518&amp;"|"&amp;$I518&amp;"|"&amp;$J518&amp;"|"&amp;10,Assessments!$A$2:$A$600,0)),"")</f>
        <v/>
      </c>
      <c r="CE518" s="28" t="str">
        <f aca="false">IFERROR(INDEX(Assessments!$H$2:$H$600,MATCH($H518&amp;"|"&amp;$I518&amp;"|"&amp;$J518&amp;"|"&amp;11,Assessments!$A$2:$A$600,0)),"")</f>
        <v/>
      </c>
      <c r="CF518" s="28" t="str">
        <f aca="false">IFERROR(INDEX(Assessments!$H$2:$H$600,MATCH($H518&amp;"|"&amp;$I518&amp;"|"&amp;$J518&amp;"|"&amp;12,Assessments!$A$2:$A$600,0)),"")</f>
        <v/>
      </c>
      <c r="CG518" s="28" t="str">
        <f aca="false">IFERROR(INDEX(Assessments!$H$2:$H$600,MATCH($H518&amp;"|"&amp;$I518&amp;"|"&amp;$J518&amp;"|"&amp;13,Assessments!$A$2:$A$600,0)),"")</f>
        <v/>
      </c>
      <c r="CH518" s="28" t="str">
        <f aca="false">IFERROR(INDEX(Assessments!$H$2:$H$600,MATCH($H518&amp;"|"&amp;$I518&amp;"|"&amp;$J518&amp;"|"&amp;14,Assessments!$A$2:$A$600,0)),"")</f>
        <v/>
      </c>
      <c r="CI518" s="28" t="str">
        <f aca="false">IFERROR(INDEX(Assessments!$I$2:$I$600,MATCH($H518&amp;"|"&amp;$I518&amp;"|"&amp;$J518&amp;"|"&amp;1,Assessments!$A$2:$A$600,0)),"")</f>
        <v/>
      </c>
      <c r="CJ518" s="28" t="str">
        <f aca="false">IFERROR(INDEX(Assessments!$I$2:$I$600,MATCH($H518&amp;"|"&amp;$I518&amp;"|"&amp;$J518&amp;"|"&amp;2,Assessments!$A$2:$A$600,0)),"")</f>
        <v/>
      </c>
      <c r="CK518" s="28" t="str">
        <f aca="false">IFERROR(INDEX(Assessments!$I$2:$I$600,MATCH($H518&amp;"|"&amp;$I518&amp;"|"&amp;$J518&amp;"|"&amp;3,Assessments!$A$2:$A$600,0)),"")</f>
        <v/>
      </c>
      <c r="CL518" s="28" t="str">
        <f aca="false">IFERROR(INDEX(Assessments!$I$2:$I$600,MATCH($H518&amp;"|"&amp;$I518&amp;"|"&amp;$J518&amp;"|"&amp;4,Assessments!$A$2:$A$600,0)),"")</f>
        <v/>
      </c>
      <c r="CM518" s="28" t="str">
        <f aca="false">IFERROR(INDEX(Assessments!$I$2:$I$600,MATCH($H518&amp;"|"&amp;$I518&amp;"|"&amp;$J518&amp;"|"&amp;5,Assessments!$A$2:$A$600,0)),"")</f>
        <v/>
      </c>
      <c r="CN518" s="28" t="str">
        <f aca="false">IFERROR(INDEX(Assessments!$I$2:$I$600,MATCH($H518&amp;"|"&amp;$I518&amp;"|"&amp;$J518&amp;"|"&amp;6,Assessments!$A$2:$A$600,0)),"")</f>
        <v/>
      </c>
      <c r="CO518" s="28" t="str">
        <f aca="false">IFERROR(INDEX(Assessments!$I$2:$I$600,MATCH($H518&amp;"|"&amp;$I518&amp;"|"&amp;$J518&amp;"|"&amp;7,Assessments!$A$2:$A$600,0)),"")</f>
        <v/>
      </c>
      <c r="CP518" s="28" t="str">
        <f aca="false">IFERROR(INDEX(Assessments!$I$2:$I$600,MATCH($H518&amp;"|"&amp;$I518&amp;"|"&amp;$J518&amp;"|"&amp;8,Assessments!$A$2:$A$600,0)),"")</f>
        <v/>
      </c>
      <c r="CQ518" s="28" t="str">
        <f aca="false">IFERROR(INDEX(Assessments!$I$2:$I$600,MATCH($H518&amp;"|"&amp;$I518&amp;"|"&amp;$J518&amp;"|"&amp;9,Assessments!$A$2:$A$600,0)),"")</f>
        <v/>
      </c>
      <c r="CR518" s="28" t="str">
        <f aca="false">IFERROR(INDEX(Assessments!$I$2:$I$600,MATCH($H518&amp;"|"&amp;$I518&amp;"|"&amp;$J518&amp;"|"&amp;10,Assessments!$A$2:$A$600,0)),"")</f>
        <v/>
      </c>
      <c r="CS518" s="28" t="str">
        <f aca="false">IFERROR(INDEX(Assessments!$I$2:$I$600,MATCH($H518&amp;"|"&amp;$I518&amp;"|"&amp;$J518&amp;"|"&amp;11,Assessments!$A$2:$A$600,0)),"")</f>
        <v/>
      </c>
      <c r="CT518" s="28" t="str">
        <f aca="false">IFERROR(INDEX(Assessments!$I$2:$I$600,MATCH($H518&amp;"|"&amp;$I518&amp;"|"&amp;$J518&amp;"|"&amp;12,Assessments!$A$2:$A$600,0)),"")</f>
        <v/>
      </c>
      <c r="CU518" s="28" t="str">
        <f aca="false">IFERROR(INDEX(Assessments!$I$2:$I$600,MATCH($H518&amp;"|"&amp;$I518&amp;"|"&amp;$J518&amp;"|"&amp;13,Assessments!$A$2:$A$600,0)),"")</f>
        <v/>
      </c>
      <c r="CV518" s="28" t="str">
        <f aca="false">IFERROR(INDEX(Assessments!$I$2:$I$600,MATCH($H518&amp;"|"&amp;$I518&amp;"|"&amp;$J518&amp;"|"&amp;14,Assessments!$A$2:$A$600,0)),"")</f>
        <v/>
      </c>
      <c r="CW518" s="28" t="n">
        <f aca="false">IFERROR(INDEX(Assessments!$J$2:$J$600,MATCH($H518&amp;"|"&amp;$I518&amp;"|"&amp;$J518&amp;"|"&amp;1,Assessments!$A$2:$A$600,0)),0)</f>
        <v>0</v>
      </c>
      <c r="CX518" s="28" t="n">
        <f aca="false">IFERROR(INDEX(Assessments!$J$2:$J$600,MATCH($H518&amp;"|"&amp;$I518&amp;"|"&amp;$J518&amp;"|"&amp;2,Assessments!$A$2:$A$600,0)),0)</f>
        <v>0</v>
      </c>
      <c r="CY518" s="28" t="n">
        <f aca="false">IFERROR(INDEX(Assessments!$J$2:$J$600,MATCH($H518&amp;"|"&amp;$I518&amp;"|"&amp;$J518&amp;"|"&amp;3,Assessments!$A$2:$A$600,0)),0)</f>
        <v>0</v>
      </c>
      <c r="CZ518" s="28" t="n">
        <f aca="false">IFERROR(INDEX(Assessments!$J$2:$J$600,MATCH($H518&amp;"|"&amp;$I518&amp;"|"&amp;$J518&amp;"|"&amp;4,Assessments!$A$2:$A$600,0)),0)</f>
        <v>0</v>
      </c>
      <c r="DA518" s="28" t="n">
        <f aca="false">IFERROR(INDEX(Assessments!$J$2:$J$600,MATCH($H518&amp;"|"&amp;$I518&amp;"|"&amp;$J518&amp;"|"&amp;5,Assessments!$A$2:$A$600,0)),0)</f>
        <v>0</v>
      </c>
      <c r="DB518" s="28" t="n">
        <f aca="false">IFERROR(INDEX(Assessments!$J$2:$J$600,MATCH($H518&amp;"|"&amp;$I518&amp;"|"&amp;$J518&amp;"|"&amp;6,Assessments!$A$2:$A$600,0)),0)</f>
        <v>0</v>
      </c>
      <c r="DC518" s="28" t="n">
        <f aca="false">IFERROR(INDEX(Assessments!$J$2:$J$600,MATCH($H518&amp;"|"&amp;$I518&amp;"|"&amp;$J518&amp;"|"&amp;7,Assessments!$A$2:$A$600,0)),0)</f>
        <v>0</v>
      </c>
      <c r="DD518" s="28" t="n">
        <f aca="false">IFERROR(INDEX(Assessments!$J$2:$J$600,MATCH($H518&amp;"|"&amp;$I518&amp;"|"&amp;$J518&amp;"|"&amp;8,Assessments!$A$2:$A$600,0)),0)</f>
        <v>0</v>
      </c>
      <c r="DE518" s="28" t="n">
        <f aca="false">IFERROR(INDEX(Assessments!$J$2:$J$600,MATCH($H518&amp;"|"&amp;$I518&amp;"|"&amp;$J518&amp;"|"&amp;9,Assessments!$A$2:$A$600,0)),0)</f>
        <v>0</v>
      </c>
      <c r="DF518" s="28" t="n">
        <f aca="false">IFERROR(INDEX(Assessments!$J$2:$J$600,MATCH($H518&amp;"|"&amp;$I518&amp;"|"&amp;$J518&amp;"|"&amp;10,Assessments!$A$2:$A$600,0)),0)</f>
        <v>0</v>
      </c>
      <c r="DG518" s="28" t="n">
        <f aca="false">IFERROR(INDEX(Assessments!$J$2:$J$600,MATCH($H518&amp;"|"&amp;$I518&amp;"|"&amp;$J518&amp;"|"&amp;11,Assessments!$A$2:$A$600,0)),0)</f>
        <v>0</v>
      </c>
      <c r="DH518" s="28" t="n">
        <f aca="false">IFERROR(INDEX(Assessments!$J$2:$J$600,MATCH($H518&amp;"|"&amp;$I518&amp;"|"&amp;$J518&amp;"|"&amp;12,Assessments!$A$2:$A$600,0)),0)</f>
        <v>0</v>
      </c>
      <c r="DI518" s="28" t="n">
        <f aca="false">IFERROR(INDEX(Assessments!$J$2:$J$600,MATCH($H518&amp;"|"&amp;$I518&amp;"|"&amp;$J518&amp;"|"&amp;13,Assessments!$A$2:$A$600,0)),0)</f>
        <v>0</v>
      </c>
      <c r="DJ518" s="28" t="n">
        <f aca="false">IFERROR(INDEX(Assessments!$J$2:$J$600,MATCH($H518&amp;"|"&amp;$I518&amp;"|"&amp;$J518&amp;"|"&amp;14,Assessments!$A$2:$A$600,0)),0)</f>
        <v>0</v>
      </c>
      <c r="DK518" s="28" t="str">
        <f aca="false">S518</f>
        <v/>
      </c>
      <c r="DL518" s="28" t="str">
        <f aca="false">W518</f>
        <v/>
      </c>
      <c r="DM518" s="28" t="str">
        <f aca="false">AA518</f>
        <v/>
      </c>
      <c r="DN518" s="28" t="str">
        <f aca="false">AE518</f>
        <v/>
      </c>
      <c r="DO518" s="28" t="str">
        <f aca="false">AI518</f>
        <v/>
      </c>
      <c r="DP518" s="28" t="str">
        <f aca="false">AM518</f>
        <v/>
      </c>
      <c r="DQ518" s="28" t="str">
        <f aca="false">AQ518</f>
        <v/>
      </c>
      <c r="DR518" s="28" t="str">
        <f aca="false">AU518</f>
        <v/>
      </c>
      <c r="DS518" s="28" t="str">
        <f aca="false">AY518</f>
        <v/>
      </c>
      <c r="DT518" s="28" t="str">
        <f aca="false">BC518</f>
        <v/>
      </c>
      <c r="DU518" s="28" t="str">
        <f aca="false">BG518</f>
        <v/>
      </c>
      <c r="DV518" s="28" t="str">
        <f aca="false">BK518</f>
        <v/>
      </c>
      <c r="DW518" s="28" t="str">
        <f aca="false">BO518</f>
        <v/>
      </c>
      <c r="DX518" s="28" t="str">
        <f aca="false">BS518</f>
        <v/>
      </c>
      <c r="DY518" s="28" t="str">
        <f aca="false">IF(ISNUMBER(S518),1,"")</f>
        <v/>
      </c>
      <c r="DZ518" s="28" t="str">
        <f aca="false">IF(ISNUMBER(W518),2,"")</f>
        <v/>
      </c>
      <c r="EA518" s="28" t="str">
        <f aca="false">IF(ISNUMBER(AA518),3,"")</f>
        <v/>
      </c>
      <c r="EB518" s="28" t="str">
        <f aca="false">IF(ISNUMBER(AE518),4,"")</f>
        <v/>
      </c>
      <c r="EC518" s="28" t="str">
        <f aca="false">IF(ISNUMBER(AI518),5,"")</f>
        <v/>
      </c>
      <c r="ED518" s="28" t="str">
        <f aca="false">IF(ISNUMBER(AM518),6,"")</f>
        <v/>
      </c>
      <c r="EE518" s="28" t="str">
        <f aca="false">IF(ISNUMBER(AQ518),7,"")</f>
        <v/>
      </c>
      <c r="EF518" s="28" t="str">
        <f aca="false">IF(ISNUMBER(AU518),8,"")</f>
        <v/>
      </c>
      <c r="EG518" s="28" t="str">
        <f aca="false">IF(ISNUMBER(AY518),9,"")</f>
        <v/>
      </c>
      <c r="EH518" s="28" t="str">
        <f aca="false">IF(ISNUMBER(BC518),10,"")</f>
        <v/>
      </c>
      <c r="EI518" s="28" t="str">
        <f aca="false">IF(ISNUMBER(BG518),11,"")</f>
        <v/>
      </c>
      <c r="EJ518" s="28" t="str">
        <f aca="false">IF(ISNUMBER(BK518),12,"")</f>
        <v/>
      </c>
      <c r="EK518" s="28" t="str">
        <f aca="false">IF(ISNUMBER(BO518),13,"")</f>
        <v/>
      </c>
      <c r="EL518" s="28" t="str">
        <f aca="false">IF(ISNUMBER(BS518),14,"")</f>
        <v/>
      </c>
      <c r="EM518" s="28" t="n">
        <f aca="false">IF(ISNUMBER(R518),R518*CW518,0)</f>
        <v>0</v>
      </c>
      <c r="EN518" s="28" t="n">
        <f aca="false">IF(ISNUMBER(V518),V518*CX518,0)</f>
        <v>0</v>
      </c>
      <c r="EO518" s="28" t="n">
        <f aca="false">IF(ISNUMBER(Z518),Z518*CY518,0)</f>
        <v>0</v>
      </c>
      <c r="EP518" s="28" t="n">
        <f aca="false">IF(ISNUMBER(AD518),AD518*CZ518,0)</f>
        <v>0</v>
      </c>
      <c r="EQ518" s="28" t="n">
        <f aca="false">IF(ISNUMBER(AH518),AH518*DA518,0)</f>
        <v>0</v>
      </c>
      <c r="ER518" s="28" t="n">
        <f aca="false">IF(ISNUMBER(AL518),AL518*DB518,0)</f>
        <v>0</v>
      </c>
      <c r="ES518" s="28" t="n">
        <f aca="false">IF(ISNUMBER(AP518),AP518*DC518,0)</f>
        <v>0</v>
      </c>
      <c r="ET518" s="28" t="n">
        <f aca="false">IF(ISNUMBER(AT518),AT518*DD518,0)</f>
        <v>0</v>
      </c>
      <c r="EU518" s="28" t="n">
        <f aca="false">IF(ISNUMBER(AX518),AX518*DE518,0)</f>
        <v>0</v>
      </c>
      <c r="EV518" s="28" t="n">
        <f aca="false">IF(ISNUMBER(BB518),BB518*DF518,0)</f>
        <v>0</v>
      </c>
      <c r="EW518" s="28" t="n">
        <f aca="false">IF(ISNUMBER(BF518),BF518*DG518,0)</f>
        <v>0</v>
      </c>
      <c r="EX518" s="28" t="n">
        <f aca="false">IF(ISNUMBER(BJ518),BJ518*DH518,0)</f>
        <v>0</v>
      </c>
      <c r="EY518" s="28" t="n">
        <f aca="false">IF(ISNUMBER(BN518),BN518*DI518,0)</f>
        <v>0</v>
      </c>
      <c r="EZ518" s="28" t="n">
        <f aca="false">IF(ISNUMBER(BR518),BR518*DJ518,0)</f>
        <v>0</v>
      </c>
      <c r="FA518" s="28" t="n">
        <f aca="false">IF(ISNUMBER(R518),CW518,0)</f>
        <v>0</v>
      </c>
      <c r="FB518" s="28" t="n">
        <f aca="false">IF(ISNUMBER(V518),CX518,0)</f>
        <v>0</v>
      </c>
      <c r="FC518" s="28" t="n">
        <f aca="false">IF(ISNUMBER(Z518),CY518,0)</f>
        <v>0</v>
      </c>
      <c r="FD518" s="28" t="n">
        <f aca="false">IF(ISNUMBER(AD518),CZ518,0)</f>
        <v>0</v>
      </c>
      <c r="FE518" s="28" t="n">
        <f aca="false">IF(ISNUMBER(AH518),DA518,0)</f>
        <v>0</v>
      </c>
      <c r="FF518" s="28" t="n">
        <f aca="false">IF(ISNUMBER(AL518),DB518,0)</f>
        <v>0</v>
      </c>
      <c r="FG518" s="28" t="n">
        <f aca="false">IF(ISNUMBER(AP518),DC518,0)</f>
        <v>0</v>
      </c>
      <c r="FH518" s="28" t="n">
        <f aca="false">IF(ISNUMBER(AT518),DD518,0)</f>
        <v>0</v>
      </c>
      <c r="FI518" s="28" t="n">
        <f aca="false">IF(ISNUMBER(AX518),DE518,0)</f>
        <v>0</v>
      </c>
      <c r="FJ518" s="28" t="n">
        <f aca="false">IF(ISNUMBER(BB518),DF518,0)</f>
        <v>0</v>
      </c>
      <c r="FK518" s="28" t="n">
        <f aca="false">IF(ISNUMBER(BF518),DG518,0)</f>
        <v>0</v>
      </c>
      <c r="FL518" s="28" t="n">
        <f aca="false">IF(ISNUMBER(BJ518),DH518,0)</f>
        <v>0</v>
      </c>
      <c r="FM518" s="28" t="n">
        <f aca="false">IF(ISNUMBER(BN518),DI518,0)</f>
        <v>0</v>
      </c>
      <c r="FN518" s="28" t="n">
        <f aca="false">IF(ISNUMBER(BR518),DJ518,0)</f>
        <v>0</v>
      </c>
      <c r="FO518" s="28" t="str">
        <f aca="false">IFERROR(INDEX(Lists!$G$2:$G$20,MATCH($I518&amp;"|"&amp;$J518,Lists!$F$2:$F$20,0)),"")</f>
        <v/>
      </c>
    </row>
    <row r="519" customFormat="false" ht="19.5" hidden="false" customHeight="true" outlineLevel="0" collapsed="false">
      <c r="A519" s="29"/>
      <c r="B519" s="29"/>
      <c r="C519" s="30"/>
      <c r="D519" s="30"/>
      <c r="E519" s="31"/>
      <c r="F519" s="30"/>
      <c r="G519" s="30"/>
      <c r="H519" s="32"/>
      <c r="I519" s="33"/>
      <c r="J519" s="32"/>
      <c r="K519" s="34" t="str">
        <f aca="false">IF(OR(M519="",$E519=""),"",M519-$E519)</f>
        <v/>
      </c>
      <c r="L519" s="35" t="str">
        <f aca="false">IF(SUM(FA519:FN519)=0,"",SUM(EM519:EZ519)/SUM(FA519:FN519))</f>
        <v/>
      </c>
      <c r="M519" s="36" t="str">
        <f aca="false">IF(OR(L519="",FO519=""),"",IFERROR(MATCH(L519,INDEX(Boundaries!$B$2:$I$30,MATCH(FO519,Boundaries!$A$2:$A$30,0),0),1)-1,""))</f>
        <v/>
      </c>
      <c r="N519" s="37" t="str">
        <f aca="false">IF(COUNT($DY519:$EL519)&lt;2,"",INDEX($DK519:$DX519,MAX($DY519:$EL519))-INDEX($DK519:$DX519,MIN($DY519:$EL519)))</f>
        <v/>
      </c>
      <c r="O519" s="37" t="str">
        <f aca="false">IF(COUNT($DY519:$EL519)&lt;2,"",INDEX($DK519:$DX519,MAX($DY519:$EL519))-INDEX($DK519:$DX519,LARGE($DY519:$EL519,2)))</f>
        <v/>
      </c>
      <c r="P519" s="38" t="str">
        <f aca="false">IF(K519="","",IF(K519&gt;=0,"On/above target",IF(AND(N519&lt;&gt;"",N519&gt;=0.5),"Improving towards target",IF(AND(O519&lt;&gt;"",O519&lt;=-0.5),"Declining","Stable below target"))))</f>
        <v/>
      </c>
      <c r="Q519" s="39"/>
      <c r="R519" s="40" t="str">
        <f aca="false">IF(OR(Q519="",BU519=""),"",Q519/BU519*100)</f>
        <v/>
      </c>
      <c r="S519" s="41" t="str">
        <f aca="false">IF(R519="","",IFERROR(MATCH(R519,INDEX(Boundaries!$B$2:$I$30,MATCH(CI519,Boundaries!$A$2:$A$30,0),0),1)-1,""))</f>
        <v/>
      </c>
      <c r="T519" s="42" t="str">
        <f aca="false">IF(OR(S519="",$E519=""),"",S519-$E519)</f>
        <v/>
      </c>
      <c r="U519" s="39"/>
      <c r="V519" s="40" t="str">
        <f aca="false">IF(OR(U519="",BV519=""),"",U519/BV519*100)</f>
        <v/>
      </c>
      <c r="W519" s="41" t="str">
        <f aca="false">IF(V519="","",IFERROR(MATCH(V519,INDEX(Boundaries!$B$2:$I$30,MATCH(CJ519,Boundaries!$A$2:$A$30,0),0),1)-1,""))</f>
        <v/>
      </c>
      <c r="X519" s="42" t="str">
        <f aca="false">IF(OR(W519="",$E519=""),"",W519-$E519)</f>
        <v/>
      </c>
      <c r="Y519" s="39"/>
      <c r="Z519" s="40" t="str">
        <f aca="false">IF(OR(Y519="",BW519=""),"",Y519/BW519*100)</f>
        <v/>
      </c>
      <c r="AA519" s="41" t="str">
        <f aca="false">IF(Z519="","",IFERROR(MATCH(Z519,INDEX(Boundaries!$B$2:$I$30,MATCH(CK519,Boundaries!$A$2:$A$30,0),0),1)-1,""))</f>
        <v/>
      </c>
      <c r="AB519" s="42" t="str">
        <f aca="false">IF(OR(AA519="",$E519=""),"",AA519-$E519)</f>
        <v/>
      </c>
      <c r="AC519" s="39"/>
      <c r="AD519" s="40" t="str">
        <f aca="false">IF(OR(AC519="",BX519=""),"",AC519/BX519*100)</f>
        <v/>
      </c>
      <c r="AE519" s="41" t="str">
        <f aca="false">IF(AD519="","",IFERROR(MATCH(AD519,INDEX(Boundaries!$B$2:$I$30,MATCH(CL519,Boundaries!$A$2:$A$30,0),0),1)-1,""))</f>
        <v/>
      </c>
      <c r="AF519" s="42" t="str">
        <f aca="false">IF(OR(AE519="",$E519=""),"",AE519-$E519)</f>
        <v/>
      </c>
      <c r="AG519" s="39"/>
      <c r="AH519" s="40" t="str">
        <f aca="false">IF(OR(AG519="",BY519=""),"",AG519/BY519*100)</f>
        <v/>
      </c>
      <c r="AI519" s="41" t="str">
        <f aca="false">IF(AH519="","",IFERROR(MATCH(AH519,INDEX(Boundaries!$B$2:$I$30,MATCH(CM519,Boundaries!$A$2:$A$30,0),0),1)-1,""))</f>
        <v/>
      </c>
      <c r="AJ519" s="42" t="str">
        <f aca="false">IF(OR(AI519="",$E519=""),"",AI519-$E519)</f>
        <v/>
      </c>
      <c r="AK519" s="39"/>
      <c r="AL519" s="40" t="str">
        <f aca="false">IF(OR(AK519="",BZ519=""),"",AK519/BZ519*100)</f>
        <v/>
      </c>
      <c r="AM519" s="41" t="str">
        <f aca="false">IF(AL519="","",IFERROR(MATCH(AL519,INDEX(Boundaries!$B$2:$I$30,MATCH(CN519,Boundaries!$A$2:$A$30,0),0),1)-1,""))</f>
        <v/>
      </c>
      <c r="AN519" s="42" t="str">
        <f aca="false">IF(OR(AM519="",$E519=""),"",AM519-$E519)</f>
        <v/>
      </c>
      <c r="AO519" s="39"/>
      <c r="AP519" s="40" t="str">
        <f aca="false">IF(OR(AO519="",CA519=""),"",AO519/CA519*100)</f>
        <v/>
      </c>
      <c r="AQ519" s="41" t="str">
        <f aca="false">IF(AP519="","",IFERROR(MATCH(AP519,INDEX(Boundaries!$B$2:$I$30,MATCH(CO519,Boundaries!$A$2:$A$30,0),0),1)-1,""))</f>
        <v/>
      </c>
      <c r="AR519" s="42" t="str">
        <f aca="false">IF(OR(AQ519="",$E519=""),"",AQ519-$E519)</f>
        <v/>
      </c>
      <c r="AS519" s="39"/>
      <c r="AT519" s="40" t="str">
        <f aca="false">IF(OR(AS519="",CB519=""),"",AS519/CB519*100)</f>
        <v/>
      </c>
      <c r="AU519" s="41" t="str">
        <f aca="false">IF(AT519="","",IFERROR(MATCH(AT519,INDEX(Boundaries!$B$2:$I$30,MATCH(CP519,Boundaries!$A$2:$A$30,0),0),1)-1,""))</f>
        <v/>
      </c>
      <c r="AV519" s="42" t="str">
        <f aca="false">IF(OR(AU519="",$E519=""),"",AU519-$E519)</f>
        <v/>
      </c>
      <c r="AW519" s="39"/>
      <c r="AX519" s="40" t="str">
        <f aca="false">IF(OR(AW519="",CC519=""),"",AW519/CC519*100)</f>
        <v/>
      </c>
      <c r="AY519" s="41" t="str">
        <f aca="false">IF(AX519="","",IFERROR(MATCH(AX519,INDEX(Boundaries!$B$2:$I$30,MATCH(CQ519,Boundaries!$A$2:$A$30,0),0),1)-1,""))</f>
        <v/>
      </c>
      <c r="AZ519" s="42" t="str">
        <f aca="false">IF(OR(AY519="",$E519=""),"",AY519-$E519)</f>
        <v/>
      </c>
      <c r="BA519" s="39"/>
      <c r="BB519" s="40" t="str">
        <f aca="false">IF(OR(BA519="",CD519=""),"",BA519/CD519*100)</f>
        <v/>
      </c>
      <c r="BC519" s="41" t="str">
        <f aca="false">IF(BB519="","",IFERROR(MATCH(BB519,INDEX(Boundaries!$B$2:$I$30,MATCH(CR519,Boundaries!$A$2:$A$30,0),0),1)-1,""))</f>
        <v/>
      </c>
      <c r="BD519" s="42" t="str">
        <f aca="false">IF(OR(BC519="",$E519=""),"",BC519-$E519)</f>
        <v/>
      </c>
      <c r="BE519" s="39"/>
      <c r="BF519" s="40" t="str">
        <f aca="false">IF(OR(BE519="",CE519=""),"",BE519/CE519*100)</f>
        <v/>
      </c>
      <c r="BG519" s="41" t="str">
        <f aca="false">IF(BF519="","",IFERROR(MATCH(BF519,INDEX(Boundaries!$B$2:$I$30,MATCH(CS519,Boundaries!$A$2:$A$30,0),0),1)-1,""))</f>
        <v/>
      </c>
      <c r="BH519" s="42" t="str">
        <f aca="false">IF(OR(BG519="",$E519=""),"",BG519-$E519)</f>
        <v/>
      </c>
      <c r="BI519" s="39"/>
      <c r="BJ519" s="40" t="str">
        <f aca="false">IF(OR(BI519="",CF519=""),"",BI519/CF519*100)</f>
        <v/>
      </c>
      <c r="BK519" s="41" t="str">
        <f aca="false">IF(BJ519="","",IFERROR(MATCH(BJ519,INDEX(Boundaries!$B$2:$I$30,MATCH(CT519,Boundaries!$A$2:$A$30,0),0),1)-1,""))</f>
        <v/>
      </c>
      <c r="BL519" s="42" t="str">
        <f aca="false">IF(OR(BK519="",$E519=""),"",BK519-$E519)</f>
        <v/>
      </c>
      <c r="BM519" s="39"/>
      <c r="BN519" s="40" t="str">
        <f aca="false">IF(OR(BM519="",CG519=""),"",BM519/CG519*100)</f>
        <v/>
      </c>
      <c r="BO519" s="41" t="str">
        <f aca="false">IF(BN519="","",IFERROR(MATCH(BN519,INDEX(Boundaries!$B$2:$I$30,MATCH(CU519,Boundaries!$A$2:$A$30,0),0),1)-1,""))</f>
        <v/>
      </c>
      <c r="BP519" s="42" t="str">
        <f aca="false">IF(OR(BO519="",$E519=""),"",BO519-$E519)</f>
        <v/>
      </c>
      <c r="BQ519" s="39"/>
      <c r="BR519" s="40" t="str">
        <f aca="false">IF(OR(BQ519="",CH519=""),"",BQ519/CH519*100)</f>
        <v/>
      </c>
      <c r="BS519" s="41" t="str">
        <f aca="false">IF(BR519="","",IFERROR(MATCH(BR519,INDEX(Boundaries!$B$2:$I$30,MATCH(CV519,Boundaries!$A$2:$A$30,0),0),1)-1,""))</f>
        <v/>
      </c>
      <c r="BT519" s="42" t="str">
        <f aca="false">IF(OR(BS519="",$E519=""),"",BS519-$E519)</f>
        <v/>
      </c>
      <c r="BU519" s="28" t="str">
        <f aca="false">IFERROR(INDEX(Assessments!$H$2:$H$600,MATCH($H519&amp;"|"&amp;$I519&amp;"|"&amp;$J519&amp;"|"&amp;1,Assessments!$A$2:$A$600,0)),"")</f>
        <v/>
      </c>
      <c r="BV519" s="28" t="str">
        <f aca="false">IFERROR(INDEX(Assessments!$H$2:$H$600,MATCH($H519&amp;"|"&amp;$I519&amp;"|"&amp;$J519&amp;"|"&amp;2,Assessments!$A$2:$A$600,0)),"")</f>
        <v/>
      </c>
      <c r="BW519" s="28" t="str">
        <f aca="false">IFERROR(INDEX(Assessments!$H$2:$H$600,MATCH($H519&amp;"|"&amp;$I519&amp;"|"&amp;$J519&amp;"|"&amp;3,Assessments!$A$2:$A$600,0)),"")</f>
        <v/>
      </c>
      <c r="BX519" s="28" t="str">
        <f aca="false">IFERROR(INDEX(Assessments!$H$2:$H$600,MATCH($H519&amp;"|"&amp;$I519&amp;"|"&amp;$J519&amp;"|"&amp;4,Assessments!$A$2:$A$600,0)),"")</f>
        <v/>
      </c>
      <c r="BY519" s="28" t="str">
        <f aca="false">IFERROR(INDEX(Assessments!$H$2:$H$600,MATCH($H519&amp;"|"&amp;$I519&amp;"|"&amp;$J519&amp;"|"&amp;5,Assessments!$A$2:$A$600,0)),"")</f>
        <v/>
      </c>
      <c r="BZ519" s="28" t="str">
        <f aca="false">IFERROR(INDEX(Assessments!$H$2:$H$600,MATCH($H519&amp;"|"&amp;$I519&amp;"|"&amp;$J519&amp;"|"&amp;6,Assessments!$A$2:$A$600,0)),"")</f>
        <v/>
      </c>
      <c r="CA519" s="28" t="str">
        <f aca="false">IFERROR(INDEX(Assessments!$H$2:$H$600,MATCH($H519&amp;"|"&amp;$I519&amp;"|"&amp;$J519&amp;"|"&amp;7,Assessments!$A$2:$A$600,0)),"")</f>
        <v/>
      </c>
      <c r="CB519" s="28" t="str">
        <f aca="false">IFERROR(INDEX(Assessments!$H$2:$H$600,MATCH($H519&amp;"|"&amp;$I519&amp;"|"&amp;$J519&amp;"|"&amp;8,Assessments!$A$2:$A$600,0)),"")</f>
        <v/>
      </c>
      <c r="CC519" s="28" t="str">
        <f aca="false">IFERROR(INDEX(Assessments!$H$2:$H$600,MATCH($H519&amp;"|"&amp;$I519&amp;"|"&amp;$J519&amp;"|"&amp;9,Assessments!$A$2:$A$600,0)),"")</f>
        <v/>
      </c>
      <c r="CD519" s="28" t="str">
        <f aca="false">IFERROR(INDEX(Assessments!$H$2:$H$600,MATCH($H519&amp;"|"&amp;$I519&amp;"|"&amp;$J519&amp;"|"&amp;10,Assessments!$A$2:$A$600,0)),"")</f>
        <v/>
      </c>
      <c r="CE519" s="28" t="str">
        <f aca="false">IFERROR(INDEX(Assessments!$H$2:$H$600,MATCH($H519&amp;"|"&amp;$I519&amp;"|"&amp;$J519&amp;"|"&amp;11,Assessments!$A$2:$A$600,0)),"")</f>
        <v/>
      </c>
      <c r="CF519" s="28" t="str">
        <f aca="false">IFERROR(INDEX(Assessments!$H$2:$H$600,MATCH($H519&amp;"|"&amp;$I519&amp;"|"&amp;$J519&amp;"|"&amp;12,Assessments!$A$2:$A$600,0)),"")</f>
        <v/>
      </c>
      <c r="CG519" s="28" t="str">
        <f aca="false">IFERROR(INDEX(Assessments!$H$2:$H$600,MATCH($H519&amp;"|"&amp;$I519&amp;"|"&amp;$J519&amp;"|"&amp;13,Assessments!$A$2:$A$600,0)),"")</f>
        <v/>
      </c>
      <c r="CH519" s="28" t="str">
        <f aca="false">IFERROR(INDEX(Assessments!$H$2:$H$600,MATCH($H519&amp;"|"&amp;$I519&amp;"|"&amp;$J519&amp;"|"&amp;14,Assessments!$A$2:$A$600,0)),"")</f>
        <v/>
      </c>
      <c r="CI519" s="28" t="str">
        <f aca="false">IFERROR(INDEX(Assessments!$I$2:$I$600,MATCH($H519&amp;"|"&amp;$I519&amp;"|"&amp;$J519&amp;"|"&amp;1,Assessments!$A$2:$A$600,0)),"")</f>
        <v/>
      </c>
      <c r="CJ519" s="28" t="str">
        <f aca="false">IFERROR(INDEX(Assessments!$I$2:$I$600,MATCH($H519&amp;"|"&amp;$I519&amp;"|"&amp;$J519&amp;"|"&amp;2,Assessments!$A$2:$A$600,0)),"")</f>
        <v/>
      </c>
      <c r="CK519" s="28" t="str">
        <f aca="false">IFERROR(INDEX(Assessments!$I$2:$I$600,MATCH($H519&amp;"|"&amp;$I519&amp;"|"&amp;$J519&amp;"|"&amp;3,Assessments!$A$2:$A$600,0)),"")</f>
        <v/>
      </c>
      <c r="CL519" s="28" t="str">
        <f aca="false">IFERROR(INDEX(Assessments!$I$2:$I$600,MATCH($H519&amp;"|"&amp;$I519&amp;"|"&amp;$J519&amp;"|"&amp;4,Assessments!$A$2:$A$600,0)),"")</f>
        <v/>
      </c>
      <c r="CM519" s="28" t="str">
        <f aca="false">IFERROR(INDEX(Assessments!$I$2:$I$600,MATCH($H519&amp;"|"&amp;$I519&amp;"|"&amp;$J519&amp;"|"&amp;5,Assessments!$A$2:$A$600,0)),"")</f>
        <v/>
      </c>
      <c r="CN519" s="28" t="str">
        <f aca="false">IFERROR(INDEX(Assessments!$I$2:$I$600,MATCH($H519&amp;"|"&amp;$I519&amp;"|"&amp;$J519&amp;"|"&amp;6,Assessments!$A$2:$A$600,0)),"")</f>
        <v/>
      </c>
      <c r="CO519" s="28" t="str">
        <f aca="false">IFERROR(INDEX(Assessments!$I$2:$I$600,MATCH($H519&amp;"|"&amp;$I519&amp;"|"&amp;$J519&amp;"|"&amp;7,Assessments!$A$2:$A$600,0)),"")</f>
        <v/>
      </c>
      <c r="CP519" s="28" t="str">
        <f aca="false">IFERROR(INDEX(Assessments!$I$2:$I$600,MATCH($H519&amp;"|"&amp;$I519&amp;"|"&amp;$J519&amp;"|"&amp;8,Assessments!$A$2:$A$600,0)),"")</f>
        <v/>
      </c>
      <c r="CQ519" s="28" t="str">
        <f aca="false">IFERROR(INDEX(Assessments!$I$2:$I$600,MATCH($H519&amp;"|"&amp;$I519&amp;"|"&amp;$J519&amp;"|"&amp;9,Assessments!$A$2:$A$600,0)),"")</f>
        <v/>
      </c>
      <c r="CR519" s="28" t="str">
        <f aca="false">IFERROR(INDEX(Assessments!$I$2:$I$600,MATCH($H519&amp;"|"&amp;$I519&amp;"|"&amp;$J519&amp;"|"&amp;10,Assessments!$A$2:$A$600,0)),"")</f>
        <v/>
      </c>
      <c r="CS519" s="28" t="str">
        <f aca="false">IFERROR(INDEX(Assessments!$I$2:$I$600,MATCH($H519&amp;"|"&amp;$I519&amp;"|"&amp;$J519&amp;"|"&amp;11,Assessments!$A$2:$A$600,0)),"")</f>
        <v/>
      </c>
      <c r="CT519" s="28" t="str">
        <f aca="false">IFERROR(INDEX(Assessments!$I$2:$I$600,MATCH($H519&amp;"|"&amp;$I519&amp;"|"&amp;$J519&amp;"|"&amp;12,Assessments!$A$2:$A$600,0)),"")</f>
        <v/>
      </c>
      <c r="CU519" s="28" t="str">
        <f aca="false">IFERROR(INDEX(Assessments!$I$2:$I$600,MATCH($H519&amp;"|"&amp;$I519&amp;"|"&amp;$J519&amp;"|"&amp;13,Assessments!$A$2:$A$600,0)),"")</f>
        <v/>
      </c>
      <c r="CV519" s="28" t="str">
        <f aca="false">IFERROR(INDEX(Assessments!$I$2:$I$600,MATCH($H519&amp;"|"&amp;$I519&amp;"|"&amp;$J519&amp;"|"&amp;14,Assessments!$A$2:$A$600,0)),"")</f>
        <v/>
      </c>
      <c r="CW519" s="28" t="n">
        <f aca="false">IFERROR(INDEX(Assessments!$J$2:$J$600,MATCH($H519&amp;"|"&amp;$I519&amp;"|"&amp;$J519&amp;"|"&amp;1,Assessments!$A$2:$A$600,0)),0)</f>
        <v>0</v>
      </c>
      <c r="CX519" s="28" t="n">
        <f aca="false">IFERROR(INDEX(Assessments!$J$2:$J$600,MATCH($H519&amp;"|"&amp;$I519&amp;"|"&amp;$J519&amp;"|"&amp;2,Assessments!$A$2:$A$600,0)),0)</f>
        <v>0</v>
      </c>
      <c r="CY519" s="28" t="n">
        <f aca="false">IFERROR(INDEX(Assessments!$J$2:$J$600,MATCH($H519&amp;"|"&amp;$I519&amp;"|"&amp;$J519&amp;"|"&amp;3,Assessments!$A$2:$A$600,0)),0)</f>
        <v>0</v>
      </c>
      <c r="CZ519" s="28" t="n">
        <f aca="false">IFERROR(INDEX(Assessments!$J$2:$J$600,MATCH($H519&amp;"|"&amp;$I519&amp;"|"&amp;$J519&amp;"|"&amp;4,Assessments!$A$2:$A$600,0)),0)</f>
        <v>0</v>
      </c>
      <c r="DA519" s="28" t="n">
        <f aca="false">IFERROR(INDEX(Assessments!$J$2:$J$600,MATCH($H519&amp;"|"&amp;$I519&amp;"|"&amp;$J519&amp;"|"&amp;5,Assessments!$A$2:$A$600,0)),0)</f>
        <v>0</v>
      </c>
      <c r="DB519" s="28" t="n">
        <f aca="false">IFERROR(INDEX(Assessments!$J$2:$J$600,MATCH($H519&amp;"|"&amp;$I519&amp;"|"&amp;$J519&amp;"|"&amp;6,Assessments!$A$2:$A$600,0)),0)</f>
        <v>0</v>
      </c>
      <c r="DC519" s="28" t="n">
        <f aca="false">IFERROR(INDEX(Assessments!$J$2:$J$600,MATCH($H519&amp;"|"&amp;$I519&amp;"|"&amp;$J519&amp;"|"&amp;7,Assessments!$A$2:$A$600,0)),0)</f>
        <v>0</v>
      </c>
      <c r="DD519" s="28" t="n">
        <f aca="false">IFERROR(INDEX(Assessments!$J$2:$J$600,MATCH($H519&amp;"|"&amp;$I519&amp;"|"&amp;$J519&amp;"|"&amp;8,Assessments!$A$2:$A$600,0)),0)</f>
        <v>0</v>
      </c>
      <c r="DE519" s="28" t="n">
        <f aca="false">IFERROR(INDEX(Assessments!$J$2:$J$600,MATCH($H519&amp;"|"&amp;$I519&amp;"|"&amp;$J519&amp;"|"&amp;9,Assessments!$A$2:$A$600,0)),0)</f>
        <v>0</v>
      </c>
      <c r="DF519" s="28" t="n">
        <f aca="false">IFERROR(INDEX(Assessments!$J$2:$J$600,MATCH($H519&amp;"|"&amp;$I519&amp;"|"&amp;$J519&amp;"|"&amp;10,Assessments!$A$2:$A$600,0)),0)</f>
        <v>0</v>
      </c>
      <c r="DG519" s="28" t="n">
        <f aca="false">IFERROR(INDEX(Assessments!$J$2:$J$600,MATCH($H519&amp;"|"&amp;$I519&amp;"|"&amp;$J519&amp;"|"&amp;11,Assessments!$A$2:$A$600,0)),0)</f>
        <v>0</v>
      </c>
      <c r="DH519" s="28" t="n">
        <f aca="false">IFERROR(INDEX(Assessments!$J$2:$J$600,MATCH($H519&amp;"|"&amp;$I519&amp;"|"&amp;$J519&amp;"|"&amp;12,Assessments!$A$2:$A$600,0)),0)</f>
        <v>0</v>
      </c>
      <c r="DI519" s="28" t="n">
        <f aca="false">IFERROR(INDEX(Assessments!$J$2:$J$600,MATCH($H519&amp;"|"&amp;$I519&amp;"|"&amp;$J519&amp;"|"&amp;13,Assessments!$A$2:$A$600,0)),0)</f>
        <v>0</v>
      </c>
      <c r="DJ519" s="28" t="n">
        <f aca="false">IFERROR(INDEX(Assessments!$J$2:$J$600,MATCH($H519&amp;"|"&amp;$I519&amp;"|"&amp;$J519&amp;"|"&amp;14,Assessments!$A$2:$A$600,0)),0)</f>
        <v>0</v>
      </c>
      <c r="DK519" s="28" t="str">
        <f aca="false">S519</f>
        <v/>
      </c>
      <c r="DL519" s="28" t="str">
        <f aca="false">W519</f>
        <v/>
      </c>
      <c r="DM519" s="28" t="str">
        <f aca="false">AA519</f>
        <v/>
      </c>
      <c r="DN519" s="28" t="str">
        <f aca="false">AE519</f>
        <v/>
      </c>
      <c r="DO519" s="28" t="str">
        <f aca="false">AI519</f>
        <v/>
      </c>
      <c r="DP519" s="28" t="str">
        <f aca="false">AM519</f>
        <v/>
      </c>
      <c r="DQ519" s="28" t="str">
        <f aca="false">AQ519</f>
        <v/>
      </c>
      <c r="DR519" s="28" t="str">
        <f aca="false">AU519</f>
        <v/>
      </c>
      <c r="DS519" s="28" t="str">
        <f aca="false">AY519</f>
        <v/>
      </c>
      <c r="DT519" s="28" t="str">
        <f aca="false">BC519</f>
        <v/>
      </c>
      <c r="DU519" s="28" t="str">
        <f aca="false">BG519</f>
        <v/>
      </c>
      <c r="DV519" s="28" t="str">
        <f aca="false">BK519</f>
        <v/>
      </c>
      <c r="DW519" s="28" t="str">
        <f aca="false">BO519</f>
        <v/>
      </c>
      <c r="DX519" s="28" t="str">
        <f aca="false">BS519</f>
        <v/>
      </c>
      <c r="DY519" s="28" t="str">
        <f aca="false">IF(ISNUMBER(S519),1,"")</f>
        <v/>
      </c>
      <c r="DZ519" s="28" t="str">
        <f aca="false">IF(ISNUMBER(W519),2,"")</f>
        <v/>
      </c>
      <c r="EA519" s="28" t="str">
        <f aca="false">IF(ISNUMBER(AA519),3,"")</f>
        <v/>
      </c>
      <c r="EB519" s="28" t="str">
        <f aca="false">IF(ISNUMBER(AE519),4,"")</f>
        <v/>
      </c>
      <c r="EC519" s="28" t="str">
        <f aca="false">IF(ISNUMBER(AI519),5,"")</f>
        <v/>
      </c>
      <c r="ED519" s="28" t="str">
        <f aca="false">IF(ISNUMBER(AM519),6,"")</f>
        <v/>
      </c>
      <c r="EE519" s="28" t="str">
        <f aca="false">IF(ISNUMBER(AQ519),7,"")</f>
        <v/>
      </c>
      <c r="EF519" s="28" t="str">
        <f aca="false">IF(ISNUMBER(AU519),8,"")</f>
        <v/>
      </c>
      <c r="EG519" s="28" t="str">
        <f aca="false">IF(ISNUMBER(AY519),9,"")</f>
        <v/>
      </c>
      <c r="EH519" s="28" t="str">
        <f aca="false">IF(ISNUMBER(BC519),10,"")</f>
        <v/>
      </c>
      <c r="EI519" s="28" t="str">
        <f aca="false">IF(ISNUMBER(BG519),11,"")</f>
        <v/>
      </c>
      <c r="EJ519" s="28" t="str">
        <f aca="false">IF(ISNUMBER(BK519),12,"")</f>
        <v/>
      </c>
      <c r="EK519" s="28" t="str">
        <f aca="false">IF(ISNUMBER(BO519),13,"")</f>
        <v/>
      </c>
      <c r="EL519" s="28" t="str">
        <f aca="false">IF(ISNUMBER(BS519),14,"")</f>
        <v/>
      </c>
      <c r="EM519" s="28" t="n">
        <f aca="false">IF(ISNUMBER(R519),R519*CW519,0)</f>
        <v>0</v>
      </c>
      <c r="EN519" s="28" t="n">
        <f aca="false">IF(ISNUMBER(V519),V519*CX519,0)</f>
        <v>0</v>
      </c>
      <c r="EO519" s="28" t="n">
        <f aca="false">IF(ISNUMBER(Z519),Z519*CY519,0)</f>
        <v>0</v>
      </c>
      <c r="EP519" s="28" t="n">
        <f aca="false">IF(ISNUMBER(AD519),AD519*CZ519,0)</f>
        <v>0</v>
      </c>
      <c r="EQ519" s="28" t="n">
        <f aca="false">IF(ISNUMBER(AH519),AH519*DA519,0)</f>
        <v>0</v>
      </c>
      <c r="ER519" s="28" t="n">
        <f aca="false">IF(ISNUMBER(AL519),AL519*DB519,0)</f>
        <v>0</v>
      </c>
      <c r="ES519" s="28" t="n">
        <f aca="false">IF(ISNUMBER(AP519),AP519*DC519,0)</f>
        <v>0</v>
      </c>
      <c r="ET519" s="28" t="n">
        <f aca="false">IF(ISNUMBER(AT519),AT519*DD519,0)</f>
        <v>0</v>
      </c>
      <c r="EU519" s="28" t="n">
        <f aca="false">IF(ISNUMBER(AX519),AX519*DE519,0)</f>
        <v>0</v>
      </c>
      <c r="EV519" s="28" t="n">
        <f aca="false">IF(ISNUMBER(BB519),BB519*DF519,0)</f>
        <v>0</v>
      </c>
      <c r="EW519" s="28" t="n">
        <f aca="false">IF(ISNUMBER(BF519),BF519*DG519,0)</f>
        <v>0</v>
      </c>
      <c r="EX519" s="28" t="n">
        <f aca="false">IF(ISNUMBER(BJ519),BJ519*DH519,0)</f>
        <v>0</v>
      </c>
      <c r="EY519" s="28" t="n">
        <f aca="false">IF(ISNUMBER(BN519),BN519*DI519,0)</f>
        <v>0</v>
      </c>
      <c r="EZ519" s="28" t="n">
        <f aca="false">IF(ISNUMBER(BR519),BR519*DJ519,0)</f>
        <v>0</v>
      </c>
      <c r="FA519" s="28" t="n">
        <f aca="false">IF(ISNUMBER(R519),CW519,0)</f>
        <v>0</v>
      </c>
      <c r="FB519" s="28" t="n">
        <f aca="false">IF(ISNUMBER(V519),CX519,0)</f>
        <v>0</v>
      </c>
      <c r="FC519" s="28" t="n">
        <f aca="false">IF(ISNUMBER(Z519),CY519,0)</f>
        <v>0</v>
      </c>
      <c r="FD519" s="28" t="n">
        <f aca="false">IF(ISNUMBER(AD519),CZ519,0)</f>
        <v>0</v>
      </c>
      <c r="FE519" s="28" t="n">
        <f aca="false">IF(ISNUMBER(AH519),DA519,0)</f>
        <v>0</v>
      </c>
      <c r="FF519" s="28" t="n">
        <f aca="false">IF(ISNUMBER(AL519),DB519,0)</f>
        <v>0</v>
      </c>
      <c r="FG519" s="28" t="n">
        <f aca="false">IF(ISNUMBER(AP519),DC519,0)</f>
        <v>0</v>
      </c>
      <c r="FH519" s="28" t="n">
        <f aca="false">IF(ISNUMBER(AT519),DD519,0)</f>
        <v>0</v>
      </c>
      <c r="FI519" s="28" t="n">
        <f aca="false">IF(ISNUMBER(AX519),DE519,0)</f>
        <v>0</v>
      </c>
      <c r="FJ519" s="28" t="n">
        <f aca="false">IF(ISNUMBER(BB519),DF519,0)</f>
        <v>0</v>
      </c>
      <c r="FK519" s="28" t="n">
        <f aca="false">IF(ISNUMBER(BF519),DG519,0)</f>
        <v>0</v>
      </c>
      <c r="FL519" s="28" t="n">
        <f aca="false">IF(ISNUMBER(BJ519),DH519,0)</f>
        <v>0</v>
      </c>
      <c r="FM519" s="28" t="n">
        <f aca="false">IF(ISNUMBER(BN519),DI519,0)</f>
        <v>0</v>
      </c>
      <c r="FN519" s="28" t="n">
        <f aca="false">IF(ISNUMBER(BR519),DJ519,0)</f>
        <v>0</v>
      </c>
      <c r="FO519" s="28" t="str">
        <f aca="false">IFERROR(INDEX(Lists!$G$2:$G$20,MATCH($I519&amp;"|"&amp;$J519,Lists!$F$2:$F$20,0)),"")</f>
        <v/>
      </c>
    </row>
    <row r="520" customFormat="false" ht="19.5" hidden="false" customHeight="true" outlineLevel="0" collapsed="false">
      <c r="A520" s="29"/>
      <c r="B520" s="29"/>
      <c r="C520" s="30"/>
      <c r="D520" s="30"/>
      <c r="E520" s="31"/>
      <c r="F520" s="30"/>
      <c r="G520" s="30"/>
      <c r="H520" s="32"/>
      <c r="I520" s="33"/>
      <c r="J520" s="32"/>
      <c r="K520" s="34" t="str">
        <f aca="false">IF(OR(M520="",$E520=""),"",M520-$E520)</f>
        <v/>
      </c>
      <c r="L520" s="35" t="str">
        <f aca="false">IF(SUM(FA520:FN520)=0,"",SUM(EM520:EZ520)/SUM(FA520:FN520))</f>
        <v/>
      </c>
      <c r="M520" s="36" t="str">
        <f aca="false">IF(OR(L520="",FO520=""),"",IFERROR(MATCH(L520,INDEX(Boundaries!$B$2:$I$30,MATCH(FO520,Boundaries!$A$2:$A$30,0),0),1)-1,""))</f>
        <v/>
      </c>
      <c r="N520" s="37" t="str">
        <f aca="false">IF(COUNT($DY520:$EL520)&lt;2,"",INDEX($DK520:$DX520,MAX($DY520:$EL520))-INDEX($DK520:$DX520,MIN($DY520:$EL520)))</f>
        <v/>
      </c>
      <c r="O520" s="37" t="str">
        <f aca="false">IF(COUNT($DY520:$EL520)&lt;2,"",INDEX($DK520:$DX520,MAX($DY520:$EL520))-INDEX($DK520:$DX520,LARGE($DY520:$EL520,2)))</f>
        <v/>
      </c>
      <c r="P520" s="38" t="str">
        <f aca="false">IF(K520="","",IF(K520&gt;=0,"On/above target",IF(AND(N520&lt;&gt;"",N520&gt;=0.5),"Improving towards target",IF(AND(O520&lt;&gt;"",O520&lt;=-0.5),"Declining","Stable below target"))))</f>
        <v/>
      </c>
      <c r="Q520" s="39"/>
      <c r="R520" s="40" t="str">
        <f aca="false">IF(OR(Q520="",BU520=""),"",Q520/BU520*100)</f>
        <v/>
      </c>
      <c r="S520" s="41" t="str">
        <f aca="false">IF(R520="","",IFERROR(MATCH(R520,INDEX(Boundaries!$B$2:$I$30,MATCH(CI520,Boundaries!$A$2:$A$30,0),0),1)-1,""))</f>
        <v/>
      </c>
      <c r="T520" s="42" t="str">
        <f aca="false">IF(OR(S520="",$E520=""),"",S520-$E520)</f>
        <v/>
      </c>
      <c r="U520" s="39"/>
      <c r="V520" s="40" t="str">
        <f aca="false">IF(OR(U520="",BV520=""),"",U520/BV520*100)</f>
        <v/>
      </c>
      <c r="W520" s="41" t="str">
        <f aca="false">IF(V520="","",IFERROR(MATCH(V520,INDEX(Boundaries!$B$2:$I$30,MATCH(CJ520,Boundaries!$A$2:$A$30,0),0),1)-1,""))</f>
        <v/>
      </c>
      <c r="X520" s="42" t="str">
        <f aca="false">IF(OR(W520="",$E520=""),"",W520-$E520)</f>
        <v/>
      </c>
      <c r="Y520" s="39"/>
      <c r="Z520" s="40" t="str">
        <f aca="false">IF(OR(Y520="",BW520=""),"",Y520/BW520*100)</f>
        <v/>
      </c>
      <c r="AA520" s="41" t="str">
        <f aca="false">IF(Z520="","",IFERROR(MATCH(Z520,INDEX(Boundaries!$B$2:$I$30,MATCH(CK520,Boundaries!$A$2:$A$30,0),0),1)-1,""))</f>
        <v/>
      </c>
      <c r="AB520" s="42" t="str">
        <f aca="false">IF(OR(AA520="",$E520=""),"",AA520-$E520)</f>
        <v/>
      </c>
      <c r="AC520" s="39"/>
      <c r="AD520" s="40" t="str">
        <f aca="false">IF(OR(AC520="",BX520=""),"",AC520/BX520*100)</f>
        <v/>
      </c>
      <c r="AE520" s="41" t="str">
        <f aca="false">IF(AD520="","",IFERROR(MATCH(AD520,INDEX(Boundaries!$B$2:$I$30,MATCH(CL520,Boundaries!$A$2:$A$30,0),0),1)-1,""))</f>
        <v/>
      </c>
      <c r="AF520" s="42" t="str">
        <f aca="false">IF(OR(AE520="",$E520=""),"",AE520-$E520)</f>
        <v/>
      </c>
      <c r="AG520" s="39"/>
      <c r="AH520" s="40" t="str">
        <f aca="false">IF(OR(AG520="",BY520=""),"",AG520/BY520*100)</f>
        <v/>
      </c>
      <c r="AI520" s="41" t="str">
        <f aca="false">IF(AH520="","",IFERROR(MATCH(AH520,INDEX(Boundaries!$B$2:$I$30,MATCH(CM520,Boundaries!$A$2:$A$30,0),0),1)-1,""))</f>
        <v/>
      </c>
      <c r="AJ520" s="42" t="str">
        <f aca="false">IF(OR(AI520="",$E520=""),"",AI520-$E520)</f>
        <v/>
      </c>
      <c r="AK520" s="39"/>
      <c r="AL520" s="40" t="str">
        <f aca="false">IF(OR(AK520="",BZ520=""),"",AK520/BZ520*100)</f>
        <v/>
      </c>
      <c r="AM520" s="41" t="str">
        <f aca="false">IF(AL520="","",IFERROR(MATCH(AL520,INDEX(Boundaries!$B$2:$I$30,MATCH(CN520,Boundaries!$A$2:$A$30,0),0),1)-1,""))</f>
        <v/>
      </c>
      <c r="AN520" s="42" t="str">
        <f aca="false">IF(OR(AM520="",$E520=""),"",AM520-$E520)</f>
        <v/>
      </c>
      <c r="AO520" s="39"/>
      <c r="AP520" s="40" t="str">
        <f aca="false">IF(OR(AO520="",CA520=""),"",AO520/CA520*100)</f>
        <v/>
      </c>
      <c r="AQ520" s="41" t="str">
        <f aca="false">IF(AP520="","",IFERROR(MATCH(AP520,INDEX(Boundaries!$B$2:$I$30,MATCH(CO520,Boundaries!$A$2:$A$30,0),0),1)-1,""))</f>
        <v/>
      </c>
      <c r="AR520" s="42" t="str">
        <f aca="false">IF(OR(AQ520="",$E520=""),"",AQ520-$E520)</f>
        <v/>
      </c>
      <c r="AS520" s="39"/>
      <c r="AT520" s="40" t="str">
        <f aca="false">IF(OR(AS520="",CB520=""),"",AS520/CB520*100)</f>
        <v/>
      </c>
      <c r="AU520" s="41" t="str">
        <f aca="false">IF(AT520="","",IFERROR(MATCH(AT520,INDEX(Boundaries!$B$2:$I$30,MATCH(CP520,Boundaries!$A$2:$A$30,0),0),1)-1,""))</f>
        <v/>
      </c>
      <c r="AV520" s="42" t="str">
        <f aca="false">IF(OR(AU520="",$E520=""),"",AU520-$E520)</f>
        <v/>
      </c>
      <c r="AW520" s="39"/>
      <c r="AX520" s="40" t="str">
        <f aca="false">IF(OR(AW520="",CC520=""),"",AW520/CC520*100)</f>
        <v/>
      </c>
      <c r="AY520" s="41" t="str">
        <f aca="false">IF(AX520="","",IFERROR(MATCH(AX520,INDEX(Boundaries!$B$2:$I$30,MATCH(CQ520,Boundaries!$A$2:$A$30,0),0),1)-1,""))</f>
        <v/>
      </c>
      <c r="AZ520" s="42" t="str">
        <f aca="false">IF(OR(AY520="",$E520=""),"",AY520-$E520)</f>
        <v/>
      </c>
      <c r="BA520" s="39"/>
      <c r="BB520" s="40" t="str">
        <f aca="false">IF(OR(BA520="",CD520=""),"",BA520/CD520*100)</f>
        <v/>
      </c>
      <c r="BC520" s="41" t="str">
        <f aca="false">IF(BB520="","",IFERROR(MATCH(BB520,INDEX(Boundaries!$B$2:$I$30,MATCH(CR520,Boundaries!$A$2:$A$30,0),0),1)-1,""))</f>
        <v/>
      </c>
      <c r="BD520" s="42" t="str">
        <f aca="false">IF(OR(BC520="",$E520=""),"",BC520-$E520)</f>
        <v/>
      </c>
      <c r="BE520" s="39"/>
      <c r="BF520" s="40" t="str">
        <f aca="false">IF(OR(BE520="",CE520=""),"",BE520/CE520*100)</f>
        <v/>
      </c>
      <c r="BG520" s="41" t="str">
        <f aca="false">IF(BF520="","",IFERROR(MATCH(BF520,INDEX(Boundaries!$B$2:$I$30,MATCH(CS520,Boundaries!$A$2:$A$30,0),0),1)-1,""))</f>
        <v/>
      </c>
      <c r="BH520" s="42" t="str">
        <f aca="false">IF(OR(BG520="",$E520=""),"",BG520-$E520)</f>
        <v/>
      </c>
      <c r="BI520" s="39"/>
      <c r="BJ520" s="40" t="str">
        <f aca="false">IF(OR(BI520="",CF520=""),"",BI520/CF520*100)</f>
        <v/>
      </c>
      <c r="BK520" s="41" t="str">
        <f aca="false">IF(BJ520="","",IFERROR(MATCH(BJ520,INDEX(Boundaries!$B$2:$I$30,MATCH(CT520,Boundaries!$A$2:$A$30,0),0),1)-1,""))</f>
        <v/>
      </c>
      <c r="BL520" s="42" t="str">
        <f aca="false">IF(OR(BK520="",$E520=""),"",BK520-$E520)</f>
        <v/>
      </c>
      <c r="BM520" s="39"/>
      <c r="BN520" s="40" t="str">
        <f aca="false">IF(OR(BM520="",CG520=""),"",BM520/CG520*100)</f>
        <v/>
      </c>
      <c r="BO520" s="41" t="str">
        <f aca="false">IF(BN520="","",IFERROR(MATCH(BN520,INDEX(Boundaries!$B$2:$I$30,MATCH(CU520,Boundaries!$A$2:$A$30,0),0),1)-1,""))</f>
        <v/>
      </c>
      <c r="BP520" s="42" t="str">
        <f aca="false">IF(OR(BO520="",$E520=""),"",BO520-$E520)</f>
        <v/>
      </c>
      <c r="BQ520" s="39"/>
      <c r="BR520" s="40" t="str">
        <f aca="false">IF(OR(BQ520="",CH520=""),"",BQ520/CH520*100)</f>
        <v/>
      </c>
      <c r="BS520" s="41" t="str">
        <f aca="false">IF(BR520="","",IFERROR(MATCH(BR520,INDEX(Boundaries!$B$2:$I$30,MATCH(CV520,Boundaries!$A$2:$A$30,0),0),1)-1,""))</f>
        <v/>
      </c>
      <c r="BT520" s="42" t="str">
        <f aca="false">IF(OR(BS520="",$E520=""),"",BS520-$E520)</f>
        <v/>
      </c>
      <c r="BU520" s="28" t="str">
        <f aca="false">IFERROR(INDEX(Assessments!$H$2:$H$600,MATCH($H520&amp;"|"&amp;$I520&amp;"|"&amp;$J520&amp;"|"&amp;1,Assessments!$A$2:$A$600,0)),"")</f>
        <v/>
      </c>
      <c r="BV520" s="28" t="str">
        <f aca="false">IFERROR(INDEX(Assessments!$H$2:$H$600,MATCH($H520&amp;"|"&amp;$I520&amp;"|"&amp;$J520&amp;"|"&amp;2,Assessments!$A$2:$A$600,0)),"")</f>
        <v/>
      </c>
      <c r="BW520" s="28" t="str">
        <f aca="false">IFERROR(INDEX(Assessments!$H$2:$H$600,MATCH($H520&amp;"|"&amp;$I520&amp;"|"&amp;$J520&amp;"|"&amp;3,Assessments!$A$2:$A$600,0)),"")</f>
        <v/>
      </c>
      <c r="BX520" s="28" t="str">
        <f aca="false">IFERROR(INDEX(Assessments!$H$2:$H$600,MATCH($H520&amp;"|"&amp;$I520&amp;"|"&amp;$J520&amp;"|"&amp;4,Assessments!$A$2:$A$600,0)),"")</f>
        <v/>
      </c>
      <c r="BY520" s="28" t="str">
        <f aca="false">IFERROR(INDEX(Assessments!$H$2:$H$600,MATCH($H520&amp;"|"&amp;$I520&amp;"|"&amp;$J520&amp;"|"&amp;5,Assessments!$A$2:$A$600,0)),"")</f>
        <v/>
      </c>
      <c r="BZ520" s="28" t="str">
        <f aca="false">IFERROR(INDEX(Assessments!$H$2:$H$600,MATCH($H520&amp;"|"&amp;$I520&amp;"|"&amp;$J520&amp;"|"&amp;6,Assessments!$A$2:$A$600,0)),"")</f>
        <v/>
      </c>
      <c r="CA520" s="28" t="str">
        <f aca="false">IFERROR(INDEX(Assessments!$H$2:$H$600,MATCH($H520&amp;"|"&amp;$I520&amp;"|"&amp;$J520&amp;"|"&amp;7,Assessments!$A$2:$A$600,0)),"")</f>
        <v/>
      </c>
      <c r="CB520" s="28" t="str">
        <f aca="false">IFERROR(INDEX(Assessments!$H$2:$H$600,MATCH($H520&amp;"|"&amp;$I520&amp;"|"&amp;$J520&amp;"|"&amp;8,Assessments!$A$2:$A$600,0)),"")</f>
        <v/>
      </c>
      <c r="CC520" s="28" t="str">
        <f aca="false">IFERROR(INDEX(Assessments!$H$2:$H$600,MATCH($H520&amp;"|"&amp;$I520&amp;"|"&amp;$J520&amp;"|"&amp;9,Assessments!$A$2:$A$600,0)),"")</f>
        <v/>
      </c>
      <c r="CD520" s="28" t="str">
        <f aca="false">IFERROR(INDEX(Assessments!$H$2:$H$600,MATCH($H520&amp;"|"&amp;$I520&amp;"|"&amp;$J520&amp;"|"&amp;10,Assessments!$A$2:$A$600,0)),"")</f>
        <v/>
      </c>
      <c r="CE520" s="28" t="str">
        <f aca="false">IFERROR(INDEX(Assessments!$H$2:$H$600,MATCH($H520&amp;"|"&amp;$I520&amp;"|"&amp;$J520&amp;"|"&amp;11,Assessments!$A$2:$A$600,0)),"")</f>
        <v/>
      </c>
      <c r="CF520" s="28" t="str">
        <f aca="false">IFERROR(INDEX(Assessments!$H$2:$H$600,MATCH($H520&amp;"|"&amp;$I520&amp;"|"&amp;$J520&amp;"|"&amp;12,Assessments!$A$2:$A$600,0)),"")</f>
        <v/>
      </c>
      <c r="CG520" s="28" t="str">
        <f aca="false">IFERROR(INDEX(Assessments!$H$2:$H$600,MATCH($H520&amp;"|"&amp;$I520&amp;"|"&amp;$J520&amp;"|"&amp;13,Assessments!$A$2:$A$600,0)),"")</f>
        <v/>
      </c>
      <c r="CH520" s="28" t="str">
        <f aca="false">IFERROR(INDEX(Assessments!$H$2:$H$600,MATCH($H520&amp;"|"&amp;$I520&amp;"|"&amp;$J520&amp;"|"&amp;14,Assessments!$A$2:$A$600,0)),"")</f>
        <v/>
      </c>
      <c r="CI520" s="28" t="str">
        <f aca="false">IFERROR(INDEX(Assessments!$I$2:$I$600,MATCH($H520&amp;"|"&amp;$I520&amp;"|"&amp;$J520&amp;"|"&amp;1,Assessments!$A$2:$A$600,0)),"")</f>
        <v/>
      </c>
      <c r="CJ520" s="28" t="str">
        <f aca="false">IFERROR(INDEX(Assessments!$I$2:$I$600,MATCH($H520&amp;"|"&amp;$I520&amp;"|"&amp;$J520&amp;"|"&amp;2,Assessments!$A$2:$A$600,0)),"")</f>
        <v/>
      </c>
      <c r="CK520" s="28" t="str">
        <f aca="false">IFERROR(INDEX(Assessments!$I$2:$I$600,MATCH($H520&amp;"|"&amp;$I520&amp;"|"&amp;$J520&amp;"|"&amp;3,Assessments!$A$2:$A$600,0)),"")</f>
        <v/>
      </c>
      <c r="CL520" s="28" t="str">
        <f aca="false">IFERROR(INDEX(Assessments!$I$2:$I$600,MATCH($H520&amp;"|"&amp;$I520&amp;"|"&amp;$J520&amp;"|"&amp;4,Assessments!$A$2:$A$600,0)),"")</f>
        <v/>
      </c>
      <c r="CM520" s="28" t="str">
        <f aca="false">IFERROR(INDEX(Assessments!$I$2:$I$600,MATCH($H520&amp;"|"&amp;$I520&amp;"|"&amp;$J520&amp;"|"&amp;5,Assessments!$A$2:$A$600,0)),"")</f>
        <v/>
      </c>
      <c r="CN520" s="28" t="str">
        <f aca="false">IFERROR(INDEX(Assessments!$I$2:$I$600,MATCH($H520&amp;"|"&amp;$I520&amp;"|"&amp;$J520&amp;"|"&amp;6,Assessments!$A$2:$A$600,0)),"")</f>
        <v/>
      </c>
      <c r="CO520" s="28" t="str">
        <f aca="false">IFERROR(INDEX(Assessments!$I$2:$I$600,MATCH($H520&amp;"|"&amp;$I520&amp;"|"&amp;$J520&amp;"|"&amp;7,Assessments!$A$2:$A$600,0)),"")</f>
        <v/>
      </c>
      <c r="CP520" s="28" t="str">
        <f aca="false">IFERROR(INDEX(Assessments!$I$2:$I$600,MATCH($H520&amp;"|"&amp;$I520&amp;"|"&amp;$J520&amp;"|"&amp;8,Assessments!$A$2:$A$600,0)),"")</f>
        <v/>
      </c>
      <c r="CQ520" s="28" t="str">
        <f aca="false">IFERROR(INDEX(Assessments!$I$2:$I$600,MATCH($H520&amp;"|"&amp;$I520&amp;"|"&amp;$J520&amp;"|"&amp;9,Assessments!$A$2:$A$600,0)),"")</f>
        <v/>
      </c>
      <c r="CR520" s="28" t="str">
        <f aca="false">IFERROR(INDEX(Assessments!$I$2:$I$600,MATCH($H520&amp;"|"&amp;$I520&amp;"|"&amp;$J520&amp;"|"&amp;10,Assessments!$A$2:$A$600,0)),"")</f>
        <v/>
      </c>
      <c r="CS520" s="28" t="str">
        <f aca="false">IFERROR(INDEX(Assessments!$I$2:$I$600,MATCH($H520&amp;"|"&amp;$I520&amp;"|"&amp;$J520&amp;"|"&amp;11,Assessments!$A$2:$A$600,0)),"")</f>
        <v/>
      </c>
      <c r="CT520" s="28" t="str">
        <f aca="false">IFERROR(INDEX(Assessments!$I$2:$I$600,MATCH($H520&amp;"|"&amp;$I520&amp;"|"&amp;$J520&amp;"|"&amp;12,Assessments!$A$2:$A$600,0)),"")</f>
        <v/>
      </c>
      <c r="CU520" s="28" t="str">
        <f aca="false">IFERROR(INDEX(Assessments!$I$2:$I$600,MATCH($H520&amp;"|"&amp;$I520&amp;"|"&amp;$J520&amp;"|"&amp;13,Assessments!$A$2:$A$600,0)),"")</f>
        <v/>
      </c>
      <c r="CV520" s="28" t="str">
        <f aca="false">IFERROR(INDEX(Assessments!$I$2:$I$600,MATCH($H520&amp;"|"&amp;$I520&amp;"|"&amp;$J520&amp;"|"&amp;14,Assessments!$A$2:$A$600,0)),"")</f>
        <v/>
      </c>
      <c r="CW520" s="28" t="n">
        <f aca="false">IFERROR(INDEX(Assessments!$J$2:$J$600,MATCH($H520&amp;"|"&amp;$I520&amp;"|"&amp;$J520&amp;"|"&amp;1,Assessments!$A$2:$A$600,0)),0)</f>
        <v>0</v>
      </c>
      <c r="CX520" s="28" t="n">
        <f aca="false">IFERROR(INDEX(Assessments!$J$2:$J$600,MATCH($H520&amp;"|"&amp;$I520&amp;"|"&amp;$J520&amp;"|"&amp;2,Assessments!$A$2:$A$600,0)),0)</f>
        <v>0</v>
      </c>
      <c r="CY520" s="28" t="n">
        <f aca="false">IFERROR(INDEX(Assessments!$J$2:$J$600,MATCH($H520&amp;"|"&amp;$I520&amp;"|"&amp;$J520&amp;"|"&amp;3,Assessments!$A$2:$A$600,0)),0)</f>
        <v>0</v>
      </c>
      <c r="CZ520" s="28" t="n">
        <f aca="false">IFERROR(INDEX(Assessments!$J$2:$J$600,MATCH($H520&amp;"|"&amp;$I520&amp;"|"&amp;$J520&amp;"|"&amp;4,Assessments!$A$2:$A$600,0)),0)</f>
        <v>0</v>
      </c>
      <c r="DA520" s="28" t="n">
        <f aca="false">IFERROR(INDEX(Assessments!$J$2:$J$600,MATCH($H520&amp;"|"&amp;$I520&amp;"|"&amp;$J520&amp;"|"&amp;5,Assessments!$A$2:$A$600,0)),0)</f>
        <v>0</v>
      </c>
      <c r="DB520" s="28" t="n">
        <f aca="false">IFERROR(INDEX(Assessments!$J$2:$J$600,MATCH($H520&amp;"|"&amp;$I520&amp;"|"&amp;$J520&amp;"|"&amp;6,Assessments!$A$2:$A$600,0)),0)</f>
        <v>0</v>
      </c>
      <c r="DC520" s="28" t="n">
        <f aca="false">IFERROR(INDEX(Assessments!$J$2:$J$600,MATCH($H520&amp;"|"&amp;$I520&amp;"|"&amp;$J520&amp;"|"&amp;7,Assessments!$A$2:$A$600,0)),0)</f>
        <v>0</v>
      </c>
      <c r="DD520" s="28" t="n">
        <f aca="false">IFERROR(INDEX(Assessments!$J$2:$J$600,MATCH($H520&amp;"|"&amp;$I520&amp;"|"&amp;$J520&amp;"|"&amp;8,Assessments!$A$2:$A$600,0)),0)</f>
        <v>0</v>
      </c>
      <c r="DE520" s="28" t="n">
        <f aca="false">IFERROR(INDEX(Assessments!$J$2:$J$600,MATCH($H520&amp;"|"&amp;$I520&amp;"|"&amp;$J520&amp;"|"&amp;9,Assessments!$A$2:$A$600,0)),0)</f>
        <v>0</v>
      </c>
      <c r="DF520" s="28" t="n">
        <f aca="false">IFERROR(INDEX(Assessments!$J$2:$J$600,MATCH($H520&amp;"|"&amp;$I520&amp;"|"&amp;$J520&amp;"|"&amp;10,Assessments!$A$2:$A$600,0)),0)</f>
        <v>0</v>
      </c>
      <c r="DG520" s="28" t="n">
        <f aca="false">IFERROR(INDEX(Assessments!$J$2:$J$600,MATCH($H520&amp;"|"&amp;$I520&amp;"|"&amp;$J520&amp;"|"&amp;11,Assessments!$A$2:$A$600,0)),0)</f>
        <v>0</v>
      </c>
      <c r="DH520" s="28" t="n">
        <f aca="false">IFERROR(INDEX(Assessments!$J$2:$J$600,MATCH($H520&amp;"|"&amp;$I520&amp;"|"&amp;$J520&amp;"|"&amp;12,Assessments!$A$2:$A$600,0)),0)</f>
        <v>0</v>
      </c>
      <c r="DI520" s="28" t="n">
        <f aca="false">IFERROR(INDEX(Assessments!$J$2:$J$600,MATCH($H520&amp;"|"&amp;$I520&amp;"|"&amp;$J520&amp;"|"&amp;13,Assessments!$A$2:$A$600,0)),0)</f>
        <v>0</v>
      </c>
      <c r="DJ520" s="28" t="n">
        <f aca="false">IFERROR(INDEX(Assessments!$J$2:$J$600,MATCH($H520&amp;"|"&amp;$I520&amp;"|"&amp;$J520&amp;"|"&amp;14,Assessments!$A$2:$A$600,0)),0)</f>
        <v>0</v>
      </c>
      <c r="DK520" s="28" t="str">
        <f aca="false">S520</f>
        <v/>
      </c>
      <c r="DL520" s="28" t="str">
        <f aca="false">W520</f>
        <v/>
      </c>
      <c r="DM520" s="28" t="str">
        <f aca="false">AA520</f>
        <v/>
      </c>
      <c r="DN520" s="28" t="str">
        <f aca="false">AE520</f>
        <v/>
      </c>
      <c r="DO520" s="28" t="str">
        <f aca="false">AI520</f>
        <v/>
      </c>
      <c r="DP520" s="28" t="str">
        <f aca="false">AM520</f>
        <v/>
      </c>
      <c r="DQ520" s="28" t="str">
        <f aca="false">AQ520</f>
        <v/>
      </c>
      <c r="DR520" s="28" t="str">
        <f aca="false">AU520</f>
        <v/>
      </c>
      <c r="DS520" s="28" t="str">
        <f aca="false">AY520</f>
        <v/>
      </c>
      <c r="DT520" s="28" t="str">
        <f aca="false">BC520</f>
        <v/>
      </c>
      <c r="DU520" s="28" t="str">
        <f aca="false">BG520</f>
        <v/>
      </c>
      <c r="DV520" s="28" t="str">
        <f aca="false">BK520</f>
        <v/>
      </c>
      <c r="DW520" s="28" t="str">
        <f aca="false">BO520</f>
        <v/>
      </c>
      <c r="DX520" s="28" t="str">
        <f aca="false">BS520</f>
        <v/>
      </c>
      <c r="DY520" s="28" t="str">
        <f aca="false">IF(ISNUMBER(S520),1,"")</f>
        <v/>
      </c>
      <c r="DZ520" s="28" t="str">
        <f aca="false">IF(ISNUMBER(W520),2,"")</f>
        <v/>
      </c>
      <c r="EA520" s="28" t="str">
        <f aca="false">IF(ISNUMBER(AA520),3,"")</f>
        <v/>
      </c>
      <c r="EB520" s="28" t="str">
        <f aca="false">IF(ISNUMBER(AE520),4,"")</f>
        <v/>
      </c>
      <c r="EC520" s="28" t="str">
        <f aca="false">IF(ISNUMBER(AI520),5,"")</f>
        <v/>
      </c>
      <c r="ED520" s="28" t="str">
        <f aca="false">IF(ISNUMBER(AM520),6,"")</f>
        <v/>
      </c>
      <c r="EE520" s="28" t="str">
        <f aca="false">IF(ISNUMBER(AQ520),7,"")</f>
        <v/>
      </c>
      <c r="EF520" s="28" t="str">
        <f aca="false">IF(ISNUMBER(AU520),8,"")</f>
        <v/>
      </c>
      <c r="EG520" s="28" t="str">
        <f aca="false">IF(ISNUMBER(AY520),9,"")</f>
        <v/>
      </c>
      <c r="EH520" s="28" t="str">
        <f aca="false">IF(ISNUMBER(BC520),10,"")</f>
        <v/>
      </c>
      <c r="EI520" s="28" t="str">
        <f aca="false">IF(ISNUMBER(BG520),11,"")</f>
        <v/>
      </c>
      <c r="EJ520" s="28" t="str">
        <f aca="false">IF(ISNUMBER(BK520),12,"")</f>
        <v/>
      </c>
      <c r="EK520" s="28" t="str">
        <f aca="false">IF(ISNUMBER(BO520),13,"")</f>
        <v/>
      </c>
      <c r="EL520" s="28" t="str">
        <f aca="false">IF(ISNUMBER(BS520),14,"")</f>
        <v/>
      </c>
      <c r="EM520" s="28" t="n">
        <f aca="false">IF(ISNUMBER(R520),R520*CW520,0)</f>
        <v>0</v>
      </c>
      <c r="EN520" s="28" t="n">
        <f aca="false">IF(ISNUMBER(V520),V520*CX520,0)</f>
        <v>0</v>
      </c>
      <c r="EO520" s="28" t="n">
        <f aca="false">IF(ISNUMBER(Z520),Z520*CY520,0)</f>
        <v>0</v>
      </c>
      <c r="EP520" s="28" t="n">
        <f aca="false">IF(ISNUMBER(AD520),AD520*CZ520,0)</f>
        <v>0</v>
      </c>
      <c r="EQ520" s="28" t="n">
        <f aca="false">IF(ISNUMBER(AH520),AH520*DA520,0)</f>
        <v>0</v>
      </c>
      <c r="ER520" s="28" t="n">
        <f aca="false">IF(ISNUMBER(AL520),AL520*DB520,0)</f>
        <v>0</v>
      </c>
      <c r="ES520" s="28" t="n">
        <f aca="false">IF(ISNUMBER(AP520),AP520*DC520,0)</f>
        <v>0</v>
      </c>
      <c r="ET520" s="28" t="n">
        <f aca="false">IF(ISNUMBER(AT520),AT520*DD520,0)</f>
        <v>0</v>
      </c>
      <c r="EU520" s="28" t="n">
        <f aca="false">IF(ISNUMBER(AX520),AX520*DE520,0)</f>
        <v>0</v>
      </c>
      <c r="EV520" s="28" t="n">
        <f aca="false">IF(ISNUMBER(BB520),BB520*DF520,0)</f>
        <v>0</v>
      </c>
      <c r="EW520" s="28" t="n">
        <f aca="false">IF(ISNUMBER(BF520),BF520*DG520,0)</f>
        <v>0</v>
      </c>
      <c r="EX520" s="28" t="n">
        <f aca="false">IF(ISNUMBER(BJ520),BJ520*DH520,0)</f>
        <v>0</v>
      </c>
      <c r="EY520" s="28" t="n">
        <f aca="false">IF(ISNUMBER(BN520),BN520*DI520,0)</f>
        <v>0</v>
      </c>
      <c r="EZ520" s="28" t="n">
        <f aca="false">IF(ISNUMBER(BR520),BR520*DJ520,0)</f>
        <v>0</v>
      </c>
      <c r="FA520" s="28" t="n">
        <f aca="false">IF(ISNUMBER(R520),CW520,0)</f>
        <v>0</v>
      </c>
      <c r="FB520" s="28" t="n">
        <f aca="false">IF(ISNUMBER(V520),CX520,0)</f>
        <v>0</v>
      </c>
      <c r="FC520" s="28" t="n">
        <f aca="false">IF(ISNUMBER(Z520),CY520,0)</f>
        <v>0</v>
      </c>
      <c r="FD520" s="28" t="n">
        <f aca="false">IF(ISNUMBER(AD520),CZ520,0)</f>
        <v>0</v>
      </c>
      <c r="FE520" s="28" t="n">
        <f aca="false">IF(ISNUMBER(AH520),DA520,0)</f>
        <v>0</v>
      </c>
      <c r="FF520" s="28" t="n">
        <f aca="false">IF(ISNUMBER(AL520),DB520,0)</f>
        <v>0</v>
      </c>
      <c r="FG520" s="28" t="n">
        <f aca="false">IF(ISNUMBER(AP520),DC520,0)</f>
        <v>0</v>
      </c>
      <c r="FH520" s="28" t="n">
        <f aca="false">IF(ISNUMBER(AT520),DD520,0)</f>
        <v>0</v>
      </c>
      <c r="FI520" s="28" t="n">
        <f aca="false">IF(ISNUMBER(AX520),DE520,0)</f>
        <v>0</v>
      </c>
      <c r="FJ520" s="28" t="n">
        <f aca="false">IF(ISNUMBER(BB520),DF520,0)</f>
        <v>0</v>
      </c>
      <c r="FK520" s="28" t="n">
        <f aca="false">IF(ISNUMBER(BF520),DG520,0)</f>
        <v>0</v>
      </c>
      <c r="FL520" s="28" t="n">
        <f aca="false">IF(ISNUMBER(BJ520),DH520,0)</f>
        <v>0</v>
      </c>
      <c r="FM520" s="28" t="n">
        <f aca="false">IF(ISNUMBER(BN520),DI520,0)</f>
        <v>0</v>
      </c>
      <c r="FN520" s="28" t="n">
        <f aca="false">IF(ISNUMBER(BR520),DJ520,0)</f>
        <v>0</v>
      </c>
      <c r="FO520" s="28" t="str">
        <f aca="false">IFERROR(INDEX(Lists!$G$2:$G$20,MATCH($I520&amp;"|"&amp;$J520,Lists!$F$2:$F$20,0)),"")</f>
        <v/>
      </c>
    </row>
    <row r="521" customFormat="false" ht="19.5" hidden="false" customHeight="true" outlineLevel="0" collapsed="false">
      <c r="A521" s="29"/>
      <c r="B521" s="29"/>
      <c r="C521" s="30"/>
      <c r="D521" s="30"/>
      <c r="E521" s="31"/>
      <c r="F521" s="30"/>
      <c r="G521" s="30"/>
      <c r="H521" s="32"/>
      <c r="I521" s="33"/>
      <c r="J521" s="32"/>
      <c r="K521" s="34" t="str">
        <f aca="false">IF(OR(M521="",$E521=""),"",M521-$E521)</f>
        <v/>
      </c>
      <c r="L521" s="35" t="str">
        <f aca="false">IF(SUM(FA521:FN521)=0,"",SUM(EM521:EZ521)/SUM(FA521:FN521))</f>
        <v/>
      </c>
      <c r="M521" s="36" t="str">
        <f aca="false">IF(OR(L521="",FO521=""),"",IFERROR(MATCH(L521,INDEX(Boundaries!$B$2:$I$30,MATCH(FO521,Boundaries!$A$2:$A$30,0),0),1)-1,""))</f>
        <v/>
      </c>
      <c r="N521" s="37" t="str">
        <f aca="false">IF(COUNT($DY521:$EL521)&lt;2,"",INDEX($DK521:$DX521,MAX($DY521:$EL521))-INDEX($DK521:$DX521,MIN($DY521:$EL521)))</f>
        <v/>
      </c>
      <c r="O521" s="37" t="str">
        <f aca="false">IF(COUNT($DY521:$EL521)&lt;2,"",INDEX($DK521:$DX521,MAX($DY521:$EL521))-INDEX($DK521:$DX521,LARGE($DY521:$EL521,2)))</f>
        <v/>
      </c>
      <c r="P521" s="38" t="str">
        <f aca="false">IF(K521="","",IF(K521&gt;=0,"On/above target",IF(AND(N521&lt;&gt;"",N521&gt;=0.5),"Improving towards target",IF(AND(O521&lt;&gt;"",O521&lt;=-0.5),"Declining","Stable below target"))))</f>
        <v/>
      </c>
      <c r="Q521" s="39"/>
      <c r="R521" s="40" t="str">
        <f aca="false">IF(OR(Q521="",BU521=""),"",Q521/BU521*100)</f>
        <v/>
      </c>
      <c r="S521" s="41" t="str">
        <f aca="false">IF(R521="","",IFERROR(MATCH(R521,INDEX(Boundaries!$B$2:$I$30,MATCH(CI521,Boundaries!$A$2:$A$30,0),0),1)-1,""))</f>
        <v/>
      </c>
      <c r="T521" s="42" t="str">
        <f aca="false">IF(OR(S521="",$E521=""),"",S521-$E521)</f>
        <v/>
      </c>
      <c r="U521" s="39"/>
      <c r="V521" s="40" t="str">
        <f aca="false">IF(OR(U521="",BV521=""),"",U521/BV521*100)</f>
        <v/>
      </c>
      <c r="W521" s="41" t="str">
        <f aca="false">IF(V521="","",IFERROR(MATCH(V521,INDEX(Boundaries!$B$2:$I$30,MATCH(CJ521,Boundaries!$A$2:$A$30,0),0),1)-1,""))</f>
        <v/>
      </c>
      <c r="X521" s="42" t="str">
        <f aca="false">IF(OR(W521="",$E521=""),"",W521-$E521)</f>
        <v/>
      </c>
      <c r="Y521" s="39"/>
      <c r="Z521" s="40" t="str">
        <f aca="false">IF(OR(Y521="",BW521=""),"",Y521/BW521*100)</f>
        <v/>
      </c>
      <c r="AA521" s="41" t="str">
        <f aca="false">IF(Z521="","",IFERROR(MATCH(Z521,INDEX(Boundaries!$B$2:$I$30,MATCH(CK521,Boundaries!$A$2:$A$30,0),0),1)-1,""))</f>
        <v/>
      </c>
      <c r="AB521" s="42" t="str">
        <f aca="false">IF(OR(AA521="",$E521=""),"",AA521-$E521)</f>
        <v/>
      </c>
      <c r="AC521" s="39"/>
      <c r="AD521" s="40" t="str">
        <f aca="false">IF(OR(AC521="",BX521=""),"",AC521/BX521*100)</f>
        <v/>
      </c>
      <c r="AE521" s="41" t="str">
        <f aca="false">IF(AD521="","",IFERROR(MATCH(AD521,INDEX(Boundaries!$B$2:$I$30,MATCH(CL521,Boundaries!$A$2:$A$30,0),0),1)-1,""))</f>
        <v/>
      </c>
      <c r="AF521" s="42" t="str">
        <f aca="false">IF(OR(AE521="",$E521=""),"",AE521-$E521)</f>
        <v/>
      </c>
      <c r="AG521" s="39"/>
      <c r="AH521" s="40" t="str">
        <f aca="false">IF(OR(AG521="",BY521=""),"",AG521/BY521*100)</f>
        <v/>
      </c>
      <c r="AI521" s="41" t="str">
        <f aca="false">IF(AH521="","",IFERROR(MATCH(AH521,INDEX(Boundaries!$B$2:$I$30,MATCH(CM521,Boundaries!$A$2:$A$30,0),0),1)-1,""))</f>
        <v/>
      </c>
      <c r="AJ521" s="42" t="str">
        <f aca="false">IF(OR(AI521="",$E521=""),"",AI521-$E521)</f>
        <v/>
      </c>
      <c r="AK521" s="39"/>
      <c r="AL521" s="40" t="str">
        <f aca="false">IF(OR(AK521="",BZ521=""),"",AK521/BZ521*100)</f>
        <v/>
      </c>
      <c r="AM521" s="41" t="str">
        <f aca="false">IF(AL521="","",IFERROR(MATCH(AL521,INDEX(Boundaries!$B$2:$I$30,MATCH(CN521,Boundaries!$A$2:$A$30,0),0),1)-1,""))</f>
        <v/>
      </c>
      <c r="AN521" s="42" t="str">
        <f aca="false">IF(OR(AM521="",$E521=""),"",AM521-$E521)</f>
        <v/>
      </c>
      <c r="AO521" s="39"/>
      <c r="AP521" s="40" t="str">
        <f aca="false">IF(OR(AO521="",CA521=""),"",AO521/CA521*100)</f>
        <v/>
      </c>
      <c r="AQ521" s="41" t="str">
        <f aca="false">IF(AP521="","",IFERROR(MATCH(AP521,INDEX(Boundaries!$B$2:$I$30,MATCH(CO521,Boundaries!$A$2:$A$30,0),0),1)-1,""))</f>
        <v/>
      </c>
      <c r="AR521" s="42" t="str">
        <f aca="false">IF(OR(AQ521="",$E521=""),"",AQ521-$E521)</f>
        <v/>
      </c>
      <c r="AS521" s="39"/>
      <c r="AT521" s="40" t="str">
        <f aca="false">IF(OR(AS521="",CB521=""),"",AS521/CB521*100)</f>
        <v/>
      </c>
      <c r="AU521" s="41" t="str">
        <f aca="false">IF(AT521="","",IFERROR(MATCH(AT521,INDEX(Boundaries!$B$2:$I$30,MATCH(CP521,Boundaries!$A$2:$A$30,0),0),1)-1,""))</f>
        <v/>
      </c>
      <c r="AV521" s="42" t="str">
        <f aca="false">IF(OR(AU521="",$E521=""),"",AU521-$E521)</f>
        <v/>
      </c>
      <c r="AW521" s="39"/>
      <c r="AX521" s="40" t="str">
        <f aca="false">IF(OR(AW521="",CC521=""),"",AW521/CC521*100)</f>
        <v/>
      </c>
      <c r="AY521" s="41" t="str">
        <f aca="false">IF(AX521="","",IFERROR(MATCH(AX521,INDEX(Boundaries!$B$2:$I$30,MATCH(CQ521,Boundaries!$A$2:$A$30,0),0),1)-1,""))</f>
        <v/>
      </c>
      <c r="AZ521" s="42" t="str">
        <f aca="false">IF(OR(AY521="",$E521=""),"",AY521-$E521)</f>
        <v/>
      </c>
      <c r="BA521" s="39"/>
      <c r="BB521" s="40" t="str">
        <f aca="false">IF(OR(BA521="",CD521=""),"",BA521/CD521*100)</f>
        <v/>
      </c>
      <c r="BC521" s="41" t="str">
        <f aca="false">IF(BB521="","",IFERROR(MATCH(BB521,INDEX(Boundaries!$B$2:$I$30,MATCH(CR521,Boundaries!$A$2:$A$30,0),0),1)-1,""))</f>
        <v/>
      </c>
      <c r="BD521" s="42" t="str">
        <f aca="false">IF(OR(BC521="",$E521=""),"",BC521-$E521)</f>
        <v/>
      </c>
      <c r="BE521" s="39"/>
      <c r="BF521" s="40" t="str">
        <f aca="false">IF(OR(BE521="",CE521=""),"",BE521/CE521*100)</f>
        <v/>
      </c>
      <c r="BG521" s="41" t="str">
        <f aca="false">IF(BF521="","",IFERROR(MATCH(BF521,INDEX(Boundaries!$B$2:$I$30,MATCH(CS521,Boundaries!$A$2:$A$30,0),0),1)-1,""))</f>
        <v/>
      </c>
      <c r="BH521" s="42" t="str">
        <f aca="false">IF(OR(BG521="",$E521=""),"",BG521-$E521)</f>
        <v/>
      </c>
      <c r="BI521" s="39"/>
      <c r="BJ521" s="40" t="str">
        <f aca="false">IF(OR(BI521="",CF521=""),"",BI521/CF521*100)</f>
        <v/>
      </c>
      <c r="BK521" s="41" t="str">
        <f aca="false">IF(BJ521="","",IFERROR(MATCH(BJ521,INDEX(Boundaries!$B$2:$I$30,MATCH(CT521,Boundaries!$A$2:$A$30,0),0),1)-1,""))</f>
        <v/>
      </c>
      <c r="BL521" s="42" t="str">
        <f aca="false">IF(OR(BK521="",$E521=""),"",BK521-$E521)</f>
        <v/>
      </c>
      <c r="BM521" s="39"/>
      <c r="BN521" s="40" t="str">
        <f aca="false">IF(OR(BM521="",CG521=""),"",BM521/CG521*100)</f>
        <v/>
      </c>
      <c r="BO521" s="41" t="str">
        <f aca="false">IF(BN521="","",IFERROR(MATCH(BN521,INDEX(Boundaries!$B$2:$I$30,MATCH(CU521,Boundaries!$A$2:$A$30,0),0),1)-1,""))</f>
        <v/>
      </c>
      <c r="BP521" s="42" t="str">
        <f aca="false">IF(OR(BO521="",$E521=""),"",BO521-$E521)</f>
        <v/>
      </c>
      <c r="BQ521" s="39"/>
      <c r="BR521" s="40" t="str">
        <f aca="false">IF(OR(BQ521="",CH521=""),"",BQ521/CH521*100)</f>
        <v/>
      </c>
      <c r="BS521" s="41" t="str">
        <f aca="false">IF(BR521="","",IFERROR(MATCH(BR521,INDEX(Boundaries!$B$2:$I$30,MATCH(CV521,Boundaries!$A$2:$A$30,0),0),1)-1,""))</f>
        <v/>
      </c>
      <c r="BT521" s="42" t="str">
        <f aca="false">IF(OR(BS521="",$E521=""),"",BS521-$E521)</f>
        <v/>
      </c>
      <c r="BU521" s="28" t="str">
        <f aca="false">IFERROR(INDEX(Assessments!$H$2:$H$600,MATCH($H521&amp;"|"&amp;$I521&amp;"|"&amp;$J521&amp;"|"&amp;1,Assessments!$A$2:$A$600,0)),"")</f>
        <v/>
      </c>
      <c r="BV521" s="28" t="str">
        <f aca="false">IFERROR(INDEX(Assessments!$H$2:$H$600,MATCH($H521&amp;"|"&amp;$I521&amp;"|"&amp;$J521&amp;"|"&amp;2,Assessments!$A$2:$A$600,0)),"")</f>
        <v/>
      </c>
      <c r="BW521" s="28" t="str">
        <f aca="false">IFERROR(INDEX(Assessments!$H$2:$H$600,MATCH($H521&amp;"|"&amp;$I521&amp;"|"&amp;$J521&amp;"|"&amp;3,Assessments!$A$2:$A$600,0)),"")</f>
        <v/>
      </c>
      <c r="BX521" s="28" t="str">
        <f aca="false">IFERROR(INDEX(Assessments!$H$2:$H$600,MATCH($H521&amp;"|"&amp;$I521&amp;"|"&amp;$J521&amp;"|"&amp;4,Assessments!$A$2:$A$600,0)),"")</f>
        <v/>
      </c>
      <c r="BY521" s="28" t="str">
        <f aca="false">IFERROR(INDEX(Assessments!$H$2:$H$600,MATCH($H521&amp;"|"&amp;$I521&amp;"|"&amp;$J521&amp;"|"&amp;5,Assessments!$A$2:$A$600,0)),"")</f>
        <v/>
      </c>
      <c r="BZ521" s="28" t="str">
        <f aca="false">IFERROR(INDEX(Assessments!$H$2:$H$600,MATCH($H521&amp;"|"&amp;$I521&amp;"|"&amp;$J521&amp;"|"&amp;6,Assessments!$A$2:$A$600,0)),"")</f>
        <v/>
      </c>
      <c r="CA521" s="28" t="str">
        <f aca="false">IFERROR(INDEX(Assessments!$H$2:$H$600,MATCH($H521&amp;"|"&amp;$I521&amp;"|"&amp;$J521&amp;"|"&amp;7,Assessments!$A$2:$A$600,0)),"")</f>
        <v/>
      </c>
      <c r="CB521" s="28" t="str">
        <f aca="false">IFERROR(INDEX(Assessments!$H$2:$H$600,MATCH($H521&amp;"|"&amp;$I521&amp;"|"&amp;$J521&amp;"|"&amp;8,Assessments!$A$2:$A$600,0)),"")</f>
        <v/>
      </c>
      <c r="CC521" s="28" t="str">
        <f aca="false">IFERROR(INDEX(Assessments!$H$2:$H$600,MATCH($H521&amp;"|"&amp;$I521&amp;"|"&amp;$J521&amp;"|"&amp;9,Assessments!$A$2:$A$600,0)),"")</f>
        <v/>
      </c>
      <c r="CD521" s="28" t="str">
        <f aca="false">IFERROR(INDEX(Assessments!$H$2:$H$600,MATCH($H521&amp;"|"&amp;$I521&amp;"|"&amp;$J521&amp;"|"&amp;10,Assessments!$A$2:$A$600,0)),"")</f>
        <v/>
      </c>
      <c r="CE521" s="28" t="str">
        <f aca="false">IFERROR(INDEX(Assessments!$H$2:$H$600,MATCH($H521&amp;"|"&amp;$I521&amp;"|"&amp;$J521&amp;"|"&amp;11,Assessments!$A$2:$A$600,0)),"")</f>
        <v/>
      </c>
      <c r="CF521" s="28" t="str">
        <f aca="false">IFERROR(INDEX(Assessments!$H$2:$H$600,MATCH($H521&amp;"|"&amp;$I521&amp;"|"&amp;$J521&amp;"|"&amp;12,Assessments!$A$2:$A$600,0)),"")</f>
        <v/>
      </c>
      <c r="CG521" s="28" t="str">
        <f aca="false">IFERROR(INDEX(Assessments!$H$2:$H$600,MATCH($H521&amp;"|"&amp;$I521&amp;"|"&amp;$J521&amp;"|"&amp;13,Assessments!$A$2:$A$600,0)),"")</f>
        <v/>
      </c>
      <c r="CH521" s="28" t="str">
        <f aca="false">IFERROR(INDEX(Assessments!$H$2:$H$600,MATCH($H521&amp;"|"&amp;$I521&amp;"|"&amp;$J521&amp;"|"&amp;14,Assessments!$A$2:$A$600,0)),"")</f>
        <v/>
      </c>
      <c r="CI521" s="28" t="str">
        <f aca="false">IFERROR(INDEX(Assessments!$I$2:$I$600,MATCH($H521&amp;"|"&amp;$I521&amp;"|"&amp;$J521&amp;"|"&amp;1,Assessments!$A$2:$A$600,0)),"")</f>
        <v/>
      </c>
      <c r="CJ521" s="28" t="str">
        <f aca="false">IFERROR(INDEX(Assessments!$I$2:$I$600,MATCH($H521&amp;"|"&amp;$I521&amp;"|"&amp;$J521&amp;"|"&amp;2,Assessments!$A$2:$A$600,0)),"")</f>
        <v/>
      </c>
      <c r="CK521" s="28" t="str">
        <f aca="false">IFERROR(INDEX(Assessments!$I$2:$I$600,MATCH($H521&amp;"|"&amp;$I521&amp;"|"&amp;$J521&amp;"|"&amp;3,Assessments!$A$2:$A$600,0)),"")</f>
        <v/>
      </c>
      <c r="CL521" s="28" t="str">
        <f aca="false">IFERROR(INDEX(Assessments!$I$2:$I$600,MATCH($H521&amp;"|"&amp;$I521&amp;"|"&amp;$J521&amp;"|"&amp;4,Assessments!$A$2:$A$600,0)),"")</f>
        <v/>
      </c>
      <c r="CM521" s="28" t="str">
        <f aca="false">IFERROR(INDEX(Assessments!$I$2:$I$600,MATCH($H521&amp;"|"&amp;$I521&amp;"|"&amp;$J521&amp;"|"&amp;5,Assessments!$A$2:$A$600,0)),"")</f>
        <v/>
      </c>
      <c r="CN521" s="28" t="str">
        <f aca="false">IFERROR(INDEX(Assessments!$I$2:$I$600,MATCH($H521&amp;"|"&amp;$I521&amp;"|"&amp;$J521&amp;"|"&amp;6,Assessments!$A$2:$A$600,0)),"")</f>
        <v/>
      </c>
      <c r="CO521" s="28" t="str">
        <f aca="false">IFERROR(INDEX(Assessments!$I$2:$I$600,MATCH($H521&amp;"|"&amp;$I521&amp;"|"&amp;$J521&amp;"|"&amp;7,Assessments!$A$2:$A$600,0)),"")</f>
        <v/>
      </c>
      <c r="CP521" s="28" t="str">
        <f aca="false">IFERROR(INDEX(Assessments!$I$2:$I$600,MATCH($H521&amp;"|"&amp;$I521&amp;"|"&amp;$J521&amp;"|"&amp;8,Assessments!$A$2:$A$600,0)),"")</f>
        <v/>
      </c>
      <c r="CQ521" s="28" t="str">
        <f aca="false">IFERROR(INDEX(Assessments!$I$2:$I$600,MATCH($H521&amp;"|"&amp;$I521&amp;"|"&amp;$J521&amp;"|"&amp;9,Assessments!$A$2:$A$600,0)),"")</f>
        <v/>
      </c>
      <c r="CR521" s="28" t="str">
        <f aca="false">IFERROR(INDEX(Assessments!$I$2:$I$600,MATCH($H521&amp;"|"&amp;$I521&amp;"|"&amp;$J521&amp;"|"&amp;10,Assessments!$A$2:$A$600,0)),"")</f>
        <v/>
      </c>
      <c r="CS521" s="28" t="str">
        <f aca="false">IFERROR(INDEX(Assessments!$I$2:$I$600,MATCH($H521&amp;"|"&amp;$I521&amp;"|"&amp;$J521&amp;"|"&amp;11,Assessments!$A$2:$A$600,0)),"")</f>
        <v/>
      </c>
      <c r="CT521" s="28" t="str">
        <f aca="false">IFERROR(INDEX(Assessments!$I$2:$I$600,MATCH($H521&amp;"|"&amp;$I521&amp;"|"&amp;$J521&amp;"|"&amp;12,Assessments!$A$2:$A$600,0)),"")</f>
        <v/>
      </c>
      <c r="CU521" s="28" t="str">
        <f aca="false">IFERROR(INDEX(Assessments!$I$2:$I$600,MATCH($H521&amp;"|"&amp;$I521&amp;"|"&amp;$J521&amp;"|"&amp;13,Assessments!$A$2:$A$600,0)),"")</f>
        <v/>
      </c>
      <c r="CV521" s="28" t="str">
        <f aca="false">IFERROR(INDEX(Assessments!$I$2:$I$600,MATCH($H521&amp;"|"&amp;$I521&amp;"|"&amp;$J521&amp;"|"&amp;14,Assessments!$A$2:$A$600,0)),"")</f>
        <v/>
      </c>
      <c r="CW521" s="28" t="n">
        <f aca="false">IFERROR(INDEX(Assessments!$J$2:$J$600,MATCH($H521&amp;"|"&amp;$I521&amp;"|"&amp;$J521&amp;"|"&amp;1,Assessments!$A$2:$A$600,0)),0)</f>
        <v>0</v>
      </c>
      <c r="CX521" s="28" t="n">
        <f aca="false">IFERROR(INDEX(Assessments!$J$2:$J$600,MATCH($H521&amp;"|"&amp;$I521&amp;"|"&amp;$J521&amp;"|"&amp;2,Assessments!$A$2:$A$600,0)),0)</f>
        <v>0</v>
      </c>
      <c r="CY521" s="28" t="n">
        <f aca="false">IFERROR(INDEX(Assessments!$J$2:$J$600,MATCH($H521&amp;"|"&amp;$I521&amp;"|"&amp;$J521&amp;"|"&amp;3,Assessments!$A$2:$A$600,0)),0)</f>
        <v>0</v>
      </c>
      <c r="CZ521" s="28" t="n">
        <f aca="false">IFERROR(INDEX(Assessments!$J$2:$J$600,MATCH($H521&amp;"|"&amp;$I521&amp;"|"&amp;$J521&amp;"|"&amp;4,Assessments!$A$2:$A$600,0)),0)</f>
        <v>0</v>
      </c>
      <c r="DA521" s="28" t="n">
        <f aca="false">IFERROR(INDEX(Assessments!$J$2:$J$600,MATCH($H521&amp;"|"&amp;$I521&amp;"|"&amp;$J521&amp;"|"&amp;5,Assessments!$A$2:$A$600,0)),0)</f>
        <v>0</v>
      </c>
      <c r="DB521" s="28" t="n">
        <f aca="false">IFERROR(INDEX(Assessments!$J$2:$J$600,MATCH($H521&amp;"|"&amp;$I521&amp;"|"&amp;$J521&amp;"|"&amp;6,Assessments!$A$2:$A$600,0)),0)</f>
        <v>0</v>
      </c>
      <c r="DC521" s="28" t="n">
        <f aca="false">IFERROR(INDEX(Assessments!$J$2:$J$600,MATCH($H521&amp;"|"&amp;$I521&amp;"|"&amp;$J521&amp;"|"&amp;7,Assessments!$A$2:$A$600,0)),0)</f>
        <v>0</v>
      </c>
      <c r="DD521" s="28" t="n">
        <f aca="false">IFERROR(INDEX(Assessments!$J$2:$J$600,MATCH($H521&amp;"|"&amp;$I521&amp;"|"&amp;$J521&amp;"|"&amp;8,Assessments!$A$2:$A$600,0)),0)</f>
        <v>0</v>
      </c>
      <c r="DE521" s="28" t="n">
        <f aca="false">IFERROR(INDEX(Assessments!$J$2:$J$600,MATCH($H521&amp;"|"&amp;$I521&amp;"|"&amp;$J521&amp;"|"&amp;9,Assessments!$A$2:$A$600,0)),0)</f>
        <v>0</v>
      </c>
      <c r="DF521" s="28" t="n">
        <f aca="false">IFERROR(INDEX(Assessments!$J$2:$J$600,MATCH($H521&amp;"|"&amp;$I521&amp;"|"&amp;$J521&amp;"|"&amp;10,Assessments!$A$2:$A$600,0)),0)</f>
        <v>0</v>
      </c>
      <c r="DG521" s="28" t="n">
        <f aca="false">IFERROR(INDEX(Assessments!$J$2:$J$600,MATCH($H521&amp;"|"&amp;$I521&amp;"|"&amp;$J521&amp;"|"&amp;11,Assessments!$A$2:$A$600,0)),0)</f>
        <v>0</v>
      </c>
      <c r="DH521" s="28" t="n">
        <f aca="false">IFERROR(INDEX(Assessments!$J$2:$J$600,MATCH($H521&amp;"|"&amp;$I521&amp;"|"&amp;$J521&amp;"|"&amp;12,Assessments!$A$2:$A$600,0)),0)</f>
        <v>0</v>
      </c>
      <c r="DI521" s="28" t="n">
        <f aca="false">IFERROR(INDEX(Assessments!$J$2:$J$600,MATCH($H521&amp;"|"&amp;$I521&amp;"|"&amp;$J521&amp;"|"&amp;13,Assessments!$A$2:$A$600,0)),0)</f>
        <v>0</v>
      </c>
      <c r="DJ521" s="28" t="n">
        <f aca="false">IFERROR(INDEX(Assessments!$J$2:$J$600,MATCH($H521&amp;"|"&amp;$I521&amp;"|"&amp;$J521&amp;"|"&amp;14,Assessments!$A$2:$A$600,0)),0)</f>
        <v>0</v>
      </c>
      <c r="DK521" s="28" t="str">
        <f aca="false">S521</f>
        <v/>
      </c>
      <c r="DL521" s="28" t="str">
        <f aca="false">W521</f>
        <v/>
      </c>
      <c r="DM521" s="28" t="str">
        <f aca="false">AA521</f>
        <v/>
      </c>
      <c r="DN521" s="28" t="str">
        <f aca="false">AE521</f>
        <v/>
      </c>
      <c r="DO521" s="28" t="str">
        <f aca="false">AI521</f>
        <v/>
      </c>
      <c r="DP521" s="28" t="str">
        <f aca="false">AM521</f>
        <v/>
      </c>
      <c r="DQ521" s="28" t="str">
        <f aca="false">AQ521</f>
        <v/>
      </c>
      <c r="DR521" s="28" t="str">
        <f aca="false">AU521</f>
        <v/>
      </c>
      <c r="DS521" s="28" t="str">
        <f aca="false">AY521</f>
        <v/>
      </c>
      <c r="DT521" s="28" t="str">
        <f aca="false">BC521</f>
        <v/>
      </c>
      <c r="DU521" s="28" t="str">
        <f aca="false">BG521</f>
        <v/>
      </c>
      <c r="DV521" s="28" t="str">
        <f aca="false">BK521</f>
        <v/>
      </c>
      <c r="DW521" s="28" t="str">
        <f aca="false">BO521</f>
        <v/>
      </c>
      <c r="DX521" s="28" t="str">
        <f aca="false">BS521</f>
        <v/>
      </c>
      <c r="DY521" s="28" t="str">
        <f aca="false">IF(ISNUMBER(S521),1,"")</f>
        <v/>
      </c>
      <c r="DZ521" s="28" t="str">
        <f aca="false">IF(ISNUMBER(W521),2,"")</f>
        <v/>
      </c>
      <c r="EA521" s="28" t="str">
        <f aca="false">IF(ISNUMBER(AA521),3,"")</f>
        <v/>
      </c>
      <c r="EB521" s="28" t="str">
        <f aca="false">IF(ISNUMBER(AE521),4,"")</f>
        <v/>
      </c>
      <c r="EC521" s="28" t="str">
        <f aca="false">IF(ISNUMBER(AI521),5,"")</f>
        <v/>
      </c>
      <c r="ED521" s="28" t="str">
        <f aca="false">IF(ISNUMBER(AM521),6,"")</f>
        <v/>
      </c>
      <c r="EE521" s="28" t="str">
        <f aca="false">IF(ISNUMBER(AQ521),7,"")</f>
        <v/>
      </c>
      <c r="EF521" s="28" t="str">
        <f aca="false">IF(ISNUMBER(AU521),8,"")</f>
        <v/>
      </c>
      <c r="EG521" s="28" t="str">
        <f aca="false">IF(ISNUMBER(AY521),9,"")</f>
        <v/>
      </c>
      <c r="EH521" s="28" t="str">
        <f aca="false">IF(ISNUMBER(BC521),10,"")</f>
        <v/>
      </c>
      <c r="EI521" s="28" t="str">
        <f aca="false">IF(ISNUMBER(BG521),11,"")</f>
        <v/>
      </c>
      <c r="EJ521" s="28" t="str">
        <f aca="false">IF(ISNUMBER(BK521),12,"")</f>
        <v/>
      </c>
      <c r="EK521" s="28" t="str">
        <f aca="false">IF(ISNUMBER(BO521),13,"")</f>
        <v/>
      </c>
      <c r="EL521" s="28" t="str">
        <f aca="false">IF(ISNUMBER(BS521),14,"")</f>
        <v/>
      </c>
      <c r="EM521" s="28" t="n">
        <f aca="false">IF(ISNUMBER(R521),R521*CW521,0)</f>
        <v>0</v>
      </c>
      <c r="EN521" s="28" t="n">
        <f aca="false">IF(ISNUMBER(V521),V521*CX521,0)</f>
        <v>0</v>
      </c>
      <c r="EO521" s="28" t="n">
        <f aca="false">IF(ISNUMBER(Z521),Z521*CY521,0)</f>
        <v>0</v>
      </c>
      <c r="EP521" s="28" t="n">
        <f aca="false">IF(ISNUMBER(AD521),AD521*CZ521,0)</f>
        <v>0</v>
      </c>
      <c r="EQ521" s="28" t="n">
        <f aca="false">IF(ISNUMBER(AH521),AH521*DA521,0)</f>
        <v>0</v>
      </c>
      <c r="ER521" s="28" t="n">
        <f aca="false">IF(ISNUMBER(AL521),AL521*DB521,0)</f>
        <v>0</v>
      </c>
      <c r="ES521" s="28" t="n">
        <f aca="false">IF(ISNUMBER(AP521),AP521*DC521,0)</f>
        <v>0</v>
      </c>
      <c r="ET521" s="28" t="n">
        <f aca="false">IF(ISNUMBER(AT521),AT521*DD521,0)</f>
        <v>0</v>
      </c>
      <c r="EU521" s="28" t="n">
        <f aca="false">IF(ISNUMBER(AX521),AX521*DE521,0)</f>
        <v>0</v>
      </c>
      <c r="EV521" s="28" t="n">
        <f aca="false">IF(ISNUMBER(BB521),BB521*DF521,0)</f>
        <v>0</v>
      </c>
      <c r="EW521" s="28" t="n">
        <f aca="false">IF(ISNUMBER(BF521),BF521*DG521,0)</f>
        <v>0</v>
      </c>
      <c r="EX521" s="28" t="n">
        <f aca="false">IF(ISNUMBER(BJ521),BJ521*DH521,0)</f>
        <v>0</v>
      </c>
      <c r="EY521" s="28" t="n">
        <f aca="false">IF(ISNUMBER(BN521),BN521*DI521,0)</f>
        <v>0</v>
      </c>
      <c r="EZ521" s="28" t="n">
        <f aca="false">IF(ISNUMBER(BR521),BR521*DJ521,0)</f>
        <v>0</v>
      </c>
      <c r="FA521" s="28" t="n">
        <f aca="false">IF(ISNUMBER(R521),CW521,0)</f>
        <v>0</v>
      </c>
      <c r="FB521" s="28" t="n">
        <f aca="false">IF(ISNUMBER(V521),CX521,0)</f>
        <v>0</v>
      </c>
      <c r="FC521" s="28" t="n">
        <f aca="false">IF(ISNUMBER(Z521),CY521,0)</f>
        <v>0</v>
      </c>
      <c r="FD521" s="28" t="n">
        <f aca="false">IF(ISNUMBER(AD521),CZ521,0)</f>
        <v>0</v>
      </c>
      <c r="FE521" s="28" t="n">
        <f aca="false">IF(ISNUMBER(AH521),DA521,0)</f>
        <v>0</v>
      </c>
      <c r="FF521" s="28" t="n">
        <f aca="false">IF(ISNUMBER(AL521),DB521,0)</f>
        <v>0</v>
      </c>
      <c r="FG521" s="28" t="n">
        <f aca="false">IF(ISNUMBER(AP521),DC521,0)</f>
        <v>0</v>
      </c>
      <c r="FH521" s="28" t="n">
        <f aca="false">IF(ISNUMBER(AT521),DD521,0)</f>
        <v>0</v>
      </c>
      <c r="FI521" s="28" t="n">
        <f aca="false">IF(ISNUMBER(AX521),DE521,0)</f>
        <v>0</v>
      </c>
      <c r="FJ521" s="28" t="n">
        <f aca="false">IF(ISNUMBER(BB521),DF521,0)</f>
        <v>0</v>
      </c>
      <c r="FK521" s="28" t="n">
        <f aca="false">IF(ISNUMBER(BF521),DG521,0)</f>
        <v>0</v>
      </c>
      <c r="FL521" s="28" t="n">
        <f aca="false">IF(ISNUMBER(BJ521),DH521,0)</f>
        <v>0</v>
      </c>
      <c r="FM521" s="28" t="n">
        <f aca="false">IF(ISNUMBER(BN521),DI521,0)</f>
        <v>0</v>
      </c>
      <c r="FN521" s="28" t="n">
        <f aca="false">IF(ISNUMBER(BR521),DJ521,0)</f>
        <v>0</v>
      </c>
      <c r="FO521" s="28" t="str">
        <f aca="false">IFERROR(INDEX(Lists!$G$2:$G$20,MATCH($I521&amp;"|"&amp;$J521,Lists!$F$2:$F$20,0)),"")</f>
        <v/>
      </c>
    </row>
    <row r="522" customFormat="false" ht="19.5" hidden="false" customHeight="true" outlineLevel="0" collapsed="false">
      <c r="A522" s="29"/>
      <c r="B522" s="29"/>
      <c r="C522" s="30"/>
      <c r="D522" s="30"/>
      <c r="E522" s="31"/>
      <c r="F522" s="30"/>
      <c r="G522" s="30"/>
      <c r="H522" s="32"/>
      <c r="I522" s="33"/>
      <c r="J522" s="32"/>
      <c r="K522" s="34" t="str">
        <f aca="false">IF(OR(M522="",$E522=""),"",M522-$E522)</f>
        <v/>
      </c>
      <c r="L522" s="35" t="str">
        <f aca="false">IF(SUM(FA522:FN522)=0,"",SUM(EM522:EZ522)/SUM(FA522:FN522))</f>
        <v/>
      </c>
      <c r="M522" s="36" t="str">
        <f aca="false">IF(OR(L522="",FO522=""),"",IFERROR(MATCH(L522,INDEX(Boundaries!$B$2:$I$30,MATCH(FO522,Boundaries!$A$2:$A$30,0),0),1)-1,""))</f>
        <v/>
      </c>
      <c r="N522" s="37" t="str">
        <f aca="false">IF(COUNT($DY522:$EL522)&lt;2,"",INDEX($DK522:$DX522,MAX($DY522:$EL522))-INDEX($DK522:$DX522,MIN($DY522:$EL522)))</f>
        <v/>
      </c>
      <c r="O522" s="37" t="str">
        <f aca="false">IF(COUNT($DY522:$EL522)&lt;2,"",INDEX($DK522:$DX522,MAX($DY522:$EL522))-INDEX($DK522:$DX522,LARGE($DY522:$EL522,2)))</f>
        <v/>
      </c>
      <c r="P522" s="38" t="str">
        <f aca="false">IF(K522="","",IF(K522&gt;=0,"On/above target",IF(AND(N522&lt;&gt;"",N522&gt;=0.5),"Improving towards target",IF(AND(O522&lt;&gt;"",O522&lt;=-0.5),"Declining","Stable below target"))))</f>
        <v/>
      </c>
      <c r="Q522" s="39"/>
      <c r="R522" s="40" t="str">
        <f aca="false">IF(OR(Q522="",BU522=""),"",Q522/BU522*100)</f>
        <v/>
      </c>
      <c r="S522" s="41" t="str">
        <f aca="false">IF(R522="","",IFERROR(MATCH(R522,INDEX(Boundaries!$B$2:$I$30,MATCH(CI522,Boundaries!$A$2:$A$30,0),0),1)-1,""))</f>
        <v/>
      </c>
      <c r="T522" s="42" t="str">
        <f aca="false">IF(OR(S522="",$E522=""),"",S522-$E522)</f>
        <v/>
      </c>
      <c r="U522" s="39"/>
      <c r="V522" s="40" t="str">
        <f aca="false">IF(OR(U522="",BV522=""),"",U522/BV522*100)</f>
        <v/>
      </c>
      <c r="W522" s="41" t="str">
        <f aca="false">IF(V522="","",IFERROR(MATCH(V522,INDEX(Boundaries!$B$2:$I$30,MATCH(CJ522,Boundaries!$A$2:$A$30,0),0),1)-1,""))</f>
        <v/>
      </c>
      <c r="X522" s="42" t="str">
        <f aca="false">IF(OR(W522="",$E522=""),"",W522-$E522)</f>
        <v/>
      </c>
      <c r="Y522" s="39"/>
      <c r="Z522" s="40" t="str">
        <f aca="false">IF(OR(Y522="",BW522=""),"",Y522/BW522*100)</f>
        <v/>
      </c>
      <c r="AA522" s="41" t="str">
        <f aca="false">IF(Z522="","",IFERROR(MATCH(Z522,INDEX(Boundaries!$B$2:$I$30,MATCH(CK522,Boundaries!$A$2:$A$30,0),0),1)-1,""))</f>
        <v/>
      </c>
      <c r="AB522" s="42" t="str">
        <f aca="false">IF(OR(AA522="",$E522=""),"",AA522-$E522)</f>
        <v/>
      </c>
      <c r="AC522" s="39"/>
      <c r="AD522" s="40" t="str">
        <f aca="false">IF(OR(AC522="",BX522=""),"",AC522/BX522*100)</f>
        <v/>
      </c>
      <c r="AE522" s="41" t="str">
        <f aca="false">IF(AD522="","",IFERROR(MATCH(AD522,INDEX(Boundaries!$B$2:$I$30,MATCH(CL522,Boundaries!$A$2:$A$30,0),0),1)-1,""))</f>
        <v/>
      </c>
      <c r="AF522" s="42" t="str">
        <f aca="false">IF(OR(AE522="",$E522=""),"",AE522-$E522)</f>
        <v/>
      </c>
      <c r="AG522" s="39"/>
      <c r="AH522" s="40" t="str">
        <f aca="false">IF(OR(AG522="",BY522=""),"",AG522/BY522*100)</f>
        <v/>
      </c>
      <c r="AI522" s="41" t="str">
        <f aca="false">IF(AH522="","",IFERROR(MATCH(AH522,INDEX(Boundaries!$B$2:$I$30,MATCH(CM522,Boundaries!$A$2:$A$30,0),0),1)-1,""))</f>
        <v/>
      </c>
      <c r="AJ522" s="42" t="str">
        <f aca="false">IF(OR(AI522="",$E522=""),"",AI522-$E522)</f>
        <v/>
      </c>
      <c r="AK522" s="39"/>
      <c r="AL522" s="40" t="str">
        <f aca="false">IF(OR(AK522="",BZ522=""),"",AK522/BZ522*100)</f>
        <v/>
      </c>
      <c r="AM522" s="41" t="str">
        <f aca="false">IF(AL522="","",IFERROR(MATCH(AL522,INDEX(Boundaries!$B$2:$I$30,MATCH(CN522,Boundaries!$A$2:$A$30,0),0),1)-1,""))</f>
        <v/>
      </c>
      <c r="AN522" s="42" t="str">
        <f aca="false">IF(OR(AM522="",$E522=""),"",AM522-$E522)</f>
        <v/>
      </c>
      <c r="AO522" s="39"/>
      <c r="AP522" s="40" t="str">
        <f aca="false">IF(OR(AO522="",CA522=""),"",AO522/CA522*100)</f>
        <v/>
      </c>
      <c r="AQ522" s="41" t="str">
        <f aca="false">IF(AP522="","",IFERROR(MATCH(AP522,INDEX(Boundaries!$B$2:$I$30,MATCH(CO522,Boundaries!$A$2:$A$30,0),0),1)-1,""))</f>
        <v/>
      </c>
      <c r="AR522" s="42" t="str">
        <f aca="false">IF(OR(AQ522="",$E522=""),"",AQ522-$E522)</f>
        <v/>
      </c>
      <c r="AS522" s="39"/>
      <c r="AT522" s="40" t="str">
        <f aca="false">IF(OR(AS522="",CB522=""),"",AS522/CB522*100)</f>
        <v/>
      </c>
      <c r="AU522" s="41" t="str">
        <f aca="false">IF(AT522="","",IFERROR(MATCH(AT522,INDEX(Boundaries!$B$2:$I$30,MATCH(CP522,Boundaries!$A$2:$A$30,0),0),1)-1,""))</f>
        <v/>
      </c>
      <c r="AV522" s="42" t="str">
        <f aca="false">IF(OR(AU522="",$E522=""),"",AU522-$E522)</f>
        <v/>
      </c>
      <c r="AW522" s="39"/>
      <c r="AX522" s="40" t="str">
        <f aca="false">IF(OR(AW522="",CC522=""),"",AW522/CC522*100)</f>
        <v/>
      </c>
      <c r="AY522" s="41" t="str">
        <f aca="false">IF(AX522="","",IFERROR(MATCH(AX522,INDEX(Boundaries!$B$2:$I$30,MATCH(CQ522,Boundaries!$A$2:$A$30,0),0),1)-1,""))</f>
        <v/>
      </c>
      <c r="AZ522" s="42" t="str">
        <f aca="false">IF(OR(AY522="",$E522=""),"",AY522-$E522)</f>
        <v/>
      </c>
      <c r="BA522" s="39"/>
      <c r="BB522" s="40" t="str">
        <f aca="false">IF(OR(BA522="",CD522=""),"",BA522/CD522*100)</f>
        <v/>
      </c>
      <c r="BC522" s="41" t="str">
        <f aca="false">IF(BB522="","",IFERROR(MATCH(BB522,INDEX(Boundaries!$B$2:$I$30,MATCH(CR522,Boundaries!$A$2:$A$30,0),0),1)-1,""))</f>
        <v/>
      </c>
      <c r="BD522" s="42" t="str">
        <f aca="false">IF(OR(BC522="",$E522=""),"",BC522-$E522)</f>
        <v/>
      </c>
      <c r="BE522" s="39"/>
      <c r="BF522" s="40" t="str">
        <f aca="false">IF(OR(BE522="",CE522=""),"",BE522/CE522*100)</f>
        <v/>
      </c>
      <c r="BG522" s="41" t="str">
        <f aca="false">IF(BF522="","",IFERROR(MATCH(BF522,INDEX(Boundaries!$B$2:$I$30,MATCH(CS522,Boundaries!$A$2:$A$30,0),0),1)-1,""))</f>
        <v/>
      </c>
      <c r="BH522" s="42" t="str">
        <f aca="false">IF(OR(BG522="",$E522=""),"",BG522-$E522)</f>
        <v/>
      </c>
      <c r="BI522" s="39"/>
      <c r="BJ522" s="40" t="str">
        <f aca="false">IF(OR(BI522="",CF522=""),"",BI522/CF522*100)</f>
        <v/>
      </c>
      <c r="BK522" s="41" t="str">
        <f aca="false">IF(BJ522="","",IFERROR(MATCH(BJ522,INDEX(Boundaries!$B$2:$I$30,MATCH(CT522,Boundaries!$A$2:$A$30,0),0),1)-1,""))</f>
        <v/>
      </c>
      <c r="BL522" s="42" t="str">
        <f aca="false">IF(OR(BK522="",$E522=""),"",BK522-$E522)</f>
        <v/>
      </c>
      <c r="BM522" s="39"/>
      <c r="BN522" s="40" t="str">
        <f aca="false">IF(OR(BM522="",CG522=""),"",BM522/CG522*100)</f>
        <v/>
      </c>
      <c r="BO522" s="41" t="str">
        <f aca="false">IF(BN522="","",IFERROR(MATCH(BN522,INDEX(Boundaries!$B$2:$I$30,MATCH(CU522,Boundaries!$A$2:$A$30,0),0),1)-1,""))</f>
        <v/>
      </c>
      <c r="BP522" s="42" t="str">
        <f aca="false">IF(OR(BO522="",$E522=""),"",BO522-$E522)</f>
        <v/>
      </c>
      <c r="BQ522" s="39"/>
      <c r="BR522" s="40" t="str">
        <f aca="false">IF(OR(BQ522="",CH522=""),"",BQ522/CH522*100)</f>
        <v/>
      </c>
      <c r="BS522" s="41" t="str">
        <f aca="false">IF(BR522="","",IFERROR(MATCH(BR522,INDEX(Boundaries!$B$2:$I$30,MATCH(CV522,Boundaries!$A$2:$A$30,0),0),1)-1,""))</f>
        <v/>
      </c>
      <c r="BT522" s="42" t="str">
        <f aca="false">IF(OR(BS522="",$E522=""),"",BS522-$E522)</f>
        <v/>
      </c>
      <c r="BU522" s="28" t="str">
        <f aca="false">IFERROR(INDEX(Assessments!$H$2:$H$600,MATCH($H522&amp;"|"&amp;$I522&amp;"|"&amp;$J522&amp;"|"&amp;1,Assessments!$A$2:$A$600,0)),"")</f>
        <v/>
      </c>
      <c r="BV522" s="28" t="str">
        <f aca="false">IFERROR(INDEX(Assessments!$H$2:$H$600,MATCH($H522&amp;"|"&amp;$I522&amp;"|"&amp;$J522&amp;"|"&amp;2,Assessments!$A$2:$A$600,0)),"")</f>
        <v/>
      </c>
      <c r="BW522" s="28" t="str">
        <f aca="false">IFERROR(INDEX(Assessments!$H$2:$H$600,MATCH($H522&amp;"|"&amp;$I522&amp;"|"&amp;$J522&amp;"|"&amp;3,Assessments!$A$2:$A$600,0)),"")</f>
        <v/>
      </c>
      <c r="BX522" s="28" t="str">
        <f aca="false">IFERROR(INDEX(Assessments!$H$2:$H$600,MATCH($H522&amp;"|"&amp;$I522&amp;"|"&amp;$J522&amp;"|"&amp;4,Assessments!$A$2:$A$600,0)),"")</f>
        <v/>
      </c>
      <c r="BY522" s="28" t="str">
        <f aca="false">IFERROR(INDEX(Assessments!$H$2:$H$600,MATCH($H522&amp;"|"&amp;$I522&amp;"|"&amp;$J522&amp;"|"&amp;5,Assessments!$A$2:$A$600,0)),"")</f>
        <v/>
      </c>
      <c r="BZ522" s="28" t="str">
        <f aca="false">IFERROR(INDEX(Assessments!$H$2:$H$600,MATCH($H522&amp;"|"&amp;$I522&amp;"|"&amp;$J522&amp;"|"&amp;6,Assessments!$A$2:$A$600,0)),"")</f>
        <v/>
      </c>
      <c r="CA522" s="28" t="str">
        <f aca="false">IFERROR(INDEX(Assessments!$H$2:$H$600,MATCH($H522&amp;"|"&amp;$I522&amp;"|"&amp;$J522&amp;"|"&amp;7,Assessments!$A$2:$A$600,0)),"")</f>
        <v/>
      </c>
      <c r="CB522" s="28" t="str">
        <f aca="false">IFERROR(INDEX(Assessments!$H$2:$H$600,MATCH($H522&amp;"|"&amp;$I522&amp;"|"&amp;$J522&amp;"|"&amp;8,Assessments!$A$2:$A$600,0)),"")</f>
        <v/>
      </c>
      <c r="CC522" s="28" t="str">
        <f aca="false">IFERROR(INDEX(Assessments!$H$2:$H$600,MATCH($H522&amp;"|"&amp;$I522&amp;"|"&amp;$J522&amp;"|"&amp;9,Assessments!$A$2:$A$600,0)),"")</f>
        <v/>
      </c>
      <c r="CD522" s="28" t="str">
        <f aca="false">IFERROR(INDEX(Assessments!$H$2:$H$600,MATCH($H522&amp;"|"&amp;$I522&amp;"|"&amp;$J522&amp;"|"&amp;10,Assessments!$A$2:$A$600,0)),"")</f>
        <v/>
      </c>
      <c r="CE522" s="28" t="str">
        <f aca="false">IFERROR(INDEX(Assessments!$H$2:$H$600,MATCH($H522&amp;"|"&amp;$I522&amp;"|"&amp;$J522&amp;"|"&amp;11,Assessments!$A$2:$A$600,0)),"")</f>
        <v/>
      </c>
      <c r="CF522" s="28" t="str">
        <f aca="false">IFERROR(INDEX(Assessments!$H$2:$H$600,MATCH($H522&amp;"|"&amp;$I522&amp;"|"&amp;$J522&amp;"|"&amp;12,Assessments!$A$2:$A$600,0)),"")</f>
        <v/>
      </c>
      <c r="CG522" s="28" t="str">
        <f aca="false">IFERROR(INDEX(Assessments!$H$2:$H$600,MATCH($H522&amp;"|"&amp;$I522&amp;"|"&amp;$J522&amp;"|"&amp;13,Assessments!$A$2:$A$600,0)),"")</f>
        <v/>
      </c>
      <c r="CH522" s="28" t="str">
        <f aca="false">IFERROR(INDEX(Assessments!$H$2:$H$600,MATCH($H522&amp;"|"&amp;$I522&amp;"|"&amp;$J522&amp;"|"&amp;14,Assessments!$A$2:$A$600,0)),"")</f>
        <v/>
      </c>
      <c r="CI522" s="28" t="str">
        <f aca="false">IFERROR(INDEX(Assessments!$I$2:$I$600,MATCH($H522&amp;"|"&amp;$I522&amp;"|"&amp;$J522&amp;"|"&amp;1,Assessments!$A$2:$A$600,0)),"")</f>
        <v/>
      </c>
      <c r="CJ522" s="28" t="str">
        <f aca="false">IFERROR(INDEX(Assessments!$I$2:$I$600,MATCH($H522&amp;"|"&amp;$I522&amp;"|"&amp;$J522&amp;"|"&amp;2,Assessments!$A$2:$A$600,0)),"")</f>
        <v/>
      </c>
      <c r="CK522" s="28" t="str">
        <f aca="false">IFERROR(INDEX(Assessments!$I$2:$I$600,MATCH($H522&amp;"|"&amp;$I522&amp;"|"&amp;$J522&amp;"|"&amp;3,Assessments!$A$2:$A$600,0)),"")</f>
        <v/>
      </c>
      <c r="CL522" s="28" t="str">
        <f aca="false">IFERROR(INDEX(Assessments!$I$2:$I$600,MATCH($H522&amp;"|"&amp;$I522&amp;"|"&amp;$J522&amp;"|"&amp;4,Assessments!$A$2:$A$600,0)),"")</f>
        <v/>
      </c>
      <c r="CM522" s="28" t="str">
        <f aca="false">IFERROR(INDEX(Assessments!$I$2:$I$600,MATCH($H522&amp;"|"&amp;$I522&amp;"|"&amp;$J522&amp;"|"&amp;5,Assessments!$A$2:$A$600,0)),"")</f>
        <v/>
      </c>
      <c r="CN522" s="28" t="str">
        <f aca="false">IFERROR(INDEX(Assessments!$I$2:$I$600,MATCH($H522&amp;"|"&amp;$I522&amp;"|"&amp;$J522&amp;"|"&amp;6,Assessments!$A$2:$A$600,0)),"")</f>
        <v/>
      </c>
      <c r="CO522" s="28" t="str">
        <f aca="false">IFERROR(INDEX(Assessments!$I$2:$I$600,MATCH($H522&amp;"|"&amp;$I522&amp;"|"&amp;$J522&amp;"|"&amp;7,Assessments!$A$2:$A$600,0)),"")</f>
        <v/>
      </c>
      <c r="CP522" s="28" t="str">
        <f aca="false">IFERROR(INDEX(Assessments!$I$2:$I$600,MATCH($H522&amp;"|"&amp;$I522&amp;"|"&amp;$J522&amp;"|"&amp;8,Assessments!$A$2:$A$600,0)),"")</f>
        <v/>
      </c>
      <c r="CQ522" s="28" t="str">
        <f aca="false">IFERROR(INDEX(Assessments!$I$2:$I$600,MATCH($H522&amp;"|"&amp;$I522&amp;"|"&amp;$J522&amp;"|"&amp;9,Assessments!$A$2:$A$600,0)),"")</f>
        <v/>
      </c>
      <c r="CR522" s="28" t="str">
        <f aca="false">IFERROR(INDEX(Assessments!$I$2:$I$600,MATCH($H522&amp;"|"&amp;$I522&amp;"|"&amp;$J522&amp;"|"&amp;10,Assessments!$A$2:$A$600,0)),"")</f>
        <v/>
      </c>
      <c r="CS522" s="28" t="str">
        <f aca="false">IFERROR(INDEX(Assessments!$I$2:$I$600,MATCH($H522&amp;"|"&amp;$I522&amp;"|"&amp;$J522&amp;"|"&amp;11,Assessments!$A$2:$A$600,0)),"")</f>
        <v/>
      </c>
      <c r="CT522" s="28" t="str">
        <f aca="false">IFERROR(INDEX(Assessments!$I$2:$I$600,MATCH($H522&amp;"|"&amp;$I522&amp;"|"&amp;$J522&amp;"|"&amp;12,Assessments!$A$2:$A$600,0)),"")</f>
        <v/>
      </c>
      <c r="CU522" s="28" t="str">
        <f aca="false">IFERROR(INDEX(Assessments!$I$2:$I$600,MATCH($H522&amp;"|"&amp;$I522&amp;"|"&amp;$J522&amp;"|"&amp;13,Assessments!$A$2:$A$600,0)),"")</f>
        <v/>
      </c>
      <c r="CV522" s="28" t="str">
        <f aca="false">IFERROR(INDEX(Assessments!$I$2:$I$600,MATCH($H522&amp;"|"&amp;$I522&amp;"|"&amp;$J522&amp;"|"&amp;14,Assessments!$A$2:$A$600,0)),"")</f>
        <v/>
      </c>
      <c r="CW522" s="28" t="n">
        <f aca="false">IFERROR(INDEX(Assessments!$J$2:$J$600,MATCH($H522&amp;"|"&amp;$I522&amp;"|"&amp;$J522&amp;"|"&amp;1,Assessments!$A$2:$A$600,0)),0)</f>
        <v>0</v>
      </c>
      <c r="CX522" s="28" t="n">
        <f aca="false">IFERROR(INDEX(Assessments!$J$2:$J$600,MATCH($H522&amp;"|"&amp;$I522&amp;"|"&amp;$J522&amp;"|"&amp;2,Assessments!$A$2:$A$600,0)),0)</f>
        <v>0</v>
      </c>
      <c r="CY522" s="28" t="n">
        <f aca="false">IFERROR(INDEX(Assessments!$J$2:$J$600,MATCH($H522&amp;"|"&amp;$I522&amp;"|"&amp;$J522&amp;"|"&amp;3,Assessments!$A$2:$A$600,0)),0)</f>
        <v>0</v>
      </c>
      <c r="CZ522" s="28" t="n">
        <f aca="false">IFERROR(INDEX(Assessments!$J$2:$J$600,MATCH($H522&amp;"|"&amp;$I522&amp;"|"&amp;$J522&amp;"|"&amp;4,Assessments!$A$2:$A$600,0)),0)</f>
        <v>0</v>
      </c>
      <c r="DA522" s="28" t="n">
        <f aca="false">IFERROR(INDEX(Assessments!$J$2:$J$600,MATCH($H522&amp;"|"&amp;$I522&amp;"|"&amp;$J522&amp;"|"&amp;5,Assessments!$A$2:$A$600,0)),0)</f>
        <v>0</v>
      </c>
      <c r="DB522" s="28" t="n">
        <f aca="false">IFERROR(INDEX(Assessments!$J$2:$J$600,MATCH($H522&amp;"|"&amp;$I522&amp;"|"&amp;$J522&amp;"|"&amp;6,Assessments!$A$2:$A$600,0)),0)</f>
        <v>0</v>
      </c>
      <c r="DC522" s="28" t="n">
        <f aca="false">IFERROR(INDEX(Assessments!$J$2:$J$600,MATCH($H522&amp;"|"&amp;$I522&amp;"|"&amp;$J522&amp;"|"&amp;7,Assessments!$A$2:$A$600,0)),0)</f>
        <v>0</v>
      </c>
      <c r="DD522" s="28" t="n">
        <f aca="false">IFERROR(INDEX(Assessments!$J$2:$J$600,MATCH($H522&amp;"|"&amp;$I522&amp;"|"&amp;$J522&amp;"|"&amp;8,Assessments!$A$2:$A$600,0)),0)</f>
        <v>0</v>
      </c>
      <c r="DE522" s="28" t="n">
        <f aca="false">IFERROR(INDEX(Assessments!$J$2:$J$600,MATCH($H522&amp;"|"&amp;$I522&amp;"|"&amp;$J522&amp;"|"&amp;9,Assessments!$A$2:$A$600,0)),0)</f>
        <v>0</v>
      </c>
      <c r="DF522" s="28" t="n">
        <f aca="false">IFERROR(INDEX(Assessments!$J$2:$J$600,MATCH($H522&amp;"|"&amp;$I522&amp;"|"&amp;$J522&amp;"|"&amp;10,Assessments!$A$2:$A$600,0)),0)</f>
        <v>0</v>
      </c>
      <c r="DG522" s="28" t="n">
        <f aca="false">IFERROR(INDEX(Assessments!$J$2:$J$600,MATCH($H522&amp;"|"&amp;$I522&amp;"|"&amp;$J522&amp;"|"&amp;11,Assessments!$A$2:$A$600,0)),0)</f>
        <v>0</v>
      </c>
      <c r="DH522" s="28" t="n">
        <f aca="false">IFERROR(INDEX(Assessments!$J$2:$J$600,MATCH($H522&amp;"|"&amp;$I522&amp;"|"&amp;$J522&amp;"|"&amp;12,Assessments!$A$2:$A$600,0)),0)</f>
        <v>0</v>
      </c>
      <c r="DI522" s="28" t="n">
        <f aca="false">IFERROR(INDEX(Assessments!$J$2:$J$600,MATCH($H522&amp;"|"&amp;$I522&amp;"|"&amp;$J522&amp;"|"&amp;13,Assessments!$A$2:$A$600,0)),0)</f>
        <v>0</v>
      </c>
      <c r="DJ522" s="28" t="n">
        <f aca="false">IFERROR(INDEX(Assessments!$J$2:$J$600,MATCH($H522&amp;"|"&amp;$I522&amp;"|"&amp;$J522&amp;"|"&amp;14,Assessments!$A$2:$A$600,0)),0)</f>
        <v>0</v>
      </c>
      <c r="DK522" s="28" t="str">
        <f aca="false">S522</f>
        <v/>
      </c>
      <c r="DL522" s="28" t="str">
        <f aca="false">W522</f>
        <v/>
      </c>
      <c r="DM522" s="28" t="str">
        <f aca="false">AA522</f>
        <v/>
      </c>
      <c r="DN522" s="28" t="str">
        <f aca="false">AE522</f>
        <v/>
      </c>
      <c r="DO522" s="28" t="str">
        <f aca="false">AI522</f>
        <v/>
      </c>
      <c r="DP522" s="28" t="str">
        <f aca="false">AM522</f>
        <v/>
      </c>
      <c r="DQ522" s="28" t="str">
        <f aca="false">AQ522</f>
        <v/>
      </c>
      <c r="DR522" s="28" t="str">
        <f aca="false">AU522</f>
        <v/>
      </c>
      <c r="DS522" s="28" t="str">
        <f aca="false">AY522</f>
        <v/>
      </c>
      <c r="DT522" s="28" t="str">
        <f aca="false">BC522</f>
        <v/>
      </c>
      <c r="DU522" s="28" t="str">
        <f aca="false">BG522</f>
        <v/>
      </c>
      <c r="DV522" s="28" t="str">
        <f aca="false">BK522</f>
        <v/>
      </c>
      <c r="DW522" s="28" t="str">
        <f aca="false">BO522</f>
        <v/>
      </c>
      <c r="DX522" s="28" t="str">
        <f aca="false">BS522</f>
        <v/>
      </c>
      <c r="DY522" s="28" t="str">
        <f aca="false">IF(ISNUMBER(S522),1,"")</f>
        <v/>
      </c>
      <c r="DZ522" s="28" t="str">
        <f aca="false">IF(ISNUMBER(W522),2,"")</f>
        <v/>
      </c>
      <c r="EA522" s="28" t="str">
        <f aca="false">IF(ISNUMBER(AA522),3,"")</f>
        <v/>
      </c>
      <c r="EB522" s="28" t="str">
        <f aca="false">IF(ISNUMBER(AE522),4,"")</f>
        <v/>
      </c>
      <c r="EC522" s="28" t="str">
        <f aca="false">IF(ISNUMBER(AI522),5,"")</f>
        <v/>
      </c>
      <c r="ED522" s="28" t="str">
        <f aca="false">IF(ISNUMBER(AM522),6,"")</f>
        <v/>
      </c>
      <c r="EE522" s="28" t="str">
        <f aca="false">IF(ISNUMBER(AQ522),7,"")</f>
        <v/>
      </c>
      <c r="EF522" s="28" t="str">
        <f aca="false">IF(ISNUMBER(AU522),8,"")</f>
        <v/>
      </c>
      <c r="EG522" s="28" t="str">
        <f aca="false">IF(ISNUMBER(AY522),9,"")</f>
        <v/>
      </c>
      <c r="EH522" s="28" t="str">
        <f aca="false">IF(ISNUMBER(BC522),10,"")</f>
        <v/>
      </c>
      <c r="EI522" s="28" t="str">
        <f aca="false">IF(ISNUMBER(BG522),11,"")</f>
        <v/>
      </c>
      <c r="EJ522" s="28" t="str">
        <f aca="false">IF(ISNUMBER(BK522),12,"")</f>
        <v/>
      </c>
      <c r="EK522" s="28" t="str">
        <f aca="false">IF(ISNUMBER(BO522),13,"")</f>
        <v/>
      </c>
      <c r="EL522" s="28" t="str">
        <f aca="false">IF(ISNUMBER(BS522),14,"")</f>
        <v/>
      </c>
      <c r="EM522" s="28" t="n">
        <f aca="false">IF(ISNUMBER(R522),R522*CW522,0)</f>
        <v>0</v>
      </c>
      <c r="EN522" s="28" t="n">
        <f aca="false">IF(ISNUMBER(V522),V522*CX522,0)</f>
        <v>0</v>
      </c>
      <c r="EO522" s="28" t="n">
        <f aca="false">IF(ISNUMBER(Z522),Z522*CY522,0)</f>
        <v>0</v>
      </c>
      <c r="EP522" s="28" t="n">
        <f aca="false">IF(ISNUMBER(AD522),AD522*CZ522,0)</f>
        <v>0</v>
      </c>
      <c r="EQ522" s="28" t="n">
        <f aca="false">IF(ISNUMBER(AH522),AH522*DA522,0)</f>
        <v>0</v>
      </c>
      <c r="ER522" s="28" t="n">
        <f aca="false">IF(ISNUMBER(AL522),AL522*DB522,0)</f>
        <v>0</v>
      </c>
      <c r="ES522" s="28" t="n">
        <f aca="false">IF(ISNUMBER(AP522),AP522*DC522,0)</f>
        <v>0</v>
      </c>
      <c r="ET522" s="28" t="n">
        <f aca="false">IF(ISNUMBER(AT522),AT522*DD522,0)</f>
        <v>0</v>
      </c>
      <c r="EU522" s="28" t="n">
        <f aca="false">IF(ISNUMBER(AX522),AX522*DE522,0)</f>
        <v>0</v>
      </c>
      <c r="EV522" s="28" t="n">
        <f aca="false">IF(ISNUMBER(BB522),BB522*DF522,0)</f>
        <v>0</v>
      </c>
      <c r="EW522" s="28" t="n">
        <f aca="false">IF(ISNUMBER(BF522),BF522*DG522,0)</f>
        <v>0</v>
      </c>
      <c r="EX522" s="28" t="n">
        <f aca="false">IF(ISNUMBER(BJ522),BJ522*DH522,0)</f>
        <v>0</v>
      </c>
      <c r="EY522" s="28" t="n">
        <f aca="false">IF(ISNUMBER(BN522),BN522*DI522,0)</f>
        <v>0</v>
      </c>
      <c r="EZ522" s="28" t="n">
        <f aca="false">IF(ISNUMBER(BR522),BR522*DJ522,0)</f>
        <v>0</v>
      </c>
      <c r="FA522" s="28" t="n">
        <f aca="false">IF(ISNUMBER(R522),CW522,0)</f>
        <v>0</v>
      </c>
      <c r="FB522" s="28" t="n">
        <f aca="false">IF(ISNUMBER(V522),CX522,0)</f>
        <v>0</v>
      </c>
      <c r="FC522" s="28" t="n">
        <f aca="false">IF(ISNUMBER(Z522),CY522,0)</f>
        <v>0</v>
      </c>
      <c r="FD522" s="28" t="n">
        <f aca="false">IF(ISNUMBER(AD522),CZ522,0)</f>
        <v>0</v>
      </c>
      <c r="FE522" s="28" t="n">
        <f aca="false">IF(ISNUMBER(AH522),DA522,0)</f>
        <v>0</v>
      </c>
      <c r="FF522" s="28" t="n">
        <f aca="false">IF(ISNUMBER(AL522),DB522,0)</f>
        <v>0</v>
      </c>
      <c r="FG522" s="28" t="n">
        <f aca="false">IF(ISNUMBER(AP522),DC522,0)</f>
        <v>0</v>
      </c>
      <c r="FH522" s="28" t="n">
        <f aca="false">IF(ISNUMBER(AT522),DD522,0)</f>
        <v>0</v>
      </c>
      <c r="FI522" s="28" t="n">
        <f aca="false">IF(ISNUMBER(AX522),DE522,0)</f>
        <v>0</v>
      </c>
      <c r="FJ522" s="28" t="n">
        <f aca="false">IF(ISNUMBER(BB522),DF522,0)</f>
        <v>0</v>
      </c>
      <c r="FK522" s="28" t="n">
        <f aca="false">IF(ISNUMBER(BF522),DG522,0)</f>
        <v>0</v>
      </c>
      <c r="FL522" s="28" t="n">
        <f aca="false">IF(ISNUMBER(BJ522),DH522,0)</f>
        <v>0</v>
      </c>
      <c r="FM522" s="28" t="n">
        <f aca="false">IF(ISNUMBER(BN522),DI522,0)</f>
        <v>0</v>
      </c>
      <c r="FN522" s="28" t="n">
        <f aca="false">IF(ISNUMBER(BR522),DJ522,0)</f>
        <v>0</v>
      </c>
      <c r="FO522" s="28" t="str">
        <f aca="false">IFERROR(INDEX(Lists!$G$2:$G$20,MATCH($I522&amp;"|"&amp;$J522,Lists!$F$2:$F$20,0)),"")</f>
        <v/>
      </c>
    </row>
    <row r="523" customFormat="false" ht="19.5" hidden="false" customHeight="true" outlineLevel="0" collapsed="false">
      <c r="A523" s="29"/>
      <c r="B523" s="29"/>
      <c r="C523" s="30"/>
      <c r="D523" s="30"/>
      <c r="E523" s="31"/>
      <c r="F523" s="30"/>
      <c r="G523" s="30"/>
      <c r="H523" s="32"/>
      <c r="I523" s="33"/>
      <c r="J523" s="32"/>
      <c r="K523" s="34" t="str">
        <f aca="false">IF(OR(M523="",$E523=""),"",M523-$E523)</f>
        <v/>
      </c>
      <c r="L523" s="35" t="str">
        <f aca="false">IF(SUM(FA523:FN523)=0,"",SUM(EM523:EZ523)/SUM(FA523:FN523))</f>
        <v/>
      </c>
      <c r="M523" s="36" t="str">
        <f aca="false">IF(OR(L523="",FO523=""),"",IFERROR(MATCH(L523,INDEX(Boundaries!$B$2:$I$30,MATCH(FO523,Boundaries!$A$2:$A$30,0),0),1)-1,""))</f>
        <v/>
      </c>
      <c r="N523" s="37" t="str">
        <f aca="false">IF(COUNT($DY523:$EL523)&lt;2,"",INDEX($DK523:$DX523,MAX($DY523:$EL523))-INDEX($DK523:$DX523,MIN($DY523:$EL523)))</f>
        <v/>
      </c>
      <c r="O523" s="37" t="str">
        <f aca="false">IF(COUNT($DY523:$EL523)&lt;2,"",INDEX($DK523:$DX523,MAX($DY523:$EL523))-INDEX($DK523:$DX523,LARGE($DY523:$EL523,2)))</f>
        <v/>
      </c>
      <c r="P523" s="38" t="str">
        <f aca="false">IF(K523="","",IF(K523&gt;=0,"On/above target",IF(AND(N523&lt;&gt;"",N523&gt;=0.5),"Improving towards target",IF(AND(O523&lt;&gt;"",O523&lt;=-0.5),"Declining","Stable below target"))))</f>
        <v/>
      </c>
      <c r="Q523" s="39"/>
      <c r="R523" s="40" t="str">
        <f aca="false">IF(OR(Q523="",BU523=""),"",Q523/BU523*100)</f>
        <v/>
      </c>
      <c r="S523" s="41" t="str">
        <f aca="false">IF(R523="","",IFERROR(MATCH(R523,INDEX(Boundaries!$B$2:$I$30,MATCH(CI523,Boundaries!$A$2:$A$30,0),0),1)-1,""))</f>
        <v/>
      </c>
      <c r="T523" s="42" t="str">
        <f aca="false">IF(OR(S523="",$E523=""),"",S523-$E523)</f>
        <v/>
      </c>
      <c r="U523" s="39"/>
      <c r="V523" s="40" t="str">
        <f aca="false">IF(OR(U523="",BV523=""),"",U523/BV523*100)</f>
        <v/>
      </c>
      <c r="W523" s="41" t="str">
        <f aca="false">IF(V523="","",IFERROR(MATCH(V523,INDEX(Boundaries!$B$2:$I$30,MATCH(CJ523,Boundaries!$A$2:$A$30,0),0),1)-1,""))</f>
        <v/>
      </c>
      <c r="X523" s="42" t="str">
        <f aca="false">IF(OR(W523="",$E523=""),"",W523-$E523)</f>
        <v/>
      </c>
      <c r="Y523" s="39"/>
      <c r="Z523" s="40" t="str">
        <f aca="false">IF(OR(Y523="",BW523=""),"",Y523/BW523*100)</f>
        <v/>
      </c>
      <c r="AA523" s="41" t="str">
        <f aca="false">IF(Z523="","",IFERROR(MATCH(Z523,INDEX(Boundaries!$B$2:$I$30,MATCH(CK523,Boundaries!$A$2:$A$30,0),0),1)-1,""))</f>
        <v/>
      </c>
      <c r="AB523" s="42" t="str">
        <f aca="false">IF(OR(AA523="",$E523=""),"",AA523-$E523)</f>
        <v/>
      </c>
      <c r="AC523" s="39"/>
      <c r="AD523" s="40" t="str">
        <f aca="false">IF(OR(AC523="",BX523=""),"",AC523/BX523*100)</f>
        <v/>
      </c>
      <c r="AE523" s="41" t="str">
        <f aca="false">IF(AD523="","",IFERROR(MATCH(AD523,INDEX(Boundaries!$B$2:$I$30,MATCH(CL523,Boundaries!$A$2:$A$30,0),0),1)-1,""))</f>
        <v/>
      </c>
      <c r="AF523" s="42" t="str">
        <f aca="false">IF(OR(AE523="",$E523=""),"",AE523-$E523)</f>
        <v/>
      </c>
      <c r="AG523" s="39"/>
      <c r="AH523" s="40" t="str">
        <f aca="false">IF(OR(AG523="",BY523=""),"",AG523/BY523*100)</f>
        <v/>
      </c>
      <c r="AI523" s="41" t="str">
        <f aca="false">IF(AH523="","",IFERROR(MATCH(AH523,INDEX(Boundaries!$B$2:$I$30,MATCH(CM523,Boundaries!$A$2:$A$30,0),0),1)-1,""))</f>
        <v/>
      </c>
      <c r="AJ523" s="42" t="str">
        <f aca="false">IF(OR(AI523="",$E523=""),"",AI523-$E523)</f>
        <v/>
      </c>
      <c r="AK523" s="39"/>
      <c r="AL523" s="40" t="str">
        <f aca="false">IF(OR(AK523="",BZ523=""),"",AK523/BZ523*100)</f>
        <v/>
      </c>
      <c r="AM523" s="41" t="str">
        <f aca="false">IF(AL523="","",IFERROR(MATCH(AL523,INDEX(Boundaries!$B$2:$I$30,MATCH(CN523,Boundaries!$A$2:$A$30,0),0),1)-1,""))</f>
        <v/>
      </c>
      <c r="AN523" s="42" t="str">
        <f aca="false">IF(OR(AM523="",$E523=""),"",AM523-$E523)</f>
        <v/>
      </c>
      <c r="AO523" s="39"/>
      <c r="AP523" s="40" t="str">
        <f aca="false">IF(OR(AO523="",CA523=""),"",AO523/CA523*100)</f>
        <v/>
      </c>
      <c r="AQ523" s="41" t="str">
        <f aca="false">IF(AP523="","",IFERROR(MATCH(AP523,INDEX(Boundaries!$B$2:$I$30,MATCH(CO523,Boundaries!$A$2:$A$30,0),0),1)-1,""))</f>
        <v/>
      </c>
      <c r="AR523" s="42" t="str">
        <f aca="false">IF(OR(AQ523="",$E523=""),"",AQ523-$E523)</f>
        <v/>
      </c>
      <c r="AS523" s="39"/>
      <c r="AT523" s="40" t="str">
        <f aca="false">IF(OR(AS523="",CB523=""),"",AS523/CB523*100)</f>
        <v/>
      </c>
      <c r="AU523" s="41" t="str">
        <f aca="false">IF(AT523="","",IFERROR(MATCH(AT523,INDEX(Boundaries!$B$2:$I$30,MATCH(CP523,Boundaries!$A$2:$A$30,0),0),1)-1,""))</f>
        <v/>
      </c>
      <c r="AV523" s="42" t="str">
        <f aca="false">IF(OR(AU523="",$E523=""),"",AU523-$E523)</f>
        <v/>
      </c>
      <c r="AW523" s="39"/>
      <c r="AX523" s="40" t="str">
        <f aca="false">IF(OR(AW523="",CC523=""),"",AW523/CC523*100)</f>
        <v/>
      </c>
      <c r="AY523" s="41" t="str">
        <f aca="false">IF(AX523="","",IFERROR(MATCH(AX523,INDEX(Boundaries!$B$2:$I$30,MATCH(CQ523,Boundaries!$A$2:$A$30,0),0),1)-1,""))</f>
        <v/>
      </c>
      <c r="AZ523" s="42" t="str">
        <f aca="false">IF(OR(AY523="",$E523=""),"",AY523-$E523)</f>
        <v/>
      </c>
      <c r="BA523" s="39"/>
      <c r="BB523" s="40" t="str">
        <f aca="false">IF(OR(BA523="",CD523=""),"",BA523/CD523*100)</f>
        <v/>
      </c>
      <c r="BC523" s="41" t="str">
        <f aca="false">IF(BB523="","",IFERROR(MATCH(BB523,INDEX(Boundaries!$B$2:$I$30,MATCH(CR523,Boundaries!$A$2:$A$30,0),0),1)-1,""))</f>
        <v/>
      </c>
      <c r="BD523" s="42" t="str">
        <f aca="false">IF(OR(BC523="",$E523=""),"",BC523-$E523)</f>
        <v/>
      </c>
      <c r="BE523" s="39"/>
      <c r="BF523" s="40" t="str">
        <f aca="false">IF(OR(BE523="",CE523=""),"",BE523/CE523*100)</f>
        <v/>
      </c>
      <c r="BG523" s="41" t="str">
        <f aca="false">IF(BF523="","",IFERROR(MATCH(BF523,INDEX(Boundaries!$B$2:$I$30,MATCH(CS523,Boundaries!$A$2:$A$30,0),0),1)-1,""))</f>
        <v/>
      </c>
      <c r="BH523" s="42" t="str">
        <f aca="false">IF(OR(BG523="",$E523=""),"",BG523-$E523)</f>
        <v/>
      </c>
      <c r="BI523" s="39"/>
      <c r="BJ523" s="40" t="str">
        <f aca="false">IF(OR(BI523="",CF523=""),"",BI523/CF523*100)</f>
        <v/>
      </c>
      <c r="BK523" s="41" t="str">
        <f aca="false">IF(BJ523="","",IFERROR(MATCH(BJ523,INDEX(Boundaries!$B$2:$I$30,MATCH(CT523,Boundaries!$A$2:$A$30,0),0),1)-1,""))</f>
        <v/>
      </c>
      <c r="BL523" s="42" t="str">
        <f aca="false">IF(OR(BK523="",$E523=""),"",BK523-$E523)</f>
        <v/>
      </c>
      <c r="BM523" s="39"/>
      <c r="BN523" s="40" t="str">
        <f aca="false">IF(OR(BM523="",CG523=""),"",BM523/CG523*100)</f>
        <v/>
      </c>
      <c r="BO523" s="41" t="str">
        <f aca="false">IF(BN523="","",IFERROR(MATCH(BN523,INDEX(Boundaries!$B$2:$I$30,MATCH(CU523,Boundaries!$A$2:$A$30,0),0),1)-1,""))</f>
        <v/>
      </c>
      <c r="BP523" s="42" t="str">
        <f aca="false">IF(OR(BO523="",$E523=""),"",BO523-$E523)</f>
        <v/>
      </c>
      <c r="BQ523" s="39"/>
      <c r="BR523" s="40" t="str">
        <f aca="false">IF(OR(BQ523="",CH523=""),"",BQ523/CH523*100)</f>
        <v/>
      </c>
      <c r="BS523" s="41" t="str">
        <f aca="false">IF(BR523="","",IFERROR(MATCH(BR523,INDEX(Boundaries!$B$2:$I$30,MATCH(CV523,Boundaries!$A$2:$A$30,0),0),1)-1,""))</f>
        <v/>
      </c>
      <c r="BT523" s="42" t="str">
        <f aca="false">IF(OR(BS523="",$E523=""),"",BS523-$E523)</f>
        <v/>
      </c>
      <c r="BU523" s="28" t="str">
        <f aca="false">IFERROR(INDEX(Assessments!$H$2:$H$600,MATCH($H523&amp;"|"&amp;$I523&amp;"|"&amp;$J523&amp;"|"&amp;1,Assessments!$A$2:$A$600,0)),"")</f>
        <v/>
      </c>
      <c r="BV523" s="28" t="str">
        <f aca="false">IFERROR(INDEX(Assessments!$H$2:$H$600,MATCH($H523&amp;"|"&amp;$I523&amp;"|"&amp;$J523&amp;"|"&amp;2,Assessments!$A$2:$A$600,0)),"")</f>
        <v/>
      </c>
      <c r="BW523" s="28" t="str">
        <f aca="false">IFERROR(INDEX(Assessments!$H$2:$H$600,MATCH($H523&amp;"|"&amp;$I523&amp;"|"&amp;$J523&amp;"|"&amp;3,Assessments!$A$2:$A$600,0)),"")</f>
        <v/>
      </c>
      <c r="BX523" s="28" t="str">
        <f aca="false">IFERROR(INDEX(Assessments!$H$2:$H$600,MATCH($H523&amp;"|"&amp;$I523&amp;"|"&amp;$J523&amp;"|"&amp;4,Assessments!$A$2:$A$600,0)),"")</f>
        <v/>
      </c>
      <c r="BY523" s="28" t="str">
        <f aca="false">IFERROR(INDEX(Assessments!$H$2:$H$600,MATCH($H523&amp;"|"&amp;$I523&amp;"|"&amp;$J523&amp;"|"&amp;5,Assessments!$A$2:$A$600,0)),"")</f>
        <v/>
      </c>
      <c r="BZ523" s="28" t="str">
        <f aca="false">IFERROR(INDEX(Assessments!$H$2:$H$600,MATCH($H523&amp;"|"&amp;$I523&amp;"|"&amp;$J523&amp;"|"&amp;6,Assessments!$A$2:$A$600,0)),"")</f>
        <v/>
      </c>
      <c r="CA523" s="28" t="str">
        <f aca="false">IFERROR(INDEX(Assessments!$H$2:$H$600,MATCH($H523&amp;"|"&amp;$I523&amp;"|"&amp;$J523&amp;"|"&amp;7,Assessments!$A$2:$A$600,0)),"")</f>
        <v/>
      </c>
      <c r="CB523" s="28" t="str">
        <f aca="false">IFERROR(INDEX(Assessments!$H$2:$H$600,MATCH($H523&amp;"|"&amp;$I523&amp;"|"&amp;$J523&amp;"|"&amp;8,Assessments!$A$2:$A$600,0)),"")</f>
        <v/>
      </c>
      <c r="CC523" s="28" t="str">
        <f aca="false">IFERROR(INDEX(Assessments!$H$2:$H$600,MATCH($H523&amp;"|"&amp;$I523&amp;"|"&amp;$J523&amp;"|"&amp;9,Assessments!$A$2:$A$600,0)),"")</f>
        <v/>
      </c>
      <c r="CD523" s="28" t="str">
        <f aca="false">IFERROR(INDEX(Assessments!$H$2:$H$600,MATCH($H523&amp;"|"&amp;$I523&amp;"|"&amp;$J523&amp;"|"&amp;10,Assessments!$A$2:$A$600,0)),"")</f>
        <v/>
      </c>
      <c r="CE523" s="28" t="str">
        <f aca="false">IFERROR(INDEX(Assessments!$H$2:$H$600,MATCH($H523&amp;"|"&amp;$I523&amp;"|"&amp;$J523&amp;"|"&amp;11,Assessments!$A$2:$A$600,0)),"")</f>
        <v/>
      </c>
      <c r="CF523" s="28" t="str">
        <f aca="false">IFERROR(INDEX(Assessments!$H$2:$H$600,MATCH($H523&amp;"|"&amp;$I523&amp;"|"&amp;$J523&amp;"|"&amp;12,Assessments!$A$2:$A$600,0)),"")</f>
        <v/>
      </c>
      <c r="CG523" s="28" t="str">
        <f aca="false">IFERROR(INDEX(Assessments!$H$2:$H$600,MATCH($H523&amp;"|"&amp;$I523&amp;"|"&amp;$J523&amp;"|"&amp;13,Assessments!$A$2:$A$600,0)),"")</f>
        <v/>
      </c>
      <c r="CH523" s="28" t="str">
        <f aca="false">IFERROR(INDEX(Assessments!$H$2:$H$600,MATCH($H523&amp;"|"&amp;$I523&amp;"|"&amp;$J523&amp;"|"&amp;14,Assessments!$A$2:$A$600,0)),"")</f>
        <v/>
      </c>
      <c r="CI523" s="28" t="str">
        <f aca="false">IFERROR(INDEX(Assessments!$I$2:$I$600,MATCH($H523&amp;"|"&amp;$I523&amp;"|"&amp;$J523&amp;"|"&amp;1,Assessments!$A$2:$A$600,0)),"")</f>
        <v/>
      </c>
      <c r="CJ523" s="28" t="str">
        <f aca="false">IFERROR(INDEX(Assessments!$I$2:$I$600,MATCH($H523&amp;"|"&amp;$I523&amp;"|"&amp;$J523&amp;"|"&amp;2,Assessments!$A$2:$A$600,0)),"")</f>
        <v/>
      </c>
      <c r="CK523" s="28" t="str">
        <f aca="false">IFERROR(INDEX(Assessments!$I$2:$I$600,MATCH($H523&amp;"|"&amp;$I523&amp;"|"&amp;$J523&amp;"|"&amp;3,Assessments!$A$2:$A$600,0)),"")</f>
        <v/>
      </c>
      <c r="CL523" s="28" t="str">
        <f aca="false">IFERROR(INDEX(Assessments!$I$2:$I$600,MATCH($H523&amp;"|"&amp;$I523&amp;"|"&amp;$J523&amp;"|"&amp;4,Assessments!$A$2:$A$600,0)),"")</f>
        <v/>
      </c>
      <c r="CM523" s="28" t="str">
        <f aca="false">IFERROR(INDEX(Assessments!$I$2:$I$600,MATCH($H523&amp;"|"&amp;$I523&amp;"|"&amp;$J523&amp;"|"&amp;5,Assessments!$A$2:$A$600,0)),"")</f>
        <v/>
      </c>
      <c r="CN523" s="28" t="str">
        <f aca="false">IFERROR(INDEX(Assessments!$I$2:$I$600,MATCH($H523&amp;"|"&amp;$I523&amp;"|"&amp;$J523&amp;"|"&amp;6,Assessments!$A$2:$A$600,0)),"")</f>
        <v/>
      </c>
      <c r="CO523" s="28" t="str">
        <f aca="false">IFERROR(INDEX(Assessments!$I$2:$I$600,MATCH($H523&amp;"|"&amp;$I523&amp;"|"&amp;$J523&amp;"|"&amp;7,Assessments!$A$2:$A$600,0)),"")</f>
        <v/>
      </c>
      <c r="CP523" s="28" t="str">
        <f aca="false">IFERROR(INDEX(Assessments!$I$2:$I$600,MATCH($H523&amp;"|"&amp;$I523&amp;"|"&amp;$J523&amp;"|"&amp;8,Assessments!$A$2:$A$600,0)),"")</f>
        <v/>
      </c>
      <c r="CQ523" s="28" t="str">
        <f aca="false">IFERROR(INDEX(Assessments!$I$2:$I$600,MATCH($H523&amp;"|"&amp;$I523&amp;"|"&amp;$J523&amp;"|"&amp;9,Assessments!$A$2:$A$600,0)),"")</f>
        <v/>
      </c>
      <c r="CR523" s="28" t="str">
        <f aca="false">IFERROR(INDEX(Assessments!$I$2:$I$600,MATCH($H523&amp;"|"&amp;$I523&amp;"|"&amp;$J523&amp;"|"&amp;10,Assessments!$A$2:$A$600,0)),"")</f>
        <v/>
      </c>
      <c r="CS523" s="28" t="str">
        <f aca="false">IFERROR(INDEX(Assessments!$I$2:$I$600,MATCH($H523&amp;"|"&amp;$I523&amp;"|"&amp;$J523&amp;"|"&amp;11,Assessments!$A$2:$A$600,0)),"")</f>
        <v/>
      </c>
      <c r="CT523" s="28" t="str">
        <f aca="false">IFERROR(INDEX(Assessments!$I$2:$I$600,MATCH($H523&amp;"|"&amp;$I523&amp;"|"&amp;$J523&amp;"|"&amp;12,Assessments!$A$2:$A$600,0)),"")</f>
        <v/>
      </c>
      <c r="CU523" s="28" t="str">
        <f aca="false">IFERROR(INDEX(Assessments!$I$2:$I$600,MATCH($H523&amp;"|"&amp;$I523&amp;"|"&amp;$J523&amp;"|"&amp;13,Assessments!$A$2:$A$600,0)),"")</f>
        <v/>
      </c>
      <c r="CV523" s="28" t="str">
        <f aca="false">IFERROR(INDEX(Assessments!$I$2:$I$600,MATCH($H523&amp;"|"&amp;$I523&amp;"|"&amp;$J523&amp;"|"&amp;14,Assessments!$A$2:$A$600,0)),"")</f>
        <v/>
      </c>
      <c r="CW523" s="28" t="n">
        <f aca="false">IFERROR(INDEX(Assessments!$J$2:$J$600,MATCH($H523&amp;"|"&amp;$I523&amp;"|"&amp;$J523&amp;"|"&amp;1,Assessments!$A$2:$A$600,0)),0)</f>
        <v>0</v>
      </c>
      <c r="CX523" s="28" t="n">
        <f aca="false">IFERROR(INDEX(Assessments!$J$2:$J$600,MATCH($H523&amp;"|"&amp;$I523&amp;"|"&amp;$J523&amp;"|"&amp;2,Assessments!$A$2:$A$600,0)),0)</f>
        <v>0</v>
      </c>
      <c r="CY523" s="28" t="n">
        <f aca="false">IFERROR(INDEX(Assessments!$J$2:$J$600,MATCH($H523&amp;"|"&amp;$I523&amp;"|"&amp;$J523&amp;"|"&amp;3,Assessments!$A$2:$A$600,0)),0)</f>
        <v>0</v>
      </c>
      <c r="CZ523" s="28" t="n">
        <f aca="false">IFERROR(INDEX(Assessments!$J$2:$J$600,MATCH($H523&amp;"|"&amp;$I523&amp;"|"&amp;$J523&amp;"|"&amp;4,Assessments!$A$2:$A$600,0)),0)</f>
        <v>0</v>
      </c>
      <c r="DA523" s="28" t="n">
        <f aca="false">IFERROR(INDEX(Assessments!$J$2:$J$600,MATCH($H523&amp;"|"&amp;$I523&amp;"|"&amp;$J523&amp;"|"&amp;5,Assessments!$A$2:$A$600,0)),0)</f>
        <v>0</v>
      </c>
      <c r="DB523" s="28" t="n">
        <f aca="false">IFERROR(INDEX(Assessments!$J$2:$J$600,MATCH($H523&amp;"|"&amp;$I523&amp;"|"&amp;$J523&amp;"|"&amp;6,Assessments!$A$2:$A$600,0)),0)</f>
        <v>0</v>
      </c>
      <c r="DC523" s="28" t="n">
        <f aca="false">IFERROR(INDEX(Assessments!$J$2:$J$600,MATCH($H523&amp;"|"&amp;$I523&amp;"|"&amp;$J523&amp;"|"&amp;7,Assessments!$A$2:$A$600,0)),0)</f>
        <v>0</v>
      </c>
      <c r="DD523" s="28" t="n">
        <f aca="false">IFERROR(INDEX(Assessments!$J$2:$J$600,MATCH($H523&amp;"|"&amp;$I523&amp;"|"&amp;$J523&amp;"|"&amp;8,Assessments!$A$2:$A$600,0)),0)</f>
        <v>0</v>
      </c>
      <c r="DE523" s="28" t="n">
        <f aca="false">IFERROR(INDEX(Assessments!$J$2:$J$600,MATCH($H523&amp;"|"&amp;$I523&amp;"|"&amp;$J523&amp;"|"&amp;9,Assessments!$A$2:$A$600,0)),0)</f>
        <v>0</v>
      </c>
      <c r="DF523" s="28" t="n">
        <f aca="false">IFERROR(INDEX(Assessments!$J$2:$J$600,MATCH($H523&amp;"|"&amp;$I523&amp;"|"&amp;$J523&amp;"|"&amp;10,Assessments!$A$2:$A$600,0)),0)</f>
        <v>0</v>
      </c>
      <c r="DG523" s="28" t="n">
        <f aca="false">IFERROR(INDEX(Assessments!$J$2:$J$600,MATCH($H523&amp;"|"&amp;$I523&amp;"|"&amp;$J523&amp;"|"&amp;11,Assessments!$A$2:$A$600,0)),0)</f>
        <v>0</v>
      </c>
      <c r="DH523" s="28" t="n">
        <f aca="false">IFERROR(INDEX(Assessments!$J$2:$J$600,MATCH($H523&amp;"|"&amp;$I523&amp;"|"&amp;$J523&amp;"|"&amp;12,Assessments!$A$2:$A$600,0)),0)</f>
        <v>0</v>
      </c>
      <c r="DI523" s="28" t="n">
        <f aca="false">IFERROR(INDEX(Assessments!$J$2:$J$600,MATCH($H523&amp;"|"&amp;$I523&amp;"|"&amp;$J523&amp;"|"&amp;13,Assessments!$A$2:$A$600,0)),0)</f>
        <v>0</v>
      </c>
      <c r="DJ523" s="28" t="n">
        <f aca="false">IFERROR(INDEX(Assessments!$J$2:$J$600,MATCH($H523&amp;"|"&amp;$I523&amp;"|"&amp;$J523&amp;"|"&amp;14,Assessments!$A$2:$A$600,0)),0)</f>
        <v>0</v>
      </c>
      <c r="DK523" s="28" t="str">
        <f aca="false">S523</f>
        <v/>
      </c>
      <c r="DL523" s="28" t="str">
        <f aca="false">W523</f>
        <v/>
      </c>
      <c r="DM523" s="28" t="str">
        <f aca="false">AA523</f>
        <v/>
      </c>
      <c r="DN523" s="28" t="str">
        <f aca="false">AE523</f>
        <v/>
      </c>
      <c r="DO523" s="28" t="str">
        <f aca="false">AI523</f>
        <v/>
      </c>
      <c r="DP523" s="28" t="str">
        <f aca="false">AM523</f>
        <v/>
      </c>
      <c r="DQ523" s="28" t="str">
        <f aca="false">AQ523</f>
        <v/>
      </c>
      <c r="DR523" s="28" t="str">
        <f aca="false">AU523</f>
        <v/>
      </c>
      <c r="DS523" s="28" t="str">
        <f aca="false">AY523</f>
        <v/>
      </c>
      <c r="DT523" s="28" t="str">
        <f aca="false">BC523</f>
        <v/>
      </c>
      <c r="DU523" s="28" t="str">
        <f aca="false">BG523</f>
        <v/>
      </c>
      <c r="DV523" s="28" t="str">
        <f aca="false">BK523</f>
        <v/>
      </c>
      <c r="DW523" s="28" t="str">
        <f aca="false">BO523</f>
        <v/>
      </c>
      <c r="DX523" s="28" t="str">
        <f aca="false">BS523</f>
        <v/>
      </c>
      <c r="DY523" s="28" t="str">
        <f aca="false">IF(ISNUMBER(S523),1,"")</f>
        <v/>
      </c>
      <c r="DZ523" s="28" t="str">
        <f aca="false">IF(ISNUMBER(W523),2,"")</f>
        <v/>
      </c>
      <c r="EA523" s="28" t="str">
        <f aca="false">IF(ISNUMBER(AA523),3,"")</f>
        <v/>
      </c>
      <c r="EB523" s="28" t="str">
        <f aca="false">IF(ISNUMBER(AE523),4,"")</f>
        <v/>
      </c>
      <c r="EC523" s="28" t="str">
        <f aca="false">IF(ISNUMBER(AI523),5,"")</f>
        <v/>
      </c>
      <c r="ED523" s="28" t="str">
        <f aca="false">IF(ISNUMBER(AM523),6,"")</f>
        <v/>
      </c>
      <c r="EE523" s="28" t="str">
        <f aca="false">IF(ISNUMBER(AQ523),7,"")</f>
        <v/>
      </c>
      <c r="EF523" s="28" t="str">
        <f aca="false">IF(ISNUMBER(AU523),8,"")</f>
        <v/>
      </c>
      <c r="EG523" s="28" t="str">
        <f aca="false">IF(ISNUMBER(AY523),9,"")</f>
        <v/>
      </c>
      <c r="EH523" s="28" t="str">
        <f aca="false">IF(ISNUMBER(BC523),10,"")</f>
        <v/>
      </c>
      <c r="EI523" s="28" t="str">
        <f aca="false">IF(ISNUMBER(BG523),11,"")</f>
        <v/>
      </c>
      <c r="EJ523" s="28" t="str">
        <f aca="false">IF(ISNUMBER(BK523),12,"")</f>
        <v/>
      </c>
      <c r="EK523" s="28" t="str">
        <f aca="false">IF(ISNUMBER(BO523),13,"")</f>
        <v/>
      </c>
      <c r="EL523" s="28" t="str">
        <f aca="false">IF(ISNUMBER(BS523),14,"")</f>
        <v/>
      </c>
      <c r="EM523" s="28" t="n">
        <f aca="false">IF(ISNUMBER(R523),R523*CW523,0)</f>
        <v>0</v>
      </c>
      <c r="EN523" s="28" t="n">
        <f aca="false">IF(ISNUMBER(V523),V523*CX523,0)</f>
        <v>0</v>
      </c>
      <c r="EO523" s="28" t="n">
        <f aca="false">IF(ISNUMBER(Z523),Z523*CY523,0)</f>
        <v>0</v>
      </c>
      <c r="EP523" s="28" t="n">
        <f aca="false">IF(ISNUMBER(AD523),AD523*CZ523,0)</f>
        <v>0</v>
      </c>
      <c r="EQ523" s="28" t="n">
        <f aca="false">IF(ISNUMBER(AH523),AH523*DA523,0)</f>
        <v>0</v>
      </c>
      <c r="ER523" s="28" t="n">
        <f aca="false">IF(ISNUMBER(AL523),AL523*DB523,0)</f>
        <v>0</v>
      </c>
      <c r="ES523" s="28" t="n">
        <f aca="false">IF(ISNUMBER(AP523),AP523*DC523,0)</f>
        <v>0</v>
      </c>
      <c r="ET523" s="28" t="n">
        <f aca="false">IF(ISNUMBER(AT523),AT523*DD523,0)</f>
        <v>0</v>
      </c>
      <c r="EU523" s="28" t="n">
        <f aca="false">IF(ISNUMBER(AX523),AX523*DE523,0)</f>
        <v>0</v>
      </c>
      <c r="EV523" s="28" t="n">
        <f aca="false">IF(ISNUMBER(BB523),BB523*DF523,0)</f>
        <v>0</v>
      </c>
      <c r="EW523" s="28" t="n">
        <f aca="false">IF(ISNUMBER(BF523),BF523*DG523,0)</f>
        <v>0</v>
      </c>
      <c r="EX523" s="28" t="n">
        <f aca="false">IF(ISNUMBER(BJ523),BJ523*DH523,0)</f>
        <v>0</v>
      </c>
      <c r="EY523" s="28" t="n">
        <f aca="false">IF(ISNUMBER(BN523),BN523*DI523,0)</f>
        <v>0</v>
      </c>
      <c r="EZ523" s="28" t="n">
        <f aca="false">IF(ISNUMBER(BR523),BR523*DJ523,0)</f>
        <v>0</v>
      </c>
      <c r="FA523" s="28" t="n">
        <f aca="false">IF(ISNUMBER(R523),CW523,0)</f>
        <v>0</v>
      </c>
      <c r="FB523" s="28" t="n">
        <f aca="false">IF(ISNUMBER(V523),CX523,0)</f>
        <v>0</v>
      </c>
      <c r="FC523" s="28" t="n">
        <f aca="false">IF(ISNUMBER(Z523),CY523,0)</f>
        <v>0</v>
      </c>
      <c r="FD523" s="28" t="n">
        <f aca="false">IF(ISNUMBER(AD523),CZ523,0)</f>
        <v>0</v>
      </c>
      <c r="FE523" s="28" t="n">
        <f aca="false">IF(ISNUMBER(AH523),DA523,0)</f>
        <v>0</v>
      </c>
      <c r="FF523" s="28" t="n">
        <f aca="false">IF(ISNUMBER(AL523),DB523,0)</f>
        <v>0</v>
      </c>
      <c r="FG523" s="28" t="n">
        <f aca="false">IF(ISNUMBER(AP523),DC523,0)</f>
        <v>0</v>
      </c>
      <c r="FH523" s="28" t="n">
        <f aca="false">IF(ISNUMBER(AT523),DD523,0)</f>
        <v>0</v>
      </c>
      <c r="FI523" s="28" t="n">
        <f aca="false">IF(ISNUMBER(AX523),DE523,0)</f>
        <v>0</v>
      </c>
      <c r="FJ523" s="28" t="n">
        <f aca="false">IF(ISNUMBER(BB523),DF523,0)</f>
        <v>0</v>
      </c>
      <c r="FK523" s="28" t="n">
        <f aca="false">IF(ISNUMBER(BF523),DG523,0)</f>
        <v>0</v>
      </c>
      <c r="FL523" s="28" t="n">
        <f aca="false">IF(ISNUMBER(BJ523),DH523,0)</f>
        <v>0</v>
      </c>
      <c r="FM523" s="28" t="n">
        <f aca="false">IF(ISNUMBER(BN523),DI523,0)</f>
        <v>0</v>
      </c>
      <c r="FN523" s="28" t="n">
        <f aca="false">IF(ISNUMBER(BR523),DJ523,0)</f>
        <v>0</v>
      </c>
      <c r="FO523" s="28" t="str">
        <f aca="false">IFERROR(INDEX(Lists!$G$2:$G$20,MATCH($I523&amp;"|"&amp;$J523,Lists!$F$2:$F$20,0)),"")</f>
        <v/>
      </c>
    </row>
    <row r="524" customFormat="false" ht="19.5" hidden="false" customHeight="true" outlineLevel="0" collapsed="false">
      <c r="A524" s="29"/>
      <c r="B524" s="29"/>
      <c r="C524" s="30"/>
      <c r="D524" s="30"/>
      <c r="E524" s="31"/>
      <c r="F524" s="30"/>
      <c r="G524" s="30"/>
      <c r="H524" s="32"/>
      <c r="I524" s="33"/>
      <c r="J524" s="32"/>
      <c r="K524" s="34" t="str">
        <f aca="false">IF(OR(M524="",$E524=""),"",M524-$E524)</f>
        <v/>
      </c>
      <c r="L524" s="35" t="str">
        <f aca="false">IF(SUM(FA524:FN524)=0,"",SUM(EM524:EZ524)/SUM(FA524:FN524))</f>
        <v/>
      </c>
      <c r="M524" s="36" t="str">
        <f aca="false">IF(OR(L524="",FO524=""),"",IFERROR(MATCH(L524,INDEX(Boundaries!$B$2:$I$30,MATCH(FO524,Boundaries!$A$2:$A$30,0),0),1)-1,""))</f>
        <v/>
      </c>
      <c r="N524" s="37" t="str">
        <f aca="false">IF(COUNT($DY524:$EL524)&lt;2,"",INDEX($DK524:$DX524,MAX($DY524:$EL524))-INDEX($DK524:$DX524,MIN($DY524:$EL524)))</f>
        <v/>
      </c>
      <c r="O524" s="37" t="str">
        <f aca="false">IF(COUNT($DY524:$EL524)&lt;2,"",INDEX($DK524:$DX524,MAX($DY524:$EL524))-INDEX($DK524:$DX524,LARGE($DY524:$EL524,2)))</f>
        <v/>
      </c>
      <c r="P524" s="38" t="str">
        <f aca="false">IF(K524="","",IF(K524&gt;=0,"On/above target",IF(AND(N524&lt;&gt;"",N524&gt;=0.5),"Improving towards target",IF(AND(O524&lt;&gt;"",O524&lt;=-0.5),"Declining","Stable below target"))))</f>
        <v/>
      </c>
      <c r="Q524" s="39"/>
      <c r="R524" s="40" t="str">
        <f aca="false">IF(OR(Q524="",BU524=""),"",Q524/BU524*100)</f>
        <v/>
      </c>
      <c r="S524" s="41" t="str">
        <f aca="false">IF(R524="","",IFERROR(MATCH(R524,INDEX(Boundaries!$B$2:$I$30,MATCH(CI524,Boundaries!$A$2:$A$30,0),0),1)-1,""))</f>
        <v/>
      </c>
      <c r="T524" s="42" t="str">
        <f aca="false">IF(OR(S524="",$E524=""),"",S524-$E524)</f>
        <v/>
      </c>
      <c r="U524" s="39"/>
      <c r="V524" s="40" t="str">
        <f aca="false">IF(OR(U524="",BV524=""),"",U524/BV524*100)</f>
        <v/>
      </c>
      <c r="W524" s="41" t="str">
        <f aca="false">IF(V524="","",IFERROR(MATCH(V524,INDEX(Boundaries!$B$2:$I$30,MATCH(CJ524,Boundaries!$A$2:$A$30,0),0),1)-1,""))</f>
        <v/>
      </c>
      <c r="X524" s="42" t="str">
        <f aca="false">IF(OR(W524="",$E524=""),"",W524-$E524)</f>
        <v/>
      </c>
      <c r="Y524" s="39"/>
      <c r="Z524" s="40" t="str">
        <f aca="false">IF(OR(Y524="",BW524=""),"",Y524/BW524*100)</f>
        <v/>
      </c>
      <c r="AA524" s="41" t="str">
        <f aca="false">IF(Z524="","",IFERROR(MATCH(Z524,INDEX(Boundaries!$B$2:$I$30,MATCH(CK524,Boundaries!$A$2:$A$30,0),0),1)-1,""))</f>
        <v/>
      </c>
      <c r="AB524" s="42" t="str">
        <f aca="false">IF(OR(AA524="",$E524=""),"",AA524-$E524)</f>
        <v/>
      </c>
      <c r="AC524" s="39"/>
      <c r="AD524" s="40" t="str">
        <f aca="false">IF(OR(AC524="",BX524=""),"",AC524/BX524*100)</f>
        <v/>
      </c>
      <c r="AE524" s="41" t="str">
        <f aca="false">IF(AD524="","",IFERROR(MATCH(AD524,INDEX(Boundaries!$B$2:$I$30,MATCH(CL524,Boundaries!$A$2:$A$30,0),0),1)-1,""))</f>
        <v/>
      </c>
      <c r="AF524" s="42" t="str">
        <f aca="false">IF(OR(AE524="",$E524=""),"",AE524-$E524)</f>
        <v/>
      </c>
      <c r="AG524" s="39"/>
      <c r="AH524" s="40" t="str">
        <f aca="false">IF(OR(AG524="",BY524=""),"",AG524/BY524*100)</f>
        <v/>
      </c>
      <c r="AI524" s="41" t="str">
        <f aca="false">IF(AH524="","",IFERROR(MATCH(AH524,INDEX(Boundaries!$B$2:$I$30,MATCH(CM524,Boundaries!$A$2:$A$30,0),0),1)-1,""))</f>
        <v/>
      </c>
      <c r="AJ524" s="42" t="str">
        <f aca="false">IF(OR(AI524="",$E524=""),"",AI524-$E524)</f>
        <v/>
      </c>
      <c r="AK524" s="39"/>
      <c r="AL524" s="40" t="str">
        <f aca="false">IF(OR(AK524="",BZ524=""),"",AK524/BZ524*100)</f>
        <v/>
      </c>
      <c r="AM524" s="41" t="str">
        <f aca="false">IF(AL524="","",IFERROR(MATCH(AL524,INDEX(Boundaries!$B$2:$I$30,MATCH(CN524,Boundaries!$A$2:$A$30,0),0),1)-1,""))</f>
        <v/>
      </c>
      <c r="AN524" s="42" t="str">
        <f aca="false">IF(OR(AM524="",$E524=""),"",AM524-$E524)</f>
        <v/>
      </c>
      <c r="AO524" s="39"/>
      <c r="AP524" s="40" t="str">
        <f aca="false">IF(OR(AO524="",CA524=""),"",AO524/CA524*100)</f>
        <v/>
      </c>
      <c r="AQ524" s="41" t="str">
        <f aca="false">IF(AP524="","",IFERROR(MATCH(AP524,INDEX(Boundaries!$B$2:$I$30,MATCH(CO524,Boundaries!$A$2:$A$30,0),0),1)-1,""))</f>
        <v/>
      </c>
      <c r="AR524" s="42" t="str">
        <f aca="false">IF(OR(AQ524="",$E524=""),"",AQ524-$E524)</f>
        <v/>
      </c>
      <c r="AS524" s="39"/>
      <c r="AT524" s="40" t="str">
        <f aca="false">IF(OR(AS524="",CB524=""),"",AS524/CB524*100)</f>
        <v/>
      </c>
      <c r="AU524" s="41" t="str">
        <f aca="false">IF(AT524="","",IFERROR(MATCH(AT524,INDEX(Boundaries!$B$2:$I$30,MATCH(CP524,Boundaries!$A$2:$A$30,0),0),1)-1,""))</f>
        <v/>
      </c>
      <c r="AV524" s="42" t="str">
        <f aca="false">IF(OR(AU524="",$E524=""),"",AU524-$E524)</f>
        <v/>
      </c>
      <c r="AW524" s="39"/>
      <c r="AX524" s="40" t="str">
        <f aca="false">IF(OR(AW524="",CC524=""),"",AW524/CC524*100)</f>
        <v/>
      </c>
      <c r="AY524" s="41" t="str">
        <f aca="false">IF(AX524="","",IFERROR(MATCH(AX524,INDEX(Boundaries!$B$2:$I$30,MATCH(CQ524,Boundaries!$A$2:$A$30,0),0),1)-1,""))</f>
        <v/>
      </c>
      <c r="AZ524" s="42" t="str">
        <f aca="false">IF(OR(AY524="",$E524=""),"",AY524-$E524)</f>
        <v/>
      </c>
      <c r="BA524" s="39"/>
      <c r="BB524" s="40" t="str">
        <f aca="false">IF(OR(BA524="",CD524=""),"",BA524/CD524*100)</f>
        <v/>
      </c>
      <c r="BC524" s="41" t="str">
        <f aca="false">IF(BB524="","",IFERROR(MATCH(BB524,INDEX(Boundaries!$B$2:$I$30,MATCH(CR524,Boundaries!$A$2:$A$30,0),0),1)-1,""))</f>
        <v/>
      </c>
      <c r="BD524" s="42" t="str">
        <f aca="false">IF(OR(BC524="",$E524=""),"",BC524-$E524)</f>
        <v/>
      </c>
      <c r="BE524" s="39"/>
      <c r="BF524" s="40" t="str">
        <f aca="false">IF(OR(BE524="",CE524=""),"",BE524/CE524*100)</f>
        <v/>
      </c>
      <c r="BG524" s="41" t="str">
        <f aca="false">IF(BF524="","",IFERROR(MATCH(BF524,INDEX(Boundaries!$B$2:$I$30,MATCH(CS524,Boundaries!$A$2:$A$30,0),0),1)-1,""))</f>
        <v/>
      </c>
      <c r="BH524" s="42" t="str">
        <f aca="false">IF(OR(BG524="",$E524=""),"",BG524-$E524)</f>
        <v/>
      </c>
      <c r="BI524" s="39"/>
      <c r="BJ524" s="40" t="str">
        <f aca="false">IF(OR(BI524="",CF524=""),"",BI524/CF524*100)</f>
        <v/>
      </c>
      <c r="BK524" s="41" t="str">
        <f aca="false">IF(BJ524="","",IFERROR(MATCH(BJ524,INDEX(Boundaries!$B$2:$I$30,MATCH(CT524,Boundaries!$A$2:$A$30,0),0),1)-1,""))</f>
        <v/>
      </c>
      <c r="BL524" s="42" t="str">
        <f aca="false">IF(OR(BK524="",$E524=""),"",BK524-$E524)</f>
        <v/>
      </c>
      <c r="BM524" s="39"/>
      <c r="BN524" s="40" t="str">
        <f aca="false">IF(OR(BM524="",CG524=""),"",BM524/CG524*100)</f>
        <v/>
      </c>
      <c r="BO524" s="41" t="str">
        <f aca="false">IF(BN524="","",IFERROR(MATCH(BN524,INDEX(Boundaries!$B$2:$I$30,MATCH(CU524,Boundaries!$A$2:$A$30,0),0),1)-1,""))</f>
        <v/>
      </c>
      <c r="BP524" s="42" t="str">
        <f aca="false">IF(OR(BO524="",$E524=""),"",BO524-$E524)</f>
        <v/>
      </c>
      <c r="BQ524" s="39"/>
      <c r="BR524" s="40" t="str">
        <f aca="false">IF(OR(BQ524="",CH524=""),"",BQ524/CH524*100)</f>
        <v/>
      </c>
      <c r="BS524" s="41" t="str">
        <f aca="false">IF(BR524="","",IFERROR(MATCH(BR524,INDEX(Boundaries!$B$2:$I$30,MATCH(CV524,Boundaries!$A$2:$A$30,0),0),1)-1,""))</f>
        <v/>
      </c>
      <c r="BT524" s="42" t="str">
        <f aca="false">IF(OR(BS524="",$E524=""),"",BS524-$E524)</f>
        <v/>
      </c>
      <c r="BU524" s="28" t="str">
        <f aca="false">IFERROR(INDEX(Assessments!$H$2:$H$600,MATCH($H524&amp;"|"&amp;$I524&amp;"|"&amp;$J524&amp;"|"&amp;1,Assessments!$A$2:$A$600,0)),"")</f>
        <v/>
      </c>
      <c r="BV524" s="28" t="str">
        <f aca="false">IFERROR(INDEX(Assessments!$H$2:$H$600,MATCH($H524&amp;"|"&amp;$I524&amp;"|"&amp;$J524&amp;"|"&amp;2,Assessments!$A$2:$A$600,0)),"")</f>
        <v/>
      </c>
      <c r="BW524" s="28" t="str">
        <f aca="false">IFERROR(INDEX(Assessments!$H$2:$H$600,MATCH($H524&amp;"|"&amp;$I524&amp;"|"&amp;$J524&amp;"|"&amp;3,Assessments!$A$2:$A$600,0)),"")</f>
        <v/>
      </c>
      <c r="BX524" s="28" t="str">
        <f aca="false">IFERROR(INDEX(Assessments!$H$2:$H$600,MATCH($H524&amp;"|"&amp;$I524&amp;"|"&amp;$J524&amp;"|"&amp;4,Assessments!$A$2:$A$600,0)),"")</f>
        <v/>
      </c>
      <c r="BY524" s="28" t="str">
        <f aca="false">IFERROR(INDEX(Assessments!$H$2:$H$600,MATCH($H524&amp;"|"&amp;$I524&amp;"|"&amp;$J524&amp;"|"&amp;5,Assessments!$A$2:$A$600,0)),"")</f>
        <v/>
      </c>
      <c r="BZ524" s="28" t="str">
        <f aca="false">IFERROR(INDEX(Assessments!$H$2:$H$600,MATCH($H524&amp;"|"&amp;$I524&amp;"|"&amp;$J524&amp;"|"&amp;6,Assessments!$A$2:$A$600,0)),"")</f>
        <v/>
      </c>
      <c r="CA524" s="28" t="str">
        <f aca="false">IFERROR(INDEX(Assessments!$H$2:$H$600,MATCH($H524&amp;"|"&amp;$I524&amp;"|"&amp;$J524&amp;"|"&amp;7,Assessments!$A$2:$A$600,0)),"")</f>
        <v/>
      </c>
      <c r="CB524" s="28" t="str">
        <f aca="false">IFERROR(INDEX(Assessments!$H$2:$H$600,MATCH($H524&amp;"|"&amp;$I524&amp;"|"&amp;$J524&amp;"|"&amp;8,Assessments!$A$2:$A$600,0)),"")</f>
        <v/>
      </c>
      <c r="CC524" s="28" t="str">
        <f aca="false">IFERROR(INDEX(Assessments!$H$2:$H$600,MATCH($H524&amp;"|"&amp;$I524&amp;"|"&amp;$J524&amp;"|"&amp;9,Assessments!$A$2:$A$600,0)),"")</f>
        <v/>
      </c>
      <c r="CD524" s="28" t="str">
        <f aca="false">IFERROR(INDEX(Assessments!$H$2:$H$600,MATCH($H524&amp;"|"&amp;$I524&amp;"|"&amp;$J524&amp;"|"&amp;10,Assessments!$A$2:$A$600,0)),"")</f>
        <v/>
      </c>
      <c r="CE524" s="28" t="str">
        <f aca="false">IFERROR(INDEX(Assessments!$H$2:$H$600,MATCH($H524&amp;"|"&amp;$I524&amp;"|"&amp;$J524&amp;"|"&amp;11,Assessments!$A$2:$A$600,0)),"")</f>
        <v/>
      </c>
      <c r="CF524" s="28" t="str">
        <f aca="false">IFERROR(INDEX(Assessments!$H$2:$H$600,MATCH($H524&amp;"|"&amp;$I524&amp;"|"&amp;$J524&amp;"|"&amp;12,Assessments!$A$2:$A$600,0)),"")</f>
        <v/>
      </c>
      <c r="CG524" s="28" t="str">
        <f aca="false">IFERROR(INDEX(Assessments!$H$2:$H$600,MATCH($H524&amp;"|"&amp;$I524&amp;"|"&amp;$J524&amp;"|"&amp;13,Assessments!$A$2:$A$600,0)),"")</f>
        <v/>
      </c>
      <c r="CH524" s="28" t="str">
        <f aca="false">IFERROR(INDEX(Assessments!$H$2:$H$600,MATCH($H524&amp;"|"&amp;$I524&amp;"|"&amp;$J524&amp;"|"&amp;14,Assessments!$A$2:$A$600,0)),"")</f>
        <v/>
      </c>
      <c r="CI524" s="28" t="str">
        <f aca="false">IFERROR(INDEX(Assessments!$I$2:$I$600,MATCH($H524&amp;"|"&amp;$I524&amp;"|"&amp;$J524&amp;"|"&amp;1,Assessments!$A$2:$A$600,0)),"")</f>
        <v/>
      </c>
      <c r="CJ524" s="28" t="str">
        <f aca="false">IFERROR(INDEX(Assessments!$I$2:$I$600,MATCH($H524&amp;"|"&amp;$I524&amp;"|"&amp;$J524&amp;"|"&amp;2,Assessments!$A$2:$A$600,0)),"")</f>
        <v/>
      </c>
      <c r="CK524" s="28" t="str">
        <f aca="false">IFERROR(INDEX(Assessments!$I$2:$I$600,MATCH($H524&amp;"|"&amp;$I524&amp;"|"&amp;$J524&amp;"|"&amp;3,Assessments!$A$2:$A$600,0)),"")</f>
        <v/>
      </c>
      <c r="CL524" s="28" t="str">
        <f aca="false">IFERROR(INDEX(Assessments!$I$2:$I$600,MATCH($H524&amp;"|"&amp;$I524&amp;"|"&amp;$J524&amp;"|"&amp;4,Assessments!$A$2:$A$600,0)),"")</f>
        <v/>
      </c>
      <c r="CM524" s="28" t="str">
        <f aca="false">IFERROR(INDEX(Assessments!$I$2:$I$600,MATCH($H524&amp;"|"&amp;$I524&amp;"|"&amp;$J524&amp;"|"&amp;5,Assessments!$A$2:$A$600,0)),"")</f>
        <v/>
      </c>
      <c r="CN524" s="28" t="str">
        <f aca="false">IFERROR(INDEX(Assessments!$I$2:$I$600,MATCH($H524&amp;"|"&amp;$I524&amp;"|"&amp;$J524&amp;"|"&amp;6,Assessments!$A$2:$A$600,0)),"")</f>
        <v/>
      </c>
      <c r="CO524" s="28" t="str">
        <f aca="false">IFERROR(INDEX(Assessments!$I$2:$I$600,MATCH($H524&amp;"|"&amp;$I524&amp;"|"&amp;$J524&amp;"|"&amp;7,Assessments!$A$2:$A$600,0)),"")</f>
        <v/>
      </c>
      <c r="CP524" s="28" t="str">
        <f aca="false">IFERROR(INDEX(Assessments!$I$2:$I$600,MATCH($H524&amp;"|"&amp;$I524&amp;"|"&amp;$J524&amp;"|"&amp;8,Assessments!$A$2:$A$600,0)),"")</f>
        <v/>
      </c>
      <c r="CQ524" s="28" t="str">
        <f aca="false">IFERROR(INDEX(Assessments!$I$2:$I$600,MATCH($H524&amp;"|"&amp;$I524&amp;"|"&amp;$J524&amp;"|"&amp;9,Assessments!$A$2:$A$600,0)),"")</f>
        <v/>
      </c>
      <c r="CR524" s="28" t="str">
        <f aca="false">IFERROR(INDEX(Assessments!$I$2:$I$600,MATCH($H524&amp;"|"&amp;$I524&amp;"|"&amp;$J524&amp;"|"&amp;10,Assessments!$A$2:$A$600,0)),"")</f>
        <v/>
      </c>
      <c r="CS524" s="28" t="str">
        <f aca="false">IFERROR(INDEX(Assessments!$I$2:$I$600,MATCH($H524&amp;"|"&amp;$I524&amp;"|"&amp;$J524&amp;"|"&amp;11,Assessments!$A$2:$A$600,0)),"")</f>
        <v/>
      </c>
      <c r="CT524" s="28" t="str">
        <f aca="false">IFERROR(INDEX(Assessments!$I$2:$I$600,MATCH($H524&amp;"|"&amp;$I524&amp;"|"&amp;$J524&amp;"|"&amp;12,Assessments!$A$2:$A$600,0)),"")</f>
        <v/>
      </c>
      <c r="CU524" s="28" t="str">
        <f aca="false">IFERROR(INDEX(Assessments!$I$2:$I$600,MATCH($H524&amp;"|"&amp;$I524&amp;"|"&amp;$J524&amp;"|"&amp;13,Assessments!$A$2:$A$600,0)),"")</f>
        <v/>
      </c>
      <c r="CV524" s="28" t="str">
        <f aca="false">IFERROR(INDEX(Assessments!$I$2:$I$600,MATCH($H524&amp;"|"&amp;$I524&amp;"|"&amp;$J524&amp;"|"&amp;14,Assessments!$A$2:$A$600,0)),"")</f>
        <v/>
      </c>
      <c r="CW524" s="28" t="n">
        <f aca="false">IFERROR(INDEX(Assessments!$J$2:$J$600,MATCH($H524&amp;"|"&amp;$I524&amp;"|"&amp;$J524&amp;"|"&amp;1,Assessments!$A$2:$A$600,0)),0)</f>
        <v>0</v>
      </c>
      <c r="CX524" s="28" t="n">
        <f aca="false">IFERROR(INDEX(Assessments!$J$2:$J$600,MATCH($H524&amp;"|"&amp;$I524&amp;"|"&amp;$J524&amp;"|"&amp;2,Assessments!$A$2:$A$600,0)),0)</f>
        <v>0</v>
      </c>
      <c r="CY524" s="28" t="n">
        <f aca="false">IFERROR(INDEX(Assessments!$J$2:$J$600,MATCH($H524&amp;"|"&amp;$I524&amp;"|"&amp;$J524&amp;"|"&amp;3,Assessments!$A$2:$A$600,0)),0)</f>
        <v>0</v>
      </c>
      <c r="CZ524" s="28" t="n">
        <f aca="false">IFERROR(INDEX(Assessments!$J$2:$J$600,MATCH($H524&amp;"|"&amp;$I524&amp;"|"&amp;$J524&amp;"|"&amp;4,Assessments!$A$2:$A$600,0)),0)</f>
        <v>0</v>
      </c>
      <c r="DA524" s="28" t="n">
        <f aca="false">IFERROR(INDEX(Assessments!$J$2:$J$600,MATCH($H524&amp;"|"&amp;$I524&amp;"|"&amp;$J524&amp;"|"&amp;5,Assessments!$A$2:$A$600,0)),0)</f>
        <v>0</v>
      </c>
      <c r="DB524" s="28" t="n">
        <f aca="false">IFERROR(INDEX(Assessments!$J$2:$J$600,MATCH($H524&amp;"|"&amp;$I524&amp;"|"&amp;$J524&amp;"|"&amp;6,Assessments!$A$2:$A$600,0)),0)</f>
        <v>0</v>
      </c>
      <c r="DC524" s="28" t="n">
        <f aca="false">IFERROR(INDEX(Assessments!$J$2:$J$600,MATCH($H524&amp;"|"&amp;$I524&amp;"|"&amp;$J524&amp;"|"&amp;7,Assessments!$A$2:$A$600,0)),0)</f>
        <v>0</v>
      </c>
      <c r="DD524" s="28" t="n">
        <f aca="false">IFERROR(INDEX(Assessments!$J$2:$J$600,MATCH($H524&amp;"|"&amp;$I524&amp;"|"&amp;$J524&amp;"|"&amp;8,Assessments!$A$2:$A$600,0)),0)</f>
        <v>0</v>
      </c>
      <c r="DE524" s="28" t="n">
        <f aca="false">IFERROR(INDEX(Assessments!$J$2:$J$600,MATCH($H524&amp;"|"&amp;$I524&amp;"|"&amp;$J524&amp;"|"&amp;9,Assessments!$A$2:$A$600,0)),0)</f>
        <v>0</v>
      </c>
      <c r="DF524" s="28" t="n">
        <f aca="false">IFERROR(INDEX(Assessments!$J$2:$J$600,MATCH($H524&amp;"|"&amp;$I524&amp;"|"&amp;$J524&amp;"|"&amp;10,Assessments!$A$2:$A$600,0)),0)</f>
        <v>0</v>
      </c>
      <c r="DG524" s="28" t="n">
        <f aca="false">IFERROR(INDEX(Assessments!$J$2:$J$600,MATCH($H524&amp;"|"&amp;$I524&amp;"|"&amp;$J524&amp;"|"&amp;11,Assessments!$A$2:$A$600,0)),0)</f>
        <v>0</v>
      </c>
      <c r="DH524" s="28" t="n">
        <f aca="false">IFERROR(INDEX(Assessments!$J$2:$J$600,MATCH($H524&amp;"|"&amp;$I524&amp;"|"&amp;$J524&amp;"|"&amp;12,Assessments!$A$2:$A$600,0)),0)</f>
        <v>0</v>
      </c>
      <c r="DI524" s="28" t="n">
        <f aca="false">IFERROR(INDEX(Assessments!$J$2:$J$600,MATCH($H524&amp;"|"&amp;$I524&amp;"|"&amp;$J524&amp;"|"&amp;13,Assessments!$A$2:$A$600,0)),0)</f>
        <v>0</v>
      </c>
      <c r="DJ524" s="28" t="n">
        <f aca="false">IFERROR(INDEX(Assessments!$J$2:$J$600,MATCH($H524&amp;"|"&amp;$I524&amp;"|"&amp;$J524&amp;"|"&amp;14,Assessments!$A$2:$A$600,0)),0)</f>
        <v>0</v>
      </c>
      <c r="DK524" s="28" t="str">
        <f aca="false">S524</f>
        <v/>
      </c>
      <c r="DL524" s="28" t="str">
        <f aca="false">W524</f>
        <v/>
      </c>
      <c r="DM524" s="28" t="str">
        <f aca="false">AA524</f>
        <v/>
      </c>
      <c r="DN524" s="28" t="str">
        <f aca="false">AE524</f>
        <v/>
      </c>
      <c r="DO524" s="28" t="str">
        <f aca="false">AI524</f>
        <v/>
      </c>
      <c r="DP524" s="28" t="str">
        <f aca="false">AM524</f>
        <v/>
      </c>
      <c r="DQ524" s="28" t="str">
        <f aca="false">AQ524</f>
        <v/>
      </c>
      <c r="DR524" s="28" t="str">
        <f aca="false">AU524</f>
        <v/>
      </c>
      <c r="DS524" s="28" t="str">
        <f aca="false">AY524</f>
        <v/>
      </c>
      <c r="DT524" s="28" t="str">
        <f aca="false">BC524</f>
        <v/>
      </c>
      <c r="DU524" s="28" t="str">
        <f aca="false">BG524</f>
        <v/>
      </c>
      <c r="DV524" s="28" t="str">
        <f aca="false">BK524</f>
        <v/>
      </c>
      <c r="DW524" s="28" t="str">
        <f aca="false">BO524</f>
        <v/>
      </c>
      <c r="DX524" s="28" t="str">
        <f aca="false">BS524</f>
        <v/>
      </c>
      <c r="DY524" s="28" t="str">
        <f aca="false">IF(ISNUMBER(S524),1,"")</f>
        <v/>
      </c>
      <c r="DZ524" s="28" t="str">
        <f aca="false">IF(ISNUMBER(W524),2,"")</f>
        <v/>
      </c>
      <c r="EA524" s="28" t="str">
        <f aca="false">IF(ISNUMBER(AA524),3,"")</f>
        <v/>
      </c>
      <c r="EB524" s="28" t="str">
        <f aca="false">IF(ISNUMBER(AE524),4,"")</f>
        <v/>
      </c>
      <c r="EC524" s="28" t="str">
        <f aca="false">IF(ISNUMBER(AI524),5,"")</f>
        <v/>
      </c>
      <c r="ED524" s="28" t="str">
        <f aca="false">IF(ISNUMBER(AM524),6,"")</f>
        <v/>
      </c>
      <c r="EE524" s="28" t="str">
        <f aca="false">IF(ISNUMBER(AQ524),7,"")</f>
        <v/>
      </c>
      <c r="EF524" s="28" t="str">
        <f aca="false">IF(ISNUMBER(AU524),8,"")</f>
        <v/>
      </c>
      <c r="EG524" s="28" t="str">
        <f aca="false">IF(ISNUMBER(AY524),9,"")</f>
        <v/>
      </c>
      <c r="EH524" s="28" t="str">
        <f aca="false">IF(ISNUMBER(BC524),10,"")</f>
        <v/>
      </c>
      <c r="EI524" s="28" t="str">
        <f aca="false">IF(ISNUMBER(BG524),11,"")</f>
        <v/>
      </c>
      <c r="EJ524" s="28" t="str">
        <f aca="false">IF(ISNUMBER(BK524),12,"")</f>
        <v/>
      </c>
      <c r="EK524" s="28" t="str">
        <f aca="false">IF(ISNUMBER(BO524),13,"")</f>
        <v/>
      </c>
      <c r="EL524" s="28" t="str">
        <f aca="false">IF(ISNUMBER(BS524),14,"")</f>
        <v/>
      </c>
      <c r="EM524" s="28" t="n">
        <f aca="false">IF(ISNUMBER(R524),R524*CW524,0)</f>
        <v>0</v>
      </c>
      <c r="EN524" s="28" t="n">
        <f aca="false">IF(ISNUMBER(V524),V524*CX524,0)</f>
        <v>0</v>
      </c>
      <c r="EO524" s="28" t="n">
        <f aca="false">IF(ISNUMBER(Z524),Z524*CY524,0)</f>
        <v>0</v>
      </c>
      <c r="EP524" s="28" t="n">
        <f aca="false">IF(ISNUMBER(AD524),AD524*CZ524,0)</f>
        <v>0</v>
      </c>
      <c r="EQ524" s="28" t="n">
        <f aca="false">IF(ISNUMBER(AH524),AH524*DA524,0)</f>
        <v>0</v>
      </c>
      <c r="ER524" s="28" t="n">
        <f aca="false">IF(ISNUMBER(AL524),AL524*DB524,0)</f>
        <v>0</v>
      </c>
      <c r="ES524" s="28" t="n">
        <f aca="false">IF(ISNUMBER(AP524),AP524*DC524,0)</f>
        <v>0</v>
      </c>
      <c r="ET524" s="28" t="n">
        <f aca="false">IF(ISNUMBER(AT524),AT524*DD524,0)</f>
        <v>0</v>
      </c>
      <c r="EU524" s="28" t="n">
        <f aca="false">IF(ISNUMBER(AX524),AX524*DE524,0)</f>
        <v>0</v>
      </c>
      <c r="EV524" s="28" t="n">
        <f aca="false">IF(ISNUMBER(BB524),BB524*DF524,0)</f>
        <v>0</v>
      </c>
      <c r="EW524" s="28" t="n">
        <f aca="false">IF(ISNUMBER(BF524),BF524*DG524,0)</f>
        <v>0</v>
      </c>
      <c r="EX524" s="28" t="n">
        <f aca="false">IF(ISNUMBER(BJ524),BJ524*DH524,0)</f>
        <v>0</v>
      </c>
      <c r="EY524" s="28" t="n">
        <f aca="false">IF(ISNUMBER(BN524),BN524*DI524,0)</f>
        <v>0</v>
      </c>
      <c r="EZ524" s="28" t="n">
        <f aca="false">IF(ISNUMBER(BR524),BR524*DJ524,0)</f>
        <v>0</v>
      </c>
      <c r="FA524" s="28" t="n">
        <f aca="false">IF(ISNUMBER(R524),CW524,0)</f>
        <v>0</v>
      </c>
      <c r="FB524" s="28" t="n">
        <f aca="false">IF(ISNUMBER(V524),CX524,0)</f>
        <v>0</v>
      </c>
      <c r="FC524" s="28" t="n">
        <f aca="false">IF(ISNUMBER(Z524),CY524,0)</f>
        <v>0</v>
      </c>
      <c r="FD524" s="28" t="n">
        <f aca="false">IF(ISNUMBER(AD524),CZ524,0)</f>
        <v>0</v>
      </c>
      <c r="FE524" s="28" t="n">
        <f aca="false">IF(ISNUMBER(AH524),DA524,0)</f>
        <v>0</v>
      </c>
      <c r="FF524" s="28" t="n">
        <f aca="false">IF(ISNUMBER(AL524),DB524,0)</f>
        <v>0</v>
      </c>
      <c r="FG524" s="28" t="n">
        <f aca="false">IF(ISNUMBER(AP524),DC524,0)</f>
        <v>0</v>
      </c>
      <c r="FH524" s="28" t="n">
        <f aca="false">IF(ISNUMBER(AT524),DD524,0)</f>
        <v>0</v>
      </c>
      <c r="FI524" s="28" t="n">
        <f aca="false">IF(ISNUMBER(AX524),DE524,0)</f>
        <v>0</v>
      </c>
      <c r="FJ524" s="28" t="n">
        <f aca="false">IF(ISNUMBER(BB524),DF524,0)</f>
        <v>0</v>
      </c>
      <c r="FK524" s="28" t="n">
        <f aca="false">IF(ISNUMBER(BF524),DG524,0)</f>
        <v>0</v>
      </c>
      <c r="FL524" s="28" t="n">
        <f aca="false">IF(ISNUMBER(BJ524),DH524,0)</f>
        <v>0</v>
      </c>
      <c r="FM524" s="28" t="n">
        <f aca="false">IF(ISNUMBER(BN524),DI524,0)</f>
        <v>0</v>
      </c>
      <c r="FN524" s="28" t="n">
        <f aca="false">IF(ISNUMBER(BR524),DJ524,0)</f>
        <v>0</v>
      </c>
      <c r="FO524" s="28" t="str">
        <f aca="false">IFERROR(INDEX(Lists!$G$2:$G$20,MATCH($I524&amp;"|"&amp;$J524,Lists!$F$2:$F$20,0)),"")</f>
        <v/>
      </c>
    </row>
    <row r="525" customFormat="false" ht="19.5" hidden="false" customHeight="true" outlineLevel="0" collapsed="false">
      <c r="A525" s="29"/>
      <c r="B525" s="29"/>
      <c r="C525" s="30"/>
      <c r="D525" s="30"/>
      <c r="E525" s="31"/>
      <c r="F525" s="30"/>
      <c r="G525" s="30"/>
      <c r="H525" s="32"/>
      <c r="I525" s="33"/>
      <c r="J525" s="32"/>
      <c r="K525" s="34" t="str">
        <f aca="false">IF(OR(M525="",$E525=""),"",M525-$E525)</f>
        <v/>
      </c>
      <c r="L525" s="35" t="str">
        <f aca="false">IF(SUM(FA525:FN525)=0,"",SUM(EM525:EZ525)/SUM(FA525:FN525))</f>
        <v/>
      </c>
      <c r="M525" s="36" t="str">
        <f aca="false">IF(OR(L525="",FO525=""),"",IFERROR(MATCH(L525,INDEX(Boundaries!$B$2:$I$30,MATCH(FO525,Boundaries!$A$2:$A$30,0),0),1)-1,""))</f>
        <v/>
      </c>
      <c r="N525" s="37" t="str">
        <f aca="false">IF(COUNT($DY525:$EL525)&lt;2,"",INDEX($DK525:$DX525,MAX($DY525:$EL525))-INDEX($DK525:$DX525,MIN($DY525:$EL525)))</f>
        <v/>
      </c>
      <c r="O525" s="37" t="str">
        <f aca="false">IF(COUNT($DY525:$EL525)&lt;2,"",INDEX($DK525:$DX525,MAX($DY525:$EL525))-INDEX($DK525:$DX525,LARGE($DY525:$EL525,2)))</f>
        <v/>
      </c>
      <c r="P525" s="38" t="str">
        <f aca="false">IF(K525="","",IF(K525&gt;=0,"On/above target",IF(AND(N525&lt;&gt;"",N525&gt;=0.5),"Improving towards target",IF(AND(O525&lt;&gt;"",O525&lt;=-0.5),"Declining","Stable below target"))))</f>
        <v/>
      </c>
      <c r="Q525" s="39"/>
      <c r="R525" s="40" t="str">
        <f aca="false">IF(OR(Q525="",BU525=""),"",Q525/BU525*100)</f>
        <v/>
      </c>
      <c r="S525" s="41" t="str">
        <f aca="false">IF(R525="","",IFERROR(MATCH(R525,INDEX(Boundaries!$B$2:$I$30,MATCH(CI525,Boundaries!$A$2:$A$30,0),0),1)-1,""))</f>
        <v/>
      </c>
      <c r="T525" s="42" t="str">
        <f aca="false">IF(OR(S525="",$E525=""),"",S525-$E525)</f>
        <v/>
      </c>
      <c r="U525" s="39"/>
      <c r="V525" s="40" t="str">
        <f aca="false">IF(OR(U525="",BV525=""),"",U525/BV525*100)</f>
        <v/>
      </c>
      <c r="W525" s="41" t="str">
        <f aca="false">IF(V525="","",IFERROR(MATCH(V525,INDEX(Boundaries!$B$2:$I$30,MATCH(CJ525,Boundaries!$A$2:$A$30,0),0),1)-1,""))</f>
        <v/>
      </c>
      <c r="X525" s="42" t="str">
        <f aca="false">IF(OR(W525="",$E525=""),"",W525-$E525)</f>
        <v/>
      </c>
      <c r="Y525" s="39"/>
      <c r="Z525" s="40" t="str">
        <f aca="false">IF(OR(Y525="",BW525=""),"",Y525/BW525*100)</f>
        <v/>
      </c>
      <c r="AA525" s="41" t="str">
        <f aca="false">IF(Z525="","",IFERROR(MATCH(Z525,INDEX(Boundaries!$B$2:$I$30,MATCH(CK525,Boundaries!$A$2:$A$30,0),0),1)-1,""))</f>
        <v/>
      </c>
      <c r="AB525" s="42" t="str">
        <f aca="false">IF(OR(AA525="",$E525=""),"",AA525-$E525)</f>
        <v/>
      </c>
      <c r="AC525" s="39"/>
      <c r="AD525" s="40" t="str">
        <f aca="false">IF(OR(AC525="",BX525=""),"",AC525/BX525*100)</f>
        <v/>
      </c>
      <c r="AE525" s="41" t="str">
        <f aca="false">IF(AD525="","",IFERROR(MATCH(AD525,INDEX(Boundaries!$B$2:$I$30,MATCH(CL525,Boundaries!$A$2:$A$30,0),0),1)-1,""))</f>
        <v/>
      </c>
      <c r="AF525" s="42" t="str">
        <f aca="false">IF(OR(AE525="",$E525=""),"",AE525-$E525)</f>
        <v/>
      </c>
      <c r="AG525" s="39"/>
      <c r="AH525" s="40" t="str">
        <f aca="false">IF(OR(AG525="",BY525=""),"",AG525/BY525*100)</f>
        <v/>
      </c>
      <c r="AI525" s="41" t="str">
        <f aca="false">IF(AH525="","",IFERROR(MATCH(AH525,INDEX(Boundaries!$B$2:$I$30,MATCH(CM525,Boundaries!$A$2:$A$30,0),0),1)-1,""))</f>
        <v/>
      </c>
      <c r="AJ525" s="42" t="str">
        <f aca="false">IF(OR(AI525="",$E525=""),"",AI525-$E525)</f>
        <v/>
      </c>
      <c r="AK525" s="39"/>
      <c r="AL525" s="40" t="str">
        <f aca="false">IF(OR(AK525="",BZ525=""),"",AK525/BZ525*100)</f>
        <v/>
      </c>
      <c r="AM525" s="41" t="str">
        <f aca="false">IF(AL525="","",IFERROR(MATCH(AL525,INDEX(Boundaries!$B$2:$I$30,MATCH(CN525,Boundaries!$A$2:$A$30,0),0),1)-1,""))</f>
        <v/>
      </c>
      <c r="AN525" s="42" t="str">
        <f aca="false">IF(OR(AM525="",$E525=""),"",AM525-$E525)</f>
        <v/>
      </c>
      <c r="AO525" s="39"/>
      <c r="AP525" s="40" t="str">
        <f aca="false">IF(OR(AO525="",CA525=""),"",AO525/CA525*100)</f>
        <v/>
      </c>
      <c r="AQ525" s="41" t="str">
        <f aca="false">IF(AP525="","",IFERROR(MATCH(AP525,INDEX(Boundaries!$B$2:$I$30,MATCH(CO525,Boundaries!$A$2:$A$30,0),0),1)-1,""))</f>
        <v/>
      </c>
      <c r="AR525" s="42" t="str">
        <f aca="false">IF(OR(AQ525="",$E525=""),"",AQ525-$E525)</f>
        <v/>
      </c>
      <c r="AS525" s="39"/>
      <c r="AT525" s="40" t="str">
        <f aca="false">IF(OR(AS525="",CB525=""),"",AS525/CB525*100)</f>
        <v/>
      </c>
      <c r="AU525" s="41" t="str">
        <f aca="false">IF(AT525="","",IFERROR(MATCH(AT525,INDEX(Boundaries!$B$2:$I$30,MATCH(CP525,Boundaries!$A$2:$A$30,0),0),1)-1,""))</f>
        <v/>
      </c>
      <c r="AV525" s="42" t="str">
        <f aca="false">IF(OR(AU525="",$E525=""),"",AU525-$E525)</f>
        <v/>
      </c>
      <c r="AW525" s="39"/>
      <c r="AX525" s="40" t="str">
        <f aca="false">IF(OR(AW525="",CC525=""),"",AW525/CC525*100)</f>
        <v/>
      </c>
      <c r="AY525" s="41" t="str">
        <f aca="false">IF(AX525="","",IFERROR(MATCH(AX525,INDEX(Boundaries!$B$2:$I$30,MATCH(CQ525,Boundaries!$A$2:$A$30,0),0),1)-1,""))</f>
        <v/>
      </c>
      <c r="AZ525" s="42" t="str">
        <f aca="false">IF(OR(AY525="",$E525=""),"",AY525-$E525)</f>
        <v/>
      </c>
      <c r="BA525" s="39"/>
      <c r="BB525" s="40" t="str">
        <f aca="false">IF(OR(BA525="",CD525=""),"",BA525/CD525*100)</f>
        <v/>
      </c>
      <c r="BC525" s="41" t="str">
        <f aca="false">IF(BB525="","",IFERROR(MATCH(BB525,INDEX(Boundaries!$B$2:$I$30,MATCH(CR525,Boundaries!$A$2:$A$30,0),0),1)-1,""))</f>
        <v/>
      </c>
      <c r="BD525" s="42" t="str">
        <f aca="false">IF(OR(BC525="",$E525=""),"",BC525-$E525)</f>
        <v/>
      </c>
      <c r="BE525" s="39"/>
      <c r="BF525" s="40" t="str">
        <f aca="false">IF(OR(BE525="",CE525=""),"",BE525/CE525*100)</f>
        <v/>
      </c>
      <c r="BG525" s="41" t="str">
        <f aca="false">IF(BF525="","",IFERROR(MATCH(BF525,INDEX(Boundaries!$B$2:$I$30,MATCH(CS525,Boundaries!$A$2:$A$30,0),0),1)-1,""))</f>
        <v/>
      </c>
      <c r="BH525" s="42" t="str">
        <f aca="false">IF(OR(BG525="",$E525=""),"",BG525-$E525)</f>
        <v/>
      </c>
      <c r="BI525" s="39"/>
      <c r="BJ525" s="40" t="str">
        <f aca="false">IF(OR(BI525="",CF525=""),"",BI525/CF525*100)</f>
        <v/>
      </c>
      <c r="BK525" s="41" t="str">
        <f aca="false">IF(BJ525="","",IFERROR(MATCH(BJ525,INDEX(Boundaries!$B$2:$I$30,MATCH(CT525,Boundaries!$A$2:$A$30,0),0),1)-1,""))</f>
        <v/>
      </c>
      <c r="BL525" s="42" t="str">
        <f aca="false">IF(OR(BK525="",$E525=""),"",BK525-$E525)</f>
        <v/>
      </c>
      <c r="BM525" s="39"/>
      <c r="BN525" s="40" t="str">
        <f aca="false">IF(OR(BM525="",CG525=""),"",BM525/CG525*100)</f>
        <v/>
      </c>
      <c r="BO525" s="41" t="str">
        <f aca="false">IF(BN525="","",IFERROR(MATCH(BN525,INDEX(Boundaries!$B$2:$I$30,MATCH(CU525,Boundaries!$A$2:$A$30,0),0),1)-1,""))</f>
        <v/>
      </c>
      <c r="BP525" s="42" t="str">
        <f aca="false">IF(OR(BO525="",$E525=""),"",BO525-$E525)</f>
        <v/>
      </c>
      <c r="BQ525" s="39"/>
      <c r="BR525" s="40" t="str">
        <f aca="false">IF(OR(BQ525="",CH525=""),"",BQ525/CH525*100)</f>
        <v/>
      </c>
      <c r="BS525" s="41" t="str">
        <f aca="false">IF(BR525="","",IFERROR(MATCH(BR525,INDEX(Boundaries!$B$2:$I$30,MATCH(CV525,Boundaries!$A$2:$A$30,0),0),1)-1,""))</f>
        <v/>
      </c>
      <c r="BT525" s="42" t="str">
        <f aca="false">IF(OR(BS525="",$E525=""),"",BS525-$E525)</f>
        <v/>
      </c>
      <c r="BU525" s="28" t="str">
        <f aca="false">IFERROR(INDEX(Assessments!$H$2:$H$600,MATCH($H525&amp;"|"&amp;$I525&amp;"|"&amp;$J525&amp;"|"&amp;1,Assessments!$A$2:$A$600,0)),"")</f>
        <v/>
      </c>
      <c r="BV525" s="28" t="str">
        <f aca="false">IFERROR(INDEX(Assessments!$H$2:$H$600,MATCH($H525&amp;"|"&amp;$I525&amp;"|"&amp;$J525&amp;"|"&amp;2,Assessments!$A$2:$A$600,0)),"")</f>
        <v/>
      </c>
      <c r="BW525" s="28" t="str">
        <f aca="false">IFERROR(INDEX(Assessments!$H$2:$H$600,MATCH($H525&amp;"|"&amp;$I525&amp;"|"&amp;$J525&amp;"|"&amp;3,Assessments!$A$2:$A$600,0)),"")</f>
        <v/>
      </c>
      <c r="BX525" s="28" t="str">
        <f aca="false">IFERROR(INDEX(Assessments!$H$2:$H$600,MATCH($H525&amp;"|"&amp;$I525&amp;"|"&amp;$J525&amp;"|"&amp;4,Assessments!$A$2:$A$600,0)),"")</f>
        <v/>
      </c>
      <c r="BY525" s="28" t="str">
        <f aca="false">IFERROR(INDEX(Assessments!$H$2:$H$600,MATCH($H525&amp;"|"&amp;$I525&amp;"|"&amp;$J525&amp;"|"&amp;5,Assessments!$A$2:$A$600,0)),"")</f>
        <v/>
      </c>
      <c r="BZ525" s="28" t="str">
        <f aca="false">IFERROR(INDEX(Assessments!$H$2:$H$600,MATCH($H525&amp;"|"&amp;$I525&amp;"|"&amp;$J525&amp;"|"&amp;6,Assessments!$A$2:$A$600,0)),"")</f>
        <v/>
      </c>
      <c r="CA525" s="28" t="str">
        <f aca="false">IFERROR(INDEX(Assessments!$H$2:$H$600,MATCH($H525&amp;"|"&amp;$I525&amp;"|"&amp;$J525&amp;"|"&amp;7,Assessments!$A$2:$A$600,0)),"")</f>
        <v/>
      </c>
      <c r="CB525" s="28" t="str">
        <f aca="false">IFERROR(INDEX(Assessments!$H$2:$H$600,MATCH($H525&amp;"|"&amp;$I525&amp;"|"&amp;$J525&amp;"|"&amp;8,Assessments!$A$2:$A$600,0)),"")</f>
        <v/>
      </c>
      <c r="CC525" s="28" t="str">
        <f aca="false">IFERROR(INDEX(Assessments!$H$2:$H$600,MATCH($H525&amp;"|"&amp;$I525&amp;"|"&amp;$J525&amp;"|"&amp;9,Assessments!$A$2:$A$600,0)),"")</f>
        <v/>
      </c>
      <c r="CD525" s="28" t="str">
        <f aca="false">IFERROR(INDEX(Assessments!$H$2:$H$600,MATCH($H525&amp;"|"&amp;$I525&amp;"|"&amp;$J525&amp;"|"&amp;10,Assessments!$A$2:$A$600,0)),"")</f>
        <v/>
      </c>
      <c r="CE525" s="28" t="str">
        <f aca="false">IFERROR(INDEX(Assessments!$H$2:$H$600,MATCH($H525&amp;"|"&amp;$I525&amp;"|"&amp;$J525&amp;"|"&amp;11,Assessments!$A$2:$A$600,0)),"")</f>
        <v/>
      </c>
      <c r="CF525" s="28" t="str">
        <f aca="false">IFERROR(INDEX(Assessments!$H$2:$H$600,MATCH($H525&amp;"|"&amp;$I525&amp;"|"&amp;$J525&amp;"|"&amp;12,Assessments!$A$2:$A$600,0)),"")</f>
        <v/>
      </c>
      <c r="CG525" s="28" t="str">
        <f aca="false">IFERROR(INDEX(Assessments!$H$2:$H$600,MATCH($H525&amp;"|"&amp;$I525&amp;"|"&amp;$J525&amp;"|"&amp;13,Assessments!$A$2:$A$600,0)),"")</f>
        <v/>
      </c>
      <c r="CH525" s="28" t="str">
        <f aca="false">IFERROR(INDEX(Assessments!$H$2:$H$600,MATCH($H525&amp;"|"&amp;$I525&amp;"|"&amp;$J525&amp;"|"&amp;14,Assessments!$A$2:$A$600,0)),"")</f>
        <v/>
      </c>
      <c r="CI525" s="28" t="str">
        <f aca="false">IFERROR(INDEX(Assessments!$I$2:$I$600,MATCH($H525&amp;"|"&amp;$I525&amp;"|"&amp;$J525&amp;"|"&amp;1,Assessments!$A$2:$A$600,0)),"")</f>
        <v/>
      </c>
      <c r="CJ525" s="28" t="str">
        <f aca="false">IFERROR(INDEX(Assessments!$I$2:$I$600,MATCH($H525&amp;"|"&amp;$I525&amp;"|"&amp;$J525&amp;"|"&amp;2,Assessments!$A$2:$A$600,0)),"")</f>
        <v/>
      </c>
      <c r="CK525" s="28" t="str">
        <f aca="false">IFERROR(INDEX(Assessments!$I$2:$I$600,MATCH($H525&amp;"|"&amp;$I525&amp;"|"&amp;$J525&amp;"|"&amp;3,Assessments!$A$2:$A$600,0)),"")</f>
        <v/>
      </c>
      <c r="CL525" s="28" t="str">
        <f aca="false">IFERROR(INDEX(Assessments!$I$2:$I$600,MATCH($H525&amp;"|"&amp;$I525&amp;"|"&amp;$J525&amp;"|"&amp;4,Assessments!$A$2:$A$600,0)),"")</f>
        <v/>
      </c>
      <c r="CM525" s="28" t="str">
        <f aca="false">IFERROR(INDEX(Assessments!$I$2:$I$600,MATCH($H525&amp;"|"&amp;$I525&amp;"|"&amp;$J525&amp;"|"&amp;5,Assessments!$A$2:$A$600,0)),"")</f>
        <v/>
      </c>
      <c r="CN525" s="28" t="str">
        <f aca="false">IFERROR(INDEX(Assessments!$I$2:$I$600,MATCH($H525&amp;"|"&amp;$I525&amp;"|"&amp;$J525&amp;"|"&amp;6,Assessments!$A$2:$A$600,0)),"")</f>
        <v/>
      </c>
      <c r="CO525" s="28" t="str">
        <f aca="false">IFERROR(INDEX(Assessments!$I$2:$I$600,MATCH($H525&amp;"|"&amp;$I525&amp;"|"&amp;$J525&amp;"|"&amp;7,Assessments!$A$2:$A$600,0)),"")</f>
        <v/>
      </c>
      <c r="CP525" s="28" t="str">
        <f aca="false">IFERROR(INDEX(Assessments!$I$2:$I$600,MATCH($H525&amp;"|"&amp;$I525&amp;"|"&amp;$J525&amp;"|"&amp;8,Assessments!$A$2:$A$600,0)),"")</f>
        <v/>
      </c>
      <c r="CQ525" s="28" t="str">
        <f aca="false">IFERROR(INDEX(Assessments!$I$2:$I$600,MATCH($H525&amp;"|"&amp;$I525&amp;"|"&amp;$J525&amp;"|"&amp;9,Assessments!$A$2:$A$600,0)),"")</f>
        <v/>
      </c>
      <c r="CR525" s="28" t="str">
        <f aca="false">IFERROR(INDEX(Assessments!$I$2:$I$600,MATCH($H525&amp;"|"&amp;$I525&amp;"|"&amp;$J525&amp;"|"&amp;10,Assessments!$A$2:$A$600,0)),"")</f>
        <v/>
      </c>
      <c r="CS525" s="28" t="str">
        <f aca="false">IFERROR(INDEX(Assessments!$I$2:$I$600,MATCH($H525&amp;"|"&amp;$I525&amp;"|"&amp;$J525&amp;"|"&amp;11,Assessments!$A$2:$A$600,0)),"")</f>
        <v/>
      </c>
      <c r="CT525" s="28" t="str">
        <f aca="false">IFERROR(INDEX(Assessments!$I$2:$I$600,MATCH($H525&amp;"|"&amp;$I525&amp;"|"&amp;$J525&amp;"|"&amp;12,Assessments!$A$2:$A$600,0)),"")</f>
        <v/>
      </c>
      <c r="CU525" s="28" t="str">
        <f aca="false">IFERROR(INDEX(Assessments!$I$2:$I$600,MATCH($H525&amp;"|"&amp;$I525&amp;"|"&amp;$J525&amp;"|"&amp;13,Assessments!$A$2:$A$600,0)),"")</f>
        <v/>
      </c>
      <c r="CV525" s="28" t="str">
        <f aca="false">IFERROR(INDEX(Assessments!$I$2:$I$600,MATCH($H525&amp;"|"&amp;$I525&amp;"|"&amp;$J525&amp;"|"&amp;14,Assessments!$A$2:$A$600,0)),"")</f>
        <v/>
      </c>
      <c r="CW525" s="28" t="n">
        <f aca="false">IFERROR(INDEX(Assessments!$J$2:$J$600,MATCH($H525&amp;"|"&amp;$I525&amp;"|"&amp;$J525&amp;"|"&amp;1,Assessments!$A$2:$A$600,0)),0)</f>
        <v>0</v>
      </c>
      <c r="CX525" s="28" t="n">
        <f aca="false">IFERROR(INDEX(Assessments!$J$2:$J$600,MATCH($H525&amp;"|"&amp;$I525&amp;"|"&amp;$J525&amp;"|"&amp;2,Assessments!$A$2:$A$600,0)),0)</f>
        <v>0</v>
      </c>
      <c r="CY525" s="28" t="n">
        <f aca="false">IFERROR(INDEX(Assessments!$J$2:$J$600,MATCH($H525&amp;"|"&amp;$I525&amp;"|"&amp;$J525&amp;"|"&amp;3,Assessments!$A$2:$A$600,0)),0)</f>
        <v>0</v>
      </c>
      <c r="CZ525" s="28" t="n">
        <f aca="false">IFERROR(INDEX(Assessments!$J$2:$J$600,MATCH($H525&amp;"|"&amp;$I525&amp;"|"&amp;$J525&amp;"|"&amp;4,Assessments!$A$2:$A$600,0)),0)</f>
        <v>0</v>
      </c>
      <c r="DA525" s="28" t="n">
        <f aca="false">IFERROR(INDEX(Assessments!$J$2:$J$600,MATCH($H525&amp;"|"&amp;$I525&amp;"|"&amp;$J525&amp;"|"&amp;5,Assessments!$A$2:$A$600,0)),0)</f>
        <v>0</v>
      </c>
      <c r="DB525" s="28" t="n">
        <f aca="false">IFERROR(INDEX(Assessments!$J$2:$J$600,MATCH($H525&amp;"|"&amp;$I525&amp;"|"&amp;$J525&amp;"|"&amp;6,Assessments!$A$2:$A$600,0)),0)</f>
        <v>0</v>
      </c>
      <c r="DC525" s="28" t="n">
        <f aca="false">IFERROR(INDEX(Assessments!$J$2:$J$600,MATCH($H525&amp;"|"&amp;$I525&amp;"|"&amp;$J525&amp;"|"&amp;7,Assessments!$A$2:$A$600,0)),0)</f>
        <v>0</v>
      </c>
      <c r="DD525" s="28" t="n">
        <f aca="false">IFERROR(INDEX(Assessments!$J$2:$J$600,MATCH($H525&amp;"|"&amp;$I525&amp;"|"&amp;$J525&amp;"|"&amp;8,Assessments!$A$2:$A$600,0)),0)</f>
        <v>0</v>
      </c>
      <c r="DE525" s="28" t="n">
        <f aca="false">IFERROR(INDEX(Assessments!$J$2:$J$600,MATCH($H525&amp;"|"&amp;$I525&amp;"|"&amp;$J525&amp;"|"&amp;9,Assessments!$A$2:$A$600,0)),0)</f>
        <v>0</v>
      </c>
      <c r="DF525" s="28" t="n">
        <f aca="false">IFERROR(INDEX(Assessments!$J$2:$J$600,MATCH($H525&amp;"|"&amp;$I525&amp;"|"&amp;$J525&amp;"|"&amp;10,Assessments!$A$2:$A$600,0)),0)</f>
        <v>0</v>
      </c>
      <c r="DG525" s="28" t="n">
        <f aca="false">IFERROR(INDEX(Assessments!$J$2:$J$600,MATCH($H525&amp;"|"&amp;$I525&amp;"|"&amp;$J525&amp;"|"&amp;11,Assessments!$A$2:$A$600,0)),0)</f>
        <v>0</v>
      </c>
      <c r="DH525" s="28" t="n">
        <f aca="false">IFERROR(INDEX(Assessments!$J$2:$J$600,MATCH($H525&amp;"|"&amp;$I525&amp;"|"&amp;$J525&amp;"|"&amp;12,Assessments!$A$2:$A$600,0)),0)</f>
        <v>0</v>
      </c>
      <c r="DI525" s="28" t="n">
        <f aca="false">IFERROR(INDEX(Assessments!$J$2:$J$600,MATCH($H525&amp;"|"&amp;$I525&amp;"|"&amp;$J525&amp;"|"&amp;13,Assessments!$A$2:$A$600,0)),0)</f>
        <v>0</v>
      </c>
      <c r="DJ525" s="28" t="n">
        <f aca="false">IFERROR(INDEX(Assessments!$J$2:$J$600,MATCH($H525&amp;"|"&amp;$I525&amp;"|"&amp;$J525&amp;"|"&amp;14,Assessments!$A$2:$A$600,0)),0)</f>
        <v>0</v>
      </c>
      <c r="DK525" s="28" t="str">
        <f aca="false">S525</f>
        <v/>
      </c>
      <c r="DL525" s="28" t="str">
        <f aca="false">W525</f>
        <v/>
      </c>
      <c r="DM525" s="28" t="str">
        <f aca="false">AA525</f>
        <v/>
      </c>
      <c r="DN525" s="28" t="str">
        <f aca="false">AE525</f>
        <v/>
      </c>
      <c r="DO525" s="28" t="str">
        <f aca="false">AI525</f>
        <v/>
      </c>
      <c r="DP525" s="28" t="str">
        <f aca="false">AM525</f>
        <v/>
      </c>
      <c r="DQ525" s="28" t="str">
        <f aca="false">AQ525</f>
        <v/>
      </c>
      <c r="DR525" s="28" t="str">
        <f aca="false">AU525</f>
        <v/>
      </c>
      <c r="DS525" s="28" t="str">
        <f aca="false">AY525</f>
        <v/>
      </c>
      <c r="DT525" s="28" t="str">
        <f aca="false">BC525</f>
        <v/>
      </c>
      <c r="DU525" s="28" t="str">
        <f aca="false">BG525</f>
        <v/>
      </c>
      <c r="DV525" s="28" t="str">
        <f aca="false">BK525</f>
        <v/>
      </c>
      <c r="DW525" s="28" t="str">
        <f aca="false">BO525</f>
        <v/>
      </c>
      <c r="DX525" s="28" t="str">
        <f aca="false">BS525</f>
        <v/>
      </c>
      <c r="DY525" s="28" t="str">
        <f aca="false">IF(ISNUMBER(S525),1,"")</f>
        <v/>
      </c>
      <c r="DZ525" s="28" t="str">
        <f aca="false">IF(ISNUMBER(W525),2,"")</f>
        <v/>
      </c>
      <c r="EA525" s="28" t="str">
        <f aca="false">IF(ISNUMBER(AA525),3,"")</f>
        <v/>
      </c>
      <c r="EB525" s="28" t="str">
        <f aca="false">IF(ISNUMBER(AE525),4,"")</f>
        <v/>
      </c>
      <c r="EC525" s="28" t="str">
        <f aca="false">IF(ISNUMBER(AI525),5,"")</f>
        <v/>
      </c>
      <c r="ED525" s="28" t="str">
        <f aca="false">IF(ISNUMBER(AM525),6,"")</f>
        <v/>
      </c>
      <c r="EE525" s="28" t="str">
        <f aca="false">IF(ISNUMBER(AQ525),7,"")</f>
        <v/>
      </c>
      <c r="EF525" s="28" t="str">
        <f aca="false">IF(ISNUMBER(AU525),8,"")</f>
        <v/>
      </c>
      <c r="EG525" s="28" t="str">
        <f aca="false">IF(ISNUMBER(AY525),9,"")</f>
        <v/>
      </c>
      <c r="EH525" s="28" t="str">
        <f aca="false">IF(ISNUMBER(BC525),10,"")</f>
        <v/>
      </c>
      <c r="EI525" s="28" t="str">
        <f aca="false">IF(ISNUMBER(BG525),11,"")</f>
        <v/>
      </c>
      <c r="EJ525" s="28" t="str">
        <f aca="false">IF(ISNUMBER(BK525),12,"")</f>
        <v/>
      </c>
      <c r="EK525" s="28" t="str">
        <f aca="false">IF(ISNUMBER(BO525),13,"")</f>
        <v/>
      </c>
      <c r="EL525" s="28" t="str">
        <f aca="false">IF(ISNUMBER(BS525),14,"")</f>
        <v/>
      </c>
      <c r="EM525" s="28" t="n">
        <f aca="false">IF(ISNUMBER(R525),R525*CW525,0)</f>
        <v>0</v>
      </c>
      <c r="EN525" s="28" t="n">
        <f aca="false">IF(ISNUMBER(V525),V525*CX525,0)</f>
        <v>0</v>
      </c>
      <c r="EO525" s="28" t="n">
        <f aca="false">IF(ISNUMBER(Z525),Z525*CY525,0)</f>
        <v>0</v>
      </c>
      <c r="EP525" s="28" t="n">
        <f aca="false">IF(ISNUMBER(AD525),AD525*CZ525,0)</f>
        <v>0</v>
      </c>
      <c r="EQ525" s="28" t="n">
        <f aca="false">IF(ISNUMBER(AH525),AH525*DA525,0)</f>
        <v>0</v>
      </c>
      <c r="ER525" s="28" t="n">
        <f aca="false">IF(ISNUMBER(AL525),AL525*DB525,0)</f>
        <v>0</v>
      </c>
      <c r="ES525" s="28" t="n">
        <f aca="false">IF(ISNUMBER(AP525),AP525*DC525,0)</f>
        <v>0</v>
      </c>
      <c r="ET525" s="28" t="n">
        <f aca="false">IF(ISNUMBER(AT525),AT525*DD525,0)</f>
        <v>0</v>
      </c>
      <c r="EU525" s="28" t="n">
        <f aca="false">IF(ISNUMBER(AX525),AX525*DE525,0)</f>
        <v>0</v>
      </c>
      <c r="EV525" s="28" t="n">
        <f aca="false">IF(ISNUMBER(BB525),BB525*DF525,0)</f>
        <v>0</v>
      </c>
      <c r="EW525" s="28" t="n">
        <f aca="false">IF(ISNUMBER(BF525),BF525*DG525,0)</f>
        <v>0</v>
      </c>
      <c r="EX525" s="28" t="n">
        <f aca="false">IF(ISNUMBER(BJ525),BJ525*DH525,0)</f>
        <v>0</v>
      </c>
      <c r="EY525" s="28" t="n">
        <f aca="false">IF(ISNUMBER(BN525),BN525*DI525,0)</f>
        <v>0</v>
      </c>
      <c r="EZ525" s="28" t="n">
        <f aca="false">IF(ISNUMBER(BR525),BR525*DJ525,0)</f>
        <v>0</v>
      </c>
      <c r="FA525" s="28" t="n">
        <f aca="false">IF(ISNUMBER(R525),CW525,0)</f>
        <v>0</v>
      </c>
      <c r="FB525" s="28" t="n">
        <f aca="false">IF(ISNUMBER(V525),CX525,0)</f>
        <v>0</v>
      </c>
      <c r="FC525" s="28" t="n">
        <f aca="false">IF(ISNUMBER(Z525),CY525,0)</f>
        <v>0</v>
      </c>
      <c r="FD525" s="28" t="n">
        <f aca="false">IF(ISNUMBER(AD525),CZ525,0)</f>
        <v>0</v>
      </c>
      <c r="FE525" s="28" t="n">
        <f aca="false">IF(ISNUMBER(AH525),DA525,0)</f>
        <v>0</v>
      </c>
      <c r="FF525" s="28" t="n">
        <f aca="false">IF(ISNUMBER(AL525),DB525,0)</f>
        <v>0</v>
      </c>
      <c r="FG525" s="28" t="n">
        <f aca="false">IF(ISNUMBER(AP525),DC525,0)</f>
        <v>0</v>
      </c>
      <c r="FH525" s="28" t="n">
        <f aca="false">IF(ISNUMBER(AT525),DD525,0)</f>
        <v>0</v>
      </c>
      <c r="FI525" s="28" t="n">
        <f aca="false">IF(ISNUMBER(AX525),DE525,0)</f>
        <v>0</v>
      </c>
      <c r="FJ525" s="28" t="n">
        <f aca="false">IF(ISNUMBER(BB525),DF525,0)</f>
        <v>0</v>
      </c>
      <c r="FK525" s="28" t="n">
        <f aca="false">IF(ISNUMBER(BF525),DG525,0)</f>
        <v>0</v>
      </c>
      <c r="FL525" s="28" t="n">
        <f aca="false">IF(ISNUMBER(BJ525),DH525,0)</f>
        <v>0</v>
      </c>
      <c r="FM525" s="28" t="n">
        <f aca="false">IF(ISNUMBER(BN525),DI525,0)</f>
        <v>0</v>
      </c>
      <c r="FN525" s="28" t="n">
        <f aca="false">IF(ISNUMBER(BR525),DJ525,0)</f>
        <v>0</v>
      </c>
      <c r="FO525" s="28" t="str">
        <f aca="false">IFERROR(INDEX(Lists!$G$2:$G$20,MATCH($I525&amp;"|"&amp;$J525,Lists!$F$2:$F$20,0)),"")</f>
        <v/>
      </c>
    </row>
    <row r="526" customFormat="false" ht="19.5" hidden="false" customHeight="true" outlineLevel="0" collapsed="false">
      <c r="A526" s="29"/>
      <c r="B526" s="29"/>
      <c r="C526" s="30"/>
      <c r="D526" s="30"/>
      <c r="E526" s="31"/>
      <c r="F526" s="30"/>
      <c r="G526" s="30"/>
      <c r="H526" s="32"/>
      <c r="I526" s="33"/>
      <c r="J526" s="32"/>
      <c r="K526" s="34" t="str">
        <f aca="false">IF(OR(M526="",$E526=""),"",M526-$E526)</f>
        <v/>
      </c>
      <c r="L526" s="35" t="str">
        <f aca="false">IF(SUM(FA526:FN526)=0,"",SUM(EM526:EZ526)/SUM(FA526:FN526))</f>
        <v/>
      </c>
      <c r="M526" s="36" t="str">
        <f aca="false">IF(OR(L526="",FO526=""),"",IFERROR(MATCH(L526,INDEX(Boundaries!$B$2:$I$30,MATCH(FO526,Boundaries!$A$2:$A$30,0),0),1)-1,""))</f>
        <v/>
      </c>
      <c r="N526" s="37" t="str">
        <f aca="false">IF(COUNT($DY526:$EL526)&lt;2,"",INDEX($DK526:$DX526,MAX($DY526:$EL526))-INDEX($DK526:$DX526,MIN($DY526:$EL526)))</f>
        <v/>
      </c>
      <c r="O526" s="37" t="str">
        <f aca="false">IF(COUNT($DY526:$EL526)&lt;2,"",INDEX($DK526:$DX526,MAX($DY526:$EL526))-INDEX($DK526:$DX526,LARGE($DY526:$EL526,2)))</f>
        <v/>
      </c>
      <c r="P526" s="38" t="str">
        <f aca="false">IF(K526="","",IF(K526&gt;=0,"On/above target",IF(AND(N526&lt;&gt;"",N526&gt;=0.5),"Improving towards target",IF(AND(O526&lt;&gt;"",O526&lt;=-0.5),"Declining","Stable below target"))))</f>
        <v/>
      </c>
      <c r="Q526" s="39"/>
      <c r="R526" s="40" t="str">
        <f aca="false">IF(OR(Q526="",BU526=""),"",Q526/BU526*100)</f>
        <v/>
      </c>
      <c r="S526" s="41" t="str">
        <f aca="false">IF(R526="","",IFERROR(MATCH(R526,INDEX(Boundaries!$B$2:$I$30,MATCH(CI526,Boundaries!$A$2:$A$30,0),0),1)-1,""))</f>
        <v/>
      </c>
      <c r="T526" s="42" t="str">
        <f aca="false">IF(OR(S526="",$E526=""),"",S526-$E526)</f>
        <v/>
      </c>
      <c r="U526" s="39"/>
      <c r="V526" s="40" t="str">
        <f aca="false">IF(OR(U526="",BV526=""),"",U526/BV526*100)</f>
        <v/>
      </c>
      <c r="W526" s="41" t="str">
        <f aca="false">IF(V526="","",IFERROR(MATCH(V526,INDEX(Boundaries!$B$2:$I$30,MATCH(CJ526,Boundaries!$A$2:$A$30,0),0),1)-1,""))</f>
        <v/>
      </c>
      <c r="X526" s="42" t="str">
        <f aca="false">IF(OR(W526="",$E526=""),"",W526-$E526)</f>
        <v/>
      </c>
      <c r="Y526" s="39"/>
      <c r="Z526" s="40" t="str">
        <f aca="false">IF(OR(Y526="",BW526=""),"",Y526/BW526*100)</f>
        <v/>
      </c>
      <c r="AA526" s="41" t="str">
        <f aca="false">IF(Z526="","",IFERROR(MATCH(Z526,INDEX(Boundaries!$B$2:$I$30,MATCH(CK526,Boundaries!$A$2:$A$30,0),0),1)-1,""))</f>
        <v/>
      </c>
      <c r="AB526" s="42" t="str">
        <f aca="false">IF(OR(AA526="",$E526=""),"",AA526-$E526)</f>
        <v/>
      </c>
      <c r="AC526" s="39"/>
      <c r="AD526" s="40" t="str">
        <f aca="false">IF(OR(AC526="",BX526=""),"",AC526/BX526*100)</f>
        <v/>
      </c>
      <c r="AE526" s="41" t="str">
        <f aca="false">IF(AD526="","",IFERROR(MATCH(AD526,INDEX(Boundaries!$B$2:$I$30,MATCH(CL526,Boundaries!$A$2:$A$30,0),0),1)-1,""))</f>
        <v/>
      </c>
      <c r="AF526" s="42" t="str">
        <f aca="false">IF(OR(AE526="",$E526=""),"",AE526-$E526)</f>
        <v/>
      </c>
      <c r="AG526" s="39"/>
      <c r="AH526" s="40" t="str">
        <f aca="false">IF(OR(AG526="",BY526=""),"",AG526/BY526*100)</f>
        <v/>
      </c>
      <c r="AI526" s="41" t="str">
        <f aca="false">IF(AH526="","",IFERROR(MATCH(AH526,INDEX(Boundaries!$B$2:$I$30,MATCH(CM526,Boundaries!$A$2:$A$30,0),0),1)-1,""))</f>
        <v/>
      </c>
      <c r="AJ526" s="42" t="str">
        <f aca="false">IF(OR(AI526="",$E526=""),"",AI526-$E526)</f>
        <v/>
      </c>
      <c r="AK526" s="39"/>
      <c r="AL526" s="40" t="str">
        <f aca="false">IF(OR(AK526="",BZ526=""),"",AK526/BZ526*100)</f>
        <v/>
      </c>
      <c r="AM526" s="41" t="str">
        <f aca="false">IF(AL526="","",IFERROR(MATCH(AL526,INDEX(Boundaries!$B$2:$I$30,MATCH(CN526,Boundaries!$A$2:$A$30,0),0),1)-1,""))</f>
        <v/>
      </c>
      <c r="AN526" s="42" t="str">
        <f aca="false">IF(OR(AM526="",$E526=""),"",AM526-$E526)</f>
        <v/>
      </c>
      <c r="AO526" s="39"/>
      <c r="AP526" s="40" t="str">
        <f aca="false">IF(OR(AO526="",CA526=""),"",AO526/CA526*100)</f>
        <v/>
      </c>
      <c r="AQ526" s="41" t="str">
        <f aca="false">IF(AP526="","",IFERROR(MATCH(AP526,INDEX(Boundaries!$B$2:$I$30,MATCH(CO526,Boundaries!$A$2:$A$30,0),0),1)-1,""))</f>
        <v/>
      </c>
      <c r="AR526" s="42" t="str">
        <f aca="false">IF(OR(AQ526="",$E526=""),"",AQ526-$E526)</f>
        <v/>
      </c>
      <c r="AS526" s="39"/>
      <c r="AT526" s="40" t="str">
        <f aca="false">IF(OR(AS526="",CB526=""),"",AS526/CB526*100)</f>
        <v/>
      </c>
      <c r="AU526" s="41" t="str">
        <f aca="false">IF(AT526="","",IFERROR(MATCH(AT526,INDEX(Boundaries!$B$2:$I$30,MATCH(CP526,Boundaries!$A$2:$A$30,0),0),1)-1,""))</f>
        <v/>
      </c>
      <c r="AV526" s="42" t="str">
        <f aca="false">IF(OR(AU526="",$E526=""),"",AU526-$E526)</f>
        <v/>
      </c>
      <c r="AW526" s="39"/>
      <c r="AX526" s="40" t="str">
        <f aca="false">IF(OR(AW526="",CC526=""),"",AW526/CC526*100)</f>
        <v/>
      </c>
      <c r="AY526" s="41" t="str">
        <f aca="false">IF(AX526="","",IFERROR(MATCH(AX526,INDEX(Boundaries!$B$2:$I$30,MATCH(CQ526,Boundaries!$A$2:$A$30,0),0),1)-1,""))</f>
        <v/>
      </c>
      <c r="AZ526" s="42" t="str">
        <f aca="false">IF(OR(AY526="",$E526=""),"",AY526-$E526)</f>
        <v/>
      </c>
      <c r="BA526" s="39"/>
      <c r="BB526" s="40" t="str">
        <f aca="false">IF(OR(BA526="",CD526=""),"",BA526/CD526*100)</f>
        <v/>
      </c>
      <c r="BC526" s="41" t="str">
        <f aca="false">IF(BB526="","",IFERROR(MATCH(BB526,INDEX(Boundaries!$B$2:$I$30,MATCH(CR526,Boundaries!$A$2:$A$30,0),0),1)-1,""))</f>
        <v/>
      </c>
      <c r="BD526" s="42" t="str">
        <f aca="false">IF(OR(BC526="",$E526=""),"",BC526-$E526)</f>
        <v/>
      </c>
      <c r="BE526" s="39"/>
      <c r="BF526" s="40" t="str">
        <f aca="false">IF(OR(BE526="",CE526=""),"",BE526/CE526*100)</f>
        <v/>
      </c>
      <c r="BG526" s="41" t="str">
        <f aca="false">IF(BF526="","",IFERROR(MATCH(BF526,INDEX(Boundaries!$B$2:$I$30,MATCH(CS526,Boundaries!$A$2:$A$30,0),0),1)-1,""))</f>
        <v/>
      </c>
      <c r="BH526" s="42" t="str">
        <f aca="false">IF(OR(BG526="",$E526=""),"",BG526-$E526)</f>
        <v/>
      </c>
      <c r="BI526" s="39"/>
      <c r="BJ526" s="40" t="str">
        <f aca="false">IF(OR(BI526="",CF526=""),"",BI526/CF526*100)</f>
        <v/>
      </c>
      <c r="BK526" s="41" t="str">
        <f aca="false">IF(BJ526="","",IFERROR(MATCH(BJ526,INDEX(Boundaries!$B$2:$I$30,MATCH(CT526,Boundaries!$A$2:$A$30,0),0),1)-1,""))</f>
        <v/>
      </c>
      <c r="BL526" s="42" t="str">
        <f aca="false">IF(OR(BK526="",$E526=""),"",BK526-$E526)</f>
        <v/>
      </c>
      <c r="BM526" s="39"/>
      <c r="BN526" s="40" t="str">
        <f aca="false">IF(OR(BM526="",CG526=""),"",BM526/CG526*100)</f>
        <v/>
      </c>
      <c r="BO526" s="41" t="str">
        <f aca="false">IF(BN526="","",IFERROR(MATCH(BN526,INDEX(Boundaries!$B$2:$I$30,MATCH(CU526,Boundaries!$A$2:$A$30,0),0),1)-1,""))</f>
        <v/>
      </c>
      <c r="BP526" s="42" t="str">
        <f aca="false">IF(OR(BO526="",$E526=""),"",BO526-$E526)</f>
        <v/>
      </c>
      <c r="BQ526" s="39"/>
      <c r="BR526" s="40" t="str">
        <f aca="false">IF(OR(BQ526="",CH526=""),"",BQ526/CH526*100)</f>
        <v/>
      </c>
      <c r="BS526" s="41" t="str">
        <f aca="false">IF(BR526="","",IFERROR(MATCH(BR526,INDEX(Boundaries!$B$2:$I$30,MATCH(CV526,Boundaries!$A$2:$A$30,0),0),1)-1,""))</f>
        <v/>
      </c>
      <c r="BT526" s="42" t="str">
        <f aca="false">IF(OR(BS526="",$E526=""),"",BS526-$E526)</f>
        <v/>
      </c>
      <c r="BU526" s="28" t="str">
        <f aca="false">IFERROR(INDEX(Assessments!$H$2:$H$600,MATCH($H526&amp;"|"&amp;$I526&amp;"|"&amp;$J526&amp;"|"&amp;1,Assessments!$A$2:$A$600,0)),"")</f>
        <v/>
      </c>
      <c r="BV526" s="28" t="str">
        <f aca="false">IFERROR(INDEX(Assessments!$H$2:$H$600,MATCH($H526&amp;"|"&amp;$I526&amp;"|"&amp;$J526&amp;"|"&amp;2,Assessments!$A$2:$A$600,0)),"")</f>
        <v/>
      </c>
      <c r="BW526" s="28" t="str">
        <f aca="false">IFERROR(INDEX(Assessments!$H$2:$H$600,MATCH($H526&amp;"|"&amp;$I526&amp;"|"&amp;$J526&amp;"|"&amp;3,Assessments!$A$2:$A$600,0)),"")</f>
        <v/>
      </c>
      <c r="BX526" s="28" t="str">
        <f aca="false">IFERROR(INDEX(Assessments!$H$2:$H$600,MATCH($H526&amp;"|"&amp;$I526&amp;"|"&amp;$J526&amp;"|"&amp;4,Assessments!$A$2:$A$600,0)),"")</f>
        <v/>
      </c>
      <c r="BY526" s="28" t="str">
        <f aca="false">IFERROR(INDEX(Assessments!$H$2:$H$600,MATCH($H526&amp;"|"&amp;$I526&amp;"|"&amp;$J526&amp;"|"&amp;5,Assessments!$A$2:$A$600,0)),"")</f>
        <v/>
      </c>
      <c r="BZ526" s="28" t="str">
        <f aca="false">IFERROR(INDEX(Assessments!$H$2:$H$600,MATCH($H526&amp;"|"&amp;$I526&amp;"|"&amp;$J526&amp;"|"&amp;6,Assessments!$A$2:$A$600,0)),"")</f>
        <v/>
      </c>
      <c r="CA526" s="28" t="str">
        <f aca="false">IFERROR(INDEX(Assessments!$H$2:$H$600,MATCH($H526&amp;"|"&amp;$I526&amp;"|"&amp;$J526&amp;"|"&amp;7,Assessments!$A$2:$A$600,0)),"")</f>
        <v/>
      </c>
      <c r="CB526" s="28" t="str">
        <f aca="false">IFERROR(INDEX(Assessments!$H$2:$H$600,MATCH($H526&amp;"|"&amp;$I526&amp;"|"&amp;$J526&amp;"|"&amp;8,Assessments!$A$2:$A$600,0)),"")</f>
        <v/>
      </c>
      <c r="CC526" s="28" t="str">
        <f aca="false">IFERROR(INDEX(Assessments!$H$2:$H$600,MATCH($H526&amp;"|"&amp;$I526&amp;"|"&amp;$J526&amp;"|"&amp;9,Assessments!$A$2:$A$600,0)),"")</f>
        <v/>
      </c>
      <c r="CD526" s="28" t="str">
        <f aca="false">IFERROR(INDEX(Assessments!$H$2:$H$600,MATCH($H526&amp;"|"&amp;$I526&amp;"|"&amp;$J526&amp;"|"&amp;10,Assessments!$A$2:$A$600,0)),"")</f>
        <v/>
      </c>
      <c r="CE526" s="28" t="str">
        <f aca="false">IFERROR(INDEX(Assessments!$H$2:$H$600,MATCH($H526&amp;"|"&amp;$I526&amp;"|"&amp;$J526&amp;"|"&amp;11,Assessments!$A$2:$A$600,0)),"")</f>
        <v/>
      </c>
      <c r="CF526" s="28" t="str">
        <f aca="false">IFERROR(INDEX(Assessments!$H$2:$H$600,MATCH($H526&amp;"|"&amp;$I526&amp;"|"&amp;$J526&amp;"|"&amp;12,Assessments!$A$2:$A$600,0)),"")</f>
        <v/>
      </c>
      <c r="CG526" s="28" t="str">
        <f aca="false">IFERROR(INDEX(Assessments!$H$2:$H$600,MATCH($H526&amp;"|"&amp;$I526&amp;"|"&amp;$J526&amp;"|"&amp;13,Assessments!$A$2:$A$600,0)),"")</f>
        <v/>
      </c>
      <c r="CH526" s="28" t="str">
        <f aca="false">IFERROR(INDEX(Assessments!$H$2:$H$600,MATCH($H526&amp;"|"&amp;$I526&amp;"|"&amp;$J526&amp;"|"&amp;14,Assessments!$A$2:$A$600,0)),"")</f>
        <v/>
      </c>
      <c r="CI526" s="28" t="str">
        <f aca="false">IFERROR(INDEX(Assessments!$I$2:$I$600,MATCH($H526&amp;"|"&amp;$I526&amp;"|"&amp;$J526&amp;"|"&amp;1,Assessments!$A$2:$A$600,0)),"")</f>
        <v/>
      </c>
      <c r="CJ526" s="28" t="str">
        <f aca="false">IFERROR(INDEX(Assessments!$I$2:$I$600,MATCH($H526&amp;"|"&amp;$I526&amp;"|"&amp;$J526&amp;"|"&amp;2,Assessments!$A$2:$A$600,0)),"")</f>
        <v/>
      </c>
      <c r="CK526" s="28" t="str">
        <f aca="false">IFERROR(INDEX(Assessments!$I$2:$I$600,MATCH($H526&amp;"|"&amp;$I526&amp;"|"&amp;$J526&amp;"|"&amp;3,Assessments!$A$2:$A$600,0)),"")</f>
        <v/>
      </c>
      <c r="CL526" s="28" t="str">
        <f aca="false">IFERROR(INDEX(Assessments!$I$2:$I$600,MATCH($H526&amp;"|"&amp;$I526&amp;"|"&amp;$J526&amp;"|"&amp;4,Assessments!$A$2:$A$600,0)),"")</f>
        <v/>
      </c>
      <c r="CM526" s="28" t="str">
        <f aca="false">IFERROR(INDEX(Assessments!$I$2:$I$600,MATCH($H526&amp;"|"&amp;$I526&amp;"|"&amp;$J526&amp;"|"&amp;5,Assessments!$A$2:$A$600,0)),"")</f>
        <v/>
      </c>
      <c r="CN526" s="28" t="str">
        <f aca="false">IFERROR(INDEX(Assessments!$I$2:$I$600,MATCH($H526&amp;"|"&amp;$I526&amp;"|"&amp;$J526&amp;"|"&amp;6,Assessments!$A$2:$A$600,0)),"")</f>
        <v/>
      </c>
      <c r="CO526" s="28" t="str">
        <f aca="false">IFERROR(INDEX(Assessments!$I$2:$I$600,MATCH($H526&amp;"|"&amp;$I526&amp;"|"&amp;$J526&amp;"|"&amp;7,Assessments!$A$2:$A$600,0)),"")</f>
        <v/>
      </c>
      <c r="CP526" s="28" t="str">
        <f aca="false">IFERROR(INDEX(Assessments!$I$2:$I$600,MATCH($H526&amp;"|"&amp;$I526&amp;"|"&amp;$J526&amp;"|"&amp;8,Assessments!$A$2:$A$600,0)),"")</f>
        <v/>
      </c>
      <c r="CQ526" s="28" t="str">
        <f aca="false">IFERROR(INDEX(Assessments!$I$2:$I$600,MATCH($H526&amp;"|"&amp;$I526&amp;"|"&amp;$J526&amp;"|"&amp;9,Assessments!$A$2:$A$600,0)),"")</f>
        <v/>
      </c>
      <c r="CR526" s="28" t="str">
        <f aca="false">IFERROR(INDEX(Assessments!$I$2:$I$600,MATCH($H526&amp;"|"&amp;$I526&amp;"|"&amp;$J526&amp;"|"&amp;10,Assessments!$A$2:$A$600,0)),"")</f>
        <v/>
      </c>
      <c r="CS526" s="28" t="str">
        <f aca="false">IFERROR(INDEX(Assessments!$I$2:$I$600,MATCH($H526&amp;"|"&amp;$I526&amp;"|"&amp;$J526&amp;"|"&amp;11,Assessments!$A$2:$A$600,0)),"")</f>
        <v/>
      </c>
      <c r="CT526" s="28" t="str">
        <f aca="false">IFERROR(INDEX(Assessments!$I$2:$I$600,MATCH($H526&amp;"|"&amp;$I526&amp;"|"&amp;$J526&amp;"|"&amp;12,Assessments!$A$2:$A$600,0)),"")</f>
        <v/>
      </c>
      <c r="CU526" s="28" t="str">
        <f aca="false">IFERROR(INDEX(Assessments!$I$2:$I$600,MATCH($H526&amp;"|"&amp;$I526&amp;"|"&amp;$J526&amp;"|"&amp;13,Assessments!$A$2:$A$600,0)),"")</f>
        <v/>
      </c>
      <c r="CV526" s="28" t="str">
        <f aca="false">IFERROR(INDEX(Assessments!$I$2:$I$600,MATCH($H526&amp;"|"&amp;$I526&amp;"|"&amp;$J526&amp;"|"&amp;14,Assessments!$A$2:$A$600,0)),"")</f>
        <v/>
      </c>
      <c r="CW526" s="28" t="n">
        <f aca="false">IFERROR(INDEX(Assessments!$J$2:$J$600,MATCH($H526&amp;"|"&amp;$I526&amp;"|"&amp;$J526&amp;"|"&amp;1,Assessments!$A$2:$A$600,0)),0)</f>
        <v>0</v>
      </c>
      <c r="CX526" s="28" t="n">
        <f aca="false">IFERROR(INDEX(Assessments!$J$2:$J$600,MATCH($H526&amp;"|"&amp;$I526&amp;"|"&amp;$J526&amp;"|"&amp;2,Assessments!$A$2:$A$600,0)),0)</f>
        <v>0</v>
      </c>
      <c r="CY526" s="28" t="n">
        <f aca="false">IFERROR(INDEX(Assessments!$J$2:$J$600,MATCH($H526&amp;"|"&amp;$I526&amp;"|"&amp;$J526&amp;"|"&amp;3,Assessments!$A$2:$A$600,0)),0)</f>
        <v>0</v>
      </c>
      <c r="CZ526" s="28" t="n">
        <f aca="false">IFERROR(INDEX(Assessments!$J$2:$J$600,MATCH($H526&amp;"|"&amp;$I526&amp;"|"&amp;$J526&amp;"|"&amp;4,Assessments!$A$2:$A$600,0)),0)</f>
        <v>0</v>
      </c>
      <c r="DA526" s="28" t="n">
        <f aca="false">IFERROR(INDEX(Assessments!$J$2:$J$600,MATCH($H526&amp;"|"&amp;$I526&amp;"|"&amp;$J526&amp;"|"&amp;5,Assessments!$A$2:$A$600,0)),0)</f>
        <v>0</v>
      </c>
      <c r="DB526" s="28" t="n">
        <f aca="false">IFERROR(INDEX(Assessments!$J$2:$J$600,MATCH($H526&amp;"|"&amp;$I526&amp;"|"&amp;$J526&amp;"|"&amp;6,Assessments!$A$2:$A$600,0)),0)</f>
        <v>0</v>
      </c>
      <c r="DC526" s="28" t="n">
        <f aca="false">IFERROR(INDEX(Assessments!$J$2:$J$600,MATCH($H526&amp;"|"&amp;$I526&amp;"|"&amp;$J526&amp;"|"&amp;7,Assessments!$A$2:$A$600,0)),0)</f>
        <v>0</v>
      </c>
      <c r="DD526" s="28" t="n">
        <f aca="false">IFERROR(INDEX(Assessments!$J$2:$J$600,MATCH($H526&amp;"|"&amp;$I526&amp;"|"&amp;$J526&amp;"|"&amp;8,Assessments!$A$2:$A$600,0)),0)</f>
        <v>0</v>
      </c>
      <c r="DE526" s="28" t="n">
        <f aca="false">IFERROR(INDEX(Assessments!$J$2:$J$600,MATCH($H526&amp;"|"&amp;$I526&amp;"|"&amp;$J526&amp;"|"&amp;9,Assessments!$A$2:$A$600,0)),0)</f>
        <v>0</v>
      </c>
      <c r="DF526" s="28" t="n">
        <f aca="false">IFERROR(INDEX(Assessments!$J$2:$J$600,MATCH($H526&amp;"|"&amp;$I526&amp;"|"&amp;$J526&amp;"|"&amp;10,Assessments!$A$2:$A$600,0)),0)</f>
        <v>0</v>
      </c>
      <c r="DG526" s="28" t="n">
        <f aca="false">IFERROR(INDEX(Assessments!$J$2:$J$600,MATCH($H526&amp;"|"&amp;$I526&amp;"|"&amp;$J526&amp;"|"&amp;11,Assessments!$A$2:$A$600,0)),0)</f>
        <v>0</v>
      </c>
      <c r="DH526" s="28" t="n">
        <f aca="false">IFERROR(INDEX(Assessments!$J$2:$J$600,MATCH($H526&amp;"|"&amp;$I526&amp;"|"&amp;$J526&amp;"|"&amp;12,Assessments!$A$2:$A$600,0)),0)</f>
        <v>0</v>
      </c>
      <c r="DI526" s="28" t="n">
        <f aca="false">IFERROR(INDEX(Assessments!$J$2:$J$600,MATCH($H526&amp;"|"&amp;$I526&amp;"|"&amp;$J526&amp;"|"&amp;13,Assessments!$A$2:$A$600,0)),0)</f>
        <v>0</v>
      </c>
      <c r="DJ526" s="28" t="n">
        <f aca="false">IFERROR(INDEX(Assessments!$J$2:$J$600,MATCH($H526&amp;"|"&amp;$I526&amp;"|"&amp;$J526&amp;"|"&amp;14,Assessments!$A$2:$A$600,0)),0)</f>
        <v>0</v>
      </c>
      <c r="DK526" s="28" t="str">
        <f aca="false">S526</f>
        <v/>
      </c>
      <c r="DL526" s="28" t="str">
        <f aca="false">W526</f>
        <v/>
      </c>
      <c r="DM526" s="28" t="str">
        <f aca="false">AA526</f>
        <v/>
      </c>
      <c r="DN526" s="28" t="str">
        <f aca="false">AE526</f>
        <v/>
      </c>
      <c r="DO526" s="28" t="str">
        <f aca="false">AI526</f>
        <v/>
      </c>
      <c r="DP526" s="28" t="str">
        <f aca="false">AM526</f>
        <v/>
      </c>
      <c r="DQ526" s="28" t="str">
        <f aca="false">AQ526</f>
        <v/>
      </c>
      <c r="DR526" s="28" t="str">
        <f aca="false">AU526</f>
        <v/>
      </c>
      <c r="DS526" s="28" t="str">
        <f aca="false">AY526</f>
        <v/>
      </c>
      <c r="DT526" s="28" t="str">
        <f aca="false">BC526</f>
        <v/>
      </c>
      <c r="DU526" s="28" t="str">
        <f aca="false">BG526</f>
        <v/>
      </c>
      <c r="DV526" s="28" t="str">
        <f aca="false">BK526</f>
        <v/>
      </c>
      <c r="DW526" s="28" t="str">
        <f aca="false">BO526</f>
        <v/>
      </c>
      <c r="DX526" s="28" t="str">
        <f aca="false">BS526</f>
        <v/>
      </c>
      <c r="DY526" s="28" t="str">
        <f aca="false">IF(ISNUMBER(S526),1,"")</f>
        <v/>
      </c>
      <c r="DZ526" s="28" t="str">
        <f aca="false">IF(ISNUMBER(W526),2,"")</f>
        <v/>
      </c>
      <c r="EA526" s="28" t="str">
        <f aca="false">IF(ISNUMBER(AA526),3,"")</f>
        <v/>
      </c>
      <c r="EB526" s="28" t="str">
        <f aca="false">IF(ISNUMBER(AE526),4,"")</f>
        <v/>
      </c>
      <c r="EC526" s="28" t="str">
        <f aca="false">IF(ISNUMBER(AI526),5,"")</f>
        <v/>
      </c>
      <c r="ED526" s="28" t="str">
        <f aca="false">IF(ISNUMBER(AM526),6,"")</f>
        <v/>
      </c>
      <c r="EE526" s="28" t="str">
        <f aca="false">IF(ISNUMBER(AQ526),7,"")</f>
        <v/>
      </c>
      <c r="EF526" s="28" t="str">
        <f aca="false">IF(ISNUMBER(AU526),8,"")</f>
        <v/>
      </c>
      <c r="EG526" s="28" t="str">
        <f aca="false">IF(ISNUMBER(AY526),9,"")</f>
        <v/>
      </c>
      <c r="EH526" s="28" t="str">
        <f aca="false">IF(ISNUMBER(BC526),10,"")</f>
        <v/>
      </c>
      <c r="EI526" s="28" t="str">
        <f aca="false">IF(ISNUMBER(BG526),11,"")</f>
        <v/>
      </c>
      <c r="EJ526" s="28" t="str">
        <f aca="false">IF(ISNUMBER(BK526),12,"")</f>
        <v/>
      </c>
      <c r="EK526" s="28" t="str">
        <f aca="false">IF(ISNUMBER(BO526),13,"")</f>
        <v/>
      </c>
      <c r="EL526" s="28" t="str">
        <f aca="false">IF(ISNUMBER(BS526),14,"")</f>
        <v/>
      </c>
      <c r="EM526" s="28" t="n">
        <f aca="false">IF(ISNUMBER(R526),R526*CW526,0)</f>
        <v>0</v>
      </c>
      <c r="EN526" s="28" t="n">
        <f aca="false">IF(ISNUMBER(V526),V526*CX526,0)</f>
        <v>0</v>
      </c>
      <c r="EO526" s="28" t="n">
        <f aca="false">IF(ISNUMBER(Z526),Z526*CY526,0)</f>
        <v>0</v>
      </c>
      <c r="EP526" s="28" t="n">
        <f aca="false">IF(ISNUMBER(AD526),AD526*CZ526,0)</f>
        <v>0</v>
      </c>
      <c r="EQ526" s="28" t="n">
        <f aca="false">IF(ISNUMBER(AH526),AH526*DA526,0)</f>
        <v>0</v>
      </c>
      <c r="ER526" s="28" t="n">
        <f aca="false">IF(ISNUMBER(AL526),AL526*DB526,0)</f>
        <v>0</v>
      </c>
      <c r="ES526" s="28" t="n">
        <f aca="false">IF(ISNUMBER(AP526),AP526*DC526,0)</f>
        <v>0</v>
      </c>
      <c r="ET526" s="28" t="n">
        <f aca="false">IF(ISNUMBER(AT526),AT526*DD526,0)</f>
        <v>0</v>
      </c>
      <c r="EU526" s="28" t="n">
        <f aca="false">IF(ISNUMBER(AX526),AX526*DE526,0)</f>
        <v>0</v>
      </c>
      <c r="EV526" s="28" t="n">
        <f aca="false">IF(ISNUMBER(BB526),BB526*DF526,0)</f>
        <v>0</v>
      </c>
      <c r="EW526" s="28" t="n">
        <f aca="false">IF(ISNUMBER(BF526),BF526*DG526,0)</f>
        <v>0</v>
      </c>
      <c r="EX526" s="28" t="n">
        <f aca="false">IF(ISNUMBER(BJ526),BJ526*DH526,0)</f>
        <v>0</v>
      </c>
      <c r="EY526" s="28" t="n">
        <f aca="false">IF(ISNUMBER(BN526),BN526*DI526,0)</f>
        <v>0</v>
      </c>
      <c r="EZ526" s="28" t="n">
        <f aca="false">IF(ISNUMBER(BR526),BR526*DJ526,0)</f>
        <v>0</v>
      </c>
      <c r="FA526" s="28" t="n">
        <f aca="false">IF(ISNUMBER(R526),CW526,0)</f>
        <v>0</v>
      </c>
      <c r="FB526" s="28" t="n">
        <f aca="false">IF(ISNUMBER(V526),CX526,0)</f>
        <v>0</v>
      </c>
      <c r="FC526" s="28" t="n">
        <f aca="false">IF(ISNUMBER(Z526),CY526,0)</f>
        <v>0</v>
      </c>
      <c r="FD526" s="28" t="n">
        <f aca="false">IF(ISNUMBER(AD526),CZ526,0)</f>
        <v>0</v>
      </c>
      <c r="FE526" s="28" t="n">
        <f aca="false">IF(ISNUMBER(AH526),DA526,0)</f>
        <v>0</v>
      </c>
      <c r="FF526" s="28" t="n">
        <f aca="false">IF(ISNUMBER(AL526),DB526,0)</f>
        <v>0</v>
      </c>
      <c r="FG526" s="28" t="n">
        <f aca="false">IF(ISNUMBER(AP526),DC526,0)</f>
        <v>0</v>
      </c>
      <c r="FH526" s="28" t="n">
        <f aca="false">IF(ISNUMBER(AT526),DD526,0)</f>
        <v>0</v>
      </c>
      <c r="FI526" s="28" t="n">
        <f aca="false">IF(ISNUMBER(AX526),DE526,0)</f>
        <v>0</v>
      </c>
      <c r="FJ526" s="28" t="n">
        <f aca="false">IF(ISNUMBER(BB526),DF526,0)</f>
        <v>0</v>
      </c>
      <c r="FK526" s="28" t="n">
        <f aca="false">IF(ISNUMBER(BF526),DG526,0)</f>
        <v>0</v>
      </c>
      <c r="FL526" s="28" t="n">
        <f aca="false">IF(ISNUMBER(BJ526),DH526,0)</f>
        <v>0</v>
      </c>
      <c r="FM526" s="28" t="n">
        <f aca="false">IF(ISNUMBER(BN526),DI526,0)</f>
        <v>0</v>
      </c>
      <c r="FN526" s="28" t="n">
        <f aca="false">IF(ISNUMBER(BR526),DJ526,0)</f>
        <v>0</v>
      </c>
      <c r="FO526" s="28" t="str">
        <f aca="false">IFERROR(INDEX(Lists!$G$2:$G$20,MATCH($I526&amp;"|"&amp;$J526,Lists!$F$2:$F$20,0)),"")</f>
        <v/>
      </c>
    </row>
    <row r="527" customFormat="false" ht="19.5" hidden="false" customHeight="true" outlineLevel="0" collapsed="false">
      <c r="A527" s="29"/>
      <c r="B527" s="29"/>
      <c r="C527" s="30"/>
      <c r="D527" s="30"/>
      <c r="E527" s="31"/>
      <c r="F527" s="30"/>
      <c r="G527" s="30"/>
      <c r="H527" s="32"/>
      <c r="I527" s="33"/>
      <c r="J527" s="32"/>
      <c r="K527" s="34" t="str">
        <f aca="false">IF(OR(M527="",$E527=""),"",M527-$E527)</f>
        <v/>
      </c>
      <c r="L527" s="35" t="str">
        <f aca="false">IF(SUM(FA527:FN527)=0,"",SUM(EM527:EZ527)/SUM(FA527:FN527))</f>
        <v/>
      </c>
      <c r="M527" s="36" t="str">
        <f aca="false">IF(OR(L527="",FO527=""),"",IFERROR(MATCH(L527,INDEX(Boundaries!$B$2:$I$30,MATCH(FO527,Boundaries!$A$2:$A$30,0),0),1)-1,""))</f>
        <v/>
      </c>
      <c r="N527" s="37" t="str">
        <f aca="false">IF(COUNT($DY527:$EL527)&lt;2,"",INDEX($DK527:$DX527,MAX($DY527:$EL527))-INDEX($DK527:$DX527,MIN($DY527:$EL527)))</f>
        <v/>
      </c>
      <c r="O527" s="37" t="str">
        <f aca="false">IF(COUNT($DY527:$EL527)&lt;2,"",INDEX($DK527:$DX527,MAX($DY527:$EL527))-INDEX($DK527:$DX527,LARGE($DY527:$EL527,2)))</f>
        <v/>
      </c>
      <c r="P527" s="38" t="str">
        <f aca="false">IF(K527="","",IF(K527&gt;=0,"On/above target",IF(AND(N527&lt;&gt;"",N527&gt;=0.5),"Improving towards target",IF(AND(O527&lt;&gt;"",O527&lt;=-0.5),"Declining","Stable below target"))))</f>
        <v/>
      </c>
      <c r="Q527" s="39"/>
      <c r="R527" s="40" t="str">
        <f aca="false">IF(OR(Q527="",BU527=""),"",Q527/BU527*100)</f>
        <v/>
      </c>
      <c r="S527" s="41" t="str">
        <f aca="false">IF(R527="","",IFERROR(MATCH(R527,INDEX(Boundaries!$B$2:$I$30,MATCH(CI527,Boundaries!$A$2:$A$30,0),0),1)-1,""))</f>
        <v/>
      </c>
      <c r="T527" s="42" t="str">
        <f aca="false">IF(OR(S527="",$E527=""),"",S527-$E527)</f>
        <v/>
      </c>
      <c r="U527" s="39"/>
      <c r="V527" s="40" t="str">
        <f aca="false">IF(OR(U527="",BV527=""),"",U527/BV527*100)</f>
        <v/>
      </c>
      <c r="W527" s="41" t="str">
        <f aca="false">IF(V527="","",IFERROR(MATCH(V527,INDEX(Boundaries!$B$2:$I$30,MATCH(CJ527,Boundaries!$A$2:$A$30,0),0),1)-1,""))</f>
        <v/>
      </c>
      <c r="X527" s="42" t="str">
        <f aca="false">IF(OR(W527="",$E527=""),"",W527-$E527)</f>
        <v/>
      </c>
      <c r="Y527" s="39"/>
      <c r="Z527" s="40" t="str">
        <f aca="false">IF(OR(Y527="",BW527=""),"",Y527/BW527*100)</f>
        <v/>
      </c>
      <c r="AA527" s="41" t="str">
        <f aca="false">IF(Z527="","",IFERROR(MATCH(Z527,INDEX(Boundaries!$B$2:$I$30,MATCH(CK527,Boundaries!$A$2:$A$30,0),0),1)-1,""))</f>
        <v/>
      </c>
      <c r="AB527" s="42" t="str">
        <f aca="false">IF(OR(AA527="",$E527=""),"",AA527-$E527)</f>
        <v/>
      </c>
      <c r="AC527" s="39"/>
      <c r="AD527" s="40" t="str">
        <f aca="false">IF(OR(AC527="",BX527=""),"",AC527/BX527*100)</f>
        <v/>
      </c>
      <c r="AE527" s="41" t="str">
        <f aca="false">IF(AD527="","",IFERROR(MATCH(AD527,INDEX(Boundaries!$B$2:$I$30,MATCH(CL527,Boundaries!$A$2:$A$30,0),0),1)-1,""))</f>
        <v/>
      </c>
      <c r="AF527" s="42" t="str">
        <f aca="false">IF(OR(AE527="",$E527=""),"",AE527-$E527)</f>
        <v/>
      </c>
      <c r="AG527" s="39"/>
      <c r="AH527" s="40" t="str">
        <f aca="false">IF(OR(AG527="",BY527=""),"",AG527/BY527*100)</f>
        <v/>
      </c>
      <c r="AI527" s="41" t="str">
        <f aca="false">IF(AH527="","",IFERROR(MATCH(AH527,INDEX(Boundaries!$B$2:$I$30,MATCH(CM527,Boundaries!$A$2:$A$30,0),0),1)-1,""))</f>
        <v/>
      </c>
      <c r="AJ527" s="42" t="str">
        <f aca="false">IF(OR(AI527="",$E527=""),"",AI527-$E527)</f>
        <v/>
      </c>
      <c r="AK527" s="39"/>
      <c r="AL527" s="40" t="str">
        <f aca="false">IF(OR(AK527="",BZ527=""),"",AK527/BZ527*100)</f>
        <v/>
      </c>
      <c r="AM527" s="41" t="str">
        <f aca="false">IF(AL527="","",IFERROR(MATCH(AL527,INDEX(Boundaries!$B$2:$I$30,MATCH(CN527,Boundaries!$A$2:$A$30,0),0),1)-1,""))</f>
        <v/>
      </c>
      <c r="AN527" s="42" t="str">
        <f aca="false">IF(OR(AM527="",$E527=""),"",AM527-$E527)</f>
        <v/>
      </c>
      <c r="AO527" s="39"/>
      <c r="AP527" s="40" t="str">
        <f aca="false">IF(OR(AO527="",CA527=""),"",AO527/CA527*100)</f>
        <v/>
      </c>
      <c r="AQ527" s="41" t="str">
        <f aca="false">IF(AP527="","",IFERROR(MATCH(AP527,INDEX(Boundaries!$B$2:$I$30,MATCH(CO527,Boundaries!$A$2:$A$30,0),0),1)-1,""))</f>
        <v/>
      </c>
      <c r="AR527" s="42" t="str">
        <f aca="false">IF(OR(AQ527="",$E527=""),"",AQ527-$E527)</f>
        <v/>
      </c>
      <c r="AS527" s="39"/>
      <c r="AT527" s="40" t="str">
        <f aca="false">IF(OR(AS527="",CB527=""),"",AS527/CB527*100)</f>
        <v/>
      </c>
      <c r="AU527" s="41" t="str">
        <f aca="false">IF(AT527="","",IFERROR(MATCH(AT527,INDEX(Boundaries!$B$2:$I$30,MATCH(CP527,Boundaries!$A$2:$A$30,0),0),1)-1,""))</f>
        <v/>
      </c>
      <c r="AV527" s="42" t="str">
        <f aca="false">IF(OR(AU527="",$E527=""),"",AU527-$E527)</f>
        <v/>
      </c>
      <c r="AW527" s="39"/>
      <c r="AX527" s="40" t="str">
        <f aca="false">IF(OR(AW527="",CC527=""),"",AW527/CC527*100)</f>
        <v/>
      </c>
      <c r="AY527" s="41" t="str">
        <f aca="false">IF(AX527="","",IFERROR(MATCH(AX527,INDEX(Boundaries!$B$2:$I$30,MATCH(CQ527,Boundaries!$A$2:$A$30,0),0),1)-1,""))</f>
        <v/>
      </c>
      <c r="AZ527" s="42" t="str">
        <f aca="false">IF(OR(AY527="",$E527=""),"",AY527-$E527)</f>
        <v/>
      </c>
      <c r="BA527" s="39"/>
      <c r="BB527" s="40" t="str">
        <f aca="false">IF(OR(BA527="",CD527=""),"",BA527/CD527*100)</f>
        <v/>
      </c>
      <c r="BC527" s="41" t="str">
        <f aca="false">IF(BB527="","",IFERROR(MATCH(BB527,INDEX(Boundaries!$B$2:$I$30,MATCH(CR527,Boundaries!$A$2:$A$30,0),0),1)-1,""))</f>
        <v/>
      </c>
      <c r="BD527" s="42" t="str">
        <f aca="false">IF(OR(BC527="",$E527=""),"",BC527-$E527)</f>
        <v/>
      </c>
      <c r="BE527" s="39"/>
      <c r="BF527" s="40" t="str">
        <f aca="false">IF(OR(BE527="",CE527=""),"",BE527/CE527*100)</f>
        <v/>
      </c>
      <c r="BG527" s="41" t="str">
        <f aca="false">IF(BF527="","",IFERROR(MATCH(BF527,INDEX(Boundaries!$B$2:$I$30,MATCH(CS527,Boundaries!$A$2:$A$30,0),0),1)-1,""))</f>
        <v/>
      </c>
      <c r="BH527" s="42" t="str">
        <f aca="false">IF(OR(BG527="",$E527=""),"",BG527-$E527)</f>
        <v/>
      </c>
      <c r="BI527" s="39"/>
      <c r="BJ527" s="40" t="str">
        <f aca="false">IF(OR(BI527="",CF527=""),"",BI527/CF527*100)</f>
        <v/>
      </c>
      <c r="BK527" s="41" t="str">
        <f aca="false">IF(BJ527="","",IFERROR(MATCH(BJ527,INDEX(Boundaries!$B$2:$I$30,MATCH(CT527,Boundaries!$A$2:$A$30,0),0),1)-1,""))</f>
        <v/>
      </c>
      <c r="BL527" s="42" t="str">
        <f aca="false">IF(OR(BK527="",$E527=""),"",BK527-$E527)</f>
        <v/>
      </c>
      <c r="BM527" s="39"/>
      <c r="BN527" s="40" t="str">
        <f aca="false">IF(OR(BM527="",CG527=""),"",BM527/CG527*100)</f>
        <v/>
      </c>
      <c r="BO527" s="41" t="str">
        <f aca="false">IF(BN527="","",IFERROR(MATCH(BN527,INDEX(Boundaries!$B$2:$I$30,MATCH(CU527,Boundaries!$A$2:$A$30,0),0),1)-1,""))</f>
        <v/>
      </c>
      <c r="BP527" s="42" t="str">
        <f aca="false">IF(OR(BO527="",$E527=""),"",BO527-$E527)</f>
        <v/>
      </c>
      <c r="BQ527" s="39"/>
      <c r="BR527" s="40" t="str">
        <f aca="false">IF(OR(BQ527="",CH527=""),"",BQ527/CH527*100)</f>
        <v/>
      </c>
      <c r="BS527" s="41" t="str">
        <f aca="false">IF(BR527="","",IFERROR(MATCH(BR527,INDEX(Boundaries!$B$2:$I$30,MATCH(CV527,Boundaries!$A$2:$A$30,0),0),1)-1,""))</f>
        <v/>
      </c>
      <c r="BT527" s="42" t="str">
        <f aca="false">IF(OR(BS527="",$E527=""),"",BS527-$E527)</f>
        <v/>
      </c>
      <c r="BU527" s="28" t="str">
        <f aca="false">IFERROR(INDEX(Assessments!$H$2:$H$600,MATCH($H527&amp;"|"&amp;$I527&amp;"|"&amp;$J527&amp;"|"&amp;1,Assessments!$A$2:$A$600,0)),"")</f>
        <v/>
      </c>
      <c r="BV527" s="28" t="str">
        <f aca="false">IFERROR(INDEX(Assessments!$H$2:$H$600,MATCH($H527&amp;"|"&amp;$I527&amp;"|"&amp;$J527&amp;"|"&amp;2,Assessments!$A$2:$A$600,0)),"")</f>
        <v/>
      </c>
      <c r="BW527" s="28" t="str">
        <f aca="false">IFERROR(INDEX(Assessments!$H$2:$H$600,MATCH($H527&amp;"|"&amp;$I527&amp;"|"&amp;$J527&amp;"|"&amp;3,Assessments!$A$2:$A$600,0)),"")</f>
        <v/>
      </c>
      <c r="BX527" s="28" t="str">
        <f aca="false">IFERROR(INDEX(Assessments!$H$2:$H$600,MATCH($H527&amp;"|"&amp;$I527&amp;"|"&amp;$J527&amp;"|"&amp;4,Assessments!$A$2:$A$600,0)),"")</f>
        <v/>
      </c>
      <c r="BY527" s="28" t="str">
        <f aca="false">IFERROR(INDEX(Assessments!$H$2:$H$600,MATCH($H527&amp;"|"&amp;$I527&amp;"|"&amp;$J527&amp;"|"&amp;5,Assessments!$A$2:$A$600,0)),"")</f>
        <v/>
      </c>
      <c r="BZ527" s="28" t="str">
        <f aca="false">IFERROR(INDEX(Assessments!$H$2:$H$600,MATCH($H527&amp;"|"&amp;$I527&amp;"|"&amp;$J527&amp;"|"&amp;6,Assessments!$A$2:$A$600,0)),"")</f>
        <v/>
      </c>
      <c r="CA527" s="28" t="str">
        <f aca="false">IFERROR(INDEX(Assessments!$H$2:$H$600,MATCH($H527&amp;"|"&amp;$I527&amp;"|"&amp;$J527&amp;"|"&amp;7,Assessments!$A$2:$A$600,0)),"")</f>
        <v/>
      </c>
      <c r="CB527" s="28" t="str">
        <f aca="false">IFERROR(INDEX(Assessments!$H$2:$H$600,MATCH($H527&amp;"|"&amp;$I527&amp;"|"&amp;$J527&amp;"|"&amp;8,Assessments!$A$2:$A$600,0)),"")</f>
        <v/>
      </c>
      <c r="CC527" s="28" t="str">
        <f aca="false">IFERROR(INDEX(Assessments!$H$2:$H$600,MATCH($H527&amp;"|"&amp;$I527&amp;"|"&amp;$J527&amp;"|"&amp;9,Assessments!$A$2:$A$600,0)),"")</f>
        <v/>
      </c>
      <c r="CD527" s="28" t="str">
        <f aca="false">IFERROR(INDEX(Assessments!$H$2:$H$600,MATCH($H527&amp;"|"&amp;$I527&amp;"|"&amp;$J527&amp;"|"&amp;10,Assessments!$A$2:$A$600,0)),"")</f>
        <v/>
      </c>
      <c r="CE527" s="28" t="str">
        <f aca="false">IFERROR(INDEX(Assessments!$H$2:$H$600,MATCH($H527&amp;"|"&amp;$I527&amp;"|"&amp;$J527&amp;"|"&amp;11,Assessments!$A$2:$A$600,0)),"")</f>
        <v/>
      </c>
      <c r="CF527" s="28" t="str">
        <f aca="false">IFERROR(INDEX(Assessments!$H$2:$H$600,MATCH($H527&amp;"|"&amp;$I527&amp;"|"&amp;$J527&amp;"|"&amp;12,Assessments!$A$2:$A$600,0)),"")</f>
        <v/>
      </c>
      <c r="CG527" s="28" t="str">
        <f aca="false">IFERROR(INDEX(Assessments!$H$2:$H$600,MATCH($H527&amp;"|"&amp;$I527&amp;"|"&amp;$J527&amp;"|"&amp;13,Assessments!$A$2:$A$600,0)),"")</f>
        <v/>
      </c>
      <c r="CH527" s="28" t="str">
        <f aca="false">IFERROR(INDEX(Assessments!$H$2:$H$600,MATCH($H527&amp;"|"&amp;$I527&amp;"|"&amp;$J527&amp;"|"&amp;14,Assessments!$A$2:$A$600,0)),"")</f>
        <v/>
      </c>
      <c r="CI527" s="28" t="str">
        <f aca="false">IFERROR(INDEX(Assessments!$I$2:$I$600,MATCH($H527&amp;"|"&amp;$I527&amp;"|"&amp;$J527&amp;"|"&amp;1,Assessments!$A$2:$A$600,0)),"")</f>
        <v/>
      </c>
      <c r="CJ527" s="28" t="str">
        <f aca="false">IFERROR(INDEX(Assessments!$I$2:$I$600,MATCH($H527&amp;"|"&amp;$I527&amp;"|"&amp;$J527&amp;"|"&amp;2,Assessments!$A$2:$A$600,0)),"")</f>
        <v/>
      </c>
      <c r="CK527" s="28" t="str">
        <f aca="false">IFERROR(INDEX(Assessments!$I$2:$I$600,MATCH($H527&amp;"|"&amp;$I527&amp;"|"&amp;$J527&amp;"|"&amp;3,Assessments!$A$2:$A$600,0)),"")</f>
        <v/>
      </c>
      <c r="CL527" s="28" t="str">
        <f aca="false">IFERROR(INDEX(Assessments!$I$2:$I$600,MATCH($H527&amp;"|"&amp;$I527&amp;"|"&amp;$J527&amp;"|"&amp;4,Assessments!$A$2:$A$600,0)),"")</f>
        <v/>
      </c>
      <c r="CM527" s="28" t="str">
        <f aca="false">IFERROR(INDEX(Assessments!$I$2:$I$600,MATCH($H527&amp;"|"&amp;$I527&amp;"|"&amp;$J527&amp;"|"&amp;5,Assessments!$A$2:$A$600,0)),"")</f>
        <v/>
      </c>
      <c r="CN527" s="28" t="str">
        <f aca="false">IFERROR(INDEX(Assessments!$I$2:$I$600,MATCH($H527&amp;"|"&amp;$I527&amp;"|"&amp;$J527&amp;"|"&amp;6,Assessments!$A$2:$A$600,0)),"")</f>
        <v/>
      </c>
      <c r="CO527" s="28" t="str">
        <f aca="false">IFERROR(INDEX(Assessments!$I$2:$I$600,MATCH($H527&amp;"|"&amp;$I527&amp;"|"&amp;$J527&amp;"|"&amp;7,Assessments!$A$2:$A$600,0)),"")</f>
        <v/>
      </c>
      <c r="CP527" s="28" t="str">
        <f aca="false">IFERROR(INDEX(Assessments!$I$2:$I$600,MATCH($H527&amp;"|"&amp;$I527&amp;"|"&amp;$J527&amp;"|"&amp;8,Assessments!$A$2:$A$600,0)),"")</f>
        <v/>
      </c>
      <c r="CQ527" s="28" t="str">
        <f aca="false">IFERROR(INDEX(Assessments!$I$2:$I$600,MATCH($H527&amp;"|"&amp;$I527&amp;"|"&amp;$J527&amp;"|"&amp;9,Assessments!$A$2:$A$600,0)),"")</f>
        <v/>
      </c>
      <c r="CR527" s="28" t="str">
        <f aca="false">IFERROR(INDEX(Assessments!$I$2:$I$600,MATCH($H527&amp;"|"&amp;$I527&amp;"|"&amp;$J527&amp;"|"&amp;10,Assessments!$A$2:$A$600,0)),"")</f>
        <v/>
      </c>
      <c r="CS527" s="28" t="str">
        <f aca="false">IFERROR(INDEX(Assessments!$I$2:$I$600,MATCH($H527&amp;"|"&amp;$I527&amp;"|"&amp;$J527&amp;"|"&amp;11,Assessments!$A$2:$A$600,0)),"")</f>
        <v/>
      </c>
      <c r="CT527" s="28" t="str">
        <f aca="false">IFERROR(INDEX(Assessments!$I$2:$I$600,MATCH($H527&amp;"|"&amp;$I527&amp;"|"&amp;$J527&amp;"|"&amp;12,Assessments!$A$2:$A$600,0)),"")</f>
        <v/>
      </c>
      <c r="CU527" s="28" t="str">
        <f aca="false">IFERROR(INDEX(Assessments!$I$2:$I$600,MATCH($H527&amp;"|"&amp;$I527&amp;"|"&amp;$J527&amp;"|"&amp;13,Assessments!$A$2:$A$600,0)),"")</f>
        <v/>
      </c>
      <c r="CV527" s="28" t="str">
        <f aca="false">IFERROR(INDEX(Assessments!$I$2:$I$600,MATCH($H527&amp;"|"&amp;$I527&amp;"|"&amp;$J527&amp;"|"&amp;14,Assessments!$A$2:$A$600,0)),"")</f>
        <v/>
      </c>
      <c r="CW527" s="28" t="n">
        <f aca="false">IFERROR(INDEX(Assessments!$J$2:$J$600,MATCH($H527&amp;"|"&amp;$I527&amp;"|"&amp;$J527&amp;"|"&amp;1,Assessments!$A$2:$A$600,0)),0)</f>
        <v>0</v>
      </c>
      <c r="CX527" s="28" t="n">
        <f aca="false">IFERROR(INDEX(Assessments!$J$2:$J$600,MATCH($H527&amp;"|"&amp;$I527&amp;"|"&amp;$J527&amp;"|"&amp;2,Assessments!$A$2:$A$600,0)),0)</f>
        <v>0</v>
      </c>
      <c r="CY527" s="28" t="n">
        <f aca="false">IFERROR(INDEX(Assessments!$J$2:$J$600,MATCH($H527&amp;"|"&amp;$I527&amp;"|"&amp;$J527&amp;"|"&amp;3,Assessments!$A$2:$A$600,0)),0)</f>
        <v>0</v>
      </c>
      <c r="CZ527" s="28" t="n">
        <f aca="false">IFERROR(INDEX(Assessments!$J$2:$J$600,MATCH($H527&amp;"|"&amp;$I527&amp;"|"&amp;$J527&amp;"|"&amp;4,Assessments!$A$2:$A$600,0)),0)</f>
        <v>0</v>
      </c>
      <c r="DA527" s="28" t="n">
        <f aca="false">IFERROR(INDEX(Assessments!$J$2:$J$600,MATCH($H527&amp;"|"&amp;$I527&amp;"|"&amp;$J527&amp;"|"&amp;5,Assessments!$A$2:$A$600,0)),0)</f>
        <v>0</v>
      </c>
      <c r="DB527" s="28" t="n">
        <f aca="false">IFERROR(INDEX(Assessments!$J$2:$J$600,MATCH($H527&amp;"|"&amp;$I527&amp;"|"&amp;$J527&amp;"|"&amp;6,Assessments!$A$2:$A$600,0)),0)</f>
        <v>0</v>
      </c>
      <c r="DC527" s="28" t="n">
        <f aca="false">IFERROR(INDEX(Assessments!$J$2:$J$600,MATCH($H527&amp;"|"&amp;$I527&amp;"|"&amp;$J527&amp;"|"&amp;7,Assessments!$A$2:$A$600,0)),0)</f>
        <v>0</v>
      </c>
      <c r="DD527" s="28" t="n">
        <f aca="false">IFERROR(INDEX(Assessments!$J$2:$J$600,MATCH($H527&amp;"|"&amp;$I527&amp;"|"&amp;$J527&amp;"|"&amp;8,Assessments!$A$2:$A$600,0)),0)</f>
        <v>0</v>
      </c>
      <c r="DE527" s="28" t="n">
        <f aca="false">IFERROR(INDEX(Assessments!$J$2:$J$600,MATCH($H527&amp;"|"&amp;$I527&amp;"|"&amp;$J527&amp;"|"&amp;9,Assessments!$A$2:$A$600,0)),0)</f>
        <v>0</v>
      </c>
      <c r="DF527" s="28" t="n">
        <f aca="false">IFERROR(INDEX(Assessments!$J$2:$J$600,MATCH($H527&amp;"|"&amp;$I527&amp;"|"&amp;$J527&amp;"|"&amp;10,Assessments!$A$2:$A$600,0)),0)</f>
        <v>0</v>
      </c>
      <c r="DG527" s="28" t="n">
        <f aca="false">IFERROR(INDEX(Assessments!$J$2:$J$600,MATCH($H527&amp;"|"&amp;$I527&amp;"|"&amp;$J527&amp;"|"&amp;11,Assessments!$A$2:$A$600,0)),0)</f>
        <v>0</v>
      </c>
      <c r="DH527" s="28" t="n">
        <f aca="false">IFERROR(INDEX(Assessments!$J$2:$J$600,MATCH($H527&amp;"|"&amp;$I527&amp;"|"&amp;$J527&amp;"|"&amp;12,Assessments!$A$2:$A$600,0)),0)</f>
        <v>0</v>
      </c>
      <c r="DI527" s="28" t="n">
        <f aca="false">IFERROR(INDEX(Assessments!$J$2:$J$600,MATCH($H527&amp;"|"&amp;$I527&amp;"|"&amp;$J527&amp;"|"&amp;13,Assessments!$A$2:$A$600,0)),0)</f>
        <v>0</v>
      </c>
      <c r="DJ527" s="28" t="n">
        <f aca="false">IFERROR(INDEX(Assessments!$J$2:$J$600,MATCH($H527&amp;"|"&amp;$I527&amp;"|"&amp;$J527&amp;"|"&amp;14,Assessments!$A$2:$A$600,0)),0)</f>
        <v>0</v>
      </c>
      <c r="DK527" s="28" t="str">
        <f aca="false">S527</f>
        <v/>
      </c>
      <c r="DL527" s="28" t="str">
        <f aca="false">W527</f>
        <v/>
      </c>
      <c r="DM527" s="28" t="str">
        <f aca="false">AA527</f>
        <v/>
      </c>
      <c r="DN527" s="28" t="str">
        <f aca="false">AE527</f>
        <v/>
      </c>
      <c r="DO527" s="28" t="str">
        <f aca="false">AI527</f>
        <v/>
      </c>
      <c r="DP527" s="28" t="str">
        <f aca="false">AM527</f>
        <v/>
      </c>
      <c r="DQ527" s="28" t="str">
        <f aca="false">AQ527</f>
        <v/>
      </c>
      <c r="DR527" s="28" t="str">
        <f aca="false">AU527</f>
        <v/>
      </c>
      <c r="DS527" s="28" t="str">
        <f aca="false">AY527</f>
        <v/>
      </c>
      <c r="DT527" s="28" t="str">
        <f aca="false">BC527</f>
        <v/>
      </c>
      <c r="DU527" s="28" t="str">
        <f aca="false">BG527</f>
        <v/>
      </c>
      <c r="DV527" s="28" t="str">
        <f aca="false">BK527</f>
        <v/>
      </c>
      <c r="DW527" s="28" t="str">
        <f aca="false">BO527</f>
        <v/>
      </c>
      <c r="DX527" s="28" t="str">
        <f aca="false">BS527</f>
        <v/>
      </c>
      <c r="DY527" s="28" t="str">
        <f aca="false">IF(ISNUMBER(S527),1,"")</f>
        <v/>
      </c>
      <c r="DZ527" s="28" t="str">
        <f aca="false">IF(ISNUMBER(W527),2,"")</f>
        <v/>
      </c>
      <c r="EA527" s="28" t="str">
        <f aca="false">IF(ISNUMBER(AA527),3,"")</f>
        <v/>
      </c>
      <c r="EB527" s="28" t="str">
        <f aca="false">IF(ISNUMBER(AE527),4,"")</f>
        <v/>
      </c>
      <c r="EC527" s="28" t="str">
        <f aca="false">IF(ISNUMBER(AI527),5,"")</f>
        <v/>
      </c>
      <c r="ED527" s="28" t="str">
        <f aca="false">IF(ISNUMBER(AM527),6,"")</f>
        <v/>
      </c>
      <c r="EE527" s="28" t="str">
        <f aca="false">IF(ISNUMBER(AQ527),7,"")</f>
        <v/>
      </c>
      <c r="EF527" s="28" t="str">
        <f aca="false">IF(ISNUMBER(AU527),8,"")</f>
        <v/>
      </c>
      <c r="EG527" s="28" t="str">
        <f aca="false">IF(ISNUMBER(AY527),9,"")</f>
        <v/>
      </c>
      <c r="EH527" s="28" t="str">
        <f aca="false">IF(ISNUMBER(BC527),10,"")</f>
        <v/>
      </c>
      <c r="EI527" s="28" t="str">
        <f aca="false">IF(ISNUMBER(BG527),11,"")</f>
        <v/>
      </c>
      <c r="EJ527" s="28" t="str">
        <f aca="false">IF(ISNUMBER(BK527),12,"")</f>
        <v/>
      </c>
      <c r="EK527" s="28" t="str">
        <f aca="false">IF(ISNUMBER(BO527),13,"")</f>
        <v/>
      </c>
      <c r="EL527" s="28" t="str">
        <f aca="false">IF(ISNUMBER(BS527),14,"")</f>
        <v/>
      </c>
      <c r="EM527" s="28" t="n">
        <f aca="false">IF(ISNUMBER(R527),R527*CW527,0)</f>
        <v>0</v>
      </c>
      <c r="EN527" s="28" t="n">
        <f aca="false">IF(ISNUMBER(V527),V527*CX527,0)</f>
        <v>0</v>
      </c>
      <c r="EO527" s="28" t="n">
        <f aca="false">IF(ISNUMBER(Z527),Z527*CY527,0)</f>
        <v>0</v>
      </c>
      <c r="EP527" s="28" t="n">
        <f aca="false">IF(ISNUMBER(AD527),AD527*CZ527,0)</f>
        <v>0</v>
      </c>
      <c r="EQ527" s="28" t="n">
        <f aca="false">IF(ISNUMBER(AH527),AH527*DA527,0)</f>
        <v>0</v>
      </c>
      <c r="ER527" s="28" t="n">
        <f aca="false">IF(ISNUMBER(AL527),AL527*DB527,0)</f>
        <v>0</v>
      </c>
      <c r="ES527" s="28" t="n">
        <f aca="false">IF(ISNUMBER(AP527),AP527*DC527,0)</f>
        <v>0</v>
      </c>
      <c r="ET527" s="28" t="n">
        <f aca="false">IF(ISNUMBER(AT527),AT527*DD527,0)</f>
        <v>0</v>
      </c>
      <c r="EU527" s="28" t="n">
        <f aca="false">IF(ISNUMBER(AX527),AX527*DE527,0)</f>
        <v>0</v>
      </c>
      <c r="EV527" s="28" t="n">
        <f aca="false">IF(ISNUMBER(BB527),BB527*DF527,0)</f>
        <v>0</v>
      </c>
      <c r="EW527" s="28" t="n">
        <f aca="false">IF(ISNUMBER(BF527),BF527*DG527,0)</f>
        <v>0</v>
      </c>
      <c r="EX527" s="28" t="n">
        <f aca="false">IF(ISNUMBER(BJ527),BJ527*DH527,0)</f>
        <v>0</v>
      </c>
      <c r="EY527" s="28" t="n">
        <f aca="false">IF(ISNUMBER(BN527),BN527*DI527,0)</f>
        <v>0</v>
      </c>
      <c r="EZ527" s="28" t="n">
        <f aca="false">IF(ISNUMBER(BR527),BR527*DJ527,0)</f>
        <v>0</v>
      </c>
      <c r="FA527" s="28" t="n">
        <f aca="false">IF(ISNUMBER(R527),CW527,0)</f>
        <v>0</v>
      </c>
      <c r="FB527" s="28" t="n">
        <f aca="false">IF(ISNUMBER(V527),CX527,0)</f>
        <v>0</v>
      </c>
      <c r="FC527" s="28" t="n">
        <f aca="false">IF(ISNUMBER(Z527),CY527,0)</f>
        <v>0</v>
      </c>
      <c r="FD527" s="28" t="n">
        <f aca="false">IF(ISNUMBER(AD527),CZ527,0)</f>
        <v>0</v>
      </c>
      <c r="FE527" s="28" t="n">
        <f aca="false">IF(ISNUMBER(AH527),DA527,0)</f>
        <v>0</v>
      </c>
      <c r="FF527" s="28" t="n">
        <f aca="false">IF(ISNUMBER(AL527),DB527,0)</f>
        <v>0</v>
      </c>
      <c r="FG527" s="28" t="n">
        <f aca="false">IF(ISNUMBER(AP527),DC527,0)</f>
        <v>0</v>
      </c>
      <c r="FH527" s="28" t="n">
        <f aca="false">IF(ISNUMBER(AT527),DD527,0)</f>
        <v>0</v>
      </c>
      <c r="FI527" s="28" t="n">
        <f aca="false">IF(ISNUMBER(AX527),DE527,0)</f>
        <v>0</v>
      </c>
      <c r="FJ527" s="28" t="n">
        <f aca="false">IF(ISNUMBER(BB527),DF527,0)</f>
        <v>0</v>
      </c>
      <c r="FK527" s="28" t="n">
        <f aca="false">IF(ISNUMBER(BF527),DG527,0)</f>
        <v>0</v>
      </c>
      <c r="FL527" s="28" t="n">
        <f aca="false">IF(ISNUMBER(BJ527),DH527,0)</f>
        <v>0</v>
      </c>
      <c r="FM527" s="28" t="n">
        <f aca="false">IF(ISNUMBER(BN527),DI527,0)</f>
        <v>0</v>
      </c>
      <c r="FN527" s="28" t="n">
        <f aca="false">IF(ISNUMBER(BR527),DJ527,0)</f>
        <v>0</v>
      </c>
      <c r="FO527" s="28" t="str">
        <f aca="false">IFERROR(INDEX(Lists!$G$2:$G$20,MATCH($I527&amp;"|"&amp;$J527,Lists!$F$2:$F$20,0)),"")</f>
        <v/>
      </c>
    </row>
    <row r="528" customFormat="false" ht="19.5" hidden="false" customHeight="true" outlineLevel="0" collapsed="false">
      <c r="A528" s="29"/>
      <c r="B528" s="29"/>
      <c r="C528" s="30"/>
      <c r="D528" s="30"/>
      <c r="E528" s="31"/>
      <c r="F528" s="30"/>
      <c r="G528" s="30"/>
      <c r="H528" s="32"/>
      <c r="I528" s="33"/>
      <c r="J528" s="32"/>
      <c r="K528" s="34" t="str">
        <f aca="false">IF(OR(M528="",$E528=""),"",M528-$E528)</f>
        <v/>
      </c>
      <c r="L528" s="35" t="str">
        <f aca="false">IF(SUM(FA528:FN528)=0,"",SUM(EM528:EZ528)/SUM(FA528:FN528))</f>
        <v/>
      </c>
      <c r="M528" s="36" t="str">
        <f aca="false">IF(OR(L528="",FO528=""),"",IFERROR(MATCH(L528,INDEX(Boundaries!$B$2:$I$30,MATCH(FO528,Boundaries!$A$2:$A$30,0),0),1)-1,""))</f>
        <v/>
      </c>
      <c r="N528" s="37" t="str">
        <f aca="false">IF(COUNT($DY528:$EL528)&lt;2,"",INDEX($DK528:$DX528,MAX($DY528:$EL528))-INDEX($DK528:$DX528,MIN($DY528:$EL528)))</f>
        <v/>
      </c>
      <c r="O528" s="37" t="str">
        <f aca="false">IF(COUNT($DY528:$EL528)&lt;2,"",INDEX($DK528:$DX528,MAX($DY528:$EL528))-INDEX($DK528:$DX528,LARGE($DY528:$EL528,2)))</f>
        <v/>
      </c>
      <c r="P528" s="38" t="str">
        <f aca="false">IF(K528="","",IF(K528&gt;=0,"On/above target",IF(AND(N528&lt;&gt;"",N528&gt;=0.5),"Improving towards target",IF(AND(O528&lt;&gt;"",O528&lt;=-0.5),"Declining","Stable below target"))))</f>
        <v/>
      </c>
      <c r="Q528" s="39"/>
      <c r="R528" s="40" t="str">
        <f aca="false">IF(OR(Q528="",BU528=""),"",Q528/BU528*100)</f>
        <v/>
      </c>
      <c r="S528" s="41" t="str">
        <f aca="false">IF(R528="","",IFERROR(MATCH(R528,INDEX(Boundaries!$B$2:$I$30,MATCH(CI528,Boundaries!$A$2:$A$30,0),0),1)-1,""))</f>
        <v/>
      </c>
      <c r="T528" s="42" t="str">
        <f aca="false">IF(OR(S528="",$E528=""),"",S528-$E528)</f>
        <v/>
      </c>
      <c r="U528" s="39"/>
      <c r="V528" s="40" t="str">
        <f aca="false">IF(OR(U528="",BV528=""),"",U528/BV528*100)</f>
        <v/>
      </c>
      <c r="W528" s="41" t="str">
        <f aca="false">IF(V528="","",IFERROR(MATCH(V528,INDEX(Boundaries!$B$2:$I$30,MATCH(CJ528,Boundaries!$A$2:$A$30,0),0),1)-1,""))</f>
        <v/>
      </c>
      <c r="X528" s="42" t="str">
        <f aca="false">IF(OR(W528="",$E528=""),"",W528-$E528)</f>
        <v/>
      </c>
      <c r="Y528" s="39"/>
      <c r="Z528" s="40" t="str">
        <f aca="false">IF(OR(Y528="",BW528=""),"",Y528/BW528*100)</f>
        <v/>
      </c>
      <c r="AA528" s="41" t="str">
        <f aca="false">IF(Z528="","",IFERROR(MATCH(Z528,INDEX(Boundaries!$B$2:$I$30,MATCH(CK528,Boundaries!$A$2:$A$30,0),0),1)-1,""))</f>
        <v/>
      </c>
      <c r="AB528" s="42" t="str">
        <f aca="false">IF(OR(AA528="",$E528=""),"",AA528-$E528)</f>
        <v/>
      </c>
      <c r="AC528" s="39"/>
      <c r="AD528" s="40" t="str">
        <f aca="false">IF(OR(AC528="",BX528=""),"",AC528/BX528*100)</f>
        <v/>
      </c>
      <c r="AE528" s="41" t="str">
        <f aca="false">IF(AD528="","",IFERROR(MATCH(AD528,INDEX(Boundaries!$B$2:$I$30,MATCH(CL528,Boundaries!$A$2:$A$30,0),0),1)-1,""))</f>
        <v/>
      </c>
      <c r="AF528" s="42" t="str">
        <f aca="false">IF(OR(AE528="",$E528=""),"",AE528-$E528)</f>
        <v/>
      </c>
      <c r="AG528" s="39"/>
      <c r="AH528" s="40" t="str">
        <f aca="false">IF(OR(AG528="",BY528=""),"",AG528/BY528*100)</f>
        <v/>
      </c>
      <c r="AI528" s="41" t="str">
        <f aca="false">IF(AH528="","",IFERROR(MATCH(AH528,INDEX(Boundaries!$B$2:$I$30,MATCH(CM528,Boundaries!$A$2:$A$30,0),0),1)-1,""))</f>
        <v/>
      </c>
      <c r="AJ528" s="42" t="str">
        <f aca="false">IF(OR(AI528="",$E528=""),"",AI528-$E528)</f>
        <v/>
      </c>
      <c r="AK528" s="39"/>
      <c r="AL528" s="40" t="str">
        <f aca="false">IF(OR(AK528="",BZ528=""),"",AK528/BZ528*100)</f>
        <v/>
      </c>
      <c r="AM528" s="41" t="str">
        <f aca="false">IF(AL528="","",IFERROR(MATCH(AL528,INDEX(Boundaries!$B$2:$I$30,MATCH(CN528,Boundaries!$A$2:$A$30,0),0),1)-1,""))</f>
        <v/>
      </c>
      <c r="AN528" s="42" t="str">
        <f aca="false">IF(OR(AM528="",$E528=""),"",AM528-$E528)</f>
        <v/>
      </c>
      <c r="AO528" s="39"/>
      <c r="AP528" s="40" t="str">
        <f aca="false">IF(OR(AO528="",CA528=""),"",AO528/CA528*100)</f>
        <v/>
      </c>
      <c r="AQ528" s="41" t="str">
        <f aca="false">IF(AP528="","",IFERROR(MATCH(AP528,INDEX(Boundaries!$B$2:$I$30,MATCH(CO528,Boundaries!$A$2:$A$30,0),0),1)-1,""))</f>
        <v/>
      </c>
      <c r="AR528" s="42" t="str">
        <f aca="false">IF(OR(AQ528="",$E528=""),"",AQ528-$E528)</f>
        <v/>
      </c>
      <c r="AS528" s="39"/>
      <c r="AT528" s="40" t="str">
        <f aca="false">IF(OR(AS528="",CB528=""),"",AS528/CB528*100)</f>
        <v/>
      </c>
      <c r="AU528" s="41" t="str">
        <f aca="false">IF(AT528="","",IFERROR(MATCH(AT528,INDEX(Boundaries!$B$2:$I$30,MATCH(CP528,Boundaries!$A$2:$A$30,0),0),1)-1,""))</f>
        <v/>
      </c>
      <c r="AV528" s="42" t="str">
        <f aca="false">IF(OR(AU528="",$E528=""),"",AU528-$E528)</f>
        <v/>
      </c>
      <c r="AW528" s="39"/>
      <c r="AX528" s="40" t="str">
        <f aca="false">IF(OR(AW528="",CC528=""),"",AW528/CC528*100)</f>
        <v/>
      </c>
      <c r="AY528" s="41" t="str">
        <f aca="false">IF(AX528="","",IFERROR(MATCH(AX528,INDEX(Boundaries!$B$2:$I$30,MATCH(CQ528,Boundaries!$A$2:$A$30,0),0),1)-1,""))</f>
        <v/>
      </c>
      <c r="AZ528" s="42" t="str">
        <f aca="false">IF(OR(AY528="",$E528=""),"",AY528-$E528)</f>
        <v/>
      </c>
      <c r="BA528" s="39"/>
      <c r="BB528" s="40" t="str">
        <f aca="false">IF(OR(BA528="",CD528=""),"",BA528/CD528*100)</f>
        <v/>
      </c>
      <c r="BC528" s="41" t="str">
        <f aca="false">IF(BB528="","",IFERROR(MATCH(BB528,INDEX(Boundaries!$B$2:$I$30,MATCH(CR528,Boundaries!$A$2:$A$30,0),0),1)-1,""))</f>
        <v/>
      </c>
      <c r="BD528" s="42" t="str">
        <f aca="false">IF(OR(BC528="",$E528=""),"",BC528-$E528)</f>
        <v/>
      </c>
      <c r="BE528" s="39"/>
      <c r="BF528" s="40" t="str">
        <f aca="false">IF(OR(BE528="",CE528=""),"",BE528/CE528*100)</f>
        <v/>
      </c>
      <c r="BG528" s="41" t="str">
        <f aca="false">IF(BF528="","",IFERROR(MATCH(BF528,INDEX(Boundaries!$B$2:$I$30,MATCH(CS528,Boundaries!$A$2:$A$30,0),0),1)-1,""))</f>
        <v/>
      </c>
      <c r="BH528" s="42" t="str">
        <f aca="false">IF(OR(BG528="",$E528=""),"",BG528-$E528)</f>
        <v/>
      </c>
      <c r="BI528" s="39"/>
      <c r="BJ528" s="40" t="str">
        <f aca="false">IF(OR(BI528="",CF528=""),"",BI528/CF528*100)</f>
        <v/>
      </c>
      <c r="BK528" s="41" t="str">
        <f aca="false">IF(BJ528="","",IFERROR(MATCH(BJ528,INDEX(Boundaries!$B$2:$I$30,MATCH(CT528,Boundaries!$A$2:$A$30,0),0),1)-1,""))</f>
        <v/>
      </c>
      <c r="BL528" s="42" t="str">
        <f aca="false">IF(OR(BK528="",$E528=""),"",BK528-$E528)</f>
        <v/>
      </c>
      <c r="BM528" s="39"/>
      <c r="BN528" s="40" t="str">
        <f aca="false">IF(OR(BM528="",CG528=""),"",BM528/CG528*100)</f>
        <v/>
      </c>
      <c r="BO528" s="41" t="str">
        <f aca="false">IF(BN528="","",IFERROR(MATCH(BN528,INDEX(Boundaries!$B$2:$I$30,MATCH(CU528,Boundaries!$A$2:$A$30,0),0),1)-1,""))</f>
        <v/>
      </c>
      <c r="BP528" s="42" t="str">
        <f aca="false">IF(OR(BO528="",$E528=""),"",BO528-$E528)</f>
        <v/>
      </c>
      <c r="BQ528" s="39"/>
      <c r="BR528" s="40" t="str">
        <f aca="false">IF(OR(BQ528="",CH528=""),"",BQ528/CH528*100)</f>
        <v/>
      </c>
      <c r="BS528" s="41" t="str">
        <f aca="false">IF(BR528="","",IFERROR(MATCH(BR528,INDEX(Boundaries!$B$2:$I$30,MATCH(CV528,Boundaries!$A$2:$A$30,0),0),1)-1,""))</f>
        <v/>
      </c>
      <c r="BT528" s="42" t="str">
        <f aca="false">IF(OR(BS528="",$E528=""),"",BS528-$E528)</f>
        <v/>
      </c>
      <c r="BU528" s="28" t="str">
        <f aca="false">IFERROR(INDEX(Assessments!$H$2:$H$600,MATCH($H528&amp;"|"&amp;$I528&amp;"|"&amp;$J528&amp;"|"&amp;1,Assessments!$A$2:$A$600,0)),"")</f>
        <v/>
      </c>
      <c r="BV528" s="28" t="str">
        <f aca="false">IFERROR(INDEX(Assessments!$H$2:$H$600,MATCH($H528&amp;"|"&amp;$I528&amp;"|"&amp;$J528&amp;"|"&amp;2,Assessments!$A$2:$A$600,0)),"")</f>
        <v/>
      </c>
      <c r="BW528" s="28" t="str">
        <f aca="false">IFERROR(INDEX(Assessments!$H$2:$H$600,MATCH($H528&amp;"|"&amp;$I528&amp;"|"&amp;$J528&amp;"|"&amp;3,Assessments!$A$2:$A$600,0)),"")</f>
        <v/>
      </c>
      <c r="BX528" s="28" t="str">
        <f aca="false">IFERROR(INDEX(Assessments!$H$2:$H$600,MATCH($H528&amp;"|"&amp;$I528&amp;"|"&amp;$J528&amp;"|"&amp;4,Assessments!$A$2:$A$600,0)),"")</f>
        <v/>
      </c>
      <c r="BY528" s="28" t="str">
        <f aca="false">IFERROR(INDEX(Assessments!$H$2:$H$600,MATCH($H528&amp;"|"&amp;$I528&amp;"|"&amp;$J528&amp;"|"&amp;5,Assessments!$A$2:$A$600,0)),"")</f>
        <v/>
      </c>
      <c r="BZ528" s="28" t="str">
        <f aca="false">IFERROR(INDEX(Assessments!$H$2:$H$600,MATCH($H528&amp;"|"&amp;$I528&amp;"|"&amp;$J528&amp;"|"&amp;6,Assessments!$A$2:$A$600,0)),"")</f>
        <v/>
      </c>
      <c r="CA528" s="28" t="str">
        <f aca="false">IFERROR(INDEX(Assessments!$H$2:$H$600,MATCH($H528&amp;"|"&amp;$I528&amp;"|"&amp;$J528&amp;"|"&amp;7,Assessments!$A$2:$A$600,0)),"")</f>
        <v/>
      </c>
      <c r="CB528" s="28" t="str">
        <f aca="false">IFERROR(INDEX(Assessments!$H$2:$H$600,MATCH($H528&amp;"|"&amp;$I528&amp;"|"&amp;$J528&amp;"|"&amp;8,Assessments!$A$2:$A$600,0)),"")</f>
        <v/>
      </c>
      <c r="CC528" s="28" t="str">
        <f aca="false">IFERROR(INDEX(Assessments!$H$2:$H$600,MATCH($H528&amp;"|"&amp;$I528&amp;"|"&amp;$J528&amp;"|"&amp;9,Assessments!$A$2:$A$600,0)),"")</f>
        <v/>
      </c>
      <c r="CD528" s="28" t="str">
        <f aca="false">IFERROR(INDEX(Assessments!$H$2:$H$600,MATCH($H528&amp;"|"&amp;$I528&amp;"|"&amp;$J528&amp;"|"&amp;10,Assessments!$A$2:$A$600,0)),"")</f>
        <v/>
      </c>
      <c r="CE528" s="28" t="str">
        <f aca="false">IFERROR(INDEX(Assessments!$H$2:$H$600,MATCH($H528&amp;"|"&amp;$I528&amp;"|"&amp;$J528&amp;"|"&amp;11,Assessments!$A$2:$A$600,0)),"")</f>
        <v/>
      </c>
      <c r="CF528" s="28" t="str">
        <f aca="false">IFERROR(INDEX(Assessments!$H$2:$H$600,MATCH($H528&amp;"|"&amp;$I528&amp;"|"&amp;$J528&amp;"|"&amp;12,Assessments!$A$2:$A$600,0)),"")</f>
        <v/>
      </c>
      <c r="CG528" s="28" t="str">
        <f aca="false">IFERROR(INDEX(Assessments!$H$2:$H$600,MATCH($H528&amp;"|"&amp;$I528&amp;"|"&amp;$J528&amp;"|"&amp;13,Assessments!$A$2:$A$600,0)),"")</f>
        <v/>
      </c>
      <c r="CH528" s="28" t="str">
        <f aca="false">IFERROR(INDEX(Assessments!$H$2:$H$600,MATCH($H528&amp;"|"&amp;$I528&amp;"|"&amp;$J528&amp;"|"&amp;14,Assessments!$A$2:$A$600,0)),"")</f>
        <v/>
      </c>
      <c r="CI528" s="28" t="str">
        <f aca="false">IFERROR(INDEX(Assessments!$I$2:$I$600,MATCH($H528&amp;"|"&amp;$I528&amp;"|"&amp;$J528&amp;"|"&amp;1,Assessments!$A$2:$A$600,0)),"")</f>
        <v/>
      </c>
      <c r="CJ528" s="28" t="str">
        <f aca="false">IFERROR(INDEX(Assessments!$I$2:$I$600,MATCH($H528&amp;"|"&amp;$I528&amp;"|"&amp;$J528&amp;"|"&amp;2,Assessments!$A$2:$A$600,0)),"")</f>
        <v/>
      </c>
      <c r="CK528" s="28" t="str">
        <f aca="false">IFERROR(INDEX(Assessments!$I$2:$I$600,MATCH($H528&amp;"|"&amp;$I528&amp;"|"&amp;$J528&amp;"|"&amp;3,Assessments!$A$2:$A$600,0)),"")</f>
        <v/>
      </c>
      <c r="CL528" s="28" t="str">
        <f aca="false">IFERROR(INDEX(Assessments!$I$2:$I$600,MATCH($H528&amp;"|"&amp;$I528&amp;"|"&amp;$J528&amp;"|"&amp;4,Assessments!$A$2:$A$600,0)),"")</f>
        <v/>
      </c>
      <c r="CM528" s="28" t="str">
        <f aca="false">IFERROR(INDEX(Assessments!$I$2:$I$600,MATCH($H528&amp;"|"&amp;$I528&amp;"|"&amp;$J528&amp;"|"&amp;5,Assessments!$A$2:$A$600,0)),"")</f>
        <v/>
      </c>
      <c r="CN528" s="28" t="str">
        <f aca="false">IFERROR(INDEX(Assessments!$I$2:$I$600,MATCH($H528&amp;"|"&amp;$I528&amp;"|"&amp;$J528&amp;"|"&amp;6,Assessments!$A$2:$A$600,0)),"")</f>
        <v/>
      </c>
      <c r="CO528" s="28" t="str">
        <f aca="false">IFERROR(INDEX(Assessments!$I$2:$I$600,MATCH($H528&amp;"|"&amp;$I528&amp;"|"&amp;$J528&amp;"|"&amp;7,Assessments!$A$2:$A$600,0)),"")</f>
        <v/>
      </c>
      <c r="CP528" s="28" t="str">
        <f aca="false">IFERROR(INDEX(Assessments!$I$2:$I$600,MATCH($H528&amp;"|"&amp;$I528&amp;"|"&amp;$J528&amp;"|"&amp;8,Assessments!$A$2:$A$600,0)),"")</f>
        <v/>
      </c>
      <c r="CQ528" s="28" t="str">
        <f aca="false">IFERROR(INDEX(Assessments!$I$2:$I$600,MATCH($H528&amp;"|"&amp;$I528&amp;"|"&amp;$J528&amp;"|"&amp;9,Assessments!$A$2:$A$600,0)),"")</f>
        <v/>
      </c>
      <c r="CR528" s="28" t="str">
        <f aca="false">IFERROR(INDEX(Assessments!$I$2:$I$600,MATCH($H528&amp;"|"&amp;$I528&amp;"|"&amp;$J528&amp;"|"&amp;10,Assessments!$A$2:$A$600,0)),"")</f>
        <v/>
      </c>
      <c r="CS528" s="28" t="str">
        <f aca="false">IFERROR(INDEX(Assessments!$I$2:$I$600,MATCH($H528&amp;"|"&amp;$I528&amp;"|"&amp;$J528&amp;"|"&amp;11,Assessments!$A$2:$A$600,0)),"")</f>
        <v/>
      </c>
      <c r="CT528" s="28" t="str">
        <f aca="false">IFERROR(INDEX(Assessments!$I$2:$I$600,MATCH($H528&amp;"|"&amp;$I528&amp;"|"&amp;$J528&amp;"|"&amp;12,Assessments!$A$2:$A$600,0)),"")</f>
        <v/>
      </c>
      <c r="CU528" s="28" t="str">
        <f aca="false">IFERROR(INDEX(Assessments!$I$2:$I$600,MATCH($H528&amp;"|"&amp;$I528&amp;"|"&amp;$J528&amp;"|"&amp;13,Assessments!$A$2:$A$600,0)),"")</f>
        <v/>
      </c>
      <c r="CV528" s="28" t="str">
        <f aca="false">IFERROR(INDEX(Assessments!$I$2:$I$600,MATCH($H528&amp;"|"&amp;$I528&amp;"|"&amp;$J528&amp;"|"&amp;14,Assessments!$A$2:$A$600,0)),"")</f>
        <v/>
      </c>
      <c r="CW528" s="28" t="n">
        <f aca="false">IFERROR(INDEX(Assessments!$J$2:$J$600,MATCH($H528&amp;"|"&amp;$I528&amp;"|"&amp;$J528&amp;"|"&amp;1,Assessments!$A$2:$A$600,0)),0)</f>
        <v>0</v>
      </c>
      <c r="CX528" s="28" t="n">
        <f aca="false">IFERROR(INDEX(Assessments!$J$2:$J$600,MATCH($H528&amp;"|"&amp;$I528&amp;"|"&amp;$J528&amp;"|"&amp;2,Assessments!$A$2:$A$600,0)),0)</f>
        <v>0</v>
      </c>
      <c r="CY528" s="28" t="n">
        <f aca="false">IFERROR(INDEX(Assessments!$J$2:$J$600,MATCH($H528&amp;"|"&amp;$I528&amp;"|"&amp;$J528&amp;"|"&amp;3,Assessments!$A$2:$A$600,0)),0)</f>
        <v>0</v>
      </c>
      <c r="CZ528" s="28" t="n">
        <f aca="false">IFERROR(INDEX(Assessments!$J$2:$J$600,MATCH($H528&amp;"|"&amp;$I528&amp;"|"&amp;$J528&amp;"|"&amp;4,Assessments!$A$2:$A$600,0)),0)</f>
        <v>0</v>
      </c>
      <c r="DA528" s="28" t="n">
        <f aca="false">IFERROR(INDEX(Assessments!$J$2:$J$600,MATCH($H528&amp;"|"&amp;$I528&amp;"|"&amp;$J528&amp;"|"&amp;5,Assessments!$A$2:$A$600,0)),0)</f>
        <v>0</v>
      </c>
      <c r="DB528" s="28" t="n">
        <f aca="false">IFERROR(INDEX(Assessments!$J$2:$J$600,MATCH($H528&amp;"|"&amp;$I528&amp;"|"&amp;$J528&amp;"|"&amp;6,Assessments!$A$2:$A$600,0)),0)</f>
        <v>0</v>
      </c>
      <c r="DC528" s="28" t="n">
        <f aca="false">IFERROR(INDEX(Assessments!$J$2:$J$600,MATCH($H528&amp;"|"&amp;$I528&amp;"|"&amp;$J528&amp;"|"&amp;7,Assessments!$A$2:$A$600,0)),0)</f>
        <v>0</v>
      </c>
      <c r="DD528" s="28" t="n">
        <f aca="false">IFERROR(INDEX(Assessments!$J$2:$J$600,MATCH($H528&amp;"|"&amp;$I528&amp;"|"&amp;$J528&amp;"|"&amp;8,Assessments!$A$2:$A$600,0)),0)</f>
        <v>0</v>
      </c>
      <c r="DE528" s="28" t="n">
        <f aca="false">IFERROR(INDEX(Assessments!$J$2:$J$600,MATCH($H528&amp;"|"&amp;$I528&amp;"|"&amp;$J528&amp;"|"&amp;9,Assessments!$A$2:$A$600,0)),0)</f>
        <v>0</v>
      </c>
      <c r="DF528" s="28" t="n">
        <f aca="false">IFERROR(INDEX(Assessments!$J$2:$J$600,MATCH($H528&amp;"|"&amp;$I528&amp;"|"&amp;$J528&amp;"|"&amp;10,Assessments!$A$2:$A$600,0)),0)</f>
        <v>0</v>
      </c>
      <c r="DG528" s="28" t="n">
        <f aca="false">IFERROR(INDEX(Assessments!$J$2:$J$600,MATCH($H528&amp;"|"&amp;$I528&amp;"|"&amp;$J528&amp;"|"&amp;11,Assessments!$A$2:$A$600,0)),0)</f>
        <v>0</v>
      </c>
      <c r="DH528" s="28" t="n">
        <f aca="false">IFERROR(INDEX(Assessments!$J$2:$J$600,MATCH($H528&amp;"|"&amp;$I528&amp;"|"&amp;$J528&amp;"|"&amp;12,Assessments!$A$2:$A$600,0)),0)</f>
        <v>0</v>
      </c>
      <c r="DI528" s="28" t="n">
        <f aca="false">IFERROR(INDEX(Assessments!$J$2:$J$600,MATCH($H528&amp;"|"&amp;$I528&amp;"|"&amp;$J528&amp;"|"&amp;13,Assessments!$A$2:$A$600,0)),0)</f>
        <v>0</v>
      </c>
      <c r="DJ528" s="28" t="n">
        <f aca="false">IFERROR(INDEX(Assessments!$J$2:$J$600,MATCH($H528&amp;"|"&amp;$I528&amp;"|"&amp;$J528&amp;"|"&amp;14,Assessments!$A$2:$A$600,0)),0)</f>
        <v>0</v>
      </c>
      <c r="DK528" s="28" t="str">
        <f aca="false">S528</f>
        <v/>
      </c>
      <c r="DL528" s="28" t="str">
        <f aca="false">W528</f>
        <v/>
      </c>
      <c r="DM528" s="28" t="str">
        <f aca="false">AA528</f>
        <v/>
      </c>
      <c r="DN528" s="28" t="str">
        <f aca="false">AE528</f>
        <v/>
      </c>
      <c r="DO528" s="28" t="str">
        <f aca="false">AI528</f>
        <v/>
      </c>
      <c r="DP528" s="28" t="str">
        <f aca="false">AM528</f>
        <v/>
      </c>
      <c r="DQ528" s="28" t="str">
        <f aca="false">AQ528</f>
        <v/>
      </c>
      <c r="DR528" s="28" t="str">
        <f aca="false">AU528</f>
        <v/>
      </c>
      <c r="DS528" s="28" t="str">
        <f aca="false">AY528</f>
        <v/>
      </c>
      <c r="DT528" s="28" t="str">
        <f aca="false">BC528</f>
        <v/>
      </c>
      <c r="DU528" s="28" t="str">
        <f aca="false">BG528</f>
        <v/>
      </c>
      <c r="DV528" s="28" t="str">
        <f aca="false">BK528</f>
        <v/>
      </c>
      <c r="DW528" s="28" t="str">
        <f aca="false">BO528</f>
        <v/>
      </c>
      <c r="DX528" s="28" t="str">
        <f aca="false">BS528</f>
        <v/>
      </c>
      <c r="DY528" s="28" t="str">
        <f aca="false">IF(ISNUMBER(S528),1,"")</f>
        <v/>
      </c>
      <c r="DZ528" s="28" t="str">
        <f aca="false">IF(ISNUMBER(W528),2,"")</f>
        <v/>
      </c>
      <c r="EA528" s="28" t="str">
        <f aca="false">IF(ISNUMBER(AA528),3,"")</f>
        <v/>
      </c>
      <c r="EB528" s="28" t="str">
        <f aca="false">IF(ISNUMBER(AE528),4,"")</f>
        <v/>
      </c>
      <c r="EC528" s="28" t="str">
        <f aca="false">IF(ISNUMBER(AI528),5,"")</f>
        <v/>
      </c>
      <c r="ED528" s="28" t="str">
        <f aca="false">IF(ISNUMBER(AM528),6,"")</f>
        <v/>
      </c>
      <c r="EE528" s="28" t="str">
        <f aca="false">IF(ISNUMBER(AQ528),7,"")</f>
        <v/>
      </c>
      <c r="EF528" s="28" t="str">
        <f aca="false">IF(ISNUMBER(AU528),8,"")</f>
        <v/>
      </c>
      <c r="EG528" s="28" t="str">
        <f aca="false">IF(ISNUMBER(AY528),9,"")</f>
        <v/>
      </c>
      <c r="EH528" s="28" t="str">
        <f aca="false">IF(ISNUMBER(BC528),10,"")</f>
        <v/>
      </c>
      <c r="EI528" s="28" t="str">
        <f aca="false">IF(ISNUMBER(BG528),11,"")</f>
        <v/>
      </c>
      <c r="EJ528" s="28" t="str">
        <f aca="false">IF(ISNUMBER(BK528),12,"")</f>
        <v/>
      </c>
      <c r="EK528" s="28" t="str">
        <f aca="false">IF(ISNUMBER(BO528),13,"")</f>
        <v/>
      </c>
      <c r="EL528" s="28" t="str">
        <f aca="false">IF(ISNUMBER(BS528),14,"")</f>
        <v/>
      </c>
      <c r="EM528" s="28" t="n">
        <f aca="false">IF(ISNUMBER(R528),R528*CW528,0)</f>
        <v>0</v>
      </c>
      <c r="EN528" s="28" t="n">
        <f aca="false">IF(ISNUMBER(V528),V528*CX528,0)</f>
        <v>0</v>
      </c>
      <c r="EO528" s="28" t="n">
        <f aca="false">IF(ISNUMBER(Z528),Z528*CY528,0)</f>
        <v>0</v>
      </c>
      <c r="EP528" s="28" t="n">
        <f aca="false">IF(ISNUMBER(AD528),AD528*CZ528,0)</f>
        <v>0</v>
      </c>
      <c r="EQ528" s="28" t="n">
        <f aca="false">IF(ISNUMBER(AH528),AH528*DA528,0)</f>
        <v>0</v>
      </c>
      <c r="ER528" s="28" t="n">
        <f aca="false">IF(ISNUMBER(AL528),AL528*DB528,0)</f>
        <v>0</v>
      </c>
      <c r="ES528" s="28" t="n">
        <f aca="false">IF(ISNUMBER(AP528),AP528*DC528,0)</f>
        <v>0</v>
      </c>
      <c r="ET528" s="28" t="n">
        <f aca="false">IF(ISNUMBER(AT528),AT528*DD528,0)</f>
        <v>0</v>
      </c>
      <c r="EU528" s="28" t="n">
        <f aca="false">IF(ISNUMBER(AX528),AX528*DE528,0)</f>
        <v>0</v>
      </c>
      <c r="EV528" s="28" t="n">
        <f aca="false">IF(ISNUMBER(BB528),BB528*DF528,0)</f>
        <v>0</v>
      </c>
      <c r="EW528" s="28" t="n">
        <f aca="false">IF(ISNUMBER(BF528),BF528*DG528,0)</f>
        <v>0</v>
      </c>
      <c r="EX528" s="28" t="n">
        <f aca="false">IF(ISNUMBER(BJ528),BJ528*DH528,0)</f>
        <v>0</v>
      </c>
      <c r="EY528" s="28" t="n">
        <f aca="false">IF(ISNUMBER(BN528),BN528*DI528,0)</f>
        <v>0</v>
      </c>
      <c r="EZ528" s="28" t="n">
        <f aca="false">IF(ISNUMBER(BR528),BR528*DJ528,0)</f>
        <v>0</v>
      </c>
      <c r="FA528" s="28" t="n">
        <f aca="false">IF(ISNUMBER(R528),CW528,0)</f>
        <v>0</v>
      </c>
      <c r="FB528" s="28" t="n">
        <f aca="false">IF(ISNUMBER(V528),CX528,0)</f>
        <v>0</v>
      </c>
      <c r="FC528" s="28" t="n">
        <f aca="false">IF(ISNUMBER(Z528),CY528,0)</f>
        <v>0</v>
      </c>
      <c r="FD528" s="28" t="n">
        <f aca="false">IF(ISNUMBER(AD528),CZ528,0)</f>
        <v>0</v>
      </c>
      <c r="FE528" s="28" t="n">
        <f aca="false">IF(ISNUMBER(AH528),DA528,0)</f>
        <v>0</v>
      </c>
      <c r="FF528" s="28" t="n">
        <f aca="false">IF(ISNUMBER(AL528),DB528,0)</f>
        <v>0</v>
      </c>
      <c r="FG528" s="28" t="n">
        <f aca="false">IF(ISNUMBER(AP528),DC528,0)</f>
        <v>0</v>
      </c>
      <c r="FH528" s="28" t="n">
        <f aca="false">IF(ISNUMBER(AT528),DD528,0)</f>
        <v>0</v>
      </c>
      <c r="FI528" s="28" t="n">
        <f aca="false">IF(ISNUMBER(AX528),DE528,0)</f>
        <v>0</v>
      </c>
      <c r="FJ528" s="28" t="n">
        <f aca="false">IF(ISNUMBER(BB528),DF528,0)</f>
        <v>0</v>
      </c>
      <c r="FK528" s="28" t="n">
        <f aca="false">IF(ISNUMBER(BF528),DG528,0)</f>
        <v>0</v>
      </c>
      <c r="FL528" s="28" t="n">
        <f aca="false">IF(ISNUMBER(BJ528),DH528,0)</f>
        <v>0</v>
      </c>
      <c r="FM528" s="28" t="n">
        <f aca="false">IF(ISNUMBER(BN528),DI528,0)</f>
        <v>0</v>
      </c>
      <c r="FN528" s="28" t="n">
        <f aca="false">IF(ISNUMBER(BR528),DJ528,0)</f>
        <v>0</v>
      </c>
      <c r="FO528" s="28" t="str">
        <f aca="false">IFERROR(INDEX(Lists!$G$2:$G$20,MATCH($I528&amp;"|"&amp;$J528,Lists!$F$2:$F$20,0)),"")</f>
        <v/>
      </c>
    </row>
    <row r="529" customFormat="false" ht="19.5" hidden="false" customHeight="true" outlineLevel="0" collapsed="false">
      <c r="A529" s="29"/>
      <c r="B529" s="29"/>
      <c r="C529" s="30"/>
      <c r="D529" s="30"/>
      <c r="E529" s="31"/>
      <c r="F529" s="30"/>
      <c r="G529" s="30"/>
      <c r="H529" s="32"/>
      <c r="I529" s="33"/>
      <c r="J529" s="32"/>
      <c r="K529" s="34" t="str">
        <f aca="false">IF(OR(M529="",$E529=""),"",M529-$E529)</f>
        <v/>
      </c>
      <c r="L529" s="35" t="str">
        <f aca="false">IF(SUM(FA529:FN529)=0,"",SUM(EM529:EZ529)/SUM(FA529:FN529))</f>
        <v/>
      </c>
      <c r="M529" s="36" t="str">
        <f aca="false">IF(OR(L529="",FO529=""),"",IFERROR(MATCH(L529,INDEX(Boundaries!$B$2:$I$30,MATCH(FO529,Boundaries!$A$2:$A$30,0),0),1)-1,""))</f>
        <v/>
      </c>
      <c r="N529" s="37" t="str">
        <f aca="false">IF(COUNT($DY529:$EL529)&lt;2,"",INDEX($DK529:$DX529,MAX($DY529:$EL529))-INDEX($DK529:$DX529,MIN($DY529:$EL529)))</f>
        <v/>
      </c>
      <c r="O529" s="37" t="str">
        <f aca="false">IF(COUNT($DY529:$EL529)&lt;2,"",INDEX($DK529:$DX529,MAX($DY529:$EL529))-INDEX($DK529:$DX529,LARGE($DY529:$EL529,2)))</f>
        <v/>
      </c>
      <c r="P529" s="38" t="str">
        <f aca="false">IF(K529="","",IF(K529&gt;=0,"On/above target",IF(AND(N529&lt;&gt;"",N529&gt;=0.5),"Improving towards target",IF(AND(O529&lt;&gt;"",O529&lt;=-0.5),"Declining","Stable below target"))))</f>
        <v/>
      </c>
      <c r="Q529" s="39"/>
      <c r="R529" s="40" t="str">
        <f aca="false">IF(OR(Q529="",BU529=""),"",Q529/BU529*100)</f>
        <v/>
      </c>
      <c r="S529" s="41" t="str">
        <f aca="false">IF(R529="","",IFERROR(MATCH(R529,INDEX(Boundaries!$B$2:$I$30,MATCH(CI529,Boundaries!$A$2:$A$30,0),0),1)-1,""))</f>
        <v/>
      </c>
      <c r="T529" s="42" t="str">
        <f aca="false">IF(OR(S529="",$E529=""),"",S529-$E529)</f>
        <v/>
      </c>
      <c r="U529" s="39"/>
      <c r="V529" s="40" t="str">
        <f aca="false">IF(OR(U529="",BV529=""),"",U529/BV529*100)</f>
        <v/>
      </c>
      <c r="W529" s="41" t="str">
        <f aca="false">IF(V529="","",IFERROR(MATCH(V529,INDEX(Boundaries!$B$2:$I$30,MATCH(CJ529,Boundaries!$A$2:$A$30,0),0),1)-1,""))</f>
        <v/>
      </c>
      <c r="X529" s="42" t="str">
        <f aca="false">IF(OR(W529="",$E529=""),"",W529-$E529)</f>
        <v/>
      </c>
      <c r="Y529" s="39"/>
      <c r="Z529" s="40" t="str">
        <f aca="false">IF(OR(Y529="",BW529=""),"",Y529/BW529*100)</f>
        <v/>
      </c>
      <c r="AA529" s="41" t="str">
        <f aca="false">IF(Z529="","",IFERROR(MATCH(Z529,INDEX(Boundaries!$B$2:$I$30,MATCH(CK529,Boundaries!$A$2:$A$30,0),0),1)-1,""))</f>
        <v/>
      </c>
      <c r="AB529" s="42" t="str">
        <f aca="false">IF(OR(AA529="",$E529=""),"",AA529-$E529)</f>
        <v/>
      </c>
      <c r="AC529" s="39"/>
      <c r="AD529" s="40" t="str">
        <f aca="false">IF(OR(AC529="",BX529=""),"",AC529/BX529*100)</f>
        <v/>
      </c>
      <c r="AE529" s="41" t="str">
        <f aca="false">IF(AD529="","",IFERROR(MATCH(AD529,INDEX(Boundaries!$B$2:$I$30,MATCH(CL529,Boundaries!$A$2:$A$30,0),0),1)-1,""))</f>
        <v/>
      </c>
      <c r="AF529" s="42" t="str">
        <f aca="false">IF(OR(AE529="",$E529=""),"",AE529-$E529)</f>
        <v/>
      </c>
      <c r="AG529" s="39"/>
      <c r="AH529" s="40" t="str">
        <f aca="false">IF(OR(AG529="",BY529=""),"",AG529/BY529*100)</f>
        <v/>
      </c>
      <c r="AI529" s="41" t="str">
        <f aca="false">IF(AH529="","",IFERROR(MATCH(AH529,INDEX(Boundaries!$B$2:$I$30,MATCH(CM529,Boundaries!$A$2:$A$30,0),0),1)-1,""))</f>
        <v/>
      </c>
      <c r="AJ529" s="42" t="str">
        <f aca="false">IF(OR(AI529="",$E529=""),"",AI529-$E529)</f>
        <v/>
      </c>
      <c r="AK529" s="39"/>
      <c r="AL529" s="40" t="str">
        <f aca="false">IF(OR(AK529="",BZ529=""),"",AK529/BZ529*100)</f>
        <v/>
      </c>
      <c r="AM529" s="41" t="str">
        <f aca="false">IF(AL529="","",IFERROR(MATCH(AL529,INDEX(Boundaries!$B$2:$I$30,MATCH(CN529,Boundaries!$A$2:$A$30,0),0),1)-1,""))</f>
        <v/>
      </c>
      <c r="AN529" s="42" t="str">
        <f aca="false">IF(OR(AM529="",$E529=""),"",AM529-$E529)</f>
        <v/>
      </c>
      <c r="AO529" s="39"/>
      <c r="AP529" s="40" t="str">
        <f aca="false">IF(OR(AO529="",CA529=""),"",AO529/CA529*100)</f>
        <v/>
      </c>
      <c r="AQ529" s="41" t="str">
        <f aca="false">IF(AP529="","",IFERROR(MATCH(AP529,INDEX(Boundaries!$B$2:$I$30,MATCH(CO529,Boundaries!$A$2:$A$30,0),0),1)-1,""))</f>
        <v/>
      </c>
      <c r="AR529" s="42" t="str">
        <f aca="false">IF(OR(AQ529="",$E529=""),"",AQ529-$E529)</f>
        <v/>
      </c>
      <c r="AS529" s="39"/>
      <c r="AT529" s="40" t="str">
        <f aca="false">IF(OR(AS529="",CB529=""),"",AS529/CB529*100)</f>
        <v/>
      </c>
      <c r="AU529" s="41" t="str">
        <f aca="false">IF(AT529="","",IFERROR(MATCH(AT529,INDEX(Boundaries!$B$2:$I$30,MATCH(CP529,Boundaries!$A$2:$A$30,0),0),1)-1,""))</f>
        <v/>
      </c>
      <c r="AV529" s="42" t="str">
        <f aca="false">IF(OR(AU529="",$E529=""),"",AU529-$E529)</f>
        <v/>
      </c>
      <c r="AW529" s="39"/>
      <c r="AX529" s="40" t="str">
        <f aca="false">IF(OR(AW529="",CC529=""),"",AW529/CC529*100)</f>
        <v/>
      </c>
      <c r="AY529" s="41" t="str">
        <f aca="false">IF(AX529="","",IFERROR(MATCH(AX529,INDEX(Boundaries!$B$2:$I$30,MATCH(CQ529,Boundaries!$A$2:$A$30,0),0),1)-1,""))</f>
        <v/>
      </c>
      <c r="AZ529" s="42" t="str">
        <f aca="false">IF(OR(AY529="",$E529=""),"",AY529-$E529)</f>
        <v/>
      </c>
      <c r="BA529" s="39"/>
      <c r="BB529" s="40" t="str">
        <f aca="false">IF(OR(BA529="",CD529=""),"",BA529/CD529*100)</f>
        <v/>
      </c>
      <c r="BC529" s="41" t="str">
        <f aca="false">IF(BB529="","",IFERROR(MATCH(BB529,INDEX(Boundaries!$B$2:$I$30,MATCH(CR529,Boundaries!$A$2:$A$30,0),0),1)-1,""))</f>
        <v/>
      </c>
      <c r="BD529" s="42" t="str">
        <f aca="false">IF(OR(BC529="",$E529=""),"",BC529-$E529)</f>
        <v/>
      </c>
      <c r="BE529" s="39"/>
      <c r="BF529" s="40" t="str">
        <f aca="false">IF(OR(BE529="",CE529=""),"",BE529/CE529*100)</f>
        <v/>
      </c>
      <c r="BG529" s="41" t="str">
        <f aca="false">IF(BF529="","",IFERROR(MATCH(BF529,INDEX(Boundaries!$B$2:$I$30,MATCH(CS529,Boundaries!$A$2:$A$30,0),0),1)-1,""))</f>
        <v/>
      </c>
      <c r="BH529" s="42" t="str">
        <f aca="false">IF(OR(BG529="",$E529=""),"",BG529-$E529)</f>
        <v/>
      </c>
      <c r="BI529" s="39"/>
      <c r="BJ529" s="40" t="str">
        <f aca="false">IF(OR(BI529="",CF529=""),"",BI529/CF529*100)</f>
        <v/>
      </c>
      <c r="BK529" s="41" t="str">
        <f aca="false">IF(BJ529="","",IFERROR(MATCH(BJ529,INDEX(Boundaries!$B$2:$I$30,MATCH(CT529,Boundaries!$A$2:$A$30,0),0),1)-1,""))</f>
        <v/>
      </c>
      <c r="BL529" s="42" t="str">
        <f aca="false">IF(OR(BK529="",$E529=""),"",BK529-$E529)</f>
        <v/>
      </c>
      <c r="BM529" s="39"/>
      <c r="BN529" s="40" t="str">
        <f aca="false">IF(OR(BM529="",CG529=""),"",BM529/CG529*100)</f>
        <v/>
      </c>
      <c r="BO529" s="41" t="str">
        <f aca="false">IF(BN529="","",IFERROR(MATCH(BN529,INDEX(Boundaries!$B$2:$I$30,MATCH(CU529,Boundaries!$A$2:$A$30,0),0),1)-1,""))</f>
        <v/>
      </c>
      <c r="BP529" s="42" t="str">
        <f aca="false">IF(OR(BO529="",$E529=""),"",BO529-$E529)</f>
        <v/>
      </c>
      <c r="BQ529" s="39"/>
      <c r="BR529" s="40" t="str">
        <f aca="false">IF(OR(BQ529="",CH529=""),"",BQ529/CH529*100)</f>
        <v/>
      </c>
      <c r="BS529" s="41" t="str">
        <f aca="false">IF(BR529="","",IFERROR(MATCH(BR529,INDEX(Boundaries!$B$2:$I$30,MATCH(CV529,Boundaries!$A$2:$A$30,0),0),1)-1,""))</f>
        <v/>
      </c>
      <c r="BT529" s="42" t="str">
        <f aca="false">IF(OR(BS529="",$E529=""),"",BS529-$E529)</f>
        <v/>
      </c>
      <c r="BU529" s="28" t="str">
        <f aca="false">IFERROR(INDEX(Assessments!$H$2:$H$600,MATCH($H529&amp;"|"&amp;$I529&amp;"|"&amp;$J529&amp;"|"&amp;1,Assessments!$A$2:$A$600,0)),"")</f>
        <v/>
      </c>
      <c r="BV529" s="28" t="str">
        <f aca="false">IFERROR(INDEX(Assessments!$H$2:$H$600,MATCH($H529&amp;"|"&amp;$I529&amp;"|"&amp;$J529&amp;"|"&amp;2,Assessments!$A$2:$A$600,0)),"")</f>
        <v/>
      </c>
      <c r="BW529" s="28" t="str">
        <f aca="false">IFERROR(INDEX(Assessments!$H$2:$H$600,MATCH($H529&amp;"|"&amp;$I529&amp;"|"&amp;$J529&amp;"|"&amp;3,Assessments!$A$2:$A$600,0)),"")</f>
        <v/>
      </c>
      <c r="BX529" s="28" t="str">
        <f aca="false">IFERROR(INDEX(Assessments!$H$2:$H$600,MATCH($H529&amp;"|"&amp;$I529&amp;"|"&amp;$J529&amp;"|"&amp;4,Assessments!$A$2:$A$600,0)),"")</f>
        <v/>
      </c>
      <c r="BY529" s="28" t="str">
        <f aca="false">IFERROR(INDEX(Assessments!$H$2:$H$600,MATCH($H529&amp;"|"&amp;$I529&amp;"|"&amp;$J529&amp;"|"&amp;5,Assessments!$A$2:$A$600,0)),"")</f>
        <v/>
      </c>
      <c r="BZ529" s="28" t="str">
        <f aca="false">IFERROR(INDEX(Assessments!$H$2:$H$600,MATCH($H529&amp;"|"&amp;$I529&amp;"|"&amp;$J529&amp;"|"&amp;6,Assessments!$A$2:$A$600,0)),"")</f>
        <v/>
      </c>
      <c r="CA529" s="28" t="str">
        <f aca="false">IFERROR(INDEX(Assessments!$H$2:$H$600,MATCH($H529&amp;"|"&amp;$I529&amp;"|"&amp;$J529&amp;"|"&amp;7,Assessments!$A$2:$A$600,0)),"")</f>
        <v/>
      </c>
      <c r="CB529" s="28" t="str">
        <f aca="false">IFERROR(INDEX(Assessments!$H$2:$H$600,MATCH($H529&amp;"|"&amp;$I529&amp;"|"&amp;$J529&amp;"|"&amp;8,Assessments!$A$2:$A$600,0)),"")</f>
        <v/>
      </c>
      <c r="CC529" s="28" t="str">
        <f aca="false">IFERROR(INDEX(Assessments!$H$2:$H$600,MATCH($H529&amp;"|"&amp;$I529&amp;"|"&amp;$J529&amp;"|"&amp;9,Assessments!$A$2:$A$600,0)),"")</f>
        <v/>
      </c>
      <c r="CD529" s="28" t="str">
        <f aca="false">IFERROR(INDEX(Assessments!$H$2:$H$600,MATCH($H529&amp;"|"&amp;$I529&amp;"|"&amp;$J529&amp;"|"&amp;10,Assessments!$A$2:$A$600,0)),"")</f>
        <v/>
      </c>
      <c r="CE529" s="28" t="str">
        <f aca="false">IFERROR(INDEX(Assessments!$H$2:$H$600,MATCH($H529&amp;"|"&amp;$I529&amp;"|"&amp;$J529&amp;"|"&amp;11,Assessments!$A$2:$A$600,0)),"")</f>
        <v/>
      </c>
      <c r="CF529" s="28" t="str">
        <f aca="false">IFERROR(INDEX(Assessments!$H$2:$H$600,MATCH($H529&amp;"|"&amp;$I529&amp;"|"&amp;$J529&amp;"|"&amp;12,Assessments!$A$2:$A$600,0)),"")</f>
        <v/>
      </c>
      <c r="CG529" s="28" t="str">
        <f aca="false">IFERROR(INDEX(Assessments!$H$2:$H$600,MATCH($H529&amp;"|"&amp;$I529&amp;"|"&amp;$J529&amp;"|"&amp;13,Assessments!$A$2:$A$600,0)),"")</f>
        <v/>
      </c>
      <c r="CH529" s="28" t="str">
        <f aca="false">IFERROR(INDEX(Assessments!$H$2:$H$600,MATCH($H529&amp;"|"&amp;$I529&amp;"|"&amp;$J529&amp;"|"&amp;14,Assessments!$A$2:$A$600,0)),"")</f>
        <v/>
      </c>
      <c r="CI529" s="28" t="str">
        <f aca="false">IFERROR(INDEX(Assessments!$I$2:$I$600,MATCH($H529&amp;"|"&amp;$I529&amp;"|"&amp;$J529&amp;"|"&amp;1,Assessments!$A$2:$A$600,0)),"")</f>
        <v/>
      </c>
      <c r="CJ529" s="28" t="str">
        <f aca="false">IFERROR(INDEX(Assessments!$I$2:$I$600,MATCH($H529&amp;"|"&amp;$I529&amp;"|"&amp;$J529&amp;"|"&amp;2,Assessments!$A$2:$A$600,0)),"")</f>
        <v/>
      </c>
      <c r="CK529" s="28" t="str">
        <f aca="false">IFERROR(INDEX(Assessments!$I$2:$I$600,MATCH($H529&amp;"|"&amp;$I529&amp;"|"&amp;$J529&amp;"|"&amp;3,Assessments!$A$2:$A$600,0)),"")</f>
        <v/>
      </c>
      <c r="CL529" s="28" t="str">
        <f aca="false">IFERROR(INDEX(Assessments!$I$2:$I$600,MATCH($H529&amp;"|"&amp;$I529&amp;"|"&amp;$J529&amp;"|"&amp;4,Assessments!$A$2:$A$600,0)),"")</f>
        <v/>
      </c>
      <c r="CM529" s="28" t="str">
        <f aca="false">IFERROR(INDEX(Assessments!$I$2:$I$600,MATCH($H529&amp;"|"&amp;$I529&amp;"|"&amp;$J529&amp;"|"&amp;5,Assessments!$A$2:$A$600,0)),"")</f>
        <v/>
      </c>
      <c r="CN529" s="28" t="str">
        <f aca="false">IFERROR(INDEX(Assessments!$I$2:$I$600,MATCH($H529&amp;"|"&amp;$I529&amp;"|"&amp;$J529&amp;"|"&amp;6,Assessments!$A$2:$A$600,0)),"")</f>
        <v/>
      </c>
      <c r="CO529" s="28" t="str">
        <f aca="false">IFERROR(INDEX(Assessments!$I$2:$I$600,MATCH($H529&amp;"|"&amp;$I529&amp;"|"&amp;$J529&amp;"|"&amp;7,Assessments!$A$2:$A$600,0)),"")</f>
        <v/>
      </c>
      <c r="CP529" s="28" t="str">
        <f aca="false">IFERROR(INDEX(Assessments!$I$2:$I$600,MATCH($H529&amp;"|"&amp;$I529&amp;"|"&amp;$J529&amp;"|"&amp;8,Assessments!$A$2:$A$600,0)),"")</f>
        <v/>
      </c>
      <c r="CQ529" s="28" t="str">
        <f aca="false">IFERROR(INDEX(Assessments!$I$2:$I$600,MATCH($H529&amp;"|"&amp;$I529&amp;"|"&amp;$J529&amp;"|"&amp;9,Assessments!$A$2:$A$600,0)),"")</f>
        <v/>
      </c>
      <c r="CR529" s="28" t="str">
        <f aca="false">IFERROR(INDEX(Assessments!$I$2:$I$600,MATCH($H529&amp;"|"&amp;$I529&amp;"|"&amp;$J529&amp;"|"&amp;10,Assessments!$A$2:$A$600,0)),"")</f>
        <v/>
      </c>
      <c r="CS529" s="28" t="str">
        <f aca="false">IFERROR(INDEX(Assessments!$I$2:$I$600,MATCH($H529&amp;"|"&amp;$I529&amp;"|"&amp;$J529&amp;"|"&amp;11,Assessments!$A$2:$A$600,0)),"")</f>
        <v/>
      </c>
      <c r="CT529" s="28" t="str">
        <f aca="false">IFERROR(INDEX(Assessments!$I$2:$I$600,MATCH($H529&amp;"|"&amp;$I529&amp;"|"&amp;$J529&amp;"|"&amp;12,Assessments!$A$2:$A$600,0)),"")</f>
        <v/>
      </c>
      <c r="CU529" s="28" t="str">
        <f aca="false">IFERROR(INDEX(Assessments!$I$2:$I$600,MATCH($H529&amp;"|"&amp;$I529&amp;"|"&amp;$J529&amp;"|"&amp;13,Assessments!$A$2:$A$600,0)),"")</f>
        <v/>
      </c>
      <c r="CV529" s="28" t="str">
        <f aca="false">IFERROR(INDEX(Assessments!$I$2:$I$600,MATCH($H529&amp;"|"&amp;$I529&amp;"|"&amp;$J529&amp;"|"&amp;14,Assessments!$A$2:$A$600,0)),"")</f>
        <v/>
      </c>
      <c r="CW529" s="28" t="n">
        <f aca="false">IFERROR(INDEX(Assessments!$J$2:$J$600,MATCH($H529&amp;"|"&amp;$I529&amp;"|"&amp;$J529&amp;"|"&amp;1,Assessments!$A$2:$A$600,0)),0)</f>
        <v>0</v>
      </c>
      <c r="CX529" s="28" t="n">
        <f aca="false">IFERROR(INDEX(Assessments!$J$2:$J$600,MATCH($H529&amp;"|"&amp;$I529&amp;"|"&amp;$J529&amp;"|"&amp;2,Assessments!$A$2:$A$600,0)),0)</f>
        <v>0</v>
      </c>
      <c r="CY529" s="28" t="n">
        <f aca="false">IFERROR(INDEX(Assessments!$J$2:$J$600,MATCH($H529&amp;"|"&amp;$I529&amp;"|"&amp;$J529&amp;"|"&amp;3,Assessments!$A$2:$A$600,0)),0)</f>
        <v>0</v>
      </c>
      <c r="CZ529" s="28" t="n">
        <f aca="false">IFERROR(INDEX(Assessments!$J$2:$J$600,MATCH($H529&amp;"|"&amp;$I529&amp;"|"&amp;$J529&amp;"|"&amp;4,Assessments!$A$2:$A$600,0)),0)</f>
        <v>0</v>
      </c>
      <c r="DA529" s="28" t="n">
        <f aca="false">IFERROR(INDEX(Assessments!$J$2:$J$600,MATCH($H529&amp;"|"&amp;$I529&amp;"|"&amp;$J529&amp;"|"&amp;5,Assessments!$A$2:$A$600,0)),0)</f>
        <v>0</v>
      </c>
      <c r="DB529" s="28" t="n">
        <f aca="false">IFERROR(INDEX(Assessments!$J$2:$J$600,MATCH($H529&amp;"|"&amp;$I529&amp;"|"&amp;$J529&amp;"|"&amp;6,Assessments!$A$2:$A$600,0)),0)</f>
        <v>0</v>
      </c>
      <c r="DC529" s="28" t="n">
        <f aca="false">IFERROR(INDEX(Assessments!$J$2:$J$600,MATCH($H529&amp;"|"&amp;$I529&amp;"|"&amp;$J529&amp;"|"&amp;7,Assessments!$A$2:$A$600,0)),0)</f>
        <v>0</v>
      </c>
      <c r="DD529" s="28" t="n">
        <f aca="false">IFERROR(INDEX(Assessments!$J$2:$J$600,MATCH($H529&amp;"|"&amp;$I529&amp;"|"&amp;$J529&amp;"|"&amp;8,Assessments!$A$2:$A$600,0)),0)</f>
        <v>0</v>
      </c>
      <c r="DE529" s="28" t="n">
        <f aca="false">IFERROR(INDEX(Assessments!$J$2:$J$600,MATCH($H529&amp;"|"&amp;$I529&amp;"|"&amp;$J529&amp;"|"&amp;9,Assessments!$A$2:$A$600,0)),0)</f>
        <v>0</v>
      </c>
      <c r="DF529" s="28" t="n">
        <f aca="false">IFERROR(INDEX(Assessments!$J$2:$J$600,MATCH($H529&amp;"|"&amp;$I529&amp;"|"&amp;$J529&amp;"|"&amp;10,Assessments!$A$2:$A$600,0)),0)</f>
        <v>0</v>
      </c>
      <c r="DG529" s="28" t="n">
        <f aca="false">IFERROR(INDEX(Assessments!$J$2:$J$600,MATCH($H529&amp;"|"&amp;$I529&amp;"|"&amp;$J529&amp;"|"&amp;11,Assessments!$A$2:$A$600,0)),0)</f>
        <v>0</v>
      </c>
      <c r="DH529" s="28" t="n">
        <f aca="false">IFERROR(INDEX(Assessments!$J$2:$J$600,MATCH($H529&amp;"|"&amp;$I529&amp;"|"&amp;$J529&amp;"|"&amp;12,Assessments!$A$2:$A$600,0)),0)</f>
        <v>0</v>
      </c>
      <c r="DI529" s="28" t="n">
        <f aca="false">IFERROR(INDEX(Assessments!$J$2:$J$600,MATCH($H529&amp;"|"&amp;$I529&amp;"|"&amp;$J529&amp;"|"&amp;13,Assessments!$A$2:$A$600,0)),0)</f>
        <v>0</v>
      </c>
      <c r="DJ529" s="28" t="n">
        <f aca="false">IFERROR(INDEX(Assessments!$J$2:$J$600,MATCH($H529&amp;"|"&amp;$I529&amp;"|"&amp;$J529&amp;"|"&amp;14,Assessments!$A$2:$A$600,0)),0)</f>
        <v>0</v>
      </c>
      <c r="DK529" s="28" t="str">
        <f aca="false">S529</f>
        <v/>
      </c>
      <c r="DL529" s="28" t="str">
        <f aca="false">W529</f>
        <v/>
      </c>
      <c r="DM529" s="28" t="str">
        <f aca="false">AA529</f>
        <v/>
      </c>
      <c r="DN529" s="28" t="str">
        <f aca="false">AE529</f>
        <v/>
      </c>
      <c r="DO529" s="28" t="str">
        <f aca="false">AI529</f>
        <v/>
      </c>
      <c r="DP529" s="28" t="str">
        <f aca="false">AM529</f>
        <v/>
      </c>
      <c r="DQ529" s="28" t="str">
        <f aca="false">AQ529</f>
        <v/>
      </c>
      <c r="DR529" s="28" t="str">
        <f aca="false">AU529</f>
        <v/>
      </c>
      <c r="DS529" s="28" t="str">
        <f aca="false">AY529</f>
        <v/>
      </c>
      <c r="DT529" s="28" t="str">
        <f aca="false">BC529</f>
        <v/>
      </c>
      <c r="DU529" s="28" t="str">
        <f aca="false">BG529</f>
        <v/>
      </c>
      <c r="DV529" s="28" t="str">
        <f aca="false">BK529</f>
        <v/>
      </c>
      <c r="DW529" s="28" t="str">
        <f aca="false">BO529</f>
        <v/>
      </c>
      <c r="DX529" s="28" t="str">
        <f aca="false">BS529</f>
        <v/>
      </c>
      <c r="DY529" s="28" t="str">
        <f aca="false">IF(ISNUMBER(S529),1,"")</f>
        <v/>
      </c>
      <c r="DZ529" s="28" t="str">
        <f aca="false">IF(ISNUMBER(W529),2,"")</f>
        <v/>
      </c>
      <c r="EA529" s="28" t="str">
        <f aca="false">IF(ISNUMBER(AA529),3,"")</f>
        <v/>
      </c>
      <c r="EB529" s="28" t="str">
        <f aca="false">IF(ISNUMBER(AE529),4,"")</f>
        <v/>
      </c>
      <c r="EC529" s="28" t="str">
        <f aca="false">IF(ISNUMBER(AI529),5,"")</f>
        <v/>
      </c>
      <c r="ED529" s="28" t="str">
        <f aca="false">IF(ISNUMBER(AM529),6,"")</f>
        <v/>
      </c>
      <c r="EE529" s="28" t="str">
        <f aca="false">IF(ISNUMBER(AQ529),7,"")</f>
        <v/>
      </c>
      <c r="EF529" s="28" t="str">
        <f aca="false">IF(ISNUMBER(AU529),8,"")</f>
        <v/>
      </c>
      <c r="EG529" s="28" t="str">
        <f aca="false">IF(ISNUMBER(AY529),9,"")</f>
        <v/>
      </c>
      <c r="EH529" s="28" t="str">
        <f aca="false">IF(ISNUMBER(BC529),10,"")</f>
        <v/>
      </c>
      <c r="EI529" s="28" t="str">
        <f aca="false">IF(ISNUMBER(BG529),11,"")</f>
        <v/>
      </c>
      <c r="EJ529" s="28" t="str">
        <f aca="false">IF(ISNUMBER(BK529),12,"")</f>
        <v/>
      </c>
      <c r="EK529" s="28" t="str">
        <f aca="false">IF(ISNUMBER(BO529),13,"")</f>
        <v/>
      </c>
      <c r="EL529" s="28" t="str">
        <f aca="false">IF(ISNUMBER(BS529),14,"")</f>
        <v/>
      </c>
      <c r="EM529" s="28" t="n">
        <f aca="false">IF(ISNUMBER(R529),R529*CW529,0)</f>
        <v>0</v>
      </c>
      <c r="EN529" s="28" t="n">
        <f aca="false">IF(ISNUMBER(V529),V529*CX529,0)</f>
        <v>0</v>
      </c>
      <c r="EO529" s="28" t="n">
        <f aca="false">IF(ISNUMBER(Z529),Z529*CY529,0)</f>
        <v>0</v>
      </c>
      <c r="EP529" s="28" t="n">
        <f aca="false">IF(ISNUMBER(AD529),AD529*CZ529,0)</f>
        <v>0</v>
      </c>
      <c r="EQ529" s="28" t="n">
        <f aca="false">IF(ISNUMBER(AH529),AH529*DA529,0)</f>
        <v>0</v>
      </c>
      <c r="ER529" s="28" t="n">
        <f aca="false">IF(ISNUMBER(AL529),AL529*DB529,0)</f>
        <v>0</v>
      </c>
      <c r="ES529" s="28" t="n">
        <f aca="false">IF(ISNUMBER(AP529),AP529*DC529,0)</f>
        <v>0</v>
      </c>
      <c r="ET529" s="28" t="n">
        <f aca="false">IF(ISNUMBER(AT529),AT529*DD529,0)</f>
        <v>0</v>
      </c>
      <c r="EU529" s="28" t="n">
        <f aca="false">IF(ISNUMBER(AX529),AX529*DE529,0)</f>
        <v>0</v>
      </c>
      <c r="EV529" s="28" t="n">
        <f aca="false">IF(ISNUMBER(BB529),BB529*DF529,0)</f>
        <v>0</v>
      </c>
      <c r="EW529" s="28" t="n">
        <f aca="false">IF(ISNUMBER(BF529),BF529*DG529,0)</f>
        <v>0</v>
      </c>
      <c r="EX529" s="28" t="n">
        <f aca="false">IF(ISNUMBER(BJ529),BJ529*DH529,0)</f>
        <v>0</v>
      </c>
      <c r="EY529" s="28" t="n">
        <f aca="false">IF(ISNUMBER(BN529),BN529*DI529,0)</f>
        <v>0</v>
      </c>
      <c r="EZ529" s="28" t="n">
        <f aca="false">IF(ISNUMBER(BR529),BR529*DJ529,0)</f>
        <v>0</v>
      </c>
      <c r="FA529" s="28" t="n">
        <f aca="false">IF(ISNUMBER(R529),CW529,0)</f>
        <v>0</v>
      </c>
      <c r="FB529" s="28" t="n">
        <f aca="false">IF(ISNUMBER(V529),CX529,0)</f>
        <v>0</v>
      </c>
      <c r="FC529" s="28" t="n">
        <f aca="false">IF(ISNUMBER(Z529),CY529,0)</f>
        <v>0</v>
      </c>
      <c r="FD529" s="28" t="n">
        <f aca="false">IF(ISNUMBER(AD529),CZ529,0)</f>
        <v>0</v>
      </c>
      <c r="FE529" s="28" t="n">
        <f aca="false">IF(ISNUMBER(AH529),DA529,0)</f>
        <v>0</v>
      </c>
      <c r="FF529" s="28" t="n">
        <f aca="false">IF(ISNUMBER(AL529),DB529,0)</f>
        <v>0</v>
      </c>
      <c r="FG529" s="28" t="n">
        <f aca="false">IF(ISNUMBER(AP529),DC529,0)</f>
        <v>0</v>
      </c>
      <c r="FH529" s="28" t="n">
        <f aca="false">IF(ISNUMBER(AT529),DD529,0)</f>
        <v>0</v>
      </c>
      <c r="FI529" s="28" t="n">
        <f aca="false">IF(ISNUMBER(AX529),DE529,0)</f>
        <v>0</v>
      </c>
      <c r="FJ529" s="28" t="n">
        <f aca="false">IF(ISNUMBER(BB529),DF529,0)</f>
        <v>0</v>
      </c>
      <c r="FK529" s="28" t="n">
        <f aca="false">IF(ISNUMBER(BF529),DG529,0)</f>
        <v>0</v>
      </c>
      <c r="FL529" s="28" t="n">
        <f aca="false">IF(ISNUMBER(BJ529),DH529,0)</f>
        <v>0</v>
      </c>
      <c r="FM529" s="28" t="n">
        <f aca="false">IF(ISNUMBER(BN529),DI529,0)</f>
        <v>0</v>
      </c>
      <c r="FN529" s="28" t="n">
        <f aca="false">IF(ISNUMBER(BR529),DJ529,0)</f>
        <v>0</v>
      </c>
      <c r="FO529" s="28" t="str">
        <f aca="false">IFERROR(INDEX(Lists!$G$2:$G$20,MATCH($I529&amp;"|"&amp;$J529,Lists!$F$2:$F$20,0)),"")</f>
        <v/>
      </c>
    </row>
    <row r="530" customFormat="false" ht="19.5" hidden="false" customHeight="true" outlineLevel="0" collapsed="false">
      <c r="A530" s="29"/>
      <c r="B530" s="29"/>
      <c r="C530" s="30"/>
      <c r="D530" s="30"/>
      <c r="E530" s="31"/>
      <c r="F530" s="30"/>
      <c r="G530" s="30"/>
      <c r="H530" s="32"/>
      <c r="I530" s="33"/>
      <c r="J530" s="32"/>
      <c r="K530" s="34" t="str">
        <f aca="false">IF(OR(M530="",$E530=""),"",M530-$E530)</f>
        <v/>
      </c>
      <c r="L530" s="35" t="str">
        <f aca="false">IF(SUM(FA530:FN530)=0,"",SUM(EM530:EZ530)/SUM(FA530:FN530))</f>
        <v/>
      </c>
      <c r="M530" s="36" t="str">
        <f aca="false">IF(OR(L530="",FO530=""),"",IFERROR(MATCH(L530,INDEX(Boundaries!$B$2:$I$30,MATCH(FO530,Boundaries!$A$2:$A$30,0),0),1)-1,""))</f>
        <v/>
      </c>
      <c r="N530" s="37" t="str">
        <f aca="false">IF(COUNT($DY530:$EL530)&lt;2,"",INDEX($DK530:$DX530,MAX($DY530:$EL530))-INDEX($DK530:$DX530,MIN($DY530:$EL530)))</f>
        <v/>
      </c>
      <c r="O530" s="37" t="str">
        <f aca="false">IF(COUNT($DY530:$EL530)&lt;2,"",INDEX($DK530:$DX530,MAX($DY530:$EL530))-INDEX($DK530:$DX530,LARGE($DY530:$EL530,2)))</f>
        <v/>
      </c>
      <c r="P530" s="38" t="str">
        <f aca="false">IF(K530="","",IF(K530&gt;=0,"On/above target",IF(AND(N530&lt;&gt;"",N530&gt;=0.5),"Improving towards target",IF(AND(O530&lt;&gt;"",O530&lt;=-0.5),"Declining","Stable below target"))))</f>
        <v/>
      </c>
      <c r="Q530" s="39"/>
      <c r="R530" s="40" t="str">
        <f aca="false">IF(OR(Q530="",BU530=""),"",Q530/BU530*100)</f>
        <v/>
      </c>
      <c r="S530" s="41" t="str">
        <f aca="false">IF(R530="","",IFERROR(MATCH(R530,INDEX(Boundaries!$B$2:$I$30,MATCH(CI530,Boundaries!$A$2:$A$30,0),0),1)-1,""))</f>
        <v/>
      </c>
      <c r="T530" s="42" t="str">
        <f aca="false">IF(OR(S530="",$E530=""),"",S530-$E530)</f>
        <v/>
      </c>
      <c r="U530" s="39"/>
      <c r="V530" s="40" t="str">
        <f aca="false">IF(OR(U530="",BV530=""),"",U530/BV530*100)</f>
        <v/>
      </c>
      <c r="W530" s="41" t="str">
        <f aca="false">IF(V530="","",IFERROR(MATCH(V530,INDEX(Boundaries!$B$2:$I$30,MATCH(CJ530,Boundaries!$A$2:$A$30,0),0),1)-1,""))</f>
        <v/>
      </c>
      <c r="X530" s="42" t="str">
        <f aca="false">IF(OR(W530="",$E530=""),"",W530-$E530)</f>
        <v/>
      </c>
      <c r="Y530" s="39"/>
      <c r="Z530" s="40" t="str">
        <f aca="false">IF(OR(Y530="",BW530=""),"",Y530/BW530*100)</f>
        <v/>
      </c>
      <c r="AA530" s="41" t="str">
        <f aca="false">IF(Z530="","",IFERROR(MATCH(Z530,INDEX(Boundaries!$B$2:$I$30,MATCH(CK530,Boundaries!$A$2:$A$30,0),0),1)-1,""))</f>
        <v/>
      </c>
      <c r="AB530" s="42" t="str">
        <f aca="false">IF(OR(AA530="",$E530=""),"",AA530-$E530)</f>
        <v/>
      </c>
      <c r="AC530" s="39"/>
      <c r="AD530" s="40" t="str">
        <f aca="false">IF(OR(AC530="",BX530=""),"",AC530/BX530*100)</f>
        <v/>
      </c>
      <c r="AE530" s="41" t="str">
        <f aca="false">IF(AD530="","",IFERROR(MATCH(AD530,INDEX(Boundaries!$B$2:$I$30,MATCH(CL530,Boundaries!$A$2:$A$30,0),0),1)-1,""))</f>
        <v/>
      </c>
      <c r="AF530" s="42" t="str">
        <f aca="false">IF(OR(AE530="",$E530=""),"",AE530-$E530)</f>
        <v/>
      </c>
      <c r="AG530" s="39"/>
      <c r="AH530" s="40" t="str">
        <f aca="false">IF(OR(AG530="",BY530=""),"",AG530/BY530*100)</f>
        <v/>
      </c>
      <c r="AI530" s="41" t="str">
        <f aca="false">IF(AH530="","",IFERROR(MATCH(AH530,INDEX(Boundaries!$B$2:$I$30,MATCH(CM530,Boundaries!$A$2:$A$30,0),0),1)-1,""))</f>
        <v/>
      </c>
      <c r="AJ530" s="42" t="str">
        <f aca="false">IF(OR(AI530="",$E530=""),"",AI530-$E530)</f>
        <v/>
      </c>
      <c r="AK530" s="39"/>
      <c r="AL530" s="40" t="str">
        <f aca="false">IF(OR(AK530="",BZ530=""),"",AK530/BZ530*100)</f>
        <v/>
      </c>
      <c r="AM530" s="41" t="str">
        <f aca="false">IF(AL530="","",IFERROR(MATCH(AL530,INDEX(Boundaries!$B$2:$I$30,MATCH(CN530,Boundaries!$A$2:$A$30,0),0),1)-1,""))</f>
        <v/>
      </c>
      <c r="AN530" s="42" t="str">
        <f aca="false">IF(OR(AM530="",$E530=""),"",AM530-$E530)</f>
        <v/>
      </c>
      <c r="AO530" s="39"/>
      <c r="AP530" s="40" t="str">
        <f aca="false">IF(OR(AO530="",CA530=""),"",AO530/CA530*100)</f>
        <v/>
      </c>
      <c r="AQ530" s="41" t="str">
        <f aca="false">IF(AP530="","",IFERROR(MATCH(AP530,INDEX(Boundaries!$B$2:$I$30,MATCH(CO530,Boundaries!$A$2:$A$30,0),0),1)-1,""))</f>
        <v/>
      </c>
      <c r="AR530" s="42" t="str">
        <f aca="false">IF(OR(AQ530="",$E530=""),"",AQ530-$E530)</f>
        <v/>
      </c>
      <c r="AS530" s="39"/>
      <c r="AT530" s="40" t="str">
        <f aca="false">IF(OR(AS530="",CB530=""),"",AS530/CB530*100)</f>
        <v/>
      </c>
      <c r="AU530" s="41" t="str">
        <f aca="false">IF(AT530="","",IFERROR(MATCH(AT530,INDEX(Boundaries!$B$2:$I$30,MATCH(CP530,Boundaries!$A$2:$A$30,0),0),1)-1,""))</f>
        <v/>
      </c>
      <c r="AV530" s="42" t="str">
        <f aca="false">IF(OR(AU530="",$E530=""),"",AU530-$E530)</f>
        <v/>
      </c>
      <c r="AW530" s="39"/>
      <c r="AX530" s="40" t="str">
        <f aca="false">IF(OR(AW530="",CC530=""),"",AW530/CC530*100)</f>
        <v/>
      </c>
      <c r="AY530" s="41" t="str">
        <f aca="false">IF(AX530="","",IFERROR(MATCH(AX530,INDEX(Boundaries!$B$2:$I$30,MATCH(CQ530,Boundaries!$A$2:$A$30,0),0),1)-1,""))</f>
        <v/>
      </c>
      <c r="AZ530" s="42" t="str">
        <f aca="false">IF(OR(AY530="",$E530=""),"",AY530-$E530)</f>
        <v/>
      </c>
      <c r="BA530" s="39"/>
      <c r="BB530" s="40" t="str">
        <f aca="false">IF(OR(BA530="",CD530=""),"",BA530/CD530*100)</f>
        <v/>
      </c>
      <c r="BC530" s="41" t="str">
        <f aca="false">IF(BB530="","",IFERROR(MATCH(BB530,INDEX(Boundaries!$B$2:$I$30,MATCH(CR530,Boundaries!$A$2:$A$30,0),0),1)-1,""))</f>
        <v/>
      </c>
      <c r="BD530" s="42" t="str">
        <f aca="false">IF(OR(BC530="",$E530=""),"",BC530-$E530)</f>
        <v/>
      </c>
      <c r="BE530" s="39"/>
      <c r="BF530" s="40" t="str">
        <f aca="false">IF(OR(BE530="",CE530=""),"",BE530/CE530*100)</f>
        <v/>
      </c>
      <c r="BG530" s="41" t="str">
        <f aca="false">IF(BF530="","",IFERROR(MATCH(BF530,INDEX(Boundaries!$B$2:$I$30,MATCH(CS530,Boundaries!$A$2:$A$30,0),0),1)-1,""))</f>
        <v/>
      </c>
      <c r="BH530" s="42" t="str">
        <f aca="false">IF(OR(BG530="",$E530=""),"",BG530-$E530)</f>
        <v/>
      </c>
      <c r="BI530" s="39"/>
      <c r="BJ530" s="40" t="str">
        <f aca="false">IF(OR(BI530="",CF530=""),"",BI530/CF530*100)</f>
        <v/>
      </c>
      <c r="BK530" s="41" t="str">
        <f aca="false">IF(BJ530="","",IFERROR(MATCH(BJ530,INDEX(Boundaries!$B$2:$I$30,MATCH(CT530,Boundaries!$A$2:$A$30,0),0),1)-1,""))</f>
        <v/>
      </c>
      <c r="BL530" s="42" t="str">
        <f aca="false">IF(OR(BK530="",$E530=""),"",BK530-$E530)</f>
        <v/>
      </c>
      <c r="BM530" s="39"/>
      <c r="BN530" s="40" t="str">
        <f aca="false">IF(OR(BM530="",CG530=""),"",BM530/CG530*100)</f>
        <v/>
      </c>
      <c r="BO530" s="41" t="str">
        <f aca="false">IF(BN530="","",IFERROR(MATCH(BN530,INDEX(Boundaries!$B$2:$I$30,MATCH(CU530,Boundaries!$A$2:$A$30,0),0),1)-1,""))</f>
        <v/>
      </c>
      <c r="BP530" s="42" t="str">
        <f aca="false">IF(OR(BO530="",$E530=""),"",BO530-$E530)</f>
        <v/>
      </c>
      <c r="BQ530" s="39"/>
      <c r="BR530" s="40" t="str">
        <f aca="false">IF(OR(BQ530="",CH530=""),"",BQ530/CH530*100)</f>
        <v/>
      </c>
      <c r="BS530" s="41" t="str">
        <f aca="false">IF(BR530="","",IFERROR(MATCH(BR530,INDEX(Boundaries!$B$2:$I$30,MATCH(CV530,Boundaries!$A$2:$A$30,0),0),1)-1,""))</f>
        <v/>
      </c>
      <c r="BT530" s="42" t="str">
        <f aca="false">IF(OR(BS530="",$E530=""),"",BS530-$E530)</f>
        <v/>
      </c>
      <c r="BU530" s="28" t="str">
        <f aca="false">IFERROR(INDEX(Assessments!$H$2:$H$600,MATCH($H530&amp;"|"&amp;$I530&amp;"|"&amp;$J530&amp;"|"&amp;1,Assessments!$A$2:$A$600,0)),"")</f>
        <v/>
      </c>
      <c r="BV530" s="28" t="str">
        <f aca="false">IFERROR(INDEX(Assessments!$H$2:$H$600,MATCH($H530&amp;"|"&amp;$I530&amp;"|"&amp;$J530&amp;"|"&amp;2,Assessments!$A$2:$A$600,0)),"")</f>
        <v/>
      </c>
      <c r="BW530" s="28" t="str">
        <f aca="false">IFERROR(INDEX(Assessments!$H$2:$H$600,MATCH($H530&amp;"|"&amp;$I530&amp;"|"&amp;$J530&amp;"|"&amp;3,Assessments!$A$2:$A$600,0)),"")</f>
        <v/>
      </c>
      <c r="BX530" s="28" t="str">
        <f aca="false">IFERROR(INDEX(Assessments!$H$2:$H$600,MATCH($H530&amp;"|"&amp;$I530&amp;"|"&amp;$J530&amp;"|"&amp;4,Assessments!$A$2:$A$600,0)),"")</f>
        <v/>
      </c>
      <c r="BY530" s="28" t="str">
        <f aca="false">IFERROR(INDEX(Assessments!$H$2:$H$600,MATCH($H530&amp;"|"&amp;$I530&amp;"|"&amp;$J530&amp;"|"&amp;5,Assessments!$A$2:$A$600,0)),"")</f>
        <v/>
      </c>
      <c r="BZ530" s="28" t="str">
        <f aca="false">IFERROR(INDEX(Assessments!$H$2:$H$600,MATCH($H530&amp;"|"&amp;$I530&amp;"|"&amp;$J530&amp;"|"&amp;6,Assessments!$A$2:$A$600,0)),"")</f>
        <v/>
      </c>
      <c r="CA530" s="28" t="str">
        <f aca="false">IFERROR(INDEX(Assessments!$H$2:$H$600,MATCH($H530&amp;"|"&amp;$I530&amp;"|"&amp;$J530&amp;"|"&amp;7,Assessments!$A$2:$A$600,0)),"")</f>
        <v/>
      </c>
      <c r="CB530" s="28" t="str">
        <f aca="false">IFERROR(INDEX(Assessments!$H$2:$H$600,MATCH($H530&amp;"|"&amp;$I530&amp;"|"&amp;$J530&amp;"|"&amp;8,Assessments!$A$2:$A$600,0)),"")</f>
        <v/>
      </c>
      <c r="CC530" s="28" t="str">
        <f aca="false">IFERROR(INDEX(Assessments!$H$2:$H$600,MATCH($H530&amp;"|"&amp;$I530&amp;"|"&amp;$J530&amp;"|"&amp;9,Assessments!$A$2:$A$600,0)),"")</f>
        <v/>
      </c>
      <c r="CD530" s="28" t="str">
        <f aca="false">IFERROR(INDEX(Assessments!$H$2:$H$600,MATCH($H530&amp;"|"&amp;$I530&amp;"|"&amp;$J530&amp;"|"&amp;10,Assessments!$A$2:$A$600,0)),"")</f>
        <v/>
      </c>
      <c r="CE530" s="28" t="str">
        <f aca="false">IFERROR(INDEX(Assessments!$H$2:$H$600,MATCH($H530&amp;"|"&amp;$I530&amp;"|"&amp;$J530&amp;"|"&amp;11,Assessments!$A$2:$A$600,0)),"")</f>
        <v/>
      </c>
      <c r="CF530" s="28" t="str">
        <f aca="false">IFERROR(INDEX(Assessments!$H$2:$H$600,MATCH($H530&amp;"|"&amp;$I530&amp;"|"&amp;$J530&amp;"|"&amp;12,Assessments!$A$2:$A$600,0)),"")</f>
        <v/>
      </c>
      <c r="CG530" s="28" t="str">
        <f aca="false">IFERROR(INDEX(Assessments!$H$2:$H$600,MATCH($H530&amp;"|"&amp;$I530&amp;"|"&amp;$J530&amp;"|"&amp;13,Assessments!$A$2:$A$600,0)),"")</f>
        <v/>
      </c>
      <c r="CH530" s="28" t="str">
        <f aca="false">IFERROR(INDEX(Assessments!$H$2:$H$600,MATCH($H530&amp;"|"&amp;$I530&amp;"|"&amp;$J530&amp;"|"&amp;14,Assessments!$A$2:$A$600,0)),"")</f>
        <v/>
      </c>
      <c r="CI530" s="28" t="str">
        <f aca="false">IFERROR(INDEX(Assessments!$I$2:$I$600,MATCH($H530&amp;"|"&amp;$I530&amp;"|"&amp;$J530&amp;"|"&amp;1,Assessments!$A$2:$A$600,0)),"")</f>
        <v/>
      </c>
      <c r="CJ530" s="28" t="str">
        <f aca="false">IFERROR(INDEX(Assessments!$I$2:$I$600,MATCH($H530&amp;"|"&amp;$I530&amp;"|"&amp;$J530&amp;"|"&amp;2,Assessments!$A$2:$A$600,0)),"")</f>
        <v/>
      </c>
      <c r="CK530" s="28" t="str">
        <f aca="false">IFERROR(INDEX(Assessments!$I$2:$I$600,MATCH($H530&amp;"|"&amp;$I530&amp;"|"&amp;$J530&amp;"|"&amp;3,Assessments!$A$2:$A$600,0)),"")</f>
        <v/>
      </c>
      <c r="CL530" s="28" t="str">
        <f aca="false">IFERROR(INDEX(Assessments!$I$2:$I$600,MATCH($H530&amp;"|"&amp;$I530&amp;"|"&amp;$J530&amp;"|"&amp;4,Assessments!$A$2:$A$600,0)),"")</f>
        <v/>
      </c>
      <c r="CM530" s="28" t="str">
        <f aca="false">IFERROR(INDEX(Assessments!$I$2:$I$600,MATCH($H530&amp;"|"&amp;$I530&amp;"|"&amp;$J530&amp;"|"&amp;5,Assessments!$A$2:$A$600,0)),"")</f>
        <v/>
      </c>
      <c r="CN530" s="28" t="str">
        <f aca="false">IFERROR(INDEX(Assessments!$I$2:$I$600,MATCH($H530&amp;"|"&amp;$I530&amp;"|"&amp;$J530&amp;"|"&amp;6,Assessments!$A$2:$A$600,0)),"")</f>
        <v/>
      </c>
      <c r="CO530" s="28" t="str">
        <f aca="false">IFERROR(INDEX(Assessments!$I$2:$I$600,MATCH($H530&amp;"|"&amp;$I530&amp;"|"&amp;$J530&amp;"|"&amp;7,Assessments!$A$2:$A$600,0)),"")</f>
        <v/>
      </c>
      <c r="CP530" s="28" t="str">
        <f aca="false">IFERROR(INDEX(Assessments!$I$2:$I$600,MATCH($H530&amp;"|"&amp;$I530&amp;"|"&amp;$J530&amp;"|"&amp;8,Assessments!$A$2:$A$600,0)),"")</f>
        <v/>
      </c>
      <c r="CQ530" s="28" t="str">
        <f aca="false">IFERROR(INDEX(Assessments!$I$2:$I$600,MATCH($H530&amp;"|"&amp;$I530&amp;"|"&amp;$J530&amp;"|"&amp;9,Assessments!$A$2:$A$600,0)),"")</f>
        <v/>
      </c>
      <c r="CR530" s="28" t="str">
        <f aca="false">IFERROR(INDEX(Assessments!$I$2:$I$600,MATCH($H530&amp;"|"&amp;$I530&amp;"|"&amp;$J530&amp;"|"&amp;10,Assessments!$A$2:$A$600,0)),"")</f>
        <v/>
      </c>
      <c r="CS530" s="28" t="str">
        <f aca="false">IFERROR(INDEX(Assessments!$I$2:$I$600,MATCH($H530&amp;"|"&amp;$I530&amp;"|"&amp;$J530&amp;"|"&amp;11,Assessments!$A$2:$A$600,0)),"")</f>
        <v/>
      </c>
      <c r="CT530" s="28" t="str">
        <f aca="false">IFERROR(INDEX(Assessments!$I$2:$I$600,MATCH($H530&amp;"|"&amp;$I530&amp;"|"&amp;$J530&amp;"|"&amp;12,Assessments!$A$2:$A$600,0)),"")</f>
        <v/>
      </c>
      <c r="CU530" s="28" t="str">
        <f aca="false">IFERROR(INDEX(Assessments!$I$2:$I$600,MATCH($H530&amp;"|"&amp;$I530&amp;"|"&amp;$J530&amp;"|"&amp;13,Assessments!$A$2:$A$600,0)),"")</f>
        <v/>
      </c>
      <c r="CV530" s="28" t="str">
        <f aca="false">IFERROR(INDEX(Assessments!$I$2:$I$600,MATCH($H530&amp;"|"&amp;$I530&amp;"|"&amp;$J530&amp;"|"&amp;14,Assessments!$A$2:$A$600,0)),"")</f>
        <v/>
      </c>
      <c r="CW530" s="28" t="n">
        <f aca="false">IFERROR(INDEX(Assessments!$J$2:$J$600,MATCH($H530&amp;"|"&amp;$I530&amp;"|"&amp;$J530&amp;"|"&amp;1,Assessments!$A$2:$A$600,0)),0)</f>
        <v>0</v>
      </c>
      <c r="CX530" s="28" t="n">
        <f aca="false">IFERROR(INDEX(Assessments!$J$2:$J$600,MATCH($H530&amp;"|"&amp;$I530&amp;"|"&amp;$J530&amp;"|"&amp;2,Assessments!$A$2:$A$600,0)),0)</f>
        <v>0</v>
      </c>
      <c r="CY530" s="28" t="n">
        <f aca="false">IFERROR(INDEX(Assessments!$J$2:$J$600,MATCH($H530&amp;"|"&amp;$I530&amp;"|"&amp;$J530&amp;"|"&amp;3,Assessments!$A$2:$A$600,0)),0)</f>
        <v>0</v>
      </c>
      <c r="CZ530" s="28" t="n">
        <f aca="false">IFERROR(INDEX(Assessments!$J$2:$J$600,MATCH($H530&amp;"|"&amp;$I530&amp;"|"&amp;$J530&amp;"|"&amp;4,Assessments!$A$2:$A$600,0)),0)</f>
        <v>0</v>
      </c>
      <c r="DA530" s="28" t="n">
        <f aca="false">IFERROR(INDEX(Assessments!$J$2:$J$600,MATCH($H530&amp;"|"&amp;$I530&amp;"|"&amp;$J530&amp;"|"&amp;5,Assessments!$A$2:$A$600,0)),0)</f>
        <v>0</v>
      </c>
      <c r="DB530" s="28" t="n">
        <f aca="false">IFERROR(INDEX(Assessments!$J$2:$J$600,MATCH($H530&amp;"|"&amp;$I530&amp;"|"&amp;$J530&amp;"|"&amp;6,Assessments!$A$2:$A$600,0)),0)</f>
        <v>0</v>
      </c>
      <c r="DC530" s="28" t="n">
        <f aca="false">IFERROR(INDEX(Assessments!$J$2:$J$600,MATCH($H530&amp;"|"&amp;$I530&amp;"|"&amp;$J530&amp;"|"&amp;7,Assessments!$A$2:$A$600,0)),0)</f>
        <v>0</v>
      </c>
      <c r="DD530" s="28" t="n">
        <f aca="false">IFERROR(INDEX(Assessments!$J$2:$J$600,MATCH($H530&amp;"|"&amp;$I530&amp;"|"&amp;$J530&amp;"|"&amp;8,Assessments!$A$2:$A$600,0)),0)</f>
        <v>0</v>
      </c>
      <c r="DE530" s="28" t="n">
        <f aca="false">IFERROR(INDEX(Assessments!$J$2:$J$600,MATCH($H530&amp;"|"&amp;$I530&amp;"|"&amp;$J530&amp;"|"&amp;9,Assessments!$A$2:$A$600,0)),0)</f>
        <v>0</v>
      </c>
      <c r="DF530" s="28" t="n">
        <f aca="false">IFERROR(INDEX(Assessments!$J$2:$J$600,MATCH($H530&amp;"|"&amp;$I530&amp;"|"&amp;$J530&amp;"|"&amp;10,Assessments!$A$2:$A$600,0)),0)</f>
        <v>0</v>
      </c>
      <c r="DG530" s="28" t="n">
        <f aca="false">IFERROR(INDEX(Assessments!$J$2:$J$600,MATCH($H530&amp;"|"&amp;$I530&amp;"|"&amp;$J530&amp;"|"&amp;11,Assessments!$A$2:$A$600,0)),0)</f>
        <v>0</v>
      </c>
      <c r="DH530" s="28" t="n">
        <f aca="false">IFERROR(INDEX(Assessments!$J$2:$J$600,MATCH($H530&amp;"|"&amp;$I530&amp;"|"&amp;$J530&amp;"|"&amp;12,Assessments!$A$2:$A$600,0)),0)</f>
        <v>0</v>
      </c>
      <c r="DI530" s="28" t="n">
        <f aca="false">IFERROR(INDEX(Assessments!$J$2:$J$600,MATCH($H530&amp;"|"&amp;$I530&amp;"|"&amp;$J530&amp;"|"&amp;13,Assessments!$A$2:$A$600,0)),0)</f>
        <v>0</v>
      </c>
      <c r="DJ530" s="28" t="n">
        <f aca="false">IFERROR(INDEX(Assessments!$J$2:$J$600,MATCH($H530&amp;"|"&amp;$I530&amp;"|"&amp;$J530&amp;"|"&amp;14,Assessments!$A$2:$A$600,0)),0)</f>
        <v>0</v>
      </c>
      <c r="DK530" s="28" t="str">
        <f aca="false">S530</f>
        <v/>
      </c>
      <c r="DL530" s="28" t="str">
        <f aca="false">W530</f>
        <v/>
      </c>
      <c r="DM530" s="28" t="str">
        <f aca="false">AA530</f>
        <v/>
      </c>
      <c r="DN530" s="28" t="str">
        <f aca="false">AE530</f>
        <v/>
      </c>
      <c r="DO530" s="28" t="str">
        <f aca="false">AI530</f>
        <v/>
      </c>
      <c r="DP530" s="28" t="str">
        <f aca="false">AM530</f>
        <v/>
      </c>
      <c r="DQ530" s="28" t="str">
        <f aca="false">AQ530</f>
        <v/>
      </c>
      <c r="DR530" s="28" t="str">
        <f aca="false">AU530</f>
        <v/>
      </c>
      <c r="DS530" s="28" t="str">
        <f aca="false">AY530</f>
        <v/>
      </c>
      <c r="DT530" s="28" t="str">
        <f aca="false">BC530</f>
        <v/>
      </c>
      <c r="DU530" s="28" t="str">
        <f aca="false">BG530</f>
        <v/>
      </c>
      <c r="DV530" s="28" t="str">
        <f aca="false">BK530</f>
        <v/>
      </c>
      <c r="DW530" s="28" t="str">
        <f aca="false">BO530</f>
        <v/>
      </c>
      <c r="DX530" s="28" t="str">
        <f aca="false">BS530</f>
        <v/>
      </c>
      <c r="DY530" s="28" t="str">
        <f aca="false">IF(ISNUMBER(S530),1,"")</f>
        <v/>
      </c>
      <c r="DZ530" s="28" t="str">
        <f aca="false">IF(ISNUMBER(W530),2,"")</f>
        <v/>
      </c>
      <c r="EA530" s="28" t="str">
        <f aca="false">IF(ISNUMBER(AA530),3,"")</f>
        <v/>
      </c>
      <c r="EB530" s="28" t="str">
        <f aca="false">IF(ISNUMBER(AE530),4,"")</f>
        <v/>
      </c>
      <c r="EC530" s="28" t="str">
        <f aca="false">IF(ISNUMBER(AI530),5,"")</f>
        <v/>
      </c>
      <c r="ED530" s="28" t="str">
        <f aca="false">IF(ISNUMBER(AM530),6,"")</f>
        <v/>
      </c>
      <c r="EE530" s="28" t="str">
        <f aca="false">IF(ISNUMBER(AQ530),7,"")</f>
        <v/>
      </c>
      <c r="EF530" s="28" t="str">
        <f aca="false">IF(ISNUMBER(AU530),8,"")</f>
        <v/>
      </c>
      <c r="EG530" s="28" t="str">
        <f aca="false">IF(ISNUMBER(AY530),9,"")</f>
        <v/>
      </c>
      <c r="EH530" s="28" t="str">
        <f aca="false">IF(ISNUMBER(BC530),10,"")</f>
        <v/>
      </c>
      <c r="EI530" s="28" t="str">
        <f aca="false">IF(ISNUMBER(BG530),11,"")</f>
        <v/>
      </c>
      <c r="EJ530" s="28" t="str">
        <f aca="false">IF(ISNUMBER(BK530),12,"")</f>
        <v/>
      </c>
      <c r="EK530" s="28" t="str">
        <f aca="false">IF(ISNUMBER(BO530),13,"")</f>
        <v/>
      </c>
      <c r="EL530" s="28" t="str">
        <f aca="false">IF(ISNUMBER(BS530),14,"")</f>
        <v/>
      </c>
      <c r="EM530" s="28" t="n">
        <f aca="false">IF(ISNUMBER(R530),R530*CW530,0)</f>
        <v>0</v>
      </c>
      <c r="EN530" s="28" t="n">
        <f aca="false">IF(ISNUMBER(V530),V530*CX530,0)</f>
        <v>0</v>
      </c>
      <c r="EO530" s="28" t="n">
        <f aca="false">IF(ISNUMBER(Z530),Z530*CY530,0)</f>
        <v>0</v>
      </c>
      <c r="EP530" s="28" t="n">
        <f aca="false">IF(ISNUMBER(AD530),AD530*CZ530,0)</f>
        <v>0</v>
      </c>
      <c r="EQ530" s="28" t="n">
        <f aca="false">IF(ISNUMBER(AH530),AH530*DA530,0)</f>
        <v>0</v>
      </c>
      <c r="ER530" s="28" t="n">
        <f aca="false">IF(ISNUMBER(AL530),AL530*DB530,0)</f>
        <v>0</v>
      </c>
      <c r="ES530" s="28" t="n">
        <f aca="false">IF(ISNUMBER(AP530),AP530*DC530,0)</f>
        <v>0</v>
      </c>
      <c r="ET530" s="28" t="n">
        <f aca="false">IF(ISNUMBER(AT530),AT530*DD530,0)</f>
        <v>0</v>
      </c>
      <c r="EU530" s="28" t="n">
        <f aca="false">IF(ISNUMBER(AX530),AX530*DE530,0)</f>
        <v>0</v>
      </c>
      <c r="EV530" s="28" t="n">
        <f aca="false">IF(ISNUMBER(BB530),BB530*DF530,0)</f>
        <v>0</v>
      </c>
      <c r="EW530" s="28" t="n">
        <f aca="false">IF(ISNUMBER(BF530),BF530*DG530,0)</f>
        <v>0</v>
      </c>
      <c r="EX530" s="28" t="n">
        <f aca="false">IF(ISNUMBER(BJ530),BJ530*DH530,0)</f>
        <v>0</v>
      </c>
      <c r="EY530" s="28" t="n">
        <f aca="false">IF(ISNUMBER(BN530),BN530*DI530,0)</f>
        <v>0</v>
      </c>
      <c r="EZ530" s="28" t="n">
        <f aca="false">IF(ISNUMBER(BR530),BR530*DJ530,0)</f>
        <v>0</v>
      </c>
      <c r="FA530" s="28" t="n">
        <f aca="false">IF(ISNUMBER(R530),CW530,0)</f>
        <v>0</v>
      </c>
      <c r="FB530" s="28" t="n">
        <f aca="false">IF(ISNUMBER(V530),CX530,0)</f>
        <v>0</v>
      </c>
      <c r="FC530" s="28" t="n">
        <f aca="false">IF(ISNUMBER(Z530),CY530,0)</f>
        <v>0</v>
      </c>
      <c r="FD530" s="28" t="n">
        <f aca="false">IF(ISNUMBER(AD530),CZ530,0)</f>
        <v>0</v>
      </c>
      <c r="FE530" s="28" t="n">
        <f aca="false">IF(ISNUMBER(AH530),DA530,0)</f>
        <v>0</v>
      </c>
      <c r="FF530" s="28" t="n">
        <f aca="false">IF(ISNUMBER(AL530),DB530,0)</f>
        <v>0</v>
      </c>
      <c r="FG530" s="28" t="n">
        <f aca="false">IF(ISNUMBER(AP530),DC530,0)</f>
        <v>0</v>
      </c>
      <c r="FH530" s="28" t="n">
        <f aca="false">IF(ISNUMBER(AT530),DD530,0)</f>
        <v>0</v>
      </c>
      <c r="FI530" s="28" t="n">
        <f aca="false">IF(ISNUMBER(AX530),DE530,0)</f>
        <v>0</v>
      </c>
      <c r="FJ530" s="28" t="n">
        <f aca="false">IF(ISNUMBER(BB530),DF530,0)</f>
        <v>0</v>
      </c>
      <c r="FK530" s="28" t="n">
        <f aca="false">IF(ISNUMBER(BF530),DG530,0)</f>
        <v>0</v>
      </c>
      <c r="FL530" s="28" t="n">
        <f aca="false">IF(ISNUMBER(BJ530),DH530,0)</f>
        <v>0</v>
      </c>
      <c r="FM530" s="28" t="n">
        <f aca="false">IF(ISNUMBER(BN530),DI530,0)</f>
        <v>0</v>
      </c>
      <c r="FN530" s="28" t="n">
        <f aca="false">IF(ISNUMBER(BR530),DJ530,0)</f>
        <v>0</v>
      </c>
      <c r="FO530" s="28" t="str">
        <f aca="false">IFERROR(INDEX(Lists!$G$2:$G$20,MATCH($I530&amp;"|"&amp;$J530,Lists!$F$2:$F$20,0)),"")</f>
        <v/>
      </c>
    </row>
    <row r="531" customFormat="false" ht="19.5" hidden="false" customHeight="true" outlineLevel="0" collapsed="false">
      <c r="A531" s="29"/>
      <c r="B531" s="29"/>
      <c r="C531" s="30"/>
      <c r="D531" s="30"/>
      <c r="E531" s="31"/>
      <c r="F531" s="30"/>
      <c r="G531" s="30"/>
      <c r="H531" s="32"/>
      <c r="I531" s="33"/>
      <c r="J531" s="32"/>
      <c r="K531" s="34" t="str">
        <f aca="false">IF(OR(M531="",$E531=""),"",M531-$E531)</f>
        <v/>
      </c>
      <c r="L531" s="35" t="str">
        <f aca="false">IF(SUM(FA531:FN531)=0,"",SUM(EM531:EZ531)/SUM(FA531:FN531))</f>
        <v/>
      </c>
      <c r="M531" s="36" t="str">
        <f aca="false">IF(OR(L531="",FO531=""),"",IFERROR(MATCH(L531,INDEX(Boundaries!$B$2:$I$30,MATCH(FO531,Boundaries!$A$2:$A$30,0),0),1)-1,""))</f>
        <v/>
      </c>
      <c r="N531" s="37" t="str">
        <f aca="false">IF(COUNT($DY531:$EL531)&lt;2,"",INDEX($DK531:$DX531,MAX($DY531:$EL531))-INDEX($DK531:$DX531,MIN($DY531:$EL531)))</f>
        <v/>
      </c>
      <c r="O531" s="37" t="str">
        <f aca="false">IF(COUNT($DY531:$EL531)&lt;2,"",INDEX($DK531:$DX531,MAX($DY531:$EL531))-INDEX($DK531:$DX531,LARGE($DY531:$EL531,2)))</f>
        <v/>
      </c>
      <c r="P531" s="38" t="str">
        <f aca="false">IF(K531="","",IF(K531&gt;=0,"On/above target",IF(AND(N531&lt;&gt;"",N531&gt;=0.5),"Improving towards target",IF(AND(O531&lt;&gt;"",O531&lt;=-0.5),"Declining","Stable below target"))))</f>
        <v/>
      </c>
      <c r="Q531" s="39"/>
      <c r="R531" s="40" t="str">
        <f aca="false">IF(OR(Q531="",BU531=""),"",Q531/BU531*100)</f>
        <v/>
      </c>
      <c r="S531" s="41" t="str">
        <f aca="false">IF(R531="","",IFERROR(MATCH(R531,INDEX(Boundaries!$B$2:$I$30,MATCH(CI531,Boundaries!$A$2:$A$30,0),0),1)-1,""))</f>
        <v/>
      </c>
      <c r="T531" s="42" t="str">
        <f aca="false">IF(OR(S531="",$E531=""),"",S531-$E531)</f>
        <v/>
      </c>
      <c r="U531" s="39"/>
      <c r="V531" s="40" t="str">
        <f aca="false">IF(OR(U531="",BV531=""),"",U531/BV531*100)</f>
        <v/>
      </c>
      <c r="W531" s="41" t="str">
        <f aca="false">IF(V531="","",IFERROR(MATCH(V531,INDEX(Boundaries!$B$2:$I$30,MATCH(CJ531,Boundaries!$A$2:$A$30,0),0),1)-1,""))</f>
        <v/>
      </c>
      <c r="X531" s="42" t="str">
        <f aca="false">IF(OR(W531="",$E531=""),"",W531-$E531)</f>
        <v/>
      </c>
      <c r="Y531" s="39"/>
      <c r="Z531" s="40" t="str">
        <f aca="false">IF(OR(Y531="",BW531=""),"",Y531/BW531*100)</f>
        <v/>
      </c>
      <c r="AA531" s="41" t="str">
        <f aca="false">IF(Z531="","",IFERROR(MATCH(Z531,INDEX(Boundaries!$B$2:$I$30,MATCH(CK531,Boundaries!$A$2:$A$30,0),0),1)-1,""))</f>
        <v/>
      </c>
      <c r="AB531" s="42" t="str">
        <f aca="false">IF(OR(AA531="",$E531=""),"",AA531-$E531)</f>
        <v/>
      </c>
      <c r="AC531" s="39"/>
      <c r="AD531" s="40" t="str">
        <f aca="false">IF(OR(AC531="",BX531=""),"",AC531/BX531*100)</f>
        <v/>
      </c>
      <c r="AE531" s="41" t="str">
        <f aca="false">IF(AD531="","",IFERROR(MATCH(AD531,INDEX(Boundaries!$B$2:$I$30,MATCH(CL531,Boundaries!$A$2:$A$30,0),0),1)-1,""))</f>
        <v/>
      </c>
      <c r="AF531" s="42" t="str">
        <f aca="false">IF(OR(AE531="",$E531=""),"",AE531-$E531)</f>
        <v/>
      </c>
      <c r="AG531" s="39"/>
      <c r="AH531" s="40" t="str">
        <f aca="false">IF(OR(AG531="",BY531=""),"",AG531/BY531*100)</f>
        <v/>
      </c>
      <c r="AI531" s="41" t="str">
        <f aca="false">IF(AH531="","",IFERROR(MATCH(AH531,INDEX(Boundaries!$B$2:$I$30,MATCH(CM531,Boundaries!$A$2:$A$30,0),0),1)-1,""))</f>
        <v/>
      </c>
      <c r="AJ531" s="42" t="str">
        <f aca="false">IF(OR(AI531="",$E531=""),"",AI531-$E531)</f>
        <v/>
      </c>
      <c r="AK531" s="39"/>
      <c r="AL531" s="40" t="str">
        <f aca="false">IF(OR(AK531="",BZ531=""),"",AK531/BZ531*100)</f>
        <v/>
      </c>
      <c r="AM531" s="41" t="str">
        <f aca="false">IF(AL531="","",IFERROR(MATCH(AL531,INDEX(Boundaries!$B$2:$I$30,MATCH(CN531,Boundaries!$A$2:$A$30,0),0),1)-1,""))</f>
        <v/>
      </c>
      <c r="AN531" s="42" t="str">
        <f aca="false">IF(OR(AM531="",$E531=""),"",AM531-$E531)</f>
        <v/>
      </c>
      <c r="AO531" s="39"/>
      <c r="AP531" s="40" t="str">
        <f aca="false">IF(OR(AO531="",CA531=""),"",AO531/CA531*100)</f>
        <v/>
      </c>
      <c r="AQ531" s="41" t="str">
        <f aca="false">IF(AP531="","",IFERROR(MATCH(AP531,INDEX(Boundaries!$B$2:$I$30,MATCH(CO531,Boundaries!$A$2:$A$30,0),0),1)-1,""))</f>
        <v/>
      </c>
      <c r="AR531" s="42" t="str">
        <f aca="false">IF(OR(AQ531="",$E531=""),"",AQ531-$E531)</f>
        <v/>
      </c>
      <c r="AS531" s="39"/>
      <c r="AT531" s="40" t="str">
        <f aca="false">IF(OR(AS531="",CB531=""),"",AS531/CB531*100)</f>
        <v/>
      </c>
      <c r="AU531" s="41" t="str">
        <f aca="false">IF(AT531="","",IFERROR(MATCH(AT531,INDEX(Boundaries!$B$2:$I$30,MATCH(CP531,Boundaries!$A$2:$A$30,0),0),1)-1,""))</f>
        <v/>
      </c>
      <c r="AV531" s="42" t="str">
        <f aca="false">IF(OR(AU531="",$E531=""),"",AU531-$E531)</f>
        <v/>
      </c>
      <c r="AW531" s="39"/>
      <c r="AX531" s="40" t="str">
        <f aca="false">IF(OR(AW531="",CC531=""),"",AW531/CC531*100)</f>
        <v/>
      </c>
      <c r="AY531" s="41" t="str">
        <f aca="false">IF(AX531="","",IFERROR(MATCH(AX531,INDEX(Boundaries!$B$2:$I$30,MATCH(CQ531,Boundaries!$A$2:$A$30,0),0),1)-1,""))</f>
        <v/>
      </c>
      <c r="AZ531" s="42" t="str">
        <f aca="false">IF(OR(AY531="",$E531=""),"",AY531-$E531)</f>
        <v/>
      </c>
      <c r="BA531" s="39"/>
      <c r="BB531" s="40" t="str">
        <f aca="false">IF(OR(BA531="",CD531=""),"",BA531/CD531*100)</f>
        <v/>
      </c>
      <c r="BC531" s="41" t="str">
        <f aca="false">IF(BB531="","",IFERROR(MATCH(BB531,INDEX(Boundaries!$B$2:$I$30,MATCH(CR531,Boundaries!$A$2:$A$30,0),0),1)-1,""))</f>
        <v/>
      </c>
      <c r="BD531" s="42" t="str">
        <f aca="false">IF(OR(BC531="",$E531=""),"",BC531-$E531)</f>
        <v/>
      </c>
      <c r="BE531" s="39"/>
      <c r="BF531" s="40" t="str">
        <f aca="false">IF(OR(BE531="",CE531=""),"",BE531/CE531*100)</f>
        <v/>
      </c>
      <c r="BG531" s="41" t="str">
        <f aca="false">IF(BF531="","",IFERROR(MATCH(BF531,INDEX(Boundaries!$B$2:$I$30,MATCH(CS531,Boundaries!$A$2:$A$30,0),0),1)-1,""))</f>
        <v/>
      </c>
      <c r="BH531" s="42" t="str">
        <f aca="false">IF(OR(BG531="",$E531=""),"",BG531-$E531)</f>
        <v/>
      </c>
      <c r="BI531" s="39"/>
      <c r="BJ531" s="40" t="str">
        <f aca="false">IF(OR(BI531="",CF531=""),"",BI531/CF531*100)</f>
        <v/>
      </c>
      <c r="BK531" s="41" t="str">
        <f aca="false">IF(BJ531="","",IFERROR(MATCH(BJ531,INDEX(Boundaries!$B$2:$I$30,MATCH(CT531,Boundaries!$A$2:$A$30,0),0),1)-1,""))</f>
        <v/>
      </c>
      <c r="BL531" s="42" t="str">
        <f aca="false">IF(OR(BK531="",$E531=""),"",BK531-$E531)</f>
        <v/>
      </c>
      <c r="BM531" s="39"/>
      <c r="BN531" s="40" t="str">
        <f aca="false">IF(OR(BM531="",CG531=""),"",BM531/CG531*100)</f>
        <v/>
      </c>
      <c r="BO531" s="41" t="str">
        <f aca="false">IF(BN531="","",IFERROR(MATCH(BN531,INDEX(Boundaries!$B$2:$I$30,MATCH(CU531,Boundaries!$A$2:$A$30,0),0),1)-1,""))</f>
        <v/>
      </c>
      <c r="BP531" s="42" t="str">
        <f aca="false">IF(OR(BO531="",$E531=""),"",BO531-$E531)</f>
        <v/>
      </c>
      <c r="BQ531" s="39"/>
      <c r="BR531" s="40" t="str">
        <f aca="false">IF(OR(BQ531="",CH531=""),"",BQ531/CH531*100)</f>
        <v/>
      </c>
      <c r="BS531" s="41" t="str">
        <f aca="false">IF(BR531="","",IFERROR(MATCH(BR531,INDEX(Boundaries!$B$2:$I$30,MATCH(CV531,Boundaries!$A$2:$A$30,0),0),1)-1,""))</f>
        <v/>
      </c>
      <c r="BT531" s="42" t="str">
        <f aca="false">IF(OR(BS531="",$E531=""),"",BS531-$E531)</f>
        <v/>
      </c>
      <c r="BU531" s="28" t="str">
        <f aca="false">IFERROR(INDEX(Assessments!$H$2:$H$600,MATCH($H531&amp;"|"&amp;$I531&amp;"|"&amp;$J531&amp;"|"&amp;1,Assessments!$A$2:$A$600,0)),"")</f>
        <v/>
      </c>
      <c r="BV531" s="28" t="str">
        <f aca="false">IFERROR(INDEX(Assessments!$H$2:$H$600,MATCH($H531&amp;"|"&amp;$I531&amp;"|"&amp;$J531&amp;"|"&amp;2,Assessments!$A$2:$A$600,0)),"")</f>
        <v/>
      </c>
      <c r="BW531" s="28" t="str">
        <f aca="false">IFERROR(INDEX(Assessments!$H$2:$H$600,MATCH($H531&amp;"|"&amp;$I531&amp;"|"&amp;$J531&amp;"|"&amp;3,Assessments!$A$2:$A$600,0)),"")</f>
        <v/>
      </c>
      <c r="BX531" s="28" t="str">
        <f aca="false">IFERROR(INDEX(Assessments!$H$2:$H$600,MATCH($H531&amp;"|"&amp;$I531&amp;"|"&amp;$J531&amp;"|"&amp;4,Assessments!$A$2:$A$600,0)),"")</f>
        <v/>
      </c>
      <c r="BY531" s="28" t="str">
        <f aca="false">IFERROR(INDEX(Assessments!$H$2:$H$600,MATCH($H531&amp;"|"&amp;$I531&amp;"|"&amp;$J531&amp;"|"&amp;5,Assessments!$A$2:$A$600,0)),"")</f>
        <v/>
      </c>
      <c r="BZ531" s="28" t="str">
        <f aca="false">IFERROR(INDEX(Assessments!$H$2:$H$600,MATCH($H531&amp;"|"&amp;$I531&amp;"|"&amp;$J531&amp;"|"&amp;6,Assessments!$A$2:$A$600,0)),"")</f>
        <v/>
      </c>
      <c r="CA531" s="28" t="str">
        <f aca="false">IFERROR(INDEX(Assessments!$H$2:$H$600,MATCH($H531&amp;"|"&amp;$I531&amp;"|"&amp;$J531&amp;"|"&amp;7,Assessments!$A$2:$A$600,0)),"")</f>
        <v/>
      </c>
      <c r="CB531" s="28" t="str">
        <f aca="false">IFERROR(INDEX(Assessments!$H$2:$H$600,MATCH($H531&amp;"|"&amp;$I531&amp;"|"&amp;$J531&amp;"|"&amp;8,Assessments!$A$2:$A$600,0)),"")</f>
        <v/>
      </c>
      <c r="CC531" s="28" t="str">
        <f aca="false">IFERROR(INDEX(Assessments!$H$2:$H$600,MATCH($H531&amp;"|"&amp;$I531&amp;"|"&amp;$J531&amp;"|"&amp;9,Assessments!$A$2:$A$600,0)),"")</f>
        <v/>
      </c>
      <c r="CD531" s="28" t="str">
        <f aca="false">IFERROR(INDEX(Assessments!$H$2:$H$600,MATCH($H531&amp;"|"&amp;$I531&amp;"|"&amp;$J531&amp;"|"&amp;10,Assessments!$A$2:$A$600,0)),"")</f>
        <v/>
      </c>
      <c r="CE531" s="28" t="str">
        <f aca="false">IFERROR(INDEX(Assessments!$H$2:$H$600,MATCH($H531&amp;"|"&amp;$I531&amp;"|"&amp;$J531&amp;"|"&amp;11,Assessments!$A$2:$A$600,0)),"")</f>
        <v/>
      </c>
      <c r="CF531" s="28" t="str">
        <f aca="false">IFERROR(INDEX(Assessments!$H$2:$H$600,MATCH($H531&amp;"|"&amp;$I531&amp;"|"&amp;$J531&amp;"|"&amp;12,Assessments!$A$2:$A$600,0)),"")</f>
        <v/>
      </c>
      <c r="CG531" s="28" t="str">
        <f aca="false">IFERROR(INDEX(Assessments!$H$2:$H$600,MATCH($H531&amp;"|"&amp;$I531&amp;"|"&amp;$J531&amp;"|"&amp;13,Assessments!$A$2:$A$600,0)),"")</f>
        <v/>
      </c>
      <c r="CH531" s="28" t="str">
        <f aca="false">IFERROR(INDEX(Assessments!$H$2:$H$600,MATCH($H531&amp;"|"&amp;$I531&amp;"|"&amp;$J531&amp;"|"&amp;14,Assessments!$A$2:$A$600,0)),"")</f>
        <v/>
      </c>
      <c r="CI531" s="28" t="str">
        <f aca="false">IFERROR(INDEX(Assessments!$I$2:$I$600,MATCH($H531&amp;"|"&amp;$I531&amp;"|"&amp;$J531&amp;"|"&amp;1,Assessments!$A$2:$A$600,0)),"")</f>
        <v/>
      </c>
      <c r="CJ531" s="28" t="str">
        <f aca="false">IFERROR(INDEX(Assessments!$I$2:$I$600,MATCH($H531&amp;"|"&amp;$I531&amp;"|"&amp;$J531&amp;"|"&amp;2,Assessments!$A$2:$A$600,0)),"")</f>
        <v/>
      </c>
      <c r="CK531" s="28" t="str">
        <f aca="false">IFERROR(INDEX(Assessments!$I$2:$I$600,MATCH($H531&amp;"|"&amp;$I531&amp;"|"&amp;$J531&amp;"|"&amp;3,Assessments!$A$2:$A$600,0)),"")</f>
        <v/>
      </c>
      <c r="CL531" s="28" t="str">
        <f aca="false">IFERROR(INDEX(Assessments!$I$2:$I$600,MATCH($H531&amp;"|"&amp;$I531&amp;"|"&amp;$J531&amp;"|"&amp;4,Assessments!$A$2:$A$600,0)),"")</f>
        <v/>
      </c>
      <c r="CM531" s="28" t="str">
        <f aca="false">IFERROR(INDEX(Assessments!$I$2:$I$600,MATCH($H531&amp;"|"&amp;$I531&amp;"|"&amp;$J531&amp;"|"&amp;5,Assessments!$A$2:$A$600,0)),"")</f>
        <v/>
      </c>
      <c r="CN531" s="28" t="str">
        <f aca="false">IFERROR(INDEX(Assessments!$I$2:$I$600,MATCH($H531&amp;"|"&amp;$I531&amp;"|"&amp;$J531&amp;"|"&amp;6,Assessments!$A$2:$A$600,0)),"")</f>
        <v/>
      </c>
      <c r="CO531" s="28" t="str">
        <f aca="false">IFERROR(INDEX(Assessments!$I$2:$I$600,MATCH($H531&amp;"|"&amp;$I531&amp;"|"&amp;$J531&amp;"|"&amp;7,Assessments!$A$2:$A$600,0)),"")</f>
        <v/>
      </c>
      <c r="CP531" s="28" t="str">
        <f aca="false">IFERROR(INDEX(Assessments!$I$2:$I$600,MATCH($H531&amp;"|"&amp;$I531&amp;"|"&amp;$J531&amp;"|"&amp;8,Assessments!$A$2:$A$600,0)),"")</f>
        <v/>
      </c>
      <c r="CQ531" s="28" t="str">
        <f aca="false">IFERROR(INDEX(Assessments!$I$2:$I$600,MATCH($H531&amp;"|"&amp;$I531&amp;"|"&amp;$J531&amp;"|"&amp;9,Assessments!$A$2:$A$600,0)),"")</f>
        <v/>
      </c>
      <c r="CR531" s="28" t="str">
        <f aca="false">IFERROR(INDEX(Assessments!$I$2:$I$600,MATCH($H531&amp;"|"&amp;$I531&amp;"|"&amp;$J531&amp;"|"&amp;10,Assessments!$A$2:$A$600,0)),"")</f>
        <v/>
      </c>
      <c r="CS531" s="28" t="str">
        <f aca="false">IFERROR(INDEX(Assessments!$I$2:$I$600,MATCH($H531&amp;"|"&amp;$I531&amp;"|"&amp;$J531&amp;"|"&amp;11,Assessments!$A$2:$A$600,0)),"")</f>
        <v/>
      </c>
      <c r="CT531" s="28" t="str">
        <f aca="false">IFERROR(INDEX(Assessments!$I$2:$I$600,MATCH($H531&amp;"|"&amp;$I531&amp;"|"&amp;$J531&amp;"|"&amp;12,Assessments!$A$2:$A$600,0)),"")</f>
        <v/>
      </c>
      <c r="CU531" s="28" t="str">
        <f aca="false">IFERROR(INDEX(Assessments!$I$2:$I$600,MATCH($H531&amp;"|"&amp;$I531&amp;"|"&amp;$J531&amp;"|"&amp;13,Assessments!$A$2:$A$600,0)),"")</f>
        <v/>
      </c>
      <c r="CV531" s="28" t="str">
        <f aca="false">IFERROR(INDEX(Assessments!$I$2:$I$600,MATCH($H531&amp;"|"&amp;$I531&amp;"|"&amp;$J531&amp;"|"&amp;14,Assessments!$A$2:$A$600,0)),"")</f>
        <v/>
      </c>
      <c r="CW531" s="28" t="n">
        <f aca="false">IFERROR(INDEX(Assessments!$J$2:$J$600,MATCH($H531&amp;"|"&amp;$I531&amp;"|"&amp;$J531&amp;"|"&amp;1,Assessments!$A$2:$A$600,0)),0)</f>
        <v>0</v>
      </c>
      <c r="CX531" s="28" t="n">
        <f aca="false">IFERROR(INDEX(Assessments!$J$2:$J$600,MATCH($H531&amp;"|"&amp;$I531&amp;"|"&amp;$J531&amp;"|"&amp;2,Assessments!$A$2:$A$600,0)),0)</f>
        <v>0</v>
      </c>
      <c r="CY531" s="28" t="n">
        <f aca="false">IFERROR(INDEX(Assessments!$J$2:$J$600,MATCH($H531&amp;"|"&amp;$I531&amp;"|"&amp;$J531&amp;"|"&amp;3,Assessments!$A$2:$A$600,0)),0)</f>
        <v>0</v>
      </c>
      <c r="CZ531" s="28" t="n">
        <f aca="false">IFERROR(INDEX(Assessments!$J$2:$J$600,MATCH($H531&amp;"|"&amp;$I531&amp;"|"&amp;$J531&amp;"|"&amp;4,Assessments!$A$2:$A$600,0)),0)</f>
        <v>0</v>
      </c>
      <c r="DA531" s="28" t="n">
        <f aca="false">IFERROR(INDEX(Assessments!$J$2:$J$600,MATCH($H531&amp;"|"&amp;$I531&amp;"|"&amp;$J531&amp;"|"&amp;5,Assessments!$A$2:$A$600,0)),0)</f>
        <v>0</v>
      </c>
      <c r="DB531" s="28" t="n">
        <f aca="false">IFERROR(INDEX(Assessments!$J$2:$J$600,MATCH($H531&amp;"|"&amp;$I531&amp;"|"&amp;$J531&amp;"|"&amp;6,Assessments!$A$2:$A$600,0)),0)</f>
        <v>0</v>
      </c>
      <c r="DC531" s="28" t="n">
        <f aca="false">IFERROR(INDEX(Assessments!$J$2:$J$600,MATCH($H531&amp;"|"&amp;$I531&amp;"|"&amp;$J531&amp;"|"&amp;7,Assessments!$A$2:$A$600,0)),0)</f>
        <v>0</v>
      </c>
      <c r="DD531" s="28" t="n">
        <f aca="false">IFERROR(INDEX(Assessments!$J$2:$J$600,MATCH($H531&amp;"|"&amp;$I531&amp;"|"&amp;$J531&amp;"|"&amp;8,Assessments!$A$2:$A$600,0)),0)</f>
        <v>0</v>
      </c>
      <c r="DE531" s="28" t="n">
        <f aca="false">IFERROR(INDEX(Assessments!$J$2:$J$600,MATCH($H531&amp;"|"&amp;$I531&amp;"|"&amp;$J531&amp;"|"&amp;9,Assessments!$A$2:$A$600,0)),0)</f>
        <v>0</v>
      </c>
      <c r="DF531" s="28" t="n">
        <f aca="false">IFERROR(INDEX(Assessments!$J$2:$J$600,MATCH($H531&amp;"|"&amp;$I531&amp;"|"&amp;$J531&amp;"|"&amp;10,Assessments!$A$2:$A$600,0)),0)</f>
        <v>0</v>
      </c>
      <c r="DG531" s="28" t="n">
        <f aca="false">IFERROR(INDEX(Assessments!$J$2:$J$600,MATCH($H531&amp;"|"&amp;$I531&amp;"|"&amp;$J531&amp;"|"&amp;11,Assessments!$A$2:$A$600,0)),0)</f>
        <v>0</v>
      </c>
      <c r="DH531" s="28" t="n">
        <f aca="false">IFERROR(INDEX(Assessments!$J$2:$J$600,MATCH($H531&amp;"|"&amp;$I531&amp;"|"&amp;$J531&amp;"|"&amp;12,Assessments!$A$2:$A$600,0)),0)</f>
        <v>0</v>
      </c>
      <c r="DI531" s="28" t="n">
        <f aca="false">IFERROR(INDEX(Assessments!$J$2:$J$600,MATCH($H531&amp;"|"&amp;$I531&amp;"|"&amp;$J531&amp;"|"&amp;13,Assessments!$A$2:$A$600,0)),0)</f>
        <v>0</v>
      </c>
      <c r="DJ531" s="28" t="n">
        <f aca="false">IFERROR(INDEX(Assessments!$J$2:$J$600,MATCH($H531&amp;"|"&amp;$I531&amp;"|"&amp;$J531&amp;"|"&amp;14,Assessments!$A$2:$A$600,0)),0)</f>
        <v>0</v>
      </c>
      <c r="DK531" s="28" t="str">
        <f aca="false">S531</f>
        <v/>
      </c>
      <c r="DL531" s="28" t="str">
        <f aca="false">W531</f>
        <v/>
      </c>
      <c r="DM531" s="28" t="str">
        <f aca="false">AA531</f>
        <v/>
      </c>
      <c r="DN531" s="28" t="str">
        <f aca="false">AE531</f>
        <v/>
      </c>
      <c r="DO531" s="28" t="str">
        <f aca="false">AI531</f>
        <v/>
      </c>
      <c r="DP531" s="28" t="str">
        <f aca="false">AM531</f>
        <v/>
      </c>
      <c r="DQ531" s="28" t="str">
        <f aca="false">AQ531</f>
        <v/>
      </c>
      <c r="DR531" s="28" t="str">
        <f aca="false">AU531</f>
        <v/>
      </c>
      <c r="DS531" s="28" t="str">
        <f aca="false">AY531</f>
        <v/>
      </c>
      <c r="DT531" s="28" t="str">
        <f aca="false">BC531</f>
        <v/>
      </c>
      <c r="DU531" s="28" t="str">
        <f aca="false">BG531</f>
        <v/>
      </c>
      <c r="DV531" s="28" t="str">
        <f aca="false">BK531</f>
        <v/>
      </c>
      <c r="DW531" s="28" t="str">
        <f aca="false">BO531</f>
        <v/>
      </c>
      <c r="DX531" s="28" t="str">
        <f aca="false">BS531</f>
        <v/>
      </c>
      <c r="DY531" s="28" t="str">
        <f aca="false">IF(ISNUMBER(S531),1,"")</f>
        <v/>
      </c>
      <c r="DZ531" s="28" t="str">
        <f aca="false">IF(ISNUMBER(W531),2,"")</f>
        <v/>
      </c>
      <c r="EA531" s="28" t="str">
        <f aca="false">IF(ISNUMBER(AA531),3,"")</f>
        <v/>
      </c>
      <c r="EB531" s="28" t="str">
        <f aca="false">IF(ISNUMBER(AE531),4,"")</f>
        <v/>
      </c>
      <c r="EC531" s="28" t="str">
        <f aca="false">IF(ISNUMBER(AI531),5,"")</f>
        <v/>
      </c>
      <c r="ED531" s="28" t="str">
        <f aca="false">IF(ISNUMBER(AM531),6,"")</f>
        <v/>
      </c>
      <c r="EE531" s="28" t="str">
        <f aca="false">IF(ISNUMBER(AQ531),7,"")</f>
        <v/>
      </c>
      <c r="EF531" s="28" t="str">
        <f aca="false">IF(ISNUMBER(AU531),8,"")</f>
        <v/>
      </c>
      <c r="EG531" s="28" t="str">
        <f aca="false">IF(ISNUMBER(AY531),9,"")</f>
        <v/>
      </c>
      <c r="EH531" s="28" t="str">
        <f aca="false">IF(ISNUMBER(BC531),10,"")</f>
        <v/>
      </c>
      <c r="EI531" s="28" t="str">
        <f aca="false">IF(ISNUMBER(BG531),11,"")</f>
        <v/>
      </c>
      <c r="EJ531" s="28" t="str">
        <f aca="false">IF(ISNUMBER(BK531),12,"")</f>
        <v/>
      </c>
      <c r="EK531" s="28" t="str">
        <f aca="false">IF(ISNUMBER(BO531),13,"")</f>
        <v/>
      </c>
      <c r="EL531" s="28" t="str">
        <f aca="false">IF(ISNUMBER(BS531),14,"")</f>
        <v/>
      </c>
      <c r="EM531" s="28" t="n">
        <f aca="false">IF(ISNUMBER(R531),R531*CW531,0)</f>
        <v>0</v>
      </c>
      <c r="EN531" s="28" t="n">
        <f aca="false">IF(ISNUMBER(V531),V531*CX531,0)</f>
        <v>0</v>
      </c>
      <c r="EO531" s="28" t="n">
        <f aca="false">IF(ISNUMBER(Z531),Z531*CY531,0)</f>
        <v>0</v>
      </c>
      <c r="EP531" s="28" t="n">
        <f aca="false">IF(ISNUMBER(AD531),AD531*CZ531,0)</f>
        <v>0</v>
      </c>
      <c r="EQ531" s="28" t="n">
        <f aca="false">IF(ISNUMBER(AH531),AH531*DA531,0)</f>
        <v>0</v>
      </c>
      <c r="ER531" s="28" t="n">
        <f aca="false">IF(ISNUMBER(AL531),AL531*DB531,0)</f>
        <v>0</v>
      </c>
      <c r="ES531" s="28" t="n">
        <f aca="false">IF(ISNUMBER(AP531),AP531*DC531,0)</f>
        <v>0</v>
      </c>
      <c r="ET531" s="28" t="n">
        <f aca="false">IF(ISNUMBER(AT531),AT531*DD531,0)</f>
        <v>0</v>
      </c>
      <c r="EU531" s="28" t="n">
        <f aca="false">IF(ISNUMBER(AX531),AX531*DE531,0)</f>
        <v>0</v>
      </c>
      <c r="EV531" s="28" t="n">
        <f aca="false">IF(ISNUMBER(BB531),BB531*DF531,0)</f>
        <v>0</v>
      </c>
      <c r="EW531" s="28" t="n">
        <f aca="false">IF(ISNUMBER(BF531),BF531*DG531,0)</f>
        <v>0</v>
      </c>
      <c r="EX531" s="28" t="n">
        <f aca="false">IF(ISNUMBER(BJ531),BJ531*DH531,0)</f>
        <v>0</v>
      </c>
      <c r="EY531" s="28" t="n">
        <f aca="false">IF(ISNUMBER(BN531),BN531*DI531,0)</f>
        <v>0</v>
      </c>
      <c r="EZ531" s="28" t="n">
        <f aca="false">IF(ISNUMBER(BR531),BR531*DJ531,0)</f>
        <v>0</v>
      </c>
      <c r="FA531" s="28" t="n">
        <f aca="false">IF(ISNUMBER(R531),CW531,0)</f>
        <v>0</v>
      </c>
      <c r="FB531" s="28" t="n">
        <f aca="false">IF(ISNUMBER(V531),CX531,0)</f>
        <v>0</v>
      </c>
      <c r="FC531" s="28" t="n">
        <f aca="false">IF(ISNUMBER(Z531),CY531,0)</f>
        <v>0</v>
      </c>
      <c r="FD531" s="28" t="n">
        <f aca="false">IF(ISNUMBER(AD531),CZ531,0)</f>
        <v>0</v>
      </c>
      <c r="FE531" s="28" t="n">
        <f aca="false">IF(ISNUMBER(AH531),DA531,0)</f>
        <v>0</v>
      </c>
      <c r="FF531" s="28" t="n">
        <f aca="false">IF(ISNUMBER(AL531),DB531,0)</f>
        <v>0</v>
      </c>
      <c r="FG531" s="28" t="n">
        <f aca="false">IF(ISNUMBER(AP531),DC531,0)</f>
        <v>0</v>
      </c>
      <c r="FH531" s="28" t="n">
        <f aca="false">IF(ISNUMBER(AT531),DD531,0)</f>
        <v>0</v>
      </c>
      <c r="FI531" s="28" t="n">
        <f aca="false">IF(ISNUMBER(AX531),DE531,0)</f>
        <v>0</v>
      </c>
      <c r="FJ531" s="28" t="n">
        <f aca="false">IF(ISNUMBER(BB531),DF531,0)</f>
        <v>0</v>
      </c>
      <c r="FK531" s="28" t="n">
        <f aca="false">IF(ISNUMBER(BF531),DG531,0)</f>
        <v>0</v>
      </c>
      <c r="FL531" s="28" t="n">
        <f aca="false">IF(ISNUMBER(BJ531),DH531,0)</f>
        <v>0</v>
      </c>
      <c r="FM531" s="28" t="n">
        <f aca="false">IF(ISNUMBER(BN531),DI531,0)</f>
        <v>0</v>
      </c>
      <c r="FN531" s="28" t="n">
        <f aca="false">IF(ISNUMBER(BR531),DJ531,0)</f>
        <v>0</v>
      </c>
      <c r="FO531" s="28" t="str">
        <f aca="false">IFERROR(INDEX(Lists!$G$2:$G$20,MATCH($I531&amp;"|"&amp;$J531,Lists!$F$2:$F$20,0)),"")</f>
        <v/>
      </c>
    </row>
    <row r="532" customFormat="false" ht="19.5" hidden="false" customHeight="true" outlineLevel="0" collapsed="false">
      <c r="A532" s="29"/>
      <c r="B532" s="29"/>
      <c r="C532" s="30"/>
      <c r="D532" s="30"/>
      <c r="E532" s="31"/>
      <c r="F532" s="30"/>
      <c r="G532" s="30"/>
      <c r="H532" s="32"/>
      <c r="I532" s="33"/>
      <c r="J532" s="32"/>
      <c r="K532" s="34" t="str">
        <f aca="false">IF(OR(M532="",$E532=""),"",M532-$E532)</f>
        <v/>
      </c>
      <c r="L532" s="35" t="str">
        <f aca="false">IF(SUM(FA532:FN532)=0,"",SUM(EM532:EZ532)/SUM(FA532:FN532))</f>
        <v/>
      </c>
      <c r="M532" s="36" t="str">
        <f aca="false">IF(OR(L532="",FO532=""),"",IFERROR(MATCH(L532,INDEX(Boundaries!$B$2:$I$30,MATCH(FO532,Boundaries!$A$2:$A$30,0),0),1)-1,""))</f>
        <v/>
      </c>
      <c r="N532" s="37" t="str">
        <f aca="false">IF(COUNT($DY532:$EL532)&lt;2,"",INDEX($DK532:$DX532,MAX($DY532:$EL532))-INDEX($DK532:$DX532,MIN($DY532:$EL532)))</f>
        <v/>
      </c>
      <c r="O532" s="37" t="str">
        <f aca="false">IF(COUNT($DY532:$EL532)&lt;2,"",INDEX($DK532:$DX532,MAX($DY532:$EL532))-INDEX($DK532:$DX532,LARGE($DY532:$EL532,2)))</f>
        <v/>
      </c>
      <c r="P532" s="38" t="str">
        <f aca="false">IF(K532="","",IF(K532&gt;=0,"On/above target",IF(AND(N532&lt;&gt;"",N532&gt;=0.5),"Improving towards target",IF(AND(O532&lt;&gt;"",O532&lt;=-0.5),"Declining","Stable below target"))))</f>
        <v/>
      </c>
      <c r="Q532" s="39"/>
      <c r="R532" s="40" t="str">
        <f aca="false">IF(OR(Q532="",BU532=""),"",Q532/BU532*100)</f>
        <v/>
      </c>
      <c r="S532" s="41" t="str">
        <f aca="false">IF(R532="","",IFERROR(MATCH(R532,INDEX(Boundaries!$B$2:$I$30,MATCH(CI532,Boundaries!$A$2:$A$30,0),0),1)-1,""))</f>
        <v/>
      </c>
      <c r="T532" s="42" t="str">
        <f aca="false">IF(OR(S532="",$E532=""),"",S532-$E532)</f>
        <v/>
      </c>
      <c r="U532" s="39"/>
      <c r="V532" s="40" t="str">
        <f aca="false">IF(OR(U532="",BV532=""),"",U532/BV532*100)</f>
        <v/>
      </c>
      <c r="W532" s="41" t="str">
        <f aca="false">IF(V532="","",IFERROR(MATCH(V532,INDEX(Boundaries!$B$2:$I$30,MATCH(CJ532,Boundaries!$A$2:$A$30,0),0),1)-1,""))</f>
        <v/>
      </c>
      <c r="X532" s="42" t="str">
        <f aca="false">IF(OR(W532="",$E532=""),"",W532-$E532)</f>
        <v/>
      </c>
      <c r="Y532" s="39"/>
      <c r="Z532" s="40" t="str">
        <f aca="false">IF(OR(Y532="",BW532=""),"",Y532/BW532*100)</f>
        <v/>
      </c>
      <c r="AA532" s="41" t="str">
        <f aca="false">IF(Z532="","",IFERROR(MATCH(Z532,INDEX(Boundaries!$B$2:$I$30,MATCH(CK532,Boundaries!$A$2:$A$30,0),0),1)-1,""))</f>
        <v/>
      </c>
      <c r="AB532" s="42" t="str">
        <f aca="false">IF(OR(AA532="",$E532=""),"",AA532-$E532)</f>
        <v/>
      </c>
      <c r="AC532" s="39"/>
      <c r="AD532" s="40" t="str">
        <f aca="false">IF(OR(AC532="",BX532=""),"",AC532/BX532*100)</f>
        <v/>
      </c>
      <c r="AE532" s="41" t="str">
        <f aca="false">IF(AD532="","",IFERROR(MATCH(AD532,INDEX(Boundaries!$B$2:$I$30,MATCH(CL532,Boundaries!$A$2:$A$30,0),0),1)-1,""))</f>
        <v/>
      </c>
      <c r="AF532" s="42" t="str">
        <f aca="false">IF(OR(AE532="",$E532=""),"",AE532-$E532)</f>
        <v/>
      </c>
      <c r="AG532" s="39"/>
      <c r="AH532" s="40" t="str">
        <f aca="false">IF(OR(AG532="",BY532=""),"",AG532/BY532*100)</f>
        <v/>
      </c>
      <c r="AI532" s="41" t="str">
        <f aca="false">IF(AH532="","",IFERROR(MATCH(AH532,INDEX(Boundaries!$B$2:$I$30,MATCH(CM532,Boundaries!$A$2:$A$30,0),0),1)-1,""))</f>
        <v/>
      </c>
      <c r="AJ532" s="42" t="str">
        <f aca="false">IF(OR(AI532="",$E532=""),"",AI532-$E532)</f>
        <v/>
      </c>
      <c r="AK532" s="39"/>
      <c r="AL532" s="40" t="str">
        <f aca="false">IF(OR(AK532="",BZ532=""),"",AK532/BZ532*100)</f>
        <v/>
      </c>
      <c r="AM532" s="41" t="str">
        <f aca="false">IF(AL532="","",IFERROR(MATCH(AL532,INDEX(Boundaries!$B$2:$I$30,MATCH(CN532,Boundaries!$A$2:$A$30,0),0),1)-1,""))</f>
        <v/>
      </c>
      <c r="AN532" s="42" t="str">
        <f aca="false">IF(OR(AM532="",$E532=""),"",AM532-$E532)</f>
        <v/>
      </c>
      <c r="AO532" s="39"/>
      <c r="AP532" s="40" t="str">
        <f aca="false">IF(OR(AO532="",CA532=""),"",AO532/CA532*100)</f>
        <v/>
      </c>
      <c r="AQ532" s="41" t="str">
        <f aca="false">IF(AP532="","",IFERROR(MATCH(AP532,INDEX(Boundaries!$B$2:$I$30,MATCH(CO532,Boundaries!$A$2:$A$30,0),0),1)-1,""))</f>
        <v/>
      </c>
      <c r="AR532" s="42" t="str">
        <f aca="false">IF(OR(AQ532="",$E532=""),"",AQ532-$E532)</f>
        <v/>
      </c>
      <c r="AS532" s="39"/>
      <c r="AT532" s="40" t="str">
        <f aca="false">IF(OR(AS532="",CB532=""),"",AS532/CB532*100)</f>
        <v/>
      </c>
      <c r="AU532" s="41" t="str">
        <f aca="false">IF(AT532="","",IFERROR(MATCH(AT532,INDEX(Boundaries!$B$2:$I$30,MATCH(CP532,Boundaries!$A$2:$A$30,0),0),1)-1,""))</f>
        <v/>
      </c>
      <c r="AV532" s="42" t="str">
        <f aca="false">IF(OR(AU532="",$E532=""),"",AU532-$E532)</f>
        <v/>
      </c>
      <c r="AW532" s="39"/>
      <c r="AX532" s="40" t="str">
        <f aca="false">IF(OR(AW532="",CC532=""),"",AW532/CC532*100)</f>
        <v/>
      </c>
      <c r="AY532" s="41" t="str">
        <f aca="false">IF(AX532="","",IFERROR(MATCH(AX532,INDEX(Boundaries!$B$2:$I$30,MATCH(CQ532,Boundaries!$A$2:$A$30,0),0),1)-1,""))</f>
        <v/>
      </c>
      <c r="AZ532" s="42" t="str">
        <f aca="false">IF(OR(AY532="",$E532=""),"",AY532-$E532)</f>
        <v/>
      </c>
      <c r="BA532" s="39"/>
      <c r="BB532" s="40" t="str">
        <f aca="false">IF(OR(BA532="",CD532=""),"",BA532/CD532*100)</f>
        <v/>
      </c>
      <c r="BC532" s="41" t="str">
        <f aca="false">IF(BB532="","",IFERROR(MATCH(BB532,INDEX(Boundaries!$B$2:$I$30,MATCH(CR532,Boundaries!$A$2:$A$30,0),0),1)-1,""))</f>
        <v/>
      </c>
      <c r="BD532" s="42" t="str">
        <f aca="false">IF(OR(BC532="",$E532=""),"",BC532-$E532)</f>
        <v/>
      </c>
      <c r="BE532" s="39"/>
      <c r="BF532" s="40" t="str">
        <f aca="false">IF(OR(BE532="",CE532=""),"",BE532/CE532*100)</f>
        <v/>
      </c>
      <c r="BG532" s="41" t="str">
        <f aca="false">IF(BF532="","",IFERROR(MATCH(BF532,INDEX(Boundaries!$B$2:$I$30,MATCH(CS532,Boundaries!$A$2:$A$30,0),0),1)-1,""))</f>
        <v/>
      </c>
      <c r="BH532" s="42" t="str">
        <f aca="false">IF(OR(BG532="",$E532=""),"",BG532-$E532)</f>
        <v/>
      </c>
      <c r="BI532" s="39"/>
      <c r="BJ532" s="40" t="str">
        <f aca="false">IF(OR(BI532="",CF532=""),"",BI532/CF532*100)</f>
        <v/>
      </c>
      <c r="BK532" s="41" t="str">
        <f aca="false">IF(BJ532="","",IFERROR(MATCH(BJ532,INDEX(Boundaries!$B$2:$I$30,MATCH(CT532,Boundaries!$A$2:$A$30,0),0),1)-1,""))</f>
        <v/>
      </c>
      <c r="BL532" s="42" t="str">
        <f aca="false">IF(OR(BK532="",$E532=""),"",BK532-$E532)</f>
        <v/>
      </c>
      <c r="BM532" s="39"/>
      <c r="BN532" s="40" t="str">
        <f aca="false">IF(OR(BM532="",CG532=""),"",BM532/CG532*100)</f>
        <v/>
      </c>
      <c r="BO532" s="41" t="str">
        <f aca="false">IF(BN532="","",IFERROR(MATCH(BN532,INDEX(Boundaries!$B$2:$I$30,MATCH(CU532,Boundaries!$A$2:$A$30,0),0),1)-1,""))</f>
        <v/>
      </c>
      <c r="BP532" s="42" t="str">
        <f aca="false">IF(OR(BO532="",$E532=""),"",BO532-$E532)</f>
        <v/>
      </c>
      <c r="BQ532" s="39"/>
      <c r="BR532" s="40" t="str">
        <f aca="false">IF(OR(BQ532="",CH532=""),"",BQ532/CH532*100)</f>
        <v/>
      </c>
      <c r="BS532" s="41" t="str">
        <f aca="false">IF(BR532="","",IFERROR(MATCH(BR532,INDEX(Boundaries!$B$2:$I$30,MATCH(CV532,Boundaries!$A$2:$A$30,0),0),1)-1,""))</f>
        <v/>
      </c>
      <c r="BT532" s="42" t="str">
        <f aca="false">IF(OR(BS532="",$E532=""),"",BS532-$E532)</f>
        <v/>
      </c>
      <c r="BU532" s="28" t="str">
        <f aca="false">IFERROR(INDEX(Assessments!$H$2:$H$600,MATCH($H532&amp;"|"&amp;$I532&amp;"|"&amp;$J532&amp;"|"&amp;1,Assessments!$A$2:$A$600,0)),"")</f>
        <v/>
      </c>
      <c r="BV532" s="28" t="str">
        <f aca="false">IFERROR(INDEX(Assessments!$H$2:$H$600,MATCH($H532&amp;"|"&amp;$I532&amp;"|"&amp;$J532&amp;"|"&amp;2,Assessments!$A$2:$A$600,0)),"")</f>
        <v/>
      </c>
      <c r="BW532" s="28" t="str">
        <f aca="false">IFERROR(INDEX(Assessments!$H$2:$H$600,MATCH($H532&amp;"|"&amp;$I532&amp;"|"&amp;$J532&amp;"|"&amp;3,Assessments!$A$2:$A$600,0)),"")</f>
        <v/>
      </c>
      <c r="BX532" s="28" t="str">
        <f aca="false">IFERROR(INDEX(Assessments!$H$2:$H$600,MATCH($H532&amp;"|"&amp;$I532&amp;"|"&amp;$J532&amp;"|"&amp;4,Assessments!$A$2:$A$600,0)),"")</f>
        <v/>
      </c>
      <c r="BY532" s="28" t="str">
        <f aca="false">IFERROR(INDEX(Assessments!$H$2:$H$600,MATCH($H532&amp;"|"&amp;$I532&amp;"|"&amp;$J532&amp;"|"&amp;5,Assessments!$A$2:$A$600,0)),"")</f>
        <v/>
      </c>
      <c r="BZ532" s="28" t="str">
        <f aca="false">IFERROR(INDEX(Assessments!$H$2:$H$600,MATCH($H532&amp;"|"&amp;$I532&amp;"|"&amp;$J532&amp;"|"&amp;6,Assessments!$A$2:$A$600,0)),"")</f>
        <v/>
      </c>
      <c r="CA532" s="28" t="str">
        <f aca="false">IFERROR(INDEX(Assessments!$H$2:$H$600,MATCH($H532&amp;"|"&amp;$I532&amp;"|"&amp;$J532&amp;"|"&amp;7,Assessments!$A$2:$A$600,0)),"")</f>
        <v/>
      </c>
      <c r="CB532" s="28" t="str">
        <f aca="false">IFERROR(INDEX(Assessments!$H$2:$H$600,MATCH($H532&amp;"|"&amp;$I532&amp;"|"&amp;$J532&amp;"|"&amp;8,Assessments!$A$2:$A$600,0)),"")</f>
        <v/>
      </c>
      <c r="CC532" s="28" t="str">
        <f aca="false">IFERROR(INDEX(Assessments!$H$2:$H$600,MATCH($H532&amp;"|"&amp;$I532&amp;"|"&amp;$J532&amp;"|"&amp;9,Assessments!$A$2:$A$600,0)),"")</f>
        <v/>
      </c>
      <c r="CD532" s="28" t="str">
        <f aca="false">IFERROR(INDEX(Assessments!$H$2:$H$600,MATCH($H532&amp;"|"&amp;$I532&amp;"|"&amp;$J532&amp;"|"&amp;10,Assessments!$A$2:$A$600,0)),"")</f>
        <v/>
      </c>
      <c r="CE532" s="28" t="str">
        <f aca="false">IFERROR(INDEX(Assessments!$H$2:$H$600,MATCH($H532&amp;"|"&amp;$I532&amp;"|"&amp;$J532&amp;"|"&amp;11,Assessments!$A$2:$A$600,0)),"")</f>
        <v/>
      </c>
      <c r="CF532" s="28" t="str">
        <f aca="false">IFERROR(INDEX(Assessments!$H$2:$H$600,MATCH($H532&amp;"|"&amp;$I532&amp;"|"&amp;$J532&amp;"|"&amp;12,Assessments!$A$2:$A$600,0)),"")</f>
        <v/>
      </c>
      <c r="CG532" s="28" t="str">
        <f aca="false">IFERROR(INDEX(Assessments!$H$2:$H$600,MATCH($H532&amp;"|"&amp;$I532&amp;"|"&amp;$J532&amp;"|"&amp;13,Assessments!$A$2:$A$600,0)),"")</f>
        <v/>
      </c>
      <c r="CH532" s="28" t="str">
        <f aca="false">IFERROR(INDEX(Assessments!$H$2:$H$600,MATCH($H532&amp;"|"&amp;$I532&amp;"|"&amp;$J532&amp;"|"&amp;14,Assessments!$A$2:$A$600,0)),"")</f>
        <v/>
      </c>
      <c r="CI532" s="28" t="str">
        <f aca="false">IFERROR(INDEX(Assessments!$I$2:$I$600,MATCH($H532&amp;"|"&amp;$I532&amp;"|"&amp;$J532&amp;"|"&amp;1,Assessments!$A$2:$A$600,0)),"")</f>
        <v/>
      </c>
      <c r="CJ532" s="28" t="str">
        <f aca="false">IFERROR(INDEX(Assessments!$I$2:$I$600,MATCH($H532&amp;"|"&amp;$I532&amp;"|"&amp;$J532&amp;"|"&amp;2,Assessments!$A$2:$A$600,0)),"")</f>
        <v/>
      </c>
      <c r="CK532" s="28" t="str">
        <f aca="false">IFERROR(INDEX(Assessments!$I$2:$I$600,MATCH($H532&amp;"|"&amp;$I532&amp;"|"&amp;$J532&amp;"|"&amp;3,Assessments!$A$2:$A$600,0)),"")</f>
        <v/>
      </c>
      <c r="CL532" s="28" t="str">
        <f aca="false">IFERROR(INDEX(Assessments!$I$2:$I$600,MATCH($H532&amp;"|"&amp;$I532&amp;"|"&amp;$J532&amp;"|"&amp;4,Assessments!$A$2:$A$600,0)),"")</f>
        <v/>
      </c>
      <c r="CM532" s="28" t="str">
        <f aca="false">IFERROR(INDEX(Assessments!$I$2:$I$600,MATCH($H532&amp;"|"&amp;$I532&amp;"|"&amp;$J532&amp;"|"&amp;5,Assessments!$A$2:$A$600,0)),"")</f>
        <v/>
      </c>
      <c r="CN532" s="28" t="str">
        <f aca="false">IFERROR(INDEX(Assessments!$I$2:$I$600,MATCH($H532&amp;"|"&amp;$I532&amp;"|"&amp;$J532&amp;"|"&amp;6,Assessments!$A$2:$A$600,0)),"")</f>
        <v/>
      </c>
      <c r="CO532" s="28" t="str">
        <f aca="false">IFERROR(INDEX(Assessments!$I$2:$I$600,MATCH($H532&amp;"|"&amp;$I532&amp;"|"&amp;$J532&amp;"|"&amp;7,Assessments!$A$2:$A$600,0)),"")</f>
        <v/>
      </c>
      <c r="CP532" s="28" t="str">
        <f aca="false">IFERROR(INDEX(Assessments!$I$2:$I$600,MATCH($H532&amp;"|"&amp;$I532&amp;"|"&amp;$J532&amp;"|"&amp;8,Assessments!$A$2:$A$600,0)),"")</f>
        <v/>
      </c>
      <c r="CQ532" s="28" t="str">
        <f aca="false">IFERROR(INDEX(Assessments!$I$2:$I$600,MATCH($H532&amp;"|"&amp;$I532&amp;"|"&amp;$J532&amp;"|"&amp;9,Assessments!$A$2:$A$600,0)),"")</f>
        <v/>
      </c>
      <c r="CR532" s="28" t="str">
        <f aca="false">IFERROR(INDEX(Assessments!$I$2:$I$600,MATCH($H532&amp;"|"&amp;$I532&amp;"|"&amp;$J532&amp;"|"&amp;10,Assessments!$A$2:$A$600,0)),"")</f>
        <v/>
      </c>
      <c r="CS532" s="28" t="str">
        <f aca="false">IFERROR(INDEX(Assessments!$I$2:$I$600,MATCH($H532&amp;"|"&amp;$I532&amp;"|"&amp;$J532&amp;"|"&amp;11,Assessments!$A$2:$A$600,0)),"")</f>
        <v/>
      </c>
      <c r="CT532" s="28" t="str">
        <f aca="false">IFERROR(INDEX(Assessments!$I$2:$I$600,MATCH($H532&amp;"|"&amp;$I532&amp;"|"&amp;$J532&amp;"|"&amp;12,Assessments!$A$2:$A$600,0)),"")</f>
        <v/>
      </c>
      <c r="CU532" s="28" t="str">
        <f aca="false">IFERROR(INDEX(Assessments!$I$2:$I$600,MATCH($H532&amp;"|"&amp;$I532&amp;"|"&amp;$J532&amp;"|"&amp;13,Assessments!$A$2:$A$600,0)),"")</f>
        <v/>
      </c>
      <c r="CV532" s="28" t="str">
        <f aca="false">IFERROR(INDEX(Assessments!$I$2:$I$600,MATCH($H532&amp;"|"&amp;$I532&amp;"|"&amp;$J532&amp;"|"&amp;14,Assessments!$A$2:$A$600,0)),"")</f>
        <v/>
      </c>
      <c r="CW532" s="28" t="n">
        <f aca="false">IFERROR(INDEX(Assessments!$J$2:$J$600,MATCH($H532&amp;"|"&amp;$I532&amp;"|"&amp;$J532&amp;"|"&amp;1,Assessments!$A$2:$A$600,0)),0)</f>
        <v>0</v>
      </c>
      <c r="CX532" s="28" t="n">
        <f aca="false">IFERROR(INDEX(Assessments!$J$2:$J$600,MATCH($H532&amp;"|"&amp;$I532&amp;"|"&amp;$J532&amp;"|"&amp;2,Assessments!$A$2:$A$600,0)),0)</f>
        <v>0</v>
      </c>
      <c r="CY532" s="28" t="n">
        <f aca="false">IFERROR(INDEX(Assessments!$J$2:$J$600,MATCH($H532&amp;"|"&amp;$I532&amp;"|"&amp;$J532&amp;"|"&amp;3,Assessments!$A$2:$A$600,0)),0)</f>
        <v>0</v>
      </c>
      <c r="CZ532" s="28" t="n">
        <f aca="false">IFERROR(INDEX(Assessments!$J$2:$J$600,MATCH($H532&amp;"|"&amp;$I532&amp;"|"&amp;$J532&amp;"|"&amp;4,Assessments!$A$2:$A$600,0)),0)</f>
        <v>0</v>
      </c>
      <c r="DA532" s="28" t="n">
        <f aca="false">IFERROR(INDEX(Assessments!$J$2:$J$600,MATCH($H532&amp;"|"&amp;$I532&amp;"|"&amp;$J532&amp;"|"&amp;5,Assessments!$A$2:$A$600,0)),0)</f>
        <v>0</v>
      </c>
      <c r="DB532" s="28" t="n">
        <f aca="false">IFERROR(INDEX(Assessments!$J$2:$J$600,MATCH($H532&amp;"|"&amp;$I532&amp;"|"&amp;$J532&amp;"|"&amp;6,Assessments!$A$2:$A$600,0)),0)</f>
        <v>0</v>
      </c>
      <c r="DC532" s="28" t="n">
        <f aca="false">IFERROR(INDEX(Assessments!$J$2:$J$600,MATCH($H532&amp;"|"&amp;$I532&amp;"|"&amp;$J532&amp;"|"&amp;7,Assessments!$A$2:$A$600,0)),0)</f>
        <v>0</v>
      </c>
      <c r="DD532" s="28" t="n">
        <f aca="false">IFERROR(INDEX(Assessments!$J$2:$J$600,MATCH($H532&amp;"|"&amp;$I532&amp;"|"&amp;$J532&amp;"|"&amp;8,Assessments!$A$2:$A$600,0)),0)</f>
        <v>0</v>
      </c>
      <c r="DE532" s="28" t="n">
        <f aca="false">IFERROR(INDEX(Assessments!$J$2:$J$600,MATCH($H532&amp;"|"&amp;$I532&amp;"|"&amp;$J532&amp;"|"&amp;9,Assessments!$A$2:$A$600,0)),0)</f>
        <v>0</v>
      </c>
      <c r="DF532" s="28" t="n">
        <f aca="false">IFERROR(INDEX(Assessments!$J$2:$J$600,MATCH($H532&amp;"|"&amp;$I532&amp;"|"&amp;$J532&amp;"|"&amp;10,Assessments!$A$2:$A$600,0)),0)</f>
        <v>0</v>
      </c>
      <c r="DG532" s="28" t="n">
        <f aca="false">IFERROR(INDEX(Assessments!$J$2:$J$600,MATCH($H532&amp;"|"&amp;$I532&amp;"|"&amp;$J532&amp;"|"&amp;11,Assessments!$A$2:$A$600,0)),0)</f>
        <v>0</v>
      </c>
      <c r="DH532" s="28" t="n">
        <f aca="false">IFERROR(INDEX(Assessments!$J$2:$J$600,MATCH($H532&amp;"|"&amp;$I532&amp;"|"&amp;$J532&amp;"|"&amp;12,Assessments!$A$2:$A$600,0)),0)</f>
        <v>0</v>
      </c>
      <c r="DI532" s="28" t="n">
        <f aca="false">IFERROR(INDEX(Assessments!$J$2:$J$600,MATCH($H532&amp;"|"&amp;$I532&amp;"|"&amp;$J532&amp;"|"&amp;13,Assessments!$A$2:$A$600,0)),0)</f>
        <v>0</v>
      </c>
      <c r="DJ532" s="28" t="n">
        <f aca="false">IFERROR(INDEX(Assessments!$J$2:$J$600,MATCH($H532&amp;"|"&amp;$I532&amp;"|"&amp;$J532&amp;"|"&amp;14,Assessments!$A$2:$A$600,0)),0)</f>
        <v>0</v>
      </c>
      <c r="DK532" s="28" t="str">
        <f aca="false">S532</f>
        <v/>
      </c>
      <c r="DL532" s="28" t="str">
        <f aca="false">W532</f>
        <v/>
      </c>
      <c r="DM532" s="28" t="str">
        <f aca="false">AA532</f>
        <v/>
      </c>
      <c r="DN532" s="28" t="str">
        <f aca="false">AE532</f>
        <v/>
      </c>
      <c r="DO532" s="28" t="str">
        <f aca="false">AI532</f>
        <v/>
      </c>
      <c r="DP532" s="28" t="str">
        <f aca="false">AM532</f>
        <v/>
      </c>
      <c r="DQ532" s="28" t="str">
        <f aca="false">AQ532</f>
        <v/>
      </c>
      <c r="DR532" s="28" t="str">
        <f aca="false">AU532</f>
        <v/>
      </c>
      <c r="DS532" s="28" t="str">
        <f aca="false">AY532</f>
        <v/>
      </c>
      <c r="DT532" s="28" t="str">
        <f aca="false">BC532</f>
        <v/>
      </c>
      <c r="DU532" s="28" t="str">
        <f aca="false">BG532</f>
        <v/>
      </c>
      <c r="DV532" s="28" t="str">
        <f aca="false">BK532</f>
        <v/>
      </c>
      <c r="DW532" s="28" t="str">
        <f aca="false">BO532</f>
        <v/>
      </c>
      <c r="DX532" s="28" t="str">
        <f aca="false">BS532</f>
        <v/>
      </c>
      <c r="DY532" s="28" t="str">
        <f aca="false">IF(ISNUMBER(S532),1,"")</f>
        <v/>
      </c>
      <c r="DZ532" s="28" t="str">
        <f aca="false">IF(ISNUMBER(W532),2,"")</f>
        <v/>
      </c>
      <c r="EA532" s="28" t="str">
        <f aca="false">IF(ISNUMBER(AA532),3,"")</f>
        <v/>
      </c>
      <c r="EB532" s="28" t="str">
        <f aca="false">IF(ISNUMBER(AE532),4,"")</f>
        <v/>
      </c>
      <c r="EC532" s="28" t="str">
        <f aca="false">IF(ISNUMBER(AI532),5,"")</f>
        <v/>
      </c>
      <c r="ED532" s="28" t="str">
        <f aca="false">IF(ISNUMBER(AM532),6,"")</f>
        <v/>
      </c>
      <c r="EE532" s="28" t="str">
        <f aca="false">IF(ISNUMBER(AQ532),7,"")</f>
        <v/>
      </c>
      <c r="EF532" s="28" t="str">
        <f aca="false">IF(ISNUMBER(AU532),8,"")</f>
        <v/>
      </c>
      <c r="EG532" s="28" t="str">
        <f aca="false">IF(ISNUMBER(AY532),9,"")</f>
        <v/>
      </c>
      <c r="EH532" s="28" t="str">
        <f aca="false">IF(ISNUMBER(BC532),10,"")</f>
        <v/>
      </c>
      <c r="EI532" s="28" t="str">
        <f aca="false">IF(ISNUMBER(BG532),11,"")</f>
        <v/>
      </c>
      <c r="EJ532" s="28" t="str">
        <f aca="false">IF(ISNUMBER(BK532),12,"")</f>
        <v/>
      </c>
      <c r="EK532" s="28" t="str">
        <f aca="false">IF(ISNUMBER(BO532),13,"")</f>
        <v/>
      </c>
      <c r="EL532" s="28" t="str">
        <f aca="false">IF(ISNUMBER(BS532),14,"")</f>
        <v/>
      </c>
      <c r="EM532" s="28" t="n">
        <f aca="false">IF(ISNUMBER(R532),R532*CW532,0)</f>
        <v>0</v>
      </c>
      <c r="EN532" s="28" t="n">
        <f aca="false">IF(ISNUMBER(V532),V532*CX532,0)</f>
        <v>0</v>
      </c>
      <c r="EO532" s="28" t="n">
        <f aca="false">IF(ISNUMBER(Z532),Z532*CY532,0)</f>
        <v>0</v>
      </c>
      <c r="EP532" s="28" t="n">
        <f aca="false">IF(ISNUMBER(AD532),AD532*CZ532,0)</f>
        <v>0</v>
      </c>
      <c r="EQ532" s="28" t="n">
        <f aca="false">IF(ISNUMBER(AH532),AH532*DA532,0)</f>
        <v>0</v>
      </c>
      <c r="ER532" s="28" t="n">
        <f aca="false">IF(ISNUMBER(AL532),AL532*DB532,0)</f>
        <v>0</v>
      </c>
      <c r="ES532" s="28" t="n">
        <f aca="false">IF(ISNUMBER(AP532),AP532*DC532,0)</f>
        <v>0</v>
      </c>
      <c r="ET532" s="28" t="n">
        <f aca="false">IF(ISNUMBER(AT532),AT532*DD532,0)</f>
        <v>0</v>
      </c>
      <c r="EU532" s="28" t="n">
        <f aca="false">IF(ISNUMBER(AX532),AX532*DE532,0)</f>
        <v>0</v>
      </c>
      <c r="EV532" s="28" t="n">
        <f aca="false">IF(ISNUMBER(BB532),BB532*DF532,0)</f>
        <v>0</v>
      </c>
      <c r="EW532" s="28" t="n">
        <f aca="false">IF(ISNUMBER(BF532),BF532*DG532,0)</f>
        <v>0</v>
      </c>
      <c r="EX532" s="28" t="n">
        <f aca="false">IF(ISNUMBER(BJ532),BJ532*DH532,0)</f>
        <v>0</v>
      </c>
      <c r="EY532" s="28" t="n">
        <f aca="false">IF(ISNUMBER(BN532),BN532*DI532,0)</f>
        <v>0</v>
      </c>
      <c r="EZ532" s="28" t="n">
        <f aca="false">IF(ISNUMBER(BR532),BR532*DJ532,0)</f>
        <v>0</v>
      </c>
      <c r="FA532" s="28" t="n">
        <f aca="false">IF(ISNUMBER(R532),CW532,0)</f>
        <v>0</v>
      </c>
      <c r="FB532" s="28" t="n">
        <f aca="false">IF(ISNUMBER(V532),CX532,0)</f>
        <v>0</v>
      </c>
      <c r="FC532" s="28" t="n">
        <f aca="false">IF(ISNUMBER(Z532),CY532,0)</f>
        <v>0</v>
      </c>
      <c r="FD532" s="28" t="n">
        <f aca="false">IF(ISNUMBER(AD532),CZ532,0)</f>
        <v>0</v>
      </c>
      <c r="FE532" s="28" t="n">
        <f aca="false">IF(ISNUMBER(AH532),DA532,0)</f>
        <v>0</v>
      </c>
      <c r="FF532" s="28" t="n">
        <f aca="false">IF(ISNUMBER(AL532),DB532,0)</f>
        <v>0</v>
      </c>
      <c r="FG532" s="28" t="n">
        <f aca="false">IF(ISNUMBER(AP532),DC532,0)</f>
        <v>0</v>
      </c>
      <c r="FH532" s="28" t="n">
        <f aca="false">IF(ISNUMBER(AT532),DD532,0)</f>
        <v>0</v>
      </c>
      <c r="FI532" s="28" t="n">
        <f aca="false">IF(ISNUMBER(AX532),DE532,0)</f>
        <v>0</v>
      </c>
      <c r="FJ532" s="28" t="n">
        <f aca="false">IF(ISNUMBER(BB532),DF532,0)</f>
        <v>0</v>
      </c>
      <c r="FK532" s="28" t="n">
        <f aca="false">IF(ISNUMBER(BF532),DG532,0)</f>
        <v>0</v>
      </c>
      <c r="FL532" s="28" t="n">
        <f aca="false">IF(ISNUMBER(BJ532),DH532,0)</f>
        <v>0</v>
      </c>
      <c r="FM532" s="28" t="n">
        <f aca="false">IF(ISNUMBER(BN532),DI532,0)</f>
        <v>0</v>
      </c>
      <c r="FN532" s="28" t="n">
        <f aca="false">IF(ISNUMBER(BR532),DJ532,0)</f>
        <v>0</v>
      </c>
      <c r="FO532" s="28" t="str">
        <f aca="false">IFERROR(INDEX(Lists!$G$2:$G$20,MATCH($I532&amp;"|"&amp;$J532,Lists!$F$2:$F$20,0)),"")</f>
        <v/>
      </c>
    </row>
    <row r="533" customFormat="false" ht="19.5" hidden="false" customHeight="true" outlineLevel="0" collapsed="false">
      <c r="A533" s="29"/>
      <c r="B533" s="29"/>
      <c r="C533" s="30"/>
      <c r="D533" s="30"/>
      <c r="E533" s="31"/>
      <c r="F533" s="30"/>
      <c r="G533" s="30"/>
      <c r="H533" s="32"/>
      <c r="I533" s="33"/>
      <c r="J533" s="32"/>
      <c r="K533" s="34" t="str">
        <f aca="false">IF(OR(M533="",$E533=""),"",M533-$E533)</f>
        <v/>
      </c>
      <c r="L533" s="35" t="str">
        <f aca="false">IF(SUM(FA533:FN533)=0,"",SUM(EM533:EZ533)/SUM(FA533:FN533))</f>
        <v/>
      </c>
      <c r="M533" s="36" t="str">
        <f aca="false">IF(OR(L533="",FO533=""),"",IFERROR(MATCH(L533,INDEX(Boundaries!$B$2:$I$30,MATCH(FO533,Boundaries!$A$2:$A$30,0),0),1)-1,""))</f>
        <v/>
      </c>
      <c r="N533" s="37" t="str">
        <f aca="false">IF(COUNT($DY533:$EL533)&lt;2,"",INDEX($DK533:$DX533,MAX($DY533:$EL533))-INDEX($DK533:$DX533,MIN($DY533:$EL533)))</f>
        <v/>
      </c>
      <c r="O533" s="37" t="str">
        <f aca="false">IF(COUNT($DY533:$EL533)&lt;2,"",INDEX($DK533:$DX533,MAX($DY533:$EL533))-INDEX($DK533:$DX533,LARGE($DY533:$EL533,2)))</f>
        <v/>
      </c>
      <c r="P533" s="38" t="str">
        <f aca="false">IF(K533="","",IF(K533&gt;=0,"On/above target",IF(AND(N533&lt;&gt;"",N533&gt;=0.5),"Improving towards target",IF(AND(O533&lt;&gt;"",O533&lt;=-0.5),"Declining","Stable below target"))))</f>
        <v/>
      </c>
      <c r="Q533" s="39"/>
      <c r="R533" s="40" t="str">
        <f aca="false">IF(OR(Q533="",BU533=""),"",Q533/BU533*100)</f>
        <v/>
      </c>
      <c r="S533" s="41" t="str">
        <f aca="false">IF(R533="","",IFERROR(MATCH(R533,INDEX(Boundaries!$B$2:$I$30,MATCH(CI533,Boundaries!$A$2:$A$30,0),0),1)-1,""))</f>
        <v/>
      </c>
      <c r="T533" s="42" t="str">
        <f aca="false">IF(OR(S533="",$E533=""),"",S533-$E533)</f>
        <v/>
      </c>
      <c r="U533" s="39"/>
      <c r="V533" s="40" t="str">
        <f aca="false">IF(OR(U533="",BV533=""),"",U533/BV533*100)</f>
        <v/>
      </c>
      <c r="W533" s="41" t="str">
        <f aca="false">IF(V533="","",IFERROR(MATCH(V533,INDEX(Boundaries!$B$2:$I$30,MATCH(CJ533,Boundaries!$A$2:$A$30,0),0),1)-1,""))</f>
        <v/>
      </c>
      <c r="X533" s="42" t="str">
        <f aca="false">IF(OR(W533="",$E533=""),"",W533-$E533)</f>
        <v/>
      </c>
      <c r="Y533" s="39"/>
      <c r="Z533" s="40" t="str">
        <f aca="false">IF(OR(Y533="",BW533=""),"",Y533/BW533*100)</f>
        <v/>
      </c>
      <c r="AA533" s="41" t="str">
        <f aca="false">IF(Z533="","",IFERROR(MATCH(Z533,INDEX(Boundaries!$B$2:$I$30,MATCH(CK533,Boundaries!$A$2:$A$30,0),0),1)-1,""))</f>
        <v/>
      </c>
      <c r="AB533" s="42" t="str">
        <f aca="false">IF(OR(AA533="",$E533=""),"",AA533-$E533)</f>
        <v/>
      </c>
      <c r="AC533" s="39"/>
      <c r="AD533" s="40" t="str">
        <f aca="false">IF(OR(AC533="",BX533=""),"",AC533/BX533*100)</f>
        <v/>
      </c>
      <c r="AE533" s="41" t="str">
        <f aca="false">IF(AD533="","",IFERROR(MATCH(AD533,INDEX(Boundaries!$B$2:$I$30,MATCH(CL533,Boundaries!$A$2:$A$30,0),0),1)-1,""))</f>
        <v/>
      </c>
      <c r="AF533" s="42" t="str">
        <f aca="false">IF(OR(AE533="",$E533=""),"",AE533-$E533)</f>
        <v/>
      </c>
      <c r="AG533" s="39"/>
      <c r="AH533" s="40" t="str">
        <f aca="false">IF(OR(AG533="",BY533=""),"",AG533/BY533*100)</f>
        <v/>
      </c>
      <c r="AI533" s="41" t="str">
        <f aca="false">IF(AH533="","",IFERROR(MATCH(AH533,INDEX(Boundaries!$B$2:$I$30,MATCH(CM533,Boundaries!$A$2:$A$30,0),0),1)-1,""))</f>
        <v/>
      </c>
      <c r="AJ533" s="42" t="str">
        <f aca="false">IF(OR(AI533="",$E533=""),"",AI533-$E533)</f>
        <v/>
      </c>
      <c r="AK533" s="39"/>
      <c r="AL533" s="40" t="str">
        <f aca="false">IF(OR(AK533="",BZ533=""),"",AK533/BZ533*100)</f>
        <v/>
      </c>
      <c r="AM533" s="41" t="str">
        <f aca="false">IF(AL533="","",IFERROR(MATCH(AL533,INDEX(Boundaries!$B$2:$I$30,MATCH(CN533,Boundaries!$A$2:$A$30,0),0),1)-1,""))</f>
        <v/>
      </c>
      <c r="AN533" s="42" t="str">
        <f aca="false">IF(OR(AM533="",$E533=""),"",AM533-$E533)</f>
        <v/>
      </c>
      <c r="AO533" s="39"/>
      <c r="AP533" s="40" t="str">
        <f aca="false">IF(OR(AO533="",CA533=""),"",AO533/CA533*100)</f>
        <v/>
      </c>
      <c r="AQ533" s="41" t="str">
        <f aca="false">IF(AP533="","",IFERROR(MATCH(AP533,INDEX(Boundaries!$B$2:$I$30,MATCH(CO533,Boundaries!$A$2:$A$30,0),0),1)-1,""))</f>
        <v/>
      </c>
      <c r="AR533" s="42" t="str">
        <f aca="false">IF(OR(AQ533="",$E533=""),"",AQ533-$E533)</f>
        <v/>
      </c>
      <c r="AS533" s="39"/>
      <c r="AT533" s="40" t="str">
        <f aca="false">IF(OR(AS533="",CB533=""),"",AS533/CB533*100)</f>
        <v/>
      </c>
      <c r="AU533" s="41" t="str">
        <f aca="false">IF(AT533="","",IFERROR(MATCH(AT533,INDEX(Boundaries!$B$2:$I$30,MATCH(CP533,Boundaries!$A$2:$A$30,0),0),1)-1,""))</f>
        <v/>
      </c>
      <c r="AV533" s="42" t="str">
        <f aca="false">IF(OR(AU533="",$E533=""),"",AU533-$E533)</f>
        <v/>
      </c>
      <c r="AW533" s="39"/>
      <c r="AX533" s="40" t="str">
        <f aca="false">IF(OR(AW533="",CC533=""),"",AW533/CC533*100)</f>
        <v/>
      </c>
      <c r="AY533" s="41" t="str">
        <f aca="false">IF(AX533="","",IFERROR(MATCH(AX533,INDEX(Boundaries!$B$2:$I$30,MATCH(CQ533,Boundaries!$A$2:$A$30,0),0),1)-1,""))</f>
        <v/>
      </c>
      <c r="AZ533" s="42" t="str">
        <f aca="false">IF(OR(AY533="",$E533=""),"",AY533-$E533)</f>
        <v/>
      </c>
      <c r="BA533" s="39"/>
      <c r="BB533" s="40" t="str">
        <f aca="false">IF(OR(BA533="",CD533=""),"",BA533/CD533*100)</f>
        <v/>
      </c>
      <c r="BC533" s="41" t="str">
        <f aca="false">IF(BB533="","",IFERROR(MATCH(BB533,INDEX(Boundaries!$B$2:$I$30,MATCH(CR533,Boundaries!$A$2:$A$30,0),0),1)-1,""))</f>
        <v/>
      </c>
      <c r="BD533" s="42" t="str">
        <f aca="false">IF(OR(BC533="",$E533=""),"",BC533-$E533)</f>
        <v/>
      </c>
      <c r="BE533" s="39"/>
      <c r="BF533" s="40" t="str">
        <f aca="false">IF(OR(BE533="",CE533=""),"",BE533/CE533*100)</f>
        <v/>
      </c>
      <c r="BG533" s="41" t="str">
        <f aca="false">IF(BF533="","",IFERROR(MATCH(BF533,INDEX(Boundaries!$B$2:$I$30,MATCH(CS533,Boundaries!$A$2:$A$30,0),0),1)-1,""))</f>
        <v/>
      </c>
      <c r="BH533" s="42" t="str">
        <f aca="false">IF(OR(BG533="",$E533=""),"",BG533-$E533)</f>
        <v/>
      </c>
      <c r="BI533" s="39"/>
      <c r="BJ533" s="40" t="str">
        <f aca="false">IF(OR(BI533="",CF533=""),"",BI533/CF533*100)</f>
        <v/>
      </c>
      <c r="BK533" s="41" t="str">
        <f aca="false">IF(BJ533="","",IFERROR(MATCH(BJ533,INDEX(Boundaries!$B$2:$I$30,MATCH(CT533,Boundaries!$A$2:$A$30,0),0),1)-1,""))</f>
        <v/>
      </c>
      <c r="BL533" s="42" t="str">
        <f aca="false">IF(OR(BK533="",$E533=""),"",BK533-$E533)</f>
        <v/>
      </c>
      <c r="BM533" s="39"/>
      <c r="BN533" s="40" t="str">
        <f aca="false">IF(OR(BM533="",CG533=""),"",BM533/CG533*100)</f>
        <v/>
      </c>
      <c r="BO533" s="41" t="str">
        <f aca="false">IF(BN533="","",IFERROR(MATCH(BN533,INDEX(Boundaries!$B$2:$I$30,MATCH(CU533,Boundaries!$A$2:$A$30,0),0),1)-1,""))</f>
        <v/>
      </c>
      <c r="BP533" s="42" t="str">
        <f aca="false">IF(OR(BO533="",$E533=""),"",BO533-$E533)</f>
        <v/>
      </c>
      <c r="BQ533" s="39"/>
      <c r="BR533" s="40" t="str">
        <f aca="false">IF(OR(BQ533="",CH533=""),"",BQ533/CH533*100)</f>
        <v/>
      </c>
      <c r="BS533" s="41" t="str">
        <f aca="false">IF(BR533="","",IFERROR(MATCH(BR533,INDEX(Boundaries!$B$2:$I$30,MATCH(CV533,Boundaries!$A$2:$A$30,0),0),1)-1,""))</f>
        <v/>
      </c>
      <c r="BT533" s="42" t="str">
        <f aca="false">IF(OR(BS533="",$E533=""),"",BS533-$E533)</f>
        <v/>
      </c>
      <c r="BU533" s="28" t="str">
        <f aca="false">IFERROR(INDEX(Assessments!$H$2:$H$600,MATCH($H533&amp;"|"&amp;$I533&amp;"|"&amp;$J533&amp;"|"&amp;1,Assessments!$A$2:$A$600,0)),"")</f>
        <v/>
      </c>
      <c r="BV533" s="28" t="str">
        <f aca="false">IFERROR(INDEX(Assessments!$H$2:$H$600,MATCH($H533&amp;"|"&amp;$I533&amp;"|"&amp;$J533&amp;"|"&amp;2,Assessments!$A$2:$A$600,0)),"")</f>
        <v/>
      </c>
      <c r="BW533" s="28" t="str">
        <f aca="false">IFERROR(INDEX(Assessments!$H$2:$H$600,MATCH($H533&amp;"|"&amp;$I533&amp;"|"&amp;$J533&amp;"|"&amp;3,Assessments!$A$2:$A$600,0)),"")</f>
        <v/>
      </c>
      <c r="BX533" s="28" t="str">
        <f aca="false">IFERROR(INDEX(Assessments!$H$2:$H$600,MATCH($H533&amp;"|"&amp;$I533&amp;"|"&amp;$J533&amp;"|"&amp;4,Assessments!$A$2:$A$600,0)),"")</f>
        <v/>
      </c>
      <c r="BY533" s="28" t="str">
        <f aca="false">IFERROR(INDEX(Assessments!$H$2:$H$600,MATCH($H533&amp;"|"&amp;$I533&amp;"|"&amp;$J533&amp;"|"&amp;5,Assessments!$A$2:$A$600,0)),"")</f>
        <v/>
      </c>
      <c r="BZ533" s="28" t="str">
        <f aca="false">IFERROR(INDEX(Assessments!$H$2:$H$600,MATCH($H533&amp;"|"&amp;$I533&amp;"|"&amp;$J533&amp;"|"&amp;6,Assessments!$A$2:$A$600,0)),"")</f>
        <v/>
      </c>
      <c r="CA533" s="28" t="str">
        <f aca="false">IFERROR(INDEX(Assessments!$H$2:$H$600,MATCH($H533&amp;"|"&amp;$I533&amp;"|"&amp;$J533&amp;"|"&amp;7,Assessments!$A$2:$A$600,0)),"")</f>
        <v/>
      </c>
      <c r="CB533" s="28" t="str">
        <f aca="false">IFERROR(INDEX(Assessments!$H$2:$H$600,MATCH($H533&amp;"|"&amp;$I533&amp;"|"&amp;$J533&amp;"|"&amp;8,Assessments!$A$2:$A$600,0)),"")</f>
        <v/>
      </c>
      <c r="CC533" s="28" t="str">
        <f aca="false">IFERROR(INDEX(Assessments!$H$2:$H$600,MATCH($H533&amp;"|"&amp;$I533&amp;"|"&amp;$J533&amp;"|"&amp;9,Assessments!$A$2:$A$600,0)),"")</f>
        <v/>
      </c>
      <c r="CD533" s="28" t="str">
        <f aca="false">IFERROR(INDEX(Assessments!$H$2:$H$600,MATCH($H533&amp;"|"&amp;$I533&amp;"|"&amp;$J533&amp;"|"&amp;10,Assessments!$A$2:$A$600,0)),"")</f>
        <v/>
      </c>
      <c r="CE533" s="28" t="str">
        <f aca="false">IFERROR(INDEX(Assessments!$H$2:$H$600,MATCH($H533&amp;"|"&amp;$I533&amp;"|"&amp;$J533&amp;"|"&amp;11,Assessments!$A$2:$A$600,0)),"")</f>
        <v/>
      </c>
      <c r="CF533" s="28" t="str">
        <f aca="false">IFERROR(INDEX(Assessments!$H$2:$H$600,MATCH($H533&amp;"|"&amp;$I533&amp;"|"&amp;$J533&amp;"|"&amp;12,Assessments!$A$2:$A$600,0)),"")</f>
        <v/>
      </c>
      <c r="CG533" s="28" t="str">
        <f aca="false">IFERROR(INDEX(Assessments!$H$2:$H$600,MATCH($H533&amp;"|"&amp;$I533&amp;"|"&amp;$J533&amp;"|"&amp;13,Assessments!$A$2:$A$600,0)),"")</f>
        <v/>
      </c>
      <c r="CH533" s="28" t="str">
        <f aca="false">IFERROR(INDEX(Assessments!$H$2:$H$600,MATCH($H533&amp;"|"&amp;$I533&amp;"|"&amp;$J533&amp;"|"&amp;14,Assessments!$A$2:$A$600,0)),"")</f>
        <v/>
      </c>
      <c r="CI533" s="28" t="str">
        <f aca="false">IFERROR(INDEX(Assessments!$I$2:$I$600,MATCH($H533&amp;"|"&amp;$I533&amp;"|"&amp;$J533&amp;"|"&amp;1,Assessments!$A$2:$A$600,0)),"")</f>
        <v/>
      </c>
      <c r="CJ533" s="28" t="str">
        <f aca="false">IFERROR(INDEX(Assessments!$I$2:$I$600,MATCH($H533&amp;"|"&amp;$I533&amp;"|"&amp;$J533&amp;"|"&amp;2,Assessments!$A$2:$A$600,0)),"")</f>
        <v/>
      </c>
      <c r="CK533" s="28" t="str">
        <f aca="false">IFERROR(INDEX(Assessments!$I$2:$I$600,MATCH($H533&amp;"|"&amp;$I533&amp;"|"&amp;$J533&amp;"|"&amp;3,Assessments!$A$2:$A$600,0)),"")</f>
        <v/>
      </c>
      <c r="CL533" s="28" t="str">
        <f aca="false">IFERROR(INDEX(Assessments!$I$2:$I$600,MATCH($H533&amp;"|"&amp;$I533&amp;"|"&amp;$J533&amp;"|"&amp;4,Assessments!$A$2:$A$600,0)),"")</f>
        <v/>
      </c>
      <c r="CM533" s="28" t="str">
        <f aca="false">IFERROR(INDEX(Assessments!$I$2:$I$600,MATCH($H533&amp;"|"&amp;$I533&amp;"|"&amp;$J533&amp;"|"&amp;5,Assessments!$A$2:$A$600,0)),"")</f>
        <v/>
      </c>
      <c r="CN533" s="28" t="str">
        <f aca="false">IFERROR(INDEX(Assessments!$I$2:$I$600,MATCH($H533&amp;"|"&amp;$I533&amp;"|"&amp;$J533&amp;"|"&amp;6,Assessments!$A$2:$A$600,0)),"")</f>
        <v/>
      </c>
      <c r="CO533" s="28" t="str">
        <f aca="false">IFERROR(INDEX(Assessments!$I$2:$I$600,MATCH($H533&amp;"|"&amp;$I533&amp;"|"&amp;$J533&amp;"|"&amp;7,Assessments!$A$2:$A$600,0)),"")</f>
        <v/>
      </c>
      <c r="CP533" s="28" t="str">
        <f aca="false">IFERROR(INDEX(Assessments!$I$2:$I$600,MATCH($H533&amp;"|"&amp;$I533&amp;"|"&amp;$J533&amp;"|"&amp;8,Assessments!$A$2:$A$600,0)),"")</f>
        <v/>
      </c>
      <c r="CQ533" s="28" t="str">
        <f aca="false">IFERROR(INDEX(Assessments!$I$2:$I$600,MATCH($H533&amp;"|"&amp;$I533&amp;"|"&amp;$J533&amp;"|"&amp;9,Assessments!$A$2:$A$600,0)),"")</f>
        <v/>
      </c>
      <c r="CR533" s="28" t="str">
        <f aca="false">IFERROR(INDEX(Assessments!$I$2:$I$600,MATCH($H533&amp;"|"&amp;$I533&amp;"|"&amp;$J533&amp;"|"&amp;10,Assessments!$A$2:$A$600,0)),"")</f>
        <v/>
      </c>
      <c r="CS533" s="28" t="str">
        <f aca="false">IFERROR(INDEX(Assessments!$I$2:$I$600,MATCH($H533&amp;"|"&amp;$I533&amp;"|"&amp;$J533&amp;"|"&amp;11,Assessments!$A$2:$A$600,0)),"")</f>
        <v/>
      </c>
      <c r="CT533" s="28" t="str">
        <f aca="false">IFERROR(INDEX(Assessments!$I$2:$I$600,MATCH($H533&amp;"|"&amp;$I533&amp;"|"&amp;$J533&amp;"|"&amp;12,Assessments!$A$2:$A$600,0)),"")</f>
        <v/>
      </c>
      <c r="CU533" s="28" t="str">
        <f aca="false">IFERROR(INDEX(Assessments!$I$2:$I$600,MATCH($H533&amp;"|"&amp;$I533&amp;"|"&amp;$J533&amp;"|"&amp;13,Assessments!$A$2:$A$600,0)),"")</f>
        <v/>
      </c>
      <c r="CV533" s="28" t="str">
        <f aca="false">IFERROR(INDEX(Assessments!$I$2:$I$600,MATCH($H533&amp;"|"&amp;$I533&amp;"|"&amp;$J533&amp;"|"&amp;14,Assessments!$A$2:$A$600,0)),"")</f>
        <v/>
      </c>
      <c r="CW533" s="28" t="n">
        <f aca="false">IFERROR(INDEX(Assessments!$J$2:$J$600,MATCH($H533&amp;"|"&amp;$I533&amp;"|"&amp;$J533&amp;"|"&amp;1,Assessments!$A$2:$A$600,0)),0)</f>
        <v>0</v>
      </c>
      <c r="CX533" s="28" t="n">
        <f aca="false">IFERROR(INDEX(Assessments!$J$2:$J$600,MATCH($H533&amp;"|"&amp;$I533&amp;"|"&amp;$J533&amp;"|"&amp;2,Assessments!$A$2:$A$600,0)),0)</f>
        <v>0</v>
      </c>
      <c r="CY533" s="28" t="n">
        <f aca="false">IFERROR(INDEX(Assessments!$J$2:$J$600,MATCH($H533&amp;"|"&amp;$I533&amp;"|"&amp;$J533&amp;"|"&amp;3,Assessments!$A$2:$A$600,0)),0)</f>
        <v>0</v>
      </c>
      <c r="CZ533" s="28" t="n">
        <f aca="false">IFERROR(INDEX(Assessments!$J$2:$J$600,MATCH($H533&amp;"|"&amp;$I533&amp;"|"&amp;$J533&amp;"|"&amp;4,Assessments!$A$2:$A$600,0)),0)</f>
        <v>0</v>
      </c>
      <c r="DA533" s="28" t="n">
        <f aca="false">IFERROR(INDEX(Assessments!$J$2:$J$600,MATCH($H533&amp;"|"&amp;$I533&amp;"|"&amp;$J533&amp;"|"&amp;5,Assessments!$A$2:$A$600,0)),0)</f>
        <v>0</v>
      </c>
      <c r="DB533" s="28" t="n">
        <f aca="false">IFERROR(INDEX(Assessments!$J$2:$J$600,MATCH($H533&amp;"|"&amp;$I533&amp;"|"&amp;$J533&amp;"|"&amp;6,Assessments!$A$2:$A$600,0)),0)</f>
        <v>0</v>
      </c>
      <c r="DC533" s="28" t="n">
        <f aca="false">IFERROR(INDEX(Assessments!$J$2:$J$600,MATCH($H533&amp;"|"&amp;$I533&amp;"|"&amp;$J533&amp;"|"&amp;7,Assessments!$A$2:$A$600,0)),0)</f>
        <v>0</v>
      </c>
      <c r="DD533" s="28" t="n">
        <f aca="false">IFERROR(INDEX(Assessments!$J$2:$J$600,MATCH($H533&amp;"|"&amp;$I533&amp;"|"&amp;$J533&amp;"|"&amp;8,Assessments!$A$2:$A$600,0)),0)</f>
        <v>0</v>
      </c>
      <c r="DE533" s="28" t="n">
        <f aca="false">IFERROR(INDEX(Assessments!$J$2:$J$600,MATCH($H533&amp;"|"&amp;$I533&amp;"|"&amp;$J533&amp;"|"&amp;9,Assessments!$A$2:$A$600,0)),0)</f>
        <v>0</v>
      </c>
      <c r="DF533" s="28" t="n">
        <f aca="false">IFERROR(INDEX(Assessments!$J$2:$J$600,MATCH($H533&amp;"|"&amp;$I533&amp;"|"&amp;$J533&amp;"|"&amp;10,Assessments!$A$2:$A$600,0)),0)</f>
        <v>0</v>
      </c>
      <c r="DG533" s="28" t="n">
        <f aca="false">IFERROR(INDEX(Assessments!$J$2:$J$600,MATCH($H533&amp;"|"&amp;$I533&amp;"|"&amp;$J533&amp;"|"&amp;11,Assessments!$A$2:$A$600,0)),0)</f>
        <v>0</v>
      </c>
      <c r="DH533" s="28" t="n">
        <f aca="false">IFERROR(INDEX(Assessments!$J$2:$J$600,MATCH($H533&amp;"|"&amp;$I533&amp;"|"&amp;$J533&amp;"|"&amp;12,Assessments!$A$2:$A$600,0)),0)</f>
        <v>0</v>
      </c>
      <c r="DI533" s="28" t="n">
        <f aca="false">IFERROR(INDEX(Assessments!$J$2:$J$600,MATCH($H533&amp;"|"&amp;$I533&amp;"|"&amp;$J533&amp;"|"&amp;13,Assessments!$A$2:$A$600,0)),0)</f>
        <v>0</v>
      </c>
      <c r="DJ533" s="28" t="n">
        <f aca="false">IFERROR(INDEX(Assessments!$J$2:$J$600,MATCH($H533&amp;"|"&amp;$I533&amp;"|"&amp;$J533&amp;"|"&amp;14,Assessments!$A$2:$A$600,0)),0)</f>
        <v>0</v>
      </c>
      <c r="DK533" s="28" t="str">
        <f aca="false">S533</f>
        <v/>
      </c>
      <c r="DL533" s="28" t="str">
        <f aca="false">W533</f>
        <v/>
      </c>
      <c r="DM533" s="28" t="str">
        <f aca="false">AA533</f>
        <v/>
      </c>
      <c r="DN533" s="28" t="str">
        <f aca="false">AE533</f>
        <v/>
      </c>
      <c r="DO533" s="28" t="str">
        <f aca="false">AI533</f>
        <v/>
      </c>
      <c r="DP533" s="28" t="str">
        <f aca="false">AM533</f>
        <v/>
      </c>
      <c r="DQ533" s="28" t="str">
        <f aca="false">AQ533</f>
        <v/>
      </c>
      <c r="DR533" s="28" t="str">
        <f aca="false">AU533</f>
        <v/>
      </c>
      <c r="DS533" s="28" t="str">
        <f aca="false">AY533</f>
        <v/>
      </c>
      <c r="DT533" s="28" t="str">
        <f aca="false">BC533</f>
        <v/>
      </c>
      <c r="DU533" s="28" t="str">
        <f aca="false">BG533</f>
        <v/>
      </c>
      <c r="DV533" s="28" t="str">
        <f aca="false">BK533</f>
        <v/>
      </c>
      <c r="DW533" s="28" t="str">
        <f aca="false">BO533</f>
        <v/>
      </c>
      <c r="DX533" s="28" t="str">
        <f aca="false">BS533</f>
        <v/>
      </c>
      <c r="DY533" s="28" t="str">
        <f aca="false">IF(ISNUMBER(S533),1,"")</f>
        <v/>
      </c>
      <c r="DZ533" s="28" t="str">
        <f aca="false">IF(ISNUMBER(W533),2,"")</f>
        <v/>
      </c>
      <c r="EA533" s="28" t="str">
        <f aca="false">IF(ISNUMBER(AA533),3,"")</f>
        <v/>
      </c>
      <c r="EB533" s="28" t="str">
        <f aca="false">IF(ISNUMBER(AE533),4,"")</f>
        <v/>
      </c>
      <c r="EC533" s="28" t="str">
        <f aca="false">IF(ISNUMBER(AI533),5,"")</f>
        <v/>
      </c>
      <c r="ED533" s="28" t="str">
        <f aca="false">IF(ISNUMBER(AM533),6,"")</f>
        <v/>
      </c>
      <c r="EE533" s="28" t="str">
        <f aca="false">IF(ISNUMBER(AQ533),7,"")</f>
        <v/>
      </c>
      <c r="EF533" s="28" t="str">
        <f aca="false">IF(ISNUMBER(AU533),8,"")</f>
        <v/>
      </c>
      <c r="EG533" s="28" t="str">
        <f aca="false">IF(ISNUMBER(AY533),9,"")</f>
        <v/>
      </c>
      <c r="EH533" s="28" t="str">
        <f aca="false">IF(ISNUMBER(BC533),10,"")</f>
        <v/>
      </c>
      <c r="EI533" s="28" t="str">
        <f aca="false">IF(ISNUMBER(BG533),11,"")</f>
        <v/>
      </c>
      <c r="EJ533" s="28" t="str">
        <f aca="false">IF(ISNUMBER(BK533),12,"")</f>
        <v/>
      </c>
      <c r="EK533" s="28" t="str">
        <f aca="false">IF(ISNUMBER(BO533),13,"")</f>
        <v/>
      </c>
      <c r="EL533" s="28" t="str">
        <f aca="false">IF(ISNUMBER(BS533),14,"")</f>
        <v/>
      </c>
      <c r="EM533" s="28" t="n">
        <f aca="false">IF(ISNUMBER(R533),R533*CW533,0)</f>
        <v>0</v>
      </c>
      <c r="EN533" s="28" t="n">
        <f aca="false">IF(ISNUMBER(V533),V533*CX533,0)</f>
        <v>0</v>
      </c>
      <c r="EO533" s="28" t="n">
        <f aca="false">IF(ISNUMBER(Z533),Z533*CY533,0)</f>
        <v>0</v>
      </c>
      <c r="EP533" s="28" t="n">
        <f aca="false">IF(ISNUMBER(AD533),AD533*CZ533,0)</f>
        <v>0</v>
      </c>
      <c r="EQ533" s="28" t="n">
        <f aca="false">IF(ISNUMBER(AH533),AH533*DA533,0)</f>
        <v>0</v>
      </c>
      <c r="ER533" s="28" t="n">
        <f aca="false">IF(ISNUMBER(AL533),AL533*DB533,0)</f>
        <v>0</v>
      </c>
      <c r="ES533" s="28" t="n">
        <f aca="false">IF(ISNUMBER(AP533),AP533*DC533,0)</f>
        <v>0</v>
      </c>
      <c r="ET533" s="28" t="n">
        <f aca="false">IF(ISNUMBER(AT533),AT533*DD533,0)</f>
        <v>0</v>
      </c>
      <c r="EU533" s="28" t="n">
        <f aca="false">IF(ISNUMBER(AX533),AX533*DE533,0)</f>
        <v>0</v>
      </c>
      <c r="EV533" s="28" t="n">
        <f aca="false">IF(ISNUMBER(BB533),BB533*DF533,0)</f>
        <v>0</v>
      </c>
      <c r="EW533" s="28" t="n">
        <f aca="false">IF(ISNUMBER(BF533),BF533*DG533,0)</f>
        <v>0</v>
      </c>
      <c r="EX533" s="28" t="n">
        <f aca="false">IF(ISNUMBER(BJ533),BJ533*DH533,0)</f>
        <v>0</v>
      </c>
      <c r="EY533" s="28" t="n">
        <f aca="false">IF(ISNUMBER(BN533),BN533*DI533,0)</f>
        <v>0</v>
      </c>
      <c r="EZ533" s="28" t="n">
        <f aca="false">IF(ISNUMBER(BR533),BR533*DJ533,0)</f>
        <v>0</v>
      </c>
      <c r="FA533" s="28" t="n">
        <f aca="false">IF(ISNUMBER(R533),CW533,0)</f>
        <v>0</v>
      </c>
      <c r="FB533" s="28" t="n">
        <f aca="false">IF(ISNUMBER(V533),CX533,0)</f>
        <v>0</v>
      </c>
      <c r="FC533" s="28" t="n">
        <f aca="false">IF(ISNUMBER(Z533),CY533,0)</f>
        <v>0</v>
      </c>
      <c r="FD533" s="28" t="n">
        <f aca="false">IF(ISNUMBER(AD533),CZ533,0)</f>
        <v>0</v>
      </c>
      <c r="FE533" s="28" t="n">
        <f aca="false">IF(ISNUMBER(AH533),DA533,0)</f>
        <v>0</v>
      </c>
      <c r="FF533" s="28" t="n">
        <f aca="false">IF(ISNUMBER(AL533),DB533,0)</f>
        <v>0</v>
      </c>
      <c r="FG533" s="28" t="n">
        <f aca="false">IF(ISNUMBER(AP533),DC533,0)</f>
        <v>0</v>
      </c>
      <c r="FH533" s="28" t="n">
        <f aca="false">IF(ISNUMBER(AT533),DD533,0)</f>
        <v>0</v>
      </c>
      <c r="FI533" s="28" t="n">
        <f aca="false">IF(ISNUMBER(AX533),DE533,0)</f>
        <v>0</v>
      </c>
      <c r="FJ533" s="28" t="n">
        <f aca="false">IF(ISNUMBER(BB533),DF533,0)</f>
        <v>0</v>
      </c>
      <c r="FK533" s="28" t="n">
        <f aca="false">IF(ISNUMBER(BF533),DG533,0)</f>
        <v>0</v>
      </c>
      <c r="FL533" s="28" t="n">
        <f aca="false">IF(ISNUMBER(BJ533),DH533,0)</f>
        <v>0</v>
      </c>
      <c r="FM533" s="28" t="n">
        <f aca="false">IF(ISNUMBER(BN533),DI533,0)</f>
        <v>0</v>
      </c>
      <c r="FN533" s="28" t="n">
        <f aca="false">IF(ISNUMBER(BR533),DJ533,0)</f>
        <v>0</v>
      </c>
      <c r="FO533" s="28" t="str">
        <f aca="false">IFERROR(INDEX(Lists!$G$2:$G$20,MATCH($I533&amp;"|"&amp;$J533,Lists!$F$2:$F$20,0)),"")</f>
        <v/>
      </c>
    </row>
    <row r="534" customFormat="false" ht="19.5" hidden="false" customHeight="true" outlineLevel="0" collapsed="false">
      <c r="A534" s="29"/>
      <c r="B534" s="29"/>
      <c r="C534" s="30"/>
      <c r="D534" s="30"/>
      <c r="E534" s="31"/>
      <c r="F534" s="30"/>
      <c r="G534" s="30"/>
      <c r="H534" s="32"/>
      <c r="I534" s="33"/>
      <c r="J534" s="32"/>
      <c r="K534" s="34" t="str">
        <f aca="false">IF(OR(M534="",$E534=""),"",M534-$E534)</f>
        <v/>
      </c>
      <c r="L534" s="35" t="str">
        <f aca="false">IF(SUM(FA534:FN534)=0,"",SUM(EM534:EZ534)/SUM(FA534:FN534))</f>
        <v/>
      </c>
      <c r="M534" s="36" t="str">
        <f aca="false">IF(OR(L534="",FO534=""),"",IFERROR(MATCH(L534,INDEX(Boundaries!$B$2:$I$30,MATCH(FO534,Boundaries!$A$2:$A$30,0),0),1)-1,""))</f>
        <v/>
      </c>
      <c r="N534" s="37" t="str">
        <f aca="false">IF(COUNT($DY534:$EL534)&lt;2,"",INDEX($DK534:$DX534,MAX($DY534:$EL534))-INDEX($DK534:$DX534,MIN($DY534:$EL534)))</f>
        <v/>
      </c>
      <c r="O534" s="37" t="str">
        <f aca="false">IF(COUNT($DY534:$EL534)&lt;2,"",INDEX($DK534:$DX534,MAX($DY534:$EL534))-INDEX($DK534:$DX534,LARGE($DY534:$EL534,2)))</f>
        <v/>
      </c>
      <c r="P534" s="38" t="str">
        <f aca="false">IF(K534="","",IF(K534&gt;=0,"On/above target",IF(AND(N534&lt;&gt;"",N534&gt;=0.5),"Improving towards target",IF(AND(O534&lt;&gt;"",O534&lt;=-0.5),"Declining","Stable below target"))))</f>
        <v/>
      </c>
      <c r="Q534" s="39"/>
      <c r="R534" s="40" t="str">
        <f aca="false">IF(OR(Q534="",BU534=""),"",Q534/BU534*100)</f>
        <v/>
      </c>
      <c r="S534" s="41" t="str">
        <f aca="false">IF(R534="","",IFERROR(MATCH(R534,INDEX(Boundaries!$B$2:$I$30,MATCH(CI534,Boundaries!$A$2:$A$30,0),0),1)-1,""))</f>
        <v/>
      </c>
      <c r="T534" s="42" t="str">
        <f aca="false">IF(OR(S534="",$E534=""),"",S534-$E534)</f>
        <v/>
      </c>
      <c r="U534" s="39"/>
      <c r="V534" s="40" t="str">
        <f aca="false">IF(OR(U534="",BV534=""),"",U534/BV534*100)</f>
        <v/>
      </c>
      <c r="W534" s="41" t="str">
        <f aca="false">IF(V534="","",IFERROR(MATCH(V534,INDEX(Boundaries!$B$2:$I$30,MATCH(CJ534,Boundaries!$A$2:$A$30,0),0),1)-1,""))</f>
        <v/>
      </c>
      <c r="X534" s="42" t="str">
        <f aca="false">IF(OR(W534="",$E534=""),"",W534-$E534)</f>
        <v/>
      </c>
      <c r="Y534" s="39"/>
      <c r="Z534" s="40" t="str">
        <f aca="false">IF(OR(Y534="",BW534=""),"",Y534/BW534*100)</f>
        <v/>
      </c>
      <c r="AA534" s="41" t="str">
        <f aca="false">IF(Z534="","",IFERROR(MATCH(Z534,INDEX(Boundaries!$B$2:$I$30,MATCH(CK534,Boundaries!$A$2:$A$30,0),0),1)-1,""))</f>
        <v/>
      </c>
      <c r="AB534" s="42" t="str">
        <f aca="false">IF(OR(AA534="",$E534=""),"",AA534-$E534)</f>
        <v/>
      </c>
      <c r="AC534" s="39"/>
      <c r="AD534" s="40" t="str">
        <f aca="false">IF(OR(AC534="",BX534=""),"",AC534/BX534*100)</f>
        <v/>
      </c>
      <c r="AE534" s="41" t="str">
        <f aca="false">IF(AD534="","",IFERROR(MATCH(AD534,INDEX(Boundaries!$B$2:$I$30,MATCH(CL534,Boundaries!$A$2:$A$30,0),0),1)-1,""))</f>
        <v/>
      </c>
      <c r="AF534" s="42" t="str">
        <f aca="false">IF(OR(AE534="",$E534=""),"",AE534-$E534)</f>
        <v/>
      </c>
      <c r="AG534" s="39"/>
      <c r="AH534" s="40" t="str">
        <f aca="false">IF(OR(AG534="",BY534=""),"",AG534/BY534*100)</f>
        <v/>
      </c>
      <c r="AI534" s="41" t="str">
        <f aca="false">IF(AH534="","",IFERROR(MATCH(AH534,INDEX(Boundaries!$B$2:$I$30,MATCH(CM534,Boundaries!$A$2:$A$30,0),0),1)-1,""))</f>
        <v/>
      </c>
      <c r="AJ534" s="42" t="str">
        <f aca="false">IF(OR(AI534="",$E534=""),"",AI534-$E534)</f>
        <v/>
      </c>
      <c r="AK534" s="39"/>
      <c r="AL534" s="40" t="str">
        <f aca="false">IF(OR(AK534="",BZ534=""),"",AK534/BZ534*100)</f>
        <v/>
      </c>
      <c r="AM534" s="41" t="str">
        <f aca="false">IF(AL534="","",IFERROR(MATCH(AL534,INDEX(Boundaries!$B$2:$I$30,MATCH(CN534,Boundaries!$A$2:$A$30,0),0),1)-1,""))</f>
        <v/>
      </c>
      <c r="AN534" s="42" t="str">
        <f aca="false">IF(OR(AM534="",$E534=""),"",AM534-$E534)</f>
        <v/>
      </c>
      <c r="AO534" s="39"/>
      <c r="AP534" s="40" t="str">
        <f aca="false">IF(OR(AO534="",CA534=""),"",AO534/CA534*100)</f>
        <v/>
      </c>
      <c r="AQ534" s="41" t="str">
        <f aca="false">IF(AP534="","",IFERROR(MATCH(AP534,INDEX(Boundaries!$B$2:$I$30,MATCH(CO534,Boundaries!$A$2:$A$30,0),0),1)-1,""))</f>
        <v/>
      </c>
      <c r="AR534" s="42" t="str">
        <f aca="false">IF(OR(AQ534="",$E534=""),"",AQ534-$E534)</f>
        <v/>
      </c>
      <c r="AS534" s="39"/>
      <c r="AT534" s="40" t="str">
        <f aca="false">IF(OR(AS534="",CB534=""),"",AS534/CB534*100)</f>
        <v/>
      </c>
      <c r="AU534" s="41" t="str">
        <f aca="false">IF(AT534="","",IFERROR(MATCH(AT534,INDEX(Boundaries!$B$2:$I$30,MATCH(CP534,Boundaries!$A$2:$A$30,0),0),1)-1,""))</f>
        <v/>
      </c>
      <c r="AV534" s="42" t="str">
        <f aca="false">IF(OR(AU534="",$E534=""),"",AU534-$E534)</f>
        <v/>
      </c>
      <c r="AW534" s="39"/>
      <c r="AX534" s="40" t="str">
        <f aca="false">IF(OR(AW534="",CC534=""),"",AW534/CC534*100)</f>
        <v/>
      </c>
      <c r="AY534" s="41" t="str">
        <f aca="false">IF(AX534="","",IFERROR(MATCH(AX534,INDEX(Boundaries!$B$2:$I$30,MATCH(CQ534,Boundaries!$A$2:$A$30,0),0),1)-1,""))</f>
        <v/>
      </c>
      <c r="AZ534" s="42" t="str">
        <f aca="false">IF(OR(AY534="",$E534=""),"",AY534-$E534)</f>
        <v/>
      </c>
      <c r="BA534" s="39"/>
      <c r="BB534" s="40" t="str">
        <f aca="false">IF(OR(BA534="",CD534=""),"",BA534/CD534*100)</f>
        <v/>
      </c>
      <c r="BC534" s="41" t="str">
        <f aca="false">IF(BB534="","",IFERROR(MATCH(BB534,INDEX(Boundaries!$B$2:$I$30,MATCH(CR534,Boundaries!$A$2:$A$30,0),0),1)-1,""))</f>
        <v/>
      </c>
      <c r="BD534" s="42" t="str">
        <f aca="false">IF(OR(BC534="",$E534=""),"",BC534-$E534)</f>
        <v/>
      </c>
      <c r="BE534" s="39"/>
      <c r="BF534" s="40" t="str">
        <f aca="false">IF(OR(BE534="",CE534=""),"",BE534/CE534*100)</f>
        <v/>
      </c>
      <c r="BG534" s="41" t="str">
        <f aca="false">IF(BF534="","",IFERROR(MATCH(BF534,INDEX(Boundaries!$B$2:$I$30,MATCH(CS534,Boundaries!$A$2:$A$30,0),0),1)-1,""))</f>
        <v/>
      </c>
      <c r="BH534" s="42" t="str">
        <f aca="false">IF(OR(BG534="",$E534=""),"",BG534-$E534)</f>
        <v/>
      </c>
      <c r="BI534" s="39"/>
      <c r="BJ534" s="40" t="str">
        <f aca="false">IF(OR(BI534="",CF534=""),"",BI534/CF534*100)</f>
        <v/>
      </c>
      <c r="BK534" s="41" t="str">
        <f aca="false">IF(BJ534="","",IFERROR(MATCH(BJ534,INDEX(Boundaries!$B$2:$I$30,MATCH(CT534,Boundaries!$A$2:$A$30,0),0),1)-1,""))</f>
        <v/>
      </c>
      <c r="BL534" s="42" t="str">
        <f aca="false">IF(OR(BK534="",$E534=""),"",BK534-$E534)</f>
        <v/>
      </c>
      <c r="BM534" s="39"/>
      <c r="BN534" s="40" t="str">
        <f aca="false">IF(OR(BM534="",CG534=""),"",BM534/CG534*100)</f>
        <v/>
      </c>
      <c r="BO534" s="41" t="str">
        <f aca="false">IF(BN534="","",IFERROR(MATCH(BN534,INDEX(Boundaries!$B$2:$I$30,MATCH(CU534,Boundaries!$A$2:$A$30,0),0),1)-1,""))</f>
        <v/>
      </c>
      <c r="BP534" s="42" t="str">
        <f aca="false">IF(OR(BO534="",$E534=""),"",BO534-$E534)</f>
        <v/>
      </c>
      <c r="BQ534" s="39"/>
      <c r="BR534" s="40" t="str">
        <f aca="false">IF(OR(BQ534="",CH534=""),"",BQ534/CH534*100)</f>
        <v/>
      </c>
      <c r="BS534" s="41" t="str">
        <f aca="false">IF(BR534="","",IFERROR(MATCH(BR534,INDEX(Boundaries!$B$2:$I$30,MATCH(CV534,Boundaries!$A$2:$A$30,0),0),1)-1,""))</f>
        <v/>
      </c>
      <c r="BT534" s="42" t="str">
        <f aca="false">IF(OR(BS534="",$E534=""),"",BS534-$E534)</f>
        <v/>
      </c>
      <c r="BU534" s="28" t="str">
        <f aca="false">IFERROR(INDEX(Assessments!$H$2:$H$600,MATCH($H534&amp;"|"&amp;$I534&amp;"|"&amp;$J534&amp;"|"&amp;1,Assessments!$A$2:$A$600,0)),"")</f>
        <v/>
      </c>
      <c r="BV534" s="28" t="str">
        <f aca="false">IFERROR(INDEX(Assessments!$H$2:$H$600,MATCH($H534&amp;"|"&amp;$I534&amp;"|"&amp;$J534&amp;"|"&amp;2,Assessments!$A$2:$A$600,0)),"")</f>
        <v/>
      </c>
      <c r="BW534" s="28" t="str">
        <f aca="false">IFERROR(INDEX(Assessments!$H$2:$H$600,MATCH($H534&amp;"|"&amp;$I534&amp;"|"&amp;$J534&amp;"|"&amp;3,Assessments!$A$2:$A$600,0)),"")</f>
        <v/>
      </c>
      <c r="BX534" s="28" t="str">
        <f aca="false">IFERROR(INDEX(Assessments!$H$2:$H$600,MATCH($H534&amp;"|"&amp;$I534&amp;"|"&amp;$J534&amp;"|"&amp;4,Assessments!$A$2:$A$600,0)),"")</f>
        <v/>
      </c>
      <c r="BY534" s="28" t="str">
        <f aca="false">IFERROR(INDEX(Assessments!$H$2:$H$600,MATCH($H534&amp;"|"&amp;$I534&amp;"|"&amp;$J534&amp;"|"&amp;5,Assessments!$A$2:$A$600,0)),"")</f>
        <v/>
      </c>
      <c r="BZ534" s="28" t="str">
        <f aca="false">IFERROR(INDEX(Assessments!$H$2:$H$600,MATCH($H534&amp;"|"&amp;$I534&amp;"|"&amp;$J534&amp;"|"&amp;6,Assessments!$A$2:$A$600,0)),"")</f>
        <v/>
      </c>
      <c r="CA534" s="28" t="str">
        <f aca="false">IFERROR(INDEX(Assessments!$H$2:$H$600,MATCH($H534&amp;"|"&amp;$I534&amp;"|"&amp;$J534&amp;"|"&amp;7,Assessments!$A$2:$A$600,0)),"")</f>
        <v/>
      </c>
      <c r="CB534" s="28" t="str">
        <f aca="false">IFERROR(INDEX(Assessments!$H$2:$H$600,MATCH($H534&amp;"|"&amp;$I534&amp;"|"&amp;$J534&amp;"|"&amp;8,Assessments!$A$2:$A$600,0)),"")</f>
        <v/>
      </c>
      <c r="CC534" s="28" t="str">
        <f aca="false">IFERROR(INDEX(Assessments!$H$2:$H$600,MATCH($H534&amp;"|"&amp;$I534&amp;"|"&amp;$J534&amp;"|"&amp;9,Assessments!$A$2:$A$600,0)),"")</f>
        <v/>
      </c>
      <c r="CD534" s="28" t="str">
        <f aca="false">IFERROR(INDEX(Assessments!$H$2:$H$600,MATCH($H534&amp;"|"&amp;$I534&amp;"|"&amp;$J534&amp;"|"&amp;10,Assessments!$A$2:$A$600,0)),"")</f>
        <v/>
      </c>
      <c r="CE534" s="28" t="str">
        <f aca="false">IFERROR(INDEX(Assessments!$H$2:$H$600,MATCH($H534&amp;"|"&amp;$I534&amp;"|"&amp;$J534&amp;"|"&amp;11,Assessments!$A$2:$A$600,0)),"")</f>
        <v/>
      </c>
      <c r="CF534" s="28" t="str">
        <f aca="false">IFERROR(INDEX(Assessments!$H$2:$H$600,MATCH($H534&amp;"|"&amp;$I534&amp;"|"&amp;$J534&amp;"|"&amp;12,Assessments!$A$2:$A$600,0)),"")</f>
        <v/>
      </c>
      <c r="CG534" s="28" t="str">
        <f aca="false">IFERROR(INDEX(Assessments!$H$2:$H$600,MATCH($H534&amp;"|"&amp;$I534&amp;"|"&amp;$J534&amp;"|"&amp;13,Assessments!$A$2:$A$600,0)),"")</f>
        <v/>
      </c>
      <c r="CH534" s="28" t="str">
        <f aca="false">IFERROR(INDEX(Assessments!$H$2:$H$600,MATCH($H534&amp;"|"&amp;$I534&amp;"|"&amp;$J534&amp;"|"&amp;14,Assessments!$A$2:$A$600,0)),"")</f>
        <v/>
      </c>
      <c r="CI534" s="28" t="str">
        <f aca="false">IFERROR(INDEX(Assessments!$I$2:$I$600,MATCH($H534&amp;"|"&amp;$I534&amp;"|"&amp;$J534&amp;"|"&amp;1,Assessments!$A$2:$A$600,0)),"")</f>
        <v/>
      </c>
      <c r="CJ534" s="28" t="str">
        <f aca="false">IFERROR(INDEX(Assessments!$I$2:$I$600,MATCH($H534&amp;"|"&amp;$I534&amp;"|"&amp;$J534&amp;"|"&amp;2,Assessments!$A$2:$A$600,0)),"")</f>
        <v/>
      </c>
      <c r="CK534" s="28" t="str">
        <f aca="false">IFERROR(INDEX(Assessments!$I$2:$I$600,MATCH($H534&amp;"|"&amp;$I534&amp;"|"&amp;$J534&amp;"|"&amp;3,Assessments!$A$2:$A$600,0)),"")</f>
        <v/>
      </c>
      <c r="CL534" s="28" t="str">
        <f aca="false">IFERROR(INDEX(Assessments!$I$2:$I$600,MATCH($H534&amp;"|"&amp;$I534&amp;"|"&amp;$J534&amp;"|"&amp;4,Assessments!$A$2:$A$600,0)),"")</f>
        <v/>
      </c>
      <c r="CM534" s="28" t="str">
        <f aca="false">IFERROR(INDEX(Assessments!$I$2:$I$600,MATCH($H534&amp;"|"&amp;$I534&amp;"|"&amp;$J534&amp;"|"&amp;5,Assessments!$A$2:$A$600,0)),"")</f>
        <v/>
      </c>
      <c r="CN534" s="28" t="str">
        <f aca="false">IFERROR(INDEX(Assessments!$I$2:$I$600,MATCH($H534&amp;"|"&amp;$I534&amp;"|"&amp;$J534&amp;"|"&amp;6,Assessments!$A$2:$A$600,0)),"")</f>
        <v/>
      </c>
      <c r="CO534" s="28" t="str">
        <f aca="false">IFERROR(INDEX(Assessments!$I$2:$I$600,MATCH($H534&amp;"|"&amp;$I534&amp;"|"&amp;$J534&amp;"|"&amp;7,Assessments!$A$2:$A$600,0)),"")</f>
        <v/>
      </c>
      <c r="CP534" s="28" t="str">
        <f aca="false">IFERROR(INDEX(Assessments!$I$2:$I$600,MATCH($H534&amp;"|"&amp;$I534&amp;"|"&amp;$J534&amp;"|"&amp;8,Assessments!$A$2:$A$600,0)),"")</f>
        <v/>
      </c>
      <c r="CQ534" s="28" t="str">
        <f aca="false">IFERROR(INDEX(Assessments!$I$2:$I$600,MATCH($H534&amp;"|"&amp;$I534&amp;"|"&amp;$J534&amp;"|"&amp;9,Assessments!$A$2:$A$600,0)),"")</f>
        <v/>
      </c>
      <c r="CR534" s="28" t="str">
        <f aca="false">IFERROR(INDEX(Assessments!$I$2:$I$600,MATCH($H534&amp;"|"&amp;$I534&amp;"|"&amp;$J534&amp;"|"&amp;10,Assessments!$A$2:$A$600,0)),"")</f>
        <v/>
      </c>
      <c r="CS534" s="28" t="str">
        <f aca="false">IFERROR(INDEX(Assessments!$I$2:$I$600,MATCH($H534&amp;"|"&amp;$I534&amp;"|"&amp;$J534&amp;"|"&amp;11,Assessments!$A$2:$A$600,0)),"")</f>
        <v/>
      </c>
      <c r="CT534" s="28" t="str">
        <f aca="false">IFERROR(INDEX(Assessments!$I$2:$I$600,MATCH($H534&amp;"|"&amp;$I534&amp;"|"&amp;$J534&amp;"|"&amp;12,Assessments!$A$2:$A$600,0)),"")</f>
        <v/>
      </c>
      <c r="CU534" s="28" t="str">
        <f aca="false">IFERROR(INDEX(Assessments!$I$2:$I$600,MATCH($H534&amp;"|"&amp;$I534&amp;"|"&amp;$J534&amp;"|"&amp;13,Assessments!$A$2:$A$600,0)),"")</f>
        <v/>
      </c>
      <c r="CV534" s="28" t="str">
        <f aca="false">IFERROR(INDEX(Assessments!$I$2:$I$600,MATCH($H534&amp;"|"&amp;$I534&amp;"|"&amp;$J534&amp;"|"&amp;14,Assessments!$A$2:$A$600,0)),"")</f>
        <v/>
      </c>
      <c r="CW534" s="28" t="n">
        <f aca="false">IFERROR(INDEX(Assessments!$J$2:$J$600,MATCH($H534&amp;"|"&amp;$I534&amp;"|"&amp;$J534&amp;"|"&amp;1,Assessments!$A$2:$A$600,0)),0)</f>
        <v>0</v>
      </c>
      <c r="CX534" s="28" t="n">
        <f aca="false">IFERROR(INDEX(Assessments!$J$2:$J$600,MATCH($H534&amp;"|"&amp;$I534&amp;"|"&amp;$J534&amp;"|"&amp;2,Assessments!$A$2:$A$600,0)),0)</f>
        <v>0</v>
      </c>
      <c r="CY534" s="28" t="n">
        <f aca="false">IFERROR(INDEX(Assessments!$J$2:$J$600,MATCH($H534&amp;"|"&amp;$I534&amp;"|"&amp;$J534&amp;"|"&amp;3,Assessments!$A$2:$A$600,0)),0)</f>
        <v>0</v>
      </c>
      <c r="CZ534" s="28" t="n">
        <f aca="false">IFERROR(INDEX(Assessments!$J$2:$J$600,MATCH($H534&amp;"|"&amp;$I534&amp;"|"&amp;$J534&amp;"|"&amp;4,Assessments!$A$2:$A$600,0)),0)</f>
        <v>0</v>
      </c>
      <c r="DA534" s="28" t="n">
        <f aca="false">IFERROR(INDEX(Assessments!$J$2:$J$600,MATCH($H534&amp;"|"&amp;$I534&amp;"|"&amp;$J534&amp;"|"&amp;5,Assessments!$A$2:$A$600,0)),0)</f>
        <v>0</v>
      </c>
      <c r="DB534" s="28" t="n">
        <f aca="false">IFERROR(INDEX(Assessments!$J$2:$J$600,MATCH($H534&amp;"|"&amp;$I534&amp;"|"&amp;$J534&amp;"|"&amp;6,Assessments!$A$2:$A$600,0)),0)</f>
        <v>0</v>
      </c>
      <c r="DC534" s="28" t="n">
        <f aca="false">IFERROR(INDEX(Assessments!$J$2:$J$600,MATCH($H534&amp;"|"&amp;$I534&amp;"|"&amp;$J534&amp;"|"&amp;7,Assessments!$A$2:$A$600,0)),0)</f>
        <v>0</v>
      </c>
      <c r="DD534" s="28" t="n">
        <f aca="false">IFERROR(INDEX(Assessments!$J$2:$J$600,MATCH($H534&amp;"|"&amp;$I534&amp;"|"&amp;$J534&amp;"|"&amp;8,Assessments!$A$2:$A$600,0)),0)</f>
        <v>0</v>
      </c>
      <c r="DE534" s="28" t="n">
        <f aca="false">IFERROR(INDEX(Assessments!$J$2:$J$600,MATCH($H534&amp;"|"&amp;$I534&amp;"|"&amp;$J534&amp;"|"&amp;9,Assessments!$A$2:$A$600,0)),0)</f>
        <v>0</v>
      </c>
      <c r="DF534" s="28" t="n">
        <f aca="false">IFERROR(INDEX(Assessments!$J$2:$J$600,MATCH($H534&amp;"|"&amp;$I534&amp;"|"&amp;$J534&amp;"|"&amp;10,Assessments!$A$2:$A$600,0)),0)</f>
        <v>0</v>
      </c>
      <c r="DG534" s="28" t="n">
        <f aca="false">IFERROR(INDEX(Assessments!$J$2:$J$600,MATCH($H534&amp;"|"&amp;$I534&amp;"|"&amp;$J534&amp;"|"&amp;11,Assessments!$A$2:$A$600,0)),0)</f>
        <v>0</v>
      </c>
      <c r="DH534" s="28" t="n">
        <f aca="false">IFERROR(INDEX(Assessments!$J$2:$J$600,MATCH($H534&amp;"|"&amp;$I534&amp;"|"&amp;$J534&amp;"|"&amp;12,Assessments!$A$2:$A$600,0)),0)</f>
        <v>0</v>
      </c>
      <c r="DI534" s="28" t="n">
        <f aca="false">IFERROR(INDEX(Assessments!$J$2:$J$600,MATCH($H534&amp;"|"&amp;$I534&amp;"|"&amp;$J534&amp;"|"&amp;13,Assessments!$A$2:$A$600,0)),0)</f>
        <v>0</v>
      </c>
      <c r="DJ534" s="28" t="n">
        <f aca="false">IFERROR(INDEX(Assessments!$J$2:$J$600,MATCH($H534&amp;"|"&amp;$I534&amp;"|"&amp;$J534&amp;"|"&amp;14,Assessments!$A$2:$A$600,0)),0)</f>
        <v>0</v>
      </c>
      <c r="DK534" s="28" t="str">
        <f aca="false">S534</f>
        <v/>
      </c>
      <c r="DL534" s="28" t="str">
        <f aca="false">W534</f>
        <v/>
      </c>
      <c r="DM534" s="28" t="str">
        <f aca="false">AA534</f>
        <v/>
      </c>
      <c r="DN534" s="28" t="str">
        <f aca="false">AE534</f>
        <v/>
      </c>
      <c r="DO534" s="28" t="str">
        <f aca="false">AI534</f>
        <v/>
      </c>
      <c r="DP534" s="28" t="str">
        <f aca="false">AM534</f>
        <v/>
      </c>
      <c r="DQ534" s="28" t="str">
        <f aca="false">AQ534</f>
        <v/>
      </c>
      <c r="DR534" s="28" t="str">
        <f aca="false">AU534</f>
        <v/>
      </c>
      <c r="DS534" s="28" t="str">
        <f aca="false">AY534</f>
        <v/>
      </c>
      <c r="DT534" s="28" t="str">
        <f aca="false">BC534</f>
        <v/>
      </c>
      <c r="DU534" s="28" t="str">
        <f aca="false">BG534</f>
        <v/>
      </c>
      <c r="DV534" s="28" t="str">
        <f aca="false">BK534</f>
        <v/>
      </c>
      <c r="DW534" s="28" t="str">
        <f aca="false">BO534</f>
        <v/>
      </c>
      <c r="DX534" s="28" t="str">
        <f aca="false">BS534</f>
        <v/>
      </c>
      <c r="DY534" s="28" t="str">
        <f aca="false">IF(ISNUMBER(S534),1,"")</f>
        <v/>
      </c>
      <c r="DZ534" s="28" t="str">
        <f aca="false">IF(ISNUMBER(W534),2,"")</f>
        <v/>
      </c>
      <c r="EA534" s="28" t="str">
        <f aca="false">IF(ISNUMBER(AA534),3,"")</f>
        <v/>
      </c>
      <c r="EB534" s="28" t="str">
        <f aca="false">IF(ISNUMBER(AE534),4,"")</f>
        <v/>
      </c>
      <c r="EC534" s="28" t="str">
        <f aca="false">IF(ISNUMBER(AI534),5,"")</f>
        <v/>
      </c>
      <c r="ED534" s="28" t="str">
        <f aca="false">IF(ISNUMBER(AM534),6,"")</f>
        <v/>
      </c>
      <c r="EE534" s="28" t="str">
        <f aca="false">IF(ISNUMBER(AQ534),7,"")</f>
        <v/>
      </c>
      <c r="EF534" s="28" t="str">
        <f aca="false">IF(ISNUMBER(AU534),8,"")</f>
        <v/>
      </c>
      <c r="EG534" s="28" t="str">
        <f aca="false">IF(ISNUMBER(AY534),9,"")</f>
        <v/>
      </c>
      <c r="EH534" s="28" t="str">
        <f aca="false">IF(ISNUMBER(BC534),10,"")</f>
        <v/>
      </c>
      <c r="EI534" s="28" t="str">
        <f aca="false">IF(ISNUMBER(BG534),11,"")</f>
        <v/>
      </c>
      <c r="EJ534" s="28" t="str">
        <f aca="false">IF(ISNUMBER(BK534),12,"")</f>
        <v/>
      </c>
      <c r="EK534" s="28" t="str">
        <f aca="false">IF(ISNUMBER(BO534),13,"")</f>
        <v/>
      </c>
      <c r="EL534" s="28" t="str">
        <f aca="false">IF(ISNUMBER(BS534),14,"")</f>
        <v/>
      </c>
      <c r="EM534" s="28" t="n">
        <f aca="false">IF(ISNUMBER(R534),R534*CW534,0)</f>
        <v>0</v>
      </c>
      <c r="EN534" s="28" t="n">
        <f aca="false">IF(ISNUMBER(V534),V534*CX534,0)</f>
        <v>0</v>
      </c>
      <c r="EO534" s="28" t="n">
        <f aca="false">IF(ISNUMBER(Z534),Z534*CY534,0)</f>
        <v>0</v>
      </c>
      <c r="EP534" s="28" t="n">
        <f aca="false">IF(ISNUMBER(AD534),AD534*CZ534,0)</f>
        <v>0</v>
      </c>
      <c r="EQ534" s="28" t="n">
        <f aca="false">IF(ISNUMBER(AH534),AH534*DA534,0)</f>
        <v>0</v>
      </c>
      <c r="ER534" s="28" t="n">
        <f aca="false">IF(ISNUMBER(AL534),AL534*DB534,0)</f>
        <v>0</v>
      </c>
      <c r="ES534" s="28" t="n">
        <f aca="false">IF(ISNUMBER(AP534),AP534*DC534,0)</f>
        <v>0</v>
      </c>
      <c r="ET534" s="28" t="n">
        <f aca="false">IF(ISNUMBER(AT534),AT534*DD534,0)</f>
        <v>0</v>
      </c>
      <c r="EU534" s="28" t="n">
        <f aca="false">IF(ISNUMBER(AX534),AX534*DE534,0)</f>
        <v>0</v>
      </c>
      <c r="EV534" s="28" t="n">
        <f aca="false">IF(ISNUMBER(BB534),BB534*DF534,0)</f>
        <v>0</v>
      </c>
      <c r="EW534" s="28" t="n">
        <f aca="false">IF(ISNUMBER(BF534),BF534*DG534,0)</f>
        <v>0</v>
      </c>
      <c r="EX534" s="28" t="n">
        <f aca="false">IF(ISNUMBER(BJ534),BJ534*DH534,0)</f>
        <v>0</v>
      </c>
      <c r="EY534" s="28" t="n">
        <f aca="false">IF(ISNUMBER(BN534),BN534*DI534,0)</f>
        <v>0</v>
      </c>
      <c r="EZ534" s="28" t="n">
        <f aca="false">IF(ISNUMBER(BR534),BR534*DJ534,0)</f>
        <v>0</v>
      </c>
      <c r="FA534" s="28" t="n">
        <f aca="false">IF(ISNUMBER(R534),CW534,0)</f>
        <v>0</v>
      </c>
      <c r="FB534" s="28" t="n">
        <f aca="false">IF(ISNUMBER(V534),CX534,0)</f>
        <v>0</v>
      </c>
      <c r="FC534" s="28" t="n">
        <f aca="false">IF(ISNUMBER(Z534),CY534,0)</f>
        <v>0</v>
      </c>
      <c r="FD534" s="28" t="n">
        <f aca="false">IF(ISNUMBER(AD534),CZ534,0)</f>
        <v>0</v>
      </c>
      <c r="FE534" s="28" t="n">
        <f aca="false">IF(ISNUMBER(AH534),DA534,0)</f>
        <v>0</v>
      </c>
      <c r="FF534" s="28" t="n">
        <f aca="false">IF(ISNUMBER(AL534),DB534,0)</f>
        <v>0</v>
      </c>
      <c r="FG534" s="28" t="n">
        <f aca="false">IF(ISNUMBER(AP534),DC534,0)</f>
        <v>0</v>
      </c>
      <c r="FH534" s="28" t="n">
        <f aca="false">IF(ISNUMBER(AT534),DD534,0)</f>
        <v>0</v>
      </c>
      <c r="FI534" s="28" t="n">
        <f aca="false">IF(ISNUMBER(AX534),DE534,0)</f>
        <v>0</v>
      </c>
      <c r="FJ534" s="28" t="n">
        <f aca="false">IF(ISNUMBER(BB534),DF534,0)</f>
        <v>0</v>
      </c>
      <c r="FK534" s="28" t="n">
        <f aca="false">IF(ISNUMBER(BF534),DG534,0)</f>
        <v>0</v>
      </c>
      <c r="FL534" s="28" t="n">
        <f aca="false">IF(ISNUMBER(BJ534),DH534,0)</f>
        <v>0</v>
      </c>
      <c r="FM534" s="28" t="n">
        <f aca="false">IF(ISNUMBER(BN534),DI534,0)</f>
        <v>0</v>
      </c>
      <c r="FN534" s="28" t="n">
        <f aca="false">IF(ISNUMBER(BR534),DJ534,0)</f>
        <v>0</v>
      </c>
      <c r="FO534" s="28" t="str">
        <f aca="false">IFERROR(INDEX(Lists!$G$2:$G$20,MATCH($I534&amp;"|"&amp;$J534,Lists!$F$2:$F$20,0)),"")</f>
        <v/>
      </c>
    </row>
    <row r="535" customFormat="false" ht="19.5" hidden="false" customHeight="true" outlineLevel="0" collapsed="false">
      <c r="A535" s="29"/>
      <c r="B535" s="29"/>
      <c r="C535" s="30"/>
      <c r="D535" s="30"/>
      <c r="E535" s="31"/>
      <c r="F535" s="30"/>
      <c r="G535" s="30"/>
      <c r="H535" s="32"/>
      <c r="I535" s="33"/>
      <c r="J535" s="32"/>
      <c r="K535" s="34" t="str">
        <f aca="false">IF(OR(M535="",$E535=""),"",M535-$E535)</f>
        <v/>
      </c>
      <c r="L535" s="35" t="str">
        <f aca="false">IF(SUM(FA535:FN535)=0,"",SUM(EM535:EZ535)/SUM(FA535:FN535))</f>
        <v/>
      </c>
      <c r="M535" s="36" t="str">
        <f aca="false">IF(OR(L535="",FO535=""),"",IFERROR(MATCH(L535,INDEX(Boundaries!$B$2:$I$30,MATCH(FO535,Boundaries!$A$2:$A$30,0),0),1)-1,""))</f>
        <v/>
      </c>
      <c r="N535" s="37" t="str">
        <f aca="false">IF(COUNT($DY535:$EL535)&lt;2,"",INDEX($DK535:$DX535,MAX($DY535:$EL535))-INDEX($DK535:$DX535,MIN($DY535:$EL535)))</f>
        <v/>
      </c>
      <c r="O535" s="37" t="str">
        <f aca="false">IF(COUNT($DY535:$EL535)&lt;2,"",INDEX($DK535:$DX535,MAX($DY535:$EL535))-INDEX($DK535:$DX535,LARGE($DY535:$EL535,2)))</f>
        <v/>
      </c>
      <c r="P535" s="38" t="str">
        <f aca="false">IF(K535="","",IF(K535&gt;=0,"On/above target",IF(AND(N535&lt;&gt;"",N535&gt;=0.5),"Improving towards target",IF(AND(O535&lt;&gt;"",O535&lt;=-0.5),"Declining","Stable below target"))))</f>
        <v/>
      </c>
      <c r="Q535" s="39"/>
      <c r="R535" s="40" t="str">
        <f aca="false">IF(OR(Q535="",BU535=""),"",Q535/BU535*100)</f>
        <v/>
      </c>
      <c r="S535" s="41" t="str">
        <f aca="false">IF(R535="","",IFERROR(MATCH(R535,INDEX(Boundaries!$B$2:$I$30,MATCH(CI535,Boundaries!$A$2:$A$30,0),0),1)-1,""))</f>
        <v/>
      </c>
      <c r="T535" s="42" t="str">
        <f aca="false">IF(OR(S535="",$E535=""),"",S535-$E535)</f>
        <v/>
      </c>
      <c r="U535" s="39"/>
      <c r="V535" s="40" t="str">
        <f aca="false">IF(OR(U535="",BV535=""),"",U535/BV535*100)</f>
        <v/>
      </c>
      <c r="W535" s="41" t="str">
        <f aca="false">IF(V535="","",IFERROR(MATCH(V535,INDEX(Boundaries!$B$2:$I$30,MATCH(CJ535,Boundaries!$A$2:$A$30,0),0),1)-1,""))</f>
        <v/>
      </c>
      <c r="X535" s="42" t="str">
        <f aca="false">IF(OR(W535="",$E535=""),"",W535-$E535)</f>
        <v/>
      </c>
      <c r="Y535" s="39"/>
      <c r="Z535" s="40" t="str">
        <f aca="false">IF(OR(Y535="",BW535=""),"",Y535/BW535*100)</f>
        <v/>
      </c>
      <c r="AA535" s="41" t="str">
        <f aca="false">IF(Z535="","",IFERROR(MATCH(Z535,INDEX(Boundaries!$B$2:$I$30,MATCH(CK535,Boundaries!$A$2:$A$30,0),0),1)-1,""))</f>
        <v/>
      </c>
      <c r="AB535" s="42" t="str">
        <f aca="false">IF(OR(AA535="",$E535=""),"",AA535-$E535)</f>
        <v/>
      </c>
      <c r="AC535" s="39"/>
      <c r="AD535" s="40" t="str">
        <f aca="false">IF(OR(AC535="",BX535=""),"",AC535/BX535*100)</f>
        <v/>
      </c>
      <c r="AE535" s="41" t="str">
        <f aca="false">IF(AD535="","",IFERROR(MATCH(AD535,INDEX(Boundaries!$B$2:$I$30,MATCH(CL535,Boundaries!$A$2:$A$30,0),0),1)-1,""))</f>
        <v/>
      </c>
      <c r="AF535" s="42" t="str">
        <f aca="false">IF(OR(AE535="",$E535=""),"",AE535-$E535)</f>
        <v/>
      </c>
      <c r="AG535" s="39"/>
      <c r="AH535" s="40" t="str">
        <f aca="false">IF(OR(AG535="",BY535=""),"",AG535/BY535*100)</f>
        <v/>
      </c>
      <c r="AI535" s="41" t="str">
        <f aca="false">IF(AH535="","",IFERROR(MATCH(AH535,INDEX(Boundaries!$B$2:$I$30,MATCH(CM535,Boundaries!$A$2:$A$30,0),0),1)-1,""))</f>
        <v/>
      </c>
      <c r="AJ535" s="42" t="str">
        <f aca="false">IF(OR(AI535="",$E535=""),"",AI535-$E535)</f>
        <v/>
      </c>
      <c r="AK535" s="39"/>
      <c r="AL535" s="40" t="str">
        <f aca="false">IF(OR(AK535="",BZ535=""),"",AK535/BZ535*100)</f>
        <v/>
      </c>
      <c r="AM535" s="41" t="str">
        <f aca="false">IF(AL535="","",IFERROR(MATCH(AL535,INDEX(Boundaries!$B$2:$I$30,MATCH(CN535,Boundaries!$A$2:$A$30,0),0),1)-1,""))</f>
        <v/>
      </c>
      <c r="AN535" s="42" t="str">
        <f aca="false">IF(OR(AM535="",$E535=""),"",AM535-$E535)</f>
        <v/>
      </c>
      <c r="AO535" s="39"/>
      <c r="AP535" s="40" t="str">
        <f aca="false">IF(OR(AO535="",CA535=""),"",AO535/CA535*100)</f>
        <v/>
      </c>
      <c r="AQ535" s="41" t="str">
        <f aca="false">IF(AP535="","",IFERROR(MATCH(AP535,INDEX(Boundaries!$B$2:$I$30,MATCH(CO535,Boundaries!$A$2:$A$30,0),0),1)-1,""))</f>
        <v/>
      </c>
      <c r="AR535" s="42" t="str">
        <f aca="false">IF(OR(AQ535="",$E535=""),"",AQ535-$E535)</f>
        <v/>
      </c>
      <c r="AS535" s="39"/>
      <c r="AT535" s="40" t="str">
        <f aca="false">IF(OR(AS535="",CB535=""),"",AS535/CB535*100)</f>
        <v/>
      </c>
      <c r="AU535" s="41" t="str">
        <f aca="false">IF(AT535="","",IFERROR(MATCH(AT535,INDEX(Boundaries!$B$2:$I$30,MATCH(CP535,Boundaries!$A$2:$A$30,0),0),1)-1,""))</f>
        <v/>
      </c>
      <c r="AV535" s="42" t="str">
        <f aca="false">IF(OR(AU535="",$E535=""),"",AU535-$E535)</f>
        <v/>
      </c>
      <c r="AW535" s="39"/>
      <c r="AX535" s="40" t="str">
        <f aca="false">IF(OR(AW535="",CC535=""),"",AW535/CC535*100)</f>
        <v/>
      </c>
      <c r="AY535" s="41" t="str">
        <f aca="false">IF(AX535="","",IFERROR(MATCH(AX535,INDEX(Boundaries!$B$2:$I$30,MATCH(CQ535,Boundaries!$A$2:$A$30,0),0),1)-1,""))</f>
        <v/>
      </c>
      <c r="AZ535" s="42" t="str">
        <f aca="false">IF(OR(AY535="",$E535=""),"",AY535-$E535)</f>
        <v/>
      </c>
      <c r="BA535" s="39"/>
      <c r="BB535" s="40" t="str">
        <f aca="false">IF(OR(BA535="",CD535=""),"",BA535/CD535*100)</f>
        <v/>
      </c>
      <c r="BC535" s="41" t="str">
        <f aca="false">IF(BB535="","",IFERROR(MATCH(BB535,INDEX(Boundaries!$B$2:$I$30,MATCH(CR535,Boundaries!$A$2:$A$30,0),0),1)-1,""))</f>
        <v/>
      </c>
      <c r="BD535" s="42" t="str">
        <f aca="false">IF(OR(BC535="",$E535=""),"",BC535-$E535)</f>
        <v/>
      </c>
      <c r="BE535" s="39"/>
      <c r="BF535" s="40" t="str">
        <f aca="false">IF(OR(BE535="",CE535=""),"",BE535/CE535*100)</f>
        <v/>
      </c>
      <c r="BG535" s="41" t="str">
        <f aca="false">IF(BF535="","",IFERROR(MATCH(BF535,INDEX(Boundaries!$B$2:$I$30,MATCH(CS535,Boundaries!$A$2:$A$30,0),0),1)-1,""))</f>
        <v/>
      </c>
      <c r="BH535" s="42" t="str">
        <f aca="false">IF(OR(BG535="",$E535=""),"",BG535-$E535)</f>
        <v/>
      </c>
      <c r="BI535" s="39"/>
      <c r="BJ535" s="40" t="str">
        <f aca="false">IF(OR(BI535="",CF535=""),"",BI535/CF535*100)</f>
        <v/>
      </c>
      <c r="BK535" s="41" t="str">
        <f aca="false">IF(BJ535="","",IFERROR(MATCH(BJ535,INDEX(Boundaries!$B$2:$I$30,MATCH(CT535,Boundaries!$A$2:$A$30,0),0),1)-1,""))</f>
        <v/>
      </c>
      <c r="BL535" s="42" t="str">
        <f aca="false">IF(OR(BK535="",$E535=""),"",BK535-$E535)</f>
        <v/>
      </c>
      <c r="BM535" s="39"/>
      <c r="BN535" s="40" t="str">
        <f aca="false">IF(OR(BM535="",CG535=""),"",BM535/CG535*100)</f>
        <v/>
      </c>
      <c r="BO535" s="41" t="str">
        <f aca="false">IF(BN535="","",IFERROR(MATCH(BN535,INDEX(Boundaries!$B$2:$I$30,MATCH(CU535,Boundaries!$A$2:$A$30,0),0),1)-1,""))</f>
        <v/>
      </c>
      <c r="BP535" s="42" t="str">
        <f aca="false">IF(OR(BO535="",$E535=""),"",BO535-$E535)</f>
        <v/>
      </c>
      <c r="BQ535" s="39"/>
      <c r="BR535" s="40" t="str">
        <f aca="false">IF(OR(BQ535="",CH535=""),"",BQ535/CH535*100)</f>
        <v/>
      </c>
      <c r="BS535" s="41" t="str">
        <f aca="false">IF(BR535="","",IFERROR(MATCH(BR535,INDEX(Boundaries!$B$2:$I$30,MATCH(CV535,Boundaries!$A$2:$A$30,0),0),1)-1,""))</f>
        <v/>
      </c>
      <c r="BT535" s="42" t="str">
        <f aca="false">IF(OR(BS535="",$E535=""),"",BS535-$E535)</f>
        <v/>
      </c>
      <c r="BU535" s="28" t="str">
        <f aca="false">IFERROR(INDEX(Assessments!$H$2:$H$600,MATCH($H535&amp;"|"&amp;$I535&amp;"|"&amp;$J535&amp;"|"&amp;1,Assessments!$A$2:$A$600,0)),"")</f>
        <v/>
      </c>
      <c r="BV535" s="28" t="str">
        <f aca="false">IFERROR(INDEX(Assessments!$H$2:$H$600,MATCH($H535&amp;"|"&amp;$I535&amp;"|"&amp;$J535&amp;"|"&amp;2,Assessments!$A$2:$A$600,0)),"")</f>
        <v/>
      </c>
      <c r="BW535" s="28" t="str">
        <f aca="false">IFERROR(INDEX(Assessments!$H$2:$H$600,MATCH($H535&amp;"|"&amp;$I535&amp;"|"&amp;$J535&amp;"|"&amp;3,Assessments!$A$2:$A$600,0)),"")</f>
        <v/>
      </c>
      <c r="BX535" s="28" t="str">
        <f aca="false">IFERROR(INDEX(Assessments!$H$2:$H$600,MATCH($H535&amp;"|"&amp;$I535&amp;"|"&amp;$J535&amp;"|"&amp;4,Assessments!$A$2:$A$600,0)),"")</f>
        <v/>
      </c>
      <c r="BY535" s="28" t="str">
        <f aca="false">IFERROR(INDEX(Assessments!$H$2:$H$600,MATCH($H535&amp;"|"&amp;$I535&amp;"|"&amp;$J535&amp;"|"&amp;5,Assessments!$A$2:$A$600,0)),"")</f>
        <v/>
      </c>
      <c r="BZ535" s="28" t="str">
        <f aca="false">IFERROR(INDEX(Assessments!$H$2:$H$600,MATCH($H535&amp;"|"&amp;$I535&amp;"|"&amp;$J535&amp;"|"&amp;6,Assessments!$A$2:$A$600,0)),"")</f>
        <v/>
      </c>
      <c r="CA535" s="28" t="str">
        <f aca="false">IFERROR(INDEX(Assessments!$H$2:$H$600,MATCH($H535&amp;"|"&amp;$I535&amp;"|"&amp;$J535&amp;"|"&amp;7,Assessments!$A$2:$A$600,0)),"")</f>
        <v/>
      </c>
      <c r="CB535" s="28" t="str">
        <f aca="false">IFERROR(INDEX(Assessments!$H$2:$H$600,MATCH($H535&amp;"|"&amp;$I535&amp;"|"&amp;$J535&amp;"|"&amp;8,Assessments!$A$2:$A$600,0)),"")</f>
        <v/>
      </c>
      <c r="CC535" s="28" t="str">
        <f aca="false">IFERROR(INDEX(Assessments!$H$2:$H$600,MATCH($H535&amp;"|"&amp;$I535&amp;"|"&amp;$J535&amp;"|"&amp;9,Assessments!$A$2:$A$600,0)),"")</f>
        <v/>
      </c>
      <c r="CD535" s="28" t="str">
        <f aca="false">IFERROR(INDEX(Assessments!$H$2:$H$600,MATCH($H535&amp;"|"&amp;$I535&amp;"|"&amp;$J535&amp;"|"&amp;10,Assessments!$A$2:$A$600,0)),"")</f>
        <v/>
      </c>
      <c r="CE535" s="28" t="str">
        <f aca="false">IFERROR(INDEX(Assessments!$H$2:$H$600,MATCH($H535&amp;"|"&amp;$I535&amp;"|"&amp;$J535&amp;"|"&amp;11,Assessments!$A$2:$A$600,0)),"")</f>
        <v/>
      </c>
      <c r="CF535" s="28" t="str">
        <f aca="false">IFERROR(INDEX(Assessments!$H$2:$H$600,MATCH($H535&amp;"|"&amp;$I535&amp;"|"&amp;$J535&amp;"|"&amp;12,Assessments!$A$2:$A$600,0)),"")</f>
        <v/>
      </c>
      <c r="CG535" s="28" t="str">
        <f aca="false">IFERROR(INDEX(Assessments!$H$2:$H$600,MATCH($H535&amp;"|"&amp;$I535&amp;"|"&amp;$J535&amp;"|"&amp;13,Assessments!$A$2:$A$600,0)),"")</f>
        <v/>
      </c>
      <c r="CH535" s="28" t="str">
        <f aca="false">IFERROR(INDEX(Assessments!$H$2:$H$600,MATCH($H535&amp;"|"&amp;$I535&amp;"|"&amp;$J535&amp;"|"&amp;14,Assessments!$A$2:$A$600,0)),"")</f>
        <v/>
      </c>
      <c r="CI535" s="28" t="str">
        <f aca="false">IFERROR(INDEX(Assessments!$I$2:$I$600,MATCH($H535&amp;"|"&amp;$I535&amp;"|"&amp;$J535&amp;"|"&amp;1,Assessments!$A$2:$A$600,0)),"")</f>
        <v/>
      </c>
      <c r="CJ535" s="28" t="str">
        <f aca="false">IFERROR(INDEX(Assessments!$I$2:$I$600,MATCH($H535&amp;"|"&amp;$I535&amp;"|"&amp;$J535&amp;"|"&amp;2,Assessments!$A$2:$A$600,0)),"")</f>
        <v/>
      </c>
      <c r="CK535" s="28" t="str">
        <f aca="false">IFERROR(INDEX(Assessments!$I$2:$I$600,MATCH($H535&amp;"|"&amp;$I535&amp;"|"&amp;$J535&amp;"|"&amp;3,Assessments!$A$2:$A$600,0)),"")</f>
        <v/>
      </c>
      <c r="CL535" s="28" t="str">
        <f aca="false">IFERROR(INDEX(Assessments!$I$2:$I$600,MATCH($H535&amp;"|"&amp;$I535&amp;"|"&amp;$J535&amp;"|"&amp;4,Assessments!$A$2:$A$600,0)),"")</f>
        <v/>
      </c>
      <c r="CM535" s="28" t="str">
        <f aca="false">IFERROR(INDEX(Assessments!$I$2:$I$600,MATCH($H535&amp;"|"&amp;$I535&amp;"|"&amp;$J535&amp;"|"&amp;5,Assessments!$A$2:$A$600,0)),"")</f>
        <v/>
      </c>
      <c r="CN535" s="28" t="str">
        <f aca="false">IFERROR(INDEX(Assessments!$I$2:$I$600,MATCH($H535&amp;"|"&amp;$I535&amp;"|"&amp;$J535&amp;"|"&amp;6,Assessments!$A$2:$A$600,0)),"")</f>
        <v/>
      </c>
      <c r="CO535" s="28" t="str">
        <f aca="false">IFERROR(INDEX(Assessments!$I$2:$I$600,MATCH($H535&amp;"|"&amp;$I535&amp;"|"&amp;$J535&amp;"|"&amp;7,Assessments!$A$2:$A$600,0)),"")</f>
        <v/>
      </c>
      <c r="CP535" s="28" t="str">
        <f aca="false">IFERROR(INDEX(Assessments!$I$2:$I$600,MATCH($H535&amp;"|"&amp;$I535&amp;"|"&amp;$J535&amp;"|"&amp;8,Assessments!$A$2:$A$600,0)),"")</f>
        <v/>
      </c>
      <c r="CQ535" s="28" t="str">
        <f aca="false">IFERROR(INDEX(Assessments!$I$2:$I$600,MATCH($H535&amp;"|"&amp;$I535&amp;"|"&amp;$J535&amp;"|"&amp;9,Assessments!$A$2:$A$600,0)),"")</f>
        <v/>
      </c>
      <c r="CR535" s="28" t="str">
        <f aca="false">IFERROR(INDEX(Assessments!$I$2:$I$600,MATCH($H535&amp;"|"&amp;$I535&amp;"|"&amp;$J535&amp;"|"&amp;10,Assessments!$A$2:$A$600,0)),"")</f>
        <v/>
      </c>
      <c r="CS535" s="28" t="str">
        <f aca="false">IFERROR(INDEX(Assessments!$I$2:$I$600,MATCH($H535&amp;"|"&amp;$I535&amp;"|"&amp;$J535&amp;"|"&amp;11,Assessments!$A$2:$A$600,0)),"")</f>
        <v/>
      </c>
      <c r="CT535" s="28" t="str">
        <f aca="false">IFERROR(INDEX(Assessments!$I$2:$I$600,MATCH($H535&amp;"|"&amp;$I535&amp;"|"&amp;$J535&amp;"|"&amp;12,Assessments!$A$2:$A$600,0)),"")</f>
        <v/>
      </c>
      <c r="CU535" s="28" t="str">
        <f aca="false">IFERROR(INDEX(Assessments!$I$2:$I$600,MATCH($H535&amp;"|"&amp;$I535&amp;"|"&amp;$J535&amp;"|"&amp;13,Assessments!$A$2:$A$600,0)),"")</f>
        <v/>
      </c>
      <c r="CV535" s="28" t="str">
        <f aca="false">IFERROR(INDEX(Assessments!$I$2:$I$600,MATCH($H535&amp;"|"&amp;$I535&amp;"|"&amp;$J535&amp;"|"&amp;14,Assessments!$A$2:$A$600,0)),"")</f>
        <v/>
      </c>
      <c r="CW535" s="28" t="n">
        <f aca="false">IFERROR(INDEX(Assessments!$J$2:$J$600,MATCH($H535&amp;"|"&amp;$I535&amp;"|"&amp;$J535&amp;"|"&amp;1,Assessments!$A$2:$A$600,0)),0)</f>
        <v>0</v>
      </c>
      <c r="CX535" s="28" t="n">
        <f aca="false">IFERROR(INDEX(Assessments!$J$2:$J$600,MATCH($H535&amp;"|"&amp;$I535&amp;"|"&amp;$J535&amp;"|"&amp;2,Assessments!$A$2:$A$600,0)),0)</f>
        <v>0</v>
      </c>
      <c r="CY535" s="28" t="n">
        <f aca="false">IFERROR(INDEX(Assessments!$J$2:$J$600,MATCH($H535&amp;"|"&amp;$I535&amp;"|"&amp;$J535&amp;"|"&amp;3,Assessments!$A$2:$A$600,0)),0)</f>
        <v>0</v>
      </c>
      <c r="CZ535" s="28" t="n">
        <f aca="false">IFERROR(INDEX(Assessments!$J$2:$J$600,MATCH($H535&amp;"|"&amp;$I535&amp;"|"&amp;$J535&amp;"|"&amp;4,Assessments!$A$2:$A$600,0)),0)</f>
        <v>0</v>
      </c>
      <c r="DA535" s="28" t="n">
        <f aca="false">IFERROR(INDEX(Assessments!$J$2:$J$600,MATCH($H535&amp;"|"&amp;$I535&amp;"|"&amp;$J535&amp;"|"&amp;5,Assessments!$A$2:$A$600,0)),0)</f>
        <v>0</v>
      </c>
      <c r="DB535" s="28" t="n">
        <f aca="false">IFERROR(INDEX(Assessments!$J$2:$J$600,MATCH($H535&amp;"|"&amp;$I535&amp;"|"&amp;$J535&amp;"|"&amp;6,Assessments!$A$2:$A$600,0)),0)</f>
        <v>0</v>
      </c>
      <c r="DC535" s="28" t="n">
        <f aca="false">IFERROR(INDEX(Assessments!$J$2:$J$600,MATCH($H535&amp;"|"&amp;$I535&amp;"|"&amp;$J535&amp;"|"&amp;7,Assessments!$A$2:$A$600,0)),0)</f>
        <v>0</v>
      </c>
      <c r="DD535" s="28" t="n">
        <f aca="false">IFERROR(INDEX(Assessments!$J$2:$J$600,MATCH($H535&amp;"|"&amp;$I535&amp;"|"&amp;$J535&amp;"|"&amp;8,Assessments!$A$2:$A$600,0)),0)</f>
        <v>0</v>
      </c>
      <c r="DE535" s="28" t="n">
        <f aca="false">IFERROR(INDEX(Assessments!$J$2:$J$600,MATCH($H535&amp;"|"&amp;$I535&amp;"|"&amp;$J535&amp;"|"&amp;9,Assessments!$A$2:$A$600,0)),0)</f>
        <v>0</v>
      </c>
      <c r="DF535" s="28" t="n">
        <f aca="false">IFERROR(INDEX(Assessments!$J$2:$J$600,MATCH($H535&amp;"|"&amp;$I535&amp;"|"&amp;$J535&amp;"|"&amp;10,Assessments!$A$2:$A$600,0)),0)</f>
        <v>0</v>
      </c>
      <c r="DG535" s="28" t="n">
        <f aca="false">IFERROR(INDEX(Assessments!$J$2:$J$600,MATCH($H535&amp;"|"&amp;$I535&amp;"|"&amp;$J535&amp;"|"&amp;11,Assessments!$A$2:$A$600,0)),0)</f>
        <v>0</v>
      </c>
      <c r="DH535" s="28" t="n">
        <f aca="false">IFERROR(INDEX(Assessments!$J$2:$J$600,MATCH($H535&amp;"|"&amp;$I535&amp;"|"&amp;$J535&amp;"|"&amp;12,Assessments!$A$2:$A$600,0)),0)</f>
        <v>0</v>
      </c>
      <c r="DI535" s="28" t="n">
        <f aca="false">IFERROR(INDEX(Assessments!$J$2:$J$600,MATCH($H535&amp;"|"&amp;$I535&amp;"|"&amp;$J535&amp;"|"&amp;13,Assessments!$A$2:$A$600,0)),0)</f>
        <v>0</v>
      </c>
      <c r="DJ535" s="28" t="n">
        <f aca="false">IFERROR(INDEX(Assessments!$J$2:$J$600,MATCH($H535&amp;"|"&amp;$I535&amp;"|"&amp;$J535&amp;"|"&amp;14,Assessments!$A$2:$A$600,0)),0)</f>
        <v>0</v>
      </c>
      <c r="DK535" s="28" t="str">
        <f aca="false">S535</f>
        <v/>
      </c>
      <c r="DL535" s="28" t="str">
        <f aca="false">W535</f>
        <v/>
      </c>
      <c r="DM535" s="28" t="str">
        <f aca="false">AA535</f>
        <v/>
      </c>
      <c r="DN535" s="28" t="str">
        <f aca="false">AE535</f>
        <v/>
      </c>
      <c r="DO535" s="28" t="str">
        <f aca="false">AI535</f>
        <v/>
      </c>
      <c r="DP535" s="28" t="str">
        <f aca="false">AM535</f>
        <v/>
      </c>
      <c r="DQ535" s="28" t="str">
        <f aca="false">AQ535</f>
        <v/>
      </c>
      <c r="DR535" s="28" t="str">
        <f aca="false">AU535</f>
        <v/>
      </c>
      <c r="DS535" s="28" t="str">
        <f aca="false">AY535</f>
        <v/>
      </c>
      <c r="DT535" s="28" t="str">
        <f aca="false">BC535</f>
        <v/>
      </c>
      <c r="DU535" s="28" t="str">
        <f aca="false">BG535</f>
        <v/>
      </c>
      <c r="DV535" s="28" t="str">
        <f aca="false">BK535</f>
        <v/>
      </c>
      <c r="DW535" s="28" t="str">
        <f aca="false">BO535</f>
        <v/>
      </c>
      <c r="DX535" s="28" t="str">
        <f aca="false">BS535</f>
        <v/>
      </c>
      <c r="DY535" s="28" t="str">
        <f aca="false">IF(ISNUMBER(S535),1,"")</f>
        <v/>
      </c>
      <c r="DZ535" s="28" t="str">
        <f aca="false">IF(ISNUMBER(W535),2,"")</f>
        <v/>
      </c>
      <c r="EA535" s="28" t="str">
        <f aca="false">IF(ISNUMBER(AA535),3,"")</f>
        <v/>
      </c>
      <c r="EB535" s="28" t="str">
        <f aca="false">IF(ISNUMBER(AE535),4,"")</f>
        <v/>
      </c>
      <c r="EC535" s="28" t="str">
        <f aca="false">IF(ISNUMBER(AI535),5,"")</f>
        <v/>
      </c>
      <c r="ED535" s="28" t="str">
        <f aca="false">IF(ISNUMBER(AM535),6,"")</f>
        <v/>
      </c>
      <c r="EE535" s="28" t="str">
        <f aca="false">IF(ISNUMBER(AQ535),7,"")</f>
        <v/>
      </c>
      <c r="EF535" s="28" t="str">
        <f aca="false">IF(ISNUMBER(AU535),8,"")</f>
        <v/>
      </c>
      <c r="EG535" s="28" t="str">
        <f aca="false">IF(ISNUMBER(AY535),9,"")</f>
        <v/>
      </c>
      <c r="EH535" s="28" t="str">
        <f aca="false">IF(ISNUMBER(BC535),10,"")</f>
        <v/>
      </c>
      <c r="EI535" s="28" t="str">
        <f aca="false">IF(ISNUMBER(BG535),11,"")</f>
        <v/>
      </c>
      <c r="EJ535" s="28" t="str">
        <f aca="false">IF(ISNUMBER(BK535),12,"")</f>
        <v/>
      </c>
      <c r="EK535" s="28" t="str">
        <f aca="false">IF(ISNUMBER(BO535),13,"")</f>
        <v/>
      </c>
      <c r="EL535" s="28" t="str">
        <f aca="false">IF(ISNUMBER(BS535),14,"")</f>
        <v/>
      </c>
      <c r="EM535" s="28" t="n">
        <f aca="false">IF(ISNUMBER(R535),R535*CW535,0)</f>
        <v>0</v>
      </c>
      <c r="EN535" s="28" t="n">
        <f aca="false">IF(ISNUMBER(V535),V535*CX535,0)</f>
        <v>0</v>
      </c>
      <c r="EO535" s="28" t="n">
        <f aca="false">IF(ISNUMBER(Z535),Z535*CY535,0)</f>
        <v>0</v>
      </c>
      <c r="EP535" s="28" t="n">
        <f aca="false">IF(ISNUMBER(AD535),AD535*CZ535,0)</f>
        <v>0</v>
      </c>
      <c r="EQ535" s="28" t="n">
        <f aca="false">IF(ISNUMBER(AH535),AH535*DA535,0)</f>
        <v>0</v>
      </c>
      <c r="ER535" s="28" t="n">
        <f aca="false">IF(ISNUMBER(AL535),AL535*DB535,0)</f>
        <v>0</v>
      </c>
      <c r="ES535" s="28" t="n">
        <f aca="false">IF(ISNUMBER(AP535),AP535*DC535,0)</f>
        <v>0</v>
      </c>
      <c r="ET535" s="28" t="n">
        <f aca="false">IF(ISNUMBER(AT535),AT535*DD535,0)</f>
        <v>0</v>
      </c>
      <c r="EU535" s="28" t="n">
        <f aca="false">IF(ISNUMBER(AX535),AX535*DE535,0)</f>
        <v>0</v>
      </c>
      <c r="EV535" s="28" t="n">
        <f aca="false">IF(ISNUMBER(BB535),BB535*DF535,0)</f>
        <v>0</v>
      </c>
      <c r="EW535" s="28" t="n">
        <f aca="false">IF(ISNUMBER(BF535),BF535*DG535,0)</f>
        <v>0</v>
      </c>
      <c r="EX535" s="28" t="n">
        <f aca="false">IF(ISNUMBER(BJ535),BJ535*DH535,0)</f>
        <v>0</v>
      </c>
      <c r="EY535" s="28" t="n">
        <f aca="false">IF(ISNUMBER(BN535),BN535*DI535,0)</f>
        <v>0</v>
      </c>
      <c r="EZ535" s="28" t="n">
        <f aca="false">IF(ISNUMBER(BR535),BR535*DJ535,0)</f>
        <v>0</v>
      </c>
      <c r="FA535" s="28" t="n">
        <f aca="false">IF(ISNUMBER(R535),CW535,0)</f>
        <v>0</v>
      </c>
      <c r="FB535" s="28" t="n">
        <f aca="false">IF(ISNUMBER(V535),CX535,0)</f>
        <v>0</v>
      </c>
      <c r="FC535" s="28" t="n">
        <f aca="false">IF(ISNUMBER(Z535),CY535,0)</f>
        <v>0</v>
      </c>
      <c r="FD535" s="28" t="n">
        <f aca="false">IF(ISNUMBER(AD535),CZ535,0)</f>
        <v>0</v>
      </c>
      <c r="FE535" s="28" t="n">
        <f aca="false">IF(ISNUMBER(AH535),DA535,0)</f>
        <v>0</v>
      </c>
      <c r="FF535" s="28" t="n">
        <f aca="false">IF(ISNUMBER(AL535),DB535,0)</f>
        <v>0</v>
      </c>
      <c r="FG535" s="28" t="n">
        <f aca="false">IF(ISNUMBER(AP535),DC535,0)</f>
        <v>0</v>
      </c>
      <c r="FH535" s="28" t="n">
        <f aca="false">IF(ISNUMBER(AT535),DD535,0)</f>
        <v>0</v>
      </c>
      <c r="FI535" s="28" t="n">
        <f aca="false">IF(ISNUMBER(AX535),DE535,0)</f>
        <v>0</v>
      </c>
      <c r="FJ535" s="28" t="n">
        <f aca="false">IF(ISNUMBER(BB535),DF535,0)</f>
        <v>0</v>
      </c>
      <c r="FK535" s="28" t="n">
        <f aca="false">IF(ISNUMBER(BF535),DG535,0)</f>
        <v>0</v>
      </c>
      <c r="FL535" s="28" t="n">
        <f aca="false">IF(ISNUMBER(BJ535),DH535,0)</f>
        <v>0</v>
      </c>
      <c r="FM535" s="28" t="n">
        <f aca="false">IF(ISNUMBER(BN535),DI535,0)</f>
        <v>0</v>
      </c>
      <c r="FN535" s="28" t="n">
        <f aca="false">IF(ISNUMBER(BR535),DJ535,0)</f>
        <v>0</v>
      </c>
      <c r="FO535" s="28" t="str">
        <f aca="false">IFERROR(INDEX(Lists!$G$2:$G$20,MATCH($I535&amp;"|"&amp;$J535,Lists!$F$2:$F$20,0)),"")</f>
        <v/>
      </c>
    </row>
    <row r="536" customFormat="false" ht="19.5" hidden="false" customHeight="true" outlineLevel="0" collapsed="false">
      <c r="A536" s="29"/>
      <c r="B536" s="29"/>
      <c r="C536" s="30"/>
      <c r="D536" s="30"/>
      <c r="E536" s="31"/>
      <c r="F536" s="30"/>
      <c r="G536" s="30"/>
      <c r="H536" s="32"/>
      <c r="I536" s="33"/>
      <c r="J536" s="32"/>
      <c r="K536" s="34" t="str">
        <f aca="false">IF(OR(M536="",$E536=""),"",M536-$E536)</f>
        <v/>
      </c>
      <c r="L536" s="35" t="str">
        <f aca="false">IF(SUM(FA536:FN536)=0,"",SUM(EM536:EZ536)/SUM(FA536:FN536))</f>
        <v/>
      </c>
      <c r="M536" s="36" t="str">
        <f aca="false">IF(OR(L536="",FO536=""),"",IFERROR(MATCH(L536,INDEX(Boundaries!$B$2:$I$30,MATCH(FO536,Boundaries!$A$2:$A$30,0),0),1)-1,""))</f>
        <v/>
      </c>
      <c r="N536" s="37" t="str">
        <f aca="false">IF(COUNT($DY536:$EL536)&lt;2,"",INDEX($DK536:$DX536,MAX($DY536:$EL536))-INDEX($DK536:$DX536,MIN($DY536:$EL536)))</f>
        <v/>
      </c>
      <c r="O536" s="37" t="str">
        <f aca="false">IF(COUNT($DY536:$EL536)&lt;2,"",INDEX($DK536:$DX536,MAX($DY536:$EL536))-INDEX($DK536:$DX536,LARGE($DY536:$EL536,2)))</f>
        <v/>
      </c>
      <c r="P536" s="38" t="str">
        <f aca="false">IF(K536="","",IF(K536&gt;=0,"On/above target",IF(AND(N536&lt;&gt;"",N536&gt;=0.5),"Improving towards target",IF(AND(O536&lt;&gt;"",O536&lt;=-0.5),"Declining","Stable below target"))))</f>
        <v/>
      </c>
      <c r="Q536" s="39"/>
      <c r="R536" s="40" t="str">
        <f aca="false">IF(OR(Q536="",BU536=""),"",Q536/BU536*100)</f>
        <v/>
      </c>
      <c r="S536" s="41" t="str">
        <f aca="false">IF(R536="","",IFERROR(MATCH(R536,INDEX(Boundaries!$B$2:$I$30,MATCH(CI536,Boundaries!$A$2:$A$30,0),0),1)-1,""))</f>
        <v/>
      </c>
      <c r="T536" s="42" t="str">
        <f aca="false">IF(OR(S536="",$E536=""),"",S536-$E536)</f>
        <v/>
      </c>
      <c r="U536" s="39"/>
      <c r="V536" s="40" t="str">
        <f aca="false">IF(OR(U536="",BV536=""),"",U536/BV536*100)</f>
        <v/>
      </c>
      <c r="W536" s="41" t="str">
        <f aca="false">IF(V536="","",IFERROR(MATCH(V536,INDEX(Boundaries!$B$2:$I$30,MATCH(CJ536,Boundaries!$A$2:$A$30,0),0),1)-1,""))</f>
        <v/>
      </c>
      <c r="X536" s="42" t="str">
        <f aca="false">IF(OR(W536="",$E536=""),"",W536-$E536)</f>
        <v/>
      </c>
      <c r="Y536" s="39"/>
      <c r="Z536" s="40" t="str">
        <f aca="false">IF(OR(Y536="",BW536=""),"",Y536/BW536*100)</f>
        <v/>
      </c>
      <c r="AA536" s="41" t="str">
        <f aca="false">IF(Z536="","",IFERROR(MATCH(Z536,INDEX(Boundaries!$B$2:$I$30,MATCH(CK536,Boundaries!$A$2:$A$30,0),0),1)-1,""))</f>
        <v/>
      </c>
      <c r="AB536" s="42" t="str">
        <f aca="false">IF(OR(AA536="",$E536=""),"",AA536-$E536)</f>
        <v/>
      </c>
      <c r="AC536" s="39"/>
      <c r="AD536" s="40" t="str">
        <f aca="false">IF(OR(AC536="",BX536=""),"",AC536/BX536*100)</f>
        <v/>
      </c>
      <c r="AE536" s="41" t="str">
        <f aca="false">IF(AD536="","",IFERROR(MATCH(AD536,INDEX(Boundaries!$B$2:$I$30,MATCH(CL536,Boundaries!$A$2:$A$30,0),0),1)-1,""))</f>
        <v/>
      </c>
      <c r="AF536" s="42" t="str">
        <f aca="false">IF(OR(AE536="",$E536=""),"",AE536-$E536)</f>
        <v/>
      </c>
      <c r="AG536" s="39"/>
      <c r="AH536" s="40" t="str">
        <f aca="false">IF(OR(AG536="",BY536=""),"",AG536/BY536*100)</f>
        <v/>
      </c>
      <c r="AI536" s="41" t="str">
        <f aca="false">IF(AH536="","",IFERROR(MATCH(AH536,INDEX(Boundaries!$B$2:$I$30,MATCH(CM536,Boundaries!$A$2:$A$30,0),0),1)-1,""))</f>
        <v/>
      </c>
      <c r="AJ536" s="42" t="str">
        <f aca="false">IF(OR(AI536="",$E536=""),"",AI536-$E536)</f>
        <v/>
      </c>
      <c r="AK536" s="39"/>
      <c r="AL536" s="40" t="str">
        <f aca="false">IF(OR(AK536="",BZ536=""),"",AK536/BZ536*100)</f>
        <v/>
      </c>
      <c r="AM536" s="41" t="str">
        <f aca="false">IF(AL536="","",IFERROR(MATCH(AL536,INDEX(Boundaries!$B$2:$I$30,MATCH(CN536,Boundaries!$A$2:$A$30,0),0),1)-1,""))</f>
        <v/>
      </c>
      <c r="AN536" s="42" t="str">
        <f aca="false">IF(OR(AM536="",$E536=""),"",AM536-$E536)</f>
        <v/>
      </c>
      <c r="AO536" s="39"/>
      <c r="AP536" s="40" t="str">
        <f aca="false">IF(OR(AO536="",CA536=""),"",AO536/CA536*100)</f>
        <v/>
      </c>
      <c r="AQ536" s="41" t="str">
        <f aca="false">IF(AP536="","",IFERROR(MATCH(AP536,INDEX(Boundaries!$B$2:$I$30,MATCH(CO536,Boundaries!$A$2:$A$30,0),0),1)-1,""))</f>
        <v/>
      </c>
      <c r="AR536" s="42" t="str">
        <f aca="false">IF(OR(AQ536="",$E536=""),"",AQ536-$E536)</f>
        <v/>
      </c>
      <c r="AS536" s="39"/>
      <c r="AT536" s="40" t="str">
        <f aca="false">IF(OR(AS536="",CB536=""),"",AS536/CB536*100)</f>
        <v/>
      </c>
      <c r="AU536" s="41" t="str">
        <f aca="false">IF(AT536="","",IFERROR(MATCH(AT536,INDEX(Boundaries!$B$2:$I$30,MATCH(CP536,Boundaries!$A$2:$A$30,0),0),1)-1,""))</f>
        <v/>
      </c>
      <c r="AV536" s="42" t="str">
        <f aca="false">IF(OR(AU536="",$E536=""),"",AU536-$E536)</f>
        <v/>
      </c>
      <c r="AW536" s="39"/>
      <c r="AX536" s="40" t="str">
        <f aca="false">IF(OR(AW536="",CC536=""),"",AW536/CC536*100)</f>
        <v/>
      </c>
      <c r="AY536" s="41" t="str">
        <f aca="false">IF(AX536="","",IFERROR(MATCH(AX536,INDEX(Boundaries!$B$2:$I$30,MATCH(CQ536,Boundaries!$A$2:$A$30,0),0),1)-1,""))</f>
        <v/>
      </c>
      <c r="AZ536" s="42" t="str">
        <f aca="false">IF(OR(AY536="",$E536=""),"",AY536-$E536)</f>
        <v/>
      </c>
      <c r="BA536" s="39"/>
      <c r="BB536" s="40" t="str">
        <f aca="false">IF(OR(BA536="",CD536=""),"",BA536/CD536*100)</f>
        <v/>
      </c>
      <c r="BC536" s="41" t="str">
        <f aca="false">IF(BB536="","",IFERROR(MATCH(BB536,INDEX(Boundaries!$B$2:$I$30,MATCH(CR536,Boundaries!$A$2:$A$30,0),0),1)-1,""))</f>
        <v/>
      </c>
      <c r="BD536" s="42" t="str">
        <f aca="false">IF(OR(BC536="",$E536=""),"",BC536-$E536)</f>
        <v/>
      </c>
      <c r="BE536" s="39"/>
      <c r="BF536" s="40" t="str">
        <f aca="false">IF(OR(BE536="",CE536=""),"",BE536/CE536*100)</f>
        <v/>
      </c>
      <c r="BG536" s="41" t="str">
        <f aca="false">IF(BF536="","",IFERROR(MATCH(BF536,INDEX(Boundaries!$B$2:$I$30,MATCH(CS536,Boundaries!$A$2:$A$30,0),0),1)-1,""))</f>
        <v/>
      </c>
      <c r="BH536" s="42" t="str">
        <f aca="false">IF(OR(BG536="",$E536=""),"",BG536-$E536)</f>
        <v/>
      </c>
      <c r="BI536" s="39"/>
      <c r="BJ536" s="40" t="str">
        <f aca="false">IF(OR(BI536="",CF536=""),"",BI536/CF536*100)</f>
        <v/>
      </c>
      <c r="BK536" s="41" t="str">
        <f aca="false">IF(BJ536="","",IFERROR(MATCH(BJ536,INDEX(Boundaries!$B$2:$I$30,MATCH(CT536,Boundaries!$A$2:$A$30,0),0),1)-1,""))</f>
        <v/>
      </c>
      <c r="BL536" s="42" t="str">
        <f aca="false">IF(OR(BK536="",$E536=""),"",BK536-$E536)</f>
        <v/>
      </c>
      <c r="BM536" s="39"/>
      <c r="BN536" s="40" t="str">
        <f aca="false">IF(OR(BM536="",CG536=""),"",BM536/CG536*100)</f>
        <v/>
      </c>
      <c r="BO536" s="41" t="str">
        <f aca="false">IF(BN536="","",IFERROR(MATCH(BN536,INDEX(Boundaries!$B$2:$I$30,MATCH(CU536,Boundaries!$A$2:$A$30,0),0),1)-1,""))</f>
        <v/>
      </c>
      <c r="BP536" s="42" t="str">
        <f aca="false">IF(OR(BO536="",$E536=""),"",BO536-$E536)</f>
        <v/>
      </c>
      <c r="BQ536" s="39"/>
      <c r="BR536" s="40" t="str">
        <f aca="false">IF(OR(BQ536="",CH536=""),"",BQ536/CH536*100)</f>
        <v/>
      </c>
      <c r="BS536" s="41" t="str">
        <f aca="false">IF(BR536="","",IFERROR(MATCH(BR536,INDEX(Boundaries!$B$2:$I$30,MATCH(CV536,Boundaries!$A$2:$A$30,0),0),1)-1,""))</f>
        <v/>
      </c>
      <c r="BT536" s="42" t="str">
        <f aca="false">IF(OR(BS536="",$E536=""),"",BS536-$E536)</f>
        <v/>
      </c>
      <c r="BU536" s="28" t="str">
        <f aca="false">IFERROR(INDEX(Assessments!$H$2:$H$600,MATCH($H536&amp;"|"&amp;$I536&amp;"|"&amp;$J536&amp;"|"&amp;1,Assessments!$A$2:$A$600,0)),"")</f>
        <v/>
      </c>
      <c r="BV536" s="28" t="str">
        <f aca="false">IFERROR(INDEX(Assessments!$H$2:$H$600,MATCH($H536&amp;"|"&amp;$I536&amp;"|"&amp;$J536&amp;"|"&amp;2,Assessments!$A$2:$A$600,0)),"")</f>
        <v/>
      </c>
      <c r="BW536" s="28" t="str">
        <f aca="false">IFERROR(INDEX(Assessments!$H$2:$H$600,MATCH($H536&amp;"|"&amp;$I536&amp;"|"&amp;$J536&amp;"|"&amp;3,Assessments!$A$2:$A$600,0)),"")</f>
        <v/>
      </c>
      <c r="BX536" s="28" t="str">
        <f aca="false">IFERROR(INDEX(Assessments!$H$2:$H$600,MATCH($H536&amp;"|"&amp;$I536&amp;"|"&amp;$J536&amp;"|"&amp;4,Assessments!$A$2:$A$600,0)),"")</f>
        <v/>
      </c>
      <c r="BY536" s="28" t="str">
        <f aca="false">IFERROR(INDEX(Assessments!$H$2:$H$600,MATCH($H536&amp;"|"&amp;$I536&amp;"|"&amp;$J536&amp;"|"&amp;5,Assessments!$A$2:$A$600,0)),"")</f>
        <v/>
      </c>
      <c r="BZ536" s="28" t="str">
        <f aca="false">IFERROR(INDEX(Assessments!$H$2:$H$600,MATCH($H536&amp;"|"&amp;$I536&amp;"|"&amp;$J536&amp;"|"&amp;6,Assessments!$A$2:$A$600,0)),"")</f>
        <v/>
      </c>
      <c r="CA536" s="28" t="str">
        <f aca="false">IFERROR(INDEX(Assessments!$H$2:$H$600,MATCH($H536&amp;"|"&amp;$I536&amp;"|"&amp;$J536&amp;"|"&amp;7,Assessments!$A$2:$A$600,0)),"")</f>
        <v/>
      </c>
      <c r="CB536" s="28" t="str">
        <f aca="false">IFERROR(INDEX(Assessments!$H$2:$H$600,MATCH($H536&amp;"|"&amp;$I536&amp;"|"&amp;$J536&amp;"|"&amp;8,Assessments!$A$2:$A$600,0)),"")</f>
        <v/>
      </c>
      <c r="CC536" s="28" t="str">
        <f aca="false">IFERROR(INDEX(Assessments!$H$2:$H$600,MATCH($H536&amp;"|"&amp;$I536&amp;"|"&amp;$J536&amp;"|"&amp;9,Assessments!$A$2:$A$600,0)),"")</f>
        <v/>
      </c>
      <c r="CD536" s="28" t="str">
        <f aca="false">IFERROR(INDEX(Assessments!$H$2:$H$600,MATCH($H536&amp;"|"&amp;$I536&amp;"|"&amp;$J536&amp;"|"&amp;10,Assessments!$A$2:$A$600,0)),"")</f>
        <v/>
      </c>
      <c r="CE536" s="28" t="str">
        <f aca="false">IFERROR(INDEX(Assessments!$H$2:$H$600,MATCH($H536&amp;"|"&amp;$I536&amp;"|"&amp;$J536&amp;"|"&amp;11,Assessments!$A$2:$A$600,0)),"")</f>
        <v/>
      </c>
      <c r="CF536" s="28" t="str">
        <f aca="false">IFERROR(INDEX(Assessments!$H$2:$H$600,MATCH($H536&amp;"|"&amp;$I536&amp;"|"&amp;$J536&amp;"|"&amp;12,Assessments!$A$2:$A$600,0)),"")</f>
        <v/>
      </c>
      <c r="CG536" s="28" t="str">
        <f aca="false">IFERROR(INDEX(Assessments!$H$2:$H$600,MATCH($H536&amp;"|"&amp;$I536&amp;"|"&amp;$J536&amp;"|"&amp;13,Assessments!$A$2:$A$600,0)),"")</f>
        <v/>
      </c>
      <c r="CH536" s="28" t="str">
        <f aca="false">IFERROR(INDEX(Assessments!$H$2:$H$600,MATCH($H536&amp;"|"&amp;$I536&amp;"|"&amp;$J536&amp;"|"&amp;14,Assessments!$A$2:$A$600,0)),"")</f>
        <v/>
      </c>
      <c r="CI536" s="28" t="str">
        <f aca="false">IFERROR(INDEX(Assessments!$I$2:$I$600,MATCH($H536&amp;"|"&amp;$I536&amp;"|"&amp;$J536&amp;"|"&amp;1,Assessments!$A$2:$A$600,0)),"")</f>
        <v/>
      </c>
      <c r="CJ536" s="28" t="str">
        <f aca="false">IFERROR(INDEX(Assessments!$I$2:$I$600,MATCH($H536&amp;"|"&amp;$I536&amp;"|"&amp;$J536&amp;"|"&amp;2,Assessments!$A$2:$A$600,0)),"")</f>
        <v/>
      </c>
      <c r="CK536" s="28" t="str">
        <f aca="false">IFERROR(INDEX(Assessments!$I$2:$I$600,MATCH($H536&amp;"|"&amp;$I536&amp;"|"&amp;$J536&amp;"|"&amp;3,Assessments!$A$2:$A$600,0)),"")</f>
        <v/>
      </c>
      <c r="CL536" s="28" t="str">
        <f aca="false">IFERROR(INDEX(Assessments!$I$2:$I$600,MATCH($H536&amp;"|"&amp;$I536&amp;"|"&amp;$J536&amp;"|"&amp;4,Assessments!$A$2:$A$600,0)),"")</f>
        <v/>
      </c>
      <c r="CM536" s="28" t="str">
        <f aca="false">IFERROR(INDEX(Assessments!$I$2:$I$600,MATCH($H536&amp;"|"&amp;$I536&amp;"|"&amp;$J536&amp;"|"&amp;5,Assessments!$A$2:$A$600,0)),"")</f>
        <v/>
      </c>
      <c r="CN536" s="28" t="str">
        <f aca="false">IFERROR(INDEX(Assessments!$I$2:$I$600,MATCH($H536&amp;"|"&amp;$I536&amp;"|"&amp;$J536&amp;"|"&amp;6,Assessments!$A$2:$A$600,0)),"")</f>
        <v/>
      </c>
      <c r="CO536" s="28" t="str">
        <f aca="false">IFERROR(INDEX(Assessments!$I$2:$I$600,MATCH($H536&amp;"|"&amp;$I536&amp;"|"&amp;$J536&amp;"|"&amp;7,Assessments!$A$2:$A$600,0)),"")</f>
        <v/>
      </c>
      <c r="CP536" s="28" t="str">
        <f aca="false">IFERROR(INDEX(Assessments!$I$2:$I$600,MATCH($H536&amp;"|"&amp;$I536&amp;"|"&amp;$J536&amp;"|"&amp;8,Assessments!$A$2:$A$600,0)),"")</f>
        <v/>
      </c>
      <c r="CQ536" s="28" t="str">
        <f aca="false">IFERROR(INDEX(Assessments!$I$2:$I$600,MATCH($H536&amp;"|"&amp;$I536&amp;"|"&amp;$J536&amp;"|"&amp;9,Assessments!$A$2:$A$600,0)),"")</f>
        <v/>
      </c>
      <c r="CR536" s="28" t="str">
        <f aca="false">IFERROR(INDEX(Assessments!$I$2:$I$600,MATCH($H536&amp;"|"&amp;$I536&amp;"|"&amp;$J536&amp;"|"&amp;10,Assessments!$A$2:$A$600,0)),"")</f>
        <v/>
      </c>
      <c r="CS536" s="28" t="str">
        <f aca="false">IFERROR(INDEX(Assessments!$I$2:$I$600,MATCH($H536&amp;"|"&amp;$I536&amp;"|"&amp;$J536&amp;"|"&amp;11,Assessments!$A$2:$A$600,0)),"")</f>
        <v/>
      </c>
      <c r="CT536" s="28" t="str">
        <f aca="false">IFERROR(INDEX(Assessments!$I$2:$I$600,MATCH($H536&amp;"|"&amp;$I536&amp;"|"&amp;$J536&amp;"|"&amp;12,Assessments!$A$2:$A$600,0)),"")</f>
        <v/>
      </c>
      <c r="CU536" s="28" t="str">
        <f aca="false">IFERROR(INDEX(Assessments!$I$2:$I$600,MATCH($H536&amp;"|"&amp;$I536&amp;"|"&amp;$J536&amp;"|"&amp;13,Assessments!$A$2:$A$600,0)),"")</f>
        <v/>
      </c>
      <c r="CV536" s="28" t="str">
        <f aca="false">IFERROR(INDEX(Assessments!$I$2:$I$600,MATCH($H536&amp;"|"&amp;$I536&amp;"|"&amp;$J536&amp;"|"&amp;14,Assessments!$A$2:$A$600,0)),"")</f>
        <v/>
      </c>
      <c r="CW536" s="28" t="n">
        <f aca="false">IFERROR(INDEX(Assessments!$J$2:$J$600,MATCH($H536&amp;"|"&amp;$I536&amp;"|"&amp;$J536&amp;"|"&amp;1,Assessments!$A$2:$A$600,0)),0)</f>
        <v>0</v>
      </c>
      <c r="CX536" s="28" t="n">
        <f aca="false">IFERROR(INDEX(Assessments!$J$2:$J$600,MATCH($H536&amp;"|"&amp;$I536&amp;"|"&amp;$J536&amp;"|"&amp;2,Assessments!$A$2:$A$600,0)),0)</f>
        <v>0</v>
      </c>
      <c r="CY536" s="28" t="n">
        <f aca="false">IFERROR(INDEX(Assessments!$J$2:$J$600,MATCH($H536&amp;"|"&amp;$I536&amp;"|"&amp;$J536&amp;"|"&amp;3,Assessments!$A$2:$A$600,0)),0)</f>
        <v>0</v>
      </c>
      <c r="CZ536" s="28" t="n">
        <f aca="false">IFERROR(INDEX(Assessments!$J$2:$J$600,MATCH($H536&amp;"|"&amp;$I536&amp;"|"&amp;$J536&amp;"|"&amp;4,Assessments!$A$2:$A$600,0)),0)</f>
        <v>0</v>
      </c>
      <c r="DA536" s="28" t="n">
        <f aca="false">IFERROR(INDEX(Assessments!$J$2:$J$600,MATCH($H536&amp;"|"&amp;$I536&amp;"|"&amp;$J536&amp;"|"&amp;5,Assessments!$A$2:$A$600,0)),0)</f>
        <v>0</v>
      </c>
      <c r="DB536" s="28" t="n">
        <f aca="false">IFERROR(INDEX(Assessments!$J$2:$J$600,MATCH($H536&amp;"|"&amp;$I536&amp;"|"&amp;$J536&amp;"|"&amp;6,Assessments!$A$2:$A$600,0)),0)</f>
        <v>0</v>
      </c>
      <c r="DC536" s="28" t="n">
        <f aca="false">IFERROR(INDEX(Assessments!$J$2:$J$600,MATCH($H536&amp;"|"&amp;$I536&amp;"|"&amp;$J536&amp;"|"&amp;7,Assessments!$A$2:$A$600,0)),0)</f>
        <v>0</v>
      </c>
      <c r="DD536" s="28" t="n">
        <f aca="false">IFERROR(INDEX(Assessments!$J$2:$J$600,MATCH($H536&amp;"|"&amp;$I536&amp;"|"&amp;$J536&amp;"|"&amp;8,Assessments!$A$2:$A$600,0)),0)</f>
        <v>0</v>
      </c>
      <c r="DE536" s="28" t="n">
        <f aca="false">IFERROR(INDEX(Assessments!$J$2:$J$600,MATCH($H536&amp;"|"&amp;$I536&amp;"|"&amp;$J536&amp;"|"&amp;9,Assessments!$A$2:$A$600,0)),0)</f>
        <v>0</v>
      </c>
      <c r="DF536" s="28" t="n">
        <f aca="false">IFERROR(INDEX(Assessments!$J$2:$J$600,MATCH($H536&amp;"|"&amp;$I536&amp;"|"&amp;$J536&amp;"|"&amp;10,Assessments!$A$2:$A$600,0)),0)</f>
        <v>0</v>
      </c>
      <c r="DG536" s="28" t="n">
        <f aca="false">IFERROR(INDEX(Assessments!$J$2:$J$600,MATCH($H536&amp;"|"&amp;$I536&amp;"|"&amp;$J536&amp;"|"&amp;11,Assessments!$A$2:$A$600,0)),0)</f>
        <v>0</v>
      </c>
      <c r="DH536" s="28" t="n">
        <f aca="false">IFERROR(INDEX(Assessments!$J$2:$J$600,MATCH($H536&amp;"|"&amp;$I536&amp;"|"&amp;$J536&amp;"|"&amp;12,Assessments!$A$2:$A$600,0)),0)</f>
        <v>0</v>
      </c>
      <c r="DI536" s="28" t="n">
        <f aca="false">IFERROR(INDEX(Assessments!$J$2:$J$600,MATCH($H536&amp;"|"&amp;$I536&amp;"|"&amp;$J536&amp;"|"&amp;13,Assessments!$A$2:$A$600,0)),0)</f>
        <v>0</v>
      </c>
      <c r="DJ536" s="28" t="n">
        <f aca="false">IFERROR(INDEX(Assessments!$J$2:$J$600,MATCH($H536&amp;"|"&amp;$I536&amp;"|"&amp;$J536&amp;"|"&amp;14,Assessments!$A$2:$A$600,0)),0)</f>
        <v>0</v>
      </c>
      <c r="DK536" s="28" t="str">
        <f aca="false">S536</f>
        <v/>
      </c>
      <c r="DL536" s="28" t="str">
        <f aca="false">W536</f>
        <v/>
      </c>
      <c r="DM536" s="28" t="str">
        <f aca="false">AA536</f>
        <v/>
      </c>
      <c r="DN536" s="28" t="str">
        <f aca="false">AE536</f>
        <v/>
      </c>
      <c r="DO536" s="28" t="str">
        <f aca="false">AI536</f>
        <v/>
      </c>
      <c r="DP536" s="28" t="str">
        <f aca="false">AM536</f>
        <v/>
      </c>
      <c r="DQ536" s="28" t="str">
        <f aca="false">AQ536</f>
        <v/>
      </c>
      <c r="DR536" s="28" t="str">
        <f aca="false">AU536</f>
        <v/>
      </c>
      <c r="DS536" s="28" t="str">
        <f aca="false">AY536</f>
        <v/>
      </c>
      <c r="DT536" s="28" t="str">
        <f aca="false">BC536</f>
        <v/>
      </c>
      <c r="DU536" s="28" t="str">
        <f aca="false">BG536</f>
        <v/>
      </c>
      <c r="DV536" s="28" t="str">
        <f aca="false">BK536</f>
        <v/>
      </c>
      <c r="DW536" s="28" t="str">
        <f aca="false">BO536</f>
        <v/>
      </c>
      <c r="DX536" s="28" t="str">
        <f aca="false">BS536</f>
        <v/>
      </c>
      <c r="DY536" s="28" t="str">
        <f aca="false">IF(ISNUMBER(S536),1,"")</f>
        <v/>
      </c>
      <c r="DZ536" s="28" t="str">
        <f aca="false">IF(ISNUMBER(W536),2,"")</f>
        <v/>
      </c>
      <c r="EA536" s="28" t="str">
        <f aca="false">IF(ISNUMBER(AA536),3,"")</f>
        <v/>
      </c>
      <c r="EB536" s="28" t="str">
        <f aca="false">IF(ISNUMBER(AE536),4,"")</f>
        <v/>
      </c>
      <c r="EC536" s="28" t="str">
        <f aca="false">IF(ISNUMBER(AI536),5,"")</f>
        <v/>
      </c>
      <c r="ED536" s="28" t="str">
        <f aca="false">IF(ISNUMBER(AM536),6,"")</f>
        <v/>
      </c>
      <c r="EE536" s="28" t="str">
        <f aca="false">IF(ISNUMBER(AQ536),7,"")</f>
        <v/>
      </c>
      <c r="EF536" s="28" t="str">
        <f aca="false">IF(ISNUMBER(AU536),8,"")</f>
        <v/>
      </c>
      <c r="EG536" s="28" t="str">
        <f aca="false">IF(ISNUMBER(AY536),9,"")</f>
        <v/>
      </c>
      <c r="EH536" s="28" t="str">
        <f aca="false">IF(ISNUMBER(BC536),10,"")</f>
        <v/>
      </c>
      <c r="EI536" s="28" t="str">
        <f aca="false">IF(ISNUMBER(BG536),11,"")</f>
        <v/>
      </c>
      <c r="EJ536" s="28" t="str">
        <f aca="false">IF(ISNUMBER(BK536),12,"")</f>
        <v/>
      </c>
      <c r="EK536" s="28" t="str">
        <f aca="false">IF(ISNUMBER(BO536),13,"")</f>
        <v/>
      </c>
      <c r="EL536" s="28" t="str">
        <f aca="false">IF(ISNUMBER(BS536),14,"")</f>
        <v/>
      </c>
      <c r="EM536" s="28" t="n">
        <f aca="false">IF(ISNUMBER(R536),R536*CW536,0)</f>
        <v>0</v>
      </c>
      <c r="EN536" s="28" t="n">
        <f aca="false">IF(ISNUMBER(V536),V536*CX536,0)</f>
        <v>0</v>
      </c>
      <c r="EO536" s="28" t="n">
        <f aca="false">IF(ISNUMBER(Z536),Z536*CY536,0)</f>
        <v>0</v>
      </c>
      <c r="EP536" s="28" t="n">
        <f aca="false">IF(ISNUMBER(AD536),AD536*CZ536,0)</f>
        <v>0</v>
      </c>
      <c r="EQ536" s="28" t="n">
        <f aca="false">IF(ISNUMBER(AH536),AH536*DA536,0)</f>
        <v>0</v>
      </c>
      <c r="ER536" s="28" t="n">
        <f aca="false">IF(ISNUMBER(AL536),AL536*DB536,0)</f>
        <v>0</v>
      </c>
      <c r="ES536" s="28" t="n">
        <f aca="false">IF(ISNUMBER(AP536),AP536*DC536,0)</f>
        <v>0</v>
      </c>
      <c r="ET536" s="28" t="n">
        <f aca="false">IF(ISNUMBER(AT536),AT536*DD536,0)</f>
        <v>0</v>
      </c>
      <c r="EU536" s="28" t="n">
        <f aca="false">IF(ISNUMBER(AX536),AX536*DE536,0)</f>
        <v>0</v>
      </c>
      <c r="EV536" s="28" t="n">
        <f aca="false">IF(ISNUMBER(BB536),BB536*DF536,0)</f>
        <v>0</v>
      </c>
      <c r="EW536" s="28" t="n">
        <f aca="false">IF(ISNUMBER(BF536),BF536*DG536,0)</f>
        <v>0</v>
      </c>
      <c r="EX536" s="28" t="n">
        <f aca="false">IF(ISNUMBER(BJ536),BJ536*DH536,0)</f>
        <v>0</v>
      </c>
      <c r="EY536" s="28" t="n">
        <f aca="false">IF(ISNUMBER(BN536),BN536*DI536,0)</f>
        <v>0</v>
      </c>
      <c r="EZ536" s="28" t="n">
        <f aca="false">IF(ISNUMBER(BR536),BR536*DJ536,0)</f>
        <v>0</v>
      </c>
      <c r="FA536" s="28" t="n">
        <f aca="false">IF(ISNUMBER(R536),CW536,0)</f>
        <v>0</v>
      </c>
      <c r="FB536" s="28" t="n">
        <f aca="false">IF(ISNUMBER(V536),CX536,0)</f>
        <v>0</v>
      </c>
      <c r="FC536" s="28" t="n">
        <f aca="false">IF(ISNUMBER(Z536),CY536,0)</f>
        <v>0</v>
      </c>
      <c r="FD536" s="28" t="n">
        <f aca="false">IF(ISNUMBER(AD536),CZ536,0)</f>
        <v>0</v>
      </c>
      <c r="FE536" s="28" t="n">
        <f aca="false">IF(ISNUMBER(AH536),DA536,0)</f>
        <v>0</v>
      </c>
      <c r="FF536" s="28" t="n">
        <f aca="false">IF(ISNUMBER(AL536),DB536,0)</f>
        <v>0</v>
      </c>
      <c r="FG536" s="28" t="n">
        <f aca="false">IF(ISNUMBER(AP536),DC536,0)</f>
        <v>0</v>
      </c>
      <c r="FH536" s="28" t="n">
        <f aca="false">IF(ISNUMBER(AT536),DD536,0)</f>
        <v>0</v>
      </c>
      <c r="FI536" s="28" t="n">
        <f aca="false">IF(ISNUMBER(AX536),DE536,0)</f>
        <v>0</v>
      </c>
      <c r="FJ536" s="28" t="n">
        <f aca="false">IF(ISNUMBER(BB536),DF536,0)</f>
        <v>0</v>
      </c>
      <c r="FK536" s="28" t="n">
        <f aca="false">IF(ISNUMBER(BF536),DG536,0)</f>
        <v>0</v>
      </c>
      <c r="FL536" s="28" t="n">
        <f aca="false">IF(ISNUMBER(BJ536),DH536,0)</f>
        <v>0</v>
      </c>
      <c r="FM536" s="28" t="n">
        <f aca="false">IF(ISNUMBER(BN536),DI536,0)</f>
        <v>0</v>
      </c>
      <c r="FN536" s="28" t="n">
        <f aca="false">IF(ISNUMBER(BR536),DJ536,0)</f>
        <v>0</v>
      </c>
      <c r="FO536" s="28" t="str">
        <f aca="false">IFERROR(INDEX(Lists!$G$2:$G$20,MATCH($I536&amp;"|"&amp;$J536,Lists!$F$2:$F$20,0)),"")</f>
        <v/>
      </c>
    </row>
    <row r="537" customFormat="false" ht="19.5" hidden="false" customHeight="true" outlineLevel="0" collapsed="false">
      <c r="A537" s="29"/>
      <c r="B537" s="29"/>
      <c r="C537" s="30"/>
      <c r="D537" s="30"/>
      <c r="E537" s="31"/>
      <c r="F537" s="30"/>
      <c r="G537" s="30"/>
      <c r="H537" s="32"/>
      <c r="I537" s="33"/>
      <c r="J537" s="32"/>
      <c r="K537" s="34" t="str">
        <f aca="false">IF(OR(M537="",$E537=""),"",M537-$E537)</f>
        <v/>
      </c>
      <c r="L537" s="35" t="str">
        <f aca="false">IF(SUM(FA537:FN537)=0,"",SUM(EM537:EZ537)/SUM(FA537:FN537))</f>
        <v/>
      </c>
      <c r="M537" s="36" t="str">
        <f aca="false">IF(OR(L537="",FO537=""),"",IFERROR(MATCH(L537,INDEX(Boundaries!$B$2:$I$30,MATCH(FO537,Boundaries!$A$2:$A$30,0),0),1)-1,""))</f>
        <v/>
      </c>
      <c r="N537" s="37" t="str">
        <f aca="false">IF(COUNT($DY537:$EL537)&lt;2,"",INDEX($DK537:$DX537,MAX($DY537:$EL537))-INDEX($DK537:$DX537,MIN($DY537:$EL537)))</f>
        <v/>
      </c>
      <c r="O537" s="37" t="str">
        <f aca="false">IF(COUNT($DY537:$EL537)&lt;2,"",INDEX($DK537:$DX537,MAX($DY537:$EL537))-INDEX($DK537:$DX537,LARGE($DY537:$EL537,2)))</f>
        <v/>
      </c>
      <c r="P537" s="38" t="str">
        <f aca="false">IF(K537="","",IF(K537&gt;=0,"On/above target",IF(AND(N537&lt;&gt;"",N537&gt;=0.5),"Improving towards target",IF(AND(O537&lt;&gt;"",O537&lt;=-0.5),"Declining","Stable below target"))))</f>
        <v/>
      </c>
      <c r="Q537" s="39"/>
      <c r="R537" s="40" t="str">
        <f aca="false">IF(OR(Q537="",BU537=""),"",Q537/BU537*100)</f>
        <v/>
      </c>
      <c r="S537" s="41" t="str">
        <f aca="false">IF(R537="","",IFERROR(MATCH(R537,INDEX(Boundaries!$B$2:$I$30,MATCH(CI537,Boundaries!$A$2:$A$30,0),0),1)-1,""))</f>
        <v/>
      </c>
      <c r="T537" s="42" t="str">
        <f aca="false">IF(OR(S537="",$E537=""),"",S537-$E537)</f>
        <v/>
      </c>
      <c r="U537" s="39"/>
      <c r="V537" s="40" t="str">
        <f aca="false">IF(OR(U537="",BV537=""),"",U537/BV537*100)</f>
        <v/>
      </c>
      <c r="W537" s="41" t="str">
        <f aca="false">IF(V537="","",IFERROR(MATCH(V537,INDEX(Boundaries!$B$2:$I$30,MATCH(CJ537,Boundaries!$A$2:$A$30,0),0),1)-1,""))</f>
        <v/>
      </c>
      <c r="X537" s="42" t="str">
        <f aca="false">IF(OR(W537="",$E537=""),"",W537-$E537)</f>
        <v/>
      </c>
      <c r="Y537" s="39"/>
      <c r="Z537" s="40" t="str">
        <f aca="false">IF(OR(Y537="",BW537=""),"",Y537/BW537*100)</f>
        <v/>
      </c>
      <c r="AA537" s="41" t="str">
        <f aca="false">IF(Z537="","",IFERROR(MATCH(Z537,INDEX(Boundaries!$B$2:$I$30,MATCH(CK537,Boundaries!$A$2:$A$30,0),0),1)-1,""))</f>
        <v/>
      </c>
      <c r="AB537" s="42" t="str">
        <f aca="false">IF(OR(AA537="",$E537=""),"",AA537-$E537)</f>
        <v/>
      </c>
      <c r="AC537" s="39"/>
      <c r="AD537" s="40" t="str">
        <f aca="false">IF(OR(AC537="",BX537=""),"",AC537/BX537*100)</f>
        <v/>
      </c>
      <c r="AE537" s="41" t="str">
        <f aca="false">IF(AD537="","",IFERROR(MATCH(AD537,INDEX(Boundaries!$B$2:$I$30,MATCH(CL537,Boundaries!$A$2:$A$30,0),0),1)-1,""))</f>
        <v/>
      </c>
      <c r="AF537" s="42" t="str">
        <f aca="false">IF(OR(AE537="",$E537=""),"",AE537-$E537)</f>
        <v/>
      </c>
      <c r="AG537" s="39"/>
      <c r="AH537" s="40" t="str">
        <f aca="false">IF(OR(AG537="",BY537=""),"",AG537/BY537*100)</f>
        <v/>
      </c>
      <c r="AI537" s="41" t="str">
        <f aca="false">IF(AH537="","",IFERROR(MATCH(AH537,INDEX(Boundaries!$B$2:$I$30,MATCH(CM537,Boundaries!$A$2:$A$30,0),0),1)-1,""))</f>
        <v/>
      </c>
      <c r="AJ537" s="42" t="str">
        <f aca="false">IF(OR(AI537="",$E537=""),"",AI537-$E537)</f>
        <v/>
      </c>
      <c r="AK537" s="39"/>
      <c r="AL537" s="40" t="str">
        <f aca="false">IF(OR(AK537="",BZ537=""),"",AK537/BZ537*100)</f>
        <v/>
      </c>
      <c r="AM537" s="41" t="str">
        <f aca="false">IF(AL537="","",IFERROR(MATCH(AL537,INDEX(Boundaries!$B$2:$I$30,MATCH(CN537,Boundaries!$A$2:$A$30,0),0),1)-1,""))</f>
        <v/>
      </c>
      <c r="AN537" s="42" t="str">
        <f aca="false">IF(OR(AM537="",$E537=""),"",AM537-$E537)</f>
        <v/>
      </c>
      <c r="AO537" s="39"/>
      <c r="AP537" s="40" t="str">
        <f aca="false">IF(OR(AO537="",CA537=""),"",AO537/CA537*100)</f>
        <v/>
      </c>
      <c r="AQ537" s="41" t="str">
        <f aca="false">IF(AP537="","",IFERROR(MATCH(AP537,INDEX(Boundaries!$B$2:$I$30,MATCH(CO537,Boundaries!$A$2:$A$30,0),0),1)-1,""))</f>
        <v/>
      </c>
      <c r="AR537" s="42" t="str">
        <f aca="false">IF(OR(AQ537="",$E537=""),"",AQ537-$E537)</f>
        <v/>
      </c>
      <c r="AS537" s="39"/>
      <c r="AT537" s="40" t="str">
        <f aca="false">IF(OR(AS537="",CB537=""),"",AS537/CB537*100)</f>
        <v/>
      </c>
      <c r="AU537" s="41" t="str">
        <f aca="false">IF(AT537="","",IFERROR(MATCH(AT537,INDEX(Boundaries!$B$2:$I$30,MATCH(CP537,Boundaries!$A$2:$A$30,0),0),1)-1,""))</f>
        <v/>
      </c>
      <c r="AV537" s="42" t="str">
        <f aca="false">IF(OR(AU537="",$E537=""),"",AU537-$E537)</f>
        <v/>
      </c>
      <c r="AW537" s="39"/>
      <c r="AX537" s="40" t="str">
        <f aca="false">IF(OR(AW537="",CC537=""),"",AW537/CC537*100)</f>
        <v/>
      </c>
      <c r="AY537" s="41" t="str">
        <f aca="false">IF(AX537="","",IFERROR(MATCH(AX537,INDEX(Boundaries!$B$2:$I$30,MATCH(CQ537,Boundaries!$A$2:$A$30,0),0),1)-1,""))</f>
        <v/>
      </c>
      <c r="AZ537" s="42" t="str">
        <f aca="false">IF(OR(AY537="",$E537=""),"",AY537-$E537)</f>
        <v/>
      </c>
      <c r="BA537" s="39"/>
      <c r="BB537" s="40" t="str">
        <f aca="false">IF(OR(BA537="",CD537=""),"",BA537/CD537*100)</f>
        <v/>
      </c>
      <c r="BC537" s="41" t="str">
        <f aca="false">IF(BB537="","",IFERROR(MATCH(BB537,INDEX(Boundaries!$B$2:$I$30,MATCH(CR537,Boundaries!$A$2:$A$30,0),0),1)-1,""))</f>
        <v/>
      </c>
      <c r="BD537" s="42" t="str">
        <f aca="false">IF(OR(BC537="",$E537=""),"",BC537-$E537)</f>
        <v/>
      </c>
      <c r="BE537" s="39"/>
      <c r="BF537" s="40" t="str">
        <f aca="false">IF(OR(BE537="",CE537=""),"",BE537/CE537*100)</f>
        <v/>
      </c>
      <c r="BG537" s="41" t="str">
        <f aca="false">IF(BF537="","",IFERROR(MATCH(BF537,INDEX(Boundaries!$B$2:$I$30,MATCH(CS537,Boundaries!$A$2:$A$30,0),0),1)-1,""))</f>
        <v/>
      </c>
      <c r="BH537" s="42" t="str">
        <f aca="false">IF(OR(BG537="",$E537=""),"",BG537-$E537)</f>
        <v/>
      </c>
      <c r="BI537" s="39"/>
      <c r="BJ537" s="40" t="str">
        <f aca="false">IF(OR(BI537="",CF537=""),"",BI537/CF537*100)</f>
        <v/>
      </c>
      <c r="BK537" s="41" t="str">
        <f aca="false">IF(BJ537="","",IFERROR(MATCH(BJ537,INDEX(Boundaries!$B$2:$I$30,MATCH(CT537,Boundaries!$A$2:$A$30,0),0),1)-1,""))</f>
        <v/>
      </c>
      <c r="BL537" s="42" t="str">
        <f aca="false">IF(OR(BK537="",$E537=""),"",BK537-$E537)</f>
        <v/>
      </c>
      <c r="BM537" s="39"/>
      <c r="BN537" s="40" t="str">
        <f aca="false">IF(OR(BM537="",CG537=""),"",BM537/CG537*100)</f>
        <v/>
      </c>
      <c r="BO537" s="41" t="str">
        <f aca="false">IF(BN537="","",IFERROR(MATCH(BN537,INDEX(Boundaries!$B$2:$I$30,MATCH(CU537,Boundaries!$A$2:$A$30,0),0),1)-1,""))</f>
        <v/>
      </c>
      <c r="BP537" s="42" t="str">
        <f aca="false">IF(OR(BO537="",$E537=""),"",BO537-$E537)</f>
        <v/>
      </c>
      <c r="BQ537" s="39"/>
      <c r="BR537" s="40" t="str">
        <f aca="false">IF(OR(BQ537="",CH537=""),"",BQ537/CH537*100)</f>
        <v/>
      </c>
      <c r="BS537" s="41" t="str">
        <f aca="false">IF(BR537="","",IFERROR(MATCH(BR537,INDEX(Boundaries!$B$2:$I$30,MATCH(CV537,Boundaries!$A$2:$A$30,0),0),1)-1,""))</f>
        <v/>
      </c>
      <c r="BT537" s="42" t="str">
        <f aca="false">IF(OR(BS537="",$E537=""),"",BS537-$E537)</f>
        <v/>
      </c>
      <c r="BU537" s="28" t="str">
        <f aca="false">IFERROR(INDEX(Assessments!$H$2:$H$600,MATCH($H537&amp;"|"&amp;$I537&amp;"|"&amp;$J537&amp;"|"&amp;1,Assessments!$A$2:$A$600,0)),"")</f>
        <v/>
      </c>
      <c r="BV537" s="28" t="str">
        <f aca="false">IFERROR(INDEX(Assessments!$H$2:$H$600,MATCH($H537&amp;"|"&amp;$I537&amp;"|"&amp;$J537&amp;"|"&amp;2,Assessments!$A$2:$A$600,0)),"")</f>
        <v/>
      </c>
      <c r="BW537" s="28" t="str">
        <f aca="false">IFERROR(INDEX(Assessments!$H$2:$H$600,MATCH($H537&amp;"|"&amp;$I537&amp;"|"&amp;$J537&amp;"|"&amp;3,Assessments!$A$2:$A$600,0)),"")</f>
        <v/>
      </c>
      <c r="BX537" s="28" t="str">
        <f aca="false">IFERROR(INDEX(Assessments!$H$2:$H$600,MATCH($H537&amp;"|"&amp;$I537&amp;"|"&amp;$J537&amp;"|"&amp;4,Assessments!$A$2:$A$600,0)),"")</f>
        <v/>
      </c>
      <c r="BY537" s="28" t="str">
        <f aca="false">IFERROR(INDEX(Assessments!$H$2:$H$600,MATCH($H537&amp;"|"&amp;$I537&amp;"|"&amp;$J537&amp;"|"&amp;5,Assessments!$A$2:$A$600,0)),"")</f>
        <v/>
      </c>
      <c r="BZ537" s="28" t="str">
        <f aca="false">IFERROR(INDEX(Assessments!$H$2:$H$600,MATCH($H537&amp;"|"&amp;$I537&amp;"|"&amp;$J537&amp;"|"&amp;6,Assessments!$A$2:$A$600,0)),"")</f>
        <v/>
      </c>
      <c r="CA537" s="28" t="str">
        <f aca="false">IFERROR(INDEX(Assessments!$H$2:$H$600,MATCH($H537&amp;"|"&amp;$I537&amp;"|"&amp;$J537&amp;"|"&amp;7,Assessments!$A$2:$A$600,0)),"")</f>
        <v/>
      </c>
      <c r="CB537" s="28" t="str">
        <f aca="false">IFERROR(INDEX(Assessments!$H$2:$H$600,MATCH($H537&amp;"|"&amp;$I537&amp;"|"&amp;$J537&amp;"|"&amp;8,Assessments!$A$2:$A$600,0)),"")</f>
        <v/>
      </c>
      <c r="CC537" s="28" t="str">
        <f aca="false">IFERROR(INDEX(Assessments!$H$2:$H$600,MATCH($H537&amp;"|"&amp;$I537&amp;"|"&amp;$J537&amp;"|"&amp;9,Assessments!$A$2:$A$600,0)),"")</f>
        <v/>
      </c>
      <c r="CD537" s="28" t="str">
        <f aca="false">IFERROR(INDEX(Assessments!$H$2:$H$600,MATCH($H537&amp;"|"&amp;$I537&amp;"|"&amp;$J537&amp;"|"&amp;10,Assessments!$A$2:$A$600,0)),"")</f>
        <v/>
      </c>
      <c r="CE537" s="28" t="str">
        <f aca="false">IFERROR(INDEX(Assessments!$H$2:$H$600,MATCH($H537&amp;"|"&amp;$I537&amp;"|"&amp;$J537&amp;"|"&amp;11,Assessments!$A$2:$A$600,0)),"")</f>
        <v/>
      </c>
      <c r="CF537" s="28" t="str">
        <f aca="false">IFERROR(INDEX(Assessments!$H$2:$H$600,MATCH($H537&amp;"|"&amp;$I537&amp;"|"&amp;$J537&amp;"|"&amp;12,Assessments!$A$2:$A$600,0)),"")</f>
        <v/>
      </c>
      <c r="CG537" s="28" t="str">
        <f aca="false">IFERROR(INDEX(Assessments!$H$2:$H$600,MATCH($H537&amp;"|"&amp;$I537&amp;"|"&amp;$J537&amp;"|"&amp;13,Assessments!$A$2:$A$600,0)),"")</f>
        <v/>
      </c>
      <c r="CH537" s="28" t="str">
        <f aca="false">IFERROR(INDEX(Assessments!$H$2:$H$600,MATCH($H537&amp;"|"&amp;$I537&amp;"|"&amp;$J537&amp;"|"&amp;14,Assessments!$A$2:$A$600,0)),"")</f>
        <v/>
      </c>
      <c r="CI537" s="28" t="str">
        <f aca="false">IFERROR(INDEX(Assessments!$I$2:$I$600,MATCH($H537&amp;"|"&amp;$I537&amp;"|"&amp;$J537&amp;"|"&amp;1,Assessments!$A$2:$A$600,0)),"")</f>
        <v/>
      </c>
      <c r="CJ537" s="28" t="str">
        <f aca="false">IFERROR(INDEX(Assessments!$I$2:$I$600,MATCH($H537&amp;"|"&amp;$I537&amp;"|"&amp;$J537&amp;"|"&amp;2,Assessments!$A$2:$A$600,0)),"")</f>
        <v/>
      </c>
      <c r="CK537" s="28" t="str">
        <f aca="false">IFERROR(INDEX(Assessments!$I$2:$I$600,MATCH($H537&amp;"|"&amp;$I537&amp;"|"&amp;$J537&amp;"|"&amp;3,Assessments!$A$2:$A$600,0)),"")</f>
        <v/>
      </c>
      <c r="CL537" s="28" t="str">
        <f aca="false">IFERROR(INDEX(Assessments!$I$2:$I$600,MATCH($H537&amp;"|"&amp;$I537&amp;"|"&amp;$J537&amp;"|"&amp;4,Assessments!$A$2:$A$600,0)),"")</f>
        <v/>
      </c>
      <c r="CM537" s="28" t="str">
        <f aca="false">IFERROR(INDEX(Assessments!$I$2:$I$600,MATCH($H537&amp;"|"&amp;$I537&amp;"|"&amp;$J537&amp;"|"&amp;5,Assessments!$A$2:$A$600,0)),"")</f>
        <v/>
      </c>
      <c r="CN537" s="28" t="str">
        <f aca="false">IFERROR(INDEX(Assessments!$I$2:$I$600,MATCH($H537&amp;"|"&amp;$I537&amp;"|"&amp;$J537&amp;"|"&amp;6,Assessments!$A$2:$A$600,0)),"")</f>
        <v/>
      </c>
      <c r="CO537" s="28" t="str">
        <f aca="false">IFERROR(INDEX(Assessments!$I$2:$I$600,MATCH($H537&amp;"|"&amp;$I537&amp;"|"&amp;$J537&amp;"|"&amp;7,Assessments!$A$2:$A$600,0)),"")</f>
        <v/>
      </c>
      <c r="CP537" s="28" t="str">
        <f aca="false">IFERROR(INDEX(Assessments!$I$2:$I$600,MATCH($H537&amp;"|"&amp;$I537&amp;"|"&amp;$J537&amp;"|"&amp;8,Assessments!$A$2:$A$600,0)),"")</f>
        <v/>
      </c>
      <c r="CQ537" s="28" t="str">
        <f aca="false">IFERROR(INDEX(Assessments!$I$2:$I$600,MATCH($H537&amp;"|"&amp;$I537&amp;"|"&amp;$J537&amp;"|"&amp;9,Assessments!$A$2:$A$600,0)),"")</f>
        <v/>
      </c>
      <c r="CR537" s="28" t="str">
        <f aca="false">IFERROR(INDEX(Assessments!$I$2:$I$600,MATCH($H537&amp;"|"&amp;$I537&amp;"|"&amp;$J537&amp;"|"&amp;10,Assessments!$A$2:$A$600,0)),"")</f>
        <v/>
      </c>
      <c r="CS537" s="28" t="str">
        <f aca="false">IFERROR(INDEX(Assessments!$I$2:$I$600,MATCH($H537&amp;"|"&amp;$I537&amp;"|"&amp;$J537&amp;"|"&amp;11,Assessments!$A$2:$A$600,0)),"")</f>
        <v/>
      </c>
      <c r="CT537" s="28" t="str">
        <f aca="false">IFERROR(INDEX(Assessments!$I$2:$I$600,MATCH($H537&amp;"|"&amp;$I537&amp;"|"&amp;$J537&amp;"|"&amp;12,Assessments!$A$2:$A$600,0)),"")</f>
        <v/>
      </c>
      <c r="CU537" s="28" t="str">
        <f aca="false">IFERROR(INDEX(Assessments!$I$2:$I$600,MATCH($H537&amp;"|"&amp;$I537&amp;"|"&amp;$J537&amp;"|"&amp;13,Assessments!$A$2:$A$600,0)),"")</f>
        <v/>
      </c>
      <c r="CV537" s="28" t="str">
        <f aca="false">IFERROR(INDEX(Assessments!$I$2:$I$600,MATCH($H537&amp;"|"&amp;$I537&amp;"|"&amp;$J537&amp;"|"&amp;14,Assessments!$A$2:$A$600,0)),"")</f>
        <v/>
      </c>
      <c r="CW537" s="28" t="n">
        <f aca="false">IFERROR(INDEX(Assessments!$J$2:$J$600,MATCH($H537&amp;"|"&amp;$I537&amp;"|"&amp;$J537&amp;"|"&amp;1,Assessments!$A$2:$A$600,0)),0)</f>
        <v>0</v>
      </c>
      <c r="CX537" s="28" t="n">
        <f aca="false">IFERROR(INDEX(Assessments!$J$2:$J$600,MATCH($H537&amp;"|"&amp;$I537&amp;"|"&amp;$J537&amp;"|"&amp;2,Assessments!$A$2:$A$600,0)),0)</f>
        <v>0</v>
      </c>
      <c r="CY537" s="28" t="n">
        <f aca="false">IFERROR(INDEX(Assessments!$J$2:$J$600,MATCH($H537&amp;"|"&amp;$I537&amp;"|"&amp;$J537&amp;"|"&amp;3,Assessments!$A$2:$A$600,0)),0)</f>
        <v>0</v>
      </c>
      <c r="CZ537" s="28" t="n">
        <f aca="false">IFERROR(INDEX(Assessments!$J$2:$J$600,MATCH($H537&amp;"|"&amp;$I537&amp;"|"&amp;$J537&amp;"|"&amp;4,Assessments!$A$2:$A$600,0)),0)</f>
        <v>0</v>
      </c>
      <c r="DA537" s="28" t="n">
        <f aca="false">IFERROR(INDEX(Assessments!$J$2:$J$600,MATCH($H537&amp;"|"&amp;$I537&amp;"|"&amp;$J537&amp;"|"&amp;5,Assessments!$A$2:$A$600,0)),0)</f>
        <v>0</v>
      </c>
      <c r="DB537" s="28" t="n">
        <f aca="false">IFERROR(INDEX(Assessments!$J$2:$J$600,MATCH($H537&amp;"|"&amp;$I537&amp;"|"&amp;$J537&amp;"|"&amp;6,Assessments!$A$2:$A$600,0)),0)</f>
        <v>0</v>
      </c>
      <c r="DC537" s="28" t="n">
        <f aca="false">IFERROR(INDEX(Assessments!$J$2:$J$600,MATCH($H537&amp;"|"&amp;$I537&amp;"|"&amp;$J537&amp;"|"&amp;7,Assessments!$A$2:$A$600,0)),0)</f>
        <v>0</v>
      </c>
      <c r="DD537" s="28" t="n">
        <f aca="false">IFERROR(INDEX(Assessments!$J$2:$J$600,MATCH($H537&amp;"|"&amp;$I537&amp;"|"&amp;$J537&amp;"|"&amp;8,Assessments!$A$2:$A$600,0)),0)</f>
        <v>0</v>
      </c>
      <c r="DE537" s="28" t="n">
        <f aca="false">IFERROR(INDEX(Assessments!$J$2:$J$600,MATCH($H537&amp;"|"&amp;$I537&amp;"|"&amp;$J537&amp;"|"&amp;9,Assessments!$A$2:$A$600,0)),0)</f>
        <v>0</v>
      </c>
      <c r="DF537" s="28" t="n">
        <f aca="false">IFERROR(INDEX(Assessments!$J$2:$J$600,MATCH($H537&amp;"|"&amp;$I537&amp;"|"&amp;$J537&amp;"|"&amp;10,Assessments!$A$2:$A$600,0)),0)</f>
        <v>0</v>
      </c>
      <c r="DG537" s="28" t="n">
        <f aca="false">IFERROR(INDEX(Assessments!$J$2:$J$600,MATCH($H537&amp;"|"&amp;$I537&amp;"|"&amp;$J537&amp;"|"&amp;11,Assessments!$A$2:$A$600,0)),0)</f>
        <v>0</v>
      </c>
      <c r="DH537" s="28" t="n">
        <f aca="false">IFERROR(INDEX(Assessments!$J$2:$J$600,MATCH($H537&amp;"|"&amp;$I537&amp;"|"&amp;$J537&amp;"|"&amp;12,Assessments!$A$2:$A$600,0)),0)</f>
        <v>0</v>
      </c>
      <c r="DI537" s="28" t="n">
        <f aca="false">IFERROR(INDEX(Assessments!$J$2:$J$600,MATCH($H537&amp;"|"&amp;$I537&amp;"|"&amp;$J537&amp;"|"&amp;13,Assessments!$A$2:$A$600,0)),0)</f>
        <v>0</v>
      </c>
      <c r="DJ537" s="28" t="n">
        <f aca="false">IFERROR(INDEX(Assessments!$J$2:$J$600,MATCH($H537&amp;"|"&amp;$I537&amp;"|"&amp;$J537&amp;"|"&amp;14,Assessments!$A$2:$A$600,0)),0)</f>
        <v>0</v>
      </c>
      <c r="DK537" s="28" t="str">
        <f aca="false">S537</f>
        <v/>
      </c>
      <c r="DL537" s="28" t="str">
        <f aca="false">W537</f>
        <v/>
      </c>
      <c r="DM537" s="28" t="str">
        <f aca="false">AA537</f>
        <v/>
      </c>
      <c r="DN537" s="28" t="str">
        <f aca="false">AE537</f>
        <v/>
      </c>
      <c r="DO537" s="28" t="str">
        <f aca="false">AI537</f>
        <v/>
      </c>
      <c r="DP537" s="28" t="str">
        <f aca="false">AM537</f>
        <v/>
      </c>
      <c r="DQ537" s="28" t="str">
        <f aca="false">AQ537</f>
        <v/>
      </c>
      <c r="DR537" s="28" t="str">
        <f aca="false">AU537</f>
        <v/>
      </c>
      <c r="DS537" s="28" t="str">
        <f aca="false">AY537</f>
        <v/>
      </c>
      <c r="DT537" s="28" t="str">
        <f aca="false">BC537</f>
        <v/>
      </c>
      <c r="DU537" s="28" t="str">
        <f aca="false">BG537</f>
        <v/>
      </c>
      <c r="DV537" s="28" t="str">
        <f aca="false">BK537</f>
        <v/>
      </c>
      <c r="DW537" s="28" t="str">
        <f aca="false">BO537</f>
        <v/>
      </c>
      <c r="DX537" s="28" t="str">
        <f aca="false">BS537</f>
        <v/>
      </c>
      <c r="DY537" s="28" t="str">
        <f aca="false">IF(ISNUMBER(S537),1,"")</f>
        <v/>
      </c>
      <c r="DZ537" s="28" t="str">
        <f aca="false">IF(ISNUMBER(W537),2,"")</f>
        <v/>
      </c>
      <c r="EA537" s="28" t="str">
        <f aca="false">IF(ISNUMBER(AA537),3,"")</f>
        <v/>
      </c>
      <c r="EB537" s="28" t="str">
        <f aca="false">IF(ISNUMBER(AE537),4,"")</f>
        <v/>
      </c>
      <c r="EC537" s="28" t="str">
        <f aca="false">IF(ISNUMBER(AI537),5,"")</f>
        <v/>
      </c>
      <c r="ED537" s="28" t="str">
        <f aca="false">IF(ISNUMBER(AM537),6,"")</f>
        <v/>
      </c>
      <c r="EE537" s="28" t="str">
        <f aca="false">IF(ISNUMBER(AQ537),7,"")</f>
        <v/>
      </c>
      <c r="EF537" s="28" t="str">
        <f aca="false">IF(ISNUMBER(AU537),8,"")</f>
        <v/>
      </c>
      <c r="EG537" s="28" t="str">
        <f aca="false">IF(ISNUMBER(AY537),9,"")</f>
        <v/>
      </c>
      <c r="EH537" s="28" t="str">
        <f aca="false">IF(ISNUMBER(BC537),10,"")</f>
        <v/>
      </c>
      <c r="EI537" s="28" t="str">
        <f aca="false">IF(ISNUMBER(BG537),11,"")</f>
        <v/>
      </c>
      <c r="EJ537" s="28" t="str">
        <f aca="false">IF(ISNUMBER(BK537),12,"")</f>
        <v/>
      </c>
      <c r="EK537" s="28" t="str">
        <f aca="false">IF(ISNUMBER(BO537),13,"")</f>
        <v/>
      </c>
      <c r="EL537" s="28" t="str">
        <f aca="false">IF(ISNUMBER(BS537),14,"")</f>
        <v/>
      </c>
      <c r="EM537" s="28" t="n">
        <f aca="false">IF(ISNUMBER(R537),R537*CW537,0)</f>
        <v>0</v>
      </c>
      <c r="EN537" s="28" t="n">
        <f aca="false">IF(ISNUMBER(V537),V537*CX537,0)</f>
        <v>0</v>
      </c>
      <c r="EO537" s="28" t="n">
        <f aca="false">IF(ISNUMBER(Z537),Z537*CY537,0)</f>
        <v>0</v>
      </c>
      <c r="EP537" s="28" t="n">
        <f aca="false">IF(ISNUMBER(AD537),AD537*CZ537,0)</f>
        <v>0</v>
      </c>
      <c r="EQ537" s="28" t="n">
        <f aca="false">IF(ISNUMBER(AH537),AH537*DA537,0)</f>
        <v>0</v>
      </c>
      <c r="ER537" s="28" t="n">
        <f aca="false">IF(ISNUMBER(AL537),AL537*DB537,0)</f>
        <v>0</v>
      </c>
      <c r="ES537" s="28" t="n">
        <f aca="false">IF(ISNUMBER(AP537),AP537*DC537,0)</f>
        <v>0</v>
      </c>
      <c r="ET537" s="28" t="n">
        <f aca="false">IF(ISNUMBER(AT537),AT537*DD537,0)</f>
        <v>0</v>
      </c>
      <c r="EU537" s="28" t="n">
        <f aca="false">IF(ISNUMBER(AX537),AX537*DE537,0)</f>
        <v>0</v>
      </c>
      <c r="EV537" s="28" t="n">
        <f aca="false">IF(ISNUMBER(BB537),BB537*DF537,0)</f>
        <v>0</v>
      </c>
      <c r="EW537" s="28" t="n">
        <f aca="false">IF(ISNUMBER(BF537),BF537*DG537,0)</f>
        <v>0</v>
      </c>
      <c r="EX537" s="28" t="n">
        <f aca="false">IF(ISNUMBER(BJ537),BJ537*DH537,0)</f>
        <v>0</v>
      </c>
      <c r="EY537" s="28" t="n">
        <f aca="false">IF(ISNUMBER(BN537),BN537*DI537,0)</f>
        <v>0</v>
      </c>
      <c r="EZ537" s="28" t="n">
        <f aca="false">IF(ISNUMBER(BR537),BR537*DJ537,0)</f>
        <v>0</v>
      </c>
      <c r="FA537" s="28" t="n">
        <f aca="false">IF(ISNUMBER(R537),CW537,0)</f>
        <v>0</v>
      </c>
      <c r="FB537" s="28" t="n">
        <f aca="false">IF(ISNUMBER(V537),CX537,0)</f>
        <v>0</v>
      </c>
      <c r="FC537" s="28" t="n">
        <f aca="false">IF(ISNUMBER(Z537),CY537,0)</f>
        <v>0</v>
      </c>
      <c r="FD537" s="28" t="n">
        <f aca="false">IF(ISNUMBER(AD537),CZ537,0)</f>
        <v>0</v>
      </c>
      <c r="FE537" s="28" t="n">
        <f aca="false">IF(ISNUMBER(AH537),DA537,0)</f>
        <v>0</v>
      </c>
      <c r="FF537" s="28" t="n">
        <f aca="false">IF(ISNUMBER(AL537),DB537,0)</f>
        <v>0</v>
      </c>
      <c r="FG537" s="28" t="n">
        <f aca="false">IF(ISNUMBER(AP537),DC537,0)</f>
        <v>0</v>
      </c>
      <c r="FH537" s="28" t="n">
        <f aca="false">IF(ISNUMBER(AT537),DD537,0)</f>
        <v>0</v>
      </c>
      <c r="FI537" s="28" t="n">
        <f aca="false">IF(ISNUMBER(AX537),DE537,0)</f>
        <v>0</v>
      </c>
      <c r="FJ537" s="28" t="n">
        <f aca="false">IF(ISNUMBER(BB537),DF537,0)</f>
        <v>0</v>
      </c>
      <c r="FK537" s="28" t="n">
        <f aca="false">IF(ISNUMBER(BF537),DG537,0)</f>
        <v>0</v>
      </c>
      <c r="FL537" s="28" t="n">
        <f aca="false">IF(ISNUMBER(BJ537),DH537,0)</f>
        <v>0</v>
      </c>
      <c r="FM537" s="28" t="n">
        <f aca="false">IF(ISNUMBER(BN537),DI537,0)</f>
        <v>0</v>
      </c>
      <c r="FN537" s="28" t="n">
        <f aca="false">IF(ISNUMBER(BR537),DJ537,0)</f>
        <v>0</v>
      </c>
      <c r="FO537" s="28" t="str">
        <f aca="false">IFERROR(INDEX(Lists!$G$2:$G$20,MATCH($I537&amp;"|"&amp;$J537,Lists!$F$2:$F$20,0)),"")</f>
        <v/>
      </c>
    </row>
    <row r="538" customFormat="false" ht="19.5" hidden="false" customHeight="true" outlineLevel="0" collapsed="false">
      <c r="A538" s="29"/>
      <c r="B538" s="29"/>
      <c r="C538" s="30"/>
      <c r="D538" s="30"/>
      <c r="E538" s="31"/>
      <c r="F538" s="30"/>
      <c r="G538" s="30"/>
      <c r="H538" s="32"/>
      <c r="I538" s="33"/>
      <c r="J538" s="32"/>
      <c r="K538" s="34" t="str">
        <f aca="false">IF(OR(M538="",$E538=""),"",M538-$E538)</f>
        <v/>
      </c>
      <c r="L538" s="35" t="str">
        <f aca="false">IF(SUM(FA538:FN538)=0,"",SUM(EM538:EZ538)/SUM(FA538:FN538))</f>
        <v/>
      </c>
      <c r="M538" s="36" t="str">
        <f aca="false">IF(OR(L538="",FO538=""),"",IFERROR(MATCH(L538,INDEX(Boundaries!$B$2:$I$30,MATCH(FO538,Boundaries!$A$2:$A$30,0),0),1)-1,""))</f>
        <v/>
      </c>
      <c r="N538" s="37" t="str">
        <f aca="false">IF(COUNT($DY538:$EL538)&lt;2,"",INDEX($DK538:$DX538,MAX($DY538:$EL538))-INDEX($DK538:$DX538,MIN($DY538:$EL538)))</f>
        <v/>
      </c>
      <c r="O538" s="37" t="str">
        <f aca="false">IF(COUNT($DY538:$EL538)&lt;2,"",INDEX($DK538:$DX538,MAX($DY538:$EL538))-INDEX($DK538:$DX538,LARGE($DY538:$EL538,2)))</f>
        <v/>
      </c>
      <c r="P538" s="38" t="str">
        <f aca="false">IF(K538="","",IF(K538&gt;=0,"On/above target",IF(AND(N538&lt;&gt;"",N538&gt;=0.5),"Improving towards target",IF(AND(O538&lt;&gt;"",O538&lt;=-0.5),"Declining","Stable below target"))))</f>
        <v/>
      </c>
      <c r="Q538" s="39"/>
      <c r="R538" s="40" t="str">
        <f aca="false">IF(OR(Q538="",BU538=""),"",Q538/BU538*100)</f>
        <v/>
      </c>
      <c r="S538" s="41" t="str">
        <f aca="false">IF(R538="","",IFERROR(MATCH(R538,INDEX(Boundaries!$B$2:$I$30,MATCH(CI538,Boundaries!$A$2:$A$30,0),0),1)-1,""))</f>
        <v/>
      </c>
      <c r="T538" s="42" t="str">
        <f aca="false">IF(OR(S538="",$E538=""),"",S538-$E538)</f>
        <v/>
      </c>
      <c r="U538" s="39"/>
      <c r="V538" s="40" t="str">
        <f aca="false">IF(OR(U538="",BV538=""),"",U538/BV538*100)</f>
        <v/>
      </c>
      <c r="W538" s="41" t="str">
        <f aca="false">IF(V538="","",IFERROR(MATCH(V538,INDEX(Boundaries!$B$2:$I$30,MATCH(CJ538,Boundaries!$A$2:$A$30,0),0),1)-1,""))</f>
        <v/>
      </c>
      <c r="X538" s="42" t="str">
        <f aca="false">IF(OR(W538="",$E538=""),"",W538-$E538)</f>
        <v/>
      </c>
      <c r="Y538" s="39"/>
      <c r="Z538" s="40" t="str">
        <f aca="false">IF(OR(Y538="",BW538=""),"",Y538/BW538*100)</f>
        <v/>
      </c>
      <c r="AA538" s="41" t="str">
        <f aca="false">IF(Z538="","",IFERROR(MATCH(Z538,INDEX(Boundaries!$B$2:$I$30,MATCH(CK538,Boundaries!$A$2:$A$30,0),0),1)-1,""))</f>
        <v/>
      </c>
      <c r="AB538" s="42" t="str">
        <f aca="false">IF(OR(AA538="",$E538=""),"",AA538-$E538)</f>
        <v/>
      </c>
      <c r="AC538" s="39"/>
      <c r="AD538" s="40" t="str">
        <f aca="false">IF(OR(AC538="",BX538=""),"",AC538/BX538*100)</f>
        <v/>
      </c>
      <c r="AE538" s="41" t="str">
        <f aca="false">IF(AD538="","",IFERROR(MATCH(AD538,INDEX(Boundaries!$B$2:$I$30,MATCH(CL538,Boundaries!$A$2:$A$30,0),0),1)-1,""))</f>
        <v/>
      </c>
      <c r="AF538" s="42" t="str">
        <f aca="false">IF(OR(AE538="",$E538=""),"",AE538-$E538)</f>
        <v/>
      </c>
      <c r="AG538" s="39"/>
      <c r="AH538" s="40" t="str">
        <f aca="false">IF(OR(AG538="",BY538=""),"",AG538/BY538*100)</f>
        <v/>
      </c>
      <c r="AI538" s="41" t="str">
        <f aca="false">IF(AH538="","",IFERROR(MATCH(AH538,INDEX(Boundaries!$B$2:$I$30,MATCH(CM538,Boundaries!$A$2:$A$30,0),0),1)-1,""))</f>
        <v/>
      </c>
      <c r="AJ538" s="42" t="str">
        <f aca="false">IF(OR(AI538="",$E538=""),"",AI538-$E538)</f>
        <v/>
      </c>
      <c r="AK538" s="39"/>
      <c r="AL538" s="40" t="str">
        <f aca="false">IF(OR(AK538="",BZ538=""),"",AK538/BZ538*100)</f>
        <v/>
      </c>
      <c r="AM538" s="41" t="str">
        <f aca="false">IF(AL538="","",IFERROR(MATCH(AL538,INDEX(Boundaries!$B$2:$I$30,MATCH(CN538,Boundaries!$A$2:$A$30,0),0),1)-1,""))</f>
        <v/>
      </c>
      <c r="AN538" s="42" t="str">
        <f aca="false">IF(OR(AM538="",$E538=""),"",AM538-$E538)</f>
        <v/>
      </c>
      <c r="AO538" s="39"/>
      <c r="AP538" s="40" t="str">
        <f aca="false">IF(OR(AO538="",CA538=""),"",AO538/CA538*100)</f>
        <v/>
      </c>
      <c r="AQ538" s="41" t="str">
        <f aca="false">IF(AP538="","",IFERROR(MATCH(AP538,INDEX(Boundaries!$B$2:$I$30,MATCH(CO538,Boundaries!$A$2:$A$30,0),0),1)-1,""))</f>
        <v/>
      </c>
      <c r="AR538" s="42" t="str">
        <f aca="false">IF(OR(AQ538="",$E538=""),"",AQ538-$E538)</f>
        <v/>
      </c>
      <c r="AS538" s="39"/>
      <c r="AT538" s="40" t="str">
        <f aca="false">IF(OR(AS538="",CB538=""),"",AS538/CB538*100)</f>
        <v/>
      </c>
      <c r="AU538" s="41" t="str">
        <f aca="false">IF(AT538="","",IFERROR(MATCH(AT538,INDEX(Boundaries!$B$2:$I$30,MATCH(CP538,Boundaries!$A$2:$A$30,0),0),1)-1,""))</f>
        <v/>
      </c>
      <c r="AV538" s="42" t="str">
        <f aca="false">IF(OR(AU538="",$E538=""),"",AU538-$E538)</f>
        <v/>
      </c>
      <c r="AW538" s="39"/>
      <c r="AX538" s="40" t="str">
        <f aca="false">IF(OR(AW538="",CC538=""),"",AW538/CC538*100)</f>
        <v/>
      </c>
      <c r="AY538" s="41" t="str">
        <f aca="false">IF(AX538="","",IFERROR(MATCH(AX538,INDEX(Boundaries!$B$2:$I$30,MATCH(CQ538,Boundaries!$A$2:$A$30,0),0),1)-1,""))</f>
        <v/>
      </c>
      <c r="AZ538" s="42" t="str">
        <f aca="false">IF(OR(AY538="",$E538=""),"",AY538-$E538)</f>
        <v/>
      </c>
      <c r="BA538" s="39"/>
      <c r="BB538" s="40" t="str">
        <f aca="false">IF(OR(BA538="",CD538=""),"",BA538/CD538*100)</f>
        <v/>
      </c>
      <c r="BC538" s="41" t="str">
        <f aca="false">IF(BB538="","",IFERROR(MATCH(BB538,INDEX(Boundaries!$B$2:$I$30,MATCH(CR538,Boundaries!$A$2:$A$30,0),0),1)-1,""))</f>
        <v/>
      </c>
      <c r="BD538" s="42" t="str">
        <f aca="false">IF(OR(BC538="",$E538=""),"",BC538-$E538)</f>
        <v/>
      </c>
      <c r="BE538" s="39"/>
      <c r="BF538" s="40" t="str">
        <f aca="false">IF(OR(BE538="",CE538=""),"",BE538/CE538*100)</f>
        <v/>
      </c>
      <c r="BG538" s="41" t="str">
        <f aca="false">IF(BF538="","",IFERROR(MATCH(BF538,INDEX(Boundaries!$B$2:$I$30,MATCH(CS538,Boundaries!$A$2:$A$30,0),0),1)-1,""))</f>
        <v/>
      </c>
      <c r="BH538" s="42" t="str">
        <f aca="false">IF(OR(BG538="",$E538=""),"",BG538-$E538)</f>
        <v/>
      </c>
      <c r="BI538" s="39"/>
      <c r="BJ538" s="40" t="str">
        <f aca="false">IF(OR(BI538="",CF538=""),"",BI538/CF538*100)</f>
        <v/>
      </c>
      <c r="BK538" s="41" t="str">
        <f aca="false">IF(BJ538="","",IFERROR(MATCH(BJ538,INDEX(Boundaries!$B$2:$I$30,MATCH(CT538,Boundaries!$A$2:$A$30,0),0),1)-1,""))</f>
        <v/>
      </c>
      <c r="BL538" s="42" t="str">
        <f aca="false">IF(OR(BK538="",$E538=""),"",BK538-$E538)</f>
        <v/>
      </c>
      <c r="BM538" s="39"/>
      <c r="BN538" s="40" t="str">
        <f aca="false">IF(OR(BM538="",CG538=""),"",BM538/CG538*100)</f>
        <v/>
      </c>
      <c r="BO538" s="41" t="str">
        <f aca="false">IF(BN538="","",IFERROR(MATCH(BN538,INDEX(Boundaries!$B$2:$I$30,MATCH(CU538,Boundaries!$A$2:$A$30,0),0),1)-1,""))</f>
        <v/>
      </c>
      <c r="BP538" s="42" t="str">
        <f aca="false">IF(OR(BO538="",$E538=""),"",BO538-$E538)</f>
        <v/>
      </c>
      <c r="BQ538" s="39"/>
      <c r="BR538" s="40" t="str">
        <f aca="false">IF(OR(BQ538="",CH538=""),"",BQ538/CH538*100)</f>
        <v/>
      </c>
      <c r="BS538" s="41" t="str">
        <f aca="false">IF(BR538="","",IFERROR(MATCH(BR538,INDEX(Boundaries!$B$2:$I$30,MATCH(CV538,Boundaries!$A$2:$A$30,0),0),1)-1,""))</f>
        <v/>
      </c>
      <c r="BT538" s="42" t="str">
        <f aca="false">IF(OR(BS538="",$E538=""),"",BS538-$E538)</f>
        <v/>
      </c>
      <c r="BU538" s="28" t="str">
        <f aca="false">IFERROR(INDEX(Assessments!$H$2:$H$600,MATCH($H538&amp;"|"&amp;$I538&amp;"|"&amp;$J538&amp;"|"&amp;1,Assessments!$A$2:$A$600,0)),"")</f>
        <v/>
      </c>
      <c r="BV538" s="28" t="str">
        <f aca="false">IFERROR(INDEX(Assessments!$H$2:$H$600,MATCH($H538&amp;"|"&amp;$I538&amp;"|"&amp;$J538&amp;"|"&amp;2,Assessments!$A$2:$A$600,0)),"")</f>
        <v/>
      </c>
      <c r="BW538" s="28" t="str">
        <f aca="false">IFERROR(INDEX(Assessments!$H$2:$H$600,MATCH($H538&amp;"|"&amp;$I538&amp;"|"&amp;$J538&amp;"|"&amp;3,Assessments!$A$2:$A$600,0)),"")</f>
        <v/>
      </c>
      <c r="BX538" s="28" t="str">
        <f aca="false">IFERROR(INDEX(Assessments!$H$2:$H$600,MATCH($H538&amp;"|"&amp;$I538&amp;"|"&amp;$J538&amp;"|"&amp;4,Assessments!$A$2:$A$600,0)),"")</f>
        <v/>
      </c>
      <c r="BY538" s="28" t="str">
        <f aca="false">IFERROR(INDEX(Assessments!$H$2:$H$600,MATCH($H538&amp;"|"&amp;$I538&amp;"|"&amp;$J538&amp;"|"&amp;5,Assessments!$A$2:$A$600,0)),"")</f>
        <v/>
      </c>
      <c r="BZ538" s="28" t="str">
        <f aca="false">IFERROR(INDEX(Assessments!$H$2:$H$600,MATCH($H538&amp;"|"&amp;$I538&amp;"|"&amp;$J538&amp;"|"&amp;6,Assessments!$A$2:$A$600,0)),"")</f>
        <v/>
      </c>
      <c r="CA538" s="28" t="str">
        <f aca="false">IFERROR(INDEX(Assessments!$H$2:$H$600,MATCH($H538&amp;"|"&amp;$I538&amp;"|"&amp;$J538&amp;"|"&amp;7,Assessments!$A$2:$A$600,0)),"")</f>
        <v/>
      </c>
      <c r="CB538" s="28" t="str">
        <f aca="false">IFERROR(INDEX(Assessments!$H$2:$H$600,MATCH($H538&amp;"|"&amp;$I538&amp;"|"&amp;$J538&amp;"|"&amp;8,Assessments!$A$2:$A$600,0)),"")</f>
        <v/>
      </c>
      <c r="CC538" s="28" t="str">
        <f aca="false">IFERROR(INDEX(Assessments!$H$2:$H$600,MATCH($H538&amp;"|"&amp;$I538&amp;"|"&amp;$J538&amp;"|"&amp;9,Assessments!$A$2:$A$600,0)),"")</f>
        <v/>
      </c>
      <c r="CD538" s="28" t="str">
        <f aca="false">IFERROR(INDEX(Assessments!$H$2:$H$600,MATCH($H538&amp;"|"&amp;$I538&amp;"|"&amp;$J538&amp;"|"&amp;10,Assessments!$A$2:$A$600,0)),"")</f>
        <v/>
      </c>
      <c r="CE538" s="28" t="str">
        <f aca="false">IFERROR(INDEX(Assessments!$H$2:$H$600,MATCH($H538&amp;"|"&amp;$I538&amp;"|"&amp;$J538&amp;"|"&amp;11,Assessments!$A$2:$A$600,0)),"")</f>
        <v/>
      </c>
      <c r="CF538" s="28" t="str">
        <f aca="false">IFERROR(INDEX(Assessments!$H$2:$H$600,MATCH($H538&amp;"|"&amp;$I538&amp;"|"&amp;$J538&amp;"|"&amp;12,Assessments!$A$2:$A$600,0)),"")</f>
        <v/>
      </c>
      <c r="CG538" s="28" t="str">
        <f aca="false">IFERROR(INDEX(Assessments!$H$2:$H$600,MATCH($H538&amp;"|"&amp;$I538&amp;"|"&amp;$J538&amp;"|"&amp;13,Assessments!$A$2:$A$600,0)),"")</f>
        <v/>
      </c>
      <c r="CH538" s="28" t="str">
        <f aca="false">IFERROR(INDEX(Assessments!$H$2:$H$600,MATCH($H538&amp;"|"&amp;$I538&amp;"|"&amp;$J538&amp;"|"&amp;14,Assessments!$A$2:$A$600,0)),"")</f>
        <v/>
      </c>
      <c r="CI538" s="28" t="str">
        <f aca="false">IFERROR(INDEX(Assessments!$I$2:$I$600,MATCH($H538&amp;"|"&amp;$I538&amp;"|"&amp;$J538&amp;"|"&amp;1,Assessments!$A$2:$A$600,0)),"")</f>
        <v/>
      </c>
      <c r="CJ538" s="28" t="str">
        <f aca="false">IFERROR(INDEX(Assessments!$I$2:$I$600,MATCH($H538&amp;"|"&amp;$I538&amp;"|"&amp;$J538&amp;"|"&amp;2,Assessments!$A$2:$A$600,0)),"")</f>
        <v/>
      </c>
      <c r="CK538" s="28" t="str">
        <f aca="false">IFERROR(INDEX(Assessments!$I$2:$I$600,MATCH($H538&amp;"|"&amp;$I538&amp;"|"&amp;$J538&amp;"|"&amp;3,Assessments!$A$2:$A$600,0)),"")</f>
        <v/>
      </c>
      <c r="CL538" s="28" t="str">
        <f aca="false">IFERROR(INDEX(Assessments!$I$2:$I$600,MATCH($H538&amp;"|"&amp;$I538&amp;"|"&amp;$J538&amp;"|"&amp;4,Assessments!$A$2:$A$600,0)),"")</f>
        <v/>
      </c>
      <c r="CM538" s="28" t="str">
        <f aca="false">IFERROR(INDEX(Assessments!$I$2:$I$600,MATCH($H538&amp;"|"&amp;$I538&amp;"|"&amp;$J538&amp;"|"&amp;5,Assessments!$A$2:$A$600,0)),"")</f>
        <v/>
      </c>
      <c r="CN538" s="28" t="str">
        <f aca="false">IFERROR(INDEX(Assessments!$I$2:$I$600,MATCH($H538&amp;"|"&amp;$I538&amp;"|"&amp;$J538&amp;"|"&amp;6,Assessments!$A$2:$A$600,0)),"")</f>
        <v/>
      </c>
      <c r="CO538" s="28" t="str">
        <f aca="false">IFERROR(INDEX(Assessments!$I$2:$I$600,MATCH($H538&amp;"|"&amp;$I538&amp;"|"&amp;$J538&amp;"|"&amp;7,Assessments!$A$2:$A$600,0)),"")</f>
        <v/>
      </c>
      <c r="CP538" s="28" t="str">
        <f aca="false">IFERROR(INDEX(Assessments!$I$2:$I$600,MATCH($H538&amp;"|"&amp;$I538&amp;"|"&amp;$J538&amp;"|"&amp;8,Assessments!$A$2:$A$600,0)),"")</f>
        <v/>
      </c>
      <c r="CQ538" s="28" t="str">
        <f aca="false">IFERROR(INDEX(Assessments!$I$2:$I$600,MATCH($H538&amp;"|"&amp;$I538&amp;"|"&amp;$J538&amp;"|"&amp;9,Assessments!$A$2:$A$600,0)),"")</f>
        <v/>
      </c>
      <c r="CR538" s="28" t="str">
        <f aca="false">IFERROR(INDEX(Assessments!$I$2:$I$600,MATCH($H538&amp;"|"&amp;$I538&amp;"|"&amp;$J538&amp;"|"&amp;10,Assessments!$A$2:$A$600,0)),"")</f>
        <v/>
      </c>
      <c r="CS538" s="28" t="str">
        <f aca="false">IFERROR(INDEX(Assessments!$I$2:$I$600,MATCH($H538&amp;"|"&amp;$I538&amp;"|"&amp;$J538&amp;"|"&amp;11,Assessments!$A$2:$A$600,0)),"")</f>
        <v/>
      </c>
      <c r="CT538" s="28" t="str">
        <f aca="false">IFERROR(INDEX(Assessments!$I$2:$I$600,MATCH($H538&amp;"|"&amp;$I538&amp;"|"&amp;$J538&amp;"|"&amp;12,Assessments!$A$2:$A$600,0)),"")</f>
        <v/>
      </c>
      <c r="CU538" s="28" t="str">
        <f aca="false">IFERROR(INDEX(Assessments!$I$2:$I$600,MATCH($H538&amp;"|"&amp;$I538&amp;"|"&amp;$J538&amp;"|"&amp;13,Assessments!$A$2:$A$600,0)),"")</f>
        <v/>
      </c>
      <c r="CV538" s="28" t="str">
        <f aca="false">IFERROR(INDEX(Assessments!$I$2:$I$600,MATCH($H538&amp;"|"&amp;$I538&amp;"|"&amp;$J538&amp;"|"&amp;14,Assessments!$A$2:$A$600,0)),"")</f>
        <v/>
      </c>
      <c r="CW538" s="28" t="n">
        <f aca="false">IFERROR(INDEX(Assessments!$J$2:$J$600,MATCH($H538&amp;"|"&amp;$I538&amp;"|"&amp;$J538&amp;"|"&amp;1,Assessments!$A$2:$A$600,0)),0)</f>
        <v>0</v>
      </c>
      <c r="CX538" s="28" t="n">
        <f aca="false">IFERROR(INDEX(Assessments!$J$2:$J$600,MATCH($H538&amp;"|"&amp;$I538&amp;"|"&amp;$J538&amp;"|"&amp;2,Assessments!$A$2:$A$600,0)),0)</f>
        <v>0</v>
      </c>
      <c r="CY538" s="28" t="n">
        <f aca="false">IFERROR(INDEX(Assessments!$J$2:$J$600,MATCH($H538&amp;"|"&amp;$I538&amp;"|"&amp;$J538&amp;"|"&amp;3,Assessments!$A$2:$A$600,0)),0)</f>
        <v>0</v>
      </c>
      <c r="CZ538" s="28" t="n">
        <f aca="false">IFERROR(INDEX(Assessments!$J$2:$J$600,MATCH($H538&amp;"|"&amp;$I538&amp;"|"&amp;$J538&amp;"|"&amp;4,Assessments!$A$2:$A$600,0)),0)</f>
        <v>0</v>
      </c>
      <c r="DA538" s="28" t="n">
        <f aca="false">IFERROR(INDEX(Assessments!$J$2:$J$600,MATCH($H538&amp;"|"&amp;$I538&amp;"|"&amp;$J538&amp;"|"&amp;5,Assessments!$A$2:$A$600,0)),0)</f>
        <v>0</v>
      </c>
      <c r="DB538" s="28" t="n">
        <f aca="false">IFERROR(INDEX(Assessments!$J$2:$J$600,MATCH($H538&amp;"|"&amp;$I538&amp;"|"&amp;$J538&amp;"|"&amp;6,Assessments!$A$2:$A$600,0)),0)</f>
        <v>0</v>
      </c>
      <c r="DC538" s="28" t="n">
        <f aca="false">IFERROR(INDEX(Assessments!$J$2:$J$600,MATCH($H538&amp;"|"&amp;$I538&amp;"|"&amp;$J538&amp;"|"&amp;7,Assessments!$A$2:$A$600,0)),0)</f>
        <v>0</v>
      </c>
      <c r="DD538" s="28" t="n">
        <f aca="false">IFERROR(INDEX(Assessments!$J$2:$J$600,MATCH($H538&amp;"|"&amp;$I538&amp;"|"&amp;$J538&amp;"|"&amp;8,Assessments!$A$2:$A$600,0)),0)</f>
        <v>0</v>
      </c>
      <c r="DE538" s="28" t="n">
        <f aca="false">IFERROR(INDEX(Assessments!$J$2:$J$600,MATCH($H538&amp;"|"&amp;$I538&amp;"|"&amp;$J538&amp;"|"&amp;9,Assessments!$A$2:$A$600,0)),0)</f>
        <v>0</v>
      </c>
      <c r="DF538" s="28" t="n">
        <f aca="false">IFERROR(INDEX(Assessments!$J$2:$J$600,MATCH($H538&amp;"|"&amp;$I538&amp;"|"&amp;$J538&amp;"|"&amp;10,Assessments!$A$2:$A$600,0)),0)</f>
        <v>0</v>
      </c>
      <c r="DG538" s="28" t="n">
        <f aca="false">IFERROR(INDEX(Assessments!$J$2:$J$600,MATCH($H538&amp;"|"&amp;$I538&amp;"|"&amp;$J538&amp;"|"&amp;11,Assessments!$A$2:$A$600,0)),0)</f>
        <v>0</v>
      </c>
      <c r="DH538" s="28" t="n">
        <f aca="false">IFERROR(INDEX(Assessments!$J$2:$J$600,MATCH($H538&amp;"|"&amp;$I538&amp;"|"&amp;$J538&amp;"|"&amp;12,Assessments!$A$2:$A$600,0)),0)</f>
        <v>0</v>
      </c>
      <c r="DI538" s="28" t="n">
        <f aca="false">IFERROR(INDEX(Assessments!$J$2:$J$600,MATCH($H538&amp;"|"&amp;$I538&amp;"|"&amp;$J538&amp;"|"&amp;13,Assessments!$A$2:$A$600,0)),0)</f>
        <v>0</v>
      </c>
      <c r="DJ538" s="28" t="n">
        <f aca="false">IFERROR(INDEX(Assessments!$J$2:$J$600,MATCH($H538&amp;"|"&amp;$I538&amp;"|"&amp;$J538&amp;"|"&amp;14,Assessments!$A$2:$A$600,0)),0)</f>
        <v>0</v>
      </c>
      <c r="DK538" s="28" t="str">
        <f aca="false">S538</f>
        <v/>
      </c>
      <c r="DL538" s="28" t="str">
        <f aca="false">W538</f>
        <v/>
      </c>
      <c r="DM538" s="28" t="str">
        <f aca="false">AA538</f>
        <v/>
      </c>
      <c r="DN538" s="28" t="str">
        <f aca="false">AE538</f>
        <v/>
      </c>
      <c r="DO538" s="28" t="str">
        <f aca="false">AI538</f>
        <v/>
      </c>
      <c r="DP538" s="28" t="str">
        <f aca="false">AM538</f>
        <v/>
      </c>
      <c r="DQ538" s="28" t="str">
        <f aca="false">AQ538</f>
        <v/>
      </c>
      <c r="DR538" s="28" t="str">
        <f aca="false">AU538</f>
        <v/>
      </c>
      <c r="DS538" s="28" t="str">
        <f aca="false">AY538</f>
        <v/>
      </c>
      <c r="DT538" s="28" t="str">
        <f aca="false">BC538</f>
        <v/>
      </c>
      <c r="DU538" s="28" t="str">
        <f aca="false">BG538</f>
        <v/>
      </c>
      <c r="DV538" s="28" t="str">
        <f aca="false">BK538</f>
        <v/>
      </c>
      <c r="DW538" s="28" t="str">
        <f aca="false">BO538</f>
        <v/>
      </c>
      <c r="DX538" s="28" t="str">
        <f aca="false">BS538</f>
        <v/>
      </c>
      <c r="DY538" s="28" t="str">
        <f aca="false">IF(ISNUMBER(S538),1,"")</f>
        <v/>
      </c>
      <c r="DZ538" s="28" t="str">
        <f aca="false">IF(ISNUMBER(W538),2,"")</f>
        <v/>
      </c>
      <c r="EA538" s="28" t="str">
        <f aca="false">IF(ISNUMBER(AA538),3,"")</f>
        <v/>
      </c>
      <c r="EB538" s="28" t="str">
        <f aca="false">IF(ISNUMBER(AE538),4,"")</f>
        <v/>
      </c>
      <c r="EC538" s="28" t="str">
        <f aca="false">IF(ISNUMBER(AI538),5,"")</f>
        <v/>
      </c>
      <c r="ED538" s="28" t="str">
        <f aca="false">IF(ISNUMBER(AM538),6,"")</f>
        <v/>
      </c>
      <c r="EE538" s="28" t="str">
        <f aca="false">IF(ISNUMBER(AQ538),7,"")</f>
        <v/>
      </c>
      <c r="EF538" s="28" t="str">
        <f aca="false">IF(ISNUMBER(AU538),8,"")</f>
        <v/>
      </c>
      <c r="EG538" s="28" t="str">
        <f aca="false">IF(ISNUMBER(AY538),9,"")</f>
        <v/>
      </c>
      <c r="EH538" s="28" t="str">
        <f aca="false">IF(ISNUMBER(BC538),10,"")</f>
        <v/>
      </c>
      <c r="EI538" s="28" t="str">
        <f aca="false">IF(ISNUMBER(BG538),11,"")</f>
        <v/>
      </c>
      <c r="EJ538" s="28" t="str">
        <f aca="false">IF(ISNUMBER(BK538),12,"")</f>
        <v/>
      </c>
      <c r="EK538" s="28" t="str">
        <f aca="false">IF(ISNUMBER(BO538),13,"")</f>
        <v/>
      </c>
      <c r="EL538" s="28" t="str">
        <f aca="false">IF(ISNUMBER(BS538),14,"")</f>
        <v/>
      </c>
      <c r="EM538" s="28" t="n">
        <f aca="false">IF(ISNUMBER(R538),R538*CW538,0)</f>
        <v>0</v>
      </c>
      <c r="EN538" s="28" t="n">
        <f aca="false">IF(ISNUMBER(V538),V538*CX538,0)</f>
        <v>0</v>
      </c>
      <c r="EO538" s="28" t="n">
        <f aca="false">IF(ISNUMBER(Z538),Z538*CY538,0)</f>
        <v>0</v>
      </c>
      <c r="EP538" s="28" t="n">
        <f aca="false">IF(ISNUMBER(AD538),AD538*CZ538,0)</f>
        <v>0</v>
      </c>
      <c r="EQ538" s="28" t="n">
        <f aca="false">IF(ISNUMBER(AH538),AH538*DA538,0)</f>
        <v>0</v>
      </c>
      <c r="ER538" s="28" t="n">
        <f aca="false">IF(ISNUMBER(AL538),AL538*DB538,0)</f>
        <v>0</v>
      </c>
      <c r="ES538" s="28" t="n">
        <f aca="false">IF(ISNUMBER(AP538),AP538*DC538,0)</f>
        <v>0</v>
      </c>
      <c r="ET538" s="28" t="n">
        <f aca="false">IF(ISNUMBER(AT538),AT538*DD538,0)</f>
        <v>0</v>
      </c>
      <c r="EU538" s="28" t="n">
        <f aca="false">IF(ISNUMBER(AX538),AX538*DE538,0)</f>
        <v>0</v>
      </c>
      <c r="EV538" s="28" t="n">
        <f aca="false">IF(ISNUMBER(BB538),BB538*DF538,0)</f>
        <v>0</v>
      </c>
      <c r="EW538" s="28" t="n">
        <f aca="false">IF(ISNUMBER(BF538),BF538*DG538,0)</f>
        <v>0</v>
      </c>
      <c r="EX538" s="28" t="n">
        <f aca="false">IF(ISNUMBER(BJ538),BJ538*DH538,0)</f>
        <v>0</v>
      </c>
      <c r="EY538" s="28" t="n">
        <f aca="false">IF(ISNUMBER(BN538),BN538*DI538,0)</f>
        <v>0</v>
      </c>
      <c r="EZ538" s="28" t="n">
        <f aca="false">IF(ISNUMBER(BR538),BR538*DJ538,0)</f>
        <v>0</v>
      </c>
      <c r="FA538" s="28" t="n">
        <f aca="false">IF(ISNUMBER(R538),CW538,0)</f>
        <v>0</v>
      </c>
      <c r="FB538" s="28" t="n">
        <f aca="false">IF(ISNUMBER(V538),CX538,0)</f>
        <v>0</v>
      </c>
      <c r="FC538" s="28" t="n">
        <f aca="false">IF(ISNUMBER(Z538),CY538,0)</f>
        <v>0</v>
      </c>
      <c r="FD538" s="28" t="n">
        <f aca="false">IF(ISNUMBER(AD538),CZ538,0)</f>
        <v>0</v>
      </c>
      <c r="FE538" s="28" t="n">
        <f aca="false">IF(ISNUMBER(AH538),DA538,0)</f>
        <v>0</v>
      </c>
      <c r="FF538" s="28" t="n">
        <f aca="false">IF(ISNUMBER(AL538),DB538,0)</f>
        <v>0</v>
      </c>
      <c r="FG538" s="28" t="n">
        <f aca="false">IF(ISNUMBER(AP538),DC538,0)</f>
        <v>0</v>
      </c>
      <c r="FH538" s="28" t="n">
        <f aca="false">IF(ISNUMBER(AT538),DD538,0)</f>
        <v>0</v>
      </c>
      <c r="FI538" s="28" t="n">
        <f aca="false">IF(ISNUMBER(AX538),DE538,0)</f>
        <v>0</v>
      </c>
      <c r="FJ538" s="28" t="n">
        <f aca="false">IF(ISNUMBER(BB538),DF538,0)</f>
        <v>0</v>
      </c>
      <c r="FK538" s="28" t="n">
        <f aca="false">IF(ISNUMBER(BF538),DG538,0)</f>
        <v>0</v>
      </c>
      <c r="FL538" s="28" t="n">
        <f aca="false">IF(ISNUMBER(BJ538),DH538,0)</f>
        <v>0</v>
      </c>
      <c r="FM538" s="28" t="n">
        <f aca="false">IF(ISNUMBER(BN538),DI538,0)</f>
        <v>0</v>
      </c>
      <c r="FN538" s="28" t="n">
        <f aca="false">IF(ISNUMBER(BR538),DJ538,0)</f>
        <v>0</v>
      </c>
      <c r="FO538" s="28" t="str">
        <f aca="false">IFERROR(INDEX(Lists!$G$2:$G$20,MATCH($I538&amp;"|"&amp;$J538,Lists!$F$2:$F$20,0)),"")</f>
        <v/>
      </c>
    </row>
    <row r="539" customFormat="false" ht="19.5" hidden="false" customHeight="true" outlineLevel="0" collapsed="false">
      <c r="A539" s="29"/>
      <c r="B539" s="29"/>
      <c r="C539" s="30"/>
      <c r="D539" s="30"/>
      <c r="E539" s="31"/>
      <c r="F539" s="30"/>
      <c r="G539" s="30"/>
      <c r="H539" s="32"/>
      <c r="I539" s="33"/>
      <c r="J539" s="32"/>
      <c r="K539" s="34" t="str">
        <f aca="false">IF(OR(M539="",$E539=""),"",M539-$E539)</f>
        <v/>
      </c>
      <c r="L539" s="35" t="str">
        <f aca="false">IF(SUM(FA539:FN539)=0,"",SUM(EM539:EZ539)/SUM(FA539:FN539))</f>
        <v/>
      </c>
      <c r="M539" s="36" t="str">
        <f aca="false">IF(OR(L539="",FO539=""),"",IFERROR(MATCH(L539,INDEX(Boundaries!$B$2:$I$30,MATCH(FO539,Boundaries!$A$2:$A$30,0),0),1)-1,""))</f>
        <v/>
      </c>
      <c r="N539" s="37" t="str">
        <f aca="false">IF(COUNT($DY539:$EL539)&lt;2,"",INDEX($DK539:$DX539,MAX($DY539:$EL539))-INDEX($DK539:$DX539,MIN($DY539:$EL539)))</f>
        <v/>
      </c>
      <c r="O539" s="37" t="str">
        <f aca="false">IF(COUNT($DY539:$EL539)&lt;2,"",INDEX($DK539:$DX539,MAX($DY539:$EL539))-INDEX($DK539:$DX539,LARGE($DY539:$EL539,2)))</f>
        <v/>
      </c>
      <c r="P539" s="38" t="str">
        <f aca="false">IF(K539="","",IF(K539&gt;=0,"On/above target",IF(AND(N539&lt;&gt;"",N539&gt;=0.5),"Improving towards target",IF(AND(O539&lt;&gt;"",O539&lt;=-0.5),"Declining","Stable below target"))))</f>
        <v/>
      </c>
      <c r="Q539" s="39"/>
      <c r="R539" s="40" t="str">
        <f aca="false">IF(OR(Q539="",BU539=""),"",Q539/BU539*100)</f>
        <v/>
      </c>
      <c r="S539" s="41" t="str">
        <f aca="false">IF(R539="","",IFERROR(MATCH(R539,INDEX(Boundaries!$B$2:$I$30,MATCH(CI539,Boundaries!$A$2:$A$30,0),0),1)-1,""))</f>
        <v/>
      </c>
      <c r="T539" s="42" t="str">
        <f aca="false">IF(OR(S539="",$E539=""),"",S539-$E539)</f>
        <v/>
      </c>
      <c r="U539" s="39"/>
      <c r="V539" s="40" t="str">
        <f aca="false">IF(OR(U539="",BV539=""),"",U539/BV539*100)</f>
        <v/>
      </c>
      <c r="W539" s="41" t="str">
        <f aca="false">IF(V539="","",IFERROR(MATCH(V539,INDEX(Boundaries!$B$2:$I$30,MATCH(CJ539,Boundaries!$A$2:$A$30,0),0),1)-1,""))</f>
        <v/>
      </c>
      <c r="X539" s="42" t="str">
        <f aca="false">IF(OR(W539="",$E539=""),"",W539-$E539)</f>
        <v/>
      </c>
      <c r="Y539" s="39"/>
      <c r="Z539" s="40" t="str">
        <f aca="false">IF(OR(Y539="",BW539=""),"",Y539/BW539*100)</f>
        <v/>
      </c>
      <c r="AA539" s="41" t="str">
        <f aca="false">IF(Z539="","",IFERROR(MATCH(Z539,INDEX(Boundaries!$B$2:$I$30,MATCH(CK539,Boundaries!$A$2:$A$30,0),0),1)-1,""))</f>
        <v/>
      </c>
      <c r="AB539" s="42" t="str">
        <f aca="false">IF(OR(AA539="",$E539=""),"",AA539-$E539)</f>
        <v/>
      </c>
      <c r="AC539" s="39"/>
      <c r="AD539" s="40" t="str">
        <f aca="false">IF(OR(AC539="",BX539=""),"",AC539/BX539*100)</f>
        <v/>
      </c>
      <c r="AE539" s="41" t="str">
        <f aca="false">IF(AD539="","",IFERROR(MATCH(AD539,INDEX(Boundaries!$B$2:$I$30,MATCH(CL539,Boundaries!$A$2:$A$30,0),0),1)-1,""))</f>
        <v/>
      </c>
      <c r="AF539" s="42" t="str">
        <f aca="false">IF(OR(AE539="",$E539=""),"",AE539-$E539)</f>
        <v/>
      </c>
      <c r="AG539" s="39"/>
      <c r="AH539" s="40" t="str">
        <f aca="false">IF(OR(AG539="",BY539=""),"",AG539/BY539*100)</f>
        <v/>
      </c>
      <c r="AI539" s="41" t="str">
        <f aca="false">IF(AH539="","",IFERROR(MATCH(AH539,INDEX(Boundaries!$B$2:$I$30,MATCH(CM539,Boundaries!$A$2:$A$30,0),0),1)-1,""))</f>
        <v/>
      </c>
      <c r="AJ539" s="42" t="str">
        <f aca="false">IF(OR(AI539="",$E539=""),"",AI539-$E539)</f>
        <v/>
      </c>
      <c r="AK539" s="39"/>
      <c r="AL539" s="40" t="str">
        <f aca="false">IF(OR(AK539="",BZ539=""),"",AK539/BZ539*100)</f>
        <v/>
      </c>
      <c r="AM539" s="41" t="str">
        <f aca="false">IF(AL539="","",IFERROR(MATCH(AL539,INDEX(Boundaries!$B$2:$I$30,MATCH(CN539,Boundaries!$A$2:$A$30,0),0),1)-1,""))</f>
        <v/>
      </c>
      <c r="AN539" s="42" t="str">
        <f aca="false">IF(OR(AM539="",$E539=""),"",AM539-$E539)</f>
        <v/>
      </c>
      <c r="AO539" s="39"/>
      <c r="AP539" s="40" t="str">
        <f aca="false">IF(OR(AO539="",CA539=""),"",AO539/CA539*100)</f>
        <v/>
      </c>
      <c r="AQ539" s="41" t="str">
        <f aca="false">IF(AP539="","",IFERROR(MATCH(AP539,INDEX(Boundaries!$B$2:$I$30,MATCH(CO539,Boundaries!$A$2:$A$30,0),0),1)-1,""))</f>
        <v/>
      </c>
      <c r="AR539" s="42" t="str">
        <f aca="false">IF(OR(AQ539="",$E539=""),"",AQ539-$E539)</f>
        <v/>
      </c>
      <c r="AS539" s="39"/>
      <c r="AT539" s="40" t="str">
        <f aca="false">IF(OR(AS539="",CB539=""),"",AS539/CB539*100)</f>
        <v/>
      </c>
      <c r="AU539" s="41" t="str">
        <f aca="false">IF(AT539="","",IFERROR(MATCH(AT539,INDEX(Boundaries!$B$2:$I$30,MATCH(CP539,Boundaries!$A$2:$A$30,0),0),1)-1,""))</f>
        <v/>
      </c>
      <c r="AV539" s="42" t="str">
        <f aca="false">IF(OR(AU539="",$E539=""),"",AU539-$E539)</f>
        <v/>
      </c>
      <c r="AW539" s="39"/>
      <c r="AX539" s="40" t="str">
        <f aca="false">IF(OR(AW539="",CC539=""),"",AW539/CC539*100)</f>
        <v/>
      </c>
      <c r="AY539" s="41" t="str">
        <f aca="false">IF(AX539="","",IFERROR(MATCH(AX539,INDEX(Boundaries!$B$2:$I$30,MATCH(CQ539,Boundaries!$A$2:$A$30,0),0),1)-1,""))</f>
        <v/>
      </c>
      <c r="AZ539" s="42" t="str">
        <f aca="false">IF(OR(AY539="",$E539=""),"",AY539-$E539)</f>
        <v/>
      </c>
      <c r="BA539" s="39"/>
      <c r="BB539" s="40" t="str">
        <f aca="false">IF(OR(BA539="",CD539=""),"",BA539/CD539*100)</f>
        <v/>
      </c>
      <c r="BC539" s="41" t="str">
        <f aca="false">IF(BB539="","",IFERROR(MATCH(BB539,INDEX(Boundaries!$B$2:$I$30,MATCH(CR539,Boundaries!$A$2:$A$30,0),0),1)-1,""))</f>
        <v/>
      </c>
      <c r="BD539" s="42" t="str">
        <f aca="false">IF(OR(BC539="",$E539=""),"",BC539-$E539)</f>
        <v/>
      </c>
      <c r="BE539" s="39"/>
      <c r="BF539" s="40" t="str">
        <f aca="false">IF(OR(BE539="",CE539=""),"",BE539/CE539*100)</f>
        <v/>
      </c>
      <c r="BG539" s="41" t="str">
        <f aca="false">IF(BF539="","",IFERROR(MATCH(BF539,INDEX(Boundaries!$B$2:$I$30,MATCH(CS539,Boundaries!$A$2:$A$30,0),0),1)-1,""))</f>
        <v/>
      </c>
      <c r="BH539" s="42" t="str">
        <f aca="false">IF(OR(BG539="",$E539=""),"",BG539-$E539)</f>
        <v/>
      </c>
      <c r="BI539" s="39"/>
      <c r="BJ539" s="40" t="str">
        <f aca="false">IF(OR(BI539="",CF539=""),"",BI539/CF539*100)</f>
        <v/>
      </c>
      <c r="BK539" s="41" t="str">
        <f aca="false">IF(BJ539="","",IFERROR(MATCH(BJ539,INDEX(Boundaries!$B$2:$I$30,MATCH(CT539,Boundaries!$A$2:$A$30,0),0),1)-1,""))</f>
        <v/>
      </c>
      <c r="BL539" s="42" t="str">
        <f aca="false">IF(OR(BK539="",$E539=""),"",BK539-$E539)</f>
        <v/>
      </c>
      <c r="BM539" s="39"/>
      <c r="BN539" s="40" t="str">
        <f aca="false">IF(OR(BM539="",CG539=""),"",BM539/CG539*100)</f>
        <v/>
      </c>
      <c r="BO539" s="41" t="str">
        <f aca="false">IF(BN539="","",IFERROR(MATCH(BN539,INDEX(Boundaries!$B$2:$I$30,MATCH(CU539,Boundaries!$A$2:$A$30,0),0),1)-1,""))</f>
        <v/>
      </c>
      <c r="BP539" s="42" t="str">
        <f aca="false">IF(OR(BO539="",$E539=""),"",BO539-$E539)</f>
        <v/>
      </c>
      <c r="BQ539" s="39"/>
      <c r="BR539" s="40" t="str">
        <f aca="false">IF(OR(BQ539="",CH539=""),"",BQ539/CH539*100)</f>
        <v/>
      </c>
      <c r="BS539" s="41" t="str">
        <f aca="false">IF(BR539="","",IFERROR(MATCH(BR539,INDEX(Boundaries!$B$2:$I$30,MATCH(CV539,Boundaries!$A$2:$A$30,0),0),1)-1,""))</f>
        <v/>
      </c>
      <c r="BT539" s="42" t="str">
        <f aca="false">IF(OR(BS539="",$E539=""),"",BS539-$E539)</f>
        <v/>
      </c>
      <c r="BU539" s="28" t="str">
        <f aca="false">IFERROR(INDEX(Assessments!$H$2:$H$600,MATCH($H539&amp;"|"&amp;$I539&amp;"|"&amp;$J539&amp;"|"&amp;1,Assessments!$A$2:$A$600,0)),"")</f>
        <v/>
      </c>
      <c r="BV539" s="28" t="str">
        <f aca="false">IFERROR(INDEX(Assessments!$H$2:$H$600,MATCH($H539&amp;"|"&amp;$I539&amp;"|"&amp;$J539&amp;"|"&amp;2,Assessments!$A$2:$A$600,0)),"")</f>
        <v/>
      </c>
      <c r="BW539" s="28" t="str">
        <f aca="false">IFERROR(INDEX(Assessments!$H$2:$H$600,MATCH($H539&amp;"|"&amp;$I539&amp;"|"&amp;$J539&amp;"|"&amp;3,Assessments!$A$2:$A$600,0)),"")</f>
        <v/>
      </c>
      <c r="BX539" s="28" t="str">
        <f aca="false">IFERROR(INDEX(Assessments!$H$2:$H$600,MATCH($H539&amp;"|"&amp;$I539&amp;"|"&amp;$J539&amp;"|"&amp;4,Assessments!$A$2:$A$600,0)),"")</f>
        <v/>
      </c>
      <c r="BY539" s="28" t="str">
        <f aca="false">IFERROR(INDEX(Assessments!$H$2:$H$600,MATCH($H539&amp;"|"&amp;$I539&amp;"|"&amp;$J539&amp;"|"&amp;5,Assessments!$A$2:$A$600,0)),"")</f>
        <v/>
      </c>
      <c r="BZ539" s="28" t="str">
        <f aca="false">IFERROR(INDEX(Assessments!$H$2:$H$600,MATCH($H539&amp;"|"&amp;$I539&amp;"|"&amp;$J539&amp;"|"&amp;6,Assessments!$A$2:$A$600,0)),"")</f>
        <v/>
      </c>
      <c r="CA539" s="28" t="str">
        <f aca="false">IFERROR(INDEX(Assessments!$H$2:$H$600,MATCH($H539&amp;"|"&amp;$I539&amp;"|"&amp;$J539&amp;"|"&amp;7,Assessments!$A$2:$A$600,0)),"")</f>
        <v/>
      </c>
      <c r="CB539" s="28" t="str">
        <f aca="false">IFERROR(INDEX(Assessments!$H$2:$H$600,MATCH($H539&amp;"|"&amp;$I539&amp;"|"&amp;$J539&amp;"|"&amp;8,Assessments!$A$2:$A$600,0)),"")</f>
        <v/>
      </c>
      <c r="CC539" s="28" t="str">
        <f aca="false">IFERROR(INDEX(Assessments!$H$2:$H$600,MATCH($H539&amp;"|"&amp;$I539&amp;"|"&amp;$J539&amp;"|"&amp;9,Assessments!$A$2:$A$600,0)),"")</f>
        <v/>
      </c>
      <c r="CD539" s="28" t="str">
        <f aca="false">IFERROR(INDEX(Assessments!$H$2:$H$600,MATCH($H539&amp;"|"&amp;$I539&amp;"|"&amp;$J539&amp;"|"&amp;10,Assessments!$A$2:$A$600,0)),"")</f>
        <v/>
      </c>
      <c r="CE539" s="28" t="str">
        <f aca="false">IFERROR(INDEX(Assessments!$H$2:$H$600,MATCH($H539&amp;"|"&amp;$I539&amp;"|"&amp;$J539&amp;"|"&amp;11,Assessments!$A$2:$A$600,0)),"")</f>
        <v/>
      </c>
      <c r="CF539" s="28" t="str">
        <f aca="false">IFERROR(INDEX(Assessments!$H$2:$H$600,MATCH($H539&amp;"|"&amp;$I539&amp;"|"&amp;$J539&amp;"|"&amp;12,Assessments!$A$2:$A$600,0)),"")</f>
        <v/>
      </c>
      <c r="CG539" s="28" t="str">
        <f aca="false">IFERROR(INDEX(Assessments!$H$2:$H$600,MATCH($H539&amp;"|"&amp;$I539&amp;"|"&amp;$J539&amp;"|"&amp;13,Assessments!$A$2:$A$600,0)),"")</f>
        <v/>
      </c>
      <c r="CH539" s="28" t="str">
        <f aca="false">IFERROR(INDEX(Assessments!$H$2:$H$600,MATCH($H539&amp;"|"&amp;$I539&amp;"|"&amp;$J539&amp;"|"&amp;14,Assessments!$A$2:$A$600,0)),"")</f>
        <v/>
      </c>
      <c r="CI539" s="28" t="str">
        <f aca="false">IFERROR(INDEX(Assessments!$I$2:$I$600,MATCH($H539&amp;"|"&amp;$I539&amp;"|"&amp;$J539&amp;"|"&amp;1,Assessments!$A$2:$A$600,0)),"")</f>
        <v/>
      </c>
      <c r="CJ539" s="28" t="str">
        <f aca="false">IFERROR(INDEX(Assessments!$I$2:$I$600,MATCH($H539&amp;"|"&amp;$I539&amp;"|"&amp;$J539&amp;"|"&amp;2,Assessments!$A$2:$A$600,0)),"")</f>
        <v/>
      </c>
      <c r="CK539" s="28" t="str">
        <f aca="false">IFERROR(INDEX(Assessments!$I$2:$I$600,MATCH($H539&amp;"|"&amp;$I539&amp;"|"&amp;$J539&amp;"|"&amp;3,Assessments!$A$2:$A$600,0)),"")</f>
        <v/>
      </c>
      <c r="CL539" s="28" t="str">
        <f aca="false">IFERROR(INDEX(Assessments!$I$2:$I$600,MATCH($H539&amp;"|"&amp;$I539&amp;"|"&amp;$J539&amp;"|"&amp;4,Assessments!$A$2:$A$600,0)),"")</f>
        <v/>
      </c>
      <c r="CM539" s="28" t="str">
        <f aca="false">IFERROR(INDEX(Assessments!$I$2:$I$600,MATCH($H539&amp;"|"&amp;$I539&amp;"|"&amp;$J539&amp;"|"&amp;5,Assessments!$A$2:$A$600,0)),"")</f>
        <v/>
      </c>
      <c r="CN539" s="28" t="str">
        <f aca="false">IFERROR(INDEX(Assessments!$I$2:$I$600,MATCH($H539&amp;"|"&amp;$I539&amp;"|"&amp;$J539&amp;"|"&amp;6,Assessments!$A$2:$A$600,0)),"")</f>
        <v/>
      </c>
      <c r="CO539" s="28" t="str">
        <f aca="false">IFERROR(INDEX(Assessments!$I$2:$I$600,MATCH($H539&amp;"|"&amp;$I539&amp;"|"&amp;$J539&amp;"|"&amp;7,Assessments!$A$2:$A$600,0)),"")</f>
        <v/>
      </c>
      <c r="CP539" s="28" t="str">
        <f aca="false">IFERROR(INDEX(Assessments!$I$2:$I$600,MATCH($H539&amp;"|"&amp;$I539&amp;"|"&amp;$J539&amp;"|"&amp;8,Assessments!$A$2:$A$600,0)),"")</f>
        <v/>
      </c>
      <c r="CQ539" s="28" t="str">
        <f aca="false">IFERROR(INDEX(Assessments!$I$2:$I$600,MATCH($H539&amp;"|"&amp;$I539&amp;"|"&amp;$J539&amp;"|"&amp;9,Assessments!$A$2:$A$600,0)),"")</f>
        <v/>
      </c>
      <c r="CR539" s="28" t="str">
        <f aca="false">IFERROR(INDEX(Assessments!$I$2:$I$600,MATCH($H539&amp;"|"&amp;$I539&amp;"|"&amp;$J539&amp;"|"&amp;10,Assessments!$A$2:$A$600,0)),"")</f>
        <v/>
      </c>
      <c r="CS539" s="28" t="str">
        <f aca="false">IFERROR(INDEX(Assessments!$I$2:$I$600,MATCH($H539&amp;"|"&amp;$I539&amp;"|"&amp;$J539&amp;"|"&amp;11,Assessments!$A$2:$A$600,0)),"")</f>
        <v/>
      </c>
      <c r="CT539" s="28" t="str">
        <f aca="false">IFERROR(INDEX(Assessments!$I$2:$I$600,MATCH($H539&amp;"|"&amp;$I539&amp;"|"&amp;$J539&amp;"|"&amp;12,Assessments!$A$2:$A$600,0)),"")</f>
        <v/>
      </c>
      <c r="CU539" s="28" t="str">
        <f aca="false">IFERROR(INDEX(Assessments!$I$2:$I$600,MATCH($H539&amp;"|"&amp;$I539&amp;"|"&amp;$J539&amp;"|"&amp;13,Assessments!$A$2:$A$600,0)),"")</f>
        <v/>
      </c>
      <c r="CV539" s="28" t="str">
        <f aca="false">IFERROR(INDEX(Assessments!$I$2:$I$600,MATCH($H539&amp;"|"&amp;$I539&amp;"|"&amp;$J539&amp;"|"&amp;14,Assessments!$A$2:$A$600,0)),"")</f>
        <v/>
      </c>
      <c r="CW539" s="28" t="n">
        <f aca="false">IFERROR(INDEX(Assessments!$J$2:$J$600,MATCH($H539&amp;"|"&amp;$I539&amp;"|"&amp;$J539&amp;"|"&amp;1,Assessments!$A$2:$A$600,0)),0)</f>
        <v>0</v>
      </c>
      <c r="CX539" s="28" t="n">
        <f aca="false">IFERROR(INDEX(Assessments!$J$2:$J$600,MATCH($H539&amp;"|"&amp;$I539&amp;"|"&amp;$J539&amp;"|"&amp;2,Assessments!$A$2:$A$600,0)),0)</f>
        <v>0</v>
      </c>
      <c r="CY539" s="28" t="n">
        <f aca="false">IFERROR(INDEX(Assessments!$J$2:$J$600,MATCH($H539&amp;"|"&amp;$I539&amp;"|"&amp;$J539&amp;"|"&amp;3,Assessments!$A$2:$A$600,0)),0)</f>
        <v>0</v>
      </c>
      <c r="CZ539" s="28" t="n">
        <f aca="false">IFERROR(INDEX(Assessments!$J$2:$J$600,MATCH($H539&amp;"|"&amp;$I539&amp;"|"&amp;$J539&amp;"|"&amp;4,Assessments!$A$2:$A$600,0)),0)</f>
        <v>0</v>
      </c>
      <c r="DA539" s="28" t="n">
        <f aca="false">IFERROR(INDEX(Assessments!$J$2:$J$600,MATCH($H539&amp;"|"&amp;$I539&amp;"|"&amp;$J539&amp;"|"&amp;5,Assessments!$A$2:$A$600,0)),0)</f>
        <v>0</v>
      </c>
      <c r="DB539" s="28" t="n">
        <f aca="false">IFERROR(INDEX(Assessments!$J$2:$J$600,MATCH($H539&amp;"|"&amp;$I539&amp;"|"&amp;$J539&amp;"|"&amp;6,Assessments!$A$2:$A$600,0)),0)</f>
        <v>0</v>
      </c>
      <c r="DC539" s="28" t="n">
        <f aca="false">IFERROR(INDEX(Assessments!$J$2:$J$600,MATCH($H539&amp;"|"&amp;$I539&amp;"|"&amp;$J539&amp;"|"&amp;7,Assessments!$A$2:$A$600,0)),0)</f>
        <v>0</v>
      </c>
      <c r="DD539" s="28" t="n">
        <f aca="false">IFERROR(INDEX(Assessments!$J$2:$J$600,MATCH($H539&amp;"|"&amp;$I539&amp;"|"&amp;$J539&amp;"|"&amp;8,Assessments!$A$2:$A$600,0)),0)</f>
        <v>0</v>
      </c>
      <c r="DE539" s="28" t="n">
        <f aca="false">IFERROR(INDEX(Assessments!$J$2:$J$600,MATCH($H539&amp;"|"&amp;$I539&amp;"|"&amp;$J539&amp;"|"&amp;9,Assessments!$A$2:$A$600,0)),0)</f>
        <v>0</v>
      </c>
      <c r="DF539" s="28" t="n">
        <f aca="false">IFERROR(INDEX(Assessments!$J$2:$J$600,MATCH($H539&amp;"|"&amp;$I539&amp;"|"&amp;$J539&amp;"|"&amp;10,Assessments!$A$2:$A$600,0)),0)</f>
        <v>0</v>
      </c>
      <c r="DG539" s="28" t="n">
        <f aca="false">IFERROR(INDEX(Assessments!$J$2:$J$600,MATCH($H539&amp;"|"&amp;$I539&amp;"|"&amp;$J539&amp;"|"&amp;11,Assessments!$A$2:$A$600,0)),0)</f>
        <v>0</v>
      </c>
      <c r="DH539" s="28" t="n">
        <f aca="false">IFERROR(INDEX(Assessments!$J$2:$J$600,MATCH($H539&amp;"|"&amp;$I539&amp;"|"&amp;$J539&amp;"|"&amp;12,Assessments!$A$2:$A$600,0)),0)</f>
        <v>0</v>
      </c>
      <c r="DI539" s="28" t="n">
        <f aca="false">IFERROR(INDEX(Assessments!$J$2:$J$600,MATCH($H539&amp;"|"&amp;$I539&amp;"|"&amp;$J539&amp;"|"&amp;13,Assessments!$A$2:$A$600,0)),0)</f>
        <v>0</v>
      </c>
      <c r="DJ539" s="28" t="n">
        <f aca="false">IFERROR(INDEX(Assessments!$J$2:$J$600,MATCH($H539&amp;"|"&amp;$I539&amp;"|"&amp;$J539&amp;"|"&amp;14,Assessments!$A$2:$A$600,0)),0)</f>
        <v>0</v>
      </c>
      <c r="DK539" s="28" t="str">
        <f aca="false">S539</f>
        <v/>
      </c>
      <c r="DL539" s="28" t="str">
        <f aca="false">W539</f>
        <v/>
      </c>
      <c r="DM539" s="28" t="str">
        <f aca="false">AA539</f>
        <v/>
      </c>
      <c r="DN539" s="28" t="str">
        <f aca="false">AE539</f>
        <v/>
      </c>
      <c r="DO539" s="28" t="str">
        <f aca="false">AI539</f>
        <v/>
      </c>
      <c r="DP539" s="28" t="str">
        <f aca="false">AM539</f>
        <v/>
      </c>
      <c r="DQ539" s="28" t="str">
        <f aca="false">AQ539</f>
        <v/>
      </c>
      <c r="DR539" s="28" t="str">
        <f aca="false">AU539</f>
        <v/>
      </c>
      <c r="DS539" s="28" t="str">
        <f aca="false">AY539</f>
        <v/>
      </c>
      <c r="DT539" s="28" t="str">
        <f aca="false">BC539</f>
        <v/>
      </c>
      <c r="DU539" s="28" t="str">
        <f aca="false">BG539</f>
        <v/>
      </c>
      <c r="DV539" s="28" t="str">
        <f aca="false">BK539</f>
        <v/>
      </c>
      <c r="DW539" s="28" t="str">
        <f aca="false">BO539</f>
        <v/>
      </c>
      <c r="DX539" s="28" t="str">
        <f aca="false">BS539</f>
        <v/>
      </c>
      <c r="DY539" s="28" t="str">
        <f aca="false">IF(ISNUMBER(S539),1,"")</f>
        <v/>
      </c>
      <c r="DZ539" s="28" t="str">
        <f aca="false">IF(ISNUMBER(W539),2,"")</f>
        <v/>
      </c>
      <c r="EA539" s="28" t="str">
        <f aca="false">IF(ISNUMBER(AA539),3,"")</f>
        <v/>
      </c>
      <c r="EB539" s="28" t="str">
        <f aca="false">IF(ISNUMBER(AE539),4,"")</f>
        <v/>
      </c>
      <c r="EC539" s="28" t="str">
        <f aca="false">IF(ISNUMBER(AI539),5,"")</f>
        <v/>
      </c>
      <c r="ED539" s="28" t="str">
        <f aca="false">IF(ISNUMBER(AM539),6,"")</f>
        <v/>
      </c>
      <c r="EE539" s="28" t="str">
        <f aca="false">IF(ISNUMBER(AQ539),7,"")</f>
        <v/>
      </c>
      <c r="EF539" s="28" t="str">
        <f aca="false">IF(ISNUMBER(AU539),8,"")</f>
        <v/>
      </c>
      <c r="EG539" s="28" t="str">
        <f aca="false">IF(ISNUMBER(AY539),9,"")</f>
        <v/>
      </c>
      <c r="EH539" s="28" t="str">
        <f aca="false">IF(ISNUMBER(BC539),10,"")</f>
        <v/>
      </c>
      <c r="EI539" s="28" t="str">
        <f aca="false">IF(ISNUMBER(BG539),11,"")</f>
        <v/>
      </c>
      <c r="EJ539" s="28" t="str">
        <f aca="false">IF(ISNUMBER(BK539),12,"")</f>
        <v/>
      </c>
      <c r="EK539" s="28" t="str">
        <f aca="false">IF(ISNUMBER(BO539),13,"")</f>
        <v/>
      </c>
      <c r="EL539" s="28" t="str">
        <f aca="false">IF(ISNUMBER(BS539),14,"")</f>
        <v/>
      </c>
      <c r="EM539" s="28" t="n">
        <f aca="false">IF(ISNUMBER(R539),R539*CW539,0)</f>
        <v>0</v>
      </c>
      <c r="EN539" s="28" t="n">
        <f aca="false">IF(ISNUMBER(V539),V539*CX539,0)</f>
        <v>0</v>
      </c>
      <c r="EO539" s="28" t="n">
        <f aca="false">IF(ISNUMBER(Z539),Z539*CY539,0)</f>
        <v>0</v>
      </c>
      <c r="EP539" s="28" t="n">
        <f aca="false">IF(ISNUMBER(AD539),AD539*CZ539,0)</f>
        <v>0</v>
      </c>
      <c r="EQ539" s="28" t="n">
        <f aca="false">IF(ISNUMBER(AH539),AH539*DA539,0)</f>
        <v>0</v>
      </c>
      <c r="ER539" s="28" t="n">
        <f aca="false">IF(ISNUMBER(AL539),AL539*DB539,0)</f>
        <v>0</v>
      </c>
      <c r="ES539" s="28" t="n">
        <f aca="false">IF(ISNUMBER(AP539),AP539*DC539,0)</f>
        <v>0</v>
      </c>
      <c r="ET539" s="28" t="n">
        <f aca="false">IF(ISNUMBER(AT539),AT539*DD539,0)</f>
        <v>0</v>
      </c>
      <c r="EU539" s="28" t="n">
        <f aca="false">IF(ISNUMBER(AX539),AX539*DE539,0)</f>
        <v>0</v>
      </c>
      <c r="EV539" s="28" t="n">
        <f aca="false">IF(ISNUMBER(BB539),BB539*DF539,0)</f>
        <v>0</v>
      </c>
      <c r="EW539" s="28" t="n">
        <f aca="false">IF(ISNUMBER(BF539),BF539*DG539,0)</f>
        <v>0</v>
      </c>
      <c r="EX539" s="28" t="n">
        <f aca="false">IF(ISNUMBER(BJ539),BJ539*DH539,0)</f>
        <v>0</v>
      </c>
      <c r="EY539" s="28" t="n">
        <f aca="false">IF(ISNUMBER(BN539),BN539*DI539,0)</f>
        <v>0</v>
      </c>
      <c r="EZ539" s="28" t="n">
        <f aca="false">IF(ISNUMBER(BR539),BR539*DJ539,0)</f>
        <v>0</v>
      </c>
      <c r="FA539" s="28" t="n">
        <f aca="false">IF(ISNUMBER(R539),CW539,0)</f>
        <v>0</v>
      </c>
      <c r="FB539" s="28" t="n">
        <f aca="false">IF(ISNUMBER(V539),CX539,0)</f>
        <v>0</v>
      </c>
      <c r="FC539" s="28" t="n">
        <f aca="false">IF(ISNUMBER(Z539),CY539,0)</f>
        <v>0</v>
      </c>
      <c r="FD539" s="28" t="n">
        <f aca="false">IF(ISNUMBER(AD539),CZ539,0)</f>
        <v>0</v>
      </c>
      <c r="FE539" s="28" t="n">
        <f aca="false">IF(ISNUMBER(AH539),DA539,0)</f>
        <v>0</v>
      </c>
      <c r="FF539" s="28" t="n">
        <f aca="false">IF(ISNUMBER(AL539),DB539,0)</f>
        <v>0</v>
      </c>
      <c r="FG539" s="28" t="n">
        <f aca="false">IF(ISNUMBER(AP539),DC539,0)</f>
        <v>0</v>
      </c>
      <c r="FH539" s="28" t="n">
        <f aca="false">IF(ISNUMBER(AT539),DD539,0)</f>
        <v>0</v>
      </c>
      <c r="FI539" s="28" t="n">
        <f aca="false">IF(ISNUMBER(AX539),DE539,0)</f>
        <v>0</v>
      </c>
      <c r="FJ539" s="28" t="n">
        <f aca="false">IF(ISNUMBER(BB539),DF539,0)</f>
        <v>0</v>
      </c>
      <c r="FK539" s="28" t="n">
        <f aca="false">IF(ISNUMBER(BF539),DG539,0)</f>
        <v>0</v>
      </c>
      <c r="FL539" s="28" t="n">
        <f aca="false">IF(ISNUMBER(BJ539),DH539,0)</f>
        <v>0</v>
      </c>
      <c r="FM539" s="28" t="n">
        <f aca="false">IF(ISNUMBER(BN539),DI539,0)</f>
        <v>0</v>
      </c>
      <c r="FN539" s="28" t="n">
        <f aca="false">IF(ISNUMBER(BR539),DJ539,0)</f>
        <v>0</v>
      </c>
      <c r="FO539" s="28" t="str">
        <f aca="false">IFERROR(INDEX(Lists!$G$2:$G$20,MATCH($I539&amp;"|"&amp;$J539,Lists!$F$2:$F$20,0)),"")</f>
        <v/>
      </c>
    </row>
    <row r="540" customFormat="false" ht="19.5" hidden="false" customHeight="true" outlineLevel="0" collapsed="false">
      <c r="A540" s="29"/>
      <c r="B540" s="29"/>
      <c r="C540" s="30"/>
      <c r="D540" s="30"/>
      <c r="E540" s="31"/>
      <c r="F540" s="30"/>
      <c r="G540" s="30"/>
      <c r="H540" s="32"/>
      <c r="I540" s="33"/>
      <c r="J540" s="32"/>
      <c r="K540" s="34" t="str">
        <f aca="false">IF(OR(M540="",$E540=""),"",M540-$E540)</f>
        <v/>
      </c>
      <c r="L540" s="35" t="str">
        <f aca="false">IF(SUM(FA540:FN540)=0,"",SUM(EM540:EZ540)/SUM(FA540:FN540))</f>
        <v/>
      </c>
      <c r="M540" s="36" t="str">
        <f aca="false">IF(OR(L540="",FO540=""),"",IFERROR(MATCH(L540,INDEX(Boundaries!$B$2:$I$30,MATCH(FO540,Boundaries!$A$2:$A$30,0),0),1)-1,""))</f>
        <v/>
      </c>
      <c r="N540" s="37" t="str">
        <f aca="false">IF(COUNT($DY540:$EL540)&lt;2,"",INDEX($DK540:$DX540,MAX($DY540:$EL540))-INDEX($DK540:$DX540,MIN($DY540:$EL540)))</f>
        <v/>
      </c>
      <c r="O540" s="37" t="str">
        <f aca="false">IF(COUNT($DY540:$EL540)&lt;2,"",INDEX($DK540:$DX540,MAX($DY540:$EL540))-INDEX($DK540:$DX540,LARGE($DY540:$EL540,2)))</f>
        <v/>
      </c>
      <c r="P540" s="38" t="str">
        <f aca="false">IF(K540="","",IF(K540&gt;=0,"On/above target",IF(AND(N540&lt;&gt;"",N540&gt;=0.5),"Improving towards target",IF(AND(O540&lt;&gt;"",O540&lt;=-0.5),"Declining","Stable below target"))))</f>
        <v/>
      </c>
      <c r="Q540" s="39"/>
      <c r="R540" s="40" t="str">
        <f aca="false">IF(OR(Q540="",BU540=""),"",Q540/BU540*100)</f>
        <v/>
      </c>
      <c r="S540" s="41" t="str">
        <f aca="false">IF(R540="","",IFERROR(MATCH(R540,INDEX(Boundaries!$B$2:$I$30,MATCH(CI540,Boundaries!$A$2:$A$30,0),0),1)-1,""))</f>
        <v/>
      </c>
      <c r="T540" s="42" t="str">
        <f aca="false">IF(OR(S540="",$E540=""),"",S540-$E540)</f>
        <v/>
      </c>
      <c r="U540" s="39"/>
      <c r="V540" s="40" t="str">
        <f aca="false">IF(OR(U540="",BV540=""),"",U540/BV540*100)</f>
        <v/>
      </c>
      <c r="W540" s="41" t="str">
        <f aca="false">IF(V540="","",IFERROR(MATCH(V540,INDEX(Boundaries!$B$2:$I$30,MATCH(CJ540,Boundaries!$A$2:$A$30,0),0),1)-1,""))</f>
        <v/>
      </c>
      <c r="X540" s="42" t="str">
        <f aca="false">IF(OR(W540="",$E540=""),"",W540-$E540)</f>
        <v/>
      </c>
      <c r="Y540" s="39"/>
      <c r="Z540" s="40" t="str">
        <f aca="false">IF(OR(Y540="",BW540=""),"",Y540/BW540*100)</f>
        <v/>
      </c>
      <c r="AA540" s="41" t="str">
        <f aca="false">IF(Z540="","",IFERROR(MATCH(Z540,INDEX(Boundaries!$B$2:$I$30,MATCH(CK540,Boundaries!$A$2:$A$30,0),0),1)-1,""))</f>
        <v/>
      </c>
      <c r="AB540" s="42" t="str">
        <f aca="false">IF(OR(AA540="",$E540=""),"",AA540-$E540)</f>
        <v/>
      </c>
      <c r="AC540" s="39"/>
      <c r="AD540" s="40" t="str">
        <f aca="false">IF(OR(AC540="",BX540=""),"",AC540/BX540*100)</f>
        <v/>
      </c>
      <c r="AE540" s="41" t="str">
        <f aca="false">IF(AD540="","",IFERROR(MATCH(AD540,INDEX(Boundaries!$B$2:$I$30,MATCH(CL540,Boundaries!$A$2:$A$30,0),0),1)-1,""))</f>
        <v/>
      </c>
      <c r="AF540" s="42" t="str">
        <f aca="false">IF(OR(AE540="",$E540=""),"",AE540-$E540)</f>
        <v/>
      </c>
      <c r="AG540" s="39"/>
      <c r="AH540" s="40" t="str">
        <f aca="false">IF(OR(AG540="",BY540=""),"",AG540/BY540*100)</f>
        <v/>
      </c>
      <c r="AI540" s="41" t="str">
        <f aca="false">IF(AH540="","",IFERROR(MATCH(AH540,INDEX(Boundaries!$B$2:$I$30,MATCH(CM540,Boundaries!$A$2:$A$30,0),0),1)-1,""))</f>
        <v/>
      </c>
      <c r="AJ540" s="42" t="str">
        <f aca="false">IF(OR(AI540="",$E540=""),"",AI540-$E540)</f>
        <v/>
      </c>
      <c r="AK540" s="39"/>
      <c r="AL540" s="40" t="str">
        <f aca="false">IF(OR(AK540="",BZ540=""),"",AK540/BZ540*100)</f>
        <v/>
      </c>
      <c r="AM540" s="41" t="str">
        <f aca="false">IF(AL540="","",IFERROR(MATCH(AL540,INDEX(Boundaries!$B$2:$I$30,MATCH(CN540,Boundaries!$A$2:$A$30,0),0),1)-1,""))</f>
        <v/>
      </c>
      <c r="AN540" s="42" t="str">
        <f aca="false">IF(OR(AM540="",$E540=""),"",AM540-$E540)</f>
        <v/>
      </c>
      <c r="AO540" s="39"/>
      <c r="AP540" s="40" t="str">
        <f aca="false">IF(OR(AO540="",CA540=""),"",AO540/CA540*100)</f>
        <v/>
      </c>
      <c r="AQ540" s="41" t="str">
        <f aca="false">IF(AP540="","",IFERROR(MATCH(AP540,INDEX(Boundaries!$B$2:$I$30,MATCH(CO540,Boundaries!$A$2:$A$30,0),0),1)-1,""))</f>
        <v/>
      </c>
      <c r="AR540" s="42" t="str">
        <f aca="false">IF(OR(AQ540="",$E540=""),"",AQ540-$E540)</f>
        <v/>
      </c>
      <c r="AS540" s="39"/>
      <c r="AT540" s="40" t="str">
        <f aca="false">IF(OR(AS540="",CB540=""),"",AS540/CB540*100)</f>
        <v/>
      </c>
      <c r="AU540" s="41" t="str">
        <f aca="false">IF(AT540="","",IFERROR(MATCH(AT540,INDEX(Boundaries!$B$2:$I$30,MATCH(CP540,Boundaries!$A$2:$A$30,0),0),1)-1,""))</f>
        <v/>
      </c>
      <c r="AV540" s="42" t="str">
        <f aca="false">IF(OR(AU540="",$E540=""),"",AU540-$E540)</f>
        <v/>
      </c>
      <c r="AW540" s="39"/>
      <c r="AX540" s="40" t="str">
        <f aca="false">IF(OR(AW540="",CC540=""),"",AW540/CC540*100)</f>
        <v/>
      </c>
      <c r="AY540" s="41" t="str">
        <f aca="false">IF(AX540="","",IFERROR(MATCH(AX540,INDEX(Boundaries!$B$2:$I$30,MATCH(CQ540,Boundaries!$A$2:$A$30,0),0),1)-1,""))</f>
        <v/>
      </c>
      <c r="AZ540" s="42" t="str">
        <f aca="false">IF(OR(AY540="",$E540=""),"",AY540-$E540)</f>
        <v/>
      </c>
      <c r="BA540" s="39"/>
      <c r="BB540" s="40" t="str">
        <f aca="false">IF(OR(BA540="",CD540=""),"",BA540/CD540*100)</f>
        <v/>
      </c>
      <c r="BC540" s="41" t="str">
        <f aca="false">IF(BB540="","",IFERROR(MATCH(BB540,INDEX(Boundaries!$B$2:$I$30,MATCH(CR540,Boundaries!$A$2:$A$30,0),0),1)-1,""))</f>
        <v/>
      </c>
      <c r="BD540" s="42" t="str">
        <f aca="false">IF(OR(BC540="",$E540=""),"",BC540-$E540)</f>
        <v/>
      </c>
      <c r="BE540" s="39"/>
      <c r="BF540" s="40" t="str">
        <f aca="false">IF(OR(BE540="",CE540=""),"",BE540/CE540*100)</f>
        <v/>
      </c>
      <c r="BG540" s="41" t="str">
        <f aca="false">IF(BF540="","",IFERROR(MATCH(BF540,INDEX(Boundaries!$B$2:$I$30,MATCH(CS540,Boundaries!$A$2:$A$30,0),0),1)-1,""))</f>
        <v/>
      </c>
      <c r="BH540" s="42" t="str">
        <f aca="false">IF(OR(BG540="",$E540=""),"",BG540-$E540)</f>
        <v/>
      </c>
      <c r="BI540" s="39"/>
      <c r="BJ540" s="40" t="str">
        <f aca="false">IF(OR(BI540="",CF540=""),"",BI540/CF540*100)</f>
        <v/>
      </c>
      <c r="BK540" s="41" t="str">
        <f aca="false">IF(BJ540="","",IFERROR(MATCH(BJ540,INDEX(Boundaries!$B$2:$I$30,MATCH(CT540,Boundaries!$A$2:$A$30,0),0),1)-1,""))</f>
        <v/>
      </c>
      <c r="BL540" s="42" t="str">
        <f aca="false">IF(OR(BK540="",$E540=""),"",BK540-$E540)</f>
        <v/>
      </c>
      <c r="BM540" s="39"/>
      <c r="BN540" s="40" t="str">
        <f aca="false">IF(OR(BM540="",CG540=""),"",BM540/CG540*100)</f>
        <v/>
      </c>
      <c r="BO540" s="41" t="str">
        <f aca="false">IF(BN540="","",IFERROR(MATCH(BN540,INDEX(Boundaries!$B$2:$I$30,MATCH(CU540,Boundaries!$A$2:$A$30,0),0),1)-1,""))</f>
        <v/>
      </c>
      <c r="BP540" s="42" t="str">
        <f aca="false">IF(OR(BO540="",$E540=""),"",BO540-$E540)</f>
        <v/>
      </c>
      <c r="BQ540" s="39"/>
      <c r="BR540" s="40" t="str">
        <f aca="false">IF(OR(BQ540="",CH540=""),"",BQ540/CH540*100)</f>
        <v/>
      </c>
      <c r="BS540" s="41" t="str">
        <f aca="false">IF(BR540="","",IFERROR(MATCH(BR540,INDEX(Boundaries!$B$2:$I$30,MATCH(CV540,Boundaries!$A$2:$A$30,0),0),1)-1,""))</f>
        <v/>
      </c>
      <c r="BT540" s="42" t="str">
        <f aca="false">IF(OR(BS540="",$E540=""),"",BS540-$E540)</f>
        <v/>
      </c>
      <c r="BU540" s="28" t="str">
        <f aca="false">IFERROR(INDEX(Assessments!$H$2:$H$600,MATCH($H540&amp;"|"&amp;$I540&amp;"|"&amp;$J540&amp;"|"&amp;1,Assessments!$A$2:$A$600,0)),"")</f>
        <v/>
      </c>
      <c r="BV540" s="28" t="str">
        <f aca="false">IFERROR(INDEX(Assessments!$H$2:$H$600,MATCH($H540&amp;"|"&amp;$I540&amp;"|"&amp;$J540&amp;"|"&amp;2,Assessments!$A$2:$A$600,0)),"")</f>
        <v/>
      </c>
      <c r="BW540" s="28" t="str">
        <f aca="false">IFERROR(INDEX(Assessments!$H$2:$H$600,MATCH($H540&amp;"|"&amp;$I540&amp;"|"&amp;$J540&amp;"|"&amp;3,Assessments!$A$2:$A$600,0)),"")</f>
        <v/>
      </c>
      <c r="BX540" s="28" t="str">
        <f aca="false">IFERROR(INDEX(Assessments!$H$2:$H$600,MATCH($H540&amp;"|"&amp;$I540&amp;"|"&amp;$J540&amp;"|"&amp;4,Assessments!$A$2:$A$600,0)),"")</f>
        <v/>
      </c>
      <c r="BY540" s="28" t="str">
        <f aca="false">IFERROR(INDEX(Assessments!$H$2:$H$600,MATCH($H540&amp;"|"&amp;$I540&amp;"|"&amp;$J540&amp;"|"&amp;5,Assessments!$A$2:$A$600,0)),"")</f>
        <v/>
      </c>
      <c r="BZ540" s="28" t="str">
        <f aca="false">IFERROR(INDEX(Assessments!$H$2:$H$600,MATCH($H540&amp;"|"&amp;$I540&amp;"|"&amp;$J540&amp;"|"&amp;6,Assessments!$A$2:$A$600,0)),"")</f>
        <v/>
      </c>
      <c r="CA540" s="28" t="str">
        <f aca="false">IFERROR(INDEX(Assessments!$H$2:$H$600,MATCH($H540&amp;"|"&amp;$I540&amp;"|"&amp;$J540&amp;"|"&amp;7,Assessments!$A$2:$A$600,0)),"")</f>
        <v/>
      </c>
      <c r="CB540" s="28" t="str">
        <f aca="false">IFERROR(INDEX(Assessments!$H$2:$H$600,MATCH($H540&amp;"|"&amp;$I540&amp;"|"&amp;$J540&amp;"|"&amp;8,Assessments!$A$2:$A$600,0)),"")</f>
        <v/>
      </c>
      <c r="CC540" s="28" t="str">
        <f aca="false">IFERROR(INDEX(Assessments!$H$2:$H$600,MATCH($H540&amp;"|"&amp;$I540&amp;"|"&amp;$J540&amp;"|"&amp;9,Assessments!$A$2:$A$600,0)),"")</f>
        <v/>
      </c>
      <c r="CD540" s="28" t="str">
        <f aca="false">IFERROR(INDEX(Assessments!$H$2:$H$600,MATCH($H540&amp;"|"&amp;$I540&amp;"|"&amp;$J540&amp;"|"&amp;10,Assessments!$A$2:$A$600,0)),"")</f>
        <v/>
      </c>
      <c r="CE540" s="28" t="str">
        <f aca="false">IFERROR(INDEX(Assessments!$H$2:$H$600,MATCH($H540&amp;"|"&amp;$I540&amp;"|"&amp;$J540&amp;"|"&amp;11,Assessments!$A$2:$A$600,0)),"")</f>
        <v/>
      </c>
      <c r="CF540" s="28" t="str">
        <f aca="false">IFERROR(INDEX(Assessments!$H$2:$H$600,MATCH($H540&amp;"|"&amp;$I540&amp;"|"&amp;$J540&amp;"|"&amp;12,Assessments!$A$2:$A$600,0)),"")</f>
        <v/>
      </c>
      <c r="CG540" s="28" t="str">
        <f aca="false">IFERROR(INDEX(Assessments!$H$2:$H$600,MATCH($H540&amp;"|"&amp;$I540&amp;"|"&amp;$J540&amp;"|"&amp;13,Assessments!$A$2:$A$600,0)),"")</f>
        <v/>
      </c>
      <c r="CH540" s="28" t="str">
        <f aca="false">IFERROR(INDEX(Assessments!$H$2:$H$600,MATCH($H540&amp;"|"&amp;$I540&amp;"|"&amp;$J540&amp;"|"&amp;14,Assessments!$A$2:$A$600,0)),"")</f>
        <v/>
      </c>
      <c r="CI540" s="28" t="str">
        <f aca="false">IFERROR(INDEX(Assessments!$I$2:$I$600,MATCH($H540&amp;"|"&amp;$I540&amp;"|"&amp;$J540&amp;"|"&amp;1,Assessments!$A$2:$A$600,0)),"")</f>
        <v/>
      </c>
      <c r="CJ540" s="28" t="str">
        <f aca="false">IFERROR(INDEX(Assessments!$I$2:$I$600,MATCH($H540&amp;"|"&amp;$I540&amp;"|"&amp;$J540&amp;"|"&amp;2,Assessments!$A$2:$A$600,0)),"")</f>
        <v/>
      </c>
      <c r="CK540" s="28" t="str">
        <f aca="false">IFERROR(INDEX(Assessments!$I$2:$I$600,MATCH($H540&amp;"|"&amp;$I540&amp;"|"&amp;$J540&amp;"|"&amp;3,Assessments!$A$2:$A$600,0)),"")</f>
        <v/>
      </c>
      <c r="CL540" s="28" t="str">
        <f aca="false">IFERROR(INDEX(Assessments!$I$2:$I$600,MATCH($H540&amp;"|"&amp;$I540&amp;"|"&amp;$J540&amp;"|"&amp;4,Assessments!$A$2:$A$600,0)),"")</f>
        <v/>
      </c>
      <c r="CM540" s="28" t="str">
        <f aca="false">IFERROR(INDEX(Assessments!$I$2:$I$600,MATCH($H540&amp;"|"&amp;$I540&amp;"|"&amp;$J540&amp;"|"&amp;5,Assessments!$A$2:$A$600,0)),"")</f>
        <v/>
      </c>
      <c r="CN540" s="28" t="str">
        <f aca="false">IFERROR(INDEX(Assessments!$I$2:$I$600,MATCH($H540&amp;"|"&amp;$I540&amp;"|"&amp;$J540&amp;"|"&amp;6,Assessments!$A$2:$A$600,0)),"")</f>
        <v/>
      </c>
      <c r="CO540" s="28" t="str">
        <f aca="false">IFERROR(INDEX(Assessments!$I$2:$I$600,MATCH($H540&amp;"|"&amp;$I540&amp;"|"&amp;$J540&amp;"|"&amp;7,Assessments!$A$2:$A$600,0)),"")</f>
        <v/>
      </c>
      <c r="CP540" s="28" t="str">
        <f aca="false">IFERROR(INDEX(Assessments!$I$2:$I$600,MATCH($H540&amp;"|"&amp;$I540&amp;"|"&amp;$J540&amp;"|"&amp;8,Assessments!$A$2:$A$600,0)),"")</f>
        <v/>
      </c>
      <c r="CQ540" s="28" t="str">
        <f aca="false">IFERROR(INDEX(Assessments!$I$2:$I$600,MATCH($H540&amp;"|"&amp;$I540&amp;"|"&amp;$J540&amp;"|"&amp;9,Assessments!$A$2:$A$600,0)),"")</f>
        <v/>
      </c>
      <c r="CR540" s="28" t="str">
        <f aca="false">IFERROR(INDEX(Assessments!$I$2:$I$600,MATCH($H540&amp;"|"&amp;$I540&amp;"|"&amp;$J540&amp;"|"&amp;10,Assessments!$A$2:$A$600,0)),"")</f>
        <v/>
      </c>
      <c r="CS540" s="28" t="str">
        <f aca="false">IFERROR(INDEX(Assessments!$I$2:$I$600,MATCH($H540&amp;"|"&amp;$I540&amp;"|"&amp;$J540&amp;"|"&amp;11,Assessments!$A$2:$A$600,0)),"")</f>
        <v/>
      </c>
      <c r="CT540" s="28" t="str">
        <f aca="false">IFERROR(INDEX(Assessments!$I$2:$I$600,MATCH($H540&amp;"|"&amp;$I540&amp;"|"&amp;$J540&amp;"|"&amp;12,Assessments!$A$2:$A$600,0)),"")</f>
        <v/>
      </c>
      <c r="CU540" s="28" t="str">
        <f aca="false">IFERROR(INDEX(Assessments!$I$2:$I$600,MATCH($H540&amp;"|"&amp;$I540&amp;"|"&amp;$J540&amp;"|"&amp;13,Assessments!$A$2:$A$600,0)),"")</f>
        <v/>
      </c>
      <c r="CV540" s="28" t="str">
        <f aca="false">IFERROR(INDEX(Assessments!$I$2:$I$600,MATCH($H540&amp;"|"&amp;$I540&amp;"|"&amp;$J540&amp;"|"&amp;14,Assessments!$A$2:$A$600,0)),"")</f>
        <v/>
      </c>
      <c r="CW540" s="28" t="n">
        <f aca="false">IFERROR(INDEX(Assessments!$J$2:$J$600,MATCH($H540&amp;"|"&amp;$I540&amp;"|"&amp;$J540&amp;"|"&amp;1,Assessments!$A$2:$A$600,0)),0)</f>
        <v>0</v>
      </c>
      <c r="CX540" s="28" t="n">
        <f aca="false">IFERROR(INDEX(Assessments!$J$2:$J$600,MATCH($H540&amp;"|"&amp;$I540&amp;"|"&amp;$J540&amp;"|"&amp;2,Assessments!$A$2:$A$600,0)),0)</f>
        <v>0</v>
      </c>
      <c r="CY540" s="28" t="n">
        <f aca="false">IFERROR(INDEX(Assessments!$J$2:$J$600,MATCH($H540&amp;"|"&amp;$I540&amp;"|"&amp;$J540&amp;"|"&amp;3,Assessments!$A$2:$A$600,0)),0)</f>
        <v>0</v>
      </c>
      <c r="CZ540" s="28" t="n">
        <f aca="false">IFERROR(INDEX(Assessments!$J$2:$J$600,MATCH($H540&amp;"|"&amp;$I540&amp;"|"&amp;$J540&amp;"|"&amp;4,Assessments!$A$2:$A$600,0)),0)</f>
        <v>0</v>
      </c>
      <c r="DA540" s="28" t="n">
        <f aca="false">IFERROR(INDEX(Assessments!$J$2:$J$600,MATCH($H540&amp;"|"&amp;$I540&amp;"|"&amp;$J540&amp;"|"&amp;5,Assessments!$A$2:$A$600,0)),0)</f>
        <v>0</v>
      </c>
      <c r="DB540" s="28" t="n">
        <f aca="false">IFERROR(INDEX(Assessments!$J$2:$J$600,MATCH($H540&amp;"|"&amp;$I540&amp;"|"&amp;$J540&amp;"|"&amp;6,Assessments!$A$2:$A$600,0)),0)</f>
        <v>0</v>
      </c>
      <c r="DC540" s="28" t="n">
        <f aca="false">IFERROR(INDEX(Assessments!$J$2:$J$600,MATCH($H540&amp;"|"&amp;$I540&amp;"|"&amp;$J540&amp;"|"&amp;7,Assessments!$A$2:$A$600,0)),0)</f>
        <v>0</v>
      </c>
      <c r="DD540" s="28" t="n">
        <f aca="false">IFERROR(INDEX(Assessments!$J$2:$J$600,MATCH($H540&amp;"|"&amp;$I540&amp;"|"&amp;$J540&amp;"|"&amp;8,Assessments!$A$2:$A$600,0)),0)</f>
        <v>0</v>
      </c>
      <c r="DE540" s="28" t="n">
        <f aca="false">IFERROR(INDEX(Assessments!$J$2:$J$600,MATCH($H540&amp;"|"&amp;$I540&amp;"|"&amp;$J540&amp;"|"&amp;9,Assessments!$A$2:$A$600,0)),0)</f>
        <v>0</v>
      </c>
      <c r="DF540" s="28" t="n">
        <f aca="false">IFERROR(INDEX(Assessments!$J$2:$J$600,MATCH($H540&amp;"|"&amp;$I540&amp;"|"&amp;$J540&amp;"|"&amp;10,Assessments!$A$2:$A$600,0)),0)</f>
        <v>0</v>
      </c>
      <c r="DG540" s="28" t="n">
        <f aca="false">IFERROR(INDEX(Assessments!$J$2:$J$600,MATCH($H540&amp;"|"&amp;$I540&amp;"|"&amp;$J540&amp;"|"&amp;11,Assessments!$A$2:$A$600,0)),0)</f>
        <v>0</v>
      </c>
      <c r="DH540" s="28" t="n">
        <f aca="false">IFERROR(INDEX(Assessments!$J$2:$J$600,MATCH($H540&amp;"|"&amp;$I540&amp;"|"&amp;$J540&amp;"|"&amp;12,Assessments!$A$2:$A$600,0)),0)</f>
        <v>0</v>
      </c>
      <c r="DI540" s="28" t="n">
        <f aca="false">IFERROR(INDEX(Assessments!$J$2:$J$600,MATCH($H540&amp;"|"&amp;$I540&amp;"|"&amp;$J540&amp;"|"&amp;13,Assessments!$A$2:$A$600,0)),0)</f>
        <v>0</v>
      </c>
      <c r="DJ540" s="28" t="n">
        <f aca="false">IFERROR(INDEX(Assessments!$J$2:$J$600,MATCH($H540&amp;"|"&amp;$I540&amp;"|"&amp;$J540&amp;"|"&amp;14,Assessments!$A$2:$A$600,0)),0)</f>
        <v>0</v>
      </c>
      <c r="DK540" s="28" t="str">
        <f aca="false">S540</f>
        <v/>
      </c>
      <c r="DL540" s="28" t="str">
        <f aca="false">W540</f>
        <v/>
      </c>
      <c r="DM540" s="28" t="str">
        <f aca="false">AA540</f>
        <v/>
      </c>
      <c r="DN540" s="28" t="str">
        <f aca="false">AE540</f>
        <v/>
      </c>
      <c r="DO540" s="28" t="str">
        <f aca="false">AI540</f>
        <v/>
      </c>
      <c r="DP540" s="28" t="str">
        <f aca="false">AM540</f>
        <v/>
      </c>
      <c r="DQ540" s="28" t="str">
        <f aca="false">AQ540</f>
        <v/>
      </c>
      <c r="DR540" s="28" t="str">
        <f aca="false">AU540</f>
        <v/>
      </c>
      <c r="DS540" s="28" t="str">
        <f aca="false">AY540</f>
        <v/>
      </c>
      <c r="DT540" s="28" t="str">
        <f aca="false">BC540</f>
        <v/>
      </c>
      <c r="DU540" s="28" t="str">
        <f aca="false">BG540</f>
        <v/>
      </c>
      <c r="DV540" s="28" t="str">
        <f aca="false">BK540</f>
        <v/>
      </c>
      <c r="DW540" s="28" t="str">
        <f aca="false">BO540</f>
        <v/>
      </c>
      <c r="DX540" s="28" t="str">
        <f aca="false">BS540</f>
        <v/>
      </c>
      <c r="DY540" s="28" t="str">
        <f aca="false">IF(ISNUMBER(S540),1,"")</f>
        <v/>
      </c>
      <c r="DZ540" s="28" t="str">
        <f aca="false">IF(ISNUMBER(W540),2,"")</f>
        <v/>
      </c>
      <c r="EA540" s="28" t="str">
        <f aca="false">IF(ISNUMBER(AA540),3,"")</f>
        <v/>
      </c>
      <c r="EB540" s="28" t="str">
        <f aca="false">IF(ISNUMBER(AE540),4,"")</f>
        <v/>
      </c>
      <c r="EC540" s="28" t="str">
        <f aca="false">IF(ISNUMBER(AI540),5,"")</f>
        <v/>
      </c>
      <c r="ED540" s="28" t="str">
        <f aca="false">IF(ISNUMBER(AM540),6,"")</f>
        <v/>
      </c>
      <c r="EE540" s="28" t="str">
        <f aca="false">IF(ISNUMBER(AQ540),7,"")</f>
        <v/>
      </c>
      <c r="EF540" s="28" t="str">
        <f aca="false">IF(ISNUMBER(AU540),8,"")</f>
        <v/>
      </c>
      <c r="EG540" s="28" t="str">
        <f aca="false">IF(ISNUMBER(AY540),9,"")</f>
        <v/>
      </c>
      <c r="EH540" s="28" t="str">
        <f aca="false">IF(ISNUMBER(BC540),10,"")</f>
        <v/>
      </c>
      <c r="EI540" s="28" t="str">
        <f aca="false">IF(ISNUMBER(BG540),11,"")</f>
        <v/>
      </c>
      <c r="EJ540" s="28" t="str">
        <f aca="false">IF(ISNUMBER(BK540),12,"")</f>
        <v/>
      </c>
      <c r="EK540" s="28" t="str">
        <f aca="false">IF(ISNUMBER(BO540),13,"")</f>
        <v/>
      </c>
      <c r="EL540" s="28" t="str">
        <f aca="false">IF(ISNUMBER(BS540),14,"")</f>
        <v/>
      </c>
      <c r="EM540" s="28" t="n">
        <f aca="false">IF(ISNUMBER(R540),R540*CW540,0)</f>
        <v>0</v>
      </c>
      <c r="EN540" s="28" t="n">
        <f aca="false">IF(ISNUMBER(V540),V540*CX540,0)</f>
        <v>0</v>
      </c>
      <c r="EO540" s="28" t="n">
        <f aca="false">IF(ISNUMBER(Z540),Z540*CY540,0)</f>
        <v>0</v>
      </c>
      <c r="EP540" s="28" t="n">
        <f aca="false">IF(ISNUMBER(AD540),AD540*CZ540,0)</f>
        <v>0</v>
      </c>
      <c r="EQ540" s="28" t="n">
        <f aca="false">IF(ISNUMBER(AH540),AH540*DA540,0)</f>
        <v>0</v>
      </c>
      <c r="ER540" s="28" t="n">
        <f aca="false">IF(ISNUMBER(AL540),AL540*DB540,0)</f>
        <v>0</v>
      </c>
      <c r="ES540" s="28" t="n">
        <f aca="false">IF(ISNUMBER(AP540),AP540*DC540,0)</f>
        <v>0</v>
      </c>
      <c r="ET540" s="28" t="n">
        <f aca="false">IF(ISNUMBER(AT540),AT540*DD540,0)</f>
        <v>0</v>
      </c>
      <c r="EU540" s="28" t="n">
        <f aca="false">IF(ISNUMBER(AX540),AX540*DE540,0)</f>
        <v>0</v>
      </c>
      <c r="EV540" s="28" t="n">
        <f aca="false">IF(ISNUMBER(BB540),BB540*DF540,0)</f>
        <v>0</v>
      </c>
      <c r="EW540" s="28" t="n">
        <f aca="false">IF(ISNUMBER(BF540),BF540*DG540,0)</f>
        <v>0</v>
      </c>
      <c r="EX540" s="28" t="n">
        <f aca="false">IF(ISNUMBER(BJ540),BJ540*DH540,0)</f>
        <v>0</v>
      </c>
      <c r="EY540" s="28" t="n">
        <f aca="false">IF(ISNUMBER(BN540),BN540*DI540,0)</f>
        <v>0</v>
      </c>
      <c r="EZ540" s="28" t="n">
        <f aca="false">IF(ISNUMBER(BR540),BR540*DJ540,0)</f>
        <v>0</v>
      </c>
      <c r="FA540" s="28" t="n">
        <f aca="false">IF(ISNUMBER(R540),CW540,0)</f>
        <v>0</v>
      </c>
      <c r="FB540" s="28" t="n">
        <f aca="false">IF(ISNUMBER(V540),CX540,0)</f>
        <v>0</v>
      </c>
      <c r="FC540" s="28" t="n">
        <f aca="false">IF(ISNUMBER(Z540),CY540,0)</f>
        <v>0</v>
      </c>
      <c r="FD540" s="28" t="n">
        <f aca="false">IF(ISNUMBER(AD540),CZ540,0)</f>
        <v>0</v>
      </c>
      <c r="FE540" s="28" t="n">
        <f aca="false">IF(ISNUMBER(AH540),DA540,0)</f>
        <v>0</v>
      </c>
      <c r="FF540" s="28" t="n">
        <f aca="false">IF(ISNUMBER(AL540),DB540,0)</f>
        <v>0</v>
      </c>
      <c r="FG540" s="28" t="n">
        <f aca="false">IF(ISNUMBER(AP540),DC540,0)</f>
        <v>0</v>
      </c>
      <c r="FH540" s="28" t="n">
        <f aca="false">IF(ISNUMBER(AT540),DD540,0)</f>
        <v>0</v>
      </c>
      <c r="FI540" s="28" t="n">
        <f aca="false">IF(ISNUMBER(AX540),DE540,0)</f>
        <v>0</v>
      </c>
      <c r="FJ540" s="28" t="n">
        <f aca="false">IF(ISNUMBER(BB540),DF540,0)</f>
        <v>0</v>
      </c>
      <c r="FK540" s="28" t="n">
        <f aca="false">IF(ISNUMBER(BF540),DG540,0)</f>
        <v>0</v>
      </c>
      <c r="FL540" s="28" t="n">
        <f aca="false">IF(ISNUMBER(BJ540),DH540,0)</f>
        <v>0</v>
      </c>
      <c r="FM540" s="28" t="n">
        <f aca="false">IF(ISNUMBER(BN540),DI540,0)</f>
        <v>0</v>
      </c>
      <c r="FN540" s="28" t="n">
        <f aca="false">IF(ISNUMBER(BR540),DJ540,0)</f>
        <v>0</v>
      </c>
      <c r="FO540" s="28" t="str">
        <f aca="false">IFERROR(INDEX(Lists!$G$2:$G$20,MATCH($I540&amp;"|"&amp;$J540,Lists!$F$2:$F$20,0)),"")</f>
        <v/>
      </c>
    </row>
    <row r="541" customFormat="false" ht="19.5" hidden="false" customHeight="true" outlineLevel="0" collapsed="false">
      <c r="A541" s="29"/>
      <c r="B541" s="29"/>
      <c r="C541" s="30"/>
      <c r="D541" s="30"/>
      <c r="E541" s="31"/>
      <c r="F541" s="30"/>
      <c r="G541" s="30"/>
      <c r="H541" s="32"/>
      <c r="I541" s="33"/>
      <c r="J541" s="32"/>
      <c r="K541" s="34" t="str">
        <f aca="false">IF(OR(M541="",$E541=""),"",M541-$E541)</f>
        <v/>
      </c>
      <c r="L541" s="35" t="str">
        <f aca="false">IF(SUM(FA541:FN541)=0,"",SUM(EM541:EZ541)/SUM(FA541:FN541))</f>
        <v/>
      </c>
      <c r="M541" s="36" t="str">
        <f aca="false">IF(OR(L541="",FO541=""),"",IFERROR(MATCH(L541,INDEX(Boundaries!$B$2:$I$30,MATCH(FO541,Boundaries!$A$2:$A$30,0),0),1)-1,""))</f>
        <v/>
      </c>
      <c r="N541" s="37" t="str">
        <f aca="false">IF(COUNT($DY541:$EL541)&lt;2,"",INDEX($DK541:$DX541,MAX($DY541:$EL541))-INDEX($DK541:$DX541,MIN($DY541:$EL541)))</f>
        <v/>
      </c>
      <c r="O541" s="37" t="str">
        <f aca="false">IF(COUNT($DY541:$EL541)&lt;2,"",INDEX($DK541:$DX541,MAX($DY541:$EL541))-INDEX($DK541:$DX541,LARGE($DY541:$EL541,2)))</f>
        <v/>
      </c>
      <c r="P541" s="38" t="str">
        <f aca="false">IF(K541="","",IF(K541&gt;=0,"On/above target",IF(AND(N541&lt;&gt;"",N541&gt;=0.5),"Improving towards target",IF(AND(O541&lt;&gt;"",O541&lt;=-0.5),"Declining","Stable below target"))))</f>
        <v/>
      </c>
      <c r="Q541" s="39"/>
      <c r="R541" s="40" t="str">
        <f aca="false">IF(OR(Q541="",BU541=""),"",Q541/BU541*100)</f>
        <v/>
      </c>
      <c r="S541" s="41" t="str">
        <f aca="false">IF(R541="","",IFERROR(MATCH(R541,INDEX(Boundaries!$B$2:$I$30,MATCH(CI541,Boundaries!$A$2:$A$30,0),0),1)-1,""))</f>
        <v/>
      </c>
      <c r="T541" s="42" t="str">
        <f aca="false">IF(OR(S541="",$E541=""),"",S541-$E541)</f>
        <v/>
      </c>
      <c r="U541" s="39"/>
      <c r="V541" s="40" t="str">
        <f aca="false">IF(OR(U541="",BV541=""),"",U541/BV541*100)</f>
        <v/>
      </c>
      <c r="W541" s="41" t="str">
        <f aca="false">IF(V541="","",IFERROR(MATCH(V541,INDEX(Boundaries!$B$2:$I$30,MATCH(CJ541,Boundaries!$A$2:$A$30,0),0),1)-1,""))</f>
        <v/>
      </c>
      <c r="X541" s="42" t="str">
        <f aca="false">IF(OR(W541="",$E541=""),"",W541-$E541)</f>
        <v/>
      </c>
      <c r="Y541" s="39"/>
      <c r="Z541" s="40" t="str">
        <f aca="false">IF(OR(Y541="",BW541=""),"",Y541/BW541*100)</f>
        <v/>
      </c>
      <c r="AA541" s="41" t="str">
        <f aca="false">IF(Z541="","",IFERROR(MATCH(Z541,INDEX(Boundaries!$B$2:$I$30,MATCH(CK541,Boundaries!$A$2:$A$30,0),0),1)-1,""))</f>
        <v/>
      </c>
      <c r="AB541" s="42" t="str">
        <f aca="false">IF(OR(AA541="",$E541=""),"",AA541-$E541)</f>
        <v/>
      </c>
      <c r="AC541" s="39"/>
      <c r="AD541" s="40" t="str">
        <f aca="false">IF(OR(AC541="",BX541=""),"",AC541/BX541*100)</f>
        <v/>
      </c>
      <c r="AE541" s="41" t="str">
        <f aca="false">IF(AD541="","",IFERROR(MATCH(AD541,INDEX(Boundaries!$B$2:$I$30,MATCH(CL541,Boundaries!$A$2:$A$30,0),0),1)-1,""))</f>
        <v/>
      </c>
      <c r="AF541" s="42" t="str">
        <f aca="false">IF(OR(AE541="",$E541=""),"",AE541-$E541)</f>
        <v/>
      </c>
      <c r="AG541" s="39"/>
      <c r="AH541" s="40" t="str">
        <f aca="false">IF(OR(AG541="",BY541=""),"",AG541/BY541*100)</f>
        <v/>
      </c>
      <c r="AI541" s="41" t="str">
        <f aca="false">IF(AH541="","",IFERROR(MATCH(AH541,INDEX(Boundaries!$B$2:$I$30,MATCH(CM541,Boundaries!$A$2:$A$30,0),0),1)-1,""))</f>
        <v/>
      </c>
      <c r="AJ541" s="42" t="str">
        <f aca="false">IF(OR(AI541="",$E541=""),"",AI541-$E541)</f>
        <v/>
      </c>
      <c r="AK541" s="39"/>
      <c r="AL541" s="40" t="str">
        <f aca="false">IF(OR(AK541="",BZ541=""),"",AK541/BZ541*100)</f>
        <v/>
      </c>
      <c r="AM541" s="41" t="str">
        <f aca="false">IF(AL541="","",IFERROR(MATCH(AL541,INDEX(Boundaries!$B$2:$I$30,MATCH(CN541,Boundaries!$A$2:$A$30,0),0),1)-1,""))</f>
        <v/>
      </c>
      <c r="AN541" s="42" t="str">
        <f aca="false">IF(OR(AM541="",$E541=""),"",AM541-$E541)</f>
        <v/>
      </c>
      <c r="AO541" s="39"/>
      <c r="AP541" s="40" t="str">
        <f aca="false">IF(OR(AO541="",CA541=""),"",AO541/CA541*100)</f>
        <v/>
      </c>
      <c r="AQ541" s="41" t="str">
        <f aca="false">IF(AP541="","",IFERROR(MATCH(AP541,INDEX(Boundaries!$B$2:$I$30,MATCH(CO541,Boundaries!$A$2:$A$30,0),0),1)-1,""))</f>
        <v/>
      </c>
      <c r="AR541" s="42" t="str">
        <f aca="false">IF(OR(AQ541="",$E541=""),"",AQ541-$E541)</f>
        <v/>
      </c>
      <c r="AS541" s="39"/>
      <c r="AT541" s="40" t="str">
        <f aca="false">IF(OR(AS541="",CB541=""),"",AS541/CB541*100)</f>
        <v/>
      </c>
      <c r="AU541" s="41" t="str">
        <f aca="false">IF(AT541="","",IFERROR(MATCH(AT541,INDEX(Boundaries!$B$2:$I$30,MATCH(CP541,Boundaries!$A$2:$A$30,0),0),1)-1,""))</f>
        <v/>
      </c>
      <c r="AV541" s="42" t="str">
        <f aca="false">IF(OR(AU541="",$E541=""),"",AU541-$E541)</f>
        <v/>
      </c>
      <c r="AW541" s="39"/>
      <c r="AX541" s="40" t="str">
        <f aca="false">IF(OR(AW541="",CC541=""),"",AW541/CC541*100)</f>
        <v/>
      </c>
      <c r="AY541" s="41" t="str">
        <f aca="false">IF(AX541="","",IFERROR(MATCH(AX541,INDEX(Boundaries!$B$2:$I$30,MATCH(CQ541,Boundaries!$A$2:$A$30,0),0),1)-1,""))</f>
        <v/>
      </c>
      <c r="AZ541" s="42" t="str">
        <f aca="false">IF(OR(AY541="",$E541=""),"",AY541-$E541)</f>
        <v/>
      </c>
      <c r="BA541" s="39"/>
      <c r="BB541" s="40" t="str">
        <f aca="false">IF(OR(BA541="",CD541=""),"",BA541/CD541*100)</f>
        <v/>
      </c>
      <c r="BC541" s="41" t="str">
        <f aca="false">IF(BB541="","",IFERROR(MATCH(BB541,INDEX(Boundaries!$B$2:$I$30,MATCH(CR541,Boundaries!$A$2:$A$30,0),0),1)-1,""))</f>
        <v/>
      </c>
      <c r="BD541" s="42" t="str">
        <f aca="false">IF(OR(BC541="",$E541=""),"",BC541-$E541)</f>
        <v/>
      </c>
      <c r="BE541" s="39"/>
      <c r="BF541" s="40" t="str">
        <f aca="false">IF(OR(BE541="",CE541=""),"",BE541/CE541*100)</f>
        <v/>
      </c>
      <c r="BG541" s="41" t="str">
        <f aca="false">IF(BF541="","",IFERROR(MATCH(BF541,INDEX(Boundaries!$B$2:$I$30,MATCH(CS541,Boundaries!$A$2:$A$30,0),0),1)-1,""))</f>
        <v/>
      </c>
      <c r="BH541" s="42" t="str">
        <f aca="false">IF(OR(BG541="",$E541=""),"",BG541-$E541)</f>
        <v/>
      </c>
      <c r="BI541" s="39"/>
      <c r="BJ541" s="40" t="str">
        <f aca="false">IF(OR(BI541="",CF541=""),"",BI541/CF541*100)</f>
        <v/>
      </c>
      <c r="BK541" s="41" t="str">
        <f aca="false">IF(BJ541="","",IFERROR(MATCH(BJ541,INDEX(Boundaries!$B$2:$I$30,MATCH(CT541,Boundaries!$A$2:$A$30,0),0),1)-1,""))</f>
        <v/>
      </c>
      <c r="BL541" s="42" t="str">
        <f aca="false">IF(OR(BK541="",$E541=""),"",BK541-$E541)</f>
        <v/>
      </c>
      <c r="BM541" s="39"/>
      <c r="BN541" s="40" t="str">
        <f aca="false">IF(OR(BM541="",CG541=""),"",BM541/CG541*100)</f>
        <v/>
      </c>
      <c r="BO541" s="41" t="str">
        <f aca="false">IF(BN541="","",IFERROR(MATCH(BN541,INDEX(Boundaries!$B$2:$I$30,MATCH(CU541,Boundaries!$A$2:$A$30,0),0),1)-1,""))</f>
        <v/>
      </c>
      <c r="BP541" s="42" t="str">
        <f aca="false">IF(OR(BO541="",$E541=""),"",BO541-$E541)</f>
        <v/>
      </c>
      <c r="BQ541" s="39"/>
      <c r="BR541" s="40" t="str">
        <f aca="false">IF(OR(BQ541="",CH541=""),"",BQ541/CH541*100)</f>
        <v/>
      </c>
      <c r="BS541" s="41" t="str">
        <f aca="false">IF(BR541="","",IFERROR(MATCH(BR541,INDEX(Boundaries!$B$2:$I$30,MATCH(CV541,Boundaries!$A$2:$A$30,0),0),1)-1,""))</f>
        <v/>
      </c>
      <c r="BT541" s="42" t="str">
        <f aca="false">IF(OR(BS541="",$E541=""),"",BS541-$E541)</f>
        <v/>
      </c>
      <c r="BU541" s="28" t="str">
        <f aca="false">IFERROR(INDEX(Assessments!$H$2:$H$600,MATCH($H541&amp;"|"&amp;$I541&amp;"|"&amp;$J541&amp;"|"&amp;1,Assessments!$A$2:$A$600,0)),"")</f>
        <v/>
      </c>
      <c r="BV541" s="28" t="str">
        <f aca="false">IFERROR(INDEX(Assessments!$H$2:$H$600,MATCH($H541&amp;"|"&amp;$I541&amp;"|"&amp;$J541&amp;"|"&amp;2,Assessments!$A$2:$A$600,0)),"")</f>
        <v/>
      </c>
      <c r="BW541" s="28" t="str">
        <f aca="false">IFERROR(INDEX(Assessments!$H$2:$H$600,MATCH($H541&amp;"|"&amp;$I541&amp;"|"&amp;$J541&amp;"|"&amp;3,Assessments!$A$2:$A$600,0)),"")</f>
        <v/>
      </c>
      <c r="BX541" s="28" t="str">
        <f aca="false">IFERROR(INDEX(Assessments!$H$2:$H$600,MATCH($H541&amp;"|"&amp;$I541&amp;"|"&amp;$J541&amp;"|"&amp;4,Assessments!$A$2:$A$600,0)),"")</f>
        <v/>
      </c>
      <c r="BY541" s="28" t="str">
        <f aca="false">IFERROR(INDEX(Assessments!$H$2:$H$600,MATCH($H541&amp;"|"&amp;$I541&amp;"|"&amp;$J541&amp;"|"&amp;5,Assessments!$A$2:$A$600,0)),"")</f>
        <v/>
      </c>
      <c r="BZ541" s="28" t="str">
        <f aca="false">IFERROR(INDEX(Assessments!$H$2:$H$600,MATCH($H541&amp;"|"&amp;$I541&amp;"|"&amp;$J541&amp;"|"&amp;6,Assessments!$A$2:$A$600,0)),"")</f>
        <v/>
      </c>
      <c r="CA541" s="28" t="str">
        <f aca="false">IFERROR(INDEX(Assessments!$H$2:$H$600,MATCH($H541&amp;"|"&amp;$I541&amp;"|"&amp;$J541&amp;"|"&amp;7,Assessments!$A$2:$A$600,0)),"")</f>
        <v/>
      </c>
      <c r="CB541" s="28" t="str">
        <f aca="false">IFERROR(INDEX(Assessments!$H$2:$H$600,MATCH($H541&amp;"|"&amp;$I541&amp;"|"&amp;$J541&amp;"|"&amp;8,Assessments!$A$2:$A$600,0)),"")</f>
        <v/>
      </c>
      <c r="CC541" s="28" t="str">
        <f aca="false">IFERROR(INDEX(Assessments!$H$2:$H$600,MATCH($H541&amp;"|"&amp;$I541&amp;"|"&amp;$J541&amp;"|"&amp;9,Assessments!$A$2:$A$600,0)),"")</f>
        <v/>
      </c>
      <c r="CD541" s="28" t="str">
        <f aca="false">IFERROR(INDEX(Assessments!$H$2:$H$600,MATCH($H541&amp;"|"&amp;$I541&amp;"|"&amp;$J541&amp;"|"&amp;10,Assessments!$A$2:$A$600,0)),"")</f>
        <v/>
      </c>
      <c r="CE541" s="28" t="str">
        <f aca="false">IFERROR(INDEX(Assessments!$H$2:$H$600,MATCH($H541&amp;"|"&amp;$I541&amp;"|"&amp;$J541&amp;"|"&amp;11,Assessments!$A$2:$A$600,0)),"")</f>
        <v/>
      </c>
      <c r="CF541" s="28" t="str">
        <f aca="false">IFERROR(INDEX(Assessments!$H$2:$H$600,MATCH($H541&amp;"|"&amp;$I541&amp;"|"&amp;$J541&amp;"|"&amp;12,Assessments!$A$2:$A$600,0)),"")</f>
        <v/>
      </c>
      <c r="CG541" s="28" t="str">
        <f aca="false">IFERROR(INDEX(Assessments!$H$2:$H$600,MATCH($H541&amp;"|"&amp;$I541&amp;"|"&amp;$J541&amp;"|"&amp;13,Assessments!$A$2:$A$600,0)),"")</f>
        <v/>
      </c>
      <c r="CH541" s="28" t="str">
        <f aca="false">IFERROR(INDEX(Assessments!$H$2:$H$600,MATCH($H541&amp;"|"&amp;$I541&amp;"|"&amp;$J541&amp;"|"&amp;14,Assessments!$A$2:$A$600,0)),"")</f>
        <v/>
      </c>
      <c r="CI541" s="28" t="str">
        <f aca="false">IFERROR(INDEX(Assessments!$I$2:$I$600,MATCH($H541&amp;"|"&amp;$I541&amp;"|"&amp;$J541&amp;"|"&amp;1,Assessments!$A$2:$A$600,0)),"")</f>
        <v/>
      </c>
      <c r="CJ541" s="28" t="str">
        <f aca="false">IFERROR(INDEX(Assessments!$I$2:$I$600,MATCH($H541&amp;"|"&amp;$I541&amp;"|"&amp;$J541&amp;"|"&amp;2,Assessments!$A$2:$A$600,0)),"")</f>
        <v/>
      </c>
      <c r="CK541" s="28" t="str">
        <f aca="false">IFERROR(INDEX(Assessments!$I$2:$I$600,MATCH($H541&amp;"|"&amp;$I541&amp;"|"&amp;$J541&amp;"|"&amp;3,Assessments!$A$2:$A$600,0)),"")</f>
        <v/>
      </c>
      <c r="CL541" s="28" t="str">
        <f aca="false">IFERROR(INDEX(Assessments!$I$2:$I$600,MATCH($H541&amp;"|"&amp;$I541&amp;"|"&amp;$J541&amp;"|"&amp;4,Assessments!$A$2:$A$600,0)),"")</f>
        <v/>
      </c>
      <c r="CM541" s="28" t="str">
        <f aca="false">IFERROR(INDEX(Assessments!$I$2:$I$600,MATCH($H541&amp;"|"&amp;$I541&amp;"|"&amp;$J541&amp;"|"&amp;5,Assessments!$A$2:$A$600,0)),"")</f>
        <v/>
      </c>
      <c r="CN541" s="28" t="str">
        <f aca="false">IFERROR(INDEX(Assessments!$I$2:$I$600,MATCH($H541&amp;"|"&amp;$I541&amp;"|"&amp;$J541&amp;"|"&amp;6,Assessments!$A$2:$A$600,0)),"")</f>
        <v/>
      </c>
      <c r="CO541" s="28" t="str">
        <f aca="false">IFERROR(INDEX(Assessments!$I$2:$I$600,MATCH($H541&amp;"|"&amp;$I541&amp;"|"&amp;$J541&amp;"|"&amp;7,Assessments!$A$2:$A$600,0)),"")</f>
        <v/>
      </c>
      <c r="CP541" s="28" t="str">
        <f aca="false">IFERROR(INDEX(Assessments!$I$2:$I$600,MATCH($H541&amp;"|"&amp;$I541&amp;"|"&amp;$J541&amp;"|"&amp;8,Assessments!$A$2:$A$600,0)),"")</f>
        <v/>
      </c>
      <c r="CQ541" s="28" t="str">
        <f aca="false">IFERROR(INDEX(Assessments!$I$2:$I$600,MATCH($H541&amp;"|"&amp;$I541&amp;"|"&amp;$J541&amp;"|"&amp;9,Assessments!$A$2:$A$600,0)),"")</f>
        <v/>
      </c>
      <c r="CR541" s="28" t="str">
        <f aca="false">IFERROR(INDEX(Assessments!$I$2:$I$600,MATCH($H541&amp;"|"&amp;$I541&amp;"|"&amp;$J541&amp;"|"&amp;10,Assessments!$A$2:$A$600,0)),"")</f>
        <v/>
      </c>
      <c r="CS541" s="28" t="str">
        <f aca="false">IFERROR(INDEX(Assessments!$I$2:$I$600,MATCH($H541&amp;"|"&amp;$I541&amp;"|"&amp;$J541&amp;"|"&amp;11,Assessments!$A$2:$A$600,0)),"")</f>
        <v/>
      </c>
      <c r="CT541" s="28" t="str">
        <f aca="false">IFERROR(INDEX(Assessments!$I$2:$I$600,MATCH($H541&amp;"|"&amp;$I541&amp;"|"&amp;$J541&amp;"|"&amp;12,Assessments!$A$2:$A$600,0)),"")</f>
        <v/>
      </c>
      <c r="CU541" s="28" t="str">
        <f aca="false">IFERROR(INDEX(Assessments!$I$2:$I$600,MATCH($H541&amp;"|"&amp;$I541&amp;"|"&amp;$J541&amp;"|"&amp;13,Assessments!$A$2:$A$600,0)),"")</f>
        <v/>
      </c>
      <c r="CV541" s="28" t="str">
        <f aca="false">IFERROR(INDEX(Assessments!$I$2:$I$600,MATCH($H541&amp;"|"&amp;$I541&amp;"|"&amp;$J541&amp;"|"&amp;14,Assessments!$A$2:$A$600,0)),"")</f>
        <v/>
      </c>
      <c r="CW541" s="28" t="n">
        <f aca="false">IFERROR(INDEX(Assessments!$J$2:$J$600,MATCH($H541&amp;"|"&amp;$I541&amp;"|"&amp;$J541&amp;"|"&amp;1,Assessments!$A$2:$A$600,0)),0)</f>
        <v>0</v>
      </c>
      <c r="CX541" s="28" t="n">
        <f aca="false">IFERROR(INDEX(Assessments!$J$2:$J$600,MATCH($H541&amp;"|"&amp;$I541&amp;"|"&amp;$J541&amp;"|"&amp;2,Assessments!$A$2:$A$600,0)),0)</f>
        <v>0</v>
      </c>
      <c r="CY541" s="28" t="n">
        <f aca="false">IFERROR(INDEX(Assessments!$J$2:$J$600,MATCH($H541&amp;"|"&amp;$I541&amp;"|"&amp;$J541&amp;"|"&amp;3,Assessments!$A$2:$A$600,0)),0)</f>
        <v>0</v>
      </c>
      <c r="CZ541" s="28" t="n">
        <f aca="false">IFERROR(INDEX(Assessments!$J$2:$J$600,MATCH($H541&amp;"|"&amp;$I541&amp;"|"&amp;$J541&amp;"|"&amp;4,Assessments!$A$2:$A$600,0)),0)</f>
        <v>0</v>
      </c>
      <c r="DA541" s="28" t="n">
        <f aca="false">IFERROR(INDEX(Assessments!$J$2:$J$600,MATCH($H541&amp;"|"&amp;$I541&amp;"|"&amp;$J541&amp;"|"&amp;5,Assessments!$A$2:$A$600,0)),0)</f>
        <v>0</v>
      </c>
      <c r="DB541" s="28" t="n">
        <f aca="false">IFERROR(INDEX(Assessments!$J$2:$J$600,MATCH($H541&amp;"|"&amp;$I541&amp;"|"&amp;$J541&amp;"|"&amp;6,Assessments!$A$2:$A$600,0)),0)</f>
        <v>0</v>
      </c>
      <c r="DC541" s="28" t="n">
        <f aca="false">IFERROR(INDEX(Assessments!$J$2:$J$600,MATCH($H541&amp;"|"&amp;$I541&amp;"|"&amp;$J541&amp;"|"&amp;7,Assessments!$A$2:$A$600,0)),0)</f>
        <v>0</v>
      </c>
      <c r="DD541" s="28" t="n">
        <f aca="false">IFERROR(INDEX(Assessments!$J$2:$J$600,MATCH($H541&amp;"|"&amp;$I541&amp;"|"&amp;$J541&amp;"|"&amp;8,Assessments!$A$2:$A$600,0)),0)</f>
        <v>0</v>
      </c>
      <c r="DE541" s="28" t="n">
        <f aca="false">IFERROR(INDEX(Assessments!$J$2:$J$600,MATCH($H541&amp;"|"&amp;$I541&amp;"|"&amp;$J541&amp;"|"&amp;9,Assessments!$A$2:$A$600,0)),0)</f>
        <v>0</v>
      </c>
      <c r="DF541" s="28" t="n">
        <f aca="false">IFERROR(INDEX(Assessments!$J$2:$J$600,MATCH($H541&amp;"|"&amp;$I541&amp;"|"&amp;$J541&amp;"|"&amp;10,Assessments!$A$2:$A$600,0)),0)</f>
        <v>0</v>
      </c>
      <c r="DG541" s="28" t="n">
        <f aca="false">IFERROR(INDEX(Assessments!$J$2:$J$600,MATCH($H541&amp;"|"&amp;$I541&amp;"|"&amp;$J541&amp;"|"&amp;11,Assessments!$A$2:$A$600,0)),0)</f>
        <v>0</v>
      </c>
      <c r="DH541" s="28" t="n">
        <f aca="false">IFERROR(INDEX(Assessments!$J$2:$J$600,MATCH($H541&amp;"|"&amp;$I541&amp;"|"&amp;$J541&amp;"|"&amp;12,Assessments!$A$2:$A$600,0)),0)</f>
        <v>0</v>
      </c>
      <c r="DI541" s="28" t="n">
        <f aca="false">IFERROR(INDEX(Assessments!$J$2:$J$600,MATCH($H541&amp;"|"&amp;$I541&amp;"|"&amp;$J541&amp;"|"&amp;13,Assessments!$A$2:$A$600,0)),0)</f>
        <v>0</v>
      </c>
      <c r="DJ541" s="28" t="n">
        <f aca="false">IFERROR(INDEX(Assessments!$J$2:$J$600,MATCH($H541&amp;"|"&amp;$I541&amp;"|"&amp;$J541&amp;"|"&amp;14,Assessments!$A$2:$A$600,0)),0)</f>
        <v>0</v>
      </c>
      <c r="DK541" s="28" t="str">
        <f aca="false">S541</f>
        <v/>
      </c>
      <c r="DL541" s="28" t="str">
        <f aca="false">W541</f>
        <v/>
      </c>
      <c r="DM541" s="28" t="str">
        <f aca="false">AA541</f>
        <v/>
      </c>
      <c r="DN541" s="28" t="str">
        <f aca="false">AE541</f>
        <v/>
      </c>
      <c r="DO541" s="28" t="str">
        <f aca="false">AI541</f>
        <v/>
      </c>
      <c r="DP541" s="28" t="str">
        <f aca="false">AM541</f>
        <v/>
      </c>
      <c r="DQ541" s="28" t="str">
        <f aca="false">AQ541</f>
        <v/>
      </c>
      <c r="DR541" s="28" t="str">
        <f aca="false">AU541</f>
        <v/>
      </c>
      <c r="DS541" s="28" t="str">
        <f aca="false">AY541</f>
        <v/>
      </c>
      <c r="DT541" s="28" t="str">
        <f aca="false">BC541</f>
        <v/>
      </c>
      <c r="DU541" s="28" t="str">
        <f aca="false">BG541</f>
        <v/>
      </c>
      <c r="DV541" s="28" t="str">
        <f aca="false">BK541</f>
        <v/>
      </c>
      <c r="DW541" s="28" t="str">
        <f aca="false">BO541</f>
        <v/>
      </c>
      <c r="DX541" s="28" t="str">
        <f aca="false">BS541</f>
        <v/>
      </c>
      <c r="DY541" s="28" t="str">
        <f aca="false">IF(ISNUMBER(S541),1,"")</f>
        <v/>
      </c>
      <c r="DZ541" s="28" t="str">
        <f aca="false">IF(ISNUMBER(W541),2,"")</f>
        <v/>
      </c>
      <c r="EA541" s="28" t="str">
        <f aca="false">IF(ISNUMBER(AA541),3,"")</f>
        <v/>
      </c>
      <c r="EB541" s="28" t="str">
        <f aca="false">IF(ISNUMBER(AE541),4,"")</f>
        <v/>
      </c>
      <c r="EC541" s="28" t="str">
        <f aca="false">IF(ISNUMBER(AI541),5,"")</f>
        <v/>
      </c>
      <c r="ED541" s="28" t="str">
        <f aca="false">IF(ISNUMBER(AM541),6,"")</f>
        <v/>
      </c>
      <c r="EE541" s="28" t="str">
        <f aca="false">IF(ISNUMBER(AQ541),7,"")</f>
        <v/>
      </c>
      <c r="EF541" s="28" t="str">
        <f aca="false">IF(ISNUMBER(AU541),8,"")</f>
        <v/>
      </c>
      <c r="EG541" s="28" t="str">
        <f aca="false">IF(ISNUMBER(AY541),9,"")</f>
        <v/>
      </c>
      <c r="EH541" s="28" t="str">
        <f aca="false">IF(ISNUMBER(BC541),10,"")</f>
        <v/>
      </c>
      <c r="EI541" s="28" t="str">
        <f aca="false">IF(ISNUMBER(BG541),11,"")</f>
        <v/>
      </c>
      <c r="EJ541" s="28" t="str">
        <f aca="false">IF(ISNUMBER(BK541),12,"")</f>
        <v/>
      </c>
      <c r="EK541" s="28" t="str">
        <f aca="false">IF(ISNUMBER(BO541),13,"")</f>
        <v/>
      </c>
      <c r="EL541" s="28" t="str">
        <f aca="false">IF(ISNUMBER(BS541),14,"")</f>
        <v/>
      </c>
      <c r="EM541" s="28" t="n">
        <f aca="false">IF(ISNUMBER(R541),R541*CW541,0)</f>
        <v>0</v>
      </c>
      <c r="EN541" s="28" t="n">
        <f aca="false">IF(ISNUMBER(V541),V541*CX541,0)</f>
        <v>0</v>
      </c>
      <c r="EO541" s="28" t="n">
        <f aca="false">IF(ISNUMBER(Z541),Z541*CY541,0)</f>
        <v>0</v>
      </c>
      <c r="EP541" s="28" t="n">
        <f aca="false">IF(ISNUMBER(AD541),AD541*CZ541,0)</f>
        <v>0</v>
      </c>
      <c r="EQ541" s="28" t="n">
        <f aca="false">IF(ISNUMBER(AH541),AH541*DA541,0)</f>
        <v>0</v>
      </c>
      <c r="ER541" s="28" t="n">
        <f aca="false">IF(ISNUMBER(AL541),AL541*DB541,0)</f>
        <v>0</v>
      </c>
      <c r="ES541" s="28" t="n">
        <f aca="false">IF(ISNUMBER(AP541),AP541*DC541,0)</f>
        <v>0</v>
      </c>
      <c r="ET541" s="28" t="n">
        <f aca="false">IF(ISNUMBER(AT541),AT541*DD541,0)</f>
        <v>0</v>
      </c>
      <c r="EU541" s="28" t="n">
        <f aca="false">IF(ISNUMBER(AX541),AX541*DE541,0)</f>
        <v>0</v>
      </c>
      <c r="EV541" s="28" t="n">
        <f aca="false">IF(ISNUMBER(BB541),BB541*DF541,0)</f>
        <v>0</v>
      </c>
      <c r="EW541" s="28" t="n">
        <f aca="false">IF(ISNUMBER(BF541),BF541*DG541,0)</f>
        <v>0</v>
      </c>
      <c r="EX541" s="28" t="n">
        <f aca="false">IF(ISNUMBER(BJ541),BJ541*DH541,0)</f>
        <v>0</v>
      </c>
      <c r="EY541" s="28" t="n">
        <f aca="false">IF(ISNUMBER(BN541),BN541*DI541,0)</f>
        <v>0</v>
      </c>
      <c r="EZ541" s="28" t="n">
        <f aca="false">IF(ISNUMBER(BR541),BR541*DJ541,0)</f>
        <v>0</v>
      </c>
      <c r="FA541" s="28" t="n">
        <f aca="false">IF(ISNUMBER(R541),CW541,0)</f>
        <v>0</v>
      </c>
      <c r="FB541" s="28" t="n">
        <f aca="false">IF(ISNUMBER(V541),CX541,0)</f>
        <v>0</v>
      </c>
      <c r="FC541" s="28" t="n">
        <f aca="false">IF(ISNUMBER(Z541),CY541,0)</f>
        <v>0</v>
      </c>
      <c r="FD541" s="28" t="n">
        <f aca="false">IF(ISNUMBER(AD541),CZ541,0)</f>
        <v>0</v>
      </c>
      <c r="FE541" s="28" t="n">
        <f aca="false">IF(ISNUMBER(AH541),DA541,0)</f>
        <v>0</v>
      </c>
      <c r="FF541" s="28" t="n">
        <f aca="false">IF(ISNUMBER(AL541),DB541,0)</f>
        <v>0</v>
      </c>
      <c r="FG541" s="28" t="n">
        <f aca="false">IF(ISNUMBER(AP541),DC541,0)</f>
        <v>0</v>
      </c>
      <c r="FH541" s="28" t="n">
        <f aca="false">IF(ISNUMBER(AT541),DD541,0)</f>
        <v>0</v>
      </c>
      <c r="FI541" s="28" t="n">
        <f aca="false">IF(ISNUMBER(AX541),DE541,0)</f>
        <v>0</v>
      </c>
      <c r="FJ541" s="28" t="n">
        <f aca="false">IF(ISNUMBER(BB541),DF541,0)</f>
        <v>0</v>
      </c>
      <c r="FK541" s="28" t="n">
        <f aca="false">IF(ISNUMBER(BF541),DG541,0)</f>
        <v>0</v>
      </c>
      <c r="FL541" s="28" t="n">
        <f aca="false">IF(ISNUMBER(BJ541),DH541,0)</f>
        <v>0</v>
      </c>
      <c r="FM541" s="28" t="n">
        <f aca="false">IF(ISNUMBER(BN541),DI541,0)</f>
        <v>0</v>
      </c>
      <c r="FN541" s="28" t="n">
        <f aca="false">IF(ISNUMBER(BR541),DJ541,0)</f>
        <v>0</v>
      </c>
      <c r="FO541" s="28" t="str">
        <f aca="false">IFERROR(INDEX(Lists!$G$2:$G$20,MATCH($I541&amp;"|"&amp;$J541,Lists!$F$2:$F$20,0)),"")</f>
        <v/>
      </c>
    </row>
    <row r="542" customFormat="false" ht="19.5" hidden="false" customHeight="true" outlineLevel="0" collapsed="false">
      <c r="A542" s="29"/>
      <c r="B542" s="29"/>
      <c r="C542" s="30"/>
      <c r="D542" s="30"/>
      <c r="E542" s="31"/>
      <c r="F542" s="30"/>
      <c r="G542" s="30"/>
      <c r="H542" s="32"/>
      <c r="I542" s="33"/>
      <c r="J542" s="32"/>
      <c r="K542" s="34" t="str">
        <f aca="false">IF(OR(M542="",$E542=""),"",M542-$E542)</f>
        <v/>
      </c>
      <c r="L542" s="35" t="str">
        <f aca="false">IF(SUM(FA542:FN542)=0,"",SUM(EM542:EZ542)/SUM(FA542:FN542))</f>
        <v/>
      </c>
      <c r="M542" s="36" t="str">
        <f aca="false">IF(OR(L542="",FO542=""),"",IFERROR(MATCH(L542,INDEX(Boundaries!$B$2:$I$30,MATCH(FO542,Boundaries!$A$2:$A$30,0),0),1)-1,""))</f>
        <v/>
      </c>
      <c r="N542" s="37" t="str">
        <f aca="false">IF(COUNT($DY542:$EL542)&lt;2,"",INDEX($DK542:$DX542,MAX($DY542:$EL542))-INDEX($DK542:$DX542,MIN($DY542:$EL542)))</f>
        <v/>
      </c>
      <c r="O542" s="37" t="str">
        <f aca="false">IF(COUNT($DY542:$EL542)&lt;2,"",INDEX($DK542:$DX542,MAX($DY542:$EL542))-INDEX($DK542:$DX542,LARGE($DY542:$EL542,2)))</f>
        <v/>
      </c>
      <c r="P542" s="38" t="str">
        <f aca="false">IF(K542="","",IF(K542&gt;=0,"On/above target",IF(AND(N542&lt;&gt;"",N542&gt;=0.5),"Improving towards target",IF(AND(O542&lt;&gt;"",O542&lt;=-0.5),"Declining","Stable below target"))))</f>
        <v/>
      </c>
      <c r="Q542" s="39"/>
      <c r="R542" s="40" t="str">
        <f aca="false">IF(OR(Q542="",BU542=""),"",Q542/BU542*100)</f>
        <v/>
      </c>
      <c r="S542" s="41" t="str">
        <f aca="false">IF(R542="","",IFERROR(MATCH(R542,INDEX(Boundaries!$B$2:$I$30,MATCH(CI542,Boundaries!$A$2:$A$30,0),0),1)-1,""))</f>
        <v/>
      </c>
      <c r="T542" s="42" t="str">
        <f aca="false">IF(OR(S542="",$E542=""),"",S542-$E542)</f>
        <v/>
      </c>
      <c r="U542" s="39"/>
      <c r="V542" s="40" t="str">
        <f aca="false">IF(OR(U542="",BV542=""),"",U542/BV542*100)</f>
        <v/>
      </c>
      <c r="W542" s="41" t="str">
        <f aca="false">IF(V542="","",IFERROR(MATCH(V542,INDEX(Boundaries!$B$2:$I$30,MATCH(CJ542,Boundaries!$A$2:$A$30,0),0),1)-1,""))</f>
        <v/>
      </c>
      <c r="X542" s="42" t="str">
        <f aca="false">IF(OR(W542="",$E542=""),"",W542-$E542)</f>
        <v/>
      </c>
      <c r="Y542" s="39"/>
      <c r="Z542" s="40" t="str">
        <f aca="false">IF(OR(Y542="",BW542=""),"",Y542/BW542*100)</f>
        <v/>
      </c>
      <c r="AA542" s="41" t="str">
        <f aca="false">IF(Z542="","",IFERROR(MATCH(Z542,INDEX(Boundaries!$B$2:$I$30,MATCH(CK542,Boundaries!$A$2:$A$30,0),0),1)-1,""))</f>
        <v/>
      </c>
      <c r="AB542" s="42" t="str">
        <f aca="false">IF(OR(AA542="",$E542=""),"",AA542-$E542)</f>
        <v/>
      </c>
      <c r="AC542" s="39"/>
      <c r="AD542" s="40" t="str">
        <f aca="false">IF(OR(AC542="",BX542=""),"",AC542/BX542*100)</f>
        <v/>
      </c>
      <c r="AE542" s="41" t="str">
        <f aca="false">IF(AD542="","",IFERROR(MATCH(AD542,INDEX(Boundaries!$B$2:$I$30,MATCH(CL542,Boundaries!$A$2:$A$30,0),0),1)-1,""))</f>
        <v/>
      </c>
      <c r="AF542" s="42" t="str">
        <f aca="false">IF(OR(AE542="",$E542=""),"",AE542-$E542)</f>
        <v/>
      </c>
      <c r="AG542" s="39"/>
      <c r="AH542" s="40" t="str">
        <f aca="false">IF(OR(AG542="",BY542=""),"",AG542/BY542*100)</f>
        <v/>
      </c>
      <c r="AI542" s="41" t="str">
        <f aca="false">IF(AH542="","",IFERROR(MATCH(AH542,INDEX(Boundaries!$B$2:$I$30,MATCH(CM542,Boundaries!$A$2:$A$30,0),0),1)-1,""))</f>
        <v/>
      </c>
      <c r="AJ542" s="42" t="str">
        <f aca="false">IF(OR(AI542="",$E542=""),"",AI542-$E542)</f>
        <v/>
      </c>
      <c r="AK542" s="39"/>
      <c r="AL542" s="40" t="str">
        <f aca="false">IF(OR(AK542="",BZ542=""),"",AK542/BZ542*100)</f>
        <v/>
      </c>
      <c r="AM542" s="41" t="str">
        <f aca="false">IF(AL542="","",IFERROR(MATCH(AL542,INDEX(Boundaries!$B$2:$I$30,MATCH(CN542,Boundaries!$A$2:$A$30,0),0),1)-1,""))</f>
        <v/>
      </c>
      <c r="AN542" s="42" t="str">
        <f aca="false">IF(OR(AM542="",$E542=""),"",AM542-$E542)</f>
        <v/>
      </c>
      <c r="AO542" s="39"/>
      <c r="AP542" s="40" t="str">
        <f aca="false">IF(OR(AO542="",CA542=""),"",AO542/CA542*100)</f>
        <v/>
      </c>
      <c r="AQ542" s="41" t="str">
        <f aca="false">IF(AP542="","",IFERROR(MATCH(AP542,INDEX(Boundaries!$B$2:$I$30,MATCH(CO542,Boundaries!$A$2:$A$30,0),0),1)-1,""))</f>
        <v/>
      </c>
      <c r="AR542" s="42" t="str">
        <f aca="false">IF(OR(AQ542="",$E542=""),"",AQ542-$E542)</f>
        <v/>
      </c>
      <c r="AS542" s="39"/>
      <c r="AT542" s="40" t="str">
        <f aca="false">IF(OR(AS542="",CB542=""),"",AS542/CB542*100)</f>
        <v/>
      </c>
      <c r="AU542" s="41" t="str">
        <f aca="false">IF(AT542="","",IFERROR(MATCH(AT542,INDEX(Boundaries!$B$2:$I$30,MATCH(CP542,Boundaries!$A$2:$A$30,0),0),1)-1,""))</f>
        <v/>
      </c>
      <c r="AV542" s="42" t="str">
        <f aca="false">IF(OR(AU542="",$E542=""),"",AU542-$E542)</f>
        <v/>
      </c>
      <c r="AW542" s="39"/>
      <c r="AX542" s="40" t="str">
        <f aca="false">IF(OR(AW542="",CC542=""),"",AW542/CC542*100)</f>
        <v/>
      </c>
      <c r="AY542" s="41" t="str">
        <f aca="false">IF(AX542="","",IFERROR(MATCH(AX542,INDEX(Boundaries!$B$2:$I$30,MATCH(CQ542,Boundaries!$A$2:$A$30,0),0),1)-1,""))</f>
        <v/>
      </c>
      <c r="AZ542" s="42" t="str">
        <f aca="false">IF(OR(AY542="",$E542=""),"",AY542-$E542)</f>
        <v/>
      </c>
      <c r="BA542" s="39"/>
      <c r="BB542" s="40" t="str">
        <f aca="false">IF(OR(BA542="",CD542=""),"",BA542/CD542*100)</f>
        <v/>
      </c>
      <c r="BC542" s="41" t="str">
        <f aca="false">IF(BB542="","",IFERROR(MATCH(BB542,INDEX(Boundaries!$B$2:$I$30,MATCH(CR542,Boundaries!$A$2:$A$30,0),0),1)-1,""))</f>
        <v/>
      </c>
      <c r="BD542" s="42" t="str">
        <f aca="false">IF(OR(BC542="",$E542=""),"",BC542-$E542)</f>
        <v/>
      </c>
      <c r="BE542" s="39"/>
      <c r="BF542" s="40" t="str">
        <f aca="false">IF(OR(BE542="",CE542=""),"",BE542/CE542*100)</f>
        <v/>
      </c>
      <c r="BG542" s="41" t="str">
        <f aca="false">IF(BF542="","",IFERROR(MATCH(BF542,INDEX(Boundaries!$B$2:$I$30,MATCH(CS542,Boundaries!$A$2:$A$30,0),0),1)-1,""))</f>
        <v/>
      </c>
      <c r="BH542" s="42" t="str">
        <f aca="false">IF(OR(BG542="",$E542=""),"",BG542-$E542)</f>
        <v/>
      </c>
      <c r="BI542" s="39"/>
      <c r="BJ542" s="40" t="str">
        <f aca="false">IF(OR(BI542="",CF542=""),"",BI542/CF542*100)</f>
        <v/>
      </c>
      <c r="BK542" s="41" t="str">
        <f aca="false">IF(BJ542="","",IFERROR(MATCH(BJ542,INDEX(Boundaries!$B$2:$I$30,MATCH(CT542,Boundaries!$A$2:$A$30,0),0),1)-1,""))</f>
        <v/>
      </c>
      <c r="BL542" s="42" t="str">
        <f aca="false">IF(OR(BK542="",$E542=""),"",BK542-$E542)</f>
        <v/>
      </c>
      <c r="BM542" s="39"/>
      <c r="BN542" s="40" t="str">
        <f aca="false">IF(OR(BM542="",CG542=""),"",BM542/CG542*100)</f>
        <v/>
      </c>
      <c r="BO542" s="41" t="str">
        <f aca="false">IF(BN542="","",IFERROR(MATCH(BN542,INDEX(Boundaries!$B$2:$I$30,MATCH(CU542,Boundaries!$A$2:$A$30,0),0),1)-1,""))</f>
        <v/>
      </c>
      <c r="BP542" s="42" t="str">
        <f aca="false">IF(OR(BO542="",$E542=""),"",BO542-$E542)</f>
        <v/>
      </c>
      <c r="BQ542" s="39"/>
      <c r="BR542" s="40" t="str">
        <f aca="false">IF(OR(BQ542="",CH542=""),"",BQ542/CH542*100)</f>
        <v/>
      </c>
      <c r="BS542" s="41" t="str">
        <f aca="false">IF(BR542="","",IFERROR(MATCH(BR542,INDEX(Boundaries!$B$2:$I$30,MATCH(CV542,Boundaries!$A$2:$A$30,0),0),1)-1,""))</f>
        <v/>
      </c>
      <c r="BT542" s="42" t="str">
        <f aca="false">IF(OR(BS542="",$E542=""),"",BS542-$E542)</f>
        <v/>
      </c>
      <c r="BU542" s="28" t="str">
        <f aca="false">IFERROR(INDEX(Assessments!$H$2:$H$600,MATCH($H542&amp;"|"&amp;$I542&amp;"|"&amp;$J542&amp;"|"&amp;1,Assessments!$A$2:$A$600,0)),"")</f>
        <v/>
      </c>
      <c r="BV542" s="28" t="str">
        <f aca="false">IFERROR(INDEX(Assessments!$H$2:$H$600,MATCH($H542&amp;"|"&amp;$I542&amp;"|"&amp;$J542&amp;"|"&amp;2,Assessments!$A$2:$A$600,0)),"")</f>
        <v/>
      </c>
      <c r="BW542" s="28" t="str">
        <f aca="false">IFERROR(INDEX(Assessments!$H$2:$H$600,MATCH($H542&amp;"|"&amp;$I542&amp;"|"&amp;$J542&amp;"|"&amp;3,Assessments!$A$2:$A$600,0)),"")</f>
        <v/>
      </c>
      <c r="BX542" s="28" t="str">
        <f aca="false">IFERROR(INDEX(Assessments!$H$2:$H$600,MATCH($H542&amp;"|"&amp;$I542&amp;"|"&amp;$J542&amp;"|"&amp;4,Assessments!$A$2:$A$600,0)),"")</f>
        <v/>
      </c>
      <c r="BY542" s="28" t="str">
        <f aca="false">IFERROR(INDEX(Assessments!$H$2:$H$600,MATCH($H542&amp;"|"&amp;$I542&amp;"|"&amp;$J542&amp;"|"&amp;5,Assessments!$A$2:$A$600,0)),"")</f>
        <v/>
      </c>
      <c r="BZ542" s="28" t="str">
        <f aca="false">IFERROR(INDEX(Assessments!$H$2:$H$600,MATCH($H542&amp;"|"&amp;$I542&amp;"|"&amp;$J542&amp;"|"&amp;6,Assessments!$A$2:$A$600,0)),"")</f>
        <v/>
      </c>
      <c r="CA542" s="28" t="str">
        <f aca="false">IFERROR(INDEX(Assessments!$H$2:$H$600,MATCH($H542&amp;"|"&amp;$I542&amp;"|"&amp;$J542&amp;"|"&amp;7,Assessments!$A$2:$A$600,0)),"")</f>
        <v/>
      </c>
      <c r="CB542" s="28" t="str">
        <f aca="false">IFERROR(INDEX(Assessments!$H$2:$H$600,MATCH($H542&amp;"|"&amp;$I542&amp;"|"&amp;$J542&amp;"|"&amp;8,Assessments!$A$2:$A$600,0)),"")</f>
        <v/>
      </c>
      <c r="CC542" s="28" t="str">
        <f aca="false">IFERROR(INDEX(Assessments!$H$2:$H$600,MATCH($H542&amp;"|"&amp;$I542&amp;"|"&amp;$J542&amp;"|"&amp;9,Assessments!$A$2:$A$600,0)),"")</f>
        <v/>
      </c>
      <c r="CD542" s="28" t="str">
        <f aca="false">IFERROR(INDEX(Assessments!$H$2:$H$600,MATCH($H542&amp;"|"&amp;$I542&amp;"|"&amp;$J542&amp;"|"&amp;10,Assessments!$A$2:$A$600,0)),"")</f>
        <v/>
      </c>
      <c r="CE542" s="28" t="str">
        <f aca="false">IFERROR(INDEX(Assessments!$H$2:$H$600,MATCH($H542&amp;"|"&amp;$I542&amp;"|"&amp;$J542&amp;"|"&amp;11,Assessments!$A$2:$A$600,0)),"")</f>
        <v/>
      </c>
      <c r="CF542" s="28" t="str">
        <f aca="false">IFERROR(INDEX(Assessments!$H$2:$H$600,MATCH($H542&amp;"|"&amp;$I542&amp;"|"&amp;$J542&amp;"|"&amp;12,Assessments!$A$2:$A$600,0)),"")</f>
        <v/>
      </c>
      <c r="CG542" s="28" t="str">
        <f aca="false">IFERROR(INDEX(Assessments!$H$2:$H$600,MATCH($H542&amp;"|"&amp;$I542&amp;"|"&amp;$J542&amp;"|"&amp;13,Assessments!$A$2:$A$600,0)),"")</f>
        <v/>
      </c>
      <c r="CH542" s="28" t="str">
        <f aca="false">IFERROR(INDEX(Assessments!$H$2:$H$600,MATCH($H542&amp;"|"&amp;$I542&amp;"|"&amp;$J542&amp;"|"&amp;14,Assessments!$A$2:$A$600,0)),"")</f>
        <v/>
      </c>
      <c r="CI542" s="28" t="str">
        <f aca="false">IFERROR(INDEX(Assessments!$I$2:$I$600,MATCH($H542&amp;"|"&amp;$I542&amp;"|"&amp;$J542&amp;"|"&amp;1,Assessments!$A$2:$A$600,0)),"")</f>
        <v/>
      </c>
      <c r="CJ542" s="28" t="str">
        <f aca="false">IFERROR(INDEX(Assessments!$I$2:$I$600,MATCH($H542&amp;"|"&amp;$I542&amp;"|"&amp;$J542&amp;"|"&amp;2,Assessments!$A$2:$A$600,0)),"")</f>
        <v/>
      </c>
      <c r="CK542" s="28" t="str">
        <f aca="false">IFERROR(INDEX(Assessments!$I$2:$I$600,MATCH($H542&amp;"|"&amp;$I542&amp;"|"&amp;$J542&amp;"|"&amp;3,Assessments!$A$2:$A$600,0)),"")</f>
        <v/>
      </c>
      <c r="CL542" s="28" t="str">
        <f aca="false">IFERROR(INDEX(Assessments!$I$2:$I$600,MATCH($H542&amp;"|"&amp;$I542&amp;"|"&amp;$J542&amp;"|"&amp;4,Assessments!$A$2:$A$600,0)),"")</f>
        <v/>
      </c>
      <c r="CM542" s="28" t="str">
        <f aca="false">IFERROR(INDEX(Assessments!$I$2:$I$600,MATCH($H542&amp;"|"&amp;$I542&amp;"|"&amp;$J542&amp;"|"&amp;5,Assessments!$A$2:$A$600,0)),"")</f>
        <v/>
      </c>
      <c r="CN542" s="28" t="str">
        <f aca="false">IFERROR(INDEX(Assessments!$I$2:$I$600,MATCH($H542&amp;"|"&amp;$I542&amp;"|"&amp;$J542&amp;"|"&amp;6,Assessments!$A$2:$A$600,0)),"")</f>
        <v/>
      </c>
      <c r="CO542" s="28" t="str">
        <f aca="false">IFERROR(INDEX(Assessments!$I$2:$I$600,MATCH($H542&amp;"|"&amp;$I542&amp;"|"&amp;$J542&amp;"|"&amp;7,Assessments!$A$2:$A$600,0)),"")</f>
        <v/>
      </c>
      <c r="CP542" s="28" t="str">
        <f aca="false">IFERROR(INDEX(Assessments!$I$2:$I$600,MATCH($H542&amp;"|"&amp;$I542&amp;"|"&amp;$J542&amp;"|"&amp;8,Assessments!$A$2:$A$600,0)),"")</f>
        <v/>
      </c>
      <c r="CQ542" s="28" t="str">
        <f aca="false">IFERROR(INDEX(Assessments!$I$2:$I$600,MATCH($H542&amp;"|"&amp;$I542&amp;"|"&amp;$J542&amp;"|"&amp;9,Assessments!$A$2:$A$600,0)),"")</f>
        <v/>
      </c>
      <c r="CR542" s="28" t="str">
        <f aca="false">IFERROR(INDEX(Assessments!$I$2:$I$600,MATCH($H542&amp;"|"&amp;$I542&amp;"|"&amp;$J542&amp;"|"&amp;10,Assessments!$A$2:$A$600,0)),"")</f>
        <v/>
      </c>
      <c r="CS542" s="28" t="str">
        <f aca="false">IFERROR(INDEX(Assessments!$I$2:$I$600,MATCH($H542&amp;"|"&amp;$I542&amp;"|"&amp;$J542&amp;"|"&amp;11,Assessments!$A$2:$A$600,0)),"")</f>
        <v/>
      </c>
      <c r="CT542" s="28" t="str">
        <f aca="false">IFERROR(INDEX(Assessments!$I$2:$I$600,MATCH($H542&amp;"|"&amp;$I542&amp;"|"&amp;$J542&amp;"|"&amp;12,Assessments!$A$2:$A$600,0)),"")</f>
        <v/>
      </c>
      <c r="CU542" s="28" t="str">
        <f aca="false">IFERROR(INDEX(Assessments!$I$2:$I$600,MATCH($H542&amp;"|"&amp;$I542&amp;"|"&amp;$J542&amp;"|"&amp;13,Assessments!$A$2:$A$600,0)),"")</f>
        <v/>
      </c>
      <c r="CV542" s="28" t="str">
        <f aca="false">IFERROR(INDEX(Assessments!$I$2:$I$600,MATCH($H542&amp;"|"&amp;$I542&amp;"|"&amp;$J542&amp;"|"&amp;14,Assessments!$A$2:$A$600,0)),"")</f>
        <v/>
      </c>
      <c r="CW542" s="28" t="n">
        <f aca="false">IFERROR(INDEX(Assessments!$J$2:$J$600,MATCH($H542&amp;"|"&amp;$I542&amp;"|"&amp;$J542&amp;"|"&amp;1,Assessments!$A$2:$A$600,0)),0)</f>
        <v>0</v>
      </c>
      <c r="CX542" s="28" t="n">
        <f aca="false">IFERROR(INDEX(Assessments!$J$2:$J$600,MATCH($H542&amp;"|"&amp;$I542&amp;"|"&amp;$J542&amp;"|"&amp;2,Assessments!$A$2:$A$600,0)),0)</f>
        <v>0</v>
      </c>
      <c r="CY542" s="28" t="n">
        <f aca="false">IFERROR(INDEX(Assessments!$J$2:$J$600,MATCH($H542&amp;"|"&amp;$I542&amp;"|"&amp;$J542&amp;"|"&amp;3,Assessments!$A$2:$A$600,0)),0)</f>
        <v>0</v>
      </c>
      <c r="CZ542" s="28" t="n">
        <f aca="false">IFERROR(INDEX(Assessments!$J$2:$J$600,MATCH($H542&amp;"|"&amp;$I542&amp;"|"&amp;$J542&amp;"|"&amp;4,Assessments!$A$2:$A$600,0)),0)</f>
        <v>0</v>
      </c>
      <c r="DA542" s="28" t="n">
        <f aca="false">IFERROR(INDEX(Assessments!$J$2:$J$600,MATCH($H542&amp;"|"&amp;$I542&amp;"|"&amp;$J542&amp;"|"&amp;5,Assessments!$A$2:$A$600,0)),0)</f>
        <v>0</v>
      </c>
      <c r="DB542" s="28" t="n">
        <f aca="false">IFERROR(INDEX(Assessments!$J$2:$J$600,MATCH($H542&amp;"|"&amp;$I542&amp;"|"&amp;$J542&amp;"|"&amp;6,Assessments!$A$2:$A$600,0)),0)</f>
        <v>0</v>
      </c>
      <c r="DC542" s="28" t="n">
        <f aca="false">IFERROR(INDEX(Assessments!$J$2:$J$600,MATCH($H542&amp;"|"&amp;$I542&amp;"|"&amp;$J542&amp;"|"&amp;7,Assessments!$A$2:$A$600,0)),0)</f>
        <v>0</v>
      </c>
      <c r="DD542" s="28" t="n">
        <f aca="false">IFERROR(INDEX(Assessments!$J$2:$J$600,MATCH($H542&amp;"|"&amp;$I542&amp;"|"&amp;$J542&amp;"|"&amp;8,Assessments!$A$2:$A$600,0)),0)</f>
        <v>0</v>
      </c>
      <c r="DE542" s="28" t="n">
        <f aca="false">IFERROR(INDEX(Assessments!$J$2:$J$600,MATCH($H542&amp;"|"&amp;$I542&amp;"|"&amp;$J542&amp;"|"&amp;9,Assessments!$A$2:$A$600,0)),0)</f>
        <v>0</v>
      </c>
      <c r="DF542" s="28" t="n">
        <f aca="false">IFERROR(INDEX(Assessments!$J$2:$J$600,MATCH($H542&amp;"|"&amp;$I542&amp;"|"&amp;$J542&amp;"|"&amp;10,Assessments!$A$2:$A$600,0)),0)</f>
        <v>0</v>
      </c>
      <c r="DG542" s="28" t="n">
        <f aca="false">IFERROR(INDEX(Assessments!$J$2:$J$600,MATCH($H542&amp;"|"&amp;$I542&amp;"|"&amp;$J542&amp;"|"&amp;11,Assessments!$A$2:$A$600,0)),0)</f>
        <v>0</v>
      </c>
      <c r="DH542" s="28" t="n">
        <f aca="false">IFERROR(INDEX(Assessments!$J$2:$J$600,MATCH($H542&amp;"|"&amp;$I542&amp;"|"&amp;$J542&amp;"|"&amp;12,Assessments!$A$2:$A$600,0)),0)</f>
        <v>0</v>
      </c>
      <c r="DI542" s="28" t="n">
        <f aca="false">IFERROR(INDEX(Assessments!$J$2:$J$600,MATCH($H542&amp;"|"&amp;$I542&amp;"|"&amp;$J542&amp;"|"&amp;13,Assessments!$A$2:$A$600,0)),0)</f>
        <v>0</v>
      </c>
      <c r="DJ542" s="28" t="n">
        <f aca="false">IFERROR(INDEX(Assessments!$J$2:$J$600,MATCH($H542&amp;"|"&amp;$I542&amp;"|"&amp;$J542&amp;"|"&amp;14,Assessments!$A$2:$A$600,0)),0)</f>
        <v>0</v>
      </c>
      <c r="DK542" s="28" t="str">
        <f aca="false">S542</f>
        <v/>
      </c>
      <c r="DL542" s="28" t="str">
        <f aca="false">W542</f>
        <v/>
      </c>
      <c r="DM542" s="28" t="str">
        <f aca="false">AA542</f>
        <v/>
      </c>
      <c r="DN542" s="28" t="str">
        <f aca="false">AE542</f>
        <v/>
      </c>
      <c r="DO542" s="28" t="str">
        <f aca="false">AI542</f>
        <v/>
      </c>
      <c r="DP542" s="28" t="str">
        <f aca="false">AM542</f>
        <v/>
      </c>
      <c r="DQ542" s="28" t="str">
        <f aca="false">AQ542</f>
        <v/>
      </c>
      <c r="DR542" s="28" t="str">
        <f aca="false">AU542</f>
        <v/>
      </c>
      <c r="DS542" s="28" t="str">
        <f aca="false">AY542</f>
        <v/>
      </c>
      <c r="DT542" s="28" t="str">
        <f aca="false">BC542</f>
        <v/>
      </c>
      <c r="DU542" s="28" t="str">
        <f aca="false">BG542</f>
        <v/>
      </c>
      <c r="DV542" s="28" t="str">
        <f aca="false">BK542</f>
        <v/>
      </c>
      <c r="DW542" s="28" t="str">
        <f aca="false">BO542</f>
        <v/>
      </c>
      <c r="DX542" s="28" t="str">
        <f aca="false">BS542</f>
        <v/>
      </c>
      <c r="DY542" s="28" t="str">
        <f aca="false">IF(ISNUMBER(S542),1,"")</f>
        <v/>
      </c>
      <c r="DZ542" s="28" t="str">
        <f aca="false">IF(ISNUMBER(W542),2,"")</f>
        <v/>
      </c>
      <c r="EA542" s="28" t="str">
        <f aca="false">IF(ISNUMBER(AA542),3,"")</f>
        <v/>
      </c>
      <c r="EB542" s="28" t="str">
        <f aca="false">IF(ISNUMBER(AE542),4,"")</f>
        <v/>
      </c>
      <c r="EC542" s="28" t="str">
        <f aca="false">IF(ISNUMBER(AI542),5,"")</f>
        <v/>
      </c>
      <c r="ED542" s="28" t="str">
        <f aca="false">IF(ISNUMBER(AM542),6,"")</f>
        <v/>
      </c>
      <c r="EE542" s="28" t="str">
        <f aca="false">IF(ISNUMBER(AQ542),7,"")</f>
        <v/>
      </c>
      <c r="EF542" s="28" t="str">
        <f aca="false">IF(ISNUMBER(AU542),8,"")</f>
        <v/>
      </c>
      <c r="EG542" s="28" t="str">
        <f aca="false">IF(ISNUMBER(AY542),9,"")</f>
        <v/>
      </c>
      <c r="EH542" s="28" t="str">
        <f aca="false">IF(ISNUMBER(BC542),10,"")</f>
        <v/>
      </c>
      <c r="EI542" s="28" t="str">
        <f aca="false">IF(ISNUMBER(BG542),11,"")</f>
        <v/>
      </c>
      <c r="EJ542" s="28" t="str">
        <f aca="false">IF(ISNUMBER(BK542),12,"")</f>
        <v/>
      </c>
      <c r="EK542" s="28" t="str">
        <f aca="false">IF(ISNUMBER(BO542),13,"")</f>
        <v/>
      </c>
      <c r="EL542" s="28" t="str">
        <f aca="false">IF(ISNUMBER(BS542),14,"")</f>
        <v/>
      </c>
      <c r="EM542" s="28" t="n">
        <f aca="false">IF(ISNUMBER(R542),R542*CW542,0)</f>
        <v>0</v>
      </c>
      <c r="EN542" s="28" t="n">
        <f aca="false">IF(ISNUMBER(V542),V542*CX542,0)</f>
        <v>0</v>
      </c>
      <c r="EO542" s="28" t="n">
        <f aca="false">IF(ISNUMBER(Z542),Z542*CY542,0)</f>
        <v>0</v>
      </c>
      <c r="EP542" s="28" t="n">
        <f aca="false">IF(ISNUMBER(AD542),AD542*CZ542,0)</f>
        <v>0</v>
      </c>
      <c r="EQ542" s="28" t="n">
        <f aca="false">IF(ISNUMBER(AH542),AH542*DA542,0)</f>
        <v>0</v>
      </c>
      <c r="ER542" s="28" t="n">
        <f aca="false">IF(ISNUMBER(AL542),AL542*DB542,0)</f>
        <v>0</v>
      </c>
      <c r="ES542" s="28" t="n">
        <f aca="false">IF(ISNUMBER(AP542),AP542*DC542,0)</f>
        <v>0</v>
      </c>
      <c r="ET542" s="28" t="n">
        <f aca="false">IF(ISNUMBER(AT542),AT542*DD542,0)</f>
        <v>0</v>
      </c>
      <c r="EU542" s="28" t="n">
        <f aca="false">IF(ISNUMBER(AX542),AX542*DE542,0)</f>
        <v>0</v>
      </c>
      <c r="EV542" s="28" t="n">
        <f aca="false">IF(ISNUMBER(BB542),BB542*DF542,0)</f>
        <v>0</v>
      </c>
      <c r="EW542" s="28" t="n">
        <f aca="false">IF(ISNUMBER(BF542),BF542*DG542,0)</f>
        <v>0</v>
      </c>
      <c r="EX542" s="28" t="n">
        <f aca="false">IF(ISNUMBER(BJ542),BJ542*DH542,0)</f>
        <v>0</v>
      </c>
      <c r="EY542" s="28" t="n">
        <f aca="false">IF(ISNUMBER(BN542),BN542*DI542,0)</f>
        <v>0</v>
      </c>
      <c r="EZ542" s="28" t="n">
        <f aca="false">IF(ISNUMBER(BR542),BR542*DJ542,0)</f>
        <v>0</v>
      </c>
      <c r="FA542" s="28" t="n">
        <f aca="false">IF(ISNUMBER(R542),CW542,0)</f>
        <v>0</v>
      </c>
      <c r="FB542" s="28" t="n">
        <f aca="false">IF(ISNUMBER(V542),CX542,0)</f>
        <v>0</v>
      </c>
      <c r="FC542" s="28" t="n">
        <f aca="false">IF(ISNUMBER(Z542),CY542,0)</f>
        <v>0</v>
      </c>
      <c r="FD542" s="28" t="n">
        <f aca="false">IF(ISNUMBER(AD542),CZ542,0)</f>
        <v>0</v>
      </c>
      <c r="FE542" s="28" t="n">
        <f aca="false">IF(ISNUMBER(AH542),DA542,0)</f>
        <v>0</v>
      </c>
      <c r="FF542" s="28" t="n">
        <f aca="false">IF(ISNUMBER(AL542),DB542,0)</f>
        <v>0</v>
      </c>
      <c r="FG542" s="28" t="n">
        <f aca="false">IF(ISNUMBER(AP542),DC542,0)</f>
        <v>0</v>
      </c>
      <c r="FH542" s="28" t="n">
        <f aca="false">IF(ISNUMBER(AT542),DD542,0)</f>
        <v>0</v>
      </c>
      <c r="FI542" s="28" t="n">
        <f aca="false">IF(ISNUMBER(AX542),DE542,0)</f>
        <v>0</v>
      </c>
      <c r="FJ542" s="28" t="n">
        <f aca="false">IF(ISNUMBER(BB542),DF542,0)</f>
        <v>0</v>
      </c>
      <c r="FK542" s="28" t="n">
        <f aca="false">IF(ISNUMBER(BF542),DG542,0)</f>
        <v>0</v>
      </c>
      <c r="FL542" s="28" t="n">
        <f aca="false">IF(ISNUMBER(BJ542),DH542,0)</f>
        <v>0</v>
      </c>
      <c r="FM542" s="28" t="n">
        <f aca="false">IF(ISNUMBER(BN542),DI542,0)</f>
        <v>0</v>
      </c>
      <c r="FN542" s="28" t="n">
        <f aca="false">IF(ISNUMBER(BR542),DJ542,0)</f>
        <v>0</v>
      </c>
      <c r="FO542" s="28" t="str">
        <f aca="false">IFERROR(INDEX(Lists!$G$2:$G$20,MATCH($I542&amp;"|"&amp;$J542,Lists!$F$2:$F$20,0)),"")</f>
        <v/>
      </c>
    </row>
    <row r="543" customFormat="false" ht="19.5" hidden="false" customHeight="true" outlineLevel="0" collapsed="false">
      <c r="A543" s="29"/>
      <c r="B543" s="29"/>
      <c r="C543" s="30"/>
      <c r="D543" s="30"/>
      <c r="E543" s="31"/>
      <c r="F543" s="30"/>
      <c r="G543" s="30"/>
      <c r="H543" s="32"/>
      <c r="I543" s="33"/>
      <c r="J543" s="32"/>
      <c r="K543" s="34" t="str">
        <f aca="false">IF(OR(M543="",$E543=""),"",M543-$E543)</f>
        <v/>
      </c>
      <c r="L543" s="35" t="str">
        <f aca="false">IF(SUM(FA543:FN543)=0,"",SUM(EM543:EZ543)/SUM(FA543:FN543))</f>
        <v/>
      </c>
      <c r="M543" s="36" t="str">
        <f aca="false">IF(OR(L543="",FO543=""),"",IFERROR(MATCH(L543,INDEX(Boundaries!$B$2:$I$30,MATCH(FO543,Boundaries!$A$2:$A$30,0),0),1)-1,""))</f>
        <v/>
      </c>
      <c r="N543" s="37" t="str">
        <f aca="false">IF(COUNT($DY543:$EL543)&lt;2,"",INDEX($DK543:$DX543,MAX($DY543:$EL543))-INDEX($DK543:$DX543,MIN($DY543:$EL543)))</f>
        <v/>
      </c>
      <c r="O543" s="37" t="str">
        <f aca="false">IF(COUNT($DY543:$EL543)&lt;2,"",INDEX($DK543:$DX543,MAX($DY543:$EL543))-INDEX($DK543:$DX543,LARGE($DY543:$EL543,2)))</f>
        <v/>
      </c>
      <c r="P543" s="38" t="str">
        <f aca="false">IF(K543="","",IF(K543&gt;=0,"On/above target",IF(AND(N543&lt;&gt;"",N543&gt;=0.5),"Improving towards target",IF(AND(O543&lt;&gt;"",O543&lt;=-0.5),"Declining","Stable below target"))))</f>
        <v/>
      </c>
      <c r="Q543" s="39"/>
      <c r="R543" s="40" t="str">
        <f aca="false">IF(OR(Q543="",BU543=""),"",Q543/BU543*100)</f>
        <v/>
      </c>
      <c r="S543" s="41" t="str">
        <f aca="false">IF(R543="","",IFERROR(MATCH(R543,INDEX(Boundaries!$B$2:$I$30,MATCH(CI543,Boundaries!$A$2:$A$30,0),0),1)-1,""))</f>
        <v/>
      </c>
      <c r="T543" s="42" t="str">
        <f aca="false">IF(OR(S543="",$E543=""),"",S543-$E543)</f>
        <v/>
      </c>
      <c r="U543" s="39"/>
      <c r="V543" s="40" t="str">
        <f aca="false">IF(OR(U543="",BV543=""),"",U543/BV543*100)</f>
        <v/>
      </c>
      <c r="W543" s="41" t="str">
        <f aca="false">IF(V543="","",IFERROR(MATCH(V543,INDEX(Boundaries!$B$2:$I$30,MATCH(CJ543,Boundaries!$A$2:$A$30,0),0),1)-1,""))</f>
        <v/>
      </c>
      <c r="X543" s="42" t="str">
        <f aca="false">IF(OR(W543="",$E543=""),"",W543-$E543)</f>
        <v/>
      </c>
      <c r="Y543" s="39"/>
      <c r="Z543" s="40" t="str">
        <f aca="false">IF(OR(Y543="",BW543=""),"",Y543/BW543*100)</f>
        <v/>
      </c>
      <c r="AA543" s="41" t="str">
        <f aca="false">IF(Z543="","",IFERROR(MATCH(Z543,INDEX(Boundaries!$B$2:$I$30,MATCH(CK543,Boundaries!$A$2:$A$30,0),0),1)-1,""))</f>
        <v/>
      </c>
      <c r="AB543" s="42" t="str">
        <f aca="false">IF(OR(AA543="",$E543=""),"",AA543-$E543)</f>
        <v/>
      </c>
      <c r="AC543" s="39"/>
      <c r="AD543" s="40" t="str">
        <f aca="false">IF(OR(AC543="",BX543=""),"",AC543/BX543*100)</f>
        <v/>
      </c>
      <c r="AE543" s="41" t="str">
        <f aca="false">IF(AD543="","",IFERROR(MATCH(AD543,INDEX(Boundaries!$B$2:$I$30,MATCH(CL543,Boundaries!$A$2:$A$30,0),0),1)-1,""))</f>
        <v/>
      </c>
      <c r="AF543" s="42" t="str">
        <f aca="false">IF(OR(AE543="",$E543=""),"",AE543-$E543)</f>
        <v/>
      </c>
      <c r="AG543" s="39"/>
      <c r="AH543" s="40" t="str">
        <f aca="false">IF(OR(AG543="",BY543=""),"",AG543/BY543*100)</f>
        <v/>
      </c>
      <c r="AI543" s="41" t="str">
        <f aca="false">IF(AH543="","",IFERROR(MATCH(AH543,INDEX(Boundaries!$B$2:$I$30,MATCH(CM543,Boundaries!$A$2:$A$30,0),0),1)-1,""))</f>
        <v/>
      </c>
      <c r="AJ543" s="42" t="str">
        <f aca="false">IF(OR(AI543="",$E543=""),"",AI543-$E543)</f>
        <v/>
      </c>
      <c r="AK543" s="39"/>
      <c r="AL543" s="40" t="str">
        <f aca="false">IF(OR(AK543="",BZ543=""),"",AK543/BZ543*100)</f>
        <v/>
      </c>
      <c r="AM543" s="41" t="str">
        <f aca="false">IF(AL543="","",IFERROR(MATCH(AL543,INDEX(Boundaries!$B$2:$I$30,MATCH(CN543,Boundaries!$A$2:$A$30,0),0),1)-1,""))</f>
        <v/>
      </c>
      <c r="AN543" s="42" t="str">
        <f aca="false">IF(OR(AM543="",$E543=""),"",AM543-$E543)</f>
        <v/>
      </c>
      <c r="AO543" s="39"/>
      <c r="AP543" s="40" t="str">
        <f aca="false">IF(OR(AO543="",CA543=""),"",AO543/CA543*100)</f>
        <v/>
      </c>
      <c r="AQ543" s="41" t="str">
        <f aca="false">IF(AP543="","",IFERROR(MATCH(AP543,INDEX(Boundaries!$B$2:$I$30,MATCH(CO543,Boundaries!$A$2:$A$30,0),0),1)-1,""))</f>
        <v/>
      </c>
      <c r="AR543" s="42" t="str">
        <f aca="false">IF(OR(AQ543="",$E543=""),"",AQ543-$E543)</f>
        <v/>
      </c>
      <c r="AS543" s="39"/>
      <c r="AT543" s="40" t="str">
        <f aca="false">IF(OR(AS543="",CB543=""),"",AS543/CB543*100)</f>
        <v/>
      </c>
      <c r="AU543" s="41" t="str">
        <f aca="false">IF(AT543="","",IFERROR(MATCH(AT543,INDEX(Boundaries!$B$2:$I$30,MATCH(CP543,Boundaries!$A$2:$A$30,0),0),1)-1,""))</f>
        <v/>
      </c>
      <c r="AV543" s="42" t="str">
        <f aca="false">IF(OR(AU543="",$E543=""),"",AU543-$E543)</f>
        <v/>
      </c>
      <c r="AW543" s="39"/>
      <c r="AX543" s="40" t="str">
        <f aca="false">IF(OR(AW543="",CC543=""),"",AW543/CC543*100)</f>
        <v/>
      </c>
      <c r="AY543" s="41" t="str">
        <f aca="false">IF(AX543="","",IFERROR(MATCH(AX543,INDEX(Boundaries!$B$2:$I$30,MATCH(CQ543,Boundaries!$A$2:$A$30,0),0),1)-1,""))</f>
        <v/>
      </c>
      <c r="AZ543" s="42" t="str">
        <f aca="false">IF(OR(AY543="",$E543=""),"",AY543-$E543)</f>
        <v/>
      </c>
      <c r="BA543" s="39"/>
      <c r="BB543" s="40" t="str">
        <f aca="false">IF(OR(BA543="",CD543=""),"",BA543/CD543*100)</f>
        <v/>
      </c>
      <c r="BC543" s="41" t="str">
        <f aca="false">IF(BB543="","",IFERROR(MATCH(BB543,INDEX(Boundaries!$B$2:$I$30,MATCH(CR543,Boundaries!$A$2:$A$30,0),0),1)-1,""))</f>
        <v/>
      </c>
      <c r="BD543" s="42" t="str">
        <f aca="false">IF(OR(BC543="",$E543=""),"",BC543-$E543)</f>
        <v/>
      </c>
      <c r="BE543" s="39"/>
      <c r="BF543" s="40" t="str">
        <f aca="false">IF(OR(BE543="",CE543=""),"",BE543/CE543*100)</f>
        <v/>
      </c>
      <c r="BG543" s="41" t="str">
        <f aca="false">IF(BF543="","",IFERROR(MATCH(BF543,INDEX(Boundaries!$B$2:$I$30,MATCH(CS543,Boundaries!$A$2:$A$30,0),0),1)-1,""))</f>
        <v/>
      </c>
      <c r="BH543" s="42" t="str">
        <f aca="false">IF(OR(BG543="",$E543=""),"",BG543-$E543)</f>
        <v/>
      </c>
      <c r="BI543" s="39"/>
      <c r="BJ543" s="40" t="str">
        <f aca="false">IF(OR(BI543="",CF543=""),"",BI543/CF543*100)</f>
        <v/>
      </c>
      <c r="BK543" s="41" t="str">
        <f aca="false">IF(BJ543="","",IFERROR(MATCH(BJ543,INDEX(Boundaries!$B$2:$I$30,MATCH(CT543,Boundaries!$A$2:$A$30,0),0),1)-1,""))</f>
        <v/>
      </c>
      <c r="BL543" s="42" t="str">
        <f aca="false">IF(OR(BK543="",$E543=""),"",BK543-$E543)</f>
        <v/>
      </c>
      <c r="BM543" s="39"/>
      <c r="BN543" s="40" t="str">
        <f aca="false">IF(OR(BM543="",CG543=""),"",BM543/CG543*100)</f>
        <v/>
      </c>
      <c r="BO543" s="41" t="str">
        <f aca="false">IF(BN543="","",IFERROR(MATCH(BN543,INDEX(Boundaries!$B$2:$I$30,MATCH(CU543,Boundaries!$A$2:$A$30,0),0),1)-1,""))</f>
        <v/>
      </c>
      <c r="BP543" s="42" t="str">
        <f aca="false">IF(OR(BO543="",$E543=""),"",BO543-$E543)</f>
        <v/>
      </c>
      <c r="BQ543" s="39"/>
      <c r="BR543" s="40" t="str">
        <f aca="false">IF(OR(BQ543="",CH543=""),"",BQ543/CH543*100)</f>
        <v/>
      </c>
      <c r="BS543" s="41" t="str">
        <f aca="false">IF(BR543="","",IFERROR(MATCH(BR543,INDEX(Boundaries!$B$2:$I$30,MATCH(CV543,Boundaries!$A$2:$A$30,0),0),1)-1,""))</f>
        <v/>
      </c>
      <c r="BT543" s="42" t="str">
        <f aca="false">IF(OR(BS543="",$E543=""),"",BS543-$E543)</f>
        <v/>
      </c>
      <c r="BU543" s="28" t="str">
        <f aca="false">IFERROR(INDEX(Assessments!$H$2:$H$600,MATCH($H543&amp;"|"&amp;$I543&amp;"|"&amp;$J543&amp;"|"&amp;1,Assessments!$A$2:$A$600,0)),"")</f>
        <v/>
      </c>
      <c r="BV543" s="28" t="str">
        <f aca="false">IFERROR(INDEX(Assessments!$H$2:$H$600,MATCH($H543&amp;"|"&amp;$I543&amp;"|"&amp;$J543&amp;"|"&amp;2,Assessments!$A$2:$A$600,0)),"")</f>
        <v/>
      </c>
      <c r="BW543" s="28" t="str">
        <f aca="false">IFERROR(INDEX(Assessments!$H$2:$H$600,MATCH($H543&amp;"|"&amp;$I543&amp;"|"&amp;$J543&amp;"|"&amp;3,Assessments!$A$2:$A$600,0)),"")</f>
        <v/>
      </c>
      <c r="BX543" s="28" t="str">
        <f aca="false">IFERROR(INDEX(Assessments!$H$2:$H$600,MATCH($H543&amp;"|"&amp;$I543&amp;"|"&amp;$J543&amp;"|"&amp;4,Assessments!$A$2:$A$600,0)),"")</f>
        <v/>
      </c>
      <c r="BY543" s="28" t="str">
        <f aca="false">IFERROR(INDEX(Assessments!$H$2:$H$600,MATCH($H543&amp;"|"&amp;$I543&amp;"|"&amp;$J543&amp;"|"&amp;5,Assessments!$A$2:$A$600,0)),"")</f>
        <v/>
      </c>
      <c r="BZ543" s="28" t="str">
        <f aca="false">IFERROR(INDEX(Assessments!$H$2:$H$600,MATCH($H543&amp;"|"&amp;$I543&amp;"|"&amp;$J543&amp;"|"&amp;6,Assessments!$A$2:$A$600,0)),"")</f>
        <v/>
      </c>
      <c r="CA543" s="28" t="str">
        <f aca="false">IFERROR(INDEX(Assessments!$H$2:$H$600,MATCH($H543&amp;"|"&amp;$I543&amp;"|"&amp;$J543&amp;"|"&amp;7,Assessments!$A$2:$A$600,0)),"")</f>
        <v/>
      </c>
      <c r="CB543" s="28" t="str">
        <f aca="false">IFERROR(INDEX(Assessments!$H$2:$H$600,MATCH($H543&amp;"|"&amp;$I543&amp;"|"&amp;$J543&amp;"|"&amp;8,Assessments!$A$2:$A$600,0)),"")</f>
        <v/>
      </c>
      <c r="CC543" s="28" t="str">
        <f aca="false">IFERROR(INDEX(Assessments!$H$2:$H$600,MATCH($H543&amp;"|"&amp;$I543&amp;"|"&amp;$J543&amp;"|"&amp;9,Assessments!$A$2:$A$600,0)),"")</f>
        <v/>
      </c>
      <c r="CD543" s="28" t="str">
        <f aca="false">IFERROR(INDEX(Assessments!$H$2:$H$600,MATCH($H543&amp;"|"&amp;$I543&amp;"|"&amp;$J543&amp;"|"&amp;10,Assessments!$A$2:$A$600,0)),"")</f>
        <v/>
      </c>
      <c r="CE543" s="28" t="str">
        <f aca="false">IFERROR(INDEX(Assessments!$H$2:$H$600,MATCH($H543&amp;"|"&amp;$I543&amp;"|"&amp;$J543&amp;"|"&amp;11,Assessments!$A$2:$A$600,0)),"")</f>
        <v/>
      </c>
      <c r="CF543" s="28" t="str">
        <f aca="false">IFERROR(INDEX(Assessments!$H$2:$H$600,MATCH($H543&amp;"|"&amp;$I543&amp;"|"&amp;$J543&amp;"|"&amp;12,Assessments!$A$2:$A$600,0)),"")</f>
        <v/>
      </c>
      <c r="CG543" s="28" t="str">
        <f aca="false">IFERROR(INDEX(Assessments!$H$2:$H$600,MATCH($H543&amp;"|"&amp;$I543&amp;"|"&amp;$J543&amp;"|"&amp;13,Assessments!$A$2:$A$600,0)),"")</f>
        <v/>
      </c>
      <c r="CH543" s="28" t="str">
        <f aca="false">IFERROR(INDEX(Assessments!$H$2:$H$600,MATCH($H543&amp;"|"&amp;$I543&amp;"|"&amp;$J543&amp;"|"&amp;14,Assessments!$A$2:$A$600,0)),"")</f>
        <v/>
      </c>
      <c r="CI543" s="28" t="str">
        <f aca="false">IFERROR(INDEX(Assessments!$I$2:$I$600,MATCH($H543&amp;"|"&amp;$I543&amp;"|"&amp;$J543&amp;"|"&amp;1,Assessments!$A$2:$A$600,0)),"")</f>
        <v/>
      </c>
      <c r="CJ543" s="28" t="str">
        <f aca="false">IFERROR(INDEX(Assessments!$I$2:$I$600,MATCH($H543&amp;"|"&amp;$I543&amp;"|"&amp;$J543&amp;"|"&amp;2,Assessments!$A$2:$A$600,0)),"")</f>
        <v/>
      </c>
      <c r="CK543" s="28" t="str">
        <f aca="false">IFERROR(INDEX(Assessments!$I$2:$I$600,MATCH($H543&amp;"|"&amp;$I543&amp;"|"&amp;$J543&amp;"|"&amp;3,Assessments!$A$2:$A$600,0)),"")</f>
        <v/>
      </c>
      <c r="CL543" s="28" t="str">
        <f aca="false">IFERROR(INDEX(Assessments!$I$2:$I$600,MATCH($H543&amp;"|"&amp;$I543&amp;"|"&amp;$J543&amp;"|"&amp;4,Assessments!$A$2:$A$600,0)),"")</f>
        <v/>
      </c>
      <c r="CM543" s="28" t="str">
        <f aca="false">IFERROR(INDEX(Assessments!$I$2:$I$600,MATCH($H543&amp;"|"&amp;$I543&amp;"|"&amp;$J543&amp;"|"&amp;5,Assessments!$A$2:$A$600,0)),"")</f>
        <v/>
      </c>
      <c r="CN543" s="28" t="str">
        <f aca="false">IFERROR(INDEX(Assessments!$I$2:$I$600,MATCH($H543&amp;"|"&amp;$I543&amp;"|"&amp;$J543&amp;"|"&amp;6,Assessments!$A$2:$A$600,0)),"")</f>
        <v/>
      </c>
      <c r="CO543" s="28" t="str">
        <f aca="false">IFERROR(INDEX(Assessments!$I$2:$I$600,MATCH($H543&amp;"|"&amp;$I543&amp;"|"&amp;$J543&amp;"|"&amp;7,Assessments!$A$2:$A$600,0)),"")</f>
        <v/>
      </c>
      <c r="CP543" s="28" t="str">
        <f aca="false">IFERROR(INDEX(Assessments!$I$2:$I$600,MATCH($H543&amp;"|"&amp;$I543&amp;"|"&amp;$J543&amp;"|"&amp;8,Assessments!$A$2:$A$600,0)),"")</f>
        <v/>
      </c>
      <c r="CQ543" s="28" t="str">
        <f aca="false">IFERROR(INDEX(Assessments!$I$2:$I$600,MATCH($H543&amp;"|"&amp;$I543&amp;"|"&amp;$J543&amp;"|"&amp;9,Assessments!$A$2:$A$600,0)),"")</f>
        <v/>
      </c>
      <c r="CR543" s="28" t="str">
        <f aca="false">IFERROR(INDEX(Assessments!$I$2:$I$600,MATCH($H543&amp;"|"&amp;$I543&amp;"|"&amp;$J543&amp;"|"&amp;10,Assessments!$A$2:$A$600,0)),"")</f>
        <v/>
      </c>
      <c r="CS543" s="28" t="str">
        <f aca="false">IFERROR(INDEX(Assessments!$I$2:$I$600,MATCH($H543&amp;"|"&amp;$I543&amp;"|"&amp;$J543&amp;"|"&amp;11,Assessments!$A$2:$A$600,0)),"")</f>
        <v/>
      </c>
      <c r="CT543" s="28" t="str">
        <f aca="false">IFERROR(INDEX(Assessments!$I$2:$I$600,MATCH($H543&amp;"|"&amp;$I543&amp;"|"&amp;$J543&amp;"|"&amp;12,Assessments!$A$2:$A$600,0)),"")</f>
        <v/>
      </c>
      <c r="CU543" s="28" t="str">
        <f aca="false">IFERROR(INDEX(Assessments!$I$2:$I$600,MATCH($H543&amp;"|"&amp;$I543&amp;"|"&amp;$J543&amp;"|"&amp;13,Assessments!$A$2:$A$600,0)),"")</f>
        <v/>
      </c>
      <c r="CV543" s="28" t="str">
        <f aca="false">IFERROR(INDEX(Assessments!$I$2:$I$600,MATCH($H543&amp;"|"&amp;$I543&amp;"|"&amp;$J543&amp;"|"&amp;14,Assessments!$A$2:$A$600,0)),"")</f>
        <v/>
      </c>
      <c r="CW543" s="28" t="n">
        <f aca="false">IFERROR(INDEX(Assessments!$J$2:$J$600,MATCH($H543&amp;"|"&amp;$I543&amp;"|"&amp;$J543&amp;"|"&amp;1,Assessments!$A$2:$A$600,0)),0)</f>
        <v>0</v>
      </c>
      <c r="CX543" s="28" t="n">
        <f aca="false">IFERROR(INDEX(Assessments!$J$2:$J$600,MATCH($H543&amp;"|"&amp;$I543&amp;"|"&amp;$J543&amp;"|"&amp;2,Assessments!$A$2:$A$600,0)),0)</f>
        <v>0</v>
      </c>
      <c r="CY543" s="28" t="n">
        <f aca="false">IFERROR(INDEX(Assessments!$J$2:$J$600,MATCH($H543&amp;"|"&amp;$I543&amp;"|"&amp;$J543&amp;"|"&amp;3,Assessments!$A$2:$A$600,0)),0)</f>
        <v>0</v>
      </c>
      <c r="CZ543" s="28" t="n">
        <f aca="false">IFERROR(INDEX(Assessments!$J$2:$J$600,MATCH($H543&amp;"|"&amp;$I543&amp;"|"&amp;$J543&amp;"|"&amp;4,Assessments!$A$2:$A$600,0)),0)</f>
        <v>0</v>
      </c>
      <c r="DA543" s="28" t="n">
        <f aca="false">IFERROR(INDEX(Assessments!$J$2:$J$600,MATCH($H543&amp;"|"&amp;$I543&amp;"|"&amp;$J543&amp;"|"&amp;5,Assessments!$A$2:$A$600,0)),0)</f>
        <v>0</v>
      </c>
      <c r="DB543" s="28" t="n">
        <f aca="false">IFERROR(INDEX(Assessments!$J$2:$J$600,MATCH($H543&amp;"|"&amp;$I543&amp;"|"&amp;$J543&amp;"|"&amp;6,Assessments!$A$2:$A$600,0)),0)</f>
        <v>0</v>
      </c>
      <c r="DC543" s="28" t="n">
        <f aca="false">IFERROR(INDEX(Assessments!$J$2:$J$600,MATCH($H543&amp;"|"&amp;$I543&amp;"|"&amp;$J543&amp;"|"&amp;7,Assessments!$A$2:$A$600,0)),0)</f>
        <v>0</v>
      </c>
      <c r="DD543" s="28" t="n">
        <f aca="false">IFERROR(INDEX(Assessments!$J$2:$J$600,MATCH($H543&amp;"|"&amp;$I543&amp;"|"&amp;$J543&amp;"|"&amp;8,Assessments!$A$2:$A$600,0)),0)</f>
        <v>0</v>
      </c>
      <c r="DE543" s="28" t="n">
        <f aca="false">IFERROR(INDEX(Assessments!$J$2:$J$600,MATCH($H543&amp;"|"&amp;$I543&amp;"|"&amp;$J543&amp;"|"&amp;9,Assessments!$A$2:$A$600,0)),0)</f>
        <v>0</v>
      </c>
      <c r="DF543" s="28" t="n">
        <f aca="false">IFERROR(INDEX(Assessments!$J$2:$J$600,MATCH($H543&amp;"|"&amp;$I543&amp;"|"&amp;$J543&amp;"|"&amp;10,Assessments!$A$2:$A$600,0)),0)</f>
        <v>0</v>
      </c>
      <c r="DG543" s="28" t="n">
        <f aca="false">IFERROR(INDEX(Assessments!$J$2:$J$600,MATCH($H543&amp;"|"&amp;$I543&amp;"|"&amp;$J543&amp;"|"&amp;11,Assessments!$A$2:$A$600,0)),0)</f>
        <v>0</v>
      </c>
      <c r="DH543" s="28" t="n">
        <f aca="false">IFERROR(INDEX(Assessments!$J$2:$J$600,MATCH($H543&amp;"|"&amp;$I543&amp;"|"&amp;$J543&amp;"|"&amp;12,Assessments!$A$2:$A$600,0)),0)</f>
        <v>0</v>
      </c>
      <c r="DI543" s="28" t="n">
        <f aca="false">IFERROR(INDEX(Assessments!$J$2:$J$600,MATCH($H543&amp;"|"&amp;$I543&amp;"|"&amp;$J543&amp;"|"&amp;13,Assessments!$A$2:$A$600,0)),0)</f>
        <v>0</v>
      </c>
      <c r="DJ543" s="28" t="n">
        <f aca="false">IFERROR(INDEX(Assessments!$J$2:$J$600,MATCH($H543&amp;"|"&amp;$I543&amp;"|"&amp;$J543&amp;"|"&amp;14,Assessments!$A$2:$A$600,0)),0)</f>
        <v>0</v>
      </c>
      <c r="DK543" s="28" t="str">
        <f aca="false">S543</f>
        <v/>
      </c>
      <c r="DL543" s="28" t="str">
        <f aca="false">W543</f>
        <v/>
      </c>
      <c r="DM543" s="28" t="str">
        <f aca="false">AA543</f>
        <v/>
      </c>
      <c r="DN543" s="28" t="str">
        <f aca="false">AE543</f>
        <v/>
      </c>
      <c r="DO543" s="28" t="str">
        <f aca="false">AI543</f>
        <v/>
      </c>
      <c r="DP543" s="28" t="str">
        <f aca="false">AM543</f>
        <v/>
      </c>
      <c r="DQ543" s="28" t="str">
        <f aca="false">AQ543</f>
        <v/>
      </c>
      <c r="DR543" s="28" t="str">
        <f aca="false">AU543</f>
        <v/>
      </c>
      <c r="DS543" s="28" t="str">
        <f aca="false">AY543</f>
        <v/>
      </c>
      <c r="DT543" s="28" t="str">
        <f aca="false">BC543</f>
        <v/>
      </c>
      <c r="DU543" s="28" t="str">
        <f aca="false">BG543</f>
        <v/>
      </c>
      <c r="DV543" s="28" t="str">
        <f aca="false">BK543</f>
        <v/>
      </c>
      <c r="DW543" s="28" t="str">
        <f aca="false">BO543</f>
        <v/>
      </c>
      <c r="DX543" s="28" t="str">
        <f aca="false">BS543</f>
        <v/>
      </c>
      <c r="DY543" s="28" t="str">
        <f aca="false">IF(ISNUMBER(S543),1,"")</f>
        <v/>
      </c>
      <c r="DZ543" s="28" t="str">
        <f aca="false">IF(ISNUMBER(W543),2,"")</f>
        <v/>
      </c>
      <c r="EA543" s="28" t="str">
        <f aca="false">IF(ISNUMBER(AA543),3,"")</f>
        <v/>
      </c>
      <c r="EB543" s="28" t="str">
        <f aca="false">IF(ISNUMBER(AE543),4,"")</f>
        <v/>
      </c>
      <c r="EC543" s="28" t="str">
        <f aca="false">IF(ISNUMBER(AI543),5,"")</f>
        <v/>
      </c>
      <c r="ED543" s="28" t="str">
        <f aca="false">IF(ISNUMBER(AM543),6,"")</f>
        <v/>
      </c>
      <c r="EE543" s="28" t="str">
        <f aca="false">IF(ISNUMBER(AQ543),7,"")</f>
        <v/>
      </c>
      <c r="EF543" s="28" t="str">
        <f aca="false">IF(ISNUMBER(AU543),8,"")</f>
        <v/>
      </c>
      <c r="EG543" s="28" t="str">
        <f aca="false">IF(ISNUMBER(AY543),9,"")</f>
        <v/>
      </c>
      <c r="EH543" s="28" t="str">
        <f aca="false">IF(ISNUMBER(BC543),10,"")</f>
        <v/>
      </c>
      <c r="EI543" s="28" t="str">
        <f aca="false">IF(ISNUMBER(BG543),11,"")</f>
        <v/>
      </c>
      <c r="EJ543" s="28" t="str">
        <f aca="false">IF(ISNUMBER(BK543),12,"")</f>
        <v/>
      </c>
      <c r="EK543" s="28" t="str">
        <f aca="false">IF(ISNUMBER(BO543),13,"")</f>
        <v/>
      </c>
      <c r="EL543" s="28" t="str">
        <f aca="false">IF(ISNUMBER(BS543),14,"")</f>
        <v/>
      </c>
      <c r="EM543" s="28" t="n">
        <f aca="false">IF(ISNUMBER(R543),R543*CW543,0)</f>
        <v>0</v>
      </c>
      <c r="EN543" s="28" t="n">
        <f aca="false">IF(ISNUMBER(V543),V543*CX543,0)</f>
        <v>0</v>
      </c>
      <c r="EO543" s="28" t="n">
        <f aca="false">IF(ISNUMBER(Z543),Z543*CY543,0)</f>
        <v>0</v>
      </c>
      <c r="EP543" s="28" t="n">
        <f aca="false">IF(ISNUMBER(AD543),AD543*CZ543,0)</f>
        <v>0</v>
      </c>
      <c r="EQ543" s="28" t="n">
        <f aca="false">IF(ISNUMBER(AH543),AH543*DA543,0)</f>
        <v>0</v>
      </c>
      <c r="ER543" s="28" t="n">
        <f aca="false">IF(ISNUMBER(AL543),AL543*DB543,0)</f>
        <v>0</v>
      </c>
      <c r="ES543" s="28" t="n">
        <f aca="false">IF(ISNUMBER(AP543),AP543*DC543,0)</f>
        <v>0</v>
      </c>
      <c r="ET543" s="28" t="n">
        <f aca="false">IF(ISNUMBER(AT543),AT543*DD543,0)</f>
        <v>0</v>
      </c>
      <c r="EU543" s="28" t="n">
        <f aca="false">IF(ISNUMBER(AX543),AX543*DE543,0)</f>
        <v>0</v>
      </c>
      <c r="EV543" s="28" t="n">
        <f aca="false">IF(ISNUMBER(BB543),BB543*DF543,0)</f>
        <v>0</v>
      </c>
      <c r="EW543" s="28" t="n">
        <f aca="false">IF(ISNUMBER(BF543),BF543*DG543,0)</f>
        <v>0</v>
      </c>
      <c r="EX543" s="28" t="n">
        <f aca="false">IF(ISNUMBER(BJ543),BJ543*DH543,0)</f>
        <v>0</v>
      </c>
      <c r="EY543" s="28" t="n">
        <f aca="false">IF(ISNUMBER(BN543),BN543*DI543,0)</f>
        <v>0</v>
      </c>
      <c r="EZ543" s="28" t="n">
        <f aca="false">IF(ISNUMBER(BR543),BR543*DJ543,0)</f>
        <v>0</v>
      </c>
      <c r="FA543" s="28" t="n">
        <f aca="false">IF(ISNUMBER(R543),CW543,0)</f>
        <v>0</v>
      </c>
      <c r="FB543" s="28" t="n">
        <f aca="false">IF(ISNUMBER(V543),CX543,0)</f>
        <v>0</v>
      </c>
      <c r="FC543" s="28" t="n">
        <f aca="false">IF(ISNUMBER(Z543),CY543,0)</f>
        <v>0</v>
      </c>
      <c r="FD543" s="28" t="n">
        <f aca="false">IF(ISNUMBER(AD543),CZ543,0)</f>
        <v>0</v>
      </c>
      <c r="FE543" s="28" t="n">
        <f aca="false">IF(ISNUMBER(AH543),DA543,0)</f>
        <v>0</v>
      </c>
      <c r="FF543" s="28" t="n">
        <f aca="false">IF(ISNUMBER(AL543),DB543,0)</f>
        <v>0</v>
      </c>
      <c r="FG543" s="28" t="n">
        <f aca="false">IF(ISNUMBER(AP543),DC543,0)</f>
        <v>0</v>
      </c>
      <c r="FH543" s="28" t="n">
        <f aca="false">IF(ISNUMBER(AT543),DD543,0)</f>
        <v>0</v>
      </c>
      <c r="FI543" s="28" t="n">
        <f aca="false">IF(ISNUMBER(AX543),DE543,0)</f>
        <v>0</v>
      </c>
      <c r="FJ543" s="28" t="n">
        <f aca="false">IF(ISNUMBER(BB543),DF543,0)</f>
        <v>0</v>
      </c>
      <c r="FK543" s="28" t="n">
        <f aca="false">IF(ISNUMBER(BF543),DG543,0)</f>
        <v>0</v>
      </c>
      <c r="FL543" s="28" t="n">
        <f aca="false">IF(ISNUMBER(BJ543),DH543,0)</f>
        <v>0</v>
      </c>
      <c r="FM543" s="28" t="n">
        <f aca="false">IF(ISNUMBER(BN543),DI543,0)</f>
        <v>0</v>
      </c>
      <c r="FN543" s="28" t="n">
        <f aca="false">IF(ISNUMBER(BR543),DJ543,0)</f>
        <v>0</v>
      </c>
      <c r="FO543" s="28" t="str">
        <f aca="false">IFERROR(INDEX(Lists!$G$2:$G$20,MATCH($I543&amp;"|"&amp;$J543,Lists!$F$2:$F$20,0)),"")</f>
        <v/>
      </c>
    </row>
    <row r="544" customFormat="false" ht="19.5" hidden="false" customHeight="true" outlineLevel="0" collapsed="false">
      <c r="A544" s="29"/>
      <c r="B544" s="29"/>
      <c r="C544" s="30"/>
      <c r="D544" s="30"/>
      <c r="E544" s="31"/>
      <c r="F544" s="30"/>
      <c r="G544" s="30"/>
      <c r="H544" s="32"/>
      <c r="I544" s="33"/>
      <c r="J544" s="32"/>
      <c r="K544" s="34" t="str">
        <f aca="false">IF(OR(M544="",$E544=""),"",M544-$E544)</f>
        <v/>
      </c>
      <c r="L544" s="35" t="str">
        <f aca="false">IF(SUM(FA544:FN544)=0,"",SUM(EM544:EZ544)/SUM(FA544:FN544))</f>
        <v/>
      </c>
      <c r="M544" s="36" t="str">
        <f aca="false">IF(OR(L544="",FO544=""),"",IFERROR(MATCH(L544,INDEX(Boundaries!$B$2:$I$30,MATCH(FO544,Boundaries!$A$2:$A$30,0),0),1)-1,""))</f>
        <v/>
      </c>
      <c r="N544" s="37" t="str">
        <f aca="false">IF(COUNT($DY544:$EL544)&lt;2,"",INDEX($DK544:$DX544,MAX($DY544:$EL544))-INDEX($DK544:$DX544,MIN($DY544:$EL544)))</f>
        <v/>
      </c>
      <c r="O544" s="37" t="str">
        <f aca="false">IF(COUNT($DY544:$EL544)&lt;2,"",INDEX($DK544:$DX544,MAX($DY544:$EL544))-INDEX($DK544:$DX544,LARGE($DY544:$EL544,2)))</f>
        <v/>
      </c>
      <c r="P544" s="38" t="str">
        <f aca="false">IF(K544="","",IF(K544&gt;=0,"On/above target",IF(AND(N544&lt;&gt;"",N544&gt;=0.5),"Improving towards target",IF(AND(O544&lt;&gt;"",O544&lt;=-0.5),"Declining","Stable below target"))))</f>
        <v/>
      </c>
      <c r="Q544" s="39"/>
      <c r="R544" s="40" t="str">
        <f aca="false">IF(OR(Q544="",BU544=""),"",Q544/BU544*100)</f>
        <v/>
      </c>
      <c r="S544" s="41" t="str">
        <f aca="false">IF(R544="","",IFERROR(MATCH(R544,INDEX(Boundaries!$B$2:$I$30,MATCH(CI544,Boundaries!$A$2:$A$30,0),0),1)-1,""))</f>
        <v/>
      </c>
      <c r="T544" s="42" t="str">
        <f aca="false">IF(OR(S544="",$E544=""),"",S544-$E544)</f>
        <v/>
      </c>
      <c r="U544" s="39"/>
      <c r="V544" s="40" t="str">
        <f aca="false">IF(OR(U544="",BV544=""),"",U544/BV544*100)</f>
        <v/>
      </c>
      <c r="W544" s="41" t="str">
        <f aca="false">IF(V544="","",IFERROR(MATCH(V544,INDEX(Boundaries!$B$2:$I$30,MATCH(CJ544,Boundaries!$A$2:$A$30,0),0),1)-1,""))</f>
        <v/>
      </c>
      <c r="X544" s="42" t="str">
        <f aca="false">IF(OR(W544="",$E544=""),"",W544-$E544)</f>
        <v/>
      </c>
      <c r="Y544" s="39"/>
      <c r="Z544" s="40" t="str">
        <f aca="false">IF(OR(Y544="",BW544=""),"",Y544/BW544*100)</f>
        <v/>
      </c>
      <c r="AA544" s="41" t="str">
        <f aca="false">IF(Z544="","",IFERROR(MATCH(Z544,INDEX(Boundaries!$B$2:$I$30,MATCH(CK544,Boundaries!$A$2:$A$30,0),0),1)-1,""))</f>
        <v/>
      </c>
      <c r="AB544" s="42" t="str">
        <f aca="false">IF(OR(AA544="",$E544=""),"",AA544-$E544)</f>
        <v/>
      </c>
      <c r="AC544" s="39"/>
      <c r="AD544" s="40" t="str">
        <f aca="false">IF(OR(AC544="",BX544=""),"",AC544/BX544*100)</f>
        <v/>
      </c>
      <c r="AE544" s="41" t="str">
        <f aca="false">IF(AD544="","",IFERROR(MATCH(AD544,INDEX(Boundaries!$B$2:$I$30,MATCH(CL544,Boundaries!$A$2:$A$30,0),0),1)-1,""))</f>
        <v/>
      </c>
      <c r="AF544" s="42" t="str">
        <f aca="false">IF(OR(AE544="",$E544=""),"",AE544-$E544)</f>
        <v/>
      </c>
      <c r="AG544" s="39"/>
      <c r="AH544" s="40" t="str">
        <f aca="false">IF(OR(AG544="",BY544=""),"",AG544/BY544*100)</f>
        <v/>
      </c>
      <c r="AI544" s="41" t="str">
        <f aca="false">IF(AH544="","",IFERROR(MATCH(AH544,INDEX(Boundaries!$B$2:$I$30,MATCH(CM544,Boundaries!$A$2:$A$30,0),0),1)-1,""))</f>
        <v/>
      </c>
      <c r="AJ544" s="42" t="str">
        <f aca="false">IF(OR(AI544="",$E544=""),"",AI544-$E544)</f>
        <v/>
      </c>
      <c r="AK544" s="39"/>
      <c r="AL544" s="40" t="str">
        <f aca="false">IF(OR(AK544="",BZ544=""),"",AK544/BZ544*100)</f>
        <v/>
      </c>
      <c r="AM544" s="41" t="str">
        <f aca="false">IF(AL544="","",IFERROR(MATCH(AL544,INDEX(Boundaries!$B$2:$I$30,MATCH(CN544,Boundaries!$A$2:$A$30,0),0),1)-1,""))</f>
        <v/>
      </c>
      <c r="AN544" s="42" t="str">
        <f aca="false">IF(OR(AM544="",$E544=""),"",AM544-$E544)</f>
        <v/>
      </c>
      <c r="AO544" s="39"/>
      <c r="AP544" s="40" t="str">
        <f aca="false">IF(OR(AO544="",CA544=""),"",AO544/CA544*100)</f>
        <v/>
      </c>
      <c r="AQ544" s="41" t="str">
        <f aca="false">IF(AP544="","",IFERROR(MATCH(AP544,INDEX(Boundaries!$B$2:$I$30,MATCH(CO544,Boundaries!$A$2:$A$30,0),0),1)-1,""))</f>
        <v/>
      </c>
      <c r="AR544" s="42" t="str">
        <f aca="false">IF(OR(AQ544="",$E544=""),"",AQ544-$E544)</f>
        <v/>
      </c>
      <c r="AS544" s="39"/>
      <c r="AT544" s="40" t="str">
        <f aca="false">IF(OR(AS544="",CB544=""),"",AS544/CB544*100)</f>
        <v/>
      </c>
      <c r="AU544" s="41" t="str">
        <f aca="false">IF(AT544="","",IFERROR(MATCH(AT544,INDEX(Boundaries!$B$2:$I$30,MATCH(CP544,Boundaries!$A$2:$A$30,0),0),1)-1,""))</f>
        <v/>
      </c>
      <c r="AV544" s="42" t="str">
        <f aca="false">IF(OR(AU544="",$E544=""),"",AU544-$E544)</f>
        <v/>
      </c>
      <c r="AW544" s="39"/>
      <c r="AX544" s="40" t="str">
        <f aca="false">IF(OR(AW544="",CC544=""),"",AW544/CC544*100)</f>
        <v/>
      </c>
      <c r="AY544" s="41" t="str">
        <f aca="false">IF(AX544="","",IFERROR(MATCH(AX544,INDEX(Boundaries!$B$2:$I$30,MATCH(CQ544,Boundaries!$A$2:$A$30,0),0),1)-1,""))</f>
        <v/>
      </c>
      <c r="AZ544" s="42" t="str">
        <f aca="false">IF(OR(AY544="",$E544=""),"",AY544-$E544)</f>
        <v/>
      </c>
      <c r="BA544" s="39"/>
      <c r="BB544" s="40" t="str">
        <f aca="false">IF(OR(BA544="",CD544=""),"",BA544/CD544*100)</f>
        <v/>
      </c>
      <c r="BC544" s="41" t="str">
        <f aca="false">IF(BB544="","",IFERROR(MATCH(BB544,INDEX(Boundaries!$B$2:$I$30,MATCH(CR544,Boundaries!$A$2:$A$30,0),0),1)-1,""))</f>
        <v/>
      </c>
      <c r="BD544" s="42" t="str">
        <f aca="false">IF(OR(BC544="",$E544=""),"",BC544-$E544)</f>
        <v/>
      </c>
      <c r="BE544" s="39"/>
      <c r="BF544" s="40" t="str">
        <f aca="false">IF(OR(BE544="",CE544=""),"",BE544/CE544*100)</f>
        <v/>
      </c>
      <c r="BG544" s="41" t="str">
        <f aca="false">IF(BF544="","",IFERROR(MATCH(BF544,INDEX(Boundaries!$B$2:$I$30,MATCH(CS544,Boundaries!$A$2:$A$30,0),0),1)-1,""))</f>
        <v/>
      </c>
      <c r="BH544" s="42" t="str">
        <f aca="false">IF(OR(BG544="",$E544=""),"",BG544-$E544)</f>
        <v/>
      </c>
      <c r="BI544" s="39"/>
      <c r="BJ544" s="40" t="str">
        <f aca="false">IF(OR(BI544="",CF544=""),"",BI544/CF544*100)</f>
        <v/>
      </c>
      <c r="BK544" s="41" t="str">
        <f aca="false">IF(BJ544="","",IFERROR(MATCH(BJ544,INDEX(Boundaries!$B$2:$I$30,MATCH(CT544,Boundaries!$A$2:$A$30,0),0),1)-1,""))</f>
        <v/>
      </c>
      <c r="BL544" s="42" t="str">
        <f aca="false">IF(OR(BK544="",$E544=""),"",BK544-$E544)</f>
        <v/>
      </c>
      <c r="BM544" s="39"/>
      <c r="BN544" s="40" t="str">
        <f aca="false">IF(OR(BM544="",CG544=""),"",BM544/CG544*100)</f>
        <v/>
      </c>
      <c r="BO544" s="41" t="str">
        <f aca="false">IF(BN544="","",IFERROR(MATCH(BN544,INDEX(Boundaries!$B$2:$I$30,MATCH(CU544,Boundaries!$A$2:$A$30,0),0),1)-1,""))</f>
        <v/>
      </c>
      <c r="BP544" s="42" t="str">
        <f aca="false">IF(OR(BO544="",$E544=""),"",BO544-$E544)</f>
        <v/>
      </c>
      <c r="BQ544" s="39"/>
      <c r="BR544" s="40" t="str">
        <f aca="false">IF(OR(BQ544="",CH544=""),"",BQ544/CH544*100)</f>
        <v/>
      </c>
      <c r="BS544" s="41" t="str">
        <f aca="false">IF(BR544="","",IFERROR(MATCH(BR544,INDEX(Boundaries!$B$2:$I$30,MATCH(CV544,Boundaries!$A$2:$A$30,0),0),1)-1,""))</f>
        <v/>
      </c>
      <c r="BT544" s="42" t="str">
        <f aca="false">IF(OR(BS544="",$E544=""),"",BS544-$E544)</f>
        <v/>
      </c>
      <c r="BU544" s="28" t="str">
        <f aca="false">IFERROR(INDEX(Assessments!$H$2:$H$600,MATCH($H544&amp;"|"&amp;$I544&amp;"|"&amp;$J544&amp;"|"&amp;1,Assessments!$A$2:$A$600,0)),"")</f>
        <v/>
      </c>
      <c r="BV544" s="28" t="str">
        <f aca="false">IFERROR(INDEX(Assessments!$H$2:$H$600,MATCH($H544&amp;"|"&amp;$I544&amp;"|"&amp;$J544&amp;"|"&amp;2,Assessments!$A$2:$A$600,0)),"")</f>
        <v/>
      </c>
      <c r="BW544" s="28" t="str">
        <f aca="false">IFERROR(INDEX(Assessments!$H$2:$H$600,MATCH($H544&amp;"|"&amp;$I544&amp;"|"&amp;$J544&amp;"|"&amp;3,Assessments!$A$2:$A$600,0)),"")</f>
        <v/>
      </c>
      <c r="BX544" s="28" t="str">
        <f aca="false">IFERROR(INDEX(Assessments!$H$2:$H$600,MATCH($H544&amp;"|"&amp;$I544&amp;"|"&amp;$J544&amp;"|"&amp;4,Assessments!$A$2:$A$600,0)),"")</f>
        <v/>
      </c>
      <c r="BY544" s="28" t="str">
        <f aca="false">IFERROR(INDEX(Assessments!$H$2:$H$600,MATCH($H544&amp;"|"&amp;$I544&amp;"|"&amp;$J544&amp;"|"&amp;5,Assessments!$A$2:$A$600,0)),"")</f>
        <v/>
      </c>
      <c r="BZ544" s="28" t="str">
        <f aca="false">IFERROR(INDEX(Assessments!$H$2:$H$600,MATCH($H544&amp;"|"&amp;$I544&amp;"|"&amp;$J544&amp;"|"&amp;6,Assessments!$A$2:$A$600,0)),"")</f>
        <v/>
      </c>
      <c r="CA544" s="28" t="str">
        <f aca="false">IFERROR(INDEX(Assessments!$H$2:$H$600,MATCH($H544&amp;"|"&amp;$I544&amp;"|"&amp;$J544&amp;"|"&amp;7,Assessments!$A$2:$A$600,0)),"")</f>
        <v/>
      </c>
      <c r="CB544" s="28" t="str">
        <f aca="false">IFERROR(INDEX(Assessments!$H$2:$H$600,MATCH($H544&amp;"|"&amp;$I544&amp;"|"&amp;$J544&amp;"|"&amp;8,Assessments!$A$2:$A$600,0)),"")</f>
        <v/>
      </c>
      <c r="CC544" s="28" t="str">
        <f aca="false">IFERROR(INDEX(Assessments!$H$2:$H$600,MATCH($H544&amp;"|"&amp;$I544&amp;"|"&amp;$J544&amp;"|"&amp;9,Assessments!$A$2:$A$600,0)),"")</f>
        <v/>
      </c>
      <c r="CD544" s="28" t="str">
        <f aca="false">IFERROR(INDEX(Assessments!$H$2:$H$600,MATCH($H544&amp;"|"&amp;$I544&amp;"|"&amp;$J544&amp;"|"&amp;10,Assessments!$A$2:$A$600,0)),"")</f>
        <v/>
      </c>
      <c r="CE544" s="28" t="str">
        <f aca="false">IFERROR(INDEX(Assessments!$H$2:$H$600,MATCH($H544&amp;"|"&amp;$I544&amp;"|"&amp;$J544&amp;"|"&amp;11,Assessments!$A$2:$A$600,0)),"")</f>
        <v/>
      </c>
      <c r="CF544" s="28" t="str">
        <f aca="false">IFERROR(INDEX(Assessments!$H$2:$H$600,MATCH($H544&amp;"|"&amp;$I544&amp;"|"&amp;$J544&amp;"|"&amp;12,Assessments!$A$2:$A$600,0)),"")</f>
        <v/>
      </c>
      <c r="CG544" s="28" t="str">
        <f aca="false">IFERROR(INDEX(Assessments!$H$2:$H$600,MATCH($H544&amp;"|"&amp;$I544&amp;"|"&amp;$J544&amp;"|"&amp;13,Assessments!$A$2:$A$600,0)),"")</f>
        <v/>
      </c>
      <c r="CH544" s="28" t="str">
        <f aca="false">IFERROR(INDEX(Assessments!$H$2:$H$600,MATCH($H544&amp;"|"&amp;$I544&amp;"|"&amp;$J544&amp;"|"&amp;14,Assessments!$A$2:$A$600,0)),"")</f>
        <v/>
      </c>
      <c r="CI544" s="28" t="str">
        <f aca="false">IFERROR(INDEX(Assessments!$I$2:$I$600,MATCH($H544&amp;"|"&amp;$I544&amp;"|"&amp;$J544&amp;"|"&amp;1,Assessments!$A$2:$A$600,0)),"")</f>
        <v/>
      </c>
      <c r="CJ544" s="28" t="str">
        <f aca="false">IFERROR(INDEX(Assessments!$I$2:$I$600,MATCH($H544&amp;"|"&amp;$I544&amp;"|"&amp;$J544&amp;"|"&amp;2,Assessments!$A$2:$A$600,0)),"")</f>
        <v/>
      </c>
      <c r="CK544" s="28" t="str">
        <f aca="false">IFERROR(INDEX(Assessments!$I$2:$I$600,MATCH($H544&amp;"|"&amp;$I544&amp;"|"&amp;$J544&amp;"|"&amp;3,Assessments!$A$2:$A$600,0)),"")</f>
        <v/>
      </c>
      <c r="CL544" s="28" t="str">
        <f aca="false">IFERROR(INDEX(Assessments!$I$2:$I$600,MATCH($H544&amp;"|"&amp;$I544&amp;"|"&amp;$J544&amp;"|"&amp;4,Assessments!$A$2:$A$600,0)),"")</f>
        <v/>
      </c>
      <c r="CM544" s="28" t="str">
        <f aca="false">IFERROR(INDEX(Assessments!$I$2:$I$600,MATCH($H544&amp;"|"&amp;$I544&amp;"|"&amp;$J544&amp;"|"&amp;5,Assessments!$A$2:$A$600,0)),"")</f>
        <v/>
      </c>
      <c r="CN544" s="28" t="str">
        <f aca="false">IFERROR(INDEX(Assessments!$I$2:$I$600,MATCH($H544&amp;"|"&amp;$I544&amp;"|"&amp;$J544&amp;"|"&amp;6,Assessments!$A$2:$A$600,0)),"")</f>
        <v/>
      </c>
      <c r="CO544" s="28" t="str">
        <f aca="false">IFERROR(INDEX(Assessments!$I$2:$I$600,MATCH($H544&amp;"|"&amp;$I544&amp;"|"&amp;$J544&amp;"|"&amp;7,Assessments!$A$2:$A$600,0)),"")</f>
        <v/>
      </c>
      <c r="CP544" s="28" t="str">
        <f aca="false">IFERROR(INDEX(Assessments!$I$2:$I$600,MATCH($H544&amp;"|"&amp;$I544&amp;"|"&amp;$J544&amp;"|"&amp;8,Assessments!$A$2:$A$600,0)),"")</f>
        <v/>
      </c>
      <c r="CQ544" s="28" t="str">
        <f aca="false">IFERROR(INDEX(Assessments!$I$2:$I$600,MATCH($H544&amp;"|"&amp;$I544&amp;"|"&amp;$J544&amp;"|"&amp;9,Assessments!$A$2:$A$600,0)),"")</f>
        <v/>
      </c>
      <c r="CR544" s="28" t="str">
        <f aca="false">IFERROR(INDEX(Assessments!$I$2:$I$600,MATCH($H544&amp;"|"&amp;$I544&amp;"|"&amp;$J544&amp;"|"&amp;10,Assessments!$A$2:$A$600,0)),"")</f>
        <v/>
      </c>
      <c r="CS544" s="28" t="str">
        <f aca="false">IFERROR(INDEX(Assessments!$I$2:$I$600,MATCH($H544&amp;"|"&amp;$I544&amp;"|"&amp;$J544&amp;"|"&amp;11,Assessments!$A$2:$A$600,0)),"")</f>
        <v/>
      </c>
      <c r="CT544" s="28" t="str">
        <f aca="false">IFERROR(INDEX(Assessments!$I$2:$I$600,MATCH($H544&amp;"|"&amp;$I544&amp;"|"&amp;$J544&amp;"|"&amp;12,Assessments!$A$2:$A$600,0)),"")</f>
        <v/>
      </c>
      <c r="CU544" s="28" t="str">
        <f aca="false">IFERROR(INDEX(Assessments!$I$2:$I$600,MATCH($H544&amp;"|"&amp;$I544&amp;"|"&amp;$J544&amp;"|"&amp;13,Assessments!$A$2:$A$600,0)),"")</f>
        <v/>
      </c>
      <c r="CV544" s="28" t="str">
        <f aca="false">IFERROR(INDEX(Assessments!$I$2:$I$600,MATCH($H544&amp;"|"&amp;$I544&amp;"|"&amp;$J544&amp;"|"&amp;14,Assessments!$A$2:$A$600,0)),"")</f>
        <v/>
      </c>
      <c r="CW544" s="28" t="n">
        <f aca="false">IFERROR(INDEX(Assessments!$J$2:$J$600,MATCH($H544&amp;"|"&amp;$I544&amp;"|"&amp;$J544&amp;"|"&amp;1,Assessments!$A$2:$A$600,0)),0)</f>
        <v>0</v>
      </c>
      <c r="CX544" s="28" t="n">
        <f aca="false">IFERROR(INDEX(Assessments!$J$2:$J$600,MATCH($H544&amp;"|"&amp;$I544&amp;"|"&amp;$J544&amp;"|"&amp;2,Assessments!$A$2:$A$600,0)),0)</f>
        <v>0</v>
      </c>
      <c r="CY544" s="28" t="n">
        <f aca="false">IFERROR(INDEX(Assessments!$J$2:$J$600,MATCH($H544&amp;"|"&amp;$I544&amp;"|"&amp;$J544&amp;"|"&amp;3,Assessments!$A$2:$A$600,0)),0)</f>
        <v>0</v>
      </c>
      <c r="CZ544" s="28" t="n">
        <f aca="false">IFERROR(INDEX(Assessments!$J$2:$J$600,MATCH($H544&amp;"|"&amp;$I544&amp;"|"&amp;$J544&amp;"|"&amp;4,Assessments!$A$2:$A$600,0)),0)</f>
        <v>0</v>
      </c>
      <c r="DA544" s="28" t="n">
        <f aca="false">IFERROR(INDEX(Assessments!$J$2:$J$600,MATCH($H544&amp;"|"&amp;$I544&amp;"|"&amp;$J544&amp;"|"&amp;5,Assessments!$A$2:$A$600,0)),0)</f>
        <v>0</v>
      </c>
      <c r="DB544" s="28" t="n">
        <f aca="false">IFERROR(INDEX(Assessments!$J$2:$J$600,MATCH($H544&amp;"|"&amp;$I544&amp;"|"&amp;$J544&amp;"|"&amp;6,Assessments!$A$2:$A$600,0)),0)</f>
        <v>0</v>
      </c>
      <c r="DC544" s="28" t="n">
        <f aca="false">IFERROR(INDEX(Assessments!$J$2:$J$600,MATCH($H544&amp;"|"&amp;$I544&amp;"|"&amp;$J544&amp;"|"&amp;7,Assessments!$A$2:$A$600,0)),0)</f>
        <v>0</v>
      </c>
      <c r="DD544" s="28" t="n">
        <f aca="false">IFERROR(INDEX(Assessments!$J$2:$J$600,MATCH($H544&amp;"|"&amp;$I544&amp;"|"&amp;$J544&amp;"|"&amp;8,Assessments!$A$2:$A$600,0)),0)</f>
        <v>0</v>
      </c>
      <c r="DE544" s="28" t="n">
        <f aca="false">IFERROR(INDEX(Assessments!$J$2:$J$600,MATCH($H544&amp;"|"&amp;$I544&amp;"|"&amp;$J544&amp;"|"&amp;9,Assessments!$A$2:$A$600,0)),0)</f>
        <v>0</v>
      </c>
      <c r="DF544" s="28" t="n">
        <f aca="false">IFERROR(INDEX(Assessments!$J$2:$J$600,MATCH($H544&amp;"|"&amp;$I544&amp;"|"&amp;$J544&amp;"|"&amp;10,Assessments!$A$2:$A$600,0)),0)</f>
        <v>0</v>
      </c>
      <c r="DG544" s="28" t="n">
        <f aca="false">IFERROR(INDEX(Assessments!$J$2:$J$600,MATCH($H544&amp;"|"&amp;$I544&amp;"|"&amp;$J544&amp;"|"&amp;11,Assessments!$A$2:$A$600,0)),0)</f>
        <v>0</v>
      </c>
      <c r="DH544" s="28" t="n">
        <f aca="false">IFERROR(INDEX(Assessments!$J$2:$J$600,MATCH($H544&amp;"|"&amp;$I544&amp;"|"&amp;$J544&amp;"|"&amp;12,Assessments!$A$2:$A$600,0)),0)</f>
        <v>0</v>
      </c>
      <c r="DI544" s="28" t="n">
        <f aca="false">IFERROR(INDEX(Assessments!$J$2:$J$600,MATCH($H544&amp;"|"&amp;$I544&amp;"|"&amp;$J544&amp;"|"&amp;13,Assessments!$A$2:$A$600,0)),0)</f>
        <v>0</v>
      </c>
      <c r="DJ544" s="28" t="n">
        <f aca="false">IFERROR(INDEX(Assessments!$J$2:$J$600,MATCH($H544&amp;"|"&amp;$I544&amp;"|"&amp;$J544&amp;"|"&amp;14,Assessments!$A$2:$A$600,0)),0)</f>
        <v>0</v>
      </c>
      <c r="DK544" s="28" t="str">
        <f aca="false">S544</f>
        <v/>
      </c>
      <c r="DL544" s="28" t="str">
        <f aca="false">W544</f>
        <v/>
      </c>
      <c r="DM544" s="28" t="str">
        <f aca="false">AA544</f>
        <v/>
      </c>
      <c r="DN544" s="28" t="str">
        <f aca="false">AE544</f>
        <v/>
      </c>
      <c r="DO544" s="28" t="str">
        <f aca="false">AI544</f>
        <v/>
      </c>
      <c r="DP544" s="28" t="str">
        <f aca="false">AM544</f>
        <v/>
      </c>
      <c r="DQ544" s="28" t="str">
        <f aca="false">AQ544</f>
        <v/>
      </c>
      <c r="DR544" s="28" t="str">
        <f aca="false">AU544</f>
        <v/>
      </c>
      <c r="DS544" s="28" t="str">
        <f aca="false">AY544</f>
        <v/>
      </c>
      <c r="DT544" s="28" t="str">
        <f aca="false">BC544</f>
        <v/>
      </c>
      <c r="DU544" s="28" t="str">
        <f aca="false">BG544</f>
        <v/>
      </c>
      <c r="DV544" s="28" t="str">
        <f aca="false">BK544</f>
        <v/>
      </c>
      <c r="DW544" s="28" t="str">
        <f aca="false">BO544</f>
        <v/>
      </c>
      <c r="DX544" s="28" t="str">
        <f aca="false">BS544</f>
        <v/>
      </c>
      <c r="DY544" s="28" t="str">
        <f aca="false">IF(ISNUMBER(S544),1,"")</f>
        <v/>
      </c>
      <c r="DZ544" s="28" t="str">
        <f aca="false">IF(ISNUMBER(W544),2,"")</f>
        <v/>
      </c>
      <c r="EA544" s="28" t="str">
        <f aca="false">IF(ISNUMBER(AA544),3,"")</f>
        <v/>
      </c>
      <c r="EB544" s="28" t="str">
        <f aca="false">IF(ISNUMBER(AE544),4,"")</f>
        <v/>
      </c>
      <c r="EC544" s="28" t="str">
        <f aca="false">IF(ISNUMBER(AI544),5,"")</f>
        <v/>
      </c>
      <c r="ED544" s="28" t="str">
        <f aca="false">IF(ISNUMBER(AM544),6,"")</f>
        <v/>
      </c>
      <c r="EE544" s="28" t="str">
        <f aca="false">IF(ISNUMBER(AQ544),7,"")</f>
        <v/>
      </c>
      <c r="EF544" s="28" t="str">
        <f aca="false">IF(ISNUMBER(AU544),8,"")</f>
        <v/>
      </c>
      <c r="EG544" s="28" t="str">
        <f aca="false">IF(ISNUMBER(AY544),9,"")</f>
        <v/>
      </c>
      <c r="EH544" s="28" t="str">
        <f aca="false">IF(ISNUMBER(BC544),10,"")</f>
        <v/>
      </c>
      <c r="EI544" s="28" t="str">
        <f aca="false">IF(ISNUMBER(BG544),11,"")</f>
        <v/>
      </c>
      <c r="EJ544" s="28" t="str">
        <f aca="false">IF(ISNUMBER(BK544),12,"")</f>
        <v/>
      </c>
      <c r="EK544" s="28" t="str">
        <f aca="false">IF(ISNUMBER(BO544),13,"")</f>
        <v/>
      </c>
      <c r="EL544" s="28" t="str">
        <f aca="false">IF(ISNUMBER(BS544),14,"")</f>
        <v/>
      </c>
      <c r="EM544" s="28" t="n">
        <f aca="false">IF(ISNUMBER(R544),R544*CW544,0)</f>
        <v>0</v>
      </c>
      <c r="EN544" s="28" t="n">
        <f aca="false">IF(ISNUMBER(V544),V544*CX544,0)</f>
        <v>0</v>
      </c>
      <c r="EO544" s="28" t="n">
        <f aca="false">IF(ISNUMBER(Z544),Z544*CY544,0)</f>
        <v>0</v>
      </c>
      <c r="EP544" s="28" t="n">
        <f aca="false">IF(ISNUMBER(AD544),AD544*CZ544,0)</f>
        <v>0</v>
      </c>
      <c r="EQ544" s="28" t="n">
        <f aca="false">IF(ISNUMBER(AH544),AH544*DA544,0)</f>
        <v>0</v>
      </c>
      <c r="ER544" s="28" t="n">
        <f aca="false">IF(ISNUMBER(AL544),AL544*DB544,0)</f>
        <v>0</v>
      </c>
      <c r="ES544" s="28" t="n">
        <f aca="false">IF(ISNUMBER(AP544),AP544*DC544,0)</f>
        <v>0</v>
      </c>
      <c r="ET544" s="28" t="n">
        <f aca="false">IF(ISNUMBER(AT544),AT544*DD544,0)</f>
        <v>0</v>
      </c>
      <c r="EU544" s="28" t="n">
        <f aca="false">IF(ISNUMBER(AX544),AX544*DE544,0)</f>
        <v>0</v>
      </c>
      <c r="EV544" s="28" t="n">
        <f aca="false">IF(ISNUMBER(BB544),BB544*DF544,0)</f>
        <v>0</v>
      </c>
      <c r="EW544" s="28" t="n">
        <f aca="false">IF(ISNUMBER(BF544),BF544*DG544,0)</f>
        <v>0</v>
      </c>
      <c r="EX544" s="28" t="n">
        <f aca="false">IF(ISNUMBER(BJ544),BJ544*DH544,0)</f>
        <v>0</v>
      </c>
      <c r="EY544" s="28" t="n">
        <f aca="false">IF(ISNUMBER(BN544),BN544*DI544,0)</f>
        <v>0</v>
      </c>
      <c r="EZ544" s="28" t="n">
        <f aca="false">IF(ISNUMBER(BR544),BR544*DJ544,0)</f>
        <v>0</v>
      </c>
      <c r="FA544" s="28" t="n">
        <f aca="false">IF(ISNUMBER(R544),CW544,0)</f>
        <v>0</v>
      </c>
      <c r="FB544" s="28" t="n">
        <f aca="false">IF(ISNUMBER(V544),CX544,0)</f>
        <v>0</v>
      </c>
      <c r="FC544" s="28" t="n">
        <f aca="false">IF(ISNUMBER(Z544),CY544,0)</f>
        <v>0</v>
      </c>
      <c r="FD544" s="28" t="n">
        <f aca="false">IF(ISNUMBER(AD544),CZ544,0)</f>
        <v>0</v>
      </c>
      <c r="FE544" s="28" t="n">
        <f aca="false">IF(ISNUMBER(AH544),DA544,0)</f>
        <v>0</v>
      </c>
      <c r="FF544" s="28" t="n">
        <f aca="false">IF(ISNUMBER(AL544),DB544,0)</f>
        <v>0</v>
      </c>
      <c r="FG544" s="28" t="n">
        <f aca="false">IF(ISNUMBER(AP544),DC544,0)</f>
        <v>0</v>
      </c>
      <c r="FH544" s="28" t="n">
        <f aca="false">IF(ISNUMBER(AT544),DD544,0)</f>
        <v>0</v>
      </c>
      <c r="FI544" s="28" t="n">
        <f aca="false">IF(ISNUMBER(AX544),DE544,0)</f>
        <v>0</v>
      </c>
      <c r="FJ544" s="28" t="n">
        <f aca="false">IF(ISNUMBER(BB544),DF544,0)</f>
        <v>0</v>
      </c>
      <c r="FK544" s="28" t="n">
        <f aca="false">IF(ISNUMBER(BF544),DG544,0)</f>
        <v>0</v>
      </c>
      <c r="FL544" s="28" t="n">
        <f aca="false">IF(ISNUMBER(BJ544),DH544,0)</f>
        <v>0</v>
      </c>
      <c r="FM544" s="28" t="n">
        <f aca="false">IF(ISNUMBER(BN544),DI544,0)</f>
        <v>0</v>
      </c>
      <c r="FN544" s="28" t="n">
        <f aca="false">IF(ISNUMBER(BR544),DJ544,0)</f>
        <v>0</v>
      </c>
      <c r="FO544" s="28" t="str">
        <f aca="false">IFERROR(INDEX(Lists!$G$2:$G$20,MATCH($I544&amp;"|"&amp;$J544,Lists!$F$2:$F$20,0)),"")</f>
        <v/>
      </c>
    </row>
    <row r="545" customFormat="false" ht="19.5" hidden="false" customHeight="true" outlineLevel="0" collapsed="false">
      <c r="A545" s="29"/>
      <c r="B545" s="29"/>
      <c r="C545" s="30"/>
      <c r="D545" s="30"/>
      <c r="E545" s="31"/>
      <c r="F545" s="30"/>
      <c r="G545" s="30"/>
      <c r="H545" s="32"/>
      <c r="I545" s="33"/>
      <c r="J545" s="32"/>
      <c r="K545" s="34" t="str">
        <f aca="false">IF(OR(M545="",$E545=""),"",M545-$E545)</f>
        <v/>
      </c>
      <c r="L545" s="35" t="str">
        <f aca="false">IF(SUM(FA545:FN545)=0,"",SUM(EM545:EZ545)/SUM(FA545:FN545))</f>
        <v/>
      </c>
      <c r="M545" s="36" t="str">
        <f aca="false">IF(OR(L545="",FO545=""),"",IFERROR(MATCH(L545,INDEX(Boundaries!$B$2:$I$30,MATCH(FO545,Boundaries!$A$2:$A$30,0),0),1)-1,""))</f>
        <v/>
      </c>
      <c r="N545" s="37" t="str">
        <f aca="false">IF(COUNT($DY545:$EL545)&lt;2,"",INDEX($DK545:$DX545,MAX($DY545:$EL545))-INDEX($DK545:$DX545,MIN($DY545:$EL545)))</f>
        <v/>
      </c>
      <c r="O545" s="37" t="str">
        <f aca="false">IF(COUNT($DY545:$EL545)&lt;2,"",INDEX($DK545:$DX545,MAX($DY545:$EL545))-INDEX($DK545:$DX545,LARGE($DY545:$EL545,2)))</f>
        <v/>
      </c>
      <c r="P545" s="38" t="str">
        <f aca="false">IF(K545="","",IF(K545&gt;=0,"On/above target",IF(AND(N545&lt;&gt;"",N545&gt;=0.5),"Improving towards target",IF(AND(O545&lt;&gt;"",O545&lt;=-0.5),"Declining","Stable below target"))))</f>
        <v/>
      </c>
      <c r="Q545" s="39"/>
      <c r="R545" s="40" t="str">
        <f aca="false">IF(OR(Q545="",BU545=""),"",Q545/BU545*100)</f>
        <v/>
      </c>
      <c r="S545" s="41" t="str">
        <f aca="false">IF(R545="","",IFERROR(MATCH(R545,INDEX(Boundaries!$B$2:$I$30,MATCH(CI545,Boundaries!$A$2:$A$30,0),0),1)-1,""))</f>
        <v/>
      </c>
      <c r="T545" s="42" t="str">
        <f aca="false">IF(OR(S545="",$E545=""),"",S545-$E545)</f>
        <v/>
      </c>
      <c r="U545" s="39"/>
      <c r="V545" s="40" t="str">
        <f aca="false">IF(OR(U545="",BV545=""),"",U545/BV545*100)</f>
        <v/>
      </c>
      <c r="W545" s="41" t="str">
        <f aca="false">IF(V545="","",IFERROR(MATCH(V545,INDEX(Boundaries!$B$2:$I$30,MATCH(CJ545,Boundaries!$A$2:$A$30,0),0),1)-1,""))</f>
        <v/>
      </c>
      <c r="X545" s="42" t="str">
        <f aca="false">IF(OR(W545="",$E545=""),"",W545-$E545)</f>
        <v/>
      </c>
      <c r="Y545" s="39"/>
      <c r="Z545" s="40" t="str">
        <f aca="false">IF(OR(Y545="",BW545=""),"",Y545/BW545*100)</f>
        <v/>
      </c>
      <c r="AA545" s="41" t="str">
        <f aca="false">IF(Z545="","",IFERROR(MATCH(Z545,INDEX(Boundaries!$B$2:$I$30,MATCH(CK545,Boundaries!$A$2:$A$30,0),0),1)-1,""))</f>
        <v/>
      </c>
      <c r="AB545" s="42" t="str">
        <f aca="false">IF(OR(AA545="",$E545=""),"",AA545-$E545)</f>
        <v/>
      </c>
      <c r="AC545" s="39"/>
      <c r="AD545" s="40" t="str">
        <f aca="false">IF(OR(AC545="",BX545=""),"",AC545/BX545*100)</f>
        <v/>
      </c>
      <c r="AE545" s="41" t="str">
        <f aca="false">IF(AD545="","",IFERROR(MATCH(AD545,INDEX(Boundaries!$B$2:$I$30,MATCH(CL545,Boundaries!$A$2:$A$30,0),0),1)-1,""))</f>
        <v/>
      </c>
      <c r="AF545" s="42" t="str">
        <f aca="false">IF(OR(AE545="",$E545=""),"",AE545-$E545)</f>
        <v/>
      </c>
      <c r="AG545" s="39"/>
      <c r="AH545" s="40" t="str">
        <f aca="false">IF(OR(AG545="",BY545=""),"",AG545/BY545*100)</f>
        <v/>
      </c>
      <c r="AI545" s="41" t="str">
        <f aca="false">IF(AH545="","",IFERROR(MATCH(AH545,INDEX(Boundaries!$B$2:$I$30,MATCH(CM545,Boundaries!$A$2:$A$30,0),0),1)-1,""))</f>
        <v/>
      </c>
      <c r="AJ545" s="42" t="str">
        <f aca="false">IF(OR(AI545="",$E545=""),"",AI545-$E545)</f>
        <v/>
      </c>
      <c r="AK545" s="39"/>
      <c r="AL545" s="40" t="str">
        <f aca="false">IF(OR(AK545="",BZ545=""),"",AK545/BZ545*100)</f>
        <v/>
      </c>
      <c r="AM545" s="41" t="str">
        <f aca="false">IF(AL545="","",IFERROR(MATCH(AL545,INDEX(Boundaries!$B$2:$I$30,MATCH(CN545,Boundaries!$A$2:$A$30,0),0),1)-1,""))</f>
        <v/>
      </c>
      <c r="AN545" s="42" t="str">
        <f aca="false">IF(OR(AM545="",$E545=""),"",AM545-$E545)</f>
        <v/>
      </c>
      <c r="AO545" s="39"/>
      <c r="AP545" s="40" t="str">
        <f aca="false">IF(OR(AO545="",CA545=""),"",AO545/CA545*100)</f>
        <v/>
      </c>
      <c r="AQ545" s="41" t="str">
        <f aca="false">IF(AP545="","",IFERROR(MATCH(AP545,INDEX(Boundaries!$B$2:$I$30,MATCH(CO545,Boundaries!$A$2:$A$30,0),0),1)-1,""))</f>
        <v/>
      </c>
      <c r="AR545" s="42" t="str">
        <f aca="false">IF(OR(AQ545="",$E545=""),"",AQ545-$E545)</f>
        <v/>
      </c>
      <c r="AS545" s="39"/>
      <c r="AT545" s="40" t="str">
        <f aca="false">IF(OR(AS545="",CB545=""),"",AS545/CB545*100)</f>
        <v/>
      </c>
      <c r="AU545" s="41" t="str">
        <f aca="false">IF(AT545="","",IFERROR(MATCH(AT545,INDEX(Boundaries!$B$2:$I$30,MATCH(CP545,Boundaries!$A$2:$A$30,0),0),1)-1,""))</f>
        <v/>
      </c>
      <c r="AV545" s="42" t="str">
        <f aca="false">IF(OR(AU545="",$E545=""),"",AU545-$E545)</f>
        <v/>
      </c>
      <c r="AW545" s="39"/>
      <c r="AX545" s="40" t="str">
        <f aca="false">IF(OR(AW545="",CC545=""),"",AW545/CC545*100)</f>
        <v/>
      </c>
      <c r="AY545" s="41" t="str">
        <f aca="false">IF(AX545="","",IFERROR(MATCH(AX545,INDEX(Boundaries!$B$2:$I$30,MATCH(CQ545,Boundaries!$A$2:$A$30,0),0),1)-1,""))</f>
        <v/>
      </c>
      <c r="AZ545" s="42" t="str">
        <f aca="false">IF(OR(AY545="",$E545=""),"",AY545-$E545)</f>
        <v/>
      </c>
      <c r="BA545" s="39"/>
      <c r="BB545" s="40" t="str">
        <f aca="false">IF(OR(BA545="",CD545=""),"",BA545/CD545*100)</f>
        <v/>
      </c>
      <c r="BC545" s="41" t="str">
        <f aca="false">IF(BB545="","",IFERROR(MATCH(BB545,INDEX(Boundaries!$B$2:$I$30,MATCH(CR545,Boundaries!$A$2:$A$30,0),0),1)-1,""))</f>
        <v/>
      </c>
      <c r="BD545" s="42" t="str">
        <f aca="false">IF(OR(BC545="",$E545=""),"",BC545-$E545)</f>
        <v/>
      </c>
      <c r="BE545" s="39"/>
      <c r="BF545" s="40" t="str">
        <f aca="false">IF(OR(BE545="",CE545=""),"",BE545/CE545*100)</f>
        <v/>
      </c>
      <c r="BG545" s="41" t="str">
        <f aca="false">IF(BF545="","",IFERROR(MATCH(BF545,INDEX(Boundaries!$B$2:$I$30,MATCH(CS545,Boundaries!$A$2:$A$30,0),0),1)-1,""))</f>
        <v/>
      </c>
      <c r="BH545" s="42" t="str">
        <f aca="false">IF(OR(BG545="",$E545=""),"",BG545-$E545)</f>
        <v/>
      </c>
      <c r="BI545" s="39"/>
      <c r="BJ545" s="40" t="str">
        <f aca="false">IF(OR(BI545="",CF545=""),"",BI545/CF545*100)</f>
        <v/>
      </c>
      <c r="BK545" s="41" t="str">
        <f aca="false">IF(BJ545="","",IFERROR(MATCH(BJ545,INDEX(Boundaries!$B$2:$I$30,MATCH(CT545,Boundaries!$A$2:$A$30,0),0),1)-1,""))</f>
        <v/>
      </c>
      <c r="BL545" s="42" t="str">
        <f aca="false">IF(OR(BK545="",$E545=""),"",BK545-$E545)</f>
        <v/>
      </c>
      <c r="BM545" s="39"/>
      <c r="BN545" s="40" t="str">
        <f aca="false">IF(OR(BM545="",CG545=""),"",BM545/CG545*100)</f>
        <v/>
      </c>
      <c r="BO545" s="41" t="str">
        <f aca="false">IF(BN545="","",IFERROR(MATCH(BN545,INDEX(Boundaries!$B$2:$I$30,MATCH(CU545,Boundaries!$A$2:$A$30,0),0),1)-1,""))</f>
        <v/>
      </c>
      <c r="BP545" s="42" t="str">
        <f aca="false">IF(OR(BO545="",$E545=""),"",BO545-$E545)</f>
        <v/>
      </c>
      <c r="BQ545" s="39"/>
      <c r="BR545" s="40" t="str">
        <f aca="false">IF(OR(BQ545="",CH545=""),"",BQ545/CH545*100)</f>
        <v/>
      </c>
      <c r="BS545" s="41" t="str">
        <f aca="false">IF(BR545="","",IFERROR(MATCH(BR545,INDEX(Boundaries!$B$2:$I$30,MATCH(CV545,Boundaries!$A$2:$A$30,0),0),1)-1,""))</f>
        <v/>
      </c>
      <c r="BT545" s="42" t="str">
        <f aca="false">IF(OR(BS545="",$E545=""),"",BS545-$E545)</f>
        <v/>
      </c>
      <c r="BU545" s="28" t="str">
        <f aca="false">IFERROR(INDEX(Assessments!$H$2:$H$600,MATCH($H545&amp;"|"&amp;$I545&amp;"|"&amp;$J545&amp;"|"&amp;1,Assessments!$A$2:$A$600,0)),"")</f>
        <v/>
      </c>
      <c r="BV545" s="28" t="str">
        <f aca="false">IFERROR(INDEX(Assessments!$H$2:$H$600,MATCH($H545&amp;"|"&amp;$I545&amp;"|"&amp;$J545&amp;"|"&amp;2,Assessments!$A$2:$A$600,0)),"")</f>
        <v/>
      </c>
      <c r="BW545" s="28" t="str">
        <f aca="false">IFERROR(INDEX(Assessments!$H$2:$H$600,MATCH($H545&amp;"|"&amp;$I545&amp;"|"&amp;$J545&amp;"|"&amp;3,Assessments!$A$2:$A$600,0)),"")</f>
        <v/>
      </c>
      <c r="BX545" s="28" t="str">
        <f aca="false">IFERROR(INDEX(Assessments!$H$2:$H$600,MATCH($H545&amp;"|"&amp;$I545&amp;"|"&amp;$J545&amp;"|"&amp;4,Assessments!$A$2:$A$600,0)),"")</f>
        <v/>
      </c>
      <c r="BY545" s="28" t="str">
        <f aca="false">IFERROR(INDEX(Assessments!$H$2:$H$600,MATCH($H545&amp;"|"&amp;$I545&amp;"|"&amp;$J545&amp;"|"&amp;5,Assessments!$A$2:$A$600,0)),"")</f>
        <v/>
      </c>
      <c r="BZ545" s="28" t="str">
        <f aca="false">IFERROR(INDEX(Assessments!$H$2:$H$600,MATCH($H545&amp;"|"&amp;$I545&amp;"|"&amp;$J545&amp;"|"&amp;6,Assessments!$A$2:$A$600,0)),"")</f>
        <v/>
      </c>
      <c r="CA545" s="28" t="str">
        <f aca="false">IFERROR(INDEX(Assessments!$H$2:$H$600,MATCH($H545&amp;"|"&amp;$I545&amp;"|"&amp;$J545&amp;"|"&amp;7,Assessments!$A$2:$A$600,0)),"")</f>
        <v/>
      </c>
      <c r="CB545" s="28" t="str">
        <f aca="false">IFERROR(INDEX(Assessments!$H$2:$H$600,MATCH($H545&amp;"|"&amp;$I545&amp;"|"&amp;$J545&amp;"|"&amp;8,Assessments!$A$2:$A$600,0)),"")</f>
        <v/>
      </c>
      <c r="CC545" s="28" t="str">
        <f aca="false">IFERROR(INDEX(Assessments!$H$2:$H$600,MATCH($H545&amp;"|"&amp;$I545&amp;"|"&amp;$J545&amp;"|"&amp;9,Assessments!$A$2:$A$600,0)),"")</f>
        <v/>
      </c>
      <c r="CD545" s="28" t="str">
        <f aca="false">IFERROR(INDEX(Assessments!$H$2:$H$600,MATCH($H545&amp;"|"&amp;$I545&amp;"|"&amp;$J545&amp;"|"&amp;10,Assessments!$A$2:$A$600,0)),"")</f>
        <v/>
      </c>
      <c r="CE545" s="28" t="str">
        <f aca="false">IFERROR(INDEX(Assessments!$H$2:$H$600,MATCH($H545&amp;"|"&amp;$I545&amp;"|"&amp;$J545&amp;"|"&amp;11,Assessments!$A$2:$A$600,0)),"")</f>
        <v/>
      </c>
      <c r="CF545" s="28" t="str">
        <f aca="false">IFERROR(INDEX(Assessments!$H$2:$H$600,MATCH($H545&amp;"|"&amp;$I545&amp;"|"&amp;$J545&amp;"|"&amp;12,Assessments!$A$2:$A$600,0)),"")</f>
        <v/>
      </c>
      <c r="CG545" s="28" t="str">
        <f aca="false">IFERROR(INDEX(Assessments!$H$2:$H$600,MATCH($H545&amp;"|"&amp;$I545&amp;"|"&amp;$J545&amp;"|"&amp;13,Assessments!$A$2:$A$600,0)),"")</f>
        <v/>
      </c>
      <c r="CH545" s="28" t="str">
        <f aca="false">IFERROR(INDEX(Assessments!$H$2:$H$600,MATCH($H545&amp;"|"&amp;$I545&amp;"|"&amp;$J545&amp;"|"&amp;14,Assessments!$A$2:$A$600,0)),"")</f>
        <v/>
      </c>
      <c r="CI545" s="28" t="str">
        <f aca="false">IFERROR(INDEX(Assessments!$I$2:$I$600,MATCH($H545&amp;"|"&amp;$I545&amp;"|"&amp;$J545&amp;"|"&amp;1,Assessments!$A$2:$A$600,0)),"")</f>
        <v/>
      </c>
      <c r="CJ545" s="28" t="str">
        <f aca="false">IFERROR(INDEX(Assessments!$I$2:$I$600,MATCH($H545&amp;"|"&amp;$I545&amp;"|"&amp;$J545&amp;"|"&amp;2,Assessments!$A$2:$A$600,0)),"")</f>
        <v/>
      </c>
      <c r="CK545" s="28" t="str">
        <f aca="false">IFERROR(INDEX(Assessments!$I$2:$I$600,MATCH($H545&amp;"|"&amp;$I545&amp;"|"&amp;$J545&amp;"|"&amp;3,Assessments!$A$2:$A$600,0)),"")</f>
        <v/>
      </c>
      <c r="CL545" s="28" t="str">
        <f aca="false">IFERROR(INDEX(Assessments!$I$2:$I$600,MATCH($H545&amp;"|"&amp;$I545&amp;"|"&amp;$J545&amp;"|"&amp;4,Assessments!$A$2:$A$600,0)),"")</f>
        <v/>
      </c>
      <c r="CM545" s="28" t="str">
        <f aca="false">IFERROR(INDEX(Assessments!$I$2:$I$600,MATCH($H545&amp;"|"&amp;$I545&amp;"|"&amp;$J545&amp;"|"&amp;5,Assessments!$A$2:$A$600,0)),"")</f>
        <v/>
      </c>
      <c r="CN545" s="28" t="str">
        <f aca="false">IFERROR(INDEX(Assessments!$I$2:$I$600,MATCH($H545&amp;"|"&amp;$I545&amp;"|"&amp;$J545&amp;"|"&amp;6,Assessments!$A$2:$A$600,0)),"")</f>
        <v/>
      </c>
      <c r="CO545" s="28" t="str">
        <f aca="false">IFERROR(INDEX(Assessments!$I$2:$I$600,MATCH($H545&amp;"|"&amp;$I545&amp;"|"&amp;$J545&amp;"|"&amp;7,Assessments!$A$2:$A$600,0)),"")</f>
        <v/>
      </c>
      <c r="CP545" s="28" t="str">
        <f aca="false">IFERROR(INDEX(Assessments!$I$2:$I$600,MATCH($H545&amp;"|"&amp;$I545&amp;"|"&amp;$J545&amp;"|"&amp;8,Assessments!$A$2:$A$600,0)),"")</f>
        <v/>
      </c>
      <c r="CQ545" s="28" t="str">
        <f aca="false">IFERROR(INDEX(Assessments!$I$2:$I$600,MATCH($H545&amp;"|"&amp;$I545&amp;"|"&amp;$J545&amp;"|"&amp;9,Assessments!$A$2:$A$600,0)),"")</f>
        <v/>
      </c>
      <c r="CR545" s="28" t="str">
        <f aca="false">IFERROR(INDEX(Assessments!$I$2:$I$600,MATCH($H545&amp;"|"&amp;$I545&amp;"|"&amp;$J545&amp;"|"&amp;10,Assessments!$A$2:$A$600,0)),"")</f>
        <v/>
      </c>
      <c r="CS545" s="28" t="str">
        <f aca="false">IFERROR(INDEX(Assessments!$I$2:$I$600,MATCH($H545&amp;"|"&amp;$I545&amp;"|"&amp;$J545&amp;"|"&amp;11,Assessments!$A$2:$A$600,0)),"")</f>
        <v/>
      </c>
      <c r="CT545" s="28" t="str">
        <f aca="false">IFERROR(INDEX(Assessments!$I$2:$I$600,MATCH($H545&amp;"|"&amp;$I545&amp;"|"&amp;$J545&amp;"|"&amp;12,Assessments!$A$2:$A$600,0)),"")</f>
        <v/>
      </c>
      <c r="CU545" s="28" t="str">
        <f aca="false">IFERROR(INDEX(Assessments!$I$2:$I$600,MATCH($H545&amp;"|"&amp;$I545&amp;"|"&amp;$J545&amp;"|"&amp;13,Assessments!$A$2:$A$600,0)),"")</f>
        <v/>
      </c>
      <c r="CV545" s="28" t="str">
        <f aca="false">IFERROR(INDEX(Assessments!$I$2:$I$600,MATCH($H545&amp;"|"&amp;$I545&amp;"|"&amp;$J545&amp;"|"&amp;14,Assessments!$A$2:$A$600,0)),"")</f>
        <v/>
      </c>
      <c r="CW545" s="28" t="n">
        <f aca="false">IFERROR(INDEX(Assessments!$J$2:$J$600,MATCH($H545&amp;"|"&amp;$I545&amp;"|"&amp;$J545&amp;"|"&amp;1,Assessments!$A$2:$A$600,0)),0)</f>
        <v>0</v>
      </c>
      <c r="CX545" s="28" t="n">
        <f aca="false">IFERROR(INDEX(Assessments!$J$2:$J$600,MATCH($H545&amp;"|"&amp;$I545&amp;"|"&amp;$J545&amp;"|"&amp;2,Assessments!$A$2:$A$600,0)),0)</f>
        <v>0</v>
      </c>
      <c r="CY545" s="28" t="n">
        <f aca="false">IFERROR(INDEX(Assessments!$J$2:$J$600,MATCH($H545&amp;"|"&amp;$I545&amp;"|"&amp;$J545&amp;"|"&amp;3,Assessments!$A$2:$A$600,0)),0)</f>
        <v>0</v>
      </c>
      <c r="CZ545" s="28" t="n">
        <f aca="false">IFERROR(INDEX(Assessments!$J$2:$J$600,MATCH($H545&amp;"|"&amp;$I545&amp;"|"&amp;$J545&amp;"|"&amp;4,Assessments!$A$2:$A$600,0)),0)</f>
        <v>0</v>
      </c>
      <c r="DA545" s="28" t="n">
        <f aca="false">IFERROR(INDEX(Assessments!$J$2:$J$600,MATCH($H545&amp;"|"&amp;$I545&amp;"|"&amp;$J545&amp;"|"&amp;5,Assessments!$A$2:$A$600,0)),0)</f>
        <v>0</v>
      </c>
      <c r="DB545" s="28" t="n">
        <f aca="false">IFERROR(INDEX(Assessments!$J$2:$J$600,MATCH($H545&amp;"|"&amp;$I545&amp;"|"&amp;$J545&amp;"|"&amp;6,Assessments!$A$2:$A$600,0)),0)</f>
        <v>0</v>
      </c>
      <c r="DC545" s="28" t="n">
        <f aca="false">IFERROR(INDEX(Assessments!$J$2:$J$600,MATCH($H545&amp;"|"&amp;$I545&amp;"|"&amp;$J545&amp;"|"&amp;7,Assessments!$A$2:$A$600,0)),0)</f>
        <v>0</v>
      </c>
      <c r="DD545" s="28" t="n">
        <f aca="false">IFERROR(INDEX(Assessments!$J$2:$J$600,MATCH($H545&amp;"|"&amp;$I545&amp;"|"&amp;$J545&amp;"|"&amp;8,Assessments!$A$2:$A$600,0)),0)</f>
        <v>0</v>
      </c>
      <c r="DE545" s="28" t="n">
        <f aca="false">IFERROR(INDEX(Assessments!$J$2:$J$600,MATCH($H545&amp;"|"&amp;$I545&amp;"|"&amp;$J545&amp;"|"&amp;9,Assessments!$A$2:$A$600,0)),0)</f>
        <v>0</v>
      </c>
      <c r="DF545" s="28" t="n">
        <f aca="false">IFERROR(INDEX(Assessments!$J$2:$J$600,MATCH($H545&amp;"|"&amp;$I545&amp;"|"&amp;$J545&amp;"|"&amp;10,Assessments!$A$2:$A$600,0)),0)</f>
        <v>0</v>
      </c>
      <c r="DG545" s="28" t="n">
        <f aca="false">IFERROR(INDEX(Assessments!$J$2:$J$600,MATCH($H545&amp;"|"&amp;$I545&amp;"|"&amp;$J545&amp;"|"&amp;11,Assessments!$A$2:$A$600,0)),0)</f>
        <v>0</v>
      </c>
      <c r="DH545" s="28" t="n">
        <f aca="false">IFERROR(INDEX(Assessments!$J$2:$J$600,MATCH($H545&amp;"|"&amp;$I545&amp;"|"&amp;$J545&amp;"|"&amp;12,Assessments!$A$2:$A$600,0)),0)</f>
        <v>0</v>
      </c>
      <c r="DI545" s="28" t="n">
        <f aca="false">IFERROR(INDEX(Assessments!$J$2:$J$600,MATCH($H545&amp;"|"&amp;$I545&amp;"|"&amp;$J545&amp;"|"&amp;13,Assessments!$A$2:$A$600,0)),0)</f>
        <v>0</v>
      </c>
      <c r="DJ545" s="28" t="n">
        <f aca="false">IFERROR(INDEX(Assessments!$J$2:$J$600,MATCH($H545&amp;"|"&amp;$I545&amp;"|"&amp;$J545&amp;"|"&amp;14,Assessments!$A$2:$A$600,0)),0)</f>
        <v>0</v>
      </c>
      <c r="DK545" s="28" t="str">
        <f aca="false">S545</f>
        <v/>
      </c>
      <c r="DL545" s="28" t="str">
        <f aca="false">W545</f>
        <v/>
      </c>
      <c r="DM545" s="28" t="str">
        <f aca="false">AA545</f>
        <v/>
      </c>
      <c r="DN545" s="28" t="str">
        <f aca="false">AE545</f>
        <v/>
      </c>
      <c r="DO545" s="28" t="str">
        <f aca="false">AI545</f>
        <v/>
      </c>
      <c r="DP545" s="28" t="str">
        <f aca="false">AM545</f>
        <v/>
      </c>
      <c r="DQ545" s="28" t="str">
        <f aca="false">AQ545</f>
        <v/>
      </c>
      <c r="DR545" s="28" t="str">
        <f aca="false">AU545</f>
        <v/>
      </c>
      <c r="DS545" s="28" t="str">
        <f aca="false">AY545</f>
        <v/>
      </c>
      <c r="DT545" s="28" t="str">
        <f aca="false">BC545</f>
        <v/>
      </c>
      <c r="DU545" s="28" t="str">
        <f aca="false">BG545</f>
        <v/>
      </c>
      <c r="DV545" s="28" t="str">
        <f aca="false">BK545</f>
        <v/>
      </c>
      <c r="DW545" s="28" t="str">
        <f aca="false">BO545</f>
        <v/>
      </c>
      <c r="DX545" s="28" t="str">
        <f aca="false">BS545</f>
        <v/>
      </c>
      <c r="DY545" s="28" t="str">
        <f aca="false">IF(ISNUMBER(S545),1,"")</f>
        <v/>
      </c>
      <c r="DZ545" s="28" t="str">
        <f aca="false">IF(ISNUMBER(W545),2,"")</f>
        <v/>
      </c>
      <c r="EA545" s="28" t="str">
        <f aca="false">IF(ISNUMBER(AA545),3,"")</f>
        <v/>
      </c>
      <c r="EB545" s="28" t="str">
        <f aca="false">IF(ISNUMBER(AE545),4,"")</f>
        <v/>
      </c>
      <c r="EC545" s="28" t="str">
        <f aca="false">IF(ISNUMBER(AI545),5,"")</f>
        <v/>
      </c>
      <c r="ED545" s="28" t="str">
        <f aca="false">IF(ISNUMBER(AM545),6,"")</f>
        <v/>
      </c>
      <c r="EE545" s="28" t="str">
        <f aca="false">IF(ISNUMBER(AQ545),7,"")</f>
        <v/>
      </c>
      <c r="EF545" s="28" t="str">
        <f aca="false">IF(ISNUMBER(AU545),8,"")</f>
        <v/>
      </c>
      <c r="EG545" s="28" t="str">
        <f aca="false">IF(ISNUMBER(AY545),9,"")</f>
        <v/>
      </c>
      <c r="EH545" s="28" t="str">
        <f aca="false">IF(ISNUMBER(BC545),10,"")</f>
        <v/>
      </c>
      <c r="EI545" s="28" t="str">
        <f aca="false">IF(ISNUMBER(BG545),11,"")</f>
        <v/>
      </c>
      <c r="EJ545" s="28" t="str">
        <f aca="false">IF(ISNUMBER(BK545),12,"")</f>
        <v/>
      </c>
      <c r="EK545" s="28" t="str">
        <f aca="false">IF(ISNUMBER(BO545),13,"")</f>
        <v/>
      </c>
      <c r="EL545" s="28" t="str">
        <f aca="false">IF(ISNUMBER(BS545),14,"")</f>
        <v/>
      </c>
      <c r="EM545" s="28" t="n">
        <f aca="false">IF(ISNUMBER(R545),R545*CW545,0)</f>
        <v>0</v>
      </c>
      <c r="EN545" s="28" t="n">
        <f aca="false">IF(ISNUMBER(V545),V545*CX545,0)</f>
        <v>0</v>
      </c>
      <c r="EO545" s="28" t="n">
        <f aca="false">IF(ISNUMBER(Z545),Z545*CY545,0)</f>
        <v>0</v>
      </c>
      <c r="EP545" s="28" t="n">
        <f aca="false">IF(ISNUMBER(AD545),AD545*CZ545,0)</f>
        <v>0</v>
      </c>
      <c r="EQ545" s="28" t="n">
        <f aca="false">IF(ISNUMBER(AH545),AH545*DA545,0)</f>
        <v>0</v>
      </c>
      <c r="ER545" s="28" t="n">
        <f aca="false">IF(ISNUMBER(AL545),AL545*DB545,0)</f>
        <v>0</v>
      </c>
      <c r="ES545" s="28" t="n">
        <f aca="false">IF(ISNUMBER(AP545),AP545*DC545,0)</f>
        <v>0</v>
      </c>
      <c r="ET545" s="28" t="n">
        <f aca="false">IF(ISNUMBER(AT545),AT545*DD545,0)</f>
        <v>0</v>
      </c>
      <c r="EU545" s="28" t="n">
        <f aca="false">IF(ISNUMBER(AX545),AX545*DE545,0)</f>
        <v>0</v>
      </c>
      <c r="EV545" s="28" t="n">
        <f aca="false">IF(ISNUMBER(BB545),BB545*DF545,0)</f>
        <v>0</v>
      </c>
      <c r="EW545" s="28" t="n">
        <f aca="false">IF(ISNUMBER(BF545),BF545*DG545,0)</f>
        <v>0</v>
      </c>
      <c r="EX545" s="28" t="n">
        <f aca="false">IF(ISNUMBER(BJ545),BJ545*DH545,0)</f>
        <v>0</v>
      </c>
      <c r="EY545" s="28" t="n">
        <f aca="false">IF(ISNUMBER(BN545),BN545*DI545,0)</f>
        <v>0</v>
      </c>
      <c r="EZ545" s="28" t="n">
        <f aca="false">IF(ISNUMBER(BR545),BR545*DJ545,0)</f>
        <v>0</v>
      </c>
      <c r="FA545" s="28" t="n">
        <f aca="false">IF(ISNUMBER(R545),CW545,0)</f>
        <v>0</v>
      </c>
      <c r="FB545" s="28" t="n">
        <f aca="false">IF(ISNUMBER(V545),CX545,0)</f>
        <v>0</v>
      </c>
      <c r="FC545" s="28" t="n">
        <f aca="false">IF(ISNUMBER(Z545),CY545,0)</f>
        <v>0</v>
      </c>
      <c r="FD545" s="28" t="n">
        <f aca="false">IF(ISNUMBER(AD545),CZ545,0)</f>
        <v>0</v>
      </c>
      <c r="FE545" s="28" t="n">
        <f aca="false">IF(ISNUMBER(AH545),DA545,0)</f>
        <v>0</v>
      </c>
      <c r="FF545" s="28" t="n">
        <f aca="false">IF(ISNUMBER(AL545),DB545,0)</f>
        <v>0</v>
      </c>
      <c r="FG545" s="28" t="n">
        <f aca="false">IF(ISNUMBER(AP545),DC545,0)</f>
        <v>0</v>
      </c>
      <c r="FH545" s="28" t="n">
        <f aca="false">IF(ISNUMBER(AT545),DD545,0)</f>
        <v>0</v>
      </c>
      <c r="FI545" s="28" t="n">
        <f aca="false">IF(ISNUMBER(AX545),DE545,0)</f>
        <v>0</v>
      </c>
      <c r="FJ545" s="28" t="n">
        <f aca="false">IF(ISNUMBER(BB545),DF545,0)</f>
        <v>0</v>
      </c>
      <c r="FK545" s="28" t="n">
        <f aca="false">IF(ISNUMBER(BF545),DG545,0)</f>
        <v>0</v>
      </c>
      <c r="FL545" s="28" t="n">
        <f aca="false">IF(ISNUMBER(BJ545),DH545,0)</f>
        <v>0</v>
      </c>
      <c r="FM545" s="28" t="n">
        <f aca="false">IF(ISNUMBER(BN545),DI545,0)</f>
        <v>0</v>
      </c>
      <c r="FN545" s="28" t="n">
        <f aca="false">IF(ISNUMBER(BR545),DJ545,0)</f>
        <v>0</v>
      </c>
      <c r="FO545" s="28" t="str">
        <f aca="false">IFERROR(INDEX(Lists!$G$2:$G$20,MATCH($I545&amp;"|"&amp;$J545,Lists!$F$2:$F$20,0)),"")</f>
        <v/>
      </c>
    </row>
    <row r="546" customFormat="false" ht="19.5" hidden="false" customHeight="true" outlineLevel="0" collapsed="false">
      <c r="A546" s="29"/>
      <c r="B546" s="29"/>
      <c r="C546" s="30"/>
      <c r="D546" s="30"/>
      <c r="E546" s="31"/>
      <c r="F546" s="30"/>
      <c r="G546" s="30"/>
      <c r="H546" s="32"/>
      <c r="I546" s="33"/>
      <c r="J546" s="32"/>
      <c r="K546" s="34" t="str">
        <f aca="false">IF(OR(M546="",$E546=""),"",M546-$E546)</f>
        <v/>
      </c>
      <c r="L546" s="35" t="str">
        <f aca="false">IF(SUM(FA546:FN546)=0,"",SUM(EM546:EZ546)/SUM(FA546:FN546))</f>
        <v/>
      </c>
      <c r="M546" s="36" t="str">
        <f aca="false">IF(OR(L546="",FO546=""),"",IFERROR(MATCH(L546,INDEX(Boundaries!$B$2:$I$30,MATCH(FO546,Boundaries!$A$2:$A$30,0),0),1)-1,""))</f>
        <v/>
      </c>
      <c r="N546" s="37" t="str">
        <f aca="false">IF(COUNT($DY546:$EL546)&lt;2,"",INDEX($DK546:$DX546,MAX($DY546:$EL546))-INDEX($DK546:$DX546,MIN($DY546:$EL546)))</f>
        <v/>
      </c>
      <c r="O546" s="37" t="str">
        <f aca="false">IF(COUNT($DY546:$EL546)&lt;2,"",INDEX($DK546:$DX546,MAX($DY546:$EL546))-INDEX($DK546:$DX546,LARGE($DY546:$EL546,2)))</f>
        <v/>
      </c>
      <c r="P546" s="38" t="str">
        <f aca="false">IF(K546="","",IF(K546&gt;=0,"On/above target",IF(AND(N546&lt;&gt;"",N546&gt;=0.5),"Improving towards target",IF(AND(O546&lt;&gt;"",O546&lt;=-0.5),"Declining","Stable below target"))))</f>
        <v/>
      </c>
      <c r="Q546" s="39"/>
      <c r="R546" s="40" t="str">
        <f aca="false">IF(OR(Q546="",BU546=""),"",Q546/BU546*100)</f>
        <v/>
      </c>
      <c r="S546" s="41" t="str">
        <f aca="false">IF(R546="","",IFERROR(MATCH(R546,INDEX(Boundaries!$B$2:$I$30,MATCH(CI546,Boundaries!$A$2:$A$30,0),0),1)-1,""))</f>
        <v/>
      </c>
      <c r="T546" s="42" t="str">
        <f aca="false">IF(OR(S546="",$E546=""),"",S546-$E546)</f>
        <v/>
      </c>
      <c r="U546" s="39"/>
      <c r="V546" s="40" t="str">
        <f aca="false">IF(OR(U546="",BV546=""),"",U546/BV546*100)</f>
        <v/>
      </c>
      <c r="W546" s="41" t="str">
        <f aca="false">IF(V546="","",IFERROR(MATCH(V546,INDEX(Boundaries!$B$2:$I$30,MATCH(CJ546,Boundaries!$A$2:$A$30,0),0),1)-1,""))</f>
        <v/>
      </c>
      <c r="X546" s="42" t="str">
        <f aca="false">IF(OR(W546="",$E546=""),"",W546-$E546)</f>
        <v/>
      </c>
      <c r="Y546" s="39"/>
      <c r="Z546" s="40" t="str">
        <f aca="false">IF(OR(Y546="",BW546=""),"",Y546/BW546*100)</f>
        <v/>
      </c>
      <c r="AA546" s="41" t="str">
        <f aca="false">IF(Z546="","",IFERROR(MATCH(Z546,INDEX(Boundaries!$B$2:$I$30,MATCH(CK546,Boundaries!$A$2:$A$30,0),0),1)-1,""))</f>
        <v/>
      </c>
      <c r="AB546" s="42" t="str">
        <f aca="false">IF(OR(AA546="",$E546=""),"",AA546-$E546)</f>
        <v/>
      </c>
      <c r="AC546" s="39"/>
      <c r="AD546" s="40" t="str">
        <f aca="false">IF(OR(AC546="",BX546=""),"",AC546/BX546*100)</f>
        <v/>
      </c>
      <c r="AE546" s="41" t="str">
        <f aca="false">IF(AD546="","",IFERROR(MATCH(AD546,INDEX(Boundaries!$B$2:$I$30,MATCH(CL546,Boundaries!$A$2:$A$30,0),0),1)-1,""))</f>
        <v/>
      </c>
      <c r="AF546" s="42" t="str">
        <f aca="false">IF(OR(AE546="",$E546=""),"",AE546-$E546)</f>
        <v/>
      </c>
      <c r="AG546" s="39"/>
      <c r="AH546" s="40" t="str">
        <f aca="false">IF(OR(AG546="",BY546=""),"",AG546/BY546*100)</f>
        <v/>
      </c>
      <c r="AI546" s="41" t="str">
        <f aca="false">IF(AH546="","",IFERROR(MATCH(AH546,INDEX(Boundaries!$B$2:$I$30,MATCH(CM546,Boundaries!$A$2:$A$30,0),0),1)-1,""))</f>
        <v/>
      </c>
      <c r="AJ546" s="42" t="str">
        <f aca="false">IF(OR(AI546="",$E546=""),"",AI546-$E546)</f>
        <v/>
      </c>
      <c r="AK546" s="39"/>
      <c r="AL546" s="40" t="str">
        <f aca="false">IF(OR(AK546="",BZ546=""),"",AK546/BZ546*100)</f>
        <v/>
      </c>
      <c r="AM546" s="41" t="str">
        <f aca="false">IF(AL546="","",IFERROR(MATCH(AL546,INDEX(Boundaries!$B$2:$I$30,MATCH(CN546,Boundaries!$A$2:$A$30,0),0),1)-1,""))</f>
        <v/>
      </c>
      <c r="AN546" s="42" t="str">
        <f aca="false">IF(OR(AM546="",$E546=""),"",AM546-$E546)</f>
        <v/>
      </c>
      <c r="AO546" s="39"/>
      <c r="AP546" s="40" t="str">
        <f aca="false">IF(OR(AO546="",CA546=""),"",AO546/CA546*100)</f>
        <v/>
      </c>
      <c r="AQ546" s="41" t="str">
        <f aca="false">IF(AP546="","",IFERROR(MATCH(AP546,INDEX(Boundaries!$B$2:$I$30,MATCH(CO546,Boundaries!$A$2:$A$30,0),0),1)-1,""))</f>
        <v/>
      </c>
      <c r="AR546" s="42" t="str">
        <f aca="false">IF(OR(AQ546="",$E546=""),"",AQ546-$E546)</f>
        <v/>
      </c>
      <c r="AS546" s="39"/>
      <c r="AT546" s="40" t="str">
        <f aca="false">IF(OR(AS546="",CB546=""),"",AS546/CB546*100)</f>
        <v/>
      </c>
      <c r="AU546" s="41" t="str">
        <f aca="false">IF(AT546="","",IFERROR(MATCH(AT546,INDEX(Boundaries!$B$2:$I$30,MATCH(CP546,Boundaries!$A$2:$A$30,0),0),1)-1,""))</f>
        <v/>
      </c>
      <c r="AV546" s="42" t="str">
        <f aca="false">IF(OR(AU546="",$E546=""),"",AU546-$E546)</f>
        <v/>
      </c>
      <c r="AW546" s="39"/>
      <c r="AX546" s="40" t="str">
        <f aca="false">IF(OR(AW546="",CC546=""),"",AW546/CC546*100)</f>
        <v/>
      </c>
      <c r="AY546" s="41" t="str">
        <f aca="false">IF(AX546="","",IFERROR(MATCH(AX546,INDEX(Boundaries!$B$2:$I$30,MATCH(CQ546,Boundaries!$A$2:$A$30,0),0),1)-1,""))</f>
        <v/>
      </c>
      <c r="AZ546" s="42" t="str">
        <f aca="false">IF(OR(AY546="",$E546=""),"",AY546-$E546)</f>
        <v/>
      </c>
      <c r="BA546" s="39"/>
      <c r="BB546" s="40" t="str">
        <f aca="false">IF(OR(BA546="",CD546=""),"",BA546/CD546*100)</f>
        <v/>
      </c>
      <c r="BC546" s="41" t="str">
        <f aca="false">IF(BB546="","",IFERROR(MATCH(BB546,INDEX(Boundaries!$B$2:$I$30,MATCH(CR546,Boundaries!$A$2:$A$30,0),0),1)-1,""))</f>
        <v/>
      </c>
      <c r="BD546" s="42" t="str">
        <f aca="false">IF(OR(BC546="",$E546=""),"",BC546-$E546)</f>
        <v/>
      </c>
      <c r="BE546" s="39"/>
      <c r="BF546" s="40" t="str">
        <f aca="false">IF(OR(BE546="",CE546=""),"",BE546/CE546*100)</f>
        <v/>
      </c>
      <c r="BG546" s="41" t="str">
        <f aca="false">IF(BF546="","",IFERROR(MATCH(BF546,INDEX(Boundaries!$B$2:$I$30,MATCH(CS546,Boundaries!$A$2:$A$30,0),0),1)-1,""))</f>
        <v/>
      </c>
      <c r="BH546" s="42" t="str">
        <f aca="false">IF(OR(BG546="",$E546=""),"",BG546-$E546)</f>
        <v/>
      </c>
      <c r="BI546" s="39"/>
      <c r="BJ546" s="40" t="str">
        <f aca="false">IF(OR(BI546="",CF546=""),"",BI546/CF546*100)</f>
        <v/>
      </c>
      <c r="BK546" s="41" t="str">
        <f aca="false">IF(BJ546="","",IFERROR(MATCH(BJ546,INDEX(Boundaries!$B$2:$I$30,MATCH(CT546,Boundaries!$A$2:$A$30,0),0),1)-1,""))</f>
        <v/>
      </c>
      <c r="BL546" s="42" t="str">
        <f aca="false">IF(OR(BK546="",$E546=""),"",BK546-$E546)</f>
        <v/>
      </c>
      <c r="BM546" s="39"/>
      <c r="BN546" s="40" t="str">
        <f aca="false">IF(OR(BM546="",CG546=""),"",BM546/CG546*100)</f>
        <v/>
      </c>
      <c r="BO546" s="41" t="str">
        <f aca="false">IF(BN546="","",IFERROR(MATCH(BN546,INDEX(Boundaries!$B$2:$I$30,MATCH(CU546,Boundaries!$A$2:$A$30,0),0),1)-1,""))</f>
        <v/>
      </c>
      <c r="BP546" s="42" t="str">
        <f aca="false">IF(OR(BO546="",$E546=""),"",BO546-$E546)</f>
        <v/>
      </c>
      <c r="BQ546" s="39"/>
      <c r="BR546" s="40" t="str">
        <f aca="false">IF(OR(BQ546="",CH546=""),"",BQ546/CH546*100)</f>
        <v/>
      </c>
      <c r="BS546" s="41" t="str">
        <f aca="false">IF(BR546="","",IFERROR(MATCH(BR546,INDEX(Boundaries!$B$2:$I$30,MATCH(CV546,Boundaries!$A$2:$A$30,0),0),1)-1,""))</f>
        <v/>
      </c>
      <c r="BT546" s="42" t="str">
        <f aca="false">IF(OR(BS546="",$E546=""),"",BS546-$E546)</f>
        <v/>
      </c>
      <c r="BU546" s="28" t="str">
        <f aca="false">IFERROR(INDEX(Assessments!$H$2:$H$600,MATCH($H546&amp;"|"&amp;$I546&amp;"|"&amp;$J546&amp;"|"&amp;1,Assessments!$A$2:$A$600,0)),"")</f>
        <v/>
      </c>
      <c r="BV546" s="28" t="str">
        <f aca="false">IFERROR(INDEX(Assessments!$H$2:$H$600,MATCH($H546&amp;"|"&amp;$I546&amp;"|"&amp;$J546&amp;"|"&amp;2,Assessments!$A$2:$A$600,0)),"")</f>
        <v/>
      </c>
      <c r="BW546" s="28" t="str">
        <f aca="false">IFERROR(INDEX(Assessments!$H$2:$H$600,MATCH($H546&amp;"|"&amp;$I546&amp;"|"&amp;$J546&amp;"|"&amp;3,Assessments!$A$2:$A$600,0)),"")</f>
        <v/>
      </c>
      <c r="BX546" s="28" t="str">
        <f aca="false">IFERROR(INDEX(Assessments!$H$2:$H$600,MATCH($H546&amp;"|"&amp;$I546&amp;"|"&amp;$J546&amp;"|"&amp;4,Assessments!$A$2:$A$600,0)),"")</f>
        <v/>
      </c>
      <c r="BY546" s="28" t="str">
        <f aca="false">IFERROR(INDEX(Assessments!$H$2:$H$600,MATCH($H546&amp;"|"&amp;$I546&amp;"|"&amp;$J546&amp;"|"&amp;5,Assessments!$A$2:$A$600,0)),"")</f>
        <v/>
      </c>
      <c r="BZ546" s="28" t="str">
        <f aca="false">IFERROR(INDEX(Assessments!$H$2:$H$600,MATCH($H546&amp;"|"&amp;$I546&amp;"|"&amp;$J546&amp;"|"&amp;6,Assessments!$A$2:$A$600,0)),"")</f>
        <v/>
      </c>
      <c r="CA546" s="28" t="str">
        <f aca="false">IFERROR(INDEX(Assessments!$H$2:$H$600,MATCH($H546&amp;"|"&amp;$I546&amp;"|"&amp;$J546&amp;"|"&amp;7,Assessments!$A$2:$A$600,0)),"")</f>
        <v/>
      </c>
      <c r="CB546" s="28" t="str">
        <f aca="false">IFERROR(INDEX(Assessments!$H$2:$H$600,MATCH($H546&amp;"|"&amp;$I546&amp;"|"&amp;$J546&amp;"|"&amp;8,Assessments!$A$2:$A$600,0)),"")</f>
        <v/>
      </c>
      <c r="CC546" s="28" t="str">
        <f aca="false">IFERROR(INDEX(Assessments!$H$2:$H$600,MATCH($H546&amp;"|"&amp;$I546&amp;"|"&amp;$J546&amp;"|"&amp;9,Assessments!$A$2:$A$600,0)),"")</f>
        <v/>
      </c>
      <c r="CD546" s="28" t="str">
        <f aca="false">IFERROR(INDEX(Assessments!$H$2:$H$600,MATCH($H546&amp;"|"&amp;$I546&amp;"|"&amp;$J546&amp;"|"&amp;10,Assessments!$A$2:$A$600,0)),"")</f>
        <v/>
      </c>
      <c r="CE546" s="28" t="str">
        <f aca="false">IFERROR(INDEX(Assessments!$H$2:$H$600,MATCH($H546&amp;"|"&amp;$I546&amp;"|"&amp;$J546&amp;"|"&amp;11,Assessments!$A$2:$A$600,0)),"")</f>
        <v/>
      </c>
      <c r="CF546" s="28" t="str">
        <f aca="false">IFERROR(INDEX(Assessments!$H$2:$H$600,MATCH($H546&amp;"|"&amp;$I546&amp;"|"&amp;$J546&amp;"|"&amp;12,Assessments!$A$2:$A$600,0)),"")</f>
        <v/>
      </c>
      <c r="CG546" s="28" t="str">
        <f aca="false">IFERROR(INDEX(Assessments!$H$2:$H$600,MATCH($H546&amp;"|"&amp;$I546&amp;"|"&amp;$J546&amp;"|"&amp;13,Assessments!$A$2:$A$600,0)),"")</f>
        <v/>
      </c>
      <c r="CH546" s="28" t="str">
        <f aca="false">IFERROR(INDEX(Assessments!$H$2:$H$600,MATCH($H546&amp;"|"&amp;$I546&amp;"|"&amp;$J546&amp;"|"&amp;14,Assessments!$A$2:$A$600,0)),"")</f>
        <v/>
      </c>
      <c r="CI546" s="28" t="str">
        <f aca="false">IFERROR(INDEX(Assessments!$I$2:$I$600,MATCH($H546&amp;"|"&amp;$I546&amp;"|"&amp;$J546&amp;"|"&amp;1,Assessments!$A$2:$A$600,0)),"")</f>
        <v/>
      </c>
      <c r="CJ546" s="28" t="str">
        <f aca="false">IFERROR(INDEX(Assessments!$I$2:$I$600,MATCH($H546&amp;"|"&amp;$I546&amp;"|"&amp;$J546&amp;"|"&amp;2,Assessments!$A$2:$A$600,0)),"")</f>
        <v/>
      </c>
      <c r="CK546" s="28" t="str">
        <f aca="false">IFERROR(INDEX(Assessments!$I$2:$I$600,MATCH($H546&amp;"|"&amp;$I546&amp;"|"&amp;$J546&amp;"|"&amp;3,Assessments!$A$2:$A$600,0)),"")</f>
        <v/>
      </c>
      <c r="CL546" s="28" t="str">
        <f aca="false">IFERROR(INDEX(Assessments!$I$2:$I$600,MATCH($H546&amp;"|"&amp;$I546&amp;"|"&amp;$J546&amp;"|"&amp;4,Assessments!$A$2:$A$600,0)),"")</f>
        <v/>
      </c>
      <c r="CM546" s="28" t="str">
        <f aca="false">IFERROR(INDEX(Assessments!$I$2:$I$600,MATCH($H546&amp;"|"&amp;$I546&amp;"|"&amp;$J546&amp;"|"&amp;5,Assessments!$A$2:$A$600,0)),"")</f>
        <v/>
      </c>
      <c r="CN546" s="28" t="str">
        <f aca="false">IFERROR(INDEX(Assessments!$I$2:$I$600,MATCH($H546&amp;"|"&amp;$I546&amp;"|"&amp;$J546&amp;"|"&amp;6,Assessments!$A$2:$A$600,0)),"")</f>
        <v/>
      </c>
      <c r="CO546" s="28" t="str">
        <f aca="false">IFERROR(INDEX(Assessments!$I$2:$I$600,MATCH($H546&amp;"|"&amp;$I546&amp;"|"&amp;$J546&amp;"|"&amp;7,Assessments!$A$2:$A$600,0)),"")</f>
        <v/>
      </c>
      <c r="CP546" s="28" t="str">
        <f aca="false">IFERROR(INDEX(Assessments!$I$2:$I$600,MATCH($H546&amp;"|"&amp;$I546&amp;"|"&amp;$J546&amp;"|"&amp;8,Assessments!$A$2:$A$600,0)),"")</f>
        <v/>
      </c>
      <c r="CQ546" s="28" t="str">
        <f aca="false">IFERROR(INDEX(Assessments!$I$2:$I$600,MATCH($H546&amp;"|"&amp;$I546&amp;"|"&amp;$J546&amp;"|"&amp;9,Assessments!$A$2:$A$600,0)),"")</f>
        <v/>
      </c>
      <c r="CR546" s="28" t="str">
        <f aca="false">IFERROR(INDEX(Assessments!$I$2:$I$600,MATCH($H546&amp;"|"&amp;$I546&amp;"|"&amp;$J546&amp;"|"&amp;10,Assessments!$A$2:$A$600,0)),"")</f>
        <v/>
      </c>
      <c r="CS546" s="28" t="str">
        <f aca="false">IFERROR(INDEX(Assessments!$I$2:$I$600,MATCH($H546&amp;"|"&amp;$I546&amp;"|"&amp;$J546&amp;"|"&amp;11,Assessments!$A$2:$A$600,0)),"")</f>
        <v/>
      </c>
      <c r="CT546" s="28" t="str">
        <f aca="false">IFERROR(INDEX(Assessments!$I$2:$I$600,MATCH($H546&amp;"|"&amp;$I546&amp;"|"&amp;$J546&amp;"|"&amp;12,Assessments!$A$2:$A$600,0)),"")</f>
        <v/>
      </c>
      <c r="CU546" s="28" t="str">
        <f aca="false">IFERROR(INDEX(Assessments!$I$2:$I$600,MATCH($H546&amp;"|"&amp;$I546&amp;"|"&amp;$J546&amp;"|"&amp;13,Assessments!$A$2:$A$600,0)),"")</f>
        <v/>
      </c>
      <c r="CV546" s="28" t="str">
        <f aca="false">IFERROR(INDEX(Assessments!$I$2:$I$600,MATCH($H546&amp;"|"&amp;$I546&amp;"|"&amp;$J546&amp;"|"&amp;14,Assessments!$A$2:$A$600,0)),"")</f>
        <v/>
      </c>
      <c r="CW546" s="28" t="n">
        <f aca="false">IFERROR(INDEX(Assessments!$J$2:$J$600,MATCH($H546&amp;"|"&amp;$I546&amp;"|"&amp;$J546&amp;"|"&amp;1,Assessments!$A$2:$A$600,0)),0)</f>
        <v>0</v>
      </c>
      <c r="CX546" s="28" t="n">
        <f aca="false">IFERROR(INDEX(Assessments!$J$2:$J$600,MATCH($H546&amp;"|"&amp;$I546&amp;"|"&amp;$J546&amp;"|"&amp;2,Assessments!$A$2:$A$600,0)),0)</f>
        <v>0</v>
      </c>
      <c r="CY546" s="28" t="n">
        <f aca="false">IFERROR(INDEX(Assessments!$J$2:$J$600,MATCH($H546&amp;"|"&amp;$I546&amp;"|"&amp;$J546&amp;"|"&amp;3,Assessments!$A$2:$A$600,0)),0)</f>
        <v>0</v>
      </c>
      <c r="CZ546" s="28" t="n">
        <f aca="false">IFERROR(INDEX(Assessments!$J$2:$J$600,MATCH($H546&amp;"|"&amp;$I546&amp;"|"&amp;$J546&amp;"|"&amp;4,Assessments!$A$2:$A$600,0)),0)</f>
        <v>0</v>
      </c>
      <c r="DA546" s="28" t="n">
        <f aca="false">IFERROR(INDEX(Assessments!$J$2:$J$600,MATCH($H546&amp;"|"&amp;$I546&amp;"|"&amp;$J546&amp;"|"&amp;5,Assessments!$A$2:$A$600,0)),0)</f>
        <v>0</v>
      </c>
      <c r="DB546" s="28" t="n">
        <f aca="false">IFERROR(INDEX(Assessments!$J$2:$J$600,MATCH($H546&amp;"|"&amp;$I546&amp;"|"&amp;$J546&amp;"|"&amp;6,Assessments!$A$2:$A$600,0)),0)</f>
        <v>0</v>
      </c>
      <c r="DC546" s="28" t="n">
        <f aca="false">IFERROR(INDEX(Assessments!$J$2:$J$600,MATCH($H546&amp;"|"&amp;$I546&amp;"|"&amp;$J546&amp;"|"&amp;7,Assessments!$A$2:$A$600,0)),0)</f>
        <v>0</v>
      </c>
      <c r="DD546" s="28" t="n">
        <f aca="false">IFERROR(INDEX(Assessments!$J$2:$J$600,MATCH($H546&amp;"|"&amp;$I546&amp;"|"&amp;$J546&amp;"|"&amp;8,Assessments!$A$2:$A$600,0)),0)</f>
        <v>0</v>
      </c>
      <c r="DE546" s="28" t="n">
        <f aca="false">IFERROR(INDEX(Assessments!$J$2:$J$600,MATCH($H546&amp;"|"&amp;$I546&amp;"|"&amp;$J546&amp;"|"&amp;9,Assessments!$A$2:$A$600,0)),0)</f>
        <v>0</v>
      </c>
      <c r="DF546" s="28" t="n">
        <f aca="false">IFERROR(INDEX(Assessments!$J$2:$J$600,MATCH($H546&amp;"|"&amp;$I546&amp;"|"&amp;$J546&amp;"|"&amp;10,Assessments!$A$2:$A$600,0)),0)</f>
        <v>0</v>
      </c>
      <c r="DG546" s="28" t="n">
        <f aca="false">IFERROR(INDEX(Assessments!$J$2:$J$600,MATCH($H546&amp;"|"&amp;$I546&amp;"|"&amp;$J546&amp;"|"&amp;11,Assessments!$A$2:$A$600,0)),0)</f>
        <v>0</v>
      </c>
      <c r="DH546" s="28" t="n">
        <f aca="false">IFERROR(INDEX(Assessments!$J$2:$J$600,MATCH($H546&amp;"|"&amp;$I546&amp;"|"&amp;$J546&amp;"|"&amp;12,Assessments!$A$2:$A$600,0)),0)</f>
        <v>0</v>
      </c>
      <c r="DI546" s="28" t="n">
        <f aca="false">IFERROR(INDEX(Assessments!$J$2:$J$600,MATCH($H546&amp;"|"&amp;$I546&amp;"|"&amp;$J546&amp;"|"&amp;13,Assessments!$A$2:$A$600,0)),0)</f>
        <v>0</v>
      </c>
      <c r="DJ546" s="28" t="n">
        <f aca="false">IFERROR(INDEX(Assessments!$J$2:$J$600,MATCH($H546&amp;"|"&amp;$I546&amp;"|"&amp;$J546&amp;"|"&amp;14,Assessments!$A$2:$A$600,0)),0)</f>
        <v>0</v>
      </c>
      <c r="DK546" s="28" t="str">
        <f aca="false">S546</f>
        <v/>
      </c>
      <c r="DL546" s="28" t="str">
        <f aca="false">W546</f>
        <v/>
      </c>
      <c r="DM546" s="28" t="str">
        <f aca="false">AA546</f>
        <v/>
      </c>
      <c r="DN546" s="28" t="str">
        <f aca="false">AE546</f>
        <v/>
      </c>
      <c r="DO546" s="28" t="str">
        <f aca="false">AI546</f>
        <v/>
      </c>
      <c r="DP546" s="28" t="str">
        <f aca="false">AM546</f>
        <v/>
      </c>
      <c r="DQ546" s="28" t="str">
        <f aca="false">AQ546</f>
        <v/>
      </c>
      <c r="DR546" s="28" t="str">
        <f aca="false">AU546</f>
        <v/>
      </c>
      <c r="DS546" s="28" t="str">
        <f aca="false">AY546</f>
        <v/>
      </c>
      <c r="DT546" s="28" t="str">
        <f aca="false">BC546</f>
        <v/>
      </c>
      <c r="DU546" s="28" t="str">
        <f aca="false">BG546</f>
        <v/>
      </c>
      <c r="DV546" s="28" t="str">
        <f aca="false">BK546</f>
        <v/>
      </c>
      <c r="DW546" s="28" t="str">
        <f aca="false">BO546</f>
        <v/>
      </c>
      <c r="DX546" s="28" t="str">
        <f aca="false">BS546</f>
        <v/>
      </c>
      <c r="DY546" s="28" t="str">
        <f aca="false">IF(ISNUMBER(S546),1,"")</f>
        <v/>
      </c>
      <c r="DZ546" s="28" t="str">
        <f aca="false">IF(ISNUMBER(W546),2,"")</f>
        <v/>
      </c>
      <c r="EA546" s="28" t="str">
        <f aca="false">IF(ISNUMBER(AA546),3,"")</f>
        <v/>
      </c>
      <c r="EB546" s="28" t="str">
        <f aca="false">IF(ISNUMBER(AE546),4,"")</f>
        <v/>
      </c>
      <c r="EC546" s="28" t="str">
        <f aca="false">IF(ISNUMBER(AI546),5,"")</f>
        <v/>
      </c>
      <c r="ED546" s="28" t="str">
        <f aca="false">IF(ISNUMBER(AM546),6,"")</f>
        <v/>
      </c>
      <c r="EE546" s="28" t="str">
        <f aca="false">IF(ISNUMBER(AQ546),7,"")</f>
        <v/>
      </c>
      <c r="EF546" s="28" t="str">
        <f aca="false">IF(ISNUMBER(AU546),8,"")</f>
        <v/>
      </c>
      <c r="EG546" s="28" t="str">
        <f aca="false">IF(ISNUMBER(AY546),9,"")</f>
        <v/>
      </c>
      <c r="EH546" s="28" t="str">
        <f aca="false">IF(ISNUMBER(BC546),10,"")</f>
        <v/>
      </c>
      <c r="EI546" s="28" t="str">
        <f aca="false">IF(ISNUMBER(BG546),11,"")</f>
        <v/>
      </c>
      <c r="EJ546" s="28" t="str">
        <f aca="false">IF(ISNUMBER(BK546),12,"")</f>
        <v/>
      </c>
      <c r="EK546" s="28" t="str">
        <f aca="false">IF(ISNUMBER(BO546),13,"")</f>
        <v/>
      </c>
      <c r="EL546" s="28" t="str">
        <f aca="false">IF(ISNUMBER(BS546),14,"")</f>
        <v/>
      </c>
      <c r="EM546" s="28" t="n">
        <f aca="false">IF(ISNUMBER(R546),R546*CW546,0)</f>
        <v>0</v>
      </c>
      <c r="EN546" s="28" t="n">
        <f aca="false">IF(ISNUMBER(V546),V546*CX546,0)</f>
        <v>0</v>
      </c>
      <c r="EO546" s="28" t="n">
        <f aca="false">IF(ISNUMBER(Z546),Z546*CY546,0)</f>
        <v>0</v>
      </c>
      <c r="EP546" s="28" t="n">
        <f aca="false">IF(ISNUMBER(AD546),AD546*CZ546,0)</f>
        <v>0</v>
      </c>
      <c r="EQ546" s="28" t="n">
        <f aca="false">IF(ISNUMBER(AH546),AH546*DA546,0)</f>
        <v>0</v>
      </c>
      <c r="ER546" s="28" t="n">
        <f aca="false">IF(ISNUMBER(AL546),AL546*DB546,0)</f>
        <v>0</v>
      </c>
      <c r="ES546" s="28" t="n">
        <f aca="false">IF(ISNUMBER(AP546),AP546*DC546,0)</f>
        <v>0</v>
      </c>
      <c r="ET546" s="28" t="n">
        <f aca="false">IF(ISNUMBER(AT546),AT546*DD546,0)</f>
        <v>0</v>
      </c>
      <c r="EU546" s="28" t="n">
        <f aca="false">IF(ISNUMBER(AX546),AX546*DE546,0)</f>
        <v>0</v>
      </c>
      <c r="EV546" s="28" t="n">
        <f aca="false">IF(ISNUMBER(BB546),BB546*DF546,0)</f>
        <v>0</v>
      </c>
      <c r="EW546" s="28" t="n">
        <f aca="false">IF(ISNUMBER(BF546),BF546*DG546,0)</f>
        <v>0</v>
      </c>
      <c r="EX546" s="28" t="n">
        <f aca="false">IF(ISNUMBER(BJ546),BJ546*DH546,0)</f>
        <v>0</v>
      </c>
      <c r="EY546" s="28" t="n">
        <f aca="false">IF(ISNUMBER(BN546),BN546*DI546,0)</f>
        <v>0</v>
      </c>
      <c r="EZ546" s="28" t="n">
        <f aca="false">IF(ISNUMBER(BR546),BR546*DJ546,0)</f>
        <v>0</v>
      </c>
      <c r="FA546" s="28" t="n">
        <f aca="false">IF(ISNUMBER(R546),CW546,0)</f>
        <v>0</v>
      </c>
      <c r="FB546" s="28" t="n">
        <f aca="false">IF(ISNUMBER(V546),CX546,0)</f>
        <v>0</v>
      </c>
      <c r="FC546" s="28" t="n">
        <f aca="false">IF(ISNUMBER(Z546),CY546,0)</f>
        <v>0</v>
      </c>
      <c r="FD546" s="28" t="n">
        <f aca="false">IF(ISNUMBER(AD546),CZ546,0)</f>
        <v>0</v>
      </c>
      <c r="FE546" s="28" t="n">
        <f aca="false">IF(ISNUMBER(AH546),DA546,0)</f>
        <v>0</v>
      </c>
      <c r="FF546" s="28" t="n">
        <f aca="false">IF(ISNUMBER(AL546),DB546,0)</f>
        <v>0</v>
      </c>
      <c r="FG546" s="28" t="n">
        <f aca="false">IF(ISNUMBER(AP546),DC546,0)</f>
        <v>0</v>
      </c>
      <c r="FH546" s="28" t="n">
        <f aca="false">IF(ISNUMBER(AT546),DD546,0)</f>
        <v>0</v>
      </c>
      <c r="FI546" s="28" t="n">
        <f aca="false">IF(ISNUMBER(AX546),DE546,0)</f>
        <v>0</v>
      </c>
      <c r="FJ546" s="28" t="n">
        <f aca="false">IF(ISNUMBER(BB546),DF546,0)</f>
        <v>0</v>
      </c>
      <c r="FK546" s="28" t="n">
        <f aca="false">IF(ISNUMBER(BF546),DG546,0)</f>
        <v>0</v>
      </c>
      <c r="FL546" s="28" t="n">
        <f aca="false">IF(ISNUMBER(BJ546),DH546,0)</f>
        <v>0</v>
      </c>
      <c r="FM546" s="28" t="n">
        <f aca="false">IF(ISNUMBER(BN546),DI546,0)</f>
        <v>0</v>
      </c>
      <c r="FN546" s="28" t="n">
        <f aca="false">IF(ISNUMBER(BR546),DJ546,0)</f>
        <v>0</v>
      </c>
      <c r="FO546" s="28" t="str">
        <f aca="false">IFERROR(INDEX(Lists!$G$2:$G$20,MATCH($I546&amp;"|"&amp;$J546,Lists!$F$2:$F$20,0)),"")</f>
        <v/>
      </c>
    </row>
    <row r="547" customFormat="false" ht="19.5" hidden="false" customHeight="true" outlineLevel="0" collapsed="false">
      <c r="A547" s="29"/>
      <c r="B547" s="29"/>
      <c r="C547" s="30"/>
      <c r="D547" s="30"/>
      <c r="E547" s="31"/>
      <c r="F547" s="30"/>
      <c r="G547" s="30"/>
      <c r="H547" s="32"/>
      <c r="I547" s="33"/>
      <c r="J547" s="32"/>
      <c r="K547" s="34" t="str">
        <f aca="false">IF(OR(M547="",$E547=""),"",M547-$E547)</f>
        <v/>
      </c>
      <c r="L547" s="35" t="str">
        <f aca="false">IF(SUM(FA547:FN547)=0,"",SUM(EM547:EZ547)/SUM(FA547:FN547))</f>
        <v/>
      </c>
      <c r="M547" s="36" t="str">
        <f aca="false">IF(OR(L547="",FO547=""),"",IFERROR(MATCH(L547,INDEX(Boundaries!$B$2:$I$30,MATCH(FO547,Boundaries!$A$2:$A$30,0),0),1)-1,""))</f>
        <v/>
      </c>
      <c r="N547" s="37" t="str">
        <f aca="false">IF(COUNT($DY547:$EL547)&lt;2,"",INDEX($DK547:$DX547,MAX($DY547:$EL547))-INDEX($DK547:$DX547,MIN($DY547:$EL547)))</f>
        <v/>
      </c>
      <c r="O547" s="37" t="str">
        <f aca="false">IF(COUNT($DY547:$EL547)&lt;2,"",INDEX($DK547:$DX547,MAX($DY547:$EL547))-INDEX($DK547:$DX547,LARGE($DY547:$EL547,2)))</f>
        <v/>
      </c>
      <c r="P547" s="38" t="str">
        <f aca="false">IF(K547="","",IF(K547&gt;=0,"On/above target",IF(AND(N547&lt;&gt;"",N547&gt;=0.5),"Improving towards target",IF(AND(O547&lt;&gt;"",O547&lt;=-0.5),"Declining","Stable below target"))))</f>
        <v/>
      </c>
      <c r="Q547" s="39"/>
      <c r="R547" s="40" t="str">
        <f aca="false">IF(OR(Q547="",BU547=""),"",Q547/BU547*100)</f>
        <v/>
      </c>
      <c r="S547" s="41" t="str">
        <f aca="false">IF(R547="","",IFERROR(MATCH(R547,INDEX(Boundaries!$B$2:$I$30,MATCH(CI547,Boundaries!$A$2:$A$30,0),0),1)-1,""))</f>
        <v/>
      </c>
      <c r="T547" s="42" t="str">
        <f aca="false">IF(OR(S547="",$E547=""),"",S547-$E547)</f>
        <v/>
      </c>
      <c r="U547" s="39"/>
      <c r="V547" s="40" t="str">
        <f aca="false">IF(OR(U547="",BV547=""),"",U547/BV547*100)</f>
        <v/>
      </c>
      <c r="W547" s="41" t="str">
        <f aca="false">IF(V547="","",IFERROR(MATCH(V547,INDEX(Boundaries!$B$2:$I$30,MATCH(CJ547,Boundaries!$A$2:$A$30,0),0),1)-1,""))</f>
        <v/>
      </c>
      <c r="X547" s="42" t="str">
        <f aca="false">IF(OR(W547="",$E547=""),"",W547-$E547)</f>
        <v/>
      </c>
      <c r="Y547" s="39"/>
      <c r="Z547" s="40" t="str">
        <f aca="false">IF(OR(Y547="",BW547=""),"",Y547/BW547*100)</f>
        <v/>
      </c>
      <c r="AA547" s="41" t="str">
        <f aca="false">IF(Z547="","",IFERROR(MATCH(Z547,INDEX(Boundaries!$B$2:$I$30,MATCH(CK547,Boundaries!$A$2:$A$30,0),0),1)-1,""))</f>
        <v/>
      </c>
      <c r="AB547" s="42" t="str">
        <f aca="false">IF(OR(AA547="",$E547=""),"",AA547-$E547)</f>
        <v/>
      </c>
      <c r="AC547" s="39"/>
      <c r="AD547" s="40" t="str">
        <f aca="false">IF(OR(AC547="",BX547=""),"",AC547/BX547*100)</f>
        <v/>
      </c>
      <c r="AE547" s="41" t="str">
        <f aca="false">IF(AD547="","",IFERROR(MATCH(AD547,INDEX(Boundaries!$B$2:$I$30,MATCH(CL547,Boundaries!$A$2:$A$30,0),0),1)-1,""))</f>
        <v/>
      </c>
      <c r="AF547" s="42" t="str">
        <f aca="false">IF(OR(AE547="",$E547=""),"",AE547-$E547)</f>
        <v/>
      </c>
      <c r="AG547" s="39"/>
      <c r="AH547" s="40" t="str">
        <f aca="false">IF(OR(AG547="",BY547=""),"",AG547/BY547*100)</f>
        <v/>
      </c>
      <c r="AI547" s="41" t="str">
        <f aca="false">IF(AH547="","",IFERROR(MATCH(AH547,INDEX(Boundaries!$B$2:$I$30,MATCH(CM547,Boundaries!$A$2:$A$30,0),0),1)-1,""))</f>
        <v/>
      </c>
      <c r="AJ547" s="42" t="str">
        <f aca="false">IF(OR(AI547="",$E547=""),"",AI547-$E547)</f>
        <v/>
      </c>
      <c r="AK547" s="39"/>
      <c r="AL547" s="40" t="str">
        <f aca="false">IF(OR(AK547="",BZ547=""),"",AK547/BZ547*100)</f>
        <v/>
      </c>
      <c r="AM547" s="41" t="str">
        <f aca="false">IF(AL547="","",IFERROR(MATCH(AL547,INDEX(Boundaries!$B$2:$I$30,MATCH(CN547,Boundaries!$A$2:$A$30,0),0),1)-1,""))</f>
        <v/>
      </c>
      <c r="AN547" s="42" t="str">
        <f aca="false">IF(OR(AM547="",$E547=""),"",AM547-$E547)</f>
        <v/>
      </c>
      <c r="AO547" s="39"/>
      <c r="AP547" s="40" t="str">
        <f aca="false">IF(OR(AO547="",CA547=""),"",AO547/CA547*100)</f>
        <v/>
      </c>
      <c r="AQ547" s="41" t="str">
        <f aca="false">IF(AP547="","",IFERROR(MATCH(AP547,INDEX(Boundaries!$B$2:$I$30,MATCH(CO547,Boundaries!$A$2:$A$30,0),0),1)-1,""))</f>
        <v/>
      </c>
      <c r="AR547" s="42" t="str">
        <f aca="false">IF(OR(AQ547="",$E547=""),"",AQ547-$E547)</f>
        <v/>
      </c>
      <c r="AS547" s="39"/>
      <c r="AT547" s="40" t="str">
        <f aca="false">IF(OR(AS547="",CB547=""),"",AS547/CB547*100)</f>
        <v/>
      </c>
      <c r="AU547" s="41" t="str">
        <f aca="false">IF(AT547="","",IFERROR(MATCH(AT547,INDEX(Boundaries!$B$2:$I$30,MATCH(CP547,Boundaries!$A$2:$A$30,0),0),1)-1,""))</f>
        <v/>
      </c>
      <c r="AV547" s="42" t="str">
        <f aca="false">IF(OR(AU547="",$E547=""),"",AU547-$E547)</f>
        <v/>
      </c>
      <c r="AW547" s="39"/>
      <c r="AX547" s="40" t="str">
        <f aca="false">IF(OR(AW547="",CC547=""),"",AW547/CC547*100)</f>
        <v/>
      </c>
      <c r="AY547" s="41" t="str">
        <f aca="false">IF(AX547="","",IFERROR(MATCH(AX547,INDEX(Boundaries!$B$2:$I$30,MATCH(CQ547,Boundaries!$A$2:$A$30,0),0),1)-1,""))</f>
        <v/>
      </c>
      <c r="AZ547" s="42" t="str">
        <f aca="false">IF(OR(AY547="",$E547=""),"",AY547-$E547)</f>
        <v/>
      </c>
      <c r="BA547" s="39"/>
      <c r="BB547" s="40" t="str">
        <f aca="false">IF(OR(BA547="",CD547=""),"",BA547/CD547*100)</f>
        <v/>
      </c>
      <c r="BC547" s="41" t="str">
        <f aca="false">IF(BB547="","",IFERROR(MATCH(BB547,INDEX(Boundaries!$B$2:$I$30,MATCH(CR547,Boundaries!$A$2:$A$30,0),0),1)-1,""))</f>
        <v/>
      </c>
      <c r="BD547" s="42" t="str">
        <f aca="false">IF(OR(BC547="",$E547=""),"",BC547-$E547)</f>
        <v/>
      </c>
      <c r="BE547" s="39"/>
      <c r="BF547" s="40" t="str">
        <f aca="false">IF(OR(BE547="",CE547=""),"",BE547/CE547*100)</f>
        <v/>
      </c>
      <c r="BG547" s="41" t="str">
        <f aca="false">IF(BF547="","",IFERROR(MATCH(BF547,INDEX(Boundaries!$B$2:$I$30,MATCH(CS547,Boundaries!$A$2:$A$30,0),0),1)-1,""))</f>
        <v/>
      </c>
      <c r="BH547" s="42" t="str">
        <f aca="false">IF(OR(BG547="",$E547=""),"",BG547-$E547)</f>
        <v/>
      </c>
      <c r="BI547" s="39"/>
      <c r="BJ547" s="40" t="str">
        <f aca="false">IF(OR(BI547="",CF547=""),"",BI547/CF547*100)</f>
        <v/>
      </c>
      <c r="BK547" s="41" t="str">
        <f aca="false">IF(BJ547="","",IFERROR(MATCH(BJ547,INDEX(Boundaries!$B$2:$I$30,MATCH(CT547,Boundaries!$A$2:$A$30,0),0),1)-1,""))</f>
        <v/>
      </c>
      <c r="BL547" s="42" t="str">
        <f aca="false">IF(OR(BK547="",$E547=""),"",BK547-$E547)</f>
        <v/>
      </c>
      <c r="BM547" s="39"/>
      <c r="BN547" s="40" t="str">
        <f aca="false">IF(OR(BM547="",CG547=""),"",BM547/CG547*100)</f>
        <v/>
      </c>
      <c r="BO547" s="41" t="str">
        <f aca="false">IF(BN547="","",IFERROR(MATCH(BN547,INDEX(Boundaries!$B$2:$I$30,MATCH(CU547,Boundaries!$A$2:$A$30,0),0),1)-1,""))</f>
        <v/>
      </c>
      <c r="BP547" s="42" t="str">
        <f aca="false">IF(OR(BO547="",$E547=""),"",BO547-$E547)</f>
        <v/>
      </c>
      <c r="BQ547" s="39"/>
      <c r="BR547" s="40" t="str">
        <f aca="false">IF(OR(BQ547="",CH547=""),"",BQ547/CH547*100)</f>
        <v/>
      </c>
      <c r="BS547" s="41" t="str">
        <f aca="false">IF(BR547="","",IFERROR(MATCH(BR547,INDEX(Boundaries!$B$2:$I$30,MATCH(CV547,Boundaries!$A$2:$A$30,0),0),1)-1,""))</f>
        <v/>
      </c>
      <c r="BT547" s="42" t="str">
        <f aca="false">IF(OR(BS547="",$E547=""),"",BS547-$E547)</f>
        <v/>
      </c>
      <c r="BU547" s="28" t="str">
        <f aca="false">IFERROR(INDEX(Assessments!$H$2:$H$600,MATCH($H547&amp;"|"&amp;$I547&amp;"|"&amp;$J547&amp;"|"&amp;1,Assessments!$A$2:$A$600,0)),"")</f>
        <v/>
      </c>
      <c r="BV547" s="28" t="str">
        <f aca="false">IFERROR(INDEX(Assessments!$H$2:$H$600,MATCH($H547&amp;"|"&amp;$I547&amp;"|"&amp;$J547&amp;"|"&amp;2,Assessments!$A$2:$A$600,0)),"")</f>
        <v/>
      </c>
      <c r="BW547" s="28" t="str">
        <f aca="false">IFERROR(INDEX(Assessments!$H$2:$H$600,MATCH($H547&amp;"|"&amp;$I547&amp;"|"&amp;$J547&amp;"|"&amp;3,Assessments!$A$2:$A$600,0)),"")</f>
        <v/>
      </c>
      <c r="BX547" s="28" t="str">
        <f aca="false">IFERROR(INDEX(Assessments!$H$2:$H$600,MATCH($H547&amp;"|"&amp;$I547&amp;"|"&amp;$J547&amp;"|"&amp;4,Assessments!$A$2:$A$600,0)),"")</f>
        <v/>
      </c>
      <c r="BY547" s="28" t="str">
        <f aca="false">IFERROR(INDEX(Assessments!$H$2:$H$600,MATCH($H547&amp;"|"&amp;$I547&amp;"|"&amp;$J547&amp;"|"&amp;5,Assessments!$A$2:$A$600,0)),"")</f>
        <v/>
      </c>
      <c r="BZ547" s="28" t="str">
        <f aca="false">IFERROR(INDEX(Assessments!$H$2:$H$600,MATCH($H547&amp;"|"&amp;$I547&amp;"|"&amp;$J547&amp;"|"&amp;6,Assessments!$A$2:$A$600,0)),"")</f>
        <v/>
      </c>
      <c r="CA547" s="28" t="str">
        <f aca="false">IFERROR(INDEX(Assessments!$H$2:$H$600,MATCH($H547&amp;"|"&amp;$I547&amp;"|"&amp;$J547&amp;"|"&amp;7,Assessments!$A$2:$A$600,0)),"")</f>
        <v/>
      </c>
      <c r="CB547" s="28" t="str">
        <f aca="false">IFERROR(INDEX(Assessments!$H$2:$H$600,MATCH($H547&amp;"|"&amp;$I547&amp;"|"&amp;$J547&amp;"|"&amp;8,Assessments!$A$2:$A$600,0)),"")</f>
        <v/>
      </c>
      <c r="CC547" s="28" t="str">
        <f aca="false">IFERROR(INDEX(Assessments!$H$2:$H$600,MATCH($H547&amp;"|"&amp;$I547&amp;"|"&amp;$J547&amp;"|"&amp;9,Assessments!$A$2:$A$600,0)),"")</f>
        <v/>
      </c>
      <c r="CD547" s="28" t="str">
        <f aca="false">IFERROR(INDEX(Assessments!$H$2:$H$600,MATCH($H547&amp;"|"&amp;$I547&amp;"|"&amp;$J547&amp;"|"&amp;10,Assessments!$A$2:$A$600,0)),"")</f>
        <v/>
      </c>
      <c r="CE547" s="28" t="str">
        <f aca="false">IFERROR(INDEX(Assessments!$H$2:$H$600,MATCH($H547&amp;"|"&amp;$I547&amp;"|"&amp;$J547&amp;"|"&amp;11,Assessments!$A$2:$A$600,0)),"")</f>
        <v/>
      </c>
      <c r="CF547" s="28" t="str">
        <f aca="false">IFERROR(INDEX(Assessments!$H$2:$H$600,MATCH($H547&amp;"|"&amp;$I547&amp;"|"&amp;$J547&amp;"|"&amp;12,Assessments!$A$2:$A$600,0)),"")</f>
        <v/>
      </c>
      <c r="CG547" s="28" t="str">
        <f aca="false">IFERROR(INDEX(Assessments!$H$2:$H$600,MATCH($H547&amp;"|"&amp;$I547&amp;"|"&amp;$J547&amp;"|"&amp;13,Assessments!$A$2:$A$600,0)),"")</f>
        <v/>
      </c>
      <c r="CH547" s="28" t="str">
        <f aca="false">IFERROR(INDEX(Assessments!$H$2:$H$600,MATCH($H547&amp;"|"&amp;$I547&amp;"|"&amp;$J547&amp;"|"&amp;14,Assessments!$A$2:$A$600,0)),"")</f>
        <v/>
      </c>
      <c r="CI547" s="28" t="str">
        <f aca="false">IFERROR(INDEX(Assessments!$I$2:$I$600,MATCH($H547&amp;"|"&amp;$I547&amp;"|"&amp;$J547&amp;"|"&amp;1,Assessments!$A$2:$A$600,0)),"")</f>
        <v/>
      </c>
      <c r="CJ547" s="28" t="str">
        <f aca="false">IFERROR(INDEX(Assessments!$I$2:$I$600,MATCH($H547&amp;"|"&amp;$I547&amp;"|"&amp;$J547&amp;"|"&amp;2,Assessments!$A$2:$A$600,0)),"")</f>
        <v/>
      </c>
      <c r="CK547" s="28" t="str">
        <f aca="false">IFERROR(INDEX(Assessments!$I$2:$I$600,MATCH($H547&amp;"|"&amp;$I547&amp;"|"&amp;$J547&amp;"|"&amp;3,Assessments!$A$2:$A$600,0)),"")</f>
        <v/>
      </c>
      <c r="CL547" s="28" t="str">
        <f aca="false">IFERROR(INDEX(Assessments!$I$2:$I$600,MATCH($H547&amp;"|"&amp;$I547&amp;"|"&amp;$J547&amp;"|"&amp;4,Assessments!$A$2:$A$600,0)),"")</f>
        <v/>
      </c>
      <c r="CM547" s="28" t="str">
        <f aca="false">IFERROR(INDEX(Assessments!$I$2:$I$600,MATCH($H547&amp;"|"&amp;$I547&amp;"|"&amp;$J547&amp;"|"&amp;5,Assessments!$A$2:$A$600,0)),"")</f>
        <v/>
      </c>
      <c r="CN547" s="28" t="str">
        <f aca="false">IFERROR(INDEX(Assessments!$I$2:$I$600,MATCH($H547&amp;"|"&amp;$I547&amp;"|"&amp;$J547&amp;"|"&amp;6,Assessments!$A$2:$A$600,0)),"")</f>
        <v/>
      </c>
      <c r="CO547" s="28" t="str">
        <f aca="false">IFERROR(INDEX(Assessments!$I$2:$I$600,MATCH($H547&amp;"|"&amp;$I547&amp;"|"&amp;$J547&amp;"|"&amp;7,Assessments!$A$2:$A$600,0)),"")</f>
        <v/>
      </c>
      <c r="CP547" s="28" t="str">
        <f aca="false">IFERROR(INDEX(Assessments!$I$2:$I$600,MATCH($H547&amp;"|"&amp;$I547&amp;"|"&amp;$J547&amp;"|"&amp;8,Assessments!$A$2:$A$600,0)),"")</f>
        <v/>
      </c>
      <c r="CQ547" s="28" t="str">
        <f aca="false">IFERROR(INDEX(Assessments!$I$2:$I$600,MATCH($H547&amp;"|"&amp;$I547&amp;"|"&amp;$J547&amp;"|"&amp;9,Assessments!$A$2:$A$600,0)),"")</f>
        <v/>
      </c>
      <c r="CR547" s="28" t="str">
        <f aca="false">IFERROR(INDEX(Assessments!$I$2:$I$600,MATCH($H547&amp;"|"&amp;$I547&amp;"|"&amp;$J547&amp;"|"&amp;10,Assessments!$A$2:$A$600,0)),"")</f>
        <v/>
      </c>
      <c r="CS547" s="28" t="str">
        <f aca="false">IFERROR(INDEX(Assessments!$I$2:$I$600,MATCH($H547&amp;"|"&amp;$I547&amp;"|"&amp;$J547&amp;"|"&amp;11,Assessments!$A$2:$A$600,0)),"")</f>
        <v/>
      </c>
      <c r="CT547" s="28" t="str">
        <f aca="false">IFERROR(INDEX(Assessments!$I$2:$I$600,MATCH($H547&amp;"|"&amp;$I547&amp;"|"&amp;$J547&amp;"|"&amp;12,Assessments!$A$2:$A$600,0)),"")</f>
        <v/>
      </c>
      <c r="CU547" s="28" t="str">
        <f aca="false">IFERROR(INDEX(Assessments!$I$2:$I$600,MATCH($H547&amp;"|"&amp;$I547&amp;"|"&amp;$J547&amp;"|"&amp;13,Assessments!$A$2:$A$600,0)),"")</f>
        <v/>
      </c>
      <c r="CV547" s="28" t="str">
        <f aca="false">IFERROR(INDEX(Assessments!$I$2:$I$600,MATCH($H547&amp;"|"&amp;$I547&amp;"|"&amp;$J547&amp;"|"&amp;14,Assessments!$A$2:$A$600,0)),"")</f>
        <v/>
      </c>
      <c r="CW547" s="28" t="n">
        <f aca="false">IFERROR(INDEX(Assessments!$J$2:$J$600,MATCH($H547&amp;"|"&amp;$I547&amp;"|"&amp;$J547&amp;"|"&amp;1,Assessments!$A$2:$A$600,0)),0)</f>
        <v>0</v>
      </c>
      <c r="CX547" s="28" t="n">
        <f aca="false">IFERROR(INDEX(Assessments!$J$2:$J$600,MATCH($H547&amp;"|"&amp;$I547&amp;"|"&amp;$J547&amp;"|"&amp;2,Assessments!$A$2:$A$600,0)),0)</f>
        <v>0</v>
      </c>
      <c r="CY547" s="28" t="n">
        <f aca="false">IFERROR(INDEX(Assessments!$J$2:$J$600,MATCH($H547&amp;"|"&amp;$I547&amp;"|"&amp;$J547&amp;"|"&amp;3,Assessments!$A$2:$A$600,0)),0)</f>
        <v>0</v>
      </c>
      <c r="CZ547" s="28" t="n">
        <f aca="false">IFERROR(INDEX(Assessments!$J$2:$J$600,MATCH($H547&amp;"|"&amp;$I547&amp;"|"&amp;$J547&amp;"|"&amp;4,Assessments!$A$2:$A$600,0)),0)</f>
        <v>0</v>
      </c>
      <c r="DA547" s="28" t="n">
        <f aca="false">IFERROR(INDEX(Assessments!$J$2:$J$600,MATCH($H547&amp;"|"&amp;$I547&amp;"|"&amp;$J547&amp;"|"&amp;5,Assessments!$A$2:$A$600,0)),0)</f>
        <v>0</v>
      </c>
      <c r="DB547" s="28" t="n">
        <f aca="false">IFERROR(INDEX(Assessments!$J$2:$J$600,MATCH($H547&amp;"|"&amp;$I547&amp;"|"&amp;$J547&amp;"|"&amp;6,Assessments!$A$2:$A$600,0)),0)</f>
        <v>0</v>
      </c>
      <c r="DC547" s="28" t="n">
        <f aca="false">IFERROR(INDEX(Assessments!$J$2:$J$600,MATCH($H547&amp;"|"&amp;$I547&amp;"|"&amp;$J547&amp;"|"&amp;7,Assessments!$A$2:$A$600,0)),0)</f>
        <v>0</v>
      </c>
      <c r="DD547" s="28" t="n">
        <f aca="false">IFERROR(INDEX(Assessments!$J$2:$J$600,MATCH($H547&amp;"|"&amp;$I547&amp;"|"&amp;$J547&amp;"|"&amp;8,Assessments!$A$2:$A$600,0)),0)</f>
        <v>0</v>
      </c>
      <c r="DE547" s="28" t="n">
        <f aca="false">IFERROR(INDEX(Assessments!$J$2:$J$600,MATCH($H547&amp;"|"&amp;$I547&amp;"|"&amp;$J547&amp;"|"&amp;9,Assessments!$A$2:$A$600,0)),0)</f>
        <v>0</v>
      </c>
      <c r="DF547" s="28" t="n">
        <f aca="false">IFERROR(INDEX(Assessments!$J$2:$J$600,MATCH($H547&amp;"|"&amp;$I547&amp;"|"&amp;$J547&amp;"|"&amp;10,Assessments!$A$2:$A$600,0)),0)</f>
        <v>0</v>
      </c>
      <c r="DG547" s="28" t="n">
        <f aca="false">IFERROR(INDEX(Assessments!$J$2:$J$600,MATCH($H547&amp;"|"&amp;$I547&amp;"|"&amp;$J547&amp;"|"&amp;11,Assessments!$A$2:$A$600,0)),0)</f>
        <v>0</v>
      </c>
      <c r="DH547" s="28" t="n">
        <f aca="false">IFERROR(INDEX(Assessments!$J$2:$J$600,MATCH($H547&amp;"|"&amp;$I547&amp;"|"&amp;$J547&amp;"|"&amp;12,Assessments!$A$2:$A$600,0)),0)</f>
        <v>0</v>
      </c>
      <c r="DI547" s="28" t="n">
        <f aca="false">IFERROR(INDEX(Assessments!$J$2:$J$600,MATCH($H547&amp;"|"&amp;$I547&amp;"|"&amp;$J547&amp;"|"&amp;13,Assessments!$A$2:$A$600,0)),0)</f>
        <v>0</v>
      </c>
      <c r="DJ547" s="28" t="n">
        <f aca="false">IFERROR(INDEX(Assessments!$J$2:$J$600,MATCH($H547&amp;"|"&amp;$I547&amp;"|"&amp;$J547&amp;"|"&amp;14,Assessments!$A$2:$A$600,0)),0)</f>
        <v>0</v>
      </c>
      <c r="DK547" s="28" t="str">
        <f aca="false">S547</f>
        <v/>
      </c>
      <c r="DL547" s="28" t="str">
        <f aca="false">W547</f>
        <v/>
      </c>
      <c r="DM547" s="28" t="str">
        <f aca="false">AA547</f>
        <v/>
      </c>
      <c r="DN547" s="28" t="str">
        <f aca="false">AE547</f>
        <v/>
      </c>
      <c r="DO547" s="28" t="str">
        <f aca="false">AI547</f>
        <v/>
      </c>
      <c r="DP547" s="28" t="str">
        <f aca="false">AM547</f>
        <v/>
      </c>
      <c r="DQ547" s="28" t="str">
        <f aca="false">AQ547</f>
        <v/>
      </c>
      <c r="DR547" s="28" t="str">
        <f aca="false">AU547</f>
        <v/>
      </c>
      <c r="DS547" s="28" t="str">
        <f aca="false">AY547</f>
        <v/>
      </c>
      <c r="DT547" s="28" t="str">
        <f aca="false">BC547</f>
        <v/>
      </c>
      <c r="DU547" s="28" t="str">
        <f aca="false">BG547</f>
        <v/>
      </c>
      <c r="DV547" s="28" t="str">
        <f aca="false">BK547</f>
        <v/>
      </c>
      <c r="DW547" s="28" t="str">
        <f aca="false">BO547</f>
        <v/>
      </c>
      <c r="DX547" s="28" t="str">
        <f aca="false">BS547</f>
        <v/>
      </c>
      <c r="DY547" s="28" t="str">
        <f aca="false">IF(ISNUMBER(S547),1,"")</f>
        <v/>
      </c>
      <c r="DZ547" s="28" t="str">
        <f aca="false">IF(ISNUMBER(W547),2,"")</f>
        <v/>
      </c>
      <c r="EA547" s="28" t="str">
        <f aca="false">IF(ISNUMBER(AA547),3,"")</f>
        <v/>
      </c>
      <c r="EB547" s="28" t="str">
        <f aca="false">IF(ISNUMBER(AE547),4,"")</f>
        <v/>
      </c>
      <c r="EC547" s="28" t="str">
        <f aca="false">IF(ISNUMBER(AI547),5,"")</f>
        <v/>
      </c>
      <c r="ED547" s="28" t="str">
        <f aca="false">IF(ISNUMBER(AM547),6,"")</f>
        <v/>
      </c>
      <c r="EE547" s="28" t="str">
        <f aca="false">IF(ISNUMBER(AQ547),7,"")</f>
        <v/>
      </c>
      <c r="EF547" s="28" t="str">
        <f aca="false">IF(ISNUMBER(AU547),8,"")</f>
        <v/>
      </c>
      <c r="EG547" s="28" t="str">
        <f aca="false">IF(ISNUMBER(AY547),9,"")</f>
        <v/>
      </c>
      <c r="EH547" s="28" t="str">
        <f aca="false">IF(ISNUMBER(BC547),10,"")</f>
        <v/>
      </c>
      <c r="EI547" s="28" t="str">
        <f aca="false">IF(ISNUMBER(BG547),11,"")</f>
        <v/>
      </c>
      <c r="EJ547" s="28" t="str">
        <f aca="false">IF(ISNUMBER(BK547),12,"")</f>
        <v/>
      </c>
      <c r="EK547" s="28" t="str">
        <f aca="false">IF(ISNUMBER(BO547),13,"")</f>
        <v/>
      </c>
      <c r="EL547" s="28" t="str">
        <f aca="false">IF(ISNUMBER(BS547),14,"")</f>
        <v/>
      </c>
      <c r="EM547" s="28" t="n">
        <f aca="false">IF(ISNUMBER(R547),R547*CW547,0)</f>
        <v>0</v>
      </c>
      <c r="EN547" s="28" t="n">
        <f aca="false">IF(ISNUMBER(V547),V547*CX547,0)</f>
        <v>0</v>
      </c>
      <c r="EO547" s="28" t="n">
        <f aca="false">IF(ISNUMBER(Z547),Z547*CY547,0)</f>
        <v>0</v>
      </c>
      <c r="EP547" s="28" t="n">
        <f aca="false">IF(ISNUMBER(AD547),AD547*CZ547,0)</f>
        <v>0</v>
      </c>
      <c r="EQ547" s="28" t="n">
        <f aca="false">IF(ISNUMBER(AH547),AH547*DA547,0)</f>
        <v>0</v>
      </c>
      <c r="ER547" s="28" t="n">
        <f aca="false">IF(ISNUMBER(AL547),AL547*DB547,0)</f>
        <v>0</v>
      </c>
      <c r="ES547" s="28" t="n">
        <f aca="false">IF(ISNUMBER(AP547),AP547*DC547,0)</f>
        <v>0</v>
      </c>
      <c r="ET547" s="28" t="n">
        <f aca="false">IF(ISNUMBER(AT547),AT547*DD547,0)</f>
        <v>0</v>
      </c>
      <c r="EU547" s="28" t="n">
        <f aca="false">IF(ISNUMBER(AX547),AX547*DE547,0)</f>
        <v>0</v>
      </c>
      <c r="EV547" s="28" t="n">
        <f aca="false">IF(ISNUMBER(BB547),BB547*DF547,0)</f>
        <v>0</v>
      </c>
      <c r="EW547" s="28" t="n">
        <f aca="false">IF(ISNUMBER(BF547),BF547*DG547,0)</f>
        <v>0</v>
      </c>
      <c r="EX547" s="28" t="n">
        <f aca="false">IF(ISNUMBER(BJ547),BJ547*DH547,0)</f>
        <v>0</v>
      </c>
      <c r="EY547" s="28" t="n">
        <f aca="false">IF(ISNUMBER(BN547),BN547*DI547,0)</f>
        <v>0</v>
      </c>
      <c r="EZ547" s="28" t="n">
        <f aca="false">IF(ISNUMBER(BR547),BR547*DJ547,0)</f>
        <v>0</v>
      </c>
      <c r="FA547" s="28" t="n">
        <f aca="false">IF(ISNUMBER(R547),CW547,0)</f>
        <v>0</v>
      </c>
      <c r="FB547" s="28" t="n">
        <f aca="false">IF(ISNUMBER(V547),CX547,0)</f>
        <v>0</v>
      </c>
      <c r="FC547" s="28" t="n">
        <f aca="false">IF(ISNUMBER(Z547),CY547,0)</f>
        <v>0</v>
      </c>
      <c r="FD547" s="28" t="n">
        <f aca="false">IF(ISNUMBER(AD547),CZ547,0)</f>
        <v>0</v>
      </c>
      <c r="FE547" s="28" t="n">
        <f aca="false">IF(ISNUMBER(AH547),DA547,0)</f>
        <v>0</v>
      </c>
      <c r="FF547" s="28" t="n">
        <f aca="false">IF(ISNUMBER(AL547),DB547,0)</f>
        <v>0</v>
      </c>
      <c r="FG547" s="28" t="n">
        <f aca="false">IF(ISNUMBER(AP547),DC547,0)</f>
        <v>0</v>
      </c>
      <c r="FH547" s="28" t="n">
        <f aca="false">IF(ISNUMBER(AT547),DD547,0)</f>
        <v>0</v>
      </c>
      <c r="FI547" s="28" t="n">
        <f aca="false">IF(ISNUMBER(AX547),DE547,0)</f>
        <v>0</v>
      </c>
      <c r="FJ547" s="28" t="n">
        <f aca="false">IF(ISNUMBER(BB547),DF547,0)</f>
        <v>0</v>
      </c>
      <c r="FK547" s="28" t="n">
        <f aca="false">IF(ISNUMBER(BF547),DG547,0)</f>
        <v>0</v>
      </c>
      <c r="FL547" s="28" t="n">
        <f aca="false">IF(ISNUMBER(BJ547),DH547,0)</f>
        <v>0</v>
      </c>
      <c r="FM547" s="28" t="n">
        <f aca="false">IF(ISNUMBER(BN547),DI547,0)</f>
        <v>0</v>
      </c>
      <c r="FN547" s="28" t="n">
        <f aca="false">IF(ISNUMBER(BR547),DJ547,0)</f>
        <v>0</v>
      </c>
      <c r="FO547" s="28" t="str">
        <f aca="false">IFERROR(INDEX(Lists!$G$2:$G$20,MATCH($I547&amp;"|"&amp;$J547,Lists!$F$2:$F$20,0)),"")</f>
        <v/>
      </c>
    </row>
    <row r="548" customFormat="false" ht="19.5" hidden="false" customHeight="true" outlineLevel="0" collapsed="false">
      <c r="A548" s="29"/>
      <c r="B548" s="29"/>
      <c r="C548" s="30"/>
      <c r="D548" s="30"/>
      <c r="E548" s="31"/>
      <c r="F548" s="30"/>
      <c r="G548" s="30"/>
      <c r="H548" s="32"/>
      <c r="I548" s="33"/>
      <c r="J548" s="32"/>
      <c r="K548" s="34" t="str">
        <f aca="false">IF(OR(M548="",$E548=""),"",M548-$E548)</f>
        <v/>
      </c>
      <c r="L548" s="35" t="str">
        <f aca="false">IF(SUM(FA548:FN548)=0,"",SUM(EM548:EZ548)/SUM(FA548:FN548))</f>
        <v/>
      </c>
      <c r="M548" s="36" t="str">
        <f aca="false">IF(OR(L548="",FO548=""),"",IFERROR(MATCH(L548,INDEX(Boundaries!$B$2:$I$30,MATCH(FO548,Boundaries!$A$2:$A$30,0),0),1)-1,""))</f>
        <v/>
      </c>
      <c r="N548" s="37" t="str">
        <f aca="false">IF(COUNT($DY548:$EL548)&lt;2,"",INDEX($DK548:$DX548,MAX($DY548:$EL548))-INDEX($DK548:$DX548,MIN($DY548:$EL548)))</f>
        <v/>
      </c>
      <c r="O548" s="37" t="str">
        <f aca="false">IF(COUNT($DY548:$EL548)&lt;2,"",INDEX($DK548:$DX548,MAX($DY548:$EL548))-INDEX($DK548:$DX548,LARGE($DY548:$EL548,2)))</f>
        <v/>
      </c>
      <c r="P548" s="38" t="str">
        <f aca="false">IF(K548="","",IF(K548&gt;=0,"On/above target",IF(AND(N548&lt;&gt;"",N548&gt;=0.5),"Improving towards target",IF(AND(O548&lt;&gt;"",O548&lt;=-0.5),"Declining","Stable below target"))))</f>
        <v/>
      </c>
      <c r="Q548" s="39"/>
      <c r="R548" s="40" t="str">
        <f aca="false">IF(OR(Q548="",BU548=""),"",Q548/BU548*100)</f>
        <v/>
      </c>
      <c r="S548" s="41" t="str">
        <f aca="false">IF(R548="","",IFERROR(MATCH(R548,INDEX(Boundaries!$B$2:$I$30,MATCH(CI548,Boundaries!$A$2:$A$30,0),0),1)-1,""))</f>
        <v/>
      </c>
      <c r="T548" s="42" t="str">
        <f aca="false">IF(OR(S548="",$E548=""),"",S548-$E548)</f>
        <v/>
      </c>
      <c r="U548" s="39"/>
      <c r="V548" s="40" t="str">
        <f aca="false">IF(OR(U548="",BV548=""),"",U548/BV548*100)</f>
        <v/>
      </c>
      <c r="W548" s="41" t="str">
        <f aca="false">IF(V548="","",IFERROR(MATCH(V548,INDEX(Boundaries!$B$2:$I$30,MATCH(CJ548,Boundaries!$A$2:$A$30,0),0),1)-1,""))</f>
        <v/>
      </c>
      <c r="X548" s="42" t="str">
        <f aca="false">IF(OR(W548="",$E548=""),"",W548-$E548)</f>
        <v/>
      </c>
      <c r="Y548" s="39"/>
      <c r="Z548" s="40" t="str">
        <f aca="false">IF(OR(Y548="",BW548=""),"",Y548/BW548*100)</f>
        <v/>
      </c>
      <c r="AA548" s="41" t="str">
        <f aca="false">IF(Z548="","",IFERROR(MATCH(Z548,INDEX(Boundaries!$B$2:$I$30,MATCH(CK548,Boundaries!$A$2:$A$30,0),0),1)-1,""))</f>
        <v/>
      </c>
      <c r="AB548" s="42" t="str">
        <f aca="false">IF(OR(AA548="",$E548=""),"",AA548-$E548)</f>
        <v/>
      </c>
      <c r="AC548" s="39"/>
      <c r="AD548" s="40" t="str">
        <f aca="false">IF(OR(AC548="",BX548=""),"",AC548/BX548*100)</f>
        <v/>
      </c>
      <c r="AE548" s="41" t="str">
        <f aca="false">IF(AD548="","",IFERROR(MATCH(AD548,INDEX(Boundaries!$B$2:$I$30,MATCH(CL548,Boundaries!$A$2:$A$30,0),0),1)-1,""))</f>
        <v/>
      </c>
      <c r="AF548" s="42" t="str">
        <f aca="false">IF(OR(AE548="",$E548=""),"",AE548-$E548)</f>
        <v/>
      </c>
      <c r="AG548" s="39"/>
      <c r="AH548" s="40" t="str">
        <f aca="false">IF(OR(AG548="",BY548=""),"",AG548/BY548*100)</f>
        <v/>
      </c>
      <c r="AI548" s="41" t="str">
        <f aca="false">IF(AH548="","",IFERROR(MATCH(AH548,INDEX(Boundaries!$B$2:$I$30,MATCH(CM548,Boundaries!$A$2:$A$30,0),0),1)-1,""))</f>
        <v/>
      </c>
      <c r="AJ548" s="42" t="str">
        <f aca="false">IF(OR(AI548="",$E548=""),"",AI548-$E548)</f>
        <v/>
      </c>
      <c r="AK548" s="39"/>
      <c r="AL548" s="40" t="str">
        <f aca="false">IF(OR(AK548="",BZ548=""),"",AK548/BZ548*100)</f>
        <v/>
      </c>
      <c r="AM548" s="41" t="str">
        <f aca="false">IF(AL548="","",IFERROR(MATCH(AL548,INDEX(Boundaries!$B$2:$I$30,MATCH(CN548,Boundaries!$A$2:$A$30,0),0),1)-1,""))</f>
        <v/>
      </c>
      <c r="AN548" s="42" t="str">
        <f aca="false">IF(OR(AM548="",$E548=""),"",AM548-$E548)</f>
        <v/>
      </c>
      <c r="AO548" s="39"/>
      <c r="AP548" s="40" t="str">
        <f aca="false">IF(OR(AO548="",CA548=""),"",AO548/CA548*100)</f>
        <v/>
      </c>
      <c r="AQ548" s="41" t="str">
        <f aca="false">IF(AP548="","",IFERROR(MATCH(AP548,INDEX(Boundaries!$B$2:$I$30,MATCH(CO548,Boundaries!$A$2:$A$30,0),0),1)-1,""))</f>
        <v/>
      </c>
      <c r="AR548" s="42" t="str">
        <f aca="false">IF(OR(AQ548="",$E548=""),"",AQ548-$E548)</f>
        <v/>
      </c>
      <c r="AS548" s="39"/>
      <c r="AT548" s="40" t="str">
        <f aca="false">IF(OR(AS548="",CB548=""),"",AS548/CB548*100)</f>
        <v/>
      </c>
      <c r="AU548" s="41" t="str">
        <f aca="false">IF(AT548="","",IFERROR(MATCH(AT548,INDEX(Boundaries!$B$2:$I$30,MATCH(CP548,Boundaries!$A$2:$A$30,0),0),1)-1,""))</f>
        <v/>
      </c>
      <c r="AV548" s="42" t="str">
        <f aca="false">IF(OR(AU548="",$E548=""),"",AU548-$E548)</f>
        <v/>
      </c>
      <c r="AW548" s="39"/>
      <c r="AX548" s="40" t="str">
        <f aca="false">IF(OR(AW548="",CC548=""),"",AW548/CC548*100)</f>
        <v/>
      </c>
      <c r="AY548" s="41" t="str">
        <f aca="false">IF(AX548="","",IFERROR(MATCH(AX548,INDEX(Boundaries!$B$2:$I$30,MATCH(CQ548,Boundaries!$A$2:$A$30,0),0),1)-1,""))</f>
        <v/>
      </c>
      <c r="AZ548" s="42" t="str">
        <f aca="false">IF(OR(AY548="",$E548=""),"",AY548-$E548)</f>
        <v/>
      </c>
      <c r="BA548" s="39"/>
      <c r="BB548" s="40" t="str">
        <f aca="false">IF(OR(BA548="",CD548=""),"",BA548/CD548*100)</f>
        <v/>
      </c>
      <c r="BC548" s="41" t="str">
        <f aca="false">IF(BB548="","",IFERROR(MATCH(BB548,INDEX(Boundaries!$B$2:$I$30,MATCH(CR548,Boundaries!$A$2:$A$30,0),0),1)-1,""))</f>
        <v/>
      </c>
      <c r="BD548" s="42" t="str">
        <f aca="false">IF(OR(BC548="",$E548=""),"",BC548-$E548)</f>
        <v/>
      </c>
      <c r="BE548" s="39"/>
      <c r="BF548" s="40" t="str">
        <f aca="false">IF(OR(BE548="",CE548=""),"",BE548/CE548*100)</f>
        <v/>
      </c>
      <c r="BG548" s="41" t="str">
        <f aca="false">IF(BF548="","",IFERROR(MATCH(BF548,INDEX(Boundaries!$B$2:$I$30,MATCH(CS548,Boundaries!$A$2:$A$30,0),0),1)-1,""))</f>
        <v/>
      </c>
      <c r="BH548" s="42" t="str">
        <f aca="false">IF(OR(BG548="",$E548=""),"",BG548-$E548)</f>
        <v/>
      </c>
      <c r="BI548" s="39"/>
      <c r="BJ548" s="40" t="str">
        <f aca="false">IF(OR(BI548="",CF548=""),"",BI548/CF548*100)</f>
        <v/>
      </c>
      <c r="BK548" s="41" t="str">
        <f aca="false">IF(BJ548="","",IFERROR(MATCH(BJ548,INDEX(Boundaries!$B$2:$I$30,MATCH(CT548,Boundaries!$A$2:$A$30,0),0),1)-1,""))</f>
        <v/>
      </c>
      <c r="BL548" s="42" t="str">
        <f aca="false">IF(OR(BK548="",$E548=""),"",BK548-$E548)</f>
        <v/>
      </c>
      <c r="BM548" s="39"/>
      <c r="BN548" s="40" t="str">
        <f aca="false">IF(OR(BM548="",CG548=""),"",BM548/CG548*100)</f>
        <v/>
      </c>
      <c r="BO548" s="41" t="str">
        <f aca="false">IF(BN548="","",IFERROR(MATCH(BN548,INDEX(Boundaries!$B$2:$I$30,MATCH(CU548,Boundaries!$A$2:$A$30,0),0),1)-1,""))</f>
        <v/>
      </c>
      <c r="BP548" s="42" t="str">
        <f aca="false">IF(OR(BO548="",$E548=""),"",BO548-$E548)</f>
        <v/>
      </c>
      <c r="BQ548" s="39"/>
      <c r="BR548" s="40" t="str">
        <f aca="false">IF(OR(BQ548="",CH548=""),"",BQ548/CH548*100)</f>
        <v/>
      </c>
      <c r="BS548" s="41" t="str">
        <f aca="false">IF(BR548="","",IFERROR(MATCH(BR548,INDEX(Boundaries!$B$2:$I$30,MATCH(CV548,Boundaries!$A$2:$A$30,0),0),1)-1,""))</f>
        <v/>
      </c>
      <c r="BT548" s="42" t="str">
        <f aca="false">IF(OR(BS548="",$E548=""),"",BS548-$E548)</f>
        <v/>
      </c>
      <c r="BU548" s="28" t="str">
        <f aca="false">IFERROR(INDEX(Assessments!$H$2:$H$600,MATCH($H548&amp;"|"&amp;$I548&amp;"|"&amp;$J548&amp;"|"&amp;1,Assessments!$A$2:$A$600,0)),"")</f>
        <v/>
      </c>
      <c r="BV548" s="28" t="str">
        <f aca="false">IFERROR(INDEX(Assessments!$H$2:$H$600,MATCH($H548&amp;"|"&amp;$I548&amp;"|"&amp;$J548&amp;"|"&amp;2,Assessments!$A$2:$A$600,0)),"")</f>
        <v/>
      </c>
      <c r="BW548" s="28" t="str">
        <f aca="false">IFERROR(INDEX(Assessments!$H$2:$H$600,MATCH($H548&amp;"|"&amp;$I548&amp;"|"&amp;$J548&amp;"|"&amp;3,Assessments!$A$2:$A$600,0)),"")</f>
        <v/>
      </c>
      <c r="BX548" s="28" t="str">
        <f aca="false">IFERROR(INDEX(Assessments!$H$2:$H$600,MATCH($H548&amp;"|"&amp;$I548&amp;"|"&amp;$J548&amp;"|"&amp;4,Assessments!$A$2:$A$600,0)),"")</f>
        <v/>
      </c>
      <c r="BY548" s="28" t="str">
        <f aca="false">IFERROR(INDEX(Assessments!$H$2:$H$600,MATCH($H548&amp;"|"&amp;$I548&amp;"|"&amp;$J548&amp;"|"&amp;5,Assessments!$A$2:$A$600,0)),"")</f>
        <v/>
      </c>
      <c r="BZ548" s="28" t="str">
        <f aca="false">IFERROR(INDEX(Assessments!$H$2:$H$600,MATCH($H548&amp;"|"&amp;$I548&amp;"|"&amp;$J548&amp;"|"&amp;6,Assessments!$A$2:$A$600,0)),"")</f>
        <v/>
      </c>
      <c r="CA548" s="28" t="str">
        <f aca="false">IFERROR(INDEX(Assessments!$H$2:$H$600,MATCH($H548&amp;"|"&amp;$I548&amp;"|"&amp;$J548&amp;"|"&amp;7,Assessments!$A$2:$A$600,0)),"")</f>
        <v/>
      </c>
      <c r="CB548" s="28" t="str">
        <f aca="false">IFERROR(INDEX(Assessments!$H$2:$H$600,MATCH($H548&amp;"|"&amp;$I548&amp;"|"&amp;$J548&amp;"|"&amp;8,Assessments!$A$2:$A$600,0)),"")</f>
        <v/>
      </c>
      <c r="CC548" s="28" t="str">
        <f aca="false">IFERROR(INDEX(Assessments!$H$2:$H$600,MATCH($H548&amp;"|"&amp;$I548&amp;"|"&amp;$J548&amp;"|"&amp;9,Assessments!$A$2:$A$600,0)),"")</f>
        <v/>
      </c>
      <c r="CD548" s="28" t="str">
        <f aca="false">IFERROR(INDEX(Assessments!$H$2:$H$600,MATCH($H548&amp;"|"&amp;$I548&amp;"|"&amp;$J548&amp;"|"&amp;10,Assessments!$A$2:$A$600,0)),"")</f>
        <v/>
      </c>
      <c r="CE548" s="28" t="str">
        <f aca="false">IFERROR(INDEX(Assessments!$H$2:$H$600,MATCH($H548&amp;"|"&amp;$I548&amp;"|"&amp;$J548&amp;"|"&amp;11,Assessments!$A$2:$A$600,0)),"")</f>
        <v/>
      </c>
      <c r="CF548" s="28" t="str">
        <f aca="false">IFERROR(INDEX(Assessments!$H$2:$H$600,MATCH($H548&amp;"|"&amp;$I548&amp;"|"&amp;$J548&amp;"|"&amp;12,Assessments!$A$2:$A$600,0)),"")</f>
        <v/>
      </c>
      <c r="CG548" s="28" t="str">
        <f aca="false">IFERROR(INDEX(Assessments!$H$2:$H$600,MATCH($H548&amp;"|"&amp;$I548&amp;"|"&amp;$J548&amp;"|"&amp;13,Assessments!$A$2:$A$600,0)),"")</f>
        <v/>
      </c>
      <c r="CH548" s="28" t="str">
        <f aca="false">IFERROR(INDEX(Assessments!$H$2:$H$600,MATCH($H548&amp;"|"&amp;$I548&amp;"|"&amp;$J548&amp;"|"&amp;14,Assessments!$A$2:$A$600,0)),"")</f>
        <v/>
      </c>
      <c r="CI548" s="28" t="str">
        <f aca="false">IFERROR(INDEX(Assessments!$I$2:$I$600,MATCH($H548&amp;"|"&amp;$I548&amp;"|"&amp;$J548&amp;"|"&amp;1,Assessments!$A$2:$A$600,0)),"")</f>
        <v/>
      </c>
      <c r="CJ548" s="28" t="str">
        <f aca="false">IFERROR(INDEX(Assessments!$I$2:$I$600,MATCH($H548&amp;"|"&amp;$I548&amp;"|"&amp;$J548&amp;"|"&amp;2,Assessments!$A$2:$A$600,0)),"")</f>
        <v/>
      </c>
      <c r="CK548" s="28" t="str">
        <f aca="false">IFERROR(INDEX(Assessments!$I$2:$I$600,MATCH($H548&amp;"|"&amp;$I548&amp;"|"&amp;$J548&amp;"|"&amp;3,Assessments!$A$2:$A$600,0)),"")</f>
        <v/>
      </c>
      <c r="CL548" s="28" t="str">
        <f aca="false">IFERROR(INDEX(Assessments!$I$2:$I$600,MATCH($H548&amp;"|"&amp;$I548&amp;"|"&amp;$J548&amp;"|"&amp;4,Assessments!$A$2:$A$600,0)),"")</f>
        <v/>
      </c>
      <c r="CM548" s="28" t="str">
        <f aca="false">IFERROR(INDEX(Assessments!$I$2:$I$600,MATCH($H548&amp;"|"&amp;$I548&amp;"|"&amp;$J548&amp;"|"&amp;5,Assessments!$A$2:$A$600,0)),"")</f>
        <v/>
      </c>
      <c r="CN548" s="28" t="str">
        <f aca="false">IFERROR(INDEX(Assessments!$I$2:$I$600,MATCH($H548&amp;"|"&amp;$I548&amp;"|"&amp;$J548&amp;"|"&amp;6,Assessments!$A$2:$A$600,0)),"")</f>
        <v/>
      </c>
      <c r="CO548" s="28" t="str">
        <f aca="false">IFERROR(INDEX(Assessments!$I$2:$I$600,MATCH($H548&amp;"|"&amp;$I548&amp;"|"&amp;$J548&amp;"|"&amp;7,Assessments!$A$2:$A$600,0)),"")</f>
        <v/>
      </c>
      <c r="CP548" s="28" t="str">
        <f aca="false">IFERROR(INDEX(Assessments!$I$2:$I$600,MATCH($H548&amp;"|"&amp;$I548&amp;"|"&amp;$J548&amp;"|"&amp;8,Assessments!$A$2:$A$600,0)),"")</f>
        <v/>
      </c>
      <c r="CQ548" s="28" t="str">
        <f aca="false">IFERROR(INDEX(Assessments!$I$2:$I$600,MATCH($H548&amp;"|"&amp;$I548&amp;"|"&amp;$J548&amp;"|"&amp;9,Assessments!$A$2:$A$600,0)),"")</f>
        <v/>
      </c>
      <c r="CR548" s="28" t="str">
        <f aca="false">IFERROR(INDEX(Assessments!$I$2:$I$600,MATCH($H548&amp;"|"&amp;$I548&amp;"|"&amp;$J548&amp;"|"&amp;10,Assessments!$A$2:$A$600,0)),"")</f>
        <v/>
      </c>
      <c r="CS548" s="28" t="str">
        <f aca="false">IFERROR(INDEX(Assessments!$I$2:$I$600,MATCH($H548&amp;"|"&amp;$I548&amp;"|"&amp;$J548&amp;"|"&amp;11,Assessments!$A$2:$A$600,0)),"")</f>
        <v/>
      </c>
      <c r="CT548" s="28" t="str">
        <f aca="false">IFERROR(INDEX(Assessments!$I$2:$I$600,MATCH($H548&amp;"|"&amp;$I548&amp;"|"&amp;$J548&amp;"|"&amp;12,Assessments!$A$2:$A$600,0)),"")</f>
        <v/>
      </c>
      <c r="CU548" s="28" t="str">
        <f aca="false">IFERROR(INDEX(Assessments!$I$2:$I$600,MATCH($H548&amp;"|"&amp;$I548&amp;"|"&amp;$J548&amp;"|"&amp;13,Assessments!$A$2:$A$600,0)),"")</f>
        <v/>
      </c>
      <c r="CV548" s="28" t="str">
        <f aca="false">IFERROR(INDEX(Assessments!$I$2:$I$600,MATCH($H548&amp;"|"&amp;$I548&amp;"|"&amp;$J548&amp;"|"&amp;14,Assessments!$A$2:$A$600,0)),"")</f>
        <v/>
      </c>
      <c r="CW548" s="28" t="n">
        <f aca="false">IFERROR(INDEX(Assessments!$J$2:$J$600,MATCH($H548&amp;"|"&amp;$I548&amp;"|"&amp;$J548&amp;"|"&amp;1,Assessments!$A$2:$A$600,0)),0)</f>
        <v>0</v>
      </c>
      <c r="CX548" s="28" t="n">
        <f aca="false">IFERROR(INDEX(Assessments!$J$2:$J$600,MATCH($H548&amp;"|"&amp;$I548&amp;"|"&amp;$J548&amp;"|"&amp;2,Assessments!$A$2:$A$600,0)),0)</f>
        <v>0</v>
      </c>
      <c r="CY548" s="28" t="n">
        <f aca="false">IFERROR(INDEX(Assessments!$J$2:$J$600,MATCH($H548&amp;"|"&amp;$I548&amp;"|"&amp;$J548&amp;"|"&amp;3,Assessments!$A$2:$A$600,0)),0)</f>
        <v>0</v>
      </c>
      <c r="CZ548" s="28" t="n">
        <f aca="false">IFERROR(INDEX(Assessments!$J$2:$J$600,MATCH($H548&amp;"|"&amp;$I548&amp;"|"&amp;$J548&amp;"|"&amp;4,Assessments!$A$2:$A$600,0)),0)</f>
        <v>0</v>
      </c>
      <c r="DA548" s="28" t="n">
        <f aca="false">IFERROR(INDEX(Assessments!$J$2:$J$600,MATCH($H548&amp;"|"&amp;$I548&amp;"|"&amp;$J548&amp;"|"&amp;5,Assessments!$A$2:$A$600,0)),0)</f>
        <v>0</v>
      </c>
      <c r="DB548" s="28" t="n">
        <f aca="false">IFERROR(INDEX(Assessments!$J$2:$J$600,MATCH($H548&amp;"|"&amp;$I548&amp;"|"&amp;$J548&amp;"|"&amp;6,Assessments!$A$2:$A$600,0)),0)</f>
        <v>0</v>
      </c>
      <c r="DC548" s="28" t="n">
        <f aca="false">IFERROR(INDEX(Assessments!$J$2:$J$600,MATCH($H548&amp;"|"&amp;$I548&amp;"|"&amp;$J548&amp;"|"&amp;7,Assessments!$A$2:$A$600,0)),0)</f>
        <v>0</v>
      </c>
      <c r="DD548" s="28" t="n">
        <f aca="false">IFERROR(INDEX(Assessments!$J$2:$J$600,MATCH($H548&amp;"|"&amp;$I548&amp;"|"&amp;$J548&amp;"|"&amp;8,Assessments!$A$2:$A$600,0)),0)</f>
        <v>0</v>
      </c>
      <c r="DE548" s="28" t="n">
        <f aca="false">IFERROR(INDEX(Assessments!$J$2:$J$600,MATCH($H548&amp;"|"&amp;$I548&amp;"|"&amp;$J548&amp;"|"&amp;9,Assessments!$A$2:$A$600,0)),0)</f>
        <v>0</v>
      </c>
      <c r="DF548" s="28" t="n">
        <f aca="false">IFERROR(INDEX(Assessments!$J$2:$J$600,MATCH($H548&amp;"|"&amp;$I548&amp;"|"&amp;$J548&amp;"|"&amp;10,Assessments!$A$2:$A$600,0)),0)</f>
        <v>0</v>
      </c>
      <c r="DG548" s="28" t="n">
        <f aca="false">IFERROR(INDEX(Assessments!$J$2:$J$600,MATCH($H548&amp;"|"&amp;$I548&amp;"|"&amp;$J548&amp;"|"&amp;11,Assessments!$A$2:$A$600,0)),0)</f>
        <v>0</v>
      </c>
      <c r="DH548" s="28" t="n">
        <f aca="false">IFERROR(INDEX(Assessments!$J$2:$J$600,MATCH($H548&amp;"|"&amp;$I548&amp;"|"&amp;$J548&amp;"|"&amp;12,Assessments!$A$2:$A$600,0)),0)</f>
        <v>0</v>
      </c>
      <c r="DI548" s="28" t="n">
        <f aca="false">IFERROR(INDEX(Assessments!$J$2:$J$600,MATCH($H548&amp;"|"&amp;$I548&amp;"|"&amp;$J548&amp;"|"&amp;13,Assessments!$A$2:$A$600,0)),0)</f>
        <v>0</v>
      </c>
      <c r="DJ548" s="28" t="n">
        <f aca="false">IFERROR(INDEX(Assessments!$J$2:$J$600,MATCH($H548&amp;"|"&amp;$I548&amp;"|"&amp;$J548&amp;"|"&amp;14,Assessments!$A$2:$A$600,0)),0)</f>
        <v>0</v>
      </c>
      <c r="DK548" s="28" t="str">
        <f aca="false">S548</f>
        <v/>
      </c>
      <c r="DL548" s="28" t="str">
        <f aca="false">W548</f>
        <v/>
      </c>
      <c r="DM548" s="28" t="str">
        <f aca="false">AA548</f>
        <v/>
      </c>
      <c r="DN548" s="28" t="str">
        <f aca="false">AE548</f>
        <v/>
      </c>
      <c r="DO548" s="28" t="str">
        <f aca="false">AI548</f>
        <v/>
      </c>
      <c r="DP548" s="28" t="str">
        <f aca="false">AM548</f>
        <v/>
      </c>
      <c r="DQ548" s="28" t="str">
        <f aca="false">AQ548</f>
        <v/>
      </c>
      <c r="DR548" s="28" t="str">
        <f aca="false">AU548</f>
        <v/>
      </c>
      <c r="DS548" s="28" t="str">
        <f aca="false">AY548</f>
        <v/>
      </c>
      <c r="DT548" s="28" t="str">
        <f aca="false">BC548</f>
        <v/>
      </c>
      <c r="DU548" s="28" t="str">
        <f aca="false">BG548</f>
        <v/>
      </c>
      <c r="DV548" s="28" t="str">
        <f aca="false">BK548</f>
        <v/>
      </c>
      <c r="DW548" s="28" t="str">
        <f aca="false">BO548</f>
        <v/>
      </c>
      <c r="DX548" s="28" t="str">
        <f aca="false">BS548</f>
        <v/>
      </c>
      <c r="DY548" s="28" t="str">
        <f aca="false">IF(ISNUMBER(S548),1,"")</f>
        <v/>
      </c>
      <c r="DZ548" s="28" t="str">
        <f aca="false">IF(ISNUMBER(W548),2,"")</f>
        <v/>
      </c>
      <c r="EA548" s="28" t="str">
        <f aca="false">IF(ISNUMBER(AA548),3,"")</f>
        <v/>
      </c>
      <c r="EB548" s="28" t="str">
        <f aca="false">IF(ISNUMBER(AE548),4,"")</f>
        <v/>
      </c>
      <c r="EC548" s="28" t="str">
        <f aca="false">IF(ISNUMBER(AI548),5,"")</f>
        <v/>
      </c>
      <c r="ED548" s="28" t="str">
        <f aca="false">IF(ISNUMBER(AM548),6,"")</f>
        <v/>
      </c>
      <c r="EE548" s="28" t="str">
        <f aca="false">IF(ISNUMBER(AQ548),7,"")</f>
        <v/>
      </c>
      <c r="EF548" s="28" t="str">
        <f aca="false">IF(ISNUMBER(AU548),8,"")</f>
        <v/>
      </c>
      <c r="EG548" s="28" t="str">
        <f aca="false">IF(ISNUMBER(AY548),9,"")</f>
        <v/>
      </c>
      <c r="EH548" s="28" t="str">
        <f aca="false">IF(ISNUMBER(BC548),10,"")</f>
        <v/>
      </c>
      <c r="EI548" s="28" t="str">
        <f aca="false">IF(ISNUMBER(BG548),11,"")</f>
        <v/>
      </c>
      <c r="EJ548" s="28" t="str">
        <f aca="false">IF(ISNUMBER(BK548),12,"")</f>
        <v/>
      </c>
      <c r="EK548" s="28" t="str">
        <f aca="false">IF(ISNUMBER(BO548),13,"")</f>
        <v/>
      </c>
      <c r="EL548" s="28" t="str">
        <f aca="false">IF(ISNUMBER(BS548),14,"")</f>
        <v/>
      </c>
      <c r="EM548" s="28" t="n">
        <f aca="false">IF(ISNUMBER(R548),R548*CW548,0)</f>
        <v>0</v>
      </c>
      <c r="EN548" s="28" t="n">
        <f aca="false">IF(ISNUMBER(V548),V548*CX548,0)</f>
        <v>0</v>
      </c>
      <c r="EO548" s="28" t="n">
        <f aca="false">IF(ISNUMBER(Z548),Z548*CY548,0)</f>
        <v>0</v>
      </c>
      <c r="EP548" s="28" t="n">
        <f aca="false">IF(ISNUMBER(AD548),AD548*CZ548,0)</f>
        <v>0</v>
      </c>
      <c r="EQ548" s="28" t="n">
        <f aca="false">IF(ISNUMBER(AH548),AH548*DA548,0)</f>
        <v>0</v>
      </c>
      <c r="ER548" s="28" t="n">
        <f aca="false">IF(ISNUMBER(AL548),AL548*DB548,0)</f>
        <v>0</v>
      </c>
      <c r="ES548" s="28" t="n">
        <f aca="false">IF(ISNUMBER(AP548),AP548*DC548,0)</f>
        <v>0</v>
      </c>
      <c r="ET548" s="28" t="n">
        <f aca="false">IF(ISNUMBER(AT548),AT548*DD548,0)</f>
        <v>0</v>
      </c>
      <c r="EU548" s="28" t="n">
        <f aca="false">IF(ISNUMBER(AX548),AX548*DE548,0)</f>
        <v>0</v>
      </c>
      <c r="EV548" s="28" t="n">
        <f aca="false">IF(ISNUMBER(BB548),BB548*DF548,0)</f>
        <v>0</v>
      </c>
      <c r="EW548" s="28" t="n">
        <f aca="false">IF(ISNUMBER(BF548),BF548*DG548,0)</f>
        <v>0</v>
      </c>
      <c r="EX548" s="28" t="n">
        <f aca="false">IF(ISNUMBER(BJ548),BJ548*DH548,0)</f>
        <v>0</v>
      </c>
      <c r="EY548" s="28" t="n">
        <f aca="false">IF(ISNUMBER(BN548),BN548*DI548,0)</f>
        <v>0</v>
      </c>
      <c r="EZ548" s="28" t="n">
        <f aca="false">IF(ISNUMBER(BR548),BR548*DJ548,0)</f>
        <v>0</v>
      </c>
      <c r="FA548" s="28" t="n">
        <f aca="false">IF(ISNUMBER(R548),CW548,0)</f>
        <v>0</v>
      </c>
      <c r="FB548" s="28" t="n">
        <f aca="false">IF(ISNUMBER(V548),CX548,0)</f>
        <v>0</v>
      </c>
      <c r="FC548" s="28" t="n">
        <f aca="false">IF(ISNUMBER(Z548),CY548,0)</f>
        <v>0</v>
      </c>
      <c r="FD548" s="28" t="n">
        <f aca="false">IF(ISNUMBER(AD548),CZ548,0)</f>
        <v>0</v>
      </c>
      <c r="FE548" s="28" t="n">
        <f aca="false">IF(ISNUMBER(AH548),DA548,0)</f>
        <v>0</v>
      </c>
      <c r="FF548" s="28" t="n">
        <f aca="false">IF(ISNUMBER(AL548),DB548,0)</f>
        <v>0</v>
      </c>
      <c r="FG548" s="28" t="n">
        <f aca="false">IF(ISNUMBER(AP548),DC548,0)</f>
        <v>0</v>
      </c>
      <c r="FH548" s="28" t="n">
        <f aca="false">IF(ISNUMBER(AT548),DD548,0)</f>
        <v>0</v>
      </c>
      <c r="FI548" s="28" t="n">
        <f aca="false">IF(ISNUMBER(AX548),DE548,0)</f>
        <v>0</v>
      </c>
      <c r="FJ548" s="28" t="n">
        <f aca="false">IF(ISNUMBER(BB548),DF548,0)</f>
        <v>0</v>
      </c>
      <c r="FK548" s="28" t="n">
        <f aca="false">IF(ISNUMBER(BF548),DG548,0)</f>
        <v>0</v>
      </c>
      <c r="FL548" s="28" t="n">
        <f aca="false">IF(ISNUMBER(BJ548),DH548,0)</f>
        <v>0</v>
      </c>
      <c r="FM548" s="28" t="n">
        <f aca="false">IF(ISNUMBER(BN548),DI548,0)</f>
        <v>0</v>
      </c>
      <c r="FN548" s="28" t="n">
        <f aca="false">IF(ISNUMBER(BR548),DJ548,0)</f>
        <v>0</v>
      </c>
      <c r="FO548" s="28" t="str">
        <f aca="false">IFERROR(INDEX(Lists!$G$2:$G$20,MATCH($I548&amp;"|"&amp;$J548,Lists!$F$2:$F$20,0)),"")</f>
        <v/>
      </c>
    </row>
    <row r="549" customFormat="false" ht="19.5" hidden="false" customHeight="true" outlineLevel="0" collapsed="false">
      <c r="A549" s="29"/>
      <c r="B549" s="29"/>
      <c r="C549" s="30"/>
      <c r="D549" s="30"/>
      <c r="E549" s="31"/>
      <c r="F549" s="30"/>
      <c r="G549" s="30"/>
      <c r="H549" s="32"/>
      <c r="I549" s="33"/>
      <c r="J549" s="32"/>
      <c r="K549" s="34" t="str">
        <f aca="false">IF(OR(M549="",$E549=""),"",M549-$E549)</f>
        <v/>
      </c>
      <c r="L549" s="35" t="str">
        <f aca="false">IF(SUM(FA549:FN549)=0,"",SUM(EM549:EZ549)/SUM(FA549:FN549))</f>
        <v/>
      </c>
      <c r="M549" s="36" t="str">
        <f aca="false">IF(OR(L549="",FO549=""),"",IFERROR(MATCH(L549,INDEX(Boundaries!$B$2:$I$30,MATCH(FO549,Boundaries!$A$2:$A$30,0),0),1)-1,""))</f>
        <v/>
      </c>
      <c r="N549" s="37" t="str">
        <f aca="false">IF(COUNT($DY549:$EL549)&lt;2,"",INDEX($DK549:$DX549,MAX($DY549:$EL549))-INDEX($DK549:$DX549,MIN($DY549:$EL549)))</f>
        <v/>
      </c>
      <c r="O549" s="37" t="str">
        <f aca="false">IF(COUNT($DY549:$EL549)&lt;2,"",INDEX($DK549:$DX549,MAX($DY549:$EL549))-INDEX($DK549:$DX549,LARGE($DY549:$EL549,2)))</f>
        <v/>
      </c>
      <c r="P549" s="38" t="str">
        <f aca="false">IF(K549="","",IF(K549&gt;=0,"On/above target",IF(AND(N549&lt;&gt;"",N549&gt;=0.5),"Improving towards target",IF(AND(O549&lt;&gt;"",O549&lt;=-0.5),"Declining","Stable below target"))))</f>
        <v/>
      </c>
      <c r="Q549" s="39"/>
      <c r="R549" s="40" t="str">
        <f aca="false">IF(OR(Q549="",BU549=""),"",Q549/BU549*100)</f>
        <v/>
      </c>
      <c r="S549" s="41" t="str">
        <f aca="false">IF(R549="","",IFERROR(MATCH(R549,INDEX(Boundaries!$B$2:$I$30,MATCH(CI549,Boundaries!$A$2:$A$30,0),0),1)-1,""))</f>
        <v/>
      </c>
      <c r="T549" s="42" t="str">
        <f aca="false">IF(OR(S549="",$E549=""),"",S549-$E549)</f>
        <v/>
      </c>
      <c r="U549" s="39"/>
      <c r="V549" s="40" t="str">
        <f aca="false">IF(OR(U549="",BV549=""),"",U549/BV549*100)</f>
        <v/>
      </c>
      <c r="W549" s="41" t="str">
        <f aca="false">IF(V549="","",IFERROR(MATCH(V549,INDEX(Boundaries!$B$2:$I$30,MATCH(CJ549,Boundaries!$A$2:$A$30,0),0),1)-1,""))</f>
        <v/>
      </c>
      <c r="X549" s="42" t="str">
        <f aca="false">IF(OR(W549="",$E549=""),"",W549-$E549)</f>
        <v/>
      </c>
      <c r="Y549" s="39"/>
      <c r="Z549" s="40" t="str">
        <f aca="false">IF(OR(Y549="",BW549=""),"",Y549/BW549*100)</f>
        <v/>
      </c>
      <c r="AA549" s="41" t="str">
        <f aca="false">IF(Z549="","",IFERROR(MATCH(Z549,INDEX(Boundaries!$B$2:$I$30,MATCH(CK549,Boundaries!$A$2:$A$30,0),0),1)-1,""))</f>
        <v/>
      </c>
      <c r="AB549" s="42" t="str">
        <f aca="false">IF(OR(AA549="",$E549=""),"",AA549-$E549)</f>
        <v/>
      </c>
      <c r="AC549" s="39"/>
      <c r="AD549" s="40" t="str">
        <f aca="false">IF(OR(AC549="",BX549=""),"",AC549/BX549*100)</f>
        <v/>
      </c>
      <c r="AE549" s="41" t="str">
        <f aca="false">IF(AD549="","",IFERROR(MATCH(AD549,INDEX(Boundaries!$B$2:$I$30,MATCH(CL549,Boundaries!$A$2:$A$30,0),0),1)-1,""))</f>
        <v/>
      </c>
      <c r="AF549" s="42" t="str">
        <f aca="false">IF(OR(AE549="",$E549=""),"",AE549-$E549)</f>
        <v/>
      </c>
      <c r="AG549" s="39"/>
      <c r="AH549" s="40" t="str">
        <f aca="false">IF(OR(AG549="",BY549=""),"",AG549/BY549*100)</f>
        <v/>
      </c>
      <c r="AI549" s="41" t="str">
        <f aca="false">IF(AH549="","",IFERROR(MATCH(AH549,INDEX(Boundaries!$B$2:$I$30,MATCH(CM549,Boundaries!$A$2:$A$30,0),0),1)-1,""))</f>
        <v/>
      </c>
      <c r="AJ549" s="42" t="str">
        <f aca="false">IF(OR(AI549="",$E549=""),"",AI549-$E549)</f>
        <v/>
      </c>
      <c r="AK549" s="39"/>
      <c r="AL549" s="40" t="str">
        <f aca="false">IF(OR(AK549="",BZ549=""),"",AK549/BZ549*100)</f>
        <v/>
      </c>
      <c r="AM549" s="41" t="str">
        <f aca="false">IF(AL549="","",IFERROR(MATCH(AL549,INDEX(Boundaries!$B$2:$I$30,MATCH(CN549,Boundaries!$A$2:$A$30,0),0),1)-1,""))</f>
        <v/>
      </c>
      <c r="AN549" s="42" t="str">
        <f aca="false">IF(OR(AM549="",$E549=""),"",AM549-$E549)</f>
        <v/>
      </c>
      <c r="AO549" s="39"/>
      <c r="AP549" s="40" t="str">
        <f aca="false">IF(OR(AO549="",CA549=""),"",AO549/CA549*100)</f>
        <v/>
      </c>
      <c r="AQ549" s="41" t="str">
        <f aca="false">IF(AP549="","",IFERROR(MATCH(AP549,INDEX(Boundaries!$B$2:$I$30,MATCH(CO549,Boundaries!$A$2:$A$30,0),0),1)-1,""))</f>
        <v/>
      </c>
      <c r="AR549" s="42" t="str">
        <f aca="false">IF(OR(AQ549="",$E549=""),"",AQ549-$E549)</f>
        <v/>
      </c>
      <c r="AS549" s="39"/>
      <c r="AT549" s="40" t="str">
        <f aca="false">IF(OR(AS549="",CB549=""),"",AS549/CB549*100)</f>
        <v/>
      </c>
      <c r="AU549" s="41" t="str">
        <f aca="false">IF(AT549="","",IFERROR(MATCH(AT549,INDEX(Boundaries!$B$2:$I$30,MATCH(CP549,Boundaries!$A$2:$A$30,0),0),1)-1,""))</f>
        <v/>
      </c>
      <c r="AV549" s="42" t="str">
        <f aca="false">IF(OR(AU549="",$E549=""),"",AU549-$E549)</f>
        <v/>
      </c>
      <c r="AW549" s="39"/>
      <c r="AX549" s="40" t="str">
        <f aca="false">IF(OR(AW549="",CC549=""),"",AW549/CC549*100)</f>
        <v/>
      </c>
      <c r="AY549" s="41" t="str">
        <f aca="false">IF(AX549="","",IFERROR(MATCH(AX549,INDEX(Boundaries!$B$2:$I$30,MATCH(CQ549,Boundaries!$A$2:$A$30,0),0),1)-1,""))</f>
        <v/>
      </c>
      <c r="AZ549" s="42" t="str">
        <f aca="false">IF(OR(AY549="",$E549=""),"",AY549-$E549)</f>
        <v/>
      </c>
      <c r="BA549" s="39"/>
      <c r="BB549" s="40" t="str">
        <f aca="false">IF(OR(BA549="",CD549=""),"",BA549/CD549*100)</f>
        <v/>
      </c>
      <c r="BC549" s="41" t="str">
        <f aca="false">IF(BB549="","",IFERROR(MATCH(BB549,INDEX(Boundaries!$B$2:$I$30,MATCH(CR549,Boundaries!$A$2:$A$30,0),0),1)-1,""))</f>
        <v/>
      </c>
      <c r="BD549" s="42" t="str">
        <f aca="false">IF(OR(BC549="",$E549=""),"",BC549-$E549)</f>
        <v/>
      </c>
      <c r="BE549" s="39"/>
      <c r="BF549" s="40" t="str">
        <f aca="false">IF(OR(BE549="",CE549=""),"",BE549/CE549*100)</f>
        <v/>
      </c>
      <c r="BG549" s="41" t="str">
        <f aca="false">IF(BF549="","",IFERROR(MATCH(BF549,INDEX(Boundaries!$B$2:$I$30,MATCH(CS549,Boundaries!$A$2:$A$30,0),0),1)-1,""))</f>
        <v/>
      </c>
      <c r="BH549" s="42" t="str">
        <f aca="false">IF(OR(BG549="",$E549=""),"",BG549-$E549)</f>
        <v/>
      </c>
      <c r="BI549" s="39"/>
      <c r="BJ549" s="40" t="str">
        <f aca="false">IF(OR(BI549="",CF549=""),"",BI549/CF549*100)</f>
        <v/>
      </c>
      <c r="BK549" s="41" t="str">
        <f aca="false">IF(BJ549="","",IFERROR(MATCH(BJ549,INDEX(Boundaries!$B$2:$I$30,MATCH(CT549,Boundaries!$A$2:$A$30,0),0),1)-1,""))</f>
        <v/>
      </c>
      <c r="BL549" s="42" t="str">
        <f aca="false">IF(OR(BK549="",$E549=""),"",BK549-$E549)</f>
        <v/>
      </c>
      <c r="BM549" s="39"/>
      <c r="BN549" s="40" t="str">
        <f aca="false">IF(OR(BM549="",CG549=""),"",BM549/CG549*100)</f>
        <v/>
      </c>
      <c r="BO549" s="41" t="str">
        <f aca="false">IF(BN549="","",IFERROR(MATCH(BN549,INDEX(Boundaries!$B$2:$I$30,MATCH(CU549,Boundaries!$A$2:$A$30,0),0),1)-1,""))</f>
        <v/>
      </c>
      <c r="BP549" s="42" t="str">
        <f aca="false">IF(OR(BO549="",$E549=""),"",BO549-$E549)</f>
        <v/>
      </c>
      <c r="BQ549" s="39"/>
      <c r="BR549" s="40" t="str">
        <f aca="false">IF(OR(BQ549="",CH549=""),"",BQ549/CH549*100)</f>
        <v/>
      </c>
      <c r="BS549" s="41" t="str">
        <f aca="false">IF(BR549="","",IFERROR(MATCH(BR549,INDEX(Boundaries!$B$2:$I$30,MATCH(CV549,Boundaries!$A$2:$A$30,0),0),1)-1,""))</f>
        <v/>
      </c>
      <c r="BT549" s="42" t="str">
        <f aca="false">IF(OR(BS549="",$E549=""),"",BS549-$E549)</f>
        <v/>
      </c>
      <c r="BU549" s="28" t="str">
        <f aca="false">IFERROR(INDEX(Assessments!$H$2:$H$600,MATCH($H549&amp;"|"&amp;$I549&amp;"|"&amp;$J549&amp;"|"&amp;1,Assessments!$A$2:$A$600,0)),"")</f>
        <v/>
      </c>
      <c r="BV549" s="28" t="str">
        <f aca="false">IFERROR(INDEX(Assessments!$H$2:$H$600,MATCH($H549&amp;"|"&amp;$I549&amp;"|"&amp;$J549&amp;"|"&amp;2,Assessments!$A$2:$A$600,0)),"")</f>
        <v/>
      </c>
      <c r="BW549" s="28" t="str">
        <f aca="false">IFERROR(INDEX(Assessments!$H$2:$H$600,MATCH($H549&amp;"|"&amp;$I549&amp;"|"&amp;$J549&amp;"|"&amp;3,Assessments!$A$2:$A$600,0)),"")</f>
        <v/>
      </c>
      <c r="BX549" s="28" t="str">
        <f aca="false">IFERROR(INDEX(Assessments!$H$2:$H$600,MATCH($H549&amp;"|"&amp;$I549&amp;"|"&amp;$J549&amp;"|"&amp;4,Assessments!$A$2:$A$600,0)),"")</f>
        <v/>
      </c>
      <c r="BY549" s="28" t="str">
        <f aca="false">IFERROR(INDEX(Assessments!$H$2:$H$600,MATCH($H549&amp;"|"&amp;$I549&amp;"|"&amp;$J549&amp;"|"&amp;5,Assessments!$A$2:$A$600,0)),"")</f>
        <v/>
      </c>
      <c r="BZ549" s="28" t="str">
        <f aca="false">IFERROR(INDEX(Assessments!$H$2:$H$600,MATCH($H549&amp;"|"&amp;$I549&amp;"|"&amp;$J549&amp;"|"&amp;6,Assessments!$A$2:$A$600,0)),"")</f>
        <v/>
      </c>
      <c r="CA549" s="28" t="str">
        <f aca="false">IFERROR(INDEX(Assessments!$H$2:$H$600,MATCH($H549&amp;"|"&amp;$I549&amp;"|"&amp;$J549&amp;"|"&amp;7,Assessments!$A$2:$A$600,0)),"")</f>
        <v/>
      </c>
      <c r="CB549" s="28" t="str">
        <f aca="false">IFERROR(INDEX(Assessments!$H$2:$H$600,MATCH($H549&amp;"|"&amp;$I549&amp;"|"&amp;$J549&amp;"|"&amp;8,Assessments!$A$2:$A$600,0)),"")</f>
        <v/>
      </c>
      <c r="CC549" s="28" t="str">
        <f aca="false">IFERROR(INDEX(Assessments!$H$2:$H$600,MATCH($H549&amp;"|"&amp;$I549&amp;"|"&amp;$J549&amp;"|"&amp;9,Assessments!$A$2:$A$600,0)),"")</f>
        <v/>
      </c>
      <c r="CD549" s="28" t="str">
        <f aca="false">IFERROR(INDEX(Assessments!$H$2:$H$600,MATCH($H549&amp;"|"&amp;$I549&amp;"|"&amp;$J549&amp;"|"&amp;10,Assessments!$A$2:$A$600,0)),"")</f>
        <v/>
      </c>
      <c r="CE549" s="28" t="str">
        <f aca="false">IFERROR(INDEX(Assessments!$H$2:$H$600,MATCH($H549&amp;"|"&amp;$I549&amp;"|"&amp;$J549&amp;"|"&amp;11,Assessments!$A$2:$A$600,0)),"")</f>
        <v/>
      </c>
      <c r="CF549" s="28" t="str">
        <f aca="false">IFERROR(INDEX(Assessments!$H$2:$H$600,MATCH($H549&amp;"|"&amp;$I549&amp;"|"&amp;$J549&amp;"|"&amp;12,Assessments!$A$2:$A$600,0)),"")</f>
        <v/>
      </c>
      <c r="CG549" s="28" t="str">
        <f aca="false">IFERROR(INDEX(Assessments!$H$2:$H$600,MATCH($H549&amp;"|"&amp;$I549&amp;"|"&amp;$J549&amp;"|"&amp;13,Assessments!$A$2:$A$600,0)),"")</f>
        <v/>
      </c>
      <c r="CH549" s="28" t="str">
        <f aca="false">IFERROR(INDEX(Assessments!$H$2:$H$600,MATCH($H549&amp;"|"&amp;$I549&amp;"|"&amp;$J549&amp;"|"&amp;14,Assessments!$A$2:$A$600,0)),"")</f>
        <v/>
      </c>
      <c r="CI549" s="28" t="str">
        <f aca="false">IFERROR(INDEX(Assessments!$I$2:$I$600,MATCH($H549&amp;"|"&amp;$I549&amp;"|"&amp;$J549&amp;"|"&amp;1,Assessments!$A$2:$A$600,0)),"")</f>
        <v/>
      </c>
      <c r="CJ549" s="28" t="str">
        <f aca="false">IFERROR(INDEX(Assessments!$I$2:$I$600,MATCH($H549&amp;"|"&amp;$I549&amp;"|"&amp;$J549&amp;"|"&amp;2,Assessments!$A$2:$A$600,0)),"")</f>
        <v/>
      </c>
      <c r="CK549" s="28" t="str">
        <f aca="false">IFERROR(INDEX(Assessments!$I$2:$I$600,MATCH($H549&amp;"|"&amp;$I549&amp;"|"&amp;$J549&amp;"|"&amp;3,Assessments!$A$2:$A$600,0)),"")</f>
        <v/>
      </c>
      <c r="CL549" s="28" t="str">
        <f aca="false">IFERROR(INDEX(Assessments!$I$2:$I$600,MATCH($H549&amp;"|"&amp;$I549&amp;"|"&amp;$J549&amp;"|"&amp;4,Assessments!$A$2:$A$600,0)),"")</f>
        <v/>
      </c>
      <c r="CM549" s="28" t="str">
        <f aca="false">IFERROR(INDEX(Assessments!$I$2:$I$600,MATCH($H549&amp;"|"&amp;$I549&amp;"|"&amp;$J549&amp;"|"&amp;5,Assessments!$A$2:$A$600,0)),"")</f>
        <v/>
      </c>
      <c r="CN549" s="28" t="str">
        <f aca="false">IFERROR(INDEX(Assessments!$I$2:$I$600,MATCH($H549&amp;"|"&amp;$I549&amp;"|"&amp;$J549&amp;"|"&amp;6,Assessments!$A$2:$A$600,0)),"")</f>
        <v/>
      </c>
      <c r="CO549" s="28" t="str">
        <f aca="false">IFERROR(INDEX(Assessments!$I$2:$I$600,MATCH($H549&amp;"|"&amp;$I549&amp;"|"&amp;$J549&amp;"|"&amp;7,Assessments!$A$2:$A$600,0)),"")</f>
        <v/>
      </c>
      <c r="CP549" s="28" t="str">
        <f aca="false">IFERROR(INDEX(Assessments!$I$2:$I$600,MATCH($H549&amp;"|"&amp;$I549&amp;"|"&amp;$J549&amp;"|"&amp;8,Assessments!$A$2:$A$600,0)),"")</f>
        <v/>
      </c>
      <c r="CQ549" s="28" t="str">
        <f aca="false">IFERROR(INDEX(Assessments!$I$2:$I$600,MATCH($H549&amp;"|"&amp;$I549&amp;"|"&amp;$J549&amp;"|"&amp;9,Assessments!$A$2:$A$600,0)),"")</f>
        <v/>
      </c>
      <c r="CR549" s="28" t="str">
        <f aca="false">IFERROR(INDEX(Assessments!$I$2:$I$600,MATCH($H549&amp;"|"&amp;$I549&amp;"|"&amp;$J549&amp;"|"&amp;10,Assessments!$A$2:$A$600,0)),"")</f>
        <v/>
      </c>
      <c r="CS549" s="28" t="str">
        <f aca="false">IFERROR(INDEX(Assessments!$I$2:$I$600,MATCH($H549&amp;"|"&amp;$I549&amp;"|"&amp;$J549&amp;"|"&amp;11,Assessments!$A$2:$A$600,0)),"")</f>
        <v/>
      </c>
      <c r="CT549" s="28" t="str">
        <f aca="false">IFERROR(INDEX(Assessments!$I$2:$I$600,MATCH($H549&amp;"|"&amp;$I549&amp;"|"&amp;$J549&amp;"|"&amp;12,Assessments!$A$2:$A$600,0)),"")</f>
        <v/>
      </c>
      <c r="CU549" s="28" t="str">
        <f aca="false">IFERROR(INDEX(Assessments!$I$2:$I$600,MATCH($H549&amp;"|"&amp;$I549&amp;"|"&amp;$J549&amp;"|"&amp;13,Assessments!$A$2:$A$600,0)),"")</f>
        <v/>
      </c>
      <c r="CV549" s="28" t="str">
        <f aca="false">IFERROR(INDEX(Assessments!$I$2:$I$600,MATCH($H549&amp;"|"&amp;$I549&amp;"|"&amp;$J549&amp;"|"&amp;14,Assessments!$A$2:$A$600,0)),"")</f>
        <v/>
      </c>
      <c r="CW549" s="28" t="n">
        <f aca="false">IFERROR(INDEX(Assessments!$J$2:$J$600,MATCH($H549&amp;"|"&amp;$I549&amp;"|"&amp;$J549&amp;"|"&amp;1,Assessments!$A$2:$A$600,0)),0)</f>
        <v>0</v>
      </c>
      <c r="CX549" s="28" t="n">
        <f aca="false">IFERROR(INDEX(Assessments!$J$2:$J$600,MATCH($H549&amp;"|"&amp;$I549&amp;"|"&amp;$J549&amp;"|"&amp;2,Assessments!$A$2:$A$600,0)),0)</f>
        <v>0</v>
      </c>
      <c r="CY549" s="28" t="n">
        <f aca="false">IFERROR(INDEX(Assessments!$J$2:$J$600,MATCH($H549&amp;"|"&amp;$I549&amp;"|"&amp;$J549&amp;"|"&amp;3,Assessments!$A$2:$A$600,0)),0)</f>
        <v>0</v>
      </c>
      <c r="CZ549" s="28" t="n">
        <f aca="false">IFERROR(INDEX(Assessments!$J$2:$J$600,MATCH($H549&amp;"|"&amp;$I549&amp;"|"&amp;$J549&amp;"|"&amp;4,Assessments!$A$2:$A$600,0)),0)</f>
        <v>0</v>
      </c>
      <c r="DA549" s="28" t="n">
        <f aca="false">IFERROR(INDEX(Assessments!$J$2:$J$600,MATCH($H549&amp;"|"&amp;$I549&amp;"|"&amp;$J549&amp;"|"&amp;5,Assessments!$A$2:$A$600,0)),0)</f>
        <v>0</v>
      </c>
      <c r="DB549" s="28" t="n">
        <f aca="false">IFERROR(INDEX(Assessments!$J$2:$J$600,MATCH($H549&amp;"|"&amp;$I549&amp;"|"&amp;$J549&amp;"|"&amp;6,Assessments!$A$2:$A$600,0)),0)</f>
        <v>0</v>
      </c>
      <c r="DC549" s="28" t="n">
        <f aca="false">IFERROR(INDEX(Assessments!$J$2:$J$600,MATCH($H549&amp;"|"&amp;$I549&amp;"|"&amp;$J549&amp;"|"&amp;7,Assessments!$A$2:$A$600,0)),0)</f>
        <v>0</v>
      </c>
      <c r="DD549" s="28" t="n">
        <f aca="false">IFERROR(INDEX(Assessments!$J$2:$J$600,MATCH($H549&amp;"|"&amp;$I549&amp;"|"&amp;$J549&amp;"|"&amp;8,Assessments!$A$2:$A$600,0)),0)</f>
        <v>0</v>
      </c>
      <c r="DE549" s="28" t="n">
        <f aca="false">IFERROR(INDEX(Assessments!$J$2:$J$600,MATCH($H549&amp;"|"&amp;$I549&amp;"|"&amp;$J549&amp;"|"&amp;9,Assessments!$A$2:$A$600,0)),0)</f>
        <v>0</v>
      </c>
      <c r="DF549" s="28" t="n">
        <f aca="false">IFERROR(INDEX(Assessments!$J$2:$J$600,MATCH($H549&amp;"|"&amp;$I549&amp;"|"&amp;$J549&amp;"|"&amp;10,Assessments!$A$2:$A$600,0)),0)</f>
        <v>0</v>
      </c>
      <c r="DG549" s="28" t="n">
        <f aca="false">IFERROR(INDEX(Assessments!$J$2:$J$600,MATCH($H549&amp;"|"&amp;$I549&amp;"|"&amp;$J549&amp;"|"&amp;11,Assessments!$A$2:$A$600,0)),0)</f>
        <v>0</v>
      </c>
      <c r="DH549" s="28" t="n">
        <f aca="false">IFERROR(INDEX(Assessments!$J$2:$J$600,MATCH($H549&amp;"|"&amp;$I549&amp;"|"&amp;$J549&amp;"|"&amp;12,Assessments!$A$2:$A$600,0)),0)</f>
        <v>0</v>
      </c>
      <c r="DI549" s="28" t="n">
        <f aca="false">IFERROR(INDEX(Assessments!$J$2:$J$600,MATCH($H549&amp;"|"&amp;$I549&amp;"|"&amp;$J549&amp;"|"&amp;13,Assessments!$A$2:$A$600,0)),0)</f>
        <v>0</v>
      </c>
      <c r="DJ549" s="28" t="n">
        <f aca="false">IFERROR(INDEX(Assessments!$J$2:$J$600,MATCH($H549&amp;"|"&amp;$I549&amp;"|"&amp;$J549&amp;"|"&amp;14,Assessments!$A$2:$A$600,0)),0)</f>
        <v>0</v>
      </c>
      <c r="DK549" s="28" t="str">
        <f aca="false">S549</f>
        <v/>
      </c>
      <c r="DL549" s="28" t="str">
        <f aca="false">W549</f>
        <v/>
      </c>
      <c r="DM549" s="28" t="str">
        <f aca="false">AA549</f>
        <v/>
      </c>
      <c r="DN549" s="28" t="str">
        <f aca="false">AE549</f>
        <v/>
      </c>
      <c r="DO549" s="28" t="str">
        <f aca="false">AI549</f>
        <v/>
      </c>
      <c r="DP549" s="28" t="str">
        <f aca="false">AM549</f>
        <v/>
      </c>
      <c r="DQ549" s="28" t="str">
        <f aca="false">AQ549</f>
        <v/>
      </c>
      <c r="DR549" s="28" t="str">
        <f aca="false">AU549</f>
        <v/>
      </c>
      <c r="DS549" s="28" t="str">
        <f aca="false">AY549</f>
        <v/>
      </c>
      <c r="DT549" s="28" t="str">
        <f aca="false">BC549</f>
        <v/>
      </c>
      <c r="DU549" s="28" t="str">
        <f aca="false">BG549</f>
        <v/>
      </c>
      <c r="DV549" s="28" t="str">
        <f aca="false">BK549</f>
        <v/>
      </c>
      <c r="DW549" s="28" t="str">
        <f aca="false">BO549</f>
        <v/>
      </c>
      <c r="DX549" s="28" t="str">
        <f aca="false">BS549</f>
        <v/>
      </c>
      <c r="DY549" s="28" t="str">
        <f aca="false">IF(ISNUMBER(S549),1,"")</f>
        <v/>
      </c>
      <c r="DZ549" s="28" t="str">
        <f aca="false">IF(ISNUMBER(W549),2,"")</f>
        <v/>
      </c>
      <c r="EA549" s="28" t="str">
        <f aca="false">IF(ISNUMBER(AA549),3,"")</f>
        <v/>
      </c>
      <c r="EB549" s="28" t="str">
        <f aca="false">IF(ISNUMBER(AE549),4,"")</f>
        <v/>
      </c>
      <c r="EC549" s="28" t="str">
        <f aca="false">IF(ISNUMBER(AI549),5,"")</f>
        <v/>
      </c>
      <c r="ED549" s="28" t="str">
        <f aca="false">IF(ISNUMBER(AM549),6,"")</f>
        <v/>
      </c>
      <c r="EE549" s="28" t="str">
        <f aca="false">IF(ISNUMBER(AQ549),7,"")</f>
        <v/>
      </c>
      <c r="EF549" s="28" t="str">
        <f aca="false">IF(ISNUMBER(AU549),8,"")</f>
        <v/>
      </c>
      <c r="EG549" s="28" t="str">
        <f aca="false">IF(ISNUMBER(AY549),9,"")</f>
        <v/>
      </c>
      <c r="EH549" s="28" t="str">
        <f aca="false">IF(ISNUMBER(BC549),10,"")</f>
        <v/>
      </c>
      <c r="EI549" s="28" t="str">
        <f aca="false">IF(ISNUMBER(BG549),11,"")</f>
        <v/>
      </c>
      <c r="EJ549" s="28" t="str">
        <f aca="false">IF(ISNUMBER(BK549),12,"")</f>
        <v/>
      </c>
      <c r="EK549" s="28" t="str">
        <f aca="false">IF(ISNUMBER(BO549),13,"")</f>
        <v/>
      </c>
      <c r="EL549" s="28" t="str">
        <f aca="false">IF(ISNUMBER(BS549),14,"")</f>
        <v/>
      </c>
      <c r="EM549" s="28" t="n">
        <f aca="false">IF(ISNUMBER(R549),R549*CW549,0)</f>
        <v>0</v>
      </c>
      <c r="EN549" s="28" t="n">
        <f aca="false">IF(ISNUMBER(V549),V549*CX549,0)</f>
        <v>0</v>
      </c>
      <c r="EO549" s="28" t="n">
        <f aca="false">IF(ISNUMBER(Z549),Z549*CY549,0)</f>
        <v>0</v>
      </c>
      <c r="EP549" s="28" t="n">
        <f aca="false">IF(ISNUMBER(AD549),AD549*CZ549,0)</f>
        <v>0</v>
      </c>
      <c r="EQ549" s="28" t="n">
        <f aca="false">IF(ISNUMBER(AH549),AH549*DA549,0)</f>
        <v>0</v>
      </c>
      <c r="ER549" s="28" t="n">
        <f aca="false">IF(ISNUMBER(AL549),AL549*DB549,0)</f>
        <v>0</v>
      </c>
      <c r="ES549" s="28" t="n">
        <f aca="false">IF(ISNUMBER(AP549),AP549*DC549,0)</f>
        <v>0</v>
      </c>
      <c r="ET549" s="28" t="n">
        <f aca="false">IF(ISNUMBER(AT549),AT549*DD549,0)</f>
        <v>0</v>
      </c>
      <c r="EU549" s="28" t="n">
        <f aca="false">IF(ISNUMBER(AX549),AX549*DE549,0)</f>
        <v>0</v>
      </c>
      <c r="EV549" s="28" t="n">
        <f aca="false">IF(ISNUMBER(BB549),BB549*DF549,0)</f>
        <v>0</v>
      </c>
      <c r="EW549" s="28" t="n">
        <f aca="false">IF(ISNUMBER(BF549),BF549*DG549,0)</f>
        <v>0</v>
      </c>
      <c r="EX549" s="28" t="n">
        <f aca="false">IF(ISNUMBER(BJ549),BJ549*DH549,0)</f>
        <v>0</v>
      </c>
      <c r="EY549" s="28" t="n">
        <f aca="false">IF(ISNUMBER(BN549),BN549*DI549,0)</f>
        <v>0</v>
      </c>
      <c r="EZ549" s="28" t="n">
        <f aca="false">IF(ISNUMBER(BR549),BR549*DJ549,0)</f>
        <v>0</v>
      </c>
      <c r="FA549" s="28" t="n">
        <f aca="false">IF(ISNUMBER(R549),CW549,0)</f>
        <v>0</v>
      </c>
      <c r="FB549" s="28" t="n">
        <f aca="false">IF(ISNUMBER(V549),CX549,0)</f>
        <v>0</v>
      </c>
      <c r="FC549" s="28" t="n">
        <f aca="false">IF(ISNUMBER(Z549),CY549,0)</f>
        <v>0</v>
      </c>
      <c r="FD549" s="28" t="n">
        <f aca="false">IF(ISNUMBER(AD549),CZ549,0)</f>
        <v>0</v>
      </c>
      <c r="FE549" s="28" t="n">
        <f aca="false">IF(ISNUMBER(AH549),DA549,0)</f>
        <v>0</v>
      </c>
      <c r="FF549" s="28" t="n">
        <f aca="false">IF(ISNUMBER(AL549),DB549,0)</f>
        <v>0</v>
      </c>
      <c r="FG549" s="28" t="n">
        <f aca="false">IF(ISNUMBER(AP549),DC549,0)</f>
        <v>0</v>
      </c>
      <c r="FH549" s="28" t="n">
        <f aca="false">IF(ISNUMBER(AT549),DD549,0)</f>
        <v>0</v>
      </c>
      <c r="FI549" s="28" t="n">
        <f aca="false">IF(ISNUMBER(AX549),DE549,0)</f>
        <v>0</v>
      </c>
      <c r="FJ549" s="28" t="n">
        <f aca="false">IF(ISNUMBER(BB549),DF549,0)</f>
        <v>0</v>
      </c>
      <c r="FK549" s="28" t="n">
        <f aca="false">IF(ISNUMBER(BF549),DG549,0)</f>
        <v>0</v>
      </c>
      <c r="FL549" s="28" t="n">
        <f aca="false">IF(ISNUMBER(BJ549),DH549,0)</f>
        <v>0</v>
      </c>
      <c r="FM549" s="28" t="n">
        <f aca="false">IF(ISNUMBER(BN549),DI549,0)</f>
        <v>0</v>
      </c>
      <c r="FN549" s="28" t="n">
        <f aca="false">IF(ISNUMBER(BR549),DJ549,0)</f>
        <v>0</v>
      </c>
      <c r="FO549" s="28" t="str">
        <f aca="false">IFERROR(INDEX(Lists!$G$2:$G$20,MATCH($I549&amp;"|"&amp;$J549,Lists!$F$2:$F$20,0)),"")</f>
        <v/>
      </c>
    </row>
    <row r="550" customFormat="false" ht="19.5" hidden="false" customHeight="true" outlineLevel="0" collapsed="false">
      <c r="A550" s="29"/>
      <c r="B550" s="29"/>
      <c r="C550" s="30"/>
      <c r="D550" s="30"/>
      <c r="E550" s="31"/>
      <c r="F550" s="30"/>
      <c r="G550" s="30"/>
      <c r="H550" s="32"/>
      <c r="I550" s="33"/>
      <c r="J550" s="32"/>
      <c r="K550" s="34" t="str">
        <f aca="false">IF(OR(M550="",$E550=""),"",M550-$E550)</f>
        <v/>
      </c>
      <c r="L550" s="35" t="str">
        <f aca="false">IF(SUM(FA550:FN550)=0,"",SUM(EM550:EZ550)/SUM(FA550:FN550))</f>
        <v/>
      </c>
      <c r="M550" s="36" t="str">
        <f aca="false">IF(OR(L550="",FO550=""),"",IFERROR(MATCH(L550,INDEX(Boundaries!$B$2:$I$30,MATCH(FO550,Boundaries!$A$2:$A$30,0),0),1)-1,""))</f>
        <v/>
      </c>
      <c r="N550" s="37" t="str">
        <f aca="false">IF(COUNT($DY550:$EL550)&lt;2,"",INDEX($DK550:$DX550,MAX($DY550:$EL550))-INDEX($DK550:$DX550,MIN($DY550:$EL550)))</f>
        <v/>
      </c>
      <c r="O550" s="37" t="str">
        <f aca="false">IF(COUNT($DY550:$EL550)&lt;2,"",INDEX($DK550:$DX550,MAX($DY550:$EL550))-INDEX($DK550:$DX550,LARGE($DY550:$EL550,2)))</f>
        <v/>
      </c>
      <c r="P550" s="38" t="str">
        <f aca="false">IF(K550="","",IF(K550&gt;=0,"On/above target",IF(AND(N550&lt;&gt;"",N550&gt;=0.5),"Improving towards target",IF(AND(O550&lt;&gt;"",O550&lt;=-0.5),"Declining","Stable below target"))))</f>
        <v/>
      </c>
      <c r="Q550" s="39"/>
      <c r="R550" s="40" t="str">
        <f aca="false">IF(OR(Q550="",BU550=""),"",Q550/BU550*100)</f>
        <v/>
      </c>
      <c r="S550" s="41" t="str">
        <f aca="false">IF(R550="","",IFERROR(MATCH(R550,INDEX(Boundaries!$B$2:$I$30,MATCH(CI550,Boundaries!$A$2:$A$30,0),0),1)-1,""))</f>
        <v/>
      </c>
      <c r="T550" s="42" t="str">
        <f aca="false">IF(OR(S550="",$E550=""),"",S550-$E550)</f>
        <v/>
      </c>
      <c r="U550" s="39"/>
      <c r="V550" s="40" t="str">
        <f aca="false">IF(OR(U550="",BV550=""),"",U550/BV550*100)</f>
        <v/>
      </c>
      <c r="W550" s="41" t="str">
        <f aca="false">IF(V550="","",IFERROR(MATCH(V550,INDEX(Boundaries!$B$2:$I$30,MATCH(CJ550,Boundaries!$A$2:$A$30,0),0),1)-1,""))</f>
        <v/>
      </c>
      <c r="X550" s="42" t="str">
        <f aca="false">IF(OR(W550="",$E550=""),"",W550-$E550)</f>
        <v/>
      </c>
      <c r="Y550" s="39"/>
      <c r="Z550" s="40" t="str">
        <f aca="false">IF(OR(Y550="",BW550=""),"",Y550/BW550*100)</f>
        <v/>
      </c>
      <c r="AA550" s="41" t="str">
        <f aca="false">IF(Z550="","",IFERROR(MATCH(Z550,INDEX(Boundaries!$B$2:$I$30,MATCH(CK550,Boundaries!$A$2:$A$30,0),0),1)-1,""))</f>
        <v/>
      </c>
      <c r="AB550" s="42" t="str">
        <f aca="false">IF(OR(AA550="",$E550=""),"",AA550-$E550)</f>
        <v/>
      </c>
      <c r="AC550" s="39"/>
      <c r="AD550" s="40" t="str">
        <f aca="false">IF(OR(AC550="",BX550=""),"",AC550/BX550*100)</f>
        <v/>
      </c>
      <c r="AE550" s="41" t="str">
        <f aca="false">IF(AD550="","",IFERROR(MATCH(AD550,INDEX(Boundaries!$B$2:$I$30,MATCH(CL550,Boundaries!$A$2:$A$30,0),0),1)-1,""))</f>
        <v/>
      </c>
      <c r="AF550" s="42" t="str">
        <f aca="false">IF(OR(AE550="",$E550=""),"",AE550-$E550)</f>
        <v/>
      </c>
      <c r="AG550" s="39"/>
      <c r="AH550" s="40" t="str">
        <f aca="false">IF(OR(AG550="",BY550=""),"",AG550/BY550*100)</f>
        <v/>
      </c>
      <c r="AI550" s="41" t="str">
        <f aca="false">IF(AH550="","",IFERROR(MATCH(AH550,INDEX(Boundaries!$B$2:$I$30,MATCH(CM550,Boundaries!$A$2:$A$30,0),0),1)-1,""))</f>
        <v/>
      </c>
      <c r="AJ550" s="42" t="str">
        <f aca="false">IF(OR(AI550="",$E550=""),"",AI550-$E550)</f>
        <v/>
      </c>
      <c r="AK550" s="39"/>
      <c r="AL550" s="40" t="str">
        <f aca="false">IF(OR(AK550="",BZ550=""),"",AK550/BZ550*100)</f>
        <v/>
      </c>
      <c r="AM550" s="41" t="str">
        <f aca="false">IF(AL550="","",IFERROR(MATCH(AL550,INDEX(Boundaries!$B$2:$I$30,MATCH(CN550,Boundaries!$A$2:$A$30,0),0),1)-1,""))</f>
        <v/>
      </c>
      <c r="AN550" s="42" t="str">
        <f aca="false">IF(OR(AM550="",$E550=""),"",AM550-$E550)</f>
        <v/>
      </c>
      <c r="AO550" s="39"/>
      <c r="AP550" s="40" t="str">
        <f aca="false">IF(OR(AO550="",CA550=""),"",AO550/CA550*100)</f>
        <v/>
      </c>
      <c r="AQ550" s="41" t="str">
        <f aca="false">IF(AP550="","",IFERROR(MATCH(AP550,INDEX(Boundaries!$B$2:$I$30,MATCH(CO550,Boundaries!$A$2:$A$30,0),0),1)-1,""))</f>
        <v/>
      </c>
      <c r="AR550" s="42" t="str">
        <f aca="false">IF(OR(AQ550="",$E550=""),"",AQ550-$E550)</f>
        <v/>
      </c>
      <c r="AS550" s="39"/>
      <c r="AT550" s="40" t="str">
        <f aca="false">IF(OR(AS550="",CB550=""),"",AS550/CB550*100)</f>
        <v/>
      </c>
      <c r="AU550" s="41" t="str">
        <f aca="false">IF(AT550="","",IFERROR(MATCH(AT550,INDEX(Boundaries!$B$2:$I$30,MATCH(CP550,Boundaries!$A$2:$A$30,0),0),1)-1,""))</f>
        <v/>
      </c>
      <c r="AV550" s="42" t="str">
        <f aca="false">IF(OR(AU550="",$E550=""),"",AU550-$E550)</f>
        <v/>
      </c>
      <c r="AW550" s="39"/>
      <c r="AX550" s="40" t="str">
        <f aca="false">IF(OR(AW550="",CC550=""),"",AW550/CC550*100)</f>
        <v/>
      </c>
      <c r="AY550" s="41" t="str">
        <f aca="false">IF(AX550="","",IFERROR(MATCH(AX550,INDEX(Boundaries!$B$2:$I$30,MATCH(CQ550,Boundaries!$A$2:$A$30,0),0),1)-1,""))</f>
        <v/>
      </c>
      <c r="AZ550" s="42" t="str">
        <f aca="false">IF(OR(AY550="",$E550=""),"",AY550-$E550)</f>
        <v/>
      </c>
      <c r="BA550" s="39"/>
      <c r="BB550" s="40" t="str">
        <f aca="false">IF(OR(BA550="",CD550=""),"",BA550/CD550*100)</f>
        <v/>
      </c>
      <c r="BC550" s="41" t="str">
        <f aca="false">IF(BB550="","",IFERROR(MATCH(BB550,INDEX(Boundaries!$B$2:$I$30,MATCH(CR550,Boundaries!$A$2:$A$30,0),0),1)-1,""))</f>
        <v/>
      </c>
      <c r="BD550" s="42" t="str">
        <f aca="false">IF(OR(BC550="",$E550=""),"",BC550-$E550)</f>
        <v/>
      </c>
      <c r="BE550" s="39"/>
      <c r="BF550" s="40" t="str">
        <f aca="false">IF(OR(BE550="",CE550=""),"",BE550/CE550*100)</f>
        <v/>
      </c>
      <c r="BG550" s="41" t="str">
        <f aca="false">IF(BF550="","",IFERROR(MATCH(BF550,INDEX(Boundaries!$B$2:$I$30,MATCH(CS550,Boundaries!$A$2:$A$30,0),0),1)-1,""))</f>
        <v/>
      </c>
      <c r="BH550" s="42" t="str">
        <f aca="false">IF(OR(BG550="",$E550=""),"",BG550-$E550)</f>
        <v/>
      </c>
      <c r="BI550" s="39"/>
      <c r="BJ550" s="40" t="str">
        <f aca="false">IF(OR(BI550="",CF550=""),"",BI550/CF550*100)</f>
        <v/>
      </c>
      <c r="BK550" s="41" t="str">
        <f aca="false">IF(BJ550="","",IFERROR(MATCH(BJ550,INDEX(Boundaries!$B$2:$I$30,MATCH(CT550,Boundaries!$A$2:$A$30,0),0),1)-1,""))</f>
        <v/>
      </c>
      <c r="BL550" s="42" t="str">
        <f aca="false">IF(OR(BK550="",$E550=""),"",BK550-$E550)</f>
        <v/>
      </c>
      <c r="BM550" s="39"/>
      <c r="BN550" s="40" t="str">
        <f aca="false">IF(OR(BM550="",CG550=""),"",BM550/CG550*100)</f>
        <v/>
      </c>
      <c r="BO550" s="41" t="str">
        <f aca="false">IF(BN550="","",IFERROR(MATCH(BN550,INDEX(Boundaries!$B$2:$I$30,MATCH(CU550,Boundaries!$A$2:$A$30,0),0),1)-1,""))</f>
        <v/>
      </c>
      <c r="BP550" s="42" t="str">
        <f aca="false">IF(OR(BO550="",$E550=""),"",BO550-$E550)</f>
        <v/>
      </c>
      <c r="BQ550" s="39"/>
      <c r="BR550" s="40" t="str">
        <f aca="false">IF(OR(BQ550="",CH550=""),"",BQ550/CH550*100)</f>
        <v/>
      </c>
      <c r="BS550" s="41" t="str">
        <f aca="false">IF(BR550="","",IFERROR(MATCH(BR550,INDEX(Boundaries!$B$2:$I$30,MATCH(CV550,Boundaries!$A$2:$A$30,0),0),1)-1,""))</f>
        <v/>
      </c>
      <c r="BT550" s="42" t="str">
        <f aca="false">IF(OR(BS550="",$E550=""),"",BS550-$E550)</f>
        <v/>
      </c>
      <c r="BU550" s="28" t="str">
        <f aca="false">IFERROR(INDEX(Assessments!$H$2:$H$600,MATCH($H550&amp;"|"&amp;$I550&amp;"|"&amp;$J550&amp;"|"&amp;1,Assessments!$A$2:$A$600,0)),"")</f>
        <v/>
      </c>
      <c r="BV550" s="28" t="str">
        <f aca="false">IFERROR(INDEX(Assessments!$H$2:$H$600,MATCH($H550&amp;"|"&amp;$I550&amp;"|"&amp;$J550&amp;"|"&amp;2,Assessments!$A$2:$A$600,0)),"")</f>
        <v/>
      </c>
      <c r="BW550" s="28" t="str">
        <f aca="false">IFERROR(INDEX(Assessments!$H$2:$H$600,MATCH($H550&amp;"|"&amp;$I550&amp;"|"&amp;$J550&amp;"|"&amp;3,Assessments!$A$2:$A$600,0)),"")</f>
        <v/>
      </c>
      <c r="BX550" s="28" t="str">
        <f aca="false">IFERROR(INDEX(Assessments!$H$2:$H$600,MATCH($H550&amp;"|"&amp;$I550&amp;"|"&amp;$J550&amp;"|"&amp;4,Assessments!$A$2:$A$600,0)),"")</f>
        <v/>
      </c>
      <c r="BY550" s="28" t="str">
        <f aca="false">IFERROR(INDEX(Assessments!$H$2:$H$600,MATCH($H550&amp;"|"&amp;$I550&amp;"|"&amp;$J550&amp;"|"&amp;5,Assessments!$A$2:$A$600,0)),"")</f>
        <v/>
      </c>
      <c r="BZ550" s="28" t="str">
        <f aca="false">IFERROR(INDEX(Assessments!$H$2:$H$600,MATCH($H550&amp;"|"&amp;$I550&amp;"|"&amp;$J550&amp;"|"&amp;6,Assessments!$A$2:$A$600,0)),"")</f>
        <v/>
      </c>
      <c r="CA550" s="28" t="str">
        <f aca="false">IFERROR(INDEX(Assessments!$H$2:$H$600,MATCH($H550&amp;"|"&amp;$I550&amp;"|"&amp;$J550&amp;"|"&amp;7,Assessments!$A$2:$A$600,0)),"")</f>
        <v/>
      </c>
      <c r="CB550" s="28" t="str">
        <f aca="false">IFERROR(INDEX(Assessments!$H$2:$H$600,MATCH($H550&amp;"|"&amp;$I550&amp;"|"&amp;$J550&amp;"|"&amp;8,Assessments!$A$2:$A$600,0)),"")</f>
        <v/>
      </c>
      <c r="CC550" s="28" t="str">
        <f aca="false">IFERROR(INDEX(Assessments!$H$2:$H$600,MATCH($H550&amp;"|"&amp;$I550&amp;"|"&amp;$J550&amp;"|"&amp;9,Assessments!$A$2:$A$600,0)),"")</f>
        <v/>
      </c>
      <c r="CD550" s="28" t="str">
        <f aca="false">IFERROR(INDEX(Assessments!$H$2:$H$600,MATCH($H550&amp;"|"&amp;$I550&amp;"|"&amp;$J550&amp;"|"&amp;10,Assessments!$A$2:$A$600,0)),"")</f>
        <v/>
      </c>
      <c r="CE550" s="28" t="str">
        <f aca="false">IFERROR(INDEX(Assessments!$H$2:$H$600,MATCH($H550&amp;"|"&amp;$I550&amp;"|"&amp;$J550&amp;"|"&amp;11,Assessments!$A$2:$A$600,0)),"")</f>
        <v/>
      </c>
      <c r="CF550" s="28" t="str">
        <f aca="false">IFERROR(INDEX(Assessments!$H$2:$H$600,MATCH($H550&amp;"|"&amp;$I550&amp;"|"&amp;$J550&amp;"|"&amp;12,Assessments!$A$2:$A$600,0)),"")</f>
        <v/>
      </c>
      <c r="CG550" s="28" t="str">
        <f aca="false">IFERROR(INDEX(Assessments!$H$2:$H$600,MATCH($H550&amp;"|"&amp;$I550&amp;"|"&amp;$J550&amp;"|"&amp;13,Assessments!$A$2:$A$600,0)),"")</f>
        <v/>
      </c>
      <c r="CH550" s="28" t="str">
        <f aca="false">IFERROR(INDEX(Assessments!$H$2:$H$600,MATCH($H550&amp;"|"&amp;$I550&amp;"|"&amp;$J550&amp;"|"&amp;14,Assessments!$A$2:$A$600,0)),"")</f>
        <v/>
      </c>
      <c r="CI550" s="28" t="str">
        <f aca="false">IFERROR(INDEX(Assessments!$I$2:$I$600,MATCH($H550&amp;"|"&amp;$I550&amp;"|"&amp;$J550&amp;"|"&amp;1,Assessments!$A$2:$A$600,0)),"")</f>
        <v/>
      </c>
      <c r="CJ550" s="28" t="str">
        <f aca="false">IFERROR(INDEX(Assessments!$I$2:$I$600,MATCH($H550&amp;"|"&amp;$I550&amp;"|"&amp;$J550&amp;"|"&amp;2,Assessments!$A$2:$A$600,0)),"")</f>
        <v/>
      </c>
      <c r="CK550" s="28" t="str">
        <f aca="false">IFERROR(INDEX(Assessments!$I$2:$I$600,MATCH($H550&amp;"|"&amp;$I550&amp;"|"&amp;$J550&amp;"|"&amp;3,Assessments!$A$2:$A$600,0)),"")</f>
        <v/>
      </c>
      <c r="CL550" s="28" t="str">
        <f aca="false">IFERROR(INDEX(Assessments!$I$2:$I$600,MATCH($H550&amp;"|"&amp;$I550&amp;"|"&amp;$J550&amp;"|"&amp;4,Assessments!$A$2:$A$600,0)),"")</f>
        <v/>
      </c>
      <c r="CM550" s="28" t="str">
        <f aca="false">IFERROR(INDEX(Assessments!$I$2:$I$600,MATCH($H550&amp;"|"&amp;$I550&amp;"|"&amp;$J550&amp;"|"&amp;5,Assessments!$A$2:$A$600,0)),"")</f>
        <v/>
      </c>
      <c r="CN550" s="28" t="str">
        <f aca="false">IFERROR(INDEX(Assessments!$I$2:$I$600,MATCH($H550&amp;"|"&amp;$I550&amp;"|"&amp;$J550&amp;"|"&amp;6,Assessments!$A$2:$A$600,0)),"")</f>
        <v/>
      </c>
      <c r="CO550" s="28" t="str">
        <f aca="false">IFERROR(INDEX(Assessments!$I$2:$I$600,MATCH($H550&amp;"|"&amp;$I550&amp;"|"&amp;$J550&amp;"|"&amp;7,Assessments!$A$2:$A$600,0)),"")</f>
        <v/>
      </c>
      <c r="CP550" s="28" t="str">
        <f aca="false">IFERROR(INDEX(Assessments!$I$2:$I$600,MATCH($H550&amp;"|"&amp;$I550&amp;"|"&amp;$J550&amp;"|"&amp;8,Assessments!$A$2:$A$600,0)),"")</f>
        <v/>
      </c>
      <c r="CQ550" s="28" t="str">
        <f aca="false">IFERROR(INDEX(Assessments!$I$2:$I$600,MATCH($H550&amp;"|"&amp;$I550&amp;"|"&amp;$J550&amp;"|"&amp;9,Assessments!$A$2:$A$600,0)),"")</f>
        <v/>
      </c>
      <c r="CR550" s="28" t="str">
        <f aca="false">IFERROR(INDEX(Assessments!$I$2:$I$600,MATCH($H550&amp;"|"&amp;$I550&amp;"|"&amp;$J550&amp;"|"&amp;10,Assessments!$A$2:$A$600,0)),"")</f>
        <v/>
      </c>
      <c r="CS550" s="28" t="str">
        <f aca="false">IFERROR(INDEX(Assessments!$I$2:$I$600,MATCH($H550&amp;"|"&amp;$I550&amp;"|"&amp;$J550&amp;"|"&amp;11,Assessments!$A$2:$A$600,0)),"")</f>
        <v/>
      </c>
      <c r="CT550" s="28" t="str">
        <f aca="false">IFERROR(INDEX(Assessments!$I$2:$I$600,MATCH($H550&amp;"|"&amp;$I550&amp;"|"&amp;$J550&amp;"|"&amp;12,Assessments!$A$2:$A$600,0)),"")</f>
        <v/>
      </c>
      <c r="CU550" s="28" t="str">
        <f aca="false">IFERROR(INDEX(Assessments!$I$2:$I$600,MATCH($H550&amp;"|"&amp;$I550&amp;"|"&amp;$J550&amp;"|"&amp;13,Assessments!$A$2:$A$600,0)),"")</f>
        <v/>
      </c>
      <c r="CV550" s="28" t="str">
        <f aca="false">IFERROR(INDEX(Assessments!$I$2:$I$600,MATCH($H550&amp;"|"&amp;$I550&amp;"|"&amp;$J550&amp;"|"&amp;14,Assessments!$A$2:$A$600,0)),"")</f>
        <v/>
      </c>
      <c r="CW550" s="28" t="n">
        <f aca="false">IFERROR(INDEX(Assessments!$J$2:$J$600,MATCH($H550&amp;"|"&amp;$I550&amp;"|"&amp;$J550&amp;"|"&amp;1,Assessments!$A$2:$A$600,0)),0)</f>
        <v>0</v>
      </c>
      <c r="CX550" s="28" t="n">
        <f aca="false">IFERROR(INDEX(Assessments!$J$2:$J$600,MATCH($H550&amp;"|"&amp;$I550&amp;"|"&amp;$J550&amp;"|"&amp;2,Assessments!$A$2:$A$600,0)),0)</f>
        <v>0</v>
      </c>
      <c r="CY550" s="28" t="n">
        <f aca="false">IFERROR(INDEX(Assessments!$J$2:$J$600,MATCH($H550&amp;"|"&amp;$I550&amp;"|"&amp;$J550&amp;"|"&amp;3,Assessments!$A$2:$A$600,0)),0)</f>
        <v>0</v>
      </c>
      <c r="CZ550" s="28" t="n">
        <f aca="false">IFERROR(INDEX(Assessments!$J$2:$J$600,MATCH($H550&amp;"|"&amp;$I550&amp;"|"&amp;$J550&amp;"|"&amp;4,Assessments!$A$2:$A$600,0)),0)</f>
        <v>0</v>
      </c>
      <c r="DA550" s="28" t="n">
        <f aca="false">IFERROR(INDEX(Assessments!$J$2:$J$600,MATCH($H550&amp;"|"&amp;$I550&amp;"|"&amp;$J550&amp;"|"&amp;5,Assessments!$A$2:$A$600,0)),0)</f>
        <v>0</v>
      </c>
      <c r="DB550" s="28" t="n">
        <f aca="false">IFERROR(INDEX(Assessments!$J$2:$J$600,MATCH($H550&amp;"|"&amp;$I550&amp;"|"&amp;$J550&amp;"|"&amp;6,Assessments!$A$2:$A$600,0)),0)</f>
        <v>0</v>
      </c>
      <c r="DC550" s="28" t="n">
        <f aca="false">IFERROR(INDEX(Assessments!$J$2:$J$600,MATCH($H550&amp;"|"&amp;$I550&amp;"|"&amp;$J550&amp;"|"&amp;7,Assessments!$A$2:$A$600,0)),0)</f>
        <v>0</v>
      </c>
      <c r="DD550" s="28" t="n">
        <f aca="false">IFERROR(INDEX(Assessments!$J$2:$J$600,MATCH($H550&amp;"|"&amp;$I550&amp;"|"&amp;$J550&amp;"|"&amp;8,Assessments!$A$2:$A$600,0)),0)</f>
        <v>0</v>
      </c>
      <c r="DE550" s="28" t="n">
        <f aca="false">IFERROR(INDEX(Assessments!$J$2:$J$600,MATCH($H550&amp;"|"&amp;$I550&amp;"|"&amp;$J550&amp;"|"&amp;9,Assessments!$A$2:$A$600,0)),0)</f>
        <v>0</v>
      </c>
      <c r="DF550" s="28" t="n">
        <f aca="false">IFERROR(INDEX(Assessments!$J$2:$J$600,MATCH($H550&amp;"|"&amp;$I550&amp;"|"&amp;$J550&amp;"|"&amp;10,Assessments!$A$2:$A$600,0)),0)</f>
        <v>0</v>
      </c>
      <c r="DG550" s="28" t="n">
        <f aca="false">IFERROR(INDEX(Assessments!$J$2:$J$600,MATCH($H550&amp;"|"&amp;$I550&amp;"|"&amp;$J550&amp;"|"&amp;11,Assessments!$A$2:$A$600,0)),0)</f>
        <v>0</v>
      </c>
      <c r="DH550" s="28" t="n">
        <f aca="false">IFERROR(INDEX(Assessments!$J$2:$J$600,MATCH($H550&amp;"|"&amp;$I550&amp;"|"&amp;$J550&amp;"|"&amp;12,Assessments!$A$2:$A$600,0)),0)</f>
        <v>0</v>
      </c>
      <c r="DI550" s="28" t="n">
        <f aca="false">IFERROR(INDEX(Assessments!$J$2:$J$600,MATCH($H550&amp;"|"&amp;$I550&amp;"|"&amp;$J550&amp;"|"&amp;13,Assessments!$A$2:$A$600,0)),0)</f>
        <v>0</v>
      </c>
      <c r="DJ550" s="28" t="n">
        <f aca="false">IFERROR(INDEX(Assessments!$J$2:$J$600,MATCH($H550&amp;"|"&amp;$I550&amp;"|"&amp;$J550&amp;"|"&amp;14,Assessments!$A$2:$A$600,0)),0)</f>
        <v>0</v>
      </c>
      <c r="DK550" s="28" t="str">
        <f aca="false">S550</f>
        <v/>
      </c>
      <c r="DL550" s="28" t="str">
        <f aca="false">W550</f>
        <v/>
      </c>
      <c r="DM550" s="28" t="str">
        <f aca="false">AA550</f>
        <v/>
      </c>
      <c r="DN550" s="28" t="str">
        <f aca="false">AE550</f>
        <v/>
      </c>
      <c r="DO550" s="28" t="str">
        <f aca="false">AI550</f>
        <v/>
      </c>
      <c r="DP550" s="28" t="str">
        <f aca="false">AM550</f>
        <v/>
      </c>
      <c r="DQ550" s="28" t="str">
        <f aca="false">AQ550</f>
        <v/>
      </c>
      <c r="DR550" s="28" t="str">
        <f aca="false">AU550</f>
        <v/>
      </c>
      <c r="DS550" s="28" t="str">
        <f aca="false">AY550</f>
        <v/>
      </c>
      <c r="DT550" s="28" t="str">
        <f aca="false">BC550</f>
        <v/>
      </c>
      <c r="DU550" s="28" t="str">
        <f aca="false">BG550</f>
        <v/>
      </c>
      <c r="DV550" s="28" t="str">
        <f aca="false">BK550</f>
        <v/>
      </c>
      <c r="DW550" s="28" t="str">
        <f aca="false">BO550</f>
        <v/>
      </c>
      <c r="DX550" s="28" t="str">
        <f aca="false">BS550</f>
        <v/>
      </c>
      <c r="DY550" s="28" t="str">
        <f aca="false">IF(ISNUMBER(S550),1,"")</f>
        <v/>
      </c>
      <c r="DZ550" s="28" t="str">
        <f aca="false">IF(ISNUMBER(W550),2,"")</f>
        <v/>
      </c>
      <c r="EA550" s="28" t="str">
        <f aca="false">IF(ISNUMBER(AA550),3,"")</f>
        <v/>
      </c>
      <c r="EB550" s="28" t="str">
        <f aca="false">IF(ISNUMBER(AE550),4,"")</f>
        <v/>
      </c>
      <c r="EC550" s="28" t="str">
        <f aca="false">IF(ISNUMBER(AI550),5,"")</f>
        <v/>
      </c>
      <c r="ED550" s="28" t="str">
        <f aca="false">IF(ISNUMBER(AM550),6,"")</f>
        <v/>
      </c>
      <c r="EE550" s="28" t="str">
        <f aca="false">IF(ISNUMBER(AQ550),7,"")</f>
        <v/>
      </c>
      <c r="EF550" s="28" t="str">
        <f aca="false">IF(ISNUMBER(AU550),8,"")</f>
        <v/>
      </c>
      <c r="EG550" s="28" t="str">
        <f aca="false">IF(ISNUMBER(AY550),9,"")</f>
        <v/>
      </c>
      <c r="EH550" s="28" t="str">
        <f aca="false">IF(ISNUMBER(BC550),10,"")</f>
        <v/>
      </c>
      <c r="EI550" s="28" t="str">
        <f aca="false">IF(ISNUMBER(BG550),11,"")</f>
        <v/>
      </c>
      <c r="EJ550" s="28" t="str">
        <f aca="false">IF(ISNUMBER(BK550),12,"")</f>
        <v/>
      </c>
      <c r="EK550" s="28" t="str">
        <f aca="false">IF(ISNUMBER(BO550),13,"")</f>
        <v/>
      </c>
      <c r="EL550" s="28" t="str">
        <f aca="false">IF(ISNUMBER(BS550),14,"")</f>
        <v/>
      </c>
      <c r="EM550" s="28" t="n">
        <f aca="false">IF(ISNUMBER(R550),R550*CW550,0)</f>
        <v>0</v>
      </c>
      <c r="EN550" s="28" t="n">
        <f aca="false">IF(ISNUMBER(V550),V550*CX550,0)</f>
        <v>0</v>
      </c>
      <c r="EO550" s="28" t="n">
        <f aca="false">IF(ISNUMBER(Z550),Z550*CY550,0)</f>
        <v>0</v>
      </c>
      <c r="EP550" s="28" t="n">
        <f aca="false">IF(ISNUMBER(AD550),AD550*CZ550,0)</f>
        <v>0</v>
      </c>
      <c r="EQ550" s="28" t="n">
        <f aca="false">IF(ISNUMBER(AH550),AH550*DA550,0)</f>
        <v>0</v>
      </c>
      <c r="ER550" s="28" t="n">
        <f aca="false">IF(ISNUMBER(AL550),AL550*DB550,0)</f>
        <v>0</v>
      </c>
      <c r="ES550" s="28" t="n">
        <f aca="false">IF(ISNUMBER(AP550),AP550*DC550,0)</f>
        <v>0</v>
      </c>
      <c r="ET550" s="28" t="n">
        <f aca="false">IF(ISNUMBER(AT550),AT550*DD550,0)</f>
        <v>0</v>
      </c>
      <c r="EU550" s="28" t="n">
        <f aca="false">IF(ISNUMBER(AX550),AX550*DE550,0)</f>
        <v>0</v>
      </c>
      <c r="EV550" s="28" t="n">
        <f aca="false">IF(ISNUMBER(BB550),BB550*DF550,0)</f>
        <v>0</v>
      </c>
      <c r="EW550" s="28" t="n">
        <f aca="false">IF(ISNUMBER(BF550),BF550*DG550,0)</f>
        <v>0</v>
      </c>
      <c r="EX550" s="28" t="n">
        <f aca="false">IF(ISNUMBER(BJ550),BJ550*DH550,0)</f>
        <v>0</v>
      </c>
      <c r="EY550" s="28" t="n">
        <f aca="false">IF(ISNUMBER(BN550),BN550*DI550,0)</f>
        <v>0</v>
      </c>
      <c r="EZ550" s="28" t="n">
        <f aca="false">IF(ISNUMBER(BR550),BR550*DJ550,0)</f>
        <v>0</v>
      </c>
      <c r="FA550" s="28" t="n">
        <f aca="false">IF(ISNUMBER(R550),CW550,0)</f>
        <v>0</v>
      </c>
      <c r="FB550" s="28" t="n">
        <f aca="false">IF(ISNUMBER(V550),CX550,0)</f>
        <v>0</v>
      </c>
      <c r="FC550" s="28" t="n">
        <f aca="false">IF(ISNUMBER(Z550),CY550,0)</f>
        <v>0</v>
      </c>
      <c r="FD550" s="28" t="n">
        <f aca="false">IF(ISNUMBER(AD550),CZ550,0)</f>
        <v>0</v>
      </c>
      <c r="FE550" s="28" t="n">
        <f aca="false">IF(ISNUMBER(AH550),DA550,0)</f>
        <v>0</v>
      </c>
      <c r="FF550" s="28" t="n">
        <f aca="false">IF(ISNUMBER(AL550),DB550,0)</f>
        <v>0</v>
      </c>
      <c r="FG550" s="28" t="n">
        <f aca="false">IF(ISNUMBER(AP550),DC550,0)</f>
        <v>0</v>
      </c>
      <c r="FH550" s="28" t="n">
        <f aca="false">IF(ISNUMBER(AT550),DD550,0)</f>
        <v>0</v>
      </c>
      <c r="FI550" s="28" t="n">
        <f aca="false">IF(ISNUMBER(AX550),DE550,0)</f>
        <v>0</v>
      </c>
      <c r="FJ550" s="28" t="n">
        <f aca="false">IF(ISNUMBER(BB550),DF550,0)</f>
        <v>0</v>
      </c>
      <c r="FK550" s="28" t="n">
        <f aca="false">IF(ISNUMBER(BF550),DG550,0)</f>
        <v>0</v>
      </c>
      <c r="FL550" s="28" t="n">
        <f aca="false">IF(ISNUMBER(BJ550),DH550,0)</f>
        <v>0</v>
      </c>
      <c r="FM550" s="28" t="n">
        <f aca="false">IF(ISNUMBER(BN550),DI550,0)</f>
        <v>0</v>
      </c>
      <c r="FN550" s="28" t="n">
        <f aca="false">IF(ISNUMBER(BR550),DJ550,0)</f>
        <v>0</v>
      </c>
      <c r="FO550" s="28" t="str">
        <f aca="false">IFERROR(INDEX(Lists!$G$2:$G$20,MATCH($I550&amp;"|"&amp;$J550,Lists!$F$2:$F$20,0)),"")</f>
        <v/>
      </c>
    </row>
    <row r="551" customFormat="false" ht="19.5" hidden="false" customHeight="true" outlineLevel="0" collapsed="false">
      <c r="A551" s="29"/>
      <c r="B551" s="29"/>
      <c r="C551" s="30"/>
      <c r="D551" s="30"/>
      <c r="E551" s="31"/>
      <c r="F551" s="30"/>
      <c r="G551" s="30"/>
      <c r="H551" s="32"/>
      <c r="I551" s="33"/>
      <c r="J551" s="32"/>
      <c r="K551" s="34" t="str">
        <f aca="false">IF(OR(M551="",$E551=""),"",M551-$E551)</f>
        <v/>
      </c>
      <c r="L551" s="35" t="str">
        <f aca="false">IF(SUM(FA551:FN551)=0,"",SUM(EM551:EZ551)/SUM(FA551:FN551))</f>
        <v/>
      </c>
      <c r="M551" s="36" t="str">
        <f aca="false">IF(OR(L551="",FO551=""),"",IFERROR(MATCH(L551,INDEX(Boundaries!$B$2:$I$30,MATCH(FO551,Boundaries!$A$2:$A$30,0),0),1)-1,""))</f>
        <v/>
      </c>
      <c r="N551" s="37" t="str">
        <f aca="false">IF(COUNT($DY551:$EL551)&lt;2,"",INDEX($DK551:$DX551,MAX($DY551:$EL551))-INDEX($DK551:$DX551,MIN($DY551:$EL551)))</f>
        <v/>
      </c>
      <c r="O551" s="37" t="str">
        <f aca="false">IF(COUNT($DY551:$EL551)&lt;2,"",INDEX($DK551:$DX551,MAX($DY551:$EL551))-INDEX($DK551:$DX551,LARGE($DY551:$EL551,2)))</f>
        <v/>
      </c>
      <c r="P551" s="38" t="str">
        <f aca="false">IF(K551="","",IF(K551&gt;=0,"On/above target",IF(AND(N551&lt;&gt;"",N551&gt;=0.5),"Improving towards target",IF(AND(O551&lt;&gt;"",O551&lt;=-0.5),"Declining","Stable below target"))))</f>
        <v/>
      </c>
      <c r="Q551" s="39"/>
      <c r="R551" s="40" t="str">
        <f aca="false">IF(OR(Q551="",BU551=""),"",Q551/BU551*100)</f>
        <v/>
      </c>
      <c r="S551" s="41" t="str">
        <f aca="false">IF(R551="","",IFERROR(MATCH(R551,INDEX(Boundaries!$B$2:$I$30,MATCH(CI551,Boundaries!$A$2:$A$30,0),0),1)-1,""))</f>
        <v/>
      </c>
      <c r="T551" s="42" t="str">
        <f aca="false">IF(OR(S551="",$E551=""),"",S551-$E551)</f>
        <v/>
      </c>
      <c r="U551" s="39"/>
      <c r="V551" s="40" t="str">
        <f aca="false">IF(OR(U551="",BV551=""),"",U551/BV551*100)</f>
        <v/>
      </c>
      <c r="W551" s="41" t="str">
        <f aca="false">IF(V551="","",IFERROR(MATCH(V551,INDEX(Boundaries!$B$2:$I$30,MATCH(CJ551,Boundaries!$A$2:$A$30,0),0),1)-1,""))</f>
        <v/>
      </c>
      <c r="X551" s="42" t="str">
        <f aca="false">IF(OR(W551="",$E551=""),"",W551-$E551)</f>
        <v/>
      </c>
      <c r="Y551" s="39"/>
      <c r="Z551" s="40" t="str">
        <f aca="false">IF(OR(Y551="",BW551=""),"",Y551/BW551*100)</f>
        <v/>
      </c>
      <c r="AA551" s="41" t="str">
        <f aca="false">IF(Z551="","",IFERROR(MATCH(Z551,INDEX(Boundaries!$B$2:$I$30,MATCH(CK551,Boundaries!$A$2:$A$30,0),0),1)-1,""))</f>
        <v/>
      </c>
      <c r="AB551" s="42" t="str">
        <f aca="false">IF(OR(AA551="",$E551=""),"",AA551-$E551)</f>
        <v/>
      </c>
      <c r="AC551" s="39"/>
      <c r="AD551" s="40" t="str">
        <f aca="false">IF(OR(AC551="",BX551=""),"",AC551/BX551*100)</f>
        <v/>
      </c>
      <c r="AE551" s="41" t="str">
        <f aca="false">IF(AD551="","",IFERROR(MATCH(AD551,INDEX(Boundaries!$B$2:$I$30,MATCH(CL551,Boundaries!$A$2:$A$30,0),0),1)-1,""))</f>
        <v/>
      </c>
      <c r="AF551" s="42" t="str">
        <f aca="false">IF(OR(AE551="",$E551=""),"",AE551-$E551)</f>
        <v/>
      </c>
      <c r="AG551" s="39"/>
      <c r="AH551" s="40" t="str">
        <f aca="false">IF(OR(AG551="",BY551=""),"",AG551/BY551*100)</f>
        <v/>
      </c>
      <c r="AI551" s="41" t="str">
        <f aca="false">IF(AH551="","",IFERROR(MATCH(AH551,INDEX(Boundaries!$B$2:$I$30,MATCH(CM551,Boundaries!$A$2:$A$30,0),0),1)-1,""))</f>
        <v/>
      </c>
      <c r="AJ551" s="42" t="str">
        <f aca="false">IF(OR(AI551="",$E551=""),"",AI551-$E551)</f>
        <v/>
      </c>
      <c r="AK551" s="39"/>
      <c r="AL551" s="40" t="str">
        <f aca="false">IF(OR(AK551="",BZ551=""),"",AK551/BZ551*100)</f>
        <v/>
      </c>
      <c r="AM551" s="41" t="str">
        <f aca="false">IF(AL551="","",IFERROR(MATCH(AL551,INDEX(Boundaries!$B$2:$I$30,MATCH(CN551,Boundaries!$A$2:$A$30,0),0),1)-1,""))</f>
        <v/>
      </c>
      <c r="AN551" s="42" t="str">
        <f aca="false">IF(OR(AM551="",$E551=""),"",AM551-$E551)</f>
        <v/>
      </c>
      <c r="AO551" s="39"/>
      <c r="AP551" s="40" t="str">
        <f aca="false">IF(OR(AO551="",CA551=""),"",AO551/CA551*100)</f>
        <v/>
      </c>
      <c r="AQ551" s="41" t="str">
        <f aca="false">IF(AP551="","",IFERROR(MATCH(AP551,INDEX(Boundaries!$B$2:$I$30,MATCH(CO551,Boundaries!$A$2:$A$30,0),0),1)-1,""))</f>
        <v/>
      </c>
      <c r="AR551" s="42" t="str">
        <f aca="false">IF(OR(AQ551="",$E551=""),"",AQ551-$E551)</f>
        <v/>
      </c>
      <c r="AS551" s="39"/>
      <c r="AT551" s="40" t="str">
        <f aca="false">IF(OR(AS551="",CB551=""),"",AS551/CB551*100)</f>
        <v/>
      </c>
      <c r="AU551" s="41" t="str">
        <f aca="false">IF(AT551="","",IFERROR(MATCH(AT551,INDEX(Boundaries!$B$2:$I$30,MATCH(CP551,Boundaries!$A$2:$A$30,0),0),1)-1,""))</f>
        <v/>
      </c>
      <c r="AV551" s="42" t="str">
        <f aca="false">IF(OR(AU551="",$E551=""),"",AU551-$E551)</f>
        <v/>
      </c>
      <c r="AW551" s="39"/>
      <c r="AX551" s="40" t="str">
        <f aca="false">IF(OR(AW551="",CC551=""),"",AW551/CC551*100)</f>
        <v/>
      </c>
      <c r="AY551" s="41" t="str">
        <f aca="false">IF(AX551="","",IFERROR(MATCH(AX551,INDEX(Boundaries!$B$2:$I$30,MATCH(CQ551,Boundaries!$A$2:$A$30,0),0),1)-1,""))</f>
        <v/>
      </c>
      <c r="AZ551" s="42" t="str">
        <f aca="false">IF(OR(AY551="",$E551=""),"",AY551-$E551)</f>
        <v/>
      </c>
      <c r="BA551" s="39"/>
      <c r="BB551" s="40" t="str">
        <f aca="false">IF(OR(BA551="",CD551=""),"",BA551/CD551*100)</f>
        <v/>
      </c>
      <c r="BC551" s="41" t="str">
        <f aca="false">IF(BB551="","",IFERROR(MATCH(BB551,INDEX(Boundaries!$B$2:$I$30,MATCH(CR551,Boundaries!$A$2:$A$30,0),0),1)-1,""))</f>
        <v/>
      </c>
      <c r="BD551" s="42" t="str">
        <f aca="false">IF(OR(BC551="",$E551=""),"",BC551-$E551)</f>
        <v/>
      </c>
      <c r="BE551" s="39"/>
      <c r="BF551" s="40" t="str">
        <f aca="false">IF(OR(BE551="",CE551=""),"",BE551/CE551*100)</f>
        <v/>
      </c>
      <c r="BG551" s="41" t="str">
        <f aca="false">IF(BF551="","",IFERROR(MATCH(BF551,INDEX(Boundaries!$B$2:$I$30,MATCH(CS551,Boundaries!$A$2:$A$30,0),0),1)-1,""))</f>
        <v/>
      </c>
      <c r="BH551" s="42" t="str">
        <f aca="false">IF(OR(BG551="",$E551=""),"",BG551-$E551)</f>
        <v/>
      </c>
      <c r="BI551" s="39"/>
      <c r="BJ551" s="40" t="str">
        <f aca="false">IF(OR(BI551="",CF551=""),"",BI551/CF551*100)</f>
        <v/>
      </c>
      <c r="BK551" s="41" t="str">
        <f aca="false">IF(BJ551="","",IFERROR(MATCH(BJ551,INDEX(Boundaries!$B$2:$I$30,MATCH(CT551,Boundaries!$A$2:$A$30,0),0),1)-1,""))</f>
        <v/>
      </c>
      <c r="BL551" s="42" t="str">
        <f aca="false">IF(OR(BK551="",$E551=""),"",BK551-$E551)</f>
        <v/>
      </c>
      <c r="BM551" s="39"/>
      <c r="BN551" s="40" t="str">
        <f aca="false">IF(OR(BM551="",CG551=""),"",BM551/CG551*100)</f>
        <v/>
      </c>
      <c r="BO551" s="41" t="str">
        <f aca="false">IF(BN551="","",IFERROR(MATCH(BN551,INDEX(Boundaries!$B$2:$I$30,MATCH(CU551,Boundaries!$A$2:$A$30,0),0),1)-1,""))</f>
        <v/>
      </c>
      <c r="BP551" s="42" t="str">
        <f aca="false">IF(OR(BO551="",$E551=""),"",BO551-$E551)</f>
        <v/>
      </c>
      <c r="BQ551" s="39"/>
      <c r="BR551" s="40" t="str">
        <f aca="false">IF(OR(BQ551="",CH551=""),"",BQ551/CH551*100)</f>
        <v/>
      </c>
      <c r="BS551" s="41" t="str">
        <f aca="false">IF(BR551="","",IFERROR(MATCH(BR551,INDEX(Boundaries!$B$2:$I$30,MATCH(CV551,Boundaries!$A$2:$A$30,0),0),1)-1,""))</f>
        <v/>
      </c>
      <c r="BT551" s="42" t="str">
        <f aca="false">IF(OR(BS551="",$E551=""),"",BS551-$E551)</f>
        <v/>
      </c>
      <c r="BU551" s="28" t="str">
        <f aca="false">IFERROR(INDEX(Assessments!$H$2:$H$600,MATCH($H551&amp;"|"&amp;$I551&amp;"|"&amp;$J551&amp;"|"&amp;1,Assessments!$A$2:$A$600,0)),"")</f>
        <v/>
      </c>
      <c r="BV551" s="28" t="str">
        <f aca="false">IFERROR(INDEX(Assessments!$H$2:$H$600,MATCH($H551&amp;"|"&amp;$I551&amp;"|"&amp;$J551&amp;"|"&amp;2,Assessments!$A$2:$A$600,0)),"")</f>
        <v/>
      </c>
      <c r="BW551" s="28" t="str">
        <f aca="false">IFERROR(INDEX(Assessments!$H$2:$H$600,MATCH($H551&amp;"|"&amp;$I551&amp;"|"&amp;$J551&amp;"|"&amp;3,Assessments!$A$2:$A$600,0)),"")</f>
        <v/>
      </c>
      <c r="BX551" s="28" t="str">
        <f aca="false">IFERROR(INDEX(Assessments!$H$2:$H$600,MATCH($H551&amp;"|"&amp;$I551&amp;"|"&amp;$J551&amp;"|"&amp;4,Assessments!$A$2:$A$600,0)),"")</f>
        <v/>
      </c>
      <c r="BY551" s="28" t="str">
        <f aca="false">IFERROR(INDEX(Assessments!$H$2:$H$600,MATCH($H551&amp;"|"&amp;$I551&amp;"|"&amp;$J551&amp;"|"&amp;5,Assessments!$A$2:$A$600,0)),"")</f>
        <v/>
      </c>
      <c r="BZ551" s="28" t="str">
        <f aca="false">IFERROR(INDEX(Assessments!$H$2:$H$600,MATCH($H551&amp;"|"&amp;$I551&amp;"|"&amp;$J551&amp;"|"&amp;6,Assessments!$A$2:$A$600,0)),"")</f>
        <v/>
      </c>
      <c r="CA551" s="28" t="str">
        <f aca="false">IFERROR(INDEX(Assessments!$H$2:$H$600,MATCH($H551&amp;"|"&amp;$I551&amp;"|"&amp;$J551&amp;"|"&amp;7,Assessments!$A$2:$A$600,0)),"")</f>
        <v/>
      </c>
      <c r="CB551" s="28" t="str">
        <f aca="false">IFERROR(INDEX(Assessments!$H$2:$H$600,MATCH($H551&amp;"|"&amp;$I551&amp;"|"&amp;$J551&amp;"|"&amp;8,Assessments!$A$2:$A$600,0)),"")</f>
        <v/>
      </c>
      <c r="CC551" s="28" t="str">
        <f aca="false">IFERROR(INDEX(Assessments!$H$2:$H$600,MATCH($H551&amp;"|"&amp;$I551&amp;"|"&amp;$J551&amp;"|"&amp;9,Assessments!$A$2:$A$600,0)),"")</f>
        <v/>
      </c>
      <c r="CD551" s="28" t="str">
        <f aca="false">IFERROR(INDEX(Assessments!$H$2:$H$600,MATCH($H551&amp;"|"&amp;$I551&amp;"|"&amp;$J551&amp;"|"&amp;10,Assessments!$A$2:$A$600,0)),"")</f>
        <v/>
      </c>
      <c r="CE551" s="28" t="str">
        <f aca="false">IFERROR(INDEX(Assessments!$H$2:$H$600,MATCH($H551&amp;"|"&amp;$I551&amp;"|"&amp;$J551&amp;"|"&amp;11,Assessments!$A$2:$A$600,0)),"")</f>
        <v/>
      </c>
      <c r="CF551" s="28" t="str">
        <f aca="false">IFERROR(INDEX(Assessments!$H$2:$H$600,MATCH($H551&amp;"|"&amp;$I551&amp;"|"&amp;$J551&amp;"|"&amp;12,Assessments!$A$2:$A$600,0)),"")</f>
        <v/>
      </c>
      <c r="CG551" s="28" t="str">
        <f aca="false">IFERROR(INDEX(Assessments!$H$2:$H$600,MATCH($H551&amp;"|"&amp;$I551&amp;"|"&amp;$J551&amp;"|"&amp;13,Assessments!$A$2:$A$600,0)),"")</f>
        <v/>
      </c>
      <c r="CH551" s="28" t="str">
        <f aca="false">IFERROR(INDEX(Assessments!$H$2:$H$600,MATCH($H551&amp;"|"&amp;$I551&amp;"|"&amp;$J551&amp;"|"&amp;14,Assessments!$A$2:$A$600,0)),"")</f>
        <v/>
      </c>
      <c r="CI551" s="28" t="str">
        <f aca="false">IFERROR(INDEX(Assessments!$I$2:$I$600,MATCH($H551&amp;"|"&amp;$I551&amp;"|"&amp;$J551&amp;"|"&amp;1,Assessments!$A$2:$A$600,0)),"")</f>
        <v/>
      </c>
      <c r="CJ551" s="28" t="str">
        <f aca="false">IFERROR(INDEX(Assessments!$I$2:$I$600,MATCH($H551&amp;"|"&amp;$I551&amp;"|"&amp;$J551&amp;"|"&amp;2,Assessments!$A$2:$A$600,0)),"")</f>
        <v/>
      </c>
      <c r="CK551" s="28" t="str">
        <f aca="false">IFERROR(INDEX(Assessments!$I$2:$I$600,MATCH($H551&amp;"|"&amp;$I551&amp;"|"&amp;$J551&amp;"|"&amp;3,Assessments!$A$2:$A$600,0)),"")</f>
        <v/>
      </c>
      <c r="CL551" s="28" t="str">
        <f aca="false">IFERROR(INDEX(Assessments!$I$2:$I$600,MATCH($H551&amp;"|"&amp;$I551&amp;"|"&amp;$J551&amp;"|"&amp;4,Assessments!$A$2:$A$600,0)),"")</f>
        <v/>
      </c>
      <c r="CM551" s="28" t="str">
        <f aca="false">IFERROR(INDEX(Assessments!$I$2:$I$600,MATCH($H551&amp;"|"&amp;$I551&amp;"|"&amp;$J551&amp;"|"&amp;5,Assessments!$A$2:$A$600,0)),"")</f>
        <v/>
      </c>
      <c r="CN551" s="28" t="str">
        <f aca="false">IFERROR(INDEX(Assessments!$I$2:$I$600,MATCH($H551&amp;"|"&amp;$I551&amp;"|"&amp;$J551&amp;"|"&amp;6,Assessments!$A$2:$A$600,0)),"")</f>
        <v/>
      </c>
      <c r="CO551" s="28" t="str">
        <f aca="false">IFERROR(INDEX(Assessments!$I$2:$I$600,MATCH($H551&amp;"|"&amp;$I551&amp;"|"&amp;$J551&amp;"|"&amp;7,Assessments!$A$2:$A$600,0)),"")</f>
        <v/>
      </c>
      <c r="CP551" s="28" t="str">
        <f aca="false">IFERROR(INDEX(Assessments!$I$2:$I$600,MATCH($H551&amp;"|"&amp;$I551&amp;"|"&amp;$J551&amp;"|"&amp;8,Assessments!$A$2:$A$600,0)),"")</f>
        <v/>
      </c>
      <c r="CQ551" s="28" t="str">
        <f aca="false">IFERROR(INDEX(Assessments!$I$2:$I$600,MATCH($H551&amp;"|"&amp;$I551&amp;"|"&amp;$J551&amp;"|"&amp;9,Assessments!$A$2:$A$600,0)),"")</f>
        <v/>
      </c>
      <c r="CR551" s="28" t="str">
        <f aca="false">IFERROR(INDEX(Assessments!$I$2:$I$600,MATCH($H551&amp;"|"&amp;$I551&amp;"|"&amp;$J551&amp;"|"&amp;10,Assessments!$A$2:$A$600,0)),"")</f>
        <v/>
      </c>
      <c r="CS551" s="28" t="str">
        <f aca="false">IFERROR(INDEX(Assessments!$I$2:$I$600,MATCH($H551&amp;"|"&amp;$I551&amp;"|"&amp;$J551&amp;"|"&amp;11,Assessments!$A$2:$A$600,0)),"")</f>
        <v/>
      </c>
      <c r="CT551" s="28" t="str">
        <f aca="false">IFERROR(INDEX(Assessments!$I$2:$I$600,MATCH($H551&amp;"|"&amp;$I551&amp;"|"&amp;$J551&amp;"|"&amp;12,Assessments!$A$2:$A$600,0)),"")</f>
        <v/>
      </c>
      <c r="CU551" s="28" t="str">
        <f aca="false">IFERROR(INDEX(Assessments!$I$2:$I$600,MATCH($H551&amp;"|"&amp;$I551&amp;"|"&amp;$J551&amp;"|"&amp;13,Assessments!$A$2:$A$600,0)),"")</f>
        <v/>
      </c>
      <c r="CV551" s="28" t="str">
        <f aca="false">IFERROR(INDEX(Assessments!$I$2:$I$600,MATCH($H551&amp;"|"&amp;$I551&amp;"|"&amp;$J551&amp;"|"&amp;14,Assessments!$A$2:$A$600,0)),"")</f>
        <v/>
      </c>
      <c r="CW551" s="28" t="n">
        <f aca="false">IFERROR(INDEX(Assessments!$J$2:$J$600,MATCH($H551&amp;"|"&amp;$I551&amp;"|"&amp;$J551&amp;"|"&amp;1,Assessments!$A$2:$A$600,0)),0)</f>
        <v>0</v>
      </c>
      <c r="CX551" s="28" t="n">
        <f aca="false">IFERROR(INDEX(Assessments!$J$2:$J$600,MATCH($H551&amp;"|"&amp;$I551&amp;"|"&amp;$J551&amp;"|"&amp;2,Assessments!$A$2:$A$600,0)),0)</f>
        <v>0</v>
      </c>
      <c r="CY551" s="28" t="n">
        <f aca="false">IFERROR(INDEX(Assessments!$J$2:$J$600,MATCH($H551&amp;"|"&amp;$I551&amp;"|"&amp;$J551&amp;"|"&amp;3,Assessments!$A$2:$A$600,0)),0)</f>
        <v>0</v>
      </c>
      <c r="CZ551" s="28" t="n">
        <f aca="false">IFERROR(INDEX(Assessments!$J$2:$J$600,MATCH($H551&amp;"|"&amp;$I551&amp;"|"&amp;$J551&amp;"|"&amp;4,Assessments!$A$2:$A$600,0)),0)</f>
        <v>0</v>
      </c>
      <c r="DA551" s="28" t="n">
        <f aca="false">IFERROR(INDEX(Assessments!$J$2:$J$600,MATCH($H551&amp;"|"&amp;$I551&amp;"|"&amp;$J551&amp;"|"&amp;5,Assessments!$A$2:$A$600,0)),0)</f>
        <v>0</v>
      </c>
      <c r="DB551" s="28" t="n">
        <f aca="false">IFERROR(INDEX(Assessments!$J$2:$J$600,MATCH($H551&amp;"|"&amp;$I551&amp;"|"&amp;$J551&amp;"|"&amp;6,Assessments!$A$2:$A$600,0)),0)</f>
        <v>0</v>
      </c>
      <c r="DC551" s="28" t="n">
        <f aca="false">IFERROR(INDEX(Assessments!$J$2:$J$600,MATCH($H551&amp;"|"&amp;$I551&amp;"|"&amp;$J551&amp;"|"&amp;7,Assessments!$A$2:$A$600,0)),0)</f>
        <v>0</v>
      </c>
      <c r="DD551" s="28" t="n">
        <f aca="false">IFERROR(INDEX(Assessments!$J$2:$J$600,MATCH($H551&amp;"|"&amp;$I551&amp;"|"&amp;$J551&amp;"|"&amp;8,Assessments!$A$2:$A$600,0)),0)</f>
        <v>0</v>
      </c>
      <c r="DE551" s="28" t="n">
        <f aca="false">IFERROR(INDEX(Assessments!$J$2:$J$600,MATCH($H551&amp;"|"&amp;$I551&amp;"|"&amp;$J551&amp;"|"&amp;9,Assessments!$A$2:$A$600,0)),0)</f>
        <v>0</v>
      </c>
      <c r="DF551" s="28" t="n">
        <f aca="false">IFERROR(INDEX(Assessments!$J$2:$J$600,MATCH($H551&amp;"|"&amp;$I551&amp;"|"&amp;$J551&amp;"|"&amp;10,Assessments!$A$2:$A$600,0)),0)</f>
        <v>0</v>
      </c>
      <c r="DG551" s="28" t="n">
        <f aca="false">IFERROR(INDEX(Assessments!$J$2:$J$600,MATCH($H551&amp;"|"&amp;$I551&amp;"|"&amp;$J551&amp;"|"&amp;11,Assessments!$A$2:$A$600,0)),0)</f>
        <v>0</v>
      </c>
      <c r="DH551" s="28" t="n">
        <f aca="false">IFERROR(INDEX(Assessments!$J$2:$J$600,MATCH($H551&amp;"|"&amp;$I551&amp;"|"&amp;$J551&amp;"|"&amp;12,Assessments!$A$2:$A$600,0)),0)</f>
        <v>0</v>
      </c>
      <c r="DI551" s="28" t="n">
        <f aca="false">IFERROR(INDEX(Assessments!$J$2:$J$600,MATCH($H551&amp;"|"&amp;$I551&amp;"|"&amp;$J551&amp;"|"&amp;13,Assessments!$A$2:$A$600,0)),0)</f>
        <v>0</v>
      </c>
      <c r="DJ551" s="28" t="n">
        <f aca="false">IFERROR(INDEX(Assessments!$J$2:$J$600,MATCH($H551&amp;"|"&amp;$I551&amp;"|"&amp;$J551&amp;"|"&amp;14,Assessments!$A$2:$A$600,0)),0)</f>
        <v>0</v>
      </c>
      <c r="DK551" s="28" t="str">
        <f aca="false">S551</f>
        <v/>
      </c>
      <c r="DL551" s="28" t="str">
        <f aca="false">W551</f>
        <v/>
      </c>
      <c r="DM551" s="28" t="str">
        <f aca="false">AA551</f>
        <v/>
      </c>
      <c r="DN551" s="28" t="str">
        <f aca="false">AE551</f>
        <v/>
      </c>
      <c r="DO551" s="28" t="str">
        <f aca="false">AI551</f>
        <v/>
      </c>
      <c r="DP551" s="28" t="str">
        <f aca="false">AM551</f>
        <v/>
      </c>
      <c r="DQ551" s="28" t="str">
        <f aca="false">AQ551</f>
        <v/>
      </c>
      <c r="DR551" s="28" t="str">
        <f aca="false">AU551</f>
        <v/>
      </c>
      <c r="DS551" s="28" t="str">
        <f aca="false">AY551</f>
        <v/>
      </c>
      <c r="DT551" s="28" t="str">
        <f aca="false">BC551</f>
        <v/>
      </c>
      <c r="DU551" s="28" t="str">
        <f aca="false">BG551</f>
        <v/>
      </c>
      <c r="DV551" s="28" t="str">
        <f aca="false">BK551</f>
        <v/>
      </c>
      <c r="DW551" s="28" t="str">
        <f aca="false">BO551</f>
        <v/>
      </c>
      <c r="DX551" s="28" t="str">
        <f aca="false">BS551</f>
        <v/>
      </c>
      <c r="DY551" s="28" t="str">
        <f aca="false">IF(ISNUMBER(S551),1,"")</f>
        <v/>
      </c>
      <c r="DZ551" s="28" t="str">
        <f aca="false">IF(ISNUMBER(W551),2,"")</f>
        <v/>
      </c>
      <c r="EA551" s="28" t="str">
        <f aca="false">IF(ISNUMBER(AA551),3,"")</f>
        <v/>
      </c>
      <c r="EB551" s="28" t="str">
        <f aca="false">IF(ISNUMBER(AE551),4,"")</f>
        <v/>
      </c>
      <c r="EC551" s="28" t="str">
        <f aca="false">IF(ISNUMBER(AI551),5,"")</f>
        <v/>
      </c>
      <c r="ED551" s="28" t="str">
        <f aca="false">IF(ISNUMBER(AM551),6,"")</f>
        <v/>
      </c>
      <c r="EE551" s="28" t="str">
        <f aca="false">IF(ISNUMBER(AQ551),7,"")</f>
        <v/>
      </c>
      <c r="EF551" s="28" t="str">
        <f aca="false">IF(ISNUMBER(AU551),8,"")</f>
        <v/>
      </c>
      <c r="EG551" s="28" t="str">
        <f aca="false">IF(ISNUMBER(AY551),9,"")</f>
        <v/>
      </c>
      <c r="EH551" s="28" t="str">
        <f aca="false">IF(ISNUMBER(BC551),10,"")</f>
        <v/>
      </c>
      <c r="EI551" s="28" t="str">
        <f aca="false">IF(ISNUMBER(BG551),11,"")</f>
        <v/>
      </c>
      <c r="EJ551" s="28" t="str">
        <f aca="false">IF(ISNUMBER(BK551),12,"")</f>
        <v/>
      </c>
      <c r="EK551" s="28" t="str">
        <f aca="false">IF(ISNUMBER(BO551),13,"")</f>
        <v/>
      </c>
      <c r="EL551" s="28" t="str">
        <f aca="false">IF(ISNUMBER(BS551),14,"")</f>
        <v/>
      </c>
      <c r="EM551" s="28" t="n">
        <f aca="false">IF(ISNUMBER(R551),R551*CW551,0)</f>
        <v>0</v>
      </c>
      <c r="EN551" s="28" t="n">
        <f aca="false">IF(ISNUMBER(V551),V551*CX551,0)</f>
        <v>0</v>
      </c>
      <c r="EO551" s="28" t="n">
        <f aca="false">IF(ISNUMBER(Z551),Z551*CY551,0)</f>
        <v>0</v>
      </c>
      <c r="EP551" s="28" t="n">
        <f aca="false">IF(ISNUMBER(AD551),AD551*CZ551,0)</f>
        <v>0</v>
      </c>
      <c r="EQ551" s="28" t="n">
        <f aca="false">IF(ISNUMBER(AH551),AH551*DA551,0)</f>
        <v>0</v>
      </c>
      <c r="ER551" s="28" t="n">
        <f aca="false">IF(ISNUMBER(AL551),AL551*DB551,0)</f>
        <v>0</v>
      </c>
      <c r="ES551" s="28" t="n">
        <f aca="false">IF(ISNUMBER(AP551),AP551*DC551,0)</f>
        <v>0</v>
      </c>
      <c r="ET551" s="28" t="n">
        <f aca="false">IF(ISNUMBER(AT551),AT551*DD551,0)</f>
        <v>0</v>
      </c>
      <c r="EU551" s="28" t="n">
        <f aca="false">IF(ISNUMBER(AX551),AX551*DE551,0)</f>
        <v>0</v>
      </c>
      <c r="EV551" s="28" t="n">
        <f aca="false">IF(ISNUMBER(BB551),BB551*DF551,0)</f>
        <v>0</v>
      </c>
      <c r="EW551" s="28" t="n">
        <f aca="false">IF(ISNUMBER(BF551),BF551*DG551,0)</f>
        <v>0</v>
      </c>
      <c r="EX551" s="28" t="n">
        <f aca="false">IF(ISNUMBER(BJ551),BJ551*DH551,0)</f>
        <v>0</v>
      </c>
      <c r="EY551" s="28" t="n">
        <f aca="false">IF(ISNUMBER(BN551),BN551*DI551,0)</f>
        <v>0</v>
      </c>
      <c r="EZ551" s="28" t="n">
        <f aca="false">IF(ISNUMBER(BR551),BR551*DJ551,0)</f>
        <v>0</v>
      </c>
      <c r="FA551" s="28" t="n">
        <f aca="false">IF(ISNUMBER(R551),CW551,0)</f>
        <v>0</v>
      </c>
      <c r="FB551" s="28" t="n">
        <f aca="false">IF(ISNUMBER(V551),CX551,0)</f>
        <v>0</v>
      </c>
      <c r="FC551" s="28" t="n">
        <f aca="false">IF(ISNUMBER(Z551),CY551,0)</f>
        <v>0</v>
      </c>
      <c r="FD551" s="28" t="n">
        <f aca="false">IF(ISNUMBER(AD551),CZ551,0)</f>
        <v>0</v>
      </c>
      <c r="FE551" s="28" t="n">
        <f aca="false">IF(ISNUMBER(AH551),DA551,0)</f>
        <v>0</v>
      </c>
      <c r="FF551" s="28" t="n">
        <f aca="false">IF(ISNUMBER(AL551),DB551,0)</f>
        <v>0</v>
      </c>
      <c r="FG551" s="28" t="n">
        <f aca="false">IF(ISNUMBER(AP551),DC551,0)</f>
        <v>0</v>
      </c>
      <c r="FH551" s="28" t="n">
        <f aca="false">IF(ISNUMBER(AT551),DD551,0)</f>
        <v>0</v>
      </c>
      <c r="FI551" s="28" t="n">
        <f aca="false">IF(ISNUMBER(AX551),DE551,0)</f>
        <v>0</v>
      </c>
      <c r="FJ551" s="28" t="n">
        <f aca="false">IF(ISNUMBER(BB551),DF551,0)</f>
        <v>0</v>
      </c>
      <c r="FK551" s="28" t="n">
        <f aca="false">IF(ISNUMBER(BF551),DG551,0)</f>
        <v>0</v>
      </c>
      <c r="FL551" s="28" t="n">
        <f aca="false">IF(ISNUMBER(BJ551),DH551,0)</f>
        <v>0</v>
      </c>
      <c r="FM551" s="28" t="n">
        <f aca="false">IF(ISNUMBER(BN551),DI551,0)</f>
        <v>0</v>
      </c>
      <c r="FN551" s="28" t="n">
        <f aca="false">IF(ISNUMBER(BR551),DJ551,0)</f>
        <v>0</v>
      </c>
      <c r="FO551" s="28" t="str">
        <f aca="false">IFERROR(INDEX(Lists!$G$2:$G$20,MATCH($I551&amp;"|"&amp;$J551,Lists!$F$2:$F$20,0)),"")</f>
        <v/>
      </c>
    </row>
    <row r="552" customFormat="false" ht="19.5" hidden="false" customHeight="true" outlineLevel="0" collapsed="false">
      <c r="A552" s="29"/>
      <c r="B552" s="29"/>
      <c r="C552" s="30"/>
      <c r="D552" s="30"/>
      <c r="E552" s="31"/>
      <c r="F552" s="30"/>
      <c r="G552" s="30"/>
      <c r="H552" s="32"/>
      <c r="I552" s="33"/>
      <c r="J552" s="32"/>
      <c r="K552" s="34" t="str">
        <f aca="false">IF(OR(M552="",$E552=""),"",M552-$E552)</f>
        <v/>
      </c>
      <c r="L552" s="35" t="str">
        <f aca="false">IF(SUM(FA552:FN552)=0,"",SUM(EM552:EZ552)/SUM(FA552:FN552))</f>
        <v/>
      </c>
      <c r="M552" s="36" t="str">
        <f aca="false">IF(OR(L552="",FO552=""),"",IFERROR(MATCH(L552,INDEX(Boundaries!$B$2:$I$30,MATCH(FO552,Boundaries!$A$2:$A$30,0),0),1)-1,""))</f>
        <v/>
      </c>
      <c r="N552" s="37" t="str">
        <f aca="false">IF(COUNT($DY552:$EL552)&lt;2,"",INDEX($DK552:$DX552,MAX($DY552:$EL552))-INDEX($DK552:$DX552,MIN($DY552:$EL552)))</f>
        <v/>
      </c>
      <c r="O552" s="37" t="str">
        <f aca="false">IF(COUNT($DY552:$EL552)&lt;2,"",INDEX($DK552:$DX552,MAX($DY552:$EL552))-INDEX($DK552:$DX552,LARGE($DY552:$EL552,2)))</f>
        <v/>
      </c>
      <c r="P552" s="38" t="str">
        <f aca="false">IF(K552="","",IF(K552&gt;=0,"On/above target",IF(AND(N552&lt;&gt;"",N552&gt;=0.5),"Improving towards target",IF(AND(O552&lt;&gt;"",O552&lt;=-0.5),"Declining","Stable below target"))))</f>
        <v/>
      </c>
      <c r="Q552" s="39"/>
      <c r="R552" s="40" t="str">
        <f aca="false">IF(OR(Q552="",BU552=""),"",Q552/BU552*100)</f>
        <v/>
      </c>
      <c r="S552" s="41" t="str">
        <f aca="false">IF(R552="","",IFERROR(MATCH(R552,INDEX(Boundaries!$B$2:$I$30,MATCH(CI552,Boundaries!$A$2:$A$30,0),0),1)-1,""))</f>
        <v/>
      </c>
      <c r="T552" s="42" t="str">
        <f aca="false">IF(OR(S552="",$E552=""),"",S552-$E552)</f>
        <v/>
      </c>
      <c r="U552" s="39"/>
      <c r="V552" s="40" t="str">
        <f aca="false">IF(OR(U552="",BV552=""),"",U552/BV552*100)</f>
        <v/>
      </c>
      <c r="W552" s="41" t="str">
        <f aca="false">IF(V552="","",IFERROR(MATCH(V552,INDEX(Boundaries!$B$2:$I$30,MATCH(CJ552,Boundaries!$A$2:$A$30,0),0),1)-1,""))</f>
        <v/>
      </c>
      <c r="X552" s="42" t="str">
        <f aca="false">IF(OR(W552="",$E552=""),"",W552-$E552)</f>
        <v/>
      </c>
      <c r="Y552" s="39"/>
      <c r="Z552" s="40" t="str">
        <f aca="false">IF(OR(Y552="",BW552=""),"",Y552/BW552*100)</f>
        <v/>
      </c>
      <c r="AA552" s="41" t="str">
        <f aca="false">IF(Z552="","",IFERROR(MATCH(Z552,INDEX(Boundaries!$B$2:$I$30,MATCH(CK552,Boundaries!$A$2:$A$30,0),0),1)-1,""))</f>
        <v/>
      </c>
      <c r="AB552" s="42" t="str">
        <f aca="false">IF(OR(AA552="",$E552=""),"",AA552-$E552)</f>
        <v/>
      </c>
      <c r="AC552" s="39"/>
      <c r="AD552" s="40" t="str">
        <f aca="false">IF(OR(AC552="",BX552=""),"",AC552/BX552*100)</f>
        <v/>
      </c>
      <c r="AE552" s="41" t="str">
        <f aca="false">IF(AD552="","",IFERROR(MATCH(AD552,INDEX(Boundaries!$B$2:$I$30,MATCH(CL552,Boundaries!$A$2:$A$30,0),0),1)-1,""))</f>
        <v/>
      </c>
      <c r="AF552" s="42" t="str">
        <f aca="false">IF(OR(AE552="",$E552=""),"",AE552-$E552)</f>
        <v/>
      </c>
      <c r="AG552" s="39"/>
      <c r="AH552" s="40" t="str">
        <f aca="false">IF(OR(AG552="",BY552=""),"",AG552/BY552*100)</f>
        <v/>
      </c>
      <c r="AI552" s="41" t="str">
        <f aca="false">IF(AH552="","",IFERROR(MATCH(AH552,INDEX(Boundaries!$B$2:$I$30,MATCH(CM552,Boundaries!$A$2:$A$30,0),0),1)-1,""))</f>
        <v/>
      </c>
      <c r="AJ552" s="42" t="str">
        <f aca="false">IF(OR(AI552="",$E552=""),"",AI552-$E552)</f>
        <v/>
      </c>
      <c r="AK552" s="39"/>
      <c r="AL552" s="40" t="str">
        <f aca="false">IF(OR(AK552="",BZ552=""),"",AK552/BZ552*100)</f>
        <v/>
      </c>
      <c r="AM552" s="41" t="str">
        <f aca="false">IF(AL552="","",IFERROR(MATCH(AL552,INDEX(Boundaries!$B$2:$I$30,MATCH(CN552,Boundaries!$A$2:$A$30,0),0),1)-1,""))</f>
        <v/>
      </c>
      <c r="AN552" s="42" t="str">
        <f aca="false">IF(OR(AM552="",$E552=""),"",AM552-$E552)</f>
        <v/>
      </c>
      <c r="AO552" s="39"/>
      <c r="AP552" s="40" t="str">
        <f aca="false">IF(OR(AO552="",CA552=""),"",AO552/CA552*100)</f>
        <v/>
      </c>
      <c r="AQ552" s="41" t="str">
        <f aca="false">IF(AP552="","",IFERROR(MATCH(AP552,INDEX(Boundaries!$B$2:$I$30,MATCH(CO552,Boundaries!$A$2:$A$30,0),0),1)-1,""))</f>
        <v/>
      </c>
      <c r="AR552" s="42" t="str">
        <f aca="false">IF(OR(AQ552="",$E552=""),"",AQ552-$E552)</f>
        <v/>
      </c>
      <c r="AS552" s="39"/>
      <c r="AT552" s="40" t="str">
        <f aca="false">IF(OR(AS552="",CB552=""),"",AS552/CB552*100)</f>
        <v/>
      </c>
      <c r="AU552" s="41" t="str">
        <f aca="false">IF(AT552="","",IFERROR(MATCH(AT552,INDEX(Boundaries!$B$2:$I$30,MATCH(CP552,Boundaries!$A$2:$A$30,0),0),1)-1,""))</f>
        <v/>
      </c>
      <c r="AV552" s="42" t="str">
        <f aca="false">IF(OR(AU552="",$E552=""),"",AU552-$E552)</f>
        <v/>
      </c>
      <c r="AW552" s="39"/>
      <c r="AX552" s="40" t="str">
        <f aca="false">IF(OR(AW552="",CC552=""),"",AW552/CC552*100)</f>
        <v/>
      </c>
      <c r="AY552" s="41" t="str">
        <f aca="false">IF(AX552="","",IFERROR(MATCH(AX552,INDEX(Boundaries!$B$2:$I$30,MATCH(CQ552,Boundaries!$A$2:$A$30,0),0),1)-1,""))</f>
        <v/>
      </c>
      <c r="AZ552" s="42" t="str">
        <f aca="false">IF(OR(AY552="",$E552=""),"",AY552-$E552)</f>
        <v/>
      </c>
      <c r="BA552" s="39"/>
      <c r="BB552" s="40" t="str">
        <f aca="false">IF(OR(BA552="",CD552=""),"",BA552/CD552*100)</f>
        <v/>
      </c>
      <c r="BC552" s="41" t="str">
        <f aca="false">IF(BB552="","",IFERROR(MATCH(BB552,INDEX(Boundaries!$B$2:$I$30,MATCH(CR552,Boundaries!$A$2:$A$30,0),0),1)-1,""))</f>
        <v/>
      </c>
      <c r="BD552" s="42" t="str">
        <f aca="false">IF(OR(BC552="",$E552=""),"",BC552-$E552)</f>
        <v/>
      </c>
      <c r="BE552" s="39"/>
      <c r="BF552" s="40" t="str">
        <f aca="false">IF(OR(BE552="",CE552=""),"",BE552/CE552*100)</f>
        <v/>
      </c>
      <c r="BG552" s="41" t="str">
        <f aca="false">IF(BF552="","",IFERROR(MATCH(BF552,INDEX(Boundaries!$B$2:$I$30,MATCH(CS552,Boundaries!$A$2:$A$30,0),0),1)-1,""))</f>
        <v/>
      </c>
      <c r="BH552" s="42" t="str">
        <f aca="false">IF(OR(BG552="",$E552=""),"",BG552-$E552)</f>
        <v/>
      </c>
      <c r="BI552" s="39"/>
      <c r="BJ552" s="40" t="str">
        <f aca="false">IF(OR(BI552="",CF552=""),"",BI552/CF552*100)</f>
        <v/>
      </c>
      <c r="BK552" s="41" t="str">
        <f aca="false">IF(BJ552="","",IFERROR(MATCH(BJ552,INDEX(Boundaries!$B$2:$I$30,MATCH(CT552,Boundaries!$A$2:$A$30,0),0),1)-1,""))</f>
        <v/>
      </c>
      <c r="BL552" s="42" t="str">
        <f aca="false">IF(OR(BK552="",$E552=""),"",BK552-$E552)</f>
        <v/>
      </c>
      <c r="BM552" s="39"/>
      <c r="BN552" s="40" t="str">
        <f aca="false">IF(OR(BM552="",CG552=""),"",BM552/CG552*100)</f>
        <v/>
      </c>
      <c r="BO552" s="41" t="str">
        <f aca="false">IF(BN552="","",IFERROR(MATCH(BN552,INDEX(Boundaries!$B$2:$I$30,MATCH(CU552,Boundaries!$A$2:$A$30,0),0),1)-1,""))</f>
        <v/>
      </c>
      <c r="BP552" s="42" t="str">
        <f aca="false">IF(OR(BO552="",$E552=""),"",BO552-$E552)</f>
        <v/>
      </c>
      <c r="BQ552" s="39"/>
      <c r="BR552" s="40" t="str">
        <f aca="false">IF(OR(BQ552="",CH552=""),"",BQ552/CH552*100)</f>
        <v/>
      </c>
      <c r="BS552" s="41" t="str">
        <f aca="false">IF(BR552="","",IFERROR(MATCH(BR552,INDEX(Boundaries!$B$2:$I$30,MATCH(CV552,Boundaries!$A$2:$A$30,0),0),1)-1,""))</f>
        <v/>
      </c>
      <c r="BT552" s="42" t="str">
        <f aca="false">IF(OR(BS552="",$E552=""),"",BS552-$E552)</f>
        <v/>
      </c>
      <c r="BU552" s="28" t="str">
        <f aca="false">IFERROR(INDEX(Assessments!$H$2:$H$600,MATCH($H552&amp;"|"&amp;$I552&amp;"|"&amp;$J552&amp;"|"&amp;1,Assessments!$A$2:$A$600,0)),"")</f>
        <v/>
      </c>
      <c r="BV552" s="28" t="str">
        <f aca="false">IFERROR(INDEX(Assessments!$H$2:$H$600,MATCH($H552&amp;"|"&amp;$I552&amp;"|"&amp;$J552&amp;"|"&amp;2,Assessments!$A$2:$A$600,0)),"")</f>
        <v/>
      </c>
      <c r="BW552" s="28" t="str">
        <f aca="false">IFERROR(INDEX(Assessments!$H$2:$H$600,MATCH($H552&amp;"|"&amp;$I552&amp;"|"&amp;$J552&amp;"|"&amp;3,Assessments!$A$2:$A$600,0)),"")</f>
        <v/>
      </c>
      <c r="BX552" s="28" t="str">
        <f aca="false">IFERROR(INDEX(Assessments!$H$2:$H$600,MATCH($H552&amp;"|"&amp;$I552&amp;"|"&amp;$J552&amp;"|"&amp;4,Assessments!$A$2:$A$600,0)),"")</f>
        <v/>
      </c>
      <c r="BY552" s="28" t="str">
        <f aca="false">IFERROR(INDEX(Assessments!$H$2:$H$600,MATCH($H552&amp;"|"&amp;$I552&amp;"|"&amp;$J552&amp;"|"&amp;5,Assessments!$A$2:$A$600,0)),"")</f>
        <v/>
      </c>
      <c r="BZ552" s="28" t="str">
        <f aca="false">IFERROR(INDEX(Assessments!$H$2:$H$600,MATCH($H552&amp;"|"&amp;$I552&amp;"|"&amp;$J552&amp;"|"&amp;6,Assessments!$A$2:$A$600,0)),"")</f>
        <v/>
      </c>
      <c r="CA552" s="28" t="str">
        <f aca="false">IFERROR(INDEX(Assessments!$H$2:$H$600,MATCH($H552&amp;"|"&amp;$I552&amp;"|"&amp;$J552&amp;"|"&amp;7,Assessments!$A$2:$A$600,0)),"")</f>
        <v/>
      </c>
      <c r="CB552" s="28" t="str">
        <f aca="false">IFERROR(INDEX(Assessments!$H$2:$H$600,MATCH($H552&amp;"|"&amp;$I552&amp;"|"&amp;$J552&amp;"|"&amp;8,Assessments!$A$2:$A$600,0)),"")</f>
        <v/>
      </c>
      <c r="CC552" s="28" t="str">
        <f aca="false">IFERROR(INDEX(Assessments!$H$2:$H$600,MATCH($H552&amp;"|"&amp;$I552&amp;"|"&amp;$J552&amp;"|"&amp;9,Assessments!$A$2:$A$600,0)),"")</f>
        <v/>
      </c>
      <c r="CD552" s="28" t="str">
        <f aca="false">IFERROR(INDEX(Assessments!$H$2:$H$600,MATCH($H552&amp;"|"&amp;$I552&amp;"|"&amp;$J552&amp;"|"&amp;10,Assessments!$A$2:$A$600,0)),"")</f>
        <v/>
      </c>
      <c r="CE552" s="28" t="str">
        <f aca="false">IFERROR(INDEX(Assessments!$H$2:$H$600,MATCH($H552&amp;"|"&amp;$I552&amp;"|"&amp;$J552&amp;"|"&amp;11,Assessments!$A$2:$A$600,0)),"")</f>
        <v/>
      </c>
      <c r="CF552" s="28" t="str">
        <f aca="false">IFERROR(INDEX(Assessments!$H$2:$H$600,MATCH($H552&amp;"|"&amp;$I552&amp;"|"&amp;$J552&amp;"|"&amp;12,Assessments!$A$2:$A$600,0)),"")</f>
        <v/>
      </c>
      <c r="CG552" s="28" t="str">
        <f aca="false">IFERROR(INDEX(Assessments!$H$2:$H$600,MATCH($H552&amp;"|"&amp;$I552&amp;"|"&amp;$J552&amp;"|"&amp;13,Assessments!$A$2:$A$600,0)),"")</f>
        <v/>
      </c>
      <c r="CH552" s="28" t="str">
        <f aca="false">IFERROR(INDEX(Assessments!$H$2:$H$600,MATCH($H552&amp;"|"&amp;$I552&amp;"|"&amp;$J552&amp;"|"&amp;14,Assessments!$A$2:$A$600,0)),"")</f>
        <v/>
      </c>
      <c r="CI552" s="28" t="str">
        <f aca="false">IFERROR(INDEX(Assessments!$I$2:$I$600,MATCH($H552&amp;"|"&amp;$I552&amp;"|"&amp;$J552&amp;"|"&amp;1,Assessments!$A$2:$A$600,0)),"")</f>
        <v/>
      </c>
      <c r="CJ552" s="28" t="str">
        <f aca="false">IFERROR(INDEX(Assessments!$I$2:$I$600,MATCH($H552&amp;"|"&amp;$I552&amp;"|"&amp;$J552&amp;"|"&amp;2,Assessments!$A$2:$A$600,0)),"")</f>
        <v/>
      </c>
      <c r="CK552" s="28" t="str">
        <f aca="false">IFERROR(INDEX(Assessments!$I$2:$I$600,MATCH($H552&amp;"|"&amp;$I552&amp;"|"&amp;$J552&amp;"|"&amp;3,Assessments!$A$2:$A$600,0)),"")</f>
        <v/>
      </c>
      <c r="CL552" s="28" t="str">
        <f aca="false">IFERROR(INDEX(Assessments!$I$2:$I$600,MATCH($H552&amp;"|"&amp;$I552&amp;"|"&amp;$J552&amp;"|"&amp;4,Assessments!$A$2:$A$600,0)),"")</f>
        <v/>
      </c>
      <c r="CM552" s="28" t="str">
        <f aca="false">IFERROR(INDEX(Assessments!$I$2:$I$600,MATCH($H552&amp;"|"&amp;$I552&amp;"|"&amp;$J552&amp;"|"&amp;5,Assessments!$A$2:$A$600,0)),"")</f>
        <v/>
      </c>
      <c r="CN552" s="28" t="str">
        <f aca="false">IFERROR(INDEX(Assessments!$I$2:$I$600,MATCH($H552&amp;"|"&amp;$I552&amp;"|"&amp;$J552&amp;"|"&amp;6,Assessments!$A$2:$A$600,0)),"")</f>
        <v/>
      </c>
      <c r="CO552" s="28" t="str">
        <f aca="false">IFERROR(INDEX(Assessments!$I$2:$I$600,MATCH($H552&amp;"|"&amp;$I552&amp;"|"&amp;$J552&amp;"|"&amp;7,Assessments!$A$2:$A$600,0)),"")</f>
        <v/>
      </c>
      <c r="CP552" s="28" t="str">
        <f aca="false">IFERROR(INDEX(Assessments!$I$2:$I$600,MATCH($H552&amp;"|"&amp;$I552&amp;"|"&amp;$J552&amp;"|"&amp;8,Assessments!$A$2:$A$600,0)),"")</f>
        <v/>
      </c>
      <c r="CQ552" s="28" t="str">
        <f aca="false">IFERROR(INDEX(Assessments!$I$2:$I$600,MATCH($H552&amp;"|"&amp;$I552&amp;"|"&amp;$J552&amp;"|"&amp;9,Assessments!$A$2:$A$600,0)),"")</f>
        <v/>
      </c>
      <c r="CR552" s="28" t="str">
        <f aca="false">IFERROR(INDEX(Assessments!$I$2:$I$600,MATCH($H552&amp;"|"&amp;$I552&amp;"|"&amp;$J552&amp;"|"&amp;10,Assessments!$A$2:$A$600,0)),"")</f>
        <v/>
      </c>
      <c r="CS552" s="28" t="str">
        <f aca="false">IFERROR(INDEX(Assessments!$I$2:$I$600,MATCH($H552&amp;"|"&amp;$I552&amp;"|"&amp;$J552&amp;"|"&amp;11,Assessments!$A$2:$A$600,0)),"")</f>
        <v/>
      </c>
      <c r="CT552" s="28" t="str">
        <f aca="false">IFERROR(INDEX(Assessments!$I$2:$I$600,MATCH($H552&amp;"|"&amp;$I552&amp;"|"&amp;$J552&amp;"|"&amp;12,Assessments!$A$2:$A$600,0)),"")</f>
        <v/>
      </c>
      <c r="CU552" s="28" t="str">
        <f aca="false">IFERROR(INDEX(Assessments!$I$2:$I$600,MATCH($H552&amp;"|"&amp;$I552&amp;"|"&amp;$J552&amp;"|"&amp;13,Assessments!$A$2:$A$600,0)),"")</f>
        <v/>
      </c>
      <c r="CV552" s="28" t="str">
        <f aca="false">IFERROR(INDEX(Assessments!$I$2:$I$600,MATCH($H552&amp;"|"&amp;$I552&amp;"|"&amp;$J552&amp;"|"&amp;14,Assessments!$A$2:$A$600,0)),"")</f>
        <v/>
      </c>
      <c r="CW552" s="28" t="n">
        <f aca="false">IFERROR(INDEX(Assessments!$J$2:$J$600,MATCH($H552&amp;"|"&amp;$I552&amp;"|"&amp;$J552&amp;"|"&amp;1,Assessments!$A$2:$A$600,0)),0)</f>
        <v>0</v>
      </c>
      <c r="CX552" s="28" t="n">
        <f aca="false">IFERROR(INDEX(Assessments!$J$2:$J$600,MATCH($H552&amp;"|"&amp;$I552&amp;"|"&amp;$J552&amp;"|"&amp;2,Assessments!$A$2:$A$600,0)),0)</f>
        <v>0</v>
      </c>
      <c r="CY552" s="28" t="n">
        <f aca="false">IFERROR(INDEX(Assessments!$J$2:$J$600,MATCH($H552&amp;"|"&amp;$I552&amp;"|"&amp;$J552&amp;"|"&amp;3,Assessments!$A$2:$A$600,0)),0)</f>
        <v>0</v>
      </c>
      <c r="CZ552" s="28" t="n">
        <f aca="false">IFERROR(INDEX(Assessments!$J$2:$J$600,MATCH($H552&amp;"|"&amp;$I552&amp;"|"&amp;$J552&amp;"|"&amp;4,Assessments!$A$2:$A$600,0)),0)</f>
        <v>0</v>
      </c>
      <c r="DA552" s="28" t="n">
        <f aca="false">IFERROR(INDEX(Assessments!$J$2:$J$600,MATCH($H552&amp;"|"&amp;$I552&amp;"|"&amp;$J552&amp;"|"&amp;5,Assessments!$A$2:$A$600,0)),0)</f>
        <v>0</v>
      </c>
      <c r="DB552" s="28" t="n">
        <f aca="false">IFERROR(INDEX(Assessments!$J$2:$J$600,MATCH($H552&amp;"|"&amp;$I552&amp;"|"&amp;$J552&amp;"|"&amp;6,Assessments!$A$2:$A$600,0)),0)</f>
        <v>0</v>
      </c>
      <c r="DC552" s="28" t="n">
        <f aca="false">IFERROR(INDEX(Assessments!$J$2:$J$600,MATCH($H552&amp;"|"&amp;$I552&amp;"|"&amp;$J552&amp;"|"&amp;7,Assessments!$A$2:$A$600,0)),0)</f>
        <v>0</v>
      </c>
      <c r="DD552" s="28" t="n">
        <f aca="false">IFERROR(INDEX(Assessments!$J$2:$J$600,MATCH($H552&amp;"|"&amp;$I552&amp;"|"&amp;$J552&amp;"|"&amp;8,Assessments!$A$2:$A$600,0)),0)</f>
        <v>0</v>
      </c>
      <c r="DE552" s="28" t="n">
        <f aca="false">IFERROR(INDEX(Assessments!$J$2:$J$600,MATCH($H552&amp;"|"&amp;$I552&amp;"|"&amp;$J552&amp;"|"&amp;9,Assessments!$A$2:$A$600,0)),0)</f>
        <v>0</v>
      </c>
      <c r="DF552" s="28" t="n">
        <f aca="false">IFERROR(INDEX(Assessments!$J$2:$J$600,MATCH($H552&amp;"|"&amp;$I552&amp;"|"&amp;$J552&amp;"|"&amp;10,Assessments!$A$2:$A$600,0)),0)</f>
        <v>0</v>
      </c>
      <c r="DG552" s="28" t="n">
        <f aca="false">IFERROR(INDEX(Assessments!$J$2:$J$600,MATCH($H552&amp;"|"&amp;$I552&amp;"|"&amp;$J552&amp;"|"&amp;11,Assessments!$A$2:$A$600,0)),0)</f>
        <v>0</v>
      </c>
      <c r="DH552" s="28" t="n">
        <f aca="false">IFERROR(INDEX(Assessments!$J$2:$J$600,MATCH($H552&amp;"|"&amp;$I552&amp;"|"&amp;$J552&amp;"|"&amp;12,Assessments!$A$2:$A$600,0)),0)</f>
        <v>0</v>
      </c>
      <c r="DI552" s="28" t="n">
        <f aca="false">IFERROR(INDEX(Assessments!$J$2:$J$600,MATCH($H552&amp;"|"&amp;$I552&amp;"|"&amp;$J552&amp;"|"&amp;13,Assessments!$A$2:$A$600,0)),0)</f>
        <v>0</v>
      </c>
      <c r="DJ552" s="28" t="n">
        <f aca="false">IFERROR(INDEX(Assessments!$J$2:$J$600,MATCH($H552&amp;"|"&amp;$I552&amp;"|"&amp;$J552&amp;"|"&amp;14,Assessments!$A$2:$A$600,0)),0)</f>
        <v>0</v>
      </c>
      <c r="DK552" s="28" t="str">
        <f aca="false">S552</f>
        <v/>
      </c>
      <c r="DL552" s="28" t="str">
        <f aca="false">W552</f>
        <v/>
      </c>
      <c r="DM552" s="28" t="str">
        <f aca="false">AA552</f>
        <v/>
      </c>
      <c r="DN552" s="28" t="str">
        <f aca="false">AE552</f>
        <v/>
      </c>
      <c r="DO552" s="28" t="str">
        <f aca="false">AI552</f>
        <v/>
      </c>
      <c r="DP552" s="28" t="str">
        <f aca="false">AM552</f>
        <v/>
      </c>
      <c r="DQ552" s="28" t="str">
        <f aca="false">AQ552</f>
        <v/>
      </c>
      <c r="DR552" s="28" t="str">
        <f aca="false">AU552</f>
        <v/>
      </c>
      <c r="DS552" s="28" t="str">
        <f aca="false">AY552</f>
        <v/>
      </c>
      <c r="DT552" s="28" t="str">
        <f aca="false">BC552</f>
        <v/>
      </c>
      <c r="DU552" s="28" t="str">
        <f aca="false">BG552</f>
        <v/>
      </c>
      <c r="DV552" s="28" t="str">
        <f aca="false">BK552</f>
        <v/>
      </c>
      <c r="DW552" s="28" t="str">
        <f aca="false">BO552</f>
        <v/>
      </c>
      <c r="DX552" s="28" t="str">
        <f aca="false">BS552</f>
        <v/>
      </c>
      <c r="DY552" s="28" t="str">
        <f aca="false">IF(ISNUMBER(S552),1,"")</f>
        <v/>
      </c>
      <c r="DZ552" s="28" t="str">
        <f aca="false">IF(ISNUMBER(W552),2,"")</f>
        <v/>
      </c>
      <c r="EA552" s="28" t="str">
        <f aca="false">IF(ISNUMBER(AA552),3,"")</f>
        <v/>
      </c>
      <c r="EB552" s="28" t="str">
        <f aca="false">IF(ISNUMBER(AE552),4,"")</f>
        <v/>
      </c>
      <c r="EC552" s="28" t="str">
        <f aca="false">IF(ISNUMBER(AI552),5,"")</f>
        <v/>
      </c>
      <c r="ED552" s="28" t="str">
        <f aca="false">IF(ISNUMBER(AM552),6,"")</f>
        <v/>
      </c>
      <c r="EE552" s="28" t="str">
        <f aca="false">IF(ISNUMBER(AQ552),7,"")</f>
        <v/>
      </c>
      <c r="EF552" s="28" t="str">
        <f aca="false">IF(ISNUMBER(AU552),8,"")</f>
        <v/>
      </c>
      <c r="EG552" s="28" t="str">
        <f aca="false">IF(ISNUMBER(AY552),9,"")</f>
        <v/>
      </c>
      <c r="EH552" s="28" t="str">
        <f aca="false">IF(ISNUMBER(BC552),10,"")</f>
        <v/>
      </c>
      <c r="EI552" s="28" t="str">
        <f aca="false">IF(ISNUMBER(BG552),11,"")</f>
        <v/>
      </c>
      <c r="EJ552" s="28" t="str">
        <f aca="false">IF(ISNUMBER(BK552),12,"")</f>
        <v/>
      </c>
      <c r="EK552" s="28" t="str">
        <f aca="false">IF(ISNUMBER(BO552),13,"")</f>
        <v/>
      </c>
      <c r="EL552" s="28" t="str">
        <f aca="false">IF(ISNUMBER(BS552),14,"")</f>
        <v/>
      </c>
      <c r="EM552" s="28" t="n">
        <f aca="false">IF(ISNUMBER(R552),R552*CW552,0)</f>
        <v>0</v>
      </c>
      <c r="EN552" s="28" t="n">
        <f aca="false">IF(ISNUMBER(V552),V552*CX552,0)</f>
        <v>0</v>
      </c>
      <c r="EO552" s="28" t="n">
        <f aca="false">IF(ISNUMBER(Z552),Z552*CY552,0)</f>
        <v>0</v>
      </c>
      <c r="EP552" s="28" t="n">
        <f aca="false">IF(ISNUMBER(AD552),AD552*CZ552,0)</f>
        <v>0</v>
      </c>
      <c r="EQ552" s="28" t="n">
        <f aca="false">IF(ISNUMBER(AH552),AH552*DA552,0)</f>
        <v>0</v>
      </c>
      <c r="ER552" s="28" t="n">
        <f aca="false">IF(ISNUMBER(AL552),AL552*DB552,0)</f>
        <v>0</v>
      </c>
      <c r="ES552" s="28" t="n">
        <f aca="false">IF(ISNUMBER(AP552),AP552*DC552,0)</f>
        <v>0</v>
      </c>
      <c r="ET552" s="28" t="n">
        <f aca="false">IF(ISNUMBER(AT552),AT552*DD552,0)</f>
        <v>0</v>
      </c>
      <c r="EU552" s="28" t="n">
        <f aca="false">IF(ISNUMBER(AX552),AX552*DE552,0)</f>
        <v>0</v>
      </c>
      <c r="EV552" s="28" t="n">
        <f aca="false">IF(ISNUMBER(BB552),BB552*DF552,0)</f>
        <v>0</v>
      </c>
      <c r="EW552" s="28" t="n">
        <f aca="false">IF(ISNUMBER(BF552),BF552*DG552,0)</f>
        <v>0</v>
      </c>
      <c r="EX552" s="28" t="n">
        <f aca="false">IF(ISNUMBER(BJ552),BJ552*DH552,0)</f>
        <v>0</v>
      </c>
      <c r="EY552" s="28" t="n">
        <f aca="false">IF(ISNUMBER(BN552),BN552*DI552,0)</f>
        <v>0</v>
      </c>
      <c r="EZ552" s="28" t="n">
        <f aca="false">IF(ISNUMBER(BR552),BR552*DJ552,0)</f>
        <v>0</v>
      </c>
      <c r="FA552" s="28" t="n">
        <f aca="false">IF(ISNUMBER(R552),CW552,0)</f>
        <v>0</v>
      </c>
      <c r="FB552" s="28" t="n">
        <f aca="false">IF(ISNUMBER(V552),CX552,0)</f>
        <v>0</v>
      </c>
      <c r="FC552" s="28" t="n">
        <f aca="false">IF(ISNUMBER(Z552),CY552,0)</f>
        <v>0</v>
      </c>
      <c r="FD552" s="28" t="n">
        <f aca="false">IF(ISNUMBER(AD552),CZ552,0)</f>
        <v>0</v>
      </c>
      <c r="FE552" s="28" t="n">
        <f aca="false">IF(ISNUMBER(AH552),DA552,0)</f>
        <v>0</v>
      </c>
      <c r="FF552" s="28" t="n">
        <f aca="false">IF(ISNUMBER(AL552),DB552,0)</f>
        <v>0</v>
      </c>
      <c r="FG552" s="28" t="n">
        <f aca="false">IF(ISNUMBER(AP552),DC552,0)</f>
        <v>0</v>
      </c>
      <c r="FH552" s="28" t="n">
        <f aca="false">IF(ISNUMBER(AT552),DD552,0)</f>
        <v>0</v>
      </c>
      <c r="FI552" s="28" t="n">
        <f aca="false">IF(ISNUMBER(AX552),DE552,0)</f>
        <v>0</v>
      </c>
      <c r="FJ552" s="28" t="n">
        <f aca="false">IF(ISNUMBER(BB552),DF552,0)</f>
        <v>0</v>
      </c>
      <c r="FK552" s="28" t="n">
        <f aca="false">IF(ISNUMBER(BF552),DG552,0)</f>
        <v>0</v>
      </c>
      <c r="FL552" s="28" t="n">
        <f aca="false">IF(ISNUMBER(BJ552),DH552,0)</f>
        <v>0</v>
      </c>
      <c r="FM552" s="28" t="n">
        <f aca="false">IF(ISNUMBER(BN552),DI552,0)</f>
        <v>0</v>
      </c>
      <c r="FN552" s="28" t="n">
        <f aca="false">IF(ISNUMBER(BR552),DJ552,0)</f>
        <v>0</v>
      </c>
      <c r="FO552" s="28" t="str">
        <f aca="false">IFERROR(INDEX(Lists!$G$2:$G$20,MATCH($I552&amp;"|"&amp;$J552,Lists!$F$2:$F$20,0)),"")</f>
        <v/>
      </c>
    </row>
    <row r="553" customFormat="false" ht="19.5" hidden="false" customHeight="true" outlineLevel="0" collapsed="false">
      <c r="A553" s="29"/>
      <c r="B553" s="29"/>
      <c r="C553" s="30"/>
      <c r="D553" s="30"/>
      <c r="E553" s="31"/>
      <c r="F553" s="30"/>
      <c r="G553" s="30"/>
      <c r="H553" s="32"/>
      <c r="I553" s="33"/>
      <c r="J553" s="32"/>
      <c r="K553" s="34" t="str">
        <f aca="false">IF(OR(M553="",$E553=""),"",M553-$E553)</f>
        <v/>
      </c>
      <c r="L553" s="35" t="str">
        <f aca="false">IF(SUM(FA553:FN553)=0,"",SUM(EM553:EZ553)/SUM(FA553:FN553))</f>
        <v/>
      </c>
      <c r="M553" s="36" t="str">
        <f aca="false">IF(OR(L553="",FO553=""),"",IFERROR(MATCH(L553,INDEX(Boundaries!$B$2:$I$30,MATCH(FO553,Boundaries!$A$2:$A$30,0),0),1)-1,""))</f>
        <v/>
      </c>
      <c r="N553" s="37" t="str">
        <f aca="false">IF(COUNT($DY553:$EL553)&lt;2,"",INDEX($DK553:$DX553,MAX($DY553:$EL553))-INDEX($DK553:$DX553,MIN($DY553:$EL553)))</f>
        <v/>
      </c>
      <c r="O553" s="37" t="str">
        <f aca="false">IF(COUNT($DY553:$EL553)&lt;2,"",INDEX($DK553:$DX553,MAX($DY553:$EL553))-INDEX($DK553:$DX553,LARGE($DY553:$EL553,2)))</f>
        <v/>
      </c>
      <c r="P553" s="38" t="str">
        <f aca="false">IF(K553="","",IF(K553&gt;=0,"On/above target",IF(AND(N553&lt;&gt;"",N553&gt;=0.5),"Improving towards target",IF(AND(O553&lt;&gt;"",O553&lt;=-0.5),"Declining","Stable below target"))))</f>
        <v/>
      </c>
      <c r="Q553" s="39"/>
      <c r="R553" s="40" t="str">
        <f aca="false">IF(OR(Q553="",BU553=""),"",Q553/BU553*100)</f>
        <v/>
      </c>
      <c r="S553" s="41" t="str">
        <f aca="false">IF(R553="","",IFERROR(MATCH(R553,INDEX(Boundaries!$B$2:$I$30,MATCH(CI553,Boundaries!$A$2:$A$30,0),0),1)-1,""))</f>
        <v/>
      </c>
      <c r="T553" s="42" t="str">
        <f aca="false">IF(OR(S553="",$E553=""),"",S553-$E553)</f>
        <v/>
      </c>
      <c r="U553" s="39"/>
      <c r="V553" s="40" t="str">
        <f aca="false">IF(OR(U553="",BV553=""),"",U553/BV553*100)</f>
        <v/>
      </c>
      <c r="W553" s="41" t="str">
        <f aca="false">IF(V553="","",IFERROR(MATCH(V553,INDEX(Boundaries!$B$2:$I$30,MATCH(CJ553,Boundaries!$A$2:$A$30,0),0),1)-1,""))</f>
        <v/>
      </c>
      <c r="X553" s="42" t="str">
        <f aca="false">IF(OR(W553="",$E553=""),"",W553-$E553)</f>
        <v/>
      </c>
      <c r="Y553" s="39"/>
      <c r="Z553" s="40" t="str">
        <f aca="false">IF(OR(Y553="",BW553=""),"",Y553/BW553*100)</f>
        <v/>
      </c>
      <c r="AA553" s="41" t="str">
        <f aca="false">IF(Z553="","",IFERROR(MATCH(Z553,INDEX(Boundaries!$B$2:$I$30,MATCH(CK553,Boundaries!$A$2:$A$30,0),0),1)-1,""))</f>
        <v/>
      </c>
      <c r="AB553" s="42" t="str">
        <f aca="false">IF(OR(AA553="",$E553=""),"",AA553-$E553)</f>
        <v/>
      </c>
      <c r="AC553" s="39"/>
      <c r="AD553" s="40" t="str">
        <f aca="false">IF(OR(AC553="",BX553=""),"",AC553/BX553*100)</f>
        <v/>
      </c>
      <c r="AE553" s="41" t="str">
        <f aca="false">IF(AD553="","",IFERROR(MATCH(AD553,INDEX(Boundaries!$B$2:$I$30,MATCH(CL553,Boundaries!$A$2:$A$30,0),0),1)-1,""))</f>
        <v/>
      </c>
      <c r="AF553" s="42" t="str">
        <f aca="false">IF(OR(AE553="",$E553=""),"",AE553-$E553)</f>
        <v/>
      </c>
      <c r="AG553" s="39"/>
      <c r="AH553" s="40" t="str">
        <f aca="false">IF(OR(AG553="",BY553=""),"",AG553/BY553*100)</f>
        <v/>
      </c>
      <c r="AI553" s="41" t="str">
        <f aca="false">IF(AH553="","",IFERROR(MATCH(AH553,INDEX(Boundaries!$B$2:$I$30,MATCH(CM553,Boundaries!$A$2:$A$30,0),0),1)-1,""))</f>
        <v/>
      </c>
      <c r="AJ553" s="42" t="str">
        <f aca="false">IF(OR(AI553="",$E553=""),"",AI553-$E553)</f>
        <v/>
      </c>
      <c r="AK553" s="39"/>
      <c r="AL553" s="40" t="str">
        <f aca="false">IF(OR(AK553="",BZ553=""),"",AK553/BZ553*100)</f>
        <v/>
      </c>
      <c r="AM553" s="41" t="str">
        <f aca="false">IF(AL553="","",IFERROR(MATCH(AL553,INDEX(Boundaries!$B$2:$I$30,MATCH(CN553,Boundaries!$A$2:$A$30,0),0),1)-1,""))</f>
        <v/>
      </c>
      <c r="AN553" s="42" t="str">
        <f aca="false">IF(OR(AM553="",$E553=""),"",AM553-$E553)</f>
        <v/>
      </c>
      <c r="AO553" s="39"/>
      <c r="AP553" s="40" t="str">
        <f aca="false">IF(OR(AO553="",CA553=""),"",AO553/CA553*100)</f>
        <v/>
      </c>
      <c r="AQ553" s="41" t="str">
        <f aca="false">IF(AP553="","",IFERROR(MATCH(AP553,INDEX(Boundaries!$B$2:$I$30,MATCH(CO553,Boundaries!$A$2:$A$30,0),0),1)-1,""))</f>
        <v/>
      </c>
      <c r="AR553" s="42" t="str">
        <f aca="false">IF(OR(AQ553="",$E553=""),"",AQ553-$E553)</f>
        <v/>
      </c>
      <c r="AS553" s="39"/>
      <c r="AT553" s="40" t="str">
        <f aca="false">IF(OR(AS553="",CB553=""),"",AS553/CB553*100)</f>
        <v/>
      </c>
      <c r="AU553" s="41" t="str">
        <f aca="false">IF(AT553="","",IFERROR(MATCH(AT553,INDEX(Boundaries!$B$2:$I$30,MATCH(CP553,Boundaries!$A$2:$A$30,0),0),1)-1,""))</f>
        <v/>
      </c>
      <c r="AV553" s="42" t="str">
        <f aca="false">IF(OR(AU553="",$E553=""),"",AU553-$E553)</f>
        <v/>
      </c>
      <c r="AW553" s="39"/>
      <c r="AX553" s="40" t="str">
        <f aca="false">IF(OR(AW553="",CC553=""),"",AW553/CC553*100)</f>
        <v/>
      </c>
      <c r="AY553" s="41" t="str">
        <f aca="false">IF(AX553="","",IFERROR(MATCH(AX553,INDEX(Boundaries!$B$2:$I$30,MATCH(CQ553,Boundaries!$A$2:$A$30,0),0),1)-1,""))</f>
        <v/>
      </c>
      <c r="AZ553" s="42" t="str">
        <f aca="false">IF(OR(AY553="",$E553=""),"",AY553-$E553)</f>
        <v/>
      </c>
      <c r="BA553" s="39"/>
      <c r="BB553" s="40" t="str">
        <f aca="false">IF(OR(BA553="",CD553=""),"",BA553/CD553*100)</f>
        <v/>
      </c>
      <c r="BC553" s="41" t="str">
        <f aca="false">IF(BB553="","",IFERROR(MATCH(BB553,INDEX(Boundaries!$B$2:$I$30,MATCH(CR553,Boundaries!$A$2:$A$30,0),0),1)-1,""))</f>
        <v/>
      </c>
      <c r="BD553" s="42" t="str">
        <f aca="false">IF(OR(BC553="",$E553=""),"",BC553-$E553)</f>
        <v/>
      </c>
      <c r="BE553" s="39"/>
      <c r="BF553" s="40" t="str">
        <f aca="false">IF(OR(BE553="",CE553=""),"",BE553/CE553*100)</f>
        <v/>
      </c>
      <c r="BG553" s="41" t="str">
        <f aca="false">IF(BF553="","",IFERROR(MATCH(BF553,INDEX(Boundaries!$B$2:$I$30,MATCH(CS553,Boundaries!$A$2:$A$30,0),0),1)-1,""))</f>
        <v/>
      </c>
      <c r="BH553" s="42" t="str">
        <f aca="false">IF(OR(BG553="",$E553=""),"",BG553-$E553)</f>
        <v/>
      </c>
      <c r="BI553" s="39"/>
      <c r="BJ553" s="40" t="str">
        <f aca="false">IF(OR(BI553="",CF553=""),"",BI553/CF553*100)</f>
        <v/>
      </c>
      <c r="BK553" s="41" t="str">
        <f aca="false">IF(BJ553="","",IFERROR(MATCH(BJ553,INDEX(Boundaries!$B$2:$I$30,MATCH(CT553,Boundaries!$A$2:$A$30,0),0),1)-1,""))</f>
        <v/>
      </c>
      <c r="BL553" s="42" t="str">
        <f aca="false">IF(OR(BK553="",$E553=""),"",BK553-$E553)</f>
        <v/>
      </c>
      <c r="BM553" s="39"/>
      <c r="BN553" s="40" t="str">
        <f aca="false">IF(OR(BM553="",CG553=""),"",BM553/CG553*100)</f>
        <v/>
      </c>
      <c r="BO553" s="41" t="str">
        <f aca="false">IF(BN553="","",IFERROR(MATCH(BN553,INDEX(Boundaries!$B$2:$I$30,MATCH(CU553,Boundaries!$A$2:$A$30,0),0),1)-1,""))</f>
        <v/>
      </c>
      <c r="BP553" s="42" t="str">
        <f aca="false">IF(OR(BO553="",$E553=""),"",BO553-$E553)</f>
        <v/>
      </c>
      <c r="BQ553" s="39"/>
      <c r="BR553" s="40" t="str">
        <f aca="false">IF(OR(BQ553="",CH553=""),"",BQ553/CH553*100)</f>
        <v/>
      </c>
      <c r="BS553" s="41" t="str">
        <f aca="false">IF(BR553="","",IFERROR(MATCH(BR553,INDEX(Boundaries!$B$2:$I$30,MATCH(CV553,Boundaries!$A$2:$A$30,0),0),1)-1,""))</f>
        <v/>
      </c>
      <c r="BT553" s="42" t="str">
        <f aca="false">IF(OR(BS553="",$E553=""),"",BS553-$E553)</f>
        <v/>
      </c>
      <c r="BU553" s="28" t="str">
        <f aca="false">IFERROR(INDEX(Assessments!$H$2:$H$600,MATCH($H553&amp;"|"&amp;$I553&amp;"|"&amp;$J553&amp;"|"&amp;1,Assessments!$A$2:$A$600,0)),"")</f>
        <v/>
      </c>
      <c r="BV553" s="28" t="str">
        <f aca="false">IFERROR(INDEX(Assessments!$H$2:$H$600,MATCH($H553&amp;"|"&amp;$I553&amp;"|"&amp;$J553&amp;"|"&amp;2,Assessments!$A$2:$A$600,0)),"")</f>
        <v/>
      </c>
      <c r="BW553" s="28" t="str">
        <f aca="false">IFERROR(INDEX(Assessments!$H$2:$H$600,MATCH($H553&amp;"|"&amp;$I553&amp;"|"&amp;$J553&amp;"|"&amp;3,Assessments!$A$2:$A$600,0)),"")</f>
        <v/>
      </c>
      <c r="BX553" s="28" t="str">
        <f aca="false">IFERROR(INDEX(Assessments!$H$2:$H$600,MATCH($H553&amp;"|"&amp;$I553&amp;"|"&amp;$J553&amp;"|"&amp;4,Assessments!$A$2:$A$600,0)),"")</f>
        <v/>
      </c>
      <c r="BY553" s="28" t="str">
        <f aca="false">IFERROR(INDEX(Assessments!$H$2:$H$600,MATCH($H553&amp;"|"&amp;$I553&amp;"|"&amp;$J553&amp;"|"&amp;5,Assessments!$A$2:$A$600,0)),"")</f>
        <v/>
      </c>
      <c r="BZ553" s="28" t="str">
        <f aca="false">IFERROR(INDEX(Assessments!$H$2:$H$600,MATCH($H553&amp;"|"&amp;$I553&amp;"|"&amp;$J553&amp;"|"&amp;6,Assessments!$A$2:$A$600,0)),"")</f>
        <v/>
      </c>
      <c r="CA553" s="28" t="str">
        <f aca="false">IFERROR(INDEX(Assessments!$H$2:$H$600,MATCH($H553&amp;"|"&amp;$I553&amp;"|"&amp;$J553&amp;"|"&amp;7,Assessments!$A$2:$A$600,0)),"")</f>
        <v/>
      </c>
      <c r="CB553" s="28" t="str">
        <f aca="false">IFERROR(INDEX(Assessments!$H$2:$H$600,MATCH($H553&amp;"|"&amp;$I553&amp;"|"&amp;$J553&amp;"|"&amp;8,Assessments!$A$2:$A$600,0)),"")</f>
        <v/>
      </c>
      <c r="CC553" s="28" t="str">
        <f aca="false">IFERROR(INDEX(Assessments!$H$2:$H$600,MATCH($H553&amp;"|"&amp;$I553&amp;"|"&amp;$J553&amp;"|"&amp;9,Assessments!$A$2:$A$600,0)),"")</f>
        <v/>
      </c>
      <c r="CD553" s="28" t="str">
        <f aca="false">IFERROR(INDEX(Assessments!$H$2:$H$600,MATCH($H553&amp;"|"&amp;$I553&amp;"|"&amp;$J553&amp;"|"&amp;10,Assessments!$A$2:$A$600,0)),"")</f>
        <v/>
      </c>
      <c r="CE553" s="28" t="str">
        <f aca="false">IFERROR(INDEX(Assessments!$H$2:$H$600,MATCH($H553&amp;"|"&amp;$I553&amp;"|"&amp;$J553&amp;"|"&amp;11,Assessments!$A$2:$A$600,0)),"")</f>
        <v/>
      </c>
      <c r="CF553" s="28" t="str">
        <f aca="false">IFERROR(INDEX(Assessments!$H$2:$H$600,MATCH($H553&amp;"|"&amp;$I553&amp;"|"&amp;$J553&amp;"|"&amp;12,Assessments!$A$2:$A$600,0)),"")</f>
        <v/>
      </c>
      <c r="CG553" s="28" t="str">
        <f aca="false">IFERROR(INDEX(Assessments!$H$2:$H$600,MATCH($H553&amp;"|"&amp;$I553&amp;"|"&amp;$J553&amp;"|"&amp;13,Assessments!$A$2:$A$600,0)),"")</f>
        <v/>
      </c>
      <c r="CH553" s="28" t="str">
        <f aca="false">IFERROR(INDEX(Assessments!$H$2:$H$600,MATCH($H553&amp;"|"&amp;$I553&amp;"|"&amp;$J553&amp;"|"&amp;14,Assessments!$A$2:$A$600,0)),"")</f>
        <v/>
      </c>
      <c r="CI553" s="28" t="str">
        <f aca="false">IFERROR(INDEX(Assessments!$I$2:$I$600,MATCH($H553&amp;"|"&amp;$I553&amp;"|"&amp;$J553&amp;"|"&amp;1,Assessments!$A$2:$A$600,0)),"")</f>
        <v/>
      </c>
      <c r="CJ553" s="28" t="str">
        <f aca="false">IFERROR(INDEX(Assessments!$I$2:$I$600,MATCH($H553&amp;"|"&amp;$I553&amp;"|"&amp;$J553&amp;"|"&amp;2,Assessments!$A$2:$A$600,0)),"")</f>
        <v/>
      </c>
      <c r="CK553" s="28" t="str">
        <f aca="false">IFERROR(INDEX(Assessments!$I$2:$I$600,MATCH($H553&amp;"|"&amp;$I553&amp;"|"&amp;$J553&amp;"|"&amp;3,Assessments!$A$2:$A$600,0)),"")</f>
        <v/>
      </c>
      <c r="CL553" s="28" t="str">
        <f aca="false">IFERROR(INDEX(Assessments!$I$2:$I$600,MATCH($H553&amp;"|"&amp;$I553&amp;"|"&amp;$J553&amp;"|"&amp;4,Assessments!$A$2:$A$600,0)),"")</f>
        <v/>
      </c>
      <c r="CM553" s="28" t="str">
        <f aca="false">IFERROR(INDEX(Assessments!$I$2:$I$600,MATCH($H553&amp;"|"&amp;$I553&amp;"|"&amp;$J553&amp;"|"&amp;5,Assessments!$A$2:$A$600,0)),"")</f>
        <v/>
      </c>
      <c r="CN553" s="28" t="str">
        <f aca="false">IFERROR(INDEX(Assessments!$I$2:$I$600,MATCH($H553&amp;"|"&amp;$I553&amp;"|"&amp;$J553&amp;"|"&amp;6,Assessments!$A$2:$A$600,0)),"")</f>
        <v/>
      </c>
      <c r="CO553" s="28" t="str">
        <f aca="false">IFERROR(INDEX(Assessments!$I$2:$I$600,MATCH($H553&amp;"|"&amp;$I553&amp;"|"&amp;$J553&amp;"|"&amp;7,Assessments!$A$2:$A$600,0)),"")</f>
        <v/>
      </c>
      <c r="CP553" s="28" t="str">
        <f aca="false">IFERROR(INDEX(Assessments!$I$2:$I$600,MATCH($H553&amp;"|"&amp;$I553&amp;"|"&amp;$J553&amp;"|"&amp;8,Assessments!$A$2:$A$600,0)),"")</f>
        <v/>
      </c>
      <c r="CQ553" s="28" t="str">
        <f aca="false">IFERROR(INDEX(Assessments!$I$2:$I$600,MATCH($H553&amp;"|"&amp;$I553&amp;"|"&amp;$J553&amp;"|"&amp;9,Assessments!$A$2:$A$600,0)),"")</f>
        <v/>
      </c>
      <c r="CR553" s="28" t="str">
        <f aca="false">IFERROR(INDEX(Assessments!$I$2:$I$600,MATCH($H553&amp;"|"&amp;$I553&amp;"|"&amp;$J553&amp;"|"&amp;10,Assessments!$A$2:$A$600,0)),"")</f>
        <v/>
      </c>
      <c r="CS553" s="28" t="str">
        <f aca="false">IFERROR(INDEX(Assessments!$I$2:$I$600,MATCH($H553&amp;"|"&amp;$I553&amp;"|"&amp;$J553&amp;"|"&amp;11,Assessments!$A$2:$A$600,0)),"")</f>
        <v/>
      </c>
      <c r="CT553" s="28" t="str">
        <f aca="false">IFERROR(INDEX(Assessments!$I$2:$I$600,MATCH($H553&amp;"|"&amp;$I553&amp;"|"&amp;$J553&amp;"|"&amp;12,Assessments!$A$2:$A$600,0)),"")</f>
        <v/>
      </c>
      <c r="CU553" s="28" t="str">
        <f aca="false">IFERROR(INDEX(Assessments!$I$2:$I$600,MATCH($H553&amp;"|"&amp;$I553&amp;"|"&amp;$J553&amp;"|"&amp;13,Assessments!$A$2:$A$600,0)),"")</f>
        <v/>
      </c>
      <c r="CV553" s="28" t="str">
        <f aca="false">IFERROR(INDEX(Assessments!$I$2:$I$600,MATCH($H553&amp;"|"&amp;$I553&amp;"|"&amp;$J553&amp;"|"&amp;14,Assessments!$A$2:$A$600,0)),"")</f>
        <v/>
      </c>
      <c r="CW553" s="28" t="n">
        <f aca="false">IFERROR(INDEX(Assessments!$J$2:$J$600,MATCH($H553&amp;"|"&amp;$I553&amp;"|"&amp;$J553&amp;"|"&amp;1,Assessments!$A$2:$A$600,0)),0)</f>
        <v>0</v>
      </c>
      <c r="CX553" s="28" t="n">
        <f aca="false">IFERROR(INDEX(Assessments!$J$2:$J$600,MATCH($H553&amp;"|"&amp;$I553&amp;"|"&amp;$J553&amp;"|"&amp;2,Assessments!$A$2:$A$600,0)),0)</f>
        <v>0</v>
      </c>
      <c r="CY553" s="28" t="n">
        <f aca="false">IFERROR(INDEX(Assessments!$J$2:$J$600,MATCH($H553&amp;"|"&amp;$I553&amp;"|"&amp;$J553&amp;"|"&amp;3,Assessments!$A$2:$A$600,0)),0)</f>
        <v>0</v>
      </c>
      <c r="CZ553" s="28" t="n">
        <f aca="false">IFERROR(INDEX(Assessments!$J$2:$J$600,MATCH($H553&amp;"|"&amp;$I553&amp;"|"&amp;$J553&amp;"|"&amp;4,Assessments!$A$2:$A$600,0)),0)</f>
        <v>0</v>
      </c>
      <c r="DA553" s="28" t="n">
        <f aca="false">IFERROR(INDEX(Assessments!$J$2:$J$600,MATCH($H553&amp;"|"&amp;$I553&amp;"|"&amp;$J553&amp;"|"&amp;5,Assessments!$A$2:$A$600,0)),0)</f>
        <v>0</v>
      </c>
      <c r="DB553" s="28" t="n">
        <f aca="false">IFERROR(INDEX(Assessments!$J$2:$J$600,MATCH($H553&amp;"|"&amp;$I553&amp;"|"&amp;$J553&amp;"|"&amp;6,Assessments!$A$2:$A$600,0)),0)</f>
        <v>0</v>
      </c>
      <c r="DC553" s="28" t="n">
        <f aca="false">IFERROR(INDEX(Assessments!$J$2:$J$600,MATCH($H553&amp;"|"&amp;$I553&amp;"|"&amp;$J553&amp;"|"&amp;7,Assessments!$A$2:$A$600,0)),0)</f>
        <v>0</v>
      </c>
      <c r="DD553" s="28" t="n">
        <f aca="false">IFERROR(INDEX(Assessments!$J$2:$J$600,MATCH($H553&amp;"|"&amp;$I553&amp;"|"&amp;$J553&amp;"|"&amp;8,Assessments!$A$2:$A$600,0)),0)</f>
        <v>0</v>
      </c>
      <c r="DE553" s="28" t="n">
        <f aca="false">IFERROR(INDEX(Assessments!$J$2:$J$600,MATCH($H553&amp;"|"&amp;$I553&amp;"|"&amp;$J553&amp;"|"&amp;9,Assessments!$A$2:$A$600,0)),0)</f>
        <v>0</v>
      </c>
      <c r="DF553" s="28" t="n">
        <f aca="false">IFERROR(INDEX(Assessments!$J$2:$J$600,MATCH($H553&amp;"|"&amp;$I553&amp;"|"&amp;$J553&amp;"|"&amp;10,Assessments!$A$2:$A$600,0)),0)</f>
        <v>0</v>
      </c>
      <c r="DG553" s="28" t="n">
        <f aca="false">IFERROR(INDEX(Assessments!$J$2:$J$600,MATCH($H553&amp;"|"&amp;$I553&amp;"|"&amp;$J553&amp;"|"&amp;11,Assessments!$A$2:$A$600,0)),0)</f>
        <v>0</v>
      </c>
      <c r="DH553" s="28" t="n">
        <f aca="false">IFERROR(INDEX(Assessments!$J$2:$J$600,MATCH($H553&amp;"|"&amp;$I553&amp;"|"&amp;$J553&amp;"|"&amp;12,Assessments!$A$2:$A$600,0)),0)</f>
        <v>0</v>
      </c>
      <c r="DI553" s="28" t="n">
        <f aca="false">IFERROR(INDEX(Assessments!$J$2:$J$600,MATCH($H553&amp;"|"&amp;$I553&amp;"|"&amp;$J553&amp;"|"&amp;13,Assessments!$A$2:$A$600,0)),0)</f>
        <v>0</v>
      </c>
      <c r="DJ553" s="28" t="n">
        <f aca="false">IFERROR(INDEX(Assessments!$J$2:$J$600,MATCH($H553&amp;"|"&amp;$I553&amp;"|"&amp;$J553&amp;"|"&amp;14,Assessments!$A$2:$A$600,0)),0)</f>
        <v>0</v>
      </c>
      <c r="DK553" s="28" t="str">
        <f aca="false">S553</f>
        <v/>
      </c>
      <c r="DL553" s="28" t="str">
        <f aca="false">W553</f>
        <v/>
      </c>
      <c r="DM553" s="28" t="str">
        <f aca="false">AA553</f>
        <v/>
      </c>
      <c r="DN553" s="28" t="str">
        <f aca="false">AE553</f>
        <v/>
      </c>
      <c r="DO553" s="28" t="str">
        <f aca="false">AI553</f>
        <v/>
      </c>
      <c r="DP553" s="28" t="str">
        <f aca="false">AM553</f>
        <v/>
      </c>
      <c r="DQ553" s="28" t="str">
        <f aca="false">AQ553</f>
        <v/>
      </c>
      <c r="DR553" s="28" t="str">
        <f aca="false">AU553</f>
        <v/>
      </c>
      <c r="DS553" s="28" t="str">
        <f aca="false">AY553</f>
        <v/>
      </c>
      <c r="DT553" s="28" t="str">
        <f aca="false">BC553</f>
        <v/>
      </c>
      <c r="DU553" s="28" t="str">
        <f aca="false">BG553</f>
        <v/>
      </c>
      <c r="DV553" s="28" t="str">
        <f aca="false">BK553</f>
        <v/>
      </c>
      <c r="DW553" s="28" t="str">
        <f aca="false">BO553</f>
        <v/>
      </c>
      <c r="DX553" s="28" t="str">
        <f aca="false">BS553</f>
        <v/>
      </c>
      <c r="DY553" s="28" t="str">
        <f aca="false">IF(ISNUMBER(S553),1,"")</f>
        <v/>
      </c>
      <c r="DZ553" s="28" t="str">
        <f aca="false">IF(ISNUMBER(W553),2,"")</f>
        <v/>
      </c>
      <c r="EA553" s="28" t="str">
        <f aca="false">IF(ISNUMBER(AA553),3,"")</f>
        <v/>
      </c>
      <c r="EB553" s="28" t="str">
        <f aca="false">IF(ISNUMBER(AE553),4,"")</f>
        <v/>
      </c>
      <c r="EC553" s="28" t="str">
        <f aca="false">IF(ISNUMBER(AI553),5,"")</f>
        <v/>
      </c>
      <c r="ED553" s="28" t="str">
        <f aca="false">IF(ISNUMBER(AM553),6,"")</f>
        <v/>
      </c>
      <c r="EE553" s="28" t="str">
        <f aca="false">IF(ISNUMBER(AQ553),7,"")</f>
        <v/>
      </c>
      <c r="EF553" s="28" t="str">
        <f aca="false">IF(ISNUMBER(AU553),8,"")</f>
        <v/>
      </c>
      <c r="EG553" s="28" t="str">
        <f aca="false">IF(ISNUMBER(AY553),9,"")</f>
        <v/>
      </c>
      <c r="EH553" s="28" t="str">
        <f aca="false">IF(ISNUMBER(BC553),10,"")</f>
        <v/>
      </c>
      <c r="EI553" s="28" t="str">
        <f aca="false">IF(ISNUMBER(BG553),11,"")</f>
        <v/>
      </c>
      <c r="EJ553" s="28" t="str">
        <f aca="false">IF(ISNUMBER(BK553),12,"")</f>
        <v/>
      </c>
      <c r="EK553" s="28" t="str">
        <f aca="false">IF(ISNUMBER(BO553),13,"")</f>
        <v/>
      </c>
      <c r="EL553" s="28" t="str">
        <f aca="false">IF(ISNUMBER(BS553),14,"")</f>
        <v/>
      </c>
      <c r="EM553" s="28" t="n">
        <f aca="false">IF(ISNUMBER(R553),R553*CW553,0)</f>
        <v>0</v>
      </c>
      <c r="EN553" s="28" t="n">
        <f aca="false">IF(ISNUMBER(V553),V553*CX553,0)</f>
        <v>0</v>
      </c>
      <c r="EO553" s="28" t="n">
        <f aca="false">IF(ISNUMBER(Z553),Z553*CY553,0)</f>
        <v>0</v>
      </c>
      <c r="EP553" s="28" t="n">
        <f aca="false">IF(ISNUMBER(AD553),AD553*CZ553,0)</f>
        <v>0</v>
      </c>
      <c r="EQ553" s="28" t="n">
        <f aca="false">IF(ISNUMBER(AH553),AH553*DA553,0)</f>
        <v>0</v>
      </c>
      <c r="ER553" s="28" t="n">
        <f aca="false">IF(ISNUMBER(AL553),AL553*DB553,0)</f>
        <v>0</v>
      </c>
      <c r="ES553" s="28" t="n">
        <f aca="false">IF(ISNUMBER(AP553),AP553*DC553,0)</f>
        <v>0</v>
      </c>
      <c r="ET553" s="28" t="n">
        <f aca="false">IF(ISNUMBER(AT553),AT553*DD553,0)</f>
        <v>0</v>
      </c>
      <c r="EU553" s="28" t="n">
        <f aca="false">IF(ISNUMBER(AX553),AX553*DE553,0)</f>
        <v>0</v>
      </c>
      <c r="EV553" s="28" t="n">
        <f aca="false">IF(ISNUMBER(BB553),BB553*DF553,0)</f>
        <v>0</v>
      </c>
      <c r="EW553" s="28" t="n">
        <f aca="false">IF(ISNUMBER(BF553),BF553*DG553,0)</f>
        <v>0</v>
      </c>
      <c r="EX553" s="28" t="n">
        <f aca="false">IF(ISNUMBER(BJ553),BJ553*DH553,0)</f>
        <v>0</v>
      </c>
      <c r="EY553" s="28" t="n">
        <f aca="false">IF(ISNUMBER(BN553),BN553*DI553,0)</f>
        <v>0</v>
      </c>
      <c r="EZ553" s="28" t="n">
        <f aca="false">IF(ISNUMBER(BR553),BR553*DJ553,0)</f>
        <v>0</v>
      </c>
      <c r="FA553" s="28" t="n">
        <f aca="false">IF(ISNUMBER(R553),CW553,0)</f>
        <v>0</v>
      </c>
      <c r="FB553" s="28" t="n">
        <f aca="false">IF(ISNUMBER(V553),CX553,0)</f>
        <v>0</v>
      </c>
      <c r="FC553" s="28" t="n">
        <f aca="false">IF(ISNUMBER(Z553),CY553,0)</f>
        <v>0</v>
      </c>
      <c r="FD553" s="28" t="n">
        <f aca="false">IF(ISNUMBER(AD553),CZ553,0)</f>
        <v>0</v>
      </c>
      <c r="FE553" s="28" t="n">
        <f aca="false">IF(ISNUMBER(AH553),DA553,0)</f>
        <v>0</v>
      </c>
      <c r="FF553" s="28" t="n">
        <f aca="false">IF(ISNUMBER(AL553),DB553,0)</f>
        <v>0</v>
      </c>
      <c r="FG553" s="28" t="n">
        <f aca="false">IF(ISNUMBER(AP553),DC553,0)</f>
        <v>0</v>
      </c>
      <c r="FH553" s="28" t="n">
        <f aca="false">IF(ISNUMBER(AT553),DD553,0)</f>
        <v>0</v>
      </c>
      <c r="FI553" s="28" t="n">
        <f aca="false">IF(ISNUMBER(AX553),DE553,0)</f>
        <v>0</v>
      </c>
      <c r="FJ553" s="28" t="n">
        <f aca="false">IF(ISNUMBER(BB553),DF553,0)</f>
        <v>0</v>
      </c>
      <c r="FK553" s="28" t="n">
        <f aca="false">IF(ISNUMBER(BF553),DG553,0)</f>
        <v>0</v>
      </c>
      <c r="FL553" s="28" t="n">
        <f aca="false">IF(ISNUMBER(BJ553),DH553,0)</f>
        <v>0</v>
      </c>
      <c r="FM553" s="28" t="n">
        <f aca="false">IF(ISNUMBER(BN553),DI553,0)</f>
        <v>0</v>
      </c>
      <c r="FN553" s="28" t="n">
        <f aca="false">IF(ISNUMBER(BR553),DJ553,0)</f>
        <v>0</v>
      </c>
      <c r="FO553" s="28" t="str">
        <f aca="false">IFERROR(INDEX(Lists!$G$2:$G$20,MATCH($I553&amp;"|"&amp;$J553,Lists!$F$2:$F$20,0)),"")</f>
        <v/>
      </c>
    </row>
    <row r="554" customFormat="false" ht="19.5" hidden="false" customHeight="true" outlineLevel="0" collapsed="false">
      <c r="A554" s="29"/>
      <c r="B554" s="29"/>
      <c r="C554" s="30"/>
      <c r="D554" s="30"/>
      <c r="E554" s="31"/>
      <c r="F554" s="30"/>
      <c r="G554" s="30"/>
      <c r="H554" s="32"/>
      <c r="I554" s="33"/>
      <c r="J554" s="32"/>
      <c r="K554" s="34" t="str">
        <f aca="false">IF(OR(M554="",$E554=""),"",M554-$E554)</f>
        <v/>
      </c>
      <c r="L554" s="35" t="str">
        <f aca="false">IF(SUM(FA554:FN554)=0,"",SUM(EM554:EZ554)/SUM(FA554:FN554))</f>
        <v/>
      </c>
      <c r="M554" s="36" t="str">
        <f aca="false">IF(OR(L554="",FO554=""),"",IFERROR(MATCH(L554,INDEX(Boundaries!$B$2:$I$30,MATCH(FO554,Boundaries!$A$2:$A$30,0),0),1)-1,""))</f>
        <v/>
      </c>
      <c r="N554" s="37" t="str">
        <f aca="false">IF(COUNT($DY554:$EL554)&lt;2,"",INDEX($DK554:$DX554,MAX($DY554:$EL554))-INDEX($DK554:$DX554,MIN($DY554:$EL554)))</f>
        <v/>
      </c>
      <c r="O554" s="37" t="str">
        <f aca="false">IF(COUNT($DY554:$EL554)&lt;2,"",INDEX($DK554:$DX554,MAX($DY554:$EL554))-INDEX($DK554:$DX554,LARGE($DY554:$EL554,2)))</f>
        <v/>
      </c>
      <c r="P554" s="38" t="str">
        <f aca="false">IF(K554="","",IF(K554&gt;=0,"On/above target",IF(AND(N554&lt;&gt;"",N554&gt;=0.5),"Improving towards target",IF(AND(O554&lt;&gt;"",O554&lt;=-0.5),"Declining","Stable below target"))))</f>
        <v/>
      </c>
      <c r="Q554" s="39"/>
      <c r="R554" s="40" t="str">
        <f aca="false">IF(OR(Q554="",BU554=""),"",Q554/BU554*100)</f>
        <v/>
      </c>
      <c r="S554" s="41" t="str">
        <f aca="false">IF(R554="","",IFERROR(MATCH(R554,INDEX(Boundaries!$B$2:$I$30,MATCH(CI554,Boundaries!$A$2:$A$30,0),0),1)-1,""))</f>
        <v/>
      </c>
      <c r="T554" s="42" t="str">
        <f aca="false">IF(OR(S554="",$E554=""),"",S554-$E554)</f>
        <v/>
      </c>
      <c r="U554" s="39"/>
      <c r="V554" s="40" t="str">
        <f aca="false">IF(OR(U554="",BV554=""),"",U554/BV554*100)</f>
        <v/>
      </c>
      <c r="W554" s="41" t="str">
        <f aca="false">IF(V554="","",IFERROR(MATCH(V554,INDEX(Boundaries!$B$2:$I$30,MATCH(CJ554,Boundaries!$A$2:$A$30,0),0),1)-1,""))</f>
        <v/>
      </c>
      <c r="X554" s="42" t="str">
        <f aca="false">IF(OR(W554="",$E554=""),"",W554-$E554)</f>
        <v/>
      </c>
      <c r="Y554" s="39"/>
      <c r="Z554" s="40" t="str">
        <f aca="false">IF(OR(Y554="",BW554=""),"",Y554/BW554*100)</f>
        <v/>
      </c>
      <c r="AA554" s="41" t="str">
        <f aca="false">IF(Z554="","",IFERROR(MATCH(Z554,INDEX(Boundaries!$B$2:$I$30,MATCH(CK554,Boundaries!$A$2:$A$30,0),0),1)-1,""))</f>
        <v/>
      </c>
      <c r="AB554" s="42" t="str">
        <f aca="false">IF(OR(AA554="",$E554=""),"",AA554-$E554)</f>
        <v/>
      </c>
      <c r="AC554" s="39"/>
      <c r="AD554" s="40" t="str">
        <f aca="false">IF(OR(AC554="",BX554=""),"",AC554/BX554*100)</f>
        <v/>
      </c>
      <c r="AE554" s="41" t="str">
        <f aca="false">IF(AD554="","",IFERROR(MATCH(AD554,INDEX(Boundaries!$B$2:$I$30,MATCH(CL554,Boundaries!$A$2:$A$30,0),0),1)-1,""))</f>
        <v/>
      </c>
      <c r="AF554" s="42" t="str">
        <f aca="false">IF(OR(AE554="",$E554=""),"",AE554-$E554)</f>
        <v/>
      </c>
      <c r="AG554" s="39"/>
      <c r="AH554" s="40" t="str">
        <f aca="false">IF(OR(AG554="",BY554=""),"",AG554/BY554*100)</f>
        <v/>
      </c>
      <c r="AI554" s="41" t="str">
        <f aca="false">IF(AH554="","",IFERROR(MATCH(AH554,INDEX(Boundaries!$B$2:$I$30,MATCH(CM554,Boundaries!$A$2:$A$30,0),0),1)-1,""))</f>
        <v/>
      </c>
      <c r="AJ554" s="42" t="str">
        <f aca="false">IF(OR(AI554="",$E554=""),"",AI554-$E554)</f>
        <v/>
      </c>
      <c r="AK554" s="39"/>
      <c r="AL554" s="40" t="str">
        <f aca="false">IF(OR(AK554="",BZ554=""),"",AK554/BZ554*100)</f>
        <v/>
      </c>
      <c r="AM554" s="41" t="str">
        <f aca="false">IF(AL554="","",IFERROR(MATCH(AL554,INDEX(Boundaries!$B$2:$I$30,MATCH(CN554,Boundaries!$A$2:$A$30,0),0),1)-1,""))</f>
        <v/>
      </c>
      <c r="AN554" s="42" t="str">
        <f aca="false">IF(OR(AM554="",$E554=""),"",AM554-$E554)</f>
        <v/>
      </c>
      <c r="AO554" s="39"/>
      <c r="AP554" s="40" t="str">
        <f aca="false">IF(OR(AO554="",CA554=""),"",AO554/CA554*100)</f>
        <v/>
      </c>
      <c r="AQ554" s="41" t="str">
        <f aca="false">IF(AP554="","",IFERROR(MATCH(AP554,INDEX(Boundaries!$B$2:$I$30,MATCH(CO554,Boundaries!$A$2:$A$30,0),0),1)-1,""))</f>
        <v/>
      </c>
      <c r="AR554" s="42" t="str">
        <f aca="false">IF(OR(AQ554="",$E554=""),"",AQ554-$E554)</f>
        <v/>
      </c>
      <c r="AS554" s="39"/>
      <c r="AT554" s="40" t="str">
        <f aca="false">IF(OR(AS554="",CB554=""),"",AS554/CB554*100)</f>
        <v/>
      </c>
      <c r="AU554" s="41" t="str">
        <f aca="false">IF(AT554="","",IFERROR(MATCH(AT554,INDEX(Boundaries!$B$2:$I$30,MATCH(CP554,Boundaries!$A$2:$A$30,0),0),1)-1,""))</f>
        <v/>
      </c>
      <c r="AV554" s="42" t="str">
        <f aca="false">IF(OR(AU554="",$E554=""),"",AU554-$E554)</f>
        <v/>
      </c>
      <c r="AW554" s="39"/>
      <c r="AX554" s="40" t="str">
        <f aca="false">IF(OR(AW554="",CC554=""),"",AW554/CC554*100)</f>
        <v/>
      </c>
      <c r="AY554" s="41" t="str">
        <f aca="false">IF(AX554="","",IFERROR(MATCH(AX554,INDEX(Boundaries!$B$2:$I$30,MATCH(CQ554,Boundaries!$A$2:$A$30,0),0),1)-1,""))</f>
        <v/>
      </c>
      <c r="AZ554" s="42" t="str">
        <f aca="false">IF(OR(AY554="",$E554=""),"",AY554-$E554)</f>
        <v/>
      </c>
      <c r="BA554" s="39"/>
      <c r="BB554" s="40" t="str">
        <f aca="false">IF(OR(BA554="",CD554=""),"",BA554/CD554*100)</f>
        <v/>
      </c>
      <c r="BC554" s="41" t="str">
        <f aca="false">IF(BB554="","",IFERROR(MATCH(BB554,INDEX(Boundaries!$B$2:$I$30,MATCH(CR554,Boundaries!$A$2:$A$30,0),0),1)-1,""))</f>
        <v/>
      </c>
      <c r="BD554" s="42" t="str">
        <f aca="false">IF(OR(BC554="",$E554=""),"",BC554-$E554)</f>
        <v/>
      </c>
      <c r="BE554" s="39"/>
      <c r="BF554" s="40" t="str">
        <f aca="false">IF(OR(BE554="",CE554=""),"",BE554/CE554*100)</f>
        <v/>
      </c>
      <c r="BG554" s="41" t="str">
        <f aca="false">IF(BF554="","",IFERROR(MATCH(BF554,INDEX(Boundaries!$B$2:$I$30,MATCH(CS554,Boundaries!$A$2:$A$30,0),0),1)-1,""))</f>
        <v/>
      </c>
      <c r="BH554" s="42" t="str">
        <f aca="false">IF(OR(BG554="",$E554=""),"",BG554-$E554)</f>
        <v/>
      </c>
      <c r="BI554" s="39"/>
      <c r="BJ554" s="40" t="str">
        <f aca="false">IF(OR(BI554="",CF554=""),"",BI554/CF554*100)</f>
        <v/>
      </c>
      <c r="BK554" s="41" t="str">
        <f aca="false">IF(BJ554="","",IFERROR(MATCH(BJ554,INDEX(Boundaries!$B$2:$I$30,MATCH(CT554,Boundaries!$A$2:$A$30,0),0),1)-1,""))</f>
        <v/>
      </c>
      <c r="BL554" s="42" t="str">
        <f aca="false">IF(OR(BK554="",$E554=""),"",BK554-$E554)</f>
        <v/>
      </c>
      <c r="BM554" s="39"/>
      <c r="BN554" s="40" t="str">
        <f aca="false">IF(OR(BM554="",CG554=""),"",BM554/CG554*100)</f>
        <v/>
      </c>
      <c r="BO554" s="41" t="str">
        <f aca="false">IF(BN554="","",IFERROR(MATCH(BN554,INDEX(Boundaries!$B$2:$I$30,MATCH(CU554,Boundaries!$A$2:$A$30,0),0),1)-1,""))</f>
        <v/>
      </c>
      <c r="BP554" s="42" t="str">
        <f aca="false">IF(OR(BO554="",$E554=""),"",BO554-$E554)</f>
        <v/>
      </c>
      <c r="BQ554" s="39"/>
      <c r="BR554" s="40" t="str">
        <f aca="false">IF(OR(BQ554="",CH554=""),"",BQ554/CH554*100)</f>
        <v/>
      </c>
      <c r="BS554" s="41" t="str">
        <f aca="false">IF(BR554="","",IFERROR(MATCH(BR554,INDEX(Boundaries!$B$2:$I$30,MATCH(CV554,Boundaries!$A$2:$A$30,0),0),1)-1,""))</f>
        <v/>
      </c>
      <c r="BT554" s="42" t="str">
        <f aca="false">IF(OR(BS554="",$E554=""),"",BS554-$E554)</f>
        <v/>
      </c>
      <c r="BU554" s="28" t="str">
        <f aca="false">IFERROR(INDEX(Assessments!$H$2:$H$600,MATCH($H554&amp;"|"&amp;$I554&amp;"|"&amp;$J554&amp;"|"&amp;1,Assessments!$A$2:$A$600,0)),"")</f>
        <v/>
      </c>
      <c r="BV554" s="28" t="str">
        <f aca="false">IFERROR(INDEX(Assessments!$H$2:$H$600,MATCH($H554&amp;"|"&amp;$I554&amp;"|"&amp;$J554&amp;"|"&amp;2,Assessments!$A$2:$A$600,0)),"")</f>
        <v/>
      </c>
      <c r="BW554" s="28" t="str">
        <f aca="false">IFERROR(INDEX(Assessments!$H$2:$H$600,MATCH($H554&amp;"|"&amp;$I554&amp;"|"&amp;$J554&amp;"|"&amp;3,Assessments!$A$2:$A$600,0)),"")</f>
        <v/>
      </c>
      <c r="BX554" s="28" t="str">
        <f aca="false">IFERROR(INDEX(Assessments!$H$2:$H$600,MATCH($H554&amp;"|"&amp;$I554&amp;"|"&amp;$J554&amp;"|"&amp;4,Assessments!$A$2:$A$600,0)),"")</f>
        <v/>
      </c>
      <c r="BY554" s="28" t="str">
        <f aca="false">IFERROR(INDEX(Assessments!$H$2:$H$600,MATCH($H554&amp;"|"&amp;$I554&amp;"|"&amp;$J554&amp;"|"&amp;5,Assessments!$A$2:$A$600,0)),"")</f>
        <v/>
      </c>
      <c r="BZ554" s="28" t="str">
        <f aca="false">IFERROR(INDEX(Assessments!$H$2:$H$600,MATCH($H554&amp;"|"&amp;$I554&amp;"|"&amp;$J554&amp;"|"&amp;6,Assessments!$A$2:$A$600,0)),"")</f>
        <v/>
      </c>
      <c r="CA554" s="28" t="str">
        <f aca="false">IFERROR(INDEX(Assessments!$H$2:$H$600,MATCH($H554&amp;"|"&amp;$I554&amp;"|"&amp;$J554&amp;"|"&amp;7,Assessments!$A$2:$A$600,0)),"")</f>
        <v/>
      </c>
      <c r="CB554" s="28" t="str">
        <f aca="false">IFERROR(INDEX(Assessments!$H$2:$H$600,MATCH($H554&amp;"|"&amp;$I554&amp;"|"&amp;$J554&amp;"|"&amp;8,Assessments!$A$2:$A$600,0)),"")</f>
        <v/>
      </c>
      <c r="CC554" s="28" t="str">
        <f aca="false">IFERROR(INDEX(Assessments!$H$2:$H$600,MATCH($H554&amp;"|"&amp;$I554&amp;"|"&amp;$J554&amp;"|"&amp;9,Assessments!$A$2:$A$600,0)),"")</f>
        <v/>
      </c>
      <c r="CD554" s="28" t="str">
        <f aca="false">IFERROR(INDEX(Assessments!$H$2:$H$600,MATCH($H554&amp;"|"&amp;$I554&amp;"|"&amp;$J554&amp;"|"&amp;10,Assessments!$A$2:$A$600,0)),"")</f>
        <v/>
      </c>
      <c r="CE554" s="28" t="str">
        <f aca="false">IFERROR(INDEX(Assessments!$H$2:$H$600,MATCH($H554&amp;"|"&amp;$I554&amp;"|"&amp;$J554&amp;"|"&amp;11,Assessments!$A$2:$A$600,0)),"")</f>
        <v/>
      </c>
      <c r="CF554" s="28" t="str">
        <f aca="false">IFERROR(INDEX(Assessments!$H$2:$H$600,MATCH($H554&amp;"|"&amp;$I554&amp;"|"&amp;$J554&amp;"|"&amp;12,Assessments!$A$2:$A$600,0)),"")</f>
        <v/>
      </c>
      <c r="CG554" s="28" t="str">
        <f aca="false">IFERROR(INDEX(Assessments!$H$2:$H$600,MATCH($H554&amp;"|"&amp;$I554&amp;"|"&amp;$J554&amp;"|"&amp;13,Assessments!$A$2:$A$600,0)),"")</f>
        <v/>
      </c>
      <c r="CH554" s="28" t="str">
        <f aca="false">IFERROR(INDEX(Assessments!$H$2:$H$600,MATCH($H554&amp;"|"&amp;$I554&amp;"|"&amp;$J554&amp;"|"&amp;14,Assessments!$A$2:$A$600,0)),"")</f>
        <v/>
      </c>
      <c r="CI554" s="28" t="str">
        <f aca="false">IFERROR(INDEX(Assessments!$I$2:$I$600,MATCH($H554&amp;"|"&amp;$I554&amp;"|"&amp;$J554&amp;"|"&amp;1,Assessments!$A$2:$A$600,0)),"")</f>
        <v/>
      </c>
      <c r="CJ554" s="28" t="str">
        <f aca="false">IFERROR(INDEX(Assessments!$I$2:$I$600,MATCH($H554&amp;"|"&amp;$I554&amp;"|"&amp;$J554&amp;"|"&amp;2,Assessments!$A$2:$A$600,0)),"")</f>
        <v/>
      </c>
      <c r="CK554" s="28" t="str">
        <f aca="false">IFERROR(INDEX(Assessments!$I$2:$I$600,MATCH($H554&amp;"|"&amp;$I554&amp;"|"&amp;$J554&amp;"|"&amp;3,Assessments!$A$2:$A$600,0)),"")</f>
        <v/>
      </c>
      <c r="CL554" s="28" t="str">
        <f aca="false">IFERROR(INDEX(Assessments!$I$2:$I$600,MATCH($H554&amp;"|"&amp;$I554&amp;"|"&amp;$J554&amp;"|"&amp;4,Assessments!$A$2:$A$600,0)),"")</f>
        <v/>
      </c>
      <c r="CM554" s="28" t="str">
        <f aca="false">IFERROR(INDEX(Assessments!$I$2:$I$600,MATCH($H554&amp;"|"&amp;$I554&amp;"|"&amp;$J554&amp;"|"&amp;5,Assessments!$A$2:$A$600,0)),"")</f>
        <v/>
      </c>
      <c r="CN554" s="28" t="str">
        <f aca="false">IFERROR(INDEX(Assessments!$I$2:$I$600,MATCH($H554&amp;"|"&amp;$I554&amp;"|"&amp;$J554&amp;"|"&amp;6,Assessments!$A$2:$A$600,0)),"")</f>
        <v/>
      </c>
      <c r="CO554" s="28" t="str">
        <f aca="false">IFERROR(INDEX(Assessments!$I$2:$I$600,MATCH($H554&amp;"|"&amp;$I554&amp;"|"&amp;$J554&amp;"|"&amp;7,Assessments!$A$2:$A$600,0)),"")</f>
        <v/>
      </c>
      <c r="CP554" s="28" t="str">
        <f aca="false">IFERROR(INDEX(Assessments!$I$2:$I$600,MATCH($H554&amp;"|"&amp;$I554&amp;"|"&amp;$J554&amp;"|"&amp;8,Assessments!$A$2:$A$600,0)),"")</f>
        <v/>
      </c>
      <c r="CQ554" s="28" t="str">
        <f aca="false">IFERROR(INDEX(Assessments!$I$2:$I$600,MATCH($H554&amp;"|"&amp;$I554&amp;"|"&amp;$J554&amp;"|"&amp;9,Assessments!$A$2:$A$600,0)),"")</f>
        <v/>
      </c>
      <c r="CR554" s="28" t="str">
        <f aca="false">IFERROR(INDEX(Assessments!$I$2:$I$600,MATCH($H554&amp;"|"&amp;$I554&amp;"|"&amp;$J554&amp;"|"&amp;10,Assessments!$A$2:$A$600,0)),"")</f>
        <v/>
      </c>
      <c r="CS554" s="28" t="str">
        <f aca="false">IFERROR(INDEX(Assessments!$I$2:$I$600,MATCH($H554&amp;"|"&amp;$I554&amp;"|"&amp;$J554&amp;"|"&amp;11,Assessments!$A$2:$A$600,0)),"")</f>
        <v/>
      </c>
      <c r="CT554" s="28" t="str">
        <f aca="false">IFERROR(INDEX(Assessments!$I$2:$I$600,MATCH($H554&amp;"|"&amp;$I554&amp;"|"&amp;$J554&amp;"|"&amp;12,Assessments!$A$2:$A$600,0)),"")</f>
        <v/>
      </c>
      <c r="CU554" s="28" t="str">
        <f aca="false">IFERROR(INDEX(Assessments!$I$2:$I$600,MATCH($H554&amp;"|"&amp;$I554&amp;"|"&amp;$J554&amp;"|"&amp;13,Assessments!$A$2:$A$600,0)),"")</f>
        <v/>
      </c>
      <c r="CV554" s="28" t="str">
        <f aca="false">IFERROR(INDEX(Assessments!$I$2:$I$600,MATCH($H554&amp;"|"&amp;$I554&amp;"|"&amp;$J554&amp;"|"&amp;14,Assessments!$A$2:$A$600,0)),"")</f>
        <v/>
      </c>
      <c r="CW554" s="28" t="n">
        <f aca="false">IFERROR(INDEX(Assessments!$J$2:$J$600,MATCH($H554&amp;"|"&amp;$I554&amp;"|"&amp;$J554&amp;"|"&amp;1,Assessments!$A$2:$A$600,0)),0)</f>
        <v>0</v>
      </c>
      <c r="CX554" s="28" t="n">
        <f aca="false">IFERROR(INDEX(Assessments!$J$2:$J$600,MATCH($H554&amp;"|"&amp;$I554&amp;"|"&amp;$J554&amp;"|"&amp;2,Assessments!$A$2:$A$600,0)),0)</f>
        <v>0</v>
      </c>
      <c r="CY554" s="28" t="n">
        <f aca="false">IFERROR(INDEX(Assessments!$J$2:$J$600,MATCH($H554&amp;"|"&amp;$I554&amp;"|"&amp;$J554&amp;"|"&amp;3,Assessments!$A$2:$A$600,0)),0)</f>
        <v>0</v>
      </c>
      <c r="CZ554" s="28" t="n">
        <f aca="false">IFERROR(INDEX(Assessments!$J$2:$J$600,MATCH($H554&amp;"|"&amp;$I554&amp;"|"&amp;$J554&amp;"|"&amp;4,Assessments!$A$2:$A$600,0)),0)</f>
        <v>0</v>
      </c>
      <c r="DA554" s="28" t="n">
        <f aca="false">IFERROR(INDEX(Assessments!$J$2:$J$600,MATCH($H554&amp;"|"&amp;$I554&amp;"|"&amp;$J554&amp;"|"&amp;5,Assessments!$A$2:$A$600,0)),0)</f>
        <v>0</v>
      </c>
      <c r="DB554" s="28" t="n">
        <f aca="false">IFERROR(INDEX(Assessments!$J$2:$J$600,MATCH($H554&amp;"|"&amp;$I554&amp;"|"&amp;$J554&amp;"|"&amp;6,Assessments!$A$2:$A$600,0)),0)</f>
        <v>0</v>
      </c>
      <c r="DC554" s="28" t="n">
        <f aca="false">IFERROR(INDEX(Assessments!$J$2:$J$600,MATCH($H554&amp;"|"&amp;$I554&amp;"|"&amp;$J554&amp;"|"&amp;7,Assessments!$A$2:$A$600,0)),0)</f>
        <v>0</v>
      </c>
      <c r="DD554" s="28" t="n">
        <f aca="false">IFERROR(INDEX(Assessments!$J$2:$J$600,MATCH($H554&amp;"|"&amp;$I554&amp;"|"&amp;$J554&amp;"|"&amp;8,Assessments!$A$2:$A$600,0)),0)</f>
        <v>0</v>
      </c>
      <c r="DE554" s="28" t="n">
        <f aca="false">IFERROR(INDEX(Assessments!$J$2:$J$600,MATCH($H554&amp;"|"&amp;$I554&amp;"|"&amp;$J554&amp;"|"&amp;9,Assessments!$A$2:$A$600,0)),0)</f>
        <v>0</v>
      </c>
      <c r="DF554" s="28" t="n">
        <f aca="false">IFERROR(INDEX(Assessments!$J$2:$J$600,MATCH($H554&amp;"|"&amp;$I554&amp;"|"&amp;$J554&amp;"|"&amp;10,Assessments!$A$2:$A$600,0)),0)</f>
        <v>0</v>
      </c>
      <c r="DG554" s="28" t="n">
        <f aca="false">IFERROR(INDEX(Assessments!$J$2:$J$600,MATCH($H554&amp;"|"&amp;$I554&amp;"|"&amp;$J554&amp;"|"&amp;11,Assessments!$A$2:$A$600,0)),0)</f>
        <v>0</v>
      </c>
      <c r="DH554" s="28" t="n">
        <f aca="false">IFERROR(INDEX(Assessments!$J$2:$J$600,MATCH($H554&amp;"|"&amp;$I554&amp;"|"&amp;$J554&amp;"|"&amp;12,Assessments!$A$2:$A$600,0)),0)</f>
        <v>0</v>
      </c>
      <c r="DI554" s="28" t="n">
        <f aca="false">IFERROR(INDEX(Assessments!$J$2:$J$600,MATCH($H554&amp;"|"&amp;$I554&amp;"|"&amp;$J554&amp;"|"&amp;13,Assessments!$A$2:$A$600,0)),0)</f>
        <v>0</v>
      </c>
      <c r="DJ554" s="28" t="n">
        <f aca="false">IFERROR(INDEX(Assessments!$J$2:$J$600,MATCH($H554&amp;"|"&amp;$I554&amp;"|"&amp;$J554&amp;"|"&amp;14,Assessments!$A$2:$A$600,0)),0)</f>
        <v>0</v>
      </c>
      <c r="DK554" s="28" t="str">
        <f aca="false">S554</f>
        <v/>
      </c>
      <c r="DL554" s="28" t="str">
        <f aca="false">W554</f>
        <v/>
      </c>
      <c r="DM554" s="28" t="str">
        <f aca="false">AA554</f>
        <v/>
      </c>
      <c r="DN554" s="28" t="str">
        <f aca="false">AE554</f>
        <v/>
      </c>
      <c r="DO554" s="28" t="str">
        <f aca="false">AI554</f>
        <v/>
      </c>
      <c r="DP554" s="28" t="str">
        <f aca="false">AM554</f>
        <v/>
      </c>
      <c r="DQ554" s="28" t="str">
        <f aca="false">AQ554</f>
        <v/>
      </c>
      <c r="DR554" s="28" t="str">
        <f aca="false">AU554</f>
        <v/>
      </c>
      <c r="DS554" s="28" t="str">
        <f aca="false">AY554</f>
        <v/>
      </c>
      <c r="DT554" s="28" t="str">
        <f aca="false">BC554</f>
        <v/>
      </c>
      <c r="DU554" s="28" t="str">
        <f aca="false">BG554</f>
        <v/>
      </c>
      <c r="DV554" s="28" t="str">
        <f aca="false">BK554</f>
        <v/>
      </c>
      <c r="DW554" s="28" t="str">
        <f aca="false">BO554</f>
        <v/>
      </c>
      <c r="DX554" s="28" t="str">
        <f aca="false">BS554</f>
        <v/>
      </c>
      <c r="DY554" s="28" t="str">
        <f aca="false">IF(ISNUMBER(S554),1,"")</f>
        <v/>
      </c>
      <c r="DZ554" s="28" t="str">
        <f aca="false">IF(ISNUMBER(W554),2,"")</f>
        <v/>
      </c>
      <c r="EA554" s="28" t="str">
        <f aca="false">IF(ISNUMBER(AA554),3,"")</f>
        <v/>
      </c>
      <c r="EB554" s="28" t="str">
        <f aca="false">IF(ISNUMBER(AE554),4,"")</f>
        <v/>
      </c>
      <c r="EC554" s="28" t="str">
        <f aca="false">IF(ISNUMBER(AI554),5,"")</f>
        <v/>
      </c>
      <c r="ED554" s="28" t="str">
        <f aca="false">IF(ISNUMBER(AM554),6,"")</f>
        <v/>
      </c>
      <c r="EE554" s="28" t="str">
        <f aca="false">IF(ISNUMBER(AQ554),7,"")</f>
        <v/>
      </c>
      <c r="EF554" s="28" t="str">
        <f aca="false">IF(ISNUMBER(AU554),8,"")</f>
        <v/>
      </c>
      <c r="EG554" s="28" t="str">
        <f aca="false">IF(ISNUMBER(AY554),9,"")</f>
        <v/>
      </c>
      <c r="EH554" s="28" t="str">
        <f aca="false">IF(ISNUMBER(BC554),10,"")</f>
        <v/>
      </c>
      <c r="EI554" s="28" t="str">
        <f aca="false">IF(ISNUMBER(BG554),11,"")</f>
        <v/>
      </c>
      <c r="EJ554" s="28" t="str">
        <f aca="false">IF(ISNUMBER(BK554),12,"")</f>
        <v/>
      </c>
      <c r="EK554" s="28" t="str">
        <f aca="false">IF(ISNUMBER(BO554),13,"")</f>
        <v/>
      </c>
      <c r="EL554" s="28" t="str">
        <f aca="false">IF(ISNUMBER(BS554),14,"")</f>
        <v/>
      </c>
      <c r="EM554" s="28" t="n">
        <f aca="false">IF(ISNUMBER(R554),R554*CW554,0)</f>
        <v>0</v>
      </c>
      <c r="EN554" s="28" t="n">
        <f aca="false">IF(ISNUMBER(V554),V554*CX554,0)</f>
        <v>0</v>
      </c>
      <c r="EO554" s="28" t="n">
        <f aca="false">IF(ISNUMBER(Z554),Z554*CY554,0)</f>
        <v>0</v>
      </c>
      <c r="EP554" s="28" t="n">
        <f aca="false">IF(ISNUMBER(AD554),AD554*CZ554,0)</f>
        <v>0</v>
      </c>
      <c r="EQ554" s="28" t="n">
        <f aca="false">IF(ISNUMBER(AH554),AH554*DA554,0)</f>
        <v>0</v>
      </c>
      <c r="ER554" s="28" t="n">
        <f aca="false">IF(ISNUMBER(AL554),AL554*DB554,0)</f>
        <v>0</v>
      </c>
      <c r="ES554" s="28" t="n">
        <f aca="false">IF(ISNUMBER(AP554),AP554*DC554,0)</f>
        <v>0</v>
      </c>
      <c r="ET554" s="28" t="n">
        <f aca="false">IF(ISNUMBER(AT554),AT554*DD554,0)</f>
        <v>0</v>
      </c>
      <c r="EU554" s="28" t="n">
        <f aca="false">IF(ISNUMBER(AX554),AX554*DE554,0)</f>
        <v>0</v>
      </c>
      <c r="EV554" s="28" t="n">
        <f aca="false">IF(ISNUMBER(BB554),BB554*DF554,0)</f>
        <v>0</v>
      </c>
      <c r="EW554" s="28" t="n">
        <f aca="false">IF(ISNUMBER(BF554),BF554*DG554,0)</f>
        <v>0</v>
      </c>
      <c r="EX554" s="28" t="n">
        <f aca="false">IF(ISNUMBER(BJ554),BJ554*DH554,0)</f>
        <v>0</v>
      </c>
      <c r="EY554" s="28" t="n">
        <f aca="false">IF(ISNUMBER(BN554),BN554*DI554,0)</f>
        <v>0</v>
      </c>
      <c r="EZ554" s="28" t="n">
        <f aca="false">IF(ISNUMBER(BR554),BR554*DJ554,0)</f>
        <v>0</v>
      </c>
      <c r="FA554" s="28" t="n">
        <f aca="false">IF(ISNUMBER(R554),CW554,0)</f>
        <v>0</v>
      </c>
      <c r="FB554" s="28" t="n">
        <f aca="false">IF(ISNUMBER(V554),CX554,0)</f>
        <v>0</v>
      </c>
      <c r="FC554" s="28" t="n">
        <f aca="false">IF(ISNUMBER(Z554),CY554,0)</f>
        <v>0</v>
      </c>
      <c r="FD554" s="28" t="n">
        <f aca="false">IF(ISNUMBER(AD554),CZ554,0)</f>
        <v>0</v>
      </c>
      <c r="FE554" s="28" t="n">
        <f aca="false">IF(ISNUMBER(AH554),DA554,0)</f>
        <v>0</v>
      </c>
      <c r="FF554" s="28" t="n">
        <f aca="false">IF(ISNUMBER(AL554),DB554,0)</f>
        <v>0</v>
      </c>
      <c r="FG554" s="28" t="n">
        <f aca="false">IF(ISNUMBER(AP554),DC554,0)</f>
        <v>0</v>
      </c>
      <c r="FH554" s="28" t="n">
        <f aca="false">IF(ISNUMBER(AT554),DD554,0)</f>
        <v>0</v>
      </c>
      <c r="FI554" s="28" t="n">
        <f aca="false">IF(ISNUMBER(AX554),DE554,0)</f>
        <v>0</v>
      </c>
      <c r="FJ554" s="28" t="n">
        <f aca="false">IF(ISNUMBER(BB554),DF554,0)</f>
        <v>0</v>
      </c>
      <c r="FK554" s="28" t="n">
        <f aca="false">IF(ISNUMBER(BF554),DG554,0)</f>
        <v>0</v>
      </c>
      <c r="FL554" s="28" t="n">
        <f aca="false">IF(ISNUMBER(BJ554),DH554,0)</f>
        <v>0</v>
      </c>
      <c r="FM554" s="28" t="n">
        <f aca="false">IF(ISNUMBER(BN554),DI554,0)</f>
        <v>0</v>
      </c>
      <c r="FN554" s="28" t="n">
        <f aca="false">IF(ISNUMBER(BR554),DJ554,0)</f>
        <v>0</v>
      </c>
      <c r="FO554" s="28" t="str">
        <f aca="false">IFERROR(INDEX(Lists!$G$2:$G$20,MATCH($I554&amp;"|"&amp;$J554,Lists!$F$2:$F$20,0)),"")</f>
        <v/>
      </c>
    </row>
    <row r="555" customFormat="false" ht="19.5" hidden="false" customHeight="true" outlineLevel="0" collapsed="false">
      <c r="A555" s="29"/>
      <c r="B555" s="29"/>
      <c r="C555" s="30"/>
      <c r="D555" s="30"/>
      <c r="E555" s="31"/>
      <c r="F555" s="30"/>
      <c r="G555" s="30"/>
      <c r="H555" s="32"/>
      <c r="I555" s="33"/>
      <c r="J555" s="32"/>
      <c r="K555" s="34" t="str">
        <f aca="false">IF(OR(M555="",$E555=""),"",M555-$E555)</f>
        <v/>
      </c>
      <c r="L555" s="35" t="str">
        <f aca="false">IF(SUM(FA555:FN555)=0,"",SUM(EM555:EZ555)/SUM(FA555:FN555))</f>
        <v/>
      </c>
      <c r="M555" s="36" t="str">
        <f aca="false">IF(OR(L555="",FO555=""),"",IFERROR(MATCH(L555,INDEX(Boundaries!$B$2:$I$30,MATCH(FO555,Boundaries!$A$2:$A$30,0),0),1)-1,""))</f>
        <v/>
      </c>
      <c r="N555" s="37" t="str">
        <f aca="false">IF(COUNT($DY555:$EL555)&lt;2,"",INDEX($DK555:$DX555,MAX($DY555:$EL555))-INDEX($DK555:$DX555,MIN($DY555:$EL555)))</f>
        <v/>
      </c>
      <c r="O555" s="37" t="str">
        <f aca="false">IF(COUNT($DY555:$EL555)&lt;2,"",INDEX($DK555:$DX555,MAX($DY555:$EL555))-INDEX($DK555:$DX555,LARGE($DY555:$EL555,2)))</f>
        <v/>
      </c>
      <c r="P555" s="38" t="str">
        <f aca="false">IF(K555="","",IF(K555&gt;=0,"On/above target",IF(AND(N555&lt;&gt;"",N555&gt;=0.5),"Improving towards target",IF(AND(O555&lt;&gt;"",O555&lt;=-0.5),"Declining","Stable below target"))))</f>
        <v/>
      </c>
      <c r="Q555" s="39"/>
      <c r="R555" s="40" t="str">
        <f aca="false">IF(OR(Q555="",BU555=""),"",Q555/BU555*100)</f>
        <v/>
      </c>
      <c r="S555" s="41" t="str">
        <f aca="false">IF(R555="","",IFERROR(MATCH(R555,INDEX(Boundaries!$B$2:$I$30,MATCH(CI555,Boundaries!$A$2:$A$30,0),0),1)-1,""))</f>
        <v/>
      </c>
      <c r="T555" s="42" t="str">
        <f aca="false">IF(OR(S555="",$E555=""),"",S555-$E555)</f>
        <v/>
      </c>
      <c r="U555" s="39"/>
      <c r="V555" s="40" t="str">
        <f aca="false">IF(OR(U555="",BV555=""),"",U555/BV555*100)</f>
        <v/>
      </c>
      <c r="W555" s="41" t="str">
        <f aca="false">IF(V555="","",IFERROR(MATCH(V555,INDEX(Boundaries!$B$2:$I$30,MATCH(CJ555,Boundaries!$A$2:$A$30,0),0),1)-1,""))</f>
        <v/>
      </c>
      <c r="X555" s="42" t="str">
        <f aca="false">IF(OR(W555="",$E555=""),"",W555-$E555)</f>
        <v/>
      </c>
      <c r="Y555" s="39"/>
      <c r="Z555" s="40" t="str">
        <f aca="false">IF(OR(Y555="",BW555=""),"",Y555/BW555*100)</f>
        <v/>
      </c>
      <c r="AA555" s="41" t="str">
        <f aca="false">IF(Z555="","",IFERROR(MATCH(Z555,INDEX(Boundaries!$B$2:$I$30,MATCH(CK555,Boundaries!$A$2:$A$30,0),0),1)-1,""))</f>
        <v/>
      </c>
      <c r="AB555" s="42" t="str">
        <f aca="false">IF(OR(AA555="",$E555=""),"",AA555-$E555)</f>
        <v/>
      </c>
      <c r="AC555" s="39"/>
      <c r="AD555" s="40" t="str">
        <f aca="false">IF(OR(AC555="",BX555=""),"",AC555/BX555*100)</f>
        <v/>
      </c>
      <c r="AE555" s="41" t="str">
        <f aca="false">IF(AD555="","",IFERROR(MATCH(AD555,INDEX(Boundaries!$B$2:$I$30,MATCH(CL555,Boundaries!$A$2:$A$30,0),0),1)-1,""))</f>
        <v/>
      </c>
      <c r="AF555" s="42" t="str">
        <f aca="false">IF(OR(AE555="",$E555=""),"",AE555-$E555)</f>
        <v/>
      </c>
      <c r="AG555" s="39"/>
      <c r="AH555" s="40" t="str">
        <f aca="false">IF(OR(AG555="",BY555=""),"",AG555/BY555*100)</f>
        <v/>
      </c>
      <c r="AI555" s="41" t="str">
        <f aca="false">IF(AH555="","",IFERROR(MATCH(AH555,INDEX(Boundaries!$B$2:$I$30,MATCH(CM555,Boundaries!$A$2:$A$30,0),0),1)-1,""))</f>
        <v/>
      </c>
      <c r="AJ555" s="42" t="str">
        <f aca="false">IF(OR(AI555="",$E555=""),"",AI555-$E555)</f>
        <v/>
      </c>
      <c r="AK555" s="39"/>
      <c r="AL555" s="40" t="str">
        <f aca="false">IF(OR(AK555="",BZ555=""),"",AK555/BZ555*100)</f>
        <v/>
      </c>
      <c r="AM555" s="41" t="str">
        <f aca="false">IF(AL555="","",IFERROR(MATCH(AL555,INDEX(Boundaries!$B$2:$I$30,MATCH(CN555,Boundaries!$A$2:$A$30,0),0),1)-1,""))</f>
        <v/>
      </c>
      <c r="AN555" s="42" t="str">
        <f aca="false">IF(OR(AM555="",$E555=""),"",AM555-$E555)</f>
        <v/>
      </c>
      <c r="AO555" s="39"/>
      <c r="AP555" s="40" t="str">
        <f aca="false">IF(OR(AO555="",CA555=""),"",AO555/CA555*100)</f>
        <v/>
      </c>
      <c r="AQ555" s="41" t="str">
        <f aca="false">IF(AP555="","",IFERROR(MATCH(AP555,INDEX(Boundaries!$B$2:$I$30,MATCH(CO555,Boundaries!$A$2:$A$30,0),0),1)-1,""))</f>
        <v/>
      </c>
      <c r="AR555" s="42" t="str">
        <f aca="false">IF(OR(AQ555="",$E555=""),"",AQ555-$E555)</f>
        <v/>
      </c>
      <c r="AS555" s="39"/>
      <c r="AT555" s="40" t="str">
        <f aca="false">IF(OR(AS555="",CB555=""),"",AS555/CB555*100)</f>
        <v/>
      </c>
      <c r="AU555" s="41" t="str">
        <f aca="false">IF(AT555="","",IFERROR(MATCH(AT555,INDEX(Boundaries!$B$2:$I$30,MATCH(CP555,Boundaries!$A$2:$A$30,0),0),1)-1,""))</f>
        <v/>
      </c>
      <c r="AV555" s="42" t="str">
        <f aca="false">IF(OR(AU555="",$E555=""),"",AU555-$E555)</f>
        <v/>
      </c>
      <c r="AW555" s="39"/>
      <c r="AX555" s="40" t="str">
        <f aca="false">IF(OR(AW555="",CC555=""),"",AW555/CC555*100)</f>
        <v/>
      </c>
      <c r="AY555" s="41" t="str">
        <f aca="false">IF(AX555="","",IFERROR(MATCH(AX555,INDEX(Boundaries!$B$2:$I$30,MATCH(CQ555,Boundaries!$A$2:$A$30,0),0),1)-1,""))</f>
        <v/>
      </c>
      <c r="AZ555" s="42" t="str">
        <f aca="false">IF(OR(AY555="",$E555=""),"",AY555-$E555)</f>
        <v/>
      </c>
      <c r="BA555" s="39"/>
      <c r="BB555" s="40" t="str">
        <f aca="false">IF(OR(BA555="",CD555=""),"",BA555/CD555*100)</f>
        <v/>
      </c>
      <c r="BC555" s="41" t="str">
        <f aca="false">IF(BB555="","",IFERROR(MATCH(BB555,INDEX(Boundaries!$B$2:$I$30,MATCH(CR555,Boundaries!$A$2:$A$30,0),0),1)-1,""))</f>
        <v/>
      </c>
      <c r="BD555" s="42" t="str">
        <f aca="false">IF(OR(BC555="",$E555=""),"",BC555-$E555)</f>
        <v/>
      </c>
      <c r="BE555" s="39"/>
      <c r="BF555" s="40" t="str">
        <f aca="false">IF(OR(BE555="",CE555=""),"",BE555/CE555*100)</f>
        <v/>
      </c>
      <c r="BG555" s="41" t="str">
        <f aca="false">IF(BF555="","",IFERROR(MATCH(BF555,INDEX(Boundaries!$B$2:$I$30,MATCH(CS555,Boundaries!$A$2:$A$30,0),0),1)-1,""))</f>
        <v/>
      </c>
      <c r="BH555" s="42" t="str">
        <f aca="false">IF(OR(BG555="",$E555=""),"",BG555-$E555)</f>
        <v/>
      </c>
      <c r="BI555" s="39"/>
      <c r="BJ555" s="40" t="str">
        <f aca="false">IF(OR(BI555="",CF555=""),"",BI555/CF555*100)</f>
        <v/>
      </c>
      <c r="BK555" s="41" t="str">
        <f aca="false">IF(BJ555="","",IFERROR(MATCH(BJ555,INDEX(Boundaries!$B$2:$I$30,MATCH(CT555,Boundaries!$A$2:$A$30,0),0),1)-1,""))</f>
        <v/>
      </c>
      <c r="BL555" s="42" t="str">
        <f aca="false">IF(OR(BK555="",$E555=""),"",BK555-$E555)</f>
        <v/>
      </c>
      <c r="BM555" s="39"/>
      <c r="BN555" s="40" t="str">
        <f aca="false">IF(OR(BM555="",CG555=""),"",BM555/CG555*100)</f>
        <v/>
      </c>
      <c r="BO555" s="41" t="str">
        <f aca="false">IF(BN555="","",IFERROR(MATCH(BN555,INDEX(Boundaries!$B$2:$I$30,MATCH(CU555,Boundaries!$A$2:$A$30,0),0),1)-1,""))</f>
        <v/>
      </c>
      <c r="BP555" s="42" t="str">
        <f aca="false">IF(OR(BO555="",$E555=""),"",BO555-$E555)</f>
        <v/>
      </c>
      <c r="BQ555" s="39"/>
      <c r="BR555" s="40" t="str">
        <f aca="false">IF(OR(BQ555="",CH555=""),"",BQ555/CH555*100)</f>
        <v/>
      </c>
      <c r="BS555" s="41" t="str">
        <f aca="false">IF(BR555="","",IFERROR(MATCH(BR555,INDEX(Boundaries!$B$2:$I$30,MATCH(CV555,Boundaries!$A$2:$A$30,0),0),1)-1,""))</f>
        <v/>
      </c>
      <c r="BT555" s="42" t="str">
        <f aca="false">IF(OR(BS555="",$E555=""),"",BS555-$E555)</f>
        <v/>
      </c>
      <c r="BU555" s="28" t="str">
        <f aca="false">IFERROR(INDEX(Assessments!$H$2:$H$600,MATCH($H555&amp;"|"&amp;$I555&amp;"|"&amp;$J555&amp;"|"&amp;1,Assessments!$A$2:$A$600,0)),"")</f>
        <v/>
      </c>
      <c r="BV555" s="28" t="str">
        <f aca="false">IFERROR(INDEX(Assessments!$H$2:$H$600,MATCH($H555&amp;"|"&amp;$I555&amp;"|"&amp;$J555&amp;"|"&amp;2,Assessments!$A$2:$A$600,0)),"")</f>
        <v/>
      </c>
      <c r="BW555" s="28" t="str">
        <f aca="false">IFERROR(INDEX(Assessments!$H$2:$H$600,MATCH($H555&amp;"|"&amp;$I555&amp;"|"&amp;$J555&amp;"|"&amp;3,Assessments!$A$2:$A$600,0)),"")</f>
        <v/>
      </c>
      <c r="BX555" s="28" t="str">
        <f aca="false">IFERROR(INDEX(Assessments!$H$2:$H$600,MATCH($H555&amp;"|"&amp;$I555&amp;"|"&amp;$J555&amp;"|"&amp;4,Assessments!$A$2:$A$600,0)),"")</f>
        <v/>
      </c>
      <c r="BY555" s="28" t="str">
        <f aca="false">IFERROR(INDEX(Assessments!$H$2:$H$600,MATCH($H555&amp;"|"&amp;$I555&amp;"|"&amp;$J555&amp;"|"&amp;5,Assessments!$A$2:$A$600,0)),"")</f>
        <v/>
      </c>
      <c r="BZ555" s="28" t="str">
        <f aca="false">IFERROR(INDEX(Assessments!$H$2:$H$600,MATCH($H555&amp;"|"&amp;$I555&amp;"|"&amp;$J555&amp;"|"&amp;6,Assessments!$A$2:$A$600,0)),"")</f>
        <v/>
      </c>
      <c r="CA555" s="28" t="str">
        <f aca="false">IFERROR(INDEX(Assessments!$H$2:$H$600,MATCH($H555&amp;"|"&amp;$I555&amp;"|"&amp;$J555&amp;"|"&amp;7,Assessments!$A$2:$A$600,0)),"")</f>
        <v/>
      </c>
      <c r="CB555" s="28" t="str">
        <f aca="false">IFERROR(INDEX(Assessments!$H$2:$H$600,MATCH($H555&amp;"|"&amp;$I555&amp;"|"&amp;$J555&amp;"|"&amp;8,Assessments!$A$2:$A$600,0)),"")</f>
        <v/>
      </c>
      <c r="CC555" s="28" t="str">
        <f aca="false">IFERROR(INDEX(Assessments!$H$2:$H$600,MATCH($H555&amp;"|"&amp;$I555&amp;"|"&amp;$J555&amp;"|"&amp;9,Assessments!$A$2:$A$600,0)),"")</f>
        <v/>
      </c>
      <c r="CD555" s="28" t="str">
        <f aca="false">IFERROR(INDEX(Assessments!$H$2:$H$600,MATCH($H555&amp;"|"&amp;$I555&amp;"|"&amp;$J555&amp;"|"&amp;10,Assessments!$A$2:$A$600,0)),"")</f>
        <v/>
      </c>
      <c r="CE555" s="28" t="str">
        <f aca="false">IFERROR(INDEX(Assessments!$H$2:$H$600,MATCH($H555&amp;"|"&amp;$I555&amp;"|"&amp;$J555&amp;"|"&amp;11,Assessments!$A$2:$A$600,0)),"")</f>
        <v/>
      </c>
      <c r="CF555" s="28" t="str">
        <f aca="false">IFERROR(INDEX(Assessments!$H$2:$H$600,MATCH($H555&amp;"|"&amp;$I555&amp;"|"&amp;$J555&amp;"|"&amp;12,Assessments!$A$2:$A$600,0)),"")</f>
        <v/>
      </c>
      <c r="CG555" s="28" t="str">
        <f aca="false">IFERROR(INDEX(Assessments!$H$2:$H$600,MATCH($H555&amp;"|"&amp;$I555&amp;"|"&amp;$J555&amp;"|"&amp;13,Assessments!$A$2:$A$600,0)),"")</f>
        <v/>
      </c>
      <c r="CH555" s="28" t="str">
        <f aca="false">IFERROR(INDEX(Assessments!$H$2:$H$600,MATCH($H555&amp;"|"&amp;$I555&amp;"|"&amp;$J555&amp;"|"&amp;14,Assessments!$A$2:$A$600,0)),"")</f>
        <v/>
      </c>
      <c r="CI555" s="28" t="str">
        <f aca="false">IFERROR(INDEX(Assessments!$I$2:$I$600,MATCH($H555&amp;"|"&amp;$I555&amp;"|"&amp;$J555&amp;"|"&amp;1,Assessments!$A$2:$A$600,0)),"")</f>
        <v/>
      </c>
      <c r="CJ555" s="28" t="str">
        <f aca="false">IFERROR(INDEX(Assessments!$I$2:$I$600,MATCH($H555&amp;"|"&amp;$I555&amp;"|"&amp;$J555&amp;"|"&amp;2,Assessments!$A$2:$A$600,0)),"")</f>
        <v/>
      </c>
      <c r="CK555" s="28" t="str">
        <f aca="false">IFERROR(INDEX(Assessments!$I$2:$I$600,MATCH($H555&amp;"|"&amp;$I555&amp;"|"&amp;$J555&amp;"|"&amp;3,Assessments!$A$2:$A$600,0)),"")</f>
        <v/>
      </c>
      <c r="CL555" s="28" t="str">
        <f aca="false">IFERROR(INDEX(Assessments!$I$2:$I$600,MATCH($H555&amp;"|"&amp;$I555&amp;"|"&amp;$J555&amp;"|"&amp;4,Assessments!$A$2:$A$600,0)),"")</f>
        <v/>
      </c>
      <c r="CM555" s="28" t="str">
        <f aca="false">IFERROR(INDEX(Assessments!$I$2:$I$600,MATCH($H555&amp;"|"&amp;$I555&amp;"|"&amp;$J555&amp;"|"&amp;5,Assessments!$A$2:$A$600,0)),"")</f>
        <v/>
      </c>
      <c r="CN555" s="28" t="str">
        <f aca="false">IFERROR(INDEX(Assessments!$I$2:$I$600,MATCH($H555&amp;"|"&amp;$I555&amp;"|"&amp;$J555&amp;"|"&amp;6,Assessments!$A$2:$A$600,0)),"")</f>
        <v/>
      </c>
      <c r="CO555" s="28" t="str">
        <f aca="false">IFERROR(INDEX(Assessments!$I$2:$I$600,MATCH($H555&amp;"|"&amp;$I555&amp;"|"&amp;$J555&amp;"|"&amp;7,Assessments!$A$2:$A$600,0)),"")</f>
        <v/>
      </c>
      <c r="CP555" s="28" t="str">
        <f aca="false">IFERROR(INDEX(Assessments!$I$2:$I$600,MATCH($H555&amp;"|"&amp;$I555&amp;"|"&amp;$J555&amp;"|"&amp;8,Assessments!$A$2:$A$600,0)),"")</f>
        <v/>
      </c>
      <c r="CQ555" s="28" t="str">
        <f aca="false">IFERROR(INDEX(Assessments!$I$2:$I$600,MATCH($H555&amp;"|"&amp;$I555&amp;"|"&amp;$J555&amp;"|"&amp;9,Assessments!$A$2:$A$600,0)),"")</f>
        <v/>
      </c>
      <c r="CR555" s="28" t="str">
        <f aca="false">IFERROR(INDEX(Assessments!$I$2:$I$600,MATCH($H555&amp;"|"&amp;$I555&amp;"|"&amp;$J555&amp;"|"&amp;10,Assessments!$A$2:$A$600,0)),"")</f>
        <v/>
      </c>
      <c r="CS555" s="28" t="str">
        <f aca="false">IFERROR(INDEX(Assessments!$I$2:$I$600,MATCH($H555&amp;"|"&amp;$I555&amp;"|"&amp;$J555&amp;"|"&amp;11,Assessments!$A$2:$A$600,0)),"")</f>
        <v/>
      </c>
      <c r="CT555" s="28" t="str">
        <f aca="false">IFERROR(INDEX(Assessments!$I$2:$I$600,MATCH($H555&amp;"|"&amp;$I555&amp;"|"&amp;$J555&amp;"|"&amp;12,Assessments!$A$2:$A$600,0)),"")</f>
        <v/>
      </c>
      <c r="CU555" s="28" t="str">
        <f aca="false">IFERROR(INDEX(Assessments!$I$2:$I$600,MATCH($H555&amp;"|"&amp;$I555&amp;"|"&amp;$J555&amp;"|"&amp;13,Assessments!$A$2:$A$600,0)),"")</f>
        <v/>
      </c>
      <c r="CV555" s="28" t="str">
        <f aca="false">IFERROR(INDEX(Assessments!$I$2:$I$600,MATCH($H555&amp;"|"&amp;$I555&amp;"|"&amp;$J555&amp;"|"&amp;14,Assessments!$A$2:$A$600,0)),"")</f>
        <v/>
      </c>
      <c r="CW555" s="28" t="n">
        <f aca="false">IFERROR(INDEX(Assessments!$J$2:$J$600,MATCH($H555&amp;"|"&amp;$I555&amp;"|"&amp;$J555&amp;"|"&amp;1,Assessments!$A$2:$A$600,0)),0)</f>
        <v>0</v>
      </c>
      <c r="CX555" s="28" t="n">
        <f aca="false">IFERROR(INDEX(Assessments!$J$2:$J$600,MATCH($H555&amp;"|"&amp;$I555&amp;"|"&amp;$J555&amp;"|"&amp;2,Assessments!$A$2:$A$600,0)),0)</f>
        <v>0</v>
      </c>
      <c r="CY555" s="28" t="n">
        <f aca="false">IFERROR(INDEX(Assessments!$J$2:$J$600,MATCH($H555&amp;"|"&amp;$I555&amp;"|"&amp;$J555&amp;"|"&amp;3,Assessments!$A$2:$A$600,0)),0)</f>
        <v>0</v>
      </c>
      <c r="CZ555" s="28" t="n">
        <f aca="false">IFERROR(INDEX(Assessments!$J$2:$J$600,MATCH($H555&amp;"|"&amp;$I555&amp;"|"&amp;$J555&amp;"|"&amp;4,Assessments!$A$2:$A$600,0)),0)</f>
        <v>0</v>
      </c>
      <c r="DA555" s="28" t="n">
        <f aca="false">IFERROR(INDEX(Assessments!$J$2:$J$600,MATCH($H555&amp;"|"&amp;$I555&amp;"|"&amp;$J555&amp;"|"&amp;5,Assessments!$A$2:$A$600,0)),0)</f>
        <v>0</v>
      </c>
      <c r="DB555" s="28" t="n">
        <f aca="false">IFERROR(INDEX(Assessments!$J$2:$J$600,MATCH($H555&amp;"|"&amp;$I555&amp;"|"&amp;$J555&amp;"|"&amp;6,Assessments!$A$2:$A$600,0)),0)</f>
        <v>0</v>
      </c>
      <c r="DC555" s="28" t="n">
        <f aca="false">IFERROR(INDEX(Assessments!$J$2:$J$600,MATCH($H555&amp;"|"&amp;$I555&amp;"|"&amp;$J555&amp;"|"&amp;7,Assessments!$A$2:$A$600,0)),0)</f>
        <v>0</v>
      </c>
      <c r="DD555" s="28" t="n">
        <f aca="false">IFERROR(INDEX(Assessments!$J$2:$J$600,MATCH($H555&amp;"|"&amp;$I555&amp;"|"&amp;$J555&amp;"|"&amp;8,Assessments!$A$2:$A$600,0)),0)</f>
        <v>0</v>
      </c>
      <c r="DE555" s="28" t="n">
        <f aca="false">IFERROR(INDEX(Assessments!$J$2:$J$600,MATCH($H555&amp;"|"&amp;$I555&amp;"|"&amp;$J555&amp;"|"&amp;9,Assessments!$A$2:$A$600,0)),0)</f>
        <v>0</v>
      </c>
      <c r="DF555" s="28" t="n">
        <f aca="false">IFERROR(INDEX(Assessments!$J$2:$J$600,MATCH($H555&amp;"|"&amp;$I555&amp;"|"&amp;$J555&amp;"|"&amp;10,Assessments!$A$2:$A$600,0)),0)</f>
        <v>0</v>
      </c>
      <c r="DG555" s="28" t="n">
        <f aca="false">IFERROR(INDEX(Assessments!$J$2:$J$600,MATCH($H555&amp;"|"&amp;$I555&amp;"|"&amp;$J555&amp;"|"&amp;11,Assessments!$A$2:$A$600,0)),0)</f>
        <v>0</v>
      </c>
      <c r="DH555" s="28" t="n">
        <f aca="false">IFERROR(INDEX(Assessments!$J$2:$J$600,MATCH($H555&amp;"|"&amp;$I555&amp;"|"&amp;$J555&amp;"|"&amp;12,Assessments!$A$2:$A$600,0)),0)</f>
        <v>0</v>
      </c>
      <c r="DI555" s="28" t="n">
        <f aca="false">IFERROR(INDEX(Assessments!$J$2:$J$600,MATCH($H555&amp;"|"&amp;$I555&amp;"|"&amp;$J555&amp;"|"&amp;13,Assessments!$A$2:$A$600,0)),0)</f>
        <v>0</v>
      </c>
      <c r="DJ555" s="28" t="n">
        <f aca="false">IFERROR(INDEX(Assessments!$J$2:$J$600,MATCH($H555&amp;"|"&amp;$I555&amp;"|"&amp;$J555&amp;"|"&amp;14,Assessments!$A$2:$A$600,0)),0)</f>
        <v>0</v>
      </c>
      <c r="DK555" s="28" t="str">
        <f aca="false">S555</f>
        <v/>
      </c>
      <c r="DL555" s="28" t="str">
        <f aca="false">W555</f>
        <v/>
      </c>
      <c r="DM555" s="28" t="str">
        <f aca="false">AA555</f>
        <v/>
      </c>
      <c r="DN555" s="28" t="str">
        <f aca="false">AE555</f>
        <v/>
      </c>
      <c r="DO555" s="28" t="str">
        <f aca="false">AI555</f>
        <v/>
      </c>
      <c r="DP555" s="28" t="str">
        <f aca="false">AM555</f>
        <v/>
      </c>
      <c r="DQ555" s="28" t="str">
        <f aca="false">AQ555</f>
        <v/>
      </c>
      <c r="DR555" s="28" t="str">
        <f aca="false">AU555</f>
        <v/>
      </c>
      <c r="DS555" s="28" t="str">
        <f aca="false">AY555</f>
        <v/>
      </c>
      <c r="DT555" s="28" t="str">
        <f aca="false">BC555</f>
        <v/>
      </c>
      <c r="DU555" s="28" t="str">
        <f aca="false">BG555</f>
        <v/>
      </c>
      <c r="DV555" s="28" t="str">
        <f aca="false">BK555</f>
        <v/>
      </c>
      <c r="DW555" s="28" t="str">
        <f aca="false">BO555</f>
        <v/>
      </c>
      <c r="DX555" s="28" t="str">
        <f aca="false">BS555</f>
        <v/>
      </c>
      <c r="DY555" s="28" t="str">
        <f aca="false">IF(ISNUMBER(S555),1,"")</f>
        <v/>
      </c>
      <c r="DZ555" s="28" t="str">
        <f aca="false">IF(ISNUMBER(W555),2,"")</f>
        <v/>
      </c>
      <c r="EA555" s="28" t="str">
        <f aca="false">IF(ISNUMBER(AA555),3,"")</f>
        <v/>
      </c>
      <c r="EB555" s="28" t="str">
        <f aca="false">IF(ISNUMBER(AE555),4,"")</f>
        <v/>
      </c>
      <c r="EC555" s="28" t="str">
        <f aca="false">IF(ISNUMBER(AI555),5,"")</f>
        <v/>
      </c>
      <c r="ED555" s="28" t="str">
        <f aca="false">IF(ISNUMBER(AM555),6,"")</f>
        <v/>
      </c>
      <c r="EE555" s="28" t="str">
        <f aca="false">IF(ISNUMBER(AQ555),7,"")</f>
        <v/>
      </c>
      <c r="EF555" s="28" t="str">
        <f aca="false">IF(ISNUMBER(AU555),8,"")</f>
        <v/>
      </c>
      <c r="EG555" s="28" t="str">
        <f aca="false">IF(ISNUMBER(AY555),9,"")</f>
        <v/>
      </c>
      <c r="EH555" s="28" t="str">
        <f aca="false">IF(ISNUMBER(BC555),10,"")</f>
        <v/>
      </c>
      <c r="EI555" s="28" t="str">
        <f aca="false">IF(ISNUMBER(BG555),11,"")</f>
        <v/>
      </c>
      <c r="EJ555" s="28" t="str">
        <f aca="false">IF(ISNUMBER(BK555),12,"")</f>
        <v/>
      </c>
      <c r="EK555" s="28" t="str">
        <f aca="false">IF(ISNUMBER(BO555),13,"")</f>
        <v/>
      </c>
      <c r="EL555" s="28" t="str">
        <f aca="false">IF(ISNUMBER(BS555),14,"")</f>
        <v/>
      </c>
      <c r="EM555" s="28" t="n">
        <f aca="false">IF(ISNUMBER(R555),R555*CW555,0)</f>
        <v>0</v>
      </c>
      <c r="EN555" s="28" t="n">
        <f aca="false">IF(ISNUMBER(V555),V555*CX555,0)</f>
        <v>0</v>
      </c>
      <c r="EO555" s="28" t="n">
        <f aca="false">IF(ISNUMBER(Z555),Z555*CY555,0)</f>
        <v>0</v>
      </c>
      <c r="EP555" s="28" t="n">
        <f aca="false">IF(ISNUMBER(AD555),AD555*CZ555,0)</f>
        <v>0</v>
      </c>
      <c r="EQ555" s="28" t="n">
        <f aca="false">IF(ISNUMBER(AH555),AH555*DA555,0)</f>
        <v>0</v>
      </c>
      <c r="ER555" s="28" t="n">
        <f aca="false">IF(ISNUMBER(AL555),AL555*DB555,0)</f>
        <v>0</v>
      </c>
      <c r="ES555" s="28" t="n">
        <f aca="false">IF(ISNUMBER(AP555),AP555*DC555,0)</f>
        <v>0</v>
      </c>
      <c r="ET555" s="28" t="n">
        <f aca="false">IF(ISNUMBER(AT555),AT555*DD555,0)</f>
        <v>0</v>
      </c>
      <c r="EU555" s="28" t="n">
        <f aca="false">IF(ISNUMBER(AX555),AX555*DE555,0)</f>
        <v>0</v>
      </c>
      <c r="EV555" s="28" t="n">
        <f aca="false">IF(ISNUMBER(BB555),BB555*DF555,0)</f>
        <v>0</v>
      </c>
      <c r="EW555" s="28" t="n">
        <f aca="false">IF(ISNUMBER(BF555),BF555*DG555,0)</f>
        <v>0</v>
      </c>
      <c r="EX555" s="28" t="n">
        <f aca="false">IF(ISNUMBER(BJ555),BJ555*DH555,0)</f>
        <v>0</v>
      </c>
      <c r="EY555" s="28" t="n">
        <f aca="false">IF(ISNUMBER(BN555),BN555*DI555,0)</f>
        <v>0</v>
      </c>
      <c r="EZ555" s="28" t="n">
        <f aca="false">IF(ISNUMBER(BR555),BR555*DJ555,0)</f>
        <v>0</v>
      </c>
      <c r="FA555" s="28" t="n">
        <f aca="false">IF(ISNUMBER(R555),CW555,0)</f>
        <v>0</v>
      </c>
      <c r="FB555" s="28" t="n">
        <f aca="false">IF(ISNUMBER(V555),CX555,0)</f>
        <v>0</v>
      </c>
      <c r="FC555" s="28" t="n">
        <f aca="false">IF(ISNUMBER(Z555),CY555,0)</f>
        <v>0</v>
      </c>
      <c r="FD555" s="28" t="n">
        <f aca="false">IF(ISNUMBER(AD555),CZ555,0)</f>
        <v>0</v>
      </c>
      <c r="FE555" s="28" t="n">
        <f aca="false">IF(ISNUMBER(AH555),DA555,0)</f>
        <v>0</v>
      </c>
      <c r="FF555" s="28" t="n">
        <f aca="false">IF(ISNUMBER(AL555),DB555,0)</f>
        <v>0</v>
      </c>
      <c r="FG555" s="28" t="n">
        <f aca="false">IF(ISNUMBER(AP555),DC555,0)</f>
        <v>0</v>
      </c>
      <c r="FH555" s="28" t="n">
        <f aca="false">IF(ISNUMBER(AT555),DD555,0)</f>
        <v>0</v>
      </c>
      <c r="FI555" s="28" t="n">
        <f aca="false">IF(ISNUMBER(AX555),DE555,0)</f>
        <v>0</v>
      </c>
      <c r="FJ555" s="28" t="n">
        <f aca="false">IF(ISNUMBER(BB555),DF555,0)</f>
        <v>0</v>
      </c>
      <c r="FK555" s="28" t="n">
        <f aca="false">IF(ISNUMBER(BF555),DG555,0)</f>
        <v>0</v>
      </c>
      <c r="FL555" s="28" t="n">
        <f aca="false">IF(ISNUMBER(BJ555),DH555,0)</f>
        <v>0</v>
      </c>
      <c r="FM555" s="28" t="n">
        <f aca="false">IF(ISNUMBER(BN555),DI555,0)</f>
        <v>0</v>
      </c>
      <c r="FN555" s="28" t="n">
        <f aca="false">IF(ISNUMBER(BR555),DJ555,0)</f>
        <v>0</v>
      </c>
      <c r="FO555" s="28" t="str">
        <f aca="false">IFERROR(INDEX(Lists!$G$2:$G$20,MATCH($I555&amp;"|"&amp;$J555,Lists!$F$2:$F$20,0)),"")</f>
        <v/>
      </c>
    </row>
    <row r="556" customFormat="false" ht="19.5" hidden="false" customHeight="true" outlineLevel="0" collapsed="false">
      <c r="A556" s="29"/>
      <c r="B556" s="29"/>
      <c r="C556" s="30"/>
      <c r="D556" s="30"/>
      <c r="E556" s="31"/>
      <c r="F556" s="30"/>
      <c r="G556" s="30"/>
      <c r="H556" s="32"/>
      <c r="I556" s="33"/>
      <c r="J556" s="32"/>
      <c r="K556" s="34" t="str">
        <f aca="false">IF(OR(M556="",$E556=""),"",M556-$E556)</f>
        <v/>
      </c>
      <c r="L556" s="35" t="str">
        <f aca="false">IF(SUM(FA556:FN556)=0,"",SUM(EM556:EZ556)/SUM(FA556:FN556))</f>
        <v/>
      </c>
      <c r="M556" s="36" t="str">
        <f aca="false">IF(OR(L556="",FO556=""),"",IFERROR(MATCH(L556,INDEX(Boundaries!$B$2:$I$30,MATCH(FO556,Boundaries!$A$2:$A$30,0),0),1)-1,""))</f>
        <v/>
      </c>
      <c r="N556" s="37" t="str">
        <f aca="false">IF(COUNT($DY556:$EL556)&lt;2,"",INDEX($DK556:$DX556,MAX($DY556:$EL556))-INDEX($DK556:$DX556,MIN($DY556:$EL556)))</f>
        <v/>
      </c>
      <c r="O556" s="37" t="str">
        <f aca="false">IF(COUNT($DY556:$EL556)&lt;2,"",INDEX($DK556:$DX556,MAX($DY556:$EL556))-INDEX($DK556:$DX556,LARGE($DY556:$EL556,2)))</f>
        <v/>
      </c>
      <c r="P556" s="38" t="str">
        <f aca="false">IF(K556="","",IF(K556&gt;=0,"On/above target",IF(AND(N556&lt;&gt;"",N556&gt;=0.5),"Improving towards target",IF(AND(O556&lt;&gt;"",O556&lt;=-0.5),"Declining","Stable below target"))))</f>
        <v/>
      </c>
      <c r="Q556" s="39"/>
      <c r="R556" s="40" t="str">
        <f aca="false">IF(OR(Q556="",BU556=""),"",Q556/BU556*100)</f>
        <v/>
      </c>
      <c r="S556" s="41" t="str">
        <f aca="false">IF(R556="","",IFERROR(MATCH(R556,INDEX(Boundaries!$B$2:$I$30,MATCH(CI556,Boundaries!$A$2:$A$30,0),0),1)-1,""))</f>
        <v/>
      </c>
      <c r="T556" s="42" t="str">
        <f aca="false">IF(OR(S556="",$E556=""),"",S556-$E556)</f>
        <v/>
      </c>
      <c r="U556" s="39"/>
      <c r="V556" s="40" t="str">
        <f aca="false">IF(OR(U556="",BV556=""),"",U556/BV556*100)</f>
        <v/>
      </c>
      <c r="W556" s="41" t="str">
        <f aca="false">IF(V556="","",IFERROR(MATCH(V556,INDEX(Boundaries!$B$2:$I$30,MATCH(CJ556,Boundaries!$A$2:$A$30,0),0),1)-1,""))</f>
        <v/>
      </c>
      <c r="X556" s="42" t="str">
        <f aca="false">IF(OR(W556="",$E556=""),"",W556-$E556)</f>
        <v/>
      </c>
      <c r="Y556" s="39"/>
      <c r="Z556" s="40" t="str">
        <f aca="false">IF(OR(Y556="",BW556=""),"",Y556/BW556*100)</f>
        <v/>
      </c>
      <c r="AA556" s="41" t="str">
        <f aca="false">IF(Z556="","",IFERROR(MATCH(Z556,INDEX(Boundaries!$B$2:$I$30,MATCH(CK556,Boundaries!$A$2:$A$30,0),0),1)-1,""))</f>
        <v/>
      </c>
      <c r="AB556" s="42" t="str">
        <f aca="false">IF(OR(AA556="",$E556=""),"",AA556-$E556)</f>
        <v/>
      </c>
      <c r="AC556" s="39"/>
      <c r="AD556" s="40" t="str">
        <f aca="false">IF(OR(AC556="",BX556=""),"",AC556/BX556*100)</f>
        <v/>
      </c>
      <c r="AE556" s="41" t="str">
        <f aca="false">IF(AD556="","",IFERROR(MATCH(AD556,INDEX(Boundaries!$B$2:$I$30,MATCH(CL556,Boundaries!$A$2:$A$30,0),0),1)-1,""))</f>
        <v/>
      </c>
      <c r="AF556" s="42" t="str">
        <f aca="false">IF(OR(AE556="",$E556=""),"",AE556-$E556)</f>
        <v/>
      </c>
      <c r="AG556" s="39"/>
      <c r="AH556" s="40" t="str">
        <f aca="false">IF(OR(AG556="",BY556=""),"",AG556/BY556*100)</f>
        <v/>
      </c>
      <c r="AI556" s="41" t="str">
        <f aca="false">IF(AH556="","",IFERROR(MATCH(AH556,INDEX(Boundaries!$B$2:$I$30,MATCH(CM556,Boundaries!$A$2:$A$30,0),0),1)-1,""))</f>
        <v/>
      </c>
      <c r="AJ556" s="42" t="str">
        <f aca="false">IF(OR(AI556="",$E556=""),"",AI556-$E556)</f>
        <v/>
      </c>
      <c r="AK556" s="39"/>
      <c r="AL556" s="40" t="str">
        <f aca="false">IF(OR(AK556="",BZ556=""),"",AK556/BZ556*100)</f>
        <v/>
      </c>
      <c r="AM556" s="41" t="str">
        <f aca="false">IF(AL556="","",IFERROR(MATCH(AL556,INDEX(Boundaries!$B$2:$I$30,MATCH(CN556,Boundaries!$A$2:$A$30,0),0),1)-1,""))</f>
        <v/>
      </c>
      <c r="AN556" s="42" t="str">
        <f aca="false">IF(OR(AM556="",$E556=""),"",AM556-$E556)</f>
        <v/>
      </c>
      <c r="AO556" s="39"/>
      <c r="AP556" s="40" t="str">
        <f aca="false">IF(OR(AO556="",CA556=""),"",AO556/CA556*100)</f>
        <v/>
      </c>
      <c r="AQ556" s="41" t="str">
        <f aca="false">IF(AP556="","",IFERROR(MATCH(AP556,INDEX(Boundaries!$B$2:$I$30,MATCH(CO556,Boundaries!$A$2:$A$30,0),0),1)-1,""))</f>
        <v/>
      </c>
      <c r="AR556" s="42" t="str">
        <f aca="false">IF(OR(AQ556="",$E556=""),"",AQ556-$E556)</f>
        <v/>
      </c>
      <c r="AS556" s="39"/>
      <c r="AT556" s="40" t="str">
        <f aca="false">IF(OR(AS556="",CB556=""),"",AS556/CB556*100)</f>
        <v/>
      </c>
      <c r="AU556" s="41" t="str">
        <f aca="false">IF(AT556="","",IFERROR(MATCH(AT556,INDEX(Boundaries!$B$2:$I$30,MATCH(CP556,Boundaries!$A$2:$A$30,0),0),1)-1,""))</f>
        <v/>
      </c>
      <c r="AV556" s="42" t="str">
        <f aca="false">IF(OR(AU556="",$E556=""),"",AU556-$E556)</f>
        <v/>
      </c>
      <c r="AW556" s="39"/>
      <c r="AX556" s="40" t="str">
        <f aca="false">IF(OR(AW556="",CC556=""),"",AW556/CC556*100)</f>
        <v/>
      </c>
      <c r="AY556" s="41" t="str">
        <f aca="false">IF(AX556="","",IFERROR(MATCH(AX556,INDEX(Boundaries!$B$2:$I$30,MATCH(CQ556,Boundaries!$A$2:$A$30,0),0),1)-1,""))</f>
        <v/>
      </c>
      <c r="AZ556" s="42" t="str">
        <f aca="false">IF(OR(AY556="",$E556=""),"",AY556-$E556)</f>
        <v/>
      </c>
      <c r="BA556" s="39"/>
      <c r="BB556" s="40" t="str">
        <f aca="false">IF(OR(BA556="",CD556=""),"",BA556/CD556*100)</f>
        <v/>
      </c>
      <c r="BC556" s="41" t="str">
        <f aca="false">IF(BB556="","",IFERROR(MATCH(BB556,INDEX(Boundaries!$B$2:$I$30,MATCH(CR556,Boundaries!$A$2:$A$30,0),0),1)-1,""))</f>
        <v/>
      </c>
      <c r="BD556" s="42" t="str">
        <f aca="false">IF(OR(BC556="",$E556=""),"",BC556-$E556)</f>
        <v/>
      </c>
      <c r="BE556" s="39"/>
      <c r="BF556" s="40" t="str">
        <f aca="false">IF(OR(BE556="",CE556=""),"",BE556/CE556*100)</f>
        <v/>
      </c>
      <c r="BG556" s="41" t="str">
        <f aca="false">IF(BF556="","",IFERROR(MATCH(BF556,INDEX(Boundaries!$B$2:$I$30,MATCH(CS556,Boundaries!$A$2:$A$30,0),0),1)-1,""))</f>
        <v/>
      </c>
      <c r="BH556" s="42" t="str">
        <f aca="false">IF(OR(BG556="",$E556=""),"",BG556-$E556)</f>
        <v/>
      </c>
      <c r="BI556" s="39"/>
      <c r="BJ556" s="40" t="str">
        <f aca="false">IF(OR(BI556="",CF556=""),"",BI556/CF556*100)</f>
        <v/>
      </c>
      <c r="BK556" s="41" t="str">
        <f aca="false">IF(BJ556="","",IFERROR(MATCH(BJ556,INDEX(Boundaries!$B$2:$I$30,MATCH(CT556,Boundaries!$A$2:$A$30,0),0),1)-1,""))</f>
        <v/>
      </c>
      <c r="BL556" s="42" t="str">
        <f aca="false">IF(OR(BK556="",$E556=""),"",BK556-$E556)</f>
        <v/>
      </c>
      <c r="BM556" s="39"/>
      <c r="BN556" s="40" t="str">
        <f aca="false">IF(OR(BM556="",CG556=""),"",BM556/CG556*100)</f>
        <v/>
      </c>
      <c r="BO556" s="41" t="str">
        <f aca="false">IF(BN556="","",IFERROR(MATCH(BN556,INDEX(Boundaries!$B$2:$I$30,MATCH(CU556,Boundaries!$A$2:$A$30,0),0),1)-1,""))</f>
        <v/>
      </c>
      <c r="BP556" s="42" t="str">
        <f aca="false">IF(OR(BO556="",$E556=""),"",BO556-$E556)</f>
        <v/>
      </c>
      <c r="BQ556" s="39"/>
      <c r="BR556" s="40" t="str">
        <f aca="false">IF(OR(BQ556="",CH556=""),"",BQ556/CH556*100)</f>
        <v/>
      </c>
      <c r="BS556" s="41" t="str">
        <f aca="false">IF(BR556="","",IFERROR(MATCH(BR556,INDEX(Boundaries!$B$2:$I$30,MATCH(CV556,Boundaries!$A$2:$A$30,0),0),1)-1,""))</f>
        <v/>
      </c>
      <c r="BT556" s="42" t="str">
        <f aca="false">IF(OR(BS556="",$E556=""),"",BS556-$E556)</f>
        <v/>
      </c>
      <c r="BU556" s="28" t="str">
        <f aca="false">IFERROR(INDEX(Assessments!$H$2:$H$600,MATCH($H556&amp;"|"&amp;$I556&amp;"|"&amp;$J556&amp;"|"&amp;1,Assessments!$A$2:$A$600,0)),"")</f>
        <v/>
      </c>
      <c r="BV556" s="28" t="str">
        <f aca="false">IFERROR(INDEX(Assessments!$H$2:$H$600,MATCH($H556&amp;"|"&amp;$I556&amp;"|"&amp;$J556&amp;"|"&amp;2,Assessments!$A$2:$A$600,0)),"")</f>
        <v/>
      </c>
      <c r="BW556" s="28" t="str">
        <f aca="false">IFERROR(INDEX(Assessments!$H$2:$H$600,MATCH($H556&amp;"|"&amp;$I556&amp;"|"&amp;$J556&amp;"|"&amp;3,Assessments!$A$2:$A$600,0)),"")</f>
        <v/>
      </c>
      <c r="BX556" s="28" t="str">
        <f aca="false">IFERROR(INDEX(Assessments!$H$2:$H$600,MATCH($H556&amp;"|"&amp;$I556&amp;"|"&amp;$J556&amp;"|"&amp;4,Assessments!$A$2:$A$600,0)),"")</f>
        <v/>
      </c>
      <c r="BY556" s="28" t="str">
        <f aca="false">IFERROR(INDEX(Assessments!$H$2:$H$600,MATCH($H556&amp;"|"&amp;$I556&amp;"|"&amp;$J556&amp;"|"&amp;5,Assessments!$A$2:$A$600,0)),"")</f>
        <v/>
      </c>
      <c r="BZ556" s="28" t="str">
        <f aca="false">IFERROR(INDEX(Assessments!$H$2:$H$600,MATCH($H556&amp;"|"&amp;$I556&amp;"|"&amp;$J556&amp;"|"&amp;6,Assessments!$A$2:$A$600,0)),"")</f>
        <v/>
      </c>
      <c r="CA556" s="28" t="str">
        <f aca="false">IFERROR(INDEX(Assessments!$H$2:$H$600,MATCH($H556&amp;"|"&amp;$I556&amp;"|"&amp;$J556&amp;"|"&amp;7,Assessments!$A$2:$A$600,0)),"")</f>
        <v/>
      </c>
      <c r="CB556" s="28" t="str">
        <f aca="false">IFERROR(INDEX(Assessments!$H$2:$H$600,MATCH($H556&amp;"|"&amp;$I556&amp;"|"&amp;$J556&amp;"|"&amp;8,Assessments!$A$2:$A$600,0)),"")</f>
        <v/>
      </c>
      <c r="CC556" s="28" t="str">
        <f aca="false">IFERROR(INDEX(Assessments!$H$2:$H$600,MATCH($H556&amp;"|"&amp;$I556&amp;"|"&amp;$J556&amp;"|"&amp;9,Assessments!$A$2:$A$600,0)),"")</f>
        <v/>
      </c>
      <c r="CD556" s="28" t="str">
        <f aca="false">IFERROR(INDEX(Assessments!$H$2:$H$600,MATCH($H556&amp;"|"&amp;$I556&amp;"|"&amp;$J556&amp;"|"&amp;10,Assessments!$A$2:$A$600,0)),"")</f>
        <v/>
      </c>
      <c r="CE556" s="28" t="str">
        <f aca="false">IFERROR(INDEX(Assessments!$H$2:$H$600,MATCH($H556&amp;"|"&amp;$I556&amp;"|"&amp;$J556&amp;"|"&amp;11,Assessments!$A$2:$A$600,0)),"")</f>
        <v/>
      </c>
      <c r="CF556" s="28" t="str">
        <f aca="false">IFERROR(INDEX(Assessments!$H$2:$H$600,MATCH($H556&amp;"|"&amp;$I556&amp;"|"&amp;$J556&amp;"|"&amp;12,Assessments!$A$2:$A$600,0)),"")</f>
        <v/>
      </c>
      <c r="CG556" s="28" t="str">
        <f aca="false">IFERROR(INDEX(Assessments!$H$2:$H$600,MATCH($H556&amp;"|"&amp;$I556&amp;"|"&amp;$J556&amp;"|"&amp;13,Assessments!$A$2:$A$600,0)),"")</f>
        <v/>
      </c>
      <c r="CH556" s="28" t="str">
        <f aca="false">IFERROR(INDEX(Assessments!$H$2:$H$600,MATCH($H556&amp;"|"&amp;$I556&amp;"|"&amp;$J556&amp;"|"&amp;14,Assessments!$A$2:$A$600,0)),"")</f>
        <v/>
      </c>
      <c r="CI556" s="28" t="str">
        <f aca="false">IFERROR(INDEX(Assessments!$I$2:$I$600,MATCH($H556&amp;"|"&amp;$I556&amp;"|"&amp;$J556&amp;"|"&amp;1,Assessments!$A$2:$A$600,0)),"")</f>
        <v/>
      </c>
      <c r="CJ556" s="28" t="str">
        <f aca="false">IFERROR(INDEX(Assessments!$I$2:$I$600,MATCH($H556&amp;"|"&amp;$I556&amp;"|"&amp;$J556&amp;"|"&amp;2,Assessments!$A$2:$A$600,0)),"")</f>
        <v/>
      </c>
      <c r="CK556" s="28" t="str">
        <f aca="false">IFERROR(INDEX(Assessments!$I$2:$I$600,MATCH($H556&amp;"|"&amp;$I556&amp;"|"&amp;$J556&amp;"|"&amp;3,Assessments!$A$2:$A$600,0)),"")</f>
        <v/>
      </c>
      <c r="CL556" s="28" t="str">
        <f aca="false">IFERROR(INDEX(Assessments!$I$2:$I$600,MATCH($H556&amp;"|"&amp;$I556&amp;"|"&amp;$J556&amp;"|"&amp;4,Assessments!$A$2:$A$600,0)),"")</f>
        <v/>
      </c>
      <c r="CM556" s="28" t="str">
        <f aca="false">IFERROR(INDEX(Assessments!$I$2:$I$600,MATCH($H556&amp;"|"&amp;$I556&amp;"|"&amp;$J556&amp;"|"&amp;5,Assessments!$A$2:$A$600,0)),"")</f>
        <v/>
      </c>
      <c r="CN556" s="28" t="str">
        <f aca="false">IFERROR(INDEX(Assessments!$I$2:$I$600,MATCH($H556&amp;"|"&amp;$I556&amp;"|"&amp;$J556&amp;"|"&amp;6,Assessments!$A$2:$A$600,0)),"")</f>
        <v/>
      </c>
      <c r="CO556" s="28" t="str">
        <f aca="false">IFERROR(INDEX(Assessments!$I$2:$I$600,MATCH($H556&amp;"|"&amp;$I556&amp;"|"&amp;$J556&amp;"|"&amp;7,Assessments!$A$2:$A$600,0)),"")</f>
        <v/>
      </c>
      <c r="CP556" s="28" t="str">
        <f aca="false">IFERROR(INDEX(Assessments!$I$2:$I$600,MATCH($H556&amp;"|"&amp;$I556&amp;"|"&amp;$J556&amp;"|"&amp;8,Assessments!$A$2:$A$600,0)),"")</f>
        <v/>
      </c>
      <c r="CQ556" s="28" t="str">
        <f aca="false">IFERROR(INDEX(Assessments!$I$2:$I$600,MATCH($H556&amp;"|"&amp;$I556&amp;"|"&amp;$J556&amp;"|"&amp;9,Assessments!$A$2:$A$600,0)),"")</f>
        <v/>
      </c>
      <c r="CR556" s="28" t="str">
        <f aca="false">IFERROR(INDEX(Assessments!$I$2:$I$600,MATCH($H556&amp;"|"&amp;$I556&amp;"|"&amp;$J556&amp;"|"&amp;10,Assessments!$A$2:$A$600,0)),"")</f>
        <v/>
      </c>
      <c r="CS556" s="28" t="str">
        <f aca="false">IFERROR(INDEX(Assessments!$I$2:$I$600,MATCH($H556&amp;"|"&amp;$I556&amp;"|"&amp;$J556&amp;"|"&amp;11,Assessments!$A$2:$A$600,0)),"")</f>
        <v/>
      </c>
      <c r="CT556" s="28" t="str">
        <f aca="false">IFERROR(INDEX(Assessments!$I$2:$I$600,MATCH($H556&amp;"|"&amp;$I556&amp;"|"&amp;$J556&amp;"|"&amp;12,Assessments!$A$2:$A$600,0)),"")</f>
        <v/>
      </c>
      <c r="CU556" s="28" t="str">
        <f aca="false">IFERROR(INDEX(Assessments!$I$2:$I$600,MATCH($H556&amp;"|"&amp;$I556&amp;"|"&amp;$J556&amp;"|"&amp;13,Assessments!$A$2:$A$600,0)),"")</f>
        <v/>
      </c>
      <c r="CV556" s="28" t="str">
        <f aca="false">IFERROR(INDEX(Assessments!$I$2:$I$600,MATCH($H556&amp;"|"&amp;$I556&amp;"|"&amp;$J556&amp;"|"&amp;14,Assessments!$A$2:$A$600,0)),"")</f>
        <v/>
      </c>
      <c r="CW556" s="28" t="n">
        <f aca="false">IFERROR(INDEX(Assessments!$J$2:$J$600,MATCH($H556&amp;"|"&amp;$I556&amp;"|"&amp;$J556&amp;"|"&amp;1,Assessments!$A$2:$A$600,0)),0)</f>
        <v>0</v>
      </c>
      <c r="CX556" s="28" t="n">
        <f aca="false">IFERROR(INDEX(Assessments!$J$2:$J$600,MATCH($H556&amp;"|"&amp;$I556&amp;"|"&amp;$J556&amp;"|"&amp;2,Assessments!$A$2:$A$600,0)),0)</f>
        <v>0</v>
      </c>
      <c r="CY556" s="28" t="n">
        <f aca="false">IFERROR(INDEX(Assessments!$J$2:$J$600,MATCH($H556&amp;"|"&amp;$I556&amp;"|"&amp;$J556&amp;"|"&amp;3,Assessments!$A$2:$A$600,0)),0)</f>
        <v>0</v>
      </c>
      <c r="CZ556" s="28" t="n">
        <f aca="false">IFERROR(INDEX(Assessments!$J$2:$J$600,MATCH($H556&amp;"|"&amp;$I556&amp;"|"&amp;$J556&amp;"|"&amp;4,Assessments!$A$2:$A$600,0)),0)</f>
        <v>0</v>
      </c>
      <c r="DA556" s="28" t="n">
        <f aca="false">IFERROR(INDEX(Assessments!$J$2:$J$600,MATCH($H556&amp;"|"&amp;$I556&amp;"|"&amp;$J556&amp;"|"&amp;5,Assessments!$A$2:$A$600,0)),0)</f>
        <v>0</v>
      </c>
      <c r="DB556" s="28" t="n">
        <f aca="false">IFERROR(INDEX(Assessments!$J$2:$J$600,MATCH($H556&amp;"|"&amp;$I556&amp;"|"&amp;$J556&amp;"|"&amp;6,Assessments!$A$2:$A$600,0)),0)</f>
        <v>0</v>
      </c>
      <c r="DC556" s="28" t="n">
        <f aca="false">IFERROR(INDEX(Assessments!$J$2:$J$600,MATCH($H556&amp;"|"&amp;$I556&amp;"|"&amp;$J556&amp;"|"&amp;7,Assessments!$A$2:$A$600,0)),0)</f>
        <v>0</v>
      </c>
      <c r="DD556" s="28" t="n">
        <f aca="false">IFERROR(INDEX(Assessments!$J$2:$J$600,MATCH($H556&amp;"|"&amp;$I556&amp;"|"&amp;$J556&amp;"|"&amp;8,Assessments!$A$2:$A$600,0)),0)</f>
        <v>0</v>
      </c>
      <c r="DE556" s="28" t="n">
        <f aca="false">IFERROR(INDEX(Assessments!$J$2:$J$600,MATCH($H556&amp;"|"&amp;$I556&amp;"|"&amp;$J556&amp;"|"&amp;9,Assessments!$A$2:$A$600,0)),0)</f>
        <v>0</v>
      </c>
      <c r="DF556" s="28" t="n">
        <f aca="false">IFERROR(INDEX(Assessments!$J$2:$J$600,MATCH($H556&amp;"|"&amp;$I556&amp;"|"&amp;$J556&amp;"|"&amp;10,Assessments!$A$2:$A$600,0)),0)</f>
        <v>0</v>
      </c>
      <c r="DG556" s="28" t="n">
        <f aca="false">IFERROR(INDEX(Assessments!$J$2:$J$600,MATCH($H556&amp;"|"&amp;$I556&amp;"|"&amp;$J556&amp;"|"&amp;11,Assessments!$A$2:$A$600,0)),0)</f>
        <v>0</v>
      </c>
      <c r="DH556" s="28" t="n">
        <f aca="false">IFERROR(INDEX(Assessments!$J$2:$J$600,MATCH($H556&amp;"|"&amp;$I556&amp;"|"&amp;$J556&amp;"|"&amp;12,Assessments!$A$2:$A$600,0)),0)</f>
        <v>0</v>
      </c>
      <c r="DI556" s="28" t="n">
        <f aca="false">IFERROR(INDEX(Assessments!$J$2:$J$600,MATCH($H556&amp;"|"&amp;$I556&amp;"|"&amp;$J556&amp;"|"&amp;13,Assessments!$A$2:$A$600,0)),0)</f>
        <v>0</v>
      </c>
      <c r="DJ556" s="28" t="n">
        <f aca="false">IFERROR(INDEX(Assessments!$J$2:$J$600,MATCH($H556&amp;"|"&amp;$I556&amp;"|"&amp;$J556&amp;"|"&amp;14,Assessments!$A$2:$A$600,0)),0)</f>
        <v>0</v>
      </c>
      <c r="DK556" s="28" t="str">
        <f aca="false">S556</f>
        <v/>
      </c>
      <c r="DL556" s="28" t="str">
        <f aca="false">W556</f>
        <v/>
      </c>
      <c r="DM556" s="28" t="str">
        <f aca="false">AA556</f>
        <v/>
      </c>
      <c r="DN556" s="28" t="str">
        <f aca="false">AE556</f>
        <v/>
      </c>
      <c r="DO556" s="28" t="str">
        <f aca="false">AI556</f>
        <v/>
      </c>
      <c r="DP556" s="28" t="str">
        <f aca="false">AM556</f>
        <v/>
      </c>
      <c r="DQ556" s="28" t="str">
        <f aca="false">AQ556</f>
        <v/>
      </c>
      <c r="DR556" s="28" t="str">
        <f aca="false">AU556</f>
        <v/>
      </c>
      <c r="DS556" s="28" t="str">
        <f aca="false">AY556</f>
        <v/>
      </c>
      <c r="DT556" s="28" t="str">
        <f aca="false">BC556</f>
        <v/>
      </c>
      <c r="DU556" s="28" t="str">
        <f aca="false">BG556</f>
        <v/>
      </c>
      <c r="DV556" s="28" t="str">
        <f aca="false">BK556</f>
        <v/>
      </c>
      <c r="DW556" s="28" t="str">
        <f aca="false">BO556</f>
        <v/>
      </c>
      <c r="DX556" s="28" t="str">
        <f aca="false">BS556</f>
        <v/>
      </c>
      <c r="DY556" s="28" t="str">
        <f aca="false">IF(ISNUMBER(S556),1,"")</f>
        <v/>
      </c>
      <c r="DZ556" s="28" t="str">
        <f aca="false">IF(ISNUMBER(W556),2,"")</f>
        <v/>
      </c>
      <c r="EA556" s="28" t="str">
        <f aca="false">IF(ISNUMBER(AA556),3,"")</f>
        <v/>
      </c>
      <c r="EB556" s="28" t="str">
        <f aca="false">IF(ISNUMBER(AE556),4,"")</f>
        <v/>
      </c>
      <c r="EC556" s="28" t="str">
        <f aca="false">IF(ISNUMBER(AI556),5,"")</f>
        <v/>
      </c>
      <c r="ED556" s="28" t="str">
        <f aca="false">IF(ISNUMBER(AM556),6,"")</f>
        <v/>
      </c>
      <c r="EE556" s="28" t="str">
        <f aca="false">IF(ISNUMBER(AQ556),7,"")</f>
        <v/>
      </c>
      <c r="EF556" s="28" t="str">
        <f aca="false">IF(ISNUMBER(AU556),8,"")</f>
        <v/>
      </c>
      <c r="EG556" s="28" t="str">
        <f aca="false">IF(ISNUMBER(AY556),9,"")</f>
        <v/>
      </c>
      <c r="EH556" s="28" t="str">
        <f aca="false">IF(ISNUMBER(BC556),10,"")</f>
        <v/>
      </c>
      <c r="EI556" s="28" t="str">
        <f aca="false">IF(ISNUMBER(BG556),11,"")</f>
        <v/>
      </c>
      <c r="EJ556" s="28" t="str">
        <f aca="false">IF(ISNUMBER(BK556),12,"")</f>
        <v/>
      </c>
      <c r="EK556" s="28" t="str">
        <f aca="false">IF(ISNUMBER(BO556),13,"")</f>
        <v/>
      </c>
      <c r="EL556" s="28" t="str">
        <f aca="false">IF(ISNUMBER(BS556),14,"")</f>
        <v/>
      </c>
      <c r="EM556" s="28" t="n">
        <f aca="false">IF(ISNUMBER(R556),R556*CW556,0)</f>
        <v>0</v>
      </c>
      <c r="EN556" s="28" t="n">
        <f aca="false">IF(ISNUMBER(V556),V556*CX556,0)</f>
        <v>0</v>
      </c>
      <c r="EO556" s="28" t="n">
        <f aca="false">IF(ISNUMBER(Z556),Z556*CY556,0)</f>
        <v>0</v>
      </c>
      <c r="EP556" s="28" t="n">
        <f aca="false">IF(ISNUMBER(AD556),AD556*CZ556,0)</f>
        <v>0</v>
      </c>
      <c r="EQ556" s="28" t="n">
        <f aca="false">IF(ISNUMBER(AH556),AH556*DA556,0)</f>
        <v>0</v>
      </c>
      <c r="ER556" s="28" t="n">
        <f aca="false">IF(ISNUMBER(AL556),AL556*DB556,0)</f>
        <v>0</v>
      </c>
      <c r="ES556" s="28" t="n">
        <f aca="false">IF(ISNUMBER(AP556),AP556*DC556,0)</f>
        <v>0</v>
      </c>
      <c r="ET556" s="28" t="n">
        <f aca="false">IF(ISNUMBER(AT556),AT556*DD556,0)</f>
        <v>0</v>
      </c>
      <c r="EU556" s="28" t="n">
        <f aca="false">IF(ISNUMBER(AX556),AX556*DE556,0)</f>
        <v>0</v>
      </c>
      <c r="EV556" s="28" t="n">
        <f aca="false">IF(ISNUMBER(BB556),BB556*DF556,0)</f>
        <v>0</v>
      </c>
      <c r="EW556" s="28" t="n">
        <f aca="false">IF(ISNUMBER(BF556),BF556*DG556,0)</f>
        <v>0</v>
      </c>
      <c r="EX556" s="28" t="n">
        <f aca="false">IF(ISNUMBER(BJ556),BJ556*DH556,0)</f>
        <v>0</v>
      </c>
      <c r="EY556" s="28" t="n">
        <f aca="false">IF(ISNUMBER(BN556),BN556*DI556,0)</f>
        <v>0</v>
      </c>
      <c r="EZ556" s="28" t="n">
        <f aca="false">IF(ISNUMBER(BR556),BR556*DJ556,0)</f>
        <v>0</v>
      </c>
      <c r="FA556" s="28" t="n">
        <f aca="false">IF(ISNUMBER(R556),CW556,0)</f>
        <v>0</v>
      </c>
      <c r="FB556" s="28" t="n">
        <f aca="false">IF(ISNUMBER(V556),CX556,0)</f>
        <v>0</v>
      </c>
      <c r="FC556" s="28" t="n">
        <f aca="false">IF(ISNUMBER(Z556),CY556,0)</f>
        <v>0</v>
      </c>
      <c r="FD556" s="28" t="n">
        <f aca="false">IF(ISNUMBER(AD556),CZ556,0)</f>
        <v>0</v>
      </c>
      <c r="FE556" s="28" t="n">
        <f aca="false">IF(ISNUMBER(AH556),DA556,0)</f>
        <v>0</v>
      </c>
      <c r="FF556" s="28" t="n">
        <f aca="false">IF(ISNUMBER(AL556),DB556,0)</f>
        <v>0</v>
      </c>
      <c r="FG556" s="28" t="n">
        <f aca="false">IF(ISNUMBER(AP556),DC556,0)</f>
        <v>0</v>
      </c>
      <c r="FH556" s="28" t="n">
        <f aca="false">IF(ISNUMBER(AT556),DD556,0)</f>
        <v>0</v>
      </c>
      <c r="FI556" s="28" t="n">
        <f aca="false">IF(ISNUMBER(AX556),DE556,0)</f>
        <v>0</v>
      </c>
      <c r="FJ556" s="28" t="n">
        <f aca="false">IF(ISNUMBER(BB556),DF556,0)</f>
        <v>0</v>
      </c>
      <c r="FK556" s="28" t="n">
        <f aca="false">IF(ISNUMBER(BF556),DG556,0)</f>
        <v>0</v>
      </c>
      <c r="FL556" s="28" t="n">
        <f aca="false">IF(ISNUMBER(BJ556),DH556,0)</f>
        <v>0</v>
      </c>
      <c r="FM556" s="28" t="n">
        <f aca="false">IF(ISNUMBER(BN556),DI556,0)</f>
        <v>0</v>
      </c>
      <c r="FN556" s="28" t="n">
        <f aca="false">IF(ISNUMBER(BR556),DJ556,0)</f>
        <v>0</v>
      </c>
      <c r="FO556" s="28" t="str">
        <f aca="false">IFERROR(INDEX(Lists!$G$2:$G$20,MATCH($I556&amp;"|"&amp;$J556,Lists!$F$2:$F$20,0)),"")</f>
        <v/>
      </c>
    </row>
    <row r="557" customFormat="false" ht="19.5" hidden="false" customHeight="true" outlineLevel="0" collapsed="false">
      <c r="A557" s="29"/>
      <c r="B557" s="29"/>
      <c r="C557" s="30"/>
      <c r="D557" s="30"/>
      <c r="E557" s="31"/>
      <c r="F557" s="30"/>
      <c r="G557" s="30"/>
      <c r="H557" s="32"/>
      <c r="I557" s="33"/>
      <c r="J557" s="32"/>
      <c r="K557" s="34" t="str">
        <f aca="false">IF(OR(M557="",$E557=""),"",M557-$E557)</f>
        <v/>
      </c>
      <c r="L557" s="35" t="str">
        <f aca="false">IF(SUM(FA557:FN557)=0,"",SUM(EM557:EZ557)/SUM(FA557:FN557))</f>
        <v/>
      </c>
      <c r="M557" s="36" t="str">
        <f aca="false">IF(OR(L557="",FO557=""),"",IFERROR(MATCH(L557,INDEX(Boundaries!$B$2:$I$30,MATCH(FO557,Boundaries!$A$2:$A$30,0),0),1)-1,""))</f>
        <v/>
      </c>
      <c r="N557" s="37" t="str">
        <f aca="false">IF(COUNT($DY557:$EL557)&lt;2,"",INDEX($DK557:$DX557,MAX($DY557:$EL557))-INDEX($DK557:$DX557,MIN($DY557:$EL557)))</f>
        <v/>
      </c>
      <c r="O557" s="37" t="str">
        <f aca="false">IF(COUNT($DY557:$EL557)&lt;2,"",INDEX($DK557:$DX557,MAX($DY557:$EL557))-INDEX($DK557:$DX557,LARGE($DY557:$EL557,2)))</f>
        <v/>
      </c>
      <c r="P557" s="38" t="str">
        <f aca="false">IF(K557="","",IF(K557&gt;=0,"On/above target",IF(AND(N557&lt;&gt;"",N557&gt;=0.5),"Improving towards target",IF(AND(O557&lt;&gt;"",O557&lt;=-0.5),"Declining","Stable below target"))))</f>
        <v/>
      </c>
      <c r="Q557" s="39"/>
      <c r="R557" s="40" t="str">
        <f aca="false">IF(OR(Q557="",BU557=""),"",Q557/BU557*100)</f>
        <v/>
      </c>
      <c r="S557" s="41" t="str">
        <f aca="false">IF(R557="","",IFERROR(MATCH(R557,INDEX(Boundaries!$B$2:$I$30,MATCH(CI557,Boundaries!$A$2:$A$30,0),0),1)-1,""))</f>
        <v/>
      </c>
      <c r="T557" s="42" t="str">
        <f aca="false">IF(OR(S557="",$E557=""),"",S557-$E557)</f>
        <v/>
      </c>
      <c r="U557" s="39"/>
      <c r="V557" s="40" t="str">
        <f aca="false">IF(OR(U557="",BV557=""),"",U557/BV557*100)</f>
        <v/>
      </c>
      <c r="W557" s="41" t="str">
        <f aca="false">IF(V557="","",IFERROR(MATCH(V557,INDEX(Boundaries!$B$2:$I$30,MATCH(CJ557,Boundaries!$A$2:$A$30,0),0),1)-1,""))</f>
        <v/>
      </c>
      <c r="X557" s="42" t="str">
        <f aca="false">IF(OR(W557="",$E557=""),"",W557-$E557)</f>
        <v/>
      </c>
      <c r="Y557" s="39"/>
      <c r="Z557" s="40" t="str">
        <f aca="false">IF(OR(Y557="",BW557=""),"",Y557/BW557*100)</f>
        <v/>
      </c>
      <c r="AA557" s="41" t="str">
        <f aca="false">IF(Z557="","",IFERROR(MATCH(Z557,INDEX(Boundaries!$B$2:$I$30,MATCH(CK557,Boundaries!$A$2:$A$30,0),0),1)-1,""))</f>
        <v/>
      </c>
      <c r="AB557" s="42" t="str">
        <f aca="false">IF(OR(AA557="",$E557=""),"",AA557-$E557)</f>
        <v/>
      </c>
      <c r="AC557" s="39"/>
      <c r="AD557" s="40" t="str">
        <f aca="false">IF(OR(AC557="",BX557=""),"",AC557/BX557*100)</f>
        <v/>
      </c>
      <c r="AE557" s="41" t="str">
        <f aca="false">IF(AD557="","",IFERROR(MATCH(AD557,INDEX(Boundaries!$B$2:$I$30,MATCH(CL557,Boundaries!$A$2:$A$30,0),0),1)-1,""))</f>
        <v/>
      </c>
      <c r="AF557" s="42" t="str">
        <f aca="false">IF(OR(AE557="",$E557=""),"",AE557-$E557)</f>
        <v/>
      </c>
      <c r="AG557" s="39"/>
      <c r="AH557" s="40" t="str">
        <f aca="false">IF(OR(AG557="",BY557=""),"",AG557/BY557*100)</f>
        <v/>
      </c>
      <c r="AI557" s="41" t="str">
        <f aca="false">IF(AH557="","",IFERROR(MATCH(AH557,INDEX(Boundaries!$B$2:$I$30,MATCH(CM557,Boundaries!$A$2:$A$30,0),0),1)-1,""))</f>
        <v/>
      </c>
      <c r="AJ557" s="42" t="str">
        <f aca="false">IF(OR(AI557="",$E557=""),"",AI557-$E557)</f>
        <v/>
      </c>
      <c r="AK557" s="39"/>
      <c r="AL557" s="40" t="str">
        <f aca="false">IF(OR(AK557="",BZ557=""),"",AK557/BZ557*100)</f>
        <v/>
      </c>
      <c r="AM557" s="41" t="str">
        <f aca="false">IF(AL557="","",IFERROR(MATCH(AL557,INDEX(Boundaries!$B$2:$I$30,MATCH(CN557,Boundaries!$A$2:$A$30,0),0),1)-1,""))</f>
        <v/>
      </c>
      <c r="AN557" s="42" t="str">
        <f aca="false">IF(OR(AM557="",$E557=""),"",AM557-$E557)</f>
        <v/>
      </c>
      <c r="AO557" s="39"/>
      <c r="AP557" s="40" t="str">
        <f aca="false">IF(OR(AO557="",CA557=""),"",AO557/CA557*100)</f>
        <v/>
      </c>
      <c r="AQ557" s="41" t="str">
        <f aca="false">IF(AP557="","",IFERROR(MATCH(AP557,INDEX(Boundaries!$B$2:$I$30,MATCH(CO557,Boundaries!$A$2:$A$30,0),0),1)-1,""))</f>
        <v/>
      </c>
      <c r="AR557" s="42" t="str">
        <f aca="false">IF(OR(AQ557="",$E557=""),"",AQ557-$E557)</f>
        <v/>
      </c>
      <c r="AS557" s="39"/>
      <c r="AT557" s="40" t="str">
        <f aca="false">IF(OR(AS557="",CB557=""),"",AS557/CB557*100)</f>
        <v/>
      </c>
      <c r="AU557" s="41" t="str">
        <f aca="false">IF(AT557="","",IFERROR(MATCH(AT557,INDEX(Boundaries!$B$2:$I$30,MATCH(CP557,Boundaries!$A$2:$A$30,0),0),1)-1,""))</f>
        <v/>
      </c>
      <c r="AV557" s="42" t="str">
        <f aca="false">IF(OR(AU557="",$E557=""),"",AU557-$E557)</f>
        <v/>
      </c>
      <c r="AW557" s="39"/>
      <c r="AX557" s="40" t="str">
        <f aca="false">IF(OR(AW557="",CC557=""),"",AW557/CC557*100)</f>
        <v/>
      </c>
      <c r="AY557" s="41" t="str">
        <f aca="false">IF(AX557="","",IFERROR(MATCH(AX557,INDEX(Boundaries!$B$2:$I$30,MATCH(CQ557,Boundaries!$A$2:$A$30,0),0),1)-1,""))</f>
        <v/>
      </c>
      <c r="AZ557" s="42" t="str">
        <f aca="false">IF(OR(AY557="",$E557=""),"",AY557-$E557)</f>
        <v/>
      </c>
      <c r="BA557" s="39"/>
      <c r="BB557" s="40" t="str">
        <f aca="false">IF(OR(BA557="",CD557=""),"",BA557/CD557*100)</f>
        <v/>
      </c>
      <c r="BC557" s="41" t="str">
        <f aca="false">IF(BB557="","",IFERROR(MATCH(BB557,INDEX(Boundaries!$B$2:$I$30,MATCH(CR557,Boundaries!$A$2:$A$30,0),0),1)-1,""))</f>
        <v/>
      </c>
      <c r="BD557" s="42" t="str">
        <f aca="false">IF(OR(BC557="",$E557=""),"",BC557-$E557)</f>
        <v/>
      </c>
      <c r="BE557" s="39"/>
      <c r="BF557" s="40" t="str">
        <f aca="false">IF(OR(BE557="",CE557=""),"",BE557/CE557*100)</f>
        <v/>
      </c>
      <c r="BG557" s="41" t="str">
        <f aca="false">IF(BF557="","",IFERROR(MATCH(BF557,INDEX(Boundaries!$B$2:$I$30,MATCH(CS557,Boundaries!$A$2:$A$30,0),0),1)-1,""))</f>
        <v/>
      </c>
      <c r="BH557" s="42" t="str">
        <f aca="false">IF(OR(BG557="",$E557=""),"",BG557-$E557)</f>
        <v/>
      </c>
      <c r="BI557" s="39"/>
      <c r="BJ557" s="40" t="str">
        <f aca="false">IF(OR(BI557="",CF557=""),"",BI557/CF557*100)</f>
        <v/>
      </c>
      <c r="BK557" s="41" t="str">
        <f aca="false">IF(BJ557="","",IFERROR(MATCH(BJ557,INDEX(Boundaries!$B$2:$I$30,MATCH(CT557,Boundaries!$A$2:$A$30,0),0),1)-1,""))</f>
        <v/>
      </c>
      <c r="BL557" s="42" t="str">
        <f aca="false">IF(OR(BK557="",$E557=""),"",BK557-$E557)</f>
        <v/>
      </c>
      <c r="BM557" s="39"/>
      <c r="BN557" s="40" t="str">
        <f aca="false">IF(OR(BM557="",CG557=""),"",BM557/CG557*100)</f>
        <v/>
      </c>
      <c r="BO557" s="41" t="str">
        <f aca="false">IF(BN557="","",IFERROR(MATCH(BN557,INDEX(Boundaries!$B$2:$I$30,MATCH(CU557,Boundaries!$A$2:$A$30,0),0),1)-1,""))</f>
        <v/>
      </c>
      <c r="BP557" s="42" t="str">
        <f aca="false">IF(OR(BO557="",$E557=""),"",BO557-$E557)</f>
        <v/>
      </c>
      <c r="BQ557" s="39"/>
      <c r="BR557" s="40" t="str">
        <f aca="false">IF(OR(BQ557="",CH557=""),"",BQ557/CH557*100)</f>
        <v/>
      </c>
      <c r="BS557" s="41" t="str">
        <f aca="false">IF(BR557="","",IFERROR(MATCH(BR557,INDEX(Boundaries!$B$2:$I$30,MATCH(CV557,Boundaries!$A$2:$A$30,0),0),1)-1,""))</f>
        <v/>
      </c>
      <c r="BT557" s="42" t="str">
        <f aca="false">IF(OR(BS557="",$E557=""),"",BS557-$E557)</f>
        <v/>
      </c>
      <c r="BU557" s="28" t="str">
        <f aca="false">IFERROR(INDEX(Assessments!$H$2:$H$600,MATCH($H557&amp;"|"&amp;$I557&amp;"|"&amp;$J557&amp;"|"&amp;1,Assessments!$A$2:$A$600,0)),"")</f>
        <v/>
      </c>
      <c r="BV557" s="28" t="str">
        <f aca="false">IFERROR(INDEX(Assessments!$H$2:$H$600,MATCH($H557&amp;"|"&amp;$I557&amp;"|"&amp;$J557&amp;"|"&amp;2,Assessments!$A$2:$A$600,0)),"")</f>
        <v/>
      </c>
      <c r="BW557" s="28" t="str">
        <f aca="false">IFERROR(INDEX(Assessments!$H$2:$H$600,MATCH($H557&amp;"|"&amp;$I557&amp;"|"&amp;$J557&amp;"|"&amp;3,Assessments!$A$2:$A$600,0)),"")</f>
        <v/>
      </c>
      <c r="BX557" s="28" t="str">
        <f aca="false">IFERROR(INDEX(Assessments!$H$2:$H$600,MATCH($H557&amp;"|"&amp;$I557&amp;"|"&amp;$J557&amp;"|"&amp;4,Assessments!$A$2:$A$600,0)),"")</f>
        <v/>
      </c>
      <c r="BY557" s="28" t="str">
        <f aca="false">IFERROR(INDEX(Assessments!$H$2:$H$600,MATCH($H557&amp;"|"&amp;$I557&amp;"|"&amp;$J557&amp;"|"&amp;5,Assessments!$A$2:$A$600,0)),"")</f>
        <v/>
      </c>
      <c r="BZ557" s="28" t="str">
        <f aca="false">IFERROR(INDEX(Assessments!$H$2:$H$600,MATCH($H557&amp;"|"&amp;$I557&amp;"|"&amp;$J557&amp;"|"&amp;6,Assessments!$A$2:$A$600,0)),"")</f>
        <v/>
      </c>
      <c r="CA557" s="28" t="str">
        <f aca="false">IFERROR(INDEX(Assessments!$H$2:$H$600,MATCH($H557&amp;"|"&amp;$I557&amp;"|"&amp;$J557&amp;"|"&amp;7,Assessments!$A$2:$A$600,0)),"")</f>
        <v/>
      </c>
      <c r="CB557" s="28" t="str">
        <f aca="false">IFERROR(INDEX(Assessments!$H$2:$H$600,MATCH($H557&amp;"|"&amp;$I557&amp;"|"&amp;$J557&amp;"|"&amp;8,Assessments!$A$2:$A$600,0)),"")</f>
        <v/>
      </c>
      <c r="CC557" s="28" t="str">
        <f aca="false">IFERROR(INDEX(Assessments!$H$2:$H$600,MATCH($H557&amp;"|"&amp;$I557&amp;"|"&amp;$J557&amp;"|"&amp;9,Assessments!$A$2:$A$600,0)),"")</f>
        <v/>
      </c>
      <c r="CD557" s="28" t="str">
        <f aca="false">IFERROR(INDEX(Assessments!$H$2:$H$600,MATCH($H557&amp;"|"&amp;$I557&amp;"|"&amp;$J557&amp;"|"&amp;10,Assessments!$A$2:$A$600,0)),"")</f>
        <v/>
      </c>
      <c r="CE557" s="28" t="str">
        <f aca="false">IFERROR(INDEX(Assessments!$H$2:$H$600,MATCH($H557&amp;"|"&amp;$I557&amp;"|"&amp;$J557&amp;"|"&amp;11,Assessments!$A$2:$A$600,0)),"")</f>
        <v/>
      </c>
      <c r="CF557" s="28" t="str">
        <f aca="false">IFERROR(INDEX(Assessments!$H$2:$H$600,MATCH($H557&amp;"|"&amp;$I557&amp;"|"&amp;$J557&amp;"|"&amp;12,Assessments!$A$2:$A$600,0)),"")</f>
        <v/>
      </c>
      <c r="CG557" s="28" t="str">
        <f aca="false">IFERROR(INDEX(Assessments!$H$2:$H$600,MATCH($H557&amp;"|"&amp;$I557&amp;"|"&amp;$J557&amp;"|"&amp;13,Assessments!$A$2:$A$600,0)),"")</f>
        <v/>
      </c>
      <c r="CH557" s="28" t="str">
        <f aca="false">IFERROR(INDEX(Assessments!$H$2:$H$600,MATCH($H557&amp;"|"&amp;$I557&amp;"|"&amp;$J557&amp;"|"&amp;14,Assessments!$A$2:$A$600,0)),"")</f>
        <v/>
      </c>
      <c r="CI557" s="28" t="str">
        <f aca="false">IFERROR(INDEX(Assessments!$I$2:$I$600,MATCH($H557&amp;"|"&amp;$I557&amp;"|"&amp;$J557&amp;"|"&amp;1,Assessments!$A$2:$A$600,0)),"")</f>
        <v/>
      </c>
      <c r="CJ557" s="28" t="str">
        <f aca="false">IFERROR(INDEX(Assessments!$I$2:$I$600,MATCH($H557&amp;"|"&amp;$I557&amp;"|"&amp;$J557&amp;"|"&amp;2,Assessments!$A$2:$A$600,0)),"")</f>
        <v/>
      </c>
      <c r="CK557" s="28" t="str">
        <f aca="false">IFERROR(INDEX(Assessments!$I$2:$I$600,MATCH($H557&amp;"|"&amp;$I557&amp;"|"&amp;$J557&amp;"|"&amp;3,Assessments!$A$2:$A$600,0)),"")</f>
        <v/>
      </c>
      <c r="CL557" s="28" t="str">
        <f aca="false">IFERROR(INDEX(Assessments!$I$2:$I$600,MATCH($H557&amp;"|"&amp;$I557&amp;"|"&amp;$J557&amp;"|"&amp;4,Assessments!$A$2:$A$600,0)),"")</f>
        <v/>
      </c>
      <c r="CM557" s="28" t="str">
        <f aca="false">IFERROR(INDEX(Assessments!$I$2:$I$600,MATCH($H557&amp;"|"&amp;$I557&amp;"|"&amp;$J557&amp;"|"&amp;5,Assessments!$A$2:$A$600,0)),"")</f>
        <v/>
      </c>
      <c r="CN557" s="28" t="str">
        <f aca="false">IFERROR(INDEX(Assessments!$I$2:$I$600,MATCH($H557&amp;"|"&amp;$I557&amp;"|"&amp;$J557&amp;"|"&amp;6,Assessments!$A$2:$A$600,0)),"")</f>
        <v/>
      </c>
      <c r="CO557" s="28" t="str">
        <f aca="false">IFERROR(INDEX(Assessments!$I$2:$I$600,MATCH($H557&amp;"|"&amp;$I557&amp;"|"&amp;$J557&amp;"|"&amp;7,Assessments!$A$2:$A$600,0)),"")</f>
        <v/>
      </c>
      <c r="CP557" s="28" t="str">
        <f aca="false">IFERROR(INDEX(Assessments!$I$2:$I$600,MATCH($H557&amp;"|"&amp;$I557&amp;"|"&amp;$J557&amp;"|"&amp;8,Assessments!$A$2:$A$600,0)),"")</f>
        <v/>
      </c>
      <c r="CQ557" s="28" t="str">
        <f aca="false">IFERROR(INDEX(Assessments!$I$2:$I$600,MATCH($H557&amp;"|"&amp;$I557&amp;"|"&amp;$J557&amp;"|"&amp;9,Assessments!$A$2:$A$600,0)),"")</f>
        <v/>
      </c>
      <c r="CR557" s="28" t="str">
        <f aca="false">IFERROR(INDEX(Assessments!$I$2:$I$600,MATCH($H557&amp;"|"&amp;$I557&amp;"|"&amp;$J557&amp;"|"&amp;10,Assessments!$A$2:$A$600,0)),"")</f>
        <v/>
      </c>
      <c r="CS557" s="28" t="str">
        <f aca="false">IFERROR(INDEX(Assessments!$I$2:$I$600,MATCH($H557&amp;"|"&amp;$I557&amp;"|"&amp;$J557&amp;"|"&amp;11,Assessments!$A$2:$A$600,0)),"")</f>
        <v/>
      </c>
      <c r="CT557" s="28" t="str">
        <f aca="false">IFERROR(INDEX(Assessments!$I$2:$I$600,MATCH($H557&amp;"|"&amp;$I557&amp;"|"&amp;$J557&amp;"|"&amp;12,Assessments!$A$2:$A$600,0)),"")</f>
        <v/>
      </c>
      <c r="CU557" s="28" t="str">
        <f aca="false">IFERROR(INDEX(Assessments!$I$2:$I$600,MATCH($H557&amp;"|"&amp;$I557&amp;"|"&amp;$J557&amp;"|"&amp;13,Assessments!$A$2:$A$600,0)),"")</f>
        <v/>
      </c>
      <c r="CV557" s="28" t="str">
        <f aca="false">IFERROR(INDEX(Assessments!$I$2:$I$600,MATCH($H557&amp;"|"&amp;$I557&amp;"|"&amp;$J557&amp;"|"&amp;14,Assessments!$A$2:$A$600,0)),"")</f>
        <v/>
      </c>
      <c r="CW557" s="28" t="n">
        <f aca="false">IFERROR(INDEX(Assessments!$J$2:$J$600,MATCH($H557&amp;"|"&amp;$I557&amp;"|"&amp;$J557&amp;"|"&amp;1,Assessments!$A$2:$A$600,0)),0)</f>
        <v>0</v>
      </c>
      <c r="CX557" s="28" t="n">
        <f aca="false">IFERROR(INDEX(Assessments!$J$2:$J$600,MATCH($H557&amp;"|"&amp;$I557&amp;"|"&amp;$J557&amp;"|"&amp;2,Assessments!$A$2:$A$600,0)),0)</f>
        <v>0</v>
      </c>
      <c r="CY557" s="28" t="n">
        <f aca="false">IFERROR(INDEX(Assessments!$J$2:$J$600,MATCH($H557&amp;"|"&amp;$I557&amp;"|"&amp;$J557&amp;"|"&amp;3,Assessments!$A$2:$A$600,0)),0)</f>
        <v>0</v>
      </c>
      <c r="CZ557" s="28" t="n">
        <f aca="false">IFERROR(INDEX(Assessments!$J$2:$J$600,MATCH($H557&amp;"|"&amp;$I557&amp;"|"&amp;$J557&amp;"|"&amp;4,Assessments!$A$2:$A$600,0)),0)</f>
        <v>0</v>
      </c>
      <c r="DA557" s="28" t="n">
        <f aca="false">IFERROR(INDEX(Assessments!$J$2:$J$600,MATCH($H557&amp;"|"&amp;$I557&amp;"|"&amp;$J557&amp;"|"&amp;5,Assessments!$A$2:$A$600,0)),0)</f>
        <v>0</v>
      </c>
      <c r="DB557" s="28" t="n">
        <f aca="false">IFERROR(INDEX(Assessments!$J$2:$J$600,MATCH($H557&amp;"|"&amp;$I557&amp;"|"&amp;$J557&amp;"|"&amp;6,Assessments!$A$2:$A$600,0)),0)</f>
        <v>0</v>
      </c>
      <c r="DC557" s="28" t="n">
        <f aca="false">IFERROR(INDEX(Assessments!$J$2:$J$600,MATCH($H557&amp;"|"&amp;$I557&amp;"|"&amp;$J557&amp;"|"&amp;7,Assessments!$A$2:$A$600,0)),0)</f>
        <v>0</v>
      </c>
      <c r="DD557" s="28" t="n">
        <f aca="false">IFERROR(INDEX(Assessments!$J$2:$J$600,MATCH($H557&amp;"|"&amp;$I557&amp;"|"&amp;$J557&amp;"|"&amp;8,Assessments!$A$2:$A$600,0)),0)</f>
        <v>0</v>
      </c>
      <c r="DE557" s="28" t="n">
        <f aca="false">IFERROR(INDEX(Assessments!$J$2:$J$600,MATCH($H557&amp;"|"&amp;$I557&amp;"|"&amp;$J557&amp;"|"&amp;9,Assessments!$A$2:$A$600,0)),0)</f>
        <v>0</v>
      </c>
      <c r="DF557" s="28" t="n">
        <f aca="false">IFERROR(INDEX(Assessments!$J$2:$J$600,MATCH($H557&amp;"|"&amp;$I557&amp;"|"&amp;$J557&amp;"|"&amp;10,Assessments!$A$2:$A$600,0)),0)</f>
        <v>0</v>
      </c>
      <c r="DG557" s="28" t="n">
        <f aca="false">IFERROR(INDEX(Assessments!$J$2:$J$600,MATCH($H557&amp;"|"&amp;$I557&amp;"|"&amp;$J557&amp;"|"&amp;11,Assessments!$A$2:$A$600,0)),0)</f>
        <v>0</v>
      </c>
      <c r="DH557" s="28" t="n">
        <f aca="false">IFERROR(INDEX(Assessments!$J$2:$J$600,MATCH($H557&amp;"|"&amp;$I557&amp;"|"&amp;$J557&amp;"|"&amp;12,Assessments!$A$2:$A$600,0)),0)</f>
        <v>0</v>
      </c>
      <c r="DI557" s="28" t="n">
        <f aca="false">IFERROR(INDEX(Assessments!$J$2:$J$600,MATCH($H557&amp;"|"&amp;$I557&amp;"|"&amp;$J557&amp;"|"&amp;13,Assessments!$A$2:$A$600,0)),0)</f>
        <v>0</v>
      </c>
      <c r="DJ557" s="28" t="n">
        <f aca="false">IFERROR(INDEX(Assessments!$J$2:$J$600,MATCH($H557&amp;"|"&amp;$I557&amp;"|"&amp;$J557&amp;"|"&amp;14,Assessments!$A$2:$A$600,0)),0)</f>
        <v>0</v>
      </c>
      <c r="DK557" s="28" t="str">
        <f aca="false">S557</f>
        <v/>
      </c>
      <c r="DL557" s="28" t="str">
        <f aca="false">W557</f>
        <v/>
      </c>
      <c r="DM557" s="28" t="str">
        <f aca="false">AA557</f>
        <v/>
      </c>
      <c r="DN557" s="28" t="str">
        <f aca="false">AE557</f>
        <v/>
      </c>
      <c r="DO557" s="28" t="str">
        <f aca="false">AI557</f>
        <v/>
      </c>
      <c r="DP557" s="28" t="str">
        <f aca="false">AM557</f>
        <v/>
      </c>
      <c r="DQ557" s="28" t="str">
        <f aca="false">AQ557</f>
        <v/>
      </c>
      <c r="DR557" s="28" t="str">
        <f aca="false">AU557</f>
        <v/>
      </c>
      <c r="DS557" s="28" t="str">
        <f aca="false">AY557</f>
        <v/>
      </c>
      <c r="DT557" s="28" t="str">
        <f aca="false">BC557</f>
        <v/>
      </c>
      <c r="DU557" s="28" t="str">
        <f aca="false">BG557</f>
        <v/>
      </c>
      <c r="DV557" s="28" t="str">
        <f aca="false">BK557</f>
        <v/>
      </c>
      <c r="DW557" s="28" t="str">
        <f aca="false">BO557</f>
        <v/>
      </c>
      <c r="DX557" s="28" t="str">
        <f aca="false">BS557</f>
        <v/>
      </c>
      <c r="DY557" s="28" t="str">
        <f aca="false">IF(ISNUMBER(S557),1,"")</f>
        <v/>
      </c>
      <c r="DZ557" s="28" t="str">
        <f aca="false">IF(ISNUMBER(W557),2,"")</f>
        <v/>
      </c>
      <c r="EA557" s="28" t="str">
        <f aca="false">IF(ISNUMBER(AA557),3,"")</f>
        <v/>
      </c>
      <c r="EB557" s="28" t="str">
        <f aca="false">IF(ISNUMBER(AE557),4,"")</f>
        <v/>
      </c>
      <c r="EC557" s="28" t="str">
        <f aca="false">IF(ISNUMBER(AI557),5,"")</f>
        <v/>
      </c>
      <c r="ED557" s="28" t="str">
        <f aca="false">IF(ISNUMBER(AM557),6,"")</f>
        <v/>
      </c>
      <c r="EE557" s="28" t="str">
        <f aca="false">IF(ISNUMBER(AQ557),7,"")</f>
        <v/>
      </c>
      <c r="EF557" s="28" t="str">
        <f aca="false">IF(ISNUMBER(AU557),8,"")</f>
        <v/>
      </c>
      <c r="EG557" s="28" t="str">
        <f aca="false">IF(ISNUMBER(AY557),9,"")</f>
        <v/>
      </c>
      <c r="EH557" s="28" t="str">
        <f aca="false">IF(ISNUMBER(BC557),10,"")</f>
        <v/>
      </c>
      <c r="EI557" s="28" t="str">
        <f aca="false">IF(ISNUMBER(BG557),11,"")</f>
        <v/>
      </c>
      <c r="EJ557" s="28" t="str">
        <f aca="false">IF(ISNUMBER(BK557),12,"")</f>
        <v/>
      </c>
      <c r="EK557" s="28" t="str">
        <f aca="false">IF(ISNUMBER(BO557),13,"")</f>
        <v/>
      </c>
      <c r="EL557" s="28" t="str">
        <f aca="false">IF(ISNUMBER(BS557),14,"")</f>
        <v/>
      </c>
      <c r="EM557" s="28" t="n">
        <f aca="false">IF(ISNUMBER(R557),R557*CW557,0)</f>
        <v>0</v>
      </c>
      <c r="EN557" s="28" t="n">
        <f aca="false">IF(ISNUMBER(V557),V557*CX557,0)</f>
        <v>0</v>
      </c>
      <c r="EO557" s="28" t="n">
        <f aca="false">IF(ISNUMBER(Z557),Z557*CY557,0)</f>
        <v>0</v>
      </c>
      <c r="EP557" s="28" t="n">
        <f aca="false">IF(ISNUMBER(AD557),AD557*CZ557,0)</f>
        <v>0</v>
      </c>
      <c r="EQ557" s="28" t="n">
        <f aca="false">IF(ISNUMBER(AH557),AH557*DA557,0)</f>
        <v>0</v>
      </c>
      <c r="ER557" s="28" t="n">
        <f aca="false">IF(ISNUMBER(AL557),AL557*DB557,0)</f>
        <v>0</v>
      </c>
      <c r="ES557" s="28" t="n">
        <f aca="false">IF(ISNUMBER(AP557),AP557*DC557,0)</f>
        <v>0</v>
      </c>
      <c r="ET557" s="28" t="n">
        <f aca="false">IF(ISNUMBER(AT557),AT557*DD557,0)</f>
        <v>0</v>
      </c>
      <c r="EU557" s="28" t="n">
        <f aca="false">IF(ISNUMBER(AX557),AX557*DE557,0)</f>
        <v>0</v>
      </c>
      <c r="EV557" s="28" t="n">
        <f aca="false">IF(ISNUMBER(BB557),BB557*DF557,0)</f>
        <v>0</v>
      </c>
      <c r="EW557" s="28" t="n">
        <f aca="false">IF(ISNUMBER(BF557),BF557*DG557,0)</f>
        <v>0</v>
      </c>
      <c r="EX557" s="28" t="n">
        <f aca="false">IF(ISNUMBER(BJ557),BJ557*DH557,0)</f>
        <v>0</v>
      </c>
      <c r="EY557" s="28" t="n">
        <f aca="false">IF(ISNUMBER(BN557),BN557*DI557,0)</f>
        <v>0</v>
      </c>
      <c r="EZ557" s="28" t="n">
        <f aca="false">IF(ISNUMBER(BR557),BR557*DJ557,0)</f>
        <v>0</v>
      </c>
      <c r="FA557" s="28" t="n">
        <f aca="false">IF(ISNUMBER(R557),CW557,0)</f>
        <v>0</v>
      </c>
      <c r="FB557" s="28" t="n">
        <f aca="false">IF(ISNUMBER(V557),CX557,0)</f>
        <v>0</v>
      </c>
      <c r="FC557" s="28" t="n">
        <f aca="false">IF(ISNUMBER(Z557),CY557,0)</f>
        <v>0</v>
      </c>
      <c r="FD557" s="28" t="n">
        <f aca="false">IF(ISNUMBER(AD557),CZ557,0)</f>
        <v>0</v>
      </c>
      <c r="FE557" s="28" t="n">
        <f aca="false">IF(ISNUMBER(AH557),DA557,0)</f>
        <v>0</v>
      </c>
      <c r="FF557" s="28" t="n">
        <f aca="false">IF(ISNUMBER(AL557),DB557,0)</f>
        <v>0</v>
      </c>
      <c r="FG557" s="28" t="n">
        <f aca="false">IF(ISNUMBER(AP557),DC557,0)</f>
        <v>0</v>
      </c>
      <c r="FH557" s="28" t="n">
        <f aca="false">IF(ISNUMBER(AT557),DD557,0)</f>
        <v>0</v>
      </c>
      <c r="FI557" s="28" t="n">
        <f aca="false">IF(ISNUMBER(AX557),DE557,0)</f>
        <v>0</v>
      </c>
      <c r="FJ557" s="28" t="n">
        <f aca="false">IF(ISNUMBER(BB557),DF557,0)</f>
        <v>0</v>
      </c>
      <c r="FK557" s="28" t="n">
        <f aca="false">IF(ISNUMBER(BF557),DG557,0)</f>
        <v>0</v>
      </c>
      <c r="FL557" s="28" t="n">
        <f aca="false">IF(ISNUMBER(BJ557),DH557,0)</f>
        <v>0</v>
      </c>
      <c r="FM557" s="28" t="n">
        <f aca="false">IF(ISNUMBER(BN557),DI557,0)</f>
        <v>0</v>
      </c>
      <c r="FN557" s="28" t="n">
        <f aca="false">IF(ISNUMBER(BR557),DJ557,0)</f>
        <v>0</v>
      </c>
      <c r="FO557" s="28" t="str">
        <f aca="false">IFERROR(INDEX(Lists!$G$2:$G$20,MATCH($I557&amp;"|"&amp;$J557,Lists!$F$2:$F$20,0)),"")</f>
        <v/>
      </c>
    </row>
    <row r="558" customFormat="false" ht="19.5" hidden="false" customHeight="true" outlineLevel="0" collapsed="false">
      <c r="A558" s="29"/>
      <c r="B558" s="29"/>
      <c r="C558" s="30"/>
      <c r="D558" s="30"/>
      <c r="E558" s="31"/>
      <c r="F558" s="30"/>
      <c r="G558" s="30"/>
      <c r="H558" s="32"/>
      <c r="I558" s="33"/>
      <c r="J558" s="32"/>
      <c r="K558" s="34" t="str">
        <f aca="false">IF(OR(M558="",$E558=""),"",M558-$E558)</f>
        <v/>
      </c>
      <c r="L558" s="35" t="str">
        <f aca="false">IF(SUM(FA558:FN558)=0,"",SUM(EM558:EZ558)/SUM(FA558:FN558))</f>
        <v/>
      </c>
      <c r="M558" s="36" t="str">
        <f aca="false">IF(OR(L558="",FO558=""),"",IFERROR(MATCH(L558,INDEX(Boundaries!$B$2:$I$30,MATCH(FO558,Boundaries!$A$2:$A$30,0),0),1)-1,""))</f>
        <v/>
      </c>
      <c r="N558" s="37" t="str">
        <f aca="false">IF(COUNT($DY558:$EL558)&lt;2,"",INDEX($DK558:$DX558,MAX($DY558:$EL558))-INDEX($DK558:$DX558,MIN($DY558:$EL558)))</f>
        <v/>
      </c>
      <c r="O558" s="37" t="str">
        <f aca="false">IF(COUNT($DY558:$EL558)&lt;2,"",INDEX($DK558:$DX558,MAX($DY558:$EL558))-INDEX($DK558:$DX558,LARGE($DY558:$EL558,2)))</f>
        <v/>
      </c>
      <c r="P558" s="38" t="str">
        <f aca="false">IF(K558="","",IF(K558&gt;=0,"On/above target",IF(AND(N558&lt;&gt;"",N558&gt;=0.5),"Improving towards target",IF(AND(O558&lt;&gt;"",O558&lt;=-0.5),"Declining","Stable below target"))))</f>
        <v/>
      </c>
      <c r="Q558" s="39"/>
      <c r="R558" s="40" t="str">
        <f aca="false">IF(OR(Q558="",BU558=""),"",Q558/BU558*100)</f>
        <v/>
      </c>
      <c r="S558" s="41" t="str">
        <f aca="false">IF(R558="","",IFERROR(MATCH(R558,INDEX(Boundaries!$B$2:$I$30,MATCH(CI558,Boundaries!$A$2:$A$30,0),0),1)-1,""))</f>
        <v/>
      </c>
      <c r="T558" s="42" t="str">
        <f aca="false">IF(OR(S558="",$E558=""),"",S558-$E558)</f>
        <v/>
      </c>
      <c r="U558" s="39"/>
      <c r="V558" s="40" t="str">
        <f aca="false">IF(OR(U558="",BV558=""),"",U558/BV558*100)</f>
        <v/>
      </c>
      <c r="W558" s="41" t="str">
        <f aca="false">IF(V558="","",IFERROR(MATCH(V558,INDEX(Boundaries!$B$2:$I$30,MATCH(CJ558,Boundaries!$A$2:$A$30,0),0),1)-1,""))</f>
        <v/>
      </c>
      <c r="X558" s="42" t="str">
        <f aca="false">IF(OR(W558="",$E558=""),"",W558-$E558)</f>
        <v/>
      </c>
      <c r="Y558" s="39"/>
      <c r="Z558" s="40" t="str">
        <f aca="false">IF(OR(Y558="",BW558=""),"",Y558/BW558*100)</f>
        <v/>
      </c>
      <c r="AA558" s="41" t="str">
        <f aca="false">IF(Z558="","",IFERROR(MATCH(Z558,INDEX(Boundaries!$B$2:$I$30,MATCH(CK558,Boundaries!$A$2:$A$30,0),0),1)-1,""))</f>
        <v/>
      </c>
      <c r="AB558" s="42" t="str">
        <f aca="false">IF(OR(AA558="",$E558=""),"",AA558-$E558)</f>
        <v/>
      </c>
      <c r="AC558" s="39"/>
      <c r="AD558" s="40" t="str">
        <f aca="false">IF(OR(AC558="",BX558=""),"",AC558/BX558*100)</f>
        <v/>
      </c>
      <c r="AE558" s="41" t="str">
        <f aca="false">IF(AD558="","",IFERROR(MATCH(AD558,INDEX(Boundaries!$B$2:$I$30,MATCH(CL558,Boundaries!$A$2:$A$30,0),0),1)-1,""))</f>
        <v/>
      </c>
      <c r="AF558" s="42" t="str">
        <f aca="false">IF(OR(AE558="",$E558=""),"",AE558-$E558)</f>
        <v/>
      </c>
      <c r="AG558" s="39"/>
      <c r="AH558" s="40" t="str">
        <f aca="false">IF(OR(AG558="",BY558=""),"",AG558/BY558*100)</f>
        <v/>
      </c>
      <c r="AI558" s="41" t="str">
        <f aca="false">IF(AH558="","",IFERROR(MATCH(AH558,INDEX(Boundaries!$B$2:$I$30,MATCH(CM558,Boundaries!$A$2:$A$30,0),0),1)-1,""))</f>
        <v/>
      </c>
      <c r="AJ558" s="42" t="str">
        <f aca="false">IF(OR(AI558="",$E558=""),"",AI558-$E558)</f>
        <v/>
      </c>
      <c r="AK558" s="39"/>
      <c r="AL558" s="40" t="str">
        <f aca="false">IF(OR(AK558="",BZ558=""),"",AK558/BZ558*100)</f>
        <v/>
      </c>
      <c r="AM558" s="41" t="str">
        <f aca="false">IF(AL558="","",IFERROR(MATCH(AL558,INDEX(Boundaries!$B$2:$I$30,MATCH(CN558,Boundaries!$A$2:$A$30,0),0),1)-1,""))</f>
        <v/>
      </c>
      <c r="AN558" s="42" t="str">
        <f aca="false">IF(OR(AM558="",$E558=""),"",AM558-$E558)</f>
        <v/>
      </c>
      <c r="AO558" s="39"/>
      <c r="AP558" s="40" t="str">
        <f aca="false">IF(OR(AO558="",CA558=""),"",AO558/CA558*100)</f>
        <v/>
      </c>
      <c r="AQ558" s="41" t="str">
        <f aca="false">IF(AP558="","",IFERROR(MATCH(AP558,INDEX(Boundaries!$B$2:$I$30,MATCH(CO558,Boundaries!$A$2:$A$30,0),0),1)-1,""))</f>
        <v/>
      </c>
      <c r="AR558" s="42" t="str">
        <f aca="false">IF(OR(AQ558="",$E558=""),"",AQ558-$E558)</f>
        <v/>
      </c>
      <c r="AS558" s="39"/>
      <c r="AT558" s="40" t="str">
        <f aca="false">IF(OR(AS558="",CB558=""),"",AS558/CB558*100)</f>
        <v/>
      </c>
      <c r="AU558" s="41" t="str">
        <f aca="false">IF(AT558="","",IFERROR(MATCH(AT558,INDEX(Boundaries!$B$2:$I$30,MATCH(CP558,Boundaries!$A$2:$A$30,0),0),1)-1,""))</f>
        <v/>
      </c>
      <c r="AV558" s="42" t="str">
        <f aca="false">IF(OR(AU558="",$E558=""),"",AU558-$E558)</f>
        <v/>
      </c>
      <c r="AW558" s="39"/>
      <c r="AX558" s="40" t="str">
        <f aca="false">IF(OR(AW558="",CC558=""),"",AW558/CC558*100)</f>
        <v/>
      </c>
      <c r="AY558" s="41" t="str">
        <f aca="false">IF(AX558="","",IFERROR(MATCH(AX558,INDEX(Boundaries!$B$2:$I$30,MATCH(CQ558,Boundaries!$A$2:$A$30,0),0),1)-1,""))</f>
        <v/>
      </c>
      <c r="AZ558" s="42" t="str">
        <f aca="false">IF(OR(AY558="",$E558=""),"",AY558-$E558)</f>
        <v/>
      </c>
      <c r="BA558" s="39"/>
      <c r="BB558" s="40" t="str">
        <f aca="false">IF(OR(BA558="",CD558=""),"",BA558/CD558*100)</f>
        <v/>
      </c>
      <c r="BC558" s="41" t="str">
        <f aca="false">IF(BB558="","",IFERROR(MATCH(BB558,INDEX(Boundaries!$B$2:$I$30,MATCH(CR558,Boundaries!$A$2:$A$30,0),0),1)-1,""))</f>
        <v/>
      </c>
      <c r="BD558" s="42" t="str">
        <f aca="false">IF(OR(BC558="",$E558=""),"",BC558-$E558)</f>
        <v/>
      </c>
      <c r="BE558" s="39"/>
      <c r="BF558" s="40" t="str">
        <f aca="false">IF(OR(BE558="",CE558=""),"",BE558/CE558*100)</f>
        <v/>
      </c>
      <c r="BG558" s="41" t="str">
        <f aca="false">IF(BF558="","",IFERROR(MATCH(BF558,INDEX(Boundaries!$B$2:$I$30,MATCH(CS558,Boundaries!$A$2:$A$30,0),0),1)-1,""))</f>
        <v/>
      </c>
      <c r="BH558" s="42" t="str">
        <f aca="false">IF(OR(BG558="",$E558=""),"",BG558-$E558)</f>
        <v/>
      </c>
      <c r="BI558" s="39"/>
      <c r="BJ558" s="40" t="str">
        <f aca="false">IF(OR(BI558="",CF558=""),"",BI558/CF558*100)</f>
        <v/>
      </c>
      <c r="BK558" s="41" t="str">
        <f aca="false">IF(BJ558="","",IFERROR(MATCH(BJ558,INDEX(Boundaries!$B$2:$I$30,MATCH(CT558,Boundaries!$A$2:$A$30,0),0),1)-1,""))</f>
        <v/>
      </c>
      <c r="BL558" s="42" t="str">
        <f aca="false">IF(OR(BK558="",$E558=""),"",BK558-$E558)</f>
        <v/>
      </c>
      <c r="BM558" s="39"/>
      <c r="BN558" s="40" t="str">
        <f aca="false">IF(OR(BM558="",CG558=""),"",BM558/CG558*100)</f>
        <v/>
      </c>
      <c r="BO558" s="41" t="str">
        <f aca="false">IF(BN558="","",IFERROR(MATCH(BN558,INDEX(Boundaries!$B$2:$I$30,MATCH(CU558,Boundaries!$A$2:$A$30,0),0),1)-1,""))</f>
        <v/>
      </c>
      <c r="BP558" s="42" t="str">
        <f aca="false">IF(OR(BO558="",$E558=""),"",BO558-$E558)</f>
        <v/>
      </c>
      <c r="BQ558" s="39"/>
      <c r="BR558" s="40" t="str">
        <f aca="false">IF(OR(BQ558="",CH558=""),"",BQ558/CH558*100)</f>
        <v/>
      </c>
      <c r="BS558" s="41" t="str">
        <f aca="false">IF(BR558="","",IFERROR(MATCH(BR558,INDEX(Boundaries!$B$2:$I$30,MATCH(CV558,Boundaries!$A$2:$A$30,0),0),1)-1,""))</f>
        <v/>
      </c>
      <c r="BT558" s="42" t="str">
        <f aca="false">IF(OR(BS558="",$E558=""),"",BS558-$E558)</f>
        <v/>
      </c>
      <c r="BU558" s="28" t="str">
        <f aca="false">IFERROR(INDEX(Assessments!$H$2:$H$600,MATCH($H558&amp;"|"&amp;$I558&amp;"|"&amp;$J558&amp;"|"&amp;1,Assessments!$A$2:$A$600,0)),"")</f>
        <v/>
      </c>
      <c r="BV558" s="28" t="str">
        <f aca="false">IFERROR(INDEX(Assessments!$H$2:$H$600,MATCH($H558&amp;"|"&amp;$I558&amp;"|"&amp;$J558&amp;"|"&amp;2,Assessments!$A$2:$A$600,0)),"")</f>
        <v/>
      </c>
      <c r="BW558" s="28" t="str">
        <f aca="false">IFERROR(INDEX(Assessments!$H$2:$H$600,MATCH($H558&amp;"|"&amp;$I558&amp;"|"&amp;$J558&amp;"|"&amp;3,Assessments!$A$2:$A$600,0)),"")</f>
        <v/>
      </c>
      <c r="BX558" s="28" t="str">
        <f aca="false">IFERROR(INDEX(Assessments!$H$2:$H$600,MATCH($H558&amp;"|"&amp;$I558&amp;"|"&amp;$J558&amp;"|"&amp;4,Assessments!$A$2:$A$600,0)),"")</f>
        <v/>
      </c>
      <c r="BY558" s="28" t="str">
        <f aca="false">IFERROR(INDEX(Assessments!$H$2:$H$600,MATCH($H558&amp;"|"&amp;$I558&amp;"|"&amp;$J558&amp;"|"&amp;5,Assessments!$A$2:$A$600,0)),"")</f>
        <v/>
      </c>
      <c r="BZ558" s="28" t="str">
        <f aca="false">IFERROR(INDEX(Assessments!$H$2:$H$600,MATCH($H558&amp;"|"&amp;$I558&amp;"|"&amp;$J558&amp;"|"&amp;6,Assessments!$A$2:$A$600,0)),"")</f>
        <v/>
      </c>
      <c r="CA558" s="28" t="str">
        <f aca="false">IFERROR(INDEX(Assessments!$H$2:$H$600,MATCH($H558&amp;"|"&amp;$I558&amp;"|"&amp;$J558&amp;"|"&amp;7,Assessments!$A$2:$A$600,0)),"")</f>
        <v/>
      </c>
      <c r="CB558" s="28" t="str">
        <f aca="false">IFERROR(INDEX(Assessments!$H$2:$H$600,MATCH($H558&amp;"|"&amp;$I558&amp;"|"&amp;$J558&amp;"|"&amp;8,Assessments!$A$2:$A$600,0)),"")</f>
        <v/>
      </c>
      <c r="CC558" s="28" t="str">
        <f aca="false">IFERROR(INDEX(Assessments!$H$2:$H$600,MATCH($H558&amp;"|"&amp;$I558&amp;"|"&amp;$J558&amp;"|"&amp;9,Assessments!$A$2:$A$600,0)),"")</f>
        <v/>
      </c>
      <c r="CD558" s="28" t="str">
        <f aca="false">IFERROR(INDEX(Assessments!$H$2:$H$600,MATCH($H558&amp;"|"&amp;$I558&amp;"|"&amp;$J558&amp;"|"&amp;10,Assessments!$A$2:$A$600,0)),"")</f>
        <v/>
      </c>
      <c r="CE558" s="28" t="str">
        <f aca="false">IFERROR(INDEX(Assessments!$H$2:$H$600,MATCH($H558&amp;"|"&amp;$I558&amp;"|"&amp;$J558&amp;"|"&amp;11,Assessments!$A$2:$A$600,0)),"")</f>
        <v/>
      </c>
      <c r="CF558" s="28" t="str">
        <f aca="false">IFERROR(INDEX(Assessments!$H$2:$H$600,MATCH($H558&amp;"|"&amp;$I558&amp;"|"&amp;$J558&amp;"|"&amp;12,Assessments!$A$2:$A$600,0)),"")</f>
        <v/>
      </c>
      <c r="CG558" s="28" t="str">
        <f aca="false">IFERROR(INDEX(Assessments!$H$2:$H$600,MATCH($H558&amp;"|"&amp;$I558&amp;"|"&amp;$J558&amp;"|"&amp;13,Assessments!$A$2:$A$600,0)),"")</f>
        <v/>
      </c>
      <c r="CH558" s="28" t="str">
        <f aca="false">IFERROR(INDEX(Assessments!$H$2:$H$600,MATCH($H558&amp;"|"&amp;$I558&amp;"|"&amp;$J558&amp;"|"&amp;14,Assessments!$A$2:$A$600,0)),"")</f>
        <v/>
      </c>
      <c r="CI558" s="28" t="str">
        <f aca="false">IFERROR(INDEX(Assessments!$I$2:$I$600,MATCH($H558&amp;"|"&amp;$I558&amp;"|"&amp;$J558&amp;"|"&amp;1,Assessments!$A$2:$A$600,0)),"")</f>
        <v/>
      </c>
      <c r="CJ558" s="28" t="str">
        <f aca="false">IFERROR(INDEX(Assessments!$I$2:$I$600,MATCH($H558&amp;"|"&amp;$I558&amp;"|"&amp;$J558&amp;"|"&amp;2,Assessments!$A$2:$A$600,0)),"")</f>
        <v/>
      </c>
      <c r="CK558" s="28" t="str">
        <f aca="false">IFERROR(INDEX(Assessments!$I$2:$I$600,MATCH($H558&amp;"|"&amp;$I558&amp;"|"&amp;$J558&amp;"|"&amp;3,Assessments!$A$2:$A$600,0)),"")</f>
        <v/>
      </c>
      <c r="CL558" s="28" t="str">
        <f aca="false">IFERROR(INDEX(Assessments!$I$2:$I$600,MATCH($H558&amp;"|"&amp;$I558&amp;"|"&amp;$J558&amp;"|"&amp;4,Assessments!$A$2:$A$600,0)),"")</f>
        <v/>
      </c>
      <c r="CM558" s="28" t="str">
        <f aca="false">IFERROR(INDEX(Assessments!$I$2:$I$600,MATCH($H558&amp;"|"&amp;$I558&amp;"|"&amp;$J558&amp;"|"&amp;5,Assessments!$A$2:$A$600,0)),"")</f>
        <v/>
      </c>
      <c r="CN558" s="28" t="str">
        <f aca="false">IFERROR(INDEX(Assessments!$I$2:$I$600,MATCH($H558&amp;"|"&amp;$I558&amp;"|"&amp;$J558&amp;"|"&amp;6,Assessments!$A$2:$A$600,0)),"")</f>
        <v/>
      </c>
      <c r="CO558" s="28" t="str">
        <f aca="false">IFERROR(INDEX(Assessments!$I$2:$I$600,MATCH($H558&amp;"|"&amp;$I558&amp;"|"&amp;$J558&amp;"|"&amp;7,Assessments!$A$2:$A$600,0)),"")</f>
        <v/>
      </c>
      <c r="CP558" s="28" t="str">
        <f aca="false">IFERROR(INDEX(Assessments!$I$2:$I$600,MATCH($H558&amp;"|"&amp;$I558&amp;"|"&amp;$J558&amp;"|"&amp;8,Assessments!$A$2:$A$600,0)),"")</f>
        <v/>
      </c>
      <c r="CQ558" s="28" t="str">
        <f aca="false">IFERROR(INDEX(Assessments!$I$2:$I$600,MATCH($H558&amp;"|"&amp;$I558&amp;"|"&amp;$J558&amp;"|"&amp;9,Assessments!$A$2:$A$600,0)),"")</f>
        <v/>
      </c>
      <c r="CR558" s="28" t="str">
        <f aca="false">IFERROR(INDEX(Assessments!$I$2:$I$600,MATCH($H558&amp;"|"&amp;$I558&amp;"|"&amp;$J558&amp;"|"&amp;10,Assessments!$A$2:$A$600,0)),"")</f>
        <v/>
      </c>
      <c r="CS558" s="28" t="str">
        <f aca="false">IFERROR(INDEX(Assessments!$I$2:$I$600,MATCH($H558&amp;"|"&amp;$I558&amp;"|"&amp;$J558&amp;"|"&amp;11,Assessments!$A$2:$A$600,0)),"")</f>
        <v/>
      </c>
      <c r="CT558" s="28" t="str">
        <f aca="false">IFERROR(INDEX(Assessments!$I$2:$I$600,MATCH($H558&amp;"|"&amp;$I558&amp;"|"&amp;$J558&amp;"|"&amp;12,Assessments!$A$2:$A$600,0)),"")</f>
        <v/>
      </c>
      <c r="CU558" s="28" t="str">
        <f aca="false">IFERROR(INDEX(Assessments!$I$2:$I$600,MATCH($H558&amp;"|"&amp;$I558&amp;"|"&amp;$J558&amp;"|"&amp;13,Assessments!$A$2:$A$600,0)),"")</f>
        <v/>
      </c>
      <c r="CV558" s="28" t="str">
        <f aca="false">IFERROR(INDEX(Assessments!$I$2:$I$600,MATCH($H558&amp;"|"&amp;$I558&amp;"|"&amp;$J558&amp;"|"&amp;14,Assessments!$A$2:$A$600,0)),"")</f>
        <v/>
      </c>
      <c r="CW558" s="28" t="n">
        <f aca="false">IFERROR(INDEX(Assessments!$J$2:$J$600,MATCH($H558&amp;"|"&amp;$I558&amp;"|"&amp;$J558&amp;"|"&amp;1,Assessments!$A$2:$A$600,0)),0)</f>
        <v>0</v>
      </c>
      <c r="CX558" s="28" t="n">
        <f aca="false">IFERROR(INDEX(Assessments!$J$2:$J$600,MATCH($H558&amp;"|"&amp;$I558&amp;"|"&amp;$J558&amp;"|"&amp;2,Assessments!$A$2:$A$600,0)),0)</f>
        <v>0</v>
      </c>
      <c r="CY558" s="28" t="n">
        <f aca="false">IFERROR(INDEX(Assessments!$J$2:$J$600,MATCH($H558&amp;"|"&amp;$I558&amp;"|"&amp;$J558&amp;"|"&amp;3,Assessments!$A$2:$A$600,0)),0)</f>
        <v>0</v>
      </c>
      <c r="CZ558" s="28" t="n">
        <f aca="false">IFERROR(INDEX(Assessments!$J$2:$J$600,MATCH($H558&amp;"|"&amp;$I558&amp;"|"&amp;$J558&amp;"|"&amp;4,Assessments!$A$2:$A$600,0)),0)</f>
        <v>0</v>
      </c>
      <c r="DA558" s="28" t="n">
        <f aca="false">IFERROR(INDEX(Assessments!$J$2:$J$600,MATCH($H558&amp;"|"&amp;$I558&amp;"|"&amp;$J558&amp;"|"&amp;5,Assessments!$A$2:$A$600,0)),0)</f>
        <v>0</v>
      </c>
      <c r="DB558" s="28" t="n">
        <f aca="false">IFERROR(INDEX(Assessments!$J$2:$J$600,MATCH($H558&amp;"|"&amp;$I558&amp;"|"&amp;$J558&amp;"|"&amp;6,Assessments!$A$2:$A$600,0)),0)</f>
        <v>0</v>
      </c>
      <c r="DC558" s="28" t="n">
        <f aca="false">IFERROR(INDEX(Assessments!$J$2:$J$600,MATCH($H558&amp;"|"&amp;$I558&amp;"|"&amp;$J558&amp;"|"&amp;7,Assessments!$A$2:$A$600,0)),0)</f>
        <v>0</v>
      </c>
      <c r="DD558" s="28" t="n">
        <f aca="false">IFERROR(INDEX(Assessments!$J$2:$J$600,MATCH($H558&amp;"|"&amp;$I558&amp;"|"&amp;$J558&amp;"|"&amp;8,Assessments!$A$2:$A$600,0)),0)</f>
        <v>0</v>
      </c>
      <c r="DE558" s="28" t="n">
        <f aca="false">IFERROR(INDEX(Assessments!$J$2:$J$600,MATCH($H558&amp;"|"&amp;$I558&amp;"|"&amp;$J558&amp;"|"&amp;9,Assessments!$A$2:$A$600,0)),0)</f>
        <v>0</v>
      </c>
      <c r="DF558" s="28" t="n">
        <f aca="false">IFERROR(INDEX(Assessments!$J$2:$J$600,MATCH($H558&amp;"|"&amp;$I558&amp;"|"&amp;$J558&amp;"|"&amp;10,Assessments!$A$2:$A$600,0)),0)</f>
        <v>0</v>
      </c>
      <c r="DG558" s="28" t="n">
        <f aca="false">IFERROR(INDEX(Assessments!$J$2:$J$600,MATCH($H558&amp;"|"&amp;$I558&amp;"|"&amp;$J558&amp;"|"&amp;11,Assessments!$A$2:$A$600,0)),0)</f>
        <v>0</v>
      </c>
      <c r="DH558" s="28" t="n">
        <f aca="false">IFERROR(INDEX(Assessments!$J$2:$J$600,MATCH($H558&amp;"|"&amp;$I558&amp;"|"&amp;$J558&amp;"|"&amp;12,Assessments!$A$2:$A$600,0)),0)</f>
        <v>0</v>
      </c>
      <c r="DI558" s="28" t="n">
        <f aca="false">IFERROR(INDEX(Assessments!$J$2:$J$600,MATCH($H558&amp;"|"&amp;$I558&amp;"|"&amp;$J558&amp;"|"&amp;13,Assessments!$A$2:$A$600,0)),0)</f>
        <v>0</v>
      </c>
      <c r="DJ558" s="28" t="n">
        <f aca="false">IFERROR(INDEX(Assessments!$J$2:$J$600,MATCH($H558&amp;"|"&amp;$I558&amp;"|"&amp;$J558&amp;"|"&amp;14,Assessments!$A$2:$A$600,0)),0)</f>
        <v>0</v>
      </c>
      <c r="DK558" s="28" t="str">
        <f aca="false">S558</f>
        <v/>
      </c>
      <c r="DL558" s="28" t="str">
        <f aca="false">W558</f>
        <v/>
      </c>
      <c r="DM558" s="28" t="str">
        <f aca="false">AA558</f>
        <v/>
      </c>
      <c r="DN558" s="28" t="str">
        <f aca="false">AE558</f>
        <v/>
      </c>
      <c r="DO558" s="28" t="str">
        <f aca="false">AI558</f>
        <v/>
      </c>
      <c r="DP558" s="28" t="str">
        <f aca="false">AM558</f>
        <v/>
      </c>
      <c r="DQ558" s="28" t="str">
        <f aca="false">AQ558</f>
        <v/>
      </c>
      <c r="DR558" s="28" t="str">
        <f aca="false">AU558</f>
        <v/>
      </c>
      <c r="DS558" s="28" t="str">
        <f aca="false">AY558</f>
        <v/>
      </c>
      <c r="DT558" s="28" t="str">
        <f aca="false">BC558</f>
        <v/>
      </c>
      <c r="DU558" s="28" t="str">
        <f aca="false">BG558</f>
        <v/>
      </c>
      <c r="DV558" s="28" t="str">
        <f aca="false">BK558</f>
        <v/>
      </c>
      <c r="DW558" s="28" t="str">
        <f aca="false">BO558</f>
        <v/>
      </c>
      <c r="DX558" s="28" t="str">
        <f aca="false">BS558</f>
        <v/>
      </c>
      <c r="DY558" s="28" t="str">
        <f aca="false">IF(ISNUMBER(S558),1,"")</f>
        <v/>
      </c>
      <c r="DZ558" s="28" t="str">
        <f aca="false">IF(ISNUMBER(W558),2,"")</f>
        <v/>
      </c>
      <c r="EA558" s="28" t="str">
        <f aca="false">IF(ISNUMBER(AA558),3,"")</f>
        <v/>
      </c>
      <c r="EB558" s="28" t="str">
        <f aca="false">IF(ISNUMBER(AE558),4,"")</f>
        <v/>
      </c>
      <c r="EC558" s="28" t="str">
        <f aca="false">IF(ISNUMBER(AI558),5,"")</f>
        <v/>
      </c>
      <c r="ED558" s="28" t="str">
        <f aca="false">IF(ISNUMBER(AM558),6,"")</f>
        <v/>
      </c>
      <c r="EE558" s="28" t="str">
        <f aca="false">IF(ISNUMBER(AQ558),7,"")</f>
        <v/>
      </c>
      <c r="EF558" s="28" t="str">
        <f aca="false">IF(ISNUMBER(AU558),8,"")</f>
        <v/>
      </c>
      <c r="EG558" s="28" t="str">
        <f aca="false">IF(ISNUMBER(AY558),9,"")</f>
        <v/>
      </c>
      <c r="EH558" s="28" t="str">
        <f aca="false">IF(ISNUMBER(BC558),10,"")</f>
        <v/>
      </c>
      <c r="EI558" s="28" t="str">
        <f aca="false">IF(ISNUMBER(BG558),11,"")</f>
        <v/>
      </c>
      <c r="EJ558" s="28" t="str">
        <f aca="false">IF(ISNUMBER(BK558),12,"")</f>
        <v/>
      </c>
      <c r="EK558" s="28" t="str">
        <f aca="false">IF(ISNUMBER(BO558),13,"")</f>
        <v/>
      </c>
      <c r="EL558" s="28" t="str">
        <f aca="false">IF(ISNUMBER(BS558),14,"")</f>
        <v/>
      </c>
      <c r="EM558" s="28" t="n">
        <f aca="false">IF(ISNUMBER(R558),R558*CW558,0)</f>
        <v>0</v>
      </c>
      <c r="EN558" s="28" t="n">
        <f aca="false">IF(ISNUMBER(V558),V558*CX558,0)</f>
        <v>0</v>
      </c>
      <c r="EO558" s="28" t="n">
        <f aca="false">IF(ISNUMBER(Z558),Z558*CY558,0)</f>
        <v>0</v>
      </c>
      <c r="EP558" s="28" t="n">
        <f aca="false">IF(ISNUMBER(AD558),AD558*CZ558,0)</f>
        <v>0</v>
      </c>
      <c r="EQ558" s="28" t="n">
        <f aca="false">IF(ISNUMBER(AH558),AH558*DA558,0)</f>
        <v>0</v>
      </c>
      <c r="ER558" s="28" t="n">
        <f aca="false">IF(ISNUMBER(AL558),AL558*DB558,0)</f>
        <v>0</v>
      </c>
      <c r="ES558" s="28" t="n">
        <f aca="false">IF(ISNUMBER(AP558),AP558*DC558,0)</f>
        <v>0</v>
      </c>
      <c r="ET558" s="28" t="n">
        <f aca="false">IF(ISNUMBER(AT558),AT558*DD558,0)</f>
        <v>0</v>
      </c>
      <c r="EU558" s="28" t="n">
        <f aca="false">IF(ISNUMBER(AX558),AX558*DE558,0)</f>
        <v>0</v>
      </c>
      <c r="EV558" s="28" t="n">
        <f aca="false">IF(ISNUMBER(BB558),BB558*DF558,0)</f>
        <v>0</v>
      </c>
      <c r="EW558" s="28" t="n">
        <f aca="false">IF(ISNUMBER(BF558),BF558*DG558,0)</f>
        <v>0</v>
      </c>
      <c r="EX558" s="28" t="n">
        <f aca="false">IF(ISNUMBER(BJ558),BJ558*DH558,0)</f>
        <v>0</v>
      </c>
      <c r="EY558" s="28" t="n">
        <f aca="false">IF(ISNUMBER(BN558),BN558*DI558,0)</f>
        <v>0</v>
      </c>
      <c r="EZ558" s="28" t="n">
        <f aca="false">IF(ISNUMBER(BR558),BR558*DJ558,0)</f>
        <v>0</v>
      </c>
      <c r="FA558" s="28" t="n">
        <f aca="false">IF(ISNUMBER(R558),CW558,0)</f>
        <v>0</v>
      </c>
      <c r="FB558" s="28" t="n">
        <f aca="false">IF(ISNUMBER(V558),CX558,0)</f>
        <v>0</v>
      </c>
      <c r="FC558" s="28" t="n">
        <f aca="false">IF(ISNUMBER(Z558),CY558,0)</f>
        <v>0</v>
      </c>
      <c r="FD558" s="28" t="n">
        <f aca="false">IF(ISNUMBER(AD558),CZ558,0)</f>
        <v>0</v>
      </c>
      <c r="FE558" s="28" t="n">
        <f aca="false">IF(ISNUMBER(AH558),DA558,0)</f>
        <v>0</v>
      </c>
      <c r="FF558" s="28" t="n">
        <f aca="false">IF(ISNUMBER(AL558),DB558,0)</f>
        <v>0</v>
      </c>
      <c r="FG558" s="28" t="n">
        <f aca="false">IF(ISNUMBER(AP558),DC558,0)</f>
        <v>0</v>
      </c>
      <c r="FH558" s="28" t="n">
        <f aca="false">IF(ISNUMBER(AT558),DD558,0)</f>
        <v>0</v>
      </c>
      <c r="FI558" s="28" t="n">
        <f aca="false">IF(ISNUMBER(AX558),DE558,0)</f>
        <v>0</v>
      </c>
      <c r="FJ558" s="28" t="n">
        <f aca="false">IF(ISNUMBER(BB558),DF558,0)</f>
        <v>0</v>
      </c>
      <c r="FK558" s="28" t="n">
        <f aca="false">IF(ISNUMBER(BF558),DG558,0)</f>
        <v>0</v>
      </c>
      <c r="FL558" s="28" t="n">
        <f aca="false">IF(ISNUMBER(BJ558),DH558,0)</f>
        <v>0</v>
      </c>
      <c r="FM558" s="28" t="n">
        <f aca="false">IF(ISNUMBER(BN558),DI558,0)</f>
        <v>0</v>
      </c>
      <c r="FN558" s="28" t="n">
        <f aca="false">IF(ISNUMBER(BR558),DJ558,0)</f>
        <v>0</v>
      </c>
      <c r="FO558" s="28" t="str">
        <f aca="false">IFERROR(INDEX(Lists!$G$2:$G$20,MATCH($I558&amp;"|"&amp;$J558,Lists!$F$2:$F$20,0)),"")</f>
        <v/>
      </c>
    </row>
    <row r="559" customFormat="false" ht="19.5" hidden="false" customHeight="true" outlineLevel="0" collapsed="false">
      <c r="A559" s="29"/>
      <c r="B559" s="29"/>
      <c r="C559" s="30"/>
      <c r="D559" s="30"/>
      <c r="E559" s="31"/>
      <c r="F559" s="30"/>
      <c r="G559" s="30"/>
      <c r="H559" s="32"/>
      <c r="I559" s="33"/>
      <c r="J559" s="32"/>
      <c r="K559" s="34" t="str">
        <f aca="false">IF(OR(M559="",$E559=""),"",M559-$E559)</f>
        <v/>
      </c>
      <c r="L559" s="35" t="str">
        <f aca="false">IF(SUM(FA559:FN559)=0,"",SUM(EM559:EZ559)/SUM(FA559:FN559))</f>
        <v/>
      </c>
      <c r="M559" s="36" t="str">
        <f aca="false">IF(OR(L559="",FO559=""),"",IFERROR(MATCH(L559,INDEX(Boundaries!$B$2:$I$30,MATCH(FO559,Boundaries!$A$2:$A$30,0),0),1)-1,""))</f>
        <v/>
      </c>
      <c r="N559" s="37" t="str">
        <f aca="false">IF(COUNT($DY559:$EL559)&lt;2,"",INDEX($DK559:$DX559,MAX($DY559:$EL559))-INDEX($DK559:$DX559,MIN($DY559:$EL559)))</f>
        <v/>
      </c>
      <c r="O559" s="37" t="str">
        <f aca="false">IF(COUNT($DY559:$EL559)&lt;2,"",INDEX($DK559:$DX559,MAX($DY559:$EL559))-INDEX($DK559:$DX559,LARGE($DY559:$EL559,2)))</f>
        <v/>
      </c>
      <c r="P559" s="38" t="str">
        <f aca="false">IF(K559="","",IF(K559&gt;=0,"On/above target",IF(AND(N559&lt;&gt;"",N559&gt;=0.5),"Improving towards target",IF(AND(O559&lt;&gt;"",O559&lt;=-0.5),"Declining","Stable below target"))))</f>
        <v/>
      </c>
      <c r="Q559" s="39"/>
      <c r="R559" s="40" t="str">
        <f aca="false">IF(OR(Q559="",BU559=""),"",Q559/BU559*100)</f>
        <v/>
      </c>
      <c r="S559" s="41" t="str">
        <f aca="false">IF(R559="","",IFERROR(MATCH(R559,INDEX(Boundaries!$B$2:$I$30,MATCH(CI559,Boundaries!$A$2:$A$30,0),0),1)-1,""))</f>
        <v/>
      </c>
      <c r="T559" s="42" t="str">
        <f aca="false">IF(OR(S559="",$E559=""),"",S559-$E559)</f>
        <v/>
      </c>
      <c r="U559" s="39"/>
      <c r="V559" s="40" t="str">
        <f aca="false">IF(OR(U559="",BV559=""),"",U559/BV559*100)</f>
        <v/>
      </c>
      <c r="W559" s="41" t="str">
        <f aca="false">IF(V559="","",IFERROR(MATCH(V559,INDEX(Boundaries!$B$2:$I$30,MATCH(CJ559,Boundaries!$A$2:$A$30,0),0),1)-1,""))</f>
        <v/>
      </c>
      <c r="X559" s="42" t="str">
        <f aca="false">IF(OR(W559="",$E559=""),"",W559-$E559)</f>
        <v/>
      </c>
      <c r="Y559" s="39"/>
      <c r="Z559" s="40" t="str">
        <f aca="false">IF(OR(Y559="",BW559=""),"",Y559/BW559*100)</f>
        <v/>
      </c>
      <c r="AA559" s="41" t="str">
        <f aca="false">IF(Z559="","",IFERROR(MATCH(Z559,INDEX(Boundaries!$B$2:$I$30,MATCH(CK559,Boundaries!$A$2:$A$30,0),0),1)-1,""))</f>
        <v/>
      </c>
      <c r="AB559" s="42" t="str">
        <f aca="false">IF(OR(AA559="",$E559=""),"",AA559-$E559)</f>
        <v/>
      </c>
      <c r="AC559" s="39"/>
      <c r="AD559" s="40" t="str">
        <f aca="false">IF(OR(AC559="",BX559=""),"",AC559/BX559*100)</f>
        <v/>
      </c>
      <c r="AE559" s="41" t="str">
        <f aca="false">IF(AD559="","",IFERROR(MATCH(AD559,INDEX(Boundaries!$B$2:$I$30,MATCH(CL559,Boundaries!$A$2:$A$30,0),0),1)-1,""))</f>
        <v/>
      </c>
      <c r="AF559" s="42" t="str">
        <f aca="false">IF(OR(AE559="",$E559=""),"",AE559-$E559)</f>
        <v/>
      </c>
      <c r="AG559" s="39"/>
      <c r="AH559" s="40" t="str">
        <f aca="false">IF(OR(AG559="",BY559=""),"",AG559/BY559*100)</f>
        <v/>
      </c>
      <c r="AI559" s="41" t="str">
        <f aca="false">IF(AH559="","",IFERROR(MATCH(AH559,INDEX(Boundaries!$B$2:$I$30,MATCH(CM559,Boundaries!$A$2:$A$30,0),0),1)-1,""))</f>
        <v/>
      </c>
      <c r="AJ559" s="42" t="str">
        <f aca="false">IF(OR(AI559="",$E559=""),"",AI559-$E559)</f>
        <v/>
      </c>
      <c r="AK559" s="39"/>
      <c r="AL559" s="40" t="str">
        <f aca="false">IF(OR(AK559="",BZ559=""),"",AK559/BZ559*100)</f>
        <v/>
      </c>
      <c r="AM559" s="41" t="str">
        <f aca="false">IF(AL559="","",IFERROR(MATCH(AL559,INDEX(Boundaries!$B$2:$I$30,MATCH(CN559,Boundaries!$A$2:$A$30,0),0),1)-1,""))</f>
        <v/>
      </c>
      <c r="AN559" s="42" t="str">
        <f aca="false">IF(OR(AM559="",$E559=""),"",AM559-$E559)</f>
        <v/>
      </c>
      <c r="AO559" s="39"/>
      <c r="AP559" s="40" t="str">
        <f aca="false">IF(OR(AO559="",CA559=""),"",AO559/CA559*100)</f>
        <v/>
      </c>
      <c r="AQ559" s="41" t="str">
        <f aca="false">IF(AP559="","",IFERROR(MATCH(AP559,INDEX(Boundaries!$B$2:$I$30,MATCH(CO559,Boundaries!$A$2:$A$30,0),0),1)-1,""))</f>
        <v/>
      </c>
      <c r="AR559" s="42" t="str">
        <f aca="false">IF(OR(AQ559="",$E559=""),"",AQ559-$E559)</f>
        <v/>
      </c>
      <c r="AS559" s="39"/>
      <c r="AT559" s="40" t="str">
        <f aca="false">IF(OR(AS559="",CB559=""),"",AS559/CB559*100)</f>
        <v/>
      </c>
      <c r="AU559" s="41" t="str">
        <f aca="false">IF(AT559="","",IFERROR(MATCH(AT559,INDEX(Boundaries!$B$2:$I$30,MATCH(CP559,Boundaries!$A$2:$A$30,0),0),1)-1,""))</f>
        <v/>
      </c>
      <c r="AV559" s="42" t="str">
        <f aca="false">IF(OR(AU559="",$E559=""),"",AU559-$E559)</f>
        <v/>
      </c>
      <c r="AW559" s="39"/>
      <c r="AX559" s="40" t="str">
        <f aca="false">IF(OR(AW559="",CC559=""),"",AW559/CC559*100)</f>
        <v/>
      </c>
      <c r="AY559" s="41" t="str">
        <f aca="false">IF(AX559="","",IFERROR(MATCH(AX559,INDEX(Boundaries!$B$2:$I$30,MATCH(CQ559,Boundaries!$A$2:$A$30,0),0),1)-1,""))</f>
        <v/>
      </c>
      <c r="AZ559" s="42" t="str">
        <f aca="false">IF(OR(AY559="",$E559=""),"",AY559-$E559)</f>
        <v/>
      </c>
      <c r="BA559" s="39"/>
      <c r="BB559" s="40" t="str">
        <f aca="false">IF(OR(BA559="",CD559=""),"",BA559/CD559*100)</f>
        <v/>
      </c>
      <c r="BC559" s="41" t="str">
        <f aca="false">IF(BB559="","",IFERROR(MATCH(BB559,INDEX(Boundaries!$B$2:$I$30,MATCH(CR559,Boundaries!$A$2:$A$30,0),0),1)-1,""))</f>
        <v/>
      </c>
      <c r="BD559" s="42" t="str">
        <f aca="false">IF(OR(BC559="",$E559=""),"",BC559-$E559)</f>
        <v/>
      </c>
      <c r="BE559" s="39"/>
      <c r="BF559" s="40" t="str">
        <f aca="false">IF(OR(BE559="",CE559=""),"",BE559/CE559*100)</f>
        <v/>
      </c>
      <c r="BG559" s="41" t="str">
        <f aca="false">IF(BF559="","",IFERROR(MATCH(BF559,INDEX(Boundaries!$B$2:$I$30,MATCH(CS559,Boundaries!$A$2:$A$30,0),0),1)-1,""))</f>
        <v/>
      </c>
      <c r="BH559" s="42" t="str">
        <f aca="false">IF(OR(BG559="",$E559=""),"",BG559-$E559)</f>
        <v/>
      </c>
      <c r="BI559" s="39"/>
      <c r="BJ559" s="40" t="str">
        <f aca="false">IF(OR(BI559="",CF559=""),"",BI559/CF559*100)</f>
        <v/>
      </c>
      <c r="BK559" s="41" t="str">
        <f aca="false">IF(BJ559="","",IFERROR(MATCH(BJ559,INDEX(Boundaries!$B$2:$I$30,MATCH(CT559,Boundaries!$A$2:$A$30,0),0),1)-1,""))</f>
        <v/>
      </c>
      <c r="BL559" s="42" t="str">
        <f aca="false">IF(OR(BK559="",$E559=""),"",BK559-$E559)</f>
        <v/>
      </c>
      <c r="BM559" s="39"/>
      <c r="BN559" s="40" t="str">
        <f aca="false">IF(OR(BM559="",CG559=""),"",BM559/CG559*100)</f>
        <v/>
      </c>
      <c r="BO559" s="41" t="str">
        <f aca="false">IF(BN559="","",IFERROR(MATCH(BN559,INDEX(Boundaries!$B$2:$I$30,MATCH(CU559,Boundaries!$A$2:$A$30,0),0),1)-1,""))</f>
        <v/>
      </c>
      <c r="BP559" s="42" t="str">
        <f aca="false">IF(OR(BO559="",$E559=""),"",BO559-$E559)</f>
        <v/>
      </c>
      <c r="BQ559" s="39"/>
      <c r="BR559" s="40" t="str">
        <f aca="false">IF(OR(BQ559="",CH559=""),"",BQ559/CH559*100)</f>
        <v/>
      </c>
      <c r="BS559" s="41" t="str">
        <f aca="false">IF(BR559="","",IFERROR(MATCH(BR559,INDEX(Boundaries!$B$2:$I$30,MATCH(CV559,Boundaries!$A$2:$A$30,0),0),1)-1,""))</f>
        <v/>
      </c>
      <c r="BT559" s="42" t="str">
        <f aca="false">IF(OR(BS559="",$E559=""),"",BS559-$E559)</f>
        <v/>
      </c>
      <c r="BU559" s="28" t="str">
        <f aca="false">IFERROR(INDEX(Assessments!$H$2:$H$600,MATCH($H559&amp;"|"&amp;$I559&amp;"|"&amp;$J559&amp;"|"&amp;1,Assessments!$A$2:$A$600,0)),"")</f>
        <v/>
      </c>
      <c r="BV559" s="28" t="str">
        <f aca="false">IFERROR(INDEX(Assessments!$H$2:$H$600,MATCH($H559&amp;"|"&amp;$I559&amp;"|"&amp;$J559&amp;"|"&amp;2,Assessments!$A$2:$A$600,0)),"")</f>
        <v/>
      </c>
      <c r="BW559" s="28" t="str">
        <f aca="false">IFERROR(INDEX(Assessments!$H$2:$H$600,MATCH($H559&amp;"|"&amp;$I559&amp;"|"&amp;$J559&amp;"|"&amp;3,Assessments!$A$2:$A$600,0)),"")</f>
        <v/>
      </c>
      <c r="BX559" s="28" t="str">
        <f aca="false">IFERROR(INDEX(Assessments!$H$2:$H$600,MATCH($H559&amp;"|"&amp;$I559&amp;"|"&amp;$J559&amp;"|"&amp;4,Assessments!$A$2:$A$600,0)),"")</f>
        <v/>
      </c>
      <c r="BY559" s="28" t="str">
        <f aca="false">IFERROR(INDEX(Assessments!$H$2:$H$600,MATCH($H559&amp;"|"&amp;$I559&amp;"|"&amp;$J559&amp;"|"&amp;5,Assessments!$A$2:$A$600,0)),"")</f>
        <v/>
      </c>
      <c r="BZ559" s="28" t="str">
        <f aca="false">IFERROR(INDEX(Assessments!$H$2:$H$600,MATCH($H559&amp;"|"&amp;$I559&amp;"|"&amp;$J559&amp;"|"&amp;6,Assessments!$A$2:$A$600,0)),"")</f>
        <v/>
      </c>
      <c r="CA559" s="28" t="str">
        <f aca="false">IFERROR(INDEX(Assessments!$H$2:$H$600,MATCH($H559&amp;"|"&amp;$I559&amp;"|"&amp;$J559&amp;"|"&amp;7,Assessments!$A$2:$A$600,0)),"")</f>
        <v/>
      </c>
      <c r="CB559" s="28" t="str">
        <f aca="false">IFERROR(INDEX(Assessments!$H$2:$H$600,MATCH($H559&amp;"|"&amp;$I559&amp;"|"&amp;$J559&amp;"|"&amp;8,Assessments!$A$2:$A$600,0)),"")</f>
        <v/>
      </c>
      <c r="CC559" s="28" t="str">
        <f aca="false">IFERROR(INDEX(Assessments!$H$2:$H$600,MATCH($H559&amp;"|"&amp;$I559&amp;"|"&amp;$J559&amp;"|"&amp;9,Assessments!$A$2:$A$600,0)),"")</f>
        <v/>
      </c>
      <c r="CD559" s="28" t="str">
        <f aca="false">IFERROR(INDEX(Assessments!$H$2:$H$600,MATCH($H559&amp;"|"&amp;$I559&amp;"|"&amp;$J559&amp;"|"&amp;10,Assessments!$A$2:$A$600,0)),"")</f>
        <v/>
      </c>
      <c r="CE559" s="28" t="str">
        <f aca="false">IFERROR(INDEX(Assessments!$H$2:$H$600,MATCH($H559&amp;"|"&amp;$I559&amp;"|"&amp;$J559&amp;"|"&amp;11,Assessments!$A$2:$A$600,0)),"")</f>
        <v/>
      </c>
      <c r="CF559" s="28" t="str">
        <f aca="false">IFERROR(INDEX(Assessments!$H$2:$H$600,MATCH($H559&amp;"|"&amp;$I559&amp;"|"&amp;$J559&amp;"|"&amp;12,Assessments!$A$2:$A$600,0)),"")</f>
        <v/>
      </c>
      <c r="CG559" s="28" t="str">
        <f aca="false">IFERROR(INDEX(Assessments!$H$2:$H$600,MATCH($H559&amp;"|"&amp;$I559&amp;"|"&amp;$J559&amp;"|"&amp;13,Assessments!$A$2:$A$600,0)),"")</f>
        <v/>
      </c>
      <c r="CH559" s="28" t="str">
        <f aca="false">IFERROR(INDEX(Assessments!$H$2:$H$600,MATCH($H559&amp;"|"&amp;$I559&amp;"|"&amp;$J559&amp;"|"&amp;14,Assessments!$A$2:$A$600,0)),"")</f>
        <v/>
      </c>
      <c r="CI559" s="28" t="str">
        <f aca="false">IFERROR(INDEX(Assessments!$I$2:$I$600,MATCH($H559&amp;"|"&amp;$I559&amp;"|"&amp;$J559&amp;"|"&amp;1,Assessments!$A$2:$A$600,0)),"")</f>
        <v/>
      </c>
      <c r="CJ559" s="28" t="str">
        <f aca="false">IFERROR(INDEX(Assessments!$I$2:$I$600,MATCH($H559&amp;"|"&amp;$I559&amp;"|"&amp;$J559&amp;"|"&amp;2,Assessments!$A$2:$A$600,0)),"")</f>
        <v/>
      </c>
      <c r="CK559" s="28" t="str">
        <f aca="false">IFERROR(INDEX(Assessments!$I$2:$I$600,MATCH($H559&amp;"|"&amp;$I559&amp;"|"&amp;$J559&amp;"|"&amp;3,Assessments!$A$2:$A$600,0)),"")</f>
        <v/>
      </c>
      <c r="CL559" s="28" t="str">
        <f aca="false">IFERROR(INDEX(Assessments!$I$2:$I$600,MATCH($H559&amp;"|"&amp;$I559&amp;"|"&amp;$J559&amp;"|"&amp;4,Assessments!$A$2:$A$600,0)),"")</f>
        <v/>
      </c>
      <c r="CM559" s="28" t="str">
        <f aca="false">IFERROR(INDEX(Assessments!$I$2:$I$600,MATCH($H559&amp;"|"&amp;$I559&amp;"|"&amp;$J559&amp;"|"&amp;5,Assessments!$A$2:$A$600,0)),"")</f>
        <v/>
      </c>
      <c r="CN559" s="28" t="str">
        <f aca="false">IFERROR(INDEX(Assessments!$I$2:$I$600,MATCH($H559&amp;"|"&amp;$I559&amp;"|"&amp;$J559&amp;"|"&amp;6,Assessments!$A$2:$A$600,0)),"")</f>
        <v/>
      </c>
      <c r="CO559" s="28" t="str">
        <f aca="false">IFERROR(INDEX(Assessments!$I$2:$I$600,MATCH($H559&amp;"|"&amp;$I559&amp;"|"&amp;$J559&amp;"|"&amp;7,Assessments!$A$2:$A$600,0)),"")</f>
        <v/>
      </c>
      <c r="CP559" s="28" t="str">
        <f aca="false">IFERROR(INDEX(Assessments!$I$2:$I$600,MATCH($H559&amp;"|"&amp;$I559&amp;"|"&amp;$J559&amp;"|"&amp;8,Assessments!$A$2:$A$600,0)),"")</f>
        <v/>
      </c>
      <c r="CQ559" s="28" t="str">
        <f aca="false">IFERROR(INDEX(Assessments!$I$2:$I$600,MATCH($H559&amp;"|"&amp;$I559&amp;"|"&amp;$J559&amp;"|"&amp;9,Assessments!$A$2:$A$600,0)),"")</f>
        <v/>
      </c>
      <c r="CR559" s="28" t="str">
        <f aca="false">IFERROR(INDEX(Assessments!$I$2:$I$600,MATCH($H559&amp;"|"&amp;$I559&amp;"|"&amp;$J559&amp;"|"&amp;10,Assessments!$A$2:$A$600,0)),"")</f>
        <v/>
      </c>
      <c r="CS559" s="28" t="str">
        <f aca="false">IFERROR(INDEX(Assessments!$I$2:$I$600,MATCH($H559&amp;"|"&amp;$I559&amp;"|"&amp;$J559&amp;"|"&amp;11,Assessments!$A$2:$A$600,0)),"")</f>
        <v/>
      </c>
      <c r="CT559" s="28" t="str">
        <f aca="false">IFERROR(INDEX(Assessments!$I$2:$I$600,MATCH($H559&amp;"|"&amp;$I559&amp;"|"&amp;$J559&amp;"|"&amp;12,Assessments!$A$2:$A$600,0)),"")</f>
        <v/>
      </c>
      <c r="CU559" s="28" t="str">
        <f aca="false">IFERROR(INDEX(Assessments!$I$2:$I$600,MATCH($H559&amp;"|"&amp;$I559&amp;"|"&amp;$J559&amp;"|"&amp;13,Assessments!$A$2:$A$600,0)),"")</f>
        <v/>
      </c>
      <c r="CV559" s="28" t="str">
        <f aca="false">IFERROR(INDEX(Assessments!$I$2:$I$600,MATCH($H559&amp;"|"&amp;$I559&amp;"|"&amp;$J559&amp;"|"&amp;14,Assessments!$A$2:$A$600,0)),"")</f>
        <v/>
      </c>
      <c r="CW559" s="28" t="n">
        <f aca="false">IFERROR(INDEX(Assessments!$J$2:$J$600,MATCH($H559&amp;"|"&amp;$I559&amp;"|"&amp;$J559&amp;"|"&amp;1,Assessments!$A$2:$A$600,0)),0)</f>
        <v>0</v>
      </c>
      <c r="CX559" s="28" t="n">
        <f aca="false">IFERROR(INDEX(Assessments!$J$2:$J$600,MATCH($H559&amp;"|"&amp;$I559&amp;"|"&amp;$J559&amp;"|"&amp;2,Assessments!$A$2:$A$600,0)),0)</f>
        <v>0</v>
      </c>
      <c r="CY559" s="28" t="n">
        <f aca="false">IFERROR(INDEX(Assessments!$J$2:$J$600,MATCH($H559&amp;"|"&amp;$I559&amp;"|"&amp;$J559&amp;"|"&amp;3,Assessments!$A$2:$A$600,0)),0)</f>
        <v>0</v>
      </c>
      <c r="CZ559" s="28" t="n">
        <f aca="false">IFERROR(INDEX(Assessments!$J$2:$J$600,MATCH($H559&amp;"|"&amp;$I559&amp;"|"&amp;$J559&amp;"|"&amp;4,Assessments!$A$2:$A$600,0)),0)</f>
        <v>0</v>
      </c>
      <c r="DA559" s="28" t="n">
        <f aca="false">IFERROR(INDEX(Assessments!$J$2:$J$600,MATCH($H559&amp;"|"&amp;$I559&amp;"|"&amp;$J559&amp;"|"&amp;5,Assessments!$A$2:$A$600,0)),0)</f>
        <v>0</v>
      </c>
      <c r="DB559" s="28" t="n">
        <f aca="false">IFERROR(INDEX(Assessments!$J$2:$J$600,MATCH($H559&amp;"|"&amp;$I559&amp;"|"&amp;$J559&amp;"|"&amp;6,Assessments!$A$2:$A$600,0)),0)</f>
        <v>0</v>
      </c>
      <c r="DC559" s="28" t="n">
        <f aca="false">IFERROR(INDEX(Assessments!$J$2:$J$600,MATCH($H559&amp;"|"&amp;$I559&amp;"|"&amp;$J559&amp;"|"&amp;7,Assessments!$A$2:$A$600,0)),0)</f>
        <v>0</v>
      </c>
      <c r="DD559" s="28" t="n">
        <f aca="false">IFERROR(INDEX(Assessments!$J$2:$J$600,MATCH($H559&amp;"|"&amp;$I559&amp;"|"&amp;$J559&amp;"|"&amp;8,Assessments!$A$2:$A$600,0)),0)</f>
        <v>0</v>
      </c>
      <c r="DE559" s="28" t="n">
        <f aca="false">IFERROR(INDEX(Assessments!$J$2:$J$600,MATCH($H559&amp;"|"&amp;$I559&amp;"|"&amp;$J559&amp;"|"&amp;9,Assessments!$A$2:$A$600,0)),0)</f>
        <v>0</v>
      </c>
      <c r="DF559" s="28" t="n">
        <f aca="false">IFERROR(INDEX(Assessments!$J$2:$J$600,MATCH($H559&amp;"|"&amp;$I559&amp;"|"&amp;$J559&amp;"|"&amp;10,Assessments!$A$2:$A$600,0)),0)</f>
        <v>0</v>
      </c>
      <c r="DG559" s="28" t="n">
        <f aca="false">IFERROR(INDEX(Assessments!$J$2:$J$600,MATCH($H559&amp;"|"&amp;$I559&amp;"|"&amp;$J559&amp;"|"&amp;11,Assessments!$A$2:$A$600,0)),0)</f>
        <v>0</v>
      </c>
      <c r="DH559" s="28" t="n">
        <f aca="false">IFERROR(INDEX(Assessments!$J$2:$J$600,MATCH($H559&amp;"|"&amp;$I559&amp;"|"&amp;$J559&amp;"|"&amp;12,Assessments!$A$2:$A$600,0)),0)</f>
        <v>0</v>
      </c>
      <c r="DI559" s="28" t="n">
        <f aca="false">IFERROR(INDEX(Assessments!$J$2:$J$600,MATCH($H559&amp;"|"&amp;$I559&amp;"|"&amp;$J559&amp;"|"&amp;13,Assessments!$A$2:$A$600,0)),0)</f>
        <v>0</v>
      </c>
      <c r="DJ559" s="28" t="n">
        <f aca="false">IFERROR(INDEX(Assessments!$J$2:$J$600,MATCH($H559&amp;"|"&amp;$I559&amp;"|"&amp;$J559&amp;"|"&amp;14,Assessments!$A$2:$A$600,0)),0)</f>
        <v>0</v>
      </c>
      <c r="DK559" s="28" t="str">
        <f aca="false">S559</f>
        <v/>
      </c>
      <c r="DL559" s="28" t="str">
        <f aca="false">W559</f>
        <v/>
      </c>
      <c r="DM559" s="28" t="str">
        <f aca="false">AA559</f>
        <v/>
      </c>
      <c r="DN559" s="28" t="str">
        <f aca="false">AE559</f>
        <v/>
      </c>
      <c r="DO559" s="28" t="str">
        <f aca="false">AI559</f>
        <v/>
      </c>
      <c r="DP559" s="28" t="str">
        <f aca="false">AM559</f>
        <v/>
      </c>
      <c r="DQ559" s="28" t="str">
        <f aca="false">AQ559</f>
        <v/>
      </c>
      <c r="DR559" s="28" t="str">
        <f aca="false">AU559</f>
        <v/>
      </c>
      <c r="DS559" s="28" t="str">
        <f aca="false">AY559</f>
        <v/>
      </c>
      <c r="DT559" s="28" t="str">
        <f aca="false">BC559</f>
        <v/>
      </c>
      <c r="DU559" s="28" t="str">
        <f aca="false">BG559</f>
        <v/>
      </c>
      <c r="DV559" s="28" t="str">
        <f aca="false">BK559</f>
        <v/>
      </c>
      <c r="DW559" s="28" t="str">
        <f aca="false">BO559</f>
        <v/>
      </c>
      <c r="DX559" s="28" t="str">
        <f aca="false">BS559</f>
        <v/>
      </c>
      <c r="DY559" s="28" t="str">
        <f aca="false">IF(ISNUMBER(S559),1,"")</f>
        <v/>
      </c>
      <c r="DZ559" s="28" t="str">
        <f aca="false">IF(ISNUMBER(W559),2,"")</f>
        <v/>
      </c>
      <c r="EA559" s="28" t="str">
        <f aca="false">IF(ISNUMBER(AA559),3,"")</f>
        <v/>
      </c>
      <c r="EB559" s="28" t="str">
        <f aca="false">IF(ISNUMBER(AE559),4,"")</f>
        <v/>
      </c>
      <c r="EC559" s="28" t="str">
        <f aca="false">IF(ISNUMBER(AI559),5,"")</f>
        <v/>
      </c>
      <c r="ED559" s="28" t="str">
        <f aca="false">IF(ISNUMBER(AM559),6,"")</f>
        <v/>
      </c>
      <c r="EE559" s="28" t="str">
        <f aca="false">IF(ISNUMBER(AQ559),7,"")</f>
        <v/>
      </c>
      <c r="EF559" s="28" t="str">
        <f aca="false">IF(ISNUMBER(AU559),8,"")</f>
        <v/>
      </c>
      <c r="EG559" s="28" t="str">
        <f aca="false">IF(ISNUMBER(AY559),9,"")</f>
        <v/>
      </c>
      <c r="EH559" s="28" t="str">
        <f aca="false">IF(ISNUMBER(BC559),10,"")</f>
        <v/>
      </c>
      <c r="EI559" s="28" t="str">
        <f aca="false">IF(ISNUMBER(BG559),11,"")</f>
        <v/>
      </c>
      <c r="EJ559" s="28" t="str">
        <f aca="false">IF(ISNUMBER(BK559),12,"")</f>
        <v/>
      </c>
      <c r="EK559" s="28" t="str">
        <f aca="false">IF(ISNUMBER(BO559),13,"")</f>
        <v/>
      </c>
      <c r="EL559" s="28" t="str">
        <f aca="false">IF(ISNUMBER(BS559),14,"")</f>
        <v/>
      </c>
      <c r="EM559" s="28" t="n">
        <f aca="false">IF(ISNUMBER(R559),R559*CW559,0)</f>
        <v>0</v>
      </c>
      <c r="EN559" s="28" t="n">
        <f aca="false">IF(ISNUMBER(V559),V559*CX559,0)</f>
        <v>0</v>
      </c>
      <c r="EO559" s="28" t="n">
        <f aca="false">IF(ISNUMBER(Z559),Z559*CY559,0)</f>
        <v>0</v>
      </c>
      <c r="EP559" s="28" t="n">
        <f aca="false">IF(ISNUMBER(AD559),AD559*CZ559,0)</f>
        <v>0</v>
      </c>
      <c r="EQ559" s="28" t="n">
        <f aca="false">IF(ISNUMBER(AH559),AH559*DA559,0)</f>
        <v>0</v>
      </c>
      <c r="ER559" s="28" t="n">
        <f aca="false">IF(ISNUMBER(AL559),AL559*DB559,0)</f>
        <v>0</v>
      </c>
      <c r="ES559" s="28" t="n">
        <f aca="false">IF(ISNUMBER(AP559),AP559*DC559,0)</f>
        <v>0</v>
      </c>
      <c r="ET559" s="28" t="n">
        <f aca="false">IF(ISNUMBER(AT559),AT559*DD559,0)</f>
        <v>0</v>
      </c>
      <c r="EU559" s="28" t="n">
        <f aca="false">IF(ISNUMBER(AX559),AX559*DE559,0)</f>
        <v>0</v>
      </c>
      <c r="EV559" s="28" t="n">
        <f aca="false">IF(ISNUMBER(BB559),BB559*DF559,0)</f>
        <v>0</v>
      </c>
      <c r="EW559" s="28" t="n">
        <f aca="false">IF(ISNUMBER(BF559),BF559*DG559,0)</f>
        <v>0</v>
      </c>
      <c r="EX559" s="28" t="n">
        <f aca="false">IF(ISNUMBER(BJ559),BJ559*DH559,0)</f>
        <v>0</v>
      </c>
      <c r="EY559" s="28" t="n">
        <f aca="false">IF(ISNUMBER(BN559),BN559*DI559,0)</f>
        <v>0</v>
      </c>
      <c r="EZ559" s="28" t="n">
        <f aca="false">IF(ISNUMBER(BR559),BR559*DJ559,0)</f>
        <v>0</v>
      </c>
      <c r="FA559" s="28" t="n">
        <f aca="false">IF(ISNUMBER(R559),CW559,0)</f>
        <v>0</v>
      </c>
      <c r="FB559" s="28" t="n">
        <f aca="false">IF(ISNUMBER(V559),CX559,0)</f>
        <v>0</v>
      </c>
      <c r="FC559" s="28" t="n">
        <f aca="false">IF(ISNUMBER(Z559),CY559,0)</f>
        <v>0</v>
      </c>
      <c r="FD559" s="28" t="n">
        <f aca="false">IF(ISNUMBER(AD559),CZ559,0)</f>
        <v>0</v>
      </c>
      <c r="FE559" s="28" t="n">
        <f aca="false">IF(ISNUMBER(AH559),DA559,0)</f>
        <v>0</v>
      </c>
      <c r="FF559" s="28" t="n">
        <f aca="false">IF(ISNUMBER(AL559),DB559,0)</f>
        <v>0</v>
      </c>
      <c r="FG559" s="28" t="n">
        <f aca="false">IF(ISNUMBER(AP559),DC559,0)</f>
        <v>0</v>
      </c>
      <c r="FH559" s="28" t="n">
        <f aca="false">IF(ISNUMBER(AT559),DD559,0)</f>
        <v>0</v>
      </c>
      <c r="FI559" s="28" t="n">
        <f aca="false">IF(ISNUMBER(AX559),DE559,0)</f>
        <v>0</v>
      </c>
      <c r="FJ559" s="28" t="n">
        <f aca="false">IF(ISNUMBER(BB559),DF559,0)</f>
        <v>0</v>
      </c>
      <c r="FK559" s="28" t="n">
        <f aca="false">IF(ISNUMBER(BF559),DG559,0)</f>
        <v>0</v>
      </c>
      <c r="FL559" s="28" t="n">
        <f aca="false">IF(ISNUMBER(BJ559),DH559,0)</f>
        <v>0</v>
      </c>
      <c r="FM559" s="28" t="n">
        <f aca="false">IF(ISNUMBER(BN559),DI559,0)</f>
        <v>0</v>
      </c>
      <c r="FN559" s="28" t="n">
        <f aca="false">IF(ISNUMBER(BR559),DJ559,0)</f>
        <v>0</v>
      </c>
      <c r="FO559" s="28" t="str">
        <f aca="false">IFERROR(INDEX(Lists!$G$2:$G$20,MATCH($I559&amp;"|"&amp;$J559,Lists!$F$2:$F$20,0)),"")</f>
        <v/>
      </c>
    </row>
    <row r="560" customFormat="false" ht="19.5" hidden="false" customHeight="true" outlineLevel="0" collapsed="false">
      <c r="A560" s="29"/>
      <c r="B560" s="29"/>
      <c r="C560" s="30"/>
      <c r="D560" s="30"/>
      <c r="E560" s="31"/>
      <c r="F560" s="30"/>
      <c r="G560" s="30"/>
      <c r="H560" s="32"/>
      <c r="I560" s="33"/>
      <c r="J560" s="32"/>
      <c r="K560" s="34" t="str">
        <f aca="false">IF(OR(M560="",$E560=""),"",M560-$E560)</f>
        <v/>
      </c>
      <c r="L560" s="35" t="str">
        <f aca="false">IF(SUM(FA560:FN560)=0,"",SUM(EM560:EZ560)/SUM(FA560:FN560))</f>
        <v/>
      </c>
      <c r="M560" s="36" t="str">
        <f aca="false">IF(OR(L560="",FO560=""),"",IFERROR(MATCH(L560,INDEX(Boundaries!$B$2:$I$30,MATCH(FO560,Boundaries!$A$2:$A$30,0),0),1)-1,""))</f>
        <v/>
      </c>
      <c r="N560" s="37" t="str">
        <f aca="false">IF(COUNT($DY560:$EL560)&lt;2,"",INDEX($DK560:$DX560,MAX($DY560:$EL560))-INDEX($DK560:$DX560,MIN($DY560:$EL560)))</f>
        <v/>
      </c>
      <c r="O560" s="37" t="str">
        <f aca="false">IF(COUNT($DY560:$EL560)&lt;2,"",INDEX($DK560:$DX560,MAX($DY560:$EL560))-INDEX($DK560:$DX560,LARGE($DY560:$EL560,2)))</f>
        <v/>
      </c>
      <c r="P560" s="38" t="str">
        <f aca="false">IF(K560="","",IF(K560&gt;=0,"On/above target",IF(AND(N560&lt;&gt;"",N560&gt;=0.5),"Improving towards target",IF(AND(O560&lt;&gt;"",O560&lt;=-0.5),"Declining","Stable below target"))))</f>
        <v/>
      </c>
      <c r="Q560" s="39"/>
      <c r="R560" s="40" t="str">
        <f aca="false">IF(OR(Q560="",BU560=""),"",Q560/BU560*100)</f>
        <v/>
      </c>
      <c r="S560" s="41" t="str">
        <f aca="false">IF(R560="","",IFERROR(MATCH(R560,INDEX(Boundaries!$B$2:$I$30,MATCH(CI560,Boundaries!$A$2:$A$30,0),0),1)-1,""))</f>
        <v/>
      </c>
      <c r="T560" s="42" t="str">
        <f aca="false">IF(OR(S560="",$E560=""),"",S560-$E560)</f>
        <v/>
      </c>
      <c r="U560" s="39"/>
      <c r="V560" s="40" t="str">
        <f aca="false">IF(OR(U560="",BV560=""),"",U560/BV560*100)</f>
        <v/>
      </c>
      <c r="W560" s="41" t="str">
        <f aca="false">IF(V560="","",IFERROR(MATCH(V560,INDEX(Boundaries!$B$2:$I$30,MATCH(CJ560,Boundaries!$A$2:$A$30,0),0),1)-1,""))</f>
        <v/>
      </c>
      <c r="X560" s="42" t="str">
        <f aca="false">IF(OR(W560="",$E560=""),"",W560-$E560)</f>
        <v/>
      </c>
      <c r="Y560" s="39"/>
      <c r="Z560" s="40" t="str">
        <f aca="false">IF(OR(Y560="",BW560=""),"",Y560/BW560*100)</f>
        <v/>
      </c>
      <c r="AA560" s="41" t="str">
        <f aca="false">IF(Z560="","",IFERROR(MATCH(Z560,INDEX(Boundaries!$B$2:$I$30,MATCH(CK560,Boundaries!$A$2:$A$30,0),0),1)-1,""))</f>
        <v/>
      </c>
      <c r="AB560" s="42" t="str">
        <f aca="false">IF(OR(AA560="",$E560=""),"",AA560-$E560)</f>
        <v/>
      </c>
      <c r="AC560" s="39"/>
      <c r="AD560" s="40" t="str">
        <f aca="false">IF(OR(AC560="",BX560=""),"",AC560/BX560*100)</f>
        <v/>
      </c>
      <c r="AE560" s="41" t="str">
        <f aca="false">IF(AD560="","",IFERROR(MATCH(AD560,INDEX(Boundaries!$B$2:$I$30,MATCH(CL560,Boundaries!$A$2:$A$30,0),0),1)-1,""))</f>
        <v/>
      </c>
      <c r="AF560" s="42" t="str">
        <f aca="false">IF(OR(AE560="",$E560=""),"",AE560-$E560)</f>
        <v/>
      </c>
      <c r="AG560" s="39"/>
      <c r="AH560" s="40" t="str">
        <f aca="false">IF(OR(AG560="",BY560=""),"",AG560/BY560*100)</f>
        <v/>
      </c>
      <c r="AI560" s="41" t="str">
        <f aca="false">IF(AH560="","",IFERROR(MATCH(AH560,INDEX(Boundaries!$B$2:$I$30,MATCH(CM560,Boundaries!$A$2:$A$30,0),0),1)-1,""))</f>
        <v/>
      </c>
      <c r="AJ560" s="42" t="str">
        <f aca="false">IF(OR(AI560="",$E560=""),"",AI560-$E560)</f>
        <v/>
      </c>
      <c r="AK560" s="39"/>
      <c r="AL560" s="40" t="str">
        <f aca="false">IF(OR(AK560="",BZ560=""),"",AK560/BZ560*100)</f>
        <v/>
      </c>
      <c r="AM560" s="41" t="str">
        <f aca="false">IF(AL560="","",IFERROR(MATCH(AL560,INDEX(Boundaries!$B$2:$I$30,MATCH(CN560,Boundaries!$A$2:$A$30,0),0),1)-1,""))</f>
        <v/>
      </c>
      <c r="AN560" s="42" t="str">
        <f aca="false">IF(OR(AM560="",$E560=""),"",AM560-$E560)</f>
        <v/>
      </c>
      <c r="AO560" s="39"/>
      <c r="AP560" s="40" t="str">
        <f aca="false">IF(OR(AO560="",CA560=""),"",AO560/CA560*100)</f>
        <v/>
      </c>
      <c r="AQ560" s="41" t="str">
        <f aca="false">IF(AP560="","",IFERROR(MATCH(AP560,INDEX(Boundaries!$B$2:$I$30,MATCH(CO560,Boundaries!$A$2:$A$30,0),0),1)-1,""))</f>
        <v/>
      </c>
      <c r="AR560" s="42" t="str">
        <f aca="false">IF(OR(AQ560="",$E560=""),"",AQ560-$E560)</f>
        <v/>
      </c>
      <c r="AS560" s="39"/>
      <c r="AT560" s="40" t="str">
        <f aca="false">IF(OR(AS560="",CB560=""),"",AS560/CB560*100)</f>
        <v/>
      </c>
      <c r="AU560" s="41" t="str">
        <f aca="false">IF(AT560="","",IFERROR(MATCH(AT560,INDEX(Boundaries!$B$2:$I$30,MATCH(CP560,Boundaries!$A$2:$A$30,0),0),1)-1,""))</f>
        <v/>
      </c>
      <c r="AV560" s="42" t="str">
        <f aca="false">IF(OR(AU560="",$E560=""),"",AU560-$E560)</f>
        <v/>
      </c>
      <c r="AW560" s="39"/>
      <c r="AX560" s="40" t="str">
        <f aca="false">IF(OR(AW560="",CC560=""),"",AW560/CC560*100)</f>
        <v/>
      </c>
      <c r="AY560" s="41" t="str">
        <f aca="false">IF(AX560="","",IFERROR(MATCH(AX560,INDEX(Boundaries!$B$2:$I$30,MATCH(CQ560,Boundaries!$A$2:$A$30,0),0),1)-1,""))</f>
        <v/>
      </c>
      <c r="AZ560" s="42" t="str">
        <f aca="false">IF(OR(AY560="",$E560=""),"",AY560-$E560)</f>
        <v/>
      </c>
      <c r="BA560" s="39"/>
      <c r="BB560" s="40" t="str">
        <f aca="false">IF(OR(BA560="",CD560=""),"",BA560/CD560*100)</f>
        <v/>
      </c>
      <c r="BC560" s="41" t="str">
        <f aca="false">IF(BB560="","",IFERROR(MATCH(BB560,INDEX(Boundaries!$B$2:$I$30,MATCH(CR560,Boundaries!$A$2:$A$30,0),0),1)-1,""))</f>
        <v/>
      </c>
      <c r="BD560" s="42" t="str">
        <f aca="false">IF(OR(BC560="",$E560=""),"",BC560-$E560)</f>
        <v/>
      </c>
      <c r="BE560" s="39"/>
      <c r="BF560" s="40" t="str">
        <f aca="false">IF(OR(BE560="",CE560=""),"",BE560/CE560*100)</f>
        <v/>
      </c>
      <c r="BG560" s="41" t="str">
        <f aca="false">IF(BF560="","",IFERROR(MATCH(BF560,INDEX(Boundaries!$B$2:$I$30,MATCH(CS560,Boundaries!$A$2:$A$30,0),0),1)-1,""))</f>
        <v/>
      </c>
      <c r="BH560" s="42" t="str">
        <f aca="false">IF(OR(BG560="",$E560=""),"",BG560-$E560)</f>
        <v/>
      </c>
      <c r="BI560" s="39"/>
      <c r="BJ560" s="40" t="str">
        <f aca="false">IF(OR(BI560="",CF560=""),"",BI560/CF560*100)</f>
        <v/>
      </c>
      <c r="BK560" s="41" t="str">
        <f aca="false">IF(BJ560="","",IFERROR(MATCH(BJ560,INDEX(Boundaries!$B$2:$I$30,MATCH(CT560,Boundaries!$A$2:$A$30,0),0),1)-1,""))</f>
        <v/>
      </c>
      <c r="BL560" s="42" t="str">
        <f aca="false">IF(OR(BK560="",$E560=""),"",BK560-$E560)</f>
        <v/>
      </c>
      <c r="BM560" s="39"/>
      <c r="BN560" s="40" t="str">
        <f aca="false">IF(OR(BM560="",CG560=""),"",BM560/CG560*100)</f>
        <v/>
      </c>
      <c r="BO560" s="41" t="str">
        <f aca="false">IF(BN560="","",IFERROR(MATCH(BN560,INDEX(Boundaries!$B$2:$I$30,MATCH(CU560,Boundaries!$A$2:$A$30,0),0),1)-1,""))</f>
        <v/>
      </c>
      <c r="BP560" s="42" t="str">
        <f aca="false">IF(OR(BO560="",$E560=""),"",BO560-$E560)</f>
        <v/>
      </c>
      <c r="BQ560" s="39"/>
      <c r="BR560" s="40" t="str">
        <f aca="false">IF(OR(BQ560="",CH560=""),"",BQ560/CH560*100)</f>
        <v/>
      </c>
      <c r="BS560" s="41" t="str">
        <f aca="false">IF(BR560="","",IFERROR(MATCH(BR560,INDEX(Boundaries!$B$2:$I$30,MATCH(CV560,Boundaries!$A$2:$A$30,0),0),1)-1,""))</f>
        <v/>
      </c>
      <c r="BT560" s="42" t="str">
        <f aca="false">IF(OR(BS560="",$E560=""),"",BS560-$E560)</f>
        <v/>
      </c>
      <c r="BU560" s="28" t="str">
        <f aca="false">IFERROR(INDEX(Assessments!$H$2:$H$600,MATCH($H560&amp;"|"&amp;$I560&amp;"|"&amp;$J560&amp;"|"&amp;1,Assessments!$A$2:$A$600,0)),"")</f>
        <v/>
      </c>
      <c r="BV560" s="28" t="str">
        <f aca="false">IFERROR(INDEX(Assessments!$H$2:$H$600,MATCH($H560&amp;"|"&amp;$I560&amp;"|"&amp;$J560&amp;"|"&amp;2,Assessments!$A$2:$A$600,0)),"")</f>
        <v/>
      </c>
      <c r="BW560" s="28" t="str">
        <f aca="false">IFERROR(INDEX(Assessments!$H$2:$H$600,MATCH($H560&amp;"|"&amp;$I560&amp;"|"&amp;$J560&amp;"|"&amp;3,Assessments!$A$2:$A$600,0)),"")</f>
        <v/>
      </c>
      <c r="BX560" s="28" t="str">
        <f aca="false">IFERROR(INDEX(Assessments!$H$2:$H$600,MATCH($H560&amp;"|"&amp;$I560&amp;"|"&amp;$J560&amp;"|"&amp;4,Assessments!$A$2:$A$600,0)),"")</f>
        <v/>
      </c>
      <c r="BY560" s="28" t="str">
        <f aca="false">IFERROR(INDEX(Assessments!$H$2:$H$600,MATCH($H560&amp;"|"&amp;$I560&amp;"|"&amp;$J560&amp;"|"&amp;5,Assessments!$A$2:$A$600,0)),"")</f>
        <v/>
      </c>
      <c r="BZ560" s="28" t="str">
        <f aca="false">IFERROR(INDEX(Assessments!$H$2:$H$600,MATCH($H560&amp;"|"&amp;$I560&amp;"|"&amp;$J560&amp;"|"&amp;6,Assessments!$A$2:$A$600,0)),"")</f>
        <v/>
      </c>
      <c r="CA560" s="28" t="str">
        <f aca="false">IFERROR(INDEX(Assessments!$H$2:$H$600,MATCH($H560&amp;"|"&amp;$I560&amp;"|"&amp;$J560&amp;"|"&amp;7,Assessments!$A$2:$A$600,0)),"")</f>
        <v/>
      </c>
      <c r="CB560" s="28" t="str">
        <f aca="false">IFERROR(INDEX(Assessments!$H$2:$H$600,MATCH($H560&amp;"|"&amp;$I560&amp;"|"&amp;$J560&amp;"|"&amp;8,Assessments!$A$2:$A$600,0)),"")</f>
        <v/>
      </c>
      <c r="CC560" s="28" t="str">
        <f aca="false">IFERROR(INDEX(Assessments!$H$2:$H$600,MATCH($H560&amp;"|"&amp;$I560&amp;"|"&amp;$J560&amp;"|"&amp;9,Assessments!$A$2:$A$600,0)),"")</f>
        <v/>
      </c>
      <c r="CD560" s="28" t="str">
        <f aca="false">IFERROR(INDEX(Assessments!$H$2:$H$600,MATCH($H560&amp;"|"&amp;$I560&amp;"|"&amp;$J560&amp;"|"&amp;10,Assessments!$A$2:$A$600,0)),"")</f>
        <v/>
      </c>
      <c r="CE560" s="28" t="str">
        <f aca="false">IFERROR(INDEX(Assessments!$H$2:$H$600,MATCH($H560&amp;"|"&amp;$I560&amp;"|"&amp;$J560&amp;"|"&amp;11,Assessments!$A$2:$A$600,0)),"")</f>
        <v/>
      </c>
      <c r="CF560" s="28" t="str">
        <f aca="false">IFERROR(INDEX(Assessments!$H$2:$H$600,MATCH($H560&amp;"|"&amp;$I560&amp;"|"&amp;$J560&amp;"|"&amp;12,Assessments!$A$2:$A$600,0)),"")</f>
        <v/>
      </c>
      <c r="CG560" s="28" t="str">
        <f aca="false">IFERROR(INDEX(Assessments!$H$2:$H$600,MATCH($H560&amp;"|"&amp;$I560&amp;"|"&amp;$J560&amp;"|"&amp;13,Assessments!$A$2:$A$600,0)),"")</f>
        <v/>
      </c>
      <c r="CH560" s="28" t="str">
        <f aca="false">IFERROR(INDEX(Assessments!$H$2:$H$600,MATCH($H560&amp;"|"&amp;$I560&amp;"|"&amp;$J560&amp;"|"&amp;14,Assessments!$A$2:$A$600,0)),"")</f>
        <v/>
      </c>
      <c r="CI560" s="28" t="str">
        <f aca="false">IFERROR(INDEX(Assessments!$I$2:$I$600,MATCH($H560&amp;"|"&amp;$I560&amp;"|"&amp;$J560&amp;"|"&amp;1,Assessments!$A$2:$A$600,0)),"")</f>
        <v/>
      </c>
      <c r="CJ560" s="28" t="str">
        <f aca="false">IFERROR(INDEX(Assessments!$I$2:$I$600,MATCH($H560&amp;"|"&amp;$I560&amp;"|"&amp;$J560&amp;"|"&amp;2,Assessments!$A$2:$A$600,0)),"")</f>
        <v/>
      </c>
      <c r="CK560" s="28" t="str">
        <f aca="false">IFERROR(INDEX(Assessments!$I$2:$I$600,MATCH($H560&amp;"|"&amp;$I560&amp;"|"&amp;$J560&amp;"|"&amp;3,Assessments!$A$2:$A$600,0)),"")</f>
        <v/>
      </c>
      <c r="CL560" s="28" t="str">
        <f aca="false">IFERROR(INDEX(Assessments!$I$2:$I$600,MATCH($H560&amp;"|"&amp;$I560&amp;"|"&amp;$J560&amp;"|"&amp;4,Assessments!$A$2:$A$600,0)),"")</f>
        <v/>
      </c>
      <c r="CM560" s="28" t="str">
        <f aca="false">IFERROR(INDEX(Assessments!$I$2:$I$600,MATCH($H560&amp;"|"&amp;$I560&amp;"|"&amp;$J560&amp;"|"&amp;5,Assessments!$A$2:$A$600,0)),"")</f>
        <v/>
      </c>
      <c r="CN560" s="28" t="str">
        <f aca="false">IFERROR(INDEX(Assessments!$I$2:$I$600,MATCH($H560&amp;"|"&amp;$I560&amp;"|"&amp;$J560&amp;"|"&amp;6,Assessments!$A$2:$A$600,0)),"")</f>
        <v/>
      </c>
      <c r="CO560" s="28" t="str">
        <f aca="false">IFERROR(INDEX(Assessments!$I$2:$I$600,MATCH($H560&amp;"|"&amp;$I560&amp;"|"&amp;$J560&amp;"|"&amp;7,Assessments!$A$2:$A$600,0)),"")</f>
        <v/>
      </c>
      <c r="CP560" s="28" t="str">
        <f aca="false">IFERROR(INDEX(Assessments!$I$2:$I$600,MATCH($H560&amp;"|"&amp;$I560&amp;"|"&amp;$J560&amp;"|"&amp;8,Assessments!$A$2:$A$600,0)),"")</f>
        <v/>
      </c>
      <c r="CQ560" s="28" t="str">
        <f aca="false">IFERROR(INDEX(Assessments!$I$2:$I$600,MATCH($H560&amp;"|"&amp;$I560&amp;"|"&amp;$J560&amp;"|"&amp;9,Assessments!$A$2:$A$600,0)),"")</f>
        <v/>
      </c>
      <c r="CR560" s="28" t="str">
        <f aca="false">IFERROR(INDEX(Assessments!$I$2:$I$600,MATCH($H560&amp;"|"&amp;$I560&amp;"|"&amp;$J560&amp;"|"&amp;10,Assessments!$A$2:$A$600,0)),"")</f>
        <v/>
      </c>
      <c r="CS560" s="28" t="str">
        <f aca="false">IFERROR(INDEX(Assessments!$I$2:$I$600,MATCH($H560&amp;"|"&amp;$I560&amp;"|"&amp;$J560&amp;"|"&amp;11,Assessments!$A$2:$A$600,0)),"")</f>
        <v/>
      </c>
      <c r="CT560" s="28" t="str">
        <f aca="false">IFERROR(INDEX(Assessments!$I$2:$I$600,MATCH($H560&amp;"|"&amp;$I560&amp;"|"&amp;$J560&amp;"|"&amp;12,Assessments!$A$2:$A$600,0)),"")</f>
        <v/>
      </c>
      <c r="CU560" s="28" t="str">
        <f aca="false">IFERROR(INDEX(Assessments!$I$2:$I$600,MATCH($H560&amp;"|"&amp;$I560&amp;"|"&amp;$J560&amp;"|"&amp;13,Assessments!$A$2:$A$600,0)),"")</f>
        <v/>
      </c>
      <c r="CV560" s="28" t="str">
        <f aca="false">IFERROR(INDEX(Assessments!$I$2:$I$600,MATCH($H560&amp;"|"&amp;$I560&amp;"|"&amp;$J560&amp;"|"&amp;14,Assessments!$A$2:$A$600,0)),"")</f>
        <v/>
      </c>
      <c r="CW560" s="28" t="n">
        <f aca="false">IFERROR(INDEX(Assessments!$J$2:$J$600,MATCH($H560&amp;"|"&amp;$I560&amp;"|"&amp;$J560&amp;"|"&amp;1,Assessments!$A$2:$A$600,0)),0)</f>
        <v>0</v>
      </c>
      <c r="CX560" s="28" t="n">
        <f aca="false">IFERROR(INDEX(Assessments!$J$2:$J$600,MATCH($H560&amp;"|"&amp;$I560&amp;"|"&amp;$J560&amp;"|"&amp;2,Assessments!$A$2:$A$600,0)),0)</f>
        <v>0</v>
      </c>
      <c r="CY560" s="28" t="n">
        <f aca="false">IFERROR(INDEX(Assessments!$J$2:$J$600,MATCH($H560&amp;"|"&amp;$I560&amp;"|"&amp;$J560&amp;"|"&amp;3,Assessments!$A$2:$A$600,0)),0)</f>
        <v>0</v>
      </c>
      <c r="CZ560" s="28" t="n">
        <f aca="false">IFERROR(INDEX(Assessments!$J$2:$J$600,MATCH($H560&amp;"|"&amp;$I560&amp;"|"&amp;$J560&amp;"|"&amp;4,Assessments!$A$2:$A$600,0)),0)</f>
        <v>0</v>
      </c>
      <c r="DA560" s="28" t="n">
        <f aca="false">IFERROR(INDEX(Assessments!$J$2:$J$600,MATCH($H560&amp;"|"&amp;$I560&amp;"|"&amp;$J560&amp;"|"&amp;5,Assessments!$A$2:$A$600,0)),0)</f>
        <v>0</v>
      </c>
      <c r="DB560" s="28" t="n">
        <f aca="false">IFERROR(INDEX(Assessments!$J$2:$J$600,MATCH($H560&amp;"|"&amp;$I560&amp;"|"&amp;$J560&amp;"|"&amp;6,Assessments!$A$2:$A$600,0)),0)</f>
        <v>0</v>
      </c>
      <c r="DC560" s="28" t="n">
        <f aca="false">IFERROR(INDEX(Assessments!$J$2:$J$600,MATCH($H560&amp;"|"&amp;$I560&amp;"|"&amp;$J560&amp;"|"&amp;7,Assessments!$A$2:$A$600,0)),0)</f>
        <v>0</v>
      </c>
      <c r="DD560" s="28" t="n">
        <f aca="false">IFERROR(INDEX(Assessments!$J$2:$J$600,MATCH($H560&amp;"|"&amp;$I560&amp;"|"&amp;$J560&amp;"|"&amp;8,Assessments!$A$2:$A$600,0)),0)</f>
        <v>0</v>
      </c>
      <c r="DE560" s="28" t="n">
        <f aca="false">IFERROR(INDEX(Assessments!$J$2:$J$600,MATCH($H560&amp;"|"&amp;$I560&amp;"|"&amp;$J560&amp;"|"&amp;9,Assessments!$A$2:$A$600,0)),0)</f>
        <v>0</v>
      </c>
      <c r="DF560" s="28" t="n">
        <f aca="false">IFERROR(INDEX(Assessments!$J$2:$J$600,MATCH($H560&amp;"|"&amp;$I560&amp;"|"&amp;$J560&amp;"|"&amp;10,Assessments!$A$2:$A$600,0)),0)</f>
        <v>0</v>
      </c>
      <c r="DG560" s="28" t="n">
        <f aca="false">IFERROR(INDEX(Assessments!$J$2:$J$600,MATCH($H560&amp;"|"&amp;$I560&amp;"|"&amp;$J560&amp;"|"&amp;11,Assessments!$A$2:$A$600,0)),0)</f>
        <v>0</v>
      </c>
      <c r="DH560" s="28" t="n">
        <f aca="false">IFERROR(INDEX(Assessments!$J$2:$J$600,MATCH($H560&amp;"|"&amp;$I560&amp;"|"&amp;$J560&amp;"|"&amp;12,Assessments!$A$2:$A$600,0)),0)</f>
        <v>0</v>
      </c>
      <c r="DI560" s="28" t="n">
        <f aca="false">IFERROR(INDEX(Assessments!$J$2:$J$600,MATCH($H560&amp;"|"&amp;$I560&amp;"|"&amp;$J560&amp;"|"&amp;13,Assessments!$A$2:$A$600,0)),0)</f>
        <v>0</v>
      </c>
      <c r="DJ560" s="28" t="n">
        <f aca="false">IFERROR(INDEX(Assessments!$J$2:$J$600,MATCH($H560&amp;"|"&amp;$I560&amp;"|"&amp;$J560&amp;"|"&amp;14,Assessments!$A$2:$A$600,0)),0)</f>
        <v>0</v>
      </c>
      <c r="DK560" s="28" t="str">
        <f aca="false">S560</f>
        <v/>
      </c>
      <c r="DL560" s="28" t="str">
        <f aca="false">W560</f>
        <v/>
      </c>
      <c r="DM560" s="28" t="str">
        <f aca="false">AA560</f>
        <v/>
      </c>
      <c r="DN560" s="28" t="str">
        <f aca="false">AE560</f>
        <v/>
      </c>
      <c r="DO560" s="28" t="str">
        <f aca="false">AI560</f>
        <v/>
      </c>
      <c r="DP560" s="28" t="str">
        <f aca="false">AM560</f>
        <v/>
      </c>
      <c r="DQ560" s="28" t="str">
        <f aca="false">AQ560</f>
        <v/>
      </c>
      <c r="DR560" s="28" t="str">
        <f aca="false">AU560</f>
        <v/>
      </c>
      <c r="DS560" s="28" t="str">
        <f aca="false">AY560</f>
        <v/>
      </c>
      <c r="DT560" s="28" t="str">
        <f aca="false">BC560</f>
        <v/>
      </c>
      <c r="DU560" s="28" t="str">
        <f aca="false">BG560</f>
        <v/>
      </c>
      <c r="DV560" s="28" t="str">
        <f aca="false">BK560</f>
        <v/>
      </c>
      <c r="DW560" s="28" t="str">
        <f aca="false">BO560</f>
        <v/>
      </c>
      <c r="DX560" s="28" t="str">
        <f aca="false">BS560</f>
        <v/>
      </c>
      <c r="DY560" s="28" t="str">
        <f aca="false">IF(ISNUMBER(S560),1,"")</f>
        <v/>
      </c>
      <c r="DZ560" s="28" t="str">
        <f aca="false">IF(ISNUMBER(W560),2,"")</f>
        <v/>
      </c>
      <c r="EA560" s="28" t="str">
        <f aca="false">IF(ISNUMBER(AA560),3,"")</f>
        <v/>
      </c>
      <c r="EB560" s="28" t="str">
        <f aca="false">IF(ISNUMBER(AE560),4,"")</f>
        <v/>
      </c>
      <c r="EC560" s="28" t="str">
        <f aca="false">IF(ISNUMBER(AI560),5,"")</f>
        <v/>
      </c>
      <c r="ED560" s="28" t="str">
        <f aca="false">IF(ISNUMBER(AM560),6,"")</f>
        <v/>
      </c>
      <c r="EE560" s="28" t="str">
        <f aca="false">IF(ISNUMBER(AQ560),7,"")</f>
        <v/>
      </c>
      <c r="EF560" s="28" t="str">
        <f aca="false">IF(ISNUMBER(AU560),8,"")</f>
        <v/>
      </c>
      <c r="EG560" s="28" t="str">
        <f aca="false">IF(ISNUMBER(AY560),9,"")</f>
        <v/>
      </c>
      <c r="EH560" s="28" t="str">
        <f aca="false">IF(ISNUMBER(BC560),10,"")</f>
        <v/>
      </c>
      <c r="EI560" s="28" t="str">
        <f aca="false">IF(ISNUMBER(BG560),11,"")</f>
        <v/>
      </c>
      <c r="EJ560" s="28" t="str">
        <f aca="false">IF(ISNUMBER(BK560),12,"")</f>
        <v/>
      </c>
      <c r="EK560" s="28" t="str">
        <f aca="false">IF(ISNUMBER(BO560),13,"")</f>
        <v/>
      </c>
      <c r="EL560" s="28" t="str">
        <f aca="false">IF(ISNUMBER(BS560),14,"")</f>
        <v/>
      </c>
      <c r="EM560" s="28" t="n">
        <f aca="false">IF(ISNUMBER(R560),R560*CW560,0)</f>
        <v>0</v>
      </c>
      <c r="EN560" s="28" t="n">
        <f aca="false">IF(ISNUMBER(V560),V560*CX560,0)</f>
        <v>0</v>
      </c>
      <c r="EO560" s="28" t="n">
        <f aca="false">IF(ISNUMBER(Z560),Z560*CY560,0)</f>
        <v>0</v>
      </c>
      <c r="EP560" s="28" t="n">
        <f aca="false">IF(ISNUMBER(AD560),AD560*CZ560,0)</f>
        <v>0</v>
      </c>
      <c r="EQ560" s="28" t="n">
        <f aca="false">IF(ISNUMBER(AH560),AH560*DA560,0)</f>
        <v>0</v>
      </c>
      <c r="ER560" s="28" t="n">
        <f aca="false">IF(ISNUMBER(AL560),AL560*DB560,0)</f>
        <v>0</v>
      </c>
      <c r="ES560" s="28" t="n">
        <f aca="false">IF(ISNUMBER(AP560),AP560*DC560,0)</f>
        <v>0</v>
      </c>
      <c r="ET560" s="28" t="n">
        <f aca="false">IF(ISNUMBER(AT560),AT560*DD560,0)</f>
        <v>0</v>
      </c>
      <c r="EU560" s="28" t="n">
        <f aca="false">IF(ISNUMBER(AX560),AX560*DE560,0)</f>
        <v>0</v>
      </c>
      <c r="EV560" s="28" t="n">
        <f aca="false">IF(ISNUMBER(BB560),BB560*DF560,0)</f>
        <v>0</v>
      </c>
      <c r="EW560" s="28" t="n">
        <f aca="false">IF(ISNUMBER(BF560),BF560*DG560,0)</f>
        <v>0</v>
      </c>
      <c r="EX560" s="28" t="n">
        <f aca="false">IF(ISNUMBER(BJ560),BJ560*DH560,0)</f>
        <v>0</v>
      </c>
      <c r="EY560" s="28" t="n">
        <f aca="false">IF(ISNUMBER(BN560),BN560*DI560,0)</f>
        <v>0</v>
      </c>
      <c r="EZ560" s="28" t="n">
        <f aca="false">IF(ISNUMBER(BR560),BR560*DJ560,0)</f>
        <v>0</v>
      </c>
      <c r="FA560" s="28" t="n">
        <f aca="false">IF(ISNUMBER(R560),CW560,0)</f>
        <v>0</v>
      </c>
      <c r="FB560" s="28" t="n">
        <f aca="false">IF(ISNUMBER(V560),CX560,0)</f>
        <v>0</v>
      </c>
      <c r="FC560" s="28" t="n">
        <f aca="false">IF(ISNUMBER(Z560),CY560,0)</f>
        <v>0</v>
      </c>
      <c r="FD560" s="28" t="n">
        <f aca="false">IF(ISNUMBER(AD560),CZ560,0)</f>
        <v>0</v>
      </c>
      <c r="FE560" s="28" t="n">
        <f aca="false">IF(ISNUMBER(AH560),DA560,0)</f>
        <v>0</v>
      </c>
      <c r="FF560" s="28" t="n">
        <f aca="false">IF(ISNUMBER(AL560),DB560,0)</f>
        <v>0</v>
      </c>
      <c r="FG560" s="28" t="n">
        <f aca="false">IF(ISNUMBER(AP560),DC560,0)</f>
        <v>0</v>
      </c>
      <c r="FH560" s="28" t="n">
        <f aca="false">IF(ISNUMBER(AT560),DD560,0)</f>
        <v>0</v>
      </c>
      <c r="FI560" s="28" t="n">
        <f aca="false">IF(ISNUMBER(AX560),DE560,0)</f>
        <v>0</v>
      </c>
      <c r="FJ560" s="28" t="n">
        <f aca="false">IF(ISNUMBER(BB560),DF560,0)</f>
        <v>0</v>
      </c>
      <c r="FK560" s="28" t="n">
        <f aca="false">IF(ISNUMBER(BF560),DG560,0)</f>
        <v>0</v>
      </c>
      <c r="FL560" s="28" t="n">
        <f aca="false">IF(ISNUMBER(BJ560),DH560,0)</f>
        <v>0</v>
      </c>
      <c r="FM560" s="28" t="n">
        <f aca="false">IF(ISNUMBER(BN560),DI560,0)</f>
        <v>0</v>
      </c>
      <c r="FN560" s="28" t="n">
        <f aca="false">IF(ISNUMBER(BR560),DJ560,0)</f>
        <v>0</v>
      </c>
      <c r="FO560" s="28" t="str">
        <f aca="false">IFERROR(INDEX(Lists!$G$2:$G$20,MATCH($I560&amp;"|"&amp;$J560,Lists!$F$2:$F$20,0)),"")</f>
        <v/>
      </c>
    </row>
    <row r="561" customFormat="false" ht="19.5" hidden="false" customHeight="true" outlineLevel="0" collapsed="false">
      <c r="A561" s="29"/>
      <c r="B561" s="29"/>
      <c r="C561" s="30"/>
      <c r="D561" s="30"/>
      <c r="E561" s="31"/>
      <c r="F561" s="30"/>
      <c r="G561" s="30"/>
      <c r="H561" s="32"/>
      <c r="I561" s="33"/>
      <c r="J561" s="32"/>
      <c r="K561" s="34" t="str">
        <f aca="false">IF(OR(M561="",$E561=""),"",M561-$E561)</f>
        <v/>
      </c>
      <c r="L561" s="35" t="str">
        <f aca="false">IF(SUM(FA561:FN561)=0,"",SUM(EM561:EZ561)/SUM(FA561:FN561))</f>
        <v/>
      </c>
      <c r="M561" s="36" t="str">
        <f aca="false">IF(OR(L561="",FO561=""),"",IFERROR(MATCH(L561,INDEX(Boundaries!$B$2:$I$30,MATCH(FO561,Boundaries!$A$2:$A$30,0),0),1)-1,""))</f>
        <v/>
      </c>
      <c r="N561" s="37" t="str">
        <f aca="false">IF(COUNT($DY561:$EL561)&lt;2,"",INDEX($DK561:$DX561,MAX($DY561:$EL561))-INDEX($DK561:$DX561,MIN($DY561:$EL561)))</f>
        <v/>
      </c>
      <c r="O561" s="37" t="str">
        <f aca="false">IF(COUNT($DY561:$EL561)&lt;2,"",INDEX($DK561:$DX561,MAX($DY561:$EL561))-INDEX($DK561:$DX561,LARGE($DY561:$EL561,2)))</f>
        <v/>
      </c>
      <c r="P561" s="38" t="str">
        <f aca="false">IF(K561="","",IF(K561&gt;=0,"On/above target",IF(AND(N561&lt;&gt;"",N561&gt;=0.5),"Improving towards target",IF(AND(O561&lt;&gt;"",O561&lt;=-0.5),"Declining","Stable below target"))))</f>
        <v/>
      </c>
      <c r="Q561" s="39"/>
      <c r="R561" s="40" t="str">
        <f aca="false">IF(OR(Q561="",BU561=""),"",Q561/BU561*100)</f>
        <v/>
      </c>
      <c r="S561" s="41" t="str">
        <f aca="false">IF(R561="","",IFERROR(MATCH(R561,INDEX(Boundaries!$B$2:$I$30,MATCH(CI561,Boundaries!$A$2:$A$30,0),0),1)-1,""))</f>
        <v/>
      </c>
      <c r="T561" s="42" t="str">
        <f aca="false">IF(OR(S561="",$E561=""),"",S561-$E561)</f>
        <v/>
      </c>
      <c r="U561" s="39"/>
      <c r="V561" s="40" t="str">
        <f aca="false">IF(OR(U561="",BV561=""),"",U561/BV561*100)</f>
        <v/>
      </c>
      <c r="W561" s="41" t="str">
        <f aca="false">IF(V561="","",IFERROR(MATCH(V561,INDEX(Boundaries!$B$2:$I$30,MATCH(CJ561,Boundaries!$A$2:$A$30,0),0),1)-1,""))</f>
        <v/>
      </c>
      <c r="X561" s="42" t="str">
        <f aca="false">IF(OR(W561="",$E561=""),"",W561-$E561)</f>
        <v/>
      </c>
      <c r="Y561" s="39"/>
      <c r="Z561" s="40" t="str">
        <f aca="false">IF(OR(Y561="",BW561=""),"",Y561/BW561*100)</f>
        <v/>
      </c>
      <c r="AA561" s="41" t="str">
        <f aca="false">IF(Z561="","",IFERROR(MATCH(Z561,INDEX(Boundaries!$B$2:$I$30,MATCH(CK561,Boundaries!$A$2:$A$30,0),0),1)-1,""))</f>
        <v/>
      </c>
      <c r="AB561" s="42" t="str">
        <f aca="false">IF(OR(AA561="",$E561=""),"",AA561-$E561)</f>
        <v/>
      </c>
      <c r="AC561" s="39"/>
      <c r="AD561" s="40" t="str">
        <f aca="false">IF(OR(AC561="",BX561=""),"",AC561/BX561*100)</f>
        <v/>
      </c>
      <c r="AE561" s="41" t="str">
        <f aca="false">IF(AD561="","",IFERROR(MATCH(AD561,INDEX(Boundaries!$B$2:$I$30,MATCH(CL561,Boundaries!$A$2:$A$30,0),0),1)-1,""))</f>
        <v/>
      </c>
      <c r="AF561" s="42" t="str">
        <f aca="false">IF(OR(AE561="",$E561=""),"",AE561-$E561)</f>
        <v/>
      </c>
      <c r="AG561" s="39"/>
      <c r="AH561" s="40" t="str">
        <f aca="false">IF(OR(AG561="",BY561=""),"",AG561/BY561*100)</f>
        <v/>
      </c>
      <c r="AI561" s="41" t="str">
        <f aca="false">IF(AH561="","",IFERROR(MATCH(AH561,INDEX(Boundaries!$B$2:$I$30,MATCH(CM561,Boundaries!$A$2:$A$30,0),0),1)-1,""))</f>
        <v/>
      </c>
      <c r="AJ561" s="42" t="str">
        <f aca="false">IF(OR(AI561="",$E561=""),"",AI561-$E561)</f>
        <v/>
      </c>
      <c r="AK561" s="39"/>
      <c r="AL561" s="40" t="str">
        <f aca="false">IF(OR(AK561="",BZ561=""),"",AK561/BZ561*100)</f>
        <v/>
      </c>
      <c r="AM561" s="41" t="str">
        <f aca="false">IF(AL561="","",IFERROR(MATCH(AL561,INDEX(Boundaries!$B$2:$I$30,MATCH(CN561,Boundaries!$A$2:$A$30,0),0),1)-1,""))</f>
        <v/>
      </c>
      <c r="AN561" s="42" t="str">
        <f aca="false">IF(OR(AM561="",$E561=""),"",AM561-$E561)</f>
        <v/>
      </c>
      <c r="AO561" s="39"/>
      <c r="AP561" s="40" t="str">
        <f aca="false">IF(OR(AO561="",CA561=""),"",AO561/CA561*100)</f>
        <v/>
      </c>
      <c r="AQ561" s="41" t="str">
        <f aca="false">IF(AP561="","",IFERROR(MATCH(AP561,INDEX(Boundaries!$B$2:$I$30,MATCH(CO561,Boundaries!$A$2:$A$30,0),0),1)-1,""))</f>
        <v/>
      </c>
      <c r="AR561" s="42" t="str">
        <f aca="false">IF(OR(AQ561="",$E561=""),"",AQ561-$E561)</f>
        <v/>
      </c>
      <c r="AS561" s="39"/>
      <c r="AT561" s="40" t="str">
        <f aca="false">IF(OR(AS561="",CB561=""),"",AS561/CB561*100)</f>
        <v/>
      </c>
      <c r="AU561" s="41" t="str">
        <f aca="false">IF(AT561="","",IFERROR(MATCH(AT561,INDEX(Boundaries!$B$2:$I$30,MATCH(CP561,Boundaries!$A$2:$A$30,0),0),1)-1,""))</f>
        <v/>
      </c>
      <c r="AV561" s="42" t="str">
        <f aca="false">IF(OR(AU561="",$E561=""),"",AU561-$E561)</f>
        <v/>
      </c>
      <c r="AW561" s="39"/>
      <c r="AX561" s="40" t="str">
        <f aca="false">IF(OR(AW561="",CC561=""),"",AW561/CC561*100)</f>
        <v/>
      </c>
      <c r="AY561" s="41" t="str">
        <f aca="false">IF(AX561="","",IFERROR(MATCH(AX561,INDEX(Boundaries!$B$2:$I$30,MATCH(CQ561,Boundaries!$A$2:$A$30,0),0),1)-1,""))</f>
        <v/>
      </c>
      <c r="AZ561" s="42" t="str">
        <f aca="false">IF(OR(AY561="",$E561=""),"",AY561-$E561)</f>
        <v/>
      </c>
      <c r="BA561" s="39"/>
      <c r="BB561" s="40" t="str">
        <f aca="false">IF(OR(BA561="",CD561=""),"",BA561/CD561*100)</f>
        <v/>
      </c>
      <c r="BC561" s="41" t="str">
        <f aca="false">IF(BB561="","",IFERROR(MATCH(BB561,INDEX(Boundaries!$B$2:$I$30,MATCH(CR561,Boundaries!$A$2:$A$30,0),0),1)-1,""))</f>
        <v/>
      </c>
      <c r="BD561" s="42" t="str">
        <f aca="false">IF(OR(BC561="",$E561=""),"",BC561-$E561)</f>
        <v/>
      </c>
      <c r="BE561" s="39"/>
      <c r="BF561" s="40" t="str">
        <f aca="false">IF(OR(BE561="",CE561=""),"",BE561/CE561*100)</f>
        <v/>
      </c>
      <c r="BG561" s="41" t="str">
        <f aca="false">IF(BF561="","",IFERROR(MATCH(BF561,INDEX(Boundaries!$B$2:$I$30,MATCH(CS561,Boundaries!$A$2:$A$30,0),0),1)-1,""))</f>
        <v/>
      </c>
      <c r="BH561" s="42" t="str">
        <f aca="false">IF(OR(BG561="",$E561=""),"",BG561-$E561)</f>
        <v/>
      </c>
      <c r="BI561" s="39"/>
      <c r="BJ561" s="40" t="str">
        <f aca="false">IF(OR(BI561="",CF561=""),"",BI561/CF561*100)</f>
        <v/>
      </c>
      <c r="BK561" s="41" t="str">
        <f aca="false">IF(BJ561="","",IFERROR(MATCH(BJ561,INDEX(Boundaries!$B$2:$I$30,MATCH(CT561,Boundaries!$A$2:$A$30,0),0),1)-1,""))</f>
        <v/>
      </c>
      <c r="BL561" s="42" t="str">
        <f aca="false">IF(OR(BK561="",$E561=""),"",BK561-$E561)</f>
        <v/>
      </c>
      <c r="BM561" s="39"/>
      <c r="BN561" s="40" t="str">
        <f aca="false">IF(OR(BM561="",CG561=""),"",BM561/CG561*100)</f>
        <v/>
      </c>
      <c r="BO561" s="41" t="str">
        <f aca="false">IF(BN561="","",IFERROR(MATCH(BN561,INDEX(Boundaries!$B$2:$I$30,MATCH(CU561,Boundaries!$A$2:$A$30,0),0),1)-1,""))</f>
        <v/>
      </c>
      <c r="BP561" s="42" t="str">
        <f aca="false">IF(OR(BO561="",$E561=""),"",BO561-$E561)</f>
        <v/>
      </c>
      <c r="BQ561" s="39"/>
      <c r="BR561" s="40" t="str">
        <f aca="false">IF(OR(BQ561="",CH561=""),"",BQ561/CH561*100)</f>
        <v/>
      </c>
      <c r="BS561" s="41" t="str">
        <f aca="false">IF(BR561="","",IFERROR(MATCH(BR561,INDEX(Boundaries!$B$2:$I$30,MATCH(CV561,Boundaries!$A$2:$A$30,0),0),1)-1,""))</f>
        <v/>
      </c>
      <c r="BT561" s="42" t="str">
        <f aca="false">IF(OR(BS561="",$E561=""),"",BS561-$E561)</f>
        <v/>
      </c>
      <c r="BU561" s="28" t="str">
        <f aca="false">IFERROR(INDEX(Assessments!$H$2:$H$600,MATCH($H561&amp;"|"&amp;$I561&amp;"|"&amp;$J561&amp;"|"&amp;1,Assessments!$A$2:$A$600,0)),"")</f>
        <v/>
      </c>
      <c r="BV561" s="28" t="str">
        <f aca="false">IFERROR(INDEX(Assessments!$H$2:$H$600,MATCH($H561&amp;"|"&amp;$I561&amp;"|"&amp;$J561&amp;"|"&amp;2,Assessments!$A$2:$A$600,0)),"")</f>
        <v/>
      </c>
      <c r="BW561" s="28" t="str">
        <f aca="false">IFERROR(INDEX(Assessments!$H$2:$H$600,MATCH($H561&amp;"|"&amp;$I561&amp;"|"&amp;$J561&amp;"|"&amp;3,Assessments!$A$2:$A$600,0)),"")</f>
        <v/>
      </c>
      <c r="BX561" s="28" t="str">
        <f aca="false">IFERROR(INDEX(Assessments!$H$2:$H$600,MATCH($H561&amp;"|"&amp;$I561&amp;"|"&amp;$J561&amp;"|"&amp;4,Assessments!$A$2:$A$600,0)),"")</f>
        <v/>
      </c>
      <c r="BY561" s="28" t="str">
        <f aca="false">IFERROR(INDEX(Assessments!$H$2:$H$600,MATCH($H561&amp;"|"&amp;$I561&amp;"|"&amp;$J561&amp;"|"&amp;5,Assessments!$A$2:$A$600,0)),"")</f>
        <v/>
      </c>
      <c r="BZ561" s="28" t="str">
        <f aca="false">IFERROR(INDEX(Assessments!$H$2:$H$600,MATCH($H561&amp;"|"&amp;$I561&amp;"|"&amp;$J561&amp;"|"&amp;6,Assessments!$A$2:$A$600,0)),"")</f>
        <v/>
      </c>
      <c r="CA561" s="28" t="str">
        <f aca="false">IFERROR(INDEX(Assessments!$H$2:$H$600,MATCH($H561&amp;"|"&amp;$I561&amp;"|"&amp;$J561&amp;"|"&amp;7,Assessments!$A$2:$A$600,0)),"")</f>
        <v/>
      </c>
      <c r="CB561" s="28" t="str">
        <f aca="false">IFERROR(INDEX(Assessments!$H$2:$H$600,MATCH($H561&amp;"|"&amp;$I561&amp;"|"&amp;$J561&amp;"|"&amp;8,Assessments!$A$2:$A$600,0)),"")</f>
        <v/>
      </c>
      <c r="CC561" s="28" t="str">
        <f aca="false">IFERROR(INDEX(Assessments!$H$2:$H$600,MATCH($H561&amp;"|"&amp;$I561&amp;"|"&amp;$J561&amp;"|"&amp;9,Assessments!$A$2:$A$600,0)),"")</f>
        <v/>
      </c>
      <c r="CD561" s="28" t="str">
        <f aca="false">IFERROR(INDEX(Assessments!$H$2:$H$600,MATCH($H561&amp;"|"&amp;$I561&amp;"|"&amp;$J561&amp;"|"&amp;10,Assessments!$A$2:$A$600,0)),"")</f>
        <v/>
      </c>
      <c r="CE561" s="28" t="str">
        <f aca="false">IFERROR(INDEX(Assessments!$H$2:$H$600,MATCH($H561&amp;"|"&amp;$I561&amp;"|"&amp;$J561&amp;"|"&amp;11,Assessments!$A$2:$A$600,0)),"")</f>
        <v/>
      </c>
      <c r="CF561" s="28" t="str">
        <f aca="false">IFERROR(INDEX(Assessments!$H$2:$H$600,MATCH($H561&amp;"|"&amp;$I561&amp;"|"&amp;$J561&amp;"|"&amp;12,Assessments!$A$2:$A$600,0)),"")</f>
        <v/>
      </c>
      <c r="CG561" s="28" t="str">
        <f aca="false">IFERROR(INDEX(Assessments!$H$2:$H$600,MATCH($H561&amp;"|"&amp;$I561&amp;"|"&amp;$J561&amp;"|"&amp;13,Assessments!$A$2:$A$600,0)),"")</f>
        <v/>
      </c>
      <c r="CH561" s="28" t="str">
        <f aca="false">IFERROR(INDEX(Assessments!$H$2:$H$600,MATCH($H561&amp;"|"&amp;$I561&amp;"|"&amp;$J561&amp;"|"&amp;14,Assessments!$A$2:$A$600,0)),"")</f>
        <v/>
      </c>
      <c r="CI561" s="28" t="str">
        <f aca="false">IFERROR(INDEX(Assessments!$I$2:$I$600,MATCH($H561&amp;"|"&amp;$I561&amp;"|"&amp;$J561&amp;"|"&amp;1,Assessments!$A$2:$A$600,0)),"")</f>
        <v/>
      </c>
      <c r="CJ561" s="28" t="str">
        <f aca="false">IFERROR(INDEX(Assessments!$I$2:$I$600,MATCH($H561&amp;"|"&amp;$I561&amp;"|"&amp;$J561&amp;"|"&amp;2,Assessments!$A$2:$A$600,0)),"")</f>
        <v/>
      </c>
      <c r="CK561" s="28" t="str">
        <f aca="false">IFERROR(INDEX(Assessments!$I$2:$I$600,MATCH($H561&amp;"|"&amp;$I561&amp;"|"&amp;$J561&amp;"|"&amp;3,Assessments!$A$2:$A$600,0)),"")</f>
        <v/>
      </c>
      <c r="CL561" s="28" t="str">
        <f aca="false">IFERROR(INDEX(Assessments!$I$2:$I$600,MATCH($H561&amp;"|"&amp;$I561&amp;"|"&amp;$J561&amp;"|"&amp;4,Assessments!$A$2:$A$600,0)),"")</f>
        <v/>
      </c>
      <c r="CM561" s="28" t="str">
        <f aca="false">IFERROR(INDEX(Assessments!$I$2:$I$600,MATCH($H561&amp;"|"&amp;$I561&amp;"|"&amp;$J561&amp;"|"&amp;5,Assessments!$A$2:$A$600,0)),"")</f>
        <v/>
      </c>
      <c r="CN561" s="28" t="str">
        <f aca="false">IFERROR(INDEX(Assessments!$I$2:$I$600,MATCH($H561&amp;"|"&amp;$I561&amp;"|"&amp;$J561&amp;"|"&amp;6,Assessments!$A$2:$A$600,0)),"")</f>
        <v/>
      </c>
      <c r="CO561" s="28" t="str">
        <f aca="false">IFERROR(INDEX(Assessments!$I$2:$I$600,MATCH($H561&amp;"|"&amp;$I561&amp;"|"&amp;$J561&amp;"|"&amp;7,Assessments!$A$2:$A$600,0)),"")</f>
        <v/>
      </c>
      <c r="CP561" s="28" t="str">
        <f aca="false">IFERROR(INDEX(Assessments!$I$2:$I$600,MATCH($H561&amp;"|"&amp;$I561&amp;"|"&amp;$J561&amp;"|"&amp;8,Assessments!$A$2:$A$600,0)),"")</f>
        <v/>
      </c>
      <c r="CQ561" s="28" t="str">
        <f aca="false">IFERROR(INDEX(Assessments!$I$2:$I$600,MATCH($H561&amp;"|"&amp;$I561&amp;"|"&amp;$J561&amp;"|"&amp;9,Assessments!$A$2:$A$600,0)),"")</f>
        <v/>
      </c>
      <c r="CR561" s="28" t="str">
        <f aca="false">IFERROR(INDEX(Assessments!$I$2:$I$600,MATCH($H561&amp;"|"&amp;$I561&amp;"|"&amp;$J561&amp;"|"&amp;10,Assessments!$A$2:$A$600,0)),"")</f>
        <v/>
      </c>
      <c r="CS561" s="28" t="str">
        <f aca="false">IFERROR(INDEX(Assessments!$I$2:$I$600,MATCH($H561&amp;"|"&amp;$I561&amp;"|"&amp;$J561&amp;"|"&amp;11,Assessments!$A$2:$A$600,0)),"")</f>
        <v/>
      </c>
      <c r="CT561" s="28" t="str">
        <f aca="false">IFERROR(INDEX(Assessments!$I$2:$I$600,MATCH($H561&amp;"|"&amp;$I561&amp;"|"&amp;$J561&amp;"|"&amp;12,Assessments!$A$2:$A$600,0)),"")</f>
        <v/>
      </c>
      <c r="CU561" s="28" t="str">
        <f aca="false">IFERROR(INDEX(Assessments!$I$2:$I$600,MATCH($H561&amp;"|"&amp;$I561&amp;"|"&amp;$J561&amp;"|"&amp;13,Assessments!$A$2:$A$600,0)),"")</f>
        <v/>
      </c>
      <c r="CV561" s="28" t="str">
        <f aca="false">IFERROR(INDEX(Assessments!$I$2:$I$600,MATCH($H561&amp;"|"&amp;$I561&amp;"|"&amp;$J561&amp;"|"&amp;14,Assessments!$A$2:$A$600,0)),"")</f>
        <v/>
      </c>
      <c r="CW561" s="28" t="n">
        <f aca="false">IFERROR(INDEX(Assessments!$J$2:$J$600,MATCH($H561&amp;"|"&amp;$I561&amp;"|"&amp;$J561&amp;"|"&amp;1,Assessments!$A$2:$A$600,0)),0)</f>
        <v>0</v>
      </c>
      <c r="CX561" s="28" t="n">
        <f aca="false">IFERROR(INDEX(Assessments!$J$2:$J$600,MATCH($H561&amp;"|"&amp;$I561&amp;"|"&amp;$J561&amp;"|"&amp;2,Assessments!$A$2:$A$600,0)),0)</f>
        <v>0</v>
      </c>
      <c r="CY561" s="28" t="n">
        <f aca="false">IFERROR(INDEX(Assessments!$J$2:$J$600,MATCH($H561&amp;"|"&amp;$I561&amp;"|"&amp;$J561&amp;"|"&amp;3,Assessments!$A$2:$A$600,0)),0)</f>
        <v>0</v>
      </c>
      <c r="CZ561" s="28" t="n">
        <f aca="false">IFERROR(INDEX(Assessments!$J$2:$J$600,MATCH($H561&amp;"|"&amp;$I561&amp;"|"&amp;$J561&amp;"|"&amp;4,Assessments!$A$2:$A$600,0)),0)</f>
        <v>0</v>
      </c>
      <c r="DA561" s="28" t="n">
        <f aca="false">IFERROR(INDEX(Assessments!$J$2:$J$600,MATCH($H561&amp;"|"&amp;$I561&amp;"|"&amp;$J561&amp;"|"&amp;5,Assessments!$A$2:$A$600,0)),0)</f>
        <v>0</v>
      </c>
      <c r="DB561" s="28" t="n">
        <f aca="false">IFERROR(INDEX(Assessments!$J$2:$J$600,MATCH($H561&amp;"|"&amp;$I561&amp;"|"&amp;$J561&amp;"|"&amp;6,Assessments!$A$2:$A$600,0)),0)</f>
        <v>0</v>
      </c>
      <c r="DC561" s="28" t="n">
        <f aca="false">IFERROR(INDEX(Assessments!$J$2:$J$600,MATCH($H561&amp;"|"&amp;$I561&amp;"|"&amp;$J561&amp;"|"&amp;7,Assessments!$A$2:$A$600,0)),0)</f>
        <v>0</v>
      </c>
      <c r="DD561" s="28" t="n">
        <f aca="false">IFERROR(INDEX(Assessments!$J$2:$J$600,MATCH($H561&amp;"|"&amp;$I561&amp;"|"&amp;$J561&amp;"|"&amp;8,Assessments!$A$2:$A$600,0)),0)</f>
        <v>0</v>
      </c>
      <c r="DE561" s="28" t="n">
        <f aca="false">IFERROR(INDEX(Assessments!$J$2:$J$600,MATCH($H561&amp;"|"&amp;$I561&amp;"|"&amp;$J561&amp;"|"&amp;9,Assessments!$A$2:$A$600,0)),0)</f>
        <v>0</v>
      </c>
      <c r="DF561" s="28" t="n">
        <f aca="false">IFERROR(INDEX(Assessments!$J$2:$J$600,MATCH($H561&amp;"|"&amp;$I561&amp;"|"&amp;$J561&amp;"|"&amp;10,Assessments!$A$2:$A$600,0)),0)</f>
        <v>0</v>
      </c>
      <c r="DG561" s="28" t="n">
        <f aca="false">IFERROR(INDEX(Assessments!$J$2:$J$600,MATCH($H561&amp;"|"&amp;$I561&amp;"|"&amp;$J561&amp;"|"&amp;11,Assessments!$A$2:$A$600,0)),0)</f>
        <v>0</v>
      </c>
      <c r="DH561" s="28" t="n">
        <f aca="false">IFERROR(INDEX(Assessments!$J$2:$J$600,MATCH($H561&amp;"|"&amp;$I561&amp;"|"&amp;$J561&amp;"|"&amp;12,Assessments!$A$2:$A$600,0)),0)</f>
        <v>0</v>
      </c>
      <c r="DI561" s="28" t="n">
        <f aca="false">IFERROR(INDEX(Assessments!$J$2:$J$600,MATCH($H561&amp;"|"&amp;$I561&amp;"|"&amp;$J561&amp;"|"&amp;13,Assessments!$A$2:$A$600,0)),0)</f>
        <v>0</v>
      </c>
      <c r="DJ561" s="28" t="n">
        <f aca="false">IFERROR(INDEX(Assessments!$J$2:$J$600,MATCH($H561&amp;"|"&amp;$I561&amp;"|"&amp;$J561&amp;"|"&amp;14,Assessments!$A$2:$A$600,0)),0)</f>
        <v>0</v>
      </c>
      <c r="DK561" s="28" t="str">
        <f aca="false">S561</f>
        <v/>
      </c>
      <c r="DL561" s="28" t="str">
        <f aca="false">W561</f>
        <v/>
      </c>
      <c r="DM561" s="28" t="str">
        <f aca="false">AA561</f>
        <v/>
      </c>
      <c r="DN561" s="28" t="str">
        <f aca="false">AE561</f>
        <v/>
      </c>
      <c r="DO561" s="28" t="str">
        <f aca="false">AI561</f>
        <v/>
      </c>
      <c r="DP561" s="28" t="str">
        <f aca="false">AM561</f>
        <v/>
      </c>
      <c r="DQ561" s="28" t="str">
        <f aca="false">AQ561</f>
        <v/>
      </c>
      <c r="DR561" s="28" t="str">
        <f aca="false">AU561</f>
        <v/>
      </c>
      <c r="DS561" s="28" t="str">
        <f aca="false">AY561</f>
        <v/>
      </c>
      <c r="DT561" s="28" t="str">
        <f aca="false">BC561</f>
        <v/>
      </c>
      <c r="DU561" s="28" t="str">
        <f aca="false">BG561</f>
        <v/>
      </c>
      <c r="DV561" s="28" t="str">
        <f aca="false">BK561</f>
        <v/>
      </c>
      <c r="DW561" s="28" t="str">
        <f aca="false">BO561</f>
        <v/>
      </c>
      <c r="DX561" s="28" t="str">
        <f aca="false">BS561</f>
        <v/>
      </c>
      <c r="DY561" s="28" t="str">
        <f aca="false">IF(ISNUMBER(S561),1,"")</f>
        <v/>
      </c>
      <c r="DZ561" s="28" t="str">
        <f aca="false">IF(ISNUMBER(W561),2,"")</f>
        <v/>
      </c>
      <c r="EA561" s="28" t="str">
        <f aca="false">IF(ISNUMBER(AA561),3,"")</f>
        <v/>
      </c>
      <c r="EB561" s="28" t="str">
        <f aca="false">IF(ISNUMBER(AE561),4,"")</f>
        <v/>
      </c>
      <c r="EC561" s="28" t="str">
        <f aca="false">IF(ISNUMBER(AI561),5,"")</f>
        <v/>
      </c>
      <c r="ED561" s="28" t="str">
        <f aca="false">IF(ISNUMBER(AM561),6,"")</f>
        <v/>
      </c>
      <c r="EE561" s="28" t="str">
        <f aca="false">IF(ISNUMBER(AQ561),7,"")</f>
        <v/>
      </c>
      <c r="EF561" s="28" t="str">
        <f aca="false">IF(ISNUMBER(AU561),8,"")</f>
        <v/>
      </c>
      <c r="EG561" s="28" t="str">
        <f aca="false">IF(ISNUMBER(AY561),9,"")</f>
        <v/>
      </c>
      <c r="EH561" s="28" t="str">
        <f aca="false">IF(ISNUMBER(BC561),10,"")</f>
        <v/>
      </c>
      <c r="EI561" s="28" t="str">
        <f aca="false">IF(ISNUMBER(BG561),11,"")</f>
        <v/>
      </c>
      <c r="EJ561" s="28" t="str">
        <f aca="false">IF(ISNUMBER(BK561),12,"")</f>
        <v/>
      </c>
      <c r="EK561" s="28" t="str">
        <f aca="false">IF(ISNUMBER(BO561),13,"")</f>
        <v/>
      </c>
      <c r="EL561" s="28" t="str">
        <f aca="false">IF(ISNUMBER(BS561),14,"")</f>
        <v/>
      </c>
      <c r="EM561" s="28" t="n">
        <f aca="false">IF(ISNUMBER(R561),R561*CW561,0)</f>
        <v>0</v>
      </c>
      <c r="EN561" s="28" t="n">
        <f aca="false">IF(ISNUMBER(V561),V561*CX561,0)</f>
        <v>0</v>
      </c>
      <c r="EO561" s="28" t="n">
        <f aca="false">IF(ISNUMBER(Z561),Z561*CY561,0)</f>
        <v>0</v>
      </c>
      <c r="EP561" s="28" t="n">
        <f aca="false">IF(ISNUMBER(AD561),AD561*CZ561,0)</f>
        <v>0</v>
      </c>
      <c r="EQ561" s="28" t="n">
        <f aca="false">IF(ISNUMBER(AH561),AH561*DA561,0)</f>
        <v>0</v>
      </c>
      <c r="ER561" s="28" t="n">
        <f aca="false">IF(ISNUMBER(AL561),AL561*DB561,0)</f>
        <v>0</v>
      </c>
      <c r="ES561" s="28" t="n">
        <f aca="false">IF(ISNUMBER(AP561),AP561*DC561,0)</f>
        <v>0</v>
      </c>
      <c r="ET561" s="28" t="n">
        <f aca="false">IF(ISNUMBER(AT561),AT561*DD561,0)</f>
        <v>0</v>
      </c>
      <c r="EU561" s="28" t="n">
        <f aca="false">IF(ISNUMBER(AX561),AX561*DE561,0)</f>
        <v>0</v>
      </c>
      <c r="EV561" s="28" t="n">
        <f aca="false">IF(ISNUMBER(BB561),BB561*DF561,0)</f>
        <v>0</v>
      </c>
      <c r="EW561" s="28" t="n">
        <f aca="false">IF(ISNUMBER(BF561),BF561*DG561,0)</f>
        <v>0</v>
      </c>
      <c r="EX561" s="28" t="n">
        <f aca="false">IF(ISNUMBER(BJ561),BJ561*DH561,0)</f>
        <v>0</v>
      </c>
      <c r="EY561" s="28" t="n">
        <f aca="false">IF(ISNUMBER(BN561),BN561*DI561,0)</f>
        <v>0</v>
      </c>
      <c r="EZ561" s="28" t="n">
        <f aca="false">IF(ISNUMBER(BR561),BR561*DJ561,0)</f>
        <v>0</v>
      </c>
      <c r="FA561" s="28" t="n">
        <f aca="false">IF(ISNUMBER(R561),CW561,0)</f>
        <v>0</v>
      </c>
      <c r="FB561" s="28" t="n">
        <f aca="false">IF(ISNUMBER(V561),CX561,0)</f>
        <v>0</v>
      </c>
      <c r="FC561" s="28" t="n">
        <f aca="false">IF(ISNUMBER(Z561),CY561,0)</f>
        <v>0</v>
      </c>
      <c r="FD561" s="28" t="n">
        <f aca="false">IF(ISNUMBER(AD561),CZ561,0)</f>
        <v>0</v>
      </c>
      <c r="FE561" s="28" t="n">
        <f aca="false">IF(ISNUMBER(AH561),DA561,0)</f>
        <v>0</v>
      </c>
      <c r="FF561" s="28" t="n">
        <f aca="false">IF(ISNUMBER(AL561),DB561,0)</f>
        <v>0</v>
      </c>
      <c r="FG561" s="28" t="n">
        <f aca="false">IF(ISNUMBER(AP561),DC561,0)</f>
        <v>0</v>
      </c>
      <c r="FH561" s="28" t="n">
        <f aca="false">IF(ISNUMBER(AT561),DD561,0)</f>
        <v>0</v>
      </c>
      <c r="FI561" s="28" t="n">
        <f aca="false">IF(ISNUMBER(AX561),DE561,0)</f>
        <v>0</v>
      </c>
      <c r="FJ561" s="28" t="n">
        <f aca="false">IF(ISNUMBER(BB561),DF561,0)</f>
        <v>0</v>
      </c>
      <c r="FK561" s="28" t="n">
        <f aca="false">IF(ISNUMBER(BF561),DG561,0)</f>
        <v>0</v>
      </c>
      <c r="FL561" s="28" t="n">
        <f aca="false">IF(ISNUMBER(BJ561),DH561,0)</f>
        <v>0</v>
      </c>
      <c r="FM561" s="28" t="n">
        <f aca="false">IF(ISNUMBER(BN561),DI561,0)</f>
        <v>0</v>
      </c>
      <c r="FN561" s="28" t="n">
        <f aca="false">IF(ISNUMBER(BR561),DJ561,0)</f>
        <v>0</v>
      </c>
      <c r="FO561" s="28" t="str">
        <f aca="false">IFERROR(INDEX(Lists!$G$2:$G$20,MATCH($I561&amp;"|"&amp;$J561,Lists!$F$2:$F$20,0)),"")</f>
        <v/>
      </c>
    </row>
    <row r="562" customFormat="false" ht="19.5" hidden="false" customHeight="true" outlineLevel="0" collapsed="false">
      <c r="A562" s="29"/>
      <c r="B562" s="29"/>
      <c r="C562" s="30"/>
      <c r="D562" s="30"/>
      <c r="E562" s="31"/>
      <c r="F562" s="30"/>
      <c r="G562" s="30"/>
      <c r="H562" s="32"/>
      <c r="I562" s="33"/>
      <c r="J562" s="32"/>
      <c r="K562" s="34" t="str">
        <f aca="false">IF(OR(M562="",$E562=""),"",M562-$E562)</f>
        <v/>
      </c>
      <c r="L562" s="35" t="str">
        <f aca="false">IF(SUM(FA562:FN562)=0,"",SUM(EM562:EZ562)/SUM(FA562:FN562))</f>
        <v/>
      </c>
      <c r="M562" s="36" t="str">
        <f aca="false">IF(OR(L562="",FO562=""),"",IFERROR(MATCH(L562,INDEX(Boundaries!$B$2:$I$30,MATCH(FO562,Boundaries!$A$2:$A$30,0),0),1)-1,""))</f>
        <v/>
      </c>
      <c r="N562" s="37" t="str">
        <f aca="false">IF(COUNT($DY562:$EL562)&lt;2,"",INDEX($DK562:$DX562,MAX($DY562:$EL562))-INDEX($DK562:$DX562,MIN($DY562:$EL562)))</f>
        <v/>
      </c>
      <c r="O562" s="37" t="str">
        <f aca="false">IF(COUNT($DY562:$EL562)&lt;2,"",INDEX($DK562:$DX562,MAX($DY562:$EL562))-INDEX($DK562:$DX562,LARGE($DY562:$EL562,2)))</f>
        <v/>
      </c>
      <c r="P562" s="38" t="str">
        <f aca="false">IF(K562="","",IF(K562&gt;=0,"On/above target",IF(AND(N562&lt;&gt;"",N562&gt;=0.5),"Improving towards target",IF(AND(O562&lt;&gt;"",O562&lt;=-0.5),"Declining","Stable below target"))))</f>
        <v/>
      </c>
      <c r="Q562" s="39"/>
      <c r="R562" s="40" t="str">
        <f aca="false">IF(OR(Q562="",BU562=""),"",Q562/BU562*100)</f>
        <v/>
      </c>
      <c r="S562" s="41" t="str">
        <f aca="false">IF(R562="","",IFERROR(MATCH(R562,INDEX(Boundaries!$B$2:$I$30,MATCH(CI562,Boundaries!$A$2:$A$30,0),0),1)-1,""))</f>
        <v/>
      </c>
      <c r="T562" s="42" t="str">
        <f aca="false">IF(OR(S562="",$E562=""),"",S562-$E562)</f>
        <v/>
      </c>
      <c r="U562" s="39"/>
      <c r="V562" s="40" t="str">
        <f aca="false">IF(OR(U562="",BV562=""),"",U562/BV562*100)</f>
        <v/>
      </c>
      <c r="W562" s="41" t="str">
        <f aca="false">IF(V562="","",IFERROR(MATCH(V562,INDEX(Boundaries!$B$2:$I$30,MATCH(CJ562,Boundaries!$A$2:$A$30,0),0),1)-1,""))</f>
        <v/>
      </c>
      <c r="X562" s="42" t="str">
        <f aca="false">IF(OR(W562="",$E562=""),"",W562-$E562)</f>
        <v/>
      </c>
      <c r="Y562" s="39"/>
      <c r="Z562" s="40" t="str">
        <f aca="false">IF(OR(Y562="",BW562=""),"",Y562/BW562*100)</f>
        <v/>
      </c>
      <c r="AA562" s="41" t="str">
        <f aca="false">IF(Z562="","",IFERROR(MATCH(Z562,INDEX(Boundaries!$B$2:$I$30,MATCH(CK562,Boundaries!$A$2:$A$30,0),0),1)-1,""))</f>
        <v/>
      </c>
      <c r="AB562" s="42" t="str">
        <f aca="false">IF(OR(AA562="",$E562=""),"",AA562-$E562)</f>
        <v/>
      </c>
      <c r="AC562" s="39"/>
      <c r="AD562" s="40" t="str">
        <f aca="false">IF(OR(AC562="",BX562=""),"",AC562/BX562*100)</f>
        <v/>
      </c>
      <c r="AE562" s="41" t="str">
        <f aca="false">IF(AD562="","",IFERROR(MATCH(AD562,INDEX(Boundaries!$B$2:$I$30,MATCH(CL562,Boundaries!$A$2:$A$30,0),0),1)-1,""))</f>
        <v/>
      </c>
      <c r="AF562" s="42" t="str">
        <f aca="false">IF(OR(AE562="",$E562=""),"",AE562-$E562)</f>
        <v/>
      </c>
      <c r="AG562" s="39"/>
      <c r="AH562" s="40" t="str">
        <f aca="false">IF(OR(AG562="",BY562=""),"",AG562/BY562*100)</f>
        <v/>
      </c>
      <c r="AI562" s="41" t="str">
        <f aca="false">IF(AH562="","",IFERROR(MATCH(AH562,INDEX(Boundaries!$B$2:$I$30,MATCH(CM562,Boundaries!$A$2:$A$30,0),0),1)-1,""))</f>
        <v/>
      </c>
      <c r="AJ562" s="42" t="str">
        <f aca="false">IF(OR(AI562="",$E562=""),"",AI562-$E562)</f>
        <v/>
      </c>
      <c r="AK562" s="39"/>
      <c r="AL562" s="40" t="str">
        <f aca="false">IF(OR(AK562="",BZ562=""),"",AK562/BZ562*100)</f>
        <v/>
      </c>
      <c r="AM562" s="41" t="str">
        <f aca="false">IF(AL562="","",IFERROR(MATCH(AL562,INDEX(Boundaries!$B$2:$I$30,MATCH(CN562,Boundaries!$A$2:$A$30,0),0),1)-1,""))</f>
        <v/>
      </c>
      <c r="AN562" s="42" t="str">
        <f aca="false">IF(OR(AM562="",$E562=""),"",AM562-$E562)</f>
        <v/>
      </c>
      <c r="AO562" s="39"/>
      <c r="AP562" s="40" t="str">
        <f aca="false">IF(OR(AO562="",CA562=""),"",AO562/CA562*100)</f>
        <v/>
      </c>
      <c r="AQ562" s="41" t="str">
        <f aca="false">IF(AP562="","",IFERROR(MATCH(AP562,INDEX(Boundaries!$B$2:$I$30,MATCH(CO562,Boundaries!$A$2:$A$30,0),0),1)-1,""))</f>
        <v/>
      </c>
      <c r="AR562" s="42" t="str">
        <f aca="false">IF(OR(AQ562="",$E562=""),"",AQ562-$E562)</f>
        <v/>
      </c>
      <c r="AS562" s="39"/>
      <c r="AT562" s="40" t="str">
        <f aca="false">IF(OR(AS562="",CB562=""),"",AS562/CB562*100)</f>
        <v/>
      </c>
      <c r="AU562" s="41" t="str">
        <f aca="false">IF(AT562="","",IFERROR(MATCH(AT562,INDEX(Boundaries!$B$2:$I$30,MATCH(CP562,Boundaries!$A$2:$A$30,0),0),1)-1,""))</f>
        <v/>
      </c>
      <c r="AV562" s="42" t="str">
        <f aca="false">IF(OR(AU562="",$E562=""),"",AU562-$E562)</f>
        <v/>
      </c>
      <c r="AW562" s="39"/>
      <c r="AX562" s="40" t="str">
        <f aca="false">IF(OR(AW562="",CC562=""),"",AW562/CC562*100)</f>
        <v/>
      </c>
      <c r="AY562" s="41" t="str">
        <f aca="false">IF(AX562="","",IFERROR(MATCH(AX562,INDEX(Boundaries!$B$2:$I$30,MATCH(CQ562,Boundaries!$A$2:$A$30,0),0),1)-1,""))</f>
        <v/>
      </c>
      <c r="AZ562" s="42" t="str">
        <f aca="false">IF(OR(AY562="",$E562=""),"",AY562-$E562)</f>
        <v/>
      </c>
      <c r="BA562" s="39"/>
      <c r="BB562" s="40" t="str">
        <f aca="false">IF(OR(BA562="",CD562=""),"",BA562/CD562*100)</f>
        <v/>
      </c>
      <c r="BC562" s="41" t="str">
        <f aca="false">IF(BB562="","",IFERROR(MATCH(BB562,INDEX(Boundaries!$B$2:$I$30,MATCH(CR562,Boundaries!$A$2:$A$30,0),0),1)-1,""))</f>
        <v/>
      </c>
      <c r="BD562" s="42" t="str">
        <f aca="false">IF(OR(BC562="",$E562=""),"",BC562-$E562)</f>
        <v/>
      </c>
      <c r="BE562" s="39"/>
      <c r="BF562" s="40" t="str">
        <f aca="false">IF(OR(BE562="",CE562=""),"",BE562/CE562*100)</f>
        <v/>
      </c>
      <c r="BG562" s="41" t="str">
        <f aca="false">IF(BF562="","",IFERROR(MATCH(BF562,INDEX(Boundaries!$B$2:$I$30,MATCH(CS562,Boundaries!$A$2:$A$30,0),0),1)-1,""))</f>
        <v/>
      </c>
      <c r="BH562" s="42" t="str">
        <f aca="false">IF(OR(BG562="",$E562=""),"",BG562-$E562)</f>
        <v/>
      </c>
      <c r="BI562" s="39"/>
      <c r="BJ562" s="40" t="str">
        <f aca="false">IF(OR(BI562="",CF562=""),"",BI562/CF562*100)</f>
        <v/>
      </c>
      <c r="BK562" s="41" t="str">
        <f aca="false">IF(BJ562="","",IFERROR(MATCH(BJ562,INDEX(Boundaries!$B$2:$I$30,MATCH(CT562,Boundaries!$A$2:$A$30,0),0),1)-1,""))</f>
        <v/>
      </c>
      <c r="BL562" s="42" t="str">
        <f aca="false">IF(OR(BK562="",$E562=""),"",BK562-$E562)</f>
        <v/>
      </c>
      <c r="BM562" s="39"/>
      <c r="BN562" s="40" t="str">
        <f aca="false">IF(OR(BM562="",CG562=""),"",BM562/CG562*100)</f>
        <v/>
      </c>
      <c r="BO562" s="41" t="str">
        <f aca="false">IF(BN562="","",IFERROR(MATCH(BN562,INDEX(Boundaries!$B$2:$I$30,MATCH(CU562,Boundaries!$A$2:$A$30,0),0),1)-1,""))</f>
        <v/>
      </c>
      <c r="BP562" s="42" t="str">
        <f aca="false">IF(OR(BO562="",$E562=""),"",BO562-$E562)</f>
        <v/>
      </c>
      <c r="BQ562" s="39"/>
      <c r="BR562" s="40" t="str">
        <f aca="false">IF(OR(BQ562="",CH562=""),"",BQ562/CH562*100)</f>
        <v/>
      </c>
      <c r="BS562" s="41" t="str">
        <f aca="false">IF(BR562="","",IFERROR(MATCH(BR562,INDEX(Boundaries!$B$2:$I$30,MATCH(CV562,Boundaries!$A$2:$A$30,0),0),1)-1,""))</f>
        <v/>
      </c>
      <c r="BT562" s="42" t="str">
        <f aca="false">IF(OR(BS562="",$E562=""),"",BS562-$E562)</f>
        <v/>
      </c>
      <c r="BU562" s="28" t="str">
        <f aca="false">IFERROR(INDEX(Assessments!$H$2:$H$600,MATCH($H562&amp;"|"&amp;$I562&amp;"|"&amp;$J562&amp;"|"&amp;1,Assessments!$A$2:$A$600,0)),"")</f>
        <v/>
      </c>
      <c r="BV562" s="28" t="str">
        <f aca="false">IFERROR(INDEX(Assessments!$H$2:$H$600,MATCH($H562&amp;"|"&amp;$I562&amp;"|"&amp;$J562&amp;"|"&amp;2,Assessments!$A$2:$A$600,0)),"")</f>
        <v/>
      </c>
      <c r="BW562" s="28" t="str">
        <f aca="false">IFERROR(INDEX(Assessments!$H$2:$H$600,MATCH($H562&amp;"|"&amp;$I562&amp;"|"&amp;$J562&amp;"|"&amp;3,Assessments!$A$2:$A$600,0)),"")</f>
        <v/>
      </c>
      <c r="BX562" s="28" t="str">
        <f aca="false">IFERROR(INDEX(Assessments!$H$2:$H$600,MATCH($H562&amp;"|"&amp;$I562&amp;"|"&amp;$J562&amp;"|"&amp;4,Assessments!$A$2:$A$600,0)),"")</f>
        <v/>
      </c>
      <c r="BY562" s="28" t="str">
        <f aca="false">IFERROR(INDEX(Assessments!$H$2:$H$600,MATCH($H562&amp;"|"&amp;$I562&amp;"|"&amp;$J562&amp;"|"&amp;5,Assessments!$A$2:$A$600,0)),"")</f>
        <v/>
      </c>
      <c r="BZ562" s="28" t="str">
        <f aca="false">IFERROR(INDEX(Assessments!$H$2:$H$600,MATCH($H562&amp;"|"&amp;$I562&amp;"|"&amp;$J562&amp;"|"&amp;6,Assessments!$A$2:$A$600,0)),"")</f>
        <v/>
      </c>
      <c r="CA562" s="28" t="str">
        <f aca="false">IFERROR(INDEX(Assessments!$H$2:$H$600,MATCH($H562&amp;"|"&amp;$I562&amp;"|"&amp;$J562&amp;"|"&amp;7,Assessments!$A$2:$A$600,0)),"")</f>
        <v/>
      </c>
      <c r="CB562" s="28" t="str">
        <f aca="false">IFERROR(INDEX(Assessments!$H$2:$H$600,MATCH($H562&amp;"|"&amp;$I562&amp;"|"&amp;$J562&amp;"|"&amp;8,Assessments!$A$2:$A$600,0)),"")</f>
        <v/>
      </c>
      <c r="CC562" s="28" t="str">
        <f aca="false">IFERROR(INDEX(Assessments!$H$2:$H$600,MATCH($H562&amp;"|"&amp;$I562&amp;"|"&amp;$J562&amp;"|"&amp;9,Assessments!$A$2:$A$600,0)),"")</f>
        <v/>
      </c>
      <c r="CD562" s="28" t="str">
        <f aca="false">IFERROR(INDEX(Assessments!$H$2:$H$600,MATCH($H562&amp;"|"&amp;$I562&amp;"|"&amp;$J562&amp;"|"&amp;10,Assessments!$A$2:$A$600,0)),"")</f>
        <v/>
      </c>
      <c r="CE562" s="28" t="str">
        <f aca="false">IFERROR(INDEX(Assessments!$H$2:$H$600,MATCH($H562&amp;"|"&amp;$I562&amp;"|"&amp;$J562&amp;"|"&amp;11,Assessments!$A$2:$A$600,0)),"")</f>
        <v/>
      </c>
      <c r="CF562" s="28" t="str">
        <f aca="false">IFERROR(INDEX(Assessments!$H$2:$H$600,MATCH($H562&amp;"|"&amp;$I562&amp;"|"&amp;$J562&amp;"|"&amp;12,Assessments!$A$2:$A$600,0)),"")</f>
        <v/>
      </c>
      <c r="CG562" s="28" t="str">
        <f aca="false">IFERROR(INDEX(Assessments!$H$2:$H$600,MATCH($H562&amp;"|"&amp;$I562&amp;"|"&amp;$J562&amp;"|"&amp;13,Assessments!$A$2:$A$600,0)),"")</f>
        <v/>
      </c>
      <c r="CH562" s="28" t="str">
        <f aca="false">IFERROR(INDEX(Assessments!$H$2:$H$600,MATCH($H562&amp;"|"&amp;$I562&amp;"|"&amp;$J562&amp;"|"&amp;14,Assessments!$A$2:$A$600,0)),"")</f>
        <v/>
      </c>
      <c r="CI562" s="28" t="str">
        <f aca="false">IFERROR(INDEX(Assessments!$I$2:$I$600,MATCH($H562&amp;"|"&amp;$I562&amp;"|"&amp;$J562&amp;"|"&amp;1,Assessments!$A$2:$A$600,0)),"")</f>
        <v/>
      </c>
      <c r="CJ562" s="28" t="str">
        <f aca="false">IFERROR(INDEX(Assessments!$I$2:$I$600,MATCH($H562&amp;"|"&amp;$I562&amp;"|"&amp;$J562&amp;"|"&amp;2,Assessments!$A$2:$A$600,0)),"")</f>
        <v/>
      </c>
      <c r="CK562" s="28" t="str">
        <f aca="false">IFERROR(INDEX(Assessments!$I$2:$I$600,MATCH($H562&amp;"|"&amp;$I562&amp;"|"&amp;$J562&amp;"|"&amp;3,Assessments!$A$2:$A$600,0)),"")</f>
        <v/>
      </c>
      <c r="CL562" s="28" t="str">
        <f aca="false">IFERROR(INDEX(Assessments!$I$2:$I$600,MATCH($H562&amp;"|"&amp;$I562&amp;"|"&amp;$J562&amp;"|"&amp;4,Assessments!$A$2:$A$600,0)),"")</f>
        <v/>
      </c>
      <c r="CM562" s="28" t="str">
        <f aca="false">IFERROR(INDEX(Assessments!$I$2:$I$600,MATCH($H562&amp;"|"&amp;$I562&amp;"|"&amp;$J562&amp;"|"&amp;5,Assessments!$A$2:$A$600,0)),"")</f>
        <v/>
      </c>
      <c r="CN562" s="28" t="str">
        <f aca="false">IFERROR(INDEX(Assessments!$I$2:$I$600,MATCH($H562&amp;"|"&amp;$I562&amp;"|"&amp;$J562&amp;"|"&amp;6,Assessments!$A$2:$A$600,0)),"")</f>
        <v/>
      </c>
      <c r="CO562" s="28" t="str">
        <f aca="false">IFERROR(INDEX(Assessments!$I$2:$I$600,MATCH($H562&amp;"|"&amp;$I562&amp;"|"&amp;$J562&amp;"|"&amp;7,Assessments!$A$2:$A$600,0)),"")</f>
        <v/>
      </c>
      <c r="CP562" s="28" t="str">
        <f aca="false">IFERROR(INDEX(Assessments!$I$2:$I$600,MATCH($H562&amp;"|"&amp;$I562&amp;"|"&amp;$J562&amp;"|"&amp;8,Assessments!$A$2:$A$600,0)),"")</f>
        <v/>
      </c>
      <c r="CQ562" s="28" t="str">
        <f aca="false">IFERROR(INDEX(Assessments!$I$2:$I$600,MATCH($H562&amp;"|"&amp;$I562&amp;"|"&amp;$J562&amp;"|"&amp;9,Assessments!$A$2:$A$600,0)),"")</f>
        <v/>
      </c>
      <c r="CR562" s="28" t="str">
        <f aca="false">IFERROR(INDEX(Assessments!$I$2:$I$600,MATCH($H562&amp;"|"&amp;$I562&amp;"|"&amp;$J562&amp;"|"&amp;10,Assessments!$A$2:$A$600,0)),"")</f>
        <v/>
      </c>
      <c r="CS562" s="28" t="str">
        <f aca="false">IFERROR(INDEX(Assessments!$I$2:$I$600,MATCH($H562&amp;"|"&amp;$I562&amp;"|"&amp;$J562&amp;"|"&amp;11,Assessments!$A$2:$A$600,0)),"")</f>
        <v/>
      </c>
      <c r="CT562" s="28" t="str">
        <f aca="false">IFERROR(INDEX(Assessments!$I$2:$I$600,MATCH($H562&amp;"|"&amp;$I562&amp;"|"&amp;$J562&amp;"|"&amp;12,Assessments!$A$2:$A$600,0)),"")</f>
        <v/>
      </c>
      <c r="CU562" s="28" t="str">
        <f aca="false">IFERROR(INDEX(Assessments!$I$2:$I$600,MATCH($H562&amp;"|"&amp;$I562&amp;"|"&amp;$J562&amp;"|"&amp;13,Assessments!$A$2:$A$600,0)),"")</f>
        <v/>
      </c>
      <c r="CV562" s="28" t="str">
        <f aca="false">IFERROR(INDEX(Assessments!$I$2:$I$600,MATCH($H562&amp;"|"&amp;$I562&amp;"|"&amp;$J562&amp;"|"&amp;14,Assessments!$A$2:$A$600,0)),"")</f>
        <v/>
      </c>
      <c r="CW562" s="28" t="n">
        <f aca="false">IFERROR(INDEX(Assessments!$J$2:$J$600,MATCH($H562&amp;"|"&amp;$I562&amp;"|"&amp;$J562&amp;"|"&amp;1,Assessments!$A$2:$A$600,0)),0)</f>
        <v>0</v>
      </c>
      <c r="CX562" s="28" t="n">
        <f aca="false">IFERROR(INDEX(Assessments!$J$2:$J$600,MATCH($H562&amp;"|"&amp;$I562&amp;"|"&amp;$J562&amp;"|"&amp;2,Assessments!$A$2:$A$600,0)),0)</f>
        <v>0</v>
      </c>
      <c r="CY562" s="28" t="n">
        <f aca="false">IFERROR(INDEX(Assessments!$J$2:$J$600,MATCH($H562&amp;"|"&amp;$I562&amp;"|"&amp;$J562&amp;"|"&amp;3,Assessments!$A$2:$A$600,0)),0)</f>
        <v>0</v>
      </c>
      <c r="CZ562" s="28" t="n">
        <f aca="false">IFERROR(INDEX(Assessments!$J$2:$J$600,MATCH($H562&amp;"|"&amp;$I562&amp;"|"&amp;$J562&amp;"|"&amp;4,Assessments!$A$2:$A$600,0)),0)</f>
        <v>0</v>
      </c>
      <c r="DA562" s="28" t="n">
        <f aca="false">IFERROR(INDEX(Assessments!$J$2:$J$600,MATCH($H562&amp;"|"&amp;$I562&amp;"|"&amp;$J562&amp;"|"&amp;5,Assessments!$A$2:$A$600,0)),0)</f>
        <v>0</v>
      </c>
      <c r="DB562" s="28" t="n">
        <f aca="false">IFERROR(INDEX(Assessments!$J$2:$J$600,MATCH($H562&amp;"|"&amp;$I562&amp;"|"&amp;$J562&amp;"|"&amp;6,Assessments!$A$2:$A$600,0)),0)</f>
        <v>0</v>
      </c>
      <c r="DC562" s="28" t="n">
        <f aca="false">IFERROR(INDEX(Assessments!$J$2:$J$600,MATCH($H562&amp;"|"&amp;$I562&amp;"|"&amp;$J562&amp;"|"&amp;7,Assessments!$A$2:$A$600,0)),0)</f>
        <v>0</v>
      </c>
      <c r="DD562" s="28" t="n">
        <f aca="false">IFERROR(INDEX(Assessments!$J$2:$J$600,MATCH($H562&amp;"|"&amp;$I562&amp;"|"&amp;$J562&amp;"|"&amp;8,Assessments!$A$2:$A$600,0)),0)</f>
        <v>0</v>
      </c>
      <c r="DE562" s="28" t="n">
        <f aca="false">IFERROR(INDEX(Assessments!$J$2:$J$600,MATCH($H562&amp;"|"&amp;$I562&amp;"|"&amp;$J562&amp;"|"&amp;9,Assessments!$A$2:$A$600,0)),0)</f>
        <v>0</v>
      </c>
      <c r="DF562" s="28" t="n">
        <f aca="false">IFERROR(INDEX(Assessments!$J$2:$J$600,MATCH($H562&amp;"|"&amp;$I562&amp;"|"&amp;$J562&amp;"|"&amp;10,Assessments!$A$2:$A$600,0)),0)</f>
        <v>0</v>
      </c>
      <c r="DG562" s="28" t="n">
        <f aca="false">IFERROR(INDEX(Assessments!$J$2:$J$600,MATCH($H562&amp;"|"&amp;$I562&amp;"|"&amp;$J562&amp;"|"&amp;11,Assessments!$A$2:$A$600,0)),0)</f>
        <v>0</v>
      </c>
      <c r="DH562" s="28" t="n">
        <f aca="false">IFERROR(INDEX(Assessments!$J$2:$J$600,MATCH($H562&amp;"|"&amp;$I562&amp;"|"&amp;$J562&amp;"|"&amp;12,Assessments!$A$2:$A$600,0)),0)</f>
        <v>0</v>
      </c>
      <c r="DI562" s="28" t="n">
        <f aca="false">IFERROR(INDEX(Assessments!$J$2:$J$600,MATCH($H562&amp;"|"&amp;$I562&amp;"|"&amp;$J562&amp;"|"&amp;13,Assessments!$A$2:$A$600,0)),0)</f>
        <v>0</v>
      </c>
      <c r="DJ562" s="28" t="n">
        <f aca="false">IFERROR(INDEX(Assessments!$J$2:$J$600,MATCH($H562&amp;"|"&amp;$I562&amp;"|"&amp;$J562&amp;"|"&amp;14,Assessments!$A$2:$A$600,0)),0)</f>
        <v>0</v>
      </c>
      <c r="DK562" s="28" t="str">
        <f aca="false">S562</f>
        <v/>
      </c>
      <c r="DL562" s="28" t="str">
        <f aca="false">W562</f>
        <v/>
      </c>
      <c r="DM562" s="28" t="str">
        <f aca="false">AA562</f>
        <v/>
      </c>
      <c r="DN562" s="28" t="str">
        <f aca="false">AE562</f>
        <v/>
      </c>
      <c r="DO562" s="28" t="str">
        <f aca="false">AI562</f>
        <v/>
      </c>
      <c r="DP562" s="28" t="str">
        <f aca="false">AM562</f>
        <v/>
      </c>
      <c r="DQ562" s="28" t="str">
        <f aca="false">AQ562</f>
        <v/>
      </c>
      <c r="DR562" s="28" t="str">
        <f aca="false">AU562</f>
        <v/>
      </c>
      <c r="DS562" s="28" t="str">
        <f aca="false">AY562</f>
        <v/>
      </c>
      <c r="DT562" s="28" t="str">
        <f aca="false">BC562</f>
        <v/>
      </c>
      <c r="DU562" s="28" t="str">
        <f aca="false">BG562</f>
        <v/>
      </c>
      <c r="DV562" s="28" t="str">
        <f aca="false">BK562</f>
        <v/>
      </c>
      <c r="DW562" s="28" t="str">
        <f aca="false">BO562</f>
        <v/>
      </c>
      <c r="DX562" s="28" t="str">
        <f aca="false">BS562</f>
        <v/>
      </c>
      <c r="DY562" s="28" t="str">
        <f aca="false">IF(ISNUMBER(S562),1,"")</f>
        <v/>
      </c>
      <c r="DZ562" s="28" t="str">
        <f aca="false">IF(ISNUMBER(W562),2,"")</f>
        <v/>
      </c>
      <c r="EA562" s="28" t="str">
        <f aca="false">IF(ISNUMBER(AA562),3,"")</f>
        <v/>
      </c>
      <c r="EB562" s="28" t="str">
        <f aca="false">IF(ISNUMBER(AE562),4,"")</f>
        <v/>
      </c>
      <c r="EC562" s="28" t="str">
        <f aca="false">IF(ISNUMBER(AI562),5,"")</f>
        <v/>
      </c>
      <c r="ED562" s="28" t="str">
        <f aca="false">IF(ISNUMBER(AM562),6,"")</f>
        <v/>
      </c>
      <c r="EE562" s="28" t="str">
        <f aca="false">IF(ISNUMBER(AQ562),7,"")</f>
        <v/>
      </c>
      <c r="EF562" s="28" t="str">
        <f aca="false">IF(ISNUMBER(AU562),8,"")</f>
        <v/>
      </c>
      <c r="EG562" s="28" t="str">
        <f aca="false">IF(ISNUMBER(AY562),9,"")</f>
        <v/>
      </c>
      <c r="EH562" s="28" t="str">
        <f aca="false">IF(ISNUMBER(BC562),10,"")</f>
        <v/>
      </c>
      <c r="EI562" s="28" t="str">
        <f aca="false">IF(ISNUMBER(BG562),11,"")</f>
        <v/>
      </c>
      <c r="EJ562" s="28" t="str">
        <f aca="false">IF(ISNUMBER(BK562),12,"")</f>
        <v/>
      </c>
      <c r="EK562" s="28" t="str">
        <f aca="false">IF(ISNUMBER(BO562),13,"")</f>
        <v/>
      </c>
      <c r="EL562" s="28" t="str">
        <f aca="false">IF(ISNUMBER(BS562),14,"")</f>
        <v/>
      </c>
      <c r="EM562" s="28" t="n">
        <f aca="false">IF(ISNUMBER(R562),R562*CW562,0)</f>
        <v>0</v>
      </c>
      <c r="EN562" s="28" t="n">
        <f aca="false">IF(ISNUMBER(V562),V562*CX562,0)</f>
        <v>0</v>
      </c>
      <c r="EO562" s="28" t="n">
        <f aca="false">IF(ISNUMBER(Z562),Z562*CY562,0)</f>
        <v>0</v>
      </c>
      <c r="EP562" s="28" t="n">
        <f aca="false">IF(ISNUMBER(AD562),AD562*CZ562,0)</f>
        <v>0</v>
      </c>
      <c r="EQ562" s="28" t="n">
        <f aca="false">IF(ISNUMBER(AH562),AH562*DA562,0)</f>
        <v>0</v>
      </c>
      <c r="ER562" s="28" t="n">
        <f aca="false">IF(ISNUMBER(AL562),AL562*DB562,0)</f>
        <v>0</v>
      </c>
      <c r="ES562" s="28" t="n">
        <f aca="false">IF(ISNUMBER(AP562),AP562*DC562,0)</f>
        <v>0</v>
      </c>
      <c r="ET562" s="28" t="n">
        <f aca="false">IF(ISNUMBER(AT562),AT562*DD562,0)</f>
        <v>0</v>
      </c>
      <c r="EU562" s="28" t="n">
        <f aca="false">IF(ISNUMBER(AX562),AX562*DE562,0)</f>
        <v>0</v>
      </c>
      <c r="EV562" s="28" t="n">
        <f aca="false">IF(ISNUMBER(BB562),BB562*DF562,0)</f>
        <v>0</v>
      </c>
      <c r="EW562" s="28" t="n">
        <f aca="false">IF(ISNUMBER(BF562),BF562*DG562,0)</f>
        <v>0</v>
      </c>
      <c r="EX562" s="28" t="n">
        <f aca="false">IF(ISNUMBER(BJ562),BJ562*DH562,0)</f>
        <v>0</v>
      </c>
      <c r="EY562" s="28" t="n">
        <f aca="false">IF(ISNUMBER(BN562),BN562*DI562,0)</f>
        <v>0</v>
      </c>
      <c r="EZ562" s="28" t="n">
        <f aca="false">IF(ISNUMBER(BR562),BR562*DJ562,0)</f>
        <v>0</v>
      </c>
      <c r="FA562" s="28" t="n">
        <f aca="false">IF(ISNUMBER(R562),CW562,0)</f>
        <v>0</v>
      </c>
      <c r="FB562" s="28" t="n">
        <f aca="false">IF(ISNUMBER(V562),CX562,0)</f>
        <v>0</v>
      </c>
      <c r="FC562" s="28" t="n">
        <f aca="false">IF(ISNUMBER(Z562),CY562,0)</f>
        <v>0</v>
      </c>
      <c r="FD562" s="28" t="n">
        <f aca="false">IF(ISNUMBER(AD562),CZ562,0)</f>
        <v>0</v>
      </c>
      <c r="FE562" s="28" t="n">
        <f aca="false">IF(ISNUMBER(AH562),DA562,0)</f>
        <v>0</v>
      </c>
      <c r="FF562" s="28" t="n">
        <f aca="false">IF(ISNUMBER(AL562),DB562,0)</f>
        <v>0</v>
      </c>
      <c r="FG562" s="28" t="n">
        <f aca="false">IF(ISNUMBER(AP562),DC562,0)</f>
        <v>0</v>
      </c>
      <c r="FH562" s="28" t="n">
        <f aca="false">IF(ISNUMBER(AT562),DD562,0)</f>
        <v>0</v>
      </c>
      <c r="FI562" s="28" t="n">
        <f aca="false">IF(ISNUMBER(AX562),DE562,0)</f>
        <v>0</v>
      </c>
      <c r="FJ562" s="28" t="n">
        <f aca="false">IF(ISNUMBER(BB562),DF562,0)</f>
        <v>0</v>
      </c>
      <c r="FK562" s="28" t="n">
        <f aca="false">IF(ISNUMBER(BF562),DG562,0)</f>
        <v>0</v>
      </c>
      <c r="FL562" s="28" t="n">
        <f aca="false">IF(ISNUMBER(BJ562),DH562,0)</f>
        <v>0</v>
      </c>
      <c r="FM562" s="28" t="n">
        <f aca="false">IF(ISNUMBER(BN562),DI562,0)</f>
        <v>0</v>
      </c>
      <c r="FN562" s="28" t="n">
        <f aca="false">IF(ISNUMBER(BR562),DJ562,0)</f>
        <v>0</v>
      </c>
      <c r="FO562" s="28" t="str">
        <f aca="false">IFERROR(INDEX(Lists!$G$2:$G$20,MATCH($I562&amp;"|"&amp;$J562,Lists!$F$2:$F$20,0)),"")</f>
        <v/>
      </c>
    </row>
    <row r="563" customFormat="false" ht="19.5" hidden="false" customHeight="true" outlineLevel="0" collapsed="false">
      <c r="A563" s="29"/>
      <c r="B563" s="29"/>
      <c r="C563" s="30"/>
      <c r="D563" s="30"/>
      <c r="E563" s="31"/>
      <c r="F563" s="30"/>
      <c r="G563" s="30"/>
      <c r="H563" s="32"/>
      <c r="I563" s="33"/>
      <c r="J563" s="32"/>
      <c r="K563" s="34" t="str">
        <f aca="false">IF(OR(M563="",$E563=""),"",M563-$E563)</f>
        <v/>
      </c>
      <c r="L563" s="35" t="str">
        <f aca="false">IF(SUM(FA563:FN563)=0,"",SUM(EM563:EZ563)/SUM(FA563:FN563))</f>
        <v/>
      </c>
      <c r="M563" s="36" t="str">
        <f aca="false">IF(OR(L563="",FO563=""),"",IFERROR(MATCH(L563,INDEX(Boundaries!$B$2:$I$30,MATCH(FO563,Boundaries!$A$2:$A$30,0),0),1)-1,""))</f>
        <v/>
      </c>
      <c r="N563" s="37" t="str">
        <f aca="false">IF(COUNT($DY563:$EL563)&lt;2,"",INDEX($DK563:$DX563,MAX($DY563:$EL563))-INDEX($DK563:$DX563,MIN($DY563:$EL563)))</f>
        <v/>
      </c>
      <c r="O563" s="37" t="str">
        <f aca="false">IF(COUNT($DY563:$EL563)&lt;2,"",INDEX($DK563:$DX563,MAX($DY563:$EL563))-INDEX($DK563:$DX563,LARGE($DY563:$EL563,2)))</f>
        <v/>
      </c>
      <c r="P563" s="38" t="str">
        <f aca="false">IF(K563="","",IF(K563&gt;=0,"On/above target",IF(AND(N563&lt;&gt;"",N563&gt;=0.5),"Improving towards target",IF(AND(O563&lt;&gt;"",O563&lt;=-0.5),"Declining","Stable below target"))))</f>
        <v/>
      </c>
      <c r="Q563" s="39"/>
      <c r="R563" s="40" t="str">
        <f aca="false">IF(OR(Q563="",BU563=""),"",Q563/BU563*100)</f>
        <v/>
      </c>
      <c r="S563" s="41" t="str">
        <f aca="false">IF(R563="","",IFERROR(MATCH(R563,INDEX(Boundaries!$B$2:$I$30,MATCH(CI563,Boundaries!$A$2:$A$30,0),0),1)-1,""))</f>
        <v/>
      </c>
      <c r="T563" s="42" t="str">
        <f aca="false">IF(OR(S563="",$E563=""),"",S563-$E563)</f>
        <v/>
      </c>
      <c r="U563" s="39"/>
      <c r="V563" s="40" t="str">
        <f aca="false">IF(OR(U563="",BV563=""),"",U563/BV563*100)</f>
        <v/>
      </c>
      <c r="W563" s="41" t="str">
        <f aca="false">IF(V563="","",IFERROR(MATCH(V563,INDEX(Boundaries!$B$2:$I$30,MATCH(CJ563,Boundaries!$A$2:$A$30,0),0),1)-1,""))</f>
        <v/>
      </c>
      <c r="X563" s="42" t="str">
        <f aca="false">IF(OR(W563="",$E563=""),"",W563-$E563)</f>
        <v/>
      </c>
      <c r="Y563" s="39"/>
      <c r="Z563" s="40" t="str">
        <f aca="false">IF(OR(Y563="",BW563=""),"",Y563/BW563*100)</f>
        <v/>
      </c>
      <c r="AA563" s="41" t="str">
        <f aca="false">IF(Z563="","",IFERROR(MATCH(Z563,INDEX(Boundaries!$B$2:$I$30,MATCH(CK563,Boundaries!$A$2:$A$30,0),0),1)-1,""))</f>
        <v/>
      </c>
      <c r="AB563" s="42" t="str">
        <f aca="false">IF(OR(AA563="",$E563=""),"",AA563-$E563)</f>
        <v/>
      </c>
      <c r="AC563" s="39"/>
      <c r="AD563" s="40" t="str">
        <f aca="false">IF(OR(AC563="",BX563=""),"",AC563/BX563*100)</f>
        <v/>
      </c>
      <c r="AE563" s="41" t="str">
        <f aca="false">IF(AD563="","",IFERROR(MATCH(AD563,INDEX(Boundaries!$B$2:$I$30,MATCH(CL563,Boundaries!$A$2:$A$30,0),0),1)-1,""))</f>
        <v/>
      </c>
      <c r="AF563" s="42" t="str">
        <f aca="false">IF(OR(AE563="",$E563=""),"",AE563-$E563)</f>
        <v/>
      </c>
      <c r="AG563" s="39"/>
      <c r="AH563" s="40" t="str">
        <f aca="false">IF(OR(AG563="",BY563=""),"",AG563/BY563*100)</f>
        <v/>
      </c>
      <c r="AI563" s="41" t="str">
        <f aca="false">IF(AH563="","",IFERROR(MATCH(AH563,INDEX(Boundaries!$B$2:$I$30,MATCH(CM563,Boundaries!$A$2:$A$30,0),0),1)-1,""))</f>
        <v/>
      </c>
      <c r="AJ563" s="42" t="str">
        <f aca="false">IF(OR(AI563="",$E563=""),"",AI563-$E563)</f>
        <v/>
      </c>
      <c r="AK563" s="39"/>
      <c r="AL563" s="40" t="str">
        <f aca="false">IF(OR(AK563="",BZ563=""),"",AK563/BZ563*100)</f>
        <v/>
      </c>
      <c r="AM563" s="41" t="str">
        <f aca="false">IF(AL563="","",IFERROR(MATCH(AL563,INDEX(Boundaries!$B$2:$I$30,MATCH(CN563,Boundaries!$A$2:$A$30,0),0),1)-1,""))</f>
        <v/>
      </c>
      <c r="AN563" s="42" t="str">
        <f aca="false">IF(OR(AM563="",$E563=""),"",AM563-$E563)</f>
        <v/>
      </c>
      <c r="AO563" s="39"/>
      <c r="AP563" s="40" t="str">
        <f aca="false">IF(OR(AO563="",CA563=""),"",AO563/CA563*100)</f>
        <v/>
      </c>
      <c r="AQ563" s="41" t="str">
        <f aca="false">IF(AP563="","",IFERROR(MATCH(AP563,INDEX(Boundaries!$B$2:$I$30,MATCH(CO563,Boundaries!$A$2:$A$30,0),0),1)-1,""))</f>
        <v/>
      </c>
      <c r="AR563" s="42" t="str">
        <f aca="false">IF(OR(AQ563="",$E563=""),"",AQ563-$E563)</f>
        <v/>
      </c>
      <c r="AS563" s="39"/>
      <c r="AT563" s="40" t="str">
        <f aca="false">IF(OR(AS563="",CB563=""),"",AS563/CB563*100)</f>
        <v/>
      </c>
      <c r="AU563" s="41" t="str">
        <f aca="false">IF(AT563="","",IFERROR(MATCH(AT563,INDEX(Boundaries!$B$2:$I$30,MATCH(CP563,Boundaries!$A$2:$A$30,0),0),1)-1,""))</f>
        <v/>
      </c>
      <c r="AV563" s="42" t="str">
        <f aca="false">IF(OR(AU563="",$E563=""),"",AU563-$E563)</f>
        <v/>
      </c>
      <c r="AW563" s="39"/>
      <c r="AX563" s="40" t="str">
        <f aca="false">IF(OR(AW563="",CC563=""),"",AW563/CC563*100)</f>
        <v/>
      </c>
      <c r="AY563" s="41" t="str">
        <f aca="false">IF(AX563="","",IFERROR(MATCH(AX563,INDEX(Boundaries!$B$2:$I$30,MATCH(CQ563,Boundaries!$A$2:$A$30,0),0),1)-1,""))</f>
        <v/>
      </c>
      <c r="AZ563" s="42" t="str">
        <f aca="false">IF(OR(AY563="",$E563=""),"",AY563-$E563)</f>
        <v/>
      </c>
      <c r="BA563" s="39"/>
      <c r="BB563" s="40" t="str">
        <f aca="false">IF(OR(BA563="",CD563=""),"",BA563/CD563*100)</f>
        <v/>
      </c>
      <c r="BC563" s="41" t="str">
        <f aca="false">IF(BB563="","",IFERROR(MATCH(BB563,INDEX(Boundaries!$B$2:$I$30,MATCH(CR563,Boundaries!$A$2:$A$30,0),0),1)-1,""))</f>
        <v/>
      </c>
      <c r="BD563" s="42" t="str">
        <f aca="false">IF(OR(BC563="",$E563=""),"",BC563-$E563)</f>
        <v/>
      </c>
      <c r="BE563" s="39"/>
      <c r="BF563" s="40" t="str">
        <f aca="false">IF(OR(BE563="",CE563=""),"",BE563/CE563*100)</f>
        <v/>
      </c>
      <c r="BG563" s="41" t="str">
        <f aca="false">IF(BF563="","",IFERROR(MATCH(BF563,INDEX(Boundaries!$B$2:$I$30,MATCH(CS563,Boundaries!$A$2:$A$30,0),0),1)-1,""))</f>
        <v/>
      </c>
      <c r="BH563" s="42" t="str">
        <f aca="false">IF(OR(BG563="",$E563=""),"",BG563-$E563)</f>
        <v/>
      </c>
      <c r="BI563" s="39"/>
      <c r="BJ563" s="40" t="str">
        <f aca="false">IF(OR(BI563="",CF563=""),"",BI563/CF563*100)</f>
        <v/>
      </c>
      <c r="BK563" s="41" t="str">
        <f aca="false">IF(BJ563="","",IFERROR(MATCH(BJ563,INDEX(Boundaries!$B$2:$I$30,MATCH(CT563,Boundaries!$A$2:$A$30,0),0),1)-1,""))</f>
        <v/>
      </c>
      <c r="BL563" s="42" t="str">
        <f aca="false">IF(OR(BK563="",$E563=""),"",BK563-$E563)</f>
        <v/>
      </c>
      <c r="BM563" s="39"/>
      <c r="BN563" s="40" t="str">
        <f aca="false">IF(OR(BM563="",CG563=""),"",BM563/CG563*100)</f>
        <v/>
      </c>
      <c r="BO563" s="41" t="str">
        <f aca="false">IF(BN563="","",IFERROR(MATCH(BN563,INDEX(Boundaries!$B$2:$I$30,MATCH(CU563,Boundaries!$A$2:$A$30,0),0),1)-1,""))</f>
        <v/>
      </c>
      <c r="BP563" s="42" t="str">
        <f aca="false">IF(OR(BO563="",$E563=""),"",BO563-$E563)</f>
        <v/>
      </c>
      <c r="BQ563" s="39"/>
      <c r="BR563" s="40" t="str">
        <f aca="false">IF(OR(BQ563="",CH563=""),"",BQ563/CH563*100)</f>
        <v/>
      </c>
      <c r="BS563" s="41" t="str">
        <f aca="false">IF(BR563="","",IFERROR(MATCH(BR563,INDEX(Boundaries!$B$2:$I$30,MATCH(CV563,Boundaries!$A$2:$A$30,0),0),1)-1,""))</f>
        <v/>
      </c>
      <c r="BT563" s="42" t="str">
        <f aca="false">IF(OR(BS563="",$E563=""),"",BS563-$E563)</f>
        <v/>
      </c>
      <c r="BU563" s="28" t="str">
        <f aca="false">IFERROR(INDEX(Assessments!$H$2:$H$600,MATCH($H563&amp;"|"&amp;$I563&amp;"|"&amp;$J563&amp;"|"&amp;1,Assessments!$A$2:$A$600,0)),"")</f>
        <v/>
      </c>
      <c r="BV563" s="28" t="str">
        <f aca="false">IFERROR(INDEX(Assessments!$H$2:$H$600,MATCH($H563&amp;"|"&amp;$I563&amp;"|"&amp;$J563&amp;"|"&amp;2,Assessments!$A$2:$A$600,0)),"")</f>
        <v/>
      </c>
      <c r="BW563" s="28" t="str">
        <f aca="false">IFERROR(INDEX(Assessments!$H$2:$H$600,MATCH($H563&amp;"|"&amp;$I563&amp;"|"&amp;$J563&amp;"|"&amp;3,Assessments!$A$2:$A$600,0)),"")</f>
        <v/>
      </c>
      <c r="BX563" s="28" t="str">
        <f aca="false">IFERROR(INDEX(Assessments!$H$2:$H$600,MATCH($H563&amp;"|"&amp;$I563&amp;"|"&amp;$J563&amp;"|"&amp;4,Assessments!$A$2:$A$600,0)),"")</f>
        <v/>
      </c>
      <c r="BY563" s="28" t="str">
        <f aca="false">IFERROR(INDEX(Assessments!$H$2:$H$600,MATCH($H563&amp;"|"&amp;$I563&amp;"|"&amp;$J563&amp;"|"&amp;5,Assessments!$A$2:$A$600,0)),"")</f>
        <v/>
      </c>
      <c r="BZ563" s="28" t="str">
        <f aca="false">IFERROR(INDEX(Assessments!$H$2:$H$600,MATCH($H563&amp;"|"&amp;$I563&amp;"|"&amp;$J563&amp;"|"&amp;6,Assessments!$A$2:$A$600,0)),"")</f>
        <v/>
      </c>
      <c r="CA563" s="28" t="str">
        <f aca="false">IFERROR(INDEX(Assessments!$H$2:$H$600,MATCH($H563&amp;"|"&amp;$I563&amp;"|"&amp;$J563&amp;"|"&amp;7,Assessments!$A$2:$A$600,0)),"")</f>
        <v/>
      </c>
      <c r="CB563" s="28" t="str">
        <f aca="false">IFERROR(INDEX(Assessments!$H$2:$H$600,MATCH($H563&amp;"|"&amp;$I563&amp;"|"&amp;$J563&amp;"|"&amp;8,Assessments!$A$2:$A$600,0)),"")</f>
        <v/>
      </c>
      <c r="CC563" s="28" t="str">
        <f aca="false">IFERROR(INDEX(Assessments!$H$2:$H$600,MATCH($H563&amp;"|"&amp;$I563&amp;"|"&amp;$J563&amp;"|"&amp;9,Assessments!$A$2:$A$600,0)),"")</f>
        <v/>
      </c>
      <c r="CD563" s="28" t="str">
        <f aca="false">IFERROR(INDEX(Assessments!$H$2:$H$600,MATCH($H563&amp;"|"&amp;$I563&amp;"|"&amp;$J563&amp;"|"&amp;10,Assessments!$A$2:$A$600,0)),"")</f>
        <v/>
      </c>
      <c r="CE563" s="28" t="str">
        <f aca="false">IFERROR(INDEX(Assessments!$H$2:$H$600,MATCH($H563&amp;"|"&amp;$I563&amp;"|"&amp;$J563&amp;"|"&amp;11,Assessments!$A$2:$A$600,0)),"")</f>
        <v/>
      </c>
      <c r="CF563" s="28" t="str">
        <f aca="false">IFERROR(INDEX(Assessments!$H$2:$H$600,MATCH($H563&amp;"|"&amp;$I563&amp;"|"&amp;$J563&amp;"|"&amp;12,Assessments!$A$2:$A$600,0)),"")</f>
        <v/>
      </c>
      <c r="CG563" s="28" t="str">
        <f aca="false">IFERROR(INDEX(Assessments!$H$2:$H$600,MATCH($H563&amp;"|"&amp;$I563&amp;"|"&amp;$J563&amp;"|"&amp;13,Assessments!$A$2:$A$600,0)),"")</f>
        <v/>
      </c>
      <c r="CH563" s="28" t="str">
        <f aca="false">IFERROR(INDEX(Assessments!$H$2:$H$600,MATCH($H563&amp;"|"&amp;$I563&amp;"|"&amp;$J563&amp;"|"&amp;14,Assessments!$A$2:$A$600,0)),"")</f>
        <v/>
      </c>
      <c r="CI563" s="28" t="str">
        <f aca="false">IFERROR(INDEX(Assessments!$I$2:$I$600,MATCH($H563&amp;"|"&amp;$I563&amp;"|"&amp;$J563&amp;"|"&amp;1,Assessments!$A$2:$A$600,0)),"")</f>
        <v/>
      </c>
      <c r="CJ563" s="28" t="str">
        <f aca="false">IFERROR(INDEX(Assessments!$I$2:$I$600,MATCH($H563&amp;"|"&amp;$I563&amp;"|"&amp;$J563&amp;"|"&amp;2,Assessments!$A$2:$A$600,0)),"")</f>
        <v/>
      </c>
      <c r="CK563" s="28" t="str">
        <f aca="false">IFERROR(INDEX(Assessments!$I$2:$I$600,MATCH($H563&amp;"|"&amp;$I563&amp;"|"&amp;$J563&amp;"|"&amp;3,Assessments!$A$2:$A$600,0)),"")</f>
        <v/>
      </c>
      <c r="CL563" s="28" t="str">
        <f aca="false">IFERROR(INDEX(Assessments!$I$2:$I$600,MATCH($H563&amp;"|"&amp;$I563&amp;"|"&amp;$J563&amp;"|"&amp;4,Assessments!$A$2:$A$600,0)),"")</f>
        <v/>
      </c>
      <c r="CM563" s="28" t="str">
        <f aca="false">IFERROR(INDEX(Assessments!$I$2:$I$600,MATCH($H563&amp;"|"&amp;$I563&amp;"|"&amp;$J563&amp;"|"&amp;5,Assessments!$A$2:$A$600,0)),"")</f>
        <v/>
      </c>
      <c r="CN563" s="28" t="str">
        <f aca="false">IFERROR(INDEX(Assessments!$I$2:$I$600,MATCH($H563&amp;"|"&amp;$I563&amp;"|"&amp;$J563&amp;"|"&amp;6,Assessments!$A$2:$A$600,0)),"")</f>
        <v/>
      </c>
      <c r="CO563" s="28" t="str">
        <f aca="false">IFERROR(INDEX(Assessments!$I$2:$I$600,MATCH($H563&amp;"|"&amp;$I563&amp;"|"&amp;$J563&amp;"|"&amp;7,Assessments!$A$2:$A$600,0)),"")</f>
        <v/>
      </c>
      <c r="CP563" s="28" t="str">
        <f aca="false">IFERROR(INDEX(Assessments!$I$2:$I$600,MATCH($H563&amp;"|"&amp;$I563&amp;"|"&amp;$J563&amp;"|"&amp;8,Assessments!$A$2:$A$600,0)),"")</f>
        <v/>
      </c>
      <c r="CQ563" s="28" t="str">
        <f aca="false">IFERROR(INDEX(Assessments!$I$2:$I$600,MATCH($H563&amp;"|"&amp;$I563&amp;"|"&amp;$J563&amp;"|"&amp;9,Assessments!$A$2:$A$600,0)),"")</f>
        <v/>
      </c>
      <c r="CR563" s="28" t="str">
        <f aca="false">IFERROR(INDEX(Assessments!$I$2:$I$600,MATCH($H563&amp;"|"&amp;$I563&amp;"|"&amp;$J563&amp;"|"&amp;10,Assessments!$A$2:$A$600,0)),"")</f>
        <v/>
      </c>
      <c r="CS563" s="28" t="str">
        <f aca="false">IFERROR(INDEX(Assessments!$I$2:$I$600,MATCH($H563&amp;"|"&amp;$I563&amp;"|"&amp;$J563&amp;"|"&amp;11,Assessments!$A$2:$A$600,0)),"")</f>
        <v/>
      </c>
      <c r="CT563" s="28" t="str">
        <f aca="false">IFERROR(INDEX(Assessments!$I$2:$I$600,MATCH($H563&amp;"|"&amp;$I563&amp;"|"&amp;$J563&amp;"|"&amp;12,Assessments!$A$2:$A$600,0)),"")</f>
        <v/>
      </c>
      <c r="CU563" s="28" t="str">
        <f aca="false">IFERROR(INDEX(Assessments!$I$2:$I$600,MATCH($H563&amp;"|"&amp;$I563&amp;"|"&amp;$J563&amp;"|"&amp;13,Assessments!$A$2:$A$600,0)),"")</f>
        <v/>
      </c>
      <c r="CV563" s="28" t="str">
        <f aca="false">IFERROR(INDEX(Assessments!$I$2:$I$600,MATCH($H563&amp;"|"&amp;$I563&amp;"|"&amp;$J563&amp;"|"&amp;14,Assessments!$A$2:$A$600,0)),"")</f>
        <v/>
      </c>
      <c r="CW563" s="28" t="n">
        <f aca="false">IFERROR(INDEX(Assessments!$J$2:$J$600,MATCH($H563&amp;"|"&amp;$I563&amp;"|"&amp;$J563&amp;"|"&amp;1,Assessments!$A$2:$A$600,0)),0)</f>
        <v>0</v>
      </c>
      <c r="CX563" s="28" t="n">
        <f aca="false">IFERROR(INDEX(Assessments!$J$2:$J$600,MATCH($H563&amp;"|"&amp;$I563&amp;"|"&amp;$J563&amp;"|"&amp;2,Assessments!$A$2:$A$600,0)),0)</f>
        <v>0</v>
      </c>
      <c r="CY563" s="28" t="n">
        <f aca="false">IFERROR(INDEX(Assessments!$J$2:$J$600,MATCH($H563&amp;"|"&amp;$I563&amp;"|"&amp;$J563&amp;"|"&amp;3,Assessments!$A$2:$A$600,0)),0)</f>
        <v>0</v>
      </c>
      <c r="CZ563" s="28" t="n">
        <f aca="false">IFERROR(INDEX(Assessments!$J$2:$J$600,MATCH($H563&amp;"|"&amp;$I563&amp;"|"&amp;$J563&amp;"|"&amp;4,Assessments!$A$2:$A$600,0)),0)</f>
        <v>0</v>
      </c>
      <c r="DA563" s="28" t="n">
        <f aca="false">IFERROR(INDEX(Assessments!$J$2:$J$600,MATCH($H563&amp;"|"&amp;$I563&amp;"|"&amp;$J563&amp;"|"&amp;5,Assessments!$A$2:$A$600,0)),0)</f>
        <v>0</v>
      </c>
      <c r="DB563" s="28" t="n">
        <f aca="false">IFERROR(INDEX(Assessments!$J$2:$J$600,MATCH($H563&amp;"|"&amp;$I563&amp;"|"&amp;$J563&amp;"|"&amp;6,Assessments!$A$2:$A$600,0)),0)</f>
        <v>0</v>
      </c>
      <c r="DC563" s="28" t="n">
        <f aca="false">IFERROR(INDEX(Assessments!$J$2:$J$600,MATCH($H563&amp;"|"&amp;$I563&amp;"|"&amp;$J563&amp;"|"&amp;7,Assessments!$A$2:$A$600,0)),0)</f>
        <v>0</v>
      </c>
      <c r="DD563" s="28" t="n">
        <f aca="false">IFERROR(INDEX(Assessments!$J$2:$J$600,MATCH($H563&amp;"|"&amp;$I563&amp;"|"&amp;$J563&amp;"|"&amp;8,Assessments!$A$2:$A$600,0)),0)</f>
        <v>0</v>
      </c>
      <c r="DE563" s="28" t="n">
        <f aca="false">IFERROR(INDEX(Assessments!$J$2:$J$600,MATCH($H563&amp;"|"&amp;$I563&amp;"|"&amp;$J563&amp;"|"&amp;9,Assessments!$A$2:$A$600,0)),0)</f>
        <v>0</v>
      </c>
      <c r="DF563" s="28" t="n">
        <f aca="false">IFERROR(INDEX(Assessments!$J$2:$J$600,MATCH($H563&amp;"|"&amp;$I563&amp;"|"&amp;$J563&amp;"|"&amp;10,Assessments!$A$2:$A$600,0)),0)</f>
        <v>0</v>
      </c>
      <c r="DG563" s="28" t="n">
        <f aca="false">IFERROR(INDEX(Assessments!$J$2:$J$600,MATCH($H563&amp;"|"&amp;$I563&amp;"|"&amp;$J563&amp;"|"&amp;11,Assessments!$A$2:$A$600,0)),0)</f>
        <v>0</v>
      </c>
      <c r="DH563" s="28" t="n">
        <f aca="false">IFERROR(INDEX(Assessments!$J$2:$J$600,MATCH($H563&amp;"|"&amp;$I563&amp;"|"&amp;$J563&amp;"|"&amp;12,Assessments!$A$2:$A$600,0)),0)</f>
        <v>0</v>
      </c>
      <c r="DI563" s="28" t="n">
        <f aca="false">IFERROR(INDEX(Assessments!$J$2:$J$600,MATCH($H563&amp;"|"&amp;$I563&amp;"|"&amp;$J563&amp;"|"&amp;13,Assessments!$A$2:$A$600,0)),0)</f>
        <v>0</v>
      </c>
      <c r="DJ563" s="28" t="n">
        <f aca="false">IFERROR(INDEX(Assessments!$J$2:$J$600,MATCH($H563&amp;"|"&amp;$I563&amp;"|"&amp;$J563&amp;"|"&amp;14,Assessments!$A$2:$A$600,0)),0)</f>
        <v>0</v>
      </c>
      <c r="DK563" s="28" t="str">
        <f aca="false">S563</f>
        <v/>
      </c>
      <c r="DL563" s="28" t="str">
        <f aca="false">W563</f>
        <v/>
      </c>
      <c r="DM563" s="28" t="str">
        <f aca="false">AA563</f>
        <v/>
      </c>
      <c r="DN563" s="28" t="str">
        <f aca="false">AE563</f>
        <v/>
      </c>
      <c r="DO563" s="28" t="str">
        <f aca="false">AI563</f>
        <v/>
      </c>
      <c r="DP563" s="28" t="str">
        <f aca="false">AM563</f>
        <v/>
      </c>
      <c r="DQ563" s="28" t="str">
        <f aca="false">AQ563</f>
        <v/>
      </c>
      <c r="DR563" s="28" t="str">
        <f aca="false">AU563</f>
        <v/>
      </c>
      <c r="DS563" s="28" t="str">
        <f aca="false">AY563</f>
        <v/>
      </c>
      <c r="DT563" s="28" t="str">
        <f aca="false">BC563</f>
        <v/>
      </c>
      <c r="DU563" s="28" t="str">
        <f aca="false">BG563</f>
        <v/>
      </c>
      <c r="DV563" s="28" t="str">
        <f aca="false">BK563</f>
        <v/>
      </c>
      <c r="DW563" s="28" t="str">
        <f aca="false">BO563</f>
        <v/>
      </c>
      <c r="DX563" s="28" t="str">
        <f aca="false">BS563</f>
        <v/>
      </c>
      <c r="DY563" s="28" t="str">
        <f aca="false">IF(ISNUMBER(S563),1,"")</f>
        <v/>
      </c>
      <c r="DZ563" s="28" t="str">
        <f aca="false">IF(ISNUMBER(W563),2,"")</f>
        <v/>
      </c>
      <c r="EA563" s="28" t="str">
        <f aca="false">IF(ISNUMBER(AA563),3,"")</f>
        <v/>
      </c>
      <c r="EB563" s="28" t="str">
        <f aca="false">IF(ISNUMBER(AE563),4,"")</f>
        <v/>
      </c>
      <c r="EC563" s="28" t="str">
        <f aca="false">IF(ISNUMBER(AI563),5,"")</f>
        <v/>
      </c>
      <c r="ED563" s="28" t="str">
        <f aca="false">IF(ISNUMBER(AM563),6,"")</f>
        <v/>
      </c>
      <c r="EE563" s="28" t="str">
        <f aca="false">IF(ISNUMBER(AQ563),7,"")</f>
        <v/>
      </c>
      <c r="EF563" s="28" t="str">
        <f aca="false">IF(ISNUMBER(AU563),8,"")</f>
        <v/>
      </c>
      <c r="EG563" s="28" t="str">
        <f aca="false">IF(ISNUMBER(AY563),9,"")</f>
        <v/>
      </c>
      <c r="EH563" s="28" t="str">
        <f aca="false">IF(ISNUMBER(BC563),10,"")</f>
        <v/>
      </c>
      <c r="EI563" s="28" t="str">
        <f aca="false">IF(ISNUMBER(BG563),11,"")</f>
        <v/>
      </c>
      <c r="EJ563" s="28" t="str">
        <f aca="false">IF(ISNUMBER(BK563),12,"")</f>
        <v/>
      </c>
      <c r="EK563" s="28" t="str">
        <f aca="false">IF(ISNUMBER(BO563),13,"")</f>
        <v/>
      </c>
      <c r="EL563" s="28" t="str">
        <f aca="false">IF(ISNUMBER(BS563),14,"")</f>
        <v/>
      </c>
      <c r="EM563" s="28" t="n">
        <f aca="false">IF(ISNUMBER(R563),R563*CW563,0)</f>
        <v>0</v>
      </c>
      <c r="EN563" s="28" t="n">
        <f aca="false">IF(ISNUMBER(V563),V563*CX563,0)</f>
        <v>0</v>
      </c>
      <c r="EO563" s="28" t="n">
        <f aca="false">IF(ISNUMBER(Z563),Z563*CY563,0)</f>
        <v>0</v>
      </c>
      <c r="EP563" s="28" t="n">
        <f aca="false">IF(ISNUMBER(AD563),AD563*CZ563,0)</f>
        <v>0</v>
      </c>
      <c r="EQ563" s="28" t="n">
        <f aca="false">IF(ISNUMBER(AH563),AH563*DA563,0)</f>
        <v>0</v>
      </c>
      <c r="ER563" s="28" t="n">
        <f aca="false">IF(ISNUMBER(AL563),AL563*DB563,0)</f>
        <v>0</v>
      </c>
      <c r="ES563" s="28" t="n">
        <f aca="false">IF(ISNUMBER(AP563),AP563*DC563,0)</f>
        <v>0</v>
      </c>
      <c r="ET563" s="28" t="n">
        <f aca="false">IF(ISNUMBER(AT563),AT563*DD563,0)</f>
        <v>0</v>
      </c>
      <c r="EU563" s="28" t="n">
        <f aca="false">IF(ISNUMBER(AX563),AX563*DE563,0)</f>
        <v>0</v>
      </c>
      <c r="EV563" s="28" t="n">
        <f aca="false">IF(ISNUMBER(BB563),BB563*DF563,0)</f>
        <v>0</v>
      </c>
      <c r="EW563" s="28" t="n">
        <f aca="false">IF(ISNUMBER(BF563),BF563*DG563,0)</f>
        <v>0</v>
      </c>
      <c r="EX563" s="28" t="n">
        <f aca="false">IF(ISNUMBER(BJ563),BJ563*DH563,0)</f>
        <v>0</v>
      </c>
      <c r="EY563" s="28" t="n">
        <f aca="false">IF(ISNUMBER(BN563),BN563*DI563,0)</f>
        <v>0</v>
      </c>
      <c r="EZ563" s="28" t="n">
        <f aca="false">IF(ISNUMBER(BR563),BR563*DJ563,0)</f>
        <v>0</v>
      </c>
      <c r="FA563" s="28" t="n">
        <f aca="false">IF(ISNUMBER(R563),CW563,0)</f>
        <v>0</v>
      </c>
      <c r="FB563" s="28" t="n">
        <f aca="false">IF(ISNUMBER(V563),CX563,0)</f>
        <v>0</v>
      </c>
      <c r="FC563" s="28" t="n">
        <f aca="false">IF(ISNUMBER(Z563),CY563,0)</f>
        <v>0</v>
      </c>
      <c r="FD563" s="28" t="n">
        <f aca="false">IF(ISNUMBER(AD563),CZ563,0)</f>
        <v>0</v>
      </c>
      <c r="FE563" s="28" t="n">
        <f aca="false">IF(ISNUMBER(AH563),DA563,0)</f>
        <v>0</v>
      </c>
      <c r="FF563" s="28" t="n">
        <f aca="false">IF(ISNUMBER(AL563),DB563,0)</f>
        <v>0</v>
      </c>
      <c r="FG563" s="28" t="n">
        <f aca="false">IF(ISNUMBER(AP563),DC563,0)</f>
        <v>0</v>
      </c>
      <c r="FH563" s="28" t="n">
        <f aca="false">IF(ISNUMBER(AT563),DD563,0)</f>
        <v>0</v>
      </c>
      <c r="FI563" s="28" t="n">
        <f aca="false">IF(ISNUMBER(AX563),DE563,0)</f>
        <v>0</v>
      </c>
      <c r="FJ563" s="28" t="n">
        <f aca="false">IF(ISNUMBER(BB563),DF563,0)</f>
        <v>0</v>
      </c>
      <c r="FK563" s="28" t="n">
        <f aca="false">IF(ISNUMBER(BF563),DG563,0)</f>
        <v>0</v>
      </c>
      <c r="FL563" s="28" t="n">
        <f aca="false">IF(ISNUMBER(BJ563),DH563,0)</f>
        <v>0</v>
      </c>
      <c r="FM563" s="28" t="n">
        <f aca="false">IF(ISNUMBER(BN563),DI563,0)</f>
        <v>0</v>
      </c>
      <c r="FN563" s="28" t="n">
        <f aca="false">IF(ISNUMBER(BR563),DJ563,0)</f>
        <v>0</v>
      </c>
      <c r="FO563" s="28" t="str">
        <f aca="false">IFERROR(INDEX(Lists!$G$2:$G$20,MATCH($I563&amp;"|"&amp;$J563,Lists!$F$2:$F$20,0)),"")</f>
        <v/>
      </c>
    </row>
    <row r="564" customFormat="false" ht="19.5" hidden="false" customHeight="true" outlineLevel="0" collapsed="false">
      <c r="A564" s="29"/>
      <c r="B564" s="29"/>
      <c r="C564" s="30"/>
      <c r="D564" s="30"/>
      <c r="E564" s="31"/>
      <c r="F564" s="30"/>
      <c r="G564" s="30"/>
      <c r="H564" s="32"/>
      <c r="I564" s="33"/>
      <c r="J564" s="32"/>
      <c r="K564" s="34" t="str">
        <f aca="false">IF(OR(M564="",$E564=""),"",M564-$E564)</f>
        <v/>
      </c>
      <c r="L564" s="35" t="str">
        <f aca="false">IF(SUM(FA564:FN564)=0,"",SUM(EM564:EZ564)/SUM(FA564:FN564))</f>
        <v/>
      </c>
      <c r="M564" s="36" t="str">
        <f aca="false">IF(OR(L564="",FO564=""),"",IFERROR(MATCH(L564,INDEX(Boundaries!$B$2:$I$30,MATCH(FO564,Boundaries!$A$2:$A$30,0),0),1)-1,""))</f>
        <v/>
      </c>
      <c r="N564" s="37" t="str">
        <f aca="false">IF(COUNT($DY564:$EL564)&lt;2,"",INDEX($DK564:$DX564,MAX($DY564:$EL564))-INDEX($DK564:$DX564,MIN($DY564:$EL564)))</f>
        <v/>
      </c>
      <c r="O564" s="37" t="str">
        <f aca="false">IF(COUNT($DY564:$EL564)&lt;2,"",INDEX($DK564:$DX564,MAX($DY564:$EL564))-INDEX($DK564:$DX564,LARGE($DY564:$EL564,2)))</f>
        <v/>
      </c>
      <c r="P564" s="38" t="str">
        <f aca="false">IF(K564="","",IF(K564&gt;=0,"On/above target",IF(AND(N564&lt;&gt;"",N564&gt;=0.5),"Improving towards target",IF(AND(O564&lt;&gt;"",O564&lt;=-0.5),"Declining","Stable below target"))))</f>
        <v/>
      </c>
      <c r="Q564" s="39"/>
      <c r="R564" s="40" t="str">
        <f aca="false">IF(OR(Q564="",BU564=""),"",Q564/BU564*100)</f>
        <v/>
      </c>
      <c r="S564" s="41" t="str">
        <f aca="false">IF(R564="","",IFERROR(MATCH(R564,INDEX(Boundaries!$B$2:$I$30,MATCH(CI564,Boundaries!$A$2:$A$30,0),0),1)-1,""))</f>
        <v/>
      </c>
      <c r="T564" s="42" t="str">
        <f aca="false">IF(OR(S564="",$E564=""),"",S564-$E564)</f>
        <v/>
      </c>
      <c r="U564" s="39"/>
      <c r="V564" s="40" t="str">
        <f aca="false">IF(OR(U564="",BV564=""),"",U564/BV564*100)</f>
        <v/>
      </c>
      <c r="W564" s="41" t="str">
        <f aca="false">IF(V564="","",IFERROR(MATCH(V564,INDEX(Boundaries!$B$2:$I$30,MATCH(CJ564,Boundaries!$A$2:$A$30,0),0),1)-1,""))</f>
        <v/>
      </c>
      <c r="X564" s="42" t="str">
        <f aca="false">IF(OR(W564="",$E564=""),"",W564-$E564)</f>
        <v/>
      </c>
      <c r="Y564" s="39"/>
      <c r="Z564" s="40" t="str">
        <f aca="false">IF(OR(Y564="",BW564=""),"",Y564/BW564*100)</f>
        <v/>
      </c>
      <c r="AA564" s="41" t="str">
        <f aca="false">IF(Z564="","",IFERROR(MATCH(Z564,INDEX(Boundaries!$B$2:$I$30,MATCH(CK564,Boundaries!$A$2:$A$30,0),0),1)-1,""))</f>
        <v/>
      </c>
      <c r="AB564" s="42" t="str">
        <f aca="false">IF(OR(AA564="",$E564=""),"",AA564-$E564)</f>
        <v/>
      </c>
      <c r="AC564" s="39"/>
      <c r="AD564" s="40" t="str">
        <f aca="false">IF(OR(AC564="",BX564=""),"",AC564/BX564*100)</f>
        <v/>
      </c>
      <c r="AE564" s="41" t="str">
        <f aca="false">IF(AD564="","",IFERROR(MATCH(AD564,INDEX(Boundaries!$B$2:$I$30,MATCH(CL564,Boundaries!$A$2:$A$30,0),0),1)-1,""))</f>
        <v/>
      </c>
      <c r="AF564" s="42" t="str">
        <f aca="false">IF(OR(AE564="",$E564=""),"",AE564-$E564)</f>
        <v/>
      </c>
      <c r="AG564" s="39"/>
      <c r="AH564" s="40" t="str">
        <f aca="false">IF(OR(AG564="",BY564=""),"",AG564/BY564*100)</f>
        <v/>
      </c>
      <c r="AI564" s="41" t="str">
        <f aca="false">IF(AH564="","",IFERROR(MATCH(AH564,INDEX(Boundaries!$B$2:$I$30,MATCH(CM564,Boundaries!$A$2:$A$30,0),0),1)-1,""))</f>
        <v/>
      </c>
      <c r="AJ564" s="42" t="str">
        <f aca="false">IF(OR(AI564="",$E564=""),"",AI564-$E564)</f>
        <v/>
      </c>
      <c r="AK564" s="39"/>
      <c r="AL564" s="40" t="str">
        <f aca="false">IF(OR(AK564="",BZ564=""),"",AK564/BZ564*100)</f>
        <v/>
      </c>
      <c r="AM564" s="41" t="str">
        <f aca="false">IF(AL564="","",IFERROR(MATCH(AL564,INDEX(Boundaries!$B$2:$I$30,MATCH(CN564,Boundaries!$A$2:$A$30,0),0),1)-1,""))</f>
        <v/>
      </c>
      <c r="AN564" s="42" t="str">
        <f aca="false">IF(OR(AM564="",$E564=""),"",AM564-$E564)</f>
        <v/>
      </c>
      <c r="AO564" s="39"/>
      <c r="AP564" s="40" t="str">
        <f aca="false">IF(OR(AO564="",CA564=""),"",AO564/CA564*100)</f>
        <v/>
      </c>
      <c r="AQ564" s="41" t="str">
        <f aca="false">IF(AP564="","",IFERROR(MATCH(AP564,INDEX(Boundaries!$B$2:$I$30,MATCH(CO564,Boundaries!$A$2:$A$30,0),0),1)-1,""))</f>
        <v/>
      </c>
      <c r="AR564" s="42" t="str">
        <f aca="false">IF(OR(AQ564="",$E564=""),"",AQ564-$E564)</f>
        <v/>
      </c>
      <c r="AS564" s="39"/>
      <c r="AT564" s="40" t="str">
        <f aca="false">IF(OR(AS564="",CB564=""),"",AS564/CB564*100)</f>
        <v/>
      </c>
      <c r="AU564" s="41" t="str">
        <f aca="false">IF(AT564="","",IFERROR(MATCH(AT564,INDEX(Boundaries!$B$2:$I$30,MATCH(CP564,Boundaries!$A$2:$A$30,0),0),1)-1,""))</f>
        <v/>
      </c>
      <c r="AV564" s="42" t="str">
        <f aca="false">IF(OR(AU564="",$E564=""),"",AU564-$E564)</f>
        <v/>
      </c>
      <c r="AW564" s="39"/>
      <c r="AX564" s="40" t="str">
        <f aca="false">IF(OR(AW564="",CC564=""),"",AW564/CC564*100)</f>
        <v/>
      </c>
      <c r="AY564" s="41" t="str">
        <f aca="false">IF(AX564="","",IFERROR(MATCH(AX564,INDEX(Boundaries!$B$2:$I$30,MATCH(CQ564,Boundaries!$A$2:$A$30,0),0),1)-1,""))</f>
        <v/>
      </c>
      <c r="AZ564" s="42" t="str">
        <f aca="false">IF(OR(AY564="",$E564=""),"",AY564-$E564)</f>
        <v/>
      </c>
      <c r="BA564" s="39"/>
      <c r="BB564" s="40" t="str">
        <f aca="false">IF(OR(BA564="",CD564=""),"",BA564/CD564*100)</f>
        <v/>
      </c>
      <c r="BC564" s="41" t="str">
        <f aca="false">IF(BB564="","",IFERROR(MATCH(BB564,INDEX(Boundaries!$B$2:$I$30,MATCH(CR564,Boundaries!$A$2:$A$30,0),0),1)-1,""))</f>
        <v/>
      </c>
      <c r="BD564" s="42" t="str">
        <f aca="false">IF(OR(BC564="",$E564=""),"",BC564-$E564)</f>
        <v/>
      </c>
      <c r="BE564" s="39"/>
      <c r="BF564" s="40" t="str">
        <f aca="false">IF(OR(BE564="",CE564=""),"",BE564/CE564*100)</f>
        <v/>
      </c>
      <c r="BG564" s="41" t="str">
        <f aca="false">IF(BF564="","",IFERROR(MATCH(BF564,INDEX(Boundaries!$B$2:$I$30,MATCH(CS564,Boundaries!$A$2:$A$30,0),0),1)-1,""))</f>
        <v/>
      </c>
      <c r="BH564" s="42" t="str">
        <f aca="false">IF(OR(BG564="",$E564=""),"",BG564-$E564)</f>
        <v/>
      </c>
      <c r="BI564" s="39"/>
      <c r="BJ564" s="40" t="str">
        <f aca="false">IF(OR(BI564="",CF564=""),"",BI564/CF564*100)</f>
        <v/>
      </c>
      <c r="BK564" s="41" t="str">
        <f aca="false">IF(BJ564="","",IFERROR(MATCH(BJ564,INDEX(Boundaries!$B$2:$I$30,MATCH(CT564,Boundaries!$A$2:$A$30,0),0),1)-1,""))</f>
        <v/>
      </c>
      <c r="BL564" s="42" t="str">
        <f aca="false">IF(OR(BK564="",$E564=""),"",BK564-$E564)</f>
        <v/>
      </c>
      <c r="BM564" s="39"/>
      <c r="BN564" s="40" t="str">
        <f aca="false">IF(OR(BM564="",CG564=""),"",BM564/CG564*100)</f>
        <v/>
      </c>
      <c r="BO564" s="41" t="str">
        <f aca="false">IF(BN564="","",IFERROR(MATCH(BN564,INDEX(Boundaries!$B$2:$I$30,MATCH(CU564,Boundaries!$A$2:$A$30,0),0),1)-1,""))</f>
        <v/>
      </c>
      <c r="BP564" s="42" t="str">
        <f aca="false">IF(OR(BO564="",$E564=""),"",BO564-$E564)</f>
        <v/>
      </c>
      <c r="BQ564" s="39"/>
      <c r="BR564" s="40" t="str">
        <f aca="false">IF(OR(BQ564="",CH564=""),"",BQ564/CH564*100)</f>
        <v/>
      </c>
      <c r="BS564" s="41" t="str">
        <f aca="false">IF(BR564="","",IFERROR(MATCH(BR564,INDEX(Boundaries!$B$2:$I$30,MATCH(CV564,Boundaries!$A$2:$A$30,0),0),1)-1,""))</f>
        <v/>
      </c>
      <c r="BT564" s="42" t="str">
        <f aca="false">IF(OR(BS564="",$E564=""),"",BS564-$E564)</f>
        <v/>
      </c>
      <c r="BU564" s="28" t="str">
        <f aca="false">IFERROR(INDEX(Assessments!$H$2:$H$600,MATCH($H564&amp;"|"&amp;$I564&amp;"|"&amp;$J564&amp;"|"&amp;1,Assessments!$A$2:$A$600,0)),"")</f>
        <v/>
      </c>
      <c r="BV564" s="28" t="str">
        <f aca="false">IFERROR(INDEX(Assessments!$H$2:$H$600,MATCH($H564&amp;"|"&amp;$I564&amp;"|"&amp;$J564&amp;"|"&amp;2,Assessments!$A$2:$A$600,0)),"")</f>
        <v/>
      </c>
      <c r="BW564" s="28" t="str">
        <f aca="false">IFERROR(INDEX(Assessments!$H$2:$H$600,MATCH($H564&amp;"|"&amp;$I564&amp;"|"&amp;$J564&amp;"|"&amp;3,Assessments!$A$2:$A$600,0)),"")</f>
        <v/>
      </c>
      <c r="BX564" s="28" t="str">
        <f aca="false">IFERROR(INDEX(Assessments!$H$2:$H$600,MATCH($H564&amp;"|"&amp;$I564&amp;"|"&amp;$J564&amp;"|"&amp;4,Assessments!$A$2:$A$600,0)),"")</f>
        <v/>
      </c>
      <c r="BY564" s="28" t="str">
        <f aca="false">IFERROR(INDEX(Assessments!$H$2:$H$600,MATCH($H564&amp;"|"&amp;$I564&amp;"|"&amp;$J564&amp;"|"&amp;5,Assessments!$A$2:$A$600,0)),"")</f>
        <v/>
      </c>
      <c r="BZ564" s="28" t="str">
        <f aca="false">IFERROR(INDEX(Assessments!$H$2:$H$600,MATCH($H564&amp;"|"&amp;$I564&amp;"|"&amp;$J564&amp;"|"&amp;6,Assessments!$A$2:$A$600,0)),"")</f>
        <v/>
      </c>
      <c r="CA564" s="28" t="str">
        <f aca="false">IFERROR(INDEX(Assessments!$H$2:$H$600,MATCH($H564&amp;"|"&amp;$I564&amp;"|"&amp;$J564&amp;"|"&amp;7,Assessments!$A$2:$A$600,0)),"")</f>
        <v/>
      </c>
      <c r="CB564" s="28" t="str">
        <f aca="false">IFERROR(INDEX(Assessments!$H$2:$H$600,MATCH($H564&amp;"|"&amp;$I564&amp;"|"&amp;$J564&amp;"|"&amp;8,Assessments!$A$2:$A$600,0)),"")</f>
        <v/>
      </c>
      <c r="CC564" s="28" t="str">
        <f aca="false">IFERROR(INDEX(Assessments!$H$2:$H$600,MATCH($H564&amp;"|"&amp;$I564&amp;"|"&amp;$J564&amp;"|"&amp;9,Assessments!$A$2:$A$600,0)),"")</f>
        <v/>
      </c>
      <c r="CD564" s="28" t="str">
        <f aca="false">IFERROR(INDEX(Assessments!$H$2:$H$600,MATCH($H564&amp;"|"&amp;$I564&amp;"|"&amp;$J564&amp;"|"&amp;10,Assessments!$A$2:$A$600,0)),"")</f>
        <v/>
      </c>
      <c r="CE564" s="28" t="str">
        <f aca="false">IFERROR(INDEX(Assessments!$H$2:$H$600,MATCH($H564&amp;"|"&amp;$I564&amp;"|"&amp;$J564&amp;"|"&amp;11,Assessments!$A$2:$A$600,0)),"")</f>
        <v/>
      </c>
      <c r="CF564" s="28" t="str">
        <f aca="false">IFERROR(INDEX(Assessments!$H$2:$H$600,MATCH($H564&amp;"|"&amp;$I564&amp;"|"&amp;$J564&amp;"|"&amp;12,Assessments!$A$2:$A$600,0)),"")</f>
        <v/>
      </c>
      <c r="CG564" s="28" t="str">
        <f aca="false">IFERROR(INDEX(Assessments!$H$2:$H$600,MATCH($H564&amp;"|"&amp;$I564&amp;"|"&amp;$J564&amp;"|"&amp;13,Assessments!$A$2:$A$600,0)),"")</f>
        <v/>
      </c>
      <c r="CH564" s="28" t="str">
        <f aca="false">IFERROR(INDEX(Assessments!$H$2:$H$600,MATCH($H564&amp;"|"&amp;$I564&amp;"|"&amp;$J564&amp;"|"&amp;14,Assessments!$A$2:$A$600,0)),"")</f>
        <v/>
      </c>
      <c r="CI564" s="28" t="str">
        <f aca="false">IFERROR(INDEX(Assessments!$I$2:$I$600,MATCH($H564&amp;"|"&amp;$I564&amp;"|"&amp;$J564&amp;"|"&amp;1,Assessments!$A$2:$A$600,0)),"")</f>
        <v/>
      </c>
      <c r="CJ564" s="28" t="str">
        <f aca="false">IFERROR(INDEX(Assessments!$I$2:$I$600,MATCH($H564&amp;"|"&amp;$I564&amp;"|"&amp;$J564&amp;"|"&amp;2,Assessments!$A$2:$A$600,0)),"")</f>
        <v/>
      </c>
      <c r="CK564" s="28" t="str">
        <f aca="false">IFERROR(INDEX(Assessments!$I$2:$I$600,MATCH($H564&amp;"|"&amp;$I564&amp;"|"&amp;$J564&amp;"|"&amp;3,Assessments!$A$2:$A$600,0)),"")</f>
        <v/>
      </c>
      <c r="CL564" s="28" t="str">
        <f aca="false">IFERROR(INDEX(Assessments!$I$2:$I$600,MATCH($H564&amp;"|"&amp;$I564&amp;"|"&amp;$J564&amp;"|"&amp;4,Assessments!$A$2:$A$600,0)),"")</f>
        <v/>
      </c>
      <c r="CM564" s="28" t="str">
        <f aca="false">IFERROR(INDEX(Assessments!$I$2:$I$600,MATCH($H564&amp;"|"&amp;$I564&amp;"|"&amp;$J564&amp;"|"&amp;5,Assessments!$A$2:$A$600,0)),"")</f>
        <v/>
      </c>
      <c r="CN564" s="28" t="str">
        <f aca="false">IFERROR(INDEX(Assessments!$I$2:$I$600,MATCH($H564&amp;"|"&amp;$I564&amp;"|"&amp;$J564&amp;"|"&amp;6,Assessments!$A$2:$A$600,0)),"")</f>
        <v/>
      </c>
      <c r="CO564" s="28" t="str">
        <f aca="false">IFERROR(INDEX(Assessments!$I$2:$I$600,MATCH($H564&amp;"|"&amp;$I564&amp;"|"&amp;$J564&amp;"|"&amp;7,Assessments!$A$2:$A$600,0)),"")</f>
        <v/>
      </c>
      <c r="CP564" s="28" t="str">
        <f aca="false">IFERROR(INDEX(Assessments!$I$2:$I$600,MATCH($H564&amp;"|"&amp;$I564&amp;"|"&amp;$J564&amp;"|"&amp;8,Assessments!$A$2:$A$600,0)),"")</f>
        <v/>
      </c>
      <c r="CQ564" s="28" t="str">
        <f aca="false">IFERROR(INDEX(Assessments!$I$2:$I$600,MATCH($H564&amp;"|"&amp;$I564&amp;"|"&amp;$J564&amp;"|"&amp;9,Assessments!$A$2:$A$600,0)),"")</f>
        <v/>
      </c>
      <c r="CR564" s="28" t="str">
        <f aca="false">IFERROR(INDEX(Assessments!$I$2:$I$600,MATCH($H564&amp;"|"&amp;$I564&amp;"|"&amp;$J564&amp;"|"&amp;10,Assessments!$A$2:$A$600,0)),"")</f>
        <v/>
      </c>
      <c r="CS564" s="28" t="str">
        <f aca="false">IFERROR(INDEX(Assessments!$I$2:$I$600,MATCH($H564&amp;"|"&amp;$I564&amp;"|"&amp;$J564&amp;"|"&amp;11,Assessments!$A$2:$A$600,0)),"")</f>
        <v/>
      </c>
      <c r="CT564" s="28" t="str">
        <f aca="false">IFERROR(INDEX(Assessments!$I$2:$I$600,MATCH($H564&amp;"|"&amp;$I564&amp;"|"&amp;$J564&amp;"|"&amp;12,Assessments!$A$2:$A$600,0)),"")</f>
        <v/>
      </c>
      <c r="CU564" s="28" t="str">
        <f aca="false">IFERROR(INDEX(Assessments!$I$2:$I$600,MATCH($H564&amp;"|"&amp;$I564&amp;"|"&amp;$J564&amp;"|"&amp;13,Assessments!$A$2:$A$600,0)),"")</f>
        <v/>
      </c>
      <c r="CV564" s="28" t="str">
        <f aca="false">IFERROR(INDEX(Assessments!$I$2:$I$600,MATCH($H564&amp;"|"&amp;$I564&amp;"|"&amp;$J564&amp;"|"&amp;14,Assessments!$A$2:$A$600,0)),"")</f>
        <v/>
      </c>
      <c r="CW564" s="28" t="n">
        <f aca="false">IFERROR(INDEX(Assessments!$J$2:$J$600,MATCH($H564&amp;"|"&amp;$I564&amp;"|"&amp;$J564&amp;"|"&amp;1,Assessments!$A$2:$A$600,0)),0)</f>
        <v>0</v>
      </c>
      <c r="CX564" s="28" t="n">
        <f aca="false">IFERROR(INDEX(Assessments!$J$2:$J$600,MATCH($H564&amp;"|"&amp;$I564&amp;"|"&amp;$J564&amp;"|"&amp;2,Assessments!$A$2:$A$600,0)),0)</f>
        <v>0</v>
      </c>
      <c r="CY564" s="28" t="n">
        <f aca="false">IFERROR(INDEX(Assessments!$J$2:$J$600,MATCH($H564&amp;"|"&amp;$I564&amp;"|"&amp;$J564&amp;"|"&amp;3,Assessments!$A$2:$A$600,0)),0)</f>
        <v>0</v>
      </c>
      <c r="CZ564" s="28" t="n">
        <f aca="false">IFERROR(INDEX(Assessments!$J$2:$J$600,MATCH($H564&amp;"|"&amp;$I564&amp;"|"&amp;$J564&amp;"|"&amp;4,Assessments!$A$2:$A$600,0)),0)</f>
        <v>0</v>
      </c>
      <c r="DA564" s="28" t="n">
        <f aca="false">IFERROR(INDEX(Assessments!$J$2:$J$600,MATCH($H564&amp;"|"&amp;$I564&amp;"|"&amp;$J564&amp;"|"&amp;5,Assessments!$A$2:$A$600,0)),0)</f>
        <v>0</v>
      </c>
      <c r="DB564" s="28" t="n">
        <f aca="false">IFERROR(INDEX(Assessments!$J$2:$J$600,MATCH($H564&amp;"|"&amp;$I564&amp;"|"&amp;$J564&amp;"|"&amp;6,Assessments!$A$2:$A$600,0)),0)</f>
        <v>0</v>
      </c>
      <c r="DC564" s="28" t="n">
        <f aca="false">IFERROR(INDEX(Assessments!$J$2:$J$600,MATCH($H564&amp;"|"&amp;$I564&amp;"|"&amp;$J564&amp;"|"&amp;7,Assessments!$A$2:$A$600,0)),0)</f>
        <v>0</v>
      </c>
      <c r="DD564" s="28" t="n">
        <f aca="false">IFERROR(INDEX(Assessments!$J$2:$J$600,MATCH($H564&amp;"|"&amp;$I564&amp;"|"&amp;$J564&amp;"|"&amp;8,Assessments!$A$2:$A$600,0)),0)</f>
        <v>0</v>
      </c>
      <c r="DE564" s="28" t="n">
        <f aca="false">IFERROR(INDEX(Assessments!$J$2:$J$600,MATCH($H564&amp;"|"&amp;$I564&amp;"|"&amp;$J564&amp;"|"&amp;9,Assessments!$A$2:$A$600,0)),0)</f>
        <v>0</v>
      </c>
      <c r="DF564" s="28" t="n">
        <f aca="false">IFERROR(INDEX(Assessments!$J$2:$J$600,MATCH($H564&amp;"|"&amp;$I564&amp;"|"&amp;$J564&amp;"|"&amp;10,Assessments!$A$2:$A$600,0)),0)</f>
        <v>0</v>
      </c>
      <c r="DG564" s="28" t="n">
        <f aca="false">IFERROR(INDEX(Assessments!$J$2:$J$600,MATCH($H564&amp;"|"&amp;$I564&amp;"|"&amp;$J564&amp;"|"&amp;11,Assessments!$A$2:$A$600,0)),0)</f>
        <v>0</v>
      </c>
      <c r="DH564" s="28" t="n">
        <f aca="false">IFERROR(INDEX(Assessments!$J$2:$J$600,MATCH($H564&amp;"|"&amp;$I564&amp;"|"&amp;$J564&amp;"|"&amp;12,Assessments!$A$2:$A$600,0)),0)</f>
        <v>0</v>
      </c>
      <c r="DI564" s="28" t="n">
        <f aca="false">IFERROR(INDEX(Assessments!$J$2:$J$600,MATCH($H564&amp;"|"&amp;$I564&amp;"|"&amp;$J564&amp;"|"&amp;13,Assessments!$A$2:$A$600,0)),0)</f>
        <v>0</v>
      </c>
      <c r="DJ564" s="28" t="n">
        <f aca="false">IFERROR(INDEX(Assessments!$J$2:$J$600,MATCH($H564&amp;"|"&amp;$I564&amp;"|"&amp;$J564&amp;"|"&amp;14,Assessments!$A$2:$A$600,0)),0)</f>
        <v>0</v>
      </c>
      <c r="DK564" s="28" t="str">
        <f aca="false">S564</f>
        <v/>
      </c>
      <c r="DL564" s="28" t="str">
        <f aca="false">W564</f>
        <v/>
      </c>
      <c r="DM564" s="28" t="str">
        <f aca="false">AA564</f>
        <v/>
      </c>
      <c r="DN564" s="28" t="str">
        <f aca="false">AE564</f>
        <v/>
      </c>
      <c r="DO564" s="28" t="str">
        <f aca="false">AI564</f>
        <v/>
      </c>
      <c r="DP564" s="28" t="str">
        <f aca="false">AM564</f>
        <v/>
      </c>
      <c r="DQ564" s="28" t="str">
        <f aca="false">AQ564</f>
        <v/>
      </c>
      <c r="DR564" s="28" t="str">
        <f aca="false">AU564</f>
        <v/>
      </c>
      <c r="DS564" s="28" t="str">
        <f aca="false">AY564</f>
        <v/>
      </c>
      <c r="DT564" s="28" t="str">
        <f aca="false">BC564</f>
        <v/>
      </c>
      <c r="DU564" s="28" t="str">
        <f aca="false">BG564</f>
        <v/>
      </c>
      <c r="DV564" s="28" t="str">
        <f aca="false">BK564</f>
        <v/>
      </c>
      <c r="DW564" s="28" t="str">
        <f aca="false">BO564</f>
        <v/>
      </c>
      <c r="DX564" s="28" t="str">
        <f aca="false">BS564</f>
        <v/>
      </c>
      <c r="DY564" s="28" t="str">
        <f aca="false">IF(ISNUMBER(S564),1,"")</f>
        <v/>
      </c>
      <c r="DZ564" s="28" t="str">
        <f aca="false">IF(ISNUMBER(W564),2,"")</f>
        <v/>
      </c>
      <c r="EA564" s="28" t="str">
        <f aca="false">IF(ISNUMBER(AA564),3,"")</f>
        <v/>
      </c>
      <c r="EB564" s="28" t="str">
        <f aca="false">IF(ISNUMBER(AE564),4,"")</f>
        <v/>
      </c>
      <c r="EC564" s="28" t="str">
        <f aca="false">IF(ISNUMBER(AI564),5,"")</f>
        <v/>
      </c>
      <c r="ED564" s="28" t="str">
        <f aca="false">IF(ISNUMBER(AM564),6,"")</f>
        <v/>
      </c>
      <c r="EE564" s="28" t="str">
        <f aca="false">IF(ISNUMBER(AQ564),7,"")</f>
        <v/>
      </c>
      <c r="EF564" s="28" t="str">
        <f aca="false">IF(ISNUMBER(AU564),8,"")</f>
        <v/>
      </c>
      <c r="EG564" s="28" t="str">
        <f aca="false">IF(ISNUMBER(AY564),9,"")</f>
        <v/>
      </c>
      <c r="EH564" s="28" t="str">
        <f aca="false">IF(ISNUMBER(BC564),10,"")</f>
        <v/>
      </c>
      <c r="EI564" s="28" t="str">
        <f aca="false">IF(ISNUMBER(BG564),11,"")</f>
        <v/>
      </c>
      <c r="EJ564" s="28" t="str">
        <f aca="false">IF(ISNUMBER(BK564),12,"")</f>
        <v/>
      </c>
      <c r="EK564" s="28" t="str">
        <f aca="false">IF(ISNUMBER(BO564),13,"")</f>
        <v/>
      </c>
      <c r="EL564" s="28" t="str">
        <f aca="false">IF(ISNUMBER(BS564),14,"")</f>
        <v/>
      </c>
      <c r="EM564" s="28" t="n">
        <f aca="false">IF(ISNUMBER(R564),R564*CW564,0)</f>
        <v>0</v>
      </c>
      <c r="EN564" s="28" t="n">
        <f aca="false">IF(ISNUMBER(V564),V564*CX564,0)</f>
        <v>0</v>
      </c>
      <c r="EO564" s="28" t="n">
        <f aca="false">IF(ISNUMBER(Z564),Z564*CY564,0)</f>
        <v>0</v>
      </c>
      <c r="EP564" s="28" t="n">
        <f aca="false">IF(ISNUMBER(AD564),AD564*CZ564,0)</f>
        <v>0</v>
      </c>
      <c r="EQ564" s="28" t="n">
        <f aca="false">IF(ISNUMBER(AH564),AH564*DA564,0)</f>
        <v>0</v>
      </c>
      <c r="ER564" s="28" t="n">
        <f aca="false">IF(ISNUMBER(AL564),AL564*DB564,0)</f>
        <v>0</v>
      </c>
      <c r="ES564" s="28" t="n">
        <f aca="false">IF(ISNUMBER(AP564),AP564*DC564,0)</f>
        <v>0</v>
      </c>
      <c r="ET564" s="28" t="n">
        <f aca="false">IF(ISNUMBER(AT564),AT564*DD564,0)</f>
        <v>0</v>
      </c>
      <c r="EU564" s="28" t="n">
        <f aca="false">IF(ISNUMBER(AX564),AX564*DE564,0)</f>
        <v>0</v>
      </c>
      <c r="EV564" s="28" t="n">
        <f aca="false">IF(ISNUMBER(BB564),BB564*DF564,0)</f>
        <v>0</v>
      </c>
      <c r="EW564" s="28" t="n">
        <f aca="false">IF(ISNUMBER(BF564),BF564*DG564,0)</f>
        <v>0</v>
      </c>
      <c r="EX564" s="28" t="n">
        <f aca="false">IF(ISNUMBER(BJ564),BJ564*DH564,0)</f>
        <v>0</v>
      </c>
      <c r="EY564" s="28" t="n">
        <f aca="false">IF(ISNUMBER(BN564),BN564*DI564,0)</f>
        <v>0</v>
      </c>
      <c r="EZ564" s="28" t="n">
        <f aca="false">IF(ISNUMBER(BR564),BR564*DJ564,0)</f>
        <v>0</v>
      </c>
      <c r="FA564" s="28" t="n">
        <f aca="false">IF(ISNUMBER(R564),CW564,0)</f>
        <v>0</v>
      </c>
      <c r="FB564" s="28" t="n">
        <f aca="false">IF(ISNUMBER(V564),CX564,0)</f>
        <v>0</v>
      </c>
      <c r="FC564" s="28" t="n">
        <f aca="false">IF(ISNUMBER(Z564),CY564,0)</f>
        <v>0</v>
      </c>
      <c r="FD564" s="28" t="n">
        <f aca="false">IF(ISNUMBER(AD564),CZ564,0)</f>
        <v>0</v>
      </c>
      <c r="FE564" s="28" t="n">
        <f aca="false">IF(ISNUMBER(AH564),DA564,0)</f>
        <v>0</v>
      </c>
      <c r="FF564" s="28" t="n">
        <f aca="false">IF(ISNUMBER(AL564),DB564,0)</f>
        <v>0</v>
      </c>
      <c r="FG564" s="28" t="n">
        <f aca="false">IF(ISNUMBER(AP564),DC564,0)</f>
        <v>0</v>
      </c>
      <c r="FH564" s="28" t="n">
        <f aca="false">IF(ISNUMBER(AT564),DD564,0)</f>
        <v>0</v>
      </c>
      <c r="FI564" s="28" t="n">
        <f aca="false">IF(ISNUMBER(AX564),DE564,0)</f>
        <v>0</v>
      </c>
      <c r="FJ564" s="28" t="n">
        <f aca="false">IF(ISNUMBER(BB564),DF564,0)</f>
        <v>0</v>
      </c>
      <c r="FK564" s="28" t="n">
        <f aca="false">IF(ISNUMBER(BF564),DG564,0)</f>
        <v>0</v>
      </c>
      <c r="FL564" s="28" t="n">
        <f aca="false">IF(ISNUMBER(BJ564),DH564,0)</f>
        <v>0</v>
      </c>
      <c r="FM564" s="28" t="n">
        <f aca="false">IF(ISNUMBER(BN564),DI564,0)</f>
        <v>0</v>
      </c>
      <c r="FN564" s="28" t="n">
        <f aca="false">IF(ISNUMBER(BR564),DJ564,0)</f>
        <v>0</v>
      </c>
      <c r="FO564" s="28" t="str">
        <f aca="false">IFERROR(INDEX(Lists!$G$2:$G$20,MATCH($I564&amp;"|"&amp;$J564,Lists!$F$2:$F$20,0)),"")</f>
        <v/>
      </c>
    </row>
    <row r="565" customFormat="false" ht="19.5" hidden="false" customHeight="true" outlineLevel="0" collapsed="false">
      <c r="A565" s="29"/>
      <c r="B565" s="29"/>
      <c r="C565" s="30"/>
      <c r="D565" s="30"/>
      <c r="E565" s="31"/>
      <c r="F565" s="30"/>
      <c r="G565" s="30"/>
      <c r="H565" s="32"/>
      <c r="I565" s="33"/>
      <c r="J565" s="32"/>
      <c r="K565" s="34" t="str">
        <f aca="false">IF(OR(M565="",$E565=""),"",M565-$E565)</f>
        <v/>
      </c>
      <c r="L565" s="35" t="str">
        <f aca="false">IF(SUM(FA565:FN565)=0,"",SUM(EM565:EZ565)/SUM(FA565:FN565))</f>
        <v/>
      </c>
      <c r="M565" s="36" t="str">
        <f aca="false">IF(OR(L565="",FO565=""),"",IFERROR(MATCH(L565,INDEX(Boundaries!$B$2:$I$30,MATCH(FO565,Boundaries!$A$2:$A$30,0),0),1)-1,""))</f>
        <v/>
      </c>
      <c r="N565" s="37" t="str">
        <f aca="false">IF(COUNT($DY565:$EL565)&lt;2,"",INDEX($DK565:$DX565,MAX($DY565:$EL565))-INDEX($DK565:$DX565,MIN($DY565:$EL565)))</f>
        <v/>
      </c>
      <c r="O565" s="37" t="str">
        <f aca="false">IF(COUNT($DY565:$EL565)&lt;2,"",INDEX($DK565:$DX565,MAX($DY565:$EL565))-INDEX($DK565:$DX565,LARGE($DY565:$EL565,2)))</f>
        <v/>
      </c>
      <c r="P565" s="38" t="str">
        <f aca="false">IF(K565="","",IF(K565&gt;=0,"On/above target",IF(AND(N565&lt;&gt;"",N565&gt;=0.5),"Improving towards target",IF(AND(O565&lt;&gt;"",O565&lt;=-0.5),"Declining","Stable below target"))))</f>
        <v/>
      </c>
      <c r="Q565" s="39"/>
      <c r="R565" s="40" t="str">
        <f aca="false">IF(OR(Q565="",BU565=""),"",Q565/BU565*100)</f>
        <v/>
      </c>
      <c r="S565" s="41" t="str">
        <f aca="false">IF(R565="","",IFERROR(MATCH(R565,INDEX(Boundaries!$B$2:$I$30,MATCH(CI565,Boundaries!$A$2:$A$30,0),0),1)-1,""))</f>
        <v/>
      </c>
      <c r="T565" s="42" t="str">
        <f aca="false">IF(OR(S565="",$E565=""),"",S565-$E565)</f>
        <v/>
      </c>
      <c r="U565" s="39"/>
      <c r="V565" s="40" t="str">
        <f aca="false">IF(OR(U565="",BV565=""),"",U565/BV565*100)</f>
        <v/>
      </c>
      <c r="W565" s="41" t="str">
        <f aca="false">IF(V565="","",IFERROR(MATCH(V565,INDEX(Boundaries!$B$2:$I$30,MATCH(CJ565,Boundaries!$A$2:$A$30,0),0),1)-1,""))</f>
        <v/>
      </c>
      <c r="X565" s="42" t="str">
        <f aca="false">IF(OR(W565="",$E565=""),"",W565-$E565)</f>
        <v/>
      </c>
      <c r="Y565" s="39"/>
      <c r="Z565" s="40" t="str">
        <f aca="false">IF(OR(Y565="",BW565=""),"",Y565/BW565*100)</f>
        <v/>
      </c>
      <c r="AA565" s="41" t="str">
        <f aca="false">IF(Z565="","",IFERROR(MATCH(Z565,INDEX(Boundaries!$B$2:$I$30,MATCH(CK565,Boundaries!$A$2:$A$30,0),0),1)-1,""))</f>
        <v/>
      </c>
      <c r="AB565" s="42" t="str">
        <f aca="false">IF(OR(AA565="",$E565=""),"",AA565-$E565)</f>
        <v/>
      </c>
      <c r="AC565" s="39"/>
      <c r="AD565" s="40" t="str">
        <f aca="false">IF(OR(AC565="",BX565=""),"",AC565/BX565*100)</f>
        <v/>
      </c>
      <c r="AE565" s="41" t="str">
        <f aca="false">IF(AD565="","",IFERROR(MATCH(AD565,INDEX(Boundaries!$B$2:$I$30,MATCH(CL565,Boundaries!$A$2:$A$30,0),0),1)-1,""))</f>
        <v/>
      </c>
      <c r="AF565" s="42" t="str">
        <f aca="false">IF(OR(AE565="",$E565=""),"",AE565-$E565)</f>
        <v/>
      </c>
      <c r="AG565" s="39"/>
      <c r="AH565" s="40" t="str">
        <f aca="false">IF(OR(AG565="",BY565=""),"",AG565/BY565*100)</f>
        <v/>
      </c>
      <c r="AI565" s="41" t="str">
        <f aca="false">IF(AH565="","",IFERROR(MATCH(AH565,INDEX(Boundaries!$B$2:$I$30,MATCH(CM565,Boundaries!$A$2:$A$30,0),0),1)-1,""))</f>
        <v/>
      </c>
      <c r="AJ565" s="42" t="str">
        <f aca="false">IF(OR(AI565="",$E565=""),"",AI565-$E565)</f>
        <v/>
      </c>
      <c r="AK565" s="39"/>
      <c r="AL565" s="40" t="str">
        <f aca="false">IF(OR(AK565="",BZ565=""),"",AK565/BZ565*100)</f>
        <v/>
      </c>
      <c r="AM565" s="41" t="str">
        <f aca="false">IF(AL565="","",IFERROR(MATCH(AL565,INDEX(Boundaries!$B$2:$I$30,MATCH(CN565,Boundaries!$A$2:$A$30,0),0),1)-1,""))</f>
        <v/>
      </c>
      <c r="AN565" s="42" t="str">
        <f aca="false">IF(OR(AM565="",$E565=""),"",AM565-$E565)</f>
        <v/>
      </c>
      <c r="AO565" s="39"/>
      <c r="AP565" s="40" t="str">
        <f aca="false">IF(OR(AO565="",CA565=""),"",AO565/CA565*100)</f>
        <v/>
      </c>
      <c r="AQ565" s="41" t="str">
        <f aca="false">IF(AP565="","",IFERROR(MATCH(AP565,INDEX(Boundaries!$B$2:$I$30,MATCH(CO565,Boundaries!$A$2:$A$30,0),0),1)-1,""))</f>
        <v/>
      </c>
      <c r="AR565" s="42" t="str">
        <f aca="false">IF(OR(AQ565="",$E565=""),"",AQ565-$E565)</f>
        <v/>
      </c>
      <c r="AS565" s="39"/>
      <c r="AT565" s="40" t="str">
        <f aca="false">IF(OR(AS565="",CB565=""),"",AS565/CB565*100)</f>
        <v/>
      </c>
      <c r="AU565" s="41" t="str">
        <f aca="false">IF(AT565="","",IFERROR(MATCH(AT565,INDEX(Boundaries!$B$2:$I$30,MATCH(CP565,Boundaries!$A$2:$A$30,0),0),1)-1,""))</f>
        <v/>
      </c>
      <c r="AV565" s="42" t="str">
        <f aca="false">IF(OR(AU565="",$E565=""),"",AU565-$E565)</f>
        <v/>
      </c>
      <c r="AW565" s="39"/>
      <c r="AX565" s="40" t="str">
        <f aca="false">IF(OR(AW565="",CC565=""),"",AW565/CC565*100)</f>
        <v/>
      </c>
      <c r="AY565" s="41" t="str">
        <f aca="false">IF(AX565="","",IFERROR(MATCH(AX565,INDEX(Boundaries!$B$2:$I$30,MATCH(CQ565,Boundaries!$A$2:$A$30,0),0),1)-1,""))</f>
        <v/>
      </c>
      <c r="AZ565" s="42" t="str">
        <f aca="false">IF(OR(AY565="",$E565=""),"",AY565-$E565)</f>
        <v/>
      </c>
      <c r="BA565" s="39"/>
      <c r="BB565" s="40" t="str">
        <f aca="false">IF(OR(BA565="",CD565=""),"",BA565/CD565*100)</f>
        <v/>
      </c>
      <c r="BC565" s="41" t="str">
        <f aca="false">IF(BB565="","",IFERROR(MATCH(BB565,INDEX(Boundaries!$B$2:$I$30,MATCH(CR565,Boundaries!$A$2:$A$30,0),0),1)-1,""))</f>
        <v/>
      </c>
      <c r="BD565" s="42" t="str">
        <f aca="false">IF(OR(BC565="",$E565=""),"",BC565-$E565)</f>
        <v/>
      </c>
      <c r="BE565" s="39"/>
      <c r="BF565" s="40" t="str">
        <f aca="false">IF(OR(BE565="",CE565=""),"",BE565/CE565*100)</f>
        <v/>
      </c>
      <c r="BG565" s="41" t="str">
        <f aca="false">IF(BF565="","",IFERROR(MATCH(BF565,INDEX(Boundaries!$B$2:$I$30,MATCH(CS565,Boundaries!$A$2:$A$30,0),0),1)-1,""))</f>
        <v/>
      </c>
      <c r="BH565" s="42" t="str">
        <f aca="false">IF(OR(BG565="",$E565=""),"",BG565-$E565)</f>
        <v/>
      </c>
      <c r="BI565" s="39"/>
      <c r="BJ565" s="40" t="str">
        <f aca="false">IF(OR(BI565="",CF565=""),"",BI565/CF565*100)</f>
        <v/>
      </c>
      <c r="BK565" s="41" t="str">
        <f aca="false">IF(BJ565="","",IFERROR(MATCH(BJ565,INDEX(Boundaries!$B$2:$I$30,MATCH(CT565,Boundaries!$A$2:$A$30,0),0),1)-1,""))</f>
        <v/>
      </c>
      <c r="BL565" s="42" t="str">
        <f aca="false">IF(OR(BK565="",$E565=""),"",BK565-$E565)</f>
        <v/>
      </c>
      <c r="BM565" s="39"/>
      <c r="BN565" s="40" t="str">
        <f aca="false">IF(OR(BM565="",CG565=""),"",BM565/CG565*100)</f>
        <v/>
      </c>
      <c r="BO565" s="41" t="str">
        <f aca="false">IF(BN565="","",IFERROR(MATCH(BN565,INDEX(Boundaries!$B$2:$I$30,MATCH(CU565,Boundaries!$A$2:$A$30,0),0),1)-1,""))</f>
        <v/>
      </c>
      <c r="BP565" s="42" t="str">
        <f aca="false">IF(OR(BO565="",$E565=""),"",BO565-$E565)</f>
        <v/>
      </c>
      <c r="BQ565" s="39"/>
      <c r="BR565" s="40" t="str">
        <f aca="false">IF(OR(BQ565="",CH565=""),"",BQ565/CH565*100)</f>
        <v/>
      </c>
      <c r="BS565" s="41" t="str">
        <f aca="false">IF(BR565="","",IFERROR(MATCH(BR565,INDEX(Boundaries!$B$2:$I$30,MATCH(CV565,Boundaries!$A$2:$A$30,0),0),1)-1,""))</f>
        <v/>
      </c>
      <c r="BT565" s="42" t="str">
        <f aca="false">IF(OR(BS565="",$E565=""),"",BS565-$E565)</f>
        <v/>
      </c>
      <c r="BU565" s="28" t="str">
        <f aca="false">IFERROR(INDEX(Assessments!$H$2:$H$600,MATCH($H565&amp;"|"&amp;$I565&amp;"|"&amp;$J565&amp;"|"&amp;1,Assessments!$A$2:$A$600,0)),"")</f>
        <v/>
      </c>
      <c r="BV565" s="28" t="str">
        <f aca="false">IFERROR(INDEX(Assessments!$H$2:$H$600,MATCH($H565&amp;"|"&amp;$I565&amp;"|"&amp;$J565&amp;"|"&amp;2,Assessments!$A$2:$A$600,0)),"")</f>
        <v/>
      </c>
      <c r="BW565" s="28" t="str">
        <f aca="false">IFERROR(INDEX(Assessments!$H$2:$H$600,MATCH($H565&amp;"|"&amp;$I565&amp;"|"&amp;$J565&amp;"|"&amp;3,Assessments!$A$2:$A$600,0)),"")</f>
        <v/>
      </c>
      <c r="BX565" s="28" t="str">
        <f aca="false">IFERROR(INDEX(Assessments!$H$2:$H$600,MATCH($H565&amp;"|"&amp;$I565&amp;"|"&amp;$J565&amp;"|"&amp;4,Assessments!$A$2:$A$600,0)),"")</f>
        <v/>
      </c>
      <c r="BY565" s="28" t="str">
        <f aca="false">IFERROR(INDEX(Assessments!$H$2:$H$600,MATCH($H565&amp;"|"&amp;$I565&amp;"|"&amp;$J565&amp;"|"&amp;5,Assessments!$A$2:$A$600,0)),"")</f>
        <v/>
      </c>
      <c r="BZ565" s="28" t="str">
        <f aca="false">IFERROR(INDEX(Assessments!$H$2:$H$600,MATCH($H565&amp;"|"&amp;$I565&amp;"|"&amp;$J565&amp;"|"&amp;6,Assessments!$A$2:$A$600,0)),"")</f>
        <v/>
      </c>
      <c r="CA565" s="28" t="str">
        <f aca="false">IFERROR(INDEX(Assessments!$H$2:$H$600,MATCH($H565&amp;"|"&amp;$I565&amp;"|"&amp;$J565&amp;"|"&amp;7,Assessments!$A$2:$A$600,0)),"")</f>
        <v/>
      </c>
      <c r="CB565" s="28" t="str">
        <f aca="false">IFERROR(INDEX(Assessments!$H$2:$H$600,MATCH($H565&amp;"|"&amp;$I565&amp;"|"&amp;$J565&amp;"|"&amp;8,Assessments!$A$2:$A$600,0)),"")</f>
        <v/>
      </c>
      <c r="CC565" s="28" t="str">
        <f aca="false">IFERROR(INDEX(Assessments!$H$2:$H$600,MATCH($H565&amp;"|"&amp;$I565&amp;"|"&amp;$J565&amp;"|"&amp;9,Assessments!$A$2:$A$600,0)),"")</f>
        <v/>
      </c>
      <c r="CD565" s="28" t="str">
        <f aca="false">IFERROR(INDEX(Assessments!$H$2:$H$600,MATCH($H565&amp;"|"&amp;$I565&amp;"|"&amp;$J565&amp;"|"&amp;10,Assessments!$A$2:$A$600,0)),"")</f>
        <v/>
      </c>
      <c r="CE565" s="28" t="str">
        <f aca="false">IFERROR(INDEX(Assessments!$H$2:$H$600,MATCH($H565&amp;"|"&amp;$I565&amp;"|"&amp;$J565&amp;"|"&amp;11,Assessments!$A$2:$A$600,0)),"")</f>
        <v/>
      </c>
      <c r="CF565" s="28" t="str">
        <f aca="false">IFERROR(INDEX(Assessments!$H$2:$H$600,MATCH($H565&amp;"|"&amp;$I565&amp;"|"&amp;$J565&amp;"|"&amp;12,Assessments!$A$2:$A$600,0)),"")</f>
        <v/>
      </c>
      <c r="CG565" s="28" t="str">
        <f aca="false">IFERROR(INDEX(Assessments!$H$2:$H$600,MATCH($H565&amp;"|"&amp;$I565&amp;"|"&amp;$J565&amp;"|"&amp;13,Assessments!$A$2:$A$600,0)),"")</f>
        <v/>
      </c>
      <c r="CH565" s="28" t="str">
        <f aca="false">IFERROR(INDEX(Assessments!$H$2:$H$600,MATCH($H565&amp;"|"&amp;$I565&amp;"|"&amp;$J565&amp;"|"&amp;14,Assessments!$A$2:$A$600,0)),"")</f>
        <v/>
      </c>
      <c r="CI565" s="28" t="str">
        <f aca="false">IFERROR(INDEX(Assessments!$I$2:$I$600,MATCH($H565&amp;"|"&amp;$I565&amp;"|"&amp;$J565&amp;"|"&amp;1,Assessments!$A$2:$A$600,0)),"")</f>
        <v/>
      </c>
      <c r="CJ565" s="28" t="str">
        <f aca="false">IFERROR(INDEX(Assessments!$I$2:$I$600,MATCH($H565&amp;"|"&amp;$I565&amp;"|"&amp;$J565&amp;"|"&amp;2,Assessments!$A$2:$A$600,0)),"")</f>
        <v/>
      </c>
      <c r="CK565" s="28" t="str">
        <f aca="false">IFERROR(INDEX(Assessments!$I$2:$I$600,MATCH($H565&amp;"|"&amp;$I565&amp;"|"&amp;$J565&amp;"|"&amp;3,Assessments!$A$2:$A$600,0)),"")</f>
        <v/>
      </c>
      <c r="CL565" s="28" t="str">
        <f aca="false">IFERROR(INDEX(Assessments!$I$2:$I$600,MATCH($H565&amp;"|"&amp;$I565&amp;"|"&amp;$J565&amp;"|"&amp;4,Assessments!$A$2:$A$600,0)),"")</f>
        <v/>
      </c>
      <c r="CM565" s="28" t="str">
        <f aca="false">IFERROR(INDEX(Assessments!$I$2:$I$600,MATCH($H565&amp;"|"&amp;$I565&amp;"|"&amp;$J565&amp;"|"&amp;5,Assessments!$A$2:$A$600,0)),"")</f>
        <v/>
      </c>
      <c r="CN565" s="28" t="str">
        <f aca="false">IFERROR(INDEX(Assessments!$I$2:$I$600,MATCH($H565&amp;"|"&amp;$I565&amp;"|"&amp;$J565&amp;"|"&amp;6,Assessments!$A$2:$A$600,0)),"")</f>
        <v/>
      </c>
      <c r="CO565" s="28" t="str">
        <f aca="false">IFERROR(INDEX(Assessments!$I$2:$I$600,MATCH($H565&amp;"|"&amp;$I565&amp;"|"&amp;$J565&amp;"|"&amp;7,Assessments!$A$2:$A$600,0)),"")</f>
        <v/>
      </c>
      <c r="CP565" s="28" t="str">
        <f aca="false">IFERROR(INDEX(Assessments!$I$2:$I$600,MATCH($H565&amp;"|"&amp;$I565&amp;"|"&amp;$J565&amp;"|"&amp;8,Assessments!$A$2:$A$600,0)),"")</f>
        <v/>
      </c>
      <c r="CQ565" s="28" t="str">
        <f aca="false">IFERROR(INDEX(Assessments!$I$2:$I$600,MATCH($H565&amp;"|"&amp;$I565&amp;"|"&amp;$J565&amp;"|"&amp;9,Assessments!$A$2:$A$600,0)),"")</f>
        <v/>
      </c>
      <c r="CR565" s="28" t="str">
        <f aca="false">IFERROR(INDEX(Assessments!$I$2:$I$600,MATCH($H565&amp;"|"&amp;$I565&amp;"|"&amp;$J565&amp;"|"&amp;10,Assessments!$A$2:$A$600,0)),"")</f>
        <v/>
      </c>
      <c r="CS565" s="28" t="str">
        <f aca="false">IFERROR(INDEX(Assessments!$I$2:$I$600,MATCH($H565&amp;"|"&amp;$I565&amp;"|"&amp;$J565&amp;"|"&amp;11,Assessments!$A$2:$A$600,0)),"")</f>
        <v/>
      </c>
      <c r="CT565" s="28" t="str">
        <f aca="false">IFERROR(INDEX(Assessments!$I$2:$I$600,MATCH($H565&amp;"|"&amp;$I565&amp;"|"&amp;$J565&amp;"|"&amp;12,Assessments!$A$2:$A$600,0)),"")</f>
        <v/>
      </c>
      <c r="CU565" s="28" t="str">
        <f aca="false">IFERROR(INDEX(Assessments!$I$2:$I$600,MATCH($H565&amp;"|"&amp;$I565&amp;"|"&amp;$J565&amp;"|"&amp;13,Assessments!$A$2:$A$600,0)),"")</f>
        <v/>
      </c>
      <c r="CV565" s="28" t="str">
        <f aca="false">IFERROR(INDEX(Assessments!$I$2:$I$600,MATCH($H565&amp;"|"&amp;$I565&amp;"|"&amp;$J565&amp;"|"&amp;14,Assessments!$A$2:$A$600,0)),"")</f>
        <v/>
      </c>
      <c r="CW565" s="28" t="n">
        <f aca="false">IFERROR(INDEX(Assessments!$J$2:$J$600,MATCH($H565&amp;"|"&amp;$I565&amp;"|"&amp;$J565&amp;"|"&amp;1,Assessments!$A$2:$A$600,0)),0)</f>
        <v>0</v>
      </c>
      <c r="CX565" s="28" t="n">
        <f aca="false">IFERROR(INDEX(Assessments!$J$2:$J$600,MATCH($H565&amp;"|"&amp;$I565&amp;"|"&amp;$J565&amp;"|"&amp;2,Assessments!$A$2:$A$600,0)),0)</f>
        <v>0</v>
      </c>
      <c r="CY565" s="28" t="n">
        <f aca="false">IFERROR(INDEX(Assessments!$J$2:$J$600,MATCH($H565&amp;"|"&amp;$I565&amp;"|"&amp;$J565&amp;"|"&amp;3,Assessments!$A$2:$A$600,0)),0)</f>
        <v>0</v>
      </c>
      <c r="CZ565" s="28" t="n">
        <f aca="false">IFERROR(INDEX(Assessments!$J$2:$J$600,MATCH($H565&amp;"|"&amp;$I565&amp;"|"&amp;$J565&amp;"|"&amp;4,Assessments!$A$2:$A$600,0)),0)</f>
        <v>0</v>
      </c>
      <c r="DA565" s="28" t="n">
        <f aca="false">IFERROR(INDEX(Assessments!$J$2:$J$600,MATCH($H565&amp;"|"&amp;$I565&amp;"|"&amp;$J565&amp;"|"&amp;5,Assessments!$A$2:$A$600,0)),0)</f>
        <v>0</v>
      </c>
      <c r="DB565" s="28" t="n">
        <f aca="false">IFERROR(INDEX(Assessments!$J$2:$J$600,MATCH($H565&amp;"|"&amp;$I565&amp;"|"&amp;$J565&amp;"|"&amp;6,Assessments!$A$2:$A$600,0)),0)</f>
        <v>0</v>
      </c>
      <c r="DC565" s="28" t="n">
        <f aca="false">IFERROR(INDEX(Assessments!$J$2:$J$600,MATCH($H565&amp;"|"&amp;$I565&amp;"|"&amp;$J565&amp;"|"&amp;7,Assessments!$A$2:$A$600,0)),0)</f>
        <v>0</v>
      </c>
      <c r="DD565" s="28" t="n">
        <f aca="false">IFERROR(INDEX(Assessments!$J$2:$J$600,MATCH($H565&amp;"|"&amp;$I565&amp;"|"&amp;$J565&amp;"|"&amp;8,Assessments!$A$2:$A$600,0)),0)</f>
        <v>0</v>
      </c>
      <c r="DE565" s="28" t="n">
        <f aca="false">IFERROR(INDEX(Assessments!$J$2:$J$600,MATCH($H565&amp;"|"&amp;$I565&amp;"|"&amp;$J565&amp;"|"&amp;9,Assessments!$A$2:$A$600,0)),0)</f>
        <v>0</v>
      </c>
      <c r="DF565" s="28" t="n">
        <f aca="false">IFERROR(INDEX(Assessments!$J$2:$J$600,MATCH($H565&amp;"|"&amp;$I565&amp;"|"&amp;$J565&amp;"|"&amp;10,Assessments!$A$2:$A$600,0)),0)</f>
        <v>0</v>
      </c>
      <c r="DG565" s="28" t="n">
        <f aca="false">IFERROR(INDEX(Assessments!$J$2:$J$600,MATCH($H565&amp;"|"&amp;$I565&amp;"|"&amp;$J565&amp;"|"&amp;11,Assessments!$A$2:$A$600,0)),0)</f>
        <v>0</v>
      </c>
      <c r="DH565" s="28" t="n">
        <f aca="false">IFERROR(INDEX(Assessments!$J$2:$J$600,MATCH($H565&amp;"|"&amp;$I565&amp;"|"&amp;$J565&amp;"|"&amp;12,Assessments!$A$2:$A$600,0)),0)</f>
        <v>0</v>
      </c>
      <c r="DI565" s="28" t="n">
        <f aca="false">IFERROR(INDEX(Assessments!$J$2:$J$600,MATCH($H565&amp;"|"&amp;$I565&amp;"|"&amp;$J565&amp;"|"&amp;13,Assessments!$A$2:$A$600,0)),0)</f>
        <v>0</v>
      </c>
      <c r="DJ565" s="28" t="n">
        <f aca="false">IFERROR(INDEX(Assessments!$J$2:$J$600,MATCH($H565&amp;"|"&amp;$I565&amp;"|"&amp;$J565&amp;"|"&amp;14,Assessments!$A$2:$A$600,0)),0)</f>
        <v>0</v>
      </c>
      <c r="DK565" s="28" t="str">
        <f aca="false">S565</f>
        <v/>
      </c>
      <c r="DL565" s="28" t="str">
        <f aca="false">W565</f>
        <v/>
      </c>
      <c r="DM565" s="28" t="str">
        <f aca="false">AA565</f>
        <v/>
      </c>
      <c r="DN565" s="28" t="str">
        <f aca="false">AE565</f>
        <v/>
      </c>
      <c r="DO565" s="28" t="str">
        <f aca="false">AI565</f>
        <v/>
      </c>
      <c r="DP565" s="28" t="str">
        <f aca="false">AM565</f>
        <v/>
      </c>
      <c r="DQ565" s="28" t="str">
        <f aca="false">AQ565</f>
        <v/>
      </c>
      <c r="DR565" s="28" t="str">
        <f aca="false">AU565</f>
        <v/>
      </c>
      <c r="DS565" s="28" t="str">
        <f aca="false">AY565</f>
        <v/>
      </c>
      <c r="DT565" s="28" t="str">
        <f aca="false">BC565</f>
        <v/>
      </c>
      <c r="DU565" s="28" t="str">
        <f aca="false">BG565</f>
        <v/>
      </c>
      <c r="DV565" s="28" t="str">
        <f aca="false">BK565</f>
        <v/>
      </c>
      <c r="DW565" s="28" t="str">
        <f aca="false">BO565</f>
        <v/>
      </c>
      <c r="DX565" s="28" t="str">
        <f aca="false">BS565</f>
        <v/>
      </c>
      <c r="DY565" s="28" t="str">
        <f aca="false">IF(ISNUMBER(S565),1,"")</f>
        <v/>
      </c>
      <c r="DZ565" s="28" t="str">
        <f aca="false">IF(ISNUMBER(W565),2,"")</f>
        <v/>
      </c>
      <c r="EA565" s="28" t="str">
        <f aca="false">IF(ISNUMBER(AA565),3,"")</f>
        <v/>
      </c>
      <c r="EB565" s="28" t="str">
        <f aca="false">IF(ISNUMBER(AE565),4,"")</f>
        <v/>
      </c>
      <c r="EC565" s="28" t="str">
        <f aca="false">IF(ISNUMBER(AI565),5,"")</f>
        <v/>
      </c>
      <c r="ED565" s="28" t="str">
        <f aca="false">IF(ISNUMBER(AM565),6,"")</f>
        <v/>
      </c>
      <c r="EE565" s="28" t="str">
        <f aca="false">IF(ISNUMBER(AQ565),7,"")</f>
        <v/>
      </c>
      <c r="EF565" s="28" t="str">
        <f aca="false">IF(ISNUMBER(AU565),8,"")</f>
        <v/>
      </c>
      <c r="EG565" s="28" t="str">
        <f aca="false">IF(ISNUMBER(AY565),9,"")</f>
        <v/>
      </c>
      <c r="EH565" s="28" t="str">
        <f aca="false">IF(ISNUMBER(BC565),10,"")</f>
        <v/>
      </c>
      <c r="EI565" s="28" t="str">
        <f aca="false">IF(ISNUMBER(BG565),11,"")</f>
        <v/>
      </c>
      <c r="EJ565" s="28" t="str">
        <f aca="false">IF(ISNUMBER(BK565),12,"")</f>
        <v/>
      </c>
      <c r="EK565" s="28" t="str">
        <f aca="false">IF(ISNUMBER(BO565),13,"")</f>
        <v/>
      </c>
      <c r="EL565" s="28" t="str">
        <f aca="false">IF(ISNUMBER(BS565),14,"")</f>
        <v/>
      </c>
      <c r="EM565" s="28" t="n">
        <f aca="false">IF(ISNUMBER(R565),R565*CW565,0)</f>
        <v>0</v>
      </c>
      <c r="EN565" s="28" t="n">
        <f aca="false">IF(ISNUMBER(V565),V565*CX565,0)</f>
        <v>0</v>
      </c>
      <c r="EO565" s="28" t="n">
        <f aca="false">IF(ISNUMBER(Z565),Z565*CY565,0)</f>
        <v>0</v>
      </c>
      <c r="EP565" s="28" t="n">
        <f aca="false">IF(ISNUMBER(AD565),AD565*CZ565,0)</f>
        <v>0</v>
      </c>
      <c r="EQ565" s="28" t="n">
        <f aca="false">IF(ISNUMBER(AH565),AH565*DA565,0)</f>
        <v>0</v>
      </c>
      <c r="ER565" s="28" t="n">
        <f aca="false">IF(ISNUMBER(AL565),AL565*DB565,0)</f>
        <v>0</v>
      </c>
      <c r="ES565" s="28" t="n">
        <f aca="false">IF(ISNUMBER(AP565),AP565*DC565,0)</f>
        <v>0</v>
      </c>
      <c r="ET565" s="28" t="n">
        <f aca="false">IF(ISNUMBER(AT565),AT565*DD565,0)</f>
        <v>0</v>
      </c>
      <c r="EU565" s="28" t="n">
        <f aca="false">IF(ISNUMBER(AX565),AX565*DE565,0)</f>
        <v>0</v>
      </c>
      <c r="EV565" s="28" t="n">
        <f aca="false">IF(ISNUMBER(BB565),BB565*DF565,0)</f>
        <v>0</v>
      </c>
      <c r="EW565" s="28" t="n">
        <f aca="false">IF(ISNUMBER(BF565),BF565*DG565,0)</f>
        <v>0</v>
      </c>
      <c r="EX565" s="28" t="n">
        <f aca="false">IF(ISNUMBER(BJ565),BJ565*DH565,0)</f>
        <v>0</v>
      </c>
      <c r="EY565" s="28" t="n">
        <f aca="false">IF(ISNUMBER(BN565),BN565*DI565,0)</f>
        <v>0</v>
      </c>
      <c r="EZ565" s="28" t="n">
        <f aca="false">IF(ISNUMBER(BR565),BR565*DJ565,0)</f>
        <v>0</v>
      </c>
      <c r="FA565" s="28" t="n">
        <f aca="false">IF(ISNUMBER(R565),CW565,0)</f>
        <v>0</v>
      </c>
      <c r="FB565" s="28" t="n">
        <f aca="false">IF(ISNUMBER(V565),CX565,0)</f>
        <v>0</v>
      </c>
      <c r="FC565" s="28" t="n">
        <f aca="false">IF(ISNUMBER(Z565),CY565,0)</f>
        <v>0</v>
      </c>
      <c r="FD565" s="28" t="n">
        <f aca="false">IF(ISNUMBER(AD565),CZ565,0)</f>
        <v>0</v>
      </c>
      <c r="FE565" s="28" t="n">
        <f aca="false">IF(ISNUMBER(AH565),DA565,0)</f>
        <v>0</v>
      </c>
      <c r="FF565" s="28" t="n">
        <f aca="false">IF(ISNUMBER(AL565),DB565,0)</f>
        <v>0</v>
      </c>
      <c r="FG565" s="28" t="n">
        <f aca="false">IF(ISNUMBER(AP565),DC565,0)</f>
        <v>0</v>
      </c>
      <c r="FH565" s="28" t="n">
        <f aca="false">IF(ISNUMBER(AT565),DD565,0)</f>
        <v>0</v>
      </c>
      <c r="FI565" s="28" t="n">
        <f aca="false">IF(ISNUMBER(AX565),DE565,0)</f>
        <v>0</v>
      </c>
      <c r="FJ565" s="28" t="n">
        <f aca="false">IF(ISNUMBER(BB565),DF565,0)</f>
        <v>0</v>
      </c>
      <c r="FK565" s="28" t="n">
        <f aca="false">IF(ISNUMBER(BF565),DG565,0)</f>
        <v>0</v>
      </c>
      <c r="FL565" s="28" t="n">
        <f aca="false">IF(ISNUMBER(BJ565),DH565,0)</f>
        <v>0</v>
      </c>
      <c r="FM565" s="28" t="n">
        <f aca="false">IF(ISNUMBER(BN565),DI565,0)</f>
        <v>0</v>
      </c>
      <c r="FN565" s="28" t="n">
        <f aca="false">IF(ISNUMBER(BR565),DJ565,0)</f>
        <v>0</v>
      </c>
      <c r="FO565" s="28" t="str">
        <f aca="false">IFERROR(INDEX(Lists!$G$2:$G$20,MATCH($I565&amp;"|"&amp;$J565,Lists!$F$2:$F$20,0)),"")</f>
        <v/>
      </c>
    </row>
    <row r="566" customFormat="false" ht="19.5" hidden="false" customHeight="true" outlineLevel="0" collapsed="false">
      <c r="A566" s="29"/>
      <c r="B566" s="29"/>
      <c r="C566" s="30"/>
      <c r="D566" s="30"/>
      <c r="E566" s="31"/>
      <c r="F566" s="30"/>
      <c r="G566" s="30"/>
      <c r="H566" s="32"/>
      <c r="I566" s="33"/>
      <c r="J566" s="32"/>
      <c r="K566" s="34" t="str">
        <f aca="false">IF(OR(M566="",$E566=""),"",M566-$E566)</f>
        <v/>
      </c>
      <c r="L566" s="35" t="str">
        <f aca="false">IF(SUM(FA566:FN566)=0,"",SUM(EM566:EZ566)/SUM(FA566:FN566))</f>
        <v/>
      </c>
      <c r="M566" s="36" t="str">
        <f aca="false">IF(OR(L566="",FO566=""),"",IFERROR(MATCH(L566,INDEX(Boundaries!$B$2:$I$30,MATCH(FO566,Boundaries!$A$2:$A$30,0),0),1)-1,""))</f>
        <v/>
      </c>
      <c r="N566" s="37" t="str">
        <f aca="false">IF(COUNT($DY566:$EL566)&lt;2,"",INDEX($DK566:$DX566,MAX($DY566:$EL566))-INDEX($DK566:$DX566,MIN($DY566:$EL566)))</f>
        <v/>
      </c>
      <c r="O566" s="37" t="str">
        <f aca="false">IF(COUNT($DY566:$EL566)&lt;2,"",INDEX($DK566:$DX566,MAX($DY566:$EL566))-INDEX($DK566:$DX566,LARGE($DY566:$EL566,2)))</f>
        <v/>
      </c>
      <c r="P566" s="38" t="str">
        <f aca="false">IF(K566="","",IF(K566&gt;=0,"On/above target",IF(AND(N566&lt;&gt;"",N566&gt;=0.5),"Improving towards target",IF(AND(O566&lt;&gt;"",O566&lt;=-0.5),"Declining","Stable below target"))))</f>
        <v/>
      </c>
      <c r="Q566" s="39"/>
      <c r="R566" s="40" t="str">
        <f aca="false">IF(OR(Q566="",BU566=""),"",Q566/BU566*100)</f>
        <v/>
      </c>
      <c r="S566" s="41" t="str">
        <f aca="false">IF(R566="","",IFERROR(MATCH(R566,INDEX(Boundaries!$B$2:$I$30,MATCH(CI566,Boundaries!$A$2:$A$30,0),0),1)-1,""))</f>
        <v/>
      </c>
      <c r="T566" s="42" t="str">
        <f aca="false">IF(OR(S566="",$E566=""),"",S566-$E566)</f>
        <v/>
      </c>
      <c r="U566" s="39"/>
      <c r="V566" s="40" t="str">
        <f aca="false">IF(OR(U566="",BV566=""),"",U566/BV566*100)</f>
        <v/>
      </c>
      <c r="W566" s="41" t="str">
        <f aca="false">IF(V566="","",IFERROR(MATCH(V566,INDEX(Boundaries!$B$2:$I$30,MATCH(CJ566,Boundaries!$A$2:$A$30,0),0),1)-1,""))</f>
        <v/>
      </c>
      <c r="X566" s="42" t="str">
        <f aca="false">IF(OR(W566="",$E566=""),"",W566-$E566)</f>
        <v/>
      </c>
      <c r="Y566" s="39"/>
      <c r="Z566" s="40" t="str">
        <f aca="false">IF(OR(Y566="",BW566=""),"",Y566/BW566*100)</f>
        <v/>
      </c>
      <c r="AA566" s="41" t="str">
        <f aca="false">IF(Z566="","",IFERROR(MATCH(Z566,INDEX(Boundaries!$B$2:$I$30,MATCH(CK566,Boundaries!$A$2:$A$30,0),0),1)-1,""))</f>
        <v/>
      </c>
      <c r="AB566" s="42" t="str">
        <f aca="false">IF(OR(AA566="",$E566=""),"",AA566-$E566)</f>
        <v/>
      </c>
      <c r="AC566" s="39"/>
      <c r="AD566" s="40" t="str">
        <f aca="false">IF(OR(AC566="",BX566=""),"",AC566/BX566*100)</f>
        <v/>
      </c>
      <c r="AE566" s="41" t="str">
        <f aca="false">IF(AD566="","",IFERROR(MATCH(AD566,INDEX(Boundaries!$B$2:$I$30,MATCH(CL566,Boundaries!$A$2:$A$30,0),0),1)-1,""))</f>
        <v/>
      </c>
      <c r="AF566" s="42" t="str">
        <f aca="false">IF(OR(AE566="",$E566=""),"",AE566-$E566)</f>
        <v/>
      </c>
      <c r="AG566" s="39"/>
      <c r="AH566" s="40" t="str">
        <f aca="false">IF(OR(AG566="",BY566=""),"",AG566/BY566*100)</f>
        <v/>
      </c>
      <c r="AI566" s="41" t="str">
        <f aca="false">IF(AH566="","",IFERROR(MATCH(AH566,INDEX(Boundaries!$B$2:$I$30,MATCH(CM566,Boundaries!$A$2:$A$30,0),0),1)-1,""))</f>
        <v/>
      </c>
      <c r="AJ566" s="42" t="str">
        <f aca="false">IF(OR(AI566="",$E566=""),"",AI566-$E566)</f>
        <v/>
      </c>
      <c r="AK566" s="39"/>
      <c r="AL566" s="40" t="str">
        <f aca="false">IF(OR(AK566="",BZ566=""),"",AK566/BZ566*100)</f>
        <v/>
      </c>
      <c r="AM566" s="41" t="str">
        <f aca="false">IF(AL566="","",IFERROR(MATCH(AL566,INDEX(Boundaries!$B$2:$I$30,MATCH(CN566,Boundaries!$A$2:$A$30,0),0),1)-1,""))</f>
        <v/>
      </c>
      <c r="AN566" s="42" t="str">
        <f aca="false">IF(OR(AM566="",$E566=""),"",AM566-$E566)</f>
        <v/>
      </c>
      <c r="AO566" s="39"/>
      <c r="AP566" s="40" t="str">
        <f aca="false">IF(OR(AO566="",CA566=""),"",AO566/CA566*100)</f>
        <v/>
      </c>
      <c r="AQ566" s="41" t="str">
        <f aca="false">IF(AP566="","",IFERROR(MATCH(AP566,INDEX(Boundaries!$B$2:$I$30,MATCH(CO566,Boundaries!$A$2:$A$30,0),0),1)-1,""))</f>
        <v/>
      </c>
      <c r="AR566" s="42" t="str">
        <f aca="false">IF(OR(AQ566="",$E566=""),"",AQ566-$E566)</f>
        <v/>
      </c>
      <c r="AS566" s="39"/>
      <c r="AT566" s="40" t="str">
        <f aca="false">IF(OR(AS566="",CB566=""),"",AS566/CB566*100)</f>
        <v/>
      </c>
      <c r="AU566" s="41" t="str">
        <f aca="false">IF(AT566="","",IFERROR(MATCH(AT566,INDEX(Boundaries!$B$2:$I$30,MATCH(CP566,Boundaries!$A$2:$A$30,0),0),1)-1,""))</f>
        <v/>
      </c>
      <c r="AV566" s="42" t="str">
        <f aca="false">IF(OR(AU566="",$E566=""),"",AU566-$E566)</f>
        <v/>
      </c>
      <c r="AW566" s="39"/>
      <c r="AX566" s="40" t="str">
        <f aca="false">IF(OR(AW566="",CC566=""),"",AW566/CC566*100)</f>
        <v/>
      </c>
      <c r="AY566" s="41" t="str">
        <f aca="false">IF(AX566="","",IFERROR(MATCH(AX566,INDEX(Boundaries!$B$2:$I$30,MATCH(CQ566,Boundaries!$A$2:$A$30,0),0),1)-1,""))</f>
        <v/>
      </c>
      <c r="AZ566" s="42" t="str">
        <f aca="false">IF(OR(AY566="",$E566=""),"",AY566-$E566)</f>
        <v/>
      </c>
      <c r="BA566" s="39"/>
      <c r="BB566" s="40" t="str">
        <f aca="false">IF(OR(BA566="",CD566=""),"",BA566/CD566*100)</f>
        <v/>
      </c>
      <c r="BC566" s="41" t="str">
        <f aca="false">IF(BB566="","",IFERROR(MATCH(BB566,INDEX(Boundaries!$B$2:$I$30,MATCH(CR566,Boundaries!$A$2:$A$30,0),0),1)-1,""))</f>
        <v/>
      </c>
      <c r="BD566" s="42" t="str">
        <f aca="false">IF(OR(BC566="",$E566=""),"",BC566-$E566)</f>
        <v/>
      </c>
      <c r="BE566" s="39"/>
      <c r="BF566" s="40" t="str">
        <f aca="false">IF(OR(BE566="",CE566=""),"",BE566/CE566*100)</f>
        <v/>
      </c>
      <c r="BG566" s="41" t="str">
        <f aca="false">IF(BF566="","",IFERROR(MATCH(BF566,INDEX(Boundaries!$B$2:$I$30,MATCH(CS566,Boundaries!$A$2:$A$30,0),0),1)-1,""))</f>
        <v/>
      </c>
      <c r="BH566" s="42" t="str">
        <f aca="false">IF(OR(BG566="",$E566=""),"",BG566-$E566)</f>
        <v/>
      </c>
      <c r="BI566" s="39"/>
      <c r="BJ566" s="40" t="str">
        <f aca="false">IF(OR(BI566="",CF566=""),"",BI566/CF566*100)</f>
        <v/>
      </c>
      <c r="BK566" s="41" t="str">
        <f aca="false">IF(BJ566="","",IFERROR(MATCH(BJ566,INDEX(Boundaries!$B$2:$I$30,MATCH(CT566,Boundaries!$A$2:$A$30,0),0),1)-1,""))</f>
        <v/>
      </c>
      <c r="BL566" s="42" t="str">
        <f aca="false">IF(OR(BK566="",$E566=""),"",BK566-$E566)</f>
        <v/>
      </c>
      <c r="BM566" s="39"/>
      <c r="BN566" s="40" t="str">
        <f aca="false">IF(OR(BM566="",CG566=""),"",BM566/CG566*100)</f>
        <v/>
      </c>
      <c r="BO566" s="41" t="str">
        <f aca="false">IF(BN566="","",IFERROR(MATCH(BN566,INDEX(Boundaries!$B$2:$I$30,MATCH(CU566,Boundaries!$A$2:$A$30,0),0),1)-1,""))</f>
        <v/>
      </c>
      <c r="BP566" s="42" t="str">
        <f aca="false">IF(OR(BO566="",$E566=""),"",BO566-$E566)</f>
        <v/>
      </c>
      <c r="BQ566" s="39"/>
      <c r="BR566" s="40" t="str">
        <f aca="false">IF(OR(BQ566="",CH566=""),"",BQ566/CH566*100)</f>
        <v/>
      </c>
      <c r="BS566" s="41" t="str">
        <f aca="false">IF(BR566="","",IFERROR(MATCH(BR566,INDEX(Boundaries!$B$2:$I$30,MATCH(CV566,Boundaries!$A$2:$A$30,0),0),1)-1,""))</f>
        <v/>
      </c>
      <c r="BT566" s="42" t="str">
        <f aca="false">IF(OR(BS566="",$E566=""),"",BS566-$E566)</f>
        <v/>
      </c>
      <c r="BU566" s="28" t="str">
        <f aca="false">IFERROR(INDEX(Assessments!$H$2:$H$600,MATCH($H566&amp;"|"&amp;$I566&amp;"|"&amp;$J566&amp;"|"&amp;1,Assessments!$A$2:$A$600,0)),"")</f>
        <v/>
      </c>
      <c r="BV566" s="28" t="str">
        <f aca="false">IFERROR(INDEX(Assessments!$H$2:$H$600,MATCH($H566&amp;"|"&amp;$I566&amp;"|"&amp;$J566&amp;"|"&amp;2,Assessments!$A$2:$A$600,0)),"")</f>
        <v/>
      </c>
      <c r="BW566" s="28" t="str">
        <f aca="false">IFERROR(INDEX(Assessments!$H$2:$H$600,MATCH($H566&amp;"|"&amp;$I566&amp;"|"&amp;$J566&amp;"|"&amp;3,Assessments!$A$2:$A$600,0)),"")</f>
        <v/>
      </c>
      <c r="BX566" s="28" t="str">
        <f aca="false">IFERROR(INDEX(Assessments!$H$2:$H$600,MATCH($H566&amp;"|"&amp;$I566&amp;"|"&amp;$J566&amp;"|"&amp;4,Assessments!$A$2:$A$600,0)),"")</f>
        <v/>
      </c>
      <c r="BY566" s="28" t="str">
        <f aca="false">IFERROR(INDEX(Assessments!$H$2:$H$600,MATCH($H566&amp;"|"&amp;$I566&amp;"|"&amp;$J566&amp;"|"&amp;5,Assessments!$A$2:$A$600,0)),"")</f>
        <v/>
      </c>
      <c r="BZ566" s="28" t="str">
        <f aca="false">IFERROR(INDEX(Assessments!$H$2:$H$600,MATCH($H566&amp;"|"&amp;$I566&amp;"|"&amp;$J566&amp;"|"&amp;6,Assessments!$A$2:$A$600,0)),"")</f>
        <v/>
      </c>
      <c r="CA566" s="28" t="str">
        <f aca="false">IFERROR(INDEX(Assessments!$H$2:$H$600,MATCH($H566&amp;"|"&amp;$I566&amp;"|"&amp;$J566&amp;"|"&amp;7,Assessments!$A$2:$A$600,0)),"")</f>
        <v/>
      </c>
      <c r="CB566" s="28" t="str">
        <f aca="false">IFERROR(INDEX(Assessments!$H$2:$H$600,MATCH($H566&amp;"|"&amp;$I566&amp;"|"&amp;$J566&amp;"|"&amp;8,Assessments!$A$2:$A$600,0)),"")</f>
        <v/>
      </c>
      <c r="CC566" s="28" t="str">
        <f aca="false">IFERROR(INDEX(Assessments!$H$2:$H$600,MATCH($H566&amp;"|"&amp;$I566&amp;"|"&amp;$J566&amp;"|"&amp;9,Assessments!$A$2:$A$600,0)),"")</f>
        <v/>
      </c>
      <c r="CD566" s="28" t="str">
        <f aca="false">IFERROR(INDEX(Assessments!$H$2:$H$600,MATCH($H566&amp;"|"&amp;$I566&amp;"|"&amp;$J566&amp;"|"&amp;10,Assessments!$A$2:$A$600,0)),"")</f>
        <v/>
      </c>
      <c r="CE566" s="28" t="str">
        <f aca="false">IFERROR(INDEX(Assessments!$H$2:$H$600,MATCH($H566&amp;"|"&amp;$I566&amp;"|"&amp;$J566&amp;"|"&amp;11,Assessments!$A$2:$A$600,0)),"")</f>
        <v/>
      </c>
      <c r="CF566" s="28" t="str">
        <f aca="false">IFERROR(INDEX(Assessments!$H$2:$H$600,MATCH($H566&amp;"|"&amp;$I566&amp;"|"&amp;$J566&amp;"|"&amp;12,Assessments!$A$2:$A$600,0)),"")</f>
        <v/>
      </c>
      <c r="CG566" s="28" t="str">
        <f aca="false">IFERROR(INDEX(Assessments!$H$2:$H$600,MATCH($H566&amp;"|"&amp;$I566&amp;"|"&amp;$J566&amp;"|"&amp;13,Assessments!$A$2:$A$600,0)),"")</f>
        <v/>
      </c>
      <c r="CH566" s="28" t="str">
        <f aca="false">IFERROR(INDEX(Assessments!$H$2:$H$600,MATCH($H566&amp;"|"&amp;$I566&amp;"|"&amp;$J566&amp;"|"&amp;14,Assessments!$A$2:$A$600,0)),"")</f>
        <v/>
      </c>
      <c r="CI566" s="28" t="str">
        <f aca="false">IFERROR(INDEX(Assessments!$I$2:$I$600,MATCH($H566&amp;"|"&amp;$I566&amp;"|"&amp;$J566&amp;"|"&amp;1,Assessments!$A$2:$A$600,0)),"")</f>
        <v/>
      </c>
      <c r="CJ566" s="28" t="str">
        <f aca="false">IFERROR(INDEX(Assessments!$I$2:$I$600,MATCH($H566&amp;"|"&amp;$I566&amp;"|"&amp;$J566&amp;"|"&amp;2,Assessments!$A$2:$A$600,0)),"")</f>
        <v/>
      </c>
      <c r="CK566" s="28" t="str">
        <f aca="false">IFERROR(INDEX(Assessments!$I$2:$I$600,MATCH($H566&amp;"|"&amp;$I566&amp;"|"&amp;$J566&amp;"|"&amp;3,Assessments!$A$2:$A$600,0)),"")</f>
        <v/>
      </c>
      <c r="CL566" s="28" t="str">
        <f aca="false">IFERROR(INDEX(Assessments!$I$2:$I$600,MATCH($H566&amp;"|"&amp;$I566&amp;"|"&amp;$J566&amp;"|"&amp;4,Assessments!$A$2:$A$600,0)),"")</f>
        <v/>
      </c>
      <c r="CM566" s="28" t="str">
        <f aca="false">IFERROR(INDEX(Assessments!$I$2:$I$600,MATCH($H566&amp;"|"&amp;$I566&amp;"|"&amp;$J566&amp;"|"&amp;5,Assessments!$A$2:$A$600,0)),"")</f>
        <v/>
      </c>
      <c r="CN566" s="28" t="str">
        <f aca="false">IFERROR(INDEX(Assessments!$I$2:$I$600,MATCH($H566&amp;"|"&amp;$I566&amp;"|"&amp;$J566&amp;"|"&amp;6,Assessments!$A$2:$A$600,0)),"")</f>
        <v/>
      </c>
      <c r="CO566" s="28" t="str">
        <f aca="false">IFERROR(INDEX(Assessments!$I$2:$I$600,MATCH($H566&amp;"|"&amp;$I566&amp;"|"&amp;$J566&amp;"|"&amp;7,Assessments!$A$2:$A$600,0)),"")</f>
        <v/>
      </c>
      <c r="CP566" s="28" t="str">
        <f aca="false">IFERROR(INDEX(Assessments!$I$2:$I$600,MATCH($H566&amp;"|"&amp;$I566&amp;"|"&amp;$J566&amp;"|"&amp;8,Assessments!$A$2:$A$600,0)),"")</f>
        <v/>
      </c>
      <c r="CQ566" s="28" t="str">
        <f aca="false">IFERROR(INDEX(Assessments!$I$2:$I$600,MATCH($H566&amp;"|"&amp;$I566&amp;"|"&amp;$J566&amp;"|"&amp;9,Assessments!$A$2:$A$600,0)),"")</f>
        <v/>
      </c>
      <c r="CR566" s="28" t="str">
        <f aca="false">IFERROR(INDEX(Assessments!$I$2:$I$600,MATCH($H566&amp;"|"&amp;$I566&amp;"|"&amp;$J566&amp;"|"&amp;10,Assessments!$A$2:$A$600,0)),"")</f>
        <v/>
      </c>
      <c r="CS566" s="28" t="str">
        <f aca="false">IFERROR(INDEX(Assessments!$I$2:$I$600,MATCH($H566&amp;"|"&amp;$I566&amp;"|"&amp;$J566&amp;"|"&amp;11,Assessments!$A$2:$A$600,0)),"")</f>
        <v/>
      </c>
      <c r="CT566" s="28" t="str">
        <f aca="false">IFERROR(INDEX(Assessments!$I$2:$I$600,MATCH($H566&amp;"|"&amp;$I566&amp;"|"&amp;$J566&amp;"|"&amp;12,Assessments!$A$2:$A$600,0)),"")</f>
        <v/>
      </c>
      <c r="CU566" s="28" t="str">
        <f aca="false">IFERROR(INDEX(Assessments!$I$2:$I$600,MATCH($H566&amp;"|"&amp;$I566&amp;"|"&amp;$J566&amp;"|"&amp;13,Assessments!$A$2:$A$600,0)),"")</f>
        <v/>
      </c>
      <c r="CV566" s="28" t="str">
        <f aca="false">IFERROR(INDEX(Assessments!$I$2:$I$600,MATCH($H566&amp;"|"&amp;$I566&amp;"|"&amp;$J566&amp;"|"&amp;14,Assessments!$A$2:$A$600,0)),"")</f>
        <v/>
      </c>
      <c r="CW566" s="28" t="n">
        <f aca="false">IFERROR(INDEX(Assessments!$J$2:$J$600,MATCH($H566&amp;"|"&amp;$I566&amp;"|"&amp;$J566&amp;"|"&amp;1,Assessments!$A$2:$A$600,0)),0)</f>
        <v>0</v>
      </c>
      <c r="CX566" s="28" t="n">
        <f aca="false">IFERROR(INDEX(Assessments!$J$2:$J$600,MATCH($H566&amp;"|"&amp;$I566&amp;"|"&amp;$J566&amp;"|"&amp;2,Assessments!$A$2:$A$600,0)),0)</f>
        <v>0</v>
      </c>
      <c r="CY566" s="28" t="n">
        <f aca="false">IFERROR(INDEX(Assessments!$J$2:$J$600,MATCH($H566&amp;"|"&amp;$I566&amp;"|"&amp;$J566&amp;"|"&amp;3,Assessments!$A$2:$A$600,0)),0)</f>
        <v>0</v>
      </c>
      <c r="CZ566" s="28" t="n">
        <f aca="false">IFERROR(INDEX(Assessments!$J$2:$J$600,MATCH($H566&amp;"|"&amp;$I566&amp;"|"&amp;$J566&amp;"|"&amp;4,Assessments!$A$2:$A$600,0)),0)</f>
        <v>0</v>
      </c>
      <c r="DA566" s="28" t="n">
        <f aca="false">IFERROR(INDEX(Assessments!$J$2:$J$600,MATCH($H566&amp;"|"&amp;$I566&amp;"|"&amp;$J566&amp;"|"&amp;5,Assessments!$A$2:$A$600,0)),0)</f>
        <v>0</v>
      </c>
      <c r="DB566" s="28" t="n">
        <f aca="false">IFERROR(INDEX(Assessments!$J$2:$J$600,MATCH($H566&amp;"|"&amp;$I566&amp;"|"&amp;$J566&amp;"|"&amp;6,Assessments!$A$2:$A$600,0)),0)</f>
        <v>0</v>
      </c>
      <c r="DC566" s="28" t="n">
        <f aca="false">IFERROR(INDEX(Assessments!$J$2:$J$600,MATCH($H566&amp;"|"&amp;$I566&amp;"|"&amp;$J566&amp;"|"&amp;7,Assessments!$A$2:$A$600,0)),0)</f>
        <v>0</v>
      </c>
      <c r="DD566" s="28" t="n">
        <f aca="false">IFERROR(INDEX(Assessments!$J$2:$J$600,MATCH($H566&amp;"|"&amp;$I566&amp;"|"&amp;$J566&amp;"|"&amp;8,Assessments!$A$2:$A$600,0)),0)</f>
        <v>0</v>
      </c>
      <c r="DE566" s="28" t="n">
        <f aca="false">IFERROR(INDEX(Assessments!$J$2:$J$600,MATCH($H566&amp;"|"&amp;$I566&amp;"|"&amp;$J566&amp;"|"&amp;9,Assessments!$A$2:$A$600,0)),0)</f>
        <v>0</v>
      </c>
      <c r="DF566" s="28" t="n">
        <f aca="false">IFERROR(INDEX(Assessments!$J$2:$J$600,MATCH($H566&amp;"|"&amp;$I566&amp;"|"&amp;$J566&amp;"|"&amp;10,Assessments!$A$2:$A$600,0)),0)</f>
        <v>0</v>
      </c>
      <c r="DG566" s="28" t="n">
        <f aca="false">IFERROR(INDEX(Assessments!$J$2:$J$600,MATCH($H566&amp;"|"&amp;$I566&amp;"|"&amp;$J566&amp;"|"&amp;11,Assessments!$A$2:$A$600,0)),0)</f>
        <v>0</v>
      </c>
      <c r="DH566" s="28" t="n">
        <f aca="false">IFERROR(INDEX(Assessments!$J$2:$J$600,MATCH($H566&amp;"|"&amp;$I566&amp;"|"&amp;$J566&amp;"|"&amp;12,Assessments!$A$2:$A$600,0)),0)</f>
        <v>0</v>
      </c>
      <c r="DI566" s="28" t="n">
        <f aca="false">IFERROR(INDEX(Assessments!$J$2:$J$600,MATCH($H566&amp;"|"&amp;$I566&amp;"|"&amp;$J566&amp;"|"&amp;13,Assessments!$A$2:$A$600,0)),0)</f>
        <v>0</v>
      </c>
      <c r="DJ566" s="28" t="n">
        <f aca="false">IFERROR(INDEX(Assessments!$J$2:$J$600,MATCH($H566&amp;"|"&amp;$I566&amp;"|"&amp;$J566&amp;"|"&amp;14,Assessments!$A$2:$A$600,0)),0)</f>
        <v>0</v>
      </c>
      <c r="DK566" s="28" t="str">
        <f aca="false">S566</f>
        <v/>
      </c>
      <c r="DL566" s="28" t="str">
        <f aca="false">W566</f>
        <v/>
      </c>
      <c r="DM566" s="28" t="str">
        <f aca="false">AA566</f>
        <v/>
      </c>
      <c r="DN566" s="28" t="str">
        <f aca="false">AE566</f>
        <v/>
      </c>
      <c r="DO566" s="28" t="str">
        <f aca="false">AI566</f>
        <v/>
      </c>
      <c r="DP566" s="28" t="str">
        <f aca="false">AM566</f>
        <v/>
      </c>
      <c r="DQ566" s="28" t="str">
        <f aca="false">AQ566</f>
        <v/>
      </c>
      <c r="DR566" s="28" t="str">
        <f aca="false">AU566</f>
        <v/>
      </c>
      <c r="DS566" s="28" t="str">
        <f aca="false">AY566</f>
        <v/>
      </c>
      <c r="DT566" s="28" t="str">
        <f aca="false">BC566</f>
        <v/>
      </c>
      <c r="DU566" s="28" t="str">
        <f aca="false">BG566</f>
        <v/>
      </c>
      <c r="DV566" s="28" t="str">
        <f aca="false">BK566</f>
        <v/>
      </c>
      <c r="DW566" s="28" t="str">
        <f aca="false">BO566</f>
        <v/>
      </c>
      <c r="DX566" s="28" t="str">
        <f aca="false">BS566</f>
        <v/>
      </c>
      <c r="DY566" s="28" t="str">
        <f aca="false">IF(ISNUMBER(S566),1,"")</f>
        <v/>
      </c>
      <c r="DZ566" s="28" t="str">
        <f aca="false">IF(ISNUMBER(W566),2,"")</f>
        <v/>
      </c>
      <c r="EA566" s="28" t="str">
        <f aca="false">IF(ISNUMBER(AA566),3,"")</f>
        <v/>
      </c>
      <c r="EB566" s="28" t="str">
        <f aca="false">IF(ISNUMBER(AE566),4,"")</f>
        <v/>
      </c>
      <c r="EC566" s="28" t="str">
        <f aca="false">IF(ISNUMBER(AI566),5,"")</f>
        <v/>
      </c>
      <c r="ED566" s="28" t="str">
        <f aca="false">IF(ISNUMBER(AM566),6,"")</f>
        <v/>
      </c>
      <c r="EE566" s="28" t="str">
        <f aca="false">IF(ISNUMBER(AQ566),7,"")</f>
        <v/>
      </c>
      <c r="EF566" s="28" t="str">
        <f aca="false">IF(ISNUMBER(AU566),8,"")</f>
        <v/>
      </c>
      <c r="EG566" s="28" t="str">
        <f aca="false">IF(ISNUMBER(AY566),9,"")</f>
        <v/>
      </c>
      <c r="EH566" s="28" t="str">
        <f aca="false">IF(ISNUMBER(BC566),10,"")</f>
        <v/>
      </c>
      <c r="EI566" s="28" t="str">
        <f aca="false">IF(ISNUMBER(BG566),11,"")</f>
        <v/>
      </c>
      <c r="EJ566" s="28" t="str">
        <f aca="false">IF(ISNUMBER(BK566),12,"")</f>
        <v/>
      </c>
      <c r="EK566" s="28" t="str">
        <f aca="false">IF(ISNUMBER(BO566),13,"")</f>
        <v/>
      </c>
      <c r="EL566" s="28" t="str">
        <f aca="false">IF(ISNUMBER(BS566),14,"")</f>
        <v/>
      </c>
      <c r="EM566" s="28" t="n">
        <f aca="false">IF(ISNUMBER(R566),R566*CW566,0)</f>
        <v>0</v>
      </c>
      <c r="EN566" s="28" t="n">
        <f aca="false">IF(ISNUMBER(V566),V566*CX566,0)</f>
        <v>0</v>
      </c>
      <c r="EO566" s="28" t="n">
        <f aca="false">IF(ISNUMBER(Z566),Z566*CY566,0)</f>
        <v>0</v>
      </c>
      <c r="EP566" s="28" t="n">
        <f aca="false">IF(ISNUMBER(AD566),AD566*CZ566,0)</f>
        <v>0</v>
      </c>
      <c r="EQ566" s="28" t="n">
        <f aca="false">IF(ISNUMBER(AH566),AH566*DA566,0)</f>
        <v>0</v>
      </c>
      <c r="ER566" s="28" t="n">
        <f aca="false">IF(ISNUMBER(AL566),AL566*DB566,0)</f>
        <v>0</v>
      </c>
      <c r="ES566" s="28" t="n">
        <f aca="false">IF(ISNUMBER(AP566),AP566*DC566,0)</f>
        <v>0</v>
      </c>
      <c r="ET566" s="28" t="n">
        <f aca="false">IF(ISNUMBER(AT566),AT566*DD566,0)</f>
        <v>0</v>
      </c>
      <c r="EU566" s="28" t="n">
        <f aca="false">IF(ISNUMBER(AX566),AX566*DE566,0)</f>
        <v>0</v>
      </c>
      <c r="EV566" s="28" t="n">
        <f aca="false">IF(ISNUMBER(BB566),BB566*DF566,0)</f>
        <v>0</v>
      </c>
      <c r="EW566" s="28" t="n">
        <f aca="false">IF(ISNUMBER(BF566),BF566*DG566,0)</f>
        <v>0</v>
      </c>
      <c r="EX566" s="28" t="n">
        <f aca="false">IF(ISNUMBER(BJ566),BJ566*DH566,0)</f>
        <v>0</v>
      </c>
      <c r="EY566" s="28" t="n">
        <f aca="false">IF(ISNUMBER(BN566),BN566*DI566,0)</f>
        <v>0</v>
      </c>
      <c r="EZ566" s="28" t="n">
        <f aca="false">IF(ISNUMBER(BR566),BR566*DJ566,0)</f>
        <v>0</v>
      </c>
      <c r="FA566" s="28" t="n">
        <f aca="false">IF(ISNUMBER(R566),CW566,0)</f>
        <v>0</v>
      </c>
      <c r="FB566" s="28" t="n">
        <f aca="false">IF(ISNUMBER(V566),CX566,0)</f>
        <v>0</v>
      </c>
      <c r="FC566" s="28" t="n">
        <f aca="false">IF(ISNUMBER(Z566),CY566,0)</f>
        <v>0</v>
      </c>
      <c r="FD566" s="28" t="n">
        <f aca="false">IF(ISNUMBER(AD566),CZ566,0)</f>
        <v>0</v>
      </c>
      <c r="FE566" s="28" t="n">
        <f aca="false">IF(ISNUMBER(AH566),DA566,0)</f>
        <v>0</v>
      </c>
      <c r="FF566" s="28" t="n">
        <f aca="false">IF(ISNUMBER(AL566),DB566,0)</f>
        <v>0</v>
      </c>
      <c r="FG566" s="28" t="n">
        <f aca="false">IF(ISNUMBER(AP566),DC566,0)</f>
        <v>0</v>
      </c>
      <c r="FH566" s="28" t="n">
        <f aca="false">IF(ISNUMBER(AT566),DD566,0)</f>
        <v>0</v>
      </c>
      <c r="FI566" s="28" t="n">
        <f aca="false">IF(ISNUMBER(AX566),DE566,0)</f>
        <v>0</v>
      </c>
      <c r="FJ566" s="28" t="n">
        <f aca="false">IF(ISNUMBER(BB566),DF566,0)</f>
        <v>0</v>
      </c>
      <c r="FK566" s="28" t="n">
        <f aca="false">IF(ISNUMBER(BF566),DG566,0)</f>
        <v>0</v>
      </c>
      <c r="FL566" s="28" t="n">
        <f aca="false">IF(ISNUMBER(BJ566),DH566,0)</f>
        <v>0</v>
      </c>
      <c r="FM566" s="28" t="n">
        <f aca="false">IF(ISNUMBER(BN566),DI566,0)</f>
        <v>0</v>
      </c>
      <c r="FN566" s="28" t="n">
        <f aca="false">IF(ISNUMBER(BR566),DJ566,0)</f>
        <v>0</v>
      </c>
      <c r="FO566" s="28" t="str">
        <f aca="false">IFERROR(INDEX(Lists!$G$2:$G$20,MATCH($I566&amp;"|"&amp;$J566,Lists!$F$2:$F$20,0)),"")</f>
        <v/>
      </c>
    </row>
    <row r="567" customFormat="false" ht="19.5" hidden="false" customHeight="true" outlineLevel="0" collapsed="false">
      <c r="A567" s="29"/>
      <c r="B567" s="29"/>
      <c r="C567" s="30"/>
      <c r="D567" s="30"/>
      <c r="E567" s="31"/>
      <c r="F567" s="30"/>
      <c r="G567" s="30"/>
      <c r="H567" s="32"/>
      <c r="I567" s="33"/>
      <c r="J567" s="32"/>
      <c r="K567" s="34" t="str">
        <f aca="false">IF(OR(M567="",$E567=""),"",M567-$E567)</f>
        <v/>
      </c>
      <c r="L567" s="35" t="str">
        <f aca="false">IF(SUM(FA567:FN567)=0,"",SUM(EM567:EZ567)/SUM(FA567:FN567))</f>
        <v/>
      </c>
      <c r="M567" s="36" t="str">
        <f aca="false">IF(OR(L567="",FO567=""),"",IFERROR(MATCH(L567,INDEX(Boundaries!$B$2:$I$30,MATCH(FO567,Boundaries!$A$2:$A$30,0),0),1)-1,""))</f>
        <v/>
      </c>
      <c r="N567" s="37" t="str">
        <f aca="false">IF(COUNT($DY567:$EL567)&lt;2,"",INDEX($DK567:$DX567,MAX($DY567:$EL567))-INDEX($DK567:$DX567,MIN($DY567:$EL567)))</f>
        <v/>
      </c>
      <c r="O567" s="37" t="str">
        <f aca="false">IF(COUNT($DY567:$EL567)&lt;2,"",INDEX($DK567:$DX567,MAX($DY567:$EL567))-INDEX($DK567:$DX567,LARGE($DY567:$EL567,2)))</f>
        <v/>
      </c>
      <c r="P567" s="38" t="str">
        <f aca="false">IF(K567="","",IF(K567&gt;=0,"On/above target",IF(AND(N567&lt;&gt;"",N567&gt;=0.5),"Improving towards target",IF(AND(O567&lt;&gt;"",O567&lt;=-0.5),"Declining","Stable below target"))))</f>
        <v/>
      </c>
      <c r="Q567" s="39"/>
      <c r="R567" s="40" t="str">
        <f aca="false">IF(OR(Q567="",BU567=""),"",Q567/BU567*100)</f>
        <v/>
      </c>
      <c r="S567" s="41" t="str">
        <f aca="false">IF(R567="","",IFERROR(MATCH(R567,INDEX(Boundaries!$B$2:$I$30,MATCH(CI567,Boundaries!$A$2:$A$30,0),0),1)-1,""))</f>
        <v/>
      </c>
      <c r="T567" s="42" t="str">
        <f aca="false">IF(OR(S567="",$E567=""),"",S567-$E567)</f>
        <v/>
      </c>
      <c r="U567" s="39"/>
      <c r="V567" s="40" t="str">
        <f aca="false">IF(OR(U567="",BV567=""),"",U567/BV567*100)</f>
        <v/>
      </c>
      <c r="W567" s="41" t="str">
        <f aca="false">IF(V567="","",IFERROR(MATCH(V567,INDEX(Boundaries!$B$2:$I$30,MATCH(CJ567,Boundaries!$A$2:$A$30,0),0),1)-1,""))</f>
        <v/>
      </c>
      <c r="X567" s="42" t="str">
        <f aca="false">IF(OR(W567="",$E567=""),"",W567-$E567)</f>
        <v/>
      </c>
      <c r="Y567" s="39"/>
      <c r="Z567" s="40" t="str">
        <f aca="false">IF(OR(Y567="",BW567=""),"",Y567/BW567*100)</f>
        <v/>
      </c>
      <c r="AA567" s="41" t="str">
        <f aca="false">IF(Z567="","",IFERROR(MATCH(Z567,INDEX(Boundaries!$B$2:$I$30,MATCH(CK567,Boundaries!$A$2:$A$30,0),0),1)-1,""))</f>
        <v/>
      </c>
      <c r="AB567" s="42" t="str">
        <f aca="false">IF(OR(AA567="",$E567=""),"",AA567-$E567)</f>
        <v/>
      </c>
      <c r="AC567" s="39"/>
      <c r="AD567" s="40" t="str">
        <f aca="false">IF(OR(AC567="",BX567=""),"",AC567/BX567*100)</f>
        <v/>
      </c>
      <c r="AE567" s="41" t="str">
        <f aca="false">IF(AD567="","",IFERROR(MATCH(AD567,INDEX(Boundaries!$B$2:$I$30,MATCH(CL567,Boundaries!$A$2:$A$30,0),0),1)-1,""))</f>
        <v/>
      </c>
      <c r="AF567" s="42" t="str">
        <f aca="false">IF(OR(AE567="",$E567=""),"",AE567-$E567)</f>
        <v/>
      </c>
      <c r="AG567" s="39"/>
      <c r="AH567" s="40" t="str">
        <f aca="false">IF(OR(AG567="",BY567=""),"",AG567/BY567*100)</f>
        <v/>
      </c>
      <c r="AI567" s="41" t="str">
        <f aca="false">IF(AH567="","",IFERROR(MATCH(AH567,INDEX(Boundaries!$B$2:$I$30,MATCH(CM567,Boundaries!$A$2:$A$30,0),0),1)-1,""))</f>
        <v/>
      </c>
      <c r="AJ567" s="42" t="str">
        <f aca="false">IF(OR(AI567="",$E567=""),"",AI567-$E567)</f>
        <v/>
      </c>
      <c r="AK567" s="39"/>
      <c r="AL567" s="40" t="str">
        <f aca="false">IF(OR(AK567="",BZ567=""),"",AK567/BZ567*100)</f>
        <v/>
      </c>
      <c r="AM567" s="41" t="str">
        <f aca="false">IF(AL567="","",IFERROR(MATCH(AL567,INDEX(Boundaries!$B$2:$I$30,MATCH(CN567,Boundaries!$A$2:$A$30,0),0),1)-1,""))</f>
        <v/>
      </c>
      <c r="AN567" s="42" t="str">
        <f aca="false">IF(OR(AM567="",$E567=""),"",AM567-$E567)</f>
        <v/>
      </c>
      <c r="AO567" s="39"/>
      <c r="AP567" s="40" t="str">
        <f aca="false">IF(OR(AO567="",CA567=""),"",AO567/CA567*100)</f>
        <v/>
      </c>
      <c r="AQ567" s="41" t="str">
        <f aca="false">IF(AP567="","",IFERROR(MATCH(AP567,INDEX(Boundaries!$B$2:$I$30,MATCH(CO567,Boundaries!$A$2:$A$30,0),0),1)-1,""))</f>
        <v/>
      </c>
      <c r="AR567" s="42" t="str">
        <f aca="false">IF(OR(AQ567="",$E567=""),"",AQ567-$E567)</f>
        <v/>
      </c>
      <c r="AS567" s="39"/>
      <c r="AT567" s="40" t="str">
        <f aca="false">IF(OR(AS567="",CB567=""),"",AS567/CB567*100)</f>
        <v/>
      </c>
      <c r="AU567" s="41" t="str">
        <f aca="false">IF(AT567="","",IFERROR(MATCH(AT567,INDEX(Boundaries!$B$2:$I$30,MATCH(CP567,Boundaries!$A$2:$A$30,0),0),1)-1,""))</f>
        <v/>
      </c>
      <c r="AV567" s="42" t="str">
        <f aca="false">IF(OR(AU567="",$E567=""),"",AU567-$E567)</f>
        <v/>
      </c>
      <c r="AW567" s="39"/>
      <c r="AX567" s="40" t="str">
        <f aca="false">IF(OR(AW567="",CC567=""),"",AW567/CC567*100)</f>
        <v/>
      </c>
      <c r="AY567" s="41" t="str">
        <f aca="false">IF(AX567="","",IFERROR(MATCH(AX567,INDEX(Boundaries!$B$2:$I$30,MATCH(CQ567,Boundaries!$A$2:$A$30,0),0),1)-1,""))</f>
        <v/>
      </c>
      <c r="AZ567" s="42" t="str">
        <f aca="false">IF(OR(AY567="",$E567=""),"",AY567-$E567)</f>
        <v/>
      </c>
      <c r="BA567" s="39"/>
      <c r="BB567" s="40" t="str">
        <f aca="false">IF(OR(BA567="",CD567=""),"",BA567/CD567*100)</f>
        <v/>
      </c>
      <c r="BC567" s="41" t="str">
        <f aca="false">IF(BB567="","",IFERROR(MATCH(BB567,INDEX(Boundaries!$B$2:$I$30,MATCH(CR567,Boundaries!$A$2:$A$30,0),0),1)-1,""))</f>
        <v/>
      </c>
      <c r="BD567" s="42" t="str">
        <f aca="false">IF(OR(BC567="",$E567=""),"",BC567-$E567)</f>
        <v/>
      </c>
      <c r="BE567" s="39"/>
      <c r="BF567" s="40" t="str">
        <f aca="false">IF(OR(BE567="",CE567=""),"",BE567/CE567*100)</f>
        <v/>
      </c>
      <c r="BG567" s="41" t="str">
        <f aca="false">IF(BF567="","",IFERROR(MATCH(BF567,INDEX(Boundaries!$B$2:$I$30,MATCH(CS567,Boundaries!$A$2:$A$30,0),0),1)-1,""))</f>
        <v/>
      </c>
      <c r="BH567" s="42" t="str">
        <f aca="false">IF(OR(BG567="",$E567=""),"",BG567-$E567)</f>
        <v/>
      </c>
      <c r="BI567" s="39"/>
      <c r="BJ567" s="40" t="str">
        <f aca="false">IF(OR(BI567="",CF567=""),"",BI567/CF567*100)</f>
        <v/>
      </c>
      <c r="BK567" s="41" t="str">
        <f aca="false">IF(BJ567="","",IFERROR(MATCH(BJ567,INDEX(Boundaries!$B$2:$I$30,MATCH(CT567,Boundaries!$A$2:$A$30,0),0),1)-1,""))</f>
        <v/>
      </c>
      <c r="BL567" s="42" t="str">
        <f aca="false">IF(OR(BK567="",$E567=""),"",BK567-$E567)</f>
        <v/>
      </c>
      <c r="BM567" s="39"/>
      <c r="BN567" s="40" t="str">
        <f aca="false">IF(OR(BM567="",CG567=""),"",BM567/CG567*100)</f>
        <v/>
      </c>
      <c r="BO567" s="41" t="str">
        <f aca="false">IF(BN567="","",IFERROR(MATCH(BN567,INDEX(Boundaries!$B$2:$I$30,MATCH(CU567,Boundaries!$A$2:$A$30,0),0),1)-1,""))</f>
        <v/>
      </c>
      <c r="BP567" s="42" t="str">
        <f aca="false">IF(OR(BO567="",$E567=""),"",BO567-$E567)</f>
        <v/>
      </c>
      <c r="BQ567" s="39"/>
      <c r="BR567" s="40" t="str">
        <f aca="false">IF(OR(BQ567="",CH567=""),"",BQ567/CH567*100)</f>
        <v/>
      </c>
      <c r="BS567" s="41" t="str">
        <f aca="false">IF(BR567="","",IFERROR(MATCH(BR567,INDEX(Boundaries!$B$2:$I$30,MATCH(CV567,Boundaries!$A$2:$A$30,0),0),1)-1,""))</f>
        <v/>
      </c>
      <c r="BT567" s="42" t="str">
        <f aca="false">IF(OR(BS567="",$E567=""),"",BS567-$E567)</f>
        <v/>
      </c>
      <c r="BU567" s="28" t="str">
        <f aca="false">IFERROR(INDEX(Assessments!$H$2:$H$600,MATCH($H567&amp;"|"&amp;$I567&amp;"|"&amp;$J567&amp;"|"&amp;1,Assessments!$A$2:$A$600,0)),"")</f>
        <v/>
      </c>
      <c r="BV567" s="28" t="str">
        <f aca="false">IFERROR(INDEX(Assessments!$H$2:$H$600,MATCH($H567&amp;"|"&amp;$I567&amp;"|"&amp;$J567&amp;"|"&amp;2,Assessments!$A$2:$A$600,0)),"")</f>
        <v/>
      </c>
      <c r="BW567" s="28" t="str">
        <f aca="false">IFERROR(INDEX(Assessments!$H$2:$H$600,MATCH($H567&amp;"|"&amp;$I567&amp;"|"&amp;$J567&amp;"|"&amp;3,Assessments!$A$2:$A$600,0)),"")</f>
        <v/>
      </c>
      <c r="BX567" s="28" t="str">
        <f aca="false">IFERROR(INDEX(Assessments!$H$2:$H$600,MATCH($H567&amp;"|"&amp;$I567&amp;"|"&amp;$J567&amp;"|"&amp;4,Assessments!$A$2:$A$600,0)),"")</f>
        <v/>
      </c>
      <c r="BY567" s="28" t="str">
        <f aca="false">IFERROR(INDEX(Assessments!$H$2:$H$600,MATCH($H567&amp;"|"&amp;$I567&amp;"|"&amp;$J567&amp;"|"&amp;5,Assessments!$A$2:$A$600,0)),"")</f>
        <v/>
      </c>
      <c r="BZ567" s="28" t="str">
        <f aca="false">IFERROR(INDEX(Assessments!$H$2:$H$600,MATCH($H567&amp;"|"&amp;$I567&amp;"|"&amp;$J567&amp;"|"&amp;6,Assessments!$A$2:$A$600,0)),"")</f>
        <v/>
      </c>
      <c r="CA567" s="28" t="str">
        <f aca="false">IFERROR(INDEX(Assessments!$H$2:$H$600,MATCH($H567&amp;"|"&amp;$I567&amp;"|"&amp;$J567&amp;"|"&amp;7,Assessments!$A$2:$A$600,0)),"")</f>
        <v/>
      </c>
      <c r="CB567" s="28" t="str">
        <f aca="false">IFERROR(INDEX(Assessments!$H$2:$H$600,MATCH($H567&amp;"|"&amp;$I567&amp;"|"&amp;$J567&amp;"|"&amp;8,Assessments!$A$2:$A$600,0)),"")</f>
        <v/>
      </c>
      <c r="CC567" s="28" t="str">
        <f aca="false">IFERROR(INDEX(Assessments!$H$2:$H$600,MATCH($H567&amp;"|"&amp;$I567&amp;"|"&amp;$J567&amp;"|"&amp;9,Assessments!$A$2:$A$600,0)),"")</f>
        <v/>
      </c>
      <c r="CD567" s="28" t="str">
        <f aca="false">IFERROR(INDEX(Assessments!$H$2:$H$600,MATCH($H567&amp;"|"&amp;$I567&amp;"|"&amp;$J567&amp;"|"&amp;10,Assessments!$A$2:$A$600,0)),"")</f>
        <v/>
      </c>
      <c r="CE567" s="28" t="str">
        <f aca="false">IFERROR(INDEX(Assessments!$H$2:$H$600,MATCH($H567&amp;"|"&amp;$I567&amp;"|"&amp;$J567&amp;"|"&amp;11,Assessments!$A$2:$A$600,0)),"")</f>
        <v/>
      </c>
      <c r="CF567" s="28" t="str">
        <f aca="false">IFERROR(INDEX(Assessments!$H$2:$H$600,MATCH($H567&amp;"|"&amp;$I567&amp;"|"&amp;$J567&amp;"|"&amp;12,Assessments!$A$2:$A$600,0)),"")</f>
        <v/>
      </c>
      <c r="CG567" s="28" t="str">
        <f aca="false">IFERROR(INDEX(Assessments!$H$2:$H$600,MATCH($H567&amp;"|"&amp;$I567&amp;"|"&amp;$J567&amp;"|"&amp;13,Assessments!$A$2:$A$600,0)),"")</f>
        <v/>
      </c>
      <c r="CH567" s="28" t="str">
        <f aca="false">IFERROR(INDEX(Assessments!$H$2:$H$600,MATCH($H567&amp;"|"&amp;$I567&amp;"|"&amp;$J567&amp;"|"&amp;14,Assessments!$A$2:$A$600,0)),"")</f>
        <v/>
      </c>
      <c r="CI567" s="28" t="str">
        <f aca="false">IFERROR(INDEX(Assessments!$I$2:$I$600,MATCH($H567&amp;"|"&amp;$I567&amp;"|"&amp;$J567&amp;"|"&amp;1,Assessments!$A$2:$A$600,0)),"")</f>
        <v/>
      </c>
      <c r="CJ567" s="28" t="str">
        <f aca="false">IFERROR(INDEX(Assessments!$I$2:$I$600,MATCH($H567&amp;"|"&amp;$I567&amp;"|"&amp;$J567&amp;"|"&amp;2,Assessments!$A$2:$A$600,0)),"")</f>
        <v/>
      </c>
      <c r="CK567" s="28" t="str">
        <f aca="false">IFERROR(INDEX(Assessments!$I$2:$I$600,MATCH($H567&amp;"|"&amp;$I567&amp;"|"&amp;$J567&amp;"|"&amp;3,Assessments!$A$2:$A$600,0)),"")</f>
        <v/>
      </c>
      <c r="CL567" s="28" t="str">
        <f aca="false">IFERROR(INDEX(Assessments!$I$2:$I$600,MATCH($H567&amp;"|"&amp;$I567&amp;"|"&amp;$J567&amp;"|"&amp;4,Assessments!$A$2:$A$600,0)),"")</f>
        <v/>
      </c>
      <c r="CM567" s="28" t="str">
        <f aca="false">IFERROR(INDEX(Assessments!$I$2:$I$600,MATCH($H567&amp;"|"&amp;$I567&amp;"|"&amp;$J567&amp;"|"&amp;5,Assessments!$A$2:$A$600,0)),"")</f>
        <v/>
      </c>
      <c r="CN567" s="28" t="str">
        <f aca="false">IFERROR(INDEX(Assessments!$I$2:$I$600,MATCH($H567&amp;"|"&amp;$I567&amp;"|"&amp;$J567&amp;"|"&amp;6,Assessments!$A$2:$A$600,0)),"")</f>
        <v/>
      </c>
      <c r="CO567" s="28" t="str">
        <f aca="false">IFERROR(INDEX(Assessments!$I$2:$I$600,MATCH($H567&amp;"|"&amp;$I567&amp;"|"&amp;$J567&amp;"|"&amp;7,Assessments!$A$2:$A$600,0)),"")</f>
        <v/>
      </c>
      <c r="CP567" s="28" t="str">
        <f aca="false">IFERROR(INDEX(Assessments!$I$2:$I$600,MATCH($H567&amp;"|"&amp;$I567&amp;"|"&amp;$J567&amp;"|"&amp;8,Assessments!$A$2:$A$600,0)),"")</f>
        <v/>
      </c>
      <c r="CQ567" s="28" t="str">
        <f aca="false">IFERROR(INDEX(Assessments!$I$2:$I$600,MATCH($H567&amp;"|"&amp;$I567&amp;"|"&amp;$J567&amp;"|"&amp;9,Assessments!$A$2:$A$600,0)),"")</f>
        <v/>
      </c>
      <c r="CR567" s="28" t="str">
        <f aca="false">IFERROR(INDEX(Assessments!$I$2:$I$600,MATCH($H567&amp;"|"&amp;$I567&amp;"|"&amp;$J567&amp;"|"&amp;10,Assessments!$A$2:$A$600,0)),"")</f>
        <v/>
      </c>
      <c r="CS567" s="28" t="str">
        <f aca="false">IFERROR(INDEX(Assessments!$I$2:$I$600,MATCH($H567&amp;"|"&amp;$I567&amp;"|"&amp;$J567&amp;"|"&amp;11,Assessments!$A$2:$A$600,0)),"")</f>
        <v/>
      </c>
      <c r="CT567" s="28" t="str">
        <f aca="false">IFERROR(INDEX(Assessments!$I$2:$I$600,MATCH($H567&amp;"|"&amp;$I567&amp;"|"&amp;$J567&amp;"|"&amp;12,Assessments!$A$2:$A$600,0)),"")</f>
        <v/>
      </c>
      <c r="CU567" s="28" t="str">
        <f aca="false">IFERROR(INDEX(Assessments!$I$2:$I$600,MATCH($H567&amp;"|"&amp;$I567&amp;"|"&amp;$J567&amp;"|"&amp;13,Assessments!$A$2:$A$600,0)),"")</f>
        <v/>
      </c>
      <c r="CV567" s="28" t="str">
        <f aca="false">IFERROR(INDEX(Assessments!$I$2:$I$600,MATCH($H567&amp;"|"&amp;$I567&amp;"|"&amp;$J567&amp;"|"&amp;14,Assessments!$A$2:$A$600,0)),"")</f>
        <v/>
      </c>
      <c r="CW567" s="28" t="n">
        <f aca="false">IFERROR(INDEX(Assessments!$J$2:$J$600,MATCH($H567&amp;"|"&amp;$I567&amp;"|"&amp;$J567&amp;"|"&amp;1,Assessments!$A$2:$A$600,0)),0)</f>
        <v>0</v>
      </c>
      <c r="CX567" s="28" t="n">
        <f aca="false">IFERROR(INDEX(Assessments!$J$2:$J$600,MATCH($H567&amp;"|"&amp;$I567&amp;"|"&amp;$J567&amp;"|"&amp;2,Assessments!$A$2:$A$600,0)),0)</f>
        <v>0</v>
      </c>
      <c r="CY567" s="28" t="n">
        <f aca="false">IFERROR(INDEX(Assessments!$J$2:$J$600,MATCH($H567&amp;"|"&amp;$I567&amp;"|"&amp;$J567&amp;"|"&amp;3,Assessments!$A$2:$A$600,0)),0)</f>
        <v>0</v>
      </c>
      <c r="CZ567" s="28" t="n">
        <f aca="false">IFERROR(INDEX(Assessments!$J$2:$J$600,MATCH($H567&amp;"|"&amp;$I567&amp;"|"&amp;$J567&amp;"|"&amp;4,Assessments!$A$2:$A$600,0)),0)</f>
        <v>0</v>
      </c>
      <c r="DA567" s="28" t="n">
        <f aca="false">IFERROR(INDEX(Assessments!$J$2:$J$600,MATCH($H567&amp;"|"&amp;$I567&amp;"|"&amp;$J567&amp;"|"&amp;5,Assessments!$A$2:$A$600,0)),0)</f>
        <v>0</v>
      </c>
      <c r="DB567" s="28" t="n">
        <f aca="false">IFERROR(INDEX(Assessments!$J$2:$J$600,MATCH($H567&amp;"|"&amp;$I567&amp;"|"&amp;$J567&amp;"|"&amp;6,Assessments!$A$2:$A$600,0)),0)</f>
        <v>0</v>
      </c>
      <c r="DC567" s="28" t="n">
        <f aca="false">IFERROR(INDEX(Assessments!$J$2:$J$600,MATCH($H567&amp;"|"&amp;$I567&amp;"|"&amp;$J567&amp;"|"&amp;7,Assessments!$A$2:$A$600,0)),0)</f>
        <v>0</v>
      </c>
      <c r="DD567" s="28" t="n">
        <f aca="false">IFERROR(INDEX(Assessments!$J$2:$J$600,MATCH($H567&amp;"|"&amp;$I567&amp;"|"&amp;$J567&amp;"|"&amp;8,Assessments!$A$2:$A$600,0)),0)</f>
        <v>0</v>
      </c>
      <c r="DE567" s="28" t="n">
        <f aca="false">IFERROR(INDEX(Assessments!$J$2:$J$600,MATCH($H567&amp;"|"&amp;$I567&amp;"|"&amp;$J567&amp;"|"&amp;9,Assessments!$A$2:$A$600,0)),0)</f>
        <v>0</v>
      </c>
      <c r="DF567" s="28" t="n">
        <f aca="false">IFERROR(INDEX(Assessments!$J$2:$J$600,MATCH($H567&amp;"|"&amp;$I567&amp;"|"&amp;$J567&amp;"|"&amp;10,Assessments!$A$2:$A$600,0)),0)</f>
        <v>0</v>
      </c>
      <c r="DG567" s="28" t="n">
        <f aca="false">IFERROR(INDEX(Assessments!$J$2:$J$600,MATCH($H567&amp;"|"&amp;$I567&amp;"|"&amp;$J567&amp;"|"&amp;11,Assessments!$A$2:$A$600,0)),0)</f>
        <v>0</v>
      </c>
      <c r="DH567" s="28" t="n">
        <f aca="false">IFERROR(INDEX(Assessments!$J$2:$J$600,MATCH($H567&amp;"|"&amp;$I567&amp;"|"&amp;$J567&amp;"|"&amp;12,Assessments!$A$2:$A$600,0)),0)</f>
        <v>0</v>
      </c>
      <c r="DI567" s="28" t="n">
        <f aca="false">IFERROR(INDEX(Assessments!$J$2:$J$600,MATCH($H567&amp;"|"&amp;$I567&amp;"|"&amp;$J567&amp;"|"&amp;13,Assessments!$A$2:$A$600,0)),0)</f>
        <v>0</v>
      </c>
      <c r="DJ567" s="28" t="n">
        <f aca="false">IFERROR(INDEX(Assessments!$J$2:$J$600,MATCH($H567&amp;"|"&amp;$I567&amp;"|"&amp;$J567&amp;"|"&amp;14,Assessments!$A$2:$A$600,0)),0)</f>
        <v>0</v>
      </c>
      <c r="DK567" s="28" t="str">
        <f aca="false">S567</f>
        <v/>
      </c>
      <c r="DL567" s="28" t="str">
        <f aca="false">W567</f>
        <v/>
      </c>
      <c r="DM567" s="28" t="str">
        <f aca="false">AA567</f>
        <v/>
      </c>
      <c r="DN567" s="28" t="str">
        <f aca="false">AE567</f>
        <v/>
      </c>
      <c r="DO567" s="28" t="str">
        <f aca="false">AI567</f>
        <v/>
      </c>
      <c r="DP567" s="28" t="str">
        <f aca="false">AM567</f>
        <v/>
      </c>
      <c r="DQ567" s="28" t="str">
        <f aca="false">AQ567</f>
        <v/>
      </c>
      <c r="DR567" s="28" t="str">
        <f aca="false">AU567</f>
        <v/>
      </c>
      <c r="DS567" s="28" t="str">
        <f aca="false">AY567</f>
        <v/>
      </c>
      <c r="DT567" s="28" t="str">
        <f aca="false">BC567</f>
        <v/>
      </c>
      <c r="DU567" s="28" t="str">
        <f aca="false">BG567</f>
        <v/>
      </c>
      <c r="DV567" s="28" t="str">
        <f aca="false">BK567</f>
        <v/>
      </c>
      <c r="DW567" s="28" t="str">
        <f aca="false">BO567</f>
        <v/>
      </c>
      <c r="DX567" s="28" t="str">
        <f aca="false">BS567</f>
        <v/>
      </c>
      <c r="DY567" s="28" t="str">
        <f aca="false">IF(ISNUMBER(S567),1,"")</f>
        <v/>
      </c>
      <c r="DZ567" s="28" t="str">
        <f aca="false">IF(ISNUMBER(W567),2,"")</f>
        <v/>
      </c>
      <c r="EA567" s="28" t="str">
        <f aca="false">IF(ISNUMBER(AA567),3,"")</f>
        <v/>
      </c>
      <c r="EB567" s="28" t="str">
        <f aca="false">IF(ISNUMBER(AE567),4,"")</f>
        <v/>
      </c>
      <c r="EC567" s="28" t="str">
        <f aca="false">IF(ISNUMBER(AI567),5,"")</f>
        <v/>
      </c>
      <c r="ED567" s="28" t="str">
        <f aca="false">IF(ISNUMBER(AM567),6,"")</f>
        <v/>
      </c>
      <c r="EE567" s="28" t="str">
        <f aca="false">IF(ISNUMBER(AQ567),7,"")</f>
        <v/>
      </c>
      <c r="EF567" s="28" t="str">
        <f aca="false">IF(ISNUMBER(AU567),8,"")</f>
        <v/>
      </c>
      <c r="EG567" s="28" t="str">
        <f aca="false">IF(ISNUMBER(AY567),9,"")</f>
        <v/>
      </c>
      <c r="EH567" s="28" t="str">
        <f aca="false">IF(ISNUMBER(BC567),10,"")</f>
        <v/>
      </c>
      <c r="EI567" s="28" t="str">
        <f aca="false">IF(ISNUMBER(BG567),11,"")</f>
        <v/>
      </c>
      <c r="EJ567" s="28" t="str">
        <f aca="false">IF(ISNUMBER(BK567),12,"")</f>
        <v/>
      </c>
      <c r="EK567" s="28" t="str">
        <f aca="false">IF(ISNUMBER(BO567),13,"")</f>
        <v/>
      </c>
      <c r="EL567" s="28" t="str">
        <f aca="false">IF(ISNUMBER(BS567),14,"")</f>
        <v/>
      </c>
      <c r="EM567" s="28" t="n">
        <f aca="false">IF(ISNUMBER(R567),R567*CW567,0)</f>
        <v>0</v>
      </c>
      <c r="EN567" s="28" t="n">
        <f aca="false">IF(ISNUMBER(V567),V567*CX567,0)</f>
        <v>0</v>
      </c>
      <c r="EO567" s="28" t="n">
        <f aca="false">IF(ISNUMBER(Z567),Z567*CY567,0)</f>
        <v>0</v>
      </c>
      <c r="EP567" s="28" t="n">
        <f aca="false">IF(ISNUMBER(AD567),AD567*CZ567,0)</f>
        <v>0</v>
      </c>
      <c r="EQ567" s="28" t="n">
        <f aca="false">IF(ISNUMBER(AH567),AH567*DA567,0)</f>
        <v>0</v>
      </c>
      <c r="ER567" s="28" t="n">
        <f aca="false">IF(ISNUMBER(AL567),AL567*DB567,0)</f>
        <v>0</v>
      </c>
      <c r="ES567" s="28" t="n">
        <f aca="false">IF(ISNUMBER(AP567),AP567*DC567,0)</f>
        <v>0</v>
      </c>
      <c r="ET567" s="28" t="n">
        <f aca="false">IF(ISNUMBER(AT567),AT567*DD567,0)</f>
        <v>0</v>
      </c>
      <c r="EU567" s="28" t="n">
        <f aca="false">IF(ISNUMBER(AX567),AX567*DE567,0)</f>
        <v>0</v>
      </c>
      <c r="EV567" s="28" t="n">
        <f aca="false">IF(ISNUMBER(BB567),BB567*DF567,0)</f>
        <v>0</v>
      </c>
      <c r="EW567" s="28" t="n">
        <f aca="false">IF(ISNUMBER(BF567),BF567*DG567,0)</f>
        <v>0</v>
      </c>
      <c r="EX567" s="28" t="n">
        <f aca="false">IF(ISNUMBER(BJ567),BJ567*DH567,0)</f>
        <v>0</v>
      </c>
      <c r="EY567" s="28" t="n">
        <f aca="false">IF(ISNUMBER(BN567),BN567*DI567,0)</f>
        <v>0</v>
      </c>
      <c r="EZ567" s="28" t="n">
        <f aca="false">IF(ISNUMBER(BR567),BR567*DJ567,0)</f>
        <v>0</v>
      </c>
      <c r="FA567" s="28" t="n">
        <f aca="false">IF(ISNUMBER(R567),CW567,0)</f>
        <v>0</v>
      </c>
      <c r="FB567" s="28" t="n">
        <f aca="false">IF(ISNUMBER(V567),CX567,0)</f>
        <v>0</v>
      </c>
      <c r="FC567" s="28" t="n">
        <f aca="false">IF(ISNUMBER(Z567),CY567,0)</f>
        <v>0</v>
      </c>
      <c r="FD567" s="28" t="n">
        <f aca="false">IF(ISNUMBER(AD567),CZ567,0)</f>
        <v>0</v>
      </c>
      <c r="FE567" s="28" t="n">
        <f aca="false">IF(ISNUMBER(AH567),DA567,0)</f>
        <v>0</v>
      </c>
      <c r="FF567" s="28" t="n">
        <f aca="false">IF(ISNUMBER(AL567),DB567,0)</f>
        <v>0</v>
      </c>
      <c r="FG567" s="28" t="n">
        <f aca="false">IF(ISNUMBER(AP567),DC567,0)</f>
        <v>0</v>
      </c>
      <c r="FH567" s="28" t="n">
        <f aca="false">IF(ISNUMBER(AT567),DD567,0)</f>
        <v>0</v>
      </c>
      <c r="FI567" s="28" t="n">
        <f aca="false">IF(ISNUMBER(AX567),DE567,0)</f>
        <v>0</v>
      </c>
      <c r="FJ567" s="28" t="n">
        <f aca="false">IF(ISNUMBER(BB567),DF567,0)</f>
        <v>0</v>
      </c>
      <c r="FK567" s="28" t="n">
        <f aca="false">IF(ISNUMBER(BF567),DG567,0)</f>
        <v>0</v>
      </c>
      <c r="FL567" s="28" t="n">
        <f aca="false">IF(ISNUMBER(BJ567),DH567,0)</f>
        <v>0</v>
      </c>
      <c r="FM567" s="28" t="n">
        <f aca="false">IF(ISNUMBER(BN567),DI567,0)</f>
        <v>0</v>
      </c>
      <c r="FN567" s="28" t="n">
        <f aca="false">IF(ISNUMBER(BR567),DJ567,0)</f>
        <v>0</v>
      </c>
      <c r="FO567" s="28" t="str">
        <f aca="false">IFERROR(INDEX(Lists!$G$2:$G$20,MATCH($I567&amp;"|"&amp;$J567,Lists!$F$2:$F$20,0)),"")</f>
        <v/>
      </c>
    </row>
    <row r="568" customFormat="false" ht="19.5" hidden="false" customHeight="true" outlineLevel="0" collapsed="false">
      <c r="A568" s="29"/>
      <c r="B568" s="29"/>
      <c r="C568" s="30"/>
      <c r="D568" s="30"/>
      <c r="E568" s="31"/>
      <c r="F568" s="30"/>
      <c r="G568" s="30"/>
      <c r="H568" s="32"/>
      <c r="I568" s="33"/>
      <c r="J568" s="32"/>
      <c r="K568" s="34" t="str">
        <f aca="false">IF(OR(M568="",$E568=""),"",M568-$E568)</f>
        <v/>
      </c>
      <c r="L568" s="35" t="str">
        <f aca="false">IF(SUM(FA568:FN568)=0,"",SUM(EM568:EZ568)/SUM(FA568:FN568))</f>
        <v/>
      </c>
      <c r="M568" s="36" t="str">
        <f aca="false">IF(OR(L568="",FO568=""),"",IFERROR(MATCH(L568,INDEX(Boundaries!$B$2:$I$30,MATCH(FO568,Boundaries!$A$2:$A$30,0),0),1)-1,""))</f>
        <v/>
      </c>
      <c r="N568" s="37" t="str">
        <f aca="false">IF(COUNT($DY568:$EL568)&lt;2,"",INDEX($DK568:$DX568,MAX($DY568:$EL568))-INDEX($DK568:$DX568,MIN($DY568:$EL568)))</f>
        <v/>
      </c>
      <c r="O568" s="37" t="str">
        <f aca="false">IF(COUNT($DY568:$EL568)&lt;2,"",INDEX($DK568:$DX568,MAX($DY568:$EL568))-INDEX($DK568:$DX568,LARGE($DY568:$EL568,2)))</f>
        <v/>
      </c>
      <c r="P568" s="38" t="str">
        <f aca="false">IF(K568="","",IF(K568&gt;=0,"On/above target",IF(AND(N568&lt;&gt;"",N568&gt;=0.5),"Improving towards target",IF(AND(O568&lt;&gt;"",O568&lt;=-0.5),"Declining","Stable below target"))))</f>
        <v/>
      </c>
      <c r="Q568" s="39"/>
      <c r="R568" s="40" t="str">
        <f aca="false">IF(OR(Q568="",BU568=""),"",Q568/BU568*100)</f>
        <v/>
      </c>
      <c r="S568" s="41" t="str">
        <f aca="false">IF(R568="","",IFERROR(MATCH(R568,INDEX(Boundaries!$B$2:$I$30,MATCH(CI568,Boundaries!$A$2:$A$30,0),0),1)-1,""))</f>
        <v/>
      </c>
      <c r="T568" s="42" t="str">
        <f aca="false">IF(OR(S568="",$E568=""),"",S568-$E568)</f>
        <v/>
      </c>
      <c r="U568" s="39"/>
      <c r="V568" s="40" t="str">
        <f aca="false">IF(OR(U568="",BV568=""),"",U568/BV568*100)</f>
        <v/>
      </c>
      <c r="W568" s="41" t="str">
        <f aca="false">IF(V568="","",IFERROR(MATCH(V568,INDEX(Boundaries!$B$2:$I$30,MATCH(CJ568,Boundaries!$A$2:$A$30,0),0),1)-1,""))</f>
        <v/>
      </c>
      <c r="X568" s="42" t="str">
        <f aca="false">IF(OR(W568="",$E568=""),"",W568-$E568)</f>
        <v/>
      </c>
      <c r="Y568" s="39"/>
      <c r="Z568" s="40" t="str">
        <f aca="false">IF(OR(Y568="",BW568=""),"",Y568/BW568*100)</f>
        <v/>
      </c>
      <c r="AA568" s="41" t="str">
        <f aca="false">IF(Z568="","",IFERROR(MATCH(Z568,INDEX(Boundaries!$B$2:$I$30,MATCH(CK568,Boundaries!$A$2:$A$30,0),0),1)-1,""))</f>
        <v/>
      </c>
      <c r="AB568" s="42" t="str">
        <f aca="false">IF(OR(AA568="",$E568=""),"",AA568-$E568)</f>
        <v/>
      </c>
      <c r="AC568" s="39"/>
      <c r="AD568" s="40" t="str">
        <f aca="false">IF(OR(AC568="",BX568=""),"",AC568/BX568*100)</f>
        <v/>
      </c>
      <c r="AE568" s="41" t="str">
        <f aca="false">IF(AD568="","",IFERROR(MATCH(AD568,INDEX(Boundaries!$B$2:$I$30,MATCH(CL568,Boundaries!$A$2:$A$30,0),0),1)-1,""))</f>
        <v/>
      </c>
      <c r="AF568" s="42" t="str">
        <f aca="false">IF(OR(AE568="",$E568=""),"",AE568-$E568)</f>
        <v/>
      </c>
      <c r="AG568" s="39"/>
      <c r="AH568" s="40" t="str">
        <f aca="false">IF(OR(AG568="",BY568=""),"",AG568/BY568*100)</f>
        <v/>
      </c>
      <c r="AI568" s="41" t="str">
        <f aca="false">IF(AH568="","",IFERROR(MATCH(AH568,INDEX(Boundaries!$B$2:$I$30,MATCH(CM568,Boundaries!$A$2:$A$30,0),0),1)-1,""))</f>
        <v/>
      </c>
      <c r="AJ568" s="42" t="str">
        <f aca="false">IF(OR(AI568="",$E568=""),"",AI568-$E568)</f>
        <v/>
      </c>
      <c r="AK568" s="39"/>
      <c r="AL568" s="40" t="str">
        <f aca="false">IF(OR(AK568="",BZ568=""),"",AK568/BZ568*100)</f>
        <v/>
      </c>
      <c r="AM568" s="41" t="str">
        <f aca="false">IF(AL568="","",IFERROR(MATCH(AL568,INDEX(Boundaries!$B$2:$I$30,MATCH(CN568,Boundaries!$A$2:$A$30,0),0),1)-1,""))</f>
        <v/>
      </c>
      <c r="AN568" s="42" t="str">
        <f aca="false">IF(OR(AM568="",$E568=""),"",AM568-$E568)</f>
        <v/>
      </c>
      <c r="AO568" s="39"/>
      <c r="AP568" s="40" t="str">
        <f aca="false">IF(OR(AO568="",CA568=""),"",AO568/CA568*100)</f>
        <v/>
      </c>
      <c r="AQ568" s="41" t="str">
        <f aca="false">IF(AP568="","",IFERROR(MATCH(AP568,INDEX(Boundaries!$B$2:$I$30,MATCH(CO568,Boundaries!$A$2:$A$30,0),0),1)-1,""))</f>
        <v/>
      </c>
      <c r="AR568" s="42" t="str">
        <f aca="false">IF(OR(AQ568="",$E568=""),"",AQ568-$E568)</f>
        <v/>
      </c>
      <c r="AS568" s="39"/>
      <c r="AT568" s="40" t="str">
        <f aca="false">IF(OR(AS568="",CB568=""),"",AS568/CB568*100)</f>
        <v/>
      </c>
      <c r="AU568" s="41" t="str">
        <f aca="false">IF(AT568="","",IFERROR(MATCH(AT568,INDEX(Boundaries!$B$2:$I$30,MATCH(CP568,Boundaries!$A$2:$A$30,0),0),1)-1,""))</f>
        <v/>
      </c>
      <c r="AV568" s="42" t="str">
        <f aca="false">IF(OR(AU568="",$E568=""),"",AU568-$E568)</f>
        <v/>
      </c>
      <c r="AW568" s="39"/>
      <c r="AX568" s="40" t="str">
        <f aca="false">IF(OR(AW568="",CC568=""),"",AW568/CC568*100)</f>
        <v/>
      </c>
      <c r="AY568" s="41" t="str">
        <f aca="false">IF(AX568="","",IFERROR(MATCH(AX568,INDEX(Boundaries!$B$2:$I$30,MATCH(CQ568,Boundaries!$A$2:$A$30,0),0),1)-1,""))</f>
        <v/>
      </c>
      <c r="AZ568" s="42" t="str">
        <f aca="false">IF(OR(AY568="",$E568=""),"",AY568-$E568)</f>
        <v/>
      </c>
      <c r="BA568" s="39"/>
      <c r="BB568" s="40" t="str">
        <f aca="false">IF(OR(BA568="",CD568=""),"",BA568/CD568*100)</f>
        <v/>
      </c>
      <c r="BC568" s="41" t="str">
        <f aca="false">IF(BB568="","",IFERROR(MATCH(BB568,INDEX(Boundaries!$B$2:$I$30,MATCH(CR568,Boundaries!$A$2:$A$30,0),0),1)-1,""))</f>
        <v/>
      </c>
      <c r="BD568" s="42" t="str">
        <f aca="false">IF(OR(BC568="",$E568=""),"",BC568-$E568)</f>
        <v/>
      </c>
      <c r="BE568" s="39"/>
      <c r="BF568" s="40" t="str">
        <f aca="false">IF(OR(BE568="",CE568=""),"",BE568/CE568*100)</f>
        <v/>
      </c>
      <c r="BG568" s="41" t="str">
        <f aca="false">IF(BF568="","",IFERROR(MATCH(BF568,INDEX(Boundaries!$B$2:$I$30,MATCH(CS568,Boundaries!$A$2:$A$30,0),0),1)-1,""))</f>
        <v/>
      </c>
      <c r="BH568" s="42" t="str">
        <f aca="false">IF(OR(BG568="",$E568=""),"",BG568-$E568)</f>
        <v/>
      </c>
      <c r="BI568" s="39"/>
      <c r="BJ568" s="40" t="str">
        <f aca="false">IF(OR(BI568="",CF568=""),"",BI568/CF568*100)</f>
        <v/>
      </c>
      <c r="BK568" s="41" t="str">
        <f aca="false">IF(BJ568="","",IFERROR(MATCH(BJ568,INDEX(Boundaries!$B$2:$I$30,MATCH(CT568,Boundaries!$A$2:$A$30,0),0),1)-1,""))</f>
        <v/>
      </c>
      <c r="BL568" s="42" t="str">
        <f aca="false">IF(OR(BK568="",$E568=""),"",BK568-$E568)</f>
        <v/>
      </c>
      <c r="BM568" s="39"/>
      <c r="BN568" s="40" t="str">
        <f aca="false">IF(OR(BM568="",CG568=""),"",BM568/CG568*100)</f>
        <v/>
      </c>
      <c r="BO568" s="41" t="str">
        <f aca="false">IF(BN568="","",IFERROR(MATCH(BN568,INDEX(Boundaries!$B$2:$I$30,MATCH(CU568,Boundaries!$A$2:$A$30,0),0),1)-1,""))</f>
        <v/>
      </c>
      <c r="BP568" s="42" t="str">
        <f aca="false">IF(OR(BO568="",$E568=""),"",BO568-$E568)</f>
        <v/>
      </c>
      <c r="BQ568" s="39"/>
      <c r="BR568" s="40" t="str">
        <f aca="false">IF(OR(BQ568="",CH568=""),"",BQ568/CH568*100)</f>
        <v/>
      </c>
      <c r="BS568" s="41" t="str">
        <f aca="false">IF(BR568="","",IFERROR(MATCH(BR568,INDEX(Boundaries!$B$2:$I$30,MATCH(CV568,Boundaries!$A$2:$A$30,0),0),1)-1,""))</f>
        <v/>
      </c>
      <c r="BT568" s="42" t="str">
        <f aca="false">IF(OR(BS568="",$E568=""),"",BS568-$E568)</f>
        <v/>
      </c>
      <c r="BU568" s="28" t="str">
        <f aca="false">IFERROR(INDEX(Assessments!$H$2:$H$600,MATCH($H568&amp;"|"&amp;$I568&amp;"|"&amp;$J568&amp;"|"&amp;1,Assessments!$A$2:$A$600,0)),"")</f>
        <v/>
      </c>
      <c r="BV568" s="28" t="str">
        <f aca="false">IFERROR(INDEX(Assessments!$H$2:$H$600,MATCH($H568&amp;"|"&amp;$I568&amp;"|"&amp;$J568&amp;"|"&amp;2,Assessments!$A$2:$A$600,0)),"")</f>
        <v/>
      </c>
      <c r="BW568" s="28" t="str">
        <f aca="false">IFERROR(INDEX(Assessments!$H$2:$H$600,MATCH($H568&amp;"|"&amp;$I568&amp;"|"&amp;$J568&amp;"|"&amp;3,Assessments!$A$2:$A$600,0)),"")</f>
        <v/>
      </c>
      <c r="BX568" s="28" t="str">
        <f aca="false">IFERROR(INDEX(Assessments!$H$2:$H$600,MATCH($H568&amp;"|"&amp;$I568&amp;"|"&amp;$J568&amp;"|"&amp;4,Assessments!$A$2:$A$600,0)),"")</f>
        <v/>
      </c>
      <c r="BY568" s="28" t="str">
        <f aca="false">IFERROR(INDEX(Assessments!$H$2:$H$600,MATCH($H568&amp;"|"&amp;$I568&amp;"|"&amp;$J568&amp;"|"&amp;5,Assessments!$A$2:$A$600,0)),"")</f>
        <v/>
      </c>
      <c r="BZ568" s="28" t="str">
        <f aca="false">IFERROR(INDEX(Assessments!$H$2:$H$600,MATCH($H568&amp;"|"&amp;$I568&amp;"|"&amp;$J568&amp;"|"&amp;6,Assessments!$A$2:$A$600,0)),"")</f>
        <v/>
      </c>
      <c r="CA568" s="28" t="str">
        <f aca="false">IFERROR(INDEX(Assessments!$H$2:$H$600,MATCH($H568&amp;"|"&amp;$I568&amp;"|"&amp;$J568&amp;"|"&amp;7,Assessments!$A$2:$A$600,0)),"")</f>
        <v/>
      </c>
      <c r="CB568" s="28" t="str">
        <f aca="false">IFERROR(INDEX(Assessments!$H$2:$H$600,MATCH($H568&amp;"|"&amp;$I568&amp;"|"&amp;$J568&amp;"|"&amp;8,Assessments!$A$2:$A$600,0)),"")</f>
        <v/>
      </c>
      <c r="CC568" s="28" t="str">
        <f aca="false">IFERROR(INDEX(Assessments!$H$2:$H$600,MATCH($H568&amp;"|"&amp;$I568&amp;"|"&amp;$J568&amp;"|"&amp;9,Assessments!$A$2:$A$600,0)),"")</f>
        <v/>
      </c>
      <c r="CD568" s="28" t="str">
        <f aca="false">IFERROR(INDEX(Assessments!$H$2:$H$600,MATCH($H568&amp;"|"&amp;$I568&amp;"|"&amp;$J568&amp;"|"&amp;10,Assessments!$A$2:$A$600,0)),"")</f>
        <v/>
      </c>
      <c r="CE568" s="28" t="str">
        <f aca="false">IFERROR(INDEX(Assessments!$H$2:$H$600,MATCH($H568&amp;"|"&amp;$I568&amp;"|"&amp;$J568&amp;"|"&amp;11,Assessments!$A$2:$A$600,0)),"")</f>
        <v/>
      </c>
      <c r="CF568" s="28" t="str">
        <f aca="false">IFERROR(INDEX(Assessments!$H$2:$H$600,MATCH($H568&amp;"|"&amp;$I568&amp;"|"&amp;$J568&amp;"|"&amp;12,Assessments!$A$2:$A$600,0)),"")</f>
        <v/>
      </c>
      <c r="CG568" s="28" t="str">
        <f aca="false">IFERROR(INDEX(Assessments!$H$2:$H$600,MATCH($H568&amp;"|"&amp;$I568&amp;"|"&amp;$J568&amp;"|"&amp;13,Assessments!$A$2:$A$600,0)),"")</f>
        <v/>
      </c>
      <c r="CH568" s="28" t="str">
        <f aca="false">IFERROR(INDEX(Assessments!$H$2:$H$600,MATCH($H568&amp;"|"&amp;$I568&amp;"|"&amp;$J568&amp;"|"&amp;14,Assessments!$A$2:$A$600,0)),"")</f>
        <v/>
      </c>
      <c r="CI568" s="28" t="str">
        <f aca="false">IFERROR(INDEX(Assessments!$I$2:$I$600,MATCH($H568&amp;"|"&amp;$I568&amp;"|"&amp;$J568&amp;"|"&amp;1,Assessments!$A$2:$A$600,0)),"")</f>
        <v/>
      </c>
      <c r="CJ568" s="28" t="str">
        <f aca="false">IFERROR(INDEX(Assessments!$I$2:$I$600,MATCH($H568&amp;"|"&amp;$I568&amp;"|"&amp;$J568&amp;"|"&amp;2,Assessments!$A$2:$A$600,0)),"")</f>
        <v/>
      </c>
      <c r="CK568" s="28" t="str">
        <f aca="false">IFERROR(INDEX(Assessments!$I$2:$I$600,MATCH($H568&amp;"|"&amp;$I568&amp;"|"&amp;$J568&amp;"|"&amp;3,Assessments!$A$2:$A$600,0)),"")</f>
        <v/>
      </c>
      <c r="CL568" s="28" t="str">
        <f aca="false">IFERROR(INDEX(Assessments!$I$2:$I$600,MATCH($H568&amp;"|"&amp;$I568&amp;"|"&amp;$J568&amp;"|"&amp;4,Assessments!$A$2:$A$600,0)),"")</f>
        <v/>
      </c>
      <c r="CM568" s="28" t="str">
        <f aca="false">IFERROR(INDEX(Assessments!$I$2:$I$600,MATCH($H568&amp;"|"&amp;$I568&amp;"|"&amp;$J568&amp;"|"&amp;5,Assessments!$A$2:$A$600,0)),"")</f>
        <v/>
      </c>
      <c r="CN568" s="28" t="str">
        <f aca="false">IFERROR(INDEX(Assessments!$I$2:$I$600,MATCH($H568&amp;"|"&amp;$I568&amp;"|"&amp;$J568&amp;"|"&amp;6,Assessments!$A$2:$A$600,0)),"")</f>
        <v/>
      </c>
      <c r="CO568" s="28" t="str">
        <f aca="false">IFERROR(INDEX(Assessments!$I$2:$I$600,MATCH($H568&amp;"|"&amp;$I568&amp;"|"&amp;$J568&amp;"|"&amp;7,Assessments!$A$2:$A$600,0)),"")</f>
        <v/>
      </c>
      <c r="CP568" s="28" t="str">
        <f aca="false">IFERROR(INDEX(Assessments!$I$2:$I$600,MATCH($H568&amp;"|"&amp;$I568&amp;"|"&amp;$J568&amp;"|"&amp;8,Assessments!$A$2:$A$600,0)),"")</f>
        <v/>
      </c>
      <c r="CQ568" s="28" t="str">
        <f aca="false">IFERROR(INDEX(Assessments!$I$2:$I$600,MATCH($H568&amp;"|"&amp;$I568&amp;"|"&amp;$J568&amp;"|"&amp;9,Assessments!$A$2:$A$600,0)),"")</f>
        <v/>
      </c>
      <c r="CR568" s="28" t="str">
        <f aca="false">IFERROR(INDEX(Assessments!$I$2:$I$600,MATCH($H568&amp;"|"&amp;$I568&amp;"|"&amp;$J568&amp;"|"&amp;10,Assessments!$A$2:$A$600,0)),"")</f>
        <v/>
      </c>
      <c r="CS568" s="28" t="str">
        <f aca="false">IFERROR(INDEX(Assessments!$I$2:$I$600,MATCH($H568&amp;"|"&amp;$I568&amp;"|"&amp;$J568&amp;"|"&amp;11,Assessments!$A$2:$A$600,0)),"")</f>
        <v/>
      </c>
      <c r="CT568" s="28" t="str">
        <f aca="false">IFERROR(INDEX(Assessments!$I$2:$I$600,MATCH($H568&amp;"|"&amp;$I568&amp;"|"&amp;$J568&amp;"|"&amp;12,Assessments!$A$2:$A$600,0)),"")</f>
        <v/>
      </c>
      <c r="CU568" s="28" t="str">
        <f aca="false">IFERROR(INDEX(Assessments!$I$2:$I$600,MATCH($H568&amp;"|"&amp;$I568&amp;"|"&amp;$J568&amp;"|"&amp;13,Assessments!$A$2:$A$600,0)),"")</f>
        <v/>
      </c>
      <c r="CV568" s="28" t="str">
        <f aca="false">IFERROR(INDEX(Assessments!$I$2:$I$600,MATCH($H568&amp;"|"&amp;$I568&amp;"|"&amp;$J568&amp;"|"&amp;14,Assessments!$A$2:$A$600,0)),"")</f>
        <v/>
      </c>
      <c r="CW568" s="28" t="n">
        <f aca="false">IFERROR(INDEX(Assessments!$J$2:$J$600,MATCH($H568&amp;"|"&amp;$I568&amp;"|"&amp;$J568&amp;"|"&amp;1,Assessments!$A$2:$A$600,0)),0)</f>
        <v>0</v>
      </c>
      <c r="CX568" s="28" t="n">
        <f aca="false">IFERROR(INDEX(Assessments!$J$2:$J$600,MATCH($H568&amp;"|"&amp;$I568&amp;"|"&amp;$J568&amp;"|"&amp;2,Assessments!$A$2:$A$600,0)),0)</f>
        <v>0</v>
      </c>
      <c r="CY568" s="28" t="n">
        <f aca="false">IFERROR(INDEX(Assessments!$J$2:$J$600,MATCH($H568&amp;"|"&amp;$I568&amp;"|"&amp;$J568&amp;"|"&amp;3,Assessments!$A$2:$A$600,0)),0)</f>
        <v>0</v>
      </c>
      <c r="CZ568" s="28" t="n">
        <f aca="false">IFERROR(INDEX(Assessments!$J$2:$J$600,MATCH($H568&amp;"|"&amp;$I568&amp;"|"&amp;$J568&amp;"|"&amp;4,Assessments!$A$2:$A$600,0)),0)</f>
        <v>0</v>
      </c>
      <c r="DA568" s="28" t="n">
        <f aca="false">IFERROR(INDEX(Assessments!$J$2:$J$600,MATCH($H568&amp;"|"&amp;$I568&amp;"|"&amp;$J568&amp;"|"&amp;5,Assessments!$A$2:$A$600,0)),0)</f>
        <v>0</v>
      </c>
      <c r="DB568" s="28" t="n">
        <f aca="false">IFERROR(INDEX(Assessments!$J$2:$J$600,MATCH($H568&amp;"|"&amp;$I568&amp;"|"&amp;$J568&amp;"|"&amp;6,Assessments!$A$2:$A$600,0)),0)</f>
        <v>0</v>
      </c>
      <c r="DC568" s="28" t="n">
        <f aca="false">IFERROR(INDEX(Assessments!$J$2:$J$600,MATCH($H568&amp;"|"&amp;$I568&amp;"|"&amp;$J568&amp;"|"&amp;7,Assessments!$A$2:$A$600,0)),0)</f>
        <v>0</v>
      </c>
      <c r="DD568" s="28" t="n">
        <f aca="false">IFERROR(INDEX(Assessments!$J$2:$J$600,MATCH($H568&amp;"|"&amp;$I568&amp;"|"&amp;$J568&amp;"|"&amp;8,Assessments!$A$2:$A$600,0)),0)</f>
        <v>0</v>
      </c>
      <c r="DE568" s="28" t="n">
        <f aca="false">IFERROR(INDEX(Assessments!$J$2:$J$600,MATCH($H568&amp;"|"&amp;$I568&amp;"|"&amp;$J568&amp;"|"&amp;9,Assessments!$A$2:$A$600,0)),0)</f>
        <v>0</v>
      </c>
      <c r="DF568" s="28" t="n">
        <f aca="false">IFERROR(INDEX(Assessments!$J$2:$J$600,MATCH($H568&amp;"|"&amp;$I568&amp;"|"&amp;$J568&amp;"|"&amp;10,Assessments!$A$2:$A$600,0)),0)</f>
        <v>0</v>
      </c>
      <c r="DG568" s="28" t="n">
        <f aca="false">IFERROR(INDEX(Assessments!$J$2:$J$600,MATCH($H568&amp;"|"&amp;$I568&amp;"|"&amp;$J568&amp;"|"&amp;11,Assessments!$A$2:$A$600,0)),0)</f>
        <v>0</v>
      </c>
      <c r="DH568" s="28" t="n">
        <f aca="false">IFERROR(INDEX(Assessments!$J$2:$J$600,MATCH($H568&amp;"|"&amp;$I568&amp;"|"&amp;$J568&amp;"|"&amp;12,Assessments!$A$2:$A$600,0)),0)</f>
        <v>0</v>
      </c>
      <c r="DI568" s="28" t="n">
        <f aca="false">IFERROR(INDEX(Assessments!$J$2:$J$600,MATCH($H568&amp;"|"&amp;$I568&amp;"|"&amp;$J568&amp;"|"&amp;13,Assessments!$A$2:$A$600,0)),0)</f>
        <v>0</v>
      </c>
      <c r="DJ568" s="28" t="n">
        <f aca="false">IFERROR(INDEX(Assessments!$J$2:$J$600,MATCH($H568&amp;"|"&amp;$I568&amp;"|"&amp;$J568&amp;"|"&amp;14,Assessments!$A$2:$A$600,0)),0)</f>
        <v>0</v>
      </c>
      <c r="DK568" s="28" t="str">
        <f aca="false">S568</f>
        <v/>
      </c>
      <c r="DL568" s="28" t="str">
        <f aca="false">W568</f>
        <v/>
      </c>
      <c r="DM568" s="28" t="str">
        <f aca="false">AA568</f>
        <v/>
      </c>
      <c r="DN568" s="28" t="str">
        <f aca="false">AE568</f>
        <v/>
      </c>
      <c r="DO568" s="28" t="str">
        <f aca="false">AI568</f>
        <v/>
      </c>
      <c r="DP568" s="28" t="str">
        <f aca="false">AM568</f>
        <v/>
      </c>
      <c r="DQ568" s="28" t="str">
        <f aca="false">AQ568</f>
        <v/>
      </c>
      <c r="DR568" s="28" t="str">
        <f aca="false">AU568</f>
        <v/>
      </c>
      <c r="DS568" s="28" t="str">
        <f aca="false">AY568</f>
        <v/>
      </c>
      <c r="DT568" s="28" t="str">
        <f aca="false">BC568</f>
        <v/>
      </c>
      <c r="DU568" s="28" t="str">
        <f aca="false">BG568</f>
        <v/>
      </c>
      <c r="DV568" s="28" t="str">
        <f aca="false">BK568</f>
        <v/>
      </c>
      <c r="DW568" s="28" t="str">
        <f aca="false">BO568</f>
        <v/>
      </c>
      <c r="DX568" s="28" t="str">
        <f aca="false">BS568</f>
        <v/>
      </c>
      <c r="DY568" s="28" t="str">
        <f aca="false">IF(ISNUMBER(S568),1,"")</f>
        <v/>
      </c>
      <c r="DZ568" s="28" t="str">
        <f aca="false">IF(ISNUMBER(W568),2,"")</f>
        <v/>
      </c>
      <c r="EA568" s="28" t="str">
        <f aca="false">IF(ISNUMBER(AA568),3,"")</f>
        <v/>
      </c>
      <c r="EB568" s="28" t="str">
        <f aca="false">IF(ISNUMBER(AE568),4,"")</f>
        <v/>
      </c>
      <c r="EC568" s="28" t="str">
        <f aca="false">IF(ISNUMBER(AI568),5,"")</f>
        <v/>
      </c>
      <c r="ED568" s="28" t="str">
        <f aca="false">IF(ISNUMBER(AM568),6,"")</f>
        <v/>
      </c>
      <c r="EE568" s="28" t="str">
        <f aca="false">IF(ISNUMBER(AQ568),7,"")</f>
        <v/>
      </c>
      <c r="EF568" s="28" t="str">
        <f aca="false">IF(ISNUMBER(AU568),8,"")</f>
        <v/>
      </c>
      <c r="EG568" s="28" t="str">
        <f aca="false">IF(ISNUMBER(AY568),9,"")</f>
        <v/>
      </c>
      <c r="EH568" s="28" t="str">
        <f aca="false">IF(ISNUMBER(BC568),10,"")</f>
        <v/>
      </c>
      <c r="EI568" s="28" t="str">
        <f aca="false">IF(ISNUMBER(BG568),11,"")</f>
        <v/>
      </c>
      <c r="EJ568" s="28" t="str">
        <f aca="false">IF(ISNUMBER(BK568),12,"")</f>
        <v/>
      </c>
      <c r="EK568" s="28" t="str">
        <f aca="false">IF(ISNUMBER(BO568),13,"")</f>
        <v/>
      </c>
      <c r="EL568" s="28" t="str">
        <f aca="false">IF(ISNUMBER(BS568),14,"")</f>
        <v/>
      </c>
      <c r="EM568" s="28" t="n">
        <f aca="false">IF(ISNUMBER(R568),R568*CW568,0)</f>
        <v>0</v>
      </c>
      <c r="EN568" s="28" t="n">
        <f aca="false">IF(ISNUMBER(V568),V568*CX568,0)</f>
        <v>0</v>
      </c>
      <c r="EO568" s="28" t="n">
        <f aca="false">IF(ISNUMBER(Z568),Z568*CY568,0)</f>
        <v>0</v>
      </c>
      <c r="EP568" s="28" t="n">
        <f aca="false">IF(ISNUMBER(AD568),AD568*CZ568,0)</f>
        <v>0</v>
      </c>
      <c r="EQ568" s="28" t="n">
        <f aca="false">IF(ISNUMBER(AH568),AH568*DA568,0)</f>
        <v>0</v>
      </c>
      <c r="ER568" s="28" t="n">
        <f aca="false">IF(ISNUMBER(AL568),AL568*DB568,0)</f>
        <v>0</v>
      </c>
      <c r="ES568" s="28" t="n">
        <f aca="false">IF(ISNUMBER(AP568),AP568*DC568,0)</f>
        <v>0</v>
      </c>
      <c r="ET568" s="28" t="n">
        <f aca="false">IF(ISNUMBER(AT568),AT568*DD568,0)</f>
        <v>0</v>
      </c>
      <c r="EU568" s="28" t="n">
        <f aca="false">IF(ISNUMBER(AX568),AX568*DE568,0)</f>
        <v>0</v>
      </c>
      <c r="EV568" s="28" t="n">
        <f aca="false">IF(ISNUMBER(BB568),BB568*DF568,0)</f>
        <v>0</v>
      </c>
      <c r="EW568" s="28" t="n">
        <f aca="false">IF(ISNUMBER(BF568),BF568*DG568,0)</f>
        <v>0</v>
      </c>
      <c r="EX568" s="28" t="n">
        <f aca="false">IF(ISNUMBER(BJ568),BJ568*DH568,0)</f>
        <v>0</v>
      </c>
      <c r="EY568" s="28" t="n">
        <f aca="false">IF(ISNUMBER(BN568),BN568*DI568,0)</f>
        <v>0</v>
      </c>
      <c r="EZ568" s="28" t="n">
        <f aca="false">IF(ISNUMBER(BR568),BR568*DJ568,0)</f>
        <v>0</v>
      </c>
      <c r="FA568" s="28" t="n">
        <f aca="false">IF(ISNUMBER(R568),CW568,0)</f>
        <v>0</v>
      </c>
      <c r="FB568" s="28" t="n">
        <f aca="false">IF(ISNUMBER(V568),CX568,0)</f>
        <v>0</v>
      </c>
      <c r="FC568" s="28" t="n">
        <f aca="false">IF(ISNUMBER(Z568),CY568,0)</f>
        <v>0</v>
      </c>
      <c r="FD568" s="28" t="n">
        <f aca="false">IF(ISNUMBER(AD568),CZ568,0)</f>
        <v>0</v>
      </c>
      <c r="FE568" s="28" t="n">
        <f aca="false">IF(ISNUMBER(AH568),DA568,0)</f>
        <v>0</v>
      </c>
      <c r="FF568" s="28" t="n">
        <f aca="false">IF(ISNUMBER(AL568),DB568,0)</f>
        <v>0</v>
      </c>
      <c r="FG568" s="28" t="n">
        <f aca="false">IF(ISNUMBER(AP568),DC568,0)</f>
        <v>0</v>
      </c>
      <c r="FH568" s="28" t="n">
        <f aca="false">IF(ISNUMBER(AT568),DD568,0)</f>
        <v>0</v>
      </c>
      <c r="FI568" s="28" t="n">
        <f aca="false">IF(ISNUMBER(AX568),DE568,0)</f>
        <v>0</v>
      </c>
      <c r="FJ568" s="28" t="n">
        <f aca="false">IF(ISNUMBER(BB568),DF568,0)</f>
        <v>0</v>
      </c>
      <c r="FK568" s="28" t="n">
        <f aca="false">IF(ISNUMBER(BF568),DG568,0)</f>
        <v>0</v>
      </c>
      <c r="FL568" s="28" t="n">
        <f aca="false">IF(ISNUMBER(BJ568),DH568,0)</f>
        <v>0</v>
      </c>
      <c r="FM568" s="28" t="n">
        <f aca="false">IF(ISNUMBER(BN568),DI568,0)</f>
        <v>0</v>
      </c>
      <c r="FN568" s="28" t="n">
        <f aca="false">IF(ISNUMBER(BR568),DJ568,0)</f>
        <v>0</v>
      </c>
      <c r="FO568" s="28" t="str">
        <f aca="false">IFERROR(INDEX(Lists!$G$2:$G$20,MATCH($I568&amp;"|"&amp;$J568,Lists!$F$2:$F$20,0)),"")</f>
        <v/>
      </c>
    </row>
    <row r="569" customFormat="false" ht="19.5" hidden="false" customHeight="true" outlineLevel="0" collapsed="false">
      <c r="A569" s="29"/>
      <c r="B569" s="29"/>
      <c r="C569" s="30"/>
      <c r="D569" s="30"/>
      <c r="E569" s="31"/>
      <c r="F569" s="30"/>
      <c r="G569" s="30"/>
      <c r="H569" s="32"/>
      <c r="I569" s="33"/>
      <c r="J569" s="32"/>
      <c r="K569" s="34" t="str">
        <f aca="false">IF(OR(M569="",$E569=""),"",M569-$E569)</f>
        <v/>
      </c>
      <c r="L569" s="35" t="str">
        <f aca="false">IF(SUM(FA569:FN569)=0,"",SUM(EM569:EZ569)/SUM(FA569:FN569))</f>
        <v/>
      </c>
      <c r="M569" s="36" t="str">
        <f aca="false">IF(OR(L569="",FO569=""),"",IFERROR(MATCH(L569,INDEX(Boundaries!$B$2:$I$30,MATCH(FO569,Boundaries!$A$2:$A$30,0),0),1)-1,""))</f>
        <v/>
      </c>
      <c r="N569" s="37" t="str">
        <f aca="false">IF(COUNT($DY569:$EL569)&lt;2,"",INDEX($DK569:$DX569,MAX($DY569:$EL569))-INDEX($DK569:$DX569,MIN($DY569:$EL569)))</f>
        <v/>
      </c>
      <c r="O569" s="37" t="str">
        <f aca="false">IF(COUNT($DY569:$EL569)&lt;2,"",INDEX($DK569:$DX569,MAX($DY569:$EL569))-INDEX($DK569:$DX569,LARGE($DY569:$EL569,2)))</f>
        <v/>
      </c>
      <c r="P569" s="38" t="str">
        <f aca="false">IF(K569="","",IF(K569&gt;=0,"On/above target",IF(AND(N569&lt;&gt;"",N569&gt;=0.5),"Improving towards target",IF(AND(O569&lt;&gt;"",O569&lt;=-0.5),"Declining","Stable below target"))))</f>
        <v/>
      </c>
      <c r="Q569" s="39"/>
      <c r="R569" s="40" t="str">
        <f aca="false">IF(OR(Q569="",BU569=""),"",Q569/BU569*100)</f>
        <v/>
      </c>
      <c r="S569" s="41" t="str">
        <f aca="false">IF(R569="","",IFERROR(MATCH(R569,INDEX(Boundaries!$B$2:$I$30,MATCH(CI569,Boundaries!$A$2:$A$30,0),0),1)-1,""))</f>
        <v/>
      </c>
      <c r="T569" s="42" t="str">
        <f aca="false">IF(OR(S569="",$E569=""),"",S569-$E569)</f>
        <v/>
      </c>
      <c r="U569" s="39"/>
      <c r="V569" s="40" t="str">
        <f aca="false">IF(OR(U569="",BV569=""),"",U569/BV569*100)</f>
        <v/>
      </c>
      <c r="W569" s="41" t="str">
        <f aca="false">IF(V569="","",IFERROR(MATCH(V569,INDEX(Boundaries!$B$2:$I$30,MATCH(CJ569,Boundaries!$A$2:$A$30,0),0),1)-1,""))</f>
        <v/>
      </c>
      <c r="X569" s="42" t="str">
        <f aca="false">IF(OR(W569="",$E569=""),"",W569-$E569)</f>
        <v/>
      </c>
      <c r="Y569" s="39"/>
      <c r="Z569" s="40" t="str">
        <f aca="false">IF(OR(Y569="",BW569=""),"",Y569/BW569*100)</f>
        <v/>
      </c>
      <c r="AA569" s="41" t="str">
        <f aca="false">IF(Z569="","",IFERROR(MATCH(Z569,INDEX(Boundaries!$B$2:$I$30,MATCH(CK569,Boundaries!$A$2:$A$30,0),0),1)-1,""))</f>
        <v/>
      </c>
      <c r="AB569" s="42" t="str">
        <f aca="false">IF(OR(AA569="",$E569=""),"",AA569-$E569)</f>
        <v/>
      </c>
      <c r="AC569" s="39"/>
      <c r="AD569" s="40" t="str">
        <f aca="false">IF(OR(AC569="",BX569=""),"",AC569/BX569*100)</f>
        <v/>
      </c>
      <c r="AE569" s="41" t="str">
        <f aca="false">IF(AD569="","",IFERROR(MATCH(AD569,INDEX(Boundaries!$B$2:$I$30,MATCH(CL569,Boundaries!$A$2:$A$30,0),0),1)-1,""))</f>
        <v/>
      </c>
      <c r="AF569" s="42" t="str">
        <f aca="false">IF(OR(AE569="",$E569=""),"",AE569-$E569)</f>
        <v/>
      </c>
      <c r="AG569" s="39"/>
      <c r="AH569" s="40" t="str">
        <f aca="false">IF(OR(AG569="",BY569=""),"",AG569/BY569*100)</f>
        <v/>
      </c>
      <c r="AI569" s="41" t="str">
        <f aca="false">IF(AH569="","",IFERROR(MATCH(AH569,INDEX(Boundaries!$B$2:$I$30,MATCH(CM569,Boundaries!$A$2:$A$30,0),0),1)-1,""))</f>
        <v/>
      </c>
      <c r="AJ569" s="42" t="str">
        <f aca="false">IF(OR(AI569="",$E569=""),"",AI569-$E569)</f>
        <v/>
      </c>
      <c r="AK569" s="39"/>
      <c r="AL569" s="40" t="str">
        <f aca="false">IF(OR(AK569="",BZ569=""),"",AK569/BZ569*100)</f>
        <v/>
      </c>
      <c r="AM569" s="41" t="str">
        <f aca="false">IF(AL569="","",IFERROR(MATCH(AL569,INDEX(Boundaries!$B$2:$I$30,MATCH(CN569,Boundaries!$A$2:$A$30,0),0),1)-1,""))</f>
        <v/>
      </c>
      <c r="AN569" s="42" t="str">
        <f aca="false">IF(OR(AM569="",$E569=""),"",AM569-$E569)</f>
        <v/>
      </c>
      <c r="AO569" s="39"/>
      <c r="AP569" s="40" t="str">
        <f aca="false">IF(OR(AO569="",CA569=""),"",AO569/CA569*100)</f>
        <v/>
      </c>
      <c r="AQ569" s="41" t="str">
        <f aca="false">IF(AP569="","",IFERROR(MATCH(AP569,INDEX(Boundaries!$B$2:$I$30,MATCH(CO569,Boundaries!$A$2:$A$30,0),0),1)-1,""))</f>
        <v/>
      </c>
      <c r="AR569" s="42" t="str">
        <f aca="false">IF(OR(AQ569="",$E569=""),"",AQ569-$E569)</f>
        <v/>
      </c>
      <c r="AS569" s="39"/>
      <c r="AT569" s="40" t="str">
        <f aca="false">IF(OR(AS569="",CB569=""),"",AS569/CB569*100)</f>
        <v/>
      </c>
      <c r="AU569" s="41" t="str">
        <f aca="false">IF(AT569="","",IFERROR(MATCH(AT569,INDEX(Boundaries!$B$2:$I$30,MATCH(CP569,Boundaries!$A$2:$A$30,0),0),1)-1,""))</f>
        <v/>
      </c>
      <c r="AV569" s="42" t="str">
        <f aca="false">IF(OR(AU569="",$E569=""),"",AU569-$E569)</f>
        <v/>
      </c>
      <c r="AW569" s="39"/>
      <c r="AX569" s="40" t="str">
        <f aca="false">IF(OR(AW569="",CC569=""),"",AW569/CC569*100)</f>
        <v/>
      </c>
      <c r="AY569" s="41" t="str">
        <f aca="false">IF(AX569="","",IFERROR(MATCH(AX569,INDEX(Boundaries!$B$2:$I$30,MATCH(CQ569,Boundaries!$A$2:$A$30,0),0),1)-1,""))</f>
        <v/>
      </c>
      <c r="AZ569" s="42" t="str">
        <f aca="false">IF(OR(AY569="",$E569=""),"",AY569-$E569)</f>
        <v/>
      </c>
      <c r="BA569" s="39"/>
      <c r="BB569" s="40" t="str">
        <f aca="false">IF(OR(BA569="",CD569=""),"",BA569/CD569*100)</f>
        <v/>
      </c>
      <c r="BC569" s="41" t="str">
        <f aca="false">IF(BB569="","",IFERROR(MATCH(BB569,INDEX(Boundaries!$B$2:$I$30,MATCH(CR569,Boundaries!$A$2:$A$30,0),0),1)-1,""))</f>
        <v/>
      </c>
      <c r="BD569" s="42" t="str">
        <f aca="false">IF(OR(BC569="",$E569=""),"",BC569-$E569)</f>
        <v/>
      </c>
      <c r="BE569" s="39"/>
      <c r="BF569" s="40" t="str">
        <f aca="false">IF(OR(BE569="",CE569=""),"",BE569/CE569*100)</f>
        <v/>
      </c>
      <c r="BG569" s="41" t="str">
        <f aca="false">IF(BF569="","",IFERROR(MATCH(BF569,INDEX(Boundaries!$B$2:$I$30,MATCH(CS569,Boundaries!$A$2:$A$30,0),0),1)-1,""))</f>
        <v/>
      </c>
      <c r="BH569" s="42" t="str">
        <f aca="false">IF(OR(BG569="",$E569=""),"",BG569-$E569)</f>
        <v/>
      </c>
      <c r="BI569" s="39"/>
      <c r="BJ569" s="40" t="str">
        <f aca="false">IF(OR(BI569="",CF569=""),"",BI569/CF569*100)</f>
        <v/>
      </c>
      <c r="BK569" s="41" t="str">
        <f aca="false">IF(BJ569="","",IFERROR(MATCH(BJ569,INDEX(Boundaries!$B$2:$I$30,MATCH(CT569,Boundaries!$A$2:$A$30,0),0),1)-1,""))</f>
        <v/>
      </c>
      <c r="BL569" s="42" t="str">
        <f aca="false">IF(OR(BK569="",$E569=""),"",BK569-$E569)</f>
        <v/>
      </c>
      <c r="BM569" s="39"/>
      <c r="BN569" s="40" t="str">
        <f aca="false">IF(OR(BM569="",CG569=""),"",BM569/CG569*100)</f>
        <v/>
      </c>
      <c r="BO569" s="41" t="str">
        <f aca="false">IF(BN569="","",IFERROR(MATCH(BN569,INDEX(Boundaries!$B$2:$I$30,MATCH(CU569,Boundaries!$A$2:$A$30,0),0),1)-1,""))</f>
        <v/>
      </c>
      <c r="BP569" s="42" t="str">
        <f aca="false">IF(OR(BO569="",$E569=""),"",BO569-$E569)</f>
        <v/>
      </c>
      <c r="BQ569" s="39"/>
      <c r="BR569" s="40" t="str">
        <f aca="false">IF(OR(BQ569="",CH569=""),"",BQ569/CH569*100)</f>
        <v/>
      </c>
      <c r="BS569" s="41" t="str">
        <f aca="false">IF(BR569="","",IFERROR(MATCH(BR569,INDEX(Boundaries!$B$2:$I$30,MATCH(CV569,Boundaries!$A$2:$A$30,0),0),1)-1,""))</f>
        <v/>
      </c>
      <c r="BT569" s="42" t="str">
        <f aca="false">IF(OR(BS569="",$E569=""),"",BS569-$E569)</f>
        <v/>
      </c>
      <c r="BU569" s="28" t="str">
        <f aca="false">IFERROR(INDEX(Assessments!$H$2:$H$600,MATCH($H569&amp;"|"&amp;$I569&amp;"|"&amp;$J569&amp;"|"&amp;1,Assessments!$A$2:$A$600,0)),"")</f>
        <v/>
      </c>
      <c r="BV569" s="28" t="str">
        <f aca="false">IFERROR(INDEX(Assessments!$H$2:$H$600,MATCH($H569&amp;"|"&amp;$I569&amp;"|"&amp;$J569&amp;"|"&amp;2,Assessments!$A$2:$A$600,0)),"")</f>
        <v/>
      </c>
      <c r="BW569" s="28" t="str">
        <f aca="false">IFERROR(INDEX(Assessments!$H$2:$H$600,MATCH($H569&amp;"|"&amp;$I569&amp;"|"&amp;$J569&amp;"|"&amp;3,Assessments!$A$2:$A$600,0)),"")</f>
        <v/>
      </c>
      <c r="BX569" s="28" t="str">
        <f aca="false">IFERROR(INDEX(Assessments!$H$2:$H$600,MATCH($H569&amp;"|"&amp;$I569&amp;"|"&amp;$J569&amp;"|"&amp;4,Assessments!$A$2:$A$600,0)),"")</f>
        <v/>
      </c>
      <c r="BY569" s="28" t="str">
        <f aca="false">IFERROR(INDEX(Assessments!$H$2:$H$600,MATCH($H569&amp;"|"&amp;$I569&amp;"|"&amp;$J569&amp;"|"&amp;5,Assessments!$A$2:$A$600,0)),"")</f>
        <v/>
      </c>
      <c r="BZ569" s="28" t="str">
        <f aca="false">IFERROR(INDEX(Assessments!$H$2:$H$600,MATCH($H569&amp;"|"&amp;$I569&amp;"|"&amp;$J569&amp;"|"&amp;6,Assessments!$A$2:$A$600,0)),"")</f>
        <v/>
      </c>
      <c r="CA569" s="28" t="str">
        <f aca="false">IFERROR(INDEX(Assessments!$H$2:$H$600,MATCH($H569&amp;"|"&amp;$I569&amp;"|"&amp;$J569&amp;"|"&amp;7,Assessments!$A$2:$A$600,0)),"")</f>
        <v/>
      </c>
      <c r="CB569" s="28" t="str">
        <f aca="false">IFERROR(INDEX(Assessments!$H$2:$H$600,MATCH($H569&amp;"|"&amp;$I569&amp;"|"&amp;$J569&amp;"|"&amp;8,Assessments!$A$2:$A$600,0)),"")</f>
        <v/>
      </c>
      <c r="CC569" s="28" t="str">
        <f aca="false">IFERROR(INDEX(Assessments!$H$2:$H$600,MATCH($H569&amp;"|"&amp;$I569&amp;"|"&amp;$J569&amp;"|"&amp;9,Assessments!$A$2:$A$600,0)),"")</f>
        <v/>
      </c>
      <c r="CD569" s="28" t="str">
        <f aca="false">IFERROR(INDEX(Assessments!$H$2:$H$600,MATCH($H569&amp;"|"&amp;$I569&amp;"|"&amp;$J569&amp;"|"&amp;10,Assessments!$A$2:$A$600,0)),"")</f>
        <v/>
      </c>
      <c r="CE569" s="28" t="str">
        <f aca="false">IFERROR(INDEX(Assessments!$H$2:$H$600,MATCH($H569&amp;"|"&amp;$I569&amp;"|"&amp;$J569&amp;"|"&amp;11,Assessments!$A$2:$A$600,0)),"")</f>
        <v/>
      </c>
      <c r="CF569" s="28" t="str">
        <f aca="false">IFERROR(INDEX(Assessments!$H$2:$H$600,MATCH($H569&amp;"|"&amp;$I569&amp;"|"&amp;$J569&amp;"|"&amp;12,Assessments!$A$2:$A$600,0)),"")</f>
        <v/>
      </c>
      <c r="CG569" s="28" t="str">
        <f aca="false">IFERROR(INDEX(Assessments!$H$2:$H$600,MATCH($H569&amp;"|"&amp;$I569&amp;"|"&amp;$J569&amp;"|"&amp;13,Assessments!$A$2:$A$600,0)),"")</f>
        <v/>
      </c>
      <c r="CH569" s="28" t="str">
        <f aca="false">IFERROR(INDEX(Assessments!$H$2:$H$600,MATCH($H569&amp;"|"&amp;$I569&amp;"|"&amp;$J569&amp;"|"&amp;14,Assessments!$A$2:$A$600,0)),"")</f>
        <v/>
      </c>
      <c r="CI569" s="28" t="str">
        <f aca="false">IFERROR(INDEX(Assessments!$I$2:$I$600,MATCH($H569&amp;"|"&amp;$I569&amp;"|"&amp;$J569&amp;"|"&amp;1,Assessments!$A$2:$A$600,0)),"")</f>
        <v/>
      </c>
      <c r="CJ569" s="28" t="str">
        <f aca="false">IFERROR(INDEX(Assessments!$I$2:$I$600,MATCH($H569&amp;"|"&amp;$I569&amp;"|"&amp;$J569&amp;"|"&amp;2,Assessments!$A$2:$A$600,0)),"")</f>
        <v/>
      </c>
      <c r="CK569" s="28" t="str">
        <f aca="false">IFERROR(INDEX(Assessments!$I$2:$I$600,MATCH($H569&amp;"|"&amp;$I569&amp;"|"&amp;$J569&amp;"|"&amp;3,Assessments!$A$2:$A$600,0)),"")</f>
        <v/>
      </c>
      <c r="CL569" s="28" t="str">
        <f aca="false">IFERROR(INDEX(Assessments!$I$2:$I$600,MATCH($H569&amp;"|"&amp;$I569&amp;"|"&amp;$J569&amp;"|"&amp;4,Assessments!$A$2:$A$600,0)),"")</f>
        <v/>
      </c>
      <c r="CM569" s="28" t="str">
        <f aca="false">IFERROR(INDEX(Assessments!$I$2:$I$600,MATCH($H569&amp;"|"&amp;$I569&amp;"|"&amp;$J569&amp;"|"&amp;5,Assessments!$A$2:$A$600,0)),"")</f>
        <v/>
      </c>
      <c r="CN569" s="28" t="str">
        <f aca="false">IFERROR(INDEX(Assessments!$I$2:$I$600,MATCH($H569&amp;"|"&amp;$I569&amp;"|"&amp;$J569&amp;"|"&amp;6,Assessments!$A$2:$A$600,0)),"")</f>
        <v/>
      </c>
      <c r="CO569" s="28" t="str">
        <f aca="false">IFERROR(INDEX(Assessments!$I$2:$I$600,MATCH($H569&amp;"|"&amp;$I569&amp;"|"&amp;$J569&amp;"|"&amp;7,Assessments!$A$2:$A$600,0)),"")</f>
        <v/>
      </c>
      <c r="CP569" s="28" t="str">
        <f aca="false">IFERROR(INDEX(Assessments!$I$2:$I$600,MATCH($H569&amp;"|"&amp;$I569&amp;"|"&amp;$J569&amp;"|"&amp;8,Assessments!$A$2:$A$600,0)),"")</f>
        <v/>
      </c>
      <c r="CQ569" s="28" t="str">
        <f aca="false">IFERROR(INDEX(Assessments!$I$2:$I$600,MATCH($H569&amp;"|"&amp;$I569&amp;"|"&amp;$J569&amp;"|"&amp;9,Assessments!$A$2:$A$600,0)),"")</f>
        <v/>
      </c>
      <c r="CR569" s="28" t="str">
        <f aca="false">IFERROR(INDEX(Assessments!$I$2:$I$600,MATCH($H569&amp;"|"&amp;$I569&amp;"|"&amp;$J569&amp;"|"&amp;10,Assessments!$A$2:$A$600,0)),"")</f>
        <v/>
      </c>
      <c r="CS569" s="28" t="str">
        <f aca="false">IFERROR(INDEX(Assessments!$I$2:$I$600,MATCH($H569&amp;"|"&amp;$I569&amp;"|"&amp;$J569&amp;"|"&amp;11,Assessments!$A$2:$A$600,0)),"")</f>
        <v/>
      </c>
      <c r="CT569" s="28" t="str">
        <f aca="false">IFERROR(INDEX(Assessments!$I$2:$I$600,MATCH($H569&amp;"|"&amp;$I569&amp;"|"&amp;$J569&amp;"|"&amp;12,Assessments!$A$2:$A$600,0)),"")</f>
        <v/>
      </c>
      <c r="CU569" s="28" t="str">
        <f aca="false">IFERROR(INDEX(Assessments!$I$2:$I$600,MATCH($H569&amp;"|"&amp;$I569&amp;"|"&amp;$J569&amp;"|"&amp;13,Assessments!$A$2:$A$600,0)),"")</f>
        <v/>
      </c>
      <c r="CV569" s="28" t="str">
        <f aca="false">IFERROR(INDEX(Assessments!$I$2:$I$600,MATCH($H569&amp;"|"&amp;$I569&amp;"|"&amp;$J569&amp;"|"&amp;14,Assessments!$A$2:$A$600,0)),"")</f>
        <v/>
      </c>
      <c r="CW569" s="28" t="n">
        <f aca="false">IFERROR(INDEX(Assessments!$J$2:$J$600,MATCH($H569&amp;"|"&amp;$I569&amp;"|"&amp;$J569&amp;"|"&amp;1,Assessments!$A$2:$A$600,0)),0)</f>
        <v>0</v>
      </c>
      <c r="CX569" s="28" t="n">
        <f aca="false">IFERROR(INDEX(Assessments!$J$2:$J$600,MATCH($H569&amp;"|"&amp;$I569&amp;"|"&amp;$J569&amp;"|"&amp;2,Assessments!$A$2:$A$600,0)),0)</f>
        <v>0</v>
      </c>
      <c r="CY569" s="28" t="n">
        <f aca="false">IFERROR(INDEX(Assessments!$J$2:$J$600,MATCH($H569&amp;"|"&amp;$I569&amp;"|"&amp;$J569&amp;"|"&amp;3,Assessments!$A$2:$A$600,0)),0)</f>
        <v>0</v>
      </c>
      <c r="CZ569" s="28" t="n">
        <f aca="false">IFERROR(INDEX(Assessments!$J$2:$J$600,MATCH($H569&amp;"|"&amp;$I569&amp;"|"&amp;$J569&amp;"|"&amp;4,Assessments!$A$2:$A$600,0)),0)</f>
        <v>0</v>
      </c>
      <c r="DA569" s="28" t="n">
        <f aca="false">IFERROR(INDEX(Assessments!$J$2:$J$600,MATCH($H569&amp;"|"&amp;$I569&amp;"|"&amp;$J569&amp;"|"&amp;5,Assessments!$A$2:$A$600,0)),0)</f>
        <v>0</v>
      </c>
      <c r="DB569" s="28" t="n">
        <f aca="false">IFERROR(INDEX(Assessments!$J$2:$J$600,MATCH($H569&amp;"|"&amp;$I569&amp;"|"&amp;$J569&amp;"|"&amp;6,Assessments!$A$2:$A$600,0)),0)</f>
        <v>0</v>
      </c>
      <c r="DC569" s="28" t="n">
        <f aca="false">IFERROR(INDEX(Assessments!$J$2:$J$600,MATCH($H569&amp;"|"&amp;$I569&amp;"|"&amp;$J569&amp;"|"&amp;7,Assessments!$A$2:$A$600,0)),0)</f>
        <v>0</v>
      </c>
      <c r="DD569" s="28" t="n">
        <f aca="false">IFERROR(INDEX(Assessments!$J$2:$J$600,MATCH($H569&amp;"|"&amp;$I569&amp;"|"&amp;$J569&amp;"|"&amp;8,Assessments!$A$2:$A$600,0)),0)</f>
        <v>0</v>
      </c>
      <c r="DE569" s="28" t="n">
        <f aca="false">IFERROR(INDEX(Assessments!$J$2:$J$600,MATCH($H569&amp;"|"&amp;$I569&amp;"|"&amp;$J569&amp;"|"&amp;9,Assessments!$A$2:$A$600,0)),0)</f>
        <v>0</v>
      </c>
      <c r="DF569" s="28" t="n">
        <f aca="false">IFERROR(INDEX(Assessments!$J$2:$J$600,MATCH($H569&amp;"|"&amp;$I569&amp;"|"&amp;$J569&amp;"|"&amp;10,Assessments!$A$2:$A$600,0)),0)</f>
        <v>0</v>
      </c>
      <c r="DG569" s="28" t="n">
        <f aca="false">IFERROR(INDEX(Assessments!$J$2:$J$600,MATCH($H569&amp;"|"&amp;$I569&amp;"|"&amp;$J569&amp;"|"&amp;11,Assessments!$A$2:$A$600,0)),0)</f>
        <v>0</v>
      </c>
      <c r="DH569" s="28" t="n">
        <f aca="false">IFERROR(INDEX(Assessments!$J$2:$J$600,MATCH($H569&amp;"|"&amp;$I569&amp;"|"&amp;$J569&amp;"|"&amp;12,Assessments!$A$2:$A$600,0)),0)</f>
        <v>0</v>
      </c>
      <c r="DI569" s="28" t="n">
        <f aca="false">IFERROR(INDEX(Assessments!$J$2:$J$600,MATCH($H569&amp;"|"&amp;$I569&amp;"|"&amp;$J569&amp;"|"&amp;13,Assessments!$A$2:$A$600,0)),0)</f>
        <v>0</v>
      </c>
      <c r="DJ569" s="28" t="n">
        <f aca="false">IFERROR(INDEX(Assessments!$J$2:$J$600,MATCH($H569&amp;"|"&amp;$I569&amp;"|"&amp;$J569&amp;"|"&amp;14,Assessments!$A$2:$A$600,0)),0)</f>
        <v>0</v>
      </c>
      <c r="DK569" s="28" t="str">
        <f aca="false">S569</f>
        <v/>
      </c>
      <c r="DL569" s="28" t="str">
        <f aca="false">W569</f>
        <v/>
      </c>
      <c r="DM569" s="28" t="str">
        <f aca="false">AA569</f>
        <v/>
      </c>
      <c r="DN569" s="28" t="str">
        <f aca="false">AE569</f>
        <v/>
      </c>
      <c r="DO569" s="28" t="str">
        <f aca="false">AI569</f>
        <v/>
      </c>
      <c r="DP569" s="28" t="str">
        <f aca="false">AM569</f>
        <v/>
      </c>
      <c r="DQ569" s="28" t="str">
        <f aca="false">AQ569</f>
        <v/>
      </c>
      <c r="DR569" s="28" t="str">
        <f aca="false">AU569</f>
        <v/>
      </c>
      <c r="DS569" s="28" t="str">
        <f aca="false">AY569</f>
        <v/>
      </c>
      <c r="DT569" s="28" t="str">
        <f aca="false">BC569</f>
        <v/>
      </c>
      <c r="DU569" s="28" t="str">
        <f aca="false">BG569</f>
        <v/>
      </c>
      <c r="DV569" s="28" t="str">
        <f aca="false">BK569</f>
        <v/>
      </c>
      <c r="DW569" s="28" t="str">
        <f aca="false">BO569</f>
        <v/>
      </c>
      <c r="DX569" s="28" t="str">
        <f aca="false">BS569</f>
        <v/>
      </c>
      <c r="DY569" s="28" t="str">
        <f aca="false">IF(ISNUMBER(S569),1,"")</f>
        <v/>
      </c>
      <c r="DZ569" s="28" t="str">
        <f aca="false">IF(ISNUMBER(W569),2,"")</f>
        <v/>
      </c>
      <c r="EA569" s="28" t="str">
        <f aca="false">IF(ISNUMBER(AA569),3,"")</f>
        <v/>
      </c>
      <c r="EB569" s="28" t="str">
        <f aca="false">IF(ISNUMBER(AE569),4,"")</f>
        <v/>
      </c>
      <c r="EC569" s="28" t="str">
        <f aca="false">IF(ISNUMBER(AI569),5,"")</f>
        <v/>
      </c>
      <c r="ED569" s="28" t="str">
        <f aca="false">IF(ISNUMBER(AM569),6,"")</f>
        <v/>
      </c>
      <c r="EE569" s="28" t="str">
        <f aca="false">IF(ISNUMBER(AQ569),7,"")</f>
        <v/>
      </c>
      <c r="EF569" s="28" t="str">
        <f aca="false">IF(ISNUMBER(AU569),8,"")</f>
        <v/>
      </c>
      <c r="EG569" s="28" t="str">
        <f aca="false">IF(ISNUMBER(AY569),9,"")</f>
        <v/>
      </c>
      <c r="EH569" s="28" t="str">
        <f aca="false">IF(ISNUMBER(BC569),10,"")</f>
        <v/>
      </c>
      <c r="EI569" s="28" t="str">
        <f aca="false">IF(ISNUMBER(BG569),11,"")</f>
        <v/>
      </c>
      <c r="EJ569" s="28" t="str">
        <f aca="false">IF(ISNUMBER(BK569),12,"")</f>
        <v/>
      </c>
      <c r="EK569" s="28" t="str">
        <f aca="false">IF(ISNUMBER(BO569),13,"")</f>
        <v/>
      </c>
      <c r="EL569" s="28" t="str">
        <f aca="false">IF(ISNUMBER(BS569),14,"")</f>
        <v/>
      </c>
      <c r="EM569" s="28" t="n">
        <f aca="false">IF(ISNUMBER(R569),R569*CW569,0)</f>
        <v>0</v>
      </c>
      <c r="EN569" s="28" t="n">
        <f aca="false">IF(ISNUMBER(V569),V569*CX569,0)</f>
        <v>0</v>
      </c>
      <c r="EO569" s="28" t="n">
        <f aca="false">IF(ISNUMBER(Z569),Z569*CY569,0)</f>
        <v>0</v>
      </c>
      <c r="EP569" s="28" t="n">
        <f aca="false">IF(ISNUMBER(AD569),AD569*CZ569,0)</f>
        <v>0</v>
      </c>
      <c r="EQ569" s="28" t="n">
        <f aca="false">IF(ISNUMBER(AH569),AH569*DA569,0)</f>
        <v>0</v>
      </c>
      <c r="ER569" s="28" t="n">
        <f aca="false">IF(ISNUMBER(AL569),AL569*DB569,0)</f>
        <v>0</v>
      </c>
      <c r="ES569" s="28" t="n">
        <f aca="false">IF(ISNUMBER(AP569),AP569*DC569,0)</f>
        <v>0</v>
      </c>
      <c r="ET569" s="28" t="n">
        <f aca="false">IF(ISNUMBER(AT569),AT569*DD569,0)</f>
        <v>0</v>
      </c>
      <c r="EU569" s="28" t="n">
        <f aca="false">IF(ISNUMBER(AX569),AX569*DE569,0)</f>
        <v>0</v>
      </c>
      <c r="EV569" s="28" t="n">
        <f aca="false">IF(ISNUMBER(BB569),BB569*DF569,0)</f>
        <v>0</v>
      </c>
      <c r="EW569" s="28" t="n">
        <f aca="false">IF(ISNUMBER(BF569),BF569*DG569,0)</f>
        <v>0</v>
      </c>
      <c r="EX569" s="28" t="n">
        <f aca="false">IF(ISNUMBER(BJ569),BJ569*DH569,0)</f>
        <v>0</v>
      </c>
      <c r="EY569" s="28" t="n">
        <f aca="false">IF(ISNUMBER(BN569),BN569*DI569,0)</f>
        <v>0</v>
      </c>
      <c r="EZ569" s="28" t="n">
        <f aca="false">IF(ISNUMBER(BR569),BR569*DJ569,0)</f>
        <v>0</v>
      </c>
      <c r="FA569" s="28" t="n">
        <f aca="false">IF(ISNUMBER(R569),CW569,0)</f>
        <v>0</v>
      </c>
      <c r="FB569" s="28" t="n">
        <f aca="false">IF(ISNUMBER(V569),CX569,0)</f>
        <v>0</v>
      </c>
      <c r="FC569" s="28" t="n">
        <f aca="false">IF(ISNUMBER(Z569),CY569,0)</f>
        <v>0</v>
      </c>
      <c r="FD569" s="28" t="n">
        <f aca="false">IF(ISNUMBER(AD569),CZ569,0)</f>
        <v>0</v>
      </c>
      <c r="FE569" s="28" t="n">
        <f aca="false">IF(ISNUMBER(AH569),DA569,0)</f>
        <v>0</v>
      </c>
      <c r="FF569" s="28" t="n">
        <f aca="false">IF(ISNUMBER(AL569),DB569,0)</f>
        <v>0</v>
      </c>
      <c r="FG569" s="28" t="n">
        <f aca="false">IF(ISNUMBER(AP569),DC569,0)</f>
        <v>0</v>
      </c>
      <c r="FH569" s="28" t="n">
        <f aca="false">IF(ISNUMBER(AT569),DD569,0)</f>
        <v>0</v>
      </c>
      <c r="FI569" s="28" t="n">
        <f aca="false">IF(ISNUMBER(AX569),DE569,0)</f>
        <v>0</v>
      </c>
      <c r="FJ569" s="28" t="n">
        <f aca="false">IF(ISNUMBER(BB569),DF569,0)</f>
        <v>0</v>
      </c>
      <c r="FK569" s="28" t="n">
        <f aca="false">IF(ISNUMBER(BF569),DG569,0)</f>
        <v>0</v>
      </c>
      <c r="FL569" s="28" t="n">
        <f aca="false">IF(ISNUMBER(BJ569),DH569,0)</f>
        <v>0</v>
      </c>
      <c r="FM569" s="28" t="n">
        <f aca="false">IF(ISNUMBER(BN569),DI569,0)</f>
        <v>0</v>
      </c>
      <c r="FN569" s="28" t="n">
        <f aca="false">IF(ISNUMBER(BR569),DJ569,0)</f>
        <v>0</v>
      </c>
      <c r="FO569" s="28" t="str">
        <f aca="false">IFERROR(INDEX(Lists!$G$2:$G$20,MATCH($I569&amp;"|"&amp;$J569,Lists!$F$2:$F$20,0)),"")</f>
        <v/>
      </c>
    </row>
    <row r="570" customFormat="false" ht="19.5" hidden="false" customHeight="true" outlineLevel="0" collapsed="false">
      <c r="A570" s="29"/>
      <c r="B570" s="29"/>
      <c r="C570" s="30"/>
      <c r="D570" s="30"/>
      <c r="E570" s="31"/>
      <c r="F570" s="30"/>
      <c r="G570" s="30"/>
      <c r="H570" s="32"/>
      <c r="I570" s="33"/>
      <c r="J570" s="32"/>
      <c r="K570" s="34" t="str">
        <f aca="false">IF(OR(M570="",$E570=""),"",M570-$E570)</f>
        <v/>
      </c>
      <c r="L570" s="35" t="str">
        <f aca="false">IF(SUM(FA570:FN570)=0,"",SUM(EM570:EZ570)/SUM(FA570:FN570))</f>
        <v/>
      </c>
      <c r="M570" s="36" t="str">
        <f aca="false">IF(OR(L570="",FO570=""),"",IFERROR(MATCH(L570,INDEX(Boundaries!$B$2:$I$30,MATCH(FO570,Boundaries!$A$2:$A$30,0),0),1)-1,""))</f>
        <v/>
      </c>
      <c r="N570" s="37" t="str">
        <f aca="false">IF(COUNT($DY570:$EL570)&lt;2,"",INDEX($DK570:$DX570,MAX($DY570:$EL570))-INDEX($DK570:$DX570,MIN($DY570:$EL570)))</f>
        <v/>
      </c>
      <c r="O570" s="37" t="str">
        <f aca="false">IF(COUNT($DY570:$EL570)&lt;2,"",INDEX($DK570:$DX570,MAX($DY570:$EL570))-INDEX($DK570:$DX570,LARGE($DY570:$EL570,2)))</f>
        <v/>
      </c>
      <c r="P570" s="38" t="str">
        <f aca="false">IF(K570="","",IF(K570&gt;=0,"On/above target",IF(AND(N570&lt;&gt;"",N570&gt;=0.5),"Improving towards target",IF(AND(O570&lt;&gt;"",O570&lt;=-0.5),"Declining","Stable below target"))))</f>
        <v/>
      </c>
      <c r="Q570" s="39"/>
      <c r="R570" s="40" t="str">
        <f aca="false">IF(OR(Q570="",BU570=""),"",Q570/BU570*100)</f>
        <v/>
      </c>
      <c r="S570" s="41" t="str">
        <f aca="false">IF(R570="","",IFERROR(MATCH(R570,INDEX(Boundaries!$B$2:$I$30,MATCH(CI570,Boundaries!$A$2:$A$30,0),0),1)-1,""))</f>
        <v/>
      </c>
      <c r="T570" s="42" t="str">
        <f aca="false">IF(OR(S570="",$E570=""),"",S570-$E570)</f>
        <v/>
      </c>
      <c r="U570" s="39"/>
      <c r="V570" s="40" t="str">
        <f aca="false">IF(OR(U570="",BV570=""),"",U570/BV570*100)</f>
        <v/>
      </c>
      <c r="W570" s="41" t="str">
        <f aca="false">IF(V570="","",IFERROR(MATCH(V570,INDEX(Boundaries!$B$2:$I$30,MATCH(CJ570,Boundaries!$A$2:$A$30,0),0),1)-1,""))</f>
        <v/>
      </c>
      <c r="X570" s="42" t="str">
        <f aca="false">IF(OR(W570="",$E570=""),"",W570-$E570)</f>
        <v/>
      </c>
      <c r="Y570" s="39"/>
      <c r="Z570" s="40" t="str">
        <f aca="false">IF(OR(Y570="",BW570=""),"",Y570/BW570*100)</f>
        <v/>
      </c>
      <c r="AA570" s="41" t="str">
        <f aca="false">IF(Z570="","",IFERROR(MATCH(Z570,INDEX(Boundaries!$B$2:$I$30,MATCH(CK570,Boundaries!$A$2:$A$30,0),0),1)-1,""))</f>
        <v/>
      </c>
      <c r="AB570" s="42" t="str">
        <f aca="false">IF(OR(AA570="",$E570=""),"",AA570-$E570)</f>
        <v/>
      </c>
      <c r="AC570" s="39"/>
      <c r="AD570" s="40" t="str">
        <f aca="false">IF(OR(AC570="",BX570=""),"",AC570/BX570*100)</f>
        <v/>
      </c>
      <c r="AE570" s="41" t="str">
        <f aca="false">IF(AD570="","",IFERROR(MATCH(AD570,INDEX(Boundaries!$B$2:$I$30,MATCH(CL570,Boundaries!$A$2:$A$30,0),0),1)-1,""))</f>
        <v/>
      </c>
      <c r="AF570" s="42" t="str">
        <f aca="false">IF(OR(AE570="",$E570=""),"",AE570-$E570)</f>
        <v/>
      </c>
      <c r="AG570" s="39"/>
      <c r="AH570" s="40" t="str">
        <f aca="false">IF(OR(AG570="",BY570=""),"",AG570/BY570*100)</f>
        <v/>
      </c>
      <c r="AI570" s="41" t="str">
        <f aca="false">IF(AH570="","",IFERROR(MATCH(AH570,INDEX(Boundaries!$B$2:$I$30,MATCH(CM570,Boundaries!$A$2:$A$30,0),0),1)-1,""))</f>
        <v/>
      </c>
      <c r="AJ570" s="42" t="str">
        <f aca="false">IF(OR(AI570="",$E570=""),"",AI570-$E570)</f>
        <v/>
      </c>
      <c r="AK570" s="39"/>
      <c r="AL570" s="40" t="str">
        <f aca="false">IF(OR(AK570="",BZ570=""),"",AK570/BZ570*100)</f>
        <v/>
      </c>
      <c r="AM570" s="41" t="str">
        <f aca="false">IF(AL570="","",IFERROR(MATCH(AL570,INDEX(Boundaries!$B$2:$I$30,MATCH(CN570,Boundaries!$A$2:$A$30,0),0),1)-1,""))</f>
        <v/>
      </c>
      <c r="AN570" s="42" t="str">
        <f aca="false">IF(OR(AM570="",$E570=""),"",AM570-$E570)</f>
        <v/>
      </c>
      <c r="AO570" s="39"/>
      <c r="AP570" s="40" t="str">
        <f aca="false">IF(OR(AO570="",CA570=""),"",AO570/CA570*100)</f>
        <v/>
      </c>
      <c r="AQ570" s="41" t="str">
        <f aca="false">IF(AP570="","",IFERROR(MATCH(AP570,INDEX(Boundaries!$B$2:$I$30,MATCH(CO570,Boundaries!$A$2:$A$30,0),0),1)-1,""))</f>
        <v/>
      </c>
      <c r="AR570" s="42" t="str">
        <f aca="false">IF(OR(AQ570="",$E570=""),"",AQ570-$E570)</f>
        <v/>
      </c>
      <c r="AS570" s="39"/>
      <c r="AT570" s="40" t="str">
        <f aca="false">IF(OR(AS570="",CB570=""),"",AS570/CB570*100)</f>
        <v/>
      </c>
      <c r="AU570" s="41" t="str">
        <f aca="false">IF(AT570="","",IFERROR(MATCH(AT570,INDEX(Boundaries!$B$2:$I$30,MATCH(CP570,Boundaries!$A$2:$A$30,0),0),1)-1,""))</f>
        <v/>
      </c>
      <c r="AV570" s="42" t="str">
        <f aca="false">IF(OR(AU570="",$E570=""),"",AU570-$E570)</f>
        <v/>
      </c>
      <c r="AW570" s="39"/>
      <c r="AX570" s="40" t="str">
        <f aca="false">IF(OR(AW570="",CC570=""),"",AW570/CC570*100)</f>
        <v/>
      </c>
      <c r="AY570" s="41" t="str">
        <f aca="false">IF(AX570="","",IFERROR(MATCH(AX570,INDEX(Boundaries!$B$2:$I$30,MATCH(CQ570,Boundaries!$A$2:$A$30,0),0),1)-1,""))</f>
        <v/>
      </c>
      <c r="AZ570" s="42" t="str">
        <f aca="false">IF(OR(AY570="",$E570=""),"",AY570-$E570)</f>
        <v/>
      </c>
      <c r="BA570" s="39"/>
      <c r="BB570" s="40" t="str">
        <f aca="false">IF(OR(BA570="",CD570=""),"",BA570/CD570*100)</f>
        <v/>
      </c>
      <c r="BC570" s="41" t="str">
        <f aca="false">IF(BB570="","",IFERROR(MATCH(BB570,INDEX(Boundaries!$B$2:$I$30,MATCH(CR570,Boundaries!$A$2:$A$30,0),0),1)-1,""))</f>
        <v/>
      </c>
      <c r="BD570" s="42" t="str">
        <f aca="false">IF(OR(BC570="",$E570=""),"",BC570-$E570)</f>
        <v/>
      </c>
      <c r="BE570" s="39"/>
      <c r="BF570" s="40" t="str">
        <f aca="false">IF(OR(BE570="",CE570=""),"",BE570/CE570*100)</f>
        <v/>
      </c>
      <c r="BG570" s="41" t="str">
        <f aca="false">IF(BF570="","",IFERROR(MATCH(BF570,INDEX(Boundaries!$B$2:$I$30,MATCH(CS570,Boundaries!$A$2:$A$30,0),0),1)-1,""))</f>
        <v/>
      </c>
      <c r="BH570" s="42" t="str">
        <f aca="false">IF(OR(BG570="",$E570=""),"",BG570-$E570)</f>
        <v/>
      </c>
      <c r="BI570" s="39"/>
      <c r="BJ570" s="40" t="str">
        <f aca="false">IF(OR(BI570="",CF570=""),"",BI570/CF570*100)</f>
        <v/>
      </c>
      <c r="BK570" s="41" t="str">
        <f aca="false">IF(BJ570="","",IFERROR(MATCH(BJ570,INDEX(Boundaries!$B$2:$I$30,MATCH(CT570,Boundaries!$A$2:$A$30,0),0),1)-1,""))</f>
        <v/>
      </c>
      <c r="BL570" s="42" t="str">
        <f aca="false">IF(OR(BK570="",$E570=""),"",BK570-$E570)</f>
        <v/>
      </c>
      <c r="BM570" s="39"/>
      <c r="BN570" s="40" t="str">
        <f aca="false">IF(OR(BM570="",CG570=""),"",BM570/CG570*100)</f>
        <v/>
      </c>
      <c r="BO570" s="41" t="str">
        <f aca="false">IF(BN570="","",IFERROR(MATCH(BN570,INDEX(Boundaries!$B$2:$I$30,MATCH(CU570,Boundaries!$A$2:$A$30,0),0),1)-1,""))</f>
        <v/>
      </c>
      <c r="BP570" s="42" t="str">
        <f aca="false">IF(OR(BO570="",$E570=""),"",BO570-$E570)</f>
        <v/>
      </c>
      <c r="BQ570" s="39"/>
      <c r="BR570" s="40" t="str">
        <f aca="false">IF(OR(BQ570="",CH570=""),"",BQ570/CH570*100)</f>
        <v/>
      </c>
      <c r="BS570" s="41" t="str">
        <f aca="false">IF(BR570="","",IFERROR(MATCH(BR570,INDEX(Boundaries!$B$2:$I$30,MATCH(CV570,Boundaries!$A$2:$A$30,0),0),1)-1,""))</f>
        <v/>
      </c>
      <c r="BT570" s="42" t="str">
        <f aca="false">IF(OR(BS570="",$E570=""),"",BS570-$E570)</f>
        <v/>
      </c>
      <c r="BU570" s="28" t="str">
        <f aca="false">IFERROR(INDEX(Assessments!$H$2:$H$600,MATCH($H570&amp;"|"&amp;$I570&amp;"|"&amp;$J570&amp;"|"&amp;1,Assessments!$A$2:$A$600,0)),"")</f>
        <v/>
      </c>
      <c r="BV570" s="28" t="str">
        <f aca="false">IFERROR(INDEX(Assessments!$H$2:$H$600,MATCH($H570&amp;"|"&amp;$I570&amp;"|"&amp;$J570&amp;"|"&amp;2,Assessments!$A$2:$A$600,0)),"")</f>
        <v/>
      </c>
      <c r="BW570" s="28" t="str">
        <f aca="false">IFERROR(INDEX(Assessments!$H$2:$H$600,MATCH($H570&amp;"|"&amp;$I570&amp;"|"&amp;$J570&amp;"|"&amp;3,Assessments!$A$2:$A$600,0)),"")</f>
        <v/>
      </c>
      <c r="BX570" s="28" t="str">
        <f aca="false">IFERROR(INDEX(Assessments!$H$2:$H$600,MATCH($H570&amp;"|"&amp;$I570&amp;"|"&amp;$J570&amp;"|"&amp;4,Assessments!$A$2:$A$600,0)),"")</f>
        <v/>
      </c>
      <c r="BY570" s="28" t="str">
        <f aca="false">IFERROR(INDEX(Assessments!$H$2:$H$600,MATCH($H570&amp;"|"&amp;$I570&amp;"|"&amp;$J570&amp;"|"&amp;5,Assessments!$A$2:$A$600,0)),"")</f>
        <v/>
      </c>
      <c r="BZ570" s="28" t="str">
        <f aca="false">IFERROR(INDEX(Assessments!$H$2:$H$600,MATCH($H570&amp;"|"&amp;$I570&amp;"|"&amp;$J570&amp;"|"&amp;6,Assessments!$A$2:$A$600,0)),"")</f>
        <v/>
      </c>
      <c r="CA570" s="28" t="str">
        <f aca="false">IFERROR(INDEX(Assessments!$H$2:$H$600,MATCH($H570&amp;"|"&amp;$I570&amp;"|"&amp;$J570&amp;"|"&amp;7,Assessments!$A$2:$A$600,0)),"")</f>
        <v/>
      </c>
      <c r="CB570" s="28" t="str">
        <f aca="false">IFERROR(INDEX(Assessments!$H$2:$H$600,MATCH($H570&amp;"|"&amp;$I570&amp;"|"&amp;$J570&amp;"|"&amp;8,Assessments!$A$2:$A$600,0)),"")</f>
        <v/>
      </c>
      <c r="CC570" s="28" t="str">
        <f aca="false">IFERROR(INDEX(Assessments!$H$2:$H$600,MATCH($H570&amp;"|"&amp;$I570&amp;"|"&amp;$J570&amp;"|"&amp;9,Assessments!$A$2:$A$600,0)),"")</f>
        <v/>
      </c>
      <c r="CD570" s="28" t="str">
        <f aca="false">IFERROR(INDEX(Assessments!$H$2:$H$600,MATCH($H570&amp;"|"&amp;$I570&amp;"|"&amp;$J570&amp;"|"&amp;10,Assessments!$A$2:$A$600,0)),"")</f>
        <v/>
      </c>
      <c r="CE570" s="28" t="str">
        <f aca="false">IFERROR(INDEX(Assessments!$H$2:$H$600,MATCH($H570&amp;"|"&amp;$I570&amp;"|"&amp;$J570&amp;"|"&amp;11,Assessments!$A$2:$A$600,0)),"")</f>
        <v/>
      </c>
      <c r="CF570" s="28" t="str">
        <f aca="false">IFERROR(INDEX(Assessments!$H$2:$H$600,MATCH($H570&amp;"|"&amp;$I570&amp;"|"&amp;$J570&amp;"|"&amp;12,Assessments!$A$2:$A$600,0)),"")</f>
        <v/>
      </c>
      <c r="CG570" s="28" t="str">
        <f aca="false">IFERROR(INDEX(Assessments!$H$2:$H$600,MATCH($H570&amp;"|"&amp;$I570&amp;"|"&amp;$J570&amp;"|"&amp;13,Assessments!$A$2:$A$600,0)),"")</f>
        <v/>
      </c>
      <c r="CH570" s="28" t="str">
        <f aca="false">IFERROR(INDEX(Assessments!$H$2:$H$600,MATCH($H570&amp;"|"&amp;$I570&amp;"|"&amp;$J570&amp;"|"&amp;14,Assessments!$A$2:$A$600,0)),"")</f>
        <v/>
      </c>
      <c r="CI570" s="28" t="str">
        <f aca="false">IFERROR(INDEX(Assessments!$I$2:$I$600,MATCH($H570&amp;"|"&amp;$I570&amp;"|"&amp;$J570&amp;"|"&amp;1,Assessments!$A$2:$A$600,0)),"")</f>
        <v/>
      </c>
      <c r="CJ570" s="28" t="str">
        <f aca="false">IFERROR(INDEX(Assessments!$I$2:$I$600,MATCH($H570&amp;"|"&amp;$I570&amp;"|"&amp;$J570&amp;"|"&amp;2,Assessments!$A$2:$A$600,0)),"")</f>
        <v/>
      </c>
      <c r="CK570" s="28" t="str">
        <f aca="false">IFERROR(INDEX(Assessments!$I$2:$I$600,MATCH($H570&amp;"|"&amp;$I570&amp;"|"&amp;$J570&amp;"|"&amp;3,Assessments!$A$2:$A$600,0)),"")</f>
        <v/>
      </c>
      <c r="CL570" s="28" t="str">
        <f aca="false">IFERROR(INDEX(Assessments!$I$2:$I$600,MATCH($H570&amp;"|"&amp;$I570&amp;"|"&amp;$J570&amp;"|"&amp;4,Assessments!$A$2:$A$600,0)),"")</f>
        <v/>
      </c>
      <c r="CM570" s="28" t="str">
        <f aca="false">IFERROR(INDEX(Assessments!$I$2:$I$600,MATCH($H570&amp;"|"&amp;$I570&amp;"|"&amp;$J570&amp;"|"&amp;5,Assessments!$A$2:$A$600,0)),"")</f>
        <v/>
      </c>
      <c r="CN570" s="28" t="str">
        <f aca="false">IFERROR(INDEX(Assessments!$I$2:$I$600,MATCH($H570&amp;"|"&amp;$I570&amp;"|"&amp;$J570&amp;"|"&amp;6,Assessments!$A$2:$A$600,0)),"")</f>
        <v/>
      </c>
      <c r="CO570" s="28" t="str">
        <f aca="false">IFERROR(INDEX(Assessments!$I$2:$I$600,MATCH($H570&amp;"|"&amp;$I570&amp;"|"&amp;$J570&amp;"|"&amp;7,Assessments!$A$2:$A$600,0)),"")</f>
        <v/>
      </c>
      <c r="CP570" s="28" t="str">
        <f aca="false">IFERROR(INDEX(Assessments!$I$2:$I$600,MATCH($H570&amp;"|"&amp;$I570&amp;"|"&amp;$J570&amp;"|"&amp;8,Assessments!$A$2:$A$600,0)),"")</f>
        <v/>
      </c>
      <c r="CQ570" s="28" t="str">
        <f aca="false">IFERROR(INDEX(Assessments!$I$2:$I$600,MATCH($H570&amp;"|"&amp;$I570&amp;"|"&amp;$J570&amp;"|"&amp;9,Assessments!$A$2:$A$600,0)),"")</f>
        <v/>
      </c>
      <c r="CR570" s="28" t="str">
        <f aca="false">IFERROR(INDEX(Assessments!$I$2:$I$600,MATCH($H570&amp;"|"&amp;$I570&amp;"|"&amp;$J570&amp;"|"&amp;10,Assessments!$A$2:$A$600,0)),"")</f>
        <v/>
      </c>
      <c r="CS570" s="28" t="str">
        <f aca="false">IFERROR(INDEX(Assessments!$I$2:$I$600,MATCH($H570&amp;"|"&amp;$I570&amp;"|"&amp;$J570&amp;"|"&amp;11,Assessments!$A$2:$A$600,0)),"")</f>
        <v/>
      </c>
      <c r="CT570" s="28" t="str">
        <f aca="false">IFERROR(INDEX(Assessments!$I$2:$I$600,MATCH($H570&amp;"|"&amp;$I570&amp;"|"&amp;$J570&amp;"|"&amp;12,Assessments!$A$2:$A$600,0)),"")</f>
        <v/>
      </c>
      <c r="CU570" s="28" t="str">
        <f aca="false">IFERROR(INDEX(Assessments!$I$2:$I$600,MATCH($H570&amp;"|"&amp;$I570&amp;"|"&amp;$J570&amp;"|"&amp;13,Assessments!$A$2:$A$600,0)),"")</f>
        <v/>
      </c>
      <c r="CV570" s="28" t="str">
        <f aca="false">IFERROR(INDEX(Assessments!$I$2:$I$600,MATCH($H570&amp;"|"&amp;$I570&amp;"|"&amp;$J570&amp;"|"&amp;14,Assessments!$A$2:$A$600,0)),"")</f>
        <v/>
      </c>
      <c r="CW570" s="28" t="n">
        <f aca="false">IFERROR(INDEX(Assessments!$J$2:$J$600,MATCH($H570&amp;"|"&amp;$I570&amp;"|"&amp;$J570&amp;"|"&amp;1,Assessments!$A$2:$A$600,0)),0)</f>
        <v>0</v>
      </c>
      <c r="CX570" s="28" t="n">
        <f aca="false">IFERROR(INDEX(Assessments!$J$2:$J$600,MATCH($H570&amp;"|"&amp;$I570&amp;"|"&amp;$J570&amp;"|"&amp;2,Assessments!$A$2:$A$600,0)),0)</f>
        <v>0</v>
      </c>
      <c r="CY570" s="28" t="n">
        <f aca="false">IFERROR(INDEX(Assessments!$J$2:$J$600,MATCH($H570&amp;"|"&amp;$I570&amp;"|"&amp;$J570&amp;"|"&amp;3,Assessments!$A$2:$A$600,0)),0)</f>
        <v>0</v>
      </c>
      <c r="CZ570" s="28" t="n">
        <f aca="false">IFERROR(INDEX(Assessments!$J$2:$J$600,MATCH($H570&amp;"|"&amp;$I570&amp;"|"&amp;$J570&amp;"|"&amp;4,Assessments!$A$2:$A$600,0)),0)</f>
        <v>0</v>
      </c>
      <c r="DA570" s="28" t="n">
        <f aca="false">IFERROR(INDEX(Assessments!$J$2:$J$600,MATCH($H570&amp;"|"&amp;$I570&amp;"|"&amp;$J570&amp;"|"&amp;5,Assessments!$A$2:$A$600,0)),0)</f>
        <v>0</v>
      </c>
      <c r="DB570" s="28" t="n">
        <f aca="false">IFERROR(INDEX(Assessments!$J$2:$J$600,MATCH($H570&amp;"|"&amp;$I570&amp;"|"&amp;$J570&amp;"|"&amp;6,Assessments!$A$2:$A$600,0)),0)</f>
        <v>0</v>
      </c>
      <c r="DC570" s="28" t="n">
        <f aca="false">IFERROR(INDEX(Assessments!$J$2:$J$600,MATCH($H570&amp;"|"&amp;$I570&amp;"|"&amp;$J570&amp;"|"&amp;7,Assessments!$A$2:$A$600,0)),0)</f>
        <v>0</v>
      </c>
      <c r="DD570" s="28" t="n">
        <f aca="false">IFERROR(INDEX(Assessments!$J$2:$J$600,MATCH($H570&amp;"|"&amp;$I570&amp;"|"&amp;$J570&amp;"|"&amp;8,Assessments!$A$2:$A$600,0)),0)</f>
        <v>0</v>
      </c>
      <c r="DE570" s="28" t="n">
        <f aca="false">IFERROR(INDEX(Assessments!$J$2:$J$600,MATCH($H570&amp;"|"&amp;$I570&amp;"|"&amp;$J570&amp;"|"&amp;9,Assessments!$A$2:$A$600,0)),0)</f>
        <v>0</v>
      </c>
      <c r="DF570" s="28" t="n">
        <f aca="false">IFERROR(INDEX(Assessments!$J$2:$J$600,MATCH($H570&amp;"|"&amp;$I570&amp;"|"&amp;$J570&amp;"|"&amp;10,Assessments!$A$2:$A$600,0)),0)</f>
        <v>0</v>
      </c>
      <c r="DG570" s="28" t="n">
        <f aca="false">IFERROR(INDEX(Assessments!$J$2:$J$600,MATCH($H570&amp;"|"&amp;$I570&amp;"|"&amp;$J570&amp;"|"&amp;11,Assessments!$A$2:$A$600,0)),0)</f>
        <v>0</v>
      </c>
      <c r="DH570" s="28" t="n">
        <f aca="false">IFERROR(INDEX(Assessments!$J$2:$J$600,MATCH($H570&amp;"|"&amp;$I570&amp;"|"&amp;$J570&amp;"|"&amp;12,Assessments!$A$2:$A$600,0)),0)</f>
        <v>0</v>
      </c>
      <c r="DI570" s="28" t="n">
        <f aca="false">IFERROR(INDEX(Assessments!$J$2:$J$600,MATCH($H570&amp;"|"&amp;$I570&amp;"|"&amp;$J570&amp;"|"&amp;13,Assessments!$A$2:$A$600,0)),0)</f>
        <v>0</v>
      </c>
      <c r="DJ570" s="28" t="n">
        <f aca="false">IFERROR(INDEX(Assessments!$J$2:$J$600,MATCH($H570&amp;"|"&amp;$I570&amp;"|"&amp;$J570&amp;"|"&amp;14,Assessments!$A$2:$A$600,0)),0)</f>
        <v>0</v>
      </c>
      <c r="DK570" s="28" t="str">
        <f aca="false">S570</f>
        <v/>
      </c>
      <c r="DL570" s="28" t="str">
        <f aca="false">W570</f>
        <v/>
      </c>
      <c r="DM570" s="28" t="str">
        <f aca="false">AA570</f>
        <v/>
      </c>
      <c r="DN570" s="28" t="str">
        <f aca="false">AE570</f>
        <v/>
      </c>
      <c r="DO570" s="28" t="str">
        <f aca="false">AI570</f>
        <v/>
      </c>
      <c r="DP570" s="28" t="str">
        <f aca="false">AM570</f>
        <v/>
      </c>
      <c r="DQ570" s="28" t="str">
        <f aca="false">AQ570</f>
        <v/>
      </c>
      <c r="DR570" s="28" t="str">
        <f aca="false">AU570</f>
        <v/>
      </c>
      <c r="DS570" s="28" t="str">
        <f aca="false">AY570</f>
        <v/>
      </c>
      <c r="DT570" s="28" t="str">
        <f aca="false">BC570</f>
        <v/>
      </c>
      <c r="DU570" s="28" t="str">
        <f aca="false">BG570</f>
        <v/>
      </c>
      <c r="DV570" s="28" t="str">
        <f aca="false">BK570</f>
        <v/>
      </c>
      <c r="DW570" s="28" t="str">
        <f aca="false">BO570</f>
        <v/>
      </c>
      <c r="DX570" s="28" t="str">
        <f aca="false">BS570</f>
        <v/>
      </c>
      <c r="DY570" s="28" t="str">
        <f aca="false">IF(ISNUMBER(S570),1,"")</f>
        <v/>
      </c>
      <c r="DZ570" s="28" t="str">
        <f aca="false">IF(ISNUMBER(W570),2,"")</f>
        <v/>
      </c>
      <c r="EA570" s="28" t="str">
        <f aca="false">IF(ISNUMBER(AA570),3,"")</f>
        <v/>
      </c>
      <c r="EB570" s="28" t="str">
        <f aca="false">IF(ISNUMBER(AE570),4,"")</f>
        <v/>
      </c>
      <c r="EC570" s="28" t="str">
        <f aca="false">IF(ISNUMBER(AI570),5,"")</f>
        <v/>
      </c>
      <c r="ED570" s="28" t="str">
        <f aca="false">IF(ISNUMBER(AM570),6,"")</f>
        <v/>
      </c>
      <c r="EE570" s="28" t="str">
        <f aca="false">IF(ISNUMBER(AQ570),7,"")</f>
        <v/>
      </c>
      <c r="EF570" s="28" t="str">
        <f aca="false">IF(ISNUMBER(AU570),8,"")</f>
        <v/>
      </c>
      <c r="EG570" s="28" t="str">
        <f aca="false">IF(ISNUMBER(AY570),9,"")</f>
        <v/>
      </c>
      <c r="EH570" s="28" t="str">
        <f aca="false">IF(ISNUMBER(BC570),10,"")</f>
        <v/>
      </c>
      <c r="EI570" s="28" t="str">
        <f aca="false">IF(ISNUMBER(BG570),11,"")</f>
        <v/>
      </c>
      <c r="EJ570" s="28" t="str">
        <f aca="false">IF(ISNUMBER(BK570),12,"")</f>
        <v/>
      </c>
      <c r="EK570" s="28" t="str">
        <f aca="false">IF(ISNUMBER(BO570),13,"")</f>
        <v/>
      </c>
      <c r="EL570" s="28" t="str">
        <f aca="false">IF(ISNUMBER(BS570),14,"")</f>
        <v/>
      </c>
      <c r="EM570" s="28" t="n">
        <f aca="false">IF(ISNUMBER(R570),R570*CW570,0)</f>
        <v>0</v>
      </c>
      <c r="EN570" s="28" t="n">
        <f aca="false">IF(ISNUMBER(V570),V570*CX570,0)</f>
        <v>0</v>
      </c>
      <c r="EO570" s="28" t="n">
        <f aca="false">IF(ISNUMBER(Z570),Z570*CY570,0)</f>
        <v>0</v>
      </c>
      <c r="EP570" s="28" t="n">
        <f aca="false">IF(ISNUMBER(AD570),AD570*CZ570,0)</f>
        <v>0</v>
      </c>
      <c r="EQ570" s="28" t="n">
        <f aca="false">IF(ISNUMBER(AH570),AH570*DA570,0)</f>
        <v>0</v>
      </c>
      <c r="ER570" s="28" t="n">
        <f aca="false">IF(ISNUMBER(AL570),AL570*DB570,0)</f>
        <v>0</v>
      </c>
      <c r="ES570" s="28" t="n">
        <f aca="false">IF(ISNUMBER(AP570),AP570*DC570,0)</f>
        <v>0</v>
      </c>
      <c r="ET570" s="28" t="n">
        <f aca="false">IF(ISNUMBER(AT570),AT570*DD570,0)</f>
        <v>0</v>
      </c>
      <c r="EU570" s="28" t="n">
        <f aca="false">IF(ISNUMBER(AX570),AX570*DE570,0)</f>
        <v>0</v>
      </c>
      <c r="EV570" s="28" t="n">
        <f aca="false">IF(ISNUMBER(BB570),BB570*DF570,0)</f>
        <v>0</v>
      </c>
      <c r="EW570" s="28" t="n">
        <f aca="false">IF(ISNUMBER(BF570),BF570*DG570,0)</f>
        <v>0</v>
      </c>
      <c r="EX570" s="28" t="n">
        <f aca="false">IF(ISNUMBER(BJ570),BJ570*DH570,0)</f>
        <v>0</v>
      </c>
      <c r="EY570" s="28" t="n">
        <f aca="false">IF(ISNUMBER(BN570),BN570*DI570,0)</f>
        <v>0</v>
      </c>
      <c r="EZ570" s="28" t="n">
        <f aca="false">IF(ISNUMBER(BR570),BR570*DJ570,0)</f>
        <v>0</v>
      </c>
      <c r="FA570" s="28" t="n">
        <f aca="false">IF(ISNUMBER(R570),CW570,0)</f>
        <v>0</v>
      </c>
      <c r="FB570" s="28" t="n">
        <f aca="false">IF(ISNUMBER(V570),CX570,0)</f>
        <v>0</v>
      </c>
      <c r="FC570" s="28" t="n">
        <f aca="false">IF(ISNUMBER(Z570),CY570,0)</f>
        <v>0</v>
      </c>
      <c r="FD570" s="28" t="n">
        <f aca="false">IF(ISNUMBER(AD570),CZ570,0)</f>
        <v>0</v>
      </c>
      <c r="FE570" s="28" t="n">
        <f aca="false">IF(ISNUMBER(AH570),DA570,0)</f>
        <v>0</v>
      </c>
      <c r="FF570" s="28" t="n">
        <f aca="false">IF(ISNUMBER(AL570),DB570,0)</f>
        <v>0</v>
      </c>
      <c r="FG570" s="28" t="n">
        <f aca="false">IF(ISNUMBER(AP570),DC570,0)</f>
        <v>0</v>
      </c>
      <c r="FH570" s="28" t="n">
        <f aca="false">IF(ISNUMBER(AT570),DD570,0)</f>
        <v>0</v>
      </c>
      <c r="FI570" s="28" t="n">
        <f aca="false">IF(ISNUMBER(AX570),DE570,0)</f>
        <v>0</v>
      </c>
      <c r="FJ570" s="28" t="n">
        <f aca="false">IF(ISNUMBER(BB570),DF570,0)</f>
        <v>0</v>
      </c>
      <c r="FK570" s="28" t="n">
        <f aca="false">IF(ISNUMBER(BF570),DG570,0)</f>
        <v>0</v>
      </c>
      <c r="FL570" s="28" t="n">
        <f aca="false">IF(ISNUMBER(BJ570),DH570,0)</f>
        <v>0</v>
      </c>
      <c r="FM570" s="28" t="n">
        <f aca="false">IF(ISNUMBER(BN570),DI570,0)</f>
        <v>0</v>
      </c>
      <c r="FN570" s="28" t="n">
        <f aca="false">IF(ISNUMBER(BR570),DJ570,0)</f>
        <v>0</v>
      </c>
      <c r="FO570" s="28" t="str">
        <f aca="false">IFERROR(INDEX(Lists!$G$2:$G$20,MATCH($I570&amp;"|"&amp;$J570,Lists!$F$2:$F$20,0)),"")</f>
        <v/>
      </c>
    </row>
    <row r="571" customFormat="false" ht="19.5" hidden="false" customHeight="true" outlineLevel="0" collapsed="false">
      <c r="A571" s="29"/>
      <c r="B571" s="29"/>
      <c r="C571" s="30"/>
      <c r="D571" s="30"/>
      <c r="E571" s="31"/>
      <c r="F571" s="30"/>
      <c r="G571" s="30"/>
      <c r="H571" s="32"/>
      <c r="I571" s="33"/>
      <c r="J571" s="32"/>
      <c r="K571" s="34" t="str">
        <f aca="false">IF(OR(M571="",$E571=""),"",M571-$E571)</f>
        <v/>
      </c>
      <c r="L571" s="35" t="str">
        <f aca="false">IF(SUM(FA571:FN571)=0,"",SUM(EM571:EZ571)/SUM(FA571:FN571))</f>
        <v/>
      </c>
      <c r="M571" s="36" t="str">
        <f aca="false">IF(OR(L571="",FO571=""),"",IFERROR(MATCH(L571,INDEX(Boundaries!$B$2:$I$30,MATCH(FO571,Boundaries!$A$2:$A$30,0),0),1)-1,""))</f>
        <v/>
      </c>
      <c r="N571" s="37" t="str">
        <f aca="false">IF(COUNT($DY571:$EL571)&lt;2,"",INDEX($DK571:$DX571,MAX($DY571:$EL571))-INDEX($DK571:$DX571,MIN($DY571:$EL571)))</f>
        <v/>
      </c>
      <c r="O571" s="37" t="str">
        <f aca="false">IF(COUNT($DY571:$EL571)&lt;2,"",INDEX($DK571:$DX571,MAX($DY571:$EL571))-INDEX($DK571:$DX571,LARGE($DY571:$EL571,2)))</f>
        <v/>
      </c>
      <c r="P571" s="38" t="str">
        <f aca="false">IF(K571="","",IF(K571&gt;=0,"On/above target",IF(AND(N571&lt;&gt;"",N571&gt;=0.5),"Improving towards target",IF(AND(O571&lt;&gt;"",O571&lt;=-0.5),"Declining","Stable below target"))))</f>
        <v/>
      </c>
      <c r="Q571" s="39"/>
      <c r="R571" s="40" t="str">
        <f aca="false">IF(OR(Q571="",BU571=""),"",Q571/BU571*100)</f>
        <v/>
      </c>
      <c r="S571" s="41" t="str">
        <f aca="false">IF(R571="","",IFERROR(MATCH(R571,INDEX(Boundaries!$B$2:$I$30,MATCH(CI571,Boundaries!$A$2:$A$30,0),0),1)-1,""))</f>
        <v/>
      </c>
      <c r="T571" s="42" t="str">
        <f aca="false">IF(OR(S571="",$E571=""),"",S571-$E571)</f>
        <v/>
      </c>
      <c r="U571" s="39"/>
      <c r="V571" s="40" t="str">
        <f aca="false">IF(OR(U571="",BV571=""),"",U571/BV571*100)</f>
        <v/>
      </c>
      <c r="W571" s="41" t="str">
        <f aca="false">IF(V571="","",IFERROR(MATCH(V571,INDEX(Boundaries!$B$2:$I$30,MATCH(CJ571,Boundaries!$A$2:$A$30,0),0),1)-1,""))</f>
        <v/>
      </c>
      <c r="X571" s="42" t="str">
        <f aca="false">IF(OR(W571="",$E571=""),"",W571-$E571)</f>
        <v/>
      </c>
      <c r="Y571" s="39"/>
      <c r="Z571" s="40" t="str">
        <f aca="false">IF(OR(Y571="",BW571=""),"",Y571/BW571*100)</f>
        <v/>
      </c>
      <c r="AA571" s="41" t="str">
        <f aca="false">IF(Z571="","",IFERROR(MATCH(Z571,INDEX(Boundaries!$B$2:$I$30,MATCH(CK571,Boundaries!$A$2:$A$30,0),0),1)-1,""))</f>
        <v/>
      </c>
      <c r="AB571" s="42" t="str">
        <f aca="false">IF(OR(AA571="",$E571=""),"",AA571-$E571)</f>
        <v/>
      </c>
      <c r="AC571" s="39"/>
      <c r="AD571" s="40" t="str">
        <f aca="false">IF(OR(AC571="",BX571=""),"",AC571/BX571*100)</f>
        <v/>
      </c>
      <c r="AE571" s="41" t="str">
        <f aca="false">IF(AD571="","",IFERROR(MATCH(AD571,INDEX(Boundaries!$B$2:$I$30,MATCH(CL571,Boundaries!$A$2:$A$30,0),0),1)-1,""))</f>
        <v/>
      </c>
      <c r="AF571" s="42" t="str">
        <f aca="false">IF(OR(AE571="",$E571=""),"",AE571-$E571)</f>
        <v/>
      </c>
      <c r="AG571" s="39"/>
      <c r="AH571" s="40" t="str">
        <f aca="false">IF(OR(AG571="",BY571=""),"",AG571/BY571*100)</f>
        <v/>
      </c>
      <c r="AI571" s="41" t="str">
        <f aca="false">IF(AH571="","",IFERROR(MATCH(AH571,INDEX(Boundaries!$B$2:$I$30,MATCH(CM571,Boundaries!$A$2:$A$30,0),0),1)-1,""))</f>
        <v/>
      </c>
      <c r="AJ571" s="42" t="str">
        <f aca="false">IF(OR(AI571="",$E571=""),"",AI571-$E571)</f>
        <v/>
      </c>
      <c r="AK571" s="39"/>
      <c r="AL571" s="40" t="str">
        <f aca="false">IF(OR(AK571="",BZ571=""),"",AK571/BZ571*100)</f>
        <v/>
      </c>
      <c r="AM571" s="41" t="str">
        <f aca="false">IF(AL571="","",IFERROR(MATCH(AL571,INDEX(Boundaries!$B$2:$I$30,MATCH(CN571,Boundaries!$A$2:$A$30,0),0),1)-1,""))</f>
        <v/>
      </c>
      <c r="AN571" s="42" t="str">
        <f aca="false">IF(OR(AM571="",$E571=""),"",AM571-$E571)</f>
        <v/>
      </c>
      <c r="AO571" s="39"/>
      <c r="AP571" s="40" t="str">
        <f aca="false">IF(OR(AO571="",CA571=""),"",AO571/CA571*100)</f>
        <v/>
      </c>
      <c r="AQ571" s="41" t="str">
        <f aca="false">IF(AP571="","",IFERROR(MATCH(AP571,INDEX(Boundaries!$B$2:$I$30,MATCH(CO571,Boundaries!$A$2:$A$30,0),0),1)-1,""))</f>
        <v/>
      </c>
      <c r="AR571" s="42" t="str">
        <f aca="false">IF(OR(AQ571="",$E571=""),"",AQ571-$E571)</f>
        <v/>
      </c>
      <c r="AS571" s="39"/>
      <c r="AT571" s="40" t="str">
        <f aca="false">IF(OR(AS571="",CB571=""),"",AS571/CB571*100)</f>
        <v/>
      </c>
      <c r="AU571" s="41" t="str">
        <f aca="false">IF(AT571="","",IFERROR(MATCH(AT571,INDEX(Boundaries!$B$2:$I$30,MATCH(CP571,Boundaries!$A$2:$A$30,0),0),1)-1,""))</f>
        <v/>
      </c>
      <c r="AV571" s="42" t="str">
        <f aca="false">IF(OR(AU571="",$E571=""),"",AU571-$E571)</f>
        <v/>
      </c>
      <c r="AW571" s="39"/>
      <c r="AX571" s="40" t="str">
        <f aca="false">IF(OR(AW571="",CC571=""),"",AW571/CC571*100)</f>
        <v/>
      </c>
      <c r="AY571" s="41" t="str">
        <f aca="false">IF(AX571="","",IFERROR(MATCH(AX571,INDEX(Boundaries!$B$2:$I$30,MATCH(CQ571,Boundaries!$A$2:$A$30,0),0),1)-1,""))</f>
        <v/>
      </c>
      <c r="AZ571" s="42" t="str">
        <f aca="false">IF(OR(AY571="",$E571=""),"",AY571-$E571)</f>
        <v/>
      </c>
      <c r="BA571" s="39"/>
      <c r="BB571" s="40" t="str">
        <f aca="false">IF(OR(BA571="",CD571=""),"",BA571/CD571*100)</f>
        <v/>
      </c>
      <c r="BC571" s="41" t="str">
        <f aca="false">IF(BB571="","",IFERROR(MATCH(BB571,INDEX(Boundaries!$B$2:$I$30,MATCH(CR571,Boundaries!$A$2:$A$30,0),0),1)-1,""))</f>
        <v/>
      </c>
      <c r="BD571" s="42" t="str">
        <f aca="false">IF(OR(BC571="",$E571=""),"",BC571-$E571)</f>
        <v/>
      </c>
      <c r="BE571" s="39"/>
      <c r="BF571" s="40" t="str">
        <f aca="false">IF(OR(BE571="",CE571=""),"",BE571/CE571*100)</f>
        <v/>
      </c>
      <c r="BG571" s="41" t="str">
        <f aca="false">IF(BF571="","",IFERROR(MATCH(BF571,INDEX(Boundaries!$B$2:$I$30,MATCH(CS571,Boundaries!$A$2:$A$30,0),0),1)-1,""))</f>
        <v/>
      </c>
      <c r="BH571" s="42" t="str">
        <f aca="false">IF(OR(BG571="",$E571=""),"",BG571-$E571)</f>
        <v/>
      </c>
      <c r="BI571" s="39"/>
      <c r="BJ571" s="40" t="str">
        <f aca="false">IF(OR(BI571="",CF571=""),"",BI571/CF571*100)</f>
        <v/>
      </c>
      <c r="BK571" s="41" t="str">
        <f aca="false">IF(BJ571="","",IFERROR(MATCH(BJ571,INDEX(Boundaries!$B$2:$I$30,MATCH(CT571,Boundaries!$A$2:$A$30,0),0),1)-1,""))</f>
        <v/>
      </c>
      <c r="BL571" s="42" t="str">
        <f aca="false">IF(OR(BK571="",$E571=""),"",BK571-$E571)</f>
        <v/>
      </c>
      <c r="BM571" s="39"/>
      <c r="BN571" s="40" t="str">
        <f aca="false">IF(OR(BM571="",CG571=""),"",BM571/CG571*100)</f>
        <v/>
      </c>
      <c r="BO571" s="41" t="str">
        <f aca="false">IF(BN571="","",IFERROR(MATCH(BN571,INDEX(Boundaries!$B$2:$I$30,MATCH(CU571,Boundaries!$A$2:$A$30,0),0),1)-1,""))</f>
        <v/>
      </c>
      <c r="BP571" s="42" t="str">
        <f aca="false">IF(OR(BO571="",$E571=""),"",BO571-$E571)</f>
        <v/>
      </c>
      <c r="BQ571" s="39"/>
      <c r="BR571" s="40" t="str">
        <f aca="false">IF(OR(BQ571="",CH571=""),"",BQ571/CH571*100)</f>
        <v/>
      </c>
      <c r="BS571" s="41" t="str">
        <f aca="false">IF(BR571="","",IFERROR(MATCH(BR571,INDEX(Boundaries!$B$2:$I$30,MATCH(CV571,Boundaries!$A$2:$A$30,0),0),1)-1,""))</f>
        <v/>
      </c>
      <c r="BT571" s="42" t="str">
        <f aca="false">IF(OR(BS571="",$E571=""),"",BS571-$E571)</f>
        <v/>
      </c>
      <c r="BU571" s="28" t="str">
        <f aca="false">IFERROR(INDEX(Assessments!$H$2:$H$600,MATCH($H571&amp;"|"&amp;$I571&amp;"|"&amp;$J571&amp;"|"&amp;1,Assessments!$A$2:$A$600,0)),"")</f>
        <v/>
      </c>
      <c r="BV571" s="28" t="str">
        <f aca="false">IFERROR(INDEX(Assessments!$H$2:$H$600,MATCH($H571&amp;"|"&amp;$I571&amp;"|"&amp;$J571&amp;"|"&amp;2,Assessments!$A$2:$A$600,0)),"")</f>
        <v/>
      </c>
      <c r="BW571" s="28" t="str">
        <f aca="false">IFERROR(INDEX(Assessments!$H$2:$H$600,MATCH($H571&amp;"|"&amp;$I571&amp;"|"&amp;$J571&amp;"|"&amp;3,Assessments!$A$2:$A$600,0)),"")</f>
        <v/>
      </c>
      <c r="BX571" s="28" t="str">
        <f aca="false">IFERROR(INDEX(Assessments!$H$2:$H$600,MATCH($H571&amp;"|"&amp;$I571&amp;"|"&amp;$J571&amp;"|"&amp;4,Assessments!$A$2:$A$600,0)),"")</f>
        <v/>
      </c>
      <c r="BY571" s="28" t="str">
        <f aca="false">IFERROR(INDEX(Assessments!$H$2:$H$600,MATCH($H571&amp;"|"&amp;$I571&amp;"|"&amp;$J571&amp;"|"&amp;5,Assessments!$A$2:$A$600,0)),"")</f>
        <v/>
      </c>
      <c r="BZ571" s="28" t="str">
        <f aca="false">IFERROR(INDEX(Assessments!$H$2:$H$600,MATCH($H571&amp;"|"&amp;$I571&amp;"|"&amp;$J571&amp;"|"&amp;6,Assessments!$A$2:$A$600,0)),"")</f>
        <v/>
      </c>
      <c r="CA571" s="28" t="str">
        <f aca="false">IFERROR(INDEX(Assessments!$H$2:$H$600,MATCH($H571&amp;"|"&amp;$I571&amp;"|"&amp;$J571&amp;"|"&amp;7,Assessments!$A$2:$A$600,0)),"")</f>
        <v/>
      </c>
      <c r="CB571" s="28" t="str">
        <f aca="false">IFERROR(INDEX(Assessments!$H$2:$H$600,MATCH($H571&amp;"|"&amp;$I571&amp;"|"&amp;$J571&amp;"|"&amp;8,Assessments!$A$2:$A$600,0)),"")</f>
        <v/>
      </c>
      <c r="CC571" s="28" t="str">
        <f aca="false">IFERROR(INDEX(Assessments!$H$2:$H$600,MATCH($H571&amp;"|"&amp;$I571&amp;"|"&amp;$J571&amp;"|"&amp;9,Assessments!$A$2:$A$600,0)),"")</f>
        <v/>
      </c>
      <c r="CD571" s="28" t="str">
        <f aca="false">IFERROR(INDEX(Assessments!$H$2:$H$600,MATCH($H571&amp;"|"&amp;$I571&amp;"|"&amp;$J571&amp;"|"&amp;10,Assessments!$A$2:$A$600,0)),"")</f>
        <v/>
      </c>
      <c r="CE571" s="28" t="str">
        <f aca="false">IFERROR(INDEX(Assessments!$H$2:$H$600,MATCH($H571&amp;"|"&amp;$I571&amp;"|"&amp;$J571&amp;"|"&amp;11,Assessments!$A$2:$A$600,0)),"")</f>
        <v/>
      </c>
      <c r="CF571" s="28" t="str">
        <f aca="false">IFERROR(INDEX(Assessments!$H$2:$H$600,MATCH($H571&amp;"|"&amp;$I571&amp;"|"&amp;$J571&amp;"|"&amp;12,Assessments!$A$2:$A$600,0)),"")</f>
        <v/>
      </c>
      <c r="CG571" s="28" t="str">
        <f aca="false">IFERROR(INDEX(Assessments!$H$2:$H$600,MATCH($H571&amp;"|"&amp;$I571&amp;"|"&amp;$J571&amp;"|"&amp;13,Assessments!$A$2:$A$600,0)),"")</f>
        <v/>
      </c>
      <c r="CH571" s="28" t="str">
        <f aca="false">IFERROR(INDEX(Assessments!$H$2:$H$600,MATCH($H571&amp;"|"&amp;$I571&amp;"|"&amp;$J571&amp;"|"&amp;14,Assessments!$A$2:$A$600,0)),"")</f>
        <v/>
      </c>
      <c r="CI571" s="28" t="str">
        <f aca="false">IFERROR(INDEX(Assessments!$I$2:$I$600,MATCH($H571&amp;"|"&amp;$I571&amp;"|"&amp;$J571&amp;"|"&amp;1,Assessments!$A$2:$A$600,0)),"")</f>
        <v/>
      </c>
      <c r="CJ571" s="28" t="str">
        <f aca="false">IFERROR(INDEX(Assessments!$I$2:$I$600,MATCH($H571&amp;"|"&amp;$I571&amp;"|"&amp;$J571&amp;"|"&amp;2,Assessments!$A$2:$A$600,0)),"")</f>
        <v/>
      </c>
      <c r="CK571" s="28" t="str">
        <f aca="false">IFERROR(INDEX(Assessments!$I$2:$I$600,MATCH($H571&amp;"|"&amp;$I571&amp;"|"&amp;$J571&amp;"|"&amp;3,Assessments!$A$2:$A$600,0)),"")</f>
        <v/>
      </c>
      <c r="CL571" s="28" t="str">
        <f aca="false">IFERROR(INDEX(Assessments!$I$2:$I$600,MATCH($H571&amp;"|"&amp;$I571&amp;"|"&amp;$J571&amp;"|"&amp;4,Assessments!$A$2:$A$600,0)),"")</f>
        <v/>
      </c>
      <c r="CM571" s="28" t="str">
        <f aca="false">IFERROR(INDEX(Assessments!$I$2:$I$600,MATCH($H571&amp;"|"&amp;$I571&amp;"|"&amp;$J571&amp;"|"&amp;5,Assessments!$A$2:$A$600,0)),"")</f>
        <v/>
      </c>
      <c r="CN571" s="28" t="str">
        <f aca="false">IFERROR(INDEX(Assessments!$I$2:$I$600,MATCH($H571&amp;"|"&amp;$I571&amp;"|"&amp;$J571&amp;"|"&amp;6,Assessments!$A$2:$A$600,0)),"")</f>
        <v/>
      </c>
      <c r="CO571" s="28" t="str">
        <f aca="false">IFERROR(INDEX(Assessments!$I$2:$I$600,MATCH($H571&amp;"|"&amp;$I571&amp;"|"&amp;$J571&amp;"|"&amp;7,Assessments!$A$2:$A$600,0)),"")</f>
        <v/>
      </c>
      <c r="CP571" s="28" t="str">
        <f aca="false">IFERROR(INDEX(Assessments!$I$2:$I$600,MATCH($H571&amp;"|"&amp;$I571&amp;"|"&amp;$J571&amp;"|"&amp;8,Assessments!$A$2:$A$600,0)),"")</f>
        <v/>
      </c>
      <c r="CQ571" s="28" t="str">
        <f aca="false">IFERROR(INDEX(Assessments!$I$2:$I$600,MATCH($H571&amp;"|"&amp;$I571&amp;"|"&amp;$J571&amp;"|"&amp;9,Assessments!$A$2:$A$600,0)),"")</f>
        <v/>
      </c>
      <c r="CR571" s="28" t="str">
        <f aca="false">IFERROR(INDEX(Assessments!$I$2:$I$600,MATCH($H571&amp;"|"&amp;$I571&amp;"|"&amp;$J571&amp;"|"&amp;10,Assessments!$A$2:$A$600,0)),"")</f>
        <v/>
      </c>
      <c r="CS571" s="28" t="str">
        <f aca="false">IFERROR(INDEX(Assessments!$I$2:$I$600,MATCH($H571&amp;"|"&amp;$I571&amp;"|"&amp;$J571&amp;"|"&amp;11,Assessments!$A$2:$A$600,0)),"")</f>
        <v/>
      </c>
      <c r="CT571" s="28" t="str">
        <f aca="false">IFERROR(INDEX(Assessments!$I$2:$I$600,MATCH($H571&amp;"|"&amp;$I571&amp;"|"&amp;$J571&amp;"|"&amp;12,Assessments!$A$2:$A$600,0)),"")</f>
        <v/>
      </c>
      <c r="CU571" s="28" t="str">
        <f aca="false">IFERROR(INDEX(Assessments!$I$2:$I$600,MATCH($H571&amp;"|"&amp;$I571&amp;"|"&amp;$J571&amp;"|"&amp;13,Assessments!$A$2:$A$600,0)),"")</f>
        <v/>
      </c>
      <c r="CV571" s="28" t="str">
        <f aca="false">IFERROR(INDEX(Assessments!$I$2:$I$600,MATCH($H571&amp;"|"&amp;$I571&amp;"|"&amp;$J571&amp;"|"&amp;14,Assessments!$A$2:$A$600,0)),"")</f>
        <v/>
      </c>
      <c r="CW571" s="28" t="n">
        <f aca="false">IFERROR(INDEX(Assessments!$J$2:$J$600,MATCH($H571&amp;"|"&amp;$I571&amp;"|"&amp;$J571&amp;"|"&amp;1,Assessments!$A$2:$A$600,0)),0)</f>
        <v>0</v>
      </c>
      <c r="CX571" s="28" t="n">
        <f aca="false">IFERROR(INDEX(Assessments!$J$2:$J$600,MATCH($H571&amp;"|"&amp;$I571&amp;"|"&amp;$J571&amp;"|"&amp;2,Assessments!$A$2:$A$600,0)),0)</f>
        <v>0</v>
      </c>
      <c r="CY571" s="28" t="n">
        <f aca="false">IFERROR(INDEX(Assessments!$J$2:$J$600,MATCH($H571&amp;"|"&amp;$I571&amp;"|"&amp;$J571&amp;"|"&amp;3,Assessments!$A$2:$A$600,0)),0)</f>
        <v>0</v>
      </c>
      <c r="CZ571" s="28" t="n">
        <f aca="false">IFERROR(INDEX(Assessments!$J$2:$J$600,MATCH($H571&amp;"|"&amp;$I571&amp;"|"&amp;$J571&amp;"|"&amp;4,Assessments!$A$2:$A$600,0)),0)</f>
        <v>0</v>
      </c>
      <c r="DA571" s="28" t="n">
        <f aca="false">IFERROR(INDEX(Assessments!$J$2:$J$600,MATCH($H571&amp;"|"&amp;$I571&amp;"|"&amp;$J571&amp;"|"&amp;5,Assessments!$A$2:$A$600,0)),0)</f>
        <v>0</v>
      </c>
      <c r="DB571" s="28" t="n">
        <f aca="false">IFERROR(INDEX(Assessments!$J$2:$J$600,MATCH($H571&amp;"|"&amp;$I571&amp;"|"&amp;$J571&amp;"|"&amp;6,Assessments!$A$2:$A$600,0)),0)</f>
        <v>0</v>
      </c>
      <c r="DC571" s="28" t="n">
        <f aca="false">IFERROR(INDEX(Assessments!$J$2:$J$600,MATCH($H571&amp;"|"&amp;$I571&amp;"|"&amp;$J571&amp;"|"&amp;7,Assessments!$A$2:$A$600,0)),0)</f>
        <v>0</v>
      </c>
      <c r="DD571" s="28" t="n">
        <f aca="false">IFERROR(INDEX(Assessments!$J$2:$J$600,MATCH($H571&amp;"|"&amp;$I571&amp;"|"&amp;$J571&amp;"|"&amp;8,Assessments!$A$2:$A$600,0)),0)</f>
        <v>0</v>
      </c>
      <c r="DE571" s="28" t="n">
        <f aca="false">IFERROR(INDEX(Assessments!$J$2:$J$600,MATCH($H571&amp;"|"&amp;$I571&amp;"|"&amp;$J571&amp;"|"&amp;9,Assessments!$A$2:$A$600,0)),0)</f>
        <v>0</v>
      </c>
      <c r="DF571" s="28" t="n">
        <f aca="false">IFERROR(INDEX(Assessments!$J$2:$J$600,MATCH($H571&amp;"|"&amp;$I571&amp;"|"&amp;$J571&amp;"|"&amp;10,Assessments!$A$2:$A$600,0)),0)</f>
        <v>0</v>
      </c>
      <c r="DG571" s="28" t="n">
        <f aca="false">IFERROR(INDEX(Assessments!$J$2:$J$600,MATCH($H571&amp;"|"&amp;$I571&amp;"|"&amp;$J571&amp;"|"&amp;11,Assessments!$A$2:$A$600,0)),0)</f>
        <v>0</v>
      </c>
      <c r="DH571" s="28" t="n">
        <f aca="false">IFERROR(INDEX(Assessments!$J$2:$J$600,MATCH($H571&amp;"|"&amp;$I571&amp;"|"&amp;$J571&amp;"|"&amp;12,Assessments!$A$2:$A$600,0)),0)</f>
        <v>0</v>
      </c>
      <c r="DI571" s="28" t="n">
        <f aca="false">IFERROR(INDEX(Assessments!$J$2:$J$600,MATCH($H571&amp;"|"&amp;$I571&amp;"|"&amp;$J571&amp;"|"&amp;13,Assessments!$A$2:$A$600,0)),0)</f>
        <v>0</v>
      </c>
      <c r="DJ571" s="28" t="n">
        <f aca="false">IFERROR(INDEX(Assessments!$J$2:$J$600,MATCH($H571&amp;"|"&amp;$I571&amp;"|"&amp;$J571&amp;"|"&amp;14,Assessments!$A$2:$A$600,0)),0)</f>
        <v>0</v>
      </c>
      <c r="DK571" s="28" t="str">
        <f aca="false">S571</f>
        <v/>
      </c>
      <c r="DL571" s="28" t="str">
        <f aca="false">W571</f>
        <v/>
      </c>
      <c r="DM571" s="28" t="str">
        <f aca="false">AA571</f>
        <v/>
      </c>
      <c r="DN571" s="28" t="str">
        <f aca="false">AE571</f>
        <v/>
      </c>
      <c r="DO571" s="28" t="str">
        <f aca="false">AI571</f>
        <v/>
      </c>
      <c r="DP571" s="28" t="str">
        <f aca="false">AM571</f>
        <v/>
      </c>
      <c r="DQ571" s="28" t="str">
        <f aca="false">AQ571</f>
        <v/>
      </c>
      <c r="DR571" s="28" t="str">
        <f aca="false">AU571</f>
        <v/>
      </c>
      <c r="DS571" s="28" t="str">
        <f aca="false">AY571</f>
        <v/>
      </c>
      <c r="DT571" s="28" t="str">
        <f aca="false">BC571</f>
        <v/>
      </c>
      <c r="DU571" s="28" t="str">
        <f aca="false">BG571</f>
        <v/>
      </c>
      <c r="DV571" s="28" t="str">
        <f aca="false">BK571</f>
        <v/>
      </c>
      <c r="DW571" s="28" t="str">
        <f aca="false">BO571</f>
        <v/>
      </c>
      <c r="DX571" s="28" t="str">
        <f aca="false">BS571</f>
        <v/>
      </c>
      <c r="DY571" s="28" t="str">
        <f aca="false">IF(ISNUMBER(S571),1,"")</f>
        <v/>
      </c>
      <c r="DZ571" s="28" t="str">
        <f aca="false">IF(ISNUMBER(W571),2,"")</f>
        <v/>
      </c>
      <c r="EA571" s="28" t="str">
        <f aca="false">IF(ISNUMBER(AA571),3,"")</f>
        <v/>
      </c>
      <c r="EB571" s="28" t="str">
        <f aca="false">IF(ISNUMBER(AE571),4,"")</f>
        <v/>
      </c>
      <c r="EC571" s="28" t="str">
        <f aca="false">IF(ISNUMBER(AI571),5,"")</f>
        <v/>
      </c>
      <c r="ED571" s="28" t="str">
        <f aca="false">IF(ISNUMBER(AM571),6,"")</f>
        <v/>
      </c>
      <c r="EE571" s="28" t="str">
        <f aca="false">IF(ISNUMBER(AQ571),7,"")</f>
        <v/>
      </c>
      <c r="EF571" s="28" t="str">
        <f aca="false">IF(ISNUMBER(AU571),8,"")</f>
        <v/>
      </c>
      <c r="EG571" s="28" t="str">
        <f aca="false">IF(ISNUMBER(AY571),9,"")</f>
        <v/>
      </c>
      <c r="EH571" s="28" t="str">
        <f aca="false">IF(ISNUMBER(BC571),10,"")</f>
        <v/>
      </c>
      <c r="EI571" s="28" t="str">
        <f aca="false">IF(ISNUMBER(BG571),11,"")</f>
        <v/>
      </c>
      <c r="EJ571" s="28" t="str">
        <f aca="false">IF(ISNUMBER(BK571),12,"")</f>
        <v/>
      </c>
      <c r="EK571" s="28" t="str">
        <f aca="false">IF(ISNUMBER(BO571),13,"")</f>
        <v/>
      </c>
      <c r="EL571" s="28" t="str">
        <f aca="false">IF(ISNUMBER(BS571),14,"")</f>
        <v/>
      </c>
      <c r="EM571" s="28" t="n">
        <f aca="false">IF(ISNUMBER(R571),R571*CW571,0)</f>
        <v>0</v>
      </c>
      <c r="EN571" s="28" t="n">
        <f aca="false">IF(ISNUMBER(V571),V571*CX571,0)</f>
        <v>0</v>
      </c>
      <c r="EO571" s="28" t="n">
        <f aca="false">IF(ISNUMBER(Z571),Z571*CY571,0)</f>
        <v>0</v>
      </c>
      <c r="EP571" s="28" t="n">
        <f aca="false">IF(ISNUMBER(AD571),AD571*CZ571,0)</f>
        <v>0</v>
      </c>
      <c r="EQ571" s="28" t="n">
        <f aca="false">IF(ISNUMBER(AH571),AH571*DA571,0)</f>
        <v>0</v>
      </c>
      <c r="ER571" s="28" t="n">
        <f aca="false">IF(ISNUMBER(AL571),AL571*DB571,0)</f>
        <v>0</v>
      </c>
      <c r="ES571" s="28" t="n">
        <f aca="false">IF(ISNUMBER(AP571),AP571*DC571,0)</f>
        <v>0</v>
      </c>
      <c r="ET571" s="28" t="n">
        <f aca="false">IF(ISNUMBER(AT571),AT571*DD571,0)</f>
        <v>0</v>
      </c>
      <c r="EU571" s="28" t="n">
        <f aca="false">IF(ISNUMBER(AX571),AX571*DE571,0)</f>
        <v>0</v>
      </c>
      <c r="EV571" s="28" t="n">
        <f aca="false">IF(ISNUMBER(BB571),BB571*DF571,0)</f>
        <v>0</v>
      </c>
      <c r="EW571" s="28" t="n">
        <f aca="false">IF(ISNUMBER(BF571),BF571*DG571,0)</f>
        <v>0</v>
      </c>
      <c r="EX571" s="28" t="n">
        <f aca="false">IF(ISNUMBER(BJ571),BJ571*DH571,0)</f>
        <v>0</v>
      </c>
      <c r="EY571" s="28" t="n">
        <f aca="false">IF(ISNUMBER(BN571),BN571*DI571,0)</f>
        <v>0</v>
      </c>
      <c r="EZ571" s="28" t="n">
        <f aca="false">IF(ISNUMBER(BR571),BR571*DJ571,0)</f>
        <v>0</v>
      </c>
      <c r="FA571" s="28" t="n">
        <f aca="false">IF(ISNUMBER(R571),CW571,0)</f>
        <v>0</v>
      </c>
      <c r="FB571" s="28" t="n">
        <f aca="false">IF(ISNUMBER(V571),CX571,0)</f>
        <v>0</v>
      </c>
      <c r="FC571" s="28" t="n">
        <f aca="false">IF(ISNUMBER(Z571),CY571,0)</f>
        <v>0</v>
      </c>
      <c r="FD571" s="28" t="n">
        <f aca="false">IF(ISNUMBER(AD571),CZ571,0)</f>
        <v>0</v>
      </c>
      <c r="FE571" s="28" t="n">
        <f aca="false">IF(ISNUMBER(AH571),DA571,0)</f>
        <v>0</v>
      </c>
      <c r="FF571" s="28" t="n">
        <f aca="false">IF(ISNUMBER(AL571),DB571,0)</f>
        <v>0</v>
      </c>
      <c r="FG571" s="28" t="n">
        <f aca="false">IF(ISNUMBER(AP571),DC571,0)</f>
        <v>0</v>
      </c>
      <c r="FH571" s="28" t="n">
        <f aca="false">IF(ISNUMBER(AT571),DD571,0)</f>
        <v>0</v>
      </c>
      <c r="FI571" s="28" t="n">
        <f aca="false">IF(ISNUMBER(AX571),DE571,0)</f>
        <v>0</v>
      </c>
      <c r="FJ571" s="28" t="n">
        <f aca="false">IF(ISNUMBER(BB571),DF571,0)</f>
        <v>0</v>
      </c>
      <c r="FK571" s="28" t="n">
        <f aca="false">IF(ISNUMBER(BF571),DG571,0)</f>
        <v>0</v>
      </c>
      <c r="FL571" s="28" t="n">
        <f aca="false">IF(ISNUMBER(BJ571),DH571,0)</f>
        <v>0</v>
      </c>
      <c r="FM571" s="28" t="n">
        <f aca="false">IF(ISNUMBER(BN571),DI571,0)</f>
        <v>0</v>
      </c>
      <c r="FN571" s="28" t="n">
        <f aca="false">IF(ISNUMBER(BR571),DJ571,0)</f>
        <v>0</v>
      </c>
      <c r="FO571" s="28" t="str">
        <f aca="false">IFERROR(INDEX(Lists!$G$2:$G$20,MATCH($I571&amp;"|"&amp;$J571,Lists!$F$2:$F$20,0)),"")</f>
        <v/>
      </c>
    </row>
    <row r="572" customFormat="false" ht="19.5" hidden="false" customHeight="true" outlineLevel="0" collapsed="false">
      <c r="A572" s="29"/>
      <c r="B572" s="29"/>
      <c r="C572" s="30"/>
      <c r="D572" s="30"/>
      <c r="E572" s="31"/>
      <c r="F572" s="30"/>
      <c r="G572" s="30"/>
      <c r="H572" s="32"/>
      <c r="I572" s="33"/>
      <c r="J572" s="32"/>
      <c r="K572" s="34" t="str">
        <f aca="false">IF(OR(M572="",$E572=""),"",M572-$E572)</f>
        <v/>
      </c>
      <c r="L572" s="35" t="str">
        <f aca="false">IF(SUM(FA572:FN572)=0,"",SUM(EM572:EZ572)/SUM(FA572:FN572))</f>
        <v/>
      </c>
      <c r="M572" s="36" t="str">
        <f aca="false">IF(OR(L572="",FO572=""),"",IFERROR(MATCH(L572,INDEX(Boundaries!$B$2:$I$30,MATCH(FO572,Boundaries!$A$2:$A$30,0),0),1)-1,""))</f>
        <v/>
      </c>
      <c r="N572" s="37" t="str">
        <f aca="false">IF(COUNT($DY572:$EL572)&lt;2,"",INDEX($DK572:$DX572,MAX($DY572:$EL572))-INDEX($DK572:$DX572,MIN($DY572:$EL572)))</f>
        <v/>
      </c>
      <c r="O572" s="37" t="str">
        <f aca="false">IF(COUNT($DY572:$EL572)&lt;2,"",INDEX($DK572:$DX572,MAX($DY572:$EL572))-INDEX($DK572:$DX572,LARGE($DY572:$EL572,2)))</f>
        <v/>
      </c>
      <c r="P572" s="38" t="str">
        <f aca="false">IF(K572="","",IF(K572&gt;=0,"On/above target",IF(AND(N572&lt;&gt;"",N572&gt;=0.5),"Improving towards target",IF(AND(O572&lt;&gt;"",O572&lt;=-0.5),"Declining","Stable below target"))))</f>
        <v/>
      </c>
      <c r="Q572" s="39"/>
      <c r="R572" s="40" t="str">
        <f aca="false">IF(OR(Q572="",BU572=""),"",Q572/BU572*100)</f>
        <v/>
      </c>
      <c r="S572" s="41" t="str">
        <f aca="false">IF(R572="","",IFERROR(MATCH(R572,INDEX(Boundaries!$B$2:$I$30,MATCH(CI572,Boundaries!$A$2:$A$30,0),0),1)-1,""))</f>
        <v/>
      </c>
      <c r="T572" s="42" t="str">
        <f aca="false">IF(OR(S572="",$E572=""),"",S572-$E572)</f>
        <v/>
      </c>
      <c r="U572" s="39"/>
      <c r="V572" s="40" t="str">
        <f aca="false">IF(OR(U572="",BV572=""),"",U572/BV572*100)</f>
        <v/>
      </c>
      <c r="W572" s="41" t="str">
        <f aca="false">IF(V572="","",IFERROR(MATCH(V572,INDEX(Boundaries!$B$2:$I$30,MATCH(CJ572,Boundaries!$A$2:$A$30,0),0),1)-1,""))</f>
        <v/>
      </c>
      <c r="X572" s="42" t="str">
        <f aca="false">IF(OR(W572="",$E572=""),"",W572-$E572)</f>
        <v/>
      </c>
      <c r="Y572" s="39"/>
      <c r="Z572" s="40" t="str">
        <f aca="false">IF(OR(Y572="",BW572=""),"",Y572/BW572*100)</f>
        <v/>
      </c>
      <c r="AA572" s="41" t="str">
        <f aca="false">IF(Z572="","",IFERROR(MATCH(Z572,INDEX(Boundaries!$B$2:$I$30,MATCH(CK572,Boundaries!$A$2:$A$30,0),0),1)-1,""))</f>
        <v/>
      </c>
      <c r="AB572" s="42" t="str">
        <f aca="false">IF(OR(AA572="",$E572=""),"",AA572-$E572)</f>
        <v/>
      </c>
      <c r="AC572" s="39"/>
      <c r="AD572" s="40" t="str">
        <f aca="false">IF(OR(AC572="",BX572=""),"",AC572/BX572*100)</f>
        <v/>
      </c>
      <c r="AE572" s="41" t="str">
        <f aca="false">IF(AD572="","",IFERROR(MATCH(AD572,INDEX(Boundaries!$B$2:$I$30,MATCH(CL572,Boundaries!$A$2:$A$30,0),0),1)-1,""))</f>
        <v/>
      </c>
      <c r="AF572" s="42" t="str">
        <f aca="false">IF(OR(AE572="",$E572=""),"",AE572-$E572)</f>
        <v/>
      </c>
      <c r="AG572" s="39"/>
      <c r="AH572" s="40" t="str">
        <f aca="false">IF(OR(AG572="",BY572=""),"",AG572/BY572*100)</f>
        <v/>
      </c>
      <c r="AI572" s="41" t="str">
        <f aca="false">IF(AH572="","",IFERROR(MATCH(AH572,INDEX(Boundaries!$B$2:$I$30,MATCH(CM572,Boundaries!$A$2:$A$30,0),0),1)-1,""))</f>
        <v/>
      </c>
      <c r="AJ572" s="42" t="str">
        <f aca="false">IF(OR(AI572="",$E572=""),"",AI572-$E572)</f>
        <v/>
      </c>
      <c r="AK572" s="39"/>
      <c r="AL572" s="40" t="str">
        <f aca="false">IF(OR(AK572="",BZ572=""),"",AK572/BZ572*100)</f>
        <v/>
      </c>
      <c r="AM572" s="41" t="str">
        <f aca="false">IF(AL572="","",IFERROR(MATCH(AL572,INDEX(Boundaries!$B$2:$I$30,MATCH(CN572,Boundaries!$A$2:$A$30,0),0),1)-1,""))</f>
        <v/>
      </c>
      <c r="AN572" s="42" t="str">
        <f aca="false">IF(OR(AM572="",$E572=""),"",AM572-$E572)</f>
        <v/>
      </c>
      <c r="AO572" s="39"/>
      <c r="AP572" s="40" t="str">
        <f aca="false">IF(OR(AO572="",CA572=""),"",AO572/CA572*100)</f>
        <v/>
      </c>
      <c r="AQ572" s="41" t="str">
        <f aca="false">IF(AP572="","",IFERROR(MATCH(AP572,INDEX(Boundaries!$B$2:$I$30,MATCH(CO572,Boundaries!$A$2:$A$30,0),0),1)-1,""))</f>
        <v/>
      </c>
      <c r="AR572" s="42" t="str">
        <f aca="false">IF(OR(AQ572="",$E572=""),"",AQ572-$E572)</f>
        <v/>
      </c>
      <c r="AS572" s="39"/>
      <c r="AT572" s="40" t="str">
        <f aca="false">IF(OR(AS572="",CB572=""),"",AS572/CB572*100)</f>
        <v/>
      </c>
      <c r="AU572" s="41" t="str">
        <f aca="false">IF(AT572="","",IFERROR(MATCH(AT572,INDEX(Boundaries!$B$2:$I$30,MATCH(CP572,Boundaries!$A$2:$A$30,0),0),1)-1,""))</f>
        <v/>
      </c>
      <c r="AV572" s="42" t="str">
        <f aca="false">IF(OR(AU572="",$E572=""),"",AU572-$E572)</f>
        <v/>
      </c>
      <c r="AW572" s="39"/>
      <c r="AX572" s="40" t="str">
        <f aca="false">IF(OR(AW572="",CC572=""),"",AW572/CC572*100)</f>
        <v/>
      </c>
      <c r="AY572" s="41" t="str">
        <f aca="false">IF(AX572="","",IFERROR(MATCH(AX572,INDEX(Boundaries!$B$2:$I$30,MATCH(CQ572,Boundaries!$A$2:$A$30,0),0),1)-1,""))</f>
        <v/>
      </c>
      <c r="AZ572" s="42" t="str">
        <f aca="false">IF(OR(AY572="",$E572=""),"",AY572-$E572)</f>
        <v/>
      </c>
      <c r="BA572" s="39"/>
      <c r="BB572" s="40" t="str">
        <f aca="false">IF(OR(BA572="",CD572=""),"",BA572/CD572*100)</f>
        <v/>
      </c>
      <c r="BC572" s="41" t="str">
        <f aca="false">IF(BB572="","",IFERROR(MATCH(BB572,INDEX(Boundaries!$B$2:$I$30,MATCH(CR572,Boundaries!$A$2:$A$30,0),0),1)-1,""))</f>
        <v/>
      </c>
      <c r="BD572" s="42" t="str">
        <f aca="false">IF(OR(BC572="",$E572=""),"",BC572-$E572)</f>
        <v/>
      </c>
      <c r="BE572" s="39"/>
      <c r="BF572" s="40" t="str">
        <f aca="false">IF(OR(BE572="",CE572=""),"",BE572/CE572*100)</f>
        <v/>
      </c>
      <c r="BG572" s="41" t="str">
        <f aca="false">IF(BF572="","",IFERROR(MATCH(BF572,INDEX(Boundaries!$B$2:$I$30,MATCH(CS572,Boundaries!$A$2:$A$30,0),0),1)-1,""))</f>
        <v/>
      </c>
      <c r="BH572" s="42" t="str">
        <f aca="false">IF(OR(BG572="",$E572=""),"",BG572-$E572)</f>
        <v/>
      </c>
      <c r="BI572" s="39"/>
      <c r="BJ572" s="40" t="str">
        <f aca="false">IF(OR(BI572="",CF572=""),"",BI572/CF572*100)</f>
        <v/>
      </c>
      <c r="BK572" s="41" t="str">
        <f aca="false">IF(BJ572="","",IFERROR(MATCH(BJ572,INDEX(Boundaries!$B$2:$I$30,MATCH(CT572,Boundaries!$A$2:$A$30,0),0),1)-1,""))</f>
        <v/>
      </c>
      <c r="BL572" s="42" t="str">
        <f aca="false">IF(OR(BK572="",$E572=""),"",BK572-$E572)</f>
        <v/>
      </c>
      <c r="BM572" s="39"/>
      <c r="BN572" s="40" t="str">
        <f aca="false">IF(OR(BM572="",CG572=""),"",BM572/CG572*100)</f>
        <v/>
      </c>
      <c r="BO572" s="41" t="str">
        <f aca="false">IF(BN572="","",IFERROR(MATCH(BN572,INDEX(Boundaries!$B$2:$I$30,MATCH(CU572,Boundaries!$A$2:$A$30,0),0),1)-1,""))</f>
        <v/>
      </c>
      <c r="BP572" s="42" t="str">
        <f aca="false">IF(OR(BO572="",$E572=""),"",BO572-$E572)</f>
        <v/>
      </c>
      <c r="BQ572" s="39"/>
      <c r="BR572" s="40" t="str">
        <f aca="false">IF(OR(BQ572="",CH572=""),"",BQ572/CH572*100)</f>
        <v/>
      </c>
      <c r="BS572" s="41" t="str">
        <f aca="false">IF(BR572="","",IFERROR(MATCH(BR572,INDEX(Boundaries!$B$2:$I$30,MATCH(CV572,Boundaries!$A$2:$A$30,0),0),1)-1,""))</f>
        <v/>
      </c>
      <c r="BT572" s="42" t="str">
        <f aca="false">IF(OR(BS572="",$E572=""),"",BS572-$E572)</f>
        <v/>
      </c>
      <c r="BU572" s="28" t="str">
        <f aca="false">IFERROR(INDEX(Assessments!$H$2:$H$600,MATCH($H572&amp;"|"&amp;$I572&amp;"|"&amp;$J572&amp;"|"&amp;1,Assessments!$A$2:$A$600,0)),"")</f>
        <v/>
      </c>
      <c r="BV572" s="28" t="str">
        <f aca="false">IFERROR(INDEX(Assessments!$H$2:$H$600,MATCH($H572&amp;"|"&amp;$I572&amp;"|"&amp;$J572&amp;"|"&amp;2,Assessments!$A$2:$A$600,0)),"")</f>
        <v/>
      </c>
      <c r="BW572" s="28" t="str">
        <f aca="false">IFERROR(INDEX(Assessments!$H$2:$H$600,MATCH($H572&amp;"|"&amp;$I572&amp;"|"&amp;$J572&amp;"|"&amp;3,Assessments!$A$2:$A$600,0)),"")</f>
        <v/>
      </c>
      <c r="BX572" s="28" t="str">
        <f aca="false">IFERROR(INDEX(Assessments!$H$2:$H$600,MATCH($H572&amp;"|"&amp;$I572&amp;"|"&amp;$J572&amp;"|"&amp;4,Assessments!$A$2:$A$600,0)),"")</f>
        <v/>
      </c>
      <c r="BY572" s="28" t="str">
        <f aca="false">IFERROR(INDEX(Assessments!$H$2:$H$600,MATCH($H572&amp;"|"&amp;$I572&amp;"|"&amp;$J572&amp;"|"&amp;5,Assessments!$A$2:$A$600,0)),"")</f>
        <v/>
      </c>
      <c r="BZ572" s="28" t="str">
        <f aca="false">IFERROR(INDEX(Assessments!$H$2:$H$600,MATCH($H572&amp;"|"&amp;$I572&amp;"|"&amp;$J572&amp;"|"&amp;6,Assessments!$A$2:$A$600,0)),"")</f>
        <v/>
      </c>
      <c r="CA572" s="28" t="str">
        <f aca="false">IFERROR(INDEX(Assessments!$H$2:$H$600,MATCH($H572&amp;"|"&amp;$I572&amp;"|"&amp;$J572&amp;"|"&amp;7,Assessments!$A$2:$A$600,0)),"")</f>
        <v/>
      </c>
      <c r="CB572" s="28" t="str">
        <f aca="false">IFERROR(INDEX(Assessments!$H$2:$H$600,MATCH($H572&amp;"|"&amp;$I572&amp;"|"&amp;$J572&amp;"|"&amp;8,Assessments!$A$2:$A$600,0)),"")</f>
        <v/>
      </c>
      <c r="CC572" s="28" t="str">
        <f aca="false">IFERROR(INDEX(Assessments!$H$2:$H$600,MATCH($H572&amp;"|"&amp;$I572&amp;"|"&amp;$J572&amp;"|"&amp;9,Assessments!$A$2:$A$600,0)),"")</f>
        <v/>
      </c>
      <c r="CD572" s="28" t="str">
        <f aca="false">IFERROR(INDEX(Assessments!$H$2:$H$600,MATCH($H572&amp;"|"&amp;$I572&amp;"|"&amp;$J572&amp;"|"&amp;10,Assessments!$A$2:$A$600,0)),"")</f>
        <v/>
      </c>
      <c r="CE572" s="28" t="str">
        <f aca="false">IFERROR(INDEX(Assessments!$H$2:$H$600,MATCH($H572&amp;"|"&amp;$I572&amp;"|"&amp;$J572&amp;"|"&amp;11,Assessments!$A$2:$A$600,0)),"")</f>
        <v/>
      </c>
      <c r="CF572" s="28" t="str">
        <f aca="false">IFERROR(INDEX(Assessments!$H$2:$H$600,MATCH($H572&amp;"|"&amp;$I572&amp;"|"&amp;$J572&amp;"|"&amp;12,Assessments!$A$2:$A$600,0)),"")</f>
        <v/>
      </c>
      <c r="CG572" s="28" t="str">
        <f aca="false">IFERROR(INDEX(Assessments!$H$2:$H$600,MATCH($H572&amp;"|"&amp;$I572&amp;"|"&amp;$J572&amp;"|"&amp;13,Assessments!$A$2:$A$600,0)),"")</f>
        <v/>
      </c>
      <c r="CH572" s="28" t="str">
        <f aca="false">IFERROR(INDEX(Assessments!$H$2:$H$600,MATCH($H572&amp;"|"&amp;$I572&amp;"|"&amp;$J572&amp;"|"&amp;14,Assessments!$A$2:$A$600,0)),"")</f>
        <v/>
      </c>
      <c r="CI572" s="28" t="str">
        <f aca="false">IFERROR(INDEX(Assessments!$I$2:$I$600,MATCH($H572&amp;"|"&amp;$I572&amp;"|"&amp;$J572&amp;"|"&amp;1,Assessments!$A$2:$A$600,0)),"")</f>
        <v/>
      </c>
      <c r="CJ572" s="28" t="str">
        <f aca="false">IFERROR(INDEX(Assessments!$I$2:$I$600,MATCH($H572&amp;"|"&amp;$I572&amp;"|"&amp;$J572&amp;"|"&amp;2,Assessments!$A$2:$A$600,0)),"")</f>
        <v/>
      </c>
      <c r="CK572" s="28" t="str">
        <f aca="false">IFERROR(INDEX(Assessments!$I$2:$I$600,MATCH($H572&amp;"|"&amp;$I572&amp;"|"&amp;$J572&amp;"|"&amp;3,Assessments!$A$2:$A$600,0)),"")</f>
        <v/>
      </c>
      <c r="CL572" s="28" t="str">
        <f aca="false">IFERROR(INDEX(Assessments!$I$2:$I$600,MATCH($H572&amp;"|"&amp;$I572&amp;"|"&amp;$J572&amp;"|"&amp;4,Assessments!$A$2:$A$600,0)),"")</f>
        <v/>
      </c>
      <c r="CM572" s="28" t="str">
        <f aca="false">IFERROR(INDEX(Assessments!$I$2:$I$600,MATCH($H572&amp;"|"&amp;$I572&amp;"|"&amp;$J572&amp;"|"&amp;5,Assessments!$A$2:$A$600,0)),"")</f>
        <v/>
      </c>
      <c r="CN572" s="28" t="str">
        <f aca="false">IFERROR(INDEX(Assessments!$I$2:$I$600,MATCH($H572&amp;"|"&amp;$I572&amp;"|"&amp;$J572&amp;"|"&amp;6,Assessments!$A$2:$A$600,0)),"")</f>
        <v/>
      </c>
      <c r="CO572" s="28" t="str">
        <f aca="false">IFERROR(INDEX(Assessments!$I$2:$I$600,MATCH($H572&amp;"|"&amp;$I572&amp;"|"&amp;$J572&amp;"|"&amp;7,Assessments!$A$2:$A$600,0)),"")</f>
        <v/>
      </c>
      <c r="CP572" s="28" t="str">
        <f aca="false">IFERROR(INDEX(Assessments!$I$2:$I$600,MATCH($H572&amp;"|"&amp;$I572&amp;"|"&amp;$J572&amp;"|"&amp;8,Assessments!$A$2:$A$600,0)),"")</f>
        <v/>
      </c>
      <c r="CQ572" s="28" t="str">
        <f aca="false">IFERROR(INDEX(Assessments!$I$2:$I$600,MATCH($H572&amp;"|"&amp;$I572&amp;"|"&amp;$J572&amp;"|"&amp;9,Assessments!$A$2:$A$600,0)),"")</f>
        <v/>
      </c>
      <c r="CR572" s="28" t="str">
        <f aca="false">IFERROR(INDEX(Assessments!$I$2:$I$600,MATCH($H572&amp;"|"&amp;$I572&amp;"|"&amp;$J572&amp;"|"&amp;10,Assessments!$A$2:$A$600,0)),"")</f>
        <v/>
      </c>
      <c r="CS572" s="28" t="str">
        <f aca="false">IFERROR(INDEX(Assessments!$I$2:$I$600,MATCH($H572&amp;"|"&amp;$I572&amp;"|"&amp;$J572&amp;"|"&amp;11,Assessments!$A$2:$A$600,0)),"")</f>
        <v/>
      </c>
      <c r="CT572" s="28" t="str">
        <f aca="false">IFERROR(INDEX(Assessments!$I$2:$I$600,MATCH($H572&amp;"|"&amp;$I572&amp;"|"&amp;$J572&amp;"|"&amp;12,Assessments!$A$2:$A$600,0)),"")</f>
        <v/>
      </c>
      <c r="CU572" s="28" t="str">
        <f aca="false">IFERROR(INDEX(Assessments!$I$2:$I$600,MATCH($H572&amp;"|"&amp;$I572&amp;"|"&amp;$J572&amp;"|"&amp;13,Assessments!$A$2:$A$600,0)),"")</f>
        <v/>
      </c>
      <c r="CV572" s="28" t="str">
        <f aca="false">IFERROR(INDEX(Assessments!$I$2:$I$600,MATCH($H572&amp;"|"&amp;$I572&amp;"|"&amp;$J572&amp;"|"&amp;14,Assessments!$A$2:$A$600,0)),"")</f>
        <v/>
      </c>
      <c r="CW572" s="28" t="n">
        <f aca="false">IFERROR(INDEX(Assessments!$J$2:$J$600,MATCH($H572&amp;"|"&amp;$I572&amp;"|"&amp;$J572&amp;"|"&amp;1,Assessments!$A$2:$A$600,0)),0)</f>
        <v>0</v>
      </c>
      <c r="CX572" s="28" t="n">
        <f aca="false">IFERROR(INDEX(Assessments!$J$2:$J$600,MATCH($H572&amp;"|"&amp;$I572&amp;"|"&amp;$J572&amp;"|"&amp;2,Assessments!$A$2:$A$600,0)),0)</f>
        <v>0</v>
      </c>
      <c r="CY572" s="28" t="n">
        <f aca="false">IFERROR(INDEX(Assessments!$J$2:$J$600,MATCH($H572&amp;"|"&amp;$I572&amp;"|"&amp;$J572&amp;"|"&amp;3,Assessments!$A$2:$A$600,0)),0)</f>
        <v>0</v>
      </c>
      <c r="CZ572" s="28" t="n">
        <f aca="false">IFERROR(INDEX(Assessments!$J$2:$J$600,MATCH($H572&amp;"|"&amp;$I572&amp;"|"&amp;$J572&amp;"|"&amp;4,Assessments!$A$2:$A$600,0)),0)</f>
        <v>0</v>
      </c>
      <c r="DA572" s="28" t="n">
        <f aca="false">IFERROR(INDEX(Assessments!$J$2:$J$600,MATCH($H572&amp;"|"&amp;$I572&amp;"|"&amp;$J572&amp;"|"&amp;5,Assessments!$A$2:$A$600,0)),0)</f>
        <v>0</v>
      </c>
      <c r="DB572" s="28" t="n">
        <f aca="false">IFERROR(INDEX(Assessments!$J$2:$J$600,MATCH($H572&amp;"|"&amp;$I572&amp;"|"&amp;$J572&amp;"|"&amp;6,Assessments!$A$2:$A$600,0)),0)</f>
        <v>0</v>
      </c>
      <c r="DC572" s="28" t="n">
        <f aca="false">IFERROR(INDEX(Assessments!$J$2:$J$600,MATCH($H572&amp;"|"&amp;$I572&amp;"|"&amp;$J572&amp;"|"&amp;7,Assessments!$A$2:$A$600,0)),0)</f>
        <v>0</v>
      </c>
      <c r="DD572" s="28" t="n">
        <f aca="false">IFERROR(INDEX(Assessments!$J$2:$J$600,MATCH($H572&amp;"|"&amp;$I572&amp;"|"&amp;$J572&amp;"|"&amp;8,Assessments!$A$2:$A$600,0)),0)</f>
        <v>0</v>
      </c>
      <c r="DE572" s="28" t="n">
        <f aca="false">IFERROR(INDEX(Assessments!$J$2:$J$600,MATCH($H572&amp;"|"&amp;$I572&amp;"|"&amp;$J572&amp;"|"&amp;9,Assessments!$A$2:$A$600,0)),0)</f>
        <v>0</v>
      </c>
      <c r="DF572" s="28" t="n">
        <f aca="false">IFERROR(INDEX(Assessments!$J$2:$J$600,MATCH($H572&amp;"|"&amp;$I572&amp;"|"&amp;$J572&amp;"|"&amp;10,Assessments!$A$2:$A$600,0)),0)</f>
        <v>0</v>
      </c>
      <c r="DG572" s="28" t="n">
        <f aca="false">IFERROR(INDEX(Assessments!$J$2:$J$600,MATCH($H572&amp;"|"&amp;$I572&amp;"|"&amp;$J572&amp;"|"&amp;11,Assessments!$A$2:$A$600,0)),0)</f>
        <v>0</v>
      </c>
      <c r="DH572" s="28" t="n">
        <f aca="false">IFERROR(INDEX(Assessments!$J$2:$J$600,MATCH($H572&amp;"|"&amp;$I572&amp;"|"&amp;$J572&amp;"|"&amp;12,Assessments!$A$2:$A$600,0)),0)</f>
        <v>0</v>
      </c>
      <c r="DI572" s="28" t="n">
        <f aca="false">IFERROR(INDEX(Assessments!$J$2:$J$600,MATCH($H572&amp;"|"&amp;$I572&amp;"|"&amp;$J572&amp;"|"&amp;13,Assessments!$A$2:$A$600,0)),0)</f>
        <v>0</v>
      </c>
      <c r="DJ572" s="28" t="n">
        <f aca="false">IFERROR(INDEX(Assessments!$J$2:$J$600,MATCH($H572&amp;"|"&amp;$I572&amp;"|"&amp;$J572&amp;"|"&amp;14,Assessments!$A$2:$A$600,0)),0)</f>
        <v>0</v>
      </c>
      <c r="DK572" s="28" t="str">
        <f aca="false">S572</f>
        <v/>
      </c>
      <c r="DL572" s="28" t="str">
        <f aca="false">W572</f>
        <v/>
      </c>
      <c r="DM572" s="28" t="str">
        <f aca="false">AA572</f>
        <v/>
      </c>
      <c r="DN572" s="28" t="str">
        <f aca="false">AE572</f>
        <v/>
      </c>
      <c r="DO572" s="28" t="str">
        <f aca="false">AI572</f>
        <v/>
      </c>
      <c r="DP572" s="28" t="str">
        <f aca="false">AM572</f>
        <v/>
      </c>
      <c r="DQ572" s="28" t="str">
        <f aca="false">AQ572</f>
        <v/>
      </c>
      <c r="DR572" s="28" t="str">
        <f aca="false">AU572</f>
        <v/>
      </c>
      <c r="DS572" s="28" t="str">
        <f aca="false">AY572</f>
        <v/>
      </c>
      <c r="DT572" s="28" t="str">
        <f aca="false">BC572</f>
        <v/>
      </c>
      <c r="DU572" s="28" t="str">
        <f aca="false">BG572</f>
        <v/>
      </c>
      <c r="DV572" s="28" t="str">
        <f aca="false">BK572</f>
        <v/>
      </c>
      <c r="DW572" s="28" t="str">
        <f aca="false">BO572</f>
        <v/>
      </c>
      <c r="DX572" s="28" t="str">
        <f aca="false">BS572</f>
        <v/>
      </c>
      <c r="DY572" s="28" t="str">
        <f aca="false">IF(ISNUMBER(S572),1,"")</f>
        <v/>
      </c>
      <c r="DZ572" s="28" t="str">
        <f aca="false">IF(ISNUMBER(W572),2,"")</f>
        <v/>
      </c>
      <c r="EA572" s="28" t="str">
        <f aca="false">IF(ISNUMBER(AA572),3,"")</f>
        <v/>
      </c>
      <c r="EB572" s="28" t="str">
        <f aca="false">IF(ISNUMBER(AE572),4,"")</f>
        <v/>
      </c>
      <c r="EC572" s="28" t="str">
        <f aca="false">IF(ISNUMBER(AI572),5,"")</f>
        <v/>
      </c>
      <c r="ED572" s="28" t="str">
        <f aca="false">IF(ISNUMBER(AM572),6,"")</f>
        <v/>
      </c>
      <c r="EE572" s="28" t="str">
        <f aca="false">IF(ISNUMBER(AQ572),7,"")</f>
        <v/>
      </c>
      <c r="EF572" s="28" t="str">
        <f aca="false">IF(ISNUMBER(AU572),8,"")</f>
        <v/>
      </c>
      <c r="EG572" s="28" t="str">
        <f aca="false">IF(ISNUMBER(AY572),9,"")</f>
        <v/>
      </c>
      <c r="EH572" s="28" t="str">
        <f aca="false">IF(ISNUMBER(BC572),10,"")</f>
        <v/>
      </c>
      <c r="EI572" s="28" t="str">
        <f aca="false">IF(ISNUMBER(BG572),11,"")</f>
        <v/>
      </c>
      <c r="EJ572" s="28" t="str">
        <f aca="false">IF(ISNUMBER(BK572),12,"")</f>
        <v/>
      </c>
      <c r="EK572" s="28" t="str">
        <f aca="false">IF(ISNUMBER(BO572),13,"")</f>
        <v/>
      </c>
      <c r="EL572" s="28" t="str">
        <f aca="false">IF(ISNUMBER(BS572),14,"")</f>
        <v/>
      </c>
      <c r="EM572" s="28" t="n">
        <f aca="false">IF(ISNUMBER(R572),R572*CW572,0)</f>
        <v>0</v>
      </c>
      <c r="EN572" s="28" t="n">
        <f aca="false">IF(ISNUMBER(V572),V572*CX572,0)</f>
        <v>0</v>
      </c>
      <c r="EO572" s="28" t="n">
        <f aca="false">IF(ISNUMBER(Z572),Z572*CY572,0)</f>
        <v>0</v>
      </c>
      <c r="EP572" s="28" t="n">
        <f aca="false">IF(ISNUMBER(AD572),AD572*CZ572,0)</f>
        <v>0</v>
      </c>
      <c r="EQ572" s="28" t="n">
        <f aca="false">IF(ISNUMBER(AH572),AH572*DA572,0)</f>
        <v>0</v>
      </c>
      <c r="ER572" s="28" t="n">
        <f aca="false">IF(ISNUMBER(AL572),AL572*DB572,0)</f>
        <v>0</v>
      </c>
      <c r="ES572" s="28" t="n">
        <f aca="false">IF(ISNUMBER(AP572),AP572*DC572,0)</f>
        <v>0</v>
      </c>
      <c r="ET572" s="28" t="n">
        <f aca="false">IF(ISNUMBER(AT572),AT572*DD572,0)</f>
        <v>0</v>
      </c>
      <c r="EU572" s="28" t="n">
        <f aca="false">IF(ISNUMBER(AX572),AX572*DE572,0)</f>
        <v>0</v>
      </c>
      <c r="EV572" s="28" t="n">
        <f aca="false">IF(ISNUMBER(BB572),BB572*DF572,0)</f>
        <v>0</v>
      </c>
      <c r="EW572" s="28" t="n">
        <f aca="false">IF(ISNUMBER(BF572),BF572*DG572,0)</f>
        <v>0</v>
      </c>
      <c r="EX572" s="28" t="n">
        <f aca="false">IF(ISNUMBER(BJ572),BJ572*DH572,0)</f>
        <v>0</v>
      </c>
      <c r="EY572" s="28" t="n">
        <f aca="false">IF(ISNUMBER(BN572),BN572*DI572,0)</f>
        <v>0</v>
      </c>
      <c r="EZ572" s="28" t="n">
        <f aca="false">IF(ISNUMBER(BR572),BR572*DJ572,0)</f>
        <v>0</v>
      </c>
      <c r="FA572" s="28" t="n">
        <f aca="false">IF(ISNUMBER(R572),CW572,0)</f>
        <v>0</v>
      </c>
      <c r="FB572" s="28" t="n">
        <f aca="false">IF(ISNUMBER(V572),CX572,0)</f>
        <v>0</v>
      </c>
      <c r="FC572" s="28" t="n">
        <f aca="false">IF(ISNUMBER(Z572),CY572,0)</f>
        <v>0</v>
      </c>
      <c r="FD572" s="28" t="n">
        <f aca="false">IF(ISNUMBER(AD572),CZ572,0)</f>
        <v>0</v>
      </c>
      <c r="FE572" s="28" t="n">
        <f aca="false">IF(ISNUMBER(AH572),DA572,0)</f>
        <v>0</v>
      </c>
      <c r="FF572" s="28" t="n">
        <f aca="false">IF(ISNUMBER(AL572),DB572,0)</f>
        <v>0</v>
      </c>
      <c r="FG572" s="28" t="n">
        <f aca="false">IF(ISNUMBER(AP572),DC572,0)</f>
        <v>0</v>
      </c>
      <c r="FH572" s="28" t="n">
        <f aca="false">IF(ISNUMBER(AT572),DD572,0)</f>
        <v>0</v>
      </c>
      <c r="FI572" s="28" t="n">
        <f aca="false">IF(ISNUMBER(AX572),DE572,0)</f>
        <v>0</v>
      </c>
      <c r="FJ572" s="28" t="n">
        <f aca="false">IF(ISNUMBER(BB572),DF572,0)</f>
        <v>0</v>
      </c>
      <c r="FK572" s="28" t="n">
        <f aca="false">IF(ISNUMBER(BF572),DG572,0)</f>
        <v>0</v>
      </c>
      <c r="FL572" s="28" t="n">
        <f aca="false">IF(ISNUMBER(BJ572),DH572,0)</f>
        <v>0</v>
      </c>
      <c r="FM572" s="28" t="n">
        <f aca="false">IF(ISNUMBER(BN572),DI572,0)</f>
        <v>0</v>
      </c>
      <c r="FN572" s="28" t="n">
        <f aca="false">IF(ISNUMBER(BR572),DJ572,0)</f>
        <v>0</v>
      </c>
      <c r="FO572" s="28" t="str">
        <f aca="false">IFERROR(INDEX(Lists!$G$2:$G$20,MATCH($I572&amp;"|"&amp;$J572,Lists!$F$2:$F$20,0)),"")</f>
        <v/>
      </c>
    </row>
    <row r="573" customFormat="false" ht="19.5" hidden="false" customHeight="true" outlineLevel="0" collapsed="false">
      <c r="A573" s="29"/>
      <c r="B573" s="29"/>
      <c r="C573" s="30"/>
      <c r="D573" s="30"/>
      <c r="E573" s="31"/>
      <c r="F573" s="30"/>
      <c r="G573" s="30"/>
      <c r="H573" s="32"/>
      <c r="I573" s="33"/>
      <c r="J573" s="32"/>
      <c r="K573" s="34" t="str">
        <f aca="false">IF(OR(M573="",$E573=""),"",M573-$E573)</f>
        <v/>
      </c>
      <c r="L573" s="35" t="str">
        <f aca="false">IF(SUM(FA573:FN573)=0,"",SUM(EM573:EZ573)/SUM(FA573:FN573))</f>
        <v/>
      </c>
      <c r="M573" s="36" t="str">
        <f aca="false">IF(OR(L573="",FO573=""),"",IFERROR(MATCH(L573,INDEX(Boundaries!$B$2:$I$30,MATCH(FO573,Boundaries!$A$2:$A$30,0),0),1)-1,""))</f>
        <v/>
      </c>
      <c r="N573" s="37" t="str">
        <f aca="false">IF(COUNT($DY573:$EL573)&lt;2,"",INDEX($DK573:$DX573,MAX($DY573:$EL573))-INDEX($DK573:$DX573,MIN($DY573:$EL573)))</f>
        <v/>
      </c>
      <c r="O573" s="37" t="str">
        <f aca="false">IF(COUNT($DY573:$EL573)&lt;2,"",INDEX($DK573:$DX573,MAX($DY573:$EL573))-INDEX($DK573:$DX573,LARGE($DY573:$EL573,2)))</f>
        <v/>
      </c>
      <c r="P573" s="38" t="str">
        <f aca="false">IF(K573="","",IF(K573&gt;=0,"On/above target",IF(AND(N573&lt;&gt;"",N573&gt;=0.5),"Improving towards target",IF(AND(O573&lt;&gt;"",O573&lt;=-0.5),"Declining","Stable below target"))))</f>
        <v/>
      </c>
      <c r="Q573" s="39"/>
      <c r="R573" s="40" t="str">
        <f aca="false">IF(OR(Q573="",BU573=""),"",Q573/BU573*100)</f>
        <v/>
      </c>
      <c r="S573" s="41" t="str">
        <f aca="false">IF(R573="","",IFERROR(MATCH(R573,INDEX(Boundaries!$B$2:$I$30,MATCH(CI573,Boundaries!$A$2:$A$30,0),0),1)-1,""))</f>
        <v/>
      </c>
      <c r="T573" s="42" t="str">
        <f aca="false">IF(OR(S573="",$E573=""),"",S573-$E573)</f>
        <v/>
      </c>
      <c r="U573" s="39"/>
      <c r="V573" s="40" t="str">
        <f aca="false">IF(OR(U573="",BV573=""),"",U573/BV573*100)</f>
        <v/>
      </c>
      <c r="W573" s="41" t="str">
        <f aca="false">IF(V573="","",IFERROR(MATCH(V573,INDEX(Boundaries!$B$2:$I$30,MATCH(CJ573,Boundaries!$A$2:$A$30,0),0),1)-1,""))</f>
        <v/>
      </c>
      <c r="X573" s="42" t="str">
        <f aca="false">IF(OR(W573="",$E573=""),"",W573-$E573)</f>
        <v/>
      </c>
      <c r="Y573" s="39"/>
      <c r="Z573" s="40" t="str">
        <f aca="false">IF(OR(Y573="",BW573=""),"",Y573/BW573*100)</f>
        <v/>
      </c>
      <c r="AA573" s="41" t="str">
        <f aca="false">IF(Z573="","",IFERROR(MATCH(Z573,INDEX(Boundaries!$B$2:$I$30,MATCH(CK573,Boundaries!$A$2:$A$30,0),0),1)-1,""))</f>
        <v/>
      </c>
      <c r="AB573" s="42" t="str">
        <f aca="false">IF(OR(AA573="",$E573=""),"",AA573-$E573)</f>
        <v/>
      </c>
      <c r="AC573" s="39"/>
      <c r="AD573" s="40" t="str">
        <f aca="false">IF(OR(AC573="",BX573=""),"",AC573/BX573*100)</f>
        <v/>
      </c>
      <c r="AE573" s="41" t="str">
        <f aca="false">IF(AD573="","",IFERROR(MATCH(AD573,INDEX(Boundaries!$B$2:$I$30,MATCH(CL573,Boundaries!$A$2:$A$30,0),0),1)-1,""))</f>
        <v/>
      </c>
      <c r="AF573" s="42" t="str">
        <f aca="false">IF(OR(AE573="",$E573=""),"",AE573-$E573)</f>
        <v/>
      </c>
      <c r="AG573" s="39"/>
      <c r="AH573" s="40" t="str">
        <f aca="false">IF(OR(AG573="",BY573=""),"",AG573/BY573*100)</f>
        <v/>
      </c>
      <c r="AI573" s="41" t="str">
        <f aca="false">IF(AH573="","",IFERROR(MATCH(AH573,INDEX(Boundaries!$B$2:$I$30,MATCH(CM573,Boundaries!$A$2:$A$30,0),0),1)-1,""))</f>
        <v/>
      </c>
      <c r="AJ573" s="42" t="str">
        <f aca="false">IF(OR(AI573="",$E573=""),"",AI573-$E573)</f>
        <v/>
      </c>
      <c r="AK573" s="39"/>
      <c r="AL573" s="40" t="str">
        <f aca="false">IF(OR(AK573="",BZ573=""),"",AK573/BZ573*100)</f>
        <v/>
      </c>
      <c r="AM573" s="41" t="str">
        <f aca="false">IF(AL573="","",IFERROR(MATCH(AL573,INDEX(Boundaries!$B$2:$I$30,MATCH(CN573,Boundaries!$A$2:$A$30,0),0),1)-1,""))</f>
        <v/>
      </c>
      <c r="AN573" s="42" t="str">
        <f aca="false">IF(OR(AM573="",$E573=""),"",AM573-$E573)</f>
        <v/>
      </c>
      <c r="AO573" s="39"/>
      <c r="AP573" s="40" t="str">
        <f aca="false">IF(OR(AO573="",CA573=""),"",AO573/CA573*100)</f>
        <v/>
      </c>
      <c r="AQ573" s="41" t="str">
        <f aca="false">IF(AP573="","",IFERROR(MATCH(AP573,INDEX(Boundaries!$B$2:$I$30,MATCH(CO573,Boundaries!$A$2:$A$30,0),0),1)-1,""))</f>
        <v/>
      </c>
      <c r="AR573" s="42" t="str">
        <f aca="false">IF(OR(AQ573="",$E573=""),"",AQ573-$E573)</f>
        <v/>
      </c>
      <c r="AS573" s="39"/>
      <c r="AT573" s="40" t="str">
        <f aca="false">IF(OR(AS573="",CB573=""),"",AS573/CB573*100)</f>
        <v/>
      </c>
      <c r="AU573" s="41" t="str">
        <f aca="false">IF(AT573="","",IFERROR(MATCH(AT573,INDEX(Boundaries!$B$2:$I$30,MATCH(CP573,Boundaries!$A$2:$A$30,0),0),1)-1,""))</f>
        <v/>
      </c>
      <c r="AV573" s="42" t="str">
        <f aca="false">IF(OR(AU573="",$E573=""),"",AU573-$E573)</f>
        <v/>
      </c>
      <c r="AW573" s="39"/>
      <c r="AX573" s="40" t="str">
        <f aca="false">IF(OR(AW573="",CC573=""),"",AW573/CC573*100)</f>
        <v/>
      </c>
      <c r="AY573" s="41" t="str">
        <f aca="false">IF(AX573="","",IFERROR(MATCH(AX573,INDEX(Boundaries!$B$2:$I$30,MATCH(CQ573,Boundaries!$A$2:$A$30,0),0),1)-1,""))</f>
        <v/>
      </c>
      <c r="AZ573" s="42" t="str">
        <f aca="false">IF(OR(AY573="",$E573=""),"",AY573-$E573)</f>
        <v/>
      </c>
      <c r="BA573" s="39"/>
      <c r="BB573" s="40" t="str">
        <f aca="false">IF(OR(BA573="",CD573=""),"",BA573/CD573*100)</f>
        <v/>
      </c>
      <c r="BC573" s="41" t="str">
        <f aca="false">IF(BB573="","",IFERROR(MATCH(BB573,INDEX(Boundaries!$B$2:$I$30,MATCH(CR573,Boundaries!$A$2:$A$30,0),0),1)-1,""))</f>
        <v/>
      </c>
      <c r="BD573" s="42" t="str">
        <f aca="false">IF(OR(BC573="",$E573=""),"",BC573-$E573)</f>
        <v/>
      </c>
      <c r="BE573" s="39"/>
      <c r="BF573" s="40" t="str">
        <f aca="false">IF(OR(BE573="",CE573=""),"",BE573/CE573*100)</f>
        <v/>
      </c>
      <c r="BG573" s="41" t="str">
        <f aca="false">IF(BF573="","",IFERROR(MATCH(BF573,INDEX(Boundaries!$B$2:$I$30,MATCH(CS573,Boundaries!$A$2:$A$30,0),0),1)-1,""))</f>
        <v/>
      </c>
      <c r="BH573" s="42" t="str">
        <f aca="false">IF(OR(BG573="",$E573=""),"",BG573-$E573)</f>
        <v/>
      </c>
      <c r="BI573" s="39"/>
      <c r="BJ573" s="40" t="str">
        <f aca="false">IF(OR(BI573="",CF573=""),"",BI573/CF573*100)</f>
        <v/>
      </c>
      <c r="BK573" s="41" t="str">
        <f aca="false">IF(BJ573="","",IFERROR(MATCH(BJ573,INDEX(Boundaries!$B$2:$I$30,MATCH(CT573,Boundaries!$A$2:$A$30,0),0),1)-1,""))</f>
        <v/>
      </c>
      <c r="BL573" s="42" t="str">
        <f aca="false">IF(OR(BK573="",$E573=""),"",BK573-$E573)</f>
        <v/>
      </c>
      <c r="BM573" s="39"/>
      <c r="BN573" s="40" t="str">
        <f aca="false">IF(OR(BM573="",CG573=""),"",BM573/CG573*100)</f>
        <v/>
      </c>
      <c r="BO573" s="41" t="str">
        <f aca="false">IF(BN573="","",IFERROR(MATCH(BN573,INDEX(Boundaries!$B$2:$I$30,MATCH(CU573,Boundaries!$A$2:$A$30,0),0),1)-1,""))</f>
        <v/>
      </c>
      <c r="BP573" s="42" t="str">
        <f aca="false">IF(OR(BO573="",$E573=""),"",BO573-$E573)</f>
        <v/>
      </c>
      <c r="BQ573" s="39"/>
      <c r="BR573" s="40" t="str">
        <f aca="false">IF(OR(BQ573="",CH573=""),"",BQ573/CH573*100)</f>
        <v/>
      </c>
      <c r="BS573" s="41" t="str">
        <f aca="false">IF(BR573="","",IFERROR(MATCH(BR573,INDEX(Boundaries!$B$2:$I$30,MATCH(CV573,Boundaries!$A$2:$A$30,0),0),1)-1,""))</f>
        <v/>
      </c>
      <c r="BT573" s="42" t="str">
        <f aca="false">IF(OR(BS573="",$E573=""),"",BS573-$E573)</f>
        <v/>
      </c>
      <c r="BU573" s="28" t="str">
        <f aca="false">IFERROR(INDEX(Assessments!$H$2:$H$600,MATCH($H573&amp;"|"&amp;$I573&amp;"|"&amp;$J573&amp;"|"&amp;1,Assessments!$A$2:$A$600,0)),"")</f>
        <v/>
      </c>
      <c r="BV573" s="28" t="str">
        <f aca="false">IFERROR(INDEX(Assessments!$H$2:$H$600,MATCH($H573&amp;"|"&amp;$I573&amp;"|"&amp;$J573&amp;"|"&amp;2,Assessments!$A$2:$A$600,0)),"")</f>
        <v/>
      </c>
      <c r="BW573" s="28" t="str">
        <f aca="false">IFERROR(INDEX(Assessments!$H$2:$H$600,MATCH($H573&amp;"|"&amp;$I573&amp;"|"&amp;$J573&amp;"|"&amp;3,Assessments!$A$2:$A$600,0)),"")</f>
        <v/>
      </c>
      <c r="BX573" s="28" t="str">
        <f aca="false">IFERROR(INDEX(Assessments!$H$2:$H$600,MATCH($H573&amp;"|"&amp;$I573&amp;"|"&amp;$J573&amp;"|"&amp;4,Assessments!$A$2:$A$600,0)),"")</f>
        <v/>
      </c>
      <c r="BY573" s="28" t="str">
        <f aca="false">IFERROR(INDEX(Assessments!$H$2:$H$600,MATCH($H573&amp;"|"&amp;$I573&amp;"|"&amp;$J573&amp;"|"&amp;5,Assessments!$A$2:$A$600,0)),"")</f>
        <v/>
      </c>
      <c r="BZ573" s="28" t="str">
        <f aca="false">IFERROR(INDEX(Assessments!$H$2:$H$600,MATCH($H573&amp;"|"&amp;$I573&amp;"|"&amp;$J573&amp;"|"&amp;6,Assessments!$A$2:$A$600,0)),"")</f>
        <v/>
      </c>
      <c r="CA573" s="28" t="str">
        <f aca="false">IFERROR(INDEX(Assessments!$H$2:$H$600,MATCH($H573&amp;"|"&amp;$I573&amp;"|"&amp;$J573&amp;"|"&amp;7,Assessments!$A$2:$A$600,0)),"")</f>
        <v/>
      </c>
      <c r="CB573" s="28" t="str">
        <f aca="false">IFERROR(INDEX(Assessments!$H$2:$H$600,MATCH($H573&amp;"|"&amp;$I573&amp;"|"&amp;$J573&amp;"|"&amp;8,Assessments!$A$2:$A$600,0)),"")</f>
        <v/>
      </c>
      <c r="CC573" s="28" t="str">
        <f aca="false">IFERROR(INDEX(Assessments!$H$2:$H$600,MATCH($H573&amp;"|"&amp;$I573&amp;"|"&amp;$J573&amp;"|"&amp;9,Assessments!$A$2:$A$600,0)),"")</f>
        <v/>
      </c>
      <c r="CD573" s="28" t="str">
        <f aca="false">IFERROR(INDEX(Assessments!$H$2:$H$600,MATCH($H573&amp;"|"&amp;$I573&amp;"|"&amp;$J573&amp;"|"&amp;10,Assessments!$A$2:$A$600,0)),"")</f>
        <v/>
      </c>
      <c r="CE573" s="28" t="str">
        <f aca="false">IFERROR(INDEX(Assessments!$H$2:$H$600,MATCH($H573&amp;"|"&amp;$I573&amp;"|"&amp;$J573&amp;"|"&amp;11,Assessments!$A$2:$A$600,0)),"")</f>
        <v/>
      </c>
      <c r="CF573" s="28" t="str">
        <f aca="false">IFERROR(INDEX(Assessments!$H$2:$H$600,MATCH($H573&amp;"|"&amp;$I573&amp;"|"&amp;$J573&amp;"|"&amp;12,Assessments!$A$2:$A$600,0)),"")</f>
        <v/>
      </c>
      <c r="CG573" s="28" t="str">
        <f aca="false">IFERROR(INDEX(Assessments!$H$2:$H$600,MATCH($H573&amp;"|"&amp;$I573&amp;"|"&amp;$J573&amp;"|"&amp;13,Assessments!$A$2:$A$600,0)),"")</f>
        <v/>
      </c>
      <c r="CH573" s="28" t="str">
        <f aca="false">IFERROR(INDEX(Assessments!$H$2:$H$600,MATCH($H573&amp;"|"&amp;$I573&amp;"|"&amp;$J573&amp;"|"&amp;14,Assessments!$A$2:$A$600,0)),"")</f>
        <v/>
      </c>
      <c r="CI573" s="28" t="str">
        <f aca="false">IFERROR(INDEX(Assessments!$I$2:$I$600,MATCH($H573&amp;"|"&amp;$I573&amp;"|"&amp;$J573&amp;"|"&amp;1,Assessments!$A$2:$A$600,0)),"")</f>
        <v/>
      </c>
      <c r="CJ573" s="28" t="str">
        <f aca="false">IFERROR(INDEX(Assessments!$I$2:$I$600,MATCH($H573&amp;"|"&amp;$I573&amp;"|"&amp;$J573&amp;"|"&amp;2,Assessments!$A$2:$A$600,0)),"")</f>
        <v/>
      </c>
      <c r="CK573" s="28" t="str">
        <f aca="false">IFERROR(INDEX(Assessments!$I$2:$I$600,MATCH($H573&amp;"|"&amp;$I573&amp;"|"&amp;$J573&amp;"|"&amp;3,Assessments!$A$2:$A$600,0)),"")</f>
        <v/>
      </c>
      <c r="CL573" s="28" t="str">
        <f aca="false">IFERROR(INDEX(Assessments!$I$2:$I$600,MATCH($H573&amp;"|"&amp;$I573&amp;"|"&amp;$J573&amp;"|"&amp;4,Assessments!$A$2:$A$600,0)),"")</f>
        <v/>
      </c>
      <c r="CM573" s="28" t="str">
        <f aca="false">IFERROR(INDEX(Assessments!$I$2:$I$600,MATCH($H573&amp;"|"&amp;$I573&amp;"|"&amp;$J573&amp;"|"&amp;5,Assessments!$A$2:$A$600,0)),"")</f>
        <v/>
      </c>
      <c r="CN573" s="28" t="str">
        <f aca="false">IFERROR(INDEX(Assessments!$I$2:$I$600,MATCH($H573&amp;"|"&amp;$I573&amp;"|"&amp;$J573&amp;"|"&amp;6,Assessments!$A$2:$A$600,0)),"")</f>
        <v/>
      </c>
      <c r="CO573" s="28" t="str">
        <f aca="false">IFERROR(INDEX(Assessments!$I$2:$I$600,MATCH($H573&amp;"|"&amp;$I573&amp;"|"&amp;$J573&amp;"|"&amp;7,Assessments!$A$2:$A$600,0)),"")</f>
        <v/>
      </c>
      <c r="CP573" s="28" t="str">
        <f aca="false">IFERROR(INDEX(Assessments!$I$2:$I$600,MATCH($H573&amp;"|"&amp;$I573&amp;"|"&amp;$J573&amp;"|"&amp;8,Assessments!$A$2:$A$600,0)),"")</f>
        <v/>
      </c>
      <c r="CQ573" s="28" t="str">
        <f aca="false">IFERROR(INDEX(Assessments!$I$2:$I$600,MATCH($H573&amp;"|"&amp;$I573&amp;"|"&amp;$J573&amp;"|"&amp;9,Assessments!$A$2:$A$600,0)),"")</f>
        <v/>
      </c>
      <c r="CR573" s="28" t="str">
        <f aca="false">IFERROR(INDEX(Assessments!$I$2:$I$600,MATCH($H573&amp;"|"&amp;$I573&amp;"|"&amp;$J573&amp;"|"&amp;10,Assessments!$A$2:$A$600,0)),"")</f>
        <v/>
      </c>
      <c r="CS573" s="28" t="str">
        <f aca="false">IFERROR(INDEX(Assessments!$I$2:$I$600,MATCH($H573&amp;"|"&amp;$I573&amp;"|"&amp;$J573&amp;"|"&amp;11,Assessments!$A$2:$A$600,0)),"")</f>
        <v/>
      </c>
      <c r="CT573" s="28" t="str">
        <f aca="false">IFERROR(INDEX(Assessments!$I$2:$I$600,MATCH($H573&amp;"|"&amp;$I573&amp;"|"&amp;$J573&amp;"|"&amp;12,Assessments!$A$2:$A$600,0)),"")</f>
        <v/>
      </c>
      <c r="CU573" s="28" t="str">
        <f aca="false">IFERROR(INDEX(Assessments!$I$2:$I$600,MATCH($H573&amp;"|"&amp;$I573&amp;"|"&amp;$J573&amp;"|"&amp;13,Assessments!$A$2:$A$600,0)),"")</f>
        <v/>
      </c>
      <c r="CV573" s="28" t="str">
        <f aca="false">IFERROR(INDEX(Assessments!$I$2:$I$600,MATCH($H573&amp;"|"&amp;$I573&amp;"|"&amp;$J573&amp;"|"&amp;14,Assessments!$A$2:$A$600,0)),"")</f>
        <v/>
      </c>
      <c r="CW573" s="28" t="n">
        <f aca="false">IFERROR(INDEX(Assessments!$J$2:$J$600,MATCH($H573&amp;"|"&amp;$I573&amp;"|"&amp;$J573&amp;"|"&amp;1,Assessments!$A$2:$A$600,0)),0)</f>
        <v>0</v>
      </c>
      <c r="CX573" s="28" t="n">
        <f aca="false">IFERROR(INDEX(Assessments!$J$2:$J$600,MATCH($H573&amp;"|"&amp;$I573&amp;"|"&amp;$J573&amp;"|"&amp;2,Assessments!$A$2:$A$600,0)),0)</f>
        <v>0</v>
      </c>
      <c r="CY573" s="28" t="n">
        <f aca="false">IFERROR(INDEX(Assessments!$J$2:$J$600,MATCH($H573&amp;"|"&amp;$I573&amp;"|"&amp;$J573&amp;"|"&amp;3,Assessments!$A$2:$A$600,0)),0)</f>
        <v>0</v>
      </c>
      <c r="CZ573" s="28" t="n">
        <f aca="false">IFERROR(INDEX(Assessments!$J$2:$J$600,MATCH($H573&amp;"|"&amp;$I573&amp;"|"&amp;$J573&amp;"|"&amp;4,Assessments!$A$2:$A$600,0)),0)</f>
        <v>0</v>
      </c>
      <c r="DA573" s="28" t="n">
        <f aca="false">IFERROR(INDEX(Assessments!$J$2:$J$600,MATCH($H573&amp;"|"&amp;$I573&amp;"|"&amp;$J573&amp;"|"&amp;5,Assessments!$A$2:$A$600,0)),0)</f>
        <v>0</v>
      </c>
      <c r="DB573" s="28" t="n">
        <f aca="false">IFERROR(INDEX(Assessments!$J$2:$J$600,MATCH($H573&amp;"|"&amp;$I573&amp;"|"&amp;$J573&amp;"|"&amp;6,Assessments!$A$2:$A$600,0)),0)</f>
        <v>0</v>
      </c>
      <c r="DC573" s="28" t="n">
        <f aca="false">IFERROR(INDEX(Assessments!$J$2:$J$600,MATCH($H573&amp;"|"&amp;$I573&amp;"|"&amp;$J573&amp;"|"&amp;7,Assessments!$A$2:$A$600,0)),0)</f>
        <v>0</v>
      </c>
      <c r="DD573" s="28" t="n">
        <f aca="false">IFERROR(INDEX(Assessments!$J$2:$J$600,MATCH($H573&amp;"|"&amp;$I573&amp;"|"&amp;$J573&amp;"|"&amp;8,Assessments!$A$2:$A$600,0)),0)</f>
        <v>0</v>
      </c>
      <c r="DE573" s="28" t="n">
        <f aca="false">IFERROR(INDEX(Assessments!$J$2:$J$600,MATCH($H573&amp;"|"&amp;$I573&amp;"|"&amp;$J573&amp;"|"&amp;9,Assessments!$A$2:$A$600,0)),0)</f>
        <v>0</v>
      </c>
      <c r="DF573" s="28" t="n">
        <f aca="false">IFERROR(INDEX(Assessments!$J$2:$J$600,MATCH($H573&amp;"|"&amp;$I573&amp;"|"&amp;$J573&amp;"|"&amp;10,Assessments!$A$2:$A$600,0)),0)</f>
        <v>0</v>
      </c>
      <c r="DG573" s="28" t="n">
        <f aca="false">IFERROR(INDEX(Assessments!$J$2:$J$600,MATCH($H573&amp;"|"&amp;$I573&amp;"|"&amp;$J573&amp;"|"&amp;11,Assessments!$A$2:$A$600,0)),0)</f>
        <v>0</v>
      </c>
      <c r="DH573" s="28" t="n">
        <f aca="false">IFERROR(INDEX(Assessments!$J$2:$J$600,MATCH($H573&amp;"|"&amp;$I573&amp;"|"&amp;$J573&amp;"|"&amp;12,Assessments!$A$2:$A$600,0)),0)</f>
        <v>0</v>
      </c>
      <c r="DI573" s="28" t="n">
        <f aca="false">IFERROR(INDEX(Assessments!$J$2:$J$600,MATCH($H573&amp;"|"&amp;$I573&amp;"|"&amp;$J573&amp;"|"&amp;13,Assessments!$A$2:$A$600,0)),0)</f>
        <v>0</v>
      </c>
      <c r="DJ573" s="28" t="n">
        <f aca="false">IFERROR(INDEX(Assessments!$J$2:$J$600,MATCH($H573&amp;"|"&amp;$I573&amp;"|"&amp;$J573&amp;"|"&amp;14,Assessments!$A$2:$A$600,0)),0)</f>
        <v>0</v>
      </c>
      <c r="DK573" s="28" t="str">
        <f aca="false">S573</f>
        <v/>
      </c>
      <c r="DL573" s="28" t="str">
        <f aca="false">W573</f>
        <v/>
      </c>
      <c r="DM573" s="28" t="str">
        <f aca="false">AA573</f>
        <v/>
      </c>
      <c r="DN573" s="28" t="str">
        <f aca="false">AE573</f>
        <v/>
      </c>
      <c r="DO573" s="28" t="str">
        <f aca="false">AI573</f>
        <v/>
      </c>
      <c r="DP573" s="28" t="str">
        <f aca="false">AM573</f>
        <v/>
      </c>
      <c r="DQ573" s="28" t="str">
        <f aca="false">AQ573</f>
        <v/>
      </c>
      <c r="DR573" s="28" t="str">
        <f aca="false">AU573</f>
        <v/>
      </c>
      <c r="DS573" s="28" t="str">
        <f aca="false">AY573</f>
        <v/>
      </c>
      <c r="DT573" s="28" t="str">
        <f aca="false">BC573</f>
        <v/>
      </c>
      <c r="DU573" s="28" t="str">
        <f aca="false">BG573</f>
        <v/>
      </c>
      <c r="DV573" s="28" t="str">
        <f aca="false">BK573</f>
        <v/>
      </c>
      <c r="DW573" s="28" t="str">
        <f aca="false">BO573</f>
        <v/>
      </c>
      <c r="DX573" s="28" t="str">
        <f aca="false">BS573</f>
        <v/>
      </c>
      <c r="DY573" s="28" t="str">
        <f aca="false">IF(ISNUMBER(S573),1,"")</f>
        <v/>
      </c>
      <c r="DZ573" s="28" t="str">
        <f aca="false">IF(ISNUMBER(W573),2,"")</f>
        <v/>
      </c>
      <c r="EA573" s="28" t="str">
        <f aca="false">IF(ISNUMBER(AA573),3,"")</f>
        <v/>
      </c>
      <c r="EB573" s="28" t="str">
        <f aca="false">IF(ISNUMBER(AE573),4,"")</f>
        <v/>
      </c>
      <c r="EC573" s="28" t="str">
        <f aca="false">IF(ISNUMBER(AI573),5,"")</f>
        <v/>
      </c>
      <c r="ED573" s="28" t="str">
        <f aca="false">IF(ISNUMBER(AM573),6,"")</f>
        <v/>
      </c>
      <c r="EE573" s="28" t="str">
        <f aca="false">IF(ISNUMBER(AQ573),7,"")</f>
        <v/>
      </c>
      <c r="EF573" s="28" t="str">
        <f aca="false">IF(ISNUMBER(AU573),8,"")</f>
        <v/>
      </c>
      <c r="EG573" s="28" t="str">
        <f aca="false">IF(ISNUMBER(AY573),9,"")</f>
        <v/>
      </c>
      <c r="EH573" s="28" t="str">
        <f aca="false">IF(ISNUMBER(BC573),10,"")</f>
        <v/>
      </c>
      <c r="EI573" s="28" t="str">
        <f aca="false">IF(ISNUMBER(BG573),11,"")</f>
        <v/>
      </c>
      <c r="EJ573" s="28" t="str">
        <f aca="false">IF(ISNUMBER(BK573),12,"")</f>
        <v/>
      </c>
      <c r="EK573" s="28" t="str">
        <f aca="false">IF(ISNUMBER(BO573),13,"")</f>
        <v/>
      </c>
      <c r="EL573" s="28" t="str">
        <f aca="false">IF(ISNUMBER(BS573),14,"")</f>
        <v/>
      </c>
      <c r="EM573" s="28" t="n">
        <f aca="false">IF(ISNUMBER(R573),R573*CW573,0)</f>
        <v>0</v>
      </c>
      <c r="EN573" s="28" t="n">
        <f aca="false">IF(ISNUMBER(V573),V573*CX573,0)</f>
        <v>0</v>
      </c>
      <c r="EO573" s="28" t="n">
        <f aca="false">IF(ISNUMBER(Z573),Z573*CY573,0)</f>
        <v>0</v>
      </c>
      <c r="EP573" s="28" t="n">
        <f aca="false">IF(ISNUMBER(AD573),AD573*CZ573,0)</f>
        <v>0</v>
      </c>
      <c r="EQ573" s="28" t="n">
        <f aca="false">IF(ISNUMBER(AH573),AH573*DA573,0)</f>
        <v>0</v>
      </c>
      <c r="ER573" s="28" t="n">
        <f aca="false">IF(ISNUMBER(AL573),AL573*DB573,0)</f>
        <v>0</v>
      </c>
      <c r="ES573" s="28" t="n">
        <f aca="false">IF(ISNUMBER(AP573),AP573*DC573,0)</f>
        <v>0</v>
      </c>
      <c r="ET573" s="28" t="n">
        <f aca="false">IF(ISNUMBER(AT573),AT573*DD573,0)</f>
        <v>0</v>
      </c>
      <c r="EU573" s="28" t="n">
        <f aca="false">IF(ISNUMBER(AX573),AX573*DE573,0)</f>
        <v>0</v>
      </c>
      <c r="EV573" s="28" t="n">
        <f aca="false">IF(ISNUMBER(BB573),BB573*DF573,0)</f>
        <v>0</v>
      </c>
      <c r="EW573" s="28" t="n">
        <f aca="false">IF(ISNUMBER(BF573),BF573*DG573,0)</f>
        <v>0</v>
      </c>
      <c r="EX573" s="28" t="n">
        <f aca="false">IF(ISNUMBER(BJ573),BJ573*DH573,0)</f>
        <v>0</v>
      </c>
      <c r="EY573" s="28" t="n">
        <f aca="false">IF(ISNUMBER(BN573),BN573*DI573,0)</f>
        <v>0</v>
      </c>
      <c r="EZ573" s="28" t="n">
        <f aca="false">IF(ISNUMBER(BR573),BR573*DJ573,0)</f>
        <v>0</v>
      </c>
      <c r="FA573" s="28" t="n">
        <f aca="false">IF(ISNUMBER(R573),CW573,0)</f>
        <v>0</v>
      </c>
      <c r="FB573" s="28" t="n">
        <f aca="false">IF(ISNUMBER(V573),CX573,0)</f>
        <v>0</v>
      </c>
      <c r="FC573" s="28" t="n">
        <f aca="false">IF(ISNUMBER(Z573),CY573,0)</f>
        <v>0</v>
      </c>
      <c r="FD573" s="28" t="n">
        <f aca="false">IF(ISNUMBER(AD573),CZ573,0)</f>
        <v>0</v>
      </c>
      <c r="FE573" s="28" t="n">
        <f aca="false">IF(ISNUMBER(AH573),DA573,0)</f>
        <v>0</v>
      </c>
      <c r="FF573" s="28" t="n">
        <f aca="false">IF(ISNUMBER(AL573),DB573,0)</f>
        <v>0</v>
      </c>
      <c r="FG573" s="28" t="n">
        <f aca="false">IF(ISNUMBER(AP573),DC573,0)</f>
        <v>0</v>
      </c>
      <c r="FH573" s="28" t="n">
        <f aca="false">IF(ISNUMBER(AT573),DD573,0)</f>
        <v>0</v>
      </c>
      <c r="FI573" s="28" t="n">
        <f aca="false">IF(ISNUMBER(AX573),DE573,0)</f>
        <v>0</v>
      </c>
      <c r="FJ573" s="28" t="n">
        <f aca="false">IF(ISNUMBER(BB573),DF573,0)</f>
        <v>0</v>
      </c>
      <c r="FK573" s="28" t="n">
        <f aca="false">IF(ISNUMBER(BF573),DG573,0)</f>
        <v>0</v>
      </c>
      <c r="FL573" s="28" t="n">
        <f aca="false">IF(ISNUMBER(BJ573),DH573,0)</f>
        <v>0</v>
      </c>
      <c r="FM573" s="28" t="n">
        <f aca="false">IF(ISNUMBER(BN573),DI573,0)</f>
        <v>0</v>
      </c>
      <c r="FN573" s="28" t="n">
        <f aca="false">IF(ISNUMBER(BR573),DJ573,0)</f>
        <v>0</v>
      </c>
      <c r="FO573" s="28" t="str">
        <f aca="false">IFERROR(INDEX(Lists!$G$2:$G$20,MATCH($I573&amp;"|"&amp;$J573,Lists!$F$2:$F$20,0)),"")</f>
        <v/>
      </c>
    </row>
    <row r="574" customFormat="false" ht="19.5" hidden="false" customHeight="true" outlineLevel="0" collapsed="false">
      <c r="A574" s="29"/>
      <c r="B574" s="29"/>
      <c r="C574" s="30"/>
      <c r="D574" s="30"/>
      <c r="E574" s="31"/>
      <c r="F574" s="30"/>
      <c r="G574" s="30"/>
      <c r="H574" s="32"/>
      <c r="I574" s="33"/>
      <c r="J574" s="32"/>
      <c r="K574" s="34" t="str">
        <f aca="false">IF(OR(M574="",$E574=""),"",M574-$E574)</f>
        <v/>
      </c>
      <c r="L574" s="35" t="str">
        <f aca="false">IF(SUM(FA574:FN574)=0,"",SUM(EM574:EZ574)/SUM(FA574:FN574))</f>
        <v/>
      </c>
      <c r="M574" s="36" t="str">
        <f aca="false">IF(OR(L574="",FO574=""),"",IFERROR(MATCH(L574,INDEX(Boundaries!$B$2:$I$30,MATCH(FO574,Boundaries!$A$2:$A$30,0),0),1)-1,""))</f>
        <v/>
      </c>
      <c r="N574" s="37" t="str">
        <f aca="false">IF(COUNT($DY574:$EL574)&lt;2,"",INDEX($DK574:$DX574,MAX($DY574:$EL574))-INDEX($DK574:$DX574,MIN($DY574:$EL574)))</f>
        <v/>
      </c>
      <c r="O574" s="37" t="str">
        <f aca="false">IF(COUNT($DY574:$EL574)&lt;2,"",INDEX($DK574:$DX574,MAX($DY574:$EL574))-INDEX($DK574:$DX574,LARGE($DY574:$EL574,2)))</f>
        <v/>
      </c>
      <c r="P574" s="38" t="str">
        <f aca="false">IF(K574="","",IF(K574&gt;=0,"On/above target",IF(AND(N574&lt;&gt;"",N574&gt;=0.5),"Improving towards target",IF(AND(O574&lt;&gt;"",O574&lt;=-0.5),"Declining","Stable below target"))))</f>
        <v/>
      </c>
      <c r="Q574" s="39"/>
      <c r="R574" s="40" t="str">
        <f aca="false">IF(OR(Q574="",BU574=""),"",Q574/BU574*100)</f>
        <v/>
      </c>
      <c r="S574" s="41" t="str">
        <f aca="false">IF(R574="","",IFERROR(MATCH(R574,INDEX(Boundaries!$B$2:$I$30,MATCH(CI574,Boundaries!$A$2:$A$30,0),0),1)-1,""))</f>
        <v/>
      </c>
      <c r="T574" s="42" t="str">
        <f aca="false">IF(OR(S574="",$E574=""),"",S574-$E574)</f>
        <v/>
      </c>
      <c r="U574" s="39"/>
      <c r="V574" s="40" t="str">
        <f aca="false">IF(OR(U574="",BV574=""),"",U574/BV574*100)</f>
        <v/>
      </c>
      <c r="W574" s="41" t="str">
        <f aca="false">IF(V574="","",IFERROR(MATCH(V574,INDEX(Boundaries!$B$2:$I$30,MATCH(CJ574,Boundaries!$A$2:$A$30,0),0),1)-1,""))</f>
        <v/>
      </c>
      <c r="X574" s="42" t="str">
        <f aca="false">IF(OR(W574="",$E574=""),"",W574-$E574)</f>
        <v/>
      </c>
      <c r="Y574" s="39"/>
      <c r="Z574" s="40" t="str">
        <f aca="false">IF(OR(Y574="",BW574=""),"",Y574/BW574*100)</f>
        <v/>
      </c>
      <c r="AA574" s="41" t="str">
        <f aca="false">IF(Z574="","",IFERROR(MATCH(Z574,INDEX(Boundaries!$B$2:$I$30,MATCH(CK574,Boundaries!$A$2:$A$30,0),0),1)-1,""))</f>
        <v/>
      </c>
      <c r="AB574" s="42" t="str">
        <f aca="false">IF(OR(AA574="",$E574=""),"",AA574-$E574)</f>
        <v/>
      </c>
      <c r="AC574" s="39"/>
      <c r="AD574" s="40" t="str">
        <f aca="false">IF(OR(AC574="",BX574=""),"",AC574/BX574*100)</f>
        <v/>
      </c>
      <c r="AE574" s="41" t="str">
        <f aca="false">IF(AD574="","",IFERROR(MATCH(AD574,INDEX(Boundaries!$B$2:$I$30,MATCH(CL574,Boundaries!$A$2:$A$30,0),0),1)-1,""))</f>
        <v/>
      </c>
      <c r="AF574" s="42" t="str">
        <f aca="false">IF(OR(AE574="",$E574=""),"",AE574-$E574)</f>
        <v/>
      </c>
      <c r="AG574" s="39"/>
      <c r="AH574" s="40" t="str">
        <f aca="false">IF(OR(AG574="",BY574=""),"",AG574/BY574*100)</f>
        <v/>
      </c>
      <c r="AI574" s="41" t="str">
        <f aca="false">IF(AH574="","",IFERROR(MATCH(AH574,INDEX(Boundaries!$B$2:$I$30,MATCH(CM574,Boundaries!$A$2:$A$30,0),0),1)-1,""))</f>
        <v/>
      </c>
      <c r="AJ574" s="42" t="str">
        <f aca="false">IF(OR(AI574="",$E574=""),"",AI574-$E574)</f>
        <v/>
      </c>
      <c r="AK574" s="39"/>
      <c r="AL574" s="40" t="str">
        <f aca="false">IF(OR(AK574="",BZ574=""),"",AK574/BZ574*100)</f>
        <v/>
      </c>
      <c r="AM574" s="41" t="str">
        <f aca="false">IF(AL574="","",IFERROR(MATCH(AL574,INDEX(Boundaries!$B$2:$I$30,MATCH(CN574,Boundaries!$A$2:$A$30,0),0),1)-1,""))</f>
        <v/>
      </c>
      <c r="AN574" s="42" t="str">
        <f aca="false">IF(OR(AM574="",$E574=""),"",AM574-$E574)</f>
        <v/>
      </c>
      <c r="AO574" s="39"/>
      <c r="AP574" s="40" t="str">
        <f aca="false">IF(OR(AO574="",CA574=""),"",AO574/CA574*100)</f>
        <v/>
      </c>
      <c r="AQ574" s="41" t="str">
        <f aca="false">IF(AP574="","",IFERROR(MATCH(AP574,INDEX(Boundaries!$B$2:$I$30,MATCH(CO574,Boundaries!$A$2:$A$30,0),0),1)-1,""))</f>
        <v/>
      </c>
      <c r="AR574" s="42" t="str">
        <f aca="false">IF(OR(AQ574="",$E574=""),"",AQ574-$E574)</f>
        <v/>
      </c>
      <c r="AS574" s="39"/>
      <c r="AT574" s="40" t="str">
        <f aca="false">IF(OR(AS574="",CB574=""),"",AS574/CB574*100)</f>
        <v/>
      </c>
      <c r="AU574" s="41" t="str">
        <f aca="false">IF(AT574="","",IFERROR(MATCH(AT574,INDEX(Boundaries!$B$2:$I$30,MATCH(CP574,Boundaries!$A$2:$A$30,0),0),1)-1,""))</f>
        <v/>
      </c>
      <c r="AV574" s="42" t="str">
        <f aca="false">IF(OR(AU574="",$E574=""),"",AU574-$E574)</f>
        <v/>
      </c>
      <c r="AW574" s="39"/>
      <c r="AX574" s="40" t="str">
        <f aca="false">IF(OR(AW574="",CC574=""),"",AW574/CC574*100)</f>
        <v/>
      </c>
      <c r="AY574" s="41" t="str">
        <f aca="false">IF(AX574="","",IFERROR(MATCH(AX574,INDEX(Boundaries!$B$2:$I$30,MATCH(CQ574,Boundaries!$A$2:$A$30,0),0),1)-1,""))</f>
        <v/>
      </c>
      <c r="AZ574" s="42" t="str">
        <f aca="false">IF(OR(AY574="",$E574=""),"",AY574-$E574)</f>
        <v/>
      </c>
      <c r="BA574" s="39"/>
      <c r="BB574" s="40" t="str">
        <f aca="false">IF(OR(BA574="",CD574=""),"",BA574/CD574*100)</f>
        <v/>
      </c>
      <c r="BC574" s="41" t="str">
        <f aca="false">IF(BB574="","",IFERROR(MATCH(BB574,INDEX(Boundaries!$B$2:$I$30,MATCH(CR574,Boundaries!$A$2:$A$30,0),0),1)-1,""))</f>
        <v/>
      </c>
      <c r="BD574" s="42" t="str">
        <f aca="false">IF(OR(BC574="",$E574=""),"",BC574-$E574)</f>
        <v/>
      </c>
      <c r="BE574" s="39"/>
      <c r="BF574" s="40" t="str">
        <f aca="false">IF(OR(BE574="",CE574=""),"",BE574/CE574*100)</f>
        <v/>
      </c>
      <c r="BG574" s="41" t="str">
        <f aca="false">IF(BF574="","",IFERROR(MATCH(BF574,INDEX(Boundaries!$B$2:$I$30,MATCH(CS574,Boundaries!$A$2:$A$30,0),0),1)-1,""))</f>
        <v/>
      </c>
      <c r="BH574" s="42" t="str">
        <f aca="false">IF(OR(BG574="",$E574=""),"",BG574-$E574)</f>
        <v/>
      </c>
      <c r="BI574" s="39"/>
      <c r="BJ574" s="40" t="str">
        <f aca="false">IF(OR(BI574="",CF574=""),"",BI574/CF574*100)</f>
        <v/>
      </c>
      <c r="BK574" s="41" t="str">
        <f aca="false">IF(BJ574="","",IFERROR(MATCH(BJ574,INDEX(Boundaries!$B$2:$I$30,MATCH(CT574,Boundaries!$A$2:$A$30,0),0),1)-1,""))</f>
        <v/>
      </c>
      <c r="BL574" s="42" t="str">
        <f aca="false">IF(OR(BK574="",$E574=""),"",BK574-$E574)</f>
        <v/>
      </c>
      <c r="BM574" s="39"/>
      <c r="BN574" s="40" t="str">
        <f aca="false">IF(OR(BM574="",CG574=""),"",BM574/CG574*100)</f>
        <v/>
      </c>
      <c r="BO574" s="41" t="str">
        <f aca="false">IF(BN574="","",IFERROR(MATCH(BN574,INDEX(Boundaries!$B$2:$I$30,MATCH(CU574,Boundaries!$A$2:$A$30,0),0),1)-1,""))</f>
        <v/>
      </c>
      <c r="BP574" s="42" t="str">
        <f aca="false">IF(OR(BO574="",$E574=""),"",BO574-$E574)</f>
        <v/>
      </c>
      <c r="BQ574" s="39"/>
      <c r="BR574" s="40" t="str">
        <f aca="false">IF(OR(BQ574="",CH574=""),"",BQ574/CH574*100)</f>
        <v/>
      </c>
      <c r="BS574" s="41" t="str">
        <f aca="false">IF(BR574="","",IFERROR(MATCH(BR574,INDEX(Boundaries!$B$2:$I$30,MATCH(CV574,Boundaries!$A$2:$A$30,0),0),1)-1,""))</f>
        <v/>
      </c>
      <c r="BT574" s="42" t="str">
        <f aca="false">IF(OR(BS574="",$E574=""),"",BS574-$E574)</f>
        <v/>
      </c>
      <c r="BU574" s="28" t="str">
        <f aca="false">IFERROR(INDEX(Assessments!$H$2:$H$600,MATCH($H574&amp;"|"&amp;$I574&amp;"|"&amp;$J574&amp;"|"&amp;1,Assessments!$A$2:$A$600,0)),"")</f>
        <v/>
      </c>
      <c r="BV574" s="28" t="str">
        <f aca="false">IFERROR(INDEX(Assessments!$H$2:$H$600,MATCH($H574&amp;"|"&amp;$I574&amp;"|"&amp;$J574&amp;"|"&amp;2,Assessments!$A$2:$A$600,0)),"")</f>
        <v/>
      </c>
      <c r="BW574" s="28" t="str">
        <f aca="false">IFERROR(INDEX(Assessments!$H$2:$H$600,MATCH($H574&amp;"|"&amp;$I574&amp;"|"&amp;$J574&amp;"|"&amp;3,Assessments!$A$2:$A$600,0)),"")</f>
        <v/>
      </c>
      <c r="BX574" s="28" t="str">
        <f aca="false">IFERROR(INDEX(Assessments!$H$2:$H$600,MATCH($H574&amp;"|"&amp;$I574&amp;"|"&amp;$J574&amp;"|"&amp;4,Assessments!$A$2:$A$600,0)),"")</f>
        <v/>
      </c>
      <c r="BY574" s="28" t="str">
        <f aca="false">IFERROR(INDEX(Assessments!$H$2:$H$600,MATCH($H574&amp;"|"&amp;$I574&amp;"|"&amp;$J574&amp;"|"&amp;5,Assessments!$A$2:$A$600,0)),"")</f>
        <v/>
      </c>
      <c r="BZ574" s="28" t="str">
        <f aca="false">IFERROR(INDEX(Assessments!$H$2:$H$600,MATCH($H574&amp;"|"&amp;$I574&amp;"|"&amp;$J574&amp;"|"&amp;6,Assessments!$A$2:$A$600,0)),"")</f>
        <v/>
      </c>
      <c r="CA574" s="28" t="str">
        <f aca="false">IFERROR(INDEX(Assessments!$H$2:$H$600,MATCH($H574&amp;"|"&amp;$I574&amp;"|"&amp;$J574&amp;"|"&amp;7,Assessments!$A$2:$A$600,0)),"")</f>
        <v/>
      </c>
      <c r="CB574" s="28" t="str">
        <f aca="false">IFERROR(INDEX(Assessments!$H$2:$H$600,MATCH($H574&amp;"|"&amp;$I574&amp;"|"&amp;$J574&amp;"|"&amp;8,Assessments!$A$2:$A$600,0)),"")</f>
        <v/>
      </c>
      <c r="CC574" s="28" t="str">
        <f aca="false">IFERROR(INDEX(Assessments!$H$2:$H$600,MATCH($H574&amp;"|"&amp;$I574&amp;"|"&amp;$J574&amp;"|"&amp;9,Assessments!$A$2:$A$600,0)),"")</f>
        <v/>
      </c>
      <c r="CD574" s="28" t="str">
        <f aca="false">IFERROR(INDEX(Assessments!$H$2:$H$600,MATCH($H574&amp;"|"&amp;$I574&amp;"|"&amp;$J574&amp;"|"&amp;10,Assessments!$A$2:$A$600,0)),"")</f>
        <v/>
      </c>
      <c r="CE574" s="28" t="str">
        <f aca="false">IFERROR(INDEX(Assessments!$H$2:$H$600,MATCH($H574&amp;"|"&amp;$I574&amp;"|"&amp;$J574&amp;"|"&amp;11,Assessments!$A$2:$A$600,0)),"")</f>
        <v/>
      </c>
      <c r="CF574" s="28" t="str">
        <f aca="false">IFERROR(INDEX(Assessments!$H$2:$H$600,MATCH($H574&amp;"|"&amp;$I574&amp;"|"&amp;$J574&amp;"|"&amp;12,Assessments!$A$2:$A$600,0)),"")</f>
        <v/>
      </c>
      <c r="CG574" s="28" t="str">
        <f aca="false">IFERROR(INDEX(Assessments!$H$2:$H$600,MATCH($H574&amp;"|"&amp;$I574&amp;"|"&amp;$J574&amp;"|"&amp;13,Assessments!$A$2:$A$600,0)),"")</f>
        <v/>
      </c>
      <c r="CH574" s="28" t="str">
        <f aca="false">IFERROR(INDEX(Assessments!$H$2:$H$600,MATCH($H574&amp;"|"&amp;$I574&amp;"|"&amp;$J574&amp;"|"&amp;14,Assessments!$A$2:$A$600,0)),"")</f>
        <v/>
      </c>
      <c r="CI574" s="28" t="str">
        <f aca="false">IFERROR(INDEX(Assessments!$I$2:$I$600,MATCH($H574&amp;"|"&amp;$I574&amp;"|"&amp;$J574&amp;"|"&amp;1,Assessments!$A$2:$A$600,0)),"")</f>
        <v/>
      </c>
      <c r="CJ574" s="28" t="str">
        <f aca="false">IFERROR(INDEX(Assessments!$I$2:$I$600,MATCH($H574&amp;"|"&amp;$I574&amp;"|"&amp;$J574&amp;"|"&amp;2,Assessments!$A$2:$A$600,0)),"")</f>
        <v/>
      </c>
      <c r="CK574" s="28" t="str">
        <f aca="false">IFERROR(INDEX(Assessments!$I$2:$I$600,MATCH($H574&amp;"|"&amp;$I574&amp;"|"&amp;$J574&amp;"|"&amp;3,Assessments!$A$2:$A$600,0)),"")</f>
        <v/>
      </c>
      <c r="CL574" s="28" t="str">
        <f aca="false">IFERROR(INDEX(Assessments!$I$2:$I$600,MATCH($H574&amp;"|"&amp;$I574&amp;"|"&amp;$J574&amp;"|"&amp;4,Assessments!$A$2:$A$600,0)),"")</f>
        <v/>
      </c>
      <c r="CM574" s="28" t="str">
        <f aca="false">IFERROR(INDEX(Assessments!$I$2:$I$600,MATCH($H574&amp;"|"&amp;$I574&amp;"|"&amp;$J574&amp;"|"&amp;5,Assessments!$A$2:$A$600,0)),"")</f>
        <v/>
      </c>
      <c r="CN574" s="28" t="str">
        <f aca="false">IFERROR(INDEX(Assessments!$I$2:$I$600,MATCH($H574&amp;"|"&amp;$I574&amp;"|"&amp;$J574&amp;"|"&amp;6,Assessments!$A$2:$A$600,0)),"")</f>
        <v/>
      </c>
      <c r="CO574" s="28" t="str">
        <f aca="false">IFERROR(INDEX(Assessments!$I$2:$I$600,MATCH($H574&amp;"|"&amp;$I574&amp;"|"&amp;$J574&amp;"|"&amp;7,Assessments!$A$2:$A$600,0)),"")</f>
        <v/>
      </c>
      <c r="CP574" s="28" t="str">
        <f aca="false">IFERROR(INDEX(Assessments!$I$2:$I$600,MATCH($H574&amp;"|"&amp;$I574&amp;"|"&amp;$J574&amp;"|"&amp;8,Assessments!$A$2:$A$600,0)),"")</f>
        <v/>
      </c>
      <c r="CQ574" s="28" t="str">
        <f aca="false">IFERROR(INDEX(Assessments!$I$2:$I$600,MATCH($H574&amp;"|"&amp;$I574&amp;"|"&amp;$J574&amp;"|"&amp;9,Assessments!$A$2:$A$600,0)),"")</f>
        <v/>
      </c>
      <c r="CR574" s="28" t="str">
        <f aca="false">IFERROR(INDEX(Assessments!$I$2:$I$600,MATCH($H574&amp;"|"&amp;$I574&amp;"|"&amp;$J574&amp;"|"&amp;10,Assessments!$A$2:$A$600,0)),"")</f>
        <v/>
      </c>
      <c r="CS574" s="28" t="str">
        <f aca="false">IFERROR(INDEX(Assessments!$I$2:$I$600,MATCH($H574&amp;"|"&amp;$I574&amp;"|"&amp;$J574&amp;"|"&amp;11,Assessments!$A$2:$A$600,0)),"")</f>
        <v/>
      </c>
      <c r="CT574" s="28" t="str">
        <f aca="false">IFERROR(INDEX(Assessments!$I$2:$I$600,MATCH($H574&amp;"|"&amp;$I574&amp;"|"&amp;$J574&amp;"|"&amp;12,Assessments!$A$2:$A$600,0)),"")</f>
        <v/>
      </c>
      <c r="CU574" s="28" t="str">
        <f aca="false">IFERROR(INDEX(Assessments!$I$2:$I$600,MATCH($H574&amp;"|"&amp;$I574&amp;"|"&amp;$J574&amp;"|"&amp;13,Assessments!$A$2:$A$600,0)),"")</f>
        <v/>
      </c>
      <c r="CV574" s="28" t="str">
        <f aca="false">IFERROR(INDEX(Assessments!$I$2:$I$600,MATCH($H574&amp;"|"&amp;$I574&amp;"|"&amp;$J574&amp;"|"&amp;14,Assessments!$A$2:$A$600,0)),"")</f>
        <v/>
      </c>
      <c r="CW574" s="28" t="n">
        <f aca="false">IFERROR(INDEX(Assessments!$J$2:$J$600,MATCH($H574&amp;"|"&amp;$I574&amp;"|"&amp;$J574&amp;"|"&amp;1,Assessments!$A$2:$A$600,0)),0)</f>
        <v>0</v>
      </c>
      <c r="CX574" s="28" t="n">
        <f aca="false">IFERROR(INDEX(Assessments!$J$2:$J$600,MATCH($H574&amp;"|"&amp;$I574&amp;"|"&amp;$J574&amp;"|"&amp;2,Assessments!$A$2:$A$600,0)),0)</f>
        <v>0</v>
      </c>
      <c r="CY574" s="28" t="n">
        <f aca="false">IFERROR(INDEX(Assessments!$J$2:$J$600,MATCH($H574&amp;"|"&amp;$I574&amp;"|"&amp;$J574&amp;"|"&amp;3,Assessments!$A$2:$A$600,0)),0)</f>
        <v>0</v>
      </c>
      <c r="CZ574" s="28" t="n">
        <f aca="false">IFERROR(INDEX(Assessments!$J$2:$J$600,MATCH($H574&amp;"|"&amp;$I574&amp;"|"&amp;$J574&amp;"|"&amp;4,Assessments!$A$2:$A$600,0)),0)</f>
        <v>0</v>
      </c>
      <c r="DA574" s="28" t="n">
        <f aca="false">IFERROR(INDEX(Assessments!$J$2:$J$600,MATCH($H574&amp;"|"&amp;$I574&amp;"|"&amp;$J574&amp;"|"&amp;5,Assessments!$A$2:$A$600,0)),0)</f>
        <v>0</v>
      </c>
      <c r="DB574" s="28" t="n">
        <f aca="false">IFERROR(INDEX(Assessments!$J$2:$J$600,MATCH($H574&amp;"|"&amp;$I574&amp;"|"&amp;$J574&amp;"|"&amp;6,Assessments!$A$2:$A$600,0)),0)</f>
        <v>0</v>
      </c>
      <c r="DC574" s="28" t="n">
        <f aca="false">IFERROR(INDEX(Assessments!$J$2:$J$600,MATCH($H574&amp;"|"&amp;$I574&amp;"|"&amp;$J574&amp;"|"&amp;7,Assessments!$A$2:$A$600,0)),0)</f>
        <v>0</v>
      </c>
      <c r="DD574" s="28" t="n">
        <f aca="false">IFERROR(INDEX(Assessments!$J$2:$J$600,MATCH($H574&amp;"|"&amp;$I574&amp;"|"&amp;$J574&amp;"|"&amp;8,Assessments!$A$2:$A$600,0)),0)</f>
        <v>0</v>
      </c>
      <c r="DE574" s="28" t="n">
        <f aca="false">IFERROR(INDEX(Assessments!$J$2:$J$600,MATCH($H574&amp;"|"&amp;$I574&amp;"|"&amp;$J574&amp;"|"&amp;9,Assessments!$A$2:$A$600,0)),0)</f>
        <v>0</v>
      </c>
      <c r="DF574" s="28" t="n">
        <f aca="false">IFERROR(INDEX(Assessments!$J$2:$J$600,MATCH($H574&amp;"|"&amp;$I574&amp;"|"&amp;$J574&amp;"|"&amp;10,Assessments!$A$2:$A$600,0)),0)</f>
        <v>0</v>
      </c>
      <c r="DG574" s="28" t="n">
        <f aca="false">IFERROR(INDEX(Assessments!$J$2:$J$600,MATCH($H574&amp;"|"&amp;$I574&amp;"|"&amp;$J574&amp;"|"&amp;11,Assessments!$A$2:$A$600,0)),0)</f>
        <v>0</v>
      </c>
      <c r="DH574" s="28" t="n">
        <f aca="false">IFERROR(INDEX(Assessments!$J$2:$J$600,MATCH($H574&amp;"|"&amp;$I574&amp;"|"&amp;$J574&amp;"|"&amp;12,Assessments!$A$2:$A$600,0)),0)</f>
        <v>0</v>
      </c>
      <c r="DI574" s="28" t="n">
        <f aca="false">IFERROR(INDEX(Assessments!$J$2:$J$600,MATCH($H574&amp;"|"&amp;$I574&amp;"|"&amp;$J574&amp;"|"&amp;13,Assessments!$A$2:$A$600,0)),0)</f>
        <v>0</v>
      </c>
      <c r="DJ574" s="28" t="n">
        <f aca="false">IFERROR(INDEX(Assessments!$J$2:$J$600,MATCH($H574&amp;"|"&amp;$I574&amp;"|"&amp;$J574&amp;"|"&amp;14,Assessments!$A$2:$A$600,0)),0)</f>
        <v>0</v>
      </c>
      <c r="DK574" s="28" t="str">
        <f aca="false">S574</f>
        <v/>
      </c>
      <c r="DL574" s="28" t="str">
        <f aca="false">W574</f>
        <v/>
      </c>
      <c r="DM574" s="28" t="str">
        <f aca="false">AA574</f>
        <v/>
      </c>
      <c r="DN574" s="28" t="str">
        <f aca="false">AE574</f>
        <v/>
      </c>
      <c r="DO574" s="28" t="str">
        <f aca="false">AI574</f>
        <v/>
      </c>
      <c r="DP574" s="28" t="str">
        <f aca="false">AM574</f>
        <v/>
      </c>
      <c r="DQ574" s="28" t="str">
        <f aca="false">AQ574</f>
        <v/>
      </c>
      <c r="DR574" s="28" t="str">
        <f aca="false">AU574</f>
        <v/>
      </c>
      <c r="DS574" s="28" t="str">
        <f aca="false">AY574</f>
        <v/>
      </c>
      <c r="DT574" s="28" t="str">
        <f aca="false">BC574</f>
        <v/>
      </c>
      <c r="DU574" s="28" t="str">
        <f aca="false">BG574</f>
        <v/>
      </c>
      <c r="DV574" s="28" t="str">
        <f aca="false">BK574</f>
        <v/>
      </c>
      <c r="DW574" s="28" t="str">
        <f aca="false">BO574</f>
        <v/>
      </c>
      <c r="DX574" s="28" t="str">
        <f aca="false">BS574</f>
        <v/>
      </c>
      <c r="DY574" s="28" t="str">
        <f aca="false">IF(ISNUMBER(S574),1,"")</f>
        <v/>
      </c>
      <c r="DZ574" s="28" t="str">
        <f aca="false">IF(ISNUMBER(W574),2,"")</f>
        <v/>
      </c>
      <c r="EA574" s="28" t="str">
        <f aca="false">IF(ISNUMBER(AA574),3,"")</f>
        <v/>
      </c>
      <c r="EB574" s="28" t="str">
        <f aca="false">IF(ISNUMBER(AE574),4,"")</f>
        <v/>
      </c>
      <c r="EC574" s="28" t="str">
        <f aca="false">IF(ISNUMBER(AI574),5,"")</f>
        <v/>
      </c>
      <c r="ED574" s="28" t="str">
        <f aca="false">IF(ISNUMBER(AM574),6,"")</f>
        <v/>
      </c>
      <c r="EE574" s="28" t="str">
        <f aca="false">IF(ISNUMBER(AQ574),7,"")</f>
        <v/>
      </c>
      <c r="EF574" s="28" t="str">
        <f aca="false">IF(ISNUMBER(AU574),8,"")</f>
        <v/>
      </c>
      <c r="EG574" s="28" t="str">
        <f aca="false">IF(ISNUMBER(AY574),9,"")</f>
        <v/>
      </c>
      <c r="EH574" s="28" t="str">
        <f aca="false">IF(ISNUMBER(BC574),10,"")</f>
        <v/>
      </c>
      <c r="EI574" s="28" t="str">
        <f aca="false">IF(ISNUMBER(BG574),11,"")</f>
        <v/>
      </c>
      <c r="EJ574" s="28" t="str">
        <f aca="false">IF(ISNUMBER(BK574),12,"")</f>
        <v/>
      </c>
      <c r="EK574" s="28" t="str">
        <f aca="false">IF(ISNUMBER(BO574),13,"")</f>
        <v/>
      </c>
      <c r="EL574" s="28" t="str">
        <f aca="false">IF(ISNUMBER(BS574),14,"")</f>
        <v/>
      </c>
      <c r="EM574" s="28" t="n">
        <f aca="false">IF(ISNUMBER(R574),R574*CW574,0)</f>
        <v>0</v>
      </c>
      <c r="EN574" s="28" t="n">
        <f aca="false">IF(ISNUMBER(V574),V574*CX574,0)</f>
        <v>0</v>
      </c>
      <c r="EO574" s="28" t="n">
        <f aca="false">IF(ISNUMBER(Z574),Z574*CY574,0)</f>
        <v>0</v>
      </c>
      <c r="EP574" s="28" t="n">
        <f aca="false">IF(ISNUMBER(AD574),AD574*CZ574,0)</f>
        <v>0</v>
      </c>
      <c r="EQ574" s="28" t="n">
        <f aca="false">IF(ISNUMBER(AH574),AH574*DA574,0)</f>
        <v>0</v>
      </c>
      <c r="ER574" s="28" t="n">
        <f aca="false">IF(ISNUMBER(AL574),AL574*DB574,0)</f>
        <v>0</v>
      </c>
      <c r="ES574" s="28" t="n">
        <f aca="false">IF(ISNUMBER(AP574),AP574*DC574,0)</f>
        <v>0</v>
      </c>
      <c r="ET574" s="28" t="n">
        <f aca="false">IF(ISNUMBER(AT574),AT574*DD574,0)</f>
        <v>0</v>
      </c>
      <c r="EU574" s="28" t="n">
        <f aca="false">IF(ISNUMBER(AX574),AX574*DE574,0)</f>
        <v>0</v>
      </c>
      <c r="EV574" s="28" t="n">
        <f aca="false">IF(ISNUMBER(BB574),BB574*DF574,0)</f>
        <v>0</v>
      </c>
      <c r="EW574" s="28" t="n">
        <f aca="false">IF(ISNUMBER(BF574),BF574*DG574,0)</f>
        <v>0</v>
      </c>
      <c r="EX574" s="28" t="n">
        <f aca="false">IF(ISNUMBER(BJ574),BJ574*DH574,0)</f>
        <v>0</v>
      </c>
      <c r="EY574" s="28" t="n">
        <f aca="false">IF(ISNUMBER(BN574),BN574*DI574,0)</f>
        <v>0</v>
      </c>
      <c r="EZ574" s="28" t="n">
        <f aca="false">IF(ISNUMBER(BR574),BR574*DJ574,0)</f>
        <v>0</v>
      </c>
      <c r="FA574" s="28" t="n">
        <f aca="false">IF(ISNUMBER(R574),CW574,0)</f>
        <v>0</v>
      </c>
      <c r="FB574" s="28" t="n">
        <f aca="false">IF(ISNUMBER(V574),CX574,0)</f>
        <v>0</v>
      </c>
      <c r="FC574" s="28" t="n">
        <f aca="false">IF(ISNUMBER(Z574),CY574,0)</f>
        <v>0</v>
      </c>
      <c r="FD574" s="28" t="n">
        <f aca="false">IF(ISNUMBER(AD574),CZ574,0)</f>
        <v>0</v>
      </c>
      <c r="FE574" s="28" t="n">
        <f aca="false">IF(ISNUMBER(AH574),DA574,0)</f>
        <v>0</v>
      </c>
      <c r="FF574" s="28" t="n">
        <f aca="false">IF(ISNUMBER(AL574),DB574,0)</f>
        <v>0</v>
      </c>
      <c r="FG574" s="28" t="n">
        <f aca="false">IF(ISNUMBER(AP574),DC574,0)</f>
        <v>0</v>
      </c>
      <c r="FH574" s="28" t="n">
        <f aca="false">IF(ISNUMBER(AT574),DD574,0)</f>
        <v>0</v>
      </c>
      <c r="FI574" s="28" t="n">
        <f aca="false">IF(ISNUMBER(AX574),DE574,0)</f>
        <v>0</v>
      </c>
      <c r="FJ574" s="28" t="n">
        <f aca="false">IF(ISNUMBER(BB574),DF574,0)</f>
        <v>0</v>
      </c>
      <c r="FK574" s="28" t="n">
        <f aca="false">IF(ISNUMBER(BF574),DG574,0)</f>
        <v>0</v>
      </c>
      <c r="FL574" s="28" t="n">
        <f aca="false">IF(ISNUMBER(BJ574),DH574,0)</f>
        <v>0</v>
      </c>
      <c r="FM574" s="28" t="n">
        <f aca="false">IF(ISNUMBER(BN574),DI574,0)</f>
        <v>0</v>
      </c>
      <c r="FN574" s="28" t="n">
        <f aca="false">IF(ISNUMBER(BR574),DJ574,0)</f>
        <v>0</v>
      </c>
      <c r="FO574" s="28" t="str">
        <f aca="false">IFERROR(INDEX(Lists!$G$2:$G$20,MATCH($I574&amp;"|"&amp;$J574,Lists!$F$2:$F$20,0)),"")</f>
        <v/>
      </c>
    </row>
    <row r="575" customFormat="false" ht="19.5" hidden="false" customHeight="true" outlineLevel="0" collapsed="false">
      <c r="A575" s="29"/>
      <c r="B575" s="29"/>
      <c r="C575" s="30"/>
      <c r="D575" s="30"/>
      <c r="E575" s="31"/>
      <c r="F575" s="30"/>
      <c r="G575" s="30"/>
      <c r="H575" s="32"/>
      <c r="I575" s="33"/>
      <c r="J575" s="32"/>
      <c r="K575" s="34" t="str">
        <f aca="false">IF(OR(M575="",$E575=""),"",M575-$E575)</f>
        <v/>
      </c>
      <c r="L575" s="35" t="str">
        <f aca="false">IF(SUM(FA575:FN575)=0,"",SUM(EM575:EZ575)/SUM(FA575:FN575))</f>
        <v/>
      </c>
      <c r="M575" s="36" t="str">
        <f aca="false">IF(OR(L575="",FO575=""),"",IFERROR(MATCH(L575,INDEX(Boundaries!$B$2:$I$30,MATCH(FO575,Boundaries!$A$2:$A$30,0),0),1)-1,""))</f>
        <v/>
      </c>
      <c r="N575" s="37" t="str">
        <f aca="false">IF(COUNT($DY575:$EL575)&lt;2,"",INDEX($DK575:$DX575,MAX($DY575:$EL575))-INDEX($DK575:$DX575,MIN($DY575:$EL575)))</f>
        <v/>
      </c>
      <c r="O575" s="37" t="str">
        <f aca="false">IF(COUNT($DY575:$EL575)&lt;2,"",INDEX($DK575:$DX575,MAX($DY575:$EL575))-INDEX($DK575:$DX575,LARGE($DY575:$EL575,2)))</f>
        <v/>
      </c>
      <c r="P575" s="38" t="str">
        <f aca="false">IF(K575="","",IF(K575&gt;=0,"On/above target",IF(AND(N575&lt;&gt;"",N575&gt;=0.5),"Improving towards target",IF(AND(O575&lt;&gt;"",O575&lt;=-0.5),"Declining","Stable below target"))))</f>
        <v/>
      </c>
      <c r="Q575" s="39"/>
      <c r="R575" s="40" t="str">
        <f aca="false">IF(OR(Q575="",BU575=""),"",Q575/BU575*100)</f>
        <v/>
      </c>
      <c r="S575" s="41" t="str">
        <f aca="false">IF(R575="","",IFERROR(MATCH(R575,INDEX(Boundaries!$B$2:$I$30,MATCH(CI575,Boundaries!$A$2:$A$30,0),0),1)-1,""))</f>
        <v/>
      </c>
      <c r="T575" s="42" t="str">
        <f aca="false">IF(OR(S575="",$E575=""),"",S575-$E575)</f>
        <v/>
      </c>
      <c r="U575" s="39"/>
      <c r="V575" s="40" t="str">
        <f aca="false">IF(OR(U575="",BV575=""),"",U575/BV575*100)</f>
        <v/>
      </c>
      <c r="W575" s="41" t="str">
        <f aca="false">IF(V575="","",IFERROR(MATCH(V575,INDEX(Boundaries!$B$2:$I$30,MATCH(CJ575,Boundaries!$A$2:$A$30,0),0),1)-1,""))</f>
        <v/>
      </c>
      <c r="X575" s="42" t="str">
        <f aca="false">IF(OR(W575="",$E575=""),"",W575-$E575)</f>
        <v/>
      </c>
      <c r="Y575" s="39"/>
      <c r="Z575" s="40" t="str">
        <f aca="false">IF(OR(Y575="",BW575=""),"",Y575/BW575*100)</f>
        <v/>
      </c>
      <c r="AA575" s="41" t="str">
        <f aca="false">IF(Z575="","",IFERROR(MATCH(Z575,INDEX(Boundaries!$B$2:$I$30,MATCH(CK575,Boundaries!$A$2:$A$30,0),0),1)-1,""))</f>
        <v/>
      </c>
      <c r="AB575" s="42" t="str">
        <f aca="false">IF(OR(AA575="",$E575=""),"",AA575-$E575)</f>
        <v/>
      </c>
      <c r="AC575" s="39"/>
      <c r="AD575" s="40" t="str">
        <f aca="false">IF(OR(AC575="",BX575=""),"",AC575/BX575*100)</f>
        <v/>
      </c>
      <c r="AE575" s="41" t="str">
        <f aca="false">IF(AD575="","",IFERROR(MATCH(AD575,INDEX(Boundaries!$B$2:$I$30,MATCH(CL575,Boundaries!$A$2:$A$30,0),0),1)-1,""))</f>
        <v/>
      </c>
      <c r="AF575" s="42" t="str">
        <f aca="false">IF(OR(AE575="",$E575=""),"",AE575-$E575)</f>
        <v/>
      </c>
      <c r="AG575" s="39"/>
      <c r="AH575" s="40" t="str">
        <f aca="false">IF(OR(AG575="",BY575=""),"",AG575/BY575*100)</f>
        <v/>
      </c>
      <c r="AI575" s="41" t="str">
        <f aca="false">IF(AH575="","",IFERROR(MATCH(AH575,INDEX(Boundaries!$B$2:$I$30,MATCH(CM575,Boundaries!$A$2:$A$30,0),0),1)-1,""))</f>
        <v/>
      </c>
      <c r="AJ575" s="42" t="str">
        <f aca="false">IF(OR(AI575="",$E575=""),"",AI575-$E575)</f>
        <v/>
      </c>
      <c r="AK575" s="39"/>
      <c r="AL575" s="40" t="str">
        <f aca="false">IF(OR(AK575="",BZ575=""),"",AK575/BZ575*100)</f>
        <v/>
      </c>
      <c r="AM575" s="41" t="str">
        <f aca="false">IF(AL575="","",IFERROR(MATCH(AL575,INDEX(Boundaries!$B$2:$I$30,MATCH(CN575,Boundaries!$A$2:$A$30,0),0),1)-1,""))</f>
        <v/>
      </c>
      <c r="AN575" s="42" t="str">
        <f aca="false">IF(OR(AM575="",$E575=""),"",AM575-$E575)</f>
        <v/>
      </c>
      <c r="AO575" s="39"/>
      <c r="AP575" s="40" t="str">
        <f aca="false">IF(OR(AO575="",CA575=""),"",AO575/CA575*100)</f>
        <v/>
      </c>
      <c r="AQ575" s="41" t="str">
        <f aca="false">IF(AP575="","",IFERROR(MATCH(AP575,INDEX(Boundaries!$B$2:$I$30,MATCH(CO575,Boundaries!$A$2:$A$30,0),0),1)-1,""))</f>
        <v/>
      </c>
      <c r="AR575" s="42" t="str">
        <f aca="false">IF(OR(AQ575="",$E575=""),"",AQ575-$E575)</f>
        <v/>
      </c>
      <c r="AS575" s="39"/>
      <c r="AT575" s="40" t="str">
        <f aca="false">IF(OR(AS575="",CB575=""),"",AS575/CB575*100)</f>
        <v/>
      </c>
      <c r="AU575" s="41" t="str">
        <f aca="false">IF(AT575="","",IFERROR(MATCH(AT575,INDEX(Boundaries!$B$2:$I$30,MATCH(CP575,Boundaries!$A$2:$A$30,0),0),1)-1,""))</f>
        <v/>
      </c>
      <c r="AV575" s="42" t="str">
        <f aca="false">IF(OR(AU575="",$E575=""),"",AU575-$E575)</f>
        <v/>
      </c>
      <c r="AW575" s="39"/>
      <c r="AX575" s="40" t="str">
        <f aca="false">IF(OR(AW575="",CC575=""),"",AW575/CC575*100)</f>
        <v/>
      </c>
      <c r="AY575" s="41" t="str">
        <f aca="false">IF(AX575="","",IFERROR(MATCH(AX575,INDEX(Boundaries!$B$2:$I$30,MATCH(CQ575,Boundaries!$A$2:$A$30,0),0),1)-1,""))</f>
        <v/>
      </c>
      <c r="AZ575" s="42" t="str">
        <f aca="false">IF(OR(AY575="",$E575=""),"",AY575-$E575)</f>
        <v/>
      </c>
      <c r="BA575" s="39"/>
      <c r="BB575" s="40" t="str">
        <f aca="false">IF(OR(BA575="",CD575=""),"",BA575/CD575*100)</f>
        <v/>
      </c>
      <c r="BC575" s="41" t="str">
        <f aca="false">IF(BB575="","",IFERROR(MATCH(BB575,INDEX(Boundaries!$B$2:$I$30,MATCH(CR575,Boundaries!$A$2:$A$30,0),0),1)-1,""))</f>
        <v/>
      </c>
      <c r="BD575" s="42" t="str">
        <f aca="false">IF(OR(BC575="",$E575=""),"",BC575-$E575)</f>
        <v/>
      </c>
      <c r="BE575" s="39"/>
      <c r="BF575" s="40" t="str">
        <f aca="false">IF(OR(BE575="",CE575=""),"",BE575/CE575*100)</f>
        <v/>
      </c>
      <c r="BG575" s="41" t="str">
        <f aca="false">IF(BF575="","",IFERROR(MATCH(BF575,INDEX(Boundaries!$B$2:$I$30,MATCH(CS575,Boundaries!$A$2:$A$30,0),0),1)-1,""))</f>
        <v/>
      </c>
      <c r="BH575" s="42" t="str">
        <f aca="false">IF(OR(BG575="",$E575=""),"",BG575-$E575)</f>
        <v/>
      </c>
      <c r="BI575" s="39"/>
      <c r="BJ575" s="40" t="str">
        <f aca="false">IF(OR(BI575="",CF575=""),"",BI575/CF575*100)</f>
        <v/>
      </c>
      <c r="BK575" s="41" t="str">
        <f aca="false">IF(BJ575="","",IFERROR(MATCH(BJ575,INDEX(Boundaries!$B$2:$I$30,MATCH(CT575,Boundaries!$A$2:$A$30,0),0),1)-1,""))</f>
        <v/>
      </c>
      <c r="BL575" s="42" t="str">
        <f aca="false">IF(OR(BK575="",$E575=""),"",BK575-$E575)</f>
        <v/>
      </c>
      <c r="BM575" s="39"/>
      <c r="BN575" s="40" t="str">
        <f aca="false">IF(OR(BM575="",CG575=""),"",BM575/CG575*100)</f>
        <v/>
      </c>
      <c r="BO575" s="41" t="str">
        <f aca="false">IF(BN575="","",IFERROR(MATCH(BN575,INDEX(Boundaries!$B$2:$I$30,MATCH(CU575,Boundaries!$A$2:$A$30,0),0),1)-1,""))</f>
        <v/>
      </c>
      <c r="BP575" s="42" t="str">
        <f aca="false">IF(OR(BO575="",$E575=""),"",BO575-$E575)</f>
        <v/>
      </c>
      <c r="BQ575" s="39"/>
      <c r="BR575" s="40" t="str">
        <f aca="false">IF(OR(BQ575="",CH575=""),"",BQ575/CH575*100)</f>
        <v/>
      </c>
      <c r="BS575" s="41" t="str">
        <f aca="false">IF(BR575="","",IFERROR(MATCH(BR575,INDEX(Boundaries!$B$2:$I$30,MATCH(CV575,Boundaries!$A$2:$A$30,0),0),1)-1,""))</f>
        <v/>
      </c>
      <c r="BT575" s="42" t="str">
        <f aca="false">IF(OR(BS575="",$E575=""),"",BS575-$E575)</f>
        <v/>
      </c>
      <c r="BU575" s="28" t="str">
        <f aca="false">IFERROR(INDEX(Assessments!$H$2:$H$600,MATCH($H575&amp;"|"&amp;$I575&amp;"|"&amp;$J575&amp;"|"&amp;1,Assessments!$A$2:$A$600,0)),"")</f>
        <v/>
      </c>
      <c r="BV575" s="28" t="str">
        <f aca="false">IFERROR(INDEX(Assessments!$H$2:$H$600,MATCH($H575&amp;"|"&amp;$I575&amp;"|"&amp;$J575&amp;"|"&amp;2,Assessments!$A$2:$A$600,0)),"")</f>
        <v/>
      </c>
      <c r="BW575" s="28" t="str">
        <f aca="false">IFERROR(INDEX(Assessments!$H$2:$H$600,MATCH($H575&amp;"|"&amp;$I575&amp;"|"&amp;$J575&amp;"|"&amp;3,Assessments!$A$2:$A$600,0)),"")</f>
        <v/>
      </c>
      <c r="BX575" s="28" t="str">
        <f aca="false">IFERROR(INDEX(Assessments!$H$2:$H$600,MATCH($H575&amp;"|"&amp;$I575&amp;"|"&amp;$J575&amp;"|"&amp;4,Assessments!$A$2:$A$600,0)),"")</f>
        <v/>
      </c>
      <c r="BY575" s="28" t="str">
        <f aca="false">IFERROR(INDEX(Assessments!$H$2:$H$600,MATCH($H575&amp;"|"&amp;$I575&amp;"|"&amp;$J575&amp;"|"&amp;5,Assessments!$A$2:$A$600,0)),"")</f>
        <v/>
      </c>
      <c r="BZ575" s="28" t="str">
        <f aca="false">IFERROR(INDEX(Assessments!$H$2:$H$600,MATCH($H575&amp;"|"&amp;$I575&amp;"|"&amp;$J575&amp;"|"&amp;6,Assessments!$A$2:$A$600,0)),"")</f>
        <v/>
      </c>
      <c r="CA575" s="28" t="str">
        <f aca="false">IFERROR(INDEX(Assessments!$H$2:$H$600,MATCH($H575&amp;"|"&amp;$I575&amp;"|"&amp;$J575&amp;"|"&amp;7,Assessments!$A$2:$A$600,0)),"")</f>
        <v/>
      </c>
      <c r="CB575" s="28" t="str">
        <f aca="false">IFERROR(INDEX(Assessments!$H$2:$H$600,MATCH($H575&amp;"|"&amp;$I575&amp;"|"&amp;$J575&amp;"|"&amp;8,Assessments!$A$2:$A$600,0)),"")</f>
        <v/>
      </c>
      <c r="CC575" s="28" t="str">
        <f aca="false">IFERROR(INDEX(Assessments!$H$2:$H$600,MATCH($H575&amp;"|"&amp;$I575&amp;"|"&amp;$J575&amp;"|"&amp;9,Assessments!$A$2:$A$600,0)),"")</f>
        <v/>
      </c>
      <c r="CD575" s="28" t="str">
        <f aca="false">IFERROR(INDEX(Assessments!$H$2:$H$600,MATCH($H575&amp;"|"&amp;$I575&amp;"|"&amp;$J575&amp;"|"&amp;10,Assessments!$A$2:$A$600,0)),"")</f>
        <v/>
      </c>
      <c r="CE575" s="28" t="str">
        <f aca="false">IFERROR(INDEX(Assessments!$H$2:$H$600,MATCH($H575&amp;"|"&amp;$I575&amp;"|"&amp;$J575&amp;"|"&amp;11,Assessments!$A$2:$A$600,0)),"")</f>
        <v/>
      </c>
      <c r="CF575" s="28" t="str">
        <f aca="false">IFERROR(INDEX(Assessments!$H$2:$H$600,MATCH($H575&amp;"|"&amp;$I575&amp;"|"&amp;$J575&amp;"|"&amp;12,Assessments!$A$2:$A$600,0)),"")</f>
        <v/>
      </c>
      <c r="CG575" s="28" t="str">
        <f aca="false">IFERROR(INDEX(Assessments!$H$2:$H$600,MATCH($H575&amp;"|"&amp;$I575&amp;"|"&amp;$J575&amp;"|"&amp;13,Assessments!$A$2:$A$600,0)),"")</f>
        <v/>
      </c>
      <c r="CH575" s="28" t="str">
        <f aca="false">IFERROR(INDEX(Assessments!$H$2:$H$600,MATCH($H575&amp;"|"&amp;$I575&amp;"|"&amp;$J575&amp;"|"&amp;14,Assessments!$A$2:$A$600,0)),"")</f>
        <v/>
      </c>
      <c r="CI575" s="28" t="str">
        <f aca="false">IFERROR(INDEX(Assessments!$I$2:$I$600,MATCH($H575&amp;"|"&amp;$I575&amp;"|"&amp;$J575&amp;"|"&amp;1,Assessments!$A$2:$A$600,0)),"")</f>
        <v/>
      </c>
      <c r="CJ575" s="28" t="str">
        <f aca="false">IFERROR(INDEX(Assessments!$I$2:$I$600,MATCH($H575&amp;"|"&amp;$I575&amp;"|"&amp;$J575&amp;"|"&amp;2,Assessments!$A$2:$A$600,0)),"")</f>
        <v/>
      </c>
      <c r="CK575" s="28" t="str">
        <f aca="false">IFERROR(INDEX(Assessments!$I$2:$I$600,MATCH($H575&amp;"|"&amp;$I575&amp;"|"&amp;$J575&amp;"|"&amp;3,Assessments!$A$2:$A$600,0)),"")</f>
        <v/>
      </c>
      <c r="CL575" s="28" t="str">
        <f aca="false">IFERROR(INDEX(Assessments!$I$2:$I$600,MATCH($H575&amp;"|"&amp;$I575&amp;"|"&amp;$J575&amp;"|"&amp;4,Assessments!$A$2:$A$600,0)),"")</f>
        <v/>
      </c>
      <c r="CM575" s="28" t="str">
        <f aca="false">IFERROR(INDEX(Assessments!$I$2:$I$600,MATCH($H575&amp;"|"&amp;$I575&amp;"|"&amp;$J575&amp;"|"&amp;5,Assessments!$A$2:$A$600,0)),"")</f>
        <v/>
      </c>
      <c r="CN575" s="28" t="str">
        <f aca="false">IFERROR(INDEX(Assessments!$I$2:$I$600,MATCH($H575&amp;"|"&amp;$I575&amp;"|"&amp;$J575&amp;"|"&amp;6,Assessments!$A$2:$A$600,0)),"")</f>
        <v/>
      </c>
      <c r="CO575" s="28" t="str">
        <f aca="false">IFERROR(INDEX(Assessments!$I$2:$I$600,MATCH($H575&amp;"|"&amp;$I575&amp;"|"&amp;$J575&amp;"|"&amp;7,Assessments!$A$2:$A$600,0)),"")</f>
        <v/>
      </c>
      <c r="CP575" s="28" t="str">
        <f aca="false">IFERROR(INDEX(Assessments!$I$2:$I$600,MATCH($H575&amp;"|"&amp;$I575&amp;"|"&amp;$J575&amp;"|"&amp;8,Assessments!$A$2:$A$600,0)),"")</f>
        <v/>
      </c>
      <c r="CQ575" s="28" t="str">
        <f aca="false">IFERROR(INDEX(Assessments!$I$2:$I$600,MATCH($H575&amp;"|"&amp;$I575&amp;"|"&amp;$J575&amp;"|"&amp;9,Assessments!$A$2:$A$600,0)),"")</f>
        <v/>
      </c>
      <c r="CR575" s="28" t="str">
        <f aca="false">IFERROR(INDEX(Assessments!$I$2:$I$600,MATCH($H575&amp;"|"&amp;$I575&amp;"|"&amp;$J575&amp;"|"&amp;10,Assessments!$A$2:$A$600,0)),"")</f>
        <v/>
      </c>
      <c r="CS575" s="28" t="str">
        <f aca="false">IFERROR(INDEX(Assessments!$I$2:$I$600,MATCH($H575&amp;"|"&amp;$I575&amp;"|"&amp;$J575&amp;"|"&amp;11,Assessments!$A$2:$A$600,0)),"")</f>
        <v/>
      </c>
      <c r="CT575" s="28" t="str">
        <f aca="false">IFERROR(INDEX(Assessments!$I$2:$I$600,MATCH($H575&amp;"|"&amp;$I575&amp;"|"&amp;$J575&amp;"|"&amp;12,Assessments!$A$2:$A$600,0)),"")</f>
        <v/>
      </c>
      <c r="CU575" s="28" t="str">
        <f aca="false">IFERROR(INDEX(Assessments!$I$2:$I$600,MATCH($H575&amp;"|"&amp;$I575&amp;"|"&amp;$J575&amp;"|"&amp;13,Assessments!$A$2:$A$600,0)),"")</f>
        <v/>
      </c>
      <c r="CV575" s="28" t="str">
        <f aca="false">IFERROR(INDEX(Assessments!$I$2:$I$600,MATCH($H575&amp;"|"&amp;$I575&amp;"|"&amp;$J575&amp;"|"&amp;14,Assessments!$A$2:$A$600,0)),"")</f>
        <v/>
      </c>
      <c r="CW575" s="28" t="n">
        <f aca="false">IFERROR(INDEX(Assessments!$J$2:$J$600,MATCH($H575&amp;"|"&amp;$I575&amp;"|"&amp;$J575&amp;"|"&amp;1,Assessments!$A$2:$A$600,0)),0)</f>
        <v>0</v>
      </c>
      <c r="CX575" s="28" t="n">
        <f aca="false">IFERROR(INDEX(Assessments!$J$2:$J$600,MATCH($H575&amp;"|"&amp;$I575&amp;"|"&amp;$J575&amp;"|"&amp;2,Assessments!$A$2:$A$600,0)),0)</f>
        <v>0</v>
      </c>
      <c r="CY575" s="28" t="n">
        <f aca="false">IFERROR(INDEX(Assessments!$J$2:$J$600,MATCH($H575&amp;"|"&amp;$I575&amp;"|"&amp;$J575&amp;"|"&amp;3,Assessments!$A$2:$A$600,0)),0)</f>
        <v>0</v>
      </c>
      <c r="CZ575" s="28" t="n">
        <f aca="false">IFERROR(INDEX(Assessments!$J$2:$J$600,MATCH($H575&amp;"|"&amp;$I575&amp;"|"&amp;$J575&amp;"|"&amp;4,Assessments!$A$2:$A$600,0)),0)</f>
        <v>0</v>
      </c>
      <c r="DA575" s="28" t="n">
        <f aca="false">IFERROR(INDEX(Assessments!$J$2:$J$600,MATCH($H575&amp;"|"&amp;$I575&amp;"|"&amp;$J575&amp;"|"&amp;5,Assessments!$A$2:$A$600,0)),0)</f>
        <v>0</v>
      </c>
      <c r="DB575" s="28" t="n">
        <f aca="false">IFERROR(INDEX(Assessments!$J$2:$J$600,MATCH($H575&amp;"|"&amp;$I575&amp;"|"&amp;$J575&amp;"|"&amp;6,Assessments!$A$2:$A$600,0)),0)</f>
        <v>0</v>
      </c>
      <c r="DC575" s="28" t="n">
        <f aca="false">IFERROR(INDEX(Assessments!$J$2:$J$600,MATCH($H575&amp;"|"&amp;$I575&amp;"|"&amp;$J575&amp;"|"&amp;7,Assessments!$A$2:$A$600,0)),0)</f>
        <v>0</v>
      </c>
      <c r="DD575" s="28" t="n">
        <f aca="false">IFERROR(INDEX(Assessments!$J$2:$J$600,MATCH($H575&amp;"|"&amp;$I575&amp;"|"&amp;$J575&amp;"|"&amp;8,Assessments!$A$2:$A$600,0)),0)</f>
        <v>0</v>
      </c>
      <c r="DE575" s="28" t="n">
        <f aca="false">IFERROR(INDEX(Assessments!$J$2:$J$600,MATCH($H575&amp;"|"&amp;$I575&amp;"|"&amp;$J575&amp;"|"&amp;9,Assessments!$A$2:$A$600,0)),0)</f>
        <v>0</v>
      </c>
      <c r="DF575" s="28" t="n">
        <f aca="false">IFERROR(INDEX(Assessments!$J$2:$J$600,MATCH($H575&amp;"|"&amp;$I575&amp;"|"&amp;$J575&amp;"|"&amp;10,Assessments!$A$2:$A$600,0)),0)</f>
        <v>0</v>
      </c>
      <c r="DG575" s="28" t="n">
        <f aca="false">IFERROR(INDEX(Assessments!$J$2:$J$600,MATCH($H575&amp;"|"&amp;$I575&amp;"|"&amp;$J575&amp;"|"&amp;11,Assessments!$A$2:$A$600,0)),0)</f>
        <v>0</v>
      </c>
      <c r="DH575" s="28" t="n">
        <f aca="false">IFERROR(INDEX(Assessments!$J$2:$J$600,MATCH($H575&amp;"|"&amp;$I575&amp;"|"&amp;$J575&amp;"|"&amp;12,Assessments!$A$2:$A$600,0)),0)</f>
        <v>0</v>
      </c>
      <c r="DI575" s="28" t="n">
        <f aca="false">IFERROR(INDEX(Assessments!$J$2:$J$600,MATCH($H575&amp;"|"&amp;$I575&amp;"|"&amp;$J575&amp;"|"&amp;13,Assessments!$A$2:$A$600,0)),0)</f>
        <v>0</v>
      </c>
      <c r="DJ575" s="28" t="n">
        <f aca="false">IFERROR(INDEX(Assessments!$J$2:$J$600,MATCH($H575&amp;"|"&amp;$I575&amp;"|"&amp;$J575&amp;"|"&amp;14,Assessments!$A$2:$A$600,0)),0)</f>
        <v>0</v>
      </c>
      <c r="DK575" s="28" t="str">
        <f aca="false">S575</f>
        <v/>
      </c>
      <c r="DL575" s="28" t="str">
        <f aca="false">W575</f>
        <v/>
      </c>
      <c r="DM575" s="28" t="str">
        <f aca="false">AA575</f>
        <v/>
      </c>
      <c r="DN575" s="28" t="str">
        <f aca="false">AE575</f>
        <v/>
      </c>
      <c r="DO575" s="28" t="str">
        <f aca="false">AI575</f>
        <v/>
      </c>
      <c r="DP575" s="28" t="str">
        <f aca="false">AM575</f>
        <v/>
      </c>
      <c r="DQ575" s="28" t="str">
        <f aca="false">AQ575</f>
        <v/>
      </c>
      <c r="DR575" s="28" t="str">
        <f aca="false">AU575</f>
        <v/>
      </c>
      <c r="DS575" s="28" t="str">
        <f aca="false">AY575</f>
        <v/>
      </c>
      <c r="DT575" s="28" t="str">
        <f aca="false">BC575</f>
        <v/>
      </c>
      <c r="DU575" s="28" t="str">
        <f aca="false">BG575</f>
        <v/>
      </c>
      <c r="DV575" s="28" t="str">
        <f aca="false">BK575</f>
        <v/>
      </c>
      <c r="DW575" s="28" t="str">
        <f aca="false">BO575</f>
        <v/>
      </c>
      <c r="DX575" s="28" t="str">
        <f aca="false">BS575</f>
        <v/>
      </c>
      <c r="DY575" s="28" t="str">
        <f aca="false">IF(ISNUMBER(S575),1,"")</f>
        <v/>
      </c>
      <c r="DZ575" s="28" t="str">
        <f aca="false">IF(ISNUMBER(W575),2,"")</f>
        <v/>
      </c>
      <c r="EA575" s="28" t="str">
        <f aca="false">IF(ISNUMBER(AA575),3,"")</f>
        <v/>
      </c>
      <c r="EB575" s="28" t="str">
        <f aca="false">IF(ISNUMBER(AE575),4,"")</f>
        <v/>
      </c>
      <c r="EC575" s="28" t="str">
        <f aca="false">IF(ISNUMBER(AI575),5,"")</f>
        <v/>
      </c>
      <c r="ED575" s="28" t="str">
        <f aca="false">IF(ISNUMBER(AM575),6,"")</f>
        <v/>
      </c>
      <c r="EE575" s="28" t="str">
        <f aca="false">IF(ISNUMBER(AQ575),7,"")</f>
        <v/>
      </c>
      <c r="EF575" s="28" t="str">
        <f aca="false">IF(ISNUMBER(AU575),8,"")</f>
        <v/>
      </c>
      <c r="EG575" s="28" t="str">
        <f aca="false">IF(ISNUMBER(AY575),9,"")</f>
        <v/>
      </c>
      <c r="EH575" s="28" t="str">
        <f aca="false">IF(ISNUMBER(BC575),10,"")</f>
        <v/>
      </c>
      <c r="EI575" s="28" t="str">
        <f aca="false">IF(ISNUMBER(BG575),11,"")</f>
        <v/>
      </c>
      <c r="EJ575" s="28" t="str">
        <f aca="false">IF(ISNUMBER(BK575),12,"")</f>
        <v/>
      </c>
      <c r="EK575" s="28" t="str">
        <f aca="false">IF(ISNUMBER(BO575),13,"")</f>
        <v/>
      </c>
      <c r="EL575" s="28" t="str">
        <f aca="false">IF(ISNUMBER(BS575),14,"")</f>
        <v/>
      </c>
      <c r="EM575" s="28" t="n">
        <f aca="false">IF(ISNUMBER(R575),R575*CW575,0)</f>
        <v>0</v>
      </c>
      <c r="EN575" s="28" t="n">
        <f aca="false">IF(ISNUMBER(V575),V575*CX575,0)</f>
        <v>0</v>
      </c>
      <c r="EO575" s="28" t="n">
        <f aca="false">IF(ISNUMBER(Z575),Z575*CY575,0)</f>
        <v>0</v>
      </c>
      <c r="EP575" s="28" t="n">
        <f aca="false">IF(ISNUMBER(AD575),AD575*CZ575,0)</f>
        <v>0</v>
      </c>
      <c r="EQ575" s="28" t="n">
        <f aca="false">IF(ISNUMBER(AH575),AH575*DA575,0)</f>
        <v>0</v>
      </c>
      <c r="ER575" s="28" t="n">
        <f aca="false">IF(ISNUMBER(AL575),AL575*DB575,0)</f>
        <v>0</v>
      </c>
      <c r="ES575" s="28" t="n">
        <f aca="false">IF(ISNUMBER(AP575),AP575*DC575,0)</f>
        <v>0</v>
      </c>
      <c r="ET575" s="28" t="n">
        <f aca="false">IF(ISNUMBER(AT575),AT575*DD575,0)</f>
        <v>0</v>
      </c>
      <c r="EU575" s="28" t="n">
        <f aca="false">IF(ISNUMBER(AX575),AX575*DE575,0)</f>
        <v>0</v>
      </c>
      <c r="EV575" s="28" t="n">
        <f aca="false">IF(ISNUMBER(BB575),BB575*DF575,0)</f>
        <v>0</v>
      </c>
      <c r="EW575" s="28" t="n">
        <f aca="false">IF(ISNUMBER(BF575),BF575*DG575,0)</f>
        <v>0</v>
      </c>
      <c r="EX575" s="28" t="n">
        <f aca="false">IF(ISNUMBER(BJ575),BJ575*DH575,0)</f>
        <v>0</v>
      </c>
      <c r="EY575" s="28" t="n">
        <f aca="false">IF(ISNUMBER(BN575),BN575*DI575,0)</f>
        <v>0</v>
      </c>
      <c r="EZ575" s="28" t="n">
        <f aca="false">IF(ISNUMBER(BR575),BR575*DJ575,0)</f>
        <v>0</v>
      </c>
      <c r="FA575" s="28" t="n">
        <f aca="false">IF(ISNUMBER(R575),CW575,0)</f>
        <v>0</v>
      </c>
      <c r="FB575" s="28" t="n">
        <f aca="false">IF(ISNUMBER(V575),CX575,0)</f>
        <v>0</v>
      </c>
      <c r="FC575" s="28" t="n">
        <f aca="false">IF(ISNUMBER(Z575),CY575,0)</f>
        <v>0</v>
      </c>
      <c r="FD575" s="28" t="n">
        <f aca="false">IF(ISNUMBER(AD575),CZ575,0)</f>
        <v>0</v>
      </c>
      <c r="FE575" s="28" t="n">
        <f aca="false">IF(ISNUMBER(AH575),DA575,0)</f>
        <v>0</v>
      </c>
      <c r="FF575" s="28" t="n">
        <f aca="false">IF(ISNUMBER(AL575),DB575,0)</f>
        <v>0</v>
      </c>
      <c r="FG575" s="28" t="n">
        <f aca="false">IF(ISNUMBER(AP575),DC575,0)</f>
        <v>0</v>
      </c>
      <c r="FH575" s="28" t="n">
        <f aca="false">IF(ISNUMBER(AT575),DD575,0)</f>
        <v>0</v>
      </c>
      <c r="FI575" s="28" t="n">
        <f aca="false">IF(ISNUMBER(AX575),DE575,0)</f>
        <v>0</v>
      </c>
      <c r="FJ575" s="28" t="n">
        <f aca="false">IF(ISNUMBER(BB575),DF575,0)</f>
        <v>0</v>
      </c>
      <c r="FK575" s="28" t="n">
        <f aca="false">IF(ISNUMBER(BF575),DG575,0)</f>
        <v>0</v>
      </c>
      <c r="FL575" s="28" t="n">
        <f aca="false">IF(ISNUMBER(BJ575),DH575,0)</f>
        <v>0</v>
      </c>
      <c r="FM575" s="28" t="n">
        <f aca="false">IF(ISNUMBER(BN575),DI575,0)</f>
        <v>0</v>
      </c>
      <c r="FN575" s="28" t="n">
        <f aca="false">IF(ISNUMBER(BR575),DJ575,0)</f>
        <v>0</v>
      </c>
      <c r="FO575" s="28" t="str">
        <f aca="false">IFERROR(INDEX(Lists!$G$2:$G$20,MATCH($I575&amp;"|"&amp;$J575,Lists!$F$2:$F$20,0)),"")</f>
        <v/>
      </c>
    </row>
    <row r="576" customFormat="false" ht="19.5" hidden="false" customHeight="true" outlineLevel="0" collapsed="false">
      <c r="A576" s="29"/>
      <c r="B576" s="29"/>
      <c r="C576" s="30"/>
      <c r="D576" s="30"/>
      <c r="E576" s="31"/>
      <c r="F576" s="30"/>
      <c r="G576" s="30"/>
      <c r="H576" s="32"/>
      <c r="I576" s="33"/>
      <c r="J576" s="32"/>
      <c r="K576" s="34" t="str">
        <f aca="false">IF(OR(M576="",$E576=""),"",M576-$E576)</f>
        <v/>
      </c>
      <c r="L576" s="35" t="str">
        <f aca="false">IF(SUM(FA576:FN576)=0,"",SUM(EM576:EZ576)/SUM(FA576:FN576))</f>
        <v/>
      </c>
      <c r="M576" s="36" t="str">
        <f aca="false">IF(OR(L576="",FO576=""),"",IFERROR(MATCH(L576,INDEX(Boundaries!$B$2:$I$30,MATCH(FO576,Boundaries!$A$2:$A$30,0),0),1)-1,""))</f>
        <v/>
      </c>
      <c r="N576" s="37" t="str">
        <f aca="false">IF(COUNT($DY576:$EL576)&lt;2,"",INDEX($DK576:$DX576,MAX($DY576:$EL576))-INDEX($DK576:$DX576,MIN($DY576:$EL576)))</f>
        <v/>
      </c>
      <c r="O576" s="37" t="str">
        <f aca="false">IF(COUNT($DY576:$EL576)&lt;2,"",INDEX($DK576:$DX576,MAX($DY576:$EL576))-INDEX($DK576:$DX576,LARGE($DY576:$EL576,2)))</f>
        <v/>
      </c>
      <c r="P576" s="38" t="str">
        <f aca="false">IF(K576="","",IF(K576&gt;=0,"On/above target",IF(AND(N576&lt;&gt;"",N576&gt;=0.5),"Improving towards target",IF(AND(O576&lt;&gt;"",O576&lt;=-0.5),"Declining","Stable below target"))))</f>
        <v/>
      </c>
      <c r="Q576" s="39"/>
      <c r="R576" s="40" t="str">
        <f aca="false">IF(OR(Q576="",BU576=""),"",Q576/BU576*100)</f>
        <v/>
      </c>
      <c r="S576" s="41" t="str">
        <f aca="false">IF(R576="","",IFERROR(MATCH(R576,INDEX(Boundaries!$B$2:$I$30,MATCH(CI576,Boundaries!$A$2:$A$30,0),0),1)-1,""))</f>
        <v/>
      </c>
      <c r="T576" s="42" t="str">
        <f aca="false">IF(OR(S576="",$E576=""),"",S576-$E576)</f>
        <v/>
      </c>
      <c r="U576" s="39"/>
      <c r="V576" s="40" t="str">
        <f aca="false">IF(OR(U576="",BV576=""),"",U576/BV576*100)</f>
        <v/>
      </c>
      <c r="W576" s="41" t="str">
        <f aca="false">IF(V576="","",IFERROR(MATCH(V576,INDEX(Boundaries!$B$2:$I$30,MATCH(CJ576,Boundaries!$A$2:$A$30,0),0),1)-1,""))</f>
        <v/>
      </c>
      <c r="X576" s="42" t="str">
        <f aca="false">IF(OR(W576="",$E576=""),"",W576-$E576)</f>
        <v/>
      </c>
      <c r="Y576" s="39"/>
      <c r="Z576" s="40" t="str">
        <f aca="false">IF(OR(Y576="",BW576=""),"",Y576/BW576*100)</f>
        <v/>
      </c>
      <c r="AA576" s="41" t="str">
        <f aca="false">IF(Z576="","",IFERROR(MATCH(Z576,INDEX(Boundaries!$B$2:$I$30,MATCH(CK576,Boundaries!$A$2:$A$30,0),0),1)-1,""))</f>
        <v/>
      </c>
      <c r="AB576" s="42" t="str">
        <f aca="false">IF(OR(AA576="",$E576=""),"",AA576-$E576)</f>
        <v/>
      </c>
      <c r="AC576" s="39"/>
      <c r="AD576" s="40" t="str">
        <f aca="false">IF(OR(AC576="",BX576=""),"",AC576/BX576*100)</f>
        <v/>
      </c>
      <c r="AE576" s="41" t="str">
        <f aca="false">IF(AD576="","",IFERROR(MATCH(AD576,INDEX(Boundaries!$B$2:$I$30,MATCH(CL576,Boundaries!$A$2:$A$30,0),0),1)-1,""))</f>
        <v/>
      </c>
      <c r="AF576" s="42" t="str">
        <f aca="false">IF(OR(AE576="",$E576=""),"",AE576-$E576)</f>
        <v/>
      </c>
      <c r="AG576" s="39"/>
      <c r="AH576" s="40" t="str">
        <f aca="false">IF(OR(AG576="",BY576=""),"",AG576/BY576*100)</f>
        <v/>
      </c>
      <c r="AI576" s="41" t="str">
        <f aca="false">IF(AH576="","",IFERROR(MATCH(AH576,INDEX(Boundaries!$B$2:$I$30,MATCH(CM576,Boundaries!$A$2:$A$30,0),0),1)-1,""))</f>
        <v/>
      </c>
      <c r="AJ576" s="42" t="str">
        <f aca="false">IF(OR(AI576="",$E576=""),"",AI576-$E576)</f>
        <v/>
      </c>
      <c r="AK576" s="39"/>
      <c r="AL576" s="40" t="str">
        <f aca="false">IF(OR(AK576="",BZ576=""),"",AK576/BZ576*100)</f>
        <v/>
      </c>
      <c r="AM576" s="41" t="str">
        <f aca="false">IF(AL576="","",IFERROR(MATCH(AL576,INDEX(Boundaries!$B$2:$I$30,MATCH(CN576,Boundaries!$A$2:$A$30,0),0),1)-1,""))</f>
        <v/>
      </c>
      <c r="AN576" s="42" t="str">
        <f aca="false">IF(OR(AM576="",$E576=""),"",AM576-$E576)</f>
        <v/>
      </c>
      <c r="AO576" s="39"/>
      <c r="AP576" s="40" t="str">
        <f aca="false">IF(OR(AO576="",CA576=""),"",AO576/CA576*100)</f>
        <v/>
      </c>
      <c r="AQ576" s="41" t="str">
        <f aca="false">IF(AP576="","",IFERROR(MATCH(AP576,INDEX(Boundaries!$B$2:$I$30,MATCH(CO576,Boundaries!$A$2:$A$30,0),0),1)-1,""))</f>
        <v/>
      </c>
      <c r="AR576" s="42" t="str">
        <f aca="false">IF(OR(AQ576="",$E576=""),"",AQ576-$E576)</f>
        <v/>
      </c>
      <c r="AS576" s="39"/>
      <c r="AT576" s="40" t="str">
        <f aca="false">IF(OR(AS576="",CB576=""),"",AS576/CB576*100)</f>
        <v/>
      </c>
      <c r="AU576" s="41" t="str">
        <f aca="false">IF(AT576="","",IFERROR(MATCH(AT576,INDEX(Boundaries!$B$2:$I$30,MATCH(CP576,Boundaries!$A$2:$A$30,0),0),1)-1,""))</f>
        <v/>
      </c>
      <c r="AV576" s="42" t="str">
        <f aca="false">IF(OR(AU576="",$E576=""),"",AU576-$E576)</f>
        <v/>
      </c>
      <c r="AW576" s="39"/>
      <c r="AX576" s="40" t="str">
        <f aca="false">IF(OR(AW576="",CC576=""),"",AW576/CC576*100)</f>
        <v/>
      </c>
      <c r="AY576" s="41" t="str">
        <f aca="false">IF(AX576="","",IFERROR(MATCH(AX576,INDEX(Boundaries!$B$2:$I$30,MATCH(CQ576,Boundaries!$A$2:$A$30,0),0),1)-1,""))</f>
        <v/>
      </c>
      <c r="AZ576" s="42" t="str">
        <f aca="false">IF(OR(AY576="",$E576=""),"",AY576-$E576)</f>
        <v/>
      </c>
      <c r="BA576" s="39"/>
      <c r="BB576" s="40" t="str">
        <f aca="false">IF(OR(BA576="",CD576=""),"",BA576/CD576*100)</f>
        <v/>
      </c>
      <c r="BC576" s="41" t="str">
        <f aca="false">IF(BB576="","",IFERROR(MATCH(BB576,INDEX(Boundaries!$B$2:$I$30,MATCH(CR576,Boundaries!$A$2:$A$30,0),0),1)-1,""))</f>
        <v/>
      </c>
      <c r="BD576" s="42" t="str">
        <f aca="false">IF(OR(BC576="",$E576=""),"",BC576-$E576)</f>
        <v/>
      </c>
      <c r="BE576" s="39"/>
      <c r="BF576" s="40" t="str">
        <f aca="false">IF(OR(BE576="",CE576=""),"",BE576/CE576*100)</f>
        <v/>
      </c>
      <c r="BG576" s="41" t="str">
        <f aca="false">IF(BF576="","",IFERROR(MATCH(BF576,INDEX(Boundaries!$B$2:$I$30,MATCH(CS576,Boundaries!$A$2:$A$30,0),0),1)-1,""))</f>
        <v/>
      </c>
      <c r="BH576" s="42" t="str">
        <f aca="false">IF(OR(BG576="",$E576=""),"",BG576-$E576)</f>
        <v/>
      </c>
      <c r="BI576" s="39"/>
      <c r="BJ576" s="40" t="str">
        <f aca="false">IF(OR(BI576="",CF576=""),"",BI576/CF576*100)</f>
        <v/>
      </c>
      <c r="BK576" s="41" t="str">
        <f aca="false">IF(BJ576="","",IFERROR(MATCH(BJ576,INDEX(Boundaries!$B$2:$I$30,MATCH(CT576,Boundaries!$A$2:$A$30,0),0),1)-1,""))</f>
        <v/>
      </c>
      <c r="BL576" s="42" t="str">
        <f aca="false">IF(OR(BK576="",$E576=""),"",BK576-$E576)</f>
        <v/>
      </c>
      <c r="BM576" s="39"/>
      <c r="BN576" s="40" t="str">
        <f aca="false">IF(OR(BM576="",CG576=""),"",BM576/CG576*100)</f>
        <v/>
      </c>
      <c r="BO576" s="41" t="str">
        <f aca="false">IF(BN576="","",IFERROR(MATCH(BN576,INDEX(Boundaries!$B$2:$I$30,MATCH(CU576,Boundaries!$A$2:$A$30,0),0),1)-1,""))</f>
        <v/>
      </c>
      <c r="BP576" s="42" t="str">
        <f aca="false">IF(OR(BO576="",$E576=""),"",BO576-$E576)</f>
        <v/>
      </c>
      <c r="BQ576" s="39"/>
      <c r="BR576" s="40" t="str">
        <f aca="false">IF(OR(BQ576="",CH576=""),"",BQ576/CH576*100)</f>
        <v/>
      </c>
      <c r="BS576" s="41" t="str">
        <f aca="false">IF(BR576="","",IFERROR(MATCH(BR576,INDEX(Boundaries!$B$2:$I$30,MATCH(CV576,Boundaries!$A$2:$A$30,0),0),1)-1,""))</f>
        <v/>
      </c>
      <c r="BT576" s="42" t="str">
        <f aca="false">IF(OR(BS576="",$E576=""),"",BS576-$E576)</f>
        <v/>
      </c>
      <c r="BU576" s="28" t="str">
        <f aca="false">IFERROR(INDEX(Assessments!$H$2:$H$600,MATCH($H576&amp;"|"&amp;$I576&amp;"|"&amp;$J576&amp;"|"&amp;1,Assessments!$A$2:$A$600,0)),"")</f>
        <v/>
      </c>
      <c r="BV576" s="28" t="str">
        <f aca="false">IFERROR(INDEX(Assessments!$H$2:$H$600,MATCH($H576&amp;"|"&amp;$I576&amp;"|"&amp;$J576&amp;"|"&amp;2,Assessments!$A$2:$A$600,0)),"")</f>
        <v/>
      </c>
      <c r="BW576" s="28" t="str">
        <f aca="false">IFERROR(INDEX(Assessments!$H$2:$H$600,MATCH($H576&amp;"|"&amp;$I576&amp;"|"&amp;$J576&amp;"|"&amp;3,Assessments!$A$2:$A$600,0)),"")</f>
        <v/>
      </c>
      <c r="BX576" s="28" t="str">
        <f aca="false">IFERROR(INDEX(Assessments!$H$2:$H$600,MATCH($H576&amp;"|"&amp;$I576&amp;"|"&amp;$J576&amp;"|"&amp;4,Assessments!$A$2:$A$600,0)),"")</f>
        <v/>
      </c>
      <c r="BY576" s="28" t="str">
        <f aca="false">IFERROR(INDEX(Assessments!$H$2:$H$600,MATCH($H576&amp;"|"&amp;$I576&amp;"|"&amp;$J576&amp;"|"&amp;5,Assessments!$A$2:$A$600,0)),"")</f>
        <v/>
      </c>
      <c r="BZ576" s="28" t="str">
        <f aca="false">IFERROR(INDEX(Assessments!$H$2:$H$600,MATCH($H576&amp;"|"&amp;$I576&amp;"|"&amp;$J576&amp;"|"&amp;6,Assessments!$A$2:$A$600,0)),"")</f>
        <v/>
      </c>
      <c r="CA576" s="28" t="str">
        <f aca="false">IFERROR(INDEX(Assessments!$H$2:$H$600,MATCH($H576&amp;"|"&amp;$I576&amp;"|"&amp;$J576&amp;"|"&amp;7,Assessments!$A$2:$A$600,0)),"")</f>
        <v/>
      </c>
      <c r="CB576" s="28" t="str">
        <f aca="false">IFERROR(INDEX(Assessments!$H$2:$H$600,MATCH($H576&amp;"|"&amp;$I576&amp;"|"&amp;$J576&amp;"|"&amp;8,Assessments!$A$2:$A$600,0)),"")</f>
        <v/>
      </c>
      <c r="CC576" s="28" t="str">
        <f aca="false">IFERROR(INDEX(Assessments!$H$2:$H$600,MATCH($H576&amp;"|"&amp;$I576&amp;"|"&amp;$J576&amp;"|"&amp;9,Assessments!$A$2:$A$600,0)),"")</f>
        <v/>
      </c>
      <c r="CD576" s="28" t="str">
        <f aca="false">IFERROR(INDEX(Assessments!$H$2:$H$600,MATCH($H576&amp;"|"&amp;$I576&amp;"|"&amp;$J576&amp;"|"&amp;10,Assessments!$A$2:$A$600,0)),"")</f>
        <v/>
      </c>
      <c r="CE576" s="28" t="str">
        <f aca="false">IFERROR(INDEX(Assessments!$H$2:$H$600,MATCH($H576&amp;"|"&amp;$I576&amp;"|"&amp;$J576&amp;"|"&amp;11,Assessments!$A$2:$A$600,0)),"")</f>
        <v/>
      </c>
      <c r="CF576" s="28" t="str">
        <f aca="false">IFERROR(INDEX(Assessments!$H$2:$H$600,MATCH($H576&amp;"|"&amp;$I576&amp;"|"&amp;$J576&amp;"|"&amp;12,Assessments!$A$2:$A$600,0)),"")</f>
        <v/>
      </c>
      <c r="CG576" s="28" t="str">
        <f aca="false">IFERROR(INDEX(Assessments!$H$2:$H$600,MATCH($H576&amp;"|"&amp;$I576&amp;"|"&amp;$J576&amp;"|"&amp;13,Assessments!$A$2:$A$600,0)),"")</f>
        <v/>
      </c>
      <c r="CH576" s="28" t="str">
        <f aca="false">IFERROR(INDEX(Assessments!$H$2:$H$600,MATCH($H576&amp;"|"&amp;$I576&amp;"|"&amp;$J576&amp;"|"&amp;14,Assessments!$A$2:$A$600,0)),"")</f>
        <v/>
      </c>
      <c r="CI576" s="28" t="str">
        <f aca="false">IFERROR(INDEX(Assessments!$I$2:$I$600,MATCH($H576&amp;"|"&amp;$I576&amp;"|"&amp;$J576&amp;"|"&amp;1,Assessments!$A$2:$A$600,0)),"")</f>
        <v/>
      </c>
      <c r="CJ576" s="28" t="str">
        <f aca="false">IFERROR(INDEX(Assessments!$I$2:$I$600,MATCH($H576&amp;"|"&amp;$I576&amp;"|"&amp;$J576&amp;"|"&amp;2,Assessments!$A$2:$A$600,0)),"")</f>
        <v/>
      </c>
      <c r="CK576" s="28" t="str">
        <f aca="false">IFERROR(INDEX(Assessments!$I$2:$I$600,MATCH($H576&amp;"|"&amp;$I576&amp;"|"&amp;$J576&amp;"|"&amp;3,Assessments!$A$2:$A$600,0)),"")</f>
        <v/>
      </c>
      <c r="CL576" s="28" t="str">
        <f aca="false">IFERROR(INDEX(Assessments!$I$2:$I$600,MATCH($H576&amp;"|"&amp;$I576&amp;"|"&amp;$J576&amp;"|"&amp;4,Assessments!$A$2:$A$600,0)),"")</f>
        <v/>
      </c>
      <c r="CM576" s="28" t="str">
        <f aca="false">IFERROR(INDEX(Assessments!$I$2:$I$600,MATCH($H576&amp;"|"&amp;$I576&amp;"|"&amp;$J576&amp;"|"&amp;5,Assessments!$A$2:$A$600,0)),"")</f>
        <v/>
      </c>
      <c r="CN576" s="28" t="str">
        <f aca="false">IFERROR(INDEX(Assessments!$I$2:$I$600,MATCH($H576&amp;"|"&amp;$I576&amp;"|"&amp;$J576&amp;"|"&amp;6,Assessments!$A$2:$A$600,0)),"")</f>
        <v/>
      </c>
      <c r="CO576" s="28" t="str">
        <f aca="false">IFERROR(INDEX(Assessments!$I$2:$I$600,MATCH($H576&amp;"|"&amp;$I576&amp;"|"&amp;$J576&amp;"|"&amp;7,Assessments!$A$2:$A$600,0)),"")</f>
        <v/>
      </c>
      <c r="CP576" s="28" t="str">
        <f aca="false">IFERROR(INDEX(Assessments!$I$2:$I$600,MATCH($H576&amp;"|"&amp;$I576&amp;"|"&amp;$J576&amp;"|"&amp;8,Assessments!$A$2:$A$600,0)),"")</f>
        <v/>
      </c>
      <c r="CQ576" s="28" t="str">
        <f aca="false">IFERROR(INDEX(Assessments!$I$2:$I$600,MATCH($H576&amp;"|"&amp;$I576&amp;"|"&amp;$J576&amp;"|"&amp;9,Assessments!$A$2:$A$600,0)),"")</f>
        <v/>
      </c>
      <c r="CR576" s="28" t="str">
        <f aca="false">IFERROR(INDEX(Assessments!$I$2:$I$600,MATCH($H576&amp;"|"&amp;$I576&amp;"|"&amp;$J576&amp;"|"&amp;10,Assessments!$A$2:$A$600,0)),"")</f>
        <v/>
      </c>
      <c r="CS576" s="28" t="str">
        <f aca="false">IFERROR(INDEX(Assessments!$I$2:$I$600,MATCH($H576&amp;"|"&amp;$I576&amp;"|"&amp;$J576&amp;"|"&amp;11,Assessments!$A$2:$A$600,0)),"")</f>
        <v/>
      </c>
      <c r="CT576" s="28" t="str">
        <f aca="false">IFERROR(INDEX(Assessments!$I$2:$I$600,MATCH($H576&amp;"|"&amp;$I576&amp;"|"&amp;$J576&amp;"|"&amp;12,Assessments!$A$2:$A$600,0)),"")</f>
        <v/>
      </c>
      <c r="CU576" s="28" t="str">
        <f aca="false">IFERROR(INDEX(Assessments!$I$2:$I$600,MATCH($H576&amp;"|"&amp;$I576&amp;"|"&amp;$J576&amp;"|"&amp;13,Assessments!$A$2:$A$600,0)),"")</f>
        <v/>
      </c>
      <c r="CV576" s="28" t="str">
        <f aca="false">IFERROR(INDEX(Assessments!$I$2:$I$600,MATCH($H576&amp;"|"&amp;$I576&amp;"|"&amp;$J576&amp;"|"&amp;14,Assessments!$A$2:$A$600,0)),"")</f>
        <v/>
      </c>
      <c r="CW576" s="28" t="n">
        <f aca="false">IFERROR(INDEX(Assessments!$J$2:$J$600,MATCH($H576&amp;"|"&amp;$I576&amp;"|"&amp;$J576&amp;"|"&amp;1,Assessments!$A$2:$A$600,0)),0)</f>
        <v>0</v>
      </c>
      <c r="CX576" s="28" t="n">
        <f aca="false">IFERROR(INDEX(Assessments!$J$2:$J$600,MATCH($H576&amp;"|"&amp;$I576&amp;"|"&amp;$J576&amp;"|"&amp;2,Assessments!$A$2:$A$600,0)),0)</f>
        <v>0</v>
      </c>
      <c r="CY576" s="28" t="n">
        <f aca="false">IFERROR(INDEX(Assessments!$J$2:$J$600,MATCH($H576&amp;"|"&amp;$I576&amp;"|"&amp;$J576&amp;"|"&amp;3,Assessments!$A$2:$A$600,0)),0)</f>
        <v>0</v>
      </c>
      <c r="CZ576" s="28" t="n">
        <f aca="false">IFERROR(INDEX(Assessments!$J$2:$J$600,MATCH($H576&amp;"|"&amp;$I576&amp;"|"&amp;$J576&amp;"|"&amp;4,Assessments!$A$2:$A$600,0)),0)</f>
        <v>0</v>
      </c>
      <c r="DA576" s="28" t="n">
        <f aca="false">IFERROR(INDEX(Assessments!$J$2:$J$600,MATCH($H576&amp;"|"&amp;$I576&amp;"|"&amp;$J576&amp;"|"&amp;5,Assessments!$A$2:$A$600,0)),0)</f>
        <v>0</v>
      </c>
      <c r="DB576" s="28" t="n">
        <f aca="false">IFERROR(INDEX(Assessments!$J$2:$J$600,MATCH($H576&amp;"|"&amp;$I576&amp;"|"&amp;$J576&amp;"|"&amp;6,Assessments!$A$2:$A$600,0)),0)</f>
        <v>0</v>
      </c>
      <c r="DC576" s="28" t="n">
        <f aca="false">IFERROR(INDEX(Assessments!$J$2:$J$600,MATCH($H576&amp;"|"&amp;$I576&amp;"|"&amp;$J576&amp;"|"&amp;7,Assessments!$A$2:$A$600,0)),0)</f>
        <v>0</v>
      </c>
      <c r="DD576" s="28" t="n">
        <f aca="false">IFERROR(INDEX(Assessments!$J$2:$J$600,MATCH($H576&amp;"|"&amp;$I576&amp;"|"&amp;$J576&amp;"|"&amp;8,Assessments!$A$2:$A$600,0)),0)</f>
        <v>0</v>
      </c>
      <c r="DE576" s="28" t="n">
        <f aca="false">IFERROR(INDEX(Assessments!$J$2:$J$600,MATCH($H576&amp;"|"&amp;$I576&amp;"|"&amp;$J576&amp;"|"&amp;9,Assessments!$A$2:$A$600,0)),0)</f>
        <v>0</v>
      </c>
      <c r="DF576" s="28" t="n">
        <f aca="false">IFERROR(INDEX(Assessments!$J$2:$J$600,MATCH($H576&amp;"|"&amp;$I576&amp;"|"&amp;$J576&amp;"|"&amp;10,Assessments!$A$2:$A$600,0)),0)</f>
        <v>0</v>
      </c>
      <c r="DG576" s="28" t="n">
        <f aca="false">IFERROR(INDEX(Assessments!$J$2:$J$600,MATCH($H576&amp;"|"&amp;$I576&amp;"|"&amp;$J576&amp;"|"&amp;11,Assessments!$A$2:$A$600,0)),0)</f>
        <v>0</v>
      </c>
      <c r="DH576" s="28" t="n">
        <f aca="false">IFERROR(INDEX(Assessments!$J$2:$J$600,MATCH($H576&amp;"|"&amp;$I576&amp;"|"&amp;$J576&amp;"|"&amp;12,Assessments!$A$2:$A$600,0)),0)</f>
        <v>0</v>
      </c>
      <c r="DI576" s="28" t="n">
        <f aca="false">IFERROR(INDEX(Assessments!$J$2:$J$600,MATCH($H576&amp;"|"&amp;$I576&amp;"|"&amp;$J576&amp;"|"&amp;13,Assessments!$A$2:$A$600,0)),0)</f>
        <v>0</v>
      </c>
      <c r="DJ576" s="28" t="n">
        <f aca="false">IFERROR(INDEX(Assessments!$J$2:$J$600,MATCH($H576&amp;"|"&amp;$I576&amp;"|"&amp;$J576&amp;"|"&amp;14,Assessments!$A$2:$A$600,0)),0)</f>
        <v>0</v>
      </c>
      <c r="DK576" s="28" t="str">
        <f aca="false">S576</f>
        <v/>
      </c>
      <c r="DL576" s="28" t="str">
        <f aca="false">W576</f>
        <v/>
      </c>
      <c r="DM576" s="28" t="str">
        <f aca="false">AA576</f>
        <v/>
      </c>
      <c r="DN576" s="28" t="str">
        <f aca="false">AE576</f>
        <v/>
      </c>
      <c r="DO576" s="28" t="str">
        <f aca="false">AI576</f>
        <v/>
      </c>
      <c r="DP576" s="28" t="str">
        <f aca="false">AM576</f>
        <v/>
      </c>
      <c r="DQ576" s="28" t="str">
        <f aca="false">AQ576</f>
        <v/>
      </c>
      <c r="DR576" s="28" t="str">
        <f aca="false">AU576</f>
        <v/>
      </c>
      <c r="DS576" s="28" t="str">
        <f aca="false">AY576</f>
        <v/>
      </c>
      <c r="DT576" s="28" t="str">
        <f aca="false">BC576</f>
        <v/>
      </c>
      <c r="DU576" s="28" t="str">
        <f aca="false">BG576</f>
        <v/>
      </c>
      <c r="DV576" s="28" t="str">
        <f aca="false">BK576</f>
        <v/>
      </c>
      <c r="DW576" s="28" t="str">
        <f aca="false">BO576</f>
        <v/>
      </c>
      <c r="DX576" s="28" t="str">
        <f aca="false">BS576</f>
        <v/>
      </c>
      <c r="DY576" s="28" t="str">
        <f aca="false">IF(ISNUMBER(S576),1,"")</f>
        <v/>
      </c>
      <c r="DZ576" s="28" t="str">
        <f aca="false">IF(ISNUMBER(W576),2,"")</f>
        <v/>
      </c>
      <c r="EA576" s="28" t="str">
        <f aca="false">IF(ISNUMBER(AA576),3,"")</f>
        <v/>
      </c>
      <c r="EB576" s="28" t="str">
        <f aca="false">IF(ISNUMBER(AE576),4,"")</f>
        <v/>
      </c>
      <c r="EC576" s="28" t="str">
        <f aca="false">IF(ISNUMBER(AI576),5,"")</f>
        <v/>
      </c>
      <c r="ED576" s="28" t="str">
        <f aca="false">IF(ISNUMBER(AM576),6,"")</f>
        <v/>
      </c>
      <c r="EE576" s="28" t="str">
        <f aca="false">IF(ISNUMBER(AQ576),7,"")</f>
        <v/>
      </c>
      <c r="EF576" s="28" t="str">
        <f aca="false">IF(ISNUMBER(AU576),8,"")</f>
        <v/>
      </c>
      <c r="EG576" s="28" t="str">
        <f aca="false">IF(ISNUMBER(AY576),9,"")</f>
        <v/>
      </c>
      <c r="EH576" s="28" t="str">
        <f aca="false">IF(ISNUMBER(BC576),10,"")</f>
        <v/>
      </c>
      <c r="EI576" s="28" t="str">
        <f aca="false">IF(ISNUMBER(BG576),11,"")</f>
        <v/>
      </c>
      <c r="EJ576" s="28" t="str">
        <f aca="false">IF(ISNUMBER(BK576),12,"")</f>
        <v/>
      </c>
      <c r="EK576" s="28" t="str">
        <f aca="false">IF(ISNUMBER(BO576),13,"")</f>
        <v/>
      </c>
      <c r="EL576" s="28" t="str">
        <f aca="false">IF(ISNUMBER(BS576),14,"")</f>
        <v/>
      </c>
      <c r="EM576" s="28" t="n">
        <f aca="false">IF(ISNUMBER(R576),R576*CW576,0)</f>
        <v>0</v>
      </c>
      <c r="EN576" s="28" t="n">
        <f aca="false">IF(ISNUMBER(V576),V576*CX576,0)</f>
        <v>0</v>
      </c>
      <c r="EO576" s="28" t="n">
        <f aca="false">IF(ISNUMBER(Z576),Z576*CY576,0)</f>
        <v>0</v>
      </c>
      <c r="EP576" s="28" t="n">
        <f aca="false">IF(ISNUMBER(AD576),AD576*CZ576,0)</f>
        <v>0</v>
      </c>
      <c r="EQ576" s="28" t="n">
        <f aca="false">IF(ISNUMBER(AH576),AH576*DA576,0)</f>
        <v>0</v>
      </c>
      <c r="ER576" s="28" t="n">
        <f aca="false">IF(ISNUMBER(AL576),AL576*DB576,0)</f>
        <v>0</v>
      </c>
      <c r="ES576" s="28" t="n">
        <f aca="false">IF(ISNUMBER(AP576),AP576*DC576,0)</f>
        <v>0</v>
      </c>
      <c r="ET576" s="28" t="n">
        <f aca="false">IF(ISNUMBER(AT576),AT576*DD576,0)</f>
        <v>0</v>
      </c>
      <c r="EU576" s="28" t="n">
        <f aca="false">IF(ISNUMBER(AX576),AX576*DE576,0)</f>
        <v>0</v>
      </c>
      <c r="EV576" s="28" t="n">
        <f aca="false">IF(ISNUMBER(BB576),BB576*DF576,0)</f>
        <v>0</v>
      </c>
      <c r="EW576" s="28" t="n">
        <f aca="false">IF(ISNUMBER(BF576),BF576*DG576,0)</f>
        <v>0</v>
      </c>
      <c r="EX576" s="28" t="n">
        <f aca="false">IF(ISNUMBER(BJ576),BJ576*DH576,0)</f>
        <v>0</v>
      </c>
      <c r="EY576" s="28" t="n">
        <f aca="false">IF(ISNUMBER(BN576),BN576*DI576,0)</f>
        <v>0</v>
      </c>
      <c r="EZ576" s="28" t="n">
        <f aca="false">IF(ISNUMBER(BR576),BR576*DJ576,0)</f>
        <v>0</v>
      </c>
      <c r="FA576" s="28" t="n">
        <f aca="false">IF(ISNUMBER(R576),CW576,0)</f>
        <v>0</v>
      </c>
      <c r="FB576" s="28" t="n">
        <f aca="false">IF(ISNUMBER(V576),CX576,0)</f>
        <v>0</v>
      </c>
      <c r="FC576" s="28" t="n">
        <f aca="false">IF(ISNUMBER(Z576),CY576,0)</f>
        <v>0</v>
      </c>
      <c r="FD576" s="28" t="n">
        <f aca="false">IF(ISNUMBER(AD576),CZ576,0)</f>
        <v>0</v>
      </c>
      <c r="FE576" s="28" t="n">
        <f aca="false">IF(ISNUMBER(AH576),DA576,0)</f>
        <v>0</v>
      </c>
      <c r="FF576" s="28" t="n">
        <f aca="false">IF(ISNUMBER(AL576),DB576,0)</f>
        <v>0</v>
      </c>
      <c r="FG576" s="28" t="n">
        <f aca="false">IF(ISNUMBER(AP576),DC576,0)</f>
        <v>0</v>
      </c>
      <c r="FH576" s="28" t="n">
        <f aca="false">IF(ISNUMBER(AT576),DD576,0)</f>
        <v>0</v>
      </c>
      <c r="FI576" s="28" t="n">
        <f aca="false">IF(ISNUMBER(AX576),DE576,0)</f>
        <v>0</v>
      </c>
      <c r="FJ576" s="28" t="n">
        <f aca="false">IF(ISNUMBER(BB576),DF576,0)</f>
        <v>0</v>
      </c>
      <c r="FK576" s="28" t="n">
        <f aca="false">IF(ISNUMBER(BF576),DG576,0)</f>
        <v>0</v>
      </c>
      <c r="FL576" s="28" t="n">
        <f aca="false">IF(ISNUMBER(BJ576),DH576,0)</f>
        <v>0</v>
      </c>
      <c r="FM576" s="28" t="n">
        <f aca="false">IF(ISNUMBER(BN576),DI576,0)</f>
        <v>0</v>
      </c>
      <c r="FN576" s="28" t="n">
        <f aca="false">IF(ISNUMBER(BR576),DJ576,0)</f>
        <v>0</v>
      </c>
      <c r="FO576" s="28" t="str">
        <f aca="false">IFERROR(INDEX(Lists!$G$2:$G$20,MATCH($I576&amp;"|"&amp;$J576,Lists!$F$2:$F$20,0)),"")</f>
        <v/>
      </c>
    </row>
    <row r="577" customFormat="false" ht="19.5" hidden="false" customHeight="true" outlineLevel="0" collapsed="false">
      <c r="A577" s="29"/>
      <c r="B577" s="29"/>
      <c r="C577" s="30"/>
      <c r="D577" s="30"/>
      <c r="E577" s="31"/>
      <c r="F577" s="30"/>
      <c r="G577" s="30"/>
      <c r="H577" s="32"/>
      <c r="I577" s="33"/>
      <c r="J577" s="32"/>
      <c r="K577" s="34" t="str">
        <f aca="false">IF(OR(M577="",$E577=""),"",M577-$E577)</f>
        <v/>
      </c>
      <c r="L577" s="35" t="str">
        <f aca="false">IF(SUM(FA577:FN577)=0,"",SUM(EM577:EZ577)/SUM(FA577:FN577))</f>
        <v/>
      </c>
      <c r="M577" s="36" t="str">
        <f aca="false">IF(OR(L577="",FO577=""),"",IFERROR(MATCH(L577,INDEX(Boundaries!$B$2:$I$30,MATCH(FO577,Boundaries!$A$2:$A$30,0),0),1)-1,""))</f>
        <v/>
      </c>
      <c r="N577" s="37" t="str">
        <f aca="false">IF(COUNT($DY577:$EL577)&lt;2,"",INDEX($DK577:$DX577,MAX($DY577:$EL577))-INDEX($DK577:$DX577,MIN($DY577:$EL577)))</f>
        <v/>
      </c>
      <c r="O577" s="37" t="str">
        <f aca="false">IF(COUNT($DY577:$EL577)&lt;2,"",INDEX($DK577:$DX577,MAX($DY577:$EL577))-INDEX($DK577:$DX577,LARGE($DY577:$EL577,2)))</f>
        <v/>
      </c>
      <c r="P577" s="38" t="str">
        <f aca="false">IF(K577="","",IF(K577&gt;=0,"On/above target",IF(AND(N577&lt;&gt;"",N577&gt;=0.5),"Improving towards target",IF(AND(O577&lt;&gt;"",O577&lt;=-0.5),"Declining","Stable below target"))))</f>
        <v/>
      </c>
      <c r="Q577" s="39"/>
      <c r="R577" s="40" t="str">
        <f aca="false">IF(OR(Q577="",BU577=""),"",Q577/BU577*100)</f>
        <v/>
      </c>
      <c r="S577" s="41" t="str">
        <f aca="false">IF(R577="","",IFERROR(MATCH(R577,INDEX(Boundaries!$B$2:$I$30,MATCH(CI577,Boundaries!$A$2:$A$30,0),0),1)-1,""))</f>
        <v/>
      </c>
      <c r="T577" s="42" t="str">
        <f aca="false">IF(OR(S577="",$E577=""),"",S577-$E577)</f>
        <v/>
      </c>
      <c r="U577" s="39"/>
      <c r="V577" s="40" t="str">
        <f aca="false">IF(OR(U577="",BV577=""),"",U577/BV577*100)</f>
        <v/>
      </c>
      <c r="W577" s="41" t="str">
        <f aca="false">IF(V577="","",IFERROR(MATCH(V577,INDEX(Boundaries!$B$2:$I$30,MATCH(CJ577,Boundaries!$A$2:$A$30,0),0),1)-1,""))</f>
        <v/>
      </c>
      <c r="X577" s="42" t="str">
        <f aca="false">IF(OR(W577="",$E577=""),"",W577-$E577)</f>
        <v/>
      </c>
      <c r="Y577" s="39"/>
      <c r="Z577" s="40" t="str">
        <f aca="false">IF(OR(Y577="",BW577=""),"",Y577/BW577*100)</f>
        <v/>
      </c>
      <c r="AA577" s="41" t="str">
        <f aca="false">IF(Z577="","",IFERROR(MATCH(Z577,INDEX(Boundaries!$B$2:$I$30,MATCH(CK577,Boundaries!$A$2:$A$30,0),0),1)-1,""))</f>
        <v/>
      </c>
      <c r="AB577" s="42" t="str">
        <f aca="false">IF(OR(AA577="",$E577=""),"",AA577-$E577)</f>
        <v/>
      </c>
      <c r="AC577" s="39"/>
      <c r="AD577" s="40" t="str">
        <f aca="false">IF(OR(AC577="",BX577=""),"",AC577/BX577*100)</f>
        <v/>
      </c>
      <c r="AE577" s="41" t="str">
        <f aca="false">IF(AD577="","",IFERROR(MATCH(AD577,INDEX(Boundaries!$B$2:$I$30,MATCH(CL577,Boundaries!$A$2:$A$30,0),0),1)-1,""))</f>
        <v/>
      </c>
      <c r="AF577" s="42" t="str">
        <f aca="false">IF(OR(AE577="",$E577=""),"",AE577-$E577)</f>
        <v/>
      </c>
      <c r="AG577" s="39"/>
      <c r="AH577" s="40" t="str">
        <f aca="false">IF(OR(AG577="",BY577=""),"",AG577/BY577*100)</f>
        <v/>
      </c>
      <c r="AI577" s="41" t="str">
        <f aca="false">IF(AH577="","",IFERROR(MATCH(AH577,INDEX(Boundaries!$B$2:$I$30,MATCH(CM577,Boundaries!$A$2:$A$30,0),0),1)-1,""))</f>
        <v/>
      </c>
      <c r="AJ577" s="42" t="str">
        <f aca="false">IF(OR(AI577="",$E577=""),"",AI577-$E577)</f>
        <v/>
      </c>
      <c r="AK577" s="39"/>
      <c r="AL577" s="40" t="str">
        <f aca="false">IF(OR(AK577="",BZ577=""),"",AK577/BZ577*100)</f>
        <v/>
      </c>
      <c r="AM577" s="41" t="str">
        <f aca="false">IF(AL577="","",IFERROR(MATCH(AL577,INDEX(Boundaries!$B$2:$I$30,MATCH(CN577,Boundaries!$A$2:$A$30,0),0),1)-1,""))</f>
        <v/>
      </c>
      <c r="AN577" s="42" t="str">
        <f aca="false">IF(OR(AM577="",$E577=""),"",AM577-$E577)</f>
        <v/>
      </c>
      <c r="AO577" s="39"/>
      <c r="AP577" s="40" t="str">
        <f aca="false">IF(OR(AO577="",CA577=""),"",AO577/CA577*100)</f>
        <v/>
      </c>
      <c r="AQ577" s="41" t="str">
        <f aca="false">IF(AP577="","",IFERROR(MATCH(AP577,INDEX(Boundaries!$B$2:$I$30,MATCH(CO577,Boundaries!$A$2:$A$30,0),0),1)-1,""))</f>
        <v/>
      </c>
      <c r="AR577" s="42" t="str">
        <f aca="false">IF(OR(AQ577="",$E577=""),"",AQ577-$E577)</f>
        <v/>
      </c>
      <c r="AS577" s="39"/>
      <c r="AT577" s="40" t="str">
        <f aca="false">IF(OR(AS577="",CB577=""),"",AS577/CB577*100)</f>
        <v/>
      </c>
      <c r="AU577" s="41" t="str">
        <f aca="false">IF(AT577="","",IFERROR(MATCH(AT577,INDEX(Boundaries!$B$2:$I$30,MATCH(CP577,Boundaries!$A$2:$A$30,0),0),1)-1,""))</f>
        <v/>
      </c>
      <c r="AV577" s="42" t="str">
        <f aca="false">IF(OR(AU577="",$E577=""),"",AU577-$E577)</f>
        <v/>
      </c>
      <c r="AW577" s="39"/>
      <c r="AX577" s="40" t="str">
        <f aca="false">IF(OR(AW577="",CC577=""),"",AW577/CC577*100)</f>
        <v/>
      </c>
      <c r="AY577" s="41" t="str">
        <f aca="false">IF(AX577="","",IFERROR(MATCH(AX577,INDEX(Boundaries!$B$2:$I$30,MATCH(CQ577,Boundaries!$A$2:$A$30,0),0),1)-1,""))</f>
        <v/>
      </c>
      <c r="AZ577" s="42" t="str">
        <f aca="false">IF(OR(AY577="",$E577=""),"",AY577-$E577)</f>
        <v/>
      </c>
      <c r="BA577" s="39"/>
      <c r="BB577" s="40" t="str">
        <f aca="false">IF(OR(BA577="",CD577=""),"",BA577/CD577*100)</f>
        <v/>
      </c>
      <c r="BC577" s="41" t="str">
        <f aca="false">IF(BB577="","",IFERROR(MATCH(BB577,INDEX(Boundaries!$B$2:$I$30,MATCH(CR577,Boundaries!$A$2:$A$30,0),0),1)-1,""))</f>
        <v/>
      </c>
      <c r="BD577" s="42" t="str">
        <f aca="false">IF(OR(BC577="",$E577=""),"",BC577-$E577)</f>
        <v/>
      </c>
      <c r="BE577" s="39"/>
      <c r="BF577" s="40" t="str">
        <f aca="false">IF(OR(BE577="",CE577=""),"",BE577/CE577*100)</f>
        <v/>
      </c>
      <c r="BG577" s="41" t="str">
        <f aca="false">IF(BF577="","",IFERROR(MATCH(BF577,INDEX(Boundaries!$B$2:$I$30,MATCH(CS577,Boundaries!$A$2:$A$30,0),0),1)-1,""))</f>
        <v/>
      </c>
      <c r="BH577" s="42" t="str">
        <f aca="false">IF(OR(BG577="",$E577=""),"",BG577-$E577)</f>
        <v/>
      </c>
      <c r="BI577" s="39"/>
      <c r="BJ577" s="40" t="str">
        <f aca="false">IF(OR(BI577="",CF577=""),"",BI577/CF577*100)</f>
        <v/>
      </c>
      <c r="BK577" s="41" t="str">
        <f aca="false">IF(BJ577="","",IFERROR(MATCH(BJ577,INDEX(Boundaries!$B$2:$I$30,MATCH(CT577,Boundaries!$A$2:$A$30,0),0),1)-1,""))</f>
        <v/>
      </c>
      <c r="BL577" s="42" t="str">
        <f aca="false">IF(OR(BK577="",$E577=""),"",BK577-$E577)</f>
        <v/>
      </c>
      <c r="BM577" s="39"/>
      <c r="BN577" s="40" t="str">
        <f aca="false">IF(OR(BM577="",CG577=""),"",BM577/CG577*100)</f>
        <v/>
      </c>
      <c r="BO577" s="41" t="str">
        <f aca="false">IF(BN577="","",IFERROR(MATCH(BN577,INDEX(Boundaries!$B$2:$I$30,MATCH(CU577,Boundaries!$A$2:$A$30,0),0),1)-1,""))</f>
        <v/>
      </c>
      <c r="BP577" s="42" t="str">
        <f aca="false">IF(OR(BO577="",$E577=""),"",BO577-$E577)</f>
        <v/>
      </c>
      <c r="BQ577" s="39"/>
      <c r="BR577" s="40" t="str">
        <f aca="false">IF(OR(BQ577="",CH577=""),"",BQ577/CH577*100)</f>
        <v/>
      </c>
      <c r="BS577" s="41" t="str">
        <f aca="false">IF(BR577="","",IFERROR(MATCH(BR577,INDEX(Boundaries!$B$2:$I$30,MATCH(CV577,Boundaries!$A$2:$A$30,0),0),1)-1,""))</f>
        <v/>
      </c>
      <c r="BT577" s="42" t="str">
        <f aca="false">IF(OR(BS577="",$E577=""),"",BS577-$E577)</f>
        <v/>
      </c>
      <c r="BU577" s="28" t="str">
        <f aca="false">IFERROR(INDEX(Assessments!$H$2:$H$600,MATCH($H577&amp;"|"&amp;$I577&amp;"|"&amp;$J577&amp;"|"&amp;1,Assessments!$A$2:$A$600,0)),"")</f>
        <v/>
      </c>
      <c r="BV577" s="28" t="str">
        <f aca="false">IFERROR(INDEX(Assessments!$H$2:$H$600,MATCH($H577&amp;"|"&amp;$I577&amp;"|"&amp;$J577&amp;"|"&amp;2,Assessments!$A$2:$A$600,0)),"")</f>
        <v/>
      </c>
      <c r="BW577" s="28" t="str">
        <f aca="false">IFERROR(INDEX(Assessments!$H$2:$H$600,MATCH($H577&amp;"|"&amp;$I577&amp;"|"&amp;$J577&amp;"|"&amp;3,Assessments!$A$2:$A$600,0)),"")</f>
        <v/>
      </c>
      <c r="BX577" s="28" t="str">
        <f aca="false">IFERROR(INDEX(Assessments!$H$2:$H$600,MATCH($H577&amp;"|"&amp;$I577&amp;"|"&amp;$J577&amp;"|"&amp;4,Assessments!$A$2:$A$600,0)),"")</f>
        <v/>
      </c>
      <c r="BY577" s="28" t="str">
        <f aca="false">IFERROR(INDEX(Assessments!$H$2:$H$600,MATCH($H577&amp;"|"&amp;$I577&amp;"|"&amp;$J577&amp;"|"&amp;5,Assessments!$A$2:$A$600,0)),"")</f>
        <v/>
      </c>
      <c r="BZ577" s="28" t="str">
        <f aca="false">IFERROR(INDEX(Assessments!$H$2:$H$600,MATCH($H577&amp;"|"&amp;$I577&amp;"|"&amp;$J577&amp;"|"&amp;6,Assessments!$A$2:$A$600,0)),"")</f>
        <v/>
      </c>
      <c r="CA577" s="28" t="str">
        <f aca="false">IFERROR(INDEX(Assessments!$H$2:$H$600,MATCH($H577&amp;"|"&amp;$I577&amp;"|"&amp;$J577&amp;"|"&amp;7,Assessments!$A$2:$A$600,0)),"")</f>
        <v/>
      </c>
      <c r="CB577" s="28" t="str">
        <f aca="false">IFERROR(INDEX(Assessments!$H$2:$H$600,MATCH($H577&amp;"|"&amp;$I577&amp;"|"&amp;$J577&amp;"|"&amp;8,Assessments!$A$2:$A$600,0)),"")</f>
        <v/>
      </c>
      <c r="CC577" s="28" t="str">
        <f aca="false">IFERROR(INDEX(Assessments!$H$2:$H$600,MATCH($H577&amp;"|"&amp;$I577&amp;"|"&amp;$J577&amp;"|"&amp;9,Assessments!$A$2:$A$600,0)),"")</f>
        <v/>
      </c>
      <c r="CD577" s="28" t="str">
        <f aca="false">IFERROR(INDEX(Assessments!$H$2:$H$600,MATCH($H577&amp;"|"&amp;$I577&amp;"|"&amp;$J577&amp;"|"&amp;10,Assessments!$A$2:$A$600,0)),"")</f>
        <v/>
      </c>
      <c r="CE577" s="28" t="str">
        <f aca="false">IFERROR(INDEX(Assessments!$H$2:$H$600,MATCH($H577&amp;"|"&amp;$I577&amp;"|"&amp;$J577&amp;"|"&amp;11,Assessments!$A$2:$A$600,0)),"")</f>
        <v/>
      </c>
      <c r="CF577" s="28" t="str">
        <f aca="false">IFERROR(INDEX(Assessments!$H$2:$H$600,MATCH($H577&amp;"|"&amp;$I577&amp;"|"&amp;$J577&amp;"|"&amp;12,Assessments!$A$2:$A$600,0)),"")</f>
        <v/>
      </c>
      <c r="CG577" s="28" t="str">
        <f aca="false">IFERROR(INDEX(Assessments!$H$2:$H$600,MATCH($H577&amp;"|"&amp;$I577&amp;"|"&amp;$J577&amp;"|"&amp;13,Assessments!$A$2:$A$600,0)),"")</f>
        <v/>
      </c>
      <c r="CH577" s="28" t="str">
        <f aca="false">IFERROR(INDEX(Assessments!$H$2:$H$600,MATCH($H577&amp;"|"&amp;$I577&amp;"|"&amp;$J577&amp;"|"&amp;14,Assessments!$A$2:$A$600,0)),"")</f>
        <v/>
      </c>
      <c r="CI577" s="28" t="str">
        <f aca="false">IFERROR(INDEX(Assessments!$I$2:$I$600,MATCH($H577&amp;"|"&amp;$I577&amp;"|"&amp;$J577&amp;"|"&amp;1,Assessments!$A$2:$A$600,0)),"")</f>
        <v/>
      </c>
      <c r="CJ577" s="28" t="str">
        <f aca="false">IFERROR(INDEX(Assessments!$I$2:$I$600,MATCH($H577&amp;"|"&amp;$I577&amp;"|"&amp;$J577&amp;"|"&amp;2,Assessments!$A$2:$A$600,0)),"")</f>
        <v/>
      </c>
      <c r="CK577" s="28" t="str">
        <f aca="false">IFERROR(INDEX(Assessments!$I$2:$I$600,MATCH($H577&amp;"|"&amp;$I577&amp;"|"&amp;$J577&amp;"|"&amp;3,Assessments!$A$2:$A$600,0)),"")</f>
        <v/>
      </c>
      <c r="CL577" s="28" t="str">
        <f aca="false">IFERROR(INDEX(Assessments!$I$2:$I$600,MATCH($H577&amp;"|"&amp;$I577&amp;"|"&amp;$J577&amp;"|"&amp;4,Assessments!$A$2:$A$600,0)),"")</f>
        <v/>
      </c>
      <c r="CM577" s="28" t="str">
        <f aca="false">IFERROR(INDEX(Assessments!$I$2:$I$600,MATCH($H577&amp;"|"&amp;$I577&amp;"|"&amp;$J577&amp;"|"&amp;5,Assessments!$A$2:$A$600,0)),"")</f>
        <v/>
      </c>
      <c r="CN577" s="28" t="str">
        <f aca="false">IFERROR(INDEX(Assessments!$I$2:$I$600,MATCH($H577&amp;"|"&amp;$I577&amp;"|"&amp;$J577&amp;"|"&amp;6,Assessments!$A$2:$A$600,0)),"")</f>
        <v/>
      </c>
      <c r="CO577" s="28" t="str">
        <f aca="false">IFERROR(INDEX(Assessments!$I$2:$I$600,MATCH($H577&amp;"|"&amp;$I577&amp;"|"&amp;$J577&amp;"|"&amp;7,Assessments!$A$2:$A$600,0)),"")</f>
        <v/>
      </c>
      <c r="CP577" s="28" t="str">
        <f aca="false">IFERROR(INDEX(Assessments!$I$2:$I$600,MATCH($H577&amp;"|"&amp;$I577&amp;"|"&amp;$J577&amp;"|"&amp;8,Assessments!$A$2:$A$600,0)),"")</f>
        <v/>
      </c>
      <c r="CQ577" s="28" t="str">
        <f aca="false">IFERROR(INDEX(Assessments!$I$2:$I$600,MATCH($H577&amp;"|"&amp;$I577&amp;"|"&amp;$J577&amp;"|"&amp;9,Assessments!$A$2:$A$600,0)),"")</f>
        <v/>
      </c>
      <c r="CR577" s="28" t="str">
        <f aca="false">IFERROR(INDEX(Assessments!$I$2:$I$600,MATCH($H577&amp;"|"&amp;$I577&amp;"|"&amp;$J577&amp;"|"&amp;10,Assessments!$A$2:$A$600,0)),"")</f>
        <v/>
      </c>
      <c r="CS577" s="28" t="str">
        <f aca="false">IFERROR(INDEX(Assessments!$I$2:$I$600,MATCH($H577&amp;"|"&amp;$I577&amp;"|"&amp;$J577&amp;"|"&amp;11,Assessments!$A$2:$A$600,0)),"")</f>
        <v/>
      </c>
      <c r="CT577" s="28" t="str">
        <f aca="false">IFERROR(INDEX(Assessments!$I$2:$I$600,MATCH($H577&amp;"|"&amp;$I577&amp;"|"&amp;$J577&amp;"|"&amp;12,Assessments!$A$2:$A$600,0)),"")</f>
        <v/>
      </c>
      <c r="CU577" s="28" t="str">
        <f aca="false">IFERROR(INDEX(Assessments!$I$2:$I$600,MATCH($H577&amp;"|"&amp;$I577&amp;"|"&amp;$J577&amp;"|"&amp;13,Assessments!$A$2:$A$600,0)),"")</f>
        <v/>
      </c>
      <c r="CV577" s="28" t="str">
        <f aca="false">IFERROR(INDEX(Assessments!$I$2:$I$600,MATCH($H577&amp;"|"&amp;$I577&amp;"|"&amp;$J577&amp;"|"&amp;14,Assessments!$A$2:$A$600,0)),"")</f>
        <v/>
      </c>
      <c r="CW577" s="28" t="n">
        <f aca="false">IFERROR(INDEX(Assessments!$J$2:$J$600,MATCH($H577&amp;"|"&amp;$I577&amp;"|"&amp;$J577&amp;"|"&amp;1,Assessments!$A$2:$A$600,0)),0)</f>
        <v>0</v>
      </c>
      <c r="CX577" s="28" t="n">
        <f aca="false">IFERROR(INDEX(Assessments!$J$2:$J$600,MATCH($H577&amp;"|"&amp;$I577&amp;"|"&amp;$J577&amp;"|"&amp;2,Assessments!$A$2:$A$600,0)),0)</f>
        <v>0</v>
      </c>
      <c r="CY577" s="28" t="n">
        <f aca="false">IFERROR(INDEX(Assessments!$J$2:$J$600,MATCH($H577&amp;"|"&amp;$I577&amp;"|"&amp;$J577&amp;"|"&amp;3,Assessments!$A$2:$A$600,0)),0)</f>
        <v>0</v>
      </c>
      <c r="CZ577" s="28" t="n">
        <f aca="false">IFERROR(INDEX(Assessments!$J$2:$J$600,MATCH($H577&amp;"|"&amp;$I577&amp;"|"&amp;$J577&amp;"|"&amp;4,Assessments!$A$2:$A$600,0)),0)</f>
        <v>0</v>
      </c>
      <c r="DA577" s="28" t="n">
        <f aca="false">IFERROR(INDEX(Assessments!$J$2:$J$600,MATCH($H577&amp;"|"&amp;$I577&amp;"|"&amp;$J577&amp;"|"&amp;5,Assessments!$A$2:$A$600,0)),0)</f>
        <v>0</v>
      </c>
      <c r="DB577" s="28" t="n">
        <f aca="false">IFERROR(INDEX(Assessments!$J$2:$J$600,MATCH($H577&amp;"|"&amp;$I577&amp;"|"&amp;$J577&amp;"|"&amp;6,Assessments!$A$2:$A$600,0)),0)</f>
        <v>0</v>
      </c>
      <c r="DC577" s="28" t="n">
        <f aca="false">IFERROR(INDEX(Assessments!$J$2:$J$600,MATCH($H577&amp;"|"&amp;$I577&amp;"|"&amp;$J577&amp;"|"&amp;7,Assessments!$A$2:$A$600,0)),0)</f>
        <v>0</v>
      </c>
      <c r="DD577" s="28" t="n">
        <f aca="false">IFERROR(INDEX(Assessments!$J$2:$J$600,MATCH($H577&amp;"|"&amp;$I577&amp;"|"&amp;$J577&amp;"|"&amp;8,Assessments!$A$2:$A$600,0)),0)</f>
        <v>0</v>
      </c>
      <c r="DE577" s="28" t="n">
        <f aca="false">IFERROR(INDEX(Assessments!$J$2:$J$600,MATCH($H577&amp;"|"&amp;$I577&amp;"|"&amp;$J577&amp;"|"&amp;9,Assessments!$A$2:$A$600,0)),0)</f>
        <v>0</v>
      </c>
      <c r="DF577" s="28" t="n">
        <f aca="false">IFERROR(INDEX(Assessments!$J$2:$J$600,MATCH($H577&amp;"|"&amp;$I577&amp;"|"&amp;$J577&amp;"|"&amp;10,Assessments!$A$2:$A$600,0)),0)</f>
        <v>0</v>
      </c>
      <c r="DG577" s="28" t="n">
        <f aca="false">IFERROR(INDEX(Assessments!$J$2:$J$600,MATCH($H577&amp;"|"&amp;$I577&amp;"|"&amp;$J577&amp;"|"&amp;11,Assessments!$A$2:$A$600,0)),0)</f>
        <v>0</v>
      </c>
      <c r="DH577" s="28" t="n">
        <f aca="false">IFERROR(INDEX(Assessments!$J$2:$J$600,MATCH($H577&amp;"|"&amp;$I577&amp;"|"&amp;$J577&amp;"|"&amp;12,Assessments!$A$2:$A$600,0)),0)</f>
        <v>0</v>
      </c>
      <c r="DI577" s="28" t="n">
        <f aca="false">IFERROR(INDEX(Assessments!$J$2:$J$600,MATCH($H577&amp;"|"&amp;$I577&amp;"|"&amp;$J577&amp;"|"&amp;13,Assessments!$A$2:$A$600,0)),0)</f>
        <v>0</v>
      </c>
      <c r="DJ577" s="28" t="n">
        <f aca="false">IFERROR(INDEX(Assessments!$J$2:$J$600,MATCH($H577&amp;"|"&amp;$I577&amp;"|"&amp;$J577&amp;"|"&amp;14,Assessments!$A$2:$A$600,0)),0)</f>
        <v>0</v>
      </c>
      <c r="DK577" s="28" t="str">
        <f aca="false">S577</f>
        <v/>
      </c>
      <c r="DL577" s="28" t="str">
        <f aca="false">W577</f>
        <v/>
      </c>
      <c r="DM577" s="28" t="str">
        <f aca="false">AA577</f>
        <v/>
      </c>
      <c r="DN577" s="28" t="str">
        <f aca="false">AE577</f>
        <v/>
      </c>
      <c r="DO577" s="28" t="str">
        <f aca="false">AI577</f>
        <v/>
      </c>
      <c r="DP577" s="28" t="str">
        <f aca="false">AM577</f>
        <v/>
      </c>
      <c r="DQ577" s="28" t="str">
        <f aca="false">AQ577</f>
        <v/>
      </c>
      <c r="DR577" s="28" t="str">
        <f aca="false">AU577</f>
        <v/>
      </c>
      <c r="DS577" s="28" t="str">
        <f aca="false">AY577</f>
        <v/>
      </c>
      <c r="DT577" s="28" t="str">
        <f aca="false">BC577</f>
        <v/>
      </c>
      <c r="DU577" s="28" t="str">
        <f aca="false">BG577</f>
        <v/>
      </c>
      <c r="DV577" s="28" t="str">
        <f aca="false">BK577</f>
        <v/>
      </c>
      <c r="DW577" s="28" t="str">
        <f aca="false">BO577</f>
        <v/>
      </c>
      <c r="DX577" s="28" t="str">
        <f aca="false">BS577</f>
        <v/>
      </c>
      <c r="DY577" s="28" t="str">
        <f aca="false">IF(ISNUMBER(S577),1,"")</f>
        <v/>
      </c>
      <c r="DZ577" s="28" t="str">
        <f aca="false">IF(ISNUMBER(W577),2,"")</f>
        <v/>
      </c>
      <c r="EA577" s="28" t="str">
        <f aca="false">IF(ISNUMBER(AA577),3,"")</f>
        <v/>
      </c>
      <c r="EB577" s="28" t="str">
        <f aca="false">IF(ISNUMBER(AE577),4,"")</f>
        <v/>
      </c>
      <c r="EC577" s="28" t="str">
        <f aca="false">IF(ISNUMBER(AI577),5,"")</f>
        <v/>
      </c>
      <c r="ED577" s="28" t="str">
        <f aca="false">IF(ISNUMBER(AM577),6,"")</f>
        <v/>
      </c>
      <c r="EE577" s="28" t="str">
        <f aca="false">IF(ISNUMBER(AQ577),7,"")</f>
        <v/>
      </c>
      <c r="EF577" s="28" t="str">
        <f aca="false">IF(ISNUMBER(AU577),8,"")</f>
        <v/>
      </c>
      <c r="EG577" s="28" t="str">
        <f aca="false">IF(ISNUMBER(AY577),9,"")</f>
        <v/>
      </c>
      <c r="EH577" s="28" t="str">
        <f aca="false">IF(ISNUMBER(BC577),10,"")</f>
        <v/>
      </c>
      <c r="EI577" s="28" t="str">
        <f aca="false">IF(ISNUMBER(BG577),11,"")</f>
        <v/>
      </c>
      <c r="EJ577" s="28" t="str">
        <f aca="false">IF(ISNUMBER(BK577),12,"")</f>
        <v/>
      </c>
      <c r="EK577" s="28" t="str">
        <f aca="false">IF(ISNUMBER(BO577),13,"")</f>
        <v/>
      </c>
      <c r="EL577" s="28" t="str">
        <f aca="false">IF(ISNUMBER(BS577),14,"")</f>
        <v/>
      </c>
      <c r="EM577" s="28" t="n">
        <f aca="false">IF(ISNUMBER(R577),R577*CW577,0)</f>
        <v>0</v>
      </c>
      <c r="EN577" s="28" t="n">
        <f aca="false">IF(ISNUMBER(V577),V577*CX577,0)</f>
        <v>0</v>
      </c>
      <c r="EO577" s="28" t="n">
        <f aca="false">IF(ISNUMBER(Z577),Z577*CY577,0)</f>
        <v>0</v>
      </c>
      <c r="EP577" s="28" t="n">
        <f aca="false">IF(ISNUMBER(AD577),AD577*CZ577,0)</f>
        <v>0</v>
      </c>
      <c r="EQ577" s="28" t="n">
        <f aca="false">IF(ISNUMBER(AH577),AH577*DA577,0)</f>
        <v>0</v>
      </c>
      <c r="ER577" s="28" t="n">
        <f aca="false">IF(ISNUMBER(AL577),AL577*DB577,0)</f>
        <v>0</v>
      </c>
      <c r="ES577" s="28" t="n">
        <f aca="false">IF(ISNUMBER(AP577),AP577*DC577,0)</f>
        <v>0</v>
      </c>
      <c r="ET577" s="28" t="n">
        <f aca="false">IF(ISNUMBER(AT577),AT577*DD577,0)</f>
        <v>0</v>
      </c>
      <c r="EU577" s="28" t="n">
        <f aca="false">IF(ISNUMBER(AX577),AX577*DE577,0)</f>
        <v>0</v>
      </c>
      <c r="EV577" s="28" t="n">
        <f aca="false">IF(ISNUMBER(BB577),BB577*DF577,0)</f>
        <v>0</v>
      </c>
      <c r="EW577" s="28" t="n">
        <f aca="false">IF(ISNUMBER(BF577),BF577*DG577,0)</f>
        <v>0</v>
      </c>
      <c r="EX577" s="28" t="n">
        <f aca="false">IF(ISNUMBER(BJ577),BJ577*DH577,0)</f>
        <v>0</v>
      </c>
      <c r="EY577" s="28" t="n">
        <f aca="false">IF(ISNUMBER(BN577),BN577*DI577,0)</f>
        <v>0</v>
      </c>
      <c r="EZ577" s="28" t="n">
        <f aca="false">IF(ISNUMBER(BR577),BR577*DJ577,0)</f>
        <v>0</v>
      </c>
      <c r="FA577" s="28" t="n">
        <f aca="false">IF(ISNUMBER(R577),CW577,0)</f>
        <v>0</v>
      </c>
      <c r="FB577" s="28" t="n">
        <f aca="false">IF(ISNUMBER(V577),CX577,0)</f>
        <v>0</v>
      </c>
      <c r="FC577" s="28" t="n">
        <f aca="false">IF(ISNUMBER(Z577),CY577,0)</f>
        <v>0</v>
      </c>
      <c r="FD577" s="28" t="n">
        <f aca="false">IF(ISNUMBER(AD577),CZ577,0)</f>
        <v>0</v>
      </c>
      <c r="FE577" s="28" t="n">
        <f aca="false">IF(ISNUMBER(AH577),DA577,0)</f>
        <v>0</v>
      </c>
      <c r="FF577" s="28" t="n">
        <f aca="false">IF(ISNUMBER(AL577),DB577,0)</f>
        <v>0</v>
      </c>
      <c r="FG577" s="28" t="n">
        <f aca="false">IF(ISNUMBER(AP577),DC577,0)</f>
        <v>0</v>
      </c>
      <c r="FH577" s="28" t="n">
        <f aca="false">IF(ISNUMBER(AT577),DD577,0)</f>
        <v>0</v>
      </c>
      <c r="FI577" s="28" t="n">
        <f aca="false">IF(ISNUMBER(AX577),DE577,0)</f>
        <v>0</v>
      </c>
      <c r="FJ577" s="28" t="n">
        <f aca="false">IF(ISNUMBER(BB577),DF577,0)</f>
        <v>0</v>
      </c>
      <c r="FK577" s="28" t="n">
        <f aca="false">IF(ISNUMBER(BF577),DG577,0)</f>
        <v>0</v>
      </c>
      <c r="FL577" s="28" t="n">
        <f aca="false">IF(ISNUMBER(BJ577),DH577,0)</f>
        <v>0</v>
      </c>
      <c r="FM577" s="28" t="n">
        <f aca="false">IF(ISNUMBER(BN577),DI577,0)</f>
        <v>0</v>
      </c>
      <c r="FN577" s="28" t="n">
        <f aca="false">IF(ISNUMBER(BR577),DJ577,0)</f>
        <v>0</v>
      </c>
      <c r="FO577" s="28" t="str">
        <f aca="false">IFERROR(INDEX(Lists!$G$2:$G$20,MATCH($I577&amp;"|"&amp;$J577,Lists!$F$2:$F$20,0)),"")</f>
        <v/>
      </c>
    </row>
    <row r="578" customFormat="false" ht="19.5" hidden="false" customHeight="true" outlineLevel="0" collapsed="false">
      <c r="A578" s="29"/>
      <c r="B578" s="29"/>
      <c r="C578" s="30"/>
      <c r="D578" s="30"/>
      <c r="E578" s="31"/>
      <c r="F578" s="30"/>
      <c r="G578" s="30"/>
      <c r="H578" s="32"/>
      <c r="I578" s="33"/>
      <c r="J578" s="32"/>
      <c r="K578" s="34" t="str">
        <f aca="false">IF(OR(M578="",$E578=""),"",M578-$E578)</f>
        <v/>
      </c>
      <c r="L578" s="35" t="str">
        <f aca="false">IF(SUM(FA578:FN578)=0,"",SUM(EM578:EZ578)/SUM(FA578:FN578))</f>
        <v/>
      </c>
      <c r="M578" s="36" t="str">
        <f aca="false">IF(OR(L578="",FO578=""),"",IFERROR(MATCH(L578,INDEX(Boundaries!$B$2:$I$30,MATCH(FO578,Boundaries!$A$2:$A$30,0),0),1)-1,""))</f>
        <v/>
      </c>
      <c r="N578" s="37" t="str">
        <f aca="false">IF(COUNT($DY578:$EL578)&lt;2,"",INDEX($DK578:$DX578,MAX($DY578:$EL578))-INDEX($DK578:$DX578,MIN($DY578:$EL578)))</f>
        <v/>
      </c>
      <c r="O578" s="37" t="str">
        <f aca="false">IF(COUNT($DY578:$EL578)&lt;2,"",INDEX($DK578:$DX578,MAX($DY578:$EL578))-INDEX($DK578:$DX578,LARGE($DY578:$EL578,2)))</f>
        <v/>
      </c>
      <c r="P578" s="38" t="str">
        <f aca="false">IF(K578="","",IF(K578&gt;=0,"On/above target",IF(AND(N578&lt;&gt;"",N578&gt;=0.5),"Improving towards target",IF(AND(O578&lt;&gt;"",O578&lt;=-0.5),"Declining","Stable below target"))))</f>
        <v/>
      </c>
      <c r="Q578" s="39"/>
      <c r="R578" s="40" t="str">
        <f aca="false">IF(OR(Q578="",BU578=""),"",Q578/BU578*100)</f>
        <v/>
      </c>
      <c r="S578" s="41" t="str">
        <f aca="false">IF(R578="","",IFERROR(MATCH(R578,INDEX(Boundaries!$B$2:$I$30,MATCH(CI578,Boundaries!$A$2:$A$30,0),0),1)-1,""))</f>
        <v/>
      </c>
      <c r="T578" s="42" t="str">
        <f aca="false">IF(OR(S578="",$E578=""),"",S578-$E578)</f>
        <v/>
      </c>
      <c r="U578" s="39"/>
      <c r="V578" s="40" t="str">
        <f aca="false">IF(OR(U578="",BV578=""),"",U578/BV578*100)</f>
        <v/>
      </c>
      <c r="W578" s="41" t="str">
        <f aca="false">IF(V578="","",IFERROR(MATCH(V578,INDEX(Boundaries!$B$2:$I$30,MATCH(CJ578,Boundaries!$A$2:$A$30,0),0),1)-1,""))</f>
        <v/>
      </c>
      <c r="X578" s="42" t="str">
        <f aca="false">IF(OR(W578="",$E578=""),"",W578-$E578)</f>
        <v/>
      </c>
      <c r="Y578" s="39"/>
      <c r="Z578" s="40" t="str">
        <f aca="false">IF(OR(Y578="",BW578=""),"",Y578/BW578*100)</f>
        <v/>
      </c>
      <c r="AA578" s="41" t="str">
        <f aca="false">IF(Z578="","",IFERROR(MATCH(Z578,INDEX(Boundaries!$B$2:$I$30,MATCH(CK578,Boundaries!$A$2:$A$30,0),0),1)-1,""))</f>
        <v/>
      </c>
      <c r="AB578" s="42" t="str">
        <f aca="false">IF(OR(AA578="",$E578=""),"",AA578-$E578)</f>
        <v/>
      </c>
      <c r="AC578" s="39"/>
      <c r="AD578" s="40" t="str">
        <f aca="false">IF(OR(AC578="",BX578=""),"",AC578/BX578*100)</f>
        <v/>
      </c>
      <c r="AE578" s="41" t="str">
        <f aca="false">IF(AD578="","",IFERROR(MATCH(AD578,INDEX(Boundaries!$B$2:$I$30,MATCH(CL578,Boundaries!$A$2:$A$30,0),0),1)-1,""))</f>
        <v/>
      </c>
      <c r="AF578" s="42" t="str">
        <f aca="false">IF(OR(AE578="",$E578=""),"",AE578-$E578)</f>
        <v/>
      </c>
      <c r="AG578" s="39"/>
      <c r="AH578" s="40" t="str">
        <f aca="false">IF(OR(AG578="",BY578=""),"",AG578/BY578*100)</f>
        <v/>
      </c>
      <c r="AI578" s="41" t="str">
        <f aca="false">IF(AH578="","",IFERROR(MATCH(AH578,INDEX(Boundaries!$B$2:$I$30,MATCH(CM578,Boundaries!$A$2:$A$30,0),0),1)-1,""))</f>
        <v/>
      </c>
      <c r="AJ578" s="42" t="str">
        <f aca="false">IF(OR(AI578="",$E578=""),"",AI578-$E578)</f>
        <v/>
      </c>
      <c r="AK578" s="39"/>
      <c r="AL578" s="40" t="str">
        <f aca="false">IF(OR(AK578="",BZ578=""),"",AK578/BZ578*100)</f>
        <v/>
      </c>
      <c r="AM578" s="41" t="str">
        <f aca="false">IF(AL578="","",IFERROR(MATCH(AL578,INDEX(Boundaries!$B$2:$I$30,MATCH(CN578,Boundaries!$A$2:$A$30,0),0),1)-1,""))</f>
        <v/>
      </c>
      <c r="AN578" s="42" t="str">
        <f aca="false">IF(OR(AM578="",$E578=""),"",AM578-$E578)</f>
        <v/>
      </c>
      <c r="AO578" s="39"/>
      <c r="AP578" s="40" t="str">
        <f aca="false">IF(OR(AO578="",CA578=""),"",AO578/CA578*100)</f>
        <v/>
      </c>
      <c r="AQ578" s="41" t="str">
        <f aca="false">IF(AP578="","",IFERROR(MATCH(AP578,INDEX(Boundaries!$B$2:$I$30,MATCH(CO578,Boundaries!$A$2:$A$30,0),0),1)-1,""))</f>
        <v/>
      </c>
      <c r="AR578" s="42" t="str">
        <f aca="false">IF(OR(AQ578="",$E578=""),"",AQ578-$E578)</f>
        <v/>
      </c>
      <c r="AS578" s="39"/>
      <c r="AT578" s="40" t="str">
        <f aca="false">IF(OR(AS578="",CB578=""),"",AS578/CB578*100)</f>
        <v/>
      </c>
      <c r="AU578" s="41" t="str">
        <f aca="false">IF(AT578="","",IFERROR(MATCH(AT578,INDEX(Boundaries!$B$2:$I$30,MATCH(CP578,Boundaries!$A$2:$A$30,0),0),1)-1,""))</f>
        <v/>
      </c>
      <c r="AV578" s="42" t="str">
        <f aca="false">IF(OR(AU578="",$E578=""),"",AU578-$E578)</f>
        <v/>
      </c>
      <c r="AW578" s="39"/>
      <c r="AX578" s="40" t="str">
        <f aca="false">IF(OR(AW578="",CC578=""),"",AW578/CC578*100)</f>
        <v/>
      </c>
      <c r="AY578" s="41" t="str">
        <f aca="false">IF(AX578="","",IFERROR(MATCH(AX578,INDEX(Boundaries!$B$2:$I$30,MATCH(CQ578,Boundaries!$A$2:$A$30,0),0),1)-1,""))</f>
        <v/>
      </c>
      <c r="AZ578" s="42" t="str">
        <f aca="false">IF(OR(AY578="",$E578=""),"",AY578-$E578)</f>
        <v/>
      </c>
      <c r="BA578" s="39"/>
      <c r="BB578" s="40" t="str">
        <f aca="false">IF(OR(BA578="",CD578=""),"",BA578/CD578*100)</f>
        <v/>
      </c>
      <c r="BC578" s="41" t="str">
        <f aca="false">IF(BB578="","",IFERROR(MATCH(BB578,INDEX(Boundaries!$B$2:$I$30,MATCH(CR578,Boundaries!$A$2:$A$30,0),0),1)-1,""))</f>
        <v/>
      </c>
      <c r="BD578" s="42" t="str">
        <f aca="false">IF(OR(BC578="",$E578=""),"",BC578-$E578)</f>
        <v/>
      </c>
      <c r="BE578" s="39"/>
      <c r="BF578" s="40" t="str">
        <f aca="false">IF(OR(BE578="",CE578=""),"",BE578/CE578*100)</f>
        <v/>
      </c>
      <c r="BG578" s="41" t="str">
        <f aca="false">IF(BF578="","",IFERROR(MATCH(BF578,INDEX(Boundaries!$B$2:$I$30,MATCH(CS578,Boundaries!$A$2:$A$30,0),0),1)-1,""))</f>
        <v/>
      </c>
      <c r="BH578" s="42" t="str">
        <f aca="false">IF(OR(BG578="",$E578=""),"",BG578-$E578)</f>
        <v/>
      </c>
      <c r="BI578" s="39"/>
      <c r="BJ578" s="40" t="str">
        <f aca="false">IF(OR(BI578="",CF578=""),"",BI578/CF578*100)</f>
        <v/>
      </c>
      <c r="BK578" s="41" t="str">
        <f aca="false">IF(BJ578="","",IFERROR(MATCH(BJ578,INDEX(Boundaries!$B$2:$I$30,MATCH(CT578,Boundaries!$A$2:$A$30,0),0),1)-1,""))</f>
        <v/>
      </c>
      <c r="BL578" s="42" t="str">
        <f aca="false">IF(OR(BK578="",$E578=""),"",BK578-$E578)</f>
        <v/>
      </c>
      <c r="BM578" s="39"/>
      <c r="BN578" s="40" t="str">
        <f aca="false">IF(OR(BM578="",CG578=""),"",BM578/CG578*100)</f>
        <v/>
      </c>
      <c r="BO578" s="41" t="str">
        <f aca="false">IF(BN578="","",IFERROR(MATCH(BN578,INDEX(Boundaries!$B$2:$I$30,MATCH(CU578,Boundaries!$A$2:$A$30,0),0),1)-1,""))</f>
        <v/>
      </c>
      <c r="BP578" s="42" t="str">
        <f aca="false">IF(OR(BO578="",$E578=""),"",BO578-$E578)</f>
        <v/>
      </c>
      <c r="BQ578" s="39"/>
      <c r="BR578" s="40" t="str">
        <f aca="false">IF(OR(BQ578="",CH578=""),"",BQ578/CH578*100)</f>
        <v/>
      </c>
      <c r="BS578" s="41" t="str">
        <f aca="false">IF(BR578="","",IFERROR(MATCH(BR578,INDEX(Boundaries!$B$2:$I$30,MATCH(CV578,Boundaries!$A$2:$A$30,0),0),1)-1,""))</f>
        <v/>
      </c>
      <c r="BT578" s="42" t="str">
        <f aca="false">IF(OR(BS578="",$E578=""),"",BS578-$E578)</f>
        <v/>
      </c>
      <c r="BU578" s="28" t="str">
        <f aca="false">IFERROR(INDEX(Assessments!$H$2:$H$600,MATCH($H578&amp;"|"&amp;$I578&amp;"|"&amp;$J578&amp;"|"&amp;1,Assessments!$A$2:$A$600,0)),"")</f>
        <v/>
      </c>
      <c r="BV578" s="28" t="str">
        <f aca="false">IFERROR(INDEX(Assessments!$H$2:$H$600,MATCH($H578&amp;"|"&amp;$I578&amp;"|"&amp;$J578&amp;"|"&amp;2,Assessments!$A$2:$A$600,0)),"")</f>
        <v/>
      </c>
      <c r="BW578" s="28" t="str">
        <f aca="false">IFERROR(INDEX(Assessments!$H$2:$H$600,MATCH($H578&amp;"|"&amp;$I578&amp;"|"&amp;$J578&amp;"|"&amp;3,Assessments!$A$2:$A$600,0)),"")</f>
        <v/>
      </c>
      <c r="BX578" s="28" t="str">
        <f aca="false">IFERROR(INDEX(Assessments!$H$2:$H$600,MATCH($H578&amp;"|"&amp;$I578&amp;"|"&amp;$J578&amp;"|"&amp;4,Assessments!$A$2:$A$600,0)),"")</f>
        <v/>
      </c>
      <c r="BY578" s="28" t="str">
        <f aca="false">IFERROR(INDEX(Assessments!$H$2:$H$600,MATCH($H578&amp;"|"&amp;$I578&amp;"|"&amp;$J578&amp;"|"&amp;5,Assessments!$A$2:$A$600,0)),"")</f>
        <v/>
      </c>
      <c r="BZ578" s="28" t="str">
        <f aca="false">IFERROR(INDEX(Assessments!$H$2:$H$600,MATCH($H578&amp;"|"&amp;$I578&amp;"|"&amp;$J578&amp;"|"&amp;6,Assessments!$A$2:$A$600,0)),"")</f>
        <v/>
      </c>
      <c r="CA578" s="28" t="str">
        <f aca="false">IFERROR(INDEX(Assessments!$H$2:$H$600,MATCH($H578&amp;"|"&amp;$I578&amp;"|"&amp;$J578&amp;"|"&amp;7,Assessments!$A$2:$A$600,0)),"")</f>
        <v/>
      </c>
      <c r="CB578" s="28" t="str">
        <f aca="false">IFERROR(INDEX(Assessments!$H$2:$H$600,MATCH($H578&amp;"|"&amp;$I578&amp;"|"&amp;$J578&amp;"|"&amp;8,Assessments!$A$2:$A$600,0)),"")</f>
        <v/>
      </c>
      <c r="CC578" s="28" t="str">
        <f aca="false">IFERROR(INDEX(Assessments!$H$2:$H$600,MATCH($H578&amp;"|"&amp;$I578&amp;"|"&amp;$J578&amp;"|"&amp;9,Assessments!$A$2:$A$600,0)),"")</f>
        <v/>
      </c>
      <c r="CD578" s="28" t="str">
        <f aca="false">IFERROR(INDEX(Assessments!$H$2:$H$600,MATCH($H578&amp;"|"&amp;$I578&amp;"|"&amp;$J578&amp;"|"&amp;10,Assessments!$A$2:$A$600,0)),"")</f>
        <v/>
      </c>
      <c r="CE578" s="28" t="str">
        <f aca="false">IFERROR(INDEX(Assessments!$H$2:$H$600,MATCH($H578&amp;"|"&amp;$I578&amp;"|"&amp;$J578&amp;"|"&amp;11,Assessments!$A$2:$A$600,0)),"")</f>
        <v/>
      </c>
      <c r="CF578" s="28" t="str">
        <f aca="false">IFERROR(INDEX(Assessments!$H$2:$H$600,MATCH($H578&amp;"|"&amp;$I578&amp;"|"&amp;$J578&amp;"|"&amp;12,Assessments!$A$2:$A$600,0)),"")</f>
        <v/>
      </c>
      <c r="CG578" s="28" t="str">
        <f aca="false">IFERROR(INDEX(Assessments!$H$2:$H$600,MATCH($H578&amp;"|"&amp;$I578&amp;"|"&amp;$J578&amp;"|"&amp;13,Assessments!$A$2:$A$600,0)),"")</f>
        <v/>
      </c>
      <c r="CH578" s="28" t="str">
        <f aca="false">IFERROR(INDEX(Assessments!$H$2:$H$600,MATCH($H578&amp;"|"&amp;$I578&amp;"|"&amp;$J578&amp;"|"&amp;14,Assessments!$A$2:$A$600,0)),"")</f>
        <v/>
      </c>
      <c r="CI578" s="28" t="str">
        <f aca="false">IFERROR(INDEX(Assessments!$I$2:$I$600,MATCH($H578&amp;"|"&amp;$I578&amp;"|"&amp;$J578&amp;"|"&amp;1,Assessments!$A$2:$A$600,0)),"")</f>
        <v/>
      </c>
      <c r="CJ578" s="28" t="str">
        <f aca="false">IFERROR(INDEX(Assessments!$I$2:$I$600,MATCH($H578&amp;"|"&amp;$I578&amp;"|"&amp;$J578&amp;"|"&amp;2,Assessments!$A$2:$A$600,0)),"")</f>
        <v/>
      </c>
      <c r="CK578" s="28" t="str">
        <f aca="false">IFERROR(INDEX(Assessments!$I$2:$I$600,MATCH($H578&amp;"|"&amp;$I578&amp;"|"&amp;$J578&amp;"|"&amp;3,Assessments!$A$2:$A$600,0)),"")</f>
        <v/>
      </c>
      <c r="CL578" s="28" t="str">
        <f aca="false">IFERROR(INDEX(Assessments!$I$2:$I$600,MATCH($H578&amp;"|"&amp;$I578&amp;"|"&amp;$J578&amp;"|"&amp;4,Assessments!$A$2:$A$600,0)),"")</f>
        <v/>
      </c>
      <c r="CM578" s="28" t="str">
        <f aca="false">IFERROR(INDEX(Assessments!$I$2:$I$600,MATCH($H578&amp;"|"&amp;$I578&amp;"|"&amp;$J578&amp;"|"&amp;5,Assessments!$A$2:$A$600,0)),"")</f>
        <v/>
      </c>
      <c r="CN578" s="28" t="str">
        <f aca="false">IFERROR(INDEX(Assessments!$I$2:$I$600,MATCH($H578&amp;"|"&amp;$I578&amp;"|"&amp;$J578&amp;"|"&amp;6,Assessments!$A$2:$A$600,0)),"")</f>
        <v/>
      </c>
      <c r="CO578" s="28" t="str">
        <f aca="false">IFERROR(INDEX(Assessments!$I$2:$I$600,MATCH($H578&amp;"|"&amp;$I578&amp;"|"&amp;$J578&amp;"|"&amp;7,Assessments!$A$2:$A$600,0)),"")</f>
        <v/>
      </c>
      <c r="CP578" s="28" t="str">
        <f aca="false">IFERROR(INDEX(Assessments!$I$2:$I$600,MATCH($H578&amp;"|"&amp;$I578&amp;"|"&amp;$J578&amp;"|"&amp;8,Assessments!$A$2:$A$600,0)),"")</f>
        <v/>
      </c>
      <c r="CQ578" s="28" t="str">
        <f aca="false">IFERROR(INDEX(Assessments!$I$2:$I$600,MATCH($H578&amp;"|"&amp;$I578&amp;"|"&amp;$J578&amp;"|"&amp;9,Assessments!$A$2:$A$600,0)),"")</f>
        <v/>
      </c>
      <c r="CR578" s="28" t="str">
        <f aca="false">IFERROR(INDEX(Assessments!$I$2:$I$600,MATCH($H578&amp;"|"&amp;$I578&amp;"|"&amp;$J578&amp;"|"&amp;10,Assessments!$A$2:$A$600,0)),"")</f>
        <v/>
      </c>
      <c r="CS578" s="28" t="str">
        <f aca="false">IFERROR(INDEX(Assessments!$I$2:$I$600,MATCH($H578&amp;"|"&amp;$I578&amp;"|"&amp;$J578&amp;"|"&amp;11,Assessments!$A$2:$A$600,0)),"")</f>
        <v/>
      </c>
      <c r="CT578" s="28" t="str">
        <f aca="false">IFERROR(INDEX(Assessments!$I$2:$I$600,MATCH($H578&amp;"|"&amp;$I578&amp;"|"&amp;$J578&amp;"|"&amp;12,Assessments!$A$2:$A$600,0)),"")</f>
        <v/>
      </c>
      <c r="CU578" s="28" t="str">
        <f aca="false">IFERROR(INDEX(Assessments!$I$2:$I$600,MATCH($H578&amp;"|"&amp;$I578&amp;"|"&amp;$J578&amp;"|"&amp;13,Assessments!$A$2:$A$600,0)),"")</f>
        <v/>
      </c>
      <c r="CV578" s="28" t="str">
        <f aca="false">IFERROR(INDEX(Assessments!$I$2:$I$600,MATCH($H578&amp;"|"&amp;$I578&amp;"|"&amp;$J578&amp;"|"&amp;14,Assessments!$A$2:$A$600,0)),"")</f>
        <v/>
      </c>
      <c r="CW578" s="28" t="n">
        <f aca="false">IFERROR(INDEX(Assessments!$J$2:$J$600,MATCH($H578&amp;"|"&amp;$I578&amp;"|"&amp;$J578&amp;"|"&amp;1,Assessments!$A$2:$A$600,0)),0)</f>
        <v>0</v>
      </c>
      <c r="CX578" s="28" t="n">
        <f aca="false">IFERROR(INDEX(Assessments!$J$2:$J$600,MATCH($H578&amp;"|"&amp;$I578&amp;"|"&amp;$J578&amp;"|"&amp;2,Assessments!$A$2:$A$600,0)),0)</f>
        <v>0</v>
      </c>
      <c r="CY578" s="28" t="n">
        <f aca="false">IFERROR(INDEX(Assessments!$J$2:$J$600,MATCH($H578&amp;"|"&amp;$I578&amp;"|"&amp;$J578&amp;"|"&amp;3,Assessments!$A$2:$A$600,0)),0)</f>
        <v>0</v>
      </c>
      <c r="CZ578" s="28" t="n">
        <f aca="false">IFERROR(INDEX(Assessments!$J$2:$J$600,MATCH($H578&amp;"|"&amp;$I578&amp;"|"&amp;$J578&amp;"|"&amp;4,Assessments!$A$2:$A$600,0)),0)</f>
        <v>0</v>
      </c>
      <c r="DA578" s="28" t="n">
        <f aca="false">IFERROR(INDEX(Assessments!$J$2:$J$600,MATCH($H578&amp;"|"&amp;$I578&amp;"|"&amp;$J578&amp;"|"&amp;5,Assessments!$A$2:$A$600,0)),0)</f>
        <v>0</v>
      </c>
      <c r="DB578" s="28" t="n">
        <f aca="false">IFERROR(INDEX(Assessments!$J$2:$J$600,MATCH($H578&amp;"|"&amp;$I578&amp;"|"&amp;$J578&amp;"|"&amp;6,Assessments!$A$2:$A$600,0)),0)</f>
        <v>0</v>
      </c>
      <c r="DC578" s="28" t="n">
        <f aca="false">IFERROR(INDEX(Assessments!$J$2:$J$600,MATCH($H578&amp;"|"&amp;$I578&amp;"|"&amp;$J578&amp;"|"&amp;7,Assessments!$A$2:$A$600,0)),0)</f>
        <v>0</v>
      </c>
      <c r="DD578" s="28" t="n">
        <f aca="false">IFERROR(INDEX(Assessments!$J$2:$J$600,MATCH($H578&amp;"|"&amp;$I578&amp;"|"&amp;$J578&amp;"|"&amp;8,Assessments!$A$2:$A$600,0)),0)</f>
        <v>0</v>
      </c>
      <c r="DE578" s="28" t="n">
        <f aca="false">IFERROR(INDEX(Assessments!$J$2:$J$600,MATCH($H578&amp;"|"&amp;$I578&amp;"|"&amp;$J578&amp;"|"&amp;9,Assessments!$A$2:$A$600,0)),0)</f>
        <v>0</v>
      </c>
      <c r="DF578" s="28" t="n">
        <f aca="false">IFERROR(INDEX(Assessments!$J$2:$J$600,MATCH($H578&amp;"|"&amp;$I578&amp;"|"&amp;$J578&amp;"|"&amp;10,Assessments!$A$2:$A$600,0)),0)</f>
        <v>0</v>
      </c>
      <c r="DG578" s="28" t="n">
        <f aca="false">IFERROR(INDEX(Assessments!$J$2:$J$600,MATCH($H578&amp;"|"&amp;$I578&amp;"|"&amp;$J578&amp;"|"&amp;11,Assessments!$A$2:$A$600,0)),0)</f>
        <v>0</v>
      </c>
      <c r="DH578" s="28" t="n">
        <f aca="false">IFERROR(INDEX(Assessments!$J$2:$J$600,MATCH($H578&amp;"|"&amp;$I578&amp;"|"&amp;$J578&amp;"|"&amp;12,Assessments!$A$2:$A$600,0)),0)</f>
        <v>0</v>
      </c>
      <c r="DI578" s="28" t="n">
        <f aca="false">IFERROR(INDEX(Assessments!$J$2:$J$600,MATCH($H578&amp;"|"&amp;$I578&amp;"|"&amp;$J578&amp;"|"&amp;13,Assessments!$A$2:$A$600,0)),0)</f>
        <v>0</v>
      </c>
      <c r="DJ578" s="28" t="n">
        <f aca="false">IFERROR(INDEX(Assessments!$J$2:$J$600,MATCH($H578&amp;"|"&amp;$I578&amp;"|"&amp;$J578&amp;"|"&amp;14,Assessments!$A$2:$A$600,0)),0)</f>
        <v>0</v>
      </c>
      <c r="DK578" s="28" t="str">
        <f aca="false">S578</f>
        <v/>
      </c>
      <c r="DL578" s="28" t="str">
        <f aca="false">W578</f>
        <v/>
      </c>
      <c r="DM578" s="28" t="str">
        <f aca="false">AA578</f>
        <v/>
      </c>
      <c r="DN578" s="28" t="str">
        <f aca="false">AE578</f>
        <v/>
      </c>
      <c r="DO578" s="28" t="str">
        <f aca="false">AI578</f>
        <v/>
      </c>
      <c r="DP578" s="28" t="str">
        <f aca="false">AM578</f>
        <v/>
      </c>
      <c r="DQ578" s="28" t="str">
        <f aca="false">AQ578</f>
        <v/>
      </c>
      <c r="DR578" s="28" t="str">
        <f aca="false">AU578</f>
        <v/>
      </c>
      <c r="DS578" s="28" t="str">
        <f aca="false">AY578</f>
        <v/>
      </c>
      <c r="DT578" s="28" t="str">
        <f aca="false">BC578</f>
        <v/>
      </c>
      <c r="DU578" s="28" t="str">
        <f aca="false">BG578</f>
        <v/>
      </c>
      <c r="DV578" s="28" t="str">
        <f aca="false">BK578</f>
        <v/>
      </c>
      <c r="DW578" s="28" t="str">
        <f aca="false">BO578</f>
        <v/>
      </c>
      <c r="DX578" s="28" t="str">
        <f aca="false">BS578</f>
        <v/>
      </c>
      <c r="DY578" s="28" t="str">
        <f aca="false">IF(ISNUMBER(S578),1,"")</f>
        <v/>
      </c>
      <c r="DZ578" s="28" t="str">
        <f aca="false">IF(ISNUMBER(W578),2,"")</f>
        <v/>
      </c>
      <c r="EA578" s="28" t="str">
        <f aca="false">IF(ISNUMBER(AA578),3,"")</f>
        <v/>
      </c>
      <c r="EB578" s="28" t="str">
        <f aca="false">IF(ISNUMBER(AE578),4,"")</f>
        <v/>
      </c>
      <c r="EC578" s="28" t="str">
        <f aca="false">IF(ISNUMBER(AI578),5,"")</f>
        <v/>
      </c>
      <c r="ED578" s="28" t="str">
        <f aca="false">IF(ISNUMBER(AM578),6,"")</f>
        <v/>
      </c>
      <c r="EE578" s="28" t="str">
        <f aca="false">IF(ISNUMBER(AQ578),7,"")</f>
        <v/>
      </c>
      <c r="EF578" s="28" t="str">
        <f aca="false">IF(ISNUMBER(AU578),8,"")</f>
        <v/>
      </c>
      <c r="EG578" s="28" t="str">
        <f aca="false">IF(ISNUMBER(AY578),9,"")</f>
        <v/>
      </c>
      <c r="EH578" s="28" t="str">
        <f aca="false">IF(ISNUMBER(BC578),10,"")</f>
        <v/>
      </c>
      <c r="EI578" s="28" t="str">
        <f aca="false">IF(ISNUMBER(BG578),11,"")</f>
        <v/>
      </c>
      <c r="EJ578" s="28" t="str">
        <f aca="false">IF(ISNUMBER(BK578),12,"")</f>
        <v/>
      </c>
      <c r="EK578" s="28" t="str">
        <f aca="false">IF(ISNUMBER(BO578),13,"")</f>
        <v/>
      </c>
      <c r="EL578" s="28" t="str">
        <f aca="false">IF(ISNUMBER(BS578),14,"")</f>
        <v/>
      </c>
      <c r="EM578" s="28" t="n">
        <f aca="false">IF(ISNUMBER(R578),R578*CW578,0)</f>
        <v>0</v>
      </c>
      <c r="EN578" s="28" t="n">
        <f aca="false">IF(ISNUMBER(V578),V578*CX578,0)</f>
        <v>0</v>
      </c>
      <c r="EO578" s="28" t="n">
        <f aca="false">IF(ISNUMBER(Z578),Z578*CY578,0)</f>
        <v>0</v>
      </c>
      <c r="EP578" s="28" t="n">
        <f aca="false">IF(ISNUMBER(AD578),AD578*CZ578,0)</f>
        <v>0</v>
      </c>
      <c r="EQ578" s="28" t="n">
        <f aca="false">IF(ISNUMBER(AH578),AH578*DA578,0)</f>
        <v>0</v>
      </c>
      <c r="ER578" s="28" t="n">
        <f aca="false">IF(ISNUMBER(AL578),AL578*DB578,0)</f>
        <v>0</v>
      </c>
      <c r="ES578" s="28" t="n">
        <f aca="false">IF(ISNUMBER(AP578),AP578*DC578,0)</f>
        <v>0</v>
      </c>
      <c r="ET578" s="28" t="n">
        <f aca="false">IF(ISNUMBER(AT578),AT578*DD578,0)</f>
        <v>0</v>
      </c>
      <c r="EU578" s="28" t="n">
        <f aca="false">IF(ISNUMBER(AX578),AX578*DE578,0)</f>
        <v>0</v>
      </c>
      <c r="EV578" s="28" t="n">
        <f aca="false">IF(ISNUMBER(BB578),BB578*DF578,0)</f>
        <v>0</v>
      </c>
      <c r="EW578" s="28" t="n">
        <f aca="false">IF(ISNUMBER(BF578),BF578*DG578,0)</f>
        <v>0</v>
      </c>
      <c r="EX578" s="28" t="n">
        <f aca="false">IF(ISNUMBER(BJ578),BJ578*DH578,0)</f>
        <v>0</v>
      </c>
      <c r="EY578" s="28" t="n">
        <f aca="false">IF(ISNUMBER(BN578),BN578*DI578,0)</f>
        <v>0</v>
      </c>
      <c r="EZ578" s="28" t="n">
        <f aca="false">IF(ISNUMBER(BR578),BR578*DJ578,0)</f>
        <v>0</v>
      </c>
      <c r="FA578" s="28" t="n">
        <f aca="false">IF(ISNUMBER(R578),CW578,0)</f>
        <v>0</v>
      </c>
      <c r="FB578" s="28" t="n">
        <f aca="false">IF(ISNUMBER(V578),CX578,0)</f>
        <v>0</v>
      </c>
      <c r="FC578" s="28" t="n">
        <f aca="false">IF(ISNUMBER(Z578),CY578,0)</f>
        <v>0</v>
      </c>
      <c r="FD578" s="28" t="n">
        <f aca="false">IF(ISNUMBER(AD578),CZ578,0)</f>
        <v>0</v>
      </c>
      <c r="FE578" s="28" t="n">
        <f aca="false">IF(ISNUMBER(AH578),DA578,0)</f>
        <v>0</v>
      </c>
      <c r="FF578" s="28" t="n">
        <f aca="false">IF(ISNUMBER(AL578),DB578,0)</f>
        <v>0</v>
      </c>
      <c r="FG578" s="28" t="n">
        <f aca="false">IF(ISNUMBER(AP578),DC578,0)</f>
        <v>0</v>
      </c>
      <c r="FH578" s="28" t="n">
        <f aca="false">IF(ISNUMBER(AT578),DD578,0)</f>
        <v>0</v>
      </c>
      <c r="FI578" s="28" t="n">
        <f aca="false">IF(ISNUMBER(AX578),DE578,0)</f>
        <v>0</v>
      </c>
      <c r="FJ578" s="28" t="n">
        <f aca="false">IF(ISNUMBER(BB578),DF578,0)</f>
        <v>0</v>
      </c>
      <c r="FK578" s="28" t="n">
        <f aca="false">IF(ISNUMBER(BF578),DG578,0)</f>
        <v>0</v>
      </c>
      <c r="FL578" s="28" t="n">
        <f aca="false">IF(ISNUMBER(BJ578),DH578,0)</f>
        <v>0</v>
      </c>
      <c r="FM578" s="28" t="n">
        <f aca="false">IF(ISNUMBER(BN578),DI578,0)</f>
        <v>0</v>
      </c>
      <c r="FN578" s="28" t="n">
        <f aca="false">IF(ISNUMBER(BR578),DJ578,0)</f>
        <v>0</v>
      </c>
      <c r="FO578" s="28" t="str">
        <f aca="false">IFERROR(INDEX(Lists!$G$2:$G$20,MATCH($I578&amp;"|"&amp;$J578,Lists!$F$2:$F$20,0)),"")</f>
        <v/>
      </c>
    </row>
    <row r="579" customFormat="false" ht="19.5" hidden="false" customHeight="true" outlineLevel="0" collapsed="false">
      <c r="A579" s="29"/>
      <c r="B579" s="29"/>
      <c r="C579" s="30"/>
      <c r="D579" s="30"/>
      <c r="E579" s="31"/>
      <c r="F579" s="30"/>
      <c r="G579" s="30"/>
      <c r="H579" s="32"/>
      <c r="I579" s="33"/>
      <c r="J579" s="32"/>
      <c r="K579" s="34" t="str">
        <f aca="false">IF(OR(M579="",$E579=""),"",M579-$E579)</f>
        <v/>
      </c>
      <c r="L579" s="35" t="str">
        <f aca="false">IF(SUM(FA579:FN579)=0,"",SUM(EM579:EZ579)/SUM(FA579:FN579))</f>
        <v/>
      </c>
      <c r="M579" s="36" t="str">
        <f aca="false">IF(OR(L579="",FO579=""),"",IFERROR(MATCH(L579,INDEX(Boundaries!$B$2:$I$30,MATCH(FO579,Boundaries!$A$2:$A$30,0),0),1)-1,""))</f>
        <v/>
      </c>
      <c r="N579" s="37" t="str">
        <f aca="false">IF(COUNT($DY579:$EL579)&lt;2,"",INDEX($DK579:$DX579,MAX($DY579:$EL579))-INDEX($DK579:$DX579,MIN($DY579:$EL579)))</f>
        <v/>
      </c>
      <c r="O579" s="37" t="str">
        <f aca="false">IF(COUNT($DY579:$EL579)&lt;2,"",INDEX($DK579:$DX579,MAX($DY579:$EL579))-INDEX($DK579:$DX579,LARGE($DY579:$EL579,2)))</f>
        <v/>
      </c>
      <c r="P579" s="38" t="str">
        <f aca="false">IF(K579="","",IF(K579&gt;=0,"On/above target",IF(AND(N579&lt;&gt;"",N579&gt;=0.5),"Improving towards target",IF(AND(O579&lt;&gt;"",O579&lt;=-0.5),"Declining","Stable below target"))))</f>
        <v/>
      </c>
      <c r="Q579" s="39"/>
      <c r="R579" s="40" t="str">
        <f aca="false">IF(OR(Q579="",BU579=""),"",Q579/BU579*100)</f>
        <v/>
      </c>
      <c r="S579" s="41" t="str">
        <f aca="false">IF(R579="","",IFERROR(MATCH(R579,INDEX(Boundaries!$B$2:$I$30,MATCH(CI579,Boundaries!$A$2:$A$30,0),0),1)-1,""))</f>
        <v/>
      </c>
      <c r="T579" s="42" t="str">
        <f aca="false">IF(OR(S579="",$E579=""),"",S579-$E579)</f>
        <v/>
      </c>
      <c r="U579" s="39"/>
      <c r="V579" s="40" t="str">
        <f aca="false">IF(OR(U579="",BV579=""),"",U579/BV579*100)</f>
        <v/>
      </c>
      <c r="W579" s="41" t="str">
        <f aca="false">IF(V579="","",IFERROR(MATCH(V579,INDEX(Boundaries!$B$2:$I$30,MATCH(CJ579,Boundaries!$A$2:$A$30,0),0),1)-1,""))</f>
        <v/>
      </c>
      <c r="X579" s="42" t="str">
        <f aca="false">IF(OR(W579="",$E579=""),"",W579-$E579)</f>
        <v/>
      </c>
      <c r="Y579" s="39"/>
      <c r="Z579" s="40" t="str">
        <f aca="false">IF(OR(Y579="",BW579=""),"",Y579/BW579*100)</f>
        <v/>
      </c>
      <c r="AA579" s="41" t="str">
        <f aca="false">IF(Z579="","",IFERROR(MATCH(Z579,INDEX(Boundaries!$B$2:$I$30,MATCH(CK579,Boundaries!$A$2:$A$30,0),0),1)-1,""))</f>
        <v/>
      </c>
      <c r="AB579" s="42" t="str">
        <f aca="false">IF(OR(AA579="",$E579=""),"",AA579-$E579)</f>
        <v/>
      </c>
      <c r="AC579" s="39"/>
      <c r="AD579" s="40" t="str">
        <f aca="false">IF(OR(AC579="",BX579=""),"",AC579/BX579*100)</f>
        <v/>
      </c>
      <c r="AE579" s="41" t="str">
        <f aca="false">IF(AD579="","",IFERROR(MATCH(AD579,INDEX(Boundaries!$B$2:$I$30,MATCH(CL579,Boundaries!$A$2:$A$30,0),0),1)-1,""))</f>
        <v/>
      </c>
      <c r="AF579" s="42" t="str">
        <f aca="false">IF(OR(AE579="",$E579=""),"",AE579-$E579)</f>
        <v/>
      </c>
      <c r="AG579" s="39"/>
      <c r="AH579" s="40" t="str">
        <f aca="false">IF(OR(AG579="",BY579=""),"",AG579/BY579*100)</f>
        <v/>
      </c>
      <c r="AI579" s="41" t="str">
        <f aca="false">IF(AH579="","",IFERROR(MATCH(AH579,INDEX(Boundaries!$B$2:$I$30,MATCH(CM579,Boundaries!$A$2:$A$30,0),0),1)-1,""))</f>
        <v/>
      </c>
      <c r="AJ579" s="42" t="str">
        <f aca="false">IF(OR(AI579="",$E579=""),"",AI579-$E579)</f>
        <v/>
      </c>
      <c r="AK579" s="39"/>
      <c r="AL579" s="40" t="str">
        <f aca="false">IF(OR(AK579="",BZ579=""),"",AK579/BZ579*100)</f>
        <v/>
      </c>
      <c r="AM579" s="41" t="str">
        <f aca="false">IF(AL579="","",IFERROR(MATCH(AL579,INDEX(Boundaries!$B$2:$I$30,MATCH(CN579,Boundaries!$A$2:$A$30,0),0),1)-1,""))</f>
        <v/>
      </c>
      <c r="AN579" s="42" t="str">
        <f aca="false">IF(OR(AM579="",$E579=""),"",AM579-$E579)</f>
        <v/>
      </c>
      <c r="AO579" s="39"/>
      <c r="AP579" s="40" t="str">
        <f aca="false">IF(OR(AO579="",CA579=""),"",AO579/CA579*100)</f>
        <v/>
      </c>
      <c r="AQ579" s="41" t="str">
        <f aca="false">IF(AP579="","",IFERROR(MATCH(AP579,INDEX(Boundaries!$B$2:$I$30,MATCH(CO579,Boundaries!$A$2:$A$30,0),0),1)-1,""))</f>
        <v/>
      </c>
      <c r="AR579" s="42" t="str">
        <f aca="false">IF(OR(AQ579="",$E579=""),"",AQ579-$E579)</f>
        <v/>
      </c>
      <c r="AS579" s="39"/>
      <c r="AT579" s="40" t="str">
        <f aca="false">IF(OR(AS579="",CB579=""),"",AS579/CB579*100)</f>
        <v/>
      </c>
      <c r="AU579" s="41" t="str">
        <f aca="false">IF(AT579="","",IFERROR(MATCH(AT579,INDEX(Boundaries!$B$2:$I$30,MATCH(CP579,Boundaries!$A$2:$A$30,0),0),1)-1,""))</f>
        <v/>
      </c>
      <c r="AV579" s="42" t="str">
        <f aca="false">IF(OR(AU579="",$E579=""),"",AU579-$E579)</f>
        <v/>
      </c>
      <c r="AW579" s="39"/>
      <c r="AX579" s="40" t="str">
        <f aca="false">IF(OR(AW579="",CC579=""),"",AW579/CC579*100)</f>
        <v/>
      </c>
      <c r="AY579" s="41" t="str">
        <f aca="false">IF(AX579="","",IFERROR(MATCH(AX579,INDEX(Boundaries!$B$2:$I$30,MATCH(CQ579,Boundaries!$A$2:$A$30,0),0),1)-1,""))</f>
        <v/>
      </c>
      <c r="AZ579" s="42" t="str">
        <f aca="false">IF(OR(AY579="",$E579=""),"",AY579-$E579)</f>
        <v/>
      </c>
      <c r="BA579" s="39"/>
      <c r="BB579" s="40" t="str">
        <f aca="false">IF(OR(BA579="",CD579=""),"",BA579/CD579*100)</f>
        <v/>
      </c>
      <c r="BC579" s="41" t="str">
        <f aca="false">IF(BB579="","",IFERROR(MATCH(BB579,INDEX(Boundaries!$B$2:$I$30,MATCH(CR579,Boundaries!$A$2:$A$30,0),0),1)-1,""))</f>
        <v/>
      </c>
      <c r="BD579" s="42" t="str">
        <f aca="false">IF(OR(BC579="",$E579=""),"",BC579-$E579)</f>
        <v/>
      </c>
      <c r="BE579" s="39"/>
      <c r="BF579" s="40" t="str">
        <f aca="false">IF(OR(BE579="",CE579=""),"",BE579/CE579*100)</f>
        <v/>
      </c>
      <c r="BG579" s="41" t="str">
        <f aca="false">IF(BF579="","",IFERROR(MATCH(BF579,INDEX(Boundaries!$B$2:$I$30,MATCH(CS579,Boundaries!$A$2:$A$30,0),0),1)-1,""))</f>
        <v/>
      </c>
      <c r="BH579" s="42" t="str">
        <f aca="false">IF(OR(BG579="",$E579=""),"",BG579-$E579)</f>
        <v/>
      </c>
      <c r="BI579" s="39"/>
      <c r="BJ579" s="40" t="str">
        <f aca="false">IF(OR(BI579="",CF579=""),"",BI579/CF579*100)</f>
        <v/>
      </c>
      <c r="BK579" s="41" t="str">
        <f aca="false">IF(BJ579="","",IFERROR(MATCH(BJ579,INDEX(Boundaries!$B$2:$I$30,MATCH(CT579,Boundaries!$A$2:$A$30,0),0),1)-1,""))</f>
        <v/>
      </c>
      <c r="BL579" s="42" t="str">
        <f aca="false">IF(OR(BK579="",$E579=""),"",BK579-$E579)</f>
        <v/>
      </c>
      <c r="BM579" s="39"/>
      <c r="BN579" s="40" t="str">
        <f aca="false">IF(OR(BM579="",CG579=""),"",BM579/CG579*100)</f>
        <v/>
      </c>
      <c r="BO579" s="41" t="str">
        <f aca="false">IF(BN579="","",IFERROR(MATCH(BN579,INDEX(Boundaries!$B$2:$I$30,MATCH(CU579,Boundaries!$A$2:$A$30,0),0),1)-1,""))</f>
        <v/>
      </c>
      <c r="BP579" s="42" t="str">
        <f aca="false">IF(OR(BO579="",$E579=""),"",BO579-$E579)</f>
        <v/>
      </c>
      <c r="BQ579" s="39"/>
      <c r="BR579" s="40" t="str">
        <f aca="false">IF(OR(BQ579="",CH579=""),"",BQ579/CH579*100)</f>
        <v/>
      </c>
      <c r="BS579" s="41" t="str">
        <f aca="false">IF(BR579="","",IFERROR(MATCH(BR579,INDEX(Boundaries!$B$2:$I$30,MATCH(CV579,Boundaries!$A$2:$A$30,0),0),1)-1,""))</f>
        <v/>
      </c>
      <c r="BT579" s="42" t="str">
        <f aca="false">IF(OR(BS579="",$E579=""),"",BS579-$E579)</f>
        <v/>
      </c>
      <c r="BU579" s="28" t="str">
        <f aca="false">IFERROR(INDEX(Assessments!$H$2:$H$600,MATCH($H579&amp;"|"&amp;$I579&amp;"|"&amp;$J579&amp;"|"&amp;1,Assessments!$A$2:$A$600,0)),"")</f>
        <v/>
      </c>
      <c r="BV579" s="28" t="str">
        <f aca="false">IFERROR(INDEX(Assessments!$H$2:$H$600,MATCH($H579&amp;"|"&amp;$I579&amp;"|"&amp;$J579&amp;"|"&amp;2,Assessments!$A$2:$A$600,0)),"")</f>
        <v/>
      </c>
      <c r="BW579" s="28" t="str">
        <f aca="false">IFERROR(INDEX(Assessments!$H$2:$H$600,MATCH($H579&amp;"|"&amp;$I579&amp;"|"&amp;$J579&amp;"|"&amp;3,Assessments!$A$2:$A$600,0)),"")</f>
        <v/>
      </c>
      <c r="BX579" s="28" t="str">
        <f aca="false">IFERROR(INDEX(Assessments!$H$2:$H$600,MATCH($H579&amp;"|"&amp;$I579&amp;"|"&amp;$J579&amp;"|"&amp;4,Assessments!$A$2:$A$600,0)),"")</f>
        <v/>
      </c>
      <c r="BY579" s="28" t="str">
        <f aca="false">IFERROR(INDEX(Assessments!$H$2:$H$600,MATCH($H579&amp;"|"&amp;$I579&amp;"|"&amp;$J579&amp;"|"&amp;5,Assessments!$A$2:$A$600,0)),"")</f>
        <v/>
      </c>
      <c r="BZ579" s="28" t="str">
        <f aca="false">IFERROR(INDEX(Assessments!$H$2:$H$600,MATCH($H579&amp;"|"&amp;$I579&amp;"|"&amp;$J579&amp;"|"&amp;6,Assessments!$A$2:$A$600,0)),"")</f>
        <v/>
      </c>
      <c r="CA579" s="28" t="str">
        <f aca="false">IFERROR(INDEX(Assessments!$H$2:$H$600,MATCH($H579&amp;"|"&amp;$I579&amp;"|"&amp;$J579&amp;"|"&amp;7,Assessments!$A$2:$A$600,0)),"")</f>
        <v/>
      </c>
      <c r="CB579" s="28" t="str">
        <f aca="false">IFERROR(INDEX(Assessments!$H$2:$H$600,MATCH($H579&amp;"|"&amp;$I579&amp;"|"&amp;$J579&amp;"|"&amp;8,Assessments!$A$2:$A$600,0)),"")</f>
        <v/>
      </c>
      <c r="CC579" s="28" t="str">
        <f aca="false">IFERROR(INDEX(Assessments!$H$2:$H$600,MATCH($H579&amp;"|"&amp;$I579&amp;"|"&amp;$J579&amp;"|"&amp;9,Assessments!$A$2:$A$600,0)),"")</f>
        <v/>
      </c>
      <c r="CD579" s="28" t="str">
        <f aca="false">IFERROR(INDEX(Assessments!$H$2:$H$600,MATCH($H579&amp;"|"&amp;$I579&amp;"|"&amp;$J579&amp;"|"&amp;10,Assessments!$A$2:$A$600,0)),"")</f>
        <v/>
      </c>
      <c r="CE579" s="28" t="str">
        <f aca="false">IFERROR(INDEX(Assessments!$H$2:$H$600,MATCH($H579&amp;"|"&amp;$I579&amp;"|"&amp;$J579&amp;"|"&amp;11,Assessments!$A$2:$A$600,0)),"")</f>
        <v/>
      </c>
      <c r="CF579" s="28" t="str">
        <f aca="false">IFERROR(INDEX(Assessments!$H$2:$H$600,MATCH($H579&amp;"|"&amp;$I579&amp;"|"&amp;$J579&amp;"|"&amp;12,Assessments!$A$2:$A$600,0)),"")</f>
        <v/>
      </c>
      <c r="CG579" s="28" t="str">
        <f aca="false">IFERROR(INDEX(Assessments!$H$2:$H$600,MATCH($H579&amp;"|"&amp;$I579&amp;"|"&amp;$J579&amp;"|"&amp;13,Assessments!$A$2:$A$600,0)),"")</f>
        <v/>
      </c>
      <c r="CH579" s="28" t="str">
        <f aca="false">IFERROR(INDEX(Assessments!$H$2:$H$600,MATCH($H579&amp;"|"&amp;$I579&amp;"|"&amp;$J579&amp;"|"&amp;14,Assessments!$A$2:$A$600,0)),"")</f>
        <v/>
      </c>
      <c r="CI579" s="28" t="str">
        <f aca="false">IFERROR(INDEX(Assessments!$I$2:$I$600,MATCH($H579&amp;"|"&amp;$I579&amp;"|"&amp;$J579&amp;"|"&amp;1,Assessments!$A$2:$A$600,0)),"")</f>
        <v/>
      </c>
      <c r="CJ579" s="28" t="str">
        <f aca="false">IFERROR(INDEX(Assessments!$I$2:$I$600,MATCH($H579&amp;"|"&amp;$I579&amp;"|"&amp;$J579&amp;"|"&amp;2,Assessments!$A$2:$A$600,0)),"")</f>
        <v/>
      </c>
      <c r="CK579" s="28" t="str">
        <f aca="false">IFERROR(INDEX(Assessments!$I$2:$I$600,MATCH($H579&amp;"|"&amp;$I579&amp;"|"&amp;$J579&amp;"|"&amp;3,Assessments!$A$2:$A$600,0)),"")</f>
        <v/>
      </c>
      <c r="CL579" s="28" t="str">
        <f aca="false">IFERROR(INDEX(Assessments!$I$2:$I$600,MATCH($H579&amp;"|"&amp;$I579&amp;"|"&amp;$J579&amp;"|"&amp;4,Assessments!$A$2:$A$600,0)),"")</f>
        <v/>
      </c>
      <c r="CM579" s="28" t="str">
        <f aca="false">IFERROR(INDEX(Assessments!$I$2:$I$600,MATCH($H579&amp;"|"&amp;$I579&amp;"|"&amp;$J579&amp;"|"&amp;5,Assessments!$A$2:$A$600,0)),"")</f>
        <v/>
      </c>
      <c r="CN579" s="28" t="str">
        <f aca="false">IFERROR(INDEX(Assessments!$I$2:$I$600,MATCH($H579&amp;"|"&amp;$I579&amp;"|"&amp;$J579&amp;"|"&amp;6,Assessments!$A$2:$A$600,0)),"")</f>
        <v/>
      </c>
      <c r="CO579" s="28" t="str">
        <f aca="false">IFERROR(INDEX(Assessments!$I$2:$I$600,MATCH($H579&amp;"|"&amp;$I579&amp;"|"&amp;$J579&amp;"|"&amp;7,Assessments!$A$2:$A$600,0)),"")</f>
        <v/>
      </c>
      <c r="CP579" s="28" t="str">
        <f aca="false">IFERROR(INDEX(Assessments!$I$2:$I$600,MATCH($H579&amp;"|"&amp;$I579&amp;"|"&amp;$J579&amp;"|"&amp;8,Assessments!$A$2:$A$600,0)),"")</f>
        <v/>
      </c>
      <c r="CQ579" s="28" t="str">
        <f aca="false">IFERROR(INDEX(Assessments!$I$2:$I$600,MATCH($H579&amp;"|"&amp;$I579&amp;"|"&amp;$J579&amp;"|"&amp;9,Assessments!$A$2:$A$600,0)),"")</f>
        <v/>
      </c>
      <c r="CR579" s="28" t="str">
        <f aca="false">IFERROR(INDEX(Assessments!$I$2:$I$600,MATCH($H579&amp;"|"&amp;$I579&amp;"|"&amp;$J579&amp;"|"&amp;10,Assessments!$A$2:$A$600,0)),"")</f>
        <v/>
      </c>
      <c r="CS579" s="28" t="str">
        <f aca="false">IFERROR(INDEX(Assessments!$I$2:$I$600,MATCH($H579&amp;"|"&amp;$I579&amp;"|"&amp;$J579&amp;"|"&amp;11,Assessments!$A$2:$A$600,0)),"")</f>
        <v/>
      </c>
      <c r="CT579" s="28" t="str">
        <f aca="false">IFERROR(INDEX(Assessments!$I$2:$I$600,MATCH($H579&amp;"|"&amp;$I579&amp;"|"&amp;$J579&amp;"|"&amp;12,Assessments!$A$2:$A$600,0)),"")</f>
        <v/>
      </c>
      <c r="CU579" s="28" t="str">
        <f aca="false">IFERROR(INDEX(Assessments!$I$2:$I$600,MATCH($H579&amp;"|"&amp;$I579&amp;"|"&amp;$J579&amp;"|"&amp;13,Assessments!$A$2:$A$600,0)),"")</f>
        <v/>
      </c>
      <c r="CV579" s="28" t="str">
        <f aca="false">IFERROR(INDEX(Assessments!$I$2:$I$600,MATCH($H579&amp;"|"&amp;$I579&amp;"|"&amp;$J579&amp;"|"&amp;14,Assessments!$A$2:$A$600,0)),"")</f>
        <v/>
      </c>
      <c r="CW579" s="28" t="n">
        <f aca="false">IFERROR(INDEX(Assessments!$J$2:$J$600,MATCH($H579&amp;"|"&amp;$I579&amp;"|"&amp;$J579&amp;"|"&amp;1,Assessments!$A$2:$A$600,0)),0)</f>
        <v>0</v>
      </c>
      <c r="CX579" s="28" t="n">
        <f aca="false">IFERROR(INDEX(Assessments!$J$2:$J$600,MATCH($H579&amp;"|"&amp;$I579&amp;"|"&amp;$J579&amp;"|"&amp;2,Assessments!$A$2:$A$600,0)),0)</f>
        <v>0</v>
      </c>
      <c r="CY579" s="28" t="n">
        <f aca="false">IFERROR(INDEX(Assessments!$J$2:$J$600,MATCH($H579&amp;"|"&amp;$I579&amp;"|"&amp;$J579&amp;"|"&amp;3,Assessments!$A$2:$A$600,0)),0)</f>
        <v>0</v>
      </c>
      <c r="CZ579" s="28" t="n">
        <f aca="false">IFERROR(INDEX(Assessments!$J$2:$J$600,MATCH($H579&amp;"|"&amp;$I579&amp;"|"&amp;$J579&amp;"|"&amp;4,Assessments!$A$2:$A$600,0)),0)</f>
        <v>0</v>
      </c>
      <c r="DA579" s="28" t="n">
        <f aca="false">IFERROR(INDEX(Assessments!$J$2:$J$600,MATCH($H579&amp;"|"&amp;$I579&amp;"|"&amp;$J579&amp;"|"&amp;5,Assessments!$A$2:$A$600,0)),0)</f>
        <v>0</v>
      </c>
      <c r="DB579" s="28" t="n">
        <f aca="false">IFERROR(INDEX(Assessments!$J$2:$J$600,MATCH($H579&amp;"|"&amp;$I579&amp;"|"&amp;$J579&amp;"|"&amp;6,Assessments!$A$2:$A$600,0)),0)</f>
        <v>0</v>
      </c>
      <c r="DC579" s="28" t="n">
        <f aca="false">IFERROR(INDEX(Assessments!$J$2:$J$600,MATCH($H579&amp;"|"&amp;$I579&amp;"|"&amp;$J579&amp;"|"&amp;7,Assessments!$A$2:$A$600,0)),0)</f>
        <v>0</v>
      </c>
      <c r="DD579" s="28" t="n">
        <f aca="false">IFERROR(INDEX(Assessments!$J$2:$J$600,MATCH($H579&amp;"|"&amp;$I579&amp;"|"&amp;$J579&amp;"|"&amp;8,Assessments!$A$2:$A$600,0)),0)</f>
        <v>0</v>
      </c>
      <c r="DE579" s="28" t="n">
        <f aca="false">IFERROR(INDEX(Assessments!$J$2:$J$600,MATCH($H579&amp;"|"&amp;$I579&amp;"|"&amp;$J579&amp;"|"&amp;9,Assessments!$A$2:$A$600,0)),0)</f>
        <v>0</v>
      </c>
      <c r="DF579" s="28" t="n">
        <f aca="false">IFERROR(INDEX(Assessments!$J$2:$J$600,MATCH($H579&amp;"|"&amp;$I579&amp;"|"&amp;$J579&amp;"|"&amp;10,Assessments!$A$2:$A$600,0)),0)</f>
        <v>0</v>
      </c>
      <c r="DG579" s="28" t="n">
        <f aca="false">IFERROR(INDEX(Assessments!$J$2:$J$600,MATCH($H579&amp;"|"&amp;$I579&amp;"|"&amp;$J579&amp;"|"&amp;11,Assessments!$A$2:$A$600,0)),0)</f>
        <v>0</v>
      </c>
      <c r="DH579" s="28" t="n">
        <f aca="false">IFERROR(INDEX(Assessments!$J$2:$J$600,MATCH($H579&amp;"|"&amp;$I579&amp;"|"&amp;$J579&amp;"|"&amp;12,Assessments!$A$2:$A$600,0)),0)</f>
        <v>0</v>
      </c>
      <c r="DI579" s="28" t="n">
        <f aca="false">IFERROR(INDEX(Assessments!$J$2:$J$600,MATCH($H579&amp;"|"&amp;$I579&amp;"|"&amp;$J579&amp;"|"&amp;13,Assessments!$A$2:$A$600,0)),0)</f>
        <v>0</v>
      </c>
      <c r="DJ579" s="28" t="n">
        <f aca="false">IFERROR(INDEX(Assessments!$J$2:$J$600,MATCH($H579&amp;"|"&amp;$I579&amp;"|"&amp;$J579&amp;"|"&amp;14,Assessments!$A$2:$A$600,0)),0)</f>
        <v>0</v>
      </c>
      <c r="DK579" s="28" t="str">
        <f aca="false">S579</f>
        <v/>
      </c>
      <c r="DL579" s="28" t="str">
        <f aca="false">W579</f>
        <v/>
      </c>
      <c r="DM579" s="28" t="str">
        <f aca="false">AA579</f>
        <v/>
      </c>
      <c r="DN579" s="28" t="str">
        <f aca="false">AE579</f>
        <v/>
      </c>
      <c r="DO579" s="28" t="str">
        <f aca="false">AI579</f>
        <v/>
      </c>
      <c r="DP579" s="28" t="str">
        <f aca="false">AM579</f>
        <v/>
      </c>
      <c r="DQ579" s="28" t="str">
        <f aca="false">AQ579</f>
        <v/>
      </c>
      <c r="DR579" s="28" t="str">
        <f aca="false">AU579</f>
        <v/>
      </c>
      <c r="DS579" s="28" t="str">
        <f aca="false">AY579</f>
        <v/>
      </c>
      <c r="DT579" s="28" t="str">
        <f aca="false">BC579</f>
        <v/>
      </c>
      <c r="DU579" s="28" t="str">
        <f aca="false">BG579</f>
        <v/>
      </c>
      <c r="DV579" s="28" t="str">
        <f aca="false">BK579</f>
        <v/>
      </c>
      <c r="DW579" s="28" t="str">
        <f aca="false">BO579</f>
        <v/>
      </c>
      <c r="DX579" s="28" t="str">
        <f aca="false">BS579</f>
        <v/>
      </c>
      <c r="DY579" s="28" t="str">
        <f aca="false">IF(ISNUMBER(S579),1,"")</f>
        <v/>
      </c>
      <c r="DZ579" s="28" t="str">
        <f aca="false">IF(ISNUMBER(W579),2,"")</f>
        <v/>
      </c>
      <c r="EA579" s="28" t="str">
        <f aca="false">IF(ISNUMBER(AA579),3,"")</f>
        <v/>
      </c>
      <c r="EB579" s="28" t="str">
        <f aca="false">IF(ISNUMBER(AE579),4,"")</f>
        <v/>
      </c>
      <c r="EC579" s="28" t="str">
        <f aca="false">IF(ISNUMBER(AI579),5,"")</f>
        <v/>
      </c>
      <c r="ED579" s="28" t="str">
        <f aca="false">IF(ISNUMBER(AM579),6,"")</f>
        <v/>
      </c>
      <c r="EE579" s="28" t="str">
        <f aca="false">IF(ISNUMBER(AQ579),7,"")</f>
        <v/>
      </c>
      <c r="EF579" s="28" t="str">
        <f aca="false">IF(ISNUMBER(AU579),8,"")</f>
        <v/>
      </c>
      <c r="EG579" s="28" t="str">
        <f aca="false">IF(ISNUMBER(AY579),9,"")</f>
        <v/>
      </c>
      <c r="EH579" s="28" t="str">
        <f aca="false">IF(ISNUMBER(BC579),10,"")</f>
        <v/>
      </c>
      <c r="EI579" s="28" t="str">
        <f aca="false">IF(ISNUMBER(BG579),11,"")</f>
        <v/>
      </c>
      <c r="EJ579" s="28" t="str">
        <f aca="false">IF(ISNUMBER(BK579),12,"")</f>
        <v/>
      </c>
      <c r="EK579" s="28" t="str">
        <f aca="false">IF(ISNUMBER(BO579),13,"")</f>
        <v/>
      </c>
      <c r="EL579" s="28" t="str">
        <f aca="false">IF(ISNUMBER(BS579),14,"")</f>
        <v/>
      </c>
      <c r="EM579" s="28" t="n">
        <f aca="false">IF(ISNUMBER(R579),R579*CW579,0)</f>
        <v>0</v>
      </c>
      <c r="EN579" s="28" t="n">
        <f aca="false">IF(ISNUMBER(V579),V579*CX579,0)</f>
        <v>0</v>
      </c>
      <c r="EO579" s="28" t="n">
        <f aca="false">IF(ISNUMBER(Z579),Z579*CY579,0)</f>
        <v>0</v>
      </c>
      <c r="EP579" s="28" t="n">
        <f aca="false">IF(ISNUMBER(AD579),AD579*CZ579,0)</f>
        <v>0</v>
      </c>
      <c r="EQ579" s="28" t="n">
        <f aca="false">IF(ISNUMBER(AH579),AH579*DA579,0)</f>
        <v>0</v>
      </c>
      <c r="ER579" s="28" t="n">
        <f aca="false">IF(ISNUMBER(AL579),AL579*DB579,0)</f>
        <v>0</v>
      </c>
      <c r="ES579" s="28" t="n">
        <f aca="false">IF(ISNUMBER(AP579),AP579*DC579,0)</f>
        <v>0</v>
      </c>
      <c r="ET579" s="28" t="n">
        <f aca="false">IF(ISNUMBER(AT579),AT579*DD579,0)</f>
        <v>0</v>
      </c>
      <c r="EU579" s="28" t="n">
        <f aca="false">IF(ISNUMBER(AX579),AX579*DE579,0)</f>
        <v>0</v>
      </c>
      <c r="EV579" s="28" t="n">
        <f aca="false">IF(ISNUMBER(BB579),BB579*DF579,0)</f>
        <v>0</v>
      </c>
      <c r="EW579" s="28" t="n">
        <f aca="false">IF(ISNUMBER(BF579),BF579*DG579,0)</f>
        <v>0</v>
      </c>
      <c r="EX579" s="28" t="n">
        <f aca="false">IF(ISNUMBER(BJ579),BJ579*DH579,0)</f>
        <v>0</v>
      </c>
      <c r="EY579" s="28" t="n">
        <f aca="false">IF(ISNUMBER(BN579),BN579*DI579,0)</f>
        <v>0</v>
      </c>
      <c r="EZ579" s="28" t="n">
        <f aca="false">IF(ISNUMBER(BR579),BR579*DJ579,0)</f>
        <v>0</v>
      </c>
      <c r="FA579" s="28" t="n">
        <f aca="false">IF(ISNUMBER(R579),CW579,0)</f>
        <v>0</v>
      </c>
      <c r="FB579" s="28" t="n">
        <f aca="false">IF(ISNUMBER(V579),CX579,0)</f>
        <v>0</v>
      </c>
      <c r="FC579" s="28" t="n">
        <f aca="false">IF(ISNUMBER(Z579),CY579,0)</f>
        <v>0</v>
      </c>
      <c r="FD579" s="28" t="n">
        <f aca="false">IF(ISNUMBER(AD579),CZ579,0)</f>
        <v>0</v>
      </c>
      <c r="FE579" s="28" t="n">
        <f aca="false">IF(ISNUMBER(AH579),DA579,0)</f>
        <v>0</v>
      </c>
      <c r="FF579" s="28" t="n">
        <f aca="false">IF(ISNUMBER(AL579),DB579,0)</f>
        <v>0</v>
      </c>
      <c r="FG579" s="28" t="n">
        <f aca="false">IF(ISNUMBER(AP579),DC579,0)</f>
        <v>0</v>
      </c>
      <c r="FH579" s="28" t="n">
        <f aca="false">IF(ISNUMBER(AT579),DD579,0)</f>
        <v>0</v>
      </c>
      <c r="FI579" s="28" t="n">
        <f aca="false">IF(ISNUMBER(AX579),DE579,0)</f>
        <v>0</v>
      </c>
      <c r="FJ579" s="28" t="n">
        <f aca="false">IF(ISNUMBER(BB579),DF579,0)</f>
        <v>0</v>
      </c>
      <c r="FK579" s="28" t="n">
        <f aca="false">IF(ISNUMBER(BF579),DG579,0)</f>
        <v>0</v>
      </c>
      <c r="FL579" s="28" t="n">
        <f aca="false">IF(ISNUMBER(BJ579),DH579,0)</f>
        <v>0</v>
      </c>
      <c r="FM579" s="28" t="n">
        <f aca="false">IF(ISNUMBER(BN579),DI579,0)</f>
        <v>0</v>
      </c>
      <c r="FN579" s="28" t="n">
        <f aca="false">IF(ISNUMBER(BR579),DJ579,0)</f>
        <v>0</v>
      </c>
      <c r="FO579" s="28" t="str">
        <f aca="false">IFERROR(INDEX(Lists!$G$2:$G$20,MATCH($I579&amp;"|"&amp;$J579,Lists!$F$2:$F$20,0)),"")</f>
        <v/>
      </c>
    </row>
    <row r="580" customFormat="false" ht="19.5" hidden="false" customHeight="true" outlineLevel="0" collapsed="false">
      <c r="A580" s="29"/>
      <c r="B580" s="29"/>
      <c r="C580" s="30"/>
      <c r="D580" s="30"/>
      <c r="E580" s="31"/>
      <c r="F580" s="30"/>
      <c r="G580" s="30"/>
      <c r="H580" s="32"/>
      <c r="I580" s="33"/>
      <c r="J580" s="32"/>
      <c r="K580" s="34" t="str">
        <f aca="false">IF(OR(M580="",$E580=""),"",M580-$E580)</f>
        <v/>
      </c>
      <c r="L580" s="35" t="str">
        <f aca="false">IF(SUM(FA580:FN580)=0,"",SUM(EM580:EZ580)/SUM(FA580:FN580))</f>
        <v/>
      </c>
      <c r="M580" s="36" t="str">
        <f aca="false">IF(OR(L580="",FO580=""),"",IFERROR(MATCH(L580,INDEX(Boundaries!$B$2:$I$30,MATCH(FO580,Boundaries!$A$2:$A$30,0),0),1)-1,""))</f>
        <v/>
      </c>
      <c r="N580" s="37" t="str">
        <f aca="false">IF(COUNT($DY580:$EL580)&lt;2,"",INDEX($DK580:$DX580,MAX($DY580:$EL580))-INDEX($DK580:$DX580,MIN($DY580:$EL580)))</f>
        <v/>
      </c>
      <c r="O580" s="37" t="str">
        <f aca="false">IF(COUNT($DY580:$EL580)&lt;2,"",INDEX($DK580:$DX580,MAX($DY580:$EL580))-INDEX($DK580:$DX580,LARGE($DY580:$EL580,2)))</f>
        <v/>
      </c>
      <c r="P580" s="38" t="str">
        <f aca="false">IF(K580="","",IF(K580&gt;=0,"On/above target",IF(AND(N580&lt;&gt;"",N580&gt;=0.5),"Improving towards target",IF(AND(O580&lt;&gt;"",O580&lt;=-0.5),"Declining","Stable below target"))))</f>
        <v/>
      </c>
      <c r="Q580" s="39"/>
      <c r="R580" s="40" t="str">
        <f aca="false">IF(OR(Q580="",BU580=""),"",Q580/BU580*100)</f>
        <v/>
      </c>
      <c r="S580" s="41" t="str">
        <f aca="false">IF(R580="","",IFERROR(MATCH(R580,INDEX(Boundaries!$B$2:$I$30,MATCH(CI580,Boundaries!$A$2:$A$30,0),0),1)-1,""))</f>
        <v/>
      </c>
      <c r="T580" s="42" t="str">
        <f aca="false">IF(OR(S580="",$E580=""),"",S580-$E580)</f>
        <v/>
      </c>
      <c r="U580" s="39"/>
      <c r="V580" s="40" t="str">
        <f aca="false">IF(OR(U580="",BV580=""),"",U580/BV580*100)</f>
        <v/>
      </c>
      <c r="W580" s="41" t="str">
        <f aca="false">IF(V580="","",IFERROR(MATCH(V580,INDEX(Boundaries!$B$2:$I$30,MATCH(CJ580,Boundaries!$A$2:$A$30,0),0),1)-1,""))</f>
        <v/>
      </c>
      <c r="X580" s="42" t="str">
        <f aca="false">IF(OR(W580="",$E580=""),"",W580-$E580)</f>
        <v/>
      </c>
      <c r="Y580" s="39"/>
      <c r="Z580" s="40" t="str">
        <f aca="false">IF(OR(Y580="",BW580=""),"",Y580/BW580*100)</f>
        <v/>
      </c>
      <c r="AA580" s="41" t="str">
        <f aca="false">IF(Z580="","",IFERROR(MATCH(Z580,INDEX(Boundaries!$B$2:$I$30,MATCH(CK580,Boundaries!$A$2:$A$30,0),0),1)-1,""))</f>
        <v/>
      </c>
      <c r="AB580" s="42" t="str">
        <f aca="false">IF(OR(AA580="",$E580=""),"",AA580-$E580)</f>
        <v/>
      </c>
      <c r="AC580" s="39"/>
      <c r="AD580" s="40" t="str">
        <f aca="false">IF(OR(AC580="",BX580=""),"",AC580/BX580*100)</f>
        <v/>
      </c>
      <c r="AE580" s="41" t="str">
        <f aca="false">IF(AD580="","",IFERROR(MATCH(AD580,INDEX(Boundaries!$B$2:$I$30,MATCH(CL580,Boundaries!$A$2:$A$30,0),0),1)-1,""))</f>
        <v/>
      </c>
      <c r="AF580" s="42" t="str">
        <f aca="false">IF(OR(AE580="",$E580=""),"",AE580-$E580)</f>
        <v/>
      </c>
      <c r="AG580" s="39"/>
      <c r="AH580" s="40" t="str">
        <f aca="false">IF(OR(AG580="",BY580=""),"",AG580/BY580*100)</f>
        <v/>
      </c>
      <c r="AI580" s="41" t="str">
        <f aca="false">IF(AH580="","",IFERROR(MATCH(AH580,INDEX(Boundaries!$B$2:$I$30,MATCH(CM580,Boundaries!$A$2:$A$30,0),0),1)-1,""))</f>
        <v/>
      </c>
      <c r="AJ580" s="42" t="str">
        <f aca="false">IF(OR(AI580="",$E580=""),"",AI580-$E580)</f>
        <v/>
      </c>
      <c r="AK580" s="39"/>
      <c r="AL580" s="40" t="str">
        <f aca="false">IF(OR(AK580="",BZ580=""),"",AK580/BZ580*100)</f>
        <v/>
      </c>
      <c r="AM580" s="41" t="str">
        <f aca="false">IF(AL580="","",IFERROR(MATCH(AL580,INDEX(Boundaries!$B$2:$I$30,MATCH(CN580,Boundaries!$A$2:$A$30,0),0),1)-1,""))</f>
        <v/>
      </c>
      <c r="AN580" s="42" t="str">
        <f aca="false">IF(OR(AM580="",$E580=""),"",AM580-$E580)</f>
        <v/>
      </c>
      <c r="AO580" s="39"/>
      <c r="AP580" s="40" t="str">
        <f aca="false">IF(OR(AO580="",CA580=""),"",AO580/CA580*100)</f>
        <v/>
      </c>
      <c r="AQ580" s="41" t="str">
        <f aca="false">IF(AP580="","",IFERROR(MATCH(AP580,INDEX(Boundaries!$B$2:$I$30,MATCH(CO580,Boundaries!$A$2:$A$30,0),0),1)-1,""))</f>
        <v/>
      </c>
      <c r="AR580" s="42" t="str">
        <f aca="false">IF(OR(AQ580="",$E580=""),"",AQ580-$E580)</f>
        <v/>
      </c>
      <c r="AS580" s="39"/>
      <c r="AT580" s="40" t="str">
        <f aca="false">IF(OR(AS580="",CB580=""),"",AS580/CB580*100)</f>
        <v/>
      </c>
      <c r="AU580" s="41" t="str">
        <f aca="false">IF(AT580="","",IFERROR(MATCH(AT580,INDEX(Boundaries!$B$2:$I$30,MATCH(CP580,Boundaries!$A$2:$A$30,0),0),1)-1,""))</f>
        <v/>
      </c>
      <c r="AV580" s="42" t="str">
        <f aca="false">IF(OR(AU580="",$E580=""),"",AU580-$E580)</f>
        <v/>
      </c>
      <c r="AW580" s="39"/>
      <c r="AX580" s="40" t="str">
        <f aca="false">IF(OR(AW580="",CC580=""),"",AW580/CC580*100)</f>
        <v/>
      </c>
      <c r="AY580" s="41" t="str">
        <f aca="false">IF(AX580="","",IFERROR(MATCH(AX580,INDEX(Boundaries!$B$2:$I$30,MATCH(CQ580,Boundaries!$A$2:$A$30,0),0),1)-1,""))</f>
        <v/>
      </c>
      <c r="AZ580" s="42" t="str">
        <f aca="false">IF(OR(AY580="",$E580=""),"",AY580-$E580)</f>
        <v/>
      </c>
      <c r="BA580" s="39"/>
      <c r="BB580" s="40" t="str">
        <f aca="false">IF(OR(BA580="",CD580=""),"",BA580/CD580*100)</f>
        <v/>
      </c>
      <c r="BC580" s="41" t="str">
        <f aca="false">IF(BB580="","",IFERROR(MATCH(BB580,INDEX(Boundaries!$B$2:$I$30,MATCH(CR580,Boundaries!$A$2:$A$30,0),0),1)-1,""))</f>
        <v/>
      </c>
      <c r="BD580" s="42" t="str">
        <f aca="false">IF(OR(BC580="",$E580=""),"",BC580-$E580)</f>
        <v/>
      </c>
      <c r="BE580" s="39"/>
      <c r="BF580" s="40" t="str">
        <f aca="false">IF(OR(BE580="",CE580=""),"",BE580/CE580*100)</f>
        <v/>
      </c>
      <c r="BG580" s="41" t="str">
        <f aca="false">IF(BF580="","",IFERROR(MATCH(BF580,INDEX(Boundaries!$B$2:$I$30,MATCH(CS580,Boundaries!$A$2:$A$30,0),0),1)-1,""))</f>
        <v/>
      </c>
      <c r="BH580" s="42" t="str">
        <f aca="false">IF(OR(BG580="",$E580=""),"",BG580-$E580)</f>
        <v/>
      </c>
      <c r="BI580" s="39"/>
      <c r="BJ580" s="40" t="str">
        <f aca="false">IF(OR(BI580="",CF580=""),"",BI580/CF580*100)</f>
        <v/>
      </c>
      <c r="BK580" s="41" t="str">
        <f aca="false">IF(BJ580="","",IFERROR(MATCH(BJ580,INDEX(Boundaries!$B$2:$I$30,MATCH(CT580,Boundaries!$A$2:$A$30,0),0),1)-1,""))</f>
        <v/>
      </c>
      <c r="BL580" s="42" t="str">
        <f aca="false">IF(OR(BK580="",$E580=""),"",BK580-$E580)</f>
        <v/>
      </c>
      <c r="BM580" s="39"/>
      <c r="BN580" s="40" t="str">
        <f aca="false">IF(OR(BM580="",CG580=""),"",BM580/CG580*100)</f>
        <v/>
      </c>
      <c r="BO580" s="41" t="str">
        <f aca="false">IF(BN580="","",IFERROR(MATCH(BN580,INDEX(Boundaries!$B$2:$I$30,MATCH(CU580,Boundaries!$A$2:$A$30,0),0),1)-1,""))</f>
        <v/>
      </c>
      <c r="BP580" s="42" t="str">
        <f aca="false">IF(OR(BO580="",$E580=""),"",BO580-$E580)</f>
        <v/>
      </c>
      <c r="BQ580" s="39"/>
      <c r="BR580" s="40" t="str">
        <f aca="false">IF(OR(BQ580="",CH580=""),"",BQ580/CH580*100)</f>
        <v/>
      </c>
      <c r="BS580" s="41" t="str">
        <f aca="false">IF(BR580="","",IFERROR(MATCH(BR580,INDEX(Boundaries!$B$2:$I$30,MATCH(CV580,Boundaries!$A$2:$A$30,0),0),1)-1,""))</f>
        <v/>
      </c>
      <c r="BT580" s="42" t="str">
        <f aca="false">IF(OR(BS580="",$E580=""),"",BS580-$E580)</f>
        <v/>
      </c>
      <c r="BU580" s="28" t="str">
        <f aca="false">IFERROR(INDEX(Assessments!$H$2:$H$600,MATCH($H580&amp;"|"&amp;$I580&amp;"|"&amp;$J580&amp;"|"&amp;1,Assessments!$A$2:$A$600,0)),"")</f>
        <v/>
      </c>
      <c r="BV580" s="28" t="str">
        <f aca="false">IFERROR(INDEX(Assessments!$H$2:$H$600,MATCH($H580&amp;"|"&amp;$I580&amp;"|"&amp;$J580&amp;"|"&amp;2,Assessments!$A$2:$A$600,0)),"")</f>
        <v/>
      </c>
      <c r="BW580" s="28" t="str">
        <f aca="false">IFERROR(INDEX(Assessments!$H$2:$H$600,MATCH($H580&amp;"|"&amp;$I580&amp;"|"&amp;$J580&amp;"|"&amp;3,Assessments!$A$2:$A$600,0)),"")</f>
        <v/>
      </c>
      <c r="BX580" s="28" t="str">
        <f aca="false">IFERROR(INDEX(Assessments!$H$2:$H$600,MATCH($H580&amp;"|"&amp;$I580&amp;"|"&amp;$J580&amp;"|"&amp;4,Assessments!$A$2:$A$600,0)),"")</f>
        <v/>
      </c>
      <c r="BY580" s="28" t="str">
        <f aca="false">IFERROR(INDEX(Assessments!$H$2:$H$600,MATCH($H580&amp;"|"&amp;$I580&amp;"|"&amp;$J580&amp;"|"&amp;5,Assessments!$A$2:$A$600,0)),"")</f>
        <v/>
      </c>
      <c r="BZ580" s="28" t="str">
        <f aca="false">IFERROR(INDEX(Assessments!$H$2:$H$600,MATCH($H580&amp;"|"&amp;$I580&amp;"|"&amp;$J580&amp;"|"&amp;6,Assessments!$A$2:$A$600,0)),"")</f>
        <v/>
      </c>
      <c r="CA580" s="28" t="str">
        <f aca="false">IFERROR(INDEX(Assessments!$H$2:$H$600,MATCH($H580&amp;"|"&amp;$I580&amp;"|"&amp;$J580&amp;"|"&amp;7,Assessments!$A$2:$A$600,0)),"")</f>
        <v/>
      </c>
      <c r="CB580" s="28" t="str">
        <f aca="false">IFERROR(INDEX(Assessments!$H$2:$H$600,MATCH($H580&amp;"|"&amp;$I580&amp;"|"&amp;$J580&amp;"|"&amp;8,Assessments!$A$2:$A$600,0)),"")</f>
        <v/>
      </c>
      <c r="CC580" s="28" t="str">
        <f aca="false">IFERROR(INDEX(Assessments!$H$2:$H$600,MATCH($H580&amp;"|"&amp;$I580&amp;"|"&amp;$J580&amp;"|"&amp;9,Assessments!$A$2:$A$600,0)),"")</f>
        <v/>
      </c>
      <c r="CD580" s="28" t="str">
        <f aca="false">IFERROR(INDEX(Assessments!$H$2:$H$600,MATCH($H580&amp;"|"&amp;$I580&amp;"|"&amp;$J580&amp;"|"&amp;10,Assessments!$A$2:$A$600,0)),"")</f>
        <v/>
      </c>
      <c r="CE580" s="28" t="str">
        <f aca="false">IFERROR(INDEX(Assessments!$H$2:$H$600,MATCH($H580&amp;"|"&amp;$I580&amp;"|"&amp;$J580&amp;"|"&amp;11,Assessments!$A$2:$A$600,0)),"")</f>
        <v/>
      </c>
      <c r="CF580" s="28" t="str">
        <f aca="false">IFERROR(INDEX(Assessments!$H$2:$H$600,MATCH($H580&amp;"|"&amp;$I580&amp;"|"&amp;$J580&amp;"|"&amp;12,Assessments!$A$2:$A$600,0)),"")</f>
        <v/>
      </c>
      <c r="CG580" s="28" t="str">
        <f aca="false">IFERROR(INDEX(Assessments!$H$2:$H$600,MATCH($H580&amp;"|"&amp;$I580&amp;"|"&amp;$J580&amp;"|"&amp;13,Assessments!$A$2:$A$600,0)),"")</f>
        <v/>
      </c>
      <c r="CH580" s="28" t="str">
        <f aca="false">IFERROR(INDEX(Assessments!$H$2:$H$600,MATCH($H580&amp;"|"&amp;$I580&amp;"|"&amp;$J580&amp;"|"&amp;14,Assessments!$A$2:$A$600,0)),"")</f>
        <v/>
      </c>
      <c r="CI580" s="28" t="str">
        <f aca="false">IFERROR(INDEX(Assessments!$I$2:$I$600,MATCH($H580&amp;"|"&amp;$I580&amp;"|"&amp;$J580&amp;"|"&amp;1,Assessments!$A$2:$A$600,0)),"")</f>
        <v/>
      </c>
      <c r="CJ580" s="28" t="str">
        <f aca="false">IFERROR(INDEX(Assessments!$I$2:$I$600,MATCH($H580&amp;"|"&amp;$I580&amp;"|"&amp;$J580&amp;"|"&amp;2,Assessments!$A$2:$A$600,0)),"")</f>
        <v/>
      </c>
      <c r="CK580" s="28" t="str">
        <f aca="false">IFERROR(INDEX(Assessments!$I$2:$I$600,MATCH($H580&amp;"|"&amp;$I580&amp;"|"&amp;$J580&amp;"|"&amp;3,Assessments!$A$2:$A$600,0)),"")</f>
        <v/>
      </c>
      <c r="CL580" s="28" t="str">
        <f aca="false">IFERROR(INDEX(Assessments!$I$2:$I$600,MATCH($H580&amp;"|"&amp;$I580&amp;"|"&amp;$J580&amp;"|"&amp;4,Assessments!$A$2:$A$600,0)),"")</f>
        <v/>
      </c>
      <c r="CM580" s="28" t="str">
        <f aca="false">IFERROR(INDEX(Assessments!$I$2:$I$600,MATCH($H580&amp;"|"&amp;$I580&amp;"|"&amp;$J580&amp;"|"&amp;5,Assessments!$A$2:$A$600,0)),"")</f>
        <v/>
      </c>
      <c r="CN580" s="28" t="str">
        <f aca="false">IFERROR(INDEX(Assessments!$I$2:$I$600,MATCH($H580&amp;"|"&amp;$I580&amp;"|"&amp;$J580&amp;"|"&amp;6,Assessments!$A$2:$A$600,0)),"")</f>
        <v/>
      </c>
      <c r="CO580" s="28" t="str">
        <f aca="false">IFERROR(INDEX(Assessments!$I$2:$I$600,MATCH($H580&amp;"|"&amp;$I580&amp;"|"&amp;$J580&amp;"|"&amp;7,Assessments!$A$2:$A$600,0)),"")</f>
        <v/>
      </c>
      <c r="CP580" s="28" t="str">
        <f aca="false">IFERROR(INDEX(Assessments!$I$2:$I$600,MATCH($H580&amp;"|"&amp;$I580&amp;"|"&amp;$J580&amp;"|"&amp;8,Assessments!$A$2:$A$600,0)),"")</f>
        <v/>
      </c>
      <c r="CQ580" s="28" t="str">
        <f aca="false">IFERROR(INDEX(Assessments!$I$2:$I$600,MATCH($H580&amp;"|"&amp;$I580&amp;"|"&amp;$J580&amp;"|"&amp;9,Assessments!$A$2:$A$600,0)),"")</f>
        <v/>
      </c>
      <c r="CR580" s="28" t="str">
        <f aca="false">IFERROR(INDEX(Assessments!$I$2:$I$600,MATCH($H580&amp;"|"&amp;$I580&amp;"|"&amp;$J580&amp;"|"&amp;10,Assessments!$A$2:$A$600,0)),"")</f>
        <v/>
      </c>
      <c r="CS580" s="28" t="str">
        <f aca="false">IFERROR(INDEX(Assessments!$I$2:$I$600,MATCH($H580&amp;"|"&amp;$I580&amp;"|"&amp;$J580&amp;"|"&amp;11,Assessments!$A$2:$A$600,0)),"")</f>
        <v/>
      </c>
      <c r="CT580" s="28" t="str">
        <f aca="false">IFERROR(INDEX(Assessments!$I$2:$I$600,MATCH($H580&amp;"|"&amp;$I580&amp;"|"&amp;$J580&amp;"|"&amp;12,Assessments!$A$2:$A$600,0)),"")</f>
        <v/>
      </c>
      <c r="CU580" s="28" t="str">
        <f aca="false">IFERROR(INDEX(Assessments!$I$2:$I$600,MATCH($H580&amp;"|"&amp;$I580&amp;"|"&amp;$J580&amp;"|"&amp;13,Assessments!$A$2:$A$600,0)),"")</f>
        <v/>
      </c>
      <c r="CV580" s="28" t="str">
        <f aca="false">IFERROR(INDEX(Assessments!$I$2:$I$600,MATCH($H580&amp;"|"&amp;$I580&amp;"|"&amp;$J580&amp;"|"&amp;14,Assessments!$A$2:$A$600,0)),"")</f>
        <v/>
      </c>
      <c r="CW580" s="28" t="n">
        <f aca="false">IFERROR(INDEX(Assessments!$J$2:$J$600,MATCH($H580&amp;"|"&amp;$I580&amp;"|"&amp;$J580&amp;"|"&amp;1,Assessments!$A$2:$A$600,0)),0)</f>
        <v>0</v>
      </c>
      <c r="CX580" s="28" t="n">
        <f aca="false">IFERROR(INDEX(Assessments!$J$2:$J$600,MATCH($H580&amp;"|"&amp;$I580&amp;"|"&amp;$J580&amp;"|"&amp;2,Assessments!$A$2:$A$600,0)),0)</f>
        <v>0</v>
      </c>
      <c r="CY580" s="28" t="n">
        <f aca="false">IFERROR(INDEX(Assessments!$J$2:$J$600,MATCH($H580&amp;"|"&amp;$I580&amp;"|"&amp;$J580&amp;"|"&amp;3,Assessments!$A$2:$A$600,0)),0)</f>
        <v>0</v>
      </c>
      <c r="CZ580" s="28" t="n">
        <f aca="false">IFERROR(INDEX(Assessments!$J$2:$J$600,MATCH($H580&amp;"|"&amp;$I580&amp;"|"&amp;$J580&amp;"|"&amp;4,Assessments!$A$2:$A$600,0)),0)</f>
        <v>0</v>
      </c>
      <c r="DA580" s="28" t="n">
        <f aca="false">IFERROR(INDEX(Assessments!$J$2:$J$600,MATCH($H580&amp;"|"&amp;$I580&amp;"|"&amp;$J580&amp;"|"&amp;5,Assessments!$A$2:$A$600,0)),0)</f>
        <v>0</v>
      </c>
      <c r="DB580" s="28" t="n">
        <f aca="false">IFERROR(INDEX(Assessments!$J$2:$J$600,MATCH($H580&amp;"|"&amp;$I580&amp;"|"&amp;$J580&amp;"|"&amp;6,Assessments!$A$2:$A$600,0)),0)</f>
        <v>0</v>
      </c>
      <c r="DC580" s="28" t="n">
        <f aca="false">IFERROR(INDEX(Assessments!$J$2:$J$600,MATCH($H580&amp;"|"&amp;$I580&amp;"|"&amp;$J580&amp;"|"&amp;7,Assessments!$A$2:$A$600,0)),0)</f>
        <v>0</v>
      </c>
      <c r="DD580" s="28" t="n">
        <f aca="false">IFERROR(INDEX(Assessments!$J$2:$J$600,MATCH($H580&amp;"|"&amp;$I580&amp;"|"&amp;$J580&amp;"|"&amp;8,Assessments!$A$2:$A$600,0)),0)</f>
        <v>0</v>
      </c>
      <c r="DE580" s="28" t="n">
        <f aca="false">IFERROR(INDEX(Assessments!$J$2:$J$600,MATCH($H580&amp;"|"&amp;$I580&amp;"|"&amp;$J580&amp;"|"&amp;9,Assessments!$A$2:$A$600,0)),0)</f>
        <v>0</v>
      </c>
      <c r="DF580" s="28" t="n">
        <f aca="false">IFERROR(INDEX(Assessments!$J$2:$J$600,MATCH($H580&amp;"|"&amp;$I580&amp;"|"&amp;$J580&amp;"|"&amp;10,Assessments!$A$2:$A$600,0)),0)</f>
        <v>0</v>
      </c>
      <c r="DG580" s="28" t="n">
        <f aca="false">IFERROR(INDEX(Assessments!$J$2:$J$600,MATCH($H580&amp;"|"&amp;$I580&amp;"|"&amp;$J580&amp;"|"&amp;11,Assessments!$A$2:$A$600,0)),0)</f>
        <v>0</v>
      </c>
      <c r="DH580" s="28" t="n">
        <f aca="false">IFERROR(INDEX(Assessments!$J$2:$J$600,MATCH($H580&amp;"|"&amp;$I580&amp;"|"&amp;$J580&amp;"|"&amp;12,Assessments!$A$2:$A$600,0)),0)</f>
        <v>0</v>
      </c>
      <c r="DI580" s="28" t="n">
        <f aca="false">IFERROR(INDEX(Assessments!$J$2:$J$600,MATCH($H580&amp;"|"&amp;$I580&amp;"|"&amp;$J580&amp;"|"&amp;13,Assessments!$A$2:$A$600,0)),0)</f>
        <v>0</v>
      </c>
      <c r="DJ580" s="28" t="n">
        <f aca="false">IFERROR(INDEX(Assessments!$J$2:$J$600,MATCH($H580&amp;"|"&amp;$I580&amp;"|"&amp;$J580&amp;"|"&amp;14,Assessments!$A$2:$A$600,0)),0)</f>
        <v>0</v>
      </c>
      <c r="DK580" s="28" t="str">
        <f aca="false">S580</f>
        <v/>
      </c>
      <c r="DL580" s="28" t="str">
        <f aca="false">W580</f>
        <v/>
      </c>
      <c r="DM580" s="28" t="str">
        <f aca="false">AA580</f>
        <v/>
      </c>
      <c r="DN580" s="28" t="str">
        <f aca="false">AE580</f>
        <v/>
      </c>
      <c r="DO580" s="28" t="str">
        <f aca="false">AI580</f>
        <v/>
      </c>
      <c r="DP580" s="28" t="str">
        <f aca="false">AM580</f>
        <v/>
      </c>
      <c r="DQ580" s="28" t="str">
        <f aca="false">AQ580</f>
        <v/>
      </c>
      <c r="DR580" s="28" t="str">
        <f aca="false">AU580</f>
        <v/>
      </c>
      <c r="DS580" s="28" t="str">
        <f aca="false">AY580</f>
        <v/>
      </c>
      <c r="DT580" s="28" t="str">
        <f aca="false">BC580</f>
        <v/>
      </c>
      <c r="DU580" s="28" t="str">
        <f aca="false">BG580</f>
        <v/>
      </c>
      <c r="DV580" s="28" t="str">
        <f aca="false">BK580</f>
        <v/>
      </c>
      <c r="DW580" s="28" t="str">
        <f aca="false">BO580</f>
        <v/>
      </c>
      <c r="DX580" s="28" t="str">
        <f aca="false">BS580</f>
        <v/>
      </c>
      <c r="DY580" s="28" t="str">
        <f aca="false">IF(ISNUMBER(S580),1,"")</f>
        <v/>
      </c>
      <c r="DZ580" s="28" t="str">
        <f aca="false">IF(ISNUMBER(W580),2,"")</f>
        <v/>
      </c>
      <c r="EA580" s="28" t="str">
        <f aca="false">IF(ISNUMBER(AA580),3,"")</f>
        <v/>
      </c>
      <c r="EB580" s="28" t="str">
        <f aca="false">IF(ISNUMBER(AE580),4,"")</f>
        <v/>
      </c>
      <c r="EC580" s="28" t="str">
        <f aca="false">IF(ISNUMBER(AI580),5,"")</f>
        <v/>
      </c>
      <c r="ED580" s="28" t="str">
        <f aca="false">IF(ISNUMBER(AM580),6,"")</f>
        <v/>
      </c>
      <c r="EE580" s="28" t="str">
        <f aca="false">IF(ISNUMBER(AQ580),7,"")</f>
        <v/>
      </c>
      <c r="EF580" s="28" t="str">
        <f aca="false">IF(ISNUMBER(AU580),8,"")</f>
        <v/>
      </c>
      <c r="EG580" s="28" t="str">
        <f aca="false">IF(ISNUMBER(AY580),9,"")</f>
        <v/>
      </c>
      <c r="EH580" s="28" t="str">
        <f aca="false">IF(ISNUMBER(BC580),10,"")</f>
        <v/>
      </c>
      <c r="EI580" s="28" t="str">
        <f aca="false">IF(ISNUMBER(BG580),11,"")</f>
        <v/>
      </c>
      <c r="EJ580" s="28" t="str">
        <f aca="false">IF(ISNUMBER(BK580),12,"")</f>
        <v/>
      </c>
      <c r="EK580" s="28" t="str">
        <f aca="false">IF(ISNUMBER(BO580),13,"")</f>
        <v/>
      </c>
      <c r="EL580" s="28" t="str">
        <f aca="false">IF(ISNUMBER(BS580),14,"")</f>
        <v/>
      </c>
      <c r="EM580" s="28" t="n">
        <f aca="false">IF(ISNUMBER(R580),R580*CW580,0)</f>
        <v>0</v>
      </c>
      <c r="EN580" s="28" t="n">
        <f aca="false">IF(ISNUMBER(V580),V580*CX580,0)</f>
        <v>0</v>
      </c>
      <c r="EO580" s="28" t="n">
        <f aca="false">IF(ISNUMBER(Z580),Z580*CY580,0)</f>
        <v>0</v>
      </c>
      <c r="EP580" s="28" t="n">
        <f aca="false">IF(ISNUMBER(AD580),AD580*CZ580,0)</f>
        <v>0</v>
      </c>
      <c r="EQ580" s="28" t="n">
        <f aca="false">IF(ISNUMBER(AH580),AH580*DA580,0)</f>
        <v>0</v>
      </c>
      <c r="ER580" s="28" t="n">
        <f aca="false">IF(ISNUMBER(AL580),AL580*DB580,0)</f>
        <v>0</v>
      </c>
      <c r="ES580" s="28" t="n">
        <f aca="false">IF(ISNUMBER(AP580),AP580*DC580,0)</f>
        <v>0</v>
      </c>
      <c r="ET580" s="28" t="n">
        <f aca="false">IF(ISNUMBER(AT580),AT580*DD580,0)</f>
        <v>0</v>
      </c>
      <c r="EU580" s="28" t="n">
        <f aca="false">IF(ISNUMBER(AX580),AX580*DE580,0)</f>
        <v>0</v>
      </c>
      <c r="EV580" s="28" t="n">
        <f aca="false">IF(ISNUMBER(BB580),BB580*DF580,0)</f>
        <v>0</v>
      </c>
      <c r="EW580" s="28" t="n">
        <f aca="false">IF(ISNUMBER(BF580),BF580*DG580,0)</f>
        <v>0</v>
      </c>
      <c r="EX580" s="28" t="n">
        <f aca="false">IF(ISNUMBER(BJ580),BJ580*DH580,0)</f>
        <v>0</v>
      </c>
      <c r="EY580" s="28" t="n">
        <f aca="false">IF(ISNUMBER(BN580),BN580*DI580,0)</f>
        <v>0</v>
      </c>
      <c r="EZ580" s="28" t="n">
        <f aca="false">IF(ISNUMBER(BR580),BR580*DJ580,0)</f>
        <v>0</v>
      </c>
      <c r="FA580" s="28" t="n">
        <f aca="false">IF(ISNUMBER(R580),CW580,0)</f>
        <v>0</v>
      </c>
      <c r="FB580" s="28" t="n">
        <f aca="false">IF(ISNUMBER(V580),CX580,0)</f>
        <v>0</v>
      </c>
      <c r="FC580" s="28" t="n">
        <f aca="false">IF(ISNUMBER(Z580),CY580,0)</f>
        <v>0</v>
      </c>
      <c r="FD580" s="28" t="n">
        <f aca="false">IF(ISNUMBER(AD580),CZ580,0)</f>
        <v>0</v>
      </c>
      <c r="FE580" s="28" t="n">
        <f aca="false">IF(ISNUMBER(AH580),DA580,0)</f>
        <v>0</v>
      </c>
      <c r="FF580" s="28" t="n">
        <f aca="false">IF(ISNUMBER(AL580),DB580,0)</f>
        <v>0</v>
      </c>
      <c r="FG580" s="28" t="n">
        <f aca="false">IF(ISNUMBER(AP580),DC580,0)</f>
        <v>0</v>
      </c>
      <c r="FH580" s="28" t="n">
        <f aca="false">IF(ISNUMBER(AT580),DD580,0)</f>
        <v>0</v>
      </c>
      <c r="FI580" s="28" t="n">
        <f aca="false">IF(ISNUMBER(AX580),DE580,0)</f>
        <v>0</v>
      </c>
      <c r="FJ580" s="28" t="n">
        <f aca="false">IF(ISNUMBER(BB580),DF580,0)</f>
        <v>0</v>
      </c>
      <c r="FK580" s="28" t="n">
        <f aca="false">IF(ISNUMBER(BF580),DG580,0)</f>
        <v>0</v>
      </c>
      <c r="FL580" s="28" t="n">
        <f aca="false">IF(ISNUMBER(BJ580),DH580,0)</f>
        <v>0</v>
      </c>
      <c r="FM580" s="28" t="n">
        <f aca="false">IF(ISNUMBER(BN580),DI580,0)</f>
        <v>0</v>
      </c>
      <c r="FN580" s="28" t="n">
        <f aca="false">IF(ISNUMBER(BR580),DJ580,0)</f>
        <v>0</v>
      </c>
      <c r="FO580" s="28" t="str">
        <f aca="false">IFERROR(INDEX(Lists!$G$2:$G$20,MATCH($I580&amp;"|"&amp;$J580,Lists!$F$2:$F$20,0)),"")</f>
        <v/>
      </c>
    </row>
    <row r="581" customFormat="false" ht="19.5" hidden="false" customHeight="true" outlineLevel="0" collapsed="false">
      <c r="A581" s="29"/>
      <c r="B581" s="29"/>
      <c r="C581" s="30"/>
      <c r="D581" s="30"/>
      <c r="E581" s="31"/>
      <c r="F581" s="30"/>
      <c r="G581" s="30"/>
      <c r="H581" s="32"/>
      <c r="I581" s="33"/>
      <c r="J581" s="32"/>
      <c r="K581" s="34" t="str">
        <f aca="false">IF(OR(M581="",$E581=""),"",M581-$E581)</f>
        <v/>
      </c>
      <c r="L581" s="35" t="str">
        <f aca="false">IF(SUM(FA581:FN581)=0,"",SUM(EM581:EZ581)/SUM(FA581:FN581))</f>
        <v/>
      </c>
      <c r="M581" s="36" t="str">
        <f aca="false">IF(OR(L581="",FO581=""),"",IFERROR(MATCH(L581,INDEX(Boundaries!$B$2:$I$30,MATCH(FO581,Boundaries!$A$2:$A$30,0),0),1)-1,""))</f>
        <v/>
      </c>
      <c r="N581" s="37" t="str">
        <f aca="false">IF(COUNT($DY581:$EL581)&lt;2,"",INDEX($DK581:$DX581,MAX($DY581:$EL581))-INDEX($DK581:$DX581,MIN($DY581:$EL581)))</f>
        <v/>
      </c>
      <c r="O581" s="37" t="str">
        <f aca="false">IF(COUNT($DY581:$EL581)&lt;2,"",INDEX($DK581:$DX581,MAX($DY581:$EL581))-INDEX($DK581:$DX581,LARGE($DY581:$EL581,2)))</f>
        <v/>
      </c>
      <c r="P581" s="38" t="str">
        <f aca="false">IF(K581="","",IF(K581&gt;=0,"On/above target",IF(AND(N581&lt;&gt;"",N581&gt;=0.5),"Improving towards target",IF(AND(O581&lt;&gt;"",O581&lt;=-0.5),"Declining","Stable below target"))))</f>
        <v/>
      </c>
      <c r="Q581" s="39"/>
      <c r="R581" s="40" t="str">
        <f aca="false">IF(OR(Q581="",BU581=""),"",Q581/BU581*100)</f>
        <v/>
      </c>
      <c r="S581" s="41" t="str">
        <f aca="false">IF(R581="","",IFERROR(MATCH(R581,INDEX(Boundaries!$B$2:$I$30,MATCH(CI581,Boundaries!$A$2:$A$30,0),0),1)-1,""))</f>
        <v/>
      </c>
      <c r="T581" s="42" t="str">
        <f aca="false">IF(OR(S581="",$E581=""),"",S581-$E581)</f>
        <v/>
      </c>
      <c r="U581" s="39"/>
      <c r="V581" s="40" t="str">
        <f aca="false">IF(OR(U581="",BV581=""),"",U581/BV581*100)</f>
        <v/>
      </c>
      <c r="W581" s="41" t="str">
        <f aca="false">IF(V581="","",IFERROR(MATCH(V581,INDEX(Boundaries!$B$2:$I$30,MATCH(CJ581,Boundaries!$A$2:$A$30,0),0),1)-1,""))</f>
        <v/>
      </c>
      <c r="X581" s="42" t="str">
        <f aca="false">IF(OR(W581="",$E581=""),"",W581-$E581)</f>
        <v/>
      </c>
      <c r="Y581" s="39"/>
      <c r="Z581" s="40" t="str">
        <f aca="false">IF(OR(Y581="",BW581=""),"",Y581/BW581*100)</f>
        <v/>
      </c>
      <c r="AA581" s="41" t="str">
        <f aca="false">IF(Z581="","",IFERROR(MATCH(Z581,INDEX(Boundaries!$B$2:$I$30,MATCH(CK581,Boundaries!$A$2:$A$30,0),0),1)-1,""))</f>
        <v/>
      </c>
      <c r="AB581" s="42" t="str">
        <f aca="false">IF(OR(AA581="",$E581=""),"",AA581-$E581)</f>
        <v/>
      </c>
      <c r="AC581" s="39"/>
      <c r="AD581" s="40" t="str">
        <f aca="false">IF(OR(AC581="",BX581=""),"",AC581/BX581*100)</f>
        <v/>
      </c>
      <c r="AE581" s="41" t="str">
        <f aca="false">IF(AD581="","",IFERROR(MATCH(AD581,INDEX(Boundaries!$B$2:$I$30,MATCH(CL581,Boundaries!$A$2:$A$30,0),0),1)-1,""))</f>
        <v/>
      </c>
      <c r="AF581" s="42" t="str">
        <f aca="false">IF(OR(AE581="",$E581=""),"",AE581-$E581)</f>
        <v/>
      </c>
      <c r="AG581" s="39"/>
      <c r="AH581" s="40" t="str">
        <f aca="false">IF(OR(AG581="",BY581=""),"",AG581/BY581*100)</f>
        <v/>
      </c>
      <c r="AI581" s="41" t="str">
        <f aca="false">IF(AH581="","",IFERROR(MATCH(AH581,INDEX(Boundaries!$B$2:$I$30,MATCH(CM581,Boundaries!$A$2:$A$30,0),0),1)-1,""))</f>
        <v/>
      </c>
      <c r="AJ581" s="42" t="str">
        <f aca="false">IF(OR(AI581="",$E581=""),"",AI581-$E581)</f>
        <v/>
      </c>
      <c r="AK581" s="39"/>
      <c r="AL581" s="40" t="str">
        <f aca="false">IF(OR(AK581="",BZ581=""),"",AK581/BZ581*100)</f>
        <v/>
      </c>
      <c r="AM581" s="41" t="str">
        <f aca="false">IF(AL581="","",IFERROR(MATCH(AL581,INDEX(Boundaries!$B$2:$I$30,MATCH(CN581,Boundaries!$A$2:$A$30,0),0),1)-1,""))</f>
        <v/>
      </c>
      <c r="AN581" s="42" t="str">
        <f aca="false">IF(OR(AM581="",$E581=""),"",AM581-$E581)</f>
        <v/>
      </c>
      <c r="AO581" s="39"/>
      <c r="AP581" s="40" t="str">
        <f aca="false">IF(OR(AO581="",CA581=""),"",AO581/CA581*100)</f>
        <v/>
      </c>
      <c r="AQ581" s="41" t="str">
        <f aca="false">IF(AP581="","",IFERROR(MATCH(AP581,INDEX(Boundaries!$B$2:$I$30,MATCH(CO581,Boundaries!$A$2:$A$30,0),0),1)-1,""))</f>
        <v/>
      </c>
      <c r="AR581" s="42" t="str">
        <f aca="false">IF(OR(AQ581="",$E581=""),"",AQ581-$E581)</f>
        <v/>
      </c>
      <c r="AS581" s="39"/>
      <c r="AT581" s="40" t="str">
        <f aca="false">IF(OR(AS581="",CB581=""),"",AS581/CB581*100)</f>
        <v/>
      </c>
      <c r="AU581" s="41" t="str">
        <f aca="false">IF(AT581="","",IFERROR(MATCH(AT581,INDEX(Boundaries!$B$2:$I$30,MATCH(CP581,Boundaries!$A$2:$A$30,0),0),1)-1,""))</f>
        <v/>
      </c>
      <c r="AV581" s="42" t="str">
        <f aca="false">IF(OR(AU581="",$E581=""),"",AU581-$E581)</f>
        <v/>
      </c>
      <c r="AW581" s="39"/>
      <c r="AX581" s="40" t="str">
        <f aca="false">IF(OR(AW581="",CC581=""),"",AW581/CC581*100)</f>
        <v/>
      </c>
      <c r="AY581" s="41" t="str">
        <f aca="false">IF(AX581="","",IFERROR(MATCH(AX581,INDEX(Boundaries!$B$2:$I$30,MATCH(CQ581,Boundaries!$A$2:$A$30,0),0),1)-1,""))</f>
        <v/>
      </c>
      <c r="AZ581" s="42" t="str">
        <f aca="false">IF(OR(AY581="",$E581=""),"",AY581-$E581)</f>
        <v/>
      </c>
      <c r="BA581" s="39"/>
      <c r="BB581" s="40" t="str">
        <f aca="false">IF(OR(BA581="",CD581=""),"",BA581/CD581*100)</f>
        <v/>
      </c>
      <c r="BC581" s="41" t="str">
        <f aca="false">IF(BB581="","",IFERROR(MATCH(BB581,INDEX(Boundaries!$B$2:$I$30,MATCH(CR581,Boundaries!$A$2:$A$30,0),0),1)-1,""))</f>
        <v/>
      </c>
      <c r="BD581" s="42" t="str">
        <f aca="false">IF(OR(BC581="",$E581=""),"",BC581-$E581)</f>
        <v/>
      </c>
      <c r="BE581" s="39"/>
      <c r="BF581" s="40" t="str">
        <f aca="false">IF(OR(BE581="",CE581=""),"",BE581/CE581*100)</f>
        <v/>
      </c>
      <c r="BG581" s="41" t="str">
        <f aca="false">IF(BF581="","",IFERROR(MATCH(BF581,INDEX(Boundaries!$B$2:$I$30,MATCH(CS581,Boundaries!$A$2:$A$30,0),0),1)-1,""))</f>
        <v/>
      </c>
      <c r="BH581" s="42" t="str">
        <f aca="false">IF(OR(BG581="",$E581=""),"",BG581-$E581)</f>
        <v/>
      </c>
      <c r="BI581" s="39"/>
      <c r="BJ581" s="40" t="str">
        <f aca="false">IF(OR(BI581="",CF581=""),"",BI581/CF581*100)</f>
        <v/>
      </c>
      <c r="BK581" s="41" t="str">
        <f aca="false">IF(BJ581="","",IFERROR(MATCH(BJ581,INDEX(Boundaries!$B$2:$I$30,MATCH(CT581,Boundaries!$A$2:$A$30,0),0),1)-1,""))</f>
        <v/>
      </c>
      <c r="BL581" s="42" t="str">
        <f aca="false">IF(OR(BK581="",$E581=""),"",BK581-$E581)</f>
        <v/>
      </c>
      <c r="BM581" s="39"/>
      <c r="BN581" s="40" t="str">
        <f aca="false">IF(OR(BM581="",CG581=""),"",BM581/CG581*100)</f>
        <v/>
      </c>
      <c r="BO581" s="41" t="str">
        <f aca="false">IF(BN581="","",IFERROR(MATCH(BN581,INDEX(Boundaries!$B$2:$I$30,MATCH(CU581,Boundaries!$A$2:$A$30,0),0),1)-1,""))</f>
        <v/>
      </c>
      <c r="BP581" s="42" t="str">
        <f aca="false">IF(OR(BO581="",$E581=""),"",BO581-$E581)</f>
        <v/>
      </c>
      <c r="BQ581" s="39"/>
      <c r="BR581" s="40" t="str">
        <f aca="false">IF(OR(BQ581="",CH581=""),"",BQ581/CH581*100)</f>
        <v/>
      </c>
      <c r="BS581" s="41" t="str">
        <f aca="false">IF(BR581="","",IFERROR(MATCH(BR581,INDEX(Boundaries!$B$2:$I$30,MATCH(CV581,Boundaries!$A$2:$A$30,0),0),1)-1,""))</f>
        <v/>
      </c>
      <c r="BT581" s="42" t="str">
        <f aca="false">IF(OR(BS581="",$E581=""),"",BS581-$E581)</f>
        <v/>
      </c>
      <c r="BU581" s="28" t="str">
        <f aca="false">IFERROR(INDEX(Assessments!$H$2:$H$600,MATCH($H581&amp;"|"&amp;$I581&amp;"|"&amp;$J581&amp;"|"&amp;1,Assessments!$A$2:$A$600,0)),"")</f>
        <v/>
      </c>
      <c r="BV581" s="28" t="str">
        <f aca="false">IFERROR(INDEX(Assessments!$H$2:$H$600,MATCH($H581&amp;"|"&amp;$I581&amp;"|"&amp;$J581&amp;"|"&amp;2,Assessments!$A$2:$A$600,0)),"")</f>
        <v/>
      </c>
      <c r="BW581" s="28" t="str">
        <f aca="false">IFERROR(INDEX(Assessments!$H$2:$H$600,MATCH($H581&amp;"|"&amp;$I581&amp;"|"&amp;$J581&amp;"|"&amp;3,Assessments!$A$2:$A$600,0)),"")</f>
        <v/>
      </c>
      <c r="BX581" s="28" t="str">
        <f aca="false">IFERROR(INDEX(Assessments!$H$2:$H$600,MATCH($H581&amp;"|"&amp;$I581&amp;"|"&amp;$J581&amp;"|"&amp;4,Assessments!$A$2:$A$600,0)),"")</f>
        <v/>
      </c>
      <c r="BY581" s="28" t="str">
        <f aca="false">IFERROR(INDEX(Assessments!$H$2:$H$600,MATCH($H581&amp;"|"&amp;$I581&amp;"|"&amp;$J581&amp;"|"&amp;5,Assessments!$A$2:$A$600,0)),"")</f>
        <v/>
      </c>
      <c r="BZ581" s="28" t="str">
        <f aca="false">IFERROR(INDEX(Assessments!$H$2:$H$600,MATCH($H581&amp;"|"&amp;$I581&amp;"|"&amp;$J581&amp;"|"&amp;6,Assessments!$A$2:$A$600,0)),"")</f>
        <v/>
      </c>
      <c r="CA581" s="28" t="str">
        <f aca="false">IFERROR(INDEX(Assessments!$H$2:$H$600,MATCH($H581&amp;"|"&amp;$I581&amp;"|"&amp;$J581&amp;"|"&amp;7,Assessments!$A$2:$A$600,0)),"")</f>
        <v/>
      </c>
      <c r="CB581" s="28" t="str">
        <f aca="false">IFERROR(INDEX(Assessments!$H$2:$H$600,MATCH($H581&amp;"|"&amp;$I581&amp;"|"&amp;$J581&amp;"|"&amp;8,Assessments!$A$2:$A$600,0)),"")</f>
        <v/>
      </c>
      <c r="CC581" s="28" t="str">
        <f aca="false">IFERROR(INDEX(Assessments!$H$2:$H$600,MATCH($H581&amp;"|"&amp;$I581&amp;"|"&amp;$J581&amp;"|"&amp;9,Assessments!$A$2:$A$600,0)),"")</f>
        <v/>
      </c>
      <c r="CD581" s="28" t="str">
        <f aca="false">IFERROR(INDEX(Assessments!$H$2:$H$600,MATCH($H581&amp;"|"&amp;$I581&amp;"|"&amp;$J581&amp;"|"&amp;10,Assessments!$A$2:$A$600,0)),"")</f>
        <v/>
      </c>
      <c r="CE581" s="28" t="str">
        <f aca="false">IFERROR(INDEX(Assessments!$H$2:$H$600,MATCH($H581&amp;"|"&amp;$I581&amp;"|"&amp;$J581&amp;"|"&amp;11,Assessments!$A$2:$A$600,0)),"")</f>
        <v/>
      </c>
      <c r="CF581" s="28" t="str">
        <f aca="false">IFERROR(INDEX(Assessments!$H$2:$H$600,MATCH($H581&amp;"|"&amp;$I581&amp;"|"&amp;$J581&amp;"|"&amp;12,Assessments!$A$2:$A$600,0)),"")</f>
        <v/>
      </c>
      <c r="CG581" s="28" t="str">
        <f aca="false">IFERROR(INDEX(Assessments!$H$2:$H$600,MATCH($H581&amp;"|"&amp;$I581&amp;"|"&amp;$J581&amp;"|"&amp;13,Assessments!$A$2:$A$600,0)),"")</f>
        <v/>
      </c>
      <c r="CH581" s="28" t="str">
        <f aca="false">IFERROR(INDEX(Assessments!$H$2:$H$600,MATCH($H581&amp;"|"&amp;$I581&amp;"|"&amp;$J581&amp;"|"&amp;14,Assessments!$A$2:$A$600,0)),"")</f>
        <v/>
      </c>
      <c r="CI581" s="28" t="str">
        <f aca="false">IFERROR(INDEX(Assessments!$I$2:$I$600,MATCH($H581&amp;"|"&amp;$I581&amp;"|"&amp;$J581&amp;"|"&amp;1,Assessments!$A$2:$A$600,0)),"")</f>
        <v/>
      </c>
      <c r="CJ581" s="28" t="str">
        <f aca="false">IFERROR(INDEX(Assessments!$I$2:$I$600,MATCH($H581&amp;"|"&amp;$I581&amp;"|"&amp;$J581&amp;"|"&amp;2,Assessments!$A$2:$A$600,0)),"")</f>
        <v/>
      </c>
      <c r="CK581" s="28" t="str">
        <f aca="false">IFERROR(INDEX(Assessments!$I$2:$I$600,MATCH($H581&amp;"|"&amp;$I581&amp;"|"&amp;$J581&amp;"|"&amp;3,Assessments!$A$2:$A$600,0)),"")</f>
        <v/>
      </c>
      <c r="CL581" s="28" t="str">
        <f aca="false">IFERROR(INDEX(Assessments!$I$2:$I$600,MATCH($H581&amp;"|"&amp;$I581&amp;"|"&amp;$J581&amp;"|"&amp;4,Assessments!$A$2:$A$600,0)),"")</f>
        <v/>
      </c>
      <c r="CM581" s="28" t="str">
        <f aca="false">IFERROR(INDEX(Assessments!$I$2:$I$600,MATCH($H581&amp;"|"&amp;$I581&amp;"|"&amp;$J581&amp;"|"&amp;5,Assessments!$A$2:$A$600,0)),"")</f>
        <v/>
      </c>
      <c r="CN581" s="28" t="str">
        <f aca="false">IFERROR(INDEX(Assessments!$I$2:$I$600,MATCH($H581&amp;"|"&amp;$I581&amp;"|"&amp;$J581&amp;"|"&amp;6,Assessments!$A$2:$A$600,0)),"")</f>
        <v/>
      </c>
      <c r="CO581" s="28" t="str">
        <f aca="false">IFERROR(INDEX(Assessments!$I$2:$I$600,MATCH($H581&amp;"|"&amp;$I581&amp;"|"&amp;$J581&amp;"|"&amp;7,Assessments!$A$2:$A$600,0)),"")</f>
        <v/>
      </c>
      <c r="CP581" s="28" t="str">
        <f aca="false">IFERROR(INDEX(Assessments!$I$2:$I$600,MATCH($H581&amp;"|"&amp;$I581&amp;"|"&amp;$J581&amp;"|"&amp;8,Assessments!$A$2:$A$600,0)),"")</f>
        <v/>
      </c>
      <c r="CQ581" s="28" t="str">
        <f aca="false">IFERROR(INDEX(Assessments!$I$2:$I$600,MATCH($H581&amp;"|"&amp;$I581&amp;"|"&amp;$J581&amp;"|"&amp;9,Assessments!$A$2:$A$600,0)),"")</f>
        <v/>
      </c>
      <c r="CR581" s="28" t="str">
        <f aca="false">IFERROR(INDEX(Assessments!$I$2:$I$600,MATCH($H581&amp;"|"&amp;$I581&amp;"|"&amp;$J581&amp;"|"&amp;10,Assessments!$A$2:$A$600,0)),"")</f>
        <v/>
      </c>
      <c r="CS581" s="28" t="str">
        <f aca="false">IFERROR(INDEX(Assessments!$I$2:$I$600,MATCH($H581&amp;"|"&amp;$I581&amp;"|"&amp;$J581&amp;"|"&amp;11,Assessments!$A$2:$A$600,0)),"")</f>
        <v/>
      </c>
      <c r="CT581" s="28" t="str">
        <f aca="false">IFERROR(INDEX(Assessments!$I$2:$I$600,MATCH($H581&amp;"|"&amp;$I581&amp;"|"&amp;$J581&amp;"|"&amp;12,Assessments!$A$2:$A$600,0)),"")</f>
        <v/>
      </c>
      <c r="CU581" s="28" t="str">
        <f aca="false">IFERROR(INDEX(Assessments!$I$2:$I$600,MATCH($H581&amp;"|"&amp;$I581&amp;"|"&amp;$J581&amp;"|"&amp;13,Assessments!$A$2:$A$600,0)),"")</f>
        <v/>
      </c>
      <c r="CV581" s="28" t="str">
        <f aca="false">IFERROR(INDEX(Assessments!$I$2:$I$600,MATCH($H581&amp;"|"&amp;$I581&amp;"|"&amp;$J581&amp;"|"&amp;14,Assessments!$A$2:$A$600,0)),"")</f>
        <v/>
      </c>
      <c r="CW581" s="28" t="n">
        <f aca="false">IFERROR(INDEX(Assessments!$J$2:$J$600,MATCH($H581&amp;"|"&amp;$I581&amp;"|"&amp;$J581&amp;"|"&amp;1,Assessments!$A$2:$A$600,0)),0)</f>
        <v>0</v>
      </c>
      <c r="CX581" s="28" t="n">
        <f aca="false">IFERROR(INDEX(Assessments!$J$2:$J$600,MATCH($H581&amp;"|"&amp;$I581&amp;"|"&amp;$J581&amp;"|"&amp;2,Assessments!$A$2:$A$600,0)),0)</f>
        <v>0</v>
      </c>
      <c r="CY581" s="28" t="n">
        <f aca="false">IFERROR(INDEX(Assessments!$J$2:$J$600,MATCH($H581&amp;"|"&amp;$I581&amp;"|"&amp;$J581&amp;"|"&amp;3,Assessments!$A$2:$A$600,0)),0)</f>
        <v>0</v>
      </c>
      <c r="CZ581" s="28" t="n">
        <f aca="false">IFERROR(INDEX(Assessments!$J$2:$J$600,MATCH($H581&amp;"|"&amp;$I581&amp;"|"&amp;$J581&amp;"|"&amp;4,Assessments!$A$2:$A$600,0)),0)</f>
        <v>0</v>
      </c>
      <c r="DA581" s="28" t="n">
        <f aca="false">IFERROR(INDEX(Assessments!$J$2:$J$600,MATCH($H581&amp;"|"&amp;$I581&amp;"|"&amp;$J581&amp;"|"&amp;5,Assessments!$A$2:$A$600,0)),0)</f>
        <v>0</v>
      </c>
      <c r="DB581" s="28" t="n">
        <f aca="false">IFERROR(INDEX(Assessments!$J$2:$J$600,MATCH($H581&amp;"|"&amp;$I581&amp;"|"&amp;$J581&amp;"|"&amp;6,Assessments!$A$2:$A$600,0)),0)</f>
        <v>0</v>
      </c>
      <c r="DC581" s="28" t="n">
        <f aca="false">IFERROR(INDEX(Assessments!$J$2:$J$600,MATCH($H581&amp;"|"&amp;$I581&amp;"|"&amp;$J581&amp;"|"&amp;7,Assessments!$A$2:$A$600,0)),0)</f>
        <v>0</v>
      </c>
      <c r="DD581" s="28" t="n">
        <f aca="false">IFERROR(INDEX(Assessments!$J$2:$J$600,MATCH($H581&amp;"|"&amp;$I581&amp;"|"&amp;$J581&amp;"|"&amp;8,Assessments!$A$2:$A$600,0)),0)</f>
        <v>0</v>
      </c>
      <c r="DE581" s="28" t="n">
        <f aca="false">IFERROR(INDEX(Assessments!$J$2:$J$600,MATCH($H581&amp;"|"&amp;$I581&amp;"|"&amp;$J581&amp;"|"&amp;9,Assessments!$A$2:$A$600,0)),0)</f>
        <v>0</v>
      </c>
      <c r="DF581" s="28" t="n">
        <f aca="false">IFERROR(INDEX(Assessments!$J$2:$J$600,MATCH($H581&amp;"|"&amp;$I581&amp;"|"&amp;$J581&amp;"|"&amp;10,Assessments!$A$2:$A$600,0)),0)</f>
        <v>0</v>
      </c>
      <c r="DG581" s="28" t="n">
        <f aca="false">IFERROR(INDEX(Assessments!$J$2:$J$600,MATCH($H581&amp;"|"&amp;$I581&amp;"|"&amp;$J581&amp;"|"&amp;11,Assessments!$A$2:$A$600,0)),0)</f>
        <v>0</v>
      </c>
      <c r="DH581" s="28" t="n">
        <f aca="false">IFERROR(INDEX(Assessments!$J$2:$J$600,MATCH($H581&amp;"|"&amp;$I581&amp;"|"&amp;$J581&amp;"|"&amp;12,Assessments!$A$2:$A$600,0)),0)</f>
        <v>0</v>
      </c>
      <c r="DI581" s="28" t="n">
        <f aca="false">IFERROR(INDEX(Assessments!$J$2:$J$600,MATCH($H581&amp;"|"&amp;$I581&amp;"|"&amp;$J581&amp;"|"&amp;13,Assessments!$A$2:$A$600,0)),0)</f>
        <v>0</v>
      </c>
      <c r="DJ581" s="28" t="n">
        <f aca="false">IFERROR(INDEX(Assessments!$J$2:$J$600,MATCH($H581&amp;"|"&amp;$I581&amp;"|"&amp;$J581&amp;"|"&amp;14,Assessments!$A$2:$A$600,0)),0)</f>
        <v>0</v>
      </c>
      <c r="DK581" s="28" t="str">
        <f aca="false">S581</f>
        <v/>
      </c>
      <c r="DL581" s="28" t="str">
        <f aca="false">W581</f>
        <v/>
      </c>
      <c r="DM581" s="28" t="str">
        <f aca="false">AA581</f>
        <v/>
      </c>
      <c r="DN581" s="28" t="str">
        <f aca="false">AE581</f>
        <v/>
      </c>
      <c r="DO581" s="28" t="str">
        <f aca="false">AI581</f>
        <v/>
      </c>
      <c r="DP581" s="28" t="str">
        <f aca="false">AM581</f>
        <v/>
      </c>
      <c r="DQ581" s="28" t="str">
        <f aca="false">AQ581</f>
        <v/>
      </c>
      <c r="DR581" s="28" t="str">
        <f aca="false">AU581</f>
        <v/>
      </c>
      <c r="DS581" s="28" t="str">
        <f aca="false">AY581</f>
        <v/>
      </c>
      <c r="DT581" s="28" t="str">
        <f aca="false">BC581</f>
        <v/>
      </c>
      <c r="DU581" s="28" t="str">
        <f aca="false">BG581</f>
        <v/>
      </c>
      <c r="DV581" s="28" t="str">
        <f aca="false">BK581</f>
        <v/>
      </c>
      <c r="DW581" s="28" t="str">
        <f aca="false">BO581</f>
        <v/>
      </c>
      <c r="DX581" s="28" t="str">
        <f aca="false">BS581</f>
        <v/>
      </c>
      <c r="DY581" s="28" t="str">
        <f aca="false">IF(ISNUMBER(S581),1,"")</f>
        <v/>
      </c>
      <c r="DZ581" s="28" t="str">
        <f aca="false">IF(ISNUMBER(W581),2,"")</f>
        <v/>
      </c>
      <c r="EA581" s="28" t="str">
        <f aca="false">IF(ISNUMBER(AA581),3,"")</f>
        <v/>
      </c>
      <c r="EB581" s="28" t="str">
        <f aca="false">IF(ISNUMBER(AE581),4,"")</f>
        <v/>
      </c>
      <c r="EC581" s="28" t="str">
        <f aca="false">IF(ISNUMBER(AI581),5,"")</f>
        <v/>
      </c>
      <c r="ED581" s="28" t="str">
        <f aca="false">IF(ISNUMBER(AM581),6,"")</f>
        <v/>
      </c>
      <c r="EE581" s="28" t="str">
        <f aca="false">IF(ISNUMBER(AQ581),7,"")</f>
        <v/>
      </c>
      <c r="EF581" s="28" t="str">
        <f aca="false">IF(ISNUMBER(AU581),8,"")</f>
        <v/>
      </c>
      <c r="EG581" s="28" t="str">
        <f aca="false">IF(ISNUMBER(AY581),9,"")</f>
        <v/>
      </c>
      <c r="EH581" s="28" t="str">
        <f aca="false">IF(ISNUMBER(BC581),10,"")</f>
        <v/>
      </c>
      <c r="EI581" s="28" t="str">
        <f aca="false">IF(ISNUMBER(BG581),11,"")</f>
        <v/>
      </c>
      <c r="EJ581" s="28" t="str">
        <f aca="false">IF(ISNUMBER(BK581),12,"")</f>
        <v/>
      </c>
      <c r="EK581" s="28" t="str">
        <f aca="false">IF(ISNUMBER(BO581),13,"")</f>
        <v/>
      </c>
      <c r="EL581" s="28" t="str">
        <f aca="false">IF(ISNUMBER(BS581),14,"")</f>
        <v/>
      </c>
      <c r="EM581" s="28" t="n">
        <f aca="false">IF(ISNUMBER(R581),R581*CW581,0)</f>
        <v>0</v>
      </c>
      <c r="EN581" s="28" t="n">
        <f aca="false">IF(ISNUMBER(V581),V581*CX581,0)</f>
        <v>0</v>
      </c>
      <c r="EO581" s="28" t="n">
        <f aca="false">IF(ISNUMBER(Z581),Z581*CY581,0)</f>
        <v>0</v>
      </c>
      <c r="EP581" s="28" t="n">
        <f aca="false">IF(ISNUMBER(AD581),AD581*CZ581,0)</f>
        <v>0</v>
      </c>
      <c r="EQ581" s="28" t="n">
        <f aca="false">IF(ISNUMBER(AH581),AH581*DA581,0)</f>
        <v>0</v>
      </c>
      <c r="ER581" s="28" t="n">
        <f aca="false">IF(ISNUMBER(AL581),AL581*DB581,0)</f>
        <v>0</v>
      </c>
      <c r="ES581" s="28" t="n">
        <f aca="false">IF(ISNUMBER(AP581),AP581*DC581,0)</f>
        <v>0</v>
      </c>
      <c r="ET581" s="28" t="n">
        <f aca="false">IF(ISNUMBER(AT581),AT581*DD581,0)</f>
        <v>0</v>
      </c>
      <c r="EU581" s="28" t="n">
        <f aca="false">IF(ISNUMBER(AX581),AX581*DE581,0)</f>
        <v>0</v>
      </c>
      <c r="EV581" s="28" t="n">
        <f aca="false">IF(ISNUMBER(BB581),BB581*DF581,0)</f>
        <v>0</v>
      </c>
      <c r="EW581" s="28" t="n">
        <f aca="false">IF(ISNUMBER(BF581),BF581*DG581,0)</f>
        <v>0</v>
      </c>
      <c r="EX581" s="28" t="n">
        <f aca="false">IF(ISNUMBER(BJ581),BJ581*DH581,0)</f>
        <v>0</v>
      </c>
      <c r="EY581" s="28" t="n">
        <f aca="false">IF(ISNUMBER(BN581),BN581*DI581,0)</f>
        <v>0</v>
      </c>
      <c r="EZ581" s="28" t="n">
        <f aca="false">IF(ISNUMBER(BR581),BR581*DJ581,0)</f>
        <v>0</v>
      </c>
      <c r="FA581" s="28" t="n">
        <f aca="false">IF(ISNUMBER(R581),CW581,0)</f>
        <v>0</v>
      </c>
      <c r="FB581" s="28" t="n">
        <f aca="false">IF(ISNUMBER(V581),CX581,0)</f>
        <v>0</v>
      </c>
      <c r="FC581" s="28" t="n">
        <f aca="false">IF(ISNUMBER(Z581),CY581,0)</f>
        <v>0</v>
      </c>
      <c r="FD581" s="28" t="n">
        <f aca="false">IF(ISNUMBER(AD581),CZ581,0)</f>
        <v>0</v>
      </c>
      <c r="FE581" s="28" t="n">
        <f aca="false">IF(ISNUMBER(AH581),DA581,0)</f>
        <v>0</v>
      </c>
      <c r="FF581" s="28" t="n">
        <f aca="false">IF(ISNUMBER(AL581),DB581,0)</f>
        <v>0</v>
      </c>
      <c r="FG581" s="28" t="n">
        <f aca="false">IF(ISNUMBER(AP581),DC581,0)</f>
        <v>0</v>
      </c>
      <c r="FH581" s="28" t="n">
        <f aca="false">IF(ISNUMBER(AT581),DD581,0)</f>
        <v>0</v>
      </c>
      <c r="FI581" s="28" t="n">
        <f aca="false">IF(ISNUMBER(AX581),DE581,0)</f>
        <v>0</v>
      </c>
      <c r="FJ581" s="28" t="n">
        <f aca="false">IF(ISNUMBER(BB581),DF581,0)</f>
        <v>0</v>
      </c>
      <c r="FK581" s="28" t="n">
        <f aca="false">IF(ISNUMBER(BF581),DG581,0)</f>
        <v>0</v>
      </c>
      <c r="FL581" s="28" t="n">
        <f aca="false">IF(ISNUMBER(BJ581),DH581,0)</f>
        <v>0</v>
      </c>
      <c r="FM581" s="28" t="n">
        <f aca="false">IF(ISNUMBER(BN581),DI581,0)</f>
        <v>0</v>
      </c>
      <c r="FN581" s="28" t="n">
        <f aca="false">IF(ISNUMBER(BR581),DJ581,0)</f>
        <v>0</v>
      </c>
      <c r="FO581" s="28" t="str">
        <f aca="false">IFERROR(INDEX(Lists!$G$2:$G$20,MATCH($I581&amp;"|"&amp;$J581,Lists!$F$2:$F$20,0)),"")</f>
        <v/>
      </c>
    </row>
    <row r="582" customFormat="false" ht="19.5" hidden="false" customHeight="true" outlineLevel="0" collapsed="false">
      <c r="A582" s="29"/>
      <c r="B582" s="29"/>
      <c r="C582" s="30"/>
      <c r="D582" s="30"/>
      <c r="E582" s="31"/>
      <c r="F582" s="30"/>
      <c r="G582" s="30"/>
      <c r="H582" s="32"/>
      <c r="I582" s="33"/>
      <c r="J582" s="32"/>
      <c r="K582" s="34" t="str">
        <f aca="false">IF(OR(M582="",$E582=""),"",M582-$E582)</f>
        <v/>
      </c>
      <c r="L582" s="35" t="str">
        <f aca="false">IF(SUM(FA582:FN582)=0,"",SUM(EM582:EZ582)/SUM(FA582:FN582))</f>
        <v/>
      </c>
      <c r="M582" s="36" t="str">
        <f aca="false">IF(OR(L582="",FO582=""),"",IFERROR(MATCH(L582,INDEX(Boundaries!$B$2:$I$30,MATCH(FO582,Boundaries!$A$2:$A$30,0),0),1)-1,""))</f>
        <v/>
      </c>
      <c r="N582" s="37" t="str">
        <f aca="false">IF(COUNT($DY582:$EL582)&lt;2,"",INDEX($DK582:$DX582,MAX($DY582:$EL582))-INDEX($DK582:$DX582,MIN($DY582:$EL582)))</f>
        <v/>
      </c>
      <c r="O582" s="37" t="str">
        <f aca="false">IF(COUNT($DY582:$EL582)&lt;2,"",INDEX($DK582:$DX582,MAX($DY582:$EL582))-INDEX($DK582:$DX582,LARGE($DY582:$EL582,2)))</f>
        <v/>
      </c>
      <c r="P582" s="38" t="str">
        <f aca="false">IF(K582="","",IF(K582&gt;=0,"On/above target",IF(AND(N582&lt;&gt;"",N582&gt;=0.5),"Improving towards target",IF(AND(O582&lt;&gt;"",O582&lt;=-0.5),"Declining","Stable below target"))))</f>
        <v/>
      </c>
      <c r="Q582" s="39"/>
      <c r="R582" s="40" t="str">
        <f aca="false">IF(OR(Q582="",BU582=""),"",Q582/BU582*100)</f>
        <v/>
      </c>
      <c r="S582" s="41" t="str">
        <f aca="false">IF(R582="","",IFERROR(MATCH(R582,INDEX(Boundaries!$B$2:$I$30,MATCH(CI582,Boundaries!$A$2:$A$30,0),0),1)-1,""))</f>
        <v/>
      </c>
      <c r="T582" s="42" t="str">
        <f aca="false">IF(OR(S582="",$E582=""),"",S582-$E582)</f>
        <v/>
      </c>
      <c r="U582" s="39"/>
      <c r="V582" s="40" t="str">
        <f aca="false">IF(OR(U582="",BV582=""),"",U582/BV582*100)</f>
        <v/>
      </c>
      <c r="W582" s="41" t="str">
        <f aca="false">IF(V582="","",IFERROR(MATCH(V582,INDEX(Boundaries!$B$2:$I$30,MATCH(CJ582,Boundaries!$A$2:$A$30,0),0),1)-1,""))</f>
        <v/>
      </c>
      <c r="X582" s="42" t="str">
        <f aca="false">IF(OR(W582="",$E582=""),"",W582-$E582)</f>
        <v/>
      </c>
      <c r="Y582" s="39"/>
      <c r="Z582" s="40" t="str">
        <f aca="false">IF(OR(Y582="",BW582=""),"",Y582/BW582*100)</f>
        <v/>
      </c>
      <c r="AA582" s="41" t="str">
        <f aca="false">IF(Z582="","",IFERROR(MATCH(Z582,INDEX(Boundaries!$B$2:$I$30,MATCH(CK582,Boundaries!$A$2:$A$30,0),0),1)-1,""))</f>
        <v/>
      </c>
      <c r="AB582" s="42" t="str">
        <f aca="false">IF(OR(AA582="",$E582=""),"",AA582-$E582)</f>
        <v/>
      </c>
      <c r="AC582" s="39"/>
      <c r="AD582" s="40" t="str">
        <f aca="false">IF(OR(AC582="",BX582=""),"",AC582/BX582*100)</f>
        <v/>
      </c>
      <c r="AE582" s="41" t="str">
        <f aca="false">IF(AD582="","",IFERROR(MATCH(AD582,INDEX(Boundaries!$B$2:$I$30,MATCH(CL582,Boundaries!$A$2:$A$30,0),0),1)-1,""))</f>
        <v/>
      </c>
      <c r="AF582" s="42" t="str">
        <f aca="false">IF(OR(AE582="",$E582=""),"",AE582-$E582)</f>
        <v/>
      </c>
      <c r="AG582" s="39"/>
      <c r="AH582" s="40" t="str">
        <f aca="false">IF(OR(AG582="",BY582=""),"",AG582/BY582*100)</f>
        <v/>
      </c>
      <c r="AI582" s="41" t="str">
        <f aca="false">IF(AH582="","",IFERROR(MATCH(AH582,INDEX(Boundaries!$B$2:$I$30,MATCH(CM582,Boundaries!$A$2:$A$30,0),0),1)-1,""))</f>
        <v/>
      </c>
      <c r="AJ582" s="42" t="str">
        <f aca="false">IF(OR(AI582="",$E582=""),"",AI582-$E582)</f>
        <v/>
      </c>
      <c r="AK582" s="39"/>
      <c r="AL582" s="40" t="str">
        <f aca="false">IF(OR(AK582="",BZ582=""),"",AK582/BZ582*100)</f>
        <v/>
      </c>
      <c r="AM582" s="41" t="str">
        <f aca="false">IF(AL582="","",IFERROR(MATCH(AL582,INDEX(Boundaries!$B$2:$I$30,MATCH(CN582,Boundaries!$A$2:$A$30,0),0),1)-1,""))</f>
        <v/>
      </c>
      <c r="AN582" s="42" t="str">
        <f aca="false">IF(OR(AM582="",$E582=""),"",AM582-$E582)</f>
        <v/>
      </c>
      <c r="AO582" s="39"/>
      <c r="AP582" s="40" t="str">
        <f aca="false">IF(OR(AO582="",CA582=""),"",AO582/CA582*100)</f>
        <v/>
      </c>
      <c r="AQ582" s="41" t="str">
        <f aca="false">IF(AP582="","",IFERROR(MATCH(AP582,INDEX(Boundaries!$B$2:$I$30,MATCH(CO582,Boundaries!$A$2:$A$30,0),0),1)-1,""))</f>
        <v/>
      </c>
      <c r="AR582" s="42" t="str">
        <f aca="false">IF(OR(AQ582="",$E582=""),"",AQ582-$E582)</f>
        <v/>
      </c>
      <c r="AS582" s="39"/>
      <c r="AT582" s="40" t="str">
        <f aca="false">IF(OR(AS582="",CB582=""),"",AS582/CB582*100)</f>
        <v/>
      </c>
      <c r="AU582" s="41" t="str">
        <f aca="false">IF(AT582="","",IFERROR(MATCH(AT582,INDEX(Boundaries!$B$2:$I$30,MATCH(CP582,Boundaries!$A$2:$A$30,0),0),1)-1,""))</f>
        <v/>
      </c>
      <c r="AV582" s="42" t="str">
        <f aca="false">IF(OR(AU582="",$E582=""),"",AU582-$E582)</f>
        <v/>
      </c>
      <c r="AW582" s="39"/>
      <c r="AX582" s="40" t="str">
        <f aca="false">IF(OR(AW582="",CC582=""),"",AW582/CC582*100)</f>
        <v/>
      </c>
      <c r="AY582" s="41" t="str">
        <f aca="false">IF(AX582="","",IFERROR(MATCH(AX582,INDEX(Boundaries!$B$2:$I$30,MATCH(CQ582,Boundaries!$A$2:$A$30,0),0),1)-1,""))</f>
        <v/>
      </c>
      <c r="AZ582" s="42" t="str">
        <f aca="false">IF(OR(AY582="",$E582=""),"",AY582-$E582)</f>
        <v/>
      </c>
      <c r="BA582" s="39"/>
      <c r="BB582" s="40" t="str">
        <f aca="false">IF(OR(BA582="",CD582=""),"",BA582/CD582*100)</f>
        <v/>
      </c>
      <c r="BC582" s="41" t="str">
        <f aca="false">IF(BB582="","",IFERROR(MATCH(BB582,INDEX(Boundaries!$B$2:$I$30,MATCH(CR582,Boundaries!$A$2:$A$30,0),0),1)-1,""))</f>
        <v/>
      </c>
      <c r="BD582" s="42" t="str">
        <f aca="false">IF(OR(BC582="",$E582=""),"",BC582-$E582)</f>
        <v/>
      </c>
      <c r="BE582" s="39"/>
      <c r="BF582" s="40" t="str">
        <f aca="false">IF(OR(BE582="",CE582=""),"",BE582/CE582*100)</f>
        <v/>
      </c>
      <c r="BG582" s="41" t="str">
        <f aca="false">IF(BF582="","",IFERROR(MATCH(BF582,INDEX(Boundaries!$B$2:$I$30,MATCH(CS582,Boundaries!$A$2:$A$30,0),0),1)-1,""))</f>
        <v/>
      </c>
      <c r="BH582" s="42" t="str">
        <f aca="false">IF(OR(BG582="",$E582=""),"",BG582-$E582)</f>
        <v/>
      </c>
      <c r="BI582" s="39"/>
      <c r="BJ582" s="40" t="str">
        <f aca="false">IF(OR(BI582="",CF582=""),"",BI582/CF582*100)</f>
        <v/>
      </c>
      <c r="BK582" s="41" t="str">
        <f aca="false">IF(BJ582="","",IFERROR(MATCH(BJ582,INDEX(Boundaries!$B$2:$I$30,MATCH(CT582,Boundaries!$A$2:$A$30,0),0),1)-1,""))</f>
        <v/>
      </c>
      <c r="BL582" s="42" t="str">
        <f aca="false">IF(OR(BK582="",$E582=""),"",BK582-$E582)</f>
        <v/>
      </c>
      <c r="BM582" s="39"/>
      <c r="BN582" s="40" t="str">
        <f aca="false">IF(OR(BM582="",CG582=""),"",BM582/CG582*100)</f>
        <v/>
      </c>
      <c r="BO582" s="41" t="str">
        <f aca="false">IF(BN582="","",IFERROR(MATCH(BN582,INDEX(Boundaries!$B$2:$I$30,MATCH(CU582,Boundaries!$A$2:$A$30,0),0),1)-1,""))</f>
        <v/>
      </c>
      <c r="BP582" s="42" t="str">
        <f aca="false">IF(OR(BO582="",$E582=""),"",BO582-$E582)</f>
        <v/>
      </c>
      <c r="BQ582" s="39"/>
      <c r="BR582" s="40" t="str">
        <f aca="false">IF(OR(BQ582="",CH582=""),"",BQ582/CH582*100)</f>
        <v/>
      </c>
      <c r="BS582" s="41" t="str">
        <f aca="false">IF(BR582="","",IFERROR(MATCH(BR582,INDEX(Boundaries!$B$2:$I$30,MATCH(CV582,Boundaries!$A$2:$A$30,0),0),1)-1,""))</f>
        <v/>
      </c>
      <c r="BT582" s="42" t="str">
        <f aca="false">IF(OR(BS582="",$E582=""),"",BS582-$E582)</f>
        <v/>
      </c>
      <c r="BU582" s="28" t="str">
        <f aca="false">IFERROR(INDEX(Assessments!$H$2:$H$600,MATCH($H582&amp;"|"&amp;$I582&amp;"|"&amp;$J582&amp;"|"&amp;1,Assessments!$A$2:$A$600,0)),"")</f>
        <v/>
      </c>
      <c r="BV582" s="28" t="str">
        <f aca="false">IFERROR(INDEX(Assessments!$H$2:$H$600,MATCH($H582&amp;"|"&amp;$I582&amp;"|"&amp;$J582&amp;"|"&amp;2,Assessments!$A$2:$A$600,0)),"")</f>
        <v/>
      </c>
      <c r="BW582" s="28" t="str">
        <f aca="false">IFERROR(INDEX(Assessments!$H$2:$H$600,MATCH($H582&amp;"|"&amp;$I582&amp;"|"&amp;$J582&amp;"|"&amp;3,Assessments!$A$2:$A$600,0)),"")</f>
        <v/>
      </c>
      <c r="BX582" s="28" t="str">
        <f aca="false">IFERROR(INDEX(Assessments!$H$2:$H$600,MATCH($H582&amp;"|"&amp;$I582&amp;"|"&amp;$J582&amp;"|"&amp;4,Assessments!$A$2:$A$600,0)),"")</f>
        <v/>
      </c>
      <c r="BY582" s="28" t="str">
        <f aca="false">IFERROR(INDEX(Assessments!$H$2:$H$600,MATCH($H582&amp;"|"&amp;$I582&amp;"|"&amp;$J582&amp;"|"&amp;5,Assessments!$A$2:$A$600,0)),"")</f>
        <v/>
      </c>
      <c r="BZ582" s="28" t="str">
        <f aca="false">IFERROR(INDEX(Assessments!$H$2:$H$600,MATCH($H582&amp;"|"&amp;$I582&amp;"|"&amp;$J582&amp;"|"&amp;6,Assessments!$A$2:$A$600,0)),"")</f>
        <v/>
      </c>
      <c r="CA582" s="28" t="str">
        <f aca="false">IFERROR(INDEX(Assessments!$H$2:$H$600,MATCH($H582&amp;"|"&amp;$I582&amp;"|"&amp;$J582&amp;"|"&amp;7,Assessments!$A$2:$A$600,0)),"")</f>
        <v/>
      </c>
      <c r="CB582" s="28" t="str">
        <f aca="false">IFERROR(INDEX(Assessments!$H$2:$H$600,MATCH($H582&amp;"|"&amp;$I582&amp;"|"&amp;$J582&amp;"|"&amp;8,Assessments!$A$2:$A$600,0)),"")</f>
        <v/>
      </c>
      <c r="CC582" s="28" t="str">
        <f aca="false">IFERROR(INDEX(Assessments!$H$2:$H$600,MATCH($H582&amp;"|"&amp;$I582&amp;"|"&amp;$J582&amp;"|"&amp;9,Assessments!$A$2:$A$600,0)),"")</f>
        <v/>
      </c>
      <c r="CD582" s="28" t="str">
        <f aca="false">IFERROR(INDEX(Assessments!$H$2:$H$600,MATCH($H582&amp;"|"&amp;$I582&amp;"|"&amp;$J582&amp;"|"&amp;10,Assessments!$A$2:$A$600,0)),"")</f>
        <v/>
      </c>
      <c r="CE582" s="28" t="str">
        <f aca="false">IFERROR(INDEX(Assessments!$H$2:$H$600,MATCH($H582&amp;"|"&amp;$I582&amp;"|"&amp;$J582&amp;"|"&amp;11,Assessments!$A$2:$A$600,0)),"")</f>
        <v/>
      </c>
      <c r="CF582" s="28" t="str">
        <f aca="false">IFERROR(INDEX(Assessments!$H$2:$H$600,MATCH($H582&amp;"|"&amp;$I582&amp;"|"&amp;$J582&amp;"|"&amp;12,Assessments!$A$2:$A$600,0)),"")</f>
        <v/>
      </c>
      <c r="CG582" s="28" t="str">
        <f aca="false">IFERROR(INDEX(Assessments!$H$2:$H$600,MATCH($H582&amp;"|"&amp;$I582&amp;"|"&amp;$J582&amp;"|"&amp;13,Assessments!$A$2:$A$600,0)),"")</f>
        <v/>
      </c>
      <c r="CH582" s="28" t="str">
        <f aca="false">IFERROR(INDEX(Assessments!$H$2:$H$600,MATCH($H582&amp;"|"&amp;$I582&amp;"|"&amp;$J582&amp;"|"&amp;14,Assessments!$A$2:$A$600,0)),"")</f>
        <v/>
      </c>
      <c r="CI582" s="28" t="str">
        <f aca="false">IFERROR(INDEX(Assessments!$I$2:$I$600,MATCH($H582&amp;"|"&amp;$I582&amp;"|"&amp;$J582&amp;"|"&amp;1,Assessments!$A$2:$A$600,0)),"")</f>
        <v/>
      </c>
      <c r="CJ582" s="28" t="str">
        <f aca="false">IFERROR(INDEX(Assessments!$I$2:$I$600,MATCH($H582&amp;"|"&amp;$I582&amp;"|"&amp;$J582&amp;"|"&amp;2,Assessments!$A$2:$A$600,0)),"")</f>
        <v/>
      </c>
      <c r="CK582" s="28" t="str">
        <f aca="false">IFERROR(INDEX(Assessments!$I$2:$I$600,MATCH($H582&amp;"|"&amp;$I582&amp;"|"&amp;$J582&amp;"|"&amp;3,Assessments!$A$2:$A$600,0)),"")</f>
        <v/>
      </c>
      <c r="CL582" s="28" t="str">
        <f aca="false">IFERROR(INDEX(Assessments!$I$2:$I$600,MATCH($H582&amp;"|"&amp;$I582&amp;"|"&amp;$J582&amp;"|"&amp;4,Assessments!$A$2:$A$600,0)),"")</f>
        <v/>
      </c>
      <c r="CM582" s="28" t="str">
        <f aca="false">IFERROR(INDEX(Assessments!$I$2:$I$600,MATCH($H582&amp;"|"&amp;$I582&amp;"|"&amp;$J582&amp;"|"&amp;5,Assessments!$A$2:$A$600,0)),"")</f>
        <v/>
      </c>
      <c r="CN582" s="28" t="str">
        <f aca="false">IFERROR(INDEX(Assessments!$I$2:$I$600,MATCH($H582&amp;"|"&amp;$I582&amp;"|"&amp;$J582&amp;"|"&amp;6,Assessments!$A$2:$A$600,0)),"")</f>
        <v/>
      </c>
      <c r="CO582" s="28" t="str">
        <f aca="false">IFERROR(INDEX(Assessments!$I$2:$I$600,MATCH($H582&amp;"|"&amp;$I582&amp;"|"&amp;$J582&amp;"|"&amp;7,Assessments!$A$2:$A$600,0)),"")</f>
        <v/>
      </c>
      <c r="CP582" s="28" t="str">
        <f aca="false">IFERROR(INDEX(Assessments!$I$2:$I$600,MATCH($H582&amp;"|"&amp;$I582&amp;"|"&amp;$J582&amp;"|"&amp;8,Assessments!$A$2:$A$600,0)),"")</f>
        <v/>
      </c>
      <c r="CQ582" s="28" t="str">
        <f aca="false">IFERROR(INDEX(Assessments!$I$2:$I$600,MATCH($H582&amp;"|"&amp;$I582&amp;"|"&amp;$J582&amp;"|"&amp;9,Assessments!$A$2:$A$600,0)),"")</f>
        <v/>
      </c>
      <c r="CR582" s="28" t="str">
        <f aca="false">IFERROR(INDEX(Assessments!$I$2:$I$600,MATCH($H582&amp;"|"&amp;$I582&amp;"|"&amp;$J582&amp;"|"&amp;10,Assessments!$A$2:$A$600,0)),"")</f>
        <v/>
      </c>
      <c r="CS582" s="28" t="str">
        <f aca="false">IFERROR(INDEX(Assessments!$I$2:$I$600,MATCH($H582&amp;"|"&amp;$I582&amp;"|"&amp;$J582&amp;"|"&amp;11,Assessments!$A$2:$A$600,0)),"")</f>
        <v/>
      </c>
      <c r="CT582" s="28" t="str">
        <f aca="false">IFERROR(INDEX(Assessments!$I$2:$I$600,MATCH($H582&amp;"|"&amp;$I582&amp;"|"&amp;$J582&amp;"|"&amp;12,Assessments!$A$2:$A$600,0)),"")</f>
        <v/>
      </c>
      <c r="CU582" s="28" t="str">
        <f aca="false">IFERROR(INDEX(Assessments!$I$2:$I$600,MATCH($H582&amp;"|"&amp;$I582&amp;"|"&amp;$J582&amp;"|"&amp;13,Assessments!$A$2:$A$600,0)),"")</f>
        <v/>
      </c>
      <c r="CV582" s="28" t="str">
        <f aca="false">IFERROR(INDEX(Assessments!$I$2:$I$600,MATCH($H582&amp;"|"&amp;$I582&amp;"|"&amp;$J582&amp;"|"&amp;14,Assessments!$A$2:$A$600,0)),"")</f>
        <v/>
      </c>
      <c r="CW582" s="28" t="n">
        <f aca="false">IFERROR(INDEX(Assessments!$J$2:$J$600,MATCH($H582&amp;"|"&amp;$I582&amp;"|"&amp;$J582&amp;"|"&amp;1,Assessments!$A$2:$A$600,0)),0)</f>
        <v>0</v>
      </c>
      <c r="CX582" s="28" t="n">
        <f aca="false">IFERROR(INDEX(Assessments!$J$2:$J$600,MATCH($H582&amp;"|"&amp;$I582&amp;"|"&amp;$J582&amp;"|"&amp;2,Assessments!$A$2:$A$600,0)),0)</f>
        <v>0</v>
      </c>
      <c r="CY582" s="28" t="n">
        <f aca="false">IFERROR(INDEX(Assessments!$J$2:$J$600,MATCH($H582&amp;"|"&amp;$I582&amp;"|"&amp;$J582&amp;"|"&amp;3,Assessments!$A$2:$A$600,0)),0)</f>
        <v>0</v>
      </c>
      <c r="CZ582" s="28" t="n">
        <f aca="false">IFERROR(INDEX(Assessments!$J$2:$J$600,MATCH($H582&amp;"|"&amp;$I582&amp;"|"&amp;$J582&amp;"|"&amp;4,Assessments!$A$2:$A$600,0)),0)</f>
        <v>0</v>
      </c>
      <c r="DA582" s="28" t="n">
        <f aca="false">IFERROR(INDEX(Assessments!$J$2:$J$600,MATCH($H582&amp;"|"&amp;$I582&amp;"|"&amp;$J582&amp;"|"&amp;5,Assessments!$A$2:$A$600,0)),0)</f>
        <v>0</v>
      </c>
      <c r="DB582" s="28" t="n">
        <f aca="false">IFERROR(INDEX(Assessments!$J$2:$J$600,MATCH($H582&amp;"|"&amp;$I582&amp;"|"&amp;$J582&amp;"|"&amp;6,Assessments!$A$2:$A$600,0)),0)</f>
        <v>0</v>
      </c>
      <c r="DC582" s="28" t="n">
        <f aca="false">IFERROR(INDEX(Assessments!$J$2:$J$600,MATCH($H582&amp;"|"&amp;$I582&amp;"|"&amp;$J582&amp;"|"&amp;7,Assessments!$A$2:$A$600,0)),0)</f>
        <v>0</v>
      </c>
      <c r="DD582" s="28" t="n">
        <f aca="false">IFERROR(INDEX(Assessments!$J$2:$J$600,MATCH($H582&amp;"|"&amp;$I582&amp;"|"&amp;$J582&amp;"|"&amp;8,Assessments!$A$2:$A$600,0)),0)</f>
        <v>0</v>
      </c>
      <c r="DE582" s="28" t="n">
        <f aca="false">IFERROR(INDEX(Assessments!$J$2:$J$600,MATCH($H582&amp;"|"&amp;$I582&amp;"|"&amp;$J582&amp;"|"&amp;9,Assessments!$A$2:$A$600,0)),0)</f>
        <v>0</v>
      </c>
      <c r="DF582" s="28" t="n">
        <f aca="false">IFERROR(INDEX(Assessments!$J$2:$J$600,MATCH($H582&amp;"|"&amp;$I582&amp;"|"&amp;$J582&amp;"|"&amp;10,Assessments!$A$2:$A$600,0)),0)</f>
        <v>0</v>
      </c>
      <c r="DG582" s="28" t="n">
        <f aca="false">IFERROR(INDEX(Assessments!$J$2:$J$600,MATCH($H582&amp;"|"&amp;$I582&amp;"|"&amp;$J582&amp;"|"&amp;11,Assessments!$A$2:$A$600,0)),0)</f>
        <v>0</v>
      </c>
      <c r="DH582" s="28" t="n">
        <f aca="false">IFERROR(INDEX(Assessments!$J$2:$J$600,MATCH($H582&amp;"|"&amp;$I582&amp;"|"&amp;$J582&amp;"|"&amp;12,Assessments!$A$2:$A$600,0)),0)</f>
        <v>0</v>
      </c>
      <c r="DI582" s="28" t="n">
        <f aca="false">IFERROR(INDEX(Assessments!$J$2:$J$600,MATCH($H582&amp;"|"&amp;$I582&amp;"|"&amp;$J582&amp;"|"&amp;13,Assessments!$A$2:$A$600,0)),0)</f>
        <v>0</v>
      </c>
      <c r="DJ582" s="28" t="n">
        <f aca="false">IFERROR(INDEX(Assessments!$J$2:$J$600,MATCH($H582&amp;"|"&amp;$I582&amp;"|"&amp;$J582&amp;"|"&amp;14,Assessments!$A$2:$A$600,0)),0)</f>
        <v>0</v>
      </c>
      <c r="DK582" s="28" t="str">
        <f aca="false">S582</f>
        <v/>
      </c>
      <c r="DL582" s="28" t="str">
        <f aca="false">W582</f>
        <v/>
      </c>
      <c r="DM582" s="28" t="str">
        <f aca="false">AA582</f>
        <v/>
      </c>
      <c r="DN582" s="28" t="str">
        <f aca="false">AE582</f>
        <v/>
      </c>
      <c r="DO582" s="28" t="str">
        <f aca="false">AI582</f>
        <v/>
      </c>
      <c r="DP582" s="28" t="str">
        <f aca="false">AM582</f>
        <v/>
      </c>
      <c r="DQ582" s="28" t="str">
        <f aca="false">AQ582</f>
        <v/>
      </c>
      <c r="DR582" s="28" t="str">
        <f aca="false">AU582</f>
        <v/>
      </c>
      <c r="DS582" s="28" t="str">
        <f aca="false">AY582</f>
        <v/>
      </c>
      <c r="DT582" s="28" t="str">
        <f aca="false">BC582</f>
        <v/>
      </c>
      <c r="DU582" s="28" t="str">
        <f aca="false">BG582</f>
        <v/>
      </c>
      <c r="DV582" s="28" t="str">
        <f aca="false">BK582</f>
        <v/>
      </c>
      <c r="DW582" s="28" t="str">
        <f aca="false">BO582</f>
        <v/>
      </c>
      <c r="DX582" s="28" t="str">
        <f aca="false">BS582</f>
        <v/>
      </c>
      <c r="DY582" s="28" t="str">
        <f aca="false">IF(ISNUMBER(S582),1,"")</f>
        <v/>
      </c>
      <c r="DZ582" s="28" t="str">
        <f aca="false">IF(ISNUMBER(W582),2,"")</f>
        <v/>
      </c>
      <c r="EA582" s="28" t="str">
        <f aca="false">IF(ISNUMBER(AA582),3,"")</f>
        <v/>
      </c>
      <c r="EB582" s="28" t="str">
        <f aca="false">IF(ISNUMBER(AE582),4,"")</f>
        <v/>
      </c>
      <c r="EC582" s="28" t="str">
        <f aca="false">IF(ISNUMBER(AI582),5,"")</f>
        <v/>
      </c>
      <c r="ED582" s="28" t="str">
        <f aca="false">IF(ISNUMBER(AM582),6,"")</f>
        <v/>
      </c>
      <c r="EE582" s="28" t="str">
        <f aca="false">IF(ISNUMBER(AQ582),7,"")</f>
        <v/>
      </c>
      <c r="EF582" s="28" t="str">
        <f aca="false">IF(ISNUMBER(AU582),8,"")</f>
        <v/>
      </c>
      <c r="EG582" s="28" t="str">
        <f aca="false">IF(ISNUMBER(AY582),9,"")</f>
        <v/>
      </c>
      <c r="EH582" s="28" t="str">
        <f aca="false">IF(ISNUMBER(BC582),10,"")</f>
        <v/>
      </c>
      <c r="EI582" s="28" t="str">
        <f aca="false">IF(ISNUMBER(BG582),11,"")</f>
        <v/>
      </c>
      <c r="EJ582" s="28" t="str">
        <f aca="false">IF(ISNUMBER(BK582),12,"")</f>
        <v/>
      </c>
      <c r="EK582" s="28" t="str">
        <f aca="false">IF(ISNUMBER(BO582),13,"")</f>
        <v/>
      </c>
      <c r="EL582" s="28" t="str">
        <f aca="false">IF(ISNUMBER(BS582),14,"")</f>
        <v/>
      </c>
      <c r="EM582" s="28" t="n">
        <f aca="false">IF(ISNUMBER(R582),R582*CW582,0)</f>
        <v>0</v>
      </c>
      <c r="EN582" s="28" t="n">
        <f aca="false">IF(ISNUMBER(V582),V582*CX582,0)</f>
        <v>0</v>
      </c>
      <c r="EO582" s="28" t="n">
        <f aca="false">IF(ISNUMBER(Z582),Z582*CY582,0)</f>
        <v>0</v>
      </c>
      <c r="EP582" s="28" t="n">
        <f aca="false">IF(ISNUMBER(AD582),AD582*CZ582,0)</f>
        <v>0</v>
      </c>
      <c r="EQ582" s="28" t="n">
        <f aca="false">IF(ISNUMBER(AH582),AH582*DA582,0)</f>
        <v>0</v>
      </c>
      <c r="ER582" s="28" t="n">
        <f aca="false">IF(ISNUMBER(AL582),AL582*DB582,0)</f>
        <v>0</v>
      </c>
      <c r="ES582" s="28" t="n">
        <f aca="false">IF(ISNUMBER(AP582),AP582*DC582,0)</f>
        <v>0</v>
      </c>
      <c r="ET582" s="28" t="n">
        <f aca="false">IF(ISNUMBER(AT582),AT582*DD582,0)</f>
        <v>0</v>
      </c>
      <c r="EU582" s="28" t="n">
        <f aca="false">IF(ISNUMBER(AX582),AX582*DE582,0)</f>
        <v>0</v>
      </c>
      <c r="EV582" s="28" t="n">
        <f aca="false">IF(ISNUMBER(BB582),BB582*DF582,0)</f>
        <v>0</v>
      </c>
      <c r="EW582" s="28" t="n">
        <f aca="false">IF(ISNUMBER(BF582),BF582*DG582,0)</f>
        <v>0</v>
      </c>
      <c r="EX582" s="28" t="n">
        <f aca="false">IF(ISNUMBER(BJ582),BJ582*DH582,0)</f>
        <v>0</v>
      </c>
      <c r="EY582" s="28" t="n">
        <f aca="false">IF(ISNUMBER(BN582),BN582*DI582,0)</f>
        <v>0</v>
      </c>
      <c r="EZ582" s="28" t="n">
        <f aca="false">IF(ISNUMBER(BR582),BR582*DJ582,0)</f>
        <v>0</v>
      </c>
      <c r="FA582" s="28" t="n">
        <f aca="false">IF(ISNUMBER(R582),CW582,0)</f>
        <v>0</v>
      </c>
      <c r="FB582" s="28" t="n">
        <f aca="false">IF(ISNUMBER(V582),CX582,0)</f>
        <v>0</v>
      </c>
      <c r="FC582" s="28" t="n">
        <f aca="false">IF(ISNUMBER(Z582),CY582,0)</f>
        <v>0</v>
      </c>
      <c r="FD582" s="28" t="n">
        <f aca="false">IF(ISNUMBER(AD582),CZ582,0)</f>
        <v>0</v>
      </c>
      <c r="FE582" s="28" t="n">
        <f aca="false">IF(ISNUMBER(AH582),DA582,0)</f>
        <v>0</v>
      </c>
      <c r="FF582" s="28" t="n">
        <f aca="false">IF(ISNUMBER(AL582),DB582,0)</f>
        <v>0</v>
      </c>
      <c r="FG582" s="28" t="n">
        <f aca="false">IF(ISNUMBER(AP582),DC582,0)</f>
        <v>0</v>
      </c>
      <c r="FH582" s="28" t="n">
        <f aca="false">IF(ISNUMBER(AT582),DD582,0)</f>
        <v>0</v>
      </c>
      <c r="FI582" s="28" t="n">
        <f aca="false">IF(ISNUMBER(AX582),DE582,0)</f>
        <v>0</v>
      </c>
      <c r="FJ582" s="28" t="n">
        <f aca="false">IF(ISNUMBER(BB582),DF582,0)</f>
        <v>0</v>
      </c>
      <c r="FK582" s="28" t="n">
        <f aca="false">IF(ISNUMBER(BF582),DG582,0)</f>
        <v>0</v>
      </c>
      <c r="FL582" s="28" t="n">
        <f aca="false">IF(ISNUMBER(BJ582),DH582,0)</f>
        <v>0</v>
      </c>
      <c r="FM582" s="28" t="n">
        <f aca="false">IF(ISNUMBER(BN582),DI582,0)</f>
        <v>0</v>
      </c>
      <c r="FN582" s="28" t="n">
        <f aca="false">IF(ISNUMBER(BR582),DJ582,0)</f>
        <v>0</v>
      </c>
      <c r="FO582" s="28" t="str">
        <f aca="false">IFERROR(INDEX(Lists!$G$2:$G$20,MATCH($I582&amp;"|"&amp;$J582,Lists!$F$2:$F$20,0)),"")</f>
        <v/>
      </c>
    </row>
    <row r="583" customFormat="false" ht="19.5" hidden="false" customHeight="true" outlineLevel="0" collapsed="false">
      <c r="A583" s="29"/>
      <c r="B583" s="29"/>
      <c r="C583" s="30"/>
      <c r="D583" s="30"/>
      <c r="E583" s="31"/>
      <c r="F583" s="30"/>
      <c r="G583" s="30"/>
      <c r="H583" s="32"/>
      <c r="I583" s="33"/>
      <c r="J583" s="32"/>
      <c r="K583" s="34" t="str">
        <f aca="false">IF(OR(M583="",$E583=""),"",M583-$E583)</f>
        <v/>
      </c>
      <c r="L583" s="35" t="str">
        <f aca="false">IF(SUM(FA583:FN583)=0,"",SUM(EM583:EZ583)/SUM(FA583:FN583))</f>
        <v/>
      </c>
      <c r="M583" s="36" t="str">
        <f aca="false">IF(OR(L583="",FO583=""),"",IFERROR(MATCH(L583,INDEX(Boundaries!$B$2:$I$30,MATCH(FO583,Boundaries!$A$2:$A$30,0),0),1)-1,""))</f>
        <v/>
      </c>
      <c r="N583" s="37" t="str">
        <f aca="false">IF(COUNT($DY583:$EL583)&lt;2,"",INDEX($DK583:$DX583,MAX($DY583:$EL583))-INDEX($DK583:$DX583,MIN($DY583:$EL583)))</f>
        <v/>
      </c>
      <c r="O583" s="37" t="str">
        <f aca="false">IF(COUNT($DY583:$EL583)&lt;2,"",INDEX($DK583:$DX583,MAX($DY583:$EL583))-INDEX($DK583:$DX583,LARGE($DY583:$EL583,2)))</f>
        <v/>
      </c>
      <c r="P583" s="38" t="str">
        <f aca="false">IF(K583="","",IF(K583&gt;=0,"On/above target",IF(AND(N583&lt;&gt;"",N583&gt;=0.5),"Improving towards target",IF(AND(O583&lt;&gt;"",O583&lt;=-0.5),"Declining","Stable below target"))))</f>
        <v/>
      </c>
      <c r="Q583" s="39"/>
      <c r="R583" s="40" t="str">
        <f aca="false">IF(OR(Q583="",BU583=""),"",Q583/BU583*100)</f>
        <v/>
      </c>
      <c r="S583" s="41" t="str">
        <f aca="false">IF(R583="","",IFERROR(MATCH(R583,INDEX(Boundaries!$B$2:$I$30,MATCH(CI583,Boundaries!$A$2:$A$30,0),0),1)-1,""))</f>
        <v/>
      </c>
      <c r="T583" s="42" t="str">
        <f aca="false">IF(OR(S583="",$E583=""),"",S583-$E583)</f>
        <v/>
      </c>
      <c r="U583" s="39"/>
      <c r="V583" s="40" t="str">
        <f aca="false">IF(OR(U583="",BV583=""),"",U583/BV583*100)</f>
        <v/>
      </c>
      <c r="W583" s="41" t="str">
        <f aca="false">IF(V583="","",IFERROR(MATCH(V583,INDEX(Boundaries!$B$2:$I$30,MATCH(CJ583,Boundaries!$A$2:$A$30,0),0),1)-1,""))</f>
        <v/>
      </c>
      <c r="X583" s="42" t="str">
        <f aca="false">IF(OR(W583="",$E583=""),"",W583-$E583)</f>
        <v/>
      </c>
      <c r="Y583" s="39"/>
      <c r="Z583" s="40" t="str">
        <f aca="false">IF(OR(Y583="",BW583=""),"",Y583/BW583*100)</f>
        <v/>
      </c>
      <c r="AA583" s="41" t="str">
        <f aca="false">IF(Z583="","",IFERROR(MATCH(Z583,INDEX(Boundaries!$B$2:$I$30,MATCH(CK583,Boundaries!$A$2:$A$30,0),0),1)-1,""))</f>
        <v/>
      </c>
      <c r="AB583" s="42" t="str">
        <f aca="false">IF(OR(AA583="",$E583=""),"",AA583-$E583)</f>
        <v/>
      </c>
      <c r="AC583" s="39"/>
      <c r="AD583" s="40" t="str">
        <f aca="false">IF(OR(AC583="",BX583=""),"",AC583/BX583*100)</f>
        <v/>
      </c>
      <c r="AE583" s="41" t="str">
        <f aca="false">IF(AD583="","",IFERROR(MATCH(AD583,INDEX(Boundaries!$B$2:$I$30,MATCH(CL583,Boundaries!$A$2:$A$30,0),0),1)-1,""))</f>
        <v/>
      </c>
      <c r="AF583" s="42" t="str">
        <f aca="false">IF(OR(AE583="",$E583=""),"",AE583-$E583)</f>
        <v/>
      </c>
      <c r="AG583" s="39"/>
      <c r="AH583" s="40" t="str">
        <f aca="false">IF(OR(AG583="",BY583=""),"",AG583/BY583*100)</f>
        <v/>
      </c>
      <c r="AI583" s="41" t="str">
        <f aca="false">IF(AH583="","",IFERROR(MATCH(AH583,INDEX(Boundaries!$B$2:$I$30,MATCH(CM583,Boundaries!$A$2:$A$30,0),0),1)-1,""))</f>
        <v/>
      </c>
      <c r="AJ583" s="42" t="str">
        <f aca="false">IF(OR(AI583="",$E583=""),"",AI583-$E583)</f>
        <v/>
      </c>
      <c r="AK583" s="39"/>
      <c r="AL583" s="40" t="str">
        <f aca="false">IF(OR(AK583="",BZ583=""),"",AK583/BZ583*100)</f>
        <v/>
      </c>
      <c r="AM583" s="41" t="str">
        <f aca="false">IF(AL583="","",IFERROR(MATCH(AL583,INDEX(Boundaries!$B$2:$I$30,MATCH(CN583,Boundaries!$A$2:$A$30,0),0),1)-1,""))</f>
        <v/>
      </c>
      <c r="AN583" s="42" t="str">
        <f aca="false">IF(OR(AM583="",$E583=""),"",AM583-$E583)</f>
        <v/>
      </c>
      <c r="AO583" s="39"/>
      <c r="AP583" s="40" t="str">
        <f aca="false">IF(OR(AO583="",CA583=""),"",AO583/CA583*100)</f>
        <v/>
      </c>
      <c r="AQ583" s="41" t="str">
        <f aca="false">IF(AP583="","",IFERROR(MATCH(AP583,INDEX(Boundaries!$B$2:$I$30,MATCH(CO583,Boundaries!$A$2:$A$30,0),0),1)-1,""))</f>
        <v/>
      </c>
      <c r="AR583" s="42" t="str">
        <f aca="false">IF(OR(AQ583="",$E583=""),"",AQ583-$E583)</f>
        <v/>
      </c>
      <c r="AS583" s="39"/>
      <c r="AT583" s="40" t="str">
        <f aca="false">IF(OR(AS583="",CB583=""),"",AS583/CB583*100)</f>
        <v/>
      </c>
      <c r="AU583" s="41" t="str">
        <f aca="false">IF(AT583="","",IFERROR(MATCH(AT583,INDEX(Boundaries!$B$2:$I$30,MATCH(CP583,Boundaries!$A$2:$A$30,0),0),1)-1,""))</f>
        <v/>
      </c>
      <c r="AV583" s="42" t="str">
        <f aca="false">IF(OR(AU583="",$E583=""),"",AU583-$E583)</f>
        <v/>
      </c>
      <c r="AW583" s="39"/>
      <c r="AX583" s="40" t="str">
        <f aca="false">IF(OR(AW583="",CC583=""),"",AW583/CC583*100)</f>
        <v/>
      </c>
      <c r="AY583" s="41" t="str">
        <f aca="false">IF(AX583="","",IFERROR(MATCH(AX583,INDEX(Boundaries!$B$2:$I$30,MATCH(CQ583,Boundaries!$A$2:$A$30,0),0),1)-1,""))</f>
        <v/>
      </c>
      <c r="AZ583" s="42" t="str">
        <f aca="false">IF(OR(AY583="",$E583=""),"",AY583-$E583)</f>
        <v/>
      </c>
      <c r="BA583" s="39"/>
      <c r="BB583" s="40" t="str">
        <f aca="false">IF(OR(BA583="",CD583=""),"",BA583/CD583*100)</f>
        <v/>
      </c>
      <c r="BC583" s="41" t="str">
        <f aca="false">IF(BB583="","",IFERROR(MATCH(BB583,INDEX(Boundaries!$B$2:$I$30,MATCH(CR583,Boundaries!$A$2:$A$30,0),0),1)-1,""))</f>
        <v/>
      </c>
      <c r="BD583" s="42" t="str">
        <f aca="false">IF(OR(BC583="",$E583=""),"",BC583-$E583)</f>
        <v/>
      </c>
      <c r="BE583" s="39"/>
      <c r="BF583" s="40" t="str">
        <f aca="false">IF(OR(BE583="",CE583=""),"",BE583/CE583*100)</f>
        <v/>
      </c>
      <c r="BG583" s="41" t="str">
        <f aca="false">IF(BF583="","",IFERROR(MATCH(BF583,INDEX(Boundaries!$B$2:$I$30,MATCH(CS583,Boundaries!$A$2:$A$30,0),0),1)-1,""))</f>
        <v/>
      </c>
      <c r="BH583" s="42" t="str">
        <f aca="false">IF(OR(BG583="",$E583=""),"",BG583-$E583)</f>
        <v/>
      </c>
      <c r="BI583" s="39"/>
      <c r="BJ583" s="40" t="str">
        <f aca="false">IF(OR(BI583="",CF583=""),"",BI583/CF583*100)</f>
        <v/>
      </c>
      <c r="BK583" s="41" t="str">
        <f aca="false">IF(BJ583="","",IFERROR(MATCH(BJ583,INDEX(Boundaries!$B$2:$I$30,MATCH(CT583,Boundaries!$A$2:$A$30,0),0),1)-1,""))</f>
        <v/>
      </c>
      <c r="BL583" s="42" t="str">
        <f aca="false">IF(OR(BK583="",$E583=""),"",BK583-$E583)</f>
        <v/>
      </c>
      <c r="BM583" s="39"/>
      <c r="BN583" s="40" t="str">
        <f aca="false">IF(OR(BM583="",CG583=""),"",BM583/CG583*100)</f>
        <v/>
      </c>
      <c r="BO583" s="41" t="str">
        <f aca="false">IF(BN583="","",IFERROR(MATCH(BN583,INDEX(Boundaries!$B$2:$I$30,MATCH(CU583,Boundaries!$A$2:$A$30,0),0),1)-1,""))</f>
        <v/>
      </c>
      <c r="BP583" s="42" t="str">
        <f aca="false">IF(OR(BO583="",$E583=""),"",BO583-$E583)</f>
        <v/>
      </c>
      <c r="BQ583" s="39"/>
      <c r="BR583" s="40" t="str">
        <f aca="false">IF(OR(BQ583="",CH583=""),"",BQ583/CH583*100)</f>
        <v/>
      </c>
      <c r="BS583" s="41" t="str">
        <f aca="false">IF(BR583="","",IFERROR(MATCH(BR583,INDEX(Boundaries!$B$2:$I$30,MATCH(CV583,Boundaries!$A$2:$A$30,0),0),1)-1,""))</f>
        <v/>
      </c>
      <c r="BT583" s="42" t="str">
        <f aca="false">IF(OR(BS583="",$E583=""),"",BS583-$E583)</f>
        <v/>
      </c>
      <c r="BU583" s="28" t="str">
        <f aca="false">IFERROR(INDEX(Assessments!$H$2:$H$600,MATCH($H583&amp;"|"&amp;$I583&amp;"|"&amp;$J583&amp;"|"&amp;1,Assessments!$A$2:$A$600,0)),"")</f>
        <v/>
      </c>
      <c r="BV583" s="28" t="str">
        <f aca="false">IFERROR(INDEX(Assessments!$H$2:$H$600,MATCH($H583&amp;"|"&amp;$I583&amp;"|"&amp;$J583&amp;"|"&amp;2,Assessments!$A$2:$A$600,0)),"")</f>
        <v/>
      </c>
      <c r="BW583" s="28" t="str">
        <f aca="false">IFERROR(INDEX(Assessments!$H$2:$H$600,MATCH($H583&amp;"|"&amp;$I583&amp;"|"&amp;$J583&amp;"|"&amp;3,Assessments!$A$2:$A$600,0)),"")</f>
        <v/>
      </c>
      <c r="BX583" s="28" t="str">
        <f aca="false">IFERROR(INDEX(Assessments!$H$2:$H$600,MATCH($H583&amp;"|"&amp;$I583&amp;"|"&amp;$J583&amp;"|"&amp;4,Assessments!$A$2:$A$600,0)),"")</f>
        <v/>
      </c>
      <c r="BY583" s="28" t="str">
        <f aca="false">IFERROR(INDEX(Assessments!$H$2:$H$600,MATCH($H583&amp;"|"&amp;$I583&amp;"|"&amp;$J583&amp;"|"&amp;5,Assessments!$A$2:$A$600,0)),"")</f>
        <v/>
      </c>
      <c r="BZ583" s="28" t="str">
        <f aca="false">IFERROR(INDEX(Assessments!$H$2:$H$600,MATCH($H583&amp;"|"&amp;$I583&amp;"|"&amp;$J583&amp;"|"&amp;6,Assessments!$A$2:$A$600,0)),"")</f>
        <v/>
      </c>
      <c r="CA583" s="28" t="str">
        <f aca="false">IFERROR(INDEX(Assessments!$H$2:$H$600,MATCH($H583&amp;"|"&amp;$I583&amp;"|"&amp;$J583&amp;"|"&amp;7,Assessments!$A$2:$A$600,0)),"")</f>
        <v/>
      </c>
      <c r="CB583" s="28" t="str">
        <f aca="false">IFERROR(INDEX(Assessments!$H$2:$H$600,MATCH($H583&amp;"|"&amp;$I583&amp;"|"&amp;$J583&amp;"|"&amp;8,Assessments!$A$2:$A$600,0)),"")</f>
        <v/>
      </c>
      <c r="CC583" s="28" t="str">
        <f aca="false">IFERROR(INDEX(Assessments!$H$2:$H$600,MATCH($H583&amp;"|"&amp;$I583&amp;"|"&amp;$J583&amp;"|"&amp;9,Assessments!$A$2:$A$600,0)),"")</f>
        <v/>
      </c>
      <c r="CD583" s="28" t="str">
        <f aca="false">IFERROR(INDEX(Assessments!$H$2:$H$600,MATCH($H583&amp;"|"&amp;$I583&amp;"|"&amp;$J583&amp;"|"&amp;10,Assessments!$A$2:$A$600,0)),"")</f>
        <v/>
      </c>
      <c r="CE583" s="28" t="str">
        <f aca="false">IFERROR(INDEX(Assessments!$H$2:$H$600,MATCH($H583&amp;"|"&amp;$I583&amp;"|"&amp;$J583&amp;"|"&amp;11,Assessments!$A$2:$A$600,0)),"")</f>
        <v/>
      </c>
      <c r="CF583" s="28" t="str">
        <f aca="false">IFERROR(INDEX(Assessments!$H$2:$H$600,MATCH($H583&amp;"|"&amp;$I583&amp;"|"&amp;$J583&amp;"|"&amp;12,Assessments!$A$2:$A$600,0)),"")</f>
        <v/>
      </c>
      <c r="CG583" s="28" t="str">
        <f aca="false">IFERROR(INDEX(Assessments!$H$2:$H$600,MATCH($H583&amp;"|"&amp;$I583&amp;"|"&amp;$J583&amp;"|"&amp;13,Assessments!$A$2:$A$600,0)),"")</f>
        <v/>
      </c>
      <c r="CH583" s="28" t="str">
        <f aca="false">IFERROR(INDEX(Assessments!$H$2:$H$600,MATCH($H583&amp;"|"&amp;$I583&amp;"|"&amp;$J583&amp;"|"&amp;14,Assessments!$A$2:$A$600,0)),"")</f>
        <v/>
      </c>
      <c r="CI583" s="28" t="str">
        <f aca="false">IFERROR(INDEX(Assessments!$I$2:$I$600,MATCH($H583&amp;"|"&amp;$I583&amp;"|"&amp;$J583&amp;"|"&amp;1,Assessments!$A$2:$A$600,0)),"")</f>
        <v/>
      </c>
      <c r="CJ583" s="28" t="str">
        <f aca="false">IFERROR(INDEX(Assessments!$I$2:$I$600,MATCH($H583&amp;"|"&amp;$I583&amp;"|"&amp;$J583&amp;"|"&amp;2,Assessments!$A$2:$A$600,0)),"")</f>
        <v/>
      </c>
      <c r="CK583" s="28" t="str">
        <f aca="false">IFERROR(INDEX(Assessments!$I$2:$I$600,MATCH($H583&amp;"|"&amp;$I583&amp;"|"&amp;$J583&amp;"|"&amp;3,Assessments!$A$2:$A$600,0)),"")</f>
        <v/>
      </c>
      <c r="CL583" s="28" t="str">
        <f aca="false">IFERROR(INDEX(Assessments!$I$2:$I$600,MATCH($H583&amp;"|"&amp;$I583&amp;"|"&amp;$J583&amp;"|"&amp;4,Assessments!$A$2:$A$600,0)),"")</f>
        <v/>
      </c>
      <c r="CM583" s="28" t="str">
        <f aca="false">IFERROR(INDEX(Assessments!$I$2:$I$600,MATCH($H583&amp;"|"&amp;$I583&amp;"|"&amp;$J583&amp;"|"&amp;5,Assessments!$A$2:$A$600,0)),"")</f>
        <v/>
      </c>
      <c r="CN583" s="28" t="str">
        <f aca="false">IFERROR(INDEX(Assessments!$I$2:$I$600,MATCH($H583&amp;"|"&amp;$I583&amp;"|"&amp;$J583&amp;"|"&amp;6,Assessments!$A$2:$A$600,0)),"")</f>
        <v/>
      </c>
      <c r="CO583" s="28" t="str">
        <f aca="false">IFERROR(INDEX(Assessments!$I$2:$I$600,MATCH($H583&amp;"|"&amp;$I583&amp;"|"&amp;$J583&amp;"|"&amp;7,Assessments!$A$2:$A$600,0)),"")</f>
        <v/>
      </c>
      <c r="CP583" s="28" t="str">
        <f aca="false">IFERROR(INDEX(Assessments!$I$2:$I$600,MATCH($H583&amp;"|"&amp;$I583&amp;"|"&amp;$J583&amp;"|"&amp;8,Assessments!$A$2:$A$600,0)),"")</f>
        <v/>
      </c>
      <c r="CQ583" s="28" t="str">
        <f aca="false">IFERROR(INDEX(Assessments!$I$2:$I$600,MATCH($H583&amp;"|"&amp;$I583&amp;"|"&amp;$J583&amp;"|"&amp;9,Assessments!$A$2:$A$600,0)),"")</f>
        <v/>
      </c>
      <c r="CR583" s="28" t="str">
        <f aca="false">IFERROR(INDEX(Assessments!$I$2:$I$600,MATCH($H583&amp;"|"&amp;$I583&amp;"|"&amp;$J583&amp;"|"&amp;10,Assessments!$A$2:$A$600,0)),"")</f>
        <v/>
      </c>
      <c r="CS583" s="28" t="str">
        <f aca="false">IFERROR(INDEX(Assessments!$I$2:$I$600,MATCH($H583&amp;"|"&amp;$I583&amp;"|"&amp;$J583&amp;"|"&amp;11,Assessments!$A$2:$A$600,0)),"")</f>
        <v/>
      </c>
      <c r="CT583" s="28" t="str">
        <f aca="false">IFERROR(INDEX(Assessments!$I$2:$I$600,MATCH($H583&amp;"|"&amp;$I583&amp;"|"&amp;$J583&amp;"|"&amp;12,Assessments!$A$2:$A$600,0)),"")</f>
        <v/>
      </c>
      <c r="CU583" s="28" t="str">
        <f aca="false">IFERROR(INDEX(Assessments!$I$2:$I$600,MATCH($H583&amp;"|"&amp;$I583&amp;"|"&amp;$J583&amp;"|"&amp;13,Assessments!$A$2:$A$600,0)),"")</f>
        <v/>
      </c>
      <c r="CV583" s="28" t="str">
        <f aca="false">IFERROR(INDEX(Assessments!$I$2:$I$600,MATCH($H583&amp;"|"&amp;$I583&amp;"|"&amp;$J583&amp;"|"&amp;14,Assessments!$A$2:$A$600,0)),"")</f>
        <v/>
      </c>
      <c r="CW583" s="28" t="n">
        <f aca="false">IFERROR(INDEX(Assessments!$J$2:$J$600,MATCH($H583&amp;"|"&amp;$I583&amp;"|"&amp;$J583&amp;"|"&amp;1,Assessments!$A$2:$A$600,0)),0)</f>
        <v>0</v>
      </c>
      <c r="CX583" s="28" t="n">
        <f aca="false">IFERROR(INDEX(Assessments!$J$2:$J$600,MATCH($H583&amp;"|"&amp;$I583&amp;"|"&amp;$J583&amp;"|"&amp;2,Assessments!$A$2:$A$600,0)),0)</f>
        <v>0</v>
      </c>
      <c r="CY583" s="28" t="n">
        <f aca="false">IFERROR(INDEX(Assessments!$J$2:$J$600,MATCH($H583&amp;"|"&amp;$I583&amp;"|"&amp;$J583&amp;"|"&amp;3,Assessments!$A$2:$A$600,0)),0)</f>
        <v>0</v>
      </c>
      <c r="CZ583" s="28" t="n">
        <f aca="false">IFERROR(INDEX(Assessments!$J$2:$J$600,MATCH($H583&amp;"|"&amp;$I583&amp;"|"&amp;$J583&amp;"|"&amp;4,Assessments!$A$2:$A$600,0)),0)</f>
        <v>0</v>
      </c>
      <c r="DA583" s="28" t="n">
        <f aca="false">IFERROR(INDEX(Assessments!$J$2:$J$600,MATCH($H583&amp;"|"&amp;$I583&amp;"|"&amp;$J583&amp;"|"&amp;5,Assessments!$A$2:$A$600,0)),0)</f>
        <v>0</v>
      </c>
      <c r="DB583" s="28" t="n">
        <f aca="false">IFERROR(INDEX(Assessments!$J$2:$J$600,MATCH($H583&amp;"|"&amp;$I583&amp;"|"&amp;$J583&amp;"|"&amp;6,Assessments!$A$2:$A$600,0)),0)</f>
        <v>0</v>
      </c>
      <c r="DC583" s="28" t="n">
        <f aca="false">IFERROR(INDEX(Assessments!$J$2:$J$600,MATCH($H583&amp;"|"&amp;$I583&amp;"|"&amp;$J583&amp;"|"&amp;7,Assessments!$A$2:$A$600,0)),0)</f>
        <v>0</v>
      </c>
      <c r="DD583" s="28" t="n">
        <f aca="false">IFERROR(INDEX(Assessments!$J$2:$J$600,MATCH($H583&amp;"|"&amp;$I583&amp;"|"&amp;$J583&amp;"|"&amp;8,Assessments!$A$2:$A$600,0)),0)</f>
        <v>0</v>
      </c>
      <c r="DE583" s="28" t="n">
        <f aca="false">IFERROR(INDEX(Assessments!$J$2:$J$600,MATCH($H583&amp;"|"&amp;$I583&amp;"|"&amp;$J583&amp;"|"&amp;9,Assessments!$A$2:$A$600,0)),0)</f>
        <v>0</v>
      </c>
      <c r="DF583" s="28" t="n">
        <f aca="false">IFERROR(INDEX(Assessments!$J$2:$J$600,MATCH($H583&amp;"|"&amp;$I583&amp;"|"&amp;$J583&amp;"|"&amp;10,Assessments!$A$2:$A$600,0)),0)</f>
        <v>0</v>
      </c>
      <c r="DG583" s="28" t="n">
        <f aca="false">IFERROR(INDEX(Assessments!$J$2:$J$600,MATCH($H583&amp;"|"&amp;$I583&amp;"|"&amp;$J583&amp;"|"&amp;11,Assessments!$A$2:$A$600,0)),0)</f>
        <v>0</v>
      </c>
      <c r="DH583" s="28" t="n">
        <f aca="false">IFERROR(INDEX(Assessments!$J$2:$J$600,MATCH($H583&amp;"|"&amp;$I583&amp;"|"&amp;$J583&amp;"|"&amp;12,Assessments!$A$2:$A$600,0)),0)</f>
        <v>0</v>
      </c>
      <c r="DI583" s="28" t="n">
        <f aca="false">IFERROR(INDEX(Assessments!$J$2:$J$600,MATCH($H583&amp;"|"&amp;$I583&amp;"|"&amp;$J583&amp;"|"&amp;13,Assessments!$A$2:$A$600,0)),0)</f>
        <v>0</v>
      </c>
      <c r="DJ583" s="28" t="n">
        <f aca="false">IFERROR(INDEX(Assessments!$J$2:$J$600,MATCH($H583&amp;"|"&amp;$I583&amp;"|"&amp;$J583&amp;"|"&amp;14,Assessments!$A$2:$A$600,0)),0)</f>
        <v>0</v>
      </c>
      <c r="DK583" s="28" t="str">
        <f aca="false">S583</f>
        <v/>
      </c>
      <c r="DL583" s="28" t="str">
        <f aca="false">W583</f>
        <v/>
      </c>
      <c r="DM583" s="28" t="str">
        <f aca="false">AA583</f>
        <v/>
      </c>
      <c r="DN583" s="28" t="str">
        <f aca="false">AE583</f>
        <v/>
      </c>
      <c r="DO583" s="28" t="str">
        <f aca="false">AI583</f>
        <v/>
      </c>
      <c r="DP583" s="28" t="str">
        <f aca="false">AM583</f>
        <v/>
      </c>
      <c r="DQ583" s="28" t="str">
        <f aca="false">AQ583</f>
        <v/>
      </c>
      <c r="DR583" s="28" t="str">
        <f aca="false">AU583</f>
        <v/>
      </c>
      <c r="DS583" s="28" t="str">
        <f aca="false">AY583</f>
        <v/>
      </c>
      <c r="DT583" s="28" t="str">
        <f aca="false">BC583</f>
        <v/>
      </c>
      <c r="DU583" s="28" t="str">
        <f aca="false">BG583</f>
        <v/>
      </c>
      <c r="DV583" s="28" t="str">
        <f aca="false">BK583</f>
        <v/>
      </c>
      <c r="DW583" s="28" t="str">
        <f aca="false">BO583</f>
        <v/>
      </c>
      <c r="DX583" s="28" t="str">
        <f aca="false">BS583</f>
        <v/>
      </c>
      <c r="DY583" s="28" t="str">
        <f aca="false">IF(ISNUMBER(S583),1,"")</f>
        <v/>
      </c>
      <c r="DZ583" s="28" t="str">
        <f aca="false">IF(ISNUMBER(W583),2,"")</f>
        <v/>
      </c>
      <c r="EA583" s="28" t="str">
        <f aca="false">IF(ISNUMBER(AA583),3,"")</f>
        <v/>
      </c>
      <c r="EB583" s="28" t="str">
        <f aca="false">IF(ISNUMBER(AE583),4,"")</f>
        <v/>
      </c>
      <c r="EC583" s="28" t="str">
        <f aca="false">IF(ISNUMBER(AI583),5,"")</f>
        <v/>
      </c>
      <c r="ED583" s="28" t="str">
        <f aca="false">IF(ISNUMBER(AM583),6,"")</f>
        <v/>
      </c>
      <c r="EE583" s="28" t="str">
        <f aca="false">IF(ISNUMBER(AQ583),7,"")</f>
        <v/>
      </c>
      <c r="EF583" s="28" t="str">
        <f aca="false">IF(ISNUMBER(AU583),8,"")</f>
        <v/>
      </c>
      <c r="EG583" s="28" t="str">
        <f aca="false">IF(ISNUMBER(AY583),9,"")</f>
        <v/>
      </c>
      <c r="EH583" s="28" t="str">
        <f aca="false">IF(ISNUMBER(BC583),10,"")</f>
        <v/>
      </c>
      <c r="EI583" s="28" t="str">
        <f aca="false">IF(ISNUMBER(BG583),11,"")</f>
        <v/>
      </c>
      <c r="EJ583" s="28" t="str">
        <f aca="false">IF(ISNUMBER(BK583),12,"")</f>
        <v/>
      </c>
      <c r="EK583" s="28" t="str">
        <f aca="false">IF(ISNUMBER(BO583),13,"")</f>
        <v/>
      </c>
      <c r="EL583" s="28" t="str">
        <f aca="false">IF(ISNUMBER(BS583),14,"")</f>
        <v/>
      </c>
      <c r="EM583" s="28" t="n">
        <f aca="false">IF(ISNUMBER(R583),R583*CW583,0)</f>
        <v>0</v>
      </c>
      <c r="EN583" s="28" t="n">
        <f aca="false">IF(ISNUMBER(V583),V583*CX583,0)</f>
        <v>0</v>
      </c>
      <c r="EO583" s="28" t="n">
        <f aca="false">IF(ISNUMBER(Z583),Z583*CY583,0)</f>
        <v>0</v>
      </c>
      <c r="EP583" s="28" t="n">
        <f aca="false">IF(ISNUMBER(AD583),AD583*CZ583,0)</f>
        <v>0</v>
      </c>
      <c r="EQ583" s="28" t="n">
        <f aca="false">IF(ISNUMBER(AH583),AH583*DA583,0)</f>
        <v>0</v>
      </c>
      <c r="ER583" s="28" t="n">
        <f aca="false">IF(ISNUMBER(AL583),AL583*DB583,0)</f>
        <v>0</v>
      </c>
      <c r="ES583" s="28" t="n">
        <f aca="false">IF(ISNUMBER(AP583),AP583*DC583,0)</f>
        <v>0</v>
      </c>
      <c r="ET583" s="28" t="n">
        <f aca="false">IF(ISNUMBER(AT583),AT583*DD583,0)</f>
        <v>0</v>
      </c>
      <c r="EU583" s="28" t="n">
        <f aca="false">IF(ISNUMBER(AX583),AX583*DE583,0)</f>
        <v>0</v>
      </c>
      <c r="EV583" s="28" t="n">
        <f aca="false">IF(ISNUMBER(BB583),BB583*DF583,0)</f>
        <v>0</v>
      </c>
      <c r="EW583" s="28" t="n">
        <f aca="false">IF(ISNUMBER(BF583),BF583*DG583,0)</f>
        <v>0</v>
      </c>
      <c r="EX583" s="28" t="n">
        <f aca="false">IF(ISNUMBER(BJ583),BJ583*DH583,0)</f>
        <v>0</v>
      </c>
      <c r="EY583" s="28" t="n">
        <f aca="false">IF(ISNUMBER(BN583),BN583*DI583,0)</f>
        <v>0</v>
      </c>
      <c r="EZ583" s="28" t="n">
        <f aca="false">IF(ISNUMBER(BR583),BR583*DJ583,0)</f>
        <v>0</v>
      </c>
      <c r="FA583" s="28" t="n">
        <f aca="false">IF(ISNUMBER(R583),CW583,0)</f>
        <v>0</v>
      </c>
      <c r="FB583" s="28" t="n">
        <f aca="false">IF(ISNUMBER(V583),CX583,0)</f>
        <v>0</v>
      </c>
      <c r="FC583" s="28" t="n">
        <f aca="false">IF(ISNUMBER(Z583),CY583,0)</f>
        <v>0</v>
      </c>
      <c r="FD583" s="28" t="n">
        <f aca="false">IF(ISNUMBER(AD583),CZ583,0)</f>
        <v>0</v>
      </c>
      <c r="FE583" s="28" t="n">
        <f aca="false">IF(ISNUMBER(AH583),DA583,0)</f>
        <v>0</v>
      </c>
      <c r="FF583" s="28" t="n">
        <f aca="false">IF(ISNUMBER(AL583),DB583,0)</f>
        <v>0</v>
      </c>
      <c r="FG583" s="28" t="n">
        <f aca="false">IF(ISNUMBER(AP583),DC583,0)</f>
        <v>0</v>
      </c>
      <c r="FH583" s="28" t="n">
        <f aca="false">IF(ISNUMBER(AT583),DD583,0)</f>
        <v>0</v>
      </c>
      <c r="FI583" s="28" t="n">
        <f aca="false">IF(ISNUMBER(AX583),DE583,0)</f>
        <v>0</v>
      </c>
      <c r="FJ583" s="28" t="n">
        <f aca="false">IF(ISNUMBER(BB583),DF583,0)</f>
        <v>0</v>
      </c>
      <c r="FK583" s="28" t="n">
        <f aca="false">IF(ISNUMBER(BF583),DG583,0)</f>
        <v>0</v>
      </c>
      <c r="FL583" s="28" t="n">
        <f aca="false">IF(ISNUMBER(BJ583),DH583,0)</f>
        <v>0</v>
      </c>
      <c r="FM583" s="28" t="n">
        <f aca="false">IF(ISNUMBER(BN583),DI583,0)</f>
        <v>0</v>
      </c>
      <c r="FN583" s="28" t="n">
        <f aca="false">IF(ISNUMBER(BR583),DJ583,0)</f>
        <v>0</v>
      </c>
      <c r="FO583" s="28" t="str">
        <f aca="false">IFERROR(INDEX(Lists!$G$2:$G$20,MATCH($I583&amp;"|"&amp;$J583,Lists!$F$2:$F$20,0)),"")</f>
        <v/>
      </c>
    </row>
    <row r="584" customFormat="false" ht="19.5" hidden="false" customHeight="true" outlineLevel="0" collapsed="false">
      <c r="A584" s="29"/>
      <c r="B584" s="29"/>
      <c r="C584" s="30"/>
      <c r="D584" s="30"/>
      <c r="E584" s="31"/>
      <c r="F584" s="30"/>
      <c r="G584" s="30"/>
      <c r="H584" s="32"/>
      <c r="I584" s="33"/>
      <c r="J584" s="32"/>
      <c r="K584" s="34" t="str">
        <f aca="false">IF(OR(M584="",$E584=""),"",M584-$E584)</f>
        <v/>
      </c>
      <c r="L584" s="35" t="str">
        <f aca="false">IF(SUM(FA584:FN584)=0,"",SUM(EM584:EZ584)/SUM(FA584:FN584))</f>
        <v/>
      </c>
      <c r="M584" s="36" t="str">
        <f aca="false">IF(OR(L584="",FO584=""),"",IFERROR(MATCH(L584,INDEX(Boundaries!$B$2:$I$30,MATCH(FO584,Boundaries!$A$2:$A$30,0),0),1)-1,""))</f>
        <v/>
      </c>
      <c r="N584" s="37" t="str">
        <f aca="false">IF(COUNT($DY584:$EL584)&lt;2,"",INDEX($DK584:$DX584,MAX($DY584:$EL584))-INDEX($DK584:$DX584,MIN($DY584:$EL584)))</f>
        <v/>
      </c>
      <c r="O584" s="37" t="str">
        <f aca="false">IF(COUNT($DY584:$EL584)&lt;2,"",INDEX($DK584:$DX584,MAX($DY584:$EL584))-INDEX($DK584:$DX584,LARGE($DY584:$EL584,2)))</f>
        <v/>
      </c>
      <c r="P584" s="38" t="str">
        <f aca="false">IF(K584="","",IF(K584&gt;=0,"On/above target",IF(AND(N584&lt;&gt;"",N584&gt;=0.5),"Improving towards target",IF(AND(O584&lt;&gt;"",O584&lt;=-0.5),"Declining","Stable below target"))))</f>
        <v/>
      </c>
      <c r="Q584" s="39"/>
      <c r="R584" s="40" t="str">
        <f aca="false">IF(OR(Q584="",BU584=""),"",Q584/BU584*100)</f>
        <v/>
      </c>
      <c r="S584" s="41" t="str">
        <f aca="false">IF(R584="","",IFERROR(MATCH(R584,INDEX(Boundaries!$B$2:$I$30,MATCH(CI584,Boundaries!$A$2:$A$30,0),0),1)-1,""))</f>
        <v/>
      </c>
      <c r="T584" s="42" t="str">
        <f aca="false">IF(OR(S584="",$E584=""),"",S584-$E584)</f>
        <v/>
      </c>
      <c r="U584" s="39"/>
      <c r="V584" s="40" t="str">
        <f aca="false">IF(OR(U584="",BV584=""),"",U584/BV584*100)</f>
        <v/>
      </c>
      <c r="W584" s="41" t="str">
        <f aca="false">IF(V584="","",IFERROR(MATCH(V584,INDEX(Boundaries!$B$2:$I$30,MATCH(CJ584,Boundaries!$A$2:$A$30,0),0),1)-1,""))</f>
        <v/>
      </c>
      <c r="X584" s="42" t="str">
        <f aca="false">IF(OR(W584="",$E584=""),"",W584-$E584)</f>
        <v/>
      </c>
      <c r="Y584" s="39"/>
      <c r="Z584" s="40" t="str">
        <f aca="false">IF(OR(Y584="",BW584=""),"",Y584/BW584*100)</f>
        <v/>
      </c>
      <c r="AA584" s="41" t="str">
        <f aca="false">IF(Z584="","",IFERROR(MATCH(Z584,INDEX(Boundaries!$B$2:$I$30,MATCH(CK584,Boundaries!$A$2:$A$30,0),0),1)-1,""))</f>
        <v/>
      </c>
      <c r="AB584" s="42" t="str">
        <f aca="false">IF(OR(AA584="",$E584=""),"",AA584-$E584)</f>
        <v/>
      </c>
      <c r="AC584" s="39"/>
      <c r="AD584" s="40" t="str">
        <f aca="false">IF(OR(AC584="",BX584=""),"",AC584/BX584*100)</f>
        <v/>
      </c>
      <c r="AE584" s="41" t="str">
        <f aca="false">IF(AD584="","",IFERROR(MATCH(AD584,INDEX(Boundaries!$B$2:$I$30,MATCH(CL584,Boundaries!$A$2:$A$30,0),0),1)-1,""))</f>
        <v/>
      </c>
      <c r="AF584" s="42" t="str">
        <f aca="false">IF(OR(AE584="",$E584=""),"",AE584-$E584)</f>
        <v/>
      </c>
      <c r="AG584" s="39"/>
      <c r="AH584" s="40" t="str">
        <f aca="false">IF(OR(AG584="",BY584=""),"",AG584/BY584*100)</f>
        <v/>
      </c>
      <c r="AI584" s="41" t="str">
        <f aca="false">IF(AH584="","",IFERROR(MATCH(AH584,INDEX(Boundaries!$B$2:$I$30,MATCH(CM584,Boundaries!$A$2:$A$30,0),0),1)-1,""))</f>
        <v/>
      </c>
      <c r="AJ584" s="42" t="str">
        <f aca="false">IF(OR(AI584="",$E584=""),"",AI584-$E584)</f>
        <v/>
      </c>
      <c r="AK584" s="39"/>
      <c r="AL584" s="40" t="str">
        <f aca="false">IF(OR(AK584="",BZ584=""),"",AK584/BZ584*100)</f>
        <v/>
      </c>
      <c r="AM584" s="41" t="str">
        <f aca="false">IF(AL584="","",IFERROR(MATCH(AL584,INDEX(Boundaries!$B$2:$I$30,MATCH(CN584,Boundaries!$A$2:$A$30,0),0),1)-1,""))</f>
        <v/>
      </c>
      <c r="AN584" s="42" t="str">
        <f aca="false">IF(OR(AM584="",$E584=""),"",AM584-$E584)</f>
        <v/>
      </c>
      <c r="AO584" s="39"/>
      <c r="AP584" s="40" t="str">
        <f aca="false">IF(OR(AO584="",CA584=""),"",AO584/CA584*100)</f>
        <v/>
      </c>
      <c r="AQ584" s="41" t="str">
        <f aca="false">IF(AP584="","",IFERROR(MATCH(AP584,INDEX(Boundaries!$B$2:$I$30,MATCH(CO584,Boundaries!$A$2:$A$30,0),0),1)-1,""))</f>
        <v/>
      </c>
      <c r="AR584" s="42" t="str">
        <f aca="false">IF(OR(AQ584="",$E584=""),"",AQ584-$E584)</f>
        <v/>
      </c>
      <c r="AS584" s="39"/>
      <c r="AT584" s="40" t="str">
        <f aca="false">IF(OR(AS584="",CB584=""),"",AS584/CB584*100)</f>
        <v/>
      </c>
      <c r="AU584" s="41" t="str">
        <f aca="false">IF(AT584="","",IFERROR(MATCH(AT584,INDEX(Boundaries!$B$2:$I$30,MATCH(CP584,Boundaries!$A$2:$A$30,0),0),1)-1,""))</f>
        <v/>
      </c>
      <c r="AV584" s="42" t="str">
        <f aca="false">IF(OR(AU584="",$E584=""),"",AU584-$E584)</f>
        <v/>
      </c>
      <c r="AW584" s="39"/>
      <c r="AX584" s="40" t="str">
        <f aca="false">IF(OR(AW584="",CC584=""),"",AW584/CC584*100)</f>
        <v/>
      </c>
      <c r="AY584" s="41" t="str">
        <f aca="false">IF(AX584="","",IFERROR(MATCH(AX584,INDEX(Boundaries!$B$2:$I$30,MATCH(CQ584,Boundaries!$A$2:$A$30,0),0),1)-1,""))</f>
        <v/>
      </c>
      <c r="AZ584" s="42" t="str">
        <f aca="false">IF(OR(AY584="",$E584=""),"",AY584-$E584)</f>
        <v/>
      </c>
      <c r="BA584" s="39"/>
      <c r="BB584" s="40" t="str">
        <f aca="false">IF(OR(BA584="",CD584=""),"",BA584/CD584*100)</f>
        <v/>
      </c>
      <c r="BC584" s="41" t="str">
        <f aca="false">IF(BB584="","",IFERROR(MATCH(BB584,INDEX(Boundaries!$B$2:$I$30,MATCH(CR584,Boundaries!$A$2:$A$30,0),0),1)-1,""))</f>
        <v/>
      </c>
      <c r="BD584" s="42" t="str">
        <f aca="false">IF(OR(BC584="",$E584=""),"",BC584-$E584)</f>
        <v/>
      </c>
      <c r="BE584" s="39"/>
      <c r="BF584" s="40" t="str">
        <f aca="false">IF(OR(BE584="",CE584=""),"",BE584/CE584*100)</f>
        <v/>
      </c>
      <c r="BG584" s="41" t="str">
        <f aca="false">IF(BF584="","",IFERROR(MATCH(BF584,INDEX(Boundaries!$B$2:$I$30,MATCH(CS584,Boundaries!$A$2:$A$30,0),0),1)-1,""))</f>
        <v/>
      </c>
      <c r="BH584" s="42" t="str">
        <f aca="false">IF(OR(BG584="",$E584=""),"",BG584-$E584)</f>
        <v/>
      </c>
      <c r="BI584" s="39"/>
      <c r="BJ584" s="40" t="str">
        <f aca="false">IF(OR(BI584="",CF584=""),"",BI584/CF584*100)</f>
        <v/>
      </c>
      <c r="BK584" s="41" t="str">
        <f aca="false">IF(BJ584="","",IFERROR(MATCH(BJ584,INDEX(Boundaries!$B$2:$I$30,MATCH(CT584,Boundaries!$A$2:$A$30,0),0),1)-1,""))</f>
        <v/>
      </c>
      <c r="BL584" s="42" t="str">
        <f aca="false">IF(OR(BK584="",$E584=""),"",BK584-$E584)</f>
        <v/>
      </c>
      <c r="BM584" s="39"/>
      <c r="BN584" s="40" t="str">
        <f aca="false">IF(OR(BM584="",CG584=""),"",BM584/CG584*100)</f>
        <v/>
      </c>
      <c r="BO584" s="41" t="str">
        <f aca="false">IF(BN584="","",IFERROR(MATCH(BN584,INDEX(Boundaries!$B$2:$I$30,MATCH(CU584,Boundaries!$A$2:$A$30,0),0),1)-1,""))</f>
        <v/>
      </c>
      <c r="BP584" s="42" t="str">
        <f aca="false">IF(OR(BO584="",$E584=""),"",BO584-$E584)</f>
        <v/>
      </c>
      <c r="BQ584" s="39"/>
      <c r="BR584" s="40" t="str">
        <f aca="false">IF(OR(BQ584="",CH584=""),"",BQ584/CH584*100)</f>
        <v/>
      </c>
      <c r="BS584" s="41" t="str">
        <f aca="false">IF(BR584="","",IFERROR(MATCH(BR584,INDEX(Boundaries!$B$2:$I$30,MATCH(CV584,Boundaries!$A$2:$A$30,0),0),1)-1,""))</f>
        <v/>
      </c>
      <c r="BT584" s="42" t="str">
        <f aca="false">IF(OR(BS584="",$E584=""),"",BS584-$E584)</f>
        <v/>
      </c>
      <c r="BU584" s="28" t="str">
        <f aca="false">IFERROR(INDEX(Assessments!$H$2:$H$600,MATCH($H584&amp;"|"&amp;$I584&amp;"|"&amp;$J584&amp;"|"&amp;1,Assessments!$A$2:$A$600,0)),"")</f>
        <v/>
      </c>
      <c r="BV584" s="28" t="str">
        <f aca="false">IFERROR(INDEX(Assessments!$H$2:$H$600,MATCH($H584&amp;"|"&amp;$I584&amp;"|"&amp;$J584&amp;"|"&amp;2,Assessments!$A$2:$A$600,0)),"")</f>
        <v/>
      </c>
      <c r="BW584" s="28" t="str">
        <f aca="false">IFERROR(INDEX(Assessments!$H$2:$H$600,MATCH($H584&amp;"|"&amp;$I584&amp;"|"&amp;$J584&amp;"|"&amp;3,Assessments!$A$2:$A$600,0)),"")</f>
        <v/>
      </c>
      <c r="BX584" s="28" t="str">
        <f aca="false">IFERROR(INDEX(Assessments!$H$2:$H$600,MATCH($H584&amp;"|"&amp;$I584&amp;"|"&amp;$J584&amp;"|"&amp;4,Assessments!$A$2:$A$600,0)),"")</f>
        <v/>
      </c>
      <c r="BY584" s="28" t="str">
        <f aca="false">IFERROR(INDEX(Assessments!$H$2:$H$600,MATCH($H584&amp;"|"&amp;$I584&amp;"|"&amp;$J584&amp;"|"&amp;5,Assessments!$A$2:$A$600,0)),"")</f>
        <v/>
      </c>
      <c r="BZ584" s="28" t="str">
        <f aca="false">IFERROR(INDEX(Assessments!$H$2:$H$600,MATCH($H584&amp;"|"&amp;$I584&amp;"|"&amp;$J584&amp;"|"&amp;6,Assessments!$A$2:$A$600,0)),"")</f>
        <v/>
      </c>
      <c r="CA584" s="28" t="str">
        <f aca="false">IFERROR(INDEX(Assessments!$H$2:$H$600,MATCH($H584&amp;"|"&amp;$I584&amp;"|"&amp;$J584&amp;"|"&amp;7,Assessments!$A$2:$A$600,0)),"")</f>
        <v/>
      </c>
      <c r="CB584" s="28" t="str">
        <f aca="false">IFERROR(INDEX(Assessments!$H$2:$H$600,MATCH($H584&amp;"|"&amp;$I584&amp;"|"&amp;$J584&amp;"|"&amp;8,Assessments!$A$2:$A$600,0)),"")</f>
        <v/>
      </c>
      <c r="CC584" s="28" t="str">
        <f aca="false">IFERROR(INDEX(Assessments!$H$2:$H$600,MATCH($H584&amp;"|"&amp;$I584&amp;"|"&amp;$J584&amp;"|"&amp;9,Assessments!$A$2:$A$600,0)),"")</f>
        <v/>
      </c>
      <c r="CD584" s="28" t="str">
        <f aca="false">IFERROR(INDEX(Assessments!$H$2:$H$600,MATCH($H584&amp;"|"&amp;$I584&amp;"|"&amp;$J584&amp;"|"&amp;10,Assessments!$A$2:$A$600,0)),"")</f>
        <v/>
      </c>
      <c r="CE584" s="28" t="str">
        <f aca="false">IFERROR(INDEX(Assessments!$H$2:$H$600,MATCH($H584&amp;"|"&amp;$I584&amp;"|"&amp;$J584&amp;"|"&amp;11,Assessments!$A$2:$A$600,0)),"")</f>
        <v/>
      </c>
      <c r="CF584" s="28" t="str">
        <f aca="false">IFERROR(INDEX(Assessments!$H$2:$H$600,MATCH($H584&amp;"|"&amp;$I584&amp;"|"&amp;$J584&amp;"|"&amp;12,Assessments!$A$2:$A$600,0)),"")</f>
        <v/>
      </c>
      <c r="CG584" s="28" t="str">
        <f aca="false">IFERROR(INDEX(Assessments!$H$2:$H$600,MATCH($H584&amp;"|"&amp;$I584&amp;"|"&amp;$J584&amp;"|"&amp;13,Assessments!$A$2:$A$600,0)),"")</f>
        <v/>
      </c>
      <c r="CH584" s="28" t="str">
        <f aca="false">IFERROR(INDEX(Assessments!$H$2:$H$600,MATCH($H584&amp;"|"&amp;$I584&amp;"|"&amp;$J584&amp;"|"&amp;14,Assessments!$A$2:$A$600,0)),"")</f>
        <v/>
      </c>
      <c r="CI584" s="28" t="str">
        <f aca="false">IFERROR(INDEX(Assessments!$I$2:$I$600,MATCH($H584&amp;"|"&amp;$I584&amp;"|"&amp;$J584&amp;"|"&amp;1,Assessments!$A$2:$A$600,0)),"")</f>
        <v/>
      </c>
      <c r="CJ584" s="28" t="str">
        <f aca="false">IFERROR(INDEX(Assessments!$I$2:$I$600,MATCH($H584&amp;"|"&amp;$I584&amp;"|"&amp;$J584&amp;"|"&amp;2,Assessments!$A$2:$A$600,0)),"")</f>
        <v/>
      </c>
      <c r="CK584" s="28" t="str">
        <f aca="false">IFERROR(INDEX(Assessments!$I$2:$I$600,MATCH($H584&amp;"|"&amp;$I584&amp;"|"&amp;$J584&amp;"|"&amp;3,Assessments!$A$2:$A$600,0)),"")</f>
        <v/>
      </c>
      <c r="CL584" s="28" t="str">
        <f aca="false">IFERROR(INDEX(Assessments!$I$2:$I$600,MATCH($H584&amp;"|"&amp;$I584&amp;"|"&amp;$J584&amp;"|"&amp;4,Assessments!$A$2:$A$600,0)),"")</f>
        <v/>
      </c>
      <c r="CM584" s="28" t="str">
        <f aca="false">IFERROR(INDEX(Assessments!$I$2:$I$600,MATCH($H584&amp;"|"&amp;$I584&amp;"|"&amp;$J584&amp;"|"&amp;5,Assessments!$A$2:$A$600,0)),"")</f>
        <v/>
      </c>
      <c r="CN584" s="28" t="str">
        <f aca="false">IFERROR(INDEX(Assessments!$I$2:$I$600,MATCH($H584&amp;"|"&amp;$I584&amp;"|"&amp;$J584&amp;"|"&amp;6,Assessments!$A$2:$A$600,0)),"")</f>
        <v/>
      </c>
      <c r="CO584" s="28" t="str">
        <f aca="false">IFERROR(INDEX(Assessments!$I$2:$I$600,MATCH($H584&amp;"|"&amp;$I584&amp;"|"&amp;$J584&amp;"|"&amp;7,Assessments!$A$2:$A$600,0)),"")</f>
        <v/>
      </c>
      <c r="CP584" s="28" t="str">
        <f aca="false">IFERROR(INDEX(Assessments!$I$2:$I$600,MATCH($H584&amp;"|"&amp;$I584&amp;"|"&amp;$J584&amp;"|"&amp;8,Assessments!$A$2:$A$600,0)),"")</f>
        <v/>
      </c>
      <c r="CQ584" s="28" t="str">
        <f aca="false">IFERROR(INDEX(Assessments!$I$2:$I$600,MATCH($H584&amp;"|"&amp;$I584&amp;"|"&amp;$J584&amp;"|"&amp;9,Assessments!$A$2:$A$600,0)),"")</f>
        <v/>
      </c>
      <c r="CR584" s="28" t="str">
        <f aca="false">IFERROR(INDEX(Assessments!$I$2:$I$600,MATCH($H584&amp;"|"&amp;$I584&amp;"|"&amp;$J584&amp;"|"&amp;10,Assessments!$A$2:$A$600,0)),"")</f>
        <v/>
      </c>
      <c r="CS584" s="28" t="str">
        <f aca="false">IFERROR(INDEX(Assessments!$I$2:$I$600,MATCH($H584&amp;"|"&amp;$I584&amp;"|"&amp;$J584&amp;"|"&amp;11,Assessments!$A$2:$A$600,0)),"")</f>
        <v/>
      </c>
      <c r="CT584" s="28" t="str">
        <f aca="false">IFERROR(INDEX(Assessments!$I$2:$I$600,MATCH($H584&amp;"|"&amp;$I584&amp;"|"&amp;$J584&amp;"|"&amp;12,Assessments!$A$2:$A$600,0)),"")</f>
        <v/>
      </c>
      <c r="CU584" s="28" t="str">
        <f aca="false">IFERROR(INDEX(Assessments!$I$2:$I$600,MATCH($H584&amp;"|"&amp;$I584&amp;"|"&amp;$J584&amp;"|"&amp;13,Assessments!$A$2:$A$600,0)),"")</f>
        <v/>
      </c>
      <c r="CV584" s="28" t="str">
        <f aca="false">IFERROR(INDEX(Assessments!$I$2:$I$600,MATCH($H584&amp;"|"&amp;$I584&amp;"|"&amp;$J584&amp;"|"&amp;14,Assessments!$A$2:$A$600,0)),"")</f>
        <v/>
      </c>
      <c r="CW584" s="28" t="n">
        <f aca="false">IFERROR(INDEX(Assessments!$J$2:$J$600,MATCH($H584&amp;"|"&amp;$I584&amp;"|"&amp;$J584&amp;"|"&amp;1,Assessments!$A$2:$A$600,0)),0)</f>
        <v>0</v>
      </c>
      <c r="CX584" s="28" t="n">
        <f aca="false">IFERROR(INDEX(Assessments!$J$2:$J$600,MATCH($H584&amp;"|"&amp;$I584&amp;"|"&amp;$J584&amp;"|"&amp;2,Assessments!$A$2:$A$600,0)),0)</f>
        <v>0</v>
      </c>
      <c r="CY584" s="28" t="n">
        <f aca="false">IFERROR(INDEX(Assessments!$J$2:$J$600,MATCH($H584&amp;"|"&amp;$I584&amp;"|"&amp;$J584&amp;"|"&amp;3,Assessments!$A$2:$A$600,0)),0)</f>
        <v>0</v>
      </c>
      <c r="CZ584" s="28" t="n">
        <f aca="false">IFERROR(INDEX(Assessments!$J$2:$J$600,MATCH($H584&amp;"|"&amp;$I584&amp;"|"&amp;$J584&amp;"|"&amp;4,Assessments!$A$2:$A$600,0)),0)</f>
        <v>0</v>
      </c>
      <c r="DA584" s="28" t="n">
        <f aca="false">IFERROR(INDEX(Assessments!$J$2:$J$600,MATCH($H584&amp;"|"&amp;$I584&amp;"|"&amp;$J584&amp;"|"&amp;5,Assessments!$A$2:$A$600,0)),0)</f>
        <v>0</v>
      </c>
      <c r="DB584" s="28" t="n">
        <f aca="false">IFERROR(INDEX(Assessments!$J$2:$J$600,MATCH($H584&amp;"|"&amp;$I584&amp;"|"&amp;$J584&amp;"|"&amp;6,Assessments!$A$2:$A$600,0)),0)</f>
        <v>0</v>
      </c>
      <c r="DC584" s="28" t="n">
        <f aca="false">IFERROR(INDEX(Assessments!$J$2:$J$600,MATCH($H584&amp;"|"&amp;$I584&amp;"|"&amp;$J584&amp;"|"&amp;7,Assessments!$A$2:$A$600,0)),0)</f>
        <v>0</v>
      </c>
      <c r="DD584" s="28" t="n">
        <f aca="false">IFERROR(INDEX(Assessments!$J$2:$J$600,MATCH($H584&amp;"|"&amp;$I584&amp;"|"&amp;$J584&amp;"|"&amp;8,Assessments!$A$2:$A$600,0)),0)</f>
        <v>0</v>
      </c>
      <c r="DE584" s="28" t="n">
        <f aca="false">IFERROR(INDEX(Assessments!$J$2:$J$600,MATCH($H584&amp;"|"&amp;$I584&amp;"|"&amp;$J584&amp;"|"&amp;9,Assessments!$A$2:$A$600,0)),0)</f>
        <v>0</v>
      </c>
      <c r="DF584" s="28" t="n">
        <f aca="false">IFERROR(INDEX(Assessments!$J$2:$J$600,MATCH($H584&amp;"|"&amp;$I584&amp;"|"&amp;$J584&amp;"|"&amp;10,Assessments!$A$2:$A$600,0)),0)</f>
        <v>0</v>
      </c>
      <c r="DG584" s="28" t="n">
        <f aca="false">IFERROR(INDEX(Assessments!$J$2:$J$600,MATCH($H584&amp;"|"&amp;$I584&amp;"|"&amp;$J584&amp;"|"&amp;11,Assessments!$A$2:$A$600,0)),0)</f>
        <v>0</v>
      </c>
      <c r="DH584" s="28" t="n">
        <f aca="false">IFERROR(INDEX(Assessments!$J$2:$J$600,MATCH($H584&amp;"|"&amp;$I584&amp;"|"&amp;$J584&amp;"|"&amp;12,Assessments!$A$2:$A$600,0)),0)</f>
        <v>0</v>
      </c>
      <c r="DI584" s="28" t="n">
        <f aca="false">IFERROR(INDEX(Assessments!$J$2:$J$600,MATCH($H584&amp;"|"&amp;$I584&amp;"|"&amp;$J584&amp;"|"&amp;13,Assessments!$A$2:$A$600,0)),0)</f>
        <v>0</v>
      </c>
      <c r="DJ584" s="28" t="n">
        <f aca="false">IFERROR(INDEX(Assessments!$J$2:$J$600,MATCH($H584&amp;"|"&amp;$I584&amp;"|"&amp;$J584&amp;"|"&amp;14,Assessments!$A$2:$A$600,0)),0)</f>
        <v>0</v>
      </c>
      <c r="DK584" s="28" t="str">
        <f aca="false">S584</f>
        <v/>
      </c>
      <c r="DL584" s="28" t="str">
        <f aca="false">W584</f>
        <v/>
      </c>
      <c r="DM584" s="28" t="str">
        <f aca="false">AA584</f>
        <v/>
      </c>
      <c r="DN584" s="28" t="str">
        <f aca="false">AE584</f>
        <v/>
      </c>
      <c r="DO584" s="28" t="str">
        <f aca="false">AI584</f>
        <v/>
      </c>
      <c r="DP584" s="28" t="str">
        <f aca="false">AM584</f>
        <v/>
      </c>
      <c r="DQ584" s="28" t="str">
        <f aca="false">AQ584</f>
        <v/>
      </c>
      <c r="DR584" s="28" t="str">
        <f aca="false">AU584</f>
        <v/>
      </c>
      <c r="DS584" s="28" t="str">
        <f aca="false">AY584</f>
        <v/>
      </c>
      <c r="DT584" s="28" t="str">
        <f aca="false">BC584</f>
        <v/>
      </c>
      <c r="DU584" s="28" t="str">
        <f aca="false">BG584</f>
        <v/>
      </c>
      <c r="DV584" s="28" t="str">
        <f aca="false">BK584</f>
        <v/>
      </c>
      <c r="DW584" s="28" t="str">
        <f aca="false">BO584</f>
        <v/>
      </c>
      <c r="DX584" s="28" t="str">
        <f aca="false">BS584</f>
        <v/>
      </c>
      <c r="DY584" s="28" t="str">
        <f aca="false">IF(ISNUMBER(S584),1,"")</f>
        <v/>
      </c>
      <c r="DZ584" s="28" t="str">
        <f aca="false">IF(ISNUMBER(W584),2,"")</f>
        <v/>
      </c>
      <c r="EA584" s="28" t="str">
        <f aca="false">IF(ISNUMBER(AA584),3,"")</f>
        <v/>
      </c>
      <c r="EB584" s="28" t="str">
        <f aca="false">IF(ISNUMBER(AE584),4,"")</f>
        <v/>
      </c>
      <c r="EC584" s="28" t="str">
        <f aca="false">IF(ISNUMBER(AI584),5,"")</f>
        <v/>
      </c>
      <c r="ED584" s="28" t="str">
        <f aca="false">IF(ISNUMBER(AM584),6,"")</f>
        <v/>
      </c>
      <c r="EE584" s="28" t="str">
        <f aca="false">IF(ISNUMBER(AQ584),7,"")</f>
        <v/>
      </c>
      <c r="EF584" s="28" t="str">
        <f aca="false">IF(ISNUMBER(AU584),8,"")</f>
        <v/>
      </c>
      <c r="EG584" s="28" t="str">
        <f aca="false">IF(ISNUMBER(AY584),9,"")</f>
        <v/>
      </c>
      <c r="EH584" s="28" t="str">
        <f aca="false">IF(ISNUMBER(BC584),10,"")</f>
        <v/>
      </c>
      <c r="EI584" s="28" t="str">
        <f aca="false">IF(ISNUMBER(BG584),11,"")</f>
        <v/>
      </c>
      <c r="EJ584" s="28" t="str">
        <f aca="false">IF(ISNUMBER(BK584),12,"")</f>
        <v/>
      </c>
      <c r="EK584" s="28" t="str">
        <f aca="false">IF(ISNUMBER(BO584),13,"")</f>
        <v/>
      </c>
      <c r="EL584" s="28" t="str">
        <f aca="false">IF(ISNUMBER(BS584),14,"")</f>
        <v/>
      </c>
      <c r="EM584" s="28" t="n">
        <f aca="false">IF(ISNUMBER(R584),R584*CW584,0)</f>
        <v>0</v>
      </c>
      <c r="EN584" s="28" t="n">
        <f aca="false">IF(ISNUMBER(V584),V584*CX584,0)</f>
        <v>0</v>
      </c>
      <c r="EO584" s="28" t="n">
        <f aca="false">IF(ISNUMBER(Z584),Z584*CY584,0)</f>
        <v>0</v>
      </c>
      <c r="EP584" s="28" t="n">
        <f aca="false">IF(ISNUMBER(AD584),AD584*CZ584,0)</f>
        <v>0</v>
      </c>
      <c r="EQ584" s="28" t="n">
        <f aca="false">IF(ISNUMBER(AH584),AH584*DA584,0)</f>
        <v>0</v>
      </c>
      <c r="ER584" s="28" t="n">
        <f aca="false">IF(ISNUMBER(AL584),AL584*DB584,0)</f>
        <v>0</v>
      </c>
      <c r="ES584" s="28" t="n">
        <f aca="false">IF(ISNUMBER(AP584),AP584*DC584,0)</f>
        <v>0</v>
      </c>
      <c r="ET584" s="28" t="n">
        <f aca="false">IF(ISNUMBER(AT584),AT584*DD584,0)</f>
        <v>0</v>
      </c>
      <c r="EU584" s="28" t="n">
        <f aca="false">IF(ISNUMBER(AX584),AX584*DE584,0)</f>
        <v>0</v>
      </c>
      <c r="EV584" s="28" t="n">
        <f aca="false">IF(ISNUMBER(BB584),BB584*DF584,0)</f>
        <v>0</v>
      </c>
      <c r="EW584" s="28" t="n">
        <f aca="false">IF(ISNUMBER(BF584),BF584*DG584,0)</f>
        <v>0</v>
      </c>
      <c r="EX584" s="28" t="n">
        <f aca="false">IF(ISNUMBER(BJ584),BJ584*DH584,0)</f>
        <v>0</v>
      </c>
      <c r="EY584" s="28" t="n">
        <f aca="false">IF(ISNUMBER(BN584),BN584*DI584,0)</f>
        <v>0</v>
      </c>
      <c r="EZ584" s="28" t="n">
        <f aca="false">IF(ISNUMBER(BR584),BR584*DJ584,0)</f>
        <v>0</v>
      </c>
      <c r="FA584" s="28" t="n">
        <f aca="false">IF(ISNUMBER(R584),CW584,0)</f>
        <v>0</v>
      </c>
      <c r="FB584" s="28" t="n">
        <f aca="false">IF(ISNUMBER(V584),CX584,0)</f>
        <v>0</v>
      </c>
      <c r="FC584" s="28" t="n">
        <f aca="false">IF(ISNUMBER(Z584),CY584,0)</f>
        <v>0</v>
      </c>
      <c r="FD584" s="28" t="n">
        <f aca="false">IF(ISNUMBER(AD584),CZ584,0)</f>
        <v>0</v>
      </c>
      <c r="FE584" s="28" t="n">
        <f aca="false">IF(ISNUMBER(AH584),DA584,0)</f>
        <v>0</v>
      </c>
      <c r="FF584" s="28" t="n">
        <f aca="false">IF(ISNUMBER(AL584),DB584,0)</f>
        <v>0</v>
      </c>
      <c r="FG584" s="28" t="n">
        <f aca="false">IF(ISNUMBER(AP584),DC584,0)</f>
        <v>0</v>
      </c>
      <c r="FH584" s="28" t="n">
        <f aca="false">IF(ISNUMBER(AT584),DD584,0)</f>
        <v>0</v>
      </c>
      <c r="FI584" s="28" t="n">
        <f aca="false">IF(ISNUMBER(AX584),DE584,0)</f>
        <v>0</v>
      </c>
      <c r="FJ584" s="28" t="n">
        <f aca="false">IF(ISNUMBER(BB584),DF584,0)</f>
        <v>0</v>
      </c>
      <c r="FK584" s="28" t="n">
        <f aca="false">IF(ISNUMBER(BF584),DG584,0)</f>
        <v>0</v>
      </c>
      <c r="FL584" s="28" t="n">
        <f aca="false">IF(ISNUMBER(BJ584),DH584,0)</f>
        <v>0</v>
      </c>
      <c r="FM584" s="28" t="n">
        <f aca="false">IF(ISNUMBER(BN584),DI584,0)</f>
        <v>0</v>
      </c>
      <c r="FN584" s="28" t="n">
        <f aca="false">IF(ISNUMBER(BR584),DJ584,0)</f>
        <v>0</v>
      </c>
      <c r="FO584" s="28" t="str">
        <f aca="false">IFERROR(INDEX(Lists!$G$2:$G$20,MATCH($I584&amp;"|"&amp;$J584,Lists!$F$2:$F$20,0)),"")</f>
        <v/>
      </c>
    </row>
    <row r="585" customFormat="false" ht="19.5" hidden="false" customHeight="true" outlineLevel="0" collapsed="false">
      <c r="A585" s="29"/>
      <c r="B585" s="29"/>
      <c r="C585" s="30"/>
      <c r="D585" s="30"/>
      <c r="E585" s="31"/>
      <c r="F585" s="30"/>
      <c r="G585" s="30"/>
      <c r="H585" s="32"/>
      <c r="I585" s="33"/>
      <c r="J585" s="32"/>
      <c r="K585" s="34" t="str">
        <f aca="false">IF(OR(M585="",$E585=""),"",M585-$E585)</f>
        <v/>
      </c>
      <c r="L585" s="35" t="str">
        <f aca="false">IF(SUM(FA585:FN585)=0,"",SUM(EM585:EZ585)/SUM(FA585:FN585))</f>
        <v/>
      </c>
      <c r="M585" s="36" t="str">
        <f aca="false">IF(OR(L585="",FO585=""),"",IFERROR(MATCH(L585,INDEX(Boundaries!$B$2:$I$30,MATCH(FO585,Boundaries!$A$2:$A$30,0),0),1)-1,""))</f>
        <v/>
      </c>
      <c r="N585" s="37" t="str">
        <f aca="false">IF(COUNT($DY585:$EL585)&lt;2,"",INDEX($DK585:$DX585,MAX($DY585:$EL585))-INDEX($DK585:$DX585,MIN($DY585:$EL585)))</f>
        <v/>
      </c>
      <c r="O585" s="37" t="str">
        <f aca="false">IF(COUNT($DY585:$EL585)&lt;2,"",INDEX($DK585:$DX585,MAX($DY585:$EL585))-INDEX($DK585:$DX585,LARGE($DY585:$EL585,2)))</f>
        <v/>
      </c>
      <c r="P585" s="38" t="str">
        <f aca="false">IF(K585="","",IF(K585&gt;=0,"On/above target",IF(AND(N585&lt;&gt;"",N585&gt;=0.5),"Improving towards target",IF(AND(O585&lt;&gt;"",O585&lt;=-0.5),"Declining","Stable below target"))))</f>
        <v/>
      </c>
      <c r="Q585" s="39"/>
      <c r="R585" s="40" t="str">
        <f aca="false">IF(OR(Q585="",BU585=""),"",Q585/BU585*100)</f>
        <v/>
      </c>
      <c r="S585" s="41" t="str">
        <f aca="false">IF(R585="","",IFERROR(MATCH(R585,INDEX(Boundaries!$B$2:$I$30,MATCH(CI585,Boundaries!$A$2:$A$30,0),0),1)-1,""))</f>
        <v/>
      </c>
      <c r="T585" s="42" t="str">
        <f aca="false">IF(OR(S585="",$E585=""),"",S585-$E585)</f>
        <v/>
      </c>
      <c r="U585" s="39"/>
      <c r="V585" s="40" t="str">
        <f aca="false">IF(OR(U585="",BV585=""),"",U585/BV585*100)</f>
        <v/>
      </c>
      <c r="W585" s="41" t="str">
        <f aca="false">IF(V585="","",IFERROR(MATCH(V585,INDEX(Boundaries!$B$2:$I$30,MATCH(CJ585,Boundaries!$A$2:$A$30,0),0),1)-1,""))</f>
        <v/>
      </c>
      <c r="X585" s="42" t="str">
        <f aca="false">IF(OR(W585="",$E585=""),"",W585-$E585)</f>
        <v/>
      </c>
      <c r="Y585" s="39"/>
      <c r="Z585" s="40" t="str">
        <f aca="false">IF(OR(Y585="",BW585=""),"",Y585/BW585*100)</f>
        <v/>
      </c>
      <c r="AA585" s="41" t="str">
        <f aca="false">IF(Z585="","",IFERROR(MATCH(Z585,INDEX(Boundaries!$B$2:$I$30,MATCH(CK585,Boundaries!$A$2:$A$30,0),0),1)-1,""))</f>
        <v/>
      </c>
      <c r="AB585" s="42" t="str">
        <f aca="false">IF(OR(AA585="",$E585=""),"",AA585-$E585)</f>
        <v/>
      </c>
      <c r="AC585" s="39"/>
      <c r="AD585" s="40" t="str">
        <f aca="false">IF(OR(AC585="",BX585=""),"",AC585/BX585*100)</f>
        <v/>
      </c>
      <c r="AE585" s="41" t="str">
        <f aca="false">IF(AD585="","",IFERROR(MATCH(AD585,INDEX(Boundaries!$B$2:$I$30,MATCH(CL585,Boundaries!$A$2:$A$30,0),0),1)-1,""))</f>
        <v/>
      </c>
      <c r="AF585" s="42" t="str">
        <f aca="false">IF(OR(AE585="",$E585=""),"",AE585-$E585)</f>
        <v/>
      </c>
      <c r="AG585" s="39"/>
      <c r="AH585" s="40" t="str">
        <f aca="false">IF(OR(AG585="",BY585=""),"",AG585/BY585*100)</f>
        <v/>
      </c>
      <c r="AI585" s="41" t="str">
        <f aca="false">IF(AH585="","",IFERROR(MATCH(AH585,INDEX(Boundaries!$B$2:$I$30,MATCH(CM585,Boundaries!$A$2:$A$30,0),0),1)-1,""))</f>
        <v/>
      </c>
      <c r="AJ585" s="42" t="str">
        <f aca="false">IF(OR(AI585="",$E585=""),"",AI585-$E585)</f>
        <v/>
      </c>
      <c r="AK585" s="39"/>
      <c r="AL585" s="40" t="str">
        <f aca="false">IF(OR(AK585="",BZ585=""),"",AK585/BZ585*100)</f>
        <v/>
      </c>
      <c r="AM585" s="41" t="str">
        <f aca="false">IF(AL585="","",IFERROR(MATCH(AL585,INDEX(Boundaries!$B$2:$I$30,MATCH(CN585,Boundaries!$A$2:$A$30,0),0),1)-1,""))</f>
        <v/>
      </c>
      <c r="AN585" s="42" t="str">
        <f aca="false">IF(OR(AM585="",$E585=""),"",AM585-$E585)</f>
        <v/>
      </c>
      <c r="AO585" s="39"/>
      <c r="AP585" s="40" t="str">
        <f aca="false">IF(OR(AO585="",CA585=""),"",AO585/CA585*100)</f>
        <v/>
      </c>
      <c r="AQ585" s="41" t="str">
        <f aca="false">IF(AP585="","",IFERROR(MATCH(AP585,INDEX(Boundaries!$B$2:$I$30,MATCH(CO585,Boundaries!$A$2:$A$30,0),0),1)-1,""))</f>
        <v/>
      </c>
      <c r="AR585" s="42" t="str">
        <f aca="false">IF(OR(AQ585="",$E585=""),"",AQ585-$E585)</f>
        <v/>
      </c>
      <c r="AS585" s="39"/>
      <c r="AT585" s="40" t="str">
        <f aca="false">IF(OR(AS585="",CB585=""),"",AS585/CB585*100)</f>
        <v/>
      </c>
      <c r="AU585" s="41" t="str">
        <f aca="false">IF(AT585="","",IFERROR(MATCH(AT585,INDEX(Boundaries!$B$2:$I$30,MATCH(CP585,Boundaries!$A$2:$A$30,0),0),1)-1,""))</f>
        <v/>
      </c>
      <c r="AV585" s="42" t="str">
        <f aca="false">IF(OR(AU585="",$E585=""),"",AU585-$E585)</f>
        <v/>
      </c>
      <c r="AW585" s="39"/>
      <c r="AX585" s="40" t="str">
        <f aca="false">IF(OR(AW585="",CC585=""),"",AW585/CC585*100)</f>
        <v/>
      </c>
      <c r="AY585" s="41" t="str">
        <f aca="false">IF(AX585="","",IFERROR(MATCH(AX585,INDEX(Boundaries!$B$2:$I$30,MATCH(CQ585,Boundaries!$A$2:$A$30,0),0),1)-1,""))</f>
        <v/>
      </c>
      <c r="AZ585" s="42" t="str">
        <f aca="false">IF(OR(AY585="",$E585=""),"",AY585-$E585)</f>
        <v/>
      </c>
      <c r="BA585" s="39"/>
      <c r="BB585" s="40" t="str">
        <f aca="false">IF(OR(BA585="",CD585=""),"",BA585/CD585*100)</f>
        <v/>
      </c>
      <c r="BC585" s="41" t="str">
        <f aca="false">IF(BB585="","",IFERROR(MATCH(BB585,INDEX(Boundaries!$B$2:$I$30,MATCH(CR585,Boundaries!$A$2:$A$30,0),0),1)-1,""))</f>
        <v/>
      </c>
      <c r="BD585" s="42" t="str">
        <f aca="false">IF(OR(BC585="",$E585=""),"",BC585-$E585)</f>
        <v/>
      </c>
      <c r="BE585" s="39"/>
      <c r="BF585" s="40" t="str">
        <f aca="false">IF(OR(BE585="",CE585=""),"",BE585/CE585*100)</f>
        <v/>
      </c>
      <c r="BG585" s="41" t="str">
        <f aca="false">IF(BF585="","",IFERROR(MATCH(BF585,INDEX(Boundaries!$B$2:$I$30,MATCH(CS585,Boundaries!$A$2:$A$30,0),0),1)-1,""))</f>
        <v/>
      </c>
      <c r="BH585" s="42" t="str">
        <f aca="false">IF(OR(BG585="",$E585=""),"",BG585-$E585)</f>
        <v/>
      </c>
      <c r="BI585" s="39"/>
      <c r="BJ585" s="40" t="str">
        <f aca="false">IF(OR(BI585="",CF585=""),"",BI585/CF585*100)</f>
        <v/>
      </c>
      <c r="BK585" s="41" t="str">
        <f aca="false">IF(BJ585="","",IFERROR(MATCH(BJ585,INDEX(Boundaries!$B$2:$I$30,MATCH(CT585,Boundaries!$A$2:$A$30,0),0),1)-1,""))</f>
        <v/>
      </c>
      <c r="BL585" s="42" t="str">
        <f aca="false">IF(OR(BK585="",$E585=""),"",BK585-$E585)</f>
        <v/>
      </c>
      <c r="BM585" s="39"/>
      <c r="BN585" s="40" t="str">
        <f aca="false">IF(OR(BM585="",CG585=""),"",BM585/CG585*100)</f>
        <v/>
      </c>
      <c r="BO585" s="41" t="str">
        <f aca="false">IF(BN585="","",IFERROR(MATCH(BN585,INDEX(Boundaries!$B$2:$I$30,MATCH(CU585,Boundaries!$A$2:$A$30,0),0),1)-1,""))</f>
        <v/>
      </c>
      <c r="BP585" s="42" t="str">
        <f aca="false">IF(OR(BO585="",$E585=""),"",BO585-$E585)</f>
        <v/>
      </c>
      <c r="BQ585" s="39"/>
      <c r="BR585" s="40" t="str">
        <f aca="false">IF(OR(BQ585="",CH585=""),"",BQ585/CH585*100)</f>
        <v/>
      </c>
      <c r="BS585" s="41" t="str">
        <f aca="false">IF(BR585="","",IFERROR(MATCH(BR585,INDEX(Boundaries!$B$2:$I$30,MATCH(CV585,Boundaries!$A$2:$A$30,0),0),1)-1,""))</f>
        <v/>
      </c>
      <c r="BT585" s="42" t="str">
        <f aca="false">IF(OR(BS585="",$E585=""),"",BS585-$E585)</f>
        <v/>
      </c>
      <c r="BU585" s="28" t="str">
        <f aca="false">IFERROR(INDEX(Assessments!$H$2:$H$600,MATCH($H585&amp;"|"&amp;$I585&amp;"|"&amp;$J585&amp;"|"&amp;1,Assessments!$A$2:$A$600,0)),"")</f>
        <v/>
      </c>
      <c r="BV585" s="28" t="str">
        <f aca="false">IFERROR(INDEX(Assessments!$H$2:$H$600,MATCH($H585&amp;"|"&amp;$I585&amp;"|"&amp;$J585&amp;"|"&amp;2,Assessments!$A$2:$A$600,0)),"")</f>
        <v/>
      </c>
      <c r="BW585" s="28" t="str">
        <f aca="false">IFERROR(INDEX(Assessments!$H$2:$H$600,MATCH($H585&amp;"|"&amp;$I585&amp;"|"&amp;$J585&amp;"|"&amp;3,Assessments!$A$2:$A$600,0)),"")</f>
        <v/>
      </c>
      <c r="BX585" s="28" t="str">
        <f aca="false">IFERROR(INDEX(Assessments!$H$2:$H$600,MATCH($H585&amp;"|"&amp;$I585&amp;"|"&amp;$J585&amp;"|"&amp;4,Assessments!$A$2:$A$600,0)),"")</f>
        <v/>
      </c>
      <c r="BY585" s="28" t="str">
        <f aca="false">IFERROR(INDEX(Assessments!$H$2:$H$600,MATCH($H585&amp;"|"&amp;$I585&amp;"|"&amp;$J585&amp;"|"&amp;5,Assessments!$A$2:$A$600,0)),"")</f>
        <v/>
      </c>
      <c r="BZ585" s="28" t="str">
        <f aca="false">IFERROR(INDEX(Assessments!$H$2:$H$600,MATCH($H585&amp;"|"&amp;$I585&amp;"|"&amp;$J585&amp;"|"&amp;6,Assessments!$A$2:$A$600,0)),"")</f>
        <v/>
      </c>
      <c r="CA585" s="28" t="str">
        <f aca="false">IFERROR(INDEX(Assessments!$H$2:$H$600,MATCH($H585&amp;"|"&amp;$I585&amp;"|"&amp;$J585&amp;"|"&amp;7,Assessments!$A$2:$A$600,0)),"")</f>
        <v/>
      </c>
      <c r="CB585" s="28" t="str">
        <f aca="false">IFERROR(INDEX(Assessments!$H$2:$H$600,MATCH($H585&amp;"|"&amp;$I585&amp;"|"&amp;$J585&amp;"|"&amp;8,Assessments!$A$2:$A$600,0)),"")</f>
        <v/>
      </c>
      <c r="CC585" s="28" t="str">
        <f aca="false">IFERROR(INDEX(Assessments!$H$2:$H$600,MATCH($H585&amp;"|"&amp;$I585&amp;"|"&amp;$J585&amp;"|"&amp;9,Assessments!$A$2:$A$600,0)),"")</f>
        <v/>
      </c>
      <c r="CD585" s="28" t="str">
        <f aca="false">IFERROR(INDEX(Assessments!$H$2:$H$600,MATCH($H585&amp;"|"&amp;$I585&amp;"|"&amp;$J585&amp;"|"&amp;10,Assessments!$A$2:$A$600,0)),"")</f>
        <v/>
      </c>
      <c r="CE585" s="28" t="str">
        <f aca="false">IFERROR(INDEX(Assessments!$H$2:$H$600,MATCH($H585&amp;"|"&amp;$I585&amp;"|"&amp;$J585&amp;"|"&amp;11,Assessments!$A$2:$A$600,0)),"")</f>
        <v/>
      </c>
      <c r="CF585" s="28" t="str">
        <f aca="false">IFERROR(INDEX(Assessments!$H$2:$H$600,MATCH($H585&amp;"|"&amp;$I585&amp;"|"&amp;$J585&amp;"|"&amp;12,Assessments!$A$2:$A$600,0)),"")</f>
        <v/>
      </c>
      <c r="CG585" s="28" t="str">
        <f aca="false">IFERROR(INDEX(Assessments!$H$2:$H$600,MATCH($H585&amp;"|"&amp;$I585&amp;"|"&amp;$J585&amp;"|"&amp;13,Assessments!$A$2:$A$600,0)),"")</f>
        <v/>
      </c>
      <c r="CH585" s="28" t="str">
        <f aca="false">IFERROR(INDEX(Assessments!$H$2:$H$600,MATCH($H585&amp;"|"&amp;$I585&amp;"|"&amp;$J585&amp;"|"&amp;14,Assessments!$A$2:$A$600,0)),"")</f>
        <v/>
      </c>
      <c r="CI585" s="28" t="str">
        <f aca="false">IFERROR(INDEX(Assessments!$I$2:$I$600,MATCH($H585&amp;"|"&amp;$I585&amp;"|"&amp;$J585&amp;"|"&amp;1,Assessments!$A$2:$A$600,0)),"")</f>
        <v/>
      </c>
      <c r="CJ585" s="28" t="str">
        <f aca="false">IFERROR(INDEX(Assessments!$I$2:$I$600,MATCH($H585&amp;"|"&amp;$I585&amp;"|"&amp;$J585&amp;"|"&amp;2,Assessments!$A$2:$A$600,0)),"")</f>
        <v/>
      </c>
      <c r="CK585" s="28" t="str">
        <f aca="false">IFERROR(INDEX(Assessments!$I$2:$I$600,MATCH($H585&amp;"|"&amp;$I585&amp;"|"&amp;$J585&amp;"|"&amp;3,Assessments!$A$2:$A$600,0)),"")</f>
        <v/>
      </c>
      <c r="CL585" s="28" t="str">
        <f aca="false">IFERROR(INDEX(Assessments!$I$2:$I$600,MATCH($H585&amp;"|"&amp;$I585&amp;"|"&amp;$J585&amp;"|"&amp;4,Assessments!$A$2:$A$600,0)),"")</f>
        <v/>
      </c>
      <c r="CM585" s="28" t="str">
        <f aca="false">IFERROR(INDEX(Assessments!$I$2:$I$600,MATCH($H585&amp;"|"&amp;$I585&amp;"|"&amp;$J585&amp;"|"&amp;5,Assessments!$A$2:$A$600,0)),"")</f>
        <v/>
      </c>
      <c r="CN585" s="28" t="str">
        <f aca="false">IFERROR(INDEX(Assessments!$I$2:$I$600,MATCH($H585&amp;"|"&amp;$I585&amp;"|"&amp;$J585&amp;"|"&amp;6,Assessments!$A$2:$A$600,0)),"")</f>
        <v/>
      </c>
      <c r="CO585" s="28" t="str">
        <f aca="false">IFERROR(INDEX(Assessments!$I$2:$I$600,MATCH($H585&amp;"|"&amp;$I585&amp;"|"&amp;$J585&amp;"|"&amp;7,Assessments!$A$2:$A$600,0)),"")</f>
        <v/>
      </c>
      <c r="CP585" s="28" t="str">
        <f aca="false">IFERROR(INDEX(Assessments!$I$2:$I$600,MATCH($H585&amp;"|"&amp;$I585&amp;"|"&amp;$J585&amp;"|"&amp;8,Assessments!$A$2:$A$600,0)),"")</f>
        <v/>
      </c>
      <c r="CQ585" s="28" t="str">
        <f aca="false">IFERROR(INDEX(Assessments!$I$2:$I$600,MATCH($H585&amp;"|"&amp;$I585&amp;"|"&amp;$J585&amp;"|"&amp;9,Assessments!$A$2:$A$600,0)),"")</f>
        <v/>
      </c>
      <c r="CR585" s="28" t="str">
        <f aca="false">IFERROR(INDEX(Assessments!$I$2:$I$600,MATCH($H585&amp;"|"&amp;$I585&amp;"|"&amp;$J585&amp;"|"&amp;10,Assessments!$A$2:$A$600,0)),"")</f>
        <v/>
      </c>
      <c r="CS585" s="28" t="str">
        <f aca="false">IFERROR(INDEX(Assessments!$I$2:$I$600,MATCH($H585&amp;"|"&amp;$I585&amp;"|"&amp;$J585&amp;"|"&amp;11,Assessments!$A$2:$A$600,0)),"")</f>
        <v/>
      </c>
      <c r="CT585" s="28" t="str">
        <f aca="false">IFERROR(INDEX(Assessments!$I$2:$I$600,MATCH($H585&amp;"|"&amp;$I585&amp;"|"&amp;$J585&amp;"|"&amp;12,Assessments!$A$2:$A$600,0)),"")</f>
        <v/>
      </c>
      <c r="CU585" s="28" t="str">
        <f aca="false">IFERROR(INDEX(Assessments!$I$2:$I$600,MATCH($H585&amp;"|"&amp;$I585&amp;"|"&amp;$J585&amp;"|"&amp;13,Assessments!$A$2:$A$600,0)),"")</f>
        <v/>
      </c>
      <c r="CV585" s="28" t="str">
        <f aca="false">IFERROR(INDEX(Assessments!$I$2:$I$600,MATCH($H585&amp;"|"&amp;$I585&amp;"|"&amp;$J585&amp;"|"&amp;14,Assessments!$A$2:$A$600,0)),"")</f>
        <v/>
      </c>
      <c r="CW585" s="28" t="n">
        <f aca="false">IFERROR(INDEX(Assessments!$J$2:$J$600,MATCH($H585&amp;"|"&amp;$I585&amp;"|"&amp;$J585&amp;"|"&amp;1,Assessments!$A$2:$A$600,0)),0)</f>
        <v>0</v>
      </c>
      <c r="CX585" s="28" t="n">
        <f aca="false">IFERROR(INDEX(Assessments!$J$2:$J$600,MATCH($H585&amp;"|"&amp;$I585&amp;"|"&amp;$J585&amp;"|"&amp;2,Assessments!$A$2:$A$600,0)),0)</f>
        <v>0</v>
      </c>
      <c r="CY585" s="28" t="n">
        <f aca="false">IFERROR(INDEX(Assessments!$J$2:$J$600,MATCH($H585&amp;"|"&amp;$I585&amp;"|"&amp;$J585&amp;"|"&amp;3,Assessments!$A$2:$A$600,0)),0)</f>
        <v>0</v>
      </c>
      <c r="CZ585" s="28" t="n">
        <f aca="false">IFERROR(INDEX(Assessments!$J$2:$J$600,MATCH($H585&amp;"|"&amp;$I585&amp;"|"&amp;$J585&amp;"|"&amp;4,Assessments!$A$2:$A$600,0)),0)</f>
        <v>0</v>
      </c>
      <c r="DA585" s="28" t="n">
        <f aca="false">IFERROR(INDEX(Assessments!$J$2:$J$600,MATCH($H585&amp;"|"&amp;$I585&amp;"|"&amp;$J585&amp;"|"&amp;5,Assessments!$A$2:$A$600,0)),0)</f>
        <v>0</v>
      </c>
      <c r="DB585" s="28" t="n">
        <f aca="false">IFERROR(INDEX(Assessments!$J$2:$J$600,MATCH($H585&amp;"|"&amp;$I585&amp;"|"&amp;$J585&amp;"|"&amp;6,Assessments!$A$2:$A$600,0)),0)</f>
        <v>0</v>
      </c>
      <c r="DC585" s="28" t="n">
        <f aca="false">IFERROR(INDEX(Assessments!$J$2:$J$600,MATCH($H585&amp;"|"&amp;$I585&amp;"|"&amp;$J585&amp;"|"&amp;7,Assessments!$A$2:$A$600,0)),0)</f>
        <v>0</v>
      </c>
      <c r="DD585" s="28" t="n">
        <f aca="false">IFERROR(INDEX(Assessments!$J$2:$J$600,MATCH($H585&amp;"|"&amp;$I585&amp;"|"&amp;$J585&amp;"|"&amp;8,Assessments!$A$2:$A$600,0)),0)</f>
        <v>0</v>
      </c>
      <c r="DE585" s="28" t="n">
        <f aca="false">IFERROR(INDEX(Assessments!$J$2:$J$600,MATCH($H585&amp;"|"&amp;$I585&amp;"|"&amp;$J585&amp;"|"&amp;9,Assessments!$A$2:$A$600,0)),0)</f>
        <v>0</v>
      </c>
      <c r="DF585" s="28" t="n">
        <f aca="false">IFERROR(INDEX(Assessments!$J$2:$J$600,MATCH($H585&amp;"|"&amp;$I585&amp;"|"&amp;$J585&amp;"|"&amp;10,Assessments!$A$2:$A$600,0)),0)</f>
        <v>0</v>
      </c>
      <c r="DG585" s="28" t="n">
        <f aca="false">IFERROR(INDEX(Assessments!$J$2:$J$600,MATCH($H585&amp;"|"&amp;$I585&amp;"|"&amp;$J585&amp;"|"&amp;11,Assessments!$A$2:$A$600,0)),0)</f>
        <v>0</v>
      </c>
      <c r="DH585" s="28" t="n">
        <f aca="false">IFERROR(INDEX(Assessments!$J$2:$J$600,MATCH($H585&amp;"|"&amp;$I585&amp;"|"&amp;$J585&amp;"|"&amp;12,Assessments!$A$2:$A$600,0)),0)</f>
        <v>0</v>
      </c>
      <c r="DI585" s="28" t="n">
        <f aca="false">IFERROR(INDEX(Assessments!$J$2:$J$600,MATCH($H585&amp;"|"&amp;$I585&amp;"|"&amp;$J585&amp;"|"&amp;13,Assessments!$A$2:$A$600,0)),0)</f>
        <v>0</v>
      </c>
      <c r="DJ585" s="28" t="n">
        <f aca="false">IFERROR(INDEX(Assessments!$J$2:$J$600,MATCH($H585&amp;"|"&amp;$I585&amp;"|"&amp;$J585&amp;"|"&amp;14,Assessments!$A$2:$A$600,0)),0)</f>
        <v>0</v>
      </c>
      <c r="DK585" s="28" t="str">
        <f aca="false">S585</f>
        <v/>
      </c>
      <c r="DL585" s="28" t="str">
        <f aca="false">W585</f>
        <v/>
      </c>
      <c r="DM585" s="28" t="str">
        <f aca="false">AA585</f>
        <v/>
      </c>
      <c r="DN585" s="28" t="str">
        <f aca="false">AE585</f>
        <v/>
      </c>
      <c r="DO585" s="28" t="str">
        <f aca="false">AI585</f>
        <v/>
      </c>
      <c r="DP585" s="28" t="str">
        <f aca="false">AM585</f>
        <v/>
      </c>
      <c r="DQ585" s="28" t="str">
        <f aca="false">AQ585</f>
        <v/>
      </c>
      <c r="DR585" s="28" t="str">
        <f aca="false">AU585</f>
        <v/>
      </c>
      <c r="DS585" s="28" t="str">
        <f aca="false">AY585</f>
        <v/>
      </c>
      <c r="DT585" s="28" t="str">
        <f aca="false">BC585</f>
        <v/>
      </c>
      <c r="DU585" s="28" t="str">
        <f aca="false">BG585</f>
        <v/>
      </c>
      <c r="DV585" s="28" t="str">
        <f aca="false">BK585</f>
        <v/>
      </c>
      <c r="DW585" s="28" t="str">
        <f aca="false">BO585</f>
        <v/>
      </c>
      <c r="DX585" s="28" t="str">
        <f aca="false">BS585</f>
        <v/>
      </c>
      <c r="DY585" s="28" t="str">
        <f aca="false">IF(ISNUMBER(S585),1,"")</f>
        <v/>
      </c>
      <c r="DZ585" s="28" t="str">
        <f aca="false">IF(ISNUMBER(W585),2,"")</f>
        <v/>
      </c>
      <c r="EA585" s="28" t="str">
        <f aca="false">IF(ISNUMBER(AA585),3,"")</f>
        <v/>
      </c>
      <c r="EB585" s="28" t="str">
        <f aca="false">IF(ISNUMBER(AE585),4,"")</f>
        <v/>
      </c>
      <c r="EC585" s="28" t="str">
        <f aca="false">IF(ISNUMBER(AI585),5,"")</f>
        <v/>
      </c>
      <c r="ED585" s="28" t="str">
        <f aca="false">IF(ISNUMBER(AM585),6,"")</f>
        <v/>
      </c>
      <c r="EE585" s="28" t="str">
        <f aca="false">IF(ISNUMBER(AQ585),7,"")</f>
        <v/>
      </c>
      <c r="EF585" s="28" t="str">
        <f aca="false">IF(ISNUMBER(AU585),8,"")</f>
        <v/>
      </c>
      <c r="EG585" s="28" t="str">
        <f aca="false">IF(ISNUMBER(AY585),9,"")</f>
        <v/>
      </c>
      <c r="EH585" s="28" t="str">
        <f aca="false">IF(ISNUMBER(BC585),10,"")</f>
        <v/>
      </c>
      <c r="EI585" s="28" t="str">
        <f aca="false">IF(ISNUMBER(BG585),11,"")</f>
        <v/>
      </c>
      <c r="EJ585" s="28" t="str">
        <f aca="false">IF(ISNUMBER(BK585),12,"")</f>
        <v/>
      </c>
      <c r="EK585" s="28" t="str">
        <f aca="false">IF(ISNUMBER(BO585),13,"")</f>
        <v/>
      </c>
      <c r="EL585" s="28" t="str">
        <f aca="false">IF(ISNUMBER(BS585),14,"")</f>
        <v/>
      </c>
      <c r="EM585" s="28" t="n">
        <f aca="false">IF(ISNUMBER(R585),R585*CW585,0)</f>
        <v>0</v>
      </c>
      <c r="EN585" s="28" t="n">
        <f aca="false">IF(ISNUMBER(V585),V585*CX585,0)</f>
        <v>0</v>
      </c>
      <c r="EO585" s="28" t="n">
        <f aca="false">IF(ISNUMBER(Z585),Z585*CY585,0)</f>
        <v>0</v>
      </c>
      <c r="EP585" s="28" t="n">
        <f aca="false">IF(ISNUMBER(AD585),AD585*CZ585,0)</f>
        <v>0</v>
      </c>
      <c r="EQ585" s="28" t="n">
        <f aca="false">IF(ISNUMBER(AH585),AH585*DA585,0)</f>
        <v>0</v>
      </c>
      <c r="ER585" s="28" t="n">
        <f aca="false">IF(ISNUMBER(AL585),AL585*DB585,0)</f>
        <v>0</v>
      </c>
      <c r="ES585" s="28" t="n">
        <f aca="false">IF(ISNUMBER(AP585),AP585*DC585,0)</f>
        <v>0</v>
      </c>
      <c r="ET585" s="28" t="n">
        <f aca="false">IF(ISNUMBER(AT585),AT585*DD585,0)</f>
        <v>0</v>
      </c>
      <c r="EU585" s="28" t="n">
        <f aca="false">IF(ISNUMBER(AX585),AX585*DE585,0)</f>
        <v>0</v>
      </c>
      <c r="EV585" s="28" t="n">
        <f aca="false">IF(ISNUMBER(BB585),BB585*DF585,0)</f>
        <v>0</v>
      </c>
      <c r="EW585" s="28" t="n">
        <f aca="false">IF(ISNUMBER(BF585),BF585*DG585,0)</f>
        <v>0</v>
      </c>
      <c r="EX585" s="28" t="n">
        <f aca="false">IF(ISNUMBER(BJ585),BJ585*DH585,0)</f>
        <v>0</v>
      </c>
      <c r="EY585" s="28" t="n">
        <f aca="false">IF(ISNUMBER(BN585),BN585*DI585,0)</f>
        <v>0</v>
      </c>
      <c r="EZ585" s="28" t="n">
        <f aca="false">IF(ISNUMBER(BR585),BR585*DJ585,0)</f>
        <v>0</v>
      </c>
      <c r="FA585" s="28" t="n">
        <f aca="false">IF(ISNUMBER(R585),CW585,0)</f>
        <v>0</v>
      </c>
      <c r="FB585" s="28" t="n">
        <f aca="false">IF(ISNUMBER(V585),CX585,0)</f>
        <v>0</v>
      </c>
      <c r="FC585" s="28" t="n">
        <f aca="false">IF(ISNUMBER(Z585),CY585,0)</f>
        <v>0</v>
      </c>
      <c r="FD585" s="28" t="n">
        <f aca="false">IF(ISNUMBER(AD585),CZ585,0)</f>
        <v>0</v>
      </c>
      <c r="FE585" s="28" t="n">
        <f aca="false">IF(ISNUMBER(AH585),DA585,0)</f>
        <v>0</v>
      </c>
      <c r="FF585" s="28" t="n">
        <f aca="false">IF(ISNUMBER(AL585),DB585,0)</f>
        <v>0</v>
      </c>
      <c r="FG585" s="28" t="n">
        <f aca="false">IF(ISNUMBER(AP585),DC585,0)</f>
        <v>0</v>
      </c>
      <c r="FH585" s="28" t="n">
        <f aca="false">IF(ISNUMBER(AT585),DD585,0)</f>
        <v>0</v>
      </c>
      <c r="FI585" s="28" t="n">
        <f aca="false">IF(ISNUMBER(AX585),DE585,0)</f>
        <v>0</v>
      </c>
      <c r="FJ585" s="28" t="n">
        <f aca="false">IF(ISNUMBER(BB585),DF585,0)</f>
        <v>0</v>
      </c>
      <c r="FK585" s="28" t="n">
        <f aca="false">IF(ISNUMBER(BF585),DG585,0)</f>
        <v>0</v>
      </c>
      <c r="FL585" s="28" t="n">
        <f aca="false">IF(ISNUMBER(BJ585),DH585,0)</f>
        <v>0</v>
      </c>
      <c r="FM585" s="28" t="n">
        <f aca="false">IF(ISNUMBER(BN585),DI585,0)</f>
        <v>0</v>
      </c>
      <c r="FN585" s="28" t="n">
        <f aca="false">IF(ISNUMBER(BR585),DJ585,0)</f>
        <v>0</v>
      </c>
      <c r="FO585" s="28" t="str">
        <f aca="false">IFERROR(INDEX(Lists!$G$2:$G$20,MATCH($I585&amp;"|"&amp;$J585,Lists!$F$2:$F$20,0)),"")</f>
        <v/>
      </c>
    </row>
    <row r="586" customFormat="false" ht="19.5" hidden="false" customHeight="true" outlineLevel="0" collapsed="false">
      <c r="A586" s="29"/>
      <c r="B586" s="29"/>
      <c r="C586" s="30"/>
      <c r="D586" s="30"/>
      <c r="E586" s="31"/>
      <c r="F586" s="30"/>
      <c r="G586" s="30"/>
      <c r="H586" s="32"/>
      <c r="I586" s="33"/>
      <c r="J586" s="32"/>
      <c r="K586" s="34" t="str">
        <f aca="false">IF(OR(M586="",$E586=""),"",M586-$E586)</f>
        <v/>
      </c>
      <c r="L586" s="35" t="str">
        <f aca="false">IF(SUM(FA586:FN586)=0,"",SUM(EM586:EZ586)/SUM(FA586:FN586))</f>
        <v/>
      </c>
      <c r="M586" s="36" t="str">
        <f aca="false">IF(OR(L586="",FO586=""),"",IFERROR(MATCH(L586,INDEX(Boundaries!$B$2:$I$30,MATCH(FO586,Boundaries!$A$2:$A$30,0),0),1)-1,""))</f>
        <v/>
      </c>
      <c r="N586" s="37" t="str">
        <f aca="false">IF(COUNT($DY586:$EL586)&lt;2,"",INDEX($DK586:$DX586,MAX($DY586:$EL586))-INDEX($DK586:$DX586,MIN($DY586:$EL586)))</f>
        <v/>
      </c>
      <c r="O586" s="37" t="str">
        <f aca="false">IF(COUNT($DY586:$EL586)&lt;2,"",INDEX($DK586:$DX586,MAX($DY586:$EL586))-INDEX($DK586:$DX586,LARGE($DY586:$EL586,2)))</f>
        <v/>
      </c>
      <c r="P586" s="38" t="str">
        <f aca="false">IF(K586="","",IF(K586&gt;=0,"On/above target",IF(AND(N586&lt;&gt;"",N586&gt;=0.5),"Improving towards target",IF(AND(O586&lt;&gt;"",O586&lt;=-0.5),"Declining","Stable below target"))))</f>
        <v/>
      </c>
      <c r="Q586" s="39"/>
      <c r="R586" s="40" t="str">
        <f aca="false">IF(OR(Q586="",BU586=""),"",Q586/BU586*100)</f>
        <v/>
      </c>
      <c r="S586" s="41" t="str">
        <f aca="false">IF(R586="","",IFERROR(MATCH(R586,INDEX(Boundaries!$B$2:$I$30,MATCH(CI586,Boundaries!$A$2:$A$30,0),0),1)-1,""))</f>
        <v/>
      </c>
      <c r="T586" s="42" t="str">
        <f aca="false">IF(OR(S586="",$E586=""),"",S586-$E586)</f>
        <v/>
      </c>
      <c r="U586" s="39"/>
      <c r="V586" s="40" t="str">
        <f aca="false">IF(OR(U586="",BV586=""),"",U586/BV586*100)</f>
        <v/>
      </c>
      <c r="W586" s="41" t="str">
        <f aca="false">IF(V586="","",IFERROR(MATCH(V586,INDEX(Boundaries!$B$2:$I$30,MATCH(CJ586,Boundaries!$A$2:$A$30,0),0),1)-1,""))</f>
        <v/>
      </c>
      <c r="X586" s="42" t="str">
        <f aca="false">IF(OR(W586="",$E586=""),"",W586-$E586)</f>
        <v/>
      </c>
      <c r="Y586" s="39"/>
      <c r="Z586" s="40" t="str">
        <f aca="false">IF(OR(Y586="",BW586=""),"",Y586/BW586*100)</f>
        <v/>
      </c>
      <c r="AA586" s="41" t="str">
        <f aca="false">IF(Z586="","",IFERROR(MATCH(Z586,INDEX(Boundaries!$B$2:$I$30,MATCH(CK586,Boundaries!$A$2:$A$30,0),0),1)-1,""))</f>
        <v/>
      </c>
      <c r="AB586" s="42" t="str">
        <f aca="false">IF(OR(AA586="",$E586=""),"",AA586-$E586)</f>
        <v/>
      </c>
      <c r="AC586" s="39"/>
      <c r="AD586" s="40" t="str">
        <f aca="false">IF(OR(AC586="",BX586=""),"",AC586/BX586*100)</f>
        <v/>
      </c>
      <c r="AE586" s="41" t="str">
        <f aca="false">IF(AD586="","",IFERROR(MATCH(AD586,INDEX(Boundaries!$B$2:$I$30,MATCH(CL586,Boundaries!$A$2:$A$30,0),0),1)-1,""))</f>
        <v/>
      </c>
      <c r="AF586" s="42" t="str">
        <f aca="false">IF(OR(AE586="",$E586=""),"",AE586-$E586)</f>
        <v/>
      </c>
      <c r="AG586" s="39"/>
      <c r="AH586" s="40" t="str">
        <f aca="false">IF(OR(AG586="",BY586=""),"",AG586/BY586*100)</f>
        <v/>
      </c>
      <c r="AI586" s="41" t="str">
        <f aca="false">IF(AH586="","",IFERROR(MATCH(AH586,INDEX(Boundaries!$B$2:$I$30,MATCH(CM586,Boundaries!$A$2:$A$30,0),0),1)-1,""))</f>
        <v/>
      </c>
      <c r="AJ586" s="42" t="str">
        <f aca="false">IF(OR(AI586="",$E586=""),"",AI586-$E586)</f>
        <v/>
      </c>
      <c r="AK586" s="39"/>
      <c r="AL586" s="40" t="str">
        <f aca="false">IF(OR(AK586="",BZ586=""),"",AK586/BZ586*100)</f>
        <v/>
      </c>
      <c r="AM586" s="41" t="str">
        <f aca="false">IF(AL586="","",IFERROR(MATCH(AL586,INDEX(Boundaries!$B$2:$I$30,MATCH(CN586,Boundaries!$A$2:$A$30,0),0),1)-1,""))</f>
        <v/>
      </c>
      <c r="AN586" s="42" t="str">
        <f aca="false">IF(OR(AM586="",$E586=""),"",AM586-$E586)</f>
        <v/>
      </c>
      <c r="AO586" s="39"/>
      <c r="AP586" s="40" t="str">
        <f aca="false">IF(OR(AO586="",CA586=""),"",AO586/CA586*100)</f>
        <v/>
      </c>
      <c r="AQ586" s="41" t="str">
        <f aca="false">IF(AP586="","",IFERROR(MATCH(AP586,INDEX(Boundaries!$B$2:$I$30,MATCH(CO586,Boundaries!$A$2:$A$30,0),0),1)-1,""))</f>
        <v/>
      </c>
      <c r="AR586" s="42" t="str">
        <f aca="false">IF(OR(AQ586="",$E586=""),"",AQ586-$E586)</f>
        <v/>
      </c>
      <c r="AS586" s="39"/>
      <c r="AT586" s="40" t="str">
        <f aca="false">IF(OR(AS586="",CB586=""),"",AS586/CB586*100)</f>
        <v/>
      </c>
      <c r="AU586" s="41" t="str">
        <f aca="false">IF(AT586="","",IFERROR(MATCH(AT586,INDEX(Boundaries!$B$2:$I$30,MATCH(CP586,Boundaries!$A$2:$A$30,0),0),1)-1,""))</f>
        <v/>
      </c>
      <c r="AV586" s="42" t="str">
        <f aca="false">IF(OR(AU586="",$E586=""),"",AU586-$E586)</f>
        <v/>
      </c>
      <c r="AW586" s="39"/>
      <c r="AX586" s="40" t="str">
        <f aca="false">IF(OR(AW586="",CC586=""),"",AW586/CC586*100)</f>
        <v/>
      </c>
      <c r="AY586" s="41" t="str">
        <f aca="false">IF(AX586="","",IFERROR(MATCH(AX586,INDEX(Boundaries!$B$2:$I$30,MATCH(CQ586,Boundaries!$A$2:$A$30,0),0),1)-1,""))</f>
        <v/>
      </c>
      <c r="AZ586" s="42" t="str">
        <f aca="false">IF(OR(AY586="",$E586=""),"",AY586-$E586)</f>
        <v/>
      </c>
      <c r="BA586" s="39"/>
      <c r="BB586" s="40" t="str">
        <f aca="false">IF(OR(BA586="",CD586=""),"",BA586/CD586*100)</f>
        <v/>
      </c>
      <c r="BC586" s="41" t="str">
        <f aca="false">IF(BB586="","",IFERROR(MATCH(BB586,INDEX(Boundaries!$B$2:$I$30,MATCH(CR586,Boundaries!$A$2:$A$30,0),0),1)-1,""))</f>
        <v/>
      </c>
      <c r="BD586" s="42" t="str">
        <f aca="false">IF(OR(BC586="",$E586=""),"",BC586-$E586)</f>
        <v/>
      </c>
      <c r="BE586" s="39"/>
      <c r="BF586" s="40" t="str">
        <f aca="false">IF(OR(BE586="",CE586=""),"",BE586/CE586*100)</f>
        <v/>
      </c>
      <c r="BG586" s="41" t="str">
        <f aca="false">IF(BF586="","",IFERROR(MATCH(BF586,INDEX(Boundaries!$B$2:$I$30,MATCH(CS586,Boundaries!$A$2:$A$30,0),0),1)-1,""))</f>
        <v/>
      </c>
      <c r="BH586" s="42" t="str">
        <f aca="false">IF(OR(BG586="",$E586=""),"",BG586-$E586)</f>
        <v/>
      </c>
      <c r="BI586" s="39"/>
      <c r="BJ586" s="40" t="str">
        <f aca="false">IF(OR(BI586="",CF586=""),"",BI586/CF586*100)</f>
        <v/>
      </c>
      <c r="BK586" s="41" t="str">
        <f aca="false">IF(BJ586="","",IFERROR(MATCH(BJ586,INDEX(Boundaries!$B$2:$I$30,MATCH(CT586,Boundaries!$A$2:$A$30,0),0),1)-1,""))</f>
        <v/>
      </c>
      <c r="BL586" s="42" t="str">
        <f aca="false">IF(OR(BK586="",$E586=""),"",BK586-$E586)</f>
        <v/>
      </c>
      <c r="BM586" s="39"/>
      <c r="BN586" s="40" t="str">
        <f aca="false">IF(OR(BM586="",CG586=""),"",BM586/CG586*100)</f>
        <v/>
      </c>
      <c r="BO586" s="41" t="str">
        <f aca="false">IF(BN586="","",IFERROR(MATCH(BN586,INDEX(Boundaries!$B$2:$I$30,MATCH(CU586,Boundaries!$A$2:$A$30,0),0),1)-1,""))</f>
        <v/>
      </c>
      <c r="BP586" s="42" t="str">
        <f aca="false">IF(OR(BO586="",$E586=""),"",BO586-$E586)</f>
        <v/>
      </c>
      <c r="BQ586" s="39"/>
      <c r="BR586" s="40" t="str">
        <f aca="false">IF(OR(BQ586="",CH586=""),"",BQ586/CH586*100)</f>
        <v/>
      </c>
      <c r="BS586" s="41" t="str">
        <f aca="false">IF(BR586="","",IFERROR(MATCH(BR586,INDEX(Boundaries!$B$2:$I$30,MATCH(CV586,Boundaries!$A$2:$A$30,0),0),1)-1,""))</f>
        <v/>
      </c>
      <c r="BT586" s="42" t="str">
        <f aca="false">IF(OR(BS586="",$E586=""),"",BS586-$E586)</f>
        <v/>
      </c>
      <c r="BU586" s="28" t="str">
        <f aca="false">IFERROR(INDEX(Assessments!$H$2:$H$600,MATCH($H586&amp;"|"&amp;$I586&amp;"|"&amp;$J586&amp;"|"&amp;1,Assessments!$A$2:$A$600,0)),"")</f>
        <v/>
      </c>
      <c r="BV586" s="28" t="str">
        <f aca="false">IFERROR(INDEX(Assessments!$H$2:$H$600,MATCH($H586&amp;"|"&amp;$I586&amp;"|"&amp;$J586&amp;"|"&amp;2,Assessments!$A$2:$A$600,0)),"")</f>
        <v/>
      </c>
      <c r="BW586" s="28" t="str">
        <f aca="false">IFERROR(INDEX(Assessments!$H$2:$H$600,MATCH($H586&amp;"|"&amp;$I586&amp;"|"&amp;$J586&amp;"|"&amp;3,Assessments!$A$2:$A$600,0)),"")</f>
        <v/>
      </c>
      <c r="BX586" s="28" t="str">
        <f aca="false">IFERROR(INDEX(Assessments!$H$2:$H$600,MATCH($H586&amp;"|"&amp;$I586&amp;"|"&amp;$J586&amp;"|"&amp;4,Assessments!$A$2:$A$600,0)),"")</f>
        <v/>
      </c>
      <c r="BY586" s="28" t="str">
        <f aca="false">IFERROR(INDEX(Assessments!$H$2:$H$600,MATCH($H586&amp;"|"&amp;$I586&amp;"|"&amp;$J586&amp;"|"&amp;5,Assessments!$A$2:$A$600,0)),"")</f>
        <v/>
      </c>
      <c r="BZ586" s="28" t="str">
        <f aca="false">IFERROR(INDEX(Assessments!$H$2:$H$600,MATCH($H586&amp;"|"&amp;$I586&amp;"|"&amp;$J586&amp;"|"&amp;6,Assessments!$A$2:$A$600,0)),"")</f>
        <v/>
      </c>
      <c r="CA586" s="28" t="str">
        <f aca="false">IFERROR(INDEX(Assessments!$H$2:$H$600,MATCH($H586&amp;"|"&amp;$I586&amp;"|"&amp;$J586&amp;"|"&amp;7,Assessments!$A$2:$A$600,0)),"")</f>
        <v/>
      </c>
      <c r="CB586" s="28" t="str">
        <f aca="false">IFERROR(INDEX(Assessments!$H$2:$H$600,MATCH($H586&amp;"|"&amp;$I586&amp;"|"&amp;$J586&amp;"|"&amp;8,Assessments!$A$2:$A$600,0)),"")</f>
        <v/>
      </c>
      <c r="CC586" s="28" t="str">
        <f aca="false">IFERROR(INDEX(Assessments!$H$2:$H$600,MATCH($H586&amp;"|"&amp;$I586&amp;"|"&amp;$J586&amp;"|"&amp;9,Assessments!$A$2:$A$600,0)),"")</f>
        <v/>
      </c>
      <c r="CD586" s="28" t="str">
        <f aca="false">IFERROR(INDEX(Assessments!$H$2:$H$600,MATCH($H586&amp;"|"&amp;$I586&amp;"|"&amp;$J586&amp;"|"&amp;10,Assessments!$A$2:$A$600,0)),"")</f>
        <v/>
      </c>
      <c r="CE586" s="28" t="str">
        <f aca="false">IFERROR(INDEX(Assessments!$H$2:$H$600,MATCH($H586&amp;"|"&amp;$I586&amp;"|"&amp;$J586&amp;"|"&amp;11,Assessments!$A$2:$A$600,0)),"")</f>
        <v/>
      </c>
      <c r="CF586" s="28" t="str">
        <f aca="false">IFERROR(INDEX(Assessments!$H$2:$H$600,MATCH($H586&amp;"|"&amp;$I586&amp;"|"&amp;$J586&amp;"|"&amp;12,Assessments!$A$2:$A$600,0)),"")</f>
        <v/>
      </c>
      <c r="CG586" s="28" t="str">
        <f aca="false">IFERROR(INDEX(Assessments!$H$2:$H$600,MATCH($H586&amp;"|"&amp;$I586&amp;"|"&amp;$J586&amp;"|"&amp;13,Assessments!$A$2:$A$600,0)),"")</f>
        <v/>
      </c>
      <c r="CH586" s="28" t="str">
        <f aca="false">IFERROR(INDEX(Assessments!$H$2:$H$600,MATCH($H586&amp;"|"&amp;$I586&amp;"|"&amp;$J586&amp;"|"&amp;14,Assessments!$A$2:$A$600,0)),"")</f>
        <v/>
      </c>
      <c r="CI586" s="28" t="str">
        <f aca="false">IFERROR(INDEX(Assessments!$I$2:$I$600,MATCH($H586&amp;"|"&amp;$I586&amp;"|"&amp;$J586&amp;"|"&amp;1,Assessments!$A$2:$A$600,0)),"")</f>
        <v/>
      </c>
      <c r="CJ586" s="28" t="str">
        <f aca="false">IFERROR(INDEX(Assessments!$I$2:$I$600,MATCH($H586&amp;"|"&amp;$I586&amp;"|"&amp;$J586&amp;"|"&amp;2,Assessments!$A$2:$A$600,0)),"")</f>
        <v/>
      </c>
      <c r="CK586" s="28" t="str">
        <f aca="false">IFERROR(INDEX(Assessments!$I$2:$I$600,MATCH($H586&amp;"|"&amp;$I586&amp;"|"&amp;$J586&amp;"|"&amp;3,Assessments!$A$2:$A$600,0)),"")</f>
        <v/>
      </c>
      <c r="CL586" s="28" t="str">
        <f aca="false">IFERROR(INDEX(Assessments!$I$2:$I$600,MATCH($H586&amp;"|"&amp;$I586&amp;"|"&amp;$J586&amp;"|"&amp;4,Assessments!$A$2:$A$600,0)),"")</f>
        <v/>
      </c>
      <c r="CM586" s="28" t="str">
        <f aca="false">IFERROR(INDEX(Assessments!$I$2:$I$600,MATCH($H586&amp;"|"&amp;$I586&amp;"|"&amp;$J586&amp;"|"&amp;5,Assessments!$A$2:$A$600,0)),"")</f>
        <v/>
      </c>
      <c r="CN586" s="28" t="str">
        <f aca="false">IFERROR(INDEX(Assessments!$I$2:$I$600,MATCH($H586&amp;"|"&amp;$I586&amp;"|"&amp;$J586&amp;"|"&amp;6,Assessments!$A$2:$A$600,0)),"")</f>
        <v/>
      </c>
      <c r="CO586" s="28" t="str">
        <f aca="false">IFERROR(INDEX(Assessments!$I$2:$I$600,MATCH($H586&amp;"|"&amp;$I586&amp;"|"&amp;$J586&amp;"|"&amp;7,Assessments!$A$2:$A$600,0)),"")</f>
        <v/>
      </c>
      <c r="CP586" s="28" t="str">
        <f aca="false">IFERROR(INDEX(Assessments!$I$2:$I$600,MATCH($H586&amp;"|"&amp;$I586&amp;"|"&amp;$J586&amp;"|"&amp;8,Assessments!$A$2:$A$600,0)),"")</f>
        <v/>
      </c>
      <c r="CQ586" s="28" t="str">
        <f aca="false">IFERROR(INDEX(Assessments!$I$2:$I$600,MATCH($H586&amp;"|"&amp;$I586&amp;"|"&amp;$J586&amp;"|"&amp;9,Assessments!$A$2:$A$600,0)),"")</f>
        <v/>
      </c>
      <c r="CR586" s="28" t="str">
        <f aca="false">IFERROR(INDEX(Assessments!$I$2:$I$600,MATCH($H586&amp;"|"&amp;$I586&amp;"|"&amp;$J586&amp;"|"&amp;10,Assessments!$A$2:$A$600,0)),"")</f>
        <v/>
      </c>
      <c r="CS586" s="28" t="str">
        <f aca="false">IFERROR(INDEX(Assessments!$I$2:$I$600,MATCH($H586&amp;"|"&amp;$I586&amp;"|"&amp;$J586&amp;"|"&amp;11,Assessments!$A$2:$A$600,0)),"")</f>
        <v/>
      </c>
      <c r="CT586" s="28" t="str">
        <f aca="false">IFERROR(INDEX(Assessments!$I$2:$I$600,MATCH($H586&amp;"|"&amp;$I586&amp;"|"&amp;$J586&amp;"|"&amp;12,Assessments!$A$2:$A$600,0)),"")</f>
        <v/>
      </c>
      <c r="CU586" s="28" t="str">
        <f aca="false">IFERROR(INDEX(Assessments!$I$2:$I$600,MATCH($H586&amp;"|"&amp;$I586&amp;"|"&amp;$J586&amp;"|"&amp;13,Assessments!$A$2:$A$600,0)),"")</f>
        <v/>
      </c>
      <c r="CV586" s="28" t="str">
        <f aca="false">IFERROR(INDEX(Assessments!$I$2:$I$600,MATCH($H586&amp;"|"&amp;$I586&amp;"|"&amp;$J586&amp;"|"&amp;14,Assessments!$A$2:$A$600,0)),"")</f>
        <v/>
      </c>
      <c r="CW586" s="28" t="n">
        <f aca="false">IFERROR(INDEX(Assessments!$J$2:$J$600,MATCH($H586&amp;"|"&amp;$I586&amp;"|"&amp;$J586&amp;"|"&amp;1,Assessments!$A$2:$A$600,0)),0)</f>
        <v>0</v>
      </c>
      <c r="CX586" s="28" t="n">
        <f aca="false">IFERROR(INDEX(Assessments!$J$2:$J$600,MATCH($H586&amp;"|"&amp;$I586&amp;"|"&amp;$J586&amp;"|"&amp;2,Assessments!$A$2:$A$600,0)),0)</f>
        <v>0</v>
      </c>
      <c r="CY586" s="28" t="n">
        <f aca="false">IFERROR(INDEX(Assessments!$J$2:$J$600,MATCH($H586&amp;"|"&amp;$I586&amp;"|"&amp;$J586&amp;"|"&amp;3,Assessments!$A$2:$A$600,0)),0)</f>
        <v>0</v>
      </c>
      <c r="CZ586" s="28" t="n">
        <f aca="false">IFERROR(INDEX(Assessments!$J$2:$J$600,MATCH($H586&amp;"|"&amp;$I586&amp;"|"&amp;$J586&amp;"|"&amp;4,Assessments!$A$2:$A$600,0)),0)</f>
        <v>0</v>
      </c>
      <c r="DA586" s="28" t="n">
        <f aca="false">IFERROR(INDEX(Assessments!$J$2:$J$600,MATCH($H586&amp;"|"&amp;$I586&amp;"|"&amp;$J586&amp;"|"&amp;5,Assessments!$A$2:$A$600,0)),0)</f>
        <v>0</v>
      </c>
      <c r="DB586" s="28" t="n">
        <f aca="false">IFERROR(INDEX(Assessments!$J$2:$J$600,MATCH($H586&amp;"|"&amp;$I586&amp;"|"&amp;$J586&amp;"|"&amp;6,Assessments!$A$2:$A$600,0)),0)</f>
        <v>0</v>
      </c>
      <c r="DC586" s="28" t="n">
        <f aca="false">IFERROR(INDEX(Assessments!$J$2:$J$600,MATCH($H586&amp;"|"&amp;$I586&amp;"|"&amp;$J586&amp;"|"&amp;7,Assessments!$A$2:$A$600,0)),0)</f>
        <v>0</v>
      </c>
      <c r="DD586" s="28" t="n">
        <f aca="false">IFERROR(INDEX(Assessments!$J$2:$J$600,MATCH($H586&amp;"|"&amp;$I586&amp;"|"&amp;$J586&amp;"|"&amp;8,Assessments!$A$2:$A$600,0)),0)</f>
        <v>0</v>
      </c>
      <c r="DE586" s="28" t="n">
        <f aca="false">IFERROR(INDEX(Assessments!$J$2:$J$600,MATCH($H586&amp;"|"&amp;$I586&amp;"|"&amp;$J586&amp;"|"&amp;9,Assessments!$A$2:$A$600,0)),0)</f>
        <v>0</v>
      </c>
      <c r="DF586" s="28" t="n">
        <f aca="false">IFERROR(INDEX(Assessments!$J$2:$J$600,MATCH($H586&amp;"|"&amp;$I586&amp;"|"&amp;$J586&amp;"|"&amp;10,Assessments!$A$2:$A$600,0)),0)</f>
        <v>0</v>
      </c>
      <c r="DG586" s="28" t="n">
        <f aca="false">IFERROR(INDEX(Assessments!$J$2:$J$600,MATCH($H586&amp;"|"&amp;$I586&amp;"|"&amp;$J586&amp;"|"&amp;11,Assessments!$A$2:$A$600,0)),0)</f>
        <v>0</v>
      </c>
      <c r="DH586" s="28" t="n">
        <f aca="false">IFERROR(INDEX(Assessments!$J$2:$J$600,MATCH($H586&amp;"|"&amp;$I586&amp;"|"&amp;$J586&amp;"|"&amp;12,Assessments!$A$2:$A$600,0)),0)</f>
        <v>0</v>
      </c>
      <c r="DI586" s="28" t="n">
        <f aca="false">IFERROR(INDEX(Assessments!$J$2:$J$600,MATCH($H586&amp;"|"&amp;$I586&amp;"|"&amp;$J586&amp;"|"&amp;13,Assessments!$A$2:$A$600,0)),0)</f>
        <v>0</v>
      </c>
      <c r="DJ586" s="28" t="n">
        <f aca="false">IFERROR(INDEX(Assessments!$J$2:$J$600,MATCH($H586&amp;"|"&amp;$I586&amp;"|"&amp;$J586&amp;"|"&amp;14,Assessments!$A$2:$A$600,0)),0)</f>
        <v>0</v>
      </c>
      <c r="DK586" s="28" t="str">
        <f aca="false">S586</f>
        <v/>
      </c>
      <c r="DL586" s="28" t="str">
        <f aca="false">W586</f>
        <v/>
      </c>
      <c r="DM586" s="28" t="str">
        <f aca="false">AA586</f>
        <v/>
      </c>
      <c r="DN586" s="28" t="str">
        <f aca="false">AE586</f>
        <v/>
      </c>
      <c r="DO586" s="28" t="str">
        <f aca="false">AI586</f>
        <v/>
      </c>
      <c r="DP586" s="28" t="str">
        <f aca="false">AM586</f>
        <v/>
      </c>
      <c r="DQ586" s="28" t="str">
        <f aca="false">AQ586</f>
        <v/>
      </c>
      <c r="DR586" s="28" t="str">
        <f aca="false">AU586</f>
        <v/>
      </c>
      <c r="DS586" s="28" t="str">
        <f aca="false">AY586</f>
        <v/>
      </c>
      <c r="DT586" s="28" t="str">
        <f aca="false">BC586</f>
        <v/>
      </c>
      <c r="DU586" s="28" t="str">
        <f aca="false">BG586</f>
        <v/>
      </c>
      <c r="DV586" s="28" t="str">
        <f aca="false">BK586</f>
        <v/>
      </c>
      <c r="DW586" s="28" t="str">
        <f aca="false">BO586</f>
        <v/>
      </c>
      <c r="DX586" s="28" t="str">
        <f aca="false">BS586</f>
        <v/>
      </c>
      <c r="DY586" s="28" t="str">
        <f aca="false">IF(ISNUMBER(S586),1,"")</f>
        <v/>
      </c>
      <c r="DZ586" s="28" t="str">
        <f aca="false">IF(ISNUMBER(W586),2,"")</f>
        <v/>
      </c>
      <c r="EA586" s="28" t="str">
        <f aca="false">IF(ISNUMBER(AA586),3,"")</f>
        <v/>
      </c>
      <c r="EB586" s="28" t="str">
        <f aca="false">IF(ISNUMBER(AE586),4,"")</f>
        <v/>
      </c>
      <c r="EC586" s="28" t="str">
        <f aca="false">IF(ISNUMBER(AI586),5,"")</f>
        <v/>
      </c>
      <c r="ED586" s="28" t="str">
        <f aca="false">IF(ISNUMBER(AM586),6,"")</f>
        <v/>
      </c>
      <c r="EE586" s="28" t="str">
        <f aca="false">IF(ISNUMBER(AQ586),7,"")</f>
        <v/>
      </c>
      <c r="EF586" s="28" t="str">
        <f aca="false">IF(ISNUMBER(AU586),8,"")</f>
        <v/>
      </c>
      <c r="EG586" s="28" t="str">
        <f aca="false">IF(ISNUMBER(AY586),9,"")</f>
        <v/>
      </c>
      <c r="EH586" s="28" t="str">
        <f aca="false">IF(ISNUMBER(BC586),10,"")</f>
        <v/>
      </c>
      <c r="EI586" s="28" t="str">
        <f aca="false">IF(ISNUMBER(BG586),11,"")</f>
        <v/>
      </c>
      <c r="EJ586" s="28" t="str">
        <f aca="false">IF(ISNUMBER(BK586),12,"")</f>
        <v/>
      </c>
      <c r="EK586" s="28" t="str">
        <f aca="false">IF(ISNUMBER(BO586),13,"")</f>
        <v/>
      </c>
      <c r="EL586" s="28" t="str">
        <f aca="false">IF(ISNUMBER(BS586),14,"")</f>
        <v/>
      </c>
      <c r="EM586" s="28" t="n">
        <f aca="false">IF(ISNUMBER(R586),R586*CW586,0)</f>
        <v>0</v>
      </c>
      <c r="EN586" s="28" t="n">
        <f aca="false">IF(ISNUMBER(V586),V586*CX586,0)</f>
        <v>0</v>
      </c>
      <c r="EO586" s="28" t="n">
        <f aca="false">IF(ISNUMBER(Z586),Z586*CY586,0)</f>
        <v>0</v>
      </c>
      <c r="EP586" s="28" t="n">
        <f aca="false">IF(ISNUMBER(AD586),AD586*CZ586,0)</f>
        <v>0</v>
      </c>
      <c r="EQ586" s="28" t="n">
        <f aca="false">IF(ISNUMBER(AH586),AH586*DA586,0)</f>
        <v>0</v>
      </c>
      <c r="ER586" s="28" t="n">
        <f aca="false">IF(ISNUMBER(AL586),AL586*DB586,0)</f>
        <v>0</v>
      </c>
      <c r="ES586" s="28" t="n">
        <f aca="false">IF(ISNUMBER(AP586),AP586*DC586,0)</f>
        <v>0</v>
      </c>
      <c r="ET586" s="28" t="n">
        <f aca="false">IF(ISNUMBER(AT586),AT586*DD586,0)</f>
        <v>0</v>
      </c>
      <c r="EU586" s="28" t="n">
        <f aca="false">IF(ISNUMBER(AX586),AX586*DE586,0)</f>
        <v>0</v>
      </c>
      <c r="EV586" s="28" t="n">
        <f aca="false">IF(ISNUMBER(BB586),BB586*DF586,0)</f>
        <v>0</v>
      </c>
      <c r="EW586" s="28" t="n">
        <f aca="false">IF(ISNUMBER(BF586),BF586*DG586,0)</f>
        <v>0</v>
      </c>
      <c r="EX586" s="28" t="n">
        <f aca="false">IF(ISNUMBER(BJ586),BJ586*DH586,0)</f>
        <v>0</v>
      </c>
      <c r="EY586" s="28" t="n">
        <f aca="false">IF(ISNUMBER(BN586),BN586*DI586,0)</f>
        <v>0</v>
      </c>
      <c r="EZ586" s="28" t="n">
        <f aca="false">IF(ISNUMBER(BR586),BR586*DJ586,0)</f>
        <v>0</v>
      </c>
      <c r="FA586" s="28" t="n">
        <f aca="false">IF(ISNUMBER(R586),CW586,0)</f>
        <v>0</v>
      </c>
      <c r="FB586" s="28" t="n">
        <f aca="false">IF(ISNUMBER(V586),CX586,0)</f>
        <v>0</v>
      </c>
      <c r="FC586" s="28" t="n">
        <f aca="false">IF(ISNUMBER(Z586),CY586,0)</f>
        <v>0</v>
      </c>
      <c r="FD586" s="28" t="n">
        <f aca="false">IF(ISNUMBER(AD586),CZ586,0)</f>
        <v>0</v>
      </c>
      <c r="FE586" s="28" t="n">
        <f aca="false">IF(ISNUMBER(AH586),DA586,0)</f>
        <v>0</v>
      </c>
      <c r="FF586" s="28" t="n">
        <f aca="false">IF(ISNUMBER(AL586),DB586,0)</f>
        <v>0</v>
      </c>
      <c r="FG586" s="28" t="n">
        <f aca="false">IF(ISNUMBER(AP586),DC586,0)</f>
        <v>0</v>
      </c>
      <c r="FH586" s="28" t="n">
        <f aca="false">IF(ISNUMBER(AT586),DD586,0)</f>
        <v>0</v>
      </c>
      <c r="FI586" s="28" t="n">
        <f aca="false">IF(ISNUMBER(AX586),DE586,0)</f>
        <v>0</v>
      </c>
      <c r="FJ586" s="28" t="n">
        <f aca="false">IF(ISNUMBER(BB586),DF586,0)</f>
        <v>0</v>
      </c>
      <c r="FK586" s="28" t="n">
        <f aca="false">IF(ISNUMBER(BF586),DG586,0)</f>
        <v>0</v>
      </c>
      <c r="FL586" s="28" t="n">
        <f aca="false">IF(ISNUMBER(BJ586),DH586,0)</f>
        <v>0</v>
      </c>
      <c r="FM586" s="28" t="n">
        <f aca="false">IF(ISNUMBER(BN586),DI586,0)</f>
        <v>0</v>
      </c>
      <c r="FN586" s="28" t="n">
        <f aca="false">IF(ISNUMBER(BR586),DJ586,0)</f>
        <v>0</v>
      </c>
      <c r="FO586" s="28" t="str">
        <f aca="false">IFERROR(INDEX(Lists!$G$2:$G$20,MATCH($I586&amp;"|"&amp;$J586,Lists!$F$2:$F$20,0)),"")</f>
        <v/>
      </c>
    </row>
    <row r="587" customFormat="false" ht="19.5" hidden="false" customHeight="true" outlineLevel="0" collapsed="false">
      <c r="A587" s="29"/>
      <c r="B587" s="29"/>
      <c r="C587" s="30"/>
      <c r="D587" s="30"/>
      <c r="E587" s="31"/>
      <c r="F587" s="30"/>
      <c r="G587" s="30"/>
      <c r="H587" s="32"/>
      <c r="I587" s="33"/>
      <c r="J587" s="32"/>
      <c r="K587" s="34" t="str">
        <f aca="false">IF(OR(M587="",$E587=""),"",M587-$E587)</f>
        <v/>
      </c>
      <c r="L587" s="35" t="str">
        <f aca="false">IF(SUM(FA587:FN587)=0,"",SUM(EM587:EZ587)/SUM(FA587:FN587))</f>
        <v/>
      </c>
      <c r="M587" s="36" t="str">
        <f aca="false">IF(OR(L587="",FO587=""),"",IFERROR(MATCH(L587,INDEX(Boundaries!$B$2:$I$30,MATCH(FO587,Boundaries!$A$2:$A$30,0),0),1)-1,""))</f>
        <v/>
      </c>
      <c r="N587" s="37" t="str">
        <f aca="false">IF(COUNT($DY587:$EL587)&lt;2,"",INDEX($DK587:$DX587,MAX($DY587:$EL587))-INDEX($DK587:$DX587,MIN($DY587:$EL587)))</f>
        <v/>
      </c>
      <c r="O587" s="37" t="str">
        <f aca="false">IF(COUNT($DY587:$EL587)&lt;2,"",INDEX($DK587:$DX587,MAX($DY587:$EL587))-INDEX($DK587:$DX587,LARGE($DY587:$EL587,2)))</f>
        <v/>
      </c>
      <c r="P587" s="38" t="str">
        <f aca="false">IF(K587="","",IF(K587&gt;=0,"On/above target",IF(AND(N587&lt;&gt;"",N587&gt;=0.5),"Improving towards target",IF(AND(O587&lt;&gt;"",O587&lt;=-0.5),"Declining","Stable below target"))))</f>
        <v/>
      </c>
      <c r="Q587" s="39"/>
      <c r="R587" s="40" t="str">
        <f aca="false">IF(OR(Q587="",BU587=""),"",Q587/BU587*100)</f>
        <v/>
      </c>
      <c r="S587" s="41" t="str">
        <f aca="false">IF(R587="","",IFERROR(MATCH(R587,INDEX(Boundaries!$B$2:$I$30,MATCH(CI587,Boundaries!$A$2:$A$30,0),0),1)-1,""))</f>
        <v/>
      </c>
      <c r="T587" s="42" t="str">
        <f aca="false">IF(OR(S587="",$E587=""),"",S587-$E587)</f>
        <v/>
      </c>
      <c r="U587" s="39"/>
      <c r="V587" s="40" t="str">
        <f aca="false">IF(OR(U587="",BV587=""),"",U587/BV587*100)</f>
        <v/>
      </c>
      <c r="W587" s="41" t="str">
        <f aca="false">IF(V587="","",IFERROR(MATCH(V587,INDEX(Boundaries!$B$2:$I$30,MATCH(CJ587,Boundaries!$A$2:$A$30,0),0),1)-1,""))</f>
        <v/>
      </c>
      <c r="X587" s="42" t="str">
        <f aca="false">IF(OR(W587="",$E587=""),"",W587-$E587)</f>
        <v/>
      </c>
      <c r="Y587" s="39"/>
      <c r="Z587" s="40" t="str">
        <f aca="false">IF(OR(Y587="",BW587=""),"",Y587/BW587*100)</f>
        <v/>
      </c>
      <c r="AA587" s="41" t="str">
        <f aca="false">IF(Z587="","",IFERROR(MATCH(Z587,INDEX(Boundaries!$B$2:$I$30,MATCH(CK587,Boundaries!$A$2:$A$30,0),0),1)-1,""))</f>
        <v/>
      </c>
      <c r="AB587" s="42" t="str">
        <f aca="false">IF(OR(AA587="",$E587=""),"",AA587-$E587)</f>
        <v/>
      </c>
      <c r="AC587" s="39"/>
      <c r="AD587" s="40" t="str">
        <f aca="false">IF(OR(AC587="",BX587=""),"",AC587/BX587*100)</f>
        <v/>
      </c>
      <c r="AE587" s="41" t="str">
        <f aca="false">IF(AD587="","",IFERROR(MATCH(AD587,INDEX(Boundaries!$B$2:$I$30,MATCH(CL587,Boundaries!$A$2:$A$30,0),0),1)-1,""))</f>
        <v/>
      </c>
      <c r="AF587" s="42" t="str">
        <f aca="false">IF(OR(AE587="",$E587=""),"",AE587-$E587)</f>
        <v/>
      </c>
      <c r="AG587" s="39"/>
      <c r="AH587" s="40" t="str">
        <f aca="false">IF(OR(AG587="",BY587=""),"",AG587/BY587*100)</f>
        <v/>
      </c>
      <c r="AI587" s="41" t="str">
        <f aca="false">IF(AH587="","",IFERROR(MATCH(AH587,INDEX(Boundaries!$B$2:$I$30,MATCH(CM587,Boundaries!$A$2:$A$30,0),0),1)-1,""))</f>
        <v/>
      </c>
      <c r="AJ587" s="42" t="str">
        <f aca="false">IF(OR(AI587="",$E587=""),"",AI587-$E587)</f>
        <v/>
      </c>
      <c r="AK587" s="39"/>
      <c r="AL587" s="40" t="str">
        <f aca="false">IF(OR(AK587="",BZ587=""),"",AK587/BZ587*100)</f>
        <v/>
      </c>
      <c r="AM587" s="41" t="str">
        <f aca="false">IF(AL587="","",IFERROR(MATCH(AL587,INDEX(Boundaries!$B$2:$I$30,MATCH(CN587,Boundaries!$A$2:$A$30,0),0),1)-1,""))</f>
        <v/>
      </c>
      <c r="AN587" s="42" t="str">
        <f aca="false">IF(OR(AM587="",$E587=""),"",AM587-$E587)</f>
        <v/>
      </c>
      <c r="AO587" s="39"/>
      <c r="AP587" s="40" t="str">
        <f aca="false">IF(OR(AO587="",CA587=""),"",AO587/CA587*100)</f>
        <v/>
      </c>
      <c r="AQ587" s="41" t="str">
        <f aca="false">IF(AP587="","",IFERROR(MATCH(AP587,INDEX(Boundaries!$B$2:$I$30,MATCH(CO587,Boundaries!$A$2:$A$30,0),0),1)-1,""))</f>
        <v/>
      </c>
      <c r="AR587" s="42" t="str">
        <f aca="false">IF(OR(AQ587="",$E587=""),"",AQ587-$E587)</f>
        <v/>
      </c>
      <c r="AS587" s="39"/>
      <c r="AT587" s="40" t="str">
        <f aca="false">IF(OR(AS587="",CB587=""),"",AS587/CB587*100)</f>
        <v/>
      </c>
      <c r="AU587" s="41" t="str">
        <f aca="false">IF(AT587="","",IFERROR(MATCH(AT587,INDEX(Boundaries!$B$2:$I$30,MATCH(CP587,Boundaries!$A$2:$A$30,0),0),1)-1,""))</f>
        <v/>
      </c>
      <c r="AV587" s="42" t="str">
        <f aca="false">IF(OR(AU587="",$E587=""),"",AU587-$E587)</f>
        <v/>
      </c>
      <c r="AW587" s="39"/>
      <c r="AX587" s="40" t="str">
        <f aca="false">IF(OR(AW587="",CC587=""),"",AW587/CC587*100)</f>
        <v/>
      </c>
      <c r="AY587" s="41" t="str">
        <f aca="false">IF(AX587="","",IFERROR(MATCH(AX587,INDEX(Boundaries!$B$2:$I$30,MATCH(CQ587,Boundaries!$A$2:$A$30,0),0),1)-1,""))</f>
        <v/>
      </c>
      <c r="AZ587" s="42" t="str">
        <f aca="false">IF(OR(AY587="",$E587=""),"",AY587-$E587)</f>
        <v/>
      </c>
      <c r="BA587" s="39"/>
      <c r="BB587" s="40" t="str">
        <f aca="false">IF(OR(BA587="",CD587=""),"",BA587/CD587*100)</f>
        <v/>
      </c>
      <c r="BC587" s="41" t="str">
        <f aca="false">IF(BB587="","",IFERROR(MATCH(BB587,INDEX(Boundaries!$B$2:$I$30,MATCH(CR587,Boundaries!$A$2:$A$30,0),0),1)-1,""))</f>
        <v/>
      </c>
      <c r="BD587" s="42" t="str">
        <f aca="false">IF(OR(BC587="",$E587=""),"",BC587-$E587)</f>
        <v/>
      </c>
      <c r="BE587" s="39"/>
      <c r="BF587" s="40" t="str">
        <f aca="false">IF(OR(BE587="",CE587=""),"",BE587/CE587*100)</f>
        <v/>
      </c>
      <c r="BG587" s="41" t="str">
        <f aca="false">IF(BF587="","",IFERROR(MATCH(BF587,INDEX(Boundaries!$B$2:$I$30,MATCH(CS587,Boundaries!$A$2:$A$30,0),0),1)-1,""))</f>
        <v/>
      </c>
      <c r="BH587" s="42" t="str">
        <f aca="false">IF(OR(BG587="",$E587=""),"",BG587-$E587)</f>
        <v/>
      </c>
      <c r="BI587" s="39"/>
      <c r="BJ587" s="40" t="str">
        <f aca="false">IF(OR(BI587="",CF587=""),"",BI587/CF587*100)</f>
        <v/>
      </c>
      <c r="BK587" s="41" t="str">
        <f aca="false">IF(BJ587="","",IFERROR(MATCH(BJ587,INDEX(Boundaries!$B$2:$I$30,MATCH(CT587,Boundaries!$A$2:$A$30,0),0),1)-1,""))</f>
        <v/>
      </c>
      <c r="BL587" s="42" t="str">
        <f aca="false">IF(OR(BK587="",$E587=""),"",BK587-$E587)</f>
        <v/>
      </c>
      <c r="BM587" s="39"/>
      <c r="BN587" s="40" t="str">
        <f aca="false">IF(OR(BM587="",CG587=""),"",BM587/CG587*100)</f>
        <v/>
      </c>
      <c r="BO587" s="41" t="str">
        <f aca="false">IF(BN587="","",IFERROR(MATCH(BN587,INDEX(Boundaries!$B$2:$I$30,MATCH(CU587,Boundaries!$A$2:$A$30,0),0),1)-1,""))</f>
        <v/>
      </c>
      <c r="BP587" s="42" t="str">
        <f aca="false">IF(OR(BO587="",$E587=""),"",BO587-$E587)</f>
        <v/>
      </c>
      <c r="BQ587" s="39"/>
      <c r="BR587" s="40" t="str">
        <f aca="false">IF(OR(BQ587="",CH587=""),"",BQ587/CH587*100)</f>
        <v/>
      </c>
      <c r="BS587" s="41" t="str">
        <f aca="false">IF(BR587="","",IFERROR(MATCH(BR587,INDEX(Boundaries!$B$2:$I$30,MATCH(CV587,Boundaries!$A$2:$A$30,0),0),1)-1,""))</f>
        <v/>
      </c>
      <c r="BT587" s="42" t="str">
        <f aca="false">IF(OR(BS587="",$E587=""),"",BS587-$E587)</f>
        <v/>
      </c>
      <c r="BU587" s="28" t="str">
        <f aca="false">IFERROR(INDEX(Assessments!$H$2:$H$600,MATCH($H587&amp;"|"&amp;$I587&amp;"|"&amp;$J587&amp;"|"&amp;1,Assessments!$A$2:$A$600,0)),"")</f>
        <v/>
      </c>
      <c r="BV587" s="28" t="str">
        <f aca="false">IFERROR(INDEX(Assessments!$H$2:$H$600,MATCH($H587&amp;"|"&amp;$I587&amp;"|"&amp;$J587&amp;"|"&amp;2,Assessments!$A$2:$A$600,0)),"")</f>
        <v/>
      </c>
      <c r="BW587" s="28" t="str">
        <f aca="false">IFERROR(INDEX(Assessments!$H$2:$H$600,MATCH($H587&amp;"|"&amp;$I587&amp;"|"&amp;$J587&amp;"|"&amp;3,Assessments!$A$2:$A$600,0)),"")</f>
        <v/>
      </c>
      <c r="BX587" s="28" t="str">
        <f aca="false">IFERROR(INDEX(Assessments!$H$2:$H$600,MATCH($H587&amp;"|"&amp;$I587&amp;"|"&amp;$J587&amp;"|"&amp;4,Assessments!$A$2:$A$600,0)),"")</f>
        <v/>
      </c>
      <c r="BY587" s="28" t="str">
        <f aca="false">IFERROR(INDEX(Assessments!$H$2:$H$600,MATCH($H587&amp;"|"&amp;$I587&amp;"|"&amp;$J587&amp;"|"&amp;5,Assessments!$A$2:$A$600,0)),"")</f>
        <v/>
      </c>
      <c r="BZ587" s="28" t="str">
        <f aca="false">IFERROR(INDEX(Assessments!$H$2:$H$600,MATCH($H587&amp;"|"&amp;$I587&amp;"|"&amp;$J587&amp;"|"&amp;6,Assessments!$A$2:$A$600,0)),"")</f>
        <v/>
      </c>
      <c r="CA587" s="28" t="str">
        <f aca="false">IFERROR(INDEX(Assessments!$H$2:$H$600,MATCH($H587&amp;"|"&amp;$I587&amp;"|"&amp;$J587&amp;"|"&amp;7,Assessments!$A$2:$A$600,0)),"")</f>
        <v/>
      </c>
      <c r="CB587" s="28" t="str">
        <f aca="false">IFERROR(INDEX(Assessments!$H$2:$H$600,MATCH($H587&amp;"|"&amp;$I587&amp;"|"&amp;$J587&amp;"|"&amp;8,Assessments!$A$2:$A$600,0)),"")</f>
        <v/>
      </c>
      <c r="CC587" s="28" t="str">
        <f aca="false">IFERROR(INDEX(Assessments!$H$2:$H$600,MATCH($H587&amp;"|"&amp;$I587&amp;"|"&amp;$J587&amp;"|"&amp;9,Assessments!$A$2:$A$600,0)),"")</f>
        <v/>
      </c>
      <c r="CD587" s="28" t="str">
        <f aca="false">IFERROR(INDEX(Assessments!$H$2:$H$600,MATCH($H587&amp;"|"&amp;$I587&amp;"|"&amp;$J587&amp;"|"&amp;10,Assessments!$A$2:$A$600,0)),"")</f>
        <v/>
      </c>
      <c r="CE587" s="28" t="str">
        <f aca="false">IFERROR(INDEX(Assessments!$H$2:$H$600,MATCH($H587&amp;"|"&amp;$I587&amp;"|"&amp;$J587&amp;"|"&amp;11,Assessments!$A$2:$A$600,0)),"")</f>
        <v/>
      </c>
      <c r="CF587" s="28" t="str">
        <f aca="false">IFERROR(INDEX(Assessments!$H$2:$H$600,MATCH($H587&amp;"|"&amp;$I587&amp;"|"&amp;$J587&amp;"|"&amp;12,Assessments!$A$2:$A$600,0)),"")</f>
        <v/>
      </c>
      <c r="CG587" s="28" t="str">
        <f aca="false">IFERROR(INDEX(Assessments!$H$2:$H$600,MATCH($H587&amp;"|"&amp;$I587&amp;"|"&amp;$J587&amp;"|"&amp;13,Assessments!$A$2:$A$600,0)),"")</f>
        <v/>
      </c>
      <c r="CH587" s="28" t="str">
        <f aca="false">IFERROR(INDEX(Assessments!$H$2:$H$600,MATCH($H587&amp;"|"&amp;$I587&amp;"|"&amp;$J587&amp;"|"&amp;14,Assessments!$A$2:$A$600,0)),"")</f>
        <v/>
      </c>
      <c r="CI587" s="28" t="str">
        <f aca="false">IFERROR(INDEX(Assessments!$I$2:$I$600,MATCH($H587&amp;"|"&amp;$I587&amp;"|"&amp;$J587&amp;"|"&amp;1,Assessments!$A$2:$A$600,0)),"")</f>
        <v/>
      </c>
      <c r="CJ587" s="28" t="str">
        <f aca="false">IFERROR(INDEX(Assessments!$I$2:$I$600,MATCH($H587&amp;"|"&amp;$I587&amp;"|"&amp;$J587&amp;"|"&amp;2,Assessments!$A$2:$A$600,0)),"")</f>
        <v/>
      </c>
      <c r="CK587" s="28" t="str">
        <f aca="false">IFERROR(INDEX(Assessments!$I$2:$I$600,MATCH($H587&amp;"|"&amp;$I587&amp;"|"&amp;$J587&amp;"|"&amp;3,Assessments!$A$2:$A$600,0)),"")</f>
        <v/>
      </c>
      <c r="CL587" s="28" t="str">
        <f aca="false">IFERROR(INDEX(Assessments!$I$2:$I$600,MATCH($H587&amp;"|"&amp;$I587&amp;"|"&amp;$J587&amp;"|"&amp;4,Assessments!$A$2:$A$600,0)),"")</f>
        <v/>
      </c>
      <c r="CM587" s="28" t="str">
        <f aca="false">IFERROR(INDEX(Assessments!$I$2:$I$600,MATCH($H587&amp;"|"&amp;$I587&amp;"|"&amp;$J587&amp;"|"&amp;5,Assessments!$A$2:$A$600,0)),"")</f>
        <v/>
      </c>
      <c r="CN587" s="28" t="str">
        <f aca="false">IFERROR(INDEX(Assessments!$I$2:$I$600,MATCH($H587&amp;"|"&amp;$I587&amp;"|"&amp;$J587&amp;"|"&amp;6,Assessments!$A$2:$A$600,0)),"")</f>
        <v/>
      </c>
      <c r="CO587" s="28" t="str">
        <f aca="false">IFERROR(INDEX(Assessments!$I$2:$I$600,MATCH($H587&amp;"|"&amp;$I587&amp;"|"&amp;$J587&amp;"|"&amp;7,Assessments!$A$2:$A$600,0)),"")</f>
        <v/>
      </c>
      <c r="CP587" s="28" t="str">
        <f aca="false">IFERROR(INDEX(Assessments!$I$2:$I$600,MATCH($H587&amp;"|"&amp;$I587&amp;"|"&amp;$J587&amp;"|"&amp;8,Assessments!$A$2:$A$600,0)),"")</f>
        <v/>
      </c>
      <c r="CQ587" s="28" t="str">
        <f aca="false">IFERROR(INDEX(Assessments!$I$2:$I$600,MATCH($H587&amp;"|"&amp;$I587&amp;"|"&amp;$J587&amp;"|"&amp;9,Assessments!$A$2:$A$600,0)),"")</f>
        <v/>
      </c>
      <c r="CR587" s="28" t="str">
        <f aca="false">IFERROR(INDEX(Assessments!$I$2:$I$600,MATCH($H587&amp;"|"&amp;$I587&amp;"|"&amp;$J587&amp;"|"&amp;10,Assessments!$A$2:$A$600,0)),"")</f>
        <v/>
      </c>
      <c r="CS587" s="28" t="str">
        <f aca="false">IFERROR(INDEX(Assessments!$I$2:$I$600,MATCH($H587&amp;"|"&amp;$I587&amp;"|"&amp;$J587&amp;"|"&amp;11,Assessments!$A$2:$A$600,0)),"")</f>
        <v/>
      </c>
      <c r="CT587" s="28" t="str">
        <f aca="false">IFERROR(INDEX(Assessments!$I$2:$I$600,MATCH($H587&amp;"|"&amp;$I587&amp;"|"&amp;$J587&amp;"|"&amp;12,Assessments!$A$2:$A$600,0)),"")</f>
        <v/>
      </c>
      <c r="CU587" s="28" t="str">
        <f aca="false">IFERROR(INDEX(Assessments!$I$2:$I$600,MATCH($H587&amp;"|"&amp;$I587&amp;"|"&amp;$J587&amp;"|"&amp;13,Assessments!$A$2:$A$600,0)),"")</f>
        <v/>
      </c>
      <c r="CV587" s="28" t="str">
        <f aca="false">IFERROR(INDEX(Assessments!$I$2:$I$600,MATCH($H587&amp;"|"&amp;$I587&amp;"|"&amp;$J587&amp;"|"&amp;14,Assessments!$A$2:$A$600,0)),"")</f>
        <v/>
      </c>
      <c r="CW587" s="28" t="n">
        <f aca="false">IFERROR(INDEX(Assessments!$J$2:$J$600,MATCH($H587&amp;"|"&amp;$I587&amp;"|"&amp;$J587&amp;"|"&amp;1,Assessments!$A$2:$A$600,0)),0)</f>
        <v>0</v>
      </c>
      <c r="CX587" s="28" t="n">
        <f aca="false">IFERROR(INDEX(Assessments!$J$2:$J$600,MATCH($H587&amp;"|"&amp;$I587&amp;"|"&amp;$J587&amp;"|"&amp;2,Assessments!$A$2:$A$600,0)),0)</f>
        <v>0</v>
      </c>
      <c r="CY587" s="28" t="n">
        <f aca="false">IFERROR(INDEX(Assessments!$J$2:$J$600,MATCH($H587&amp;"|"&amp;$I587&amp;"|"&amp;$J587&amp;"|"&amp;3,Assessments!$A$2:$A$600,0)),0)</f>
        <v>0</v>
      </c>
      <c r="CZ587" s="28" t="n">
        <f aca="false">IFERROR(INDEX(Assessments!$J$2:$J$600,MATCH($H587&amp;"|"&amp;$I587&amp;"|"&amp;$J587&amp;"|"&amp;4,Assessments!$A$2:$A$600,0)),0)</f>
        <v>0</v>
      </c>
      <c r="DA587" s="28" t="n">
        <f aca="false">IFERROR(INDEX(Assessments!$J$2:$J$600,MATCH($H587&amp;"|"&amp;$I587&amp;"|"&amp;$J587&amp;"|"&amp;5,Assessments!$A$2:$A$600,0)),0)</f>
        <v>0</v>
      </c>
      <c r="DB587" s="28" t="n">
        <f aca="false">IFERROR(INDEX(Assessments!$J$2:$J$600,MATCH($H587&amp;"|"&amp;$I587&amp;"|"&amp;$J587&amp;"|"&amp;6,Assessments!$A$2:$A$600,0)),0)</f>
        <v>0</v>
      </c>
      <c r="DC587" s="28" t="n">
        <f aca="false">IFERROR(INDEX(Assessments!$J$2:$J$600,MATCH($H587&amp;"|"&amp;$I587&amp;"|"&amp;$J587&amp;"|"&amp;7,Assessments!$A$2:$A$600,0)),0)</f>
        <v>0</v>
      </c>
      <c r="DD587" s="28" t="n">
        <f aca="false">IFERROR(INDEX(Assessments!$J$2:$J$600,MATCH($H587&amp;"|"&amp;$I587&amp;"|"&amp;$J587&amp;"|"&amp;8,Assessments!$A$2:$A$600,0)),0)</f>
        <v>0</v>
      </c>
      <c r="DE587" s="28" t="n">
        <f aca="false">IFERROR(INDEX(Assessments!$J$2:$J$600,MATCH($H587&amp;"|"&amp;$I587&amp;"|"&amp;$J587&amp;"|"&amp;9,Assessments!$A$2:$A$600,0)),0)</f>
        <v>0</v>
      </c>
      <c r="DF587" s="28" t="n">
        <f aca="false">IFERROR(INDEX(Assessments!$J$2:$J$600,MATCH($H587&amp;"|"&amp;$I587&amp;"|"&amp;$J587&amp;"|"&amp;10,Assessments!$A$2:$A$600,0)),0)</f>
        <v>0</v>
      </c>
      <c r="DG587" s="28" t="n">
        <f aca="false">IFERROR(INDEX(Assessments!$J$2:$J$600,MATCH($H587&amp;"|"&amp;$I587&amp;"|"&amp;$J587&amp;"|"&amp;11,Assessments!$A$2:$A$600,0)),0)</f>
        <v>0</v>
      </c>
      <c r="DH587" s="28" t="n">
        <f aca="false">IFERROR(INDEX(Assessments!$J$2:$J$600,MATCH($H587&amp;"|"&amp;$I587&amp;"|"&amp;$J587&amp;"|"&amp;12,Assessments!$A$2:$A$600,0)),0)</f>
        <v>0</v>
      </c>
      <c r="DI587" s="28" t="n">
        <f aca="false">IFERROR(INDEX(Assessments!$J$2:$J$600,MATCH($H587&amp;"|"&amp;$I587&amp;"|"&amp;$J587&amp;"|"&amp;13,Assessments!$A$2:$A$600,0)),0)</f>
        <v>0</v>
      </c>
      <c r="DJ587" s="28" t="n">
        <f aca="false">IFERROR(INDEX(Assessments!$J$2:$J$600,MATCH($H587&amp;"|"&amp;$I587&amp;"|"&amp;$J587&amp;"|"&amp;14,Assessments!$A$2:$A$600,0)),0)</f>
        <v>0</v>
      </c>
      <c r="DK587" s="28" t="str">
        <f aca="false">S587</f>
        <v/>
      </c>
      <c r="DL587" s="28" t="str">
        <f aca="false">W587</f>
        <v/>
      </c>
      <c r="DM587" s="28" t="str">
        <f aca="false">AA587</f>
        <v/>
      </c>
      <c r="DN587" s="28" t="str">
        <f aca="false">AE587</f>
        <v/>
      </c>
      <c r="DO587" s="28" t="str">
        <f aca="false">AI587</f>
        <v/>
      </c>
      <c r="DP587" s="28" t="str">
        <f aca="false">AM587</f>
        <v/>
      </c>
      <c r="DQ587" s="28" t="str">
        <f aca="false">AQ587</f>
        <v/>
      </c>
      <c r="DR587" s="28" t="str">
        <f aca="false">AU587</f>
        <v/>
      </c>
      <c r="DS587" s="28" t="str">
        <f aca="false">AY587</f>
        <v/>
      </c>
      <c r="DT587" s="28" t="str">
        <f aca="false">BC587</f>
        <v/>
      </c>
      <c r="DU587" s="28" t="str">
        <f aca="false">BG587</f>
        <v/>
      </c>
      <c r="DV587" s="28" t="str">
        <f aca="false">BK587</f>
        <v/>
      </c>
      <c r="DW587" s="28" t="str">
        <f aca="false">BO587</f>
        <v/>
      </c>
      <c r="DX587" s="28" t="str">
        <f aca="false">BS587</f>
        <v/>
      </c>
      <c r="DY587" s="28" t="str">
        <f aca="false">IF(ISNUMBER(S587),1,"")</f>
        <v/>
      </c>
      <c r="DZ587" s="28" t="str">
        <f aca="false">IF(ISNUMBER(W587),2,"")</f>
        <v/>
      </c>
      <c r="EA587" s="28" t="str">
        <f aca="false">IF(ISNUMBER(AA587),3,"")</f>
        <v/>
      </c>
      <c r="EB587" s="28" t="str">
        <f aca="false">IF(ISNUMBER(AE587),4,"")</f>
        <v/>
      </c>
      <c r="EC587" s="28" t="str">
        <f aca="false">IF(ISNUMBER(AI587),5,"")</f>
        <v/>
      </c>
      <c r="ED587" s="28" t="str">
        <f aca="false">IF(ISNUMBER(AM587),6,"")</f>
        <v/>
      </c>
      <c r="EE587" s="28" t="str">
        <f aca="false">IF(ISNUMBER(AQ587),7,"")</f>
        <v/>
      </c>
      <c r="EF587" s="28" t="str">
        <f aca="false">IF(ISNUMBER(AU587),8,"")</f>
        <v/>
      </c>
      <c r="EG587" s="28" t="str">
        <f aca="false">IF(ISNUMBER(AY587),9,"")</f>
        <v/>
      </c>
      <c r="EH587" s="28" t="str">
        <f aca="false">IF(ISNUMBER(BC587),10,"")</f>
        <v/>
      </c>
      <c r="EI587" s="28" t="str">
        <f aca="false">IF(ISNUMBER(BG587),11,"")</f>
        <v/>
      </c>
      <c r="EJ587" s="28" t="str">
        <f aca="false">IF(ISNUMBER(BK587),12,"")</f>
        <v/>
      </c>
      <c r="EK587" s="28" t="str">
        <f aca="false">IF(ISNUMBER(BO587),13,"")</f>
        <v/>
      </c>
      <c r="EL587" s="28" t="str">
        <f aca="false">IF(ISNUMBER(BS587),14,"")</f>
        <v/>
      </c>
      <c r="EM587" s="28" t="n">
        <f aca="false">IF(ISNUMBER(R587),R587*CW587,0)</f>
        <v>0</v>
      </c>
      <c r="EN587" s="28" t="n">
        <f aca="false">IF(ISNUMBER(V587),V587*CX587,0)</f>
        <v>0</v>
      </c>
      <c r="EO587" s="28" t="n">
        <f aca="false">IF(ISNUMBER(Z587),Z587*CY587,0)</f>
        <v>0</v>
      </c>
      <c r="EP587" s="28" t="n">
        <f aca="false">IF(ISNUMBER(AD587),AD587*CZ587,0)</f>
        <v>0</v>
      </c>
      <c r="EQ587" s="28" t="n">
        <f aca="false">IF(ISNUMBER(AH587),AH587*DA587,0)</f>
        <v>0</v>
      </c>
      <c r="ER587" s="28" t="n">
        <f aca="false">IF(ISNUMBER(AL587),AL587*DB587,0)</f>
        <v>0</v>
      </c>
      <c r="ES587" s="28" t="n">
        <f aca="false">IF(ISNUMBER(AP587),AP587*DC587,0)</f>
        <v>0</v>
      </c>
      <c r="ET587" s="28" t="n">
        <f aca="false">IF(ISNUMBER(AT587),AT587*DD587,0)</f>
        <v>0</v>
      </c>
      <c r="EU587" s="28" t="n">
        <f aca="false">IF(ISNUMBER(AX587),AX587*DE587,0)</f>
        <v>0</v>
      </c>
      <c r="EV587" s="28" t="n">
        <f aca="false">IF(ISNUMBER(BB587),BB587*DF587,0)</f>
        <v>0</v>
      </c>
      <c r="EW587" s="28" t="n">
        <f aca="false">IF(ISNUMBER(BF587),BF587*DG587,0)</f>
        <v>0</v>
      </c>
      <c r="EX587" s="28" t="n">
        <f aca="false">IF(ISNUMBER(BJ587),BJ587*DH587,0)</f>
        <v>0</v>
      </c>
      <c r="EY587" s="28" t="n">
        <f aca="false">IF(ISNUMBER(BN587),BN587*DI587,0)</f>
        <v>0</v>
      </c>
      <c r="EZ587" s="28" t="n">
        <f aca="false">IF(ISNUMBER(BR587),BR587*DJ587,0)</f>
        <v>0</v>
      </c>
      <c r="FA587" s="28" t="n">
        <f aca="false">IF(ISNUMBER(R587),CW587,0)</f>
        <v>0</v>
      </c>
      <c r="FB587" s="28" t="n">
        <f aca="false">IF(ISNUMBER(V587),CX587,0)</f>
        <v>0</v>
      </c>
      <c r="FC587" s="28" t="n">
        <f aca="false">IF(ISNUMBER(Z587),CY587,0)</f>
        <v>0</v>
      </c>
      <c r="FD587" s="28" t="n">
        <f aca="false">IF(ISNUMBER(AD587),CZ587,0)</f>
        <v>0</v>
      </c>
      <c r="FE587" s="28" t="n">
        <f aca="false">IF(ISNUMBER(AH587),DA587,0)</f>
        <v>0</v>
      </c>
      <c r="FF587" s="28" t="n">
        <f aca="false">IF(ISNUMBER(AL587),DB587,0)</f>
        <v>0</v>
      </c>
      <c r="FG587" s="28" t="n">
        <f aca="false">IF(ISNUMBER(AP587),DC587,0)</f>
        <v>0</v>
      </c>
      <c r="FH587" s="28" t="n">
        <f aca="false">IF(ISNUMBER(AT587),DD587,0)</f>
        <v>0</v>
      </c>
      <c r="FI587" s="28" t="n">
        <f aca="false">IF(ISNUMBER(AX587),DE587,0)</f>
        <v>0</v>
      </c>
      <c r="FJ587" s="28" t="n">
        <f aca="false">IF(ISNUMBER(BB587),DF587,0)</f>
        <v>0</v>
      </c>
      <c r="FK587" s="28" t="n">
        <f aca="false">IF(ISNUMBER(BF587),DG587,0)</f>
        <v>0</v>
      </c>
      <c r="FL587" s="28" t="n">
        <f aca="false">IF(ISNUMBER(BJ587),DH587,0)</f>
        <v>0</v>
      </c>
      <c r="FM587" s="28" t="n">
        <f aca="false">IF(ISNUMBER(BN587),DI587,0)</f>
        <v>0</v>
      </c>
      <c r="FN587" s="28" t="n">
        <f aca="false">IF(ISNUMBER(BR587),DJ587,0)</f>
        <v>0</v>
      </c>
      <c r="FO587" s="28" t="str">
        <f aca="false">IFERROR(INDEX(Lists!$G$2:$G$20,MATCH($I587&amp;"|"&amp;$J587,Lists!$F$2:$F$20,0)),"")</f>
        <v/>
      </c>
    </row>
    <row r="588" customFormat="false" ht="19.5" hidden="false" customHeight="true" outlineLevel="0" collapsed="false">
      <c r="A588" s="29"/>
      <c r="B588" s="29"/>
      <c r="C588" s="30"/>
      <c r="D588" s="30"/>
      <c r="E588" s="31"/>
      <c r="F588" s="30"/>
      <c r="G588" s="30"/>
      <c r="H588" s="32"/>
      <c r="I588" s="33"/>
      <c r="J588" s="32"/>
      <c r="K588" s="34" t="str">
        <f aca="false">IF(OR(M588="",$E588=""),"",M588-$E588)</f>
        <v/>
      </c>
      <c r="L588" s="35" t="str">
        <f aca="false">IF(SUM(FA588:FN588)=0,"",SUM(EM588:EZ588)/SUM(FA588:FN588))</f>
        <v/>
      </c>
      <c r="M588" s="36" t="str">
        <f aca="false">IF(OR(L588="",FO588=""),"",IFERROR(MATCH(L588,INDEX(Boundaries!$B$2:$I$30,MATCH(FO588,Boundaries!$A$2:$A$30,0),0),1)-1,""))</f>
        <v/>
      </c>
      <c r="N588" s="37" t="str">
        <f aca="false">IF(COUNT($DY588:$EL588)&lt;2,"",INDEX($DK588:$DX588,MAX($DY588:$EL588))-INDEX($DK588:$DX588,MIN($DY588:$EL588)))</f>
        <v/>
      </c>
      <c r="O588" s="37" t="str">
        <f aca="false">IF(COUNT($DY588:$EL588)&lt;2,"",INDEX($DK588:$DX588,MAX($DY588:$EL588))-INDEX($DK588:$DX588,LARGE($DY588:$EL588,2)))</f>
        <v/>
      </c>
      <c r="P588" s="38" t="str">
        <f aca="false">IF(K588="","",IF(K588&gt;=0,"On/above target",IF(AND(N588&lt;&gt;"",N588&gt;=0.5),"Improving towards target",IF(AND(O588&lt;&gt;"",O588&lt;=-0.5),"Declining","Stable below target"))))</f>
        <v/>
      </c>
      <c r="Q588" s="39"/>
      <c r="R588" s="40" t="str">
        <f aca="false">IF(OR(Q588="",BU588=""),"",Q588/BU588*100)</f>
        <v/>
      </c>
      <c r="S588" s="41" t="str">
        <f aca="false">IF(R588="","",IFERROR(MATCH(R588,INDEX(Boundaries!$B$2:$I$30,MATCH(CI588,Boundaries!$A$2:$A$30,0),0),1)-1,""))</f>
        <v/>
      </c>
      <c r="T588" s="42" t="str">
        <f aca="false">IF(OR(S588="",$E588=""),"",S588-$E588)</f>
        <v/>
      </c>
      <c r="U588" s="39"/>
      <c r="V588" s="40" t="str">
        <f aca="false">IF(OR(U588="",BV588=""),"",U588/BV588*100)</f>
        <v/>
      </c>
      <c r="W588" s="41" t="str">
        <f aca="false">IF(V588="","",IFERROR(MATCH(V588,INDEX(Boundaries!$B$2:$I$30,MATCH(CJ588,Boundaries!$A$2:$A$30,0),0),1)-1,""))</f>
        <v/>
      </c>
      <c r="X588" s="42" t="str">
        <f aca="false">IF(OR(W588="",$E588=""),"",W588-$E588)</f>
        <v/>
      </c>
      <c r="Y588" s="39"/>
      <c r="Z588" s="40" t="str">
        <f aca="false">IF(OR(Y588="",BW588=""),"",Y588/BW588*100)</f>
        <v/>
      </c>
      <c r="AA588" s="41" t="str">
        <f aca="false">IF(Z588="","",IFERROR(MATCH(Z588,INDEX(Boundaries!$B$2:$I$30,MATCH(CK588,Boundaries!$A$2:$A$30,0),0),1)-1,""))</f>
        <v/>
      </c>
      <c r="AB588" s="42" t="str">
        <f aca="false">IF(OR(AA588="",$E588=""),"",AA588-$E588)</f>
        <v/>
      </c>
      <c r="AC588" s="39"/>
      <c r="AD588" s="40" t="str">
        <f aca="false">IF(OR(AC588="",BX588=""),"",AC588/BX588*100)</f>
        <v/>
      </c>
      <c r="AE588" s="41" t="str">
        <f aca="false">IF(AD588="","",IFERROR(MATCH(AD588,INDEX(Boundaries!$B$2:$I$30,MATCH(CL588,Boundaries!$A$2:$A$30,0),0),1)-1,""))</f>
        <v/>
      </c>
      <c r="AF588" s="42" t="str">
        <f aca="false">IF(OR(AE588="",$E588=""),"",AE588-$E588)</f>
        <v/>
      </c>
      <c r="AG588" s="39"/>
      <c r="AH588" s="40" t="str">
        <f aca="false">IF(OR(AG588="",BY588=""),"",AG588/BY588*100)</f>
        <v/>
      </c>
      <c r="AI588" s="41" t="str">
        <f aca="false">IF(AH588="","",IFERROR(MATCH(AH588,INDEX(Boundaries!$B$2:$I$30,MATCH(CM588,Boundaries!$A$2:$A$30,0),0),1)-1,""))</f>
        <v/>
      </c>
      <c r="AJ588" s="42" t="str">
        <f aca="false">IF(OR(AI588="",$E588=""),"",AI588-$E588)</f>
        <v/>
      </c>
      <c r="AK588" s="39"/>
      <c r="AL588" s="40" t="str">
        <f aca="false">IF(OR(AK588="",BZ588=""),"",AK588/BZ588*100)</f>
        <v/>
      </c>
      <c r="AM588" s="41" t="str">
        <f aca="false">IF(AL588="","",IFERROR(MATCH(AL588,INDEX(Boundaries!$B$2:$I$30,MATCH(CN588,Boundaries!$A$2:$A$30,0),0),1)-1,""))</f>
        <v/>
      </c>
      <c r="AN588" s="42" t="str">
        <f aca="false">IF(OR(AM588="",$E588=""),"",AM588-$E588)</f>
        <v/>
      </c>
      <c r="AO588" s="39"/>
      <c r="AP588" s="40" t="str">
        <f aca="false">IF(OR(AO588="",CA588=""),"",AO588/CA588*100)</f>
        <v/>
      </c>
      <c r="AQ588" s="41" t="str">
        <f aca="false">IF(AP588="","",IFERROR(MATCH(AP588,INDEX(Boundaries!$B$2:$I$30,MATCH(CO588,Boundaries!$A$2:$A$30,0),0),1)-1,""))</f>
        <v/>
      </c>
      <c r="AR588" s="42" t="str">
        <f aca="false">IF(OR(AQ588="",$E588=""),"",AQ588-$E588)</f>
        <v/>
      </c>
      <c r="AS588" s="39"/>
      <c r="AT588" s="40" t="str">
        <f aca="false">IF(OR(AS588="",CB588=""),"",AS588/CB588*100)</f>
        <v/>
      </c>
      <c r="AU588" s="41" t="str">
        <f aca="false">IF(AT588="","",IFERROR(MATCH(AT588,INDEX(Boundaries!$B$2:$I$30,MATCH(CP588,Boundaries!$A$2:$A$30,0),0),1)-1,""))</f>
        <v/>
      </c>
      <c r="AV588" s="42" t="str">
        <f aca="false">IF(OR(AU588="",$E588=""),"",AU588-$E588)</f>
        <v/>
      </c>
      <c r="AW588" s="39"/>
      <c r="AX588" s="40" t="str">
        <f aca="false">IF(OR(AW588="",CC588=""),"",AW588/CC588*100)</f>
        <v/>
      </c>
      <c r="AY588" s="41" t="str">
        <f aca="false">IF(AX588="","",IFERROR(MATCH(AX588,INDEX(Boundaries!$B$2:$I$30,MATCH(CQ588,Boundaries!$A$2:$A$30,0),0),1)-1,""))</f>
        <v/>
      </c>
      <c r="AZ588" s="42" t="str">
        <f aca="false">IF(OR(AY588="",$E588=""),"",AY588-$E588)</f>
        <v/>
      </c>
      <c r="BA588" s="39"/>
      <c r="BB588" s="40" t="str">
        <f aca="false">IF(OR(BA588="",CD588=""),"",BA588/CD588*100)</f>
        <v/>
      </c>
      <c r="BC588" s="41" t="str">
        <f aca="false">IF(BB588="","",IFERROR(MATCH(BB588,INDEX(Boundaries!$B$2:$I$30,MATCH(CR588,Boundaries!$A$2:$A$30,0),0),1)-1,""))</f>
        <v/>
      </c>
      <c r="BD588" s="42" t="str">
        <f aca="false">IF(OR(BC588="",$E588=""),"",BC588-$E588)</f>
        <v/>
      </c>
      <c r="BE588" s="39"/>
      <c r="BF588" s="40" t="str">
        <f aca="false">IF(OR(BE588="",CE588=""),"",BE588/CE588*100)</f>
        <v/>
      </c>
      <c r="BG588" s="41" t="str">
        <f aca="false">IF(BF588="","",IFERROR(MATCH(BF588,INDEX(Boundaries!$B$2:$I$30,MATCH(CS588,Boundaries!$A$2:$A$30,0),0),1)-1,""))</f>
        <v/>
      </c>
      <c r="BH588" s="42" t="str">
        <f aca="false">IF(OR(BG588="",$E588=""),"",BG588-$E588)</f>
        <v/>
      </c>
      <c r="BI588" s="39"/>
      <c r="BJ588" s="40" t="str">
        <f aca="false">IF(OR(BI588="",CF588=""),"",BI588/CF588*100)</f>
        <v/>
      </c>
      <c r="BK588" s="41" t="str">
        <f aca="false">IF(BJ588="","",IFERROR(MATCH(BJ588,INDEX(Boundaries!$B$2:$I$30,MATCH(CT588,Boundaries!$A$2:$A$30,0),0),1)-1,""))</f>
        <v/>
      </c>
      <c r="BL588" s="42" t="str">
        <f aca="false">IF(OR(BK588="",$E588=""),"",BK588-$E588)</f>
        <v/>
      </c>
      <c r="BM588" s="39"/>
      <c r="BN588" s="40" t="str">
        <f aca="false">IF(OR(BM588="",CG588=""),"",BM588/CG588*100)</f>
        <v/>
      </c>
      <c r="BO588" s="41" t="str">
        <f aca="false">IF(BN588="","",IFERROR(MATCH(BN588,INDEX(Boundaries!$B$2:$I$30,MATCH(CU588,Boundaries!$A$2:$A$30,0),0),1)-1,""))</f>
        <v/>
      </c>
      <c r="BP588" s="42" t="str">
        <f aca="false">IF(OR(BO588="",$E588=""),"",BO588-$E588)</f>
        <v/>
      </c>
      <c r="BQ588" s="39"/>
      <c r="BR588" s="40" t="str">
        <f aca="false">IF(OR(BQ588="",CH588=""),"",BQ588/CH588*100)</f>
        <v/>
      </c>
      <c r="BS588" s="41" t="str">
        <f aca="false">IF(BR588="","",IFERROR(MATCH(BR588,INDEX(Boundaries!$B$2:$I$30,MATCH(CV588,Boundaries!$A$2:$A$30,0),0),1)-1,""))</f>
        <v/>
      </c>
      <c r="BT588" s="42" t="str">
        <f aca="false">IF(OR(BS588="",$E588=""),"",BS588-$E588)</f>
        <v/>
      </c>
      <c r="BU588" s="28" t="str">
        <f aca="false">IFERROR(INDEX(Assessments!$H$2:$H$600,MATCH($H588&amp;"|"&amp;$I588&amp;"|"&amp;$J588&amp;"|"&amp;1,Assessments!$A$2:$A$600,0)),"")</f>
        <v/>
      </c>
      <c r="BV588" s="28" t="str">
        <f aca="false">IFERROR(INDEX(Assessments!$H$2:$H$600,MATCH($H588&amp;"|"&amp;$I588&amp;"|"&amp;$J588&amp;"|"&amp;2,Assessments!$A$2:$A$600,0)),"")</f>
        <v/>
      </c>
      <c r="BW588" s="28" t="str">
        <f aca="false">IFERROR(INDEX(Assessments!$H$2:$H$600,MATCH($H588&amp;"|"&amp;$I588&amp;"|"&amp;$J588&amp;"|"&amp;3,Assessments!$A$2:$A$600,0)),"")</f>
        <v/>
      </c>
      <c r="BX588" s="28" t="str">
        <f aca="false">IFERROR(INDEX(Assessments!$H$2:$H$600,MATCH($H588&amp;"|"&amp;$I588&amp;"|"&amp;$J588&amp;"|"&amp;4,Assessments!$A$2:$A$600,0)),"")</f>
        <v/>
      </c>
      <c r="BY588" s="28" t="str">
        <f aca="false">IFERROR(INDEX(Assessments!$H$2:$H$600,MATCH($H588&amp;"|"&amp;$I588&amp;"|"&amp;$J588&amp;"|"&amp;5,Assessments!$A$2:$A$600,0)),"")</f>
        <v/>
      </c>
      <c r="BZ588" s="28" t="str">
        <f aca="false">IFERROR(INDEX(Assessments!$H$2:$H$600,MATCH($H588&amp;"|"&amp;$I588&amp;"|"&amp;$J588&amp;"|"&amp;6,Assessments!$A$2:$A$600,0)),"")</f>
        <v/>
      </c>
      <c r="CA588" s="28" t="str">
        <f aca="false">IFERROR(INDEX(Assessments!$H$2:$H$600,MATCH($H588&amp;"|"&amp;$I588&amp;"|"&amp;$J588&amp;"|"&amp;7,Assessments!$A$2:$A$600,0)),"")</f>
        <v/>
      </c>
      <c r="CB588" s="28" t="str">
        <f aca="false">IFERROR(INDEX(Assessments!$H$2:$H$600,MATCH($H588&amp;"|"&amp;$I588&amp;"|"&amp;$J588&amp;"|"&amp;8,Assessments!$A$2:$A$600,0)),"")</f>
        <v/>
      </c>
      <c r="CC588" s="28" t="str">
        <f aca="false">IFERROR(INDEX(Assessments!$H$2:$H$600,MATCH($H588&amp;"|"&amp;$I588&amp;"|"&amp;$J588&amp;"|"&amp;9,Assessments!$A$2:$A$600,0)),"")</f>
        <v/>
      </c>
      <c r="CD588" s="28" t="str">
        <f aca="false">IFERROR(INDEX(Assessments!$H$2:$H$600,MATCH($H588&amp;"|"&amp;$I588&amp;"|"&amp;$J588&amp;"|"&amp;10,Assessments!$A$2:$A$600,0)),"")</f>
        <v/>
      </c>
      <c r="CE588" s="28" t="str">
        <f aca="false">IFERROR(INDEX(Assessments!$H$2:$H$600,MATCH($H588&amp;"|"&amp;$I588&amp;"|"&amp;$J588&amp;"|"&amp;11,Assessments!$A$2:$A$600,0)),"")</f>
        <v/>
      </c>
      <c r="CF588" s="28" t="str">
        <f aca="false">IFERROR(INDEX(Assessments!$H$2:$H$600,MATCH($H588&amp;"|"&amp;$I588&amp;"|"&amp;$J588&amp;"|"&amp;12,Assessments!$A$2:$A$600,0)),"")</f>
        <v/>
      </c>
      <c r="CG588" s="28" t="str">
        <f aca="false">IFERROR(INDEX(Assessments!$H$2:$H$600,MATCH($H588&amp;"|"&amp;$I588&amp;"|"&amp;$J588&amp;"|"&amp;13,Assessments!$A$2:$A$600,0)),"")</f>
        <v/>
      </c>
      <c r="CH588" s="28" t="str">
        <f aca="false">IFERROR(INDEX(Assessments!$H$2:$H$600,MATCH($H588&amp;"|"&amp;$I588&amp;"|"&amp;$J588&amp;"|"&amp;14,Assessments!$A$2:$A$600,0)),"")</f>
        <v/>
      </c>
      <c r="CI588" s="28" t="str">
        <f aca="false">IFERROR(INDEX(Assessments!$I$2:$I$600,MATCH($H588&amp;"|"&amp;$I588&amp;"|"&amp;$J588&amp;"|"&amp;1,Assessments!$A$2:$A$600,0)),"")</f>
        <v/>
      </c>
      <c r="CJ588" s="28" t="str">
        <f aca="false">IFERROR(INDEX(Assessments!$I$2:$I$600,MATCH($H588&amp;"|"&amp;$I588&amp;"|"&amp;$J588&amp;"|"&amp;2,Assessments!$A$2:$A$600,0)),"")</f>
        <v/>
      </c>
      <c r="CK588" s="28" t="str">
        <f aca="false">IFERROR(INDEX(Assessments!$I$2:$I$600,MATCH($H588&amp;"|"&amp;$I588&amp;"|"&amp;$J588&amp;"|"&amp;3,Assessments!$A$2:$A$600,0)),"")</f>
        <v/>
      </c>
      <c r="CL588" s="28" t="str">
        <f aca="false">IFERROR(INDEX(Assessments!$I$2:$I$600,MATCH($H588&amp;"|"&amp;$I588&amp;"|"&amp;$J588&amp;"|"&amp;4,Assessments!$A$2:$A$600,0)),"")</f>
        <v/>
      </c>
      <c r="CM588" s="28" t="str">
        <f aca="false">IFERROR(INDEX(Assessments!$I$2:$I$600,MATCH($H588&amp;"|"&amp;$I588&amp;"|"&amp;$J588&amp;"|"&amp;5,Assessments!$A$2:$A$600,0)),"")</f>
        <v/>
      </c>
      <c r="CN588" s="28" t="str">
        <f aca="false">IFERROR(INDEX(Assessments!$I$2:$I$600,MATCH($H588&amp;"|"&amp;$I588&amp;"|"&amp;$J588&amp;"|"&amp;6,Assessments!$A$2:$A$600,0)),"")</f>
        <v/>
      </c>
      <c r="CO588" s="28" t="str">
        <f aca="false">IFERROR(INDEX(Assessments!$I$2:$I$600,MATCH($H588&amp;"|"&amp;$I588&amp;"|"&amp;$J588&amp;"|"&amp;7,Assessments!$A$2:$A$600,0)),"")</f>
        <v/>
      </c>
      <c r="CP588" s="28" t="str">
        <f aca="false">IFERROR(INDEX(Assessments!$I$2:$I$600,MATCH($H588&amp;"|"&amp;$I588&amp;"|"&amp;$J588&amp;"|"&amp;8,Assessments!$A$2:$A$600,0)),"")</f>
        <v/>
      </c>
      <c r="CQ588" s="28" t="str">
        <f aca="false">IFERROR(INDEX(Assessments!$I$2:$I$600,MATCH($H588&amp;"|"&amp;$I588&amp;"|"&amp;$J588&amp;"|"&amp;9,Assessments!$A$2:$A$600,0)),"")</f>
        <v/>
      </c>
      <c r="CR588" s="28" t="str">
        <f aca="false">IFERROR(INDEX(Assessments!$I$2:$I$600,MATCH($H588&amp;"|"&amp;$I588&amp;"|"&amp;$J588&amp;"|"&amp;10,Assessments!$A$2:$A$600,0)),"")</f>
        <v/>
      </c>
      <c r="CS588" s="28" t="str">
        <f aca="false">IFERROR(INDEX(Assessments!$I$2:$I$600,MATCH($H588&amp;"|"&amp;$I588&amp;"|"&amp;$J588&amp;"|"&amp;11,Assessments!$A$2:$A$600,0)),"")</f>
        <v/>
      </c>
      <c r="CT588" s="28" t="str">
        <f aca="false">IFERROR(INDEX(Assessments!$I$2:$I$600,MATCH($H588&amp;"|"&amp;$I588&amp;"|"&amp;$J588&amp;"|"&amp;12,Assessments!$A$2:$A$600,0)),"")</f>
        <v/>
      </c>
      <c r="CU588" s="28" t="str">
        <f aca="false">IFERROR(INDEX(Assessments!$I$2:$I$600,MATCH($H588&amp;"|"&amp;$I588&amp;"|"&amp;$J588&amp;"|"&amp;13,Assessments!$A$2:$A$600,0)),"")</f>
        <v/>
      </c>
      <c r="CV588" s="28" t="str">
        <f aca="false">IFERROR(INDEX(Assessments!$I$2:$I$600,MATCH($H588&amp;"|"&amp;$I588&amp;"|"&amp;$J588&amp;"|"&amp;14,Assessments!$A$2:$A$600,0)),"")</f>
        <v/>
      </c>
      <c r="CW588" s="28" t="n">
        <f aca="false">IFERROR(INDEX(Assessments!$J$2:$J$600,MATCH($H588&amp;"|"&amp;$I588&amp;"|"&amp;$J588&amp;"|"&amp;1,Assessments!$A$2:$A$600,0)),0)</f>
        <v>0</v>
      </c>
      <c r="CX588" s="28" t="n">
        <f aca="false">IFERROR(INDEX(Assessments!$J$2:$J$600,MATCH($H588&amp;"|"&amp;$I588&amp;"|"&amp;$J588&amp;"|"&amp;2,Assessments!$A$2:$A$600,0)),0)</f>
        <v>0</v>
      </c>
      <c r="CY588" s="28" t="n">
        <f aca="false">IFERROR(INDEX(Assessments!$J$2:$J$600,MATCH($H588&amp;"|"&amp;$I588&amp;"|"&amp;$J588&amp;"|"&amp;3,Assessments!$A$2:$A$600,0)),0)</f>
        <v>0</v>
      </c>
      <c r="CZ588" s="28" t="n">
        <f aca="false">IFERROR(INDEX(Assessments!$J$2:$J$600,MATCH($H588&amp;"|"&amp;$I588&amp;"|"&amp;$J588&amp;"|"&amp;4,Assessments!$A$2:$A$600,0)),0)</f>
        <v>0</v>
      </c>
      <c r="DA588" s="28" t="n">
        <f aca="false">IFERROR(INDEX(Assessments!$J$2:$J$600,MATCH($H588&amp;"|"&amp;$I588&amp;"|"&amp;$J588&amp;"|"&amp;5,Assessments!$A$2:$A$600,0)),0)</f>
        <v>0</v>
      </c>
      <c r="DB588" s="28" t="n">
        <f aca="false">IFERROR(INDEX(Assessments!$J$2:$J$600,MATCH($H588&amp;"|"&amp;$I588&amp;"|"&amp;$J588&amp;"|"&amp;6,Assessments!$A$2:$A$600,0)),0)</f>
        <v>0</v>
      </c>
      <c r="DC588" s="28" t="n">
        <f aca="false">IFERROR(INDEX(Assessments!$J$2:$J$600,MATCH($H588&amp;"|"&amp;$I588&amp;"|"&amp;$J588&amp;"|"&amp;7,Assessments!$A$2:$A$600,0)),0)</f>
        <v>0</v>
      </c>
      <c r="DD588" s="28" t="n">
        <f aca="false">IFERROR(INDEX(Assessments!$J$2:$J$600,MATCH($H588&amp;"|"&amp;$I588&amp;"|"&amp;$J588&amp;"|"&amp;8,Assessments!$A$2:$A$600,0)),0)</f>
        <v>0</v>
      </c>
      <c r="DE588" s="28" t="n">
        <f aca="false">IFERROR(INDEX(Assessments!$J$2:$J$600,MATCH($H588&amp;"|"&amp;$I588&amp;"|"&amp;$J588&amp;"|"&amp;9,Assessments!$A$2:$A$600,0)),0)</f>
        <v>0</v>
      </c>
      <c r="DF588" s="28" t="n">
        <f aca="false">IFERROR(INDEX(Assessments!$J$2:$J$600,MATCH($H588&amp;"|"&amp;$I588&amp;"|"&amp;$J588&amp;"|"&amp;10,Assessments!$A$2:$A$600,0)),0)</f>
        <v>0</v>
      </c>
      <c r="DG588" s="28" t="n">
        <f aca="false">IFERROR(INDEX(Assessments!$J$2:$J$600,MATCH($H588&amp;"|"&amp;$I588&amp;"|"&amp;$J588&amp;"|"&amp;11,Assessments!$A$2:$A$600,0)),0)</f>
        <v>0</v>
      </c>
      <c r="DH588" s="28" t="n">
        <f aca="false">IFERROR(INDEX(Assessments!$J$2:$J$600,MATCH($H588&amp;"|"&amp;$I588&amp;"|"&amp;$J588&amp;"|"&amp;12,Assessments!$A$2:$A$600,0)),0)</f>
        <v>0</v>
      </c>
      <c r="DI588" s="28" t="n">
        <f aca="false">IFERROR(INDEX(Assessments!$J$2:$J$600,MATCH($H588&amp;"|"&amp;$I588&amp;"|"&amp;$J588&amp;"|"&amp;13,Assessments!$A$2:$A$600,0)),0)</f>
        <v>0</v>
      </c>
      <c r="DJ588" s="28" t="n">
        <f aca="false">IFERROR(INDEX(Assessments!$J$2:$J$600,MATCH($H588&amp;"|"&amp;$I588&amp;"|"&amp;$J588&amp;"|"&amp;14,Assessments!$A$2:$A$600,0)),0)</f>
        <v>0</v>
      </c>
      <c r="DK588" s="28" t="str">
        <f aca="false">S588</f>
        <v/>
      </c>
      <c r="DL588" s="28" t="str">
        <f aca="false">W588</f>
        <v/>
      </c>
      <c r="DM588" s="28" t="str">
        <f aca="false">AA588</f>
        <v/>
      </c>
      <c r="DN588" s="28" t="str">
        <f aca="false">AE588</f>
        <v/>
      </c>
      <c r="DO588" s="28" t="str">
        <f aca="false">AI588</f>
        <v/>
      </c>
      <c r="DP588" s="28" t="str">
        <f aca="false">AM588</f>
        <v/>
      </c>
      <c r="DQ588" s="28" t="str">
        <f aca="false">AQ588</f>
        <v/>
      </c>
      <c r="DR588" s="28" t="str">
        <f aca="false">AU588</f>
        <v/>
      </c>
      <c r="DS588" s="28" t="str">
        <f aca="false">AY588</f>
        <v/>
      </c>
      <c r="DT588" s="28" t="str">
        <f aca="false">BC588</f>
        <v/>
      </c>
      <c r="DU588" s="28" t="str">
        <f aca="false">BG588</f>
        <v/>
      </c>
      <c r="DV588" s="28" t="str">
        <f aca="false">BK588</f>
        <v/>
      </c>
      <c r="DW588" s="28" t="str">
        <f aca="false">BO588</f>
        <v/>
      </c>
      <c r="DX588" s="28" t="str">
        <f aca="false">BS588</f>
        <v/>
      </c>
      <c r="DY588" s="28" t="str">
        <f aca="false">IF(ISNUMBER(S588),1,"")</f>
        <v/>
      </c>
      <c r="DZ588" s="28" t="str">
        <f aca="false">IF(ISNUMBER(W588),2,"")</f>
        <v/>
      </c>
      <c r="EA588" s="28" t="str">
        <f aca="false">IF(ISNUMBER(AA588),3,"")</f>
        <v/>
      </c>
      <c r="EB588" s="28" t="str">
        <f aca="false">IF(ISNUMBER(AE588),4,"")</f>
        <v/>
      </c>
      <c r="EC588" s="28" t="str">
        <f aca="false">IF(ISNUMBER(AI588),5,"")</f>
        <v/>
      </c>
      <c r="ED588" s="28" t="str">
        <f aca="false">IF(ISNUMBER(AM588),6,"")</f>
        <v/>
      </c>
      <c r="EE588" s="28" t="str">
        <f aca="false">IF(ISNUMBER(AQ588),7,"")</f>
        <v/>
      </c>
      <c r="EF588" s="28" t="str">
        <f aca="false">IF(ISNUMBER(AU588),8,"")</f>
        <v/>
      </c>
      <c r="EG588" s="28" t="str">
        <f aca="false">IF(ISNUMBER(AY588),9,"")</f>
        <v/>
      </c>
      <c r="EH588" s="28" t="str">
        <f aca="false">IF(ISNUMBER(BC588),10,"")</f>
        <v/>
      </c>
      <c r="EI588" s="28" t="str">
        <f aca="false">IF(ISNUMBER(BG588),11,"")</f>
        <v/>
      </c>
      <c r="EJ588" s="28" t="str">
        <f aca="false">IF(ISNUMBER(BK588),12,"")</f>
        <v/>
      </c>
      <c r="EK588" s="28" t="str">
        <f aca="false">IF(ISNUMBER(BO588),13,"")</f>
        <v/>
      </c>
      <c r="EL588" s="28" t="str">
        <f aca="false">IF(ISNUMBER(BS588),14,"")</f>
        <v/>
      </c>
      <c r="EM588" s="28" t="n">
        <f aca="false">IF(ISNUMBER(R588),R588*CW588,0)</f>
        <v>0</v>
      </c>
      <c r="EN588" s="28" t="n">
        <f aca="false">IF(ISNUMBER(V588),V588*CX588,0)</f>
        <v>0</v>
      </c>
      <c r="EO588" s="28" t="n">
        <f aca="false">IF(ISNUMBER(Z588),Z588*CY588,0)</f>
        <v>0</v>
      </c>
      <c r="EP588" s="28" t="n">
        <f aca="false">IF(ISNUMBER(AD588),AD588*CZ588,0)</f>
        <v>0</v>
      </c>
      <c r="EQ588" s="28" t="n">
        <f aca="false">IF(ISNUMBER(AH588),AH588*DA588,0)</f>
        <v>0</v>
      </c>
      <c r="ER588" s="28" t="n">
        <f aca="false">IF(ISNUMBER(AL588),AL588*DB588,0)</f>
        <v>0</v>
      </c>
      <c r="ES588" s="28" t="n">
        <f aca="false">IF(ISNUMBER(AP588),AP588*DC588,0)</f>
        <v>0</v>
      </c>
      <c r="ET588" s="28" t="n">
        <f aca="false">IF(ISNUMBER(AT588),AT588*DD588,0)</f>
        <v>0</v>
      </c>
      <c r="EU588" s="28" t="n">
        <f aca="false">IF(ISNUMBER(AX588),AX588*DE588,0)</f>
        <v>0</v>
      </c>
      <c r="EV588" s="28" t="n">
        <f aca="false">IF(ISNUMBER(BB588),BB588*DF588,0)</f>
        <v>0</v>
      </c>
      <c r="EW588" s="28" t="n">
        <f aca="false">IF(ISNUMBER(BF588),BF588*DG588,0)</f>
        <v>0</v>
      </c>
      <c r="EX588" s="28" t="n">
        <f aca="false">IF(ISNUMBER(BJ588),BJ588*DH588,0)</f>
        <v>0</v>
      </c>
      <c r="EY588" s="28" t="n">
        <f aca="false">IF(ISNUMBER(BN588),BN588*DI588,0)</f>
        <v>0</v>
      </c>
      <c r="EZ588" s="28" t="n">
        <f aca="false">IF(ISNUMBER(BR588),BR588*DJ588,0)</f>
        <v>0</v>
      </c>
      <c r="FA588" s="28" t="n">
        <f aca="false">IF(ISNUMBER(R588),CW588,0)</f>
        <v>0</v>
      </c>
      <c r="FB588" s="28" t="n">
        <f aca="false">IF(ISNUMBER(V588),CX588,0)</f>
        <v>0</v>
      </c>
      <c r="FC588" s="28" t="n">
        <f aca="false">IF(ISNUMBER(Z588),CY588,0)</f>
        <v>0</v>
      </c>
      <c r="FD588" s="28" t="n">
        <f aca="false">IF(ISNUMBER(AD588),CZ588,0)</f>
        <v>0</v>
      </c>
      <c r="FE588" s="28" t="n">
        <f aca="false">IF(ISNUMBER(AH588),DA588,0)</f>
        <v>0</v>
      </c>
      <c r="FF588" s="28" t="n">
        <f aca="false">IF(ISNUMBER(AL588),DB588,0)</f>
        <v>0</v>
      </c>
      <c r="FG588" s="28" t="n">
        <f aca="false">IF(ISNUMBER(AP588),DC588,0)</f>
        <v>0</v>
      </c>
      <c r="FH588" s="28" t="n">
        <f aca="false">IF(ISNUMBER(AT588),DD588,0)</f>
        <v>0</v>
      </c>
      <c r="FI588" s="28" t="n">
        <f aca="false">IF(ISNUMBER(AX588),DE588,0)</f>
        <v>0</v>
      </c>
      <c r="FJ588" s="28" t="n">
        <f aca="false">IF(ISNUMBER(BB588),DF588,0)</f>
        <v>0</v>
      </c>
      <c r="FK588" s="28" t="n">
        <f aca="false">IF(ISNUMBER(BF588),DG588,0)</f>
        <v>0</v>
      </c>
      <c r="FL588" s="28" t="n">
        <f aca="false">IF(ISNUMBER(BJ588),DH588,0)</f>
        <v>0</v>
      </c>
      <c r="FM588" s="28" t="n">
        <f aca="false">IF(ISNUMBER(BN588),DI588,0)</f>
        <v>0</v>
      </c>
      <c r="FN588" s="28" t="n">
        <f aca="false">IF(ISNUMBER(BR588),DJ588,0)</f>
        <v>0</v>
      </c>
      <c r="FO588" s="28" t="str">
        <f aca="false">IFERROR(INDEX(Lists!$G$2:$G$20,MATCH($I588&amp;"|"&amp;$J588,Lists!$F$2:$F$20,0)),"")</f>
        <v/>
      </c>
    </row>
    <row r="589" customFormat="false" ht="19.5" hidden="false" customHeight="true" outlineLevel="0" collapsed="false">
      <c r="A589" s="29"/>
      <c r="B589" s="29"/>
      <c r="C589" s="30"/>
      <c r="D589" s="30"/>
      <c r="E589" s="31"/>
      <c r="F589" s="30"/>
      <c r="G589" s="30"/>
      <c r="H589" s="32"/>
      <c r="I589" s="33"/>
      <c r="J589" s="32"/>
      <c r="K589" s="34" t="str">
        <f aca="false">IF(OR(M589="",$E589=""),"",M589-$E589)</f>
        <v/>
      </c>
      <c r="L589" s="35" t="str">
        <f aca="false">IF(SUM(FA589:FN589)=0,"",SUM(EM589:EZ589)/SUM(FA589:FN589))</f>
        <v/>
      </c>
      <c r="M589" s="36" t="str">
        <f aca="false">IF(OR(L589="",FO589=""),"",IFERROR(MATCH(L589,INDEX(Boundaries!$B$2:$I$30,MATCH(FO589,Boundaries!$A$2:$A$30,0),0),1)-1,""))</f>
        <v/>
      </c>
      <c r="N589" s="37" t="str">
        <f aca="false">IF(COUNT($DY589:$EL589)&lt;2,"",INDEX($DK589:$DX589,MAX($DY589:$EL589))-INDEX($DK589:$DX589,MIN($DY589:$EL589)))</f>
        <v/>
      </c>
      <c r="O589" s="37" t="str">
        <f aca="false">IF(COUNT($DY589:$EL589)&lt;2,"",INDEX($DK589:$DX589,MAX($DY589:$EL589))-INDEX($DK589:$DX589,LARGE($DY589:$EL589,2)))</f>
        <v/>
      </c>
      <c r="P589" s="38" t="str">
        <f aca="false">IF(K589="","",IF(K589&gt;=0,"On/above target",IF(AND(N589&lt;&gt;"",N589&gt;=0.5),"Improving towards target",IF(AND(O589&lt;&gt;"",O589&lt;=-0.5),"Declining","Stable below target"))))</f>
        <v/>
      </c>
      <c r="Q589" s="39"/>
      <c r="R589" s="40" t="str">
        <f aca="false">IF(OR(Q589="",BU589=""),"",Q589/BU589*100)</f>
        <v/>
      </c>
      <c r="S589" s="41" t="str">
        <f aca="false">IF(R589="","",IFERROR(MATCH(R589,INDEX(Boundaries!$B$2:$I$30,MATCH(CI589,Boundaries!$A$2:$A$30,0),0),1)-1,""))</f>
        <v/>
      </c>
      <c r="T589" s="42" t="str">
        <f aca="false">IF(OR(S589="",$E589=""),"",S589-$E589)</f>
        <v/>
      </c>
      <c r="U589" s="39"/>
      <c r="V589" s="40" t="str">
        <f aca="false">IF(OR(U589="",BV589=""),"",U589/BV589*100)</f>
        <v/>
      </c>
      <c r="W589" s="41" t="str">
        <f aca="false">IF(V589="","",IFERROR(MATCH(V589,INDEX(Boundaries!$B$2:$I$30,MATCH(CJ589,Boundaries!$A$2:$A$30,0),0),1)-1,""))</f>
        <v/>
      </c>
      <c r="X589" s="42" t="str">
        <f aca="false">IF(OR(W589="",$E589=""),"",W589-$E589)</f>
        <v/>
      </c>
      <c r="Y589" s="39"/>
      <c r="Z589" s="40" t="str">
        <f aca="false">IF(OR(Y589="",BW589=""),"",Y589/BW589*100)</f>
        <v/>
      </c>
      <c r="AA589" s="41" t="str">
        <f aca="false">IF(Z589="","",IFERROR(MATCH(Z589,INDEX(Boundaries!$B$2:$I$30,MATCH(CK589,Boundaries!$A$2:$A$30,0),0),1)-1,""))</f>
        <v/>
      </c>
      <c r="AB589" s="42" t="str">
        <f aca="false">IF(OR(AA589="",$E589=""),"",AA589-$E589)</f>
        <v/>
      </c>
      <c r="AC589" s="39"/>
      <c r="AD589" s="40" t="str">
        <f aca="false">IF(OR(AC589="",BX589=""),"",AC589/BX589*100)</f>
        <v/>
      </c>
      <c r="AE589" s="41" t="str">
        <f aca="false">IF(AD589="","",IFERROR(MATCH(AD589,INDEX(Boundaries!$B$2:$I$30,MATCH(CL589,Boundaries!$A$2:$A$30,0),0),1)-1,""))</f>
        <v/>
      </c>
      <c r="AF589" s="42" t="str">
        <f aca="false">IF(OR(AE589="",$E589=""),"",AE589-$E589)</f>
        <v/>
      </c>
      <c r="AG589" s="39"/>
      <c r="AH589" s="40" t="str">
        <f aca="false">IF(OR(AG589="",BY589=""),"",AG589/BY589*100)</f>
        <v/>
      </c>
      <c r="AI589" s="41" t="str">
        <f aca="false">IF(AH589="","",IFERROR(MATCH(AH589,INDEX(Boundaries!$B$2:$I$30,MATCH(CM589,Boundaries!$A$2:$A$30,0),0),1)-1,""))</f>
        <v/>
      </c>
      <c r="AJ589" s="42" t="str">
        <f aca="false">IF(OR(AI589="",$E589=""),"",AI589-$E589)</f>
        <v/>
      </c>
      <c r="AK589" s="39"/>
      <c r="AL589" s="40" t="str">
        <f aca="false">IF(OR(AK589="",BZ589=""),"",AK589/BZ589*100)</f>
        <v/>
      </c>
      <c r="AM589" s="41" t="str">
        <f aca="false">IF(AL589="","",IFERROR(MATCH(AL589,INDEX(Boundaries!$B$2:$I$30,MATCH(CN589,Boundaries!$A$2:$A$30,0),0),1)-1,""))</f>
        <v/>
      </c>
      <c r="AN589" s="42" t="str">
        <f aca="false">IF(OR(AM589="",$E589=""),"",AM589-$E589)</f>
        <v/>
      </c>
      <c r="AO589" s="39"/>
      <c r="AP589" s="40" t="str">
        <f aca="false">IF(OR(AO589="",CA589=""),"",AO589/CA589*100)</f>
        <v/>
      </c>
      <c r="AQ589" s="41" t="str">
        <f aca="false">IF(AP589="","",IFERROR(MATCH(AP589,INDEX(Boundaries!$B$2:$I$30,MATCH(CO589,Boundaries!$A$2:$A$30,0),0),1)-1,""))</f>
        <v/>
      </c>
      <c r="AR589" s="42" t="str">
        <f aca="false">IF(OR(AQ589="",$E589=""),"",AQ589-$E589)</f>
        <v/>
      </c>
      <c r="AS589" s="39"/>
      <c r="AT589" s="40" t="str">
        <f aca="false">IF(OR(AS589="",CB589=""),"",AS589/CB589*100)</f>
        <v/>
      </c>
      <c r="AU589" s="41" t="str">
        <f aca="false">IF(AT589="","",IFERROR(MATCH(AT589,INDEX(Boundaries!$B$2:$I$30,MATCH(CP589,Boundaries!$A$2:$A$30,0),0),1)-1,""))</f>
        <v/>
      </c>
      <c r="AV589" s="42" t="str">
        <f aca="false">IF(OR(AU589="",$E589=""),"",AU589-$E589)</f>
        <v/>
      </c>
      <c r="AW589" s="39"/>
      <c r="AX589" s="40" t="str">
        <f aca="false">IF(OR(AW589="",CC589=""),"",AW589/CC589*100)</f>
        <v/>
      </c>
      <c r="AY589" s="41" t="str">
        <f aca="false">IF(AX589="","",IFERROR(MATCH(AX589,INDEX(Boundaries!$B$2:$I$30,MATCH(CQ589,Boundaries!$A$2:$A$30,0),0),1)-1,""))</f>
        <v/>
      </c>
      <c r="AZ589" s="42" t="str">
        <f aca="false">IF(OR(AY589="",$E589=""),"",AY589-$E589)</f>
        <v/>
      </c>
      <c r="BA589" s="39"/>
      <c r="BB589" s="40" t="str">
        <f aca="false">IF(OR(BA589="",CD589=""),"",BA589/CD589*100)</f>
        <v/>
      </c>
      <c r="BC589" s="41" t="str">
        <f aca="false">IF(BB589="","",IFERROR(MATCH(BB589,INDEX(Boundaries!$B$2:$I$30,MATCH(CR589,Boundaries!$A$2:$A$30,0),0),1)-1,""))</f>
        <v/>
      </c>
      <c r="BD589" s="42" t="str">
        <f aca="false">IF(OR(BC589="",$E589=""),"",BC589-$E589)</f>
        <v/>
      </c>
      <c r="BE589" s="39"/>
      <c r="BF589" s="40" t="str">
        <f aca="false">IF(OR(BE589="",CE589=""),"",BE589/CE589*100)</f>
        <v/>
      </c>
      <c r="BG589" s="41" t="str">
        <f aca="false">IF(BF589="","",IFERROR(MATCH(BF589,INDEX(Boundaries!$B$2:$I$30,MATCH(CS589,Boundaries!$A$2:$A$30,0),0),1)-1,""))</f>
        <v/>
      </c>
      <c r="BH589" s="42" t="str">
        <f aca="false">IF(OR(BG589="",$E589=""),"",BG589-$E589)</f>
        <v/>
      </c>
      <c r="BI589" s="39"/>
      <c r="BJ589" s="40" t="str">
        <f aca="false">IF(OR(BI589="",CF589=""),"",BI589/CF589*100)</f>
        <v/>
      </c>
      <c r="BK589" s="41" t="str">
        <f aca="false">IF(BJ589="","",IFERROR(MATCH(BJ589,INDEX(Boundaries!$B$2:$I$30,MATCH(CT589,Boundaries!$A$2:$A$30,0),0),1)-1,""))</f>
        <v/>
      </c>
      <c r="BL589" s="42" t="str">
        <f aca="false">IF(OR(BK589="",$E589=""),"",BK589-$E589)</f>
        <v/>
      </c>
      <c r="BM589" s="39"/>
      <c r="BN589" s="40" t="str">
        <f aca="false">IF(OR(BM589="",CG589=""),"",BM589/CG589*100)</f>
        <v/>
      </c>
      <c r="BO589" s="41" t="str">
        <f aca="false">IF(BN589="","",IFERROR(MATCH(BN589,INDEX(Boundaries!$B$2:$I$30,MATCH(CU589,Boundaries!$A$2:$A$30,0),0),1)-1,""))</f>
        <v/>
      </c>
      <c r="BP589" s="42" t="str">
        <f aca="false">IF(OR(BO589="",$E589=""),"",BO589-$E589)</f>
        <v/>
      </c>
      <c r="BQ589" s="39"/>
      <c r="BR589" s="40" t="str">
        <f aca="false">IF(OR(BQ589="",CH589=""),"",BQ589/CH589*100)</f>
        <v/>
      </c>
      <c r="BS589" s="41" t="str">
        <f aca="false">IF(BR589="","",IFERROR(MATCH(BR589,INDEX(Boundaries!$B$2:$I$30,MATCH(CV589,Boundaries!$A$2:$A$30,0),0),1)-1,""))</f>
        <v/>
      </c>
      <c r="BT589" s="42" t="str">
        <f aca="false">IF(OR(BS589="",$E589=""),"",BS589-$E589)</f>
        <v/>
      </c>
      <c r="BU589" s="28" t="str">
        <f aca="false">IFERROR(INDEX(Assessments!$H$2:$H$600,MATCH($H589&amp;"|"&amp;$I589&amp;"|"&amp;$J589&amp;"|"&amp;1,Assessments!$A$2:$A$600,0)),"")</f>
        <v/>
      </c>
      <c r="BV589" s="28" t="str">
        <f aca="false">IFERROR(INDEX(Assessments!$H$2:$H$600,MATCH($H589&amp;"|"&amp;$I589&amp;"|"&amp;$J589&amp;"|"&amp;2,Assessments!$A$2:$A$600,0)),"")</f>
        <v/>
      </c>
      <c r="BW589" s="28" t="str">
        <f aca="false">IFERROR(INDEX(Assessments!$H$2:$H$600,MATCH($H589&amp;"|"&amp;$I589&amp;"|"&amp;$J589&amp;"|"&amp;3,Assessments!$A$2:$A$600,0)),"")</f>
        <v/>
      </c>
      <c r="BX589" s="28" t="str">
        <f aca="false">IFERROR(INDEX(Assessments!$H$2:$H$600,MATCH($H589&amp;"|"&amp;$I589&amp;"|"&amp;$J589&amp;"|"&amp;4,Assessments!$A$2:$A$600,0)),"")</f>
        <v/>
      </c>
      <c r="BY589" s="28" t="str">
        <f aca="false">IFERROR(INDEX(Assessments!$H$2:$H$600,MATCH($H589&amp;"|"&amp;$I589&amp;"|"&amp;$J589&amp;"|"&amp;5,Assessments!$A$2:$A$600,0)),"")</f>
        <v/>
      </c>
      <c r="BZ589" s="28" t="str">
        <f aca="false">IFERROR(INDEX(Assessments!$H$2:$H$600,MATCH($H589&amp;"|"&amp;$I589&amp;"|"&amp;$J589&amp;"|"&amp;6,Assessments!$A$2:$A$600,0)),"")</f>
        <v/>
      </c>
      <c r="CA589" s="28" t="str">
        <f aca="false">IFERROR(INDEX(Assessments!$H$2:$H$600,MATCH($H589&amp;"|"&amp;$I589&amp;"|"&amp;$J589&amp;"|"&amp;7,Assessments!$A$2:$A$600,0)),"")</f>
        <v/>
      </c>
      <c r="CB589" s="28" t="str">
        <f aca="false">IFERROR(INDEX(Assessments!$H$2:$H$600,MATCH($H589&amp;"|"&amp;$I589&amp;"|"&amp;$J589&amp;"|"&amp;8,Assessments!$A$2:$A$600,0)),"")</f>
        <v/>
      </c>
      <c r="CC589" s="28" t="str">
        <f aca="false">IFERROR(INDEX(Assessments!$H$2:$H$600,MATCH($H589&amp;"|"&amp;$I589&amp;"|"&amp;$J589&amp;"|"&amp;9,Assessments!$A$2:$A$600,0)),"")</f>
        <v/>
      </c>
      <c r="CD589" s="28" t="str">
        <f aca="false">IFERROR(INDEX(Assessments!$H$2:$H$600,MATCH($H589&amp;"|"&amp;$I589&amp;"|"&amp;$J589&amp;"|"&amp;10,Assessments!$A$2:$A$600,0)),"")</f>
        <v/>
      </c>
      <c r="CE589" s="28" t="str">
        <f aca="false">IFERROR(INDEX(Assessments!$H$2:$H$600,MATCH($H589&amp;"|"&amp;$I589&amp;"|"&amp;$J589&amp;"|"&amp;11,Assessments!$A$2:$A$600,0)),"")</f>
        <v/>
      </c>
      <c r="CF589" s="28" t="str">
        <f aca="false">IFERROR(INDEX(Assessments!$H$2:$H$600,MATCH($H589&amp;"|"&amp;$I589&amp;"|"&amp;$J589&amp;"|"&amp;12,Assessments!$A$2:$A$600,0)),"")</f>
        <v/>
      </c>
      <c r="CG589" s="28" t="str">
        <f aca="false">IFERROR(INDEX(Assessments!$H$2:$H$600,MATCH($H589&amp;"|"&amp;$I589&amp;"|"&amp;$J589&amp;"|"&amp;13,Assessments!$A$2:$A$600,0)),"")</f>
        <v/>
      </c>
      <c r="CH589" s="28" t="str">
        <f aca="false">IFERROR(INDEX(Assessments!$H$2:$H$600,MATCH($H589&amp;"|"&amp;$I589&amp;"|"&amp;$J589&amp;"|"&amp;14,Assessments!$A$2:$A$600,0)),"")</f>
        <v/>
      </c>
      <c r="CI589" s="28" t="str">
        <f aca="false">IFERROR(INDEX(Assessments!$I$2:$I$600,MATCH($H589&amp;"|"&amp;$I589&amp;"|"&amp;$J589&amp;"|"&amp;1,Assessments!$A$2:$A$600,0)),"")</f>
        <v/>
      </c>
      <c r="CJ589" s="28" t="str">
        <f aca="false">IFERROR(INDEX(Assessments!$I$2:$I$600,MATCH($H589&amp;"|"&amp;$I589&amp;"|"&amp;$J589&amp;"|"&amp;2,Assessments!$A$2:$A$600,0)),"")</f>
        <v/>
      </c>
      <c r="CK589" s="28" t="str">
        <f aca="false">IFERROR(INDEX(Assessments!$I$2:$I$600,MATCH($H589&amp;"|"&amp;$I589&amp;"|"&amp;$J589&amp;"|"&amp;3,Assessments!$A$2:$A$600,0)),"")</f>
        <v/>
      </c>
      <c r="CL589" s="28" t="str">
        <f aca="false">IFERROR(INDEX(Assessments!$I$2:$I$600,MATCH($H589&amp;"|"&amp;$I589&amp;"|"&amp;$J589&amp;"|"&amp;4,Assessments!$A$2:$A$600,0)),"")</f>
        <v/>
      </c>
      <c r="CM589" s="28" t="str">
        <f aca="false">IFERROR(INDEX(Assessments!$I$2:$I$600,MATCH($H589&amp;"|"&amp;$I589&amp;"|"&amp;$J589&amp;"|"&amp;5,Assessments!$A$2:$A$600,0)),"")</f>
        <v/>
      </c>
      <c r="CN589" s="28" t="str">
        <f aca="false">IFERROR(INDEX(Assessments!$I$2:$I$600,MATCH($H589&amp;"|"&amp;$I589&amp;"|"&amp;$J589&amp;"|"&amp;6,Assessments!$A$2:$A$600,0)),"")</f>
        <v/>
      </c>
      <c r="CO589" s="28" t="str">
        <f aca="false">IFERROR(INDEX(Assessments!$I$2:$I$600,MATCH($H589&amp;"|"&amp;$I589&amp;"|"&amp;$J589&amp;"|"&amp;7,Assessments!$A$2:$A$600,0)),"")</f>
        <v/>
      </c>
      <c r="CP589" s="28" t="str">
        <f aca="false">IFERROR(INDEX(Assessments!$I$2:$I$600,MATCH($H589&amp;"|"&amp;$I589&amp;"|"&amp;$J589&amp;"|"&amp;8,Assessments!$A$2:$A$600,0)),"")</f>
        <v/>
      </c>
      <c r="CQ589" s="28" t="str">
        <f aca="false">IFERROR(INDEX(Assessments!$I$2:$I$600,MATCH($H589&amp;"|"&amp;$I589&amp;"|"&amp;$J589&amp;"|"&amp;9,Assessments!$A$2:$A$600,0)),"")</f>
        <v/>
      </c>
      <c r="CR589" s="28" t="str">
        <f aca="false">IFERROR(INDEX(Assessments!$I$2:$I$600,MATCH($H589&amp;"|"&amp;$I589&amp;"|"&amp;$J589&amp;"|"&amp;10,Assessments!$A$2:$A$600,0)),"")</f>
        <v/>
      </c>
      <c r="CS589" s="28" t="str">
        <f aca="false">IFERROR(INDEX(Assessments!$I$2:$I$600,MATCH($H589&amp;"|"&amp;$I589&amp;"|"&amp;$J589&amp;"|"&amp;11,Assessments!$A$2:$A$600,0)),"")</f>
        <v/>
      </c>
      <c r="CT589" s="28" t="str">
        <f aca="false">IFERROR(INDEX(Assessments!$I$2:$I$600,MATCH($H589&amp;"|"&amp;$I589&amp;"|"&amp;$J589&amp;"|"&amp;12,Assessments!$A$2:$A$600,0)),"")</f>
        <v/>
      </c>
      <c r="CU589" s="28" t="str">
        <f aca="false">IFERROR(INDEX(Assessments!$I$2:$I$600,MATCH($H589&amp;"|"&amp;$I589&amp;"|"&amp;$J589&amp;"|"&amp;13,Assessments!$A$2:$A$600,0)),"")</f>
        <v/>
      </c>
      <c r="CV589" s="28" t="str">
        <f aca="false">IFERROR(INDEX(Assessments!$I$2:$I$600,MATCH($H589&amp;"|"&amp;$I589&amp;"|"&amp;$J589&amp;"|"&amp;14,Assessments!$A$2:$A$600,0)),"")</f>
        <v/>
      </c>
      <c r="CW589" s="28" t="n">
        <f aca="false">IFERROR(INDEX(Assessments!$J$2:$J$600,MATCH($H589&amp;"|"&amp;$I589&amp;"|"&amp;$J589&amp;"|"&amp;1,Assessments!$A$2:$A$600,0)),0)</f>
        <v>0</v>
      </c>
      <c r="CX589" s="28" t="n">
        <f aca="false">IFERROR(INDEX(Assessments!$J$2:$J$600,MATCH($H589&amp;"|"&amp;$I589&amp;"|"&amp;$J589&amp;"|"&amp;2,Assessments!$A$2:$A$600,0)),0)</f>
        <v>0</v>
      </c>
      <c r="CY589" s="28" t="n">
        <f aca="false">IFERROR(INDEX(Assessments!$J$2:$J$600,MATCH($H589&amp;"|"&amp;$I589&amp;"|"&amp;$J589&amp;"|"&amp;3,Assessments!$A$2:$A$600,0)),0)</f>
        <v>0</v>
      </c>
      <c r="CZ589" s="28" t="n">
        <f aca="false">IFERROR(INDEX(Assessments!$J$2:$J$600,MATCH($H589&amp;"|"&amp;$I589&amp;"|"&amp;$J589&amp;"|"&amp;4,Assessments!$A$2:$A$600,0)),0)</f>
        <v>0</v>
      </c>
      <c r="DA589" s="28" t="n">
        <f aca="false">IFERROR(INDEX(Assessments!$J$2:$J$600,MATCH($H589&amp;"|"&amp;$I589&amp;"|"&amp;$J589&amp;"|"&amp;5,Assessments!$A$2:$A$600,0)),0)</f>
        <v>0</v>
      </c>
      <c r="DB589" s="28" t="n">
        <f aca="false">IFERROR(INDEX(Assessments!$J$2:$J$600,MATCH($H589&amp;"|"&amp;$I589&amp;"|"&amp;$J589&amp;"|"&amp;6,Assessments!$A$2:$A$600,0)),0)</f>
        <v>0</v>
      </c>
      <c r="DC589" s="28" t="n">
        <f aca="false">IFERROR(INDEX(Assessments!$J$2:$J$600,MATCH($H589&amp;"|"&amp;$I589&amp;"|"&amp;$J589&amp;"|"&amp;7,Assessments!$A$2:$A$600,0)),0)</f>
        <v>0</v>
      </c>
      <c r="DD589" s="28" t="n">
        <f aca="false">IFERROR(INDEX(Assessments!$J$2:$J$600,MATCH($H589&amp;"|"&amp;$I589&amp;"|"&amp;$J589&amp;"|"&amp;8,Assessments!$A$2:$A$600,0)),0)</f>
        <v>0</v>
      </c>
      <c r="DE589" s="28" t="n">
        <f aca="false">IFERROR(INDEX(Assessments!$J$2:$J$600,MATCH($H589&amp;"|"&amp;$I589&amp;"|"&amp;$J589&amp;"|"&amp;9,Assessments!$A$2:$A$600,0)),0)</f>
        <v>0</v>
      </c>
      <c r="DF589" s="28" t="n">
        <f aca="false">IFERROR(INDEX(Assessments!$J$2:$J$600,MATCH($H589&amp;"|"&amp;$I589&amp;"|"&amp;$J589&amp;"|"&amp;10,Assessments!$A$2:$A$600,0)),0)</f>
        <v>0</v>
      </c>
      <c r="DG589" s="28" t="n">
        <f aca="false">IFERROR(INDEX(Assessments!$J$2:$J$600,MATCH($H589&amp;"|"&amp;$I589&amp;"|"&amp;$J589&amp;"|"&amp;11,Assessments!$A$2:$A$600,0)),0)</f>
        <v>0</v>
      </c>
      <c r="DH589" s="28" t="n">
        <f aca="false">IFERROR(INDEX(Assessments!$J$2:$J$600,MATCH($H589&amp;"|"&amp;$I589&amp;"|"&amp;$J589&amp;"|"&amp;12,Assessments!$A$2:$A$600,0)),0)</f>
        <v>0</v>
      </c>
      <c r="DI589" s="28" t="n">
        <f aca="false">IFERROR(INDEX(Assessments!$J$2:$J$600,MATCH($H589&amp;"|"&amp;$I589&amp;"|"&amp;$J589&amp;"|"&amp;13,Assessments!$A$2:$A$600,0)),0)</f>
        <v>0</v>
      </c>
      <c r="DJ589" s="28" t="n">
        <f aca="false">IFERROR(INDEX(Assessments!$J$2:$J$600,MATCH($H589&amp;"|"&amp;$I589&amp;"|"&amp;$J589&amp;"|"&amp;14,Assessments!$A$2:$A$600,0)),0)</f>
        <v>0</v>
      </c>
      <c r="DK589" s="28" t="str">
        <f aca="false">S589</f>
        <v/>
      </c>
      <c r="DL589" s="28" t="str">
        <f aca="false">W589</f>
        <v/>
      </c>
      <c r="DM589" s="28" t="str">
        <f aca="false">AA589</f>
        <v/>
      </c>
      <c r="DN589" s="28" t="str">
        <f aca="false">AE589</f>
        <v/>
      </c>
      <c r="DO589" s="28" t="str">
        <f aca="false">AI589</f>
        <v/>
      </c>
      <c r="DP589" s="28" t="str">
        <f aca="false">AM589</f>
        <v/>
      </c>
      <c r="DQ589" s="28" t="str">
        <f aca="false">AQ589</f>
        <v/>
      </c>
      <c r="DR589" s="28" t="str">
        <f aca="false">AU589</f>
        <v/>
      </c>
      <c r="DS589" s="28" t="str">
        <f aca="false">AY589</f>
        <v/>
      </c>
      <c r="DT589" s="28" t="str">
        <f aca="false">BC589</f>
        <v/>
      </c>
      <c r="DU589" s="28" t="str">
        <f aca="false">BG589</f>
        <v/>
      </c>
      <c r="DV589" s="28" t="str">
        <f aca="false">BK589</f>
        <v/>
      </c>
      <c r="DW589" s="28" t="str">
        <f aca="false">BO589</f>
        <v/>
      </c>
      <c r="DX589" s="28" t="str">
        <f aca="false">BS589</f>
        <v/>
      </c>
      <c r="DY589" s="28" t="str">
        <f aca="false">IF(ISNUMBER(S589),1,"")</f>
        <v/>
      </c>
      <c r="DZ589" s="28" t="str">
        <f aca="false">IF(ISNUMBER(W589),2,"")</f>
        <v/>
      </c>
      <c r="EA589" s="28" t="str">
        <f aca="false">IF(ISNUMBER(AA589),3,"")</f>
        <v/>
      </c>
      <c r="EB589" s="28" t="str">
        <f aca="false">IF(ISNUMBER(AE589),4,"")</f>
        <v/>
      </c>
      <c r="EC589" s="28" t="str">
        <f aca="false">IF(ISNUMBER(AI589),5,"")</f>
        <v/>
      </c>
      <c r="ED589" s="28" t="str">
        <f aca="false">IF(ISNUMBER(AM589),6,"")</f>
        <v/>
      </c>
      <c r="EE589" s="28" t="str">
        <f aca="false">IF(ISNUMBER(AQ589),7,"")</f>
        <v/>
      </c>
      <c r="EF589" s="28" t="str">
        <f aca="false">IF(ISNUMBER(AU589),8,"")</f>
        <v/>
      </c>
      <c r="EG589" s="28" t="str">
        <f aca="false">IF(ISNUMBER(AY589),9,"")</f>
        <v/>
      </c>
      <c r="EH589" s="28" t="str">
        <f aca="false">IF(ISNUMBER(BC589),10,"")</f>
        <v/>
      </c>
      <c r="EI589" s="28" t="str">
        <f aca="false">IF(ISNUMBER(BG589),11,"")</f>
        <v/>
      </c>
      <c r="EJ589" s="28" t="str">
        <f aca="false">IF(ISNUMBER(BK589),12,"")</f>
        <v/>
      </c>
      <c r="EK589" s="28" t="str">
        <f aca="false">IF(ISNUMBER(BO589),13,"")</f>
        <v/>
      </c>
      <c r="EL589" s="28" t="str">
        <f aca="false">IF(ISNUMBER(BS589),14,"")</f>
        <v/>
      </c>
      <c r="EM589" s="28" t="n">
        <f aca="false">IF(ISNUMBER(R589),R589*CW589,0)</f>
        <v>0</v>
      </c>
      <c r="EN589" s="28" t="n">
        <f aca="false">IF(ISNUMBER(V589),V589*CX589,0)</f>
        <v>0</v>
      </c>
      <c r="EO589" s="28" t="n">
        <f aca="false">IF(ISNUMBER(Z589),Z589*CY589,0)</f>
        <v>0</v>
      </c>
      <c r="EP589" s="28" t="n">
        <f aca="false">IF(ISNUMBER(AD589),AD589*CZ589,0)</f>
        <v>0</v>
      </c>
      <c r="EQ589" s="28" t="n">
        <f aca="false">IF(ISNUMBER(AH589),AH589*DA589,0)</f>
        <v>0</v>
      </c>
      <c r="ER589" s="28" t="n">
        <f aca="false">IF(ISNUMBER(AL589),AL589*DB589,0)</f>
        <v>0</v>
      </c>
      <c r="ES589" s="28" t="n">
        <f aca="false">IF(ISNUMBER(AP589),AP589*DC589,0)</f>
        <v>0</v>
      </c>
      <c r="ET589" s="28" t="n">
        <f aca="false">IF(ISNUMBER(AT589),AT589*DD589,0)</f>
        <v>0</v>
      </c>
      <c r="EU589" s="28" t="n">
        <f aca="false">IF(ISNUMBER(AX589),AX589*DE589,0)</f>
        <v>0</v>
      </c>
      <c r="EV589" s="28" t="n">
        <f aca="false">IF(ISNUMBER(BB589),BB589*DF589,0)</f>
        <v>0</v>
      </c>
      <c r="EW589" s="28" t="n">
        <f aca="false">IF(ISNUMBER(BF589),BF589*DG589,0)</f>
        <v>0</v>
      </c>
      <c r="EX589" s="28" t="n">
        <f aca="false">IF(ISNUMBER(BJ589),BJ589*DH589,0)</f>
        <v>0</v>
      </c>
      <c r="EY589" s="28" t="n">
        <f aca="false">IF(ISNUMBER(BN589),BN589*DI589,0)</f>
        <v>0</v>
      </c>
      <c r="EZ589" s="28" t="n">
        <f aca="false">IF(ISNUMBER(BR589),BR589*DJ589,0)</f>
        <v>0</v>
      </c>
      <c r="FA589" s="28" t="n">
        <f aca="false">IF(ISNUMBER(R589),CW589,0)</f>
        <v>0</v>
      </c>
      <c r="FB589" s="28" t="n">
        <f aca="false">IF(ISNUMBER(V589),CX589,0)</f>
        <v>0</v>
      </c>
      <c r="FC589" s="28" t="n">
        <f aca="false">IF(ISNUMBER(Z589),CY589,0)</f>
        <v>0</v>
      </c>
      <c r="FD589" s="28" t="n">
        <f aca="false">IF(ISNUMBER(AD589),CZ589,0)</f>
        <v>0</v>
      </c>
      <c r="FE589" s="28" t="n">
        <f aca="false">IF(ISNUMBER(AH589),DA589,0)</f>
        <v>0</v>
      </c>
      <c r="FF589" s="28" t="n">
        <f aca="false">IF(ISNUMBER(AL589),DB589,0)</f>
        <v>0</v>
      </c>
      <c r="FG589" s="28" t="n">
        <f aca="false">IF(ISNUMBER(AP589),DC589,0)</f>
        <v>0</v>
      </c>
      <c r="FH589" s="28" t="n">
        <f aca="false">IF(ISNUMBER(AT589),DD589,0)</f>
        <v>0</v>
      </c>
      <c r="FI589" s="28" t="n">
        <f aca="false">IF(ISNUMBER(AX589),DE589,0)</f>
        <v>0</v>
      </c>
      <c r="FJ589" s="28" t="n">
        <f aca="false">IF(ISNUMBER(BB589),DF589,0)</f>
        <v>0</v>
      </c>
      <c r="FK589" s="28" t="n">
        <f aca="false">IF(ISNUMBER(BF589),DG589,0)</f>
        <v>0</v>
      </c>
      <c r="FL589" s="28" t="n">
        <f aca="false">IF(ISNUMBER(BJ589),DH589,0)</f>
        <v>0</v>
      </c>
      <c r="FM589" s="28" t="n">
        <f aca="false">IF(ISNUMBER(BN589),DI589,0)</f>
        <v>0</v>
      </c>
      <c r="FN589" s="28" t="n">
        <f aca="false">IF(ISNUMBER(BR589),DJ589,0)</f>
        <v>0</v>
      </c>
      <c r="FO589" s="28" t="str">
        <f aca="false">IFERROR(INDEX(Lists!$G$2:$G$20,MATCH($I589&amp;"|"&amp;$J589,Lists!$F$2:$F$20,0)),"")</f>
        <v/>
      </c>
    </row>
    <row r="590" customFormat="false" ht="19.5" hidden="false" customHeight="true" outlineLevel="0" collapsed="false">
      <c r="A590" s="29"/>
      <c r="B590" s="29"/>
      <c r="C590" s="30"/>
      <c r="D590" s="30"/>
      <c r="E590" s="31"/>
      <c r="F590" s="30"/>
      <c r="G590" s="30"/>
      <c r="H590" s="32"/>
      <c r="I590" s="33"/>
      <c r="J590" s="32"/>
      <c r="K590" s="34" t="str">
        <f aca="false">IF(OR(M590="",$E590=""),"",M590-$E590)</f>
        <v/>
      </c>
      <c r="L590" s="35" t="str">
        <f aca="false">IF(SUM(FA590:FN590)=0,"",SUM(EM590:EZ590)/SUM(FA590:FN590))</f>
        <v/>
      </c>
      <c r="M590" s="36" t="str">
        <f aca="false">IF(OR(L590="",FO590=""),"",IFERROR(MATCH(L590,INDEX(Boundaries!$B$2:$I$30,MATCH(FO590,Boundaries!$A$2:$A$30,0),0),1)-1,""))</f>
        <v/>
      </c>
      <c r="N590" s="37" t="str">
        <f aca="false">IF(COUNT($DY590:$EL590)&lt;2,"",INDEX($DK590:$DX590,MAX($DY590:$EL590))-INDEX($DK590:$DX590,MIN($DY590:$EL590)))</f>
        <v/>
      </c>
      <c r="O590" s="37" t="str">
        <f aca="false">IF(COUNT($DY590:$EL590)&lt;2,"",INDEX($DK590:$DX590,MAX($DY590:$EL590))-INDEX($DK590:$DX590,LARGE($DY590:$EL590,2)))</f>
        <v/>
      </c>
      <c r="P590" s="38" t="str">
        <f aca="false">IF(K590="","",IF(K590&gt;=0,"On/above target",IF(AND(N590&lt;&gt;"",N590&gt;=0.5),"Improving towards target",IF(AND(O590&lt;&gt;"",O590&lt;=-0.5),"Declining","Stable below target"))))</f>
        <v/>
      </c>
      <c r="Q590" s="39"/>
      <c r="R590" s="40" t="str">
        <f aca="false">IF(OR(Q590="",BU590=""),"",Q590/BU590*100)</f>
        <v/>
      </c>
      <c r="S590" s="41" t="str">
        <f aca="false">IF(R590="","",IFERROR(MATCH(R590,INDEX(Boundaries!$B$2:$I$30,MATCH(CI590,Boundaries!$A$2:$A$30,0),0),1)-1,""))</f>
        <v/>
      </c>
      <c r="T590" s="42" t="str">
        <f aca="false">IF(OR(S590="",$E590=""),"",S590-$E590)</f>
        <v/>
      </c>
      <c r="U590" s="39"/>
      <c r="V590" s="40" t="str">
        <f aca="false">IF(OR(U590="",BV590=""),"",U590/BV590*100)</f>
        <v/>
      </c>
      <c r="W590" s="41" t="str">
        <f aca="false">IF(V590="","",IFERROR(MATCH(V590,INDEX(Boundaries!$B$2:$I$30,MATCH(CJ590,Boundaries!$A$2:$A$30,0),0),1)-1,""))</f>
        <v/>
      </c>
      <c r="X590" s="42" t="str">
        <f aca="false">IF(OR(W590="",$E590=""),"",W590-$E590)</f>
        <v/>
      </c>
      <c r="Y590" s="39"/>
      <c r="Z590" s="40" t="str">
        <f aca="false">IF(OR(Y590="",BW590=""),"",Y590/BW590*100)</f>
        <v/>
      </c>
      <c r="AA590" s="41" t="str">
        <f aca="false">IF(Z590="","",IFERROR(MATCH(Z590,INDEX(Boundaries!$B$2:$I$30,MATCH(CK590,Boundaries!$A$2:$A$30,0),0),1)-1,""))</f>
        <v/>
      </c>
      <c r="AB590" s="42" t="str">
        <f aca="false">IF(OR(AA590="",$E590=""),"",AA590-$E590)</f>
        <v/>
      </c>
      <c r="AC590" s="39"/>
      <c r="AD590" s="40" t="str">
        <f aca="false">IF(OR(AC590="",BX590=""),"",AC590/BX590*100)</f>
        <v/>
      </c>
      <c r="AE590" s="41" t="str">
        <f aca="false">IF(AD590="","",IFERROR(MATCH(AD590,INDEX(Boundaries!$B$2:$I$30,MATCH(CL590,Boundaries!$A$2:$A$30,0),0),1)-1,""))</f>
        <v/>
      </c>
      <c r="AF590" s="42" t="str">
        <f aca="false">IF(OR(AE590="",$E590=""),"",AE590-$E590)</f>
        <v/>
      </c>
      <c r="AG590" s="39"/>
      <c r="AH590" s="40" t="str">
        <f aca="false">IF(OR(AG590="",BY590=""),"",AG590/BY590*100)</f>
        <v/>
      </c>
      <c r="AI590" s="41" t="str">
        <f aca="false">IF(AH590="","",IFERROR(MATCH(AH590,INDEX(Boundaries!$B$2:$I$30,MATCH(CM590,Boundaries!$A$2:$A$30,0),0),1)-1,""))</f>
        <v/>
      </c>
      <c r="AJ590" s="42" t="str">
        <f aca="false">IF(OR(AI590="",$E590=""),"",AI590-$E590)</f>
        <v/>
      </c>
      <c r="AK590" s="39"/>
      <c r="AL590" s="40" t="str">
        <f aca="false">IF(OR(AK590="",BZ590=""),"",AK590/BZ590*100)</f>
        <v/>
      </c>
      <c r="AM590" s="41" t="str">
        <f aca="false">IF(AL590="","",IFERROR(MATCH(AL590,INDEX(Boundaries!$B$2:$I$30,MATCH(CN590,Boundaries!$A$2:$A$30,0),0),1)-1,""))</f>
        <v/>
      </c>
      <c r="AN590" s="42" t="str">
        <f aca="false">IF(OR(AM590="",$E590=""),"",AM590-$E590)</f>
        <v/>
      </c>
      <c r="AO590" s="39"/>
      <c r="AP590" s="40" t="str">
        <f aca="false">IF(OR(AO590="",CA590=""),"",AO590/CA590*100)</f>
        <v/>
      </c>
      <c r="AQ590" s="41" t="str">
        <f aca="false">IF(AP590="","",IFERROR(MATCH(AP590,INDEX(Boundaries!$B$2:$I$30,MATCH(CO590,Boundaries!$A$2:$A$30,0),0),1)-1,""))</f>
        <v/>
      </c>
      <c r="AR590" s="42" t="str">
        <f aca="false">IF(OR(AQ590="",$E590=""),"",AQ590-$E590)</f>
        <v/>
      </c>
      <c r="AS590" s="39"/>
      <c r="AT590" s="40" t="str">
        <f aca="false">IF(OR(AS590="",CB590=""),"",AS590/CB590*100)</f>
        <v/>
      </c>
      <c r="AU590" s="41" t="str">
        <f aca="false">IF(AT590="","",IFERROR(MATCH(AT590,INDEX(Boundaries!$B$2:$I$30,MATCH(CP590,Boundaries!$A$2:$A$30,0),0),1)-1,""))</f>
        <v/>
      </c>
      <c r="AV590" s="42" t="str">
        <f aca="false">IF(OR(AU590="",$E590=""),"",AU590-$E590)</f>
        <v/>
      </c>
      <c r="AW590" s="39"/>
      <c r="AX590" s="40" t="str">
        <f aca="false">IF(OR(AW590="",CC590=""),"",AW590/CC590*100)</f>
        <v/>
      </c>
      <c r="AY590" s="41" t="str">
        <f aca="false">IF(AX590="","",IFERROR(MATCH(AX590,INDEX(Boundaries!$B$2:$I$30,MATCH(CQ590,Boundaries!$A$2:$A$30,0),0),1)-1,""))</f>
        <v/>
      </c>
      <c r="AZ590" s="42" t="str">
        <f aca="false">IF(OR(AY590="",$E590=""),"",AY590-$E590)</f>
        <v/>
      </c>
      <c r="BA590" s="39"/>
      <c r="BB590" s="40" t="str">
        <f aca="false">IF(OR(BA590="",CD590=""),"",BA590/CD590*100)</f>
        <v/>
      </c>
      <c r="BC590" s="41" t="str">
        <f aca="false">IF(BB590="","",IFERROR(MATCH(BB590,INDEX(Boundaries!$B$2:$I$30,MATCH(CR590,Boundaries!$A$2:$A$30,0),0),1)-1,""))</f>
        <v/>
      </c>
      <c r="BD590" s="42" t="str">
        <f aca="false">IF(OR(BC590="",$E590=""),"",BC590-$E590)</f>
        <v/>
      </c>
      <c r="BE590" s="39"/>
      <c r="BF590" s="40" t="str">
        <f aca="false">IF(OR(BE590="",CE590=""),"",BE590/CE590*100)</f>
        <v/>
      </c>
      <c r="BG590" s="41" t="str">
        <f aca="false">IF(BF590="","",IFERROR(MATCH(BF590,INDEX(Boundaries!$B$2:$I$30,MATCH(CS590,Boundaries!$A$2:$A$30,0),0),1)-1,""))</f>
        <v/>
      </c>
      <c r="BH590" s="42" t="str">
        <f aca="false">IF(OR(BG590="",$E590=""),"",BG590-$E590)</f>
        <v/>
      </c>
      <c r="BI590" s="39"/>
      <c r="BJ590" s="40" t="str">
        <f aca="false">IF(OR(BI590="",CF590=""),"",BI590/CF590*100)</f>
        <v/>
      </c>
      <c r="BK590" s="41" t="str">
        <f aca="false">IF(BJ590="","",IFERROR(MATCH(BJ590,INDEX(Boundaries!$B$2:$I$30,MATCH(CT590,Boundaries!$A$2:$A$30,0),0),1)-1,""))</f>
        <v/>
      </c>
      <c r="BL590" s="42" t="str">
        <f aca="false">IF(OR(BK590="",$E590=""),"",BK590-$E590)</f>
        <v/>
      </c>
      <c r="BM590" s="39"/>
      <c r="BN590" s="40" t="str">
        <f aca="false">IF(OR(BM590="",CG590=""),"",BM590/CG590*100)</f>
        <v/>
      </c>
      <c r="BO590" s="41" t="str">
        <f aca="false">IF(BN590="","",IFERROR(MATCH(BN590,INDEX(Boundaries!$B$2:$I$30,MATCH(CU590,Boundaries!$A$2:$A$30,0),0),1)-1,""))</f>
        <v/>
      </c>
      <c r="BP590" s="42" t="str">
        <f aca="false">IF(OR(BO590="",$E590=""),"",BO590-$E590)</f>
        <v/>
      </c>
      <c r="BQ590" s="39"/>
      <c r="BR590" s="40" t="str">
        <f aca="false">IF(OR(BQ590="",CH590=""),"",BQ590/CH590*100)</f>
        <v/>
      </c>
      <c r="BS590" s="41" t="str">
        <f aca="false">IF(BR590="","",IFERROR(MATCH(BR590,INDEX(Boundaries!$B$2:$I$30,MATCH(CV590,Boundaries!$A$2:$A$30,0),0),1)-1,""))</f>
        <v/>
      </c>
      <c r="BT590" s="42" t="str">
        <f aca="false">IF(OR(BS590="",$E590=""),"",BS590-$E590)</f>
        <v/>
      </c>
      <c r="BU590" s="28" t="str">
        <f aca="false">IFERROR(INDEX(Assessments!$H$2:$H$600,MATCH($H590&amp;"|"&amp;$I590&amp;"|"&amp;$J590&amp;"|"&amp;1,Assessments!$A$2:$A$600,0)),"")</f>
        <v/>
      </c>
      <c r="BV590" s="28" t="str">
        <f aca="false">IFERROR(INDEX(Assessments!$H$2:$H$600,MATCH($H590&amp;"|"&amp;$I590&amp;"|"&amp;$J590&amp;"|"&amp;2,Assessments!$A$2:$A$600,0)),"")</f>
        <v/>
      </c>
      <c r="BW590" s="28" t="str">
        <f aca="false">IFERROR(INDEX(Assessments!$H$2:$H$600,MATCH($H590&amp;"|"&amp;$I590&amp;"|"&amp;$J590&amp;"|"&amp;3,Assessments!$A$2:$A$600,0)),"")</f>
        <v/>
      </c>
      <c r="BX590" s="28" t="str">
        <f aca="false">IFERROR(INDEX(Assessments!$H$2:$H$600,MATCH($H590&amp;"|"&amp;$I590&amp;"|"&amp;$J590&amp;"|"&amp;4,Assessments!$A$2:$A$600,0)),"")</f>
        <v/>
      </c>
      <c r="BY590" s="28" t="str">
        <f aca="false">IFERROR(INDEX(Assessments!$H$2:$H$600,MATCH($H590&amp;"|"&amp;$I590&amp;"|"&amp;$J590&amp;"|"&amp;5,Assessments!$A$2:$A$600,0)),"")</f>
        <v/>
      </c>
      <c r="BZ590" s="28" t="str">
        <f aca="false">IFERROR(INDEX(Assessments!$H$2:$H$600,MATCH($H590&amp;"|"&amp;$I590&amp;"|"&amp;$J590&amp;"|"&amp;6,Assessments!$A$2:$A$600,0)),"")</f>
        <v/>
      </c>
      <c r="CA590" s="28" t="str">
        <f aca="false">IFERROR(INDEX(Assessments!$H$2:$H$600,MATCH($H590&amp;"|"&amp;$I590&amp;"|"&amp;$J590&amp;"|"&amp;7,Assessments!$A$2:$A$600,0)),"")</f>
        <v/>
      </c>
      <c r="CB590" s="28" t="str">
        <f aca="false">IFERROR(INDEX(Assessments!$H$2:$H$600,MATCH($H590&amp;"|"&amp;$I590&amp;"|"&amp;$J590&amp;"|"&amp;8,Assessments!$A$2:$A$600,0)),"")</f>
        <v/>
      </c>
      <c r="CC590" s="28" t="str">
        <f aca="false">IFERROR(INDEX(Assessments!$H$2:$H$600,MATCH($H590&amp;"|"&amp;$I590&amp;"|"&amp;$J590&amp;"|"&amp;9,Assessments!$A$2:$A$600,0)),"")</f>
        <v/>
      </c>
      <c r="CD590" s="28" t="str">
        <f aca="false">IFERROR(INDEX(Assessments!$H$2:$H$600,MATCH($H590&amp;"|"&amp;$I590&amp;"|"&amp;$J590&amp;"|"&amp;10,Assessments!$A$2:$A$600,0)),"")</f>
        <v/>
      </c>
      <c r="CE590" s="28" t="str">
        <f aca="false">IFERROR(INDEX(Assessments!$H$2:$H$600,MATCH($H590&amp;"|"&amp;$I590&amp;"|"&amp;$J590&amp;"|"&amp;11,Assessments!$A$2:$A$600,0)),"")</f>
        <v/>
      </c>
      <c r="CF590" s="28" t="str">
        <f aca="false">IFERROR(INDEX(Assessments!$H$2:$H$600,MATCH($H590&amp;"|"&amp;$I590&amp;"|"&amp;$J590&amp;"|"&amp;12,Assessments!$A$2:$A$600,0)),"")</f>
        <v/>
      </c>
      <c r="CG590" s="28" t="str">
        <f aca="false">IFERROR(INDEX(Assessments!$H$2:$H$600,MATCH($H590&amp;"|"&amp;$I590&amp;"|"&amp;$J590&amp;"|"&amp;13,Assessments!$A$2:$A$600,0)),"")</f>
        <v/>
      </c>
      <c r="CH590" s="28" t="str">
        <f aca="false">IFERROR(INDEX(Assessments!$H$2:$H$600,MATCH($H590&amp;"|"&amp;$I590&amp;"|"&amp;$J590&amp;"|"&amp;14,Assessments!$A$2:$A$600,0)),"")</f>
        <v/>
      </c>
      <c r="CI590" s="28" t="str">
        <f aca="false">IFERROR(INDEX(Assessments!$I$2:$I$600,MATCH($H590&amp;"|"&amp;$I590&amp;"|"&amp;$J590&amp;"|"&amp;1,Assessments!$A$2:$A$600,0)),"")</f>
        <v/>
      </c>
      <c r="CJ590" s="28" t="str">
        <f aca="false">IFERROR(INDEX(Assessments!$I$2:$I$600,MATCH($H590&amp;"|"&amp;$I590&amp;"|"&amp;$J590&amp;"|"&amp;2,Assessments!$A$2:$A$600,0)),"")</f>
        <v/>
      </c>
      <c r="CK590" s="28" t="str">
        <f aca="false">IFERROR(INDEX(Assessments!$I$2:$I$600,MATCH($H590&amp;"|"&amp;$I590&amp;"|"&amp;$J590&amp;"|"&amp;3,Assessments!$A$2:$A$600,0)),"")</f>
        <v/>
      </c>
      <c r="CL590" s="28" t="str">
        <f aca="false">IFERROR(INDEX(Assessments!$I$2:$I$600,MATCH($H590&amp;"|"&amp;$I590&amp;"|"&amp;$J590&amp;"|"&amp;4,Assessments!$A$2:$A$600,0)),"")</f>
        <v/>
      </c>
      <c r="CM590" s="28" t="str">
        <f aca="false">IFERROR(INDEX(Assessments!$I$2:$I$600,MATCH($H590&amp;"|"&amp;$I590&amp;"|"&amp;$J590&amp;"|"&amp;5,Assessments!$A$2:$A$600,0)),"")</f>
        <v/>
      </c>
      <c r="CN590" s="28" t="str">
        <f aca="false">IFERROR(INDEX(Assessments!$I$2:$I$600,MATCH($H590&amp;"|"&amp;$I590&amp;"|"&amp;$J590&amp;"|"&amp;6,Assessments!$A$2:$A$600,0)),"")</f>
        <v/>
      </c>
      <c r="CO590" s="28" t="str">
        <f aca="false">IFERROR(INDEX(Assessments!$I$2:$I$600,MATCH($H590&amp;"|"&amp;$I590&amp;"|"&amp;$J590&amp;"|"&amp;7,Assessments!$A$2:$A$600,0)),"")</f>
        <v/>
      </c>
      <c r="CP590" s="28" t="str">
        <f aca="false">IFERROR(INDEX(Assessments!$I$2:$I$600,MATCH($H590&amp;"|"&amp;$I590&amp;"|"&amp;$J590&amp;"|"&amp;8,Assessments!$A$2:$A$600,0)),"")</f>
        <v/>
      </c>
      <c r="CQ590" s="28" t="str">
        <f aca="false">IFERROR(INDEX(Assessments!$I$2:$I$600,MATCH($H590&amp;"|"&amp;$I590&amp;"|"&amp;$J590&amp;"|"&amp;9,Assessments!$A$2:$A$600,0)),"")</f>
        <v/>
      </c>
      <c r="CR590" s="28" t="str">
        <f aca="false">IFERROR(INDEX(Assessments!$I$2:$I$600,MATCH($H590&amp;"|"&amp;$I590&amp;"|"&amp;$J590&amp;"|"&amp;10,Assessments!$A$2:$A$600,0)),"")</f>
        <v/>
      </c>
      <c r="CS590" s="28" t="str">
        <f aca="false">IFERROR(INDEX(Assessments!$I$2:$I$600,MATCH($H590&amp;"|"&amp;$I590&amp;"|"&amp;$J590&amp;"|"&amp;11,Assessments!$A$2:$A$600,0)),"")</f>
        <v/>
      </c>
      <c r="CT590" s="28" t="str">
        <f aca="false">IFERROR(INDEX(Assessments!$I$2:$I$600,MATCH($H590&amp;"|"&amp;$I590&amp;"|"&amp;$J590&amp;"|"&amp;12,Assessments!$A$2:$A$600,0)),"")</f>
        <v/>
      </c>
      <c r="CU590" s="28" t="str">
        <f aca="false">IFERROR(INDEX(Assessments!$I$2:$I$600,MATCH($H590&amp;"|"&amp;$I590&amp;"|"&amp;$J590&amp;"|"&amp;13,Assessments!$A$2:$A$600,0)),"")</f>
        <v/>
      </c>
      <c r="CV590" s="28" t="str">
        <f aca="false">IFERROR(INDEX(Assessments!$I$2:$I$600,MATCH($H590&amp;"|"&amp;$I590&amp;"|"&amp;$J590&amp;"|"&amp;14,Assessments!$A$2:$A$600,0)),"")</f>
        <v/>
      </c>
      <c r="CW590" s="28" t="n">
        <f aca="false">IFERROR(INDEX(Assessments!$J$2:$J$600,MATCH($H590&amp;"|"&amp;$I590&amp;"|"&amp;$J590&amp;"|"&amp;1,Assessments!$A$2:$A$600,0)),0)</f>
        <v>0</v>
      </c>
      <c r="CX590" s="28" t="n">
        <f aca="false">IFERROR(INDEX(Assessments!$J$2:$J$600,MATCH($H590&amp;"|"&amp;$I590&amp;"|"&amp;$J590&amp;"|"&amp;2,Assessments!$A$2:$A$600,0)),0)</f>
        <v>0</v>
      </c>
      <c r="CY590" s="28" t="n">
        <f aca="false">IFERROR(INDEX(Assessments!$J$2:$J$600,MATCH($H590&amp;"|"&amp;$I590&amp;"|"&amp;$J590&amp;"|"&amp;3,Assessments!$A$2:$A$600,0)),0)</f>
        <v>0</v>
      </c>
      <c r="CZ590" s="28" t="n">
        <f aca="false">IFERROR(INDEX(Assessments!$J$2:$J$600,MATCH($H590&amp;"|"&amp;$I590&amp;"|"&amp;$J590&amp;"|"&amp;4,Assessments!$A$2:$A$600,0)),0)</f>
        <v>0</v>
      </c>
      <c r="DA590" s="28" t="n">
        <f aca="false">IFERROR(INDEX(Assessments!$J$2:$J$600,MATCH($H590&amp;"|"&amp;$I590&amp;"|"&amp;$J590&amp;"|"&amp;5,Assessments!$A$2:$A$600,0)),0)</f>
        <v>0</v>
      </c>
      <c r="DB590" s="28" t="n">
        <f aca="false">IFERROR(INDEX(Assessments!$J$2:$J$600,MATCH($H590&amp;"|"&amp;$I590&amp;"|"&amp;$J590&amp;"|"&amp;6,Assessments!$A$2:$A$600,0)),0)</f>
        <v>0</v>
      </c>
      <c r="DC590" s="28" t="n">
        <f aca="false">IFERROR(INDEX(Assessments!$J$2:$J$600,MATCH($H590&amp;"|"&amp;$I590&amp;"|"&amp;$J590&amp;"|"&amp;7,Assessments!$A$2:$A$600,0)),0)</f>
        <v>0</v>
      </c>
      <c r="DD590" s="28" t="n">
        <f aca="false">IFERROR(INDEX(Assessments!$J$2:$J$600,MATCH($H590&amp;"|"&amp;$I590&amp;"|"&amp;$J590&amp;"|"&amp;8,Assessments!$A$2:$A$600,0)),0)</f>
        <v>0</v>
      </c>
      <c r="DE590" s="28" t="n">
        <f aca="false">IFERROR(INDEX(Assessments!$J$2:$J$600,MATCH($H590&amp;"|"&amp;$I590&amp;"|"&amp;$J590&amp;"|"&amp;9,Assessments!$A$2:$A$600,0)),0)</f>
        <v>0</v>
      </c>
      <c r="DF590" s="28" t="n">
        <f aca="false">IFERROR(INDEX(Assessments!$J$2:$J$600,MATCH($H590&amp;"|"&amp;$I590&amp;"|"&amp;$J590&amp;"|"&amp;10,Assessments!$A$2:$A$600,0)),0)</f>
        <v>0</v>
      </c>
      <c r="DG590" s="28" t="n">
        <f aca="false">IFERROR(INDEX(Assessments!$J$2:$J$600,MATCH($H590&amp;"|"&amp;$I590&amp;"|"&amp;$J590&amp;"|"&amp;11,Assessments!$A$2:$A$600,0)),0)</f>
        <v>0</v>
      </c>
      <c r="DH590" s="28" t="n">
        <f aca="false">IFERROR(INDEX(Assessments!$J$2:$J$600,MATCH($H590&amp;"|"&amp;$I590&amp;"|"&amp;$J590&amp;"|"&amp;12,Assessments!$A$2:$A$600,0)),0)</f>
        <v>0</v>
      </c>
      <c r="DI590" s="28" t="n">
        <f aca="false">IFERROR(INDEX(Assessments!$J$2:$J$600,MATCH($H590&amp;"|"&amp;$I590&amp;"|"&amp;$J590&amp;"|"&amp;13,Assessments!$A$2:$A$600,0)),0)</f>
        <v>0</v>
      </c>
      <c r="DJ590" s="28" t="n">
        <f aca="false">IFERROR(INDEX(Assessments!$J$2:$J$600,MATCH($H590&amp;"|"&amp;$I590&amp;"|"&amp;$J590&amp;"|"&amp;14,Assessments!$A$2:$A$600,0)),0)</f>
        <v>0</v>
      </c>
      <c r="DK590" s="28" t="str">
        <f aca="false">S590</f>
        <v/>
      </c>
      <c r="DL590" s="28" t="str">
        <f aca="false">W590</f>
        <v/>
      </c>
      <c r="DM590" s="28" t="str">
        <f aca="false">AA590</f>
        <v/>
      </c>
      <c r="DN590" s="28" t="str">
        <f aca="false">AE590</f>
        <v/>
      </c>
      <c r="DO590" s="28" t="str">
        <f aca="false">AI590</f>
        <v/>
      </c>
      <c r="DP590" s="28" t="str">
        <f aca="false">AM590</f>
        <v/>
      </c>
      <c r="DQ590" s="28" t="str">
        <f aca="false">AQ590</f>
        <v/>
      </c>
      <c r="DR590" s="28" t="str">
        <f aca="false">AU590</f>
        <v/>
      </c>
      <c r="DS590" s="28" t="str">
        <f aca="false">AY590</f>
        <v/>
      </c>
      <c r="DT590" s="28" t="str">
        <f aca="false">BC590</f>
        <v/>
      </c>
      <c r="DU590" s="28" t="str">
        <f aca="false">BG590</f>
        <v/>
      </c>
      <c r="DV590" s="28" t="str">
        <f aca="false">BK590</f>
        <v/>
      </c>
      <c r="DW590" s="28" t="str">
        <f aca="false">BO590</f>
        <v/>
      </c>
      <c r="DX590" s="28" t="str">
        <f aca="false">BS590</f>
        <v/>
      </c>
      <c r="DY590" s="28" t="str">
        <f aca="false">IF(ISNUMBER(S590),1,"")</f>
        <v/>
      </c>
      <c r="DZ590" s="28" t="str">
        <f aca="false">IF(ISNUMBER(W590),2,"")</f>
        <v/>
      </c>
      <c r="EA590" s="28" t="str">
        <f aca="false">IF(ISNUMBER(AA590),3,"")</f>
        <v/>
      </c>
      <c r="EB590" s="28" t="str">
        <f aca="false">IF(ISNUMBER(AE590),4,"")</f>
        <v/>
      </c>
      <c r="EC590" s="28" t="str">
        <f aca="false">IF(ISNUMBER(AI590),5,"")</f>
        <v/>
      </c>
      <c r="ED590" s="28" t="str">
        <f aca="false">IF(ISNUMBER(AM590),6,"")</f>
        <v/>
      </c>
      <c r="EE590" s="28" t="str">
        <f aca="false">IF(ISNUMBER(AQ590),7,"")</f>
        <v/>
      </c>
      <c r="EF590" s="28" t="str">
        <f aca="false">IF(ISNUMBER(AU590),8,"")</f>
        <v/>
      </c>
      <c r="EG590" s="28" t="str">
        <f aca="false">IF(ISNUMBER(AY590),9,"")</f>
        <v/>
      </c>
      <c r="EH590" s="28" t="str">
        <f aca="false">IF(ISNUMBER(BC590),10,"")</f>
        <v/>
      </c>
      <c r="EI590" s="28" t="str">
        <f aca="false">IF(ISNUMBER(BG590),11,"")</f>
        <v/>
      </c>
      <c r="EJ590" s="28" t="str">
        <f aca="false">IF(ISNUMBER(BK590),12,"")</f>
        <v/>
      </c>
      <c r="EK590" s="28" t="str">
        <f aca="false">IF(ISNUMBER(BO590),13,"")</f>
        <v/>
      </c>
      <c r="EL590" s="28" t="str">
        <f aca="false">IF(ISNUMBER(BS590),14,"")</f>
        <v/>
      </c>
      <c r="EM590" s="28" t="n">
        <f aca="false">IF(ISNUMBER(R590),R590*CW590,0)</f>
        <v>0</v>
      </c>
      <c r="EN590" s="28" t="n">
        <f aca="false">IF(ISNUMBER(V590),V590*CX590,0)</f>
        <v>0</v>
      </c>
      <c r="EO590" s="28" t="n">
        <f aca="false">IF(ISNUMBER(Z590),Z590*CY590,0)</f>
        <v>0</v>
      </c>
      <c r="EP590" s="28" t="n">
        <f aca="false">IF(ISNUMBER(AD590),AD590*CZ590,0)</f>
        <v>0</v>
      </c>
      <c r="EQ590" s="28" t="n">
        <f aca="false">IF(ISNUMBER(AH590),AH590*DA590,0)</f>
        <v>0</v>
      </c>
      <c r="ER590" s="28" t="n">
        <f aca="false">IF(ISNUMBER(AL590),AL590*DB590,0)</f>
        <v>0</v>
      </c>
      <c r="ES590" s="28" t="n">
        <f aca="false">IF(ISNUMBER(AP590),AP590*DC590,0)</f>
        <v>0</v>
      </c>
      <c r="ET590" s="28" t="n">
        <f aca="false">IF(ISNUMBER(AT590),AT590*DD590,0)</f>
        <v>0</v>
      </c>
      <c r="EU590" s="28" t="n">
        <f aca="false">IF(ISNUMBER(AX590),AX590*DE590,0)</f>
        <v>0</v>
      </c>
      <c r="EV590" s="28" t="n">
        <f aca="false">IF(ISNUMBER(BB590),BB590*DF590,0)</f>
        <v>0</v>
      </c>
      <c r="EW590" s="28" t="n">
        <f aca="false">IF(ISNUMBER(BF590),BF590*DG590,0)</f>
        <v>0</v>
      </c>
      <c r="EX590" s="28" t="n">
        <f aca="false">IF(ISNUMBER(BJ590),BJ590*DH590,0)</f>
        <v>0</v>
      </c>
      <c r="EY590" s="28" t="n">
        <f aca="false">IF(ISNUMBER(BN590),BN590*DI590,0)</f>
        <v>0</v>
      </c>
      <c r="EZ590" s="28" t="n">
        <f aca="false">IF(ISNUMBER(BR590),BR590*DJ590,0)</f>
        <v>0</v>
      </c>
      <c r="FA590" s="28" t="n">
        <f aca="false">IF(ISNUMBER(R590),CW590,0)</f>
        <v>0</v>
      </c>
      <c r="FB590" s="28" t="n">
        <f aca="false">IF(ISNUMBER(V590),CX590,0)</f>
        <v>0</v>
      </c>
      <c r="FC590" s="28" t="n">
        <f aca="false">IF(ISNUMBER(Z590),CY590,0)</f>
        <v>0</v>
      </c>
      <c r="FD590" s="28" t="n">
        <f aca="false">IF(ISNUMBER(AD590),CZ590,0)</f>
        <v>0</v>
      </c>
      <c r="FE590" s="28" t="n">
        <f aca="false">IF(ISNUMBER(AH590),DA590,0)</f>
        <v>0</v>
      </c>
      <c r="FF590" s="28" t="n">
        <f aca="false">IF(ISNUMBER(AL590),DB590,0)</f>
        <v>0</v>
      </c>
      <c r="FG590" s="28" t="n">
        <f aca="false">IF(ISNUMBER(AP590),DC590,0)</f>
        <v>0</v>
      </c>
      <c r="FH590" s="28" t="n">
        <f aca="false">IF(ISNUMBER(AT590),DD590,0)</f>
        <v>0</v>
      </c>
      <c r="FI590" s="28" t="n">
        <f aca="false">IF(ISNUMBER(AX590),DE590,0)</f>
        <v>0</v>
      </c>
      <c r="FJ590" s="28" t="n">
        <f aca="false">IF(ISNUMBER(BB590),DF590,0)</f>
        <v>0</v>
      </c>
      <c r="FK590" s="28" t="n">
        <f aca="false">IF(ISNUMBER(BF590),DG590,0)</f>
        <v>0</v>
      </c>
      <c r="FL590" s="28" t="n">
        <f aca="false">IF(ISNUMBER(BJ590),DH590,0)</f>
        <v>0</v>
      </c>
      <c r="FM590" s="28" t="n">
        <f aca="false">IF(ISNUMBER(BN590),DI590,0)</f>
        <v>0</v>
      </c>
      <c r="FN590" s="28" t="n">
        <f aca="false">IF(ISNUMBER(BR590),DJ590,0)</f>
        <v>0</v>
      </c>
      <c r="FO590" s="28" t="str">
        <f aca="false">IFERROR(INDEX(Lists!$G$2:$G$20,MATCH($I590&amp;"|"&amp;$J590,Lists!$F$2:$F$20,0)),"")</f>
        <v/>
      </c>
    </row>
    <row r="591" customFormat="false" ht="19.5" hidden="false" customHeight="true" outlineLevel="0" collapsed="false">
      <c r="A591" s="29"/>
      <c r="B591" s="29"/>
      <c r="C591" s="30"/>
      <c r="D591" s="30"/>
      <c r="E591" s="31"/>
      <c r="F591" s="30"/>
      <c r="G591" s="30"/>
      <c r="H591" s="32"/>
      <c r="I591" s="33"/>
      <c r="J591" s="32"/>
      <c r="K591" s="34" t="str">
        <f aca="false">IF(OR(M591="",$E591=""),"",M591-$E591)</f>
        <v/>
      </c>
      <c r="L591" s="35" t="str">
        <f aca="false">IF(SUM(FA591:FN591)=0,"",SUM(EM591:EZ591)/SUM(FA591:FN591))</f>
        <v/>
      </c>
      <c r="M591" s="36" t="str">
        <f aca="false">IF(OR(L591="",FO591=""),"",IFERROR(MATCH(L591,INDEX(Boundaries!$B$2:$I$30,MATCH(FO591,Boundaries!$A$2:$A$30,0),0),1)-1,""))</f>
        <v/>
      </c>
      <c r="N591" s="37" t="str">
        <f aca="false">IF(COUNT($DY591:$EL591)&lt;2,"",INDEX($DK591:$DX591,MAX($DY591:$EL591))-INDEX($DK591:$DX591,MIN($DY591:$EL591)))</f>
        <v/>
      </c>
      <c r="O591" s="37" t="str">
        <f aca="false">IF(COUNT($DY591:$EL591)&lt;2,"",INDEX($DK591:$DX591,MAX($DY591:$EL591))-INDEX($DK591:$DX591,LARGE($DY591:$EL591,2)))</f>
        <v/>
      </c>
      <c r="P591" s="38" t="str">
        <f aca="false">IF(K591="","",IF(K591&gt;=0,"On/above target",IF(AND(N591&lt;&gt;"",N591&gt;=0.5),"Improving towards target",IF(AND(O591&lt;&gt;"",O591&lt;=-0.5),"Declining","Stable below target"))))</f>
        <v/>
      </c>
      <c r="Q591" s="39"/>
      <c r="R591" s="40" t="str">
        <f aca="false">IF(OR(Q591="",BU591=""),"",Q591/BU591*100)</f>
        <v/>
      </c>
      <c r="S591" s="41" t="str">
        <f aca="false">IF(R591="","",IFERROR(MATCH(R591,INDEX(Boundaries!$B$2:$I$30,MATCH(CI591,Boundaries!$A$2:$A$30,0),0),1)-1,""))</f>
        <v/>
      </c>
      <c r="T591" s="42" t="str">
        <f aca="false">IF(OR(S591="",$E591=""),"",S591-$E591)</f>
        <v/>
      </c>
      <c r="U591" s="39"/>
      <c r="V591" s="40" t="str">
        <f aca="false">IF(OR(U591="",BV591=""),"",U591/BV591*100)</f>
        <v/>
      </c>
      <c r="W591" s="41" t="str">
        <f aca="false">IF(V591="","",IFERROR(MATCH(V591,INDEX(Boundaries!$B$2:$I$30,MATCH(CJ591,Boundaries!$A$2:$A$30,0),0),1)-1,""))</f>
        <v/>
      </c>
      <c r="X591" s="42" t="str">
        <f aca="false">IF(OR(W591="",$E591=""),"",W591-$E591)</f>
        <v/>
      </c>
      <c r="Y591" s="39"/>
      <c r="Z591" s="40" t="str">
        <f aca="false">IF(OR(Y591="",BW591=""),"",Y591/BW591*100)</f>
        <v/>
      </c>
      <c r="AA591" s="41" t="str">
        <f aca="false">IF(Z591="","",IFERROR(MATCH(Z591,INDEX(Boundaries!$B$2:$I$30,MATCH(CK591,Boundaries!$A$2:$A$30,0),0),1)-1,""))</f>
        <v/>
      </c>
      <c r="AB591" s="42" t="str">
        <f aca="false">IF(OR(AA591="",$E591=""),"",AA591-$E591)</f>
        <v/>
      </c>
      <c r="AC591" s="39"/>
      <c r="AD591" s="40" t="str">
        <f aca="false">IF(OR(AC591="",BX591=""),"",AC591/BX591*100)</f>
        <v/>
      </c>
      <c r="AE591" s="41" t="str">
        <f aca="false">IF(AD591="","",IFERROR(MATCH(AD591,INDEX(Boundaries!$B$2:$I$30,MATCH(CL591,Boundaries!$A$2:$A$30,0),0),1)-1,""))</f>
        <v/>
      </c>
      <c r="AF591" s="42" t="str">
        <f aca="false">IF(OR(AE591="",$E591=""),"",AE591-$E591)</f>
        <v/>
      </c>
      <c r="AG591" s="39"/>
      <c r="AH591" s="40" t="str">
        <f aca="false">IF(OR(AG591="",BY591=""),"",AG591/BY591*100)</f>
        <v/>
      </c>
      <c r="AI591" s="41" t="str">
        <f aca="false">IF(AH591="","",IFERROR(MATCH(AH591,INDEX(Boundaries!$B$2:$I$30,MATCH(CM591,Boundaries!$A$2:$A$30,0),0),1)-1,""))</f>
        <v/>
      </c>
      <c r="AJ591" s="42" t="str">
        <f aca="false">IF(OR(AI591="",$E591=""),"",AI591-$E591)</f>
        <v/>
      </c>
      <c r="AK591" s="39"/>
      <c r="AL591" s="40" t="str">
        <f aca="false">IF(OR(AK591="",BZ591=""),"",AK591/BZ591*100)</f>
        <v/>
      </c>
      <c r="AM591" s="41" t="str">
        <f aca="false">IF(AL591="","",IFERROR(MATCH(AL591,INDEX(Boundaries!$B$2:$I$30,MATCH(CN591,Boundaries!$A$2:$A$30,0),0),1)-1,""))</f>
        <v/>
      </c>
      <c r="AN591" s="42" t="str">
        <f aca="false">IF(OR(AM591="",$E591=""),"",AM591-$E591)</f>
        <v/>
      </c>
      <c r="AO591" s="39"/>
      <c r="AP591" s="40" t="str">
        <f aca="false">IF(OR(AO591="",CA591=""),"",AO591/CA591*100)</f>
        <v/>
      </c>
      <c r="AQ591" s="41" t="str">
        <f aca="false">IF(AP591="","",IFERROR(MATCH(AP591,INDEX(Boundaries!$B$2:$I$30,MATCH(CO591,Boundaries!$A$2:$A$30,0),0),1)-1,""))</f>
        <v/>
      </c>
      <c r="AR591" s="42" t="str">
        <f aca="false">IF(OR(AQ591="",$E591=""),"",AQ591-$E591)</f>
        <v/>
      </c>
      <c r="AS591" s="39"/>
      <c r="AT591" s="40" t="str">
        <f aca="false">IF(OR(AS591="",CB591=""),"",AS591/CB591*100)</f>
        <v/>
      </c>
      <c r="AU591" s="41" t="str">
        <f aca="false">IF(AT591="","",IFERROR(MATCH(AT591,INDEX(Boundaries!$B$2:$I$30,MATCH(CP591,Boundaries!$A$2:$A$30,0),0),1)-1,""))</f>
        <v/>
      </c>
      <c r="AV591" s="42" t="str">
        <f aca="false">IF(OR(AU591="",$E591=""),"",AU591-$E591)</f>
        <v/>
      </c>
      <c r="AW591" s="39"/>
      <c r="AX591" s="40" t="str">
        <f aca="false">IF(OR(AW591="",CC591=""),"",AW591/CC591*100)</f>
        <v/>
      </c>
      <c r="AY591" s="41" t="str">
        <f aca="false">IF(AX591="","",IFERROR(MATCH(AX591,INDEX(Boundaries!$B$2:$I$30,MATCH(CQ591,Boundaries!$A$2:$A$30,0),0),1)-1,""))</f>
        <v/>
      </c>
      <c r="AZ591" s="42" t="str">
        <f aca="false">IF(OR(AY591="",$E591=""),"",AY591-$E591)</f>
        <v/>
      </c>
      <c r="BA591" s="39"/>
      <c r="BB591" s="40" t="str">
        <f aca="false">IF(OR(BA591="",CD591=""),"",BA591/CD591*100)</f>
        <v/>
      </c>
      <c r="BC591" s="41" t="str">
        <f aca="false">IF(BB591="","",IFERROR(MATCH(BB591,INDEX(Boundaries!$B$2:$I$30,MATCH(CR591,Boundaries!$A$2:$A$30,0),0),1)-1,""))</f>
        <v/>
      </c>
      <c r="BD591" s="42" t="str">
        <f aca="false">IF(OR(BC591="",$E591=""),"",BC591-$E591)</f>
        <v/>
      </c>
      <c r="BE591" s="39"/>
      <c r="BF591" s="40" t="str">
        <f aca="false">IF(OR(BE591="",CE591=""),"",BE591/CE591*100)</f>
        <v/>
      </c>
      <c r="BG591" s="41" t="str">
        <f aca="false">IF(BF591="","",IFERROR(MATCH(BF591,INDEX(Boundaries!$B$2:$I$30,MATCH(CS591,Boundaries!$A$2:$A$30,0),0),1)-1,""))</f>
        <v/>
      </c>
      <c r="BH591" s="42" t="str">
        <f aca="false">IF(OR(BG591="",$E591=""),"",BG591-$E591)</f>
        <v/>
      </c>
      <c r="BI591" s="39"/>
      <c r="BJ591" s="40" t="str">
        <f aca="false">IF(OR(BI591="",CF591=""),"",BI591/CF591*100)</f>
        <v/>
      </c>
      <c r="BK591" s="41" t="str">
        <f aca="false">IF(BJ591="","",IFERROR(MATCH(BJ591,INDEX(Boundaries!$B$2:$I$30,MATCH(CT591,Boundaries!$A$2:$A$30,0),0),1)-1,""))</f>
        <v/>
      </c>
      <c r="BL591" s="42" t="str">
        <f aca="false">IF(OR(BK591="",$E591=""),"",BK591-$E591)</f>
        <v/>
      </c>
      <c r="BM591" s="39"/>
      <c r="BN591" s="40" t="str">
        <f aca="false">IF(OR(BM591="",CG591=""),"",BM591/CG591*100)</f>
        <v/>
      </c>
      <c r="BO591" s="41" t="str">
        <f aca="false">IF(BN591="","",IFERROR(MATCH(BN591,INDEX(Boundaries!$B$2:$I$30,MATCH(CU591,Boundaries!$A$2:$A$30,0),0),1)-1,""))</f>
        <v/>
      </c>
      <c r="BP591" s="42" t="str">
        <f aca="false">IF(OR(BO591="",$E591=""),"",BO591-$E591)</f>
        <v/>
      </c>
      <c r="BQ591" s="39"/>
      <c r="BR591" s="40" t="str">
        <f aca="false">IF(OR(BQ591="",CH591=""),"",BQ591/CH591*100)</f>
        <v/>
      </c>
      <c r="BS591" s="41" t="str">
        <f aca="false">IF(BR591="","",IFERROR(MATCH(BR591,INDEX(Boundaries!$B$2:$I$30,MATCH(CV591,Boundaries!$A$2:$A$30,0),0),1)-1,""))</f>
        <v/>
      </c>
      <c r="BT591" s="42" t="str">
        <f aca="false">IF(OR(BS591="",$E591=""),"",BS591-$E591)</f>
        <v/>
      </c>
      <c r="BU591" s="28" t="str">
        <f aca="false">IFERROR(INDEX(Assessments!$H$2:$H$600,MATCH($H591&amp;"|"&amp;$I591&amp;"|"&amp;$J591&amp;"|"&amp;1,Assessments!$A$2:$A$600,0)),"")</f>
        <v/>
      </c>
      <c r="BV591" s="28" t="str">
        <f aca="false">IFERROR(INDEX(Assessments!$H$2:$H$600,MATCH($H591&amp;"|"&amp;$I591&amp;"|"&amp;$J591&amp;"|"&amp;2,Assessments!$A$2:$A$600,0)),"")</f>
        <v/>
      </c>
      <c r="BW591" s="28" t="str">
        <f aca="false">IFERROR(INDEX(Assessments!$H$2:$H$600,MATCH($H591&amp;"|"&amp;$I591&amp;"|"&amp;$J591&amp;"|"&amp;3,Assessments!$A$2:$A$600,0)),"")</f>
        <v/>
      </c>
      <c r="BX591" s="28" t="str">
        <f aca="false">IFERROR(INDEX(Assessments!$H$2:$H$600,MATCH($H591&amp;"|"&amp;$I591&amp;"|"&amp;$J591&amp;"|"&amp;4,Assessments!$A$2:$A$600,0)),"")</f>
        <v/>
      </c>
      <c r="BY591" s="28" t="str">
        <f aca="false">IFERROR(INDEX(Assessments!$H$2:$H$600,MATCH($H591&amp;"|"&amp;$I591&amp;"|"&amp;$J591&amp;"|"&amp;5,Assessments!$A$2:$A$600,0)),"")</f>
        <v/>
      </c>
      <c r="BZ591" s="28" t="str">
        <f aca="false">IFERROR(INDEX(Assessments!$H$2:$H$600,MATCH($H591&amp;"|"&amp;$I591&amp;"|"&amp;$J591&amp;"|"&amp;6,Assessments!$A$2:$A$600,0)),"")</f>
        <v/>
      </c>
      <c r="CA591" s="28" t="str">
        <f aca="false">IFERROR(INDEX(Assessments!$H$2:$H$600,MATCH($H591&amp;"|"&amp;$I591&amp;"|"&amp;$J591&amp;"|"&amp;7,Assessments!$A$2:$A$600,0)),"")</f>
        <v/>
      </c>
      <c r="CB591" s="28" t="str">
        <f aca="false">IFERROR(INDEX(Assessments!$H$2:$H$600,MATCH($H591&amp;"|"&amp;$I591&amp;"|"&amp;$J591&amp;"|"&amp;8,Assessments!$A$2:$A$600,0)),"")</f>
        <v/>
      </c>
      <c r="CC591" s="28" t="str">
        <f aca="false">IFERROR(INDEX(Assessments!$H$2:$H$600,MATCH($H591&amp;"|"&amp;$I591&amp;"|"&amp;$J591&amp;"|"&amp;9,Assessments!$A$2:$A$600,0)),"")</f>
        <v/>
      </c>
      <c r="CD591" s="28" t="str">
        <f aca="false">IFERROR(INDEX(Assessments!$H$2:$H$600,MATCH($H591&amp;"|"&amp;$I591&amp;"|"&amp;$J591&amp;"|"&amp;10,Assessments!$A$2:$A$600,0)),"")</f>
        <v/>
      </c>
      <c r="CE591" s="28" t="str">
        <f aca="false">IFERROR(INDEX(Assessments!$H$2:$H$600,MATCH($H591&amp;"|"&amp;$I591&amp;"|"&amp;$J591&amp;"|"&amp;11,Assessments!$A$2:$A$600,0)),"")</f>
        <v/>
      </c>
      <c r="CF591" s="28" t="str">
        <f aca="false">IFERROR(INDEX(Assessments!$H$2:$H$600,MATCH($H591&amp;"|"&amp;$I591&amp;"|"&amp;$J591&amp;"|"&amp;12,Assessments!$A$2:$A$600,0)),"")</f>
        <v/>
      </c>
      <c r="CG591" s="28" t="str">
        <f aca="false">IFERROR(INDEX(Assessments!$H$2:$H$600,MATCH($H591&amp;"|"&amp;$I591&amp;"|"&amp;$J591&amp;"|"&amp;13,Assessments!$A$2:$A$600,0)),"")</f>
        <v/>
      </c>
      <c r="CH591" s="28" t="str">
        <f aca="false">IFERROR(INDEX(Assessments!$H$2:$H$600,MATCH($H591&amp;"|"&amp;$I591&amp;"|"&amp;$J591&amp;"|"&amp;14,Assessments!$A$2:$A$600,0)),"")</f>
        <v/>
      </c>
      <c r="CI591" s="28" t="str">
        <f aca="false">IFERROR(INDEX(Assessments!$I$2:$I$600,MATCH($H591&amp;"|"&amp;$I591&amp;"|"&amp;$J591&amp;"|"&amp;1,Assessments!$A$2:$A$600,0)),"")</f>
        <v/>
      </c>
      <c r="CJ591" s="28" t="str">
        <f aca="false">IFERROR(INDEX(Assessments!$I$2:$I$600,MATCH($H591&amp;"|"&amp;$I591&amp;"|"&amp;$J591&amp;"|"&amp;2,Assessments!$A$2:$A$600,0)),"")</f>
        <v/>
      </c>
      <c r="CK591" s="28" t="str">
        <f aca="false">IFERROR(INDEX(Assessments!$I$2:$I$600,MATCH($H591&amp;"|"&amp;$I591&amp;"|"&amp;$J591&amp;"|"&amp;3,Assessments!$A$2:$A$600,0)),"")</f>
        <v/>
      </c>
      <c r="CL591" s="28" t="str">
        <f aca="false">IFERROR(INDEX(Assessments!$I$2:$I$600,MATCH($H591&amp;"|"&amp;$I591&amp;"|"&amp;$J591&amp;"|"&amp;4,Assessments!$A$2:$A$600,0)),"")</f>
        <v/>
      </c>
      <c r="CM591" s="28" t="str">
        <f aca="false">IFERROR(INDEX(Assessments!$I$2:$I$600,MATCH($H591&amp;"|"&amp;$I591&amp;"|"&amp;$J591&amp;"|"&amp;5,Assessments!$A$2:$A$600,0)),"")</f>
        <v/>
      </c>
      <c r="CN591" s="28" t="str">
        <f aca="false">IFERROR(INDEX(Assessments!$I$2:$I$600,MATCH($H591&amp;"|"&amp;$I591&amp;"|"&amp;$J591&amp;"|"&amp;6,Assessments!$A$2:$A$600,0)),"")</f>
        <v/>
      </c>
      <c r="CO591" s="28" t="str">
        <f aca="false">IFERROR(INDEX(Assessments!$I$2:$I$600,MATCH($H591&amp;"|"&amp;$I591&amp;"|"&amp;$J591&amp;"|"&amp;7,Assessments!$A$2:$A$600,0)),"")</f>
        <v/>
      </c>
      <c r="CP591" s="28" t="str">
        <f aca="false">IFERROR(INDEX(Assessments!$I$2:$I$600,MATCH($H591&amp;"|"&amp;$I591&amp;"|"&amp;$J591&amp;"|"&amp;8,Assessments!$A$2:$A$600,0)),"")</f>
        <v/>
      </c>
      <c r="CQ591" s="28" t="str">
        <f aca="false">IFERROR(INDEX(Assessments!$I$2:$I$600,MATCH($H591&amp;"|"&amp;$I591&amp;"|"&amp;$J591&amp;"|"&amp;9,Assessments!$A$2:$A$600,0)),"")</f>
        <v/>
      </c>
      <c r="CR591" s="28" t="str">
        <f aca="false">IFERROR(INDEX(Assessments!$I$2:$I$600,MATCH($H591&amp;"|"&amp;$I591&amp;"|"&amp;$J591&amp;"|"&amp;10,Assessments!$A$2:$A$600,0)),"")</f>
        <v/>
      </c>
      <c r="CS591" s="28" t="str">
        <f aca="false">IFERROR(INDEX(Assessments!$I$2:$I$600,MATCH($H591&amp;"|"&amp;$I591&amp;"|"&amp;$J591&amp;"|"&amp;11,Assessments!$A$2:$A$600,0)),"")</f>
        <v/>
      </c>
      <c r="CT591" s="28" t="str">
        <f aca="false">IFERROR(INDEX(Assessments!$I$2:$I$600,MATCH($H591&amp;"|"&amp;$I591&amp;"|"&amp;$J591&amp;"|"&amp;12,Assessments!$A$2:$A$600,0)),"")</f>
        <v/>
      </c>
      <c r="CU591" s="28" t="str">
        <f aca="false">IFERROR(INDEX(Assessments!$I$2:$I$600,MATCH($H591&amp;"|"&amp;$I591&amp;"|"&amp;$J591&amp;"|"&amp;13,Assessments!$A$2:$A$600,0)),"")</f>
        <v/>
      </c>
      <c r="CV591" s="28" t="str">
        <f aca="false">IFERROR(INDEX(Assessments!$I$2:$I$600,MATCH($H591&amp;"|"&amp;$I591&amp;"|"&amp;$J591&amp;"|"&amp;14,Assessments!$A$2:$A$600,0)),"")</f>
        <v/>
      </c>
      <c r="CW591" s="28" t="n">
        <f aca="false">IFERROR(INDEX(Assessments!$J$2:$J$600,MATCH($H591&amp;"|"&amp;$I591&amp;"|"&amp;$J591&amp;"|"&amp;1,Assessments!$A$2:$A$600,0)),0)</f>
        <v>0</v>
      </c>
      <c r="CX591" s="28" t="n">
        <f aca="false">IFERROR(INDEX(Assessments!$J$2:$J$600,MATCH($H591&amp;"|"&amp;$I591&amp;"|"&amp;$J591&amp;"|"&amp;2,Assessments!$A$2:$A$600,0)),0)</f>
        <v>0</v>
      </c>
      <c r="CY591" s="28" t="n">
        <f aca="false">IFERROR(INDEX(Assessments!$J$2:$J$600,MATCH($H591&amp;"|"&amp;$I591&amp;"|"&amp;$J591&amp;"|"&amp;3,Assessments!$A$2:$A$600,0)),0)</f>
        <v>0</v>
      </c>
      <c r="CZ591" s="28" t="n">
        <f aca="false">IFERROR(INDEX(Assessments!$J$2:$J$600,MATCH($H591&amp;"|"&amp;$I591&amp;"|"&amp;$J591&amp;"|"&amp;4,Assessments!$A$2:$A$600,0)),0)</f>
        <v>0</v>
      </c>
      <c r="DA591" s="28" t="n">
        <f aca="false">IFERROR(INDEX(Assessments!$J$2:$J$600,MATCH($H591&amp;"|"&amp;$I591&amp;"|"&amp;$J591&amp;"|"&amp;5,Assessments!$A$2:$A$600,0)),0)</f>
        <v>0</v>
      </c>
      <c r="DB591" s="28" t="n">
        <f aca="false">IFERROR(INDEX(Assessments!$J$2:$J$600,MATCH($H591&amp;"|"&amp;$I591&amp;"|"&amp;$J591&amp;"|"&amp;6,Assessments!$A$2:$A$600,0)),0)</f>
        <v>0</v>
      </c>
      <c r="DC591" s="28" t="n">
        <f aca="false">IFERROR(INDEX(Assessments!$J$2:$J$600,MATCH($H591&amp;"|"&amp;$I591&amp;"|"&amp;$J591&amp;"|"&amp;7,Assessments!$A$2:$A$600,0)),0)</f>
        <v>0</v>
      </c>
      <c r="DD591" s="28" t="n">
        <f aca="false">IFERROR(INDEX(Assessments!$J$2:$J$600,MATCH($H591&amp;"|"&amp;$I591&amp;"|"&amp;$J591&amp;"|"&amp;8,Assessments!$A$2:$A$600,0)),0)</f>
        <v>0</v>
      </c>
      <c r="DE591" s="28" t="n">
        <f aca="false">IFERROR(INDEX(Assessments!$J$2:$J$600,MATCH($H591&amp;"|"&amp;$I591&amp;"|"&amp;$J591&amp;"|"&amp;9,Assessments!$A$2:$A$600,0)),0)</f>
        <v>0</v>
      </c>
      <c r="DF591" s="28" t="n">
        <f aca="false">IFERROR(INDEX(Assessments!$J$2:$J$600,MATCH($H591&amp;"|"&amp;$I591&amp;"|"&amp;$J591&amp;"|"&amp;10,Assessments!$A$2:$A$600,0)),0)</f>
        <v>0</v>
      </c>
      <c r="DG591" s="28" t="n">
        <f aca="false">IFERROR(INDEX(Assessments!$J$2:$J$600,MATCH($H591&amp;"|"&amp;$I591&amp;"|"&amp;$J591&amp;"|"&amp;11,Assessments!$A$2:$A$600,0)),0)</f>
        <v>0</v>
      </c>
      <c r="DH591" s="28" t="n">
        <f aca="false">IFERROR(INDEX(Assessments!$J$2:$J$600,MATCH($H591&amp;"|"&amp;$I591&amp;"|"&amp;$J591&amp;"|"&amp;12,Assessments!$A$2:$A$600,0)),0)</f>
        <v>0</v>
      </c>
      <c r="DI591" s="28" t="n">
        <f aca="false">IFERROR(INDEX(Assessments!$J$2:$J$600,MATCH($H591&amp;"|"&amp;$I591&amp;"|"&amp;$J591&amp;"|"&amp;13,Assessments!$A$2:$A$600,0)),0)</f>
        <v>0</v>
      </c>
      <c r="DJ591" s="28" t="n">
        <f aca="false">IFERROR(INDEX(Assessments!$J$2:$J$600,MATCH($H591&amp;"|"&amp;$I591&amp;"|"&amp;$J591&amp;"|"&amp;14,Assessments!$A$2:$A$600,0)),0)</f>
        <v>0</v>
      </c>
      <c r="DK591" s="28" t="str">
        <f aca="false">S591</f>
        <v/>
      </c>
      <c r="DL591" s="28" t="str">
        <f aca="false">W591</f>
        <v/>
      </c>
      <c r="DM591" s="28" t="str">
        <f aca="false">AA591</f>
        <v/>
      </c>
      <c r="DN591" s="28" t="str">
        <f aca="false">AE591</f>
        <v/>
      </c>
      <c r="DO591" s="28" t="str">
        <f aca="false">AI591</f>
        <v/>
      </c>
      <c r="DP591" s="28" t="str">
        <f aca="false">AM591</f>
        <v/>
      </c>
      <c r="DQ591" s="28" t="str">
        <f aca="false">AQ591</f>
        <v/>
      </c>
      <c r="DR591" s="28" t="str">
        <f aca="false">AU591</f>
        <v/>
      </c>
      <c r="DS591" s="28" t="str">
        <f aca="false">AY591</f>
        <v/>
      </c>
      <c r="DT591" s="28" t="str">
        <f aca="false">BC591</f>
        <v/>
      </c>
      <c r="DU591" s="28" t="str">
        <f aca="false">BG591</f>
        <v/>
      </c>
      <c r="DV591" s="28" t="str">
        <f aca="false">BK591</f>
        <v/>
      </c>
      <c r="DW591" s="28" t="str">
        <f aca="false">BO591</f>
        <v/>
      </c>
      <c r="DX591" s="28" t="str">
        <f aca="false">BS591</f>
        <v/>
      </c>
      <c r="DY591" s="28" t="str">
        <f aca="false">IF(ISNUMBER(S591),1,"")</f>
        <v/>
      </c>
      <c r="DZ591" s="28" t="str">
        <f aca="false">IF(ISNUMBER(W591),2,"")</f>
        <v/>
      </c>
      <c r="EA591" s="28" t="str">
        <f aca="false">IF(ISNUMBER(AA591),3,"")</f>
        <v/>
      </c>
      <c r="EB591" s="28" t="str">
        <f aca="false">IF(ISNUMBER(AE591),4,"")</f>
        <v/>
      </c>
      <c r="EC591" s="28" t="str">
        <f aca="false">IF(ISNUMBER(AI591),5,"")</f>
        <v/>
      </c>
      <c r="ED591" s="28" t="str">
        <f aca="false">IF(ISNUMBER(AM591),6,"")</f>
        <v/>
      </c>
      <c r="EE591" s="28" t="str">
        <f aca="false">IF(ISNUMBER(AQ591),7,"")</f>
        <v/>
      </c>
      <c r="EF591" s="28" t="str">
        <f aca="false">IF(ISNUMBER(AU591),8,"")</f>
        <v/>
      </c>
      <c r="EG591" s="28" t="str">
        <f aca="false">IF(ISNUMBER(AY591),9,"")</f>
        <v/>
      </c>
      <c r="EH591" s="28" t="str">
        <f aca="false">IF(ISNUMBER(BC591),10,"")</f>
        <v/>
      </c>
      <c r="EI591" s="28" t="str">
        <f aca="false">IF(ISNUMBER(BG591),11,"")</f>
        <v/>
      </c>
      <c r="EJ591" s="28" t="str">
        <f aca="false">IF(ISNUMBER(BK591),12,"")</f>
        <v/>
      </c>
      <c r="EK591" s="28" t="str">
        <f aca="false">IF(ISNUMBER(BO591),13,"")</f>
        <v/>
      </c>
      <c r="EL591" s="28" t="str">
        <f aca="false">IF(ISNUMBER(BS591),14,"")</f>
        <v/>
      </c>
      <c r="EM591" s="28" t="n">
        <f aca="false">IF(ISNUMBER(R591),R591*CW591,0)</f>
        <v>0</v>
      </c>
      <c r="EN591" s="28" t="n">
        <f aca="false">IF(ISNUMBER(V591),V591*CX591,0)</f>
        <v>0</v>
      </c>
      <c r="EO591" s="28" t="n">
        <f aca="false">IF(ISNUMBER(Z591),Z591*CY591,0)</f>
        <v>0</v>
      </c>
      <c r="EP591" s="28" t="n">
        <f aca="false">IF(ISNUMBER(AD591),AD591*CZ591,0)</f>
        <v>0</v>
      </c>
      <c r="EQ591" s="28" t="n">
        <f aca="false">IF(ISNUMBER(AH591),AH591*DA591,0)</f>
        <v>0</v>
      </c>
      <c r="ER591" s="28" t="n">
        <f aca="false">IF(ISNUMBER(AL591),AL591*DB591,0)</f>
        <v>0</v>
      </c>
      <c r="ES591" s="28" t="n">
        <f aca="false">IF(ISNUMBER(AP591),AP591*DC591,0)</f>
        <v>0</v>
      </c>
      <c r="ET591" s="28" t="n">
        <f aca="false">IF(ISNUMBER(AT591),AT591*DD591,0)</f>
        <v>0</v>
      </c>
      <c r="EU591" s="28" t="n">
        <f aca="false">IF(ISNUMBER(AX591),AX591*DE591,0)</f>
        <v>0</v>
      </c>
      <c r="EV591" s="28" t="n">
        <f aca="false">IF(ISNUMBER(BB591),BB591*DF591,0)</f>
        <v>0</v>
      </c>
      <c r="EW591" s="28" t="n">
        <f aca="false">IF(ISNUMBER(BF591),BF591*DG591,0)</f>
        <v>0</v>
      </c>
      <c r="EX591" s="28" t="n">
        <f aca="false">IF(ISNUMBER(BJ591),BJ591*DH591,0)</f>
        <v>0</v>
      </c>
      <c r="EY591" s="28" t="n">
        <f aca="false">IF(ISNUMBER(BN591),BN591*DI591,0)</f>
        <v>0</v>
      </c>
      <c r="EZ591" s="28" t="n">
        <f aca="false">IF(ISNUMBER(BR591),BR591*DJ591,0)</f>
        <v>0</v>
      </c>
      <c r="FA591" s="28" t="n">
        <f aca="false">IF(ISNUMBER(R591),CW591,0)</f>
        <v>0</v>
      </c>
      <c r="FB591" s="28" t="n">
        <f aca="false">IF(ISNUMBER(V591),CX591,0)</f>
        <v>0</v>
      </c>
      <c r="FC591" s="28" t="n">
        <f aca="false">IF(ISNUMBER(Z591),CY591,0)</f>
        <v>0</v>
      </c>
      <c r="FD591" s="28" t="n">
        <f aca="false">IF(ISNUMBER(AD591),CZ591,0)</f>
        <v>0</v>
      </c>
      <c r="FE591" s="28" t="n">
        <f aca="false">IF(ISNUMBER(AH591),DA591,0)</f>
        <v>0</v>
      </c>
      <c r="FF591" s="28" t="n">
        <f aca="false">IF(ISNUMBER(AL591),DB591,0)</f>
        <v>0</v>
      </c>
      <c r="FG591" s="28" t="n">
        <f aca="false">IF(ISNUMBER(AP591),DC591,0)</f>
        <v>0</v>
      </c>
      <c r="FH591" s="28" t="n">
        <f aca="false">IF(ISNUMBER(AT591),DD591,0)</f>
        <v>0</v>
      </c>
      <c r="FI591" s="28" t="n">
        <f aca="false">IF(ISNUMBER(AX591),DE591,0)</f>
        <v>0</v>
      </c>
      <c r="FJ591" s="28" t="n">
        <f aca="false">IF(ISNUMBER(BB591),DF591,0)</f>
        <v>0</v>
      </c>
      <c r="FK591" s="28" t="n">
        <f aca="false">IF(ISNUMBER(BF591),DG591,0)</f>
        <v>0</v>
      </c>
      <c r="FL591" s="28" t="n">
        <f aca="false">IF(ISNUMBER(BJ591),DH591,0)</f>
        <v>0</v>
      </c>
      <c r="FM591" s="28" t="n">
        <f aca="false">IF(ISNUMBER(BN591),DI591,0)</f>
        <v>0</v>
      </c>
      <c r="FN591" s="28" t="n">
        <f aca="false">IF(ISNUMBER(BR591),DJ591,0)</f>
        <v>0</v>
      </c>
      <c r="FO591" s="28" t="str">
        <f aca="false">IFERROR(INDEX(Lists!$G$2:$G$20,MATCH($I591&amp;"|"&amp;$J591,Lists!$F$2:$F$20,0)),"")</f>
        <v/>
      </c>
    </row>
    <row r="592" customFormat="false" ht="19.5" hidden="false" customHeight="true" outlineLevel="0" collapsed="false">
      <c r="A592" s="29"/>
      <c r="B592" s="29"/>
      <c r="C592" s="30"/>
      <c r="D592" s="30"/>
      <c r="E592" s="31"/>
      <c r="F592" s="30"/>
      <c r="G592" s="30"/>
      <c r="H592" s="32"/>
      <c r="I592" s="33"/>
      <c r="J592" s="32"/>
      <c r="K592" s="34" t="str">
        <f aca="false">IF(OR(M592="",$E592=""),"",M592-$E592)</f>
        <v/>
      </c>
      <c r="L592" s="35" t="str">
        <f aca="false">IF(SUM(FA592:FN592)=0,"",SUM(EM592:EZ592)/SUM(FA592:FN592))</f>
        <v/>
      </c>
      <c r="M592" s="36" t="str">
        <f aca="false">IF(OR(L592="",FO592=""),"",IFERROR(MATCH(L592,INDEX(Boundaries!$B$2:$I$30,MATCH(FO592,Boundaries!$A$2:$A$30,0),0),1)-1,""))</f>
        <v/>
      </c>
      <c r="N592" s="37" t="str">
        <f aca="false">IF(COUNT($DY592:$EL592)&lt;2,"",INDEX($DK592:$DX592,MAX($DY592:$EL592))-INDEX($DK592:$DX592,MIN($DY592:$EL592)))</f>
        <v/>
      </c>
      <c r="O592" s="37" t="str">
        <f aca="false">IF(COUNT($DY592:$EL592)&lt;2,"",INDEX($DK592:$DX592,MAX($DY592:$EL592))-INDEX($DK592:$DX592,LARGE($DY592:$EL592,2)))</f>
        <v/>
      </c>
      <c r="P592" s="38" t="str">
        <f aca="false">IF(K592="","",IF(K592&gt;=0,"On/above target",IF(AND(N592&lt;&gt;"",N592&gt;=0.5),"Improving towards target",IF(AND(O592&lt;&gt;"",O592&lt;=-0.5),"Declining","Stable below target"))))</f>
        <v/>
      </c>
      <c r="Q592" s="39"/>
      <c r="R592" s="40" t="str">
        <f aca="false">IF(OR(Q592="",BU592=""),"",Q592/BU592*100)</f>
        <v/>
      </c>
      <c r="S592" s="41" t="str">
        <f aca="false">IF(R592="","",IFERROR(MATCH(R592,INDEX(Boundaries!$B$2:$I$30,MATCH(CI592,Boundaries!$A$2:$A$30,0),0),1)-1,""))</f>
        <v/>
      </c>
      <c r="T592" s="42" t="str">
        <f aca="false">IF(OR(S592="",$E592=""),"",S592-$E592)</f>
        <v/>
      </c>
      <c r="U592" s="39"/>
      <c r="V592" s="40" t="str">
        <f aca="false">IF(OR(U592="",BV592=""),"",U592/BV592*100)</f>
        <v/>
      </c>
      <c r="W592" s="41" t="str">
        <f aca="false">IF(V592="","",IFERROR(MATCH(V592,INDEX(Boundaries!$B$2:$I$30,MATCH(CJ592,Boundaries!$A$2:$A$30,0),0),1)-1,""))</f>
        <v/>
      </c>
      <c r="X592" s="42" t="str">
        <f aca="false">IF(OR(W592="",$E592=""),"",W592-$E592)</f>
        <v/>
      </c>
      <c r="Y592" s="39"/>
      <c r="Z592" s="40" t="str">
        <f aca="false">IF(OR(Y592="",BW592=""),"",Y592/BW592*100)</f>
        <v/>
      </c>
      <c r="AA592" s="41" t="str">
        <f aca="false">IF(Z592="","",IFERROR(MATCH(Z592,INDEX(Boundaries!$B$2:$I$30,MATCH(CK592,Boundaries!$A$2:$A$30,0),0),1)-1,""))</f>
        <v/>
      </c>
      <c r="AB592" s="42" t="str">
        <f aca="false">IF(OR(AA592="",$E592=""),"",AA592-$E592)</f>
        <v/>
      </c>
      <c r="AC592" s="39"/>
      <c r="AD592" s="40" t="str">
        <f aca="false">IF(OR(AC592="",BX592=""),"",AC592/BX592*100)</f>
        <v/>
      </c>
      <c r="AE592" s="41" t="str">
        <f aca="false">IF(AD592="","",IFERROR(MATCH(AD592,INDEX(Boundaries!$B$2:$I$30,MATCH(CL592,Boundaries!$A$2:$A$30,0),0),1)-1,""))</f>
        <v/>
      </c>
      <c r="AF592" s="42" t="str">
        <f aca="false">IF(OR(AE592="",$E592=""),"",AE592-$E592)</f>
        <v/>
      </c>
      <c r="AG592" s="39"/>
      <c r="AH592" s="40" t="str">
        <f aca="false">IF(OR(AG592="",BY592=""),"",AG592/BY592*100)</f>
        <v/>
      </c>
      <c r="AI592" s="41" t="str">
        <f aca="false">IF(AH592="","",IFERROR(MATCH(AH592,INDEX(Boundaries!$B$2:$I$30,MATCH(CM592,Boundaries!$A$2:$A$30,0),0),1)-1,""))</f>
        <v/>
      </c>
      <c r="AJ592" s="42" t="str">
        <f aca="false">IF(OR(AI592="",$E592=""),"",AI592-$E592)</f>
        <v/>
      </c>
      <c r="AK592" s="39"/>
      <c r="AL592" s="40" t="str">
        <f aca="false">IF(OR(AK592="",BZ592=""),"",AK592/BZ592*100)</f>
        <v/>
      </c>
      <c r="AM592" s="41" t="str">
        <f aca="false">IF(AL592="","",IFERROR(MATCH(AL592,INDEX(Boundaries!$B$2:$I$30,MATCH(CN592,Boundaries!$A$2:$A$30,0),0),1)-1,""))</f>
        <v/>
      </c>
      <c r="AN592" s="42" t="str">
        <f aca="false">IF(OR(AM592="",$E592=""),"",AM592-$E592)</f>
        <v/>
      </c>
      <c r="AO592" s="39"/>
      <c r="AP592" s="40" t="str">
        <f aca="false">IF(OR(AO592="",CA592=""),"",AO592/CA592*100)</f>
        <v/>
      </c>
      <c r="AQ592" s="41" t="str">
        <f aca="false">IF(AP592="","",IFERROR(MATCH(AP592,INDEX(Boundaries!$B$2:$I$30,MATCH(CO592,Boundaries!$A$2:$A$30,0),0),1)-1,""))</f>
        <v/>
      </c>
      <c r="AR592" s="42" t="str">
        <f aca="false">IF(OR(AQ592="",$E592=""),"",AQ592-$E592)</f>
        <v/>
      </c>
      <c r="AS592" s="39"/>
      <c r="AT592" s="40" t="str">
        <f aca="false">IF(OR(AS592="",CB592=""),"",AS592/CB592*100)</f>
        <v/>
      </c>
      <c r="AU592" s="41" t="str">
        <f aca="false">IF(AT592="","",IFERROR(MATCH(AT592,INDEX(Boundaries!$B$2:$I$30,MATCH(CP592,Boundaries!$A$2:$A$30,0),0),1)-1,""))</f>
        <v/>
      </c>
      <c r="AV592" s="42" t="str">
        <f aca="false">IF(OR(AU592="",$E592=""),"",AU592-$E592)</f>
        <v/>
      </c>
      <c r="AW592" s="39"/>
      <c r="AX592" s="40" t="str">
        <f aca="false">IF(OR(AW592="",CC592=""),"",AW592/CC592*100)</f>
        <v/>
      </c>
      <c r="AY592" s="41" t="str">
        <f aca="false">IF(AX592="","",IFERROR(MATCH(AX592,INDEX(Boundaries!$B$2:$I$30,MATCH(CQ592,Boundaries!$A$2:$A$30,0),0),1)-1,""))</f>
        <v/>
      </c>
      <c r="AZ592" s="42" t="str">
        <f aca="false">IF(OR(AY592="",$E592=""),"",AY592-$E592)</f>
        <v/>
      </c>
      <c r="BA592" s="39"/>
      <c r="BB592" s="40" t="str">
        <f aca="false">IF(OR(BA592="",CD592=""),"",BA592/CD592*100)</f>
        <v/>
      </c>
      <c r="BC592" s="41" t="str">
        <f aca="false">IF(BB592="","",IFERROR(MATCH(BB592,INDEX(Boundaries!$B$2:$I$30,MATCH(CR592,Boundaries!$A$2:$A$30,0),0),1)-1,""))</f>
        <v/>
      </c>
      <c r="BD592" s="42" t="str">
        <f aca="false">IF(OR(BC592="",$E592=""),"",BC592-$E592)</f>
        <v/>
      </c>
      <c r="BE592" s="39"/>
      <c r="BF592" s="40" t="str">
        <f aca="false">IF(OR(BE592="",CE592=""),"",BE592/CE592*100)</f>
        <v/>
      </c>
      <c r="BG592" s="41" t="str">
        <f aca="false">IF(BF592="","",IFERROR(MATCH(BF592,INDEX(Boundaries!$B$2:$I$30,MATCH(CS592,Boundaries!$A$2:$A$30,0),0),1)-1,""))</f>
        <v/>
      </c>
      <c r="BH592" s="42" t="str">
        <f aca="false">IF(OR(BG592="",$E592=""),"",BG592-$E592)</f>
        <v/>
      </c>
      <c r="BI592" s="39"/>
      <c r="BJ592" s="40" t="str">
        <f aca="false">IF(OR(BI592="",CF592=""),"",BI592/CF592*100)</f>
        <v/>
      </c>
      <c r="BK592" s="41" t="str">
        <f aca="false">IF(BJ592="","",IFERROR(MATCH(BJ592,INDEX(Boundaries!$B$2:$I$30,MATCH(CT592,Boundaries!$A$2:$A$30,0),0),1)-1,""))</f>
        <v/>
      </c>
      <c r="BL592" s="42" t="str">
        <f aca="false">IF(OR(BK592="",$E592=""),"",BK592-$E592)</f>
        <v/>
      </c>
      <c r="BM592" s="39"/>
      <c r="BN592" s="40" t="str">
        <f aca="false">IF(OR(BM592="",CG592=""),"",BM592/CG592*100)</f>
        <v/>
      </c>
      <c r="BO592" s="41" t="str">
        <f aca="false">IF(BN592="","",IFERROR(MATCH(BN592,INDEX(Boundaries!$B$2:$I$30,MATCH(CU592,Boundaries!$A$2:$A$30,0),0),1)-1,""))</f>
        <v/>
      </c>
      <c r="BP592" s="42" t="str">
        <f aca="false">IF(OR(BO592="",$E592=""),"",BO592-$E592)</f>
        <v/>
      </c>
      <c r="BQ592" s="39"/>
      <c r="BR592" s="40" t="str">
        <f aca="false">IF(OR(BQ592="",CH592=""),"",BQ592/CH592*100)</f>
        <v/>
      </c>
      <c r="BS592" s="41" t="str">
        <f aca="false">IF(BR592="","",IFERROR(MATCH(BR592,INDEX(Boundaries!$B$2:$I$30,MATCH(CV592,Boundaries!$A$2:$A$30,0),0),1)-1,""))</f>
        <v/>
      </c>
      <c r="BT592" s="42" t="str">
        <f aca="false">IF(OR(BS592="",$E592=""),"",BS592-$E592)</f>
        <v/>
      </c>
      <c r="BU592" s="28" t="str">
        <f aca="false">IFERROR(INDEX(Assessments!$H$2:$H$600,MATCH($H592&amp;"|"&amp;$I592&amp;"|"&amp;$J592&amp;"|"&amp;1,Assessments!$A$2:$A$600,0)),"")</f>
        <v/>
      </c>
      <c r="BV592" s="28" t="str">
        <f aca="false">IFERROR(INDEX(Assessments!$H$2:$H$600,MATCH($H592&amp;"|"&amp;$I592&amp;"|"&amp;$J592&amp;"|"&amp;2,Assessments!$A$2:$A$600,0)),"")</f>
        <v/>
      </c>
      <c r="BW592" s="28" t="str">
        <f aca="false">IFERROR(INDEX(Assessments!$H$2:$H$600,MATCH($H592&amp;"|"&amp;$I592&amp;"|"&amp;$J592&amp;"|"&amp;3,Assessments!$A$2:$A$600,0)),"")</f>
        <v/>
      </c>
      <c r="BX592" s="28" t="str">
        <f aca="false">IFERROR(INDEX(Assessments!$H$2:$H$600,MATCH($H592&amp;"|"&amp;$I592&amp;"|"&amp;$J592&amp;"|"&amp;4,Assessments!$A$2:$A$600,0)),"")</f>
        <v/>
      </c>
      <c r="BY592" s="28" t="str">
        <f aca="false">IFERROR(INDEX(Assessments!$H$2:$H$600,MATCH($H592&amp;"|"&amp;$I592&amp;"|"&amp;$J592&amp;"|"&amp;5,Assessments!$A$2:$A$600,0)),"")</f>
        <v/>
      </c>
      <c r="BZ592" s="28" t="str">
        <f aca="false">IFERROR(INDEX(Assessments!$H$2:$H$600,MATCH($H592&amp;"|"&amp;$I592&amp;"|"&amp;$J592&amp;"|"&amp;6,Assessments!$A$2:$A$600,0)),"")</f>
        <v/>
      </c>
      <c r="CA592" s="28" t="str">
        <f aca="false">IFERROR(INDEX(Assessments!$H$2:$H$600,MATCH($H592&amp;"|"&amp;$I592&amp;"|"&amp;$J592&amp;"|"&amp;7,Assessments!$A$2:$A$600,0)),"")</f>
        <v/>
      </c>
      <c r="CB592" s="28" t="str">
        <f aca="false">IFERROR(INDEX(Assessments!$H$2:$H$600,MATCH($H592&amp;"|"&amp;$I592&amp;"|"&amp;$J592&amp;"|"&amp;8,Assessments!$A$2:$A$600,0)),"")</f>
        <v/>
      </c>
      <c r="CC592" s="28" t="str">
        <f aca="false">IFERROR(INDEX(Assessments!$H$2:$H$600,MATCH($H592&amp;"|"&amp;$I592&amp;"|"&amp;$J592&amp;"|"&amp;9,Assessments!$A$2:$A$600,0)),"")</f>
        <v/>
      </c>
      <c r="CD592" s="28" t="str">
        <f aca="false">IFERROR(INDEX(Assessments!$H$2:$H$600,MATCH($H592&amp;"|"&amp;$I592&amp;"|"&amp;$J592&amp;"|"&amp;10,Assessments!$A$2:$A$600,0)),"")</f>
        <v/>
      </c>
      <c r="CE592" s="28" t="str">
        <f aca="false">IFERROR(INDEX(Assessments!$H$2:$H$600,MATCH($H592&amp;"|"&amp;$I592&amp;"|"&amp;$J592&amp;"|"&amp;11,Assessments!$A$2:$A$600,0)),"")</f>
        <v/>
      </c>
      <c r="CF592" s="28" t="str">
        <f aca="false">IFERROR(INDEX(Assessments!$H$2:$H$600,MATCH($H592&amp;"|"&amp;$I592&amp;"|"&amp;$J592&amp;"|"&amp;12,Assessments!$A$2:$A$600,0)),"")</f>
        <v/>
      </c>
      <c r="CG592" s="28" t="str">
        <f aca="false">IFERROR(INDEX(Assessments!$H$2:$H$600,MATCH($H592&amp;"|"&amp;$I592&amp;"|"&amp;$J592&amp;"|"&amp;13,Assessments!$A$2:$A$600,0)),"")</f>
        <v/>
      </c>
      <c r="CH592" s="28" t="str">
        <f aca="false">IFERROR(INDEX(Assessments!$H$2:$H$600,MATCH($H592&amp;"|"&amp;$I592&amp;"|"&amp;$J592&amp;"|"&amp;14,Assessments!$A$2:$A$600,0)),"")</f>
        <v/>
      </c>
      <c r="CI592" s="28" t="str">
        <f aca="false">IFERROR(INDEX(Assessments!$I$2:$I$600,MATCH($H592&amp;"|"&amp;$I592&amp;"|"&amp;$J592&amp;"|"&amp;1,Assessments!$A$2:$A$600,0)),"")</f>
        <v/>
      </c>
      <c r="CJ592" s="28" t="str">
        <f aca="false">IFERROR(INDEX(Assessments!$I$2:$I$600,MATCH($H592&amp;"|"&amp;$I592&amp;"|"&amp;$J592&amp;"|"&amp;2,Assessments!$A$2:$A$600,0)),"")</f>
        <v/>
      </c>
      <c r="CK592" s="28" t="str">
        <f aca="false">IFERROR(INDEX(Assessments!$I$2:$I$600,MATCH($H592&amp;"|"&amp;$I592&amp;"|"&amp;$J592&amp;"|"&amp;3,Assessments!$A$2:$A$600,0)),"")</f>
        <v/>
      </c>
      <c r="CL592" s="28" t="str">
        <f aca="false">IFERROR(INDEX(Assessments!$I$2:$I$600,MATCH($H592&amp;"|"&amp;$I592&amp;"|"&amp;$J592&amp;"|"&amp;4,Assessments!$A$2:$A$600,0)),"")</f>
        <v/>
      </c>
      <c r="CM592" s="28" t="str">
        <f aca="false">IFERROR(INDEX(Assessments!$I$2:$I$600,MATCH($H592&amp;"|"&amp;$I592&amp;"|"&amp;$J592&amp;"|"&amp;5,Assessments!$A$2:$A$600,0)),"")</f>
        <v/>
      </c>
      <c r="CN592" s="28" t="str">
        <f aca="false">IFERROR(INDEX(Assessments!$I$2:$I$600,MATCH($H592&amp;"|"&amp;$I592&amp;"|"&amp;$J592&amp;"|"&amp;6,Assessments!$A$2:$A$600,0)),"")</f>
        <v/>
      </c>
      <c r="CO592" s="28" t="str">
        <f aca="false">IFERROR(INDEX(Assessments!$I$2:$I$600,MATCH($H592&amp;"|"&amp;$I592&amp;"|"&amp;$J592&amp;"|"&amp;7,Assessments!$A$2:$A$600,0)),"")</f>
        <v/>
      </c>
      <c r="CP592" s="28" t="str">
        <f aca="false">IFERROR(INDEX(Assessments!$I$2:$I$600,MATCH($H592&amp;"|"&amp;$I592&amp;"|"&amp;$J592&amp;"|"&amp;8,Assessments!$A$2:$A$600,0)),"")</f>
        <v/>
      </c>
      <c r="CQ592" s="28" t="str">
        <f aca="false">IFERROR(INDEX(Assessments!$I$2:$I$600,MATCH($H592&amp;"|"&amp;$I592&amp;"|"&amp;$J592&amp;"|"&amp;9,Assessments!$A$2:$A$600,0)),"")</f>
        <v/>
      </c>
      <c r="CR592" s="28" t="str">
        <f aca="false">IFERROR(INDEX(Assessments!$I$2:$I$600,MATCH($H592&amp;"|"&amp;$I592&amp;"|"&amp;$J592&amp;"|"&amp;10,Assessments!$A$2:$A$600,0)),"")</f>
        <v/>
      </c>
      <c r="CS592" s="28" t="str">
        <f aca="false">IFERROR(INDEX(Assessments!$I$2:$I$600,MATCH($H592&amp;"|"&amp;$I592&amp;"|"&amp;$J592&amp;"|"&amp;11,Assessments!$A$2:$A$600,0)),"")</f>
        <v/>
      </c>
      <c r="CT592" s="28" t="str">
        <f aca="false">IFERROR(INDEX(Assessments!$I$2:$I$600,MATCH($H592&amp;"|"&amp;$I592&amp;"|"&amp;$J592&amp;"|"&amp;12,Assessments!$A$2:$A$600,0)),"")</f>
        <v/>
      </c>
      <c r="CU592" s="28" t="str">
        <f aca="false">IFERROR(INDEX(Assessments!$I$2:$I$600,MATCH($H592&amp;"|"&amp;$I592&amp;"|"&amp;$J592&amp;"|"&amp;13,Assessments!$A$2:$A$600,0)),"")</f>
        <v/>
      </c>
      <c r="CV592" s="28" t="str">
        <f aca="false">IFERROR(INDEX(Assessments!$I$2:$I$600,MATCH($H592&amp;"|"&amp;$I592&amp;"|"&amp;$J592&amp;"|"&amp;14,Assessments!$A$2:$A$600,0)),"")</f>
        <v/>
      </c>
      <c r="CW592" s="28" t="n">
        <f aca="false">IFERROR(INDEX(Assessments!$J$2:$J$600,MATCH($H592&amp;"|"&amp;$I592&amp;"|"&amp;$J592&amp;"|"&amp;1,Assessments!$A$2:$A$600,0)),0)</f>
        <v>0</v>
      </c>
      <c r="CX592" s="28" t="n">
        <f aca="false">IFERROR(INDEX(Assessments!$J$2:$J$600,MATCH($H592&amp;"|"&amp;$I592&amp;"|"&amp;$J592&amp;"|"&amp;2,Assessments!$A$2:$A$600,0)),0)</f>
        <v>0</v>
      </c>
      <c r="CY592" s="28" t="n">
        <f aca="false">IFERROR(INDEX(Assessments!$J$2:$J$600,MATCH($H592&amp;"|"&amp;$I592&amp;"|"&amp;$J592&amp;"|"&amp;3,Assessments!$A$2:$A$600,0)),0)</f>
        <v>0</v>
      </c>
      <c r="CZ592" s="28" t="n">
        <f aca="false">IFERROR(INDEX(Assessments!$J$2:$J$600,MATCH($H592&amp;"|"&amp;$I592&amp;"|"&amp;$J592&amp;"|"&amp;4,Assessments!$A$2:$A$600,0)),0)</f>
        <v>0</v>
      </c>
      <c r="DA592" s="28" t="n">
        <f aca="false">IFERROR(INDEX(Assessments!$J$2:$J$600,MATCH($H592&amp;"|"&amp;$I592&amp;"|"&amp;$J592&amp;"|"&amp;5,Assessments!$A$2:$A$600,0)),0)</f>
        <v>0</v>
      </c>
      <c r="DB592" s="28" t="n">
        <f aca="false">IFERROR(INDEX(Assessments!$J$2:$J$600,MATCH($H592&amp;"|"&amp;$I592&amp;"|"&amp;$J592&amp;"|"&amp;6,Assessments!$A$2:$A$600,0)),0)</f>
        <v>0</v>
      </c>
      <c r="DC592" s="28" t="n">
        <f aca="false">IFERROR(INDEX(Assessments!$J$2:$J$600,MATCH($H592&amp;"|"&amp;$I592&amp;"|"&amp;$J592&amp;"|"&amp;7,Assessments!$A$2:$A$600,0)),0)</f>
        <v>0</v>
      </c>
      <c r="DD592" s="28" t="n">
        <f aca="false">IFERROR(INDEX(Assessments!$J$2:$J$600,MATCH($H592&amp;"|"&amp;$I592&amp;"|"&amp;$J592&amp;"|"&amp;8,Assessments!$A$2:$A$600,0)),0)</f>
        <v>0</v>
      </c>
      <c r="DE592" s="28" t="n">
        <f aca="false">IFERROR(INDEX(Assessments!$J$2:$J$600,MATCH($H592&amp;"|"&amp;$I592&amp;"|"&amp;$J592&amp;"|"&amp;9,Assessments!$A$2:$A$600,0)),0)</f>
        <v>0</v>
      </c>
      <c r="DF592" s="28" t="n">
        <f aca="false">IFERROR(INDEX(Assessments!$J$2:$J$600,MATCH($H592&amp;"|"&amp;$I592&amp;"|"&amp;$J592&amp;"|"&amp;10,Assessments!$A$2:$A$600,0)),0)</f>
        <v>0</v>
      </c>
      <c r="DG592" s="28" t="n">
        <f aca="false">IFERROR(INDEX(Assessments!$J$2:$J$600,MATCH($H592&amp;"|"&amp;$I592&amp;"|"&amp;$J592&amp;"|"&amp;11,Assessments!$A$2:$A$600,0)),0)</f>
        <v>0</v>
      </c>
      <c r="DH592" s="28" t="n">
        <f aca="false">IFERROR(INDEX(Assessments!$J$2:$J$600,MATCH($H592&amp;"|"&amp;$I592&amp;"|"&amp;$J592&amp;"|"&amp;12,Assessments!$A$2:$A$600,0)),0)</f>
        <v>0</v>
      </c>
      <c r="DI592" s="28" t="n">
        <f aca="false">IFERROR(INDEX(Assessments!$J$2:$J$600,MATCH($H592&amp;"|"&amp;$I592&amp;"|"&amp;$J592&amp;"|"&amp;13,Assessments!$A$2:$A$600,0)),0)</f>
        <v>0</v>
      </c>
      <c r="DJ592" s="28" t="n">
        <f aca="false">IFERROR(INDEX(Assessments!$J$2:$J$600,MATCH($H592&amp;"|"&amp;$I592&amp;"|"&amp;$J592&amp;"|"&amp;14,Assessments!$A$2:$A$600,0)),0)</f>
        <v>0</v>
      </c>
      <c r="DK592" s="28" t="str">
        <f aca="false">S592</f>
        <v/>
      </c>
      <c r="DL592" s="28" t="str">
        <f aca="false">W592</f>
        <v/>
      </c>
      <c r="DM592" s="28" t="str">
        <f aca="false">AA592</f>
        <v/>
      </c>
      <c r="DN592" s="28" t="str">
        <f aca="false">AE592</f>
        <v/>
      </c>
      <c r="DO592" s="28" t="str">
        <f aca="false">AI592</f>
        <v/>
      </c>
      <c r="DP592" s="28" t="str">
        <f aca="false">AM592</f>
        <v/>
      </c>
      <c r="DQ592" s="28" t="str">
        <f aca="false">AQ592</f>
        <v/>
      </c>
      <c r="DR592" s="28" t="str">
        <f aca="false">AU592</f>
        <v/>
      </c>
      <c r="DS592" s="28" t="str">
        <f aca="false">AY592</f>
        <v/>
      </c>
      <c r="DT592" s="28" t="str">
        <f aca="false">BC592</f>
        <v/>
      </c>
      <c r="DU592" s="28" t="str">
        <f aca="false">BG592</f>
        <v/>
      </c>
      <c r="DV592" s="28" t="str">
        <f aca="false">BK592</f>
        <v/>
      </c>
      <c r="DW592" s="28" t="str">
        <f aca="false">BO592</f>
        <v/>
      </c>
      <c r="DX592" s="28" t="str">
        <f aca="false">BS592</f>
        <v/>
      </c>
      <c r="DY592" s="28" t="str">
        <f aca="false">IF(ISNUMBER(S592),1,"")</f>
        <v/>
      </c>
      <c r="DZ592" s="28" t="str">
        <f aca="false">IF(ISNUMBER(W592),2,"")</f>
        <v/>
      </c>
      <c r="EA592" s="28" t="str">
        <f aca="false">IF(ISNUMBER(AA592),3,"")</f>
        <v/>
      </c>
      <c r="EB592" s="28" t="str">
        <f aca="false">IF(ISNUMBER(AE592),4,"")</f>
        <v/>
      </c>
      <c r="EC592" s="28" t="str">
        <f aca="false">IF(ISNUMBER(AI592),5,"")</f>
        <v/>
      </c>
      <c r="ED592" s="28" t="str">
        <f aca="false">IF(ISNUMBER(AM592),6,"")</f>
        <v/>
      </c>
      <c r="EE592" s="28" t="str">
        <f aca="false">IF(ISNUMBER(AQ592),7,"")</f>
        <v/>
      </c>
      <c r="EF592" s="28" t="str">
        <f aca="false">IF(ISNUMBER(AU592),8,"")</f>
        <v/>
      </c>
      <c r="EG592" s="28" t="str">
        <f aca="false">IF(ISNUMBER(AY592),9,"")</f>
        <v/>
      </c>
      <c r="EH592" s="28" t="str">
        <f aca="false">IF(ISNUMBER(BC592),10,"")</f>
        <v/>
      </c>
      <c r="EI592" s="28" t="str">
        <f aca="false">IF(ISNUMBER(BG592),11,"")</f>
        <v/>
      </c>
      <c r="EJ592" s="28" t="str">
        <f aca="false">IF(ISNUMBER(BK592),12,"")</f>
        <v/>
      </c>
      <c r="EK592" s="28" t="str">
        <f aca="false">IF(ISNUMBER(BO592),13,"")</f>
        <v/>
      </c>
      <c r="EL592" s="28" t="str">
        <f aca="false">IF(ISNUMBER(BS592),14,"")</f>
        <v/>
      </c>
      <c r="EM592" s="28" t="n">
        <f aca="false">IF(ISNUMBER(R592),R592*CW592,0)</f>
        <v>0</v>
      </c>
      <c r="EN592" s="28" t="n">
        <f aca="false">IF(ISNUMBER(V592),V592*CX592,0)</f>
        <v>0</v>
      </c>
      <c r="EO592" s="28" t="n">
        <f aca="false">IF(ISNUMBER(Z592),Z592*CY592,0)</f>
        <v>0</v>
      </c>
      <c r="EP592" s="28" t="n">
        <f aca="false">IF(ISNUMBER(AD592),AD592*CZ592,0)</f>
        <v>0</v>
      </c>
      <c r="EQ592" s="28" t="n">
        <f aca="false">IF(ISNUMBER(AH592),AH592*DA592,0)</f>
        <v>0</v>
      </c>
      <c r="ER592" s="28" t="n">
        <f aca="false">IF(ISNUMBER(AL592),AL592*DB592,0)</f>
        <v>0</v>
      </c>
      <c r="ES592" s="28" t="n">
        <f aca="false">IF(ISNUMBER(AP592),AP592*DC592,0)</f>
        <v>0</v>
      </c>
      <c r="ET592" s="28" t="n">
        <f aca="false">IF(ISNUMBER(AT592),AT592*DD592,0)</f>
        <v>0</v>
      </c>
      <c r="EU592" s="28" t="n">
        <f aca="false">IF(ISNUMBER(AX592),AX592*DE592,0)</f>
        <v>0</v>
      </c>
      <c r="EV592" s="28" t="n">
        <f aca="false">IF(ISNUMBER(BB592),BB592*DF592,0)</f>
        <v>0</v>
      </c>
      <c r="EW592" s="28" t="n">
        <f aca="false">IF(ISNUMBER(BF592),BF592*DG592,0)</f>
        <v>0</v>
      </c>
      <c r="EX592" s="28" t="n">
        <f aca="false">IF(ISNUMBER(BJ592),BJ592*DH592,0)</f>
        <v>0</v>
      </c>
      <c r="EY592" s="28" t="n">
        <f aca="false">IF(ISNUMBER(BN592),BN592*DI592,0)</f>
        <v>0</v>
      </c>
      <c r="EZ592" s="28" t="n">
        <f aca="false">IF(ISNUMBER(BR592),BR592*DJ592,0)</f>
        <v>0</v>
      </c>
      <c r="FA592" s="28" t="n">
        <f aca="false">IF(ISNUMBER(R592),CW592,0)</f>
        <v>0</v>
      </c>
      <c r="FB592" s="28" t="n">
        <f aca="false">IF(ISNUMBER(V592),CX592,0)</f>
        <v>0</v>
      </c>
      <c r="FC592" s="28" t="n">
        <f aca="false">IF(ISNUMBER(Z592),CY592,0)</f>
        <v>0</v>
      </c>
      <c r="FD592" s="28" t="n">
        <f aca="false">IF(ISNUMBER(AD592),CZ592,0)</f>
        <v>0</v>
      </c>
      <c r="FE592" s="28" t="n">
        <f aca="false">IF(ISNUMBER(AH592),DA592,0)</f>
        <v>0</v>
      </c>
      <c r="FF592" s="28" t="n">
        <f aca="false">IF(ISNUMBER(AL592),DB592,0)</f>
        <v>0</v>
      </c>
      <c r="FG592" s="28" t="n">
        <f aca="false">IF(ISNUMBER(AP592),DC592,0)</f>
        <v>0</v>
      </c>
      <c r="FH592" s="28" t="n">
        <f aca="false">IF(ISNUMBER(AT592),DD592,0)</f>
        <v>0</v>
      </c>
      <c r="FI592" s="28" t="n">
        <f aca="false">IF(ISNUMBER(AX592),DE592,0)</f>
        <v>0</v>
      </c>
      <c r="FJ592" s="28" t="n">
        <f aca="false">IF(ISNUMBER(BB592),DF592,0)</f>
        <v>0</v>
      </c>
      <c r="FK592" s="28" t="n">
        <f aca="false">IF(ISNUMBER(BF592),DG592,0)</f>
        <v>0</v>
      </c>
      <c r="FL592" s="28" t="n">
        <f aca="false">IF(ISNUMBER(BJ592),DH592,0)</f>
        <v>0</v>
      </c>
      <c r="FM592" s="28" t="n">
        <f aca="false">IF(ISNUMBER(BN592),DI592,0)</f>
        <v>0</v>
      </c>
      <c r="FN592" s="28" t="n">
        <f aca="false">IF(ISNUMBER(BR592),DJ592,0)</f>
        <v>0</v>
      </c>
      <c r="FO592" s="28" t="str">
        <f aca="false">IFERROR(INDEX(Lists!$G$2:$G$20,MATCH($I592&amp;"|"&amp;$J592,Lists!$F$2:$F$20,0)),"")</f>
        <v/>
      </c>
    </row>
    <row r="593" customFormat="false" ht="19.5" hidden="false" customHeight="true" outlineLevel="0" collapsed="false">
      <c r="A593" s="29"/>
      <c r="B593" s="29"/>
      <c r="C593" s="30"/>
      <c r="D593" s="30"/>
      <c r="E593" s="31"/>
      <c r="F593" s="30"/>
      <c r="G593" s="30"/>
      <c r="H593" s="32"/>
      <c r="I593" s="33"/>
      <c r="J593" s="32"/>
      <c r="K593" s="34" t="str">
        <f aca="false">IF(OR(M593="",$E593=""),"",M593-$E593)</f>
        <v/>
      </c>
      <c r="L593" s="35" t="str">
        <f aca="false">IF(SUM(FA593:FN593)=0,"",SUM(EM593:EZ593)/SUM(FA593:FN593))</f>
        <v/>
      </c>
      <c r="M593" s="36" t="str">
        <f aca="false">IF(OR(L593="",FO593=""),"",IFERROR(MATCH(L593,INDEX(Boundaries!$B$2:$I$30,MATCH(FO593,Boundaries!$A$2:$A$30,0),0),1)-1,""))</f>
        <v/>
      </c>
      <c r="N593" s="37" t="str">
        <f aca="false">IF(COUNT($DY593:$EL593)&lt;2,"",INDEX($DK593:$DX593,MAX($DY593:$EL593))-INDEX($DK593:$DX593,MIN($DY593:$EL593)))</f>
        <v/>
      </c>
      <c r="O593" s="37" t="str">
        <f aca="false">IF(COUNT($DY593:$EL593)&lt;2,"",INDEX($DK593:$DX593,MAX($DY593:$EL593))-INDEX($DK593:$DX593,LARGE($DY593:$EL593,2)))</f>
        <v/>
      </c>
      <c r="P593" s="38" t="str">
        <f aca="false">IF(K593="","",IF(K593&gt;=0,"On/above target",IF(AND(N593&lt;&gt;"",N593&gt;=0.5),"Improving towards target",IF(AND(O593&lt;&gt;"",O593&lt;=-0.5),"Declining","Stable below target"))))</f>
        <v/>
      </c>
      <c r="Q593" s="39"/>
      <c r="R593" s="40" t="str">
        <f aca="false">IF(OR(Q593="",BU593=""),"",Q593/BU593*100)</f>
        <v/>
      </c>
      <c r="S593" s="41" t="str">
        <f aca="false">IF(R593="","",IFERROR(MATCH(R593,INDEX(Boundaries!$B$2:$I$30,MATCH(CI593,Boundaries!$A$2:$A$30,0),0),1)-1,""))</f>
        <v/>
      </c>
      <c r="T593" s="42" t="str">
        <f aca="false">IF(OR(S593="",$E593=""),"",S593-$E593)</f>
        <v/>
      </c>
      <c r="U593" s="39"/>
      <c r="V593" s="40" t="str">
        <f aca="false">IF(OR(U593="",BV593=""),"",U593/BV593*100)</f>
        <v/>
      </c>
      <c r="W593" s="41" t="str">
        <f aca="false">IF(V593="","",IFERROR(MATCH(V593,INDEX(Boundaries!$B$2:$I$30,MATCH(CJ593,Boundaries!$A$2:$A$30,0),0),1)-1,""))</f>
        <v/>
      </c>
      <c r="X593" s="42" t="str">
        <f aca="false">IF(OR(W593="",$E593=""),"",W593-$E593)</f>
        <v/>
      </c>
      <c r="Y593" s="39"/>
      <c r="Z593" s="40" t="str">
        <f aca="false">IF(OR(Y593="",BW593=""),"",Y593/BW593*100)</f>
        <v/>
      </c>
      <c r="AA593" s="41" t="str">
        <f aca="false">IF(Z593="","",IFERROR(MATCH(Z593,INDEX(Boundaries!$B$2:$I$30,MATCH(CK593,Boundaries!$A$2:$A$30,0),0),1)-1,""))</f>
        <v/>
      </c>
      <c r="AB593" s="42" t="str">
        <f aca="false">IF(OR(AA593="",$E593=""),"",AA593-$E593)</f>
        <v/>
      </c>
      <c r="AC593" s="39"/>
      <c r="AD593" s="40" t="str">
        <f aca="false">IF(OR(AC593="",BX593=""),"",AC593/BX593*100)</f>
        <v/>
      </c>
      <c r="AE593" s="41" t="str">
        <f aca="false">IF(AD593="","",IFERROR(MATCH(AD593,INDEX(Boundaries!$B$2:$I$30,MATCH(CL593,Boundaries!$A$2:$A$30,0),0),1)-1,""))</f>
        <v/>
      </c>
      <c r="AF593" s="42" t="str">
        <f aca="false">IF(OR(AE593="",$E593=""),"",AE593-$E593)</f>
        <v/>
      </c>
      <c r="AG593" s="39"/>
      <c r="AH593" s="40" t="str">
        <f aca="false">IF(OR(AG593="",BY593=""),"",AG593/BY593*100)</f>
        <v/>
      </c>
      <c r="AI593" s="41" t="str">
        <f aca="false">IF(AH593="","",IFERROR(MATCH(AH593,INDEX(Boundaries!$B$2:$I$30,MATCH(CM593,Boundaries!$A$2:$A$30,0),0),1)-1,""))</f>
        <v/>
      </c>
      <c r="AJ593" s="42" t="str">
        <f aca="false">IF(OR(AI593="",$E593=""),"",AI593-$E593)</f>
        <v/>
      </c>
      <c r="AK593" s="39"/>
      <c r="AL593" s="40" t="str">
        <f aca="false">IF(OR(AK593="",BZ593=""),"",AK593/BZ593*100)</f>
        <v/>
      </c>
      <c r="AM593" s="41" t="str">
        <f aca="false">IF(AL593="","",IFERROR(MATCH(AL593,INDEX(Boundaries!$B$2:$I$30,MATCH(CN593,Boundaries!$A$2:$A$30,0),0),1)-1,""))</f>
        <v/>
      </c>
      <c r="AN593" s="42" t="str">
        <f aca="false">IF(OR(AM593="",$E593=""),"",AM593-$E593)</f>
        <v/>
      </c>
      <c r="AO593" s="39"/>
      <c r="AP593" s="40" t="str">
        <f aca="false">IF(OR(AO593="",CA593=""),"",AO593/CA593*100)</f>
        <v/>
      </c>
      <c r="AQ593" s="41" t="str">
        <f aca="false">IF(AP593="","",IFERROR(MATCH(AP593,INDEX(Boundaries!$B$2:$I$30,MATCH(CO593,Boundaries!$A$2:$A$30,0),0),1)-1,""))</f>
        <v/>
      </c>
      <c r="AR593" s="42" t="str">
        <f aca="false">IF(OR(AQ593="",$E593=""),"",AQ593-$E593)</f>
        <v/>
      </c>
      <c r="AS593" s="39"/>
      <c r="AT593" s="40" t="str">
        <f aca="false">IF(OR(AS593="",CB593=""),"",AS593/CB593*100)</f>
        <v/>
      </c>
      <c r="AU593" s="41" t="str">
        <f aca="false">IF(AT593="","",IFERROR(MATCH(AT593,INDEX(Boundaries!$B$2:$I$30,MATCH(CP593,Boundaries!$A$2:$A$30,0),0),1)-1,""))</f>
        <v/>
      </c>
      <c r="AV593" s="42" t="str">
        <f aca="false">IF(OR(AU593="",$E593=""),"",AU593-$E593)</f>
        <v/>
      </c>
      <c r="AW593" s="39"/>
      <c r="AX593" s="40" t="str">
        <f aca="false">IF(OR(AW593="",CC593=""),"",AW593/CC593*100)</f>
        <v/>
      </c>
      <c r="AY593" s="41" t="str">
        <f aca="false">IF(AX593="","",IFERROR(MATCH(AX593,INDEX(Boundaries!$B$2:$I$30,MATCH(CQ593,Boundaries!$A$2:$A$30,0),0),1)-1,""))</f>
        <v/>
      </c>
      <c r="AZ593" s="42" t="str">
        <f aca="false">IF(OR(AY593="",$E593=""),"",AY593-$E593)</f>
        <v/>
      </c>
      <c r="BA593" s="39"/>
      <c r="BB593" s="40" t="str">
        <f aca="false">IF(OR(BA593="",CD593=""),"",BA593/CD593*100)</f>
        <v/>
      </c>
      <c r="BC593" s="41" t="str">
        <f aca="false">IF(BB593="","",IFERROR(MATCH(BB593,INDEX(Boundaries!$B$2:$I$30,MATCH(CR593,Boundaries!$A$2:$A$30,0),0),1)-1,""))</f>
        <v/>
      </c>
      <c r="BD593" s="42" t="str">
        <f aca="false">IF(OR(BC593="",$E593=""),"",BC593-$E593)</f>
        <v/>
      </c>
      <c r="BE593" s="39"/>
      <c r="BF593" s="40" t="str">
        <f aca="false">IF(OR(BE593="",CE593=""),"",BE593/CE593*100)</f>
        <v/>
      </c>
      <c r="BG593" s="41" t="str">
        <f aca="false">IF(BF593="","",IFERROR(MATCH(BF593,INDEX(Boundaries!$B$2:$I$30,MATCH(CS593,Boundaries!$A$2:$A$30,0),0),1)-1,""))</f>
        <v/>
      </c>
      <c r="BH593" s="42" t="str">
        <f aca="false">IF(OR(BG593="",$E593=""),"",BG593-$E593)</f>
        <v/>
      </c>
      <c r="BI593" s="39"/>
      <c r="BJ593" s="40" t="str">
        <f aca="false">IF(OR(BI593="",CF593=""),"",BI593/CF593*100)</f>
        <v/>
      </c>
      <c r="BK593" s="41" t="str">
        <f aca="false">IF(BJ593="","",IFERROR(MATCH(BJ593,INDEX(Boundaries!$B$2:$I$30,MATCH(CT593,Boundaries!$A$2:$A$30,0),0),1)-1,""))</f>
        <v/>
      </c>
      <c r="BL593" s="42" t="str">
        <f aca="false">IF(OR(BK593="",$E593=""),"",BK593-$E593)</f>
        <v/>
      </c>
      <c r="BM593" s="39"/>
      <c r="BN593" s="40" t="str">
        <f aca="false">IF(OR(BM593="",CG593=""),"",BM593/CG593*100)</f>
        <v/>
      </c>
      <c r="BO593" s="41" t="str">
        <f aca="false">IF(BN593="","",IFERROR(MATCH(BN593,INDEX(Boundaries!$B$2:$I$30,MATCH(CU593,Boundaries!$A$2:$A$30,0),0),1)-1,""))</f>
        <v/>
      </c>
      <c r="BP593" s="42" t="str">
        <f aca="false">IF(OR(BO593="",$E593=""),"",BO593-$E593)</f>
        <v/>
      </c>
      <c r="BQ593" s="39"/>
      <c r="BR593" s="40" t="str">
        <f aca="false">IF(OR(BQ593="",CH593=""),"",BQ593/CH593*100)</f>
        <v/>
      </c>
      <c r="BS593" s="41" t="str">
        <f aca="false">IF(BR593="","",IFERROR(MATCH(BR593,INDEX(Boundaries!$B$2:$I$30,MATCH(CV593,Boundaries!$A$2:$A$30,0),0),1)-1,""))</f>
        <v/>
      </c>
      <c r="BT593" s="42" t="str">
        <f aca="false">IF(OR(BS593="",$E593=""),"",BS593-$E593)</f>
        <v/>
      </c>
      <c r="BU593" s="28" t="str">
        <f aca="false">IFERROR(INDEX(Assessments!$H$2:$H$600,MATCH($H593&amp;"|"&amp;$I593&amp;"|"&amp;$J593&amp;"|"&amp;1,Assessments!$A$2:$A$600,0)),"")</f>
        <v/>
      </c>
      <c r="BV593" s="28" t="str">
        <f aca="false">IFERROR(INDEX(Assessments!$H$2:$H$600,MATCH($H593&amp;"|"&amp;$I593&amp;"|"&amp;$J593&amp;"|"&amp;2,Assessments!$A$2:$A$600,0)),"")</f>
        <v/>
      </c>
      <c r="BW593" s="28" t="str">
        <f aca="false">IFERROR(INDEX(Assessments!$H$2:$H$600,MATCH($H593&amp;"|"&amp;$I593&amp;"|"&amp;$J593&amp;"|"&amp;3,Assessments!$A$2:$A$600,0)),"")</f>
        <v/>
      </c>
      <c r="BX593" s="28" t="str">
        <f aca="false">IFERROR(INDEX(Assessments!$H$2:$H$600,MATCH($H593&amp;"|"&amp;$I593&amp;"|"&amp;$J593&amp;"|"&amp;4,Assessments!$A$2:$A$600,0)),"")</f>
        <v/>
      </c>
      <c r="BY593" s="28" t="str">
        <f aca="false">IFERROR(INDEX(Assessments!$H$2:$H$600,MATCH($H593&amp;"|"&amp;$I593&amp;"|"&amp;$J593&amp;"|"&amp;5,Assessments!$A$2:$A$600,0)),"")</f>
        <v/>
      </c>
      <c r="BZ593" s="28" t="str">
        <f aca="false">IFERROR(INDEX(Assessments!$H$2:$H$600,MATCH($H593&amp;"|"&amp;$I593&amp;"|"&amp;$J593&amp;"|"&amp;6,Assessments!$A$2:$A$600,0)),"")</f>
        <v/>
      </c>
      <c r="CA593" s="28" t="str">
        <f aca="false">IFERROR(INDEX(Assessments!$H$2:$H$600,MATCH($H593&amp;"|"&amp;$I593&amp;"|"&amp;$J593&amp;"|"&amp;7,Assessments!$A$2:$A$600,0)),"")</f>
        <v/>
      </c>
      <c r="CB593" s="28" t="str">
        <f aca="false">IFERROR(INDEX(Assessments!$H$2:$H$600,MATCH($H593&amp;"|"&amp;$I593&amp;"|"&amp;$J593&amp;"|"&amp;8,Assessments!$A$2:$A$600,0)),"")</f>
        <v/>
      </c>
      <c r="CC593" s="28" t="str">
        <f aca="false">IFERROR(INDEX(Assessments!$H$2:$H$600,MATCH($H593&amp;"|"&amp;$I593&amp;"|"&amp;$J593&amp;"|"&amp;9,Assessments!$A$2:$A$600,0)),"")</f>
        <v/>
      </c>
      <c r="CD593" s="28" t="str">
        <f aca="false">IFERROR(INDEX(Assessments!$H$2:$H$600,MATCH($H593&amp;"|"&amp;$I593&amp;"|"&amp;$J593&amp;"|"&amp;10,Assessments!$A$2:$A$600,0)),"")</f>
        <v/>
      </c>
      <c r="CE593" s="28" t="str">
        <f aca="false">IFERROR(INDEX(Assessments!$H$2:$H$600,MATCH($H593&amp;"|"&amp;$I593&amp;"|"&amp;$J593&amp;"|"&amp;11,Assessments!$A$2:$A$600,0)),"")</f>
        <v/>
      </c>
      <c r="CF593" s="28" t="str">
        <f aca="false">IFERROR(INDEX(Assessments!$H$2:$H$600,MATCH($H593&amp;"|"&amp;$I593&amp;"|"&amp;$J593&amp;"|"&amp;12,Assessments!$A$2:$A$600,0)),"")</f>
        <v/>
      </c>
      <c r="CG593" s="28" t="str">
        <f aca="false">IFERROR(INDEX(Assessments!$H$2:$H$600,MATCH($H593&amp;"|"&amp;$I593&amp;"|"&amp;$J593&amp;"|"&amp;13,Assessments!$A$2:$A$600,0)),"")</f>
        <v/>
      </c>
      <c r="CH593" s="28" t="str">
        <f aca="false">IFERROR(INDEX(Assessments!$H$2:$H$600,MATCH($H593&amp;"|"&amp;$I593&amp;"|"&amp;$J593&amp;"|"&amp;14,Assessments!$A$2:$A$600,0)),"")</f>
        <v/>
      </c>
      <c r="CI593" s="28" t="str">
        <f aca="false">IFERROR(INDEX(Assessments!$I$2:$I$600,MATCH($H593&amp;"|"&amp;$I593&amp;"|"&amp;$J593&amp;"|"&amp;1,Assessments!$A$2:$A$600,0)),"")</f>
        <v/>
      </c>
      <c r="CJ593" s="28" t="str">
        <f aca="false">IFERROR(INDEX(Assessments!$I$2:$I$600,MATCH($H593&amp;"|"&amp;$I593&amp;"|"&amp;$J593&amp;"|"&amp;2,Assessments!$A$2:$A$600,0)),"")</f>
        <v/>
      </c>
      <c r="CK593" s="28" t="str">
        <f aca="false">IFERROR(INDEX(Assessments!$I$2:$I$600,MATCH($H593&amp;"|"&amp;$I593&amp;"|"&amp;$J593&amp;"|"&amp;3,Assessments!$A$2:$A$600,0)),"")</f>
        <v/>
      </c>
      <c r="CL593" s="28" t="str">
        <f aca="false">IFERROR(INDEX(Assessments!$I$2:$I$600,MATCH($H593&amp;"|"&amp;$I593&amp;"|"&amp;$J593&amp;"|"&amp;4,Assessments!$A$2:$A$600,0)),"")</f>
        <v/>
      </c>
      <c r="CM593" s="28" t="str">
        <f aca="false">IFERROR(INDEX(Assessments!$I$2:$I$600,MATCH($H593&amp;"|"&amp;$I593&amp;"|"&amp;$J593&amp;"|"&amp;5,Assessments!$A$2:$A$600,0)),"")</f>
        <v/>
      </c>
      <c r="CN593" s="28" t="str">
        <f aca="false">IFERROR(INDEX(Assessments!$I$2:$I$600,MATCH($H593&amp;"|"&amp;$I593&amp;"|"&amp;$J593&amp;"|"&amp;6,Assessments!$A$2:$A$600,0)),"")</f>
        <v/>
      </c>
      <c r="CO593" s="28" t="str">
        <f aca="false">IFERROR(INDEX(Assessments!$I$2:$I$600,MATCH($H593&amp;"|"&amp;$I593&amp;"|"&amp;$J593&amp;"|"&amp;7,Assessments!$A$2:$A$600,0)),"")</f>
        <v/>
      </c>
      <c r="CP593" s="28" t="str">
        <f aca="false">IFERROR(INDEX(Assessments!$I$2:$I$600,MATCH($H593&amp;"|"&amp;$I593&amp;"|"&amp;$J593&amp;"|"&amp;8,Assessments!$A$2:$A$600,0)),"")</f>
        <v/>
      </c>
      <c r="CQ593" s="28" t="str">
        <f aca="false">IFERROR(INDEX(Assessments!$I$2:$I$600,MATCH($H593&amp;"|"&amp;$I593&amp;"|"&amp;$J593&amp;"|"&amp;9,Assessments!$A$2:$A$600,0)),"")</f>
        <v/>
      </c>
      <c r="CR593" s="28" t="str">
        <f aca="false">IFERROR(INDEX(Assessments!$I$2:$I$600,MATCH($H593&amp;"|"&amp;$I593&amp;"|"&amp;$J593&amp;"|"&amp;10,Assessments!$A$2:$A$600,0)),"")</f>
        <v/>
      </c>
      <c r="CS593" s="28" t="str">
        <f aca="false">IFERROR(INDEX(Assessments!$I$2:$I$600,MATCH($H593&amp;"|"&amp;$I593&amp;"|"&amp;$J593&amp;"|"&amp;11,Assessments!$A$2:$A$600,0)),"")</f>
        <v/>
      </c>
      <c r="CT593" s="28" t="str">
        <f aca="false">IFERROR(INDEX(Assessments!$I$2:$I$600,MATCH($H593&amp;"|"&amp;$I593&amp;"|"&amp;$J593&amp;"|"&amp;12,Assessments!$A$2:$A$600,0)),"")</f>
        <v/>
      </c>
      <c r="CU593" s="28" t="str">
        <f aca="false">IFERROR(INDEX(Assessments!$I$2:$I$600,MATCH($H593&amp;"|"&amp;$I593&amp;"|"&amp;$J593&amp;"|"&amp;13,Assessments!$A$2:$A$600,0)),"")</f>
        <v/>
      </c>
      <c r="CV593" s="28" t="str">
        <f aca="false">IFERROR(INDEX(Assessments!$I$2:$I$600,MATCH($H593&amp;"|"&amp;$I593&amp;"|"&amp;$J593&amp;"|"&amp;14,Assessments!$A$2:$A$600,0)),"")</f>
        <v/>
      </c>
      <c r="CW593" s="28" t="n">
        <f aca="false">IFERROR(INDEX(Assessments!$J$2:$J$600,MATCH($H593&amp;"|"&amp;$I593&amp;"|"&amp;$J593&amp;"|"&amp;1,Assessments!$A$2:$A$600,0)),0)</f>
        <v>0</v>
      </c>
      <c r="CX593" s="28" t="n">
        <f aca="false">IFERROR(INDEX(Assessments!$J$2:$J$600,MATCH($H593&amp;"|"&amp;$I593&amp;"|"&amp;$J593&amp;"|"&amp;2,Assessments!$A$2:$A$600,0)),0)</f>
        <v>0</v>
      </c>
      <c r="CY593" s="28" t="n">
        <f aca="false">IFERROR(INDEX(Assessments!$J$2:$J$600,MATCH($H593&amp;"|"&amp;$I593&amp;"|"&amp;$J593&amp;"|"&amp;3,Assessments!$A$2:$A$600,0)),0)</f>
        <v>0</v>
      </c>
      <c r="CZ593" s="28" t="n">
        <f aca="false">IFERROR(INDEX(Assessments!$J$2:$J$600,MATCH($H593&amp;"|"&amp;$I593&amp;"|"&amp;$J593&amp;"|"&amp;4,Assessments!$A$2:$A$600,0)),0)</f>
        <v>0</v>
      </c>
      <c r="DA593" s="28" t="n">
        <f aca="false">IFERROR(INDEX(Assessments!$J$2:$J$600,MATCH($H593&amp;"|"&amp;$I593&amp;"|"&amp;$J593&amp;"|"&amp;5,Assessments!$A$2:$A$600,0)),0)</f>
        <v>0</v>
      </c>
      <c r="DB593" s="28" t="n">
        <f aca="false">IFERROR(INDEX(Assessments!$J$2:$J$600,MATCH($H593&amp;"|"&amp;$I593&amp;"|"&amp;$J593&amp;"|"&amp;6,Assessments!$A$2:$A$600,0)),0)</f>
        <v>0</v>
      </c>
      <c r="DC593" s="28" t="n">
        <f aca="false">IFERROR(INDEX(Assessments!$J$2:$J$600,MATCH($H593&amp;"|"&amp;$I593&amp;"|"&amp;$J593&amp;"|"&amp;7,Assessments!$A$2:$A$600,0)),0)</f>
        <v>0</v>
      </c>
      <c r="DD593" s="28" t="n">
        <f aca="false">IFERROR(INDEX(Assessments!$J$2:$J$600,MATCH($H593&amp;"|"&amp;$I593&amp;"|"&amp;$J593&amp;"|"&amp;8,Assessments!$A$2:$A$600,0)),0)</f>
        <v>0</v>
      </c>
      <c r="DE593" s="28" t="n">
        <f aca="false">IFERROR(INDEX(Assessments!$J$2:$J$600,MATCH($H593&amp;"|"&amp;$I593&amp;"|"&amp;$J593&amp;"|"&amp;9,Assessments!$A$2:$A$600,0)),0)</f>
        <v>0</v>
      </c>
      <c r="DF593" s="28" t="n">
        <f aca="false">IFERROR(INDEX(Assessments!$J$2:$J$600,MATCH($H593&amp;"|"&amp;$I593&amp;"|"&amp;$J593&amp;"|"&amp;10,Assessments!$A$2:$A$600,0)),0)</f>
        <v>0</v>
      </c>
      <c r="DG593" s="28" t="n">
        <f aca="false">IFERROR(INDEX(Assessments!$J$2:$J$600,MATCH($H593&amp;"|"&amp;$I593&amp;"|"&amp;$J593&amp;"|"&amp;11,Assessments!$A$2:$A$600,0)),0)</f>
        <v>0</v>
      </c>
      <c r="DH593" s="28" t="n">
        <f aca="false">IFERROR(INDEX(Assessments!$J$2:$J$600,MATCH($H593&amp;"|"&amp;$I593&amp;"|"&amp;$J593&amp;"|"&amp;12,Assessments!$A$2:$A$600,0)),0)</f>
        <v>0</v>
      </c>
      <c r="DI593" s="28" t="n">
        <f aca="false">IFERROR(INDEX(Assessments!$J$2:$J$600,MATCH($H593&amp;"|"&amp;$I593&amp;"|"&amp;$J593&amp;"|"&amp;13,Assessments!$A$2:$A$600,0)),0)</f>
        <v>0</v>
      </c>
      <c r="DJ593" s="28" t="n">
        <f aca="false">IFERROR(INDEX(Assessments!$J$2:$J$600,MATCH($H593&amp;"|"&amp;$I593&amp;"|"&amp;$J593&amp;"|"&amp;14,Assessments!$A$2:$A$600,0)),0)</f>
        <v>0</v>
      </c>
      <c r="DK593" s="28" t="str">
        <f aca="false">S593</f>
        <v/>
      </c>
      <c r="DL593" s="28" t="str">
        <f aca="false">W593</f>
        <v/>
      </c>
      <c r="DM593" s="28" t="str">
        <f aca="false">AA593</f>
        <v/>
      </c>
      <c r="DN593" s="28" t="str">
        <f aca="false">AE593</f>
        <v/>
      </c>
      <c r="DO593" s="28" t="str">
        <f aca="false">AI593</f>
        <v/>
      </c>
      <c r="DP593" s="28" t="str">
        <f aca="false">AM593</f>
        <v/>
      </c>
      <c r="DQ593" s="28" t="str">
        <f aca="false">AQ593</f>
        <v/>
      </c>
      <c r="DR593" s="28" t="str">
        <f aca="false">AU593</f>
        <v/>
      </c>
      <c r="DS593" s="28" t="str">
        <f aca="false">AY593</f>
        <v/>
      </c>
      <c r="DT593" s="28" t="str">
        <f aca="false">BC593</f>
        <v/>
      </c>
      <c r="DU593" s="28" t="str">
        <f aca="false">BG593</f>
        <v/>
      </c>
      <c r="DV593" s="28" t="str">
        <f aca="false">BK593</f>
        <v/>
      </c>
      <c r="DW593" s="28" t="str">
        <f aca="false">BO593</f>
        <v/>
      </c>
      <c r="DX593" s="28" t="str">
        <f aca="false">BS593</f>
        <v/>
      </c>
      <c r="DY593" s="28" t="str">
        <f aca="false">IF(ISNUMBER(S593),1,"")</f>
        <v/>
      </c>
      <c r="DZ593" s="28" t="str">
        <f aca="false">IF(ISNUMBER(W593),2,"")</f>
        <v/>
      </c>
      <c r="EA593" s="28" t="str">
        <f aca="false">IF(ISNUMBER(AA593),3,"")</f>
        <v/>
      </c>
      <c r="EB593" s="28" t="str">
        <f aca="false">IF(ISNUMBER(AE593),4,"")</f>
        <v/>
      </c>
      <c r="EC593" s="28" t="str">
        <f aca="false">IF(ISNUMBER(AI593),5,"")</f>
        <v/>
      </c>
      <c r="ED593" s="28" t="str">
        <f aca="false">IF(ISNUMBER(AM593),6,"")</f>
        <v/>
      </c>
      <c r="EE593" s="28" t="str">
        <f aca="false">IF(ISNUMBER(AQ593),7,"")</f>
        <v/>
      </c>
      <c r="EF593" s="28" t="str">
        <f aca="false">IF(ISNUMBER(AU593),8,"")</f>
        <v/>
      </c>
      <c r="EG593" s="28" t="str">
        <f aca="false">IF(ISNUMBER(AY593),9,"")</f>
        <v/>
      </c>
      <c r="EH593" s="28" t="str">
        <f aca="false">IF(ISNUMBER(BC593),10,"")</f>
        <v/>
      </c>
      <c r="EI593" s="28" t="str">
        <f aca="false">IF(ISNUMBER(BG593),11,"")</f>
        <v/>
      </c>
      <c r="EJ593" s="28" t="str">
        <f aca="false">IF(ISNUMBER(BK593),12,"")</f>
        <v/>
      </c>
      <c r="EK593" s="28" t="str">
        <f aca="false">IF(ISNUMBER(BO593),13,"")</f>
        <v/>
      </c>
      <c r="EL593" s="28" t="str">
        <f aca="false">IF(ISNUMBER(BS593),14,"")</f>
        <v/>
      </c>
      <c r="EM593" s="28" t="n">
        <f aca="false">IF(ISNUMBER(R593),R593*CW593,0)</f>
        <v>0</v>
      </c>
      <c r="EN593" s="28" t="n">
        <f aca="false">IF(ISNUMBER(V593),V593*CX593,0)</f>
        <v>0</v>
      </c>
      <c r="EO593" s="28" t="n">
        <f aca="false">IF(ISNUMBER(Z593),Z593*CY593,0)</f>
        <v>0</v>
      </c>
      <c r="EP593" s="28" t="n">
        <f aca="false">IF(ISNUMBER(AD593),AD593*CZ593,0)</f>
        <v>0</v>
      </c>
      <c r="EQ593" s="28" t="n">
        <f aca="false">IF(ISNUMBER(AH593),AH593*DA593,0)</f>
        <v>0</v>
      </c>
      <c r="ER593" s="28" t="n">
        <f aca="false">IF(ISNUMBER(AL593),AL593*DB593,0)</f>
        <v>0</v>
      </c>
      <c r="ES593" s="28" t="n">
        <f aca="false">IF(ISNUMBER(AP593),AP593*DC593,0)</f>
        <v>0</v>
      </c>
      <c r="ET593" s="28" t="n">
        <f aca="false">IF(ISNUMBER(AT593),AT593*DD593,0)</f>
        <v>0</v>
      </c>
      <c r="EU593" s="28" t="n">
        <f aca="false">IF(ISNUMBER(AX593),AX593*DE593,0)</f>
        <v>0</v>
      </c>
      <c r="EV593" s="28" t="n">
        <f aca="false">IF(ISNUMBER(BB593),BB593*DF593,0)</f>
        <v>0</v>
      </c>
      <c r="EW593" s="28" t="n">
        <f aca="false">IF(ISNUMBER(BF593),BF593*DG593,0)</f>
        <v>0</v>
      </c>
      <c r="EX593" s="28" t="n">
        <f aca="false">IF(ISNUMBER(BJ593),BJ593*DH593,0)</f>
        <v>0</v>
      </c>
      <c r="EY593" s="28" t="n">
        <f aca="false">IF(ISNUMBER(BN593),BN593*DI593,0)</f>
        <v>0</v>
      </c>
      <c r="EZ593" s="28" t="n">
        <f aca="false">IF(ISNUMBER(BR593),BR593*DJ593,0)</f>
        <v>0</v>
      </c>
      <c r="FA593" s="28" t="n">
        <f aca="false">IF(ISNUMBER(R593),CW593,0)</f>
        <v>0</v>
      </c>
      <c r="FB593" s="28" t="n">
        <f aca="false">IF(ISNUMBER(V593),CX593,0)</f>
        <v>0</v>
      </c>
      <c r="FC593" s="28" t="n">
        <f aca="false">IF(ISNUMBER(Z593),CY593,0)</f>
        <v>0</v>
      </c>
      <c r="FD593" s="28" t="n">
        <f aca="false">IF(ISNUMBER(AD593),CZ593,0)</f>
        <v>0</v>
      </c>
      <c r="FE593" s="28" t="n">
        <f aca="false">IF(ISNUMBER(AH593),DA593,0)</f>
        <v>0</v>
      </c>
      <c r="FF593" s="28" t="n">
        <f aca="false">IF(ISNUMBER(AL593),DB593,0)</f>
        <v>0</v>
      </c>
      <c r="FG593" s="28" t="n">
        <f aca="false">IF(ISNUMBER(AP593),DC593,0)</f>
        <v>0</v>
      </c>
      <c r="FH593" s="28" t="n">
        <f aca="false">IF(ISNUMBER(AT593),DD593,0)</f>
        <v>0</v>
      </c>
      <c r="FI593" s="28" t="n">
        <f aca="false">IF(ISNUMBER(AX593),DE593,0)</f>
        <v>0</v>
      </c>
      <c r="FJ593" s="28" t="n">
        <f aca="false">IF(ISNUMBER(BB593),DF593,0)</f>
        <v>0</v>
      </c>
      <c r="FK593" s="28" t="n">
        <f aca="false">IF(ISNUMBER(BF593),DG593,0)</f>
        <v>0</v>
      </c>
      <c r="FL593" s="28" t="n">
        <f aca="false">IF(ISNUMBER(BJ593),DH593,0)</f>
        <v>0</v>
      </c>
      <c r="FM593" s="28" t="n">
        <f aca="false">IF(ISNUMBER(BN593),DI593,0)</f>
        <v>0</v>
      </c>
      <c r="FN593" s="28" t="n">
        <f aca="false">IF(ISNUMBER(BR593),DJ593,0)</f>
        <v>0</v>
      </c>
      <c r="FO593" s="28" t="str">
        <f aca="false">IFERROR(INDEX(Lists!$G$2:$G$20,MATCH($I593&amp;"|"&amp;$J593,Lists!$F$2:$F$20,0)),"")</f>
        <v/>
      </c>
    </row>
    <row r="594" customFormat="false" ht="19.5" hidden="false" customHeight="true" outlineLevel="0" collapsed="false">
      <c r="A594" s="29"/>
      <c r="B594" s="29"/>
      <c r="C594" s="30"/>
      <c r="D594" s="30"/>
      <c r="E594" s="31"/>
      <c r="F594" s="30"/>
      <c r="G594" s="30"/>
      <c r="H594" s="32"/>
      <c r="I594" s="33"/>
      <c r="J594" s="32"/>
      <c r="K594" s="34" t="str">
        <f aca="false">IF(OR(M594="",$E594=""),"",M594-$E594)</f>
        <v/>
      </c>
      <c r="L594" s="35" t="str">
        <f aca="false">IF(SUM(FA594:FN594)=0,"",SUM(EM594:EZ594)/SUM(FA594:FN594))</f>
        <v/>
      </c>
      <c r="M594" s="36" t="str">
        <f aca="false">IF(OR(L594="",FO594=""),"",IFERROR(MATCH(L594,INDEX(Boundaries!$B$2:$I$30,MATCH(FO594,Boundaries!$A$2:$A$30,0),0),1)-1,""))</f>
        <v/>
      </c>
      <c r="N594" s="37" t="str">
        <f aca="false">IF(COUNT($DY594:$EL594)&lt;2,"",INDEX($DK594:$DX594,MAX($DY594:$EL594))-INDEX($DK594:$DX594,MIN($DY594:$EL594)))</f>
        <v/>
      </c>
      <c r="O594" s="37" t="str">
        <f aca="false">IF(COUNT($DY594:$EL594)&lt;2,"",INDEX($DK594:$DX594,MAX($DY594:$EL594))-INDEX($DK594:$DX594,LARGE($DY594:$EL594,2)))</f>
        <v/>
      </c>
      <c r="P594" s="38" t="str">
        <f aca="false">IF(K594="","",IF(K594&gt;=0,"On/above target",IF(AND(N594&lt;&gt;"",N594&gt;=0.5),"Improving towards target",IF(AND(O594&lt;&gt;"",O594&lt;=-0.5),"Declining","Stable below target"))))</f>
        <v/>
      </c>
      <c r="Q594" s="39"/>
      <c r="R594" s="40" t="str">
        <f aca="false">IF(OR(Q594="",BU594=""),"",Q594/BU594*100)</f>
        <v/>
      </c>
      <c r="S594" s="41" t="str">
        <f aca="false">IF(R594="","",IFERROR(MATCH(R594,INDEX(Boundaries!$B$2:$I$30,MATCH(CI594,Boundaries!$A$2:$A$30,0),0),1)-1,""))</f>
        <v/>
      </c>
      <c r="T594" s="42" t="str">
        <f aca="false">IF(OR(S594="",$E594=""),"",S594-$E594)</f>
        <v/>
      </c>
      <c r="U594" s="39"/>
      <c r="V594" s="40" t="str">
        <f aca="false">IF(OR(U594="",BV594=""),"",U594/BV594*100)</f>
        <v/>
      </c>
      <c r="W594" s="41" t="str">
        <f aca="false">IF(V594="","",IFERROR(MATCH(V594,INDEX(Boundaries!$B$2:$I$30,MATCH(CJ594,Boundaries!$A$2:$A$30,0),0),1)-1,""))</f>
        <v/>
      </c>
      <c r="X594" s="42" t="str">
        <f aca="false">IF(OR(W594="",$E594=""),"",W594-$E594)</f>
        <v/>
      </c>
      <c r="Y594" s="39"/>
      <c r="Z594" s="40" t="str">
        <f aca="false">IF(OR(Y594="",BW594=""),"",Y594/BW594*100)</f>
        <v/>
      </c>
      <c r="AA594" s="41" t="str">
        <f aca="false">IF(Z594="","",IFERROR(MATCH(Z594,INDEX(Boundaries!$B$2:$I$30,MATCH(CK594,Boundaries!$A$2:$A$30,0),0),1)-1,""))</f>
        <v/>
      </c>
      <c r="AB594" s="42" t="str">
        <f aca="false">IF(OR(AA594="",$E594=""),"",AA594-$E594)</f>
        <v/>
      </c>
      <c r="AC594" s="39"/>
      <c r="AD594" s="40" t="str">
        <f aca="false">IF(OR(AC594="",BX594=""),"",AC594/BX594*100)</f>
        <v/>
      </c>
      <c r="AE594" s="41" t="str">
        <f aca="false">IF(AD594="","",IFERROR(MATCH(AD594,INDEX(Boundaries!$B$2:$I$30,MATCH(CL594,Boundaries!$A$2:$A$30,0),0),1)-1,""))</f>
        <v/>
      </c>
      <c r="AF594" s="42" t="str">
        <f aca="false">IF(OR(AE594="",$E594=""),"",AE594-$E594)</f>
        <v/>
      </c>
      <c r="AG594" s="39"/>
      <c r="AH594" s="40" t="str">
        <f aca="false">IF(OR(AG594="",BY594=""),"",AG594/BY594*100)</f>
        <v/>
      </c>
      <c r="AI594" s="41" t="str">
        <f aca="false">IF(AH594="","",IFERROR(MATCH(AH594,INDEX(Boundaries!$B$2:$I$30,MATCH(CM594,Boundaries!$A$2:$A$30,0),0),1)-1,""))</f>
        <v/>
      </c>
      <c r="AJ594" s="42" t="str">
        <f aca="false">IF(OR(AI594="",$E594=""),"",AI594-$E594)</f>
        <v/>
      </c>
      <c r="AK594" s="39"/>
      <c r="AL594" s="40" t="str">
        <f aca="false">IF(OR(AK594="",BZ594=""),"",AK594/BZ594*100)</f>
        <v/>
      </c>
      <c r="AM594" s="41" t="str">
        <f aca="false">IF(AL594="","",IFERROR(MATCH(AL594,INDEX(Boundaries!$B$2:$I$30,MATCH(CN594,Boundaries!$A$2:$A$30,0),0),1)-1,""))</f>
        <v/>
      </c>
      <c r="AN594" s="42" t="str">
        <f aca="false">IF(OR(AM594="",$E594=""),"",AM594-$E594)</f>
        <v/>
      </c>
      <c r="AO594" s="39"/>
      <c r="AP594" s="40" t="str">
        <f aca="false">IF(OR(AO594="",CA594=""),"",AO594/CA594*100)</f>
        <v/>
      </c>
      <c r="AQ594" s="41" t="str">
        <f aca="false">IF(AP594="","",IFERROR(MATCH(AP594,INDEX(Boundaries!$B$2:$I$30,MATCH(CO594,Boundaries!$A$2:$A$30,0),0),1)-1,""))</f>
        <v/>
      </c>
      <c r="AR594" s="42" t="str">
        <f aca="false">IF(OR(AQ594="",$E594=""),"",AQ594-$E594)</f>
        <v/>
      </c>
      <c r="AS594" s="39"/>
      <c r="AT594" s="40" t="str">
        <f aca="false">IF(OR(AS594="",CB594=""),"",AS594/CB594*100)</f>
        <v/>
      </c>
      <c r="AU594" s="41" t="str">
        <f aca="false">IF(AT594="","",IFERROR(MATCH(AT594,INDEX(Boundaries!$B$2:$I$30,MATCH(CP594,Boundaries!$A$2:$A$30,0),0),1)-1,""))</f>
        <v/>
      </c>
      <c r="AV594" s="42" t="str">
        <f aca="false">IF(OR(AU594="",$E594=""),"",AU594-$E594)</f>
        <v/>
      </c>
      <c r="AW594" s="39"/>
      <c r="AX594" s="40" t="str">
        <f aca="false">IF(OR(AW594="",CC594=""),"",AW594/CC594*100)</f>
        <v/>
      </c>
      <c r="AY594" s="41" t="str">
        <f aca="false">IF(AX594="","",IFERROR(MATCH(AX594,INDEX(Boundaries!$B$2:$I$30,MATCH(CQ594,Boundaries!$A$2:$A$30,0),0),1)-1,""))</f>
        <v/>
      </c>
      <c r="AZ594" s="42" t="str">
        <f aca="false">IF(OR(AY594="",$E594=""),"",AY594-$E594)</f>
        <v/>
      </c>
      <c r="BA594" s="39"/>
      <c r="BB594" s="40" t="str">
        <f aca="false">IF(OR(BA594="",CD594=""),"",BA594/CD594*100)</f>
        <v/>
      </c>
      <c r="BC594" s="41" t="str">
        <f aca="false">IF(BB594="","",IFERROR(MATCH(BB594,INDEX(Boundaries!$B$2:$I$30,MATCH(CR594,Boundaries!$A$2:$A$30,0),0),1)-1,""))</f>
        <v/>
      </c>
      <c r="BD594" s="42" t="str">
        <f aca="false">IF(OR(BC594="",$E594=""),"",BC594-$E594)</f>
        <v/>
      </c>
      <c r="BE594" s="39"/>
      <c r="BF594" s="40" t="str">
        <f aca="false">IF(OR(BE594="",CE594=""),"",BE594/CE594*100)</f>
        <v/>
      </c>
      <c r="BG594" s="41" t="str">
        <f aca="false">IF(BF594="","",IFERROR(MATCH(BF594,INDEX(Boundaries!$B$2:$I$30,MATCH(CS594,Boundaries!$A$2:$A$30,0),0),1)-1,""))</f>
        <v/>
      </c>
      <c r="BH594" s="42" t="str">
        <f aca="false">IF(OR(BG594="",$E594=""),"",BG594-$E594)</f>
        <v/>
      </c>
      <c r="BI594" s="39"/>
      <c r="BJ594" s="40" t="str">
        <f aca="false">IF(OR(BI594="",CF594=""),"",BI594/CF594*100)</f>
        <v/>
      </c>
      <c r="BK594" s="41" t="str">
        <f aca="false">IF(BJ594="","",IFERROR(MATCH(BJ594,INDEX(Boundaries!$B$2:$I$30,MATCH(CT594,Boundaries!$A$2:$A$30,0),0),1)-1,""))</f>
        <v/>
      </c>
      <c r="BL594" s="42" t="str">
        <f aca="false">IF(OR(BK594="",$E594=""),"",BK594-$E594)</f>
        <v/>
      </c>
      <c r="BM594" s="39"/>
      <c r="BN594" s="40" t="str">
        <f aca="false">IF(OR(BM594="",CG594=""),"",BM594/CG594*100)</f>
        <v/>
      </c>
      <c r="BO594" s="41" t="str">
        <f aca="false">IF(BN594="","",IFERROR(MATCH(BN594,INDEX(Boundaries!$B$2:$I$30,MATCH(CU594,Boundaries!$A$2:$A$30,0),0),1)-1,""))</f>
        <v/>
      </c>
      <c r="BP594" s="42" t="str">
        <f aca="false">IF(OR(BO594="",$E594=""),"",BO594-$E594)</f>
        <v/>
      </c>
      <c r="BQ594" s="39"/>
      <c r="BR594" s="40" t="str">
        <f aca="false">IF(OR(BQ594="",CH594=""),"",BQ594/CH594*100)</f>
        <v/>
      </c>
      <c r="BS594" s="41" t="str">
        <f aca="false">IF(BR594="","",IFERROR(MATCH(BR594,INDEX(Boundaries!$B$2:$I$30,MATCH(CV594,Boundaries!$A$2:$A$30,0),0),1)-1,""))</f>
        <v/>
      </c>
      <c r="BT594" s="42" t="str">
        <f aca="false">IF(OR(BS594="",$E594=""),"",BS594-$E594)</f>
        <v/>
      </c>
      <c r="BU594" s="28" t="str">
        <f aca="false">IFERROR(INDEX(Assessments!$H$2:$H$600,MATCH($H594&amp;"|"&amp;$I594&amp;"|"&amp;$J594&amp;"|"&amp;1,Assessments!$A$2:$A$600,0)),"")</f>
        <v/>
      </c>
      <c r="BV594" s="28" t="str">
        <f aca="false">IFERROR(INDEX(Assessments!$H$2:$H$600,MATCH($H594&amp;"|"&amp;$I594&amp;"|"&amp;$J594&amp;"|"&amp;2,Assessments!$A$2:$A$600,0)),"")</f>
        <v/>
      </c>
      <c r="BW594" s="28" t="str">
        <f aca="false">IFERROR(INDEX(Assessments!$H$2:$H$600,MATCH($H594&amp;"|"&amp;$I594&amp;"|"&amp;$J594&amp;"|"&amp;3,Assessments!$A$2:$A$600,0)),"")</f>
        <v/>
      </c>
      <c r="BX594" s="28" t="str">
        <f aca="false">IFERROR(INDEX(Assessments!$H$2:$H$600,MATCH($H594&amp;"|"&amp;$I594&amp;"|"&amp;$J594&amp;"|"&amp;4,Assessments!$A$2:$A$600,0)),"")</f>
        <v/>
      </c>
      <c r="BY594" s="28" t="str">
        <f aca="false">IFERROR(INDEX(Assessments!$H$2:$H$600,MATCH($H594&amp;"|"&amp;$I594&amp;"|"&amp;$J594&amp;"|"&amp;5,Assessments!$A$2:$A$600,0)),"")</f>
        <v/>
      </c>
      <c r="BZ594" s="28" t="str">
        <f aca="false">IFERROR(INDEX(Assessments!$H$2:$H$600,MATCH($H594&amp;"|"&amp;$I594&amp;"|"&amp;$J594&amp;"|"&amp;6,Assessments!$A$2:$A$600,0)),"")</f>
        <v/>
      </c>
      <c r="CA594" s="28" t="str">
        <f aca="false">IFERROR(INDEX(Assessments!$H$2:$H$600,MATCH($H594&amp;"|"&amp;$I594&amp;"|"&amp;$J594&amp;"|"&amp;7,Assessments!$A$2:$A$600,0)),"")</f>
        <v/>
      </c>
      <c r="CB594" s="28" t="str">
        <f aca="false">IFERROR(INDEX(Assessments!$H$2:$H$600,MATCH($H594&amp;"|"&amp;$I594&amp;"|"&amp;$J594&amp;"|"&amp;8,Assessments!$A$2:$A$600,0)),"")</f>
        <v/>
      </c>
      <c r="CC594" s="28" t="str">
        <f aca="false">IFERROR(INDEX(Assessments!$H$2:$H$600,MATCH($H594&amp;"|"&amp;$I594&amp;"|"&amp;$J594&amp;"|"&amp;9,Assessments!$A$2:$A$600,0)),"")</f>
        <v/>
      </c>
      <c r="CD594" s="28" t="str">
        <f aca="false">IFERROR(INDEX(Assessments!$H$2:$H$600,MATCH($H594&amp;"|"&amp;$I594&amp;"|"&amp;$J594&amp;"|"&amp;10,Assessments!$A$2:$A$600,0)),"")</f>
        <v/>
      </c>
      <c r="CE594" s="28" t="str">
        <f aca="false">IFERROR(INDEX(Assessments!$H$2:$H$600,MATCH($H594&amp;"|"&amp;$I594&amp;"|"&amp;$J594&amp;"|"&amp;11,Assessments!$A$2:$A$600,0)),"")</f>
        <v/>
      </c>
      <c r="CF594" s="28" t="str">
        <f aca="false">IFERROR(INDEX(Assessments!$H$2:$H$600,MATCH($H594&amp;"|"&amp;$I594&amp;"|"&amp;$J594&amp;"|"&amp;12,Assessments!$A$2:$A$600,0)),"")</f>
        <v/>
      </c>
      <c r="CG594" s="28" t="str">
        <f aca="false">IFERROR(INDEX(Assessments!$H$2:$H$600,MATCH($H594&amp;"|"&amp;$I594&amp;"|"&amp;$J594&amp;"|"&amp;13,Assessments!$A$2:$A$600,0)),"")</f>
        <v/>
      </c>
      <c r="CH594" s="28" t="str">
        <f aca="false">IFERROR(INDEX(Assessments!$H$2:$H$600,MATCH($H594&amp;"|"&amp;$I594&amp;"|"&amp;$J594&amp;"|"&amp;14,Assessments!$A$2:$A$600,0)),"")</f>
        <v/>
      </c>
      <c r="CI594" s="28" t="str">
        <f aca="false">IFERROR(INDEX(Assessments!$I$2:$I$600,MATCH($H594&amp;"|"&amp;$I594&amp;"|"&amp;$J594&amp;"|"&amp;1,Assessments!$A$2:$A$600,0)),"")</f>
        <v/>
      </c>
      <c r="CJ594" s="28" t="str">
        <f aca="false">IFERROR(INDEX(Assessments!$I$2:$I$600,MATCH($H594&amp;"|"&amp;$I594&amp;"|"&amp;$J594&amp;"|"&amp;2,Assessments!$A$2:$A$600,0)),"")</f>
        <v/>
      </c>
      <c r="CK594" s="28" t="str">
        <f aca="false">IFERROR(INDEX(Assessments!$I$2:$I$600,MATCH($H594&amp;"|"&amp;$I594&amp;"|"&amp;$J594&amp;"|"&amp;3,Assessments!$A$2:$A$600,0)),"")</f>
        <v/>
      </c>
      <c r="CL594" s="28" t="str">
        <f aca="false">IFERROR(INDEX(Assessments!$I$2:$I$600,MATCH($H594&amp;"|"&amp;$I594&amp;"|"&amp;$J594&amp;"|"&amp;4,Assessments!$A$2:$A$600,0)),"")</f>
        <v/>
      </c>
      <c r="CM594" s="28" t="str">
        <f aca="false">IFERROR(INDEX(Assessments!$I$2:$I$600,MATCH($H594&amp;"|"&amp;$I594&amp;"|"&amp;$J594&amp;"|"&amp;5,Assessments!$A$2:$A$600,0)),"")</f>
        <v/>
      </c>
      <c r="CN594" s="28" t="str">
        <f aca="false">IFERROR(INDEX(Assessments!$I$2:$I$600,MATCH($H594&amp;"|"&amp;$I594&amp;"|"&amp;$J594&amp;"|"&amp;6,Assessments!$A$2:$A$600,0)),"")</f>
        <v/>
      </c>
      <c r="CO594" s="28" t="str">
        <f aca="false">IFERROR(INDEX(Assessments!$I$2:$I$600,MATCH($H594&amp;"|"&amp;$I594&amp;"|"&amp;$J594&amp;"|"&amp;7,Assessments!$A$2:$A$600,0)),"")</f>
        <v/>
      </c>
      <c r="CP594" s="28" t="str">
        <f aca="false">IFERROR(INDEX(Assessments!$I$2:$I$600,MATCH($H594&amp;"|"&amp;$I594&amp;"|"&amp;$J594&amp;"|"&amp;8,Assessments!$A$2:$A$600,0)),"")</f>
        <v/>
      </c>
      <c r="CQ594" s="28" t="str">
        <f aca="false">IFERROR(INDEX(Assessments!$I$2:$I$600,MATCH($H594&amp;"|"&amp;$I594&amp;"|"&amp;$J594&amp;"|"&amp;9,Assessments!$A$2:$A$600,0)),"")</f>
        <v/>
      </c>
      <c r="CR594" s="28" t="str">
        <f aca="false">IFERROR(INDEX(Assessments!$I$2:$I$600,MATCH($H594&amp;"|"&amp;$I594&amp;"|"&amp;$J594&amp;"|"&amp;10,Assessments!$A$2:$A$600,0)),"")</f>
        <v/>
      </c>
      <c r="CS594" s="28" t="str">
        <f aca="false">IFERROR(INDEX(Assessments!$I$2:$I$600,MATCH($H594&amp;"|"&amp;$I594&amp;"|"&amp;$J594&amp;"|"&amp;11,Assessments!$A$2:$A$600,0)),"")</f>
        <v/>
      </c>
      <c r="CT594" s="28" t="str">
        <f aca="false">IFERROR(INDEX(Assessments!$I$2:$I$600,MATCH($H594&amp;"|"&amp;$I594&amp;"|"&amp;$J594&amp;"|"&amp;12,Assessments!$A$2:$A$600,0)),"")</f>
        <v/>
      </c>
      <c r="CU594" s="28" t="str">
        <f aca="false">IFERROR(INDEX(Assessments!$I$2:$I$600,MATCH($H594&amp;"|"&amp;$I594&amp;"|"&amp;$J594&amp;"|"&amp;13,Assessments!$A$2:$A$600,0)),"")</f>
        <v/>
      </c>
      <c r="CV594" s="28" t="str">
        <f aca="false">IFERROR(INDEX(Assessments!$I$2:$I$600,MATCH($H594&amp;"|"&amp;$I594&amp;"|"&amp;$J594&amp;"|"&amp;14,Assessments!$A$2:$A$600,0)),"")</f>
        <v/>
      </c>
      <c r="CW594" s="28" t="n">
        <f aca="false">IFERROR(INDEX(Assessments!$J$2:$J$600,MATCH($H594&amp;"|"&amp;$I594&amp;"|"&amp;$J594&amp;"|"&amp;1,Assessments!$A$2:$A$600,0)),0)</f>
        <v>0</v>
      </c>
      <c r="CX594" s="28" t="n">
        <f aca="false">IFERROR(INDEX(Assessments!$J$2:$J$600,MATCH($H594&amp;"|"&amp;$I594&amp;"|"&amp;$J594&amp;"|"&amp;2,Assessments!$A$2:$A$600,0)),0)</f>
        <v>0</v>
      </c>
      <c r="CY594" s="28" t="n">
        <f aca="false">IFERROR(INDEX(Assessments!$J$2:$J$600,MATCH($H594&amp;"|"&amp;$I594&amp;"|"&amp;$J594&amp;"|"&amp;3,Assessments!$A$2:$A$600,0)),0)</f>
        <v>0</v>
      </c>
      <c r="CZ594" s="28" t="n">
        <f aca="false">IFERROR(INDEX(Assessments!$J$2:$J$600,MATCH($H594&amp;"|"&amp;$I594&amp;"|"&amp;$J594&amp;"|"&amp;4,Assessments!$A$2:$A$600,0)),0)</f>
        <v>0</v>
      </c>
      <c r="DA594" s="28" t="n">
        <f aca="false">IFERROR(INDEX(Assessments!$J$2:$J$600,MATCH($H594&amp;"|"&amp;$I594&amp;"|"&amp;$J594&amp;"|"&amp;5,Assessments!$A$2:$A$600,0)),0)</f>
        <v>0</v>
      </c>
      <c r="DB594" s="28" t="n">
        <f aca="false">IFERROR(INDEX(Assessments!$J$2:$J$600,MATCH($H594&amp;"|"&amp;$I594&amp;"|"&amp;$J594&amp;"|"&amp;6,Assessments!$A$2:$A$600,0)),0)</f>
        <v>0</v>
      </c>
      <c r="DC594" s="28" t="n">
        <f aca="false">IFERROR(INDEX(Assessments!$J$2:$J$600,MATCH($H594&amp;"|"&amp;$I594&amp;"|"&amp;$J594&amp;"|"&amp;7,Assessments!$A$2:$A$600,0)),0)</f>
        <v>0</v>
      </c>
      <c r="DD594" s="28" t="n">
        <f aca="false">IFERROR(INDEX(Assessments!$J$2:$J$600,MATCH($H594&amp;"|"&amp;$I594&amp;"|"&amp;$J594&amp;"|"&amp;8,Assessments!$A$2:$A$600,0)),0)</f>
        <v>0</v>
      </c>
      <c r="DE594" s="28" t="n">
        <f aca="false">IFERROR(INDEX(Assessments!$J$2:$J$600,MATCH($H594&amp;"|"&amp;$I594&amp;"|"&amp;$J594&amp;"|"&amp;9,Assessments!$A$2:$A$600,0)),0)</f>
        <v>0</v>
      </c>
      <c r="DF594" s="28" t="n">
        <f aca="false">IFERROR(INDEX(Assessments!$J$2:$J$600,MATCH($H594&amp;"|"&amp;$I594&amp;"|"&amp;$J594&amp;"|"&amp;10,Assessments!$A$2:$A$600,0)),0)</f>
        <v>0</v>
      </c>
      <c r="DG594" s="28" t="n">
        <f aca="false">IFERROR(INDEX(Assessments!$J$2:$J$600,MATCH($H594&amp;"|"&amp;$I594&amp;"|"&amp;$J594&amp;"|"&amp;11,Assessments!$A$2:$A$600,0)),0)</f>
        <v>0</v>
      </c>
      <c r="DH594" s="28" t="n">
        <f aca="false">IFERROR(INDEX(Assessments!$J$2:$J$600,MATCH($H594&amp;"|"&amp;$I594&amp;"|"&amp;$J594&amp;"|"&amp;12,Assessments!$A$2:$A$600,0)),0)</f>
        <v>0</v>
      </c>
      <c r="DI594" s="28" t="n">
        <f aca="false">IFERROR(INDEX(Assessments!$J$2:$J$600,MATCH($H594&amp;"|"&amp;$I594&amp;"|"&amp;$J594&amp;"|"&amp;13,Assessments!$A$2:$A$600,0)),0)</f>
        <v>0</v>
      </c>
      <c r="DJ594" s="28" t="n">
        <f aca="false">IFERROR(INDEX(Assessments!$J$2:$J$600,MATCH($H594&amp;"|"&amp;$I594&amp;"|"&amp;$J594&amp;"|"&amp;14,Assessments!$A$2:$A$600,0)),0)</f>
        <v>0</v>
      </c>
      <c r="DK594" s="28" t="str">
        <f aca="false">S594</f>
        <v/>
      </c>
      <c r="DL594" s="28" t="str">
        <f aca="false">W594</f>
        <v/>
      </c>
      <c r="DM594" s="28" t="str">
        <f aca="false">AA594</f>
        <v/>
      </c>
      <c r="DN594" s="28" t="str">
        <f aca="false">AE594</f>
        <v/>
      </c>
      <c r="DO594" s="28" t="str">
        <f aca="false">AI594</f>
        <v/>
      </c>
      <c r="DP594" s="28" t="str">
        <f aca="false">AM594</f>
        <v/>
      </c>
      <c r="DQ594" s="28" t="str">
        <f aca="false">AQ594</f>
        <v/>
      </c>
      <c r="DR594" s="28" t="str">
        <f aca="false">AU594</f>
        <v/>
      </c>
      <c r="DS594" s="28" t="str">
        <f aca="false">AY594</f>
        <v/>
      </c>
      <c r="DT594" s="28" t="str">
        <f aca="false">BC594</f>
        <v/>
      </c>
      <c r="DU594" s="28" t="str">
        <f aca="false">BG594</f>
        <v/>
      </c>
      <c r="DV594" s="28" t="str">
        <f aca="false">BK594</f>
        <v/>
      </c>
      <c r="DW594" s="28" t="str">
        <f aca="false">BO594</f>
        <v/>
      </c>
      <c r="DX594" s="28" t="str">
        <f aca="false">BS594</f>
        <v/>
      </c>
      <c r="DY594" s="28" t="str">
        <f aca="false">IF(ISNUMBER(S594),1,"")</f>
        <v/>
      </c>
      <c r="DZ594" s="28" t="str">
        <f aca="false">IF(ISNUMBER(W594),2,"")</f>
        <v/>
      </c>
      <c r="EA594" s="28" t="str">
        <f aca="false">IF(ISNUMBER(AA594),3,"")</f>
        <v/>
      </c>
      <c r="EB594" s="28" t="str">
        <f aca="false">IF(ISNUMBER(AE594),4,"")</f>
        <v/>
      </c>
      <c r="EC594" s="28" t="str">
        <f aca="false">IF(ISNUMBER(AI594),5,"")</f>
        <v/>
      </c>
      <c r="ED594" s="28" t="str">
        <f aca="false">IF(ISNUMBER(AM594),6,"")</f>
        <v/>
      </c>
      <c r="EE594" s="28" t="str">
        <f aca="false">IF(ISNUMBER(AQ594),7,"")</f>
        <v/>
      </c>
      <c r="EF594" s="28" t="str">
        <f aca="false">IF(ISNUMBER(AU594),8,"")</f>
        <v/>
      </c>
      <c r="EG594" s="28" t="str">
        <f aca="false">IF(ISNUMBER(AY594),9,"")</f>
        <v/>
      </c>
      <c r="EH594" s="28" t="str">
        <f aca="false">IF(ISNUMBER(BC594),10,"")</f>
        <v/>
      </c>
      <c r="EI594" s="28" t="str">
        <f aca="false">IF(ISNUMBER(BG594),11,"")</f>
        <v/>
      </c>
      <c r="EJ594" s="28" t="str">
        <f aca="false">IF(ISNUMBER(BK594),12,"")</f>
        <v/>
      </c>
      <c r="EK594" s="28" t="str">
        <f aca="false">IF(ISNUMBER(BO594),13,"")</f>
        <v/>
      </c>
      <c r="EL594" s="28" t="str">
        <f aca="false">IF(ISNUMBER(BS594),14,"")</f>
        <v/>
      </c>
      <c r="EM594" s="28" t="n">
        <f aca="false">IF(ISNUMBER(R594),R594*CW594,0)</f>
        <v>0</v>
      </c>
      <c r="EN594" s="28" t="n">
        <f aca="false">IF(ISNUMBER(V594),V594*CX594,0)</f>
        <v>0</v>
      </c>
      <c r="EO594" s="28" t="n">
        <f aca="false">IF(ISNUMBER(Z594),Z594*CY594,0)</f>
        <v>0</v>
      </c>
      <c r="EP594" s="28" t="n">
        <f aca="false">IF(ISNUMBER(AD594),AD594*CZ594,0)</f>
        <v>0</v>
      </c>
      <c r="EQ594" s="28" t="n">
        <f aca="false">IF(ISNUMBER(AH594),AH594*DA594,0)</f>
        <v>0</v>
      </c>
      <c r="ER594" s="28" t="n">
        <f aca="false">IF(ISNUMBER(AL594),AL594*DB594,0)</f>
        <v>0</v>
      </c>
      <c r="ES594" s="28" t="n">
        <f aca="false">IF(ISNUMBER(AP594),AP594*DC594,0)</f>
        <v>0</v>
      </c>
      <c r="ET594" s="28" t="n">
        <f aca="false">IF(ISNUMBER(AT594),AT594*DD594,0)</f>
        <v>0</v>
      </c>
      <c r="EU594" s="28" t="n">
        <f aca="false">IF(ISNUMBER(AX594),AX594*DE594,0)</f>
        <v>0</v>
      </c>
      <c r="EV594" s="28" t="n">
        <f aca="false">IF(ISNUMBER(BB594),BB594*DF594,0)</f>
        <v>0</v>
      </c>
      <c r="EW594" s="28" t="n">
        <f aca="false">IF(ISNUMBER(BF594),BF594*DG594,0)</f>
        <v>0</v>
      </c>
      <c r="EX594" s="28" t="n">
        <f aca="false">IF(ISNUMBER(BJ594),BJ594*DH594,0)</f>
        <v>0</v>
      </c>
      <c r="EY594" s="28" t="n">
        <f aca="false">IF(ISNUMBER(BN594),BN594*DI594,0)</f>
        <v>0</v>
      </c>
      <c r="EZ594" s="28" t="n">
        <f aca="false">IF(ISNUMBER(BR594),BR594*DJ594,0)</f>
        <v>0</v>
      </c>
      <c r="FA594" s="28" t="n">
        <f aca="false">IF(ISNUMBER(R594),CW594,0)</f>
        <v>0</v>
      </c>
      <c r="FB594" s="28" t="n">
        <f aca="false">IF(ISNUMBER(V594),CX594,0)</f>
        <v>0</v>
      </c>
      <c r="FC594" s="28" t="n">
        <f aca="false">IF(ISNUMBER(Z594),CY594,0)</f>
        <v>0</v>
      </c>
      <c r="FD594" s="28" t="n">
        <f aca="false">IF(ISNUMBER(AD594),CZ594,0)</f>
        <v>0</v>
      </c>
      <c r="FE594" s="28" t="n">
        <f aca="false">IF(ISNUMBER(AH594),DA594,0)</f>
        <v>0</v>
      </c>
      <c r="FF594" s="28" t="n">
        <f aca="false">IF(ISNUMBER(AL594),DB594,0)</f>
        <v>0</v>
      </c>
      <c r="FG594" s="28" t="n">
        <f aca="false">IF(ISNUMBER(AP594),DC594,0)</f>
        <v>0</v>
      </c>
      <c r="FH594" s="28" t="n">
        <f aca="false">IF(ISNUMBER(AT594),DD594,0)</f>
        <v>0</v>
      </c>
      <c r="FI594" s="28" t="n">
        <f aca="false">IF(ISNUMBER(AX594),DE594,0)</f>
        <v>0</v>
      </c>
      <c r="FJ594" s="28" t="n">
        <f aca="false">IF(ISNUMBER(BB594),DF594,0)</f>
        <v>0</v>
      </c>
      <c r="FK594" s="28" t="n">
        <f aca="false">IF(ISNUMBER(BF594),DG594,0)</f>
        <v>0</v>
      </c>
      <c r="FL594" s="28" t="n">
        <f aca="false">IF(ISNUMBER(BJ594),DH594,0)</f>
        <v>0</v>
      </c>
      <c r="FM594" s="28" t="n">
        <f aca="false">IF(ISNUMBER(BN594),DI594,0)</f>
        <v>0</v>
      </c>
      <c r="FN594" s="28" t="n">
        <f aca="false">IF(ISNUMBER(BR594),DJ594,0)</f>
        <v>0</v>
      </c>
      <c r="FO594" s="28" t="str">
        <f aca="false">IFERROR(INDEX(Lists!$G$2:$G$20,MATCH($I594&amp;"|"&amp;$J594,Lists!$F$2:$F$20,0)),"")</f>
        <v/>
      </c>
    </row>
    <row r="595" customFormat="false" ht="19.5" hidden="false" customHeight="true" outlineLevel="0" collapsed="false">
      <c r="A595" s="29"/>
      <c r="B595" s="29"/>
      <c r="C595" s="30"/>
      <c r="D595" s="30"/>
      <c r="E595" s="31"/>
      <c r="F595" s="30"/>
      <c r="G595" s="30"/>
      <c r="H595" s="32"/>
      <c r="I595" s="33"/>
      <c r="J595" s="32"/>
      <c r="K595" s="34" t="str">
        <f aca="false">IF(OR(M595="",$E595=""),"",M595-$E595)</f>
        <v/>
      </c>
      <c r="L595" s="35" t="str">
        <f aca="false">IF(SUM(FA595:FN595)=0,"",SUM(EM595:EZ595)/SUM(FA595:FN595))</f>
        <v/>
      </c>
      <c r="M595" s="36" t="str">
        <f aca="false">IF(OR(L595="",FO595=""),"",IFERROR(MATCH(L595,INDEX(Boundaries!$B$2:$I$30,MATCH(FO595,Boundaries!$A$2:$A$30,0),0),1)-1,""))</f>
        <v/>
      </c>
      <c r="N595" s="37" t="str">
        <f aca="false">IF(COUNT($DY595:$EL595)&lt;2,"",INDEX($DK595:$DX595,MAX($DY595:$EL595))-INDEX($DK595:$DX595,MIN($DY595:$EL595)))</f>
        <v/>
      </c>
      <c r="O595" s="37" t="str">
        <f aca="false">IF(COUNT($DY595:$EL595)&lt;2,"",INDEX($DK595:$DX595,MAX($DY595:$EL595))-INDEX($DK595:$DX595,LARGE($DY595:$EL595,2)))</f>
        <v/>
      </c>
      <c r="P595" s="38" t="str">
        <f aca="false">IF(K595="","",IF(K595&gt;=0,"On/above target",IF(AND(N595&lt;&gt;"",N595&gt;=0.5),"Improving towards target",IF(AND(O595&lt;&gt;"",O595&lt;=-0.5),"Declining","Stable below target"))))</f>
        <v/>
      </c>
      <c r="Q595" s="39"/>
      <c r="R595" s="40" t="str">
        <f aca="false">IF(OR(Q595="",BU595=""),"",Q595/BU595*100)</f>
        <v/>
      </c>
      <c r="S595" s="41" t="str">
        <f aca="false">IF(R595="","",IFERROR(MATCH(R595,INDEX(Boundaries!$B$2:$I$30,MATCH(CI595,Boundaries!$A$2:$A$30,0),0),1)-1,""))</f>
        <v/>
      </c>
      <c r="T595" s="42" t="str">
        <f aca="false">IF(OR(S595="",$E595=""),"",S595-$E595)</f>
        <v/>
      </c>
      <c r="U595" s="39"/>
      <c r="V595" s="40" t="str">
        <f aca="false">IF(OR(U595="",BV595=""),"",U595/BV595*100)</f>
        <v/>
      </c>
      <c r="W595" s="41" t="str">
        <f aca="false">IF(V595="","",IFERROR(MATCH(V595,INDEX(Boundaries!$B$2:$I$30,MATCH(CJ595,Boundaries!$A$2:$A$30,0),0),1)-1,""))</f>
        <v/>
      </c>
      <c r="X595" s="42" t="str">
        <f aca="false">IF(OR(W595="",$E595=""),"",W595-$E595)</f>
        <v/>
      </c>
      <c r="Y595" s="39"/>
      <c r="Z595" s="40" t="str">
        <f aca="false">IF(OR(Y595="",BW595=""),"",Y595/BW595*100)</f>
        <v/>
      </c>
      <c r="AA595" s="41" t="str">
        <f aca="false">IF(Z595="","",IFERROR(MATCH(Z595,INDEX(Boundaries!$B$2:$I$30,MATCH(CK595,Boundaries!$A$2:$A$30,0),0),1)-1,""))</f>
        <v/>
      </c>
      <c r="AB595" s="42" t="str">
        <f aca="false">IF(OR(AA595="",$E595=""),"",AA595-$E595)</f>
        <v/>
      </c>
      <c r="AC595" s="39"/>
      <c r="AD595" s="40" t="str">
        <f aca="false">IF(OR(AC595="",BX595=""),"",AC595/BX595*100)</f>
        <v/>
      </c>
      <c r="AE595" s="41" t="str">
        <f aca="false">IF(AD595="","",IFERROR(MATCH(AD595,INDEX(Boundaries!$B$2:$I$30,MATCH(CL595,Boundaries!$A$2:$A$30,0),0),1)-1,""))</f>
        <v/>
      </c>
      <c r="AF595" s="42" t="str">
        <f aca="false">IF(OR(AE595="",$E595=""),"",AE595-$E595)</f>
        <v/>
      </c>
      <c r="AG595" s="39"/>
      <c r="AH595" s="40" t="str">
        <f aca="false">IF(OR(AG595="",BY595=""),"",AG595/BY595*100)</f>
        <v/>
      </c>
      <c r="AI595" s="41" t="str">
        <f aca="false">IF(AH595="","",IFERROR(MATCH(AH595,INDEX(Boundaries!$B$2:$I$30,MATCH(CM595,Boundaries!$A$2:$A$30,0),0),1)-1,""))</f>
        <v/>
      </c>
      <c r="AJ595" s="42" t="str">
        <f aca="false">IF(OR(AI595="",$E595=""),"",AI595-$E595)</f>
        <v/>
      </c>
      <c r="AK595" s="39"/>
      <c r="AL595" s="40" t="str">
        <f aca="false">IF(OR(AK595="",BZ595=""),"",AK595/BZ595*100)</f>
        <v/>
      </c>
      <c r="AM595" s="41" t="str">
        <f aca="false">IF(AL595="","",IFERROR(MATCH(AL595,INDEX(Boundaries!$B$2:$I$30,MATCH(CN595,Boundaries!$A$2:$A$30,0),0),1)-1,""))</f>
        <v/>
      </c>
      <c r="AN595" s="42" t="str">
        <f aca="false">IF(OR(AM595="",$E595=""),"",AM595-$E595)</f>
        <v/>
      </c>
      <c r="AO595" s="39"/>
      <c r="AP595" s="40" t="str">
        <f aca="false">IF(OR(AO595="",CA595=""),"",AO595/CA595*100)</f>
        <v/>
      </c>
      <c r="AQ595" s="41" t="str">
        <f aca="false">IF(AP595="","",IFERROR(MATCH(AP595,INDEX(Boundaries!$B$2:$I$30,MATCH(CO595,Boundaries!$A$2:$A$30,0),0),1)-1,""))</f>
        <v/>
      </c>
      <c r="AR595" s="42" t="str">
        <f aca="false">IF(OR(AQ595="",$E595=""),"",AQ595-$E595)</f>
        <v/>
      </c>
      <c r="AS595" s="39"/>
      <c r="AT595" s="40" t="str">
        <f aca="false">IF(OR(AS595="",CB595=""),"",AS595/CB595*100)</f>
        <v/>
      </c>
      <c r="AU595" s="41" t="str">
        <f aca="false">IF(AT595="","",IFERROR(MATCH(AT595,INDEX(Boundaries!$B$2:$I$30,MATCH(CP595,Boundaries!$A$2:$A$30,0),0),1)-1,""))</f>
        <v/>
      </c>
      <c r="AV595" s="42" t="str">
        <f aca="false">IF(OR(AU595="",$E595=""),"",AU595-$E595)</f>
        <v/>
      </c>
      <c r="AW595" s="39"/>
      <c r="AX595" s="40" t="str">
        <f aca="false">IF(OR(AW595="",CC595=""),"",AW595/CC595*100)</f>
        <v/>
      </c>
      <c r="AY595" s="41" t="str">
        <f aca="false">IF(AX595="","",IFERROR(MATCH(AX595,INDEX(Boundaries!$B$2:$I$30,MATCH(CQ595,Boundaries!$A$2:$A$30,0),0),1)-1,""))</f>
        <v/>
      </c>
      <c r="AZ595" s="42" t="str">
        <f aca="false">IF(OR(AY595="",$E595=""),"",AY595-$E595)</f>
        <v/>
      </c>
      <c r="BA595" s="39"/>
      <c r="BB595" s="40" t="str">
        <f aca="false">IF(OR(BA595="",CD595=""),"",BA595/CD595*100)</f>
        <v/>
      </c>
      <c r="BC595" s="41" t="str">
        <f aca="false">IF(BB595="","",IFERROR(MATCH(BB595,INDEX(Boundaries!$B$2:$I$30,MATCH(CR595,Boundaries!$A$2:$A$30,0),0),1)-1,""))</f>
        <v/>
      </c>
      <c r="BD595" s="42" t="str">
        <f aca="false">IF(OR(BC595="",$E595=""),"",BC595-$E595)</f>
        <v/>
      </c>
      <c r="BE595" s="39"/>
      <c r="BF595" s="40" t="str">
        <f aca="false">IF(OR(BE595="",CE595=""),"",BE595/CE595*100)</f>
        <v/>
      </c>
      <c r="BG595" s="41" t="str">
        <f aca="false">IF(BF595="","",IFERROR(MATCH(BF595,INDEX(Boundaries!$B$2:$I$30,MATCH(CS595,Boundaries!$A$2:$A$30,0),0),1)-1,""))</f>
        <v/>
      </c>
      <c r="BH595" s="42" t="str">
        <f aca="false">IF(OR(BG595="",$E595=""),"",BG595-$E595)</f>
        <v/>
      </c>
      <c r="BI595" s="39"/>
      <c r="BJ595" s="40" t="str">
        <f aca="false">IF(OR(BI595="",CF595=""),"",BI595/CF595*100)</f>
        <v/>
      </c>
      <c r="BK595" s="41" t="str">
        <f aca="false">IF(BJ595="","",IFERROR(MATCH(BJ595,INDEX(Boundaries!$B$2:$I$30,MATCH(CT595,Boundaries!$A$2:$A$30,0),0),1)-1,""))</f>
        <v/>
      </c>
      <c r="BL595" s="42" t="str">
        <f aca="false">IF(OR(BK595="",$E595=""),"",BK595-$E595)</f>
        <v/>
      </c>
      <c r="BM595" s="39"/>
      <c r="BN595" s="40" t="str">
        <f aca="false">IF(OR(BM595="",CG595=""),"",BM595/CG595*100)</f>
        <v/>
      </c>
      <c r="BO595" s="41" t="str">
        <f aca="false">IF(BN595="","",IFERROR(MATCH(BN595,INDEX(Boundaries!$B$2:$I$30,MATCH(CU595,Boundaries!$A$2:$A$30,0),0),1)-1,""))</f>
        <v/>
      </c>
      <c r="BP595" s="42" t="str">
        <f aca="false">IF(OR(BO595="",$E595=""),"",BO595-$E595)</f>
        <v/>
      </c>
      <c r="BQ595" s="39"/>
      <c r="BR595" s="40" t="str">
        <f aca="false">IF(OR(BQ595="",CH595=""),"",BQ595/CH595*100)</f>
        <v/>
      </c>
      <c r="BS595" s="41" t="str">
        <f aca="false">IF(BR595="","",IFERROR(MATCH(BR595,INDEX(Boundaries!$B$2:$I$30,MATCH(CV595,Boundaries!$A$2:$A$30,0),0),1)-1,""))</f>
        <v/>
      </c>
      <c r="BT595" s="42" t="str">
        <f aca="false">IF(OR(BS595="",$E595=""),"",BS595-$E595)</f>
        <v/>
      </c>
      <c r="BU595" s="28" t="str">
        <f aca="false">IFERROR(INDEX(Assessments!$H$2:$H$600,MATCH($H595&amp;"|"&amp;$I595&amp;"|"&amp;$J595&amp;"|"&amp;1,Assessments!$A$2:$A$600,0)),"")</f>
        <v/>
      </c>
      <c r="BV595" s="28" t="str">
        <f aca="false">IFERROR(INDEX(Assessments!$H$2:$H$600,MATCH($H595&amp;"|"&amp;$I595&amp;"|"&amp;$J595&amp;"|"&amp;2,Assessments!$A$2:$A$600,0)),"")</f>
        <v/>
      </c>
      <c r="BW595" s="28" t="str">
        <f aca="false">IFERROR(INDEX(Assessments!$H$2:$H$600,MATCH($H595&amp;"|"&amp;$I595&amp;"|"&amp;$J595&amp;"|"&amp;3,Assessments!$A$2:$A$600,0)),"")</f>
        <v/>
      </c>
      <c r="BX595" s="28" t="str">
        <f aca="false">IFERROR(INDEX(Assessments!$H$2:$H$600,MATCH($H595&amp;"|"&amp;$I595&amp;"|"&amp;$J595&amp;"|"&amp;4,Assessments!$A$2:$A$600,0)),"")</f>
        <v/>
      </c>
      <c r="BY595" s="28" t="str">
        <f aca="false">IFERROR(INDEX(Assessments!$H$2:$H$600,MATCH($H595&amp;"|"&amp;$I595&amp;"|"&amp;$J595&amp;"|"&amp;5,Assessments!$A$2:$A$600,0)),"")</f>
        <v/>
      </c>
      <c r="BZ595" s="28" t="str">
        <f aca="false">IFERROR(INDEX(Assessments!$H$2:$H$600,MATCH($H595&amp;"|"&amp;$I595&amp;"|"&amp;$J595&amp;"|"&amp;6,Assessments!$A$2:$A$600,0)),"")</f>
        <v/>
      </c>
      <c r="CA595" s="28" t="str">
        <f aca="false">IFERROR(INDEX(Assessments!$H$2:$H$600,MATCH($H595&amp;"|"&amp;$I595&amp;"|"&amp;$J595&amp;"|"&amp;7,Assessments!$A$2:$A$600,0)),"")</f>
        <v/>
      </c>
      <c r="CB595" s="28" t="str">
        <f aca="false">IFERROR(INDEX(Assessments!$H$2:$H$600,MATCH($H595&amp;"|"&amp;$I595&amp;"|"&amp;$J595&amp;"|"&amp;8,Assessments!$A$2:$A$600,0)),"")</f>
        <v/>
      </c>
      <c r="CC595" s="28" t="str">
        <f aca="false">IFERROR(INDEX(Assessments!$H$2:$H$600,MATCH($H595&amp;"|"&amp;$I595&amp;"|"&amp;$J595&amp;"|"&amp;9,Assessments!$A$2:$A$600,0)),"")</f>
        <v/>
      </c>
      <c r="CD595" s="28" t="str">
        <f aca="false">IFERROR(INDEX(Assessments!$H$2:$H$600,MATCH($H595&amp;"|"&amp;$I595&amp;"|"&amp;$J595&amp;"|"&amp;10,Assessments!$A$2:$A$600,0)),"")</f>
        <v/>
      </c>
      <c r="CE595" s="28" t="str">
        <f aca="false">IFERROR(INDEX(Assessments!$H$2:$H$600,MATCH($H595&amp;"|"&amp;$I595&amp;"|"&amp;$J595&amp;"|"&amp;11,Assessments!$A$2:$A$600,0)),"")</f>
        <v/>
      </c>
      <c r="CF595" s="28" t="str">
        <f aca="false">IFERROR(INDEX(Assessments!$H$2:$H$600,MATCH($H595&amp;"|"&amp;$I595&amp;"|"&amp;$J595&amp;"|"&amp;12,Assessments!$A$2:$A$600,0)),"")</f>
        <v/>
      </c>
      <c r="CG595" s="28" t="str">
        <f aca="false">IFERROR(INDEX(Assessments!$H$2:$H$600,MATCH($H595&amp;"|"&amp;$I595&amp;"|"&amp;$J595&amp;"|"&amp;13,Assessments!$A$2:$A$600,0)),"")</f>
        <v/>
      </c>
      <c r="CH595" s="28" t="str">
        <f aca="false">IFERROR(INDEX(Assessments!$H$2:$H$600,MATCH($H595&amp;"|"&amp;$I595&amp;"|"&amp;$J595&amp;"|"&amp;14,Assessments!$A$2:$A$600,0)),"")</f>
        <v/>
      </c>
      <c r="CI595" s="28" t="str">
        <f aca="false">IFERROR(INDEX(Assessments!$I$2:$I$600,MATCH($H595&amp;"|"&amp;$I595&amp;"|"&amp;$J595&amp;"|"&amp;1,Assessments!$A$2:$A$600,0)),"")</f>
        <v/>
      </c>
      <c r="CJ595" s="28" t="str">
        <f aca="false">IFERROR(INDEX(Assessments!$I$2:$I$600,MATCH($H595&amp;"|"&amp;$I595&amp;"|"&amp;$J595&amp;"|"&amp;2,Assessments!$A$2:$A$600,0)),"")</f>
        <v/>
      </c>
      <c r="CK595" s="28" t="str">
        <f aca="false">IFERROR(INDEX(Assessments!$I$2:$I$600,MATCH($H595&amp;"|"&amp;$I595&amp;"|"&amp;$J595&amp;"|"&amp;3,Assessments!$A$2:$A$600,0)),"")</f>
        <v/>
      </c>
      <c r="CL595" s="28" t="str">
        <f aca="false">IFERROR(INDEX(Assessments!$I$2:$I$600,MATCH($H595&amp;"|"&amp;$I595&amp;"|"&amp;$J595&amp;"|"&amp;4,Assessments!$A$2:$A$600,0)),"")</f>
        <v/>
      </c>
      <c r="CM595" s="28" t="str">
        <f aca="false">IFERROR(INDEX(Assessments!$I$2:$I$600,MATCH($H595&amp;"|"&amp;$I595&amp;"|"&amp;$J595&amp;"|"&amp;5,Assessments!$A$2:$A$600,0)),"")</f>
        <v/>
      </c>
      <c r="CN595" s="28" t="str">
        <f aca="false">IFERROR(INDEX(Assessments!$I$2:$I$600,MATCH($H595&amp;"|"&amp;$I595&amp;"|"&amp;$J595&amp;"|"&amp;6,Assessments!$A$2:$A$600,0)),"")</f>
        <v/>
      </c>
      <c r="CO595" s="28" t="str">
        <f aca="false">IFERROR(INDEX(Assessments!$I$2:$I$600,MATCH($H595&amp;"|"&amp;$I595&amp;"|"&amp;$J595&amp;"|"&amp;7,Assessments!$A$2:$A$600,0)),"")</f>
        <v/>
      </c>
      <c r="CP595" s="28" t="str">
        <f aca="false">IFERROR(INDEX(Assessments!$I$2:$I$600,MATCH($H595&amp;"|"&amp;$I595&amp;"|"&amp;$J595&amp;"|"&amp;8,Assessments!$A$2:$A$600,0)),"")</f>
        <v/>
      </c>
      <c r="CQ595" s="28" t="str">
        <f aca="false">IFERROR(INDEX(Assessments!$I$2:$I$600,MATCH($H595&amp;"|"&amp;$I595&amp;"|"&amp;$J595&amp;"|"&amp;9,Assessments!$A$2:$A$600,0)),"")</f>
        <v/>
      </c>
      <c r="CR595" s="28" t="str">
        <f aca="false">IFERROR(INDEX(Assessments!$I$2:$I$600,MATCH($H595&amp;"|"&amp;$I595&amp;"|"&amp;$J595&amp;"|"&amp;10,Assessments!$A$2:$A$600,0)),"")</f>
        <v/>
      </c>
      <c r="CS595" s="28" t="str">
        <f aca="false">IFERROR(INDEX(Assessments!$I$2:$I$600,MATCH($H595&amp;"|"&amp;$I595&amp;"|"&amp;$J595&amp;"|"&amp;11,Assessments!$A$2:$A$600,0)),"")</f>
        <v/>
      </c>
      <c r="CT595" s="28" t="str">
        <f aca="false">IFERROR(INDEX(Assessments!$I$2:$I$600,MATCH($H595&amp;"|"&amp;$I595&amp;"|"&amp;$J595&amp;"|"&amp;12,Assessments!$A$2:$A$600,0)),"")</f>
        <v/>
      </c>
      <c r="CU595" s="28" t="str">
        <f aca="false">IFERROR(INDEX(Assessments!$I$2:$I$600,MATCH($H595&amp;"|"&amp;$I595&amp;"|"&amp;$J595&amp;"|"&amp;13,Assessments!$A$2:$A$600,0)),"")</f>
        <v/>
      </c>
      <c r="CV595" s="28" t="str">
        <f aca="false">IFERROR(INDEX(Assessments!$I$2:$I$600,MATCH($H595&amp;"|"&amp;$I595&amp;"|"&amp;$J595&amp;"|"&amp;14,Assessments!$A$2:$A$600,0)),"")</f>
        <v/>
      </c>
      <c r="CW595" s="28" t="n">
        <f aca="false">IFERROR(INDEX(Assessments!$J$2:$J$600,MATCH($H595&amp;"|"&amp;$I595&amp;"|"&amp;$J595&amp;"|"&amp;1,Assessments!$A$2:$A$600,0)),0)</f>
        <v>0</v>
      </c>
      <c r="CX595" s="28" t="n">
        <f aca="false">IFERROR(INDEX(Assessments!$J$2:$J$600,MATCH($H595&amp;"|"&amp;$I595&amp;"|"&amp;$J595&amp;"|"&amp;2,Assessments!$A$2:$A$600,0)),0)</f>
        <v>0</v>
      </c>
      <c r="CY595" s="28" t="n">
        <f aca="false">IFERROR(INDEX(Assessments!$J$2:$J$600,MATCH($H595&amp;"|"&amp;$I595&amp;"|"&amp;$J595&amp;"|"&amp;3,Assessments!$A$2:$A$600,0)),0)</f>
        <v>0</v>
      </c>
      <c r="CZ595" s="28" t="n">
        <f aca="false">IFERROR(INDEX(Assessments!$J$2:$J$600,MATCH($H595&amp;"|"&amp;$I595&amp;"|"&amp;$J595&amp;"|"&amp;4,Assessments!$A$2:$A$600,0)),0)</f>
        <v>0</v>
      </c>
      <c r="DA595" s="28" t="n">
        <f aca="false">IFERROR(INDEX(Assessments!$J$2:$J$600,MATCH($H595&amp;"|"&amp;$I595&amp;"|"&amp;$J595&amp;"|"&amp;5,Assessments!$A$2:$A$600,0)),0)</f>
        <v>0</v>
      </c>
      <c r="DB595" s="28" t="n">
        <f aca="false">IFERROR(INDEX(Assessments!$J$2:$J$600,MATCH($H595&amp;"|"&amp;$I595&amp;"|"&amp;$J595&amp;"|"&amp;6,Assessments!$A$2:$A$600,0)),0)</f>
        <v>0</v>
      </c>
      <c r="DC595" s="28" t="n">
        <f aca="false">IFERROR(INDEX(Assessments!$J$2:$J$600,MATCH($H595&amp;"|"&amp;$I595&amp;"|"&amp;$J595&amp;"|"&amp;7,Assessments!$A$2:$A$600,0)),0)</f>
        <v>0</v>
      </c>
      <c r="DD595" s="28" t="n">
        <f aca="false">IFERROR(INDEX(Assessments!$J$2:$J$600,MATCH($H595&amp;"|"&amp;$I595&amp;"|"&amp;$J595&amp;"|"&amp;8,Assessments!$A$2:$A$600,0)),0)</f>
        <v>0</v>
      </c>
      <c r="DE595" s="28" t="n">
        <f aca="false">IFERROR(INDEX(Assessments!$J$2:$J$600,MATCH($H595&amp;"|"&amp;$I595&amp;"|"&amp;$J595&amp;"|"&amp;9,Assessments!$A$2:$A$600,0)),0)</f>
        <v>0</v>
      </c>
      <c r="DF595" s="28" t="n">
        <f aca="false">IFERROR(INDEX(Assessments!$J$2:$J$600,MATCH($H595&amp;"|"&amp;$I595&amp;"|"&amp;$J595&amp;"|"&amp;10,Assessments!$A$2:$A$600,0)),0)</f>
        <v>0</v>
      </c>
      <c r="DG595" s="28" t="n">
        <f aca="false">IFERROR(INDEX(Assessments!$J$2:$J$600,MATCH($H595&amp;"|"&amp;$I595&amp;"|"&amp;$J595&amp;"|"&amp;11,Assessments!$A$2:$A$600,0)),0)</f>
        <v>0</v>
      </c>
      <c r="DH595" s="28" t="n">
        <f aca="false">IFERROR(INDEX(Assessments!$J$2:$J$600,MATCH($H595&amp;"|"&amp;$I595&amp;"|"&amp;$J595&amp;"|"&amp;12,Assessments!$A$2:$A$600,0)),0)</f>
        <v>0</v>
      </c>
      <c r="DI595" s="28" t="n">
        <f aca="false">IFERROR(INDEX(Assessments!$J$2:$J$600,MATCH($H595&amp;"|"&amp;$I595&amp;"|"&amp;$J595&amp;"|"&amp;13,Assessments!$A$2:$A$600,0)),0)</f>
        <v>0</v>
      </c>
      <c r="DJ595" s="28" t="n">
        <f aca="false">IFERROR(INDEX(Assessments!$J$2:$J$600,MATCH($H595&amp;"|"&amp;$I595&amp;"|"&amp;$J595&amp;"|"&amp;14,Assessments!$A$2:$A$600,0)),0)</f>
        <v>0</v>
      </c>
      <c r="DK595" s="28" t="str">
        <f aca="false">S595</f>
        <v/>
      </c>
      <c r="DL595" s="28" t="str">
        <f aca="false">W595</f>
        <v/>
      </c>
      <c r="DM595" s="28" t="str">
        <f aca="false">AA595</f>
        <v/>
      </c>
      <c r="DN595" s="28" t="str">
        <f aca="false">AE595</f>
        <v/>
      </c>
      <c r="DO595" s="28" t="str">
        <f aca="false">AI595</f>
        <v/>
      </c>
      <c r="DP595" s="28" t="str">
        <f aca="false">AM595</f>
        <v/>
      </c>
      <c r="DQ595" s="28" t="str">
        <f aca="false">AQ595</f>
        <v/>
      </c>
      <c r="DR595" s="28" t="str">
        <f aca="false">AU595</f>
        <v/>
      </c>
      <c r="DS595" s="28" t="str">
        <f aca="false">AY595</f>
        <v/>
      </c>
      <c r="DT595" s="28" t="str">
        <f aca="false">BC595</f>
        <v/>
      </c>
      <c r="DU595" s="28" t="str">
        <f aca="false">BG595</f>
        <v/>
      </c>
      <c r="DV595" s="28" t="str">
        <f aca="false">BK595</f>
        <v/>
      </c>
      <c r="DW595" s="28" t="str">
        <f aca="false">BO595</f>
        <v/>
      </c>
      <c r="DX595" s="28" t="str">
        <f aca="false">BS595</f>
        <v/>
      </c>
      <c r="DY595" s="28" t="str">
        <f aca="false">IF(ISNUMBER(S595),1,"")</f>
        <v/>
      </c>
      <c r="DZ595" s="28" t="str">
        <f aca="false">IF(ISNUMBER(W595),2,"")</f>
        <v/>
      </c>
      <c r="EA595" s="28" t="str">
        <f aca="false">IF(ISNUMBER(AA595),3,"")</f>
        <v/>
      </c>
      <c r="EB595" s="28" t="str">
        <f aca="false">IF(ISNUMBER(AE595),4,"")</f>
        <v/>
      </c>
      <c r="EC595" s="28" t="str">
        <f aca="false">IF(ISNUMBER(AI595),5,"")</f>
        <v/>
      </c>
      <c r="ED595" s="28" t="str">
        <f aca="false">IF(ISNUMBER(AM595),6,"")</f>
        <v/>
      </c>
      <c r="EE595" s="28" t="str">
        <f aca="false">IF(ISNUMBER(AQ595),7,"")</f>
        <v/>
      </c>
      <c r="EF595" s="28" t="str">
        <f aca="false">IF(ISNUMBER(AU595),8,"")</f>
        <v/>
      </c>
      <c r="EG595" s="28" t="str">
        <f aca="false">IF(ISNUMBER(AY595),9,"")</f>
        <v/>
      </c>
      <c r="EH595" s="28" t="str">
        <f aca="false">IF(ISNUMBER(BC595),10,"")</f>
        <v/>
      </c>
      <c r="EI595" s="28" t="str">
        <f aca="false">IF(ISNUMBER(BG595),11,"")</f>
        <v/>
      </c>
      <c r="EJ595" s="28" t="str">
        <f aca="false">IF(ISNUMBER(BK595),12,"")</f>
        <v/>
      </c>
      <c r="EK595" s="28" t="str">
        <f aca="false">IF(ISNUMBER(BO595),13,"")</f>
        <v/>
      </c>
      <c r="EL595" s="28" t="str">
        <f aca="false">IF(ISNUMBER(BS595),14,"")</f>
        <v/>
      </c>
      <c r="EM595" s="28" t="n">
        <f aca="false">IF(ISNUMBER(R595),R595*CW595,0)</f>
        <v>0</v>
      </c>
      <c r="EN595" s="28" t="n">
        <f aca="false">IF(ISNUMBER(V595),V595*CX595,0)</f>
        <v>0</v>
      </c>
      <c r="EO595" s="28" t="n">
        <f aca="false">IF(ISNUMBER(Z595),Z595*CY595,0)</f>
        <v>0</v>
      </c>
      <c r="EP595" s="28" t="n">
        <f aca="false">IF(ISNUMBER(AD595),AD595*CZ595,0)</f>
        <v>0</v>
      </c>
      <c r="EQ595" s="28" t="n">
        <f aca="false">IF(ISNUMBER(AH595),AH595*DA595,0)</f>
        <v>0</v>
      </c>
      <c r="ER595" s="28" t="n">
        <f aca="false">IF(ISNUMBER(AL595),AL595*DB595,0)</f>
        <v>0</v>
      </c>
      <c r="ES595" s="28" t="n">
        <f aca="false">IF(ISNUMBER(AP595),AP595*DC595,0)</f>
        <v>0</v>
      </c>
      <c r="ET595" s="28" t="n">
        <f aca="false">IF(ISNUMBER(AT595),AT595*DD595,0)</f>
        <v>0</v>
      </c>
      <c r="EU595" s="28" t="n">
        <f aca="false">IF(ISNUMBER(AX595),AX595*DE595,0)</f>
        <v>0</v>
      </c>
      <c r="EV595" s="28" t="n">
        <f aca="false">IF(ISNUMBER(BB595),BB595*DF595,0)</f>
        <v>0</v>
      </c>
      <c r="EW595" s="28" t="n">
        <f aca="false">IF(ISNUMBER(BF595),BF595*DG595,0)</f>
        <v>0</v>
      </c>
      <c r="EX595" s="28" t="n">
        <f aca="false">IF(ISNUMBER(BJ595),BJ595*DH595,0)</f>
        <v>0</v>
      </c>
      <c r="EY595" s="28" t="n">
        <f aca="false">IF(ISNUMBER(BN595),BN595*DI595,0)</f>
        <v>0</v>
      </c>
      <c r="EZ595" s="28" t="n">
        <f aca="false">IF(ISNUMBER(BR595),BR595*DJ595,0)</f>
        <v>0</v>
      </c>
      <c r="FA595" s="28" t="n">
        <f aca="false">IF(ISNUMBER(R595),CW595,0)</f>
        <v>0</v>
      </c>
      <c r="FB595" s="28" t="n">
        <f aca="false">IF(ISNUMBER(V595),CX595,0)</f>
        <v>0</v>
      </c>
      <c r="FC595" s="28" t="n">
        <f aca="false">IF(ISNUMBER(Z595),CY595,0)</f>
        <v>0</v>
      </c>
      <c r="FD595" s="28" t="n">
        <f aca="false">IF(ISNUMBER(AD595),CZ595,0)</f>
        <v>0</v>
      </c>
      <c r="FE595" s="28" t="n">
        <f aca="false">IF(ISNUMBER(AH595),DA595,0)</f>
        <v>0</v>
      </c>
      <c r="FF595" s="28" t="n">
        <f aca="false">IF(ISNUMBER(AL595),DB595,0)</f>
        <v>0</v>
      </c>
      <c r="FG595" s="28" t="n">
        <f aca="false">IF(ISNUMBER(AP595),DC595,0)</f>
        <v>0</v>
      </c>
      <c r="FH595" s="28" t="n">
        <f aca="false">IF(ISNUMBER(AT595),DD595,0)</f>
        <v>0</v>
      </c>
      <c r="FI595" s="28" t="n">
        <f aca="false">IF(ISNUMBER(AX595),DE595,0)</f>
        <v>0</v>
      </c>
      <c r="FJ595" s="28" t="n">
        <f aca="false">IF(ISNUMBER(BB595),DF595,0)</f>
        <v>0</v>
      </c>
      <c r="FK595" s="28" t="n">
        <f aca="false">IF(ISNUMBER(BF595),DG595,0)</f>
        <v>0</v>
      </c>
      <c r="FL595" s="28" t="n">
        <f aca="false">IF(ISNUMBER(BJ595),DH595,0)</f>
        <v>0</v>
      </c>
      <c r="FM595" s="28" t="n">
        <f aca="false">IF(ISNUMBER(BN595),DI595,0)</f>
        <v>0</v>
      </c>
      <c r="FN595" s="28" t="n">
        <f aca="false">IF(ISNUMBER(BR595),DJ595,0)</f>
        <v>0</v>
      </c>
      <c r="FO595" s="28" t="str">
        <f aca="false">IFERROR(INDEX(Lists!$G$2:$G$20,MATCH($I595&amp;"|"&amp;$J595,Lists!$F$2:$F$20,0)),"")</f>
        <v/>
      </c>
    </row>
    <row r="596" customFormat="false" ht="19.5" hidden="false" customHeight="true" outlineLevel="0" collapsed="false">
      <c r="A596" s="29"/>
      <c r="B596" s="29"/>
      <c r="C596" s="30"/>
      <c r="D596" s="30"/>
      <c r="E596" s="31"/>
      <c r="F596" s="30"/>
      <c r="G596" s="30"/>
      <c r="H596" s="32"/>
      <c r="I596" s="33"/>
      <c r="J596" s="32"/>
      <c r="K596" s="34" t="str">
        <f aca="false">IF(OR(M596="",$E596=""),"",M596-$E596)</f>
        <v/>
      </c>
      <c r="L596" s="35" t="str">
        <f aca="false">IF(SUM(FA596:FN596)=0,"",SUM(EM596:EZ596)/SUM(FA596:FN596))</f>
        <v/>
      </c>
      <c r="M596" s="36" t="str">
        <f aca="false">IF(OR(L596="",FO596=""),"",IFERROR(MATCH(L596,INDEX(Boundaries!$B$2:$I$30,MATCH(FO596,Boundaries!$A$2:$A$30,0),0),1)-1,""))</f>
        <v/>
      </c>
      <c r="N596" s="37" t="str">
        <f aca="false">IF(COUNT($DY596:$EL596)&lt;2,"",INDEX($DK596:$DX596,MAX($DY596:$EL596))-INDEX($DK596:$DX596,MIN($DY596:$EL596)))</f>
        <v/>
      </c>
      <c r="O596" s="37" t="str">
        <f aca="false">IF(COUNT($DY596:$EL596)&lt;2,"",INDEX($DK596:$DX596,MAX($DY596:$EL596))-INDEX($DK596:$DX596,LARGE($DY596:$EL596,2)))</f>
        <v/>
      </c>
      <c r="P596" s="38" t="str">
        <f aca="false">IF(K596="","",IF(K596&gt;=0,"On/above target",IF(AND(N596&lt;&gt;"",N596&gt;=0.5),"Improving towards target",IF(AND(O596&lt;&gt;"",O596&lt;=-0.5),"Declining","Stable below target"))))</f>
        <v/>
      </c>
      <c r="Q596" s="39"/>
      <c r="R596" s="40" t="str">
        <f aca="false">IF(OR(Q596="",BU596=""),"",Q596/BU596*100)</f>
        <v/>
      </c>
      <c r="S596" s="41" t="str">
        <f aca="false">IF(R596="","",IFERROR(MATCH(R596,INDEX(Boundaries!$B$2:$I$30,MATCH(CI596,Boundaries!$A$2:$A$30,0),0),1)-1,""))</f>
        <v/>
      </c>
      <c r="T596" s="42" t="str">
        <f aca="false">IF(OR(S596="",$E596=""),"",S596-$E596)</f>
        <v/>
      </c>
      <c r="U596" s="39"/>
      <c r="V596" s="40" t="str">
        <f aca="false">IF(OR(U596="",BV596=""),"",U596/BV596*100)</f>
        <v/>
      </c>
      <c r="W596" s="41" t="str">
        <f aca="false">IF(V596="","",IFERROR(MATCH(V596,INDEX(Boundaries!$B$2:$I$30,MATCH(CJ596,Boundaries!$A$2:$A$30,0),0),1)-1,""))</f>
        <v/>
      </c>
      <c r="X596" s="42" t="str">
        <f aca="false">IF(OR(W596="",$E596=""),"",W596-$E596)</f>
        <v/>
      </c>
      <c r="Y596" s="39"/>
      <c r="Z596" s="40" t="str">
        <f aca="false">IF(OR(Y596="",BW596=""),"",Y596/BW596*100)</f>
        <v/>
      </c>
      <c r="AA596" s="41" t="str">
        <f aca="false">IF(Z596="","",IFERROR(MATCH(Z596,INDEX(Boundaries!$B$2:$I$30,MATCH(CK596,Boundaries!$A$2:$A$30,0),0),1)-1,""))</f>
        <v/>
      </c>
      <c r="AB596" s="42" t="str">
        <f aca="false">IF(OR(AA596="",$E596=""),"",AA596-$E596)</f>
        <v/>
      </c>
      <c r="AC596" s="39"/>
      <c r="AD596" s="40" t="str">
        <f aca="false">IF(OR(AC596="",BX596=""),"",AC596/BX596*100)</f>
        <v/>
      </c>
      <c r="AE596" s="41" t="str">
        <f aca="false">IF(AD596="","",IFERROR(MATCH(AD596,INDEX(Boundaries!$B$2:$I$30,MATCH(CL596,Boundaries!$A$2:$A$30,0),0),1)-1,""))</f>
        <v/>
      </c>
      <c r="AF596" s="42" t="str">
        <f aca="false">IF(OR(AE596="",$E596=""),"",AE596-$E596)</f>
        <v/>
      </c>
      <c r="AG596" s="39"/>
      <c r="AH596" s="40" t="str">
        <f aca="false">IF(OR(AG596="",BY596=""),"",AG596/BY596*100)</f>
        <v/>
      </c>
      <c r="AI596" s="41" t="str">
        <f aca="false">IF(AH596="","",IFERROR(MATCH(AH596,INDEX(Boundaries!$B$2:$I$30,MATCH(CM596,Boundaries!$A$2:$A$30,0),0),1)-1,""))</f>
        <v/>
      </c>
      <c r="AJ596" s="42" t="str">
        <f aca="false">IF(OR(AI596="",$E596=""),"",AI596-$E596)</f>
        <v/>
      </c>
      <c r="AK596" s="39"/>
      <c r="AL596" s="40" t="str">
        <f aca="false">IF(OR(AK596="",BZ596=""),"",AK596/BZ596*100)</f>
        <v/>
      </c>
      <c r="AM596" s="41" t="str">
        <f aca="false">IF(AL596="","",IFERROR(MATCH(AL596,INDEX(Boundaries!$B$2:$I$30,MATCH(CN596,Boundaries!$A$2:$A$30,0),0),1)-1,""))</f>
        <v/>
      </c>
      <c r="AN596" s="42" t="str">
        <f aca="false">IF(OR(AM596="",$E596=""),"",AM596-$E596)</f>
        <v/>
      </c>
      <c r="AO596" s="39"/>
      <c r="AP596" s="40" t="str">
        <f aca="false">IF(OR(AO596="",CA596=""),"",AO596/CA596*100)</f>
        <v/>
      </c>
      <c r="AQ596" s="41" t="str">
        <f aca="false">IF(AP596="","",IFERROR(MATCH(AP596,INDEX(Boundaries!$B$2:$I$30,MATCH(CO596,Boundaries!$A$2:$A$30,0),0),1)-1,""))</f>
        <v/>
      </c>
      <c r="AR596" s="42" t="str">
        <f aca="false">IF(OR(AQ596="",$E596=""),"",AQ596-$E596)</f>
        <v/>
      </c>
      <c r="AS596" s="39"/>
      <c r="AT596" s="40" t="str">
        <f aca="false">IF(OR(AS596="",CB596=""),"",AS596/CB596*100)</f>
        <v/>
      </c>
      <c r="AU596" s="41" t="str">
        <f aca="false">IF(AT596="","",IFERROR(MATCH(AT596,INDEX(Boundaries!$B$2:$I$30,MATCH(CP596,Boundaries!$A$2:$A$30,0),0),1)-1,""))</f>
        <v/>
      </c>
      <c r="AV596" s="42" t="str">
        <f aca="false">IF(OR(AU596="",$E596=""),"",AU596-$E596)</f>
        <v/>
      </c>
      <c r="AW596" s="39"/>
      <c r="AX596" s="40" t="str">
        <f aca="false">IF(OR(AW596="",CC596=""),"",AW596/CC596*100)</f>
        <v/>
      </c>
      <c r="AY596" s="41" t="str">
        <f aca="false">IF(AX596="","",IFERROR(MATCH(AX596,INDEX(Boundaries!$B$2:$I$30,MATCH(CQ596,Boundaries!$A$2:$A$30,0),0),1)-1,""))</f>
        <v/>
      </c>
      <c r="AZ596" s="42" t="str">
        <f aca="false">IF(OR(AY596="",$E596=""),"",AY596-$E596)</f>
        <v/>
      </c>
      <c r="BA596" s="39"/>
      <c r="BB596" s="40" t="str">
        <f aca="false">IF(OR(BA596="",CD596=""),"",BA596/CD596*100)</f>
        <v/>
      </c>
      <c r="BC596" s="41" t="str">
        <f aca="false">IF(BB596="","",IFERROR(MATCH(BB596,INDEX(Boundaries!$B$2:$I$30,MATCH(CR596,Boundaries!$A$2:$A$30,0),0),1)-1,""))</f>
        <v/>
      </c>
      <c r="BD596" s="42" t="str">
        <f aca="false">IF(OR(BC596="",$E596=""),"",BC596-$E596)</f>
        <v/>
      </c>
      <c r="BE596" s="39"/>
      <c r="BF596" s="40" t="str">
        <f aca="false">IF(OR(BE596="",CE596=""),"",BE596/CE596*100)</f>
        <v/>
      </c>
      <c r="BG596" s="41" t="str">
        <f aca="false">IF(BF596="","",IFERROR(MATCH(BF596,INDEX(Boundaries!$B$2:$I$30,MATCH(CS596,Boundaries!$A$2:$A$30,0),0),1)-1,""))</f>
        <v/>
      </c>
      <c r="BH596" s="42" t="str">
        <f aca="false">IF(OR(BG596="",$E596=""),"",BG596-$E596)</f>
        <v/>
      </c>
      <c r="BI596" s="39"/>
      <c r="BJ596" s="40" t="str">
        <f aca="false">IF(OR(BI596="",CF596=""),"",BI596/CF596*100)</f>
        <v/>
      </c>
      <c r="BK596" s="41" t="str">
        <f aca="false">IF(BJ596="","",IFERROR(MATCH(BJ596,INDEX(Boundaries!$B$2:$I$30,MATCH(CT596,Boundaries!$A$2:$A$30,0),0),1)-1,""))</f>
        <v/>
      </c>
      <c r="BL596" s="42" t="str">
        <f aca="false">IF(OR(BK596="",$E596=""),"",BK596-$E596)</f>
        <v/>
      </c>
      <c r="BM596" s="39"/>
      <c r="BN596" s="40" t="str">
        <f aca="false">IF(OR(BM596="",CG596=""),"",BM596/CG596*100)</f>
        <v/>
      </c>
      <c r="BO596" s="41" t="str">
        <f aca="false">IF(BN596="","",IFERROR(MATCH(BN596,INDEX(Boundaries!$B$2:$I$30,MATCH(CU596,Boundaries!$A$2:$A$30,0),0),1)-1,""))</f>
        <v/>
      </c>
      <c r="BP596" s="42" t="str">
        <f aca="false">IF(OR(BO596="",$E596=""),"",BO596-$E596)</f>
        <v/>
      </c>
      <c r="BQ596" s="39"/>
      <c r="BR596" s="40" t="str">
        <f aca="false">IF(OR(BQ596="",CH596=""),"",BQ596/CH596*100)</f>
        <v/>
      </c>
      <c r="BS596" s="41" t="str">
        <f aca="false">IF(BR596="","",IFERROR(MATCH(BR596,INDEX(Boundaries!$B$2:$I$30,MATCH(CV596,Boundaries!$A$2:$A$30,0),0),1)-1,""))</f>
        <v/>
      </c>
      <c r="BT596" s="42" t="str">
        <f aca="false">IF(OR(BS596="",$E596=""),"",BS596-$E596)</f>
        <v/>
      </c>
      <c r="BU596" s="28" t="str">
        <f aca="false">IFERROR(INDEX(Assessments!$H$2:$H$600,MATCH($H596&amp;"|"&amp;$I596&amp;"|"&amp;$J596&amp;"|"&amp;1,Assessments!$A$2:$A$600,0)),"")</f>
        <v/>
      </c>
      <c r="BV596" s="28" t="str">
        <f aca="false">IFERROR(INDEX(Assessments!$H$2:$H$600,MATCH($H596&amp;"|"&amp;$I596&amp;"|"&amp;$J596&amp;"|"&amp;2,Assessments!$A$2:$A$600,0)),"")</f>
        <v/>
      </c>
      <c r="BW596" s="28" t="str">
        <f aca="false">IFERROR(INDEX(Assessments!$H$2:$H$600,MATCH($H596&amp;"|"&amp;$I596&amp;"|"&amp;$J596&amp;"|"&amp;3,Assessments!$A$2:$A$600,0)),"")</f>
        <v/>
      </c>
      <c r="BX596" s="28" t="str">
        <f aca="false">IFERROR(INDEX(Assessments!$H$2:$H$600,MATCH($H596&amp;"|"&amp;$I596&amp;"|"&amp;$J596&amp;"|"&amp;4,Assessments!$A$2:$A$600,0)),"")</f>
        <v/>
      </c>
      <c r="BY596" s="28" t="str">
        <f aca="false">IFERROR(INDEX(Assessments!$H$2:$H$600,MATCH($H596&amp;"|"&amp;$I596&amp;"|"&amp;$J596&amp;"|"&amp;5,Assessments!$A$2:$A$600,0)),"")</f>
        <v/>
      </c>
      <c r="BZ596" s="28" t="str">
        <f aca="false">IFERROR(INDEX(Assessments!$H$2:$H$600,MATCH($H596&amp;"|"&amp;$I596&amp;"|"&amp;$J596&amp;"|"&amp;6,Assessments!$A$2:$A$600,0)),"")</f>
        <v/>
      </c>
      <c r="CA596" s="28" t="str">
        <f aca="false">IFERROR(INDEX(Assessments!$H$2:$H$600,MATCH($H596&amp;"|"&amp;$I596&amp;"|"&amp;$J596&amp;"|"&amp;7,Assessments!$A$2:$A$600,0)),"")</f>
        <v/>
      </c>
      <c r="CB596" s="28" t="str">
        <f aca="false">IFERROR(INDEX(Assessments!$H$2:$H$600,MATCH($H596&amp;"|"&amp;$I596&amp;"|"&amp;$J596&amp;"|"&amp;8,Assessments!$A$2:$A$600,0)),"")</f>
        <v/>
      </c>
      <c r="CC596" s="28" t="str">
        <f aca="false">IFERROR(INDEX(Assessments!$H$2:$H$600,MATCH($H596&amp;"|"&amp;$I596&amp;"|"&amp;$J596&amp;"|"&amp;9,Assessments!$A$2:$A$600,0)),"")</f>
        <v/>
      </c>
      <c r="CD596" s="28" t="str">
        <f aca="false">IFERROR(INDEX(Assessments!$H$2:$H$600,MATCH($H596&amp;"|"&amp;$I596&amp;"|"&amp;$J596&amp;"|"&amp;10,Assessments!$A$2:$A$600,0)),"")</f>
        <v/>
      </c>
      <c r="CE596" s="28" t="str">
        <f aca="false">IFERROR(INDEX(Assessments!$H$2:$H$600,MATCH($H596&amp;"|"&amp;$I596&amp;"|"&amp;$J596&amp;"|"&amp;11,Assessments!$A$2:$A$600,0)),"")</f>
        <v/>
      </c>
      <c r="CF596" s="28" t="str">
        <f aca="false">IFERROR(INDEX(Assessments!$H$2:$H$600,MATCH($H596&amp;"|"&amp;$I596&amp;"|"&amp;$J596&amp;"|"&amp;12,Assessments!$A$2:$A$600,0)),"")</f>
        <v/>
      </c>
      <c r="CG596" s="28" t="str">
        <f aca="false">IFERROR(INDEX(Assessments!$H$2:$H$600,MATCH($H596&amp;"|"&amp;$I596&amp;"|"&amp;$J596&amp;"|"&amp;13,Assessments!$A$2:$A$600,0)),"")</f>
        <v/>
      </c>
      <c r="CH596" s="28" t="str">
        <f aca="false">IFERROR(INDEX(Assessments!$H$2:$H$600,MATCH($H596&amp;"|"&amp;$I596&amp;"|"&amp;$J596&amp;"|"&amp;14,Assessments!$A$2:$A$600,0)),"")</f>
        <v/>
      </c>
      <c r="CI596" s="28" t="str">
        <f aca="false">IFERROR(INDEX(Assessments!$I$2:$I$600,MATCH($H596&amp;"|"&amp;$I596&amp;"|"&amp;$J596&amp;"|"&amp;1,Assessments!$A$2:$A$600,0)),"")</f>
        <v/>
      </c>
      <c r="CJ596" s="28" t="str">
        <f aca="false">IFERROR(INDEX(Assessments!$I$2:$I$600,MATCH($H596&amp;"|"&amp;$I596&amp;"|"&amp;$J596&amp;"|"&amp;2,Assessments!$A$2:$A$600,0)),"")</f>
        <v/>
      </c>
      <c r="CK596" s="28" t="str">
        <f aca="false">IFERROR(INDEX(Assessments!$I$2:$I$600,MATCH($H596&amp;"|"&amp;$I596&amp;"|"&amp;$J596&amp;"|"&amp;3,Assessments!$A$2:$A$600,0)),"")</f>
        <v/>
      </c>
      <c r="CL596" s="28" t="str">
        <f aca="false">IFERROR(INDEX(Assessments!$I$2:$I$600,MATCH($H596&amp;"|"&amp;$I596&amp;"|"&amp;$J596&amp;"|"&amp;4,Assessments!$A$2:$A$600,0)),"")</f>
        <v/>
      </c>
      <c r="CM596" s="28" t="str">
        <f aca="false">IFERROR(INDEX(Assessments!$I$2:$I$600,MATCH($H596&amp;"|"&amp;$I596&amp;"|"&amp;$J596&amp;"|"&amp;5,Assessments!$A$2:$A$600,0)),"")</f>
        <v/>
      </c>
      <c r="CN596" s="28" t="str">
        <f aca="false">IFERROR(INDEX(Assessments!$I$2:$I$600,MATCH($H596&amp;"|"&amp;$I596&amp;"|"&amp;$J596&amp;"|"&amp;6,Assessments!$A$2:$A$600,0)),"")</f>
        <v/>
      </c>
      <c r="CO596" s="28" t="str">
        <f aca="false">IFERROR(INDEX(Assessments!$I$2:$I$600,MATCH($H596&amp;"|"&amp;$I596&amp;"|"&amp;$J596&amp;"|"&amp;7,Assessments!$A$2:$A$600,0)),"")</f>
        <v/>
      </c>
      <c r="CP596" s="28" t="str">
        <f aca="false">IFERROR(INDEX(Assessments!$I$2:$I$600,MATCH($H596&amp;"|"&amp;$I596&amp;"|"&amp;$J596&amp;"|"&amp;8,Assessments!$A$2:$A$600,0)),"")</f>
        <v/>
      </c>
      <c r="CQ596" s="28" t="str">
        <f aca="false">IFERROR(INDEX(Assessments!$I$2:$I$600,MATCH($H596&amp;"|"&amp;$I596&amp;"|"&amp;$J596&amp;"|"&amp;9,Assessments!$A$2:$A$600,0)),"")</f>
        <v/>
      </c>
      <c r="CR596" s="28" t="str">
        <f aca="false">IFERROR(INDEX(Assessments!$I$2:$I$600,MATCH($H596&amp;"|"&amp;$I596&amp;"|"&amp;$J596&amp;"|"&amp;10,Assessments!$A$2:$A$600,0)),"")</f>
        <v/>
      </c>
      <c r="CS596" s="28" t="str">
        <f aca="false">IFERROR(INDEX(Assessments!$I$2:$I$600,MATCH($H596&amp;"|"&amp;$I596&amp;"|"&amp;$J596&amp;"|"&amp;11,Assessments!$A$2:$A$600,0)),"")</f>
        <v/>
      </c>
      <c r="CT596" s="28" t="str">
        <f aca="false">IFERROR(INDEX(Assessments!$I$2:$I$600,MATCH($H596&amp;"|"&amp;$I596&amp;"|"&amp;$J596&amp;"|"&amp;12,Assessments!$A$2:$A$600,0)),"")</f>
        <v/>
      </c>
      <c r="CU596" s="28" t="str">
        <f aca="false">IFERROR(INDEX(Assessments!$I$2:$I$600,MATCH($H596&amp;"|"&amp;$I596&amp;"|"&amp;$J596&amp;"|"&amp;13,Assessments!$A$2:$A$600,0)),"")</f>
        <v/>
      </c>
      <c r="CV596" s="28" t="str">
        <f aca="false">IFERROR(INDEX(Assessments!$I$2:$I$600,MATCH($H596&amp;"|"&amp;$I596&amp;"|"&amp;$J596&amp;"|"&amp;14,Assessments!$A$2:$A$600,0)),"")</f>
        <v/>
      </c>
      <c r="CW596" s="28" t="n">
        <f aca="false">IFERROR(INDEX(Assessments!$J$2:$J$600,MATCH($H596&amp;"|"&amp;$I596&amp;"|"&amp;$J596&amp;"|"&amp;1,Assessments!$A$2:$A$600,0)),0)</f>
        <v>0</v>
      </c>
      <c r="CX596" s="28" t="n">
        <f aca="false">IFERROR(INDEX(Assessments!$J$2:$J$600,MATCH($H596&amp;"|"&amp;$I596&amp;"|"&amp;$J596&amp;"|"&amp;2,Assessments!$A$2:$A$600,0)),0)</f>
        <v>0</v>
      </c>
      <c r="CY596" s="28" t="n">
        <f aca="false">IFERROR(INDEX(Assessments!$J$2:$J$600,MATCH($H596&amp;"|"&amp;$I596&amp;"|"&amp;$J596&amp;"|"&amp;3,Assessments!$A$2:$A$600,0)),0)</f>
        <v>0</v>
      </c>
      <c r="CZ596" s="28" t="n">
        <f aca="false">IFERROR(INDEX(Assessments!$J$2:$J$600,MATCH($H596&amp;"|"&amp;$I596&amp;"|"&amp;$J596&amp;"|"&amp;4,Assessments!$A$2:$A$600,0)),0)</f>
        <v>0</v>
      </c>
      <c r="DA596" s="28" t="n">
        <f aca="false">IFERROR(INDEX(Assessments!$J$2:$J$600,MATCH($H596&amp;"|"&amp;$I596&amp;"|"&amp;$J596&amp;"|"&amp;5,Assessments!$A$2:$A$600,0)),0)</f>
        <v>0</v>
      </c>
      <c r="DB596" s="28" t="n">
        <f aca="false">IFERROR(INDEX(Assessments!$J$2:$J$600,MATCH($H596&amp;"|"&amp;$I596&amp;"|"&amp;$J596&amp;"|"&amp;6,Assessments!$A$2:$A$600,0)),0)</f>
        <v>0</v>
      </c>
      <c r="DC596" s="28" t="n">
        <f aca="false">IFERROR(INDEX(Assessments!$J$2:$J$600,MATCH($H596&amp;"|"&amp;$I596&amp;"|"&amp;$J596&amp;"|"&amp;7,Assessments!$A$2:$A$600,0)),0)</f>
        <v>0</v>
      </c>
      <c r="DD596" s="28" t="n">
        <f aca="false">IFERROR(INDEX(Assessments!$J$2:$J$600,MATCH($H596&amp;"|"&amp;$I596&amp;"|"&amp;$J596&amp;"|"&amp;8,Assessments!$A$2:$A$600,0)),0)</f>
        <v>0</v>
      </c>
      <c r="DE596" s="28" t="n">
        <f aca="false">IFERROR(INDEX(Assessments!$J$2:$J$600,MATCH($H596&amp;"|"&amp;$I596&amp;"|"&amp;$J596&amp;"|"&amp;9,Assessments!$A$2:$A$600,0)),0)</f>
        <v>0</v>
      </c>
      <c r="DF596" s="28" t="n">
        <f aca="false">IFERROR(INDEX(Assessments!$J$2:$J$600,MATCH($H596&amp;"|"&amp;$I596&amp;"|"&amp;$J596&amp;"|"&amp;10,Assessments!$A$2:$A$600,0)),0)</f>
        <v>0</v>
      </c>
      <c r="DG596" s="28" t="n">
        <f aca="false">IFERROR(INDEX(Assessments!$J$2:$J$600,MATCH($H596&amp;"|"&amp;$I596&amp;"|"&amp;$J596&amp;"|"&amp;11,Assessments!$A$2:$A$600,0)),0)</f>
        <v>0</v>
      </c>
      <c r="DH596" s="28" t="n">
        <f aca="false">IFERROR(INDEX(Assessments!$J$2:$J$600,MATCH($H596&amp;"|"&amp;$I596&amp;"|"&amp;$J596&amp;"|"&amp;12,Assessments!$A$2:$A$600,0)),0)</f>
        <v>0</v>
      </c>
      <c r="DI596" s="28" t="n">
        <f aca="false">IFERROR(INDEX(Assessments!$J$2:$J$600,MATCH($H596&amp;"|"&amp;$I596&amp;"|"&amp;$J596&amp;"|"&amp;13,Assessments!$A$2:$A$600,0)),0)</f>
        <v>0</v>
      </c>
      <c r="DJ596" s="28" t="n">
        <f aca="false">IFERROR(INDEX(Assessments!$J$2:$J$600,MATCH($H596&amp;"|"&amp;$I596&amp;"|"&amp;$J596&amp;"|"&amp;14,Assessments!$A$2:$A$600,0)),0)</f>
        <v>0</v>
      </c>
      <c r="DK596" s="28" t="str">
        <f aca="false">S596</f>
        <v/>
      </c>
      <c r="DL596" s="28" t="str">
        <f aca="false">W596</f>
        <v/>
      </c>
      <c r="DM596" s="28" t="str">
        <f aca="false">AA596</f>
        <v/>
      </c>
      <c r="DN596" s="28" t="str">
        <f aca="false">AE596</f>
        <v/>
      </c>
      <c r="DO596" s="28" t="str">
        <f aca="false">AI596</f>
        <v/>
      </c>
      <c r="DP596" s="28" t="str">
        <f aca="false">AM596</f>
        <v/>
      </c>
      <c r="DQ596" s="28" t="str">
        <f aca="false">AQ596</f>
        <v/>
      </c>
      <c r="DR596" s="28" t="str">
        <f aca="false">AU596</f>
        <v/>
      </c>
      <c r="DS596" s="28" t="str">
        <f aca="false">AY596</f>
        <v/>
      </c>
      <c r="DT596" s="28" t="str">
        <f aca="false">BC596</f>
        <v/>
      </c>
      <c r="DU596" s="28" t="str">
        <f aca="false">BG596</f>
        <v/>
      </c>
      <c r="DV596" s="28" t="str">
        <f aca="false">BK596</f>
        <v/>
      </c>
      <c r="DW596" s="28" t="str">
        <f aca="false">BO596</f>
        <v/>
      </c>
      <c r="DX596" s="28" t="str">
        <f aca="false">BS596</f>
        <v/>
      </c>
      <c r="DY596" s="28" t="str">
        <f aca="false">IF(ISNUMBER(S596),1,"")</f>
        <v/>
      </c>
      <c r="DZ596" s="28" t="str">
        <f aca="false">IF(ISNUMBER(W596),2,"")</f>
        <v/>
      </c>
      <c r="EA596" s="28" t="str">
        <f aca="false">IF(ISNUMBER(AA596),3,"")</f>
        <v/>
      </c>
      <c r="EB596" s="28" t="str">
        <f aca="false">IF(ISNUMBER(AE596),4,"")</f>
        <v/>
      </c>
      <c r="EC596" s="28" t="str">
        <f aca="false">IF(ISNUMBER(AI596),5,"")</f>
        <v/>
      </c>
      <c r="ED596" s="28" t="str">
        <f aca="false">IF(ISNUMBER(AM596),6,"")</f>
        <v/>
      </c>
      <c r="EE596" s="28" t="str">
        <f aca="false">IF(ISNUMBER(AQ596),7,"")</f>
        <v/>
      </c>
      <c r="EF596" s="28" t="str">
        <f aca="false">IF(ISNUMBER(AU596),8,"")</f>
        <v/>
      </c>
      <c r="EG596" s="28" t="str">
        <f aca="false">IF(ISNUMBER(AY596),9,"")</f>
        <v/>
      </c>
      <c r="EH596" s="28" t="str">
        <f aca="false">IF(ISNUMBER(BC596),10,"")</f>
        <v/>
      </c>
      <c r="EI596" s="28" t="str">
        <f aca="false">IF(ISNUMBER(BG596),11,"")</f>
        <v/>
      </c>
      <c r="EJ596" s="28" t="str">
        <f aca="false">IF(ISNUMBER(BK596),12,"")</f>
        <v/>
      </c>
      <c r="EK596" s="28" t="str">
        <f aca="false">IF(ISNUMBER(BO596),13,"")</f>
        <v/>
      </c>
      <c r="EL596" s="28" t="str">
        <f aca="false">IF(ISNUMBER(BS596),14,"")</f>
        <v/>
      </c>
      <c r="EM596" s="28" t="n">
        <f aca="false">IF(ISNUMBER(R596),R596*CW596,0)</f>
        <v>0</v>
      </c>
      <c r="EN596" s="28" t="n">
        <f aca="false">IF(ISNUMBER(V596),V596*CX596,0)</f>
        <v>0</v>
      </c>
      <c r="EO596" s="28" t="n">
        <f aca="false">IF(ISNUMBER(Z596),Z596*CY596,0)</f>
        <v>0</v>
      </c>
      <c r="EP596" s="28" t="n">
        <f aca="false">IF(ISNUMBER(AD596),AD596*CZ596,0)</f>
        <v>0</v>
      </c>
      <c r="EQ596" s="28" t="n">
        <f aca="false">IF(ISNUMBER(AH596),AH596*DA596,0)</f>
        <v>0</v>
      </c>
      <c r="ER596" s="28" t="n">
        <f aca="false">IF(ISNUMBER(AL596),AL596*DB596,0)</f>
        <v>0</v>
      </c>
      <c r="ES596" s="28" t="n">
        <f aca="false">IF(ISNUMBER(AP596),AP596*DC596,0)</f>
        <v>0</v>
      </c>
      <c r="ET596" s="28" t="n">
        <f aca="false">IF(ISNUMBER(AT596),AT596*DD596,0)</f>
        <v>0</v>
      </c>
      <c r="EU596" s="28" t="n">
        <f aca="false">IF(ISNUMBER(AX596),AX596*DE596,0)</f>
        <v>0</v>
      </c>
      <c r="EV596" s="28" t="n">
        <f aca="false">IF(ISNUMBER(BB596),BB596*DF596,0)</f>
        <v>0</v>
      </c>
      <c r="EW596" s="28" t="n">
        <f aca="false">IF(ISNUMBER(BF596),BF596*DG596,0)</f>
        <v>0</v>
      </c>
      <c r="EX596" s="28" t="n">
        <f aca="false">IF(ISNUMBER(BJ596),BJ596*DH596,0)</f>
        <v>0</v>
      </c>
      <c r="EY596" s="28" t="n">
        <f aca="false">IF(ISNUMBER(BN596),BN596*DI596,0)</f>
        <v>0</v>
      </c>
      <c r="EZ596" s="28" t="n">
        <f aca="false">IF(ISNUMBER(BR596),BR596*DJ596,0)</f>
        <v>0</v>
      </c>
      <c r="FA596" s="28" t="n">
        <f aca="false">IF(ISNUMBER(R596),CW596,0)</f>
        <v>0</v>
      </c>
      <c r="FB596" s="28" t="n">
        <f aca="false">IF(ISNUMBER(V596),CX596,0)</f>
        <v>0</v>
      </c>
      <c r="FC596" s="28" t="n">
        <f aca="false">IF(ISNUMBER(Z596),CY596,0)</f>
        <v>0</v>
      </c>
      <c r="FD596" s="28" t="n">
        <f aca="false">IF(ISNUMBER(AD596),CZ596,0)</f>
        <v>0</v>
      </c>
      <c r="FE596" s="28" t="n">
        <f aca="false">IF(ISNUMBER(AH596),DA596,0)</f>
        <v>0</v>
      </c>
      <c r="FF596" s="28" t="n">
        <f aca="false">IF(ISNUMBER(AL596),DB596,0)</f>
        <v>0</v>
      </c>
      <c r="FG596" s="28" t="n">
        <f aca="false">IF(ISNUMBER(AP596),DC596,0)</f>
        <v>0</v>
      </c>
      <c r="FH596" s="28" t="n">
        <f aca="false">IF(ISNUMBER(AT596),DD596,0)</f>
        <v>0</v>
      </c>
      <c r="FI596" s="28" t="n">
        <f aca="false">IF(ISNUMBER(AX596),DE596,0)</f>
        <v>0</v>
      </c>
      <c r="FJ596" s="28" t="n">
        <f aca="false">IF(ISNUMBER(BB596),DF596,0)</f>
        <v>0</v>
      </c>
      <c r="FK596" s="28" t="n">
        <f aca="false">IF(ISNUMBER(BF596),DG596,0)</f>
        <v>0</v>
      </c>
      <c r="FL596" s="28" t="n">
        <f aca="false">IF(ISNUMBER(BJ596),DH596,0)</f>
        <v>0</v>
      </c>
      <c r="FM596" s="28" t="n">
        <f aca="false">IF(ISNUMBER(BN596),DI596,0)</f>
        <v>0</v>
      </c>
      <c r="FN596" s="28" t="n">
        <f aca="false">IF(ISNUMBER(BR596),DJ596,0)</f>
        <v>0</v>
      </c>
      <c r="FO596" s="28" t="str">
        <f aca="false">IFERROR(INDEX(Lists!$G$2:$G$20,MATCH($I596&amp;"|"&amp;$J596,Lists!$F$2:$F$20,0)),"")</f>
        <v/>
      </c>
    </row>
    <row r="597" customFormat="false" ht="19.5" hidden="false" customHeight="true" outlineLevel="0" collapsed="false">
      <c r="A597" s="29"/>
      <c r="B597" s="29"/>
      <c r="C597" s="30"/>
      <c r="D597" s="30"/>
      <c r="E597" s="31"/>
      <c r="F597" s="30"/>
      <c r="G597" s="30"/>
      <c r="H597" s="32"/>
      <c r="I597" s="33"/>
      <c r="J597" s="32"/>
      <c r="K597" s="34" t="str">
        <f aca="false">IF(OR(M597="",$E597=""),"",M597-$E597)</f>
        <v/>
      </c>
      <c r="L597" s="35" t="str">
        <f aca="false">IF(SUM(FA597:FN597)=0,"",SUM(EM597:EZ597)/SUM(FA597:FN597))</f>
        <v/>
      </c>
      <c r="M597" s="36" t="str">
        <f aca="false">IF(OR(L597="",FO597=""),"",IFERROR(MATCH(L597,INDEX(Boundaries!$B$2:$I$30,MATCH(FO597,Boundaries!$A$2:$A$30,0),0),1)-1,""))</f>
        <v/>
      </c>
      <c r="N597" s="37" t="str">
        <f aca="false">IF(COUNT($DY597:$EL597)&lt;2,"",INDEX($DK597:$DX597,MAX($DY597:$EL597))-INDEX($DK597:$DX597,MIN($DY597:$EL597)))</f>
        <v/>
      </c>
      <c r="O597" s="37" t="str">
        <f aca="false">IF(COUNT($DY597:$EL597)&lt;2,"",INDEX($DK597:$DX597,MAX($DY597:$EL597))-INDEX($DK597:$DX597,LARGE($DY597:$EL597,2)))</f>
        <v/>
      </c>
      <c r="P597" s="38" t="str">
        <f aca="false">IF(K597="","",IF(K597&gt;=0,"On/above target",IF(AND(N597&lt;&gt;"",N597&gt;=0.5),"Improving towards target",IF(AND(O597&lt;&gt;"",O597&lt;=-0.5),"Declining","Stable below target"))))</f>
        <v/>
      </c>
      <c r="Q597" s="39"/>
      <c r="R597" s="40" t="str">
        <f aca="false">IF(OR(Q597="",BU597=""),"",Q597/BU597*100)</f>
        <v/>
      </c>
      <c r="S597" s="41" t="str">
        <f aca="false">IF(R597="","",IFERROR(MATCH(R597,INDEX(Boundaries!$B$2:$I$30,MATCH(CI597,Boundaries!$A$2:$A$30,0),0),1)-1,""))</f>
        <v/>
      </c>
      <c r="T597" s="42" t="str">
        <f aca="false">IF(OR(S597="",$E597=""),"",S597-$E597)</f>
        <v/>
      </c>
      <c r="U597" s="39"/>
      <c r="V597" s="40" t="str">
        <f aca="false">IF(OR(U597="",BV597=""),"",U597/BV597*100)</f>
        <v/>
      </c>
      <c r="W597" s="41" t="str">
        <f aca="false">IF(V597="","",IFERROR(MATCH(V597,INDEX(Boundaries!$B$2:$I$30,MATCH(CJ597,Boundaries!$A$2:$A$30,0),0),1)-1,""))</f>
        <v/>
      </c>
      <c r="X597" s="42" t="str">
        <f aca="false">IF(OR(W597="",$E597=""),"",W597-$E597)</f>
        <v/>
      </c>
      <c r="Y597" s="39"/>
      <c r="Z597" s="40" t="str">
        <f aca="false">IF(OR(Y597="",BW597=""),"",Y597/BW597*100)</f>
        <v/>
      </c>
      <c r="AA597" s="41" t="str">
        <f aca="false">IF(Z597="","",IFERROR(MATCH(Z597,INDEX(Boundaries!$B$2:$I$30,MATCH(CK597,Boundaries!$A$2:$A$30,0),0),1)-1,""))</f>
        <v/>
      </c>
      <c r="AB597" s="42" t="str">
        <f aca="false">IF(OR(AA597="",$E597=""),"",AA597-$E597)</f>
        <v/>
      </c>
      <c r="AC597" s="39"/>
      <c r="AD597" s="40" t="str">
        <f aca="false">IF(OR(AC597="",BX597=""),"",AC597/BX597*100)</f>
        <v/>
      </c>
      <c r="AE597" s="41" t="str">
        <f aca="false">IF(AD597="","",IFERROR(MATCH(AD597,INDEX(Boundaries!$B$2:$I$30,MATCH(CL597,Boundaries!$A$2:$A$30,0),0),1)-1,""))</f>
        <v/>
      </c>
      <c r="AF597" s="42" t="str">
        <f aca="false">IF(OR(AE597="",$E597=""),"",AE597-$E597)</f>
        <v/>
      </c>
      <c r="AG597" s="39"/>
      <c r="AH597" s="40" t="str">
        <f aca="false">IF(OR(AG597="",BY597=""),"",AG597/BY597*100)</f>
        <v/>
      </c>
      <c r="AI597" s="41" t="str">
        <f aca="false">IF(AH597="","",IFERROR(MATCH(AH597,INDEX(Boundaries!$B$2:$I$30,MATCH(CM597,Boundaries!$A$2:$A$30,0),0),1)-1,""))</f>
        <v/>
      </c>
      <c r="AJ597" s="42" t="str">
        <f aca="false">IF(OR(AI597="",$E597=""),"",AI597-$E597)</f>
        <v/>
      </c>
      <c r="AK597" s="39"/>
      <c r="AL597" s="40" t="str">
        <f aca="false">IF(OR(AK597="",BZ597=""),"",AK597/BZ597*100)</f>
        <v/>
      </c>
      <c r="AM597" s="41" t="str">
        <f aca="false">IF(AL597="","",IFERROR(MATCH(AL597,INDEX(Boundaries!$B$2:$I$30,MATCH(CN597,Boundaries!$A$2:$A$30,0),0),1)-1,""))</f>
        <v/>
      </c>
      <c r="AN597" s="42" t="str">
        <f aca="false">IF(OR(AM597="",$E597=""),"",AM597-$E597)</f>
        <v/>
      </c>
      <c r="AO597" s="39"/>
      <c r="AP597" s="40" t="str">
        <f aca="false">IF(OR(AO597="",CA597=""),"",AO597/CA597*100)</f>
        <v/>
      </c>
      <c r="AQ597" s="41" t="str">
        <f aca="false">IF(AP597="","",IFERROR(MATCH(AP597,INDEX(Boundaries!$B$2:$I$30,MATCH(CO597,Boundaries!$A$2:$A$30,0),0),1)-1,""))</f>
        <v/>
      </c>
      <c r="AR597" s="42" t="str">
        <f aca="false">IF(OR(AQ597="",$E597=""),"",AQ597-$E597)</f>
        <v/>
      </c>
      <c r="AS597" s="39"/>
      <c r="AT597" s="40" t="str">
        <f aca="false">IF(OR(AS597="",CB597=""),"",AS597/CB597*100)</f>
        <v/>
      </c>
      <c r="AU597" s="41" t="str">
        <f aca="false">IF(AT597="","",IFERROR(MATCH(AT597,INDEX(Boundaries!$B$2:$I$30,MATCH(CP597,Boundaries!$A$2:$A$30,0),0),1)-1,""))</f>
        <v/>
      </c>
      <c r="AV597" s="42" t="str">
        <f aca="false">IF(OR(AU597="",$E597=""),"",AU597-$E597)</f>
        <v/>
      </c>
      <c r="AW597" s="39"/>
      <c r="AX597" s="40" t="str">
        <f aca="false">IF(OR(AW597="",CC597=""),"",AW597/CC597*100)</f>
        <v/>
      </c>
      <c r="AY597" s="41" t="str">
        <f aca="false">IF(AX597="","",IFERROR(MATCH(AX597,INDEX(Boundaries!$B$2:$I$30,MATCH(CQ597,Boundaries!$A$2:$A$30,0),0),1)-1,""))</f>
        <v/>
      </c>
      <c r="AZ597" s="42" t="str">
        <f aca="false">IF(OR(AY597="",$E597=""),"",AY597-$E597)</f>
        <v/>
      </c>
      <c r="BA597" s="39"/>
      <c r="BB597" s="40" t="str">
        <f aca="false">IF(OR(BA597="",CD597=""),"",BA597/CD597*100)</f>
        <v/>
      </c>
      <c r="BC597" s="41" t="str">
        <f aca="false">IF(BB597="","",IFERROR(MATCH(BB597,INDEX(Boundaries!$B$2:$I$30,MATCH(CR597,Boundaries!$A$2:$A$30,0),0),1)-1,""))</f>
        <v/>
      </c>
      <c r="BD597" s="42" t="str">
        <f aca="false">IF(OR(BC597="",$E597=""),"",BC597-$E597)</f>
        <v/>
      </c>
      <c r="BE597" s="39"/>
      <c r="BF597" s="40" t="str">
        <f aca="false">IF(OR(BE597="",CE597=""),"",BE597/CE597*100)</f>
        <v/>
      </c>
      <c r="BG597" s="41" t="str">
        <f aca="false">IF(BF597="","",IFERROR(MATCH(BF597,INDEX(Boundaries!$B$2:$I$30,MATCH(CS597,Boundaries!$A$2:$A$30,0),0),1)-1,""))</f>
        <v/>
      </c>
      <c r="BH597" s="42" t="str">
        <f aca="false">IF(OR(BG597="",$E597=""),"",BG597-$E597)</f>
        <v/>
      </c>
      <c r="BI597" s="39"/>
      <c r="BJ597" s="40" t="str">
        <f aca="false">IF(OR(BI597="",CF597=""),"",BI597/CF597*100)</f>
        <v/>
      </c>
      <c r="BK597" s="41" t="str">
        <f aca="false">IF(BJ597="","",IFERROR(MATCH(BJ597,INDEX(Boundaries!$B$2:$I$30,MATCH(CT597,Boundaries!$A$2:$A$30,0),0),1)-1,""))</f>
        <v/>
      </c>
      <c r="BL597" s="42" t="str">
        <f aca="false">IF(OR(BK597="",$E597=""),"",BK597-$E597)</f>
        <v/>
      </c>
      <c r="BM597" s="39"/>
      <c r="BN597" s="40" t="str">
        <f aca="false">IF(OR(BM597="",CG597=""),"",BM597/CG597*100)</f>
        <v/>
      </c>
      <c r="BO597" s="41" t="str">
        <f aca="false">IF(BN597="","",IFERROR(MATCH(BN597,INDEX(Boundaries!$B$2:$I$30,MATCH(CU597,Boundaries!$A$2:$A$30,0),0),1)-1,""))</f>
        <v/>
      </c>
      <c r="BP597" s="42" t="str">
        <f aca="false">IF(OR(BO597="",$E597=""),"",BO597-$E597)</f>
        <v/>
      </c>
      <c r="BQ597" s="39"/>
      <c r="BR597" s="40" t="str">
        <f aca="false">IF(OR(BQ597="",CH597=""),"",BQ597/CH597*100)</f>
        <v/>
      </c>
      <c r="BS597" s="41" t="str">
        <f aca="false">IF(BR597="","",IFERROR(MATCH(BR597,INDEX(Boundaries!$B$2:$I$30,MATCH(CV597,Boundaries!$A$2:$A$30,0),0),1)-1,""))</f>
        <v/>
      </c>
      <c r="BT597" s="42" t="str">
        <f aca="false">IF(OR(BS597="",$E597=""),"",BS597-$E597)</f>
        <v/>
      </c>
      <c r="BU597" s="28" t="str">
        <f aca="false">IFERROR(INDEX(Assessments!$H$2:$H$600,MATCH($H597&amp;"|"&amp;$I597&amp;"|"&amp;$J597&amp;"|"&amp;1,Assessments!$A$2:$A$600,0)),"")</f>
        <v/>
      </c>
      <c r="BV597" s="28" t="str">
        <f aca="false">IFERROR(INDEX(Assessments!$H$2:$H$600,MATCH($H597&amp;"|"&amp;$I597&amp;"|"&amp;$J597&amp;"|"&amp;2,Assessments!$A$2:$A$600,0)),"")</f>
        <v/>
      </c>
      <c r="BW597" s="28" t="str">
        <f aca="false">IFERROR(INDEX(Assessments!$H$2:$H$600,MATCH($H597&amp;"|"&amp;$I597&amp;"|"&amp;$J597&amp;"|"&amp;3,Assessments!$A$2:$A$600,0)),"")</f>
        <v/>
      </c>
      <c r="BX597" s="28" t="str">
        <f aca="false">IFERROR(INDEX(Assessments!$H$2:$H$600,MATCH($H597&amp;"|"&amp;$I597&amp;"|"&amp;$J597&amp;"|"&amp;4,Assessments!$A$2:$A$600,0)),"")</f>
        <v/>
      </c>
      <c r="BY597" s="28" t="str">
        <f aca="false">IFERROR(INDEX(Assessments!$H$2:$H$600,MATCH($H597&amp;"|"&amp;$I597&amp;"|"&amp;$J597&amp;"|"&amp;5,Assessments!$A$2:$A$600,0)),"")</f>
        <v/>
      </c>
      <c r="BZ597" s="28" t="str">
        <f aca="false">IFERROR(INDEX(Assessments!$H$2:$H$600,MATCH($H597&amp;"|"&amp;$I597&amp;"|"&amp;$J597&amp;"|"&amp;6,Assessments!$A$2:$A$600,0)),"")</f>
        <v/>
      </c>
      <c r="CA597" s="28" t="str">
        <f aca="false">IFERROR(INDEX(Assessments!$H$2:$H$600,MATCH($H597&amp;"|"&amp;$I597&amp;"|"&amp;$J597&amp;"|"&amp;7,Assessments!$A$2:$A$600,0)),"")</f>
        <v/>
      </c>
      <c r="CB597" s="28" t="str">
        <f aca="false">IFERROR(INDEX(Assessments!$H$2:$H$600,MATCH($H597&amp;"|"&amp;$I597&amp;"|"&amp;$J597&amp;"|"&amp;8,Assessments!$A$2:$A$600,0)),"")</f>
        <v/>
      </c>
      <c r="CC597" s="28" t="str">
        <f aca="false">IFERROR(INDEX(Assessments!$H$2:$H$600,MATCH($H597&amp;"|"&amp;$I597&amp;"|"&amp;$J597&amp;"|"&amp;9,Assessments!$A$2:$A$600,0)),"")</f>
        <v/>
      </c>
      <c r="CD597" s="28" t="str">
        <f aca="false">IFERROR(INDEX(Assessments!$H$2:$H$600,MATCH($H597&amp;"|"&amp;$I597&amp;"|"&amp;$J597&amp;"|"&amp;10,Assessments!$A$2:$A$600,0)),"")</f>
        <v/>
      </c>
      <c r="CE597" s="28" t="str">
        <f aca="false">IFERROR(INDEX(Assessments!$H$2:$H$600,MATCH($H597&amp;"|"&amp;$I597&amp;"|"&amp;$J597&amp;"|"&amp;11,Assessments!$A$2:$A$600,0)),"")</f>
        <v/>
      </c>
      <c r="CF597" s="28" t="str">
        <f aca="false">IFERROR(INDEX(Assessments!$H$2:$H$600,MATCH($H597&amp;"|"&amp;$I597&amp;"|"&amp;$J597&amp;"|"&amp;12,Assessments!$A$2:$A$600,0)),"")</f>
        <v/>
      </c>
      <c r="CG597" s="28" t="str">
        <f aca="false">IFERROR(INDEX(Assessments!$H$2:$H$600,MATCH($H597&amp;"|"&amp;$I597&amp;"|"&amp;$J597&amp;"|"&amp;13,Assessments!$A$2:$A$600,0)),"")</f>
        <v/>
      </c>
      <c r="CH597" s="28" t="str">
        <f aca="false">IFERROR(INDEX(Assessments!$H$2:$H$600,MATCH($H597&amp;"|"&amp;$I597&amp;"|"&amp;$J597&amp;"|"&amp;14,Assessments!$A$2:$A$600,0)),"")</f>
        <v/>
      </c>
      <c r="CI597" s="28" t="str">
        <f aca="false">IFERROR(INDEX(Assessments!$I$2:$I$600,MATCH($H597&amp;"|"&amp;$I597&amp;"|"&amp;$J597&amp;"|"&amp;1,Assessments!$A$2:$A$600,0)),"")</f>
        <v/>
      </c>
      <c r="CJ597" s="28" t="str">
        <f aca="false">IFERROR(INDEX(Assessments!$I$2:$I$600,MATCH($H597&amp;"|"&amp;$I597&amp;"|"&amp;$J597&amp;"|"&amp;2,Assessments!$A$2:$A$600,0)),"")</f>
        <v/>
      </c>
      <c r="CK597" s="28" t="str">
        <f aca="false">IFERROR(INDEX(Assessments!$I$2:$I$600,MATCH($H597&amp;"|"&amp;$I597&amp;"|"&amp;$J597&amp;"|"&amp;3,Assessments!$A$2:$A$600,0)),"")</f>
        <v/>
      </c>
      <c r="CL597" s="28" t="str">
        <f aca="false">IFERROR(INDEX(Assessments!$I$2:$I$600,MATCH($H597&amp;"|"&amp;$I597&amp;"|"&amp;$J597&amp;"|"&amp;4,Assessments!$A$2:$A$600,0)),"")</f>
        <v/>
      </c>
      <c r="CM597" s="28" t="str">
        <f aca="false">IFERROR(INDEX(Assessments!$I$2:$I$600,MATCH($H597&amp;"|"&amp;$I597&amp;"|"&amp;$J597&amp;"|"&amp;5,Assessments!$A$2:$A$600,0)),"")</f>
        <v/>
      </c>
      <c r="CN597" s="28" t="str">
        <f aca="false">IFERROR(INDEX(Assessments!$I$2:$I$600,MATCH($H597&amp;"|"&amp;$I597&amp;"|"&amp;$J597&amp;"|"&amp;6,Assessments!$A$2:$A$600,0)),"")</f>
        <v/>
      </c>
      <c r="CO597" s="28" t="str">
        <f aca="false">IFERROR(INDEX(Assessments!$I$2:$I$600,MATCH($H597&amp;"|"&amp;$I597&amp;"|"&amp;$J597&amp;"|"&amp;7,Assessments!$A$2:$A$600,0)),"")</f>
        <v/>
      </c>
      <c r="CP597" s="28" t="str">
        <f aca="false">IFERROR(INDEX(Assessments!$I$2:$I$600,MATCH($H597&amp;"|"&amp;$I597&amp;"|"&amp;$J597&amp;"|"&amp;8,Assessments!$A$2:$A$600,0)),"")</f>
        <v/>
      </c>
      <c r="CQ597" s="28" t="str">
        <f aca="false">IFERROR(INDEX(Assessments!$I$2:$I$600,MATCH($H597&amp;"|"&amp;$I597&amp;"|"&amp;$J597&amp;"|"&amp;9,Assessments!$A$2:$A$600,0)),"")</f>
        <v/>
      </c>
      <c r="CR597" s="28" t="str">
        <f aca="false">IFERROR(INDEX(Assessments!$I$2:$I$600,MATCH($H597&amp;"|"&amp;$I597&amp;"|"&amp;$J597&amp;"|"&amp;10,Assessments!$A$2:$A$600,0)),"")</f>
        <v/>
      </c>
      <c r="CS597" s="28" t="str">
        <f aca="false">IFERROR(INDEX(Assessments!$I$2:$I$600,MATCH($H597&amp;"|"&amp;$I597&amp;"|"&amp;$J597&amp;"|"&amp;11,Assessments!$A$2:$A$600,0)),"")</f>
        <v/>
      </c>
      <c r="CT597" s="28" t="str">
        <f aca="false">IFERROR(INDEX(Assessments!$I$2:$I$600,MATCH($H597&amp;"|"&amp;$I597&amp;"|"&amp;$J597&amp;"|"&amp;12,Assessments!$A$2:$A$600,0)),"")</f>
        <v/>
      </c>
      <c r="CU597" s="28" t="str">
        <f aca="false">IFERROR(INDEX(Assessments!$I$2:$I$600,MATCH($H597&amp;"|"&amp;$I597&amp;"|"&amp;$J597&amp;"|"&amp;13,Assessments!$A$2:$A$600,0)),"")</f>
        <v/>
      </c>
      <c r="CV597" s="28" t="str">
        <f aca="false">IFERROR(INDEX(Assessments!$I$2:$I$600,MATCH($H597&amp;"|"&amp;$I597&amp;"|"&amp;$J597&amp;"|"&amp;14,Assessments!$A$2:$A$600,0)),"")</f>
        <v/>
      </c>
      <c r="CW597" s="28" t="n">
        <f aca="false">IFERROR(INDEX(Assessments!$J$2:$J$600,MATCH($H597&amp;"|"&amp;$I597&amp;"|"&amp;$J597&amp;"|"&amp;1,Assessments!$A$2:$A$600,0)),0)</f>
        <v>0</v>
      </c>
      <c r="CX597" s="28" t="n">
        <f aca="false">IFERROR(INDEX(Assessments!$J$2:$J$600,MATCH($H597&amp;"|"&amp;$I597&amp;"|"&amp;$J597&amp;"|"&amp;2,Assessments!$A$2:$A$600,0)),0)</f>
        <v>0</v>
      </c>
      <c r="CY597" s="28" t="n">
        <f aca="false">IFERROR(INDEX(Assessments!$J$2:$J$600,MATCH($H597&amp;"|"&amp;$I597&amp;"|"&amp;$J597&amp;"|"&amp;3,Assessments!$A$2:$A$600,0)),0)</f>
        <v>0</v>
      </c>
      <c r="CZ597" s="28" t="n">
        <f aca="false">IFERROR(INDEX(Assessments!$J$2:$J$600,MATCH($H597&amp;"|"&amp;$I597&amp;"|"&amp;$J597&amp;"|"&amp;4,Assessments!$A$2:$A$600,0)),0)</f>
        <v>0</v>
      </c>
      <c r="DA597" s="28" t="n">
        <f aca="false">IFERROR(INDEX(Assessments!$J$2:$J$600,MATCH($H597&amp;"|"&amp;$I597&amp;"|"&amp;$J597&amp;"|"&amp;5,Assessments!$A$2:$A$600,0)),0)</f>
        <v>0</v>
      </c>
      <c r="DB597" s="28" t="n">
        <f aca="false">IFERROR(INDEX(Assessments!$J$2:$J$600,MATCH($H597&amp;"|"&amp;$I597&amp;"|"&amp;$J597&amp;"|"&amp;6,Assessments!$A$2:$A$600,0)),0)</f>
        <v>0</v>
      </c>
      <c r="DC597" s="28" t="n">
        <f aca="false">IFERROR(INDEX(Assessments!$J$2:$J$600,MATCH($H597&amp;"|"&amp;$I597&amp;"|"&amp;$J597&amp;"|"&amp;7,Assessments!$A$2:$A$600,0)),0)</f>
        <v>0</v>
      </c>
      <c r="DD597" s="28" t="n">
        <f aca="false">IFERROR(INDEX(Assessments!$J$2:$J$600,MATCH($H597&amp;"|"&amp;$I597&amp;"|"&amp;$J597&amp;"|"&amp;8,Assessments!$A$2:$A$600,0)),0)</f>
        <v>0</v>
      </c>
      <c r="DE597" s="28" t="n">
        <f aca="false">IFERROR(INDEX(Assessments!$J$2:$J$600,MATCH($H597&amp;"|"&amp;$I597&amp;"|"&amp;$J597&amp;"|"&amp;9,Assessments!$A$2:$A$600,0)),0)</f>
        <v>0</v>
      </c>
      <c r="DF597" s="28" t="n">
        <f aca="false">IFERROR(INDEX(Assessments!$J$2:$J$600,MATCH($H597&amp;"|"&amp;$I597&amp;"|"&amp;$J597&amp;"|"&amp;10,Assessments!$A$2:$A$600,0)),0)</f>
        <v>0</v>
      </c>
      <c r="DG597" s="28" t="n">
        <f aca="false">IFERROR(INDEX(Assessments!$J$2:$J$600,MATCH($H597&amp;"|"&amp;$I597&amp;"|"&amp;$J597&amp;"|"&amp;11,Assessments!$A$2:$A$600,0)),0)</f>
        <v>0</v>
      </c>
      <c r="DH597" s="28" t="n">
        <f aca="false">IFERROR(INDEX(Assessments!$J$2:$J$600,MATCH($H597&amp;"|"&amp;$I597&amp;"|"&amp;$J597&amp;"|"&amp;12,Assessments!$A$2:$A$600,0)),0)</f>
        <v>0</v>
      </c>
      <c r="DI597" s="28" t="n">
        <f aca="false">IFERROR(INDEX(Assessments!$J$2:$J$600,MATCH($H597&amp;"|"&amp;$I597&amp;"|"&amp;$J597&amp;"|"&amp;13,Assessments!$A$2:$A$600,0)),0)</f>
        <v>0</v>
      </c>
      <c r="DJ597" s="28" t="n">
        <f aca="false">IFERROR(INDEX(Assessments!$J$2:$J$600,MATCH($H597&amp;"|"&amp;$I597&amp;"|"&amp;$J597&amp;"|"&amp;14,Assessments!$A$2:$A$600,0)),0)</f>
        <v>0</v>
      </c>
      <c r="DK597" s="28" t="str">
        <f aca="false">S597</f>
        <v/>
      </c>
      <c r="DL597" s="28" t="str">
        <f aca="false">W597</f>
        <v/>
      </c>
      <c r="DM597" s="28" t="str">
        <f aca="false">AA597</f>
        <v/>
      </c>
      <c r="DN597" s="28" t="str">
        <f aca="false">AE597</f>
        <v/>
      </c>
      <c r="DO597" s="28" t="str">
        <f aca="false">AI597</f>
        <v/>
      </c>
      <c r="DP597" s="28" t="str">
        <f aca="false">AM597</f>
        <v/>
      </c>
      <c r="DQ597" s="28" t="str">
        <f aca="false">AQ597</f>
        <v/>
      </c>
      <c r="DR597" s="28" t="str">
        <f aca="false">AU597</f>
        <v/>
      </c>
      <c r="DS597" s="28" t="str">
        <f aca="false">AY597</f>
        <v/>
      </c>
      <c r="DT597" s="28" t="str">
        <f aca="false">BC597</f>
        <v/>
      </c>
      <c r="DU597" s="28" t="str">
        <f aca="false">BG597</f>
        <v/>
      </c>
      <c r="DV597" s="28" t="str">
        <f aca="false">BK597</f>
        <v/>
      </c>
      <c r="DW597" s="28" t="str">
        <f aca="false">BO597</f>
        <v/>
      </c>
      <c r="DX597" s="28" t="str">
        <f aca="false">BS597</f>
        <v/>
      </c>
      <c r="DY597" s="28" t="str">
        <f aca="false">IF(ISNUMBER(S597),1,"")</f>
        <v/>
      </c>
      <c r="DZ597" s="28" t="str">
        <f aca="false">IF(ISNUMBER(W597),2,"")</f>
        <v/>
      </c>
      <c r="EA597" s="28" t="str">
        <f aca="false">IF(ISNUMBER(AA597),3,"")</f>
        <v/>
      </c>
      <c r="EB597" s="28" t="str">
        <f aca="false">IF(ISNUMBER(AE597),4,"")</f>
        <v/>
      </c>
      <c r="EC597" s="28" t="str">
        <f aca="false">IF(ISNUMBER(AI597),5,"")</f>
        <v/>
      </c>
      <c r="ED597" s="28" t="str">
        <f aca="false">IF(ISNUMBER(AM597),6,"")</f>
        <v/>
      </c>
      <c r="EE597" s="28" t="str">
        <f aca="false">IF(ISNUMBER(AQ597),7,"")</f>
        <v/>
      </c>
      <c r="EF597" s="28" t="str">
        <f aca="false">IF(ISNUMBER(AU597),8,"")</f>
        <v/>
      </c>
      <c r="EG597" s="28" t="str">
        <f aca="false">IF(ISNUMBER(AY597),9,"")</f>
        <v/>
      </c>
      <c r="EH597" s="28" t="str">
        <f aca="false">IF(ISNUMBER(BC597),10,"")</f>
        <v/>
      </c>
      <c r="EI597" s="28" t="str">
        <f aca="false">IF(ISNUMBER(BG597),11,"")</f>
        <v/>
      </c>
      <c r="EJ597" s="28" t="str">
        <f aca="false">IF(ISNUMBER(BK597),12,"")</f>
        <v/>
      </c>
      <c r="EK597" s="28" t="str">
        <f aca="false">IF(ISNUMBER(BO597),13,"")</f>
        <v/>
      </c>
      <c r="EL597" s="28" t="str">
        <f aca="false">IF(ISNUMBER(BS597),14,"")</f>
        <v/>
      </c>
      <c r="EM597" s="28" t="n">
        <f aca="false">IF(ISNUMBER(R597),R597*CW597,0)</f>
        <v>0</v>
      </c>
      <c r="EN597" s="28" t="n">
        <f aca="false">IF(ISNUMBER(V597),V597*CX597,0)</f>
        <v>0</v>
      </c>
      <c r="EO597" s="28" t="n">
        <f aca="false">IF(ISNUMBER(Z597),Z597*CY597,0)</f>
        <v>0</v>
      </c>
      <c r="EP597" s="28" t="n">
        <f aca="false">IF(ISNUMBER(AD597),AD597*CZ597,0)</f>
        <v>0</v>
      </c>
      <c r="EQ597" s="28" t="n">
        <f aca="false">IF(ISNUMBER(AH597),AH597*DA597,0)</f>
        <v>0</v>
      </c>
      <c r="ER597" s="28" t="n">
        <f aca="false">IF(ISNUMBER(AL597),AL597*DB597,0)</f>
        <v>0</v>
      </c>
      <c r="ES597" s="28" t="n">
        <f aca="false">IF(ISNUMBER(AP597),AP597*DC597,0)</f>
        <v>0</v>
      </c>
      <c r="ET597" s="28" t="n">
        <f aca="false">IF(ISNUMBER(AT597),AT597*DD597,0)</f>
        <v>0</v>
      </c>
      <c r="EU597" s="28" t="n">
        <f aca="false">IF(ISNUMBER(AX597),AX597*DE597,0)</f>
        <v>0</v>
      </c>
      <c r="EV597" s="28" t="n">
        <f aca="false">IF(ISNUMBER(BB597),BB597*DF597,0)</f>
        <v>0</v>
      </c>
      <c r="EW597" s="28" t="n">
        <f aca="false">IF(ISNUMBER(BF597),BF597*DG597,0)</f>
        <v>0</v>
      </c>
      <c r="EX597" s="28" t="n">
        <f aca="false">IF(ISNUMBER(BJ597),BJ597*DH597,0)</f>
        <v>0</v>
      </c>
      <c r="EY597" s="28" t="n">
        <f aca="false">IF(ISNUMBER(BN597),BN597*DI597,0)</f>
        <v>0</v>
      </c>
      <c r="EZ597" s="28" t="n">
        <f aca="false">IF(ISNUMBER(BR597),BR597*DJ597,0)</f>
        <v>0</v>
      </c>
      <c r="FA597" s="28" t="n">
        <f aca="false">IF(ISNUMBER(R597),CW597,0)</f>
        <v>0</v>
      </c>
      <c r="FB597" s="28" t="n">
        <f aca="false">IF(ISNUMBER(V597),CX597,0)</f>
        <v>0</v>
      </c>
      <c r="FC597" s="28" t="n">
        <f aca="false">IF(ISNUMBER(Z597),CY597,0)</f>
        <v>0</v>
      </c>
      <c r="FD597" s="28" t="n">
        <f aca="false">IF(ISNUMBER(AD597),CZ597,0)</f>
        <v>0</v>
      </c>
      <c r="FE597" s="28" t="n">
        <f aca="false">IF(ISNUMBER(AH597),DA597,0)</f>
        <v>0</v>
      </c>
      <c r="FF597" s="28" t="n">
        <f aca="false">IF(ISNUMBER(AL597),DB597,0)</f>
        <v>0</v>
      </c>
      <c r="FG597" s="28" t="n">
        <f aca="false">IF(ISNUMBER(AP597),DC597,0)</f>
        <v>0</v>
      </c>
      <c r="FH597" s="28" t="n">
        <f aca="false">IF(ISNUMBER(AT597),DD597,0)</f>
        <v>0</v>
      </c>
      <c r="FI597" s="28" t="n">
        <f aca="false">IF(ISNUMBER(AX597),DE597,0)</f>
        <v>0</v>
      </c>
      <c r="FJ597" s="28" t="n">
        <f aca="false">IF(ISNUMBER(BB597),DF597,0)</f>
        <v>0</v>
      </c>
      <c r="FK597" s="28" t="n">
        <f aca="false">IF(ISNUMBER(BF597),DG597,0)</f>
        <v>0</v>
      </c>
      <c r="FL597" s="28" t="n">
        <f aca="false">IF(ISNUMBER(BJ597),DH597,0)</f>
        <v>0</v>
      </c>
      <c r="FM597" s="28" t="n">
        <f aca="false">IF(ISNUMBER(BN597),DI597,0)</f>
        <v>0</v>
      </c>
      <c r="FN597" s="28" t="n">
        <f aca="false">IF(ISNUMBER(BR597),DJ597,0)</f>
        <v>0</v>
      </c>
      <c r="FO597" s="28" t="str">
        <f aca="false">IFERROR(INDEX(Lists!$G$2:$G$20,MATCH($I597&amp;"|"&amp;$J597,Lists!$F$2:$F$20,0)),"")</f>
        <v/>
      </c>
    </row>
    <row r="598" customFormat="false" ht="19.5" hidden="false" customHeight="true" outlineLevel="0" collapsed="false">
      <c r="A598" s="29"/>
      <c r="B598" s="29"/>
      <c r="C598" s="30"/>
      <c r="D598" s="30"/>
      <c r="E598" s="31"/>
      <c r="F598" s="30"/>
      <c r="G598" s="30"/>
      <c r="H598" s="32"/>
      <c r="I598" s="33"/>
      <c r="J598" s="32"/>
      <c r="K598" s="34" t="str">
        <f aca="false">IF(OR(M598="",$E598=""),"",M598-$E598)</f>
        <v/>
      </c>
      <c r="L598" s="35" t="str">
        <f aca="false">IF(SUM(FA598:FN598)=0,"",SUM(EM598:EZ598)/SUM(FA598:FN598))</f>
        <v/>
      </c>
      <c r="M598" s="36" t="str">
        <f aca="false">IF(OR(L598="",FO598=""),"",IFERROR(MATCH(L598,INDEX(Boundaries!$B$2:$I$30,MATCH(FO598,Boundaries!$A$2:$A$30,0),0),1)-1,""))</f>
        <v/>
      </c>
      <c r="N598" s="37" t="str">
        <f aca="false">IF(COUNT($DY598:$EL598)&lt;2,"",INDEX($DK598:$DX598,MAX($DY598:$EL598))-INDEX($DK598:$DX598,MIN($DY598:$EL598)))</f>
        <v/>
      </c>
      <c r="O598" s="37" t="str">
        <f aca="false">IF(COUNT($DY598:$EL598)&lt;2,"",INDEX($DK598:$DX598,MAX($DY598:$EL598))-INDEX($DK598:$DX598,LARGE($DY598:$EL598,2)))</f>
        <v/>
      </c>
      <c r="P598" s="38" t="str">
        <f aca="false">IF(K598="","",IF(K598&gt;=0,"On/above target",IF(AND(N598&lt;&gt;"",N598&gt;=0.5),"Improving towards target",IF(AND(O598&lt;&gt;"",O598&lt;=-0.5),"Declining","Stable below target"))))</f>
        <v/>
      </c>
      <c r="Q598" s="39"/>
      <c r="R598" s="40" t="str">
        <f aca="false">IF(OR(Q598="",BU598=""),"",Q598/BU598*100)</f>
        <v/>
      </c>
      <c r="S598" s="41" t="str">
        <f aca="false">IF(R598="","",IFERROR(MATCH(R598,INDEX(Boundaries!$B$2:$I$30,MATCH(CI598,Boundaries!$A$2:$A$30,0),0),1)-1,""))</f>
        <v/>
      </c>
      <c r="T598" s="42" t="str">
        <f aca="false">IF(OR(S598="",$E598=""),"",S598-$E598)</f>
        <v/>
      </c>
      <c r="U598" s="39"/>
      <c r="V598" s="40" t="str">
        <f aca="false">IF(OR(U598="",BV598=""),"",U598/BV598*100)</f>
        <v/>
      </c>
      <c r="W598" s="41" t="str">
        <f aca="false">IF(V598="","",IFERROR(MATCH(V598,INDEX(Boundaries!$B$2:$I$30,MATCH(CJ598,Boundaries!$A$2:$A$30,0),0),1)-1,""))</f>
        <v/>
      </c>
      <c r="X598" s="42" t="str">
        <f aca="false">IF(OR(W598="",$E598=""),"",W598-$E598)</f>
        <v/>
      </c>
      <c r="Y598" s="39"/>
      <c r="Z598" s="40" t="str">
        <f aca="false">IF(OR(Y598="",BW598=""),"",Y598/BW598*100)</f>
        <v/>
      </c>
      <c r="AA598" s="41" t="str">
        <f aca="false">IF(Z598="","",IFERROR(MATCH(Z598,INDEX(Boundaries!$B$2:$I$30,MATCH(CK598,Boundaries!$A$2:$A$30,0),0),1)-1,""))</f>
        <v/>
      </c>
      <c r="AB598" s="42" t="str">
        <f aca="false">IF(OR(AA598="",$E598=""),"",AA598-$E598)</f>
        <v/>
      </c>
      <c r="AC598" s="39"/>
      <c r="AD598" s="40" t="str">
        <f aca="false">IF(OR(AC598="",BX598=""),"",AC598/BX598*100)</f>
        <v/>
      </c>
      <c r="AE598" s="41" t="str">
        <f aca="false">IF(AD598="","",IFERROR(MATCH(AD598,INDEX(Boundaries!$B$2:$I$30,MATCH(CL598,Boundaries!$A$2:$A$30,0),0),1)-1,""))</f>
        <v/>
      </c>
      <c r="AF598" s="42" t="str">
        <f aca="false">IF(OR(AE598="",$E598=""),"",AE598-$E598)</f>
        <v/>
      </c>
      <c r="AG598" s="39"/>
      <c r="AH598" s="40" t="str">
        <f aca="false">IF(OR(AG598="",BY598=""),"",AG598/BY598*100)</f>
        <v/>
      </c>
      <c r="AI598" s="41" t="str">
        <f aca="false">IF(AH598="","",IFERROR(MATCH(AH598,INDEX(Boundaries!$B$2:$I$30,MATCH(CM598,Boundaries!$A$2:$A$30,0),0),1)-1,""))</f>
        <v/>
      </c>
      <c r="AJ598" s="42" t="str">
        <f aca="false">IF(OR(AI598="",$E598=""),"",AI598-$E598)</f>
        <v/>
      </c>
      <c r="AK598" s="39"/>
      <c r="AL598" s="40" t="str">
        <f aca="false">IF(OR(AK598="",BZ598=""),"",AK598/BZ598*100)</f>
        <v/>
      </c>
      <c r="AM598" s="41" t="str">
        <f aca="false">IF(AL598="","",IFERROR(MATCH(AL598,INDEX(Boundaries!$B$2:$I$30,MATCH(CN598,Boundaries!$A$2:$A$30,0),0),1)-1,""))</f>
        <v/>
      </c>
      <c r="AN598" s="42" t="str">
        <f aca="false">IF(OR(AM598="",$E598=""),"",AM598-$E598)</f>
        <v/>
      </c>
      <c r="AO598" s="39"/>
      <c r="AP598" s="40" t="str">
        <f aca="false">IF(OR(AO598="",CA598=""),"",AO598/CA598*100)</f>
        <v/>
      </c>
      <c r="AQ598" s="41" t="str">
        <f aca="false">IF(AP598="","",IFERROR(MATCH(AP598,INDEX(Boundaries!$B$2:$I$30,MATCH(CO598,Boundaries!$A$2:$A$30,0),0),1)-1,""))</f>
        <v/>
      </c>
      <c r="AR598" s="42" t="str">
        <f aca="false">IF(OR(AQ598="",$E598=""),"",AQ598-$E598)</f>
        <v/>
      </c>
      <c r="AS598" s="39"/>
      <c r="AT598" s="40" t="str">
        <f aca="false">IF(OR(AS598="",CB598=""),"",AS598/CB598*100)</f>
        <v/>
      </c>
      <c r="AU598" s="41" t="str">
        <f aca="false">IF(AT598="","",IFERROR(MATCH(AT598,INDEX(Boundaries!$B$2:$I$30,MATCH(CP598,Boundaries!$A$2:$A$30,0),0),1)-1,""))</f>
        <v/>
      </c>
      <c r="AV598" s="42" t="str">
        <f aca="false">IF(OR(AU598="",$E598=""),"",AU598-$E598)</f>
        <v/>
      </c>
      <c r="AW598" s="39"/>
      <c r="AX598" s="40" t="str">
        <f aca="false">IF(OR(AW598="",CC598=""),"",AW598/CC598*100)</f>
        <v/>
      </c>
      <c r="AY598" s="41" t="str">
        <f aca="false">IF(AX598="","",IFERROR(MATCH(AX598,INDEX(Boundaries!$B$2:$I$30,MATCH(CQ598,Boundaries!$A$2:$A$30,0),0),1)-1,""))</f>
        <v/>
      </c>
      <c r="AZ598" s="42" t="str">
        <f aca="false">IF(OR(AY598="",$E598=""),"",AY598-$E598)</f>
        <v/>
      </c>
      <c r="BA598" s="39"/>
      <c r="BB598" s="40" t="str">
        <f aca="false">IF(OR(BA598="",CD598=""),"",BA598/CD598*100)</f>
        <v/>
      </c>
      <c r="BC598" s="41" t="str">
        <f aca="false">IF(BB598="","",IFERROR(MATCH(BB598,INDEX(Boundaries!$B$2:$I$30,MATCH(CR598,Boundaries!$A$2:$A$30,0),0),1)-1,""))</f>
        <v/>
      </c>
      <c r="BD598" s="42" t="str">
        <f aca="false">IF(OR(BC598="",$E598=""),"",BC598-$E598)</f>
        <v/>
      </c>
      <c r="BE598" s="39"/>
      <c r="BF598" s="40" t="str">
        <f aca="false">IF(OR(BE598="",CE598=""),"",BE598/CE598*100)</f>
        <v/>
      </c>
      <c r="BG598" s="41" t="str">
        <f aca="false">IF(BF598="","",IFERROR(MATCH(BF598,INDEX(Boundaries!$B$2:$I$30,MATCH(CS598,Boundaries!$A$2:$A$30,0),0),1)-1,""))</f>
        <v/>
      </c>
      <c r="BH598" s="42" t="str">
        <f aca="false">IF(OR(BG598="",$E598=""),"",BG598-$E598)</f>
        <v/>
      </c>
      <c r="BI598" s="39"/>
      <c r="BJ598" s="40" t="str">
        <f aca="false">IF(OR(BI598="",CF598=""),"",BI598/CF598*100)</f>
        <v/>
      </c>
      <c r="BK598" s="41" t="str">
        <f aca="false">IF(BJ598="","",IFERROR(MATCH(BJ598,INDEX(Boundaries!$B$2:$I$30,MATCH(CT598,Boundaries!$A$2:$A$30,0),0),1)-1,""))</f>
        <v/>
      </c>
      <c r="BL598" s="42" t="str">
        <f aca="false">IF(OR(BK598="",$E598=""),"",BK598-$E598)</f>
        <v/>
      </c>
      <c r="BM598" s="39"/>
      <c r="BN598" s="40" t="str">
        <f aca="false">IF(OR(BM598="",CG598=""),"",BM598/CG598*100)</f>
        <v/>
      </c>
      <c r="BO598" s="41" t="str">
        <f aca="false">IF(BN598="","",IFERROR(MATCH(BN598,INDEX(Boundaries!$B$2:$I$30,MATCH(CU598,Boundaries!$A$2:$A$30,0),0),1)-1,""))</f>
        <v/>
      </c>
      <c r="BP598" s="42" t="str">
        <f aca="false">IF(OR(BO598="",$E598=""),"",BO598-$E598)</f>
        <v/>
      </c>
      <c r="BQ598" s="39"/>
      <c r="BR598" s="40" t="str">
        <f aca="false">IF(OR(BQ598="",CH598=""),"",BQ598/CH598*100)</f>
        <v/>
      </c>
      <c r="BS598" s="41" t="str">
        <f aca="false">IF(BR598="","",IFERROR(MATCH(BR598,INDEX(Boundaries!$B$2:$I$30,MATCH(CV598,Boundaries!$A$2:$A$30,0),0),1)-1,""))</f>
        <v/>
      </c>
      <c r="BT598" s="42" t="str">
        <f aca="false">IF(OR(BS598="",$E598=""),"",BS598-$E598)</f>
        <v/>
      </c>
      <c r="BU598" s="28" t="str">
        <f aca="false">IFERROR(INDEX(Assessments!$H$2:$H$600,MATCH($H598&amp;"|"&amp;$I598&amp;"|"&amp;$J598&amp;"|"&amp;1,Assessments!$A$2:$A$600,0)),"")</f>
        <v/>
      </c>
      <c r="BV598" s="28" t="str">
        <f aca="false">IFERROR(INDEX(Assessments!$H$2:$H$600,MATCH($H598&amp;"|"&amp;$I598&amp;"|"&amp;$J598&amp;"|"&amp;2,Assessments!$A$2:$A$600,0)),"")</f>
        <v/>
      </c>
      <c r="BW598" s="28" t="str">
        <f aca="false">IFERROR(INDEX(Assessments!$H$2:$H$600,MATCH($H598&amp;"|"&amp;$I598&amp;"|"&amp;$J598&amp;"|"&amp;3,Assessments!$A$2:$A$600,0)),"")</f>
        <v/>
      </c>
      <c r="BX598" s="28" t="str">
        <f aca="false">IFERROR(INDEX(Assessments!$H$2:$H$600,MATCH($H598&amp;"|"&amp;$I598&amp;"|"&amp;$J598&amp;"|"&amp;4,Assessments!$A$2:$A$600,0)),"")</f>
        <v/>
      </c>
      <c r="BY598" s="28" t="str">
        <f aca="false">IFERROR(INDEX(Assessments!$H$2:$H$600,MATCH($H598&amp;"|"&amp;$I598&amp;"|"&amp;$J598&amp;"|"&amp;5,Assessments!$A$2:$A$600,0)),"")</f>
        <v/>
      </c>
      <c r="BZ598" s="28" t="str">
        <f aca="false">IFERROR(INDEX(Assessments!$H$2:$H$600,MATCH($H598&amp;"|"&amp;$I598&amp;"|"&amp;$J598&amp;"|"&amp;6,Assessments!$A$2:$A$600,0)),"")</f>
        <v/>
      </c>
      <c r="CA598" s="28" t="str">
        <f aca="false">IFERROR(INDEX(Assessments!$H$2:$H$600,MATCH($H598&amp;"|"&amp;$I598&amp;"|"&amp;$J598&amp;"|"&amp;7,Assessments!$A$2:$A$600,0)),"")</f>
        <v/>
      </c>
      <c r="CB598" s="28" t="str">
        <f aca="false">IFERROR(INDEX(Assessments!$H$2:$H$600,MATCH($H598&amp;"|"&amp;$I598&amp;"|"&amp;$J598&amp;"|"&amp;8,Assessments!$A$2:$A$600,0)),"")</f>
        <v/>
      </c>
      <c r="CC598" s="28" t="str">
        <f aca="false">IFERROR(INDEX(Assessments!$H$2:$H$600,MATCH($H598&amp;"|"&amp;$I598&amp;"|"&amp;$J598&amp;"|"&amp;9,Assessments!$A$2:$A$600,0)),"")</f>
        <v/>
      </c>
      <c r="CD598" s="28" t="str">
        <f aca="false">IFERROR(INDEX(Assessments!$H$2:$H$600,MATCH($H598&amp;"|"&amp;$I598&amp;"|"&amp;$J598&amp;"|"&amp;10,Assessments!$A$2:$A$600,0)),"")</f>
        <v/>
      </c>
      <c r="CE598" s="28" t="str">
        <f aca="false">IFERROR(INDEX(Assessments!$H$2:$H$600,MATCH($H598&amp;"|"&amp;$I598&amp;"|"&amp;$J598&amp;"|"&amp;11,Assessments!$A$2:$A$600,0)),"")</f>
        <v/>
      </c>
      <c r="CF598" s="28" t="str">
        <f aca="false">IFERROR(INDEX(Assessments!$H$2:$H$600,MATCH($H598&amp;"|"&amp;$I598&amp;"|"&amp;$J598&amp;"|"&amp;12,Assessments!$A$2:$A$600,0)),"")</f>
        <v/>
      </c>
      <c r="CG598" s="28" t="str">
        <f aca="false">IFERROR(INDEX(Assessments!$H$2:$H$600,MATCH($H598&amp;"|"&amp;$I598&amp;"|"&amp;$J598&amp;"|"&amp;13,Assessments!$A$2:$A$600,0)),"")</f>
        <v/>
      </c>
      <c r="CH598" s="28" t="str">
        <f aca="false">IFERROR(INDEX(Assessments!$H$2:$H$600,MATCH($H598&amp;"|"&amp;$I598&amp;"|"&amp;$J598&amp;"|"&amp;14,Assessments!$A$2:$A$600,0)),"")</f>
        <v/>
      </c>
      <c r="CI598" s="28" t="str">
        <f aca="false">IFERROR(INDEX(Assessments!$I$2:$I$600,MATCH($H598&amp;"|"&amp;$I598&amp;"|"&amp;$J598&amp;"|"&amp;1,Assessments!$A$2:$A$600,0)),"")</f>
        <v/>
      </c>
      <c r="CJ598" s="28" t="str">
        <f aca="false">IFERROR(INDEX(Assessments!$I$2:$I$600,MATCH($H598&amp;"|"&amp;$I598&amp;"|"&amp;$J598&amp;"|"&amp;2,Assessments!$A$2:$A$600,0)),"")</f>
        <v/>
      </c>
      <c r="CK598" s="28" t="str">
        <f aca="false">IFERROR(INDEX(Assessments!$I$2:$I$600,MATCH($H598&amp;"|"&amp;$I598&amp;"|"&amp;$J598&amp;"|"&amp;3,Assessments!$A$2:$A$600,0)),"")</f>
        <v/>
      </c>
      <c r="CL598" s="28" t="str">
        <f aca="false">IFERROR(INDEX(Assessments!$I$2:$I$600,MATCH($H598&amp;"|"&amp;$I598&amp;"|"&amp;$J598&amp;"|"&amp;4,Assessments!$A$2:$A$600,0)),"")</f>
        <v/>
      </c>
      <c r="CM598" s="28" t="str">
        <f aca="false">IFERROR(INDEX(Assessments!$I$2:$I$600,MATCH($H598&amp;"|"&amp;$I598&amp;"|"&amp;$J598&amp;"|"&amp;5,Assessments!$A$2:$A$600,0)),"")</f>
        <v/>
      </c>
      <c r="CN598" s="28" t="str">
        <f aca="false">IFERROR(INDEX(Assessments!$I$2:$I$600,MATCH($H598&amp;"|"&amp;$I598&amp;"|"&amp;$J598&amp;"|"&amp;6,Assessments!$A$2:$A$600,0)),"")</f>
        <v/>
      </c>
      <c r="CO598" s="28" t="str">
        <f aca="false">IFERROR(INDEX(Assessments!$I$2:$I$600,MATCH($H598&amp;"|"&amp;$I598&amp;"|"&amp;$J598&amp;"|"&amp;7,Assessments!$A$2:$A$600,0)),"")</f>
        <v/>
      </c>
      <c r="CP598" s="28" t="str">
        <f aca="false">IFERROR(INDEX(Assessments!$I$2:$I$600,MATCH($H598&amp;"|"&amp;$I598&amp;"|"&amp;$J598&amp;"|"&amp;8,Assessments!$A$2:$A$600,0)),"")</f>
        <v/>
      </c>
      <c r="CQ598" s="28" t="str">
        <f aca="false">IFERROR(INDEX(Assessments!$I$2:$I$600,MATCH($H598&amp;"|"&amp;$I598&amp;"|"&amp;$J598&amp;"|"&amp;9,Assessments!$A$2:$A$600,0)),"")</f>
        <v/>
      </c>
      <c r="CR598" s="28" t="str">
        <f aca="false">IFERROR(INDEX(Assessments!$I$2:$I$600,MATCH($H598&amp;"|"&amp;$I598&amp;"|"&amp;$J598&amp;"|"&amp;10,Assessments!$A$2:$A$600,0)),"")</f>
        <v/>
      </c>
      <c r="CS598" s="28" t="str">
        <f aca="false">IFERROR(INDEX(Assessments!$I$2:$I$600,MATCH($H598&amp;"|"&amp;$I598&amp;"|"&amp;$J598&amp;"|"&amp;11,Assessments!$A$2:$A$600,0)),"")</f>
        <v/>
      </c>
      <c r="CT598" s="28" t="str">
        <f aca="false">IFERROR(INDEX(Assessments!$I$2:$I$600,MATCH($H598&amp;"|"&amp;$I598&amp;"|"&amp;$J598&amp;"|"&amp;12,Assessments!$A$2:$A$600,0)),"")</f>
        <v/>
      </c>
      <c r="CU598" s="28" t="str">
        <f aca="false">IFERROR(INDEX(Assessments!$I$2:$I$600,MATCH($H598&amp;"|"&amp;$I598&amp;"|"&amp;$J598&amp;"|"&amp;13,Assessments!$A$2:$A$600,0)),"")</f>
        <v/>
      </c>
      <c r="CV598" s="28" t="str">
        <f aca="false">IFERROR(INDEX(Assessments!$I$2:$I$600,MATCH($H598&amp;"|"&amp;$I598&amp;"|"&amp;$J598&amp;"|"&amp;14,Assessments!$A$2:$A$600,0)),"")</f>
        <v/>
      </c>
      <c r="CW598" s="28" t="n">
        <f aca="false">IFERROR(INDEX(Assessments!$J$2:$J$600,MATCH($H598&amp;"|"&amp;$I598&amp;"|"&amp;$J598&amp;"|"&amp;1,Assessments!$A$2:$A$600,0)),0)</f>
        <v>0</v>
      </c>
      <c r="CX598" s="28" t="n">
        <f aca="false">IFERROR(INDEX(Assessments!$J$2:$J$600,MATCH($H598&amp;"|"&amp;$I598&amp;"|"&amp;$J598&amp;"|"&amp;2,Assessments!$A$2:$A$600,0)),0)</f>
        <v>0</v>
      </c>
      <c r="CY598" s="28" t="n">
        <f aca="false">IFERROR(INDEX(Assessments!$J$2:$J$600,MATCH($H598&amp;"|"&amp;$I598&amp;"|"&amp;$J598&amp;"|"&amp;3,Assessments!$A$2:$A$600,0)),0)</f>
        <v>0</v>
      </c>
      <c r="CZ598" s="28" t="n">
        <f aca="false">IFERROR(INDEX(Assessments!$J$2:$J$600,MATCH($H598&amp;"|"&amp;$I598&amp;"|"&amp;$J598&amp;"|"&amp;4,Assessments!$A$2:$A$600,0)),0)</f>
        <v>0</v>
      </c>
      <c r="DA598" s="28" t="n">
        <f aca="false">IFERROR(INDEX(Assessments!$J$2:$J$600,MATCH($H598&amp;"|"&amp;$I598&amp;"|"&amp;$J598&amp;"|"&amp;5,Assessments!$A$2:$A$600,0)),0)</f>
        <v>0</v>
      </c>
      <c r="DB598" s="28" t="n">
        <f aca="false">IFERROR(INDEX(Assessments!$J$2:$J$600,MATCH($H598&amp;"|"&amp;$I598&amp;"|"&amp;$J598&amp;"|"&amp;6,Assessments!$A$2:$A$600,0)),0)</f>
        <v>0</v>
      </c>
      <c r="DC598" s="28" t="n">
        <f aca="false">IFERROR(INDEX(Assessments!$J$2:$J$600,MATCH($H598&amp;"|"&amp;$I598&amp;"|"&amp;$J598&amp;"|"&amp;7,Assessments!$A$2:$A$600,0)),0)</f>
        <v>0</v>
      </c>
      <c r="DD598" s="28" t="n">
        <f aca="false">IFERROR(INDEX(Assessments!$J$2:$J$600,MATCH($H598&amp;"|"&amp;$I598&amp;"|"&amp;$J598&amp;"|"&amp;8,Assessments!$A$2:$A$600,0)),0)</f>
        <v>0</v>
      </c>
      <c r="DE598" s="28" t="n">
        <f aca="false">IFERROR(INDEX(Assessments!$J$2:$J$600,MATCH($H598&amp;"|"&amp;$I598&amp;"|"&amp;$J598&amp;"|"&amp;9,Assessments!$A$2:$A$600,0)),0)</f>
        <v>0</v>
      </c>
      <c r="DF598" s="28" t="n">
        <f aca="false">IFERROR(INDEX(Assessments!$J$2:$J$600,MATCH($H598&amp;"|"&amp;$I598&amp;"|"&amp;$J598&amp;"|"&amp;10,Assessments!$A$2:$A$600,0)),0)</f>
        <v>0</v>
      </c>
      <c r="DG598" s="28" t="n">
        <f aca="false">IFERROR(INDEX(Assessments!$J$2:$J$600,MATCH($H598&amp;"|"&amp;$I598&amp;"|"&amp;$J598&amp;"|"&amp;11,Assessments!$A$2:$A$600,0)),0)</f>
        <v>0</v>
      </c>
      <c r="DH598" s="28" t="n">
        <f aca="false">IFERROR(INDEX(Assessments!$J$2:$J$600,MATCH($H598&amp;"|"&amp;$I598&amp;"|"&amp;$J598&amp;"|"&amp;12,Assessments!$A$2:$A$600,0)),0)</f>
        <v>0</v>
      </c>
      <c r="DI598" s="28" t="n">
        <f aca="false">IFERROR(INDEX(Assessments!$J$2:$J$600,MATCH($H598&amp;"|"&amp;$I598&amp;"|"&amp;$J598&amp;"|"&amp;13,Assessments!$A$2:$A$600,0)),0)</f>
        <v>0</v>
      </c>
      <c r="DJ598" s="28" t="n">
        <f aca="false">IFERROR(INDEX(Assessments!$J$2:$J$600,MATCH($H598&amp;"|"&amp;$I598&amp;"|"&amp;$J598&amp;"|"&amp;14,Assessments!$A$2:$A$600,0)),0)</f>
        <v>0</v>
      </c>
      <c r="DK598" s="28" t="str">
        <f aca="false">S598</f>
        <v/>
      </c>
      <c r="DL598" s="28" t="str">
        <f aca="false">W598</f>
        <v/>
      </c>
      <c r="DM598" s="28" t="str">
        <f aca="false">AA598</f>
        <v/>
      </c>
      <c r="DN598" s="28" t="str">
        <f aca="false">AE598</f>
        <v/>
      </c>
      <c r="DO598" s="28" t="str">
        <f aca="false">AI598</f>
        <v/>
      </c>
      <c r="DP598" s="28" t="str">
        <f aca="false">AM598</f>
        <v/>
      </c>
      <c r="DQ598" s="28" t="str">
        <f aca="false">AQ598</f>
        <v/>
      </c>
      <c r="DR598" s="28" t="str">
        <f aca="false">AU598</f>
        <v/>
      </c>
      <c r="DS598" s="28" t="str">
        <f aca="false">AY598</f>
        <v/>
      </c>
      <c r="DT598" s="28" t="str">
        <f aca="false">BC598</f>
        <v/>
      </c>
      <c r="DU598" s="28" t="str">
        <f aca="false">BG598</f>
        <v/>
      </c>
      <c r="DV598" s="28" t="str">
        <f aca="false">BK598</f>
        <v/>
      </c>
      <c r="DW598" s="28" t="str">
        <f aca="false">BO598</f>
        <v/>
      </c>
      <c r="DX598" s="28" t="str">
        <f aca="false">BS598</f>
        <v/>
      </c>
      <c r="DY598" s="28" t="str">
        <f aca="false">IF(ISNUMBER(S598),1,"")</f>
        <v/>
      </c>
      <c r="DZ598" s="28" t="str">
        <f aca="false">IF(ISNUMBER(W598),2,"")</f>
        <v/>
      </c>
      <c r="EA598" s="28" t="str">
        <f aca="false">IF(ISNUMBER(AA598),3,"")</f>
        <v/>
      </c>
      <c r="EB598" s="28" t="str">
        <f aca="false">IF(ISNUMBER(AE598),4,"")</f>
        <v/>
      </c>
      <c r="EC598" s="28" t="str">
        <f aca="false">IF(ISNUMBER(AI598),5,"")</f>
        <v/>
      </c>
      <c r="ED598" s="28" t="str">
        <f aca="false">IF(ISNUMBER(AM598),6,"")</f>
        <v/>
      </c>
      <c r="EE598" s="28" t="str">
        <f aca="false">IF(ISNUMBER(AQ598),7,"")</f>
        <v/>
      </c>
      <c r="EF598" s="28" t="str">
        <f aca="false">IF(ISNUMBER(AU598),8,"")</f>
        <v/>
      </c>
      <c r="EG598" s="28" t="str">
        <f aca="false">IF(ISNUMBER(AY598),9,"")</f>
        <v/>
      </c>
      <c r="EH598" s="28" t="str">
        <f aca="false">IF(ISNUMBER(BC598),10,"")</f>
        <v/>
      </c>
      <c r="EI598" s="28" t="str">
        <f aca="false">IF(ISNUMBER(BG598),11,"")</f>
        <v/>
      </c>
      <c r="EJ598" s="28" t="str">
        <f aca="false">IF(ISNUMBER(BK598),12,"")</f>
        <v/>
      </c>
      <c r="EK598" s="28" t="str">
        <f aca="false">IF(ISNUMBER(BO598),13,"")</f>
        <v/>
      </c>
      <c r="EL598" s="28" t="str">
        <f aca="false">IF(ISNUMBER(BS598),14,"")</f>
        <v/>
      </c>
      <c r="EM598" s="28" t="n">
        <f aca="false">IF(ISNUMBER(R598),R598*CW598,0)</f>
        <v>0</v>
      </c>
      <c r="EN598" s="28" t="n">
        <f aca="false">IF(ISNUMBER(V598),V598*CX598,0)</f>
        <v>0</v>
      </c>
      <c r="EO598" s="28" t="n">
        <f aca="false">IF(ISNUMBER(Z598),Z598*CY598,0)</f>
        <v>0</v>
      </c>
      <c r="EP598" s="28" t="n">
        <f aca="false">IF(ISNUMBER(AD598),AD598*CZ598,0)</f>
        <v>0</v>
      </c>
      <c r="EQ598" s="28" t="n">
        <f aca="false">IF(ISNUMBER(AH598),AH598*DA598,0)</f>
        <v>0</v>
      </c>
      <c r="ER598" s="28" t="n">
        <f aca="false">IF(ISNUMBER(AL598),AL598*DB598,0)</f>
        <v>0</v>
      </c>
      <c r="ES598" s="28" t="n">
        <f aca="false">IF(ISNUMBER(AP598),AP598*DC598,0)</f>
        <v>0</v>
      </c>
      <c r="ET598" s="28" t="n">
        <f aca="false">IF(ISNUMBER(AT598),AT598*DD598,0)</f>
        <v>0</v>
      </c>
      <c r="EU598" s="28" t="n">
        <f aca="false">IF(ISNUMBER(AX598),AX598*DE598,0)</f>
        <v>0</v>
      </c>
      <c r="EV598" s="28" t="n">
        <f aca="false">IF(ISNUMBER(BB598),BB598*DF598,0)</f>
        <v>0</v>
      </c>
      <c r="EW598" s="28" t="n">
        <f aca="false">IF(ISNUMBER(BF598),BF598*DG598,0)</f>
        <v>0</v>
      </c>
      <c r="EX598" s="28" t="n">
        <f aca="false">IF(ISNUMBER(BJ598),BJ598*DH598,0)</f>
        <v>0</v>
      </c>
      <c r="EY598" s="28" t="n">
        <f aca="false">IF(ISNUMBER(BN598),BN598*DI598,0)</f>
        <v>0</v>
      </c>
      <c r="EZ598" s="28" t="n">
        <f aca="false">IF(ISNUMBER(BR598),BR598*DJ598,0)</f>
        <v>0</v>
      </c>
      <c r="FA598" s="28" t="n">
        <f aca="false">IF(ISNUMBER(R598),CW598,0)</f>
        <v>0</v>
      </c>
      <c r="FB598" s="28" t="n">
        <f aca="false">IF(ISNUMBER(V598),CX598,0)</f>
        <v>0</v>
      </c>
      <c r="FC598" s="28" t="n">
        <f aca="false">IF(ISNUMBER(Z598),CY598,0)</f>
        <v>0</v>
      </c>
      <c r="FD598" s="28" t="n">
        <f aca="false">IF(ISNUMBER(AD598),CZ598,0)</f>
        <v>0</v>
      </c>
      <c r="FE598" s="28" t="n">
        <f aca="false">IF(ISNUMBER(AH598),DA598,0)</f>
        <v>0</v>
      </c>
      <c r="FF598" s="28" t="n">
        <f aca="false">IF(ISNUMBER(AL598),DB598,0)</f>
        <v>0</v>
      </c>
      <c r="FG598" s="28" t="n">
        <f aca="false">IF(ISNUMBER(AP598),DC598,0)</f>
        <v>0</v>
      </c>
      <c r="FH598" s="28" t="n">
        <f aca="false">IF(ISNUMBER(AT598),DD598,0)</f>
        <v>0</v>
      </c>
      <c r="FI598" s="28" t="n">
        <f aca="false">IF(ISNUMBER(AX598),DE598,0)</f>
        <v>0</v>
      </c>
      <c r="FJ598" s="28" t="n">
        <f aca="false">IF(ISNUMBER(BB598),DF598,0)</f>
        <v>0</v>
      </c>
      <c r="FK598" s="28" t="n">
        <f aca="false">IF(ISNUMBER(BF598),DG598,0)</f>
        <v>0</v>
      </c>
      <c r="FL598" s="28" t="n">
        <f aca="false">IF(ISNUMBER(BJ598),DH598,0)</f>
        <v>0</v>
      </c>
      <c r="FM598" s="28" t="n">
        <f aca="false">IF(ISNUMBER(BN598),DI598,0)</f>
        <v>0</v>
      </c>
      <c r="FN598" s="28" t="n">
        <f aca="false">IF(ISNUMBER(BR598),DJ598,0)</f>
        <v>0</v>
      </c>
      <c r="FO598" s="28" t="str">
        <f aca="false">IFERROR(INDEX(Lists!$G$2:$G$20,MATCH($I598&amp;"|"&amp;$J598,Lists!$F$2:$F$20,0)),"")</f>
        <v/>
      </c>
    </row>
    <row r="599" customFormat="false" ht="19.5" hidden="false" customHeight="true" outlineLevel="0" collapsed="false">
      <c r="A599" s="29"/>
      <c r="B599" s="29"/>
      <c r="C599" s="30"/>
      <c r="D599" s="30"/>
      <c r="E599" s="31"/>
      <c r="F599" s="30"/>
      <c r="G599" s="30"/>
      <c r="H599" s="32"/>
      <c r="I599" s="33"/>
      <c r="J599" s="32"/>
      <c r="K599" s="34" t="str">
        <f aca="false">IF(OR(M599="",$E599=""),"",M599-$E599)</f>
        <v/>
      </c>
      <c r="L599" s="35" t="str">
        <f aca="false">IF(SUM(FA599:FN599)=0,"",SUM(EM599:EZ599)/SUM(FA599:FN599))</f>
        <v/>
      </c>
      <c r="M599" s="36" t="str">
        <f aca="false">IF(OR(L599="",FO599=""),"",IFERROR(MATCH(L599,INDEX(Boundaries!$B$2:$I$30,MATCH(FO599,Boundaries!$A$2:$A$30,0),0),1)-1,""))</f>
        <v/>
      </c>
      <c r="N599" s="37" t="str">
        <f aca="false">IF(COUNT($DY599:$EL599)&lt;2,"",INDEX($DK599:$DX599,MAX($DY599:$EL599))-INDEX($DK599:$DX599,MIN($DY599:$EL599)))</f>
        <v/>
      </c>
      <c r="O599" s="37" t="str">
        <f aca="false">IF(COUNT($DY599:$EL599)&lt;2,"",INDEX($DK599:$DX599,MAX($DY599:$EL599))-INDEX($DK599:$DX599,LARGE($DY599:$EL599,2)))</f>
        <v/>
      </c>
      <c r="P599" s="38" t="str">
        <f aca="false">IF(K599="","",IF(K599&gt;=0,"On/above target",IF(AND(N599&lt;&gt;"",N599&gt;=0.5),"Improving towards target",IF(AND(O599&lt;&gt;"",O599&lt;=-0.5),"Declining","Stable below target"))))</f>
        <v/>
      </c>
      <c r="Q599" s="39"/>
      <c r="R599" s="40" t="str">
        <f aca="false">IF(OR(Q599="",BU599=""),"",Q599/BU599*100)</f>
        <v/>
      </c>
      <c r="S599" s="41" t="str">
        <f aca="false">IF(R599="","",IFERROR(MATCH(R599,INDEX(Boundaries!$B$2:$I$30,MATCH(CI599,Boundaries!$A$2:$A$30,0),0),1)-1,""))</f>
        <v/>
      </c>
      <c r="T599" s="42" t="str">
        <f aca="false">IF(OR(S599="",$E599=""),"",S599-$E599)</f>
        <v/>
      </c>
      <c r="U599" s="39"/>
      <c r="V599" s="40" t="str">
        <f aca="false">IF(OR(U599="",BV599=""),"",U599/BV599*100)</f>
        <v/>
      </c>
      <c r="W599" s="41" t="str">
        <f aca="false">IF(V599="","",IFERROR(MATCH(V599,INDEX(Boundaries!$B$2:$I$30,MATCH(CJ599,Boundaries!$A$2:$A$30,0),0),1)-1,""))</f>
        <v/>
      </c>
      <c r="X599" s="42" t="str">
        <f aca="false">IF(OR(W599="",$E599=""),"",W599-$E599)</f>
        <v/>
      </c>
      <c r="Y599" s="39"/>
      <c r="Z599" s="40" t="str">
        <f aca="false">IF(OR(Y599="",BW599=""),"",Y599/BW599*100)</f>
        <v/>
      </c>
      <c r="AA599" s="41" t="str">
        <f aca="false">IF(Z599="","",IFERROR(MATCH(Z599,INDEX(Boundaries!$B$2:$I$30,MATCH(CK599,Boundaries!$A$2:$A$30,0),0),1)-1,""))</f>
        <v/>
      </c>
      <c r="AB599" s="42" t="str">
        <f aca="false">IF(OR(AA599="",$E599=""),"",AA599-$E599)</f>
        <v/>
      </c>
      <c r="AC599" s="39"/>
      <c r="AD599" s="40" t="str">
        <f aca="false">IF(OR(AC599="",BX599=""),"",AC599/BX599*100)</f>
        <v/>
      </c>
      <c r="AE599" s="41" t="str">
        <f aca="false">IF(AD599="","",IFERROR(MATCH(AD599,INDEX(Boundaries!$B$2:$I$30,MATCH(CL599,Boundaries!$A$2:$A$30,0),0),1)-1,""))</f>
        <v/>
      </c>
      <c r="AF599" s="42" t="str">
        <f aca="false">IF(OR(AE599="",$E599=""),"",AE599-$E599)</f>
        <v/>
      </c>
      <c r="AG599" s="39"/>
      <c r="AH599" s="40" t="str">
        <f aca="false">IF(OR(AG599="",BY599=""),"",AG599/BY599*100)</f>
        <v/>
      </c>
      <c r="AI599" s="41" t="str">
        <f aca="false">IF(AH599="","",IFERROR(MATCH(AH599,INDEX(Boundaries!$B$2:$I$30,MATCH(CM599,Boundaries!$A$2:$A$30,0),0),1)-1,""))</f>
        <v/>
      </c>
      <c r="AJ599" s="42" t="str">
        <f aca="false">IF(OR(AI599="",$E599=""),"",AI599-$E599)</f>
        <v/>
      </c>
      <c r="AK599" s="39"/>
      <c r="AL599" s="40" t="str">
        <f aca="false">IF(OR(AK599="",BZ599=""),"",AK599/BZ599*100)</f>
        <v/>
      </c>
      <c r="AM599" s="41" t="str">
        <f aca="false">IF(AL599="","",IFERROR(MATCH(AL599,INDEX(Boundaries!$B$2:$I$30,MATCH(CN599,Boundaries!$A$2:$A$30,0),0),1)-1,""))</f>
        <v/>
      </c>
      <c r="AN599" s="42" t="str">
        <f aca="false">IF(OR(AM599="",$E599=""),"",AM599-$E599)</f>
        <v/>
      </c>
      <c r="AO599" s="39"/>
      <c r="AP599" s="40" t="str">
        <f aca="false">IF(OR(AO599="",CA599=""),"",AO599/CA599*100)</f>
        <v/>
      </c>
      <c r="AQ599" s="41" t="str">
        <f aca="false">IF(AP599="","",IFERROR(MATCH(AP599,INDEX(Boundaries!$B$2:$I$30,MATCH(CO599,Boundaries!$A$2:$A$30,0),0),1)-1,""))</f>
        <v/>
      </c>
      <c r="AR599" s="42" t="str">
        <f aca="false">IF(OR(AQ599="",$E599=""),"",AQ599-$E599)</f>
        <v/>
      </c>
      <c r="AS599" s="39"/>
      <c r="AT599" s="40" t="str">
        <f aca="false">IF(OR(AS599="",CB599=""),"",AS599/CB599*100)</f>
        <v/>
      </c>
      <c r="AU599" s="41" t="str">
        <f aca="false">IF(AT599="","",IFERROR(MATCH(AT599,INDEX(Boundaries!$B$2:$I$30,MATCH(CP599,Boundaries!$A$2:$A$30,0),0),1)-1,""))</f>
        <v/>
      </c>
      <c r="AV599" s="42" t="str">
        <f aca="false">IF(OR(AU599="",$E599=""),"",AU599-$E599)</f>
        <v/>
      </c>
      <c r="AW599" s="39"/>
      <c r="AX599" s="40" t="str">
        <f aca="false">IF(OR(AW599="",CC599=""),"",AW599/CC599*100)</f>
        <v/>
      </c>
      <c r="AY599" s="41" t="str">
        <f aca="false">IF(AX599="","",IFERROR(MATCH(AX599,INDEX(Boundaries!$B$2:$I$30,MATCH(CQ599,Boundaries!$A$2:$A$30,0),0),1)-1,""))</f>
        <v/>
      </c>
      <c r="AZ599" s="42" t="str">
        <f aca="false">IF(OR(AY599="",$E599=""),"",AY599-$E599)</f>
        <v/>
      </c>
      <c r="BA599" s="39"/>
      <c r="BB599" s="40" t="str">
        <f aca="false">IF(OR(BA599="",CD599=""),"",BA599/CD599*100)</f>
        <v/>
      </c>
      <c r="BC599" s="41" t="str">
        <f aca="false">IF(BB599="","",IFERROR(MATCH(BB599,INDEX(Boundaries!$B$2:$I$30,MATCH(CR599,Boundaries!$A$2:$A$30,0),0),1)-1,""))</f>
        <v/>
      </c>
      <c r="BD599" s="42" t="str">
        <f aca="false">IF(OR(BC599="",$E599=""),"",BC599-$E599)</f>
        <v/>
      </c>
      <c r="BE599" s="39"/>
      <c r="BF599" s="40" t="str">
        <f aca="false">IF(OR(BE599="",CE599=""),"",BE599/CE599*100)</f>
        <v/>
      </c>
      <c r="BG599" s="41" t="str">
        <f aca="false">IF(BF599="","",IFERROR(MATCH(BF599,INDEX(Boundaries!$B$2:$I$30,MATCH(CS599,Boundaries!$A$2:$A$30,0),0),1)-1,""))</f>
        <v/>
      </c>
      <c r="BH599" s="42" t="str">
        <f aca="false">IF(OR(BG599="",$E599=""),"",BG599-$E599)</f>
        <v/>
      </c>
      <c r="BI599" s="39"/>
      <c r="BJ599" s="40" t="str">
        <f aca="false">IF(OR(BI599="",CF599=""),"",BI599/CF599*100)</f>
        <v/>
      </c>
      <c r="BK599" s="41" t="str">
        <f aca="false">IF(BJ599="","",IFERROR(MATCH(BJ599,INDEX(Boundaries!$B$2:$I$30,MATCH(CT599,Boundaries!$A$2:$A$30,0),0),1)-1,""))</f>
        <v/>
      </c>
      <c r="BL599" s="42" t="str">
        <f aca="false">IF(OR(BK599="",$E599=""),"",BK599-$E599)</f>
        <v/>
      </c>
      <c r="BM599" s="39"/>
      <c r="BN599" s="40" t="str">
        <f aca="false">IF(OR(BM599="",CG599=""),"",BM599/CG599*100)</f>
        <v/>
      </c>
      <c r="BO599" s="41" t="str">
        <f aca="false">IF(BN599="","",IFERROR(MATCH(BN599,INDEX(Boundaries!$B$2:$I$30,MATCH(CU599,Boundaries!$A$2:$A$30,0),0),1)-1,""))</f>
        <v/>
      </c>
      <c r="BP599" s="42" t="str">
        <f aca="false">IF(OR(BO599="",$E599=""),"",BO599-$E599)</f>
        <v/>
      </c>
      <c r="BQ599" s="39"/>
      <c r="BR599" s="40" t="str">
        <f aca="false">IF(OR(BQ599="",CH599=""),"",BQ599/CH599*100)</f>
        <v/>
      </c>
      <c r="BS599" s="41" t="str">
        <f aca="false">IF(BR599="","",IFERROR(MATCH(BR599,INDEX(Boundaries!$B$2:$I$30,MATCH(CV599,Boundaries!$A$2:$A$30,0),0),1)-1,""))</f>
        <v/>
      </c>
      <c r="BT599" s="42" t="str">
        <f aca="false">IF(OR(BS599="",$E599=""),"",BS599-$E599)</f>
        <v/>
      </c>
      <c r="BU599" s="28" t="str">
        <f aca="false">IFERROR(INDEX(Assessments!$H$2:$H$600,MATCH($H599&amp;"|"&amp;$I599&amp;"|"&amp;$J599&amp;"|"&amp;1,Assessments!$A$2:$A$600,0)),"")</f>
        <v/>
      </c>
      <c r="BV599" s="28" t="str">
        <f aca="false">IFERROR(INDEX(Assessments!$H$2:$H$600,MATCH($H599&amp;"|"&amp;$I599&amp;"|"&amp;$J599&amp;"|"&amp;2,Assessments!$A$2:$A$600,0)),"")</f>
        <v/>
      </c>
      <c r="BW599" s="28" t="str">
        <f aca="false">IFERROR(INDEX(Assessments!$H$2:$H$600,MATCH($H599&amp;"|"&amp;$I599&amp;"|"&amp;$J599&amp;"|"&amp;3,Assessments!$A$2:$A$600,0)),"")</f>
        <v/>
      </c>
      <c r="BX599" s="28" t="str">
        <f aca="false">IFERROR(INDEX(Assessments!$H$2:$H$600,MATCH($H599&amp;"|"&amp;$I599&amp;"|"&amp;$J599&amp;"|"&amp;4,Assessments!$A$2:$A$600,0)),"")</f>
        <v/>
      </c>
      <c r="BY599" s="28" t="str">
        <f aca="false">IFERROR(INDEX(Assessments!$H$2:$H$600,MATCH($H599&amp;"|"&amp;$I599&amp;"|"&amp;$J599&amp;"|"&amp;5,Assessments!$A$2:$A$600,0)),"")</f>
        <v/>
      </c>
      <c r="BZ599" s="28" t="str">
        <f aca="false">IFERROR(INDEX(Assessments!$H$2:$H$600,MATCH($H599&amp;"|"&amp;$I599&amp;"|"&amp;$J599&amp;"|"&amp;6,Assessments!$A$2:$A$600,0)),"")</f>
        <v/>
      </c>
      <c r="CA599" s="28" t="str">
        <f aca="false">IFERROR(INDEX(Assessments!$H$2:$H$600,MATCH($H599&amp;"|"&amp;$I599&amp;"|"&amp;$J599&amp;"|"&amp;7,Assessments!$A$2:$A$600,0)),"")</f>
        <v/>
      </c>
      <c r="CB599" s="28" t="str">
        <f aca="false">IFERROR(INDEX(Assessments!$H$2:$H$600,MATCH($H599&amp;"|"&amp;$I599&amp;"|"&amp;$J599&amp;"|"&amp;8,Assessments!$A$2:$A$600,0)),"")</f>
        <v/>
      </c>
      <c r="CC599" s="28" t="str">
        <f aca="false">IFERROR(INDEX(Assessments!$H$2:$H$600,MATCH($H599&amp;"|"&amp;$I599&amp;"|"&amp;$J599&amp;"|"&amp;9,Assessments!$A$2:$A$600,0)),"")</f>
        <v/>
      </c>
      <c r="CD599" s="28" t="str">
        <f aca="false">IFERROR(INDEX(Assessments!$H$2:$H$600,MATCH($H599&amp;"|"&amp;$I599&amp;"|"&amp;$J599&amp;"|"&amp;10,Assessments!$A$2:$A$600,0)),"")</f>
        <v/>
      </c>
      <c r="CE599" s="28" t="str">
        <f aca="false">IFERROR(INDEX(Assessments!$H$2:$H$600,MATCH($H599&amp;"|"&amp;$I599&amp;"|"&amp;$J599&amp;"|"&amp;11,Assessments!$A$2:$A$600,0)),"")</f>
        <v/>
      </c>
      <c r="CF599" s="28" t="str">
        <f aca="false">IFERROR(INDEX(Assessments!$H$2:$H$600,MATCH($H599&amp;"|"&amp;$I599&amp;"|"&amp;$J599&amp;"|"&amp;12,Assessments!$A$2:$A$600,0)),"")</f>
        <v/>
      </c>
      <c r="CG599" s="28" t="str">
        <f aca="false">IFERROR(INDEX(Assessments!$H$2:$H$600,MATCH($H599&amp;"|"&amp;$I599&amp;"|"&amp;$J599&amp;"|"&amp;13,Assessments!$A$2:$A$600,0)),"")</f>
        <v/>
      </c>
      <c r="CH599" s="28" t="str">
        <f aca="false">IFERROR(INDEX(Assessments!$H$2:$H$600,MATCH($H599&amp;"|"&amp;$I599&amp;"|"&amp;$J599&amp;"|"&amp;14,Assessments!$A$2:$A$600,0)),"")</f>
        <v/>
      </c>
      <c r="CI599" s="28" t="str">
        <f aca="false">IFERROR(INDEX(Assessments!$I$2:$I$600,MATCH($H599&amp;"|"&amp;$I599&amp;"|"&amp;$J599&amp;"|"&amp;1,Assessments!$A$2:$A$600,0)),"")</f>
        <v/>
      </c>
      <c r="CJ599" s="28" t="str">
        <f aca="false">IFERROR(INDEX(Assessments!$I$2:$I$600,MATCH($H599&amp;"|"&amp;$I599&amp;"|"&amp;$J599&amp;"|"&amp;2,Assessments!$A$2:$A$600,0)),"")</f>
        <v/>
      </c>
      <c r="CK599" s="28" t="str">
        <f aca="false">IFERROR(INDEX(Assessments!$I$2:$I$600,MATCH($H599&amp;"|"&amp;$I599&amp;"|"&amp;$J599&amp;"|"&amp;3,Assessments!$A$2:$A$600,0)),"")</f>
        <v/>
      </c>
      <c r="CL599" s="28" t="str">
        <f aca="false">IFERROR(INDEX(Assessments!$I$2:$I$600,MATCH($H599&amp;"|"&amp;$I599&amp;"|"&amp;$J599&amp;"|"&amp;4,Assessments!$A$2:$A$600,0)),"")</f>
        <v/>
      </c>
      <c r="CM599" s="28" t="str">
        <f aca="false">IFERROR(INDEX(Assessments!$I$2:$I$600,MATCH($H599&amp;"|"&amp;$I599&amp;"|"&amp;$J599&amp;"|"&amp;5,Assessments!$A$2:$A$600,0)),"")</f>
        <v/>
      </c>
      <c r="CN599" s="28" t="str">
        <f aca="false">IFERROR(INDEX(Assessments!$I$2:$I$600,MATCH($H599&amp;"|"&amp;$I599&amp;"|"&amp;$J599&amp;"|"&amp;6,Assessments!$A$2:$A$600,0)),"")</f>
        <v/>
      </c>
      <c r="CO599" s="28" t="str">
        <f aca="false">IFERROR(INDEX(Assessments!$I$2:$I$600,MATCH($H599&amp;"|"&amp;$I599&amp;"|"&amp;$J599&amp;"|"&amp;7,Assessments!$A$2:$A$600,0)),"")</f>
        <v/>
      </c>
      <c r="CP599" s="28" t="str">
        <f aca="false">IFERROR(INDEX(Assessments!$I$2:$I$600,MATCH($H599&amp;"|"&amp;$I599&amp;"|"&amp;$J599&amp;"|"&amp;8,Assessments!$A$2:$A$600,0)),"")</f>
        <v/>
      </c>
      <c r="CQ599" s="28" t="str">
        <f aca="false">IFERROR(INDEX(Assessments!$I$2:$I$600,MATCH($H599&amp;"|"&amp;$I599&amp;"|"&amp;$J599&amp;"|"&amp;9,Assessments!$A$2:$A$600,0)),"")</f>
        <v/>
      </c>
      <c r="CR599" s="28" t="str">
        <f aca="false">IFERROR(INDEX(Assessments!$I$2:$I$600,MATCH($H599&amp;"|"&amp;$I599&amp;"|"&amp;$J599&amp;"|"&amp;10,Assessments!$A$2:$A$600,0)),"")</f>
        <v/>
      </c>
      <c r="CS599" s="28" t="str">
        <f aca="false">IFERROR(INDEX(Assessments!$I$2:$I$600,MATCH($H599&amp;"|"&amp;$I599&amp;"|"&amp;$J599&amp;"|"&amp;11,Assessments!$A$2:$A$600,0)),"")</f>
        <v/>
      </c>
      <c r="CT599" s="28" t="str">
        <f aca="false">IFERROR(INDEX(Assessments!$I$2:$I$600,MATCH($H599&amp;"|"&amp;$I599&amp;"|"&amp;$J599&amp;"|"&amp;12,Assessments!$A$2:$A$600,0)),"")</f>
        <v/>
      </c>
      <c r="CU599" s="28" t="str">
        <f aca="false">IFERROR(INDEX(Assessments!$I$2:$I$600,MATCH($H599&amp;"|"&amp;$I599&amp;"|"&amp;$J599&amp;"|"&amp;13,Assessments!$A$2:$A$600,0)),"")</f>
        <v/>
      </c>
      <c r="CV599" s="28" t="str">
        <f aca="false">IFERROR(INDEX(Assessments!$I$2:$I$600,MATCH($H599&amp;"|"&amp;$I599&amp;"|"&amp;$J599&amp;"|"&amp;14,Assessments!$A$2:$A$600,0)),"")</f>
        <v/>
      </c>
      <c r="CW599" s="28" t="n">
        <f aca="false">IFERROR(INDEX(Assessments!$J$2:$J$600,MATCH($H599&amp;"|"&amp;$I599&amp;"|"&amp;$J599&amp;"|"&amp;1,Assessments!$A$2:$A$600,0)),0)</f>
        <v>0</v>
      </c>
      <c r="CX599" s="28" t="n">
        <f aca="false">IFERROR(INDEX(Assessments!$J$2:$J$600,MATCH($H599&amp;"|"&amp;$I599&amp;"|"&amp;$J599&amp;"|"&amp;2,Assessments!$A$2:$A$600,0)),0)</f>
        <v>0</v>
      </c>
      <c r="CY599" s="28" t="n">
        <f aca="false">IFERROR(INDEX(Assessments!$J$2:$J$600,MATCH($H599&amp;"|"&amp;$I599&amp;"|"&amp;$J599&amp;"|"&amp;3,Assessments!$A$2:$A$600,0)),0)</f>
        <v>0</v>
      </c>
      <c r="CZ599" s="28" t="n">
        <f aca="false">IFERROR(INDEX(Assessments!$J$2:$J$600,MATCH($H599&amp;"|"&amp;$I599&amp;"|"&amp;$J599&amp;"|"&amp;4,Assessments!$A$2:$A$600,0)),0)</f>
        <v>0</v>
      </c>
      <c r="DA599" s="28" t="n">
        <f aca="false">IFERROR(INDEX(Assessments!$J$2:$J$600,MATCH($H599&amp;"|"&amp;$I599&amp;"|"&amp;$J599&amp;"|"&amp;5,Assessments!$A$2:$A$600,0)),0)</f>
        <v>0</v>
      </c>
      <c r="DB599" s="28" t="n">
        <f aca="false">IFERROR(INDEX(Assessments!$J$2:$J$600,MATCH($H599&amp;"|"&amp;$I599&amp;"|"&amp;$J599&amp;"|"&amp;6,Assessments!$A$2:$A$600,0)),0)</f>
        <v>0</v>
      </c>
      <c r="DC599" s="28" t="n">
        <f aca="false">IFERROR(INDEX(Assessments!$J$2:$J$600,MATCH($H599&amp;"|"&amp;$I599&amp;"|"&amp;$J599&amp;"|"&amp;7,Assessments!$A$2:$A$600,0)),0)</f>
        <v>0</v>
      </c>
      <c r="DD599" s="28" t="n">
        <f aca="false">IFERROR(INDEX(Assessments!$J$2:$J$600,MATCH($H599&amp;"|"&amp;$I599&amp;"|"&amp;$J599&amp;"|"&amp;8,Assessments!$A$2:$A$600,0)),0)</f>
        <v>0</v>
      </c>
      <c r="DE599" s="28" t="n">
        <f aca="false">IFERROR(INDEX(Assessments!$J$2:$J$600,MATCH($H599&amp;"|"&amp;$I599&amp;"|"&amp;$J599&amp;"|"&amp;9,Assessments!$A$2:$A$600,0)),0)</f>
        <v>0</v>
      </c>
      <c r="DF599" s="28" t="n">
        <f aca="false">IFERROR(INDEX(Assessments!$J$2:$J$600,MATCH($H599&amp;"|"&amp;$I599&amp;"|"&amp;$J599&amp;"|"&amp;10,Assessments!$A$2:$A$600,0)),0)</f>
        <v>0</v>
      </c>
      <c r="DG599" s="28" t="n">
        <f aca="false">IFERROR(INDEX(Assessments!$J$2:$J$600,MATCH($H599&amp;"|"&amp;$I599&amp;"|"&amp;$J599&amp;"|"&amp;11,Assessments!$A$2:$A$600,0)),0)</f>
        <v>0</v>
      </c>
      <c r="DH599" s="28" t="n">
        <f aca="false">IFERROR(INDEX(Assessments!$J$2:$J$600,MATCH($H599&amp;"|"&amp;$I599&amp;"|"&amp;$J599&amp;"|"&amp;12,Assessments!$A$2:$A$600,0)),0)</f>
        <v>0</v>
      </c>
      <c r="DI599" s="28" t="n">
        <f aca="false">IFERROR(INDEX(Assessments!$J$2:$J$600,MATCH($H599&amp;"|"&amp;$I599&amp;"|"&amp;$J599&amp;"|"&amp;13,Assessments!$A$2:$A$600,0)),0)</f>
        <v>0</v>
      </c>
      <c r="DJ599" s="28" t="n">
        <f aca="false">IFERROR(INDEX(Assessments!$J$2:$J$600,MATCH($H599&amp;"|"&amp;$I599&amp;"|"&amp;$J599&amp;"|"&amp;14,Assessments!$A$2:$A$600,0)),0)</f>
        <v>0</v>
      </c>
      <c r="DK599" s="28" t="str">
        <f aca="false">S599</f>
        <v/>
      </c>
      <c r="DL599" s="28" t="str">
        <f aca="false">W599</f>
        <v/>
      </c>
      <c r="DM599" s="28" t="str">
        <f aca="false">AA599</f>
        <v/>
      </c>
      <c r="DN599" s="28" t="str">
        <f aca="false">AE599</f>
        <v/>
      </c>
      <c r="DO599" s="28" t="str">
        <f aca="false">AI599</f>
        <v/>
      </c>
      <c r="DP599" s="28" t="str">
        <f aca="false">AM599</f>
        <v/>
      </c>
      <c r="DQ599" s="28" t="str">
        <f aca="false">AQ599</f>
        <v/>
      </c>
      <c r="DR599" s="28" t="str">
        <f aca="false">AU599</f>
        <v/>
      </c>
      <c r="DS599" s="28" t="str">
        <f aca="false">AY599</f>
        <v/>
      </c>
      <c r="DT599" s="28" t="str">
        <f aca="false">BC599</f>
        <v/>
      </c>
      <c r="DU599" s="28" t="str">
        <f aca="false">BG599</f>
        <v/>
      </c>
      <c r="DV599" s="28" t="str">
        <f aca="false">BK599</f>
        <v/>
      </c>
      <c r="DW599" s="28" t="str">
        <f aca="false">BO599</f>
        <v/>
      </c>
      <c r="DX599" s="28" t="str">
        <f aca="false">BS599</f>
        <v/>
      </c>
      <c r="DY599" s="28" t="str">
        <f aca="false">IF(ISNUMBER(S599),1,"")</f>
        <v/>
      </c>
      <c r="DZ599" s="28" t="str">
        <f aca="false">IF(ISNUMBER(W599),2,"")</f>
        <v/>
      </c>
      <c r="EA599" s="28" t="str">
        <f aca="false">IF(ISNUMBER(AA599),3,"")</f>
        <v/>
      </c>
      <c r="EB599" s="28" t="str">
        <f aca="false">IF(ISNUMBER(AE599),4,"")</f>
        <v/>
      </c>
      <c r="EC599" s="28" t="str">
        <f aca="false">IF(ISNUMBER(AI599),5,"")</f>
        <v/>
      </c>
      <c r="ED599" s="28" t="str">
        <f aca="false">IF(ISNUMBER(AM599),6,"")</f>
        <v/>
      </c>
      <c r="EE599" s="28" t="str">
        <f aca="false">IF(ISNUMBER(AQ599),7,"")</f>
        <v/>
      </c>
      <c r="EF599" s="28" t="str">
        <f aca="false">IF(ISNUMBER(AU599),8,"")</f>
        <v/>
      </c>
      <c r="EG599" s="28" t="str">
        <f aca="false">IF(ISNUMBER(AY599),9,"")</f>
        <v/>
      </c>
      <c r="EH599" s="28" t="str">
        <f aca="false">IF(ISNUMBER(BC599),10,"")</f>
        <v/>
      </c>
      <c r="EI599" s="28" t="str">
        <f aca="false">IF(ISNUMBER(BG599),11,"")</f>
        <v/>
      </c>
      <c r="EJ599" s="28" t="str">
        <f aca="false">IF(ISNUMBER(BK599),12,"")</f>
        <v/>
      </c>
      <c r="EK599" s="28" t="str">
        <f aca="false">IF(ISNUMBER(BO599),13,"")</f>
        <v/>
      </c>
      <c r="EL599" s="28" t="str">
        <f aca="false">IF(ISNUMBER(BS599),14,"")</f>
        <v/>
      </c>
      <c r="EM599" s="28" t="n">
        <f aca="false">IF(ISNUMBER(R599),R599*CW599,0)</f>
        <v>0</v>
      </c>
      <c r="EN599" s="28" t="n">
        <f aca="false">IF(ISNUMBER(V599),V599*CX599,0)</f>
        <v>0</v>
      </c>
      <c r="EO599" s="28" t="n">
        <f aca="false">IF(ISNUMBER(Z599),Z599*CY599,0)</f>
        <v>0</v>
      </c>
      <c r="EP599" s="28" t="n">
        <f aca="false">IF(ISNUMBER(AD599),AD599*CZ599,0)</f>
        <v>0</v>
      </c>
      <c r="EQ599" s="28" t="n">
        <f aca="false">IF(ISNUMBER(AH599),AH599*DA599,0)</f>
        <v>0</v>
      </c>
      <c r="ER599" s="28" t="n">
        <f aca="false">IF(ISNUMBER(AL599),AL599*DB599,0)</f>
        <v>0</v>
      </c>
      <c r="ES599" s="28" t="n">
        <f aca="false">IF(ISNUMBER(AP599),AP599*DC599,0)</f>
        <v>0</v>
      </c>
      <c r="ET599" s="28" t="n">
        <f aca="false">IF(ISNUMBER(AT599),AT599*DD599,0)</f>
        <v>0</v>
      </c>
      <c r="EU599" s="28" t="n">
        <f aca="false">IF(ISNUMBER(AX599),AX599*DE599,0)</f>
        <v>0</v>
      </c>
      <c r="EV599" s="28" t="n">
        <f aca="false">IF(ISNUMBER(BB599),BB599*DF599,0)</f>
        <v>0</v>
      </c>
      <c r="EW599" s="28" t="n">
        <f aca="false">IF(ISNUMBER(BF599),BF599*DG599,0)</f>
        <v>0</v>
      </c>
      <c r="EX599" s="28" t="n">
        <f aca="false">IF(ISNUMBER(BJ599),BJ599*DH599,0)</f>
        <v>0</v>
      </c>
      <c r="EY599" s="28" t="n">
        <f aca="false">IF(ISNUMBER(BN599),BN599*DI599,0)</f>
        <v>0</v>
      </c>
      <c r="EZ599" s="28" t="n">
        <f aca="false">IF(ISNUMBER(BR599),BR599*DJ599,0)</f>
        <v>0</v>
      </c>
      <c r="FA599" s="28" t="n">
        <f aca="false">IF(ISNUMBER(R599),CW599,0)</f>
        <v>0</v>
      </c>
      <c r="FB599" s="28" t="n">
        <f aca="false">IF(ISNUMBER(V599),CX599,0)</f>
        <v>0</v>
      </c>
      <c r="FC599" s="28" t="n">
        <f aca="false">IF(ISNUMBER(Z599),CY599,0)</f>
        <v>0</v>
      </c>
      <c r="FD599" s="28" t="n">
        <f aca="false">IF(ISNUMBER(AD599),CZ599,0)</f>
        <v>0</v>
      </c>
      <c r="FE599" s="28" t="n">
        <f aca="false">IF(ISNUMBER(AH599),DA599,0)</f>
        <v>0</v>
      </c>
      <c r="FF599" s="28" t="n">
        <f aca="false">IF(ISNUMBER(AL599),DB599,0)</f>
        <v>0</v>
      </c>
      <c r="FG599" s="28" t="n">
        <f aca="false">IF(ISNUMBER(AP599),DC599,0)</f>
        <v>0</v>
      </c>
      <c r="FH599" s="28" t="n">
        <f aca="false">IF(ISNUMBER(AT599),DD599,0)</f>
        <v>0</v>
      </c>
      <c r="FI599" s="28" t="n">
        <f aca="false">IF(ISNUMBER(AX599),DE599,0)</f>
        <v>0</v>
      </c>
      <c r="FJ599" s="28" t="n">
        <f aca="false">IF(ISNUMBER(BB599),DF599,0)</f>
        <v>0</v>
      </c>
      <c r="FK599" s="28" t="n">
        <f aca="false">IF(ISNUMBER(BF599),DG599,0)</f>
        <v>0</v>
      </c>
      <c r="FL599" s="28" t="n">
        <f aca="false">IF(ISNUMBER(BJ599),DH599,0)</f>
        <v>0</v>
      </c>
      <c r="FM599" s="28" t="n">
        <f aca="false">IF(ISNUMBER(BN599),DI599,0)</f>
        <v>0</v>
      </c>
      <c r="FN599" s="28" t="n">
        <f aca="false">IF(ISNUMBER(BR599),DJ599,0)</f>
        <v>0</v>
      </c>
      <c r="FO599" s="28" t="str">
        <f aca="false">IFERROR(INDEX(Lists!$G$2:$G$20,MATCH($I599&amp;"|"&amp;$J599,Lists!$F$2:$F$20,0)),"")</f>
        <v/>
      </c>
    </row>
    <row r="600" customFormat="false" ht="19.5" hidden="false" customHeight="true" outlineLevel="0" collapsed="false">
      <c r="A600" s="29"/>
      <c r="B600" s="29"/>
      <c r="C600" s="30"/>
      <c r="D600" s="30"/>
      <c r="E600" s="31"/>
      <c r="F600" s="30"/>
      <c r="G600" s="30"/>
      <c r="H600" s="32"/>
      <c r="I600" s="33"/>
      <c r="J600" s="32"/>
      <c r="K600" s="34" t="str">
        <f aca="false">IF(OR(M600="",$E600=""),"",M600-$E600)</f>
        <v/>
      </c>
      <c r="L600" s="35" t="str">
        <f aca="false">IF(SUM(FA600:FN600)=0,"",SUM(EM600:EZ600)/SUM(FA600:FN600))</f>
        <v/>
      </c>
      <c r="M600" s="36" t="str">
        <f aca="false">IF(OR(L600="",FO600=""),"",IFERROR(MATCH(L600,INDEX(Boundaries!$B$2:$I$30,MATCH(FO600,Boundaries!$A$2:$A$30,0),0),1)-1,""))</f>
        <v/>
      </c>
      <c r="N600" s="37" t="str">
        <f aca="false">IF(COUNT($DY600:$EL600)&lt;2,"",INDEX($DK600:$DX600,MAX($DY600:$EL600))-INDEX($DK600:$DX600,MIN($DY600:$EL600)))</f>
        <v/>
      </c>
      <c r="O600" s="37" t="str">
        <f aca="false">IF(COUNT($DY600:$EL600)&lt;2,"",INDEX($DK600:$DX600,MAX($DY600:$EL600))-INDEX($DK600:$DX600,LARGE($DY600:$EL600,2)))</f>
        <v/>
      </c>
      <c r="P600" s="38" t="str">
        <f aca="false">IF(K600="","",IF(K600&gt;=0,"On/above target",IF(AND(N600&lt;&gt;"",N600&gt;=0.5),"Improving towards target",IF(AND(O600&lt;&gt;"",O600&lt;=-0.5),"Declining","Stable below target"))))</f>
        <v/>
      </c>
      <c r="Q600" s="39"/>
      <c r="R600" s="40" t="str">
        <f aca="false">IF(OR(Q600="",BU600=""),"",Q600/BU600*100)</f>
        <v/>
      </c>
      <c r="S600" s="41" t="str">
        <f aca="false">IF(R600="","",IFERROR(MATCH(R600,INDEX(Boundaries!$B$2:$I$30,MATCH(CI600,Boundaries!$A$2:$A$30,0),0),1)-1,""))</f>
        <v/>
      </c>
      <c r="T600" s="42" t="str">
        <f aca="false">IF(OR(S600="",$E600=""),"",S600-$E600)</f>
        <v/>
      </c>
      <c r="U600" s="39"/>
      <c r="V600" s="40" t="str">
        <f aca="false">IF(OR(U600="",BV600=""),"",U600/BV600*100)</f>
        <v/>
      </c>
      <c r="W600" s="41" t="str">
        <f aca="false">IF(V600="","",IFERROR(MATCH(V600,INDEX(Boundaries!$B$2:$I$30,MATCH(CJ600,Boundaries!$A$2:$A$30,0),0),1)-1,""))</f>
        <v/>
      </c>
      <c r="X600" s="42" t="str">
        <f aca="false">IF(OR(W600="",$E600=""),"",W600-$E600)</f>
        <v/>
      </c>
      <c r="Y600" s="39"/>
      <c r="Z600" s="40" t="str">
        <f aca="false">IF(OR(Y600="",BW600=""),"",Y600/BW600*100)</f>
        <v/>
      </c>
      <c r="AA600" s="41" t="str">
        <f aca="false">IF(Z600="","",IFERROR(MATCH(Z600,INDEX(Boundaries!$B$2:$I$30,MATCH(CK600,Boundaries!$A$2:$A$30,0),0),1)-1,""))</f>
        <v/>
      </c>
      <c r="AB600" s="42" t="str">
        <f aca="false">IF(OR(AA600="",$E600=""),"",AA600-$E600)</f>
        <v/>
      </c>
      <c r="AC600" s="39"/>
      <c r="AD600" s="40" t="str">
        <f aca="false">IF(OR(AC600="",BX600=""),"",AC600/BX600*100)</f>
        <v/>
      </c>
      <c r="AE600" s="41" t="str">
        <f aca="false">IF(AD600="","",IFERROR(MATCH(AD600,INDEX(Boundaries!$B$2:$I$30,MATCH(CL600,Boundaries!$A$2:$A$30,0),0),1)-1,""))</f>
        <v/>
      </c>
      <c r="AF600" s="42" t="str">
        <f aca="false">IF(OR(AE600="",$E600=""),"",AE600-$E600)</f>
        <v/>
      </c>
      <c r="AG600" s="39"/>
      <c r="AH600" s="40" t="str">
        <f aca="false">IF(OR(AG600="",BY600=""),"",AG600/BY600*100)</f>
        <v/>
      </c>
      <c r="AI600" s="41" t="str">
        <f aca="false">IF(AH600="","",IFERROR(MATCH(AH600,INDEX(Boundaries!$B$2:$I$30,MATCH(CM600,Boundaries!$A$2:$A$30,0),0),1)-1,""))</f>
        <v/>
      </c>
      <c r="AJ600" s="42" t="str">
        <f aca="false">IF(OR(AI600="",$E600=""),"",AI600-$E600)</f>
        <v/>
      </c>
      <c r="AK600" s="39"/>
      <c r="AL600" s="40" t="str">
        <f aca="false">IF(OR(AK600="",BZ600=""),"",AK600/BZ600*100)</f>
        <v/>
      </c>
      <c r="AM600" s="41" t="str">
        <f aca="false">IF(AL600="","",IFERROR(MATCH(AL600,INDEX(Boundaries!$B$2:$I$30,MATCH(CN600,Boundaries!$A$2:$A$30,0),0),1)-1,""))</f>
        <v/>
      </c>
      <c r="AN600" s="42" t="str">
        <f aca="false">IF(OR(AM600="",$E600=""),"",AM600-$E600)</f>
        <v/>
      </c>
      <c r="AO600" s="39"/>
      <c r="AP600" s="40" t="str">
        <f aca="false">IF(OR(AO600="",CA600=""),"",AO600/CA600*100)</f>
        <v/>
      </c>
      <c r="AQ600" s="41" t="str">
        <f aca="false">IF(AP600="","",IFERROR(MATCH(AP600,INDEX(Boundaries!$B$2:$I$30,MATCH(CO600,Boundaries!$A$2:$A$30,0),0),1)-1,""))</f>
        <v/>
      </c>
      <c r="AR600" s="42" t="str">
        <f aca="false">IF(OR(AQ600="",$E600=""),"",AQ600-$E600)</f>
        <v/>
      </c>
      <c r="AS600" s="39"/>
      <c r="AT600" s="40" t="str">
        <f aca="false">IF(OR(AS600="",CB600=""),"",AS600/CB600*100)</f>
        <v/>
      </c>
      <c r="AU600" s="41" t="str">
        <f aca="false">IF(AT600="","",IFERROR(MATCH(AT600,INDEX(Boundaries!$B$2:$I$30,MATCH(CP600,Boundaries!$A$2:$A$30,0),0),1)-1,""))</f>
        <v/>
      </c>
      <c r="AV600" s="42" t="str">
        <f aca="false">IF(OR(AU600="",$E600=""),"",AU600-$E600)</f>
        <v/>
      </c>
      <c r="AW600" s="39"/>
      <c r="AX600" s="40" t="str">
        <f aca="false">IF(OR(AW600="",CC600=""),"",AW600/CC600*100)</f>
        <v/>
      </c>
      <c r="AY600" s="41" t="str">
        <f aca="false">IF(AX600="","",IFERROR(MATCH(AX600,INDEX(Boundaries!$B$2:$I$30,MATCH(CQ600,Boundaries!$A$2:$A$30,0),0),1)-1,""))</f>
        <v/>
      </c>
      <c r="AZ600" s="42" t="str">
        <f aca="false">IF(OR(AY600="",$E600=""),"",AY600-$E600)</f>
        <v/>
      </c>
      <c r="BA600" s="39"/>
      <c r="BB600" s="40" t="str">
        <f aca="false">IF(OR(BA600="",CD600=""),"",BA600/CD600*100)</f>
        <v/>
      </c>
      <c r="BC600" s="41" t="str">
        <f aca="false">IF(BB600="","",IFERROR(MATCH(BB600,INDEX(Boundaries!$B$2:$I$30,MATCH(CR600,Boundaries!$A$2:$A$30,0),0),1)-1,""))</f>
        <v/>
      </c>
      <c r="BD600" s="42" t="str">
        <f aca="false">IF(OR(BC600="",$E600=""),"",BC600-$E600)</f>
        <v/>
      </c>
      <c r="BE600" s="39"/>
      <c r="BF600" s="40" t="str">
        <f aca="false">IF(OR(BE600="",CE600=""),"",BE600/CE600*100)</f>
        <v/>
      </c>
      <c r="BG600" s="41" t="str">
        <f aca="false">IF(BF600="","",IFERROR(MATCH(BF600,INDEX(Boundaries!$B$2:$I$30,MATCH(CS600,Boundaries!$A$2:$A$30,0),0),1)-1,""))</f>
        <v/>
      </c>
      <c r="BH600" s="42" t="str">
        <f aca="false">IF(OR(BG600="",$E600=""),"",BG600-$E600)</f>
        <v/>
      </c>
      <c r="BI600" s="39"/>
      <c r="BJ600" s="40" t="str">
        <f aca="false">IF(OR(BI600="",CF600=""),"",BI600/CF600*100)</f>
        <v/>
      </c>
      <c r="BK600" s="41" t="str">
        <f aca="false">IF(BJ600="","",IFERROR(MATCH(BJ600,INDEX(Boundaries!$B$2:$I$30,MATCH(CT600,Boundaries!$A$2:$A$30,0),0),1)-1,""))</f>
        <v/>
      </c>
      <c r="BL600" s="42" t="str">
        <f aca="false">IF(OR(BK600="",$E600=""),"",BK600-$E600)</f>
        <v/>
      </c>
      <c r="BM600" s="39"/>
      <c r="BN600" s="40" t="str">
        <f aca="false">IF(OR(BM600="",CG600=""),"",BM600/CG600*100)</f>
        <v/>
      </c>
      <c r="BO600" s="41" t="str">
        <f aca="false">IF(BN600="","",IFERROR(MATCH(BN600,INDEX(Boundaries!$B$2:$I$30,MATCH(CU600,Boundaries!$A$2:$A$30,0),0),1)-1,""))</f>
        <v/>
      </c>
      <c r="BP600" s="42" t="str">
        <f aca="false">IF(OR(BO600="",$E600=""),"",BO600-$E600)</f>
        <v/>
      </c>
      <c r="BQ600" s="39"/>
      <c r="BR600" s="40" t="str">
        <f aca="false">IF(OR(BQ600="",CH600=""),"",BQ600/CH600*100)</f>
        <v/>
      </c>
      <c r="BS600" s="41" t="str">
        <f aca="false">IF(BR600="","",IFERROR(MATCH(BR600,INDEX(Boundaries!$B$2:$I$30,MATCH(CV600,Boundaries!$A$2:$A$30,0),0),1)-1,""))</f>
        <v/>
      </c>
      <c r="BT600" s="42" t="str">
        <f aca="false">IF(OR(BS600="",$E600=""),"",BS600-$E600)</f>
        <v/>
      </c>
      <c r="BU600" s="28" t="str">
        <f aca="false">IFERROR(INDEX(Assessments!$H$2:$H$600,MATCH($H600&amp;"|"&amp;$I600&amp;"|"&amp;$J600&amp;"|"&amp;1,Assessments!$A$2:$A$600,0)),"")</f>
        <v/>
      </c>
      <c r="BV600" s="28" t="str">
        <f aca="false">IFERROR(INDEX(Assessments!$H$2:$H$600,MATCH($H600&amp;"|"&amp;$I600&amp;"|"&amp;$J600&amp;"|"&amp;2,Assessments!$A$2:$A$600,0)),"")</f>
        <v/>
      </c>
      <c r="BW600" s="28" t="str">
        <f aca="false">IFERROR(INDEX(Assessments!$H$2:$H$600,MATCH($H600&amp;"|"&amp;$I600&amp;"|"&amp;$J600&amp;"|"&amp;3,Assessments!$A$2:$A$600,0)),"")</f>
        <v/>
      </c>
      <c r="BX600" s="28" t="str">
        <f aca="false">IFERROR(INDEX(Assessments!$H$2:$H$600,MATCH($H600&amp;"|"&amp;$I600&amp;"|"&amp;$J600&amp;"|"&amp;4,Assessments!$A$2:$A$600,0)),"")</f>
        <v/>
      </c>
      <c r="BY600" s="28" t="str">
        <f aca="false">IFERROR(INDEX(Assessments!$H$2:$H$600,MATCH($H600&amp;"|"&amp;$I600&amp;"|"&amp;$J600&amp;"|"&amp;5,Assessments!$A$2:$A$600,0)),"")</f>
        <v/>
      </c>
      <c r="BZ600" s="28" t="str">
        <f aca="false">IFERROR(INDEX(Assessments!$H$2:$H$600,MATCH($H600&amp;"|"&amp;$I600&amp;"|"&amp;$J600&amp;"|"&amp;6,Assessments!$A$2:$A$600,0)),"")</f>
        <v/>
      </c>
      <c r="CA600" s="28" t="str">
        <f aca="false">IFERROR(INDEX(Assessments!$H$2:$H$600,MATCH($H600&amp;"|"&amp;$I600&amp;"|"&amp;$J600&amp;"|"&amp;7,Assessments!$A$2:$A$600,0)),"")</f>
        <v/>
      </c>
      <c r="CB600" s="28" t="str">
        <f aca="false">IFERROR(INDEX(Assessments!$H$2:$H$600,MATCH($H600&amp;"|"&amp;$I600&amp;"|"&amp;$J600&amp;"|"&amp;8,Assessments!$A$2:$A$600,0)),"")</f>
        <v/>
      </c>
      <c r="CC600" s="28" t="str">
        <f aca="false">IFERROR(INDEX(Assessments!$H$2:$H$600,MATCH($H600&amp;"|"&amp;$I600&amp;"|"&amp;$J600&amp;"|"&amp;9,Assessments!$A$2:$A$600,0)),"")</f>
        <v/>
      </c>
      <c r="CD600" s="28" t="str">
        <f aca="false">IFERROR(INDEX(Assessments!$H$2:$H$600,MATCH($H600&amp;"|"&amp;$I600&amp;"|"&amp;$J600&amp;"|"&amp;10,Assessments!$A$2:$A$600,0)),"")</f>
        <v/>
      </c>
      <c r="CE600" s="28" t="str">
        <f aca="false">IFERROR(INDEX(Assessments!$H$2:$H$600,MATCH($H600&amp;"|"&amp;$I600&amp;"|"&amp;$J600&amp;"|"&amp;11,Assessments!$A$2:$A$600,0)),"")</f>
        <v/>
      </c>
      <c r="CF600" s="28" t="str">
        <f aca="false">IFERROR(INDEX(Assessments!$H$2:$H$600,MATCH($H600&amp;"|"&amp;$I600&amp;"|"&amp;$J600&amp;"|"&amp;12,Assessments!$A$2:$A$600,0)),"")</f>
        <v/>
      </c>
      <c r="CG600" s="28" t="str">
        <f aca="false">IFERROR(INDEX(Assessments!$H$2:$H$600,MATCH($H600&amp;"|"&amp;$I600&amp;"|"&amp;$J600&amp;"|"&amp;13,Assessments!$A$2:$A$600,0)),"")</f>
        <v/>
      </c>
      <c r="CH600" s="28" t="str">
        <f aca="false">IFERROR(INDEX(Assessments!$H$2:$H$600,MATCH($H600&amp;"|"&amp;$I600&amp;"|"&amp;$J600&amp;"|"&amp;14,Assessments!$A$2:$A$600,0)),"")</f>
        <v/>
      </c>
      <c r="CI600" s="28" t="str">
        <f aca="false">IFERROR(INDEX(Assessments!$I$2:$I$600,MATCH($H600&amp;"|"&amp;$I600&amp;"|"&amp;$J600&amp;"|"&amp;1,Assessments!$A$2:$A$600,0)),"")</f>
        <v/>
      </c>
      <c r="CJ600" s="28" t="str">
        <f aca="false">IFERROR(INDEX(Assessments!$I$2:$I$600,MATCH($H600&amp;"|"&amp;$I600&amp;"|"&amp;$J600&amp;"|"&amp;2,Assessments!$A$2:$A$600,0)),"")</f>
        <v/>
      </c>
      <c r="CK600" s="28" t="str">
        <f aca="false">IFERROR(INDEX(Assessments!$I$2:$I$600,MATCH($H600&amp;"|"&amp;$I600&amp;"|"&amp;$J600&amp;"|"&amp;3,Assessments!$A$2:$A$600,0)),"")</f>
        <v/>
      </c>
      <c r="CL600" s="28" t="str">
        <f aca="false">IFERROR(INDEX(Assessments!$I$2:$I$600,MATCH($H600&amp;"|"&amp;$I600&amp;"|"&amp;$J600&amp;"|"&amp;4,Assessments!$A$2:$A$600,0)),"")</f>
        <v/>
      </c>
      <c r="CM600" s="28" t="str">
        <f aca="false">IFERROR(INDEX(Assessments!$I$2:$I$600,MATCH($H600&amp;"|"&amp;$I600&amp;"|"&amp;$J600&amp;"|"&amp;5,Assessments!$A$2:$A$600,0)),"")</f>
        <v/>
      </c>
      <c r="CN600" s="28" t="str">
        <f aca="false">IFERROR(INDEX(Assessments!$I$2:$I$600,MATCH($H600&amp;"|"&amp;$I600&amp;"|"&amp;$J600&amp;"|"&amp;6,Assessments!$A$2:$A$600,0)),"")</f>
        <v/>
      </c>
      <c r="CO600" s="28" t="str">
        <f aca="false">IFERROR(INDEX(Assessments!$I$2:$I$600,MATCH($H600&amp;"|"&amp;$I600&amp;"|"&amp;$J600&amp;"|"&amp;7,Assessments!$A$2:$A$600,0)),"")</f>
        <v/>
      </c>
      <c r="CP600" s="28" t="str">
        <f aca="false">IFERROR(INDEX(Assessments!$I$2:$I$600,MATCH($H600&amp;"|"&amp;$I600&amp;"|"&amp;$J600&amp;"|"&amp;8,Assessments!$A$2:$A$600,0)),"")</f>
        <v/>
      </c>
      <c r="CQ600" s="28" t="str">
        <f aca="false">IFERROR(INDEX(Assessments!$I$2:$I$600,MATCH($H600&amp;"|"&amp;$I600&amp;"|"&amp;$J600&amp;"|"&amp;9,Assessments!$A$2:$A$600,0)),"")</f>
        <v/>
      </c>
      <c r="CR600" s="28" t="str">
        <f aca="false">IFERROR(INDEX(Assessments!$I$2:$I$600,MATCH($H600&amp;"|"&amp;$I600&amp;"|"&amp;$J600&amp;"|"&amp;10,Assessments!$A$2:$A$600,0)),"")</f>
        <v/>
      </c>
      <c r="CS600" s="28" t="str">
        <f aca="false">IFERROR(INDEX(Assessments!$I$2:$I$600,MATCH($H600&amp;"|"&amp;$I600&amp;"|"&amp;$J600&amp;"|"&amp;11,Assessments!$A$2:$A$600,0)),"")</f>
        <v/>
      </c>
      <c r="CT600" s="28" t="str">
        <f aca="false">IFERROR(INDEX(Assessments!$I$2:$I$600,MATCH($H600&amp;"|"&amp;$I600&amp;"|"&amp;$J600&amp;"|"&amp;12,Assessments!$A$2:$A$600,0)),"")</f>
        <v/>
      </c>
      <c r="CU600" s="28" t="str">
        <f aca="false">IFERROR(INDEX(Assessments!$I$2:$I$600,MATCH($H600&amp;"|"&amp;$I600&amp;"|"&amp;$J600&amp;"|"&amp;13,Assessments!$A$2:$A$600,0)),"")</f>
        <v/>
      </c>
      <c r="CV600" s="28" t="str">
        <f aca="false">IFERROR(INDEX(Assessments!$I$2:$I$600,MATCH($H600&amp;"|"&amp;$I600&amp;"|"&amp;$J600&amp;"|"&amp;14,Assessments!$A$2:$A$600,0)),"")</f>
        <v/>
      </c>
      <c r="CW600" s="28" t="n">
        <f aca="false">IFERROR(INDEX(Assessments!$J$2:$J$600,MATCH($H600&amp;"|"&amp;$I600&amp;"|"&amp;$J600&amp;"|"&amp;1,Assessments!$A$2:$A$600,0)),0)</f>
        <v>0</v>
      </c>
      <c r="CX600" s="28" t="n">
        <f aca="false">IFERROR(INDEX(Assessments!$J$2:$J$600,MATCH($H600&amp;"|"&amp;$I600&amp;"|"&amp;$J600&amp;"|"&amp;2,Assessments!$A$2:$A$600,0)),0)</f>
        <v>0</v>
      </c>
      <c r="CY600" s="28" t="n">
        <f aca="false">IFERROR(INDEX(Assessments!$J$2:$J$600,MATCH($H600&amp;"|"&amp;$I600&amp;"|"&amp;$J600&amp;"|"&amp;3,Assessments!$A$2:$A$600,0)),0)</f>
        <v>0</v>
      </c>
      <c r="CZ600" s="28" t="n">
        <f aca="false">IFERROR(INDEX(Assessments!$J$2:$J$600,MATCH($H600&amp;"|"&amp;$I600&amp;"|"&amp;$J600&amp;"|"&amp;4,Assessments!$A$2:$A$600,0)),0)</f>
        <v>0</v>
      </c>
      <c r="DA600" s="28" t="n">
        <f aca="false">IFERROR(INDEX(Assessments!$J$2:$J$600,MATCH($H600&amp;"|"&amp;$I600&amp;"|"&amp;$J600&amp;"|"&amp;5,Assessments!$A$2:$A$600,0)),0)</f>
        <v>0</v>
      </c>
      <c r="DB600" s="28" t="n">
        <f aca="false">IFERROR(INDEX(Assessments!$J$2:$J$600,MATCH($H600&amp;"|"&amp;$I600&amp;"|"&amp;$J600&amp;"|"&amp;6,Assessments!$A$2:$A$600,0)),0)</f>
        <v>0</v>
      </c>
      <c r="DC600" s="28" t="n">
        <f aca="false">IFERROR(INDEX(Assessments!$J$2:$J$600,MATCH($H600&amp;"|"&amp;$I600&amp;"|"&amp;$J600&amp;"|"&amp;7,Assessments!$A$2:$A$600,0)),0)</f>
        <v>0</v>
      </c>
      <c r="DD600" s="28" t="n">
        <f aca="false">IFERROR(INDEX(Assessments!$J$2:$J$600,MATCH($H600&amp;"|"&amp;$I600&amp;"|"&amp;$J600&amp;"|"&amp;8,Assessments!$A$2:$A$600,0)),0)</f>
        <v>0</v>
      </c>
      <c r="DE600" s="28" t="n">
        <f aca="false">IFERROR(INDEX(Assessments!$J$2:$J$600,MATCH($H600&amp;"|"&amp;$I600&amp;"|"&amp;$J600&amp;"|"&amp;9,Assessments!$A$2:$A$600,0)),0)</f>
        <v>0</v>
      </c>
      <c r="DF600" s="28" t="n">
        <f aca="false">IFERROR(INDEX(Assessments!$J$2:$J$600,MATCH($H600&amp;"|"&amp;$I600&amp;"|"&amp;$J600&amp;"|"&amp;10,Assessments!$A$2:$A$600,0)),0)</f>
        <v>0</v>
      </c>
      <c r="DG600" s="28" t="n">
        <f aca="false">IFERROR(INDEX(Assessments!$J$2:$J$600,MATCH($H600&amp;"|"&amp;$I600&amp;"|"&amp;$J600&amp;"|"&amp;11,Assessments!$A$2:$A$600,0)),0)</f>
        <v>0</v>
      </c>
      <c r="DH600" s="28" t="n">
        <f aca="false">IFERROR(INDEX(Assessments!$J$2:$J$600,MATCH($H600&amp;"|"&amp;$I600&amp;"|"&amp;$J600&amp;"|"&amp;12,Assessments!$A$2:$A$600,0)),0)</f>
        <v>0</v>
      </c>
      <c r="DI600" s="28" t="n">
        <f aca="false">IFERROR(INDEX(Assessments!$J$2:$J$600,MATCH($H600&amp;"|"&amp;$I600&amp;"|"&amp;$J600&amp;"|"&amp;13,Assessments!$A$2:$A$600,0)),0)</f>
        <v>0</v>
      </c>
      <c r="DJ600" s="28" t="n">
        <f aca="false">IFERROR(INDEX(Assessments!$J$2:$J$600,MATCH($H600&amp;"|"&amp;$I600&amp;"|"&amp;$J600&amp;"|"&amp;14,Assessments!$A$2:$A$600,0)),0)</f>
        <v>0</v>
      </c>
      <c r="DK600" s="28" t="str">
        <f aca="false">S600</f>
        <v/>
      </c>
      <c r="DL600" s="28" t="str">
        <f aca="false">W600</f>
        <v/>
      </c>
      <c r="DM600" s="28" t="str">
        <f aca="false">AA600</f>
        <v/>
      </c>
      <c r="DN600" s="28" t="str">
        <f aca="false">AE600</f>
        <v/>
      </c>
      <c r="DO600" s="28" t="str">
        <f aca="false">AI600</f>
        <v/>
      </c>
      <c r="DP600" s="28" t="str">
        <f aca="false">AM600</f>
        <v/>
      </c>
      <c r="DQ600" s="28" t="str">
        <f aca="false">AQ600</f>
        <v/>
      </c>
      <c r="DR600" s="28" t="str">
        <f aca="false">AU600</f>
        <v/>
      </c>
      <c r="DS600" s="28" t="str">
        <f aca="false">AY600</f>
        <v/>
      </c>
      <c r="DT600" s="28" t="str">
        <f aca="false">BC600</f>
        <v/>
      </c>
      <c r="DU600" s="28" t="str">
        <f aca="false">BG600</f>
        <v/>
      </c>
      <c r="DV600" s="28" t="str">
        <f aca="false">BK600</f>
        <v/>
      </c>
      <c r="DW600" s="28" t="str">
        <f aca="false">BO600</f>
        <v/>
      </c>
      <c r="DX600" s="28" t="str">
        <f aca="false">BS600</f>
        <v/>
      </c>
      <c r="DY600" s="28" t="str">
        <f aca="false">IF(ISNUMBER(S600),1,"")</f>
        <v/>
      </c>
      <c r="DZ600" s="28" t="str">
        <f aca="false">IF(ISNUMBER(W600),2,"")</f>
        <v/>
      </c>
      <c r="EA600" s="28" t="str">
        <f aca="false">IF(ISNUMBER(AA600),3,"")</f>
        <v/>
      </c>
      <c r="EB600" s="28" t="str">
        <f aca="false">IF(ISNUMBER(AE600),4,"")</f>
        <v/>
      </c>
      <c r="EC600" s="28" t="str">
        <f aca="false">IF(ISNUMBER(AI600),5,"")</f>
        <v/>
      </c>
      <c r="ED600" s="28" t="str">
        <f aca="false">IF(ISNUMBER(AM600),6,"")</f>
        <v/>
      </c>
      <c r="EE600" s="28" t="str">
        <f aca="false">IF(ISNUMBER(AQ600),7,"")</f>
        <v/>
      </c>
      <c r="EF600" s="28" t="str">
        <f aca="false">IF(ISNUMBER(AU600),8,"")</f>
        <v/>
      </c>
      <c r="EG600" s="28" t="str">
        <f aca="false">IF(ISNUMBER(AY600),9,"")</f>
        <v/>
      </c>
      <c r="EH600" s="28" t="str">
        <f aca="false">IF(ISNUMBER(BC600),10,"")</f>
        <v/>
      </c>
      <c r="EI600" s="28" t="str">
        <f aca="false">IF(ISNUMBER(BG600),11,"")</f>
        <v/>
      </c>
      <c r="EJ600" s="28" t="str">
        <f aca="false">IF(ISNUMBER(BK600),12,"")</f>
        <v/>
      </c>
      <c r="EK600" s="28" t="str">
        <f aca="false">IF(ISNUMBER(BO600),13,"")</f>
        <v/>
      </c>
      <c r="EL600" s="28" t="str">
        <f aca="false">IF(ISNUMBER(BS600),14,"")</f>
        <v/>
      </c>
      <c r="EM600" s="28" t="n">
        <f aca="false">IF(ISNUMBER(R600),R600*CW600,0)</f>
        <v>0</v>
      </c>
      <c r="EN600" s="28" t="n">
        <f aca="false">IF(ISNUMBER(V600),V600*CX600,0)</f>
        <v>0</v>
      </c>
      <c r="EO600" s="28" t="n">
        <f aca="false">IF(ISNUMBER(Z600),Z600*CY600,0)</f>
        <v>0</v>
      </c>
      <c r="EP600" s="28" t="n">
        <f aca="false">IF(ISNUMBER(AD600),AD600*CZ600,0)</f>
        <v>0</v>
      </c>
      <c r="EQ600" s="28" t="n">
        <f aca="false">IF(ISNUMBER(AH600),AH600*DA600,0)</f>
        <v>0</v>
      </c>
      <c r="ER600" s="28" t="n">
        <f aca="false">IF(ISNUMBER(AL600),AL600*DB600,0)</f>
        <v>0</v>
      </c>
      <c r="ES600" s="28" t="n">
        <f aca="false">IF(ISNUMBER(AP600),AP600*DC600,0)</f>
        <v>0</v>
      </c>
      <c r="ET600" s="28" t="n">
        <f aca="false">IF(ISNUMBER(AT600),AT600*DD600,0)</f>
        <v>0</v>
      </c>
      <c r="EU600" s="28" t="n">
        <f aca="false">IF(ISNUMBER(AX600),AX600*DE600,0)</f>
        <v>0</v>
      </c>
      <c r="EV600" s="28" t="n">
        <f aca="false">IF(ISNUMBER(BB600),BB600*DF600,0)</f>
        <v>0</v>
      </c>
      <c r="EW600" s="28" t="n">
        <f aca="false">IF(ISNUMBER(BF600),BF600*DG600,0)</f>
        <v>0</v>
      </c>
      <c r="EX600" s="28" t="n">
        <f aca="false">IF(ISNUMBER(BJ600),BJ600*DH600,0)</f>
        <v>0</v>
      </c>
      <c r="EY600" s="28" t="n">
        <f aca="false">IF(ISNUMBER(BN600),BN600*DI600,0)</f>
        <v>0</v>
      </c>
      <c r="EZ600" s="28" t="n">
        <f aca="false">IF(ISNUMBER(BR600),BR600*DJ600,0)</f>
        <v>0</v>
      </c>
      <c r="FA600" s="28" t="n">
        <f aca="false">IF(ISNUMBER(R600),CW600,0)</f>
        <v>0</v>
      </c>
      <c r="FB600" s="28" t="n">
        <f aca="false">IF(ISNUMBER(V600),CX600,0)</f>
        <v>0</v>
      </c>
      <c r="FC600" s="28" t="n">
        <f aca="false">IF(ISNUMBER(Z600),CY600,0)</f>
        <v>0</v>
      </c>
      <c r="FD600" s="28" t="n">
        <f aca="false">IF(ISNUMBER(AD600),CZ600,0)</f>
        <v>0</v>
      </c>
      <c r="FE600" s="28" t="n">
        <f aca="false">IF(ISNUMBER(AH600),DA600,0)</f>
        <v>0</v>
      </c>
      <c r="FF600" s="28" t="n">
        <f aca="false">IF(ISNUMBER(AL600),DB600,0)</f>
        <v>0</v>
      </c>
      <c r="FG600" s="28" t="n">
        <f aca="false">IF(ISNUMBER(AP600),DC600,0)</f>
        <v>0</v>
      </c>
      <c r="FH600" s="28" t="n">
        <f aca="false">IF(ISNUMBER(AT600),DD600,0)</f>
        <v>0</v>
      </c>
      <c r="FI600" s="28" t="n">
        <f aca="false">IF(ISNUMBER(AX600),DE600,0)</f>
        <v>0</v>
      </c>
      <c r="FJ600" s="28" t="n">
        <f aca="false">IF(ISNUMBER(BB600),DF600,0)</f>
        <v>0</v>
      </c>
      <c r="FK600" s="28" t="n">
        <f aca="false">IF(ISNUMBER(BF600),DG600,0)</f>
        <v>0</v>
      </c>
      <c r="FL600" s="28" t="n">
        <f aca="false">IF(ISNUMBER(BJ600),DH600,0)</f>
        <v>0</v>
      </c>
      <c r="FM600" s="28" t="n">
        <f aca="false">IF(ISNUMBER(BN600),DI600,0)</f>
        <v>0</v>
      </c>
      <c r="FN600" s="28" t="n">
        <f aca="false">IF(ISNUMBER(BR600),DJ600,0)</f>
        <v>0</v>
      </c>
      <c r="FO600" s="28" t="str">
        <f aca="false">IFERROR(INDEX(Lists!$G$2:$G$20,MATCH($I600&amp;"|"&amp;$J600,Lists!$F$2:$F$20,0)),"")</f>
        <v/>
      </c>
    </row>
    <row r="601" customFormat="false" ht="19.5" hidden="false" customHeight="true" outlineLevel="0" collapsed="false">
      <c r="A601" s="29"/>
      <c r="B601" s="29"/>
      <c r="C601" s="30"/>
      <c r="D601" s="30"/>
      <c r="E601" s="31"/>
      <c r="F601" s="30"/>
      <c r="G601" s="30"/>
      <c r="H601" s="32"/>
      <c r="I601" s="33"/>
      <c r="J601" s="32"/>
      <c r="K601" s="34" t="str">
        <f aca="false">IF(OR(M601="",$E601=""),"",M601-$E601)</f>
        <v/>
      </c>
      <c r="L601" s="35" t="str">
        <f aca="false">IF(SUM(FA601:FN601)=0,"",SUM(EM601:EZ601)/SUM(FA601:FN601))</f>
        <v/>
      </c>
      <c r="M601" s="36" t="str">
        <f aca="false">IF(OR(L601="",FO601=""),"",IFERROR(MATCH(L601,INDEX(Boundaries!$B$2:$I$30,MATCH(FO601,Boundaries!$A$2:$A$30,0),0),1)-1,""))</f>
        <v/>
      </c>
      <c r="N601" s="37" t="str">
        <f aca="false">IF(COUNT($DY601:$EL601)&lt;2,"",INDEX($DK601:$DX601,MAX($DY601:$EL601))-INDEX($DK601:$DX601,MIN($DY601:$EL601)))</f>
        <v/>
      </c>
      <c r="O601" s="37" t="str">
        <f aca="false">IF(COUNT($DY601:$EL601)&lt;2,"",INDEX($DK601:$DX601,MAX($DY601:$EL601))-INDEX($DK601:$DX601,LARGE($DY601:$EL601,2)))</f>
        <v/>
      </c>
      <c r="P601" s="38" t="str">
        <f aca="false">IF(K601="","",IF(K601&gt;=0,"On/above target",IF(AND(N601&lt;&gt;"",N601&gt;=0.5),"Improving towards target",IF(AND(O601&lt;&gt;"",O601&lt;=-0.5),"Declining","Stable below target"))))</f>
        <v/>
      </c>
      <c r="Q601" s="39"/>
      <c r="R601" s="40" t="str">
        <f aca="false">IF(OR(Q601="",BU601=""),"",Q601/BU601*100)</f>
        <v/>
      </c>
      <c r="S601" s="41" t="str">
        <f aca="false">IF(R601="","",IFERROR(MATCH(R601,INDEX(Boundaries!$B$2:$I$30,MATCH(CI601,Boundaries!$A$2:$A$30,0),0),1)-1,""))</f>
        <v/>
      </c>
      <c r="T601" s="42" t="str">
        <f aca="false">IF(OR(S601="",$E601=""),"",S601-$E601)</f>
        <v/>
      </c>
      <c r="U601" s="39"/>
      <c r="V601" s="40" t="str">
        <f aca="false">IF(OR(U601="",BV601=""),"",U601/BV601*100)</f>
        <v/>
      </c>
      <c r="W601" s="41" t="str">
        <f aca="false">IF(V601="","",IFERROR(MATCH(V601,INDEX(Boundaries!$B$2:$I$30,MATCH(CJ601,Boundaries!$A$2:$A$30,0),0),1)-1,""))</f>
        <v/>
      </c>
      <c r="X601" s="42" t="str">
        <f aca="false">IF(OR(W601="",$E601=""),"",W601-$E601)</f>
        <v/>
      </c>
      <c r="Y601" s="39"/>
      <c r="Z601" s="40" t="str">
        <f aca="false">IF(OR(Y601="",BW601=""),"",Y601/BW601*100)</f>
        <v/>
      </c>
      <c r="AA601" s="41" t="str">
        <f aca="false">IF(Z601="","",IFERROR(MATCH(Z601,INDEX(Boundaries!$B$2:$I$30,MATCH(CK601,Boundaries!$A$2:$A$30,0),0),1)-1,""))</f>
        <v/>
      </c>
      <c r="AB601" s="42" t="str">
        <f aca="false">IF(OR(AA601="",$E601=""),"",AA601-$E601)</f>
        <v/>
      </c>
      <c r="AC601" s="39"/>
      <c r="AD601" s="40" t="str">
        <f aca="false">IF(OR(AC601="",BX601=""),"",AC601/BX601*100)</f>
        <v/>
      </c>
      <c r="AE601" s="41" t="str">
        <f aca="false">IF(AD601="","",IFERROR(MATCH(AD601,INDEX(Boundaries!$B$2:$I$30,MATCH(CL601,Boundaries!$A$2:$A$30,0),0),1)-1,""))</f>
        <v/>
      </c>
      <c r="AF601" s="42" t="str">
        <f aca="false">IF(OR(AE601="",$E601=""),"",AE601-$E601)</f>
        <v/>
      </c>
      <c r="AG601" s="39"/>
      <c r="AH601" s="40" t="str">
        <f aca="false">IF(OR(AG601="",BY601=""),"",AG601/BY601*100)</f>
        <v/>
      </c>
      <c r="AI601" s="41" t="str">
        <f aca="false">IF(AH601="","",IFERROR(MATCH(AH601,INDEX(Boundaries!$B$2:$I$30,MATCH(CM601,Boundaries!$A$2:$A$30,0),0),1)-1,""))</f>
        <v/>
      </c>
      <c r="AJ601" s="42" t="str">
        <f aca="false">IF(OR(AI601="",$E601=""),"",AI601-$E601)</f>
        <v/>
      </c>
      <c r="AK601" s="39"/>
      <c r="AL601" s="40" t="str">
        <f aca="false">IF(OR(AK601="",BZ601=""),"",AK601/BZ601*100)</f>
        <v/>
      </c>
      <c r="AM601" s="41" t="str">
        <f aca="false">IF(AL601="","",IFERROR(MATCH(AL601,INDEX(Boundaries!$B$2:$I$30,MATCH(CN601,Boundaries!$A$2:$A$30,0),0),1)-1,""))</f>
        <v/>
      </c>
      <c r="AN601" s="42" t="str">
        <f aca="false">IF(OR(AM601="",$E601=""),"",AM601-$E601)</f>
        <v/>
      </c>
      <c r="AO601" s="39"/>
      <c r="AP601" s="40" t="str">
        <f aca="false">IF(OR(AO601="",CA601=""),"",AO601/CA601*100)</f>
        <v/>
      </c>
      <c r="AQ601" s="41" t="str">
        <f aca="false">IF(AP601="","",IFERROR(MATCH(AP601,INDEX(Boundaries!$B$2:$I$30,MATCH(CO601,Boundaries!$A$2:$A$30,0),0),1)-1,""))</f>
        <v/>
      </c>
      <c r="AR601" s="42" t="str">
        <f aca="false">IF(OR(AQ601="",$E601=""),"",AQ601-$E601)</f>
        <v/>
      </c>
      <c r="AS601" s="39"/>
      <c r="AT601" s="40" t="str">
        <f aca="false">IF(OR(AS601="",CB601=""),"",AS601/CB601*100)</f>
        <v/>
      </c>
      <c r="AU601" s="41" t="str">
        <f aca="false">IF(AT601="","",IFERROR(MATCH(AT601,INDEX(Boundaries!$B$2:$I$30,MATCH(CP601,Boundaries!$A$2:$A$30,0),0),1)-1,""))</f>
        <v/>
      </c>
      <c r="AV601" s="42" t="str">
        <f aca="false">IF(OR(AU601="",$E601=""),"",AU601-$E601)</f>
        <v/>
      </c>
      <c r="AW601" s="39"/>
      <c r="AX601" s="40" t="str">
        <f aca="false">IF(OR(AW601="",CC601=""),"",AW601/CC601*100)</f>
        <v/>
      </c>
      <c r="AY601" s="41" t="str">
        <f aca="false">IF(AX601="","",IFERROR(MATCH(AX601,INDEX(Boundaries!$B$2:$I$30,MATCH(CQ601,Boundaries!$A$2:$A$30,0),0),1)-1,""))</f>
        <v/>
      </c>
      <c r="AZ601" s="42" t="str">
        <f aca="false">IF(OR(AY601="",$E601=""),"",AY601-$E601)</f>
        <v/>
      </c>
      <c r="BA601" s="39"/>
      <c r="BB601" s="40" t="str">
        <f aca="false">IF(OR(BA601="",CD601=""),"",BA601/CD601*100)</f>
        <v/>
      </c>
      <c r="BC601" s="41" t="str">
        <f aca="false">IF(BB601="","",IFERROR(MATCH(BB601,INDEX(Boundaries!$B$2:$I$30,MATCH(CR601,Boundaries!$A$2:$A$30,0),0),1)-1,""))</f>
        <v/>
      </c>
      <c r="BD601" s="42" t="str">
        <f aca="false">IF(OR(BC601="",$E601=""),"",BC601-$E601)</f>
        <v/>
      </c>
      <c r="BE601" s="39"/>
      <c r="BF601" s="40" t="str">
        <f aca="false">IF(OR(BE601="",CE601=""),"",BE601/CE601*100)</f>
        <v/>
      </c>
      <c r="BG601" s="41" t="str">
        <f aca="false">IF(BF601="","",IFERROR(MATCH(BF601,INDEX(Boundaries!$B$2:$I$30,MATCH(CS601,Boundaries!$A$2:$A$30,0),0),1)-1,""))</f>
        <v/>
      </c>
      <c r="BH601" s="42" t="str">
        <f aca="false">IF(OR(BG601="",$E601=""),"",BG601-$E601)</f>
        <v/>
      </c>
      <c r="BI601" s="39"/>
      <c r="BJ601" s="40" t="str">
        <f aca="false">IF(OR(BI601="",CF601=""),"",BI601/CF601*100)</f>
        <v/>
      </c>
      <c r="BK601" s="41" t="str">
        <f aca="false">IF(BJ601="","",IFERROR(MATCH(BJ601,INDEX(Boundaries!$B$2:$I$30,MATCH(CT601,Boundaries!$A$2:$A$30,0),0),1)-1,""))</f>
        <v/>
      </c>
      <c r="BL601" s="42" t="str">
        <f aca="false">IF(OR(BK601="",$E601=""),"",BK601-$E601)</f>
        <v/>
      </c>
      <c r="BM601" s="39"/>
      <c r="BN601" s="40" t="str">
        <f aca="false">IF(OR(BM601="",CG601=""),"",BM601/CG601*100)</f>
        <v/>
      </c>
      <c r="BO601" s="41" t="str">
        <f aca="false">IF(BN601="","",IFERROR(MATCH(BN601,INDEX(Boundaries!$B$2:$I$30,MATCH(CU601,Boundaries!$A$2:$A$30,0),0),1)-1,""))</f>
        <v/>
      </c>
      <c r="BP601" s="42" t="str">
        <f aca="false">IF(OR(BO601="",$E601=""),"",BO601-$E601)</f>
        <v/>
      </c>
      <c r="BQ601" s="39"/>
      <c r="BR601" s="40" t="str">
        <f aca="false">IF(OR(BQ601="",CH601=""),"",BQ601/CH601*100)</f>
        <v/>
      </c>
      <c r="BS601" s="41" t="str">
        <f aca="false">IF(BR601="","",IFERROR(MATCH(BR601,INDEX(Boundaries!$B$2:$I$30,MATCH(CV601,Boundaries!$A$2:$A$30,0),0),1)-1,""))</f>
        <v/>
      </c>
      <c r="BT601" s="42" t="str">
        <f aca="false">IF(OR(BS601="",$E601=""),"",BS601-$E601)</f>
        <v/>
      </c>
      <c r="BU601" s="28" t="str">
        <f aca="false">IFERROR(INDEX(Assessments!$H$2:$H$600,MATCH($H601&amp;"|"&amp;$I601&amp;"|"&amp;$J601&amp;"|"&amp;1,Assessments!$A$2:$A$600,0)),"")</f>
        <v/>
      </c>
      <c r="BV601" s="28" t="str">
        <f aca="false">IFERROR(INDEX(Assessments!$H$2:$H$600,MATCH($H601&amp;"|"&amp;$I601&amp;"|"&amp;$J601&amp;"|"&amp;2,Assessments!$A$2:$A$600,0)),"")</f>
        <v/>
      </c>
      <c r="BW601" s="28" t="str">
        <f aca="false">IFERROR(INDEX(Assessments!$H$2:$H$600,MATCH($H601&amp;"|"&amp;$I601&amp;"|"&amp;$J601&amp;"|"&amp;3,Assessments!$A$2:$A$600,0)),"")</f>
        <v/>
      </c>
      <c r="BX601" s="28" t="str">
        <f aca="false">IFERROR(INDEX(Assessments!$H$2:$H$600,MATCH($H601&amp;"|"&amp;$I601&amp;"|"&amp;$J601&amp;"|"&amp;4,Assessments!$A$2:$A$600,0)),"")</f>
        <v/>
      </c>
      <c r="BY601" s="28" t="str">
        <f aca="false">IFERROR(INDEX(Assessments!$H$2:$H$600,MATCH($H601&amp;"|"&amp;$I601&amp;"|"&amp;$J601&amp;"|"&amp;5,Assessments!$A$2:$A$600,0)),"")</f>
        <v/>
      </c>
      <c r="BZ601" s="28" t="str">
        <f aca="false">IFERROR(INDEX(Assessments!$H$2:$H$600,MATCH($H601&amp;"|"&amp;$I601&amp;"|"&amp;$J601&amp;"|"&amp;6,Assessments!$A$2:$A$600,0)),"")</f>
        <v/>
      </c>
      <c r="CA601" s="28" t="str">
        <f aca="false">IFERROR(INDEX(Assessments!$H$2:$H$600,MATCH($H601&amp;"|"&amp;$I601&amp;"|"&amp;$J601&amp;"|"&amp;7,Assessments!$A$2:$A$600,0)),"")</f>
        <v/>
      </c>
      <c r="CB601" s="28" t="str">
        <f aca="false">IFERROR(INDEX(Assessments!$H$2:$H$600,MATCH($H601&amp;"|"&amp;$I601&amp;"|"&amp;$J601&amp;"|"&amp;8,Assessments!$A$2:$A$600,0)),"")</f>
        <v/>
      </c>
      <c r="CC601" s="28" t="str">
        <f aca="false">IFERROR(INDEX(Assessments!$H$2:$H$600,MATCH($H601&amp;"|"&amp;$I601&amp;"|"&amp;$J601&amp;"|"&amp;9,Assessments!$A$2:$A$600,0)),"")</f>
        <v/>
      </c>
      <c r="CD601" s="28" t="str">
        <f aca="false">IFERROR(INDEX(Assessments!$H$2:$H$600,MATCH($H601&amp;"|"&amp;$I601&amp;"|"&amp;$J601&amp;"|"&amp;10,Assessments!$A$2:$A$600,0)),"")</f>
        <v/>
      </c>
      <c r="CE601" s="28" t="str">
        <f aca="false">IFERROR(INDEX(Assessments!$H$2:$H$600,MATCH($H601&amp;"|"&amp;$I601&amp;"|"&amp;$J601&amp;"|"&amp;11,Assessments!$A$2:$A$600,0)),"")</f>
        <v/>
      </c>
      <c r="CF601" s="28" t="str">
        <f aca="false">IFERROR(INDEX(Assessments!$H$2:$H$600,MATCH($H601&amp;"|"&amp;$I601&amp;"|"&amp;$J601&amp;"|"&amp;12,Assessments!$A$2:$A$600,0)),"")</f>
        <v/>
      </c>
      <c r="CG601" s="28" t="str">
        <f aca="false">IFERROR(INDEX(Assessments!$H$2:$H$600,MATCH($H601&amp;"|"&amp;$I601&amp;"|"&amp;$J601&amp;"|"&amp;13,Assessments!$A$2:$A$600,0)),"")</f>
        <v/>
      </c>
      <c r="CH601" s="28" t="str">
        <f aca="false">IFERROR(INDEX(Assessments!$H$2:$H$600,MATCH($H601&amp;"|"&amp;$I601&amp;"|"&amp;$J601&amp;"|"&amp;14,Assessments!$A$2:$A$600,0)),"")</f>
        <v/>
      </c>
      <c r="CI601" s="28" t="str">
        <f aca="false">IFERROR(INDEX(Assessments!$I$2:$I$600,MATCH($H601&amp;"|"&amp;$I601&amp;"|"&amp;$J601&amp;"|"&amp;1,Assessments!$A$2:$A$600,0)),"")</f>
        <v/>
      </c>
      <c r="CJ601" s="28" t="str">
        <f aca="false">IFERROR(INDEX(Assessments!$I$2:$I$600,MATCH($H601&amp;"|"&amp;$I601&amp;"|"&amp;$J601&amp;"|"&amp;2,Assessments!$A$2:$A$600,0)),"")</f>
        <v/>
      </c>
      <c r="CK601" s="28" t="str">
        <f aca="false">IFERROR(INDEX(Assessments!$I$2:$I$600,MATCH($H601&amp;"|"&amp;$I601&amp;"|"&amp;$J601&amp;"|"&amp;3,Assessments!$A$2:$A$600,0)),"")</f>
        <v/>
      </c>
      <c r="CL601" s="28" t="str">
        <f aca="false">IFERROR(INDEX(Assessments!$I$2:$I$600,MATCH($H601&amp;"|"&amp;$I601&amp;"|"&amp;$J601&amp;"|"&amp;4,Assessments!$A$2:$A$600,0)),"")</f>
        <v/>
      </c>
      <c r="CM601" s="28" t="str">
        <f aca="false">IFERROR(INDEX(Assessments!$I$2:$I$600,MATCH($H601&amp;"|"&amp;$I601&amp;"|"&amp;$J601&amp;"|"&amp;5,Assessments!$A$2:$A$600,0)),"")</f>
        <v/>
      </c>
      <c r="CN601" s="28" t="str">
        <f aca="false">IFERROR(INDEX(Assessments!$I$2:$I$600,MATCH($H601&amp;"|"&amp;$I601&amp;"|"&amp;$J601&amp;"|"&amp;6,Assessments!$A$2:$A$600,0)),"")</f>
        <v/>
      </c>
      <c r="CO601" s="28" t="str">
        <f aca="false">IFERROR(INDEX(Assessments!$I$2:$I$600,MATCH($H601&amp;"|"&amp;$I601&amp;"|"&amp;$J601&amp;"|"&amp;7,Assessments!$A$2:$A$600,0)),"")</f>
        <v/>
      </c>
      <c r="CP601" s="28" t="str">
        <f aca="false">IFERROR(INDEX(Assessments!$I$2:$I$600,MATCH($H601&amp;"|"&amp;$I601&amp;"|"&amp;$J601&amp;"|"&amp;8,Assessments!$A$2:$A$600,0)),"")</f>
        <v/>
      </c>
      <c r="CQ601" s="28" t="str">
        <f aca="false">IFERROR(INDEX(Assessments!$I$2:$I$600,MATCH($H601&amp;"|"&amp;$I601&amp;"|"&amp;$J601&amp;"|"&amp;9,Assessments!$A$2:$A$600,0)),"")</f>
        <v/>
      </c>
      <c r="CR601" s="28" t="str">
        <f aca="false">IFERROR(INDEX(Assessments!$I$2:$I$600,MATCH($H601&amp;"|"&amp;$I601&amp;"|"&amp;$J601&amp;"|"&amp;10,Assessments!$A$2:$A$600,0)),"")</f>
        <v/>
      </c>
      <c r="CS601" s="28" t="str">
        <f aca="false">IFERROR(INDEX(Assessments!$I$2:$I$600,MATCH($H601&amp;"|"&amp;$I601&amp;"|"&amp;$J601&amp;"|"&amp;11,Assessments!$A$2:$A$600,0)),"")</f>
        <v/>
      </c>
      <c r="CT601" s="28" t="str">
        <f aca="false">IFERROR(INDEX(Assessments!$I$2:$I$600,MATCH($H601&amp;"|"&amp;$I601&amp;"|"&amp;$J601&amp;"|"&amp;12,Assessments!$A$2:$A$600,0)),"")</f>
        <v/>
      </c>
      <c r="CU601" s="28" t="str">
        <f aca="false">IFERROR(INDEX(Assessments!$I$2:$I$600,MATCH($H601&amp;"|"&amp;$I601&amp;"|"&amp;$J601&amp;"|"&amp;13,Assessments!$A$2:$A$600,0)),"")</f>
        <v/>
      </c>
      <c r="CV601" s="28" t="str">
        <f aca="false">IFERROR(INDEX(Assessments!$I$2:$I$600,MATCH($H601&amp;"|"&amp;$I601&amp;"|"&amp;$J601&amp;"|"&amp;14,Assessments!$A$2:$A$600,0)),"")</f>
        <v/>
      </c>
      <c r="CW601" s="28" t="n">
        <f aca="false">IFERROR(INDEX(Assessments!$J$2:$J$600,MATCH($H601&amp;"|"&amp;$I601&amp;"|"&amp;$J601&amp;"|"&amp;1,Assessments!$A$2:$A$600,0)),0)</f>
        <v>0</v>
      </c>
      <c r="CX601" s="28" t="n">
        <f aca="false">IFERROR(INDEX(Assessments!$J$2:$J$600,MATCH($H601&amp;"|"&amp;$I601&amp;"|"&amp;$J601&amp;"|"&amp;2,Assessments!$A$2:$A$600,0)),0)</f>
        <v>0</v>
      </c>
      <c r="CY601" s="28" t="n">
        <f aca="false">IFERROR(INDEX(Assessments!$J$2:$J$600,MATCH($H601&amp;"|"&amp;$I601&amp;"|"&amp;$J601&amp;"|"&amp;3,Assessments!$A$2:$A$600,0)),0)</f>
        <v>0</v>
      </c>
      <c r="CZ601" s="28" t="n">
        <f aca="false">IFERROR(INDEX(Assessments!$J$2:$J$600,MATCH($H601&amp;"|"&amp;$I601&amp;"|"&amp;$J601&amp;"|"&amp;4,Assessments!$A$2:$A$600,0)),0)</f>
        <v>0</v>
      </c>
      <c r="DA601" s="28" t="n">
        <f aca="false">IFERROR(INDEX(Assessments!$J$2:$J$600,MATCH($H601&amp;"|"&amp;$I601&amp;"|"&amp;$J601&amp;"|"&amp;5,Assessments!$A$2:$A$600,0)),0)</f>
        <v>0</v>
      </c>
      <c r="DB601" s="28" t="n">
        <f aca="false">IFERROR(INDEX(Assessments!$J$2:$J$600,MATCH($H601&amp;"|"&amp;$I601&amp;"|"&amp;$J601&amp;"|"&amp;6,Assessments!$A$2:$A$600,0)),0)</f>
        <v>0</v>
      </c>
      <c r="DC601" s="28" t="n">
        <f aca="false">IFERROR(INDEX(Assessments!$J$2:$J$600,MATCH($H601&amp;"|"&amp;$I601&amp;"|"&amp;$J601&amp;"|"&amp;7,Assessments!$A$2:$A$600,0)),0)</f>
        <v>0</v>
      </c>
      <c r="DD601" s="28" t="n">
        <f aca="false">IFERROR(INDEX(Assessments!$J$2:$J$600,MATCH($H601&amp;"|"&amp;$I601&amp;"|"&amp;$J601&amp;"|"&amp;8,Assessments!$A$2:$A$600,0)),0)</f>
        <v>0</v>
      </c>
      <c r="DE601" s="28" t="n">
        <f aca="false">IFERROR(INDEX(Assessments!$J$2:$J$600,MATCH($H601&amp;"|"&amp;$I601&amp;"|"&amp;$J601&amp;"|"&amp;9,Assessments!$A$2:$A$600,0)),0)</f>
        <v>0</v>
      </c>
      <c r="DF601" s="28" t="n">
        <f aca="false">IFERROR(INDEX(Assessments!$J$2:$J$600,MATCH($H601&amp;"|"&amp;$I601&amp;"|"&amp;$J601&amp;"|"&amp;10,Assessments!$A$2:$A$600,0)),0)</f>
        <v>0</v>
      </c>
      <c r="DG601" s="28" t="n">
        <f aca="false">IFERROR(INDEX(Assessments!$J$2:$J$600,MATCH($H601&amp;"|"&amp;$I601&amp;"|"&amp;$J601&amp;"|"&amp;11,Assessments!$A$2:$A$600,0)),0)</f>
        <v>0</v>
      </c>
      <c r="DH601" s="28" t="n">
        <f aca="false">IFERROR(INDEX(Assessments!$J$2:$J$600,MATCH($H601&amp;"|"&amp;$I601&amp;"|"&amp;$J601&amp;"|"&amp;12,Assessments!$A$2:$A$600,0)),0)</f>
        <v>0</v>
      </c>
      <c r="DI601" s="28" t="n">
        <f aca="false">IFERROR(INDEX(Assessments!$J$2:$J$600,MATCH($H601&amp;"|"&amp;$I601&amp;"|"&amp;$J601&amp;"|"&amp;13,Assessments!$A$2:$A$600,0)),0)</f>
        <v>0</v>
      </c>
      <c r="DJ601" s="28" t="n">
        <f aca="false">IFERROR(INDEX(Assessments!$J$2:$J$600,MATCH($H601&amp;"|"&amp;$I601&amp;"|"&amp;$J601&amp;"|"&amp;14,Assessments!$A$2:$A$600,0)),0)</f>
        <v>0</v>
      </c>
      <c r="DK601" s="28" t="str">
        <f aca="false">S601</f>
        <v/>
      </c>
      <c r="DL601" s="28" t="str">
        <f aca="false">W601</f>
        <v/>
      </c>
      <c r="DM601" s="28" t="str">
        <f aca="false">AA601</f>
        <v/>
      </c>
      <c r="DN601" s="28" t="str">
        <f aca="false">AE601</f>
        <v/>
      </c>
      <c r="DO601" s="28" t="str">
        <f aca="false">AI601</f>
        <v/>
      </c>
      <c r="DP601" s="28" t="str">
        <f aca="false">AM601</f>
        <v/>
      </c>
      <c r="DQ601" s="28" t="str">
        <f aca="false">AQ601</f>
        <v/>
      </c>
      <c r="DR601" s="28" t="str">
        <f aca="false">AU601</f>
        <v/>
      </c>
      <c r="DS601" s="28" t="str">
        <f aca="false">AY601</f>
        <v/>
      </c>
      <c r="DT601" s="28" t="str">
        <f aca="false">BC601</f>
        <v/>
      </c>
      <c r="DU601" s="28" t="str">
        <f aca="false">BG601</f>
        <v/>
      </c>
      <c r="DV601" s="28" t="str">
        <f aca="false">BK601</f>
        <v/>
      </c>
      <c r="DW601" s="28" t="str">
        <f aca="false">BO601</f>
        <v/>
      </c>
      <c r="DX601" s="28" t="str">
        <f aca="false">BS601</f>
        <v/>
      </c>
      <c r="DY601" s="28" t="str">
        <f aca="false">IF(ISNUMBER(S601),1,"")</f>
        <v/>
      </c>
      <c r="DZ601" s="28" t="str">
        <f aca="false">IF(ISNUMBER(W601),2,"")</f>
        <v/>
      </c>
      <c r="EA601" s="28" t="str">
        <f aca="false">IF(ISNUMBER(AA601),3,"")</f>
        <v/>
      </c>
      <c r="EB601" s="28" t="str">
        <f aca="false">IF(ISNUMBER(AE601),4,"")</f>
        <v/>
      </c>
      <c r="EC601" s="28" t="str">
        <f aca="false">IF(ISNUMBER(AI601),5,"")</f>
        <v/>
      </c>
      <c r="ED601" s="28" t="str">
        <f aca="false">IF(ISNUMBER(AM601),6,"")</f>
        <v/>
      </c>
      <c r="EE601" s="28" t="str">
        <f aca="false">IF(ISNUMBER(AQ601),7,"")</f>
        <v/>
      </c>
      <c r="EF601" s="28" t="str">
        <f aca="false">IF(ISNUMBER(AU601),8,"")</f>
        <v/>
      </c>
      <c r="EG601" s="28" t="str">
        <f aca="false">IF(ISNUMBER(AY601),9,"")</f>
        <v/>
      </c>
      <c r="EH601" s="28" t="str">
        <f aca="false">IF(ISNUMBER(BC601),10,"")</f>
        <v/>
      </c>
      <c r="EI601" s="28" t="str">
        <f aca="false">IF(ISNUMBER(BG601),11,"")</f>
        <v/>
      </c>
      <c r="EJ601" s="28" t="str">
        <f aca="false">IF(ISNUMBER(BK601),12,"")</f>
        <v/>
      </c>
      <c r="EK601" s="28" t="str">
        <f aca="false">IF(ISNUMBER(BO601),13,"")</f>
        <v/>
      </c>
      <c r="EL601" s="28" t="str">
        <f aca="false">IF(ISNUMBER(BS601),14,"")</f>
        <v/>
      </c>
      <c r="EM601" s="28" t="n">
        <f aca="false">IF(ISNUMBER(R601),R601*CW601,0)</f>
        <v>0</v>
      </c>
      <c r="EN601" s="28" t="n">
        <f aca="false">IF(ISNUMBER(V601),V601*CX601,0)</f>
        <v>0</v>
      </c>
      <c r="EO601" s="28" t="n">
        <f aca="false">IF(ISNUMBER(Z601),Z601*CY601,0)</f>
        <v>0</v>
      </c>
      <c r="EP601" s="28" t="n">
        <f aca="false">IF(ISNUMBER(AD601),AD601*CZ601,0)</f>
        <v>0</v>
      </c>
      <c r="EQ601" s="28" t="n">
        <f aca="false">IF(ISNUMBER(AH601),AH601*DA601,0)</f>
        <v>0</v>
      </c>
      <c r="ER601" s="28" t="n">
        <f aca="false">IF(ISNUMBER(AL601),AL601*DB601,0)</f>
        <v>0</v>
      </c>
      <c r="ES601" s="28" t="n">
        <f aca="false">IF(ISNUMBER(AP601),AP601*DC601,0)</f>
        <v>0</v>
      </c>
      <c r="ET601" s="28" t="n">
        <f aca="false">IF(ISNUMBER(AT601),AT601*DD601,0)</f>
        <v>0</v>
      </c>
      <c r="EU601" s="28" t="n">
        <f aca="false">IF(ISNUMBER(AX601),AX601*DE601,0)</f>
        <v>0</v>
      </c>
      <c r="EV601" s="28" t="n">
        <f aca="false">IF(ISNUMBER(BB601),BB601*DF601,0)</f>
        <v>0</v>
      </c>
      <c r="EW601" s="28" t="n">
        <f aca="false">IF(ISNUMBER(BF601),BF601*DG601,0)</f>
        <v>0</v>
      </c>
      <c r="EX601" s="28" t="n">
        <f aca="false">IF(ISNUMBER(BJ601),BJ601*DH601,0)</f>
        <v>0</v>
      </c>
      <c r="EY601" s="28" t="n">
        <f aca="false">IF(ISNUMBER(BN601),BN601*DI601,0)</f>
        <v>0</v>
      </c>
      <c r="EZ601" s="28" t="n">
        <f aca="false">IF(ISNUMBER(BR601),BR601*DJ601,0)</f>
        <v>0</v>
      </c>
      <c r="FA601" s="28" t="n">
        <f aca="false">IF(ISNUMBER(R601),CW601,0)</f>
        <v>0</v>
      </c>
      <c r="FB601" s="28" t="n">
        <f aca="false">IF(ISNUMBER(V601),CX601,0)</f>
        <v>0</v>
      </c>
      <c r="FC601" s="28" t="n">
        <f aca="false">IF(ISNUMBER(Z601),CY601,0)</f>
        <v>0</v>
      </c>
      <c r="FD601" s="28" t="n">
        <f aca="false">IF(ISNUMBER(AD601),CZ601,0)</f>
        <v>0</v>
      </c>
      <c r="FE601" s="28" t="n">
        <f aca="false">IF(ISNUMBER(AH601),DA601,0)</f>
        <v>0</v>
      </c>
      <c r="FF601" s="28" t="n">
        <f aca="false">IF(ISNUMBER(AL601),DB601,0)</f>
        <v>0</v>
      </c>
      <c r="FG601" s="28" t="n">
        <f aca="false">IF(ISNUMBER(AP601),DC601,0)</f>
        <v>0</v>
      </c>
      <c r="FH601" s="28" t="n">
        <f aca="false">IF(ISNUMBER(AT601),DD601,0)</f>
        <v>0</v>
      </c>
      <c r="FI601" s="28" t="n">
        <f aca="false">IF(ISNUMBER(AX601),DE601,0)</f>
        <v>0</v>
      </c>
      <c r="FJ601" s="28" t="n">
        <f aca="false">IF(ISNUMBER(BB601),DF601,0)</f>
        <v>0</v>
      </c>
      <c r="FK601" s="28" t="n">
        <f aca="false">IF(ISNUMBER(BF601),DG601,0)</f>
        <v>0</v>
      </c>
      <c r="FL601" s="28" t="n">
        <f aca="false">IF(ISNUMBER(BJ601),DH601,0)</f>
        <v>0</v>
      </c>
      <c r="FM601" s="28" t="n">
        <f aca="false">IF(ISNUMBER(BN601),DI601,0)</f>
        <v>0</v>
      </c>
      <c r="FN601" s="28" t="n">
        <f aca="false">IF(ISNUMBER(BR601),DJ601,0)</f>
        <v>0</v>
      </c>
      <c r="FO601" s="28" t="str">
        <f aca="false">IFERROR(INDEX(Lists!$G$2:$G$20,MATCH($I601&amp;"|"&amp;$J601,Lists!$F$2:$F$20,0)),"")</f>
        <v/>
      </c>
    </row>
    <row r="602" customFormat="false" ht="19.5" hidden="false" customHeight="true" outlineLevel="0" collapsed="false">
      <c r="A602" s="29"/>
      <c r="B602" s="29"/>
      <c r="C602" s="30"/>
      <c r="D602" s="30"/>
      <c r="E602" s="31"/>
      <c r="F602" s="30"/>
      <c r="G602" s="30"/>
      <c r="H602" s="32"/>
      <c r="I602" s="33"/>
      <c r="J602" s="32"/>
      <c r="K602" s="34" t="str">
        <f aca="false">IF(OR(M602="",$E602=""),"",M602-$E602)</f>
        <v/>
      </c>
      <c r="L602" s="35" t="str">
        <f aca="false">IF(SUM(FA602:FN602)=0,"",SUM(EM602:EZ602)/SUM(FA602:FN602))</f>
        <v/>
      </c>
      <c r="M602" s="36" t="str">
        <f aca="false">IF(OR(L602="",FO602=""),"",IFERROR(MATCH(L602,INDEX(Boundaries!$B$2:$I$30,MATCH(FO602,Boundaries!$A$2:$A$30,0),0),1)-1,""))</f>
        <v/>
      </c>
      <c r="N602" s="37" t="str">
        <f aca="false">IF(COUNT($DY602:$EL602)&lt;2,"",INDEX($DK602:$DX602,MAX($DY602:$EL602))-INDEX($DK602:$DX602,MIN($DY602:$EL602)))</f>
        <v/>
      </c>
      <c r="O602" s="37" t="str">
        <f aca="false">IF(COUNT($DY602:$EL602)&lt;2,"",INDEX($DK602:$DX602,MAX($DY602:$EL602))-INDEX($DK602:$DX602,LARGE($DY602:$EL602,2)))</f>
        <v/>
      </c>
      <c r="P602" s="38" t="str">
        <f aca="false">IF(K602="","",IF(K602&gt;=0,"On/above target",IF(AND(N602&lt;&gt;"",N602&gt;=0.5),"Improving towards target",IF(AND(O602&lt;&gt;"",O602&lt;=-0.5),"Declining","Stable below target"))))</f>
        <v/>
      </c>
      <c r="Q602" s="39"/>
      <c r="R602" s="40" t="str">
        <f aca="false">IF(OR(Q602="",BU602=""),"",Q602/BU602*100)</f>
        <v/>
      </c>
      <c r="S602" s="41" t="str">
        <f aca="false">IF(R602="","",IFERROR(MATCH(R602,INDEX(Boundaries!$B$2:$I$30,MATCH(CI602,Boundaries!$A$2:$A$30,0),0),1)-1,""))</f>
        <v/>
      </c>
      <c r="T602" s="42" t="str">
        <f aca="false">IF(OR(S602="",$E602=""),"",S602-$E602)</f>
        <v/>
      </c>
      <c r="U602" s="39"/>
      <c r="V602" s="40" t="str">
        <f aca="false">IF(OR(U602="",BV602=""),"",U602/BV602*100)</f>
        <v/>
      </c>
      <c r="W602" s="41" t="str">
        <f aca="false">IF(V602="","",IFERROR(MATCH(V602,INDEX(Boundaries!$B$2:$I$30,MATCH(CJ602,Boundaries!$A$2:$A$30,0),0),1)-1,""))</f>
        <v/>
      </c>
      <c r="X602" s="42" t="str">
        <f aca="false">IF(OR(W602="",$E602=""),"",W602-$E602)</f>
        <v/>
      </c>
      <c r="Y602" s="39"/>
      <c r="Z602" s="40" t="str">
        <f aca="false">IF(OR(Y602="",BW602=""),"",Y602/BW602*100)</f>
        <v/>
      </c>
      <c r="AA602" s="41" t="str">
        <f aca="false">IF(Z602="","",IFERROR(MATCH(Z602,INDEX(Boundaries!$B$2:$I$30,MATCH(CK602,Boundaries!$A$2:$A$30,0),0),1)-1,""))</f>
        <v/>
      </c>
      <c r="AB602" s="42" t="str">
        <f aca="false">IF(OR(AA602="",$E602=""),"",AA602-$E602)</f>
        <v/>
      </c>
      <c r="AC602" s="39"/>
      <c r="AD602" s="40" t="str">
        <f aca="false">IF(OR(AC602="",BX602=""),"",AC602/BX602*100)</f>
        <v/>
      </c>
      <c r="AE602" s="41" t="str">
        <f aca="false">IF(AD602="","",IFERROR(MATCH(AD602,INDEX(Boundaries!$B$2:$I$30,MATCH(CL602,Boundaries!$A$2:$A$30,0),0),1)-1,""))</f>
        <v/>
      </c>
      <c r="AF602" s="42" t="str">
        <f aca="false">IF(OR(AE602="",$E602=""),"",AE602-$E602)</f>
        <v/>
      </c>
      <c r="AG602" s="39"/>
      <c r="AH602" s="40" t="str">
        <f aca="false">IF(OR(AG602="",BY602=""),"",AG602/BY602*100)</f>
        <v/>
      </c>
      <c r="AI602" s="41" t="str">
        <f aca="false">IF(AH602="","",IFERROR(MATCH(AH602,INDEX(Boundaries!$B$2:$I$30,MATCH(CM602,Boundaries!$A$2:$A$30,0),0),1)-1,""))</f>
        <v/>
      </c>
      <c r="AJ602" s="42" t="str">
        <f aca="false">IF(OR(AI602="",$E602=""),"",AI602-$E602)</f>
        <v/>
      </c>
      <c r="AK602" s="39"/>
      <c r="AL602" s="40" t="str">
        <f aca="false">IF(OR(AK602="",BZ602=""),"",AK602/BZ602*100)</f>
        <v/>
      </c>
      <c r="AM602" s="41" t="str">
        <f aca="false">IF(AL602="","",IFERROR(MATCH(AL602,INDEX(Boundaries!$B$2:$I$30,MATCH(CN602,Boundaries!$A$2:$A$30,0),0),1)-1,""))</f>
        <v/>
      </c>
      <c r="AN602" s="42" t="str">
        <f aca="false">IF(OR(AM602="",$E602=""),"",AM602-$E602)</f>
        <v/>
      </c>
      <c r="AO602" s="39"/>
      <c r="AP602" s="40" t="str">
        <f aca="false">IF(OR(AO602="",CA602=""),"",AO602/CA602*100)</f>
        <v/>
      </c>
      <c r="AQ602" s="41" t="str">
        <f aca="false">IF(AP602="","",IFERROR(MATCH(AP602,INDEX(Boundaries!$B$2:$I$30,MATCH(CO602,Boundaries!$A$2:$A$30,0),0),1)-1,""))</f>
        <v/>
      </c>
      <c r="AR602" s="42" t="str">
        <f aca="false">IF(OR(AQ602="",$E602=""),"",AQ602-$E602)</f>
        <v/>
      </c>
      <c r="AS602" s="39"/>
      <c r="AT602" s="40" t="str">
        <f aca="false">IF(OR(AS602="",CB602=""),"",AS602/CB602*100)</f>
        <v/>
      </c>
      <c r="AU602" s="41" t="str">
        <f aca="false">IF(AT602="","",IFERROR(MATCH(AT602,INDEX(Boundaries!$B$2:$I$30,MATCH(CP602,Boundaries!$A$2:$A$30,0),0),1)-1,""))</f>
        <v/>
      </c>
      <c r="AV602" s="42" t="str">
        <f aca="false">IF(OR(AU602="",$E602=""),"",AU602-$E602)</f>
        <v/>
      </c>
      <c r="AW602" s="39"/>
      <c r="AX602" s="40" t="str">
        <f aca="false">IF(OR(AW602="",CC602=""),"",AW602/CC602*100)</f>
        <v/>
      </c>
      <c r="AY602" s="41" t="str">
        <f aca="false">IF(AX602="","",IFERROR(MATCH(AX602,INDEX(Boundaries!$B$2:$I$30,MATCH(CQ602,Boundaries!$A$2:$A$30,0),0),1)-1,""))</f>
        <v/>
      </c>
      <c r="AZ602" s="42" t="str">
        <f aca="false">IF(OR(AY602="",$E602=""),"",AY602-$E602)</f>
        <v/>
      </c>
      <c r="BA602" s="39"/>
      <c r="BB602" s="40" t="str">
        <f aca="false">IF(OR(BA602="",CD602=""),"",BA602/CD602*100)</f>
        <v/>
      </c>
      <c r="BC602" s="41" t="str">
        <f aca="false">IF(BB602="","",IFERROR(MATCH(BB602,INDEX(Boundaries!$B$2:$I$30,MATCH(CR602,Boundaries!$A$2:$A$30,0),0),1)-1,""))</f>
        <v/>
      </c>
      <c r="BD602" s="42" t="str">
        <f aca="false">IF(OR(BC602="",$E602=""),"",BC602-$E602)</f>
        <v/>
      </c>
      <c r="BE602" s="39"/>
      <c r="BF602" s="40" t="str">
        <f aca="false">IF(OR(BE602="",CE602=""),"",BE602/CE602*100)</f>
        <v/>
      </c>
      <c r="BG602" s="41" t="str">
        <f aca="false">IF(BF602="","",IFERROR(MATCH(BF602,INDEX(Boundaries!$B$2:$I$30,MATCH(CS602,Boundaries!$A$2:$A$30,0),0),1)-1,""))</f>
        <v/>
      </c>
      <c r="BH602" s="42" t="str">
        <f aca="false">IF(OR(BG602="",$E602=""),"",BG602-$E602)</f>
        <v/>
      </c>
      <c r="BI602" s="39"/>
      <c r="BJ602" s="40" t="str">
        <f aca="false">IF(OR(BI602="",CF602=""),"",BI602/CF602*100)</f>
        <v/>
      </c>
      <c r="BK602" s="41" t="str">
        <f aca="false">IF(BJ602="","",IFERROR(MATCH(BJ602,INDEX(Boundaries!$B$2:$I$30,MATCH(CT602,Boundaries!$A$2:$A$30,0),0),1)-1,""))</f>
        <v/>
      </c>
      <c r="BL602" s="42" t="str">
        <f aca="false">IF(OR(BK602="",$E602=""),"",BK602-$E602)</f>
        <v/>
      </c>
      <c r="BM602" s="39"/>
      <c r="BN602" s="40" t="str">
        <f aca="false">IF(OR(BM602="",CG602=""),"",BM602/CG602*100)</f>
        <v/>
      </c>
      <c r="BO602" s="41" t="str">
        <f aca="false">IF(BN602="","",IFERROR(MATCH(BN602,INDEX(Boundaries!$B$2:$I$30,MATCH(CU602,Boundaries!$A$2:$A$30,0),0),1)-1,""))</f>
        <v/>
      </c>
      <c r="BP602" s="42" t="str">
        <f aca="false">IF(OR(BO602="",$E602=""),"",BO602-$E602)</f>
        <v/>
      </c>
      <c r="BQ602" s="39"/>
      <c r="BR602" s="40" t="str">
        <f aca="false">IF(OR(BQ602="",CH602=""),"",BQ602/CH602*100)</f>
        <v/>
      </c>
      <c r="BS602" s="41" t="str">
        <f aca="false">IF(BR602="","",IFERROR(MATCH(BR602,INDEX(Boundaries!$B$2:$I$30,MATCH(CV602,Boundaries!$A$2:$A$30,0),0),1)-1,""))</f>
        <v/>
      </c>
      <c r="BT602" s="42" t="str">
        <f aca="false">IF(OR(BS602="",$E602=""),"",BS602-$E602)</f>
        <v/>
      </c>
      <c r="BU602" s="28" t="str">
        <f aca="false">IFERROR(INDEX(Assessments!$H$2:$H$600,MATCH($H602&amp;"|"&amp;$I602&amp;"|"&amp;$J602&amp;"|"&amp;1,Assessments!$A$2:$A$600,0)),"")</f>
        <v/>
      </c>
      <c r="BV602" s="28" t="str">
        <f aca="false">IFERROR(INDEX(Assessments!$H$2:$H$600,MATCH($H602&amp;"|"&amp;$I602&amp;"|"&amp;$J602&amp;"|"&amp;2,Assessments!$A$2:$A$600,0)),"")</f>
        <v/>
      </c>
      <c r="BW602" s="28" t="str">
        <f aca="false">IFERROR(INDEX(Assessments!$H$2:$H$600,MATCH($H602&amp;"|"&amp;$I602&amp;"|"&amp;$J602&amp;"|"&amp;3,Assessments!$A$2:$A$600,0)),"")</f>
        <v/>
      </c>
      <c r="BX602" s="28" t="str">
        <f aca="false">IFERROR(INDEX(Assessments!$H$2:$H$600,MATCH($H602&amp;"|"&amp;$I602&amp;"|"&amp;$J602&amp;"|"&amp;4,Assessments!$A$2:$A$600,0)),"")</f>
        <v/>
      </c>
      <c r="BY602" s="28" t="str">
        <f aca="false">IFERROR(INDEX(Assessments!$H$2:$H$600,MATCH($H602&amp;"|"&amp;$I602&amp;"|"&amp;$J602&amp;"|"&amp;5,Assessments!$A$2:$A$600,0)),"")</f>
        <v/>
      </c>
      <c r="BZ602" s="28" t="str">
        <f aca="false">IFERROR(INDEX(Assessments!$H$2:$H$600,MATCH($H602&amp;"|"&amp;$I602&amp;"|"&amp;$J602&amp;"|"&amp;6,Assessments!$A$2:$A$600,0)),"")</f>
        <v/>
      </c>
      <c r="CA602" s="28" t="str">
        <f aca="false">IFERROR(INDEX(Assessments!$H$2:$H$600,MATCH($H602&amp;"|"&amp;$I602&amp;"|"&amp;$J602&amp;"|"&amp;7,Assessments!$A$2:$A$600,0)),"")</f>
        <v/>
      </c>
      <c r="CB602" s="28" t="str">
        <f aca="false">IFERROR(INDEX(Assessments!$H$2:$H$600,MATCH($H602&amp;"|"&amp;$I602&amp;"|"&amp;$J602&amp;"|"&amp;8,Assessments!$A$2:$A$600,0)),"")</f>
        <v/>
      </c>
      <c r="CC602" s="28" t="str">
        <f aca="false">IFERROR(INDEX(Assessments!$H$2:$H$600,MATCH($H602&amp;"|"&amp;$I602&amp;"|"&amp;$J602&amp;"|"&amp;9,Assessments!$A$2:$A$600,0)),"")</f>
        <v/>
      </c>
      <c r="CD602" s="28" t="str">
        <f aca="false">IFERROR(INDEX(Assessments!$H$2:$H$600,MATCH($H602&amp;"|"&amp;$I602&amp;"|"&amp;$J602&amp;"|"&amp;10,Assessments!$A$2:$A$600,0)),"")</f>
        <v/>
      </c>
      <c r="CE602" s="28" t="str">
        <f aca="false">IFERROR(INDEX(Assessments!$H$2:$H$600,MATCH($H602&amp;"|"&amp;$I602&amp;"|"&amp;$J602&amp;"|"&amp;11,Assessments!$A$2:$A$600,0)),"")</f>
        <v/>
      </c>
      <c r="CF602" s="28" t="str">
        <f aca="false">IFERROR(INDEX(Assessments!$H$2:$H$600,MATCH($H602&amp;"|"&amp;$I602&amp;"|"&amp;$J602&amp;"|"&amp;12,Assessments!$A$2:$A$600,0)),"")</f>
        <v/>
      </c>
      <c r="CG602" s="28" t="str">
        <f aca="false">IFERROR(INDEX(Assessments!$H$2:$H$600,MATCH($H602&amp;"|"&amp;$I602&amp;"|"&amp;$J602&amp;"|"&amp;13,Assessments!$A$2:$A$600,0)),"")</f>
        <v/>
      </c>
      <c r="CH602" s="28" t="str">
        <f aca="false">IFERROR(INDEX(Assessments!$H$2:$H$600,MATCH($H602&amp;"|"&amp;$I602&amp;"|"&amp;$J602&amp;"|"&amp;14,Assessments!$A$2:$A$600,0)),"")</f>
        <v/>
      </c>
      <c r="CI602" s="28" t="str">
        <f aca="false">IFERROR(INDEX(Assessments!$I$2:$I$600,MATCH($H602&amp;"|"&amp;$I602&amp;"|"&amp;$J602&amp;"|"&amp;1,Assessments!$A$2:$A$600,0)),"")</f>
        <v/>
      </c>
      <c r="CJ602" s="28" t="str">
        <f aca="false">IFERROR(INDEX(Assessments!$I$2:$I$600,MATCH($H602&amp;"|"&amp;$I602&amp;"|"&amp;$J602&amp;"|"&amp;2,Assessments!$A$2:$A$600,0)),"")</f>
        <v/>
      </c>
      <c r="CK602" s="28" t="str">
        <f aca="false">IFERROR(INDEX(Assessments!$I$2:$I$600,MATCH($H602&amp;"|"&amp;$I602&amp;"|"&amp;$J602&amp;"|"&amp;3,Assessments!$A$2:$A$600,0)),"")</f>
        <v/>
      </c>
      <c r="CL602" s="28" t="str">
        <f aca="false">IFERROR(INDEX(Assessments!$I$2:$I$600,MATCH($H602&amp;"|"&amp;$I602&amp;"|"&amp;$J602&amp;"|"&amp;4,Assessments!$A$2:$A$600,0)),"")</f>
        <v/>
      </c>
      <c r="CM602" s="28" t="str">
        <f aca="false">IFERROR(INDEX(Assessments!$I$2:$I$600,MATCH($H602&amp;"|"&amp;$I602&amp;"|"&amp;$J602&amp;"|"&amp;5,Assessments!$A$2:$A$600,0)),"")</f>
        <v/>
      </c>
      <c r="CN602" s="28" t="str">
        <f aca="false">IFERROR(INDEX(Assessments!$I$2:$I$600,MATCH($H602&amp;"|"&amp;$I602&amp;"|"&amp;$J602&amp;"|"&amp;6,Assessments!$A$2:$A$600,0)),"")</f>
        <v/>
      </c>
      <c r="CO602" s="28" t="str">
        <f aca="false">IFERROR(INDEX(Assessments!$I$2:$I$600,MATCH($H602&amp;"|"&amp;$I602&amp;"|"&amp;$J602&amp;"|"&amp;7,Assessments!$A$2:$A$600,0)),"")</f>
        <v/>
      </c>
      <c r="CP602" s="28" t="str">
        <f aca="false">IFERROR(INDEX(Assessments!$I$2:$I$600,MATCH($H602&amp;"|"&amp;$I602&amp;"|"&amp;$J602&amp;"|"&amp;8,Assessments!$A$2:$A$600,0)),"")</f>
        <v/>
      </c>
      <c r="CQ602" s="28" t="str">
        <f aca="false">IFERROR(INDEX(Assessments!$I$2:$I$600,MATCH($H602&amp;"|"&amp;$I602&amp;"|"&amp;$J602&amp;"|"&amp;9,Assessments!$A$2:$A$600,0)),"")</f>
        <v/>
      </c>
      <c r="CR602" s="28" t="str">
        <f aca="false">IFERROR(INDEX(Assessments!$I$2:$I$600,MATCH($H602&amp;"|"&amp;$I602&amp;"|"&amp;$J602&amp;"|"&amp;10,Assessments!$A$2:$A$600,0)),"")</f>
        <v/>
      </c>
      <c r="CS602" s="28" t="str">
        <f aca="false">IFERROR(INDEX(Assessments!$I$2:$I$600,MATCH($H602&amp;"|"&amp;$I602&amp;"|"&amp;$J602&amp;"|"&amp;11,Assessments!$A$2:$A$600,0)),"")</f>
        <v/>
      </c>
      <c r="CT602" s="28" t="str">
        <f aca="false">IFERROR(INDEX(Assessments!$I$2:$I$600,MATCH($H602&amp;"|"&amp;$I602&amp;"|"&amp;$J602&amp;"|"&amp;12,Assessments!$A$2:$A$600,0)),"")</f>
        <v/>
      </c>
      <c r="CU602" s="28" t="str">
        <f aca="false">IFERROR(INDEX(Assessments!$I$2:$I$600,MATCH($H602&amp;"|"&amp;$I602&amp;"|"&amp;$J602&amp;"|"&amp;13,Assessments!$A$2:$A$600,0)),"")</f>
        <v/>
      </c>
      <c r="CV602" s="28" t="str">
        <f aca="false">IFERROR(INDEX(Assessments!$I$2:$I$600,MATCH($H602&amp;"|"&amp;$I602&amp;"|"&amp;$J602&amp;"|"&amp;14,Assessments!$A$2:$A$600,0)),"")</f>
        <v/>
      </c>
      <c r="CW602" s="28" t="n">
        <f aca="false">IFERROR(INDEX(Assessments!$J$2:$J$600,MATCH($H602&amp;"|"&amp;$I602&amp;"|"&amp;$J602&amp;"|"&amp;1,Assessments!$A$2:$A$600,0)),0)</f>
        <v>0</v>
      </c>
      <c r="CX602" s="28" t="n">
        <f aca="false">IFERROR(INDEX(Assessments!$J$2:$J$600,MATCH($H602&amp;"|"&amp;$I602&amp;"|"&amp;$J602&amp;"|"&amp;2,Assessments!$A$2:$A$600,0)),0)</f>
        <v>0</v>
      </c>
      <c r="CY602" s="28" t="n">
        <f aca="false">IFERROR(INDEX(Assessments!$J$2:$J$600,MATCH($H602&amp;"|"&amp;$I602&amp;"|"&amp;$J602&amp;"|"&amp;3,Assessments!$A$2:$A$600,0)),0)</f>
        <v>0</v>
      </c>
      <c r="CZ602" s="28" t="n">
        <f aca="false">IFERROR(INDEX(Assessments!$J$2:$J$600,MATCH($H602&amp;"|"&amp;$I602&amp;"|"&amp;$J602&amp;"|"&amp;4,Assessments!$A$2:$A$600,0)),0)</f>
        <v>0</v>
      </c>
      <c r="DA602" s="28" t="n">
        <f aca="false">IFERROR(INDEX(Assessments!$J$2:$J$600,MATCH($H602&amp;"|"&amp;$I602&amp;"|"&amp;$J602&amp;"|"&amp;5,Assessments!$A$2:$A$600,0)),0)</f>
        <v>0</v>
      </c>
      <c r="DB602" s="28" t="n">
        <f aca="false">IFERROR(INDEX(Assessments!$J$2:$J$600,MATCH($H602&amp;"|"&amp;$I602&amp;"|"&amp;$J602&amp;"|"&amp;6,Assessments!$A$2:$A$600,0)),0)</f>
        <v>0</v>
      </c>
      <c r="DC602" s="28" t="n">
        <f aca="false">IFERROR(INDEX(Assessments!$J$2:$J$600,MATCH($H602&amp;"|"&amp;$I602&amp;"|"&amp;$J602&amp;"|"&amp;7,Assessments!$A$2:$A$600,0)),0)</f>
        <v>0</v>
      </c>
      <c r="DD602" s="28" t="n">
        <f aca="false">IFERROR(INDEX(Assessments!$J$2:$J$600,MATCH($H602&amp;"|"&amp;$I602&amp;"|"&amp;$J602&amp;"|"&amp;8,Assessments!$A$2:$A$600,0)),0)</f>
        <v>0</v>
      </c>
      <c r="DE602" s="28" t="n">
        <f aca="false">IFERROR(INDEX(Assessments!$J$2:$J$600,MATCH($H602&amp;"|"&amp;$I602&amp;"|"&amp;$J602&amp;"|"&amp;9,Assessments!$A$2:$A$600,0)),0)</f>
        <v>0</v>
      </c>
      <c r="DF602" s="28" t="n">
        <f aca="false">IFERROR(INDEX(Assessments!$J$2:$J$600,MATCH($H602&amp;"|"&amp;$I602&amp;"|"&amp;$J602&amp;"|"&amp;10,Assessments!$A$2:$A$600,0)),0)</f>
        <v>0</v>
      </c>
      <c r="DG602" s="28" t="n">
        <f aca="false">IFERROR(INDEX(Assessments!$J$2:$J$600,MATCH($H602&amp;"|"&amp;$I602&amp;"|"&amp;$J602&amp;"|"&amp;11,Assessments!$A$2:$A$600,0)),0)</f>
        <v>0</v>
      </c>
      <c r="DH602" s="28" t="n">
        <f aca="false">IFERROR(INDEX(Assessments!$J$2:$J$600,MATCH($H602&amp;"|"&amp;$I602&amp;"|"&amp;$J602&amp;"|"&amp;12,Assessments!$A$2:$A$600,0)),0)</f>
        <v>0</v>
      </c>
      <c r="DI602" s="28" t="n">
        <f aca="false">IFERROR(INDEX(Assessments!$J$2:$J$600,MATCH($H602&amp;"|"&amp;$I602&amp;"|"&amp;$J602&amp;"|"&amp;13,Assessments!$A$2:$A$600,0)),0)</f>
        <v>0</v>
      </c>
      <c r="DJ602" s="28" t="n">
        <f aca="false">IFERROR(INDEX(Assessments!$J$2:$J$600,MATCH($H602&amp;"|"&amp;$I602&amp;"|"&amp;$J602&amp;"|"&amp;14,Assessments!$A$2:$A$600,0)),0)</f>
        <v>0</v>
      </c>
      <c r="DK602" s="28" t="str">
        <f aca="false">S602</f>
        <v/>
      </c>
      <c r="DL602" s="28" t="str">
        <f aca="false">W602</f>
        <v/>
      </c>
      <c r="DM602" s="28" t="str">
        <f aca="false">AA602</f>
        <v/>
      </c>
      <c r="DN602" s="28" t="str">
        <f aca="false">AE602</f>
        <v/>
      </c>
      <c r="DO602" s="28" t="str">
        <f aca="false">AI602</f>
        <v/>
      </c>
      <c r="DP602" s="28" t="str">
        <f aca="false">AM602</f>
        <v/>
      </c>
      <c r="DQ602" s="28" t="str">
        <f aca="false">AQ602</f>
        <v/>
      </c>
      <c r="DR602" s="28" t="str">
        <f aca="false">AU602</f>
        <v/>
      </c>
      <c r="DS602" s="28" t="str">
        <f aca="false">AY602</f>
        <v/>
      </c>
      <c r="DT602" s="28" t="str">
        <f aca="false">BC602</f>
        <v/>
      </c>
      <c r="DU602" s="28" t="str">
        <f aca="false">BG602</f>
        <v/>
      </c>
      <c r="DV602" s="28" t="str">
        <f aca="false">BK602</f>
        <v/>
      </c>
      <c r="DW602" s="28" t="str">
        <f aca="false">BO602</f>
        <v/>
      </c>
      <c r="DX602" s="28" t="str">
        <f aca="false">BS602</f>
        <v/>
      </c>
      <c r="DY602" s="28" t="str">
        <f aca="false">IF(ISNUMBER(S602),1,"")</f>
        <v/>
      </c>
      <c r="DZ602" s="28" t="str">
        <f aca="false">IF(ISNUMBER(W602),2,"")</f>
        <v/>
      </c>
      <c r="EA602" s="28" t="str">
        <f aca="false">IF(ISNUMBER(AA602),3,"")</f>
        <v/>
      </c>
      <c r="EB602" s="28" t="str">
        <f aca="false">IF(ISNUMBER(AE602),4,"")</f>
        <v/>
      </c>
      <c r="EC602" s="28" t="str">
        <f aca="false">IF(ISNUMBER(AI602),5,"")</f>
        <v/>
      </c>
      <c r="ED602" s="28" t="str">
        <f aca="false">IF(ISNUMBER(AM602),6,"")</f>
        <v/>
      </c>
      <c r="EE602" s="28" t="str">
        <f aca="false">IF(ISNUMBER(AQ602),7,"")</f>
        <v/>
      </c>
      <c r="EF602" s="28" t="str">
        <f aca="false">IF(ISNUMBER(AU602),8,"")</f>
        <v/>
      </c>
      <c r="EG602" s="28" t="str">
        <f aca="false">IF(ISNUMBER(AY602),9,"")</f>
        <v/>
      </c>
      <c r="EH602" s="28" t="str">
        <f aca="false">IF(ISNUMBER(BC602),10,"")</f>
        <v/>
      </c>
      <c r="EI602" s="28" t="str">
        <f aca="false">IF(ISNUMBER(BG602),11,"")</f>
        <v/>
      </c>
      <c r="EJ602" s="28" t="str">
        <f aca="false">IF(ISNUMBER(BK602),12,"")</f>
        <v/>
      </c>
      <c r="EK602" s="28" t="str">
        <f aca="false">IF(ISNUMBER(BO602),13,"")</f>
        <v/>
      </c>
      <c r="EL602" s="28" t="str">
        <f aca="false">IF(ISNUMBER(BS602),14,"")</f>
        <v/>
      </c>
      <c r="EM602" s="28" t="n">
        <f aca="false">IF(ISNUMBER(R602),R602*CW602,0)</f>
        <v>0</v>
      </c>
      <c r="EN602" s="28" t="n">
        <f aca="false">IF(ISNUMBER(V602),V602*CX602,0)</f>
        <v>0</v>
      </c>
      <c r="EO602" s="28" t="n">
        <f aca="false">IF(ISNUMBER(Z602),Z602*CY602,0)</f>
        <v>0</v>
      </c>
      <c r="EP602" s="28" t="n">
        <f aca="false">IF(ISNUMBER(AD602),AD602*CZ602,0)</f>
        <v>0</v>
      </c>
      <c r="EQ602" s="28" t="n">
        <f aca="false">IF(ISNUMBER(AH602),AH602*DA602,0)</f>
        <v>0</v>
      </c>
      <c r="ER602" s="28" t="n">
        <f aca="false">IF(ISNUMBER(AL602),AL602*DB602,0)</f>
        <v>0</v>
      </c>
      <c r="ES602" s="28" t="n">
        <f aca="false">IF(ISNUMBER(AP602),AP602*DC602,0)</f>
        <v>0</v>
      </c>
      <c r="ET602" s="28" t="n">
        <f aca="false">IF(ISNUMBER(AT602),AT602*DD602,0)</f>
        <v>0</v>
      </c>
      <c r="EU602" s="28" t="n">
        <f aca="false">IF(ISNUMBER(AX602),AX602*DE602,0)</f>
        <v>0</v>
      </c>
      <c r="EV602" s="28" t="n">
        <f aca="false">IF(ISNUMBER(BB602),BB602*DF602,0)</f>
        <v>0</v>
      </c>
      <c r="EW602" s="28" t="n">
        <f aca="false">IF(ISNUMBER(BF602),BF602*DG602,0)</f>
        <v>0</v>
      </c>
      <c r="EX602" s="28" t="n">
        <f aca="false">IF(ISNUMBER(BJ602),BJ602*DH602,0)</f>
        <v>0</v>
      </c>
      <c r="EY602" s="28" t="n">
        <f aca="false">IF(ISNUMBER(BN602),BN602*DI602,0)</f>
        <v>0</v>
      </c>
      <c r="EZ602" s="28" t="n">
        <f aca="false">IF(ISNUMBER(BR602),BR602*DJ602,0)</f>
        <v>0</v>
      </c>
      <c r="FA602" s="28" t="n">
        <f aca="false">IF(ISNUMBER(R602),CW602,0)</f>
        <v>0</v>
      </c>
      <c r="FB602" s="28" t="n">
        <f aca="false">IF(ISNUMBER(V602),CX602,0)</f>
        <v>0</v>
      </c>
      <c r="FC602" s="28" t="n">
        <f aca="false">IF(ISNUMBER(Z602),CY602,0)</f>
        <v>0</v>
      </c>
      <c r="FD602" s="28" t="n">
        <f aca="false">IF(ISNUMBER(AD602),CZ602,0)</f>
        <v>0</v>
      </c>
      <c r="FE602" s="28" t="n">
        <f aca="false">IF(ISNUMBER(AH602),DA602,0)</f>
        <v>0</v>
      </c>
      <c r="FF602" s="28" t="n">
        <f aca="false">IF(ISNUMBER(AL602),DB602,0)</f>
        <v>0</v>
      </c>
      <c r="FG602" s="28" t="n">
        <f aca="false">IF(ISNUMBER(AP602),DC602,0)</f>
        <v>0</v>
      </c>
      <c r="FH602" s="28" t="n">
        <f aca="false">IF(ISNUMBER(AT602),DD602,0)</f>
        <v>0</v>
      </c>
      <c r="FI602" s="28" t="n">
        <f aca="false">IF(ISNUMBER(AX602),DE602,0)</f>
        <v>0</v>
      </c>
      <c r="FJ602" s="28" t="n">
        <f aca="false">IF(ISNUMBER(BB602),DF602,0)</f>
        <v>0</v>
      </c>
      <c r="FK602" s="28" t="n">
        <f aca="false">IF(ISNUMBER(BF602),DG602,0)</f>
        <v>0</v>
      </c>
      <c r="FL602" s="28" t="n">
        <f aca="false">IF(ISNUMBER(BJ602),DH602,0)</f>
        <v>0</v>
      </c>
      <c r="FM602" s="28" t="n">
        <f aca="false">IF(ISNUMBER(BN602),DI602,0)</f>
        <v>0</v>
      </c>
      <c r="FN602" s="28" t="n">
        <f aca="false">IF(ISNUMBER(BR602),DJ602,0)</f>
        <v>0</v>
      </c>
      <c r="FO602" s="28" t="str">
        <f aca="false">IFERROR(INDEX(Lists!$G$2:$G$20,MATCH($I602&amp;"|"&amp;$J602,Lists!$F$2:$F$20,0)),"")</f>
        <v/>
      </c>
    </row>
    <row r="603" customFormat="false" ht="19.5" hidden="false" customHeight="true" outlineLevel="0" collapsed="false">
      <c r="A603" s="29"/>
      <c r="B603" s="29"/>
      <c r="C603" s="30"/>
      <c r="D603" s="30"/>
      <c r="E603" s="31"/>
      <c r="F603" s="30"/>
      <c r="G603" s="30"/>
      <c r="H603" s="32"/>
      <c r="I603" s="33"/>
      <c r="J603" s="32"/>
      <c r="K603" s="34" t="str">
        <f aca="false">IF(OR(M603="",$E603=""),"",M603-$E603)</f>
        <v/>
      </c>
      <c r="L603" s="35" t="str">
        <f aca="false">IF(SUM(FA603:FN603)=0,"",SUM(EM603:EZ603)/SUM(FA603:FN603))</f>
        <v/>
      </c>
      <c r="M603" s="36" t="str">
        <f aca="false">IF(OR(L603="",FO603=""),"",IFERROR(MATCH(L603,INDEX(Boundaries!$B$2:$I$30,MATCH(FO603,Boundaries!$A$2:$A$30,0),0),1)-1,""))</f>
        <v/>
      </c>
      <c r="N603" s="37" t="str">
        <f aca="false">IF(COUNT($DY603:$EL603)&lt;2,"",INDEX($DK603:$DX603,MAX($DY603:$EL603))-INDEX($DK603:$DX603,MIN($DY603:$EL603)))</f>
        <v/>
      </c>
      <c r="O603" s="37" t="str">
        <f aca="false">IF(COUNT($DY603:$EL603)&lt;2,"",INDEX($DK603:$DX603,MAX($DY603:$EL603))-INDEX($DK603:$DX603,LARGE($DY603:$EL603,2)))</f>
        <v/>
      </c>
      <c r="P603" s="38" t="str">
        <f aca="false">IF(K603="","",IF(K603&gt;=0,"On/above target",IF(AND(N603&lt;&gt;"",N603&gt;=0.5),"Improving towards target",IF(AND(O603&lt;&gt;"",O603&lt;=-0.5),"Declining","Stable below target"))))</f>
        <v/>
      </c>
      <c r="Q603" s="39"/>
      <c r="R603" s="40" t="str">
        <f aca="false">IF(OR(Q603="",BU603=""),"",Q603/BU603*100)</f>
        <v/>
      </c>
      <c r="S603" s="41" t="str">
        <f aca="false">IF(R603="","",IFERROR(MATCH(R603,INDEX(Boundaries!$B$2:$I$30,MATCH(CI603,Boundaries!$A$2:$A$30,0),0),1)-1,""))</f>
        <v/>
      </c>
      <c r="T603" s="42" t="str">
        <f aca="false">IF(OR(S603="",$E603=""),"",S603-$E603)</f>
        <v/>
      </c>
      <c r="U603" s="39"/>
      <c r="V603" s="40" t="str">
        <f aca="false">IF(OR(U603="",BV603=""),"",U603/BV603*100)</f>
        <v/>
      </c>
      <c r="W603" s="41" t="str">
        <f aca="false">IF(V603="","",IFERROR(MATCH(V603,INDEX(Boundaries!$B$2:$I$30,MATCH(CJ603,Boundaries!$A$2:$A$30,0),0),1)-1,""))</f>
        <v/>
      </c>
      <c r="X603" s="42" t="str">
        <f aca="false">IF(OR(W603="",$E603=""),"",W603-$E603)</f>
        <v/>
      </c>
      <c r="Y603" s="39"/>
      <c r="Z603" s="40" t="str">
        <f aca="false">IF(OR(Y603="",BW603=""),"",Y603/BW603*100)</f>
        <v/>
      </c>
      <c r="AA603" s="41" t="str">
        <f aca="false">IF(Z603="","",IFERROR(MATCH(Z603,INDEX(Boundaries!$B$2:$I$30,MATCH(CK603,Boundaries!$A$2:$A$30,0),0),1)-1,""))</f>
        <v/>
      </c>
      <c r="AB603" s="42" t="str">
        <f aca="false">IF(OR(AA603="",$E603=""),"",AA603-$E603)</f>
        <v/>
      </c>
      <c r="AC603" s="39"/>
      <c r="AD603" s="40" t="str">
        <f aca="false">IF(OR(AC603="",BX603=""),"",AC603/BX603*100)</f>
        <v/>
      </c>
      <c r="AE603" s="41" t="str">
        <f aca="false">IF(AD603="","",IFERROR(MATCH(AD603,INDEX(Boundaries!$B$2:$I$30,MATCH(CL603,Boundaries!$A$2:$A$30,0),0),1)-1,""))</f>
        <v/>
      </c>
      <c r="AF603" s="42" t="str">
        <f aca="false">IF(OR(AE603="",$E603=""),"",AE603-$E603)</f>
        <v/>
      </c>
      <c r="AG603" s="39"/>
      <c r="AH603" s="40" t="str">
        <f aca="false">IF(OR(AG603="",BY603=""),"",AG603/BY603*100)</f>
        <v/>
      </c>
      <c r="AI603" s="41" t="str">
        <f aca="false">IF(AH603="","",IFERROR(MATCH(AH603,INDEX(Boundaries!$B$2:$I$30,MATCH(CM603,Boundaries!$A$2:$A$30,0),0),1)-1,""))</f>
        <v/>
      </c>
      <c r="AJ603" s="42" t="str">
        <f aca="false">IF(OR(AI603="",$E603=""),"",AI603-$E603)</f>
        <v/>
      </c>
      <c r="AK603" s="39"/>
      <c r="AL603" s="40" t="str">
        <f aca="false">IF(OR(AK603="",BZ603=""),"",AK603/BZ603*100)</f>
        <v/>
      </c>
      <c r="AM603" s="41" t="str">
        <f aca="false">IF(AL603="","",IFERROR(MATCH(AL603,INDEX(Boundaries!$B$2:$I$30,MATCH(CN603,Boundaries!$A$2:$A$30,0),0),1)-1,""))</f>
        <v/>
      </c>
      <c r="AN603" s="42" t="str">
        <f aca="false">IF(OR(AM603="",$E603=""),"",AM603-$E603)</f>
        <v/>
      </c>
      <c r="AO603" s="39"/>
      <c r="AP603" s="40" t="str">
        <f aca="false">IF(OR(AO603="",CA603=""),"",AO603/CA603*100)</f>
        <v/>
      </c>
      <c r="AQ603" s="41" t="str">
        <f aca="false">IF(AP603="","",IFERROR(MATCH(AP603,INDEX(Boundaries!$B$2:$I$30,MATCH(CO603,Boundaries!$A$2:$A$30,0),0),1)-1,""))</f>
        <v/>
      </c>
      <c r="AR603" s="42" t="str">
        <f aca="false">IF(OR(AQ603="",$E603=""),"",AQ603-$E603)</f>
        <v/>
      </c>
      <c r="AS603" s="39"/>
      <c r="AT603" s="40" t="str">
        <f aca="false">IF(OR(AS603="",CB603=""),"",AS603/CB603*100)</f>
        <v/>
      </c>
      <c r="AU603" s="41" t="str">
        <f aca="false">IF(AT603="","",IFERROR(MATCH(AT603,INDEX(Boundaries!$B$2:$I$30,MATCH(CP603,Boundaries!$A$2:$A$30,0),0),1)-1,""))</f>
        <v/>
      </c>
      <c r="AV603" s="42" t="str">
        <f aca="false">IF(OR(AU603="",$E603=""),"",AU603-$E603)</f>
        <v/>
      </c>
      <c r="AW603" s="39"/>
      <c r="AX603" s="40" t="str">
        <f aca="false">IF(OR(AW603="",CC603=""),"",AW603/CC603*100)</f>
        <v/>
      </c>
      <c r="AY603" s="41" t="str">
        <f aca="false">IF(AX603="","",IFERROR(MATCH(AX603,INDEX(Boundaries!$B$2:$I$30,MATCH(CQ603,Boundaries!$A$2:$A$30,0),0),1)-1,""))</f>
        <v/>
      </c>
      <c r="AZ603" s="42" t="str">
        <f aca="false">IF(OR(AY603="",$E603=""),"",AY603-$E603)</f>
        <v/>
      </c>
      <c r="BA603" s="39"/>
      <c r="BB603" s="40" t="str">
        <f aca="false">IF(OR(BA603="",CD603=""),"",BA603/CD603*100)</f>
        <v/>
      </c>
      <c r="BC603" s="41" t="str">
        <f aca="false">IF(BB603="","",IFERROR(MATCH(BB603,INDEX(Boundaries!$B$2:$I$30,MATCH(CR603,Boundaries!$A$2:$A$30,0),0),1)-1,""))</f>
        <v/>
      </c>
      <c r="BD603" s="42" t="str">
        <f aca="false">IF(OR(BC603="",$E603=""),"",BC603-$E603)</f>
        <v/>
      </c>
      <c r="BE603" s="39"/>
      <c r="BF603" s="40" t="str">
        <f aca="false">IF(OR(BE603="",CE603=""),"",BE603/CE603*100)</f>
        <v/>
      </c>
      <c r="BG603" s="41" t="str">
        <f aca="false">IF(BF603="","",IFERROR(MATCH(BF603,INDEX(Boundaries!$B$2:$I$30,MATCH(CS603,Boundaries!$A$2:$A$30,0),0),1)-1,""))</f>
        <v/>
      </c>
      <c r="BH603" s="42" t="str">
        <f aca="false">IF(OR(BG603="",$E603=""),"",BG603-$E603)</f>
        <v/>
      </c>
      <c r="BI603" s="39"/>
      <c r="BJ603" s="40" t="str">
        <f aca="false">IF(OR(BI603="",CF603=""),"",BI603/CF603*100)</f>
        <v/>
      </c>
      <c r="BK603" s="41" t="str">
        <f aca="false">IF(BJ603="","",IFERROR(MATCH(BJ603,INDEX(Boundaries!$B$2:$I$30,MATCH(CT603,Boundaries!$A$2:$A$30,0),0),1)-1,""))</f>
        <v/>
      </c>
      <c r="BL603" s="42" t="str">
        <f aca="false">IF(OR(BK603="",$E603=""),"",BK603-$E603)</f>
        <v/>
      </c>
      <c r="BM603" s="39"/>
      <c r="BN603" s="40" t="str">
        <f aca="false">IF(OR(BM603="",CG603=""),"",BM603/CG603*100)</f>
        <v/>
      </c>
      <c r="BO603" s="41" t="str">
        <f aca="false">IF(BN603="","",IFERROR(MATCH(BN603,INDEX(Boundaries!$B$2:$I$30,MATCH(CU603,Boundaries!$A$2:$A$30,0),0),1)-1,""))</f>
        <v/>
      </c>
      <c r="BP603" s="42" t="str">
        <f aca="false">IF(OR(BO603="",$E603=""),"",BO603-$E603)</f>
        <v/>
      </c>
      <c r="BQ603" s="39"/>
      <c r="BR603" s="40" t="str">
        <f aca="false">IF(OR(BQ603="",CH603=""),"",BQ603/CH603*100)</f>
        <v/>
      </c>
      <c r="BS603" s="41" t="str">
        <f aca="false">IF(BR603="","",IFERROR(MATCH(BR603,INDEX(Boundaries!$B$2:$I$30,MATCH(CV603,Boundaries!$A$2:$A$30,0),0),1)-1,""))</f>
        <v/>
      </c>
      <c r="BT603" s="42" t="str">
        <f aca="false">IF(OR(BS603="",$E603=""),"",BS603-$E603)</f>
        <v/>
      </c>
      <c r="BU603" s="28" t="str">
        <f aca="false">IFERROR(INDEX(Assessments!$H$2:$H$600,MATCH($H603&amp;"|"&amp;$I603&amp;"|"&amp;$J603&amp;"|"&amp;1,Assessments!$A$2:$A$600,0)),"")</f>
        <v/>
      </c>
      <c r="BV603" s="28" t="str">
        <f aca="false">IFERROR(INDEX(Assessments!$H$2:$H$600,MATCH($H603&amp;"|"&amp;$I603&amp;"|"&amp;$J603&amp;"|"&amp;2,Assessments!$A$2:$A$600,0)),"")</f>
        <v/>
      </c>
      <c r="BW603" s="28" t="str">
        <f aca="false">IFERROR(INDEX(Assessments!$H$2:$H$600,MATCH($H603&amp;"|"&amp;$I603&amp;"|"&amp;$J603&amp;"|"&amp;3,Assessments!$A$2:$A$600,0)),"")</f>
        <v/>
      </c>
      <c r="BX603" s="28" t="str">
        <f aca="false">IFERROR(INDEX(Assessments!$H$2:$H$600,MATCH($H603&amp;"|"&amp;$I603&amp;"|"&amp;$J603&amp;"|"&amp;4,Assessments!$A$2:$A$600,0)),"")</f>
        <v/>
      </c>
      <c r="BY603" s="28" t="str">
        <f aca="false">IFERROR(INDEX(Assessments!$H$2:$H$600,MATCH($H603&amp;"|"&amp;$I603&amp;"|"&amp;$J603&amp;"|"&amp;5,Assessments!$A$2:$A$600,0)),"")</f>
        <v/>
      </c>
      <c r="BZ603" s="28" t="str">
        <f aca="false">IFERROR(INDEX(Assessments!$H$2:$H$600,MATCH($H603&amp;"|"&amp;$I603&amp;"|"&amp;$J603&amp;"|"&amp;6,Assessments!$A$2:$A$600,0)),"")</f>
        <v/>
      </c>
      <c r="CA603" s="28" t="str">
        <f aca="false">IFERROR(INDEX(Assessments!$H$2:$H$600,MATCH($H603&amp;"|"&amp;$I603&amp;"|"&amp;$J603&amp;"|"&amp;7,Assessments!$A$2:$A$600,0)),"")</f>
        <v/>
      </c>
      <c r="CB603" s="28" t="str">
        <f aca="false">IFERROR(INDEX(Assessments!$H$2:$H$600,MATCH($H603&amp;"|"&amp;$I603&amp;"|"&amp;$J603&amp;"|"&amp;8,Assessments!$A$2:$A$600,0)),"")</f>
        <v/>
      </c>
      <c r="CC603" s="28" t="str">
        <f aca="false">IFERROR(INDEX(Assessments!$H$2:$H$600,MATCH($H603&amp;"|"&amp;$I603&amp;"|"&amp;$J603&amp;"|"&amp;9,Assessments!$A$2:$A$600,0)),"")</f>
        <v/>
      </c>
      <c r="CD603" s="28" t="str">
        <f aca="false">IFERROR(INDEX(Assessments!$H$2:$H$600,MATCH($H603&amp;"|"&amp;$I603&amp;"|"&amp;$J603&amp;"|"&amp;10,Assessments!$A$2:$A$600,0)),"")</f>
        <v/>
      </c>
      <c r="CE603" s="28" t="str">
        <f aca="false">IFERROR(INDEX(Assessments!$H$2:$H$600,MATCH($H603&amp;"|"&amp;$I603&amp;"|"&amp;$J603&amp;"|"&amp;11,Assessments!$A$2:$A$600,0)),"")</f>
        <v/>
      </c>
      <c r="CF603" s="28" t="str">
        <f aca="false">IFERROR(INDEX(Assessments!$H$2:$H$600,MATCH($H603&amp;"|"&amp;$I603&amp;"|"&amp;$J603&amp;"|"&amp;12,Assessments!$A$2:$A$600,0)),"")</f>
        <v/>
      </c>
      <c r="CG603" s="28" t="str">
        <f aca="false">IFERROR(INDEX(Assessments!$H$2:$H$600,MATCH($H603&amp;"|"&amp;$I603&amp;"|"&amp;$J603&amp;"|"&amp;13,Assessments!$A$2:$A$600,0)),"")</f>
        <v/>
      </c>
      <c r="CH603" s="28" t="str">
        <f aca="false">IFERROR(INDEX(Assessments!$H$2:$H$600,MATCH($H603&amp;"|"&amp;$I603&amp;"|"&amp;$J603&amp;"|"&amp;14,Assessments!$A$2:$A$600,0)),"")</f>
        <v/>
      </c>
      <c r="CI603" s="28" t="str">
        <f aca="false">IFERROR(INDEX(Assessments!$I$2:$I$600,MATCH($H603&amp;"|"&amp;$I603&amp;"|"&amp;$J603&amp;"|"&amp;1,Assessments!$A$2:$A$600,0)),"")</f>
        <v/>
      </c>
      <c r="CJ603" s="28" t="str">
        <f aca="false">IFERROR(INDEX(Assessments!$I$2:$I$600,MATCH($H603&amp;"|"&amp;$I603&amp;"|"&amp;$J603&amp;"|"&amp;2,Assessments!$A$2:$A$600,0)),"")</f>
        <v/>
      </c>
      <c r="CK603" s="28" t="str">
        <f aca="false">IFERROR(INDEX(Assessments!$I$2:$I$600,MATCH($H603&amp;"|"&amp;$I603&amp;"|"&amp;$J603&amp;"|"&amp;3,Assessments!$A$2:$A$600,0)),"")</f>
        <v/>
      </c>
      <c r="CL603" s="28" t="str">
        <f aca="false">IFERROR(INDEX(Assessments!$I$2:$I$600,MATCH($H603&amp;"|"&amp;$I603&amp;"|"&amp;$J603&amp;"|"&amp;4,Assessments!$A$2:$A$600,0)),"")</f>
        <v/>
      </c>
      <c r="CM603" s="28" t="str">
        <f aca="false">IFERROR(INDEX(Assessments!$I$2:$I$600,MATCH($H603&amp;"|"&amp;$I603&amp;"|"&amp;$J603&amp;"|"&amp;5,Assessments!$A$2:$A$600,0)),"")</f>
        <v/>
      </c>
      <c r="CN603" s="28" t="str">
        <f aca="false">IFERROR(INDEX(Assessments!$I$2:$I$600,MATCH($H603&amp;"|"&amp;$I603&amp;"|"&amp;$J603&amp;"|"&amp;6,Assessments!$A$2:$A$600,0)),"")</f>
        <v/>
      </c>
      <c r="CO603" s="28" t="str">
        <f aca="false">IFERROR(INDEX(Assessments!$I$2:$I$600,MATCH($H603&amp;"|"&amp;$I603&amp;"|"&amp;$J603&amp;"|"&amp;7,Assessments!$A$2:$A$600,0)),"")</f>
        <v/>
      </c>
      <c r="CP603" s="28" t="str">
        <f aca="false">IFERROR(INDEX(Assessments!$I$2:$I$600,MATCH($H603&amp;"|"&amp;$I603&amp;"|"&amp;$J603&amp;"|"&amp;8,Assessments!$A$2:$A$600,0)),"")</f>
        <v/>
      </c>
      <c r="CQ603" s="28" t="str">
        <f aca="false">IFERROR(INDEX(Assessments!$I$2:$I$600,MATCH($H603&amp;"|"&amp;$I603&amp;"|"&amp;$J603&amp;"|"&amp;9,Assessments!$A$2:$A$600,0)),"")</f>
        <v/>
      </c>
      <c r="CR603" s="28" t="str">
        <f aca="false">IFERROR(INDEX(Assessments!$I$2:$I$600,MATCH($H603&amp;"|"&amp;$I603&amp;"|"&amp;$J603&amp;"|"&amp;10,Assessments!$A$2:$A$600,0)),"")</f>
        <v/>
      </c>
      <c r="CS603" s="28" t="str">
        <f aca="false">IFERROR(INDEX(Assessments!$I$2:$I$600,MATCH($H603&amp;"|"&amp;$I603&amp;"|"&amp;$J603&amp;"|"&amp;11,Assessments!$A$2:$A$600,0)),"")</f>
        <v/>
      </c>
      <c r="CT603" s="28" t="str">
        <f aca="false">IFERROR(INDEX(Assessments!$I$2:$I$600,MATCH($H603&amp;"|"&amp;$I603&amp;"|"&amp;$J603&amp;"|"&amp;12,Assessments!$A$2:$A$600,0)),"")</f>
        <v/>
      </c>
      <c r="CU603" s="28" t="str">
        <f aca="false">IFERROR(INDEX(Assessments!$I$2:$I$600,MATCH($H603&amp;"|"&amp;$I603&amp;"|"&amp;$J603&amp;"|"&amp;13,Assessments!$A$2:$A$600,0)),"")</f>
        <v/>
      </c>
      <c r="CV603" s="28" t="str">
        <f aca="false">IFERROR(INDEX(Assessments!$I$2:$I$600,MATCH($H603&amp;"|"&amp;$I603&amp;"|"&amp;$J603&amp;"|"&amp;14,Assessments!$A$2:$A$600,0)),"")</f>
        <v/>
      </c>
      <c r="CW603" s="28" t="n">
        <f aca="false">IFERROR(INDEX(Assessments!$J$2:$J$600,MATCH($H603&amp;"|"&amp;$I603&amp;"|"&amp;$J603&amp;"|"&amp;1,Assessments!$A$2:$A$600,0)),0)</f>
        <v>0</v>
      </c>
      <c r="CX603" s="28" t="n">
        <f aca="false">IFERROR(INDEX(Assessments!$J$2:$J$600,MATCH($H603&amp;"|"&amp;$I603&amp;"|"&amp;$J603&amp;"|"&amp;2,Assessments!$A$2:$A$600,0)),0)</f>
        <v>0</v>
      </c>
      <c r="CY603" s="28" t="n">
        <f aca="false">IFERROR(INDEX(Assessments!$J$2:$J$600,MATCH($H603&amp;"|"&amp;$I603&amp;"|"&amp;$J603&amp;"|"&amp;3,Assessments!$A$2:$A$600,0)),0)</f>
        <v>0</v>
      </c>
      <c r="CZ603" s="28" t="n">
        <f aca="false">IFERROR(INDEX(Assessments!$J$2:$J$600,MATCH($H603&amp;"|"&amp;$I603&amp;"|"&amp;$J603&amp;"|"&amp;4,Assessments!$A$2:$A$600,0)),0)</f>
        <v>0</v>
      </c>
      <c r="DA603" s="28" t="n">
        <f aca="false">IFERROR(INDEX(Assessments!$J$2:$J$600,MATCH($H603&amp;"|"&amp;$I603&amp;"|"&amp;$J603&amp;"|"&amp;5,Assessments!$A$2:$A$600,0)),0)</f>
        <v>0</v>
      </c>
      <c r="DB603" s="28" t="n">
        <f aca="false">IFERROR(INDEX(Assessments!$J$2:$J$600,MATCH($H603&amp;"|"&amp;$I603&amp;"|"&amp;$J603&amp;"|"&amp;6,Assessments!$A$2:$A$600,0)),0)</f>
        <v>0</v>
      </c>
      <c r="DC603" s="28" t="n">
        <f aca="false">IFERROR(INDEX(Assessments!$J$2:$J$600,MATCH($H603&amp;"|"&amp;$I603&amp;"|"&amp;$J603&amp;"|"&amp;7,Assessments!$A$2:$A$600,0)),0)</f>
        <v>0</v>
      </c>
      <c r="DD603" s="28" t="n">
        <f aca="false">IFERROR(INDEX(Assessments!$J$2:$J$600,MATCH($H603&amp;"|"&amp;$I603&amp;"|"&amp;$J603&amp;"|"&amp;8,Assessments!$A$2:$A$600,0)),0)</f>
        <v>0</v>
      </c>
      <c r="DE603" s="28" t="n">
        <f aca="false">IFERROR(INDEX(Assessments!$J$2:$J$600,MATCH($H603&amp;"|"&amp;$I603&amp;"|"&amp;$J603&amp;"|"&amp;9,Assessments!$A$2:$A$600,0)),0)</f>
        <v>0</v>
      </c>
      <c r="DF603" s="28" t="n">
        <f aca="false">IFERROR(INDEX(Assessments!$J$2:$J$600,MATCH($H603&amp;"|"&amp;$I603&amp;"|"&amp;$J603&amp;"|"&amp;10,Assessments!$A$2:$A$600,0)),0)</f>
        <v>0</v>
      </c>
      <c r="DG603" s="28" t="n">
        <f aca="false">IFERROR(INDEX(Assessments!$J$2:$J$600,MATCH($H603&amp;"|"&amp;$I603&amp;"|"&amp;$J603&amp;"|"&amp;11,Assessments!$A$2:$A$600,0)),0)</f>
        <v>0</v>
      </c>
      <c r="DH603" s="28" t="n">
        <f aca="false">IFERROR(INDEX(Assessments!$J$2:$J$600,MATCH($H603&amp;"|"&amp;$I603&amp;"|"&amp;$J603&amp;"|"&amp;12,Assessments!$A$2:$A$600,0)),0)</f>
        <v>0</v>
      </c>
      <c r="DI603" s="28" t="n">
        <f aca="false">IFERROR(INDEX(Assessments!$J$2:$J$600,MATCH($H603&amp;"|"&amp;$I603&amp;"|"&amp;$J603&amp;"|"&amp;13,Assessments!$A$2:$A$600,0)),0)</f>
        <v>0</v>
      </c>
      <c r="DJ603" s="28" t="n">
        <f aca="false">IFERROR(INDEX(Assessments!$J$2:$J$600,MATCH($H603&amp;"|"&amp;$I603&amp;"|"&amp;$J603&amp;"|"&amp;14,Assessments!$A$2:$A$600,0)),0)</f>
        <v>0</v>
      </c>
      <c r="DK603" s="28" t="str">
        <f aca="false">S603</f>
        <v/>
      </c>
      <c r="DL603" s="28" t="str">
        <f aca="false">W603</f>
        <v/>
      </c>
      <c r="DM603" s="28" t="str">
        <f aca="false">AA603</f>
        <v/>
      </c>
      <c r="DN603" s="28" t="str">
        <f aca="false">AE603</f>
        <v/>
      </c>
      <c r="DO603" s="28" t="str">
        <f aca="false">AI603</f>
        <v/>
      </c>
      <c r="DP603" s="28" t="str">
        <f aca="false">AM603</f>
        <v/>
      </c>
      <c r="DQ603" s="28" t="str">
        <f aca="false">AQ603</f>
        <v/>
      </c>
      <c r="DR603" s="28" t="str">
        <f aca="false">AU603</f>
        <v/>
      </c>
      <c r="DS603" s="28" t="str">
        <f aca="false">AY603</f>
        <v/>
      </c>
      <c r="DT603" s="28" t="str">
        <f aca="false">BC603</f>
        <v/>
      </c>
      <c r="DU603" s="28" t="str">
        <f aca="false">BG603</f>
        <v/>
      </c>
      <c r="DV603" s="28" t="str">
        <f aca="false">BK603</f>
        <v/>
      </c>
      <c r="DW603" s="28" t="str">
        <f aca="false">BO603</f>
        <v/>
      </c>
      <c r="DX603" s="28" t="str">
        <f aca="false">BS603</f>
        <v/>
      </c>
      <c r="DY603" s="28" t="str">
        <f aca="false">IF(ISNUMBER(S603),1,"")</f>
        <v/>
      </c>
      <c r="DZ603" s="28" t="str">
        <f aca="false">IF(ISNUMBER(W603),2,"")</f>
        <v/>
      </c>
      <c r="EA603" s="28" t="str">
        <f aca="false">IF(ISNUMBER(AA603),3,"")</f>
        <v/>
      </c>
      <c r="EB603" s="28" t="str">
        <f aca="false">IF(ISNUMBER(AE603),4,"")</f>
        <v/>
      </c>
      <c r="EC603" s="28" t="str">
        <f aca="false">IF(ISNUMBER(AI603),5,"")</f>
        <v/>
      </c>
      <c r="ED603" s="28" t="str">
        <f aca="false">IF(ISNUMBER(AM603),6,"")</f>
        <v/>
      </c>
      <c r="EE603" s="28" t="str">
        <f aca="false">IF(ISNUMBER(AQ603),7,"")</f>
        <v/>
      </c>
      <c r="EF603" s="28" t="str">
        <f aca="false">IF(ISNUMBER(AU603),8,"")</f>
        <v/>
      </c>
      <c r="EG603" s="28" t="str">
        <f aca="false">IF(ISNUMBER(AY603),9,"")</f>
        <v/>
      </c>
      <c r="EH603" s="28" t="str">
        <f aca="false">IF(ISNUMBER(BC603),10,"")</f>
        <v/>
      </c>
      <c r="EI603" s="28" t="str">
        <f aca="false">IF(ISNUMBER(BG603),11,"")</f>
        <v/>
      </c>
      <c r="EJ603" s="28" t="str">
        <f aca="false">IF(ISNUMBER(BK603),12,"")</f>
        <v/>
      </c>
      <c r="EK603" s="28" t="str">
        <f aca="false">IF(ISNUMBER(BO603),13,"")</f>
        <v/>
      </c>
      <c r="EL603" s="28" t="str">
        <f aca="false">IF(ISNUMBER(BS603),14,"")</f>
        <v/>
      </c>
      <c r="EM603" s="28" t="n">
        <f aca="false">IF(ISNUMBER(R603),R603*CW603,0)</f>
        <v>0</v>
      </c>
      <c r="EN603" s="28" t="n">
        <f aca="false">IF(ISNUMBER(V603),V603*CX603,0)</f>
        <v>0</v>
      </c>
      <c r="EO603" s="28" t="n">
        <f aca="false">IF(ISNUMBER(Z603),Z603*CY603,0)</f>
        <v>0</v>
      </c>
      <c r="EP603" s="28" t="n">
        <f aca="false">IF(ISNUMBER(AD603),AD603*CZ603,0)</f>
        <v>0</v>
      </c>
      <c r="EQ603" s="28" t="n">
        <f aca="false">IF(ISNUMBER(AH603),AH603*DA603,0)</f>
        <v>0</v>
      </c>
      <c r="ER603" s="28" t="n">
        <f aca="false">IF(ISNUMBER(AL603),AL603*DB603,0)</f>
        <v>0</v>
      </c>
      <c r="ES603" s="28" t="n">
        <f aca="false">IF(ISNUMBER(AP603),AP603*DC603,0)</f>
        <v>0</v>
      </c>
      <c r="ET603" s="28" t="n">
        <f aca="false">IF(ISNUMBER(AT603),AT603*DD603,0)</f>
        <v>0</v>
      </c>
      <c r="EU603" s="28" t="n">
        <f aca="false">IF(ISNUMBER(AX603),AX603*DE603,0)</f>
        <v>0</v>
      </c>
      <c r="EV603" s="28" t="n">
        <f aca="false">IF(ISNUMBER(BB603),BB603*DF603,0)</f>
        <v>0</v>
      </c>
      <c r="EW603" s="28" t="n">
        <f aca="false">IF(ISNUMBER(BF603),BF603*DG603,0)</f>
        <v>0</v>
      </c>
      <c r="EX603" s="28" t="n">
        <f aca="false">IF(ISNUMBER(BJ603),BJ603*DH603,0)</f>
        <v>0</v>
      </c>
      <c r="EY603" s="28" t="n">
        <f aca="false">IF(ISNUMBER(BN603),BN603*DI603,0)</f>
        <v>0</v>
      </c>
      <c r="EZ603" s="28" t="n">
        <f aca="false">IF(ISNUMBER(BR603),BR603*DJ603,0)</f>
        <v>0</v>
      </c>
      <c r="FA603" s="28" t="n">
        <f aca="false">IF(ISNUMBER(R603),CW603,0)</f>
        <v>0</v>
      </c>
      <c r="FB603" s="28" t="n">
        <f aca="false">IF(ISNUMBER(V603),CX603,0)</f>
        <v>0</v>
      </c>
      <c r="FC603" s="28" t="n">
        <f aca="false">IF(ISNUMBER(Z603),CY603,0)</f>
        <v>0</v>
      </c>
      <c r="FD603" s="28" t="n">
        <f aca="false">IF(ISNUMBER(AD603),CZ603,0)</f>
        <v>0</v>
      </c>
      <c r="FE603" s="28" t="n">
        <f aca="false">IF(ISNUMBER(AH603),DA603,0)</f>
        <v>0</v>
      </c>
      <c r="FF603" s="28" t="n">
        <f aca="false">IF(ISNUMBER(AL603),DB603,0)</f>
        <v>0</v>
      </c>
      <c r="FG603" s="28" t="n">
        <f aca="false">IF(ISNUMBER(AP603),DC603,0)</f>
        <v>0</v>
      </c>
      <c r="FH603" s="28" t="n">
        <f aca="false">IF(ISNUMBER(AT603),DD603,0)</f>
        <v>0</v>
      </c>
      <c r="FI603" s="28" t="n">
        <f aca="false">IF(ISNUMBER(AX603),DE603,0)</f>
        <v>0</v>
      </c>
      <c r="FJ603" s="28" t="n">
        <f aca="false">IF(ISNUMBER(BB603),DF603,0)</f>
        <v>0</v>
      </c>
      <c r="FK603" s="28" t="n">
        <f aca="false">IF(ISNUMBER(BF603),DG603,0)</f>
        <v>0</v>
      </c>
      <c r="FL603" s="28" t="n">
        <f aca="false">IF(ISNUMBER(BJ603),DH603,0)</f>
        <v>0</v>
      </c>
      <c r="FM603" s="28" t="n">
        <f aca="false">IF(ISNUMBER(BN603),DI603,0)</f>
        <v>0</v>
      </c>
      <c r="FN603" s="28" t="n">
        <f aca="false">IF(ISNUMBER(BR603),DJ603,0)</f>
        <v>0</v>
      </c>
      <c r="FO603" s="28" t="str">
        <f aca="false">IFERROR(INDEX(Lists!$G$2:$G$20,MATCH($I603&amp;"|"&amp;$J603,Lists!$F$2:$F$20,0)),"")</f>
        <v/>
      </c>
    </row>
    <row r="604" customFormat="false" ht="19.5" hidden="false" customHeight="true" outlineLevel="0" collapsed="false">
      <c r="A604" s="29"/>
      <c r="B604" s="29"/>
      <c r="C604" s="30"/>
      <c r="D604" s="30"/>
      <c r="E604" s="31"/>
      <c r="F604" s="30"/>
      <c r="G604" s="30"/>
      <c r="H604" s="32"/>
      <c r="I604" s="33"/>
      <c r="J604" s="32"/>
      <c r="K604" s="34" t="str">
        <f aca="false">IF(OR(M604="",$E604=""),"",M604-$E604)</f>
        <v/>
      </c>
      <c r="L604" s="35" t="str">
        <f aca="false">IF(SUM(FA604:FN604)=0,"",SUM(EM604:EZ604)/SUM(FA604:FN604))</f>
        <v/>
      </c>
      <c r="M604" s="36" t="str">
        <f aca="false">IF(OR(L604="",FO604=""),"",IFERROR(MATCH(L604,INDEX(Boundaries!$B$2:$I$30,MATCH(FO604,Boundaries!$A$2:$A$30,0),0),1)-1,""))</f>
        <v/>
      </c>
      <c r="N604" s="37" t="str">
        <f aca="false">IF(COUNT($DY604:$EL604)&lt;2,"",INDEX($DK604:$DX604,MAX($DY604:$EL604))-INDEX($DK604:$DX604,MIN($DY604:$EL604)))</f>
        <v/>
      </c>
      <c r="O604" s="37" t="str">
        <f aca="false">IF(COUNT($DY604:$EL604)&lt;2,"",INDEX($DK604:$DX604,MAX($DY604:$EL604))-INDEX($DK604:$DX604,LARGE($DY604:$EL604,2)))</f>
        <v/>
      </c>
      <c r="P604" s="38" t="str">
        <f aca="false">IF(K604="","",IF(K604&gt;=0,"On/above target",IF(AND(N604&lt;&gt;"",N604&gt;=0.5),"Improving towards target",IF(AND(O604&lt;&gt;"",O604&lt;=-0.5),"Declining","Stable below target"))))</f>
        <v/>
      </c>
      <c r="Q604" s="39"/>
      <c r="R604" s="40" t="str">
        <f aca="false">IF(OR(Q604="",BU604=""),"",Q604/BU604*100)</f>
        <v/>
      </c>
      <c r="S604" s="41" t="str">
        <f aca="false">IF(R604="","",IFERROR(MATCH(R604,INDEX(Boundaries!$B$2:$I$30,MATCH(CI604,Boundaries!$A$2:$A$30,0),0),1)-1,""))</f>
        <v/>
      </c>
      <c r="T604" s="42" t="str">
        <f aca="false">IF(OR(S604="",$E604=""),"",S604-$E604)</f>
        <v/>
      </c>
      <c r="U604" s="39"/>
      <c r="V604" s="40" t="str">
        <f aca="false">IF(OR(U604="",BV604=""),"",U604/BV604*100)</f>
        <v/>
      </c>
      <c r="W604" s="41" t="str">
        <f aca="false">IF(V604="","",IFERROR(MATCH(V604,INDEX(Boundaries!$B$2:$I$30,MATCH(CJ604,Boundaries!$A$2:$A$30,0),0),1)-1,""))</f>
        <v/>
      </c>
      <c r="X604" s="42" t="str">
        <f aca="false">IF(OR(W604="",$E604=""),"",W604-$E604)</f>
        <v/>
      </c>
      <c r="Y604" s="39"/>
      <c r="Z604" s="40" t="str">
        <f aca="false">IF(OR(Y604="",BW604=""),"",Y604/BW604*100)</f>
        <v/>
      </c>
      <c r="AA604" s="41" t="str">
        <f aca="false">IF(Z604="","",IFERROR(MATCH(Z604,INDEX(Boundaries!$B$2:$I$30,MATCH(CK604,Boundaries!$A$2:$A$30,0),0),1)-1,""))</f>
        <v/>
      </c>
      <c r="AB604" s="42" t="str">
        <f aca="false">IF(OR(AA604="",$E604=""),"",AA604-$E604)</f>
        <v/>
      </c>
      <c r="AC604" s="39"/>
      <c r="AD604" s="40" t="str">
        <f aca="false">IF(OR(AC604="",BX604=""),"",AC604/BX604*100)</f>
        <v/>
      </c>
      <c r="AE604" s="41" t="str">
        <f aca="false">IF(AD604="","",IFERROR(MATCH(AD604,INDEX(Boundaries!$B$2:$I$30,MATCH(CL604,Boundaries!$A$2:$A$30,0),0),1)-1,""))</f>
        <v/>
      </c>
      <c r="AF604" s="42" t="str">
        <f aca="false">IF(OR(AE604="",$E604=""),"",AE604-$E604)</f>
        <v/>
      </c>
      <c r="AG604" s="39"/>
      <c r="AH604" s="40" t="str">
        <f aca="false">IF(OR(AG604="",BY604=""),"",AG604/BY604*100)</f>
        <v/>
      </c>
      <c r="AI604" s="41" t="str">
        <f aca="false">IF(AH604="","",IFERROR(MATCH(AH604,INDEX(Boundaries!$B$2:$I$30,MATCH(CM604,Boundaries!$A$2:$A$30,0),0),1)-1,""))</f>
        <v/>
      </c>
      <c r="AJ604" s="42" t="str">
        <f aca="false">IF(OR(AI604="",$E604=""),"",AI604-$E604)</f>
        <v/>
      </c>
      <c r="AK604" s="39"/>
      <c r="AL604" s="40" t="str">
        <f aca="false">IF(OR(AK604="",BZ604=""),"",AK604/BZ604*100)</f>
        <v/>
      </c>
      <c r="AM604" s="41" t="str">
        <f aca="false">IF(AL604="","",IFERROR(MATCH(AL604,INDEX(Boundaries!$B$2:$I$30,MATCH(CN604,Boundaries!$A$2:$A$30,0),0),1)-1,""))</f>
        <v/>
      </c>
      <c r="AN604" s="42" t="str">
        <f aca="false">IF(OR(AM604="",$E604=""),"",AM604-$E604)</f>
        <v/>
      </c>
      <c r="AO604" s="39"/>
      <c r="AP604" s="40" t="str">
        <f aca="false">IF(OR(AO604="",CA604=""),"",AO604/CA604*100)</f>
        <v/>
      </c>
      <c r="AQ604" s="41" t="str">
        <f aca="false">IF(AP604="","",IFERROR(MATCH(AP604,INDEX(Boundaries!$B$2:$I$30,MATCH(CO604,Boundaries!$A$2:$A$30,0),0),1)-1,""))</f>
        <v/>
      </c>
      <c r="AR604" s="42" t="str">
        <f aca="false">IF(OR(AQ604="",$E604=""),"",AQ604-$E604)</f>
        <v/>
      </c>
      <c r="AS604" s="39"/>
      <c r="AT604" s="40" t="str">
        <f aca="false">IF(OR(AS604="",CB604=""),"",AS604/CB604*100)</f>
        <v/>
      </c>
      <c r="AU604" s="41" t="str">
        <f aca="false">IF(AT604="","",IFERROR(MATCH(AT604,INDEX(Boundaries!$B$2:$I$30,MATCH(CP604,Boundaries!$A$2:$A$30,0),0),1)-1,""))</f>
        <v/>
      </c>
      <c r="AV604" s="42" t="str">
        <f aca="false">IF(OR(AU604="",$E604=""),"",AU604-$E604)</f>
        <v/>
      </c>
      <c r="AW604" s="39"/>
      <c r="AX604" s="40" t="str">
        <f aca="false">IF(OR(AW604="",CC604=""),"",AW604/CC604*100)</f>
        <v/>
      </c>
      <c r="AY604" s="41" t="str">
        <f aca="false">IF(AX604="","",IFERROR(MATCH(AX604,INDEX(Boundaries!$B$2:$I$30,MATCH(CQ604,Boundaries!$A$2:$A$30,0),0),1)-1,""))</f>
        <v/>
      </c>
      <c r="AZ604" s="42" t="str">
        <f aca="false">IF(OR(AY604="",$E604=""),"",AY604-$E604)</f>
        <v/>
      </c>
      <c r="BA604" s="39"/>
      <c r="BB604" s="40" t="str">
        <f aca="false">IF(OR(BA604="",CD604=""),"",BA604/CD604*100)</f>
        <v/>
      </c>
      <c r="BC604" s="41" t="str">
        <f aca="false">IF(BB604="","",IFERROR(MATCH(BB604,INDEX(Boundaries!$B$2:$I$30,MATCH(CR604,Boundaries!$A$2:$A$30,0),0),1)-1,""))</f>
        <v/>
      </c>
      <c r="BD604" s="42" t="str">
        <f aca="false">IF(OR(BC604="",$E604=""),"",BC604-$E604)</f>
        <v/>
      </c>
      <c r="BE604" s="39"/>
      <c r="BF604" s="40" t="str">
        <f aca="false">IF(OR(BE604="",CE604=""),"",BE604/CE604*100)</f>
        <v/>
      </c>
      <c r="BG604" s="41" t="str">
        <f aca="false">IF(BF604="","",IFERROR(MATCH(BF604,INDEX(Boundaries!$B$2:$I$30,MATCH(CS604,Boundaries!$A$2:$A$30,0),0),1)-1,""))</f>
        <v/>
      </c>
      <c r="BH604" s="42" t="str">
        <f aca="false">IF(OR(BG604="",$E604=""),"",BG604-$E604)</f>
        <v/>
      </c>
      <c r="BI604" s="39"/>
      <c r="BJ604" s="40" t="str">
        <f aca="false">IF(OR(BI604="",CF604=""),"",BI604/CF604*100)</f>
        <v/>
      </c>
      <c r="BK604" s="41" t="str">
        <f aca="false">IF(BJ604="","",IFERROR(MATCH(BJ604,INDEX(Boundaries!$B$2:$I$30,MATCH(CT604,Boundaries!$A$2:$A$30,0),0),1)-1,""))</f>
        <v/>
      </c>
      <c r="BL604" s="42" t="str">
        <f aca="false">IF(OR(BK604="",$E604=""),"",BK604-$E604)</f>
        <v/>
      </c>
      <c r="BM604" s="39"/>
      <c r="BN604" s="40" t="str">
        <f aca="false">IF(OR(BM604="",CG604=""),"",BM604/CG604*100)</f>
        <v/>
      </c>
      <c r="BO604" s="41" t="str">
        <f aca="false">IF(BN604="","",IFERROR(MATCH(BN604,INDEX(Boundaries!$B$2:$I$30,MATCH(CU604,Boundaries!$A$2:$A$30,0),0),1)-1,""))</f>
        <v/>
      </c>
      <c r="BP604" s="42" t="str">
        <f aca="false">IF(OR(BO604="",$E604=""),"",BO604-$E604)</f>
        <v/>
      </c>
      <c r="BQ604" s="39"/>
      <c r="BR604" s="40" t="str">
        <f aca="false">IF(OR(BQ604="",CH604=""),"",BQ604/CH604*100)</f>
        <v/>
      </c>
      <c r="BS604" s="41" t="str">
        <f aca="false">IF(BR604="","",IFERROR(MATCH(BR604,INDEX(Boundaries!$B$2:$I$30,MATCH(CV604,Boundaries!$A$2:$A$30,0),0),1)-1,""))</f>
        <v/>
      </c>
      <c r="BT604" s="42" t="str">
        <f aca="false">IF(OR(BS604="",$E604=""),"",BS604-$E604)</f>
        <v/>
      </c>
      <c r="BU604" s="28" t="str">
        <f aca="false">IFERROR(INDEX(Assessments!$H$2:$H$600,MATCH($H604&amp;"|"&amp;$I604&amp;"|"&amp;$J604&amp;"|"&amp;1,Assessments!$A$2:$A$600,0)),"")</f>
        <v/>
      </c>
      <c r="BV604" s="28" t="str">
        <f aca="false">IFERROR(INDEX(Assessments!$H$2:$H$600,MATCH($H604&amp;"|"&amp;$I604&amp;"|"&amp;$J604&amp;"|"&amp;2,Assessments!$A$2:$A$600,0)),"")</f>
        <v/>
      </c>
      <c r="BW604" s="28" t="str">
        <f aca="false">IFERROR(INDEX(Assessments!$H$2:$H$600,MATCH($H604&amp;"|"&amp;$I604&amp;"|"&amp;$J604&amp;"|"&amp;3,Assessments!$A$2:$A$600,0)),"")</f>
        <v/>
      </c>
      <c r="BX604" s="28" t="str">
        <f aca="false">IFERROR(INDEX(Assessments!$H$2:$H$600,MATCH($H604&amp;"|"&amp;$I604&amp;"|"&amp;$J604&amp;"|"&amp;4,Assessments!$A$2:$A$600,0)),"")</f>
        <v/>
      </c>
      <c r="BY604" s="28" t="str">
        <f aca="false">IFERROR(INDEX(Assessments!$H$2:$H$600,MATCH($H604&amp;"|"&amp;$I604&amp;"|"&amp;$J604&amp;"|"&amp;5,Assessments!$A$2:$A$600,0)),"")</f>
        <v/>
      </c>
      <c r="BZ604" s="28" t="str">
        <f aca="false">IFERROR(INDEX(Assessments!$H$2:$H$600,MATCH($H604&amp;"|"&amp;$I604&amp;"|"&amp;$J604&amp;"|"&amp;6,Assessments!$A$2:$A$600,0)),"")</f>
        <v/>
      </c>
      <c r="CA604" s="28" t="str">
        <f aca="false">IFERROR(INDEX(Assessments!$H$2:$H$600,MATCH($H604&amp;"|"&amp;$I604&amp;"|"&amp;$J604&amp;"|"&amp;7,Assessments!$A$2:$A$600,0)),"")</f>
        <v/>
      </c>
      <c r="CB604" s="28" t="str">
        <f aca="false">IFERROR(INDEX(Assessments!$H$2:$H$600,MATCH($H604&amp;"|"&amp;$I604&amp;"|"&amp;$J604&amp;"|"&amp;8,Assessments!$A$2:$A$600,0)),"")</f>
        <v/>
      </c>
      <c r="CC604" s="28" t="str">
        <f aca="false">IFERROR(INDEX(Assessments!$H$2:$H$600,MATCH($H604&amp;"|"&amp;$I604&amp;"|"&amp;$J604&amp;"|"&amp;9,Assessments!$A$2:$A$600,0)),"")</f>
        <v/>
      </c>
      <c r="CD604" s="28" t="str">
        <f aca="false">IFERROR(INDEX(Assessments!$H$2:$H$600,MATCH($H604&amp;"|"&amp;$I604&amp;"|"&amp;$J604&amp;"|"&amp;10,Assessments!$A$2:$A$600,0)),"")</f>
        <v/>
      </c>
      <c r="CE604" s="28" t="str">
        <f aca="false">IFERROR(INDEX(Assessments!$H$2:$H$600,MATCH($H604&amp;"|"&amp;$I604&amp;"|"&amp;$J604&amp;"|"&amp;11,Assessments!$A$2:$A$600,0)),"")</f>
        <v/>
      </c>
      <c r="CF604" s="28" t="str">
        <f aca="false">IFERROR(INDEX(Assessments!$H$2:$H$600,MATCH($H604&amp;"|"&amp;$I604&amp;"|"&amp;$J604&amp;"|"&amp;12,Assessments!$A$2:$A$600,0)),"")</f>
        <v/>
      </c>
      <c r="CG604" s="28" t="str">
        <f aca="false">IFERROR(INDEX(Assessments!$H$2:$H$600,MATCH($H604&amp;"|"&amp;$I604&amp;"|"&amp;$J604&amp;"|"&amp;13,Assessments!$A$2:$A$600,0)),"")</f>
        <v/>
      </c>
      <c r="CH604" s="28" t="str">
        <f aca="false">IFERROR(INDEX(Assessments!$H$2:$H$600,MATCH($H604&amp;"|"&amp;$I604&amp;"|"&amp;$J604&amp;"|"&amp;14,Assessments!$A$2:$A$600,0)),"")</f>
        <v/>
      </c>
      <c r="CI604" s="28" t="str">
        <f aca="false">IFERROR(INDEX(Assessments!$I$2:$I$600,MATCH($H604&amp;"|"&amp;$I604&amp;"|"&amp;$J604&amp;"|"&amp;1,Assessments!$A$2:$A$600,0)),"")</f>
        <v/>
      </c>
      <c r="CJ604" s="28" t="str">
        <f aca="false">IFERROR(INDEX(Assessments!$I$2:$I$600,MATCH($H604&amp;"|"&amp;$I604&amp;"|"&amp;$J604&amp;"|"&amp;2,Assessments!$A$2:$A$600,0)),"")</f>
        <v/>
      </c>
      <c r="CK604" s="28" t="str">
        <f aca="false">IFERROR(INDEX(Assessments!$I$2:$I$600,MATCH($H604&amp;"|"&amp;$I604&amp;"|"&amp;$J604&amp;"|"&amp;3,Assessments!$A$2:$A$600,0)),"")</f>
        <v/>
      </c>
      <c r="CL604" s="28" t="str">
        <f aca="false">IFERROR(INDEX(Assessments!$I$2:$I$600,MATCH($H604&amp;"|"&amp;$I604&amp;"|"&amp;$J604&amp;"|"&amp;4,Assessments!$A$2:$A$600,0)),"")</f>
        <v/>
      </c>
      <c r="CM604" s="28" t="str">
        <f aca="false">IFERROR(INDEX(Assessments!$I$2:$I$600,MATCH($H604&amp;"|"&amp;$I604&amp;"|"&amp;$J604&amp;"|"&amp;5,Assessments!$A$2:$A$600,0)),"")</f>
        <v/>
      </c>
      <c r="CN604" s="28" t="str">
        <f aca="false">IFERROR(INDEX(Assessments!$I$2:$I$600,MATCH($H604&amp;"|"&amp;$I604&amp;"|"&amp;$J604&amp;"|"&amp;6,Assessments!$A$2:$A$600,0)),"")</f>
        <v/>
      </c>
      <c r="CO604" s="28" t="str">
        <f aca="false">IFERROR(INDEX(Assessments!$I$2:$I$600,MATCH($H604&amp;"|"&amp;$I604&amp;"|"&amp;$J604&amp;"|"&amp;7,Assessments!$A$2:$A$600,0)),"")</f>
        <v/>
      </c>
      <c r="CP604" s="28" t="str">
        <f aca="false">IFERROR(INDEX(Assessments!$I$2:$I$600,MATCH($H604&amp;"|"&amp;$I604&amp;"|"&amp;$J604&amp;"|"&amp;8,Assessments!$A$2:$A$600,0)),"")</f>
        <v/>
      </c>
      <c r="CQ604" s="28" t="str">
        <f aca="false">IFERROR(INDEX(Assessments!$I$2:$I$600,MATCH($H604&amp;"|"&amp;$I604&amp;"|"&amp;$J604&amp;"|"&amp;9,Assessments!$A$2:$A$600,0)),"")</f>
        <v/>
      </c>
      <c r="CR604" s="28" t="str">
        <f aca="false">IFERROR(INDEX(Assessments!$I$2:$I$600,MATCH($H604&amp;"|"&amp;$I604&amp;"|"&amp;$J604&amp;"|"&amp;10,Assessments!$A$2:$A$600,0)),"")</f>
        <v/>
      </c>
      <c r="CS604" s="28" t="str">
        <f aca="false">IFERROR(INDEX(Assessments!$I$2:$I$600,MATCH($H604&amp;"|"&amp;$I604&amp;"|"&amp;$J604&amp;"|"&amp;11,Assessments!$A$2:$A$600,0)),"")</f>
        <v/>
      </c>
      <c r="CT604" s="28" t="str">
        <f aca="false">IFERROR(INDEX(Assessments!$I$2:$I$600,MATCH($H604&amp;"|"&amp;$I604&amp;"|"&amp;$J604&amp;"|"&amp;12,Assessments!$A$2:$A$600,0)),"")</f>
        <v/>
      </c>
      <c r="CU604" s="28" t="str">
        <f aca="false">IFERROR(INDEX(Assessments!$I$2:$I$600,MATCH($H604&amp;"|"&amp;$I604&amp;"|"&amp;$J604&amp;"|"&amp;13,Assessments!$A$2:$A$600,0)),"")</f>
        <v/>
      </c>
      <c r="CV604" s="28" t="str">
        <f aca="false">IFERROR(INDEX(Assessments!$I$2:$I$600,MATCH($H604&amp;"|"&amp;$I604&amp;"|"&amp;$J604&amp;"|"&amp;14,Assessments!$A$2:$A$600,0)),"")</f>
        <v/>
      </c>
      <c r="CW604" s="28" t="n">
        <f aca="false">IFERROR(INDEX(Assessments!$J$2:$J$600,MATCH($H604&amp;"|"&amp;$I604&amp;"|"&amp;$J604&amp;"|"&amp;1,Assessments!$A$2:$A$600,0)),0)</f>
        <v>0</v>
      </c>
      <c r="CX604" s="28" t="n">
        <f aca="false">IFERROR(INDEX(Assessments!$J$2:$J$600,MATCH($H604&amp;"|"&amp;$I604&amp;"|"&amp;$J604&amp;"|"&amp;2,Assessments!$A$2:$A$600,0)),0)</f>
        <v>0</v>
      </c>
      <c r="CY604" s="28" t="n">
        <f aca="false">IFERROR(INDEX(Assessments!$J$2:$J$600,MATCH($H604&amp;"|"&amp;$I604&amp;"|"&amp;$J604&amp;"|"&amp;3,Assessments!$A$2:$A$600,0)),0)</f>
        <v>0</v>
      </c>
      <c r="CZ604" s="28" t="n">
        <f aca="false">IFERROR(INDEX(Assessments!$J$2:$J$600,MATCH($H604&amp;"|"&amp;$I604&amp;"|"&amp;$J604&amp;"|"&amp;4,Assessments!$A$2:$A$600,0)),0)</f>
        <v>0</v>
      </c>
      <c r="DA604" s="28" t="n">
        <f aca="false">IFERROR(INDEX(Assessments!$J$2:$J$600,MATCH($H604&amp;"|"&amp;$I604&amp;"|"&amp;$J604&amp;"|"&amp;5,Assessments!$A$2:$A$600,0)),0)</f>
        <v>0</v>
      </c>
      <c r="DB604" s="28" t="n">
        <f aca="false">IFERROR(INDEX(Assessments!$J$2:$J$600,MATCH($H604&amp;"|"&amp;$I604&amp;"|"&amp;$J604&amp;"|"&amp;6,Assessments!$A$2:$A$600,0)),0)</f>
        <v>0</v>
      </c>
      <c r="DC604" s="28" t="n">
        <f aca="false">IFERROR(INDEX(Assessments!$J$2:$J$600,MATCH($H604&amp;"|"&amp;$I604&amp;"|"&amp;$J604&amp;"|"&amp;7,Assessments!$A$2:$A$600,0)),0)</f>
        <v>0</v>
      </c>
      <c r="DD604" s="28" t="n">
        <f aca="false">IFERROR(INDEX(Assessments!$J$2:$J$600,MATCH($H604&amp;"|"&amp;$I604&amp;"|"&amp;$J604&amp;"|"&amp;8,Assessments!$A$2:$A$600,0)),0)</f>
        <v>0</v>
      </c>
      <c r="DE604" s="28" t="n">
        <f aca="false">IFERROR(INDEX(Assessments!$J$2:$J$600,MATCH($H604&amp;"|"&amp;$I604&amp;"|"&amp;$J604&amp;"|"&amp;9,Assessments!$A$2:$A$600,0)),0)</f>
        <v>0</v>
      </c>
      <c r="DF604" s="28" t="n">
        <f aca="false">IFERROR(INDEX(Assessments!$J$2:$J$600,MATCH($H604&amp;"|"&amp;$I604&amp;"|"&amp;$J604&amp;"|"&amp;10,Assessments!$A$2:$A$600,0)),0)</f>
        <v>0</v>
      </c>
      <c r="DG604" s="28" t="n">
        <f aca="false">IFERROR(INDEX(Assessments!$J$2:$J$600,MATCH($H604&amp;"|"&amp;$I604&amp;"|"&amp;$J604&amp;"|"&amp;11,Assessments!$A$2:$A$600,0)),0)</f>
        <v>0</v>
      </c>
      <c r="DH604" s="28" t="n">
        <f aca="false">IFERROR(INDEX(Assessments!$J$2:$J$600,MATCH($H604&amp;"|"&amp;$I604&amp;"|"&amp;$J604&amp;"|"&amp;12,Assessments!$A$2:$A$600,0)),0)</f>
        <v>0</v>
      </c>
      <c r="DI604" s="28" t="n">
        <f aca="false">IFERROR(INDEX(Assessments!$J$2:$J$600,MATCH($H604&amp;"|"&amp;$I604&amp;"|"&amp;$J604&amp;"|"&amp;13,Assessments!$A$2:$A$600,0)),0)</f>
        <v>0</v>
      </c>
      <c r="DJ604" s="28" t="n">
        <f aca="false">IFERROR(INDEX(Assessments!$J$2:$J$600,MATCH($H604&amp;"|"&amp;$I604&amp;"|"&amp;$J604&amp;"|"&amp;14,Assessments!$A$2:$A$600,0)),0)</f>
        <v>0</v>
      </c>
      <c r="DK604" s="28" t="str">
        <f aca="false">S604</f>
        <v/>
      </c>
      <c r="DL604" s="28" t="str">
        <f aca="false">W604</f>
        <v/>
      </c>
      <c r="DM604" s="28" t="str">
        <f aca="false">AA604</f>
        <v/>
      </c>
      <c r="DN604" s="28" t="str">
        <f aca="false">AE604</f>
        <v/>
      </c>
      <c r="DO604" s="28" t="str">
        <f aca="false">AI604</f>
        <v/>
      </c>
      <c r="DP604" s="28" t="str">
        <f aca="false">AM604</f>
        <v/>
      </c>
      <c r="DQ604" s="28" t="str">
        <f aca="false">AQ604</f>
        <v/>
      </c>
      <c r="DR604" s="28" t="str">
        <f aca="false">AU604</f>
        <v/>
      </c>
      <c r="DS604" s="28" t="str">
        <f aca="false">AY604</f>
        <v/>
      </c>
      <c r="DT604" s="28" t="str">
        <f aca="false">BC604</f>
        <v/>
      </c>
      <c r="DU604" s="28" t="str">
        <f aca="false">BG604</f>
        <v/>
      </c>
      <c r="DV604" s="28" t="str">
        <f aca="false">BK604</f>
        <v/>
      </c>
      <c r="DW604" s="28" t="str">
        <f aca="false">BO604</f>
        <v/>
      </c>
      <c r="DX604" s="28" t="str">
        <f aca="false">BS604</f>
        <v/>
      </c>
      <c r="DY604" s="28" t="str">
        <f aca="false">IF(ISNUMBER(S604),1,"")</f>
        <v/>
      </c>
      <c r="DZ604" s="28" t="str">
        <f aca="false">IF(ISNUMBER(W604),2,"")</f>
        <v/>
      </c>
      <c r="EA604" s="28" t="str">
        <f aca="false">IF(ISNUMBER(AA604),3,"")</f>
        <v/>
      </c>
      <c r="EB604" s="28" t="str">
        <f aca="false">IF(ISNUMBER(AE604),4,"")</f>
        <v/>
      </c>
      <c r="EC604" s="28" t="str">
        <f aca="false">IF(ISNUMBER(AI604),5,"")</f>
        <v/>
      </c>
      <c r="ED604" s="28" t="str">
        <f aca="false">IF(ISNUMBER(AM604),6,"")</f>
        <v/>
      </c>
      <c r="EE604" s="28" t="str">
        <f aca="false">IF(ISNUMBER(AQ604),7,"")</f>
        <v/>
      </c>
      <c r="EF604" s="28" t="str">
        <f aca="false">IF(ISNUMBER(AU604),8,"")</f>
        <v/>
      </c>
      <c r="EG604" s="28" t="str">
        <f aca="false">IF(ISNUMBER(AY604),9,"")</f>
        <v/>
      </c>
      <c r="EH604" s="28" t="str">
        <f aca="false">IF(ISNUMBER(BC604),10,"")</f>
        <v/>
      </c>
      <c r="EI604" s="28" t="str">
        <f aca="false">IF(ISNUMBER(BG604),11,"")</f>
        <v/>
      </c>
      <c r="EJ604" s="28" t="str">
        <f aca="false">IF(ISNUMBER(BK604),12,"")</f>
        <v/>
      </c>
      <c r="EK604" s="28" t="str">
        <f aca="false">IF(ISNUMBER(BO604),13,"")</f>
        <v/>
      </c>
      <c r="EL604" s="28" t="str">
        <f aca="false">IF(ISNUMBER(BS604),14,"")</f>
        <v/>
      </c>
      <c r="EM604" s="28" t="n">
        <f aca="false">IF(ISNUMBER(R604),R604*CW604,0)</f>
        <v>0</v>
      </c>
      <c r="EN604" s="28" t="n">
        <f aca="false">IF(ISNUMBER(V604),V604*CX604,0)</f>
        <v>0</v>
      </c>
      <c r="EO604" s="28" t="n">
        <f aca="false">IF(ISNUMBER(Z604),Z604*CY604,0)</f>
        <v>0</v>
      </c>
      <c r="EP604" s="28" t="n">
        <f aca="false">IF(ISNUMBER(AD604),AD604*CZ604,0)</f>
        <v>0</v>
      </c>
      <c r="EQ604" s="28" t="n">
        <f aca="false">IF(ISNUMBER(AH604),AH604*DA604,0)</f>
        <v>0</v>
      </c>
      <c r="ER604" s="28" t="n">
        <f aca="false">IF(ISNUMBER(AL604),AL604*DB604,0)</f>
        <v>0</v>
      </c>
      <c r="ES604" s="28" t="n">
        <f aca="false">IF(ISNUMBER(AP604),AP604*DC604,0)</f>
        <v>0</v>
      </c>
      <c r="ET604" s="28" t="n">
        <f aca="false">IF(ISNUMBER(AT604),AT604*DD604,0)</f>
        <v>0</v>
      </c>
      <c r="EU604" s="28" t="n">
        <f aca="false">IF(ISNUMBER(AX604),AX604*DE604,0)</f>
        <v>0</v>
      </c>
      <c r="EV604" s="28" t="n">
        <f aca="false">IF(ISNUMBER(BB604),BB604*DF604,0)</f>
        <v>0</v>
      </c>
      <c r="EW604" s="28" t="n">
        <f aca="false">IF(ISNUMBER(BF604),BF604*DG604,0)</f>
        <v>0</v>
      </c>
      <c r="EX604" s="28" t="n">
        <f aca="false">IF(ISNUMBER(BJ604),BJ604*DH604,0)</f>
        <v>0</v>
      </c>
      <c r="EY604" s="28" t="n">
        <f aca="false">IF(ISNUMBER(BN604),BN604*DI604,0)</f>
        <v>0</v>
      </c>
      <c r="EZ604" s="28" t="n">
        <f aca="false">IF(ISNUMBER(BR604),BR604*DJ604,0)</f>
        <v>0</v>
      </c>
      <c r="FA604" s="28" t="n">
        <f aca="false">IF(ISNUMBER(R604),CW604,0)</f>
        <v>0</v>
      </c>
      <c r="FB604" s="28" t="n">
        <f aca="false">IF(ISNUMBER(V604),CX604,0)</f>
        <v>0</v>
      </c>
      <c r="FC604" s="28" t="n">
        <f aca="false">IF(ISNUMBER(Z604),CY604,0)</f>
        <v>0</v>
      </c>
      <c r="FD604" s="28" t="n">
        <f aca="false">IF(ISNUMBER(AD604),CZ604,0)</f>
        <v>0</v>
      </c>
      <c r="FE604" s="28" t="n">
        <f aca="false">IF(ISNUMBER(AH604),DA604,0)</f>
        <v>0</v>
      </c>
      <c r="FF604" s="28" t="n">
        <f aca="false">IF(ISNUMBER(AL604),DB604,0)</f>
        <v>0</v>
      </c>
      <c r="FG604" s="28" t="n">
        <f aca="false">IF(ISNUMBER(AP604),DC604,0)</f>
        <v>0</v>
      </c>
      <c r="FH604" s="28" t="n">
        <f aca="false">IF(ISNUMBER(AT604),DD604,0)</f>
        <v>0</v>
      </c>
      <c r="FI604" s="28" t="n">
        <f aca="false">IF(ISNUMBER(AX604),DE604,0)</f>
        <v>0</v>
      </c>
      <c r="FJ604" s="28" t="n">
        <f aca="false">IF(ISNUMBER(BB604),DF604,0)</f>
        <v>0</v>
      </c>
      <c r="FK604" s="28" t="n">
        <f aca="false">IF(ISNUMBER(BF604),DG604,0)</f>
        <v>0</v>
      </c>
      <c r="FL604" s="28" t="n">
        <f aca="false">IF(ISNUMBER(BJ604),DH604,0)</f>
        <v>0</v>
      </c>
      <c r="FM604" s="28" t="n">
        <f aca="false">IF(ISNUMBER(BN604),DI604,0)</f>
        <v>0</v>
      </c>
      <c r="FN604" s="28" t="n">
        <f aca="false">IF(ISNUMBER(BR604),DJ604,0)</f>
        <v>0</v>
      </c>
      <c r="FO604" s="28" t="str">
        <f aca="false">IFERROR(INDEX(Lists!$G$2:$G$20,MATCH($I604&amp;"|"&amp;$J604,Lists!$F$2:$F$20,0)),"")</f>
        <v/>
      </c>
    </row>
    <row r="605" customFormat="false" ht="19.5" hidden="false" customHeight="true" outlineLevel="0" collapsed="false">
      <c r="A605" s="29"/>
      <c r="B605" s="29"/>
      <c r="C605" s="30"/>
      <c r="D605" s="30"/>
      <c r="E605" s="31"/>
      <c r="F605" s="30"/>
      <c r="G605" s="30"/>
      <c r="H605" s="32"/>
      <c r="I605" s="33"/>
      <c r="J605" s="32"/>
      <c r="K605" s="34" t="str">
        <f aca="false">IF(OR(M605="",$E605=""),"",M605-$E605)</f>
        <v/>
      </c>
      <c r="L605" s="35" t="str">
        <f aca="false">IF(SUM(FA605:FN605)=0,"",SUM(EM605:EZ605)/SUM(FA605:FN605))</f>
        <v/>
      </c>
      <c r="M605" s="36" t="str">
        <f aca="false">IF(OR(L605="",FO605=""),"",IFERROR(MATCH(L605,INDEX(Boundaries!$B$2:$I$30,MATCH(FO605,Boundaries!$A$2:$A$30,0),0),1)-1,""))</f>
        <v/>
      </c>
      <c r="N605" s="37" t="str">
        <f aca="false">IF(COUNT($DY605:$EL605)&lt;2,"",INDEX($DK605:$DX605,MAX($DY605:$EL605))-INDEX($DK605:$DX605,MIN($DY605:$EL605)))</f>
        <v/>
      </c>
      <c r="O605" s="37" t="str">
        <f aca="false">IF(COUNT($DY605:$EL605)&lt;2,"",INDEX($DK605:$DX605,MAX($DY605:$EL605))-INDEX($DK605:$DX605,LARGE($DY605:$EL605,2)))</f>
        <v/>
      </c>
      <c r="P605" s="38" t="str">
        <f aca="false">IF(K605="","",IF(K605&gt;=0,"On/above target",IF(AND(N605&lt;&gt;"",N605&gt;=0.5),"Improving towards target",IF(AND(O605&lt;&gt;"",O605&lt;=-0.5),"Declining","Stable below target"))))</f>
        <v/>
      </c>
      <c r="Q605" s="39"/>
      <c r="R605" s="40" t="str">
        <f aca="false">IF(OR(Q605="",BU605=""),"",Q605/BU605*100)</f>
        <v/>
      </c>
      <c r="S605" s="41" t="str">
        <f aca="false">IF(R605="","",IFERROR(MATCH(R605,INDEX(Boundaries!$B$2:$I$30,MATCH(CI605,Boundaries!$A$2:$A$30,0),0),1)-1,""))</f>
        <v/>
      </c>
      <c r="T605" s="42" t="str">
        <f aca="false">IF(OR(S605="",$E605=""),"",S605-$E605)</f>
        <v/>
      </c>
      <c r="U605" s="39"/>
      <c r="V605" s="40" t="str">
        <f aca="false">IF(OR(U605="",BV605=""),"",U605/BV605*100)</f>
        <v/>
      </c>
      <c r="W605" s="41" t="str">
        <f aca="false">IF(V605="","",IFERROR(MATCH(V605,INDEX(Boundaries!$B$2:$I$30,MATCH(CJ605,Boundaries!$A$2:$A$30,0),0),1)-1,""))</f>
        <v/>
      </c>
      <c r="X605" s="42" t="str">
        <f aca="false">IF(OR(W605="",$E605=""),"",W605-$E605)</f>
        <v/>
      </c>
      <c r="Y605" s="39"/>
      <c r="Z605" s="40" t="str">
        <f aca="false">IF(OR(Y605="",BW605=""),"",Y605/BW605*100)</f>
        <v/>
      </c>
      <c r="AA605" s="41" t="str">
        <f aca="false">IF(Z605="","",IFERROR(MATCH(Z605,INDEX(Boundaries!$B$2:$I$30,MATCH(CK605,Boundaries!$A$2:$A$30,0),0),1)-1,""))</f>
        <v/>
      </c>
      <c r="AB605" s="42" t="str">
        <f aca="false">IF(OR(AA605="",$E605=""),"",AA605-$E605)</f>
        <v/>
      </c>
      <c r="AC605" s="39"/>
      <c r="AD605" s="40" t="str">
        <f aca="false">IF(OR(AC605="",BX605=""),"",AC605/BX605*100)</f>
        <v/>
      </c>
      <c r="AE605" s="41" t="str">
        <f aca="false">IF(AD605="","",IFERROR(MATCH(AD605,INDEX(Boundaries!$B$2:$I$30,MATCH(CL605,Boundaries!$A$2:$A$30,0),0),1)-1,""))</f>
        <v/>
      </c>
      <c r="AF605" s="42" t="str">
        <f aca="false">IF(OR(AE605="",$E605=""),"",AE605-$E605)</f>
        <v/>
      </c>
      <c r="AG605" s="39"/>
      <c r="AH605" s="40" t="str">
        <f aca="false">IF(OR(AG605="",BY605=""),"",AG605/BY605*100)</f>
        <v/>
      </c>
      <c r="AI605" s="41" t="str">
        <f aca="false">IF(AH605="","",IFERROR(MATCH(AH605,INDEX(Boundaries!$B$2:$I$30,MATCH(CM605,Boundaries!$A$2:$A$30,0),0),1)-1,""))</f>
        <v/>
      </c>
      <c r="AJ605" s="42" t="str">
        <f aca="false">IF(OR(AI605="",$E605=""),"",AI605-$E605)</f>
        <v/>
      </c>
      <c r="AK605" s="39"/>
      <c r="AL605" s="40" t="str">
        <f aca="false">IF(OR(AK605="",BZ605=""),"",AK605/BZ605*100)</f>
        <v/>
      </c>
      <c r="AM605" s="41" t="str">
        <f aca="false">IF(AL605="","",IFERROR(MATCH(AL605,INDEX(Boundaries!$B$2:$I$30,MATCH(CN605,Boundaries!$A$2:$A$30,0),0),1)-1,""))</f>
        <v/>
      </c>
      <c r="AN605" s="42" t="str">
        <f aca="false">IF(OR(AM605="",$E605=""),"",AM605-$E605)</f>
        <v/>
      </c>
      <c r="AO605" s="39"/>
      <c r="AP605" s="40" t="str">
        <f aca="false">IF(OR(AO605="",CA605=""),"",AO605/CA605*100)</f>
        <v/>
      </c>
      <c r="AQ605" s="41" t="str">
        <f aca="false">IF(AP605="","",IFERROR(MATCH(AP605,INDEX(Boundaries!$B$2:$I$30,MATCH(CO605,Boundaries!$A$2:$A$30,0),0),1)-1,""))</f>
        <v/>
      </c>
      <c r="AR605" s="42" t="str">
        <f aca="false">IF(OR(AQ605="",$E605=""),"",AQ605-$E605)</f>
        <v/>
      </c>
      <c r="AS605" s="39"/>
      <c r="AT605" s="40" t="str">
        <f aca="false">IF(OR(AS605="",CB605=""),"",AS605/CB605*100)</f>
        <v/>
      </c>
      <c r="AU605" s="41" t="str">
        <f aca="false">IF(AT605="","",IFERROR(MATCH(AT605,INDEX(Boundaries!$B$2:$I$30,MATCH(CP605,Boundaries!$A$2:$A$30,0),0),1)-1,""))</f>
        <v/>
      </c>
      <c r="AV605" s="42" t="str">
        <f aca="false">IF(OR(AU605="",$E605=""),"",AU605-$E605)</f>
        <v/>
      </c>
      <c r="AW605" s="39"/>
      <c r="AX605" s="40" t="str">
        <f aca="false">IF(OR(AW605="",CC605=""),"",AW605/CC605*100)</f>
        <v/>
      </c>
      <c r="AY605" s="41" t="str">
        <f aca="false">IF(AX605="","",IFERROR(MATCH(AX605,INDEX(Boundaries!$B$2:$I$30,MATCH(CQ605,Boundaries!$A$2:$A$30,0),0),1)-1,""))</f>
        <v/>
      </c>
      <c r="AZ605" s="42" t="str">
        <f aca="false">IF(OR(AY605="",$E605=""),"",AY605-$E605)</f>
        <v/>
      </c>
      <c r="BA605" s="39"/>
      <c r="BB605" s="40" t="str">
        <f aca="false">IF(OR(BA605="",CD605=""),"",BA605/CD605*100)</f>
        <v/>
      </c>
      <c r="BC605" s="41" t="str">
        <f aca="false">IF(BB605="","",IFERROR(MATCH(BB605,INDEX(Boundaries!$B$2:$I$30,MATCH(CR605,Boundaries!$A$2:$A$30,0),0),1)-1,""))</f>
        <v/>
      </c>
      <c r="BD605" s="42" t="str">
        <f aca="false">IF(OR(BC605="",$E605=""),"",BC605-$E605)</f>
        <v/>
      </c>
      <c r="BE605" s="39"/>
      <c r="BF605" s="40" t="str">
        <f aca="false">IF(OR(BE605="",CE605=""),"",BE605/CE605*100)</f>
        <v/>
      </c>
      <c r="BG605" s="41" t="str">
        <f aca="false">IF(BF605="","",IFERROR(MATCH(BF605,INDEX(Boundaries!$B$2:$I$30,MATCH(CS605,Boundaries!$A$2:$A$30,0),0),1)-1,""))</f>
        <v/>
      </c>
      <c r="BH605" s="42" t="str">
        <f aca="false">IF(OR(BG605="",$E605=""),"",BG605-$E605)</f>
        <v/>
      </c>
      <c r="BI605" s="39"/>
      <c r="BJ605" s="40" t="str">
        <f aca="false">IF(OR(BI605="",CF605=""),"",BI605/CF605*100)</f>
        <v/>
      </c>
      <c r="BK605" s="41" t="str">
        <f aca="false">IF(BJ605="","",IFERROR(MATCH(BJ605,INDEX(Boundaries!$B$2:$I$30,MATCH(CT605,Boundaries!$A$2:$A$30,0),0),1)-1,""))</f>
        <v/>
      </c>
      <c r="BL605" s="42" t="str">
        <f aca="false">IF(OR(BK605="",$E605=""),"",BK605-$E605)</f>
        <v/>
      </c>
      <c r="BM605" s="39"/>
      <c r="BN605" s="40" t="str">
        <f aca="false">IF(OR(BM605="",CG605=""),"",BM605/CG605*100)</f>
        <v/>
      </c>
      <c r="BO605" s="41" t="str">
        <f aca="false">IF(BN605="","",IFERROR(MATCH(BN605,INDEX(Boundaries!$B$2:$I$30,MATCH(CU605,Boundaries!$A$2:$A$30,0),0),1)-1,""))</f>
        <v/>
      </c>
      <c r="BP605" s="42" t="str">
        <f aca="false">IF(OR(BO605="",$E605=""),"",BO605-$E605)</f>
        <v/>
      </c>
      <c r="BQ605" s="39"/>
      <c r="BR605" s="40" t="str">
        <f aca="false">IF(OR(BQ605="",CH605=""),"",BQ605/CH605*100)</f>
        <v/>
      </c>
      <c r="BS605" s="41" t="str">
        <f aca="false">IF(BR605="","",IFERROR(MATCH(BR605,INDEX(Boundaries!$B$2:$I$30,MATCH(CV605,Boundaries!$A$2:$A$30,0),0),1)-1,""))</f>
        <v/>
      </c>
      <c r="BT605" s="42" t="str">
        <f aca="false">IF(OR(BS605="",$E605=""),"",BS605-$E605)</f>
        <v/>
      </c>
      <c r="BU605" s="28" t="str">
        <f aca="false">IFERROR(INDEX(Assessments!$H$2:$H$600,MATCH($H605&amp;"|"&amp;$I605&amp;"|"&amp;$J605&amp;"|"&amp;1,Assessments!$A$2:$A$600,0)),"")</f>
        <v/>
      </c>
      <c r="BV605" s="28" t="str">
        <f aca="false">IFERROR(INDEX(Assessments!$H$2:$H$600,MATCH($H605&amp;"|"&amp;$I605&amp;"|"&amp;$J605&amp;"|"&amp;2,Assessments!$A$2:$A$600,0)),"")</f>
        <v/>
      </c>
      <c r="BW605" s="28" t="str">
        <f aca="false">IFERROR(INDEX(Assessments!$H$2:$H$600,MATCH($H605&amp;"|"&amp;$I605&amp;"|"&amp;$J605&amp;"|"&amp;3,Assessments!$A$2:$A$600,0)),"")</f>
        <v/>
      </c>
      <c r="BX605" s="28" t="str">
        <f aca="false">IFERROR(INDEX(Assessments!$H$2:$H$600,MATCH($H605&amp;"|"&amp;$I605&amp;"|"&amp;$J605&amp;"|"&amp;4,Assessments!$A$2:$A$600,0)),"")</f>
        <v/>
      </c>
      <c r="BY605" s="28" t="str">
        <f aca="false">IFERROR(INDEX(Assessments!$H$2:$H$600,MATCH($H605&amp;"|"&amp;$I605&amp;"|"&amp;$J605&amp;"|"&amp;5,Assessments!$A$2:$A$600,0)),"")</f>
        <v/>
      </c>
      <c r="BZ605" s="28" t="str">
        <f aca="false">IFERROR(INDEX(Assessments!$H$2:$H$600,MATCH($H605&amp;"|"&amp;$I605&amp;"|"&amp;$J605&amp;"|"&amp;6,Assessments!$A$2:$A$600,0)),"")</f>
        <v/>
      </c>
      <c r="CA605" s="28" t="str">
        <f aca="false">IFERROR(INDEX(Assessments!$H$2:$H$600,MATCH($H605&amp;"|"&amp;$I605&amp;"|"&amp;$J605&amp;"|"&amp;7,Assessments!$A$2:$A$600,0)),"")</f>
        <v/>
      </c>
      <c r="CB605" s="28" t="str">
        <f aca="false">IFERROR(INDEX(Assessments!$H$2:$H$600,MATCH($H605&amp;"|"&amp;$I605&amp;"|"&amp;$J605&amp;"|"&amp;8,Assessments!$A$2:$A$600,0)),"")</f>
        <v/>
      </c>
      <c r="CC605" s="28" t="str">
        <f aca="false">IFERROR(INDEX(Assessments!$H$2:$H$600,MATCH($H605&amp;"|"&amp;$I605&amp;"|"&amp;$J605&amp;"|"&amp;9,Assessments!$A$2:$A$600,0)),"")</f>
        <v/>
      </c>
      <c r="CD605" s="28" t="str">
        <f aca="false">IFERROR(INDEX(Assessments!$H$2:$H$600,MATCH($H605&amp;"|"&amp;$I605&amp;"|"&amp;$J605&amp;"|"&amp;10,Assessments!$A$2:$A$600,0)),"")</f>
        <v/>
      </c>
      <c r="CE605" s="28" t="str">
        <f aca="false">IFERROR(INDEX(Assessments!$H$2:$H$600,MATCH($H605&amp;"|"&amp;$I605&amp;"|"&amp;$J605&amp;"|"&amp;11,Assessments!$A$2:$A$600,0)),"")</f>
        <v/>
      </c>
      <c r="CF605" s="28" t="str">
        <f aca="false">IFERROR(INDEX(Assessments!$H$2:$H$600,MATCH($H605&amp;"|"&amp;$I605&amp;"|"&amp;$J605&amp;"|"&amp;12,Assessments!$A$2:$A$600,0)),"")</f>
        <v/>
      </c>
      <c r="CG605" s="28" t="str">
        <f aca="false">IFERROR(INDEX(Assessments!$H$2:$H$600,MATCH($H605&amp;"|"&amp;$I605&amp;"|"&amp;$J605&amp;"|"&amp;13,Assessments!$A$2:$A$600,0)),"")</f>
        <v/>
      </c>
      <c r="CH605" s="28" t="str">
        <f aca="false">IFERROR(INDEX(Assessments!$H$2:$H$600,MATCH($H605&amp;"|"&amp;$I605&amp;"|"&amp;$J605&amp;"|"&amp;14,Assessments!$A$2:$A$600,0)),"")</f>
        <v/>
      </c>
      <c r="CI605" s="28" t="str">
        <f aca="false">IFERROR(INDEX(Assessments!$I$2:$I$600,MATCH($H605&amp;"|"&amp;$I605&amp;"|"&amp;$J605&amp;"|"&amp;1,Assessments!$A$2:$A$600,0)),"")</f>
        <v/>
      </c>
      <c r="CJ605" s="28" t="str">
        <f aca="false">IFERROR(INDEX(Assessments!$I$2:$I$600,MATCH($H605&amp;"|"&amp;$I605&amp;"|"&amp;$J605&amp;"|"&amp;2,Assessments!$A$2:$A$600,0)),"")</f>
        <v/>
      </c>
      <c r="CK605" s="28" t="str">
        <f aca="false">IFERROR(INDEX(Assessments!$I$2:$I$600,MATCH($H605&amp;"|"&amp;$I605&amp;"|"&amp;$J605&amp;"|"&amp;3,Assessments!$A$2:$A$600,0)),"")</f>
        <v/>
      </c>
      <c r="CL605" s="28" t="str">
        <f aca="false">IFERROR(INDEX(Assessments!$I$2:$I$600,MATCH($H605&amp;"|"&amp;$I605&amp;"|"&amp;$J605&amp;"|"&amp;4,Assessments!$A$2:$A$600,0)),"")</f>
        <v/>
      </c>
      <c r="CM605" s="28" t="str">
        <f aca="false">IFERROR(INDEX(Assessments!$I$2:$I$600,MATCH($H605&amp;"|"&amp;$I605&amp;"|"&amp;$J605&amp;"|"&amp;5,Assessments!$A$2:$A$600,0)),"")</f>
        <v/>
      </c>
      <c r="CN605" s="28" t="str">
        <f aca="false">IFERROR(INDEX(Assessments!$I$2:$I$600,MATCH($H605&amp;"|"&amp;$I605&amp;"|"&amp;$J605&amp;"|"&amp;6,Assessments!$A$2:$A$600,0)),"")</f>
        <v/>
      </c>
      <c r="CO605" s="28" t="str">
        <f aca="false">IFERROR(INDEX(Assessments!$I$2:$I$600,MATCH($H605&amp;"|"&amp;$I605&amp;"|"&amp;$J605&amp;"|"&amp;7,Assessments!$A$2:$A$600,0)),"")</f>
        <v/>
      </c>
      <c r="CP605" s="28" t="str">
        <f aca="false">IFERROR(INDEX(Assessments!$I$2:$I$600,MATCH($H605&amp;"|"&amp;$I605&amp;"|"&amp;$J605&amp;"|"&amp;8,Assessments!$A$2:$A$600,0)),"")</f>
        <v/>
      </c>
      <c r="CQ605" s="28" t="str">
        <f aca="false">IFERROR(INDEX(Assessments!$I$2:$I$600,MATCH($H605&amp;"|"&amp;$I605&amp;"|"&amp;$J605&amp;"|"&amp;9,Assessments!$A$2:$A$600,0)),"")</f>
        <v/>
      </c>
      <c r="CR605" s="28" t="str">
        <f aca="false">IFERROR(INDEX(Assessments!$I$2:$I$600,MATCH($H605&amp;"|"&amp;$I605&amp;"|"&amp;$J605&amp;"|"&amp;10,Assessments!$A$2:$A$600,0)),"")</f>
        <v/>
      </c>
      <c r="CS605" s="28" t="str">
        <f aca="false">IFERROR(INDEX(Assessments!$I$2:$I$600,MATCH($H605&amp;"|"&amp;$I605&amp;"|"&amp;$J605&amp;"|"&amp;11,Assessments!$A$2:$A$600,0)),"")</f>
        <v/>
      </c>
      <c r="CT605" s="28" t="str">
        <f aca="false">IFERROR(INDEX(Assessments!$I$2:$I$600,MATCH($H605&amp;"|"&amp;$I605&amp;"|"&amp;$J605&amp;"|"&amp;12,Assessments!$A$2:$A$600,0)),"")</f>
        <v/>
      </c>
      <c r="CU605" s="28" t="str">
        <f aca="false">IFERROR(INDEX(Assessments!$I$2:$I$600,MATCH($H605&amp;"|"&amp;$I605&amp;"|"&amp;$J605&amp;"|"&amp;13,Assessments!$A$2:$A$600,0)),"")</f>
        <v/>
      </c>
      <c r="CV605" s="28" t="str">
        <f aca="false">IFERROR(INDEX(Assessments!$I$2:$I$600,MATCH($H605&amp;"|"&amp;$I605&amp;"|"&amp;$J605&amp;"|"&amp;14,Assessments!$A$2:$A$600,0)),"")</f>
        <v/>
      </c>
      <c r="CW605" s="28" t="n">
        <f aca="false">IFERROR(INDEX(Assessments!$J$2:$J$600,MATCH($H605&amp;"|"&amp;$I605&amp;"|"&amp;$J605&amp;"|"&amp;1,Assessments!$A$2:$A$600,0)),0)</f>
        <v>0</v>
      </c>
      <c r="CX605" s="28" t="n">
        <f aca="false">IFERROR(INDEX(Assessments!$J$2:$J$600,MATCH($H605&amp;"|"&amp;$I605&amp;"|"&amp;$J605&amp;"|"&amp;2,Assessments!$A$2:$A$600,0)),0)</f>
        <v>0</v>
      </c>
      <c r="CY605" s="28" t="n">
        <f aca="false">IFERROR(INDEX(Assessments!$J$2:$J$600,MATCH($H605&amp;"|"&amp;$I605&amp;"|"&amp;$J605&amp;"|"&amp;3,Assessments!$A$2:$A$600,0)),0)</f>
        <v>0</v>
      </c>
      <c r="CZ605" s="28" t="n">
        <f aca="false">IFERROR(INDEX(Assessments!$J$2:$J$600,MATCH($H605&amp;"|"&amp;$I605&amp;"|"&amp;$J605&amp;"|"&amp;4,Assessments!$A$2:$A$600,0)),0)</f>
        <v>0</v>
      </c>
      <c r="DA605" s="28" t="n">
        <f aca="false">IFERROR(INDEX(Assessments!$J$2:$J$600,MATCH($H605&amp;"|"&amp;$I605&amp;"|"&amp;$J605&amp;"|"&amp;5,Assessments!$A$2:$A$600,0)),0)</f>
        <v>0</v>
      </c>
      <c r="DB605" s="28" t="n">
        <f aca="false">IFERROR(INDEX(Assessments!$J$2:$J$600,MATCH($H605&amp;"|"&amp;$I605&amp;"|"&amp;$J605&amp;"|"&amp;6,Assessments!$A$2:$A$600,0)),0)</f>
        <v>0</v>
      </c>
      <c r="DC605" s="28" t="n">
        <f aca="false">IFERROR(INDEX(Assessments!$J$2:$J$600,MATCH($H605&amp;"|"&amp;$I605&amp;"|"&amp;$J605&amp;"|"&amp;7,Assessments!$A$2:$A$600,0)),0)</f>
        <v>0</v>
      </c>
      <c r="DD605" s="28" t="n">
        <f aca="false">IFERROR(INDEX(Assessments!$J$2:$J$600,MATCH($H605&amp;"|"&amp;$I605&amp;"|"&amp;$J605&amp;"|"&amp;8,Assessments!$A$2:$A$600,0)),0)</f>
        <v>0</v>
      </c>
      <c r="DE605" s="28" t="n">
        <f aca="false">IFERROR(INDEX(Assessments!$J$2:$J$600,MATCH($H605&amp;"|"&amp;$I605&amp;"|"&amp;$J605&amp;"|"&amp;9,Assessments!$A$2:$A$600,0)),0)</f>
        <v>0</v>
      </c>
      <c r="DF605" s="28" t="n">
        <f aca="false">IFERROR(INDEX(Assessments!$J$2:$J$600,MATCH($H605&amp;"|"&amp;$I605&amp;"|"&amp;$J605&amp;"|"&amp;10,Assessments!$A$2:$A$600,0)),0)</f>
        <v>0</v>
      </c>
      <c r="DG605" s="28" t="n">
        <f aca="false">IFERROR(INDEX(Assessments!$J$2:$J$600,MATCH($H605&amp;"|"&amp;$I605&amp;"|"&amp;$J605&amp;"|"&amp;11,Assessments!$A$2:$A$600,0)),0)</f>
        <v>0</v>
      </c>
      <c r="DH605" s="28" t="n">
        <f aca="false">IFERROR(INDEX(Assessments!$J$2:$J$600,MATCH($H605&amp;"|"&amp;$I605&amp;"|"&amp;$J605&amp;"|"&amp;12,Assessments!$A$2:$A$600,0)),0)</f>
        <v>0</v>
      </c>
      <c r="DI605" s="28" t="n">
        <f aca="false">IFERROR(INDEX(Assessments!$J$2:$J$600,MATCH($H605&amp;"|"&amp;$I605&amp;"|"&amp;$J605&amp;"|"&amp;13,Assessments!$A$2:$A$600,0)),0)</f>
        <v>0</v>
      </c>
      <c r="DJ605" s="28" t="n">
        <f aca="false">IFERROR(INDEX(Assessments!$J$2:$J$600,MATCH($H605&amp;"|"&amp;$I605&amp;"|"&amp;$J605&amp;"|"&amp;14,Assessments!$A$2:$A$600,0)),0)</f>
        <v>0</v>
      </c>
      <c r="DK605" s="28" t="str">
        <f aca="false">S605</f>
        <v/>
      </c>
      <c r="DL605" s="28" t="str">
        <f aca="false">W605</f>
        <v/>
      </c>
      <c r="DM605" s="28" t="str">
        <f aca="false">AA605</f>
        <v/>
      </c>
      <c r="DN605" s="28" t="str">
        <f aca="false">AE605</f>
        <v/>
      </c>
      <c r="DO605" s="28" t="str">
        <f aca="false">AI605</f>
        <v/>
      </c>
      <c r="DP605" s="28" t="str">
        <f aca="false">AM605</f>
        <v/>
      </c>
      <c r="DQ605" s="28" t="str">
        <f aca="false">AQ605</f>
        <v/>
      </c>
      <c r="DR605" s="28" t="str">
        <f aca="false">AU605</f>
        <v/>
      </c>
      <c r="DS605" s="28" t="str">
        <f aca="false">AY605</f>
        <v/>
      </c>
      <c r="DT605" s="28" t="str">
        <f aca="false">BC605</f>
        <v/>
      </c>
      <c r="DU605" s="28" t="str">
        <f aca="false">BG605</f>
        <v/>
      </c>
      <c r="DV605" s="28" t="str">
        <f aca="false">BK605</f>
        <v/>
      </c>
      <c r="DW605" s="28" t="str">
        <f aca="false">BO605</f>
        <v/>
      </c>
      <c r="DX605" s="28" t="str">
        <f aca="false">BS605</f>
        <v/>
      </c>
      <c r="DY605" s="28" t="str">
        <f aca="false">IF(ISNUMBER(S605),1,"")</f>
        <v/>
      </c>
      <c r="DZ605" s="28" t="str">
        <f aca="false">IF(ISNUMBER(W605),2,"")</f>
        <v/>
      </c>
      <c r="EA605" s="28" t="str">
        <f aca="false">IF(ISNUMBER(AA605),3,"")</f>
        <v/>
      </c>
      <c r="EB605" s="28" t="str">
        <f aca="false">IF(ISNUMBER(AE605),4,"")</f>
        <v/>
      </c>
      <c r="EC605" s="28" t="str">
        <f aca="false">IF(ISNUMBER(AI605),5,"")</f>
        <v/>
      </c>
      <c r="ED605" s="28" t="str">
        <f aca="false">IF(ISNUMBER(AM605),6,"")</f>
        <v/>
      </c>
      <c r="EE605" s="28" t="str">
        <f aca="false">IF(ISNUMBER(AQ605),7,"")</f>
        <v/>
      </c>
      <c r="EF605" s="28" t="str">
        <f aca="false">IF(ISNUMBER(AU605),8,"")</f>
        <v/>
      </c>
      <c r="EG605" s="28" t="str">
        <f aca="false">IF(ISNUMBER(AY605),9,"")</f>
        <v/>
      </c>
      <c r="EH605" s="28" t="str">
        <f aca="false">IF(ISNUMBER(BC605),10,"")</f>
        <v/>
      </c>
      <c r="EI605" s="28" t="str">
        <f aca="false">IF(ISNUMBER(BG605),11,"")</f>
        <v/>
      </c>
      <c r="EJ605" s="28" t="str">
        <f aca="false">IF(ISNUMBER(BK605),12,"")</f>
        <v/>
      </c>
      <c r="EK605" s="28" t="str">
        <f aca="false">IF(ISNUMBER(BO605),13,"")</f>
        <v/>
      </c>
      <c r="EL605" s="28" t="str">
        <f aca="false">IF(ISNUMBER(BS605),14,"")</f>
        <v/>
      </c>
      <c r="EM605" s="28" t="n">
        <f aca="false">IF(ISNUMBER(R605),R605*CW605,0)</f>
        <v>0</v>
      </c>
      <c r="EN605" s="28" t="n">
        <f aca="false">IF(ISNUMBER(V605),V605*CX605,0)</f>
        <v>0</v>
      </c>
      <c r="EO605" s="28" t="n">
        <f aca="false">IF(ISNUMBER(Z605),Z605*CY605,0)</f>
        <v>0</v>
      </c>
      <c r="EP605" s="28" t="n">
        <f aca="false">IF(ISNUMBER(AD605),AD605*CZ605,0)</f>
        <v>0</v>
      </c>
      <c r="EQ605" s="28" t="n">
        <f aca="false">IF(ISNUMBER(AH605),AH605*DA605,0)</f>
        <v>0</v>
      </c>
      <c r="ER605" s="28" t="n">
        <f aca="false">IF(ISNUMBER(AL605),AL605*DB605,0)</f>
        <v>0</v>
      </c>
      <c r="ES605" s="28" t="n">
        <f aca="false">IF(ISNUMBER(AP605),AP605*DC605,0)</f>
        <v>0</v>
      </c>
      <c r="ET605" s="28" t="n">
        <f aca="false">IF(ISNUMBER(AT605),AT605*DD605,0)</f>
        <v>0</v>
      </c>
      <c r="EU605" s="28" t="n">
        <f aca="false">IF(ISNUMBER(AX605),AX605*DE605,0)</f>
        <v>0</v>
      </c>
      <c r="EV605" s="28" t="n">
        <f aca="false">IF(ISNUMBER(BB605),BB605*DF605,0)</f>
        <v>0</v>
      </c>
      <c r="EW605" s="28" t="n">
        <f aca="false">IF(ISNUMBER(BF605),BF605*DG605,0)</f>
        <v>0</v>
      </c>
      <c r="EX605" s="28" t="n">
        <f aca="false">IF(ISNUMBER(BJ605),BJ605*DH605,0)</f>
        <v>0</v>
      </c>
      <c r="EY605" s="28" t="n">
        <f aca="false">IF(ISNUMBER(BN605),BN605*DI605,0)</f>
        <v>0</v>
      </c>
      <c r="EZ605" s="28" t="n">
        <f aca="false">IF(ISNUMBER(BR605),BR605*DJ605,0)</f>
        <v>0</v>
      </c>
      <c r="FA605" s="28" t="n">
        <f aca="false">IF(ISNUMBER(R605),CW605,0)</f>
        <v>0</v>
      </c>
      <c r="FB605" s="28" t="n">
        <f aca="false">IF(ISNUMBER(V605),CX605,0)</f>
        <v>0</v>
      </c>
      <c r="FC605" s="28" t="n">
        <f aca="false">IF(ISNUMBER(Z605),CY605,0)</f>
        <v>0</v>
      </c>
      <c r="FD605" s="28" t="n">
        <f aca="false">IF(ISNUMBER(AD605),CZ605,0)</f>
        <v>0</v>
      </c>
      <c r="FE605" s="28" t="n">
        <f aca="false">IF(ISNUMBER(AH605),DA605,0)</f>
        <v>0</v>
      </c>
      <c r="FF605" s="28" t="n">
        <f aca="false">IF(ISNUMBER(AL605),DB605,0)</f>
        <v>0</v>
      </c>
      <c r="FG605" s="28" t="n">
        <f aca="false">IF(ISNUMBER(AP605),DC605,0)</f>
        <v>0</v>
      </c>
      <c r="FH605" s="28" t="n">
        <f aca="false">IF(ISNUMBER(AT605),DD605,0)</f>
        <v>0</v>
      </c>
      <c r="FI605" s="28" t="n">
        <f aca="false">IF(ISNUMBER(AX605),DE605,0)</f>
        <v>0</v>
      </c>
      <c r="FJ605" s="28" t="n">
        <f aca="false">IF(ISNUMBER(BB605),DF605,0)</f>
        <v>0</v>
      </c>
      <c r="FK605" s="28" t="n">
        <f aca="false">IF(ISNUMBER(BF605),DG605,0)</f>
        <v>0</v>
      </c>
      <c r="FL605" s="28" t="n">
        <f aca="false">IF(ISNUMBER(BJ605),DH605,0)</f>
        <v>0</v>
      </c>
      <c r="FM605" s="28" t="n">
        <f aca="false">IF(ISNUMBER(BN605),DI605,0)</f>
        <v>0</v>
      </c>
      <c r="FN605" s="28" t="n">
        <f aca="false">IF(ISNUMBER(BR605),DJ605,0)</f>
        <v>0</v>
      </c>
      <c r="FO605" s="28" t="str">
        <f aca="false">IFERROR(INDEX(Lists!$G$2:$G$20,MATCH($I605&amp;"|"&amp;$J605,Lists!$F$2:$F$20,0)),"")</f>
        <v/>
      </c>
    </row>
    <row r="606" customFormat="false" ht="19.5" hidden="false" customHeight="true" outlineLevel="0" collapsed="false">
      <c r="A606" s="29"/>
      <c r="B606" s="29"/>
      <c r="C606" s="30"/>
      <c r="D606" s="30"/>
      <c r="E606" s="31"/>
      <c r="F606" s="30"/>
      <c r="G606" s="30"/>
      <c r="H606" s="32"/>
      <c r="I606" s="33"/>
      <c r="J606" s="32"/>
      <c r="K606" s="34" t="str">
        <f aca="false">IF(OR(M606="",$E606=""),"",M606-$E606)</f>
        <v/>
      </c>
      <c r="L606" s="35" t="str">
        <f aca="false">IF(SUM(FA606:FN606)=0,"",SUM(EM606:EZ606)/SUM(FA606:FN606))</f>
        <v/>
      </c>
      <c r="M606" s="36" t="str">
        <f aca="false">IF(OR(L606="",FO606=""),"",IFERROR(MATCH(L606,INDEX(Boundaries!$B$2:$I$30,MATCH(FO606,Boundaries!$A$2:$A$30,0),0),1)-1,""))</f>
        <v/>
      </c>
      <c r="N606" s="37" t="str">
        <f aca="false">IF(COUNT($DY606:$EL606)&lt;2,"",INDEX($DK606:$DX606,MAX($DY606:$EL606))-INDEX($DK606:$DX606,MIN($DY606:$EL606)))</f>
        <v/>
      </c>
      <c r="O606" s="37" t="str">
        <f aca="false">IF(COUNT($DY606:$EL606)&lt;2,"",INDEX($DK606:$DX606,MAX($DY606:$EL606))-INDEX($DK606:$DX606,LARGE($DY606:$EL606,2)))</f>
        <v/>
      </c>
      <c r="P606" s="38" t="str">
        <f aca="false">IF(K606="","",IF(K606&gt;=0,"On/above target",IF(AND(N606&lt;&gt;"",N606&gt;=0.5),"Improving towards target",IF(AND(O606&lt;&gt;"",O606&lt;=-0.5),"Declining","Stable below target"))))</f>
        <v/>
      </c>
      <c r="Q606" s="39"/>
      <c r="R606" s="40" t="str">
        <f aca="false">IF(OR(Q606="",BU606=""),"",Q606/BU606*100)</f>
        <v/>
      </c>
      <c r="S606" s="41" t="str">
        <f aca="false">IF(R606="","",IFERROR(MATCH(R606,INDEX(Boundaries!$B$2:$I$30,MATCH(CI606,Boundaries!$A$2:$A$30,0),0),1)-1,""))</f>
        <v/>
      </c>
      <c r="T606" s="42" t="str">
        <f aca="false">IF(OR(S606="",$E606=""),"",S606-$E606)</f>
        <v/>
      </c>
      <c r="U606" s="39"/>
      <c r="V606" s="40" t="str">
        <f aca="false">IF(OR(U606="",BV606=""),"",U606/BV606*100)</f>
        <v/>
      </c>
      <c r="W606" s="41" t="str">
        <f aca="false">IF(V606="","",IFERROR(MATCH(V606,INDEX(Boundaries!$B$2:$I$30,MATCH(CJ606,Boundaries!$A$2:$A$30,0),0),1)-1,""))</f>
        <v/>
      </c>
      <c r="X606" s="42" t="str">
        <f aca="false">IF(OR(W606="",$E606=""),"",W606-$E606)</f>
        <v/>
      </c>
      <c r="Y606" s="39"/>
      <c r="Z606" s="40" t="str">
        <f aca="false">IF(OR(Y606="",BW606=""),"",Y606/BW606*100)</f>
        <v/>
      </c>
      <c r="AA606" s="41" t="str">
        <f aca="false">IF(Z606="","",IFERROR(MATCH(Z606,INDEX(Boundaries!$B$2:$I$30,MATCH(CK606,Boundaries!$A$2:$A$30,0),0),1)-1,""))</f>
        <v/>
      </c>
      <c r="AB606" s="42" t="str">
        <f aca="false">IF(OR(AA606="",$E606=""),"",AA606-$E606)</f>
        <v/>
      </c>
      <c r="AC606" s="39"/>
      <c r="AD606" s="40" t="str">
        <f aca="false">IF(OR(AC606="",BX606=""),"",AC606/BX606*100)</f>
        <v/>
      </c>
      <c r="AE606" s="41" t="str">
        <f aca="false">IF(AD606="","",IFERROR(MATCH(AD606,INDEX(Boundaries!$B$2:$I$30,MATCH(CL606,Boundaries!$A$2:$A$30,0),0),1)-1,""))</f>
        <v/>
      </c>
      <c r="AF606" s="42" t="str">
        <f aca="false">IF(OR(AE606="",$E606=""),"",AE606-$E606)</f>
        <v/>
      </c>
      <c r="AG606" s="39"/>
      <c r="AH606" s="40" t="str">
        <f aca="false">IF(OR(AG606="",BY606=""),"",AG606/BY606*100)</f>
        <v/>
      </c>
      <c r="AI606" s="41" t="str">
        <f aca="false">IF(AH606="","",IFERROR(MATCH(AH606,INDEX(Boundaries!$B$2:$I$30,MATCH(CM606,Boundaries!$A$2:$A$30,0),0),1)-1,""))</f>
        <v/>
      </c>
      <c r="AJ606" s="42" t="str">
        <f aca="false">IF(OR(AI606="",$E606=""),"",AI606-$E606)</f>
        <v/>
      </c>
      <c r="AK606" s="39"/>
      <c r="AL606" s="40" t="str">
        <f aca="false">IF(OR(AK606="",BZ606=""),"",AK606/BZ606*100)</f>
        <v/>
      </c>
      <c r="AM606" s="41" t="str">
        <f aca="false">IF(AL606="","",IFERROR(MATCH(AL606,INDEX(Boundaries!$B$2:$I$30,MATCH(CN606,Boundaries!$A$2:$A$30,0),0),1)-1,""))</f>
        <v/>
      </c>
      <c r="AN606" s="42" t="str">
        <f aca="false">IF(OR(AM606="",$E606=""),"",AM606-$E606)</f>
        <v/>
      </c>
      <c r="AO606" s="39"/>
      <c r="AP606" s="40" t="str">
        <f aca="false">IF(OR(AO606="",CA606=""),"",AO606/CA606*100)</f>
        <v/>
      </c>
      <c r="AQ606" s="41" t="str">
        <f aca="false">IF(AP606="","",IFERROR(MATCH(AP606,INDEX(Boundaries!$B$2:$I$30,MATCH(CO606,Boundaries!$A$2:$A$30,0),0),1)-1,""))</f>
        <v/>
      </c>
      <c r="AR606" s="42" t="str">
        <f aca="false">IF(OR(AQ606="",$E606=""),"",AQ606-$E606)</f>
        <v/>
      </c>
      <c r="AS606" s="39"/>
      <c r="AT606" s="40" t="str">
        <f aca="false">IF(OR(AS606="",CB606=""),"",AS606/CB606*100)</f>
        <v/>
      </c>
      <c r="AU606" s="41" t="str">
        <f aca="false">IF(AT606="","",IFERROR(MATCH(AT606,INDEX(Boundaries!$B$2:$I$30,MATCH(CP606,Boundaries!$A$2:$A$30,0),0),1)-1,""))</f>
        <v/>
      </c>
      <c r="AV606" s="42" t="str">
        <f aca="false">IF(OR(AU606="",$E606=""),"",AU606-$E606)</f>
        <v/>
      </c>
      <c r="AW606" s="39"/>
      <c r="AX606" s="40" t="str">
        <f aca="false">IF(OR(AW606="",CC606=""),"",AW606/CC606*100)</f>
        <v/>
      </c>
      <c r="AY606" s="41" t="str">
        <f aca="false">IF(AX606="","",IFERROR(MATCH(AX606,INDEX(Boundaries!$B$2:$I$30,MATCH(CQ606,Boundaries!$A$2:$A$30,0),0),1)-1,""))</f>
        <v/>
      </c>
      <c r="AZ606" s="42" t="str">
        <f aca="false">IF(OR(AY606="",$E606=""),"",AY606-$E606)</f>
        <v/>
      </c>
      <c r="BA606" s="39"/>
      <c r="BB606" s="40" t="str">
        <f aca="false">IF(OR(BA606="",CD606=""),"",BA606/CD606*100)</f>
        <v/>
      </c>
      <c r="BC606" s="41" t="str">
        <f aca="false">IF(BB606="","",IFERROR(MATCH(BB606,INDEX(Boundaries!$B$2:$I$30,MATCH(CR606,Boundaries!$A$2:$A$30,0),0),1)-1,""))</f>
        <v/>
      </c>
      <c r="BD606" s="42" t="str">
        <f aca="false">IF(OR(BC606="",$E606=""),"",BC606-$E606)</f>
        <v/>
      </c>
      <c r="BE606" s="39"/>
      <c r="BF606" s="40" t="str">
        <f aca="false">IF(OR(BE606="",CE606=""),"",BE606/CE606*100)</f>
        <v/>
      </c>
      <c r="BG606" s="41" t="str">
        <f aca="false">IF(BF606="","",IFERROR(MATCH(BF606,INDEX(Boundaries!$B$2:$I$30,MATCH(CS606,Boundaries!$A$2:$A$30,0),0),1)-1,""))</f>
        <v/>
      </c>
      <c r="BH606" s="42" t="str">
        <f aca="false">IF(OR(BG606="",$E606=""),"",BG606-$E606)</f>
        <v/>
      </c>
      <c r="BI606" s="39"/>
      <c r="BJ606" s="40" t="str">
        <f aca="false">IF(OR(BI606="",CF606=""),"",BI606/CF606*100)</f>
        <v/>
      </c>
      <c r="BK606" s="41" t="str">
        <f aca="false">IF(BJ606="","",IFERROR(MATCH(BJ606,INDEX(Boundaries!$B$2:$I$30,MATCH(CT606,Boundaries!$A$2:$A$30,0),0),1)-1,""))</f>
        <v/>
      </c>
      <c r="BL606" s="42" t="str">
        <f aca="false">IF(OR(BK606="",$E606=""),"",BK606-$E606)</f>
        <v/>
      </c>
      <c r="BM606" s="39"/>
      <c r="BN606" s="40" t="str">
        <f aca="false">IF(OR(BM606="",CG606=""),"",BM606/CG606*100)</f>
        <v/>
      </c>
      <c r="BO606" s="41" t="str">
        <f aca="false">IF(BN606="","",IFERROR(MATCH(BN606,INDEX(Boundaries!$B$2:$I$30,MATCH(CU606,Boundaries!$A$2:$A$30,0),0),1)-1,""))</f>
        <v/>
      </c>
      <c r="BP606" s="42" t="str">
        <f aca="false">IF(OR(BO606="",$E606=""),"",BO606-$E606)</f>
        <v/>
      </c>
      <c r="BQ606" s="39"/>
      <c r="BR606" s="40" t="str">
        <f aca="false">IF(OR(BQ606="",CH606=""),"",BQ606/CH606*100)</f>
        <v/>
      </c>
      <c r="BS606" s="41" t="str">
        <f aca="false">IF(BR606="","",IFERROR(MATCH(BR606,INDEX(Boundaries!$B$2:$I$30,MATCH(CV606,Boundaries!$A$2:$A$30,0),0),1)-1,""))</f>
        <v/>
      </c>
      <c r="BT606" s="42" t="str">
        <f aca="false">IF(OR(BS606="",$E606=""),"",BS606-$E606)</f>
        <v/>
      </c>
      <c r="BU606" s="28" t="str">
        <f aca="false">IFERROR(INDEX(Assessments!$H$2:$H$600,MATCH($H606&amp;"|"&amp;$I606&amp;"|"&amp;$J606&amp;"|"&amp;1,Assessments!$A$2:$A$600,0)),"")</f>
        <v/>
      </c>
      <c r="BV606" s="28" t="str">
        <f aca="false">IFERROR(INDEX(Assessments!$H$2:$H$600,MATCH($H606&amp;"|"&amp;$I606&amp;"|"&amp;$J606&amp;"|"&amp;2,Assessments!$A$2:$A$600,0)),"")</f>
        <v/>
      </c>
      <c r="BW606" s="28" t="str">
        <f aca="false">IFERROR(INDEX(Assessments!$H$2:$H$600,MATCH($H606&amp;"|"&amp;$I606&amp;"|"&amp;$J606&amp;"|"&amp;3,Assessments!$A$2:$A$600,0)),"")</f>
        <v/>
      </c>
      <c r="BX606" s="28" t="str">
        <f aca="false">IFERROR(INDEX(Assessments!$H$2:$H$600,MATCH($H606&amp;"|"&amp;$I606&amp;"|"&amp;$J606&amp;"|"&amp;4,Assessments!$A$2:$A$600,0)),"")</f>
        <v/>
      </c>
      <c r="BY606" s="28" t="str">
        <f aca="false">IFERROR(INDEX(Assessments!$H$2:$H$600,MATCH($H606&amp;"|"&amp;$I606&amp;"|"&amp;$J606&amp;"|"&amp;5,Assessments!$A$2:$A$600,0)),"")</f>
        <v/>
      </c>
      <c r="BZ606" s="28" t="str">
        <f aca="false">IFERROR(INDEX(Assessments!$H$2:$H$600,MATCH($H606&amp;"|"&amp;$I606&amp;"|"&amp;$J606&amp;"|"&amp;6,Assessments!$A$2:$A$600,0)),"")</f>
        <v/>
      </c>
      <c r="CA606" s="28" t="str">
        <f aca="false">IFERROR(INDEX(Assessments!$H$2:$H$600,MATCH($H606&amp;"|"&amp;$I606&amp;"|"&amp;$J606&amp;"|"&amp;7,Assessments!$A$2:$A$600,0)),"")</f>
        <v/>
      </c>
      <c r="CB606" s="28" t="str">
        <f aca="false">IFERROR(INDEX(Assessments!$H$2:$H$600,MATCH($H606&amp;"|"&amp;$I606&amp;"|"&amp;$J606&amp;"|"&amp;8,Assessments!$A$2:$A$600,0)),"")</f>
        <v/>
      </c>
      <c r="CC606" s="28" t="str">
        <f aca="false">IFERROR(INDEX(Assessments!$H$2:$H$600,MATCH($H606&amp;"|"&amp;$I606&amp;"|"&amp;$J606&amp;"|"&amp;9,Assessments!$A$2:$A$600,0)),"")</f>
        <v/>
      </c>
      <c r="CD606" s="28" t="str">
        <f aca="false">IFERROR(INDEX(Assessments!$H$2:$H$600,MATCH($H606&amp;"|"&amp;$I606&amp;"|"&amp;$J606&amp;"|"&amp;10,Assessments!$A$2:$A$600,0)),"")</f>
        <v/>
      </c>
      <c r="CE606" s="28" t="str">
        <f aca="false">IFERROR(INDEX(Assessments!$H$2:$H$600,MATCH($H606&amp;"|"&amp;$I606&amp;"|"&amp;$J606&amp;"|"&amp;11,Assessments!$A$2:$A$600,0)),"")</f>
        <v/>
      </c>
      <c r="CF606" s="28" t="str">
        <f aca="false">IFERROR(INDEX(Assessments!$H$2:$H$600,MATCH($H606&amp;"|"&amp;$I606&amp;"|"&amp;$J606&amp;"|"&amp;12,Assessments!$A$2:$A$600,0)),"")</f>
        <v/>
      </c>
      <c r="CG606" s="28" t="str">
        <f aca="false">IFERROR(INDEX(Assessments!$H$2:$H$600,MATCH($H606&amp;"|"&amp;$I606&amp;"|"&amp;$J606&amp;"|"&amp;13,Assessments!$A$2:$A$600,0)),"")</f>
        <v/>
      </c>
      <c r="CH606" s="28" t="str">
        <f aca="false">IFERROR(INDEX(Assessments!$H$2:$H$600,MATCH($H606&amp;"|"&amp;$I606&amp;"|"&amp;$J606&amp;"|"&amp;14,Assessments!$A$2:$A$600,0)),"")</f>
        <v/>
      </c>
      <c r="CI606" s="28" t="str">
        <f aca="false">IFERROR(INDEX(Assessments!$I$2:$I$600,MATCH($H606&amp;"|"&amp;$I606&amp;"|"&amp;$J606&amp;"|"&amp;1,Assessments!$A$2:$A$600,0)),"")</f>
        <v/>
      </c>
      <c r="CJ606" s="28" t="str">
        <f aca="false">IFERROR(INDEX(Assessments!$I$2:$I$600,MATCH($H606&amp;"|"&amp;$I606&amp;"|"&amp;$J606&amp;"|"&amp;2,Assessments!$A$2:$A$600,0)),"")</f>
        <v/>
      </c>
      <c r="CK606" s="28" t="str">
        <f aca="false">IFERROR(INDEX(Assessments!$I$2:$I$600,MATCH($H606&amp;"|"&amp;$I606&amp;"|"&amp;$J606&amp;"|"&amp;3,Assessments!$A$2:$A$600,0)),"")</f>
        <v/>
      </c>
      <c r="CL606" s="28" t="str">
        <f aca="false">IFERROR(INDEX(Assessments!$I$2:$I$600,MATCH($H606&amp;"|"&amp;$I606&amp;"|"&amp;$J606&amp;"|"&amp;4,Assessments!$A$2:$A$600,0)),"")</f>
        <v/>
      </c>
      <c r="CM606" s="28" t="str">
        <f aca="false">IFERROR(INDEX(Assessments!$I$2:$I$600,MATCH($H606&amp;"|"&amp;$I606&amp;"|"&amp;$J606&amp;"|"&amp;5,Assessments!$A$2:$A$600,0)),"")</f>
        <v/>
      </c>
      <c r="CN606" s="28" t="str">
        <f aca="false">IFERROR(INDEX(Assessments!$I$2:$I$600,MATCH($H606&amp;"|"&amp;$I606&amp;"|"&amp;$J606&amp;"|"&amp;6,Assessments!$A$2:$A$600,0)),"")</f>
        <v/>
      </c>
      <c r="CO606" s="28" t="str">
        <f aca="false">IFERROR(INDEX(Assessments!$I$2:$I$600,MATCH($H606&amp;"|"&amp;$I606&amp;"|"&amp;$J606&amp;"|"&amp;7,Assessments!$A$2:$A$600,0)),"")</f>
        <v/>
      </c>
      <c r="CP606" s="28" t="str">
        <f aca="false">IFERROR(INDEX(Assessments!$I$2:$I$600,MATCH($H606&amp;"|"&amp;$I606&amp;"|"&amp;$J606&amp;"|"&amp;8,Assessments!$A$2:$A$600,0)),"")</f>
        <v/>
      </c>
      <c r="CQ606" s="28" t="str">
        <f aca="false">IFERROR(INDEX(Assessments!$I$2:$I$600,MATCH($H606&amp;"|"&amp;$I606&amp;"|"&amp;$J606&amp;"|"&amp;9,Assessments!$A$2:$A$600,0)),"")</f>
        <v/>
      </c>
      <c r="CR606" s="28" t="str">
        <f aca="false">IFERROR(INDEX(Assessments!$I$2:$I$600,MATCH($H606&amp;"|"&amp;$I606&amp;"|"&amp;$J606&amp;"|"&amp;10,Assessments!$A$2:$A$600,0)),"")</f>
        <v/>
      </c>
      <c r="CS606" s="28" t="str">
        <f aca="false">IFERROR(INDEX(Assessments!$I$2:$I$600,MATCH($H606&amp;"|"&amp;$I606&amp;"|"&amp;$J606&amp;"|"&amp;11,Assessments!$A$2:$A$600,0)),"")</f>
        <v/>
      </c>
      <c r="CT606" s="28" t="str">
        <f aca="false">IFERROR(INDEX(Assessments!$I$2:$I$600,MATCH($H606&amp;"|"&amp;$I606&amp;"|"&amp;$J606&amp;"|"&amp;12,Assessments!$A$2:$A$600,0)),"")</f>
        <v/>
      </c>
      <c r="CU606" s="28" t="str">
        <f aca="false">IFERROR(INDEX(Assessments!$I$2:$I$600,MATCH($H606&amp;"|"&amp;$I606&amp;"|"&amp;$J606&amp;"|"&amp;13,Assessments!$A$2:$A$600,0)),"")</f>
        <v/>
      </c>
      <c r="CV606" s="28" t="str">
        <f aca="false">IFERROR(INDEX(Assessments!$I$2:$I$600,MATCH($H606&amp;"|"&amp;$I606&amp;"|"&amp;$J606&amp;"|"&amp;14,Assessments!$A$2:$A$600,0)),"")</f>
        <v/>
      </c>
      <c r="CW606" s="28" t="n">
        <f aca="false">IFERROR(INDEX(Assessments!$J$2:$J$600,MATCH($H606&amp;"|"&amp;$I606&amp;"|"&amp;$J606&amp;"|"&amp;1,Assessments!$A$2:$A$600,0)),0)</f>
        <v>0</v>
      </c>
      <c r="CX606" s="28" t="n">
        <f aca="false">IFERROR(INDEX(Assessments!$J$2:$J$600,MATCH($H606&amp;"|"&amp;$I606&amp;"|"&amp;$J606&amp;"|"&amp;2,Assessments!$A$2:$A$600,0)),0)</f>
        <v>0</v>
      </c>
      <c r="CY606" s="28" t="n">
        <f aca="false">IFERROR(INDEX(Assessments!$J$2:$J$600,MATCH($H606&amp;"|"&amp;$I606&amp;"|"&amp;$J606&amp;"|"&amp;3,Assessments!$A$2:$A$600,0)),0)</f>
        <v>0</v>
      </c>
      <c r="CZ606" s="28" t="n">
        <f aca="false">IFERROR(INDEX(Assessments!$J$2:$J$600,MATCH($H606&amp;"|"&amp;$I606&amp;"|"&amp;$J606&amp;"|"&amp;4,Assessments!$A$2:$A$600,0)),0)</f>
        <v>0</v>
      </c>
      <c r="DA606" s="28" t="n">
        <f aca="false">IFERROR(INDEX(Assessments!$J$2:$J$600,MATCH($H606&amp;"|"&amp;$I606&amp;"|"&amp;$J606&amp;"|"&amp;5,Assessments!$A$2:$A$600,0)),0)</f>
        <v>0</v>
      </c>
      <c r="DB606" s="28" t="n">
        <f aca="false">IFERROR(INDEX(Assessments!$J$2:$J$600,MATCH($H606&amp;"|"&amp;$I606&amp;"|"&amp;$J606&amp;"|"&amp;6,Assessments!$A$2:$A$600,0)),0)</f>
        <v>0</v>
      </c>
      <c r="DC606" s="28" t="n">
        <f aca="false">IFERROR(INDEX(Assessments!$J$2:$J$600,MATCH($H606&amp;"|"&amp;$I606&amp;"|"&amp;$J606&amp;"|"&amp;7,Assessments!$A$2:$A$600,0)),0)</f>
        <v>0</v>
      </c>
      <c r="DD606" s="28" t="n">
        <f aca="false">IFERROR(INDEX(Assessments!$J$2:$J$600,MATCH($H606&amp;"|"&amp;$I606&amp;"|"&amp;$J606&amp;"|"&amp;8,Assessments!$A$2:$A$600,0)),0)</f>
        <v>0</v>
      </c>
      <c r="DE606" s="28" t="n">
        <f aca="false">IFERROR(INDEX(Assessments!$J$2:$J$600,MATCH($H606&amp;"|"&amp;$I606&amp;"|"&amp;$J606&amp;"|"&amp;9,Assessments!$A$2:$A$600,0)),0)</f>
        <v>0</v>
      </c>
      <c r="DF606" s="28" t="n">
        <f aca="false">IFERROR(INDEX(Assessments!$J$2:$J$600,MATCH($H606&amp;"|"&amp;$I606&amp;"|"&amp;$J606&amp;"|"&amp;10,Assessments!$A$2:$A$600,0)),0)</f>
        <v>0</v>
      </c>
      <c r="DG606" s="28" t="n">
        <f aca="false">IFERROR(INDEX(Assessments!$J$2:$J$600,MATCH($H606&amp;"|"&amp;$I606&amp;"|"&amp;$J606&amp;"|"&amp;11,Assessments!$A$2:$A$600,0)),0)</f>
        <v>0</v>
      </c>
      <c r="DH606" s="28" t="n">
        <f aca="false">IFERROR(INDEX(Assessments!$J$2:$J$600,MATCH($H606&amp;"|"&amp;$I606&amp;"|"&amp;$J606&amp;"|"&amp;12,Assessments!$A$2:$A$600,0)),0)</f>
        <v>0</v>
      </c>
      <c r="DI606" s="28" t="n">
        <f aca="false">IFERROR(INDEX(Assessments!$J$2:$J$600,MATCH($H606&amp;"|"&amp;$I606&amp;"|"&amp;$J606&amp;"|"&amp;13,Assessments!$A$2:$A$600,0)),0)</f>
        <v>0</v>
      </c>
      <c r="DJ606" s="28" t="n">
        <f aca="false">IFERROR(INDEX(Assessments!$J$2:$J$600,MATCH($H606&amp;"|"&amp;$I606&amp;"|"&amp;$J606&amp;"|"&amp;14,Assessments!$A$2:$A$600,0)),0)</f>
        <v>0</v>
      </c>
      <c r="DK606" s="28" t="str">
        <f aca="false">S606</f>
        <v/>
      </c>
      <c r="DL606" s="28" t="str">
        <f aca="false">W606</f>
        <v/>
      </c>
      <c r="DM606" s="28" t="str">
        <f aca="false">AA606</f>
        <v/>
      </c>
      <c r="DN606" s="28" t="str">
        <f aca="false">AE606</f>
        <v/>
      </c>
      <c r="DO606" s="28" t="str">
        <f aca="false">AI606</f>
        <v/>
      </c>
      <c r="DP606" s="28" t="str">
        <f aca="false">AM606</f>
        <v/>
      </c>
      <c r="DQ606" s="28" t="str">
        <f aca="false">AQ606</f>
        <v/>
      </c>
      <c r="DR606" s="28" t="str">
        <f aca="false">AU606</f>
        <v/>
      </c>
      <c r="DS606" s="28" t="str">
        <f aca="false">AY606</f>
        <v/>
      </c>
      <c r="DT606" s="28" t="str">
        <f aca="false">BC606</f>
        <v/>
      </c>
      <c r="DU606" s="28" t="str">
        <f aca="false">BG606</f>
        <v/>
      </c>
      <c r="DV606" s="28" t="str">
        <f aca="false">BK606</f>
        <v/>
      </c>
      <c r="DW606" s="28" t="str">
        <f aca="false">BO606</f>
        <v/>
      </c>
      <c r="DX606" s="28" t="str">
        <f aca="false">BS606</f>
        <v/>
      </c>
      <c r="DY606" s="28" t="str">
        <f aca="false">IF(ISNUMBER(S606),1,"")</f>
        <v/>
      </c>
      <c r="DZ606" s="28" t="str">
        <f aca="false">IF(ISNUMBER(W606),2,"")</f>
        <v/>
      </c>
      <c r="EA606" s="28" t="str">
        <f aca="false">IF(ISNUMBER(AA606),3,"")</f>
        <v/>
      </c>
      <c r="EB606" s="28" t="str">
        <f aca="false">IF(ISNUMBER(AE606),4,"")</f>
        <v/>
      </c>
      <c r="EC606" s="28" t="str">
        <f aca="false">IF(ISNUMBER(AI606),5,"")</f>
        <v/>
      </c>
      <c r="ED606" s="28" t="str">
        <f aca="false">IF(ISNUMBER(AM606),6,"")</f>
        <v/>
      </c>
      <c r="EE606" s="28" t="str">
        <f aca="false">IF(ISNUMBER(AQ606),7,"")</f>
        <v/>
      </c>
      <c r="EF606" s="28" t="str">
        <f aca="false">IF(ISNUMBER(AU606),8,"")</f>
        <v/>
      </c>
      <c r="EG606" s="28" t="str">
        <f aca="false">IF(ISNUMBER(AY606),9,"")</f>
        <v/>
      </c>
      <c r="EH606" s="28" t="str">
        <f aca="false">IF(ISNUMBER(BC606),10,"")</f>
        <v/>
      </c>
      <c r="EI606" s="28" t="str">
        <f aca="false">IF(ISNUMBER(BG606),11,"")</f>
        <v/>
      </c>
      <c r="EJ606" s="28" t="str">
        <f aca="false">IF(ISNUMBER(BK606),12,"")</f>
        <v/>
      </c>
      <c r="EK606" s="28" t="str">
        <f aca="false">IF(ISNUMBER(BO606),13,"")</f>
        <v/>
      </c>
      <c r="EL606" s="28" t="str">
        <f aca="false">IF(ISNUMBER(BS606),14,"")</f>
        <v/>
      </c>
      <c r="EM606" s="28" t="n">
        <f aca="false">IF(ISNUMBER(R606),R606*CW606,0)</f>
        <v>0</v>
      </c>
      <c r="EN606" s="28" t="n">
        <f aca="false">IF(ISNUMBER(V606),V606*CX606,0)</f>
        <v>0</v>
      </c>
      <c r="EO606" s="28" t="n">
        <f aca="false">IF(ISNUMBER(Z606),Z606*CY606,0)</f>
        <v>0</v>
      </c>
      <c r="EP606" s="28" t="n">
        <f aca="false">IF(ISNUMBER(AD606),AD606*CZ606,0)</f>
        <v>0</v>
      </c>
      <c r="EQ606" s="28" t="n">
        <f aca="false">IF(ISNUMBER(AH606),AH606*DA606,0)</f>
        <v>0</v>
      </c>
      <c r="ER606" s="28" t="n">
        <f aca="false">IF(ISNUMBER(AL606),AL606*DB606,0)</f>
        <v>0</v>
      </c>
      <c r="ES606" s="28" t="n">
        <f aca="false">IF(ISNUMBER(AP606),AP606*DC606,0)</f>
        <v>0</v>
      </c>
      <c r="ET606" s="28" t="n">
        <f aca="false">IF(ISNUMBER(AT606),AT606*DD606,0)</f>
        <v>0</v>
      </c>
      <c r="EU606" s="28" t="n">
        <f aca="false">IF(ISNUMBER(AX606),AX606*DE606,0)</f>
        <v>0</v>
      </c>
      <c r="EV606" s="28" t="n">
        <f aca="false">IF(ISNUMBER(BB606),BB606*DF606,0)</f>
        <v>0</v>
      </c>
      <c r="EW606" s="28" t="n">
        <f aca="false">IF(ISNUMBER(BF606),BF606*DG606,0)</f>
        <v>0</v>
      </c>
      <c r="EX606" s="28" t="n">
        <f aca="false">IF(ISNUMBER(BJ606),BJ606*DH606,0)</f>
        <v>0</v>
      </c>
      <c r="EY606" s="28" t="n">
        <f aca="false">IF(ISNUMBER(BN606),BN606*DI606,0)</f>
        <v>0</v>
      </c>
      <c r="EZ606" s="28" t="n">
        <f aca="false">IF(ISNUMBER(BR606),BR606*DJ606,0)</f>
        <v>0</v>
      </c>
      <c r="FA606" s="28" t="n">
        <f aca="false">IF(ISNUMBER(R606),CW606,0)</f>
        <v>0</v>
      </c>
      <c r="FB606" s="28" t="n">
        <f aca="false">IF(ISNUMBER(V606),CX606,0)</f>
        <v>0</v>
      </c>
      <c r="FC606" s="28" t="n">
        <f aca="false">IF(ISNUMBER(Z606),CY606,0)</f>
        <v>0</v>
      </c>
      <c r="FD606" s="28" t="n">
        <f aca="false">IF(ISNUMBER(AD606),CZ606,0)</f>
        <v>0</v>
      </c>
      <c r="FE606" s="28" t="n">
        <f aca="false">IF(ISNUMBER(AH606),DA606,0)</f>
        <v>0</v>
      </c>
      <c r="FF606" s="28" t="n">
        <f aca="false">IF(ISNUMBER(AL606),DB606,0)</f>
        <v>0</v>
      </c>
      <c r="FG606" s="28" t="n">
        <f aca="false">IF(ISNUMBER(AP606),DC606,0)</f>
        <v>0</v>
      </c>
      <c r="FH606" s="28" t="n">
        <f aca="false">IF(ISNUMBER(AT606),DD606,0)</f>
        <v>0</v>
      </c>
      <c r="FI606" s="28" t="n">
        <f aca="false">IF(ISNUMBER(AX606),DE606,0)</f>
        <v>0</v>
      </c>
      <c r="FJ606" s="28" t="n">
        <f aca="false">IF(ISNUMBER(BB606),DF606,0)</f>
        <v>0</v>
      </c>
      <c r="FK606" s="28" t="n">
        <f aca="false">IF(ISNUMBER(BF606),DG606,0)</f>
        <v>0</v>
      </c>
      <c r="FL606" s="28" t="n">
        <f aca="false">IF(ISNUMBER(BJ606),DH606,0)</f>
        <v>0</v>
      </c>
      <c r="FM606" s="28" t="n">
        <f aca="false">IF(ISNUMBER(BN606),DI606,0)</f>
        <v>0</v>
      </c>
      <c r="FN606" s="28" t="n">
        <f aca="false">IF(ISNUMBER(BR606),DJ606,0)</f>
        <v>0</v>
      </c>
      <c r="FO606" s="28" t="str">
        <f aca="false">IFERROR(INDEX(Lists!$G$2:$G$20,MATCH($I606&amp;"|"&amp;$J606,Lists!$F$2:$F$20,0)),"")</f>
        <v/>
      </c>
    </row>
    <row r="607" customFormat="false" ht="19.5" hidden="false" customHeight="true" outlineLevel="0" collapsed="false">
      <c r="A607" s="29"/>
      <c r="B607" s="29"/>
      <c r="C607" s="30"/>
      <c r="D607" s="30"/>
      <c r="E607" s="31"/>
      <c r="F607" s="30"/>
      <c r="G607" s="30"/>
      <c r="H607" s="32"/>
      <c r="I607" s="33"/>
      <c r="J607" s="32"/>
      <c r="K607" s="34" t="str">
        <f aca="false">IF(OR(M607="",$E607=""),"",M607-$E607)</f>
        <v/>
      </c>
      <c r="L607" s="35" t="str">
        <f aca="false">IF(SUM(FA607:FN607)=0,"",SUM(EM607:EZ607)/SUM(FA607:FN607))</f>
        <v/>
      </c>
      <c r="M607" s="36" t="str">
        <f aca="false">IF(OR(L607="",FO607=""),"",IFERROR(MATCH(L607,INDEX(Boundaries!$B$2:$I$30,MATCH(FO607,Boundaries!$A$2:$A$30,0),0),1)-1,""))</f>
        <v/>
      </c>
      <c r="N607" s="37" t="str">
        <f aca="false">IF(COUNT($DY607:$EL607)&lt;2,"",INDEX($DK607:$DX607,MAX($DY607:$EL607))-INDEX($DK607:$DX607,MIN($DY607:$EL607)))</f>
        <v/>
      </c>
      <c r="O607" s="37" t="str">
        <f aca="false">IF(COUNT($DY607:$EL607)&lt;2,"",INDEX($DK607:$DX607,MAX($DY607:$EL607))-INDEX($DK607:$DX607,LARGE($DY607:$EL607,2)))</f>
        <v/>
      </c>
      <c r="P607" s="38" t="str">
        <f aca="false">IF(K607="","",IF(K607&gt;=0,"On/above target",IF(AND(N607&lt;&gt;"",N607&gt;=0.5),"Improving towards target",IF(AND(O607&lt;&gt;"",O607&lt;=-0.5),"Declining","Stable below target"))))</f>
        <v/>
      </c>
      <c r="Q607" s="39"/>
      <c r="R607" s="40" t="str">
        <f aca="false">IF(OR(Q607="",BU607=""),"",Q607/BU607*100)</f>
        <v/>
      </c>
      <c r="S607" s="41" t="str">
        <f aca="false">IF(R607="","",IFERROR(MATCH(R607,INDEX(Boundaries!$B$2:$I$30,MATCH(CI607,Boundaries!$A$2:$A$30,0),0),1)-1,""))</f>
        <v/>
      </c>
      <c r="T607" s="42" t="str">
        <f aca="false">IF(OR(S607="",$E607=""),"",S607-$E607)</f>
        <v/>
      </c>
      <c r="U607" s="39"/>
      <c r="V607" s="40" t="str">
        <f aca="false">IF(OR(U607="",BV607=""),"",U607/BV607*100)</f>
        <v/>
      </c>
      <c r="W607" s="41" t="str">
        <f aca="false">IF(V607="","",IFERROR(MATCH(V607,INDEX(Boundaries!$B$2:$I$30,MATCH(CJ607,Boundaries!$A$2:$A$30,0),0),1)-1,""))</f>
        <v/>
      </c>
      <c r="X607" s="42" t="str">
        <f aca="false">IF(OR(W607="",$E607=""),"",W607-$E607)</f>
        <v/>
      </c>
      <c r="Y607" s="39"/>
      <c r="Z607" s="40" t="str">
        <f aca="false">IF(OR(Y607="",BW607=""),"",Y607/BW607*100)</f>
        <v/>
      </c>
      <c r="AA607" s="41" t="str">
        <f aca="false">IF(Z607="","",IFERROR(MATCH(Z607,INDEX(Boundaries!$B$2:$I$30,MATCH(CK607,Boundaries!$A$2:$A$30,0),0),1)-1,""))</f>
        <v/>
      </c>
      <c r="AB607" s="42" t="str">
        <f aca="false">IF(OR(AA607="",$E607=""),"",AA607-$E607)</f>
        <v/>
      </c>
      <c r="AC607" s="39"/>
      <c r="AD607" s="40" t="str">
        <f aca="false">IF(OR(AC607="",BX607=""),"",AC607/BX607*100)</f>
        <v/>
      </c>
      <c r="AE607" s="41" t="str">
        <f aca="false">IF(AD607="","",IFERROR(MATCH(AD607,INDEX(Boundaries!$B$2:$I$30,MATCH(CL607,Boundaries!$A$2:$A$30,0),0),1)-1,""))</f>
        <v/>
      </c>
      <c r="AF607" s="42" t="str">
        <f aca="false">IF(OR(AE607="",$E607=""),"",AE607-$E607)</f>
        <v/>
      </c>
      <c r="AG607" s="39"/>
      <c r="AH607" s="40" t="str">
        <f aca="false">IF(OR(AG607="",BY607=""),"",AG607/BY607*100)</f>
        <v/>
      </c>
      <c r="AI607" s="41" t="str">
        <f aca="false">IF(AH607="","",IFERROR(MATCH(AH607,INDEX(Boundaries!$B$2:$I$30,MATCH(CM607,Boundaries!$A$2:$A$30,0),0),1)-1,""))</f>
        <v/>
      </c>
      <c r="AJ607" s="42" t="str">
        <f aca="false">IF(OR(AI607="",$E607=""),"",AI607-$E607)</f>
        <v/>
      </c>
      <c r="AK607" s="39"/>
      <c r="AL607" s="40" t="str">
        <f aca="false">IF(OR(AK607="",BZ607=""),"",AK607/BZ607*100)</f>
        <v/>
      </c>
      <c r="AM607" s="41" t="str">
        <f aca="false">IF(AL607="","",IFERROR(MATCH(AL607,INDEX(Boundaries!$B$2:$I$30,MATCH(CN607,Boundaries!$A$2:$A$30,0),0),1)-1,""))</f>
        <v/>
      </c>
      <c r="AN607" s="42" t="str">
        <f aca="false">IF(OR(AM607="",$E607=""),"",AM607-$E607)</f>
        <v/>
      </c>
      <c r="AO607" s="39"/>
      <c r="AP607" s="40" t="str">
        <f aca="false">IF(OR(AO607="",CA607=""),"",AO607/CA607*100)</f>
        <v/>
      </c>
      <c r="AQ607" s="41" t="str">
        <f aca="false">IF(AP607="","",IFERROR(MATCH(AP607,INDEX(Boundaries!$B$2:$I$30,MATCH(CO607,Boundaries!$A$2:$A$30,0),0),1)-1,""))</f>
        <v/>
      </c>
      <c r="AR607" s="42" t="str">
        <f aca="false">IF(OR(AQ607="",$E607=""),"",AQ607-$E607)</f>
        <v/>
      </c>
      <c r="AS607" s="39"/>
      <c r="AT607" s="40" t="str">
        <f aca="false">IF(OR(AS607="",CB607=""),"",AS607/CB607*100)</f>
        <v/>
      </c>
      <c r="AU607" s="41" t="str">
        <f aca="false">IF(AT607="","",IFERROR(MATCH(AT607,INDEX(Boundaries!$B$2:$I$30,MATCH(CP607,Boundaries!$A$2:$A$30,0),0),1)-1,""))</f>
        <v/>
      </c>
      <c r="AV607" s="42" t="str">
        <f aca="false">IF(OR(AU607="",$E607=""),"",AU607-$E607)</f>
        <v/>
      </c>
      <c r="AW607" s="39"/>
      <c r="AX607" s="40" t="str">
        <f aca="false">IF(OR(AW607="",CC607=""),"",AW607/CC607*100)</f>
        <v/>
      </c>
      <c r="AY607" s="41" t="str">
        <f aca="false">IF(AX607="","",IFERROR(MATCH(AX607,INDEX(Boundaries!$B$2:$I$30,MATCH(CQ607,Boundaries!$A$2:$A$30,0),0),1)-1,""))</f>
        <v/>
      </c>
      <c r="AZ607" s="42" t="str">
        <f aca="false">IF(OR(AY607="",$E607=""),"",AY607-$E607)</f>
        <v/>
      </c>
      <c r="BA607" s="39"/>
      <c r="BB607" s="40" t="str">
        <f aca="false">IF(OR(BA607="",CD607=""),"",BA607/CD607*100)</f>
        <v/>
      </c>
      <c r="BC607" s="41" t="str">
        <f aca="false">IF(BB607="","",IFERROR(MATCH(BB607,INDEX(Boundaries!$B$2:$I$30,MATCH(CR607,Boundaries!$A$2:$A$30,0),0),1)-1,""))</f>
        <v/>
      </c>
      <c r="BD607" s="42" t="str">
        <f aca="false">IF(OR(BC607="",$E607=""),"",BC607-$E607)</f>
        <v/>
      </c>
      <c r="BE607" s="39"/>
      <c r="BF607" s="40" t="str">
        <f aca="false">IF(OR(BE607="",CE607=""),"",BE607/CE607*100)</f>
        <v/>
      </c>
      <c r="BG607" s="41" t="str">
        <f aca="false">IF(BF607="","",IFERROR(MATCH(BF607,INDEX(Boundaries!$B$2:$I$30,MATCH(CS607,Boundaries!$A$2:$A$30,0),0),1)-1,""))</f>
        <v/>
      </c>
      <c r="BH607" s="42" t="str">
        <f aca="false">IF(OR(BG607="",$E607=""),"",BG607-$E607)</f>
        <v/>
      </c>
      <c r="BI607" s="39"/>
      <c r="BJ607" s="40" t="str">
        <f aca="false">IF(OR(BI607="",CF607=""),"",BI607/CF607*100)</f>
        <v/>
      </c>
      <c r="BK607" s="41" t="str">
        <f aca="false">IF(BJ607="","",IFERROR(MATCH(BJ607,INDEX(Boundaries!$B$2:$I$30,MATCH(CT607,Boundaries!$A$2:$A$30,0),0),1)-1,""))</f>
        <v/>
      </c>
      <c r="BL607" s="42" t="str">
        <f aca="false">IF(OR(BK607="",$E607=""),"",BK607-$E607)</f>
        <v/>
      </c>
      <c r="BM607" s="39"/>
      <c r="BN607" s="40" t="str">
        <f aca="false">IF(OR(BM607="",CG607=""),"",BM607/CG607*100)</f>
        <v/>
      </c>
      <c r="BO607" s="41" t="str">
        <f aca="false">IF(BN607="","",IFERROR(MATCH(BN607,INDEX(Boundaries!$B$2:$I$30,MATCH(CU607,Boundaries!$A$2:$A$30,0),0),1)-1,""))</f>
        <v/>
      </c>
      <c r="BP607" s="42" t="str">
        <f aca="false">IF(OR(BO607="",$E607=""),"",BO607-$E607)</f>
        <v/>
      </c>
      <c r="BQ607" s="39"/>
      <c r="BR607" s="40" t="str">
        <f aca="false">IF(OR(BQ607="",CH607=""),"",BQ607/CH607*100)</f>
        <v/>
      </c>
      <c r="BS607" s="41" t="str">
        <f aca="false">IF(BR607="","",IFERROR(MATCH(BR607,INDEX(Boundaries!$B$2:$I$30,MATCH(CV607,Boundaries!$A$2:$A$30,0),0),1)-1,""))</f>
        <v/>
      </c>
      <c r="BT607" s="42" t="str">
        <f aca="false">IF(OR(BS607="",$E607=""),"",BS607-$E607)</f>
        <v/>
      </c>
      <c r="BU607" s="28" t="str">
        <f aca="false">IFERROR(INDEX(Assessments!$H$2:$H$600,MATCH($H607&amp;"|"&amp;$I607&amp;"|"&amp;$J607&amp;"|"&amp;1,Assessments!$A$2:$A$600,0)),"")</f>
        <v/>
      </c>
      <c r="BV607" s="28" t="str">
        <f aca="false">IFERROR(INDEX(Assessments!$H$2:$H$600,MATCH($H607&amp;"|"&amp;$I607&amp;"|"&amp;$J607&amp;"|"&amp;2,Assessments!$A$2:$A$600,0)),"")</f>
        <v/>
      </c>
      <c r="BW607" s="28" t="str">
        <f aca="false">IFERROR(INDEX(Assessments!$H$2:$H$600,MATCH($H607&amp;"|"&amp;$I607&amp;"|"&amp;$J607&amp;"|"&amp;3,Assessments!$A$2:$A$600,0)),"")</f>
        <v/>
      </c>
      <c r="BX607" s="28" t="str">
        <f aca="false">IFERROR(INDEX(Assessments!$H$2:$H$600,MATCH($H607&amp;"|"&amp;$I607&amp;"|"&amp;$J607&amp;"|"&amp;4,Assessments!$A$2:$A$600,0)),"")</f>
        <v/>
      </c>
      <c r="BY607" s="28" t="str">
        <f aca="false">IFERROR(INDEX(Assessments!$H$2:$H$600,MATCH($H607&amp;"|"&amp;$I607&amp;"|"&amp;$J607&amp;"|"&amp;5,Assessments!$A$2:$A$600,0)),"")</f>
        <v/>
      </c>
      <c r="BZ607" s="28" t="str">
        <f aca="false">IFERROR(INDEX(Assessments!$H$2:$H$600,MATCH($H607&amp;"|"&amp;$I607&amp;"|"&amp;$J607&amp;"|"&amp;6,Assessments!$A$2:$A$600,0)),"")</f>
        <v/>
      </c>
      <c r="CA607" s="28" t="str">
        <f aca="false">IFERROR(INDEX(Assessments!$H$2:$H$600,MATCH($H607&amp;"|"&amp;$I607&amp;"|"&amp;$J607&amp;"|"&amp;7,Assessments!$A$2:$A$600,0)),"")</f>
        <v/>
      </c>
      <c r="CB607" s="28" t="str">
        <f aca="false">IFERROR(INDEX(Assessments!$H$2:$H$600,MATCH($H607&amp;"|"&amp;$I607&amp;"|"&amp;$J607&amp;"|"&amp;8,Assessments!$A$2:$A$600,0)),"")</f>
        <v/>
      </c>
      <c r="CC607" s="28" t="str">
        <f aca="false">IFERROR(INDEX(Assessments!$H$2:$H$600,MATCH($H607&amp;"|"&amp;$I607&amp;"|"&amp;$J607&amp;"|"&amp;9,Assessments!$A$2:$A$600,0)),"")</f>
        <v/>
      </c>
      <c r="CD607" s="28" t="str">
        <f aca="false">IFERROR(INDEX(Assessments!$H$2:$H$600,MATCH($H607&amp;"|"&amp;$I607&amp;"|"&amp;$J607&amp;"|"&amp;10,Assessments!$A$2:$A$600,0)),"")</f>
        <v/>
      </c>
      <c r="CE607" s="28" t="str">
        <f aca="false">IFERROR(INDEX(Assessments!$H$2:$H$600,MATCH($H607&amp;"|"&amp;$I607&amp;"|"&amp;$J607&amp;"|"&amp;11,Assessments!$A$2:$A$600,0)),"")</f>
        <v/>
      </c>
      <c r="CF607" s="28" t="str">
        <f aca="false">IFERROR(INDEX(Assessments!$H$2:$H$600,MATCH($H607&amp;"|"&amp;$I607&amp;"|"&amp;$J607&amp;"|"&amp;12,Assessments!$A$2:$A$600,0)),"")</f>
        <v/>
      </c>
      <c r="CG607" s="28" t="str">
        <f aca="false">IFERROR(INDEX(Assessments!$H$2:$H$600,MATCH($H607&amp;"|"&amp;$I607&amp;"|"&amp;$J607&amp;"|"&amp;13,Assessments!$A$2:$A$600,0)),"")</f>
        <v/>
      </c>
      <c r="CH607" s="28" t="str">
        <f aca="false">IFERROR(INDEX(Assessments!$H$2:$H$600,MATCH($H607&amp;"|"&amp;$I607&amp;"|"&amp;$J607&amp;"|"&amp;14,Assessments!$A$2:$A$600,0)),"")</f>
        <v/>
      </c>
      <c r="CI607" s="28" t="str">
        <f aca="false">IFERROR(INDEX(Assessments!$I$2:$I$600,MATCH($H607&amp;"|"&amp;$I607&amp;"|"&amp;$J607&amp;"|"&amp;1,Assessments!$A$2:$A$600,0)),"")</f>
        <v/>
      </c>
      <c r="CJ607" s="28" t="str">
        <f aca="false">IFERROR(INDEX(Assessments!$I$2:$I$600,MATCH($H607&amp;"|"&amp;$I607&amp;"|"&amp;$J607&amp;"|"&amp;2,Assessments!$A$2:$A$600,0)),"")</f>
        <v/>
      </c>
      <c r="CK607" s="28" t="str">
        <f aca="false">IFERROR(INDEX(Assessments!$I$2:$I$600,MATCH($H607&amp;"|"&amp;$I607&amp;"|"&amp;$J607&amp;"|"&amp;3,Assessments!$A$2:$A$600,0)),"")</f>
        <v/>
      </c>
      <c r="CL607" s="28" t="str">
        <f aca="false">IFERROR(INDEX(Assessments!$I$2:$I$600,MATCH($H607&amp;"|"&amp;$I607&amp;"|"&amp;$J607&amp;"|"&amp;4,Assessments!$A$2:$A$600,0)),"")</f>
        <v/>
      </c>
      <c r="CM607" s="28" t="str">
        <f aca="false">IFERROR(INDEX(Assessments!$I$2:$I$600,MATCH($H607&amp;"|"&amp;$I607&amp;"|"&amp;$J607&amp;"|"&amp;5,Assessments!$A$2:$A$600,0)),"")</f>
        <v/>
      </c>
      <c r="CN607" s="28" t="str">
        <f aca="false">IFERROR(INDEX(Assessments!$I$2:$I$600,MATCH($H607&amp;"|"&amp;$I607&amp;"|"&amp;$J607&amp;"|"&amp;6,Assessments!$A$2:$A$600,0)),"")</f>
        <v/>
      </c>
      <c r="CO607" s="28" t="str">
        <f aca="false">IFERROR(INDEX(Assessments!$I$2:$I$600,MATCH($H607&amp;"|"&amp;$I607&amp;"|"&amp;$J607&amp;"|"&amp;7,Assessments!$A$2:$A$600,0)),"")</f>
        <v/>
      </c>
      <c r="CP607" s="28" t="str">
        <f aca="false">IFERROR(INDEX(Assessments!$I$2:$I$600,MATCH($H607&amp;"|"&amp;$I607&amp;"|"&amp;$J607&amp;"|"&amp;8,Assessments!$A$2:$A$600,0)),"")</f>
        <v/>
      </c>
      <c r="CQ607" s="28" t="str">
        <f aca="false">IFERROR(INDEX(Assessments!$I$2:$I$600,MATCH($H607&amp;"|"&amp;$I607&amp;"|"&amp;$J607&amp;"|"&amp;9,Assessments!$A$2:$A$600,0)),"")</f>
        <v/>
      </c>
      <c r="CR607" s="28" t="str">
        <f aca="false">IFERROR(INDEX(Assessments!$I$2:$I$600,MATCH($H607&amp;"|"&amp;$I607&amp;"|"&amp;$J607&amp;"|"&amp;10,Assessments!$A$2:$A$600,0)),"")</f>
        <v/>
      </c>
      <c r="CS607" s="28" t="str">
        <f aca="false">IFERROR(INDEX(Assessments!$I$2:$I$600,MATCH($H607&amp;"|"&amp;$I607&amp;"|"&amp;$J607&amp;"|"&amp;11,Assessments!$A$2:$A$600,0)),"")</f>
        <v/>
      </c>
      <c r="CT607" s="28" t="str">
        <f aca="false">IFERROR(INDEX(Assessments!$I$2:$I$600,MATCH($H607&amp;"|"&amp;$I607&amp;"|"&amp;$J607&amp;"|"&amp;12,Assessments!$A$2:$A$600,0)),"")</f>
        <v/>
      </c>
      <c r="CU607" s="28" t="str">
        <f aca="false">IFERROR(INDEX(Assessments!$I$2:$I$600,MATCH($H607&amp;"|"&amp;$I607&amp;"|"&amp;$J607&amp;"|"&amp;13,Assessments!$A$2:$A$600,0)),"")</f>
        <v/>
      </c>
      <c r="CV607" s="28" t="str">
        <f aca="false">IFERROR(INDEX(Assessments!$I$2:$I$600,MATCH($H607&amp;"|"&amp;$I607&amp;"|"&amp;$J607&amp;"|"&amp;14,Assessments!$A$2:$A$600,0)),"")</f>
        <v/>
      </c>
      <c r="CW607" s="28" t="n">
        <f aca="false">IFERROR(INDEX(Assessments!$J$2:$J$600,MATCH($H607&amp;"|"&amp;$I607&amp;"|"&amp;$J607&amp;"|"&amp;1,Assessments!$A$2:$A$600,0)),0)</f>
        <v>0</v>
      </c>
      <c r="CX607" s="28" t="n">
        <f aca="false">IFERROR(INDEX(Assessments!$J$2:$J$600,MATCH($H607&amp;"|"&amp;$I607&amp;"|"&amp;$J607&amp;"|"&amp;2,Assessments!$A$2:$A$600,0)),0)</f>
        <v>0</v>
      </c>
      <c r="CY607" s="28" t="n">
        <f aca="false">IFERROR(INDEX(Assessments!$J$2:$J$600,MATCH($H607&amp;"|"&amp;$I607&amp;"|"&amp;$J607&amp;"|"&amp;3,Assessments!$A$2:$A$600,0)),0)</f>
        <v>0</v>
      </c>
      <c r="CZ607" s="28" t="n">
        <f aca="false">IFERROR(INDEX(Assessments!$J$2:$J$600,MATCH($H607&amp;"|"&amp;$I607&amp;"|"&amp;$J607&amp;"|"&amp;4,Assessments!$A$2:$A$600,0)),0)</f>
        <v>0</v>
      </c>
      <c r="DA607" s="28" t="n">
        <f aca="false">IFERROR(INDEX(Assessments!$J$2:$J$600,MATCH($H607&amp;"|"&amp;$I607&amp;"|"&amp;$J607&amp;"|"&amp;5,Assessments!$A$2:$A$600,0)),0)</f>
        <v>0</v>
      </c>
      <c r="DB607" s="28" t="n">
        <f aca="false">IFERROR(INDEX(Assessments!$J$2:$J$600,MATCH($H607&amp;"|"&amp;$I607&amp;"|"&amp;$J607&amp;"|"&amp;6,Assessments!$A$2:$A$600,0)),0)</f>
        <v>0</v>
      </c>
      <c r="DC607" s="28" t="n">
        <f aca="false">IFERROR(INDEX(Assessments!$J$2:$J$600,MATCH($H607&amp;"|"&amp;$I607&amp;"|"&amp;$J607&amp;"|"&amp;7,Assessments!$A$2:$A$600,0)),0)</f>
        <v>0</v>
      </c>
      <c r="DD607" s="28" t="n">
        <f aca="false">IFERROR(INDEX(Assessments!$J$2:$J$600,MATCH($H607&amp;"|"&amp;$I607&amp;"|"&amp;$J607&amp;"|"&amp;8,Assessments!$A$2:$A$600,0)),0)</f>
        <v>0</v>
      </c>
      <c r="DE607" s="28" t="n">
        <f aca="false">IFERROR(INDEX(Assessments!$J$2:$J$600,MATCH($H607&amp;"|"&amp;$I607&amp;"|"&amp;$J607&amp;"|"&amp;9,Assessments!$A$2:$A$600,0)),0)</f>
        <v>0</v>
      </c>
      <c r="DF607" s="28" t="n">
        <f aca="false">IFERROR(INDEX(Assessments!$J$2:$J$600,MATCH($H607&amp;"|"&amp;$I607&amp;"|"&amp;$J607&amp;"|"&amp;10,Assessments!$A$2:$A$600,0)),0)</f>
        <v>0</v>
      </c>
      <c r="DG607" s="28" t="n">
        <f aca="false">IFERROR(INDEX(Assessments!$J$2:$J$600,MATCH($H607&amp;"|"&amp;$I607&amp;"|"&amp;$J607&amp;"|"&amp;11,Assessments!$A$2:$A$600,0)),0)</f>
        <v>0</v>
      </c>
      <c r="DH607" s="28" t="n">
        <f aca="false">IFERROR(INDEX(Assessments!$J$2:$J$600,MATCH($H607&amp;"|"&amp;$I607&amp;"|"&amp;$J607&amp;"|"&amp;12,Assessments!$A$2:$A$600,0)),0)</f>
        <v>0</v>
      </c>
      <c r="DI607" s="28" t="n">
        <f aca="false">IFERROR(INDEX(Assessments!$J$2:$J$600,MATCH($H607&amp;"|"&amp;$I607&amp;"|"&amp;$J607&amp;"|"&amp;13,Assessments!$A$2:$A$600,0)),0)</f>
        <v>0</v>
      </c>
      <c r="DJ607" s="28" t="n">
        <f aca="false">IFERROR(INDEX(Assessments!$J$2:$J$600,MATCH($H607&amp;"|"&amp;$I607&amp;"|"&amp;$J607&amp;"|"&amp;14,Assessments!$A$2:$A$600,0)),0)</f>
        <v>0</v>
      </c>
      <c r="DK607" s="28" t="str">
        <f aca="false">S607</f>
        <v/>
      </c>
      <c r="DL607" s="28" t="str">
        <f aca="false">W607</f>
        <v/>
      </c>
      <c r="DM607" s="28" t="str">
        <f aca="false">AA607</f>
        <v/>
      </c>
      <c r="DN607" s="28" t="str">
        <f aca="false">AE607</f>
        <v/>
      </c>
      <c r="DO607" s="28" t="str">
        <f aca="false">AI607</f>
        <v/>
      </c>
      <c r="DP607" s="28" t="str">
        <f aca="false">AM607</f>
        <v/>
      </c>
      <c r="DQ607" s="28" t="str">
        <f aca="false">AQ607</f>
        <v/>
      </c>
      <c r="DR607" s="28" t="str">
        <f aca="false">AU607</f>
        <v/>
      </c>
      <c r="DS607" s="28" t="str">
        <f aca="false">AY607</f>
        <v/>
      </c>
      <c r="DT607" s="28" t="str">
        <f aca="false">BC607</f>
        <v/>
      </c>
      <c r="DU607" s="28" t="str">
        <f aca="false">BG607</f>
        <v/>
      </c>
      <c r="DV607" s="28" t="str">
        <f aca="false">BK607</f>
        <v/>
      </c>
      <c r="DW607" s="28" t="str">
        <f aca="false">BO607</f>
        <v/>
      </c>
      <c r="DX607" s="28" t="str">
        <f aca="false">BS607</f>
        <v/>
      </c>
      <c r="DY607" s="28" t="str">
        <f aca="false">IF(ISNUMBER(S607),1,"")</f>
        <v/>
      </c>
      <c r="DZ607" s="28" t="str">
        <f aca="false">IF(ISNUMBER(W607),2,"")</f>
        <v/>
      </c>
      <c r="EA607" s="28" t="str">
        <f aca="false">IF(ISNUMBER(AA607),3,"")</f>
        <v/>
      </c>
      <c r="EB607" s="28" t="str">
        <f aca="false">IF(ISNUMBER(AE607),4,"")</f>
        <v/>
      </c>
      <c r="EC607" s="28" t="str">
        <f aca="false">IF(ISNUMBER(AI607),5,"")</f>
        <v/>
      </c>
      <c r="ED607" s="28" t="str">
        <f aca="false">IF(ISNUMBER(AM607),6,"")</f>
        <v/>
      </c>
      <c r="EE607" s="28" t="str">
        <f aca="false">IF(ISNUMBER(AQ607),7,"")</f>
        <v/>
      </c>
      <c r="EF607" s="28" t="str">
        <f aca="false">IF(ISNUMBER(AU607),8,"")</f>
        <v/>
      </c>
      <c r="EG607" s="28" t="str">
        <f aca="false">IF(ISNUMBER(AY607),9,"")</f>
        <v/>
      </c>
      <c r="EH607" s="28" t="str">
        <f aca="false">IF(ISNUMBER(BC607),10,"")</f>
        <v/>
      </c>
      <c r="EI607" s="28" t="str">
        <f aca="false">IF(ISNUMBER(BG607),11,"")</f>
        <v/>
      </c>
      <c r="EJ607" s="28" t="str">
        <f aca="false">IF(ISNUMBER(BK607),12,"")</f>
        <v/>
      </c>
      <c r="EK607" s="28" t="str">
        <f aca="false">IF(ISNUMBER(BO607),13,"")</f>
        <v/>
      </c>
      <c r="EL607" s="28" t="str">
        <f aca="false">IF(ISNUMBER(BS607),14,"")</f>
        <v/>
      </c>
      <c r="EM607" s="28" t="n">
        <f aca="false">IF(ISNUMBER(R607),R607*CW607,0)</f>
        <v>0</v>
      </c>
      <c r="EN607" s="28" t="n">
        <f aca="false">IF(ISNUMBER(V607),V607*CX607,0)</f>
        <v>0</v>
      </c>
      <c r="EO607" s="28" t="n">
        <f aca="false">IF(ISNUMBER(Z607),Z607*CY607,0)</f>
        <v>0</v>
      </c>
      <c r="EP607" s="28" t="n">
        <f aca="false">IF(ISNUMBER(AD607),AD607*CZ607,0)</f>
        <v>0</v>
      </c>
      <c r="EQ607" s="28" t="n">
        <f aca="false">IF(ISNUMBER(AH607),AH607*DA607,0)</f>
        <v>0</v>
      </c>
      <c r="ER607" s="28" t="n">
        <f aca="false">IF(ISNUMBER(AL607),AL607*DB607,0)</f>
        <v>0</v>
      </c>
      <c r="ES607" s="28" t="n">
        <f aca="false">IF(ISNUMBER(AP607),AP607*DC607,0)</f>
        <v>0</v>
      </c>
      <c r="ET607" s="28" t="n">
        <f aca="false">IF(ISNUMBER(AT607),AT607*DD607,0)</f>
        <v>0</v>
      </c>
      <c r="EU607" s="28" t="n">
        <f aca="false">IF(ISNUMBER(AX607),AX607*DE607,0)</f>
        <v>0</v>
      </c>
      <c r="EV607" s="28" t="n">
        <f aca="false">IF(ISNUMBER(BB607),BB607*DF607,0)</f>
        <v>0</v>
      </c>
      <c r="EW607" s="28" t="n">
        <f aca="false">IF(ISNUMBER(BF607),BF607*DG607,0)</f>
        <v>0</v>
      </c>
      <c r="EX607" s="28" t="n">
        <f aca="false">IF(ISNUMBER(BJ607),BJ607*DH607,0)</f>
        <v>0</v>
      </c>
      <c r="EY607" s="28" t="n">
        <f aca="false">IF(ISNUMBER(BN607),BN607*DI607,0)</f>
        <v>0</v>
      </c>
      <c r="EZ607" s="28" t="n">
        <f aca="false">IF(ISNUMBER(BR607),BR607*DJ607,0)</f>
        <v>0</v>
      </c>
      <c r="FA607" s="28" t="n">
        <f aca="false">IF(ISNUMBER(R607),CW607,0)</f>
        <v>0</v>
      </c>
      <c r="FB607" s="28" t="n">
        <f aca="false">IF(ISNUMBER(V607),CX607,0)</f>
        <v>0</v>
      </c>
      <c r="FC607" s="28" t="n">
        <f aca="false">IF(ISNUMBER(Z607),CY607,0)</f>
        <v>0</v>
      </c>
      <c r="FD607" s="28" t="n">
        <f aca="false">IF(ISNUMBER(AD607),CZ607,0)</f>
        <v>0</v>
      </c>
      <c r="FE607" s="28" t="n">
        <f aca="false">IF(ISNUMBER(AH607),DA607,0)</f>
        <v>0</v>
      </c>
      <c r="FF607" s="28" t="n">
        <f aca="false">IF(ISNUMBER(AL607),DB607,0)</f>
        <v>0</v>
      </c>
      <c r="FG607" s="28" t="n">
        <f aca="false">IF(ISNUMBER(AP607),DC607,0)</f>
        <v>0</v>
      </c>
      <c r="FH607" s="28" t="n">
        <f aca="false">IF(ISNUMBER(AT607),DD607,0)</f>
        <v>0</v>
      </c>
      <c r="FI607" s="28" t="n">
        <f aca="false">IF(ISNUMBER(AX607),DE607,0)</f>
        <v>0</v>
      </c>
      <c r="FJ607" s="28" t="n">
        <f aca="false">IF(ISNUMBER(BB607),DF607,0)</f>
        <v>0</v>
      </c>
      <c r="FK607" s="28" t="n">
        <f aca="false">IF(ISNUMBER(BF607),DG607,0)</f>
        <v>0</v>
      </c>
      <c r="FL607" s="28" t="n">
        <f aca="false">IF(ISNUMBER(BJ607),DH607,0)</f>
        <v>0</v>
      </c>
      <c r="FM607" s="28" t="n">
        <f aca="false">IF(ISNUMBER(BN607),DI607,0)</f>
        <v>0</v>
      </c>
      <c r="FN607" s="28" t="n">
        <f aca="false">IF(ISNUMBER(BR607),DJ607,0)</f>
        <v>0</v>
      </c>
      <c r="FO607" s="28" t="str">
        <f aca="false">IFERROR(INDEX(Lists!$G$2:$G$20,MATCH($I607&amp;"|"&amp;$J607,Lists!$F$2:$F$20,0)),"")</f>
        <v/>
      </c>
    </row>
    <row r="608" customFormat="false" ht="19.5" hidden="false" customHeight="true" outlineLevel="0" collapsed="false">
      <c r="A608" s="29"/>
      <c r="B608" s="29"/>
      <c r="C608" s="30"/>
      <c r="D608" s="30"/>
      <c r="E608" s="31"/>
      <c r="F608" s="30"/>
      <c r="G608" s="30"/>
      <c r="H608" s="32"/>
      <c r="I608" s="33"/>
      <c r="J608" s="32"/>
      <c r="K608" s="34" t="str">
        <f aca="false">IF(OR(M608="",$E608=""),"",M608-$E608)</f>
        <v/>
      </c>
      <c r="L608" s="35" t="str">
        <f aca="false">IF(SUM(FA608:FN608)=0,"",SUM(EM608:EZ608)/SUM(FA608:FN608))</f>
        <v/>
      </c>
      <c r="M608" s="36" t="str">
        <f aca="false">IF(OR(L608="",FO608=""),"",IFERROR(MATCH(L608,INDEX(Boundaries!$B$2:$I$30,MATCH(FO608,Boundaries!$A$2:$A$30,0),0),1)-1,""))</f>
        <v/>
      </c>
      <c r="N608" s="37" t="str">
        <f aca="false">IF(COUNT($DY608:$EL608)&lt;2,"",INDEX($DK608:$DX608,MAX($DY608:$EL608))-INDEX($DK608:$DX608,MIN($DY608:$EL608)))</f>
        <v/>
      </c>
      <c r="O608" s="37" t="str">
        <f aca="false">IF(COUNT($DY608:$EL608)&lt;2,"",INDEX($DK608:$DX608,MAX($DY608:$EL608))-INDEX($DK608:$DX608,LARGE($DY608:$EL608,2)))</f>
        <v/>
      </c>
      <c r="P608" s="38" t="str">
        <f aca="false">IF(K608="","",IF(K608&gt;=0,"On/above target",IF(AND(N608&lt;&gt;"",N608&gt;=0.5),"Improving towards target",IF(AND(O608&lt;&gt;"",O608&lt;=-0.5),"Declining","Stable below target"))))</f>
        <v/>
      </c>
      <c r="Q608" s="39"/>
      <c r="R608" s="40" t="str">
        <f aca="false">IF(OR(Q608="",BU608=""),"",Q608/BU608*100)</f>
        <v/>
      </c>
      <c r="S608" s="41" t="str">
        <f aca="false">IF(R608="","",IFERROR(MATCH(R608,INDEX(Boundaries!$B$2:$I$30,MATCH(CI608,Boundaries!$A$2:$A$30,0),0),1)-1,""))</f>
        <v/>
      </c>
      <c r="T608" s="42" t="str">
        <f aca="false">IF(OR(S608="",$E608=""),"",S608-$E608)</f>
        <v/>
      </c>
      <c r="U608" s="39"/>
      <c r="V608" s="40" t="str">
        <f aca="false">IF(OR(U608="",BV608=""),"",U608/BV608*100)</f>
        <v/>
      </c>
      <c r="W608" s="41" t="str">
        <f aca="false">IF(V608="","",IFERROR(MATCH(V608,INDEX(Boundaries!$B$2:$I$30,MATCH(CJ608,Boundaries!$A$2:$A$30,0),0),1)-1,""))</f>
        <v/>
      </c>
      <c r="X608" s="42" t="str">
        <f aca="false">IF(OR(W608="",$E608=""),"",W608-$E608)</f>
        <v/>
      </c>
      <c r="Y608" s="39"/>
      <c r="Z608" s="40" t="str">
        <f aca="false">IF(OR(Y608="",BW608=""),"",Y608/BW608*100)</f>
        <v/>
      </c>
      <c r="AA608" s="41" t="str">
        <f aca="false">IF(Z608="","",IFERROR(MATCH(Z608,INDEX(Boundaries!$B$2:$I$30,MATCH(CK608,Boundaries!$A$2:$A$30,0),0),1)-1,""))</f>
        <v/>
      </c>
      <c r="AB608" s="42" t="str">
        <f aca="false">IF(OR(AA608="",$E608=""),"",AA608-$E608)</f>
        <v/>
      </c>
      <c r="AC608" s="39"/>
      <c r="AD608" s="40" t="str">
        <f aca="false">IF(OR(AC608="",BX608=""),"",AC608/BX608*100)</f>
        <v/>
      </c>
      <c r="AE608" s="41" t="str">
        <f aca="false">IF(AD608="","",IFERROR(MATCH(AD608,INDEX(Boundaries!$B$2:$I$30,MATCH(CL608,Boundaries!$A$2:$A$30,0),0),1)-1,""))</f>
        <v/>
      </c>
      <c r="AF608" s="42" t="str">
        <f aca="false">IF(OR(AE608="",$E608=""),"",AE608-$E608)</f>
        <v/>
      </c>
      <c r="AG608" s="39"/>
      <c r="AH608" s="40" t="str">
        <f aca="false">IF(OR(AG608="",BY608=""),"",AG608/BY608*100)</f>
        <v/>
      </c>
      <c r="AI608" s="41" t="str">
        <f aca="false">IF(AH608="","",IFERROR(MATCH(AH608,INDEX(Boundaries!$B$2:$I$30,MATCH(CM608,Boundaries!$A$2:$A$30,0),0),1)-1,""))</f>
        <v/>
      </c>
      <c r="AJ608" s="42" t="str">
        <f aca="false">IF(OR(AI608="",$E608=""),"",AI608-$E608)</f>
        <v/>
      </c>
      <c r="AK608" s="39"/>
      <c r="AL608" s="40" t="str">
        <f aca="false">IF(OR(AK608="",BZ608=""),"",AK608/BZ608*100)</f>
        <v/>
      </c>
      <c r="AM608" s="41" t="str">
        <f aca="false">IF(AL608="","",IFERROR(MATCH(AL608,INDEX(Boundaries!$B$2:$I$30,MATCH(CN608,Boundaries!$A$2:$A$30,0),0),1)-1,""))</f>
        <v/>
      </c>
      <c r="AN608" s="42" t="str">
        <f aca="false">IF(OR(AM608="",$E608=""),"",AM608-$E608)</f>
        <v/>
      </c>
      <c r="AO608" s="39"/>
      <c r="AP608" s="40" t="str">
        <f aca="false">IF(OR(AO608="",CA608=""),"",AO608/CA608*100)</f>
        <v/>
      </c>
      <c r="AQ608" s="41" t="str">
        <f aca="false">IF(AP608="","",IFERROR(MATCH(AP608,INDEX(Boundaries!$B$2:$I$30,MATCH(CO608,Boundaries!$A$2:$A$30,0),0),1)-1,""))</f>
        <v/>
      </c>
      <c r="AR608" s="42" t="str">
        <f aca="false">IF(OR(AQ608="",$E608=""),"",AQ608-$E608)</f>
        <v/>
      </c>
      <c r="AS608" s="39"/>
      <c r="AT608" s="40" t="str">
        <f aca="false">IF(OR(AS608="",CB608=""),"",AS608/CB608*100)</f>
        <v/>
      </c>
      <c r="AU608" s="41" t="str">
        <f aca="false">IF(AT608="","",IFERROR(MATCH(AT608,INDEX(Boundaries!$B$2:$I$30,MATCH(CP608,Boundaries!$A$2:$A$30,0),0),1)-1,""))</f>
        <v/>
      </c>
      <c r="AV608" s="42" t="str">
        <f aca="false">IF(OR(AU608="",$E608=""),"",AU608-$E608)</f>
        <v/>
      </c>
      <c r="AW608" s="39"/>
      <c r="AX608" s="40" t="str">
        <f aca="false">IF(OR(AW608="",CC608=""),"",AW608/CC608*100)</f>
        <v/>
      </c>
      <c r="AY608" s="41" t="str">
        <f aca="false">IF(AX608="","",IFERROR(MATCH(AX608,INDEX(Boundaries!$B$2:$I$30,MATCH(CQ608,Boundaries!$A$2:$A$30,0),0),1)-1,""))</f>
        <v/>
      </c>
      <c r="AZ608" s="42" t="str">
        <f aca="false">IF(OR(AY608="",$E608=""),"",AY608-$E608)</f>
        <v/>
      </c>
      <c r="BA608" s="39"/>
      <c r="BB608" s="40" t="str">
        <f aca="false">IF(OR(BA608="",CD608=""),"",BA608/CD608*100)</f>
        <v/>
      </c>
      <c r="BC608" s="41" t="str">
        <f aca="false">IF(BB608="","",IFERROR(MATCH(BB608,INDEX(Boundaries!$B$2:$I$30,MATCH(CR608,Boundaries!$A$2:$A$30,0),0),1)-1,""))</f>
        <v/>
      </c>
      <c r="BD608" s="42" t="str">
        <f aca="false">IF(OR(BC608="",$E608=""),"",BC608-$E608)</f>
        <v/>
      </c>
      <c r="BE608" s="39"/>
      <c r="BF608" s="40" t="str">
        <f aca="false">IF(OR(BE608="",CE608=""),"",BE608/CE608*100)</f>
        <v/>
      </c>
      <c r="BG608" s="41" t="str">
        <f aca="false">IF(BF608="","",IFERROR(MATCH(BF608,INDEX(Boundaries!$B$2:$I$30,MATCH(CS608,Boundaries!$A$2:$A$30,0),0),1)-1,""))</f>
        <v/>
      </c>
      <c r="BH608" s="42" t="str">
        <f aca="false">IF(OR(BG608="",$E608=""),"",BG608-$E608)</f>
        <v/>
      </c>
      <c r="BI608" s="39"/>
      <c r="BJ608" s="40" t="str">
        <f aca="false">IF(OR(BI608="",CF608=""),"",BI608/CF608*100)</f>
        <v/>
      </c>
      <c r="BK608" s="41" t="str">
        <f aca="false">IF(BJ608="","",IFERROR(MATCH(BJ608,INDEX(Boundaries!$B$2:$I$30,MATCH(CT608,Boundaries!$A$2:$A$30,0),0),1)-1,""))</f>
        <v/>
      </c>
      <c r="BL608" s="42" t="str">
        <f aca="false">IF(OR(BK608="",$E608=""),"",BK608-$E608)</f>
        <v/>
      </c>
      <c r="BM608" s="39"/>
      <c r="BN608" s="40" t="str">
        <f aca="false">IF(OR(BM608="",CG608=""),"",BM608/CG608*100)</f>
        <v/>
      </c>
      <c r="BO608" s="41" t="str">
        <f aca="false">IF(BN608="","",IFERROR(MATCH(BN608,INDEX(Boundaries!$B$2:$I$30,MATCH(CU608,Boundaries!$A$2:$A$30,0),0),1)-1,""))</f>
        <v/>
      </c>
      <c r="BP608" s="42" t="str">
        <f aca="false">IF(OR(BO608="",$E608=""),"",BO608-$E608)</f>
        <v/>
      </c>
      <c r="BQ608" s="39"/>
      <c r="BR608" s="40" t="str">
        <f aca="false">IF(OR(BQ608="",CH608=""),"",BQ608/CH608*100)</f>
        <v/>
      </c>
      <c r="BS608" s="41" t="str">
        <f aca="false">IF(BR608="","",IFERROR(MATCH(BR608,INDEX(Boundaries!$B$2:$I$30,MATCH(CV608,Boundaries!$A$2:$A$30,0),0),1)-1,""))</f>
        <v/>
      </c>
      <c r="BT608" s="42" t="str">
        <f aca="false">IF(OR(BS608="",$E608=""),"",BS608-$E608)</f>
        <v/>
      </c>
      <c r="BU608" s="28" t="str">
        <f aca="false">IFERROR(INDEX(Assessments!$H$2:$H$600,MATCH($H608&amp;"|"&amp;$I608&amp;"|"&amp;$J608&amp;"|"&amp;1,Assessments!$A$2:$A$600,0)),"")</f>
        <v/>
      </c>
      <c r="BV608" s="28" t="str">
        <f aca="false">IFERROR(INDEX(Assessments!$H$2:$H$600,MATCH($H608&amp;"|"&amp;$I608&amp;"|"&amp;$J608&amp;"|"&amp;2,Assessments!$A$2:$A$600,0)),"")</f>
        <v/>
      </c>
      <c r="BW608" s="28" t="str">
        <f aca="false">IFERROR(INDEX(Assessments!$H$2:$H$600,MATCH($H608&amp;"|"&amp;$I608&amp;"|"&amp;$J608&amp;"|"&amp;3,Assessments!$A$2:$A$600,0)),"")</f>
        <v/>
      </c>
      <c r="BX608" s="28" t="str">
        <f aca="false">IFERROR(INDEX(Assessments!$H$2:$H$600,MATCH($H608&amp;"|"&amp;$I608&amp;"|"&amp;$J608&amp;"|"&amp;4,Assessments!$A$2:$A$600,0)),"")</f>
        <v/>
      </c>
      <c r="BY608" s="28" t="str">
        <f aca="false">IFERROR(INDEX(Assessments!$H$2:$H$600,MATCH($H608&amp;"|"&amp;$I608&amp;"|"&amp;$J608&amp;"|"&amp;5,Assessments!$A$2:$A$600,0)),"")</f>
        <v/>
      </c>
      <c r="BZ608" s="28" t="str">
        <f aca="false">IFERROR(INDEX(Assessments!$H$2:$H$600,MATCH($H608&amp;"|"&amp;$I608&amp;"|"&amp;$J608&amp;"|"&amp;6,Assessments!$A$2:$A$600,0)),"")</f>
        <v/>
      </c>
      <c r="CA608" s="28" t="str">
        <f aca="false">IFERROR(INDEX(Assessments!$H$2:$H$600,MATCH($H608&amp;"|"&amp;$I608&amp;"|"&amp;$J608&amp;"|"&amp;7,Assessments!$A$2:$A$600,0)),"")</f>
        <v/>
      </c>
      <c r="CB608" s="28" t="str">
        <f aca="false">IFERROR(INDEX(Assessments!$H$2:$H$600,MATCH($H608&amp;"|"&amp;$I608&amp;"|"&amp;$J608&amp;"|"&amp;8,Assessments!$A$2:$A$600,0)),"")</f>
        <v/>
      </c>
      <c r="CC608" s="28" t="str">
        <f aca="false">IFERROR(INDEX(Assessments!$H$2:$H$600,MATCH($H608&amp;"|"&amp;$I608&amp;"|"&amp;$J608&amp;"|"&amp;9,Assessments!$A$2:$A$600,0)),"")</f>
        <v/>
      </c>
      <c r="CD608" s="28" t="str">
        <f aca="false">IFERROR(INDEX(Assessments!$H$2:$H$600,MATCH($H608&amp;"|"&amp;$I608&amp;"|"&amp;$J608&amp;"|"&amp;10,Assessments!$A$2:$A$600,0)),"")</f>
        <v/>
      </c>
      <c r="CE608" s="28" t="str">
        <f aca="false">IFERROR(INDEX(Assessments!$H$2:$H$600,MATCH($H608&amp;"|"&amp;$I608&amp;"|"&amp;$J608&amp;"|"&amp;11,Assessments!$A$2:$A$600,0)),"")</f>
        <v/>
      </c>
      <c r="CF608" s="28" t="str">
        <f aca="false">IFERROR(INDEX(Assessments!$H$2:$H$600,MATCH($H608&amp;"|"&amp;$I608&amp;"|"&amp;$J608&amp;"|"&amp;12,Assessments!$A$2:$A$600,0)),"")</f>
        <v/>
      </c>
      <c r="CG608" s="28" t="str">
        <f aca="false">IFERROR(INDEX(Assessments!$H$2:$H$600,MATCH($H608&amp;"|"&amp;$I608&amp;"|"&amp;$J608&amp;"|"&amp;13,Assessments!$A$2:$A$600,0)),"")</f>
        <v/>
      </c>
      <c r="CH608" s="28" t="str">
        <f aca="false">IFERROR(INDEX(Assessments!$H$2:$H$600,MATCH($H608&amp;"|"&amp;$I608&amp;"|"&amp;$J608&amp;"|"&amp;14,Assessments!$A$2:$A$600,0)),"")</f>
        <v/>
      </c>
      <c r="CI608" s="28" t="str">
        <f aca="false">IFERROR(INDEX(Assessments!$I$2:$I$600,MATCH($H608&amp;"|"&amp;$I608&amp;"|"&amp;$J608&amp;"|"&amp;1,Assessments!$A$2:$A$600,0)),"")</f>
        <v/>
      </c>
      <c r="CJ608" s="28" t="str">
        <f aca="false">IFERROR(INDEX(Assessments!$I$2:$I$600,MATCH($H608&amp;"|"&amp;$I608&amp;"|"&amp;$J608&amp;"|"&amp;2,Assessments!$A$2:$A$600,0)),"")</f>
        <v/>
      </c>
      <c r="CK608" s="28" t="str">
        <f aca="false">IFERROR(INDEX(Assessments!$I$2:$I$600,MATCH($H608&amp;"|"&amp;$I608&amp;"|"&amp;$J608&amp;"|"&amp;3,Assessments!$A$2:$A$600,0)),"")</f>
        <v/>
      </c>
      <c r="CL608" s="28" t="str">
        <f aca="false">IFERROR(INDEX(Assessments!$I$2:$I$600,MATCH($H608&amp;"|"&amp;$I608&amp;"|"&amp;$J608&amp;"|"&amp;4,Assessments!$A$2:$A$600,0)),"")</f>
        <v/>
      </c>
      <c r="CM608" s="28" t="str">
        <f aca="false">IFERROR(INDEX(Assessments!$I$2:$I$600,MATCH($H608&amp;"|"&amp;$I608&amp;"|"&amp;$J608&amp;"|"&amp;5,Assessments!$A$2:$A$600,0)),"")</f>
        <v/>
      </c>
      <c r="CN608" s="28" t="str">
        <f aca="false">IFERROR(INDEX(Assessments!$I$2:$I$600,MATCH($H608&amp;"|"&amp;$I608&amp;"|"&amp;$J608&amp;"|"&amp;6,Assessments!$A$2:$A$600,0)),"")</f>
        <v/>
      </c>
      <c r="CO608" s="28" t="str">
        <f aca="false">IFERROR(INDEX(Assessments!$I$2:$I$600,MATCH($H608&amp;"|"&amp;$I608&amp;"|"&amp;$J608&amp;"|"&amp;7,Assessments!$A$2:$A$600,0)),"")</f>
        <v/>
      </c>
      <c r="CP608" s="28" t="str">
        <f aca="false">IFERROR(INDEX(Assessments!$I$2:$I$600,MATCH($H608&amp;"|"&amp;$I608&amp;"|"&amp;$J608&amp;"|"&amp;8,Assessments!$A$2:$A$600,0)),"")</f>
        <v/>
      </c>
      <c r="CQ608" s="28" t="str">
        <f aca="false">IFERROR(INDEX(Assessments!$I$2:$I$600,MATCH($H608&amp;"|"&amp;$I608&amp;"|"&amp;$J608&amp;"|"&amp;9,Assessments!$A$2:$A$600,0)),"")</f>
        <v/>
      </c>
      <c r="CR608" s="28" t="str">
        <f aca="false">IFERROR(INDEX(Assessments!$I$2:$I$600,MATCH($H608&amp;"|"&amp;$I608&amp;"|"&amp;$J608&amp;"|"&amp;10,Assessments!$A$2:$A$600,0)),"")</f>
        <v/>
      </c>
      <c r="CS608" s="28" t="str">
        <f aca="false">IFERROR(INDEX(Assessments!$I$2:$I$600,MATCH($H608&amp;"|"&amp;$I608&amp;"|"&amp;$J608&amp;"|"&amp;11,Assessments!$A$2:$A$600,0)),"")</f>
        <v/>
      </c>
      <c r="CT608" s="28" t="str">
        <f aca="false">IFERROR(INDEX(Assessments!$I$2:$I$600,MATCH($H608&amp;"|"&amp;$I608&amp;"|"&amp;$J608&amp;"|"&amp;12,Assessments!$A$2:$A$600,0)),"")</f>
        <v/>
      </c>
      <c r="CU608" s="28" t="str">
        <f aca="false">IFERROR(INDEX(Assessments!$I$2:$I$600,MATCH($H608&amp;"|"&amp;$I608&amp;"|"&amp;$J608&amp;"|"&amp;13,Assessments!$A$2:$A$600,0)),"")</f>
        <v/>
      </c>
      <c r="CV608" s="28" t="str">
        <f aca="false">IFERROR(INDEX(Assessments!$I$2:$I$600,MATCH($H608&amp;"|"&amp;$I608&amp;"|"&amp;$J608&amp;"|"&amp;14,Assessments!$A$2:$A$600,0)),"")</f>
        <v/>
      </c>
      <c r="CW608" s="28" t="n">
        <f aca="false">IFERROR(INDEX(Assessments!$J$2:$J$600,MATCH($H608&amp;"|"&amp;$I608&amp;"|"&amp;$J608&amp;"|"&amp;1,Assessments!$A$2:$A$600,0)),0)</f>
        <v>0</v>
      </c>
      <c r="CX608" s="28" t="n">
        <f aca="false">IFERROR(INDEX(Assessments!$J$2:$J$600,MATCH($H608&amp;"|"&amp;$I608&amp;"|"&amp;$J608&amp;"|"&amp;2,Assessments!$A$2:$A$600,0)),0)</f>
        <v>0</v>
      </c>
      <c r="CY608" s="28" t="n">
        <f aca="false">IFERROR(INDEX(Assessments!$J$2:$J$600,MATCH($H608&amp;"|"&amp;$I608&amp;"|"&amp;$J608&amp;"|"&amp;3,Assessments!$A$2:$A$600,0)),0)</f>
        <v>0</v>
      </c>
      <c r="CZ608" s="28" t="n">
        <f aca="false">IFERROR(INDEX(Assessments!$J$2:$J$600,MATCH($H608&amp;"|"&amp;$I608&amp;"|"&amp;$J608&amp;"|"&amp;4,Assessments!$A$2:$A$600,0)),0)</f>
        <v>0</v>
      </c>
      <c r="DA608" s="28" t="n">
        <f aca="false">IFERROR(INDEX(Assessments!$J$2:$J$600,MATCH($H608&amp;"|"&amp;$I608&amp;"|"&amp;$J608&amp;"|"&amp;5,Assessments!$A$2:$A$600,0)),0)</f>
        <v>0</v>
      </c>
      <c r="DB608" s="28" t="n">
        <f aca="false">IFERROR(INDEX(Assessments!$J$2:$J$600,MATCH($H608&amp;"|"&amp;$I608&amp;"|"&amp;$J608&amp;"|"&amp;6,Assessments!$A$2:$A$600,0)),0)</f>
        <v>0</v>
      </c>
      <c r="DC608" s="28" t="n">
        <f aca="false">IFERROR(INDEX(Assessments!$J$2:$J$600,MATCH($H608&amp;"|"&amp;$I608&amp;"|"&amp;$J608&amp;"|"&amp;7,Assessments!$A$2:$A$600,0)),0)</f>
        <v>0</v>
      </c>
      <c r="DD608" s="28" t="n">
        <f aca="false">IFERROR(INDEX(Assessments!$J$2:$J$600,MATCH($H608&amp;"|"&amp;$I608&amp;"|"&amp;$J608&amp;"|"&amp;8,Assessments!$A$2:$A$600,0)),0)</f>
        <v>0</v>
      </c>
      <c r="DE608" s="28" t="n">
        <f aca="false">IFERROR(INDEX(Assessments!$J$2:$J$600,MATCH($H608&amp;"|"&amp;$I608&amp;"|"&amp;$J608&amp;"|"&amp;9,Assessments!$A$2:$A$600,0)),0)</f>
        <v>0</v>
      </c>
      <c r="DF608" s="28" t="n">
        <f aca="false">IFERROR(INDEX(Assessments!$J$2:$J$600,MATCH($H608&amp;"|"&amp;$I608&amp;"|"&amp;$J608&amp;"|"&amp;10,Assessments!$A$2:$A$600,0)),0)</f>
        <v>0</v>
      </c>
      <c r="DG608" s="28" t="n">
        <f aca="false">IFERROR(INDEX(Assessments!$J$2:$J$600,MATCH($H608&amp;"|"&amp;$I608&amp;"|"&amp;$J608&amp;"|"&amp;11,Assessments!$A$2:$A$600,0)),0)</f>
        <v>0</v>
      </c>
      <c r="DH608" s="28" t="n">
        <f aca="false">IFERROR(INDEX(Assessments!$J$2:$J$600,MATCH($H608&amp;"|"&amp;$I608&amp;"|"&amp;$J608&amp;"|"&amp;12,Assessments!$A$2:$A$600,0)),0)</f>
        <v>0</v>
      </c>
      <c r="DI608" s="28" t="n">
        <f aca="false">IFERROR(INDEX(Assessments!$J$2:$J$600,MATCH($H608&amp;"|"&amp;$I608&amp;"|"&amp;$J608&amp;"|"&amp;13,Assessments!$A$2:$A$600,0)),0)</f>
        <v>0</v>
      </c>
      <c r="DJ608" s="28" t="n">
        <f aca="false">IFERROR(INDEX(Assessments!$J$2:$J$600,MATCH($H608&amp;"|"&amp;$I608&amp;"|"&amp;$J608&amp;"|"&amp;14,Assessments!$A$2:$A$600,0)),0)</f>
        <v>0</v>
      </c>
      <c r="DK608" s="28" t="str">
        <f aca="false">S608</f>
        <v/>
      </c>
      <c r="DL608" s="28" t="str">
        <f aca="false">W608</f>
        <v/>
      </c>
      <c r="DM608" s="28" t="str">
        <f aca="false">AA608</f>
        <v/>
      </c>
      <c r="DN608" s="28" t="str">
        <f aca="false">AE608</f>
        <v/>
      </c>
      <c r="DO608" s="28" t="str">
        <f aca="false">AI608</f>
        <v/>
      </c>
      <c r="DP608" s="28" t="str">
        <f aca="false">AM608</f>
        <v/>
      </c>
      <c r="DQ608" s="28" t="str">
        <f aca="false">AQ608</f>
        <v/>
      </c>
      <c r="DR608" s="28" t="str">
        <f aca="false">AU608</f>
        <v/>
      </c>
      <c r="DS608" s="28" t="str">
        <f aca="false">AY608</f>
        <v/>
      </c>
      <c r="DT608" s="28" t="str">
        <f aca="false">BC608</f>
        <v/>
      </c>
      <c r="DU608" s="28" t="str">
        <f aca="false">BG608</f>
        <v/>
      </c>
      <c r="DV608" s="28" t="str">
        <f aca="false">BK608</f>
        <v/>
      </c>
      <c r="DW608" s="28" t="str">
        <f aca="false">BO608</f>
        <v/>
      </c>
      <c r="DX608" s="28" t="str">
        <f aca="false">BS608</f>
        <v/>
      </c>
      <c r="DY608" s="28" t="str">
        <f aca="false">IF(ISNUMBER(S608),1,"")</f>
        <v/>
      </c>
      <c r="DZ608" s="28" t="str">
        <f aca="false">IF(ISNUMBER(W608),2,"")</f>
        <v/>
      </c>
      <c r="EA608" s="28" t="str">
        <f aca="false">IF(ISNUMBER(AA608),3,"")</f>
        <v/>
      </c>
      <c r="EB608" s="28" t="str">
        <f aca="false">IF(ISNUMBER(AE608),4,"")</f>
        <v/>
      </c>
      <c r="EC608" s="28" t="str">
        <f aca="false">IF(ISNUMBER(AI608),5,"")</f>
        <v/>
      </c>
      <c r="ED608" s="28" t="str">
        <f aca="false">IF(ISNUMBER(AM608),6,"")</f>
        <v/>
      </c>
      <c r="EE608" s="28" t="str">
        <f aca="false">IF(ISNUMBER(AQ608),7,"")</f>
        <v/>
      </c>
      <c r="EF608" s="28" t="str">
        <f aca="false">IF(ISNUMBER(AU608),8,"")</f>
        <v/>
      </c>
      <c r="EG608" s="28" t="str">
        <f aca="false">IF(ISNUMBER(AY608),9,"")</f>
        <v/>
      </c>
      <c r="EH608" s="28" t="str">
        <f aca="false">IF(ISNUMBER(BC608),10,"")</f>
        <v/>
      </c>
      <c r="EI608" s="28" t="str">
        <f aca="false">IF(ISNUMBER(BG608),11,"")</f>
        <v/>
      </c>
      <c r="EJ608" s="28" t="str">
        <f aca="false">IF(ISNUMBER(BK608),12,"")</f>
        <v/>
      </c>
      <c r="EK608" s="28" t="str">
        <f aca="false">IF(ISNUMBER(BO608),13,"")</f>
        <v/>
      </c>
      <c r="EL608" s="28" t="str">
        <f aca="false">IF(ISNUMBER(BS608),14,"")</f>
        <v/>
      </c>
      <c r="EM608" s="28" t="n">
        <f aca="false">IF(ISNUMBER(R608),R608*CW608,0)</f>
        <v>0</v>
      </c>
      <c r="EN608" s="28" t="n">
        <f aca="false">IF(ISNUMBER(V608),V608*CX608,0)</f>
        <v>0</v>
      </c>
      <c r="EO608" s="28" t="n">
        <f aca="false">IF(ISNUMBER(Z608),Z608*CY608,0)</f>
        <v>0</v>
      </c>
      <c r="EP608" s="28" t="n">
        <f aca="false">IF(ISNUMBER(AD608),AD608*CZ608,0)</f>
        <v>0</v>
      </c>
      <c r="EQ608" s="28" t="n">
        <f aca="false">IF(ISNUMBER(AH608),AH608*DA608,0)</f>
        <v>0</v>
      </c>
      <c r="ER608" s="28" t="n">
        <f aca="false">IF(ISNUMBER(AL608),AL608*DB608,0)</f>
        <v>0</v>
      </c>
      <c r="ES608" s="28" t="n">
        <f aca="false">IF(ISNUMBER(AP608),AP608*DC608,0)</f>
        <v>0</v>
      </c>
      <c r="ET608" s="28" t="n">
        <f aca="false">IF(ISNUMBER(AT608),AT608*DD608,0)</f>
        <v>0</v>
      </c>
      <c r="EU608" s="28" t="n">
        <f aca="false">IF(ISNUMBER(AX608),AX608*DE608,0)</f>
        <v>0</v>
      </c>
      <c r="EV608" s="28" t="n">
        <f aca="false">IF(ISNUMBER(BB608),BB608*DF608,0)</f>
        <v>0</v>
      </c>
      <c r="EW608" s="28" t="n">
        <f aca="false">IF(ISNUMBER(BF608),BF608*DG608,0)</f>
        <v>0</v>
      </c>
      <c r="EX608" s="28" t="n">
        <f aca="false">IF(ISNUMBER(BJ608),BJ608*DH608,0)</f>
        <v>0</v>
      </c>
      <c r="EY608" s="28" t="n">
        <f aca="false">IF(ISNUMBER(BN608),BN608*DI608,0)</f>
        <v>0</v>
      </c>
      <c r="EZ608" s="28" t="n">
        <f aca="false">IF(ISNUMBER(BR608),BR608*DJ608,0)</f>
        <v>0</v>
      </c>
      <c r="FA608" s="28" t="n">
        <f aca="false">IF(ISNUMBER(R608),CW608,0)</f>
        <v>0</v>
      </c>
      <c r="FB608" s="28" t="n">
        <f aca="false">IF(ISNUMBER(V608),CX608,0)</f>
        <v>0</v>
      </c>
      <c r="FC608" s="28" t="n">
        <f aca="false">IF(ISNUMBER(Z608),CY608,0)</f>
        <v>0</v>
      </c>
      <c r="FD608" s="28" t="n">
        <f aca="false">IF(ISNUMBER(AD608),CZ608,0)</f>
        <v>0</v>
      </c>
      <c r="FE608" s="28" t="n">
        <f aca="false">IF(ISNUMBER(AH608),DA608,0)</f>
        <v>0</v>
      </c>
      <c r="FF608" s="28" t="n">
        <f aca="false">IF(ISNUMBER(AL608),DB608,0)</f>
        <v>0</v>
      </c>
      <c r="FG608" s="28" t="n">
        <f aca="false">IF(ISNUMBER(AP608),DC608,0)</f>
        <v>0</v>
      </c>
      <c r="FH608" s="28" t="n">
        <f aca="false">IF(ISNUMBER(AT608),DD608,0)</f>
        <v>0</v>
      </c>
      <c r="FI608" s="28" t="n">
        <f aca="false">IF(ISNUMBER(AX608),DE608,0)</f>
        <v>0</v>
      </c>
      <c r="FJ608" s="28" t="n">
        <f aca="false">IF(ISNUMBER(BB608),DF608,0)</f>
        <v>0</v>
      </c>
      <c r="FK608" s="28" t="n">
        <f aca="false">IF(ISNUMBER(BF608),DG608,0)</f>
        <v>0</v>
      </c>
      <c r="FL608" s="28" t="n">
        <f aca="false">IF(ISNUMBER(BJ608),DH608,0)</f>
        <v>0</v>
      </c>
      <c r="FM608" s="28" t="n">
        <f aca="false">IF(ISNUMBER(BN608),DI608,0)</f>
        <v>0</v>
      </c>
      <c r="FN608" s="28" t="n">
        <f aca="false">IF(ISNUMBER(BR608),DJ608,0)</f>
        <v>0</v>
      </c>
      <c r="FO608" s="28" t="str">
        <f aca="false">IFERROR(INDEX(Lists!$G$2:$G$20,MATCH($I608&amp;"|"&amp;$J608,Lists!$F$2:$F$20,0)),"")</f>
        <v/>
      </c>
    </row>
    <row r="609" customFormat="false" ht="19.5" hidden="false" customHeight="true" outlineLevel="0" collapsed="false">
      <c r="A609" s="29"/>
      <c r="B609" s="29"/>
      <c r="C609" s="30"/>
      <c r="D609" s="30"/>
      <c r="E609" s="31"/>
      <c r="F609" s="30"/>
      <c r="G609" s="30"/>
      <c r="H609" s="32"/>
      <c r="I609" s="33"/>
      <c r="J609" s="32"/>
      <c r="K609" s="34" t="str">
        <f aca="false">IF(OR(M609="",$E609=""),"",M609-$E609)</f>
        <v/>
      </c>
      <c r="L609" s="35" t="str">
        <f aca="false">IF(SUM(FA609:FN609)=0,"",SUM(EM609:EZ609)/SUM(FA609:FN609))</f>
        <v/>
      </c>
      <c r="M609" s="36" t="str">
        <f aca="false">IF(OR(L609="",FO609=""),"",IFERROR(MATCH(L609,INDEX(Boundaries!$B$2:$I$30,MATCH(FO609,Boundaries!$A$2:$A$30,0),0),1)-1,""))</f>
        <v/>
      </c>
      <c r="N609" s="37" t="str">
        <f aca="false">IF(COUNT($DY609:$EL609)&lt;2,"",INDEX($DK609:$DX609,MAX($DY609:$EL609))-INDEX($DK609:$DX609,MIN($DY609:$EL609)))</f>
        <v/>
      </c>
      <c r="O609" s="37" t="str">
        <f aca="false">IF(COUNT($DY609:$EL609)&lt;2,"",INDEX($DK609:$DX609,MAX($DY609:$EL609))-INDEX($DK609:$DX609,LARGE($DY609:$EL609,2)))</f>
        <v/>
      </c>
      <c r="P609" s="38" t="str">
        <f aca="false">IF(K609="","",IF(K609&gt;=0,"On/above target",IF(AND(N609&lt;&gt;"",N609&gt;=0.5),"Improving towards target",IF(AND(O609&lt;&gt;"",O609&lt;=-0.5),"Declining","Stable below target"))))</f>
        <v/>
      </c>
      <c r="Q609" s="39"/>
      <c r="R609" s="40" t="str">
        <f aca="false">IF(OR(Q609="",BU609=""),"",Q609/BU609*100)</f>
        <v/>
      </c>
      <c r="S609" s="41" t="str">
        <f aca="false">IF(R609="","",IFERROR(MATCH(R609,INDEX(Boundaries!$B$2:$I$30,MATCH(CI609,Boundaries!$A$2:$A$30,0),0),1)-1,""))</f>
        <v/>
      </c>
      <c r="T609" s="42" t="str">
        <f aca="false">IF(OR(S609="",$E609=""),"",S609-$E609)</f>
        <v/>
      </c>
      <c r="U609" s="39"/>
      <c r="V609" s="40" t="str">
        <f aca="false">IF(OR(U609="",BV609=""),"",U609/BV609*100)</f>
        <v/>
      </c>
      <c r="W609" s="41" t="str">
        <f aca="false">IF(V609="","",IFERROR(MATCH(V609,INDEX(Boundaries!$B$2:$I$30,MATCH(CJ609,Boundaries!$A$2:$A$30,0),0),1)-1,""))</f>
        <v/>
      </c>
      <c r="X609" s="42" t="str">
        <f aca="false">IF(OR(W609="",$E609=""),"",W609-$E609)</f>
        <v/>
      </c>
      <c r="Y609" s="39"/>
      <c r="Z609" s="40" t="str">
        <f aca="false">IF(OR(Y609="",BW609=""),"",Y609/BW609*100)</f>
        <v/>
      </c>
      <c r="AA609" s="41" t="str">
        <f aca="false">IF(Z609="","",IFERROR(MATCH(Z609,INDEX(Boundaries!$B$2:$I$30,MATCH(CK609,Boundaries!$A$2:$A$30,0),0),1)-1,""))</f>
        <v/>
      </c>
      <c r="AB609" s="42" t="str">
        <f aca="false">IF(OR(AA609="",$E609=""),"",AA609-$E609)</f>
        <v/>
      </c>
      <c r="AC609" s="39"/>
      <c r="AD609" s="40" t="str">
        <f aca="false">IF(OR(AC609="",BX609=""),"",AC609/BX609*100)</f>
        <v/>
      </c>
      <c r="AE609" s="41" t="str">
        <f aca="false">IF(AD609="","",IFERROR(MATCH(AD609,INDEX(Boundaries!$B$2:$I$30,MATCH(CL609,Boundaries!$A$2:$A$30,0),0),1)-1,""))</f>
        <v/>
      </c>
      <c r="AF609" s="42" t="str">
        <f aca="false">IF(OR(AE609="",$E609=""),"",AE609-$E609)</f>
        <v/>
      </c>
      <c r="AG609" s="39"/>
      <c r="AH609" s="40" t="str">
        <f aca="false">IF(OR(AG609="",BY609=""),"",AG609/BY609*100)</f>
        <v/>
      </c>
      <c r="AI609" s="41" t="str">
        <f aca="false">IF(AH609="","",IFERROR(MATCH(AH609,INDEX(Boundaries!$B$2:$I$30,MATCH(CM609,Boundaries!$A$2:$A$30,0),0),1)-1,""))</f>
        <v/>
      </c>
      <c r="AJ609" s="42" t="str">
        <f aca="false">IF(OR(AI609="",$E609=""),"",AI609-$E609)</f>
        <v/>
      </c>
      <c r="AK609" s="39"/>
      <c r="AL609" s="40" t="str">
        <f aca="false">IF(OR(AK609="",BZ609=""),"",AK609/BZ609*100)</f>
        <v/>
      </c>
      <c r="AM609" s="41" t="str">
        <f aca="false">IF(AL609="","",IFERROR(MATCH(AL609,INDEX(Boundaries!$B$2:$I$30,MATCH(CN609,Boundaries!$A$2:$A$30,0),0),1)-1,""))</f>
        <v/>
      </c>
      <c r="AN609" s="42" t="str">
        <f aca="false">IF(OR(AM609="",$E609=""),"",AM609-$E609)</f>
        <v/>
      </c>
      <c r="AO609" s="39"/>
      <c r="AP609" s="40" t="str">
        <f aca="false">IF(OR(AO609="",CA609=""),"",AO609/CA609*100)</f>
        <v/>
      </c>
      <c r="AQ609" s="41" t="str">
        <f aca="false">IF(AP609="","",IFERROR(MATCH(AP609,INDEX(Boundaries!$B$2:$I$30,MATCH(CO609,Boundaries!$A$2:$A$30,0),0),1)-1,""))</f>
        <v/>
      </c>
      <c r="AR609" s="42" t="str">
        <f aca="false">IF(OR(AQ609="",$E609=""),"",AQ609-$E609)</f>
        <v/>
      </c>
      <c r="AS609" s="39"/>
      <c r="AT609" s="40" t="str">
        <f aca="false">IF(OR(AS609="",CB609=""),"",AS609/CB609*100)</f>
        <v/>
      </c>
      <c r="AU609" s="41" t="str">
        <f aca="false">IF(AT609="","",IFERROR(MATCH(AT609,INDEX(Boundaries!$B$2:$I$30,MATCH(CP609,Boundaries!$A$2:$A$30,0),0),1)-1,""))</f>
        <v/>
      </c>
      <c r="AV609" s="42" t="str">
        <f aca="false">IF(OR(AU609="",$E609=""),"",AU609-$E609)</f>
        <v/>
      </c>
      <c r="AW609" s="39"/>
      <c r="AX609" s="40" t="str">
        <f aca="false">IF(OR(AW609="",CC609=""),"",AW609/CC609*100)</f>
        <v/>
      </c>
      <c r="AY609" s="41" t="str">
        <f aca="false">IF(AX609="","",IFERROR(MATCH(AX609,INDEX(Boundaries!$B$2:$I$30,MATCH(CQ609,Boundaries!$A$2:$A$30,0),0),1)-1,""))</f>
        <v/>
      </c>
      <c r="AZ609" s="42" t="str">
        <f aca="false">IF(OR(AY609="",$E609=""),"",AY609-$E609)</f>
        <v/>
      </c>
      <c r="BA609" s="39"/>
      <c r="BB609" s="40" t="str">
        <f aca="false">IF(OR(BA609="",CD609=""),"",BA609/CD609*100)</f>
        <v/>
      </c>
      <c r="BC609" s="41" t="str">
        <f aca="false">IF(BB609="","",IFERROR(MATCH(BB609,INDEX(Boundaries!$B$2:$I$30,MATCH(CR609,Boundaries!$A$2:$A$30,0),0),1)-1,""))</f>
        <v/>
      </c>
      <c r="BD609" s="42" t="str">
        <f aca="false">IF(OR(BC609="",$E609=""),"",BC609-$E609)</f>
        <v/>
      </c>
      <c r="BE609" s="39"/>
      <c r="BF609" s="40" t="str">
        <f aca="false">IF(OR(BE609="",CE609=""),"",BE609/CE609*100)</f>
        <v/>
      </c>
      <c r="BG609" s="41" t="str">
        <f aca="false">IF(BF609="","",IFERROR(MATCH(BF609,INDEX(Boundaries!$B$2:$I$30,MATCH(CS609,Boundaries!$A$2:$A$30,0),0),1)-1,""))</f>
        <v/>
      </c>
      <c r="BH609" s="42" t="str">
        <f aca="false">IF(OR(BG609="",$E609=""),"",BG609-$E609)</f>
        <v/>
      </c>
      <c r="BI609" s="39"/>
      <c r="BJ609" s="40" t="str">
        <f aca="false">IF(OR(BI609="",CF609=""),"",BI609/CF609*100)</f>
        <v/>
      </c>
      <c r="BK609" s="41" t="str">
        <f aca="false">IF(BJ609="","",IFERROR(MATCH(BJ609,INDEX(Boundaries!$B$2:$I$30,MATCH(CT609,Boundaries!$A$2:$A$30,0),0),1)-1,""))</f>
        <v/>
      </c>
      <c r="BL609" s="42" t="str">
        <f aca="false">IF(OR(BK609="",$E609=""),"",BK609-$E609)</f>
        <v/>
      </c>
      <c r="BM609" s="39"/>
      <c r="BN609" s="40" t="str">
        <f aca="false">IF(OR(BM609="",CG609=""),"",BM609/CG609*100)</f>
        <v/>
      </c>
      <c r="BO609" s="41" t="str">
        <f aca="false">IF(BN609="","",IFERROR(MATCH(BN609,INDEX(Boundaries!$B$2:$I$30,MATCH(CU609,Boundaries!$A$2:$A$30,0),0),1)-1,""))</f>
        <v/>
      </c>
      <c r="BP609" s="42" t="str">
        <f aca="false">IF(OR(BO609="",$E609=""),"",BO609-$E609)</f>
        <v/>
      </c>
      <c r="BQ609" s="39"/>
      <c r="BR609" s="40" t="str">
        <f aca="false">IF(OR(BQ609="",CH609=""),"",BQ609/CH609*100)</f>
        <v/>
      </c>
      <c r="BS609" s="41" t="str">
        <f aca="false">IF(BR609="","",IFERROR(MATCH(BR609,INDEX(Boundaries!$B$2:$I$30,MATCH(CV609,Boundaries!$A$2:$A$30,0),0),1)-1,""))</f>
        <v/>
      </c>
      <c r="BT609" s="42" t="str">
        <f aca="false">IF(OR(BS609="",$E609=""),"",BS609-$E609)</f>
        <v/>
      </c>
      <c r="BU609" s="28" t="str">
        <f aca="false">IFERROR(INDEX(Assessments!$H$2:$H$600,MATCH($H609&amp;"|"&amp;$I609&amp;"|"&amp;$J609&amp;"|"&amp;1,Assessments!$A$2:$A$600,0)),"")</f>
        <v/>
      </c>
      <c r="BV609" s="28" t="str">
        <f aca="false">IFERROR(INDEX(Assessments!$H$2:$H$600,MATCH($H609&amp;"|"&amp;$I609&amp;"|"&amp;$J609&amp;"|"&amp;2,Assessments!$A$2:$A$600,0)),"")</f>
        <v/>
      </c>
      <c r="BW609" s="28" t="str">
        <f aca="false">IFERROR(INDEX(Assessments!$H$2:$H$600,MATCH($H609&amp;"|"&amp;$I609&amp;"|"&amp;$J609&amp;"|"&amp;3,Assessments!$A$2:$A$600,0)),"")</f>
        <v/>
      </c>
      <c r="BX609" s="28" t="str">
        <f aca="false">IFERROR(INDEX(Assessments!$H$2:$H$600,MATCH($H609&amp;"|"&amp;$I609&amp;"|"&amp;$J609&amp;"|"&amp;4,Assessments!$A$2:$A$600,0)),"")</f>
        <v/>
      </c>
      <c r="BY609" s="28" t="str">
        <f aca="false">IFERROR(INDEX(Assessments!$H$2:$H$600,MATCH($H609&amp;"|"&amp;$I609&amp;"|"&amp;$J609&amp;"|"&amp;5,Assessments!$A$2:$A$600,0)),"")</f>
        <v/>
      </c>
      <c r="BZ609" s="28" t="str">
        <f aca="false">IFERROR(INDEX(Assessments!$H$2:$H$600,MATCH($H609&amp;"|"&amp;$I609&amp;"|"&amp;$J609&amp;"|"&amp;6,Assessments!$A$2:$A$600,0)),"")</f>
        <v/>
      </c>
      <c r="CA609" s="28" t="str">
        <f aca="false">IFERROR(INDEX(Assessments!$H$2:$H$600,MATCH($H609&amp;"|"&amp;$I609&amp;"|"&amp;$J609&amp;"|"&amp;7,Assessments!$A$2:$A$600,0)),"")</f>
        <v/>
      </c>
      <c r="CB609" s="28" t="str">
        <f aca="false">IFERROR(INDEX(Assessments!$H$2:$H$600,MATCH($H609&amp;"|"&amp;$I609&amp;"|"&amp;$J609&amp;"|"&amp;8,Assessments!$A$2:$A$600,0)),"")</f>
        <v/>
      </c>
      <c r="CC609" s="28" t="str">
        <f aca="false">IFERROR(INDEX(Assessments!$H$2:$H$600,MATCH($H609&amp;"|"&amp;$I609&amp;"|"&amp;$J609&amp;"|"&amp;9,Assessments!$A$2:$A$600,0)),"")</f>
        <v/>
      </c>
      <c r="CD609" s="28" t="str">
        <f aca="false">IFERROR(INDEX(Assessments!$H$2:$H$600,MATCH($H609&amp;"|"&amp;$I609&amp;"|"&amp;$J609&amp;"|"&amp;10,Assessments!$A$2:$A$600,0)),"")</f>
        <v/>
      </c>
      <c r="CE609" s="28" t="str">
        <f aca="false">IFERROR(INDEX(Assessments!$H$2:$H$600,MATCH($H609&amp;"|"&amp;$I609&amp;"|"&amp;$J609&amp;"|"&amp;11,Assessments!$A$2:$A$600,0)),"")</f>
        <v/>
      </c>
      <c r="CF609" s="28" t="str">
        <f aca="false">IFERROR(INDEX(Assessments!$H$2:$H$600,MATCH($H609&amp;"|"&amp;$I609&amp;"|"&amp;$J609&amp;"|"&amp;12,Assessments!$A$2:$A$600,0)),"")</f>
        <v/>
      </c>
      <c r="CG609" s="28" t="str">
        <f aca="false">IFERROR(INDEX(Assessments!$H$2:$H$600,MATCH($H609&amp;"|"&amp;$I609&amp;"|"&amp;$J609&amp;"|"&amp;13,Assessments!$A$2:$A$600,0)),"")</f>
        <v/>
      </c>
      <c r="CH609" s="28" t="str">
        <f aca="false">IFERROR(INDEX(Assessments!$H$2:$H$600,MATCH($H609&amp;"|"&amp;$I609&amp;"|"&amp;$J609&amp;"|"&amp;14,Assessments!$A$2:$A$600,0)),"")</f>
        <v/>
      </c>
      <c r="CI609" s="28" t="str">
        <f aca="false">IFERROR(INDEX(Assessments!$I$2:$I$600,MATCH($H609&amp;"|"&amp;$I609&amp;"|"&amp;$J609&amp;"|"&amp;1,Assessments!$A$2:$A$600,0)),"")</f>
        <v/>
      </c>
      <c r="CJ609" s="28" t="str">
        <f aca="false">IFERROR(INDEX(Assessments!$I$2:$I$600,MATCH($H609&amp;"|"&amp;$I609&amp;"|"&amp;$J609&amp;"|"&amp;2,Assessments!$A$2:$A$600,0)),"")</f>
        <v/>
      </c>
      <c r="CK609" s="28" t="str">
        <f aca="false">IFERROR(INDEX(Assessments!$I$2:$I$600,MATCH($H609&amp;"|"&amp;$I609&amp;"|"&amp;$J609&amp;"|"&amp;3,Assessments!$A$2:$A$600,0)),"")</f>
        <v/>
      </c>
      <c r="CL609" s="28" t="str">
        <f aca="false">IFERROR(INDEX(Assessments!$I$2:$I$600,MATCH($H609&amp;"|"&amp;$I609&amp;"|"&amp;$J609&amp;"|"&amp;4,Assessments!$A$2:$A$600,0)),"")</f>
        <v/>
      </c>
      <c r="CM609" s="28" t="str">
        <f aca="false">IFERROR(INDEX(Assessments!$I$2:$I$600,MATCH($H609&amp;"|"&amp;$I609&amp;"|"&amp;$J609&amp;"|"&amp;5,Assessments!$A$2:$A$600,0)),"")</f>
        <v/>
      </c>
      <c r="CN609" s="28" t="str">
        <f aca="false">IFERROR(INDEX(Assessments!$I$2:$I$600,MATCH($H609&amp;"|"&amp;$I609&amp;"|"&amp;$J609&amp;"|"&amp;6,Assessments!$A$2:$A$600,0)),"")</f>
        <v/>
      </c>
      <c r="CO609" s="28" t="str">
        <f aca="false">IFERROR(INDEX(Assessments!$I$2:$I$600,MATCH($H609&amp;"|"&amp;$I609&amp;"|"&amp;$J609&amp;"|"&amp;7,Assessments!$A$2:$A$600,0)),"")</f>
        <v/>
      </c>
      <c r="CP609" s="28" t="str">
        <f aca="false">IFERROR(INDEX(Assessments!$I$2:$I$600,MATCH($H609&amp;"|"&amp;$I609&amp;"|"&amp;$J609&amp;"|"&amp;8,Assessments!$A$2:$A$600,0)),"")</f>
        <v/>
      </c>
      <c r="CQ609" s="28" t="str">
        <f aca="false">IFERROR(INDEX(Assessments!$I$2:$I$600,MATCH($H609&amp;"|"&amp;$I609&amp;"|"&amp;$J609&amp;"|"&amp;9,Assessments!$A$2:$A$600,0)),"")</f>
        <v/>
      </c>
      <c r="CR609" s="28" t="str">
        <f aca="false">IFERROR(INDEX(Assessments!$I$2:$I$600,MATCH($H609&amp;"|"&amp;$I609&amp;"|"&amp;$J609&amp;"|"&amp;10,Assessments!$A$2:$A$600,0)),"")</f>
        <v/>
      </c>
      <c r="CS609" s="28" t="str">
        <f aca="false">IFERROR(INDEX(Assessments!$I$2:$I$600,MATCH($H609&amp;"|"&amp;$I609&amp;"|"&amp;$J609&amp;"|"&amp;11,Assessments!$A$2:$A$600,0)),"")</f>
        <v/>
      </c>
      <c r="CT609" s="28" t="str">
        <f aca="false">IFERROR(INDEX(Assessments!$I$2:$I$600,MATCH($H609&amp;"|"&amp;$I609&amp;"|"&amp;$J609&amp;"|"&amp;12,Assessments!$A$2:$A$600,0)),"")</f>
        <v/>
      </c>
      <c r="CU609" s="28" t="str">
        <f aca="false">IFERROR(INDEX(Assessments!$I$2:$I$600,MATCH($H609&amp;"|"&amp;$I609&amp;"|"&amp;$J609&amp;"|"&amp;13,Assessments!$A$2:$A$600,0)),"")</f>
        <v/>
      </c>
      <c r="CV609" s="28" t="str">
        <f aca="false">IFERROR(INDEX(Assessments!$I$2:$I$600,MATCH($H609&amp;"|"&amp;$I609&amp;"|"&amp;$J609&amp;"|"&amp;14,Assessments!$A$2:$A$600,0)),"")</f>
        <v/>
      </c>
      <c r="CW609" s="28" t="n">
        <f aca="false">IFERROR(INDEX(Assessments!$J$2:$J$600,MATCH($H609&amp;"|"&amp;$I609&amp;"|"&amp;$J609&amp;"|"&amp;1,Assessments!$A$2:$A$600,0)),0)</f>
        <v>0</v>
      </c>
      <c r="CX609" s="28" t="n">
        <f aca="false">IFERROR(INDEX(Assessments!$J$2:$J$600,MATCH($H609&amp;"|"&amp;$I609&amp;"|"&amp;$J609&amp;"|"&amp;2,Assessments!$A$2:$A$600,0)),0)</f>
        <v>0</v>
      </c>
      <c r="CY609" s="28" t="n">
        <f aca="false">IFERROR(INDEX(Assessments!$J$2:$J$600,MATCH($H609&amp;"|"&amp;$I609&amp;"|"&amp;$J609&amp;"|"&amp;3,Assessments!$A$2:$A$600,0)),0)</f>
        <v>0</v>
      </c>
      <c r="CZ609" s="28" t="n">
        <f aca="false">IFERROR(INDEX(Assessments!$J$2:$J$600,MATCH($H609&amp;"|"&amp;$I609&amp;"|"&amp;$J609&amp;"|"&amp;4,Assessments!$A$2:$A$600,0)),0)</f>
        <v>0</v>
      </c>
      <c r="DA609" s="28" t="n">
        <f aca="false">IFERROR(INDEX(Assessments!$J$2:$J$600,MATCH($H609&amp;"|"&amp;$I609&amp;"|"&amp;$J609&amp;"|"&amp;5,Assessments!$A$2:$A$600,0)),0)</f>
        <v>0</v>
      </c>
      <c r="DB609" s="28" t="n">
        <f aca="false">IFERROR(INDEX(Assessments!$J$2:$J$600,MATCH($H609&amp;"|"&amp;$I609&amp;"|"&amp;$J609&amp;"|"&amp;6,Assessments!$A$2:$A$600,0)),0)</f>
        <v>0</v>
      </c>
      <c r="DC609" s="28" t="n">
        <f aca="false">IFERROR(INDEX(Assessments!$J$2:$J$600,MATCH($H609&amp;"|"&amp;$I609&amp;"|"&amp;$J609&amp;"|"&amp;7,Assessments!$A$2:$A$600,0)),0)</f>
        <v>0</v>
      </c>
      <c r="DD609" s="28" t="n">
        <f aca="false">IFERROR(INDEX(Assessments!$J$2:$J$600,MATCH($H609&amp;"|"&amp;$I609&amp;"|"&amp;$J609&amp;"|"&amp;8,Assessments!$A$2:$A$600,0)),0)</f>
        <v>0</v>
      </c>
      <c r="DE609" s="28" t="n">
        <f aca="false">IFERROR(INDEX(Assessments!$J$2:$J$600,MATCH($H609&amp;"|"&amp;$I609&amp;"|"&amp;$J609&amp;"|"&amp;9,Assessments!$A$2:$A$600,0)),0)</f>
        <v>0</v>
      </c>
      <c r="DF609" s="28" t="n">
        <f aca="false">IFERROR(INDEX(Assessments!$J$2:$J$600,MATCH($H609&amp;"|"&amp;$I609&amp;"|"&amp;$J609&amp;"|"&amp;10,Assessments!$A$2:$A$600,0)),0)</f>
        <v>0</v>
      </c>
      <c r="DG609" s="28" t="n">
        <f aca="false">IFERROR(INDEX(Assessments!$J$2:$J$600,MATCH($H609&amp;"|"&amp;$I609&amp;"|"&amp;$J609&amp;"|"&amp;11,Assessments!$A$2:$A$600,0)),0)</f>
        <v>0</v>
      </c>
      <c r="DH609" s="28" t="n">
        <f aca="false">IFERROR(INDEX(Assessments!$J$2:$J$600,MATCH($H609&amp;"|"&amp;$I609&amp;"|"&amp;$J609&amp;"|"&amp;12,Assessments!$A$2:$A$600,0)),0)</f>
        <v>0</v>
      </c>
      <c r="DI609" s="28" t="n">
        <f aca="false">IFERROR(INDEX(Assessments!$J$2:$J$600,MATCH($H609&amp;"|"&amp;$I609&amp;"|"&amp;$J609&amp;"|"&amp;13,Assessments!$A$2:$A$600,0)),0)</f>
        <v>0</v>
      </c>
      <c r="DJ609" s="28" t="n">
        <f aca="false">IFERROR(INDEX(Assessments!$J$2:$J$600,MATCH($H609&amp;"|"&amp;$I609&amp;"|"&amp;$J609&amp;"|"&amp;14,Assessments!$A$2:$A$600,0)),0)</f>
        <v>0</v>
      </c>
      <c r="DK609" s="28" t="str">
        <f aca="false">S609</f>
        <v/>
      </c>
      <c r="DL609" s="28" t="str">
        <f aca="false">W609</f>
        <v/>
      </c>
      <c r="DM609" s="28" t="str">
        <f aca="false">AA609</f>
        <v/>
      </c>
      <c r="DN609" s="28" t="str">
        <f aca="false">AE609</f>
        <v/>
      </c>
      <c r="DO609" s="28" t="str">
        <f aca="false">AI609</f>
        <v/>
      </c>
      <c r="DP609" s="28" t="str">
        <f aca="false">AM609</f>
        <v/>
      </c>
      <c r="DQ609" s="28" t="str">
        <f aca="false">AQ609</f>
        <v/>
      </c>
      <c r="DR609" s="28" t="str">
        <f aca="false">AU609</f>
        <v/>
      </c>
      <c r="DS609" s="28" t="str">
        <f aca="false">AY609</f>
        <v/>
      </c>
      <c r="DT609" s="28" t="str">
        <f aca="false">BC609</f>
        <v/>
      </c>
      <c r="DU609" s="28" t="str">
        <f aca="false">BG609</f>
        <v/>
      </c>
      <c r="DV609" s="28" t="str">
        <f aca="false">BK609</f>
        <v/>
      </c>
      <c r="DW609" s="28" t="str">
        <f aca="false">BO609</f>
        <v/>
      </c>
      <c r="DX609" s="28" t="str">
        <f aca="false">BS609</f>
        <v/>
      </c>
      <c r="DY609" s="28" t="str">
        <f aca="false">IF(ISNUMBER(S609),1,"")</f>
        <v/>
      </c>
      <c r="DZ609" s="28" t="str">
        <f aca="false">IF(ISNUMBER(W609),2,"")</f>
        <v/>
      </c>
      <c r="EA609" s="28" t="str">
        <f aca="false">IF(ISNUMBER(AA609),3,"")</f>
        <v/>
      </c>
      <c r="EB609" s="28" t="str">
        <f aca="false">IF(ISNUMBER(AE609),4,"")</f>
        <v/>
      </c>
      <c r="EC609" s="28" t="str">
        <f aca="false">IF(ISNUMBER(AI609),5,"")</f>
        <v/>
      </c>
      <c r="ED609" s="28" t="str">
        <f aca="false">IF(ISNUMBER(AM609),6,"")</f>
        <v/>
      </c>
      <c r="EE609" s="28" t="str">
        <f aca="false">IF(ISNUMBER(AQ609),7,"")</f>
        <v/>
      </c>
      <c r="EF609" s="28" t="str">
        <f aca="false">IF(ISNUMBER(AU609),8,"")</f>
        <v/>
      </c>
      <c r="EG609" s="28" t="str">
        <f aca="false">IF(ISNUMBER(AY609),9,"")</f>
        <v/>
      </c>
      <c r="EH609" s="28" t="str">
        <f aca="false">IF(ISNUMBER(BC609),10,"")</f>
        <v/>
      </c>
      <c r="EI609" s="28" t="str">
        <f aca="false">IF(ISNUMBER(BG609),11,"")</f>
        <v/>
      </c>
      <c r="EJ609" s="28" t="str">
        <f aca="false">IF(ISNUMBER(BK609),12,"")</f>
        <v/>
      </c>
      <c r="EK609" s="28" t="str">
        <f aca="false">IF(ISNUMBER(BO609),13,"")</f>
        <v/>
      </c>
      <c r="EL609" s="28" t="str">
        <f aca="false">IF(ISNUMBER(BS609),14,"")</f>
        <v/>
      </c>
      <c r="EM609" s="28" t="n">
        <f aca="false">IF(ISNUMBER(R609),R609*CW609,0)</f>
        <v>0</v>
      </c>
      <c r="EN609" s="28" t="n">
        <f aca="false">IF(ISNUMBER(V609),V609*CX609,0)</f>
        <v>0</v>
      </c>
      <c r="EO609" s="28" t="n">
        <f aca="false">IF(ISNUMBER(Z609),Z609*CY609,0)</f>
        <v>0</v>
      </c>
      <c r="EP609" s="28" t="n">
        <f aca="false">IF(ISNUMBER(AD609),AD609*CZ609,0)</f>
        <v>0</v>
      </c>
      <c r="EQ609" s="28" t="n">
        <f aca="false">IF(ISNUMBER(AH609),AH609*DA609,0)</f>
        <v>0</v>
      </c>
      <c r="ER609" s="28" t="n">
        <f aca="false">IF(ISNUMBER(AL609),AL609*DB609,0)</f>
        <v>0</v>
      </c>
      <c r="ES609" s="28" t="n">
        <f aca="false">IF(ISNUMBER(AP609),AP609*DC609,0)</f>
        <v>0</v>
      </c>
      <c r="ET609" s="28" t="n">
        <f aca="false">IF(ISNUMBER(AT609),AT609*DD609,0)</f>
        <v>0</v>
      </c>
      <c r="EU609" s="28" t="n">
        <f aca="false">IF(ISNUMBER(AX609),AX609*DE609,0)</f>
        <v>0</v>
      </c>
      <c r="EV609" s="28" t="n">
        <f aca="false">IF(ISNUMBER(BB609),BB609*DF609,0)</f>
        <v>0</v>
      </c>
      <c r="EW609" s="28" t="n">
        <f aca="false">IF(ISNUMBER(BF609),BF609*DG609,0)</f>
        <v>0</v>
      </c>
      <c r="EX609" s="28" t="n">
        <f aca="false">IF(ISNUMBER(BJ609),BJ609*DH609,0)</f>
        <v>0</v>
      </c>
      <c r="EY609" s="28" t="n">
        <f aca="false">IF(ISNUMBER(BN609),BN609*DI609,0)</f>
        <v>0</v>
      </c>
      <c r="EZ609" s="28" t="n">
        <f aca="false">IF(ISNUMBER(BR609),BR609*DJ609,0)</f>
        <v>0</v>
      </c>
      <c r="FA609" s="28" t="n">
        <f aca="false">IF(ISNUMBER(R609),CW609,0)</f>
        <v>0</v>
      </c>
      <c r="FB609" s="28" t="n">
        <f aca="false">IF(ISNUMBER(V609),CX609,0)</f>
        <v>0</v>
      </c>
      <c r="FC609" s="28" t="n">
        <f aca="false">IF(ISNUMBER(Z609),CY609,0)</f>
        <v>0</v>
      </c>
      <c r="FD609" s="28" t="n">
        <f aca="false">IF(ISNUMBER(AD609),CZ609,0)</f>
        <v>0</v>
      </c>
      <c r="FE609" s="28" t="n">
        <f aca="false">IF(ISNUMBER(AH609),DA609,0)</f>
        <v>0</v>
      </c>
      <c r="FF609" s="28" t="n">
        <f aca="false">IF(ISNUMBER(AL609),DB609,0)</f>
        <v>0</v>
      </c>
      <c r="FG609" s="28" t="n">
        <f aca="false">IF(ISNUMBER(AP609),DC609,0)</f>
        <v>0</v>
      </c>
      <c r="FH609" s="28" t="n">
        <f aca="false">IF(ISNUMBER(AT609),DD609,0)</f>
        <v>0</v>
      </c>
      <c r="FI609" s="28" t="n">
        <f aca="false">IF(ISNUMBER(AX609),DE609,0)</f>
        <v>0</v>
      </c>
      <c r="FJ609" s="28" t="n">
        <f aca="false">IF(ISNUMBER(BB609),DF609,0)</f>
        <v>0</v>
      </c>
      <c r="FK609" s="28" t="n">
        <f aca="false">IF(ISNUMBER(BF609),DG609,0)</f>
        <v>0</v>
      </c>
      <c r="FL609" s="28" t="n">
        <f aca="false">IF(ISNUMBER(BJ609),DH609,0)</f>
        <v>0</v>
      </c>
      <c r="FM609" s="28" t="n">
        <f aca="false">IF(ISNUMBER(BN609),DI609,0)</f>
        <v>0</v>
      </c>
      <c r="FN609" s="28" t="n">
        <f aca="false">IF(ISNUMBER(BR609),DJ609,0)</f>
        <v>0</v>
      </c>
      <c r="FO609" s="28" t="str">
        <f aca="false">IFERROR(INDEX(Lists!$G$2:$G$20,MATCH($I609&amp;"|"&amp;$J609,Lists!$F$2:$F$20,0)),"")</f>
        <v/>
      </c>
    </row>
    <row r="610" customFormat="false" ht="19.5" hidden="false" customHeight="true" outlineLevel="0" collapsed="false">
      <c r="A610" s="29"/>
      <c r="B610" s="29"/>
      <c r="C610" s="30"/>
      <c r="D610" s="30"/>
      <c r="E610" s="31"/>
      <c r="F610" s="30"/>
      <c r="G610" s="30"/>
      <c r="H610" s="32"/>
      <c r="I610" s="33"/>
      <c r="J610" s="32"/>
      <c r="K610" s="34" t="str">
        <f aca="false">IF(OR(M610="",$E610=""),"",M610-$E610)</f>
        <v/>
      </c>
      <c r="L610" s="35" t="str">
        <f aca="false">IF(SUM(FA610:FN610)=0,"",SUM(EM610:EZ610)/SUM(FA610:FN610))</f>
        <v/>
      </c>
      <c r="M610" s="36" t="str">
        <f aca="false">IF(OR(L610="",FO610=""),"",IFERROR(MATCH(L610,INDEX(Boundaries!$B$2:$I$30,MATCH(FO610,Boundaries!$A$2:$A$30,0),0),1)-1,""))</f>
        <v/>
      </c>
      <c r="N610" s="37" t="str">
        <f aca="false">IF(COUNT($DY610:$EL610)&lt;2,"",INDEX($DK610:$DX610,MAX($DY610:$EL610))-INDEX($DK610:$DX610,MIN($DY610:$EL610)))</f>
        <v/>
      </c>
      <c r="O610" s="37" t="str">
        <f aca="false">IF(COUNT($DY610:$EL610)&lt;2,"",INDEX($DK610:$DX610,MAX($DY610:$EL610))-INDEX($DK610:$DX610,LARGE($DY610:$EL610,2)))</f>
        <v/>
      </c>
      <c r="P610" s="38" t="str">
        <f aca="false">IF(K610="","",IF(K610&gt;=0,"On/above target",IF(AND(N610&lt;&gt;"",N610&gt;=0.5),"Improving towards target",IF(AND(O610&lt;&gt;"",O610&lt;=-0.5),"Declining","Stable below target"))))</f>
        <v/>
      </c>
      <c r="Q610" s="39"/>
      <c r="R610" s="40" t="str">
        <f aca="false">IF(OR(Q610="",BU610=""),"",Q610/BU610*100)</f>
        <v/>
      </c>
      <c r="S610" s="41" t="str">
        <f aca="false">IF(R610="","",IFERROR(MATCH(R610,INDEX(Boundaries!$B$2:$I$30,MATCH(CI610,Boundaries!$A$2:$A$30,0),0),1)-1,""))</f>
        <v/>
      </c>
      <c r="T610" s="42" t="str">
        <f aca="false">IF(OR(S610="",$E610=""),"",S610-$E610)</f>
        <v/>
      </c>
      <c r="U610" s="39"/>
      <c r="V610" s="40" t="str">
        <f aca="false">IF(OR(U610="",BV610=""),"",U610/BV610*100)</f>
        <v/>
      </c>
      <c r="W610" s="41" t="str">
        <f aca="false">IF(V610="","",IFERROR(MATCH(V610,INDEX(Boundaries!$B$2:$I$30,MATCH(CJ610,Boundaries!$A$2:$A$30,0),0),1)-1,""))</f>
        <v/>
      </c>
      <c r="X610" s="42" t="str">
        <f aca="false">IF(OR(W610="",$E610=""),"",W610-$E610)</f>
        <v/>
      </c>
      <c r="Y610" s="39"/>
      <c r="Z610" s="40" t="str">
        <f aca="false">IF(OR(Y610="",BW610=""),"",Y610/BW610*100)</f>
        <v/>
      </c>
      <c r="AA610" s="41" t="str">
        <f aca="false">IF(Z610="","",IFERROR(MATCH(Z610,INDEX(Boundaries!$B$2:$I$30,MATCH(CK610,Boundaries!$A$2:$A$30,0),0),1)-1,""))</f>
        <v/>
      </c>
      <c r="AB610" s="42" t="str">
        <f aca="false">IF(OR(AA610="",$E610=""),"",AA610-$E610)</f>
        <v/>
      </c>
      <c r="AC610" s="39"/>
      <c r="AD610" s="40" t="str">
        <f aca="false">IF(OR(AC610="",BX610=""),"",AC610/BX610*100)</f>
        <v/>
      </c>
      <c r="AE610" s="41" t="str">
        <f aca="false">IF(AD610="","",IFERROR(MATCH(AD610,INDEX(Boundaries!$B$2:$I$30,MATCH(CL610,Boundaries!$A$2:$A$30,0),0),1)-1,""))</f>
        <v/>
      </c>
      <c r="AF610" s="42" t="str">
        <f aca="false">IF(OR(AE610="",$E610=""),"",AE610-$E610)</f>
        <v/>
      </c>
      <c r="AG610" s="39"/>
      <c r="AH610" s="40" t="str">
        <f aca="false">IF(OR(AG610="",BY610=""),"",AG610/BY610*100)</f>
        <v/>
      </c>
      <c r="AI610" s="41" t="str">
        <f aca="false">IF(AH610="","",IFERROR(MATCH(AH610,INDEX(Boundaries!$B$2:$I$30,MATCH(CM610,Boundaries!$A$2:$A$30,0),0),1)-1,""))</f>
        <v/>
      </c>
      <c r="AJ610" s="42" t="str">
        <f aca="false">IF(OR(AI610="",$E610=""),"",AI610-$E610)</f>
        <v/>
      </c>
      <c r="AK610" s="39"/>
      <c r="AL610" s="40" t="str">
        <f aca="false">IF(OR(AK610="",BZ610=""),"",AK610/BZ610*100)</f>
        <v/>
      </c>
      <c r="AM610" s="41" t="str">
        <f aca="false">IF(AL610="","",IFERROR(MATCH(AL610,INDEX(Boundaries!$B$2:$I$30,MATCH(CN610,Boundaries!$A$2:$A$30,0),0),1)-1,""))</f>
        <v/>
      </c>
      <c r="AN610" s="42" t="str">
        <f aca="false">IF(OR(AM610="",$E610=""),"",AM610-$E610)</f>
        <v/>
      </c>
      <c r="AO610" s="39"/>
      <c r="AP610" s="40" t="str">
        <f aca="false">IF(OR(AO610="",CA610=""),"",AO610/CA610*100)</f>
        <v/>
      </c>
      <c r="AQ610" s="41" t="str">
        <f aca="false">IF(AP610="","",IFERROR(MATCH(AP610,INDEX(Boundaries!$B$2:$I$30,MATCH(CO610,Boundaries!$A$2:$A$30,0),0),1)-1,""))</f>
        <v/>
      </c>
      <c r="AR610" s="42" t="str">
        <f aca="false">IF(OR(AQ610="",$E610=""),"",AQ610-$E610)</f>
        <v/>
      </c>
      <c r="AS610" s="39"/>
      <c r="AT610" s="40" t="str">
        <f aca="false">IF(OR(AS610="",CB610=""),"",AS610/CB610*100)</f>
        <v/>
      </c>
      <c r="AU610" s="41" t="str">
        <f aca="false">IF(AT610="","",IFERROR(MATCH(AT610,INDEX(Boundaries!$B$2:$I$30,MATCH(CP610,Boundaries!$A$2:$A$30,0),0),1)-1,""))</f>
        <v/>
      </c>
      <c r="AV610" s="42" t="str">
        <f aca="false">IF(OR(AU610="",$E610=""),"",AU610-$E610)</f>
        <v/>
      </c>
      <c r="AW610" s="39"/>
      <c r="AX610" s="40" t="str">
        <f aca="false">IF(OR(AW610="",CC610=""),"",AW610/CC610*100)</f>
        <v/>
      </c>
      <c r="AY610" s="41" t="str">
        <f aca="false">IF(AX610="","",IFERROR(MATCH(AX610,INDEX(Boundaries!$B$2:$I$30,MATCH(CQ610,Boundaries!$A$2:$A$30,0),0),1)-1,""))</f>
        <v/>
      </c>
      <c r="AZ610" s="42" t="str">
        <f aca="false">IF(OR(AY610="",$E610=""),"",AY610-$E610)</f>
        <v/>
      </c>
      <c r="BA610" s="39"/>
      <c r="BB610" s="40" t="str">
        <f aca="false">IF(OR(BA610="",CD610=""),"",BA610/CD610*100)</f>
        <v/>
      </c>
      <c r="BC610" s="41" t="str">
        <f aca="false">IF(BB610="","",IFERROR(MATCH(BB610,INDEX(Boundaries!$B$2:$I$30,MATCH(CR610,Boundaries!$A$2:$A$30,0),0),1)-1,""))</f>
        <v/>
      </c>
      <c r="BD610" s="42" t="str">
        <f aca="false">IF(OR(BC610="",$E610=""),"",BC610-$E610)</f>
        <v/>
      </c>
      <c r="BE610" s="39"/>
      <c r="BF610" s="40" t="str">
        <f aca="false">IF(OR(BE610="",CE610=""),"",BE610/CE610*100)</f>
        <v/>
      </c>
      <c r="BG610" s="41" t="str">
        <f aca="false">IF(BF610="","",IFERROR(MATCH(BF610,INDEX(Boundaries!$B$2:$I$30,MATCH(CS610,Boundaries!$A$2:$A$30,0),0),1)-1,""))</f>
        <v/>
      </c>
      <c r="BH610" s="42" t="str">
        <f aca="false">IF(OR(BG610="",$E610=""),"",BG610-$E610)</f>
        <v/>
      </c>
      <c r="BI610" s="39"/>
      <c r="BJ610" s="40" t="str">
        <f aca="false">IF(OR(BI610="",CF610=""),"",BI610/CF610*100)</f>
        <v/>
      </c>
      <c r="BK610" s="41" t="str">
        <f aca="false">IF(BJ610="","",IFERROR(MATCH(BJ610,INDEX(Boundaries!$B$2:$I$30,MATCH(CT610,Boundaries!$A$2:$A$30,0),0),1)-1,""))</f>
        <v/>
      </c>
      <c r="BL610" s="42" t="str">
        <f aca="false">IF(OR(BK610="",$E610=""),"",BK610-$E610)</f>
        <v/>
      </c>
      <c r="BM610" s="39"/>
      <c r="BN610" s="40" t="str">
        <f aca="false">IF(OR(BM610="",CG610=""),"",BM610/CG610*100)</f>
        <v/>
      </c>
      <c r="BO610" s="41" t="str">
        <f aca="false">IF(BN610="","",IFERROR(MATCH(BN610,INDEX(Boundaries!$B$2:$I$30,MATCH(CU610,Boundaries!$A$2:$A$30,0),0),1)-1,""))</f>
        <v/>
      </c>
      <c r="BP610" s="42" t="str">
        <f aca="false">IF(OR(BO610="",$E610=""),"",BO610-$E610)</f>
        <v/>
      </c>
      <c r="BQ610" s="39"/>
      <c r="BR610" s="40" t="str">
        <f aca="false">IF(OR(BQ610="",CH610=""),"",BQ610/CH610*100)</f>
        <v/>
      </c>
      <c r="BS610" s="41" t="str">
        <f aca="false">IF(BR610="","",IFERROR(MATCH(BR610,INDEX(Boundaries!$B$2:$I$30,MATCH(CV610,Boundaries!$A$2:$A$30,0),0),1)-1,""))</f>
        <v/>
      </c>
      <c r="BT610" s="42" t="str">
        <f aca="false">IF(OR(BS610="",$E610=""),"",BS610-$E610)</f>
        <v/>
      </c>
      <c r="BU610" s="28" t="str">
        <f aca="false">IFERROR(INDEX(Assessments!$H$2:$H$600,MATCH($H610&amp;"|"&amp;$I610&amp;"|"&amp;$J610&amp;"|"&amp;1,Assessments!$A$2:$A$600,0)),"")</f>
        <v/>
      </c>
      <c r="BV610" s="28" t="str">
        <f aca="false">IFERROR(INDEX(Assessments!$H$2:$H$600,MATCH($H610&amp;"|"&amp;$I610&amp;"|"&amp;$J610&amp;"|"&amp;2,Assessments!$A$2:$A$600,0)),"")</f>
        <v/>
      </c>
      <c r="BW610" s="28" t="str">
        <f aca="false">IFERROR(INDEX(Assessments!$H$2:$H$600,MATCH($H610&amp;"|"&amp;$I610&amp;"|"&amp;$J610&amp;"|"&amp;3,Assessments!$A$2:$A$600,0)),"")</f>
        <v/>
      </c>
      <c r="BX610" s="28" t="str">
        <f aca="false">IFERROR(INDEX(Assessments!$H$2:$H$600,MATCH($H610&amp;"|"&amp;$I610&amp;"|"&amp;$J610&amp;"|"&amp;4,Assessments!$A$2:$A$600,0)),"")</f>
        <v/>
      </c>
      <c r="BY610" s="28" t="str">
        <f aca="false">IFERROR(INDEX(Assessments!$H$2:$H$600,MATCH($H610&amp;"|"&amp;$I610&amp;"|"&amp;$J610&amp;"|"&amp;5,Assessments!$A$2:$A$600,0)),"")</f>
        <v/>
      </c>
      <c r="BZ610" s="28" t="str">
        <f aca="false">IFERROR(INDEX(Assessments!$H$2:$H$600,MATCH($H610&amp;"|"&amp;$I610&amp;"|"&amp;$J610&amp;"|"&amp;6,Assessments!$A$2:$A$600,0)),"")</f>
        <v/>
      </c>
      <c r="CA610" s="28" t="str">
        <f aca="false">IFERROR(INDEX(Assessments!$H$2:$H$600,MATCH($H610&amp;"|"&amp;$I610&amp;"|"&amp;$J610&amp;"|"&amp;7,Assessments!$A$2:$A$600,0)),"")</f>
        <v/>
      </c>
      <c r="CB610" s="28" t="str">
        <f aca="false">IFERROR(INDEX(Assessments!$H$2:$H$600,MATCH($H610&amp;"|"&amp;$I610&amp;"|"&amp;$J610&amp;"|"&amp;8,Assessments!$A$2:$A$600,0)),"")</f>
        <v/>
      </c>
      <c r="CC610" s="28" t="str">
        <f aca="false">IFERROR(INDEX(Assessments!$H$2:$H$600,MATCH($H610&amp;"|"&amp;$I610&amp;"|"&amp;$J610&amp;"|"&amp;9,Assessments!$A$2:$A$600,0)),"")</f>
        <v/>
      </c>
      <c r="CD610" s="28" t="str">
        <f aca="false">IFERROR(INDEX(Assessments!$H$2:$H$600,MATCH($H610&amp;"|"&amp;$I610&amp;"|"&amp;$J610&amp;"|"&amp;10,Assessments!$A$2:$A$600,0)),"")</f>
        <v/>
      </c>
      <c r="CE610" s="28" t="str">
        <f aca="false">IFERROR(INDEX(Assessments!$H$2:$H$600,MATCH($H610&amp;"|"&amp;$I610&amp;"|"&amp;$J610&amp;"|"&amp;11,Assessments!$A$2:$A$600,0)),"")</f>
        <v/>
      </c>
      <c r="CF610" s="28" t="str">
        <f aca="false">IFERROR(INDEX(Assessments!$H$2:$H$600,MATCH($H610&amp;"|"&amp;$I610&amp;"|"&amp;$J610&amp;"|"&amp;12,Assessments!$A$2:$A$600,0)),"")</f>
        <v/>
      </c>
      <c r="CG610" s="28" t="str">
        <f aca="false">IFERROR(INDEX(Assessments!$H$2:$H$600,MATCH($H610&amp;"|"&amp;$I610&amp;"|"&amp;$J610&amp;"|"&amp;13,Assessments!$A$2:$A$600,0)),"")</f>
        <v/>
      </c>
      <c r="CH610" s="28" t="str">
        <f aca="false">IFERROR(INDEX(Assessments!$H$2:$H$600,MATCH($H610&amp;"|"&amp;$I610&amp;"|"&amp;$J610&amp;"|"&amp;14,Assessments!$A$2:$A$600,0)),"")</f>
        <v/>
      </c>
      <c r="CI610" s="28" t="str">
        <f aca="false">IFERROR(INDEX(Assessments!$I$2:$I$600,MATCH($H610&amp;"|"&amp;$I610&amp;"|"&amp;$J610&amp;"|"&amp;1,Assessments!$A$2:$A$600,0)),"")</f>
        <v/>
      </c>
      <c r="CJ610" s="28" t="str">
        <f aca="false">IFERROR(INDEX(Assessments!$I$2:$I$600,MATCH($H610&amp;"|"&amp;$I610&amp;"|"&amp;$J610&amp;"|"&amp;2,Assessments!$A$2:$A$600,0)),"")</f>
        <v/>
      </c>
      <c r="CK610" s="28" t="str">
        <f aca="false">IFERROR(INDEX(Assessments!$I$2:$I$600,MATCH($H610&amp;"|"&amp;$I610&amp;"|"&amp;$J610&amp;"|"&amp;3,Assessments!$A$2:$A$600,0)),"")</f>
        <v/>
      </c>
      <c r="CL610" s="28" t="str">
        <f aca="false">IFERROR(INDEX(Assessments!$I$2:$I$600,MATCH($H610&amp;"|"&amp;$I610&amp;"|"&amp;$J610&amp;"|"&amp;4,Assessments!$A$2:$A$600,0)),"")</f>
        <v/>
      </c>
      <c r="CM610" s="28" t="str">
        <f aca="false">IFERROR(INDEX(Assessments!$I$2:$I$600,MATCH($H610&amp;"|"&amp;$I610&amp;"|"&amp;$J610&amp;"|"&amp;5,Assessments!$A$2:$A$600,0)),"")</f>
        <v/>
      </c>
      <c r="CN610" s="28" t="str">
        <f aca="false">IFERROR(INDEX(Assessments!$I$2:$I$600,MATCH($H610&amp;"|"&amp;$I610&amp;"|"&amp;$J610&amp;"|"&amp;6,Assessments!$A$2:$A$600,0)),"")</f>
        <v/>
      </c>
      <c r="CO610" s="28" t="str">
        <f aca="false">IFERROR(INDEX(Assessments!$I$2:$I$600,MATCH($H610&amp;"|"&amp;$I610&amp;"|"&amp;$J610&amp;"|"&amp;7,Assessments!$A$2:$A$600,0)),"")</f>
        <v/>
      </c>
      <c r="CP610" s="28" t="str">
        <f aca="false">IFERROR(INDEX(Assessments!$I$2:$I$600,MATCH($H610&amp;"|"&amp;$I610&amp;"|"&amp;$J610&amp;"|"&amp;8,Assessments!$A$2:$A$600,0)),"")</f>
        <v/>
      </c>
      <c r="CQ610" s="28" t="str">
        <f aca="false">IFERROR(INDEX(Assessments!$I$2:$I$600,MATCH($H610&amp;"|"&amp;$I610&amp;"|"&amp;$J610&amp;"|"&amp;9,Assessments!$A$2:$A$600,0)),"")</f>
        <v/>
      </c>
      <c r="CR610" s="28" t="str">
        <f aca="false">IFERROR(INDEX(Assessments!$I$2:$I$600,MATCH($H610&amp;"|"&amp;$I610&amp;"|"&amp;$J610&amp;"|"&amp;10,Assessments!$A$2:$A$600,0)),"")</f>
        <v/>
      </c>
      <c r="CS610" s="28" t="str">
        <f aca="false">IFERROR(INDEX(Assessments!$I$2:$I$600,MATCH($H610&amp;"|"&amp;$I610&amp;"|"&amp;$J610&amp;"|"&amp;11,Assessments!$A$2:$A$600,0)),"")</f>
        <v/>
      </c>
      <c r="CT610" s="28" t="str">
        <f aca="false">IFERROR(INDEX(Assessments!$I$2:$I$600,MATCH($H610&amp;"|"&amp;$I610&amp;"|"&amp;$J610&amp;"|"&amp;12,Assessments!$A$2:$A$600,0)),"")</f>
        <v/>
      </c>
      <c r="CU610" s="28" t="str">
        <f aca="false">IFERROR(INDEX(Assessments!$I$2:$I$600,MATCH($H610&amp;"|"&amp;$I610&amp;"|"&amp;$J610&amp;"|"&amp;13,Assessments!$A$2:$A$600,0)),"")</f>
        <v/>
      </c>
      <c r="CV610" s="28" t="str">
        <f aca="false">IFERROR(INDEX(Assessments!$I$2:$I$600,MATCH($H610&amp;"|"&amp;$I610&amp;"|"&amp;$J610&amp;"|"&amp;14,Assessments!$A$2:$A$600,0)),"")</f>
        <v/>
      </c>
      <c r="CW610" s="28" t="n">
        <f aca="false">IFERROR(INDEX(Assessments!$J$2:$J$600,MATCH($H610&amp;"|"&amp;$I610&amp;"|"&amp;$J610&amp;"|"&amp;1,Assessments!$A$2:$A$600,0)),0)</f>
        <v>0</v>
      </c>
      <c r="CX610" s="28" t="n">
        <f aca="false">IFERROR(INDEX(Assessments!$J$2:$J$600,MATCH($H610&amp;"|"&amp;$I610&amp;"|"&amp;$J610&amp;"|"&amp;2,Assessments!$A$2:$A$600,0)),0)</f>
        <v>0</v>
      </c>
      <c r="CY610" s="28" t="n">
        <f aca="false">IFERROR(INDEX(Assessments!$J$2:$J$600,MATCH($H610&amp;"|"&amp;$I610&amp;"|"&amp;$J610&amp;"|"&amp;3,Assessments!$A$2:$A$600,0)),0)</f>
        <v>0</v>
      </c>
      <c r="CZ610" s="28" t="n">
        <f aca="false">IFERROR(INDEX(Assessments!$J$2:$J$600,MATCH($H610&amp;"|"&amp;$I610&amp;"|"&amp;$J610&amp;"|"&amp;4,Assessments!$A$2:$A$600,0)),0)</f>
        <v>0</v>
      </c>
      <c r="DA610" s="28" t="n">
        <f aca="false">IFERROR(INDEX(Assessments!$J$2:$J$600,MATCH($H610&amp;"|"&amp;$I610&amp;"|"&amp;$J610&amp;"|"&amp;5,Assessments!$A$2:$A$600,0)),0)</f>
        <v>0</v>
      </c>
      <c r="DB610" s="28" t="n">
        <f aca="false">IFERROR(INDEX(Assessments!$J$2:$J$600,MATCH($H610&amp;"|"&amp;$I610&amp;"|"&amp;$J610&amp;"|"&amp;6,Assessments!$A$2:$A$600,0)),0)</f>
        <v>0</v>
      </c>
      <c r="DC610" s="28" t="n">
        <f aca="false">IFERROR(INDEX(Assessments!$J$2:$J$600,MATCH($H610&amp;"|"&amp;$I610&amp;"|"&amp;$J610&amp;"|"&amp;7,Assessments!$A$2:$A$600,0)),0)</f>
        <v>0</v>
      </c>
      <c r="DD610" s="28" t="n">
        <f aca="false">IFERROR(INDEX(Assessments!$J$2:$J$600,MATCH($H610&amp;"|"&amp;$I610&amp;"|"&amp;$J610&amp;"|"&amp;8,Assessments!$A$2:$A$600,0)),0)</f>
        <v>0</v>
      </c>
      <c r="DE610" s="28" t="n">
        <f aca="false">IFERROR(INDEX(Assessments!$J$2:$J$600,MATCH($H610&amp;"|"&amp;$I610&amp;"|"&amp;$J610&amp;"|"&amp;9,Assessments!$A$2:$A$600,0)),0)</f>
        <v>0</v>
      </c>
      <c r="DF610" s="28" t="n">
        <f aca="false">IFERROR(INDEX(Assessments!$J$2:$J$600,MATCH($H610&amp;"|"&amp;$I610&amp;"|"&amp;$J610&amp;"|"&amp;10,Assessments!$A$2:$A$600,0)),0)</f>
        <v>0</v>
      </c>
      <c r="DG610" s="28" t="n">
        <f aca="false">IFERROR(INDEX(Assessments!$J$2:$J$600,MATCH($H610&amp;"|"&amp;$I610&amp;"|"&amp;$J610&amp;"|"&amp;11,Assessments!$A$2:$A$600,0)),0)</f>
        <v>0</v>
      </c>
      <c r="DH610" s="28" t="n">
        <f aca="false">IFERROR(INDEX(Assessments!$J$2:$J$600,MATCH($H610&amp;"|"&amp;$I610&amp;"|"&amp;$J610&amp;"|"&amp;12,Assessments!$A$2:$A$600,0)),0)</f>
        <v>0</v>
      </c>
      <c r="DI610" s="28" t="n">
        <f aca="false">IFERROR(INDEX(Assessments!$J$2:$J$600,MATCH($H610&amp;"|"&amp;$I610&amp;"|"&amp;$J610&amp;"|"&amp;13,Assessments!$A$2:$A$600,0)),0)</f>
        <v>0</v>
      </c>
      <c r="DJ610" s="28" t="n">
        <f aca="false">IFERROR(INDEX(Assessments!$J$2:$J$600,MATCH($H610&amp;"|"&amp;$I610&amp;"|"&amp;$J610&amp;"|"&amp;14,Assessments!$A$2:$A$600,0)),0)</f>
        <v>0</v>
      </c>
      <c r="DK610" s="28" t="str">
        <f aca="false">S610</f>
        <v/>
      </c>
      <c r="DL610" s="28" t="str">
        <f aca="false">W610</f>
        <v/>
      </c>
      <c r="DM610" s="28" t="str">
        <f aca="false">AA610</f>
        <v/>
      </c>
      <c r="DN610" s="28" t="str">
        <f aca="false">AE610</f>
        <v/>
      </c>
      <c r="DO610" s="28" t="str">
        <f aca="false">AI610</f>
        <v/>
      </c>
      <c r="DP610" s="28" t="str">
        <f aca="false">AM610</f>
        <v/>
      </c>
      <c r="DQ610" s="28" t="str">
        <f aca="false">AQ610</f>
        <v/>
      </c>
      <c r="DR610" s="28" t="str">
        <f aca="false">AU610</f>
        <v/>
      </c>
      <c r="DS610" s="28" t="str">
        <f aca="false">AY610</f>
        <v/>
      </c>
      <c r="DT610" s="28" t="str">
        <f aca="false">BC610</f>
        <v/>
      </c>
      <c r="DU610" s="28" t="str">
        <f aca="false">BG610</f>
        <v/>
      </c>
      <c r="DV610" s="28" t="str">
        <f aca="false">BK610</f>
        <v/>
      </c>
      <c r="DW610" s="28" t="str">
        <f aca="false">BO610</f>
        <v/>
      </c>
      <c r="DX610" s="28" t="str">
        <f aca="false">BS610</f>
        <v/>
      </c>
      <c r="DY610" s="28" t="str">
        <f aca="false">IF(ISNUMBER(S610),1,"")</f>
        <v/>
      </c>
      <c r="DZ610" s="28" t="str">
        <f aca="false">IF(ISNUMBER(W610),2,"")</f>
        <v/>
      </c>
      <c r="EA610" s="28" t="str">
        <f aca="false">IF(ISNUMBER(AA610),3,"")</f>
        <v/>
      </c>
      <c r="EB610" s="28" t="str">
        <f aca="false">IF(ISNUMBER(AE610),4,"")</f>
        <v/>
      </c>
      <c r="EC610" s="28" t="str">
        <f aca="false">IF(ISNUMBER(AI610),5,"")</f>
        <v/>
      </c>
      <c r="ED610" s="28" t="str">
        <f aca="false">IF(ISNUMBER(AM610),6,"")</f>
        <v/>
      </c>
      <c r="EE610" s="28" t="str">
        <f aca="false">IF(ISNUMBER(AQ610),7,"")</f>
        <v/>
      </c>
      <c r="EF610" s="28" t="str">
        <f aca="false">IF(ISNUMBER(AU610),8,"")</f>
        <v/>
      </c>
      <c r="EG610" s="28" t="str">
        <f aca="false">IF(ISNUMBER(AY610),9,"")</f>
        <v/>
      </c>
      <c r="EH610" s="28" t="str">
        <f aca="false">IF(ISNUMBER(BC610),10,"")</f>
        <v/>
      </c>
      <c r="EI610" s="28" t="str">
        <f aca="false">IF(ISNUMBER(BG610),11,"")</f>
        <v/>
      </c>
      <c r="EJ610" s="28" t="str">
        <f aca="false">IF(ISNUMBER(BK610),12,"")</f>
        <v/>
      </c>
      <c r="EK610" s="28" t="str">
        <f aca="false">IF(ISNUMBER(BO610),13,"")</f>
        <v/>
      </c>
      <c r="EL610" s="28" t="str">
        <f aca="false">IF(ISNUMBER(BS610),14,"")</f>
        <v/>
      </c>
      <c r="EM610" s="28" t="n">
        <f aca="false">IF(ISNUMBER(R610),R610*CW610,0)</f>
        <v>0</v>
      </c>
      <c r="EN610" s="28" t="n">
        <f aca="false">IF(ISNUMBER(V610),V610*CX610,0)</f>
        <v>0</v>
      </c>
      <c r="EO610" s="28" t="n">
        <f aca="false">IF(ISNUMBER(Z610),Z610*CY610,0)</f>
        <v>0</v>
      </c>
      <c r="EP610" s="28" t="n">
        <f aca="false">IF(ISNUMBER(AD610),AD610*CZ610,0)</f>
        <v>0</v>
      </c>
      <c r="EQ610" s="28" t="n">
        <f aca="false">IF(ISNUMBER(AH610),AH610*DA610,0)</f>
        <v>0</v>
      </c>
      <c r="ER610" s="28" t="n">
        <f aca="false">IF(ISNUMBER(AL610),AL610*DB610,0)</f>
        <v>0</v>
      </c>
      <c r="ES610" s="28" t="n">
        <f aca="false">IF(ISNUMBER(AP610),AP610*DC610,0)</f>
        <v>0</v>
      </c>
      <c r="ET610" s="28" t="n">
        <f aca="false">IF(ISNUMBER(AT610),AT610*DD610,0)</f>
        <v>0</v>
      </c>
      <c r="EU610" s="28" t="n">
        <f aca="false">IF(ISNUMBER(AX610),AX610*DE610,0)</f>
        <v>0</v>
      </c>
      <c r="EV610" s="28" t="n">
        <f aca="false">IF(ISNUMBER(BB610),BB610*DF610,0)</f>
        <v>0</v>
      </c>
      <c r="EW610" s="28" t="n">
        <f aca="false">IF(ISNUMBER(BF610),BF610*DG610,0)</f>
        <v>0</v>
      </c>
      <c r="EX610" s="28" t="n">
        <f aca="false">IF(ISNUMBER(BJ610),BJ610*DH610,0)</f>
        <v>0</v>
      </c>
      <c r="EY610" s="28" t="n">
        <f aca="false">IF(ISNUMBER(BN610),BN610*DI610,0)</f>
        <v>0</v>
      </c>
      <c r="EZ610" s="28" t="n">
        <f aca="false">IF(ISNUMBER(BR610),BR610*DJ610,0)</f>
        <v>0</v>
      </c>
      <c r="FA610" s="28" t="n">
        <f aca="false">IF(ISNUMBER(R610),CW610,0)</f>
        <v>0</v>
      </c>
      <c r="FB610" s="28" t="n">
        <f aca="false">IF(ISNUMBER(V610),CX610,0)</f>
        <v>0</v>
      </c>
      <c r="FC610" s="28" t="n">
        <f aca="false">IF(ISNUMBER(Z610),CY610,0)</f>
        <v>0</v>
      </c>
      <c r="FD610" s="28" t="n">
        <f aca="false">IF(ISNUMBER(AD610),CZ610,0)</f>
        <v>0</v>
      </c>
      <c r="FE610" s="28" t="n">
        <f aca="false">IF(ISNUMBER(AH610),DA610,0)</f>
        <v>0</v>
      </c>
      <c r="FF610" s="28" t="n">
        <f aca="false">IF(ISNUMBER(AL610),DB610,0)</f>
        <v>0</v>
      </c>
      <c r="FG610" s="28" t="n">
        <f aca="false">IF(ISNUMBER(AP610),DC610,0)</f>
        <v>0</v>
      </c>
      <c r="FH610" s="28" t="n">
        <f aca="false">IF(ISNUMBER(AT610),DD610,0)</f>
        <v>0</v>
      </c>
      <c r="FI610" s="28" t="n">
        <f aca="false">IF(ISNUMBER(AX610),DE610,0)</f>
        <v>0</v>
      </c>
      <c r="FJ610" s="28" t="n">
        <f aca="false">IF(ISNUMBER(BB610),DF610,0)</f>
        <v>0</v>
      </c>
      <c r="FK610" s="28" t="n">
        <f aca="false">IF(ISNUMBER(BF610),DG610,0)</f>
        <v>0</v>
      </c>
      <c r="FL610" s="28" t="n">
        <f aca="false">IF(ISNUMBER(BJ610),DH610,0)</f>
        <v>0</v>
      </c>
      <c r="FM610" s="28" t="n">
        <f aca="false">IF(ISNUMBER(BN610),DI610,0)</f>
        <v>0</v>
      </c>
      <c r="FN610" s="28" t="n">
        <f aca="false">IF(ISNUMBER(BR610),DJ610,0)</f>
        <v>0</v>
      </c>
      <c r="FO610" s="28" t="str">
        <f aca="false">IFERROR(INDEX(Lists!$G$2:$G$20,MATCH($I610&amp;"|"&amp;$J610,Lists!$F$2:$F$20,0)),"")</f>
        <v/>
      </c>
    </row>
  </sheetData>
  <sheetProtection sheet="true" formatColumns="false" formatRows="false" sort="false" autoFilter="false"/>
  <autoFilter ref="A10:BT610"/>
  <mergeCells count="43">
    <mergeCell ref="A3:B3"/>
    <mergeCell ref="C3:F3"/>
    <mergeCell ref="A4:B4"/>
    <mergeCell ref="C4:F4"/>
    <mergeCell ref="A5:B5"/>
    <mergeCell ref="C5:F5"/>
    <mergeCell ref="G5:I5"/>
    <mergeCell ref="J5:M5"/>
    <mergeCell ref="N5:P5"/>
    <mergeCell ref="C6:D6"/>
    <mergeCell ref="E6:G6"/>
    <mergeCell ref="H6:I6"/>
    <mergeCell ref="A8:J9"/>
    <mergeCell ref="K8:P8"/>
    <mergeCell ref="Q8:T8"/>
    <mergeCell ref="U8:X8"/>
    <mergeCell ref="Y8:AB8"/>
    <mergeCell ref="AC8:AF8"/>
    <mergeCell ref="AG8:AJ8"/>
    <mergeCell ref="AK8:AN8"/>
    <mergeCell ref="AO8:AR8"/>
    <mergeCell ref="AS8:AV8"/>
    <mergeCell ref="AW8:AZ8"/>
    <mergeCell ref="BA8:BD8"/>
    <mergeCell ref="BE8:BH8"/>
    <mergeCell ref="BI8:BL8"/>
    <mergeCell ref="BM8:BP8"/>
    <mergeCell ref="BQ8:BT8"/>
    <mergeCell ref="K9:P9"/>
    <mergeCell ref="Q9:T9"/>
    <mergeCell ref="U9:X9"/>
    <mergeCell ref="Y9:AB9"/>
    <mergeCell ref="AC9:AF9"/>
    <mergeCell ref="AG9:AJ9"/>
    <mergeCell ref="AK9:AN9"/>
    <mergeCell ref="AO9:AR9"/>
    <mergeCell ref="AS9:AV9"/>
    <mergeCell ref="AW9:AZ9"/>
    <mergeCell ref="BA9:BD9"/>
    <mergeCell ref="BE9:BH9"/>
    <mergeCell ref="BI9:BL9"/>
    <mergeCell ref="BM9:BP9"/>
    <mergeCell ref="BQ9:BT9"/>
  </mergeCells>
  <conditionalFormatting sqref="A11:BT610">
    <cfRule type="expression" priority="2" aboveAverage="0" equalAverage="0" bottom="0" percent="0" rank="0" text="" dxfId="20">
      <formula>AND($H11&lt;&gt;"",OR($H11&lt;&gt;$A$4,$I11&lt;&gt;$C$4,AND(NOT($G$4="SL/HL"),$J11&lt;&gt;$G$4)))</formula>
    </cfRule>
  </conditionalFormatting>
  <conditionalFormatting sqref="K11:K610">
    <cfRule type="expression" priority="3" aboveAverage="0" equalAverage="0" bottom="0" percent="0" rank="0" text="" dxfId="21">
      <formula>AND(ISNUMBER(K11),K11&gt;=0)</formula>
    </cfRule>
    <cfRule type="expression" priority="4" aboveAverage="0" equalAverage="0" bottom="0" percent="0" rank="0" text="" dxfId="22">
      <formula>AND(ISNUMBER(K11),K11&lt;=-2)</formula>
    </cfRule>
    <cfRule type="expression" priority="5" aboveAverage="0" equalAverage="0" bottom="0" percent="0" rank="0" text="" dxfId="23">
      <formula>AND(ISNUMBER(K11),K11&lt;=-1)</formula>
    </cfRule>
    <cfRule type="expression" priority="6" aboveAverage="0" equalAverage="0" bottom="0" percent="0" rank="0" text="" dxfId="24">
      <formula>AND(ISNUMBER(K11),K11&lt;0)</formula>
    </cfRule>
  </conditionalFormatting>
  <conditionalFormatting sqref="T11:T610">
    <cfRule type="expression" priority="7" aboveAverage="0" equalAverage="0" bottom="0" percent="0" rank="0" text="" dxfId="21">
      <formula>AND(ISNUMBER(T11),T11&gt;=0)</formula>
    </cfRule>
    <cfRule type="expression" priority="8" aboveAverage="0" equalAverage="0" bottom="0" percent="0" rank="0" text="" dxfId="22">
      <formula>AND(ISNUMBER(T11),T11&lt;=-2)</formula>
    </cfRule>
    <cfRule type="expression" priority="9" aboveAverage="0" equalAverage="0" bottom="0" percent="0" rank="0" text="" dxfId="23">
      <formula>AND(ISNUMBER(T11),T11&lt;=-1)</formula>
    </cfRule>
    <cfRule type="expression" priority="10" aboveAverage="0" equalAverage="0" bottom="0" percent="0" rank="0" text="" dxfId="24">
      <formula>AND(ISNUMBER(T11),T11&lt;0)</formula>
    </cfRule>
  </conditionalFormatting>
  <conditionalFormatting sqref="X11:X610">
    <cfRule type="expression" priority="11" aboveAverage="0" equalAverage="0" bottom="0" percent="0" rank="0" text="" dxfId="21">
      <formula>AND(ISNUMBER(X11),X11&gt;=0)</formula>
    </cfRule>
    <cfRule type="expression" priority="12" aboveAverage="0" equalAverage="0" bottom="0" percent="0" rank="0" text="" dxfId="22">
      <formula>AND(ISNUMBER(X11),X11&lt;=-2)</formula>
    </cfRule>
    <cfRule type="expression" priority="13" aboveAverage="0" equalAverage="0" bottom="0" percent="0" rank="0" text="" dxfId="23">
      <formula>AND(ISNUMBER(X11),X11&lt;=-1)</formula>
    </cfRule>
    <cfRule type="expression" priority="14" aboveAverage="0" equalAverage="0" bottom="0" percent="0" rank="0" text="" dxfId="24">
      <formula>AND(ISNUMBER(X11),X11&lt;0)</formula>
    </cfRule>
  </conditionalFormatting>
  <conditionalFormatting sqref="AB11:AB610">
    <cfRule type="expression" priority="15" aboveAverage="0" equalAverage="0" bottom="0" percent="0" rank="0" text="" dxfId="21">
      <formula>AND(ISNUMBER(AB11),AB11&gt;=0)</formula>
    </cfRule>
    <cfRule type="expression" priority="16" aboveAverage="0" equalAverage="0" bottom="0" percent="0" rank="0" text="" dxfId="22">
      <formula>AND(ISNUMBER(AB11),AB11&lt;=-2)</formula>
    </cfRule>
    <cfRule type="expression" priority="17" aboveAverage="0" equalAverage="0" bottom="0" percent="0" rank="0" text="" dxfId="23">
      <formula>AND(ISNUMBER(AB11),AB11&lt;=-1)</formula>
    </cfRule>
    <cfRule type="expression" priority="18" aboveAverage="0" equalAverage="0" bottom="0" percent="0" rank="0" text="" dxfId="24">
      <formula>AND(ISNUMBER(AB11),AB11&lt;0)</formula>
    </cfRule>
  </conditionalFormatting>
  <conditionalFormatting sqref="AF11:AF610">
    <cfRule type="expression" priority="19" aboveAverage="0" equalAverage="0" bottom="0" percent="0" rank="0" text="" dxfId="21">
      <formula>AND(ISNUMBER(AF11),AF11&gt;=0)</formula>
    </cfRule>
    <cfRule type="expression" priority="20" aboveAverage="0" equalAverage="0" bottom="0" percent="0" rank="0" text="" dxfId="22">
      <formula>AND(ISNUMBER(AF11),AF11&lt;=-2)</formula>
    </cfRule>
    <cfRule type="expression" priority="21" aboveAverage="0" equalAverage="0" bottom="0" percent="0" rank="0" text="" dxfId="23">
      <formula>AND(ISNUMBER(AF11),AF11&lt;=-1)</formula>
    </cfRule>
    <cfRule type="expression" priority="22" aboveAverage="0" equalAverage="0" bottom="0" percent="0" rank="0" text="" dxfId="24">
      <formula>AND(ISNUMBER(AF11),AF11&lt;0)</formula>
    </cfRule>
  </conditionalFormatting>
  <conditionalFormatting sqref="AJ11:AJ610">
    <cfRule type="expression" priority="23" aboveAverage="0" equalAverage="0" bottom="0" percent="0" rank="0" text="" dxfId="21">
      <formula>AND(ISNUMBER(AJ11),AJ11&gt;=0)</formula>
    </cfRule>
    <cfRule type="expression" priority="24" aboveAverage="0" equalAverage="0" bottom="0" percent="0" rank="0" text="" dxfId="22">
      <formula>AND(ISNUMBER(AJ11),AJ11&lt;=-2)</formula>
    </cfRule>
    <cfRule type="expression" priority="25" aboveAverage="0" equalAverage="0" bottom="0" percent="0" rank="0" text="" dxfId="23">
      <formula>AND(ISNUMBER(AJ11),AJ11&lt;=-1)</formula>
    </cfRule>
    <cfRule type="expression" priority="26" aboveAverage="0" equalAverage="0" bottom="0" percent="0" rank="0" text="" dxfId="24">
      <formula>AND(ISNUMBER(AJ11),AJ11&lt;0)</formula>
    </cfRule>
  </conditionalFormatting>
  <conditionalFormatting sqref="AN11:AN610">
    <cfRule type="expression" priority="27" aboveAverage="0" equalAverage="0" bottom="0" percent="0" rank="0" text="" dxfId="21">
      <formula>AND(ISNUMBER(AN11),AN11&gt;=0)</formula>
    </cfRule>
    <cfRule type="expression" priority="28" aboveAverage="0" equalAverage="0" bottom="0" percent="0" rank="0" text="" dxfId="22">
      <formula>AND(ISNUMBER(AN11),AN11&lt;=-2)</formula>
    </cfRule>
    <cfRule type="expression" priority="29" aboveAverage="0" equalAverage="0" bottom="0" percent="0" rank="0" text="" dxfId="23">
      <formula>AND(ISNUMBER(AN11),AN11&lt;=-1)</formula>
    </cfRule>
    <cfRule type="expression" priority="30" aboveAverage="0" equalAverage="0" bottom="0" percent="0" rank="0" text="" dxfId="24">
      <formula>AND(ISNUMBER(AN11),AN11&lt;0)</formula>
    </cfRule>
  </conditionalFormatting>
  <conditionalFormatting sqref="AR11:AR610">
    <cfRule type="expression" priority="31" aboveAverage="0" equalAverage="0" bottom="0" percent="0" rank="0" text="" dxfId="21">
      <formula>AND(ISNUMBER(AR11),AR11&gt;=0)</formula>
    </cfRule>
    <cfRule type="expression" priority="32" aboveAverage="0" equalAverage="0" bottom="0" percent="0" rank="0" text="" dxfId="22">
      <formula>AND(ISNUMBER(AR11),AR11&lt;=-2)</formula>
    </cfRule>
    <cfRule type="expression" priority="33" aboveAverage="0" equalAverage="0" bottom="0" percent="0" rank="0" text="" dxfId="23">
      <formula>AND(ISNUMBER(AR11),AR11&lt;=-1)</formula>
    </cfRule>
    <cfRule type="expression" priority="34" aboveAverage="0" equalAverage="0" bottom="0" percent="0" rank="0" text="" dxfId="24">
      <formula>AND(ISNUMBER(AR11),AR11&lt;0)</formula>
    </cfRule>
  </conditionalFormatting>
  <conditionalFormatting sqref="AV11:AV610">
    <cfRule type="expression" priority="35" aboveAverage="0" equalAverage="0" bottom="0" percent="0" rank="0" text="" dxfId="21">
      <formula>AND(ISNUMBER(AV11),AV11&gt;=0)</formula>
    </cfRule>
    <cfRule type="expression" priority="36" aboveAverage="0" equalAverage="0" bottom="0" percent="0" rank="0" text="" dxfId="22">
      <formula>AND(ISNUMBER(AV11),AV11&lt;=-2)</formula>
    </cfRule>
    <cfRule type="expression" priority="37" aboveAverage="0" equalAverage="0" bottom="0" percent="0" rank="0" text="" dxfId="23">
      <formula>AND(ISNUMBER(AV11),AV11&lt;=-1)</formula>
    </cfRule>
    <cfRule type="expression" priority="38" aboveAverage="0" equalAverage="0" bottom="0" percent="0" rank="0" text="" dxfId="24">
      <formula>AND(ISNUMBER(AV11),AV11&lt;0)</formula>
    </cfRule>
  </conditionalFormatting>
  <conditionalFormatting sqref="AZ11:AZ610">
    <cfRule type="expression" priority="39" aboveAverage="0" equalAverage="0" bottom="0" percent="0" rank="0" text="" dxfId="21">
      <formula>AND(ISNUMBER(AZ11),AZ11&gt;=0)</formula>
    </cfRule>
    <cfRule type="expression" priority="40" aboveAverage="0" equalAverage="0" bottom="0" percent="0" rank="0" text="" dxfId="22">
      <formula>AND(ISNUMBER(AZ11),AZ11&lt;=-2)</formula>
    </cfRule>
    <cfRule type="expression" priority="41" aboveAverage="0" equalAverage="0" bottom="0" percent="0" rank="0" text="" dxfId="23">
      <formula>AND(ISNUMBER(AZ11),AZ11&lt;=-1)</formula>
    </cfRule>
    <cfRule type="expression" priority="42" aboveAverage="0" equalAverage="0" bottom="0" percent="0" rank="0" text="" dxfId="24">
      <formula>AND(ISNUMBER(AZ11),AZ11&lt;0)</formula>
    </cfRule>
  </conditionalFormatting>
  <conditionalFormatting sqref="BD11:BD610">
    <cfRule type="expression" priority="43" aboveAverage="0" equalAverage="0" bottom="0" percent="0" rank="0" text="" dxfId="21">
      <formula>AND(ISNUMBER(BD11),BD11&gt;=0)</formula>
    </cfRule>
    <cfRule type="expression" priority="44" aboveAverage="0" equalAverage="0" bottom="0" percent="0" rank="0" text="" dxfId="22">
      <formula>AND(ISNUMBER(BD11),BD11&lt;=-2)</formula>
    </cfRule>
    <cfRule type="expression" priority="45" aboveAverage="0" equalAverage="0" bottom="0" percent="0" rank="0" text="" dxfId="23">
      <formula>AND(ISNUMBER(BD11),BD11&lt;=-1)</formula>
    </cfRule>
    <cfRule type="expression" priority="46" aboveAverage="0" equalAverage="0" bottom="0" percent="0" rank="0" text="" dxfId="24">
      <formula>AND(ISNUMBER(BD11),BD11&lt;0)</formula>
    </cfRule>
  </conditionalFormatting>
  <conditionalFormatting sqref="BH11:BH610">
    <cfRule type="expression" priority="47" aboveAverage="0" equalAverage="0" bottom="0" percent="0" rank="0" text="" dxfId="21">
      <formula>AND(ISNUMBER(BH11),BH11&gt;=0)</formula>
    </cfRule>
    <cfRule type="expression" priority="48" aboveAverage="0" equalAverage="0" bottom="0" percent="0" rank="0" text="" dxfId="22">
      <formula>AND(ISNUMBER(BH11),BH11&lt;=-2)</formula>
    </cfRule>
    <cfRule type="expression" priority="49" aboveAverage="0" equalAverage="0" bottom="0" percent="0" rank="0" text="" dxfId="23">
      <formula>AND(ISNUMBER(BH11),BH11&lt;=-1)</formula>
    </cfRule>
    <cfRule type="expression" priority="50" aboveAverage="0" equalAverage="0" bottom="0" percent="0" rank="0" text="" dxfId="24">
      <formula>AND(ISNUMBER(BH11),BH11&lt;0)</formula>
    </cfRule>
  </conditionalFormatting>
  <conditionalFormatting sqref="BL11:BL610">
    <cfRule type="expression" priority="51" aboveAverage="0" equalAverage="0" bottom="0" percent="0" rank="0" text="" dxfId="21">
      <formula>AND(ISNUMBER(BL11),BL11&gt;=0)</formula>
    </cfRule>
    <cfRule type="expression" priority="52" aboveAverage="0" equalAverage="0" bottom="0" percent="0" rank="0" text="" dxfId="22">
      <formula>AND(ISNUMBER(BL11),BL11&lt;=-2)</formula>
    </cfRule>
    <cfRule type="expression" priority="53" aboveAverage="0" equalAverage="0" bottom="0" percent="0" rank="0" text="" dxfId="23">
      <formula>AND(ISNUMBER(BL11),BL11&lt;=-1)</formula>
    </cfRule>
    <cfRule type="expression" priority="54" aboveAverage="0" equalAverage="0" bottom="0" percent="0" rank="0" text="" dxfId="24">
      <formula>AND(ISNUMBER(BL11),BL11&lt;0)</formula>
    </cfRule>
  </conditionalFormatting>
  <conditionalFormatting sqref="BP11:BP610">
    <cfRule type="expression" priority="55" aboveAverage="0" equalAverage="0" bottom="0" percent="0" rank="0" text="" dxfId="21">
      <formula>AND(ISNUMBER(BP11),BP11&gt;=0)</formula>
    </cfRule>
    <cfRule type="expression" priority="56" aboveAverage="0" equalAverage="0" bottom="0" percent="0" rank="0" text="" dxfId="22">
      <formula>AND(ISNUMBER(BP11),BP11&lt;=-2)</formula>
    </cfRule>
    <cfRule type="expression" priority="57" aboveAverage="0" equalAverage="0" bottom="0" percent="0" rank="0" text="" dxfId="23">
      <formula>AND(ISNUMBER(BP11),BP11&lt;=-1)</formula>
    </cfRule>
    <cfRule type="expression" priority="58" aboveAverage="0" equalAverage="0" bottom="0" percent="0" rank="0" text="" dxfId="24">
      <formula>AND(ISNUMBER(BP11),BP11&lt;0)</formula>
    </cfRule>
  </conditionalFormatting>
  <conditionalFormatting sqref="BT11:BT610">
    <cfRule type="expression" priority="59" aboveAverage="0" equalAverage="0" bottom="0" percent="0" rank="0" text="" dxfId="21">
      <formula>AND(ISNUMBER(BT11),BT11&gt;=0)</formula>
    </cfRule>
    <cfRule type="expression" priority="60" aboveAverage="0" equalAverage="0" bottom="0" percent="0" rank="0" text="" dxfId="22">
      <formula>AND(ISNUMBER(BT11),BT11&lt;=-2)</formula>
    </cfRule>
    <cfRule type="expression" priority="61" aboveAverage="0" equalAverage="0" bottom="0" percent="0" rank="0" text="" dxfId="23">
      <formula>AND(ISNUMBER(BT11),BT11&lt;=-1)</formula>
    </cfRule>
    <cfRule type="expression" priority="62" aboveAverage="0" equalAverage="0" bottom="0" percent="0" rank="0" text="" dxfId="24">
      <formula>AND(ISNUMBER(BT11),BT11&lt;0)</formula>
    </cfRule>
  </conditionalFormatting>
  <conditionalFormatting sqref="P11:P610">
    <cfRule type="expression" priority="63" aboveAverage="0" equalAverage="0" bottom="0" percent="0" rank="0" text="" dxfId="21">
      <formula>LEFT(P11,8)="On/above"</formula>
    </cfRule>
    <cfRule type="expression" priority="64" aboveAverage="0" equalAverage="0" bottom="0" percent="0" rank="0" text="" dxfId="25">
      <formula>LEFT(P11,9)="Improving"</formula>
    </cfRule>
    <cfRule type="expression" priority="65" aboveAverage="0" equalAverage="0" bottom="0" percent="0" rank="0" text="" dxfId="26">
      <formula>LEFT(P11,6)="Stable"</formula>
    </cfRule>
    <cfRule type="expression" priority="66" aboveAverage="0" equalAverage="0" bottom="0" percent="0" rank="0" text="" dxfId="22">
      <formula>LEFT(P11,9)="Declining"</formula>
    </cfRule>
  </conditionalFormatting>
  <dataValidations count="23">
    <dataValidation allowBlank="false" errorStyle="stop" operator="between" showDropDown="false" showErrorMessage="false" showInputMessage="false" sqref="A4" type="list">
      <formula1>Lists!$A$2:$A$5</formula1>
      <formula2>0</formula2>
    </dataValidation>
    <dataValidation allowBlank="false" errorStyle="stop" operator="between" showDropDown="false" showErrorMessage="false" showInputMessage="false" sqref="C4" type="list">
      <formula1>Lists!$B$2:$B$5</formula1>
      <formula2>0</formula2>
    </dataValidation>
    <dataValidation allowBlank="false" errorStyle="stop" operator="between" showDropDown="false" showErrorMessage="false" showInputMessage="false" sqref="G4" type="list">
      <formula1>Lists!$C$2:$C$4</formula1>
      <formula2>0</formula2>
    </dataValidation>
    <dataValidation allowBlank="false" errorStyle="stop" operator="between" showDropDown="false" showErrorMessage="false" showInputMessage="false" sqref="H11:H610" type="list">
      <formula1>Lists!$A$2:$A$5</formula1>
      <formula2>0</formula2>
    </dataValidation>
    <dataValidation allowBlank="false" errorStyle="stop" operator="between" showDropDown="false" showErrorMessage="false" showInputMessage="false" sqref="I11:I610" type="list">
      <formula1>Lists!$B$2:$B$5</formula1>
      <formula2>0</formula2>
    </dataValidation>
    <dataValidation allowBlank="false" errorStyle="stop" operator="between" showDropDown="false" showErrorMessage="false" showInputMessage="false" sqref="J11:J610" type="list">
      <formula1>Lists!$C$2:$C$3</formula1>
      <formula2>0</formula2>
    </dataValidation>
    <dataValidation allowBlank="true" errorStyle="stop" operator="between" showDropDown="false" showErrorMessage="false" showInputMessage="false" sqref="G11:G610" type="list">
      <formula1>Lists!$D$2:$D$10</formula1>
      <formula2>0</formula2>
    </dataValidation>
    <dataValidation allowBlank="true" errorStyle="stop" operator="between" showDropDown="false" showErrorMessage="false" showInputMessage="false" sqref="F11:F610" type="whole">
      <formula1>1</formula1>
      <formula2>7</formula2>
    </dataValidation>
    <dataValidation allowBlank="true" errorStyle="stop" operator="between" showDropDown="false" showErrorMessage="false" showInputMessage="false" sqref="E11:E610" type="decimal">
      <formula1>0</formula1>
      <formula2>7</formula2>
    </dataValidation>
    <dataValidation allowBlank="true" error="Enter a mark between 0 and the maximum shown in the heading." errorStyle="stop" errorTitle="Mark out of range" operator="between" showDropDown="false" showErrorMessage="true" showInputMessage="false" sqref="Q11:Q610" type="custom">
      <formula1>AND(ISNUMBER(Q11),Q11&gt;=0,Q11&lt;=N(BU11))</formula1>
      <formula2>0</formula2>
    </dataValidation>
    <dataValidation allowBlank="true" error="Enter a mark between 0 and the maximum shown in the heading." errorStyle="stop" errorTitle="Mark out of range" operator="between" showDropDown="false" showErrorMessage="true" showInputMessage="false" sqref="U11:U610" type="custom">
      <formula1>AND(ISNUMBER(U11),U11&gt;=0,U11&lt;=N(BV11))</formula1>
      <formula2>0</formula2>
    </dataValidation>
    <dataValidation allowBlank="true" error="Enter a mark between 0 and the maximum shown in the heading." errorStyle="stop" errorTitle="Mark out of range" operator="between" showDropDown="false" showErrorMessage="true" showInputMessage="false" sqref="Y11:Y610" type="custom">
      <formula1>AND(ISNUMBER(Y11),Y11&gt;=0,Y11&lt;=N(BW11))</formula1>
      <formula2>0</formula2>
    </dataValidation>
    <dataValidation allowBlank="true" error="Enter a mark between 0 and the maximum shown in the heading." errorStyle="stop" errorTitle="Mark out of range" operator="between" showDropDown="false" showErrorMessage="true" showInputMessage="false" sqref="AC11:AC610" type="custom">
      <formula1>AND(ISNUMBER(AC11),AC11&gt;=0,AC11&lt;=N(BX11))</formula1>
      <formula2>0</formula2>
    </dataValidation>
    <dataValidation allowBlank="true" error="Enter a mark between 0 and the maximum shown in the heading." errorStyle="stop" errorTitle="Mark out of range" operator="between" showDropDown="false" showErrorMessage="true" showInputMessage="false" sqref="AG11:AG610" type="custom">
      <formula1>AND(ISNUMBER(AG11),AG11&gt;=0,AG11&lt;=N(BY11))</formula1>
      <formula2>0</formula2>
    </dataValidation>
    <dataValidation allowBlank="true" error="Enter a mark between 0 and the maximum shown in the heading." errorStyle="stop" errorTitle="Mark out of range" operator="between" showDropDown="false" showErrorMessage="true" showInputMessage="false" sqref="AK11:AK610" type="custom">
      <formula1>AND(ISNUMBER(AK11),AK11&gt;=0,AK11&lt;=N(BZ11))</formula1>
      <formula2>0</formula2>
    </dataValidation>
    <dataValidation allowBlank="true" error="Enter a mark between 0 and the maximum shown in the heading." errorStyle="stop" errorTitle="Mark out of range" operator="between" showDropDown="false" showErrorMessage="true" showInputMessage="false" sqref="AO11:AO610" type="custom">
      <formula1>AND(ISNUMBER(AO11),AO11&gt;=0,AO11&lt;=N(CA11))</formula1>
      <formula2>0</formula2>
    </dataValidation>
    <dataValidation allowBlank="true" error="Enter a mark between 0 and the maximum shown in the heading." errorStyle="stop" errorTitle="Mark out of range" operator="between" showDropDown="false" showErrorMessage="true" showInputMessage="false" sqref="AS11:AS610" type="custom">
      <formula1>AND(ISNUMBER(AS11),AS11&gt;=0,AS11&lt;=N(CB11))</formula1>
      <formula2>0</formula2>
    </dataValidation>
    <dataValidation allowBlank="true" error="Enter a mark between 0 and the maximum shown in the heading." errorStyle="stop" errorTitle="Mark out of range" operator="between" showDropDown="false" showErrorMessage="true" showInputMessage="false" sqref="AW11:AW610" type="custom">
      <formula1>AND(ISNUMBER(AW11),AW11&gt;=0,AW11&lt;=N(CC11))</formula1>
      <formula2>0</formula2>
    </dataValidation>
    <dataValidation allowBlank="true" error="Enter a mark between 0 and the maximum shown in the heading." errorStyle="stop" errorTitle="Mark out of range" operator="between" showDropDown="false" showErrorMessage="true" showInputMessage="false" sqref="BA11:BA610" type="custom">
      <formula1>AND(ISNUMBER(BA11),BA11&gt;=0,BA11&lt;=N(CD11))</formula1>
      <formula2>0</formula2>
    </dataValidation>
    <dataValidation allowBlank="true" error="Enter a mark between 0 and the maximum shown in the heading." errorStyle="stop" errorTitle="Mark out of range" operator="between" showDropDown="false" showErrorMessage="true" showInputMessage="false" sqref="BE11:BE610" type="custom">
      <formula1>AND(ISNUMBER(BE11),BE11&gt;=0,BE11&lt;=N(CE11))</formula1>
      <formula2>0</formula2>
    </dataValidation>
    <dataValidation allowBlank="true" error="Enter a mark between 0 and the maximum shown in the heading." errorStyle="stop" errorTitle="Mark out of range" operator="between" showDropDown="false" showErrorMessage="true" showInputMessage="false" sqref="BI11:BI610" type="custom">
      <formula1>AND(ISNUMBER(BI11),BI11&gt;=0,BI11&lt;=N(CF11))</formula1>
      <formula2>0</formula2>
    </dataValidation>
    <dataValidation allowBlank="true" error="Enter a mark between 0 and the maximum shown in the heading." errorStyle="stop" errorTitle="Mark out of range" operator="between" showDropDown="false" showErrorMessage="true" showInputMessage="false" sqref="BM11:BM610" type="custom">
      <formula1>AND(ISNUMBER(BM11),BM11&gt;=0,BM11&lt;=N(CG11))</formula1>
      <formula2>0</formula2>
    </dataValidation>
    <dataValidation allowBlank="true" error="Enter a mark between 0 and the maximum shown in the heading." errorStyle="stop" errorTitle="Mark out of range" operator="between" showDropDown="false" showErrorMessage="true" showInputMessage="false" sqref="BQ11:BQ610" type="custom">
      <formula1>AND(ISNUMBER(BQ11),BQ11&gt;=0,BQ11&lt;=N(CH11))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9"/>
    <col collapsed="false" customWidth="true" hidden="false" outlineLevel="0" max="4" min="4" style="0" width="11"/>
    <col collapsed="false" customWidth="true" hidden="false" outlineLevel="0" max="14" min="5" style="0" width="9"/>
    <col collapsed="false" customWidth="true" hidden="false" outlineLevel="0" max="15" min="15" style="0" width="11"/>
  </cols>
  <sheetData>
    <row r="1" customFormat="false" ht="22.05" hidden="false" customHeight="false" outlineLevel="0" collapsed="false">
      <c r="A1" s="4" t="s">
        <v>681</v>
      </c>
    </row>
    <row r="2" customFormat="false" ht="15" hidden="false" customHeight="false" outlineLevel="0" collapsed="false">
      <c r="A2" s="5" t="s">
        <v>682</v>
      </c>
    </row>
    <row r="4" customFormat="false" ht="30" hidden="false" customHeight="true" outlineLevel="0" collapsed="false">
      <c r="A4" s="23" t="s">
        <v>33</v>
      </c>
      <c r="B4" s="23" t="s">
        <v>34</v>
      </c>
      <c r="C4" s="23" t="s">
        <v>36</v>
      </c>
      <c r="D4" s="23" t="s">
        <v>39</v>
      </c>
      <c r="E4" s="23" t="s">
        <v>683</v>
      </c>
      <c r="F4" s="23" t="s">
        <v>684</v>
      </c>
      <c r="G4" s="23" t="s">
        <v>685</v>
      </c>
      <c r="H4" s="23" t="s">
        <v>686</v>
      </c>
      <c r="I4" s="23" t="s">
        <v>687</v>
      </c>
      <c r="J4" s="23" t="s">
        <v>688</v>
      </c>
      <c r="K4" s="23" t="s">
        <v>689</v>
      </c>
      <c r="L4" s="23" t="s">
        <v>690</v>
      </c>
      <c r="M4" s="23" t="s">
        <v>691</v>
      </c>
      <c r="N4" s="23" t="s">
        <v>692</v>
      </c>
      <c r="O4" s="23" t="s">
        <v>40</v>
      </c>
    </row>
    <row r="5" customFormat="false" ht="15" hidden="false" customHeight="false" outlineLevel="0" collapsed="false">
      <c r="A5" s="43" t="s">
        <v>693</v>
      </c>
      <c r="B5" s="43" t="s">
        <v>694</v>
      </c>
      <c r="C5" s="44" t="s">
        <v>625</v>
      </c>
      <c r="D5" s="44"/>
      <c r="E5" s="44"/>
      <c r="F5" s="44"/>
      <c r="G5" s="44" t="s">
        <v>695</v>
      </c>
      <c r="H5" s="44" t="s">
        <v>696</v>
      </c>
      <c r="I5" s="44"/>
      <c r="J5" s="44"/>
      <c r="K5" s="44" t="s">
        <v>697</v>
      </c>
      <c r="L5" s="44" t="s">
        <v>697</v>
      </c>
      <c r="M5" s="44"/>
      <c r="N5" s="44"/>
      <c r="O5" s="44" t="s">
        <v>23</v>
      </c>
    </row>
    <row r="6" customFormat="false" ht="15" hidden="false" customHeight="false" outlineLevel="0" collapsed="false">
      <c r="A6" s="43" t="s">
        <v>698</v>
      </c>
      <c r="B6" s="43" t="s">
        <v>699</v>
      </c>
      <c r="C6" s="44" t="s">
        <v>625</v>
      </c>
      <c r="D6" s="44"/>
      <c r="E6" s="44"/>
      <c r="F6" s="44"/>
      <c r="G6" s="44" t="s">
        <v>697</v>
      </c>
      <c r="H6" s="44" t="s">
        <v>697</v>
      </c>
      <c r="I6" s="44"/>
      <c r="J6" s="44"/>
      <c r="K6" s="44" t="s">
        <v>697</v>
      </c>
      <c r="L6" s="44" t="s">
        <v>697</v>
      </c>
      <c r="M6" s="44"/>
      <c r="N6" s="44"/>
      <c r="O6" s="44" t="s">
        <v>23</v>
      </c>
    </row>
    <row r="7" customFormat="false" ht="15" hidden="false" customHeight="false" outlineLevel="0" collapsed="false">
      <c r="A7" s="43" t="s">
        <v>693</v>
      </c>
      <c r="B7" s="43" t="s">
        <v>694</v>
      </c>
      <c r="C7" s="44" t="s">
        <v>364</v>
      </c>
      <c r="D7" s="44"/>
      <c r="E7" s="44" t="s">
        <v>697</v>
      </c>
      <c r="F7" s="44" t="s">
        <v>695</v>
      </c>
      <c r="G7" s="44"/>
      <c r="H7" s="44"/>
      <c r="I7" s="44" t="s">
        <v>697</v>
      </c>
      <c r="J7" s="44" t="s">
        <v>697</v>
      </c>
      <c r="K7" s="44"/>
      <c r="L7" s="44"/>
      <c r="M7" s="44"/>
      <c r="N7" s="44"/>
      <c r="O7" s="44" t="s">
        <v>23</v>
      </c>
    </row>
    <row r="8" customFormat="false" ht="15" hidden="false" customHeight="false" outlineLevel="0" collapsed="false">
      <c r="A8" s="43" t="s">
        <v>698</v>
      </c>
      <c r="B8" s="43" t="s">
        <v>699</v>
      </c>
      <c r="C8" s="44" t="s">
        <v>364</v>
      </c>
      <c r="D8" s="44"/>
      <c r="E8" s="44" t="s">
        <v>697</v>
      </c>
      <c r="F8" s="44" t="s">
        <v>697</v>
      </c>
      <c r="G8" s="44"/>
      <c r="H8" s="44"/>
      <c r="I8" s="44" t="s">
        <v>697</v>
      </c>
      <c r="J8" s="44" t="s">
        <v>697</v>
      </c>
      <c r="K8" s="44"/>
      <c r="L8" s="44"/>
      <c r="M8" s="44"/>
      <c r="N8" s="44"/>
      <c r="O8" s="44" t="s">
        <v>23</v>
      </c>
    </row>
    <row r="9" customFormat="false" ht="15" hidden="false" customHeight="false" outlineLevel="0" collapsed="false">
      <c r="A9" s="43" t="s">
        <v>693</v>
      </c>
      <c r="B9" s="43" t="s">
        <v>694</v>
      </c>
      <c r="C9" s="44" t="s">
        <v>625</v>
      </c>
      <c r="D9" s="44"/>
      <c r="E9" s="44"/>
      <c r="F9" s="44"/>
      <c r="G9" s="44" t="s">
        <v>695</v>
      </c>
      <c r="H9" s="44" t="s">
        <v>696</v>
      </c>
      <c r="I9" s="44"/>
      <c r="J9" s="44"/>
      <c r="K9" s="44" t="s">
        <v>697</v>
      </c>
      <c r="L9" s="44" t="s">
        <v>697</v>
      </c>
      <c r="M9" s="44"/>
      <c r="N9" s="44"/>
      <c r="O9" s="44" t="s">
        <v>428</v>
      </c>
    </row>
    <row r="10" customFormat="false" ht="15" hidden="false" customHeight="false" outlineLevel="0" collapsed="false">
      <c r="A10" s="43" t="s">
        <v>698</v>
      </c>
      <c r="B10" s="43" t="s">
        <v>699</v>
      </c>
      <c r="C10" s="44" t="s">
        <v>625</v>
      </c>
      <c r="D10" s="44"/>
      <c r="E10" s="44"/>
      <c r="F10" s="44"/>
      <c r="G10" s="44" t="s">
        <v>697</v>
      </c>
      <c r="H10" s="44" t="s">
        <v>697</v>
      </c>
      <c r="I10" s="44"/>
      <c r="J10" s="44"/>
      <c r="K10" s="44" t="s">
        <v>697</v>
      </c>
      <c r="L10" s="44" t="s">
        <v>697</v>
      </c>
      <c r="M10" s="44"/>
      <c r="N10" s="44"/>
      <c r="O10" s="44" t="s">
        <v>428</v>
      </c>
    </row>
    <row r="11" customFormat="false" ht="15" hidden="false" customHeight="false" outlineLevel="0" collapsed="false">
      <c r="A11" s="43" t="s">
        <v>693</v>
      </c>
      <c r="B11" s="43" t="s">
        <v>694</v>
      </c>
      <c r="C11" s="44" t="s">
        <v>364</v>
      </c>
      <c r="D11" s="44"/>
      <c r="E11" s="44" t="s">
        <v>697</v>
      </c>
      <c r="F11" s="44" t="s">
        <v>695</v>
      </c>
      <c r="G11" s="44"/>
      <c r="H11" s="44"/>
      <c r="I11" s="44" t="s">
        <v>697</v>
      </c>
      <c r="J11" s="44" t="s">
        <v>697</v>
      </c>
      <c r="K11" s="44"/>
      <c r="L11" s="44"/>
      <c r="M11" s="44"/>
      <c r="N11" s="44"/>
      <c r="O11" s="44" t="s">
        <v>428</v>
      </c>
    </row>
    <row r="12" customFormat="false" ht="15" hidden="false" customHeight="false" outlineLevel="0" collapsed="false">
      <c r="A12" s="43" t="s">
        <v>698</v>
      </c>
      <c r="B12" s="43" t="s">
        <v>699</v>
      </c>
      <c r="C12" s="44" t="s">
        <v>364</v>
      </c>
      <c r="D12" s="44"/>
      <c r="E12" s="44" t="s">
        <v>697</v>
      </c>
      <c r="F12" s="44" t="s">
        <v>697</v>
      </c>
      <c r="G12" s="44"/>
      <c r="H12" s="44"/>
      <c r="I12" s="44" t="s">
        <v>697</v>
      </c>
      <c r="J12" s="44" t="s">
        <v>697</v>
      </c>
      <c r="K12" s="44"/>
      <c r="L12" s="44"/>
      <c r="M12" s="44"/>
      <c r="N12" s="44"/>
      <c r="O12" s="44" t="s">
        <v>428</v>
      </c>
    </row>
    <row r="13" customFormat="false" ht="15" hidden="false" customHeight="false" outlineLevel="0" collapsed="false">
      <c r="A13" s="43"/>
      <c r="B13" s="43"/>
      <c r="C13" s="44"/>
      <c r="D13" s="44"/>
      <c r="E13" s="44"/>
      <c r="F13" s="44"/>
      <c r="G13" s="44"/>
      <c r="H13" s="44"/>
      <c r="I13" s="44"/>
      <c r="J13" s="44"/>
      <c r="K13" s="44"/>
      <c r="L13" s="44"/>
      <c r="M13" s="44"/>
      <c r="N13" s="44"/>
      <c r="O13" s="44"/>
    </row>
    <row r="14" customFormat="false" ht="15" hidden="false" customHeight="false" outlineLevel="0" collapsed="false">
      <c r="A14" s="43"/>
      <c r="B14" s="43"/>
      <c r="C14" s="44"/>
      <c r="D14" s="44"/>
      <c r="E14" s="44"/>
      <c r="F14" s="44"/>
      <c r="G14" s="44"/>
      <c r="H14" s="44"/>
      <c r="I14" s="44"/>
      <c r="J14" s="44"/>
      <c r="K14" s="44"/>
      <c r="L14" s="44"/>
      <c r="M14" s="44"/>
      <c r="N14" s="44"/>
      <c r="O14" s="44"/>
    </row>
    <row r="15" customFormat="false" ht="15" hidden="false" customHeight="false" outlineLevel="0" collapsed="false">
      <c r="A15" s="43"/>
      <c r="B15" s="43"/>
      <c r="C15" s="44"/>
      <c r="D15" s="44"/>
      <c r="E15" s="44"/>
      <c r="F15" s="44"/>
      <c r="G15" s="44"/>
      <c r="H15" s="44"/>
      <c r="I15" s="44"/>
      <c r="J15" s="44"/>
      <c r="K15" s="44"/>
      <c r="L15" s="44"/>
      <c r="M15" s="44"/>
      <c r="N15" s="44"/>
      <c r="O15" s="44"/>
    </row>
    <row r="16" customFormat="false" ht="15" hidden="false" customHeight="false" outlineLevel="0" collapsed="false">
      <c r="A16" s="43"/>
      <c r="B16" s="43"/>
      <c r="C16" s="44"/>
      <c r="D16" s="44"/>
      <c r="E16" s="44"/>
      <c r="F16" s="44"/>
      <c r="G16" s="44"/>
      <c r="H16" s="44"/>
      <c r="I16" s="44"/>
      <c r="J16" s="44"/>
      <c r="K16" s="44"/>
      <c r="L16" s="44"/>
      <c r="M16" s="44"/>
      <c r="N16" s="44"/>
      <c r="O16" s="44"/>
    </row>
    <row r="17" customFormat="false" ht="15" hidden="false" customHeight="false" outlineLevel="0" collapsed="false">
      <c r="A17" s="43"/>
      <c r="B17" s="43"/>
      <c r="C17" s="44"/>
      <c r="D17" s="44"/>
      <c r="E17" s="44"/>
      <c r="F17" s="44"/>
      <c r="G17" s="44"/>
      <c r="H17" s="44"/>
      <c r="I17" s="44"/>
      <c r="J17" s="44"/>
      <c r="K17" s="44"/>
      <c r="L17" s="44"/>
      <c r="M17" s="44"/>
      <c r="N17" s="44"/>
      <c r="O17" s="44"/>
    </row>
    <row r="18" customFormat="false" ht="15" hidden="false" customHeight="false" outlineLevel="0" collapsed="false">
      <c r="A18" s="43"/>
      <c r="B18" s="43"/>
      <c r="C18" s="44"/>
      <c r="D18" s="44"/>
      <c r="E18" s="44"/>
      <c r="F18" s="44"/>
      <c r="G18" s="44"/>
      <c r="H18" s="44"/>
      <c r="I18" s="44"/>
      <c r="J18" s="44"/>
      <c r="K18" s="44"/>
      <c r="L18" s="44"/>
      <c r="M18" s="44"/>
      <c r="N18" s="44"/>
      <c r="O18" s="44"/>
    </row>
    <row r="19" customFormat="false" ht="15" hidden="false" customHeight="false" outlineLevel="0" collapsed="false">
      <c r="A19" s="43"/>
      <c r="B19" s="43"/>
      <c r="C19" s="44"/>
      <c r="D19" s="44"/>
      <c r="E19" s="44"/>
      <c r="F19" s="44"/>
      <c r="G19" s="44"/>
      <c r="H19" s="44"/>
      <c r="I19" s="44"/>
      <c r="J19" s="44"/>
      <c r="K19" s="44"/>
      <c r="L19" s="44"/>
      <c r="M19" s="44"/>
      <c r="N19" s="44"/>
      <c r="O19" s="44"/>
    </row>
    <row r="20" customFormat="false" ht="15" hidden="false" customHeight="false" outlineLevel="0" collapsed="false">
      <c r="A20" s="43"/>
      <c r="B20" s="43"/>
      <c r="C20" s="44"/>
      <c r="D20" s="44"/>
      <c r="E20" s="44"/>
      <c r="F20" s="44"/>
      <c r="G20" s="44"/>
      <c r="H20" s="44"/>
      <c r="I20" s="44"/>
      <c r="J20" s="44"/>
      <c r="K20" s="44"/>
      <c r="L20" s="44"/>
      <c r="M20" s="44"/>
      <c r="N20" s="44"/>
      <c r="O20" s="44"/>
    </row>
    <row r="21" customFormat="false" ht="15" hidden="false" customHeight="false" outlineLevel="0" collapsed="false">
      <c r="A21" s="43"/>
      <c r="B21" s="43"/>
      <c r="C21" s="44"/>
      <c r="D21" s="44"/>
      <c r="E21" s="44"/>
      <c r="F21" s="44"/>
      <c r="G21" s="44"/>
      <c r="H21" s="44"/>
      <c r="I21" s="44"/>
      <c r="J21" s="44"/>
      <c r="K21" s="44"/>
      <c r="L21" s="44"/>
      <c r="M21" s="44"/>
      <c r="N21" s="44"/>
      <c r="O21" s="44"/>
    </row>
    <row r="22" customFormat="false" ht="15" hidden="false" customHeight="false" outlineLevel="0" collapsed="false">
      <c r="A22" s="43"/>
      <c r="B22" s="43"/>
      <c r="C22" s="44"/>
      <c r="D22" s="44"/>
      <c r="E22" s="44"/>
      <c r="F22" s="44"/>
      <c r="G22" s="44"/>
      <c r="H22" s="44"/>
      <c r="I22" s="44"/>
      <c r="J22" s="44"/>
      <c r="K22" s="44"/>
      <c r="L22" s="44"/>
      <c r="M22" s="44"/>
      <c r="N22" s="44"/>
      <c r="O22" s="44"/>
    </row>
    <row r="23" customFormat="false" ht="15" hidden="false" customHeight="false" outlineLevel="0" collapsed="false">
      <c r="A23" s="43"/>
      <c r="B23" s="43"/>
      <c r="C23" s="44"/>
      <c r="D23" s="44"/>
      <c r="E23" s="44"/>
      <c r="F23" s="44"/>
      <c r="G23" s="44"/>
      <c r="H23" s="44"/>
      <c r="I23" s="44"/>
      <c r="J23" s="44"/>
      <c r="K23" s="44"/>
      <c r="L23" s="44"/>
      <c r="M23" s="44"/>
      <c r="N23" s="44"/>
      <c r="O23" s="44"/>
    </row>
    <row r="24" customFormat="false" ht="15" hidden="false" customHeight="false" outlineLevel="0" collapsed="false">
      <c r="A24" s="43"/>
      <c r="B24" s="43"/>
      <c r="C24" s="44"/>
      <c r="D24" s="44"/>
      <c r="E24" s="44"/>
      <c r="F24" s="44"/>
      <c r="G24" s="44"/>
      <c r="H24" s="44"/>
      <c r="I24" s="44"/>
      <c r="J24" s="44"/>
      <c r="K24" s="44"/>
      <c r="L24" s="44"/>
      <c r="M24" s="44"/>
      <c r="N24" s="44"/>
      <c r="O24" s="44"/>
    </row>
    <row r="25" customFormat="false" ht="15" hidden="false" customHeight="false" outlineLevel="0" collapsed="false">
      <c r="A25" s="43"/>
      <c r="B25" s="43"/>
      <c r="C25" s="44"/>
      <c r="D25" s="44"/>
      <c r="E25" s="44"/>
      <c r="F25" s="44"/>
      <c r="G25" s="44"/>
      <c r="H25" s="44"/>
      <c r="I25" s="44"/>
      <c r="J25" s="44"/>
      <c r="K25" s="44"/>
      <c r="L25" s="44"/>
      <c r="M25" s="44"/>
      <c r="N25" s="44"/>
      <c r="O25" s="44"/>
    </row>
    <row r="26" customFormat="false" ht="15" hidden="false" customHeight="false" outlineLevel="0" collapsed="false">
      <c r="A26" s="43"/>
      <c r="B26" s="43"/>
      <c r="C26" s="44"/>
      <c r="D26" s="44"/>
      <c r="E26" s="44"/>
      <c r="F26" s="44"/>
      <c r="G26" s="44"/>
      <c r="H26" s="44"/>
      <c r="I26" s="44"/>
      <c r="J26" s="44"/>
      <c r="K26" s="44"/>
      <c r="L26" s="44"/>
      <c r="M26" s="44"/>
      <c r="N26" s="44"/>
      <c r="O26" s="44"/>
    </row>
    <row r="27" customFormat="false" ht="15" hidden="false" customHeight="false" outlineLevel="0" collapsed="false">
      <c r="A27" s="43"/>
      <c r="B27" s="43"/>
      <c r="C27" s="44"/>
      <c r="D27" s="44"/>
      <c r="E27" s="44"/>
      <c r="F27" s="44"/>
      <c r="G27" s="44"/>
      <c r="H27" s="44"/>
      <c r="I27" s="44"/>
      <c r="J27" s="44"/>
      <c r="K27" s="44"/>
      <c r="L27" s="44"/>
      <c r="M27" s="44"/>
      <c r="N27" s="44"/>
      <c r="O27" s="44"/>
    </row>
    <row r="28" customFormat="false" ht="15" hidden="false" customHeight="false" outlineLevel="0" collapsed="false">
      <c r="A28" s="43"/>
      <c r="B28" s="43"/>
      <c r="C28" s="44"/>
      <c r="D28" s="44"/>
      <c r="E28" s="44"/>
      <c r="F28" s="44"/>
      <c r="G28" s="44"/>
      <c r="H28" s="44"/>
      <c r="I28" s="44"/>
      <c r="J28" s="44"/>
      <c r="K28" s="44"/>
      <c r="L28" s="44"/>
      <c r="M28" s="44"/>
      <c r="N28" s="44"/>
      <c r="O28" s="44"/>
    </row>
    <row r="29" customFormat="false" ht="15" hidden="false" customHeight="false" outlineLevel="0" collapsed="false">
      <c r="A29" s="43"/>
      <c r="B29" s="43"/>
      <c r="C29" s="44"/>
      <c r="D29" s="44"/>
      <c r="E29" s="44"/>
      <c r="F29" s="44"/>
      <c r="G29" s="44"/>
      <c r="H29" s="44"/>
      <c r="I29" s="44"/>
      <c r="J29" s="44"/>
      <c r="K29" s="44"/>
      <c r="L29" s="44"/>
      <c r="M29" s="44"/>
      <c r="N29" s="44"/>
      <c r="O29" s="44"/>
    </row>
    <row r="30" customFormat="false" ht="15" hidden="false" customHeight="false" outlineLevel="0" collapsed="false">
      <c r="A30" s="43"/>
      <c r="B30" s="43"/>
      <c r="C30" s="44"/>
      <c r="D30" s="44"/>
      <c r="E30" s="44"/>
      <c r="F30" s="44"/>
      <c r="G30" s="44"/>
      <c r="H30" s="44"/>
      <c r="I30" s="44"/>
      <c r="J30" s="44"/>
      <c r="K30" s="44"/>
      <c r="L30" s="44"/>
      <c r="M30" s="44"/>
      <c r="N30" s="44"/>
      <c r="O30" s="44"/>
    </row>
    <row r="31" customFormat="false" ht="15" hidden="false" customHeight="false" outlineLevel="0" collapsed="false">
      <c r="A31" s="43"/>
      <c r="B31" s="43"/>
      <c r="C31" s="44"/>
      <c r="D31" s="44"/>
      <c r="E31" s="44"/>
      <c r="F31" s="44"/>
      <c r="G31" s="44"/>
      <c r="H31" s="44"/>
      <c r="I31" s="44"/>
      <c r="J31" s="44"/>
      <c r="K31" s="44"/>
      <c r="L31" s="44"/>
      <c r="M31" s="44"/>
      <c r="N31" s="44"/>
      <c r="O31" s="44"/>
    </row>
    <row r="32" customFormat="false" ht="15" hidden="false" customHeight="false" outlineLevel="0" collapsed="false">
      <c r="A32" s="43"/>
      <c r="B32" s="43"/>
      <c r="C32" s="44"/>
      <c r="D32" s="44"/>
      <c r="E32" s="44"/>
      <c r="F32" s="44"/>
      <c r="G32" s="44"/>
      <c r="H32" s="44"/>
      <c r="I32" s="44"/>
      <c r="J32" s="44"/>
      <c r="K32" s="44"/>
      <c r="L32" s="44"/>
      <c r="M32" s="44"/>
      <c r="N32" s="44"/>
      <c r="O32" s="44"/>
    </row>
    <row r="33" customFormat="false" ht="15" hidden="false" customHeight="false" outlineLevel="0" collapsed="false">
      <c r="A33" s="43"/>
      <c r="B33" s="43"/>
      <c r="C33" s="44"/>
      <c r="D33" s="44"/>
      <c r="E33" s="44"/>
      <c r="F33" s="44"/>
      <c r="G33" s="44"/>
      <c r="H33" s="44"/>
      <c r="I33" s="44"/>
      <c r="J33" s="44"/>
      <c r="K33" s="44"/>
      <c r="L33" s="44"/>
      <c r="M33" s="44"/>
      <c r="N33" s="44"/>
      <c r="O33" s="44"/>
    </row>
    <row r="34" customFormat="false" ht="15" hidden="false" customHeight="false" outlineLevel="0" collapsed="false">
      <c r="A34" s="43"/>
      <c r="B34" s="43"/>
      <c r="C34" s="44"/>
      <c r="D34" s="44"/>
      <c r="E34" s="44"/>
      <c r="F34" s="44"/>
      <c r="G34" s="44"/>
      <c r="H34" s="44"/>
      <c r="I34" s="44"/>
      <c r="J34" s="44"/>
      <c r="K34" s="44"/>
      <c r="L34" s="44"/>
      <c r="M34" s="44"/>
      <c r="N34" s="44"/>
      <c r="O34" s="44"/>
    </row>
    <row r="35" customFormat="false" ht="15" hidden="false" customHeight="false" outlineLevel="0" collapsed="false">
      <c r="A35" s="43"/>
      <c r="B35" s="43"/>
      <c r="C35" s="44"/>
      <c r="D35" s="44"/>
      <c r="E35" s="44"/>
      <c r="F35" s="44"/>
      <c r="G35" s="44"/>
      <c r="H35" s="44"/>
      <c r="I35" s="44"/>
      <c r="J35" s="44"/>
      <c r="K35" s="44"/>
      <c r="L35" s="44"/>
      <c r="M35" s="44"/>
      <c r="N35" s="44"/>
      <c r="O35" s="44"/>
    </row>
    <row r="36" customFormat="false" ht="15" hidden="false" customHeight="false" outlineLevel="0" collapsed="false">
      <c r="A36" s="43"/>
      <c r="B36" s="43"/>
      <c r="C36" s="44"/>
      <c r="D36" s="44"/>
      <c r="E36" s="44"/>
      <c r="F36" s="44"/>
      <c r="G36" s="44"/>
      <c r="H36" s="44"/>
      <c r="I36" s="44"/>
      <c r="J36" s="44"/>
      <c r="K36" s="44"/>
      <c r="L36" s="44"/>
      <c r="M36" s="44"/>
      <c r="N36" s="44"/>
      <c r="O36" s="44"/>
    </row>
    <row r="37" customFormat="false" ht="15" hidden="false" customHeight="false" outlineLevel="0" collapsed="false">
      <c r="A37" s="43"/>
      <c r="B37" s="43"/>
      <c r="C37" s="44"/>
      <c r="D37" s="44"/>
      <c r="E37" s="44"/>
      <c r="F37" s="44"/>
      <c r="G37" s="44"/>
      <c r="H37" s="44"/>
      <c r="I37" s="44"/>
      <c r="J37" s="44"/>
      <c r="K37" s="44"/>
      <c r="L37" s="44"/>
      <c r="M37" s="44"/>
      <c r="N37" s="44"/>
      <c r="O37" s="44"/>
    </row>
    <row r="38" customFormat="false" ht="15" hidden="false" customHeight="false" outlineLevel="0" collapsed="false">
      <c r="A38" s="43"/>
      <c r="B38" s="43"/>
      <c r="C38" s="44"/>
      <c r="D38" s="44"/>
      <c r="E38" s="44"/>
      <c r="F38" s="44"/>
      <c r="G38" s="44"/>
      <c r="H38" s="44"/>
      <c r="I38" s="44"/>
      <c r="J38" s="44"/>
      <c r="K38" s="44"/>
      <c r="L38" s="44"/>
      <c r="M38" s="44"/>
      <c r="N38" s="44"/>
      <c r="O38" s="44"/>
    </row>
    <row r="39" customFormat="false" ht="15" hidden="false" customHeight="false" outlineLevel="0" collapsed="false">
      <c r="A39" s="43"/>
      <c r="B39" s="43"/>
      <c r="C39" s="44"/>
      <c r="D39" s="44"/>
      <c r="E39" s="44"/>
      <c r="F39" s="44"/>
      <c r="G39" s="44"/>
      <c r="H39" s="44"/>
      <c r="I39" s="44"/>
      <c r="J39" s="44"/>
      <c r="K39" s="44"/>
      <c r="L39" s="44"/>
      <c r="M39" s="44"/>
      <c r="N39" s="44"/>
      <c r="O39" s="44"/>
    </row>
    <row r="40" customFormat="false" ht="15" hidden="false" customHeight="false" outlineLevel="0" collapsed="false">
      <c r="A40" s="43"/>
      <c r="B40" s="43"/>
      <c r="C40" s="44"/>
      <c r="D40" s="44"/>
      <c r="E40" s="44"/>
      <c r="F40" s="44"/>
      <c r="G40" s="44"/>
      <c r="H40" s="44"/>
      <c r="I40" s="44"/>
      <c r="J40" s="44"/>
      <c r="K40" s="44"/>
      <c r="L40" s="44"/>
      <c r="M40" s="44"/>
      <c r="N40" s="44"/>
      <c r="O40" s="44"/>
    </row>
    <row r="41" customFormat="false" ht="15" hidden="false" customHeight="false" outlineLevel="0" collapsed="false">
      <c r="A41" s="43"/>
      <c r="B41" s="43"/>
      <c r="C41" s="44"/>
      <c r="D41" s="44"/>
      <c r="E41" s="44"/>
      <c r="F41" s="44"/>
      <c r="G41" s="44"/>
      <c r="H41" s="44"/>
      <c r="I41" s="44"/>
      <c r="J41" s="44"/>
      <c r="K41" s="44"/>
      <c r="L41" s="44"/>
      <c r="M41" s="44"/>
      <c r="N41" s="44"/>
      <c r="O41" s="44"/>
    </row>
    <row r="42" customFormat="false" ht="15" hidden="false" customHeight="false" outlineLevel="0" collapsed="false">
      <c r="A42" s="43"/>
      <c r="B42" s="43"/>
      <c r="C42" s="44"/>
      <c r="D42" s="44"/>
      <c r="E42" s="44"/>
      <c r="F42" s="44"/>
      <c r="G42" s="44"/>
      <c r="H42" s="44"/>
      <c r="I42" s="44"/>
      <c r="J42" s="44"/>
      <c r="K42" s="44"/>
      <c r="L42" s="44"/>
      <c r="M42" s="44"/>
      <c r="N42" s="44"/>
      <c r="O42" s="44"/>
    </row>
    <row r="43" customFormat="false" ht="15" hidden="false" customHeight="false" outlineLevel="0" collapsed="false">
      <c r="A43" s="43"/>
      <c r="B43" s="43"/>
      <c r="C43" s="44"/>
      <c r="D43" s="44"/>
      <c r="E43" s="44"/>
      <c r="F43" s="44"/>
      <c r="G43" s="44"/>
      <c r="H43" s="44"/>
      <c r="I43" s="44"/>
      <c r="J43" s="44"/>
      <c r="K43" s="44"/>
      <c r="L43" s="44"/>
      <c r="M43" s="44"/>
      <c r="N43" s="44"/>
      <c r="O43" s="44"/>
    </row>
    <row r="44" customFormat="false" ht="15" hidden="false" customHeight="false" outlineLevel="0" collapsed="false">
      <c r="A44" s="43"/>
      <c r="B44" s="43"/>
      <c r="C44" s="44"/>
      <c r="D44" s="44"/>
      <c r="E44" s="44"/>
      <c r="F44" s="44"/>
      <c r="G44" s="44"/>
      <c r="H44" s="44"/>
      <c r="I44" s="44"/>
      <c r="J44" s="44"/>
      <c r="K44" s="44"/>
      <c r="L44" s="44"/>
      <c r="M44" s="44"/>
      <c r="N44" s="44"/>
      <c r="O44" s="44"/>
    </row>
    <row r="45" customFormat="false" ht="15" hidden="false" customHeight="false" outlineLevel="0" collapsed="false">
      <c r="A45" s="43"/>
      <c r="B45" s="43"/>
      <c r="C45" s="44"/>
      <c r="D45" s="44"/>
      <c r="E45" s="44"/>
      <c r="F45" s="44"/>
      <c r="G45" s="44"/>
      <c r="H45" s="44"/>
      <c r="I45" s="44"/>
      <c r="J45" s="44"/>
      <c r="K45" s="44"/>
      <c r="L45" s="44"/>
      <c r="M45" s="44"/>
      <c r="N45" s="44"/>
      <c r="O45" s="44"/>
    </row>
    <row r="46" customFormat="false" ht="15" hidden="false" customHeight="false" outlineLevel="0" collapsed="false">
      <c r="A46" s="43"/>
      <c r="B46" s="43"/>
      <c r="C46" s="44"/>
      <c r="D46" s="44"/>
      <c r="E46" s="44"/>
      <c r="F46" s="44"/>
      <c r="G46" s="44"/>
      <c r="H46" s="44"/>
      <c r="I46" s="44"/>
      <c r="J46" s="44"/>
      <c r="K46" s="44"/>
      <c r="L46" s="44"/>
      <c r="M46" s="44"/>
      <c r="N46" s="44"/>
      <c r="O46" s="44"/>
    </row>
    <row r="47" customFormat="false" ht="15" hidden="false" customHeight="false" outlineLevel="0" collapsed="false">
      <c r="A47" s="43"/>
      <c r="B47" s="43"/>
      <c r="C47" s="44"/>
      <c r="D47" s="44"/>
      <c r="E47" s="44"/>
      <c r="F47" s="44"/>
      <c r="G47" s="44"/>
      <c r="H47" s="44"/>
      <c r="I47" s="44"/>
      <c r="J47" s="44"/>
      <c r="K47" s="44"/>
      <c r="L47" s="44"/>
      <c r="M47" s="44"/>
      <c r="N47" s="44"/>
      <c r="O47" s="44"/>
    </row>
    <row r="48" customFormat="false" ht="15" hidden="false" customHeight="false" outlineLevel="0" collapsed="false">
      <c r="A48" s="43"/>
      <c r="B48" s="43"/>
      <c r="C48" s="44"/>
      <c r="D48" s="44"/>
      <c r="E48" s="44"/>
      <c r="F48" s="44"/>
      <c r="G48" s="44"/>
      <c r="H48" s="44"/>
      <c r="I48" s="44"/>
      <c r="J48" s="44"/>
      <c r="K48" s="44"/>
      <c r="L48" s="44"/>
      <c r="M48" s="44"/>
      <c r="N48" s="44"/>
      <c r="O48" s="44"/>
    </row>
    <row r="49" customFormat="false" ht="15" hidden="false" customHeight="false" outlineLevel="0" collapsed="false">
      <c r="A49" s="43"/>
      <c r="B49" s="43"/>
      <c r="C49" s="44"/>
      <c r="D49" s="44"/>
      <c r="E49" s="44"/>
      <c r="F49" s="44"/>
      <c r="G49" s="44"/>
      <c r="H49" s="44"/>
      <c r="I49" s="44"/>
      <c r="J49" s="44"/>
      <c r="K49" s="44"/>
      <c r="L49" s="44"/>
      <c r="M49" s="44"/>
      <c r="N49" s="44"/>
      <c r="O49" s="44"/>
    </row>
    <row r="50" customFormat="false" ht="15" hidden="false" customHeight="false" outlineLevel="0" collapsed="false">
      <c r="A50" s="43"/>
      <c r="B50" s="43"/>
      <c r="C50" s="44"/>
      <c r="D50" s="44"/>
      <c r="E50" s="44"/>
      <c r="F50" s="44"/>
      <c r="G50" s="44"/>
      <c r="H50" s="44"/>
      <c r="I50" s="44"/>
      <c r="J50" s="44"/>
      <c r="K50" s="44"/>
      <c r="L50" s="44"/>
      <c r="M50" s="44"/>
      <c r="N50" s="44"/>
      <c r="O50" s="44"/>
    </row>
    <row r="51" customFormat="false" ht="15" hidden="false" customHeight="false" outlineLevel="0" collapsed="false">
      <c r="A51" s="43"/>
      <c r="B51" s="43"/>
      <c r="C51" s="44"/>
      <c r="D51" s="44"/>
      <c r="E51" s="44"/>
      <c r="F51" s="44"/>
      <c r="G51" s="44"/>
      <c r="H51" s="44"/>
      <c r="I51" s="44"/>
      <c r="J51" s="44"/>
      <c r="K51" s="44"/>
      <c r="L51" s="44"/>
      <c r="M51" s="44"/>
      <c r="N51" s="44"/>
      <c r="O51" s="44"/>
    </row>
    <row r="52" customFormat="false" ht="15" hidden="false" customHeight="false" outlineLevel="0" collapsed="false">
      <c r="A52" s="43"/>
      <c r="B52" s="43"/>
      <c r="C52" s="44"/>
      <c r="D52" s="44"/>
      <c r="E52" s="44"/>
      <c r="F52" s="44"/>
      <c r="G52" s="44"/>
      <c r="H52" s="44"/>
      <c r="I52" s="44"/>
      <c r="J52" s="44"/>
      <c r="K52" s="44"/>
      <c r="L52" s="44"/>
      <c r="M52" s="44"/>
      <c r="N52" s="44"/>
      <c r="O52" s="44"/>
    </row>
    <row r="53" customFormat="false" ht="15" hidden="false" customHeight="false" outlineLevel="0" collapsed="false">
      <c r="A53" s="43"/>
      <c r="B53" s="43"/>
      <c r="C53" s="44"/>
      <c r="D53" s="44"/>
      <c r="E53" s="44"/>
      <c r="F53" s="44"/>
      <c r="G53" s="44"/>
      <c r="H53" s="44"/>
      <c r="I53" s="44"/>
      <c r="J53" s="44"/>
      <c r="K53" s="44"/>
      <c r="L53" s="44"/>
      <c r="M53" s="44"/>
      <c r="N53" s="44"/>
      <c r="O53" s="44"/>
    </row>
    <row r="54" customFormat="false" ht="15" hidden="false" customHeight="false" outlineLevel="0" collapsed="false">
      <c r="A54" s="43"/>
      <c r="B54" s="43"/>
      <c r="C54" s="44"/>
      <c r="D54" s="44"/>
      <c r="E54" s="44"/>
      <c r="F54" s="44"/>
      <c r="G54" s="44"/>
      <c r="H54" s="44"/>
      <c r="I54" s="44"/>
      <c r="J54" s="44"/>
      <c r="K54" s="44"/>
      <c r="L54" s="44"/>
      <c r="M54" s="44"/>
      <c r="N54" s="44"/>
      <c r="O54" s="44"/>
    </row>
    <row r="55" customFormat="false" ht="15" hidden="false" customHeight="false" outlineLevel="0" collapsed="false">
      <c r="A55" s="43"/>
      <c r="B55" s="43"/>
      <c r="C55" s="44"/>
      <c r="D55" s="44"/>
      <c r="E55" s="44"/>
      <c r="F55" s="44"/>
      <c r="G55" s="44"/>
      <c r="H55" s="44"/>
      <c r="I55" s="44"/>
      <c r="J55" s="44"/>
      <c r="K55" s="44"/>
      <c r="L55" s="44"/>
      <c r="M55" s="44"/>
      <c r="N55" s="44"/>
      <c r="O55" s="44"/>
    </row>
    <row r="56" customFormat="false" ht="15" hidden="false" customHeight="false" outlineLevel="0" collapsed="false">
      <c r="A56" s="43"/>
      <c r="B56" s="43"/>
      <c r="C56" s="44"/>
      <c r="D56" s="44"/>
      <c r="E56" s="44"/>
      <c r="F56" s="44"/>
      <c r="G56" s="44"/>
      <c r="H56" s="44"/>
      <c r="I56" s="44"/>
      <c r="J56" s="44"/>
      <c r="K56" s="44"/>
      <c r="L56" s="44"/>
      <c r="M56" s="44"/>
      <c r="N56" s="44"/>
      <c r="O56" s="44"/>
    </row>
    <row r="57" customFormat="false" ht="15" hidden="false" customHeight="false" outlineLevel="0" collapsed="false">
      <c r="A57" s="43"/>
      <c r="B57" s="43"/>
      <c r="C57" s="44"/>
      <c r="D57" s="44"/>
      <c r="E57" s="44"/>
      <c r="F57" s="44"/>
      <c r="G57" s="44"/>
      <c r="H57" s="44"/>
      <c r="I57" s="44"/>
      <c r="J57" s="44"/>
      <c r="K57" s="44"/>
      <c r="L57" s="44"/>
      <c r="M57" s="44"/>
      <c r="N57" s="44"/>
      <c r="O57" s="44"/>
    </row>
    <row r="58" customFormat="false" ht="15" hidden="false" customHeight="false" outlineLevel="0" collapsed="false">
      <c r="A58" s="43"/>
      <c r="B58" s="43"/>
      <c r="C58" s="44"/>
      <c r="D58" s="44"/>
      <c r="E58" s="44"/>
      <c r="F58" s="44"/>
      <c r="G58" s="44"/>
      <c r="H58" s="44"/>
      <c r="I58" s="44"/>
      <c r="J58" s="44"/>
      <c r="K58" s="44"/>
      <c r="L58" s="44"/>
      <c r="M58" s="44"/>
      <c r="N58" s="44"/>
      <c r="O58" s="44"/>
    </row>
    <row r="59" customFormat="false" ht="15" hidden="false" customHeight="false" outlineLevel="0" collapsed="false">
      <c r="A59" s="43"/>
      <c r="B59" s="43"/>
      <c r="C59" s="44"/>
      <c r="D59" s="44"/>
      <c r="E59" s="44"/>
      <c r="F59" s="44"/>
      <c r="G59" s="44"/>
      <c r="H59" s="44"/>
      <c r="I59" s="44"/>
      <c r="J59" s="44"/>
      <c r="K59" s="44"/>
      <c r="L59" s="44"/>
      <c r="M59" s="44"/>
      <c r="N59" s="44"/>
      <c r="O59" s="44"/>
    </row>
    <row r="60" customFormat="false" ht="15" hidden="false" customHeight="false" outlineLevel="0" collapsed="false">
      <c r="A60" s="43"/>
      <c r="B60" s="43"/>
      <c r="C60" s="44"/>
      <c r="D60" s="44"/>
      <c r="E60" s="44"/>
      <c r="F60" s="44"/>
      <c r="G60" s="44"/>
      <c r="H60" s="44"/>
      <c r="I60" s="44"/>
      <c r="J60" s="44"/>
      <c r="K60" s="44"/>
      <c r="L60" s="44"/>
      <c r="M60" s="44"/>
      <c r="N60" s="44"/>
      <c r="O60" s="44"/>
    </row>
    <row r="61" customFormat="false" ht="15" hidden="false" customHeight="false" outlineLevel="0" collapsed="false">
      <c r="A61" s="43"/>
      <c r="B61" s="43"/>
      <c r="C61" s="44"/>
      <c r="D61" s="44"/>
      <c r="E61" s="44"/>
      <c r="F61" s="44"/>
      <c r="G61" s="44"/>
      <c r="H61" s="44"/>
      <c r="I61" s="44"/>
      <c r="J61" s="44"/>
      <c r="K61" s="44"/>
      <c r="L61" s="44"/>
      <c r="M61" s="44"/>
      <c r="N61" s="44"/>
      <c r="O61" s="44"/>
    </row>
    <row r="62" customFormat="false" ht="15" hidden="false" customHeight="false" outlineLevel="0" collapsed="false">
      <c r="A62" s="43"/>
      <c r="B62" s="43"/>
      <c r="C62" s="44"/>
      <c r="D62" s="44"/>
      <c r="E62" s="44"/>
      <c r="F62" s="44"/>
      <c r="G62" s="44"/>
      <c r="H62" s="44"/>
      <c r="I62" s="44"/>
      <c r="J62" s="44"/>
      <c r="K62" s="44"/>
      <c r="L62" s="44"/>
      <c r="M62" s="44"/>
      <c r="N62" s="44"/>
      <c r="O62" s="44"/>
    </row>
    <row r="63" customFormat="false" ht="15" hidden="false" customHeight="false" outlineLevel="0" collapsed="false">
      <c r="A63" s="43"/>
      <c r="B63" s="43"/>
      <c r="C63" s="44"/>
      <c r="D63" s="44"/>
      <c r="E63" s="44"/>
      <c r="F63" s="44"/>
      <c r="G63" s="44"/>
      <c r="H63" s="44"/>
      <c r="I63" s="44"/>
      <c r="J63" s="44"/>
      <c r="K63" s="44"/>
      <c r="L63" s="44"/>
      <c r="M63" s="44"/>
      <c r="N63" s="44"/>
      <c r="O63" s="44"/>
    </row>
    <row r="64" customFormat="false" ht="15" hidden="false" customHeight="false" outlineLevel="0" collapsed="false">
      <c r="A64" s="43"/>
      <c r="B64" s="43"/>
      <c r="C64" s="44"/>
      <c r="D64" s="44"/>
      <c r="E64" s="44"/>
      <c r="F64" s="44"/>
      <c r="G64" s="44"/>
      <c r="H64" s="44"/>
      <c r="I64" s="44"/>
      <c r="J64" s="44"/>
      <c r="K64" s="44"/>
      <c r="L64" s="44"/>
      <c r="M64" s="44"/>
      <c r="N64" s="44"/>
      <c r="O64" s="44"/>
    </row>
    <row r="65" customFormat="false" ht="15" hidden="false" customHeight="false" outlineLevel="0" collapsed="false">
      <c r="D65" s="45" t="s">
        <v>700</v>
      </c>
      <c r="E65" s="46" t="n">
        <f aca="false">COUNTIF(E5:E64,"D")</f>
        <v>4</v>
      </c>
      <c r="F65" s="46" t="n">
        <f aca="false">COUNTIF(F5:F64,"D")</f>
        <v>2</v>
      </c>
      <c r="G65" s="46" t="n">
        <f aca="false">COUNTIF(G5:G64,"D")</f>
        <v>2</v>
      </c>
      <c r="H65" s="46" t="n">
        <f aca="false">COUNTIF(H5:H64,"D")</f>
        <v>2</v>
      </c>
      <c r="I65" s="46" t="n">
        <f aca="false">COUNTIF(I5:I64,"D")</f>
        <v>4</v>
      </c>
      <c r="J65" s="46" t="n">
        <f aca="false">COUNTIF(J5:J64,"D")</f>
        <v>4</v>
      </c>
      <c r="K65" s="46" t="n">
        <f aca="false">COUNTIF(K5:K64,"D")</f>
        <v>4</v>
      </c>
      <c r="L65" s="46" t="n">
        <f aca="false">COUNTIF(L5:L64,"D")</f>
        <v>4</v>
      </c>
      <c r="M65" s="46" t="n">
        <f aca="false">COUNTIF(M5:M64,"D")</f>
        <v>0</v>
      </c>
      <c r="N65" s="46" t="n">
        <f aca="false">COUNTIF(N5:N64,"D")</f>
        <v>0</v>
      </c>
    </row>
    <row r="66" customFormat="false" ht="15" hidden="false" customHeight="false" outlineLevel="0" collapsed="false">
      <c r="D66" s="45" t="s">
        <v>701</v>
      </c>
      <c r="E66" s="46" t="n">
        <f aca="false">COUNTIF(E5:E64,"M")</f>
        <v>0</v>
      </c>
      <c r="F66" s="46" t="n">
        <f aca="false">COUNTIF(F5:F64,"M")</f>
        <v>2</v>
      </c>
      <c r="G66" s="46" t="n">
        <f aca="false">COUNTIF(G5:G64,"M")</f>
        <v>2</v>
      </c>
      <c r="H66" s="46" t="n">
        <f aca="false">COUNTIF(H5:H64,"M")</f>
        <v>0</v>
      </c>
      <c r="I66" s="46" t="n">
        <f aca="false">COUNTIF(I5:I64,"M")</f>
        <v>0</v>
      </c>
      <c r="J66" s="46" t="n">
        <f aca="false">COUNTIF(J5:J64,"M")</f>
        <v>0</v>
      </c>
      <c r="K66" s="46" t="n">
        <f aca="false">COUNTIF(K5:K64,"M")</f>
        <v>0</v>
      </c>
      <c r="L66" s="46" t="n">
        <f aca="false">COUNTIF(L5:L64,"M")</f>
        <v>0</v>
      </c>
      <c r="M66" s="46" t="n">
        <f aca="false">COUNTIF(M5:M64,"M")</f>
        <v>0</v>
      </c>
      <c r="N66" s="46" t="n">
        <f aca="false">COUNTIF(N5:N64,"M")</f>
        <v>0</v>
      </c>
    </row>
    <row r="67" customFormat="false" ht="15" hidden="false" customHeight="false" outlineLevel="0" collapsed="false">
      <c r="D67" s="45" t="s">
        <v>702</v>
      </c>
      <c r="E67" s="46" t="n">
        <f aca="false">COUNTIF(E5:E64,"P")</f>
        <v>0</v>
      </c>
      <c r="F67" s="46" t="n">
        <f aca="false">COUNTIF(F5:F64,"P")</f>
        <v>0</v>
      </c>
      <c r="G67" s="46" t="n">
        <f aca="false">COUNTIF(G5:G64,"P")</f>
        <v>0</v>
      </c>
      <c r="H67" s="46" t="n">
        <f aca="false">COUNTIF(H5:H64,"P")</f>
        <v>2</v>
      </c>
      <c r="I67" s="46" t="n">
        <f aca="false">COUNTIF(I5:I64,"P")</f>
        <v>0</v>
      </c>
      <c r="J67" s="46" t="n">
        <f aca="false">COUNTIF(J5:J64,"P")</f>
        <v>0</v>
      </c>
      <c r="K67" s="46" t="n">
        <f aca="false">COUNTIF(K5:K64,"P")</f>
        <v>0</v>
      </c>
      <c r="L67" s="46" t="n">
        <f aca="false">COUNTIF(L5:L64,"P")</f>
        <v>0</v>
      </c>
      <c r="M67" s="46" t="n">
        <f aca="false">COUNTIF(M5:M64,"P")</f>
        <v>0</v>
      </c>
      <c r="N67" s="46" t="n">
        <f aca="false">COUNTIF(N5:N64,"P")</f>
        <v>0</v>
      </c>
    </row>
  </sheetData>
  <autoFilter ref="A4:O64"/>
  <conditionalFormatting sqref="E5:N64">
    <cfRule type="expression" priority="2" aboveAverage="0" equalAverage="0" bottom="0" percent="0" rank="0" text="" dxfId="21">
      <formula>E5="D"</formula>
    </cfRule>
    <cfRule type="expression" priority="3" aboveAverage="0" equalAverage="0" bottom="0" percent="0" rank="0" text="" dxfId="25">
      <formula>E5="M"</formula>
    </cfRule>
    <cfRule type="expression" priority="4" aboveAverage="0" equalAverage="0" bottom="0" percent="0" rank="0" text="" dxfId="23">
      <formula>E5="P"</formula>
    </cfRule>
    <cfRule type="expression" priority="5" aboveAverage="0" equalAverage="0" bottom="0" percent="0" rank="0" text="" dxfId="22">
      <formula>E5="U"</formula>
    </cfRule>
  </conditionalFormatting>
  <dataValidations count="3">
    <dataValidation allowBlank="true" errorStyle="stop" operator="between" showDropDown="false" showErrorMessage="false" showInputMessage="false" sqref="E5:N64" type="list">
      <formula1>"P,M,D,U"</formula1>
      <formula2>0</formula2>
    </dataValidation>
    <dataValidation allowBlank="true" errorStyle="stop" operator="between" showDropDown="false" showErrorMessage="false" showInputMessage="false" sqref="D5:D64" type="list">
      <formula1>Lists!$D$2:$D$10</formula1>
      <formula2>0</formula2>
    </dataValidation>
    <dataValidation allowBlank="false" errorStyle="stop" operator="between" showDropDown="false" showErrorMessage="false" showInputMessage="false" sqref="O5:O64"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20"/>
    <col collapsed="false" customWidth="true" hidden="false" outlineLevel="0" max="4" min="4" style="0" width="7"/>
    <col collapsed="false" customWidth="true" hidden="false" outlineLevel="0" max="5" min="5" style="0" width="6"/>
    <col collapsed="false" customWidth="true" hidden="false" outlineLevel="0" max="6" min="6" style="0" width="22"/>
    <col collapsed="false" customWidth="true" hidden="false" outlineLevel="0" max="8" min="7" style="0" width="10"/>
    <col collapsed="false" customWidth="true" hidden="false" outlineLevel="0" max="9" min="9" style="0" width="20"/>
    <col collapsed="false" customWidth="true" hidden="false" outlineLevel="0" max="10" min="10" style="0" width="8"/>
  </cols>
  <sheetData>
    <row r="1" customFormat="false" ht="15" hidden="false" customHeight="false" outlineLevel="0" collapsed="false">
      <c r="A1" s="47" t="s">
        <v>703</v>
      </c>
      <c r="B1" s="47" t="s">
        <v>40</v>
      </c>
      <c r="C1" s="47" t="s">
        <v>41</v>
      </c>
      <c r="D1" s="47" t="s">
        <v>42</v>
      </c>
      <c r="E1" s="47" t="s">
        <v>704</v>
      </c>
      <c r="F1" s="47" t="s">
        <v>705</v>
      </c>
      <c r="G1" s="47" t="s">
        <v>706</v>
      </c>
      <c r="H1" s="47" t="s">
        <v>707</v>
      </c>
      <c r="I1" s="47" t="s">
        <v>708</v>
      </c>
      <c r="J1" s="47" t="s">
        <v>709</v>
      </c>
    </row>
    <row r="2" customFormat="false" ht="15" hidden="false" customHeight="false" outlineLevel="0" collapsed="false">
      <c r="A2" s="48" t="str">
        <f aca="false">B2&amp;"|"&amp;C2&amp;"|"&amp;D2&amp;"|"&amp;E2</f>
        <v>Grad 2027|IB Geography|HL|1</v>
      </c>
      <c r="B2" s="49" t="s">
        <v>23</v>
      </c>
      <c r="C2" s="49" t="s">
        <v>24</v>
      </c>
      <c r="D2" s="49" t="s">
        <v>25</v>
      </c>
      <c r="E2" s="49" t="n">
        <v>1</v>
      </c>
      <c r="F2" s="49" t="s">
        <v>710</v>
      </c>
      <c r="G2" s="49" t="s">
        <v>711</v>
      </c>
      <c r="H2" s="49" t="n">
        <v>20</v>
      </c>
      <c r="I2" s="49" t="s">
        <v>712</v>
      </c>
      <c r="J2" s="49" t="n">
        <v>1</v>
      </c>
    </row>
    <row r="3" customFormat="false" ht="15" hidden="false" customHeight="false" outlineLevel="0" collapsed="false">
      <c r="A3" s="48" t="str">
        <f aca="false">B3&amp;"|"&amp;C3&amp;"|"&amp;D3&amp;"|"&amp;E3</f>
        <v>Grad 2027|IB Geography|HL|2</v>
      </c>
      <c r="B3" s="49" t="s">
        <v>23</v>
      </c>
      <c r="C3" s="49" t="s">
        <v>24</v>
      </c>
      <c r="D3" s="49" t="s">
        <v>25</v>
      </c>
      <c r="E3" s="49" t="n">
        <v>2</v>
      </c>
      <c r="F3" s="49" t="s">
        <v>713</v>
      </c>
      <c r="G3" s="49" t="s">
        <v>714</v>
      </c>
      <c r="H3" s="49" t="n">
        <v>20</v>
      </c>
      <c r="I3" s="49" t="s">
        <v>712</v>
      </c>
      <c r="J3" s="49" t="n">
        <v>1</v>
      </c>
    </row>
    <row r="4" customFormat="false" ht="15" hidden="false" customHeight="false" outlineLevel="0" collapsed="false">
      <c r="A4" s="48" t="str">
        <f aca="false">B4&amp;"|"&amp;C4&amp;"|"&amp;D4&amp;"|"&amp;E4</f>
        <v>Grad 2027|IB Geography|HL|3</v>
      </c>
      <c r="B4" s="49" t="s">
        <v>23</v>
      </c>
      <c r="C4" s="49" t="s">
        <v>24</v>
      </c>
      <c r="D4" s="49" t="s">
        <v>25</v>
      </c>
      <c r="E4" s="49" t="n">
        <v>3</v>
      </c>
      <c r="F4" s="49" t="s">
        <v>715</v>
      </c>
      <c r="G4" s="49" t="s">
        <v>714</v>
      </c>
      <c r="H4" s="49" t="n">
        <v>20</v>
      </c>
      <c r="I4" s="49" t="s">
        <v>716</v>
      </c>
      <c r="J4" s="49" t="n">
        <v>1</v>
      </c>
    </row>
    <row r="5" customFormat="false" ht="15" hidden="false" customHeight="false" outlineLevel="0" collapsed="false">
      <c r="A5" s="48" t="str">
        <f aca="false">B5&amp;"|"&amp;C5&amp;"|"&amp;D5&amp;"|"&amp;E5</f>
        <v>Grad 2027|IB Geography|HL|4</v>
      </c>
      <c r="B5" s="49" t="s">
        <v>23</v>
      </c>
      <c r="C5" s="49" t="s">
        <v>24</v>
      </c>
      <c r="D5" s="49" t="s">
        <v>25</v>
      </c>
      <c r="E5" s="49" t="n">
        <v>4</v>
      </c>
      <c r="F5" s="49" t="s">
        <v>717</v>
      </c>
      <c r="G5" s="49" t="s">
        <v>718</v>
      </c>
      <c r="H5" s="49" t="n">
        <v>20</v>
      </c>
      <c r="I5" s="49" t="s">
        <v>712</v>
      </c>
      <c r="J5" s="49" t="n">
        <v>1</v>
      </c>
    </row>
    <row r="6" customFormat="false" ht="15" hidden="false" customHeight="false" outlineLevel="0" collapsed="false">
      <c r="A6" s="48" t="str">
        <f aca="false">B6&amp;"|"&amp;C6&amp;"|"&amp;D6&amp;"|"&amp;E6</f>
        <v>Grad 2027|IB Geography|HL|5</v>
      </c>
      <c r="B6" s="49" t="s">
        <v>23</v>
      </c>
      <c r="C6" s="49" t="s">
        <v>24</v>
      </c>
      <c r="D6" s="49" t="s">
        <v>25</v>
      </c>
      <c r="E6" s="49" t="n">
        <v>5</v>
      </c>
      <c r="F6" s="49" t="s">
        <v>713</v>
      </c>
      <c r="G6" s="49" t="s">
        <v>719</v>
      </c>
      <c r="H6" s="49" t="n">
        <v>20</v>
      </c>
      <c r="I6" s="49" t="s">
        <v>712</v>
      </c>
      <c r="J6" s="49" t="n">
        <v>1</v>
      </c>
    </row>
    <row r="7" customFormat="false" ht="15" hidden="false" customHeight="false" outlineLevel="0" collapsed="false">
      <c r="A7" s="48" t="str">
        <f aca="false">B7&amp;"|"&amp;C7&amp;"|"&amp;D7&amp;"|"&amp;E7</f>
        <v>Grad 2027|IB Geography|HL|6</v>
      </c>
      <c r="B7" s="49" t="s">
        <v>23</v>
      </c>
      <c r="C7" s="49" t="s">
        <v>24</v>
      </c>
      <c r="D7" s="49" t="s">
        <v>25</v>
      </c>
      <c r="E7" s="49" t="n">
        <v>6</v>
      </c>
      <c r="F7" s="49" t="s">
        <v>720</v>
      </c>
      <c r="G7" s="49" t="s">
        <v>721</v>
      </c>
      <c r="H7" s="49" t="n">
        <v>40</v>
      </c>
      <c r="I7" s="49" t="s">
        <v>712</v>
      </c>
      <c r="J7" s="49" t="n">
        <v>2</v>
      </c>
    </row>
    <row r="8" customFormat="false" ht="15" hidden="false" customHeight="false" outlineLevel="0" collapsed="false">
      <c r="A8" s="48" t="str">
        <f aca="false">B8&amp;"|"&amp;C8&amp;"|"&amp;D8&amp;"|"&amp;E8</f>
        <v>Grad 2027|IB Geography|HL|7</v>
      </c>
      <c r="B8" s="49" t="s">
        <v>23</v>
      </c>
      <c r="C8" s="49" t="s">
        <v>24</v>
      </c>
      <c r="D8" s="49" t="s">
        <v>25</v>
      </c>
      <c r="E8" s="49" t="n">
        <v>7</v>
      </c>
      <c r="F8" s="49" t="s">
        <v>722</v>
      </c>
      <c r="G8" s="49" t="s">
        <v>721</v>
      </c>
      <c r="H8" s="49" t="n">
        <v>50</v>
      </c>
      <c r="I8" s="49" t="s">
        <v>716</v>
      </c>
      <c r="J8" s="49" t="n">
        <v>2</v>
      </c>
    </row>
    <row r="9" customFormat="false" ht="15" hidden="false" customHeight="false" outlineLevel="0" collapsed="false">
      <c r="A9" s="48" t="str">
        <f aca="false">B9&amp;"|"&amp;C9&amp;"|"&amp;D9&amp;"|"&amp;E9</f>
        <v>Grad 2027|IB Geography|HL|8</v>
      </c>
      <c r="B9" s="49" t="s">
        <v>23</v>
      </c>
      <c r="C9" s="49" t="s">
        <v>24</v>
      </c>
      <c r="D9" s="49" t="s">
        <v>25</v>
      </c>
      <c r="E9" s="49" t="n">
        <v>8</v>
      </c>
      <c r="F9" s="49" t="s">
        <v>723</v>
      </c>
      <c r="G9" s="49" t="s">
        <v>724</v>
      </c>
      <c r="H9" s="49" t="n">
        <v>25</v>
      </c>
      <c r="I9" s="49" t="s">
        <v>716</v>
      </c>
      <c r="J9" s="49" t="n">
        <v>1</v>
      </c>
    </row>
    <row r="10" customFormat="false" ht="15" hidden="false" customHeight="false" outlineLevel="0" collapsed="false">
      <c r="A10" s="48" t="str">
        <f aca="false">B10&amp;"|"&amp;C10&amp;"|"&amp;D10&amp;"|"&amp;E10</f>
        <v>Grad 2027|IB Geography|HL|9</v>
      </c>
      <c r="B10" s="49" t="s">
        <v>23</v>
      </c>
      <c r="C10" s="49" t="s">
        <v>24</v>
      </c>
      <c r="D10" s="49" t="s">
        <v>25</v>
      </c>
      <c r="E10" s="49" t="n">
        <v>9</v>
      </c>
      <c r="F10" s="49" t="s">
        <v>725</v>
      </c>
      <c r="G10" s="49" t="s">
        <v>726</v>
      </c>
      <c r="H10" s="49" t="n">
        <v>16</v>
      </c>
      <c r="I10" s="49" t="s">
        <v>727</v>
      </c>
      <c r="J10" s="49" t="n">
        <v>1</v>
      </c>
    </row>
    <row r="11" customFormat="false" ht="15" hidden="false" customHeight="false" outlineLevel="0" collapsed="false">
      <c r="A11" s="48" t="str">
        <f aca="false">B11&amp;"|"&amp;C11&amp;"|"&amp;D11&amp;"|"&amp;E11</f>
        <v>Grad 2027|IB Geography|HL|10</v>
      </c>
      <c r="B11" s="49" t="s">
        <v>23</v>
      </c>
      <c r="C11" s="49" t="s">
        <v>24</v>
      </c>
      <c r="D11" s="49" t="s">
        <v>25</v>
      </c>
      <c r="E11" s="49" t="n">
        <v>10</v>
      </c>
      <c r="F11" s="49" t="s">
        <v>728</v>
      </c>
      <c r="G11" s="49" t="s">
        <v>726</v>
      </c>
      <c r="H11" s="49" t="n">
        <v>30</v>
      </c>
      <c r="I11" s="49" t="s">
        <v>716</v>
      </c>
      <c r="J11" s="49" t="n">
        <v>1</v>
      </c>
    </row>
    <row r="12" customFormat="false" ht="15" hidden="false" customHeight="false" outlineLevel="0" collapsed="false">
      <c r="A12" s="48" t="str">
        <f aca="false">B12&amp;"|"&amp;C12&amp;"|"&amp;D12&amp;"|"&amp;E12</f>
        <v>Grad 2027|IB Geography|SL|1</v>
      </c>
      <c r="B12" s="49" t="s">
        <v>23</v>
      </c>
      <c r="C12" s="49" t="s">
        <v>24</v>
      </c>
      <c r="D12" s="49" t="s">
        <v>223</v>
      </c>
      <c r="E12" s="49" t="n">
        <v>1</v>
      </c>
      <c r="F12" s="49" t="s">
        <v>729</v>
      </c>
      <c r="G12" s="49" t="s">
        <v>711</v>
      </c>
      <c r="H12" s="49" t="n">
        <v>20</v>
      </c>
      <c r="I12" s="49" t="s">
        <v>716</v>
      </c>
      <c r="J12" s="49" t="n">
        <v>1</v>
      </c>
    </row>
    <row r="13" customFormat="false" ht="15" hidden="false" customHeight="false" outlineLevel="0" collapsed="false">
      <c r="A13" s="48" t="str">
        <f aca="false">B13&amp;"|"&amp;C13&amp;"|"&amp;D13&amp;"|"&amp;E13</f>
        <v>Grad 2027|IB Geography|SL|2</v>
      </c>
      <c r="B13" s="49" t="s">
        <v>23</v>
      </c>
      <c r="C13" s="49" t="s">
        <v>24</v>
      </c>
      <c r="D13" s="49" t="s">
        <v>223</v>
      </c>
      <c r="E13" s="49" t="n">
        <v>2</v>
      </c>
      <c r="F13" s="49" t="s">
        <v>730</v>
      </c>
      <c r="G13" s="49" t="s">
        <v>714</v>
      </c>
      <c r="H13" s="49" t="n">
        <v>20</v>
      </c>
      <c r="I13" s="49" t="s">
        <v>716</v>
      </c>
      <c r="J13" s="49" t="n">
        <v>1</v>
      </c>
    </row>
    <row r="14" customFormat="false" ht="15" hidden="false" customHeight="false" outlineLevel="0" collapsed="false">
      <c r="A14" s="48" t="str">
        <f aca="false">B14&amp;"|"&amp;C14&amp;"|"&amp;D14&amp;"|"&amp;E14</f>
        <v>Grad 2027|IB Geography|SL|3</v>
      </c>
      <c r="B14" s="49" t="s">
        <v>23</v>
      </c>
      <c r="C14" s="49" t="s">
        <v>24</v>
      </c>
      <c r="D14" s="49" t="s">
        <v>223</v>
      </c>
      <c r="E14" s="49" t="n">
        <v>3</v>
      </c>
      <c r="F14" s="49" t="s">
        <v>731</v>
      </c>
      <c r="G14" s="49" t="s">
        <v>718</v>
      </c>
      <c r="H14" s="49" t="n">
        <v>20</v>
      </c>
      <c r="I14" s="49" t="s">
        <v>712</v>
      </c>
      <c r="J14" s="49" t="n">
        <v>1</v>
      </c>
    </row>
    <row r="15" customFormat="false" ht="15" hidden="false" customHeight="false" outlineLevel="0" collapsed="false">
      <c r="A15" s="48" t="str">
        <f aca="false">B15&amp;"|"&amp;C15&amp;"|"&amp;D15&amp;"|"&amp;E15</f>
        <v>Grad 2027|IB Geography|SL|4</v>
      </c>
      <c r="B15" s="49" t="s">
        <v>23</v>
      </c>
      <c r="C15" s="49" t="s">
        <v>24</v>
      </c>
      <c r="D15" s="49" t="s">
        <v>223</v>
      </c>
      <c r="E15" s="49" t="n">
        <v>4</v>
      </c>
      <c r="F15" s="49" t="s">
        <v>720</v>
      </c>
      <c r="G15" s="49" t="s">
        <v>721</v>
      </c>
      <c r="H15" s="49" t="n">
        <v>20</v>
      </c>
      <c r="I15" s="49" t="s">
        <v>712</v>
      </c>
      <c r="J15" s="49" t="n">
        <v>2</v>
      </c>
    </row>
    <row r="16" customFormat="false" ht="15" hidden="false" customHeight="false" outlineLevel="0" collapsed="false">
      <c r="A16" s="48" t="str">
        <f aca="false">B16&amp;"|"&amp;C16&amp;"|"&amp;D16&amp;"|"&amp;E16</f>
        <v>Grad 2027|IB Geography|SL|5</v>
      </c>
      <c r="B16" s="49" t="s">
        <v>23</v>
      </c>
      <c r="C16" s="49" t="s">
        <v>24</v>
      </c>
      <c r="D16" s="49" t="s">
        <v>223</v>
      </c>
      <c r="E16" s="49" t="n">
        <v>5</v>
      </c>
      <c r="F16" s="49" t="s">
        <v>722</v>
      </c>
      <c r="G16" s="49" t="s">
        <v>721</v>
      </c>
      <c r="H16" s="49" t="n">
        <v>50</v>
      </c>
      <c r="I16" s="49" t="s">
        <v>716</v>
      </c>
      <c r="J16" s="49" t="n">
        <v>2</v>
      </c>
    </row>
    <row r="17" customFormat="false" ht="15" hidden="false" customHeight="false" outlineLevel="0" collapsed="false">
      <c r="A17" s="48" t="str">
        <f aca="false">B17&amp;"|"&amp;C17&amp;"|"&amp;D17&amp;"|"&amp;E17</f>
        <v>Grad 2027|IB Geography|SL|6</v>
      </c>
      <c r="B17" s="49" t="s">
        <v>23</v>
      </c>
      <c r="C17" s="49" t="s">
        <v>24</v>
      </c>
      <c r="D17" s="49" t="s">
        <v>223</v>
      </c>
      <c r="E17" s="49" t="n">
        <v>6</v>
      </c>
      <c r="F17" s="49" t="s">
        <v>723</v>
      </c>
      <c r="G17" s="49" t="s">
        <v>732</v>
      </c>
      <c r="H17" s="49" t="n">
        <v>25</v>
      </c>
      <c r="I17" s="49" t="s">
        <v>716</v>
      </c>
      <c r="J17" s="49" t="n">
        <v>1</v>
      </c>
    </row>
    <row r="18" customFormat="false" ht="15" hidden="false" customHeight="false" outlineLevel="0" collapsed="false">
      <c r="A18" s="48" t="str">
        <f aca="false">B18&amp;"|"&amp;C18&amp;"|"&amp;D18&amp;"|"&amp;E18</f>
        <v>Grad 2027|IB Geography|SL|7</v>
      </c>
      <c r="B18" s="49" t="s">
        <v>23</v>
      </c>
      <c r="C18" s="49" t="s">
        <v>24</v>
      </c>
      <c r="D18" s="49" t="s">
        <v>223</v>
      </c>
      <c r="E18" s="49" t="n">
        <v>7</v>
      </c>
      <c r="F18" s="49" t="s">
        <v>728</v>
      </c>
      <c r="G18" s="49" t="s">
        <v>733</v>
      </c>
      <c r="H18" s="49" t="n">
        <v>30</v>
      </c>
      <c r="I18" s="49" t="s">
        <v>716</v>
      </c>
      <c r="J18" s="49" t="n">
        <v>1</v>
      </c>
    </row>
    <row r="19" customFormat="false" ht="15" hidden="false" customHeight="false" outlineLevel="0" collapsed="false">
      <c r="A19" s="48" t="str">
        <f aca="false">B19&amp;"|"&amp;C19&amp;"|"&amp;D19&amp;"|"&amp;E19</f>
        <v>Grad 2027|IB Economics|HL|1</v>
      </c>
      <c r="B19" s="49" t="s">
        <v>23</v>
      </c>
      <c r="C19" s="49" t="s">
        <v>229</v>
      </c>
      <c r="D19" s="49" t="s">
        <v>25</v>
      </c>
      <c r="E19" s="49" t="n">
        <v>1</v>
      </c>
      <c r="F19" s="49" t="s">
        <v>734</v>
      </c>
      <c r="G19" s="49" t="s">
        <v>735</v>
      </c>
      <c r="H19" s="49" t="n">
        <v>30</v>
      </c>
      <c r="I19" s="49" t="s">
        <v>736</v>
      </c>
      <c r="J19" s="49" t="n">
        <v>1</v>
      </c>
    </row>
    <row r="20" customFormat="false" ht="15" hidden="false" customHeight="false" outlineLevel="0" collapsed="false">
      <c r="A20" s="48" t="str">
        <f aca="false">B20&amp;"|"&amp;C20&amp;"|"&amp;D20&amp;"|"&amp;E20</f>
        <v>Grad 2027|IB Economics|HL|2</v>
      </c>
      <c r="B20" s="49" t="s">
        <v>23</v>
      </c>
      <c r="C20" s="49" t="s">
        <v>229</v>
      </c>
      <c r="D20" s="49" t="s">
        <v>25</v>
      </c>
      <c r="E20" s="49" t="n">
        <v>2</v>
      </c>
      <c r="F20" s="49" t="s">
        <v>737</v>
      </c>
      <c r="G20" s="49" t="s">
        <v>735</v>
      </c>
      <c r="H20" s="49" t="n">
        <v>24</v>
      </c>
      <c r="I20" s="49" t="s">
        <v>736</v>
      </c>
      <c r="J20" s="49" t="n">
        <v>1</v>
      </c>
    </row>
    <row r="21" customFormat="false" ht="15" hidden="false" customHeight="false" outlineLevel="0" collapsed="false">
      <c r="A21" s="48" t="str">
        <f aca="false">B21&amp;"|"&amp;C21&amp;"|"&amp;D21&amp;"|"&amp;E21</f>
        <v>Grad 2027|IB Economics|HL|3</v>
      </c>
      <c r="B21" s="49" t="s">
        <v>23</v>
      </c>
      <c r="C21" s="49" t="s">
        <v>229</v>
      </c>
      <c r="D21" s="49" t="s">
        <v>25</v>
      </c>
      <c r="E21" s="49" t="n">
        <v>3</v>
      </c>
      <c r="F21" s="49" t="s">
        <v>738</v>
      </c>
      <c r="G21" s="49" t="s">
        <v>739</v>
      </c>
      <c r="H21" s="49" t="n">
        <v>25</v>
      </c>
      <c r="I21" s="49" t="s">
        <v>736</v>
      </c>
      <c r="J21" s="49" t="n">
        <v>1</v>
      </c>
    </row>
    <row r="22" customFormat="false" ht="15" hidden="false" customHeight="false" outlineLevel="0" collapsed="false">
      <c r="A22" s="48" t="str">
        <f aca="false">B22&amp;"|"&amp;C22&amp;"|"&amp;D22&amp;"|"&amp;E22</f>
        <v>Grad 2027|IB Economics|HL|4</v>
      </c>
      <c r="B22" s="49" t="s">
        <v>23</v>
      </c>
      <c r="C22" s="49" t="s">
        <v>229</v>
      </c>
      <c r="D22" s="49" t="s">
        <v>25</v>
      </c>
      <c r="E22" s="49" t="n">
        <v>4</v>
      </c>
      <c r="F22" s="49" t="s">
        <v>740</v>
      </c>
      <c r="G22" s="49" t="s">
        <v>739</v>
      </c>
      <c r="H22" s="49" t="n">
        <v>35</v>
      </c>
      <c r="I22" s="49" t="s">
        <v>736</v>
      </c>
      <c r="J22" s="49" t="n">
        <v>1</v>
      </c>
    </row>
    <row r="23" customFormat="false" ht="15" hidden="false" customHeight="false" outlineLevel="0" collapsed="false">
      <c r="A23" s="48" t="str">
        <f aca="false">B23&amp;"|"&amp;C23&amp;"|"&amp;D23&amp;"|"&amp;E23</f>
        <v>Grad 2027|IB Economics|HL|5</v>
      </c>
      <c r="B23" s="49" t="s">
        <v>23</v>
      </c>
      <c r="C23" s="49" t="s">
        <v>229</v>
      </c>
      <c r="D23" s="49" t="s">
        <v>25</v>
      </c>
      <c r="E23" s="49" t="n">
        <v>5</v>
      </c>
      <c r="F23" s="49" t="s">
        <v>741</v>
      </c>
      <c r="G23" s="49" t="s">
        <v>721</v>
      </c>
      <c r="H23" s="49" t="n">
        <v>55</v>
      </c>
      <c r="I23" s="49" t="s">
        <v>742</v>
      </c>
      <c r="J23" s="49" t="n">
        <v>2</v>
      </c>
    </row>
    <row r="24" customFormat="false" ht="15" hidden="false" customHeight="false" outlineLevel="0" collapsed="false">
      <c r="A24" s="48" t="str">
        <f aca="false">B24&amp;"|"&amp;C24&amp;"|"&amp;D24&amp;"|"&amp;E24</f>
        <v>Grad 2027|IB Economics|HL|6</v>
      </c>
      <c r="B24" s="49" t="s">
        <v>23</v>
      </c>
      <c r="C24" s="49" t="s">
        <v>229</v>
      </c>
      <c r="D24" s="49" t="s">
        <v>25</v>
      </c>
      <c r="E24" s="49" t="n">
        <v>6</v>
      </c>
      <c r="F24" s="49" t="s">
        <v>743</v>
      </c>
      <c r="G24" s="49" t="s">
        <v>744</v>
      </c>
      <c r="H24" s="49" t="n">
        <v>30</v>
      </c>
      <c r="I24" s="49" t="s">
        <v>736</v>
      </c>
      <c r="J24" s="49" t="n">
        <v>1</v>
      </c>
    </row>
    <row r="25" customFormat="false" ht="15" hidden="false" customHeight="false" outlineLevel="0" collapsed="false">
      <c r="A25" s="48" t="str">
        <f aca="false">B25&amp;"|"&amp;C25&amp;"|"&amp;D25&amp;"|"&amp;E25</f>
        <v>Grad 2027|IB Economics|HL|7</v>
      </c>
      <c r="B25" s="49" t="s">
        <v>23</v>
      </c>
      <c r="C25" s="49" t="s">
        <v>229</v>
      </c>
      <c r="D25" s="49" t="s">
        <v>25</v>
      </c>
      <c r="E25" s="49" t="n">
        <v>7</v>
      </c>
      <c r="F25" s="49" t="s">
        <v>745</v>
      </c>
      <c r="G25" s="49" t="s">
        <v>744</v>
      </c>
      <c r="H25" s="49" t="n">
        <v>95</v>
      </c>
      <c r="I25" s="49" t="s">
        <v>742</v>
      </c>
      <c r="J25" s="49" t="n">
        <v>2</v>
      </c>
    </row>
    <row r="26" customFormat="false" ht="15" hidden="false" customHeight="false" outlineLevel="0" collapsed="false">
      <c r="A26" s="48" t="str">
        <f aca="false">B26&amp;"|"&amp;C26&amp;"|"&amp;D26&amp;"|"&amp;E26</f>
        <v>Grad 2027|IB Economics|SL|1</v>
      </c>
      <c r="B26" s="49" t="s">
        <v>23</v>
      </c>
      <c r="C26" s="49" t="s">
        <v>229</v>
      </c>
      <c r="D26" s="49" t="s">
        <v>223</v>
      </c>
      <c r="E26" s="49" t="n">
        <v>1</v>
      </c>
      <c r="F26" s="49" t="s">
        <v>746</v>
      </c>
      <c r="G26" s="49" t="s">
        <v>735</v>
      </c>
      <c r="H26" s="49" t="n">
        <v>30</v>
      </c>
      <c r="I26" s="49" t="s">
        <v>736</v>
      </c>
      <c r="J26" s="49" t="n">
        <v>1</v>
      </c>
    </row>
    <row r="27" customFormat="false" ht="15" hidden="false" customHeight="false" outlineLevel="0" collapsed="false">
      <c r="A27" s="48" t="str">
        <f aca="false">B27&amp;"|"&amp;C27&amp;"|"&amp;D27&amp;"|"&amp;E27</f>
        <v>Grad 2027|IB Economics|SL|2</v>
      </c>
      <c r="B27" s="49" t="s">
        <v>23</v>
      </c>
      <c r="C27" s="49" t="s">
        <v>229</v>
      </c>
      <c r="D27" s="49" t="s">
        <v>223</v>
      </c>
      <c r="E27" s="49" t="n">
        <v>2</v>
      </c>
      <c r="F27" s="49" t="s">
        <v>737</v>
      </c>
      <c r="G27" s="49" t="s">
        <v>735</v>
      </c>
      <c r="H27" s="49" t="n">
        <v>20</v>
      </c>
      <c r="I27" s="49" t="s">
        <v>736</v>
      </c>
      <c r="J27" s="49" t="n">
        <v>1</v>
      </c>
    </row>
    <row r="28" customFormat="false" ht="15" hidden="false" customHeight="false" outlineLevel="0" collapsed="false">
      <c r="A28" s="48" t="str">
        <f aca="false">B28&amp;"|"&amp;C28&amp;"|"&amp;D28&amp;"|"&amp;E28</f>
        <v>Grad 2027|IB Economics|SL|3</v>
      </c>
      <c r="B28" s="49" t="s">
        <v>23</v>
      </c>
      <c r="C28" s="49" t="s">
        <v>229</v>
      </c>
      <c r="D28" s="49" t="s">
        <v>223</v>
      </c>
      <c r="E28" s="49" t="n">
        <v>3</v>
      </c>
      <c r="F28" s="49" t="s">
        <v>747</v>
      </c>
      <c r="G28" s="49" t="s">
        <v>739</v>
      </c>
      <c r="H28" s="49" t="n">
        <v>25</v>
      </c>
      <c r="I28" s="49" t="s">
        <v>736</v>
      </c>
      <c r="J28" s="49" t="n">
        <v>1</v>
      </c>
    </row>
    <row r="29" customFormat="false" ht="15" hidden="false" customHeight="false" outlineLevel="0" collapsed="false">
      <c r="A29" s="48" t="str">
        <f aca="false">B29&amp;"|"&amp;C29&amp;"|"&amp;D29&amp;"|"&amp;E29</f>
        <v>Grad 2027|IB Economics|SL|4</v>
      </c>
      <c r="B29" s="49" t="s">
        <v>23</v>
      </c>
      <c r="C29" s="49" t="s">
        <v>229</v>
      </c>
      <c r="D29" s="49" t="s">
        <v>223</v>
      </c>
      <c r="E29" s="49" t="n">
        <v>4</v>
      </c>
      <c r="F29" s="49" t="s">
        <v>740</v>
      </c>
      <c r="G29" s="49" t="s">
        <v>739</v>
      </c>
      <c r="H29" s="49" t="n">
        <v>23</v>
      </c>
      <c r="I29" s="49" t="s">
        <v>736</v>
      </c>
      <c r="J29" s="49" t="n">
        <v>1</v>
      </c>
    </row>
    <row r="30" customFormat="false" ht="15" hidden="false" customHeight="false" outlineLevel="0" collapsed="false">
      <c r="A30" s="48" t="str">
        <f aca="false">B30&amp;"|"&amp;C30&amp;"|"&amp;D30&amp;"|"&amp;E30</f>
        <v>Grad 2027|IB Economics|SL|5</v>
      </c>
      <c r="B30" s="49" t="s">
        <v>23</v>
      </c>
      <c r="C30" s="49" t="s">
        <v>229</v>
      </c>
      <c r="D30" s="49" t="s">
        <v>223</v>
      </c>
      <c r="E30" s="49" t="n">
        <v>5</v>
      </c>
      <c r="F30" s="49" t="s">
        <v>748</v>
      </c>
      <c r="G30" s="49" t="s">
        <v>721</v>
      </c>
      <c r="H30" s="49" t="n">
        <v>25</v>
      </c>
      <c r="I30" s="49" t="s">
        <v>742</v>
      </c>
      <c r="J30" s="49" t="n">
        <v>2</v>
      </c>
    </row>
    <row r="31" customFormat="false" ht="15" hidden="false" customHeight="false" outlineLevel="0" collapsed="false">
      <c r="A31" s="48" t="str">
        <f aca="false">B31&amp;"|"&amp;C31&amp;"|"&amp;D31&amp;"|"&amp;E31</f>
        <v>Grad 2027|IB Economics|SL|6</v>
      </c>
      <c r="B31" s="49" t="s">
        <v>23</v>
      </c>
      <c r="C31" s="49" t="s">
        <v>229</v>
      </c>
      <c r="D31" s="49" t="s">
        <v>223</v>
      </c>
      <c r="E31" s="49" t="n">
        <v>6</v>
      </c>
      <c r="F31" s="49" t="s">
        <v>749</v>
      </c>
      <c r="G31" s="49" t="s">
        <v>744</v>
      </c>
      <c r="H31" s="49" t="n">
        <v>15</v>
      </c>
      <c r="I31" s="49" t="s">
        <v>736</v>
      </c>
      <c r="J31" s="49" t="n">
        <v>1</v>
      </c>
    </row>
    <row r="32" customFormat="false" ht="15" hidden="false" customHeight="false" outlineLevel="0" collapsed="false">
      <c r="A32" s="48" t="str">
        <f aca="false">B32&amp;"|"&amp;C32&amp;"|"&amp;D32&amp;"|"&amp;E32</f>
        <v>Grad 2027|IB Economics|SL|7</v>
      </c>
      <c r="B32" s="49" t="s">
        <v>23</v>
      </c>
      <c r="C32" s="49" t="s">
        <v>229</v>
      </c>
      <c r="D32" s="49" t="s">
        <v>223</v>
      </c>
      <c r="E32" s="49" t="n">
        <v>7</v>
      </c>
      <c r="F32" s="49" t="s">
        <v>750</v>
      </c>
      <c r="G32" s="49" t="s">
        <v>744</v>
      </c>
      <c r="H32" s="49" t="n">
        <v>52</v>
      </c>
      <c r="I32" s="49" t="s">
        <v>742</v>
      </c>
      <c r="J32" s="49" t="n">
        <v>2</v>
      </c>
    </row>
    <row r="33" customFormat="false" ht="15" hidden="false" customHeight="false" outlineLevel="0" collapsed="false">
      <c r="A33" s="48" t="str">
        <f aca="false">B33&amp;"|"&amp;C33&amp;"|"&amp;D33&amp;"|"&amp;E33</f>
        <v>Grad 2027|IB Business Management|HL|1</v>
      </c>
      <c r="B33" s="49" t="s">
        <v>23</v>
      </c>
      <c r="C33" s="49" t="s">
        <v>365</v>
      </c>
      <c r="D33" s="49" t="s">
        <v>25</v>
      </c>
      <c r="E33" s="49" t="n">
        <v>1</v>
      </c>
      <c r="F33" s="49" t="s">
        <v>751</v>
      </c>
      <c r="G33" s="49" t="s">
        <v>752</v>
      </c>
      <c r="H33" s="49" t="n">
        <v>24</v>
      </c>
      <c r="I33" s="49" t="s">
        <v>753</v>
      </c>
      <c r="J33" s="49" t="n">
        <v>1</v>
      </c>
    </row>
    <row r="34" customFormat="false" ht="15" hidden="false" customHeight="false" outlineLevel="0" collapsed="false">
      <c r="A34" s="48" t="str">
        <f aca="false">B34&amp;"|"&amp;C34&amp;"|"&amp;D34&amp;"|"&amp;E34</f>
        <v>Grad 2027|IB Business Management|HL|2</v>
      </c>
      <c r="B34" s="49" t="s">
        <v>23</v>
      </c>
      <c r="C34" s="49" t="s">
        <v>365</v>
      </c>
      <c r="D34" s="49" t="s">
        <v>25</v>
      </c>
      <c r="E34" s="49" t="n">
        <v>2</v>
      </c>
      <c r="F34" s="49" t="s">
        <v>754</v>
      </c>
      <c r="G34" s="49" t="s">
        <v>755</v>
      </c>
      <c r="H34" s="49" t="n">
        <v>20</v>
      </c>
      <c r="I34" s="49" t="s">
        <v>753</v>
      </c>
      <c r="J34" s="49" t="n">
        <v>1</v>
      </c>
    </row>
    <row r="35" customFormat="false" ht="15" hidden="false" customHeight="false" outlineLevel="0" collapsed="false">
      <c r="A35" s="48" t="str">
        <f aca="false">B35&amp;"|"&amp;C35&amp;"|"&amp;D35&amp;"|"&amp;E35</f>
        <v>Grad 2027|IB Business Management|HL|3</v>
      </c>
      <c r="B35" s="49" t="s">
        <v>23</v>
      </c>
      <c r="C35" s="49" t="s">
        <v>365</v>
      </c>
      <c r="D35" s="49" t="s">
        <v>25</v>
      </c>
      <c r="E35" s="49" t="n">
        <v>3</v>
      </c>
      <c r="F35" s="49" t="s">
        <v>756</v>
      </c>
      <c r="G35" s="49" t="s">
        <v>757</v>
      </c>
      <c r="H35" s="49" t="n">
        <v>20</v>
      </c>
      <c r="I35" s="49" t="s">
        <v>753</v>
      </c>
      <c r="J35" s="49" t="n">
        <v>1</v>
      </c>
    </row>
    <row r="36" customFormat="false" ht="15" hidden="false" customHeight="false" outlineLevel="0" collapsed="false">
      <c r="A36" s="48" t="str">
        <f aca="false">B36&amp;"|"&amp;C36&amp;"|"&amp;D36&amp;"|"&amp;E36</f>
        <v>Grad 2027|IB Business Management|HL|4</v>
      </c>
      <c r="B36" s="49" t="s">
        <v>23</v>
      </c>
      <c r="C36" s="49" t="s">
        <v>365</v>
      </c>
      <c r="D36" s="49" t="s">
        <v>25</v>
      </c>
      <c r="E36" s="49" t="n">
        <v>4</v>
      </c>
      <c r="F36" s="49" t="s">
        <v>748</v>
      </c>
      <c r="G36" s="49" t="s">
        <v>721</v>
      </c>
      <c r="H36" s="49" t="n">
        <v>40</v>
      </c>
      <c r="I36" s="49" t="s">
        <v>758</v>
      </c>
      <c r="J36" s="49" t="n">
        <v>2</v>
      </c>
    </row>
    <row r="37" customFormat="false" ht="15" hidden="false" customHeight="false" outlineLevel="0" collapsed="false">
      <c r="A37" s="48" t="str">
        <f aca="false">B37&amp;"|"&amp;C37&amp;"|"&amp;D37&amp;"|"&amp;E37</f>
        <v>Grad 2027|IB Business Management|HL|5</v>
      </c>
      <c r="B37" s="49" t="s">
        <v>23</v>
      </c>
      <c r="C37" s="49" t="s">
        <v>365</v>
      </c>
      <c r="D37" s="49" t="s">
        <v>25</v>
      </c>
      <c r="E37" s="49" t="n">
        <v>5</v>
      </c>
      <c r="F37" s="49" t="s">
        <v>759</v>
      </c>
      <c r="G37" s="49" t="s">
        <v>760</v>
      </c>
      <c r="H37" s="49" t="n">
        <v>30</v>
      </c>
      <c r="I37" s="49" t="s">
        <v>753</v>
      </c>
      <c r="J37" s="49" t="n">
        <v>1</v>
      </c>
    </row>
    <row r="38" customFormat="false" ht="15" hidden="false" customHeight="false" outlineLevel="0" collapsed="false">
      <c r="A38" s="48" t="str">
        <f aca="false">B38&amp;"|"&amp;C38&amp;"|"&amp;D38&amp;"|"&amp;E38</f>
        <v>Grad 2027|IB Business Management|HL|6</v>
      </c>
      <c r="B38" s="49" t="s">
        <v>23</v>
      </c>
      <c r="C38" s="49" t="s">
        <v>365</v>
      </c>
      <c r="D38" s="49" t="s">
        <v>25</v>
      </c>
      <c r="E38" s="49" t="n">
        <v>6</v>
      </c>
      <c r="F38" s="49" t="s">
        <v>761</v>
      </c>
      <c r="G38" s="49" t="s">
        <v>762</v>
      </c>
      <c r="H38" s="49" t="n">
        <v>20</v>
      </c>
      <c r="I38" s="49" t="s">
        <v>753</v>
      </c>
      <c r="J38" s="49" t="n">
        <v>1</v>
      </c>
    </row>
    <row r="39" customFormat="false" ht="15" hidden="false" customHeight="false" outlineLevel="0" collapsed="false">
      <c r="A39" s="48" t="str">
        <f aca="false">B39&amp;"|"&amp;C39&amp;"|"&amp;D39&amp;"|"&amp;E39</f>
        <v>Grad 2027|IB Business Management|HL|7</v>
      </c>
      <c r="B39" s="49" t="s">
        <v>23</v>
      </c>
      <c r="C39" s="49" t="s">
        <v>365</v>
      </c>
      <c r="D39" s="49" t="s">
        <v>25</v>
      </c>
      <c r="E39" s="49" t="n">
        <v>7</v>
      </c>
      <c r="F39" s="49" t="s">
        <v>763</v>
      </c>
      <c r="G39" s="49" t="s">
        <v>764</v>
      </c>
      <c r="H39" s="49" t="n">
        <v>7</v>
      </c>
      <c r="I39" s="49" t="s">
        <v>765</v>
      </c>
      <c r="J39" s="49" t="n">
        <v>2</v>
      </c>
    </row>
    <row r="40" customFormat="false" ht="15" hidden="false" customHeight="false" outlineLevel="0" collapsed="false">
      <c r="A40" s="48" t="str">
        <f aca="false">B40&amp;"|"&amp;C40&amp;"|"&amp;D40&amp;"|"&amp;E40</f>
        <v>Grad 2027|IB Business Management|SL|1</v>
      </c>
      <c r="B40" s="49" t="s">
        <v>23</v>
      </c>
      <c r="C40" s="49" t="s">
        <v>365</v>
      </c>
      <c r="D40" s="49" t="s">
        <v>223</v>
      </c>
      <c r="E40" s="49" t="n">
        <v>1</v>
      </c>
      <c r="F40" s="49" t="s">
        <v>766</v>
      </c>
      <c r="G40" s="49" t="s">
        <v>735</v>
      </c>
      <c r="H40" s="49" t="n">
        <v>24</v>
      </c>
      <c r="I40" s="49" t="s">
        <v>753</v>
      </c>
      <c r="J40" s="49" t="n">
        <v>1</v>
      </c>
    </row>
    <row r="41" customFormat="false" ht="15" hidden="false" customHeight="false" outlineLevel="0" collapsed="false">
      <c r="A41" s="48" t="str">
        <f aca="false">B41&amp;"|"&amp;C41&amp;"|"&amp;D41&amp;"|"&amp;E41</f>
        <v>Grad 2027|IB Business Management|SL|2</v>
      </c>
      <c r="B41" s="49" t="s">
        <v>23</v>
      </c>
      <c r="C41" s="49" t="s">
        <v>365</v>
      </c>
      <c r="D41" s="49" t="s">
        <v>223</v>
      </c>
      <c r="E41" s="49" t="n">
        <v>2</v>
      </c>
      <c r="F41" s="49" t="s">
        <v>767</v>
      </c>
      <c r="G41" s="49" t="s">
        <v>735</v>
      </c>
      <c r="H41" s="49" t="n">
        <v>20</v>
      </c>
      <c r="I41" s="49" t="s">
        <v>753</v>
      </c>
      <c r="J41" s="49" t="n">
        <v>1</v>
      </c>
    </row>
    <row r="42" customFormat="false" ht="15" hidden="false" customHeight="false" outlineLevel="0" collapsed="false">
      <c r="A42" s="48" t="str">
        <f aca="false">B42&amp;"|"&amp;C42&amp;"|"&amp;D42&amp;"|"&amp;E42</f>
        <v>Grad 2027|IB Business Management|SL|3</v>
      </c>
      <c r="B42" s="49" t="s">
        <v>23</v>
      </c>
      <c r="C42" s="49" t="s">
        <v>365</v>
      </c>
      <c r="D42" s="49" t="s">
        <v>223</v>
      </c>
      <c r="E42" s="49" t="n">
        <v>3</v>
      </c>
      <c r="F42" s="49" t="s">
        <v>756</v>
      </c>
      <c r="G42" s="49" t="s">
        <v>757</v>
      </c>
      <c r="H42" s="49" t="n">
        <v>24</v>
      </c>
      <c r="I42" s="49" t="s">
        <v>753</v>
      </c>
      <c r="J42" s="49" t="n">
        <v>1</v>
      </c>
    </row>
    <row r="43" customFormat="false" ht="15" hidden="false" customHeight="false" outlineLevel="0" collapsed="false">
      <c r="A43" s="48" t="str">
        <f aca="false">B43&amp;"|"&amp;C43&amp;"|"&amp;D43&amp;"|"&amp;E43</f>
        <v>Grad 2027|IB Business Management|SL|4</v>
      </c>
      <c r="B43" s="49" t="s">
        <v>23</v>
      </c>
      <c r="C43" s="49" t="s">
        <v>365</v>
      </c>
      <c r="D43" s="49" t="s">
        <v>223</v>
      </c>
      <c r="E43" s="49" t="n">
        <v>4</v>
      </c>
      <c r="F43" s="49" t="s">
        <v>748</v>
      </c>
      <c r="G43" s="49" t="s">
        <v>721</v>
      </c>
      <c r="H43" s="49" t="n">
        <v>40</v>
      </c>
      <c r="I43" s="49" t="s">
        <v>758</v>
      </c>
      <c r="J43" s="49" t="n">
        <v>2</v>
      </c>
    </row>
    <row r="44" customFormat="false" ht="15" hidden="false" customHeight="false" outlineLevel="0" collapsed="false">
      <c r="A44" s="48" t="str">
        <f aca="false">B44&amp;"|"&amp;C44&amp;"|"&amp;D44&amp;"|"&amp;E44</f>
        <v>Grad 2027|IB Business Management|SL|5</v>
      </c>
      <c r="B44" s="49" t="s">
        <v>23</v>
      </c>
      <c r="C44" s="49" t="s">
        <v>365</v>
      </c>
      <c r="D44" s="49" t="s">
        <v>223</v>
      </c>
      <c r="E44" s="49" t="n">
        <v>5</v>
      </c>
      <c r="F44" s="49" t="s">
        <v>768</v>
      </c>
      <c r="G44" s="49" t="s">
        <v>760</v>
      </c>
      <c r="H44" s="49" t="n">
        <v>30</v>
      </c>
      <c r="I44" s="49" t="s">
        <v>753</v>
      </c>
      <c r="J44" s="49" t="n">
        <v>1</v>
      </c>
    </row>
    <row r="45" customFormat="false" ht="15" hidden="false" customHeight="false" outlineLevel="0" collapsed="false">
      <c r="A45" s="48" t="str">
        <f aca="false">B45&amp;"|"&amp;C45&amp;"|"&amp;D45&amp;"|"&amp;E45</f>
        <v>Grad 2027|IB Business Management|SL|6</v>
      </c>
      <c r="B45" s="49" t="s">
        <v>23</v>
      </c>
      <c r="C45" s="49" t="s">
        <v>365</v>
      </c>
      <c r="D45" s="49" t="s">
        <v>223</v>
      </c>
      <c r="E45" s="49" t="n">
        <v>6</v>
      </c>
      <c r="F45" s="49" t="s">
        <v>761</v>
      </c>
      <c r="G45" s="49" t="s">
        <v>762</v>
      </c>
      <c r="H45" s="49" t="n">
        <v>20</v>
      </c>
      <c r="I45" s="49" t="s">
        <v>753</v>
      </c>
      <c r="J45" s="49" t="n">
        <v>1</v>
      </c>
    </row>
    <row r="46" customFormat="false" ht="15" hidden="false" customHeight="false" outlineLevel="0" collapsed="false">
      <c r="A46" s="48" t="str">
        <f aca="false">B46&amp;"|"&amp;C46&amp;"|"&amp;D46&amp;"|"&amp;E46</f>
        <v>Grad 2027|IB Business Management|SL|7</v>
      </c>
      <c r="B46" s="49" t="s">
        <v>23</v>
      </c>
      <c r="C46" s="49" t="s">
        <v>365</v>
      </c>
      <c r="D46" s="49" t="s">
        <v>223</v>
      </c>
      <c r="E46" s="49" t="n">
        <v>7</v>
      </c>
      <c r="F46" s="49" t="s">
        <v>769</v>
      </c>
      <c r="G46" s="49" t="s">
        <v>744</v>
      </c>
      <c r="H46" s="49" t="n">
        <v>40</v>
      </c>
      <c r="I46" s="49" t="s">
        <v>758</v>
      </c>
      <c r="J46" s="49" t="n">
        <v>2</v>
      </c>
    </row>
    <row r="47" customFormat="false" ht="15" hidden="false" customHeight="false" outlineLevel="0" collapsed="false">
      <c r="A47" s="48" t="str">
        <f aca="false">B47&amp;"|"&amp;C47&amp;"|"&amp;D47&amp;"|"&amp;E47</f>
        <v>Grad 2027|IB History|HL|1</v>
      </c>
      <c r="B47" s="49" t="s">
        <v>23</v>
      </c>
      <c r="C47" s="49" t="s">
        <v>416</v>
      </c>
      <c r="D47" s="49" t="s">
        <v>25</v>
      </c>
      <c r="E47" s="49" t="n">
        <v>1</v>
      </c>
      <c r="F47" s="49" t="s">
        <v>770</v>
      </c>
      <c r="G47" s="49" t="s">
        <v>752</v>
      </c>
      <c r="H47" s="49" t="n">
        <v>24</v>
      </c>
      <c r="I47" s="49" t="s">
        <v>771</v>
      </c>
      <c r="J47" s="49" t="n">
        <v>1</v>
      </c>
    </row>
    <row r="48" customFormat="false" ht="15" hidden="false" customHeight="false" outlineLevel="0" collapsed="false">
      <c r="A48" s="48" t="str">
        <f aca="false">B48&amp;"|"&amp;C48&amp;"|"&amp;D48&amp;"|"&amp;E48</f>
        <v>Grad 2027|IB History|HL|2</v>
      </c>
      <c r="B48" s="49" t="s">
        <v>23</v>
      </c>
      <c r="C48" s="49" t="s">
        <v>416</v>
      </c>
      <c r="D48" s="49" t="s">
        <v>25</v>
      </c>
      <c r="E48" s="49" t="n">
        <v>2</v>
      </c>
      <c r="F48" s="49" t="s">
        <v>772</v>
      </c>
      <c r="G48" s="49" t="s">
        <v>755</v>
      </c>
      <c r="H48" s="49" t="n">
        <v>15</v>
      </c>
      <c r="I48" s="49" t="s">
        <v>773</v>
      </c>
      <c r="J48" s="49" t="n">
        <v>1</v>
      </c>
    </row>
    <row r="49" customFormat="false" ht="15" hidden="false" customHeight="false" outlineLevel="0" collapsed="false">
      <c r="A49" s="48" t="str">
        <f aca="false">B49&amp;"|"&amp;C49&amp;"|"&amp;D49&amp;"|"&amp;E49</f>
        <v>Grad 2027|IB History|HL|3</v>
      </c>
      <c r="B49" s="49" t="s">
        <v>23</v>
      </c>
      <c r="C49" s="49" t="s">
        <v>416</v>
      </c>
      <c r="D49" s="49" t="s">
        <v>25</v>
      </c>
      <c r="E49" s="49" t="n">
        <v>3</v>
      </c>
      <c r="F49" s="49" t="s">
        <v>774</v>
      </c>
      <c r="G49" s="49" t="s">
        <v>755</v>
      </c>
      <c r="H49" s="49" t="n">
        <v>24</v>
      </c>
      <c r="I49" s="49" t="s">
        <v>771</v>
      </c>
      <c r="J49" s="49" t="n">
        <v>1</v>
      </c>
    </row>
    <row r="50" customFormat="false" ht="15" hidden="false" customHeight="false" outlineLevel="0" collapsed="false">
      <c r="A50" s="48" t="str">
        <f aca="false">B50&amp;"|"&amp;C50&amp;"|"&amp;D50&amp;"|"&amp;E50</f>
        <v>Grad 2027|IB History|HL|4</v>
      </c>
      <c r="B50" s="49" t="s">
        <v>23</v>
      </c>
      <c r="C50" s="49" t="s">
        <v>416</v>
      </c>
      <c r="D50" s="49" t="s">
        <v>25</v>
      </c>
      <c r="E50" s="49" t="n">
        <v>4</v>
      </c>
      <c r="F50" s="49" t="s">
        <v>775</v>
      </c>
      <c r="G50" s="49" t="s">
        <v>757</v>
      </c>
      <c r="H50" s="49" t="n">
        <v>15</v>
      </c>
      <c r="I50" s="49" t="s">
        <v>776</v>
      </c>
      <c r="J50" s="49" t="n">
        <v>1</v>
      </c>
    </row>
    <row r="51" customFormat="false" ht="15" hidden="false" customHeight="false" outlineLevel="0" collapsed="false">
      <c r="A51" s="48" t="str">
        <f aca="false">B51&amp;"|"&amp;C51&amp;"|"&amp;D51&amp;"|"&amp;E51</f>
        <v>Grad 2027|IB History|HL|5</v>
      </c>
      <c r="B51" s="49" t="s">
        <v>23</v>
      </c>
      <c r="C51" s="49" t="s">
        <v>416</v>
      </c>
      <c r="D51" s="49" t="s">
        <v>25</v>
      </c>
      <c r="E51" s="49" t="n">
        <v>5</v>
      </c>
      <c r="F51" s="49" t="s">
        <v>777</v>
      </c>
      <c r="G51" s="49" t="s">
        <v>757</v>
      </c>
      <c r="H51" s="49" t="n">
        <v>15</v>
      </c>
      <c r="I51" s="49" t="s">
        <v>773</v>
      </c>
      <c r="J51" s="49" t="n">
        <v>1</v>
      </c>
    </row>
    <row r="52" customFormat="false" ht="15" hidden="false" customHeight="false" outlineLevel="0" collapsed="false">
      <c r="A52" s="48" t="str">
        <f aca="false">B52&amp;"|"&amp;C52&amp;"|"&amp;D52&amp;"|"&amp;E52</f>
        <v>Grad 2027|IB History|HL|6</v>
      </c>
      <c r="B52" s="49" t="s">
        <v>23</v>
      </c>
      <c r="C52" s="49" t="s">
        <v>416</v>
      </c>
      <c r="D52" s="49" t="s">
        <v>25</v>
      </c>
      <c r="E52" s="49" t="n">
        <v>6</v>
      </c>
      <c r="F52" s="49" t="s">
        <v>778</v>
      </c>
      <c r="G52" s="49" t="s">
        <v>721</v>
      </c>
      <c r="H52" s="49" t="n">
        <v>24</v>
      </c>
      <c r="I52" s="49" t="s">
        <v>771</v>
      </c>
      <c r="J52" s="49" t="n">
        <v>2</v>
      </c>
    </row>
    <row r="53" customFormat="false" ht="15" hidden="false" customHeight="false" outlineLevel="0" collapsed="false">
      <c r="A53" s="48" t="str">
        <f aca="false">B53&amp;"|"&amp;C53&amp;"|"&amp;D53&amp;"|"&amp;E53</f>
        <v>Grad 2027|IB History|HL|7</v>
      </c>
      <c r="B53" s="49" t="s">
        <v>23</v>
      </c>
      <c r="C53" s="49" t="s">
        <v>416</v>
      </c>
      <c r="D53" s="49" t="s">
        <v>25</v>
      </c>
      <c r="E53" s="49" t="n">
        <v>7</v>
      </c>
      <c r="F53" s="49" t="s">
        <v>779</v>
      </c>
      <c r="G53" s="49" t="s">
        <v>721</v>
      </c>
      <c r="H53" s="49" t="n">
        <v>30</v>
      </c>
      <c r="I53" s="49" t="s">
        <v>780</v>
      </c>
      <c r="J53" s="49" t="n">
        <v>2</v>
      </c>
    </row>
    <row r="54" customFormat="false" ht="15" hidden="false" customHeight="false" outlineLevel="0" collapsed="false">
      <c r="A54" s="48" t="str">
        <f aca="false">B54&amp;"|"&amp;C54&amp;"|"&amp;D54&amp;"|"&amp;E54</f>
        <v>Grad 2027|IB History|HL|8</v>
      </c>
      <c r="B54" s="49" t="s">
        <v>23</v>
      </c>
      <c r="C54" s="49" t="s">
        <v>416</v>
      </c>
      <c r="D54" s="49" t="s">
        <v>25</v>
      </c>
      <c r="E54" s="49" t="n">
        <v>8</v>
      </c>
      <c r="F54" s="49" t="s">
        <v>781</v>
      </c>
      <c r="G54" s="49" t="s">
        <v>721</v>
      </c>
      <c r="H54" s="49" t="n">
        <v>15</v>
      </c>
      <c r="I54" s="49" t="s">
        <v>782</v>
      </c>
      <c r="J54" s="49" t="n">
        <v>2</v>
      </c>
    </row>
    <row r="55" customFormat="false" ht="15" hidden="false" customHeight="false" outlineLevel="0" collapsed="false">
      <c r="A55" s="48" t="str">
        <f aca="false">B55&amp;"|"&amp;C55&amp;"|"&amp;D55&amp;"|"&amp;E55</f>
        <v>Grad 2027|IB History|HL|9</v>
      </c>
      <c r="B55" s="49" t="s">
        <v>23</v>
      </c>
      <c r="C55" s="49" t="s">
        <v>416</v>
      </c>
      <c r="D55" s="49" t="s">
        <v>25</v>
      </c>
      <c r="E55" s="49" t="n">
        <v>9</v>
      </c>
      <c r="F55" s="49" t="s">
        <v>783</v>
      </c>
      <c r="G55" s="49" t="s">
        <v>784</v>
      </c>
      <c r="H55" s="49" t="n">
        <v>24</v>
      </c>
      <c r="I55" s="49" t="s">
        <v>771</v>
      </c>
      <c r="J55" s="49" t="n">
        <v>1</v>
      </c>
    </row>
    <row r="56" customFormat="false" ht="15" hidden="false" customHeight="false" outlineLevel="0" collapsed="false">
      <c r="A56" s="48" t="str">
        <f aca="false">B56&amp;"|"&amp;C56&amp;"|"&amp;D56&amp;"|"&amp;E56</f>
        <v>Grad 2027|IB History|HL|10</v>
      </c>
      <c r="B56" s="49" t="s">
        <v>23</v>
      </c>
      <c r="C56" s="49" t="s">
        <v>416</v>
      </c>
      <c r="D56" s="49" t="s">
        <v>25</v>
      </c>
      <c r="E56" s="49" t="n">
        <v>10</v>
      </c>
      <c r="F56" s="49" t="s">
        <v>785</v>
      </c>
      <c r="G56" s="49" t="s">
        <v>762</v>
      </c>
      <c r="H56" s="49" t="n">
        <v>15</v>
      </c>
      <c r="I56" s="49" t="s">
        <v>776</v>
      </c>
      <c r="J56" s="49" t="n">
        <v>1</v>
      </c>
    </row>
    <row r="57" customFormat="false" ht="15" hidden="false" customHeight="false" outlineLevel="0" collapsed="false">
      <c r="A57" s="48" t="str">
        <f aca="false">B57&amp;"|"&amp;C57&amp;"|"&amp;D57&amp;"|"&amp;E57</f>
        <v>Grad 2027|IB History|HL|11</v>
      </c>
      <c r="B57" s="49" t="s">
        <v>23</v>
      </c>
      <c r="C57" s="49" t="s">
        <v>416</v>
      </c>
      <c r="D57" s="49" t="s">
        <v>25</v>
      </c>
      <c r="E57" s="49" t="n">
        <v>11</v>
      </c>
      <c r="F57" s="49" t="s">
        <v>786</v>
      </c>
      <c r="G57" s="49" t="s">
        <v>762</v>
      </c>
      <c r="H57" s="49" t="n">
        <v>15</v>
      </c>
      <c r="I57" s="49" t="s">
        <v>773</v>
      </c>
      <c r="J57" s="49" t="n">
        <v>1</v>
      </c>
    </row>
    <row r="58" customFormat="false" ht="15" hidden="false" customHeight="false" outlineLevel="0" collapsed="false">
      <c r="A58" s="48" t="str">
        <f aca="false">B58&amp;"|"&amp;C58&amp;"|"&amp;D58&amp;"|"&amp;E58</f>
        <v>Grad 2027|IB History|HL|12</v>
      </c>
      <c r="B58" s="49" t="s">
        <v>23</v>
      </c>
      <c r="C58" s="49" t="s">
        <v>416</v>
      </c>
      <c r="D58" s="49" t="s">
        <v>25</v>
      </c>
      <c r="E58" s="49" t="n">
        <v>12</v>
      </c>
      <c r="F58" s="49" t="s">
        <v>787</v>
      </c>
      <c r="G58" s="49" t="s">
        <v>744</v>
      </c>
      <c r="H58" s="49" t="n">
        <v>100</v>
      </c>
      <c r="I58" s="49" t="s">
        <v>773</v>
      </c>
      <c r="J58" s="49" t="n">
        <v>1</v>
      </c>
    </row>
    <row r="59" customFormat="false" ht="15" hidden="false" customHeight="false" outlineLevel="0" collapsed="false">
      <c r="A59" s="48" t="str">
        <f aca="false">B59&amp;"|"&amp;C59&amp;"|"&amp;D59&amp;"|"&amp;E59</f>
        <v>Grad 2027|IB History|HL|13</v>
      </c>
      <c r="B59" s="49" t="s">
        <v>23</v>
      </c>
      <c r="C59" s="49" t="s">
        <v>416</v>
      </c>
      <c r="D59" s="49" t="s">
        <v>25</v>
      </c>
      <c r="E59" s="49" t="n">
        <v>13</v>
      </c>
      <c r="F59" s="49" t="s">
        <v>788</v>
      </c>
      <c r="G59" s="49" t="s">
        <v>744</v>
      </c>
      <c r="H59" s="49" t="n">
        <v>15</v>
      </c>
      <c r="I59" s="49" t="s">
        <v>773</v>
      </c>
      <c r="J59" s="49" t="n">
        <v>1</v>
      </c>
    </row>
    <row r="60" customFormat="false" ht="15" hidden="false" customHeight="false" outlineLevel="0" collapsed="false">
      <c r="A60" s="48" t="str">
        <f aca="false">B60&amp;"|"&amp;C60&amp;"|"&amp;D60&amp;"|"&amp;E60</f>
        <v>Grad 2027|IB History|SL|1</v>
      </c>
      <c r="B60" s="49" t="s">
        <v>23</v>
      </c>
      <c r="C60" s="49" t="s">
        <v>416</v>
      </c>
      <c r="D60" s="49" t="s">
        <v>223</v>
      </c>
      <c r="E60" s="49" t="n">
        <v>1</v>
      </c>
      <c r="F60" s="49" t="s">
        <v>789</v>
      </c>
      <c r="G60" s="49" t="s">
        <v>752</v>
      </c>
      <c r="H60" s="49" t="n">
        <v>24</v>
      </c>
      <c r="I60" s="49" t="s">
        <v>771</v>
      </c>
      <c r="J60" s="49" t="n">
        <v>1</v>
      </c>
    </row>
    <row r="61" customFormat="false" ht="15" hidden="false" customHeight="false" outlineLevel="0" collapsed="false">
      <c r="A61" s="48" t="str">
        <f aca="false">B61&amp;"|"&amp;C61&amp;"|"&amp;D61&amp;"|"&amp;E61</f>
        <v>Grad 2027|IB History|SL|2</v>
      </c>
      <c r="B61" s="49" t="s">
        <v>23</v>
      </c>
      <c r="C61" s="49" t="s">
        <v>416</v>
      </c>
      <c r="D61" s="49" t="s">
        <v>223</v>
      </c>
      <c r="E61" s="49" t="n">
        <v>2</v>
      </c>
      <c r="F61" s="49" t="s">
        <v>790</v>
      </c>
      <c r="G61" s="49" t="s">
        <v>755</v>
      </c>
      <c r="H61" s="49" t="n">
        <v>24</v>
      </c>
      <c r="I61" s="49" t="s">
        <v>771</v>
      </c>
      <c r="J61" s="49" t="n">
        <v>1</v>
      </c>
    </row>
    <row r="62" customFormat="false" ht="15" hidden="false" customHeight="false" outlineLevel="0" collapsed="false">
      <c r="A62" s="48" t="str">
        <f aca="false">B62&amp;"|"&amp;C62&amp;"|"&amp;D62&amp;"|"&amp;E62</f>
        <v>Grad 2027|IB History|SL|3</v>
      </c>
      <c r="B62" s="49" t="s">
        <v>23</v>
      </c>
      <c r="C62" s="49" t="s">
        <v>416</v>
      </c>
      <c r="D62" s="49" t="s">
        <v>223</v>
      </c>
      <c r="E62" s="49" t="n">
        <v>3</v>
      </c>
      <c r="F62" s="49" t="s">
        <v>775</v>
      </c>
      <c r="G62" s="49" t="s">
        <v>757</v>
      </c>
      <c r="H62" s="49" t="n">
        <v>15</v>
      </c>
      <c r="I62" s="49" t="s">
        <v>776</v>
      </c>
      <c r="J62" s="49" t="n">
        <v>1</v>
      </c>
    </row>
    <row r="63" customFormat="false" ht="15" hidden="false" customHeight="false" outlineLevel="0" collapsed="false">
      <c r="A63" s="48" t="str">
        <f aca="false">B63&amp;"|"&amp;C63&amp;"|"&amp;D63&amp;"|"&amp;E63</f>
        <v>Grad 2027|IB History|SL|4</v>
      </c>
      <c r="B63" s="49" t="s">
        <v>23</v>
      </c>
      <c r="C63" s="49" t="s">
        <v>416</v>
      </c>
      <c r="D63" s="49" t="s">
        <v>223</v>
      </c>
      <c r="E63" s="49" t="n">
        <v>4</v>
      </c>
      <c r="F63" s="49" t="s">
        <v>778</v>
      </c>
      <c r="G63" s="49" t="s">
        <v>721</v>
      </c>
      <c r="H63" s="49" t="n">
        <v>24</v>
      </c>
      <c r="I63" s="49" t="s">
        <v>771</v>
      </c>
      <c r="J63" s="49" t="n">
        <v>2</v>
      </c>
    </row>
    <row r="64" customFormat="false" ht="15" hidden="false" customHeight="false" outlineLevel="0" collapsed="false">
      <c r="A64" s="48" t="str">
        <f aca="false">B64&amp;"|"&amp;C64&amp;"|"&amp;D64&amp;"|"&amp;E64</f>
        <v>Grad 2027|IB History|SL|5</v>
      </c>
      <c r="B64" s="49" t="s">
        <v>23</v>
      </c>
      <c r="C64" s="49" t="s">
        <v>416</v>
      </c>
      <c r="D64" s="49" t="s">
        <v>223</v>
      </c>
      <c r="E64" s="49" t="n">
        <v>5</v>
      </c>
      <c r="F64" s="49" t="s">
        <v>779</v>
      </c>
      <c r="G64" s="49" t="s">
        <v>721</v>
      </c>
      <c r="H64" s="49" t="n">
        <v>30</v>
      </c>
      <c r="I64" s="49" t="s">
        <v>780</v>
      </c>
      <c r="J64" s="49" t="n">
        <v>2</v>
      </c>
    </row>
    <row r="65" customFormat="false" ht="15" hidden="false" customHeight="false" outlineLevel="0" collapsed="false">
      <c r="A65" s="48" t="str">
        <f aca="false">B65&amp;"|"&amp;C65&amp;"|"&amp;D65&amp;"|"&amp;E65</f>
        <v>Grad 2027|IB History|SL|6</v>
      </c>
      <c r="B65" s="49" t="s">
        <v>23</v>
      </c>
      <c r="C65" s="49" t="s">
        <v>416</v>
      </c>
      <c r="D65" s="49" t="s">
        <v>223</v>
      </c>
      <c r="E65" s="49" t="n">
        <v>6</v>
      </c>
      <c r="F65" s="49" t="s">
        <v>783</v>
      </c>
      <c r="G65" s="49" t="s">
        <v>784</v>
      </c>
      <c r="H65" s="49" t="n">
        <v>24</v>
      </c>
      <c r="I65" s="49" t="s">
        <v>771</v>
      </c>
      <c r="J65" s="49" t="n">
        <v>1</v>
      </c>
    </row>
    <row r="66" customFormat="false" ht="15" hidden="false" customHeight="false" outlineLevel="0" collapsed="false">
      <c r="A66" s="48" t="str">
        <f aca="false">B66&amp;"|"&amp;C66&amp;"|"&amp;D66&amp;"|"&amp;E66</f>
        <v>Grad 2027|IB History|SL|7</v>
      </c>
      <c r="B66" s="49" t="s">
        <v>23</v>
      </c>
      <c r="C66" s="49" t="s">
        <v>416</v>
      </c>
      <c r="D66" s="49" t="s">
        <v>223</v>
      </c>
      <c r="E66" s="49" t="n">
        <v>7</v>
      </c>
      <c r="F66" s="49" t="s">
        <v>791</v>
      </c>
      <c r="G66" s="49" t="s">
        <v>762</v>
      </c>
      <c r="H66" s="49" t="n">
        <v>15</v>
      </c>
      <c r="I66" s="49" t="s">
        <v>776</v>
      </c>
      <c r="J66" s="49" t="n">
        <v>1</v>
      </c>
    </row>
    <row r="67" customFormat="false" ht="15" hidden="false" customHeight="false" outlineLevel="0" collapsed="false">
      <c r="A67" s="48" t="str">
        <f aca="false">B67&amp;"|"&amp;C67&amp;"|"&amp;D67&amp;"|"&amp;E67</f>
        <v>Grad 2027|IB History|SL|8</v>
      </c>
      <c r="B67" s="49" t="s">
        <v>23</v>
      </c>
      <c r="C67" s="49" t="s">
        <v>416</v>
      </c>
      <c r="D67" s="49" t="s">
        <v>223</v>
      </c>
      <c r="E67" s="49" t="n">
        <v>8</v>
      </c>
      <c r="F67" s="49" t="s">
        <v>788</v>
      </c>
      <c r="G67" s="49" t="s">
        <v>744</v>
      </c>
      <c r="H67" s="49" t="n">
        <v>15</v>
      </c>
      <c r="I67" s="49" t="s">
        <v>773</v>
      </c>
      <c r="J67" s="49" t="n">
        <v>1</v>
      </c>
    </row>
    <row r="68" customFormat="false" ht="15" hidden="false" customHeight="false" outlineLevel="0" collapsed="false">
      <c r="A68" s="48" t="str">
        <f aca="false">B68&amp;"|"&amp;C68&amp;"|"&amp;D68&amp;"|"&amp;E68</f>
        <v>Grad 2028|IB Geography|HL|1</v>
      </c>
      <c r="B68" s="49" t="s">
        <v>428</v>
      </c>
      <c r="C68" s="49" t="s">
        <v>24</v>
      </c>
      <c r="D68" s="49" t="s">
        <v>25</v>
      </c>
      <c r="E68" s="49" t="n">
        <v>1</v>
      </c>
      <c r="F68" s="49" t="s">
        <v>710</v>
      </c>
      <c r="G68" s="49" t="s">
        <v>792</v>
      </c>
      <c r="H68" s="49" t="n">
        <v>20</v>
      </c>
      <c r="I68" s="49" t="s">
        <v>712</v>
      </c>
      <c r="J68" s="49" t="n">
        <v>1</v>
      </c>
    </row>
    <row r="69" customFormat="false" ht="15" hidden="false" customHeight="false" outlineLevel="0" collapsed="false">
      <c r="A69" s="48" t="str">
        <f aca="false">B69&amp;"|"&amp;C69&amp;"|"&amp;D69&amp;"|"&amp;E69</f>
        <v>Grad 2028|IB Geography|HL|2</v>
      </c>
      <c r="B69" s="49" t="s">
        <v>428</v>
      </c>
      <c r="C69" s="49" t="s">
        <v>24</v>
      </c>
      <c r="D69" s="49" t="s">
        <v>25</v>
      </c>
      <c r="E69" s="49" t="n">
        <v>2</v>
      </c>
      <c r="F69" s="49" t="s">
        <v>713</v>
      </c>
      <c r="G69" s="49" t="s">
        <v>793</v>
      </c>
      <c r="H69" s="49" t="n">
        <v>20</v>
      </c>
      <c r="I69" s="49" t="s">
        <v>712</v>
      </c>
      <c r="J69" s="49" t="n">
        <v>1</v>
      </c>
    </row>
    <row r="70" customFormat="false" ht="15" hidden="false" customHeight="false" outlineLevel="0" collapsed="false">
      <c r="A70" s="48" t="str">
        <f aca="false">B70&amp;"|"&amp;C70&amp;"|"&amp;D70&amp;"|"&amp;E70</f>
        <v>Grad 2028|IB Geography|HL|3</v>
      </c>
      <c r="B70" s="49" t="s">
        <v>428</v>
      </c>
      <c r="C70" s="49" t="s">
        <v>24</v>
      </c>
      <c r="D70" s="49" t="s">
        <v>25</v>
      </c>
      <c r="E70" s="49" t="n">
        <v>3</v>
      </c>
      <c r="F70" s="49" t="s">
        <v>715</v>
      </c>
      <c r="G70" s="49" t="s">
        <v>793</v>
      </c>
      <c r="H70" s="49" t="n">
        <v>20</v>
      </c>
      <c r="I70" s="49" t="s">
        <v>716</v>
      </c>
      <c r="J70" s="49" t="n">
        <v>1</v>
      </c>
    </row>
    <row r="71" customFormat="false" ht="15" hidden="false" customHeight="false" outlineLevel="0" collapsed="false">
      <c r="A71" s="48" t="str">
        <f aca="false">B71&amp;"|"&amp;C71&amp;"|"&amp;D71&amp;"|"&amp;E71</f>
        <v>Grad 2028|IB Geography|HL|4</v>
      </c>
      <c r="B71" s="49" t="s">
        <v>428</v>
      </c>
      <c r="C71" s="49" t="s">
        <v>24</v>
      </c>
      <c r="D71" s="49" t="s">
        <v>25</v>
      </c>
      <c r="E71" s="49" t="n">
        <v>4</v>
      </c>
      <c r="F71" s="49" t="s">
        <v>717</v>
      </c>
      <c r="G71" s="49" t="s">
        <v>794</v>
      </c>
      <c r="H71" s="49" t="n">
        <v>20</v>
      </c>
      <c r="I71" s="49" t="s">
        <v>712</v>
      </c>
      <c r="J71" s="49" t="n">
        <v>1</v>
      </c>
    </row>
    <row r="72" customFormat="false" ht="15" hidden="false" customHeight="false" outlineLevel="0" collapsed="false">
      <c r="A72" s="48" t="str">
        <f aca="false">B72&amp;"|"&amp;C72&amp;"|"&amp;D72&amp;"|"&amp;E72</f>
        <v>Grad 2028|IB Geography|HL|5</v>
      </c>
      <c r="B72" s="49" t="s">
        <v>428</v>
      </c>
      <c r="C72" s="49" t="s">
        <v>24</v>
      </c>
      <c r="D72" s="49" t="s">
        <v>25</v>
      </c>
      <c r="E72" s="49" t="n">
        <v>5</v>
      </c>
      <c r="F72" s="49" t="s">
        <v>713</v>
      </c>
      <c r="G72" s="49" t="s">
        <v>795</v>
      </c>
      <c r="H72" s="49" t="n">
        <v>20</v>
      </c>
      <c r="I72" s="49" t="s">
        <v>712</v>
      </c>
      <c r="J72" s="49" t="n">
        <v>1</v>
      </c>
    </row>
    <row r="73" customFormat="false" ht="15" hidden="false" customHeight="false" outlineLevel="0" collapsed="false">
      <c r="A73" s="48" t="str">
        <f aca="false">B73&amp;"|"&amp;C73&amp;"|"&amp;D73&amp;"|"&amp;E73</f>
        <v>Grad 2028|IB Geography|HL|6</v>
      </c>
      <c r="B73" s="49" t="s">
        <v>428</v>
      </c>
      <c r="C73" s="49" t="s">
        <v>24</v>
      </c>
      <c r="D73" s="49" t="s">
        <v>25</v>
      </c>
      <c r="E73" s="49" t="n">
        <v>6</v>
      </c>
      <c r="F73" s="49" t="s">
        <v>720</v>
      </c>
      <c r="G73" s="49" t="s">
        <v>796</v>
      </c>
      <c r="H73" s="49" t="n">
        <v>40</v>
      </c>
      <c r="I73" s="49" t="s">
        <v>712</v>
      </c>
      <c r="J73" s="49" t="n">
        <v>2</v>
      </c>
    </row>
    <row r="74" customFormat="false" ht="15" hidden="false" customHeight="false" outlineLevel="0" collapsed="false">
      <c r="A74" s="48" t="str">
        <f aca="false">B74&amp;"|"&amp;C74&amp;"|"&amp;D74&amp;"|"&amp;E74</f>
        <v>Grad 2028|IB Geography|HL|7</v>
      </c>
      <c r="B74" s="49" t="s">
        <v>428</v>
      </c>
      <c r="C74" s="49" t="s">
        <v>24</v>
      </c>
      <c r="D74" s="49" t="s">
        <v>25</v>
      </c>
      <c r="E74" s="49" t="n">
        <v>7</v>
      </c>
      <c r="F74" s="49" t="s">
        <v>722</v>
      </c>
      <c r="G74" s="49" t="s">
        <v>796</v>
      </c>
      <c r="H74" s="49" t="n">
        <v>50</v>
      </c>
      <c r="I74" s="49" t="s">
        <v>716</v>
      </c>
      <c r="J74" s="49" t="n">
        <v>2</v>
      </c>
    </row>
    <row r="75" customFormat="false" ht="15" hidden="false" customHeight="false" outlineLevel="0" collapsed="false">
      <c r="A75" s="48" t="str">
        <f aca="false">B75&amp;"|"&amp;C75&amp;"|"&amp;D75&amp;"|"&amp;E75</f>
        <v>Grad 2028|IB Geography|SL|1</v>
      </c>
      <c r="B75" s="49" t="s">
        <v>428</v>
      </c>
      <c r="C75" s="49" t="s">
        <v>24</v>
      </c>
      <c r="D75" s="49" t="s">
        <v>223</v>
      </c>
      <c r="E75" s="49" t="n">
        <v>1</v>
      </c>
      <c r="F75" s="49" t="s">
        <v>729</v>
      </c>
      <c r="G75" s="49" t="s">
        <v>792</v>
      </c>
      <c r="H75" s="49" t="n">
        <v>10</v>
      </c>
      <c r="I75" s="49" t="s">
        <v>716</v>
      </c>
      <c r="J75" s="49" t="n">
        <v>1</v>
      </c>
    </row>
    <row r="76" customFormat="false" ht="15" hidden="false" customHeight="false" outlineLevel="0" collapsed="false">
      <c r="A76" s="48" t="str">
        <f aca="false">B76&amp;"|"&amp;C76&amp;"|"&amp;D76&amp;"|"&amp;E76</f>
        <v>Grad 2028|IB Geography|SL|2</v>
      </c>
      <c r="B76" s="49" t="s">
        <v>428</v>
      </c>
      <c r="C76" s="49" t="s">
        <v>24</v>
      </c>
      <c r="D76" s="49" t="s">
        <v>223</v>
      </c>
      <c r="E76" s="49" t="n">
        <v>2</v>
      </c>
      <c r="F76" s="49" t="s">
        <v>730</v>
      </c>
      <c r="G76" s="49" t="s">
        <v>793</v>
      </c>
      <c r="H76" s="49" t="n">
        <v>10</v>
      </c>
      <c r="I76" s="49" t="s">
        <v>716</v>
      </c>
      <c r="J76" s="49" t="n">
        <v>1</v>
      </c>
    </row>
    <row r="77" customFormat="false" ht="15" hidden="false" customHeight="false" outlineLevel="0" collapsed="false">
      <c r="A77" s="48" t="str">
        <f aca="false">B77&amp;"|"&amp;C77&amp;"|"&amp;D77&amp;"|"&amp;E77</f>
        <v>Grad 2028|IB Geography|SL|3</v>
      </c>
      <c r="B77" s="49" t="s">
        <v>428</v>
      </c>
      <c r="C77" s="49" t="s">
        <v>24</v>
      </c>
      <c r="D77" s="49" t="s">
        <v>223</v>
      </c>
      <c r="E77" s="49" t="n">
        <v>3</v>
      </c>
      <c r="F77" s="49" t="s">
        <v>731</v>
      </c>
      <c r="G77" s="49" t="s">
        <v>794</v>
      </c>
      <c r="H77" s="49" t="n">
        <v>20</v>
      </c>
      <c r="I77" s="49" t="s">
        <v>712</v>
      </c>
      <c r="J77" s="49" t="n">
        <v>1</v>
      </c>
    </row>
    <row r="78" customFormat="false" ht="15" hidden="false" customHeight="false" outlineLevel="0" collapsed="false">
      <c r="A78" s="48" t="str">
        <f aca="false">B78&amp;"|"&amp;C78&amp;"|"&amp;D78&amp;"|"&amp;E78</f>
        <v>Grad 2028|IB Geography|SL|4</v>
      </c>
      <c r="B78" s="49" t="s">
        <v>428</v>
      </c>
      <c r="C78" s="49" t="s">
        <v>24</v>
      </c>
      <c r="D78" s="49" t="s">
        <v>223</v>
      </c>
      <c r="E78" s="49" t="n">
        <v>4</v>
      </c>
      <c r="F78" s="49" t="s">
        <v>720</v>
      </c>
      <c r="G78" s="49" t="s">
        <v>796</v>
      </c>
      <c r="H78" s="49" t="n">
        <v>20</v>
      </c>
      <c r="I78" s="49" t="s">
        <v>712</v>
      </c>
      <c r="J78" s="49" t="n">
        <v>2</v>
      </c>
    </row>
    <row r="79" customFormat="false" ht="15" hidden="false" customHeight="false" outlineLevel="0" collapsed="false">
      <c r="A79" s="48" t="str">
        <f aca="false">B79&amp;"|"&amp;C79&amp;"|"&amp;D79&amp;"|"&amp;E79</f>
        <v>Grad 2028|IB Geography|SL|5</v>
      </c>
      <c r="B79" s="49" t="s">
        <v>428</v>
      </c>
      <c r="C79" s="49" t="s">
        <v>24</v>
      </c>
      <c r="D79" s="49" t="s">
        <v>223</v>
      </c>
      <c r="E79" s="49" t="n">
        <v>5</v>
      </c>
      <c r="F79" s="49" t="s">
        <v>722</v>
      </c>
      <c r="G79" s="49" t="s">
        <v>796</v>
      </c>
      <c r="H79" s="49" t="n">
        <v>50</v>
      </c>
      <c r="I79" s="49" t="s">
        <v>716</v>
      </c>
      <c r="J79" s="49" t="n">
        <v>2</v>
      </c>
    </row>
    <row r="80" customFormat="false" ht="15" hidden="false" customHeight="false" outlineLevel="0" collapsed="false">
      <c r="A80" s="48" t="str">
        <f aca="false">B80&amp;"|"&amp;C80&amp;"|"&amp;D80&amp;"|"&amp;E80</f>
        <v>Grad 2028|IB Economics|HL|1</v>
      </c>
      <c r="B80" s="49" t="s">
        <v>428</v>
      </c>
      <c r="C80" s="49" t="s">
        <v>229</v>
      </c>
      <c r="D80" s="49" t="s">
        <v>25</v>
      </c>
      <c r="E80" s="49" t="n">
        <v>1</v>
      </c>
      <c r="F80" s="49" t="s">
        <v>734</v>
      </c>
      <c r="G80" s="49" t="s">
        <v>797</v>
      </c>
      <c r="H80" s="49" t="n">
        <v>25</v>
      </c>
      <c r="I80" s="49" t="s">
        <v>736</v>
      </c>
      <c r="J80" s="49" t="n">
        <v>1</v>
      </c>
    </row>
    <row r="81" customFormat="false" ht="15" hidden="false" customHeight="false" outlineLevel="0" collapsed="false">
      <c r="A81" s="48" t="str">
        <f aca="false">B81&amp;"|"&amp;C81&amp;"|"&amp;D81&amp;"|"&amp;E81</f>
        <v>Grad 2028|IB Economics|HL|2</v>
      </c>
      <c r="B81" s="49" t="s">
        <v>428</v>
      </c>
      <c r="C81" s="49" t="s">
        <v>229</v>
      </c>
      <c r="D81" s="49" t="s">
        <v>25</v>
      </c>
      <c r="E81" s="49" t="n">
        <v>2</v>
      </c>
      <c r="F81" s="49" t="s">
        <v>737</v>
      </c>
      <c r="G81" s="49" t="s">
        <v>797</v>
      </c>
      <c r="H81" s="49" t="n">
        <v>24</v>
      </c>
      <c r="I81" s="49" t="s">
        <v>736</v>
      </c>
      <c r="J81" s="49" t="n">
        <v>1</v>
      </c>
    </row>
    <row r="82" customFormat="false" ht="15" hidden="false" customHeight="false" outlineLevel="0" collapsed="false">
      <c r="A82" s="48" t="str">
        <f aca="false">B82&amp;"|"&amp;C82&amp;"|"&amp;D82&amp;"|"&amp;E82</f>
        <v>Grad 2028|IB Economics|HL|3</v>
      </c>
      <c r="B82" s="49" t="s">
        <v>428</v>
      </c>
      <c r="C82" s="49" t="s">
        <v>229</v>
      </c>
      <c r="D82" s="49" t="s">
        <v>25</v>
      </c>
      <c r="E82" s="49" t="n">
        <v>3</v>
      </c>
      <c r="F82" s="49" t="s">
        <v>738</v>
      </c>
      <c r="G82" s="49" t="s">
        <v>798</v>
      </c>
      <c r="H82" s="49" t="n">
        <v>25</v>
      </c>
      <c r="I82" s="49" t="s">
        <v>736</v>
      </c>
      <c r="J82" s="49" t="n">
        <v>1</v>
      </c>
    </row>
    <row r="83" customFormat="false" ht="15" hidden="false" customHeight="false" outlineLevel="0" collapsed="false">
      <c r="A83" s="48" t="str">
        <f aca="false">B83&amp;"|"&amp;C83&amp;"|"&amp;D83&amp;"|"&amp;E83</f>
        <v>Grad 2028|IB Economics|HL|4</v>
      </c>
      <c r="B83" s="49" t="s">
        <v>428</v>
      </c>
      <c r="C83" s="49" t="s">
        <v>229</v>
      </c>
      <c r="D83" s="49" t="s">
        <v>25</v>
      </c>
      <c r="E83" s="49" t="n">
        <v>4</v>
      </c>
      <c r="F83" s="49" t="s">
        <v>740</v>
      </c>
      <c r="G83" s="49" t="s">
        <v>798</v>
      </c>
      <c r="H83" s="49" t="n">
        <v>35</v>
      </c>
      <c r="I83" s="49" t="s">
        <v>736</v>
      </c>
      <c r="J83" s="49" t="n">
        <v>1</v>
      </c>
    </row>
    <row r="84" customFormat="false" ht="15" hidden="false" customHeight="false" outlineLevel="0" collapsed="false">
      <c r="A84" s="48" t="str">
        <f aca="false">B84&amp;"|"&amp;C84&amp;"|"&amp;D84&amp;"|"&amp;E84</f>
        <v>Grad 2028|IB Economics|HL|5</v>
      </c>
      <c r="B84" s="49" t="s">
        <v>428</v>
      </c>
      <c r="C84" s="49" t="s">
        <v>229</v>
      </c>
      <c r="D84" s="49" t="s">
        <v>25</v>
      </c>
      <c r="E84" s="49" t="n">
        <v>5</v>
      </c>
      <c r="F84" s="49" t="s">
        <v>741</v>
      </c>
      <c r="G84" s="49" t="s">
        <v>796</v>
      </c>
      <c r="H84" s="49" t="n">
        <v>55</v>
      </c>
      <c r="I84" s="49" t="s">
        <v>742</v>
      </c>
      <c r="J84" s="49" t="n">
        <v>2</v>
      </c>
    </row>
    <row r="85" customFormat="false" ht="15" hidden="false" customHeight="false" outlineLevel="0" collapsed="false">
      <c r="A85" s="48" t="str">
        <f aca="false">B85&amp;"|"&amp;C85&amp;"|"&amp;D85&amp;"|"&amp;E85</f>
        <v>Grad 2028|IB Economics|HL|6</v>
      </c>
      <c r="B85" s="49" t="s">
        <v>428</v>
      </c>
      <c r="C85" s="49" t="s">
        <v>229</v>
      </c>
      <c r="D85" s="49" t="s">
        <v>25</v>
      </c>
      <c r="E85" s="49" t="n">
        <v>6</v>
      </c>
      <c r="F85" s="49" t="s">
        <v>799</v>
      </c>
      <c r="G85" s="49" t="s">
        <v>796</v>
      </c>
      <c r="H85" s="49" t="n">
        <v>28</v>
      </c>
      <c r="I85" s="49" t="s">
        <v>736</v>
      </c>
      <c r="J85" s="49" t="n">
        <v>1</v>
      </c>
    </row>
    <row r="86" customFormat="false" ht="15" hidden="false" customHeight="false" outlineLevel="0" collapsed="false">
      <c r="A86" s="48" t="str">
        <f aca="false">B86&amp;"|"&amp;C86&amp;"|"&amp;D86&amp;"|"&amp;E86</f>
        <v>Grad 2028|IB Economics|HL|7</v>
      </c>
      <c r="B86" s="49" t="s">
        <v>428</v>
      </c>
      <c r="C86" s="49" t="s">
        <v>229</v>
      </c>
      <c r="D86" s="49" t="s">
        <v>25</v>
      </c>
      <c r="E86" s="49" t="n">
        <v>7</v>
      </c>
      <c r="F86" s="49" t="s">
        <v>745</v>
      </c>
      <c r="G86" s="49" t="s">
        <v>744</v>
      </c>
      <c r="H86" s="49" t="n">
        <v>95</v>
      </c>
      <c r="I86" s="49" t="s">
        <v>742</v>
      </c>
      <c r="J86" s="49" t="n">
        <v>2</v>
      </c>
    </row>
    <row r="87" customFormat="false" ht="15" hidden="false" customHeight="false" outlineLevel="0" collapsed="false">
      <c r="A87" s="48" t="str">
        <f aca="false">B87&amp;"|"&amp;C87&amp;"|"&amp;D87&amp;"|"&amp;E87</f>
        <v>Grad 2028|IB Economics|SL|1</v>
      </c>
      <c r="B87" s="49" t="s">
        <v>428</v>
      </c>
      <c r="C87" s="49" t="s">
        <v>229</v>
      </c>
      <c r="D87" s="49" t="s">
        <v>223</v>
      </c>
      <c r="E87" s="49" t="n">
        <v>1</v>
      </c>
      <c r="F87" s="49" t="s">
        <v>746</v>
      </c>
      <c r="G87" s="49" t="s">
        <v>797</v>
      </c>
      <c r="H87" s="49" t="n">
        <v>25</v>
      </c>
      <c r="I87" s="49" t="s">
        <v>736</v>
      </c>
      <c r="J87" s="49" t="n">
        <v>1</v>
      </c>
    </row>
    <row r="88" customFormat="false" ht="15" hidden="false" customHeight="false" outlineLevel="0" collapsed="false">
      <c r="A88" s="48" t="str">
        <f aca="false">B88&amp;"|"&amp;C88&amp;"|"&amp;D88&amp;"|"&amp;E88</f>
        <v>Grad 2028|IB Economics|SL|2</v>
      </c>
      <c r="B88" s="49" t="s">
        <v>428</v>
      </c>
      <c r="C88" s="49" t="s">
        <v>229</v>
      </c>
      <c r="D88" s="49" t="s">
        <v>223</v>
      </c>
      <c r="E88" s="49" t="n">
        <v>2</v>
      </c>
      <c r="F88" s="49" t="s">
        <v>737</v>
      </c>
      <c r="G88" s="49" t="s">
        <v>797</v>
      </c>
      <c r="H88" s="49" t="n">
        <v>20</v>
      </c>
      <c r="I88" s="49" t="s">
        <v>736</v>
      </c>
      <c r="J88" s="49" t="n">
        <v>1</v>
      </c>
    </row>
    <row r="89" customFormat="false" ht="15" hidden="false" customHeight="false" outlineLevel="0" collapsed="false">
      <c r="A89" s="48" t="str">
        <f aca="false">B89&amp;"|"&amp;C89&amp;"|"&amp;D89&amp;"|"&amp;E89</f>
        <v>Grad 2028|IB Economics|SL|3</v>
      </c>
      <c r="B89" s="49" t="s">
        <v>428</v>
      </c>
      <c r="C89" s="49" t="s">
        <v>229</v>
      </c>
      <c r="D89" s="49" t="s">
        <v>223</v>
      </c>
      <c r="E89" s="49" t="n">
        <v>3</v>
      </c>
      <c r="F89" s="49" t="s">
        <v>747</v>
      </c>
      <c r="G89" s="49" t="s">
        <v>798</v>
      </c>
      <c r="H89" s="49" t="n">
        <v>25</v>
      </c>
      <c r="I89" s="49" t="s">
        <v>736</v>
      </c>
      <c r="J89" s="49" t="n">
        <v>1</v>
      </c>
    </row>
    <row r="90" customFormat="false" ht="15" hidden="false" customHeight="false" outlineLevel="0" collapsed="false">
      <c r="A90" s="48" t="str">
        <f aca="false">B90&amp;"|"&amp;C90&amp;"|"&amp;D90&amp;"|"&amp;E90</f>
        <v>Grad 2028|IB Economics|SL|4</v>
      </c>
      <c r="B90" s="49" t="s">
        <v>428</v>
      </c>
      <c r="C90" s="49" t="s">
        <v>229</v>
      </c>
      <c r="D90" s="49" t="s">
        <v>223</v>
      </c>
      <c r="E90" s="49" t="n">
        <v>4</v>
      </c>
      <c r="F90" s="49" t="s">
        <v>740</v>
      </c>
      <c r="G90" s="49" t="s">
        <v>798</v>
      </c>
      <c r="H90" s="49" t="n">
        <v>23</v>
      </c>
      <c r="I90" s="49" t="s">
        <v>736</v>
      </c>
      <c r="J90" s="49" t="n">
        <v>1</v>
      </c>
    </row>
    <row r="91" customFormat="false" ht="15" hidden="false" customHeight="false" outlineLevel="0" collapsed="false">
      <c r="A91" s="48" t="str">
        <f aca="false">B91&amp;"|"&amp;C91&amp;"|"&amp;D91&amp;"|"&amp;E91</f>
        <v>Grad 2028|IB Economics|SL|5</v>
      </c>
      <c r="B91" s="49" t="s">
        <v>428</v>
      </c>
      <c r="C91" s="49" t="s">
        <v>229</v>
      </c>
      <c r="D91" s="49" t="s">
        <v>223</v>
      </c>
      <c r="E91" s="49" t="n">
        <v>5</v>
      </c>
      <c r="F91" s="49" t="s">
        <v>748</v>
      </c>
      <c r="G91" s="49" t="s">
        <v>796</v>
      </c>
      <c r="H91" s="49" t="n">
        <v>25</v>
      </c>
      <c r="I91" s="49" t="s">
        <v>742</v>
      </c>
      <c r="J91" s="49" t="n">
        <v>2</v>
      </c>
    </row>
    <row r="92" customFormat="false" ht="15" hidden="false" customHeight="false" outlineLevel="0" collapsed="false">
      <c r="A92" s="48" t="str">
        <f aca="false">B92&amp;"|"&amp;C92&amp;"|"&amp;D92&amp;"|"&amp;E92</f>
        <v>Grad 2028|IB Economics|SL|6</v>
      </c>
      <c r="B92" s="49" t="s">
        <v>428</v>
      </c>
      <c r="C92" s="49" t="s">
        <v>229</v>
      </c>
      <c r="D92" s="49" t="s">
        <v>223</v>
      </c>
      <c r="E92" s="49" t="n">
        <v>6</v>
      </c>
      <c r="F92" s="49" t="s">
        <v>800</v>
      </c>
      <c r="G92" s="49" t="s">
        <v>744</v>
      </c>
      <c r="H92" s="49" t="n">
        <v>23</v>
      </c>
      <c r="I92" s="49" t="s">
        <v>736</v>
      </c>
      <c r="J92" s="49" t="n">
        <v>1</v>
      </c>
    </row>
    <row r="93" customFormat="false" ht="15" hidden="false" customHeight="false" outlineLevel="0" collapsed="false">
      <c r="A93" s="48" t="str">
        <f aca="false">B93&amp;"|"&amp;C93&amp;"|"&amp;D93&amp;"|"&amp;E93</f>
        <v>Grad 2028|IB Economics|SL|7</v>
      </c>
      <c r="B93" s="49" t="s">
        <v>428</v>
      </c>
      <c r="C93" s="49" t="s">
        <v>229</v>
      </c>
      <c r="D93" s="49" t="s">
        <v>223</v>
      </c>
      <c r="E93" s="49" t="n">
        <v>7</v>
      </c>
      <c r="F93" s="49" t="s">
        <v>750</v>
      </c>
      <c r="G93" s="49" t="s">
        <v>744</v>
      </c>
      <c r="H93" s="49" t="n">
        <v>52</v>
      </c>
      <c r="I93" s="49" t="s">
        <v>742</v>
      </c>
      <c r="J93" s="49" t="n">
        <v>2</v>
      </c>
    </row>
    <row r="94" customFormat="false" ht="15" hidden="false" customHeight="false" outlineLevel="0" collapsed="false">
      <c r="A94" s="48" t="str">
        <f aca="false">B94&amp;"|"&amp;C94&amp;"|"&amp;D94&amp;"|"&amp;E94</f>
        <v>Grad 2028|IB Business Management|HL|1</v>
      </c>
      <c r="B94" s="49" t="s">
        <v>428</v>
      </c>
      <c r="C94" s="49" t="s">
        <v>365</v>
      </c>
      <c r="D94" s="49" t="s">
        <v>25</v>
      </c>
      <c r="E94" s="49" t="n">
        <v>1</v>
      </c>
      <c r="F94" s="49" t="s">
        <v>751</v>
      </c>
      <c r="G94" s="49" t="s">
        <v>801</v>
      </c>
      <c r="H94" s="49" t="n">
        <v>24</v>
      </c>
      <c r="I94" s="49" t="s">
        <v>753</v>
      </c>
      <c r="J94" s="49" t="n">
        <v>1</v>
      </c>
    </row>
    <row r="95" customFormat="false" ht="15" hidden="false" customHeight="false" outlineLevel="0" collapsed="false">
      <c r="A95" s="48" t="str">
        <f aca="false">B95&amp;"|"&amp;C95&amp;"|"&amp;D95&amp;"|"&amp;E95</f>
        <v>Grad 2028|IB Business Management|HL|2</v>
      </c>
      <c r="B95" s="49" t="s">
        <v>428</v>
      </c>
      <c r="C95" s="49" t="s">
        <v>365</v>
      </c>
      <c r="D95" s="49" t="s">
        <v>25</v>
      </c>
      <c r="E95" s="49" t="n">
        <v>2</v>
      </c>
      <c r="F95" s="49" t="s">
        <v>754</v>
      </c>
      <c r="G95" s="49" t="s">
        <v>802</v>
      </c>
      <c r="H95" s="49" t="n">
        <v>20</v>
      </c>
      <c r="I95" s="49" t="s">
        <v>753</v>
      </c>
      <c r="J95" s="49" t="n">
        <v>1</v>
      </c>
    </row>
    <row r="96" customFormat="false" ht="15" hidden="false" customHeight="false" outlineLevel="0" collapsed="false">
      <c r="A96" s="48" t="str">
        <f aca="false">B96&amp;"|"&amp;C96&amp;"|"&amp;D96&amp;"|"&amp;E96</f>
        <v>Grad 2028|IB Business Management|HL|3</v>
      </c>
      <c r="B96" s="49" t="s">
        <v>428</v>
      </c>
      <c r="C96" s="49" t="s">
        <v>365</v>
      </c>
      <c r="D96" s="49" t="s">
        <v>25</v>
      </c>
      <c r="E96" s="49" t="n">
        <v>3</v>
      </c>
      <c r="F96" s="49" t="s">
        <v>756</v>
      </c>
      <c r="G96" s="49" t="s">
        <v>803</v>
      </c>
      <c r="H96" s="49" t="n">
        <v>20</v>
      </c>
      <c r="I96" s="49" t="s">
        <v>753</v>
      </c>
      <c r="J96" s="49" t="n">
        <v>1</v>
      </c>
    </row>
    <row r="97" customFormat="false" ht="15" hidden="false" customHeight="false" outlineLevel="0" collapsed="false">
      <c r="A97" s="48" t="str">
        <f aca="false">B97&amp;"|"&amp;C97&amp;"|"&amp;D97&amp;"|"&amp;E97</f>
        <v>Grad 2028|IB Business Management|HL|4</v>
      </c>
      <c r="B97" s="49" t="s">
        <v>428</v>
      </c>
      <c r="C97" s="49" t="s">
        <v>365</v>
      </c>
      <c r="D97" s="49" t="s">
        <v>25</v>
      </c>
      <c r="E97" s="49" t="n">
        <v>4</v>
      </c>
      <c r="F97" s="49" t="s">
        <v>748</v>
      </c>
      <c r="G97" s="49" t="s">
        <v>796</v>
      </c>
      <c r="H97" s="49" t="n">
        <v>40</v>
      </c>
      <c r="I97" s="49" t="s">
        <v>758</v>
      </c>
      <c r="J97" s="49" t="n">
        <v>2</v>
      </c>
    </row>
    <row r="98" customFormat="false" ht="15" hidden="false" customHeight="false" outlineLevel="0" collapsed="false">
      <c r="A98" s="48" t="str">
        <f aca="false">B98&amp;"|"&amp;C98&amp;"|"&amp;D98&amp;"|"&amp;E98</f>
        <v>Grad 2028|IB Business Management|HL|5</v>
      </c>
      <c r="B98" s="49" t="s">
        <v>428</v>
      </c>
      <c r="C98" s="49" t="s">
        <v>365</v>
      </c>
      <c r="D98" s="49" t="s">
        <v>25</v>
      </c>
      <c r="E98" s="49" t="n">
        <v>5</v>
      </c>
      <c r="F98" s="49" t="s">
        <v>759</v>
      </c>
      <c r="G98" s="49" t="s">
        <v>760</v>
      </c>
      <c r="H98" s="49" t="n">
        <v>30</v>
      </c>
      <c r="I98" s="49" t="s">
        <v>753</v>
      </c>
      <c r="J98" s="49" t="n">
        <v>1</v>
      </c>
    </row>
    <row r="99" customFormat="false" ht="15" hidden="false" customHeight="false" outlineLevel="0" collapsed="false">
      <c r="A99" s="48" t="str">
        <f aca="false">B99&amp;"|"&amp;C99&amp;"|"&amp;D99&amp;"|"&amp;E99</f>
        <v>Grad 2028|IB Business Management|HL|6</v>
      </c>
      <c r="B99" s="49" t="s">
        <v>428</v>
      </c>
      <c r="C99" s="49" t="s">
        <v>365</v>
      </c>
      <c r="D99" s="49" t="s">
        <v>25</v>
      </c>
      <c r="E99" s="49" t="n">
        <v>6</v>
      </c>
      <c r="F99" s="49" t="s">
        <v>761</v>
      </c>
      <c r="G99" s="49" t="s">
        <v>762</v>
      </c>
      <c r="H99" s="49" t="n">
        <v>20</v>
      </c>
      <c r="I99" s="49" t="s">
        <v>753</v>
      </c>
      <c r="J99" s="49" t="n">
        <v>1</v>
      </c>
    </row>
    <row r="100" customFormat="false" ht="15" hidden="false" customHeight="false" outlineLevel="0" collapsed="false">
      <c r="A100" s="48" t="str">
        <f aca="false">B100&amp;"|"&amp;C100&amp;"|"&amp;D100&amp;"|"&amp;E100</f>
        <v>Grad 2028|IB Business Management|HL|7</v>
      </c>
      <c r="B100" s="49" t="s">
        <v>428</v>
      </c>
      <c r="C100" s="49" t="s">
        <v>365</v>
      </c>
      <c r="D100" s="49" t="s">
        <v>25</v>
      </c>
      <c r="E100" s="49" t="n">
        <v>7</v>
      </c>
      <c r="F100" s="49" t="s">
        <v>769</v>
      </c>
      <c r="G100" s="49" t="s">
        <v>764</v>
      </c>
      <c r="H100" s="49" t="n">
        <v>50</v>
      </c>
      <c r="I100" s="49" t="s">
        <v>758</v>
      </c>
      <c r="J100" s="49" t="n">
        <v>2</v>
      </c>
    </row>
    <row r="101" customFormat="false" ht="15" hidden="false" customHeight="false" outlineLevel="0" collapsed="false">
      <c r="A101" s="48" t="str">
        <f aca="false">B101&amp;"|"&amp;C101&amp;"|"&amp;D101&amp;"|"&amp;E101</f>
        <v>Grad 2028|IB Business Management|SL|1</v>
      </c>
      <c r="B101" s="49" t="s">
        <v>428</v>
      </c>
      <c r="C101" s="49" t="s">
        <v>365</v>
      </c>
      <c r="D101" s="49" t="s">
        <v>223</v>
      </c>
      <c r="E101" s="49" t="n">
        <v>1</v>
      </c>
      <c r="F101" s="49" t="s">
        <v>766</v>
      </c>
      <c r="G101" s="49" t="s">
        <v>797</v>
      </c>
      <c r="H101" s="49" t="n">
        <v>24</v>
      </c>
      <c r="I101" s="49" t="s">
        <v>753</v>
      </c>
      <c r="J101" s="49" t="n">
        <v>1</v>
      </c>
    </row>
    <row r="102" customFormat="false" ht="15" hidden="false" customHeight="false" outlineLevel="0" collapsed="false">
      <c r="A102" s="48" t="str">
        <f aca="false">B102&amp;"|"&amp;C102&amp;"|"&amp;D102&amp;"|"&amp;E102</f>
        <v>Grad 2028|IB Business Management|SL|2</v>
      </c>
      <c r="B102" s="49" t="s">
        <v>428</v>
      </c>
      <c r="C102" s="49" t="s">
        <v>365</v>
      </c>
      <c r="D102" s="49" t="s">
        <v>223</v>
      </c>
      <c r="E102" s="49" t="n">
        <v>2</v>
      </c>
      <c r="F102" s="49" t="s">
        <v>767</v>
      </c>
      <c r="G102" s="49" t="s">
        <v>797</v>
      </c>
      <c r="H102" s="49" t="n">
        <v>20</v>
      </c>
      <c r="I102" s="49" t="s">
        <v>753</v>
      </c>
      <c r="J102" s="49" t="n">
        <v>1</v>
      </c>
    </row>
    <row r="103" customFormat="false" ht="15" hidden="false" customHeight="false" outlineLevel="0" collapsed="false">
      <c r="A103" s="48" t="str">
        <f aca="false">B103&amp;"|"&amp;C103&amp;"|"&amp;D103&amp;"|"&amp;E103</f>
        <v>Grad 2028|IB Business Management|SL|3</v>
      </c>
      <c r="B103" s="49" t="s">
        <v>428</v>
      </c>
      <c r="C103" s="49" t="s">
        <v>365</v>
      </c>
      <c r="D103" s="49" t="s">
        <v>223</v>
      </c>
      <c r="E103" s="49" t="n">
        <v>3</v>
      </c>
      <c r="F103" s="49" t="s">
        <v>756</v>
      </c>
      <c r="G103" s="49" t="s">
        <v>803</v>
      </c>
      <c r="H103" s="49" t="n">
        <v>24</v>
      </c>
      <c r="I103" s="49" t="s">
        <v>753</v>
      </c>
      <c r="J103" s="49" t="n">
        <v>1</v>
      </c>
    </row>
    <row r="104" customFormat="false" ht="15" hidden="false" customHeight="false" outlineLevel="0" collapsed="false">
      <c r="A104" s="48" t="str">
        <f aca="false">B104&amp;"|"&amp;C104&amp;"|"&amp;D104&amp;"|"&amp;E104</f>
        <v>Grad 2028|IB Business Management|SL|4</v>
      </c>
      <c r="B104" s="49" t="s">
        <v>428</v>
      </c>
      <c r="C104" s="49" t="s">
        <v>365</v>
      </c>
      <c r="D104" s="49" t="s">
        <v>223</v>
      </c>
      <c r="E104" s="49" t="n">
        <v>4</v>
      </c>
      <c r="F104" s="49" t="s">
        <v>748</v>
      </c>
      <c r="G104" s="49" t="s">
        <v>796</v>
      </c>
      <c r="H104" s="49" t="n">
        <v>40</v>
      </c>
      <c r="I104" s="49" t="s">
        <v>758</v>
      </c>
      <c r="J104" s="49" t="n">
        <v>2</v>
      </c>
    </row>
    <row r="105" customFormat="false" ht="15" hidden="false" customHeight="false" outlineLevel="0" collapsed="false">
      <c r="A105" s="48" t="str">
        <f aca="false">B105&amp;"|"&amp;C105&amp;"|"&amp;D105&amp;"|"&amp;E105</f>
        <v>Grad 2028|IB Business Management|SL|5</v>
      </c>
      <c r="B105" s="49" t="s">
        <v>428</v>
      </c>
      <c r="C105" s="49" t="s">
        <v>365</v>
      </c>
      <c r="D105" s="49" t="s">
        <v>223</v>
      </c>
      <c r="E105" s="49" t="n">
        <v>5</v>
      </c>
      <c r="F105" s="49" t="s">
        <v>768</v>
      </c>
      <c r="G105" s="49" t="s">
        <v>760</v>
      </c>
      <c r="H105" s="49" t="n">
        <v>30</v>
      </c>
      <c r="I105" s="49" t="s">
        <v>753</v>
      </c>
      <c r="J105" s="49" t="n">
        <v>1</v>
      </c>
    </row>
    <row r="106" customFormat="false" ht="15" hidden="false" customHeight="false" outlineLevel="0" collapsed="false">
      <c r="A106" s="48" t="str">
        <f aca="false">B106&amp;"|"&amp;C106&amp;"|"&amp;D106&amp;"|"&amp;E106</f>
        <v>Grad 2028|IB Business Management|SL|6</v>
      </c>
      <c r="B106" s="49" t="s">
        <v>428</v>
      </c>
      <c r="C106" s="49" t="s">
        <v>365</v>
      </c>
      <c r="D106" s="49" t="s">
        <v>223</v>
      </c>
      <c r="E106" s="49" t="n">
        <v>6</v>
      </c>
      <c r="F106" s="49" t="s">
        <v>761</v>
      </c>
      <c r="G106" s="49" t="s">
        <v>762</v>
      </c>
      <c r="H106" s="49" t="n">
        <v>20</v>
      </c>
      <c r="I106" s="49" t="s">
        <v>753</v>
      </c>
      <c r="J106" s="49" t="n">
        <v>1</v>
      </c>
    </row>
    <row r="107" customFormat="false" ht="15" hidden="false" customHeight="false" outlineLevel="0" collapsed="false">
      <c r="A107" s="48" t="str">
        <f aca="false">B107&amp;"|"&amp;C107&amp;"|"&amp;D107&amp;"|"&amp;E107</f>
        <v>Grad 2028|IB History|HL|1</v>
      </c>
      <c r="B107" s="49" t="s">
        <v>428</v>
      </c>
      <c r="C107" s="49" t="s">
        <v>416</v>
      </c>
      <c r="D107" s="49" t="s">
        <v>25</v>
      </c>
      <c r="E107" s="49" t="n">
        <v>1</v>
      </c>
      <c r="F107" s="49" t="s">
        <v>804</v>
      </c>
      <c r="G107" s="49" t="s">
        <v>801</v>
      </c>
      <c r="H107" s="49" t="n">
        <v>15</v>
      </c>
      <c r="I107" s="49" t="s">
        <v>773</v>
      </c>
      <c r="J107" s="49" t="n">
        <v>1</v>
      </c>
    </row>
    <row r="108" customFormat="false" ht="15" hidden="false" customHeight="false" outlineLevel="0" collapsed="false">
      <c r="A108" s="48" t="str">
        <f aca="false">B108&amp;"|"&amp;C108&amp;"|"&amp;D108&amp;"|"&amp;E108</f>
        <v>Grad 2028|IB History|HL|2</v>
      </c>
      <c r="B108" s="49" t="s">
        <v>428</v>
      </c>
      <c r="C108" s="49" t="s">
        <v>416</v>
      </c>
      <c r="D108" s="49" t="s">
        <v>25</v>
      </c>
      <c r="E108" s="49" t="n">
        <v>2</v>
      </c>
      <c r="F108" s="49" t="s">
        <v>805</v>
      </c>
      <c r="G108" s="49" t="s">
        <v>801</v>
      </c>
      <c r="H108" s="49" t="n">
        <v>10</v>
      </c>
      <c r="I108" s="49" t="s">
        <v>776</v>
      </c>
      <c r="J108" s="49" t="n">
        <v>1</v>
      </c>
    </row>
    <row r="109" customFormat="false" ht="15" hidden="false" customHeight="false" outlineLevel="0" collapsed="false">
      <c r="A109" s="48" t="str">
        <f aca="false">B109&amp;"|"&amp;C109&amp;"|"&amp;D109&amp;"|"&amp;E109</f>
        <v>Grad 2028|IB History|HL|3</v>
      </c>
      <c r="B109" s="49" t="s">
        <v>428</v>
      </c>
      <c r="C109" s="49" t="s">
        <v>416</v>
      </c>
      <c r="D109" s="49" t="s">
        <v>25</v>
      </c>
      <c r="E109" s="49" t="n">
        <v>3</v>
      </c>
      <c r="F109" s="49" t="s">
        <v>806</v>
      </c>
      <c r="G109" s="49" t="s">
        <v>802</v>
      </c>
      <c r="H109" s="49" t="n">
        <v>24</v>
      </c>
      <c r="I109" s="49" t="s">
        <v>776</v>
      </c>
      <c r="J109" s="49" t="n">
        <v>1</v>
      </c>
    </row>
    <row r="110" customFormat="false" ht="15" hidden="false" customHeight="false" outlineLevel="0" collapsed="false">
      <c r="A110" s="48" t="str">
        <f aca="false">B110&amp;"|"&amp;C110&amp;"|"&amp;D110&amp;"|"&amp;E110</f>
        <v>Grad 2028|IB History|HL|4</v>
      </c>
      <c r="B110" s="49" t="s">
        <v>428</v>
      </c>
      <c r="C110" s="49" t="s">
        <v>416</v>
      </c>
      <c r="D110" s="49" t="s">
        <v>25</v>
      </c>
      <c r="E110" s="49" t="n">
        <v>4</v>
      </c>
      <c r="F110" s="49" t="s">
        <v>807</v>
      </c>
      <c r="G110" s="49" t="s">
        <v>802</v>
      </c>
      <c r="H110" s="49" t="n">
        <v>15</v>
      </c>
      <c r="I110" s="49" t="s">
        <v>773</v>
      </c>
      <c r="J110" s="49" t="n">
        <v>1</v>
      </c>
    </row>
    <row r="111" customFormat="false" ht="15" hidden="false" customHeight="false" outlineLevel="0" collapsed="false">
      <c r="A111" s="48" t="str">
        <f aca="false">B111&amp;"|"&amp;C111&amp;"|"&amp;D111&amp;"|"&amp;E111</f>
        <v>Grad 2028|IB History|HL|5</v>
      </c>
      <c r="B111" s="49" t="s">
        <v>428</v>
      </c>
      <c r="C111" s="49" t="s">
        <v>416</v>
      </c>
      <c r="D111" s="49" t="s">
        <v>25</v>
      </c>
      <c r="E111" s="49" t="n">
        <v>5</v>
      </c>
      <c r="F111" s="49" t="s">
        <v>808</v>
      </c>
      <c r="G111" s="49" t="s">
        <v>803</v>
      </c>
      <c r="H111" s="49" t="n">
        <v>15</v>
      </c>
      <c r="I111" s="49" t="s">
        <v>773</v>
      </c>
      <c r="J111" s="49" t="n">
        <v>1</v>
      </c>
    </row>
    <row r="112" customFormat="false" ht="15" hidden="false" customHeight="false" outlineLevel="0" collapsed="false">
      <c r="A112" s="48" t="str">
        <f aca="false">B112&amp;"|"&amp;C112&amp;"|"&amp;D112&amp;"|"&amp;E112</f>
        <v>Grad 2028|IB History|HL|6</v>
      </c>
      <c r="B112" s="49" t="s">
        <v>428</v>
      </c>
      <c r="C112" s="49" t="s">
        <v>416</v>
      </c>
      <c r="D112" s="49" t="s">
        <v>25</v>
      </c>
      <c r="E112" s="49" t="n">
        <v>6</v>
      </c>
      <c r="F112" s="49" t="s">
        <v>809</v>
      </c>
      <c r="G112" s="49" t="s">
        <v>803</v>
      </c>
      <c r="H112" s="49" t="n">
        <v>15</v>
      </c>
      <c r="I112" s="49" t="s">
        <v>773</v>
      </c>
      <c r="J112" s="49" t="n">
        <v>1</v>
      </c>
    </row>
    <row r="113" customFormat="false" ht="15" hidden="false" customHeight="false" outlineLevel="0" collapsed="false">
      <c r="A113" s="48" t="str">
        <f aca="false">B113&amp;"|"&amp;C113&amp;"|"&amp;D113&amp;"|"&amp;E113</f>
        <v>Grad 2028|IB History|HL|7</v>
      </c>
      <c r="B113" s="49" t="s">
        <v>428</v>
      </c>
      <c r="C113" s="49" t="s">
        <v>416</v>
      </c>
      <c r="D113" s="49" t="s">
        <v>25</v>
      </c>
      <c r="E113" s="49" t="n">
        <v>7</v>
      </c>
      <c r="F113" s="49" t="s">
        <v>720</v>
      </c>
      <c r="G113" s="49" t="s">
        <v>796</v>
      </c>
      <c r="H113" s="49" t="n">
        <v>24</v>
      </c>
      <c r="I113" s="49" t="s">
        <v>771</v>
      </c>
      <c r="J113" s="49" t="n">
        <v>2</v>
      </c>
    </row>
    <row r="114" customFormat="false" ht="15" hidden="false" customHeight="false" outlineLevel="0" collapsed="false">
      <c r="A114" s="48" t="str">
        <f aca="false">B114&amp;"|"&amp;C114&amp;"|"&amp;D114&amp;"|"&amp;E114</f>
        <v>Grad 2028|IB History|HL|8</v>
      </c>
      <c r="B114" s="49" t="s">
        <v>428</v>
      </c>
      <c r="C114" s="49" t="s">
        <v>416</v>
      </c>
      <c r="D114" s="49" t="s">
        <v>25</v>
      </c>
      <c r="E114" s="49" t="n">
        <v>8</v>
      </c>
      <c r="F114" s="49" t="s">
        <v>722</v>
      </c>
      <c r="G114" s="49" t="s">
        <v>796</v>
      </c>
      <c r="H114" s="49" t="n">
        <v>30</v>
      </c>
      <c r="I114" s="49" t="s">
        <v>780</v>
      </c>
      <c r="J114" s="49" t="n">
        <v>2</v>
      </c>
    </row>
    <row r="115" customFormat="false" ht="15" hidden="false" customHeight="false" outlineLevel="0" collapsed="false">
      <c r="A115" s="48" t="str">
        <f aca="false">B115&amp;"|"&amp;C115&amp;"|"&amp;D115&amp;"|"&amp;E115</f>
        <v>Grad 2028|IB History|HL|9</v>
      </c>
      <c r="B115" s="49" t="s">
        <v>428</v>
      </c>
      <c r="C115" s="49" t="s">
        <v>416</v>
      </c>
      <c r="D115" s="49" t="s">
        <v>25</v>
      </c>
      <c r="E115" s="49" t="n">
        <v>9</v>
      </c>
      <c r="F115" s="49" t="s">
        <v>781</v>
      </c>
      <c r="G115" s="49" t="s">
        <v>796</v>
      </c>
      <c r="H115" s="49" t="n">
        <v>15</v>
      </c>
      <c r="I115" s="49" t="s">
        <v>782</v>
      </c>
      <c r="J115" s="49" t="n">
        <v>2</v>
      </c>
    </row>
    <row r="116" customFormat="false" ht="15" hidden="false" customHeight="false" outlineLevel="0" collapsed="false">
      <c r="A116" s="48" t="str">
        <f aca="false">B116&amp;"|"&amp;C116&amp;"|"&amp;D116&amp;"|"&amp;E116</f>
        <v>Grad 2028|IB History|SL|1</v>
      </c>
      <c r="B116" s="49" t="s">
        <v>428</v>
      </c>
      <c r="C116" s="49" t="s">
        <v>416</v>
      </c>
      <c r="D116" s="49" t="s">
        <v>223</v>
      </c>
      <c r="E116" s="49" t="n">
        <v>1</v>
      </c>
      <c r="F116" s="49" t="s">
        <v>805</v>
      </c>
      <c r="G116" s="49" t="s">
        <v>801</v>
      </c>
      <c r="H116" s="49" t="n">
        <v>10</v>
      </c>
      <c r="I116" s="49" t="s">
        <v>776</v>
      </c>
      <c r="J116" s="49" t="n">
        <v>1</v>
      </c>
    </row>
    <row r="117" customFormat="false" ht="15" hidden="false" customHeight="false" outlineLevel="0" collapsed="false">
      <c r="A117" s="48" t="str">
        <f aca="false">B117&amp;"|"&amp;C117&amp;"|"&amp;D117&amp;"|"&amp;E117</f>
        <v>Grad 2028|IB History|SL|2</v>
      </c>
      <c r="B117" s="49" t="s">
        <v>428</v>
      </c>
      <c r="C117" s="49" t="s">
        <v>416</v>
      </c>
      <c r="D117" s="49" t="s">
        <v>223</v>
      </c>
      <c r="E117" s="49" t="n">
        <v>2</v>
      </c>
      <c r="F117" s="49" t="s">
        <v>810</v>
      </c>
      <c r="G117" s="49" t="s">
        <v>802</v>
      </c>
      <c r="H117" s="49" t="n">
        <v>24</v>
      </c>
      <c r="I117" s="49" t="s">
        <v>776</v>
      </c>
      <c r="J117" s="49" t="n">
        <v>1</v>
      </c>
    </row>
    <row r="118" customFormat="false" ht="15" hidden="false" customHeight="false" outlineLevel="0" collapsed="false">
      <c r="A118" s="48" t="str">
        <f aca="false">B118&amp;"|"&amp;C118&amp;"|"&amp;D118&amp;"|"&amp;E118</f>
        <v>Grad 2028|IB History|SL|3</v>
      </c>
      <c r="B118" s="49" t="s">
        <v>428</v>
      </c>
      <c r="C118" s="49" t="s">
        <v>416</v>
      </c>
      <c r="D118" s="49" t="s">
        <v>223</v>
      </c>
      <c r="E118" s="49" t="n">
        <v>3</v>
      </c>
      <c r="F118" s="49" t="s">
        <v>811</v>
      </c>
      <c r="G118" s="49" t="s">
        <v>803</v>
      </c>
      <c r="H118" s="49" t="n">
        <v>15</v>
      </c>
      <c r="I118" s="49" t="s">
        <v>776</v>
      </c>
      <c r="J118" s="49" t="n">
        <v>1</v>
      </c>
    </row>
    <row r="119" customFormat="false" ht="15" hidden="false" customHeight="false" outlineLevel="0" collapsed="false">
      <c r="A119" s="48" t="str">
        <f aca="false">B119&amp;"|"&amp;C119&amp;"|"&amp;D119&amp;"|"&amp;E119</f>
        <v>Grad 2028|IB History|SL|4</v>
      </c>
      <c r="B119" s="49" t="s">
        <v>428</v>
      </c>
      <c r="C119" s="49" t="s">
        <v>416</v>
      </c>
      <c r="D119" s="49" t="s">
        <v>223</v>
      </c>
      <c r="E119" s="49" t="n">
        <v>4</v>
      </c>
      <c r="F119" s="49" t="s">
        <v>720</v>
      </c>
      <c r="G119" s="49" t="s">
        <v>796</v>
      </c>
      <c r="H119" s="49" t="n">
        <v>24</v>
      </c>
      <c r="I119" s="49" t="s">
        <v>771</v>
      </c>
      <c r="J119" s="49" t="n">
        <v>2</v>
      </c>
    </row>
    <row r="120" customFormat="false" ht="15" hidden="false" customHeight="false" outlineLevel="0" collapsed="false">
      <c r="A120" s="48" t="str">
        <f aca="false">B120&amp;"|"&amp;C120&amp;"|"&amp;D120&amp;"|"&amp;E120</f>
        <v>Grad 2028|IB History|SL|5</v>
      </c>
      <c r="B120" s="49" t="s">
        <v>428</v>
      </c>
      <c r="C120" s="49" t="s">
        <v>416</v>
      </c>
      <c r="D120" s="49" t="s">
        <v>223</v>
      </c>
      <c r="E120" s="49" t="n">
        <v>5</v>
      </c>
      <c r="F120" s="49" t="s">
        <v>722</v>
      </c>
      <c r="G120" s="49" t="s">
        <v>796</v>
      </c>
      <c r="H120" s="49" t="n">
        <v>30</v>
      </c>
      <c r="I120" s="49" t="s">
        <v>780</v>
      </c>
      <c r="J120" s="49" t="n">
        <v>2</v>
      </c>
    </row>
    <row r="121" customFormat="false" ht="15" hidden="false" customHeight="false" outlineLevel="0" collapsed="false">
      <c r="A121" s="48" t="str">
        <f aca="false">B121&amp;"|"&amp;C121&amp;"|"&amp;D121&amp;"|"&amp;E121</f>
        <v>Grad 2029|IB Geography|HL|1</v>
      </c>
      <c r="B121" s="49" t="s">
        <v>812</v>
      </c>
      <c r="C121" s="49" t="s">
        <v>24</v>
      </c>
      <c r="D121" s="49" t="s">
        <v>25</v>
      </c>
      <c r="E121" s="49" t="n">
        <v>1</v>
      </c>
      <c r="F121" s="49" t="s">
        <v>710</v>
      </c>
      <c r="G121" s="49" t="s">
        <v>792</v>
      </c>
      <c r="H121" s="49" t="n">
        <v>20</v>
      </c>
      <c r="I121" s="49" t="s">
        <v>712</v>
      </c>
      <c r="J121" s="49" t="n">
        <v>1</v>
      </c>
    </row>
    <row r="122" customFormat="false" ht="15" hidden="false" customHeight="false" outlineLevel="0" collapsed="false">
      <c r="A122" s="48" t="str">
        <f aca="false">B122&amp;"|"&amp;C122&amp;"|"&amp;D122&amp;"|"&amp;E122</f>
        <v>Grad 2029|IB Geography|HL|2</v>
      </c>
      <c r="B122" s="49" t="s">
        <v>812</v>
      </c>
      <c r="C122" s="49" t="s">
        <v>24</v>
      </c>
      <c r="D122" s="49" t="s">
        <v>25</v>
      </c>
      <c r="E122" s="49" t="n">
        <v>2</v>
      </c>
      <c r="F122" s="49" t="s">
        <v>713</v>
      </c>
      <c r="G122" s="49" t="s">
        <v>793</v>
      </c>
      <c r="H122" s="49" t="n">
        <v>20</v>
      </c>
      <c r="I122" s="49" t="s">
        <v>712</v>
      </c>
      <c r="J122" s="49" t="n">
        <v>1</v>
      </c>
    </row>
    <row r="123" customFormat="false" ht="15" hidden="false" customHeight="false" outlineLevel="0" collapsed="false">
      <c r="A123" s="48" t="str">
        <f aca="false">B123&amp;"|"&amp;C123&amp;"|"&amp;D123&amp;"|"&amp;E123</f>
        <v>Grad 2029|IB Geography|HL|3</v>
      </c>
      <c r="B123" s="49" t="s">
        <v>812</v>
      </c>
      <c r="C123" s="49" t="s">
        <v>24</v>
      </c>
      <c r="D123" s="49" t="s">
        <v>25</v>
      </c>
      <c r="E123" s="49" t="n">
        <v>3</v>
      </c>
      <c r="F123" s="49" t="s">
        <v>715</v>
      </c>
      <c r="G123" s="49" t="s">
        <v>793</v>
      </c>
      <c r="H123" s="49" t="n">
        <v>20</v>
      </c>
      <c r="I123" s="49" t="s">
        <v>716</v>
      </c>
      <c r="J123" s="49" t="n">
        <v>1</v>
      </c>
    </row>
    <row r="124" customFormat="false" ht="15" hidden="false" customHeight="false" outlineLevel="0" collapsed="false">
      <c r="A124" s="48" t="str">
        <f aca="false">B124&amp;"|"&amp;C124&amp;"|"&amp;D124&amp;"|"&amp;E124</f>
        <v>Grad 2029|IB Geography|HL|4</v>
      </c>
      <c r="B124" s="49" t="s">
        <v>812</v>
      </c>
      <c r="C124" s="49" t="s">
        <v>24</v>
      </c>
      <c r="D124" s="49" t="s">
        <v>25</v>
      </c>
      <c r="E124" s="49" t="n">
        <v>4</v>
      </c>
      <c r="F124" s="49" t="s">
        <v>717</v>
      </c>
      <c r="G124" s="49" t="s">
        <v>794</v>
      </c>
      <c r="H124" s="49" t="n">
        <v>20</v>
      </c>
      <c r="I124" s="49" t="s">
        <v>712</v>
      </c>
      <c r="J124" s="49" t="n">
        <v>1</v>
      </c>
    </row>
    <row r="125" customFormat="false" ht="15" hidden="false" customHeight="false" outlineLevel="0" collapsed="false">
      <c r="A125" s="48" t="str">
        <f aca="false">B125&amp;"|"&amp;C125&amp;"|"&amp;D125&amp;"|"&amp;E125</f>
        <v>Grad 2029|IB Geography|HL|5</v>
      </c>
      <c r="B125" s="49" t="s">
        <v>812</v>
      </c>
      <c r="C125" s="49" t="s">
        <v>24</v>
      </c>
      <c r="D125" s="49" t="s">
        <v>25</v>
      </c>
      <c r="E125" s="49" t="n">
        <v>5</v>
      </c>
      <c r="F125" s="49" t="s">
        <v>713</v>
      </c>
      <c r="G125" s="49" t="s">
        <v>795</v>
      </c>
      <c r="H125" s="49" t="n">
        <v>20</v>
      </c>
      <c r="I125" s="49" t="s">
        <v>712</v>
      </c>
      <c r="J125" s="49" t="n">
        <v>1</v>
      </c>
    </row>
    <row r="126" customFormat="false" ht="15" hidden="false" customHeight="false" outlineLevel="0" collapsed="false">
      <c r="A126" s="48" t="str">
        <f aca="false">B126&amp;"|"&amp;C126&amp;"|"&amp;D126&amp;"|"&amp;E126</f>
        <v>Grad 2029|IB Geography|HL|6</v>
      </c>
      <c r="B126" s="49" t="s">
        <v>812</v>
      </c>
      <c r="C126" s="49" t="s">
        <v>24</v>
      </c>
      <c r="D126" s="49" t="s">
        <v>25</v>
      </c>
      <c r="E126" s="49" t="n">
        <v>6</v>
      </c>
      <c r="F126" s="49" t="s">
        <v>720</v>
      </c>
      <c r="G126" s="49" t="s">
        <v>796</v>
      </c>
      <c r="H126" s="49" t="n">
        <v>40</v>
      </c>
      <c r="I126" s="49" t="s">
        <v>712</v>
      </c>
      <c r="J126" s="49" t="n">
        <v>2</v>
      </c>
    </row>
    <row r="127" customFormat="false" ht="15" hidden="false" customHeight="false" outlineLevel="0" collapsed="false">
      <c r="A127" s="48" t="str">
        <f aca="false">B127&amp;"|"&amp;C127&amp;"|"&amp;D127&amp;"|"&amp;E127</f>
        <v>Grad 2029|IB Geography|HL|7</v>
      </c>
      <c r="B127" s="49" t="s">
        <v>812</v>
      </c>
      <c r="C127" s="49" t="s">
        <v>24</v>
      </c>
      <c r="D127" s="49" t="s">
        <v>25</v>
      </c>
      <c r="E127" s="49" t="n">
        <v>7</v>
      </c>
      <c r="F127" s="49" t="s">
        <v>722</v>
      </c>
      <c r="G127" s="49" t="s">
        <v>796</v>
      </c>
      <c r="H127" s="49" t="n">
        <v>50</v>
      </c>
      <c r="I127" s="49" t="s">
        <v>716</v>
      </c>
      <c r="J127" s="49" t="n">
        <v>2</v>
      </c>
    </row>
    <row r="128" customFormat="false" ht="15" hidden="false" customHeight="false" outlineLevel="0" collapsed="false">
      <c r="A128" s="48" t="str">
        <f aca="false">B128&amp;"|"&amp;C128&amp;"|"&amp;D128&amp;"|"&amp;E128</f>
        <v>Grad 2029|IB Geography|SL|1</v>
      </c>
      <c r="B128" s="49" t="s">
        <v>812</v>
      </c>
      <c r="C128" s="49" t="s">
        <v>24</v>
      </c>
      <c r="D128" s="49" t="s">
        <v>223</v>
      </c>
      <c r="E128" s="49" t="n">
        <v>1</v>
      </c>
      <c r="F128" s="49" t="s">
        <v>729</v>
      </c>
      <c r="G128" s="49" t="s">
        <v>792</v>
      </c>
      <c r="H128" s="49" t="n">
        <v>10</v>
      </c>
      <c r="I128" s="49" t="s">
        <v>716</v>
      </c>
      <c r="J128" s="49" t="n">
        <v>1</v>
      </c>
    </row>
    <row r="129" customFormat="false" ht="15" hidden="false" customHeight="false" outlineLevel="0" collapsed="false">
      <c r="A129" s="48" t="str">
        <f aca="false">B129&amp;"|"&amp;C129&amp;"|"&amp;D129&amp;"|"&amp;E129</f>
        <v>Grad 2029|IB Geography|SL|2</v>
      </c>
      <c r="B129" s="49" t="s">
        <v>812</v>
      </c>
      <c r="C129" s="49" t="s">
        <v>24</v>
      </c>
      <c r="D129" s="49" t="s">
        <v>223</v>
      </c>
      <c r="E129" s="49" t="n">
        <v>2</v>
      </c>
      <c r="F129" s="49" t="s">
        <v>730</v>
      </c>
      <c r="G129" s="49" t="s">
        <v>793</v>
      </c>
      <c r="H129" s="49" t="n">
        <v>10</v>
      </c>
      <c r="I129" s="49" t="s">
        <v>716</v>
      </c>
      <c r="J129" s="49" t="n">
        <v>1</v>
      </c>
    </row>
    <row r="130" customFormat="false" ht="15" hidden="false" customHeight="false" outlineLevel="0" collapsed="false">
      <c r="A130" s="48" t="str">
        <f aca="false">B130&amp;"|"&amp;C130&amp;"|"&amp;D130&amp;"|"&amp;E130</f>
        <v>Grad 2029|IB Geography|SL|3</v>
      </c>
      <c r="B130" s="49" t="s">
        <v>812</v>
      </c>
      <c r="C130" s="49" t="s">
        <v>24</v>
      </c>
      <c r="D130" s="49" t="s">
        <v>223</v>
      </c>
      <c r="E130" s="49" t="n">
        <v>3</v>
      </c>
      <c r="F130" s="49" t="s">
        <v>731</v>
      </c>
      <c r="G130" s="49" t="s">
        <v>794</v>
      </c>
      <c r="H130" s="49" t="n">
        <v>20</v>
      </c>
      <c r="I130" s="49" t="s">
        <v>712</v>
      </c>
      <c r="J130" s="49" t="n">
        <v>1</v>
      </c>
    </row>
    <row r="131" customFormat="false" ht="15" hidden="false" customHeight="false" outlineLevel="0" collapsed="false">
      <c r="A131" s="48" t="str">
        <f aca="false">B131&amp;"|"&amp;C131&amp;"|"&amp;D131&amp;"|"&amp;E131</f>
        <v>Grad 2029|IB Geography|SL|4</v>
      </c>
      <c r="B131" s="49" t="s">
        <v>812</v>
      </c>
      <c r="C131" s="49" t="s">
        <v>24</v>
      </c>
      <c r="D131" s="49" t="s">
        <v>223</v>
      </c>
      <c r="E131" s="49" t="n">
        <v>4</v>
      </c>
      <c r="F131" s="49" t="s">
        <v>720</v>
      </c>
      <c r="G131" s="49" t="s">
        <v>796</v>
      </c>
      <c r="H131" s="49" t="n">
        <v>20</v>
      </c>
      <c r="I131" s="49" t="s">
        <v>712</v>
      </c>
      <c r="J131" s="49" t="n">
        <v>2</v>
      </c>
    </row>
    <row r="132" customFormat="false" ht="15" hidden="false" customHeight="false" outlineLevel="0" collapsed="false">
      <c r="A132" s="48" t="str">
        <f aca="false">B132&amp;"|"&amp;C132&amp;"|"&amp;D132&amp;"|"&amp;E132</f>
        <v>Grad 2029|IB Geography|SL|5</v>
      </c>
      <c r="B132" s="49" t="s">
        <v>812</v>
      </c>
      <c r="C132" s="49" t="s">
        <v>24</v>
      </c>
      <c r="D132" s="49" t="s">
        <v>223</v>
      </c>
      <c r="E132" s="49" t="n">
        <v>5</v>
      </c>
      <c r="F132" s="49" t="s">
        <v>722</v>
      </c>
      <c r="G132" s="49" t="s">
        <v>796</v>
      </c>
      <c r="H132" s="49" t="n">
        <v>50</v>
      </c>
      <c r="I132" s="49" t="s">
        <v>716</v>
      </c>
      <c r="J132" s="49" t="n">
        <v>2</v>
      </c>
    </row>
    <row r="133" customFormat="false" ht="15" hidden="false" customHeight="false" outlineLevel="0" collapsed="false">
      <c r="A133" s="48" t="str">
        <f aca="false">B133&amp;"|"&amp;C133&amp;"|"&amp;D133&amp;"|"&amp;E133</f>
        <v>Grad 2029|IB Economics|HL|1</v>
      </c>
      <c r="B133" s="49" t="s">
        <v>812</v>
      </c>
      <c r="C133" s="49" t="s">
        <v>229</v>
      </c>
      <c r="D133" s="49" t="s">
        <v>25</v>
      </c>
      <c r="E133" s="49" t="n">
        <v>1</v>
      </c>
      <c r="F133" s="49" t="s">
        <v>734</v>
      </c>
      <c r="G133" s="49" t="s">
        <v>797</v>
      </c>
      <c r="H133" s="49" t="n">
        <v>25</v>
      </c>
      <c r="I133" s="49" t="s">
        <v>736</v>
      </c>
      <c r="J133" s="49" t="n">
        <v>1</v>
      </c>
    </row>
    <row r="134" customFormat="false" ht="15" hidden="false" customHeight="false" outlineLevel="0" collapsed="false">
      <c r="A134" s="48" t="str">
        <f aca="false">B134&amp;"|"&amp;C134&amp;"|"&amp;D134&amp;"|"&amp;E134</f>
        <v>Grad 2029|IB Economics|HL|2</v>
      </c>
      <c r="B134" s="49" t="s">
        <v>812</v>
      </c>
      <c r="C134" s="49" t="s">
        <v>229</v>
      </c>
      <c r="D134" s="49" t="s">
        <v>25</v>
      </c>
      <c r="E134" s="49" t="n">
        <v>2</v>
      </c>
      <c r="F134" s="49" t="s">
        <v>737</v>
      </c>
      <c r="G134" s="49" t="s">
        <v>797</v>
      </c>
      <c r="H134" s="49" t="n">
        <v>24</v>
      </c>
      <c r="I134" s="49" t="s">
        <v>736</v>
      </c>
      <c r="J134" s="49" t="n">
        <v>1</v>
      </c>
    </row>
    <row r="135" customFormat="false" ht="15" hidden="false" customHeight="false" outlineLevel="0" collapsed="false">
      <c r="A135" s="48" t="str">
        <f aca="false">B135&amp;"|"&amp;C135&amp;"|"&amp;D135&amp;"|"&amp;E135</f>
        <v>Grad 2029|IB Economics|HL|3</v>
      </c>
      <c r="B135" s="49" t="s">
        <v>812</v>
      </c>
      <c r="C135" s="49" t="s">
        <v>229</v>
      </c>
      <c r="D135" s="49" t="s">
        <v>25</v>
      </c>
      <c r="E135" s="49" t="n">
        <v>3</v>
      </c>
      <c r="F135" s="49" t="s">
        <v>738</v>
      </c>
      <c r="G135" s="49" t="s">
        <v>798</v>
      </c>
      <c r="H135" s="49" t="n">
        <v>25</v>
      </c>
      <c r="I135" s="49" t="s">
        <v>736</v>
      </c>
      <c r="J135" s="49" t="n">
        <v>1</v>
      </c>
    </row>
    <row r="136" customFormat="false" ht="15" hidden="false" customHeight="false" outlineLevel="0" collapsed="false">
      <c r="A136" s="48" t="str">
        <f aca="false">B136&amp;"|"&amp;C136&amp;"|"&amp;D136&amp;"|"&amp;E136</f>
        <v>Grad 2029|IB Economics|HL|4</v>
      </c>
      <c r="B136" s="49" t="s">
        <v>812</v>
      </c>
      <c r="C136" s="49" t="s">
        <v>229</v>
      </c>
      <c r="D136" s="49" t="s">
        <v>25</v>
      </c>
      <c r="E136" s="49" t="n">
        <v>4</v>
      </c>
      <c r="F136" s="49" t="s">
        <v>740</v>
      </c>
      <c r="G136" s="49" t="s">
        <v>798</v>
      </c>
      <c r="H136" s="49" t="n">
        <v>35</v>
      </c>
      <c r="I136" s="49" t="s">
        <v>736</v>
      </c>
      <c r="J136" s="49" t="n">
        <v>1</v>
      </c>
    </row>
    <row r="137" customFormat="false" ht="15" hidden="false" customHeight="false" outlineLevel="0" collapsed="false">
      <c r="A137" s="48" t="str">
        <f aca="false">B137&amp;"|"&amp;C137&amp;"|"&amp;D137&amp;"|"&amp;E137</f>
        <v>Grad 2029|IB Economics|HL|5</v>
      </c>
      <c r="B137" s="49" t="s">
        <v>812</v>
      </c>
      <c r="C137" s="49" t="s">
        <v>229</v>
      </c>
      <c r="D137" s="49" t="s">
        <v>25</v>
      </c>
      <c r="E137" s="49" t="n">
        <v>5</v>
      </c>
      <c r="F137" s="49" t="s">
        <v>741</v>
      </c>
      <c r="G137" s="49" t="s">
        <v>796</v>
      </c>
      <c r="H137" s="49" t="n">
        <v>55</v>
      </c>
      <c r="I137" s="49" t="s">
        <v>742</v>
      </c>
      <c r="J137" s="49" t="n">
        <v>2</v>
      </c>
    </row>
    <row r="138" customFormat="false" ht="15" hidden="false" customHeight="false" outlineLevel="0" collapsed="false">
      <c r="A138" s="48" t="str">
        <f aca="false">B138&amp;"|"&amp;C138&amp;"|"&amp;D138&amp;"|"&amp;E138</f>
        <v>Grad 2029|IB Economics|HL|6</v>
      </c>
      <c r="B138" s="49" t="s">
        <v>812</v>
      </c>
      <c r="C138" s="49" t="s">
        <v>229</v>
      </c>
      <c r="D138" s="49" t="s">
        <v>25</v>
      </c>
      <c r="E138" s="49" t="n">
        <v>6</v>
      </c>
      <c r="F138" s="49" t="s">
        <v>799</v>
      </c>
      <c r="G138" s="49" t="s">
        <v>796</v>
      </c>
      <c r="H138" s="49" t="n">
        <v>28</v>
      </c>
      <c r="I138" s="49" t="s">
        <v>736</v>
      </c>
      <c r="J138" s="49" t="n">
        <v>1</v>
      </c>
    </row>
    <row r="139" customFormat="false" ht="15" hidden="false" customHeight="false" outlineLevel="0" collapsed="false">
      <c r="A139" s="48" t="str">
        <f aca="false">B139&amp;"|"&amp;C139&amp;"|"&amp;D139&amp;"|"&amp;E139</f>
        <v>Grad 2029|IB Economics|HL|7</v>
      </c>
      <c r="B139" s="49" t="s">
        <v>812</v>
      </c>
      <c r="C139" s="49" t="s">
        <v>229</v>
      </c>
      <c r="D139" s="49" t="s">
        <v>25</v>
      </c>
      <c r="E139" s="49" t="n">
        <v>7</v>
      </c>
      <c r="F139" s="49" t="s">
        <v>745</v>
      </c>
      <c r="G139" s="49" t="s">
        <v>744</v>
      </c>
      <c r="H139" s="49" t="n">
        <v>95</v>
      </c>
      <c r="I139" s="49" t="s">
        <v>742</v>
      </c>
      <c r="J139" s="49" t="n">
        <v>2</v>
      </c>
    </row>
    <row r="140" customFormat="false" ht="15" hidden="false" customHeight="false" outlineLevel="0" collapsed="false">
      <c r="A140" s="48" t="str">
        <f aca="false">B140&amp;"|"&amp;C140&amp;"|"&amp;D140&amp;"|"&amp;E140</f>
        <v>Grad 2029|IB Economics|SL|1</v>
      </c>
      <c r="B140" s="49" t="s">
        <v>812</v>
      </c>
      <c r="C140" s="49" t="s">
        <v>229</v>
      </c>
      <c r="D140" s="49" t="s">
        <v>223</v>
      </c>
      <c r="E140" s="49" t="n">
        <v>1</v>
      </c>
      <c r="F140" s="49" t="s">
        <v>746</v>
      </c>
      <c r="G140" s="49" t="s">
        <v>797</v>
      </c>
      <c r="H140" s="49" t="n">
        <v>25</v>
      </c>
      <c r="I140" s="49" t="s">
        <v>736</v>
      </c>
      <c r="J140" s="49" t="n">
        <v>1</v>
      </c>
    </row>
    <row r="141" customFormat="false" ht="15" hidden="false" customHeight="false" outlineLevel="0" collapsed="false">
      <c r="A141" s="48" t="str">
        <f aca="false">B141&amp;"|"&amp;C141&amp;"|"&amp;D141&amp;"|"&amp;E141</f>
        <v>Grad 2029|IB Economics|SL|2</v>
      </c>
      <c r="B141" s="49" t="s">
        <v>812</v>
      </c>
      <c r="C141" s="49" t="s">
        <v>229</v>
      </c>
      <c r="D141" s="49" t="s">
        <v>223</v>
      </c>
      <c r="E141" s="49" t="n">
        <v>2</v>
      </c>
      <c r="F141" s="49" t="s">
        <v>737</v>
      </c>
      <c r="G141" s="49" t="s">
        <v>797</v>
      </c>
      <c r="H141" s="49" t="n">
        <v>20</v>
      </c>
      <c r="I141" s="49" t="s">
        <v>736</v>
      </c>
      <c r="J141" s="49" t="n">
        <v>1</v>
      </c>
    </row>
    <row r="142" customFormat="false" ht="15" hidden="false" customHeight="false" outlineLevel="0" collapsed="false">
      <c r="A142" s="48" t="str">
        <f aca="false">B142&amp;"|"&amp;C142&amp;"|"&amp;D142&amp;"|"&amp;E142</f>
        <v>Grad 2029|IB Economics|SL|3</v>
      </c>
      <c r="B142" s="49" t="s">
        <v>812</v>
      </c>
      <c r="C142" s="49" t="s">
        <v>229</v>
      </c>
      <c r="D142" s="49" t="s">
        <v>223</v>
      </c>
      <c r="E142" s="49" t="n">
        <v>3</v>
      </c>
      <c r="F142" s="49" t="s">
        <v>747</v>
      </c>
      <c r="G142" s="49" t="s">
        <v>798</v>
      </c>
      <c r="H142" s="49" t="n">
        <v>25</v>
      </c>
      <c r="I142" s="49" t="s">
        <v>736</v>
      </c>
      <c r="J142" s="49" t="n">
        <v>1</v>
      </c>
    </row>
    <row r="143" customFormat="false" ht="15" hidden="false" customHeight="false" outlineLevel="0" collapsed="false">
      <c r="A143" s="48" t="str">
        <f aca="false">B143&amp;"|"&amp;C143&amp;"|"&amp;D143&amp;"|"&amp;E143</f>
        <v>Grad 2029|IB Economics|SL|4</v>
      </c>
      <c r="B143" s="49" t="s">
        <v>812</v>
      </c>
      <c r="C143" s="49" t="s">
        <v>229</v>
      </c>
      <c r="D143" s="49" t="s">
        <v>223</v>
      </c>
      <c r="E143" s="49" t="n">
        <v>4</v>
      </c>
      <c r="F143" s="49" t="s">
        <v>740</v>
      </c>
      <c r="G143" s="49" t="s">
        <v>798</v>
      </c>
      <c r="H143" s="49" t="n">
        <v>23</v>
      </c>
      <c r="I143" s="49" t="s">
        <v>736</v>
      </c>
      <c r="J143" s="49" t="n">
        <v>1</v>
      </c>
    </row>
    <row r="144" customFormat="false" ht="15" hidden="false" customHeight="false" outlineLevel="0" collapsed="false">
      <c r="A144" s="48" t="str">
        <f aca="false">B144&amp;"|"&amp;C144&amp;"|"&amp;D144&amp;"|"&amp;E144</f>
        <v>Grad 2029|IB Economics|SL|5</v>
      </c>
      <c r="B144" s="49" t="s">
        <v>812</v>
      </c>
      <c r="C144" s="49" t="s">
        <v>229</v>
      </c>
      <c r="D144" s="49" t="s">
        <v>223</v>
      </c>
      <c r="E144" s="49" t="n">
        <v>5</v>
      </c>
      <c r="F144" s="49" t="s">
        <v>748</v>
      </c>
      <c r="G144" s="49" t="s">
        <v>796</v>
      </c>
      <c r="H144" s="49" t="n">
        <v>25</v>
      </c>
      <c r="I144" s="49" t="s">
        <v>742</v>
      </c>
      <c r="J144" s="49" t="n">
        <v>2</v>
      </c>
    </row>
    <row r="145" customFormat="false" ht="15" hidden="false" customHeight="false" outlineLevel="0" collapsed="false">
      <c r="A145" s="48" t="str">
        <f aca="false">B145&amp;"|"&amp;C145&amp;"|"&amp;D145&amp;"|"&amp;E145</f>
        <v>Grad 2029|IB Economics|SL|6</v>
      </c>
      <c r="B145" s="49" t="s">
        <v>812</v>
      </c>
      <c r="C145" s="49" t="s">
        <v>229</v>
      </c>
      <c r="D145" s="49" t="s">
        <v>223</v>
      </c>
      <c r="E145" s="49" t="n">
        <v>6</v>
      </c>
      <c r="F145" s="49" t="s">
        <v>800</v>
      </c>
      <c r="G145" s="49" t="s">
        <v>744</v>
      </c>
      <c r="H145" s="49" t="n">
        <v>23</v>
      </c>
      <c r="I145" s="49" t="s">
        <v>736</v>
      </c>
      <c r="J145" s="49" t="n">
        <v>1</v>
      </c>
    </row>
    <row r="146" customFormat="false" ht="15" hidden="false" customHeight="false" outlineLevel="0" collapsed="false">
      <c r="A146" s="48" t="str">
        <f aca="false">B146&amp;"|"&amp;C146&amp;"|"&amp;D146&amp;"|"&amp;E146</f>
        <v>Grad 2029|IB Economics|SL|7</v>
      </c>
      <c r="B146" s="49" t="s">
        <v>812</v>
      </c>
      <c r="C146" s="49" t="s">
        <v>229</v>
      </c>
      <c r="D146" s="49" t="s">
        <v>223</v>
      </c>
      <c r="E146" s="49" t="n">
        <v>7</v>
      </c>
      <c r="F146" s="49" t="s">
        <v>750</v>
      </c>
      <c r="G146" s="49" t="s">
        <v>744</v>
      </c>
      <c r="H146" s="49" t="n">
        <v>52</v>
      </c>
      <c r="I146" s="49" t="s">
        <v>742</v>
      </c>
      <c r="J146" s="49" t="n">
        <v>2</v>
      </c>
    </row>
    <row r="147" customFormat="false" ht="15" hidden="false" customHeight="false" outlineLevel="0" collapsed="false">
      <c r="A147" s="48" t="str">
        <f aca="false">B147&amp;"|"&amp;C147&amp;"|"&amp;D147&amp;"|"&amp;E147</f>
        <v>Grad 2029|IB Business Management|HL|1</v>
      </c>
      <c r="B147" s="49" t="s">
        <v>812</v>
      </c>
      <c r="C147" s="49" t="s">
        <v>365</v>
      </c>
      <c r="D147" s="49" t="s">
        <v>25</v>
      </c>
      <c r="E147" s="49" t="n">
        <v>1</v>
      </c>
      <c r="F147" s="49" t="s">
        <v>751</v>
      </c>
      <c r="G147" s="49" t="s">
        <v>801</v>
      </c>
      <c r="H147" s="49" t="n">
        <v>24</v>
      </c>
      <c r="I147" s="49" t="s">
        <v>753</v>
      </c>
      <c r="J147" s="49" t="n">
        <v>1</v>
      </c>
    </row>
    <row r="148" customFormat="false" ht="15" hidden="false" customHeight="false" outlineLevel="0" collapsed="false">
      <c r="A148" s="48" t="str">
        <f aca="false">B148&amp;"|"&amp;C148&amp;"|"&amp;D148&amp;"|"&amp;E148</f>
        <v>Grad 2029|IB Business Management|HL|2</v>
      </c>
      <c r="B148" s="49" t="s">
        <v>812</v>
      </c>
      <c r="C148" s="49" t="s">
        <v>365</v>
      </c>
      <c r="D148" s="49" t="s">
        <v>25</v>
      </c>
      <c r="E148" s="49" t="n">
        <v>2</v>
      </c>
      <c r="F148" s="49" t="s">
        <v>754</v>
      </c>
      <c r="G148" s="49" t="s">
        <v>802</v>
      </c>
      <c r="H148" s="49" t="n">
        <v>20</v>
      </c>
      <c r="I148" s="49" t="s">
        <v>753</v>
      </c>
      <c r="J148" s="49" t="n">
        <v>1</v>
      </c>
    </row>
    <row r="149" customFormat="false" ht="15" hidden="false" customHeight="false" outlineLevel="0" collapsed="false">
      <c r="A149" s="48" t="str">
        <f aca="false">B149&amp;"|"&amp;C149&amp;"|"&amp;D149&amp;"|"&amp;E149</f>
        <v>Grad 2029|IB Business Management|HL|3</v>
      </c>
      <c r="B149" s="49" t="s">
        <v>812</v>
      </c>
      <c r="C149" s="49" t="s">
        <v>365</v>
      </c>
      <c r="D149" s="49" t="s">
        <v>25</v>
      </c>
      <c r="E149" s="49" t="n">
        <v>3</v>
      </c>
      <c r="F149" s="49" t="s">
        <v>756</v>
      </c>
      <c r="G149" s="49" t="s">
        <v>803</v>
      </c>
      <c r="H149" s="49" t="n">
        <v>20</v>
      </c>
      <c r="I149" s="49" t="s">
        <v>753</v>
      </c>
      <c r="J149" s="49" t="n">
        <v>1</v>
      </c>
    </row>
    <row r="150" customFormat="false" ht="15" hidden="false" customHeight="false" outlineLevel="0" collapsed="false">
      <c r="A150" s="48" t="str">
        <f aca="false">B150&amp;"|"&amp;C150&amp;"|"&amp;D150&amp;"|"&amp;E150</f>
        <v>Grad 2029|IB Business Management|HL|4</v>
      </c>
      <c r="B150" s="49" t="s">
        <v>812</v>
      </c>
      <c r="C150" s="49" t="s">
        <v>365</v>
      </c>
      <c r="D150" s="49" t="s">
        <v>25</v>
      </c>
      <c r="E150" s="49" t="n">
        <v>4</v>
      </c>
      <c r="F150" s="49" t="s">
        <v>748</v>
      </c>
      <c r="G150" s="49" t="s">
        <v>796</v>
      </c>
      <c r="H150" s="49" t="n">
        <v>40</v>
      </c>
      <c r="I150" s="49" t="s">
        <v>758</v>
      </c>
      <c r="J150" s="49" t="n">
        <v>2</v>
      </c>
    </row>
    <row r="151" customFormat="false" ht="15" hidden="false" customHeight="false" outlineLevel="0" collapsed="false">
      <c r="A151" s="48" t="str">
        <f aca="false">B151&amp;"|"&amp;C151&amp;"|"&amp;D151&amp;"|"&amp;E151</f>
        <v>Grad 2029|IB Business Management|HL|5</v>
      </c>
      <c r="B151" s="49" t="s">
        <v>812</v>
      </c>
      <c r="C151" s="49" t="s">
        <v>365</v>
      </c>
      <c r="D151" s="49" t="s">
        <v>25</v>
      </c>
      <c r="E151" s="49" t="n">
        <v>5</v>
      </c>
      <c r="F151" s="49" t="s">
        <v>759</v>
      </c>
      <c r="G151" s="49" t="s">
        <v>760</v>
      </c>
      <c r="H151" s="49" t="n">
        <v>30</v>
      </c>
      <c r="I151" s="49" t="s">
        <v>753</v>
      </c>
      <c r="J151" s="49" t="n">
        <v>1</v>
      </c>
    </row>
    <row r="152" customFormat="false" ht="15" hidden="false" customHeight="false" outlineLevel="0" collapsed="false">
      <c r="A152" s="48" t="str">
        <f aca="false">B152&amp;"|"&amp;C152&amp;"|"&amp;D152&amp;"|"&amp;E152</f>
        <v>Grad 2029|IB Business Management|HL|6</v>
      </c>
      <c r="B152" s="49" t="s">
        <v>812</v>
      </c>
      <c r="C152" s="49" t="s">
        <v>365</v>
      </c>
      <c r="D152" s="49" t="s">
        <v>25</v>
      </c>
      <c r="E152" s="49" t="n">
        <v>6</v>
      </c>
      <c r="F152" s="49" t="s">
        <v>761</v>
      </c>
      <c r="G152" s="49" t="s">
        <v>762</v>
      </c>
      <c r="H152" s="49" t="n">
        <v>20</v>
      </c>
      <c r="I152" s="49" t="s">
        <v>753</v>
      </c>
      <c r="J152" s="49" t="n">
        <v>1</v>
      </c>
    </row>
    <row r="153" customFormat="false" ht="15" hidden="false" customHeight="false" outlineLevel="0" collapsed="false">
      <c r="A153" s="48" t="str">
        <f aca="false">B153&amp;"|"&amp;C153&amp;"|"&amp;D153&amp;"|"&amp;E153</f>
        <v>Grad 2029|IB Business Management|HL|7</v>
      </c>
      <c r="B153" s="49" t="s">
        <v>812</v>
      </c>
      <c r="C153" s="49" t="s">
        <v>365</v>
      </c>
      <c r="D153" s="49" t="s">
        <v>25</v>
      </c>
      <c r="E153" s="49" t="n">
        <v>7</v>
      </c>
      <c r="F153" s="49" t="s">
        <v>769</v>
      </c>
      <c r="G153" s="49" t="s">
        <v>764</v>
      </c>
      <c r="H153" s="49" t="n">
        <v>50</v>
      </c>
      <c r="I153" s="49" t="s">
        <v>758</v>
      </c>
      <c r="J153" s="49" t="n">
        <v>2</v>
      </c>
    </row>
    <row r="154" customFormat="false" ht="15" hidden="false" customHeight="false" outlineLevel="0" collapsed="false">
      <c r="A154" s="48" t="str">
        <f aca="false">B154&amp;"|"&amp;C154&amp;"|"&amp;D154&amp;"|"&amp;E154</f>
        <v>Grad 2029|IB Business Management|SL|1</v>
      </c>
      <c r="B154" s="49" t="s">
        <v>812</v>
      </c>
      <c r="C154" s="49" t="s">
        <v>365</v>
      </c>
      <c r="D154" s="49" t="s">
        <v>223</v>
      </c>
      <c r="E154" s="49" t="n">
        <v>1</v>
      </c>
      <c r="F154" s="49" t="s">
        <v>766</v>
      </c>
      <c r="G154" s="49" t="s">
        <v>797</v>
      </c>
      <c r="H154" s="49" t="n">
        <v>24</v>
      </c>
      <c r="I154" s="49" t="s">
        <v>753</v>
      </c>
      <c r="J154" s="49" t="n">
        <v>1</v>
      </c>
    </row>
    <row r="155" customFormat="false" ht="15" hidden="false" customHeight="false" outlineLevel="0" collapsed="false">
      <c r="A155" s="48" t="str">
        <f aca="false">B155&amp;"|"&amp;C155&amp;"|"&amp;D155&amp;"|"&amp;E155</f>
        <v>Grad 2029|IB Business Management|SL|2</v>
      </c>
      <c r="B155" s="49" t="s">
        <v>812</v>
      </c>
      <c r="C155" s="49" t="s">
        <v>365</v>
      </c>
      <c r="D155" s="49" t="s">
        <v>223</v>
      </c>
      <c r="E155" s="49" t="n">
        <v>2</v>
      </c>
      <c r="F155" s="49" t="s">
        <v>767</v>
      </c>
      <c r="G155" s="49" t="s">
        <v>797</v>
      </c>
      <c r="H155" s="49" t="n">
        <v>20</v>
      </c>
      <c r="I155" s="49" t="s">
        <v>753</v>
      </c>
      <c r="J155" s="49" t="n">
        <v>1</v>
      </c>
    </row>
    <row r="156" customFormat="false" ht="15" hidden="false" customHeight="false" outlineLevel="0" collapsed="false">
      <c r="A156" s="48" t="str">
        <f aca="false">B156&amp;"|"&amp;C156&amp;"|"&amp;D156&amp;"|"&amp;E156</f>
        <v>Grad 2029|IB Business Management|SL|3</v>
      </c>
      <c r="B156" s="49" t="s">
        <v>812</v>
      </c>
      <c r="C156" s="49" t="s">
        <v>365</v>
      </c>
      <c r="D156" s="49" t="s">
        <v>223</v>
      </c>
      <c r="E156" s="49" t="n">
        <v>3</v>
      </c>
      <c r="F156" s="49" t="s">
        <v>756</v>
      </c>
      <c r="G156" s="49" t="s">
        <v>803</v>
      </c>
      <c r="H156" s="49" t="n">
        <v>24</v>
      </c>
      <c r="I156" s="49" t="s">
        <v>753</v>
      </c>
      <c r="J156" s="49" t="n">
        <v>1</v>
      </c>
    </row>
    <row r="157" customFormat="false" ht="15" hidden="false" customHeight="false" outlineLevel="0" collapsed="false">
      <c r="A157" s="48" t="str">
        <f aca="false">B157&amp;"|"&amp;C157&amp;"|"&amp;D157&amp;"|"&amp;E157</f>
        <v>Grad 2029|IB Business Management|SL|4</v>
      </c>
      <c r="B157" s="49" t="s">
        <v>812</v>
      </c>
      <c r="C157" s="49" t="s">
        <v>365</v>
      </c>
      <c r="D157" s="49" t="s">
        <v>223</v>
      </c>
      <c r="E157" s="49" t="n">
        <v>4</v>
      </c>
      <c r="F157" s="49" t="s">
        <v>748</v>
      </c>
      <c r="G157" s="49" t="s">
        <v>796</v>
      </c>
      <c r="H157" s="49" t="n">
        <v>40</v>
      </c>
      <c r="I157" s="49" t="s">
        <v>758</v>
      </c>
      <c r="J157" s="49" t="n">
        <v>2</v>
      </c>
    </row>
    <row r="158" customFormat="false" ht="15" hidden="false" customHeight="false" outlineLevel="0" collapsed="false">
      <c r="A158" s="48" t="str">
        <f aca="false">B158&amp;"|"&amp;C158&amp;"|"&amp;D158&amp;"|"&amp;E158</f>
        <v>Grad 2029|IB Business Management|SL|5</v>
      </c>
      <c r="B158" s="49" t="s">
        <v>812</v>
      </c>
      <c r="C158" s="49" t="s">
        <v>365</v>
      </c>
      <c r="D158" s="49" t="s">
        <v>223</v>
      </c>
      <c r="E158" s="49" t="n">
        <v>5</v>
      </c>
      <c r="F158" s="49" t="s">
        <v>768</v>
      </c>
      <c r="G158" s="49" t="s">
        <v>760</v>
      </c>
      <c r="H158" s="49" t="n">
        <v>30</v>
      </c>
      <c r="I158" s="49" t="s">
        <v>753</v>
      </c>
      <c r="J158" s="49" t="n">
        <v>1</v>
      </c>
    </row>
    <row r="159" customFormat="false" ht="15" hidden="false" customHeight="false" outlineLevel="0" collapsed="false">
      <c r="A159" s="48" t="str">
        <f aca="false">B159&amp;"|"&amp;C159&amp;"|"&amp;D159&amp;"|"&amp;E159</f>
        <v>Grad 2029|IB Business Management|SL|6</v>
      </c>
      <c r="B159" s="49" t="s">
        <v>812</v>
      </c>
      <c r="C159" s="49" t="s">
        <v>365</v>
      </c>
      <c r="D159" s="49" t="s">
        <v>223</v>
      </c>
      <c r="E159" s="49" t="n">
        <v>6</v>
      </c>
      <c r="F159" s="49" t="s">
        <v>761</v>
      </c>
      <c r="G159" s="49" t="s">
        <v>762</v>
      </c>
      <c r="H159" s="49" t="n">
        <v>20</v>
      </c>
      <c r="I159" s="49" t="s">
        <v>753</v>
      </c>
      <c r="J159" s="49" t="n">
        <v>1</v>
      </c>
    </row>
    <row r="160" customFormat="false" ht="15" hidden="false" customHeight="false" outlineLevel="0" collapsed="false">
      <c r="A160" s="48" t="str">
        <f aca="false">B160&amp;"|"&amp;C160&amp;"|"&amp;D160&amp;"|"&amp;E160</f>
        <v>Grad 2029|IB History|HL|1</v>
      </c>
      <c r="B160" s="49" t="s">
        <v>812</v>
      </c>
      <c r="C160" s="49" t="s">
        <v>416</v>
      </c>
      <c r="D160" s="49" t="s">
        <v>25</v>
      </c>
      <c r="E160" s="49" t="n">
        <v>1</v>
      </c>
      <c r="F160" s="49" t="s">
        <v>804</v>
      </c>
      <c r="G160" s="49" t="s">
        <v>801</v>
      </c>
      <c r="H160" s="49" t="n">
        <v>15</v>
      </c>
      <c r="I160" s="49" t="s">
        <v>773</v>
      </c>
      <c r="J160" s="49" t="n">
        <v>1</v>
      </c>
    </row>
    <row r="161" customFormat="false" ht="15" hidden="false" customHeight="false" outlineLevel="0" collapsed="false">
      <c r="A161" s="48" t="str">
        <f aca="false">B161&amp;"|"&amp;C161&amp;"|"&amp;D161&amp;"|"&amp;E161</f>
        <v>Grad 2029|IB History|HL|2</v>
      </c>
      <c r="B161" s="49" t="s">
        <v>812</v>
      </c>
      <c r="C161" s="49" t="s">
        <v>416</v>
      </c>
      <c r="D161" s="49" t="s">
        <v>25</v>
      </c>
      <c r="E161" s="49" t="n">
        <v>2</v>
      </c>
      <c r="F161" s="49" t="s">
        <v>805</v>
      </c>
      <c r="G161" s="49" t="s">
        <v>801</v>
      </c>
      <c r="H161" s="49" t="n">
        <v>10</v>
      </c>
      <c r="I161" s="49" t="s">
        <v>776</v>
      </c>
      <c r="J161" s="49" t="n">
        <v>1</v>
      </c>
    </row>
    <row r="162" customFormat="false" ht="15" hidden="false" customHeight="false" outlineLevel="0" collapsed="false">
      <c r="A162" s="48" t="str">
        <f aca="false">B162&amp;"|"&amp;C162&amp;"|"&amp;D162&amp;"|"&amp;E162</f>
        <v>Grad 2029|IB History|HL|3</v>
      </c>
      <c r="B162" s="49" t="s">
        <v>812</v>
      </c>
      <c r="C162" s="49" t="s">
        <v>416</v>
      </c>
      <c r="D162" s="49" t="s">
        <v>25</v>
      </c>
      <c r="E162" s="49" t="n">
        <v>3</v>
      </c>
      <c r="F162" s="49" t="s">
        <v>806</v>
      </c>
      <c r="G162" s="49" t="s">
        <v>802</v>
      </c>
      <c r="H162" s="49" t="n">
        <v>24</v>
      </c>
      <c r="I162" s="49" t="s">
        <v>776</v>
      </c>
      <c r="J162" s="49" t="n">
        <v>1</v>
      </c>
    </row>
    <row r="163" customFormat="false" ht="15" hidden="false" customHeight="false" outlineLevel="0" collapsed="false">
      <c r="A163" s="48" t="str">
        <f aca="false">B163&amp;"|"&amp;C163&amp;"|"&amp;D163&amp;"|"&amp;E163</f>
        <v>Grad 2029|IB History|HL|4</v>
      </c>
      <c r="B163" s="49" t="s">
        <v>812</v>
      </c>
      <c r="C163" s="49" t="s">
        <v>416</v>
      </c>
      <c r="D163" s="49" t="s">
        <v>25</v>
      </c>
      <c r="E163" s="49" t="n">
        <v>4</v>
      </c>
      <c r="F163" s="49" t="s">
        <v>807</v>
      </c>
      <c r="G163" s="49" t="s">
        <v>802</v>
      </c>
      <c r="H163" s="49" t="n">
        <v>15</v>
      </c>
      <c r="I163" s="49" t="s">
        <v>773</v>
      </c>
      <c r="J163" s="49" t="n">
        <v>1</v>
      </c>
    </row>
    <row r="164" customFormat="false" ht="15" hidden="false" customHeight="false" outlineLevel="0" collapsed="false">
      <c r="A164" s="48" t="str">
        <f aca="false">B164&amp;"|"&amp;C164&amp;"|"&amp;D164&amp;"|"&amp;E164</f>
        <v>Grad 2029|IB History|HL|5</v>
      </c>
      <c r="B164" s="49" t="s">
        <v>812</v>
      </c>
      <c r="C164" s="49" t="s">
        <v>416</v>
      </c>
      <c r="D164" s="49" t="s">
        <v>25</v>
      </c>
      <c r="E164" s="49" t="n">
        <v>5</v>
      </c>
      <c r="F164" s="49" t="s">
        <v>808</v>
      </c>
      <c r="G164" s="49" t="s">
        <v>803</v>
      </c>
      <c r="H164" s="49" t="n">
        <v>15</v>
      </c>
      <c r="I164" s="49" t="s">
        <v>773</v>
      </c>
      <c r="J164" s="49" t="n">
        <v>1</v>
      </c>
    </row>
    <row r="165" customFormat="false" ht="15" hidden="false" customHeight="false" outlineLevel="0" collapsed="false">
      <c r="A165" s="48" t="str">
        <f aca="false">B165&amp;"|"&amp;C165&amp;"|"&amp;D165&amp;"|"&amp;E165</f>
        <v>Grad 2029|IB History|HL|6</v>
      </c>
      <c r="B165" s="49" t="s">
        <v>812</v>
      </c>
      <c r="C165" s="49" t="s">
        <v>416</v>
      </c>
      <c r="D165" s="49" t="s">
        <v>25</v>
      </c>
      <c r="E165" s="49" t="n">
        <v>6</v>
      </c>
      <c r="F165" s="49" t="s">
        <v>809</v>
      </c>
      <c r="G165" s="49" t="s">
        <v>803</v>
      </c>
      <c r="H165" s="49" t="n">
        <v>15</v>
      </c>
      <c r="I165" s="49" t="s">
        <v>773</v>
      </c>
      <c r="J165" s="49" t="n">
        <v>1</v>
      </c>
    </row>
    <row r="166" customFormat="false" ht="15" hidden="false" customHeight="false" outlineLevel="0" collapsed="false">
      <c r="A166" s="48" t="str">
        <f aca="false">B166&amp;"|"&amp;C166&amp;"|"&amp;D166&amp;"|"&amp;E166</f>
        <v>Grad 2029|IB History|HL|7</v>
      </c>
      <c r="B166" s="49" t="s">
        <v>812</v>
      </c>
      <c r="C166" s="49" t="s">
        <v>416</v>
      </c>
      <c r="D166" s="49" t="s">
        <v>25</v>
      </c>
      <c r="E166" s="49" t="n">
        <v>7</v>
      </c>
      <c r="F166" s="49" t="s">
        <v>720</v>
      </c>
      <c r="G166" s="49" t="s">
        <v>796</v>
      </c>
      <c r="H166" s="49" t="n">
        <v>24</v>
      </c>
      <c r="I166" s="49" t="s">
        <v>771</v>
      </c>
      <c r="J166" s="49" t="n">
        <v>2</v>
      </c>
    </row>
    <row r="167" customFormat="false" ht="15" hidden="false" customHeight="false" outlineLevel="0" collapsed="false">
      <c r="A167" s="48" t="str">
        <f aca="false">B167&amp;"|"&amp;C167&amp;"|"&amp;D167&amp;"|"&amp;E167</f>
        <v>Grad 2029|IB History|HL|8</v>
      </c>
      <c r="B167" s="49" t="s">
        <v>812</v>
      </c>
      <c r="C167" s="49" t="s">
        <v>416</v>
      </c>
      <c r="D167" s="49" t="s">
        <v>25</v>
      </c>
      <c r="E167" s="49" t="n">
        <v>8</v>
      </c>
      <c r="F167" s="49" t="s">
        <v>722</v>
      </c>
      <c r="G167" s="49" t="s">
        <v>796</v>
      </c>
      <c r="H167" s="49" t="n">
        <v>30</v>
      </c>
      <c r="I167" s="49" t="s">
        <v>780</v>
      </c>
      <c r="J167" s="49" t="n">
        <v>2</v>
      </c>
    </row>
    <row r="168" customFormat="false" ht="15" hidden="false" customHeight="false" outlineLevel="0" collapsed="false">
      <c r="A168" s="48" t="str">
        <f aca="false">B168&amp;"|"&amp;C168&amp;"|"&amp;D168&amp;"|"&amp;E168</f>
        <v>Grad 2029|IB History|HL|9</v>
      </c>
      <c r="B168" s="49" t="s">
        <v>812</v>
      </c>
      <c r="C168" s="49" t="s">
        <v>416</v>
      </c>
      <c r="D168" s="49" t="s">
        <v>25</v>
      </c>
      <c r="E168" s="49" t="n">
        <v>9</v>
      </c>
      <c r="F168" s="49" t="s">
        <v>781</v>
      </c>
      <c r="G168" s="49" t="s">
        <v>796</v>
      </c>
      <c r="H168" s="49" t="n">
        <v>15</v>
      </c>
      <c r="I168" s="49" t="s">
        <v>782</v>
      </c>
      <c r="J168" s="49" t="n">
        <v>2</v>
      </c>
    </row>
    <row r="169" customFormat="false" ht="15" hidden="false" customHeight="false" outlineLevel="0" collapsed="false">
      <c r="A169" s="48" t="str">
        <f aca="false">B169&amp;"|"&amp;C169&amp;"|"&amp;D169&amp;"|"&amp;E169</f>
        <v>Grad 2029|IB History|SL|1</v>
      </c>
      <c r="B169" s="49" t="s">
        <v>812</v>
      </c>
      <c r="C169" s="49" t="s">
        <v>416</v>
      </c>
      <c r="D169" s="49" t="s">
        <v>223</v>
      </c>
      <c r="E169" s="49" t="n">
        <v>1</v>
      </c>
      <c r="F169" s="49" t="s">
        <v>805</v>
      </c>
      <c r="G169" s="49" t="s">
        <v>801</v>
      </c>
      <c r="H169" s="49" t="n">
        <v>10</v>
      </c>
      <c r="I169" s="49" t="s">
        <v>776</v>
      </c>
      <c r="J169" s="49" t="n">
        <v>1</v>
      </c>
    </row>
    <row r="170" customFormat="false" ht="15" hidden="false" customHeight="false" outlineLevel="0" collapsed="false">
      <c r="A170" s="48" t="str">
        <f aca="false">B170&amp;"|"&amp;C170&amp;"|"&amp;D170&amp;"|"&amp;E170</f>
        <v>Grad 2029|IB History|SL|2</v>
      </c>
      <c r="B170" s="49" t="s">
        <v>812</v>
      </c>
      <c r="C170" s="49" t="s">
        <v>416</v>
      </c>
      <c r="D170" s="49" t="s">
        <v>223</v>
      </c>
      <c r="E170" s="49" t="n">
        <v>2</v>
      </c>
      <c r="F170" s="49" t="s">
        <v>810</v>
      </c>
      <c r="G170" s="49" t="s">
        <v>802</v>
      </c>
      <c r="H170" s="49" t="n">
        <v>24</v>
      </c>
      <c r="I170" s="49" t="s">
        <v>776</v>
      </c>
      <c r="J170" s="49" t="n">
        <v>1</v>
      </c>
    </row>
    <row r="171" customFormat="false" ht="15" hidden="false" customHeight="false" outlineLevel="0" collapsed="false">
      <c r="A171" s="48" t="str">
        <f aca="false">B171&amp;"|"&amp;C171&amp;"|"&amp;D171&amp;"|"&amp;E171</f>
        <v>Grad 2029|IB History|SL|3</v>
      </c>
      <c r="B171" s="49" t="s">
        <v>812</v>
      </c>
      <c r="C171" s="49" t="s">
        <v>416</v>
      </c>
      <c r="D171" s="49" t="s">
        <v>223</v>
      </c>
      <c r="E171" s="49" t="n">
        <v>3</v>
      </c>
      <c r="F171" s="49" t="s">
        <v>811</v>
      </c>
      <c r="G171" s="49" t="s">
        <v>803</v>
      </c>
      <c r="H171" s="49" t="n">
        <v>15</v>
      </c>
      <c r="I171" s="49" t="s">
        <v>776</v>
      </c>
      <c r="J171" s="49" t="n">
        <v>1</v>
      </c>
    </row>
    <row r="172" customFormat="false" ht="15" hidden="false" customHeight="false" outlineLevel="0" collapsed="false">
      <c r="A172" s="48" t="str">
        <f aca="false">B172&amp;"|"&amp;C172&amp;"|"&amp;D172&amp;"|"&amp;E172</f>
        <v>Grad 2029|IB History|SL|4</v>
      </c>
      <c r="B172" s="49" t="s">
        <v>812</v>
      </c>
      <c r="C172" s="49" t="s">
        <v>416</v>
      </c>
      <c r="D172" s="49" t="s">
        <v>223</v>
      </c>
      <c r="E172" s="49" t="n">
        <v>4</v>
      </c>
      <c r="F172" s="49" t="s">
        <v>720</v>
      </c>
      <c r="G172" s="49" t="s">
        <v>796</v>
      </c>
      <c r="H172" s="49" t="n">
        <v>24</v>
      </c>
      <c r="I172" s="49" t="s">
        <v>771</v>
      </c>
      <c r="J172" s="49" t="n">
        <v>2</v>
      </c>
    </row>
    <row r="173" customFormat="false" ht="15" hidden="false" customHeight="false" outlineLevel="0" collapsed="false">
      <c r="A173" s="48" t="str">
        <f aca="false">B173&amp;"|"&amp;C173&amp;"|"&amp;D173&amp;"|"&amp;E173</f>
        <v>Grad 2029|IB History|SL|5</v>
      </c>
      <c r="B173" s="49" t="s">
        <v>812</v>
      </c>
      <c r="C173" s="49" t="s">
        <v>416</v>
      </c>
      <c r="D173" s="49" t="s">
        <v>223</v>
      </c>
      <c r="E173" s="49" t="n">
        <v>5</v>
      </c>
      <c r="F173" s="49" t="s">
        <v>722</v>
      </c>
      <c r="G173" s="49" t="s">
        <v>796</v>
      </c>
      <c r="H173" s="49" t="n">
        <v>30</v>
      </c>
      <c r="I173" s="49" t="s">
        <v>780</v>
      </c>
      <c r="J173" s="49" t="n">
        <v>2</v>
      </c>
    </row>
    <row r="174" customFormat="false" ht="15" hidden="false" customHeight="false" outlineLevel="0" collapsed="false">
      <c r="A174" s="48" t="str">
        <f aca="false">B174&amp;"|"&amp;C174&amp;"|"&amp;D174&amp;"|"&amp;E174</f>
        <v>Grad 2030|IB Geography|HL|1</v>
      </c>
      <c r="B174" s="49" t="s">
        <v>813</v>
      </c>
      <c r="C174" s="49" t="s">
        <v>24</v>
      </c>
      <c r="D174" s="49" t="s">
        <v>25</v>
      </c>
      <c r="E174" s="49" t="n">
        <v>1</v>
      </c>
      <c r="F174" s="49" t="s">
        <v>710</v>
      </c>
      <c r="G174" s="49" t="s">
        <v>792</v>
      </c>
      <c r="H174" s="49" t="n">
        <v>20</v>
      </c>
      <c r="I174" s="49" t="s">
        <v>712</v>
      </c>
      <c r="J174" s="49" t="n">
        <v>1</v>
      </c>
    </row>
    <row r="175" customFormat="false" ht="15" hidden="false" customHeight="false" outlineLevel="0" collapsed="false">
      <c r="A175" s="48" t="str">
        <f aca="false">B175&amp;"|"&amp;C175&amp;"|"&amp;D175&amp;"|"&amp;E175</f>
        <v>Grad 2030|IB Geography|HL|2</v>
      </c>
      <c r="B175" s="49" t="s">
        <v>813</v>
      </c>
      <c r="C175" s="49" t="s">
        <v>24</v>
      </c>
      <c r="D175" s="49" t="s">
        <v>25</v>
      </c>
      <c r="E175" s="49" t="n">
        <v>2</v>
      </c>
      <c r="F175" s="49" t="s">
        <v>713</v>
      </c>
      <c r="G175" s="49" t="s">
        <v>793</v>
      </c>
      <c r="H175" s="49" t="n">
        <v>20</v>
      </c>
      <c r="I175" s="49" t="s">
        <v>712</v>
      </c>
      <c r="J175" s="49" t="n">
        <v>1</v>
      </c>
    </row>
    <row r="176" customFormat="false" ht="15" hidden="false" customHeight="false" outlineLevel="0" collapsed="false">
      <c r="A176" s="48" t="str">
        <f aca="false">B176&amp;"|"&amp;C176&amp;"|"&amp;D176&amp;"|"&amp;E176</f>
        <v>Grad 2030|IB Geography|HL|3</v>
      </c>
      <c r="B176" s="49" t="s">
        <v>813</v>
      </c>
      <c r="C176" s="49" t="s">
        <v>24</v>
      </c>
      <c r="D176" s="49" t="s">
        <v>25</v>
      </c>
      <c r="E176" s="49" t="n">
        <v>3</v>
      </c>
      <c r="F176" s="49" t="s">
        <v>715</v>
      </c>
      <c r="G176" s="49" t="s">
        <v>793</v>
      </c>
      <c r="H176" s="49" t="n">
        <v>20</v>
      </c>
      <c r="I176" s="49" t="s">
        <v>716</v>
      </c>
      <c r="J176" s="49" t="n">
        <v>1</v>
      </c>
    </row>
    <row r="177" customFormat="false" ht="15" hidden="false" customHeight="false" outlineLevel="0" collapsed="false">
      <c r="A177" s="48" t="str">
        <f aca="false">B177&amp;"|"&amp;C177&amp;"|"&amp;D177&amp;"|"&amp;E177</f>
        <v>Grad 2030|IB Geography|HL|4</v>
      </c>
      <c r="B177" s="49" t="s">
        <v>813</v>
      </c>
      <c r="C177" s="49" t="s">
        <v>24</v>
      </c>
      <c r="D177" s="49" t="s">
        <v>25</v>
      </c>
      <c r="E177" s="49" t="n">
        <v>4</v>
      </c>
      <c r="F177" s="49" t="s">
        <v>717</v>
      </c>
      <c r="G177" s="49" t="s">
        <v>794</v>
      </c>
      <c r="H177" s="49" t="n">
        <v>20</v>
      </c>
      <c r="I177" s="49" t="s">
        <v>712</v>
      </c>
      <c r="J177" s="49" t="n">
        <v>1</v>
      </c>
    </row>
    <row r="178" customFormat="false" ht="15" hidden="false" customHeight="false" outlineLevel="0" collapsed="false">
      <c r="A178" s="48" t="str">
        <f aca="false">B178&amp;"|"&amp;C178&amp;"|"&amp;D178&amp;"|"&amp;E178</f>
        <v>Grad 2030|IB Geography|HL|5</v>
      </c>
      <c r="B178" s="49" t="s">
        <v>813</v>
      </c>
      <c r="C178" s="49" t="s">
        <v>24</v>
      </c>
      <c r="D178" s="49" t="s">
        <v>25</v>
      </c>
      <c r="E178" s="49" t="n">
        <v>5</v>
      </c>
      <c r="F178" s="49" t="s">
        <v>713</v>
      </c>
      <c r="G178" s="49" t="s">
        <v>795</v>
      </c>
      <c r="H178" s="49" t="n">
        <v>20</v>
      </c>
      <c r="I178" s="49" t="s">
        <v>712</v>
      </c>
      <c r="J178" s="49" t="n">
        <v>1</v>
      </c>
    </row>
    <row r="179" customFormat="false" ht="15" hidden="false" customHeight="false" outlineLevel="0" collapsed="false">
      <c r="A179" s="48" t="str">
        <f aca="false">B179&amp;"|"&amp;C179&amp;"|"&amp;D179&amp;"|"&amp;E179</f>
        <v>Grad 2030|IB Geography|HL|6</v>
      </c>
      <c r="B179" s="49" t="s">
        <v>813</v>
      </c>
      <c r="C179" s="49" t="s">
        <v>24</v>
      </c>
      <c r="D179" s="49" t="s">
        <v>25</v>
      </c>
      <c r="E179" s="49" t="n">
        <v>6</v>
      </c>
      <c r="F179" s="49" t="s">
        <v>720</v>
      </c>
      <c r="G179" s="49" t="s">
        <v>796</v>
      </c>
      <c r="H179" s="49" t="n">
        <v>40</v>
      </c>
      <c r="I179" s="49" t="s">
        <v>712</v>
      </c>
      <c r="J179" s="49" t="n">
        <v>2</v>
      </c>
    </row>
    <row r="180" customFormat="false" ht="15" hidden="false" customHeight="false" outlineLevel="0" collapsed="false">
      <c r="A180" s="48" t="str">
        <f aca="false">B180&amp;"|"&amp;C180&amp;"|"&amp;D180&amp;"|"&amp;E180</f>
        <v>Grad 2030|IB Geography|HL|7</v>
      </c>
      <c r="B180" s="49" t="s">
        <v>813</v>
      </c>
      <c r="C180" s="49" t="s">
        <v>24</v>
      </c>
      <c r="D180" s="49" t="s">
        <v>25</v>
      </c>
      <c r="E180" s="49" t="n">
        <v>7</v>
      </c>
      <c r="F180" s="49" t="s">
        <v>722</v>
      </c>
      <c r="G180" s="49" t="s">
        <v>796</v>
      </c>
      <c r="H180" s="49" t="n">
        <v>50</v>
      </c>
      <c r="I180" s="49" t="s">
        <v>716</v>
      </c>
      <c r="J180" s="49" t="n">
        <v>2</v>
      </c>
    </row>
    <row r="181" customFormat="false" ht="15" hidden="false" customHeight="false" outlineLevel="0" collapsed="false">
      <c r="A181" s="48" t="str">
        <f aca="false">B181&amp;"|"&amp;C181&amp;"|"&amp;D181&amp;"|"&amp;E181</f>
        <v>Grad 2030|IB Geography|SL|1</v>
      </c>
      <c r="B181" s="49" t="s">
        <v>813</v>
      </c>
      <c r="C181" s="49" t="s">
        <v>24</v>
      </c>
      <c r="D181" s="49" t="s">
        <v>223</v>
      </c>
      <c r="E181" s="49" t="n">
        <v>1</v>
      </c>
      <c r="F181" s="49" t="s">
        <v>729</v>
      </c>
      <c r="G181" s="49" t="s">
        <v>792</v>
      </c>
      <c r="H181" s="49" t="n">
        <v>10</v>
      </c>
      <c r="I181" s="49" t="s">
        <v>716</v>
      </c>
      <c r="J181" s="49" t="n">
        <v>1</v>
      </c>
    </row>
    <row r="182" customFormat="false" ht="15" hidden="false" customHeight="false" outlineLevel="0" collapsed="false">
      <c r="A182" s="48" t="str">
        <f aca="false">B182&amp;"|"&amp;C182&amp;"|"&amp;D182&amp;"|"&amp;E182</f>
        <v>Grad 2030|IB Geography|SL|2</v>
      </c>
      <c r="B182" s="49" t="s">
        <v>813</v>
      </c>
      <c r="C182" s="49" t="s">
        <v>24</v>
      </c>
      <c r="D182" s="49" t="s">
        <v>223</v>
      </c>
      <c r="E182" s="49" t="n">
        <v>2</v>
      </c>
      <c r="F182" s="49" t="s">
        <v>730</v>
      </c>
      <c r="G182" s="49" t="s">
        <v>793</v>
      </c>
      <c r="H182" s="49" t="n">
        <v>10</v>
      </c>
      <c r="I182" s="49" t="s">
        <v>716</v>
      </c>
      <c r="J182" s="49" t="n">
        <v>1</v>
      </c>
    </row>
    <row r="183" customFormat="false" ht="15" hidden="false" customHeight="false" outlineLevel="0" collapsed="false">
      <c r="A183" s="48" t="str">
        <f aca="false">B183&amp;"|"&amp;C183&amp;"|"&amp;D183&amp;"|"&amp;E183</f>
        <v>Grad 2030|IB Geography|SL|3</v>
      </c>
      <c r="B183" s="49" t="s">
        <v>813</v>
      </c>
      <c r="C183" s="49" t="s">
        <v>24</v>
      </c>
      <c r="D183" s="49" t="s">
        <v>223</v>
      </c>
      <c r="E183" s="49" t="n">
        <v>3</v>
      </c>
      <c r="F183" s="49" t="s">
        <v>731</v>
      </c>
      <c r="G183" s="49" t="s">
        <v>794</v>
      </c>
      <c r="H183" s="49" t="n">
        <v>20</v>
      </c>
      <c r="I183" s="49" t="s">
        <v>712</v>
      </c>
      <c r="J183" s="49" t="n">
        <v>1</v>
      </c>
    </row>
    <row r="184" customFormat="false" ht="15" hidden="false" customHeight="false" outlineLevel="0" collapsed="false">
      <c r="A184" s="48" t="str">
        <f aca="false">B184&amp;"|"&amp;C184&amp;"|"&amp;D184&amp;"|"&amp;E184</f>
        <v>Grad 2030|IB Geography|SL|4</v>
      </c>
      <c r="B184" s="49" t="s">
        <v>813</v>
      </c>
      <c r="C184" s="49" t="s">
        <v>24</v>
      </c>
      <c r="D184" s="49" t="s">
        <v>223</v>
      </c>
      <c r="E184" s="49" t="n">
        <v>4</v>
      </c>
      <c r="F184" s="49" t="s">
        <v>720</v>
      </c>
      <c r="G184" s="49" t="s">
        <v>796</v>
      </c>
      <c r="H184" s="49" t="n">
        <v>20</v>
      </c>
      <c r="I184" s="49" t="s">
        <v>712</v>
      </c>
      <c r="J184" s="49" t="n">
        <v>2</v>
      </c>
    </row>
    <row r="185" customFormat="false" ht="15" hidden="false" customHeight="false" outlineLevel="0" collapsed="false">
      <c r="A185" s="48" t="str">
        <f aca="false">B185&amp;"|"&amp;C185&amp;"|"&amp;D185&amp;"|"&amp;E185</f>
        <v>Grad 2030|IB Geography|SL|5</v>
      </c>
      <c r="B185" s="49" t="s">
        <v>813</v>
      </c>
      <c r="C185" s="49" t="s">
        <v>24</v>
      </c>
      <c r="D185" s="49" t="s">
        <v>223</v>
      </c>
      <c r="E185" s="49" t="n">
        <v>5</v>
      </c>
      <c r="F185" s="49" t="s">
        <v>722</v>
      </c>
      <c r="G185" s="49" t="s">
        <v>796</v>
      </c>
      <c r="H185" s="49" t="n">
        <v>50</v>
      </c>
      <c r="I185" s="49" t="s">
        <v>716</v>
      </c>
      <c r="J185" s="49" t="n">
        <v>2</v>
      </c>
    </row>
    <row r="186" customFormat="false" ht="15" hidden="false" customHeight="false" outlineLevel="0" collapsed="false">
      <c r="A186" s="48" t="str">
        <f aca="false">B186&amp;"|"&amp;C186&amp;"|"&amp;D186&amp;"|"&amp;E186</f>
        <v>Grad 2030|IB Economics|HL|1</v>
      </c>
      <c r="B186" s="49" t="s">
        <v>813</v>
      </c>
      <c r="C186" s="49" t="s">
        <v>229</v>
      </c>
      <c r="D186" s="49" t="s">
        <v>25</v>
      </c>
      <c r="E186" s="49" t="n">
        <v>1</v>
      </c>
      <c r="F186" s="49" t="s">
        <v>734</v>
      </c>
      <c r="G186" s="49" t="s">
        <v>797</v>
      </c>
      <c r="H186" s="49" t="n">
        <v>25</v>
      </c>
      <c r="I186" s="49" t="s">
        <v>736</v>
      </c>
      <c r="J186" s="49" t="n">
        <v>1</v>
      </c>
    </row>
    <row r="187" customFormat="false" ht="15" hidden="false" customHeight="false" outlineLevel="0" collapsed="false">
      <c r="A187" s="48" t="str">
        <f aca="false">B187&amp;"|"&amp;C187&amp;"|"&amp;D187&amp;"|"&amp;E187</f>
        <v>Grad 2030|IB Economics|HL|2</v>
      </c>
      <c r="B187" s="49" t="s">
        <v>813</v>
      </c>
      <c r="C187" s="49" t="s">
        <v>229</v>
      </c>
      <c r="D187" s="49" t="s">
        <v>25</v>
      </c>
      <c r="E187" s="49" t="n">
        <v>2</v>
      </c>
      <c r="F187" s="49" t="s">
        <v>737</v>
      </c>
      <c r="G187" s="49" t="s">
        <v>797</v>
      </c>
      <c r="H187" s="49" t="n">
        <v>24</v>
      </c>
      <c r="I187" s="49" t="s">
        <v>736</v>
      </c>
      <c r="J187" s="49" t="n">
        <v>1</v>
      </c>
    </row>
    <row r="188" customFormat="false" ht="15" hidden="false" customHeight="false" outlineLevel="0" collapsed="false">
      <c r="A188" s="48" t="str">
        <f aca="false">B188&amp;"|"&amp;C188&amp;"|"&amp;D188&amp;"|"&amp;E188</f>
        <v>Grad 2030|IB Economics|HL|3</v>
      </c>
      <c r="B188" s="49" t="s">
        <v>813</v>
      </c>
      <c r="C188" s="49" t="s">
        <v>229</v>
      </c>
      <c r="D188" s="49" t="s">
        <v>25</v>
      </c>
      <c r="E188" s="49" t="n">
        <v>3</v>
      </c>
      <c r="F188" s="49" t="s">
        <v>738</v>
      </c>
      <c r="G188" s="49" t="s">
        <v>798</v>
      </c>
      <c r="H188" s="49" t="n">
        <v>25</v>
      </c>
      <c r="I188" s="49" t="s">
        <v>736</v>
      </c>
      <c r="J188" s="49" t="n">
        <v>1</v>
      </c>
    </row>
    <row r="189" customFormat="false" ht="15" hidden="false" customHeight="false" outlineLevel="0" collapsed="false">
      <c r="A189" s="48" t="str">
        <f aca="false">B189&amp;"|"&amp;C189&amp;"|"&amp;D189&amp;"|"&amp;E189</f>
        <v>Grad 2030|IB Economics|HL|4</v>
      </c>
      <c r="B189" s="49" t="s">
        <v>813</v>
      </c>
      <c r="C189" s="49" t="s">
        <v>229</v>
      </c>
      <c r="D189" s="49" t="s">
        <v>25</v>
      </c>
      <c r="E189" s="49" t="n">
        <v>4</v>
      </c>
      <c r="F189" s="49" t="s">
        <v>740</v>
      </c>
      <c r="G189" s="49" t="s">
        <v>798</v>
      </c>
      <c r="H189" s="49" t="n">
        <v>35</v>
      </c>
      <c r="I189" s="49" t="s">
        <v>736</v>
      </c>
      <c r="J189" s="49" t="n">
        <v>1</v>
      </c>
    </row>
    <row r="190" customFormat="false" ht="15" hidden="false" customHeight="false" outlineLevel="0" collapsed="false">
      <c r="A190" s="48" t="str">
        <f aca="false">B190&amp;"|"&amp;C190&amp;"|"&amp;D190&amp;"|"&amp;E190</f>
        <v>Grad 2030|IB Economics|HL|5</v>
      </c>
      <c r="B190" s="49" t="s">
        <v>813</v>
      </c>
      <c r="C190" s="49" t="s">
        <v>229</v>
      </c>
      <c r="D190" s="49" t="s">
        <v>25</v>
      </c>
      <c r="E190" s="49" t="n">
        <v>5</v>
      </c>
      <c r="F190" s="49" t="s">
        <v>741</v>
      </c>
      <c r="G190" s="49" t="s">
        <v>796</v>
      </c>
      <c r="H190" s="49" t="n">
        <v>55</v>
      </c>
      <c r="I190" s="49" t="s">
        <v>742</v>
      </c>
      <c r="J190" s="49" t="n">
        <v>2</v>
      </c>
    </row>
    <row r="191" customFormat="false" ht="15" hidden="false" customHeight="false" outlineLevel="0" collapsed="false">
      <c r="A191" s="48" t="str">
        <f aca="false">B191&amp;"|"&amp;C191&amp;"|"&amp;D191&amp;"|"&amp;E191</f>
        <v>Grad 2030|IB Economics|HL|6</v>
      </c>
      <c r="B191" s="49" t="s">
        <v>813</v>
      </c>
      <c r="C191" s="49" t="s">
        <v>229</v>
      </c>
      <c r="D191" s="49" t="s">
        <v>25</v>
      </c>
      <c r="E191" s="49" t="n">
        <v>6</v>
      </c>
      <c r="F191" s="49" t="s">
        <v>799</v>
      </c>
      <c r="G191" s="49" t="s">
        <v>796</v>
      </c>
      <c r="H191" s="49" t="n">
        <v>28</v>
      </c>
      <c r="I191" s="49" t="s">
        <v>736</v>
      </c>
      <c r="J191" s="49" t="n">
        <v>1</v>
      </c>
    </row>
    <row r="192" customFormat="false" ht="15" hidden="false" customHeight="false" outlineLevel="0" collapsed="false">
      <c r="A192" s="48" t="str">
        <f aca="false">B192&amp;"|"&amp;C192&amp;"|"&amp;D192&amp;"|"&amp;E192</f>
        <v>Grad 2030|IB Economics|HL|7</v>
      </c>
      <c r="B192" s="49" t="s">
        <v>813</v>
      </c>
      <c r="C192" s="49" t="s">
        <v>229</v>
      </c>
      <c r="D192" s="49" t="s">
        <v>25</v>
      </c>
      <c r="E192" s="49" t="n">
        <v>7</v>
      </c>
      <c r="F192" s="49" t="s">
        <v>745</v>
      </c>
      <c r="G192" s="49" t="s">
        <v>744</v>
      </c>
      <c r="H192" s="49" t="n">
        <v>95</v>
      </c>
      <c r="I192" s="49" t="s">
        <v>742</v>
      </c>
      <c r="J192" s="49" t="n">
        <v>2</v>
      </c>
    </row>
    <row r="193" customFormat="false" ht="15" hidden="false" customHeight="false" outlineLevel="0" collapsed="false">
      <c r="A193" s="48" t="str">
        <f aca="false">B193&amp;"|"&amp;C193&amp;"|"&amp;D193&amp;"|"&amp;E193</f>
        <v>Grad 2030|IB Economics|SL|1</v>
      </c>
      <c r="B193" s="49" t="s">
        <v>813</v>
      </c>
      <c r="C193" s="49" t="s">
        <v>229</v>
      </c>
      <c r="D193" s="49" t="s">
        <v>223</v>
      </c>
      <c r="E193" s="49" t="n">
        <v>1</v>
      </c>
      <c r="F193" s="49" t="s">
        <v>746</v>
      </c>
      <c r="G193" s="49" t="s">
        <v>797</v>
      </c>
      <c r="H193" s="49" t="n">
        <v>25</v>
      </c>
      <c r="I193" s="49" t="s">
        <v>736</v>
      </c>
      <c r="J193" s="49" t="n">
        <v>1</v>
      </c>
    </row>
    <row r="194" customFormat="false" ht="15" hidden="false" customHeight="false" outlineLevel="0" collapsed="false">
      <c r="A194" s="48" t="str">
        <f aca="false">B194&amp;"|"&amp;C194&amp;"|"&amp;D194&amp;"|"&amp;E194</f>
        <v>Grad 2030|IB Economics|SL|2</v>
      </c>
      <c r="B194" s="49" t="s">
        <v>813</v>
      </c>
      <c r="C194" s="49" t="s">
        <v>229</v>
      </c>
      <c r="D194" s="49" t="s">
        <v>223</v>
      </c>
      <c r="E194" s="49" t="n">
        <v>2</v>
      </c>
      <c r="F194" s="49" t="s">
        <v>737</v>
      </c>
      <c r="G194" s="49" t="s">
        <v>797</v>
      </c>
      <c r="H194" s="49" t="n">
        <v>20</v>
      </c>
      <c r="I194" s="49" t="s">
        <v>736</v>
      </c>
      <c r="J194" s="49" t="n">
        <v>1</v>
      </c>
    </row>
    <row r="195" customFormat="false" ht="15" hidden="false" customHeight="false" outlineLevel="0" collapsed="false">
      <c r="A195" s="48" t="str">
        <f aca="false">B195&amp;"|"&amp;C195&amp;"|"&amp;D195&amp;"|"&amp;E195</f>
        <v>Grad 2030|IB Economics|SL|3</v>
      </c>
      <c r="B195" s="49" t="s">
        <v>813</v>
      </c>
      <c r="C195" s="49" t="s">
        <v>229</v>
      </c>
      <c r="D195" s="49" t="s">
        <v>223</v>
      </c>
      <c r="E195" s="49" t="n">
        <v>3</v>
      </c>
      <c r="F195" s="49" t="s">
        <v>747</v>
      </c>
      <c r="G195" s="49" t="s">
        <v>798</v>
      </c>
      <c r="H195" s="49" t="n">
        <v>25</v>
      </c>
      <c r="I195" s="49" t="s">
        <v>736</v>
      </c>
      <c r="J195" s="49" t="n">
        <v>1</v>
      </c>
    </row>
    <row r="196" customFormat="false" ht="15" hidden="false" customHeight="false" outlineLevel="0" collapsed="false">
      <c r="A196" s="48" t="str">
        <f aca="false">B196&amp;"|"&amp;C196&amp;"|"&amp;D196&amp;"|"&amp;E196</f>
        <v>Grad 2030|IB Economics|SL|4</v>
      </c>
      <c r="B196" s="49" t="s">
        <v>813</v>
      </c>
      <c r="C196" s="49" t="s">
        <v>229</v>
      </c>
      <c r="D196" s="49" t="s">
        <v>223</v>
      </c>
      <c r="E196" s="49" t="n">
        <v>4</v>
      </c>
      <c r="F196" s="49" t="s">
        <v>740</v>
      </c>
      <c r="G196" s="49" t="s">
        <v>798</v>
      </c>
      <c r="H196" s="49" t="n">
        <v>23</v>
      </c>
      <c r="I196" s="49" t="s">
        <v>736</v>
      </c>
      <c r="J196" s="49" t="n">
        <v>1</v>
      </c>
    </row>
    <row r="197" customFormat="false" ht="15" hidden="false" customHeight="false" outlineLevel="0" collapsed="false">
      <c r="A197" s="48" t="str">
        <f aca="false">B197&amp;"|"&amp;C197&amp;"|"&amp;D197&amp;"|"&amp;E197</f>
        <v>Grad 2030|IB Economics|SL|5</v>
      </c>
      <c r="B197" s="49" t="s">
        <v>813</v>
      </c>
      <c r="C197" s="49" t="s">
        <v>229</v>
      </c>
      <c r="D197" s="49" t="s">
        <v>223</v>
      </c>
      <c r="E197" s="49" t="n">
        <v>5</v>
      </c>
      <c r="F197" s="49" t="s">
        <v>748</v>
      </c>
      <c r="G197" s="49" t="s">
        <v>796</v>
      </c>
      <c r="H197" s="49" t="n">
        <v>25</v>
      </c>
      <c r="I197" s="49" t="s">
        <v>742</v>
      </c>
      <c r="J197" s="49" t="n">
        <v>2</v>
      </c>
    </row>
    <row r="198" customFormat="false" ht="15" hidden="false" customHeight="false" outlineLevel="0" collapsed="false">
      <c r="A198" s="48" t="str">
        <f aca="false">B198&amp;"|"&amp;C198&amp;"|"&amp;D198&amp;"|"&amp;E198</f>
        <v>Grad 2030|IB Economics|SL|6</v>
      </c>
      <c r="B198" s="49" t="s">
        <v>813</v>
      </c>
      <c r="C198" s="49" t="s">
        <v>229</v>
      </c>
      <c r="D198" s="49" t="s">
        <v>223</v>
      </c>
      <c r="E198" s="49" t="n">
        <v>6</v>
      </c>
      <c r="F198" s="49" t="s">
        <v>800</v>
      </c>
      <c r="G198" s="49" t="s">
        <v>744</v>
      </c>
      <c r="H198" s="49" t="n">
        <v>23</v>
      </c>
      <c r="I198" s="49" t="s">
        <v>736</v>
      </c>
      <c r="J198" s="49" t="n">
        <v>1</v>
      </c>
    </row>
    <row r="199" customFormat="false" ht="15" hidden="false" customHeight="false" outlineLevel="0" collapsed="false">
      <c r="A199" s="48" t="str">
        <f aca="false">B199&amp;"|"&amp;C199&amp;"|"&amp;D199&amp;"|"&amp;E199</f>
        <v>Grad 2030|IB Economics|SL|7</v>
      </c>
      <c r="B199" s="49" t="s">
        <v>813</v>
      </c>
      <c r="C199" s="49" t="s">
        <v>229</v>
      </c>
      <c r="D199" s="49" t="s">
        <v>223</v>
      </c>
      <c r="E199" s="49" t="n">
        <v>7</v>
      </c>
      <c r="F199" s="49" t="s">
        <v>750</v>
      </c>
      <c r="G199" s="49" t="s">
        <v>744</v>
      </c>
      <c r="H199" s="49" t="n">
        <v>52</v>
      </c>
      <c r="I199" s="49" t="s">
        <v>742</v>
      </c>
      <c r="J199" s="49" t="n">
        <v>2</v>
      </c>
    </row>
    <row r="200" customFormat="false" ht="15" hidden="false" customHeight="false" outlineLevel="0" collapsed="false">
      <c r="A200" s="48" t="str">
        <f aca="false">B200&amp;"|"&amp;C200&amp;"|"&amp;D200&amp;"|"&amp;E200</f>
        <v>Grad 2030|IB Business Management|HL|1</v>
      </c>
      <c r="B200" s="49" t="s">
        <v>813</v>
      </c>
      <c r="C200" s="49" t="s">
        <v>365</v>
      </c>
      <c r="D200" s="49" t="s">
        <v>25</v>
      </c>
      <c r="E200" s="49" t="n">
        <v>1</v>
      </c>
      <c r="F200" s="49" t="s">
        <v>751</v>
      </c>
      <c r="G200" s="49" t="s">
        <v>801</v>
      </c>
      <c r="H200" s="49" t="n">
        <v>24</v>
      </c>
      <c r="I200" s="49" t="s">
        <v>753</v>
      </c>
      <c r="J200" s="49" t="n">
        <v>1</v>
      </c>
    </row>
    <row r="201" customFormat="false" ht="15" hidden="false" customHeight="false" outlineLevel="0" collapsed="false">
      <c r="A201" s="48" t="str">
        <f aca="false">B201&amp;"|"&amp;C201&amp;"|"&amp;D201&amp;"|"&amp;E201</f>
        <v>Grad 2030|IB Business Management|HL|2</v>
      </c>
      <c r="B201" s="49" t="s">
        <v>813</v>
      </c>
      <c r="C201" s="49" t="s">
        <v>365</v>
      </c>
      <c r="D201" s="49" t="s">
        <v>25</v>
      </c>
      <c r="E201" s="49" t="n">
        <v>2</v>
      </c>
      <c r="F201" s="49" t="s">
        <v>754</v>
      </c>
      <c r="G201" s="49" t="s">
        <v>802</v>
      </c>
      <c r="H201" s="49" t="n">
        <v>20</v>
      </c>
      <c r="I201" s="49" t="s">
        <v>753</v>
      </c>
      <c r="J201" s="49" t="n">
        <v>1</v>
      </c>
    </row>
    <row r="202" customFormat="false" ht="15" hidden="false" customHeight="false" outlineLevel="0" collapsed="false">
      <c r="A202" s="48" t="str">
        <f aca="false">B202&amp;"|"&amp;C202&amp;"|"&amp;D202&amp;"|"&amp;E202</f>
        <v>Grad 2030|IB Business Management|HL|3</v>
      </c>
      <c r="B202" s="49" t="s">
        <v>813</v>
      </c>
      <c r="C202" s="49" t="s">
        <v>365</v>
      </c>
      <c r="D202" s="49" t="s">
        <v>25</v>
      </c>
      <c r="E202" s="49" t="n">
        <v>3</v>
      </c>
      <c r="F202" s="49" t="s">
        <v>756</v>
      </c>
      <c r="G202" s="49" t="s">
        <v>803</v>
      </c>
      <c r="H202" s="49" t="n">
        <v>20</v>
      </c>
      <c r="I202" s="49" t="s">
        <v>753</v>
      </c>
      <c r="J202" s="49" t="n">
        <v>1</v>
      </c>
    </row>
    <row r="203" customFormat="false" ht="15" hidden="false" customHeight="false" outlineLevel="0" collapsed="false">
      <c r="A203" s="48" t="str">
        <f aca="false">B203&amp;"|"&amp;C203&amp;"|"&amp;D203&amp;"|"&amp;E203</f>
        <v>Grad 2030|IB Business Management|HL|4</v>
      </c>
      <c r="B203" s="49" t="s">
        <v>813</v>
      </c>
      <c r="C203" s="49" t="s">
        <v>365</v>
      </c>
      <c r="D203" s="49" t="s">
        <v>25</v>
      </c>
      <c r="E203" s="49" t="n">
        <v>4</v>
      </c>
      <c r="F203" s="49" t="s">
        <v>748</v>
      </c>
      <c r="G203" s="49" t="s">
        <v>796</v>
      </c>
      <c r="H203" s="49" t="n">
        <v>40</v>
      </c>
      <c r="I203" s="49" t="s">
        <v>758</v>
      </c>
      <c r="J203" s="49" t="n">
        <v>2</v>
      </c>
    </row>
    <row r="204" customFormat="false" ht="15" hidden="false" customHeight="false" outlineLevel="0" collapsed="false">
      <c r="A204" s="48" t="str">
        <f aca="false">B204&amp;"|"&amp;C204&amp;"|"&amp;D204&amp;"|"&amp;E204</f>
        <v>Grad 2030|IB Business Management|HL|5</v>
      </c>
      <c r="B204" s="49" t="s">
        <v>813</v>
      </c>
      <c r="C204" s="49" t="s">
        <v>365</v>
      </c>
      <c r="D204" s="49" t="s">
        <v>25</v>
      </c>
      <c r="E204" s="49" t="n">
        <v>5</v>
      </c>
      <c r="F204" s="49" t="s">
        <v>759</v>
      </c>
      <c r="G204" s="49" t="s">
        <v>760</v>
      </c>
      <c r="H204" s="49" t="n">
        <v>30</v>
      </c>
      <c r="I204" s="49" t="s">
        <v>753</v>
      </c>
      <c r="J204" s="49" t="n">
        <v>1</v>
      </c>
    </row>
    <row r="205" customFormat="false" ht="15" hidden="false" customHeight="false" outlineLevel="0" collapsed="false">
      <c r="A205" s="48" t="str">
        <f aca="false">B205&amp;"|"&amp;C205&amp;"|"&amp;D205&amp;"|"&amp;E205</f>
        <v>Grad 2030|IB Business Management|HL|6</v>
      </c>
      <c r="B205" s="49" t="s">
        <v>813</v>
      </c>
      <c r="C205" s="49" t="s">
        <v>365</v>
      </c>
      <c r="D205" s="49" t="s">
        <v>25</v>
      </c>
      <c r="E205" s="49" t="n">
        <v>6</v>
      </c>
      <c r="F205" s="49" t="s">
        <v>761</v>
      </c>
      <c r="G205" s="49" t="s">
        <v>762</v>
      </c>
      <c r="H205" s="49" t="n">
        <v>20</v>
      </c>
      <c r="I205" s="49" t="s">
        <v>753</v>
      </c>
      <c r="J205" s="49" t="n">
        <v>1</v>
      </c>
    </row>
    <row r="206" customFormat="false" ht="15" hidden="false" customHeight="false" outlineLevel="0" collapsed="false">
      <c r="A206" s="48" t="str">
        <f aca="false">B206&amp;"|"&amp;C206&amp;"|"&amp;D206&amp;"|"&amp;E206</f>
        <v>Grad 2030|IB Business Management|HL|7</v>
      </c>
      <c r="B206" s="49" t="s">
        <v>813</v>
      </c>
      <c r="C206" s="49" t="s">
        <v>365</v>
      </c>
      <c r="D206" s="49" t="s">
        <v>25</v>
      </c>
      <c r="E206" s="49" t="n">
        <v>7</v>
      </c>
      <c r="F206" s="49" t="s">
        <v>769</v>
      </c>
      <c r="G206" s="49" t="s">
        <v>764</v>
      </c>
      <c r="H206" s="49" t="n">
        <v>50</v>
      </c>
      <c r="I206" s="49" t="s">
        <v>758</v>
      </c>
      <c r="J206" s="49" t="n">
        <v>2</v>
      </c>
    </row>
    <row r="207" customFormat="false" ht="15" hidden="false" customHeight="false" outlineLevel="0" collapsed="false">
      <c r="A207" s="48" t="str">
        <f aca="false">B207&amp;"|"&amp;C207&amp;"|"&amp;D207&amp;"|"&amp;E207</f>
        <v>Grad 2030|IB Business Management|SL|1</v>
      </c>
      <c r="B207" s="49" t="s">
        <v>813</v>
      </c>
      <c r="C207" s="49" t="s">
        <v>365</v>
      </c>
      <c r="D207" s="49" t="s">
        <v>223</v>
      </c>
      <c r="E207" s="49" t="n">
        <v>1</v>
      </c>
      <c r="F207" s="49" t="s">
        <v>766</v>
      </c>
      <c r="G207" s="49" t="s">
        <v>797</v>
      </c>
      <c r="H207" s="49" t="n">
        <v>24</v>
      </c>
      <c r="I207" s="49" t="s">
        <v>753</v>
      </c>
      <c r="J207" s="49" t="n">
        <v>1</v>
      </c>
    </row>
    <row r="208" customFormat="false" ht="15" hidden="false" customHeight="false" outlineLevel="0" collapsed="false">
      <c r="A208" s="48" t="str">
        <f aca="false">B208&amp;"|"&amp;C208&amp;"|"&amp;D208&amp;"|"&amp;E208</f>
        <v>Grad 2030|IB Business Management|SL|2</v>
      </c>
      <c r="B208" s="49" t="s">
        <v>813</v>
      </c>
      <c r="C208" s="49" t="s">
        <v>365</v>
      </c>
      <c r="D208" s="49" t="s">
        <v>223</v>
      </c>
      <c r="E208" s="49" t="n">
        <v>2</v>
      </c>
      <c r="F208" s="49" t="s">
        <v>767</v>
      </c>
      <c r="G208" s="49" t="s">
        <v>797</v>
      </c>
      <c r="H208" s="49" t="n">
        <v>20</v>
      </c>
      <c r="I208" s="49" t="s">
        <v>753</v>
      </c>
      <c r="J208" s="49" t="n">
        <v>1</v>
      </c>
    </row>
    <row r="209" customFormat="false" ht="15" hidden="false" customHeight="false" outlineLevel="0" collapsed="false">
      <c r="A209" s="48" t="str">
        <f aca="false">B209&amp;"|"&amp;C209&amp;"|"&amp;D209&amp;"|"&amp;E209</f>
        <v>Grad 2030|IB Business Management|SL|3</v>
      </c>
      <c r="B209" s="49" t="s">
        <v>813</v>
      </c>
      <c r="C209" s="49" t="s">
        <v>365</v>
      </c>
      <c r="D209" s="49" t="s">
        <v>223</v>
      </c>
      <c r="E209" s="49" t="n">
        <v>3</v>
      </c>
      <c r="F209" s="49" t="s">
        <v>756</v>
      </c>
      <c r="G209" s="49" t="s">
        <v>803</v>
      </c>
      <c r="H209" s="49" t="n">
        <v>24</v>
      </c>
      <c r="I209" s="49" t="s">
        <v>753</v>
      </c>
      <c r="J209" s="49" t="n">
        <v>1</v>
      </c>
    </row>
    <row r="210" customFormat="false" ht="15" hidden="false" customHeight="false" outlineLevel="0" collapsed="false">
      <c r="A210" s="48" t="str">
        <f aca="false">B210&amp;"|"&amp;C210&amp;"|"&amp;D210&amp;"|"&amp;E210</f>
        <v>Grad 2030|IB Business Management|SL|4</v>
      </c>
      <c r="B210" s="49" t="s">
        <v>813</v>
      </c>
      <c r="C210" s="49" t="s">
        <v>365</v>
      </c>
      <c r="D210" s="49" t="s">
        <v>223</v>
      </c>
      <c r="E210" s="49" t="n">
        <v>4</v>
      </c>
      <c r="F210" s="49" t="s">
        <v>748</v>
      </c>
      <c r="G210" s="49" t="s">
        <v>796</v>
      </c>
      <c r="H210" s="49" t="n">
        <v>40</v>
      </c>
      <c r="I210" s="49" t="s">
        <v>758</v>
      </c>
      <c r="J210" s="49" t="n">
        <v>2</v>
      </c>
    </row>
    <row r="211" customFormat="false" ht="15" hidden="false" customHeight="false" outlineLevel="0" collapsed="false">
      <c r="A211" s="48" t="str">
        <f aca="false">B211&amp;"|"&amp;C211&amp;"|"&amp;D211&amp;"|"&amp;E211</f>
        <v>Grad 2030|IB Business Management|SL|5</v>
      </c>
      <c r="B211" s="49" t="s">
        <v>813</v>
      </c>
      <c r="C211" s="49" t="s">
        <v>365</v>
      </c>
      <c r="D211" s="49" t="s">
        <v>223</v>
      </c>
      <c r="E211" s="49" t="n">
        <v>5</v>
      </c>
      <c r="F211" s="49" t="s">
        <v>768</v>
      </c>
      <c r="G211" s="49" t="s">
        <v>760</v>
      </c>
      <c r="H211" s="49" t="n">
        <v>30</v>
      </c>
      <c r="I211" s="49" t="s">
        <v>753</v>
      </c>
      <c r="J211" s="49" t="n">
        <v>1</v>
      </c>
    </row>
    <row r="212" customFormat="false" ht="15" hidden="false" customHeight="false" outlineLevel="0" collapsed="false">
      <c r="A212" s="48" t="str">
        <f aca="false">B212&amp;"|"&amp;C212&amp;"|"&amp;D212&amp;"|"&amp;E212</f>
        <v>Grad 2030|IB Business Management|SL|6</v>
      </c>
      <c r="B212" s="49" t="s">
        <v>813</v>
      </c>
      <c r="C212" s="49" t="s">
        <v>365</v>
      </c>
      <c r="D212" s="49" t="s">
        <v>223</v>
      </c>
      <c r="E212" s="49" t="n">
        <v>6</v>
      </c>
      <c r="F212" s="49" t="s">
        <v>761</v>
      </c>
      <c r="G212" s="49" t="s">
        <v>762</v>
      </c>
      <c r="H212" s="49" t="n">
        <v>20</v>
      </c>
      <c r="I212" s="49" t="s">
        <v>753</v>
      </c>
      <c r="J212" s="49" t="n">
        <v>1</v>
      </c>
    </row>
    <row r="213" customFormat="false" ht="15" hidden="false" customHeight="false" outlineLevel="0" collapsed="false">
      <c r="A213" s="48" t="str">
        <f aca="false">B213&amp;"|"&amp;C213&amp;"|"&amp;D213&amp;"|"&amp;E213</f>
        <v>Grad 2030|IB History|HL|1</v>
      </c>
      <c r="B213" s="49" t="s">
        <v>813</v>
      </c>
      <c r="C213" s="49" t="s">
        <v>416</v>
      </c>
      <c r="D213" s="49" t="s">
        <v>25</v>
      </c>
      <c r="E213" s="49" t="n">
        <v>1</v>
      </c>
      <c r="F213" s="49" t="s">
        <v>804</v>
      </c>
      <c r="G213" s="49" t="s">
        <v>801</v>
      </c>
      <c r="H213" s="49" t="n">
        <v>15</v>
      </c>
      <c r="I213" s="49" t="s">
        <v>773</v>
      </c>
      <c r="J213" s="49" t="n">
        <v>1</v>
      </c>
    </row>
    <row r="214" customFormat="false" ht="15" hidden="false" customHeight="false" outlineLevel="0" collapsed="false">
      <c r="A214" s="48" t="str">
        <f aca="false">B214&amp;"|"&amp;C214&amp;"|"&amp;D214&amp;"|"&amp;E214</f>
        <v>Grad 2030|IB History|HL|2</v>
      </c>
      <c r="B214" s="49" t="s">
        <v>813</v>
      </c>
      <c r="C214" s="49" t="s">
        <v>416</v>
      </c>
      <c r="D214" s="49" t="s">
        <v>25</v>
      </c>
      <c r="E214" s="49" t="n">
        <v>2</v>
      </c>
      <c r="F214" s="49" t="s">
        <v>805</v>
      </c>
      <c r="G214" s="49" t="s">
        <v>801</v>
      </c>
      <c r="H214" s="49" t="n">
        <v>10</v>
      </c>
      <c r="I214" s="49" t="s">
        <v>776</v>
      </c>
      <c r="J214" s="49" t="n">
        <v>1</v>
      </c>
    </row>
    <row r="215" customFormat="false" ht="15" hidden="false" customHeight="false" outlineLevel="0" collapsed="false">
      <c r="A215" s="48" t="str">
        <f aca="false">B215&amp;"|"&amp;C215&amp;"|"&amp;D215&amp;"|"&amp;E215</f>
        <v>Grad 2030|IB History|HL|3</v>
      </c>
      <c r="B215" s="49" t="s">
        <v>813</v>
      </c>
      <c r="C215" s="49" t="s">
        <v>416</v>
      </c>
      <c r="D215" s="49" t="s">
        <v>25</v>
      </c>
      <c r="E215" s="49" t="n">
        <v>3</v>
      </c>
      <c r="F215" s="49" t="s">
        <v>806</v>
      </c>
      <c r="G215" s="49" t="s">
        <v>802</v>
      </c>
      <c r="H215" s="49" t="n">
        <v>24</v>
      </c>
      <c r="I215" s="49" t="s">
        <v>776</v>
      </c>
      <c r="J215" s="49" t="n">
        <v>1</v>
      </c>
    </row>
    <row r="216" customFormat="false" ht="15" hidden="false" customHeight="false" outlineLevel="0" collapsed="false">
      <c r="A216" s="48" t="str">
        <f aca="false">B216&amp;"|"&amp;C216&amp;"|"&amp;D216&amp;"|"&amp;E216</f>
        <v>Grad 2030|IB History|HL|4</v>
      </c>
      <c r="B216" s="49" t="s">
        <v>813</v>
      </c>
      <c r="C216" s="49" t="s">
        <v>416</v>
      </c>
      <c r="D216" s="49" t="s">
        <v>25</v>
      </c>
      <c r="E216" s="49" t="n">
        <v>4</v>
      </c>
      <c r="F216" s="49" t="s">
        <v>807</v>
      </c>
      <c r="G216" s="49" t="s">
        <v>802</v>
      </c>
      <c r="H216" s="49" t="n">
        <v>15</v>
      </c>
      <c r="I216" s="49" t="s">
        <v>773</v>
      </c>
      <c r="J216" s="49" t="n">
        <v>1</v>
      </c>
    </row>
    <row r="217" customFormat="false" ht="15" hidden="false" customHeight="false" outlineLevel="0" collapsed="false">
      <c r="A217" s="48" t="str">
        <f aca="false">B217&amp;"|"&amp;C217&amp;"|"&amp;D217&amp;"|"&amp;E217</f>
        <v>Grad 2030|IB History|HL|5</v>
      </c>
      <c r="B217" s="49" t="s">
        <v>813</v>
      </c>
      <c r="C217" s="49" t="s">
        <v>416</v>
      </c>
      <c r="D217" s="49" t="s">
        <v>25</v>
      </c>
      <c r="E217" s="49" t="n">
        <v>5</v>
      </c>
      <c r="F217" s="49" t="s">
        <v>808</v>
      </c>
      <c r="G217" s="49" t="s">
        <v>803</v>
      </c>
      <c r="H217" s="49" t="n">
        <v>15</v>
      </c>
      <c r="I217" s="49" t="s">
        <v>773</v>
      </c>
      <c r="J217" s="49" t="n">
        <v>1</v>
      </c>
    </row>
    <row r="218" customFormat="false" ht="15" hidden="false" customHeight="false" outlineLevel="0" collapsed="false">
      <c r="A218" s="48" t="str">
        <f aca="false">B218&amp;"|"&amp;C218&amp;"|"&amp;D218&amp;"|"&amp;E218</f>
        <v>Grad 2030|IB History|HL|6</v>
      </c>
      <c r="B218" s="49" t="s">
        <v>813</v>
      </c>
      <c r="C218" s="49" t="s">
        <v>416</v>
      </c>
      <c r="D218" s="49" t="s">
        <v>25</v>
      </c>
      <c r="E218" s="49" t="n">
        <v>6</v>
      </c>
      <c r="F218" s="49" t="s">
        <v>809</v>
      </c>
      <c r="G218" s="49" t="s">
        <v>803</v>
      </c>
      <c r="H218" s="49" t="n">
        <v>15</v>
      </c>
      <c r="I218" s="49" t="s">
        <v>773</v>
      </c>
      <c r="J218" s="49" t="n">
        <v>1</v>
      </c>
    </row>
    <row r="219" customFormat="false" ht="15" hidden="false" customHeight="false" outlineLevel="0" collapsed="false">
      <c r="A219" s="48" t="str">
        <f aca="false">B219&amp;"|"&amp;C219&amp;"|"&amp;D219&amp;"|"&amp;E219</f>
        <v>Grad 2030|IB History|HL|7</v>
      </c>
      <c r="B219" s="49" t="s">
        <v>813</v>
      </c>
      <c r="C219" s="49" t="s">
        <v>416</v>
      </c>
      <c r="D219" s="49" t="s">
        <v>25</v>
      </c>
      <c r="E219" s="49" t="n">
        <v>7</v>
      </c>
      <c r="F219" s="49" t="s">
        <v>720</v>
      </c>
      <c r="G219" s="49" t="s">
        <v>796</v>
      </c>
      <c r="H219" s="49" t="n">
        <v>24</v>
      </c>
      <c r="I219" s="49" t="s">
        <v>771</v>
      </c>
      <c r="J219" s="49" t="n">
        <v>2</v>
      </c>
    </row>
    <row r="220" customFormat="false" ht="15" hidden="false" customHeight="false" outlineLevel="0" collapsed="false">
      <c r="A220" s="48" t="str">
        <f aca="false">B220&amp;"|"&amp;C220&amp;"|"&amp;D220&amp;"|"&amp;E220</f>
        <v>Grad 2030|IB History|HL|8</v>
      </c>
      <c r="B220" s="49" t="s">
        <v>813</v>
      </c>
      <c r="C220" s="49" t="s">
        <v>416</v>
      </c>
      <c r="D220" s="49" t="s">
        <v>25</v>
      </c>
      <c r="E220" s="49" t="n">
        <v>8</v>
      </c>
      <c r="F220" s="49" t="s">
        <v>722</v>
      </c>
      <c r="G220" s="49" t="s">
        <v>796</v>
      </c>
      <c r="H220" s="49" t="n">
        <v>30</v>
      </c>
      <c r="I220" s="49" t="s">
        <v>780</v>
      </c>
      <c r="J220" s="49" t="n">
        <v>2</v>
      </c>
    </row>
    <row r="221" customFormat="false" ht="15" hidden="false" customHeight="false" outlineLevel="0" collapsed="false">
      <c r="A221" s="48" t="str">
        <f aca="false">B221&amp;"|"&amp;C221&amp;"|"&amp;D221&amp;"|"&amp;E221</f>
        <v>Grad 2030|IB History|HL|9</v>
      </c>
      <c r="B221" s="49" t="s">
        <v>813</v>
      </c>
      <c r="C221" s="49" t="s">
        <v>416</v>
      </c>
      <c r="D221" s="49" t="s">
        <v>25</v>
      </c>
      <c r="E221" s="49" t="n">
        <v>9</v>
      </c>
      <c r="F221" s="49" t="s">
        <v>781</v>
      </c>
      <c r="G221" s="49" t="s">
        <v>796</v>
      </c>
      <c r="H221" s="49" t="n">
        <v>15</v>
      </c>
      <c r="I221" s="49" t="s">
        <v>782</v>
      </c>
      <c r="J221" s="49" t="n">
        <v>2</v>
      </c>
    </row>
    <row r="222" customFormat="false" ht="15" hidden="false" customHeight="false" outlineLevel="0" collapsed="false">
      <c r="A222" s="48" t="str">
        <f aca="false">B222&amp;"|"&amp;C222&amp;"|"&amp;D222&amp;"|"&amp;E222</f>
        <v>Grad 2030|IB History|SL|1</v>
      </c>
      <c r="B222" s="49" t="s">
        <v>813</v>
      </c>
      <c r="C222" s="49" t="s">
        <v>416</v>
      </c>
      <c r="D222" s="49" t="s">
        <v>223</v>
      </c>
      <c r="E222" s="49" t="n">
        <v>1</v>
      </c>
      <c r="F222" s="49" t="s">
        <v>805</v>
      </c>
      <c r="G222" s="49" t="s">
        <v>801</v>
      </c>
      <c r="H222" s="49" t="n">
        <v>10</v>
      </c>
      <c r="I222" s="49" t="s">
        <v>776</v>
      </c>
      <c r="J222" s="49" t="n">
        <v>1</v>
      </c>
    </row>
    <row r="223" customFormat="false" ht="15" hidden="false" customHeight="false" outlineLevel="0" collapsed="false">
      <c r="A223" s="48" t="str">
        <f aca="false">B223&amp;"|"&amp;C223&amp;"|"&amp;D223&amp;"|"&amp;E223</f>
        <v>Grad 2030|IB History|SL|2</v>
      </c>
      <c r="B223" s="49" t="s">
        <v>813</v>
      </c>
      <c r="C223" s="49" t="s">
        <v>416</v>
      </c>
      <c r="D223" s="49" t="s">
        <v>223</v>
      </c>
      <c r="E223" s="49" t="n">
        <v>2</v>
      </c>
      <c r="F223" s="49" t="s">
        <v>810</v>
      </c>
      <c r="G223" s="49" t="s">
        <v>802</v>
      </c>
      <c r="H223" s="49" t="n">
        <v>24</v>
      </c>
      <c r="I223" s="49" t="s">
        <v>776</v>
      </c>
      <c r="J223" s="49" t="n">
        <v>1</v>
      </c>
    </row>
    <row r="224" customFormat="false" ht="15" hidden="false" customHeight="false" outlineLevel="0" collapsed="false">
      <c r="A224" s="48" t="str">
        <f aca="false">B224&amp;"|"&amp;C224&amp;"|"&amp;D224&amp;"|"&amp;E224</f>
        <v>Grad 2030|IB History|SL|3</v>
      </c>
      <c r="B224" s="49" t="s">
        <v>813</v>
      </c>
      <c r="C224" s="49" t="s">
        <v>416</v>
      </c>
      <c r="D224" s="49" t="s">
        <v>223</v>
      </c>
      <c r="E224" s="49" t="n">
        <v>3</v>
      </c>
      <c r="F224" s="49" t="s">
        <v>811</v>
      </c>
      <c r="G224" s="49" t="s">
        <v>803</v>
      </c>
      <c r="H224" s="49" t="n">
        <v>15</v>
      </c>
      <c r="I224" s="49" t="s">
        <v>776</v>
      </c>
      <c r="J224" s="49" t="n">
        <v>1</v>
      </c>
    </row>
    <row r="225" customFormat="false" ht="15" hidden="false" customHeight="false" outlineLevel="0" collapsed="false">
      <c r="A225" s="48" t="str">
        <f aca="false">B225&amp;"|"&amp;C225&amp;"|"&amp;D225&amp;"|"&amp;E225</f>
        <v>Grad 2030|IB History|SL|4</v>
      </c>
      <c r="B225" s="49" t="s">
        <v>813</v>
      </c>
      <c r="C225" s="49" t="s">
        <v>416</v>
      </c>
      <c r="D225" s="49" t="s">
        <v>223</v>
      </c>
      <c r="E225" s="49" t="n">
        <v>4</v>
      </c>
      <c r="F225" s="49" t="s">
        <v>720</v>
      </c>
      <c r="G225" s="49" t="s">
        <v>796</v>
      </c>
      <c r="H225" s="49" t="n">
        <v>24</v>
      </c>
      <c r="I225" s="49" t="s">
        <v>771</v>
      </c>
      <c r="J225" s="49" t="n">
        <v>2</v>
      </c>
    </row>
    <row r="226" customFormat="false" ht="15" hidden="false" customHeight="false" outlineLevel="0" collapsed="false">
      <c r="A226" s="48" t="str">
        <f aca="false">B226&amp;"|"&amp;C226&amp;"|"&amp;D226&amp;"|"&amp;E226</f>
        <v>Grad 2030|IB History|SL|5</v>
      </c>
      <c r="B226" s="49" t="s">
        <v>813</v>
      </c>
      <c r="C226" s="49" t="s">
        <v>416</v>
      </c>
      <c r="D226" s="49" t="s">
        <v>223</v>
      </c>
      <c r="E226" s="49" t="n">
        <v>5</v>
      </c>
      <c r="F226" s="49" t="s">
        <v>722</v>
      </c>
      <c r="G226" s="49" t="s">
        <v>796</v>
      </c>
      <c r="H226" s="49" t="n">
        <v>30</v>
      </c>
      <c r="I226" s="49" t="s">
        <v>780</v>
      </c>
      <c r="J226" s="49" t="n">
        <v>2</v>
      </c>
    </row>
    <row r="227" customFormat="false" ht="15" hidden="false" customHeight="false" outlineLevel="0" collapsed="false">
      <c r="A227" s="50" t="str">
        <f aca="false">IF(B227="","",B227&amp;"|"&amp;C227&amp;"|"&amp;D227&amp;"|"&amp;E227)</f>
        <v/>
      </c>
    </row>
    <row r="228" customFormat="false" ht="15" hidden="false" customHeight="false" outlineLevel="0" collapsed="false">
      <c r="A228" s="50" t="str">
        <f aca="false">IF(B228="","",B228&amp;"|"&amp;C228&amp;"|"&amp;D228&amp;"|"&amp;E228)</f>
        <v/>
      </c>
    </row>
    <row r="229" customFormat="false" ht="15" hidden="false" customHeight="false" outlineLevel="0" collapsed="false">
      <c r="A229" s="50" t="str">
        <f aca="false">IF(B229="","",B229&amp;"|"&amp;C229&amp;"|"&amp;D229&amp;"|"&amp;E229)</f>
        <v/>
      </c>
    </row>
    <row r="230" customFormat="false" ht="15" hidden="false" customHeight="false" outlineLevel="0" collapsed="false">
      <c r="A230" s="50" t="str">
        <f aca="false">IF(B230="","",B230&amp;"|"&amp;C230&amp;"|"&amp;D230&amp;"|"&amp;E230)</f>
        <v/>
      </c>
    </row>
    <row r="231" customFormat="false" ht="15" hidden="false" customHeight="false" outlineLevel="0" collapsed="false">
      <c r="A231" s="50" t="str">
        <f aca="false">IF(B231="","",B231&amp;"|"&amp;C231&amp;"|"&amp;D231&amp;"|"&amp;E231)</f>
        <v/>
      </c>
    </row>
    <row r="232" customFormat="false" ht="15" hidden="false" customHeight="false" outlineLevel="0" collapsed="false">
      <c r="A232" s="50" t="str">
        <f aca="false">IF(B232="","",B232&amp;"|"&amp;C232&amp;"|"&amp;D232&amp;"|"&amp;E232)</f>
        <v/>
      </c>
    </row>
    <row r="233" customFormat="false" ht="15" hidden="false" customHeight="false" outlineLevel="0" collapsed="false">
      <c r="A233" s="50" t="str">
        <f aca="false">IF(B233="","",B233&amp;"|"&amp;C233&amp;"|"&amp;D233&amp;"|"&amp;E233)</f>
        <v/>
      </c>
    </row>
    <row r="234" customFormat="false" ht="15" hidden="false" customHeight="false" outlineLevel="0" collapsed="false">
      <c r="A234" s="50" t="str">
        <f aca="false">IF(B234="","",B234&amp;"|"&amp;C234&amp;"|"&amp;D234&amp;"|"&amp;E234)</f>
        <v/>
      </c>
    </row>
    <row r="235" customFormat="false" ht="15" hidden="false" customHeight="false" outlineLevel="0" collapsed="false">
      <c r="A235" s="50" t="str">
        <f aca="false">IF(B235="","",B235&amp;"|"&amp;C235&amp;"|"&amp;D235&amp;"|"&amp;E235)</f>
        <v/>
      </c>
    </row>
    <row r="236" customFormat="false" ht="15" hidden="false" customHeight="false" outlineLevel="0" collapsed="false">
      <c r="A236" s="50" t="str">
        <f aca="false">IF(B236="","",B236&amp;"|"&amp;C236&amp;"|"&amp;D236&amp;"|"&amp;E236)</f>
        <v/>
      </c>
    </row>
    <row r="237" customFormat="false" ht="15" hidden="false" customHeight="false" outlineLevel="0" collapsed="false">
      <c r="A237" s="50" t="str">
        <f aca="false">IF(B237="","",B237&amp;"|"&amp;C237&amp;"|"&amp;D237&amp;"|"&amp;E237)</f>
        <v/>
      </c>
    </row>
    <row r="238" customFormat="false" ht="15" hidden="false" customHeight="false" outlineLevel="0" collapsed="false">
      <c r="A238" s="50" t="str">
        <f aca="false">IF(B238="","",B238&amp;"|"&amp;C238&amp;"|"&amp;D238&amp;"|"&amp;E238)</f>
        <v/>
      </c>
    </row>
    <row r="239" customFormat="false" ht="15" hidden="false" customHeight="false" outlineLevel="0" collapsed="false">
      <c r="A239" s="50" t="str">
        <f aca="false">IF(B239="","",B239&amp;"|"&amp;C239&amp;"|"&amp;D239&amp;"|"&amp;E239)</f>
        <v/>
      </c>
    </row>
    <row r="240" customFormat="false" ht="15" hidden="false" customHeight="false" outlineLevel="0" collapsed="false">
      <c r="A240" s="50" t="str">
        <f aca="false">IF(B240="","",B240&amp;"|"&amp;C240&amp;"|"&amp;D240&amp;"|"&amp;E240)</f>
        <v/>
      </c>
    </row>
    <row r="241" customFormat="false" ht="15" hidden="false" customHeight="false" outlineLevel="0" collapsed="false">
      <c r="A241" s="50" t="str">
        <f aca="false">IF(B241="","",B241&amp;"|"&amp;C241&amp;"|"&amp;D241&amp;"|"&amp;E241)</f>
        <v/>
      </c>
    </row>
    <row r="242" customFormat="false" ht="15" hidden="false" customHeight="false" outlineLevel="0" collapsed="false">
      <c r="A242" s="50" t="str">
        <f aca="false">IF(B242="","",B242&amp;"|"&amp;C242&amp;"|"&amp;D242&amp;"|"&amp;E242)</f>
        <v/>
      </c>
    </row>
    <row r="243" customFormat="false" ht="15" hidden="false" customHeight="false" outlineLevel="0" collapsed="false">
      <c r="A243" s="50" t="str">
        <f aca="false">IF(B243="","",B243&amp;"|"&amp;C243&amp;"|"&amp;D243&amp;"|"&amp;E243)</f>
        <v/>
      </c>
    </row>
    <row r="244" customFormat="false" ht="15" hidden="false" customHeight="false" outlineLevel="0" collapsed="false">
      <c r="A244" s="50" t="str">
        <f aca="false">IF(B244="","",B244&amp;"|"&amp;C244&amp;"|"&amp;D244&amp;"|"&amp;E244)</f>
        <v/>
      </c>
    </row>
    <row r="245" customFormat="false" ht="15" hidden="false" customHeight="false" outlineLevel="0" collapsed="false">
      <c r="A245" s="50" t="str">
        <f aca="false">IF(B245="","",B245&amp;"|"&amp;C245&amp;"|"&amp;D245&amp;"|"&amp;E245)</f>
        <v/>
      </c>
    </row>
    <row r="246" customFormat="false" ht="15" hidden="false" customHeight="false" outlineLevel="0" collapsed="false">
      <c r="A246" s="50" t="str">
        <f aca="false">IF(B246="","",B246&amp;"|"&amp;C246&amp;"|"&amp;D246&amp;"|"&amp;E246)</f>
        <v/>
      </c>
    </row>
    <row r="247" customFormat="false" ht="15" hidden="false" customHeight="false" outlineLevel="0" collapsed="false">
      <c r="A247" s="50" t="str">
        <f aca="false">IF(B247="","",B247&amp;"|"&amp;C247&amp;"|"&amp;D247&amp;"|"&amp;E247)</f>
        <v/>
      </c>
    </row>
    <row r="248" customFormat="false" ht="15" hidden="false" customHeight="false" outlineLevel="0" collapsed="false">
      <c r="A248" s="50" t="str">
        <f aca="false">IF(B248="","",B248&amp;"|"&amp;C248&amp;"|"&amp;D248&amp;"|"&amp;E248)</f>
        <v/>
      </c>
    </row>
    <row r="249" customFormat="false" ht="15" hidden="false" customHeight="false" outlineLevel="0" collapsed="false">
      <c r="A249" s="50" t="str">
        <f aca="false">IF(B249="","",B249&amp;"|"&amp;C249&amp;"|"&amp;D249&amp;"|"&amp;E249)</f>
        <v/>
      </c>
    </row>
    <row r="250" customFormat="false" ht="15" hidden="false" customHeight="false" outlineLevel="0" collapsed="false">
      <c r="A250" s="50" t="str">
        <f aca="false">IF(B250="","",B250&amp;"|"&amp;C250&amp;"|"&amp;D250&amp;"|"&amp;E250)</f>
        <v/>
      </c>
    </row>
    <row r="251" customFormat="false" ht="15" hidden="false" customHeight="false" outlineLevel="0" collapsed="false">
      <c r="A251" s="50" t="str">
        <f aca="false">IF(B251="","",B251&amp;"|"&amp;C251&amp;"|"&amp;D251&amp;"|"&amp;E251)</f>
        <v/>
      </c>
    </row>
    <row r="252" customFormat="false" ht="15" hidden="false" customHeight="false" outlineLevel="0" collapsed="false">
      <c r="A252" s="50" t="str">
        <f aca="false">IF(B252="","",B252&amp;"|"&amp;C252&amp;"|"&amp;D252&amp;"|"&amp;E252)</f>
        <v/>
      </c>
    </row>
    <row r="253" customFormat="false" ht="15" hidden="false" customHeight="false" outlineLevel="0" collapsed="false">
      <c r="A253" s="50" t="str">
        <f aca="false">IF(B253="","",B253&amp;"|"&amp;C253&amp;"|"&amp;D253&amp;"|"&amp;E253)</f>
        <v/>
      </c>
    </row>
    <row r="254" customFormat="false" ht="15" hidden="false" customHeight="false" outlineLevel="0" collapsed="false">
      <c r="A254" s="50" t="str">
        <f aca="false">IF(B254="","",B254&amp;"|"&amp;C254&amp;"|"&amp;D254&amp;"|"&amp;E254)</f>
        <v/>
      </c>
    </row>
    <row r="255" customFormat="false" ht="15" hidden="false" customHeight="false" outlineLevel="0" collapsed="false">
      <c r="A255" s="50" t="str">
        <f aca="false">IF(B255="","",B255&amp;"|"&amp;C255&amp;"|"&amp;D255&amp;"|"&amp;E255)</f>
        <v/>
      </c>
    </row>
    <row r="256" customFormat="false" ht="15" hidden="false" customHeight="false" outlineLevel="0" collapsed="false">
      <c r="A256" s="50" t="str">
        <f aca="false">IF(B256="","",B256&amp;"|"&amp;C256&amp;"|"&amp;D256&amp;"|"&amp;E256)</f>
        <v/>
      </c>
    </row>
    <row r="257" customFormat="false" ht="15" hidden="false" customHeight="false" outlineLevel="0" collapsed="false">
      <c r="A257" s="50" t="str">
        <f aca="false">IF(B257="","",B257&amp;"|"&amp;C257&amp;"|"&amp;D257&amp;"|"&amp;E257)</f>
        <v/>
      </c>
    </row>
    <row r="258" customFormat="false" ht="15" hidden="false" customHeight="false" outlineLevel="0" collapsed="false">
      <c r="A258" s="50" t="str">
        <f aca="false">IF(B258="","",B258&amp;"|"&amp;C258&amp;"|"&amp;D258&amp;"|"&amp;E258)</f>
        <v/>
      </c>
    </row>
    <row r="259" customFormat="false" ht="15" hidden="false" customHeight="false" outlineLevel="0" collapsed="false">
      <c r="A259" s="50" t="str">
        <f aca="false">IF(B259="","",B259&amp;"|"&amp;C259&amp;"|"&amp;D259&amp;"|"&amp;E259)</f>
        <v/>
      </c>
    </row>
    <row r="260" customFormat="false" ht="15" hidden="false" customHeight="false" outlineLevel="0" collapsed="false">
      <c r="A260" s="50" t="str">
        <f aca="false">IF(B260="","",B260&amp;"|"&amp;C260&amp;"|"&amp;D260&amp;"|"&amp;E260)</f>
        <v/>
      </c>
    </row>
    <row r="261" customFormat="false" ht="15" hidden="false" customHeight="false" outlineLevel="0" collapsed="false">
      <c r="A261" s="50" t="str">
        <f aca="false">IF(B261="","",B261&amp;"|"&amp;C261&amp;"|"&amp;D261&amp;"|"&amp;E261)</f>
        <v/>
      </c>
    </row>
    <row r="262" customFormat="false" ht="15" hidden="false" customHeight="false" outlineLevel="0" collapsed="false">
      <c r="A262" s="50" t="str">
        <f aca="false">IF(B262="","",B262&amp;"|"&amp;C262&amp;"|"&amp;D262&amp;"|"&amp;E262)</f>
        <v/>
      </c>
    </row>
    <row r="263" customFormat="false" ht="15" hidden="false" customHeight="false" outlineLevel="0" collapsed="false">
      <c r="A263" s="50" t="str">
        <f aca="false">IF(B263="","",B263&amp;"|"&amp;C263&amp;"|"&amp;D263&amp;"|"&amp;E263)</f>
        <v/>
      </c>
    </row>
    <row r="264" customFormat="false" ht="15" hidden="false" customHeight="false" outlineLevel="0" collapsed="false">
      <c r="A264" s="50" t="str">
        <f aca="false">IF(B264="","",B264&amp;"|"&amp;C264&amp;"|"&amp;D264&amp;"|"&amp;E264)</f>
        <v/>
      </c>
    </row>
    <row r="265" customFormat="false" ht="15" hidden="false" customHeight="false" outlineLevel="0" collapsed="false">
      <c r="A265" s="50" t="str">
        <f aca="false">IF(B265="","",B265&amp;"|"&amp;C265&amp;"|"&amp;D265&amp;"|"&amp;E265)</f>
        <v/>
      </c>
    </row>
    <row r="266" customFormat="false" ht="15" hidden="false" customHeight="false" outlineLevel="0" collapsed="false">
      <c r="A266" s="50" t="str">
        <f aca="false">IF(B266="","",B266&amp;"|"&amp;C266&amp;"|"&amp;D266&amp;"|"&amp;E266)</f>
        <v/>
      </c>
    </row>
    <row r="267" customFormat="false" ht="15" hidden="false" customHeight="false" outlineLevel="0" collapsed="false">
      <c r="A267" s="50" t="str">
        <f aca="false">IF(B267="","",B267&amp;"|"&amp;C267&amp;"|"&amp;D267&amp;"|"&amp;E267)</f>
        <v/>
      </c>
    </row>
    <row r="268" customFormat="false" ht="15" hidden="false" customHeight="false" outlineLevel="0" collapsed="false">
      <c r="A268" s="50" t="str">
        <f aca="false">IF(B268="","",B268&amp;"|"&amp;C268&amp;"|"&amp;D268&amp;"|"&amp;E268)</f>
        <v/>
      </c>
    </row>
    <row r="269" customFormat="false" ht="15" hidden="false" customHeight="false" outlineLevel="0" collapsed="false">
      <c r="A269" s="50" t="str">
        <f aca="false">IF(B269="","",B269&amp;"|"&amp;C269&amp;"|"&amp;D269&amp;"|"&amp;E269)</f>
        <v/>
      </c>
    </row>
    <row r="270" customFormat="false" ht="15" hidden="false" customHeight="false" outlineLevel="0" collapsed="false">
      <c r="A270" s="50" t="str">
        <f aca="false">IF(B270="","",B270&amp;"|"&amp;C270&amp;"|"&amp;D270&amp;"|"&amp;E270)</f>
        <v/>
      </c>
    </row>
    <row r="271" customFormat="false" ht="15" hidden="false" customHeight="false" outlineLevel="0" collapsed="false">
      <c r="A271" s="50" t="str">
        <f aca="false">IF(B271="","",B271&amp;"|"&amp;C271&amp;"|"&amp;D271&amp;"|"&amp;E271)</f>
        <v/>
      </c>
    </row>
    <row r="272" customFormat="false" ht="15" hidden="false" customHeight="false" outlineLevel="0" collapsed="false">
      <c r="A272" s="50" t="str">
        <f aca="false">IF(B272="","",B272&amp;"|"&amp;C272&amp;"|"&amp;D272&amp;"|"&amp;E272)</f>
        <v/>
      </c>
    </row>
    <row r="273" customFormat="false" ht="15" hidden="false" customHeight="false" outlineLevel="0" collapsed="false">
      <c r="A273" s="50" t="str">
        <f aca="false">IF(B273="","",B273&amp;"|"&amp;C273&amp;"|"&amp;D273&amp;"|"&amp;E273)</f>
        <v/>
      </c>
    </row>
    <row r="274" customFormat="false" ht="15" hidden="false" customHeight="false" outlineLevel="0" collapsed="false">
      <c r="A274" s="50" t="str">
        <f aca="false">IF(B274="","",B274&amp;"|"&amp;C274&amp;"|"&amp;D274&amp;"|"&amp;E274)</f>
        <v/>
      </c>
    </row>
    <row r="275" customFormat="false" ht="15" hidden="false" customHeight="false" outlineLevel="0" collapsed="false">
      <c r="A275" s="50" t="str">
        <f aca="false">IF(B275="","",B275&amp;"|"&amp;C275&amp;"|"&amp;D275&amp;"|"&amp;E275)</f>
        <v/>
      </c>
    </row>
    <row r="276" customFormat="false" ht="15" hidden="false" customHeight="false" outlineLevel="0" collapsed="false">
      <c r="A276" s="50" t="str">
        <f aca="false">IF(B276="","",B276&amp;"|"&amp;C276&amp;"|"&amp;D276&amp;"|"&amp;E276)</f>
        <v/>
      </c>
    </row>
    <row r="277" customFormat="false" ht="15" hidden="false" customHeight="false" outlineLevel="0" collapsed="false">
      <c r="A277" s="50" t="str">
        <f aca="false">IF(B277="","",B277&amp;"|"&amp;C277&amp;"|"&amp;D277&amp;"|"&amp;E277)</f>
        <v/>
      </c>
    </row>
    <row r="278" customFormat="false" ht="15" hidden="false" customHeight="false" outlineLevel="0" collapsed="false">
      <c r="A278" s="50" t="str">
        <f aca="false">IF(B278="","",B278&amp;"|"&amp;C278&amp;"|"&amp;D278&amp;"|"&amp;E278)</f>
        <v/>
      </c>
    </row>
    <row r="279" customFormat="false" ht="15" hidden="false" customHeight="false" outlineLevel="0" collapsed="false">
      <c r="A279" s="50" t="str">
        <f aca="false">IF(B279="","",B279&amp;"|"&amp;C279&amp;"|"&amp;D279&amp;"|"&amp;E279)</f>
        <v/>
      </c>
    </row>
    <row r="280" customFormat="false" ht="15" hidden="false" customHeight="false" outlineLevel="0" collapsed="false">
      <c r="A280" s="50" t="str">
        <f aca="false">IF(B280="","",B280&amp;"|"&amp;C280&amp;"|"&amp;D280&amp;"|"&amp;E280)</f>
        <v/>
      </c>
    </row>
    <row r="281" customFormat="false" ht="15" hidden="false" customHeight="false" outlineLevel="0" collapsed="false">
      <c r="A281" s="50" t="str">
        <f aca="false">IF(B281="","",B281&amp;"|"&amp;C281&amp;"|"&amp;D281&amp;"|"&amp;E281)</f>
        <v/>
      </c>
    </row>
    <row r="282" customFormat="false" ht="15" hidden="false" customHeight="false" outlineLevel="0" collapsed="false">
      <c r="A282" s="50" t="str">
        <f aca="false">IF(B282="","",B282&amp;"|"&amp;C282&amp;"|"&amp;D282&amp;"|"&amp;E282)</f>
        <v/>
      </c>
    </row>
    <row r="283" customFormat="false" ht="15" hidden="false" customHeight="false" outlineLevel="0" collapsed="false">
      <c r="A283" s="50" t="str">
        <f aca="false">IF(B283="","",B283&amp;"|"&amp;C283&amp;"|"&amp;D283&amp;"|"&amp;E283)</f>
        <v/>
      </c>
    </row>
    <row r="284" customFormat="false" ht="15" hidden="false" customHeight="false" outlineLevel="0" collapsed="false">
      <c r="A284" s="50" t="str">
        <f aca="false">IF(B284="","",B284&amp;"|"&amp;C284&amp;"|"&amp;D284&amp;"|"&amp;E284)</f>
        <v/>
      </c>
    </row>
    <row r="285" customFormat="false" ht="15" hidden="false" customHeight="false" outlineLevel="0" collapsed="false">
      <c r="A285" s="50" t="str">
        <f aca="false">IF(B285="","",B285&amp;"|"&amp;C285&amp;"|"&amp;D285&amp;"|"&amp;E285)</f>
        <v/>
      </c>
    </row>
    <row r="286" customFormat="false" ht="15" hidden="false" customHeight="false" outlineLevel="0" collapsed="false">
      <c r="A286" s="50" t="str">
        <f aca="false">IF(B286="","",B286&amp;"|"&amp;C286&amp;"|"&amp;D286&amp;"|"&amp;E286)</f>
        <v/>
      </c>
    </row>
  </sheetData>
  <autoFilter ref="A1:J286"/>
  <dataValidations count="5">
    <dataValidation allowBlank="true" errorStyle="stop" operator="between" showDropDown="false" showErrorMessage="false" showInputMessage="false" sqref="I2:I286" type="list">
      <formula1>Boundaries!$A$2:$A$30</formula1>
      <formula2>0</formula2>
    </dataValidation>
    <dataValidation allowBlank="false" errorStyle="stop" operator="between" showDropDown="false" showErrorMessage="false" showInputMessage="false" sqref="B2:B286" type="list">
      <formula1>Lists!$A$2:$A$5</formula1>
      <formula2>0</formula2>
    </dataValidation>
    <dataValidation allowBlank="false" errorStyle="stop" operator="between" showDropDown="false" showErrorMessage="false" showInputMessage="false" sqref="C2:C286" type="list">
      <formula1>Lists!$B$2:$B$5</formula1>
      <formula2>0</formula2>
    </dataValidation>
    <dataValidation allowBlank="false" errorStyle="stop" operator="between" showDropDown="false" showErrorMessage="false" showInputMessage="false" sqref="D2:D286" type="list">
      <formula1>Lists!$C$2:$C$3</formula1>
      <formula2>0</formula2>
    </dataValidation>
    <dataValidation allowBlank="false" errorStyle="stop" operator="between" showDropDown="false" showErrorMessage="false" showInputMessage="false" sqref="E2:E286" type="whole">
      <formula1>1</formula1>
      <formula2>14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s>
  <sheetData>
    <row r="1" customFormat="false" ht="15" hidden="false" customHeight="false" outlineLevel="0" collapsed="false">
      <c r="A1" s="47" t="s">
        <v>708</v>
      </c>
      <c r="B1" s="47" t="s">
        <v>814</v>
      </c>
      <c r="C1" s="47" t="s">
        <v>815</v>
      </c>
      <c r="D1" s="47" t="s">
        <v>816</v>
      </c>
      <c r="E1" s="47" t="s">
        <v>817</v>
      </c>
      <c r="F1" s="47" t="s">
        <v>818</v>
      </c>
      <c r="G1" s="47" t="s">
        <v>819</v>
      </c>
      <c r="H1" s="47" t="s">
        <v>820</v>
      </c>
      <c r="I1" s="47" t="s">
        <v>821</v>
      </c>
      <c r="J1" s="51"/>
      <c r="K1" s="52" t="s">
        <v>822</v>
      </c>
    </row>
    <row r="2" customFormat="false" ht="15" hidden="false" customHeight="false" outlineLevel="0" collapsed="false">
      <c r="A2" s="53" t="s">
        <v>753</v>
      </c>
      <c r="B2" s="54" t="n">
        <v>0</v>
      </c>
      <c r="C2" s="54" t="n">
        <v>10</v>
      </c>
      <c r="D2" s="54" t="n">
        <v>20</v>
      </c>
      <c r="E2" s="54" t="n">
        <v>30</v>
      </c>
      <c r="F2" s="54" t="n">
        <v>40</v>
      </c>
      <c r="G2" s="54" t="n">
        <v>50</v>
      </c>
      <c r="H2" s="54" t="n">
        <v>65</v>
      </c>
      <c r="I2" s="54" t="n">
        <v>75</v>
      </c>
    </row>
    <row r="3" customFormat="false" ht="15" hidden="false" customHeight="false" outlineLevel="0" collapsed="false">
      <c r="A3" s="53" t="s">
        <v>758</v>
      </c>
      <c r="B3" s="54" t="n">
        <v>0</v>
      </c>
      <c r="C3" s="54" t="n">
        <v>5</v>
      </c>
      <c r="D3" s="54" t="n">
        <v>15</v>
      </c>
      <c r="E3" s="54" t="n">
        <v>25</v>
      </c>
      <c r="F3" s="54" t="n">
        <v>35</v>
      </c>
      <c r="G3" s="54" t="n">
        <v>45</v>
      </c>
      <c r="H3" s="54" t="n">
        <v>60</v>
      </c>
      <c r="I3" s="54" t="n">
        <v>70</v>
      </c>
    </row>
    <row r="4" customFormat="false" ht="15" hidden="false" customHeight="false" outlineLevel="0" collapsed="false">
      <c r="A4" s="53" t="s">
        <v>742</v>
      </c>
      <c r="B4" s="54" t="n">
        <v>0</v>
      </c>
      <c r="C4" s="54" t="n">
        <v>15</v>
      </c>
      <c r="D4" s="54" t="n">
        <v>30</v>
      </c>
      <c r="E4" s="54" t="n">
        <v>40</v>
      </c>
      <c r="F4" s="54" t="n">
        <v>50</v>
      </c>
      <c r="G4" s="54" t="n">
        <v>60</v>
      </c>
      <c r="H4" s="54" t="n">
        <v>70</v>
      </c>
      <c r="I4" s="54" t="n">
        <v>80</v>
      </c>
    </row>
    <row r="5" customFormat="false" ht="15" hidden="false" customHeight="false" outlineLevel="0" collapsed="false">
      <c r="A5" s="53" t="s">
        <v>736</v>
      </c>
      <c r="B5" s="54" t="n">
        <v>0</v>
      </c>
      <c r="C5" s="54" t="n">
        <v>20</v>
      </c>
      <c r="D5" s="54" t="n">
        <v>30</v>
      </c>
      <c r="E5" s="54" t="n">
        <v>40</v>
      </c>
      <c r="F5" s="54" t="n">
        <v>50</v>
      </c>
      <c r="G5" s="54" t="n">
        <v>65</v>
      </c>
      <c r="H5" s="54" t="n">
        <v>75</v>
      </c>
      <c r="I5" s="54" t="n">
        <v>85</v>
      </c>
    </row>
    <row r="6" customFormat="false" ht="15" hidden="false" customHeight="false" outlineLevel="0" collapsed="false">
      <c r="A6" s="53" t="s">
        <v>712</v>
      </c>
      <c r="B6" s="54" t="n">
        <v>0</v>
      </c>
      <c r="C6" s="54" t="n">
        <v>1</v>
      </c>
      <c r="D6" s="54" t="n">
        <v>17</v>
      </c>
      <c r="E6" s="54" t="n">
        <v>33</v>
      </c>
      <c r="F6" s="54" t="n">
        <v>43</v>
      </c>
      <c r="G6" s="54" t="n">
        <v>53</v>
      </c>
      <c r="H6" s="54" t="n">
        <v>62</v>
      </c>
      <c r="I6" s="54" t="n">
        <v>72</v>
      </c>
    </row>
    <row r="7" customFormat="false" ht="15" hidden="false" customHeight="false" outlineLevel="0" collapsed="false">
      <c r="A7" s="53" t="s">
        <v>716</v>
      </c>
      <c r="B7" s="54" t="n">
        <v>0</v>
      </c>
      <c r="C7" s="54" t="n">
        <v>1</v>
      </c>
      <c r="D7" s="54" t="n">
        <v>16</v>
      </c>
      <c r="E7" s="54" t="n">
        <v>30</v>
      </c>
      <c r="F7" s="54" t="n">
        <v>42</v>
      </c>
      <c r="G7" s="54" t="n">
        <v>54</v>
      </c>
      <c r="H7" s="54" t="n">
        <v>68</v>
      </c>
      <c r="I7" s="54" t="n">
        <v>80</v>
      </c>
    </row>
    <row r="8" customFormat="false" ht="15" hidden="false" customHeight="false" outlineLevel="0" collapsed="false">
      <c r="A8" s="53" t="s">
        <v>727</v>
      </c>
      <c r="B8" s="54" t="n">
        <v>0</v>
      </c>
      <c r="C8" s="54" t="n">
        <v>1</v>
      </c>
      <c r="D8" s="54" t="n">
        <v>18</v>
      </c>
      <c r="E8" s="54" t="n">
        <v>36</v>
      </c>
      <c r="F8" s="54" t="n">
        <v>54</v>
      </c>
      <c r="G8" s="54" t="n">
        <v>61</v>
      </c>
      <c r="H8" s="54" t="n">
        <v>68</v>
      </c>
      <c r="I8" s="54" t="n">
        <v>75</v>
      </c>
    </row>
    <row r="9" customFormat="false" ht="15" hidden="false" customHeight="false" outlineLevel="0" collapsed="false">
      <c r="A9" s="53" t="s">
        <v>823</v>
      </c>
      <c r="B9" s="54" t="n">
        <v>0</v>
      </c>
      <c r="C9" s="54" t="n">
        <v>1</v>
      </c>
      <c r="D9" s="54" t="n">
        <v>13</v>
      </c>
      <c r="E9" s="54" t="n">
        <v>26</v>
      </c>
      <c r="F9" s="54" t="n">
        <v>41</v>
      </c>
      <c r="G9" s="54" t="n">
        <v>52</v>
      </c>
      <c r="H9" s="54" t="n">
        <v>63</v>
      </c>
      <c r="I9" s="54" t="n">
        <v>73</v>
      </c>
    </row>
    <row r="10" customFormat="false" ht="15" hidden="false" customHeight="false" outlineLevel="0" collapsed="false">
      <c r="A10" s="53" t="s">
        <v>824</v>
      </c>
      <c r="B10" s="54" t="n">
        <v>0</v>
      </c>
      <c r="C10" s="54" t="n">
        <v>1</v>
      </c>
      <c r="D10" s="54" t="n">
        <v>12</v>
      </c>
      <c r="E10" s="54" t="n">
        <v>24</v>
      </c>
      <c r="F10" s="54" t="n">
        <v>40</v>
      </c>
      <c r="G10" s="54" t="n">
        <v>51</v>
      </c>
      <c r="H10" s="54" t="n">
        <v>64</v>
      </c>
      <c r="I10" s="54" t="n">
        <v>75</v>
      </c>
    </row>
    <row r="11" customFormat="false" ht="15" hidden="false" customHeight="false" outlineLevel="0" collapsed="false">
      <c r="A11" s="53" t="s">
        <v>771</v>
      </c>
      <c r="B11" s="54" t="n">
        <v>0</v>
      </c>
      <c r="C11" s="54" t="n">
        <v>1</v>
      </c>
      <c r="D11" s="54" t="n">
        <v>17</v>
      </c>
      <c r="E11" s="54" t="n">
        <v>33</v>
      </c>
      <c r="F11" s="54" t="n">
        <v>42</v>
      </c>
      <c r="G11" s="54" t="n">
        <v>54</v>
      </c>
      <c r="H11" s="54" t="n">
        <v>66</v>
      </c>
      <c r="I11" s="54" t="n">
        <v>79</v>
      </c>
    </row>
    <row r="12" customFormat="false" ht="15" hidden="false" customHeight="false" outlineLevel="0" collapsed="false">
      <c r="A12" s="53" t="s">
        <v>776</v>
      </c>
      <c r="B12" s="54" t="n">
        <v>0</v>
      </c>
      <c r="C12" s="54" t="n">
        <v>1</v>
      </c>
      <c r="D12" s="54" t="n">
        <v>20</v>
      </c>
      <c r="E12" s="54" t="n">
        <v>33</v>
      </c>
      <c r="F12" s="54" t="n">
        <v>46</v>
      </c>
      <c r="G12" s="54" t="n">
        <v>60</v>
      </c>
      <c r="H12" s="54" t="n">
        <v>73</v>
      </c>
      <c r="I12" s="54" t="n">
        <v>86</v>
      </c>
    </row>
    <row r="13" customFormat="false" ht="15" hidden="false" customHeight="false" outlineLevel="0" collapsed="false">
      <c r="A13" s="53" t="s">
        <v>780</v>
      </c>
      <c r="B13" s="54" t="n">
        <v>0</v>
      </c>
      <c r="C13" s="54" t="n">
        <v>1</v>
      </c>
      <c r="D13" s="54" t="n">
        <v>10</v>
      </c>
      <c r="E13" s="54" t="n">
        <v>20</v>
      </c>
      <c r="F13" s="54" t="n">
        <v>30</v>
      </c>
      <c r="G13" s="54" t="n">
        <v>47</v>
      </c>
      <c r="H13" s="54" t="n">
        <v>63</v>
      </c>
      <c r="I13" s="54" t="n">
        <v>80</v>
      </c>
    </row>
    <row r="14" customFormat="false" ht="15" hidden="false" customHeight="false" outlineLevel="0" collapsed="false">
      <c r="A14" s="53" t="s">
        <v>782</v>
      </c>
      <c r="B14" s="54" t="n">
        <v>0</v>
      </c>
      <c r="C14" s="54" t="n">
        <v>1</v>
      </c>
      <c r="D14" s="54" t="n">
        <v>13</v>
      </c>
      <c r="E14" s="54" t="n">
        <v>27</v>
      </c>
      <c r="F14" s="54" t="n">
        <v>36</v>
      </c>
      <c r="G14" s="54" t="n">
        <v>47</v>
      </c>
      <c r="H14" s="54" t="n">
        <v>58</v>
      </c>
      <c r="I14" s="54" t="n">
        <v>69</v>
      </c>
    </row>
    <row r="15" customFormat="false" ht="15" hidden="false" customHeight="false" outlineLevel="0" collapsed="false">
      <c r="A15" s="53" t="s">
        <v>773</v>
      </c>
      <c r="B15" s="54" t="n">
        <v>0</v>
      </c>
      <c r="C15" s="54" t="n">
        <v>1</v>
      </c>
      <c r="D15" s="54" t="n">
        <v>13</v>
      </c>
      <c r="E15" s="54" t="n">
        <v>26</v>
      </c>
      <c r="F15" s="54" t="n">
        <v>40</v>
      </c>
      <c r="G15" s="54" t="n">
        <v>53</v>
      </c>
      <c r="H15" s="54" t="n">
        <v>67</v>
      </c>
      <c r="I15" s="54" t="n">
        <v>80</v>
      </c>
    </row>
    <row r="16" customFormat="false" ht="15" hidden="false" customHeight="false" outlineLevel="0" collapsed="false">
      <c r="A16" s="53" t="s">
        <v>825</v>
      </c>
      <c r="B16" s="54" t="n">
        <v>0</v>
      </c>
      <c r="C16" s="54" t="n">
        <v>1</v>
      </c>
      <c r="D16" s="54" t="n">
        <v>10</v>
      </c>
      <c r="E16" s="54" t="n">
        <v>22</v>
      </c>
      <c r="F16" s="54" t="n">
        <v>32</v>
      </c>
      <c r="G16" s="54" t="n">
        <v>47</v>
      </c>
      <c r="H16" s="54" t="n">
        <v>62</v>
      </c>
      <c r="I16" s="54" t="n">
        <v>77</v>
      </c>
    </row>
    <row r="17" customFormat="false" ht="15" hidden="false" customHeight="false" outlineLevel="0" collapsed="false">
      <c r="A17" s="53" t="s">
        <v>826</v>
      </c>
      <c r="B17" s="54" t="n">
        <v>0</v>
      </c>
      <c r="C17" s="54" t="n">
        <v>1</v>
      </c>
      <c r="D17" s="54" t="n">
        <v>11</v>
      </c>
      <c r="E17" s="54" t="n">
        <v>24</v>
      </c>
      <c r="F17" s="54" t="n">
        <v>33</v>
      </c>
      <c r="G17" s="54" t="n">
        <v>47</v>
      </c>
      <c r="H17" s="54" t="n">
        <v>60</v>
      </c>
      <c r="I17" s="54" t="n">
        <v>74</v>
      </c>
    </row>
    <row r="18" customFormat="false" ht="15" hidden="false" customHeight="false" outlineLevel="0" collapsed="false">
      <c r="A18" s="53" t="s">
        <v>765</v>
      </c>
      <c r="B18" s="54" t="n">
        <v>0</v>
      </c>
      <c r="C18" s="54" t="n">
        <v>14.28</v>
      </c>
      <c r="D18" s="54" t="n">
        <v>28.57</v>
      </c>
      <c r="E18" s="54" t="n">
        <v>42.85</v>
      </c>
      <c r="F18" s="54" t="n">
        <v>57.14</v>
      </c>
      <c r="G18" s="54" t="n">
        <v>71.42</v>
      </c>
      <c r="H18" s="54" t="n">
        <v>85.71</v>
      </c>
      <c r="I18" s="54" t="n">
        <v>99.99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8"/>
    <col collapsed="false" customWidth="true" hidden="false" outlineLevel="0" max="4" min="4" style="0" width="14"/>
    <col collapsed="false" customWidth="true" hidden="false" outlineLevel="0" max="5" min="5" style="0" width="4"/>
    <col collapsed="false" customWidth="true" hidden="false" outlineLevel="0" max="6" min="6" style="0" width="28"/>
    <col collapsed="false" customWidth="true" hidden="false" outlineLevel="0" max="7" min="7" style="0" width="22"/>
  </cols>
  <sheetData>
    <row r="1" customFormat="false" ht="15" hidden="false" customHeight="false" outlineLevel="0" collapsed="false">
      <c r="A1" s="47" t="s">
        <v>40</v>
      </c>
      <c r="B1" s="47" t="s">
        <v>41</v>
      </c>
      <c r="C1" s="47" t="s">
        <v>42</v>
      </c>
      <c r="D1" s="47" t="s">
        <v>39</v>
      </c>
      <c r="E1" s="51"/>
      <c r="F1" s="47" t="s">
        <v>827</v>
      </c>
      <c r="G1" s="47" t="s">
        <v>828</v>
      </c>
    </row>
    <row r="2" customFormat="false" ht="15" hidden="false" customHeight="false" outlineLevel="0" collapsed="false">
      <c r="A2" s="53" t="s">
        <v>23</v>
      </c>
      <c r="B2" s="53" t="s">
        <v>24</v>
      </c>
      <c r="C2" s="53" t="s">
        <v>25</v>
      </c>
      <c r="D2" s="53" t="s">
        <v>154</v>
      </c>
      <c r="F2" s="53" t="s">
        <v>829</v>
      </c>
      <c r="G2" s="53" t="s">
        <v>823</v>
      </c>
    </row>
    <row r="3" customFormat="false" ht="15" hidden="false" customHeight="false" outlineLevel="0" collapsed="false">
      <c r="A3" s="53" t="s">
        <v>428</v>
      </c>
      <c r="B3" s="53" t="s">
        <v>229</v>
      </c>
      <c r="C3" s="53" t="s">
        <v>223</v>
      </c>
      <c r="D3" s="53" t="s">
        <v>830</v>
      </c>
      <c r="F3" s="53" t="s">
        <v>831</v>
      </c>
      <c r="G3" s="53" t="s">
        <v>824</v>
      </c>
    </row>
    <row r="4" customFormat="false" ht="15" hidden="false" customHeight="false" outlineLevel="0" collapsed="false">
      <c r="A4" s="53" t="s">
        <v>812</v>
      </c>
      <c r="B4" s="53" t="s">
        <v>365</v>
      </c>
      <c r="C4" s="53" t="s">
        <v>832</v>
      </c>
      <c r="D4" s="53" t="s">
        <v>833</v>
      </c>
      <c r="F4" s="53" t="s">
        <v>834</v>
      </c>
      <c r="G4" s="53" t="s">
        <v>742</v>
      </c>
    </row>
    <row r="5" customFormat="false" ht="15" hidden="false" customHeight="false" outlineLevel="0" collapsed="false">
      <c r="A5" s="53" t="s">
        <v>813</v>
      </c>
      <c r="B5" s="53" t="s">
        <v>416</v>
      </c>
      <c r="D5" s="53" t="s">
        <v>835</v>
      </c>
      <c r="F5" s="53" t="s">
        <v>836</v>
      </c>
      <c r="G5" s="53" t="s">
        <v>742</v>
      </c>
    </row>
    <row r="6" customFormat="false" ht="15" hidden="false" customHeight="false" outlineLevel="0" collapsed="false">
      <c r="D6" s="53" t="s">
        <v>837</v>
      </c>
      <c r="F6" s="53" t="s">
        <v>838</v>
      </c>
      <c r="G6" s="53" t="s">
        <v>758</v>
      </c>
    </row>
    <row r="7" customFormat="false" ht="15" hidden="false" customHeight="false" outlineLevel="0" collapsed="false">
      <c r="F7" s="53" t="s">
        <v>839</v>
      </c>
      <c r="G7" s="53" t="s">
        <v>758</v>
      </c>
    </row>
    <row r="8" customFormat="false" ht="15" hidden="false" customHeight="false" outlineLevel="0" collapsed="false">
      <c r="F8" s="53" t="s">
        <v>840</v>
      </c>
      <c r="G8" s="53" t="s">
        <v>826</v>
      </c>
    </row>
    <row r="9" customFormat="false" ht="15" hidden="false" customHeight="false" outlineLevel="0" collapsed="false">
      <c r="F9" s="53" t="s">
        <v>841</v>
      </c>
      <c r="G9" s="53" t="s">
        <v>825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2026-10-29T05:41:01Z</dcterms:created>
  <dc:creator>openpyxl</dc:creator>
  <dc:description/>
  <dc:language>en-US</dc:language>
  <cp:lastModifiedBy/>
  <dcterms:modified xsi:type="dcterms:W3CDTF">2026-10-29T05:41:12Z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